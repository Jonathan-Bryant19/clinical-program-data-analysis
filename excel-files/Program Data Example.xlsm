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nathanbryant/Library/Mobile Documents/com~apple~CloudDocs/Development/Portfolio/Clinical Program Data Analysis/"/>
    </mc:Choice>
  </mc:AlternateContent>
  <xr:revisionPtr revIDLastSave="0" documentId="8_{6D20EA22-1778-EA40-A7A8-E19B3F5B0F90}" xr6:coauthVersionLast="47" xr6:coauthVersionMax="47" xr10:uidLastSave="{00000000-0000-0000-0000-000000000000}"/>
  <bookViews>
    <workbookView xWindow="51200" yWindow="2780" windowWidth="32000" windowHeight="17500" xr2:uid="{00000000-000D-0000-FFFF-FFFF00000000}"/>
  </bookViews>
  <sheets>
    <sheet name="Home" sheetId="3" r:id="rId1"/>
    <sheet name="Graphs" sheetId="2" r:id="rId2"/>
    <sheet name="RawData" sheetId="1" r:id="rId3"/>
  </sheets>
  <externalReferences>
    <externalReference r:id="rId4"/>
  </externalReferences>
  <definedNames>
    <definedName name="_xlnm._FilterDatabase" localSheetId="0" hidden="1">Home!$A$28:$S$1527</definedName>
    <definedName name="_xlnm._FilterDatabase" localSheetId="2" hidden="1">RawData!$A$1:$BM$10000</definedName>
    <definedName name="Chart_Generator">Graphs!$A$211:$Q$251</definedName>
    <definedName name="_xlnm.Extract" localSheetId="2">RawData!#REF!</definedName>
    <definedName name="FSS_Participation">Graphs!$A$73:$Q$90</definedName>
    <definedName name="FSS_Play_Obs_1030">Graphs!$A$91:$Q$107</definedName>
    <definedName name="FSS_Play_Obs_515">Graphs!$A$108:$Q$124</definedName>
    <definedName name="Lang_Samp_Quality">Graphs!$A$22:$Q$38</definedName>
    <definedName name="Lang_Samp_Type">Graphs!$A$4:$Q$21</definedName>
    <definedName name="ProgramName">RawData!$E$2:$E$3157</definedName>
    <definedName name="School_Centers">Graphs!$A$143:$Q$159</definedName>
    <definedName name="School_Circle_Time">Graphs!$A$125:$Q$142</definedName>
    <definedName name="School_Free_Time_Play_Time">Graphs!$A$160:$Q$176</definedName>
    <definedName name="School_Play_Obs_1030">Graphs!$A$177:$Q$193</definedName>
    <definedName name="School_Play_Obs_515">Graphs!$A$194:$Q$210</definedName>
    <definedName name="TrialCount">RawData!$U$2:$U$3157</definedName>
    <definedName name="Unprompted_Play_Observation__10_min_30_sec">Graphs!$A$56:$Q$72</definedName>
    <definedName name="Unprompted_Play_Observation__5_min_15_sec">Graphs!$A$39:$Q$55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9" i="3" l="1"/>
  <c r="W38" i="3"/>
  <c r="W37" i="3"/>
  <c r="W36" i="3"/>
  <c r="W35" i="3"/>
  <c r="W34" i="3"/>
  <c r="W33" i="3"/>
  <c r="W32" i="3"/>
  <c r="W31" i="3"/>
  <c r="W30" i="3"/>
  <c r="E27" i="3" a="1"/>
  <c r="E27" i="3" s="1"/>
  <c r="D27" i="3" a="1"/>
  <c r="D27" i="3" s="1"/>
  <c r="C27" i="3" a="1"/>
  <c r="C27" i="3" s="1"/>
  <c r="B27" i="3" a="1"/>
  <c r="B27" i="3" s="1"/>
  <c r="A27" i="3" a="1"/>
  <c r="A27" i="3" s="1"/>
  <c r="F26" i="3"/>
  <c r="F25" i="3"/>
  <c r="F24" i="3"/>
  <c r="L18" i="3"/>
  <c r="L16" i="3"/>
  <c r="L19" i="3"/>
  <c r="L15" i="3"/>
  <c r="I10" i="3" a="1"/>
  <c r="I10" i="3" s="1"/>
  <c r="D1" i="3"/>
  <c r="E3" i="2"/>
  <c r="D3" i="2"/>
  <c r="C3" i="2"/>
  <c r="B3" i="2"/>
  <c r="E2" i="2"/>
  <c r="D2" i="2"/>
  <c r="C2" i="2"/>
  <c r="L17" i="3" l="1"/>
  <c r="L11" i="3"/>
  <c r="L12" i="3"/>
  <c r="L13" i="3"/>
  <c r="L14" i="3"/>
  <c r="M18" i="3" l="1"/>
  <c r="M17" i="3"/>
  <c r="M16" i="3"/>
  <c r="M15" i="3"/>
  <c r="M14" i="3"/>
  <c r="M13" i="3"/>
  <c r="M12" i="3"/>
  <c r="M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Bryant</author>
  </authors>
  <commentList>
    <comment ref="B76" authorId="0" shapeId="0" xr:uid="{00000000-0006-0000-0100-000001000000}">
      <text>
        <r>
          <rPr>
            <sz val="10"/>
            <color rgb="FF000000"/>
            <rFont val="Tahoma"/>
            <family val="2"/>
          </rPr>
          <t xml:space="preserve">Greetings:  Reciprocates
</t>
        </r>
      </text>
    </comment>
    <comment ref="C76" authorId="0" shapeId="0" xr:uid="{00000000-0006-0000-0100-000002000000}">
      <text>
        <r>
          <rPr>
            <sz val="10"/>
            <color rgb="FF000000"/>
            <rFont val="Tahoma"/>
            <family val="2"/>
          </rPr>
          <t xml:space="preserve">Greetings:  Initiates
</t>
        </r>
      </text>
    </comment>
    <comment ref="D76" authorId="0" shapeId="0" xr:uid="{00000000-0006-0000-0100-000003000000}">
      <text>
        <r>
          <rPr>
            <sz val="10"/>
            <color rgb="FF000000"/>
            <rFont val="Tahoma"/>
            <family val="2"/>
          </rPr>
          <t xml:space="preserve">Answers Questions From a Peer
</t>
        </r>
      </text>
    </comment>
    <comment ref="E76" authorId="0" shapeId="0" xr:uid="{00000000-0006-0000-0100-000004000000}">
      <text>
        <r>
          <rPr>
            <sz val="10"/>
            <color rgb="FF000000"/>
            <rFont val="Tahoma"/>
            <family val="2"/>
          </rPr>
          <t xml:space="preserve">Responds to Peer Statements
</t>
        </r>
      </text>
    </comment>
    <comment ref="F76" authorId="0" shapeId="0" xr:uid="{00000000-0006-0000-0100-000005000000}">
      <text>
        <r>
          <rPr>
            <sz val="10"/>
            <color rgb="FF000000"/>
            <rFont val="Tahoma"/>
            <family val="2"/>
          </rPr>
          <t xml:space="preserve">Initiates Statements
</t>
        </r>
      </text>
    </comment>
    <comment ref="G76" authorId="0" shapeId="0" xr:uid="{00000000-0006-0000-0100-000006000000}">
      <text>
        <r>
          <rPr>
            <sz val="10"/>
            <color rgb="FF000000"/>
            <rFont val="Tahoma"/>
            <family val="2"/>
          </rPr>
          <t xml:space="preserve">Asks Peer Questions
</t>
        </r>
      </text>
    </comment>
    <comment ref="H76" authorId="0" shapeId="0" xr:uid="{00000000-0006-0000-0100-000007000000}">
      <text>
        <r>
          <rPr>
            <sz val="10"/>
            <color rgb="FF000000"/>
            <rFont val="Tahoma"/>
            <family val="2"/>
          </rPr>
          <t xml:space="preserve">Imitates Peer Actions
</t>
        </r>
      </text>
    </comment>
    <comment ref="I76" authorId="0" shapeId="0" xr:uid="{00000000-0006-0000-0100-000008000000}">
      <text>
        <r>
          <rPr>
            <sz val="10"/>
            <color rgb="FF000000"/>
            <rFont val="Tahoma"/>
            <family val="2"/>
          </rPr>
          <t xml:space="preserve">Takes Turn With Toy/Activity
</t>
        </r>
      </text>
    </comment>
    <comment ref="B128" authorId="0" shapeId="0" xr:uid="{00000000-0006-0000-0100-000009000000}">
      <text>
        <r>
          <rPr>
            <sz val="10"/>
            <color rgb="FF000000"/>
            <rFont val="Tahoma"/>
            <family val="2"/>
          </rPr>
          <t xml:space="preserve">Follow Conditional Instructions
</t>
        </r>
      </text>
    </comment>
    <comment ref="C128" authorId="0" shapeId="0" xr:uid="{00000000-0006-0000-0100-00000A000000}">
      <text>
        <r>
          <rPr>
            <sz val="10"/>
            <color rgb="FF000000"/>
            <rFont val="Tahoma"/>
            <family val="2"/>
          </rPr>
          <t xml:space="preserve">Group Responding:  Verbal (No Instruction Given)
</t>
        </r>
      </text>
    </comment>
    <comment ref="D128" authorId="0" shapeId="0" xr:uid="{00000000-0006-0000-0100-00000B000000}">
      <text>
        <r>
          <rPr>
            <sz val="10"/>
            <color rgb="FF000000"/>
            <rFont val="Tahoma"/>
            <family val="2"/>
          </rPr>
          <t xml:space="preserve">Group Responding:  Non Verbal (No Instruction Given)
</t>
        </r>
      </text>
    </comment>
    <comment ref="E128" authorId="0" shapeId="0" xr:uid="{00000000-0006-0000-0100-00000C000000}">
      <text>
        <r>
          <rPr>
            <sz val="10"/>
            <color rgb="FF000000"/>
            <rFont val="Tahoma"/>
            <family val="2"/>
          </rPr>
          <t xml:space="preserve">Adult Individual Instructions
</t>
        </r>
      </text>
    </comment>
    <comment ref="F128" authorId="0" shapeId="0" xr:uid="{00000000-0006-0000-0100-00000D000000}">
      <text>
        <r>
          <rPr>
            <sz val="10"/>
            <color rgb="FF000000"/>
            <rFont val="Tahoma"/>
            <family val="2"/>
          </rPr>
          <t xml:space="preserve">Adult Group Instructions
</t>
        </r>
      </text>
    </comment>
    <comment ref="G128" authorId="0" shapeId="0" xr:uid="{00000000-0006-0000-0100-00000E000000}">
      <text>
        <r>
          <rPr>
            <sz val="10"/>
            <color rgb="FF000000"/>
            <rFont val="Tahoma"/>
            <family val="2"/>
          </rPr>
          <t xml:space="preserve">Responds to Peer Instruction or Question
</t>
        </r>
      </text>
    </comment>
    <comment ref="H128" authorId="0" shapeId="0" xr:uid="{00000000-0006-0000-0100-00000F000000}">
      <text>
        <r>
          <rPr>
            <sz val="10"/>
            <color rgb="FF000000"/>
            <rFont val="Tahoma"/>
            <family val="2"/>
          </rPr>
          <t xml:space="preserve">Attempts to Engage Peer
</t>
        </r>
      </text>
    </comment>
    <comment ref="I128" authorId="0" shapeId="0" xr:uid="{00000000-0006-0000-0100-000010000000}">
      <text>
        <r>
          <rPr>
            <sz val="10"/>
            <color rgb="FF000000"/>
            <rFont val="Tahoma"/>
            <family val="2"/>
          </rPr>
          <t xml:space="preserve">Successful Transitions
</t>
        </r>
      </text>
    </comment>
    <comment ref="B145" authorId="0" shapeId="0" xr:uid="{00000000-0006-0000-0100-000011000000}">
      <text>
        <r>
          <rPr>
            <sz val="10"/>
            <color rgb="FF000000"/>
            <rFont val="Tahoma"/>
            <family val="2"/>
          </rPr>
          <t xml:space="preserve">Follow Conditional Instructions
</t>
        </r>
      </text>
    </comment>
    <comment ref="C145" authorId="0" shapeId="0" xr:uid="{00000000-0006-0000-0100-000012000000}">
      <text>
        <r>
          <rPr>
            <sz val="10"/>
            <color rgb="FF000000"/>
            <rFont val="Tahoma"/>
            <family val="2"/>
          </rPr>
          <t xml:space="preserve">Group Responding:  Verbal (No Instruction Given)
</t>
        </r>
      </text>
    </comment>
    <comment ref="D145" authorId="0" shapeId="0" xr:uid="{00000000-0006-0000-0100-000013000000}">
      <text>
        <r>
          <rPr>
            <sz val="10"/>
            <color rgb="FF000000"/>
            <rFont val="Tahoma"/>
            <family val="2"/>
          </rPr>
          <t xml:space="preserve">Group Responding:  Non Verbal (No Instruction Given)
</t>
        </r>
      </text>
    </comment>
    <comment ref="E145" authorId="0" shapeId="0" xr:uid="{00000000-0006-0000-0100-000014000000}">
      <text>
        <r>
          <rPr>
            <sz val="10"/>
            <color rgb="FF000000"/>
            <rFont val="Tahoma"/>
            <family val="2"/>
          </rPr>
          <t xml:space="preserve">Adult Individual Instructions
</t>
        </r>
      </text>
    </comment>
    <comment ref="F145" authorId="0" shapeId="0" xr:uid="{00000000-0006-0000-0100-000015000000}">
      <text>
        <r>
          <rPr>
            <sz val="10"/>
            <color rgb="FF000000"/>
            <rFont val="Tahoma"/>
            <family val="2"/>
          </rPr>
          <t xml:space="preserve">Adult Group Instructions
</t>
        </r>
      </text>
    </comment>
    <comment ref="G145" authorId="0" shapeId="0" xr:uid="{00000000-0006-0000-0100-000016000000}">
      <text>
        <r>
          <rPr>
            <sz val="10"/>
            <color rgb="FF000000"/>
            <rFont val="Tahoma"/>
            <family val="2"/>
          </rPr>
          <t xml:space="preserve">Responds to Peer Instruction or Question
</t>
        </r>
      </text>
    </comment>
    <comment ref="H145" authorId="0" shapeId="0" xr:uid="{00000000-0006-0000-0100-000017000000}">
      <text>
        <r>
          <rPr>
            <sz val="10"/>
            <color rgb="FF000000"/>
            <rFont val="Tahoma"/>
            <family val="2"/>
          </rPr>
          <t xml:space="preserve">Attempts to Engage Peer
</t>
        </r>
      </text>
    </comment>
    <comment ref="I145" authorId="0" shapeId="0" xr:uid="{00000000-0006-0000-0100-000018000000}">
      <text>
        <r>
          <rPr>
            <sz val="10"/>
            <color rgb="FF000000"/>
            <rFont val="Tahoma"/>
            <family val="2"/>
          </rPr>
          <t xml:space="preserve">Successful Transitions
</t>
        </r>
      </text>
    </comment>
    <comment ref="B162" authorId="0" shapeId="0" xr:uid="{00000000-0006-0000-0100-000019000000}">
      <text>
        <r>
          <rPr>
            <sz val="10"/>
            <color rgb="FF000000"/>
            <rFont val="Tahoma"/>
            <family val="2"/>
          </rPr>
          <t xml:space="preserve">Successful Transitions
</t>
        </r>
      </text>
    </comment>
    <comment ref="C162" authorId="0" shapeId="0" xr:uid="{00000000-0006-0000-0100-00001A000000}">
      <text>
        <r>
          <rPr>
            <sz val="10"/>
            <color rgb="FF000000"/>
            <rFont val="Tahoma"/>
            <family val="2"/>
          </rPr>
          <t xml:space="preserve">Imitates Peer (Verbal/Non-Verbal)
</t>
        </r>
      </text>
    </comment>
    <comment ref="D162" authorId="0" shapeId="0" xr:uid="{00000000-0006-0000-0100-00001B000000}">
      <text>
        <r>
          <rPr>
            <sz val="10"/>
            <color rgb="FF000000"/>
            <rFont val="Tahoma"/>
            <family val="2"/>
          </rPr>
          <t xml:space="preserve">Responds to Peer Statement
</t>
        </r>
      </text>
    </comment>
    <comment ref="E162" authorId="0" shapeId="0" xr:uid="{00000000-0006-0000-0100-00001C000000}">
      <text>
        <r>
          <rPr>
            <sz val="10"/>
            <color rgb="FF000000"/>
            <rFont val="Tahoma"/>
            <family val="2"/>
          </rPr>
          <t xml:space="preserve">Answers Peer Question
</t>
        </r>
      </text>
    </comment>
    <comment ref="F162" authorId="0" shapeId="0" xr:uid="{00000000-0006-0000-0100-00001D000000}">
      <text>
        <r>
          <rPr>
            <sz val="10"/>
            <color rgb="FF000000"/>
            <rFont val="Tahoma"/>
            <family val="2"/>
          </rPr>
          <t xml:space="preserve">Initiates Statement to Peer
</t>
        </r>
      </text>
    </comment>
    <comment ref="G162" authorId="0" shapeId="0" xr:uid="{00000000-0006-0000-0100-00001E000000}">
      <text>
        <r>
          <rPr>
            <sz val="10"/>
            <color rgb="FF000000"/>
            <rFont val="Tahoma"/>
            <family val="2"/>
          </rPr>
          <t xml:space="preserve">Asks Peer a Question
</t>
        </r>
      </text>
    </comment>
  </commentList>
</comments>
</file>

<file path=xl/sharedStrings.xml><?xml version="1.0" encoding="utf-8"?>
<sst xmlns="http://schemas.openxmlformats.org/spreadsheetml/2006/main" count="115544" uniqueCount="413">
  <si>
    <t>ClientName</t>
  </si>
  <si>
    <t>AppointmentStartTime</t>
  </si>
  <si>
    <t>SessionNumber</t>
  </si>
  <si>
    <t>ObserverName</t>
  </si>
  <si>
    <t>ProgramName</t>
  </si>
  <si>
    <t>TargetName</t>
  </si>
  <si>
    <t>DataCaptureTypeName</t>
  </si>
  <si>
    <t>StartingPhaseName</t>
  </si>
  <si>
    <t>StartingPhaseAbbreviation</t>
  </si>
  <si>
    <t>StartingPromptLevelName</t>
  </si>
  <si>
    <t>StartingPromptLevelAbbreviation</t>
  </si>
  <si>
    <t>DesiredPromptLevelName</t>
  </si>
  <si>
    <t>DesiredPromptLevelAbbreviation</t>
  </si>
  <si>
    <t>EndingPhaseName</t>
  </si>
  <si>
    <t>EndingPhaseAbbreviation</t>
  </si>
  <si>
    <t>EndingPromptLevelName</t>
  </si>
  <si>
    <t>EndingPromptLevelAbbreviation</t>
  </si>
  <si>
    <t>TrialSetStartTime</t>
  </si>
  <si>
    <t>TrialSetLastUpdateTime</t>
  </si>
  <si>
    <t>SuccessCount</t>
  </si>
  <si>
    <t>TrialCount</t>
  </si>
  <si>
    <t>SuccessPercentage</t>
  </si>
  <si>
    <t>PromptingTotal</t>
  </si>
  <si>
    <t>PromptingDetails</t>
  </si>
  <si>
    <t>**Conversation Basic: 01. Reciprocate Non Vocal Greetings</t>
  </si>
  <si>
    <t>Bye/Good bye/ See ya</t>
  </si>
  <si>
    <t>Discrete – 10 Trial w/Note</t>
  </si>
  <si>
    <t>Sublevel 1</t>
  </si>
  <si>
    <t>SBL1</t>
  </si>
  <si>
    <t>Independent</t>
  </si>
  <si>
    <t>IND</t>
  </si>
  <si>
    <t>?</t>
  </si>
  <si>
    <t>**Functional Communication: 02.  Pointing (at least 5 trials per hour)</t>
  </si>
  <si>
    <t>01.  Holding Desired vs. Undesired</t>
  </si>
  <si>
    <t>Sublevel 2</t>
  </si>
  <si>
    <t>SBL2</t>
  </si>
  <si>
    <t>Sublevel</t>
  </si>
  <si>
    <t>SUBL</t>
  </si>
  <si>
    <t>*Non Verbal Imitation: 01. Large/Gross Motor</t>
  </si>
  <si>
    <t>01. Clap</t>
  </si>
  <si>
    <t>02. Tap Table</t>
  </si>
  <si>
    <t>Phase 1 MT</t>
  </si>
  <si>
    <t>P1MT</t>
  </si>
  <si>
    <t>No</t>
  </si>
  <si>
    <t>NO</t>
  </si>
  <si>
    <t>GES</t>
  </si>
  <si>
    <t>TAP</t>
  </si>
  <si>
    <t>FP</t>
  </si>
  <si>
    <t>*Read CSI*</t>
  </si>
  <si>
    <t>Made TNA Notes Summary</t>
  </si>
  <si>
    <t>Backward Chaining – 1 Trial</t>
  </si>
  <si>
    <t>Opportunity Data</t>
  </si>
  <si>
    <t>OPP</t>
  </si>
  <si>
    <t>Yes</t>
  </si>
  <si>
    <t>YES</t>
  </si>
  <si>
    <t>READ  CSI on DRIVE</t>
  </si>
  <si>
    <t>READ Monthly Report on DRIVE</t>
  </si>
  <si>
    <t>Developmental Toys: 03. Peg Board</t>
  </si>
  <si>
    <t>Easy Peg Board (Large Pegs/Hard Plastic Base)</t>
  </si>
  <si>
    <t>Step 7</t>
  </si>
  <si>
    <t>STP7</t>
  </si>
  <si>
    <t>MOD</t>
  </si>
  <si>
    <t>Developmental Toys: 04. Pop Beads</t>
  </si>
  <si>
    <t>Pulling Apart</t>
  </si>
  <si>
    <t>Step 2</t>
  </si>
  <si>
    <t>STP2</t>
  </si>
  <si>
    <t>Developmental Toys: 05. Ring Stacker</t>
  </si>
  <si>
    <t>Ring Stacker (5 Rings)</t>
  </si>
  <si>
    <t>Step 6</t>
  </si>
  <si>
    <t>STP6</t>
  </si>
  <si>
    <t>Drawing: 01.  Discriminating Pen Movements</t>
  </si>
  <si>
    <t>15-18 months:  Scribbling/Holding Pen</t>
  </si>
  <si>
    <t>Labels Receptive: 01. Receptive Body Parts Self</t>
  </si>
  <si>
    <t>01. Head</t>
  </si>
  <si>
    <t>02. Tummy</t>
  </si>
  <si>
    <t>Labels Receptive: 02.  Receptive 3D Objects</t>
  </si>
  <si>
    <t>02. Phone</t>
  </si>
  <si>
    <t>Matching: 01.  Identical 3D Objects</t>
  </si>
  <si>
    <t>Lady Bug</t>
  </si>
  <si>
    <t>Phase 1 RR</t>
  </si>
  <si>
    <t>P1RR</t>
  </si>
  <si>
    <t>POS</t>
  </si>
  <si>
    <t>Pink Monster</t>
  </si>
  <si>
    <t>Verbal Imitation: 01. Oral Motor/Verbal Imitation</t>
  </si>
  <si>
    <t>"Ah"</t>
  </si>
  <si>
    <t>Verbal Imitation</t>
  </si>
  <si>
    <t>VIM</t>
  </si>
  <si>
    <t>"Buh"</t>
  </si>
  <si>
    <t>"Muh"</t>
  </si>
  <si>
    <t>"O"</t>
  </si>
  <si>
    <t>Verbal Imitation: 05. Imitating Chains</t>
  </si>
  <si>
    <t>Dada</t>
  </si>
  <si>
    <t>Mama</t>
  </si>
  <si>
    <t>*Non Verbal Imitation: 02. Object Manipulation</t>
  </si>
  <si>
    <t>01. One Step: Pound Hammer (over exaggerate pounding)</t>
  </si>
  <si>
    <t>Motor Skills: Gross Motor/Ball Skills (0-3 Years)</t>
  </si>
  <si>
    <t>18-21: Kicks Ball at least 2 Feet</t>
  </si>
  <si>
    <t>Play Basic: 1.0 Social Interaction Games Attend</t>
  </si>
  <si>
    <t>Fake Sneeze</t>
  </si>
  <si>
    <t>Monthly Maintenance</t>
  </si>
  <si>
    <t>MMT</t>
  </si>
  <si>
    <t>Sweep to Chest</t>
  </si>
  <si>
    <t>S2CT</t>
  </si>
  <si>
    <t>Spaghetti arms</t>
  </si>
  <si>
    <t>Spider Splat</t>
  </si>
  <si>
    <t>Tickles</t>
  </si>
  <si>
    <t>Receptive Instructions: 01. Instruction with Contextual Cue</t>
  </si>
  <si>
    <t>08. Put It Away</t>
  </si>
  <si>
    <t>Weekly Maintenance</t>
  </si>
  <si>
    <t>WMT</t>
  </si>
  <si>
    <t>Ran Tolerance (dry) Toothbrushing</t>
  </si>
  <si>
    <t>Non Verbal Imitation: 05. Fine Motor</t>
  </si>
  <si>
    <t>01. Point</t>
  </si>
  <si>
    <t>PP</t>
  </si>
  <si>
    <t>Circle Time I:  01.  Songs:  Attending</t>
  </si>
  <si>
    <t>15  Seconds</t>
  </si>
  <si>
    <t>Mastered</t>
  </si>
  <si>
    <t>MST</t>
  </si>
  <si>
    <t>Circle Time I: 04.  Stories:  Attending to Stories</t>
  </si>
  <si>
    <t>01.  15 seconds</t>
  </si>
  <si>
    <t>Developmental Toys: 08. Stringing Beads</t>
  </si>
  <si>
    <t>1.  Large Beads on a Dowel</t>
  </si>
  <si>
    <t>Eye Contact: 01.  Eye Contact (In Response to Change in the Environment)</t>
  </si>
  <si>
    <t>Response to Removal of Reinforcer</t>
  </si>
  <si>
    <t>Joint Attention I: 01.  Gaze to Location of Environmental/Contrived Sound</t>
  </si>
  <si>
    <t>02.  Above child (e.g., on ceiling or shelf)</t>
  </si>
  <si>
    <t>03. High Five</t>
  </si>
  <si>
    <t>Verbal Imitation: 01. Oral Motor Imitation</t>
  </si>
  <si>
    <t>Flap Lips (Raspberries)</t>
  </si>
  <si>
    <t>Tongue Out</t>
  </si>
  <si>
    <t>**PECS:  Phase 2:  Expanding Spontaneity</t>
  </si>
  <si>
    <t>PHASE 2 PARENT</t>
  </si>
  <si>
    <t>Step 3</t>
  </si>
  <si>
    <t>STP3</t>
  </si>
  <si>
    <t>Play Basic: 1.1 Social Interaction Games Anticipate/Reciprocate</t>
  </si>
  <si>
    <t>02. Peek a Boo</t>
  </si>
  <si>
    <t>03. Row-Row Your Boat</t>
  </si>
  <si>
    <t>04. Spaghetti Arms</t>
  </si>
  <si>
    <t>05. Spider Splat</t>
  </si>
  <si>
    <t>06. Tickles</t>
  </si>
  <si>
    <t>Ah Position (open mouth like aw w/ no sound)</t>
  </si>
  <si>
    <t>Click-Click Sound</t>
  </si>
  <si>
    <t>F/V Position (bite lower lip like f or v w/ no sound)</t>
  </si>
  <si>
    <t>O Position (open mouth make O)</t>
  </si>
  <si>
    <t>Yellow Crayons</t>
  </si>
  <si>
    <t>01. Fake Sneeze</t>
  </si>
  <si>
    <t>02. Give It To Me</t>
  </si>
  <si>
    <t>30 Seconds</t>
  </si>
  <si>
    <t>Developmental Toys: 02. Nest Cups</t>
  </si>
  <si>
    <t>Easy Nest Cups (4)</t>
  </si>
  <si>
    <t>Eye Contact: 02.  Eye Contact When Specifically Addressed</t>
  </si>
  <si>
    <t>01.  1 second without distractors</t>
  </si>
  <si>
    <t>10. Touch Ears</t>
  </si>
  <si>
    <t>45  Seconds</t>
  </si>
  <si>
    <t>02.  2 seconds without distractors</t>
  </si>
  <si>
    <t>Priming</t>
  </si>
  <si>
    <t>PRM</t>
  </si>
  <si>
    <t>Sweep to Nose</t>
  </si>
  <si>
    <t>S2N</t>
  </si>
  <si>
    <t>01. In front of child at a distance</t>
  </si>
  <si>
    <t>Pretend Play:  03.  Symbolic Pretend</t>
  </si>
  <si>
    <t>Block: car</t>
  </si>
  <si>
    <t>Full Physical</t>
  </si>
  <si>
    <t>Puzzles</t>
  </si>
  <si>
    <t>01.  Large Pegs, Matching Pictures Underneath (Shapes)</t>
  </si>
  <si>
    <t>Step 4</t>
  </si>
  <si>
    <t>STP4</t>
  </si>
  <si>
    <t>Unprompted Play Type Observation: 5 Minute/15 Second Play Observation</t>
  </si>
  <si>
    <t>Unprompted Independent Play Observation</t>
  </si>
  <si>
    <t>Discrete - 20 Trial - Interval 15 sec 5 min w/Note</t>
  </si>
  <si>
    <t>Momentary Time Sampling</t>
  </si>
  <si>
    <t>MTS</t>
  </si>
  <si>
    <t>Repetitive Actions</t>
  </si>
  <si>
    <t>REP</t>
  </si>
  <si>
    <t>OTHR</t>
  </si>
  <si>
    <t>FXL</t>
  </si>
  <si>
    <t>EXP</t>
  </si>
  <si>
    <t>NULL</t>
  </si>
  <si>
    <t>Play Basic: 1.2 Social Interaction Games Initiates</t>
  </si>
  <si>
    <t>02. Funny Glasses</t>
  </si>
  <si>
    <t>Block Design: 01. Build a Tower</t>
  </si>
  <si>
    <t>02. 4 Block Tower</t>
  </si>
  <si>
    <t>05.  Any location (more naturalized setting)</t>
  </si>
  <si>
    <t>PRT</t>
  </si>
  <si>
    <t>03. Drop block in bucket</t>
  </si>
  <si>
    <t>Step 1</t>
  </si>
  <si>
    <t>STP1</t>
  </si>
  <si>
    <t>21-24: Throws 8 Inch Ball to an Adult who is 5 Feet Away</t>
  </si>
  <si>
    <t>Phase 2</t>
  </si>
  <si>
    <t>P2</t>
  </si>
  <si>
    <t>03. Book</t>
  </si>
  <si>
    <t>(CA ONLY) Caregiver and Family Education and Participation Goals</t>
  </si>
  <si>
    <t>7.1 Contrive opportunity for communication (6 per day is target)</t>
  </si>
  <si>
    <t>7.2 Model pretend play (15 minutes daily)</t>
  </si>
  <si>
    <t>7.3 Model and prompt vocal language</t>
  </si>
  <si>
    <t>*Feeding/Eating: 02.  Holds and Drinks From a Cup</t>
  </si>
  <si>
    <t>01.  Places Both Hands Around Cup</t>
  </si>
  <si>
    <t>Backward Chaining – 5 Trial w/Note</t>
  </si>
  <si>
    <t>Prompt</t>
  </si>
  <si>
    <t>02.  Lifts Cup to Mouth</t>
  </si>
  <si>
    <t>Phase 3</t>
  </si>
  <si>
    <t>P3</t>
  </si>
  <si>
    <t>02. Shake Maraca</t>
  </si>
  <si>
    <t>01. 3 Block Tower</t>
  </si>
  <si>
    <t>01. Cup</t>
  </si>
  <si>
    <t>04. Sit Down</t>
  </si>
  <si>
    <t>06. Come Here</t>
  </si>
  <si>
    <t>PHASE 2 BT</t>
  </si>
  <si>
    <t>5 Minute Language Sample</t>
  </si>
  <si>
    <t>Articulation Scale</t>
  </si>
  <si>
    <t>Articulation Level 1</t>
  </si>
  <si>
    <t>ART1</t>
  </si>
  <si>
    <t>Babbled</t>
  </si>
  <si>
    <t>BABB</t>
  </si>
  <si>
    <t>Vocalization Type</t>
  </si>
  <si>
    <t>SPON</t>
  </si>
  <si>
    <t>Hi/Hello/Hey</t>
  </si>
  <si>
    <t>Gesture</t>
  </si>
  <si>
    <t>PECS:  Phase 1:  Physical Exchange</t>
  </si>
  <si>
    <t>PHASE 1 BT</t>
  </si>
  <si>
    <t>Model</t>
  </si>
  <si>
    <t>Yellow Monster</t>
  </si>
  <si>
    <t>*Grooming: Washes and Dries Hands</t>
  </si>
  <si>
    <t>01. Turn on faucet</t>
  </si>
  <si>
    <t>02. Place soap on hands</t>
  </si>
  <si>
    <t>03. Rub hands together</t>
  </si>
  <si>
    <t>04. Rinse soap off hands</t>
  </si>
  <si>
    <t>05. Turn off faucet</t>
  </si>
  <si>
    <t>06. Dry hands</t>
  </si>
  <si>
    <t>Toucan (black bird)</t>
  </si>
  <si>
    <t>Patty Cake</t>
  </si>
  <si>
    <t>Peek a Boo</t>
  </si>
  <si>
    <t>01.  Large Pegs, Matching Pictures Underneath (Sea Animals)</t>
  </si>
  <si>
    <t>03.  Tilts Spoon Towards Self</t>
  </si>
  <si>
    <t>04.  Pours Liquid into Mouth</t>
  </si>
  <si>
    <t>05.  Swallows</t>
  </si>
  <si>
    <t>06.  Bring Cup Back to Table</t>
  </si>
  <si>
    <t>TOOK ABC DATA (crying and aggression towards self)</t>
  </si>
  <si>
    <t>01. Give Me Five</t>
  </si>
  <si>
    <t>*Feeding/Eating: 03.  Using Spooning:</t>
  </si>
  <si>
    <t>01.  Picks Up Spoon From Table</t>
  </si>
  <si>
    <t>02.  Moves Spoon Over to Bowl</t>
  </si>
  <si>
    <t>04.  Lowers Spoon into Food with Edge Leading</t>
  </si>
  <si>
    <t>05.  Scoops Food/Liquid onto Spoon by Twisting Wrist to Make Spoon Parallel to Bowl</t>
  </si>
  <si>
    <t>06.  Brings Spoon with Food/Liquid to Mouth</t>
  </si>
  <si>
    <t>07.  Places Spoon to Mouth</t>
  </si>
  <si>
    <t>08.  Closes Mouth Around Spoon</t>
  </si>
  <si>
    <t>09.  Pulls Spoon Out of Mouth</t>
  </si>
  <si>
    <t>Dressing: 24-36 months:  Puts on Pants/Shorts W/ Assistance</t>
  </si>
  <si>
    <t>03.  Pull pants/shorts Up w/ assistance</t>
  </si>
  <si>
    <t>03.  1 second while playing at table with moderately desired item</t>
  </si>
  <si>
    <t>03.  Below child (e.g., on floor)</t>
  </si>
  <si>
    <t>04.  Right peripheral</t>
  </si>
  <si>
    <t>Rolls Ball Back and Forth with an Adult (1 back and forth exchange)</t>
  </si>
  <si>
    <t>S2CN</t>
  </si>
  <si>
    <t>01.  Put Right Leg in w/ assistance</t>
  </si>
  <si>
    <t>02.  Put Left Leg in w/ assistance</t>
  </si>
  <si>
    <t/>
  </si>
  <si>
    <t>Quarter 1 Ends:</t>
  </si>
  <si>
    <t>Quarter 2 Ends:</t>
  </si>
  <si>
    <t>Quarter 3 Ends:</t>
  </si>
  <si>
    <t>Quarter 4 Ends:</t>
  </si>
  <si>
    <t>Today:</t>
  </si>
  <si>
    <t>Workdays Remaining:</t>
  </si>
  <si>
    <t>Five Minute Language Sample</t>
  </si>
  <si>
    <t>Types of Vocalizations Produced</t>
  </si>
  <si>
    <t>Babbles</t>
  </si>
  <si>
    <t>Imitate</t>
  </si>
  <si>
    <t>Spontaneous</t>
  </si>
  <si>
    <t>Response</t>
  </si>
  <si>
    <t>Baseline</t>
  </si>
  <si>
    <t>Q1</t>
  </si>
  <si>
    <t>Q2</t>
  </si>
  <si>
    <t>Q3</t>
  </si>
  <si>
    <t>Q4</t>
  </si>
  <si>
    <t>Quality of Vocalizations Produced</t>
  </si>
  <si>
    <t>Unprompted Play Observation: 5 min/15 sec</t>
  </si>
  <si>
    <t>Repetitive</t>
  </si>
  <si>
    <t>Exploratory</t>
  </si>
  <si>
    <t>Functional</t>
  </si>
  <si>
    <t>Pretend</t>
  </si>
  <si>
    <t>Other</t>
  </si>
  <si>
    <t>Unprompted Play Observation: 10 min/30 sec</t>
  </si>
  <si>
    <t>Facilitated Social Sessions</t>
  </si>
  <si>
    <t>FSS -Participation</t>
  </si>
  <si>
    <t>Greetings:  Reciprocates</t>
  </si>
  <si>
    <t>Greetings:  Initiates</t>
  </si>
  <si>
    <t>Answers Questions From a Peer</t>
  </si>
  <si>
    <t>Responds to Peer Statements</t>
  </si>
  <si>
    <t>Initiates Statements</t>
  </si>
  <si>
    <t>Asks Peer Questions</t>
  </si>
  <si>
    <t>Imitates Peer Actions</t>
  </si>
  <si>
    <t>Takes Turn With Toy/Activity</t>
  </si>
  <si>
    <t>FSS - Play Observations: 10 Min/30 Sec Interval</t>
  </si>
  <si>
    <t>Solitary</t>
  </si>
  <si>
    <t>Parallel</t>
  </si>
  <si>
    <t>Associative</t>
  </si>
  <si>
    <t>Cooperative</t>
  </si>
  <si>
    <t>Reciprocal</t>
  </si>
  <si>
    <t>FSS - Play Observations: 5 Min/15 Sec Interval</t>
  </si>
  <si>
    <t>School</t>
  </si>
  <si>
    <t>School Participation - Circle Time</t>
  </si>
  <si>
    <t>Conditional Instructions</t>
  </si>
  <si>
    <t>Verbal Group Responding</t>
  </si>
  <si>
    <t>Non-Verbal Group Responding</t>
  </si>
  <si>
    <t>Individual Instructions</t>
  </si>
  <si>
    <t>Group Instructions</t>
  </si>
  <si>
    <t>Respond to Peer Instructions or Questions</t>
  </si>
  <si>
    <t>Attempts to Engage Peer</t>
  </si>
  <si>
    <t>Transitions</t>
  </si>
  <si>
    <t>School Participation - Centers</t>
  </si>
  <si>
    <t>School Free Time/Play Time</t>
  </si>
  <si>
    <t>Imitates Peer (Verbal/Nonverbal)</t>
  </si>
  <si>
    <t>Responds to Peer Statement</t>
  </si>
  <si>
    <t>Answers Peer Question</t>
  </si>
  <si>
    <t>Initiates Statement to Peer</t>
  </si>
  <si>
    <t>Asks Peer a Question</t>
  </si>
  <si>
    <t>School Play Observation: 10 min/30 sec</t>
  </si>
  <si>
    <t>School Play Observation: 5 min/15 sec</t>
  </si>
  <si>
    <t>Chart Generator</t>
  </si>
  <si>
    <t>Find Average Percent of Opportunities</t>
  </si>
  <si>
    <t>Enter Target</t>
  </si>
  <si>
    <t>Find Average Frequency Count</t>
  </si>
  <si>
    <t>Q1 Freq</t>
  </si>
  <si>
    <t>Q1 Obs</t>
  </si>
  <si>
    <t>Q2 Freq</t>
  </si>
  <si>
    <t>Q2 Obs</t>
  </si>
  <si>
    <t>Q3 Freq</t>
  </si>
  <si>
    <t>Q3 Obs</t>
  </si>
  <si>
    <t>Q4 Freq</t>
  </si>
  <si>
    <t>Q4 Obs</t>
  </si>
  <si>
    <t>Frequency of Occurance and Number of Observations Per Quarter:</t>
  </si>
  <si>
    <t>Average Frequency Per Observation Per Quarter:</t>
  </si>
  <si>
    <t>Period Covered      From:</t>
  </si>
  <si>
    <t>Total Numer of Sessions:</t>
  </si>
  <si>
    <t>Total Number of Trials:</t>
  </si>
  <si>
    <t>Number of Programs:</t>
  </si>
  <si>
    <t>Number of Targets:</t>
  </si>
  <si>
    <t>Quick-Access Graph Links:</t>
  </si>
  <si>
    <t>Five Minute Language Sample: Types of Vocalizations Produced</t>
  </si>
  <si>
    <t>Five Minute Language Sample: Quality of Vocalizations Produced</t>
  </si>
  <si>
    <t>Facilitated Social Sessions: Participation</t>
  </si>
  <si>
    <t>Facilitated Social Sessions: Play Observation: 10 min/30 sec</t>
  </si>
  <si>
    <t>Facilitated Social Sessions: Play Observation: 5 min/15 sec</t>
  </si>
  <si>
    <t>School: Participation: Circle Time</t>
  </si>
  <si>
    <t>School: Participation: Centers</t>
  </si>
  <si>
    <t>School: Free Time/Play Time</t>
  </si>
  <si>
    <t>School: Play Observation: 10 min/30 sec</t>
  </si>
  <si>
    <t>School: Play Observation: 5 min/15 sec</t>
  </si>
  <si>
    <t># of BT's:</t>
  </si>
  <si>
    <t>BT</t>
  </si>
  <si>
    <t>Trials</t>
  </si>
  <si>
    <t>%</t>
  </si>
  <si>
    <t>Phase</t>
  </si>
  <si>
    <t>Count</t>
  </si>
  <si>
    <t>Program:</t>
  </si>
  <si>
    <t>Target:</t>
  </si>
  <si>
    <t>Date Last Ran:</t>
  </si>
  <si>
    <t>Row</t>
  </si>
  <si>
    <t>To:</t>
  </si>
  <si>
    <t>Behavior Techs by %</t>
  </si>
  <si>
    <t>Programs by Phase</t>
  </si>
  <si>
    <t>Steps</t>
  </si>
  <si>
    <t>Time Sample</t>
  </si>
  <si>
    <t>Maintenance</t>
  </si>
  <si>
    <t>-</t>
  </si>
  <si>
    <t># of Five Minute Language Samples</t>
  </si>
  <si>
    <t># of Facilitated Social Sessions</t>
  </si>
  <si>
    <t># of Unprompted Play Observations</t>
  </si>
  <si>
    <t>Sample/Observation</t>
  </si>
  <si>
    <t>TTC</t>
  </si>
  <si>
    <t>Home</t>
  </si>
  <si>
    <t>Overdue Targets Flagged After:</t>
  </si>
  <si>
    <t>Oppoturnity Data</t>
  </si>
  <si>
    <t>Times Samples</t>
  </si>
  <si>
    <t>7 Days</t>
  </si>
  <si>
    <t>14 Days</t>
  </si>
  <si>
    <t>30 Days</t>
  </si>
  <si>
    <t>TTC Average Per Phase:</t>
  </si>
  <si>
    <t>Weekly Maintnenace</t>
  </si>
  <si>
    <t>Legend</t>
  </si>
  <si>
    <t>John Doe</t>
  </si>
  <si>
    <t>Example BT 1</t>
  </si>
  <si>
    <t>Example BT 2</t>
  </si>
  <si>
    <t>Example BT 3</t>
  </si>
  <si>
    <t>Example BT 4</t>
  </si>
  <si>
    <t>Example BT 5</t>
  </si>
  <si>
    <t>Example BT 6</t>
  </si>
  <si>
    <t>Example BT 7</t>
  </si>
  <si>
    <t>Example BT 8</t>
  </si>
  <si>
    <t>Example BT 9</t>
  </si>
  <si>
    <t>Example BT 10</t>
  </si>
  <si>
    <t>Example BT 11</t>
  </si>
  <si>
    <t>Example BT 12</t>
  </si>
  <si>
    <t>Example BT 13</t>
  </si>
  <si>
    <t>Example BT 14</t>
  </si>
  <si>
    <t>Example BT 15</t>
  </si>
  <si>
    <t>Example BT 16</t>
  </si>
  <si>
    <t>Example BT 17</t>
  </si>
  <si>
    <t>Example BT 18</t>
  </si>
  <si>
    <t>Example BT 19</t>
  </si>
  <si>
    <t>Example BT 20</t>
  </si>
  <si>
    <t>Example BT 21</t>
  </si>
  <si>
    <t>Example BT 22</t>
  </si>
  <si>
    <t>Example BT 23</t>
  </si>
  <si>
    <t>Example BT 24</t>
  </si>
  <si>
    <t>Example BT 25</t>
  </si>
  <si>
    <t>Example BT 26</t>
  </si>
  <si>
    <t>Example BT 27</t>
  </si>
  <si>
    <t>Example BT 28</t>
  </si>
  <si>
    <t>Example BT 29</t>
  </si>
  <si>
    <t>Example BT 30</t>
  </si>
  <si>
    <t>Example BT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</si>
</sst>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d/yy;@"/>
    <numFmt numFmtId="165" formatCode="0.0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Tahoma"/>
      <family val="2"/>
    </font>
    <font>
      <b/>
      <u/>
      <sz val="14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i/>
      <u/>
      <sz val="20"/>
      <color rgb="FFF5B83D"/>
      <name val="Calibri"/>
      <family val="2"/>
      <scheme val="minor"/>
    </font>
    <font>
      <sz val="12"/>
      <color rgb="FFF5B83D"/>
      <name val="Calibri"/>
      <family val="2"/>
      <scheme val="minor"/>
    </font>
    <font>
      <b/>
      <u/>
      <sz val="12"/>
      <color rgb="FFF5B83D"/>
      <name val="Calibri"/>
      <family val="2"/>
      <scheme val="minor"/>
    </font>
    <font>
      <b/>
      <i/>
      <u/>
      <sz val="12"/>
      <color rgb="FFFFC000"/>
      <name val="Calibri"/>
      <family val="2"/>
      <scheme val="minor"/>
    </font>
    <font>
      <b/>
      <u/>
      <sz val="12"/>
      <color rgb="FFFFC000"/>
      <name val="Calibri"/>
      <family val="2"/>
      <scheme val="minor"/>
    </font>
    <font>
      <sz val="12"/>
      <color rgb="FF1E5DAA"/>
      <name val="Calibri"/>
      <family val="2"/>
      <scheme val="minor"/>
    </font>
    <font>
      <b/>
      <i/>
      <u/>
      <sz val="12"/>
      <color rgb="FFF6C03E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u/>
      <sz val="12"/>
      <color rgb="FFFFC100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DFBDA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AE6FE"/>
        <bgColor indexed="64"/>
      </patternFill>
    </fill>
    <fill>
      <patternFill patternType="solid">
        <fgColor rgb="FFFFFEDF"/>
        <bgColor indexed="64"/>
      </patternFill>
    </fill>
    <fill>
      <patternFill patternType="solid">
        <fgColor rgb="FFECF9FF"/>
        <bgColor indexed="64"/>
      </patternFill>
    </fill>
    <fill>
      <patternFill patternType="solid">
        <fgColor rgb="FF1E5DA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/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DashDot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DashDot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mediumDashDot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DashDot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DashDot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DashDot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Dashed">
        <color indexed="64"/>
      </left>
      <right style="medium">
        <color indexed="64"/>
      </right>
      <top style="thick">
        <color indexed="64"/>
      </top>
      <bottom/>
      <diagonal/>
    </border>
    <border>
      <left style="mediumDashed">
        <color indexed="64"/>
      </left>
      <right style="medium">
        <color indexed="64"/>
      </right>
      <top/>
      <bottom/>
      <diagonal/>
    </border>
    <border>
      <left style="mediumDashed">
        <color indexed="64"/>
      </left>
      <right style="medium">
        <color indexed="64"/>
      </right>
      <top/>
      <bottom style="thick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350">
    <xf numFmtId="0" fontId="0" fillId="0" borderId="0" xfId="0"/>
    <xf numFmtId="22" fontId="0" fillId="0" borderId="0" xfId="0" applyNumberFormat="1"/>
    <xf numFmtId="9" fontId="0" fillId="0" borderId="0" xfId="0" applyNumberFormat="1"/>
    <xf numFmtId="14" fontId="0" fillId="0" borderId="0" xfId="0" applyNumberFormat="1"/>
    <xf numFmtId="0" fontId="16" fillId="0" borderId="26" xfId="0" applyFont="1" applyBorder="1"/>
    <xf numFmtId="0" fontId="16" fillId="0" borderId="26" xfId="0" applyFont="1" applyBorder="1" applyAlignment="1">
      <alignment wrapText="1"/>
    </xf>
    <xf numFmtId="14" fontId="0" fillId="0" borderId="28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0" fillId="0" borderId="0" xfId="0" applyBorder="1" applyAlignment="1"/>
    <xf numFmtId="0" fontId="23" fillId="0" borderId="0" xfId="0" applyFont="1"/>
    <xf numFmtId="0" fontId="0" fillId="33" borderId="0" xfId="0" applyFill="1" applyBorder="1"/>
    <xf numFmtId="0" fontId="0" fillId="33" borderId="35" xfId="0" applyFill="1" applyBorder="1"/>
    <xf numFmtId="0" fontId="0" fillId="33" borderId="10" xfId="0" applyFill="1" applyBorder="1"/>
    <xf numFmtId="0" fontId="0" fillId="33" borderId="34" xfId="0" applyFill="1" applyBorder="1"/>
    <xf numFmtId="0" fontId="0" fillId="34" borderId="0" xfId="0" applyFill="1" applyBorder="1"/>
    <xf numFmtId="0" fontId="0" fillId="34" borderId="35" xfId="0" applyFill="1" applyBorder="1"/>
    <xf numFmtId="0" fontId="0" fillId="34" borderId="10" xfId="0" applyFill="1" applyBorder="1"/>
    <xf numFmtId="0" fontId="0" fillId="35" borderId="0" xfId="0" applyFill="1" applyBorder="1"/>
    <xf numFmtId="0" fontId="0" fillId="35" borderId="35" xfId="0" applyFill="1" applyBorder="1"/>
    <xf numFmtId="0" fontId="0" fillId="35" borderId="10" xfId="0" applyFill="1" applyBorder="1"/>
    <xf numFmtId="0" fontId="0" fillId="35" borderId="33" xfId="0" applyFill="1" applyBorder="1"/>
    <xf numFmtId="0" fontId="0" fillId="35" borderId="34" xfId="0" applyFill="1" applyBorder="1"/>
    <xf numFmtId="0" fontId="0" fillId="35" borderId="0" xfId="0" applyFill="1"/>
    <xf numFmtId="0" fontId="0" fillId="35" borderId="0" xfId="0" applyFill="1" applyBorder="1" applyAlignment="1"/>
    <xf numFmtId="0" fontId="0" fillId="35" borderId="36" xfId="0" applyFill="1" applyBorder="1"/>
    <xf numFmtId="0" fontId="0" fillId="35" borderId="35" xfId="0" applyFill="1" applyBorder="1" applyAlignment="1"/>
    <xf numFmtId="0" fontId="0" fillId="35" borderId="10" xfId="0" applyFill="1" applyBorder="1" applyAlignment="1"/>
    <xf numFmtId="0" fontId="0" fillId="35" borderId="16" xfId="0" applyFill="1" applyBorder="1" applyAlignment="1"/>
    <xf numFmtId="0" fontId="0" fillId="35" borderId="17" xfId="0" applyFill="1" applyBorder="1" applyAlignment="1"/>
    <xf numFmtId="0" fontId="0" fillId="35" borderId="22" xfId="0" applyFill="1" applyBorder="1" applyAlignment="1"/>
    <xf numFmtId="0" fontId="0" fillId="36" borderId="0" xfId="0" applyFill="1" applyBorder="1"/>
    <xf numFmtId="0" fontId="0" fillId="36" borderId="35" xfId="0" applyFill="1" applyBorder="1"/>
    <xf numFmtId="0" fontId="0" fillId="36" borderId="0" xfId="0" applyFill="1" applyBorder="1" applyAlignment="1">
      <alignment vertical="center"/>
    </xf>
    <xf numFmtId="0" fontId="0" fillId="36" borderId="34" xfId="0" applyFill="1" applyBorder="1"/>
    <xf numFmtId="0" fontId="0" fillId="36" borderId="36" xfId="0" applyFill="1" applyBorder="1"/>
    <xf numFmtId="0" fontId="0" fillId="37" borderId="0" xfId="0" applyFill="1" applyBorder="1"/>
    <xf numFmtId="0" fontId="0" fillId="37" borderId="35" xfId="0" applyFill="1" applyBorder="1"/>
    <xf numFmtId="0" fontId="0" fillId="37" borderId="10" xfId="0" applyFill="1" applyBorder="1"/>
    <xf numFmtId="0" fontId="0" fillId="37" borderId="16" xfId="0" applyFill="1" applyBorder="1"/>
    <xf numFmtId="0" fontId="0" fillId="37" borderId="17" xfId="0" applyFill="1" applyBorder="1"/>
    <xf numFmtId="0" fontId="0" fillId="37" borderId="22" xfId="0" applyFill="1" applyBorder="1"/>
    <xf numFmtId="0" fontId="22" fillId="37" borderId="10" xfId="0" applyFont="1" applyFill="1" applyBorder="1" applyAlignment="1">
      <alignment horizontal="left"/>
    </xf>
    <xf numFmtId="0" fontId="0" fillId="37" borderId="49" xfId="0" applyFill="1" applyBorder="1"/>
    <xf numFmtId="0" fontId="0" fillId="37" borderId="53" xfId="0" applyFill="1" applyBorder="1"/>
    <xf numFmtId="0" fontId="0" fillId="37" borderId="54" xfId="0" applyFill="1" applyBorder="1"/>
    <xf numFmtId="0" fontId="0" fillId="37" borderId="55" xfId="0" applyFill="1" applyBorder="1"/>
    <xf numFmtId="0" fontId="23" fillId="37" borderId="56" xfId="0" applyFont="1" applyFill="1" applyBorder="1"/>
    <xf numFmtId="0" fontId="23" fillId="37" borderId="57" xfId="0" applyFont="1" applyFill="1" applyBorder="1"/>
    <xf numFmtId="0" fontId="23" fillId="37" borderId="49" xfId="0" applyFont="1" applyFill="1" applyBorder="1"/>
    <xf numFmtId="0" fontId="23" fillId="37" borderId="56" xfId="0" applyFont="1" applyFill="1" applyBorder="1" applyAlignment="1">
      <alignment horizontal="center" vertical="center"/>
    </xf>
    <xf numFmtId="0" fontId="23" fillId="37" borderId="57" xfId="0" applyFont="1" applyFill="1" applyBorder="1" applyAlignment="1">
      <alignment horizontal="center" vertical="center"/>
    </xf>
    <xf numFmtId="0" fontId="0" fillId="36" borderId="49" xfId="0" applyFill="1" applyBorder="1"/>
    <xf numFmtId="0" fontId="0" fillId="36" borderId="50" xfId="0" applyFill="1" applyBorder="1"/>
    <xf numFmtId="0" fontId="0" fillId="36" borderId="53" xfId="0" applyFill="1" applyBorder="1"/>
    <xf numFmtId="0" fontId="0" fillId="36" borderId="54" xfId="0" applyFill="1" applyBorder="1"/>
    <xf numFmtId="0" fontId="0" fillId="36" borderId="55" xfId="0" applyFill="1" applyBorder="1"/>
    <xf numFmtId="0" fontId="0" fillId="36" borderId="56" xfId="0" applyFill="1" applyBorder="1"/>
    <xf numFmtId="0" fontId="0" fillId="36" borderId="57" xfId="0" applyFill="1" applyBorder="1"/>
    <xf numFmtId="0" fontId="0" fillId="35" borderId="49" xfId="0" applyFill="1" applyBorder="1"/>
    <xf numFmtId="0" fontId="0" fillId="35" borderId="50" xfId="0" applyFill="1" applyBorder="1"/>
    <xf numFmtId="0" fontId="0" fillId="35" borderId="53" xfId="0" applyFill="1" applyBorder="1"/>
    <xf numFmtId="0" fontId="0" fillId="35" borderId="54" xfId="0" applyFill="1" applyBorder="1"/>
    <xf numFmtId="0" fontId="0" fillId="35" borderId="55" xfId="0" applyFill="1" applyBorder="1"/>
    <xf numFmtId="0" fontId="0" fillId="35" borderId="56" xfId="0" applyFill="1" applyBorder="1"/>
    <xf numFmtId="0" fontId="0" fillId="35" borderId="57" xfId="0" applyFill="1" applyBorder="1"/>
    <xf numFmtId="0" fontId="0" fillId="34" borderId="49" xfId="0" applyFill="1" applyBorder="1"/>
    <xf numFmtId="0" fontId="0" fillId="34" borderId="50" xfId="0" applyFill="1" applyBorder="1"/>
    <xf numFmtId="0" fontId="0" fillId="34" borderId="53" xfId="0" applyFill="1" applyBorder="1"/>
    <xf numFmtId="0" fontId="0" fillId="34" borderId="54" xfId="0" applyFill="1" applyBorder="1"/>
    <xf numFmtId="0" fontId="0" fillId="34" borderId="55" xfId="0" applyFill="1" applyBorder="1"/>
    <xf numFmtId="0" fontId="0" fillId="34" borderId="56" xfId="0" applyFill="1" applyBorder="1" applyAlignment="1">
      <alignment horizontal="center" vertical="center"/>
    </xf>
    <xf numFmtId="0" fontId="0" fillId="34" borderId="57" xfId="0" applyFill="1" applyBorder="1" applyAlignment="1">
      <alignment horizontal="center" vertical="center"/>
    </xf>
    <xf numFmtId="0" fontId="0" fillId="34" borderId="72" xfId="0" applyFill="1" applyBorder="1"/>
    <xf numFmtId="0" fontId="0" fillId="34" borderId="70" xfId="0" applyFill="1" applyBorder="1" applyAlignment="1">
      <alignment horizontal="center" vertical="center"/>
    </xf>
    <xf numFmtId="0" fontId="0" fillId="34" borderId="71" xfId="0" applyFill="1" applyBorder="1" applyAlignment="1">
      <alignment horizontal="center" vertical="center"/>
    </xf>
    <xf numFmtId="0" fontId="0" fillId="33" borderId="49" xfId="0" applyFill="1" applyBorder="1"/>
    <xf numFmtId="0" fontId="0" fillId="33" borderId="50" xfId="0" applyFill="1" applyBorder="1"/>
    <xf numFmtId="0" fontId="0" fillId="33" borderId="53" xfId="0" applyFill="1" applyBorder="1"/>
    <xf numFmtId="0" fontId="0" fillId="33" borderId="54" xfId="0" applyFill="1" applyBorder="1"/>
    <xf numFmtId="0" fontId="0" fillId="33" borderId="55" xfId="0" applyFill="1" applyBorder="1"/>
    <xf numFmtId="0" fontId="0" fillId="33" borderId="56" xfId="0" applyFill="1" applyBorder="1" applyAlignment="1">
      <alignment horizontal="center" vertical="center"/>
    </xf>
    <xf numFmtId="0" fontId="0" fillId="33" borderId="57" xfId="0" applyFill="1" applyBorder="1" applyAlignment="1">
      <alignment horizontal="center" vertical="center"/>
    </xf>
    <xf numFmtId="0" fontId="0" fillId="33" borderId="70" xfId="0" applyFill="1" applyBorder="1" applyAlignment="1">
      <alignment horizontal="center" vertical="center"/>
    </xf>
    <xf numFmtId="0" fontId="0" fillId="33" borderId="71" xfId="0" applyFill="1" applyBorder="1" applyAlignment="1">
      <alignment horizontal="center" vertical="center"/>
    </xf>
    <xf numFmtId="0" fontId="0" fillId="33" borderId="72" xfId="0" applyFill="1" applyBorder="1"/>
    <xf numFmtId="0" fontId="0" fillId="37" borderId="61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7" borderId="63" xfId="0" applyFill="1" applyBorder="1" applyAlignment="1">
      <alignment horizontal="center"/>
    </xf>
    <xf numFmtId="0" fontId="0" fillId="37" borderId="64" xfId="0" applyFill="1" applyBorder="1" applyAlignment="1">
      <alignment horizontal="center"/>
    </xf>
    <xf numFmtId="0" fontId="0" fillId="37" borderId="65" xfId="0" applyFill="1" applyBorder="1" applyAlignment="1">
      <alignment horizontal="center"/>
    </xf>
    <xf numFmtId="0" fontId="0" fillId="37" borderId="66" xfId="0" applyFill="1" applyBorder="1" applyAlignment="1">
      <alignment horizontal="center"/>
    </xf>
    <xf numFmtId="0" fontId="0" fillId="37" borderId="67" xfId="0" applyFill="1" applyBorder="1" applyAlignment="1">
      <alignment horizontal="center"/>
    </xf>
    <xf numFmtId="0" fontId="0" fillId="37" borderId="68" xfId="0" applyFill="1" applyBorder="1" applyAlignment="1">
      <alignment horizontal="center"/>
    </xf>
    <xf numFmtId="0" fontId="0" fillId="37" borderId="69" xfId="0" applyFill="1" applyBorder="1" applyAlignment="1">
      <alignment horizontal="center"/>
    </xf>
    <xf numFmtId="9" fontId="0" fillId="37" borderId="61" xfId="1" applyFont="1" applyFill="1" applyBorder="1" applyAlignment="1">
      <alignment horizontal="center"/>
    </xf>
    <xf numFmtId="9" fontId="0" fillId="37" borderId="62" xfId="1" applyFont="1" applyFill="1" applyBorder="1" applyAlignment="1">
      <alignment horizontal="center"/>
    </xf>
    <xf numFmtId="9" fontId="0" fillId="37" borderId="63" xfId="1" applyFont="1" applyFill="1" applyBorder="1" applyAlignment="1">
      <alignment horizontal="center"/>
    </xf>
    <xf numFmtId="9" fontId="0" fillId="37" borderId="64" xfId="1" applyFont="1" applyFill="1" applyBorder="1" applyAlignment="1">
      <alignment horizontal="center"/>
    </xf>
    <xf numFmtId="9" fontId="0" fillId="37" borderId="65" xfId="1" applyFont="1" applyFill="1" applyBorder="1" applyAlignment="1">
      <alignment horizontal="center"/>
    </xf>
    <xf numFmtId="9" fontId="0" fillId="37" borderId="66" xfId="1" applyFont="1" applyFill="1" applyBorder="1" applyAlignment="1">
      <alignment horizontal="center"/>
    </xf>
    <xf numFmtId="9" fontId="0" fillId="37" borderId="67" xfId="1" applyFont="1" applyFill="1" applyBorder="1" applyAlignment="1">
      <alignment horizontal="center"/>
    </xf>
    <xf numFmtId="9" fontId="0" fillId="37" borderId="68" xfId="1" applyFont="1" applyFill="1" applyBorder="1" applyAlignment="1">
      <alignment horizontal="center"/>
    </xf>
    <xf numFmtId="9" fontId="0" fillId="37" borderId="69" xfId="1" applyFont="1" applyFill="1" applyBorder="1" applyAlignment="1">
      <alignment horizontal="center"/>
    </xf>
    <xf numFmtId="0" fontId="0" fillId="36" borderId="56" xfId="0" applyFill="1" applyBorder="1" applyAlignment="1">
      <alignment horizontal="center"/>
    </xf>
    <xf numFmtId="0" fontId="0" fillId="36" borderId="57" xfId="0" applyFill="1" applyBorder="1" applyAlignment="1">
      <alignment horizontal="center"/>
    </xf>
    <xf numFmtId="0" fontId="0" fillId="36" borderId="61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6" borderId="63" xfId="0" applyFill="1" applyBorder="1" applyAlignment="1">
      <alignment horizontal="center"/>
    </xf>
    <xf numFmtId="0" fontId="0" fillId="36" borderId="64" xfId="0" applyFill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66" xfId="0" applyFill="1" applyBorder="1" applyAlignment="1">
      <alignment horizontal="center"/>
    </xf>
    <xf numFmtId="0" fontId="0" fillId="36" borderId="67" xfId="0" applyFill="1" applyBorder="1" applyAlignment="1">
      <alignment horizontal="center"/>
    </xf>
    <xf numFmtId="0" fontId="0" fillId="36" borderId="68" xfId="0" applyFill="1" applyBorder="1" applyAlignment="1">
      <alignment horizontal="center"/>
    </xf>
    <xf numFmtId="0" fontId="0" fillId="36" borderId="69" xfId="0" applyFill="1" applyBorder="1" applyAlignment="1">
      <alignment horizontal="center"/>
    </xf>
    <xf numFmtId="0" fontId="0" fillId="36" borderId="70" xfId="0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0" fontId="0" fillId="36" borderId="56" xfId="0" applyFill="1" applyBorder="1" applyAlignment="1"/>
    <xf numFmtId="0" fontId="0" fillId="36" borderId="57" xfId="0" applyFill="1" applyBorder="1" applyAlignment="1"/>
    <xf numFmtId="0" fontId="0" fillId="35" borderId="61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63" xfId="0" applyFill="1" applyBorder="1" applyAlignment="1">
      <alignment horizontal="center"/>
    </xf>
    <xf numFmtId="0" fontId="0" fillId="35" borderId="64" xfId="0" applyFill="1" applyBorder="1" applyAlignment="1">
      <alignment horizontal="center"/>
    </xf>
    <xf numFmtId="0" fontId="0" fillId="35" borderId="65" xfId="0" applyFill="1" applyBorder="1" applyAlignment="1">
      <alignment horizontal="center"/>
    </xf>
    <xf numFmtId="0" fontId="0" fillId="35" borderId="66" xfId="0" applyFill="1" applyBorder="1" applyAlignment="1">
      <alignment horizontal="center"/>
    </xf>
    <xf numFmtId="0" fontId="0" fillId="35" borderId="67" xfId="0" applyFill="1" applyBorder="1" applyAlignment="1">
      <alignment horizontal="center"/>
    </xf>
    <xf numFmtId="0" fontId="0" fillId="35" borderId="68" xfId="0" applyFill="1" applyBorder="1" applyAlignment="1">
      <alignment horizontal="center"/>
    </xf>
    <xf numFmtId="0" fontId="0" fillId="35" borderId="69" xfId="0" applyFill="1" applyBorder="1" applyAlignment="1">
      <alignment horizontal="center"/>
    </xf>
    <xf numFmtId="0" fontId="0" fillId="35" borderId="56" xfId="0" applyFill="1" applyBorder="1" applyAlignment="1">
      <alignment horizontal="center"/>
    </xf>
    <xf numFmtId="0" fontId="0" fillId="35" borderId="57" xfId="0" applyFill="1" applyBorder="1" applyAlignment="1">
      <alignment horizontal="center"/>
    </xf>
    <xf numFmtId="0" fontId="0" fillId="35" borderId="70" xfId="0" applyFill="1" applyBorder="1" applyAlignment="1">
      <alignment horizontal="center"/>
    </xf>
    <xf numFmtId="0" fontId="0" fillId="35" borderId="71" xfId="0" applyFill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62" xfId="0" applyFill="1" applyBorder="1" applyAlignment="1">
      <alignment horizontal="center"/>
    </xf>
    <xf numFmtId="0" fontId="0" fillId="34" borderId="63" xfId="0" applyFill="1" applyBorder="1" applyAlignment="1">
      <alignment horizontal="center"/>
    </xf>
    <xf numFmtId="0" fontId="0" fillId="34" borderId="64" xfId="0" applyFill="1" applyBorder="1" applyAlignment="1">
      <alignment horizontal="center"/>
    </xf>
    <xf numFmtId="0" fontId="0" fillId="34" borderId="65" xfId="0" applyFill="1" applyBorder="1" applyAlignment="1">
      <alignment horizontal="center"/>
    </xf>
    <xf numFmtId="0" fontId="0" fillId="34" borderId="66" xfId="0" applyFill="1" applyBorder="1" applyAlignment="1">
      <alignment horizontal="center"/>
    </xf>
    <xf numFmtId="0" fontId="0" fillId="34" borderId="67" xfId="0" applyFill="1" applyBorder="1" applyAlignment="1">
      <alignment horizontal="center"/>
    </xf>
    <xf numFmtId="0" fontId="0" fillId="34" borderId="68" xfId="0" applyFill="1" applyBorder="1" applyAlignment="1">
      <alignment horizontal="center"/>
    </xf>
    <xf numFmtId="0" fontId="0" fillId="34" borderId="69" xfId="0" applyFill="1" applyBorder="1" applyAlignment="1">
      <alignment horizontal="center"/>
    </xf>
    <xf numFmtId="0" fontId="0" fillId="33" borderId="61" xfId="0" applyFill="1" applyBorder="1" applyAlignment="1">
      <alignment horizontal="center"/>
    </xf>
    <xf numFmtId="0" fontId="0" fillId="33" borderId="62" xfId="0" applyFill="1" applyBorder="1" applyAlignment="1">
      <alignment horizontal="center"/>
    </xf>
    <xf numFmtId="0" fontId="0" fillId="33" borderId="63" xfId="0" applyFill="1" applyBorder="1" applyAlignment="1">
      <alignment horizontal="center"/>
    </xf>
    <xf numFmtId="0" fontId="0" fillId="33" borderId="64" xfId="0" applyFill="1" applyBorder="1" applyAlignment="1">
      <alignment horizontal="center"/>
    </xf>
    <xf numFmtId="0" fontId="0" fillId="33" borderId="65" xfId="0" applyFill="1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0" fillId="33" borderId="67" xfId="0" applyFill="1" applyBorder="1" applyAlignment="1">
      <alignment horizontal="center"/>
    </xf>
    <xf numFmtId="0" fontId="0" fillId="33" borderId="68" xfId="0" applyFill="1" applyBorder="1" applyAlignment="1">
      <alignment horizontal="center"/>
    </xf>
    <xf numFmtId="0" fontId="0" fillId="33" borderId="69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7" borderId="59" xfId="0" applyFill="1" applyBorder="1" applyAlignment="1">
      <alignment horizontal="center"/>
    </xf>
    <xf numFmtId="0" fontId="0" fillId="37" borderId="60" xfId="0" applyFill="1" applyBorder="1" applyAlignment="1">
      <alignment horizontal="center"/>
    </xf>
    <xf numFmtId="0" fontId="0" fillId="37" borderId="73" xfId="0" applyFill="1" applyBorder="1" applyAlignment="1">
      <alignment horizontal="center"/>
    </xf>
    <xf numFmtId="0" fontId="0" fillId="37" borderId="74" xfId="0" applyFill="1" applyBorder="1" applyAlignment="1">
      <alignment horizontal="center"/>
    </xf>
    <xf numFmtId="0" fontId="0" fillId="37" borderId="75" xfId="0" applyFill="1" applyBorder="1" applyAlignment="1">
      <alignment horizontal="center"/>
    </xf>
    <xf numFmtId="0" fontId="0" fillId="37" borderId="76" xfId="0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7" borderId="79" xfId="0" applyFill="1" applyBorder="1" applyAlignment="1">
      <alignment horizontal="center"/>
    </xf>
    <xf numFmtId="0" fontId="0" fillId="37" borderId="80" xfId="0" applyFill="1" applyBorder="1" applyAlignment="1">
      <alignment horizontal="center"/>
    </xf>
    <xf numFmtId="0" fontId="0" fillId="37" borderId="81" xfId="0" applyFill="1" applyBorder="1" applyAlignment="1">
      <alignment horizontal="center"/>
    </xf>
    <xf numFmtId="0" fontId="0" fillId="37" borderId="82" xfId="0" applyFill="1" applyBorder="1" applyAlignment="1">
      <alignment horizontal="center"/>
    </xf>
    <xf numFmtId="0" fontId="0" fillId="37" borderId="83" xfId="0" applyFill="1" applyBorder="1" applyAlignment="1">
      <alignment horizontal="center"/>
    </xf>
    <xf numFmtId="0" fontId="0" fillId="37" borderId="84" xfId="0" applyFill="1" applyBorder="1" applyAlignment="1">
      <alignment horizontal="center"/>
    </xf>
    <xf numFmtId="0" fontId="0" fillId="38" borderId="0" xfId="0" applyFill="1"/>
    <xf numFmtId="0" fontId="0" fillId="38" borderId="0" xfId="0" applyFill="1" applyBorder="1"/>
    <xf numFmtId="0" fontId="0" fillId="38" borderId="12" xfId="0" applyFill="1" applyBorder="1"/>
    <xf numFmtId="0" fontId="0" fillId="38" borderId="17" xfId="0" applyFill="1" applyBorder="1"/>
    <xf numFmtId="0" fontId="0" fillId="38" borderId="21" xfId="0" applyFill="1" applyBorder="1"/>
    <xf numFmtId="0" fontId="0" fillId="38" borderId="35" xfId="0" applyFill="1" applyBorder="1"/>
    <xf numFmtId="0" fontId="0" fillId="38" borderId="22" xfId="0" applyFill="1" applyBorder="1"/>
    <xf numFmtId="0" fontId="16" fillId="38" borderId="0" xfId="0" applyFont="1" applyFill="1"/>
    <xf numFmtId="14" fontId="17" fillId="38" borderId="20" xfId="0" applyNumberFormat="1" applyFont="1" applyFill="1" applyBorder="1"/>
    <xf numFmtId="0" fontId="17" fillId="38" borderId="0" xfId="0" applyFont="1" applyFill="1" applyAlignment="1">
      <alignment horizontal="center" vertical="center"/>
    </xf>
    <xf numFmtId="14" fontId="17" fillId="38" borderId="85" xfId="0" applyNumberFormat="1" applyFont="1" applyFill="1" applyBorder="1"/>
    <xf numFmtId="0" fontId="17" fillId="38" borderId="86" xfId="0" applyFont="1" applyFill="1" applyBorder="1"/>
    <xf numFmtId="0" fontId="17" fillId="38" borderId="87" xfId="0" applyFont="1" applyFill="1" applyBorder="1"/>
    <xf numFmtId="0" fontId="17" fillId="38" borderId="11" xfId="0" applyFont="1" applyFill="1" applyBorder="1"/>
    <xf numFmtId="0" fontId="17" fillId="38" borderId="10" xfId="0" applyFont="1" applyFill="1" applyBorder="1"/>
    <xf numFmtId="0" fontId="17" fillId="38" borderId="16" xfId="0" applyFont="1" applyFill="1" applyBorder="1"/>
    <xf numFmtId="0" fontId="17" fillId="38" borderId="0" xfId="0" applyFont="1" applyFill="1"/>
    <xf numFmtId="0" fontId="26" fillId="38" borderId="11" xfId="0" applyFont="1" applyFill="1" applyBorder="1"/>
    <xf numFmtId="0" fontId="17" fillId="38" borderId="12" xfId="0" applyFont="1" applyFill="1" applyBorder="1"/>
    <xf numFmtId="0" fontId="27" fillId="38" borderId="18" xfId="0" applyFont="1" applyFill="1" applyBorder="1" applyAlignment="1">
      <alignment horizontal="center" vertical="center"/>
    </xf>
    <xf numFmtId="0" fontId="27" fillId="38" borderId="31" xfId="0" applyFont="1" applyFill="1" applyBorder="1" applyAlignment="1">
      <alignment horizontal="center" vertical="center"/>
    </xf>
    <xf numFmtId="0" fontId="27" fillId="38" borderId="32" xfId="0" applyFont="1" applyFill="1" applyBorder="1" applyAlignment="1">
      <alignment horizontal="center" vertical="center"/>
    </xf>
    <xf numFmtId="0" fontId="27" fillId="38" borderId="27" xfId="0" applyFont="1" applyFill="1" applyBorder="1" applyAlignment="1">
      <alignment horizontal="center" vertical="center"/>
    </xf>
    <xf numFmtId="0" fontId="17" fillId="38" borderId="0" xfId="0" applyFont="1" applyFill="1" applyBorder="1"/>
    <xf numFmtId="0" fontId="17" fillId="38" borderId="17" xfId="0" applyFont="1" applyFill="1" applyBorder="1"/>
    <xf numFmtId="0" fontId="27" fillId="38" borderId="23" xfId="0" applyFont="1" applyFill="1" applyBorder="1" applyAlignment="1">
      <alignment horizontal="center" vertical="center"/>
    </xf>
    <xf numFmtId="0" fontId="17" fillId="38" borderId="14" xfId="0" applyFont="1" applyFill="1" applyBorder="1"/>
    <xf numFmtId="9" fontId="17" fillId="38" borderId="21" xfId="1" applyFont="1" applyFill="1" applyBorder="1"/>
    <xf numFmtId="9" fontId="17" fillId="38" borderId="35" xfId="1" applyFont="1" applyFill="1" applyBorder="1"/>
    <xf numFmtId="9" fontId="17" fillId="38" borderId="22" xfId="1" applyFont="1" applyFill="1" applyBorder="1"/>
    <xf numFmtId="0" fontId="29" fillId="38" borderId="12" xfId="0" applyFont="1" applyFill="1" applyBorder="1"/>
    <xf numFmtId="1" fontId="17" fillId="38" borderId="12" xfId="0" applyNumberFormat="1" applyFont="1" applyFill="1" applyBorder="1"/>
    <xf numFmtId="1" fontId="17" fillId="38" borderId="0" xfId="0" applyNumberFormat="1" applyFont="1" applyFill="1" applyBorder="1"/>
    <xf numFmtId="1" fontId="17" fillId="38" borderId="17" xfId="0" applyNumberFormat="1" applyFont="1" applyFill="1" applyBorder="1"/>
    <xf numFmtId="9" fontId="17" fillId="38" borderId="0" xfId="1" applyFont="1" applyFill="1" applyBorder="1" applyAlignment="1">
      <alignment horizontal="center" vertical="center"/>
    </xf>
    <xf numFmtId="9" fontId="0" fillId="38" borderId="0" xfId="1" applyFont="1" applyFill="1" applyBorder="1"/>
    <xf numFmtId="9" fontId="0" fillId="38" borderId="17" xfId="1" applyFont="1" applyFill="1" applyBorder="1"/>
    <xf numFmtId="165" fontId="17" fillId="38" borderId="0" xfId="0" applyNumberFormat="1" applyFont="1" applyFill="1" applyBorder="1"/>
    <xf numFmtId="0" fontId="30" fillId="38" borderId="25" xfId="0" applyFont="1" applyFill="1" applyBorder="1" applyAlignment="1">
      <alignment horizontal="center" vertical="center"/>
    </xf>
    <xf numFmtId="0" fontId="17" fillId="38" borderId="41" xfId="0" applyFont="1" applyFill="1" applyBorder="1"/>
    <xf numFmtId="0" fontId="17" fillId="38" borderId="44" xfId="0" applyFont="1" applyFill="1" applyBorder="1"/>
    <xf numFmtId="0" fontId="17" fillId="38" borderId="93" xfId="0" applyFont="1" applyFill="1" applyBorder="1"/>
    <xf numFmtId="0" fontId="28" fillId="38" borderId="26" xfId="0" applyFont="1" applyFill="1" applyBorder="1" applyAlignment="1"/>
    <xf numFmtId="0" fontId="28" fillId="38" borderId="11" xfId="0" applyFont="1" applyFill="1" applyBorder="1" applyAlignment="1"/>
    <xf numFmtId="0" fontId="17" fillId="38" borderId="91" xfId="0" applyFont="1" applyFill="1" applyBorder="1"/>
    <xf numFmtId="0" fontId="17" fillId="38" borderId="24" xfId="0" applyFont="1" applyFill="1" applyBorder="1"/>
    <xf numFmtId="0" fontId="17" fillId="38" borderId="89" xfId="0" applyFont="1" applyFill="1" applyBorder="1"/>
    <xf numFmtId="0" fontId="33" fillId="33" borderId="0" xfId="43" applyFont="1" applyFill="1" applyBorder="1" applyAlignment="1">
      <alignment horizontal="center"/>
    </xf>
    <xf numFmtId="0" fontId="33" fillId="34" borderId="0" xfId="43" applyFont="1" applyFill="1" applyBorder="1" applyAlignment="1">
      <alignment horizontal="center"/>
    </xf>
    <xf numFmtId="0" fontId="33" fillId="35" borderId="0" xfId="43" applyFont="1" applyFill="1" applyBorder="1" applyAlignment="1">
      <alignment horizontal="center"/>
    </xf>
    <xf numFmtId="0" fontId="33" fillId="35" borderId="0" xfId="43" applyFont="1" applyFill="1" applyAlignment="1">
      <alignment horizontal="center"/>
    </xf>
    <xf numFmtId="0" fontId="33" fillId="36" borderId="0" xfId="43" applyFont="1" applyFill="1" applyBorder="1" applyAlignment="1">
      <alignment horizontal="center"/>
    </xf>
    <xf numFmtId="0" fontId="33" fillId="37" borderId="0" xfId="43" applyFont="1" applyFill="1" applyBorder="1" applyAlignment="1">
      <alignment horizontal="center"/>
    </xf>
    <xf numFmtId="0" fontId="0" fillId="38" borderId="46" xfId="0" applyFill="1" applyBorder="1"/>
    <xf numFmtId="0" fontId="0" fillId="38" borderId="47" xfId="0" applyFill="1" applyBorder="1"/>
    <xf numFmtId="0" fontId="0" fillId="38" borderId="48" xfId="0" applyFill="1" applyBorder="1"/>
    <xf numFmtId="0" fontId="0" fillId="38" borderId="94" xfId="0" applyFill="1" applyBorder="1"/>
    <xf numFmtId="0" fontId="0" fillId="38" borderId="51" xfId="0" applyFill="1" applyBorder="1"/>
    <xf numFmtId="0" fontId="0" fillId="38" borderId="52" xfId="0" applyFill="1" applyBorder="1"/>
    <xf numFmtId="0" fontId="0" fillId="38" borderId="95" xfId="0" applyFill="1" applyBorder="1"/>
    <xf numFmtId="0" fontId="0" fillId="38" borderId="96" xfId="0" applyFill="1" applyBorder="1"/>
    <xf numFmtId="0" fontId="0" fillId="38" borderId="97" xfId="0" applyFill="1" applyBorder="1"/>
    <xf numFmtId="1" fontId="0" fillId="38" borderId="21" xfId="0" applyNumberFormat="1" applyFill="1" applyBorder="1"/>
    <xf numFmtId="1" fontId="0" fillId="38" borderId="35" xfId="0" applyNumberFormat="1" applyFill="1" applyBorder="1"/>
    <xf numFmtId="1" fontId="0" fillId="38" borderId="22" xfId="0" applyNumberFormat="1" applyFill="1" applyBorder="1"/>
    <xf numFmtId="0" fontId="0" fillId="39" borderId="26" xfId="0" applyFont="1" applyFill="1" applyBorder="1" applyAlignment="1">
      <alignment horizontal="center"/>
    </xf>
    <xf numFmtId="0" fontId="14" fillId="40" borderId="26" xfId="0" applyFont="1" applyFill="1" applyBorder="1" applyAlignment="1">
      <alignment horizontal="center"/>
    </xf>
    <xf numFmtId="0" fontId="34" fillId="38" borderId="11" xfId="0" applyFont="1" applyFill="1" applyBorder="1" applyAlignment="1">
      <alignment horizontal="center"/>
    </xf>
    <xf numFmtId="0" fontId="34" fillId="38" borderId="12" xfId="0" applyFont="1" applyFill="1" applyBorder="1" applyAlignment="1">
      <alignment horizontal="center"/>
    </xf>
    <xf numFmtId="0" fontId="34" fillId="38" borderId="21" xfId="0" applyFont="1" applyFill="1" applyBorder="1" applyAlignment="1">
      <alignment horizontal="center"/>
    </xf>
    <xf numFmtId="0" fontId="17" fillId="38" borderId="43" xfId="0" applyFont="1" applyFill="1" applyBorder="1" applyAlignment="1">
      <alignment horizontal="left"/>
    </xf>
    <xf numFmtId="0" fontId="17" fillId="38" borderId="44" xfId="0" applyFont="1" applyFill="1" applyBorder="1" applyAlignment="1">
      <alignment horizontal="left"/>
    </xf>
    <xf numFmtId="0" fontId="17" fillId="38" borderId="92" xfId="0" applyFont="1" applyFill="1" applyBorder="1" applyAlignment="1">
      <alignment horizontal="left"/>
    </xf>
    <xf numFmtId="164" fontId="17" fillId="38" borderId="44" xfId="0" applyNumberFormat="1" applyFont="1" applyFill="1" applyBorder="1" applyAlignment="1">
      <alignment horizontal="left"/>
    </xf>
    <xf numFmtId="164" fontId="17" fillId="38" borderId="92" xfId="0" applyNumberFormat="1" applyFont="1" applyFill="1" applyBorder="1" applyAlignment="1">
      <alignment horizontal="left"/>
    </xf>
    <xf numFmtId="0" fontId="17" fillId="38" borderId="45" xfId="0" applyFont="1" applyFill="1" applyBorder="1" applyAlignment="1">
      <alignment horizontal="left"/>
    </xf>
    <xf numFmtId="0" fontId="17" fillId="38" borderId="0" xfId="0" applyFont="1" applyFill="1" applyBorder="1" applyAlignment="1">
      <alignment horizontal="left"/>
    </xf>
    <xf numFmtId="164" fontId="17" fillId="38" borderId="0" xfId="0" applyNumberFormat="1" applyFont="1" applyFill="1" applyBorder="1" applyAlignment="1">
      <alignment horizontal="left"/>
    </xf>
    <xf numFmtId="0" fontId="17" fillId="38" borderId="40" xfId="0" applyFont="1" applyFill="1" applyBorder="1" applyAlignment="1">
      <alignment horizontal="left"/>
    </xf>
    <xf numFmtId="0" fontId="17" fillId="38" borderId="41" xfId="0" applyFont="1" applyFill="1" applyBorder="1" applyAlignment="1">
      <alignment horizontal="left"/>
    </xf>
    <xf numFmtId="0" fontId="17" fillId="38" borderId="88" xfId="0" applyFont="1" applyFill="1" applyBorder="1" applyAlignment="1">
      <alignment horizontal="left"/>
    </xf>
    <xf numFmtId="164" fontId="17" fillId="38" borderId="41" xfId="0" applyNumberFormat="1" applyFont="1" applyFill="1" applyBorder="1" applyAlignment="1">
      <alignment horizontal="left"/>
    </xf>
    <xf numFmtId="164" fontId="17" fillId="38" borderId="88" xfId="0" applyNumberFormat="1" applyFont="1" applyFill="1" applyBorder="1" applyAlignment="1">
      <alignment horizontal="left"/>
    </xf>
    <xf numFmtId="0" fontId="17" fillId="38" borderId="42" xfId="0" applyFont="1" applyFill="1" applyBorder="1" applyAlignment="1">
      <alignment horizontal="left"/>
    </xf>
    <xf numFmtId="0" fontId="17" fillId="38" borderId="13" xfId="0" applyFont="1" applyFill="1" applyBorder="1" applyAlignment="1">
      <alignment horizontal="left"/>
    </xf>
    <xf numFmtId="0" fontId="17" fillId="38" borderId="14" xfId="0" applyFont="1" applyFill="1" applyBorder="1" applyAlignment="1">
      <alignment horizontal="left"/>
    </xf>
    <xf numFmtId="0" fontId="17" fillId="38" borderId="90" xfId="0" applyFont="1" applyFill="1" applyBorder="1" applyAlignment="1">
      <alignment horizontal="left"/>
    </xf>
    <xf numFmtId="164" fontId="17" fillId="38" borderId="14" xfId="0" applyNumberFormat="1" applyFont="1" applyFill="1" applyBorder="1" applyAlignment="1">
      <alignment horizontal="left"/>
    </xf>
    <xf numFmtId="164" fontId="17" fillId="38" borderId="90" xfId="0" applyNumberFormat="1" applyFont="1" applyFill="1" applyBorder="1" applyAlignment="1">
      <alignment horizontal="left"/>
    </xf>
    <xf numFmtId="0" fontId="30" fillId="38" borderId="16" xfId="0" applyFont="1" applyFill="1" applyBorder="1" applyAlignment="1">
      <alignment horizontal="center" vertical="center"/>
    </xf>
    <xf numFmtId="0" fontId="30" fillId="38" borderId="17" xfId="0" applyFont="1" applyFill="1" applyBorder="1" applyAlignment="1">
      <alignment horizontal="center" vertical="center"/>
    </xf>
    <xf numFmtId="0" fontId="28" fillId="38" borderId="11" xfId="0" applyFont="1" applyFill="1" applyBorder="1" applyAlignment="1">
      <alignment horizontal="left" vertical="center"/>
    </xf>
    <xf numFmtId="0" fontId="28" fillId="38" borderId="12" xfId="0" applyFont="1" applyFill="1" applyBorder="1" applyAlignment="1">
      <alignment horizontal="left" vertical="center"/>
    </xf>
    <xf numFmtId="0" fontId="28" fillId="38" borderId="21" xfId="0" applyFont="1" applyFill="1" applyBorder="1" applyAlignment="1">
      <alignment horizontal="left" vertical="center"/>
    </xf>
    <xf numFmtId="0" fontId="28" fillId="38" borderId="11" xfId="0" applyFont="1" applyFill="1" applyBorder="1" applyAlignment="1">
      <alignment horizontal="left"/>
    </xf>
    <xf numFmtId="0" fontId="28" fillId="38" borderId="12" xfId="0" applyFont="1" applyFill="1" applyBorder="1" applyAlignment="1">
      <alignment horizontal="left"/>
    </xf>
    <xf numFmtId="0" fontId="28" fillId="38" borderId="21" xfId="0" applyFont="1" applyFill="1" applyBorder="1" applyAlignment="1">
      <alignment horizontal="left"/>
    </xf>
    <xf numFmtId="0" fontId="32" fillId="38" borderId="10" xfId="43" applyFont="1" applyFill="1" applyBorder="1" applyAlignment="1">
      <alignment horizontal="left" vertical="center"/>
    </xf>
    <xf numFmtId="0" fontId="32" fillId="38" borderId="0" xfId="43" applyFont="1" applyFill="1" applyBorder="1" applyAlignment="1">
      <alignment horizontal="left" vertical="center"/>
    </xf>
    <xf numFmtId="0" fontId="32" fillId="38" borderId="35" xfId="43" applyFont="1" applyFill="1" applyBorder="1" applyAlignment="1">
      <alignment horizontal="left" vertical="center"/>
    </xf>
    <xf numFmtId="0" fontId="32" fillId="38" borderId="11" xfId="43" applyFont="1" applyFill="1" applyBorder="1" applyAlignment="1">
      <alignment horizontal="left" vertical="center"/>
    </xf>
    <xf numFmtId="0" fontId="32" fillId="38" borderId="12" xfId="43" applyFont="1" applyFill="1" applyBorder="1" applyAlignment="1">
      <alignment horizontal="left" vertical="center"/>
    </xf>
    <xf numFmtId="0" fontId="32" fillId="38" borderId="21" xfId="43" applyFont="1" applyFill="1" applyBorder="1" applyAlignment="1">
      <alignment horizontal="left" vertical="center"/>
    </xf>
    <xf numFmtId="0" fontId="25" fillId="38" borderId="0" xfId="0" applyFont="1" applyFill="1" applyAlignment="1">
      <alignment horizontal="center" vertical="center"/>
    </xf>
    <xf numFmtId="0" fontId="25" fillId="38" borderId="0" xfId="0" applyFont="1" applyFill="1" applyAlignment="1">
      <alignment horizontal="center" vertical="center" wrapText="1"/>
    </xf>
    <xf numFmtId="0" fontId="17" fillId="38" borderId="0" xfId="0" applyFont="1" applyFill="1" applyAlignment="1">
      <alignment horizontal="center" vertical="center" wrapText="1"/>
    </xf>
    <xf numFmtId="0" fontId="24" fillId="38" borderId="0" xfId="0" applyFont="1" applyFill="1" applyAlignment="1">
      <alignment horizontal="center" vertical="center"/>
    </xf>
    <xf numFmtId="0" fontId="28" fillId="38" borderId="15" xfId="0" applyFont="1" applyFill="1" applyBorder="1" applyAlignment="1">
      <alignment horizontal="center"/>
    </xf>
    <xf numFmtId="0" fontId="28" fillId="38" borderId="29" xfId="0" applyFont="1" applyFill="1" applyBorder="1" applyAlignment="1">
      <alignment horizontal="center"/>
    </xf>
    <xf numFmtId="0" fontId="26" fillId="38" borderId="11" xfId="0" applyFont="1" applyFill="1" applyBorder="1" applyAlignment="1">
      <alignment horizontal="center"/>
    </xf>
    <xf numFmtId="0" fontId="26" fillId="38" borderId="12" xfId="0" applyFont="1" applyFill="1" applyBorder="1" applyAlignment="1">
      <alignment horizontal="center"/>
    </xf>
    <xf numFmtId="0" fontId="28" fillId="38" borderId="11" xfId="0" applyFont="1" applyFill="1" applyBorder="1" applyAlignment="1">
      <alignment horizontal="center"/>
    </xf>
    <xf numFmtId="0" fontId="28" fillId="38" borderId="12" xfId="0" applyFont="1" applyFill="1" applyBorder="1" applyAlignment="1">
      <alignment horizontal="center"/>
    </xf>
    <xf numFmtId="0" fontId="28" fillId="38" borderId="21" xfId="0" applyFont="1" applyFill="1" applyBorder="1" applyAlignment="1">
      <alignment horizontal="center"/>
    </xf>
    <xf numFmtId="0" fontId="28" fillId="38" borderId="26" xfId="0" applyFont="1" applyFill="1" applyBorder="1" applyAlignment="1">
      <alignment horizontal="left"/>
    </xf>
    <xf numFmtId="0" fontId="27" fillId="38" borderId="11" xfId="0" applyFont="1" applyFill="1" applyBorder="1" applyAlignment="1">
      <alignment horizontal="center" vertical="center"/>
    </xf>
    <xf numFmtId="0" fontId="27" fillId="38" borderId="19" xfId="0" applyFont="1" applyFill="1" applyBorder="1" applyAlignment="1">
      <alignment horizontal="center" vertical="center"/>
    </xf>
    <xf numFmtId="0" fontId="32" fillId="38" borderId="16" xfId="43" applyFont="1" applyFill="1" applyBorder="1" applyAlignment="1">
      <alignment horizontal="left" vertical="center"/>
    </xf>
    <xf numFmtId="0" fontId="32" fillId="38" borderId="17" xfId="43" applyFont="1" applyFill="1" applyBorder="1" applyAlignment="1">
      <alignment horizontal="left" vertical="center"/>
    </xf>
    <xf numFmtId="0" fontId="32" fillId="38" borderId="22" xfId="43" applyFont="1" applyFill="1" applyBorder="1" applyAlignment="1">
      <alignment horizontal="left" vertical="center"/>
    </xf>
    <xf numFmtId="0" fontId="20" fillId="37" borderId="11" xfId="0" applyFont="1" applyFill="1" applyBorder="1" applyAlignment="1">
      <alignment horizontal="center"/>
    </xf>
    <xf numFmtId="0" fontId="20" fillId="37" borderId="12" xfId="0" applyFont="1" applyFill="1" applyBorder="1" applyAlignment="1">
      <alignment horizontal="center"/>
    </xf>
    <xf numFmtId="0" fontId="20" fillId="37" borderId="21" xfId="0" applyFont="1" applyFill="1" applyBorder="1" applyAlignment="1">
      <alignment horizontal="center"/>
    </xf>
    <xf numFmtId="0" fontId="19" fillId="37" borderId="10" xfId="0" applyFont="1" applyFill="1" applyBorder="1" applyAlignment="1">
      <alignment horizontal="center"/>
    </xf>
    <xf numFmtId="0" fontId="19" fillId="37" borderId="0" xfId="0" applyFont="1" applyFill="1" applyBorder="1" applyAlignment="1">
      <alignment horizontal="center"/>
    </xf>
    <xf numFmtId="0" fontId="19" fillId="37" borderId="35" xfId="0" applyFont="1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30" xfId="0" applyFill="1" applyBorder="1" applyAlignment="1">
      <alignment horizontal="center"/>
    </xf>
    <xf numFmtId="0" fontId="18" fillId="33" borderId="11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21" xfId="0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0" xfId="0" applyFont="1" applyFill="1" applyBorder="1" applyAlignment="1">
      <alignment horizontal="center" vertical="center"/>
    </xf>
    <xf numFmtId="0" fontId="19" fillId="33" borderId="35" xfId="0" applyFont="1" applyFill="1" applyBorder="1" applyAlignment="1">
      <alignment horizontal="center" vertical="center"/>
    </xf>
    <xf numFmtId="0" fontId="19" fillId="33" borderId="38" xfId="0" applyFont="1" applyFill="1" applyBorder="1" applyAlignment="1">
      <alignment horizontal="center" vertical="center"/>
    </xf>
    <xf numFmtId="0" fontId="19" fillId="33" borderId="37" xfId="0" applyFont="1" applyFill="1" applyBorder="1" applyAlignment="1">
      <alignment horizontal="center" vertical="center"/>
    </xf>
    <xf numFmtId="0" fontId="19" fillId="33" borderId="39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21" xfId="0" applyFont="1" applyFill="1" applyBorder="1" applyAlignment="1">
      <alignment horizontal="center" vertical="center"/>
    </xf>
    <xf numFmtId="0" fontId="18" fillId="35" borderId="11" xfId="0" applyFont="1" applyFill="1" applyBorder="1" applyAlignment="1">
      <alignment horizontal="center"/>
    </xf>
    <xf numFmtId="0" fontId="18" fillId="35" borderId="12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20" fillId="37" borderId="11" xfId="0" applyFont="1" applyFill="1" applyBorder="1" applyAlignment="1">
      <alignment horizontal="center" vertical="center"/>
    </xf>
    <xf numFmtId="0" fontId="20" fillId="37" borderId="12" xfId="0" applyFont="1" applyFill="1" applyBorder="1" applyAlignment="1">
      <alignment horizontal="center" vertical="center"/>
    </xf>
    <xf numFmtId="0" fontId="20" fillId="37" borderId="21" xfId="0" applyFont="1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7" borderId="15" xfId="0" applyFill="1" applyBorder="1" applyAlignment="1">
      <alignment horizontal="center" vertical="center"/>
    </xf>
    <xf numFmtId="0" fontId="0" fillId="37" borderId="30" xfId="0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9" fillId="37" borderId="0" xfId="0" applyFont="1" applyFill="1" applyBorder="1" applyAlignment="1">
      <alignment horizontal="center" vertical="center"/>
    </xf>
    <xf numFmtId="0" fontId="19" fillId="37" borderId="35" xfId="0" applyFont="1" applyFill="1" applyBorder="1" applyAlignment="1">
      <alignment horizontal="center" vertical="center"/>
    </xf>
    <xf numFmtId="0" fontId="0" fillId="35" borderId="11" xfId="0" applyFill="1" applyBorder="1" applyAlignment="1">
      <alignment horizontal="center"/>
    </xf>
    <xf numFmtId="0" fontId="0" fillId="35" borderId="21" xfId="0" applyFill="1" applyBorder="1" applyAlignment="1">
      <alignment horizontal="center"/>
    </xf>
    <xf numFmtId="0" fontId="19" fillId="35" borderId="38" xfId="0" applyFont="1" applyFill="1" applyBorder="1" applyAlignment="1">
      <alignment horizontal="center"/>
    </xf>
    <xf numFmtId="0" fontId="19" fillId="35" borderId="37" xfId="0" applyFont="1" applyFill="1" applyBorder="1" applyAlignment="1">
      <alignment horizontal="center"/>
    </xf>
    <xf numFmtId="0" fontId="19" fillId="35" borderId="39" xfId="0" applyFont="1" applyFill="1" applyBorder="1" applyAlignment="1">
      <alignment horizontal="center"/>
    </xf>
    <xf numFmtId="0" fontId="20" fillId="36" borderId="12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19" fillId="36" borderId="0" xfId="0" applyFont="1" applyFill="1" applyBorder="1" applyAlignment="1">
      <alignment horizontal="center" vertical="center"/>
    </xf>
    <xf numFmtId="0" fontId="19" fillId="36" borderId="35" xfId="0" applyFont="1" applyFill="1" applyBorder="1" applyAlignment="1">
      <alignment horizontal="center" vertical="center"/>
    </xf>
    <xf numFmtId="0" fontId="0" fillId="36" borderId="11" xfId="0" applyFill="1" applyBorder="1" applyAlignment="1">
      <alignment horizontal="center"/>
    </xf>
    <xf numFmtId="0" fontId="0" fillId="36" borderId="21" xfId="0" applyFill="1" applyBorder="1" applyAlignment="1">
      <alignment horizontal="center"/>
    </xf>
    <xf numFmtId="0" fontId="0" fillId="36" borderId="15" xfId="0" applyFill="1" applyBorder="1" applyAlignment="1">
      <alignment horizontal="center" vertical="center"/>
    </xf>
    <xf numFmtId="0" fontId="0" fillId="36" borderId="30" xfId="0" applyFill="1" applyBorder="1" applyAlignment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19" fillId="36" borderId="37" xfId="0" applyFont="1" applyFill="1" applyBorder="1" applyAlignment="1">
      <alignment horizontal="center" vertical="center"/>
    </xf>
    <xf numFmtId="0" fontId="19" fillId="36" borderId="39" xfId="0" applyFont="1" applyFill="1" applyBorder="1" applyAlignment="1">
      <alignment horizontal="center" vertical="center"/>
    </xf>
    <xf numFmtId="0" fontId="19" fillId="36" borderId="37" xfId="0" applyFont="1" applyFill="1" applyBorder="1" applyAlignment="1">
      <alignment horizontal="center"/>
    </xf>
    <xf numFmtId="0" fontId="19" fillId="36" borderId="39" xfId="0" applyFont="1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30" xfId="0" applyFill="1" applyBorder="1" applyAlignment="1">
      <alignment horizontal="center"/>
    </xf>
    <xf numFmtId="0" fontId="19" fillId="35" borderId="10" xfId="0" applyFont="1" applyFill="1" applyBorder="1" applyAlignment="1">
      <alignment horizontal="center"/>
    </xf>
    <xf numFmtId="0" fontId="19" fillId="35" borderId="0" xfId="0" applyFont="1" applyFill="1" applyBorder="1" applyAlignment="1">
      <alignment horizontal="center"/>
    </xf>
    <xf numFmtId="0" fontId="19" fillId="35" borderId="35" xfId="0" applyFont="1" applyFill="1" applyBorder="1" applyAlignment="1">
      <alignment horizontal="center"/>
    </xf>
    <xf numFmtId="0" fontId="0" fillId="34" borderId="11" xfId="0" applyFill="1" applyBorder="1" applyAlignment="1">
      <alignment horizontal="center" vertical="center"/>
    </xf>
    <xf numFmtId="0" fontId="0" fillId="34" borderId="21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30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33" borderId="21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0" fillId="33" borderId="30" xfId="0" applyFill="1" applyBorder="1" applyAlignment="1">
      <alignment horizontal="center" vertical="center"/>
    </xf>
    <xf numFmtId="0" fontId="29" fillId="38" borderId="0" xfId="0" applyFont="1" applyFill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1">
    <dxf>
      <font>
        <color indexed="10"/>
      </font>
      <fill>
        <patternFill>
          <fgColor indexed="64"/>
          <bgColor indexed="8"/>
        </patternFill>
      </fill>
    </dxf>
    <dxf>
      <font>
        <color indexed="10"/>
      </font>
      <fill>
        <patternFill>
          <fgColor indexed="64"/>
          <bgColor indexed="8"/>
        </patternFill>
      </fill>
    </dxf>
    <dxf>
      <font>
        <color indexed="10"/>
      </font>
      <fill>
        <patternFill>
          <fgColor indexed="64"/>
          <bgColor indexed="8"/>
        </patternFill>
      </fill>
    </dxf>
    <dxf>
      <font>
        <color indexed="10"/>
      </font>
      <fill>
        <patternFill>
          <fgColor indexed="64"/>
          <bgColor indexed="8"/>
        </patternFill>
      </fill>
    </dxf>
    <dxf>
      <font>
        <color indexed="10"/>
      </font>
      <fill>
        <patternFill>
          <fgColor indexed="64"/>
          <bgColor indexed="8"/>
        </patternFill>
      </fill>
    </dxf>
    <dxf>
      <font>
        <color rgb="FF010000"/>
      </font>
      <fill>
        <patternFill>
          <fgColor indexed="64"/>
          <bgColor indexed="16"/>
        </patternFill>
      </fill>
    </dxf>
    <dxf>
      <font>
        <color rgb="FF010000"/>
      </font>
      <fill>
        <patternFill>
          <fgColor indexed="64"/>
          <bgColor indexed="16"/>
        </patternFill>
      </fill>
    </dxf>
    <dxf>
      <font>
        <color rgb="FF010000"/>
      </font>
      <fill>
        <patternFill>
          <fgColor indexed="64"/>
          <bgColor indexed="10"/>
        </patternFill>
      </fill>
    </dxf>
    <dxf>
      <font>
        <color rgb="FF010000"/>
      </font>
      <fill>
        <patternFill>
          <fgColor indexed="64"/>
          <bgColor indexed="10"/>
        </patternFill>
      </fill>
    </dxf>
    <dxf>
      <font>
        <color rgb="FF010000"/>
      </font>
      <fill>
        <patternFill>
          <fgColor indexed="64"/>
          <bgColor indexed="10"/>
        </patternFill>
      </fill>
    </dxf>
    <dxf>
      <font>
        <color rgb="FF010000"/>
      </font>
      <fill>
        <patternFill>
          <fgColor indexed="64"/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cap="all" baseline="0">
                <a:solidFill>
                  <a:srgbClr val="F6C03E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u="sng" strike="noStrike" kern="1200" cap="all" baseline="0">
                <a:solidFill>
                  <a:srgbClr val="F6C03E"/>
                </a:solidFill>
                <a:latin typeface="+mn-lt"/>
                <a:ea typeface="+mn-ea"/>
                <a:cs typeface="+mn-cs"/>
              </a:rPr>
              <a:t>distribution of programs by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cap="all" baseline="0">
              <a:solidFill>
                <a:srgbClr val="F6C03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xMode val="edge"/>
          <c:yMode val="edge"/>
          <c:x val="3.4453846153846154E-2"/>
          <c:y val="0.1882529282949417"/>
          <c:w val="0.95673076923076927"/>
          <c:h val="0.81174707170505833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0D74-5344-941C-8AFFB076D4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A-0D74-5344-941C-8AFFB076D4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0D74-5344-941C-8AFFB076D4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C-0D74-5344-941C-8AFFB076D4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0D74-5344-941C-8AFFB076D4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E-0D74-5344-941C-8AFFB076D4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0D74-5344-941C-8AFFB076D4E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0-0D74-5344-941C-8AFFB076D4E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D74-5344-941C-8AFFB076D4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D74-5344-941C-8AFFB076D4E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D74-5344-941C-8AFFB076D4E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D74-5344-941C-8AFFB076D4E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D74-5344-941C-8AFFB076D4E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0D74-5344-941C-8AFFB076D4E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0D74-5344-941C-8AFFB076D4E9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0D74-5344-941C-8AFFB076D4E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Home!$K$11:$K$18</c:f>
              <c:strCache>
                <c:ptCount val="8"/>
                <c:pt idx="0">
                  <c:v>Priming</c:v>
                </c:pt>
                <c:pt idx="1">
                  <c:v>Phase 1 MT</c:v>
                </c:pt>
                <c:pt idx="2">
                  <c:v>Phase 1 RR</c:v>
                </c:pt>
                <c:pt idx="3">
                  <c:v>Phase 2</c:v>
                </c:pt>
                <c:pt idx="4">
                  <c:v>Phase 3</c:v>
                </c:pt>
                <c:pt idx="5">
                  <c:v>Steps</c:v>
                </c:pt>
                <c:pt idx="6">
                  <c:v>Opportunity Data</c:v>
                </c:pt>
                <c:pt idx="7">
                  <c:v>Time Sample</c:v>
                </c:pt>
              </c:strCache>
            </c:strRef>
          </c:cat>
          <c:val>
            <c:numRef>
              <c:f>Home!$M$11:$M$18</c:f>
              <c:numCache>
                <c:formatCode>0%</c:formatCode>
                <c:ptCount val="8"/>
                <c:pt idx="0">
                  <c:v>0</c:v>
                </c:pt>
                <c:pt idx="1">
                  <c:v>0.34482758620689657</c:v>
                </c:pt>
                <c:pt idx="2">
                  <c:v>5.1724137931034482E-2</c:v>
                </c:pt>
                <c:pt idx="3">
                  <c:v>1.7241379310344827E-2</c:v>
                </c:pt>
                <c:pt idx="4">
                  <c:v>0.20689655172413793</c:v>
                </c:pt>
                <c:pt idx="5">
                  <c:v>0.13793103448275862</c:v>
                </c:pt>
                <c:pt idx="6">
                  <c:v>0.22413793103448276</c:v>
                </c:pt>
                <c:pt idx="7">
                  <c:v>1.7241379310344827E-2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74-5344-941C-8AFFB076D4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E5DAA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18143</xdr:colOff>
      <xdr:row>8</xdr:row>
      <xdr:rowOff>27475</xdr:rowOff>
    </xdr:from>
    <xdr:to>
      <xdr:col>18</xdr:col>
      <xdr:colOff>798287</xdr:colOff>
      <xdr:row>25</xdr:row>
      <xdr:rowOff>203200</xdr:rowOff>
    </xdr:to>
    <xdr:graphicFrame macro="">
      <xdr:nvGraphicFramePr>
        <xdr:cNvPr id="2" name="PhaseDi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1</xdr:col>
          <xdr:colOff>812800</xdr:colOff>
          <xdr:row>1</xdr:row>
          <xdr:rowOff>203200</xdr:rowOff>
        </xdr:to>
        <xdr:sp macro="" textlink="">
          <xdr:nvSpPr>
            <xdr:cNvPr id="3073" name="OldSkool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Simplified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12700</xdr:rowOff>
        </xdr:from>
        <xdr:to>
          <xdr:col>1</xdr:col>
          <xdr:colOff>800100</xdr:colOff>
          <xdr:row>3</xdr:row>
          <xdr:rowOff>203200</xdr:rowOff>
        </xdr:to>
        <xdr:sp macro="" textlink="">
          <xdr:nvSpPr>
            <xdr:cNvPr id="3074" name="NewSkool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Full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19</xdr:col>
          <xdr:colOff>1485900</xdr:colOff>
          <xdr:row>26</xdr:row>
          <xdr:rowOff>215900</xdr:rowOff>
        </xdr:to>
        <xdr:sp macro="" textlink="">
          <xdr:nvSpPr>
            <xdr:cNvPr id="3075" name="ResetFilter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25</xdr:row>
          <xdr:rowOff>12700</xdr:rowOff>
        </xdr:from>
        <xdr:to>
          <xdr:col>20</xdr:col>
          <xdr:colOff>1498600</xdr:colOff>
          <xdr:row>26</xdr:row>
          <xdr:rowOff>215900</xdr:rowOff>
        </xdr:to>
        <xdr:sp macro="" textlink="">
          <xdr:nvSpPr>
            <xdr:cNvPr id="3076" name="CopyToClipboard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Overdue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</xdr:row>
          <xdr:rowOff>190500</xdr:rowOff>
        </xdr:from>
        <xdr:to>
          <xdr:col>1</xdr:col>
          <xdr:colOff>800100</xdr:colOff>
          <xdr:row>7</xdr:row>
          <xdr:rowOff>203200</xdr:rowOff>
        </xdr:to>
        <xdr:sp macro="" textlink="">
          <xdr:nvSpPr>
            <xdr:cNvPr id="3077" name="AnalyzeBTPerformanc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BT and Program Performance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212</xdr:row>
          <xdr:rowOff>0</xdr:rowOff>
        </xdr:from>
        <xdr:to>
          <xdr:col>2</xdr:col>
          <xdr:colOff>0</xdr:colOff>
          <xdr:row>213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212</xdr:row>
          <xdr:rowOff>0</xdr:rowOff>
        </xdr:from>
        <xdr:to>
          <xdr:col>12</xdr:col>
          <xdr:colOff>0</xdr:colOff>
          <xdr:row>213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230</xdr:row>
          <xdr:rowOff>0</xdr:rowOff>
        </xdr:from>
        <xdr:to>
          <xdr:col>2</xdr:col>
          <xdr:colOff>0</xdr:colOff>
          <xdr:row>231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230</xdr:row>
          <xdr:rowOff>0</xdr:rowOff>
        </xdr:from>
        <xdr:to>
          <xdr:col>12</xdr:col>
          <xdr:colOff>0</xdr:colOff>
          <xdr:row>231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56</xdr:row>
          <xdr:rowOff>0</xdr:rowOff>
        </xdr:from>
        <xdr:to>
          <xdr:col>9</xdr:col>
          <xdr:colOff>0</xdr:colOff>
          <xdr:row>57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74</xdr:row>
          <xdr:rowOff>0</xdr:rowOff>
        </xdr:from>
        <xdr:to>
          <xdr:col>12</xdr:col>
          <xdr:colOff>0</xdr:colOff>
          <xdr:row>75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</xdr:row>
          <xdr:rowOff>0</xdr:rowOff>
        </xdr:from>
        <xdr:to>
          <xdr:col>2</xdr:col>
          <xdr:colOff>0</xdr:colOff>
          <xdr:row>92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91</xdr:row>
          <xdr:rowOff>0</xdr:rowOff>
        </xdr:from>
        <xdr:to>
          <xdr:col>10</xdr:col>
          <xdr:colOff>0</xdr:colOff>
          <xdr:row>92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108</xdr:row>
          <xdr:rowOff>0</xdr:rowOff>
        </xdr:from>
        <xdr:to>
          <xdr:col>2</xdr:col>
          <xdr:colOff>0</xdr:colOff>
          <xdr:row>109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108</xdr:row>
          <xdr:rowOff>0</xdr:rowOff>
        </xdr:from>
        <xdr:to>
          <xdr:col>10</xdr:col>
          <xdr:colOff>0</xdr:colOff>
          <xdr:row>109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126</xdr:row>
          <xdr:rowOff>0</xdr:rowOff>
        </xdr:from>
        <xdr:to>
          <xdr:col>2</xdr:col>
          <xdr:colOff>0</xdr:colOff>
          <xdr:row>127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126</xdr:row>
          <xdr:rowOff>0</xdr:rowOff>
        </xdr:from>
        <xdr:to>
          <xdr:col>12</xdr:col>
          <xdr:colOff>0</xdr:colOff>
          <xdr:row>127</xdr:row>
          <xdr:rowOff>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2</xdr:col>
          <xdr:colOff>0</xdr:colOff>
          <xdr:row>144</xdr:row>
          <xdr:rowOff>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143</xdr:row>
          <xdr:rowOff>0</xdr:rowOff>
        </xdr:from>
        <xdr:to>
          <xdr:col>12</xdr:col>
          <xdr:colOff>0</xdr:colOff>
          <xdr:row>144</xdr:row>
          <xdr:rowOff>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160</xdr:row>
          <xdr:rowOff>0</xdr:rowOff>
        </xdr:from>
        <xdr:to>
          <xdr:col>2</xdr:col>
          <xdr:colOff>0</xdr:colOff>
          <xdr:row>161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160</xdr:row>
          <xdr:rowOff>0</xdr:rowOff>
        </xdr:from>
        <xdr:to>
          <xdr:col>11</xdr:col>
          <xdr:colOff>0</xdr:colOff>
          <xdr:row>161</xdr:row>
          <xdr:rowOff>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177</xdr:row>
          <xdr:rowOff>0</xdr:rowOff>
        </xdr:from>
        <xdr:to>
          <xdr:col>2</xdr:col>
          <xdr:colOff>0</xdr:colOff>
          <xdr:row>178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177</xdr:row>
          <xdr:rowOff>0</xdr:rowOff>
        </xdr:from>
        <xdr:to>
          <xdr:col>10</xdr:col>
          <xdr:colOff>0</xdr:colOff>
          <xdr:row>178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194</xdr:row>
          <xdr:rowOff>0</xdr:rowOff>
        </xdr:from>
        <xdr:to>
          <xdr:col>2</xdr:col>
          <xdr:colOff>0</xdr:colOff>
          <xdr:row>195</xdr:row>
          <xdr:rowOff>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194</xdr:row>
          <xdr:rowOff>0</xdr:rowOff>
        </xdr:from>
        <xdr:to>
          <xdr:col>10</xdr:col>
          <xdr:colOff>0</xdr:colOff>
          <xdr:row>195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athanbryant/Library/Mobile%20Documents/com~apple~CloudDocs/B.E.S.T./TN%20ActiveCare%20Files/Macros/Data%20Macro%20v5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Program Data Instructions"/>
      <sheetName val="Behavior Data Instructions"/>
      <sheetName val="FAQ"/>
    </sheetNames>
    <definedNames>
      <definedName name="AnalyzeBTPerformance"/>
      <definedName name="CopyToClipboard"/>
      <definedName name="FrequencyChart"/>
      <definedName name="FrequencyDataPull"/>
      <definedName name="FSSParticipationChart"/>
      <definedName name="FSSParticipationDataPull"/>
      <definedName name="FSSPlayObs1030Chart"/>
      <definedName name="FSSPlayObs1030DataPull"/>
      <definedName name="FSSPlayObs515Chart"/>
      <definedName name="FSSPlayObs515DataPull"/>
      <definedName name="LangSampArticChart"/>
      <definedName name="LangSampQualDataPull"/>
      <definedName name="LangSampVocalChart"/>
      <definedName name="LangSampVocalDataPull"/>
      <definedName name="NewSkoolData"/>
      <definedName name="OldSkoolData"/>
      <definedName name="PercentOfOppsChart"/>
      <definedName name="PercentOfOppsDataPull"/>
      <definedName name="ResetTargetFilter"/>
      <definedName name="SchoolFreePlayChart"/>
      <definedName name="SchoolFreePlayDataPull"/>
      <definedName name="SchoolPartCENChart"/>
      <definedName name="SchoolPartCENDataPull"/>
      <definedName name="SchoolPartCTChart"/>
      <definedName name="SchoolPartCTDataPull"/>
      <definedName name="SchoolPlayObs1030Chart"/>
      <definedName name="SchoolPlayObs1030DataPull"/>
      <definedName name="SchoolPlayObs515Chart"/>
      <definedName name="SchoolPlayObs515DataPull"/>
      <definedName name="UnprePlayObs1030Chart"/>
      <definedName name="UnpromptedPlayDataPull1030"/>
      <definedName name="UnpromptedPlayDataPull515"/>
      <definedName name="UnprPlayObs515Cha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ctrlProp" Target="../ctrlProps/ctrlProp6.x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omments" Target="../comments1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5028"/>
  <sheetViews>
    <sheetView showGridLines="0" tabSelected="1" zoomScale="120" zoomScaleNormal="120" workbookViewId="0">
      <selection activeCell="I27" sqref="I27"/>
    </sheetView>
  </sheetViews>
  <sheetFormatPr baseColWidth="10" defaultRowHeight="16" x14ac:dyDescent="0.2"/>
  <cols>
    <col min="1" max="2" width="10.83203125" style="164"/>
    <col min="3" max="3" width="3.83203125" style="164" customWidth="1"/>
    <col min="4" max="6" width="10.83203125" style="164"/>
    <col min="7" max="7" width="8.5" style="164" customWidth="1"/>
    <col min="8" max="8" width="9.1640625" style="164" customWidth="1"/>
    <col min="9" max="9" width="5.6640625" style="164" customWidth="1"/>
    <col min="10" max="10" width="4.6640625" style="164" customWidth="1"/>
    <col min="11" max="19" width="10.83203125" style="164"/>
    <col min="20" max="23" width="19.6640625" style="164" customWidth="1"/>
    <col min="24" max="16384" width="10.83203125" style="164"/>
  </cols>
  <sheetData>
    <row r="1" spans="1:19" x14ac:dyDescent="0.2">
      <c r="D1" s="270" t="str">
        <f>CONCATENATE("Program Data Summary for ", RawData!A2)</f>
        <v>Program Data Summary for John Doe</v>
      </c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</row>
    <row r="2" spans="1:19" ht="17" thickBot="1" x14ac:dyDescent="0.25"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</row>
    <row r="3" spans="1:19" ht="18" thickTop="1" thickBot="1" x14ac:dyDescent="0.25">
      <c r="D3" s="171" t="s">
        <v>333</v>
      </c>
      <c r="F3" s="174">
        <v>44207</v>
      </c>
      <c r="G3" s="171" t="s">
        <v>359</v>
      </c>
      <c r="H3" s="172">
        <v>44375</v>
      </c>
      <c r="K3" s="267"/>
      <c r="L3" s="268"/>
      <c r="M3" s="268"/>
      <c r="N3" s="268"/>
      <c r="O3" s="268"/>
    </row>
    <row r="4" spans="1:19" ht="17" thickTop="1" x14ac:dyDescent="0.2">
      <c r="D4" s="171" t="s">
        <v>334</v>
      </c>
      <c r="F4" s="175">
        <v>141</v>
      </c>
      <c r="K4" s="267"/>
      <c r="L4" s="268"/>
      <c r="M4" s="268"/>
      <c r="N4" s="268"/>
      <c r="O4" s="268"/>
    </row>
    <row r="5" spans="1:19" x14ac:dyDescent="0.2">
      <c r="D5" s="171" t="s">
        <v>335</v>
      </c>
      <c r="F5" s="175">
        <v>5369</v>
      </c>
      <c r="K5" s="173"/>
      <c r="L5" s="173"/>
      <c r="M5" s="173"/>
      <c r="N5" s="173"/>
      <c r="O5" s="173"/>
    </row>
    <row r="6" spans="1:19" x14ac:dyDescent="0.2">
      <c r="D6" s="171" t="s">
        <v>336</v>
      </c>
      <c r="F6" s="175">
        <v>40.000000000033346</v>
      </c>
      <c r="K6" s="268"/>
      <c r="L6" s="269"/>
      <c r="M6" s="269"/>
      <c r="N6" s="269"/>
      <c r="O6" s="269"/>
    </row>
    <row r="7" spans="1:19" ht="17" thickBot="1" x14ac:dyDescent="0.25">
      <c r="D7" s="171" t="s">
        <v>337</v>
      </c>
      <c r="F7" s="176">
        <v>114.99999999995393</v>
      </c>
      <c r="K7" s="268"/>
      <c r="L7" s="269"/>
      <c r="M7" s="269"/>
      <c r="N7" s="269"/>
      <c r="O7" s="269"/>
    </row>
    <row r="8" spans="1:19" ht="18" thickTop="1" thickBot="1" x14ac:dyDescent="0.25"/>
    <row r="9" spans="1:19" ht="18" thickTop="1" thickBot="1" x14ac:dyDescent="0.25">
      <c r="A9" s="271" t="s">
        <v>338</v>
      </c>
      <c r="B9" s="272"/>
      <c r="C9" s="272"/>
      <c r="D9" s="272"/>
      <c r="E9" s="272"/>
      <c r="F9" s="272"/>
      <c r="G9" s="273" t="s">
        <v>360</v>
      </c>
      <c r="H9" s="274"/>
      <c r="I9" s="274"/>
      <c r="J9" s="274"/>
      <c r="K9" s="275" t="s">
        <v>361</v>
      </c>
      <c r="L9" s="276"/>
      <c r="M9" s="277"/>
      <c r="N9" s="166"/>
      <c r="O9" s="166"/>
      <c r="P9" s="166"/>
      <c r="Q9" s="166"/>
      <c r="R9" s="166"/>
      <c r="S9" s="168"/>
    </row>
    <row r="10" spans="1:19" ht="18" thickTop="1" thickBot="1" x14ac:dyDescent="0.25">
      <c r="A10" s="264" t="s">
        <v>339</v>
      </c>
      <c r="B10" s="265"/>
      <c r="C10" s="265"/>
      <c r="D10" s="265"/>
      <c r="E10" s="265"/>
      <c r="F10" s="266"/>
      <c r="G10" s="181" t="s">
        <v>349</v>
      </c>
      <c r="H10" s="166"/>
      <c r="I10" s="182">
        <f t="array" ref="I10">SUM(1/COUNTIFS(RawData!D2:D15000, RawData!D2:D15000 &amp; ""))-1</f>
        <v>30.999999999992756</v>
      </c>
      <c r="J10" s="194">
        <v>1</v>
      </c>
      <c r="K10" s="183" t="s">
        <v>353</v>
      </c>
      <c r="L10" s="184" t="s">
        <v>354</v>
      </c>
      <c r="M10" s="185" t="s">
        <v>352</v>
      </c>
      <c r="N10" s="165"/>
      <c r="O10" s="165"/>
      <c r="P10" s="165"/>
      <c r="Q10" s="165"/>
      <c r="R10" s="165"/>
      <c r="S10" s="169"/>
    </row>
    <row r="11" spans="1:19" ht="18" thickTop="1" thickBot="1" x14ac:dyDescent="0.25">
      <c r="A11" s="261" t="s">
        <v>340</v>
      </c>
      <c r="B11" s="262"/>
      <c r="C11" s="262"/>
      <c r="D11" s="262"/>
      <c r="E11" s="262"/>
      <c r="F11" s="263"/>
      <c r="G11" s="279" t="s">
        <v>350</v>
      </c>
      <c r="H11" s="280"/>
      <c r="I11" s="189" t="s">
        <v>351</v>
      </c>
      <c r="J11" s="186" t="s">
        <v>352</v>
      </c>
      <c r="K11" s="178" t="s">
        <v>155</v>
      </c>
      <c r="L11" s="187">
        <f>COUNTIFS($R$29:$R$1499,K11)</f>
        <v>0</v>
      </c>
      <c r="M11" s="198">
        <f t="shared" ref="M11:M18" si="0">IF(SUM($L$11:$L$18)=0, "0%", $L11/SUM($L$11:$L$18))</f>
        <v>0</v>
      </c>
      <c r="N11" s="165"/>
      <c r="O11" s="165"/>
      <c r="P11" s="165"/>
      <c r="Q11" s="165"/>
      <c r="R11" s="165"/>
      <c r="S11" s="169"/>
    </row>
    <row r="12" spans="1:19" ht="17" thickTop="1" x14ac:dyDescent="0.2">
      <c r="A12" s="261" t="s">
        <v>276</v>
      </c>
      <c r="B12" s="262"/>
      <c r="C12" s="262"/>
      <c r="D12" s="262"/>
      <c r="E12" s="262"/>
      <c r="F12" s="263"/>
      <c r="G12" s="177" t="s">
        <v>382</v>
      </c>
      <c r="H12" s="182"/>
      <c r="I12" s="195">
        <v>1446</v>
      </c>
      <c r="J12" s="191">
        <v>0.26932389644254051</v>
      </c>
      <c r="K12" s="187" t="s">
        <v>41</v>
      </c>
      <c r="L12" s="187">
        <f>COUNTIFS($R$29:$R$1499,K12)</f>
        <v>20</v>
      </c>
      <c r="M12" s="198">
        <f t="shared" si="0"/>
        <v>0.34482758620689657</v>
      </c>
      <c r="N12" s="165"/>
      <c r="O12" s="165"/>
      <c r="P12" s="165"/>
      <c r="Q12" s="165"/>
      <c r="R12" s="165"/>
      <c r="S12" s="169"/>
    </row>
    <row r="13" spans="1:19" x14ac:dyDescent="0.2">
      <c r="A13" s="261" t="s">
        <v>282</v>
      </c>
      <c r="B13" s="262"/>
      <c r="C13" s="262"/>
      <c r="D13" s="262"/>
      <c r="E13" s="262"/>
      <c r="F13" s="263"/>
      <c r="G13" s="178" t="s">
        <v>383</v>
      </c>
      <c r="H13" s="187"/>
      <c r="I13" s="196">
        <v>1003</v>
      </c>
      <c r="J13" s="192">
        <v>0.18681318681318682</v>
      </c>
      <c r="K13" s="187" t="s">
        <v>79</v>
      </c>
      <c r="L13" s="187">
        <f>COUNTIFS($R$29:$R$1499,K13)</f>
        <v>3</v>
      </c>
      <c r="M13" s="198">
        <f t="shared" si="0"/>
        <v>5.1724137931034482E-2</v>
      </c>
      <c r="N13" s="165"/>
      <c r="O13" s="165"/>
      <c r="P13" s="165"/>
      <c r="Q13" s="165"/>
      <c r="R13" s="165"/>
      <c r="S13" s="169"/>
    </row>
    <row r="14" spans="1:19" x14ac:dyDescent="0.2">
      <c r="A14" s="261" t="s">
        <v>341</v>
      </c>
      <c r="B14" s="262"/>
      <c r="C14" s="262"/>
      <c r="D14" s="262"/>
      <c r="E14" s="262"/>
      <c r="F14" s="263"/>
      <c r="G14" s="178" t="s">
        <v>384</v>
      </c>
      <c r="H14" s="187"/>
      <c r="I14" s="196">
        <v>554</v>
      </c>
      <c r="J14" s="192">
        <v>0.10318495064257777</v>
      </c>
      <c r="K14" s="187" t="s">
        <v>188</v>
      </c>
      <c r="L14" s="187">
        <f>COUNTIFS($R$29:$R$1499,K14)</f>
        <v>1</v>
      </c>
      <c r="M14" s="198">
        <f t="shared" si="0"/>
        <v>1.7241379310344827E-2</v>
      </c>
      <c r="N14" s="165"/>
      <c r="O14" s="165"/>
      <c r="P14" s="165"/>
      <c r="Q14" s="165"/>
      <c r="R14" s="165"/>
      <c r="S14" s="169"/>
    </row>
    <row r="15" spans="1:19" x14ac:dyDescent="0.2">
      <c r="A15" s="261" t="s">
        <v>342</v>
      </c>
      <c r="B15" s="262"/>
      <c r="C15" s="262"/>
      <c r="D15" s="262"/>
      <c r="E15" s="262"/>
      <c r="F15" s="263"/>
      <c r="G15" s="178" t="s">
        <v>385</v>
      </c>
      <c r="H15" s="187"/>
      <c r="I15" s="196">
        <v>479</v>
      </c>
      <c r="J15" s="192">
        <v>8.9215868876885832E-2</v>
      </c>
      <c r="K15" s="187" t="s">
        <v>200</v>
      </c>
      <c r="L15" s="187">
        <f>COUNTIFS($R$29:$R$1499,K15)</f>
        <v>12</v>
      </c>
      <c r="M15" s="198">
        <f t="shared" si="0"/>
        <v>0.20689655172413793</v>
      </c>
      <c r="N15" s="165"/>
      <c r="O15" s="165"/>
      <c r="P15" s="165"/>
      <c r="Q15" s="165"/>
      <c r="R15" s="165"/>
      <c r="S15" s="169"/>
    </row>
    <row r="16" spans="1:19" x14ac:dyDescent="0.2">
      <c r="A16" s="261" t="s">
        <v>343</v>
      </c>
      <c r="B16" s="262"/>
      <c r="C16" s="262"/>
      <c r="D16" s="262"/>
      <c r="E16" s="262"/>
      <c r="F16" s="263"/>
      <c r="G16" s="178" t="s">
        <v>386</v>
      </c>
      <c r="H16" s="187"/>
      <c r="I16" s="196">
        <v>387</v>
      </c>
      <c r="J16" s="192">
        <v>7.2080461910970381E-2</v>
      </c>
      <c r="K16" s="187" t="s">
        <v>362</v>
      </c>
      <c r="L16" s="187">
        <f>COUNTIF($R$29:$R$1499,"Step 1")+COUNTIF($R$29:$R$1499,"Step 2")+COUNTIF($R$29:$R$1499,"Step 3")+COUNTIF($R$29:$R$1499,"Step 4")+COUNTIF($R$29:$R$1499,"Step 5")+COUNTIF($R$29:$R$1499,"Step 6")+COUNTIF($R$29:$R$1499,"Step 7")+COUNTIF($R$29:$R$1499,"Step 8")+COUNTIF($R$29:$R$1499,"Step 9")+COUNTIF($R$29:$R$1499,"Step 10")+COUNTIF($R$29:$R$1499,"Step 11")+COUNTIF($R$29:$R$1499,"Step 12")</f>
        <v>8</v>
      </c>
      <c r="M16" s="198">
        <f t="shared" si="0"/>
        <v>0.13793103448275862</v>
      </c>
      <c r="N16" s="165"/>
      <c r="O16" s="165"/>
      <c r="P16" s="165"/>
      <c r="Q16" s="165"/>
      <c r="R16" s="165"/>
      <c r="S16" s="169"/>
    </row>
    <row r="17" spans="1:23" x14ac:dyDescent="0.2">
      <c r="A17" s="261" t="s">
        <v>344</v>
      </c>
      <c r="B17" s="262"/>
      <c r="C17" s="262"/>
      <c r="D17" s="262"/>
      <c r="E17" s="262"/>
      <c r="F17" s="263"/>
      <c r="G17" s="178" t="s">
        <v>387</v>
      </c>
      <c r="H17" s="187"/>
      <c r="I17" s="196">
        <v>358</v>
      </c>
      <c r="J17" s="192">
        <v>6.6679083628236172E-2</v>
      </c>
      <c r="K17" s="187" t="s">
        <v>51</v>
      </c>
      <c r="L17" s="187">
        <f>COUNTIFS($R$29:$R$1499,K17)</f>
        <v>13</v>
      </c>
      <c r="M17" s="198">
        <f t="shared" si="0"/>
        <v>0.22413793103448276</v>
      </c>
      <c r="N17" s="165"/>
      <c r="O17" s="165"/>
      <c r="P17" s="165"/>
      <c r="Q17" s="165"/>
      <c r="R17" s="165"/>
      <c r="S17" s="169"/>
    </row>
    <row r="18" spans="1:23" x14ac:dyDescent="0.2">
      <c r="A18" s="261" t="s">
        <v>345</v>
      </c>
      <c r="B18" s="262"/>
      <c r="C18" s="262"/>
      <c r="D18" s="262"/>
      <c r="E18" s="262"/>
      <c r="F18" s="263"/>
      <c r="G18" s="178" t="s">
        <v>388</v>
      </c>
      <c r="H18" s="187"/>
      <c r="I18" s="196">
        <v>105</v>
      </c>
      <c r="J18" s="192">
        <v>1.955671447196871E-2</v>
      </c>
      <c r="K18" s="187" t="s">
        <v>363</v>
      </c>
      <c r="L18" s="187">
        <f>COUNTIFS($R$29:$R$1499,"Momentary Time Sampling")</f>
        <v>1</v>
      </c>
      <c r="M18" s="198">
        <f t="shared" si="0"/>
        <v>1.7241379310344827E-2</v>
      </c>
      <c r="N18" s="165"/>
      <c r="O18" s="165"/>
      <c r="P18" s="165"/>
      <c r="Q18" s="165"/>
      <c r="R18" s="165"/>
      <c r="S18" s="169"/>
    </row>
    <row r="19" spans="1:23" x14ac:dyDescent="0.2">
      <c r="A19" s="261" t="s">
        <v>346</v>
      </c>
      <c r="B19" s="262"/>
      <c r="C19" s="262"/>
      <c r="D19" s="262"/>
      <c r="E19" s="262"/>
      <c r="F19" s="263"/>
      <c r="G19" s="178" t="s">
        <v>389</v>
      </c>
      <c r="H19" s="187"/>
      <c r="I19" s="196">
        <v>84</v>
      </c>
      <c r="J19" s="192">
        <v>1.5645371577574969E-2</v>
      </c>
      <c r="K19" s="187" t="s">
        <v>364</v>
      </c>
      <c r="L19" s="187">
        <f>COUNTIF($R$29:$R$1499,"Daily Maintenance")+COUNTIF($R$29:$R$1499,"Weekly Maintenance")+COUNTIF($R$29:$R$1499,"Monthly Maintenance")</f>
        <v>21</v>
      </c>
      <c r="M19" s="198" t="s">
        <v>365</v>
      </c>
      <c r="N19" s="165"/>
      <c r="O19" s="165"/>
      <c r="P19" s="165"/>
      <c r="Q19" s="165"/>
      <c r="R19" s="165"/>
      <c r="S19" s="169"/>
    </row>
    <row r="20" spans="1:23" x14ac:dyDescent="0.2">
      <c r="A20" s="261" t="s">
        <v>347</v>
      </c>
      <c r="B20" s="262"/>
      <c r="C20" s="262"/>
      <c r="D20" s="262"/>
      <c r="E20" s="262"/>
      <c r="F20" s="263"/>
      <c r="G20" s="178" t="s">
        <v>390</v>
      </c>
      <c r="H20" s="187"/>
      <c r="I20" s="196">
        <v>82</v>
      </c>
      <c r="J20" s="192">
        <v>1.5272862730489849E-2</v>
      </c>
      <c r="K20" s="165"/>
      <c r="L20" s="165"/>
      <c r="M20" s="199"/>
      <c r="N20" s="165"/>
      <c r="O20" s="165"/>
      <c r="P20" s="165"/>
      <c r="Q20" s="165"/>
      <c r="R20" s="165"/>
      <c r="S20" s="169"/>
    </row>
    <row r="21" spans="1:23" x14ac:dyDescent="0.2">
      <c r="A21" s="261" t="s">
        <v>348</v>
      </c>
      <c r="B21" s="262"/>
      <c r="C21" s="262"/>
      <c r="D21" s="262"/>
      <c r="E21" s="262"/>
      <c r="F21" s="263"/>
      <c r="G21" s="178" t="s">
        <v>391</v>
      </c>
      <c r="H21" s="187"/>
      <c r="I21" s="196">
        <v>54</v>
      </c>
      <c r="J21" s="192">
        <v>1.0057738871298193E-2</v>
      </c>
      <c r="K21" s="165"/>
      <c r="L21" s="165"/>
      <c r="M21" s="199"/>
      <c r="N21" s="165"/>
      <c r="O21" s="165"/>
      <c r="P21" s="165"/>
      <c r="Q21" s="165"/>
      <c r="R21" s="165"/>
      <c r="S21" s="169"/>
    </row>
    <row r="22" spans="1:23" ht="17" thickBot="1" x14ac:dyDescent="0.25">
      <c r="A22" s="281" t="s">
        <v>319</v>
      </c>
      <c r="B22" s="282"/>
      <c r="C22" s="282"/>
      <c r="D22" s="282"/>
      <c r="E22" s="282"/>
      <c r="F22" s="283"/>
      <c r="G22" s="187" t="s">
        <v>392</v>
      </c>
      <c r="H22" s="187"/>
      <c r="I22" s="196">
        <v>52</v>
      </c>
      <c r="J22" s="192">
        <v>9.6852300242130755E-3</v>
      </c>
      <c r="K22" s="165"/>
      <c r="L22" s="165"/>
      <c r="M22" s="199"/>
      <c r="N22" s="165"/>
      <c r="O22" s="165"/>
      <c r="P22" s="165"/>
      <c r="Q22" s="165"/>
      <c r="R22" s="165"/>
      <c r="S22" s="169"/>
    </row>
    <row r="23" spans="1:23" ht="18" thickTop="1" thickBot="1" x14ac:dyDescent="0.25">
      <c r="A23" s="253" t="s">
        <v>369</v>
      </c>
      <c r="B23" s="254"/>
      <c r="C23" s="254"/>
      <c r="D23" s="254"/>
      <c r="E23" s="254"/>
      <c r="F23" s="202" t="s">
        <v>354</v>
      </c>
      <c r="G23" s="187" t="s">
        <v>393</v>
      </c>
      <c r="H23" s="187"/>
      <c r="I23" s="196">
        <v>34</v>
      </c>
      <c r="J23" s="192">
        <v>6.3326504004470102E-3</v>
      </c>
      <c r="K23" s="165"/>
      <c r="L23" s="165"/>
      <c r="M23" s="199"/>
      <c r="N23" s="165"/>
      <c r="O23" s="165"/>
      <c r="P23" s="165"/>
      <c r="Q23" s="165"/>
      <c r="R23" s="165"/>
      <c r="S23" s="169"/>
    </row>
    <row r="24" spans="1:23" ht="17" thickTop="1" x14ac:dyDescent="0.2">
      <c r="A24" s="178" t="s">
        <v>366</v>
      </c>
      <c r="B24" s="187"/>
      <c r="C24" s="187"/>
      <c r="D24" s="187"/>
      <c r="E24" s="187"/>
      <c r="F24" s="187">
        <f>COUNTIF(RawData!E2:E15000,"5 Minute Language Sample")/2</f>
        <v>2</v>
      </c>
      <c r="G24" s="178" t="s">
        <v>394</v>
      </c>
      <c r="H24" s="187"/>
      <c r="I24" s="196">
        <v>27</v>
      </c>
      <c r="J24" s="192">
        <v>5.0288694356490967E-3</v>
      </c>
      <c r="K24" s="165"/>
      <c r="L24" s="165"/>
      <c r="M24" s="199"/>
      <c r="N24" s="165"/>
      <c r="O24" s="165"/>
      <c r="P24" s="165"/>
      <c r="Q24" s="165"/>
      <c r="R24" s="165"/>
      <c r="S24" s="169"/>
    </row>
    <row r="25" spans="1:23" x14ac:dyDescent="0.2">
      <c r="A25" s="178" t="s">
        <v>367</v>
      </c>
      <c r="B25" s="187"/>
      <c r="C25" s="187"/>
      <c r="D25" s="187"/>
      <c r="E25" s="187"/>
      <c r="F25" s="201">
        <f>(SUMIF(ProgramName,"Facilitated Social Session Play Observation 5min/15 Sec Interval",TrialCount)+SUMIF(ProgramName,"Facilitated Social Session Play Observation 10min/30 Sec Interval",TrialCount))/20</f>
        <v>0</v>
      </c>
      <c r="G25" s="178" t="s">
        <v>395</v>
      </c>
      <c r="H25" s="187"/>
      <c r="I25" s="196">
        <v>24</v>
      </c>
      <c r="J25" s="192">
        <v>4.470106165021419E-3</v>
      </c>
      <c r="K25" s="165"/>
      <c r="L25" s="165"/>
      <c r="M25" s="199"/>
      <c r="N25" s="165"/>
      <c r="O25" s="165"/>
      <c r="P25" s="165"/>
      <c r="Q25" s="165"/>
      <c r="R25" s="165"/>
      <c r="S25" s="169"/>
    </row>
    <row r="26" spans="1:23" ht="17" thickBot="1" x14ac:dyDescent="0.25">
      <c r="A26" s="179" t="s">
        <v>368</v>
      </c>
      <c r="B26" s="188"/>
      <c r="C26" s="188"/>
      <c r="D26" s="188"/>
      <c r="E26" s="188"/>
      <c r="F26" s="188">
        <f>COUNTIF(RawData!E2:E15000,"Unprompted Play Type Observation: 5 Minute/15 Second Play Observation")+COUNTIF(RawData!E2:E15000,"Unprompted Play Type Observation: 10 Minute/30 Second Play Observation")</f>
        <v>8</v>
      </c>
      <c r="G26" s="179" t="s">
        <v>395</v>
      </c>
      <c r="H26" s="188"/>
      <c r="I26" s="197">
        <v>6</v>
      </c>
      <c r="J26" s="193">
        <v>1.1175265412553548E-3</v>
      </c>
      <c r="K26" s="167"/>
      <c r="L26" s="167"/>
      <c r="M26" s="200"/>
      <c r="N26" s="167"/>
      <c r="O26" s="167"/>
      <c r="P26" s="167"/>
      <c r="Q26" s="167"/>
      <c r="R26" s="167"/>
      <c r="S26" s="170"/>
    </row>
    <row r="27" spans="1:23" ht="18" thickTop="1" thickBot="1" x14ac:dyDescent="0.25">
      <c r="A27" s="349" t="e">
        <f t="array" ref="A27">_xlfn.STDEV.P(IF($R29:$R1528="Priming",$Q29:$Q1528))</f>
        <v>#DIV/0!</v>
      </c>
      <c r="B27" s="349">
        <f t="array" ref="B27">_xlfn.STDEV.P(IF($R29:$R1528="Phase 1 MT",$Q29:$Q1528))</f>
        <v>48.11223856774906</v>
      </c>
      <c r="C27" s="349">
        <f t="array" ref="C27">_xlfn.STDEV.P(IF($R29:$R1528="Phase 1 RR",$Q29:$Q1528))</f>
        <v>101.25545252808199</v>
      </c>
      <c r="D27" s="349">
        <f t="array" ref="D27">_xlfn.STDEV.P(IF($R29:$R1528="Phase 2",$Q29:$Q1528))</f>
        <v>0</v>
      </c>
      <c r="E27" s="349">
        <f t="array" ref="E27">_xlfn.STDEV.P(IF($R29:$R1528="Phase 3",$Q29:$Q1528))</f>
        <v>23.080776031629053</v>
      </c>
      <c r="F27" s="349"/>
    </row>
    <row r="28" spans="1:23" ht="18" thickTop="1" thickBot="1" x14ac:dyDescent="0.25">
      <c r="A28" s="255" t="s">
        <v>355</v>
      </c>
      <c r="B28" s="256"/>
      <c r="C28" s="256"/>
      <c r="D28" s="256"/>
      <c r="E28" s="256"/>
      <c r="F28" s="256"/>
      <c r="G28" s="257"/>
      <c r="H28" s="258" t="s">
        <v>356</v>
      </c>
      <c r="I28" s="259"/>
      <c r="J28" s="259"/>
      <c r="K28" s="259"/>
      <c r="L28" s="259"/>
      <c r="M28" s="260"/>
      <c r="N28" s="260" t="s">
        <v>357</v>
      </c>
      <c r="O28" s="278"/>
      <c r="P28" s="207" t="s">
        <v>358</v>
      </c>
      <c r="Q28" s="206" t="s">
        <v>370</v>
      </c>
      <c r="R28" s="260" t="s">
        <v>353</v>
      </c>
      <c r="S28" s="258"/>
      <c r="T28" s="231" t="s">
        <v>380</v>
      </c>
      <c r="U28" s="232"/>
      <c r="V28" s="232"/>
      <c r="W28" s="233"/>
    </row>
    <row r="29" spans="1:23" ht="18" thickTop="1" thickBot="1" x14ac:dyDescent="0.25">
      <c r="A29" s="248" t="s">
        <v>191</v>
      </c>
      <c r="B29" s="249"/>
      <c r="C29" s="249"/>
      <c r="D29" s="249"/>
      <c r="E29" s="249"/>
      <c r="F29" s="249"/>
      <c r="G29" s="250"/>
      <c r="H29" s="249" t="s">
        <v>192</v>
      </c>
      <c r="I29" s="249"/>
      <c r="J29" s="249"/>
      <c r="K29" s="249"/>
      <c r="L29" s="249"/>
      <c r="M29" s="250"/>
      <c r="N29" s="251">
        <v>44315</v>
      </c>
      <c r="O29" s="252"/>
      <c r="P29" s="190">
        <v>4</v>
      </c>
      <c r="Q29" s="208">
        <v>12</v>
      </c>
      <c r="R29" s="249" t="s">
        <v>51</v>
      </c>
      <c r="S29" s="249"/>
      <c r="T29" s="229" t="s">
        <v>372</v>
      </c>
      <c r="U29" s="229"/>
      <c r="V29" s="230" t="s">
        <v>378</v>
      </c>
      <c r="W29" s="230"/>
    </row>
    <row r="30" spans="1:23" ht="17" thickTop="1" x14ac:dyDescent="0.2">
      <c r="A30" s="242" t="s">
        <v>191</v>
      </c>
      <c r="B30" s="243"/>
      <c r="C30" s="243"/>
      <c r="D30" s="243"/>
      <c r="E30" s="243"/>
      <c r="F30" s="243"/>
      <c r="G30" s="244"/>
      <c r="H30" s="243" t="s">
        <v>193</v>
      </c>
      <c r="I30" s="243"/>
      <c r="J30" s="243"/>
      <c r="K30" s="243"/>
      <c r="L30" s="243"/>
      <c r="M30" s="244"/>
      <c r="N30" s="245">
        <v>44356</v>
      </c>
      <c r="O30" s="246"/>
      <c r="P30" s="203">
        <v>8</v>
      </c>
      <c r="Q30" s="210">
        <v>4</v>
      </c>
      <c r="R30" s="243" t="s">
        <v>51</v>
      </c>
      <c r="S30" s="243"/>
      <c r="T30" s="217" t="s">
        <v>155</v>
      </c>
      <c r="U30" s="220" t="s">
        <v>375</v>
      </c>
      <c r="V30" s="223" t="s">
        <v>155</v>
      </c>
      <c r="W30" s="226" t="e">
        <f>AVERAGEIF($R$29:$R$1528,"Priming",$Q$29:$Q$1528)</f>
        <v>#DIV/0!</v>
      </c>
    </row>
    <row r="31" spans="1:23" x14ac:dyDescent="0.2">
      <c r="A31" s="242" t="s">
        <v>191</v>
      </c>
      <c r="B31" s="243"/>
      <c r="C31" s="243"/>
      <c r="D31" s="243"/>
      <c r="E31" s="243"/>
      <c r="F31" s="243"/>
      <c r="G31" s="244"/>
      <c r="H31" s="243" t="s">
        <v>194</v>
      </c>
      <c r="I31" s="243"/>
      <c r="J31" s="243"/>
      <c r="K31" s="243"/>
      <c r="L31" s="243"/>
      <c r="M31" s="244"/>
      <c r="N31" s="245">
        <v>44315</v>
      </c>
      <c r="O31" s="246"/>
      <c r="P31" s="203">
        <v>11</v>
      </c>
      <c r="Q31" s="210">
        <v>3</v>
      </c>
      <c r="R31" s="243" t="s">
        <v>51</v>
      </c>
      <c r="S31" s="243"/>
      <c r="T31" s="218" t="s">
        <v>41</v>
      </c>
      <c r="U31" s="221" t="s">
        <v>375</v>
      </c>
      <c r="V31" s="224" t="s">
        <v>41</v>
      </c>
      <c r="W31" s="227">
        <f>AVERAGEIF($R$29:$R$1528,"Phase 1 MT",$Q$29:$Q$1528)</f>
        <v>23.75</v>
      </c>
    </row>
    <row r="32" spans="1:23" x14ac:dyDescent="0.2">
      <c r="A32" s="242" t="s">
        <v>24</v>
      </c>
      <c r="B32" s="243"/>
      <c r="C32" s="243"/>
      <c r="D32" s="243"/>
      <c r="E32" s="243"/>
      <c r="F32" s="243"/>
      <c r="G32" s="244"/>
      <c r="H32" s="243" t="s">
        <v>25</v>
      </c>
      <c r="I32" s="243"/>
      <c r="J32" s="243"/>
      <c r="K32" s="243"/>
      <c r="L32" s="243"/>
      <c r="M32" s="244"/>
      <c r="N32" s="245">
        <v>44365</v>
      </c>
      <c r="O32" s="246"/>
      <c r="P32" s="203">
        <v>91</v>
      </c>
      <c r="Q32" s="210">
        <v>31</v>
      </c>
      <c r="R32" s="243" t="s">
        <v>27</v>
      </c>
      <c r="S32" s="243"/>
      <c r="T32" s="218" t="s">
        <v>79</v>
      </c>
      <c r="U32" s="221" t="s">
        <v>375</v>
      </c>
      <c r="V32" s="224" t="s">
        <v>79</v>
      </c>
      <c r="W32" s="227">
        <f>AVERAGEIF($R$29:$R$1528,"Phase 1 RR",$Q$29:$Q$1528)</f>
        <v>79</v>
      </c>
    </row>
    <row r="33" spans="1:23" x14ac:dyDescent="0.2">
      <c r="A33" s="242" t="s">
        <v>24</v>
      </c>
      <c r="B33" s="243"/>
      <c r="C33" s="243"/>
      <c r="D33" s="243"/>
      <c r="E33" s="243"/>
      <c r="F33" s="243"/>
      <c r="G33" s="244"/>
      <c r="H33" s="243" t="s">
        <v>216</v>
      </c>
      <c r="I33" s="243"/>
      <c r="J33" s="243"/>
      <c r="K33" s="243"/>
      <c r="L33" s="243"/>
      <c r="M33" s="244"/>
      <c r="N33" s="245">
        <v>44350</v>
      </c>
      <c r="O33" s="246"/>
      <c r="P33" s="203">
        <v>99</v>
      </c>
      <c r="Q33" s="210">
        <v>13</v>
      </c>
      <c r="R33" s="243" t="s">
        <v>200</v>
      </c>
      <c r="S33" s="243"/>
      <c r="T33" s="218" t="s">
        <v>188</v>
      </c>
      <c r="U33" s="221" t="s">
        <v>375</v>
      </c>
      <c r="V33" s="224" t="s">
        <v>188</v>
      </c>
      <c r="W33" s="227">
        <f>AVERAGEIF($R$29:$R$1528,"Phase 2",$Q$29:$Q$1528)</f>
        <v>17</v>
      </c>
    </row>
    <row r="34" spans="1:23" x14ac:dyDescent="0.2">
      <c r="A34" s="242" t="s">
        <v>32</v>
      </c>
      <c r="B34" s="243"/>
      <c r="C34" s="243"/>
      <c r="D34" s="243"/>
      <c r="E34" s="243"/>
      <c r="F34" s="243"/>
      <c r="G34" s="244"/>
      <c r="H34" s="243" t="s">
        <v>33</v>
      </c>
      <c r="I34" s="243"/>
      <c r="J34" s="243"/>
      <c r="K34" s="243"/>
      <c r="L34" s="243"/>
      <c r="M34" s="244"/>
      <c r="N34" s="245">
        <v>44375</v>
      </c>
      <c r="O34" s="246"/>
      <c r="P34" s="203">
        <v>214</v>
      </c>
      <c r="Q34" s="210">
        <v>161</v>
      </c>
      <c r="R34" s="243" t="s">
        <v>34</v>
      </c>
      <c r="S34" s="243"/>
      <c r="T34" s="218" t="s">
        <v>200</v>
      </c>
      <c r="U34" s="221" t="s">
        <v>376</v>
      </c>
      <c r="V34" s="224" t="s">
        <v>200</v>
      </c>
      <c r="W34" s="227">
        <f>AVERAGEIF($R$29:$R$1528,"Phase 3",$Q$29:$Q$1528)</f>
        <v>16.666666666666668</v>
      </c>
    </row>
    <row r="35" spans="1:23" x14ac:dyDescent="0.2">
      <c r="A35" s="242" t="s">
        <v>130</v>
      </c>
      <c r="B35" s="243"/>
      <c r="C35" s="243"/>
      <c r="D35" s="243"/>
      <c r="E35" s="243"/>
      <c r="F35" s="243"/>
      <c r="G35" s="244"/>
      <c r="H35" s="243" t="s">
        <v>207</v>
      </c>
      <c r="I35" s="243"/>
      <c r="J35" s="243"/>
      <c r="K35" s="243"/>
      <c r="L35" s="243"/>
      <c r="M35" s="244"/>
      <c r="N35" s="245">
        <v>44365</v>
      </c>
      <c r="O35" s="246"/>
      <c r="P35" s="203">
        <v>281</v>
      </c>
      <c r="Q35" s="210">
        <v>292</v>
      </c>
      <c r="R35" s="243" t="s">
        <v>64</v>
      </c>
      <c r="S35" s="243"/>
      <c r="T35" s="218" t="s">
        <v>362</v>
      </c>
      <c r="U35" s="221" t="s">
        <v>375</v>
      </c>
      <c r="V35" s="224" t="s">
        <v>362</v>
      </c>
      <c r="W35" s="227">
        <f>(SUMIFS($Q29:$Q1528,$R$29:$R$1528,"Step 1")+SUMIFS($Q29:$Q1528,$R$29:$R$1528,"Step 2")+SUMIFS($Q29:$Q1528,$R$29:$R$1528,"Step 3")+SUMIFS($Q29:$Q1528,$R$29:$R$1528,"Step 4")+SUMIFS($Q29:$Q1528,$R$29:$R$1528,"Step 5")+SUMIFS($Q29:$Q1528,$R$29:$R$1528,"Step 6")+SUMIFS($Q29:$Q1528,$R$29:$R$1528,"Step 7")+SUMIFS($Q29:$Q1528,$R$29:$R$1528,"Step 8")+SUMIFS($Q29:$Q1528,$R$29:$R$1528,"Step 9")+SUMIFS($Q29:$Q1528,$R$29:$R$1528,"Step 10")+SUMIFS($Q29:$Q1528,$R$29:$R$1528,"Step 11")+SUMIFS($Q29:$Q1528,$R$29:$R$1528,"Step 12"))/12</f>
        <v>106.08333333333333</v>
      </c>
    </row>
    <row r="36" spans="1:23" x14ac:dyDescent="0.2">
      <c r="A36" s="242" t="s">
        <v>130</v>
      </c>
      <c r="B36" s="243"/>
      <c r="C36" s="243"/>
      <c r="D36" s="243"/>
      <c r="E36" s="243"/>
      <c r="F36" s="243"/>
      <c r="G36" s="244"/>
      <c r="H36" s="243" t="s">
        <v>131</v>
      </c>
      <c r="I36" s="243"/>
      <c r="J36" s="243"/>
      <c r="K36" s="243"/>
      <c r="L36" s="243"/>
      <c r="M36" s="244"/>
      <c r="N36" s="245">
        <v>44356</v>
      </c>
      <c r="O36" s="246"/>
      <c r="P36" s="203">
        <v>288</v>
      </c>
      <c r="Q36" s="210">
        <v>16</v>
      </c>
      <c r="R36" s="243" t="s">
        <v>185</v>
      </c>
      <c r="S36" s="243"/>
      <c r="T36" s="218" t="s">
        <v>373</v>
      </c>
      <c r="U36" s="221" t="s">
        <v>375</v>
      </c>
      <c r="V36" s="224" t="s">
        <v>373</v>
      </c>
      <c r="W36" s="227">
        <f>AVERAGEIF($R$29:$R$1528,"Opportunity Data",$Q$29:$Q$1528)</f>
        <v>46.692307692307693</v>
      </c>
    </row>
    <row r="37" spans="1:23" x14ac:dyDescent="0.2">
      <c r="A37" s="242" t="s">
        <v>195</v>
      </c>
      <c r="B37" s="243"/>
      <c r="C37" s="243"/>
      <c r="D37" s="243"/>
      <c r="E37" s="243"/>
      <c r="F37" s="243"/>
      <c r="G37" s="244"/>
      <c r="H37" s="243" t="s">
        <v>196</v>
      </c>
      <c r="I37" s="243"/>
      <c r="J37" s="243"/>
      <c r="K37" s="243"/>
      <c r="L37" s="243"/>
      <c r="M37" s="244"/>
      <c r="N37" s="245">
        <v>44350</v>
      </c>
      <c r="O37" s="246"/>
      <c r="P37" s="203">
        <v>292</v>
      </c>
      <c r="Q37" s="210">
        <v>6</v>
      </c>
      <c r="R37" s="243" t="s">
        <v>200</v>
      </c>
      <c r="S37" s="243"/>
      <c r="T37" s="218" t="s">
        <v>374</v>
      </c>
      <c r="U37" s="221" t="s">
        <v>375</v>
      </c>
      <c r="V37" s="224" t="s">
        <v>374</v>
      </c>
      <c r="W37" s="227">
        <f>AVERAGEIF($R$29:$R$1528,"Momentary Time Sampling",$Q$29:$Q$1528)</f>
        <v>160</v>
      </c>
    </row>
    <row r="38" spans="1:23" x14ac:dyDescent="0.2">
      <c r="A38" s="242" t="s">
        <v>195</v>
      </c>
      <c r="B38" s="243"/>
      <c r="C38" s="243"/>
      <c r="D38" s="243"/>
      <c r="E38" s="243"/>
      <c r="F38" s="243"/>
      <c r="G38" s="244"/>
      <c r="H38" s="243" t="s">
        <v>199</v>
      </c>
      <c r="I38" s="243"/>
      <c r="J38" s="243"/>
      <c r="K38" s="243"/>
      <c r="L38" s="243"/>
      <c r="M38" s="244"/>
      <c r="N38" s="245">
        <v>44350</v>
      </c>
      <c r="O38" s="246"/>
      <c r="P38" s="203">
        <v>296</v>
      </c>
      <c r="Q38" s="210">
        <v>6</v>
      </c>
      <c r="R38" s="243" t="s">
        <v>200</v>
      </c>
      <c r="S38" s="243"/>
      <c r="T38" s="218" t="s">
        <v>108</v>
      </c>
      <c r="U38" s="221" t="s">
        <v>375</v>
      </c>
      <c r="V38" s="224" t="s">
        <v>379</v>
      </c>
      <c r="W38" s="227">
        <f>AVERAGEIF($R$29:$R$1528,"Weekly Maintenance",$Q$29:$Q$1528)</f>
        <v>5.625</v>
      </c>
    </row>
    <row r="39" spans="1:23" ht="17" thickBot="1" x14ac:dyDescent="0.25">
      <c r="A39" s="242" t="s">
        <v>195</v>
      </c>
      <c r="B39" s="243"/>
      <c r="C39" s="243"/>
      <c r="D39" s="243"/>
      <c r="E39" s="243"/>
      <c r="F39" s="243"/>
      <c r="G39" s="244"/>
      <c r="H39" s="243" t="s">
        <v>233</v>
      </c>
      <c r="I39" s="243"/>
      <c r="J39" s="243"/>
      <c r="K39" s="243"/>
      <c r="L39" s="243"/>
      <c r="M39" s="244"/>
      <c r="N39" s="245">
        <v>44342</v>
      </c>
      <c r="O39" s="246"/>
      <c r="P39" s="203">
        <v>337</v>
      </c>
      <c r="Q39" s="210">
        <v>1</v>
      </c>
      <c r="R39" s="243" t="s">
        <v>41</v>
      </c>
      <c r="S39" s="247"/>
      <c r="T39" s="219" t="s">
        <v>99</v>
      </c>
      <c r="U39" s="222" t="s">
        <v>377</v>
      </c>
      <c r="V39" s="225" t="s">
        <v>99</v>
      </c>
      <c r="W39" s="228">
        <f>AVERAGEIF($R$29:$R$1528,"Monthly Maintenance",$Q$29:$Q$1528)</f>
        <v>3.8461538461538463</v>
      </c>
    </row>
    <row r="40" spans="1:23" ht="17" thickTop="1" x14ac:dyDescent="0.2">
      <c r="A40" s="242" t="s">
        <v>195</v>
      </c>
      <c r="B40" s="243"/>
      <c r="C40" s="243"/>
      <c r="D40" s="243"/>
      <c r="E40" s="243"/>
      <c r="F40" s="243"/>
      <c r="G40" s="244"/>
      <c r="H40" s="243" t="s">
        <v>234</v>
      </c>
      <c r="I40" s="243"/>
      <c r="J40" s="243"/>
      <c r="K40" s="243"/>
      <c r="L40" s="243"/>
      <c r="M40" s="244"/>
      <c r="N40" s="245">
        <v>44350</v>
      </c>
      <c r="O40" s="246"/>
      <c r="P40" s="203">
        <v>303</v>
      </c>
      <c r="Q40" s="210">
        <v>8</v>
      </c>
      <c r="R40" s="243" t="s">
        <v>200</v>
      </c>
      <c r="S40" s="247"/>
    </row>
    <row r="41" spans="1:23" x14ac:dyDescent="0.2">
      <c r="A41" s="242" t="s">
        <v>195</v>
      </c>
      <c r="B41" s="243"/>
      <c r="C41" s="243"/>
      <c r="D41" s="243"/>
      <c r="E41" s="243"/>
      <c r="F41" s="243"/>
      <c r="G41" s="244"/>
      <c r="H41" s="243" t="s">
        <v>235</v>
      </c>
      <c r="I41" s="243"/>
      <c r="J41" s="243"/>
      <c r="K41" s="243"/>
      <c r="L41" s="243"/>
      <c r="M41" s="244"/>
      <c r="N41" s="245">
        <v>44365</v>
      </c>
      <c r="O41" s="246"/>
      <c r="P41" s="203">
        <v>319</v>
      </c>
      <c r="Q41" s="210">
        <v>20</v>
      </c>
      <c r="R41" s="243" t="s">
        <v>41</v>
      </c>
      <c r="S41" s="247"/>
    </row>
    <row r="42" spans="1:23" x14ac:dyDescent="0.2">
      <c r="A42" s="242" t="s">
        <v>195</v>
      </c>
      <c r="B42" s="243"/>
      <c r="C42" s="243"/>
      <c r="D42" s="243"/>
      <c r="E42" s="243"/>
      <c r="F42" s="243"/>
      <c r="G42" s="244"/>
      <c r="H42" s="243" t="s">
        <v>236</v>
      </c>
      <c r="I42" s="243"/>
      <c r="J42" s="243"/>
      <c r="K42" s="243"/>
      <c r="L42" s="243"/>
      <c r="M42" s="244"/>
      <c r="N42" s="245">
        <v>44365</v>
      </c>
      <c r="O42" s="246"/>
      <c r="P42" s="203">
        <v>334</v>
      </c>
      <c r="Q42" s="210">
        <v>19</v>
      </c>
      <c r="R42" s="243" t="s">
        <v>41</v>
      </c>
      <c r="S42" s="247"/>
    </row>
    <row r="43" spans="1:23" x14ac:dyDescent="0.2">
      <c r="A43" s="242" t="s">
        <v>239</v>
      </c>
      <c r="B43" s="243"/>
      <c r="C43" s="243"/>
      <c r="D43" s="243"/>
      <c r="E43" s="243"/>
      <c r="F43" s="243"/>
      <c r="G43" s="244"/>
      <c r="H43" s="243" t="s">
        <v>240</v>
      </c>
      <c r="I43" s="243"/>
      <c r="J43" s="243"/>
      <c r="K43" s="243"/>
      <c r="L43" s="243"/>
      <c r="M43" s="244"/>
      <c r="N43" s="245">
        <v>44342</v>
      </c>
      <c r="O43" s="246"/>
      <c r="P43" s="203">
        <v>335</v>
      </c>
      <c r="Q43" s="210">
        <v>1</v>
      </c>
      <c r="R43" s="243" t="s">
        <v>41</v>
      </c>
      <c r="S43" s="247"/>
    </row>
    <row r="44" spans="1:23" x14ac:dyDescent="0.2">
      <c r="A44" s="242" t="s">
        <v>239</v>
      </c>
      <c r="B44" s="243"/>
      <c r="C44" s="243"/>
      <c r="D44" s="243"/>
      <c r="E44" s="243"/>
      <c r="F44" s="243"/>
      <c r="G44" s="244"/>
      <c r="H44" s="243" t="s">
        <v>241</v>
      </c>
      <c r="I44" s="243"/>
      <c r="J44" s="243"/>
      <c r="K44" s="243"/>
      <c r="L44" s="243"/>
      <c r="M44" s="244"/>
      <c r="N44" s="245">
        <v>44342</v>
      </c>
      <c r="O44" s="246"/>
      <c r="P44" s="203">
        <v>336</v>
      </c>
      <c r="Q44" s="210">
        <v>1</v>
      </c>
      <c r="R44" s="243" t="s">
        <v>41</v>
      </c>
      <c r="S44" s="247"/>
    </row>
    <row r="45" spans="1:23" x14ac:dyDescent="0.2">
      <c r="A45" s="242" t="s">
        <v>239</v>
      </c>
      <c r="B45" s="243"/>
      <c r="C45" s="243"/>
      <c r="D45" s="243"/>
      <c r="E45" s="243"/>
      <c r="F45" s="243"/>
      <c r="G45" s="244"/>
      <c r="H45" s="243" t="s">
        <v>233</v>
      </c>
      <c r="I45" s="243"/>
      <c r="J45" s="243"/>
      <c r="K45" s="243"/>
      <c r="L45" s="243"/>
      <c r="M45" s="244"/>
      <c r="N45" s="245">
        <v>44342</v>
      </c>
      <c r="O45" s="246"/>
      <c r="P45" s="203">
        <v>337</v>
      </c>
      <c r="Q45" s="210">
        <v>1</v>
      </c>
      <c r="R45" s="243" t="s">
        <v>41</v>
      </c>
      <c r="S45" s="247"/>
    </row>
    <row r="46" spans="1:23" x14ac:dyDescent="0.2">
      <c r="A46" s="242" t="s">
        <v>239</v>
      </c>
      <c r="B46" s="243"/>
      <c r="C46" s="243"/>
      <c r="D46" s="243"/>
      <c r="E46" s="243"/>
      <c r="F46" s="243"/>
      <c r="G46" s="244"/>
      <c r="H46" s="243" t="s">
        <v>242</v>
      </c>
      <c r="I46" s="243"/>
      <c r="J46" s="243"/>
      <c r="K46" s="243"/>
      <c r="L46" s="243"/>
      <c r="M46" s="244"/>
      <c r="N46" s="245">
        <v>44342</v>
      </c>
      <c r="O46" s="246"/>
      <c r="P46" s="203">
        <v>338</v>
      </c>
      <c r="Q46" s="210">
        <v>1</v>
      </c>
      <c r="R46" s="243" t="s">
        <v>41</v>
      </c>
      <c r="S46" s="247"/>
    </row>
    <row r="47" spans="1:23" x14ac:dyDescent="0.2">
      <c r="A47" s="242" t="s">
        <v>239</v>
      </c>
      <c r="B47" s="243"/>
      <c r="C47" s="243"/>
      <c r="D47" s="243"/>
      <c r="E47" s="243"/>
      <c r="F47" s="243"/>
      <c r="G47" s="244"/>
      <c r="H47" s="243" t="s">
        <v>243</v>
      </c>
      <c r="I47" s="243"/>
      <c r="J47" s="243"/>
      <c r="K47" s="243"/>
      <c r="L47" s="243"/>
      <c r="M47" s="244"/>
      <c r="N47" s="245">
        <v>44342</v>
      </c>
      <c r="O47" s="246"/>
      <c r="P47" s="203">
        <v>339</v>
      </c>
      <c r="Q47" s="210">
        <v>1</v>
      </c>
      <c r="R47" s="243" t="s">
        <v>41</v>
      </c>
      <c r="S47" s="247"/>
    </row>
    <row r="48" spans="1:23" x14ac:dyDescent="0.2">
      <c r="A48" s="242" t="s">
        <v>239</v>
      </c>
      <c r="B48" s="243"/>
      <c r="C48" s="243"/>
      <c r="D48" s="243"/>
      <c r="E48" s="243"/>
      <c r="F48" s="243"/>
      <c r="G48" s="244"/>
      <c r="H48" s="243" t="s">
        <v>244</v>
      </c>
      <c r="I48" s="243"/>
      <c r="J48" s="243"/>
      <c r="K48" s="243"/>
      <c r="L48" s="243"/>
      <c r="M48" s="244"/>
      <c r="N48" s="245">
        <v>44342</v>
      </c>
      <c r="O48" s="246"/>
      <c r="P48" s="203">
        <v>340</v>
      </c>
      <c r="Q48" s="210">
        <v>1</v>
      </c>
      <c r="R48" s="243" t="s">
        <v>41</v>
      </c>
      <c r="S48" s="247"/>
    </row>
    <row r="49" spans="1:19" x14ac:dyDescent="0.2">
      <c r="A49" s="242" t="s">
        <v>239</v>
      </c>
      <c r="B49" s="243"/>
      <c r="C49" s="243"/>
      <c r="D49" s="243"/>
      <c r="E49" s="243"/>
      <c r="F49" s="243"/>
      <c r="G49" s="244"/>
      <c r="H49" s="243" t="s">
        <v>245</v>
      </c>
      <c r="I49" s="243"/>
      <c r="J49" s="243"/>
      <c r="K49" s="243"/>
      <c r="L49" s="243"/>
      <c r="M49" s="244"/>
      <c r="N49" s="245">
        <v>44342</v>
      </c>
      <c r="O49" s="246"/>
      <c r="P49" s="203">
        <v>341</v>
      </c>
      <c r="Q49" s="210">
        <v>1</v>
      </c>
      <c r="R49" s="243" t="s">
        <v>41</v>
      </c>
      <c r="S49" s="247"/>
    </row>
    <row r="50" spans="1:19" x14ac:dyDescent="0.2">
      <c r="A50" s="242" t="s">
        <v>239</v>
      </c>
      <c r="B50" s="243"/>
      <c r="C50" s="243"/>
      <c r="D50" s="243"/>
      <c r="E50" s="243"/>
      <c r="F50" s="243"/>
      <c r="G50" s="244"/>
      <c r="H50" s="243" t="s">
        <v>246</v>
      </c>
      <c r="I50" s="243"/>
      <c r="J50" s="243"/>
      <c r="K50" s="243"/>
      <c r="L50" s="243"/>
      <c r="M50" s="244"/>
      <c r="N50" s="245">
        <v>44342</v>
      </c>
      <c r="O50" s="246"/>
      <c r="P50" s="203">
        <v>342</v>
      </c>
      <c r="Q50" s="210">
        <v>1</v>
      </c>
      <c r="R50" s="243" t="s">
        <v>41</v>
      </c>
      <c r="S50" s="247"/>
    </row>
    <row r="51" spans="1:19" x14ac:dyDescent="0.2">
      <c r="A51" s="242" t="s">
        <v>239</v>
      </c>
      <c r="B51" s="243"/>
      <c r="C51" s="243"/>
      <c r="D51" s="243"/>
      <c r="E51" s="243"/>
      <c r="F51" s="243"/>
      <c r="G51" s="244"/>
      <c r="H51" s="243" t="s">
        <v>247</v>
      </c>
      <c r="I51" s="243"/>
      <c r="J51" s="243"/>
      <c r="K51" s="243"/>
      <c r="L51" s="243"/>
      <c r="M51" s="244"/>
      <c r="N51" s="245">
        <v>44342</v>
      </c>
      <c r="O51" s="246"/>
      <c r="P51" s="203">
        <v>343</v>
      </c>
      <c r="Q51" s="210">
        <v>1</v>
      </c>
      <c r="R51" s="243" t="s">
        <v>41</v>
      </c>
      <c r="S51" s="247"/>
    </row>
    <row r="52" spans="1:19" x14ac:dyDescent="0.2">
      <c r="A52" s="242" t="s">
        <v>222</v>
      </c>
      <c r="B52" s="243"/>
      <c r="C52" s="243"/>
      <c r="D52" s="243"/>
      <c r="E52" s="243"/>
      <c r="F52" s="243"/>
      <c r="G52" s="244"/>
      <c r="H52" s="243" t="s">
        <v>223</v>
      </c>
      <c r="I52" s="243"/>
      <c r="J52" s="243"/>
      <c r="K52" s="243"/>
      <c r="L52" s="243"/>
      <c r="M52" s="244"/>
      <c r="N52" s="245">
        <v>44361</v>
      </c>
      <c r="O52" s="246"/>
      <c r="P52" s="203">
        <v>362</v>
      </c>
      <c r="Q52" s="210">
        <v>20</v>
      </c>
      <c r="R52" s="243" t="s">
        <v>41</v>
      </c>
      <c r="S52" s="247"/>
    </row>
    <row r="53" spans="1:19" x14ac:dyDescent="0.2">
      <c r="A53" s="242" t="s">
        <v>222</v>
      </c>
      <c r="B53" s="243"/>
      <c r="C53" s="243"/>
      <c r="D53" s="243"/>
      <c r="E53" s="243"/>
      <c r="F53" s="243"/>
      <c r="G53" s="244"/>
      <c r="H53" s="243" t="s">
        <v>224</v>
      </c>
      <c r="I53" s="243"/>
      <c r="J53" s="243"/>
      <c r="K53" s="243"/>
      <c r="L53" s="243"/>
      <c r="M53" s="244"/>
      <c r="N53" s="245">
        <v>44361</v>
      </c>
      <c r="O53" s="246"/>
      <c r="P53" s="203">
        <v>381</v>
      </c>
      <c r="Q53" s="210">
        <v>20</v>
      </c>
      <c r="R53" s="243" t="s">
        <v>41</v>
      </c>
      <c r="S53" s="247"/>
    </row>
    <row r="54" spans="1:19" x14ac:dyDescent="0.2">
      <c r="A54" s="242" t="s">
        <v>222</v>
      </c>
      <c r="B54" s="243"/>
      <c r="C54" s="243"/>
      <c r="D54" s="243"/>
      <c r="E54" s="243"/>
      <c r="F54" s="243"/>
      <c r="G54" s="244"/>
      <c r="H54" s="243" t="s">
        <v>225</v>
      </c>
      <c r="I54" s="243"/>
      <c r="J54" s="243"/>
      <c r="K54" s="243"/>
      <c r="L54" s="243"/>
      <c r="M54" s="244"/>
      <c r="N54" s="245">
        <v>44361</v>
      </c>
      <c r="O54" s="246"/>
      <c r="P54" s="203">
        <v>400</v>
      </c>
      <c r="Q54" s="210">
        <v>20</v>
      </c>
      <c r="R54" s="243" t="s">
        <v>41</v>
      </c>
      <c r="S54" s="247"/>
    </row>
    <row r="55" spans="1:19" x14ac:dyDescent="0.2">
      <c r="A55" s="242" t="s">
        <v>222</v>
      </c>
      <c r="B55" s="243"/>
      <c r="C55" s="243"/>
      <c r="D55" s="243"/>
      <c r="E55" s="243"/>
      <c r="F55" s="243"/>
      <c r="G55" s="244"/>
      <c r="H55" s="243" t="s">
        <v>226</v>
      </c>
      <c r="I55" s="243"/>
      <c r="J55" s="243"/>
      <c r="K55" s="243"/>
      <c r="L55" s="243"/>
      <c r="M55" s="244"/>
      <c r="N55" s="245">
        <v>44361</v>
      </c>
      <c r="O55" s="246"/>
      <c r="P55" s="203">
        <v>419</v>
      </c>
      <c r="Q55" s="210">
        <v>20</v>
      </c>
      <c r="R55" s="243" t="s">
        <v>41</v>
      </c>
      <c r="S55" s="247"/>
    </row>
    <row r="56" spans="1:19" x14ac:dyDescent="0.2">
      <c r="A56" s="242" t="s">
        <v>222</v>
      </c>
      <c r="B56" s="243"/>
      <c r="C56" s="243"/>
      <c r="D56" s="243"/>
      <c r="E56" s="243"/>
      <c r="F56" s="243"/>
      <c r="G56" s="244"/>
      <c r="H56" s="243" t="s">
        <v>227</v>
      </c>
      <c r="I56" s="243"/>
      <c r="J56" s="243"/>
      <c r="K56" s="243"/>
      <c r="L56" s="243"/>
      <c r="M56" s="244"/>
      <c r="N56" s="245">
        <v>44361</v>
      </c>
      <c r="O56" s="246"/>
      <c r="P56" s="203">
        <v>438</v>
      </c>
      <c r="Q56" s="210">
        <v>20</v>
      </c>
      <c r="R56" s="243" t="s">
        <v>41</v>
      </c>
      <c r="S56" s="247"/>
    </row>
    <row r="57" spans="1:19" x14ac:dyDescent="0.2">
      <c r="A57" s="242" t="s">
        <v>222</v>
      </c>
      <c r="B57" s="243"/>
      <c r="C57" s="243"/>
      <c r="D57" s="243"/>
      <c r="E57" s="243"/>
      <c r="F57" s="243"/>
      <c r="G57" s="244"/>
      <c r="H57" s="243" t="s">
        <v>228</v>
      </c>
      <c r="I57" s="243"/>
      <c r="J57" s="243"/>
      <c r="K57" s="243"/>
      <c r="L57" s="243"/>
      <c r="M57" s="244"/>
      <c r="N57" s="245">
        <v>44361</v>
      </c>
      <c r="O57" s="246"/>
      <c r="P57" s="203">
        <v>457</v>
      </c>
      <c r="Q57" s="210">
        <v>19</v>
      </c>
      <c r="R57" s="243" t="s">
        <v>41</v>
      </c>
      <c r="S57" s="247"/>
    </row>
    <row r="58" spans="1:19" x14ac:dyDescent="0.2">
      <c r="A58" s="242" t="s">
        <v>38</v>
      </c>
      <c r="B58" s="243"/>
      <c r="C58" s="243"/>
      <c r="D58" s="243"/>
      <c r="E58" s="243"/>
      <c r="F58" s="243"/>
      <c r="G58" s="244"/>
      <c r="H58" s="243" t="s">
        <v>39</v>
      </c>
      <c r="I58" s="243"/>
      <c r="J58" s="243"/>
      <c r="K58" s="243"/>
      <c r="L58" s="243"/>
      <c r="M58" s="244"/>
      <c r="N58" s="245">
        <v>44375</v>
      </c>
      <c r="O58" s="246"/>
      <c r="P58" s="203">
        <v>570</v>
      </c>
      <c r="Q58" s="210">
        <v>103</v>
      </c>
      <c r="R58" s="243" t="s">
        <v>27</v>
      </c>
      <c r="S58" s="247"/>
    </row>
    <row r="59" spans="1:19" x14ac:dyDescent="0.2">
      <c r="A59" s="242" t="s">
        <v>38</v>
      </c>
      <c r="B59" s="243"/>
      <c r="C59" s="243"/>
      <c r="D59" s="243"/>
      <c r="E59" s="243"/>
      <c r="F59" s="243"/>
      <c r="G59" s="244"/>
      <c r="H59" s="243" t="s">
        <v>40</v>
      </c>
      <c r="I59" s="243"/>
      <c r="J59" s="243"/>
      <c r="K59" s="243"/>
      <c r="L59" s="243"/>
      <c r="M59" s="244"/>
      <c r="N59" s="245">
        <v>44375</v>
      </c>
      <c r="O59" s="246"/>
      <c r="P59" s="203">
        <v>672</v>
      </c>
      <c r="Q59" s="210">
        <v>130</v>
      </c>
      <c r="R59" s="243" t="s">
        <v>27</v>
      </c>
      <c r="S59" s="247"/>
    </row>
    <row r="60" spans="1:19" x14ac:dyDescent="0.2">
      <c r="A60" s="242" t="s">
        <v>93</v>
      </c>
      <c r="B60" s="243"/>
      <c r="C60" s="243"/>
      <c r="D60" s="243"/>
      <c r="E60" s="243"/>
      <c r="F60" s="243"/>
      <c r="G60" s="244"/>
      <c r="H60" s="243" t="s">
        <v>94</v>
      </c>
      <c r="I60" s="243"/>
      <c r="J60" s="243"/>
      <c r="K60" s="243"/>
      <c r="L60" s="243"/>
      <c r="M60" s="244"/>
      <c r="N60" s="245">
        <v>44365</v>
      </c>
      <c r="O60" s="246"/>
      <c r="P60" s="203">
        <v>757</v>
      </c>
      <c r="Q60" s="210">
        <v>214</v>
      </c>
      <c r="R60" s="243" t="s">
        <v>41</v>
      </c>
      <c r="S60" s="247"/>
    </row>
    <row r="61" spans="1:19" x14ac:dyDescent="0.2">
      <c r="A61" s="242" t="s">
        <v>93</v>
      </c>
      <c r="B61" s="243"/>
      <c r="C61" s="243"/>
      <c r="D61" s="243"/>
      <c r="E61" s="243"/>
      <c r="F61" s="243"/>
      <c r="G61" s="244"/>
      <c r="H61" s="243" t="s">
        <v>202</v>
      </c>
      <c r="I61" s="243"/>
      <c r="J61" s="243"/>
      <c r="K61" s="243"/>
      <c r="L61" s="243"/>
      <c r="M61" s="244"/>
      <c r="N61" s="245">
        <v>44375</v>
      </c>
      <c r="O61" s="246"/>
      <c r="P61" s="203">
        <v>762</v>
      </c>
      <c r="Q61" s="210">
        <v>17</v>
      </c>
      <c r="R61" s="243" t="s">
        <v>188</v>
      </c>
      <c r="S61" s="247"/>
    </row>
    <row r="62" spans="1:19" x14ac:dyDescent="0.2">
      <c r="A62" s="242" t="s">
        <v>93</v>
      </c>
      <c r="B62" s="243"/>
      <c r="C62" s="243"/>
      <c r="D62" s="243"/>
      <c r="E62" s="243"/>
      <c r="F62" s="243"/>
      <c r="G62" s="244"/>
      <c r="H62" s="243" t="s">
        <v>184</v>
      </c>
      <c r="I62" s="243"/>
      <c r="J62" s="243"/>
      <c r="K62" s="243"/>
      <c r="L62" s="243"/>
      <c r="M62" s="244"/>
      <c r="N62" s="245">
        <v>44365</v>
      </c>
      <c r="O62" s="246"/>
      <c r="P62" s="203">
        <v>827</v>
      </c>
      <c r="Q62" s="210">
        <v>222</v>
      </c>
      <c r="R62" s="243" t="s">
        <v>79</v>
      </c>
      <c r="S62" s="247"/>
    </row>
    <row r="63" spans="1:19" x14ac:dyDescent="0.2">
      <c r="A63" s="242" t="s">
        <v>48</v>
      </c>
      <c r="B63" s="243"/>
      <c r="C63" s="243"/>
      <c r="D63" s="243"/>
      <c r="E63" s="243"/>
      <c r="F63" s="243"/>
      <c r="G63" s="244"/>
      <c r="H63" s="243" t="s">
        <v>49</v>
      </c>
      <c r="I63" s="243"/>
      <c r="J63" s="243"/>
      <c r="K63" s="243"/>
      <c r="L63" s="243"/>
      <c r="M63" s="244"/>
      <c r="N63" s="245">
        <v>44365</v>
      </c>
      <c r="O63" s="246"/>
      <c r="P63" s="203">
        <v>894</v>
      </c>
      <c r="Q63" s="210">
        <v>67</v>
      </c>
      <c r="R63" s="243" t="s">
        <v>51</v>
      </c>
      <c r="S63" s="247"/>
    </row>
    <row r="64" spans="1:19" x14ac:dyDescent="0.2">
      <c r="A64" s="242" t="s">
        <v>48</v>
      </c>
      <c r="B64" s="243"/>
      <c r="C64" s="243"/>
      <c r="D64" s="243"/>
      <c r="E64" s="243"/>
      <c r="F64" s="243"/>
      <c r="G64" s="244"/>
      <c r="H64" s="243" t="s">
        <v>110</v>
      </c>
      <c r="I64" s="243"/>
      <c r="J64" s="243"/>
      <c r="K64" s="243"/>
      <c r="L64" s="243"/>
      <c r="M64" s="244"/>
      <c r="N64" s="245">
        <v>44365</v>
      </c>
      <c r="O64" s="246"/>
      <c r="P64" s="203">
        <v>923</v>
      </c>
      <c r="Q64" s="210">
        <v>29</v>
      </c>
      <c r="R64" s="243" t="s">
        <v>51</v>
      </c>
      <c r="S64" s="247"/>
    </row>
    <row r="65" spans="1:19" x14ac:dyDescent="0.2">
      <c r="A65" s="242" t="s">
        <v>48</v>
      </c>
      <c r="B65" s="243"/>
      <c r="C65" s="243"/>
      <c r="D65" s="243"/>
      <c r="E65" s="243"/>
      <c r="F65" s="243"/>
      <c r="G65" s="244"/>
      <c r="H65" s="243" t="s">
        <v>55</v>
      </c>
      <c r="I65" s="243"/>
      <c r="J65" s="243"/>
      <c r="K65" s="243"/>
      <c r="L65" s="243"/>
      <c r="M65" s="244"/>
      <c r="N65" s="245">
        <v>44375</v>
      </c>
      <c r="O65" s="246"/>
      <c r="P65" s="203">
        <v>1036</v>
      </c>
      <c r="Q65" s="210">
        <v>113</v>
      </c>
      <c r="R65" s="243" t="s">
        <v>51</v>
      </c>
      <c r="S65" s="247"/>
    </row>
    <row r="66" spans="1:19" x14ac:dyDescent="0.2">
      <c r="A66" s="242" t="s">
        <v>48</v>
      </c>
      <c r="B66" s="243"/>
      <c r="C66" s="243"/>
      <c r="D66" s="243"/>
      <c r="E66" s="243"/>
      <c r="F66" s="243"/>
      <c r="G66" s="244"/>
      <c r="H66" s="243" t="s">
        <v>56</v>
      </c>
      <c r="I66" s="243"/>
      <c r="J66" s="243"/>
      <c r="K66" s="243"/>
      <c r="L66" s="243"/>
      <c r="M66" s="244"/>
      <c r="N66" s="245">
        <v>44335</v>
      </c>
      <c r="O66" s="246"/>
      <c r="P66" s="203">
        <v>1111</v>
      </c>
      <c r="Q66" s="210">
        <v>75</v>
      </c>
      <c r="R66" s="243" t="s">
        <v>51</v>
      </c>
      <c r="S66" s="247"/>
    </row>
    <row r="67" spans="1:19" x14ac:dyDescent="0.2">
      <c r="A67" s="242" t="s">
        <v>48</v>
      </c>
      <c r="B67" s="243"/>
      <c r="C67" s="243"/>
      <c r="D67" s="243"/>
      <c r="E67" s="243"/>
      <c r="F67" s="243"/>
      <c r="G67" s="244"/>
      <c r="H67" s="243" t="s">
        <v>237</v>
      </c>
      <c r="I67" s="243"/>
      <c r="J67" s="243"/>
      <c r="K67" s="243"/>
      <c r="L67" s="243"/>
      <c r="M67" s="244"/>
      <c r="N67" s="245">
        <v>44375</v>
      </c>
      <c r="O67" s="246"/>
      <c r="P67" s="203">
        <v>1133</v>
      </c>
      <c r="Q67" s="210">
        <v>22</v>
      </c>
      <c r="R67" s="243" t="s">
        <v>51</v>
      </c>
      <c r="S67" s="247"/>
    </row>
    <row r="68" spans="1:19" x14ac:dyDescent="0.2">
      <c r="A68" s="242" t="s">
        <v>208</v>
      </c>
      <c r="B68" s="243"/>
      <c r="C68" s="243"/>
      <c r="D68" s="243"/>
      <c r="E68" s="243"/>
      <c r="F68" s="243"/>
      <c r="G68" s="244"/>
      <c r="H68" s="243" t="s">
        <v>209</v>
      </c>
      <c r="I68" s="243"/>
      <c r="J68" s="243"/>
      <c r="K68" s="243"/>
      <c r="L68" s="243"/>
      <c r="M68" s="244"/>
      <c r="N68" s="245">
        <v>44356</v>
      </c>
      <c r="O68" s="246"/>
      <c r="P68" s="203">
        <v>1135</v>
      </c>
      <c r="Q68" s="210">
        <v>8</v>
      </c>
      <c r="R68" s="243" t="s">
        <v>51</v>
      </c>
      <c r="S68" s="247"/>
    </row>
    <row r="69" spans="1:19" x14ac:dyDescent="0.2">
      <c r="A69" s="242" t="s">
        <v>208</v>
      </c>
      <c r="B69" s="243"/>
      <c r="C69" s="243"/>
      <c r="D69" s="243"/>
      <c r="E69" s="243"/>
      <c r="F69" s="243"/>
      <c r="G69" s="244"/>
      <c r="H69" s="243" t="s">
        <v>214</v>
      </c>
      <c r="I69" s="243"/>
      <c r="J69" s="243"/>
      <c r="K69" s="243"/>
      <c r="L69" s="243"/>
      <c r="M69" s="244"/>
      <c r="N69" s="245">
        <v>44356</v>
      </c>
      <c r="O69" s="246"/>
      <c r="P69" s="203">
        <v>1137</v>
      </c>
      <c r="Q69" s="210">
        <v>8</v>
      </c>
      <c r="R69" s="243" t="s">
        <v>51</v>
      </c>
      <c r="S69" s="247"/>
    </row>
    <row r="70" spans="1:19" x14ac:dyDescent="0.2">
      <c r="A70" s="242" t="s">
        <v>180</v>
      </c>
      <c r="B70" s="243"/>
      <c r="C70" s="243"/>
      <c r="D70" s="243"/>
      <c r="E70" s="243"/>
      <c r="F70" s="243"/>
      <c r="G70" s="244"/>
      <c r="H70" s="243" t="s">
        <v>203</v>
      </c>
      <c r="I70" s="243"/>
      <c r="J70" s="243"/>
      <c r="K70" s="243"/>
      <c r="L70" s="243"/>
      <c r="M70" s="244"/>
      <c r="N70" s="245">
        <v>44271</v>
      </c>
      <c r="O70" s="246"/>
      <c r="P70" s="203">
        <v>1143</v>
      </c>
      <c r="Q70" s="210">
        <v>26</v>
      </c>
      <c r="R70" s="243" t="s">
        <v>59</v>
      </c>
      <c r="S70" s="247"/>
    </row>
    <row r="71" spans="1:19" x14ac:dyDescent="0.2">
      <c r="A71" s="242" t="s">
        <v>180</v>
      </c>
      <c r="B71" s="243"/>
      <c r="C71" s="243"/>
      <c r="D71" s="243"/>
      <c r="E71" s="243"/>
      <c r="F71" s="243"/>
      <c r="G71" s="244"/>
      <c r="H71" s="243" t="s">
        <v>181</v>
      </c>
      <c r="I71" s="243"/>
      <c r="J71" s="243"/>
      <c r="K71" s="243"/>
      <c r="L71" s="243"/>
      <c r="M71" s="244"/>
      <c r="N71" s="245">
        <v>44365</v>
      </c>
      <c r="O71" s="246"/>
      <c r="P71" s="203">
        <v>1212</v>
      </c>
      <c r="Q71" s="210">
        <v>222</v>
      </c>
      <c r="R71" s="243" t="s">
        <v>64</v>
      </c>
      <c r="S71" s="247"/>
    </row>
    <row r="72" spans="1:19" x14ac:dyDescent="0.2">
      <c r="A72" s="242" t="s">
        <v>114</v>
      </c>
      <c r="B72" s="243"/>
      <c r="C72" s="243"/>
      <c r="D72" s="243"/>
      <c r="E72" s="243"/>
      <c r="F72" s="243"/>
      <c r="G72" s="244"/>
      <c r="H72" s="243" t="s">
        <v>115</v>
      </c>
      <c r="I72" s="243"/>
      <c r="J72" s="243"/>
      <c r="K72" s="243"/>
      <c r="L72" s="243"/>
      <c r="M72" s="244"/>
      <c r="N72" s="245">
        <v>44357</v>
      </c>
      <c r="O72" s="246"/>
      <c r="P72" s="203">
        <v>1214</v>
      </c>
      <c r="Q72" s="210">
        <v>2</v>
      </c>
      <c r="R72" s="243" t="s">
        <v>116</v>
      </c>
      <c r="S72" s="247"/>
    </row>
    <row r="73" spans="1:19" x14ac:dyDescent="0.2">
      <c r="A73" s="242" t="s">
        <v>114</v>
      </c>
      <c r="B73" s="243"/>
      <c r="C73" s="243"/>
      <c r="D73" s="243"/>
      <c r="E73" s="243"/>
      <c r="F73" s="243"/>
      <c r="G73" s="244"/>
      <c r="H73" s="243" t="s">
        <v>147</v>
      </c>
      <c r="I73" s="243"/>
      <c r="J73" s="243"/>
      <c r="K73" s="243"/>
      <c r="L73" s="243"/>
      <c r="M73" s="244"/>
      <c r="N73" s="245">
        <v>44357</v>
      </c>
      <c r="O73" s="246"/>
      <c r="P73" s="203">
        <v>1220</v>
      </c>
      <c r="Q73" s="210">
        <v>6</v>
      </c>
      <c r="R73" s="243" t="s">
        <v>116</v>
      </c>
      <c r="S73" s="247"/>
    </row>
    <row r="74" spans="1:19" x14ac:dyDescent="0.2">
      <c r="A74" s="242" t="s">
        <v>114</v>
      </c>
      <c r="B74" s="243"/>
      <c r="C74" s="243"/>
      <c r="D74" s="243"/>
      <c r="E74" s="243"/>
      <c r="F74" s="243"/>
      <c r="G74" s="244"/>
      <c r="H74" s="243" t="s">
        <v>153</v>
      </c>
      <c r="I74" s="243"/>
      <c r="J74" s="243"/>
      <c r="K74" s="243"/>
      <c r="L74" s="243"/>
      <c r="M74" s="244"/>
      <c r="N74" s="245">
        <v>44375</v>
      </c>
      <c r="O74" s="246"/>
      <c r="P74" s="203">
        <v>1234</v>
      </c>
      <c r="Q74" s="210">
        <v>17</v>
      </c>
      <c r="R74" s="243" t="s">
        <v>116</v>
      </c>
      <c r="S74" s="247"/>
    </row>
    <row r="75" spans="1:19" x14ac:dyDescent="0.2">
      <c r="A75" s="242" t="s">
        <v>118</v>
      </c>
      <c r="B75" s="243"/>
      <c r="C75" s="243"/>
      <c r="D75" s="243"/>
      <c r="E75" s="243"/>
      <c r="F75" s="243"/>
      <c r="G75" s="244"/>
      <c r="H75" s="243" t="s">
        <v>119</v>
      </c>
      <c r="I75" s="243"/>
      <c r="J75" s="243"/>
      <c r="K75" s="243"/>
      <c r="L75" s="243"/>
      <c r="M75" s="244"/>
      <c r="N75" s="245">
        <v>44364</v>
      </c>
      <c r="O75" s="246"/>
      <c r="P75" s="203">
        <v>1247</v>
      </c>
      <c r="Q75" s="210">
        <v>15</v>
      </c>
      <c r="R75" s="243" t="s">
        <v>116</v>
      </c>
      <c r="S75" s="247"/>
    </row>
    <row r="76" spans="1:19" x14ac:dyDescent="0.2">
      <c r="A76" s="242" t="s">
        <v>148</v>
      </c>
      <c r="B76" s="243"/>
      <c r="C76" s="243"/>
      <c r="D76" s="243"/>
      <c r="E76" s="243"/>
      <c r="F76" s="243"/>
      <c r="G76" s="244"/>
      <c r="H76" s="243" t="s">
        <v>149</v>
      </c>
      <c r="I76" s="243"/>
      <c r="J76" s="243"/>
      <c r="K76" s="243"/>
      <c r="L76" s="243"/>
      <c r="M76" s="244"/>
      <c r="N76" s="245">
        <v>44243</v>
      </c>
      <c r="O76" s="246"/>
      <c r="P76" s="203">
        <v>1250</v>
      </c>
      <c r="Q76" s="210">
        <v>7</v>
      </c>
      <c r="R76" s="243" t="s">
        <v>99</v>
      </c>
      <c r="S76" s="247"/>
    </row>
    <row r="77" spans="1:19" x14ac:dyDescent="0.2">
      <c r="A77" s="242" t="s">
        <v>57</v>
      </c>
      <c r="B77" s="243"/>
      <c r="C77" s="243"/>
      <c r="D77" s="243"/>
      <c r="E77" s="243"/>
      <c r="F77" s="243"/>
      <c r="G77" s="244"/>
      <c r="H77" s="243" t="s">
        <v>58</v>
      </c>
      <c r="I77" s="243"/>
      <c r="J77" s="243"/>
      <c r="K77" s="243"/>
      <c r="L77" s="243"/>
      <c r="M77" s="244"/>
      <c r="N77" s="245">
        <v>44365</v>
      </c>
      <c r="O77" s="246"/>
      <c r="P77" s="203">
        <v>1306</v>
      </c>
      <c r="Q77" s="210">
        <v>240</v>
      </c>
      <c r="R77" s="243" t="s">
        <v>64</v>
      </c>
      <c r="S77" s="247"/>
    </row>
    <row r="78" spans="1:19" x14ac:dyDescent="0.2">
      <c r="A78" s="242" t="s">
        <v>62</v>
      </c>
      <c r="B78" s="243"/>
      <c r="C78" s="243"/>
      <c r="D78" s="243"/>
      <c r="E78" s="243"/>
      <c r="F78" s="243"/>
      <c r="G78" s="244"/>
      <c r="H78" s="243" t="s">
        <v>63</v>
      </c>
      <c r="I78" s="243"/>
      <c r="J78" s="243"/>
      <c r="K78" s="243"/>
      <c r="L78" s="243"/>
      <c r="M78" s="244"/>
      <c r="N78" s="245">
        <v>44365</v>
      </c>
      <c r="O78" s="246"/>
      <c r="P78" s="203">
        <v>1359</v>
      </c>
      <c r="Q78" s="210">
        <v>269</v>
      </c>
      <c r="R78" s="243" t="s">
        <v>64</v>
      </c>
      <c r="S78" s="247"/>
    </row>
    <row r="79" spans="1:19" x14ac:dyDescent="0.2">
      <c r="A79" s="242" t="s">
        <v>66</v>
      </c>
      <c r="B79" s="243"/>
      <c r="C79" s="243"/>
      <c r="D79" s="243"/>
      <c r="E79" s="243"/>
      <c r="F79" s="243"/>
      <c r="G79" s="244"/>
      <c r="H79" s="243" t="s">
        <v>67</v>
      </c>
      <c r="I79" s="243"/>
      <c r="J79" s="243"/>
      <c r="K79" s="243"/>
      <c r="L79" s="243"/>
      <c r="M79" s="244"/>
      <c r="N79" s="245">
        <v>44375</v>
      </c>
      <c r="O79" s="246"/>
      <c r="P79" s="203">
        <v>1408</v>
      </c>
      <c r="Q79" s="210">
        <v>142</v>
      </c>
      <c r="R79" s="243" t="s">
        <v>165</v>
      </c>
      <c r="S79" s="247"/>
    </row>
    <row r="80" spans="1:19" x14ac:dyDescent="0.2">
      <c r="A80" s="242" t="s">
        <v>120</v>
      </c>
      <c r="B80" s="243"/>
      <c r="C80" s="243"/>
      <c r="D80" s="243"/>
      <c r="E80" s="243"/>
      <c r="F80" s="243"/>
      <c r="G80" s="244"/>
      <c r="H80" s="243" t="s">
        <v>121</v>
      </c>
      <c r="I80" s="243"/>
      <c r="J80" s="243"/>
      <c r="K80" s="243"/>
      <c r="L80" s="243"/>
      <c r="M80" s="244"/>
      <c r="N80" s="245">
        <v>44357</v>
      </c>
      <c r="O80" s="246"/>
      <c r="P80" s="203">
        <v>1411</v>
      </c>
      <c r="Q80" s="210">
        <v>6</v>
      </c>
      <c r="R80" s="243" t="s">
        <v>108</v>
      </c>
      <c r="S80" s="247"/>
    </row>
    <row r="81" spans="1:19" x14ac:dyDescent="0.2">
      <c r="A81" s="242" t="s">
        <v>70</v>
      </c>
      <c r="B81" s="243"/>
      <c r="C81" s="243"/>
      <c r="D81" s="243"/>
      <c r="E81" s="243"/>
      <c r="F81" s="243"/>
      <c r="G81" s="244"/>
      <c r="H81" s="243" t="s">
        <v>71</v>
      </c>
      <c r="I81" s="243"/>
      <c r="J81" s="243"/>
      <c r="K81" s="243"/>
      <c r="L81" s="243"/>
      <c r="M81" s="244"/>
      <c r="N81" s="245">
        <v>44375</v>
      </c>
      <c r="O81" s="246"/>
      <c r="P81" s="203">
        <v>1462</v>
      </c>
      <c r="Q81" s="210">
        <v>26</v>
      </c>
      <c r="R81" s="243" t="s">
        <v>34</v>
      </c>
      <c r="S81" s="247"/>
    </row>
    <row r="82" spans="1:19" x14ac:dyDescent="0.2">
      <c r="A82" s="242" t="s">
        <v>248</v>
      </c>
      <c r="B82" s="243"/>
      <c r="C82" s="243"/>
      <c r="D82" s="243"/>
      <c r="E82" s="243"/>
      <c r="F82" s="243"/>
      <c r="G82" s="244"/>
      <c r="H82" s="243" t="s">
        <v>255</v>
      </c>
      <c r="I82" s="243"/>
      <c r="J82" s="243"/>
      <c r="K82" s="243"/>
      <c r="L82" s="243"/>
      <c r="M82" s="244"/>
      <c r="N82" s="245">
        <v>44364</v>
      </c>
      <c r="O82" s="246"/>
      <c r="P82" s="203">
        <v>1463</v>
      </c>
      <c r="Q82" s="210">
        <v>1</v>
      </c>
      <c r="R82" s="243" t="s">
        <v>108</v>
      </c>
      <c r="S82" s="247"/>
    </row>
    <row r="83" spans="1:19" x14ac:dyDescent="0.2">
      <c r="A83" s="242" t="s">
        <v>248</v>
      </c>
      <c r="B83" s="243"/>
      <c r="C83" s="243"/>
      <c r="D83" s="243"/>
      <c r="E83" s="243"/>
      <c r="F83" s="243"/>
      <c r="G83" s="244"/>
      <c r="H83" s="243" t="s">
        <v>256</v>
      </c>
      <c r="I83" s="243"/>
      <c r="J83" s="243"/>
      <c r="K83" s="243"/>
      <c r="L83" s="243"/>
      <c r="M83" s="244"/>
      <c r="N83" s="245">
        <v>44364</v>
      </c>
      <c r="O83" s="246"/>
      <c r="P83" s="203">
        <v>1464</v>
      </c>
      <c r="Q83" s="210">
        <v>1</v>
      </c>
      <c r="R83" s="243" t="s">
        <v>108</v>
      </c>
      <c r="S83" s="247"/>
    </row>
    <row r="84" spans="1:19" x14ac:dyDescent="0.2">
      <c r="A84" s="242" t="s">
        <v>248</v>
      </c>
      <c r="B84" s="243"/>
      <c r="C84" s="243"/>
      <c r="D84" s="243"/>
      <c r="E84" s="243"/>
      <c r="F84" s="243"/>
      <c r="G84" s="244"/>
      <c r="H84" s="243" t="s">
        <v>249</v>
      </c>
      <c r="I84" s="243"/>
      <c r="J84" s="243"/>
      <c r="K84" s="243"/>
      <c r="L84" s="243"/>
      <c r="M84" s="244"/>
      <c r="N84" s="245">
        <v>44350</v>
      </c>
      <c r="O84" s="246"/>
      <c r="P84" s="203">
        <v>1465</v>
      </c>
      <c r="Q84" s="210">
        <v>1</v>
      </c>
      <c r="R84" s="243" t="s">
        <v>200</v>
      </c>
      <c r="S84" s="247"/>
    </row>
    <row r="85" spans="1:19" x14ac:dyDescent="0.2">
      <c r="A85" s="242" t="s">
        <v>122</v>
      </c>
      <c r="B85" s="243"/>
      <c r="C85" s="243"/>
      <c r="D85" s="243"/>
      <c r="E85" s="243"/>
      <c r="F85" s="243"/>
      <c r="G85" s="244"/>
      <c r="H85" s="243" t="s">
        <v>123</v>
      </c>
      <c r="I85" s="243"/>
      <c r="J85" s="243"/>
      <c r="K85" s="243"/>
      <c r="L85" s="243"/>
      <c r="M85" s="244"/>
      <c r="N85" s="245">
        <v>44365</v>
      </c>
      <c r="O85" s="246"/>
      <c r="P85" s="203">
        <v>1528</v>
      </c>
      <c r="Q85" s="210">
        <v>133</v>
      </c>
      <c r="R85" s="243" t="s">
        <v>51</v>
      </c>
      <c r="S85" s="247"/>
    </row>
    <row r="86" spans="1:19" x14ac:dyDescent="0.2">
      <c r="A86" s="242" t="s">
        <v>150</v>
      </c>
      <c r="B86" s="243"/>
      <c r="C86" s="243"/>
      <c r="D86" s="243"/>
      <c r="E86" s="243"/>
      <c r="F86" s="243"/>
      <c r="G86" s="244"/>
      <c r="H86" s="243" t="s">
        <v>151</v>
      </c>
      <c r="I86" s="243"/>
      <c r="J86" s="243"/>
      <c r="K86" s="243"/>
      <c r="L86" s="243"/>
      <c r="M86" s="244"/>
      <c r="N86" s="245">
        <v>44355</v>
      </c>
      <c r="O86" s="246"/>
      <c r="P86" s="203">
        <v>1536</v>
      </c>
      <c r="Q86" s="210">
        <v>17</v>
      </c>
      <c r="R86" s="243" t="s">
        <v>108</v>
      </c>
      <c r="S86" s="247"/>
    </row>
    <row r="87" spans="1:19" x14ac:dyDescent="0.2">
      <c r="A87" s="242" t="s">
        <v>150</v>
      </c>
      <c r="B87" s="243"/>
      <c r="C87" s="243"/>
      <c r="D87" s="243"/>
      <c r="E87" s="243"/>
      <c r="F87" s="243"/>
      <c r="G87" s="244"/>
      <c r="H87" s="243" t="s">
        <v>154</v>
      </c>
      <c r="I87" s="243"/>
      <c r="J87" s="243"/>
      <c r="K87" s="243"/>
      <c r="L87" s="243"/>
      <c r="M87" s="244"/>
      <c r="N87" s="245">
        <v>44375</v>
      </c>
      <c r="O87" s="246"/>
      <c r="P87" s="203">
        <v>1574</v>
      </c>
      <c r="Q87" s="210">
        <v>74</v>
      </c>
      <c r="R87" s="243" t="s">
        <v>51</v>
      </c>
      <c r="S87" s="247"/>
    </row>
    <row r="88" spans="1:19" x14ac:dyDescent="0.2">
      <c r="A88" s="242" t="s">
        <v>150</v>
      </c>
      <c r="B88" s="243"/>
      <c r="C88" s="243"/>
      <c r="D88" s="243"/>
      <c r="E88" s="243"/>
      <c r="F88" s="243"/>
      <c r="G88" s="244"/>
      <c r="H88" s="243" t="s">
        <v>250</v>
      </c>
      <c r="I88" s="243"/>
      <c r="J88" s="243"/>
      <c r="K88" s="243"/>
      <c r="L88" s="243"/>
      <c r="M88" s="244"/>
      <c r="N88" s="245">
        <v>44350</v>
      </c>
      <c r="O88" s="246"/>
      <c r="P88" s="203">
        <v>1575</v>
      </c>
      <c r="Q88" s="210">
        <v>1</v>
      </c>
      <c r="R88" s="243" t="s">
        <v>200</v>
      </c>
      <c r="S88" s="247"/>
    </row>
    <row r="89" spans="1:19" x14ac:dyDescent="0.2">
      <c r="A89" s="242" t="s">
        <v>124</v>
      </c>
      <c r="B89" s="243"/>
      <c r="C89" s="243"/>
      <c r="D89" s="243"/>
      <c r="E89" s="243"/>
      <c r="F89" s="243"/>
      <c r="G89" s="244"/>
      <c r="H89" s="243" t="s">
        <v>159</v>
      </c>
      <c r="I89" s="243"/>
      <c r="J89" s="243"/>
      <c r="K89" s="243"/>
      <c r="L89" s="243"/>
      <c r="M89" s="244"/>
      <c r="N89" s="245">
        <v>44357</v>
      </c>
      <c r="O89" s="246"/>
      <c r="P89" s="203">
        <v>1578</v>
      </c>
      <c r="Q89" s="210">
        <v>6</v>
      </c>
      <c r="R89" s="243" t="s">
        <v>108</v>
      </c>
      <c r="S89" s="247"/>
    </row>
    <row r="90" spans="1:19" x14ac:dyDescent="0.2">
      <c r="A90" s="242" t="s">
        <v>124</v>
      </c>
      <c r="B90" s="243"/>
      <c r="C90" s="243"/>
      <c r="D90" s="243"/>
      <c r="E90" s="243"/>
      <c r="F90" s="243"/>
      <c r="G90" s="244"/>
      <c r="H90" s="243" t="s">
        <v>125</v>
      </c>
      <c r="I90" s="243"/>
      <c r="J90" s="243"/>
      <c r="K90" s="243"/>
      <c r="L90" s="243"/>
      <c r="M90" s="244"/>
      <c r="N90" s="245">
        <v>44375</v>
      </c>
      <c r="O90" s="246"/>
      <c r="P90" s="203">
        <v>1582</v>
      </c>
      <c r="Q90" s="210">
        <v>4</v>
      </c>
      <c r="R90" s="243" t="s">
        <v>99</v>
      </c>
      <c r="S90" s="247"/>
    </row>
    <row r="91" spans="1:19" x14ac:dyDescent="0.2">
      <c r="A91" s="242" t="s">
        <v>124</v>
      </c>
      <c r="B91" s="243"/>
      <c r="C91" s="243"/>
      <c r="D91" s="243"/>
      <c r="E91" s="243"/>
      <c r="F91" s="243"/>
      <c r="G91" s="244"/>
      <c r="H91" s="243" t="s">
        <v>251</v>
      </c>
      <c r="I91" s="243"/>
      <c r="J91" s="243"/>
      <c r="K91" s="243"/>
      <c r="L91" s="243"/>
      <c r="M91" s="244"/>
      <c r="N91" s="245">
        <v>44350</v>
      </c>
      <c r="O91" s="246"/>
      <c r="P91" s="203">
        <v>1583</v>
      </c>
      <c r="Q91" s="210">
        <v>1</v>
      </c>
      <c r="R91" s="243" t="s">
        <v>99</v>
      </c>
      <c r="S91" s="247"/>
    </row>
    <row r="92" spans="1:19" x14ac:dyDescent="0.2">
      <c r="A92" s="242" t="s">
        <v>124</v>
      </c>
      <c r="B92" s="243"/>
      <c r="C92" s="243"/>
      <c r="D92" s="243"/>
      <c r="E92" s="243"/>
      <c r="F92" s="243"/>
      <c r="G92" s="244"/>
      <c r="H92" s="243" t="s">
        <v>252</v>
      </c>
      <c r="I92" s="243"/>
      <c r="J92" s="243"/>
      <c r="K92" s="243"/>
      <c r="L92" s="243"/>
      <c r="M92" s="244"/>
      <c r="N92" s="245">
        <v>44350</v>
      </c>
      <c r="O92" s="246"/>
      <c r="P92" s="203">
        <v>1584</v>
      </c>
      <c r="Q92" s="210">
        <v>1</v>
      </c>
      <c r="R92" s="243" t="s">
        <v>200</v>
      </c>
      <c r="S92" s="247"/>
    </row>
    <row r="93" spans="1:19" x14ac:dyDescent="0.2">
      <c r="A93" s="242" t="s">
        <v>124</v>
      </c>
      <c r="B93" s="243"/>
      <c r="C93" s="243"/>
      <c r="D93" s="243"/>
      <c r="E93" s="243"/>
      <c r="F93" s="243"/>
      <c r="G93" s="244"/>
      <c r="H93" s="243" t="s">
        <v>182</v>
      </c>
      <c r="I93" s="243"/>
      <c r="J93" s="243"/>
      <c r="K93" s="243"/>
      <c r="L93" s="243"/>
      <c r="M93" s="244"/>
      <c r="N93" s="245">
        <v>44375</v>
      </c>
      <c r="O93" s="246"/>
      <c r="P93" s="203">
        <v>1617</v>
      </c>
      <c r="Q93" s="210">
        <v>59</v>
      </c>
      <c r="R93" s="243" t="s">
        <v>51</v>
      </c>
      <c r="S93" s="247"/>
    </row>
    <row r="94" spans="1:19" x14ac:dyDescent="0.2">
      <c r="A94" s="242" t="s">
        <v>72</v>
      </c>
      <c r="B94" s="243"/>
      <c r="C94" s="243"/>
      <c r="D94" s="243"/>
      <c r="E94" s="243"/>
      <c r="F94" s="243"/>
      <c r="G94" s="244"/>
      <c r="H94" s="243" t="s">
        <v>73</v>
      </c>
      <c r="I94" s="243"/>
      <c r="J94" s="243"/>
      <c r="K94" s="243"/>
      <c r="L94" s="243"/>
      <c r="M94" s="244"/>
      <c r="N94" s="245">
        <v>44375</v>
      </c>
      <c r="O94" s="246"/>
      <c r="P94" s="203">
        <v>1696</v>
      </c>
      <c r="Q94" s="210">
        <v>22</v>
      </c>
      <c r="R94" s="243" t="s">
        <v>34</v>
      </c>
      <c r="S94" s="247"/>
    </row>
    <row r="95" spans="1:19" x14ac:dyDescent="0.2">
      <c r="A95" s="242" t="s">
        <v>72</v>
      </c>
      <c r="B95" s="243"/>
      <c r="C95" s="243"/>
      <c r="D95" s="243"/>
      <c r="E95" s="243"/>
      <c r="F95" s="243"/>
      <c r="G95" s="244"/>
      <c r="H95" s="243" t="s">
        <v>74</v>
      </c>
      <c r="I95" s="243"/>
      <c r="J95" s="243"/>
      <c r="K95" s="243"/>
      <c r="L95" s="243"/>
      <c r="M95" s="244"/>
      <c r="N95" s="245">
        <v>44375</v>
      </c>
      <c r="O95" s="246"/>
      <c r="P95" s="203">
        <v>1763</v>
      </c>
      <c r="Q95" s="210">
        <v>10</v>
      </c>
      <c r="R95" s="243" t="s">
        <v>34</v>
      </c>
      <c r="S95" s="247"/>
    </row>
    <row r="96" spans="1:19" x14ac:dyDescent="0.2">
      <c r="A96" s="242" t="s">
        <v>75</v>
      </c>
      <c r="B96" s="243"/>
      <c r="C96" s="243"/>
      <c r="D96" s="243"/>
      <c r="E96" s="243"/>
      <c r="F96" s="243"/>
      <c r="G96" s="244"/>
      <c r="H96" s="243" t="s">
        <v>204</v>
      </c>
      <c r="I96" s="243"/>
      <c r="J96" s="243"/>
      <c r="K96" s="243"/>
      <c r="L96" s="243"/>
      <c r="M96" s="244"/>
      <c r="N96" s="245">
        <v>44350</v>
      </c>
      <c r="O96" s="246"/>
      <c r="P96" s="203">
        <v>1765</v>
      </c>
      <c r="Q96" s="210">
        <v>6</v>
      </c>
      <c r="R96" s="243" t="s">
        <v>200</v>
      </c>
      <c r="S96" s="247"/>
    </row>
    <row r="97" spans="1:19" x14ac:dyDescent="0.2">
      <c r="A97" s="242" t="s">
        <v>75</v>
      </c>
      <c r="B97" s="243"/>
      <c r="C97" s="243"/>
      <c r="D97" s="243"/>
      <c r="E97" s="243"/>
      <c r="F97" s="243"/>
      <c r="G97" s="244"/>
      <c r="H97" s="243" t="s">
        <v>76</v>
      </c>
      <c r="I97" s="243"/>
      <c r="J97" s="243"/>
      <c r="K97" s="243"/>
      <c r="L97" s="243"/>
      <c r="M97" s="244"/>
      <c r="N97" s="245">
        <v>44358</v>
      </c>
      <c r="O97" s="246"/>
      <c r="P97" s="203">
        <v>1818</v>
      </c>
      <c r="Q97" s="210">
        <v>75</v>
      </c>
      <c r="R97" s="243" t="s">
        <v>34</v>
      </c>
      <c r="S97" s="247"/>
    </row>
    <row r="98" spans="1:19" x14ac:dyDescent="0.2">
      <c r="A98" s="242" t="s">
        <v>75</v>
      </c>
      <c r="B98" s="243"/>
      <c r="C98" s="243"/>
      <c r="D98" s="243"/>
      <c r="E98" s="243"/>
      <c r="F98" s="243"/>
      <c r="G98" s="244"/>
      <c r="H98" s="243" t="s">
        <v>190</v>
      </c>
      <c r="I98" s="243"/>
      <c r="J98" s="243"/>
      <c r="K98" s="243"/>
      <c r="L98" s="243"/>
      <c r="M98" s="244"/>
      <c r="N98" s="245">
        <v>44365</v>
      </c>
      <c r="O98" s="246"/>
      <c r="P98" s="203">
        <v>1849</v>
      </c>
      <c r="Q98" s="210">
        <v>68</v>
      </c>
      <c r="R98" s="243" t="s">
        <v>27</v>
      </c>
      <c r="S98" s="247"/>
    </row>
    <row r="99" spans="1:19" x14ac:dyDescent="0.2">
      <c r="A99" s="242" t="s">
        <v>77</v>
      </c>
      <c r="B99" s="243"/>
      <c r="C99" s="243"/>
      <c r="D99" s="243"/>
      <c r="E99" s="243"/>
      <c r="F99" s="243"/>
      <c r="G99" s="244"/>
      <c r="H99" s="243" t="s">
        <v>78</v>
      </c>
      <c r="I99" s="243"/>
      <c r="J99" s="243"/>
      <c r="K99" s="243"/>
      <c r="L99" s="243"/>
      <c r="M99" s="244"/>
      <c r="N99" s="245">
        <v>44293</v>
      </c>
      <c r="O99" s="246"/>
      <c r="P99" s="203">
        <v>1876</v>
      </c>
      <c r="Q99" s="210">
        <v>81</v>
      </c>
      <c r="R99" s="243" t="s">
        <v>200</v>
      </c>
      <c r="S99" s="247"/>
    </row>
    <row r="100" spans="1:19" x14ac:dyDescent="0.2">
      <c r="A100" s="242" t="s">
        <v>77</v>
      </c>
      <c r="B100" s="243"/>
      <c r="C100" s="243"/>
      <c r="D100" s="243"/>
      <c r="E100" s="243"/>
      <c r="F100" s="243"/>
      <c r="G100" s="244"/>
      <c r="H100" s="243" t="s">
        <v>82</v>
      </c>
      <c r="I100" s="243"/>
      <c r="J100" s="243"/>
      <c r="K100" s="243"/>
      <c r="L100" s="243"/>
      <c r="M100" s="244"/>
      <c r="N100" s="245">
        <v>44314</v>
      </c>
      <c r="O100" s="246"/>
      <c r="P100" s="203">
        <v>1905</v>
      </c>
      <c r="Q100" s="210">
        <v>21</v>
      </c>
      <c r="R100" s="243" t="s">
        <v>27</v>
      </c>
      <c r="S100" s="247"/>
    </row>
    <row r="101" spans="1:19" x14ac:dyDescent="0.2">
      <c r="A101" s="242" t="s">
        <v>77</v>
      </c>
      <c r="B101" s="243"/>
      <c r="C101" s="243"/>
      <c r="D101" s="243"/>
      <c r="E101" s="243"/>
      <c r="F101" s="243"/>
      <c r="G101" s="244"/>
      <c r="H101" s="243" t="s">
        <v>229</v>
      </c>
      <c r="I101" s="243"/>
      <c r="J101" s="243"/>
      <c r="K101" s="243"/>
      <c r="L101" s="243"/>
      <c r="M101" s="244"/>
      <c r="N101" s="245">
        <v>44358</v>
      </c>
      <c r="O101" s="246"/>
      <c r="P101" s="203">
        <v>1915</v>
      </c>
      <c r="Q101" s="210">
        <v>31</v>
      </c>
      <c r="R101" s="243" t="s">
        <v>27</v>
      </c>
      <c r="S101" s="247"/>
    </row>
    <row r="102" spans="1:19" x14ac:dyDescent="0.2">
      <c r="A102" s="242" t="s">
        <v>77</v>
      </c>
      <c r="B102" s="243"/>
      <c r="C102" s="243"/>
      <c r="D102" s="243"/>
      <c r="E102" s="243"/>
      <c r="F102" s="243"/>
      <c r="G102" s="244"/>
      <c r="H102" s="243" t="s">
        <v>144</v>
      </c>
      <c r="I102" s="243"/>
      <c r="J102" s="243"/>
      <c r="K102" s="243"/>
      <c r="L102" s="243"/>
      <c r="M102" s="244"/>
      <c r="N102" s="245">
        <v>44243</v>
      </c>
      <c r="O102" s="246"/>
      <c r="P102" s="203">
        <v>1917</v>
      </c>
      <c r="Q102" s="210">
        <v>10</v>
      </c>
      <c r="R102" s="243" t="s">
        <v>108</v>
      </c>
      <c r="S102" s="247"/>
    </row>
    <row r="103" spans="1:19" x14ac:dyDescent="0.2">
      <c r="A103" s="242" t="s">
        <v>77</v>
      </c>
      <c r="B103" s="243"/>
      <c r="C103" s="243"/>
      <c r="D103" s="243"/>
      <c r="E103" s="243"/>
      <c r="F103" s="243"/>
      <c r="G103" s="244"/>
      <c r="H103" s="243" t="s">
        <v>221</v>
      </c>
      <c r="I103" s="243"/>
      <c r="J103" s="243"/>
      <c r="K103" s="243"/>
      <c r="L103" s="243"/>
      <c r="M103" s="244"/>
      <c r="N103" s="245">
        <v>44358</v>
      </c>
      <c r="O103" s="246"/>
      <c r="P103" s="203">
        <v>1929</v>
      </c>
      <c r="Q103" s="210">
        <v>26</v>
      </c>
      <c r="R103" s="243" t="s">
        <v>27</v>
      </c>
      <c r="S103" s="247"/>
    </row>
    <row r="104" spans="1:19" x14ac:dyDescent="0.2">
      <c r="A104" s="242" t="s">
        <v>95</v>
      </c>
      <c r="B104" s="243"/>
      <c r="C104" s="243"/>
      <c r="D104" s="243"/>
      <c r="E104" s="243"/>
      <c r="F104" s="243"/>
      <c r="G104" s="244"/>
      <c r="H104" s="243" t="s">
        <v>96</v>
      </c>
      <c r="I104" s="243"/>
      <c r="J104" s="243"/>
      <c r="K104" s="243"/>
      <c r="L104" s="243"/>
      <c r="M104" s="244"/>
      <c r="N104" s="245">
        <v>44365</v>
      </c>
      <c r="O104" s="246"/>
      <c r="P104" s="203">
        <v>1961</v>
      </c>
      <c r="Q104" s="210">
        <v>27</v>
      </c>
      <c r="R104" s="243" t="s">
        <v>27</v>
      </c>
      <c r="S104" s="247"/>
    </row>
    <row r="105" spans="1:19" x14ac:dyDescent="0.2">
      <c r="A105" s="242" t="s">
        <v>95</v>
      </c>
      <c r="B105" s="243"/>
      <c r="C105" s="243"/>
      <c r="D105" s="243"/>
      <c r="E105" s="243"/>
      <c r="F105" s="243"/>
      <c r="G105" s="244"/>
      <c r="H105" s="243" t="s">
        <v>187</v>
      </c>
      <c r="I105" s="243"/>
      <c r="J105" s="243"/>
      <c r="K105" s="243"/>
      <c r="L105" s="243"/>
      <c r="M105" s="244"/>
      <c r="N105" s="245">
        <v>44365</v>
      </c>
      <c r="O105" s="246"/>
      <c r="P105" s="203">
        <v>1982</v>
      </c>
      <c r="Q105" s="210">
        <v>93</v>
      </c>
      <c r="R105" s="243" t="s">
        <v>41</v>
      </c>
      <c r="S105" s="247"/>
    </row>
    <row r="106" spans="1:19" x14ac:dyDescent="0.2">
      <c r="A106" s="242" t="s">
        <v>95</v>
      </c>
      <c r="B106" s="243"/>
      <c r="C106" s="243"/>
      <c r="D106" s="243"/>
      <c r="E106" s="243"/>
      <c r="F106" s="243"/>
      <c r="G106" s="244"/>
      <c r="H106" s="243" t="s">
        <v>253</v>
      </c>
      <c r="I106" s="243"/>
      <c r="J106" s="243"/>
      <c r="K106" s="243"/>
      <c r="L106" s="243"/>
      <c r="M106" s="244"/>
      <c r="N106" s="245">
        <v>44350</v>
      </c>
      <c r="O106" s="246"/>
      <c r="P106" s="203">
        <v>1983</v>
      </c>
      <c r="Q106" s="210">
        <v>1</v>
      </c>
      <c r="R106" s="243" t="s">
        <v>108</v>
      </c>
      <c r="S106" s="247"/>
    </row>
    <row r="107" spans="1:19" x14ac:dyDescent="0.2">
      <c r="A107" s="242" t="s">
        <v>111</v>
      </c>
      <c r="B107" s="243"/>
      <c r="C107" s="243"/>
      <c r="D107" s="243"/>
      <c r="E107" s="243"/>
      <c r="F107" s="243"/>
      <c r="G107" s="244"/>
      <c r="H107" s="243" t="s">
        <v>112</v>
      </c>
      <c r="I107" s="243"/>
      <c r="J107" s="243"/>
      <c r="K107" s="243"/>
      <c r="L107" s="243"/>
      <c r="M107" s="244"/>
      <c r="N107" s="245">
        <v>44314</v>
      </c>
      <c r="O107" s="246"/>
      <c r="P107" s="203">
        <v>2014</v>
      </c>
      <c r="Q107" s="210">
        <v>10</v>
      </c>
      <c r="R107" s="243" t="s">
        <v>27</v>
      </c>
      <c r="S107" s="247"/>
    </row>
    <row r="108" spans="1:19" x14ac:dyDescent="0.2">
      <c r="A108" s="242" t="s">
        <v>111</v>
      </c>
      <c r="B108" s="243"/>
      <c r="C108" s="243"/>
      <c r="D108" s="243"/>
      <c r="E108" s="243"/>
      <c r="F108" s="243"/>
      <c r="G108" s="244"/>
      <c r="H108" s="243" t="s">
        <v>152</v>
      </c>
      <c r="I108" s="243"/>
      <c r="J108" s="243"/>
      <c r="K108" s="243"/>
      <c r="L108" s="243"/>
      <c r="M108" s="244"/>
      <c r="N108" s="245">
        <v>44314</v>
      </c>
      <c r="O108" s="246"/>
      <c r="P108" s="203">
        <v>2043</v>
      </c>
      <c r="Q108" s="210">
        <v>12</v>
      </c>
      <c r="R108" s="243" t="s">
        <v>34</v>
      </c>
      <c r="S108" s="247"/>
    </row>
    <row r="109" spans="1:19" x14ac:dyDescent="0.2">
      <c r="A109" s="242" t="s">
        <v>218</v>
      </c>
      <c r="B109" s="243"/>
      <c r="C109" s="243"/>
      <c r="D109" s="243"/>
      <c r="E109" s="243"/>
      <c r="F109" s="243"/>
      <c r="G109" s="244"/>
      <c r="H109" s="243" t="s">
        <v>219</v>
      </c>
      <c r="I109" s="243"/>
      <c r="J109" s="243"/>
      <c r="K109" s="243"/>
      <c r="L109" s="243"/>
      <c r="M109" s="244"/>
      <c r="N109" s="245">
        <v>44294</v>
      </c>
      <c r="O109" s="246"/>
      <c r="P109" s="203">
        <v>2044</v>
      </c>
      <c r="Q109" s="210">
        <v>1</v>
      </c>
      <c r="R109" s="243" t="s">
        <v>116</v>
      </c>
      <c r="S109" s="247"/>
    </row>
    <row r="110" spans="1:19" x14ac:dyDescent="0.2">
      <c r="A110" s="242" t="s">
        <v>97</v>
      </c>
      <c r="B110" s="243"/>
      <c r="C110" s="243"/>
      <c r="D110" s="243"/>
      <c r="E110" s="243"/>
      <c r="F110" s="243"/>
      <c r="G110" s="244"/>
      <c r="H110" s="243" t="s">
        <v>98</v>
      </c>
      <c r="I110" s="243"/>
      <c r="J110" s="243"/>
      <c r="K110" s="243"/>
      <c r="L110" s="243"/>
      <c r="M110" s="244"/>
      <c r="N110" s="245">
        <v>44236</v>
      </c>
      <c r="O110" s="246"/>
      <c r="P110" s="203">
        <v>2045</v>
      </c>
      <c r="Q110" s="210">
        <v>1</v>
      </c>
      <c r="R110" s="243" t="s">
        <v>99</v>
      </c>
      <c r="S110" s="247"/>
    </row>
    <row r="111" spans="1:19" x14ac:dyDescent="0.2">
      <c r="A111" s="242" t="s">
        <v>97</v>
      </c>
      <c r="B111" s="243"/>
      <c r="C111" s="243"/>
      <c r="D111" s="243"/>
      <c r="E111" s="243"/>
      <c r="F111" s="243"/>
      <c r="G111" s="244"/>
      <c r="H111" s="243" t="s">
        <v>230</v>
      </c>
      <c r="I111" s="243"/>
      <c r="J111" s="243"/>
      <c r="K111" s="243"/>
      <c r="L111" s="243"/>
      <c r="M111" s="244"/>
      <c r="N111" s="245">
        <v>44364</v>
      </c>
      <c r="O111" s="246"/>
      <c r="P111" s="203">
        <v>2057</v>
      </c>
      <c r="Q111" s="210">
        <v>24</v>
      </c>
      <c r="R111" s="243" t="s">
        <v>200</v>
      </c>
      <c r="S111" s="247"/>
    </row>
    <row r="112" spans="1:19" x14ac:dyDescent="0.2">
      <c r="A112" s="242" t="s">
        <v>97</v>
      </c>
      <c r="B112" s="243"/>
      <c r="C112" s="243"/>
      <c r="D112" s="243"/>
      <c r="E112" s="243"/>
      <c r="F112" s="243"/>
      <c r="G112" s="244"/>
      <c r="H112" s="243" t="s">
        <v>231</v>
      </c>
      <c r="I112" s="243"/>
      <c r="J112" s="243"/>
      <c r="K112" s="243"/>
      <c r="L112" s="243"/>
      <c r="M112" s="244"/>
      <c r="N112" s="245">
        <v>44350</v>
      </c>
      <c r="O112" s="246"/>
      <c r="P112" s="203">
        <v>2061</v>
      </c>
      <c r="Q112" s="210">
        <v>6</v>
      </c>
      <c r="R112" s="243" t="s">
        <v>200</v>
      </c>
      <c r="S112" s="247"/>
    </row>
    <row r="113" spans="1:19" x14ac:dyDescent="0.2">
      <c r="A113" s="242" t="s">
        <v>97</v>
      </c>
      <c r="B113" s="243"/>
      <c r="C113" s="243"/>
      <c r="D113" s="243"/>
      <c r="E113" s="243"/>
      <c r="F113" s="243"/>
      <c r="G113" s="244"/>
      <c r="H113" s="243" t="s">
        <v>103</v>
      </c>
      <c r="I113" s="243"/>
      <c r="J113" s="243"/>
      <c r="K113" s="243"/>
      <c r="L113" s="243"/>
      <c r="M113" s="244"/>
      <c r="N113" s="245">
        <v>44357</v>
      </c>
      <c r="O113" s="246"/>
      <c r="P113" s="203">
        <v>2064</v>
      </c>
      <c r="Q113" s="210">
        <v>3</v>
      </c>
      <c r="R113" s="243" t="s">
        <v>99</v>
      </c>
      <c r="S113" s="247"/>
    </row>
    <row r="114" spans="1:19" x14ac:dyDescent="0.2">
      <c r="A114" s="242" t="s">
        <v>97</v>
      </c>
      <c r="B114" s="243"/>
      <c r="C114" s="243"/>
      <c r="D114" s="243"/>
      <c r="E114" s="243"/>
      <c r="F114" s="243"/>
      <c r="G114" s="244"/>
      <c r="H114" s="243" t="s">
        <v>104</v>
      </c>
      <c r="I114" s="243"/>
      <c r="J114" s="243"/>
      <c r="K114" s="243"/>
      <c r="L114" s="243"/>
      <c r="M114" s="244"/>
      <c r="N114" s="245">
        <v>44309</v>
      </c>
      <c r="O114" s="246"/>
      <c r="P114" s="203">
        <v>2084</v>
      </c>
      <c r="Q114" s="210">
        <v>1</v>
      </c>
      <c r="R114" s="243" t="s">
        <v>79</v>
      </c>
      <c r="S114" s="247"/>
    </row>
    <row r="115" spans="1:19" x14ac:dyDescent="0.2">
      <c r="A115" s="242" t="s">
        <v>97</v>
      </c>
      <c r="B115" s="243"/>
      <c r="C115" s="243"/>
      <c r="D115" s="243"/>
      <c r="E115" s="243"/>
      <c r="F115" s="243"/>
      <c r="G115" s="244"/>
      <c r="H115" s="243" t="s">
        <v>105</v>
      </c>
      <c r="I115" s="243"/>
      <c r="J115" s="243"/>
      <c r="K115" s="243"/>
      <c r="L115" s="243"/>
      <c r="M115" s="244"/>
      <c r="N115" s="245">
        <v>44357</v>
      </c>
      <c r="O115" s="246"/>
      <c r="P115" s="203">
        <v>2069</v>
      </c>
      <c r="Q115" s="210">
        <v>4</v>
      </c>
      <c r="R115" s="243" t="s">
        <v>99</v>
      </c>
      <c r="S115" s="247"/>
    </row>
    <row r="116" spans="1:19" x14ac:dyDescent="0.2">
      <c r="A116" s="242" t="s">
        <v>134</v>
      </c>
      <c r="B116" s="243"/>
      <c r="C116" s="243"/>
      <c r="D116" s="243"/>
      <c r="E116" s="243"/>
      <c r="F116" s="243"/>
      <c r="G116" s="244"/>
      <c r="H116" s="243" t="s">
        <v>145</v>
      </c>
      <c r="I116" s="243"/>
      <c r="J116" s="243"/>
      <c r="K116" s="243"/>
      <c r="L116" s="243"/>
      <c r="M116" s="244"/>
      <c r="N116" s="245">
        <v>44365</v>
      </c>
      <c r="O116" s="246"/>
      <c r="P116" s="203">
        <v>2109</v>
      </c>
      <c r="Q116" s="210">
        <v>4</v>
      </c>
      <c r="R116" s="243" t="s">
        <v>27</v>
      </c>
      <c r="S116" s="247"/>
    </row>
    <row r="117" spans="1:19" x14ac:dyDescent="0.2">
      <c r="A117" s="242" t="s">
        <v>134</v>
      </c>
      <c r="B117" s="243"/>
      <c r="C117" s="243"/>
      <c r="D117" s="243"/>
      <c r="E117" s="243"/>
      <c r="F117" s="243"/>
      <c r="G117" s="244"/>
      <c r="H117" s="243" t="s">
        <v>135</v>
      </c>
      <c r="I117" s="243"/>
      <c r="J117" s="243"/>
      <c r="K117" s="243"/>
      <c r="L117" s="243"/>
      <c r="M117" s="244"/>
      <c r="N117" s="245">
        <v>44375</v>
      </c>
      <c r="O117" s="246"/>
      <c r="P117" s="203">
        <v>2074</v>
      </c>
      <c r="Q117" s="210">
        <v>6</v>
      </c>
      <c r="R117" s="243" t="s">
        <v>99</v>
      </c>
      <c r="S117" s="247"/>
    </row>
    <row r="118" spans="1:19" x14ac:dyDescent="0.2">
      <c r="A118" s="242" t="s">
        <v>134</v>
      </c>
      <c r="B118" s="243"/>
      <c r="C118" s="243"/>
      <c r="D118" s="243"/>
      <c r="E118" s="243"/>
      <c r="F118" s="243"/>
      <c r="G118" s="244"/>
      <c r="H118" s="243" t="s">
        <v>136</v>
      </c>
      <c r="I118" s="243"/>
      <c r="J118" s="243"/>
      <c r="K118" s="243"/>
      <c r="L118" s="243"/>
      <c r="M118" s="244"/>
      <c r="N118" s="245">
        <v>44238</v>
      </c>
      <c r="O118" s="246"/>
      <c r="P118" s="203">
        <v>2075</v>
      </c>
      <c r="Q118" s="210">
        <v>1</v>
      </c>
      <c r="R118" s="243" t="s">
        <v>99</v>
      </c>
      <c r="S118" s="247"/>
    </row>
    <row r="119" spans="1:19" x14ac:dyDescent="0.2">
      <c r="A119" s="242" t="s">
        <v>134</v>
      </c>
      <c r="B119" s="243"/>
      <c r="C119" s="243"/>
      <c r="D119" s="243"/>
      <c r="E119" s="243"/>
      <c r="F119" s="243"/>
      <c r="G119" s="244"/>
      <c r="H119" s="243" t="s">
        <v>137</v>
      </c>
      <c r="I119" s="243"/>
      <c r="J119" s="243"/>
      <c r="K119" s="243"/>
      <c r="L119" s="243"/>
      <c r="M119" s="244"/>
      <c r="N119" s="245">
        <v>44238</v>
      </c>
      <c r="O119" s="246"/>
      <c r="P119" s="203">
        <v>2076</v>
      </c>
      <c r="Q119" s="210">
        <v>1</v>
      </c>
      <c r="R119" s="243" t="s">
        <v>99</v>
      </c>
      <c r="S119" s="247"/>
    </row>
    <row r="120" spans="1:19" x14ac:dyDescent="0.2">
      <c r="A120" s="242" t="s">
        <v>134</v>
      </c>
      <c r="B120" s="243"/>
      <c r="C120" s="243"/>
      <c r="D120" s="243"/>
      <c r="E120" s="243"/>
      <c r="F120" s="243"/>
      <c r="G120" s="244"/>
      <c r="H120" s="243" t="s">
        <v>138</v>
      </c>
      <c r="I120" s="243"/>
      <c r="J120" s="243"/>
      <c r="K120" s="243"/>
      <c r="L120" s="243"/>
      <c r="M120" s="244"/>
      <c r="N120" s="245">
        <v>44357</v>
      </c>
      <c r="O120" s="246"/>
      <c r="P120" s="203">
        <v>2078</v>
      </c>
      <c r="Q120" s="210">
        <v>5</v>
      </c>
      <c r="R120" s="243" t="s">
        <v>99</v>
      </c>
      <c r="S120" s="247"/>
    </row>
    <row r="121" spans="1:19" x14ac:dyDescent="0.2">
      <c r="A121" s="242" t="s">
        <v>134</v>
      </c>
      <c r="B121" s="243"/>
      <c r="C121" s="243"/>
      <c r="D121" s="243"/>
      <c r="E121" s="243"/>
      <c r="F121" s="243"/>
      <c r="G121" s="244"/>
      <c r="H121" s="243" t="s">
        <v>139</v>
      </c>
      <c r="I121" s="243"/>
      <c r="J121" s="243"/>
      <c r="K121" s="243"/>
      <c r="L121" s="243"/>
      <c r="M121" s="244"/>
      <c r="N121" s="245">
        <v>44357</v>
      </c>
      <c r="O121" s="246"/>
      <c r="P121" s="203">
        <v>2080</v>
      </c>
      <c r="Q121" s="210">
        <v>2</v>
      </c>
      <c r="R121" s="243" t="s">
        <v>99</v>
      </c>
      <c r="S121" s="247"/>
    </row>
    <row r="122" spans="1:19" x14ac:dyDescent="0.2">
      <c r="A122" s="242" t="s">
        <v>134</v>
      </c>
      <c r="B122" s="243"/>
      <c r="C122" s="243"/>
      <c r="D122" s="243"/>
      <c r="E122" s="243"/>
      <c r="F122" s="243"/>
      <c r="G122" s="244"/>
      <c r="H122" s="243" t="s">
        <v>104</v>
      </c>
      <c r="I122" s="243"/>
      <c r="J122" s="243"/>
      <c r="K122" s="243"/>
      <c r="L122" s="243"/>
      <c r="M122" s="244"/>
      <c r="N122" s="245">
        <v>44309</v>
      </c>
      <c r="O122" s="246"/>
      <c r="P122" s="203">
        <v>2084</v>
      </c>
      <c r="Q122" s="210">
        <v>14</v>
      </c>
      <c r="R122" s="243" t="s">
        <v>79</v>
      </c>
      <c r="S122" s="247"/>
    </row>
    <row r="123" spans="1:19" x14ac:dyDescent="0.2">
      <c r="A123" s="242" t="s">
        <v>178</v>
      </c>
      <c r="B123" s="243"/>
      <c r="C123" s="243"/>
      <c r="D123" s="243"/>
      <c r="E123" s="243"/>
      <c r="F123" s="243"/>
      <c r="G123" s="244"/>
      <c r="H123" s="243" t="s">
        <v>145</v>
      </c>
      <c r="I123" s="243"/>
      <c r="J123" s="243"/>
      <c r="K123" s="243"/>
      <c r="L123" s="243"/>
      <c r="M123" s="244"/>
      <c r="N123" s="245">
        <v>44365</v>
      </c>
      <c r="O123" s="246"/>
      <c r="P123" s="203">
        <v>2109</v>
      </c>
      <c r="Q123" s="210">
        <v>6</v>
      </c>
      <c r="R123" s="243" t="s">
        <v>27</v>
      </c>
      <c r="S123" s="247"/>
    </row>
    <row r="124" spans="1:19" x14ac:dyDescent="0.2">
      <c r="A124" s="242" t="s">
        <v>178</v>
      </c>
      <c r="B124" s="243"/>
      <c r="C124" s="243"/>
      <c r="D124" s="243"/>
      <c r="E124" s="243"/>
      <c r="F124" s="243"/>
      <c r="G124" s="244"/>
      <c r="H124" s="243" t="s">
        <v>179</v>
      </c>
      <c r="I124" s="243"/>
      <c r="J124" s="243"/>
      <c r="K124" s="243"/>
      <c r="L124" s="243"/>
      <c r="M124" s="244"/>
      <c r="N124" s="245">
        <v>44375</v>
      </c>
      <c r="O124" s="246"/>
      <c r="P124" s="203">
        <v>2121</v>
      </c>
      <c r="Q124" s="210">
        <v>4</v>
      </c>
      <c r="R124" s="243" t="s">
        <v>27</v>
      </c>
      <c r="S124" s="247"/>
    </row>
    <row r="125" spans="1:19" x14ac:dyDescent="0.2">
      <c r="A125" s="242" t="s">
        <v>160</v>
      </c>
      <c r="B125" s="243"/>
      <c r="C125" s="243"/>
      <c r="D125" s="243"/>
      <c r="E125" s="243"/>
      <c r="F125" s="243"/>
      <c r="G125" s="244"/>
      <c r="H125" s="243" t="s">
        <v>161</v>
      </c>
      <c r="I125" s="243"/>
      <c r="J125" s="243"/>
      <c r="K125" s="243"/>
      <c r="L125" s="243"/>
      <c r="M125" s="244"/>
      <c r="N125" s="245">
        <v>44299</v>
      </c>
      <c r="O125" s="246"/>
      <c r="P125" s="203">
        <v>2140</v>
      </c>
      <c r="Q125" s="210">
        <v>67</v>
      </c>
      <c r="R125" s="243" t="s">
        <v>34</v>
      </c>
      <c r="S125" s="247"/>
    </row>
    <row r="126" spans="1:19" x14ac:dyDescent="0.2">
      <c r="A126" s="242" t="s">
        <v>163</v>
      </c>
      <c r="B126" s="243"/>
      <c r="C126" s="243"/>
      <c r="D126" s="243"/>
      <c r="E126" s="243"/>
      <c r="F126" s="243"/>
      <c r="G126" s="244"/>
      <c r="H126" s="243" t="s">
        <v>232</v>
      </c>
      <c r="I126" s="243"/>
      <c r="J126" s="243"/>
      <c r="K126" s="243"/>
      <c r="L126" s="243"/>
      <c r="M126" s="244"/>
      <c r="N126" s="245">
        <v>44375</v>
      </c>
      <c r="O126" s="246"/>
      <c r="P126" s="203">
        <v>2159</v>
      </c>
      <c r="Q126" s="210">
        <v>45</v>
      </c>
      <c r="R126" s="243" t="s">
        <v>27</v>
      </c>
      <c r="S126" s="247"/>
    </row>
    <row r="127" spans="1:19" x14ac:dyDescent="0.2">
      <c r="A127" s="242" t="s">
        <v>163</v>
      </c>
      <c r="B127" s="243"/>
      <c r="C127" s="243"/>
      <c r="D127" s="243"/>
      <c r="E127" s="243"/>
      <c r="F127" s="243"/>
      <c r="G127" s="244"/>
      <c r="H127" s="243" t="s">
        <v>164</v>
      </c>
      <c r="I127" s="243"/>
      <c r="J127" s="243"/>
      <c r="K127" s="243"/>
      <c r="L127" s="243"/>
      <c r="M127" s="244"/>
      <c r="N127" s="245">
        <v>44301</v>
      </c>
      <c r="O127" s="246"/>
      <c r="P127" s="203">
        <v>2177</v>
      </c>
      <c r="Q127" s="210">
        <v>66</v>
      </c>
      <c r="R127" s="243" t="s">
        <v>132</v>
      </c>
      <c r="S127" s="247"/>
    </row>
    <row r="128" spans="1:19" x14ac:dyDescent="0.2">
      <c r="A128" s="242" t="s">
        <v>106</v>
      </c>
      <c r="B128" s="243"/>
      <c r="C128" s="243"/>
      <c r="D128" s="243"/>
      <c r="E128" s="243"/>
      <c r="F128" s="243"/>
      <c r="G128" s="244"/>
      <c r="H128" s="243" t="s">
        <v>238</v>
      </c>
      <c r="I128" s="243"/>
      <c r="J128" s="243"/>
      <c r="K128" s="243"/>
      <c r="L128" s="243"/>
      <c r="M128" s="244"/>
      <c r="N128" s="245">
        <v>44357</v>
      </c>
      <c r="O128" s="246"/>
      <c r="P128" s="203">
        <v>2180</v>
      </c>
      <c r="Q128" s="210">
        <v>3</v>
      </c>
      <c r="R128" s="243" t="s">
        <v>108</v>
      </c>
      <c r="S128" s="247"/>
    </row>
    <row r="129" spans="1:19" x14ac:dyDescent="0.2">
      <c r="A129" s="242" t="s">
        <v>106</v>
      </c>
      <c r="B129" s="243"/>
      <c r="C129" s="243"/>
      <c r="D129" s="243"/>
      <c r="E129" s="243"/>
      <c r="F129" s="243"/>
      <c r="G129" s="244"/>
      <c r="H129" s="243" t="s">
        <v>146</v>
      </c>
      <c r="I129" s="243"/>
      <c r="J129" s="243"/>
      <c r="K129" s="243"/>
      <c r="L129" s="243"/>
      <c r="M129" s="244"/>
      <c r="N129" s="245">
        <v>44364</v>
      </c>
      <c r="O129" s="246"/>
      <c r="P129" s="203">
        <v>2190</v>
      </c>
      <c r="Q129" s="210">
        <v>14</v>
      </c>
      <c r="R129" s="243" t="s">
        <v>116</v>
      </c>
      <c r="S129" s="247"/>
    </row>
    <row r="130" spans="1:19" x14ac:dyDescent="0.2">
      <c r="A130" s="242" t="s">
        <v>106</v>
      </c>
      <c r="B130" s="243"/>
      <c r="C130" s="243"/>
      <c r="D130" s="243"/>
      <c r="E130" s="243"/>
      <c r="F130" s="243"/>
      <c r="G130" s="244"/>
      <c r="H130" s="243" t="s">
        <v>126</v>
      </c>
      <c r="I130" s="243"/>
      <c r="J130" s="243"/>
      <c r="K130" s="243"/>
      <c r="L130" s="243"/>
      <c r="M130" s="244"/>
      <c r="N130" s="245">
        <v>44364</v>
      </c>
      <c r="O130" s="246"/>
      <c r="P130" s="203">
        <v>2220</v>
      </c>
      <c r="Q130" s="210">
        <v>82</v>
      </c>
      <c r="R130" s="243" t="s">
        <v>116</v>
      </c>
      <c r="S130" s="247"/>
    </row>
    <row r="131" spans="1:19" x14ac:dyDescent="0.2">
      <c r="A131" s="242" t="s">
        <v>106</v>
      </c>
      <c r="B131" s="243"/>
      <c r="C131" s="243"/>
      <c r="D131" s="243"/>
      <c r="E131" s="243"/>
      <c r="F131" s="243"/>
      <c r="G131" s="244"/>
      <c r="H131" s="243" t="s">
        <v>205</v>
      </c>
      <c r="I131" s="243"/>
      <c r="J131" s="243"/>
      <c r="K131" s="243"/>
      <c r="L131" s="243"/>
      <c r="M131" s="244"/>
      <c r="N131" s="245">
        <v>44357</v>
      </c>
      <c r="O131" s="246"/>
      <c r="P131" s="203">
        <v>2227</v>
      </c>
      <c r="Q131" s="210">
        <v>10</v>
      </c>
      <c r="R131" s="243" t="s">
        <v>99</v>
      </c>
      <c r="S131" s="247"/>
    </row>
    <row r="132" spans="1:19" x14ac:dyDescent="0.2">
      <c r="A132" s="242" t="s">
        <v>106</v>
      </c>
      <c r="B132" s="243"/>
      <c r="C132" s="243"/>
      <c r="D132" s="243"/>
      <c r="E132" s="243"/>
      <c r="F132" s="243"/>
      <c r="G132" s="244"/>
      <c r="H132" s="243" t="s">
        <v>206</v>
      </c>
      <c r="I132" s="243"/>
      <c r="J132" s="243"/>
      <c r="K132" s="243"/>
      <c r="L132" s="243"/>
      <c r="M132" s="244"/>
      <c r="N132" s="245">
        <v>44364</v>
      </c>
      <c r="O132" s="246"/>
      <c r="P132" s="203">
        <v>2249</v>
      </c>
      <c r="Q132" s="210">
        <v>47</v>
      </c>
      <c r="R132" s="243" t="s">
        <v>200</v>
      </c>
      <c r="S132" s="247"/>
    </row>
    <row r="133" spans="1:19" x14ac:dyDescent="0.2">
      <c r="A133" s="242" t="s">
        <v>106</v>
      </c>
      <c r="B133" s="243"/>
      <c r="C133" s="243"/>
      <c r="D133" s="243"/>
      <c r="E133" s="243"/>
      <c r="F133" s="243"/>
      <c r="G133" s="244"/>
      <c r="H133" s="243" t="s">
        <v>107</v>
      </c>
      <c r="I133" s="243"/>
      <c r="J133" s="243"/>
      <c r="K133" s="243"/>
      <c r="L133" s="243"/>
      <c r="M133" s="244"/>
      <c r="N133" s="245">
        <v>44357</v>
      </c>
      <c r="O133" s="246"/>
      <c r="P133" s="203">
        <v>2254</v>
      </c>
      <c r="Q133" s="210">
        <v>5</v>
      </c>
      <c r="R133" s="243" t="s">
        <v>99</v>
      </c>
      <c r="S133" s="247"/>
    </row>
    <row r="134" spans="1:19" x14ac:dyDescent="0.2">
      <c r="A134" s="242" t="s">
        <v>167</v>
      </c>
      <c r="B134" s="243"/>
      <c r="C134" s="243"/>
      <c r="D134" s="243"/>
      <c r="E134" s="243"/>
      <c r="F134" s="243"/>
      <c r="G134" s="244"/>
      <c r="H134" s="243" t="s">
        <v>168</v>
      </c>
      <c r="I134" s="243"/>
      <c r="J134" s="243"/>
      <c r="K134" s="243"/>
      <c r="L134" s="243"/>
      <c r="M134" s="244"/>
      <c r="N134" s="245">
        <v>44350</v>
      </c>
      <c r="O134" s="246"/>
      <c r="P134" s="203">
        <v>2262</v>
      </c>
      <c r="Q134" s="210">
        <v>160</v>
      </c>
      <c r="R134" s="243" t="s">
        <v>170</v>
      </c>
      <c r="S134" s="247"/>
    </row>
    <row r="135" spans="1:19" x14ac:dyDescent="0.2">
      <c r="A135" s="242" t="s">
        <v>127</v>
      </c>
      <c r="B135" s="243"/>
      <c r="C135" s="243"/>
      <c r="D135" s="243"/>
      <c r="E135" s="243"/>
      <c r="F135" s="243"/>
      <c r="G135" s="244"/>
      <c r="H135" s="243" t="s">
        <v>140</v>
      </c>
      <c r="I135" s="243"/>
      <c r="J135" s="243"/>
      <c r="K135" s="243"/>
      <c r="L135" s="243"/>
      <c r="M135" s="244"/>
      <c r="N135" s="245">
        <v>44375</v>
      </c>
      <c r="O135" s="246"/>
      <c r="P135" s="203">
        <v>2316</v>
      </c>
      <c r="Q135" s="210">
        <v>64</v>
      </c>
      <c r="R135" s="243" t="s">
        <v>85</v>
      </c>
      <c r="S135" s="247"/>
    </row>
    <row r="136" spans="1:19" x14ac:dyDescent="0.2">
      <c r="A136" s="242" t="s">
        <v>127</v>
      </c>
      <c r="B136" s="243"/>
      <c r="C136" s="243"/>
      <c r="D136" s="243"/>
      <c r="E136" s="243"/>
      <c r="F136" s="243"/>
      <c r="G136" s="244"/>
      <c r="H136" s="243" t="s">
        <v>141</v>
      </c>
      <c r="I136" s="243"/>
      <c r="J136" s="243"/>
      <c r="K136" s="243"/>
      <c r="L136" s="243"/>
      <c r="M136" s="244"/>
      <c r="N136" s="245">
        <v>44375</v>
      </c>
      <c r="O136" s="246"/>
      <c r="P136" s="203">
        <v>2365</v>
      </c>
      <c r="Q136" s="210">
        <v>60</v>
      </c>
      <c r="R136" s="243" t="s">
        <v>85</v>
      </c>
      <c r="S136" s="247"/>
    </row>
    <row r="137" spans="1:19" x14ac:dyDescent="0.2">
      <c r="A137" s="242" t="s">
        <v>127</v>
      </c>
      <c r="B137" s="243"/>
      <c r="C137" s="243"/>
      <c r="D137" s="243"/>
      <c r="E137" s="243"/>
      <c r="F137" s="243"/>
      <c r="G137" s="244"/>
      <c r="H137" s="243" t="s">
        <v>142</v>
      </c>
      <c r="I137" s="243"/>
      <c r="J137" s="243"/>
      <c r="K137" s="243"/>
      <c r="L137" s="243"/>
      <c r="M137" s="244"/>
      <c r="N137" s="245">
        <v>44375</v>
      </c>
      <c r="O137" s="246"/>
      <c r="P137" s="203">
        <v>2405</v>
      </c>
      <c r="Q137" s="210">
        <v>46</v>
      </c>
      <c r="R137" s="243" t="s">
        <v>85</v>
      </c>
      <c r="S137" s="247"/>
    </row>
    <row r="138" spans="1:19" x14ac:dyDescent="0.2">
      <c r="A138" s="242" t="s">
        <v>127</v>
      </c>
      <c r="B138" s="243"/>
      <c r="C138" s="243"/>
      <c r="D138" s="243"/>
      <c r="E138" s="243"/>
      <c r="F138" s="243"/>
      <c r="G138" s="244"/>
      <c r="H138" s="243" t="s">
        <v>128</v>
      </c>
      <c r="I138" s="243"/>
      <c r="J138" s="243"/>
      <c r="K138" s="243"/>
      <c r="L138" s="243"/>
      <c r="M138" s="244"/>
      <c r="N138" s="245">
        <v>44375</v>
      </c>
      <c r="O138" s="246"/>
      <c r="P138" s="203">
        <v>2449</v>
      </c>
      <c r="Q138" s="210">
        <v>52</v>
      </c>
      <c r="R138" s="243" t="s">
        <v>85</v>
      </c>
      <c r="S138" s="247"/>
    </row>
    <row r="139" spans="1:19" x14ac:dyDescent="0.2">
      <c r="A139" s="242" t="s">
        <v>127</v>
      </c>
      <c r="B139" s="243"/>
      <c r="C139" s="243"/>
      <c r="D139" s="243"/>
      <c r="E139" s="243"/>
      <c r="F139" s="243"/>
      <c r="G139" s="244"/>
      <c r="H139" s="243" t="s">
        <v>143</v>
      </c>
      <c r="I139" s="243"/>
      <c r="J139" s="243"/>
      <c r="K139" s="243"/>
      <c r="L139" s="243"/>
      <c r="M139" s="244"/>
      <c r="N139" s="245">
        <v>44375</v>
      </c>
      <c r="O139" s="246"/>
      <c r="P139" s="203">
        <v>2492</v>
      </c>
      <c r="Q139" s="210">
        <v>48</v>
      </c>
      <c r="R139" s="243" t="s">
        <v>85</v>
      </c>
      <c r="S139" s="247"/>
    </row>
    <row r="140" spans="1:19" x14ac:dyDescent="0.2">
      <c r="A140" s="242" t="s">
        <v>127</v>
      </c>
      <c r="B140" s="243"/>
      <c r="C140" s="243"/>
      <c r="D140" s="243"/>
      <c r="E140" s="243"/>
      <c r="F140" s="243"/>
      <c r="G140" s="244"/>
      <c r="H140" s="243" t="s">
        <v>129</v>
      </c>
      <c r="I140" s="243"/>
      <c r="J140" s="243"/>
      <c r="K140" s="243"/>
      <c r="L140" s="243"/>
      <c r="M140" s="244"/>
      <c r="N140" s="245">
        <v>44375</v>
      </c>
      <c r="O140" s="246"/>
      <c r="P140" s="203">
        <v>2542</v>
      </c>
      <c r="Q140" s="210">
        <v>65</v>
      </c>
      <c r="R140" s="243" t="s">
        <v>85</v>
      </c>
      <c r="S140" s="247"/>
    </row>
    <row r="141" spans="1:19" x14ac:dyDescent="0.2">
      <c r="A141" s="242" t="s">
        <v>83</v>
      </c>
      <c r="B141" s="243"/>
      <c r="C141" s="243"/>
      <c r="D141" s="243"/>
      <c r="E141" s="243"/>
      <c r="F141" s="243"/>
      <c r="G141" s="244"/>
      <c r="H141" s="243" t="s">
        <v>84</v>
      </c>
      <c r="I141" s="243"/>
      <c r="J141" s="243"/>
      <c r="K141" s="243"/>
      <c r="L141" s="243"/>
      <c r="M141" s="244"/>
      <c r="N141" s="245">
        <v>44375</v>
      </c>
      <c r="O141" s="246"/>
      <c r="P141" s="203">
        <v>2654</v>
      </c>
      <c r="Q141" s="210">
        <v>175</v>
      </c>
      <c r="R141" s="243" t="s">
        <v>85</v>
      </c>
      <c r="S141" s="247"/>
    </row>
    <row r="142" spans="1:19" x14ac:dyDescent="0.2">
      <c r="A142" s="242" t="s">
        <v>83</v>
      </c>
      <c r="B142" s="243"/>
      <c r="C142" s="243"/>
      <c r="D142" s="243"/>
      <c r="E142" s="243"/>
      <c r="F142" s="243"/>
      <c r="G142" s="244"/>
      <c r="H142" s="243" t="s">
        <v>87</v>
      </c>
      <c r="I142" s="243"/>
      <c r="J142" s="243"/>
      <c r="K142" s="243"/>
      <c r="L142" s="243"/>
      <c r="M142" s="244"/>
      <c r="N142" s="245">
        <v>44375</v>
      </c>
      <c r="O142" s="246"/>
      <c r="P142" s="203">
        <v>2761</v>
      </c>
      <c r="Q142" s="210">
        <v>164</v>
      </c>
      <c r="R142" s="243" t="s">
        <v>85</v>
      </c>
      <c r="S142" s="247"/>
    </row>
    <row r="143" spans="1:19" x14ac:dyDescent="0.2">
      <c r="A143" s="242" t="s">
        <v>83</v>
      </c>
      <c r="B143" s="243"/>
      <c r="C143" s="243"/>
      <c r="D143" s="243"/>
      <c r="E143" s="243"/>
      <c r="F143" s="243"/>
      <c r="G143" s="244"/>
      <c r="H143" s="243" t="s">
        <v>88</v>
      </c>
      <c r="I143" s="243"/>
      <c r="J143" s="243"/>
      <c r="K143" s="243"/>
      <c r="L143" s="243"/>
      <c r="M143" s="244"/>
      <c r="N143" s="245">
        <v>44375</v>
      </c>
      <c r="O143" s="246"/>
      <c r="P143" s="203">
        <v>2865</v>
      </c>
      <c r="Q143" s="210">
        <v>139</v>
      </c>
      <c r="R143" s="243" t="s">
        <v>85</v>
      </c>
      <c r="S143" s="247"/>
    </row>
    <row r="144" spans="1:19" x14ac:dyDescent="0.2">
      <c r="A144" s="242" t="s">
        <v>83</v>
      </c>
      <c r="B144" s="243"/>
      <c r="C144" s="243"/>
      <c r="D144" s="243"/>
      <c r="E144" s="243"/>
      <c r="F144" s="243"/>
      <c r="G144" s="244"/>
      <c r="H144" s="243" t="s">
        <v>89</v>
      </c>
      <c r="I144" s="243"/>
      <c r="J144" s="243"/>
      <c r="K144" s="243"/>
      <c r="L144" s="243"/>
      <c r="M144" s="244"/>
      <c r="N144" s="245">
        <v>44375</v>
      </c>
      <c r="O144" s="246"/>
      <c r="P144" s="203">
        <v>2959</v>
      </c>
      <c r="Q144" s="210">
        <v>126</v>
      </c>
      <c r="R144" s="243" t="s">
        <v>85</v>
      </c>
      <c r="S144" s="247"/>
    </row>
    <row r="145" spans="1:19" x14ac:dyDescent="0.2">
      <c r="A145" s="242" t="s">
        <v>90</v>
      </c>
      <c r="B145" s="243"/>
      <c r="C145" s="243"/>
      <c r="D145" s="243"/>
      <c r="E145" s="243"/>
      <c r="F145" s="243"/>
      <c r="G145" s="244"/>
      <c r="H145" s="243" t="s">
        <v>91</v>
      </c>
      <c r="I145" s="243"/>
      <c r="J145" s="243"/>
      <c r="K145" s="243"/>
      <c r="L145" s="243"/>
      <c r="M145" s="244"/>
      <c r="N145" s="245">
        <v>44375</v>
      </c>
      <c r="O145" s="246"/>
      <c r="P145" s="203">
        <v>3063</v>
      </c>
      <c r="Q145" s="210">
        <v>193</v>
      </c>
      <c r="R145" s="243" t="s">
        <v>85</v>
      </c>
      <c r="S145" s="247"/>
    </row>
    <row r="146" spans="1:19" x14ac:dyDescent="0.2">
      <c r="A146" s="242" t="s">
        <v>90</v>
      </c>
      <c r="B146" s="243"/>
      <c r="C146" s="243"/>
      <c r="D146" s="243"/>
      <c r="E146" s="243"/>
      <c r="F146" s="243"/>
      <c r="G146" s="244"/>
      <c r="H146" s="243" t="s">
        <v>92</v>
      </c>
      <c r="I146" s="243"/>
      <c r="J146" s="243"/>
      <c r="K146" s="243"/>
      <c r="L146" s="243"/>
      <c r="M146" s="244"/>
      <c r="N146" s="245">
        <v>44365</v>
      </c>
      <c r="O146" s="246"/>
      <c r="P146" s="203">
        <v>3157</v>
      </c>
      <c r="Q146" s="210">
        <v>157</v>
      </c>
      <c r="R146" s="243" t="s">
        <v>85</v>
      </c>
      <c r="S146" s="247"/>
    </row>
    <row r="147" spans="1:19" x14ac:dyDescent="0.2">
      <c r="A147" s="242"/>
      <c r="B147" s="243"/>
      <c r="C147" s="243"/>
      <c r="D147" s="243"/>
      <c r="E147" s="243"/>
      <c r="F147" s="243"/>
      <c r="G147" s="244"/>
      <c r="H147" s="243"/>
      <c r="I147" s="243"/>
      <c r="J147" s="243"/>
      <c r="K147" s="243"/>
      <c r="L147" s="243"/>
      <c r="M147" s="244"/>
      <c r="N147" s="245" t="s">
        <v>257</v>
      </c>
      <c r="O147" s="246"/>
      <c r="P147" s="203" t="s">
        <v>257</v>
      </c>
      <c r="Q147" s="210" t="s">
        <v>257</v>
      </c>
      <c r="R147" s="243" t="s">
        <v>257</v>
      </c>
      <c r="S147" s="247"/>
    </row>
    <row r="148" spans="1:19" x14ac:dyDescent="0.2">
      <c r="A148" s="242"/>
      <c r="B148" s="243"/>
      <c r="C148" s="243"/>
      <c r="D148" s="243"/>
      <c r="E148" s="243"/>
      <c r="F148" s="243"/>
      <c r="G148" s="244"/>
      <c r="H148" s="243"/>
      <c r="I148" s="243"/>
      <c r="J148" s="243"/>
      <c r="K148" s="243"/>
      <c r="L148" s="243"/>
      <c r="M148" s="244"/>
      <c r="N148" s="245" t="s">
        <v>257</v>
      </c>
      <c r="O148" s="246"/>
      <c r="P148" s="203" t="s">
        <v>257</v>
      </c>
      <c r="Q148" s="210" t="s">
        <v>257</v>
      </c>
      <c r="R148" s="243" t="s">
        <v>257</v>
      </c>
      <c r="S148" s="247"/>
    </row>
    <row r="149" spans="1:19" x14ac:dyDescent="0.2">
      <c r="A149" s="242"/>
      <c r="B149" s="243"/>
      <c r="C149" s="243"/>
      <c r="D149" s="243"/>
      <c r="E149" s="243"/>
      <c r="F149" s="243"/>
      <c r="G149" s="244"/>
      <c r="H149" s="243"/>
      <c r="I149" s="243"/>
      <c r="J149" s="243"/>
      <c r="K149" s="243"/>
      <c r="L149" s="243"/>
      <c r="M149" s="244"/>
      <c r="N149" s="245" t="s">
        <v>257</v>
      </c>
      <c r="O149" s="246"/>
      <c r="P149" s="203" t="s">
        <v>257</v>
      </c>
      <c r="Q149" s="210" t="s">
        <v>257</v>
      </c>
      <c r="R149" s="243" t="s">
        <v>257</v>
      </c>
      <c r="S149" s="247"/>
    </row>
    <row r="150" spans="1:19" x14ac:dyDescent="0.2">
      <c r="A150" s="242"/>
      <c r="B150" s="243"/>
      <c r="C150" s="243"/>
      <c r="D150" s="243"/>
      <c r="E150" s="243"/>
      <c r="F150" s="243"/>
      <c r="G150" s="244"/>
      <c r="H150" s="243"/>
      <c r="I150" s="243"/>
      <c r="J150" s="243"/>
      <c r="K150" s="243"/>
      <c r="L150" s="243"/>
      <c r="M150" s="244"/>
      <c r="N150" s="245" t="s">
        <v>257</v>
      </c>
      <c r="O150" s="246"/>
      <c r="P150" s="203" t="s">
        <v>257</v>
      </c>
      <c r="Q150" s="210" t="s">
        <v>257</v>
      </c>
      <c r="R150" s="243" t="s">
        <v>257</v>
      </c>
      <c r="S150" s="247"/>
    </row>
    <row r="151" spans="1:19" x14ac:dyDescent="0.2">
      <c r="A151" s="242"/>
      <c r="B151" s="243"/>
      <c r="C151" s="243"/>
      <c r="D151" s="243"/>
      <c r="E151" s="243"/>
      <c r="F151" s="243"/>
      <c r="G151" s="244"/>
      <c r="H151" s="243"/>
      <c r="I151" s="243"/>
      <c r="J151" s="243"/>
      <c r="K151" s="243"/>
      <c r="L151" s="243"/>
      <c r="M151" s="244"/>
      <c r="N151" s="245" t="s">
        <v>257</v>
      </c>
      <c r="O151" s="246"/>
      <c r="P151" s="203" t="s">
        <v>257</v>
      </c>
      <c r="Q151" s="210" t="s">
        <v>257</v>
      </c>
      <c r="R151" s="243" t="s">
        <v>257</v>
      </c>
      <c r="S151" s="247"/>
    </row>
    <row r="152" spans="1:19" x14ac:dyDescent="0.2">
      <c r="A152" s="242"/>
      <c r="B152" s="243"/>
      <c r="C152" s="243"/>
      <c r="D152" s="243"/>
      <c r="E152" s="243"/>
      <c r="F152" s="243"/>
      <c r="G152" s="244"/>
      <c r="H152" s="243"/>
      <c r="I152" s="243"/>
      <c r="J152" s="243"/>
      <c r="K152" s="243"/>
      <c r="L152" s="243"/>
      <c r="M152" s="244"/>
      <c r="N152" s="245" t="s">
        <v>257</v>
      </c>
      <c r="O152" s="246"/>
      <c r="P152" s="203" t="s">
        <v>257</v>
      </c>
      <c r="Q152" s="210" t="s">
        <v>257</v>
      </c>
      <c r="R152" s="243" t="s">
        <v>257</v>
      </c>
      <c r="S152" s="247"/>
    </row>
    <row r="153" spans="1:19" x14ac:dyDescent="0.2">
      <c r="A153" s="242"/>
      <c r="B153" s="243"/>
      <c r="C153" s="243"/>
      <c r="D153" s="243"/>
      <c r="E153" s="243"/>
      <c r="F153" s="243"/>
      <c r="G153" s="244"/>
      <c r="H153" s="243"/>
      <c r="I153" s="243"/>
      <c r="J153" s="243"/>
      <c r="K153" s="243"/>
      <c r="L153" s="243"/>
      <c r="M153" s="244"/>
      <c r="N153" s="245" t="s">
        <v>257</v>
      </c>
      <c r="O153" s="246"/>
      <c r="P153" s="203" t="s">
        <v>257</v>
      </c>
      <c r="Q153" s="210" t="s">
        <v>257</v>
      </c>
      <c r="R153" s="243" t="s">
        <v>257</v>
      </c>
      <c r="S153" s="247"/>
    </row>
    <row r="154" spans="1:19" x14ac:dyDescent="0.2">
      <c r="A154" s="242"/>
      <c r="B154" s="243"/>
      <c r="C154" s="243"/>
      <c r="D154" s="243"/>
      <c r="E154" s="243"/>
      <c r="F154" s="243"/>
      <c r="G154" s="244"/>
      <c r="H154" s="243"/>
      <c r="I154" s="243"/>
      <c r="J154" s="243"/>
      <c r="K154" s="243"/>
      <c r="L154" s="243"/>
      <c r="M154" s="244"/>
      <c r="N154" s="245" t="s">
        <v>257</v>
      </c>
      <c r="O154" s="246"/>
      <c r="P154" s="203" t="s">
        <v>257</v>
      </c>
      <c r="Q154" s="210" t="s">
        <v>257</v>
      </c>
      <c r="R154" s="243" t="s">
        <v>257</v>
      </c>
      <c r="S154" s="247"/>
    </row>
    <row r="155" spans="1:19" x14ac:dyDescent="0.2">
      <c r="A155" s="242"/>
      <c r="B155" s="243"/>
      <c r="C155" s="243"/>
      <c r="D155" s="243"/>
      <c r="E155" s="243"/>
      <c r="F155" s="243"/>
      <c r="G155" s="244"/>
      <c r="H155" s="243"/>
      <c r="I155" s="243"/>
      <c r="J155" s="243"/>
      <c r="K155" s="243"/>
      <c r="L155" s="243"/>
      <c r="M155" s="244"/>
      <c r="N155" s="245" t="s">
        <v>257</v>
      </c>
      <c r="O155" s="246"/>
      <c r="P155" s="203" t="s">
        <v>257</v>
      </c>
      <c r="Q155" s="210" t="s">
        <v>257</v>
      </c>
      <c r="R155" s="243" t="s">
        <v>257</v>
      </c>
      <c r="S155" s="247"/>
    </row>
    <row r="156" spans="1:19" x14ac:dyDescent="0.2">
      <c r="A156" s="242"/>
      <c r="B156" s="243"/>
      <c r="C156" s="243"/>
      <c r="D156" s="243"/>
      <c r="E156" s="243"/>
      <c r="F156" s="243"/>
      <c r="G156" s="244"/>
      <c r="H156" s="243"/>
      <c r="I156" s="243"/>
      <c r="J156" s="243"/>
      <c r="K156" s="243"/>
      <c r="L156" s="243"/>
      <c r="M156" s="244"/>
      <c r="N156" s="245" t="s">
        <v>257</v>
      </c>
      <c r="O156" s="246"/>
      <c r="P156" s="203" t="s">
        <v>257</v>
      </c>
      <c r="Q156" s="210" t="s">
        <v>257</v>
      </c>
      <c r="R156" s="243" t="s">
        <v>257</v>
      </c>
      <c r="S156" s="247"/>
    </row>
    <row r="157" spans="1:19" x14ac:dyDescent="0.2">
      <c r="A157" s="242"/>
      <c r="B157" s="243"/>
      <c r="C157" s="243"/>
      <c r="D157" s="243"/>
      <c r="E157" s="243"/>
      <c r="F157" s="243"/>
      <c r="G157" s="244"/>
      <c r="H157" s="243"/>
      <c r="I157" s="243"/>
      <c r="J157" s="243"/>
      <c r="K157" s="243"/>
      <c r="L157" s="243"/>
      <c r="M157" s="244"/>
      <c r="N157" s="245" t="s">
        <v>257</v>
      </c>
      <c r="O157" s="246"/>
      <c r="P157" s="203" t="s">
        <v>257</v>
      </c>
      <c r="Q157" s="210" t="s">
        <v>257</v>
      </c>
      <c r="R157" s="243" t="s">
        <v>257</v>
      </c>
      <c r="S157" s="247"/>
    </row>
    <row r="158" spans="1:19" x14ac:dyDescent="0.2">
      <c r="A158" s="242"/>
      <c r="B158" s="243"/>
      <c r="C158" s="243"/>
      <c r="D158" s="243"/>
      <c r="E158" s="243"/>
      <c r="F158" s="243"/>
      <c r="G158" s="244"/>
      <c r="H158" s="243"/>
      <c r="I158" s="243"/>
      <c r="J158" s="243"/>
      <c r="K158" s="243"/>
      <c r="L158" s="243"/>
      <c r="M158" s="244"/>
      <c r="N158" s="245" t="s">
        <v>257</v>
      </c>
      <c r="O158" s="246"/>
      <c r="P158" s="203" t="s">
        <v>257</v>
      </c>
      <c r="Q158" s="210" t="s">
        <v>257</v>
      </c>
      <c r="R158" s="243" t="s">
        <v>257</v>
      </c>
      <c r="S158" s="247"/>
    </row>
    <row r="159" spans="1:19" x14ac:dyDescent="0.2">
      <c r="A159" s="242"/>
      <c r="B159" s="243"/>
      <c r="C159" s="243"/>
      <c r="D159" s="243"/>
      <c r="E159" s="243"/>
      <c r="F159" s="243"/>
      <c r="G159" s="244"/>
      <c r="H159" s="243"/>
      <c r="I159" s="243"/>
      <c r="J159" s="243"/>
      <c r="K159" s="243"/>
      <c r="L159" s="243"/>
      <c r="M159" s="244"/>
      <c r="N159" s="245" t="s">
        <v>257</v>
      </c>
      <c r="O159" s="246"/>
      <c r="P159" s="203" t="s">
        <v>257</v>
      </c>
      <c r="Q159" s="210" t="s">
        <v>257</v>
      </c>
      <c r="R159" s="243" t="s">
        <v>257</v>
      </c>
      <c r="S159" s="247"/>
    </row>
    <row r="160" spans="1:19" x14ac:dyDescent="0.2">
      <c r="A160" s="242"/>
      <c r="B160" s="243"/>
      <c r="C160" s="243"/>
      <c r="D160" s="243"/>
      <c r="E160" s="243"/>
      <c r="F160" s="243"/>
      <c r="G160" s="244"/>
      <c r="H160" s="243"/>
      <c r="I160" s="243"/>
      <c r="J160" s="243"/>
      <c r="K160" s="243"/>
      <c r="L160" s="243"/>
      <c r="M160" s="244"/>
      <c r="N160" s="245" t="s">
        <v>257</v>
      </c>
      <c r="O160" s="246"/>
      <c r="P160" s="203" t="s">
        <v>257</v>
      </c>
      <c r="Q160" s="210" t="s">
        <v>257</v>
      </c>
      <c r="R160" s="243" t="s">
        <v>257</v>
      </c>
      <c r="S160" s="247"/>
    </row>
    <row r="161" spans="1:19" x14ac:dyDescent="0.2">
      <c r="A161" s="242"/>
      <c r="B161" s="243"/>
      <c r="C161" s="243"/>
      <c r="D161" s="243"/>
      <c r="E161" s="243"/>
      <c r="F161" s="243"/>
      <c r="G161" s="244"/>
      <c r="H161" s="243"/>
      <c r="I161" s="243"/>
      <c r="J161" s="243"/>
      <c r="K161" s="243"/>
      <c r="L161" s="243"/>
      <c r="M161" s="244"/>
      <c r="N161" s="245" t="s">
        <v>257</v>
      </c>
      <c r="O161" s="246"/>
      <c r="P161" s="203" t="s">
        <v>257</v>
      </c>
      <c r="Q161" s="210" t="s">
        <v>257</v>
      </c>
      <c r="R161" s="243" t="s">
        <v>257</v>
      </c>
      <c r="S161" s="247"/>
    </row>
    <row r="162" spans="1:19" x14ac:dyDescent="0.2">
      <c r="A162" s="242"/>
      <c r="B162" s="243"/>
      <c r="C162" s="243"/>
      <c r="D162" s="243"/>
      <c r="E162" s="243"/>
      <c r="F162" s="243"/>
      <c r="G162" s="244"/>
      <c r="H162" s="243"/>
      <c r="I162" s="243"/>
      <c r="J162" s="243"/>
      <c r="K162" s="243"/>
      <c r="L162" s="243"/>
      <c r="M162" s="244"/>
      <c r="N162" s="245" t="s">
        <v>257</v>
      </c>
      <c r="O162" s="246"/>
      <c r="P162" s="203" t="s">
        <v>257</v>
      </c>
      <c r="Q162" s="210" t="s">
        <v>257</v>
      </c>
      <c r="R162" s="243" t="s">
        <v>257</v>
      </c>
      <c r="S162" s="247"/>
    </row>
    <row r="163" spans="1:19" x14ac:dyDescent="0.2">
      <c r="A163" s="242"/>
      <c r="B163" s="243"/>
      <c r="C163" s="243"/>
      <c r="D163" s="243"/>
      <c r="E163" s="243"/>
      <c r="F163" s="243"/>
      <c r="G163" s="244"/>
      <c r="H163" s="243"/>
      <c r="I163" s="243"/>
      <c r="J163" s="243"/>
      <c r="K163" s="243"/>
      <c r="L163" s="243"/>
      <c r="M163" s="244"/>
      <c r="N163" s="245" t="s">
        <v>257</v>
      </c>
      <c r="O163" s="246"/>
      <c r="P163" s="203" t="s">
        <v>257</v>
      </c>
      <c r="Q163" s="210" t="s">
        <v>257</v>
      </c>
      <c r="R163" s="243" t="s">
        <v>257</v>
      </c>
      <c r="S163" s="247"/>
    </row>
    <row r="164" spans="1:19" x14ac:dyDescent="0.2">
      <c r="A164" s="242"/>
      <c r="B164" s="243"/>
      <c r="C164" s="243"/>
      <c r="D164" s="243"/>
      <c r="E164" s="243"/>
      <c r="F164" s="243"/>
      <c r="G164" s="244"/>
      <c r="H164" s="243"/>
      <c r="I164" s="243"/>
      <c r="J164" s="243"/>
      <c r="K164" s="243"/>
      <c r="L164" s="243"/>
      <c r="M164" s="244"/>
      <c r="N164" s="245" t="s">
        <v>257</v>
      </c>
      <c r="O164" s="246"/>
      <c r="P164" s="203" t="s">
        <v>257</v>
      </c>
      <c r="Q164" s="210" t="s">
        <v>257</v>
      </c>
      <c r="R164" s="243" t="s">
        <v>257</v>
      </c>
      <c r="S164" s="247"/>
    </row>
    <row r="165" spans="1:19" x14ac:dyDescent="0.2">
      <c r="A165" s="242"/>
      <c r="B165" s="243"/>
      <c r="C165" s="243"/>
      <c r="D165" s="243"/>
      <c r="E165" s="243"/>
      <c r="F165" s="243"/>
      <c r="G165" s="244"/>
      <c r="H165" s="243"/>
      <c r="I165" s="243"/>
      <c r="J165" s="243"/>
      <c r="K165" s="243"/>
      <c r="L165" s="243"/>
      <c r="M165" s="244"/>
      <c r="N165" s="245" t="s">
        <v>257</v>
      </c>
      <c r="O165" s="246"/>
      <c r="P165" s="203" t="s">
        <v>257</v>
      </c>
      <c r="Q165" s="210" t="s">
        <v>257</v>
      </c>
      <c r="R165" s="243" t="s">
        <v>257</v>
      </c>
      <c r="S165" s="247"/>
    </row>
    <row r="166" spans="1:19" x14ac:dyDescent="0.2">
      <c r="A166" s="242"/>
      <c r="B166" s="243"/>
      <c r="C166" s="243"/>
      <c r="D166" s="243"/>
      <c r="E166" s="243"/>
      <c r="F166" s="243"/>
      <c r="G166" s="244"/>
      <c r="H166" s="243"/>
      <c r="I166" s="243"/>
      <c r="J166" s="243"/>
      <c r="K166" s="243"/>
      <c r="L166" s="243"/>
      <c r="M166" s="244"/>
      <c r="N166" s="245" t="s">
        <v>257</v>
      </c>
      <c r="O166" s="246"/>
      <c r="P166" s="203" t="s">
        <v>257</v>
      </c>
      <c r="Q166" s="210" t="s">
        <v>257</v>
      </c>
      <c r="R166" s="243" t="s">
        <v>257</v>
      </c>
      <c r="S166" s="247"/>
    </row>
    <row r="167" spans="1:19" x14ac:dyDescent="0.2">
      <c r="A167" s="242"/>
      <c r="B167" s="243"/>
      <c r="C167" s="243"/>
      <c r="D167" s="243"/>
      <c r="E167" s="243"/>
      <c r="F167" s="243"/>
      <c r="G167" s="244"/>
      <c r="H167" s="243"/>
      <c r="I167" s="243"/>
      <c r="J167" s="243"/>
      <c r="K167" s="243"/>
      <c r="L167" s="243"/>
      <c r="M167" s="244"/>
      <c r="N167" s="245" t="s">
        <v>257</v>
      </c>
      <c r="O167" s="246"/>
      <c r="P167" s="203" t="s">
        <v>257</v>
      </c>
      <c r="Q167" s="210" t="s">
        <v>257</v>
      </c>
      <c r="R167" s="243" t="s">
        <v>257</v>
      </c>
      <c r="S167" s="247"/>
    </row>
    <row r="168" spans="1:19" x14ac:dyDescent="0.2">
      <c r="A168" s="242"/>
      <c r="B168" s="243"/>
      <c r="C168" s="243"/>
      <c r="D168" s="243"/>
      <c r="E168" s="243"/>
      <c r="F168" s="243"/>
      <c r="G168" s="244"/>
      <c r="H168" s="243"/>
      <c r="I168" s="243"/>
      <c r="J168" s="243"/>
      <c r="K168" s="243"/>
      <c r="L168" s="243"/>
      <c r="M168" s="244"/>
      <c r="N168" s="245" t="s">
        <v>257</v>
      </c>
      <c r="O168" s="246"/>
      <c r="P168" s="203" t="s">
        <v>257</v>
      </c>
      <c r="Q168" s="210" t="s">
        <v>257</v>
      </c>
      <c r="R168" s="243" t="s">
        <v>257</v>
      </c>
      <c r="S168" s="247"/>
    </row>
    <row r="169" spans="1:19" x14ac:dyDescent="0.2">
      <c r="A169" s="242"/>
      <c r="B169" s="243"/>
      <c r="C169" s="243"/>
      <c r="D169" s="243"/>
      <c r="E169" s="243"/>
      <c r="F169" s="243"/>
      <c r="G169" s="244"/>
      <c r="H169" s="243"/>
      <c r="I169" s="243"/>
      <c r="J169" s="243"/>
      <c r="K169" s="243"/>
      <c r="L169" s="243"/>
      <c r="M169" s="244"/>
      <c r="N169" s="245" t="s">
        <v>257</v>
      </c>
      <c r="O169" s="246"/>
      <c r="P169" s="203" t="s">
        <v>257</v>
      </c>
      <c r="Q169" s="210" t="s">
        <v>257</v>
      </c>
      <c r="R169" s="243" t="s">
        <v>257</v>
      </c>
      <c r="S169" s="247"/>
    </row>
    <row r="170" spans="1:19" x14ac:dyDescent="0.2">
      <c r="A170" s="242"/>
      <c r="B170" s="243"/>
      <c r="C170" s="243"/>
      <c r="D170" s="243"/>
      <c r="E170" s="243"/>
      <c r="F170" s="243"/>
      <c r="G170" s="244"/>
      <c r="H170" s="243"/>
      <c r="I170" s="243"/>
      <c r="J170" s="243"/>
      <c r="K170" s="243"/>
      <c r="L170" s="243"/>
      <c r="M170" s="244"/>
      <c r="N170" s="245" t="s">
        <v>257</v>
      </c>
      <c r="O170" s="246"/>
      <c r="P170" s="203" t="s">
        <v>257</v>
      </c>
      <c r="Q170" s="210" t="s">
        <v>257</v>
      </c>
      <c r="R170" s="243" t="s">
        <v>257</v>
      </c>
      <c r="S170" s="247"/>
    </row>
    <row r="171" spans="1:19" x14ac:dyDescent="0.2">
      <c r="A171" s="242"/>
      <c r="B171" s="243"/>
      <c r="C171" s="243"/>
      <c r="D171" s="243"/>
      <c r="E171" s="243"/>
      <c r="F171" s="243"/>
      <c r="G171" s="244"/>
      <c r="H171" s="243"/>
      <c r="I171" s="243"/>
      <c r="J171" s="243"/>
      <c r="K171" s="243"/>
      <c r="L171" s="243"/>
      <c r="M171" s="244"/>
      <c r="N171" s="245" t="s">
        <v>257</v>
      </c>
      <c r="O171" s="246"/>
      <c r="P171" s="203" t="s">
        <v>257</v>
      </c>
      <c r="Q171" s="210" t="s">
        <v>257</v>
      </c>
      <c r="R171" s="243" t="s">
        <v>257</v>
      </c>
      <c r="S171" s="247"/>
    </row>
    <row r="172" spans="1:19" x14ac:dyDescent="0.2">
      <c r="A172" s="242"/>
      <c r="B172" s="243"/>
      <c r="C172" s="243"/>
      <c r="D172" s="243"/>
      <c r="E172" s="243"/>
      <c r="F172" s="243"/>
      <c r="G172" s="244"/>
      <c r="H172" s="243"/>
      <c r="I172" s="243"/>
      <c r="J172" s="243"/>
      <c r="K172" s="243"/>
      <c r="L172" s="243"/>
      <c r="M172" s="244"/>
      <c r="N172" s="245" t="s">
        <v>257</v>
      </c>
      <c r="O172" s="246"/>
      <c r="P172" s="203" t="s">
        <v>257</v>
      </c>
      <c r="Q172" s="210" t="s">
        <v>257</v>
      </c>
      <c r="R172" s="243" t="s">
        <v>257</v>
      </c>
      <c r="S172" s="247"/>
    </row>
    <row r="173" spans="1:19" x14ac:dyDescent="0.2">
      <c r="A173" s="242"/>
      <c r="B173" s="243"/>
      <c r="C173" s="243"/>
      <c r="D173" s="243"/>
      <c r="E173" s="243"/>
      <c r="F173" s="243"/>
      <c r="G173" s="244"/>
      <c r="H173" s="243"/>
      <c r="I173" s="243"/>
      <c r="J173" s="243"/>
      <c r="K173" s="243"/>
      <c r="L173" s="243"/>
      <c r="M173" s="244"/>
      <c r="N173" s="245" t="s">
        <v>257</v>
      </c>
      <c r="O173" s="246"/>
      <c r="P173" s="203" t="s">
        <v>257</v>
      </c>
      <c r="Q173" s="210" t="s">
        <v>257</v>
      </c>
      <c r="R173" s="243" t="s">
        <v>257</v>
      </c>
      <c r="S173" s="247"/>
    </row>
    <row r="174" spans="1:19" x14ac:dyDescent="0.2">
      <c r="A174" s="242"/>
      <c r="B174" s="243"/>
      <c r="C174" s="243"/>
      <c r="D174" s="243"/>
      <c r="E174" s="243"/>
      <c r="F174" s="243"/>
      <c r="G174" s="244"/>
      <c r="H174" s="243"/>
      <c r="I174" s="243"/>
      <c r="J174" s="243"/>
      <c r="K174" s="243"/>
      <c r="L174" s="243"/>
      <c r="M174" s="244"/>
      <c r="N174" s="245" t="s">
        <v>257</v>
      </c>
      <c r="O174" s="246"/>
      <c r="P174" s="203" t="s">
        <v>257</v>
      </c>
      <c r="Q174" s="210" t="s">
        <v>257</v>
      </c>
      <c r="R174" s="243" t="s">
        <v>257</v>
      </c>
      <c r="S174" s="247"/>
    </row>
    <row r="175" spans="1:19" x14ac:dyDescent="0.2">
      <c r="A175" s="242"/>
      <c r="B175" s="243"/>
      <c r="C175" s="243"/>
      <c r="D175" s="243"/>
      <c r="E175" s="243"/>
      <c r="F175" s="243"/>
      <c r="G175" s="244"/>
      <c r="H175" s="243"/>
      <c r="I175" s="243"/>
      <c r="J175" s="243"/>
      <c r="K175" s="243"/>
      <c r="L175" s="243"/>
      <c r="M175" s="244"/>
      <c r="N175" s="245" t="s">
        <v>257</v>
      </c>
      <c r="O175" s="246"/>
      <c r="P175" s="203" t="s">
        <v>257</v>
      </c>
      <c r="Q175" s="210" t="s">
        <v>257</v>
      </c>
      <c r="R175" s="243" t="s">
        <v>257</v>
      </c>
      <c r="S175" s="247"/>
    </row>
    <row r="176" spans="1:19" x14ac:dyDescent="0.2">
      <c r="A176" s="242"/>
      <c r="B176" s="243"/>
      <c r="C176" s="243"/>
      <c r="D176" s="243"/>
      <c r="E176" s="243"/>
      <c r="F176" s="243"/>
      <c r="G176" s="244"/>
      <c r="H176" s="243"/>
      <c r="I176" s="243"/>
      <c r="J176" s="243"/>
      <c r="K176" s="243"/>
      <c r="L176" s="243"/>
      <c r="M176" s="244"/>
      <c r="N176" s="245" t="s">
        <v>257</v>
      </c>
      <c r="O176" s="246"/>
      <c r="P176" s="203" t="s">
        <v>257</v>
      </c>
      <c r="Q176" s="210" t="s">
        <v>257</v>
      </c>
      <c r="R176" s="243" t="s">
        <v>257</v>
      </c>
      <c r="S176" s="247"/>
    </row>
    <row r="177" spans="1:19" x14ac:dyDescent="0.2">
      <c r="A177" s="242"/>
      <c r="B177" s="243"/>
      <c r="C177" s="243"/>
      <c r="D177" s="243"/>
      <c r="E177" s="243"/>
      <c r="F177" s="243"/>
      <c r="G177" s="244"/>
      <c r="H177" s="243"/>
      <c r="I177" s="243"/>
      <c r="J177" s="243"/>
      <c r="K177" s="243"/>
      <c r="L177" s="243"/>
      <c r="M177" s="244"/>
      <c r="N177" s="245" t="s">
        <v>257</v>
      </c>
      <c r="O177" s="246"/>
      <c r="P177" s="203" t="s">
        <v>257</v>
      </c>
      <c r="Q177" s="210" t="s">
        <v>257</v>
      </c>
      <c r="R177" s="243" t="s">
        <v>257</v>
      </c>
      <c r="S177" s="247"/>
    </row>
    <row r="178" spans="1:19" x14ac:dyDescent="0.2">
      <c r="A178" s="242"/>
      <c r="B178" s="243"/>
      <c r="C178" s="243"/>
      <c r="D178" s="243"/>
      <c r="E178" s="243"/>
      <c r="F178" s="243"/>
      <c r="G178" s="244"/>
      <c r="H178" s="243"/>
      <c r="I178" s="243"/>
      <c r="J178" s="243"/>
      <c r="K178" s="243"/>
      <c r="L178" s="243"/>
      <c r="M178" s="244"/>
      <c r="N178" s="245" t="s">
        <v>257</v>
      </c>
      <c r="O178" s="246"/>
      <c r="P178" s="203" t="s">
        <v>257</v>
      </c>
      <c r="Q178" s="210" t="s">
        <v>257</v>
      </c>
      <c r="R178" s="243" t="s">
        <v>257</v>
      </c>
      <c r="S178" s="247"/>
    </row>
    <row r="179" spans="1:19" x14ac:dyDescent="0.2">
      <c r="A179" s="242"/>
      <c r="B179" s="243"/>
      <c r="C179" s="243"/>
      <c r="D179" s="243"/>
      <c r="E179" s="243"/>
      <c r="F179" s="243"/>
      <c r="G179" s="244"/>
      <c r="H179" s="243"/>
      <c r="I179" s="243"/>
      <c r="J179" s="243"/>
      <c r="K179" s="243"/>
      <c r="L179" s="243"/>
      <c r="M179" s="244"/>
      <c r="N179" s="245" t="s">
        <v>257</v>
      </c>
      <c r="O179" s="246"/>
      <c r="P179" s="203" t="s">
        <v>257</v>
      </c>
      <c r="Q179" s="210" t="s">
        <v>257</v>
      </c>
      <c r="R179" s="243" t="s">
        <v>257</v>
      </c>
      <c r="S179" s="247"/>
    </row>
    <row r="180" spans="1:19" x14ac:dyDescent="0.2">
      <c r="A180" s="242"/>
      <c r="B180" s="243"/>
      <c r="C180" s="243"/>
      <c r="D180" s="243"/>
      <c r="E180" s="243"/>
      <c r="F180" s="243"/>
      <c r="G180" s="244"/>
      <c r="H180" s="243"/>
      <c r="I180" s="243"/>
      <c r="J180" s="243"/>
      <c r="K180" s="243"/>
      <c r="L180" s="243"/>
      <c r="M180" s="244"/>
      <c r="N180" s="245" t="s">
        <v>257</v>
      </c>
      <c r="O180" s="246"/>
      <c r="P180" s="203" t="s">
        <v>257</v>
      </c>
      <c r="Q180" s="210" t="s">
        <v>257</v>
      </c>
      <c r="R180" s="243" t="s">
        <v>257</v>
      </c>
      <c r="S180" s="247"/>
    </row>
    <row r="181" spans="1:19" x14ac:dyDescent="0.2">
      <c r="A181" s="242"/>
      <c r="B181" s="243"/>
      <c r="C181" s="243"/>
      <c r="D181" s="243"/>
      <c r="E181" s="243"/>
      <c r="F181" s="243"/>
      <c r="G181" s="244"/>
      <c r="H181" s="243"/>
      <c r="I181" s="243"/>
      <c r="J181" s="243"/>
      <c r="K181" s="243"/>
      <c r="L181" s="243"/>
      <c r="M181" s="244"/>
      <c r="N181" s="245" t="s">
        <v>257</v>
      </c>
      <c r="O181" s="246"/>
      <c r="P181" s="203" t="s">
        <v>257</v>
      </c>
      <c r="Q181" s="210" t="s">
        <v>257</v>
      </c>
      <c r="R181" s="243" t="s">
        <v>257</v>
      </c>
      <c r="S181" s="247"/>
    </row>
    <row r="182" spans="1:19" x14ac:dyDescent="0.2">
      <c r="A182" s="242"/>
      <c r="B182" s="243"/>
      <c r="C182" s="243"/>
      <c r="D182" s="243"/>
      <c r="E182" s="243"/>
      <c r="F182" s="243"/>
      <c r="G182" s="244"/>
      <c r="H182" s="243"/>
      <c r="I182" s="243"/>
      <c r="J182" s="243"/>
      <c r="K182" s="243"/>
      <c r="L182" s="243"/>
      <c r="M182" s="244"/>
      <c r="N182" s="245" t="s">
        <v>257</v>
      </c>
      <c r="O182" s="246"/>
      <c r="P182" s="203" t="s">
        <v>257</v>
      </c>
      <c r="Q182" s="210" t="s">
        <v>257</v>
      </c>
      <c r="R182" s="243" t="s">
        <v>257</v>
      </c>
      <c r="S182" s="247"/>
    </row>
    <row r="183" spans="1:19" x14ac:dyDescent="0.2">
      <c r="A183" s="242"/>
      <c r="B183" s="243"/>
      <c r="C183" s="243"/>
      <c r="D183" s="243"/>
      <c r="E183" s="243"/>
      <c r="F183" s="243"/>
      <c r="G183" s="244"/>
      <c r="H183" s="243"/>
      <c r="I183" s="243"/>
      <c r="J183" s="243"/>
      <c r="K183" s="243"/>
      <c r="L183" s="243"/>
      <c r="M183" s="244"/>
      <c r="N183" s="245" t="s">
        <v>257</v>
      </c>
      <c r="O183" s="246"/>
      <c r="P183" s="203" t="s">
        <v>257</v>
      </c>
      <c r="Q183" s="210" t="s">
        <v>257</v>
      </c>
      <c r="R183" s="243" t="s">
        <v>257</v>
      </c>
      <c r="S183" s="247"/>
    </row>
    <row r="184" spans="1:19" x14ac:dyDescent="0.2">
      <c r="A184" s="242"/>
      <c r="B184" s="243"/>
      <c r="C184" s="243"/>
      <c r="D184" s="243"/>
      <c r="E184" s="243"/>
      <c r="F184" s="243"/>
      <c r="G184" s="244"/>
      <c r="H184" s="243"/>
      <c r="I184" s="243"/>
      <c r="J184" s="243"/>
      <c r="K184" s="243"/>
      <c r="L184" s="243"/>
      <c r="M184" s="244"/>
      <c r="N184" s="245" t="s">
        <v>257</v>
      </c>
      <c r="O184" s="246"/>
      <c r="P184" s="203" t="s">
        <v>257</v>
      </c>
      <c r="Q184" s="210" t="s">
        <v>257</v>
      </c>
      <c r="R184" s="243" t="s">
        <v>257</v>
      </c>
      <c r="S184" s="247"/>
    </row>
    <row r="185" spans="1:19" x14ac:dyDescent="0.2">
      <c r="A185" s="242"/>
      <c r="B185" s="243"/>
      <c r="C185" s="243"/>
      <c r="D185" s="243"/>
      <c r="E185" s="243"/>
      <c r="F185" s="243"/>
      <c r="G185" s="244"/>
      <c r="H185" s="243"/>
      <c r="I185" s="243"/>
      <c r="J185" s="243"/>
      <c r="K185" s="243"/>
      <c r="L185" s="243"/>
      <c r="M185" s="244"/>
      <c r="N185" s="245" t="s">
        <v>257</v>
      </c>
      <c r="O185" s="246"/>
      <c r="P185" s="203" t="s">
        <v>257</v>
      </c>
      <c r="Q185" s="210" t="s">
        <v>257</v>
      </c>
      <c r="R185" s="243" t="s">
        <v>257</v>
      </c>
      <c r="S185" s="247"/>
    </row>
    <row r="186" spans="1:19" x14ac:dyDescent="0.2">
      <c r="A186" s="242"/>
      <c r="B186" s="243"/>
      <c r="C186" s="243"/>
      <c r="D186" s="243"/>
      <c r="E186" s="243"/>
      <c r="F186" s="243"/>
      <c r="G186" s="244"/>
      <c r="H186" s="243"/>
      <c r="I186" s="243"/>
      <c r="J186" s="243"/>
      <c r="K186" s="243"/>
      <c r="L186" s="243"/>
      <c r="M186" s="244"/>
      <c r="N186" s="245" t="s">
        <v>257</v>
      </c>
      <c r="O186" s="246"/>
      <c r="P186" s="203" t="s">
        <v>257</v>
      </c>
      <c r="Q186" s="210" t="s">
        <v>257</v>
      </c>
      <c r="R186" s="243" t="s">
        <v>257</v>
      </c>
      <c r="S186" s="247"/>
    </row>
    <row r="187" spans="1:19" x14ac:dyDescent="0.2">
      <c r="A187" s="242"/>
      <c r="B187" s="243"/>
      <c r="C187" s="243"/>
      <c r="D187" s="243"/>
      <c r="E187" s="243"/>
      <c r="F187" s="243"/>
      <c r="G187" s="244"/>
      <c r="H187" s="243"/>
      <c r="I187" s="243"/>
      <c r="J187" s="243"/>
      <c r="K187" s="243"/>
      <c r="L187" s="243"/>
      <c r="M187" s="244"/>
      <c r="N187" s="245" t="s">
        <v>257</v>
      </c>
      <c r="O187" s="246"/>
      <c r="P187" s="203" t="s">
        <v>257</v>
      </c>
      <c r="Q187" s="210" t="s">
        <v>257</v>
      </c>
      <c r="R187" s="243" t="s">
        <v>257</v>
      </c>
      <c r="S187" s="247"/>
    </row>
    <row r="188" spans="1:19" x14ac:dyDescent="0.2">
      <c r="A188" s="242"/>
      <c r="B188" s="243"/>
      <c r="C188" s="243"/>
      <c r="D188" s="243"/>
      <c r="E188" s="243"/>
      <c r="F188" s="243"/>
      <c r="G188" s="244"/>
      <c r="H188" s="243"/>
      <c r="I188" s="243"/>
      <c r="J188" s="243"/>
      <c r="K188" s="243"/>
      <c r="L188" s="243"/>
      <c r="M188" s="244"/>
      <c r="N188" s="245" t="s">
        <v>257</v>
      </c>
      <c r="O188" s="246"/>
      <c r="P188" s="203" t="s">
        <v>257</v>
      </c>
      <c r="Q188" s="210" t="s">
        <v>257</v>
      </c>
      <c r="R188" s="243" t="s">
        <v>257</v>
      </c>
      <c r="S188" s="247"/>
    </row>
    <row r="189" spans="1:19" x14ac:dyDescent="0.2">
      <c r="A189" s="242"/>
      <c r="B189" s="243"/>
      <c r="C189" s="243"/>
      <c r="D189" s="243"/>
      <c r="E189" s="243"/>
      <c r="F189" s="243"/>
      <c r="G189" s="244"/>
      <c r="H189" s="243"/>
      <c r="I189" s="243"/>
      <c r="J189" s="243"/>
      <c r="K189" s="243"/>
      <c r="L189" s="243"/>
      <c r="M189" s="244"/>
      <c r="N189" s="245" t="s">
        <v>257</v>
      </c>
      <c r="O189" s="246"/>
      <c r="P189" s="203" t="s">
        <v>257</v>
      </c>
      <c r="Q189" s="210" t="s">
        <v>257</v>
      </c>
      <c r="R189" s="243" t="s">
        <v>257</v>
      </c>
      <c r="S189" s="247"/>
    </row>
    <row r="190" spans="1:19" x14ac:dyDescent="0.2">
      <c r="A190" s="242"/>
      <c r="B190" s="243"/>
      <c r="C190" s="243"/>
      <c r="D190" s="243"/>
      <c r="E190" s="243"/>
      <c r="F190" s="243"/>
      <c r="G190" s="244"/>
      <c r="H190" s="243"/>
      <c r="I190" s="243"/>
      <c r="J190" s="243"/>
      <c r="K190" s="243"/>
      <c r="L190" s="243"/>
      <c r="M190" s="244"/>
      <c r="N190" s="245" t="s">
        <v>257</v>
      </c>
      <c r="O190" s="246"/>
      <c r="P190" s="203" t="s">
        <v>257</v>
      </c>
      <c r="Q190" s="210" t="s">
        <v>257</v>
      </c>
      <c r="R190" s="243" t="s">
        <v>257</v>
      </c>
      <c r="S190" s="247"/>
    </row>
    <row r="191" spans="1:19" x14ac:dyDescent="0.2">
      <c r="A191" s="242"/>
      <c r="B191" s="243"/>
      <c r="C191" s="243"/>
      <c r="D191" s="243"/>
      <c r="E191" s="243"/>
      <c r="F191" s="243"/>
      <c r="G191" s="244"/>
      <c r="H191" s="243"/>
      <c r="I191" s="243"/>
      <c r="J191" s="243"/>
      <c r="K191" s="243"/>
      <c r="L191" s="243"/>
      <c r="M191" s="244"/>
      <c r="N191" s="245" t="s">
        <v>257</v>
      </c>
      <c r="O191" s="246"/>
      <c r="P191" s="203" t="s">
        <v>257</v>
      </c>
      <c r="Q191" s="210" t="s">
        <v>257</v>
      </c>
      <c r="R191" s="243" t="s">
        <v>257</v>
      </c>
      <c r="S191" s="247"/>
    </row>
    <row r="192" spans="1:19" x14ac:dyDescent="0.2">
      <c r="A192" s="242"/>
      <c r="B192" s="243"/>
      <c r="C192" s="243"/>
      <c r="D192" s="243"/>
      <c r="E192" s="243"/>
      <c r="F192" s="243"/>
      <c r="G192" s="244"/>
      <c r="H192" s="243"/>
      <c r="I192" s="243"/>
      <c r="J192" s="243"/>
      <c r="K192" s="243"/>
      <c r="L192" s="243"/>
      <c r="M192" s="244"/>
      <c r="N192" s="245" t="s">
        <v>257</v>
      </c>
      <c r="O192" s="246"/>
      <c r="P192" s="203" t="s">
        <v>257</v>
      </c>
      <c r="Q192" s="210" t="s">
        <v>257</v>
      </c>
      <c r="R192" s="243" t="s">
        <v>257</v>
      </c>
      <c r="S192" s="247"/>
    </row>
    <row r="193" spans="1:19" x14ac:dyDescent="0.2">
      <c r="A193" s="242"/>
      <c r="B193" s="243"/>
      <c r="C193" s="243"/>
      <c r="D193" s="243"/>
      <c r="E193" s="243"/>
      <c r="F193" s="243"/>
      <c r="G193" s="244"/>
      <c r="H193" s="243"/>
      <c r="I193" s="243"/>
      <c r="J193" s="243"/>
      <c r="K193" s="243"/>
      <c r="L193" s="243"/>
      <c r="M193" s="244"/>
      <c r="N193" s="245" t="s">
        <v>257</v>
      </c>
      <c r="O193" s="246"/>
      <c r="P193" s="203" t="s">
        <v>257</v>
      </c>
      <c r="Q193" s="210" t="s">
        <v>257</v>
      </c>
      <c r="R193" s="243" t="s">
        <v>257</v>
      </c>
      <c r="S193" s="247"/>
    </row>
    <row r="194" spans="1:19" x14ac:dyDescent="0.2">
      <c r="A194" s="242"/>
      <c r="B194" s="243"/>
      <c r="C194" s="243"/>
      <c r="D194" s="243"/>
      <c r="E194" s="243"/>
      <c r="F194" s="243"/>
      <c r="G194" s="244"/>
      <c r="H194" s="243"/>
      <c r="I194" s="243"/>
      <c r="J194" s="243"/>
      <c r="K194" s="243"/>
      <c r="L194" s="243"/>
      <c r="M194" s="244"/>
      <c r="N194" s="245" t="s">
        <v>257</v>
      </c>
      <c r="O194" s="246"/>
      <c r="P194" s="203" t="s">
        <v>257</v>
      </c>
      <c r="Q194" s="210" t="s">
        <v>257</v>
      </c>
      <c r="R194" s="243" t="s">
        <v>257</v>
      </c>
      <c r="S194" s="247"/>
    </row>
    <row r="195" spans="1:19" x14ac:dyDescent="0.2">
      <c r="A195" s="242"/>
      <c r="B195" s="243"/>
      <c r="C195" s="243"/>
      <c r="D195" s="243"/>
      <c r="E195" s="243"/>
      <c r="F195" s="243"/>
      <c r="G195" s="244"/>
      <c r="H195" s="243"/>
      <c r="I195" s="243"/>
      <c r="J195" s="243"/>
      <c r="K195" s="243"/>
      <c r="L195" s="243"/>
      <c r="M195" s="244"/>
      <c r="N195" s="245" t="s">
        <v>257</v>
      </c>
      <c r="O195" s="246"/>
      <c r="P195" s="203" t="s">
        <v>257</v>
      </c>
      <c r="Q195" s="210" t="s">
        <v>257</v>
      </c>
      <c r="R195" s="243" t="s">
        <v>257</v>
      </c>
      <c r="S195" s="247"/>
    </row>
    <row r="196" spans="1:19" x14ac:dyDescent="0.2">
      <c r="A196" s="242"/>
      <c r="B196" s="243"/>
      <c r="C196" s="243"/>
      <c r="D196" s="243"/>
      <c r="E196" s="243"/>
      <c r="F196" s="243"/>
      <c r="G196" s="244"/>
      <c r="H196" s="243"/>
      <c r="I196" s="243"/>
      <c r="J196" s="243"/>
      <c r="K196" s="243"/>
      <c r="L196" s="243"/>
      <c r="M196" s="244"/>
      <c r="N196" s="245" t="s">
        <v>257</v>
      </c>
      <c r="O196" s="246"/>
      <c r="P196" s="203" t="s">
        <v>257</v>
      </c>
      <c r="Q196" s="210" t="s">
        <v>257</v>
      </c>
      <c r="R196" s="243" t="s">
        <v>257</v>
      </c>
      <c r="S196" s="247"/>
    </row>
    <row r="197" spans="1:19" x14ac:dyDescent="0.2">
      <c r="A197" s="242"/>
      <c r="B197" s="243"/>
      <c r="C197" s="243"/>
      <c r="D197" s="243"/>
      <c r="E197" s="243"/>
      <c r="F197" s="243"/>
      <c r="G197" s="244"/>
      <c r="H197" s="243"/>
      <c r="I197" s="243"/>
      <c r="J197" s="243"/>
      <c r="K197" s="243"/>
      <c r="L197" s="243"/>
      <c r="M197" s="244"/>
      <c r="N197" s="245" t="s">
        <v>257</v>
      </c>
      <c r="O197" s="246"/>
      <c r="P197" s="203" t="s">
        <v>257</v>
      </c>
      <c r="Q197" s="210" t="s">
        <v>257</v>
      </c>
      <c r="R197" s="243" t="s">
        <v>257</v>
      </c>
      <c r="S197" s="247"/>
    </row>
    <row r="198" spans="1:19" x14ac:dyDescent="0.2">
      <c r="A198" s="242"/>
      <c r="B198" s="243"/>
      <c r="C198" s="243"/>
      <c r="D198" s="243"/>
      <c r="E198" s="243"/>
      <c r="F198" s="243"/>
      <c r="G198" s="244"/>
      <c r="H198" s="243"/>
      <c r="I198" s="243"/>
      <c r="J198" s="243"/>
      <c r="K198" s="243"/>
      <c r="L198" s="243"/>
      <c r="M198" s="244"/>
      <c r="N198" s="245" t="s">
        <v>257</v>
      </c>
      <c r="O198" s="246"/>
      <c r="P198" s="203" t="s">
        <v>257</v>
      </c>
      <c r="Q198" s="210" t="s">
        <v>257</v>
      </c>
      <c r="R198" s="243" t="s">
        <v>257</v>
      </c>
      <c r="S198" s="247"/>
    </row>
    <row r="199" spans="1:19" x14ac:dyDescent="0.2">
      <c r="A199" s="242"/>
      <c r="B199" s="243"/>
      <c r="C199" s="243"/>
      <c r="D199" s="243"/>
      <c r="E199" s="243"/>
      <c r="F199" s="243"/>
      <c r="G199" s="244"/>
      <c r="H199" s="243"/>
      <c r="I199" s="243"/>
      <c r="J199" s="243"/>
      <c r="K199" s="243"/>
      <c r="L199" s="243"/>
      <c r="M199" s="244"/>
      <c r="N199" s="245" t="s">
        <v>257</v>
      </c>
      <c r="O199" s="246"/>
      <c r="P199" s="203" t="s">
        <v>257</v>
      </c>
      <c r="Q199" s="210" t="s">
        <v>257</v>
      </c>
      <c r="R199" s="243" t="s">
        <v>257</v>
      </c>
      <c r="S199" s="247"/>
    </row>
    <row r="200" spans="1:19" x14ac:dyDescent="0.2">
      <c r="A200" s="242"/>
      <c r="B200" s="243"/>
      <c r="C200" s="243"/>
      <c r="D200" s="243"/>
      <c r="E200" s="243"/>
      <c r="F200" s="243"/>
      <c r="G200" s="244"/>
      <c r="H200" s="243"/>
      <c r="I200" s="243"/>
      <c r="J200" s="243"/>
      <c r="K200" s="243"/>
      <c r="L200" s="243"/>
      <c r="M200" s="244"/>
      <c r="N200" s="245" t="s">
        <v>257</v>
      </c>
      <c r="O200" s="246"/>
      <c r="P200" s="203" t="s">
        <v>257</v>
      </c>
      <c r="Q200" s="210" t="s">
        <v>257</v>
      </c>
      <c r="R200" s="243" t="s">
        <v>257</v>
      </c>
      <c r="S200" s="247"/>
    </row>
    <row r="201" spans="1:19" x14ac:dyDescent="0.2">
      <c r="A201" s="242"/>
      <c r="B201" s="243"/>
      <c r="C201" s="243"/>
      <c r="D201" s="243"/>
      <c r="E201" s="243"/>
      <c r="F201" s="243"/>
      <c r="G201" s="244"/>
      <c r="H201" s="243"/>
      <c r="I201" s="243"/>
      <c r="J201" s="243"/>
      <c r="K201" s="243"/>
      <c r="L201" s="243"/>
      <c r="M201" s="244"/>
      <c r="N201" s="245" t="s">
        <v>257</v>
      </c>
      <c r="O201" s="246"/>
      <c r="P201" s="203" t="s">
        <v>257</v>
      </c>
      <c r="Q201" s="210" t="s">
        <v>257</v>
      </c>
      <c r="R201" s="243" t="s">
        <v>257</v>
      </c>
      <c r="S201" s="247"/>
    </row>
    <row r="202" spans="1:19" x14ac:dyDescent="0.2">
      <c r="A202" s="242"/>
      <c r="B202" s="243"/>
      <c r="C202" s="243"/>
      <c r="D202" s="243"/>
      <c r="E202" s="243"/>
      <c r="F202" s="243"/>
      <c r="G202" s="244"/>
      <c r="H202" s="243"/>
      <c r="I202" s="243"/>
      <c r="J202" s="243"/>
      <c r="K202" s="243"/>
      <c r="L202" s="243"/>
      <c r="M202" s="244"/>
      <c r="N202" s="245" t="s">
        <v>257</v>
      </c>
      <c r="O202" s="246"/>
      <c r="P202" s="203" t="s">
        <v>257</v>
      </c>
      <c r="Q202" s="210" t="s">
        <v>257</v>
      </c>
      <c r="R202" s="243" t="s">
        <v>257</v>
      </c>
      <c r="S202" s="247"/>
    </row>
    <row r="203" spans="1:19" x14ac:dyDescent="0.2">
      <c r="A203" s="242"/>
      <c r="B203" s="243"/>
      <c r="C203" s="243"/>
      <c r="D203" s="243"/>
      <c r="E203" s="243"/>
      <c r="F203" s="243"/>
      <c r="G203" s="244"/>
      <c r="H203" s="243"/>
      <c r="I203" s="243"/>
      <c r="J203" s="243"/>
      <c r="K203" s="243"/>
      <c r="L203" s="243"/>
      <c r="M203" s="244"/>
      <c r="N203" s="245" t="s">
        <v>257</v>
      </c>
      <c r="O203" s="246"/>
      <c r="P203" s="203" t="s">
        <v>257</v>
      </c>
      <c r="Q203" s="210" t="s">
        <v>257</v>
      </c>
      <c r="R203" s="243" t="s">
        <v>257</v>
      </c>
      <c r="S203" s="247"/>
    </row>
    <row r="204" spans="1:19" x14ac:dyDescent="0.2">
      <c r="A204" s="242"/>
      <c r="B204" s="243"/>
      <c r="C204" s="243"/>
      <c r="D204" s="243"/>
      <c r="E204" s="243"/>
      <c r="F204" s="243"/>
      <c r="G204" s="244"/>
      <c r="H204" s="243"/>
      <c r="I204" s="243"/>
      <c r="J204" s="243"/>
      <c r="K204" s="243"/>
      <c r="L204" s="243"/>
      <c r="M204" s="244"/>
      <c r="N204" s="245" t="s">
        <v>257</v>
      </c>
      <c r="O204" s="246"/>
      <c r="P204" s="203" t="s">
        <v>257</v>
      </c>
      <c r="Q204" s="210" t="s">
        <v>257</v>
      </c>
      <c r="R204" s="243" t="s">
        <v>257</v>
      </c>
      <c r="S204" s="247"/>
    </row>
    <row r="205" spans="1:19" x14ac:dyDescent="0.2">
      <c r="A205" s="242"/>
      <c r="B205" s="243"/>
      <c r="C205" s="243"/>
      <c r="D205" s="243"/>
      <c r="E205" s="243"/>
      <c r="F205" s="243"/>
      <c r="G205" s="244"/>
      <c r="H205" s="243"/>
      <c r="I205" s="243"/>
      <c r="J205" s="243"/>
      <c r="K205" s="243"/>
      <c r="L205" s="243"/>
      <c r="M205" s="244"/>
      <c r="N205" s="245" t="s">
        <v>257</v>
      </c>
      <c r="O205" s="246"/>
      <c r="P205" s="203" t="s">
        <v>257</v>
      </c>
      <c r="Q205" s="210" t="s">
        <v>257</v>
      </c>
      <c r="R205" s="243" t="s">
        <v>257</v>
      </c>
      <c r="S205" s="247"/>
    </row>
    <row r="206" spans="1:19" x14ac:dyDescent="0.2">
      <c r="A206" s="242"/>
      <c r="B206" s="243"/>
      <c r="C206" s="243"/>
      <c r="D206" s="243"/>
      <c r="E206" s="243"/>
      <c r="F206" s="243"/>
      <c r="G206" s="244"/>
      <c r="H206" s="243"/>
      <c r="I206" s="243"/>
      <c r="J206" s="243"/>
      <c r="K206" s="243"/>
      <c r="L206" s="243"/>
      <c r="M206" s="244"/>
      <c r="N206" s="245" t="s">
        <v>257</v>
      </c>
      <c r="O206" s="246"/>
      <c r="P206" s="203" t="s">
        <v>257</v>
      </c>
      <c r="Q206" s="210" t="s">
        <v>257</v>
      </c>
      <c r="R206" s="243" t="s">
        <v>257</v>
      </c>
      <c r="S206" s="247"/>
    </row>
    <row r="207" spans="1:19" x14ac:dyDescent="0.2">
      <c r="A207" s="242"/>
      <c r="B207" s="243"/>
      <c r="C207" s="243"/>
      <c r="D207" s="243"/>
      <c r="E207" s="243"/>
      <c r="F207" s="243"/>
      <c r="G207" s="244"/>
      <c r="H207" s="243"/>
      <c r="I207" s="243"/>
      <c r="J207" s="243"/>
      <c r="K207" s="243"/>
      <c r="L207" s="243"/>
      <c r="M207" s="244"/>
      <c r="N207" s="245" t="s">
        <v>257</v>
      </c>
      <c r="O207" s="246"/>
      <c r="P207" s="203" t="s">
        <v>257</v>
      </c>
      <c r="Q207" s="210" t="s">
        <v>257</v>
      </c>
      <c r="R207" s="243" t="s">
        <v>257</v>
      </c>
      <c r="S207" s="247"/>
    </row>
    <row r="208" spans="1:19" x14ac:dyDescent="0.2">
      <c r="A208" s="242"/>
      <c r="B208" s="243"/>
      <c r="C208" s="243"/>
      <c r="D208" s="243"/>
      <c r="E208" s="243"/>
      <c r="F208" s="243"/>
      <c r="G208" s="244"/>
      <c r="H208" s="243"/>
      <c r="I208" s="243"/>
      <c r="J208" s="243"/>
      <c r="K208" s="243"/>
      <c r="L208" s="243"/>
      <c r="M208" s="244"/>
      <c r="N208" s="245" t="s">
        <v>257</v>
      </c>
      <c r="O208" s="246"/>
      <c r="P208" s="203" t="s">
        <v>257</v>
      </c>
      <c r="Q208" s="210" t="s">
        <v>257</v>
      </c>
      <c r="R208" s="243" t="s">
        <v>257</v>
      </c>
      <c r="S208" s="247"/>
    </row>
    <row r="209" spans="1:19" x14ac:dyDescent="0.2">
      <c r="A209" s="242"/>
      <c r="B209" s="243"/>
      <c r="C209" s="243"/>
      <c r="D209" s="243"/>
      <c r="E209" s="243"/>
      <c r="F209" s="243"/>
      <c r="G209" s="244"/>
      <c r="H209" s="243"/>
      <c r="I209" s="243"/>
      <c r="J209" s="243"/>
      <c r="K209" s="243"/>
      <c r="L209" s="243"/>
      <c r="M209" s="244"/>
      <c r="N209" s="245" t="s">
        <v>257</v>
      </c>
      <c r="O209" s="246"/>
      <c r="P209" s="203" t="s">
        <v>257</v>
      </c>
      <c r="Q209" s="210" t="s">
        <v>257</v>
      </c>
      <c r="R209" s="243" t="s">
        <v>257</v>
      </c>
      <c r="S209" s="247"/>
    </row>
    <row r="210" spans="1:19" x14ac:dyDescent="0.2">
      <c r="A210" s="242"/>
      <c r="B210" s="243"/>
      <c r="C210" s="243"/>
      <c r="D210" s="243"/>
      <c r="E210" s="243"/>
      <c r="F210" s="243"/>
      <c r="G210" s="244"/>
      <c r="H210" s="243"/>
      <c r="I210" s="243"/>
      <c r="J210" s="243"/>
      <c r="K210" s="243"/>
      <c r="L210" s="243"/>
      <c r="M210" s="244"/>
      <c r="N210" s="245" t="s">
        <v>257</v>
      </c>
      <c r="O210" s="246"/>
      <c r="P210" s="203" t="s">
        <v>257</v>
      </c>
      <c r="Q210" s="210" t="s">
        <v>257</v>
      </c>
      <c r="R210" s="243" t="s">
        <v>257</v>
      </c>
      <c r="S210" s="247"/>
    </row>
    <row r="211" spans="1:19" x14ac:dyDescent="0.2">
      <c r="A211" s="242"/>
      <c r="B211" s="243"/>
      <c r="C211" s="243"/>
      <c r="D211" s="243"/>
      <c r="E211" s="243"/>
      <c r="F211" s="243"/>
      <c r="G211" s="244"/>
      <c r="H211" s="243"/>
      <c r="I211" s="243"/>
      <c r="J211" s="243"/>
      <c r="K211" s="243"/>
      <c r="L211" s="243"/>
      <c r="M211" s="244"/>
      <c r="N211" s="245" t="s">
        <v>257</v>
      </c>
      <c r="O211" s="246"/>
      <c r="P211" s="203" t="s">
        <v>257</v>
      </c>
      <c r="Q211" s="210" t="s">
        <v>257</v>
      </c>
      <c r="R211" s="243" t="s">
        <v>257</v>
      </c>
      <c r="S211" s="247"/>
    </row>
    <row r="212" spans="1:19" x14ac:dyDescent="0.2">
      <c r="A212" s="242"/>
      <c r="B212" s="243"/>
      <c r="C212" s="243"/>
      <c r="D212" s="243"/>
      <c r="E212" s="243"/>
      <c r="F212" s="243"/>
      <c r="G212" s="244"/>
      <c r="H212" s="243"/>
      <c r="I212" s="243"/>
      <c r="J212" s="243"/>
      <c r="K212" s="243"/>
      <c r="L212" s="243"/>
      <c r="M212" s="244"/>
      <c r="N212" s="245" t="s">
        <v>257</v>
      </c>
      <c r="O212" s="246"/>
      <c r="P212" s="203" t="s">
        <v>257</v>
      </c>
      <c r="Q212" s="210" t="s">
        <v>257</v>
      </c>
      <c r="R212" s="243" t="s">
        <v>257</v>
      </c>
      <c r="S212" s="247"/>
    </row>
    <row r="213" spans="1:19" x14ac:dyDescent="0.2">
      <c r="A213" s="242"/>
      <c r="B213" s="243"/>
      <c r="C213" s="243"/>
      <c r="D213" s="243"/>
      <c r="E213" s="243"/>
      <c r="F213" s="243"/>
      <c r="G213" s="244"/>
      <c r="H213" s="243"/>
      <c r="I213" s="243"/>
      <c r="J213" s="243"/>
      <c r="K213" s="243"/>
      <c r="L213" s="243"/>
      <c r="M213" s="244"/>
      <c r="N213" s="245" t="s">
        <v>257</v>
      </c>
      <c r="O213" s="246"/>
      <c r="P213" s="203" t="s">
        <v>257</v>
      </c>
      <c r="Q213" s="210" t="s">
        <v>257</v>
      </c>
      <c r="R213" s="243" t="s">
        <v>257</v>
      </c>
      <c r="S213" s="247"/>
    </row>
    <row r="214" spans="1:19" x14ac:dyDescent="0.2">
      <c r="A214" s="242"/>
      <c r="B214" s="243"/>
      <c r="C214" s="243"/>
      <c r="D214" s="243"/>
      <c r="E214" s="243"/>
      <c r="F214" s="243"/>
      <c r="G214" s="244"/>
      <c r="H214" s="243"/>
      <c r="I214" s="243"/>
      <c r="J214" s="243"/>
      <c r="K214" s="243"/>
      <c r="L214" s="243"/>
      <c r="M214" s="244"/>
      <c r="N214" s="245" t="s">
        <v>257</v>
      </c>
      <c r="O214" s="246"/>
      <c r="P214" s="203" t="s">
        <v>257</v>
      </c>
      <c r="Q214" s="210" t="s">
        <v>257</v>
      </c>
      <c r="R214" s="243" t="s">
        <v>257</v>
      </c>
      <c r="S214" s="247"/>
    </row>
    <row r="215" spans="1:19" x14ac:dyDescent="0.2">
      <c r="A215" s="242"/>
      <c r="B215" s="243"/>
      <c r="C215" s="243"/>
      <c r="D215" s="243"/>
      <c r="E215" s="243"/>
      <c r="F215" s="243"/>
      <c r="G215" s="244"/>
      <c r="H215" s="243"/>
      <c r="I215" s="243"/>
      <c r="J215" s="243"/>
      <c r="K215" s="243"/>
      <c r="L215" s="243"/>
      <c r="M215" s="244"/>
      <c r="N215" s="245" t="s">
        <v>257</v>
      </c>
      <c r="O215" s="246"/>
      <c r="P215" s="203" t="s">
        <v>257</v>
      </c>
      <c r="Q215" s="210" t="s">
        <v>257</v>
      </c>
      <c r="R215" s="243" t="s">
        <v>257</v>
      </c>
      <c r="S215" s="247"/>
    </row>
    <row r="216" spans="1:19" x14ac:dyDescent="0.2">
      <c r="A216" s="242"/>
      <c r="B216" s="243"/>
      <c r="C216" s="243"/>
      <c r="D216" s="243"/>
      <c r="E216" s="243"/>
      <c r="F216" s="243"/>
      <c r="G216" s="244"/>
      <c r="H216" s="243"/>
      <c r="I216" s="243"/>
      <c r="J216" s="243"/>
      <c r="K216" s="243"/>
      <c r="L216" s="243"/>
      <c r="M216" s="244"/>
      <c r="N216" s="245" t="s">
        <v>257</v>
      </c>
      <c r="O216" s="246"/>
      <c r="P216" s="203" t="s">
        <v>257</v>
      </c>
      <c r="Q216" s="210" t="s">
        <v>257</v>
      </c>
      <c r="R216" s="243" t="s">
        <v>257</v>
      </c>
      <c r="S216" s="247"/>
    </row>
    <row r="217" spans="1:19" x14ac:dyDescent="0.2">
      <c r="A217" s="242"/>
      <c r="B217" s="243"/>
      <c r="C217" s="243"/>
      <c r="D217" s="243"/>
      <c r="E217" s="243"/>
      <c r="F217" s="243"/>
      <c r="G217" s="244"/>
      <c r="H217" s="243"/>
      <c r="I217" s="243"/>
      <c r="J217" s="243"/>
      <c r="K217" s="243"/>
      <c r="L217" s="243"/>
      <c r="M217" s="244"/>
      <c r="N217" s="245" t="s">
        <v>257</v>
      </c>
      <c r="O217" s="246"/>
      <c r="P217" s="203" t="s">
        <v>257</v>
      </c>
      <c r="Q217" s="210" t="s">
        <v>257</v>
      </c>
      <c r="R217" s="243" t="s">
        <v>257</v>
      </c>
      <c r="S217" s="247"/>
    </row>
    <row r="218" spans="1:19" x14ac:dyDescent="0.2">
      <c r="A218" s="242"/>
      <c r="B218" s="243"/>
      <c r="C218" s="243"/>
      <c r="D218" s="243"/>
      <c r="E218" s="243"/>
      <c r="F218" s="243"/>
      <c r="G218" s="244"/>
      <c r="H218" s="243"/>
      <c r="I218" s="243"/>
      <c r="J218" s="243"/>
      <c r="K218" s="243"/>
      <c r="L218" s="243"/>
      <c r="M218" s="244"/>
      <c r="N218" s="245" t="s">
        <v>257</v>
      </c>
      <c r="O218" s="246"/>
      <c r="P218" s="203" t="s">
        <v>257</v>
      </c>
      <c r="Q218" s="210" t="s">
        <v>257</v>
      </c>
      <c r="R218" s="243" t="s">
        <v>257</v>
      </c>
      <c r="S218" s="247"/>
    </row>
    <row r="219" spans="1:19" x14ac:dyDescent="0.2">
      <c r="A219" s="242"/>
      <c r="B219" s="243"/>
      <c r="C219" s="243"/>
      <c r="D219" s="243"/>
      <c r="E219" s="243"/>
      <c r="F219" s="243"/>
      <c r="G219" s="244"/>
      <c r="H219" s="243"/>
      <c r="I219" s="243"/>
      <c r="J219" s="243"/>
      <c r="K219" s="243"/>
      <c r="L219" s="243"/>
      <c r="M219" s="244"/>
      <c r="N219" s="245" t="s">
        <v>257</v>
      </c>
      <c r="O219" s="246"/>
      <c r="P219" s="203" t="s">
        <v>257</v>
      </c>
      <c r="Q219" s="210" t="s">
        <v>257</v>
      </c>
      <c r="R219" s="243" t="s">
        <v>257</v>
      </c>
      <c r="S219" s="247"/>
    </row>
    <row r="220" spans="1:19" x14ac:dyDescent="0.2">
      <c r="A220" s="242"/>
      <c r="B220" s="243"/>
      <c r="C220" s="243"/>
      <c r="D220" s="243"/>
      <c r="E220" s="243"/>
      <c r="F220" s="243"/>
      <c r="G220" s="244"/>
      <c r="H220" s="243"/>
      <c r="I220" s="243"/>
      <c r="J220" s="243"/>
      <c r="K220" s="243"/>
      <c r="L220" s="243"/>
      <c r="M220" s="244"/>
      <c r="N220" s="245" t="s">
        <v>257</v>
      </c>
      <c r="O220" s="246"/>
      <c r="P220" s="203" t="s">
        <v>257</v>
      </c>
      <c r="Q220" s="210" t="s">
        <v>257</v>
      </c>
      <c r="R220" s="243" t="s">
        <v>257</v>
      </c>
      <c r="S220" s="247"/>
    </row>
    <row r="221" spans="1:19" x14ac:dyDescent="0.2">
      <c r="A221" s="242"/>
      <c r="B221" s="243"/>
      <c r="C221" s="243"/>
      <c r="D221" s="243"/>
      <c r="E221" s="243"/>
      <c r="F221" s="243"/>
      <c r="G221" s="244"/>
      <c r="H221" s="243"/>
      <c r="I221" s="243"/>
      <c r="J221" s="243"/>
      <c r="K221" s="243"/>
      <c r="L221" s="243"/>
      <c r="M221" s="244"/>
      <c r="N221" s="245" t="s">
        <v>257</v>
      </c>
      <c r="O221" s="246"/>
      <c r="P221" s="203" t="s">
        <v>257</v>
      </c>
      <c r="Q221" s="210" t="s">
        <v>257</v>
      </c>
      <c r="R221" s="243" t="s">
        <v>257</v>
      </c>
      <c r="S221" s="247"/>
    </row>
    <row r="222" spans="1:19" x14ac:dyDescent="0.2">
      <c r="A222" s="242"/>
      <c r="B222" s="243"/>
      <c r="C222" s="243"/>
      <c r="D222" s="243"/>
      <c r="E222" s="243"/>
      <c r="F222" s="243"/>
      <c r="G222" s="244"/>
      <c r="H222" s="243"/>
      <c r="I222" s="243"/>
      <c r="J222" s="243"/>
      <c r="K222" s="243"/>
      <c r="L222" s="243"/>
      <c r="M222" s="244"/>
      <c r="N222" s="245" t="s">
        <v>257</v>
      </c>
      <c r="O222" s="246"/>
      <c r="P222" s="203" t="s">
        <v>257</v>
      </c>
      <c r="Q222" s="210" t="s">
        <v>257</v>
      </c>
      <c r="R222" s="243" t="s">
        <v>257</v>
      </c>
      <c r="S222" s="247"/>
    </row>
    <row r="223" spans="1:19" x14ac:dyDescent="0.2">
      <c r="A223" s="242"/>
      <c r="B223" s="243"/>
      <c r="C223" s="243"/>
      <c r="D223" s="243"/>
      <c r="E223" s="243"/>
      <c r="F223" s="243"/>
      <c r="G223" s="244"/>
      <c r="H223" s="243"/>
      <c r="I223" s="243"/>
      <c r="J223" s="243"/>
      <c r="K223" s="243"/>
      <c r="L223" s="243"/>
      <c r="M223" s="244"/>
      <c r="N223" s="245" t="s">
        <v>257</v>
      </c>
      <c r="O223" s="246"/>
      <c r="P223" s="203" t="s">
        <v>257</v>
      </c>
      <c r="Q223" s="210" t="s">
        <v>257</v>
      </c>
      <c r="R223" s="243" t="s">
        <v>257</v>
      </c>
      <c r="S223" s="247"/>
    </row>
    <row r="224" spans="1:19" x14ac:dyDescent="0.2">
      <c r="A224" s="242"/>
      <c r="B224" s="243"/>
      <c r="C224" s="243"/>
      <c r="D224" s="243"/>
      <c r="E224" s="243"/>
      <c r="F224" s="243"/>
      <c r="G224" s="244"/>
      <c r="H224" s="243"/>
      <c r="I224" s="243"/>
      <c r="J224" s="243"/>
      <c r="K224" s="243"/>
      <c r="L224" s="243"/>
      <c r="M224" s="244"/>
      <c r="N224" s="245" t="s">
        <v>257</v>
      </c>
      <c r="O224" s="246"/>
      <c r="P224" s="203" t="s">
        <v>257</v>
      </c>
      <c r="Q224" s="210" t="s">
        <v>257</v>
      </c>
      <c r="R224" s="243" t="s">
        <v>257</v>
      </c>
      <c r="S224" s="247"/>
    </row>
    <row r="225" spans="1:19" x14ac:dyDescent="0.2">
      <c r="A225" s="242"/>
      <c r="B225" s="243"/>
      <c r="C225" s="243"/>
      <c r="D225" s="243"/>
      <c r="E225" s="243"/>
      <c r="F225" s="243"/>
      <c r="G225" s="244"/>
      <c r="H225" s="243"/>
      <c r="I225" s="243"/>
      <c r="J225" s="243"/>
      <c r="K225" s="243"/>
      <c r="L225" s="243"/>
      <c r="M225" s="244"/>
      <c r="N225" s="245" t="s">
        <v>257</v>
      </c>
      <c r="O225" s="246"/>
      <c r="P225" s="203" t="s">
        <v>257</v>
      </c>
      <c r="Q225" s="210" t="s">
        <v>257</v>
      </c>
      <c r="R225" s="243" t="s">
        <v>257</v>
      </c>
      <c r="S225" s="247"/>
    </row>
    <row r="226" spans="1:19" x14ac:dyDescent="0.2">
      <c r="A226" s="242"/>
      <c r="B226" s="243"/>
      <c r="C226" s="243"/>
      <c r="D226" s="243"/>
      <c r="E226" s="243"/>
      <c r="F226" s="243"/>
      <c r="G226" s="244"/>
      <c r="H226" s="243"/>
      <c r="I226" s="243"/>
      <c r="J226" s="243"/>
      <c r="K226" s="243"/>
      <c r="L226" s="243"/>
      <c r="M226" s="244"/>
      <c r="N226" s="245" t="s">
        <v>257</v>
      </c>
      <c r="O226" s="246"/>
      <c r="P226" s="203" t="s">
        <v>257</v>
      </c>
      <c r="Q226" s="210" t="s">
        <v>257</v>
      </c>
      <c r="R226" s="243" t="s">
        <v>257</v>
      </c>
      <c r="S226" s="247"/>
    </row>
    <row r="227" spans="1:19" x14ac:dyDescent="0.2">
      <c r="A227" s="242"/>
      <c r="B227" s="243"/>
      <c r="C227" s="243"/>
      <c r="D227" s="243"/>
      <c r="E227" s="243"/>
      <c r="F227" s="243"/>
      <c r="G227" s="244"/>
      <c r="H227" s="243"/>
      <c r="I227" s="243"/>
      <c r="J227" s="243"/>
      <c r="K227" s="243"/>
      <c r="L227" s="243"/>
      <c r="M227" s="244"/>
      <c r="N227" s="245" t="s">
        <v>257</v>
      </c>
      <c r="O227" s="246"/>
      <c r="P227" s="203" t="s">
        <v>257</v>
      </c>
      <c r="Q227" s="210" t="s">
        <v>257</v>
      </c>
      <c r="R227" s="243" t="s">
        <v>257</v>
      </c>
      <c r="S227" s="247"/>
    </row>
    <row r="228" spans="1:19" x14ac:dyDescent="0.2">
      <c r="A228" s="242"/>
      <c r="B228" s="243"/>
      <c r="C228" s="243"/>
      <c r="D228" s="243"/>
      <c r="E228" s="243"/>
      <c r="F228" s="243"/>
      <c r="G228" s="244"/>
      <c r="H228" s="243"/>
      <c r="I228" s="243"/>
      <c r="J228" s="243"/>
      <c r="K228" s="243"/>
      <c r="L228" s="243"/>
      <c r="M228" s="244"/>
      <c r="N228" s="245" t="s">
        <v>257</v>
      </c>
      <c r="O228" s="246"/>
      <c r="P228" s="203" t="s">
        <v>257</v>
      </c>
      <c r="Q228" s="210" t="s">
        <v>257</v>
      </c>
      <c r="R228" s="243" t="s">
        <v>257</v>
      </c>
      <c r="S228" s="247"/>
    </row>
    <row r="229" spans="1:19" x14ac:dyDescent="0.2">
      <c r="A229" s="242"/>
      <c r="B229" s="243"/>
      <c r="C229" s="243"/>
      <c r="D229" s="243"/>
      <c r="E229" s="243"/>
      <c r="F229" s="243"/>
      <c r="G229" s="244"/>
      <c r="H229" s="243"/>
      <c r="I229" s="243"/>
      <c r="J229" s="243"/>
      <c r="K229" s="243"/>
      <c r="L229" s="243"/>
      <c r="M229" s="244"/>
      <c r="N229" s="245" t="s">
        <v>257</v>
      </c>
      <c r="O229" s="246"/>
      <c r="P229" s="203" t="s">
        <v>257</v>
      </c>
      <c r="Q229" s="210" t="s">
        <v>257</v>
      </c>
      <c r="R229" s="243" t="s">
        <v>257</v>
      </c>
      <c r="S229" s="247"/>
    </row>
    <row r="230" spans="1:19" x14ac:dyDescent="0.2">
      <c r="A230" s="242"/>
      <c r="B230" s="243"/>
      <c r="C230" s="243"/>
      <c r="D230" s="243"/>
      <c r="E230" s="243"/>
      <c r="F230" s="243"/>
      <c r="G230" s="244"/>
      <c r="H230" s="243"/>
      <c r="I230" s="243"/>
      <c r="J230" s="243"/>
      <c r="K230" s="243"/>
      <c r="L230" s="243"/>
      <c r="M230" s="244"/>
      <c r="N230" s="245" t="s">
        <v>257</v>
      </c>
      <c r="O230" s="246"/>
      <c r="P230" s="203" t="s">
        <v>257</v>
      </c>
      <c r="Q230" s="210" t="s">
        <v>257</v>
      </c>
      <c r="R230" s="243" t="s">
        <v>257</v>
      </c>
      <c r="S230" s="247"/>
    </row>
    <row r="231" spans="1:19" x14ac:dyDescent="0.2">
      <c r="A231" s="242"/>
      <c r="B231" s="243"/>
      <c r="C231" s="243"/>
      <c r="D231" s="243"/>
      <c r="E231" s="243"/>
      <c r="F231" s="243"/>
      <c r="G231" s="244"/>
      <c r="H231" s="243"/>
      <c r="I231" s="243"/>
      <c r="J231" s="243"/>
      <c r="K231" s="243"/>
      <c r="L231" s="243"/>
      <c r="M231" s="244"/>
      <c r="N231" s="245" t="s">
        <v>257</v>
      </c>
      <c r="O231" s="246"/>
      <c r="P231" s="203" t="s">
        <v>257</v>
      </c>
      <c r="Q231" s="210" t="s">
        <v>257</v>
      </c>
      <c r="R231" s="243" t="s">
        <v>257</v>
      </c>
      <c r="S231" s="247"/>
    </row>
    <row r="232" spans="1:19" x14ac:dyDescent="0.2">
      <c r="A232" s="242"/>
      <c r="B232" s="243"/>
      <c r="C232" s="243"/>
      <c r="D232" s="243"/>
      <c r="E232" s="243"/>
      <c r="F232" s="243"/>
      <c r="G232" s="244"/>
      <c r="H232" s="243"/>
      <c r="I232" s="243"/>
      <c r="J232" s="243"/>
      <c r="K232" s="243"/>
      <c r="L232" s="243"/>
      <c r="M232" s="244"/>
      <c r="N232" s="245" t="s">
        <v>257</v>
      </c>
      <c r="O232" s="246"/>
      <c r="P232" s="203" t="s">
        <v>257</v>
      </c>
      <c r="Q232" s="210" t="s">
        <v>257</v>
      </c>
      <c r="R232" s="243" t="s">
        <v>257</v>
      </c>
      <c r="S232" s="247"/>
    </row>
    <row r="233" spans="1:19" x14ac:dyDescent="0.2">
      <c r="A233" s="242"/>
      <c r="B233" s="243"/>
      <c r="C233" s="243"/>
      <c r="D233" s="243"/>
      <c r="E233" s="243"/>
      <c r="F233" s="243"/>
      <c r="G233" s="244"/>
      <c r="H233" s="243"/>
      <c r="I233" s="243"/>
      <c r="J233" s="243"/>
      <c r="K233" s="243"/>
      <c r="L233" s="243"/>
      <c r="M233" s="244"/>
      <c r="N233" s="245" t="s">
        <v>257</v>
      </c>
      <c r="O233" s="246"/>
      <c r="P233" s="203" t="s">
        <v>257</v>
      </c>
      <c r="Q233" s="210" t="s">
        <v>257</v>
      </c>
      <c r="R233" s="243" t="s">
        <v>257</v>
      </c>
      <c r="S233" s="247"/>
    </row>
    <row r="234" spans="1:19" x14ac:dyDescent="0.2">
      <c r="A234" s="242"/>
      <c r="B234" s="243"/>
      <c r="C234" s="243"/>
      <c r="D234" s="243"/>
      <c r="E234" s="243"/>
      <c r="F234" s="243"/>
      <c r="G234" s="244"/>
      <c r="H234" s="243"/>
      <c r="I234" s="243"/>
      <c r="J234" s="243"/>
      <c r="K234" s="243"/>
      <c r="L234" s="243"/>
      <c r="M234" s="244"/>
      <c r="N234" s="245" t="s">
        <v>257</v>
      </c>
      <c r="O234" s="246"/>
      <c r="P234" s="203" t="s">
        <v>257</v>
      </c>
      <c r="Q234" s="210" t="s">
        <v>257</v>
      </c>
      <c r="R234" s="243" t="s">
        <v>257</v>
      </c>
      <c r="S234" s="247"/>
    </row>
    <row r="235" spans="1:19" x14ac:dyDescent="0.2">
      <c r="A235" s="242"/>
      <c r="B235" s="243"/>
      <c r="C235" s="243"/>
      <c r="D235" s="243"/>
      <c r="E235" s="243"/>
      <c r="F235" s="243"/>
      <c r="G235" s="244"/>
      <c r="H235" s="243"/>
      <c r="I235" s="243"/>
      <c r="J235" s="243"/>
      <c r="K235" s="243"/>
      <c r="L235" s="243"/>
      <c r="M235" s="244"/>
      <c r="N235" s="245" t="s">
        <v>257</v>
      </c>
      <c r="O235" s="246"/>
      <c r="P235" s="203" t="s">
        <v>257</v>
      </c>
      <c r="Q235" s="210" t="s">
        <v>257</v>
      </c>
      <c r="R235" s="243" t="s">
        <v>257</v>
      </c>
      <c r="S235" s="247"/>
    </row>
    <row r="236" spans="1:19" x14ac:dyDescent="0.2">
      <c r="A236" s="242"/>
      <c r="B236" s="243"/>
      <c r="C236" s="243"/>
      <c r="D236" s="243"/>
      <c r="E236" s="243"/>
      <c r="F236" s="243"/>
      <c r="G236" s="244"/>
      <c r="H236" s="243"/>
      <c r="I236" s="243"/>
      <c r="J236" s="243"/>
      <c r="K236" s="243"/>
      <c r="L236" s="243"/>
      <c r="M236" s="244"/>
      <c r="N236" s="245" t="s">
        <v>257</v>
      </c>
      <c r="O236" s="246"/>
      <c r="P236" s="203" t="s">
        <v>257</v>
      </c>
      <c r="Q236" s="210" t="s">
        <v>257</v>
      </c>
      <c r="R236" s="243" t="s">
        <v>257</v>
      </c>
      <c r="S236" s="247"/>
    </row>
    <row r="237" spans="1:19" x14ac:dyDescent="0.2">
      <c r="A237" s="242"/>
      <c r="B237" s="243"/>
      <c r="C237" s="243"/>
      <c r="D237" s="243"/>
      <c r="E237" s="243"/>
      <c r="F237" s="243"/>
      <c r="G237" s="244"/>
      <c r="H237" s="243"/>
      <c r="I237" s="243"/>
      <c r="J237" s="243"/>
      <c r="K237" s="243"/>
      <c r="L237" s="243"/>
      <c r="M237" s="244"/>
      <c r="N237" s="245" t="s">
        <v>257</v>
      </c>
      <c r="O237" s="246"/>
      <c r="P237" s="203" t="s">
        <v>257</v>
      </c>
      <c r="Q237" s="210" t="s">
        <v>257</v>
      </c>
      <c r="R237" s="243" t="s">
        <v>257</v>
      </c>
      <c r="S237" s="247"/>
    </row>
    <row r="238" spans="1:19" x14ac:dyDescent="0.2">
      <c r="A238" s="242"/>
      <c r="B238" s="243"/>
      <c r="C238" s="243"/>
      <c r="D238" s="243"/>
      <c r="E238" s="243"/>
      <c r="F238" s="243"/>
      <c r="G238" s="244"/>
      <c r="H238" s="243"/>
      <c r="I238" s="243"/>
      <c r="J238" s="243"/>
      <c r="K238" s="243"/>
      <c r="L238" s="243"/>
      <c r="M238" s="244"/>
      <c r="N238" s="245" t="s">
        <v>257</v>
      </c>
      <c r="O238" s="246"/>
      <c r="P238" s="203" t="s">
        <v>257</v>
      </c>
      <c r="Q238" s="210" t="s">
        <v>257</v>
      </c>
      <c r="R238" s="243" t="s">
        <v>257</v>
      </c>
      <c r="S238" s="247"/>
    </row>
    <row r="239" spans="1:19" x14ac:dyDescent="0.2">
      <c r="A239" s="242"/>
      <c r="B239" s="243"/>
      <c r="C239" s="243"/>
      <c r="D239" s="243"/>
      <c r="E239" s="243"/>
      <c r="F239" s="243"/>
      <c r="G239" s="244"/>
      <c r="H239" s="243"/>
      <c r="I239" s="243"/>
      <c r="J239" s="243"/>
      <c r="K239" s="243"/>
      <c r="L239" s="243"/>
      <c r="M239" s="244"/>
      <c r="N239" s="245" t="s">
        <v>257</v>
      </c>
      <c r="O239" s="246"/>
      <c r="P239" s="203" t="s">
        <v>257</v>
      </c>
      <c r="Q239" s="210" t="s">
        <v>257</v>
      </c>
      <c r="R239" s="243" t="s">
        <v>257</v>
      </c>
      <c r="S239" s="247"/>
    </row>
    <row r="240" spans="1:19" x14ac:dyDescent="0.2">
      <c r="A240" s="242"/>
      <c r="B240" s="243"/>
      <c r="C240" s="243"/>
      <c r="D240" s="243"/>
      <c r="E240" s="243"/>
      <c r="F240" s="243"/>
      <c r="G240" s="244"/>
      <c r="H240" s="243"/>
      <c r="I240" s="243"/>
      <c r="J240" s="243"/>
      <c r="K240" s="243"/>
      <c r="L240" s="243"/>
      <c r="M240" s="244"/>
      <c r="N240" s="245" t="s">
        <v>257</v>
      </c>
      <c r="O240" s="246"/>
      <c r="P240" s="203" t="s">
        <v>257</v>
      </c>
      <c r="Q240" s="210" t="s">
        <v>257</v>
      </c>
      <c r="R240" s="243" t="s">
        <v>257</v>
      </c>
      <c r="S240" s="247"/>
    </row>
    <row r="241" spans="1:19" x14ac:dyDescent="0.2">
      <c r="A241" s="242"/>
      <c r="B241" s="243"/>
      <c r="C241" s="243"/>
      <c r="D241" s="243"/>
      <c r="E241" s="243"/>
      <c r="F241" s="243"/>
      <c r="G241" s="244"/>
      <c r="H241" s="243"/>
      <c r="I241" s="243"/>
      <c r="J241" s="243"/>
      <c r="K241" s="243"/>
      <c r="L241" s="243"/>
      <c r="M241" s="244"/>
      <c r="N241" s="245" t="s">
        <v>257</v>
      </c>
      <c r="O241" s="246"/>
      <c r="P241" s="203" t="s">
        <v>257</v>
      </c>
      <c r="Q241" s="210" t="s">
        <v>257</v>
      </c>
      <c r="R241" s="243" t="s">
        <v>257</v>
      </c>
      <c r="S241" s="247"/>
    </row>
    <row r="242" spans="1:19" x14ac:dyDescent="0.2">
      <c r="A242" s="242"/>
      <c r="B242" s="243"/>
      <c r="C242" s="243"/>
      <c r="D242" s="243"/>
      <c r="E242" s="243"/>
      <c r="F242" s="243"/>
      <c r="G242" s="244"/>
      <c r="H242" s="243"/>
      <c r="I242" s="243"/>
      <c r="J242" s="243"/>
      <c r="K242" s="243"/>
      <c r="L242" s="243"/>
      <c r="M242" s="244"/>
      <c r="N242" s="245" t="s">
        <v>257</v>
      </c>
      <c r="O242" s="246"/>
      <c r="P242" s="203" t="s">
        <v>257</v>
      </c>
      <c r="Q242" s="210" t="s">
        <v>257</v>
      </c>
      <c r="R242" s="243" t="s">
        <v>257</v>
      </c>
      <c r="S242" s="247"/>
    </row>
    <row r="243" spans="1:19" x14ac:dyDescent="0.2">
      <c r="A243" s="242"/>
      <c r="B243" s="243"/>
      <c r="C243" s="243"/>
      <c r="D243" s="243"/>
      <c r="E243" s="243"/>
      <c r="F243" s="243"/>
      <c r="G243" s="244"/>
      <c r="H243" s="243"/>
      <c r="I243" s="243"/>
      <c r="J243" s="243"/>
      <c r="K243" s="243"/>
      <c r="L243" s="243"/>
      <c r="M243" s="244"/>
      <c r="N243" s="245" t="s">
        <v>257</v>
      </c>
      <c r="O243" s="246"/>
      <c r="P243" s="203" t="s">
        <v>257</v>
      </c>
      <c r="Q243" s="210" t="s">
        <v>257</v>
      </c>
      <c r="R243" s="243" t="s">
        <v>257</v>
      </c>
      <c r="S243" s="247"/>
    </row>
    <row r="244" spans="1:19" x14ac:dyDescent="0.2">
      <c r="A244" s="242"/>
      <c r="B244" s="243"/>
      <c r="C244" s="243"/>
      <c r="D244" s="243"/>
      <c r="E244" s="243"/>
      <c r="F244" s="243"/>
      <c r="G244" s="244"/>
      <c r="H244" s="243"/>
      <c r="I244" s="243"/>
      <c r="J244" s="243"/>
      <c r="K244" s="243"/>
      <c r="L244" s="243"/>
      <c r="M244" s="244"/>
      <c r="N244" s="245" t="s">
        <v>257</v>
      </c>
      <c r="O244" s="246"/>
      <c r="P244" s="203" t="s">
        <v>257</v>
      </c>
      <c r="Q244" s="210" t="s">
        <v>257</v>
      </c>
      <c r="R244" s="243" t="s">
        <v>257</v>
      </c>
      <c r="S244" s="247"/>
    </row>
    <row r="245" spans="1:19" x14ac:dyDescent="0.2">
      <c r="A245" s="242"/>
      <c r="B245" s="243"/>
      <c r="C245" s="243"/>
      <c r="D245" s="243"/>
      <c r="E245" s="243"/>
      <c r="F245" s="243"/>
      <c r="G245" s="244"/>
      <c r="H245" s="243"/>
      <c r="I245" s="243"/>
      <c r="J245" s="243"/>
      <c r="K245" s="243"/>
      <c r="L245" s="243"/>
      <c r="M245" s="244"/>
      <c r="N245" s="245" t="s">
        <v>257</v>
      </c>
      <c r="O245" s="246"/>
      <c r="P245" s="203" t="s">
        <v>257</v>
      </c>
      <c r="Q245" s="210" t="s">
        <v>257</v>
      </c>
      <c r="R245" s="243" t="s">
        <v>257</v>
      </c>
      <c r="S245" s="247"/>
    </row>
    <row r="246" spans="1:19" x14ac:dyDescent="0.2">
      <c r="A246" s="242"/>
      <c r="B246" s="243"/>
      <c r="C246" s="243"/>
      <c r="D246" s="243"/>
      <c r="E246" s="243"/>
      <c r="F246" s="243"/>
      <c r="G246" s="244"/>
      <c r="H246" s="243"/>
      <c r="I246" s="243"/>
      <c r="J246" s="243"/>
      <c r="K246" s="243"/>
      <c r="L246" s="243"/>
      <c r="M246" s="244"/>
      <c r="N246" s="245" t="s">
        <v>257</v>
      </c>
      <c r="O246" s="246"/>
      <c r="P246" s="203" t="s">
        <v>257</v>
      </c>
      <c r="Q246" s="210" t="s">
        <v>257</v>
      </c>
      <c r="R246" s="243" t="s">
        <v>257</v>
      </c>
      <c r="S246" s="247"/>
    </row>
    <row r="247" spans="1:19" x14ac:dyDescent="0.2">
      <c r="A247" s="242"/>
      <c r="B247" s="243"/>
      <c r="C247" s="243"/>
      <c r="D247" s="243"/>
      <c r="E247" s="243"/>
      <c r="F247" s="243"/>
      <c r="G247" s="244"/>
      <c r="H247" s="243"/>
      <c r="I247" s="243"/>
      <c r="J247" s="243"/>
      <c r="K247" s="243"/>
      <c r="L247" s="243"/>
      <c r="M247" s="244"/>
      <c r="N247" s="245" t="s">
        <v>257</v>
      </c>
      <c r="O247" s="246"/>
      <c r="P247" s="203" t="s">
        <v>257</v>
      </c>
      <c r="Q247" s="210" t="s">
        <v>257</v>
      </c>
      <c r="R247" s="243" t="s">
        <v>257</v>
      </c>
      <c r="S247" s="247"/>
    </row>
    <row r="248" spans="1:19" x14ac:dyDescent="0.2">
      <c r="A248" s="242"/>
      <c r="B248" s="243"/>
      <c r="C248" s="243"/>
      <c r="D248" s="243"/>
      <c r="E248" s="243"/>
      <c r="F248" s="243"/>
      <c r="G248" s="244"/>
      <c r="H248" s="243"/>
      <c r="I248" s="243"/>
      <c r="J248" s="243"/>
      <c r="K248" s="243"/>
      <c r="L248" s="243"/>
      <c r="M248" s="244"/>
      <c r="N248" s="245" t="s">
        <v>257</v>
      </c>
      <c r="O248" s="246"/>
      <c r="P248" s="203" t="s">
        <v>257</v>
      </c>
      <c r="Q248" s="210" t="s">
        <v>257</v>
      </c>
      <c r="R248" s="243" t="s">
        <v>257</v>
      </c>
      <c r="S248" s="247"/>
    </row>
    <row r="249" spans="1:19" x14ac:dyDescent="0.2">
      <c r="A249" s="242"/>
      <c r="B249" s="243"/>
      <c r="C249" s="243"/>
      <c r="D249" s="243"/>
      <c r="E249" s="243"/>
      <c r="F249" s="243"/>
      <c r="G249" s="244"/>
      <c r="H249" s="243"/>
      <c r="I249" s="243"/>
      <c r="J249" s="243"/>
      <c r="K249" s="243"/>
      <c r="L249" s="243"/>
      <c r="M249" s="244"/>
      <c r="N249" s="245" t="s">
        <v>257</v>
      </c>
      <c r="O249" s="246"/>
      <c r="P249" s="203" t="s">
        <v>257</v>
      </c>
      <c r="Q249" s="210" t="s">
        <v>257</v>
      </c>
      <c r="R249" s="243" t="s">
        <v>257</v>
      </c>
      <c r="S249" s="247"/>
    </row>
    <row r="250" spans="1:19" x14ac:dyDescent="0.2">
      <c r="A250" s="242"/>
      <c r="B250" s="243"/>
      <c r="C250" s="243"/>
      <c r="D250" s="243"/>
      <c r="E250" s="243"/>
      <c r="F250" s="243"/>
      <c r="G250" s="244"/>
      <c r="H250" s="243"/>
      <c r="I250" s="243"/>
      <c r="J250" s="243"/>
      <c r="K250" s="243"/>
      <c r="L250" s="243"/>
      <c r="M250" s="244"/>
      <c r="N250" s="245" t="s">
        <v>257</v>
      </c>
      <c r="O250" s="246"/>
      <c r="P250" s="203" t="s">
        <v>257</v>
      </c>
      <c r="Q250" s="210" t="s">
        <v>257</v>
      </c>
      <c r="R250" s="243" t="s">
        <v>257</v>
      </c>
      <c r="S250" s="247"/>
    </row>
    <row r="251" spans="1:19" x14ac:dyDescent="0.2">
      <c r="A251" s="242"/>
      <c r="B251" s="243"/>
      <c r="C251" s="243"/>
      <c r="D251" s="243"/>
      <c r="E251" s="243"/>
      <c r="F251" s="243"/>
      <c r="G251" s="244"/>
      <c r="H251" s="243"/>
      <c r="I251" s="243"/>
      <c r="J251" s="243"/>
      <c r="K251" s="243"/>
      <c r="L251" s="243"/>
      <c r="M251" s="244"/>
      <c r="N251" s="245" t="s">
        <v>257</v>
      </c>
      <c r="O251" s="246"/>
      <c r="P251" s="203" t="s">
        <v>257</v>
      </c>
      <c r="Q251" s="210" t="s">
        <v>257</v>
      </c>
      <c r="R251" s="243" t="s">
        <v>257</v>
      </c>
      <c r="S251" s="247"/>
    </row>
    <row r="252" spans="1:19" x14ac:dyDescent="0.2">
      <c r="A252" s="242"/>
      <c r="B252" s="243"/>
      <c r="C252" s="243"/>
      <c r="D252" s="243"/>
      <c r="E252" s="243"/>
      <c r="F252" s="243"/>
      <c r="G252" s="244"/>
      <c r="H252" s="243"/>
      <c r="I252" s="243"/>
      <c r="J252" s="243"/>
      <c r="K252" s="243"/>
      <c r="L252" s="243"/>
      <c r="M252" s="244"/>
      <c r="N252" s="245" t="s">
        <v>257</v>
      </c>
      <c r="O252" s="246"/>
      <c r="P252" s="203" t="s">
        <v>257</v>
      </c>
      <c r="Q252" s="210" t="s">
        <v>257</v>
      </c>
      <c r="R252" s="243" t="s">
        <v>257</v>
      </c>
      <c r="S252" s="247"/>
    </row>
    <row r="253" spans="1:19" x14ac:dyDescent="0.2">
      <c r="A253" s="242"/>
      <c r="B253" s="243"/>
      <c r="C253" s="243"/>
      <c r="D253" s="243"/>
      <c r="E253" s="243"/>
      <c r="F253" s="243"/>
      <c r="G253" s="244"/>
      <c r="H253" s="243"/>
      <c r="I253" s="243"/>
      <c r="J253" s="243"/>
      <c r="K253" s="243"/>
      <c r="L253" s="243"/>
      <c r="M253" s="244"/>
      <c r="N253" s="245" t="s">
        <v>257</v>
      </c>
      <c r="O253" s="246"/>
      <c r="P253" s="203" t="s">
        <v>257</v>
      </c>
      <c r="Q253" s="210" t="s">
        <v>257</v>
      </c>
      <c r="R253" s="243" t="s">
        <v>257</v>
      </c>
      <c r="S253" s="247"/>
    </row>
    <row r="254" spans="1:19" x14ac:dyDescent="0.2">
      <c r="A254" s="242"/>
      <c r="B254" s="243"/>
      <c r="C254" s="243"/>
      <c r="D254" s="243"/>
      <c r="E254" s="243"/>
      <c r="F254" s="243"/>
      <c r="G254" s="244"/>
      <c r="H254" s="243"/>
      <c r="I254" s="243"/>
      <c r="J254" s="243"/>
      <c r="K254" s="243"/>
      <c r="L254" s="243"/>
      <c r="M254" s="244"/>
      <c r="N254" s="245" t="s">
        <v>257</v>
      </c>
      <c r="O254" s="246"/>
      <c r="P254" s="203" t="s">
        <v>257</v>
      </c>
      <c r="Q254" s="210" t="s">
        <v>257</v>
      </c>
      <c r="R254" s="243" t="s">
        <v>257</v>
      </c>
      <c r="S254" s="247"/>
    </row>
    <row r="255" spans="1:19" x14ac:dyDescent="0.2">
      <c r="A255" s="242"/>
      <c r="B255" s="243"/>
      <c r="C255" s="243"/>
      <c r="D255" s="243"/>
      <c r="E255" s="243"/>
      <c r="F255" s="243"/>
      <c r="G255" s="244"/>
      <c r="H255" s="243"/>
      <c r="I255" s="243"/>
      <c r="J255" s="243"/>
      <c r="K255" s="243"/>
      <c r="L255" s="243"/>
      <c r="M255" s="244"/>
      <c r="N255" s="245" t="s">
        <v>257</v>
      </c>
      <c r="O255" s="246"/>
      <c r="P255" s="203" t="s">
        <v>257</v>
      </c>
      <c r="Q255" s="210" t="s">
        <v>257</v>
      </c>
      <c r="R255" s="243" t="s">
        <v>257</v>
      </c>
      <c r="S255" s="247"/>
    </row>
    <row r="256" spans="1:19" x14ac:dyDescent="0.2">
      <c r="A256" s="242"/>
      <c r="B256" s="243"/>
      <c r="C256" s="243"/>
      <c r="D256" s="243"/>
      <c r="E256" s="243"/>
      <c r="F256" s="243"/>
      <c r="G256" s="244"/>
      <c r="H256" s="243"/>
      <c r="I256" s="243"/>
      <c r="J256" s="243"/>
      <c r="K256" s="243"/>
      <c r="L256" s="243"/>
      <c r="M256" s="244"/>
      <c r="N256" s="245" t="s">
        <v>257</v>
      </c>
      <c r="O256" s="246"/>
      <c r="P256" s="203" t="s">
        <v>257</v>
      </c>
      <c r="Q256" s="210" t="s">
        <v>257</v>
      </c>
      <c r="R256" s="243" t="s">
        <v>257</v>
      </c>
      <c r="S256" s="247"/>
    </row>
    <row r="257" spans="1:19" x14ac:dyDescent="0.2">
      <c r="A257" s="242"/>
      <c r="B257" s="243"/>
      <c r="C257" s="243"/>
      <c r="D257" s="243"/>
      <c r="E257" s="243"/>
      <c r="F257" s="243"/>
      <c r="G257" s="244"/>
      <c r="H257" s="243"/>
      <c r="I257" s="243"/>
      <c r="J257" s="243"/>
      <c r="K257" s="243"/>
      <c r="L257" s="243"/>
      <c r="M257" s="244"/>
      <c r="N257" s="245" t="s">
        <v>257</v>
      </c>
      <c r="O257" s="246"/>
      <c r="P257" s="203" t="s">
        <v>257</v>
      </c>
      <c r="Q257" s="210" t="s">
        <v>257</v>
      </c>
      <c r="R257" s="243" t="s">
        <v>257</v>
      </c>
      <c r="S257" s="247"/>
    </row>
    <row r="258" spans="1:19" x14ac:dyDescent="0.2">
      <c r="A258" s="242"/>
      <c r="B258" s="243"/>
      <c r="C258" s="243"/>
      <c r="D258" s="243"/>
      <c r="E258" s="243"/>
      <c r="F258" s="243"/>
      <c r="G258" s="244"/>
      <c r="H258" s="243"/>
      <c r="I258" s="243"/>
      <c r="J258" s="243"/>
      <c r="K258" s="243"/>
      <c r="L258" s="243"/>
      <c r="M258" s="244"/>
      <c r="N258" s="245" t="s">
        <v>257</v>
      </c>
      <c r="O258" s="246"/>
      <c r="P258" s="203" t="s">
        <v>257</v>
      </c>
      <c r="Q258" s="210" t="s">
        <v>257</v>
      </c>
      <c r="R258" s="243" t="s">
        <v>257</v>
      </c>
      <c r="S258" s="247"/>
    </row>
    <row r="259" spans="1:19" x14ac:dyDescent="0.2">
      <c r="A259" s="242"/>
      <c r="B259" s="243"/>
      <c r="C259" s="243"/>
      <c r="D259" s="243"/>
      <c r="E259" s="243"/>
      <c r="F259" s="243"/>
      <c r="G259" s="244"/>
      <c r="H259" s="243"/>
      <c r="I259" s="243"/>
      <c r="J259" s="243"/>
      <c r="K259" s="243"/>
      <c r="L259" s="243"/>
      <c r="M259" s="244"/>
      <c r="N259" s="245" t="s">
        <v>257</v>
      </c>
      <c r="O259" s="246"/>
      <c r="P259" s="203" t="s">
        <v>257</v>
      </c>
      <c r="Q259" s="210" t="s">
        <v>257</v>
      </c>
      <c r="R259" s="243" t="s">
        <v>257</v>
      </c>
      <c r="S259" s="247"/>
    </row>
    <row r="260" spans="1:19" x14ac:dyDescent="0.2">
      <c r="A260" s="242"/>
      <c r="B260" s="243"/>
      <c r="C260" s="243"/>
      <c r="D260" s="243"/>
      <c r="E260" s="243"/>
      <c r="F260" s="243"/>
      <c r="G260" s="244"/>
      <c r="H260" s="243"/>
      <c r="I260" s="243"/>
      <c r="J260" s="243"/>
      <c r="K260" s="243"/>
      <c r="L260" s="243"/>
      <c r="M260" s="244"/>
      <c r="N260" s="245" t="s">
        <v>257</v>
      </c>
      <c r="O260" s="246"/>
      <c r="P260" s="203" t="s">
        <v>257</v>
      </c>
      <c r="Q260" s="210" t="s">
        <v>257</v>
      </c>
      <c r="R260" s="243" t="s">
        <v>257</v>
      </c>
      <c r="S260" s="247"/>
    </row>
    <row r="261" spans="1:19" x14ac:dyDescent="0.2">
      <c r="A261" s="242"/>
      <c r="B261" s="243"/>
      <c r="C261" s="243"/>
      <c r="D261" s="243"/>
      <c r="E261" s="243"/>
      <c r="F261" s="243"/>
      <c r="G261" s="244"/>
      <c r="H261" s="243"/>
      <c r="I261" s="243"/>
      <c r="J261" s="243"/>
      <c r="K261" s="243"/>
      <c r="L261" s="243"/>
      <c r="M261" s="244"/>
      <c r="N261" s="245" t="s">
        <v>257</v>
      </c>
      <c r="O261" s="246"/>
      <c r="P261" s="203" t="s">
        <v>257</v>
      </c>
      <c r="Q261" s="210" t="s">
        <v>257</v>
      </c>
      <c r="R261" s="243" t="s">
        <v>257</v>
      </c>
      <c r="S261" s="247"/>
    </row>
    <row r="262" spans="1:19" x14ac:dyDescent="0.2">
      <c r="A262" s="242"/>
      <c r="B262" s="243"/>
      <c r="C262" s="243"/>
      <c r="D262" s="243"/>
      <c r="E262" s="243"/>
      <c r="F262" s="243"/>
      <c r="G262" s="244"/>
      <c r="H262" s="243"/>
      <c r="I262" s="243"/>
      <c r="J262" s="243"/>
      <c r="K262" s="243"/>
      <c r="L262" s="243"/>
      <c r="M262" s="244"/>
      <c r="N262" s="245" t="s">
        <v>257</v>
      </c>
      <c r="O262" s="246"/>
      <c r="P262" s="203" t="s">
        <v>257</v>
      </c>
      <c r="Q262" s="210" t="s">
        <v>257</v>
      </c>
      <c r="R262" s="243" t="s">
        <v>257</v>
      </c>
      <c r="S262" s="247"/>
    </row>
    <row r="263" spans="1:19" x14ac:dyDescent="0.2">
      <c r="A263" s="242"/>
      <c r="B263" s="243"/>
      <c r="C263" s="243"/>
      <c r="D263" s="243"/>
      <c r="E263" s="243"/>
      <c r="F263" s="243"/>
      <c r="G263" s="244"/>
      <c r="H263" s="243"/>
      <c r="I263" s="243"/>
      <c r="J263" s="243"/>
      <c r="K263" s="243"/>
      <c r="L263" s="243"/>
      <c r="M263" s="244"/>
      <c r="N263" s="245" t="s">
        <v>257</v>
      </c>
      <c r="O263" s="246"/>
      <c r="P263" s="203" t="s">
        <v>257</v>
      </c>
      <c r="Q263" s="210" t="s">
        <v>257</v>
      </c>
      <c r="R263" s="243" t="s">
        <v>257</v>
      </c>
      <c r="S263" s="247"/>
    </row>
    <row r="264" spans="1:19" x14ac:dyDescent="0.2">
      <c r="A264" s="242"/>
      <c r="B264" s="243"/>
      <c r="C264" s="243"/>
      <c r="D264" s="243"/>
      <c r="E264" s="243"/>
      <c r="F264" s="243"/>
      <c r="G264" s="244"/>
      <c r="H264" s="243"/>
      <c r="I264" s="243"/>
      <c r="J264" s="243"/>
      <c r="K264" s="243"/>
      <c r="L264" s="243"/>
      <c r="M264" s="244"/>
      <c r="N264" s="245" t="s">
        <v>257</v>
      </c>
      <c r="O264" s="246"/>
      <c r="P264" s="203" t="s">
        <v>257</v>
      </c>
      <c r="Q264" s="210" t="s">
        <v>257</v>
      </c>
      <c r="R264" s="243" t="s">
        <v>257</v>
      </c>
      <c r="S264" s="247"/>
    </row>
    <row r="265" spans="1:19" x14ac:dyDescent="0.2">
      <c r="A265" s="242"/>
      <c r="B265" s="243"/>
      <c r="C265" s="243"/>
      <c r="D265" s="243"/>
      <c r="E265" s="243"/>
      <c r="F265" s="243"/>
      <c r="G265" s="244"/>
      <c r="H265" s="243"/>
      <c r="I265" s="243"/>
      <c r="J265" s="243"/>
      <c r="K265" s="243"/>
      <c r="L265" s="243"/>
      <c r="M265" s="244"/>
      <c r="N265" s="245" t="s">
        <v>257</v>
      </c>
      <c r="O265" s="246"/>
      <c r="P265" s="203" t="s">
        <v>257</v>
      </c>
      <c r="Q265" s="210" t="s">
        <v>257</v>
      </c>
      <c r="R265" s="243" t="s">
        <v>257</v>
      </c>
      <c r="S265" s="247"/>
    </row>
    <row r="266" spans="1:19" x14ac:dyDescent="0.2">
      <c r="A266" s="242"/>
      <c r="B266" s="243"/>
      <c r="C266" s="243"/>
      <c r="D266" s="243"/>
      <c r="E266" s="243"/>
      <c r="F266" s="243"/>
      <c r="G266" s="244"/>
      <c r="H266" s="243"/>
      <c r="I266" s="243"/>
      <c r="J266" s="243"/>
      <c r="K266" s="243"/>
      <c r="L266" s="243"/>
      <c r="M266" s="244"/>
      <c r="N266" s="245" t="s">
        <v>257</v>
      </c>
      <c r="O266" s="246"/>
      <c r="P266" s="203" t="s">
        <v>257</v>
      </c>
      <c r="Q266" s="210" t="s">
        <v>257</v>
      </c>
      <c r="R266" s="243" t="s">
        <v>257</v>
      </c>
      <c r="S266" s="247"/>
    </row>
    <row r="267" spans="1:19" x14ac:dyDescent="0.2">
      <c r="A267" s="242"/>
      <c r="B267" s="243"/>
      <c r="C267" s="243"/>
      <c r="D267" s="243"/>
      <c r="E267" s="243"/>
      <c r="F267" s="243"/>
      <c r="G267" s="244"/>
      <c r="H267" s="243"/>
      <c r="I267" s="243"/>
      <c r="J267" s="243"/>
      <c r="K267" s="243"/>
      <c r="L267" s="243"/>
      <c r="M267" s="244"/>
      <c r="N267" s="245" t="s">
        <v>257</v>
      </c>
      <c r="O267" s="246"/>
      <c r="P267" s="203" t="s">
        <v>257</v>
      </c>
      <c r="Q267" s="210" t="s">
        <v>257</v>
      </c>
      <c r="R267" s="243" t="s">
        <v>257</v>
      </c>
      <c r="S267" s="247"/>
    </row>
    <row r="268" spans="1:19" x14ac:dyDescent="0.2">
      <c r="A268" s="242"/>
      <c r="B268" s="243"/>
      <c r="C268" s="243"/>
      <c r="D268" s="243"/>
      <c r="E268" s="243"/>
      <c r="F268" s="243"/>
      <c r="G268" s="244"/>
      <c r="H268" s="243"/>
      <c r="I268" s="243"/>
      <c r="J268" s="243"/>
      <c r="K268" s="243"/>
      <c r="L268" s="243"/>
      <c r="M268" s="244"/>
      <c r="N268" s="245" t="s">
        <v>257</v>
      </c>
      <c r="O268" s="246"/>
      <c r="P268" s="203" t="s">
        <v>257</v>
      </c>
      <c r="Q268" s="210" t="s">
        <v>257</v>
      </c>
      <c r="R268" s="243" t="s">
        <v>257</v>
      </c>
      <c r="S268" s="247"/>
    </row>
    <row r="269" spans="1:19" x14ac:dyDescent="0.2">
      <c r="A269" s="242"/>
      <c r="B269" s="243"/>
      <c r="C269" s="243"/>
      <c r="D269" s="243"/>
      <c r="E269" s="243"/>
      <c r="F269" s="243"/>
      <c r="G269" s="244"/>
      <c r="H269" s="243"/>
      <c r="I269" s="243"/>
      <c r="J269" s="243"/>
      <c r="K269" s="243"/>
      <c r="L269" s="243"/>
      <c r="M269" s="244"/>
      <c r="N269" s="245" t="s">
        <v>257</v>
      </c>
      <c r="O269" s="246"/>
      <c r="P269" s="203" t="s">
        <v>257</v>
      </c>
      <c r="Q269" s="210" t="s">
        <v>257</v>
      </c>
      <c r="R269" s="243" t="s">
        <v>257</v>
      </c>
      <c r="S269" s="247"/>
    </row>
    <row r="270" spans="1:19" x14ac:dyDescent="0.2">
      <c r="A270" s="242"/>
      <c r="B270" s="243"/>
      <c r="C270" s="243"/>
      <c r="D270" s="243"/>
      <c r="E270" s="243"/>
      <c r="F270" s="243"/>
      <c r="G270" s="244"/>
      <c r="H270" s="243"/>
      <c r="I270" s="243"/>
      <c r="J270" s="243"/>
      <c r="K270" s="243"/>
      <c r="L270" s="243"/>
      <c r="M270" s="244"/>
      <c r="N270" s="245" t="s">
        <v>257</v>
      </c>
      <c r="O270" s="246"/>
      <c r="P270" s="203" t="s">
        <v>257</v>
      </c>
      <c r="Q270" s="210" t="s">
        <v>257</v>
      </c>
      <c r="R270" s="243" t="s">
        <v>257</v>
      </c>
      <c r="S270" s="247"/>
    </row>
    <row r="271" spans="1:19" x14ac:dyDescent="0.2">
      <c r="A271" s="242"/>
      <c r="B271" s="243"/>
      <c r="C271" s="243"/>
      <c r="D271" s="243"/>
      <c r="E271" s="243"/>
      <c r="F271" s="243"/>
      <c r="G271" s="244"/>
      <c r="H271" s="243"/>
      <c r="I271" s="243"/>
      <c r="J271" s="243"/>
      <c r="K271" s="243"/>
      <c r="L271" s="243"/>
      <c r="M271" s="244"/>
      <c r="N271" s="245" t="s">
        <v>257</v>
      </c>
      <c r="O271" s="246"/>
      <c r="P271" s="203" t="s">
        <v>257</v>
      </c>
      <c r="Q271" s="210" t="s">
        <v>257</v>
      </c>
      <c r="R271" s="243" t="s">
        <v>257</v>
      </c>
      <c r="S271" s="247"/>
    </row>
    <row r="272" spans="1:19" x14ac:dyDescent="0.2">
      <c r="A272" s="242"/>
      <c r="B272" s="243"/>
      <c r="C272" s="243"/>
      <c r="D272" s="243"/>
      <c r="E272" s="243"/>
      <c r="F272" s="243"/>
      <c r="G272" s="244"/>
      <c r="H272" s="243"/>
      <c r="I272" s="243"/>
      <c r="J272" s="243"/>
      <c r="K272" s="243"/>
      <c r="L272" s="243"/>
      <c r="M272" s="244"/>
      <c r="N272" s="245" t="s">
        <v>257</v>
      </c>
      <c r="O272" s="246"/>
      <c r="P272" s="203" t="s">
        <v>257</v>
      </c>
      <c r="Q272" s="210" t="s">
        <v>257</v>
      </c>
      <c r="R272" s="243" t="s">
        <v>257</v>
      </c>
      <c r="S272" s="247"/>
    </row>
    <row r="273" spans="1:19" x14ac:dyDescent="0.2">
      <c r="A273" s="242"/>
      <c r="B273" s="243"/>
      <c r="C273" s="243"/>
      <c r="D273" s="243"/>
      <c r="E273" s="243"/>
      <c r="F273" s="243"/>
      <c r="G273" s="244"/>
      <c r="H273" s="243"/>
      <c r="I273" s="243"/>
      <c r="J273" s="243"/>
      <c r="K273" s="243"/>
      <c r="L273" s="243"/>
      <c r="M273" s="244"/>
      <c r="N273" s="245" t="s">
        <v>257</v>
      </c>
      <c r="O273" s="246"/>
      <c r="P273" s="203" t="s">
        <v>257</v>
      </c>
      <c r="Q273" s="210" t="s">
        <v>257</v>
      </c>
      <c r="R273" s="243" t="s">
        <v>257</v>
      </c>
      <c r="S273" s="247"/>
    </row>
    <row r="274" spans="1:19" x14ac:dyDescent="0.2">
      <c r="A274" s="242"/>
      <c r="B274" s="243"/>
      <c r="C274" s="243"/>
      <c r="D274" s="243"/>
      <c r="E274" s="243"/>
      <c r="F274" s="243"/>
      <c r="G274" s="244"/>
      <c r="H274" s="243"/>
      <c r="I274" s="243"/>
      <c r="J274" s="243"/>
      <c r="K274" s="243"/>
      <c r="L274" s="243"/>
      <c r="M274" s="244"/>
      <c r="N274" s="245" t="s">
        <v>257</v>
      </c>
      <c r="O274" s="246"/>
      <c r="P274" s="203" t="s">
        <v>257</v>
      </c>
      <c r="Q274" s="210" t="s">
        <v>257</v>
      </c>
      <c r="R274" s="243" t="s">
        <v>257</v>
      </c>
      <c r="S274" s="247"/>
    </row>
    <row r="275" spans="1:19" x14ac:dyDescent="0.2">
      <c r="A275" s="242"/>
      <c r="B275" s="243"/>
      <c r="C275" s="243"/>
      <c r="D275" s="243"/>
      <c r="E275" s="243"/>
      <c r="F275" s="243"/>
      <c r="G275" s="244"/>
      <c r="H275" s="243"/>
      <c r="I275" s="243"/>
      <c r="J275" s="243"/>
      <c r="K275" s="243"/>
      <c r="L275" s="243"/>
      <c r="M275" s="244"/>
      <c r="N275" s="245" t="s">
        <v>257</v>
      </c>
      <c r="O275" s="246"/>
      <c r="P275" s="203" t="s">
        <v>257</v>
      </c>
      <c r="Q275" s="210" t="s">
        <v>257</v>
      </c>
      <c r="R275" s="243" t="s">
        <v>257</v>
      </c>
      <c r="S275" s="247"/>
    </row>
    <row r="276" spans="1:19" x14ac:dyDescent="0.2">
      <c r="A276" s="242"/>
      <c r="B276" s="243"/>
      <c r="C276" s="243"/>
      <c r="D276" s="243"/>
      <c r="E276" s="243"/>
      <c r="F276" s="243"/>
      <c r="G276" s="244"/>
      <c r="H276" s="243"/>
      <c r="I276" s="243"/>
      <c r="J276" s="243"/>
      <c r="K276" s="243"/>
      <c r="L276" s="243"/>
      <c r="M276" s="244"/>
      <c r="N276" s="245" t="s">
        <v>257</v>
      </c>
      <c r="O276" s="246"/>
      <c r="P276" s="203" t="s">
        <v>257</v>
      </c>
      <c r="Q276" s="210" t="s">
        <v>257</v>
      </c>
      <c r="R276" s="243" t="s">
        <v>257</v>
      </c>
      <c r="S276" s="247"/>
    </row>
    <row r="277" spans="1:19" x14ac:dyDescent="0.2">
      <c r="A277" s="242"/>
      <c r="B277" s="243"/>
      <c r="C277" s="243"/>
      <c r="D277" s="243"/>
      <c r="E277" s="243"/>
      <c r="F277" s="243"/>
      <c r="G277" s="244"/>
      <c r="H277" s="243"/>
      <c r="I277" s="243"/>
      <c r="J277" s="243"/>
      <c r="K277" s="243"/>
      <c r="L277" s="243"/>
      <c r="M277" s="244"/>
      <c r="N277" s="245" t="s">
        <v>257</v>
      </c>
      <c r="O277" s="246"/>
      <c r="P277" s="203" t="s">
        <v>257</v>
      </c>
      <c r="Q277" s="210" t="s">
        <v>257</v>
      </c>
      <c r="R277" s="243" t="s">
        <v>257</v>
      </c>
      <c r="S277" s="247"/>
    </row>
    <row r="278" spans="1:19" x14ac:dyDescent="0.2">
      <c r="A278" s="242"/>
      <c r="B278" s="243"/>
      <c r="C278" s="243"/>
      <c r="D278" s="243"/>
      <c r="E278" s="243"/>
      <c r="F278" s="243"/>
      <c r="G278" s="244"/>
      <c r="H278" s="243"/>
      <c r="I278" s="243"/>
      <c r="J278" s="243"/>
      <c r="K278" s="243"/>
      <c r="L278" s="243"/>
      <c r="M278" s="244"/>
      <c r="N278" s="245" t="s">
        <v>257</v>
      </c>
      <c r="O278" s="246"/>
      <c r="P278" s="203" t="s">
        <v>257</v>
      </c>
      <c r="Q278" s="210" t="s">
        <v>257</v>
      </c>
      <c r="R278" s="243" t="s">
        <v>257</v>
      </c>
      <c r="S278" s="247"/>
    </row>
    <row r="279" spans="1:19" x14ac:dyDescent="0.2">
      <c r="A279" s="242"/>
      <c r="B279" s="243"/>
      <c r="C279" s="243"/>
      <c r="D279" s="243"/>
      <c r="E279" s="243"/>
      <c r="F279" s="243"/>
      <c r="G279" s="244"/>
      <c r="H279" s="243"/>
      <c r="I279" s="243"/>
      <c r="J279" s="243"/>
      <c r="K279" s="243"/>
      <c r="L279" s="243"/>
      <c r="M279" s="244"/>
      <c r="N279" s="245" t="s">
        <v>257</v>
      </c>
      <c r="O279" s="246"/>
      <c r="P279" s="203" t="s">
        <v>257</v>
      </c>
      <c r="Q279" s="210" t="s">
        <v>257</v>
      </c>
      <c r="R279" s="243" t="s">
        <v>257</v>
      </c>
      <c r="S279" s="247"/>
    </row>
    <row r="280" spans="1:19" x14ac:dyDescent="0.2">
      <c r="A280" s="242"/>
      <c r="B280" s="243"/>
      <c r="C280" s="243"/>
      <c r="D280" s="243"/>
      <c r="E280" s="243"/>
      <c r="F280" s="243"/>
      <c r="G280" s="244"/>
      <c r="H280" s="243"/>
      <c r="I280" s="243"/>
      <c r="J280" s="243"/>
      <c r="K280" s="243"/>
      <c r="L280" s="243"/>
      <c r="M280" s="244"/>
      <c r="N280" s="245" t="s">
        <v>257</v>
      </c>
      <c r="O280" s="246"/>
      <c r="P280" s="203" t="s">
        <v>257</v>
      </c>
      <c r="Q280" s="210" t="s">
        <v>257</v>
      </c>
      <c r="R280" s="243" t="s">
        <v>257</v>
      </c>
      <c r="S280" s="247"/>
    </row>
    <row r="281" spans="1:19" x14ac:dyDescent="0.2">
      <c r="A281" s="242"/>
      <c r="B281" s="243"/>
      <c r="C281" s="243"/>
      <c r="D281" s="243"/>
      <c r="E281" s="243"/>
      <c r="F281" s="243"/>
      <c r="G281" s="244"/>
      <c r="H281" s="243"/>
      <c r="I281" s="243"/>
      <c r="J281" s="243"/>
      <c r="K281" s="243"/>
      <c r="L281" s="243"/>
      <c r="M281" s="244"/>
      <c r="N281" s="245" t="s">
        <v>257</v>
      </c>
      <c r="O281" s="246"/>
      <c r="P281" s="203" t="s">
        <v>257</v>
      </c>
      <c r="Q281" s="210" t="s">
        <v>257</v>
      </c>
      <c r="R281" s="243" t="s">
        <v>257</v>
      </c>
      <c r="S281" s="247"/>
    </row>
    <row r="282" spans="1:19" x14ac:dyDescent="0.2">
      <c r="A282" s="242"/>
      <c r="B282" s="243"/>
      <c r="C282" s="243"/>
      <c r="D282" s="243"/>
      <c r="E282" s="243"/>
      <c r="F282" s="243"/>
      <c r="G282" s="244"/>
      <c r="H282" s="243"/>
      <c r="I282" s="243"/>
      <c r="J282" s="243"/>
      <c r="K282" s="243"/>
      <c r="L282" s="243"/>
      <c r="M282" s="244"/>
      <c r="N282" s="245" t="s">
        <v>257</v>
      </c>
      <c r="O282" s="246"/>
      <c r="P282" s="203" t="s">
        <v>257</v>
      </c>
      <c r="Q282" s="210" t="s">
        <v>257</v>
      </c>
      <c r="R282" s="243" t="s">
        <v>257</v>
      </c>
      <c r="S282" s="247"/>
    </row>
    <row r="283" spans="1:19" x14ac:dyDescent="0.2">
      <c r="A283" s="242"/>
      <c r="B283" s="243"/>
      <c r="C283" s="243"/>
      <c r="D283" s="243"/>
      <c r="E283" s="243"/>
      <c r="F283" s="243"/>
      <c r="G283" s="244"/>
      <c r="H283" s="243"/>
      <c r="I283" s="243"/>
      <c r="J283" s="243"/>
      <c r="K283" s="243"/>
      <c r="L283" s="243"/>
      <c r="M283" s="244"/>
      <c r="N283" s="245" t="s">
        <v>257</v>
      </c>
      <c r="O283" s="246"/>
      <c r="P283" s="203" t="s">
        <v>257</v>
      </c>
      <c r="Q283" s="210" t="s">
        <v>257</v>
      </c>
      <c r="R283" s="243" t="s">
        <v>257</v>
      </c>
      <c r="S283" s="247"/>
    </row>
    <row r="284" spans="1:19" x14ac:dyDescent="0.2">
      <c r="A284" s="242"/>
      <c r="B284" s="243"/>
      <c r="C284" s="243"/>
      <c r="D284" s="243"/>
      <c r="E284" s="243"/>
      <c r="F284" s="243"/>
      <c r="G284" s="244"/>
      <c r="H284" s="243"/>
      <c r="I284" s="243"/>
      <c r="J284" s="243"/>
      <c r="K284" s="243"/>
      <c r="L284" s="243"/>
      <c r="M284" s="244"/>
      <c r="N284" s="245" t="s">
        <v>257</v>
      </c>
      <c r="O284" s="246"/>
      <c r="P284" s="203" t="s">
        <v>257</v>
      </c>
      <c r="Q284" s="210" t="s">
        <v>257</v>
      </c>
      <c r="R284" s="243" t="s">
        <v>257</v>
      </c>
      <c r="S284" s="247"/>
    </row>
    <row r="285" spans="1:19" x14ac:dyDescent="0.2">
      <c r="A285" s="242"/>
      <c r="B285" s="243"/>
      <c r="C285" s="243"/>
      <c r="D285" s="243"/>
      <c r="E285" s="243"/>
      <c r="F285" s="243"/>
      <c r="G285" s="244"/>
      <c r="H285" s="243"/>
      <c r="I285" s="243"/>
      <c r="J285" s="243"/>
      <c r="K285" s="243"/>
      <c r="L285" s="243"/>
      <c r="M285" s="244"/>
      <c r="N285" s="245" t="s">
        <v>257</v>
      </c>
      <c r="O285" s="246"/>
      <c r="P285" s="203" t="s">
        <v>257</v>
      </c>
      <c r="Q285" s="210" t="s">
        <v>257</v>
      </c>
      <c r="R285" s="243" t="s">
        <v>257</v>
      </c>
      <c r="S285" s="247"/>
    </row>
    <row r="286" spans="1:19" x14ac:dyDescent="0.2">
      <c r="A286" s="242"/>
      <c r="B286" s="243"/>
      <c r="C286" s="243"/>
      <c r="D286" s="243"/>
      <c r="E286" s="243"/>
      <c r="F286" s="243"/>
      <c r="G286" s="244"/>
      <c r="H286" s="243"/>
      <c r="I286" s="243"/>
      <c r="J286" s="243"/>
      <c r="K286" s="243"/>
      <c r="L286" s="243"/>
      <c r="M286" s="244"/>
      <c r="N286" s="245" t="s">
        <v>257</v>
      </c>
      <c r="O286" s="246"/>
      <c r="P286" s="203" t="s">
        <v>257</v>
      </c>
      <c r="Q286" s="210" t="s">
        <v>257</v>
      </c>
      <c r="R286" s="243" t="s">
        <v>257</v>
      </c>
      <c r="S286" s="247"/>
    </row>
    <row r="287" spans="1:19" x14ac:dyDescent="0.2">
      <c r="A287" s="242"/>
      <c r="B287" s="243"/>
      <c r="C287" s="243"/>
      <c r="D287" s="243"/>
      <c r="E287" s="243"/>
      <c r="F287" s="243"/>
      <c r="G287" s="244"/>
      <c r="H287" s="243"/>
      <c r="I287" s="243"/>
      <c r="J287" s="243"/>
      <c r="K287" s="243"/>
      <c r="L287" s="243"/>
      <c r="M287" s="244"/>
      <c r="N287" s="245" t="s">
        <v>257</v>
      </c>
      <c r="O287" s="246"/>
      <c r="P287" s="203" t="s">
        <v>257</v>
      </c>
      <c r="Q287" s="210" t="s">
        <v>257</v>
      </c>
      <c r="R287" s="243" t="s">
        <v>257</v>
      </c>
      <c r="S287" s="247"/>
    </row>
    <row r="288" spans="1:19" x14ac:dyDescent="0.2">
      <c r="A288" s="242"/>
      <c r="B288" s="243"/>
      <c r="C288" s="243"/>
      <c r="D288" s="243"/>
      <c r="E288" s="243"/>
      <c r="F288" s="243"/>
      <c r="G288" s="244"/>
      <c r="H288" s="243"/>
      <c r="I288" s="243"/>
      <c r="J288" s="243"/>
      <c r="K288" s="243"/>
      <c r="L288" s="243"/>
      <c r="M288" s="244"/>
      <c r="N288" s="245" t="s">
        <v>257</v>
      </c>
      <c r="O288" s="246"/>
      <c r="P288" s="203" t="s">
        <v>257</v>
      </c>
      <c r="Q288" s="210" t="s">
        <v>257</v>
      </c>
      <c r="R288" s="243" t="s">
        <v>257</v>
      </c>
      <c r="S288" s="247"/>
    </row>
    <row r="289" spans="1:19" x14ac:dyDescent="0.2">
      <c r="A289" s="242"/>
      <c r="B289" s="243"/>
      <c r="C289" s="243"/>
      <c r="D289" s="243"/>
      <c r="E289" s="243"/>
      <c r="F289" s="243"/>
      <c r="G289" s="244"/>
      <c r="H289" s="243"/>
      <c r="I289" s="243"/>
      <c r="J289" s="243"/>
      <c r="K289" s="243"/>
      <c r="L289" s="243"/>
      <c r="M289" s="244"/>
      <c r="N289" s="245" t="s">
        <v>257</v>
      </c>
      <c r="O289" s="246"/>
      <c r="P289" s="203" t="s">
        <v>257</v>
      </c>
      <c r="Q289" s="210" t="s">
        <v>257</v>
      </c>
      <c r="R289" s="243" t="s">
        <v>257</v>
      </c>
      <c r="S289" s="247"/>
    </row>
    <row r="290" spans="1:19" x14ac:dyDescent="0.2">
      <c r="A290" s="242"/>
      <c r="B290" s="243"/>
      <c r="C290" s="243"/>
      <c r="D290" s="243"/>
      <c r="E290" s="243"/>
      <c r="F290" s="243"/>
      <c r="G290" s="244"/>
      <c r="H290" s="243"/>
      <c r="I290" s="243"/>
      <c r="J290" s="243"/>
      <c r="K290" s="243"/>
      <c r="L290" s="243"/>
      <c r="M290" s="244"/>
      <c r="N290" s="245" t="s">
        <v>257</v>
      </c>
      <c r="O290" s="246"/>
      <c r="P290" s="203" t="s">
        <v>257</v>
      </c>
      <c r="Q290" s="210" t="s">
        <v>257</v>
      </c>
      <c r="R290" s="243" t="s">
        <v>257</v>
      </c>
      <c r="S290" s="247"/>
    </row>
    <row r="291" spans="1:19" x14ac:dyDescent="0.2">
      <c r="A291" s="242"/>
      <c r="B291" s="243"/>
      <c r="C291" s="243"/>
      <c r="D291" s="243"/>
      <c r="E291" s="243"/>
      <c r="F291" s="243"/>
      <c r="G291" s="244"/>
      <c r="H291" s="243"/>
      <c r="I291" s="243"/>
      <c r="J291" s="243"/>
      <c r="K291" s="243"/>
      <c r="L291" s="243"/>
      <c r="M291" s="244"/>
      <c r="N291" s="245" t="s">
        <v>257</v>
      </c>
      <c r="O291" s="246"/>
      <c r="P291" s="203" t="s">
        <v>257</v>
      </c>
      <c r="Q291" s="210" t="s">
        <v>257</v>
      </c>
      <c r="R291" s="243" t="s">
        <v>257</v>
      </c>
      <c r="S291" s="247"/>
    </row>
    <row r="292" spans="1:19" x14ac:dyDescent="0.2">
      <c r="A292" s="242"/>
      <c r="B292" s="243"/>
      <c r="C292" s="243"/>
      <c r="D292" s="243"/>
      <c r="E292" s="243"/>
      <c r="F292" s="243"/>
      <c r="G292" s="244"/>
      <c r="H292" s="243"/>
      <c r="I292" s="243"/>
      <c r="J292" s="243"/>
      <c r="K292" s="243"/>
      <c r="L292" s="243"/>
      <c r="M292" s="244"/>
      <c r="N292" s="245" t="s">
        <v>257</v>
      </c>
      <c r="O292" s="246"/>
      <c r="P292" s="203" t="s">
        <v>257</v>
      </c>
      <c r="Q292" s="210" t="s">
        <v>257</v>
      </c>
      <c r="R292" s="243" t="s">
        <v>257</v>
      </c>
      <c r="S292" s="247"/>
    </row>
    <row r="293" spans="1:19" x14ac:dyDescent="0.2">
      <c r="A293" s="242"/>
      <c r="B293" s="243"/>
      <c r="C293" s="243"/>
      <c r="D293" s="243"/>
      <c r="E293" s="243"/>
      <c r="F293" s="243"/>
      <c r="G293" s="244"/>
      <c r="H293" s="243"/>
      <c r="I293" s="243"/>
      <c r="J293" s="243"/>
      <c r="K293" s="243"/>
      <c r="L293" s="243"/>
      <c r="M293" s="244"/>
      <c r="N293" s="245" t="s">
        <v>257</v>
      </c>
      <c r="O293" s="246"/>
      <c r="P293" s="203" t="s">
        <v>257</v>
      </c>
      <c r="Q293" s="210" t="s">
        <v>257</v>
      </c>
      <c r="R293" s="243" t="s">
        <v>257</v>
      </c>
      <c r="S293" s="247"/>
    </row>
    <row r="294" spans="1:19" x14ac:dyDescent="0.2">
      <c r="A294" s="242"/>
      <c r="B294" s="243"/>
      <c r="C294" s="243"/>
      <c r="D294" s="243"/>
      <c r="E294" s="243"/>
      <c r="F294" s="243"/>
      <c r="G294" s="244"/>
      <c r="H294" s="243"/>
      <c r="I294" s="243"/>
      <c r="J294" s="243"/>
      <c r="K294" s="243"/>
      <c r="L294" s="243"/>
      <c r="M294" s="244"/>
      <c r="N294" s="245" t="s">
        <v>257</v>
      </c>
      <c r="O294" s="246"/>
      <c r="P294" s="203" t="s">
        <v>257</v>
      </c>
      <c r="Q294" s="210" t="s">
        <v>257</v>
      </c>
      <c r="R294" s="243" t="s">
        <v>257</v>
      </c>
      <c r="S294" s="247"/>
    </row>
    <row r="295" spans="1:19" x14ac:dyDescent="0.2">
      <c r="A295" s="242"/>
      <c r="B295" s="243"/>
      <c r="C295" s="243"/>
      <c r="D295" s="243"/>
      <c r="E295" s="243"/>
      <c r="F295" s="243"/>
      <c r="G295" s="244"/>
      <c r="H295" s="243"/>
      <c r="I295" s="243"/>
      <c r="J295" s="243"/>
      <c r="K295" s="243"/>
      <c r="L295" s="243"/>
      <c r="M295" s="244"/>
      <c r="N295" s="245" t="s">
        <v>257</v>
      </c>
      <c r="O295" s="246"/>
      <c r="P295" s="203" t="s">
        <v>257</v>
      </c>
      <c r="Q295" s="210" t="s">
        <v>257</v>
      </c>
      <c r="R295" s="243" t="s">
        <v>257</v>
      </c>
      <c r="S295" s="247"/>
    </row>
    <row r="296" spans="1:19" x14ac:dyDescent="0.2">
      <c r="A296" s="242"/>
      <c r="B296" s="243"/>
      <c r="C296" s="243"/>
      <c r="D296" s="243"/>
      <c r="E296" s="243"/>
      <c r="F296" s="243"/>
      <c r="G296" s="244"/>
      <c r="H296" s="243"/>
      <c r="I296" s="243"/>
      <c r="J296" s="243"/>
      <c r="K296" s="243"/>
      <c r="L296" s="243"/>
      <c r="M296" s="244"/>
      <c r="N296" s="245" t="s">
        <v>257</v>
      </c>
      <c r="O296" s="246"/>
      <c r="P296" s="203" t="s">
        <v>257</v>
      </c>
      <c r="Q296" s="210" t="s">
        <v>257</v>
      </c>
      <c r="R296" s="243" t="s">
        <v>257</v>
      </c>
      <c r="S296" s="247"/>
    </row>
    <row r="297" spans="1:19" x14ac:dyDescent="0.2">
      <c r="A297" s="242"/>
      <c r="B297" s="243"/>
      <c r="C297" s="243"/>
      <c r="D297" s="243"/>
      <c r="E297" s="243"/>
      <c r="F297" s="243"/>
      <c r="G297" s="244"/>
      <c r="H297" s="243"/>
      <c r="I297" s="243"/>
      <c r="J297" s="243"/>
      <c r="K297" s="243"/>
      <c r="L297" s="243"/>
      <c r="M297" s="244"/>
      <c r="N297" s="245" t="s">
        <v>257</v>
      </c>
      <c r="O297" s="246"/>
      <c r="P297" s="203" t="s">
        <v>257</v>
      </c>
      <c r="Q297" s="210" t="s">
        <v>257</v>
      </c>
      <c r="R297" s="243" t="s">
        <v>257</v>
      </c>
      <c r="S297" s="247"/>
    </row>
    <row r="298" spans="1:19" x14ac:dyDescent="0.2">
      <c r="A298" s="242"/>
      <c r="B298" s="243"/>
      <c r="C298" s="243"/>
      <c r="D298" s="243"/>
      <c r="E298" s="243"/>
      <c r="F298" s="243"/>
      <c r="G298" s="244"/>
      <c r="H298" s="243"/>
      <c r="I298" s="243"/>
      <c r="J298" s="243"/>
      <c r="K298" s="243"/>
      <c r="L298" s="243"/>
      <c r="M298" s="244"/>
      <c r="N298" s="245" t="s">
        <v>257</v>
      </c>
      <c r="O298" s="246"/>
      <c r="P298" s="203" t="s">
        <v>257</v>
      </c>
      <c r="Q298" s="210" t="s">
        <v>257</v>
      </c>
      <c r="R298" s="243" t="s">
        <v>257</v>
      </c>
      <c r="S298" s="247"/>
    </row>
    <row r="299" spans="1:19" x14ac:dyDescent="0.2">
      <c r="A299" s="242"/>
      <c r="B299" s="243"/>
      <c r="C299" s="243"/>
      <c r="D299" s="243"/>
      <c r="E299" s="243"/>
      <c r="F299" s="243"/>
      <c r="G299" s="244"/>
      <c r="H299" s="243"/>
      <c r="I299" s="243"/>
      <c r="J299" s="243"/>
      <c r="K299" s="243"/>
      <c r="L299" s="243"/>
      <c r="M299" s="244"/>
      <c r="N299" s="245" t="s">
        <v>257</v>
      </c>
      <c r="O299" s="246"/>
      <c r="P299" s="203" t="s">
        <v>257</v>
      </c>
      <c r="Q299" s="210" t="s">
        <v>257</v>
      </c>
      <c r="R299" s="243" t="s">
        <v>257</v>
      </c>
      <c r="S299" s="247"/>
    </row>
    <row r="300" spans="1:19" x14ac:dyDescent="0.2">
      <c r="A300" s="242"/>
      <c r="B300" s="243"/>
      <c r="C300" s="243"/>
      <c r="D300" s="243"/>
      <c r="E300" s="243"/>
      <c r="F300" s="243"/>
      <c r="G300" s="244"/>
      <c r="H300" s="243"/>
      <c r="I300" s="243"/>
      <c r="J300" s="243"/>
      <c r="K300" s="243"/>
      <c r="L300" s="243"/>
      <c r="M300" s="244"/>
      <c r="N300" s="245" t="s">
        <v>257</v>
      </c>
      <c r="O300" s="246"/>
      <c r="P300" s="203" t="s">
        <v>257</v>
      </c>
      <c r="Q300" s="210" t="s">
        <v>257</v>
      </c>
      <c r="R300" s="243" t="s">
        <v>257</v>
      </c>
      <c r="S300" s="247"/>
    </row>
    <row r="301" spans="1:19" x14ac:dyDescent="0.2">
      <c r="A301" s="242"/>
      <c r="B301" s="243"/>
      <c r="C301" s="243"/>
      <c r="D301" s="243"/>
      <c r="E301" s="243"/>
      <c r="F301" s="243"/>
      <c r="G301" s="244"/>
      <c r="H301" s="243"/>
      <c r="I301" s="243"/>
      <c r="J301" s="243"/>
      <c r="K301" s="243"/>
      <c r="L301" s="243"/>
      <c r="M301" s="244"/>
      <c r="N301" s="245" t="s">
        <v>257</v>
      </c>
      <c r="O301" s="246"/>
      <c r="P301" s="203" t="s">
        <v>257</v>
      </c>
      <c r="Q301" s="210" t="s">
        <v>257</v>
      </c>
      <c r="R301" s="243" t="s">
        <v>257</v>
      </c>
      <c r="S301" s="247"/>
    </row>
    <row r="302" spans="1:19" x14ac:dyDescent="0.2">
      <c r="A302" s="242"/>
      <c r="B302" s="243"/>
      <c r="C302" s="243"/>
      <c r="D302" s="243"/>
      <c r="E302" s="243"/>
      <c r="F302" s="243"/>
      <c r="G302" s="244"/>
      <c r="H302" s="243"/>
      <c r="I302" s="243"/>
      <c r="J302" s="243"/>
      <c r="K302" s="243"/>
      <c r="L302" s="243"/>
      <c r="M302" s="244"/>
      <c r="N302" s="245" t="s">
        <v>257</v>
      </c>
      <c r="O302" s="246"/>
      <c r="P302" s="203" t="s">
        <v>257</v>
      </c>
      <c r="Q302" s="210" t="s">
        <v>257</v>
      </c>
      <c r="R302" s="243" t="s">
        <v>257</v>
      </c>
      <c r="S302" s="247"/>
    </row>
    <row r="303" spans="1:19" x14ac:dyDescent="0.2">
      <c r="A303" s="242"/>
      <c r="B303" s="243"/>
      <c r="C303" s="243"/>
      <c r="D303" s="243"/>
      <c r="E303" s="243"/>
      <c r="F303" s="243"/>
      <c r="G303" s="244"/>
      <c r="H303" s="243"/>
      <c r="I303" s="243"/>
      <c r="J303" s="243"/>
      <c r="K303" s="243"/>
      <c r="L303" s="243"/>
      <c r="M303" s="244"/>
      <c r="N303" s="245" t="s">
        <v>257</v>
      </c>
      <c r="O303" s="246"/>
      <c r="P303" s="203" t="s">
        <v>257</v>
      </c>
      <c r="Q303" s="210" t="s">
        <v>257</v>
      </c>
      <c r="R303" s="243" t="s">
        <v>257</v>
      </c>
      <c r="S303" s="247"/>
    </row>
    <row r="304" spans="1:19" x14ac:dyDescent="0.2">
      <c r="A304" s="242"/>
      <c r="B304" s="243"/>
      <c r="C304" s="243"/>
      <c r="D304" s="243"/>
      <c r="E304" s="243"/>
      <c r="F304" s="243"/>
      <c r="G304" s="244"/>
      <c r="H304" s="243"/>
      <c r="I304" s="243"/>
      <c r="J304" s="243"/>
      <c r="K304" s="243"/>
      <c r="L304" s="243"/>
      <c r="M304" s="244"/>
      <c r="N304" s="245" t="s">
        <v>257</v>
      </c>
      <c r="O304" s="246"/>
      <c r="P304" s="203" t="s">
        <v>257</v>
      </c>
      <c r="Q304" s="210" t="s">
        <v>257</v>
      </c>
      <c r="R304" s="243" t="s">
        <v>257</v>
      </c>
      <c r="S304" s="247"/>
    </row>
    <row r="305" spans="1:19" x14ac:dyDescent="0.2">
      <c r="A305" s="242"/>
      <c r="B305" s="243"/>
      <c r="C305" s="243"/>
      <c r="D305" s="243"/>
      <c r="E305" s="243"/>
      <c r="F305" s="243"/>
      <c r="G305" s="244"/>
      <c r="H305" s="243"/>
      <c r="I305" s="243"/>
      <c r="J305" s="243"/>
      <c r="K305" s="243"/>
      <c r="L305" s="243"/>
      <c r="M305" s="244"/>
      <c r="N305" s="245" t="s">
        <v>257</v>
      </c>
      <c r="O305" s="246"/>
      <c r="P305" s="203" t="s">
        <v>257</v>
      </c>
      <c r="Q305" s="210" t="s">
        <v>257</v>
      </c>
      <c r="R305" s="243" t="s">
        <v>257</v>
      </c>
      <c r="S305" s="247"/>
    </row>
    <row r="306" spans="1:19" x14ac:dyDescent="0.2">
      <c r="A306" s="242"/>
      <c r="B306" s="243"/>
      <c r="C306" s="243"/>
      <c r="D306" s="243"/>
      <c r="E306" s="243"/>
      <c r="F306" s="243"/>
      <c r="G306" s="244"/>
      <c r="H306" s="243"/>
      <c r="I306" s="243"/>
      <c r="J306" s="243"/>
      <c r="K306" s="243"/>
      <c r="L306" s="243"/>
      <c r="M306" s="244"/>
      <c r="N306" s="245" t="s">
        <v>257</v>
      </c>
      <c r="O306" s="246"/>
      <c r="P306" s="203" t="s">
        <v>257</v>
      </c>
      <c r="Q306" s="210" t="s">
        <v>257</v>
      </c>
      <c r="R306" s="243" t="s">
        <v>257</v>
      </c>
      <c r="S306" s="247"/>
    </row>
    <row r="307" spans="1:19" x14ac:dyDescent="0.2">
      <c r="A307" s="242"/>
      <c r="B307" s="243"/>
      <c r="C307" s="243"/>
      <c r="D307" s="243"/>
      <c r="E307" s="243"/>
      <c r="F307" s="243"/>
      <c r="G307" s="244"/>
      <c r="H307" s="243"/>
      <c r="I307" s="243"/>
      <c r="J307" s="243"/>
      <c r="K307" s="243"/>
      <c r="L307" s="243"/>
      <c r="M307" s="244"/>
      <c r="N307" s="245" t="s">
        <v>257</v>
      </c>
      <c r="O307" s="246"/>
      <c r="P307" s="203" t="s">
        <v>257</v>
      </c>
      <c r="Q307" s="210" t="s">
        <v>257</v>
      </c>
      <c r="R307" s="243" t="s">
        <v>257</v>
      </c>
      <c r="S307" s="247"/>
    </row>
    <row r="308" spans="1:19" x14ac:dyDescent="0.2">
      <c r="A308" s="242"/>
      <c r="B308" s="243"/>
      <c r="C308" s="243"/>
      <c r="D308" s="243"/>
      <c r="E308" s="243"/>
      <c r="F308" s="243"/>
      <c r="G308" s="244"/>
      <c r="H308" s="243"/>
      <c r="I308" s="243"/>
      <c r="J308" s="243"/>
      <c r="K308" s="243"/>
      <c r="L308" s="243"/>
      <c r="M308" s="244"/>
      <c r="N308" s="245" t="s">
        <v>257</v>
      </c>
      <c r="O308" s="246"/>
      <c r="P308" s="203" t="s">
        <v>257</v>
      </c>
      <c r="Q308" s="210" t="s">
        <v>257</v>
      </c>
      <c r="R308" s="243" t="s">
        <v>257</v>
      </c>
      <c r="S308" s="247"/>
    </row>
    <row r="309" spans="1:19" x14ac:dyDescent="0.2">
      <c r="A309" s="242"/>
      <c r="B309" s="243"/>
      <c r="C309" s="243"/>
      <c r="D309" s="243"/>
      <c r="E309" s="243"/>
      <c r="F309" s="243"/>
      <c r="G309" s="244"/>
      <c r="H309" s="243"/>
      <c r="I309" s="243"/>
      <c r="J309" s="243"/>
      <c r="K309" s="243"/>
      <c r="L309" s="243"/>
      <c r="M309" s="244"/>
      <c r="N309" s="245" t="s">
        <v>257</v>
      </c>
      <c r="O309" s="246"/>
      <c r="P309" s="203" t="s">
        <v>257</v>
      </c>
      <c r="Q309" s="210" t="s">
        <v>257</v>
      </c>
      <c r="R309" s="243" t="s">
        <v>257</v>
      </c>
      <c r="S309" s="247"/>
    </row>
    <row r="310" spans="1:19" x14ac:dyDescent="0.2">
      <c r="A310" s="242"/>
      <c r="B310" s="243"/>
      <c r="C310" s="243"/>
      <c r="D310" s="243"/>
      <c r="E310" s="243"/>
      <c r="F310" s="243"/>
      <c r="G310" s="244"/>
      <c r="H310" s="243"/>
      <c r="I310" s="243"/>
      <c r="J310" s="243"/>
      <c r="K310" s="243"/>
      <c r="L310" s="243"/>
      <c r="M310" s="244"/>
      <c r="N310" s="245" t="s">
        <v>257</v>
      </c>
      <c r="O310" s="246"/>
      <c r="P310" s="203" t="s">
        <v>257</v>
      </c>
      <c r="Q310" s="210" t="s">
        <v>257</v>
      </c>
      <c r="R310" s="243" t="s">
        <v>257</v>
      </c>
      <c r="S310" s="247"/>
    </row>
    <row r="311" spans="1:19" x14ac:dyDescent="0.2">
      <c r="A311" s="242"/>
      <c r="B311" s="243"/>
      <c r="C311" s="243"/>
      <c r="D311" s="243"/>
      <c r="E311" s="243"/>
      <c r="F311" s="243"/>
      <c r="G311" s="244"/>
      <c r="H311" s="243"/>
      <c r="I311" s="243"/>
      <c r="J311" s="243"/>
      <c r="K311" s="243"/>
      <c r="L311" s="243"/>
      <c r="M311" s="244"/>
      <c r="N311" s="245" t="s">
        <v>257</v>
      </c>
      <c r="O311" s="246"/>
      <c r="P311" s="203" t="s">
        <v>257</v>
      </c>
      <c r="Q311" s="210" t="s">
        <v>257</v>
      </c>
      <c r="R311" s="243" t="s">
        <v>257</v>
      </c>
      <c r="S311" s="247"/>
    </row>
    <row r="312" spans="1:19" x14ac:dyDescent="0.2">
      <c r="A312" s="242"/>
      <c r="B312" s="243"/>
      <c r="C312" s="243"/>
      <c r="D312" s="243"/>
      <c r="E312" s="243"/>
      <c r="F312" s="243"/>
      <c r="G312" s="244"/>
      <c r="H312" s="243"/>
      <c r="I312" s="243"/>
      <c r="J312" s="243"/>
      <c r="K312" s="243"/>
      <c r="L312" s="243"/>
      <c r="M312" s="244"/>
      <c r="N312" s="245" t="s">
        <v>257</v>
      </c>
      <c r="O312" s="246"/>
      <c r="P312" s="203" t="s">
        <v>257</v>
      </c>
      <c r="Q312" s="210" t="s">
        <v>257</v>
      </c>
      <c r="R312" s="243" t="s">
        <v>257</v>
      </c>
      <c r="S312" s="247"/>
    </row>
    <row r="313" spans="1:19" x14ac:dyDescent="0.2">
      <c r="A313" s="242"/>
      <c r="B313" s="243"/>
      <c r="C313" s="243"/>
      <c r="D313" s="243"/>
      <c r="E313" s="243"/>
      <c r="F313" s="243"/>
      <c r="G313" s="244"/>
      <c r="H313" s="243"/>
      <c r="I313" s="243"/>
      <c r="J313" s="243"/>
      <c r="K313" s="243"/>
      <c r="L313" s="243"/>
      <c r="M313" s="244"/>
      <c r="N313" s="245" t="s">
        <v>257</v>
      </c>
      <c r="O313" s="246"/>
      <c r="P313" s="203" t="s">
        <v>257</v>
      </c>
      <c r="Q313" s="210" t="s">
        <v>257</v>
      </c>
      <c r="R313" s="243" t="s">
        <v>257</v>
      </c>
      <c r="S313" s="247"/>
    </row>
    <row r="314" spans="1:19" x14ac:dyDescent="0.2">
      <c r="A314" s="242"/>
      <c r="B314" s="243"/>
      <c r="C314" s="243"/>
      <c r="D314" s="243"/>
      <c r="E314" s="243"/>
      <c r="F314" s="243"/>
      <c r="G314" s="244"/>
      <c r="H314" s="243"/>
      <c r="I314" s="243"/>
      <c r="J314" s="243"/>
      <c r="K314" s="243"/>
      <c r="L314" s="243"/>
      <c r="M314" s="244"/>
      <c r="N314" s="245" t="s">
        <v>257</v>
      </c>
      <c r="O314" s="246"/>
      <c r="P314" s="203" t="s">
        <v>257</v>
      </c>
      <c r="Q314" s="210" t="s">
        <v>257</v>
      </c>
      <c r="R314" s="243" t="s">
        <v>257</v>
      </c>
      <c r="S314" s="247"/>
    </row>
    <row r="315" spans="1:19" x14ac:dyDescent="0.2">
      <c r="A315" s="242"/>
      <c r="B315" s="243"/>
      <c r="C315" s="243"/>
      <c r="D315" s="243"/>
      <c r="E315" s="243"/>
      <c r="F315" s="243"/>
      <c r="G315" s="244"/>
      <c r="H315" s="243"/>
      <c r="I315" s="243"/>
      <c r="J315" s="243"/>
      <c r="K315" s="243"/>
      <c r="L315" s="243"/>
      <c r="M315" s="244"/>
      <c r="N315" s="245" t="s">
        <v>257</v>
      </c>
      <c r="O315" s="246"/>
      <c r="P315" s="203" t="s">
        <v>257</v>
      </c>
      <c r="Q315" s="210" t="s">
        <v>257</v>
      </c>
      <c r="R315" s="243" t="s">
        <v>257</v>
      </c>
      <c r="S315" s="247"/>
    </row>
    <row r="316" spans="1:19" x14ac:dyDescent="0.2">
      <c r="A316" s="242"/>
      <c r="B316" s="243"/>
      <c r="C316" s="243"/>
      <c r="D316" s="243"/>
      <c r="E316" s="243"/>
      <c r="F316" s="243"/>
      <c r="G316" s="244"/>
      <c r="H316" s="243"/>
      <c r="I316" s="243"/>
      <c r="J316" s="243"/>
      <c r="K316" s="243"/>
      <c r="L316" s="243"/>
      <c r="M316" s="244"/>
      <c r="N316" s="245" t="s">
        <v>257</v>
      </c>
      <c r="O316" s="246"/>
      <c r="P316" s="203" t="s">
        <v>257</v>
      </c>
      <c r="Q316" s="210" t="s">
        <v>257</v>
      </c>
      <c r="R316" s="243" t="s">
        <v>257</v>
      </c>
      <c r="S316" s="247"/>
    </row>
    <row r="317" spans="1:19" x14ac:dyDescent="0.2">
      <c r="A317" s="242"/>
      <c r="B317" s="243"/>
      <c r="C317" s="243"/>
      <c r="D317" s="243"/>
      <c r="E317" s="243"/>
      <c r="F317" s="243"/>
      <c r="G317" s="244"/>
      <c r="H317" s="243"/>
      <c r="I317" s="243"/>
      <c r="J317" s="243"/>
      <c r="K317" s="243"/>
      <c r="L317" s="243"/>
      <c r="M317" s="244"/>
      <c r="N317" s="245" t="s">
        <v>257</v>
      </c>
      <c r="O317" s="246"/>
      <c r="P317" s="203" t="s">
        <v>257</v>
      </c>
      <c r="Q317" s="210" t="s">
        <v>257</v>
      </c>
      <c r="R317" s="243" t="s">
        <v>257</v>
      </c>
      <c r="S317" s="247"/>
    </row>
    <row r="318" spans="1:19" x14ac:dyDescent="0.2">
      <c r="A318" s="242"/>
      <c r="B318" s="243"/>
      <c r="C318" s="243"/>
      <c r="D318" s="243"/>
      <c r="E318" s="243"/>
      <c r="F318" s="243"/>
      <c r="G318" s="244"/>
      <c r="H318" s="243"/>
      <c r="I318" s="243"/>
      <c r="J318" s="243"/>
      <c r="K318" s="243"/>
      <c r="L318" s="243"/>
      <c r="M318" s="244"/>
      <c r="N318" s="245" t="s">
        <v>257</v>
      </c>
      <c r="O318" s="246"/>
      <c r="P318" s="203" t="s">
        <v>257</v>
      </c>
      <c r="Q318" s="210" t="s">
        <v>257</v>
      </c>
      <c r="R318" s="243" t="s">
        <v>257</v>
      </c>
      <c r="S318" s="247"/>
    </row>
    <row r="319" spans="1:19" x14ac:dyDescent="0.2">
      <c r="A319" s="242"/>
      <c r="B319" s="243"/>
      <c r="C319" s="243"/>
      <c r="D319" s="243"/>
      <c r="E319" s="243"/>
      <c r="F319" s="243"/>
      <c r="G319" s="244"/>
      <c r="H319" s="243"/>
      <c r="I319" s="243"/>
      <c r="J319" s="243"/>
      <c r="K319" s="243"/>
      <c r="L319" s="243"/>
      <c r="M319" s="244"/>
      <c r="N319" s="245" t="s">
        <v>257</v>
      </c>
      <c r="O319" s="246"/>
      <c r="P319" s="203" t="s">
        <v>257</v>
      </c>
      <c r="Q319" s="210" t="s">
        <v>257</v>
      </c>
      <c r="R319" s="243" t="s">
        <v>257</v>
      </c>
      <c r="S319" s="247"/>
    </row>
    <row r="320" spans="1:19" x14ac:dyDescent="0.2">
      <c r="A320" s="242"/>
      <c r="B320" s="243"/>
      <c r="C320" s="243"/>
      <c r="D320" s="243"/>
      <c r="E320" s="243"/>
      <c r="F320" s="243"/>
      <c r="G320" s="244"/>
      <c r="H320" s="243"/>
      <c r="I320" s="243"/>
      <c r="J320" s="243"/>
      <c r="K320" s="243"/>
      <c r="L320" s="243"/>
      <c r="M320" s="244"/>
      <c r="N320" s="245" t="s">
        <v>257</v>
      </c>
      <c r="O320" s="246"/>
      <c r="P320" s="203" t="s">
        <v>257</v>
      </c>
      <c r="Q320" s="210" t="s">
        <v>257</v>
      </c>
      <c r="R320" s="243" t="s">
        <v>257</v>
      </c>
      <c r="S320" s="247"/>
    </row>
    <row r="321" spans="1:19" x14ac:dyDescent="0.2">
      <c r="A321" s="242"/>
      <c r="B321" s="243"/>
      <c r="C321" s="243"/>
      <c r="D321" s="243"/>
      <c r="E321" s="243"/>
      <c r="F321" s="243"/>
      <c r="G321" s="244"/>
      <c r="H321" s="243"/>
      <c r="I321" s="243"/>
      <c r="J321" s="243"/>
      <c r="K321" s="243"/>
      <c r="L321" s="243"/>
      <c r="M321" s="244"/>
      <c r="N321" s="245" t="s">
        <v>257</v>
      </c>
      <c r="O321" s="246"/>
      <c r="P321" s="203" t="s">
        <v>257</v>
      </c>
      <c r="Q321" s="210" t="s">
        <v>257</v>
      </c>
      <c r="R321" s="243" t="s">
        <v>257</v>
      </c>
      <c r="S321" s="247"/>
    </row>
    <row r="322" spans="1:19" x14ac:dyDescent="0.2">
      <c r="A322" s="242"/>
      <c r="B322" s="243"/>
      <c r="C322" s="243"/>
      <c r="D322" s="243"/>
      <c r="E322" s="243"/>
      <c r="F322" s="243"/>
      <c r="G322" s="244"/>
      <c r="H322" s="243"/>
      <c r="I322" s="243"/>
      <c r="J322" s="243"/>
      <c r="K322" s="243"/>
      <c r="L322" s="243"/>
      <c r="M322" s="244"/>
      <c r="N322" s="245" t="s">
        <v>257</v>
      </c>
      <c r="O322" s="246"/>
      <c r="P322" s="203" t="s">
        <v>257</v>
      </c>
      <c r="Q322" s="210" t="s">
        <v>257</v>
      </c>
      <c r="R322" s="243" t="s">
        <v>257</v>
      </c>
      <c r="S322" s="247"/>
    </row>
    <row r="323" spans="1:19" x14ac:dyDescent="0.2">
      <c r="A323" s="242"/>
      <c r="B323" s="243"/>
      <c r="C323" s="243"/>
      <c r="D323" s="243"/>
      <c r="E323" s="243"/>
      <c r="F323" s="243"/>
      <c r="G323" s="244"/>
      <c r="H323" s="243"/>
      <c r="I323" s="243"/>
      <c r="J323" s="243"/>
      <c r="K323" s="243"/>
      <c r="L323" s="243"/>
      <c r="M323" s="244"/>
      <c r="N323" s="245" t="s">
        <v>257</v>
      </c>
      <c r="O323" s="246"/>
      <c r="P323" s="203" t="s">
        <v>257</v>
      </c>
      <c r="Q323" s="210" t="s">
        <v>257</v>
      </c>
      <c r="R323" s="243" t="s">
        <v>257</v>
      </c>
      <c r="S323" s="247"/>
    </row>
    <row r="324" spans="1:19" x14ac:dyDescent="0.2">
      <c r="A324" s="242"/>
      <c r="B324" s="243"/>
      <c r="C324" s="243"/>
      <c r="D324" s="243"/>
      <c r="E324" s="243"/>
      <c r="F324" s="243"/>
      <c r="G324" s="244"/>
      <c r="H324" s="243"/>
      <c r="I324" s="243"/>
      <c r="J324" s="243"/>
      <c r="K324" s="243"/>
      <c r="L324" s="243"/>
      <c r="M324" s="244"/>
      <c r="N324" s="245" t="s">
        <v>257</v>
      </c>
      <c r="O324" s="246"/>
      <c r="P324" s="203" t="s">
        <v>257</v>
      </c>
      <c r="Q324" s="210" t="s">
        <v>257</v>
      </c>
      <c r="R324" s="243" t="s">
        <v>257</v>
      </c>
      <c r="S324" s="247"/>
    </row>
    <row r="325" spans="1:19" x14ac:dyDescent="0.2">
      <c r="A325" s="242"/>
      <c r="B325" s="243"/>
      <c r="C325" s="243"/>
      <c r="D325" s="243"/>
      <c r="E325" s="243"/>
      <c r="F325" s="243"/>
      <c r="G325" s="244"/>
      <c r="H325" s="243"/>
      <c r="I325" s="243"/>
      <c r="J325" s="243"/>
      <c r="K325" s="243"/>
      <c r="L325" s="243"/>
      <c r="M325" s="244"/>
      <c r="N325" s="245" t="s">
        <v>257</v>
      </c>
      <c r="O325" s="246"/>
      <c r="P325" s="203" t="s">
        <v>257</v>
      </c>
      <c r="Q325" s="210" t="s">
        <v>257</v>
      </c>
      <c r="R325" s="243" t="s">
        <v>257</v>
      </c>
      <c r="S325" s="247"/>
    </row>
    <row r="326" spans="1:19" x14ac:dyDescent="0.2">
      <c r="A326" s="242"/>
      <c r="B326" s="243"/>
      <c r="C326" s="243"/>
      <c r="D326" s="243"/>
      <c r="E326" s="243"/>
      <c r="F326" s="243"/>
      <c r="G326" s="244"/>
      <c r="H326" s="243"/>
      <c r="I326" s="243"/>
      <c r="J326" s="243"/>
      <c r="K326" s="243"/>
      <c r="L326" s="243"/>
      <c r="M326" s="244"/>
      <c r="N326" s="245" t="s">
        <v>257</v>
      </c>
      <c r="O326" s="246"/>
      <c r="P326" s="203" t="s">
        <v>257</v>
      </c>
      <c r="Q326" s="210" t="s">
        <v>257</v>
      </c>
      <c r="R326" s="243" t="s">
        <v>257</v>
      </c>
      <c r="S326" s="247"/>
    </row>
    <row r="327" spans="1:19" x14ac:dyDescent="0.2">
      <c r="A327" s="242"/>
      <c r="B327" s="243"/>
      <c r="C327" s="243"/>
      <c r="D327" s="243"/>
      <c r="E327" s="243"/>
      <c r="F327" s="243"/>
      <c r="G327" s="244"/>
      <c r="H327" s="243"/>
      <c r="I327" s="243"/>
      <c r="J327" s="243"/>
      <c r="K327" s="243"/>
      <c r="L327" s="243"/>
      <c r="M327" s="244"/>
      <c r="N327" s="245" t="s">
        <v>257</v>
      </c>
      <c r="O327" s="246"/>
      <c r="P327" s="203" t="s">
        <v>257</v>
      </c>
      <c r="Q327" s="210" t="s">
        <v>257</v>
      </c>
      <c r="R327" s="243" t="s">
        <v>257</v>
      </c>
      <c r="S327" s="247"/>
    </row>
    <row r="328" spans="1:19" x14ac:dyDescent="0.2">
      <c r="A328" s="242"/>
      <c r="B328" s="243"/>
      <c r="C328" s="243"/>
      <c r="D328" s="243"/>
      <c r="E328" s="243"/>
      <c r="F328" s="243"/>
      <c r="G328" s="244"/>
      <c r="H328" s="243"/>
      <c r="I328" s="243"/>
      <c r="J328" s="243"/>
      <c r="K328" s="243"/>
      <c r="L328" s="243"/>
      <c r="M328" s="244"/>
      <c r="N328" s="245" t="s">
        <v>257</v>
      </c>
      <c r="O328" s="246"/>
      <c r="P328" s="203" t="s">
        <v>257</v>
      </c>
      <c r="Q328" s="210" t="s">
        <v>257</v>
      </c>
      <c r="R328" s="243" t="s">
        <v>257</v>
      </c>
      <c r="S328" s="247"/>
    </row>
    <row r="329" spans="1:19" x14ac:dyDescent="0.2">
      <c r="A329" s="242"/>
      <c r="B329" s="243"/>
      <c r="C329" s="243"/>
      <c r="D329" s="243"/>
      <c r="E329" s="243"/>
      <c r="F329" s="243"/>
      <c r="G329" s="244"/>
      <c r="H329" s="243"/>
      <c r="I329" s="243"/>
      <c r="J329" s="243"/>
      <c r="K329" s="243"/>
      <c r="L329" s="243"/>
      <c r="M329" s="244"/>
      <c r="N329" s="245" t="s">
        <v>257</v>
      </c>
      <c r="O329" s="246"/>
      <c r="P329" s="203" t="s">
        <v>257</v>
      </c>
      <c r="Q329" s="210" t="s">
        <v>257</v>
      </c>
      <c r="R329" s="243" t="s">
        <v>257</v>
      </c>
      <c r="S329" s="247"/>
    </row>
    <row r="330" spans="1:19" x14ac:dyDescent="0.2">
      <c r="A330" s="242"/>
      <c r="B330" s="243"/>
      <c r="C330" s="243"/>
      <c r="D330" s="243"/>
      <c r="E330" s="243"/>
      <c r="F330" s="243"/>
      <c r="G330" s="244"/>
      <c r="H330" s="243"/>
      <c r="I330" s="243"/>
      <c r="J330" s="243"/>
      <c r="K330" s="243"/>
      <c r="L330" s="243"/>
      <c r="M330" s="244"/>
      <c r="N330" s="245" t="s">
        <v>257</v>
      </c>
      <c r="O330" s="246"/>
      <c r="P330" s="203" t="s">
        <v>257</v>
      </c>
      <c r="Q330" s="210" t="s">
        <v>257</v>
      </c>
      <c r="R330" s="243" t="s">
        <v>257</v>
      </c>
      <c r="S330" s="247"/>
    </row>
    <row r="331" spans="1:19" x14ac:dyDescent="0.2">
      <c r="A331" s="242"/>
      <c r="B331" s="243"/>
      <c r="C331" s="243"/>
      <c r="D331" s="243"/>
      <c r="E331" s="243"/>
      <c r="F331" s="243"/>
      <c r="G331" s="244"/>
      <c r="H331" s="243"/>
      <c r="I331" s="243"/>
      <c r="J331" s="243"/>
      <c r="K331" s="243"/>
      <c r="L331" s="243"/>
      <c r="M331" s="244"/>
      <c r="N331" s="245" t="s">
        <v>257</v>
      </c>
      <c r="O331" s="246"/>
      <c r="P331" s="203" t="s">
        <v>257</v>
      </c>
      <c r="Q331" s="210" t="s">
        <v>257</v>
      </c>
      <c r="R331" s="243" t="s">
        <v>257</v>
      </c>
      <c r="S331" s="247"/>
    </row>
    <row r="332" spans="1:19" x14ac:dyDescent="0.2">
      <c r="A332" s="242"/>
      <c r="B332" s="243"/>
      <c r="C332" s="243"/>
      <c r="D332" s="243"/>
      <c r="E332" s="243"/>
      <c r="F332" s="243"/>
      <c r="G332" s="244"/>
      <c r="H332" s="243"/>
      <c r="I332" s="243"/>
      <c r="J332" s="243"/>
      <c r="K332" s="243"/>
      <c r="L332" s="243"/>
      <c r="M332" s="244"/>
      <c r="N332" s="245" t="s">
        <v>257</v>
      </c>
      <c r="O332" s="246"/>
      <c r="P332" s="203" t="s">
        <v>257</v>
      </c>
      <c r="Q332" s="210" t="s">
        <v>257</v>
      </c>
      <c r="R332" s="243" t="s">
        <v>257</v>
      </c>
      <c r="S332" s="247"/>
    </row>
    <row r="333" spans="1:19" x14ac:dyDescent="0.2">
      <c r="A333" s="242"/>
      <c r="B333" s="243"/>
      <c r="C333" s="243"/>
      <c r="D333" s="243"/>
      <c r="E333" s="243"/>
      <c r="F333" s="243"/>
      <c r="G333" s="244"/>
      <c r="H333" s="243"/>
      <c r="I333" s="243"/>
      <c r="J333" s="243"/>
      <c r="K333" s="243"/>
      <c r="L333" s="243"/>
      <c r="M333" s="244"/>
      <c r="N333" s="245" t="s">
        <v>257</v>
      </c>
      <c r="O333" s="246"/>
      <c r="P333" s="203" t="s">
        <v>257</v>
      </c>
      <c r="Q333" s="210" t="s">
        <v>257</v>
      </c>
      <c r="R333" s="243" t="s">
        <v>257</v>
      </c>
      <c r="S333" s="247"/>
    </row>
    <row r="334" spans="1:19" x14ac:dyDescent="0.2">
      <c r="A334" s="242"/>
      <c r="B334" s="243"/>
      <c r="C334" s="243"/>
      <c r="D334" s="243"/>
      <c r="E334" s="243"/>
      <c r="F334" s="243"/>
      <c r="G334" s="244"/>
      <c r="H334" s="243"/>
      <c r="I334" s="243"/>
      <c r="J334" s="243"/>
      <c r="K334" s="243"/>
      <c r="L334" s="243"/>
      <c r="M334" s="244"/>
      <c r="N334" s="245" t="s">
        <v>257</v>
      </c>
      <c r="O334" s="246"/>
      <c r="P334" s="203" t="s">
        <v>257</v>
      </c>
      <c r="Q334" s="210" t="s">
        <v>257</v>
      </c>
      <c r="R334" s="243" t="s">
        <v>257</v>
      </c>
      <c r="S334" s="247"/>
    </row>
    <row r="335" spans="1:19" x14ac:dyDescent="0.2">
      <c r="A335" s="242"/>
      <c r="B335" s="243"/>
      <c r="C335" s="243"/>
      <c r="D335" s="243"/>
      <c r="E335" s="243"/>
      <c r="F335" s="243"/>
      <c r="G335" s="244"/>
      <c r="H335" s="243"/>
      <c r="I335" s="243"/>
      <c r="J335" s="243"/>
      <c r="K335" s="243"/>
      <c r="L335" s="243"/>
      <c r="M335" s="244"/>
      <c r="N335" s="245" t="s">
        <v>257</v>
      </c>
      <c r="O335" s="246"/>
      <c r="P335" s="203" t="s">
        <v>257</v>
      </c>
      <c r="Q335" s="210" t="s">
        <v>257</v>
      </c>
      <c r="R335" s="243" t="s">
        <v>257</v>
      </c>
      <c r="S335" s="247"/>
    </row>
    <row r="336" spans="1:19" x14ac:dyDescent="0.2">
      <c r="A336" s="242"/>
      <c r="B336" s="243"/>
      <c r="C336" s="243"/>
      <c r="D336" s="243"/>
      <c r="E336" s="243"/>
      <c r="F336" s="243"/>
      <c r="G336" s="244"/>
      <c r="H336" s="243"/>
      <c r="I336" s="243"/>
      <c r="J336" s="243"/>
      <c r="K336" s="243"/>
      <c r="L336" s="243"/>
      <c r="M336" s="244"/>
      <c r="N336" s="245" t="s">
        <v>257</v>
      </c>
      <c r="O336" s="246"/>
      <c r="P336" s="203" t="s">
        <v>257</v>
      </c>
      <c r="Q336" s="210" t="s">
        <v>257</v>
      </c>
      <c r="R336" s="243" t="s">
        <v>257</v>
      </c>
      <c r="S336" s="247"/>
    </row>
    <row r="337" spans="1:19" x14ac:dyDescent="0.2">
      <c r="A337" s="242"/>
      <c r="B337" s="243"/>
      <c r="C337" s="243"/>
      <c r="D337" s="243"/>
      <c r="E337" s="243"/>
      <c r="F337" s="243"/>
      <c r="G337" s="244"/>
      <c r="H337" s="243"/>
      <c r="I337" s="243"/>
      <c r="J337" s="243"/>
      <c r="K337" s="243"/>
      <c r="L337" s="243"/>
      <c r="M337" s="244"/>
      <c r="N337" s="245" t="s">
        <v>257</v>
      </c>
      <c r="O337" s="246"/>
      <c r="P337" s="203" t="s">
        <v>257</v>
      </c>
      <c r="Q337" s="210" t="s">
        <v>257</v>
      </c>
      <c r="R337" s="243" t="s">
        <v>257</v>
      </c>
      <c r="S337" s="247"/>
    </row>
    <row r="338" spans="1:19" x14ac:dyDescent="0.2">
      <c r="A338" s="242"/>
      <c r="B338" s="243"/>
      <c r="C338" s="243"/>
      <c r="D338" s="243"/>
      <c r="E338" s="243"/>
      <c r="F338" s="243"/>
      <c r="G338" s="244"/>
      <c r="H338" s="243"/>
      <c r="I338" s="243"/>
      <c r="J338" s="243"/>
      <c r="K338" s="243"/>
      <c r="L338" s="243"/>
      <c r="M338" s="244"/>
      <c r="N338" s="245" t="s">
        <v>257</v>
      </c>
      <c r="O338" s="246"/>
      <c r="P338" s="203" t="s">
        <v>257</v>
      </c>
      <c r="Q338" s="210" t="s">
        <v>257</v>
      </c>
      <c r="R338" s="243" t="s">
        <v>257</v>
      </c>
      <c r="S338" s="247"/>
    </row>
    <row r="339" spans="1:19" x14ac:dyDescent="0.2">
      <c r="A339" s="242"/>
      <c r="B339" s="243"/>
      <c r="C339" s="243"/>
      <c r="D339" s="243"/>
      <c r="E339" s="243"/>
      <c r="F339" s="243"/>
      <c r="G339" s="244"/>
      <c r="H339" s="243"/>
      <c r="I339" s="243"/>
      <c r="J339" s="243"/>
      <c r="K339" s="243"/>
      <c r="L339" s="243"/>
      <c r="M339" s="244"/>
      <c r="N339" s="245" t="s">
        <v>257</v>
      </c>
      <c r="O339" s="246"/>
      <c r="P339" s="203" t="s">
        <v>257</v>
      </c>
      <c r="Q339" s="210" t="s">
        <v>257</v>
      </c>
      <c r="R339" s="243" t="s">
        <v>257</v>
      </c>
      <c r="S339" s="247"/>
    </row>
    <row r="340" spans="1:19" x14ac:dyDescent="0.2">
      <c r="A340" s="242"/>
      <c r="B340" s="243"/>
      <c r="C340" s="243"/>
      <c r="D340" s="243"/>
      <c r="E340" s="243"/>
      <c r="F340" s="243"/>
      <c r="G340" s="244"/>
      <c r="H340" s="243"/>
      <c r="I340" s="243"/>
      <c r="J340" s="243"/>
      <c r="K340" s="243"/>
      <c r="L340" s="243"/>
      <c r="M340" s="244"/>
      <c r="N340" s="245" t="s">
        <v>257</v>
      </c>
      <c r="O340" s="246"/>
      <c r="P340" s="203" t="s">
        <v>257</v>
      </c>
      <c r="Q340" s="210" t="s">
        <v>257</v>
      </c>
      <c r="R340" s="243" t="s">
        <v>257</v>
      </c>
      <c r="S340" s="247"/>
    </row>
    <row r="341" spans="1:19" x14ac:dyDescent="0.2">
      <c r="A341" s="242"/>
      <c r="B341" s="243"/>
      <c r="C341" s="243"/>
      <c r="D341" s="243"/>
      <c r="E341" s="243"/>
      <c r="F341" s="243"/>
      <c r="G341" s="244"/>
      <c r="H341" s="243"/>
      <c r="I341" s="243"/>
      <c r="J341" s="243"/>
      <c r="K341" s="243"/>
      <c r="L341" s="243"/>
      <c r="M341" s="244"/>
      <c r="N341" s="245" t="s">
        <v>257</v>
      </c>
      <c r="O341" s="246"/>
      <c r="P341" s="203" t="s">
        <v>257</v>
      </c>
      <c r="Q341" s="210" t="s">
        <v>257</v>
      </c>
      <c r="R341" s="243" t="s">
        <v>257</v>
      </c>
      <c r="S341" s="247"/>
    </row>
    <row r="342" spans="1:19" x14ac:dyDescent="0.2">
      <c r="A342" s="242"/>
      <c r="B342" s="243"/>
      <c r="C342" s="243"/>
      <c r="D342" s="243"/>
      <c r="E342" s="243"/>
      <c r="F342" s="243"/>
      <c r="G342" s="244"/>
      <c r="H342" s="243"/>
      <c r="I342" s="243"/>
      <c r="J342" s="243"/>
      <c r="K342" s="243"/>
      <c r="L342" s="243"/>
      <c r="M342" s="244"/>
      <c r="N342" s="245" t="s">
        <v>257</v>
      </c>
      <c r="O342" s="246"/>
      <c r="P342" s="203" t="s">
        <v>257</v>
      </c>
      <c r="Q342" s="210" t="s">
        <v>257</v>
      </c>
      <c r="R342" s="243" t="s">
        <v>257</v>
      </c>
      <c r="S342" s="247"/>
    </row>
    <row r="343" spans="1:19" x14ac:dyDescent="0.2">
      <c r="A343" s="242"/>
      <c r="B343" s="243"/>
      <c r="C343" s="243"/>
      <c r="D343" s="243"/>
      <c r="E343" s="243"/>
      <c r="F343" s="243"/>
      <c r="G343" s="244"/>
      <c r="H343" s="243"/>
      <c r="I343" s="243"/>
      <c r="J343" s="243"/>
      <c r="K343" s="243"/>
      <c r="L343" s="243"/>
      <c r="M343" s="244"/>
      <c r="N343" s="245" t="s">
        <v>257</v>
      </c>
      <c r="O343" s="246"/>
      <c r="P343" s="203" t="s">
        <v>257</v>
      </c>
      <c r="Q343" s="210" t="s">
        <v>257</v>
      </c>
      <c r="R343" s="243" t="s">
        <v>257</v>
      </c>
      <c r="S343" s="247"/>
    </row>
    <row r="344" spans="1:19" x14ac:dyDescent="0.2">
      <c r="A344" s="242"/>
      <c r="B344" s="243"/>
      <c r="C344" s="243"/>
      <c r="D344" s="243"/>
      <c r="E344" s="243"/>
      <c r="F344" s="243"/>
      <c r="G344" s="244"/>
      <c r="H344" s="243"/>
      <c r="I344" s="243"/>
      <c r="J344" s="243"/>
      <c r="K344" s="243"/>
      <c r="L344" s="243"/>
      <c r="M344" s="244"/>
      <c r="N344" s="245" t="s">
        <v>257</v>
      </c>
      <c r="O344" s="246"/>
      <c r="P344" s="203" t="s">
        <v>257</v>
      </c>
      <c r="Q344" s="210" t="s">
        <v>257</v>
      </c>
      <c r="R344" s="243" t="s">
        <v>257</v>
      </c>
      <c r="S344" s="247"/>
    </row>
    <row r="345" spans="1:19" x14ac:dyDescent="0.2">
      <c r="A345" s="242"/>
      <c r="B345" s="243"/>
      <c r="C345" s="243"/>
      <c r="D345" s="243"/>
      <c r="E345" s="243"/>
      <c r="F345" s="243"/>
      <c r="G345" s="244"/>
      <c r="H345" s="243"/>
      <c r="I345" s="243"/>
      <c r="J345" s="243"/>
      <c r="K345" s="243"/>
      <c r="L345" s="243"/>
      <c r="M345" s="244"/>
      <c r="N345" s="245" t="s">
        <v>257</v>
      </c>
      <c r="O345" s="246"/>
      <c r="P345" s="203" t="s">
        <v>257</v>
      </c>
      <c r="Q345" s="210" t="s">
        <v>257</v>
      </c>
      <c r="R345" s="243" t="s">
        <v>257</v>
      </c>
      <c r="S345" s="247"/>
    </row>
    <row r="346" spans="1:19" x14ac:dyDescent="0.2">
      <c r="A346" s="242"/>
      <c r="B346" s="243"/>
      <c r="C346" s="243"/>
      <c r="D346" s="243"/>
      <c r="E346" s="243"/>
      <c r="F346" s="243"/>
      <c r="G346" s="244"/>
      <c r="H346" s="243"/>
      <c r="I346" s="243"/>
      <c r="J346" s="243"/>
      <c r="K346" s="243"/>
      <c r="L346" s="243"/>
      <c r="M346" s="244"/>
      <c r="N346" s="245" t="s">
        <v>257</v>
      </c>
      <c r="O346" s="246"/>
      <c r="P346" s="203" t="s">
        <v>257</v>
      </c>
      <c r="Q346" s="210" t="s">
        <v>257</v>
      </c>
      <c r="R346" s="243" t="s">
        <v>257</v>
      </c>
      <c r="S346" s="247"/>
    </row>
    <row r="347" spans="1:19" x14ac:dyDescent="0.2">
      <c r="A347" s="242"/>
      <c r="B347" s="243"/>
      <c r="C347" s="243"/>
      <c r="D347" s="243"/>
      <c r="E347" s="243"/>
      <c r="F347" s="243"/>
      <c r="G347" s="244"/>
      <c r="H347" s="243"/>
      <c r="I347" s="243"/>
      <c r="J347" s="243"/>
      <c r="K347" s="243"/>
      <c r="L347" s="243"/>
      <c r="M347" s="244"/>
      <c r="N347" s="245" t="s">
        <v>257</v>
      </c>
      <c r="O347" s="246"/>
      <c r="P347" s="203" t="s">
        <v>257</v>
      </c>
      <c r="Q347" s="210" t="s">
        <v>257</v>
      </c>
      <c r="R347" s="243" t="s">
        <v>257</v>
      </c>
      <c r="S347" s="247"/>
    </row>
    <row r="348" spans="1:19" x14ac:dyDescent="0.2">
      <c r="A348" s="242"/>
      <c r="B348" s="243"/>
      <c r="C348" s="243"/>
      <c r="D348" s="243"/>
      <c r="E348" s="243"/>
      <c r="F348" s="243"/>
      <c r="G348" s="244"/>
      <c r="H348" s="243"/>
      <c r="I348" s="243"/>
      <c r="J348" s="243"/>
      <c r="K348" s="243"/>
      <c r="L348" s="243"/>
      <c r="M348" s="244"/>
      <c r="N348" s="245" t="s">
        <v>257</v>
      </c>
      <c r="O348" s="246"/>
      <c r="P348" s="203" t="s">
        <v>257</v>
      </c>
      <c r="Q348" s="210" t="s">
        <v>257</v>
      </c>
      <c r="R348" s="243" t="s">
        <v>257</v>
      </c>
      <c r="S348" s="247"/>
    </row>
    <row r="349" spans="1:19" x14ac:dyDescent="0.2">
      <c r="A349" s="242"/>
      <c r="B349" s="243"/>
      <c r="C349" s="243"/>
      <c r="D349" s="243"/>
      <c r="E349" s="243"/>
      <c r="F349" s="243"/>
      <c r="G349" s="244"/>
      <c r="H349" s="243"/>
      <c r="I349" s="243"/>
      <c r="J349" s="243"/>
      <c r="K349" s="243"/>
      <c r="L349" s="243"/>
      <c r="M349" s="244"/>
      <c r="N349" s="245" t="s">
        <v>257</v>
      </c>
      <c r="O349" s="246"/>
      <c r="P349" s="203" t="s">
        <v>257</v>
      </c>
      <c r="Q349" s="210" t="s">
        <v>257</v>
      </c>
      <c r="R349" s="243" t="s">
        <v>257</v>
      </c>
      <c r="S349" s="247"/>
    </row>
    <row r="350" spans="1:19" x14ac:dyDescent="0.2">
      <c r="A350" s="242"/>
      <c r="B350" s="243"/>
      <c r="C350" s="243"/>
      <c r="D350" s="243"/>
      <c r="E350" s="243"/>
      <c r="F350" s="243"/>
      <c r="G350" s="244"/>
      <c r="H350" s="243"/>
      <c r="I350" s="243"/>
      <c r="J350" s="243"/>
      <c r="K350" s="243"/>
      <c r="L350" s="243"/>
      <c r="M350" s="244"/>
      <c r="N350" s="245" t="s">
        <v>257</v>
      </c>
      <c r="O350" s="246"/>
      <c r="P350" s="203" t="s">
        <v>257</v>
      </c>
      <c r="Q350" s="210" t="s">
        <v>257</v>
      </c>
      <c r="R350" s="243" t="s">
        <v>257</v>
      </c>
      <c r="S350" s="247"/>
    </row>
    <row r="351" spans="1:19" x14ac:dyDescent="0.2">
      <c r="A351" s="242"/>
      <c r="B351" s="243"/>
      <c r="C351" s="243"/>
      <c r="D351" s="243"/>
      <c r="E351" s="243"/>
      <c r="F351" s="243"/>
      <c r="G351" s="244"/>
      <c r="H351" s="243"/>
      <c r="I351" s="243"/>
      <c r="J351" s="243"/>
      <c r="K351" s="243"/>
      <c r="L351" s="243"/>
      <c r="M351" s="244"/>
      <c r="N351" s="245" t="s">
        <v>257</v>
      </c>
      <c r="O351" s="246"/>
      <c r="P351" s="203" t="s">
        <v>257</v>
      </c>
      <c r="Q351" s="210" t="s">
        <v>257</v>
      </c>
      <c r="R351" s="243" t="s">
        <v>257</v>
      </c>
      <c r="S351" s="247"/>
    </row>
    <row r="352" spans="1:19" x14ac:dyDescent="0.2">
      <c r="A352" s="242"/>
      <c r="B352" s="243"/>
      <c r="C352" s="243"/>
      <c r="D352" s="243"/>
      <c r="E352" s="243"/>
      <c r="F352" s="243"/>
      <c r="G352" s="244"/>
      <c r="H352" s="243"/>
      <c r="I352" s="243"/>
      <c r="J352" s="243"/>
      <c r="K352" s="243"/>
      <c r="L352" s="243"/>
      <c r="M352" s="244"/>
      <c r="N352" s="245" t="s">
        <v>257</v>
      </c>
      <c r="O352" s="246"/>
      <c r="P352" s="203" t="s">
        <v>257</v>
      </c>
      <c r="Q352" s="210" t="s">
        <v>257</v>
      </c>
      <c r="R352" s="243" t="s">
        <v>257</v>
      </c>
      <c r="S352" s="247"/>
    </row>
    <row r="353" spans="1:19" x14ac:dyDescent="0.2">
      <c r="A353" s="242"/>
      <c r="B353" s="243"/>
      <c r="C353" s="243"/>
      <c r="D353" s="243"/>
      <c r="E353" s="243"/>
      <c r="F353" s="243"/>
      <c r="G353" s="244"/>
      <c r="H353" s="243"/>
      <c r="I353" s="243"/>
      <c r="J353" s="243"/>
      <c r="K353" s="243"/>
      <c r="L353" s="243"/>
      <c r="M353" s="244"/>
      <c r="N353" s="245" t="s">
        <v>257</v>
      </c>
      <c r="O353" s="246"/>
      <c r="P353" s="203" t="s">
        <v>257</v>
      </c>
      <c r="Q353" s="210" t="s">
        <v>257</v>
      </c>
      <c r="R353" s="243" t="s">
        <v>257</v>
      </c>
      <c r="S353" s="247"/>
    </row>
    <row r="354" spans="1:19" x14ac:dyDescent="0.2">
      <c r="A354" s="242"/>
      <c r="B354" s="243"/>
      <c r="C354" s="243"/>
      <c r="D354" s="243"/>
      <c r="E354" s="243"/>
      <c r="F354" s="243"/>
      <c r="G354" s="244"/>
      <c r="H354" s="243"/>
      <c r="I354" s="243"/>
      <c r="J354" s="243"/>
      <c r="K354" s="243"/>
      <c r="L354" s="243"/>
      <c r="M354" s="244"/>
      <c r="N354" s="245" t="s">
        <v>257</v>
      </c>
      <c r="O354" s="246"/>
      <c r="P354" s="203" t="s">
        <v>257</v>
      </c>
      <c r="Q354" s="210" t="s">
        <v>257</v>
      </c>
      <c r="R354" s="243" t="s">
        <v>257</v>
      </c>
      <c r="S354" s="247"/>
    </row>
    <row r="355" spans="1:19" x14ac:dyDescent="0.2">
      <c r="A355" s="242"/>
      <c r="B355" s="243"/>
      <c r="C355" s="243"/>
      <c r="D355" s="243"/>
      <c r="E355" s="243"/>
      <c r="F355" s="243"/>
      <c r="G355" s="244"/>
      <c r="H355" s="243"/>
      <c r="I355" s="243"/>
      <c r="J355" s="243"/>
      <c r="K355" s="243"/>
      <c r="L355" s="243"/>
      <c r="M355" s="244"/>
      <c r="N355" s="245" t="s">
        <v>257</v>
      </c>
      <c r="O355" s="246"/>
      <c r="P355" s="203" t="s">
        <v>257</v>
      </c>
      <c r="Q355" s="210" t="s">
        <v>257</v>
      </c>
      <c r="R355" s="243" t="s">
        <v>257</v>
      </c>
      <c r="S355" s="247"/>
    </row>
    <row r="356" spans="1:19" x14ac:dyDescent="0.2">
      <c r="A356" s="242"/>
      <c r="B356" s="243"/>
      <c r="C356" s="243"/>
      <c r="D356" s="243"/>
      <c r="E356" s="243"/>
      <c r="F356" s="243"/>
      <c r="G356" s="244"/>
      <c r="H356" s="243"/>
      <c r="I356" s="243"/>
      <c r="J356" s="243"/>
      <c r="K356" s="243"/>
      <c r="L356" s="243"/>
      <c r="M356" s="244"/>
      <c r="N356" s="245" t="s">
        <v>257</v>
      </c>
      <c r="O356" s="246"/>
      <c r="P356" s="203" t="s">
        <v>257</v>
      </c>
      <c r="Q356" s="210" t="s">
        <v>257</v>
      </c>
      <c r="R356" s="243" t="s">
        <v>257</v>
      </c>
      <c r="S356" s="247"/>
    </row>
    <row r="357" spans="1:19" x14ac:dyDescent="0.2">
      <c r="A357" s="242"/>
      <c r="B357" s="243"/>
      <c r="C357" s="243"/>
      <c r="D357" s="243"/>
      <c r="E357" s="243"/>
      <c r="F357" s="243"/>
      <c r="G357" s="244"/>
      <c r="H357" s="243"/>
      <c r="I357" s="243"/>
      <c r="J357" s="243"/>
      <c r="K357" s="243"/>
      <c r="L357" s="243"/>
      <c r="M357" s="244"/>
      <c r="N357" s="245" t="s">
        <v>257</v>
      </c>
      <c r="O357" s="246"/>
      <c r="P357" s="203" t="s">
        <v>257</v>
      </c>
      <c r="Q357" s="210" t="s">
        <v>257</v>
      </c>
      <c r="R357" s="243" t="s">
        <v>257</v>
      </c>
      <c r="S357" s="247"/>
    </row>
    <row r="358" spans="1:19" x14ac:dyDescent="0.2">
      <c r="A358" s="242"/>
      <c r="B358" s="243"/>
      <c r="C358" s="243"/>
      <c r="D358" s="243"/>
      <c r="E358" s="243"/>
      <c r="F358" s="243"/>
      <c r="G358" s="244"/>
      <c r="H358" s="243"/>
      <c r="I358" s="243"/>
      <c r="J358" s="243"/>
      <c r="K358" s="243"/>
      <c r="L358" s="243"/>
      <c r="M358" s="244"/>
      <c r="N358" s="245" t="s">
        <v>257</v>
      </c>
      <c r="O358" s="246"/>
      <c r="P358" s="203" t="s">
        <v>257</v>
      </c>
      <c r="Q358" s="210" t="s">
        <v>257</v>
      </c>
      <c r="R358" s="243" t="s">
        <v>257</v>
      </c>
      <c r="S358" s="247"/>
    </row>
    <row r="359" spans="1:19" x14ac:dyDescent="0.2">
      <c r="A359" s="242"/>
      <c r="B359" s="243"/>
      <c r="C359" s="243"/>
      <c r="D359" s="243"/>
      <c r="E359" s="243"/>
      <c r="F359" s="243"/>
      <c r="G359" s="244"/>
      <c r="H359" s="243"/>
      <c r="I359" s="243"/>
      <c r="J359" s="243"/>
      <c r="K359" s="243"/>
      <c r="L359" s="243"/>
      <c r="M359" s="244"/>
      <c r="N359" s="245" t="s">
        <v>257</v>
      </c>
      <c r="O359" s="246"/>
      <c r="P359" s="203" t="s">
        <v>257</v>
      </c>
      <c r="Q359" s="210" t="s">
        <v>257</v>
      </c>
      <c r="R359" s="243" t="s">
        <v>257</v>
      </c>
      <c r="S359" s="247"/>
    </row>
    <row r="360" spans="1:19" x14ac:dyDescent="0.2">
      <c r="A360" s="242"/>
      <c r="B360" s="243"/>
      <c r="C360" s="243"/>
      <c r="D360" s="243"/>
      <c r="E360" s="243"/>
      <c r="F360" s="243"/>
      <c r="G360" s="244"/>
      <c r="H360" s="243"/>
      <c r="I360" s="243"/>
      <c r="J360" s="243"/>
      <c r="K360" s="243"/>
      <c r="L360" s="243"/>
      <c r="M360" s="244"/>
      <c r="N360" s="245" t="s">
        <v>257</v>
      </c>
      <c r="O360" s="246"/>
      <c r="P360" s="203" t="s">
        <v>257</v>
      </c>
      <c r="Q360" s="210" t="s">
        <v>257</v>
      </c>
      <c r="R360" s="243" t="s">
        <v>257</v>
      </c>
      <c r="S360" s="247"/>
    </row>
    <row r="361" spans="1:19" x14ac:dyDescent="0.2">
      <c r="A361" s="242"/>
      <c r="B361" s="243"/>
      <c r="C361" s="243"/>
      <c r="D361" s="243"/>
      <c r="E361" s="243"/>
      <c r="F361" s="243"/>
      <c r="G361" s="244"/>
      <c r="H361" s="243"/>
      <c r="I361" s="243"/>
      <c r="J361" s="243"/>
      <c r="K361" s="243"/>
      <c r="L361" s="243"/>
      <c r="M361" s="244"/>
      <c r="N361" s="245" t="s">
        <v>257</v>
      </c>
      <c r="O361" s="246"/>
      <c r="P361" s="203" t="s">
        <v>257</v>
      </c>
      <c r="Q361" s="210" t="s">
        <v>257</v>
      </c>
      <c r="R361" s="243" t="s">
        <v>257</v>
      </c>
      <c r="S361" s="247"/>
    </row>
    <row r="362" spans="1:19" x14ac:dyDescent="0.2">
      <c r="A362" s="242"/>
      <c r="B362" s="243"/>
      <c r="C362" s="243"/>
      <c r="D362" s="243"/>
      <c r="E362" s="243"/>
      <c r="F362" s="243"/>
      <c r="G362" s="244"/>
      <c r="H362" s="243"/>
      <c r="I362" s="243"/>
      <c r="J362" s="243"/>
      <c r="K362" s="243"/>
      <c r="L362" s="243"/>
      <c r="M362" s="244"/>
      <c r="N362" s="245" t="s">
        <v>257</v>
      </c>
      <c r="O362" s="246"/>
      <c r="P362" s="203" t="s">
        <v>257</v>
      </c>
      <c r="Q362" s="210" t="s">
        <v>257</v>
      </c>
      <c r="R362" s="243" t="s">
        <v>257</v>
      </c>
      <c r="S362" s="247"/>
    </row>
    <row r="363" spans="1:19" x14ac:dyDescent="0.2">
      <c r="A363" s="242"/>
      <c r="B363" s="243"/>
      <c r="C363" s="243"/>
      <c r="D363" s="243"/>
      <c r="E363" s="243"/>
      <c r="F363" s="243"/>
      <c r="G363" s="244"/>
      <c r="H363" s="243"/>
      <c r="I363" s="243"/>
      <c r="J363" s="243"/>
      <c r="K363" s="243"/>
      <c r="L363" s="243"/>
      <c r="M363" s="244"/>
      <c r="N363" s="245" t="s">
        <v>257</v>
      </c>
      <c r="O363" s="246"/>
      <c r="P363" s="203" t="s">
        <v>257</v>
      </c>
      <c r="Q363" s="210" t="s">
        <v>257</v>
      </c>
      <c r="R363" s="243" t="s">
        <v>257</v>
      </c>
      <c r="S363" s="247"/>
    </row>
    <row r="364" spans="1:19" x14ac:dyDescent="0.2">
      <c r="A364" s="242"/>
      <c r="B364" s="243"/>
      <c r="C364" s="243"/>
      <c r="D364" s="243"/>
      <c r="E364" s="243"/>
      <c r="F364" s="243"/>
      <c r="G364" s="244"/>
      <c r="H364" s="243"/>
      <c r="I364" s="243"/>
      <c r="J364" s="243"/>
      <c r="K364" s="243"/>
      <c r="L364" s="243"/>
      <c r="M364" s="244"/>
      <c r="N364" s="245" t="s">
        <v>257</v>
      </c>
      <c r="O364" s="246"/>
      <c r="P364" s="203" t="s">
        <v>257</v>
      </c>
      <c r="Q364" s="210" t="s">
        <v>257</v>
      </c>
      <c r="R364" s="243" t="s">
        <v>257</v>
      </c>
      <c r="S364" s="247"/>
    </row>
    <row r="365" spans="1:19" x14ac:dyDescent="0.2">
      <c r="A365" s="242"/>
      <c r="B365" s="243"/>
      <c r="C365" s="243"/>
      <c r="D365" s="243"/>
      <c r="E365" s="243"/>
      <c r="F365" s="243"/>
      <c r="G365" s="244"/>
      <c r="H365" s="243"/>
      <c r="I365" s="243"/>
      <c r="J365" s="243"/>
      <c r="K365" s="243"/>
      <c r="L365" s="243"/>
      <c r="M365" s="244"/>
      <c r="N365" s="245" t="s">
        <v>257</v>
      </c>
      <c r="O365" s="246"/>
      <c r="P365" s="203" t="s">
        <v>257</v>
      </c>
      <c r="Q365" s="210" t="s">
        <v>257</v>
      </c>
      <c r="R365" s="243" t="s">
        <v>257</v>
      </c>
      <c r="S365" s="247"/>
    </row>
    <row r="366" spans="1:19" x14ac:dyDescent="0.2">
      <c r="A366" s="242"/>
      <c r="B366" s="243"/>
      <c r="C366" s="243"/>
      <c r="D366" s="243"/>
      <c r="E366" s="243"/>
      <c r="F366" s="243"/>
      <c r="G366" s="244"/>
      <c r="H366" s="243"/>
      <c r="I366" s="243"/>
      <c r="J366" s="243"/>
      <c r="K366" s="243"/>
      <c r="L366" s="243"/>
      <c r="M366" s="244"/>
      <c r="N366" s="245" t="s">
        <v>257</v>
      </c>
      <c r="O366" s="246"/>
      <c r="P366" s="203" t="s">
        <v>257</v>
      </c>
      <c r="Q366" s="210" t="s">
        <v>257</v>
      </c>
      <c r="R366" s="243" t="s">
        <v>257</v>
      </c>
      <c r="S366" s="247"/>
    </row>
    <row r="367" spans="1:19" x14ac:dyDescent="0.2">
      <c r="A367" s="242"/>
      <c r="B367" s="243"/>
      <c r="C367" s="243"/>
      <c r="D367" s="243"/>
      <c r="E367" s="243"/>
      <c r="F367" s="243"/>
      <c r="G367" s="244"/>
      <c r="H367" s="243"/>
      <c r="I367" s="243"/>
      <c r="J367" s="243"/>
      <c r="K367" s="243"/>
      <c r="L367" s="243"/>
      <c r="M367" s="244"/>
      <c r="N367" s="245" t="s">
        <v>257</v>
      </c>
      <c r="O367" s="246"/>
      <c r="P367" s="203" t="s">
        <v>257</v>
      </c>
      <c r="Q367" s="210" t="s">
        <v>257</v>
      </c>
      <c r="R367" s="243" t="s">
        <v>257</v>
      </c>
      <c r="S367" s="247"/>
    </row>
    <row r="368" spans="1:19" x14ac:dyDescent="0.2">
      <c r="A368" s="242"/>
      <c r="B368" s="243"/>
      <c r="C368" s="243"/>
      <c r="D368" s="243"/>
      <c r="E368" s="243"/>
      <c r="F368" s="243"/>
      <c r="G368" s="244"/>
      <c r="H368" s="243"/>
      <c r="I368" s="243"/>
      <c r="J368" s="243"/>
      <c r="K368" s="243"/>
      <c r="L368" s="243"/>
      <c r="M368" s="244"/>
      <c r="N368" s="245" t="s">
        <v>257</v>
      </c>
      <c r="O368" s="246"/>
      <c r="P368" s="203" t="s">
        <v>257</v>
      </c>
      <c r="Q368" s="210" t="s">
        <v>257</v>
      </c>
      <c r="R368" s="243" t="s">
        <v>257</v>
      </c>
      <c r="S368" s="247"/>
    </row>
    <row r="369" spans="1:19" x14ac:dyDescent="0.2">
      <c r="A369" s="242"/>
      <c r="B369" s="243"/>
      <c r="C369" s="243"/>
      <c r="D369" s="243"/>
      <c r="E369" s="243"/>
      <c r="F369" s="243"/>
      <c r="G369" s="244"/>
      <c r="H369" s="243"/>
      <c r="I369" s="243"/>
      <c r="J369" s="243"/>
      <c r="K369" s="243"/>
      <c r="L369" s="243"/>
      <c r="M369" s="244"/>
      <c r="N369" s="245" t="s">
        <v>257</v>
      </c>
      <c r="O369" s="246"/>
      <c r="P369" s="203" t="s">
        <v>257</v>
      </c>
      <c r="Q369" s="210" t="s">
        <v>257</v>
      </c>
      <c r="R369" s="243" t="s">
        <v>257</v>
      </c>
      <c r="S369" s="247"/>
    </row>
    <row r="370" spans="1:19" x14ac:dyDescent="0.2">
      <c r="A370" s="242"/>
      <c r="B370" s="243"/>
      <c r="C370" s="243"/>
      <c r="D370" s="243"/>
      <c r="E370" s="243"/>
      <c r="F370" s="243"/>
      <c r="G370" s="244"/>
      <c r="H370" s="243"/>
      <c r="I370" s="243"/>
      <c r="J370" s="243"/>
      <c r="K370" s="243"/>
      <c r="L370" s="243"/>
      <c r="M370" s="244"/>
      <c r="N370" s="245" t="s">
        <v>257</v>
      </c>
      <c r="O370" s="246"/>
      <c r="P370" s="203" t="s">
        <v>257</v>
      </c>
      <c r="Q370" s="210" t="s">
        <v>257</v>
      </c>
      <c r="R370" s="243" t="s">
        <v>257</v>
      </c>
      <c r="S370" s="247"/>
    </row>
    <row r="371" spans="1:19" x14ac:dyDescent="0.2">
      <c r="A371" s="242"/>
      <c r="B371" s="243"/>
      <c r="C371" s="243"/>
      <c r="D371" s="243"/>
      <c r="E371" s="243"/>
      <c r="F371" s="243"/>
      <c r="G371" s="244"/>
      <c r="H371" s="243"/>
      <c r="I371" s="243"/>
      <c r="J371" s="243"/>
      <c r="K371" s="243"/>
      <c r="L371" s="243"/>
      <c r="M371" s="244"/>
      <c r="N371" s="245" t="s">
        <v>257</v>
      </c>
      <c r="O371" s="246"/>
      <c r="P371" s="203" t="s">
        <v>257</v>
      </c>
      <c r="Q371" s="210" t="s">
        <v>257</v>
      </c>
      <c r="R371" s="243" t="s">
        <v>257</v>
      </c>
      <c r="S371" s="247"/>
    </row>
    <row r="372" spans="1:19" x14ac:dyDescent="0.2">
      <c r="A372" s="242"/>
      <c r="B372" s="243"/>
      <c r="C372" s="243"/>
      <c r="D372" s="243"/>
      <c r="E372" s="243"/>
      <c r="F372" s="243"/>
      <c r="G372" s="244"/>
      <c r="H372" s="243"/>
      <c r="I372" s="243"/>
      <c r="J372" s="243"/>
      <c r="K372" s="243"/>
      <c r="L372" s="243"/>
      <c r="M372" s="244"/>
      <c r="N372" s="245" t="s">
        <v>257</v>
      </c>
      <c r="O372" s="246"/>
      <c r="P372" s="203" t="s">
        <v>257</v>
      </c>
      <c r="Q372" s="210" t="s">
        <v>257</v>
      </c>
      <c r="R372" s="243" t="s">
        <v>257</v>
      </c>
      <c r="S372" s="247"/>
    </row>
    <row r="373" spans="1:19" x14ac:dyDescent="0.2">
      <c r="A373" s="242"/>
      <c r="B373" s="243"/>
      <c r="C373" s="243"/>
      <c r="D373" s="243"/>
      <c r="E373" s="243"/>
      <c r="F373" s="243"/>
      <c r="G373" s="244"/>
      <c r="H373" s="243"/>
      <c r="I373" s="243"/>
      <c r="J373" s="243"/>
      <c r="K373" s="243"/>
      <c r="L373" s="243"/>
      <c r="M373" s="244"/>
      <c r="N373" s="245" t="s">
        <v>257</v>
      </c>
      <c r="O373" s="246"/>
      <c r="P373" s="203" t="s">
        <v>257</v>
      </c>
      <c r="Q373" s="210" t="s">
        <v>257</v>
      </c>
      <c r="R373" s="243" t="s">
        <v>257</v>
      </c>
      <c r="S373" s="247"/>
    </row>
    <row r="374" spans="1:19" x14ac:dyDescent="0.2">
      <c r="A374" s="242"/>
      <c r="B374" s="243"/>
      <c r="C374" s="243"/>
      <c r="D374" s="243"/>
      <c r="E374" s="243"/>
      <c r="F374" s="243"/>
      <c r="G374" s="244"/>
      <c r="H374" s="243"/>
      <c r="I374" s="243"/>
      <c r="J374" s="243"/>
      <c r="K374" s="243"/>
      <c r="L374" s="243"/>
      <c r="M374" s="244"/>
      <c r="N374" s="245" t="s">
        <v>257</v>
      </c>
      <c r="O374" s="246"/>
      <c r="P374" s="203" t="s">
        <v>257</v>
      </c>
      <c r="Q374" s="210" t="s">
        <v>257</v>
      </c>
      <c r="R374" s="243" t="s">
        <v>257</v>
      </c>
      <c r="S374" s="247"/>
    </row>
    <row r="375" spans="1:19" x14ac:dyDescent="0.2">
      <c r="A375" s="242"/>
      <c r="B375" s="243"/>
      <c r="C375" s="243"/>
      <c r="D375" s="243"/>
      <c r="E375" s="243"/>
      <c r="F375" s="243"/>
      <c r="G375" s="244"/>
      <c r="H375" s="243"/>
      <c r="I375" s="243"/>
      <c r="J375" s="243"/>
      <c r="K375" s="243"/>
      <c r="L375" s="243"/>
      <c r="M375" s="244"/>
      <c r="N375" s="245" t="s">
        <v>257</v>
      </c>
      <c r="O375" s="246"/>
      <c r="P375" s="203" t="s">
        <v>257</v>
      </c>
      <c r="Q375" s="210" t="s">
        <v>257</v>
      </c>
      <c r="R375" s="243" t="s">
        <v>257</v>
      </c>
      <c r="S375" s="247"/>
    </row>
    <row r="376" spans="1:19" x14ac:dyDescent="0.2">
      <c r="A376" s="242"/>
      <c r="B376" s="243"/>
      <c r="C376" s="243"/>
      <c r="D376" s="243"/>
      <c r="E376" s="243"/>
      <c r="F376" s="243"/>
      <c r="G376" s="244"/>
      <c r="H376" s="243"/>
      <c r="I376" s="243"/>
      <c r="J376" s="243"/>
      <c r="K376" s="243"/>
      <c r="L376" s="243"/>
      <c r="M376" s="244"/>
      <c r="N376" s="245" t="s">
        <v>257</v>
      </c>
      <c r="O376" s="246"/>
      <c r="P376" s="203" t="s">
        <v>257</v>
      </c>
      <c r="Q376" s="210" t="s">
        <v>257</v>
      </c>
      <c r="R376" s="243" t="s">
        <v>257</v>
      </c>
      <c r="S376" s="247"/>
    </row>
    <row r="377" spans="1:19" x14ac:dyDescent="0.2">
      <c r="A377" s="242"/>
      <c r="B377" s="243"/>
      <c r="C377" s="243"/>
      <c r="D377" s="243"/>
      <c r="E377" s="243"/>
      <c r="F377" s="243"/>
      <c r="G377" s="244"/>
      <c r="H377" s="243"/>
      <c r="I377" s="243"/>
      <c r="J377" s="243"/>
      <c r="K377" s="243"/>
      <c r="L377" s="243"/>
      <c r="M377" s="244"/>
      <c r="N377" s="245" t="s">
        <v>257</v>
      </c>
      <c r="O377" s="246"/>
      <c r="P377" s="203" t="s">
        <v>257</v>
      </c>
      <c r="Q377" s="210" t="s">
        <v>257</v>
      </c>
      <c r="R377" s="243" t="s">
        <v>257</v>
      </c>
      <c r="S377" s="247"/>
    </row>
    <row r="378" spans="1:19" x14ac:dyDescent="0.2">
      <c r="A378" s="242"/>
      <c r="B378" s="243"/>
      <c r="C378" s="243"/>
      <c r="D378" s="243"/>
      <c r="E378" s="243"/>
      <c r="F378" s="243"/>
      <c r="G378" s="244"/>
      <c r="H378" s="243"/>
      <c r="I378" s="243"/>
      <c r="J378" s="243"/>
      <c r="K378" s="243"/>
      <c r="L378" s="243"/>
      <c r="M378" s="244"/>
      <c r="N378" s="245" t="s">
        <v>257</v>
      </c>
      <c r="O378" s="246"/>
      <c r="P378" s="203" t="s">
        <v>257</v>
      </c>
      <c r="Q378" s="210" t="s">
        <v>257</v>
      </c>
      <c r="R378" s="243" t="s">
        <v>257</v>
      </c>
      <c r="S378" s="247"/>
    </row>
    <row r="379" spans="1:19" x14ac:dyDescent="0.2">
      <c r="A379" s="242"/>
      <c r="B379" s="243"/>
      <c r="C379" s="243"/>
      <c r="D379" s="243"/>
      <c r="E379" s="243"/>
      <c r="F379" s="243"/>
      <c r="G379" s="244"/>
      <c r="H379" s="243"/>
      <c r="I379" s="243"/>
      <c r="J379" s="243"/>
      <c r="K379" s="243"/>
      <c r="L379" s="243"/>
      <c r="M379" s="244"/>
      <c r="N379" s="245" t="s">
        <v>257</v>
      </c>
      <c r="O379" s="246"/>
      <c r="P379" s="203" t="s">
        <v>257</v>
      </c>
      <c r="Q379" s="210" t="s">
        <v>257</v>
      </c>
      <c r="R379" s="243" t="s">
        <v>257</v>
      </c>
      <c r="S379" s="247"/>
    </row>
    <row r="380" spans="1:19" x14ac:dyDescent="0.2">
      <c r="A380" s="242"/>
      <c r="B380" s="243"/>
      <c r="C380" s="243"/>
      <c r="D380" s="243"/>
      <c r="E380" s="243"/>
      <c r="F380" s="243"/>
      <c r="G380" s="244"/>
      <c r="H380" s="243"/>
      <c r="I380" s="243"/>
      <c r="J380" s="243"/>
      <c r="K380" s="243"/>
      <c r="L380" s="243"/>
      <c r="M380" s="244"/>
      <c r="N380" s="245" t="s">
        <v>257</v>
      </c>
      <c r="O380" s="246"/>
      <c r="P380" s="203" t="s">
        <v>257</v>
      </c>
      <c r="Q380" s="210" t="s">
        <v>257</v>
      </c>
      <c r="R380" s="243" t="s">
        <v>257</v>
      </c>
      <c r="S380" s="247"/>
    </row>
    <row r="381" spans="1:19" x14ac:dyDescent="0.2">
      <c r="A381" s="242"/>
      <c r="B381" s="243"/>
      <c r="C381" s="243"/>
      <c r="D381" s="243"/>
      <c r="E381" s="243"/>
      <c r="F381" s="243"/>
      <c r="G381" s="244"/>
      <c r="H381" s="243"/>
      <c r="I381" s="243"/>
      <c r="J381" s="243"/>
      <c r="K381" s="243"/>
      <c r="L381" s="243"/>
      <c r="M381" s="244"/>
      <c r="N381" s="245" t="s">
        <v>257</v>
      </c>
      <c r="O381" s="246"/>
      <c r="P381" s="203" t="s">
        <v>257</v>
      </c>
      <c r="Q381" s="210" t="s">
        <v>257</v>
      </c>
      <c r="R381" s="243" t="s">
        <v>257</v>
      </c>
      <c r="S381" s="247"/>
    </row>
    <row r="382" spans="1:19" x14ac:dyDescent="0.2">
      <c r="A382" s="242"/>
      <c r="B382" s="243"/>
      <c r="C382" s="243"/>
      <c r="D382" s="243"/>
      <c r="E382" s="243"/>
      <c r="F382" s="243"/>
      <c r="G382" s="244"/>
      <c r="H382" s="243"/>
      <c r="I382" s="243"/>
      <c r="J382" s="243"/>
      <c r="K382" s="243"/>
      <c r="L382" s="243"/>
      <c r="M382" s="244"/>
      <c r="N382" s="245" t="s">
        <v>257</v>
      </c>
      <c r="O382" s="246"/>
      <c r="P382" s="203" t="s">
        <v>257</v>
      </c>
      <c r="Q382" s="210" t="s">
        <v>257</v>
      </c>
      <c r="R382" s="243" t="s">
        <v>257</v>
      </c>
      <c r="S382" s="247"/>
    </row>
    <row r="383" spans="1:19" x14ac:dyDescent="0.2">
      <c r="A383" s="242"/>
      <c r="B383" s="243"/>
      <c r="C383" s="243"/>
      <c r="D383" s="243"/>
      <c r="E383" s="243"/>
      <c r="F383" s="243"/>
      <c r="G383" s="244"/>
      <c r="H383" s="243"/>
      <c r="I383" s="243"/>
      <c r="J383" s="243"/>
      <c r="K383" s="243"/>
      <c r="L383" s="243"/>
      <c r="M383" s="244"/>
      <c r="N383" s="245" t="s">
        <v>257</v>
      </c>
      <c r="O383" s="246"/>
      <c r="P383" s="203" t="s">
        <v>257</v>
      </c>
      <c r="Q383" s="210" t="s">
        <v>257</v>
      </c>
      <c r="R383" s="243" t="s">
        <v>257</v>
      </c>
      <c r="S383" s="247"/>
    </row>
    <row r="384" spans="1:19" x14ac:dyDescent="0.2">
      <c r="A384" s="242"/>
      <c r="B384" s="243"/>
      <c r="C384" s="243"/>
      <c r="D384" s="243"/>
      <c r="E384" s="243"/>
      <c r="F384" s="243"/>
      <c r="G384" s="244"/>
      <c r="H384" s="243"/>
      <c r="I384" s="243"/>
      <c r="J384" s="243"/>
      <c r="K384" s="243"/>
      <c r="L384" s="243"/>
      <c r="M384" s="244"/>
      <c r="N384" s="245" t="s">
        <v>257</v>
      </c>
      <c r="O384" s="246"/>
      <c r="P384" s="203" t="s">
        <v>257</v>
      </c>
      <c r="Q384" s="210" t="s">
        <v>257</v>
      </c>
      <c r="R384" s="243" t="s">
        <v>257</v>
      </c>
      <c r="S384" s="247"/>
    </row>
    <row r="385" spans="1:19" x14ac:dyDescent="0.2">
      <c r="A385" s="242"/>
      <c r="B385" s="243"/>
      <c r="C385" s="243"/>
      <c r="D385" s="243"/>
      <c r="E385" s="243"/>
      <c r="F385" s="243"/>
      <c r="G385" s="244"/>
      <c r="H385" s="243"/>
      <c r="I385" s="243"/>
      <c r="J385" s="243"/>
      <c r="K385" s="243"/>
      <c r="L385" s="243"/>
      <c r="M385" s="244"/>
      <c r="N385" s="245" t="s">
        <v>257</v>
      </c>
      <c r="O385" s="246"/>
      <c r="P385" s="203" t="s">
        <v>257</v>
      </c>
      <c r="Q385" s="210" t="s">
        <v>257</v>
      </c>
      <c r="R385" s="243" t="s">
        <v>257</v>
      </c>
      <c r="S385" s="247"/>
    </row>
    <row r="386" spans="1:19" x14ac:dyDescent="0.2">
      <c r="A386" s="242"/>
      <c r="B386" s="243"/>
      <c r="C386" s="243"/>
      <c r="D386" s="243"/>
      <c r="E386" s="243"/>
      <c r="F386" s="243"/>
      <c r="G386" s="244"/>
      <c r="H386" s="243"/>
      <c r="I386" s="243"/>
      <c r="J386" s="243"/>
      <c r="K386" s="243"/>
      <c r="L386" s="243"/>
      <c r="M386" s="244"/>
      <c r="N386" s="245" t="s">
        <v>257</v>
      </c>
      <c r="O386" s="246"/>
      <c r="P386" s="203" t="s">
        <v>257</v>
      </c>
      <c r="Q386" s="210" t="s">
        <v>257</v>
      </c>
      <c r="R386" s="243" t="s">
        <v>257</v>
      </c>
      <c r="S386" s="247"/>
    </row>
    <row r="387" spans="1:19" x14ac:dyDescent="0.2">
      <c r="A387" s="242"/>
      <c r="B387" s="243"/>
      <c r="C387" s="243"/>
      <c r="D387" s="243"/>
      <c r="E387" s="243"/>
      <c r="F387" s="243"/>
      <c r="G387" s="244"/>
      <c r="H387" s="243"/>
      <c r="I387" s="243"/>
      <c r="J387" s="243"/>
      <c r="K387" s="243"/>
      <c r="L387" s="243"/>
      <c r="M387" s="244"/>
      <c r="N387" s="245" t="s">
        <v>257</v>
      </c>
      <c r="O387" s="246"/>
      <c r="P387" s="203" t="s">
        <v>257</v>
      </c>
      <c r="Q387" s="210" t="s">
        <v>257</v>
      </c>
      <c r="R387" s="243" t="s">
        <v>257</v>
      </c>
      <c r="S387" s="247"/>
    </row>
    <row r="388" spans="1:19" x14ac:dyDescent="0.2">
      <c r="A388" s="242"/>
      <c r="B388" s="243"/>
      <c r="C388" s="243"/>
      <c r="D388" s="243"/>
      <c r="E388" s="243"/>
      <c r="F388" s="243"/>
      <c r="G388" s="244"/>
      <c r="H388" s="243"/>
      <c r="I388" s="243"/>
      <c r="J388" s="243"/>
      <c r="K388" s="243"/>
      <c r="L388" s="243"/>
      <c r="M388" s="244"/>
      <c r="N388" s="245" t="s">
        <v>257</v>
      </c>
      <c r="O388" s="246"/>
      <c r="P388" s="203" t="s">
        <v>257</v>
      </c>
      <c r="Q388" s="210" t="s">
        <v>257</v>
      </c>
      <c r="R388" s="243" t="s">
        <v>257</v>
      </c>
      <c r="S388" s="247"/>
    </row>
    <row r="389" spans="1:19" x14ac:dyDescent="0.2">
      <c r="A389" s="242"/>
      <c r="B389" s="243"/>
      <c r="C389" s="243"/>
      <c r="D389" s="243"/>
      <c r="E389" s="243"/>
      <c r="F389" s="243"/>
      <c r="G389" s="244"/>
      <c r="H389" s="243"/>
      <c r="I389" s="243"/>
      <c r="J389" s="243"/>
      <c r="K389" s="243"/>
      <c r="L389" s="243"/>
      <c r="M389" s="244"/>
      <c r="N389" s="245" t="s">
        <v>257</v>
      </c>
      <c r="O389" s="246"/>
      <c r="P389" s="203" t="s">
        <v>257</v>
      </c>
      <c r="Q389" s="210" t="s">
        <v>257</v>
      </c>
      <c r="R389" s="243" t="s">
        <v>257</v>
      </c>
      <c r="S389" s="247"/>
    </row>
    <row r="390" spans="1:19" x14ac:dyDescent="0.2">
      <c r="A390" s="242"/>
      <c r="B390" s="243"/>
      <c r="C390" s="243"/>
      <c r="D390" s="243"/>
      <c r="E390" s="243"/>
      <c r="F390" s="243"/>
      <c r="G390" s="244"/>
      <c r="H390" s="243"/>
      <c r="I390" s="243"/>
      <c r="J390" s="243"/>
      <c r="K390" s="243"/>
      <c r="L390" s="243"/>
      <c r="M390" s="244"/>
      <c r="N390" s="245" t="s">
        <v>257</v>
      </c>
      <c r="O390" s="246"/>
      <c r="P390" s="203" t="s">
        <v>257</v>
      </c>
      <c r="Q390" s="210" t="s">
        <v>257</v>
      </c>
      <c r="R390" s="243" t="s">
        <v>257</v>
      </c>
      <c r="S390" s="247"/>
    </row>
    <row r="391" spans="1:19" x14ac:dyDescent="0.2">
      <c r="A391" s="242"/>
      <c r="B391" s="243"/>
      <c r="C391" s="243"/>
      <c r="D391" s="243"/>
      <c r="E391" s="243"/>
      <c r="F391" s="243"/>
      <c r="G391" s="244"/>
      <c r="H391" s="243"/>
      <c r="I391" s="243"/>
      <c r="J391" s="243"/>
      <c r="K391" s="243"/>
      <c r="L391" s="243"/>
      <c r="M391" s="244"/>
      <c r="N391" s="245" t="s">
        <v>257</v>
      </c>
      <c r="O391" s="246"/>
      <c r="P391" s="203" t="s">
        <v>257</v>
      </c>
      <c r="Q391" s="210" t="s">
        <v>257</v>
      </c>
      <c r="R391" s="243" t="s">
        <v>257</v>
      </c>
      <c r="S391" s="247"/>
    </row>
    <row r="392" spans="1:19" x14ac:dyDescent="0.2">
      <c r="A392" s="242"/>
      <c r="B392" s="243"/>
      <c r="C392" s="243"/>
      <c r="D392" s="243"/>
      <c r="E392" s="243"/>
      <c r="F392" s="243"/>
      <c r="G392" s="244"/>
      <c r="H392" s="243"/>
      <c r="I392" s="243"/>
      <c r="J392" s="243"/>
      <c r="K392" s="243"/>
      <c r="L392" s="243"/>
      <c r="M392" s="244"/>
      <c r="N392" s="245" t="s">
        <v>257</v>
      </c>
      <c r="O392" s="246"/>
      <c r="P392" s="203" t="s">
        <v>257</v>
      </c>
      <c r="Q392" s="210" t="s">
        <v>257</v>
      </c>
      <c r="R392" s="243" t="s">
        <v>257</v>
      </c>
      <c r="S392" s="247"/>
    </row>
    <row r="393" spans="1:19" x14ac:dyDescent="0.2">
      <c r="A393" s="242"/>
      <c r="B393" s="243"/>
      <c r="C393" s="243"/>
      <c r="D393" s="243"/>
      <c r="E393" s="243"/>
      <c r="F393" s="243"/>
      <c r="G393" s="244"/>
      <c r="H393" s="243"/>
      <c r="I393" s="243"/>
      <c r="J393" s="243"/>
      <c r="K393" s="243"/>
      <c r="L393" s="243"/>
      <c r="M393" s="244"/>
      <c r="N393" s="245" t="s">
        <v>257</v>
      </c>
      <c r="O393" s="246"/>
      <c r="P393" s="203" t="s">
        <v>257</v>
      </c>
      <c r="Q393" s="210" t="s">
        <v>257</v>
      </c>
      <c r="R393" s="243" t="s">
        <v>257</v>
      </c>
      <c r="S393" s="247"/>
    </row>
    <row r="394" spans="1:19" x14ac:dyDescent="0.2">
      <c r="A394" s="242"/>
      <c r="B394" s="243"/>
      <c r="C394" s="243"/>
      <c r="D394" s="243"/>
      <c r="E394" s="243"/>
      <c r="F394" s="243"/>
      <c r="G394" s="244"/>
      <c r="H394" s="243"/>
      <c r="I394" s="243"/>
      <c r="J394" s="243"/>
      <c r="K394" s="243"/>
      <c r="L394" s="243"/>
      <c r="M394" s="244"/>
      <c r="N394" s="245" t="s">
        <v>257</v>
      </c>
      <c r="O394" s="246"/>
      <c r="P394" s="203" t="s">
        <v>257</v>
      </c>
      <c r="Q394" s="210" t="s">
        <v>257</v>
      </c>
      <c r="R394" s="243" t="s">
        <v>257</v>
      </c>
      <c r="S394" s="247"/>
    </row>
    <row r="395" spans="1:19" x14ac:dyDescent="0.2">
      <c r="A395" s="242"/>
      <c r="B395" s="243"/>
      <c r="C395" s="243"/>
      <c r="D395" s="243"/>
      <c r="E395" s="243"/>
      <c r="F395" s="243"/>
      <c r="G395" s="244"/>
      <c r="H395" s="243"/>
      <c r="I395" s="243"/>
      <c r="J395" s="243"/>
      <c r="K395" s="243"/>
      <c r="L395" s="243"/>
      <c r="M395" s="244"/>
      <c r="N395" s="245" t="s">
        <v>257</v>
      </c>
      <c r="O395" s="246"/>
      <c r="P395" s="203" t="s">
        <v>257</v>
      </c>
      <c r="Q395" s="210" t="s">
        <v>257</v>
      </c>
      <c r="R395" s="243" t="s">
        <v>257</v>
      </c>
      <c r="S395" s="247"/>
    </row>
    <row r="396" spans="1:19" x14ac:dyDescent="0.2">
      <c r="A396" s="242"/>
      <c r="B396" s="243"/>
      <c r="C396" s="243"/>
      <c r="D396" s="243"/>
      <c r="E396" s="243"/>
      <c r="F396" s="243"/>
      <c r="G396" s="244"/>
      <c r="H396" s="243"/>
      <c r="I396" s="243"/>
      <c r="J396" s="243"/>
      <c r="K396" s="243"/>
      <c r="L396" s="243"/>
      <c r="M396" s="244"/>
      <c r="N396" s="245" t="s">
        <v>257</v>
      </c>
      <c r="O396" s="246"/>
      <c r="P396" s="203" t="s">
        <v>257</v>
      </c>
      <c r="Q396" s="210" t="s">
        <v>257</v>
      </c>
      <c r="R396" s="243" t="s">
        <v>257</v>
      </c>
      <c r="S396" s="247"/>
    </row>
    <row r="397" spans="1:19" x14ac:dyDescent="0.2">
      <c r="A397" s="242"/>
      <c r="B397" s="243"/>
      <c r="C397" s="243"/>
      <c r="D397" s="243"/>
      <c r="E397" s="243"/>
      <c r="F397" s="243"/>
      <c r="G397" s="244"/>
      <c r="H397" s="243"/>
      <c r="I397" s="243"/>
      <c r="J397" s="243"/>
      <c r="K397" s="243"/>
      <c r="L397" s="243"/>
      <c r="M397" s="244"/>
      <c r="N397" s="245" t="s">
        <v>257</v>
      </c>
      <c r="O397" s="246"/>
      <c r="P397" s="203" t="s">
        <v>257</v>
      </c>
      <c r="Q397" s="210" t="s">
        <v>257</v>
      </c>
      <c r="R397" s="243" t="s">
        <v>257</v>
      </c>
      <c r="S397" s="247"/>
    </row>
    <row r="398" spans="1:19" x14ac:dyDescent="0.2">
      <c r="A398" s="242"/>
      <c r="B398" s="243"/>
      <c r="C398" s="243"/>
      <c r="D398" s="243"/>
      <c r="E398" s="243"/>
      <c r="F398" s="243"/>
      <c r="G398" s="244"/>
      <c r="H398" s="243"/>
      <c r="I398" s="243"/>
      <c r="J398" s="243"/>
      <c r="K398" s="243"/>
      <c r="L398" s="243"/>
      <c r="M398" s="244"/>
      <c r="N398" s="245" t="s">
        <v>257</v>
      </c>
      <c r="O398" s="246"/>
      <c r="P398" s="203" t="s">
        <v>257</v>
      </c>
      <c r="Q398" s="210" t="s">
        <v>257</v>
      </c>
      <c r="R398" s="243" t="s">
        <v>257</v>
      </c>
      <c r="S398" s="247"/>
    </row>
    <row r="399" spans="1:19" x14ac:dyDescent="0.2">
      <c r="A399" s="242"/>
      <c r="B399" s="243"/>
      <c r="C399" s="243"/>
      <c r="D399" s="243"/>
      <c r="E399" s="243"/>
      <c r="F399" s="243"/>
      <c r="G399" s="244"/>
      <c r="H399" s="243"/>
      <c r="I399" s="243"/>
      <c r="J399" s="243"/>
      <c r="K399" s="243"/>
      <c r="L399" s="243"/>
      <c r="M399" s="244"/>
      <c r="N399" s="245" t="s">
        <v>257</v>
      </c>
      <c r="O399" s="246"/>
      <c r="P399" s="203" t="s">
        <v>257</v>
      </c>
      <c r="Q399" s="210" t="s">
        <v>257</v>
      </c>
      <c r="R399" s="243" t="s">
        <v>257</v>
      </c>
      <c r="S399" s="247"/>
    </row>
    <row r="400" spans="1:19" x14ac:dyDescent="0.2">
      <c r="A400" s="242"/>
      <c r="B400" s="243"/>
      <c r="C400" s="243"/>
      <c r="D400" s="243"/>
      <c r="E400" s="243"/>
      <c r="F400" s="243"/>
      <c r="G400" s="244"/>
      <c r="H400" s="243"/>
      <c r="I400" s="243"/>
      <c r="J400" s="243"/>
      <c r="K400" s="243"/>
      <c r="L400" s="243"/>
      <c r="M400" s="244"/>
      <c r="N400" s="245" t="s">
        <v>257</v>
      </c>
      <c r="O400" s="246"/>
      <c r="P400" s="203" t="s">
        <v>257</v>
      </c>
      <c r="Q400" s="210" t="s">
        <v>257</v>
      </c>
      <c r="R400" s="243" t="s">
        <v>257</v>
      </c>
      <c r="S400" s="247"/>
    </row>
    <row r="401" spans="1:19" x14ac:dyDescent="0.2">
      <c r="A401" s="242"/>
      <c r="B401" s="243"/>
      <c r="C401" s="243"/>
      <c r="D401" s="243"/>
      <c r="E401" s="243"/>
      <c r="F401" s="243"/>
      <c r="G401" s="244"/>
      <c r="H401" s="243"/>
      <c r="I401" s="243"/>
      <c r="J401" s="243"/>
      <c r="K401" s="243"/>
      <c r="L401" s="243"/>
      <c r="M401" s="244"/>
      <c r="N401" s="245" t="s">
        <v>257</v>
      </c>
      <c r="O401" s="246"/>
      <c r="P401" s="203" t="s">
        <v>257</v>
      </c>
      <c r="Q401" s="210" t="s">
        <v>257</v>
      </c>
      <c r="R401" s="243" t="s">
        <v>257</v>
      </c>
      <c r="S401" s="247"/>
    </row>
    <row r="402" spans="1:19" x14ac:dyDescent="0.2">
      <c r="A402" s="242"/>
      <c r="B402" s="243"/>
      <c r="C402" s="243"/>
      <c r="D402" s="243"/>
      <c r="E402" s="243"/>
      <c r="F402" s="243"/>
      <c r="G402" s="244"/>
      <c r="H402" s="243"/>
      <c r="I402" s="243"/>
      <c r="J402" s="243"/>
      <c r="K402" s="243"/>
      <c r="L402" s="243"/>
      <c r="M402" s="244"/>
      <c r="N402" s="245" t="s">
        <v>257</v>
      </c>
      <c r="O402" s="246"/>
      <c r="P402" s="203" t="s">
        <v>257</v>
      </c>
      <c r="Q402" s="210" t="s">
        <v>257</v>
      </c>
      <c r="R402" s="243" t="s">
        <v>257</v>
      </c>
      <c r="S402" s="247"/>
    </row>
    <row r="403" spans="1:19" x14ac:dyDescent="0.2">
      <c r="A403" s="242"/>
      <c r="B403" s="243"/>
      <c r="C403" s="243"/>
      <c r="D403" s="243"/>
      <c r="E403" s="243"/>
      <c r="F403" s="243"/>
      <c r="G403" s="244"/>
      <c r="H403" s="243"/>
      <c r="I403" s="243"/>
      <c r="J403" s="243"/>
      <c r="K403" s="243"/>
      <c r="L403" s="243"/>
      <c r="M403" s="244"/>
      <c r="N403" s="245" t="s">
        <v>257</v>
      </c>
      <c r="O403" s="246"/>
      <c r="P403" s="203" t="s">
        <v>257</v>
      </c>
      <c r="Q403" s="210" t="s">
        <v>257</v>
      </c>
      <c r="R403" s="243" t="s">
        <v>257</v>
      </c>
      <c r="S403" s="247"/>
    </row>
    <row r="404" spans="1:19" x14ac:dyDescent="0.2">
      <c r="A404" s="242"/>
      <c r="B404" s="243"/>
      <c r="C404" s="243"/>
      <c r="D404" s="243"/>
      <c r="E404" s="243"/>
      <c r="F404" s="243"/>
      <c r="G404" s="244"/>
      <c r="H404" s="243"/>
      <c r="I404" s="243"/>
      <c r="J404" s="243"/>
      <c r="K404" s="243"/>
      <c r="L404" s="243"/>
      <c r="M404" s="244"/>
      <c r="N404" s="245" t="s">
        <v>257</v>
      </c>
      <c r="O404" s="246"/>
      <c r="P404" s="203" t="s">
        <v>257</v>
      </c>
      <c r="Q404" s="210" t="s">
        <v>257</v>
      </c>
      <c r="R404" s="243" t="s">
        <v>257</v>
      </c>
      <c r="S404" s="247"/>
    </row>
    <row r="405" spans="1:19" x14ac:dyDescent="0.2">
      <c r="A405" s="242"/>
      <c r="B405" s="243"/>
      <c r="C405" s="243"/>
      <c r="D405" s="243"/>
      <c r="E405" s="243"/>
      <c r="F405" s="243"/>
      <c r="G405" s="244"/>
      <c r="H405" s="243"/>
      <c r="I405" s="243"/>
      <c r="J405" s="243"/>
      <c r="K405" s="243"/>
      <c r="L405" s="243"/>
      <c r="M405" s="244"/>
      <c r="N405" s="245" t="s">
        <v>257</v>
      </c>
      <c r="O405" s="246"/>
      <c r="P405" s="203" t="s">
        <v>257</v>
      </c>
      <c r="Q405" s="210" t="s">
        <v>257</v>
      </c>
      <c r="R405" s="243" t="s">
        <v>257</v>
      </c>
      <c r="S405" s="247"/>
    </row>
    <row r="406" spans="1:19" x14ac:dyDescent="0.2">
      <c r="A406" s="242"/>
      <c r="B406" s="243"/>
      <c r="C406" s="243"/>
      <c r="D406" s="243"/>
      <c r="E406" s="243"/>
      <c r="F406" s="243"/>
      <c r="G406" s="244"/>
      <c r="H406" s="243"/>
      <c r="I406" s="243"/>
      <c r="J406" s="243"/>
      <c r="K406" s="243"/>
      <c r="L406" s="243"/>
      <c r="M406" s="244"/>
      <c r="N406" s="245" t="s">
        <v>257</v>
      </c>
      <c r="O406" s="246"/>
      <c r="P406" s="203" t="s">
        <v>257</v>
      </c>
      <c r="Q406" s="210" t="s">
        <v>257</v>
      </c>
      <c r="R406" s="243" t="s">
        <v>257</v>
      </c>
      <c r="S406" s="247"/>
    </row>
    <row r="407" spans="1:19" x14ac:dyDescent="0.2">
      <c r="A407" s="242"/>
      <c r="B407" s="243"/>
      <c r="C407" s="243"/>
      <c r="D407" s="243"/>
      <c r="E407" s="243"/>
      <c r="F407" s="243"/>
      <c r="G407" s="244"/>
      <c r="H407" s="243"/>
      <c r="I407" s="243"/>
      <c r="J407" s="243"/>
      <c r="K407" s="243"/>
      <c r="L407" s="243"/>
      <c r="M407" s="244"/>
      <c r="N407" s="245" t="s">
        <v>257</v>
      </c>
      <c r="O407" s="246"/>
      <c r="P407" s="203" t="s">
        <v>257</v>
      </c>
      <c r="Q407" s="210" t="s">
        <v>257</v>
      </c>
      <c r="R407" s="243" t="s">
        <v>257</v>
      </c>
      <c r="S407" s="247"/>
    </row>
    <row r="408" spans="1:19" x14ac:dyDescent="0.2">
      <c r="A408" s="242"/>
      <c r="B408" s="243"/>
      <c r="C408" s="243"/>
      <c r="D408" s="243"/>
      <c r="E408" s="243"/>
      <c r="F408" s="243"/>
      <c r="G408" s="244"/>
      <c r="H408" s="243"/>
      <c r="I408" s="243"/>
      <c r="J408" s="243"/>
      <c r="K408" s="243"/>
      <c r="L408" s="243"/>
      <c r="M408" s="244"/>
      <c r="N408" s="245" t="s">
        <v>257</v>
      </c>
      <c r="O408" s="246"/>
      <c r="P408" s="203" t="s">
        <v>257</v>
      </c>
      <c r="Q408" s="210" t="s">
        <v>257</v>
      </c>
      <c r="R408" s="243" t="s">
        <v>257</v>
      </c>
      <c r="S408" s="247"/>
    </row>
    <row r="409" spans="1:19" x14ac:dyDescent="0.2">
      <c r="A409" s="242"/>
      <c r="B409" s="243"/>
      <c r="C409" s="243"/>
      <c r="D409" s="243"/>
      <c r="E409" s="243"/>
      <c r="F409" s="243"/>
      <c r="G409" s="244"/>
      <c r="H409" s="243"/>
      <c r="I409" s="243"/>
      <c r="J409" s="243"/>
      <c r="K409" s="243"/>
      <c r="L409" s="243"/>
      <c r="M409" s="244"/>
      <c r="N409" s="245" t="s">
        <v>257</v>
      </c>
      <c r="O409" s="246"/>
      <c r="P409" s="203" t="s">
        <v>257</v>
      </c>
      <c r="Q409" s="210" t="s">
        <v>257</v>
      </c>
      <c r="R409" s="243" t="s">
        <v>257</v>
      </c>
      <c r="S409" s="247"/>
    </row>
    <row r="410" spans="1:19" x14ac:dyDescent="0.2">
      <c r="A410" s="242"/>
      <c r="B410" s="243"/>
      <c r="C410" s="243"/>
      <c r="D410" s="243"/>
      <c r="E410" s="243"/>
      <c r="F410" s="243"/>
      <c r="G410" s="244"/>
      <c r="H410" s="243"/>
      <c r="I410" s="243"/>
      <c r="J410" s="243"/>
      <c r="K410" s="243"/>
      <c r="L410" s="243"/>
      <c r="M410" s="244"/>
      <c r="N410" s="245" t="s">
        <v>257</v>
      </c>
      <c r="O410" s="246"/>
      <c r="P410" s="203" t="s">
        <v>257</v>
      </c>
      <c r="Q410" s="210" t="s">
        <v>257</v>
      </c>
      <c r="R410" s="243" t="s">
        <v>257</v>
      </c>
      <c r="S410" s="247"/>
    </row>
    <row r="411" spans="1:19" x14ac:dyDescent="0.2">
      <c r="A411" s="242"/>
      <c r="B411" s="243"/>
      <c r="C411" s="243"/>
      <c r="D411" s="243"/>
      <c r="E411" s="243"/>
      <c r="F411" s="243"/>
      <c r="G411" s="244"/>
      <c r="H411" s="243"/>
      <c r="I411" s="243"/>
      <c r="J411" s="243"/>
      <c r="K411" s="243"/>
      <c r="L411" s="243"/>
      <c r="M411" s="244"/>
      <c r="N411" s="245" t="s">
        <v>257</v>
      </c>
      <c r="O411" s="246"/>
      <c r="P411" s="203" t="s">
        <v>257</v>
      </c>
      <c r="Q411" s="210" t="s">
        <v>257</v>
      </c>
      <c r="R411" s="243" t="s">
        <v>257</v>
      </c>
      <c r="S411" s="247"/>
    </row>
    <row r="412" spans="1:19" x14ac:dyDescent="0.2">
      <c r="A412" s="242"/>
      <c r="B412" s="243"/>
      <c r="C412" s="243"/>
      <c r="D412" s="243"/>
      <c r="E412" s="243"/>
      <c r="F412" s="243"/>
      <c r="G412" s="244"/>
      <c r="H412" s="243"/>
      <c r="I412" s="243"/>
      <c r="J412" s="243"/>
      <c r="K412" s="243"/>
      <c r="L412" s="243"/>
      <c r="M412" s="244"/>
      <c r="N412" s="245" t="s">
        <v>257</v>
      </c>
      <c r="O412" s="246"/>
      <c r="P412" s="203" t="s">
        <v>257</v>
      </c>
      <c r="Q412" s="210" t="s">
        <v>257</v>
      </c>
      <c r="R412" s="243" t="s">
        <v>257</v>
      </c>
      <c r="S412" s="247"/>
    </row>
    <row r="413" spans="1:19" x14ac:dyDescent="0.2">
      <c r="A413" s="242"/>
      <c r="B413" s="243"/>
      <c r="C413" s="243"/>
      <c r="D413" s="243"/>
      <c r="E413" s="243"/>
      <c r="F413" s="243"/>
      <c r="G413" s="244"/>
      <c r="H413" s="243"/>
      <c r="I413" s="243"/>
      <c r="J413" s="243"/>
      <c r="K413" s="243"/>
      <c r="L413" s="243"/>
      <c r="M413" s="244"/>
      <c r="N413" s="245" t="s">
        <v>257</v>
      </c>
      <c r="O413" s="246"/>
      <c r="P413" s="203" t="s">
        <v>257</v>
      </c>
      <c r="Q413" s="210" t="s">
        <v>257</v>
      </c>
      <c r="R413" s="243" t="s">
        <v>257</v>
      </c>
      <c r="S413" s="247"/>
    </row>
    <row r="414" spans="1:19" x14ac:dyDescent="0.2">
      <c r="A414" s="242"/>
      <c r="B414" s="243"/>
      <c r="C414" s="243"/>
      <c r="D414" s="243"/>
      <c r="E414" s="243"/>
      <c r="F414" s="243"/>
      <c r="G414" s="244"/>
      <c r="H414" s="243"/>
      <c r="I414" s="243"/>
      <c r="J414" s="243"/>
      <c r="K414" s="243"/>
      <c r="L414" s="243"/>
      <c r="M414" s="244"/>
      <c r="N414" s="245" t="s">
        <v>257</v>
      </c>
      <c r="O414" s="246"/>
      <c r="P414" s="203" t="s">
        <v>257</v>
      </c>
      <c r="Q414" s="210" t="s">
        <v>257</v>
      </c>
      <c r="R414" s="243" t="s">
        <v>257</v>
      </c>
      <c r="S414" s="247"/>
    </row>
    <row r="415" spans="1:19" x14ac:dyDescent="0.2">
      <c r="A415" s="242"/>
      <c r="B415" s="243"/>
      <c r="C415" s="243"/>
      <c r="D415" s="243"/>
      <c r="E415" s="243"/>
      <c r="F415" s="243"/>
      <c r="G415" s="244"/>
      <c r="H415" s="243"/>
      <c r="I415" s="243"/>
      <c r="J415" s="243"/>
      <c r="K415" s="243"/>
      <c r="L415" s="243"/>
      <c r="M415" s="244"/>
      <c r="N415" s="245" t="s">
        <v>257</v>
      </c>
      <c r="O415" s="246"/>
      <c r="P415" s="203" t="s">
        <v>257</v>
      </c>
      <c r="Q415" s="210" t="s">
        <v>257</v>
      </c>
      <c r="R415" s="243" t="s">
        <v>257</v>
      </c>
      <c r="S415" s="247"/>
    </row>
    <row r="416" spans="1:19" x14ac:dyDescent="0.2">
      <c r="A416" s="242"/>
      <c r="B416" s="243"/>
      <c r="C416" s="243"/>
      <c r="D416" s="243"/>
      <c r="E416" s="243"/>
      <c r="F416" s="243"/>
      <c r="G416" s="244"/>
      <c r="H416" s="243"/>
      <c r="I416" s="243"/>
      <c r="J416" s="243"/>
      <c r="K416" s="243"/>
      <c r="L416" s="243"/>
      <c r="M416" s="244"/>
      <c r="N416" s="245" t="s">
        <v>257</v>
      </c>
      <c r="O416" s="246"/>
      <c r="P416" s="203" t="s">
        <v>257</v>
      </c>
      <c r="Q416" s="210" t="s">
        <v>257</v>
      </c>
      <c r="R416" s="243" t="s">
        <v>257</v>
      </c>
      <c r="S416" s="247"/>
    </row>
    <row r="417" spans="1:19" x14ac:dyDescent="0.2">
      <c r="A417" s="242"/>
      <c r="B417" s="243"/>
      <c r="C417" s="243"/>
      <c r="D417" s="243"/>
      <c r="E417" s="243"/>
      <c r="F417" s="243"/>
      <c r="G417" s="244"/>
      <c r="H417" s="243"/>
      <c r="I417" s="243"/>
      <c r="J417" s="243"/>
      <c r="K417" s="243"/>
      <c r="L417" s="243"/>
      <c r="M417" s="244"/>
      <c r="N417" s="245" t="s">
        <v>257</v>
      </c>
      <c r="O417" s="246"/>
      <c r="P417" s="203" t="s">
        <v>257</v>
      </c>
      <c r="Q417" s="210" t="s">
        <v>257</v>
      </c>
      <c r="R417" s="243" t="s">
        <v>257</v>
      </c>
      <c r="S417" s="247"/>
    </row>
    <row r="418" spans="1:19" x14ac:dyDescent="0.2">
      <c r="A418" s="242"/>
      <c r="B418" s="243"/>
      <c r="C418" s="243"/>
      <c r="D418" s="243"/>
      <c r="E418" s="243"/>
      <c r="F418" s="243"/>
      <c r="G418" s="244"/>
      <c r="H418" s="243"/>
      <c r="I418" s="243"/>
      <c r="J418" s="243"/>
      <c r="K418" s="243"/>
      <c r="L418" s="243"/>
      <c r="M418" s="244"/>
      <c r="N418" s="245" t="s">
        <v>257</v>
      </c>
      <c r="O418" s="246"/>
      <c r="P418" s="203" t="s">
        <v>257</v>
      </c>
      <c r="Q418" s="210" t="s">
        <v>257</v>
      </c>
      <c r="R418" s="243" t="s">
        <v>257</v>
      </c>
      <c r="S418" s="247"/>
    </row>
    <row r="419" spans="1:19" x14ac:dyDescent="0.2">
      <c r="A419" s="242"/>
      <c r="B419" s="243"/>
      <c r="C419" s="243"/>
      <c r="D419" s="243"/>
      <c r="E419" s="243"/>
      <c r="F419" s="243"/>
      <c r="G419" s="244"/>
      <c r="H419" s="243"/>
      <c r="I419" s="243"/>
      <c r="J419" s="243"/>
      <c r="K419" s="243"/>
      <c r="L419" s="243"/>
      <c r="M419" s="244"/>
      <c r="N419" s="245" t="s">
        <v>257</v>
      </c>
      <c r="O419" s="246"/>
      <c r="P419" s="203" t="s">
        <v>257</v>
      </c>
      <c r="Q419" s="210" t="s">
        <v>257</v>
      </c>
      <c r="R419" s="243" t="s">
        <v>257</v>
      </c>
      <c r="S419" s="247"/>
    </row>
    <row r="420" spans="1:19" x14ac:dyDescent="0.2">
      <c r="A420" s="242"/>
      <c r="B420" s="243"/>
      <c r="C420" s="243"/>
      <c r="D420" s="243"/>
      <c r="E420" s="243"/>
      <c r="F420" s="243"/>
      <c r="G420" s="244"/>
      <c r="H420" s="243"/>
      <c r="I420" s="243"/>
      <c r="J420" s="243"/>
      <c r="K420" s="243"/>
      <c r="L420" s="243"/>
      <c r="M420" s="244"/>
      <c r="N420" s="245" t="s">
        <v>257</v>
      </c>
      <c r="O420" s="246"/>
      <c r="P420" s="203" t="s">
        <v>257</v>
      </c>
      <c r="Q420" s="210" t="s">
        <v>257</v>
      </c>
      <c r="R420" s="243" t="s">
        <v>257</v>
      </c>
      <c r="S420" s="247"/>
    </row>
    <row r="421" spans="1:19" x14ac:dyDescent="0.2">
      <c r="A421" s="242"/>
      <c r="B421" s="243"/>
      <c r="C421" s="243"/>
      <c r="D421" s="243"/>
      <c r="E421" s="243"/>
      <c r="F421" s="243"/>
      <c r="G421" s="244"/>
      <c r="H421" s="243"/>
      <c r="I421" s="243"/>
      <c r="J421" s="243"/>
      <c r="K421" s="243"/>
      <c r="L421" s="243"/>
      <c r="M421" s="244"/>
      <c r="N421" s="245" t="s">
        <v>257</v>
      </c>
      <c r="O421" s="246"/>
      <c r="P421" s="203" t="s">
        <v>257</v>
      </c>
      <c r="Q421" s="210" t="s">
        <v>257</v>
      </c>
      <c r="R421" s="243" t="s">
        <v>257</v>
      </c>
      <c r="S421" s="247"/>
    </row>
    <row r="422" spans="1:19" x14ac:dyDescent="0.2">
      <c r="A422" s="242"/>
      <c r="B422" s="243"/>
      <c r="C422" s="243"/>
      <c r="D422" s="243"/>
      <c r="E422" s="243"/>
      <c r="F422" s="243"/>
      <c r="G422" s="244"/>
      <c r="H422" s="243"/>
      <c r="I422" s="243"/>
      <c r="J422" s="243"/>
      <c r="K422" s="243"/>
      <c r="L422" s="243"/>
      <c r="M422" s="244"/>
      <c r="N422" s="245" t="s">
        <v>257</v>
      </c>
      <c r="O422" s="246"/>
      <c r="P422" s="203" t="s">
        <v>257</v>
      </c>
      <c r="Q422" s="210" t="s">
        <v>257</v>
      </c>
      <c r="R422" s="243" t="s">
        <v>257</v>
      </c>
      <c r="S422" s="247"/>
    </row>
    <row r="423" spans="1:19" x14ac:dyDescent="0.2">
      <c r="A423" s="242"/>
      <c r="B423" s="243"/>
      <c r="C423" s="243"/>
      <c r="D423" s="243"/>
      <c r="E423" s="243"/>
      <c r="F423" s="243"/>
      <c r="G423" s="244"/>
      <c r="H423" s="243"/>
      <c r="I423" s="243"/>
      <c r="J423" s="243"/>
      <c r="K423" s="243"/>
      <c r="L423" s="243"/>
      <c r="M423" s="244"/>
      <c r="N423" s="245" t="s">
        <v>257</v>
      </c>
      <c r="O423" s="246"/>
      <c r="P423" s="203" t="s">
        <v>257</v>
      </c>
      <c r="Q423" s="210" t="s">
        <v>257</v>
      </c>
      <c r="R423" s="243" t="s">
        <v>257</v>
      </c>
      <c r="S423" s="247"/>
    </row>
    <row r="424" spans="1:19" x14ac:dyDescent="0.2">
      <c r="A424" s="242"/>
      <c r="B424" s="243"/>
      <c r="C424" s="243"/>
      <c r="D424" s="243"/>
      <c r="E424" s="243"/>
      <c r="F424" s="243"/>
      <c r="G424" s="244"/>
      <c r="H424" s="243"/>
      <c r="I424" s="243"/>
      <c r="J424" s="243"/>
      <c r="K424" s="243"/>
      <c r="L424" s="243"/>
      <c r="M424" s="244"/>
      <c r="N424" s="245" t="s">
        <v>257</v>
      </c>
      <c r="O424" s="246"/>
      <c r="P424" s="203" t="s">
        <v>257</v>
      </c>
      <c r="Q424" s="210" t="s">
        <v>257</v>
      </c>
      <c r="R424" s="243" t="s">
        <v>257</v>
      </c>
      <c r="S424" s="247"/>
    </row>
    <row r="425" spans="1:19" x14ac:dyDescent="0.2">
      <c r="A425" s="242"/>
      <c r="B425" s="243"/>
      <c r="C425" s="243"/>
      <c r="D425" s="243"/>
      <c r="E425" s="243"/>
      <c r="F425" s="243"/>
      <c r="G425" s="244"/>
      <c r="H425" s="243"/>
      <c r="I425" s="243"/>
      <c r="J425" s="243"/>
      <c r="K425" s="243"/>
      <c r="L425" s="243"/>
      <c r="M425" s="244"/>
      <c r="N425" s="245" t="s">
        <v>257</v>
      </c>
      <c r="O425" s="246"/>
      <c r="P425" s="203" t="s">
        <v>257</v>
      </c>
      <c r="Q425" s="210" t="s">
        <v>257</v>
      </c>
      <c r="R425" s="243" t="s">
        <v>257</v>
      </c>
      <c r="S425" s="247"/>
    </row>
    <row r="426" spans="1:19" x14ac:dyDescent="0.2">
      <c r="A426" s="242"/>
      <c r="B426" s="243"/>
      <c r="C426" s="243"/>
      <c r="D426" s="243"/>
      <c r="E426" s="243"/>
      <c r="F426" s="243"/>
      <c r="G426" s="244"/>
      <c r="H426" s="243"/>
      <c r="I426" s="243"/>
      <c r="J426" s="243"/>
      <c r="K426" s="243"/>
      <c r="L426" s="243"/>
      <c r="M426" s="244"/>
      <c r="N426" s="245" t="s">
        <v>257</v>
      </c>
      <c r="O426" s="246"/>
      <c r="P426" s="203" t="s">
        <v>257</v>
      </c>
      <c r="Q426" s="210" t="s">
        <v>257</v>
      </c>
      <c r="R426" s="243" t="s">
        <v>257</v>
      </c>
      <c r="S426" s="247"/>
    </row>
    <row r="427" spans="1:19" x14ac:dyDescent="0.2">
      <c r="A427" s="242"/>
      <c r="B427" s="243"/>
      <c r="C427" s="243"/>
      <c r="D427" s="243"/>
      <c r="E427" s="243"/>
      <c r="F427" s="243"/>
      <c r="G427" s="244"/>
      <c r="H427" s="243"/>
      <c r="I427" s="243"/>
      <c r="J427" s="243"/>
      <c r="K427" s="243"/>
      <c r="L427" s="243"/>
      <c r="M427" s="244"/>
      <c r="N427" s="245" t="s">
        <v>257</v>
      </c>
      <c r="O427" s="246"/>
      <c r="P427" s="203" t="s">
        <v>257</v>
      </c>
      <c r="Q427" s="210" t="s">
        <v>257</v>
      </c>
      <c r="R427" s="243" t="s">
        <v>257</v>
      </c>
      <c r="S427" s="247"/>
    </row>
    <row r="428" spans="1:19" x14ac:dyDescent="0.2">
      <c r="A428" s="242"/>
      <c r="B428" s="243"/>
      <c r="C428" s="243"/>
      <c r="D428" s="243"/>
      <c r="E428" s="243"/>
      <c r="F428" s="243"/>
      <c r="G428" s="244"/>
      <c r="H428" s="243"/>
      <c r="I428" s="243"/>
      <c r="J428" s="243"/>
      <c r="K428" s="243"/>
      <c r="L428" s="243"/>
      <c r="M428" s="244"/>
      <c r="N428" s="245" t="s">
        <v>257</v>
      </c>
      <c r="O428" s="246"/>
      <c r="P428" s="203" t="s">
        <v>257</v>
      </c>
      <c r="Q428" s="210" t="s">
        <v>257</v>
      </c>
      <c r="R428" s="243" t="s">
        <v>257</v>
      </c>
      <c r="S428" s="247"/>
    </row>
    <row r="429" spans="1:19" x14ac:dyDescent="0.2">
      <c r="A429" s="242"/>
      <c r="B429" s="243"/>
      <c r="C429" s="243"/>
      <c r="D429" s="243"/>
      <c r="E429" s="243"/>
      <c r="F429" s="243"/>
      <c r="G429" s="244"/>
      <c r="H429" s="243"/>
      <c r="I429" s="243"/>
      <c r="J429" s="243"/>
      <c r="K429" s="243"/>
      <c r="L429" s="243"/>
      <c r="M429" s="244"/>
      <c r="N429" s="245" t="s">
        <v>257</v>
      </c>
      <c r="O429" s="246"/>
      <c r="P429" s="203" t="s">
        <v>257</v>
      </c>
      <c r="Q429" s="210" t="s">
        <v>257</v>
      </c>
      <c r="R429" s="243" t="s">
        <v>257</v>
      </c>
      <c r="S429" s="247"/>
    </row>
    <row r="430" spans="1:19" x14ac:dyDescent="0.2">
      <c r="A430" s="242"/>
      <c r="B430" s="243"/>
      <c r="C430" s="243"/>
      <c r="D430" s="243"/>
      <c r="E430" s="243"/>
      <c r="F430" s="243"/>
      <c r="G430" s="244"/>
      <c r="H430" s="243"/>
      <c r="I430" s="243"/>
      <c r="J430" s="243"/>
      <c r="K430" s="243"/>
      <c r="L430" s="243"/>
      <c r="M430" s="244"/>
      <c r="N430" s="245" t="s">
        <v>257</v>
      </c>
      <c r="O430" s="246"/>
      <c r="P430" s="203" t="s">
        <v>257</v>
      </c>
      <c r="Q430" s="210" t="s">
        <v>257</v>
      </c>
      <c r="R430" s="243" t="s">
        <v>257</v>
      </c>
      <c r="S430" s="247"/>
    </row>
    <row r="431" spans="1:19" x14ac:dyDescent="0.2">
      <c r="A431" s="242"/>
      <c r="B431" s="243"/>
      <c r="C431" s="243"/>
      <c r="D431" s="243"/>
      <c r="E431" s="243"/>
      <c r="F431" s="243"/>
      <c r="G431" s="244"/>
      <c r="H431" s="243"/>
      <c r="I431" s="243"/>
      <c r="J431" s="243"/>
      <c r="K431" s="243"/>
      <c r="L431" s="243"/>
      <c r="M431" s="244"/>
      <c r="N431" s="245" t="s">
        <v>257</v>
      </c>
      <c r="O431" s="246"/>
      <c r="P431" s="203" t="s">
        <v>257</v>
      </c>
      <c r="Q431" s="210" t="s">
        <v>257</v>
      </c>
      <c r="R431" s="243" t="s">
        <v>257</v>
      </c>
      <c r="S431" s="247"/>
    </row>
    <row r="432" spans="1:19" x14ac:dyDescent="0.2">
      <c r="A432" s="242"/>
      <c r="B432" s="243"/>
      <c r="C432" s="243"/>
      <c r="D432" s="243"/>
      <c r="E432" s="243"/>
      <c r="F432" s="243"/>
      <c r="G432" s="244"/>
      <c r="H432" s="243"/>
      <c r="I432" s="243"/>
      <c r="J432" s="243"/>
      <c r="K432" s="243"/>
      <c r="L432" s="243"/>
      <c r="M432" s="244"/>
      <c r="N432" s="245" t="s">
        <v>257</v>
      </c>
      <c r="O432" s="246"/>
      <c r="P432" s="203" t="s">
        <v>257</v>
      </c>
      <c r="Q432" s="210" t="s">
        <v>257</v>
      </c>
      <c r="R432" s="243" t="s">
        <v>257</v>
      </c>
      <c r="S432" s="247"/>
    </row>
    <row r="433" spans="1:19" x14ac:dyDescent="0.2">
      <c r="A433" s="242"/>
      <c r="B433" s="243"/>
      <c r="C433" s="243"/>
      <c r="D433" s="243"/>
      <c r="E433" s="243"/>
      <c r="F433" s="243"/>
      <c r="G433" s="244"/>
      <c r="H433" s="243"/>
      <c r="I433" s="243"/>
      <c r="J433" s="243"/>
      <c r="K433" s="243"/>
      <c r="L433" s="243"/>
      <c r="M433" s="244"/>
      <c r="N433" s="245" t="s">
        <v>257</v>
      </c>
      <c r="O433" s="246"/>
      <c r="P433" s="203" t="s">
        <v>257</v>
      </c>
      <c r="Q433" s="210" t="s">
        <v>257</v>
      </c>
      <c r="R433" s="243" t="s">
        <v>257</v>
      </c>
      <c r="S433" s="247"/>
    </row>
    <row r="434" spans="1:19" x14ac:dyDescent="0.2">
      <c r="A434" s="242"/>
      <c r="B434" s="243"/>
      <c r="C434" s="243"/>
      <c r="D434" s="243"/>
      <c r="E434" s="243"/>
      <c r="F434" s="243"/>
      <c r="G434" s="244"/>
      <c r="H434" s="243"/>
      <c r="I434" s="243"/>
      <c r="J434" s="243"/>
      <c r="K434" s="243"/>
      <c r="L434" s="243"/>
      <c r="M434" s="244"/>
      <c r="N434" s="245" t="s">
        <v>257</v>
      </c>
      <c r="O434" s="246"/>
      <c r="P434" s="203" t="s">
        <v>257</v>
      </c>
      <c r="Q434" s="210" t="s">
        <v>257</v>
      </c>
      <c r="R434" s="243" t="s">
        <v>257</v>
      </c>
      <c r="S434" s="247"/>
    </row>
    <row r="435" spans="1:19" x14ac:dyDescent="0.2">
      <c r="A435" s="242"/>
      <c r="B435" s="243"/>
      <c r="C435" s="243"/>
      <c r="D435" s="243"/>
      <c r="E435" s="243"/>
      <c r="F435" s="243"/>
      <c r="G435" s="244"/>
      <c r="H435" s="243"/>
      <c r="I435" s="243"/>
      <c r="J435" s="243"/>
      <c r="K435" s="243"/>
      <c r="L435" s="243"/>
      <c r="M435" s="244"/>
      <c r="N435" s="245" t="s">
        <v>257</v>
      </c>
      <c r="O435" s="246"/>
      <c r="P435" s="203" t="s">
        <v>257</v>
      </c>
      <c r="Q435" s="210" t="s">
        <v>257</v>
      </c>
      <c r="R435" s="243" t="s">
        <v>257</v>
      </c>
      <c r="S435" s="247"/>
    </row>
    <row r="436" spans="1:19" x14ac:dyDescent="0.2">
      <c r="A436" s="242"/>
      <c r="B436" s="243"/>
      <c r="C436" s="243"/>
      <c r="D436" s="243"/>
      <c r="E436" s="243"/>
      <c r="F436" s="243"/>
      <c r="G436" s="244"/>
      <c r="H436" s="243"/>
      <c r="I436" s="243"/>
      <c r="J436" s="243"/>
      <c r="K436" s="243"/>
      <c r="L436" s="243"/>
      <c r="M436" s="244"/>
      <c r="N436" s="245" t="s">
        <v>257</v>
      </c>
      <c r="O436" s="246"/>
      <c r="P436" s="203" t="s">
        <v>257</v>
      </c>
      <c r="Q436" s="210" t="s">
        <v>257</v>
      </c>
      <c r="R436" s="243" t="s">
        <v>257</v>
      </c>
      <c r="S436" s="247"/>
    </row>
    <row r="437" spans="1:19" x14ac:dyDescent="0.2">
      <c r="A437" s="242"/>
      <c r="B437" s="243"/>
      <c r="C437" s="243"/>
      <c r="D437" s="243"/>
      <c r="E437" s="243"/>
      <c r="F437" s="243"/>
      <c r="G437" s="244"/>
      <c r="H437" s="243"/>
      <c r="I437" s="243"/>
      <c r="J437" s="243"/>
      <c r="K437" s="243"/>
      <c r="L437" s="243"/>
      <c r="M437" s="244"/>
      <c r="N437" s="245" t="s">
        <v>257</v>
      </c>
      <c r="O437" s="246"/>
      <c r="P437" s="203" t="s">
        <v>257</v>
      </c>
      <c r="Q437" s="210" t="s">
        <v>257</v>
      </c>
      <c r="R437" s="243" t="s">
        <v>257</v>
      </c>
      <c r="S437" s="247"/>
    </row>
    <row r="438" spans="1:19" x14ac:dyDescent="0.2">
      <c r="A438" s="242"/>
      <c r="B438" s="243"/>
      <c r="C438" s="243"/>
      <c r="D438" s="243"/>
      <c r="E438" s="243"/>
      <c r="F438" s="243"/>
      <c r="G438" s="244"/>
      <c r="H438" s="243"/>
      <c r="I438" s="243"/>
      <c r="J438" s="243"/>
      <c r="K438" s="243"/>
      <c r="L438" s="243"/>
      <c r="M438" s="244"/>
      <c r="N438" s="245" t="s">
        <v>257</v>
      </c>
      <c r="O438" s="246"/>
      <c r="P438" s="203" t="s">
        <v>257</v>
      </c>
      <c r="Q438" s="210" t="s">
        <v>257</v>
      </c>
      <c r="R438" s="243" t="s">
        <v>257</v>
      </c>
      <c r="S438" s="247"/>
    </row>
    <row r="439" spans="1:19" x14ac:dyDescent="0.2">
      <c r="A439" s="242"/>
      <c r="B439" s="243"/>
      <c r="C439" s="243"/>
      <c r="D439" s="243"/>
      <c r="E439" s="243"/>
      <c r="F439" s="243"/>
      <c r="G439" s="244"/>
      <c r="H439" s="243"/>
      <c r="I439" s="243"/>
      <c r="J439" s="243"/>
      <c r="K439" s="243"/>
      <c r="L439" s="243"/>
      <c r="M439" s="244"/>
      <c r="N439" s="245" t="s">
        <v>257</v>
      </c>
      <c r="O439" s="246"/>
      <c r="P439" s="203" t="s">
        <v>257</v>
      </c>
      <c r="Q439" s="210" t="s">
        <v>257</v>
      </c>
      <c r="R439" s="243" t="s">
        <v>257</v>
      </c>
      <c r="S439" s="247"/>
    </row>
    <row r="440" spans="1:19" x14ac:dyDescent="0.2">
      <c r="A440" s="242"/>
      <c r="B440" s="243"/>
      <c r="C440" s="243"/>
      <c r="D440" s="243"/>
      <c r="E440" s="243"/>
      <c r="F440" s="243"/>
      <c r="G440" s="244"/>
      <c r="H440" s="243"/>
      <c r="I440" s="243"/>
      <c r="J440" s="243"/>
      <c r="K440" s="243"/>
      <c r="L440" s="243"/>
      <c r="M440" s="244"/>
      <c r="N440" s="245" t="s">
        <v>257</v>
      </c>
      <c r="O440" s="246"/>
      <c r="P440" s="203" t="s">
        <v>257</v>
      </c>
      <c r="Q440" s="210" t="s">
        <v>257</v>
      </c>
      <c r="R440" s="243" t="s">
        <v>257</v>
      </c>
      <c r="S440" s="247"/>
    </row>
    <row r="441" spans="1:19" x14ac:dyDescent="0.2">
      <c r="A441" s="242"/>
      <c r="B441" s="243"/>
      <c r="C441" s="243"/>
      <c r="D441" s="243"/>
      <c r="E441" s="243"/>
      <c r="F441" s="243"/>
      <c r="G441" s="244"/>
      <c r="H441" s="243"/>
      <c r="I441" s="243"/>
      <c r="J441" s="243"/>
      <c r="K441" s="243"/>
      <c r="L441" s="243"/>
      <c r="M441" s="244"/>
      <c r="N441" s="245" t="s">
        <v>257</v>
      </c>
      <c r="O441" s="246"/>
      <c r="P441" s="203" t="s">
        <v>257</v>
      </c>
      <c r="Q441" s="210" t="s">
        <v>257</v>
      </c>
      <c r="R441" s="243" t="s">
        <v>257</v>
      </c>
      <c r="S441" s="247"/>
    </row>
    <row r="442" spans="1:19" x14ac:dyDescent="0.2">
      <c r="A442" s="242"/>
      <c r="B442" s="243"/>
      <c r="C442" s="243"/>
      <c r="D442" s="243"/>
      <c r="E442" s="243"/>
      <c r="F442" s="243"/>
      <c r="G442" s="244"/>
      <c r="H442" s="243"/>
      <c r="I442" s="243"/>
      <c r="J442" s="243"/>
      <c r="K442" s="243"/>
      <c r="L442" s="243"/>
      <c r="M442" s="244"/>
      <c r="N442" s="245" t="s">
        <v>257</v>
      </c>
      <c r="O442" s="246"/>
      <c r="P442" s="203" t="s">
        <v>257</v>
      </c>
      <c r="Q442" s="210" t="s">
        <v>257</v>
      </c>
      <c r="R442" s="243" t="s">
        <v>257</v>
      </c>
      <c r="S442" s="247"/>
    </row>
    <row r="443" spans="1:19" x14ac:dyDescent="0.2">
      <c r="A443" s="242"/>
      <c r="B443" s="243"/>
      <c r="C443" s="243"/>
      <c r="D443" s="243"/>
      <c r="E443" s="243"/>
      <c r="F443" s="243"/>
      <c r="G443" s="244"/>
      <c r="H443" s="243"/>
      <c r="I443" s="243"/>
      <c r="J443" s="243"/>
      <c r="K443" s="243"/>
      <c r="L443" s="243"/>
      <c r="M443" s="244"/>
      <c r="N443" s="245" t="s">
        <v>257</v>
      </c>
      <c r="O443" s="246"/>
      <c r="P443" s="203" t="s">
        <v>257</v>
      </c>
      <c r="Q443" s="210" t="s">
        <v>257</v>
      </c>
      <c r="R443" s="243" t="s">
        <v>257</v>
      </c>
      <c r="S443" s="247"/>
    </row>
    <row r="444" spans="1:19" x14ac:dyDescent="0.2">
      <c r="A444" s="242"/>
      <c r="B444" s="243"/>
      <c r="C444" s="243"/>
      <c r="D444" s="243"/>
      <c r="E444" s="243"/>
      <c r="F444" s="243"/>
      <c r="G444" s="244"/>
      <c r="H444" s="243"/>
      <c r="I444" s="243"/>
      <c r="J444" s="243"/>
      <c r="K444" s="243"/>
      <c r="L444" s="243"/>
      <c r="M444" s="244"/>
      <c r="N444" s="245" t="s">
        <v>257</v>
      </c>
      <c r="O444" s="246"/>
      <c r="P444" s="203" t="s">
        <v>257</v>
      </c>
      <c r="Q444" s="210" t="s">
        <v>257</v>
      </c>
      <c r="R444" s="243" t="s">
        <v>257</v>
      </c>
      <c r="S444" s="247"/>
    </row>
    <row r="445" spans="1:19" x14ac:dyDescent="0.2">
      <c r="A445" s="242"/>
      <c r="B445" s="243"/>
      <c r="C445" s="243"/>
      <c r="D445" s="243"/>
      <c r="E445" s="243"/>
      <c r="F445" s="243"/>
      <c r="G445" s="244"/>
      <c r="H445" s="243"/>
      <c r="I445" s="243"/>
      <c r="J445" s="243"/>
      <c r="K445" s="243"/>
      <c r="L445" s="243"/>
      <c r="M445" s="244"/>
      <c r="N445" s="245" t="s">
        <v>257</v>
      </c>
      <c r="O445" s="246"/>
      <c r="P445" s="203" t="s">
        <v>257</v>
      </c>
      <c r="Q445" s="210" t="s">
        <v>257</v>
      </c>
      <c r="R445" s="243" t="s">
        <v>257</v>
      </c>
      <c r="S445" s="247"/>
    </row>
    <row r="446" spans="1:19" x14ac:dyDescent="0.2">
      <c r="A446" s="242"/>
      <c r="B446" s="243"/>
      <c r="C446" s="243"/>
      <c r="D446" s="243"/>
      <c r="E446" s="243"/>
      <c r="F446" s="243"/>
      <c r="G446" s="244"/>
      <c r="H446" s="243"/>
      <c r="I446" s="243"/>
      <c r="J446" s="243"/>
      <c r="K446" s="243"/>
      <c r="L446" s="243"/>
      <c r="M446" s="244"/>
      <c r="N446" s="245" t="s">
        <v>257</v>
      </c>
      <c r="O446" s="246"/>
      <c r="P446" s="203" t="s">
        <v>257</v>
      </c>
      <c r="Q446" s="210" t="s">
        <v>257</v>
      </c>
      <c r="R446" s="243" t="s">
        <v>257</v>
      </c>
      <c r="S446" s="247"/>
    </row>
    <row r="447" spans="1:19" x14ac:dyDescent="0.2">
      <c r="A447" s="242"/>
      <c r="B447" s="243"/>
      <c r="C447" s="243"/>
      <c r="D447" s="243"/>
      <c r="E447" s="243"/>
      <c r="F447" s="243"/>
      <c r="G447" s="244"/>
      <c r="H447" s="243"/>
      <c r="I447" s="243"/>
      <c r="J447" s="243"/>
      <c r="K447" s="243"/>
      <c r="L447" s="243"/>
      <c r="M447" s="244"/>
      <c r="N447" s="245" t="s">
        <v>257</v>
      </c>
      <c r="O447" s="246"/>
      <c r="P447" s="203" t="s">
        <v>257</v>
      </c>
      <c r="Q447" s="210" t="s">
        <v>257</v>
      </c>
      <c r="R447" s="243" t="s">
        <v>257</v>
      </c>
      <c r="S447" s="247"/>
    </row>
    <row r="448" spans="1:19" x14ac:dyDescent="0.2">
      <c r="A448" s="242"/>
      <c r="B448" s="243"/>
      <c r="C448" s="243"/>
      <c r="D448" s="243"/>
      <c r="E448" s="243"/>
      <c r="F448" s="243"/>
      <c r="G448" s="244"/>
      <c r="H448" s="243"/>
      <c r="I448" s="243"/>
      <c r="J448" s="243"/>
      <c r="K448" s="243"/>
      <c r="L448" s="243"/>
      <c r="M448" s="244"/>
      <c r="N448" s="245" t="s">
        <v>257</v>
      </c>
      <c r="O448" s="246"/>
      <c r="P448" s="203" t="s">
        <v>257</v>
      </c>
      <c r="Q448" s="210" t="s">
        <v>257</v>
      </c>
      <c r="R448" s="243" t="s">
        <v>257</v>
      </c>
      <c r="S448" s="247"/>
    </row>
    <row r="449" spans="1:19" x14ac:dyDescent="0.2">
      <c r="A449" s="242"/>
      <c r="B449" s="243"/>
      <c r="C449" s="243"/>
      <c r="D449" s="243"/>
      <c r="E449" s="243"/>
      <c r="F449" s="243"/>
      <c r="G449" s="244"/>
      <c r="H449" s="243"/>
      <c r="I449" s="243"/>
      <c r="J449" s="243"/>
      <c r="K449" s="243"/>
      <c r="L449" s="243"/>
      <c r="M449" s="244"/>
      <c r="N449" s="245" t="s">
        <v>257</v>
      </c>
      <c r="O449" s="246"/>
      <c r="P449" s="203" t="s">
        <v>257</v>
      </c>
      <c r="Q449" s="210" t="s">
        <v>257</v>
      </c>
      <c r="R449" s="243" t="s">
        <v>257</v>
      </c>
      <c r="S449" s="247"/>
    </row>
    <row r="450" spans="1:19" x14ac:dyDescent="0.2">
      <c r="A450" s="242"/>
      <c r="B450" s="243"/>
      <c r="C450" s="243"/>
      <c r="D450" s="243"/>
      <c r="E450" s="243"/>
      <c r="F450" s="243"/>
      <c r="G450" s="244"/>
      <c r="H450" s="243"/>
      <c r="I450" s="243"/>
      <c r="J450" s="243"/>
      <c r="K450" s="243"/>
      <c r="L450" s="243"/>
      <c r="M450" s="244"/>
      <c r="N450" s="245" t="s">
        <v>257</v>
      </c>
      <c r="O450" s="246"/>
      <c r="P450" s="203" t="s">
        <v>257</v>
      </c>
      <c r="Q450" s="210" t="s">
        <v>257</v>
      </c>
      <c r="R450" s="243" t="s">
        <v>257</v>
      </c>
      <c r="S450" s="247"/>
    </row>
    <row r="451" spans="1:19" x14ac:dyDescent="0.2">
      <c r="A451" s="242"/>
      <c r="B451" s="243"/>
      <c r="C451" s="243"/>
      <c r="D451" s="243"/>
      <c r="E451" s="243"/>
      <c r="F451" s="243"/>
      <c r="G451" s="244"/>
      <c r="H451" s="243"/>
      <c r="I451" s="243"/>
      <c r="J451" s="243"/>
      <c r="K451" s="243"/>
      <c r="L451" s="243"/>
      <c r="M451" s="244"/>
      <c r="N451" s="245" t="s">
        <v>257</v>
      </c>
      <c r="O451" s="246"/>
      <c r="P451" s="203" t="s">
        <v>257</v>
      </c>
      <c r="Q451" s="210" t="s">
        <v>257</v>
      </c>
      <c r="R451" s="243" t="s">
        <v>257</v>
      </c>
      <c r="S451" s="247"/>
    </row>
    <row r="452" spans="1:19" x14ac:dyDescent="0.2">
      <c r="A452" s="242"/>
      <c r="B452" s="243"/>
      <c r="C452" s="243"/>
      <c r="D452" s="243"/>
      <c r="E452" s="243"/>
      <c r="F452" s="243"/>
      <c r="G452" s="244"/>
      <c r="H452" s="243"/>
      <c r="I452" s="243"/>
      <c r="J452" s="243"/>
      <c r="K452" s="243"/>
      <c r="L452" s="243"/>
      <c r="M452" s="244"/>
      <c r="N452" s="245" t="s">
        <v>257</v>
      </c>
      <c r="O452" s="246"/>
      <c r="P452" s="203" t="s">
        <v>257</v>
      </c>
      <c r="Q452" s="210" t="s">
        <v>257</v>
      </c>
      <c r="R452" s="243" t="s">
        <v>257</v>
      </c>
      <c r="S452" s="247"/>
    </row>
    <row r="453" spans="1:19" x14ac:dyDescent="0.2">
      <c r="A453" s="242"/>
      <c r="B453" s="243"/>
      <c r="C453" s="243"/>
      <c r="D453" s="243"/>
      <c r="E453" s="243"/>
      <c r="F453" s="243"/>
      <c r="G453" s="244"/>
      <c r="H453" s="243"/>
      <c r="I453" s="243"/>
      <c r="J453" s="243"/>
      <c r="K453" s="243"/>
      <c r="L453" s="243"/>
      <c r="M453" s="244"/>
      <c r="N453" s="245" t="s">
        <v>257</v>
      </c>
      <c r="O453" s="246"/>
      <c r="P453" s="203" t="s">
        <v>257</v>
      </c>
      <c r="Q453" s="210" t="s">
        <v>257</v>
      </c>
      <c r="R453" s="243" t="s">
        <v>257</v>
      </c>
      <c r="S453" s="247"/>
    </row>
    <row r="454" spans="1:19" x14ac:dyDescent="0.2">
      <c r="A454" s="242"/>
      <c r="B454" s="243"/>
      <c r="C454" s="243"/>
      <c r="D454" s="243"/>
      <c r="E454" s="243"/>
      <c r="F454" s="243"/>
      <c r="G454" s="244"/>
      <c r="H454" s="243"/>
      <c r="I454" s="243"/>
      <c r="J454" s="243"/>
      <c r="K454" s="243"/>
      <c r="L454" s="243"/>
      <c r="M454" s="244"/>
      <c r="N454" s="245" t="s">
        <v>257</v>
      </c>
      <c r="O454" s="246"/>
      <c r="P454" s="203" t="s">
        <v>257</v>
      </c>
      <c r="Q454" s="210" t="s">
        <v>257</v>
      </c>
      <c r="R454" s="243" t="s">
        <v>257</v>
      </c>
      <c r="S454" s="247"/>
    </row>
    <row r="455" spans="1:19" x14ac:dyDescent="0.2">
      <c r="A455" s="242"/>
      <c r="B455" s="243"/>
      <c r="C455" s="243"/>
      <c r="D455" s="243"/>
      <c r="E455" s="243"/>
      <c r="F455" s="243"/>
      <c r="G455" s="244"/>
      <c r="H455" s="243"/>
      <c r="I455" s="243"/>
      <c r="J455" s="243"/>
      <c r="K455" s="243"/>
      <c r="L455" s="243"/>
      <c r="M455" s="244"/>
      <c r="N455" s="245" t="s">
        <v>257</v>
      </c>
      <c r="O455" s="246"/>
      <c r="P455" s="203" t="s">
        <v>257</v>
      </c>
      <c r="Q455" s="210" t="s">
        <v>257</v>
      </c>
      <c r="R455" s="243" t="s">
        <v>257</v>
      </c>
      <c r="S455" s="247"/>
    </row>
    <row r="456" spans="1:19" x14ac:dyDescent="0.2">
      <c r="A456" s="242"/>
      <c r="B456" s="243"/>
      <c r="C456" s="243"/>
      <c r="D456" s="243"/>
      <c r="E456" s="243"/>
      <c r="F456" s="243"/>
      <c r="G456" s="244"/>
      <c r="H456" s="243"/>
      <c r="I456" s="243"/>
      <c r="J456" s="243"/>
      <c r="K456" s="243"/>
      <c r="L456" s="243"/>
      <c r="M456" s="244"/>
      <c r="N456" s="245" t="s">
        <v>257</v>
      </c>
      <c r="O456" s="246"/>
      <c r="P456" s="203" t="s">
        <v>257</v>
      </c>
      <c r="Q456" s="210" t="s">
        <v>257</v>
      </c>
      <c r="R456" s="243" t="s">
        <v>257</v>
      </c>
      <c r="S456" s="247"/>
    </row>
    <row r="457" spans="1:19" x14ac:dyDescent="0.2">
      <c r="A457" s="242"/>
      <c r="B457" s="243"/>
      <c r="C457" s="243"/>
      <c r="D457" s="243"/>
      <c r="E457" s="243"/>
      <c r="F457" s="243"/>
      <c r="G457" s="244"/>
      <c r="H457" s="243"/>
      <c r="I457" s="243"/>
      <c r="J457" s="243"/>
      <c r="K457" s="243"/>
      <c r="L457" s="243"/>
      <c r="M457" s="244"/>
      <c r="N457" s="245" t="s">
        <v>257</v>
      </c>
      <c r="O457" s="246"/>
      <c r="P457" s="203" t="s">
        <v>257</v>
      </c>
      <c r="Q457" s="210" t="s">
        <v>257</v>
      </c>
      <c r="R457" s="243" t="s">
        <v>257</v>
      </c>
      <c r="S457" s="247"/>
    </row>
    <row r="458" spans="1:19" x14ac:dyDescent="0.2">
      <c r="A458" s="242"/>
      <c r="B458" s="243"/>
      <c r="C458" s="243"/>
      <c r="D458" s="243"/>
      <c r="E458" s="243"/>
      <c r="F458" s="243"/>
      <c r="G458" s="244"/>
      <c r="H458" s="243"/>
      <c r="I458" s="243"/>
      <c r="J458" s="243"/>
      <c r="K458" s="243"/>
      <c r="L458" s="243"/>
      <c r="M458" s="244"/>
      <c r="N458" s="245" t="s">
        <v>257</v>
      </c>
      <c r="O458" s="246"/>
      <c r="P458" s="203" t="s">
        <v>257</v>
      </c>
      <c r="Q458" s="210" t="s">
        <v>257</v>
      </c>
      <c r="R458" s="243" t="s">
        <v>257</v>
      </c>
      <c r="S458" s="247"/>
    </row>
    <row r="459" spans="1:19" x14ac:dyDescent="0.2">
      <c r="A459" s="242"/>
      <c r="B459" s="243"/>
      <c r="C459" s="243"/>
      <c r="D459" s="243"/>
      <c r="E459" s="243"/>
      <c r="F459" s="243"/>
      <c r="G459" s="244"/>
      <c r="H459" s="243"/>
      <c r="I459" s="243"/>
      <c r="J459" s="243"/>
      <c r="K459" s="243"/>
      <c r="L459" s="243"/>
      <c r="M459" s="244"/>
      <c r="N459" s="245" t="s">
        <v>257</v>
      </c>
      <c r="O459" s="246"/>
      <c r="P459" s="203" t="s">
        <v>257</v>
      </c>
      <c r="Q459" s="210" t="s">
        <v>257</v>
      </c>
      <c r="R459" s="243" t="s">
        <v>257</v>
      </c>
      <c r="S459" s="247"/>
    </row>
    <row r="460" spans="1:19" x14ac:dyDescent="0.2">
      <c r="A460" s="242"/>
      <c r="B460" s="243"/>
      <c r="C460" s="243"/>
      <c r="D460" s="243"/>
      <c r="E460" s="243"/>
      <c r="F460" s="243"/>
      <c r="G460" s="244"/>
      <c r="H460" s="243"/>
      <c r="I460" s="243"/>
      <c r="J460" s="243"/>
      <c r="K460" s="243"/>
      <c r="L460" s="243"/>
      <c r="M460" s="244"/>
      <c r="N460" s="245" t="s">
        <v>257</v>
      </c>
      <c r="O460" s="246"/>
      <c r="P460" s="203" t="s">
        <v>257</v>
      </c>
      <c r="Q460" s="210" t="s">
        <v>257</v>
      </c>
      <c r="R460" s="243" t="s">
        <v>257</v>
      </c>
      <c r="S460" s="247"/>
    </row>
    <row r="461" spans="1:19" x14ac:dyDescent="0.2">
      <c r="A461" s="242"/>
      <c r="B461" s="243"/>
      <c r="C461" s="243"/>
      <c r="D461" s="243"/>
      <c r="E461" s="243"/>
      <c r="F461" s="243"/>
      <c r="G461" s="244"/>
      <c r="H461" s="243"/>
      <c r="I461" s="243"/>
      <c r="J461" s="243"/>
      <c r="K461" s="243"/>
      <c r="L461" s="243"/>
      <c r="M461" s="244"/>
      <c r="N461" s="245" t="s">
        <v>257</v>
      </c>
      <c r="O461" s="246"/>
      <c r="P461" s="203" t="s">
        <v>257</v>
      </c>
      <c r="Q461" s="210" t="s">
        <v>257</v>
      </c>
      <c r="R461" s="243" t="s">
        <v>257</v>
      </c>
      <c r="S461" s="247"/>
    </row>
    <row r="462" spans="1:19" x14ac:dyDescent="0.2">
      <c r="A462" s="242"/>
      <c r="B462" s="243"/>
      <c r="C462" s="243"/>
      <c r="D462" s="243"/>
      <c r="E462" s="243"/>
      <c r="F462" s="243"/>
      <c r="G462" s="244"/>
      <c r="H462" s="243"/>
      <c r="I462" s="243"/>
      <c r="J462" s="243"/>
      <c r="K462" s="243"/>
      <c r="L462" s="243"/>
      <c r="M462" s="244"/>
      <c r="N462" s="245" t="s">
        <v>257</v>
      </c>
      <c r="O462" s="246"/>
      <c r="P462" s="203" t="s">
        <v>257</v>
      </c>
      <c r="Q462" s="210" t="s">
        <v>257</v>
      </c>
      <c r="R462" s="243" t="s">
        <v>257</v>
      </c>
      <c r="S462" s="247"/>
    </row>
    <row r="463" spans="1:19" x14ac:dyDescent="0.2">
      <c r="A463" s="242"/>
      <c r="B463" s="243"/>
      <c r="C463" s="243"/>
      <c r="D463" s="243"/>
      <c r="E463" s="243"/>
      <c r="F463" s="243"/>
      <c r="G463" s="244"/>
      <c r="H463" s="243"/>
      <c r="I463" s="243"/>
      <c r="J463" s="243"/>
      <c r="K463" s="243"/>
      <c r="L463" s="243"/>
      <c r="M463" s="244"/>
      <c r="N463" s="245" t="s">
        <v>257</v>
      </c>
      <c r="O463" s="246"/>
      <c r="P463" s="203" t="s">
        <v>257</v>
      </c>
      <c r="Q463" s="210" t="s">
        <v>257</v>
      </c>
      <c r="R463" s="243" t="s">
        <v>257</v>
      </c>
      <c r="S463" s="247"/>
    </row>
    <row r="464" spans="1:19" x14ac:dyDescent="0.2">
      <c r="A464" s="242"/>
      <c r="B464" s="243"/>
      <c r="C464" s="243"/>
      <c r="D464" s="243"/>
      <c r="E464" s="243"/>
      <c r="F464" s="243"/>
      <c r="G464" s="244"/>
      <c r="H464" s="243"/>
      <c r="I464" s="243"/>
      <c r="J464" s="243"/>
      <c r="K464" s="243"/>
      <c r="L464" s="243"/>
      <c r="M464" s="244"/>
      <c r="N464" s="245" t="s">
        <v>257</v>
      </c>
      <c r="O464" s="246"/>
      <c r="P464" s="203" t="s">
        <v>257</v>
      </c>
      <c r="Q464" s="210" t="s">
        <v>257</v>
      </c>
      <c r="R464" s="243" t="s">
        <v>257</v>
      </c>
      <c r="S464" s="247"/>
    </row>
    <row r="465" spans="1:19" x14ac:dyDescent="0.2">
      <c r="A465" s="242"/>
      <c r="B465" s="243"/>
      <c r="C465" s="243"/>
      <c r="D465" s="243"/>
      <c r="E465" s="243"/>
      <c r="F465" s="243"/>
      <c r="G465" s="244"/>
      <c r="H465" s="243"/>
      <c r="I465" s="243"/>
      <c r="J465" s="243"/>
      <c r="K465" s="243"/>
      <c r="L465" s="243"/>
      <c r="M465" s="244"/>
      <c r="N465" s="245" t="s">
        <v>257</v>
      </c>
      <c r="O465" s="246"/>
      <c r="P465" s="203" t="s">
        <v>257</v>
      </c>
      <c r="Q465" s="210" t="s">
        <v>257</v>
      </c>
      <c r="R465" s="243" t="s">
        <v>257</v>
      </c>
      <c r="S465" s="247"/>
    </row>
    <row r="466" spans="1:19" x14ac:dyDescent="0.2">
      <c r="A466" s="242"/>
      <c r="B466" s="243"/>
      <c r="C466" s="243"/>
      <c r="D466" s="243"/>
      <c r="E466" s="243"/>
      <c r="F466" s="243"/>
      <c r="G466" s="244"/>
      <c r="H466" s="243"/>
      <c r="I466" s="243"/>
      <c r="J466" s="243"/>
      <c r="K466" s="243"/>
      <c r="L466" s="243"/>
      <c r="M466" s="244"/>
      <c r="N466" s="245" t="s">
        <v>257</v>
      </c>
      <c r="O466" s="246"/>
      <c r="P466" s="203" t="s">
        <v>257</v>
      </c>
      <c r="Q466" s="210" t="s">
        <v>257</v>
      </c>
      <c r="R466" s="243" t="s">
        <v>257</v>
      </c>
      <c r="S466" s="247"/>
    </row>
    <row r="467" spans="1:19" x14ac:dyDescent="0.2">
      <c r="A467" s="242"/>
      <c r="B467" s="243"/>
      <c r="C467" s="243"/>
      <c r="D467" s="243"/>
      <c r="E467" s="243"/>
      <c r="F467" s="243"/>
      <c r="G467" s="244"/>
      <c r="H467" s="243"/>
      <c r="I467" s="243"/>
      <c r="J467" s="243"/>
      <c r="K467" s="243"/>
      <c r="L467" s="243"/>
      <c r="M467" s="244"/>
      <c r="N467" s="245" t="s">
        <v>257</v>
      </c>
      <c r="O467" s="246"/>
      <c r="P467" s="203" t="s">
        <v>257</v>
      </c>
      <c r="Q467" s="210" t="s">
        <v>257</v>
      </c>
      <c r="R467" s="243" t="s">
        <v>257</v>
      </c>
      <c r="S467" s="247"/>
    </row>
    <row r="468" spans="1:19" x14ac:dyDescent="0.2">
      <c r="A468" s="242"/>
      <c r="B468" s="243"/>
      <c r="C468" s="243"/>
      <c r="D468" s="243"/>
      <c r="E468" s="243"/>
      <c r="F468" s="243"/>
      <c r="G468" s="244"/>
      <c r="H468" s="243"/>
      <c r="I468" s="243"/>
      <c r="J468" s="243"/>
      <c r="K468" s="243"/>
      <c r="L468" s="243"/>
      <c r="M468" s="244"/>
      <c r="N468" s="245" t="s">
        <v>257</v>
      </c>
      <c r="O468" s="246"/>
      <c r="P468" s="203" t="s">
        <v>257</v>
      </c>
      <c r="Q468" s="210" t="s">
        <v>257</v>
      </c>
      <c r="R468" s="243" t="s">
        <v>257</v>
      </c>
      <c r="S468" s="247"/>
    </row>
    <row r="469" spans="1:19" x14ac:dyDescent="0.2">
      <c r="A469" s="242"/>
      <c r="B469" s="243"/>
      <c r="C469" s="243"/>
      <c r="D469" s="243"/>
      <c r="E469" s="243"/>
      <c r="F469" s="243"/>
      <c r="G469" s="244"/>
      <c r="H469" s="243"/>
      <c r="I469" s="243"/>
      <c r="J469" s="243"/>
      <c r="K469" s="243"/>
      <c r="L469" s="243"/>
      <c r="M469" s="244"/>
      <c r="N469" s="245" t="s">
        <v>257</v>
      </c>
      <c r="O469" s="246"/>
      <c r="P469" s="203" t="s">
        <v>257</v>
      </c>
      <c r="Q469" s="210" t="s">
        <v>257</v>
      </c>
      <c r="R469" s="243" t="s">
        <v>257</v>
      </c>
      <c r="S469" s="247"/>
    </row>
    <row r="470" spans="1:19" x14ac:dyDescent="0.2">
      <c r="A470" s="242"/>
      <c r="B470" s="243"/>
      <c r="C470" s="243"/>
      <c r="D470" s="243"/>
      <c r="E470" s="243"/>
      <c r="F470" s="243"/>
      <c r="G470" s="244"/>
      <c r="H470" s="243"/>
      <c r="I470" s="243"/>
      <c r="J470" s="243"/>
      <c r="K470" s="243"/>
      <c r="L470" s="243"/>
      <c r="M470" s="244"/>
      <c r="N470" s="245" t="s">
        <v>257</v>
      </c>
      <c r="O470" s="246"/>
      <c r="P470" s="203" t="s">
        <v>257</v>
      </c>
      <c r="Q470" s="210" t="s">
        <v>257</v>
      </c>
      <c r="R470" s="243" t="s">
        <v>257</v>
      </c>
      <c r="S470" s="247"/>
    </row>
    <row r="471" spans="1:19" x14ac:dyDescent="0.2">
      <c r="A471" s="242"/>
      <c r="B471" s="243"/>
      <c r="C471" s="243"/>
      <c r="D471" s="243"/>
      <c r="E471" s="243"/>
      <c r="F471" s="243"/>
      <c r="G471" s="244"/>
      <c r="H471" s="243"/>
      <c r="I471" s="243"/>
      <c r="J471" s="243"/>
      <c r="K471" s="243"/>
      <c r="L471" s="243"/>
      <c r="M471" s="244"/>
      <c r="N471" s="245" t="s">
        <v>257</v>
      </c>
      <c r="O471" s="246"/>
      <c r="P471" s="203" t="s">
        <v>257</v>
      </c>
      <c r="Q471" s="210" t="s">
        <v>257</v>
      </c>
      <c r="R471" s="243" t="s">
        <v>257</v>
      </c>
      <c r="S471" s="247"/>
    </row>
    <row r="472" spans="1:19" x14ac:dyDescent="0.2">
      <c r="A472" s="242"/>
      <c r="B472" s="243"/>
      <c r="C472" s="243"/>
      <c r="D472" s="243"/>
      <c r="E472" s="243"/>
      <c r="F472" s="243"/>
      <c r="G472" s="244"/>
      <c r="H472" s="243"/>
      <c r="I472" s="243"/>
      <c r="J472" s="243"/>
      <c r="K472" s="243"/>
      <c r="L472" s="243"/>
      <c r="M472" s="244"/>
      <c r="N472" s="245" t="s">
        <v>257</v>
      </c>
      <c r="O472" s="246"/>
      <c r="P472" s="203" t="s">
        <v>257</v>
      </c>
      <c r="Q472" s="210" t="s">
        <v>257</v>
      </c>
      <c r="R472" s="243" t="s">
        <v>257</v>
      </c>
      <c r="S472" s="247"/>
    </row>
    <row r="473" spans="1:19" x14ac:dyDescent="0.2">
      <c r="A473" s="242"/>
      <c r="B473" s="243"/>
      <c r="C473" s="243"/>
      <c r="D473" s="243"/>
      <c r="E473" s="243"/>
      <c r="F473" s="243"/>
      <c r="G473" s="244"/>
      <c r="H473" s="243"/>
      <c r="I473" s="243"/>
      <c r="J473" s="243"/>
      <c r="K473" s="243"/>
      <c r="L473" s="243"/>
      <c r="M473" s="244"/>
      <c r="N473" s="245" t="s">
        <v>257</v>
      </c>
      <c r="O473" s="246"/>
      <c r="P473" s="203" t="s">
        <v>257</v>
      </c>
      <c r="Q473" s="210" t="s">
        <v>257</v>
      </c>
      <c r="R473" s="243" t="s">
        <v>257</v>
      </c>
      <c r="S473" s="247"/>
    </row>
    <row r="474" spans="1:19" x14ac:dyDescent="0.2">
      <c r="A474" s="242"/>
      <c r="B474" s="243"/>
      <c r="C474" s="243"/>
      <c r="D474" s="243"/>
      <c r="E474" s="243"/>
      <c r="F474" s="243"/>
      <c r="G474" s="244"/>
      <c r="H474" s="243"/>
      <c r="I474" s="243"/>
      <c r="J474" s="243"/>
      <c r="K474" s="243"/>
      <c r="L474" s="243"/>
      <c r="M474" s="244"/>
      <c r="N474" s="245" t="s">
        <v>257</v>
      </c>
      <c r="O474" s="246"/>
      <c r="P474" s="203" t="s">
        <v>257</v>
      </c>
      <c r="Q474" s="210" t="s">
        <v>257</v>
      </c>
      <c r="R474" s="243" t="s">
        <v>257</v>
      </c>
      <c r="S474" s="247"/>
    </row>
    <row r="475" spans="1:19" x14ac:dyDescent="0.2">
      <c r="A475" s="242"/>
      <c r="B475" s="243"/>
      <c r="C475" s="243"/>
      <c r="D475" s="243"/>
      <c r="E475" s="243"/>
      <c r="F475" s="243"/>
      <c r="G475" s="244"/>
      <c r="H475" s="243"/>
      <c r="I475" s="243"/>
      <c r="J475" s="243"/>
      <c r="K475" s="243"/>
      <c r="L475" s="243"/>
      <c r="M475" s="244"/>
      <c r="N475" s="245" t="s">
        <v>257</v>
      </c>
      <c r="O475" s="246"/>
      <c r="P475" s="203" t="s">
        <v>257</v>
      </c>
      <c r="Q475" s="210" t="s">
        <v>257</v>
      </c>
      <c r="R475" s="243" t="s">
        <v>257</v>
      </c>
      <c r="S475" s="247"/>
    </row>
    <row r="476" spans="1:19" x14ac:dyDescent="0.2">
      <c r="A476" s="242"/>
      <c r="B476" s="243"/>
      <c r="C476" s="243"/>
      <c r="D476" s="243"/>
      <c r="E476" s="243"/>
      <c r="F476" s="243"/>
      <c r="G476" s="244"/>
      <c r="H476" s="243"/>
      <c r="I476" s="243"/>
      <c r="J476" s="243"/>
      <c r="K476" s="243"/>
      <c r="L476" s="243"/>
      <c r="M476" s="244"/>
      <c r="N476" s="245" t="s">
        <v>257</v>
      </c>
      <c r="O476" s="246"/>
      <c r="P476" s="203" t="s">
        <v>257</v>
      </c>
      <c r="Q476" s="210" t="s">
        <v>257</v>
      </c>
      <c r="R476" s="243" t="s">
        <v>257</v>
      </c>
      <c r="S476" s="247"/>
    </row>
    <row r="477" spans="1:19" x14ac:dyDescent="0.2">
      <c r="A477" s="242"/>
      <c r="B477" s="243"/>
      <c r="C477" s="243"/>
      <c r="D477" s="243"/>
      <c r="E477" s="243"/>
      <c r="F477" s="243"/>
      <c r="G477" s="244"/>
      <c r="H477" s="243"/>
      <c r="I477" s="243"/>
      <c r="J477" s="243"/>
      <c r="K477" s="243"/>
      <c r="L477" s="243"/>
      <c r="M477" s="244"/>
      <c r="N477" s="245" t="s">
        <v>257</v>
      </c>
      <c r="O477" s="246"/>
      <c r="P477" s="203" t="s">
        <v>257</v>
      </c>
      <c r="Q477" s="210" t="s">
        <v>257</v>
      </c>
      <c r="R477" s="243" t="s">
        <v>257</v>
      </c>
      <c r="S477" s="247"/>
    </row>
    <row r="478" spans="1:19" x14ac:dyDescent="0.2">
      <c r="A478" s="242"/>
      <c r="B478" s="243"/>
      <c r="C478" s="243"/>
      <c r="D478" s="243"/>
      <c r="E478" s="243"/>
      <c r="F478" s="243"/>
      <c r="G478" s="244"/>
      <c r="H478" s="243"/>
      <c r="I478" s="243"/>
      <c r="J478" s="243"/>
      <c r="K478" s="243"/>
      <c r="L478" s="243"/>
      <c r="M478" s="244"/>
      <c r="N478" s="245" t="s">
        <v>257</v>
      </c>
      <c r="O478" s="246"/>
      <c r="P478" s="203" t="s">
        <v>257</v>
      </c>
      <c r="Q478" s="210" t="s">
        <v>257</v>
      </c>
      <c r="R478" s="243" t="s">
        <v>257</v>
      </c>
      <c r="S478" s="247"/>
    </row>
    <row r="479" spans="1:19" x14ac:dyDescent="0.2">
      <c r="A479" s="242"/>
      <c r="B479" s="243"/>
      <c r="C479" s="243"/>
      <c r="D479" s="243"/>
      <c r="E479" s="243"/>
      <c r="F479" s="243"/>
      <c r="G479" s="244"/>
      <c r="H479" s="243"/>
      <c r="I479" s="243"/>
      <c r="J479" s="243"/>
      <c r="K479" s="243"/>
      <c r="L479" s="243"/>
      <c r="M479" s="244"/>
      <c r="N479" s="245" t="s">
        <v>257</v>
      </c>
      <c r="O479" s="246"/>
      <c r="P479" s="203" t="s">
        <v>257</v>
      </c>
      <c r="Q479" s="210" t="s">
        <v>257</v>
      </c>
      <c r="R479" s="243" t="s">
        <v>257</v>
      </c>
      <c r="S479" s="247"/>
    </row>
    <row r="480" spans="1:19" x14ac:dyDescent="0.2">
      <c r="A480" s="242"/>
      <c r="B480" s="243"/>
      <c r="C480" s="243"/>
      <c r="D480" s="243"/>
      <c r="E480" s="243"/>
      <c r="F480" s="243"/>
      <c r="G480" s="244"/>
      <c r="H480" s="243"/>
      <c r="I480" s="243"/>
      <c r="J480" s="243"/>
      <c r="K480" s="243"/>
      <c r="L480" s="243"/>
      <c r="M480" s="244"/>
      <c r="N480" s="245" t="s">
        <v>257</v>
      </c>
      <c r="O480" s="246"/>
      <c r="P480" s="203" t="s">
        <v>257</v>
      </c>
      <c r="Q480" s="210" t="s">
        <v>257</v>
      </c>
      <c r="R480" s="243" t="s">
        <v>257</v>
      </c>
      <c r="S480" s="247"/>
    </row>
    <row r="481" spans="1:19" x14ac:dyDescent="0.2">
      <c r="A481" s="242"/>
      <c r="B481" s="243"/>
      <c r="C481" s="243"/>
      <c r="D481" s="243"/>
      <c r="E481" s="243"/>
      <c r="F481" s="243"/>
      <c r="G481" s="244"/>
      <c r="H481" s="243"/>
      <c r="I481" s="243"/>
      <c r="J481" s="243"/>
      <c r="K481" s="243"/>
      <c r="L481" s="243"/>
      <c r="M481" s="244"/>
      <c r="N481" s="245" t="s">
        <v>257</v>
      </c>
      <c r="O481" s="246"/>
      <c r="P481" s="203" t="s">
        <v>257</v>
      </c>
      <c r="Q481" s="210" t="s">
        <v>257</v>
      </c>
      <c r="R481" s="243" t="s">
        <v>257</v>
      </c>
      <c r="S481" s="247"/>
    </row>
    <row r="482" spans="1:19" x14ac:dyDescent="0.2">
      <c r="A482" s="242"/>
      <c r="B482" s="243"/>
      <c r="C482" s="243"/>
      <c r="D482" s="243"/>
      <c r="E482" s="243"/>
      <c r="F482" s="243"/>
      <c r="G482" s="244"/>
      <c r="H482" s="243"/>
      <c r="I482" s="243"/>
      <c r="J482" s="243"/>
      <c r="K482" s="243"/>
      <c r="L482" s="243"/>
      <c r="M482" s="244"/>
      <c r="N482" s="245" t="s">
        <v>257</v>
      </c>
      <c r="O482" s="246"/>
      <c r="P482" s="203" t="s">
        <v>257</v>
      </c>
      <c r="Q482" s="210" t="s">
        <v>257</v>
      </c>
      <c r="R482" s="243" t="s">
        <v>257</v>
      </c>
      <c r="S482" s="247"/>
    </row>
    <row r="483" spans="1:19" x14ac:dyDescent="0.2">
      <c r="A483" s="242"/>
      <c r="B483" s="243"/>
      <c r="C483" s="243"/>
      <c r="D483" s="243"/>
      <c r="E483" s="243"/>
      <c r="F483" s="243"/>
      <c r="G483" s="244"/>
      <c r="H483" s="243"/>
      <c r="I483" s="243"/>
      <c r="J483" s="243"/>
      <c r="K483" s="243"/>
      <c r="L483" s="243"/>
      <c r="M483" s="244"/>
      <c r="N483" s="245" t="s">
        <v>257</v>
      </c>
      <c r="O483" s="246"/>
      <c r="P483" s="203" t="s">
        <v>257</v>
      </c>
      <c r="Q483" s="210" t="s">
        <v>257</v>
      </c>
      <c r="R483" s="243" t="s">
        <v>257</v>
      </c>
      <c r="S483" s="247"/>
    </row>
    <row r="484" spans="1:19" x14ac:dyDescent="0.2">
      <c r="A484" s="242"/>
      <c r="B484" s="243"/>
      <c r="C484" s="243"/>
      <c r="D484" s="243"/>
      <c r="E484" s="243"/>
      <c r="F484" s="243"/>
      <c r="G484" s="244"/>
      <c r="H484" s="243"/>
      <c r="I484" s="243"/>
      <c r="J484" s="243"/>
      <c r="K484" s="243"/>
      <c r="L484" s="243"/>
      <c r="M484" s="244"/>
      <c r="N484" s="245" t="s">
        <v>257</v>
      </c>
      <c r="O484" s="246"/>
      <c r="P484" s="203" t="s">
        <v>257</v>
      </c>
      <c r="Q484" s="210" t="s">
        <v>257</v>
      </c>
      <c r="R484" s="243" t="s">
        <v>257</v>
      </c>
      <c r="S484" s="247"/>
    </row>
    <row r="485" spans="1:19" x14ac:dyDescent="0.2">
      <c r="A485" s="242"/>
      <c r="B485" s="243"/>
      <c r="C485" s="243"/>
      <c r="D485" s="243"/>
      <c r="E485" s="243"/>
      <c r="F485" s="243"/>
      <c r="G485" s="244"/>
      <c r="H485" s="243"/>
      <c r="I485" s="243"/>
      <c r="J485" s="243"/>
      <c r="K485" s="243"/>
      <c r="L485" s="243"/>
      <c r="M485" s="244"/>
      <c r="N485" s="245" t="s">
        <v>257</v>
      </c>
      <c r="O485" s="246"/>
      <c r="P485" s="203" t="s">
        <v>257</v>
      </c>
      <c r="Q485" s="210" t="s">
        <v>257</v>
      </c>
      <c r="R485" s="243" t="s">
        <v>257</v>
      </c>
      <c r="S485" s="247"/>
    </row>
    <row r="486" spans="1:19" x14ac:dyDescent="0.2">
      <c r="A486" s="242"/>
      <c r="B486" s="243"/>
      <c r="C486" s="243"/>
      <c r="D486" s="243"/>
      <c r="E486" s="243"/>
      <c r="F486" s="243"/>
      <c r="G486" s="244"/>
      <c r="H486" s="243"/>
      <c r="I486" s="243"/>
      <c r="J486" s="243"/>
      <c r="K486" s="243"/>
      <c r="L486" s="243"/>
      <c r="M486" s="244"/>
      <c r="N486" s="245" t="s">
        <v>257</v>
      </c>
      <c r="O486" s="246"/>
      <c r="P486" s="203" t="s">
        <v>257</v>
      </c>
      <c r="Q486" s="210" t="s">
        <v>257</v>
      </c>
      <c r="R486" s="243" t="s">
        <v>257</v>
      </c>
      <c r="S486" s="247"/>
    </row>
    <row r="487" spans="1:19" x14ac:dyDescent="0.2">
      <c r="A487" s="242"/>
      <c r="B487" s="243"/>
      <c r="C487" s="243"/>
      <c r="D487" s="243"/>
      <c r="E487" s="243"/>
      <c r="F487" s="243"/>
      <c r="G487" s="244"/>
      <c r="H487" s="243"/>
      <c r="I487" s="243"/>
      <c r="J487" s="243"/>
      <c r="K487" s="243"/>
      <c r="L487" s="243"/>
      <c r="M487" s="244"/>
      <c r="N487" s="245" t="s">
        <v>257</v>
      </c>
      <c r="O487" s="246"/>
      <c r="P487" s="203" t="s">
        <v>257</v>
      </c>
      <c r="Q487" s="210" t="s">
        <v>257</v>
      </c>
      <c r="R487" s="243" t="s">
        <v>257</v>
      </c>
      <c r="S487" s="247"/>
    </row>
    <row r="488" spans="1:19" x14ac:dyDescent="0.2">
      <c r="A488" s="242"/>
      <c r="B488" s="243"/>
      <c r="C488" s="243"/>
      <c r="D488" s="243"/>
      <c r="E488" s="243"/>
      <c r="F488" s="243"/>
      <c r="G488" s="244"/>
      <c r="H488" s="243"/>
      <c r="I488" s="243"/>
      <c r="J488" s="243"/>
      <c r="K488" s="243"/>
      <c r="L488" s="243"/>
      <c r="M488" s="244"/>
      <c r="N488" s="245" t="s">
        <v>257</v>
      </c>
      <c r="O488" s="246"/>
      <c r="P488" s="203" t="s">
        <v>257</v>
      </c>
      <c r="Q488" s="210" t="s">
        <v>257</v>
      </c>
      <c r="R488" s="243" t="s">
        <v>257</v>
      </c>
      <c r="S488" s="247"/>
    </row>
    <row r="489" spans="1:19" x14ac:dyDescent="0.2">
      <c r="A489" s="242"/>
      <c r="B489" s="243"/>
      <c r="C489" s="243"/>
      <c r="D489" s="243"/>
      <c r="E489" s="243"/>
      <c r="F489" s="243"/>
      <c r="G489" s="244"/>
      <c r="H489" s="243"/>
      <c r="I489" s="243"/>
      <c r="J489" s="243"/>
      <c r="K489" s="243"/>
      <c r="L489" s="243"/>
      <c r="M489" s="244"/>
      <c r="N489" s="245" t="s">
        <v>257</v>
      </c>
      <c r="O489" s="246"/>
      <c r="P489" s="203" t="s">
        <v>257</v>
      </c>
      <c r="Q489" s="210" t="s">
        <v>257</v>
      </c>
      <c r="R489" s="243" t="s">
        <v>257</v>
      </c>
      <c r="S489" s="247"/>
    </row>
    <row r="490" spans="1:19" x14ac:dyDescent="0.2">
      <c r="A490" s="242"/>
      <c r="B490" s="243"/>
      <c r="C490" s="243"/>
      <c r="D490" s="243"/>
      <c r="E490" s="243"/>
      <c r="F490" s="243"/>
      <c r="G490" s="244"/>
      <c r="H490" s="243"/>
      <c r="I490" s="243"/>
      <c r="J490" s="243"/>
      <c r="K490" s="243"/>
      <c r="L490" s="243"/>
      <c r="M490" s="244"/>
      <c r="N490" s="245" t="s">
        <v>257</v>
      </c>
      <c r="O490" s="246"/>
      <c r="P490" s="203" t="s">
        <v>257</v>
      </c>
      <c r="Q490" s="210" t="s">
        <v>257</v>
      </c>
      <c r="R490" s="243" t="s">
        <v>257</v>
      </c>
      <c r="S490" s="247"/>
    </row>
    <row r="491" spans="1:19" x14ac:dyDescent="0.2">
      <c r="A491" s="242"/>
      <c r="B491" s="243"/>
      <c r="C491" s="243"/>
      <c r="D491" s="243"/>
      <c r="E491" s="243"/>
      <c r="F491" s="243"/>
      <c r="G491" s="244"/>
      <c r="H491" s="243"/>
      <c r="I491" s="243"/>
      <c r="J491" s="243"/>
      <c r="K491" s="243"/>
      <c r="L491" s="243"/>
      <c r="M491" s="244"/>
      <c r="N491" s="245" t="s">
        <v>257</v>
      </c>
      <c r="O491" s="246"/>
      <c r="P491" s="203" t="s">
        <v>257</v>
      </c>
      <c r="Q491" s="210" t="s">
        <v>257</v>
      </c>
      <c r="R491" s="243" t="s">
        <v>257</v>
      </c>
      <c r="S491" s="247"/>
    </row>
    <row r="492" spans="1:19" x14ac:dyDescent="0.2">
      <c r="A492" s="242"/>
      <c r="B492" s="243"/>
      <c r="C492" s="243"/>
      <c r="D492" s="243"/>
      <c r="E492" s="243"/>
      <c r="F492" s="243"/>
      <c r="G492" s="244"/>
      <c r="H492" s="243"/>
      <c r="I492" s="243"/>
      <c r="J492" s="243"/>
      <c r="K492" s="243"/>
      <c r="L492" s="243"/>
      <c r="M492" s="244"/>
      <c r="N492" s="245" t="s">
        <v>257</v>
      </c>
      <c r="O492" s="246"/>
      <c r="P492" s="203" t="s">
        <v>257</v>
      </c>
      <c r="Q492" s="210" t="s">
        <v>257</v>
      </c>
      <c r="R492" s="243" t="s">
        <v>257</v>
      </c>
      <c r="S492" s="247"/>
    </row>
    <row r="493" spans="1:19" x14ac:dyDescent="0.2">
      <c r="A493" s="242"/>
      <c r="B493" s="243"/>
      <c r="C493" s="243"/>
      <c r="D493" s="243"/>
      <c r="E493" s="243"/>
      <c r="F493" s="243"/>
      <c r="G493" s="244"/>
      <c r="H493" s="243"/>
      <c r="I493" s="243"/>
      <c r="J493" s="243"/>
      <c r="K493" s="243"/>
      <c r="L493" s="243"/>
      <c r="M493" s="244"/>
      <c r="N493" s="245" t="s">
        <v>257</v>
      </c>
      <c r="O493" s="246"/>
      <c r="P493" s="203" t="s">
        <v>257</v>
      </c>
      <c r="Q493" s="210" t="s">
        <v>257</v>
      </c>
      <c r="R493" s="243" t="s">
        <v>257</v>
      </c>
      <c r="S493" s="247"/>
    </row>
    <row r="494" spans="1:19" x14ac:dyDescent="0.2">
      <c r="A494" s="242"/>
      <c r="B494" s="243"/>
      <c r="C494" s="243"/>
      <c r="D494" s="243"/>
      <c r="E494" s="243"/>
      <c r="F494" s="243"/>
      <c r="G494" s="244"/>
      <c r="H494" s="243"/>
      <c r="I494" s="243"/>
      <c r="J494" s="243"/>
      <c r="K494" s="243"/>
      <c r="L494" s="243"/>
      <c r="M494" s="244"/>
      <c r="N494" s="245" t="s">
        <v>257</v>
      </c>
      <c r="O494" s="246"/>
      <c r="P494" s="203" t="s">
        <v>257</v>
      </c>
      <c r="Q494" s="210" t="s">
        <v>257</v>
      </c>
      <c r="R494" s="243" t="s">
        <v>257</v>
      </c>
      <c r="S494" s="247"/>
    </row>
    <row r="495" spans="1:19" x14ac:dyDescent="0.2">
      <c r="A495" s="242"/>
      <c r="B495" s="243"/>
      <c r="C495" s="243"/>
      <c r="D495" s="243"/>
      <c r="E495" s="243"/>
      <c r="F495" s="243"/>
      <c r="G495" s="244"/>
      <c r="H495" s="243"/>
      <c r="I495" s="243"/>
      <c r="J495" s="243"/>
      <c r="K495" s="243"/>
      <c r="L495" s="243"/>
      <c r="M495" s="244"/>
      <c r="N495" s="245" t="s">
        <v>257</v>
      </c>
      <c r="O495" s="246"/>
      <c r="P495" s="203" t="s">
        <v>257</v>
      </c>
      <c r="Q495" s="210" t="s">
        <v>257</v>
      </c>
      <c r="R495" s="243" t="s">
        <v>257</v>
      </c>
      <c r="S495" s="247"/>
    </row>
    <row r="496" spans="1:19" x14ac:dyDescent="0.2">
      <c r="A496" s="242"/>
      <c r="B496" s="243"/>
      <c r="C496" s="243"/>
      <c r="D496" s="243"/>
      <c r="E496" s="243"/>
      <c r="F496" s="243"/>
      <c r="G496" s="244"/>
      <c r="H496" s="243"/>
      <c r="I496" s="243"/>
      <c r="J496" s="243"/>
      <c r="K496" s="243"/>
      <c r="L496" s="243"/>
      <c r="M496" s="244"/>
      <c r="N496" s="245" t="s">
        <v>257</v>
      </c>
      <c r="O496" s="246"/>
      <c r="P496" s="203" t="s">
        <v>257</v>
      </c>
      <c r="Q496" s="210" t="s">
        <v>257</v>
      </c>
      <c r="R496" s="243" t="s">
        <v>257</v>
      </c>
      <c r="S496" s="247"/>
    </row>
    <row r="497" spans="1:19" x14ac:dyDescent="0.2">
      <c r="A497" s="242"/>
      <c r="B497" s="243"/>
      <c r="C497" s="243"/>
      <c r="D497" s="243"/>
      <c r="E497" s="243"/>
      <c r="F497" s="243"/>
      <c r="G497" s="244"/>
      <c r="H497" s="243"/>
      <c r="I497" s="243"/>
      <c r="J497" s="243"/>
      <c r="K497" s="243"/>
      <c r="L497" s="243"/>
      <c r="M497" s="244"/>
      <c r="N497" s="245" t="s">
        <v>257</v>
      </c>
      <c r="O497" s="246"/>
      <c r="P497" s="203" t="s">
        <v>257</v>
      </c>
      <c r="Q497" s="210" t="s">
        <v>257</v>
      </c>
      <c r="R497" s="243" t="s">
        <v>257</v>
      </c>
      <c r="S497" s="247"/>
    </row>
    <row r="498" spans="1:19" x14ac:dyDescent="0.2">
      <c r="A498" s="242"/>
      <c r="B498" s="243"/>
      <c r="C498" s="243"/>
      <c r="D498" s="243"/>
      <c r="E498" s="243"/>
      <c r="F498" s="243"/>
      <c r="G498" s="244"/>
      <c r="H498" s="243"/>
      <c r="I498" s="243"/>
      <c r="J498" s="243"/>
      <c r="K498" s="243"/>
      <c r="L498" s="243"/>
      <c r="M498" s="244"/>
      <c r="N498" s="245" t="s">
        <v>257</v>
      </c>
      <c r="O498" s="246"/>
      <c r="P498" s="203" t="s">
        <v>257</v>
      </c>
      <c r="Q498" s="210" t="s">
        <v>257</v>
      </c>
      <c r="R498" s="243" t="s">
        <v>257</v>
      </c>
      <c r="S498" s="247"/>
    </row>
    <row r="499" spans="1:19" x14ac:dyDescent="0.2">
      <c r="A499" s="242"/>
      <c r="B499" s="243"/>
      <c r="C499" s="243"/>
      <c r="D499" s="243"/>
      <c r="E499" s="243"/>
      <c r="F499" s="243"/>
      <c r="G499" s="244"/>
      <c r="H499" s="243"/>
      <c r="I499" s="243"/>
      <c r="J499" s="243"/>
      <c r="K499" s="243"/>
      <c r="L499" s="243"/>
      <c r="M499" s="244"/>
      <c r="N499" s="245" t="s">
        <v>257</v>
      </c>
      <c r="O499" s="246"/>
      <c r="P499" s="203" t="s">
        <v>257</v>
      </c>
      <c r="Q499" s="210" t="s">
        <v>257</v>
      </c>
      <c r="R499" s="243" t="s">
        <v>257</v>
      </c>
      <c r="S499" s="247"/>
    </row>
    <row r="500" spans="1:19" x14ac:dyDescent="0.2">
      <c r="A500" s="242"/>
      <c r="B500" s="243"/>
      <c r="C500" s="243"/>
      <c r="D500" s="243"/>
      <c r="E500" s="243"/>
      <c r="F500" s="243"/>
      <c r="G500" s="244"/>
      <c r="H500" s="243"/>
      <c r="I500" s="243"/>
      <c r="J500" s="243"/>
      <c r="K500" s="243"/>
      <c r="L500" s="243"/>
      <c r="M500" s="244"/>
      <c r="N500" s="245" t="s">
        <v>257</v>
      </c>
      <c r="O500" s="246"/>
      <c r="P500" s="203" t="s">
        <v>257</v>
      </c>
      <c r="Q500" s="210" t="s">
        <v>257</v>
      </c>
      <c r="R500" s="243" t="s">
        <v>257</v>
      </c>
      <c r="S500" s="247"/>
    </row>
    <row r="501" spans="1:19" x14ac:dyDescent="0.2">
      <c r="A501" s="242"/>
      <c r="B501" s="243"/>
      <c r="C501" s="243"/>
      <c r="D501" s="243"/>
      <c r="E501" s="243"/>
      <c r="F501" s="243"/>
      <c r="G501" s="244"/>
      <c r="H501" s="243"/>
      <c r="I501" s="243"/>
      <c r="J501" s="243"/>
      <c r="K501" s="243"/>
      <c r="L501" s="243"/>
      <c r="M501" s="244"/>
      <c r="N501" s="245" t="s">
        <v>257</v>
      </c>
      <c r="O501" s="246"/>
      <c r="P501" s="203" t="s">
        <v>257</v>
      </c>
      <c r="Q501" s="210" t="s">
        <v>257</v>
      </c>
      <c r="R501" s="243" t="s">
        <v>257</v>
      </c>
      <c r="S501" s="247"/>
    </row>
    <row r="502" spans="1:19" x14ac:dyDescent="0.2">
      <c r="A502" s="242"/>
      <c r="B502" s="243"/>
      <c r="C502" s="243"/>
      <c r="D502" s="243"/>
      <c r="E502" s="243"/>
      <c r="F502" s="243"/>
      <c r="G502" s="244"/>
      <c r="H502" s="243"/>
      <c r="I502" s="243"/>
      <c r="J502" s="243"/>
      <c r="K502" s="243"/>
      <c r="L502" s="243"/>
      <c r="M502" s="244"/>
      <c r="N502" s="245" t="s">
        <v>257</v>
      </c>
      <c r="O502" s="246"/>
      <c r="P502" s="203" t="s">
        <v>257</v>
      </c>
      <c r="Q502" s="210" t="s">
        <v>257</v>
      </c>
      <c r="R502" s="243" t="s">
        <v>257</v>
      </c>
      <c r="S502" s="247"/>
    </row>
    <row r="503" spans="1:19" x14ac:dyDescent="0.2">
      <c r="A503" s="242"/>
      <c r="B503" s="243"/>
      <c r="C503" s="243"/>
      <c r="D503" s="243"/>
      <c r="E503" s="243"/>
      <c r="F503" s="243"/>
      <c r="G503" s="244"/>
      <c r="H503" s="243"/>
      <c r="I503" s="243"/>
      <c r="J503" s="243"/>
      <c r="K503" s="243"/>
      <c r="L503" s="243"/>
      <c r="M503" s="244"/>
      <c r="N503" s="245" t="s">
        <v>257</v>
      </c>
      <c r="O503" s="246"/>
      <c r="P503" s="203" t="s">
        <v>257</v>
      </c>
      <c r="Q503" s="210" t="s">
        <v>257</v>
      </c>
      <c r="R503" s="243" t="s">
        <v>257</v>
      </c>
      <c r="S503" s="247"/>
    </row>
    <row r="504" spans="1:19" x14ac:dyDescent="0.2">
      <c r="A504" s="242"/>
      <c r="B504" s="243"/>
      <c r="C504" s="243"/>
      <c r="D504" s="243"/>
      <c r="E504" s="243"/>
      <c r="F504" s="243"/>
      <c r="G504" s="244"/>
      <c r="H504" s="243"/>
      <c r="I504" s="243"/>
      <c r="J504" s="243"/>
      <c r="K504" s="243"/>
      <c r="L504" s="243"/>
      <c r="M504" s="244"/>
      <c r="N504" s="245" t="s">
        <v>257</v>
      </c>
      <c r="O504" s="246"/>
      <c r="P504" s="203" t="s">
        <v>257</v>
      </c>
      <c r="Q504" s="210" t="s">
        <v>257</v>
      </c>
      <c r="R504" s="243" t="s">
        <v>257</v>
      </c>
      <c r="S504" s="247"/>
    </row>
    <row r="505" spans="1:19" x14ac:dyDescent="0.2">
      <c r="A505" s="242"/>
      <c r="B505" s="243"/>
      <c r="C505" s="243"/>
      <c r="D505" s="243"/>
      <c r="E505" s="243"/>
      <c r="F505" s="243"/>
      <c r="G505" s="244"/>
      <c r="H505" s="243"/>
      <c r="I505" s="243"/>
      <c r="J505" s="243"/>
      <c r="K505" s="243"/>
      <c r="L505" s="243"/>
      <c r="M505" s="244"/>
      <c r="N505" s="245" t="s">
        <v>257</v>
      </c>
      <c r="O505" s="246"/>
      <c r="P505" s="203" t="s">
        <v>257</v>
      </c>
      <c r="Q505" s="210" t="s">
        <v>257</v>
      </c>
      <c r="R505" s="243" t="s">
        <v>257</v>
      </c>
      <c r="S505" s="247"/>
    </row>
    <row r="506" spans="1:19" x14ac:dyDescent="0.2">
      <c r="A506" s="242"/>
      <c r="B506" s="243"/>
      <c r="C506" s="243"/>
      <c r="D506" s="243"/>
      <c r="E506" s="243"/>
      <c r="F506" s="243"/>
      <c r="G506" s="244"/>
      <c r="H506" s="243"/>
      <c r="I506" s="243"/>
      <c r="J506" s="243"/>
      <c r="K506" s="243"/>
      <c r="L506" s="243"/>
      <c r="M506" s="244"/>
      <c r="N506" s="245" t="s">
        <v>257</v>
      </c>
      <c r="O506" s="246"/>
      <c r="P506" s="203" t="s">
        <v>257</v>
      </c>
      <c r="Q506" s="210" t="s">
        <v>257</v>
      </c>
      <c r="R506" s="243" t="s">
        <v>257</v>
      </c>
      <c r="S506" s="247"/>
    </row>
    <row r="507" spans="1:19" x14ac:dyDescent="0.2">
      <c r="A507" s="242"/>
      <c r="B507" s="243"/>
      <c r="C507" s="243"/>
      <c r="D507" s="243"/>
      <c r="E507" s="243"/>
      <c r="F507" s="243"/>
      <c r="G507" s="244"/>
      <c r="H507" s="243"/>
      <c r="I507" s="243"/>
      <c r="J507" s="243"/>
      <c r="K507" s="243"/>
      <c r="L507" s="243"/>
      <c r="M507" s="244"/>
      <c r="N507" s="245" t="s">
        <v>257</v>
      </c>
      <c r="O507" s="246"/>
      <c r="P507" s="203" t="s">
        <v>257</v>
      </c>
      <c r="Q507" s="210" t="s">
        <v>257</v>
      </c>
      <c r="R507" s="243" t="s">
        <v>257</v>
      </c>
      <c r="S507" s="247"/>
    </row>
    <row r="508" spans="1:19" x14ac:dyDescent="0.2">
      <c r="A508" s="242"/>
      <c r="B508" s="243"/>
      <c r="C508" s="243"/>
      <c r="D508" s="243"/>
      <c r="E508" s="243"/>
      <c r="F508" s="243"/>
      <c r="G508" s="244"/>
      <c r="H508" s="243"/>
      <c r="I508" s="243"/>
      <c r="J508" s="243"/>
      <c r="K508" s="243"/>
      <c r="L508" s="243"/>
      <c r="M508" s="244"/>
      <c r="N508" s="245" t="s">
        <v>257</v>
      </c>
      <c r="O508" s="246"/>
      <c r="P508" s="203" t="s">
        <v>257</v>
      </c>
      <c r="Q508" s="210" t="s">
        <v>257</v>
      </c>
      <c r="R508" s="243" t="s">
        <v>257</v>
      </c>
      <c r="S508" s="247"/>
    </row>
    <row r="509" spans="1:19" x14ac:dyDescent="0.2">
      <c r="A509" s="242"/>
      <c r="B509" s="243"/>
      <c r="C509" s="243"/>
      <c r="D509" s="243"/>
      <c r="E509" s="243"/>
      <c r="F509" s="243"/>
      <c r="G509" s="244"/>
      <c r="H509" s="243"/>
      <c r="I509" s="243"/>
      <c r="J509" s="243"/>
      <c r="K509" s="243"/>
      <c r="L509" s="243"/>
      <c r="M509" s="244"/>
      <c r="N509" s="245" t="s">
        <v>257</v>
      </c>
      <c r="O509" s="246"/>
      <c r="P509" s="203" t="s">
        <v>257</v>
      </c>
      <c r="Q509" s="210" t="s">
        <v>257</v>
      </c>
      <c r="R509" s="243" t="s">
        <v>257</v>
      </c>
      <c r="S509" s="247"/>
    </row>
    <row r="510" spans="1:19" x14ac:dyDescent="0.2">
      <c r="A510" s="242"/>
      <c r="B510" s="243"/>
      <c r="C510" s="243"/>
      <c r="D510" s="243"/>
      <c r="E510" s="243"/>
      <c r="F510" s="243"/>
      <c r="G510" s="244"/>
      <c r="H510" s="243"/>
      <c r="I510" s="243"/>
      <c r="J510" s="243"/>
      <c r="K510" s="243"/>
      <c r="L510" s="243"/>
      <c r="M510" s="244"/>
      <c r="N510" s="245" t="s">
        <v>257</v>
      </c>
      <c r="O510" s="246"/>
      <c r="P510" s="203" t="s">
        <v>257</v>
      </c>
      <c r="Q510" s="210" t="s">
        <v>257</v>
      </c>
      <c r="R510" s="243" t="s">
        <v>257</v>
      </c>
      <c r="S510" s="247"/>
    </row>
    <row r="511" spans="1:19" x14ac:dyDescent="0.2">
      <c r="A511" s="242"/>
      <c r="B511" s="243"/>
      <c r="C511" s="243"/>
      <c r="D511" s="243"/>
      <c r="E511" s="243"/>
      <c r="F511" s="243"/>
      <c r="G511" s="244"/>
      <c r="H511" s="243"/>
      <c r="I511" s="243"/>
      <c r="J511" s="243"/>
      <c r="K511" s="243"/>
      <c r="L511" s="243"/>
      <c r="M511" s="244"/>
      <c r="N511" s="245" t="s">
        <v>257</v>
      </c>
      <c r="O511" s="246"/>
      <c r="P511" s="203" t="s">
        <v>257</v>
      </c>
      <c r="Q511" s="210" t="s">
        <v>257</v>
      </c>
      <c r="R511" s="243" t="s">
        <v>257</v>
      </c>
      <c r="S511" s="247"/>
    </row>
    <row r="512" spans="1:19" x14ac:dyDescent="0.2">
      <c r="A512" s="242"/>
      <c r="B512" s="243"/>
      <c r="C512" s="243"/>
      <c r="D512" s="243"/>
      <c r="E512" s="243"/>
      <c r="F512" s="243"/>
      <c r="G512" s="244"/>
      <c r="H512" s="243"/>
      <c r="I512" s="243"/>
      <c r="J512" s="243"/>
      <c r="K512" s="243"/>
      <c r="L512" s="243"/>
      <c r="M512" s="244"/>
      <c r="N512" s="245" t="s">
        <v>257</v>
      </c>
      <c r="O512" s="246"/>
      <c r="P512" s="203" t="s">
        <v>257</v>
      </c>
      <c r="Q512" s="210" t="s">
        <v>257</v>
      </c>
      <c r="R512" s="243" t="s">
        <v>257</v>
      </c>
      <c r="S512" s="247"/>
    </row>
    <row r="513" spans="1:19" x14ac:dyDescent="0.2">
      <c r="A513" s="242"/>
      <c r="B513" s="243"/>
      <c r="C513" s="243"/>
      <c r="D513" s="243"/>
      <c r="E513" s="243"/>
      <c r="F513" s="243"/>
      <c r="G513" s="244"/>
      <c r="H513" s="243"/>
      <c r="I513" s="243"/>
      <c r="J513" s="243"/>
      <c r="K513" s="243"/>
      <c r="L513" s="243"/>
      <c r="M513" s="244"/>
      <c r="N513" s="245" t="s">
        <v>257</v>
      </c>
      <c r="O513" s="246"/>
      <c r="P513" s="203" t="s">
        <v>257</v>
      </c>
      <c r="Q513" s="210" t="s">
        <v>257</v>
      </c>
      <c r="R513" s="243" t="s">
        <v>257</v>
      </c>
      <c r="S513" s="247"/>
    </row>
    <row r="514" spans="1:19" x14ac:dyDescent="0.2">
      <c r="A514" s="242"/>
      <c r="B514" s="243"/>
      <c r="C514" s="243"/>
      <c r="D514" s="243"/>
      <c r="E514" s="243"/>
      <c r="F514" s="243"/>
      <c r="G514" s="244"/>
      <c r="H514" s="243"/>
      <c r="I514" s="243"/>
      <c r="J514" s="243"/>
      <c r="K514" s="243"/>
      <c r="L514" s="243"/>
      <c r="M514" s="244"/>
      <c r="N514" s="245" t="s">
        <v>257</v>
      </c>
      <c r="O514" s="246"/>
      <c r="P514" s="203" t="s">
        <v>257</v>
      </c>
      <c r="Q514" s="210" t="s">
        <v>257</v>
      </c>
      <c r="R514" s="243" t="s">
        <v>257</v>
      </c>
      <c r="S514" s="247"/>
    </row>
    <row r="515" spans="1:19" x14ac:dyDescent="0.2">
      <c r="A515" s="242"/>
      <c r="B515" s="243"/>
      <c r="C515" s="243"/>
      <c r="D515" s="243"/>
      <c r="E515" s="243"/>
      <c r="F515" s="243"/>
      <c r="G515" s="244"/>
      <c r="H515" s="243"/>
      <c r="I515" s="243"/>
      <c r="J515" s="243"/>
      <c r="K515" s="243"/>
      <c r="L515" s="243"/>
      <c r="M515" s="244"/>
      <c r="N515" s="245" t="s">
        <v>257</v>
      </c>
      <c r="O515" s="246"/>
      <c r="P515" s="203" t="s">
        <v>257</v>
      </c>
      <c r="Q515" s="210" t="s">
        <v>257</v>
      </c>
      <c r="R515" s="243" t="s">
        <v>257</v>
      </c>
      <c r="S515" s="247"/>
    </row>
    <row r="516" spans="1:19" x14ac:dyDescent="0.2">
      <c r="A516" s="242"/>
      <c r="B516" s="243"/>
      <c r="C516" s="243"/>
      <c r="D516" s="243"/>
      <c r="E516" s="243"/>
      <c r="F516" s="243"/>
      <c r="G516" s="244"/>
      <c r="H516" s="243"/>
      <c r="I516" s="243"/>
      <c r="J516" s="243"/>
      <c r="K516" s="243"/>
      <c r="L516" s="243"/>
      <c r="M516" s="244"/>
      <c r="N516" s="245" t="s">
        <v>257</v>
      </c>
      <c r="O516" s="246"/>
      <c r="P516" s="203" t="s">
        <v>257</v>
      </c>
      <c r="Q516" s="210" t="s">
        <v>257</v>
      </c>
      <c r="R516" s="243" t="s">
        <v>257</v>
      </c>
      <c r="S516" s="247"/>
    </row>
    <row r="517" spans="1:19" x14ac:dyDescent="0.2">
      <c r="A517" s="242"/>
      <c r="B517" s="243"/>
      <c r="C517" s="243"/>
      <c r="D517" s="243"/>
      <c r="E517" s="243"/>
      <c r="F517" s="243"/>
      <c r="G517" s="244"/>
      <c r="H517" s="243"/>
      <c r="I517" s="243"/>
      <c r="J517" s="243"/>
      <c r="K517" s="243"/>
      <c r="L517" s="243"/>
      <c r="M517" s="244"/>
      <c r="N517" s="245" t="s">
        <v>257</v>
      </c>
      <c r="O517" s="246"/>
      <c r="P517" s="203" t="s">
        <v>257</v>
      </c>
      <c r="Q517" s="210" t="s">
        <v>257</v>
      </c>
      <c r="R517" s="243" t="s">
        <v>257</v>
      </c>
      <c r="S517" s="247"/>
    </row>
    <row r="518" spans="1:19" x14ac:dyDescent="0.2">
      <c r="A518" s="242"/>
      <c r="B518" s="243"/>
      <c r="C518" s="243"/>
      <c r="D518" s="243"/>
      <c r="E518" s="243"/>
      <c r="F518" s="243"/>
      <c r="G518" s="244"/>
      <c r="H518" s="243"/>
      <c r="I518" s="243"/>
      <c r="J518" s="243"/>
      <c r="K518" s="243"/>
      <c r="L518" s="243"/>
      <c r="M518" s="244"/>
      <c r="N518" s="245" t="s">
        <v>257</v>
      </c>
      <c r="O518" s="246"/>
      <c r="P518" s="203" t="s">
        <v>257</v>
      </c>
      <c r="Q518" s="210" t="s">
        <v>257</v>
      </c>
      <c r="R518" s="243" t="s">
        <v>257</v>
      </c>
      <c r="S518" s="247"/>
    </row>
    <row r="519" spans="1:19" x14ac:dyDescent="0.2">
      <c r="A519" s="242"/>
      <c r="B519" s="243"/>
      <c r="C519" s="243"/>
      <c r="D519" s="243"/>
      <c r="E519" s="243"/>
      <c r="F519" s="243"/>
      <c r="G519" s="244"/>
      <c r="H519" s="243"/>
      <c r="I519" s="243"/>
      <c r="J519" s="243"/>
      <c r="K519" s="243"/>
      <c r="L519" s="243"/>
      <c r="M519" s="244"/>
      <c r="N519" s="245" t="s">
        <v>257</v>
      </c>
      <c r="O519" s="246"/>
      <c r="P519" s="203" t="s">
        <v>257</v>
      </c>
      <c r="Q519" s="210" t="s">
        <v>257</v>
      </c>
      <c r="R519" s="243" t="s">
        <v>257</v>
      </c>
      <c r="S519" s="247"/>
    </row>
    <row r="520" spans="1:19" x14ac:dyDescent="0.2">
      <c r="A520" s="242"/>
      <c r="B520" s="243"/>
      <c r="C520" s="243"/>
      <c r="D520" s="243"/>
      <c r="E520" s="243"/>
      <c r="F520" s="243"/>
      <c r="G520" s="244"/>
      <c r="H520" s="243"/>
      <c r="I520" s="243"/>
      <c r="J520" s="243"/>
      <c r="K520" s="243"/>
      <c r="L520" s="243"/>
      <c r="M520" s="244"/>
      <c r="N520" s="245" t="s">
        <v>257</v>
      </c>
      <c r="O520" s="246"/>
      <c r="P520" s="203" t="s">
        <v>257</v>
      </c>
      <c r="Q520" s="210" t="s">
        <v>257</v>
      </c>
      <c r="R520" s="243" t="s">
        <v>257</v>
      </c>
      <c r="S520" s="247"/>
    </row>
    <row r="521" spans="1:19" x14ac:dyDescent="0.2">
      <c r="A521" s="242"/>
      <c r="B521" s="243"/>
      <c r="C521" s="243"/>
      <c r="D521" s="243"/>
      <c r="E521" s="243"/>
      <c r="F521" s="243"/>
      <c r="G521" s="244"/>
      <c r="H521" s="243"/>
      <c r="I521" s="243"/>
      <c r="J521" s="243"/>
      <c r="K521" s="243"/>
      <c r="L521" s="243"/>
      <c r="M521" s="244"/>
      <c r="N521" s="245" t="s">
        <v>257</v>
      </c>
      <c r="O521" s="246"/>
      <c r="P521" s="203" t="s">
        <v>257</v>
      </c>
      <c r="Q521" s="210" t="s">
        <v>257</v>
      </c>
      <c r="R521" s="243" t="s">
        <v>257</v>
      </c>
      <c r="S521" s="247"/>
    </row>
    <row r="522" spans="1:19" x14ac:dyDescent="0.2">
      <c r="A522" s="242"/>
      <c r="B522" s="243"/>
      <c r="C522" s="243"/>
      <c r="D522" s="243"/>
      <c r="E522" s="243"/>
      <c r="F522" s="243"/>
      <c r="G522" s="244"/>
      <c r="H522" s="243"/>
      <c r="I522" s="243"/>
      <c r="J522" s="243"/>
      <c r="K522" s="243"/>
      <c r="L522" s="243"/>
      <c r="M522" s="244"/>
      <c r="N522" s="245" t="s">
        <v>257</v>
      </c>
      <c r="O522" s="246"/>
      <c r="P522" s="203" t="s">
        <v>257</v>
      </c>
      <c r="Q522" s="210" t="s">
        <v>257</v>
      </c>
      <c r="R522" s="243" t="s">
        <v>257</v>
      </c>
      <c r="S522" s="247"/>
    </row>
    <row r="523" spans="1:19" x14ac:dyDescent="0.2">
      <c r="A523" s="242"/>
      <c r="B523" s="243"/>
      <c r="C523" s="243"/>
      <c r="D523" s="243"/>
      <c r="E523" s="243"/>
      <c r="F523" s="243"/>
      <c r="G523" s="244"/>
      <c r="H523" s="243"/>
      <c r="I523" s="243"/>
      <c r="J523" s="243"/>
      <c r="K523" s="243"/>
      <c r="L523" s="243"/>
      <c r="M523" s="244"/>
      <c r="N523" s="245" t="s">
        <v>257</v>
      </c>
      <c r="O523" s="246"/>
      <c r="P523" s="203" t="s">
        <v>257</v>
      </c>
      <c r="Q523" s="210" t="s">
        <v>257</v>
      </c>
      <c r="R523" s="243" t="s">
        <v>257</v>
      </c>
      <c r="S523" s="247"/>
    </row>
    <row r="524" spans="1:19" x14ac:dyDescent="0.2">
      <c r="A524" s="242"/>
      <c r="B524" s="243"/>
      <c r="C524" s="243"/>
      <c r="D524" s="243"/>
      <c r="E524" s="243"/>
      <c r="F524" s="243"/>
      <c r="G524" s="244"/>
      <c r="H524" s="243"/>
      <c r="I524" s="243"/>
      <c r="J524" s="243"/>
      <c r="K524" s="243"/>
      <c r="L524" s="243"/>
      <c r="M524" s="244"/>
      <c r="N524" s="245" t="s">
        <v>257</v>
      </c>
      <c r="O524" s="246"/>
      <c r="P524" s="203" t="s">
        <v>257</v>
      </c>
      <c r="Q524" s="210" t="s">
        <v>257</v>
      </c>
      <c r="R524" s="243" t="s">
        <v>257</v>
      </c>
      <c r="S524" s="247"/>
    </row>
    <row r="525" spans="1:19" x14ac:dyDescent="0.2">
      <c r="A525" s="242"/>
      <c r="B525" s="243"/>
      <c r="C525" s="243"/>
      <c r="D525" s="243"/>
      <c r="E525" s="243"/>
      <c r="F525" s="243"/>
      <c r="G525" s="244"/>
      <c r="H525" s="243"/>
      <c r="I525" s="243"/>
      <c r="J525" s="243"/>
      <c r="K525" s="243"/>
      <c r="L525" s="243"/>
      <c r="M525" s="244"/>
      <c r="N525" s="245" t="s">
        <v>257</v>
      </c>
      <c r="O525" s="246"/>
      <c r="P525" s="203" t="s">
        <v>257</v>
      </c>
      <c r="Q525" s="210" t="s">
        <v>257</v>
      </c>
      <c r="R525" s="243" t="s">
        <v>257</v>
      </c>
      <c r="S525" s="247"/>
    </row>
    <row r="526" spans="1:19" x14ac:dyDescent="0.2">
      <c r="A526" s="242"/>
      <c r="B526" s="243"/>
      <c r="C526" s="243"/>
      <c r="D526" s="243"/>
      <c r="E526" s="243"/>
      <c r="F526" s="243"/>
      <c r="G526" s="244"/>
      <c r="H526" s="243"/>
      <c r="I526" s="243"/>
      <c r="J526" s="243"/>
      <c r="K526" s="243"/>
      <c r="L526" s="243"/>
      <c r="M526" s="244"/>
      <c r="N526" s="245" t="s">
        <v>257</v>
      </c>
      <c r="O526" s="246"/>
      <c r="P526" s="203" t="s">
        <v>257</v>
      </c>
      <c r="Q526" s="210" t="s">
        <v>257</v>
      </c>
      <c r="R526" s="243" t="s">
        <v>257</v>
      </c>
      <c r="S526" s="247"/>
    </row>
    <row r="527" spans="1:19" x14ac:dyDescent="0.2">
      <c r="A527" s="242"/>
      <c r="B527" s="243"/>
      <c r="C527" s="243"/>
      <c r="D527" s="243"/>
      <c r="E527" s="243"/>
      <c r="F527" s="243"/>
      <c r="G527" s="244"/>
      <c r="H527" s="243"/>
      <c r="I527" s="243"/>
      <c r="J527" s="243"/>
      <c r="K527" s="243"/>
      <c r="L527" s="243"/>
      <c r="M527" s="244"/>
      <c r="N527" s="245" t="s">
        <v>257</v>
      </c>
      <c r="O527" s="246"/>
      <c r="P527" s="203" t="s">
        <v>257</v>
      </c>
      <c r="Q527" s="210" t="s">
        <v>257</v>
      </c>
      <c r="R527" s="243" t="s">
        <v>257</v>
      </c>
      <c r="S527" s="247"/>
    </row>
    <row r="528" spans="1:19" x14ac:dyDescent="0.2">
      <c r="A528" s="242"/>
      <c r="B528" s="243"/>
      <c r="C528" s="243"/>
      <c r="D528" s="243"/>
      <c r="E528" s="243"/>
      <c r="F528" s="243"/>
      <c r="G528" s="244"/>
      <c r="H528" s="243"/>
      <c r="I528" s="243"/>
      <c r="J528" s="243"/>
      <c r="K528" s="243"/>
      <c r="L528" s="243"/>
      <c r="M528" s="244"/>
      <c r="N528" s="245" t="s">
        <v>257</v>
      </c>
      <c r="O528" s="246"/>
      <c r="P528" s="203" t="s">
        <v>257</v>
      </c>
      <c r="Q528" s="210" t="s">
        <v>257</v>
      </c>
      <c r="R528" s="243" t="s">
        <v>257</v>
      </c>
      <c r="S528" s="247"/>
    </row>
    <row r="529" spans="1:19" x14ac:dyDescent="0.2">
      <c r="A529" s="242"/>
      <c r="B529" s="243"/>
      <c r="C529" s="243"/>
      <c r="D529" s="243"/>
      <c r="E529" s="243"/>
      <c r="F529" s="243"/>
      <c r="G529" s="244"/>
      <c r="H529" s="243"/>
      <c r="I529" s="243"/>
      <c r="J529" s="243"/>
      <c r="K529" s="243"/>
      <c r="L529" s="243"/>
      <c r="M529" s="244"/>
      <c r="N529" s="245" t="s">
        <v>257</v>
      </c>
      <c r="O529" s="246"/>
      <c r="P529" s="203" t="s">
        <v>257</v>
      </c>
      <c r="Q529" s="210" t="s">
        <v>257</v>
      </c>
      <c r="R529" s="243" t="s">
        <v>257</v>
      </c>
      <c r="S529" s="247"/>
    </row>
    <row r="530" spans="1:19" x14ac:dyDescent="0.2">
      <c r="A530" s="242"/>
      <c r="B530" s="243"/>
      <c r="C530" s="243"/>
      <c r="D530" s="243"/>
      <c r="E530" s="243"/>
      <c r="F530" s="243"/>
      <c r="G530" s="244"/>
      <c r="H530" s="243"/>
      <c r="I530" s="243"/>
      <c r="J530" s="243"/>
      <c r="K530" s="243"/>
      <c r="L530" s="243"/>
      <c r="M530" s="244"/>
      <c r="N530" s="245" t="s">
        <v>257</v>
      </c>
      <c r="O530" s="246"/>
      <c r="P530" s="203" t="s">
        <v>257</v>
      </c>
      <c r="Q530" s="210" t="s">
        <v>257</v>
      </c>
      <c r="R530" s="243" t="s">
        <v>257</v>
      </c>
      <c r="S530" s="247"/>
    </row>
    <row r="531" spans="1:19" x14ac:dyDescent="0.2">
      <c r="A531" s="242"/>
      <c r="B531" s="243"/>
      <c r="C531" s="243"/>
      <c r="D531" s="243"/>
      <c r="E531" s="243"/>
      <c r="F531" s="243"/>
      <c r="G531" s="244"/>
      <c r="H531" s="243"/>
      <c r="I531" s="243"/>
      <c r="J531" s="243"/>
      <c r="K531" s="243"/>
      <c r="L531" s="243"/>
      <c r="M531" s="244"/>
      <c r="N531" s="245" t="s">
        <v>257</v>
      </c>
      <c r="O531" s="246"/>
      <c r="P531" s="203" t="s">
        <v>257</v>
      </c>
      <c r="Q531" s="210" t="s">
        <v>257</v>
      </c>
      <c r="R531" s="243" t="s">
        <v>257</v>
      </c>
      <c r="S531" s="247"/>
    </row>
    <row r="532" spans="1:19" x14ac:dyDescent="0.2">
      <c r="A532" s="242"/>
      <c r="B532" s="243"/>
      <c r="C532" s="243"/>
      <c r="D532" s="243"/>
      <c r="E532" s="243"/>
      <c r="F532" s="243"/>
      <c r="G532" s="244"/>
      <c r="H532" s="243"/>
      <c r="I532" s="243"/>
      <c r="J532" s="243"/>
      <c r="K532" s="243"/>
      <c r="L532" s="243"/>
      <c r="M532" s="244"/>
      <c r="N532" s="245" t="s">
        <v>257</v>
      </c>
      <c r="O532" s="246"/>
      <c r="P532" s="203" t="s">
        <v>257</v>
      </c>
      <c r="Q532" s="210" t="s">
        <v>257</v>
      </c>
      <c r="R532" s="243" t="s">
        <v>257</v>
      </c>
      <c r="S532" s="247"/>
    </row>
    <row r="533" spans="1:19" x14ac:dyDescent="0.2">
      <c r="A533" s="242"/>
      <c r="B533" s="243"/>
      <c r="C533" s="243"/>
      <c r="D533" s="243"/>
      <c r="E533" s="243"/>
      <c r="F533" s="243"/>
      <c r="G533" s="244"/>
      <c r="H533" s="243"/>
      <c r="I533" s="243"/>
      <c r="J533" s="243"/>
      <c r="K533" s="243"/>
      <c r="L533" s="243"/>
      <c r="M533" s="244"/>
      <c r="N533" s="245" t="s">
        <v>257</v>
      </c>
      <c r="O533" s="246"/>
      <c r="P533" s="203" t="s">
        <v>257</v>
      </c>
      <c r="Q533" s="210" t="s">
        <v>257</v>
      </c>
      <c r="R533" s="243" t="s">
        <v>257</v>
      </c>
      <c r="S533" s="247"/>
    </row>
    <row r="534" spans="1:19" x14ac:dyDescent="0.2">
      <c r="A534" s="242"/>
      <c r="B534" s="243"/>
      <c r="C534" s="243"/>
      <c r="D534" s="243"/>
      <c r="E534" s="243"/>
      <c r="F534" s="243"/>
      <c r="G534" s="244"/>
      <c r="H534" s="243"/>
      <c r="I534" s="243"/>
      <c r="J534" s="243"/>
      <c r="K534" s="243"/>
      <c r="L534" s="243"/>
      <c r="M534" s="244"/>
      <c r="N534" s="245" t="s">
        <v>257</v>
      </c>
      <c r="O534" s="246"/>
      <c r="P534" s="203" t="s">
        <v>257</v>
      </c>
      <c r="Q534" s="210" t="s">
        <v>257</v>
      </c>
      <c r="R534" s="243" t="s">
        <v>257</v>
      </c>
      <c r="S534" s="247"/>
    </row>
    <row r="535" spans="1:19" x14ac:dyDescent="0.2">
      <c r="A535" s="242"/>
      <c r="B535" s="243"/>
      <c r="C535" s="243"/>
      <c r="D535" s="243"/>
      <c r="E535" s="243"/>
      <c r="F535" s="243"/>
      <c r="G535" s="244"/>
      <c r="H535" s="243"/>
      <c r="I535" s="243"/>
      <c r="J535" s="243"/>
      <c r="K535" s="243"/>
      <c r="L535" s="243"/>
      <c r="M535" s="244"/>
      <c r="N535" s="245" t="s">
        <v>257</v>
      </c>
      <c r="O535" s="246"/>
      <c r="P535" s="203" t="s">
        <v>257</v>
      </c>
      <c r="Q535" s="210" t="s">
        <v>257</v>
      </c>
      <c r="R535" s="243" t="s">
        <v>257</v>
      </c>
      <c r="S535" s="247"/>
    </row>
    <row r="536" spans="1:19" x14ac:dyDescent="0.2">
      <c r="A536" s="242"/>
      <c r="B536" s="243"/>
      <c r="C536" s="243"/>
      <c r="D536" s="243"/>
      <c r="E536" s="243"/>
      <c r="F536" s="243"/>
      <c r="G536" s="244"/>
      <c r="H536" s="243"/>
      <c r="I536" s="243"/>
      <c r="J536" s="243"/>
      <c r="K536" s="243"/>
      <c r="L536" s="243"/>
      <c r="M536" s="244"/>
      <c r="N536" s="245" t="s">
        <v>257</v>
      </c>
      <c r="O536" s="246"/>
      <c r="P536" s="203" t="s">
        <v>257</v>
      </c>
      <c r="Q536" s="210" t="s">
        <v>257</v>
      </c>
      <c r="R536" s="243" t="s">
        <v>257</v>
      </c>
      <c r="S536" s="247"/>
    </row>
    <row r="537" spans="1:19" x14ac:dyDescent="0.2">
      <c r="A537" s="242"/>
      <c r="B537" s="243"/>
      <c r="C537" s="243"/>
      <c r="D537" s="243"/>
      <c r="E537" s="243"/>
      <c r="F537" s="243"/>
      <c r="G537" s="244"/>
      <c r="H537" s="243"/>
      <c r="I537" s="243"/>
      <c r="J537" s="243"/>
      <c r="K537" s="243"/>
      <c r="L537" s="243"/>
      <c r="M537" s="244"/>
      <c r="N537" s="245" t="s">
        <v>257</v>
      </c>
      <c r="O537" s="246"/>
      <c r="P537" s="203" t="s">
        <v>257</v>
      </c>
      <c r="Q537" s="210" t="s">
        <v>257</v>
      </c>
      <c r="R537" s="243" t="s">
        <v>257</v>
      </c>
      <c r="S537" s="247"/>
    </row>
    <row r="538" spans="1:19" x14ac:dyDescent="0.2">
      <c r="A538" s="242"/>
      <c r="B538" s="243"/>
      <c r="C538" s="243"/>
      <c r="D538" s="243"/>
      <c r="E538" s="243"/>
      <c r="F538" s="243"/>
      <c r="G538" s="244"/>
      <c r="H538" s="243"/>
      <c r="I538" s="243"/>
      <c r="J538" s="243"/>
      <c r="K538" s="243"/>
      <c r="L538" s="243"/>
      <c r="M538" s="244"/>
      <c r="N538" s="245" t="s">
        <v>257</v>
      </c>
      <c r="O538" s="246"/>
      <c r="P538" s="203" t="s">
        <v>257</v>
      </c>
      <c r="Q538" s="210" t="s">
        <v>257</v>
      </c>
      <c r="R538" s="243" t="s">
        <v>257</v>
      </c>
      <c r="S538" s="247"/>
    </row>
    <row r="539" spans="1:19" x14ac:dyDescent="0.2">
      <c r="A539" s="242"/>
      <c r="B539" s="243"/>
      <c r="C539" s="243"/>
      <c r="D539" s="243"/>
      <c r="E539" s="243"/>
      <c r="F539" s="243"/>
      <c r="G539" s="244"/>
      <c r="H539" s="243"/>
      <c r="I539" s="243"/>
      <c r="J539" s="243"/>
      <c r="K539" s="243"/>
      <c r="L539" s="243"/>
      <c r="M539" s="244"/>
      <c r="N539" s="245" t="s">
        <v>257</v>
      </c>
      <c r="O539" s="246"/>
      <c r="P539" s="203" t="s">
        <v>257</v>
      </c>
      <c r="Q539" s="210" t="s">
        <v>257</v>
      </c>
      <c r="R539" s="243" t="s">
        <v>257</v>
      </c>
      <c r="S539" s="247"/>
    </row>
    <row r="540" spans="1:19" x14ac:dyDescent="0.2">
      <c r="A540" s="242"/>
      <c r="B540" s="243"/>
      <c r="C540" s="243"/>
      <c r="D540" s="243"/>
      <c r="E540" s="243"/>
      <c r="F540" s="243"/>
      <c r="G540" s="244"/>
      <c r="H540" s="243"/>
      <c r="I540" s="243"/>
      <c r="J540" s="243"/>
      <c r="K540" s="243"/>
      <c r="L540" s="243"/>
      <c r="M540" s="244"/>
      <c r="N540" s="245" t="s">
        <v>257</v>
      </c>
      <c r="O540" s="246"/>
      <c r="P540" s="203" t="s">
        <v>257</v>
      </c>
      <c r="Q540" s="210" t="s">
        <v>257</v>
      </c>
      <c r="R540" s="243" t="s">
        <v>257</v>
      </c>
      <c r="S540" s="247"/>
    </row>
    <row r="541" spans="1:19" x14ac:dyDescent="0.2">
      <c r="A541" s="242"/>
      <c r="B541" s="243"/>
      <c r="C541" s="243"/>
      <c r="D541" s="243"/>
      <c r="E541" s="243"/>
      <c r="F541" s="243"/>
      <c r="G541" s="244"/>
      <c r="H541" s="243"/>
      <c r="I541" s="243"/>
      <c r="J541" s="243"/>
      <c r="K541" s="243"/>
      <c r="L541" s="243"/>
      <c r="M541" s="244"/>
      <c r="N541" s="245" t="s">
        <v>257</v>
      </c>
      <c r="O541" s="246"/>
      <c r="P541" s="203" t="s">
        <v>257</v>
      </c>
      <c r="Q541" s="210" t="s">
        <v>257</v>
      </c>
      <c r="R541" s="243" t="s">
        <v>257</v>
      </c>
      <c r="S541" s="247"/>
    </row>
    <row r="542" spans="1:19" x14ac:dyDescent="0.2">
      <c r="A542" s="242"/>
      <c r="B542" s="243"/>
      <c r="C542" s="243"/>
      <c r="D542" s="243"/>
      <c r="E542" s="243"/>
      <c r="F542" s="243"/>
      <c r="G542" s="244"/>
      <c r="H542" s="243"/>
      <c r="I542" s="243"/>
      <c r="J542" s="243"/>
      <c r="K542" s="243"/>
      <c r="L542" s="243"/>
      <c r="M542" s="244"/>
      <c r="N542" s="245" t="s">
        <v>257</v>
      </c>
      <c r="O542" s="246"/>
      <c r="P542" s="203" t="s">
        <v>257</v>
      </c>
      <c r="Q542" s="210" t="s">
        <v>257</v>
      </c>
      <c r="R542" s="243" t="s">
        <v>257</v>
      </c>
      <c r="S542" s="247"/>
    </row>
    <row r="543" spans="1:19" x14ac:dyDescent="0.2">
      <c r="A543" s="242"/>
      <c r="B543" s="243"/>
      <c r="C543" s="243"/>
      <c r="D543" s="243"/>
      <c r="E543" s="243"/>
      <c r="F543" s="243"/>
      <c r="G543" s="244"/>
      <c r="H543" s="243"/>
      <c r="I543" s="243"/>
      <c r="J543" s="243"/>
      <c r="K543" s="243"/>
      <c r="L543" s="243"/>
      <c r="M543" s="244"/>
      <c r="N543" s="245" t="s">
        <v>257</v>
      </c>
      <c r="O543" s="246"/>
      <c r="P543" s="203" t="s">
        <v>257</v>
      </c>
      <c r="Q543" s="210" t="s">
        <v>257</v>
      </c>
      <c r="R543" s="243" t="s">
        <v>257</v>
      </c>
      <c r="S543" s="247"/>
    </row>
    <row r="544" spans="1:19" x14ac:dyDescent="0.2">
      <c r="A544" s="242"/>
      <c r="B544" s="243"/>
      <c r="C544" s="243"/>
      <c r="D544" s="243"/>
      <c r="E544" s="243"/>
      <c r="F544" s="243"/>
      <c r="G544" s="244"/>
      <c r="H544" s="243"/>
      <c r="I544" s="243"/>
      <c r="J544" s="243"/>
      <c r="K544" s="243"/>
      <c r="L544" s="243"/>
      <c r="M544" s="244"/>
      <c r="N544" s="245" t="s">
        <v>257</v>
      </c>
      <c r="O544" s="246"/>
      <c r="P544" s="203" t="s">
        <v>257</v>
      </c>
      <c r="Q544" s="210" t="s">
        <v>257</v>
      </c>
      <c r="R544" s="243" t="s">
        <v>257</v>
      </c>
      <c r="S544" s="247"/>
    </row>
    <row r="545" spans="1:19" x14ac:dyDescent="0.2">
      <c r="A545" s="242"/>
      <c r="B545" s="243"/>
      <c r="C545" s="243"/>
      <c r="D545" s="243"/>
      <c r="E545" s="243"/>
      <c r="F545" s="243"/>
      <c r="G545" s="244"/>
      <c r="H545" s="243"/>
      <c r="I545" s="243"/>
      <c r="J545" s="243"/>
      <c r="K545" s="243"/>
      <c r="L545" s="243"/>
      <c r="M545" s="244"/>
      <c r="N545" s="245" t="s">
        <v>257</v>
      </c>
      <c r="O545" s="246"/>
      <c r="P545" s="203" t="s">
        <v>257</v>
      </c>
      <c r="Q545" s="210" t="s">
        <v>257</v>
      </c>
      <c r="R545" s="243" t="s">
        <v>257</v>
      </c>
      <c r="S545" s="247"/>
    </row>
    <row r="546" spans="1:19" x14ac:dyDescent="0.2">
      <c r="A546" s="242"/>
      <c r="B546" s="243"/>
      <c r="C546" s="243"/>
      <c r="D546" s="243"/>
      <c r="E546" s="243"/>
      <c r="F546" s="243"/>
      <c r="G546" s="244"/>
      <c r="H546" s="243"/>
      <c r="I546" s="243"/>
      <c r="J546" s="243"/>
      <c r="K546" s="243"/>
      <c r="L546" s="243"/>
      <c r="M546" s="244"/>
      <c r="N546" s="245" t="s">
        <v>257</v>
      </c>
      <c r="O546" s="246"/>
      <c r="P546" s="203" t="s">
        <v>257</v>
      </c>
      <c r="Q546" s="210" t="s">
        <v>257</v>
      </c>
      <c r="R546" s="243" t="s">
        <v>257</v>
      </c>
      <c r="S546" s="247"/>
    </row>
    <row r="547" spans="1:19" x14ac:dyDescent="0.2">
      <c r="A547" s="242"/>
      <c r="B547" s="243"/>
      <c r="C547" s="243"/>
      <c r="D547" s="243"/>
      <c r="E547" s="243"/>
      <c r="F547" s="243"/>
      <c r="G547" s="244"/>
      <c r="H547" s="243"/>
      <c r="I547" s="243"/>
      <c r="J547" s="243"/>
      <c r="K547" s="243"/>
      <c r="L547" s="243"/>
      <c r="M547" s="244"/>
      <c r="N547" s="245" t="s">
        <v>257</v>
      </c>
      <c r="O547" s="246"/>
      <c r="P547" s="203" t="s">
        <v>257</v>
      </c>
      <c r="Q547" s="210" t="s">
        <v>257</v>
      </c>
      <c r="R547" s="243" t="s">
        <v>257</v>
      </c>
      <c r="S547" s="247"/>
    </row>
    <row r="548" spans="1:19" x14ac:dyDescent="0.2">
      <c r="A548" s="242"/>
      <c r="B548" s="243"/>
      <c r="C548" s="243"/>
      <c r="D548" s="243"/>
      <c r="E548" s="243"/>
      <c r="F548" s="243"/>
      <c r="G548" s="244"/>
      <c r="H548" s="243"/>
      <c r="I548" s="243"/>
      <c r="J548" s="243"/>
      <c r="K548" s="243"/>
      <c r="L548" s="243"/>
      <c r="M548" s="244"/>
      <c r="N548" s="245" t="s">
        <v>257</v>
      </c>
      <c r="O548" s="246"/>
      <c r="P548" s="203" t="s">
        <v>257</v>
      </c>
      <c r="Q548" s="210" t="s">
        <v>257</v>
      </c>
      <c r="R548" s="243" t="s">
        <v>257</v>
      </c>
      <c r="S548" s="247"/>
    </row>
    <row r="549" spans="1:19" x14ac:dyDescent="0.2">
      <c r="A549" s="242"/>
      <c r="B549" s="243"/>
      <c r="C549" s="243"/>
      <c r="D549" s="243"/>
      <c r="E549" s="243"/>
      <c r="F549" s="243"/>
      <c r="G549" s="244"/>
      <c r="H549" s="243"/>
      <c r="I549" s="243"/>
      <c r="J549" s="243"/>
      <c r="K549" s="243"/>
      <c r="L549" s="243"/>
      <c r="M549" s="244"/>
      <c r="N549" s="245" t="s">
        <v>257</v>
      </c>
      <c r="O549" s="246"/>
      <c r="P549" s="203" t="s">
        <v>257</v>
      </c>
      <c r="Q549" s="210" t="s">
        <v>257</v>
      </c>
      <c r="R549" s="243" t="s">
        <v>257</v>
      </c>
      <c r="S549" s="247"/>
    </row>
    <row r="550" spans="1:19" x14ac:dyDescent="0.2">
      <c r="A550" s="242"/>
      <c r="B550" s="243"/>
      <c r="C550" s="243"/>
      <c r="D550" s="243"/>
      <c r="E550" s="243"/>
      <c r="F550" s="243"/>
      <c r="G550" s="244"/>
      <c r="H550" s="243"/>
      <c r="I550" s="243"/>
      <c r="J550" s="243"/>
      <c r="K550" s="243"/>
      <c r="L550" s="243"/>
      <c r="M550" s="244"/>
      <c r="N550" s="245" t="s">
        <v>257</v>
      </c>
      <c r="O550" s="246"/>
      <c r="P550" s="203" t="s">
        <v>257</v>
      </c>
      <c r="Q550" s="210" t="s">
        <v>257</v>
      </c>
      <c r="R550" s="243" t="s">
        <v>257</v>
      </c>
      <c r="S550" s="247"/>
    </row>
    <row r="551" spans="1:19" x14ac:dyDescent="0.2">
      <c r="A551" s="242"/>
      <c r="B551" s="243"/>
      <c r="C551" s="243"/>
      <c r="D551" s="243"/>
      <c r="E551" s="243"/>
      <c r="F551" s="243"/>
      <c r="G551" s="244"/>
      <c r="H551" s="243"/>
      <c r="I551" s="243"/>
      <c r="J551" s="243"/>
      <c r="K551" s="243"/>
      <c r="L551" s="243"/>
      <c r="M551" s="244"/>
      <c r="N551" s="245" t="s">
        <v>257</v>
      </c>
      <c r="O551" s="246"/>
      <c r="P551" s="203" t="s">
        <v>257</v>
      </c>
      <c r="Q551" s="210" t="s">
        <v>257</v>
      </c>
      <c r="R551" s="243" t="s">
        <v>257</v>
      </c>
      <c r="S551" s="247"/>
    </row>
    <row r="552" spans="1:19" x14ac:dyDescent="0.2">
      <c r="A552" s="242"/>
      <c r="B552" s="243"/>
      <c r="C552" s="243"/>
      <c r="D552" s="243"/>
      <c r="E552" s="243"/>
      <c r="F552" s="243"/>
      <c r="G552" s="244"/>
      <c r="H552" s="243"/>
      <c r="I552" s="243"/>
      <c r="J552" s="243"/>
      <c r="K552" s="243"/>
      <c r="L552" s="243"/>
      <c r="M552" s="244"/>
      <c r="N552" s="245" t="s">
        <v>257</v>
      </c>
      <c r="O552" s="246"/>
      <c r="P552" s="203" t="s">
        <v>257</v>
      </c>
      <c r="Q552" s="210" t="s">
        <v>257</v>
      </c>
      <c r="R552" s="243" t="s">
        <v>257</v>
      </c>
      <c r="S552" s="247"/>
    </row>
    <row r="553" spans="1:19" x14ac:dyDescent="0.2">
      <c r="A553" s="242"/>
      <c r="B553" s="243"/>
      <c r="C553" s="243"/>
      <c r="D553" s="243"/>
      <c r="E553" s="243"/>
      <c r="F553" s="243"/>
      <c r="G553" s="244"/>
      <c r="H553" s="243"/>
      <c r="I553" s="243"/>
      <c r="J553" s="243"/>
      <c r="K553" s="243"/>
      <c r="L553" s="243"/>
      <c r="M553" s="244"/>
      <c r="N553" s="245" t="s">
        <v>257</v>
      </c>
      <c r="O553" s="246"/>
      <c r="P553" s="203" t="s">
        <v>257</v>
      </c>
      <c r="Q553" s="210" t="s">
        <v>257</v>
      </c>
      <c r="R553" s="243" t="s">
        <v>257</v>
      </c>
      <c r="S553" s="247"/>
    </row>
    <row r="554" spans="1:19" x14ac:dyDescent="0.2">
      <c r="A554" s="242"/>
      <c r="B554" s="243"/>
      <c r="C554" s="243"/>
      <c r="D554" s="243"/>
      <c r="E554" s="243"/>
      <c r="F554" s="243"/>
      <c r="G554" s="244"/>
      <c r="H554" s="243"/>
      <c r="I554" s="243"/>
      <c r="J554" s="243"/>
      <c r="K554" s="243"/>
      <c r="L554" s="243"/>
      <c r="M554" s="244"/>
      <c r="N554" s="245" t="s">
        <v>257</v>
      </c>
      <c r="O554" s="246"/>
      <c r="P554" s="203" t="s">
        <v>257</v>
      </c>
      <c r="Q554" s="210" t="s">
        <v>257</v>
      </c>
      <c r="R554" s="243" t="s">
        <v>257</v>
      </c>
      <c r="S554" s="247"/>
    </row>
    <row r="555" spans="1:19" x14ac:dyDescent="0.2">
      <c r="A555" s="242"/>
      <c r="B555" s="243"/>
      <c r="C555" s="243"/>
      <c r="D555" s="243"/>
      <c r="E555" s="243"/>
      <c r="F555" s="243"/>
      <c r="G555" s="244"/>
      <c r="H555" s="243"/>
      <c r="I555" s="243"/>
      <c r="J555" s="243"/>
      <c r="K555" s="243"/>
      <c r="L555" s="243"/>
      <c r="M555" s="244"/>
      <c r="N555" s="245" t="s">
        <v>257</v>
      </c>
      <c r="O555" s="246"/>
      <c r="P555" s="203" t="s">
        <v>257</v>
      </c>
      <c r="Q555" s="210" t="s">
        <v>257</v>
      </c>
      <c r="R555" s="243" t="s">
        <v>257</v>
      </c>
      <c r="S555" s="247"/>
    </row>
    <row r="556" spans="1:19" x14ac:dyDescent="0.2">
      <c r="A556" s="242"/>
      <c r="B556" s="243"/>
      <c r="C556" s="243"/>
      <c r="D556" s="243"/>
      <c r="E556" s="243"/>
      <c r="F556" s="243"/>
      <c r="G556" s="244"/>
      <c r="H556" s="243"/>
      <c r="I556" s="243"/>
      <c r="J556" s="243"/>
      <c r="K556" s="243"/>
      <c r="L556" s="243"/>
      <c r="M556" s="244"/>
      <c r="N556" s="245" t="s">
        <v>257</v>
      </c>
      <c r="O556" s="246"/>
      <c r="P556" s="203" t="s">
        <v>257</v>
      </c>
      <c r="Q556" s="210" t="s">
        <v>257</v>
      </c>
      <c r="R556" s="243" t="s">
        <v>257</v>
      </c>
      <c r="S556" s="247"/>
    </row>
    <row r="557" spans="1:19" x14ac:dyDescent="0.2">
      <c r="A557" s="242"/>
      <c r="B557" s="243"/>
      <c r="C557" s="243"/>
      <c r="D557" s="243"/>
      <c r="E557" s="243"/>
      <c r="F557" s="243"/>
      <c r="G557" s="244"/>
      <c r="H557" s="243"/>
      <c r="I557" s="243"/>
      <c r="J557" s="243"/>
      <c r="K557" s="243"/>
      <c r="L557" s="243"/>
      <c r="M557" s="244"/>
      <c r="N557" s="245" t="s">
        <v>257</v>
      </c>
      <c r="O557" s="246"/>
      <c r="P557" s="203" t="s">
        <v>257</v>
      </c>
      <c r="Q557" s="210" t="s">
        <v>257</v>
      </c>
      <c r="R557" s="243" t="s">
        <v>257</v>
      </c>
      <c r="S557" s="247"/>
    </row>
    <row r="558" spans="1:19" x14ac:dyDescent="0.2">
      <c r="A558" s="242"/>
      <c r="B558" s="243"/>
      <c r="C558" s="243"/>
      <c r="D558" s="243"/>
      <c r="E558" s="243"/>
      <c r="F558" s="243"/>
      <c r="G558" s="244"/>
      <c r="H558" s="243"/>
      <c r="I558" s="243"/>
      <c r="J558" s="243"/>
      <c r="K558" s="243"/>
      <c r="L558" s="243"/>
      <c r="M558" s="244"/>
      <c r="N558" s="245" t="s">
        <v>257</v>
      </c>
      <c r="O558" s="246"/>
      <c r="P558" s="203" t="s">
        <v>257</v>
      </c>
      <c r="Q558" s="210" t="s">
        <v>257</v>
      </c>
      <c r="R558" s="243" t="s">
        <v>257</v>
      </c>
      <c r="S558" s="247"/>
    </row>
    <row r="559" spans="1:19" x14ac:dyDescent="0.2">
      <c r="A559" s="242"/>
      <c r="B559" s="243"/>
      <c r="C559" s="243"/>
      <c r="D559" s="243"/>
      <c r="E559" s="243"/>
      <c r="F559" s="243"/>
      <c r="G559" s="244"/>
      <c r="H559" s="243"/>
      <c r="I559" s="243"/>
      <c r="J559" s="243"/>
      <c r="K559" s="243"/>
      <c r="L559" s="243"/>
      <c r="M559" s="244"/>
      <c r="N559" s="245" t="s">
        <v>257</v>
      </c>
      <c r="O559" s="246"/>
      <c r="P559" s="203" t="s">
        <v>257</v>
      </c>
      <c r="Q559" s="210" t="s">
        <v>257</v>
      </c>
      <c r="R559" s="243" t="s">
        <v>257</v>
      </c>
      <c r="S559" s="247"/>
    </row>
    <row r="560" spans="1:19" x14ac:dyDescent="0.2">
      <c r="A560" s="242"/>
      <c r="B560" s="243"/>
      <c r="C560" s="243"/>
      <c r="D560" s="243"/>
      <c r="E560" s="243"/>
      <c r="F560" s="243"/>
      <c r="G560" s="244"/>
      <c r="H560" s="243"/>
      <c r="I560" s="243"/>
      <c r="J560" s="243"/>
      <c r="K560" s="243"/>
      <c r="L560" s="243"/>
      <c r="M560" s="244"/>
      <c r="N560" s="245" t="s">
        <v>257</v>
      </c>
      <c r="O560" s="246"/>
      <c r="P560" s="203" t="s">
        <v>257</v>
      </c>
      <c r="Q560" s="210" t="s">
        <v>257</v>
      </c>
      <c r="R560" s="243" t="s">
        <v>257</v>
      </c>
      <c r="S560" s="247"/>
    </row>
    <row r="561" spans="1:19" x14ac:dyDescent="0.2">
      <c r="A561" s="242"/>
      <c r="B561" s="243"/>
      <c r="C561" s="243"/>
      <c r="D561" s="243"/>
      <c r="E561" s="243"/>
      <c r="F561" s="243"/>
      <c r="G561" s="244"/>
      <c r="H561" s="243"/>
      <c r="I561" s="243"/>
      <c r="J561" s="243"/>
      <c r="K561" s="243"/>
      <c r="L561" s="243"/>
      <c r="M561" s="244"/>
      <c r="N561" s="245" t="s">
        <v>257</v>
      </c>
      <c r="O561" s="246"/>
      <c r="P561" s="203" t="s">
        <v>257</v>
      </c>
      <c r="Q561" s="210" t="s">
        <v>257</v>
      </c>
      <c r="R561" s="243" t="s">
        <v>257</v>
      </c>
      <c r="S561" s="247"/>
    </row>
    <row r="562" spans="1:19" x14ac:dyDescent="0.2">
      <c r="A562" s="242"/>
      <c r="B562" s="243"/>
      <c r="C562" s="243"/>
      <c r="D562" s="243"/>
      <c r="E562" s="243"/>
      <c r="F562" s="243"/>
      <c r="G562" s="244"/>
      <c r="H562" s="243"/>
      <c r="I562" s="243"/>
      <c r="J562" s="243"/>
      <c r="K562" s="243"/>
      <c r="L562" s="243"/>
      <c r="M562" s="244"/>
      <c r="N562" s="245" t="s">
        <v>257</v>
      </c>
      <c r="O562" s="246"/>
      <c r="P562" s="203" t="s">
        <v>257</v>
      </c>
      <c r="Q562" s="210" t="s">
        <v>257</v>
      </c>
      <c r="R562" s="243" t="s">
        <v>257</v>
      </c>
      <c r="S562" s="247"/>
    </row>
    <row r="563" spans="1:19" x14ac:dyDescent="0.2">
      <c r="A563" s="242"/>
      <c r="B563" s="243"/>
      <c r="C563" s="243"/>
      <c r="D563" s="243"/>
      <c r="E563" s="243"/>
      <c r="F563" s="243"/>
      <c r="G563" s="244"/>
      <c r="H563" s="243"/>
      <c r="I563" s="243"/>
      <c r="J563" s="243"/>
      <c r="K563" s="243"/>
      <c r="L563" s="243"/>
      <c r="M563" s="244"/>
      <c r="N563" s="245" t="s">
        <v>257</v>
      </c>
      <c r="O563" s="246"/>
      <c r="P563" s="203" t="s">
        <v>257</v>
      </c>
      <c r="Q563" s="210" t="s">
        <v>257</v>
      </c>
      <c r="R563" s="243" t="s">
        <v>257</v>
      </c>
      <c r="S563" s="247"/>
    </row>
    <row r="564" spans="1:19" x14ac:dyDescent="0.2">
      <c r="A564" s="242"/>
      <c r="B564" s="243"/>
      <c r="C564" s="243"/>
      <c r="D564" s="243"/>
      <c r="E564" s="243"/>
      <c r="F564" s="243"/>
      <c r="G564" s="244"/>
      <c r="H564" s="243"/>
      <c r="I564" s="243"/>
      <c r="J564" s="243"/>
      <c r="K564" s="243"/>
      <c r="L564" s="243"/>
      <c r="M564" s="244"/>
      <c r="N564" s="245" t="s">
        <v>257</v>
      </c>
      <c r="O564" s="246"/>
      <c r="P564" s="203" t="s">
        <v>257</v>
      </c>
      <c r="Q564" s="210" t="s">
        <v>257</v>
      </c>
      <c r="R564" s="243" t="s">
        <v>257</v>
      </c>
      <c r="S564" s="247"/>
    </row>
    <row r="565" spans="1:19" x14ac:dyDescent="0.2">
      <c r="A565" s="242"/>
      <c r="B565" s="243"/>
      <c r="C565" s="243"/>
      <c r="D565" s="243"/>
      <c r="E565" s="243"/>
      <c r="F565" s="243"/>
      <c r="G565" s="244"/>
      <c r="H565" s="243"/>
      <c r="I565" s="243"/>
      <c r="J565" s="243"/>
      <c r="K565" s="243"/>
      <c r="L565" s="243"/>
      <c r="M565" s="244"/>
      <c r="N565" s="245" t="s">
        <v>257</v>
      </c>
      <c r="O565" s="246"/>
      <c r="P565" s="203" t="s">
        <v>257</v>
      </c>
      <c r="Q565" s="210" t="s">
        <v>257</v>
      </c>
      <c r="R565" s="243" t="s">
        <v>257</v>
      </c>
      <c r="S565" s="247"/>
    </row>
    <row r="566" spans="1:19" x14ac:dyDescent="0.2">
      <c r="A566" s="242"/>
      <c r="B566" s="243"/>
      <c r="C566" s="243"/>
      <c r="D566" s="243"/>
      <c r="E566" s="243"/>
      <c r="F566" s="243"/>
      <c r="G566" s="244"/>
      <c r="H566" s="243"/>
      <c r="I566" s="243"/>
      <c r="J566" s="243"/>
      <c r="K566" s="243"/>
      <c r="L566" s="243"/>
      <c r="M566" s="244"/>
      <c r="N566" s="245" t="s">
        <v>257</v>
      </c>
      <c r="O566" s="246"/>
      <c r="P566" s="203" t="s">
        <v>257</v>
      </c>
      <c r="Q566" s="210" t="s">
        <v>257</v>
      </c>
      <c r="R566" s="243" t="s">
        <v>257</v>
      </c>
      <c r="S566" s="247"/>
    </row>
    <row r="567" spans="1:19" x14ac:dyDescent="0.2">
      <c r="A567" s="242"/>
      <c r="B567" s="243"/>
      <c r="C567" s="243"/>
      <c r="D567" s="243"/>
      <c r="E567" s="243"/>
      <c r="F567" s="243"/>
      <c r="G567" s="244"/>
      <c r="H567" s="243"/>
      <c r="I567" s="243"/>
      <c r="J567" s="243"/>
      <c r="K567" s="243"/>
      <c r="L567" s="243"/>
      <c r="M567" s="244"/>
      <c r="N567" s="245" t="s">
        <v>257</v>
      </c>
      <c r="O567" s="246"/>
      <c r="P567" s="203" t="s">
        <v>257</v>
      </c>
      <c r="Q567" s="210" t="s">
        <v>257</v>
      </c>
      <c r="R567" s="243" t="s">
        <v>257</v>
      </c>
      <c r="S567" s="247"/>
    </row>
    <row r="568" spans="1:19" x14ac:dyDescent="0.2">
      <c r="A568" s="242"/>
      <c r="B568" s="243"/>
      <c r="C568" s="243"/>
      <c r="D568" s="243"/>
      <c r="E568" s="243"/>
      <c r="F568" s="243"/>
      <c r="G568" s="244"/>
      <c r="H568" s="243"/>
      <c r="I568" s="243"/>
      <c r="J568" s="243"/>
      <c r="K568" s="243"/>
      <c r="L568" s="243"/>
      <c r="M568" s="244"/>
      <c r="N568" s="245" t="s">
        <v>257</v>
      </c>
      <c r="O568" s="246"/>
      <c r="P568" s="203" t="s">
        <v>257</v>
      </c>
      <c r="Q568" s="210" t="s">
        <v>257</v>
      </c>
      <c r="R568" s="243" t="s">
        <v>257</v>
      </c>
      <c r="S568" s="247"/>
    </row>
    <row r="569" spans="1:19" x14ac:dyDescent="0.2">
      <c r="A569" s="242"/>
      <c r="B569" s="243"/>
      <c r="C569" s="243"/>
      <c r="D569" s="243"/>
      <c r="E569" s="243"/>
      <c r="F569" s="243"/>
      <c r="G569" s="244"/>
      <c r="H569" s="243"/>
      <c r="I569" s="243"/>
      <c r="J569" s="243"/>
      <c r="K569" s="243"/>
      <c r="L569" s="243"/>
      <c r="M569" s="244"/>
      <c r="N569" s="245" t="s">
        <v>257</v>
      </c>
      <c r="O569" s="246"/>
      <c r="P569" s="203" t="s">
        <v>257</v>
      </c>
      <c r="Q569" s="210" t="s">
        <v>257</v>
      </c>
      <c r="R569" s="243" t="s">
        <v>257</v>
      </c>
      <c r="S569" s="247"/>
    </row>
    <row r="570" spans="1:19" x14ac:dyDescent="0.2">
      <c r="A570" s="242"/>
      <c r="B570" s="243"/>
      <c r="C570" s="243"/>
      <c r="D570" s="243"/>
      <c r="E570" s="243"/>
      <c r="F570" s="243"/>
      <c r="G570" s="244"/>
      <c r="H570" s="243"/>
      <c r="I570" s="243"/>
      <c r="J570" s="243"/>
      <c r="K570" s="243"/>
      <c r="L570" s="243"/>
      <c r="M570" s="244"/>
      <c r="N570" s="245" t="s">
        <v>257</v>
      </c>
      <c r="O570" s="246"/>
      <c r="P570" s="203" t="s">
        <v>257</v>
      </c>
      <c r="Q570" s="210" t="s">
        <v>257</v>
      </c>
      <c r="R570" s="243" t="s">
        <v>257</v>
      </c>
      <c r="S570" s="247"/>
    </row>
    <row r="571" spans="1:19" x14ac:dyDescent="0.2">
      <c r="A571" s="242"/>
      <c r="B571" s="243"/>
      <c r="C571" s="243"/>
      <c r="D571" s="243"/>
      <c r="E571" s="243"/>
      <c r="F571" s="243"/>
      <c r="G571" s="244"/>
      <c r="H571" s="243"/>
      <c r="I571" s="243"/>
      <c r="J571" s="243"/>
      <c r="K571" s="243"/>
      <c r="L571" s="243"/>
      <c r="M571" s="244"/>
      <c r="N571" s="245" t="s">
        <v>257</v>
      </c>
      <c r="O571" s="246"/>
      <c r="P571" s="203" t="s">
        <v>257</v>
      </c>
      <c r="Q571" s="210" t="s">
        <v>257</v>
      </c>
      <c r="R571" s="243" t="s">
        <v>257</v>
      </c>
      <c r="S571" s="247"/>
    </row>
    <row r="572" spans="1:19" x14ac:dyDescent="0.2">
      <c r="A572" s="242"/>
      <c r="B572" s="243"/>
      <c r="C572" s="243"/>
      <c r="D572" s="243"/>
      <c r="E572" s="243"/>
      <c r="F572" s="243"/>
      <c r="G572" s="244"/>
      <c r="H572" s="243"/>
      <c r="I572" s="243"/>
      <c r="J572" s="243"/>
      <c r="K572" s="243"/>
      <c r="L572" s="243"/>
      <c r="M572" s="244"/>
      <c r="N572" s="245" t="s">
        <v>257</v>
      </c>
      <c r="O572" s="246"/>
      <c r="P572" s="203" t="s">
        <v>257</v>
      </c>
      <c r="Q572" s="210" t="s">
        <v>257</v>
      </c>
      <c r="R572" s="243" t="s">
        <v>257</v>
      </c>
      <c r="S572" s="247"/>
    </row>
    <row r="573" spans="1:19" x14ac:dyDescent="0.2">
      <c r="A573" s="242"/>
      <c r="B573" s="243"/>
      <c r="C573" s="243"/>
      <c r="D573" s="243"/>
      <c r="E573" s="243"/>
      <c r="F573" s="243"/>
      <c r="G573" s="244"/>
      <c r="H573" s="243"/>
      <c r="I573" s="243"/>
      <c r="J573" s="243"/>
      <c r="K573" s="243"/>
      <c r="L573" s="243"/>
      <c r="M573" s="244"/>
      <c r="N573" s="245" t="s">
        <v>257</v>
      </c>
      <c r="O573" s="246"/>
      <c r="P573" s="203" t="s">
        <v>257</v>
      </c>
      <c r="Q573" s="210" t="s">
        <v>257</v>
      </c>
      <c r="R573" s="243" t="s">
        <v>257</v>
      </c>
      <c r="S573" s="247"/>
    </row>
    <row r="574" spans="1:19" x14ac:dyDescent="0.2">
      <c r="A574" s="242"/>
      <c r="B574" s="243"/>
      <c r="C574" s="243"/>
      <c r="D574" s="243"/>
      <c r="E574" s="243"/>
      <c r="F574" s="243"/>
      <c r="G574" s="244"/>
      <c r="H574" s="243"/>
      <c r="I574" s="243"/>
      <c r="J574" s="243"/>
      <c r="K574" s="243"/>
      <c r="L574" s="243"/>
      <c r="M574" s="244"/>
      <c r="N574" s="245" t="s">
        <v>257</v>
      </c>
      <c r="O574" s="246"/>
      <c r="P574" s="203" t="s">
        <v>257</v>
      </c>
      <c r="Q574" s="210" t="s">
        <v>257</v>
      </c>
      <c r="R574" s="243" t="s">
        <v>257</v>
      </c>
      <c r="S574" s="247"/>
    </row>
    <row r="575" spans="1:19" x14ac:dyDescent="0.2">
      <c r="A575" s="242"/>
      <c r="B575" s="243"/>
      <c r="C575" s="243"/>
      <c r="D575" s="243"/>
      <c r="E575" s="243"/>
      <c r="F575" s="243"/>
      <c r="G575" s="244"/>
      <c r="H575" s="243"/>
      <c r="I575" s="243"/>
      <c r="J575" s="243"/>
      <c r="K575" s="243"/>
      <c r="L575" s="243"/>
      <c r="M575" s="244"/>
      <c r="N575" s="245" t="s">
        <v>257</v>
      </c>
      <c r="O575" s="246"/>
      <c r="P575" s="203" t="s">
        <v>257</v>
      </c>
      <c r="Q575" s="210" t="s">
        <v>257</v>
      </c>
      <c r="R575" s="243" t="s">
        <v>257</v>
      </c>
      <c r="S575" s="247"/>
    </row>
    <row r="576" spans="1:19" x14ac:dyDescent="0.2">
      <c r="A576" s="242"/>
      <c r="B576" s="243"/>
      <c r="C576" s="243"/>
      <c r="D576" s="243"/>
      <c r="E576" s="243"/>
      <c r="F576" s="243"/>
      <c r="G576" s="244"/>
      <c r="H576" s="243"/>
      <c r="I576" s="243"/>
      <c r="J576" s="243"/>
      <c r="K576" s="243"/>
      <c r="L576" s="243"/>
      <c r="M576" s="244"/>
      <c r="N576" s="245" t="s">
        <v>257</v>
      </c>
      <c r="O576" s="246"/>
      <c r="P576" s="203" t="s">
        <v>257</v>
      </c>
      <c r="Q576" s="210" t="s">
        <v>257</v>
      </c>
      <c r="R576" s="243" t="s">
        <v>257</v>
      </c>
      <c r="S576" s="247"/>
    </row>
    <row r="577" spans="1:19" x14ac:dyDescent="0.2">
      <c r="A577" s="242"/>
      <c r="B577" s="243"/>
      <c r="C577" s="243"/>
      <c r="D577" s="243"/>
      <c r="E577" s="243"/>
      <c r="F577" s="243"/>
      <c r="G577" s="244"/>
      <c r="H577" s="243"/>
      <c r="I577" s="243"/>
      <c r="J577" s="243"/>
      <c r="K577" s="243"/>
      <c r="L577" s="243"/>
      <c r="M577" s="244"/>
      <c r="N577" s="245" t="s">
        <v>257</v>
      </c>
      <c r="O577" s="246"/>
      <c r="P577" s="203" t="s">
        <v>257</v>
      </c>
      <c r="Q577" s="210" t="s">
        <v>257</v>
      </c>
      <c r="R577" s="243" t="s">
        <v>257</v>
      </c>
      <c r="S577" s="247"/>
    </row>
    <row r="578" spans="1:19" x14ac:dyDescent="0.2">
      <c r="A578" s="242"/>
      <c r="B578" s="243"/>
      <c r="C578" s="243"/>
      <c r="D578" s="243"/>
      <c r="E578" s="243"/>
      <c r="F578" s="243"/>
      <c r="G578" s="244"/>
      <c r="H578" s="243"/>
      <c r="I578" s="243"/>
      <c r="J578" s="243"/>
      <c r="K578" s="243"/>
      <c r="L578" s="243"/>
      <c r="M578" s="244"/>
      <c r="N578" s="245" t="s">
        <v>257</v>
      </c>
      <c r="O578" s="246"/>
      <c r="P578" s="203" t="s">
        <v>257</v>
      </c>
      <c r="Q578" s="210" t="s">
        <v>257</v>
      </c>
      <c r="R578" s="243" t="s">
        <v>257</v>
      </c>
      <c r="S578" s="247"/>
    </row>
    <row r="579" spans="1:19" x14ac:dyDescent="0.2">
      <c r="A579" s="242"/>
      <c r="B579" s="243"/>
      <c r="C579" s="243"/>
      <c r="D579" s="243"/>
      <c r="E579" s="243"/>
      <c r="F579" s="243"/>
      <c r="G579" s="244"/>
      <c r="H579" s="243"/>
      <c r="I579" s="243"/>
      <c r="J579" s="243"/>
      <c r="K579" s="243"/>
      <c r="L579" s="243"/>
      <c r="M579" s="244"/>
      <c r="N579" s="245" t="s">
        <v>257</v>
      </c>
      <c r="O579" s="246"/>
      <c r="P579" s="203" t="s">
        <v>257</v>
      </c>
      <c r="Q579" s="210" t="s">
        <v>257</v>
      </c>
      <c r="R579" s="243" t="s">
        <v>257</v>
      </c>
      <c r="S579" s="247"/>
    </row>
    <row r="580" spans="1:19" x14ac:dyDescent="0.2">
      <c r="A580" s="242"/>
      <c r="B580" s="243"/>
      <c r="C580" s="243"/>
      <c r="D580" s="243"/>
      <c r="E580" s="243"/>
      <c r="F580" s="243"/>
      <c r="G580" s="244"/>
      <c r="H580" s="243"/>
      <c r="I580" s="243"/>
      <c r="J580" s="243"/>
      <c r="K580" s="243"/>
      <c r="L580" s="243"/>
      <c r="M580" s="244"/>
      <c r="N580" s="245" t="s">
        <v>257</v>
      </c>
      <c r="O580" s="246"/>
      <c r="P580" s="203" t="s">
        <v>257</v>
      </c>
      <c r="Q580" s="210" t="s">
        <v>257</v>
      </c>
      <c r="R580" s="243" t="s">
        <v>257</v>
      </c>
      <c r="S580" s="247"/>
    </row>
    <row r="581" spans="1:19" x14ac:dyDescent="0.2">
      <c r="A581" s="242"/>
      <c r="B581" s="243"/>
      <c r="C581" s="243"/>
      <c r="D581" s="243"/>
      <c r="E581" s="243"/>
      <c r="F581" s="243"/>
      <c r="G581" s="244"/>
      <c r="H581" s="243"/>
      <c r="I581" s="243"/>
      <c r="J581" s="243"/>
      <c r="K581" s="243"/>
      <c r="L581" s="243"/>
      <c r="M581" s="244"/>
      <c r="N581" s="245" t="s">
        <v>257</v>
      </c>
      <c r="O581" s="246"/>
      <c r="P581" s="203" t="s">
        <v>257</v>
      </c>
      <c r="Q581" s="210" t="s">
        <v>257</v>
      </c>
      <c r="R581" s="243" t="s">
        <v>257</v>
      </c>
      <c r="S581" s="247"/>
    </row>
    <row r="582" spans="1:19" x14ac:dyDescent="0.2">
      <c r="A582" s="242"/>
      <c r="B582" s="243"/>
      <c r="C582" s="243"/>
      <c r="D582" s="243"/>
      <c r="E582" s="243"/>
      <c r="F582" s="243"/>
      <c r="G582" s="244"/>
      <c r="H582" s="243"/>
      <c r="I582" s="243"/>
      <c r="J582" s="243"/>
      <c r="K582" s="243"/>
      <c r="L582" s="243"/>
      <c r="M582" s="244"/>
      <c r="N582" s="245" t="s">
        <v>257</v>
      </c>
      <c r="O582" s="246"/>
      <c r="P582" s="203" t="s">
        <v>257</v>
      </c>
      <c r="Q582" s="210" t="s">
        <v>257</v>
      </c>
      <c r="R582" s="243" t="s">
        <v>257</v>
      </c>
      <c r="S582" s="247"/>
    </row>
    <row r="583" spans="1:19" x14ac:dyDescent="0.2">
      <c r="A583" s="242"/>
      <c r="B583" s="243"/>
      <c r="C583" s="243"/>
      <c r="D583" s="243"/>
      <c r="E583" s="243"/>
      <c r="F583" s="243"/>
      <c r="G583" s="244"/>
      <c r="H583" s="243"/>
      <c r="I583" s="243"/>
      <c r="J583" s="243"/>
      <c r="K583" s="243"/>
      <c r="L583" s="243"/>
      <c r="M583" s="244"/>
      <c r="N583" s="245" t="s">
        <v>257</v>
      </c>
      <c r="O583" s="246"/>
      <c r="P583" s="203" t="s">
        <v>257</v>
      </c>
      <c r="Q583" s="210" t="s">
        <v>257</v>
      </c>
      <c r="R583" s="243" t="s">
        <v>257</v>
      </c>
      <c r="S583" s="247"/>
    </row>
    <row r="584" spans="1:19" x14ac:dyDescent="0.2">
      <c r="A584" s="242"/>
      <c r="B584" s="243"/>
      <c r="C584" s="243"/>
      <c r="D584" s="243"/>
      <c r="E584" s="243"/>
      <c r="F584" s="243"/>
      <c r="G584" s="244"/>
      <c r="H584" s="243"/>
      <c r="I584" s="243"/>
      <c r="J584" s="243"/>
      <c r="K584" s="243"/>
      <c r="L584" s="243"/>
      <c r="M584" s="244"/>
      <c r="N584" s="245" t="s">
        <v>257</v>
      </c>
      <c r="O584" s="246"/>
      <c r="P584" s="203" t="s">
        <v>257</v>
      </c>
      <c r="Q584" s="210" t="s">
        <v>257</v>
      </c>
      <c r="R584" s="243" t="s">
        <v>257</v>
      </c>
      <c r="S584" s="247"/>
    </row>
    <row r="585" spans="1:19" x14ac:dyDescent="0.2">
      <c r="A585" s="242"/>
      <c r="B585" s="243"/>
      <c r="C585" s="243"/>
      <c r="D585" s="243"/>
      <c r="E585" s="243"/>
      <c r="F585" s="243"/>
      <c r="G585" s="244"/>
      <c r="H585" s="243"/>
      <c r="I585" s="243"/>
      <c r="J585" s="243"/>
      <c r="K585" s="243"/>
      <c r="L585" s="243"/>
      <c r="M585" s="244"/>
      <c r="N585" s="245" t="s">
        <v>257</v>
      </c>
      <c r="O585" s="246"/>
      <c r="P585" s="203" t="s">
        <v>257</v>
      </c>
      <c r="Q585" s="210" t="s">
        <v>257</v>
      </c>
      <c r="R585" s="243" t="s">
        <v>257</v>
      </c>
      <c r="S585" s="247"/>
    </row>
    <row r="586" spans="1:19" x14ac:dyDescent="0.2">
      <c r="A586" s="242"/>
      <c r="B586" s="243"/>
      <c r="C586" s="243"/>
      <c r="D586" s="243"/>
      <c r="E586" s="243"/>
      <c r="F586" s="243"/>
      <c r="G586" s="244"/>
      <c r="H586" s="243"/>
      <c r="I586" s="243"/>
      <c r="J586" s="243"/>
      <c r="K586" s="243"/>
      <c r="L586" s="243"/>
      <c r="M586" s="244"/>
      <c r="N586" s="245" t="s">
        <v>257</v>
      </c>
      <c r="O586" s="246"/>
      <c r="P586" s="203" t="s">
        <v>257</v>
      </c>
      <c r="Q586" s="210" t="s">
        <v>257</v>
      </c>
      <c r="R586" s="243" t="s">
        <v>257</v>
      </c>
      <c r="S586" s="247"/>
    </row>
    <row r="587" spans="1:19" x14ac:dyDescent="0.2">
      <c r="A587" s="242"/>
      <c r="B587" s="243"/>
      <c r="C587" s="243"/>
      <c r="D587" s="243"/>
      <c r="E587" s="243"/>
      <c r="F587" s="243"/>
      <c r="G587" s="244"/>
      <c r="H587" s="243"/>
      <c r="I587" s="243"/>
      <c r="J587" s="243"/>
      <c r="K587" s="243"/>
      <c r="L587" s="243"/>
      <c r="M587" s="244"/>
      <c r="N587" s="245" t="s">
        <v>257</v>
      </c>
      <c r="O587" s="246"/>
      <c r="P587" s="203" t="s">
        <v>257</v>
      </c>
      <c r="Q587" s="210" t="s">
        <v>257</v>
      </c>
      <c r="R587" s="243" t="s">
        <v>257</v>
      </c>
      <c r="S587" s="247"/>
    </row>
    <row r="588" spans="1:19" x14ac:dyDescent="0.2">
      <c r="A588" s="242"/>
      <c r="B588" s="243"/>
      <c r="C588" s="243"/>
      <c r="D588" s="243"/>
      <c r="E588" s="243"/>
      <c r="F588" s="243"/>
      <c r="G588" s="244"/>
      <c r="H588" s="243"/>
      <c r="I588" s="243"/>
      <c r="J588" s="243"/>
      <c r="K588" s="243"/>
      <c r="L588" s="243"/>
      <c r="M588" s="244"/>
      <c r="N588" s="245" t="s">
        <v>257</v>
      </c>
      <c r="O588" s="246"/>
      <c r="P588" s="203" t="s">
        <v>257</v>
      </c>
      <c r="Q588" s="210" t="s">
        <v>257</v>
      </c>
      <c r="R588" s="243" t="s">
        <v>257</v>
      </c>
      <c r="S588" s="247"/>
    </row>
    <row r="589" spans="1:19" x14ac:dyDescent="0.2">
      <c r="A589" s="242"/>
      <c r="B589" s="243"/>
      <c r="C589" s="243"/>
      <c r="D589" s="243"/>
      <c r="E589" s="243"/>
      <c r="F589" s="243"/>
      <c r="G589" s="244"/>
      <c r="H589" s="243"/>
      <c r="I589" s="243"/>
      <c r="J589" s="243"/>
      <c r="K589" s="243"/>
      <c r="L589" s="243"/>
      <c r="M589" s="244"/>
      <c r="N589" s="245" t="s">
        <v>257</v>
      </c>
      <c r="O589" s="246"/>
      <c r="P589" s="203" t="s">
        <v>257</v>
      </c>
      <c r="Q589" s="210" t="s">
        <v>257</v>
      </c>
      <c r="R589" s="243" t="s">
        <v>257</v>
      </c>
      <c r="S589" s="247"/>
    </row>
    <row r="590" spans="1:19" x14ac:dyDescent="0.2">
      <c r="A590" s="242"/>
      <c r="B590" s="243"/>
      <c r="C590" s="243"/>
      <c r="D590" s="243"/>
      <c r="E590" s="243"/>
      <c r="F590" s="243"/>
      <c r="G590" s="244"/>
      <c r="H590" s="243"/>
      <c r="I590" s="243"/>
      <c r="J590" s="243"/>
      <c r="K590" s="243"/>
      <c r="L590" s="243"/>
      <c r="M590" s="244"/>
      <c r="N590" s="245" t="s">
        <v>257</v>
      </c>
      <c r="O590" s="246"/>
      <c r="P590" s="203" t="s">
        <v>257</v>
      </c>
      <c r="Q590" s="210" t="s">
        <v>257</v>
      </c>
      <c r="R590" s="243" t="s">
        <v>257</v>
      </c>
      <c r="S590" s="247"/>
    </row>
    <row r="591" spans="1:19" x14ac:dyDescent="0.2">
      <c r="A591" s="242"/>
      <c r="B591" s="243"/>
      <c r="C591" s="243"/>
      <c r="D591" s="243"/>
      <c r="E591" s="243"/>
      <c r="F591" s="243"/>
      <c r="G591" s="244"/>
      <c r="H591" s="243"/>
      <c r="I591" s="243"/>
      <c r="J591" s="243"/>
      <c r="K591" s="243"/>
      <c r="L591" s="243"/>
      <c r="M591" s="244"/>
      <c r="N591" s="245" t="s">
        <v>257</v>
      </c>
      <c r="O591" s="246"/>
      <c r="P591" s="203" t="s">
        <v>257</v>
      </c>
      <c r="Q591" s="210" t="s">
        <v>257</v>
      </c>
      <c r="R591" s="243" t="s">
        <v>257</v>
      </c>
      <c r="S591" s="247"/>
    </row>
    <row r="592" spans="1:19" x14ac:dyDescent="0.2">
      <c r="A592" s="242"/>
      <c r="B592" s="243"/>
      <c r="C592" s="243"/>
      <c r="D592" s="243"/>
      <c r="E592" s="243"/>
      <c r="F592" s="243"/>
      <c r="G592" s="244"/>
      <c r="H592" s="243"/>
      <c r="I592" s="243"/>
      <c r="J592" s="243"/>
      <c r="K592" s="243"/>
      <c r="L592" s="243"/>
      <c r="M592" s="244"/>
      <c r="N592" s="245" t="s">
        <v>257</v>
      </c>
      <c r="O592" s="246"/>
      <c r="P592" s="203" t="s">
        <v>257</v>
      </c>
      <c r="Q592" s="210" t="s">
        <v>257</v>
      </c>
      <c r="R592" s="243" t="s">
        <v>257</v>
      </c>
      <c r="S592" s="247"/>
    </row>
    <row r="593" spans="1:19" x14ac:dyDescent="0.2">
      <c r="A593" s="242"/>
      <c r="B593" s="243"/>
      <c r="C593" s="243"/>
      <c r="D593" s="243"/>
      <c r="E593" s="243"/>
      <c r="F593" s="243"/>
      <c r="G593" s="244"/>
      <c r="H593" s="243"/>
      <c r="I593" s="243"/>
      <c r="J593" s="243"/>
      <c r="K593" s="243"/>
      <c r="L593" s="243"/>
      <c r="M593" s="244"/>
      <c r="N593" s="245" t="s">
        <v>257</v>
      </c>
      <c r="O593" s="246"/>
      <c r="P593" s="203" t="s">
        <v>257</v>
      </c>
      <c r="Q593" s="210" t="s">
        <v>257</v>
      </c>
      <c r="R593" s="243" t="s">
        <v>257</v>
      </c>
      <c r="S593" s="247"/>
    </row>
    <row r="594" spans="1:19" x14ac:dyDescent="0.2">
      <c r="A594" s="242"/>
      <c r="B594" s="243"/>
      <c r="C594" s="243"/>
      <c r="D594" s="243"/>
      <c r="E594" s="243"/>
      <c r="F594" s="243"/>
      <c r="G594" s="244"/>
      <c r="H594" s="243"/>
      <c r="I594" s="243"/>
      <c r="J594" s="243"/>
      <c r="K594" s="243"/>
      <c r="L594" s="243"/>
      <c r="M594" s="244"/>
      <c r="N594" s="245" t="s">
        <v>257</v>
      </c>
      <c r="O594" s="246"/>
      <c r="P594" s="203" t="s">
        <v>257</v>
      </c>
      <c r="Q594" s="210" t="s">
        <v>257</v>
      </c>
      <c r="R594" s="243" t="s">
        <v>257</v>
      </c>
      <c r="S594" s="247"/>
    </row>
    <row r="595" spans="1:19" x14ac:dyDescent="0.2">
      <c r="A595" s="242"/>
      <c r="B595" s="243"/>
      <c r="C595" s="243"/>
      <c r="D595" s="243"/>
      <c r="E595" s="243"/>
      <c r="F595" s="243"/>
      <c r="G595" s="244"/>
      <c r="H595" s="243"/>
      <c r="I595" s="243"/>
      <c r="J595" s="243"/>
      <c r="K595" s="243"/>
      <c r="L595" s="243"/>
      <c r="M595" s="244"/>
      <c r="N595" s="245" t="s">
        <v>257</v>
      </c>
      <c r="O595" s="246"/>
      <c r="P595" s="203" t="s">
        <v>257</v>
      </c>
      <c r="Q595" s="210" t="s">
        <v>257</v>
      </c>
      <c r="R595" s="243" t="s">
        <v>257</v>
      </c>
      <c r="S595" s="247"/>
    </row>
    <row r="596" spans="1:19" x14ac:dyDescent="0.2">
      <c r="A596" s="242"/>
      <c r="B596" s="243"/>
      <c r="C596" s="243"/>
      <c r="D596" s="243"/>
      <c r="E596" s="243"/>
      <c r="F596" s="243"/>
      <c r="G596" s="244"/>
      <c r="H596" s="243"/>
      <c r="I596" s="243"/>
      <c r="J596" s="243"/>
      <c r="K596" s="243"/>
      <c r="L596" s="243"/>
      <c r="M596" s="244"/>
      <c r="N596" s="245" t="s">
        <v>257</v>
      </c>
      <c r="O596" s="246"/>
      <c r="P596" s="203" t="s">
        <v>257</v>
      </c>
      <c r="Q596" s="210" t="s">
        <v>257</v>
      </c>
      <c r="R596" s="243" t="s">
        <v>257</v>
      </c>
      <c r="S596" s="247"/>
    </row>
    <row r="597" spans="1:19" x14ac:dyDescent="0.2">
      <c r="A597" s="242"/>
      <c r="B597" s="243"/>
      <c r="C597" s="243"/>
      <c r="D597" s="243"/>
      <c r="E597" s="243"/>
      <c r="F597" s="243"/>
      <c r="G597" s="244"/>
      <c r="H597" s="243"/>
      <c r="I597" s="243"/>
      <c r="J597" s="243"/>
      <c r="K597" s="243"/>
      <c r="L597" s="243"/>
      <c r="M597" s="244"/>
      <c r="N597" s="245" t="s">
        <v>257</v>
      </c>
      <c r="O597" s="246"/>
      <c r="P597" s="203" t="s">
        <v>257</v>
      </c>
      <c r="Q597" s="210" t="s">
        <v>257</v>
      </c>
      <c r="R597" s="243" t="s">
        <v>257</v>
      </c>
      <c r="S597" s="247"/>
    </row>
    <row r="598" spans="1:19" x14ac:dyDescent="0.2">
      <c r="A598" s="242"/>
      <c r="B598" s="243"/>
      <c r="C598" s="243"/>
      <c r="D598" s="243"/>
      <c r="E598" s="243"/>
      <c r="F598" s="243"/>
      <c r="G598" s="244"/>
      <c r="H598" s="243"/>
      <c r="I598" s="243"/>
      <c r="J598" s="243"/>
      <c r="K598" s="243"/>
      <c r="L598" s="243"/>
      <c r="M598" s="244"/>
      <c r="N598" s="245" t="s">
        <v>257</v>
      </c>
      <c r="O598" s="246"/>
      <c r="P598" s="203" t="s">
        <v>257</v>
      </c>
      <c r="Q598" s="210" t="s">
        <v>257</v>
      </c>
      <c r="R598" s="243" t="s">
        <v>257</v>
      </c>
      <c r="S598" s="247"/>
    </row>
    <row r="599" spans="1:19" x14ac:dyDescent="0.2">
      <c r="A599" s="242"/>
      <c r="B599" s="243"/>
      <c r="C599" s="243"/>
      <c r="D599" s="243"/>
      <c r="E599" s="243"/>
      <c r="F599" s="243"/>
      <c r="G599" s="244"/>
      <c r="H599" s="243"/>
      <c r="I599" s="243"/>
      <c r="J599" s="243"/>
      <c r="K599" s="243"/>
      <c r="L599" s="243"/>
      <c r="M599" s="244"/>
      <c r="N599" s="245" t="s">
        <v>257</v>
      </c>
      <c r="O599" s="246"/>
      <c r="P599" s="203" t="s">
        <v>257</v>
      </c>
      <c r="Q599" s="210" t="s">
        <v>257</v>
      </c>
      <c r="R599" s="243" t="s">
        <v>257</v>
      </c>
      <c r="S599" s="247"/>
    </row>
    <row r="600" spans="1:19" x14ac:dyDescent="0.2">
      <c r="A600" s="242"/>
      <c r="B600" s="243"/>
      <c r="C600" s="243"/>
      <c r="D600" s="243"/>
      <c r="E600" s="243"/>
      <c r="F600" s="243"/>
      <c r="G600" s="244"/>
      <c r="H600" s="243"/>
      <c r="I600" s="243"/>
      <c r="J600" s="243"/>
      <c r="K600" s="243"/>
      <c r="L600" s="243"/>
      <c r="M600" s="244"/>
      <c r="N600" s="245" t="s">
        <v>257</v>
      </c>
      <c r="O600" s="246"/>
      <c r="P600" s="203" t="s">
        <v>257</v>
      </c>
      <c r="Q600" s="210" t="s">
        <v>257</v>
      </c>
      <c r="R600" s="243" t="s">
        <v>257</v>
      </c>
      <c r="S600" s="247"/>
    </row>
    <row r="601" spans="1:19" x14ac:dyDescent="0.2">
      <c r="A601" s="242"/>
      <c r="B601" s="243"/>
      <c r="C601" s="243"/>
      <c r="D601" s="243"/>
      <c r="E601" s="243"/>
      <c r="F601" s="243"/>
      <c r="G601" s="244"/>
      <c r="H601" s="243"/>
      <c r="I601" s="243"/>
      <c r="J601" s="243"/>
      <c r="K601" s="243"/>
      <c r="L601" s="243"/>
      <c r="M601" s="244"/>
      <c r="N601" s="245" t="s">
        <v>257</v>
      </c>
      <c r="O601" s="246"/>
      <c r="P601" s="203" t="s">
        <v>257</v>
      </c>
      <c r="Q601" s="210" t="s">
        <v>257</v>
      </c>
      <c r="R601" s="243" t="s">
        <v>257</v>
      </c>
      <c r="S601" s="247"/>
    </row>
    <row r="602" spans="1:19" x14ac:dyDescent="0.2">
      <c r="A602" s="242"/>
      <c r="B602" s="243"/>
      <c r="C602" s="243"/>
      <c r="D602" s="243"/>
      <c r="E602" s="243"/>
      <c r="F602" s="243"/>
      <c r="G602" s="244"/>
      <c r="H602" s="243"/>
      <c r="I602" s="243"/>
      <c r="J602" s="243"/>
      <c r="K602" s="243"/>
      <c r="L602" s="243"/>
      <c r="M602" s="244"/>
      <c r="N602" s="245" t="s">
        <v>257</v>
      </c>
      <c r="O602" s="246"/>
      <c r="P602" s="203" t="s">
        <v>257</v>
      </c>
      <c r="Q602" s="210" t="s">
        <v>257</v>
      </c>
      <c r="R602" s="243" t="s">
        <v>257</v>
      </c>
      <c r="S602" s="247"/>
    </row>
    <row r="603" spans="1:19" x14ac:dyDescent="0.2">
      <c r="A603" s="242"/>
      <c r="B603" s="243"/>
      <c r="C603" s="243"/>
      <c r="D603" s="243"/>
      <c r="E603" s="243"/>
      <c r="F603" s="243"/>
      <c r="G603" s="244"/>
      <c r="H603" s="243"/>
      <c r="I603" s="243"/>
      <c r="J603" s="243"/>
      <c r="K603" s="243"/>
      <c r="L603" s="243"/>
      <c r="M603" s="244"/>
      <c r="N603" s="245" t="s">
        <v>257</v>
      </c>
      <c r="O603" s="246"/>
      <c r="P603" s="203" t="s">
        <v>257</v>
      </c>
      <c r="Q603" s="210" t="s">
        <v>257</v>
      </c>
      <c r="R603" s="243" t="s">
        <v>257</v>
      </c>
      <c r="S603" s="247"/>
    </row>
    <row r="604" spans="1:19" x14ac:dyDescent="0.2">
      <c r="A604" s="242"/>
      <c r="B604" s="243"/>
      <c r="C604" s="243"/>
      <c r="D604" s="243"/>
      <c r="E604" s="243"/>
      <c r="F604" s="243"/>
      <c r="G604" s="244"/>
      <c r="H604" s="243"/>
      <c r="I604" s="243"/>
      <c r="J604" s="243"/>
      <c r="K604" s="243"/>
      <c r="L604" s="243"/>
      <c r="M604" s="244"/>
      <c r="N604" s="245" t="s">
        <v>257</v>
      </c>
      <c r="O604" s="246"/>
      <c r="P604" s="203" t="s">
        <v>257</v>
      </c>
      <c r="Q604" s="210" t="s">
        <v>257</v>
      </c>
      <c r="R604" s="243" t="s">
        <v>257</v>
      </c>
      <c r="S604" s="247"/>
    </row>
    <row r="605" spans="1:19" x14ac:dyDescent="0.2">
      <c r="A605" s="242"/>
      <c r="B605" s="243"/>
      <c r="C605" s="243"/>
      <c r="D605" s="243"/>
      <c r="E605" s="243"/>
      <c r="F605" s="243"/>
      <c r="G605" s="244"/>
      <c r="H605" s="243"/>
      <c r="I605" s="243"/>
      <c r="J605" s="243"/>
      <c r="K605" s="243"/>
      <c r="L605" s="243"/>
      <c r="M605" s="244"/>
      <c r="N605" s="245" t="s">
        <v>257</v>
      </c>
      <c r="O605" s="246"/>
      <c r="P605" s="203" t="s">
        <v>257</v>
      </c>
      <c r="Q605" s="210" t="s">
        <v>257</v>
      </c>
      <c r="R605" s="243" t="s">
        <v>257</v>
      </c>
      <c r="S605" s="247"/>
    </row>
    <row r="606" spans="1:19" x14ac:dyDescent="0.2">
      <c r="A606" s="242"/>
      <c r="B606" s="243"/>
      <c r="C606" s="243"/>
      <c r="D606" s="243"/>
      <c r="E606" s="243"/>
      <c r="F606" s="243"/>
      <c r="G606" s="244"/>
      <c r="H606" s="243"/>
      <c r="I606" s="243"/>
      <c r="J606" s="243"/>
      <c r="K606" s="243"/>
      <c r="L606" s="243"/>
      <c r="M606" s="244"/>
      <c r="N606" s="245" t="s">
        <v>257</v>
      </c>
      <c r="O606" s="246"/>
      <c r="P606" s="203" t="s">
        <v>257</v>
      </c>
      <c r="Q606" s="210" t="s">
        <v>257</v>
      </c>
      <c r="R606" s="243" t="s">
        <v>257</v>
      </c>
      <c r="S606" s="247"/>
    </row>
    <row r="607" spans="1:19" x14ac:dyDescent="0.2">
      <c r="A607" s="242"/>
      <c r="B607" s="243"/>
      <c r="C607" s="243"/>
      <c r="D607" s="243"/>
      <c r="E607" s="243"/>
      <c r="F607" s="243"/>
      <c r="G607" s="244"/>
      <c r="H607" s="243"/>
      <c r="I607" s="243"/>
      <c r="J607" s="243"/>
      <c r="K607" s="243"/>
      <c r="L607" s="243"/>
      <c r="M607" s="244"/>
      <c r="N607" s="245" t="s">
        <v>257</v>
      </c>
      <c r="O607" s="246"/>
      <c r="P607" s="203" t="s">
        <v>257</v>
      </c>
      <c r="Q607" s="210" t="s">
        <v>257</v>
      </c>
      <c r="R607" s="243" t="s">
        <v>257</v>
      </c>
      <c r="S607" s="247"/>
    </row>
    <row r="608" spans="1:19" x14ac:dyDescent="0.2">
      <c r="A608" s="242"/>
      <c r="B608" s="243"/>
      <c r="C608" s="243"/>
      <c r="D608" s="243"/>
      <c r="E608" s="243"/>
      <c r="F608" s="243"/>
      <c r="G608" s="244"/>
      <c r="H608" s="243"/>
      <c r="I608" s="243"/>
      <c r="J608" s="243"/>
      <c r="K608" s="243"/>
      <c r="L608" s="243"/>
      <c r="M608" s="244"/>
      <c r="N608" s="245" t="s">
        <v>257</v>
      </c>
      <c r="O608" s="246"/>
      <c r="P608" s="203" t="s">
        <v>257</v>
      </c>
      <c r="Q608" s="210" t="s">
        <v>257</v>
      </c>
      <c r="R608" s="243" t="s">
        <v>257</v>
      </c>
      <c r="S608" s="247"/>
    </row>
    <row r="609" spans="1:19" x14ac:dyDescent="0.2">
      <c r="A609" s="242"/>
      <c r="B609" s="243"/>
      <c r="C609" s="243"/>
      <c r="D609" s="243"/>
      <c r="E609" s="243"/>
      <c r="F609" s="243"/>
      <c r="G609" s="244"/>
      <c r="H609" s="243"/>
      <c r="I609" s="243"/>
      <c r="J609" s="243"/>
      <c r="K609" s="243"/>
      <c r="L609" s="243"/>
      <c r="M609" s="244"/>
      <c r="N609" s="245" t="s">
        <v>257</v>
      </c>
      <c r="O609" s="246"/>
      <c r="P609" s="203" t="s">
        <v>257</v>
      </c>
      <c r="Q609" s="210" t="s">
        <v>257</v>
      </c>
      <c r="R609" s="243" t="s">
        <v>257</v>
      </c>
      <c r="S609" s="247"/>
    </row>
    <row r="610" spans="1:19" x14ac:dyDescent="0.2">
      <c r="A610" s="242"/>
      <c r="B610" s="243"/>
      <c r="C610" s="243"/>
      <c r="D610" s="243"/>
      <c r="E610" s="243"/>
      <c r="F610" s="243"/>
      <c r="G610" s="244"/>
      <c r="H610" s="243"/>
      <c r="I610" s="243"/>
      <c r="J610" s="243"/>
      <c r="K610" s="243"/>
      <c r="L610" s="243"/>
      <c r="M610" s="244"/>
      <c r="N610" s="245" t="s">
        <v>257</v>
      </c>
      <c r="O610" s="246"/>
      <c r="P610" s="203" t="s">
        <v>257</v>
      </c>
      <c r="Q610" s="210" t="s">
        <v>257</v>
      </c>
      <c r="R610" s="243" t="s">
        <v>257</v>
      </c>
      <c r="S610" s="247"/>
    </row>
    <row r="611" spans="1:19" x14ac:dyDescent="0.2">
      <c r="A611" s="242"/>
      <c r="B611" s="243"/>
      <c r="C611" s="243"/>
      <c r="D611" s="243"/>
      <c r="E611" s="243"/>
      <c r="F611" s="243"/>
      <c r="G611" s="244"/>
      <c r="H611" s="243"/>
      <c r="I611" s="243"/>
      <c r="J611" s="243"/>
      <c r="K611" s="243"/>
      <c r="L611" s="243"/>
      <c r="M611" s="244"/>
      <c r="N611" s="245" t="s">
        <v>257</v>
      </c>
      <c r="O611" s="246"/>
      <c r="P611" s="203" t="s">
        <v>257</v>
      </c>
      <c r="Q611" s="210" t="s">
        <v>257</v>
      </c>
      <c r="R611" s="243" t="s">
        <v>257</v>
      </c>
      <c r="S611" s="247"/>
    </row>
    <row r="612" spans="1:19" x14ac:dyDescent="0.2">
      <c r="A612" s="242"/>
      <c r="B612" s="243"/>
      <c r="C612" s="243"/>
      <c r="D612" s="243"/>
      <c r="E612" s="243"/>
      <c r="F612" s="243"/>
      <c r="G612" s="244"/>
      <c r="H612" s="243"/>
      <c r="I612" s="243"/>
      <c r="J612" s="243"/>
      <c r="K612" s="243"/>
      <c r="L612" s="243"/>
      <c r="M612" s="244"/>
      <c r="N612" s="245" t="s">
        <v>257</v>
      </c>
      <c r="O612" s="246"/>
      <c r="P612" s="203" t="s">
        <v>257</v>
      </c>
      <c r="Q612" s="210" t="s">
        <v>257</v>
      </c>
      <c r="R612" s="243" t="s">
        <v>257</v>
      </c>
      <c r="S612" s="247"/>
    </row>
    <row r="613" spans="1:19" x14ac:dyDescent="0.2">
      <c r="A613" s="242"/>
      <c r="B613" s="243"/>
      <c r="C613" s="243"/>
      <c r="D613" s="243"/>
      <c r="E613" s="243"/>
      <c r="F613" s="243"/>
      <c r="G613" s="244"/>
      <c r="H613" s="243"/>
      <c r="I613" s="243"/>
      <c r="J613" s="243"/>
      <c r="K613" s="243"/>
      <c r="L613" s="243"/>
      <c r="M613" s="244"/>
      <c r="N613" s="245" t="s">
        <v>257</v>
      </c>
      <c r="O613" s="246"/>
      <c r="P613" s="203" t="s">
        <v>257</v>
      </c>
      <c r="Q613" s="210" t="s">
        <v>257</v>
      </c>
      <c r="R613" s="243" t="s">
        <v>257</v>
      </c>
      <c r="S613" s="247"/>
    </row>
    <row r="614" spans="1:19" x14ac:dyDescent="0.2">
      <c r="A614" s="242"/>
      <c r="B614" s="243"/>
      <c r="C614" s="243"/>
      <c r="D614" s="243"/>
      <c r="E614" s="243"/>
      <c r="F614" s="243"/>
      <c r="G614" s="244"/>
      <c r="H614" s="243"/>
      <c r="I614" s="243"/>
      <c r="J614" s="243"/>
      <c r="K614" s="243"/>
      <c r="L614" s="243"/>
      <c r="M614" s="244"/>
      <c r="N614" s="245" t="s">
        <v>257</v>
      </c>
      <c r="O614" s="246"/>
      <c r="P614" s="203" t="s">
        <v>257</v>
      </c>
      <c r="Q614" s="210" t="s">
        <v>257</v>
      </c>
      <c r="R614" s="243" t="s">
        <v>257</v>
      </c>
      <c r="S614" s="247"/>
    </row>
    <row r="615" spans="1:19" x14ac:dyDescent="0.2">
      <c r="A615" s="242"/>
      <c r="B615" s="243"/>
      <c r="C615" s="243"/>
      <c r="D615" s="243"/>
      <c r="E615" s="243"/>
      <c r="F615" s="243"/>
      <c r="G615" s="244"/>
      <c r="H615" s="243"/>
      <c r="I615" s="243"/>
      <c r="J615" s="243"/>
      <c r="K615" s="243"/>
      <c r="L615" s="243"/>
      <c r="M615" s="244"/>
      <c r="N615" s="245" t="s">
        <v>257</v>
      </c>
      <c r="O615" s="246"/>
      <c r="P615" s="203" t="s">
        <v>257</v>
      </c>
      <c r="Q615" s="210" t="s">
        <v>257</v>
      </c>
      <c r="R615" s="243" t="s">
        <v>257</v>
      </c>
      <c r="S615" s="247"/>
    </row>
    <row r="616" spans="1:19" x14ac:dyDescent="0.2">
      <c r="A616" s="242"/>
      <c r="B616" s="243"/>
      <c r="C616" s="243"/>
      <c r="D616" s="243"/>
      <c r="E616" s="243"/>
      <c r="F616" s="243"/>
      <c r="G616" s="244"/>
      <c r="H616" s="243"/>
      <c r="I616" s="243"/>
      <c r="J616" s="243"/>
      <c r="K616" s="243"/>
      <c r="L616" s="243"/>
      <c r="M616" s="244"/>
      <c r="N616" s="245" t="s">
        <v>257</v>
      </c>
      <c r="O616" s="246"/>
      <c r="P616" s="203" t="s">
        <v>257</v>
      </c>
      <c r="Q616" s="210" t="s">
        <v>257</v>
      </c>
      <c r="R616" s="243" t="s">
        <v>257</v>
      </c>
      <c r="S616" s="247"/>
    </row>
    <row r="617" spans="1:19" x14ac:dyDescent="0.2">
      <c r="A617" s="242"/>
      <c r="B617" s="243"/>
      <c r="C617" s="243"/>
      <c r="D617" s="243"/>
      <c r="E617" s="243"/>
      <c r="F617" s="243"/>
      <c r="G617" s="244"/>
      <c r="H617" s="243"/>
      <c r="I617" s="243"/>
      <c r="J617" s="243"/>
      <c r="K617" s="243"/>
      <c r="L617" s="243"/>
      <c r="M617" s="244"/>
      <c r="N617" s="245" t="s">
        <v>257</v>
      </c>
      <c r="O617" s="246"/>
      <c r="P617" s="203" t="s">
        <v>257</v>
      </c>
      <c r="Q617" s="210" t="s">
        <v>257</v>
      </c>
      <c r="R617" s="243" t="s">
        <v>257</v>
      </c>
      <c r="S617" s="247"/>
    </row>
    <row r="618" spans="1:19" x14ac:dyDescent="0.2">
      <c r="A618" s="242"/>
      <c r="B618" s="243"/>
      <c r="C618" s="243"/>
      <c r="D618" s="243"/>
      <c r="E618" s="243"/>
      <c r="F618" s="243"/>
      <c r="G618" s="244"/>
      <c r="H618" s="243"/>
      <c r="I618" s="243"/>
      <c r="J618" s="243"/>
      <c r="K618" s="243"/>
      <c r="L618" s="243"/>
      <c r="M618" s="244"/>
      <c r="N618" s="245" t="s">
        <v>257</v>
      </c>
      <c r="O618" s="246"/>
      <c r="P618" s="203" t="s">
        <v>257</v>
      </c>
      <c r="Q618" s="210" t="s">
        <v>257</v>
      </c>
      <c r="R618" s="243" t="s">
        <v>257</v>
      </c>
      <c r="S618" s="247"/>
    </row>
    <row r="619" spans="1:19" x14ac:dyDescent="0.2">
      <c r="A619" s="242"/>
      <c r="B619" s="243"/>
      <c r="C619" s="243"/>
      <c r="D619" s="243"/>
      <c r="E619" s="243"/>
      <c r="F619" s="243"/>
      <c r="G619" s="244"/>
      <c r="H619" s="243"/>
      <c r="I619" s="243"/>
      <c r="J619" s="243"/>
      <c r="K619" s="243"/>
      <c r="L619" s="243"/>
      <c r="M619" s="244"/>
      <c r="N619" s="245" t="s">
        <v>257</v>
      </c>
      <c r="O619" s="246"/>
      <c r="P619" s="203" t="s">
        <v>257</v>
      </c>
      <c r="Q619" s="210" t="s">
        <v>257</v>
      </c>
      <c r="R619" s="243" t="s">
        <v>257</v>
      </c>
      <c r="S619" s="247"/>
    </row>
    <row r="620" spans="1:19" x14ac:dyDescent="0.2">
      <c r="A620" s="242"/>
      <c r="B620" s="243"/>
      <c r="C620" s="243"/>
      <c r="D620" s="243"/>
      <c r="E620" s="243"/>
      <c r="F620" s="243"/>
      <c r="G620" s="244"/>
      <c r="H620" s="243"/>
      <c r="I620" s="243"/>
      <c r="J620" s="243"/>
      <c r="K620" s="243"/>
      <c r="L620" s="243"/>
      <c r="M620" s="244"/>
      <c r="N620" s="245" t="s">
        <v>257</v>
      </c>
      <c r="O620" s="246"/>
      <c r="P620" s="203" t="s">
        <v>257</v>
      </c>
      <c r="Q620" s="210" t="s">
        <v>257</v>
      </c>
      <c r="R620" s="243" t="s">
        <v>257</v>
      </c>
      <c r="S620" s="247"/>
    </row>
    <row r="621" spans="1:19" x14ac:dyDescent="0.2">
      <c r="A621" s="242"/>
      <c r="B621" s="243"/>
      <c r="C621" s="243"/>
      <c r="D621" s="243"/>
      <c r="E621" s="243"/>
      <c r="F621" s="243"/>
      <c r="G621" s="244"/>
      <c r="H621" s="243"/>
      <c r="I621" s="243"/>
      <c r="J621" s="243"/>
      <c r="K621" s="243"/>
      <c r="L621" s="243"/>
      <c r="M621" s="244"/>
      <c r="N621" s="245" t="s">
        <v>257</v>
      </c>
      <c r="O621" s="246"/>
      <c r="P621" s="203" t="s">
        <v>257</v>
      </c>
      <c r="Q621" s="210" t="s">
        <v>257</v>
      </c>
      <c r="R621" s="243" t="s">
        <v>257</v>
      </c>
      <c r="S621" s="247"/>
    </row>
    <row r="622" spans="1:19" x14ac:dyDescent="0.2">
      <c r="A622" s="242"/>
      <c r="B622" s="243"/>
      <c r="C622" s="243"/>
      <c r="D622" s="243"/>
      <c r="E622" s="243"/>
      <c r="F622" s="243"/>
      <c r="G622" s="244"/>
      <c r="H622" s="243"/>
      <c r="I622" s="243"/>
      <c r="J622" s="243"/>
      <c r="K622" s="243"/>
      <c r="L622" s="243"/>
      <c r="M622" s="244"/>
      <c r="N622" s="245" t="s">
        <v>257</v>
      </c>
      <c r="O622" s="246"/>
      <c r="P622" s="203" t="s">
        <v>257</v>
      </c>
      <c r="Q622" s="210" t="s">
        <v>257</v>
      </c>
      <c r="R622" s="243" t="s">
        <v>257</v>
      </c>
      <c r="S622" s="247"/>
    </row>
    <row r="623" spans="1:19" x14ac:dyDescent="0.2">
      <c r="A623" s="242"/>
      <c r="B623" s="243"/>
      <c r="C623" s="243"/>
      <c r="D623" s="243"/>
      <c r="E623" s="243"/>
      <c r="F623" s="243"/>
      <c r="G623" s="244"/>
      <c r="H623" s="243"/>
      <c r="I623" s="243"/>
      <c r="J623" s="243"/>
      <c r="K623" s="243"/>
      <c r="L623" s="243"/>
      <c r="M623" s="244"/>
      <c r="N623" s="245" t="s">
        <v>257</v>
      </c>
      <c r="O623" s="246"/>
      <c r="P623" s="203" t="s">
        <v>257</v>
      </c>
      <c r="Q623" s="210" t="s">
        <v>257</v>
      </c>
      <c r="R623" s="243" t="s">
        <v>257</v>
      </c>
      <c r="S623" s="247"/>
    </row>
    <row r="624" spans="1:19" x14ac:dyDescent="0.2">
      <c r="A624" s="242"/>
      <c r="B624" s="243"/>
      <c r="C624" s="243"/>
      <c r="D624" s="243"/>
      <c r="E624" s="243"/>
      <c r="F624" s="243"/>
      <c r="G624" s="244"/>
      <c r="H624" s="243"/>
      <c r="I624" s="243"/>
      <c r="J624" s="243"/>
      <c r="K624" s="243"/>
      <c r="L624" s="243"/>
      <c r="M624" s="244"/>
      <c r="N624" s="245" t="s">
        <v>257</v>
      </c>
      <c r="O624" s="246"/>
      <c r="P624" s="203" t="s">
        <v>257</v>
      </c>
      <c r="Q624" s="210" t="s">
        <v>257</v>
      </c>
      <c r="R624" s="243" t="s">
        <v>257</v>
      </c>
      <c r="S624" s="247"/>
    </row>
    <row r="625" spans="1:19" x14ac:dyDescent="0.2">
      <c r="A625" s="242"/>
      <c r="B625" s="243"/>
      <c r="C625" s="243"/>
      <c r="D625" s="243"/>
      <c r="E625" s="243"/>
      <c r="F625" s="243"/>
      <c r="G625" s="244"/>
      <c r="H625" s="243"/>
      <c r="I625" s="243"/>
      <c r="J625" s="243"/>
      <c r="K625" s="243"/>
      <c r="L625" s="243"/>
      <c r="M625" s="244"/>
      <c r="N625" s="245" t="s">
        <v>257</v>
      </c>
      <c r="O625" s="246"/>
      <c r="P625" s="203" t="s">
        <v>257</v>
      </c>
      <c r="Q625" s="210" t="s">
        <v>257</v>
      </c>
      <c r="R625" s="243" t="s">
        <v>257</v>
      </c>
      <c r="S625" s="247"/>
    </row>
    <row r="626" spans="1:19" x14ac:dyDescent="0.2">
      <c r="A626" s="242"/>
      <c r="B626" s="243"/>
      <c r="C626" s="243"/>
      <c r="D626" s="243"/>
      <c r="E626" s="243"/>
      <c r="F626" s="243"/>
      <c r="G626" s="244"/>
      <c r="H626" s="243"/>
      <c r="I626" s="243"/>
      <c r="J626" s="243"/>
      <c r="K626" s="243"/>
      <c r="L626" s="243"/>
      <c r="M626" s="244"/>
      <c r="N626" s="245" t="s">
        <v>257</v>
      </c>
      <c r="O626" s="246"/>
      <c r="P626" s="203" t="s">
        <v>257</v>
      </c>
      <c r="Q626" s="210" t="s">
        <v>257</v>
      </c>
      <c r="R626" s="243" t="s">
        <v>257</v>
      </c>
      <c r="S626" s="247"/>
    </row>
    <row r="627" spans="1:19" x14ac:dyDescent="0.2">
      <c r="A627" s="242"/>
      <c r="B627" s="243"/>
      <c r="C627" s="243"/>
      <c r="D627" s="243"/>
      <c r="E627" s="243"/>
      <c r="F627" s="243"/>
      <c r="G627" s="244"/>
      <c r="H627" s="243"/>
      <c r="I627" s="243"/>
      <c r="J627" s="243"/>
      <c r="K627" s="243"/>
      <c r="L627" s="243"/>
      <c r="M627" s="244"/>
      <c r="N627" s="245" t="s">
        <v>257</v>
      </c>
      <c r="O627" s="246"/>
      <c r="P627" s="203" t="s">
        <v>257</v>
      </c>
      <c r="Q627" s="210" t="s">
        <v>257</v>
      </c>
      <c r="R627" s="243" t="s">
        <v>257</v>
      </c>
      <c r="S627" s="247"/>
    </row>
    <row r="628" spans="1:19" x14ac:dyDescent="0.2">
      <c r="A628" s="242"/>
      <c r="B628" s="243"/>
      <c r="C628" s="243"/>
      <c r="D628" s="243"/>
      <c r="E628" s="243"/>
      <c r="F628" s="243"/>
      <c r="G628" s="244"/>
      <c r="H628" s="243"/>
      <c r="I628" s="243"/>
      <c r="J628" s="243"/>
      <c r="K628" s="243"/>
      <c r="L628" s="243"/>
      <c r="M628" s="244"/>
      <c r="N628" s="245" t="s">
        <v>257</v>
      </c>
      <c r="O628" s="246"/>
      <c r="P628" s="203" t="s">
        <v>257</v>
      </c>
      <c r="Q628" s="210" t="s">
        <v>257</v>
      </c>
      <c r="R628" s="243" t="s">
        <v>257</v>
      </c>
      <c r="S628" s="247"/>
    </row>
    <row r="629" spans="1:19" x14ac:dyDescent="0.2">
      <c r="A629" s="242"/>
      <c r="B629" s="243"/>
      <c r="C629" s="243"/>
      <c r="D629" s="243"/>
      <c r="E629" s="243"/>
      <c r="F629" s="243"/>
      <c r="G629" s="244"/>
      <c r="H629" s="243"/>
      <c r="I629" s="243"/>
      <c r="J629" s="243"/>
      <c r="K629" s="243"/>
      <c r="L629" s="243"/>
      <c r="M629" s="244"/>
      <c r="N629" s="245" t="s">
        <v>257</v>
      </c>
      <c r="O629" s="246"/>
      <c r="P629" s="203" t="s">
        <v>257</v>
      </c>
      <c r="Q629" s="210" t="s">
        <v>257</v>
      </c>
      <c r="R629" s="243" t="s">
        <v>257</v>
      </c>
      <c r="S629" s="247"/>
    </row>
    <row r="630" spans="1:19" x14ac:dyDescent="0.2">
      <c r="A630" s="242"/>
      <c r="B630" s="243"/>
      <c r="C630" s="243"/>
      <c r="D630" s="243"/>
      <c r="E630" s="243"/>
      <c r="F630" s="243"/>
      <c r="G630" s="244"/>
      <c r="H630" s="243"/>
      <c r="I630" s="243"/>
      <c r="J630" s="243"/>
      <c r="K630" s="243"/>
      <c r="L630" s="243"/>
      <c r="M630" s="244"/>
      <c r="N630" s="245" t="s">
        <v>257</v>
      </c>
      <c r="O630" s="246"/>
      <c r="P630" s="203" t="s">
        <v>257</v>
      </c>
      <c r="Q630" s="210" t="s">
        <v>257</v>
      </c>
      <c r="R630" s="243" t="s">
        <v>257</v>
      </c>
      <c r="S630" s="247"/>
    </row>
    <row r="631" spans="1:19" x14ac:dyDescent="0.2">
      <c r="A631" s="242"/>
      <c r="B631" s="243"/>
      <c r="C631" s="243"/>
      <c r="D631" s="243"/>
      <c r="E631" s="243"/>
      <c r="F631" s="243"/>
      <c r="G631" s="244"/>
      <c r="H631" s="243"/>
      <c r="I631" s="243"/>
      <c r="J631" s="243"/>
      <c r="K631" s="243"/>
      <c r="L631" s="243"/>
      <c r="M631" s="244"/>
      <c r="N631" s="245" t="s">
        <v>257</v>
      </c>
      <c r="O631" s="246"/>
      <c r="P631" s="203" t="s">
        <v>257</v>
      </c>
      <c r="Q631" s="210" t="s">
        <v>257</v>
      </c>
      <c r="R631" s="243" t="s">
        <v>257</v>
      </c>
      <c r="S631" s="247"/>
    </row>
    <row r="632" spans="1:19" x14ac:dyDescent="0.2">
      <c r="A632" s="242"/>
      <c r="B632" s="243"/>
      <c r="C632" s="243"/>
      <c r="D632" s="243"/>
      <c r="E632" s="243"/>
      <c r="F632" s="243"/>
      <c r="G632" s="244"/>
      <c r="H632" s="243"/>
      <c r="I632" s="243"/>
      <c r="J632" s="243"/>
      <c r="K632" s="243"/>
      <c r="L632" s="243"/>
      <c r="M632" s="244"/>
      <c r="N632" s="245" t="s">
        <v>257</v>
      </c>
      <c r="O632" s="246"/>
      <c r="P632" s="203" t="s">
        <v>257</v>
      </c>
      <c r="Q632" s="210" t="s">
        <v>257</v>
      </c>
      <c r="R632" s="243" t="s">
        <v>257</v>
      </c>
      <c r="S632" s="247"/>
    </row>
    <row r="633" spans="1:19" x14ac:dyDescent="0.2">
      <c r="A633" s="242"/>
      <c r="B633" s="243"/>
      <c r="C633" s="243"/>
      <c r="D633" s="243"/>
      <c r="E633" s="243"/>
      <c r="F633" s="243"/>
      <c r="G633" s="244"/>
      <c r="H633" s="243"/>
      <c r="I633" s="243"/>
      <c r="J633" s="243"/>
      <c r="K633" s="243"/>
      <c r="L633" s="243"/>
      <c r="M633" s="244"/>
      <c r="N633" s="245" t="s">
        <v>257</v>
      </c>
      <c r="O633" s="246"/>
      <c r="P633" s="203" t="s">
        <v>257</v>
      </c>
      <c r="Q633" s="210" t="s">
        <v>257</v>
      </c>
      <c r="R633" s="243" t="s">
        <v>257</v>
      </c>
      <c r="S633" s="247"/>
    </row>
    <row r="634" spans="1:19" x14ac:dyDescent="0.2">
      <c r="A634" s="242"/>
      <c r="B634" s="243"/>
      <c r="C634" s="243"/>
      <c r="D634" s="243"/>
      <c r="E634" s="243"/>
      <c r="F634" s="243"/>
      <c r="G634" s="244"/>
      <c r="H634" s="243"/>
      <c r="I634" s="243"/>
      <c r="J634" s="243"/>
      <c r="K634" s="243"/>
      <c r="L634" s="243"/>
      <c r="M634" s="244"/>
      <c r="N634" s="245" t="s">
        <v>257</v>
      </c>
      <c r="O634" s="246"/>
      <c r="P634" s="203" t="s">
        <v>257</v>
      </c>
      <c r="Q634" s="210" t="s">
        <v>257</v>
      </c>
      <c r="R634" s="243" t="s">
        <v>257</v>
      </c>
      <c r="S634" s="247"/>
    </row>
    <row r="635" spans="1:19" x14ac:dyDescent="0.2">
      <c r="A635" s="242"/>
      <c r="B635" s="243"/>
      <c r="C635" s="243"/>
      <c r="D635" s="243"/>
      <c r="E635" s="243"/>
      <c r="F635" s="243"/>
      <c r="G635" s="244"/>
      <c r="H635" s="243"/>
      <c r="I635" s="243"/>
      <c r="J635" s="243"/>
      <c r="K635" s="243"/>
      <c r="L635" s="243"/>
      <c r="M635" s="244"/>
      <c r="N635" s="245" t="s">
        <v>257</v>
      </c>
      <c r="O635" s="246"/>
      <c r="P635" s="203" t="s">
        <v>257</v>
      </c>
      <c r="Q635" s="210" t="s">
        <v>257</v>
      </c>
      <c r="R635" s="243" t="s">
        <v>257</v>
      </c>
      <c r="S635" s="247"/>
    </row>
    <row r="636" spans="1:19" x14ac:dyDescent="0.2">
      <c r="A636" s="242"/>
      <c r="B636" s="243"/>
      <c r="C636" s="243"/>
      <c r="D636" s="243"/>
      <c r="E636" s="243"/>
      <c r="F636" s="243"/>
      <c r="G636" s="244"/>
      <c r="H636" s="243"/>
      <c r="I636" s="243"/>
      <c r="J636" s="243"/>
      <c r="K636" s="243"/>
      <c r="L636" s="243"/>
      <c r="M636" s="244"/>
      <c r="N636" s="245" t="s">
        <v>257</v>
      </c>
      <c r="O636" s="246"/>
      <c r="P636" s="203" t="s">
        <v>257</v>
      </c>
      <c r="Q636" s="210" t="s">
        <v>257</v>
      </c>
      <c r="R636" s="243" t="s">
        <v>257</v>
      </c>
      <c r="S636" s="247"/>
    </row>
    <row r="637" spans="1:19" x14ac:dyDescent="0.2">
      <c r="A637" s="242"/>
      <c r="B637" s="243"/>
      <c r="C637" s="243"/>
      <c r="D637" s="243"/>
      <c r="E637" s="243"/>
      <c r="F637" s="243"/>
      <c r="G637" s="244"/>
      <c r="H637" s="243"/>
      <c r="I637" s="243"/>
      <c r="J637" s="243"/>
      <c r="K637" s="243"/>
      <c r="L637" s="243"/>
      <c r="M637" s="244"/>
      <c r="N637" s="245" t="s">
        <v>257</v>
      </c>
      <c r="O637" s="246"/>
      <c r="P637" s="203" t="s">
        <v>257</v>
      </c>
      <c r="Q637" s="210" t="s">
        <v>257</v>
      </c>
      <c r="R637" s="243" t="s">
        <v>257</v>
      </c>
      <c r="S637" s="247"/>
    </row>
    <row r="638" spans="1:19" x14ac:dyDescent="0.2">
      <c r="A638" s="242"/>
      <c r="B638" s="243"/>
      <c r="C638" s="243"/>
      <c r="D638" s="243"/>
      <c r="E638" s="243"/>
      <c r="F638" s="243"/>
      <c r="G638" s="244"/>
      <c r="H638" s="243"/>
      <c r="I638" s="243"/>
      <c r="J638" s="243"/>
      <c r="K638" s="243"/>
      <c r="L638" s="243"/>
      <c r="M638" s="244"/>
      <c r="N638" s="245" t="s">
        <v>257</v>
      </c>
      <c r="O638" s="246"/>
      <c r="P638" s="203" t="s">
        <v>257</v>
      </c>
      <c r="Q638" s="210" t="s">
        <v>257</v>
      </c>
      <c r="R638" s="243" t="s">
        <v>257</v>
      </c>
      <c r="S638" s="247"/>
    </row>
    <row r="639" spans="1:19" x14ac:dyDescent="0.2">
      <c r="A639" s="242"/>
      <c r="B639" s="243"/>
      <c r="C639" s="243"/>
      <c r="D639" s="243"/>
      <c r="E639" s="243"/>
      <c r="F639" s="243"/>
      <c r="G639" s="244"/>
      <c r="H639" s="243"/>
      <c r="I639" s="243"/>
      <c r="J639" s="243"/>
      <c r="K639" s="243"/>
      <c r="L639" s="243"/>
      <c r="M639" s="244"/>
      <c r="N639" s="245" t="s">
        <v>257</v>
      </c>
      <c r="O639" s="246"/>
      <c r="P639" s="203" t="s">
        <v>257</v>
      </c>
      <c r="Q639" s="210" t="s">
        <v>257</v>
      </c>
      <c r="R639" s="243" t="s">
        <v>257</v>
      </c>
      <c r="S639" s="247"/>
    </row>
    <row r="640" spans="1:19" x14ac:dyDescent="0.2">
      <c r="A640" s="242"/>
      <c r="B640" s="243"/>
      <c r="C640" s="243"/>
      <c r="D640" s="243"/>
      <c r="E640" s="243"/>
      <c r="F640" s="243"/>
      <c r="G640" s="244"/>
      <c r="H640" s="243"/>
      <c r="I640" s="243"/>
      <c r="J640" s="243"/>
      <c r="K640" s="243"/>
      <c r="L640" s="243"/>
      <c r="M640" s="244"/>
      <c r="N640" s="245" t="s">
        <v>257</v>
      </c>
      <c r="O640" s="246"/>
      <c r="P640" s="203" t="s">
        <v>257</v>
      </c>
      <c r="Q640" s="210" t="s">
        <v>257</v>
      </c>
      <c r="R640" s="243" t="s">
        <v>257</v>
      </c>
      <c r="S640" s="247"/>
    </row>
    <row r="641" spans="1:19" x14ac:dyDescent="0.2">
      <c r="A641" s="242"/>
      <c r="B641" s="243"/>
      <c r="C641" s="243"/>
      <c r="D641" s="243"/>
      <c r="E641" s="243"/>
      <c r="F641" s="243"/>
      <c r="G641" s="244"/>
      <c r="H641" s="243"/>
      <c r="I641" s="243"/>
      <c r="J641" s="243"/>
      <c r="K641" s="243"/>
      <c r="L641" s="243"/>
      <c r="M641" s="244"/>
      <c r="N641" s="245" t="s">
        <v>257</v>
      </c>
      <c r="O641" s="246"/>
      <c r="P641" s="203" t="s">
        <v>257</v>
      </c>
      <c r="Q641" s="210" t="s">
        <v>257</v>
      </c>
      <c r="R641" s="243" t="s">
        <v>257</v>
      </c>
      <c r="S641" s="247"/>
    </row>
    <row r="642" spans="1:19" x14ac:dyDescent="0.2">
      <c r="A642" s="242"/>
      <c r="B642" s="243"/>
      <c r="C642" s="243"/>
      <c r="D642" s="243"/>
      <c r="E642" s="243"/>
      <c r="F642" s="243"/>
      <c r="G642" s="244"/>
      <c r="H642" s="243"/>
      <c r="I642" s="243"/>
      <c r="J642" s="243"/>
      <c r="K642" s="243"/>
      <c r="L642" s="243"/>
      <c r="M642" s="244"/>
      <c r="N642" s="245" t="s">
        <v>257</v>
      </c>
      <c r="O642" s="246"/>
      <c r="P642" s="203" t="s">
        <v>257</v>
      </c>
      <c r="Q642" s="210" t="s">
        <v>257</v>
      </c>
      <c r="R642" s="243" t="s">
        <v>257</v>
      </c>
      <c r="S642" s="247"/>
    </row>
    <row r="643" spans="1:19" x14ac:dyDescent="0.2">
      <c r="A643" s="242"/>
      <c r="B643" s="243"/>
      <c r="C643" s="243"/>
      <c r="D643" s="243"/>
      <c r="E643" s="243"/>
      <c r="F643" s="243"/>
      <c r="G643" s="244"/>
      <c r="H643" s="243"/>
      <c r="I643" s="243"/>
      <c r="J643" s="243"/>
      <c r="K643" s="243"/>
      <c r="L643" s="243"/>
      <c r="M643" s="244"/>
      <c r="N643" s="245" t="s">
        <v>257</v>
      </c>
      <c r="O643" s="246"/>
      <c r="P643" s="203" t="s">
        <v>257</v>
      </c>
      <c r="Q643" s="210" t="s">
        <v>257</v>
      </c>
      <c r="R643" s="243" t="s">
        <v>257</v>
      </c>
      <c r="S643" s="247"/>
    </row>
    <row r="644" spans="1:19" x14ac:dyDescent="0.2">
      <c r="A644" s="242"/>
      <c r="B644" s="243"/>
      <c r="C644" s="243"/>
      <c r="D644" s="243"/>
      <c r="E644" s="243"/>
      <c r="F644" s="243"/>
      <c r="G644" s="244"/>
      <c r="H644" s="243"/>
      <c r="I644" s="243"/>
      <c r="J644" s="243"/>
      <c r="K644" s="243"/>
      <c r="L644" s="243"/>
      <c r="M644" s="244"/>
      <c r="N644" s="245" t="s">
        <v>257</v>
      </c>
      <c r="O644" s="246"/>
      <c r="P644" s="203" t="s">
        <v>257</v>
      </c>
      <c r="Q644" s="210" t="s">
        <v>257</v>
      </c>
      <c r="R644" s="243" t="s">
        <v>257</v>
      </c>
      <c r="S644" s="247"/>
    </row>
    <row r="645" spans="1:19" x14ac:dyDescent="0.2">
      <c r="A645" s="242"/>
      <c r="B645" s="243"/>
      <c r="C645" s="243"/>
      <c r="D645" s="243"/>
      <c r="E645" s="243"/>
      <c r="F645" s="243"/>
      <c r="G645" s="244"/>
      <c r="H645" s="243"/>
      <c r="I645" s="243"/>
      <c r="J645" s="243"/>
      <c r="K645" s="243"/>
      <c r="L645" s="243"/>
      <c r="M645" s="244"/>
      <c r="N645" s="245" t="s">
        <v>257</v>
      </c>
      <c r="O645" s="246"/>
      <c r="P645" s="203" t="s">
        <v>257</v>
      </c>
      <c r="Q645" s="210" t="s">
        <v>257</v>
      </c>
      <c r="R645" s="243" t="s">
        <v>257</v>
      </c>
      <c r="S645" s="247"/>
    </row>
    <row r="646" spans="1:19" x14ac:dyDescent="0.2">
      <c r="A646" s="242"/>
      <c r="B646" s="243"/>
      <c r="C646" s="243"/>
      <c r="D646" s="243"/>
      <c r="E646" s="243"/>
      <c r="F646" s="243"/>
      <c r="G646" s="244"/>
      <c r="H646" s="243"/>
      <c r="I646" s="243"/>
      <c r="J646" s="243"/>
      <c r="K646" s="243"/>
      <c r="L646" s="243"/>
      <c r="M646" s="244"/>
      <c r="N646" s="245" t="s">
        <v>257</v>
      </c>
      <c r="O646" s="246"/>
      <c r="P646" s="203" t="s">
        <v>257</v>
      </c>
      <c r="Q646" s="210" t="s">
        <v>257</v>
      </c>
      <c r="R646" s="243" t="s">
        <v>257</v>
      </c>
      <c r="S646" s="247"/>
    </row>
    <row r="647" spans="1:19" x14ac:dyDescent="0.2">
      <c r="A647" s="242"/>
      <c r="B647" s="243"/>
      <c r="C647" s="243"/>
      <c r="D647" s="243"/>
      <c r="E647" s="243"/>
      <c r="F647" s="243"/>
      <c r="G647" s="244"/>
      <c r="H647" s="243"/>
      <c r="I647" s="243"/>
      <c r="J647" s="243"/>
      <c r="K647" s="243"/>
      <c r="L647" s="243"/>
      <c r="M647" s="244"/>
      <c r="N647" s="245" t="s">
        <v>257</v>
      </c>
      <c r="O647" s="246"/>
      <c r="P647" s="203" t="s">
        <v>257</v>
      </c>
      <c r="Q647" s="210" t="s">
        <v>257</v>
      </c>
      <c r="R647" s="243" t="s">
        <v>257</v>
      </c>
      <c r="S647" s="247"/>
    </row>
    <row r="648" spans="1:19" x14ac:dyDescent="0.2">
      <c r="A648" s="242"/>
      <c r="B648" s="243"/>
      <c r="C648" s="243"/>
      <c r="D648" s="243"/>
      <c r="E648" s="243"/>
      <c r="F648" s="243"/>
      <c r="G648" s="244"/>
      <c r="H648" s="243"/>
      <c r="I648" s="243"/>
      <c r="J648" s="243"/>
      <c r="K648" s="243"/>
      <c r="L648" s="243"/>
      <c r="M648" s="244"/>
      <c r="N648" s="245" t="s">
        <v>257</v>
      </c>
      <c r="O648" s="246"/>
      <c r="P648" s="203" t="s">
        <v>257</v>
      </c>
      <c r="Q648" s="210" t="s">
        <v>257</v>
      </c>
      <c r="R648" s="243" t="s">
        <v>257</v>
      </c>
      <c r="S648" s="247"/>
    </row>
    <row r="649" spans="1:19" x14ac:dyDescent="0.2">
      <c r="A649" s="242"/>
      <c r="B649" s="243"/>
      <c r="C649" s="243"/>
      <c r="D649" s="243"/>
      <c r="E649" s="243"/>
      <c r="F649" s="243"/>
      <c r="G649" s="244"/>
      <c r="H649" s="243"/>
      <c r="I649" s="243"/>
      <c r="J649" s="243"/>
      <c r="K649" s="243"/>
      <c r="L649" s="243"/>
      <c r="M649" s="244"/>
      <c r="N649" s="245" t="s">
        <v>257</v>
      </c>
      <c r="O649" s="246"/>
      <c r="P649" s="203" t="s">
        <v>257</v>
      </c>
      <c r="Q649" s="210" t="s">
        <v>257</v>
      </c>
      <c r="R649" s="243" t="s">
        <v>257</v>
      </c>
      <c r="S649" s="247"/>
    </row>
    <row r="650" spans="1:19" x14ac:dyDescent="0.2">
      <c r="A650" s="242"/>
      <c r="B650" s="243"/>
      <c r="C650" s="243"/>
      <c r="D650" s="243"/>
      <c r="E650" s="243"/>
      <c r="F650" s="243"/>
      <c r="G650" s="244"/>
      <c r="H650" s="243"/>
      <c r="I650" s="243"/>
      <c r="J650" s="243"/>
      <c r="K650" s="243"/>
      <c r="L650" s="243"/>
      <c r="M650" s="244"/>
      <c r="N650" s="245" t="s">
        <v>257</v>
      </c>
      <c r="O650" s="246"/>
      <c r="P650" s="203" t="s">
        <v>257</v>
      </c>
      <c r="Q650" s="210" t="s">
        <v>257</v>
      </c>
      <c r="R650" s="243" t="s">
        <v>257</v>
      </c>
      <c r="S650" s="247"/>
    </row>
    <row r="651" spans="1:19" x14ac:dyDescent="0.2">
      <c r="A651" s="242"/>
      <c r="B651" s="243"/>
      <c r="C651" s="243"/>
      <c r="D651" s="243"/>
      <c r="E651" s="243"/>
      <c r="F651" s="243"/>
      <c r="G651" s="244"/>
      <c r="H651" s="243"/>
      <c r="I651" s="243"/>
      <c r="J651" s="243"/>
      <c r="K651" s="243"/>
      <c r="L651" s="243"/>
      <c r="M651" s="244"/>
      <c r="N651" s="245" t="s">
        <v>257</v>
      </c>
      <c r="O651" s="246"/>
      <c r="P651" s="203" t="s">
        <v>257</v>
      </c>
      <c r="Q651" s="210" t="s">
        <v>257</v>
      </c>
      <c r="R651" s="243" t="s">
        <v>257</v>
      </c>
      <c r="S651" s="247"/>
    </row>
    <row r="652" spans="1:19" x14ac:dyDescent="0.2">
      <c r="A652" s="242"/>
      <c r="B652" s="243"/>
      <c r="C652" s="243"/>
      <c r="D652" s="243"/>
      <c r="E652" s="243"/>
      <c r="F652" s="243"/>
      <c r="G652" s="244"/>
      <c r="H652" s="243"/>
      <c r="I652" s="243"/>
      <c r="J652" s="243"/>
      <c r="K652" s="243"/>
      <c r="L652" s="243"/>
      <c r="M652" s="244"/>
      <c r="N652" s="245" t="s">
        <v>257</v>
      </c>
      <c r="O652" s="246"/>
      <c r="P652" s="203" t="s">
        <v>257</v>
      </c>
      <c r="Q652" s="210" t="s">
        <v>257</v>
      </c>
      <c r="R652" s="243" t="s">
        <v>257</v>
      </c>
      <c r="S652" s="247"/>
    </row>
    <row r="653" spans="1:19" x14ac:dyDescent="0.2">
      <c r="A653" s="242"/>
      <c r="B653" s="243"/>
      <c r="C653" s="243"/>
      <c r="D653" s="243"/>
      <c r="E653" s="243"/>
      <c r="F653" s="243"/>
      <c r="G653" s="244"/>
      <c r="H653" s="243"/>
      <c r="I653" s="243"/>
      <c r="J653" s="243"/>
      <c r="K653" s="243"/>
      <c r="L653" s="243"/>
      <c r="M653" s="244"/>
      <c r="N653" s="245" t="s">
        <v>257</v>
      </c>
      <c r="O653" s="246"/>
      <c r="P653" s="203" t="s">
        <v>257</v>
      </c>
      <c r="Q653" s="210" t="s">
        <v>257</v>
      </c>
      <c r="R653" s="243" t="s">
        <v>257</v>
      </c>
      <c r="S653" s="247"/>
    </row>
    <row r="654" spans="1:19" x14ac:dyDescent="0.2">
      <c r="A654" s="242"/>
      <c r="B654" s="243"/>
      <c r="C654" s="243"/>
      <c r="D654" s="243"/>
      <c r="E654" s="243"/>
      <c r="F654" s="243"/>
      <c r="G654" s="244"/>
      <c r="H654" s="243"/>
      <c r="I654" s="243"/>
      <c r="J654" s="243"/>
      <c r="K654" s="243"/>
      <c r="L654" s="243"/>
      <c r="M654" s="244"/>
      <c r="N654" s="245" t="s">
        <v>257</v>
      </c>
      <c r="O654" s="246"/>
      <c r="P654" s="203" t="s">
        <v>257</v>
      </c>
      <c r="Q654" s="210" t="s">
        <v>257</v>
      </c>
      <c r="R654" s="243" t="s">
        <v>257</v>
      </c>
      <c r="S654" s="247"/>
    </row>
    <row r="655" spans="1:19" x14ac:dyDescent="0.2">
      <c r="A655" s="242"/>
      <c r="B655" s="243"/>
      <c r="C655" s="243"/>
      <c r="D655" s="243"/>
      <c r="E655" s="243"/>
      <c r="F655" s="243"/>
      <c r="G655" s="244"/>
      <c r="H655" s="243"/>
      <c r="I655" s="243"/>
      <c r="J655" s="243"/>
      <c r="K655" s="243"/>
      <c r="L655" s="243"/>
      <c r="M655" s="244"/>
      <c r="N655" s="245" t="s">
        <v>257</v>
      </c>
      <c r="O655" s="246"/>
      <c r="P655" s="203" t="s">
        <v>257</v>
      </c>
      <c r="Q655" s="210" t="s">
        <v>257</v>
      </c>
      <c r="R655" s="243" t="s">
        <v>257</v>
      </c>
      <c r="S655" s="247"/>
    </row>
    <row r="656" spans="1:19" x14ac:dyDescent="0.2">
      <c r="A656" s="242"/>
      <c r="B656" s="243"/>
      <c r="C656" s="243"/>
      <c r="D656" s="243"/>
      <c r="E656" s="243"/>
      <c r="F656" s="243"/>
      <c r="G656" s="244"/>
      <c r="H656" s="243"/>
      <c r="I656" s="243"/>
      <c r="J656" s="243"/>
      <c r="K656" s="243"/>
      <c r="L656" s="243"/>
      <c r="M656" s="244"/>
      <c r="N656" s="245" t="s">
        <v>257</v>
      </c>
      <c r="O656" s="246"/>
      <c r="P656" s="203" t="s">
        <v>257</v>
      </c>
      <c r="Q656" s="210" t="s">
        <v>257</v>
      </c>
      <c r="R656" s="243" t="s">
        <v>257</v>
      </c>
      <c r="S656" s="247"/>
    </row>
    <row r="657" spans="1:19" x14ac:dyDescent="0.2">
      <c r="A657" s="242"/>
      <c r="B657" s="243"/>
      <c r="C657" s="243"/>
      <c r="D657" s="243"/>
      <c r="E657" s="243"/>
      <c r="F657" s="243"/>
      <c r="G657" s="244"/>
      <c r="H657" s="243"/>
      <c r="I657" s="243"/>
      <c r="J657" s="243"/>
      <c r="K657" s="243"/>
      <c r="L657" s="243"/>
      <c r="M657" s="244"/>
      <c r="N657" s="245" t="s">
        <v>257</v>
      </c>
      <c r="O657" s="246"/>
      <c r="P657" s="203" t="s">
        <v>257</v>
      </c>
      <c r="Q657" s="210" t="s">
        <v>257</v>
      </c>
      <c r="R657" s="243" t="s">
        <v>257</v>
      </c>
      <c r="S657" s="247"/>
    </row>
    <row r="658" spans="1:19" x14ac:dyDescent="0.2">
      <c r="A658" s="242"/>
      <c r="B658" s="243"/>
      <c r="C658" s="243"/>
      <c r="D658" s="243"/>
      <c r="E658" s="243"/>
      <c r="F658" s="243"/>
      <c r="G658" s="244"/>
      <c r="H658" s="243"/>
      <c r="I658" s="243"/>
      <c r="J658" s="243"/>
      <c r="K658" s="243"/>
      <c r="L658" s="243"/>
      <c r="M658" s="244"/>
      <c r="N658" s="245" t="s">
        <v>257</v>
      </c>
      <c r="O658" s="246"/>
      <c r="P658" s="203" t="s">
        <v>257</v>
      </c>
      <c r="Q658" s="210" t="s">
        <v>257</v>
      </c>
      <c r="R658" s="243" t="s">
        <v>257</v>
      </c>
      <c r="S658" s="247"/>
    </row>
    <row r="659" spans="1:19" x14ac:dyDescent="0.2">
      <c r="A659" s="242"/>
      <c r="B659" s="243"/>
      <c r="C659" s="243"/>
      <c r="D659" s="243"/>
      <c r="E659" s="243"/>
      <c r="F659" s="243"/>
      <c r="G659" s="244"/>
      <c r="H659" s="243"/>
      <c r="I659" s="243"/>
      <c r="J659" s="243"/>
      <c r="K659" s="243"/>
      <c r="L659" s="243"/>
      <c r="M659" s="244"/>
      <c r="N659" s="245" t="s">
        <v>257</v>
      </c>
      <c r="O659" s="246"/>
      <c r="P659" s="203" t="s">
        <v>257</v>
      </c>
      <c r="Q659" s="210" t="s">
        <v>257</v>
      </c>
      <c r="R659" s="243" t="s">
        <v>257</v>
      </c>
      <c r="S659" s="247"/>
    </row>
    <row r="660" spans="1:19" x14ac:dyDescent="0.2">
      <c r="A660" s="242"/>
      <c r="B660" s="243"/>
      <c r="C660" s="243"/>
      <c r="D660" s="243"/>
      <c r="E660" s="243"/>
      <c r="F660" s="243"/>
      <c r="G660" s="244"/>
      <c r="H660" s="243"/>
      <c r="I660" s="243"/>
      <c r="J660" s="243"/>
      <c r="K660" s="243"/>
      <c r="L660" s="243"/>
      <c r="M660" s="244"/>
      <c r="N660" s="245" t="s">
        <v>257</v>
      </c>
      <c r="O660" s="246"/>
      <c r="P660" s="203" t="s">
        <v>257</v>
      </c>
      <c r="Q660" s="210" t="s">
        <v>257</v>
      </c>
      <c r="R660" s="243" t="s">
        <v>257</v>
      </c>
      <c r="S660" s="247"/>
    </row>
    <row r="661" spans="1:19" x14ac:dyDescent="0.2">
      <c r="A661" s="242"/>
      <c r="B661" s="243"/>
      <c r="C661" s="243"/>
      <c r="D661" s="243"/>
      <c r="E661" s="243"/>
      <c r="F661" s="243"/>
      <c r="G661" s="244"/>
      <c r="H661" s="243"/>
      <c r="I661" s="243"/>
      <c r="J661" s="243"/>
      <c r="K661" s="243"/>
      <c r="L661" s="243"/>
      <c r="M661" s="244"/>
      <c r="N661" s="245" t="s">
        <v>257</v>
      </c>
      <c r="O661" s="246"/>
      <c r="P661" s="203" t="s">
        <v>257</v>
      </c>
      <c r="Q661" s="210" t="s">
        <v>257</v>
      </c>
      <c r="R661" s="243" t="s">
        <v>257</v>
      </c>
      <c r="S661" s="247"/>
    </row>
    <row r="662" spans="1:19" x14ac:dyDescent="0.2">
      <c r="A662" s="242"/>
      <c r="B662" s="243"/>
      <c r="C662" s="243"/>
      <c r="D662" s="243"/>
      <c r="E662" s="243"/>
      <c r="F662" s="243"/>
      <c r="G662" s="244"/>
      <c r="H662" s="243"/>
      <c r="I662" s="243"/>
      <c r="J662" s="243"/>
      <c r="K662" s="243"/>
      <c r="L662" s="243"/>
      <c r="M662" s="244"/>
      <c r="N662" s="245" t="s">
        <v>257</v>
      </c>
      <c r="O662" s="246"/>
      <c r="P662" s="203" t="s">
        <v>257</v>
      </c>
      <c r="Q662" s="210" t="s">
        <v>257</v>
      </c>
      <c r="R662" s="243" t="s">
        <v>257</v>
      </c>
      <c r="S662" s="247"/>
    </row>
    <row r="663" spans="1:19" x14ac:dyDescent="0.2">
      <c r="A663" s="242"/>
      <c r="B663" s="243"/>
      <c r="C663" s="243"/>
      <c r="D663" s="243"/>
      <c r="E663" s="243"/>
      <c r="F663" s="243"/>
      <c r="G663" s="244"/>
      <c r="H663" s="243"/>
      <c r="I663" s="243"/>
      <c r="J663" s="243"/>
      <c r="K663" s="243"/>
      <c r="L663" s="243"/>
      <c r="M663" s="244"/>
      <c r="N663" s="245" t="s">
        <v>257</v>
      </c>
      <c r="O663" s="246"/>
      <c r="P663" s="203" t="s">
        <v>257</v>
      </c>
      <c r="Q663" s="210" t="s">
        <v>257</v>
      </c>
      <c r="R663" s="243" t="s">
        <v>257</v>
      </c>
      <c r="S663" s="247"/>
    </row>
    <row r="664" spans="1:19" x14ac:dyDescent="0.2">
      <c r="A664" s="242"/>
      <c r="B664" s="243"/>
      <c r="C664" s="243"/>
      <c r="D664" s="243"/>
      <c r="E664" s="243"/>
      <c r="F664" s="243"/>
      <c r="G664" s="244"/>
      <c r="H664" s="243"/>
      <c r="I664" s="243"/>
      <c r="J664" s="243"/>
      <c r="K664" s="243"/>
      <c r="L664" s="243"/>
      <c r="M664" s="244"/>
      <c r="N664" s="245" t="s">
        <v>257</v>
      </c>
      <c r="O664" s="246"/>
      <c r="P664" s="203" t="s">
        <v>257</v>
      </c>
      <c r="Q664" s="210" t="s">
        <v>257</v>
      </c>
      <c r="R664" s="243" t="s">
        <v>257</v>
      </c>
      <c r="S664" s="247"/>
    </row>
    <row r="665" spans="1:19" x14ac:dyDescent="0.2">
      <c r="A665" s="242"/>
      <c r="B665" s="243"/>
      <c r="C665" s="243"/>
      <c r="D665" s="243"/>
      <c r="E665" s="243"/>
      <c r="F665" s="243"/>
      <c r="G665" s="244"/>
      <c r="H665" s="243"/>
      <c r="I665" s="243"/>
      <c r="J665" s="243"/>
      <c r="K665" s="243"/>
      <c r="L665" s="243"/>
      <c r="M665" s="244"/>
      <c r="N665" s="245" t="s">
        <v>257</v>
      </c>
      <c r="O665" s="246"/>
      <c r="P665" s="203" t="s">
        <v>257</v>
      </c>
      <c r="Q665" s="210" t="s">
        <v>257</v>
      </c>
      <c r="R665" s="243" t="s">
        <v>257</v>
      </c>
      <c r="S665" s="247"/>
    </row>
    <row r="666" spans="1:19" x14ac:dyDescent="0.2">
      <c r="A666" s="242"/>
      <c r="B666" s="243"/>
      <c r="C666" s="243"/>
      <c r="D666" s="243"/>
      <c r="E666" s="243"/>
      <c r="F666" s="243"/>
      <c r="G666" s="244"/>
      <c r="H666" s="243"/>
      <c r="I666" s="243"/>
      <c r="J666" s="243"/>
      <c r="K666" s="243"/>
      <c r="L666" s="243"/>
      <c r="M666" s="244"/>
      <c r="N666" s="245" t="s">
        <v>257</v>
      </c>
      <c r="O666" s="246"/>
      <c r="P666" s="203" t="s">
        <v>257</v>
      </c>
      <c r="Q666" s="210" t="s">
        <v>257</v>
      </c>
      <c r="R666" s="243" t="s">
        <v>257</v>
      </c>
      <c r="S666" s="247"/>
    </row>
    <row r="667" spans="1:19" x14ac:dyDescent="0.2">
      <c r="A667" s="242"/>
      <c r="B667" s="243"/>
      <c r="C667" s="243"/>
      <c r="D667" s="243"/>
      <c r="E667" s="243"/>
      <c r="F667" s="243"/>
      <c r="G667" s="244"/>
      <c r="H667" s="243"/>
      <c r="I667" s="243"/>
      <c r="J667" s="243"/>
      <c r="K667" s="243"/>
      <c r="L667" s="243"/>
      <c r="M667" s="244"/>
      <c r="N667" s="245" t="s">
        <v>257</v>
      </c>
      <c r="O667" s="246"/>
      <c r="P667" s="203" t="s">
        <v>257</v>
      </c>
      <c r="Q667" s="210" t="s">
        <v>257</v>
      </c>
      <c r="R667" s="243" t="s">
        <v>257</v>
      </c>
      <c r="S667" s="247"/>
    </row>
    <row r="668" spans="1:19" x14ac:dyDescent="0.2">
      <c r="A668" s="242"/>
      <c r="B668" s="243"/>
      <c r="C668" s="243"/>
      <c r="D668" s="243"/>
      <c r="E668" s="243"/>
      <c r="F668" s="243"/>
      <c r="G668" s="244"/>
      <c r="H668" s="243"/>
      <c r="I668" s="243"/>
      <c r="J668" s="243"/>
      <c r="K668" s="243"/>
      <c r="L668" s="243"/>
      <c r="M668" s="244"/>
      <c r="N668" s="245" t="s">
        <v>257</v>
      </c>
      <c r="O668" s="246"/>
      <c r="P668" s="203" t="s">
        <v>257</v>
      </c>
      <c r="Q668" s="210" t="s">
        <v>257</v>
      </c>
      <c r="R668" s="243" t="s">
        <v>257</v>
      </c>
      <c r="S668" s="247"/>
    </row>
    <row r="669" spans="1:19" x14ac:dyDescent="0.2">
      <c r="A669" s="242"/>
      <c r="B669" s="243"/>
      <c r="C669" s="243"/>
      <c r="D669" s="243"/>
      <c r="E669" s="243"/>
      <c r="F669" s="243"/>
      <c r="G669" s="244"/>
      <c r="H669" s="243"/>
      <c r="I669" s="243"/>
      <c r="J669" s="243"/>
      <c r="K669" s="243"/>
      <c r="L669" s="243"/>
      <c r="M669" s="244"/>
      <c r="N669" s="245" t="s">
        <v>257</v>
      </c>
      <c r="O669" s="246"/>
      <c r="P669" s="203" t="s">
        <v>257</v>
      </c>
      <c r="Q669" s="210" t="s">
        <v>257</v>
      </c>
      <c r="R669" s="243" t="s">
        <v>257</v>
      </c>
      <c r="S669" s="247"/>
    </row>
    <row r="670" spans="1:19" x14ac:dyDescent="0.2">
      <c r="A670" s="242"/>
      <c r="B670" s="243"/>
      <c r="C670" s="243"/>
      <c r="D670" s="243"/>
      <c r="E670" s="243"/>
      <c r="F670" s="243"/>
      <c r="G670" s="244"/>
      <c r="H670" s="243"/>
      <c r="I670" s="243"/>
      <c r="J670" s="243"/>
      <c r="K670" s="243"/>
      <c r="L670" s="243"/>
      <c r="M670" s="244"/>
      <c r="N670" s="245" t="s">
        <v>257</v>
      </c>
      <c r="O670" s="246"/>
      <c r="P670" s="203" t="s">
        <v>257</v>
      </c>
      <c r="Q670" s="210" t="s">
        <v>257</v>
      </c>
      <c r="R670" s="243" t="s">
        <v>257</v>
      </c>
      <c r="S670" s="247"/>
    </row>
    <row r="671" spans="1:19" x14ac:dyDescent="0.2">
      <c r="A671" s="242"/>
      <c r="B671" s="243"/>
      <c r="C671" s="243"/>
      <c r="D671" s="243"/>
      <c r="E671" s="243"/>
      <c r="F671" s="243"/>
      <c r="G671" s="244"/>
      <c r="H671" s="243"/>
      <c r="I671" s="243"/>
      <c r="J671" s="243"/>
      <c r="K671" s="243"/>
      <c r="L671" s="243"/>
      <c r="M671" s="244"/>
      <c r="N671" s="245" t="s">
        <v>257</v>
      </c>
      <c r="O671" s="246"/>
      <c r="P671" s="203" t="s">
        <v>257</v>
      </c>
      <c r="Q671" s="210" t="s">
        <v>257</v>
      </c>
      <c r="R671" s="243" t="s">
        <v>257</v>
      </c>
      <c r="S671" s="247"/>
    </row>
    <row r="672" spans="1:19" x14ac:dyDescent="0.2">
      <c r="A672" s="242"/>
      <c r="B672" s="243"/>
      <c r="C672" s="243"/>
      <c r="D672" s="243"/>
      <c r="E672" s="243"/>
      <c r="F672" s="243"/>
      <c r="G672" s="244"/>
      <c r="H672" s="243"/>
      <c r="I672" s="243"/>
      <c r="J672" s="243"/>
      <c r="K672" s="243"/>
      <c r="L672" s="243"/>
      <c r="M672" s="244"/>
      <c r="N672" s="245" t="s">
        <v>257</v>
      </c>
      <c r="O672" s="246"/>
      <c r="P672" s="203" t="s">
        <v>257</v>
      </c>
      <c r="Q672" s="210" t="s">
        <v>257</v>
      </c>
      <c r="R672" s="243" t="s">
        <v>257</v>
      </c>
      <c r="S672" s="247"/>
    </row>
    <row r="673" spans="1:19" x14ac:dyDescent="0.2">
      <c r="A673" s="242"/>
      <c r="B673" s="243"/>
      <c r="C673" s="243"/>
      <c r="D673" s="243"/>
      <c r="E673" s="243"/>
      <c r="F673" s="243"/>
      <c r="G673" s="244"/>
      <c r="H673" s="243"/>
      <c r="I673" s="243"/>
      <c r="J673" s="243"/>
      <c r="K673" s="243"/>
      <c r="L673" s="243"/>
      <c r="M673" s="244"/>
      <c r="N673" s="245" t="s">
        <v>257</v>
      </c>
      <c r="O673" s="246"/>
      <c r="P673" s="203" t="s">
        <v>257</v>
      </c>
      <c r="Q673" s="210" t="s">
        <v>257</v>
      </c>
      <c r="R673" s="243" t="s">
        <v>257</v>
      </c>
      <c r="S673" s="247"/>
    </row>
    <row r="674" spans="1:19" x14ac:dyDescent="0.2">
      <c r="A674" s="242"/>
      <c r="B674" s="243"/>
      <c r="C674" s="243"/>
      <c r="D674" s="243"/>
      <c r="E674" s="243"/>
      <c r="F674" s="243"/>
      <c r="G674" s="244"/>
      <c r="H674" s="243"/>
      <c r="I674" s="243"/>
      <c r="J674" s="243"/>
      <c r="K674" s="243"/>
      <c r="L674" s="243"/>
      <c r="M674" s="244"/>
      <c r="N674" s="245" t="s">
        <v>257</v>
      </c>
      <c r="O674" s="246"/>
      <c r="P674" s="203" t="s">
        <v>257</v>
      </c>
      <c r="Q674" s="210" t="s">
        <v>257</v>
      </c>
      <c r="R674" s="243" t="s">
        <v>257</v>
      </c>
      <c r="S674" s="247"/>
    </row>
    <row r="675" spans="1:19" x14ac:dyDescent="0.2">
      <c r="A675" s="242"/>
      <c r="B675" s="243"/>
      <c r="C675" s="243"/>
      <c r="D675" s="243"/>
      <c r="E675" s="243"/>
      <c r="F675" s="243"/>
      <c r="G675" s="244"/>
      <c r="H675" s="243"/>
      <c r="I675" s="243"/>
      <c r="J675" s="243"/>
      <c r="K675" s="243"/>
      <c r="L675" s="243"/>
      <c r="M675" s="244"/>
      <c r="N675" s="245" t="s">
        <v>257</v>
      </c>
      <c r="O675" s="246"/>
      <c r="P675" s="203" t="s">
        <v>257</v>
      </c>
      <c r="Q675" s="210" t="s">
        <v>257</v>
      </c>
      <c r="R675" s="243" t="s">
        <v>257</v>
      </c>
      <c r="S675" s="247"/>
    </row>
    <row r="676" spans="1:19" x14ac:dyDescent="0.2">
      <c r="A676" s="242"/>
      <c r="B676" s="243"/>
      <c r="C676" s="243"/>
      <c r="D676" s="243"/>
      <c r="E676" s="243"/>
      <c r="F676" s="243"/>
      <c r="G676" s="244"/>
      <c r="H676" s="243"/>
      <c r="I676" s="243"/>
      <c r="J676" s="243"/>
      <c r="K676" s="243"/>
      <c r="L676" s="243"/>
      <c r="M676" s="244"/>
      <c r="N676" s="245" t="s">
        <v>257</v>
      </c>
      <c r="O676" s="246"/>
      <c r="P676" s="203" t="s">
        <v>257</v>
      </c>
      <c r="Q676" s="210" t="s">
        <v>257</v>
      </c>
      <c r="R676" s="243" t="s">
        <v>257</v>
      </c>
      <c r="S676" s="247"/>
    </row>
    <row r="677" spans="1:19" x14ac:dyDescent="0.2">
      <c r="A677" s="242"/>
      <c r="B677" s="243"/>
      <c r="C677" s="243"/>
      <c r="D677" s="243"/>
      <c r="E677" s="243"/>
      <c r="F677" s="243"/>
      <c r="G677" s="244"/>
      <c r="H677" s="243"/>
      <c r="I677" s="243"/>
      <c r="J677" s="243"/>
      <c r="K677" s="243"/>
      <c r="L677" s="243"/>
      <c r="M677" s="244"/>
      <c r="N677" s="245" t="s">
        <v>257</v>
      </c>
      <c r="O677" s="246"/>
      <c r="P677" s="203" t="s">
        <v>257</v>
      </c>
      <c r="Q677" s="210" t="s">
        <v>257</v>
      </c>
      <c r="R677" s="243" t="s">
        <v>257</v>
      </c>
      <c r="S677" s="247"/>
    </row>
    <row r="678" spans="1:19" x14ac:dyDescent="0.2">
      <c r="A678" s="242"/>
      <c r="B678" s="243"/>
      <c r="C678" s="243"/>
      <c r="D678" s="243"/>
      <c r="E678" s="243"/>
      <c r="F678" s="243"/>
      <c r="G678" s="244"/>
      <c r="H678" s="243"/>
      <c r="I678" s="243"/>
      <c r="J678" s="243"/>
      <c r="K678" s="243"/>
      <c r="L678" s="243"/>
      <c r="M678" s="244"/>
      <c r="N678" s="245" t="s">
        <v>257</v>
      </c>
      <c r="O678" s="246"/>
      <c r="P678" s="203" t="s">
        <v>257</v>
      </c>
      <c r="Q678" s="210" t="s">
        <v>257</v>
      </c>
      <c r="R678" s="243" t="s">
        <v>257</v>
      </c>
      <c r="S678" s="247"/>
    </row>
    <row r="679" spans="1:19" x14ac:dyDescent="0.2">
      <c r="A679" s="242"/>
      <c r="B679" s="243"/>
      <c r="C679" s="243"/>
      <c r="D679" s="243"/>
      <c r="E679" s="243"/>
      <c r="F679" s="243"/>
      <c r="G679" s="244"/>
      <c r="H679" s="243"/>
      <c r="I679" s="243"/>
      <c r="J679" s="243"/>
      <c r="K679" s="243"/>
      <c r="L679" s="243"/>
      <c r="M679" s="244"/>
      <c r="N679" s="245" t="s">
        <v>257</v>
      </c>
      <c r="O679" s="246"/>
      <c r="P679" s="203" t="s">
        <v>257</v>
      </c>
      <c r="Q679" s="210" t="s">
        <v>257</v>
      </c>
      <c r="R679" s="243" t="s">
        <v>257</v>
      </c>
      <c r="S679" s="247"/>
    </row>
    <row r="680" spans="1:19" x14ac:dyDescent="0.2">
      <c r="A680" s="242"/>
      <c r="B680" s="243"/>
      <c r="C680" s="243"/>
      <c r="D680" s="243"/>
      <c r="E680" s="243"/>
      <c r="F680" s="243"/>
      <c r="G680" s="244"/>
      <c r="H680" s="243"/>
      <c r="I680" s="243"/>
      <c r="J680" s="243"/>
      <c r="K680" s="243"/>
      <c r="L680" s="243"/>
      <c r="M680" s="244"/>
      <c r="N680" s="245" t="s">
        <v>257</v>
      </c>
      <c r="O680" s="246"/>
      <c r="P680" s="203" t="s">
        <v>257</v>
      </c>
      <c r="Q680" s="210" t="s">
        <v>257</v>
      </c>
      <c r="R680" s="243" t="s">
        <v>257</v>
      </c>
      <c r="S680" s="247"/>
    </row>
    <row r="681" spans="1:19" x14ac:dyDescent="0.2">
      <c r="A681" s="242"/>
      <c r="B681" s="243"/>
      <c r="C681" s="243"/>
      <c r="D681" s="243"/>
      <c r="E681" s="243"/>
      <c r="F681" s="243"/>
      <c r="G681" s="244"/>
      <c r="H681" s="243"/>
      <c r="I681" s="243"/>
      <c r="J681" s="243"/>
      <c r="K681" s="243"/>
      <c r="L681" s="243"/>
      <c r="M681" s="244"/>
      <c r="N681" s="245" t="s">
        <v>257</v>
      </c>
      <c r="O681" s="246"/>
      <c r="P681" s="203" t="s">
        <v>257</v>
      </c>
      <c r="Q681" s="210" t="s">
        <v>257</v>
      </c>
      <c r="R681" s="243" t="s">
        <v>257</v>
      </c>
      <c r="S681" s="247"/>
    </row>
    <row r="682" spans="1:19" x14ac:dyDescent="0.2">
      <c r="A682" s="242"/>
      <c r="B682" s="243"/>
      <c r="C682" s="243"/>
      <c r="D682" s="243"/>
      <c r="E682" s="243"/>
      <c r="F682" s="243"/>
      <c r="G682" s="244"/>
      <c r="H682" s="243"/>
      <c r="I682" s="243"/>
      <c r="J682" s="243"/>
      <c r="K682" s="243"/>
      <c r="L682" s="243"/>
      <c r="M682" s="244"/>
      <c r="N682" s="245" t="s">
        <v>257</v>
      </c>
      <c r="O682" s="246"/>
      <c r="P682" s="203" t="s">
        <v>257</v>
      </c>
      <c r="Q682" s="210" t="s">
        <v>257</v>
      </c>
      <c r="R682" s="243" t="s">
        <v>257</v>
      </c>
      <c r="S682" s="247"/>
    </row>
    <row r="683" spans="1:19" x14ac:dyDescent="0.2">
      <c r="A683" s="242"/>
      <c r="B683" s="243"/>
      <c r="C683" s="243"/>
      <c r="D683" s="243"/>
      <c r="E683" s="243"/>
      <c r="F683" s="243"/>
      <c r="G683" s="244"/>
      <c r="H683" s="243"/>
      <c r="I683" s="243"/>
      <c r="J683" s="243"/>
      <c r="K683" s="243"/>
      <c r="L683" s="243"/>
      <c r="M683" s="244"/>
      <c r="N683" s="245" t="s">
        <v>257</v>
      </c>
      <c r="O683" s="246"/>
      <c r="P683" s="203" t="s">
        <v>257</v>
      </c>
      <c r="Q683" s="210" t="s">
        <v>257</v>
      </c>
      <c r="R683" s="243" t="s">
        <v>257</v>
      </c>
      <c r="S683" s="247"/>
    </row>
    <row r="684" spans="1:19" x14ac:dyDescent="0.2">
      <c r="A684" s="242"/>
      <c r="B684" s="243"/>
      <c r="C684" s="243"/>
      <c r="D684" s="243"/>
      <c r="E684" s="243"/>
      <c r="F684" s="243"/>
      <c r="G684" s="244"/>
      <c r="H684" s="243"/>
      <c r="I684" s="243"/>
      <c r="J684" s="243"/>
      <c r="K684" s="243"/>
      <c r="L684" s="243"/>
      <c r="M684" s="244"/>
      <c r="N684" s="245" t="s">
        <v>257</v>
      </c>
      <c r="O684" s="246"/>
      <c r="P684" s="203" t="s">
        <v>257</v>
      </c>
      <c r="Q684" s="210" t="s">
        <v>257</v>
      </c>
      <c r="R684" s="243" t="s">
        <v>257</v>
      </c>
      <c r="S684" s="247"/>
    </row>
    <row r="685" spans="1:19" x14ac:dyDescent="0.2">
      <c r="A685" s="242"/>
      <c r="B685" s="243"/>
      <c r="C685" s="243"/>
      <c r="D685" s="243"/>
      <c r="E685" s="243"/>
      <c r="F685" s="243"/>
      <c r="G685" s="244"/>
      <c r="H685" s="243"/>
      <c r="I685" s="243"/>
      <c r="J685" s="243"/>
      <c r="K685" s="243"/>
      <c r="L685" s="243"/>
      <c r="M685" s="244"/>
      <c r="N685" s="245" t="s">
        <v>257</v>
      </c>
      <c r="O685" s="246"/>
      <c r="P685" s="203" t="s">
        <v>257</v>
      </c>
      <c r="Q685" s="210" t="s">
        <v>257</v>
      </c>
      <c r="R685" s="243" t="s">
        <v>257</v>
      </c>
      <c r="S685" s="247"/>
    </row>
    <row r="686" spans="1:19" x14ac:dyDescent="0.2">
      <c r="A686" s="242"/>
      <c r="B686" s="243"/>
      <c r="C686" s="243"/>
      <c r="D686" s="243"/>
      <c r="E686" s="243"/>
      <c r="F686" s="243"/>
      <c r="G686" s="244"/>
      <c r="H686" s="243"/>
      <c r="I686" s="243"/>
      <c r="J686" s="243"/>
      <c r="K686" s="243"/>
      <c r="L686" s="243"/>
      <c r="M686" s="244"/>
      <c r="N686" s="245" t="s">
        <v>257</v>
      </c>
      <c r="O686" s="246"/>
      <c r="P686" s="203" t="s">
        <v>257</v>
      </c>
      <c r="Q686" s="210" t="s">
        <v>257</v>
      </c>
      <c r="R686" s="243" t="s">
        <v>257</v>
      </c>
      <c r="S686" s="247"/>
    </row>
    <row r="687" spans="1:19" x14ac:dyDescent="0.2">
      <c r="A687" s="242"/>
      <c r="B687" s="243"/>
      <c r="C687" s="243"/>
      <c r="D687" s="243"/>
      <c r="E687" s="243"/>
      <c r="F687" s="243"/>
      <c r="G687" s="244"/>
      <c r="H687" s="243"/>
      <c r="I687" s="243"/>
      <c r="J687" s="243"/>
      <c r="K687" s="243"/>
      <c r="L687" s="243"/>
      <c r="M687" s="244"/>
      <c r="N687" s="245" t="s">
        <v>257</v>
      </c>
      <c r="O687" s="246"/>
      <c r="P687" s="203" t="s">
        <v>257</v>
      </c>
      <c r="Q687" s="210" t="s">
        <v>257</v>
      </c>
      <c r="R687" s="243" t="s">
        <v>257</v>
      </c>
      <c r="S687" s="247"/>
    </row>
    <row r="688" spans="1:19" x14ac:dyDescent="0.2">
      <c r="A688" s="242"/>
      <c r="B688" s="243"/>
      <c r="C688" s="243"/>
      <c r="D688" s="243"/>
      <c r="E688" s="243"/>
      <c r="F688" s="243"/>
      <c r="G688" s="244"/>
      <c r="H688" s="243"/>
      <c r="I688" s="243"/>
      <c r="J688" s="243"/>
      <c r="K688" s="243"/>
      <c r="L688" s="243"/>
      <c r="M688" s="244"/>
      <c r="N688" s="245" t="s">
        <v>257</v>
      </c>
      <c r="O688" s="246"/>
      <c r="P688" s="203" t="s">
        <v>257</v>
      </c>
      <c r="Q688" s="210" t="s">
        <v>257</v>
      </c>
      <c r="R688" s="243" t="s">
        <v>257</v>
      </c>
      <c r="S688" s="247"/>
    </row>
    <row r="689" spans="1:19" x14ac:dyDescent="0.2">
      <c r="A689" s="242"/>
      <c r="B689" s="243"/>
      <c r="C689" s="243"/>
      <c r="D689" s="243"/>
      <c r="E689" s="243"/>
      <c r="F689" s="243"/>
      <c r="G689" s="244"/>
      <c r="H689" s="243"/>
      <c r="I689" s="243"/>
      <c r="J689" s="243"/>
      <c r="K689" s="243"/>
      <c r="L689" s="243"/>
      <c r="M689" s="244"/>
      <c r="N689" s="245" t="s">
        <v>257</v>
      </c>
      <c r="O689" s="246"/>
      <c r="P689" s="203" t="s">
        <v>257</v>
      </c>
      <c r="Q689" s="210" t="s">
        <v>257</v>
      </c>
      <c r="R689" s="243" t="s">
        <v>257</v>
      </c>
      <c r="S689" s="247"/>
    </row>
    <row r="690" spans="1:19" x14ac:dyDescent="0.2">
      <c r="A690" s="242"/>
      <c r="B690" s="243"/>
      <c r="C690" s="243"/>
      <c r="D690" s="243"/>
      <c r="E690" s="243"/>
      <c r="F690" s="243"/>
      <c r="G690" s="244"/>
      <c r="H690" s="243"/>
      <c r="I690" s="243"/>
      <c r="J690" s="243"/>
      <c r="K690" s="243"/>
      <c r="L690" s="243"/>
      <c r="M690" s="244"/>
      <c r="N690" s="245" t="s">
        <v>257</v>
      </c>
      <c r="O690" s="246"/>
      <c r="P690" s="203" t="s">
        <v>257</v>
      </c>
      <c r="Q690" s="210" t="s">
        <v>257</v>
      </c>
      <c r="R690" s="243" t="s">
        <v>257</v>
      </c>
      <c r="S690" s="247"/>
    </row>
    <row r="691" spans="1:19" x14ac:dyDescent="0.2">
      <c r="A691" s="242"/>
      <c r="B691" s="243"/>
      <c r="C691" s="243"/>
      <c r="D691" s="243"/>
      <c r="E691" s="243"/>
      <c r="F691" s="243"/>
      <c r="G691" s="244"/>
      <c r="H691" s="243"/>
      <c r="I691" s="243"/>
      <c r="J691" s="243"/>
      <c r="K691" s="243"/>
      <c r="L691" s="243"/>
      <c r="M691" s="244"/>
      <c r="N691" s="245" t="s">
        <v>257</v>
      </c>
      <c r="O691" s="246"/>
      <c r="P691" s="203" t="s">
        <v>257</v>
      </c>
      <c r="Q691" s="210" t="s">
        <v>257</v>
      </c>
      <c r="R691" s="243" t="s">
        <v>257</v>
      </c>
      <c r="S691" s="247"/>
    </row>
    <row r="692" spans="1:19" x14ac:dyDescent="0.2">
      <c r="A692" s="242"/>
      <c r="B692" s="243"/>
      <c r="C692" s="243"/>
      <c r="D692" s="243"/>
      <c r="E692" s="243"/>
      <c r="F692" s="243"/>
      <c r="G692" s="244"/>
      <c r="H692" s="243"/>
      <c r="I692" s="243"/>
      <c r="J692" s="243"/>
      <c r="K692" s="243"/>
      <c r="L692" s="243"/>
      <c r="M692" s="244"/>
      <c r="N692" s="245" t="s">
        <v>257</v>
      </c>
      <c r="O692" s="246"/>
      <c r="P692" s="203" t="s">
        <v>257</v>
      </c>
      <c r="Q692" s="210" t="s">
        <v>257</v>
      </c>
      <c r="R692" s="243" t="s">
        <v>257</v>
      </c>
      <c r="S692" s="247"/>
    </row>
    <row r="693" spans="1:19" x14ac:dyDescent="0.2">
      <c r="A693" s="242"/>
      <c r="B693" s="243"/>
      <c r="C693" s="243"/>
      <c r="D693" s="243"/>
      <c r="E693" s="243"/>
      <c r="F693" s="243"/>
      <c r="G693" s="244"/>
      <c r="H693" s="243"/>
      <c r="I693" s="243"/>
      <c r="J693" s="243"/>
      <c r="K693" s="243"/>
      <c r="L693" s="243"/>
      <c r="M693" s="244"/>
      <c r="N693" s="245" t="s">
        <v>257</v>
      </c>
      <c r="O693" s="246"/>
      <c r="P693" s="203" t="s">
        <v>257</v>
      </c>
      <c r="Q693" s="210" t="s">
        <v>257</v>
      </c>
      <c r="R693" s="243" t="s">
        <v>257</v>
      </c>
      <c r="S693" s="247"/>
    </row>
    <row r="694" spans="1:19" x14ac:dyDescent="0.2">
      <c r="A694" s="242"/>
      <c r="B694" s="243"/>
      <c r="C694" s="243"/>
      <c r="D694" s="243"/>
      <c r="E694" s="243"/>
      <c r="F694" s="243"/>
      <c r="G694" s="244"/>
      <c r="H694" s="243"/>
      <c r="I694" s="243"/>
      <c r="J694" s="243"/>
      <c r="K694" s="243"/>
      <c r="L694" s="243"/>
      <c r="M694" s="244"/>
      <c r="N694" s="245" t="s">
        <v>257</v>
      </c>
      <c r="O694" s="246"/>
      <c r="P694" s="203" t="s">
        <v>257</v>
      </c>
      <c r="Q694" s="210" t="s">
        <v>257</v>
      </c>
      <c r="R694" s="243" t="s">
        <v>257</v>
      </c>
      <c r="S694" s="247"/>
    </row>
    <row r="695" spans="1:19" x14ac:dyDescent="0.2">
      <c r="A695" s="242"/>
      <c r="B695" s="243"/>
      <c r="C695" s="243"/>
      <c r="D695" s="243"/>
      <c r="E695" s="243"/>
      <c r="F695" s="243"/>
      <c r="G695" s="244"/>
      <c r="H695" s="243"/>
      <c r="I695" s="243"/>
      <c r="J695" s="243"/>
      <c r="K695" s="243"/>
      <c r="L695" s="243"/>
      <c r="M695" s="244"/>
      <c r="N695" s="245" t="s">
        <v>257</v>
      </c>
      <c r="O695" s="246"/>
      <c r="P695" s="203" t="s">
        <v>257</v>
      </c>
      <c r="Q695" s="210" t="s">
        <v>257</v>
      </c>
      <c r="R695" s="243" t="s">
        <v>257</v>
      </c>
      <c r="S695" s="247"/>
    </row>
    <row r="696" spans="1:19" x14ac:dyDescent="0.2">
      <c r="A696" s="242"/>
      <c r="B696" s="243"/>
      <c r="C696" s="243"/>
      <c r="D696" s="243"/>
      <c r="E696" s="243"/>
      <c r="F696" s="243"/>
      <c r="G696" s="244"/>
      <c r="H696" s="243"/>
      <c r="I696" s="243"/>
      <c r="J696" s="243"/>
      <c r="K696" s="243"/>
      <c r="L696" s="243"/>
      <c r="M696" s="244"/>
      <c r="N696" s="245" t="s">
        <v>257</v>
      </c>
      <c r="O696" s="246"/>
      <c r="P696" s="203" t="s">
        <v>257</v>
      </c>
      <c r="Q696" s="210" t="s">
        <v>257</v>
      </c>
      <c r="R696" s="243" t="s">
        <v>257</v>
      </c>
      <c r="S696" s="247"/>
    </row>
    <row r="697" spans="1:19" x14ac:dyDescent="0.2">
      <c r="A697" s="242"/>
      <c r="B697" s="243"/>
      <c r="C697" s="243"/>
      <c r="D697" s="243"/>
      <c r="E697" s="243"/>
      <c r="F697" s="243"/>
      <c r="G697" s="244"/>
      <c r="H697" s="243"/>
      <c r="I697" s="243"/>
      <c r="J697" s="243"/>
      <c r="K697" s="243"/>
      <c r="L697" s="243"/>
      <c r="M697" s="244"/>
      <c r="N697" s="245" t="s">
        <v>257</v>
      </c>
      <c r="O697" s="246"/>
      <c r="P697" s="203" t="s">
        <v>257</v>
      </c>
      <c r="Q697" s="210" t="s">
        <v>257</v>
      </c>
      <c r="R697" s="243" t="s">
        <v>257</v>
      </c>
      <c r="S697" s="247"/>
    </row>
    <row r="698" spans="1:19" x14ac:dyDescent="0.2">
      <c r="A698" s="242"/>
      <c r="B698" s="243"/>
      <c r="C698" s="243"/>
      <c r="D698" s="243"/>
      <c r="E698" s="243"/>
      <c r="F698" s="243"/>
      <c r="G698" s="244"/>
      <c r="H698" s="243"/>
      <c r="I698" s="243"/>
      <c r="J698" s="243"/>
      <c r="K698" s="243"/>
      <c r="L698" s="243"/>
      <c r="M698" s="244"/>
      <c r="N698" s="245" t="s">
        <v>257</v>
      </c>
      <c r="O698" s="246"/>
      <c r="P698" s="203" t="s">
        <v>257</v>
      </c>
      <c r="Q698" s="210" t="s">
        <v>257</v>
      </c>
      <c r="R698" s="243" t="s">
        <v>257</v>
      </c>
      <c r="S698" s="247"/>
    </row>
    <row r="699" spans="1:19" x14ac:dyDescent="0.2">
      <c r="A699" s="242"/>
      <c r="B699" s="243"/>
      <c r="C699" s="243"/>
      <c r="D699" s="243"/>
      <c r="E699" s="243"/>
      <c r="F699" s="243"/>
      <c r="G699" s="244"/>
      <c r="H699" s="243"/>
      <c r="I699" s="243"/>
      <c r="J699" s="243"/>
      <c r="K699" s="243"/>
      <c r="L699" s="243"/>
      <c r="M699" s="244"/>
      <c r="N699" s="245" t="s">
        <v>257</v>
      </c>
      <c r="O699" s="246"/>
      <c r="P699" s="203" t="s">
        <v>257</v>
      </c>
      <c r="Q699" s="210" t="s">
        <v>257</v>
      </c>
      <c r="R699" s="243" t="s">
        <v>257</v>
      </c>
      <c r="S699" s="247"/>
    </row>
    <row r="700" spans="1:19" x14ac:dyDescent="0.2">
      <c r="A700" s="242"/>
      <c r="B700" s="243"/>
      <c r="C700" s="243"/>
      <c r="D700" s="243"/>
      <c r="E700" s="243"/>
      <c r="F700" s="243"/>
      <c r="G700" s="244"/>
      <c r="H700" s="243"/>
      <c r="I700" s="243"/>
      <c r="J700" s="243"/>
      <c r="K700" s="243"/>
      <c r="L700" s="243"/>
      <c r="M700" s="244"/>
      <c r="N700" s="245" t="s">
        <v>257</v>
      </c>
      <c r="O700" s="246"/>
      <c r="P700" s="203" t="s">
        <v>257</v>
      </c>
      <c r="Q700" s="210" t="s">
        <v>257</v>
      </c>
      <c r="R700" s="243" t="s">
        <v>257</v>
      </c>
      <c r="S700" s="247"/>
    </row>
    <row r="701" spans="1:19" x14ac:dyDescent="0.2">
      <c r="A701" s="242"/>
      <c r="B701" s="243"/>
      <c r="C701" s="243"/>
      <c r="D701" s="243"/>
      <c r="E701" s="243"/>
      <c r="F701" s="243"/>
      <c r="G701" s="244"/>
      <c r="H701" s="243"/>
      <c r="I701" s="243"/>
      <c r="J701" s="243"/>
      <c r="K701" s="243"/>
      <c r="L701" s="243"/>
      <c r="M701" s="244"/>
      <c r="N701" s="245" t="s">
        <v>257</v>
      </c>
      <c r="O701" s="246"/>
      <c r="P701" s="203" t="s">
        <v>257</v>
      </c>
      <c r="Q701" s="210" t="s">
        <v>257</v>
      </c>
      <c r="R701" s="243" t="s">
        <v>257</v>
      </c>
      <c r="S701" s="247"/>
    </row>
    <row r="702" spans="1:19" x14ac:dyDescent="0.2">
      <c r="A702" s="242"/>
      <c r="B702" s="243"/>
      <c r="C702" s="243"/>
      <c r="D702" s="243"/>
      <c r="E702" s="243"/>
      <c r="F702" s="243"/>
      <c r="G702" s="244"/>
      <c r="H702" s="243"/>
      <c r="I702" s="243"/>
      <c r="J702" s="243"/>
      <c r="K702" s="243"/>
      <c r="L702" s="243"/>
      <c r="M702" s="244"/>
      <c r="N702" s="245" t="s">
        <v>257</v>
      </c>
      <c r="O702" s="246"/>
      <c r="P702" s="203" t="s">
        <v>257</v>
      </c>
      <c r="Q702" s="210" t="s">
        <v>257</v>
      </c>
      <c r="R702" s="243" t="s">
        <v>257</v>
      </c>
      <c r="S702" s="247"/>
    </row>
    <row r="703" spans="1:19" x14ac:dyDescent="0.2">
      <c r="A703" s="242"/>
      <c r="B703" s="243"/>
      <c r="C703" s="243"/>
      <c r="D703" s="243"/>
      <c r="E703" s="243"/>
      <c r="F703" s="243"/>
      <c r="G703" s="244"/>
      <c r="H703" s="243"/>
      <c r="I703" s="243"/>
      <c r="J703" s="243"/>
      <c r="K703" s="243"/>
      <c r="L703" s="243"/>
      <c r="M703" s="244"/>
      <c r="N703" s="245" t="s">
        <v>257</v>
      </c>
      <c r="O703" s="246"/>
      <c r="P703" s="203" t="s">
        <v>257</v>
      </c>
      <c r="Q703" s="210" t="s">
        <v>257</v>
      </c>
      <c r="R703" s="243" t="s">
        <v>257</v>
      </c>
      <c r="S703" s="247"/>
    </row>
    <row r="704" spans="1:19" x14ac:dyDescent="0.2">
      <c r="A704" s="242"/>
      <c r="B704" s="243"/>
      <c r="C704" s="243"/>
      <c r="D704" s="243"/>
      <c r="E704" s="243"/>
      <c r="F704" s="243"/>
      <c r="G704" s="244"/>
      <c r="H704" s="243"/>
      <c r="I704" s="243"/>
      <c r="J704" s="243"/>
      <c r="K704" s="243"/>
      <c r="L704" s="243"/>
      <c r="M704" s="244"/>
      <c r="N704" s="245" t="s">
        <v>257</v>
      </c>
      <c r="O704" s="246"/>
      <c r="P704" s="203" t="s">
        <v>257</v>
      </c>
      <c r="Q704" s="210" t="s">
        <v>257</v>
      </c>
      <c r="R704" s="243" t="s">
        <v>257</v>
      </c>
      <c r="S704" s="247"/>
    </row>
    <row r="705" spans="1:19" x14ac:dyDescent="0.2">
      <c r="A705" s="242"/>
      <c r="B705" s="243"/>
      <c r="C705" s="243"/>
      <c r="D705" s="243"/>
      <c r="E705" s="243"/>
      <c r="F705" s="243"/>
      <c r="G705" s="244"/>
      <c r="H705" s="243"/>
      <c r="I705" s="243"/>
      <c r="J705" s="243"/>
      <c r="K705" s="243"/>
      <c r="L705" s="243"/>
      <c r="M705" s="244"/>
      <c r="N705" s="245" t="s">
        <v>257</v>
      </c>
      <c r="O705" s="246"/>
      <c r="P705" s="203" t="s">
        <v>257</v>
      </c>
      <c r="Q705" s="210" t="s">
        <v>257</v>
      </c>
      <c r="R705" s="243" t="s">
        <v>257</v>
      </c>
      <c r="S705" s="247"/>
    </row>
    <row r="706" spans="1:19" x14ac:dyDescent="0.2">
      <c r="A706" s="242"/>
      <c r="B706" s="243"/>
      <c r="C706" s="243"/>
      <c r="D706" s="243"/>
      <c r="E706" s="243"/>
      <c r="F706" s="243"/>
      <c r="G706" s="244"/>
      <c r="H706" s="243"/>
      <c r="I706" s="243"/>
      <c r="J706" s="243"/>
      <c r="K706" s="243"/>
      <c r="L706" s="243"/>
      <c r="M706" s="244"/>
      <c r="N706" s="245" t="s">
        <v>257</v>
      </c>
      <c r="O706" s="246"/>
      <c r="P706" s="203" t="s">
        <v>257</v>
      </c>
      <c r="Q706" s="210" t="s">
        <v>257</v>
      </c>
      <c r="R706" s="243" t="s">
        <v>257</v>
      </c>
      <c r="S706" s="247"/>
    </row>
    <row r="707" spans="1:19" x14ac:dyDescent="0.2">
      <c r="A707" s="242"/>
      <c r="B707" s="243"/>
      <c r="C707" s="243"/>
      <c r="D707" s="243"/>
      <c r="E707" s="243"/>
      <c r="F707" s="243"/>
      <c r="G707" s="244"/>
      <c r="H707" s="243"/>
      <c r="I707" s="243"/>
      <c r="J707" s="243"/>
      <c r="K707" s="243"/>
      <c r="L707" s="243"/>
      <c r="M707" s="244"/>
      <c r="N707" s="245" t="s">
        <v>257</v>
      </c>
      <c r="O707" s="246"/>
      <c r="P707" s="203" t="s">
        <v>257</v>
      </c>
      <c r="Q707" s="210" t="s">
        <v>257</v>
      </c>
      <c r="R707" s="243" t="s">
        <v>257</v>
      </c>
      <c r="S707" s="247"/>
    </row>
    <row r="708" spans="1:19" x14ac:dyDescent="0.2">
      <c r="A708" s="242"/>
      <c r="B708" s="243"/>
      <c r="C708" s="243"/>
      <c r="D708" s="243"/>
      <c r="E708" s="243"/>
      <c r="F708" s="243"/>
      <c r="G708" s="244"/>
      <c r="H708" s="243"/>
      <c r="I708" s="243"/>
      <c r="J708" s="243"/>
      <c r="K708" s="243"/>
      <c r="L708" s="243"/>
      <c r="M708" s="244"/>
      <c r="N708" s="245" t="s">
        <v>257</v>
      </c>
      <c r="O708" s="246"/>
      <c r="P708" s="203" t="s">
        <v>257</v>
      </c>
      <c r="Q708" s="210" t="s">
        <v>257</v>
      </c>
      <c r="R708" s="243" t="s">
        <v>257</v>
      </c>
      <c r="S708" s="247"/>
    </row>
    <row r="709" spans="1:19" x14ac:dyDescent="0.2">
      <c r="A709" s="242"/>
      <c r="B709" s="243"/>
      <c r="C709" s="243"/>
      <c r="D709" s="243"/>
      <c r="E709" s="243"/>
      <c r="F709" s="243"/>
      <c r="G709" s="244"/>
      <c r="H709" s="243"/>
      <c r="I709" s="243"/>
      <c r="J709" s="243"/>
      <c r="K709" s="243"/>
      <c r="L709" s="243"/>
      <c r="M709" s="244"/>
      <c r="N709" s="245" t="s">
        <v>257</v>
      </c>
      <c r="O709" s="246"/>
      <c r="P709" s="203" t="s">
        <v>257</v>
      </c>
      <c r="Q709" s="210" t="s">
        <v>257</v>
      </c>
      <c r="R709" s="243" t="s">
        <v>257</v>
      </c>
      <c r="S709" s="247"/>
    </row>
    <row r="710" spans="1:19" x14ac:dyDescent="0.2">
      <c r="A710" s="242"/>
      <c r="B710" s="243"/>
      <c r="C710" s="243"/>
      <c r="D710" s="243"/>
      <c r="E710" s="243"/>
      <c r="F710" s="243"/>
      <c r="G710" s="244"/>
      <c r="H710" s="243"/>
      <c r="I710" s="243"/>
      <c r="J710" s="243"/>
      <c r="K710" s="243"/>
      <c r="L710" s="243"/>
      <c r="M710" s="244"/>
      <c r="N710" s="245" t="s">
        <v>257</v>
      </c>
      <c r="O710" s="246"/>
      <c r="P710" s="203" t="s">
        <v>257</v>
      </c>
      <c r="Q710" s="210" t="s">
        <v>257</v>
      </c>
      <c r="R710" s="243" t="s">
        <v>257</v>
      </c>
      <c r="S710" s="247"/>
    </row>
    <row r="711" spans="1:19" x14ac:dyDescent="0.2">
      <c r="A711" s="242"/>
      <c r="B711" s="243"/>
      <c r="C711" s="243"/>
      <c r="D711" s="243"/>
      <c r="E711" s="243"/>
      <c r="F711" s="243"/>
      <c r="G711" s="244"/>
      <c r="H711" s="243"/>
      <c r="I711" s="243"/>
      <c r="J711" s="243"/>
      <c r="K711" s="243"/>
      <c r="L711" s="243"/>
      <c r="M711" s="244"/>
      <c r="N711" s="245" t="s">
        <v>257</v>
      </c>
      <c r="O711" s="246"/>
      <c r="P711" s="203" t="s">
        <v>257</v>
      </c>
      <c r="Q711" s="210" t="s">
        <v>257</v>
      </c>
      <c r="R711" s="243" t="s">
        <v>257</v>
      </c>
      <c r="S711" s="247"/>
    </row>
    <row r="712" spans="1:19" x14ac:dyDescent="0.2">
      <c r="A712" s="242"/>
      <c r="B712" s="243"/>
      <c r="C712" s="243"/>
      <c r="D712" s="243"/>
      <c r="E712" s="243"/>
      <c r="F712" s="243"/>
      <c r="G712" s="244"/>
      <c r="H712" s="243"/>
      <c r="I712" s="243"/>
      <c r="J712" s="243"/>
      <c r="K712" s="243"/>
      <c r="L712" s="243"/>
      <c r="M712" s="244"/>
      <c r="N712" s="245" t="s">
        <v>257</v>
      </c>
      <c r="O712" s="246"/>
      <c r="P712" s="203" t="s">
        <v>257</v>
      </c>
      <c r="Q712" s="210" t="s">
        <v>257</v>
      </c>
      <c r="R712" s="243" t="s">
        <v>257</v>
      </c>
      <c r="S712" s="247"/>
    </row>
    <row r="713" spans="1:19" x14ac:dyDescent="0.2">
      <c r="A713" s="242"/>
      <c r="B713" s="243"/>
      <c r="C713" s="243"/>
      <c r="D713" s="243"/>
      <c r="E713" s="243"/>
      <c r="F713" s="243"/>
      <c r="G713" s="244"/>
      <c r="H713" s="243"/>
      <c r="I713" s="243"/>
      <c r="J713" s="243"/>
      <c r="K713" s="243"/>
      <c r="L713" s="243"/>
      <c r="M713" s="244"/>
      <c r="N713" s="245" t="s">
        <v>257</v>
      </c>
      <c r="O713" s="246"/>
      <c r="P713" s="203" t="s">
        <v>257</v>
      </c>
      <c r="Q713" s="210" t="s">
        <v>257</v>
      </c>
      <c r="R713" s="243" t="s">
        <v>257</v>
      </c>
      <c r="S713" s="247"/>
    </row>
    <row r="714" spans="1:19" x14ac:dyDescent="0.2">
      <c r="A714" s="242"/>
      <c r="B714" s="243"/>
      <c r="C714" s="243"/>
      <c r="D714" s="243"/>
      <c r="E714" s="243"/>
      <c r="F714" s="243"/>
      <c r="G714" s="244"/>
      <c r="H714" s="243"/>
      <c r="I714" s="243"/>
      <c r="J714" s="243"/>
      <c r="K714" s="243"/>
      <c r="L714" s="243"/>
      <c r="M714" s="244"/>
      <c r="N714" s="245" t="s">
        <v>257</v>
      </c>
      <c r="O714" s="246"/>
      <c r="P714" s="203" t="s">
        <v>257</v>
      </c>
      <c r="Q714" s="210" t="s">
        <v>257</v>
      </c>
      <c r="R714" s="243" t="s">
        <v>257</v>
      </c>
      <c r="S714" s="247"/>
    </row>
    <row r="715" spans="1:19" x14ac:dyDescent="0.2">
      <c r="A715" s="242"/>
      <c r="B715" s="243"/>
      <c r="C715" s="243"/>
      <c r="D715" s="243"/>
      <c r="E715" s="243"/>
      <c r="F715" s="243"/>
      <c r="G715" s="244"/>
      <c r="H715" s="243"/>
      <c r="I715" s="243"/>
      <c r="J715" s="243"/>
      <c r="K715" s="243"/>
      <c r="L715" s="243"/>
      <c r="M715" s="244"/>
      <c r="N715" s="245" t="s">
        <v>257</v>
      </c>
      <c r="O715" s="246"/>
      <c r="P715" s="203" t="s">
        <v>257</v>
      </c>
      <c r="Q715" s="210" t="s">
        <v>257</v>
      </c>
      <c r="R715" s="243" t="s">
        <v>257</v>
      </c>
      <c r="S715" s="247"/>
    </row>
    <row r="716" spans="1:19" x14ac:dyDescent="0.2">
      <c r="A716" s="242"/>
      <c r="B716" s="243"/>
      <c r="C716" s="243"/>
      <c r="D716" s="243"/>
      <c r="E716" s="243"/>
      <c r="F716" s="243"/>
      <c r="G716" s="244"/>
      <c r="H716" s="243"/>
      <c r="I716" s="243"/>
      <c r="J716" s="243"/>
      <c r="K716" s="243"/>
      <c r="L716" s="243"/>
      <c r="M716" s="244"/>
      <c r="N716" s="245" t="s">
        <v>257</v>
      </c>
      <c r="O716" s="246"/>
      <c r="P716" s="203" t="s">
        <v>257</v>
      </c>
      <c r="Q716" s="210" t="s">
        <v>257</v>
      </c>
      <c r="R716" s="243" t="s">
        <v>257</v>
      </c>
      <c r="S716" s="247"/>
    </row>
    <row r="717" spans="1:19" x14ac:dyDescent="0.2">
      <c r="A717" s="242"/>
      <c r="B717" s="243"/>
      <c r="C717" s="243"/>
      <c r="D717" s="243"/>
      <c r="E717" s="243"/>
      <c r="F717" s="243"/>
      <c r="G717" s="244"/>
      <c r="H717" s="243"/>
      <c r="I717" s="243"/>
      <c r="J717" s="243"/>
      <c r="K717" s="243"/>
      <c r="L717" s="243"/>
      <c r="M717" s="244"/>
      <c r="N717" s="245" t="s">
        <v>257</v>
      </c>
      <c r="O717" s="246"/>
      <c r="P717" s="203" t="s">
        <v>257</v>
      </c>
      <c r="Q717" s="210" t="s">
        <v>257</v>
      </c>
      <c r="R717" s="243" t="s">
        <v>257</v>
      </c>
      <c r="S717" s="247"/>
    </row>
    <row r="718" spans="1:19" x14ac:dyDescent="0.2">
      <c r="A718" s="242"/>
      <c r="B718" s="243"/>
      <c r="C718" s="243"/>
      <c r="D718" s="243"/>
      <c r="E718" s="243"/>
      <c r="F718" s="243"/>
      <c r="G718" s="244"/>
      <c r="H718" s="243"/>
      <c r="I718" s="243"/>
      <c r="J718" s="243"/>
      <c r="K718" s="243"/>
      <c r="L718" s="243"/>
      <c r="M718" s="244"/>
      <c r="N718" s="245" t="s">
        <v>257</v>
      </c>
      <c r="O718" s="246"/>
      <c r="P718" s="203" t="s">
        <v>257</v>
      </c>
      <c r="Q718" s="210" t="s">
        <v>257</v>
      </c>
      <c r="R718" s="243" t="s">
        <v>257</v>
      </c>
      <c r="S718" s="247"/>
    </row>
    <row r="719" spans="1:19" x14ac:dyDescent="0.2">
      <c r="A719" s="242"/>
      <c r="B719" s="243"/>
      <c r="C719" s="243"/>
      <c r="D719" s="243"/>
      <c r="E719" s="243"/>
      <c r="F719" s="243"/>
      <c r="G719" s="244"/>
      <c r="H719" s="243"/>
      <c r="I719" s="243"/>
      <c r="J719" s="243"/>
      <c r="K719" s="243"/>
      <c r="L719" s="243"/>
      <c r="M719" s="244"/>
      <c r="N719" s="245" t="s">
        <v>257</v>
      </c>
      <c r="O719" s="246"/>
      <c r="P719" s="203" t="s">
        <v>257</v>
      </c>
      <c r="Q719" s="210" t="s">
        <v>257</v>
      </c>
      <c r="R719" s="243" t="s">
        <v>257</v>
      </c>
      <c r="S719" s="247"/>
    </row>
    <row r="720" spans="1:19" x14ac:dyDescent="0.2">
      <c r="A720" s="242"/>
      <c r="B720" s="243"/>
      <c r="C720" s="243"/>
      <c r="D720" s="243"/>
      <c r="E720" s="243"/>
      <c r="F720" s="243"/>
      <c r="G720" s="244"/>
      <c r="H720" s="243"/>
      <c r="I720" s="243"/>
      <c r="J720" s="243"/>
      <c r="K720" s="243"/>
      <c r="L720" s="243"/>
      <c r="M720" s="244"/>
      <c r="N720" s="245" t="s">
        <v>257</v>
      </c>
      <c r="O720" s="246"/>
      <c r="P720" s="203" t="s">
        <v>257</v>
      </c>
      <c r="Q720" s="210" t="s">
        <v>257</v>
      </c>
      <c r="R720" s="243" t="s">
        <v>257</v>
      </c>
      <c r="S720" s="247"/>
    </row>
    <row r="721" spans="1:19" x14ac:dyDescent="0.2">
      <c r="A721" s="242"/>
      <c r="B721" s="243"/>
      <c r="C721" s="243"/>
      <c r="D721" s="243"/>
      <c r="E721" s="243"/>
      <c r="F721" s="243"/>
      <c r="G721" s="244"/>
      <c r="H721" s="243"/>
      <c r="I721" s="243"/>
      <c r="J721" s="243"/>
      <c r="K721" s="243"/>
      <c r="L721" s="243"/>
      <c r="M721" s="244"/>
      <c r="N721" s="245" t="s">
        <v>257</v>
      </c>
      <c r="O721" s="246"/>
      <c r="P721" s="203" t="s">
        <v>257</v>
      </c>
      <c r="Q721" s="210" t="s">
        <v>257</v>
      </c>
      <c r="R721" s="243" t="s">
        <v>257</v>
      </c>
      <c r="S721" s="247"/>
    </row>
    <row r="722" spans="1:19" x14ac:dyDescent="0.2">
      <c r="A722" s="242"/>
      <c r="B722" s="243"/>
      <c r="C722" s="243"/>
      <c r="D722" s="243"/>
      <c r="E722" s="243"/>
      <c r="F722" s="243"/>
      <c r="G722" s="244"/>
      <c r="H722" s="243"/>
      <c r="I722" s="243"/>
      <c r="J722" s="243"/>
      <c r="K722" s="243"/>
      <c r="L722" s="243"/>
      <c r="M722" s="244"/>
      <c r="N722" s="245" t="s">
        <v>257</v>
      </c>
      <c r="O722" s="246"/>
      <c r="P722" s="203" t="s">
        <v>257</v>
      </c>
      <c r="Q722" s="210" t="s">
        <v>257</v>
      </c>
      <c r="R722" s="243" t="s">
        <v>257</v>
      </c>
      <c r="S722" s="247"/>
    </row>
    <row r="723" spans="1:19" x14ac:dyDescent="0.2">
      <c r="A723" s="242"/>
      <c r="B723" s="243"/>
      <c r="C723" s="243"/>
      <c r="D723" s="243"/>
      <c r="E723" s="243"/>
      <c r="F723" s="243"/>
      <c r="G723" s="244"/>
      <c r="H723" s="243"/>
      <c r="I723" s="243"/>
      <c r="J723" s="243"/>
      <c r="K723" s="243"/>
      <c r="L723" s="243"/>
      <c r="M723" s="244"/>
      <c r="N723" s="245" t="s">
        <v>257</v>
      </c>
      <c r="O723" s="246"/>
      <c r="P723" s="203" t="s">
        <v>257</v>
      </c>
      <c r="Q723" s="210" t="s">
        <v>257</v>
      </c>
      <c r="R723" s="243" t="s">
        <v>257</v>
      </c>
      <c r="S723" s="247"/>
    </row>
    <row r="724" spans="1:19" x14ac:dyDescent="0.2">
      <c r="A724" s="242"/>
      <c r="B724" s="243"/>
      <c r="C724" s="243"/>
      <c r="D724" s="243"/>
      <c r="E724" s="243"/>
      <c r="F724" s="243"/>
      <c r="G724" s="244"/>
      <c r="H724" s="243"/>
      <c r="I724" s="243"/>
      <c r="J724" s="243"/>
      <c r="K724" s="243"/>
      <c r="L724" s="243"/>
      <c r="M724" s="244"/>
      <c r="N724" s="245" t="s">
        <v>257</v>
      </c>
      <c r="O724" s="246"/>
      <c r="P724" s="203" t="s">
        <v>257</v>
      </c>
      <c r="Q724" s="210" t="s">
        <v>257</v>
      </c>
      <c r="R724" s="243" t="s">
        <v>257</v>
      </c>
      <c r="S724" s="247"/>
    </row>
    <row r="725" spans="1:19" x14ac:dyDescent="0.2">
      <c r="A725" s="242"/>
      <c r="B725" s="243"/>
      <c r="C725" s="243"/>
      <c r="D725" s="243"/>
      <c r="E725" s="243"/>
      <c r="F725" s="243"/>
      <c r="G725" s="244"/>
      <c r="H725" s="243"/>
      <c r="I725" s="243"/>
      <c r="J725" s="243"/>
      <c r="K725" s="243"/>
      <c r="L725" s="243"/>
      <c r="M725" s="244"/>
      <c r="N725" s="245" t="s">
        <v>257</v>
      </c>
      <c r="O725" s="246"/>
      <c r="P725" s="203" t="s">
        <v>257</v>
      </c>
      <c r="Q725" s="210" t="s">
        <v>257</v>
      </c>
      <c r="R725" s="243" t="s">
        <v>257</v>
      </c>
      <c r="S725" s="247"/>
    </row>
    <row r="726" spans="1:19" x14ac:dyDescent="0.2">
      <c r="A726" s="242"/>
      <c r="B726" s="243"/>
      <c r="C726" s="243"/>
      <c r="D726" s="243"/>
      <c r="E726" s="243"/>
      <c r="F726" s="243"/>
      <c r="G726" s="244"/>
      <c r="H726" s="243"/>
      <c r="I726" s="243"/>
      <c r="J726" s="243"/>
      <c r="K726" s="243"/>
      <c r="L726" s="243"/>
      <c r="M726" s="244"/>
      <c r="N726" s="245" t="s">
        <v>257</v>
      </c>
      <c r="O726" s="246"/>
      <c r="P726" s="203" t="s">
        <v>257</v>
      </c>
      <c r="Q726" s="210" t="s">
        <v>257</v>
      </c>
      <c r="R726" s="243" t="s">
        <v>257</v>
      </c>
      <c r="S726" s="247"/>
    </row>
    <row r="727" spans="1:19" x14ac:dyDescent="0.2">
      <c r="A727" s="242"/>
      <c r="B727" s="243"/>
      <c r="C727" s="243"/>
      <c r="D727" s="243"/>
      <c r="E727" s="243"/>
      <c r="F727" s="243"/>
      <c r="G727" s="244"/>
      <c r="H727" s="243"/>
      <c r="I727" s="243"/>
      <c r="J727" s="243"/>
      <c r="K727" s="243"/>
      <c r="L727" s="243"/>
      <c r="M727" s="244"/>
      <c r="N727" s="245" t="s">
        <v>257</v>
      </c>
      <c r="O727" s="246"/>
      <c r="P727" s="203" t="s">
        <v>257</v>
      </c>
      <c r="Q727" s="210" t="s">
        <v>257</v>
      </c>
      <c r="R727" s="243" t="s">
        <v>257</v>
      </c>
      <c r="S727" s="247"/>
    </row>
    <row r="728" spans="1:19" x14ac:dyDescent="0.2">
      <c r="A728" s="242"/>
      <c r="B728" s="243"/>
      <c r="C728" s="243"/>
      <c r="D728" s="243"/>
      <c r="E728" s="243"/>
      <c r="F728" s="243"/>
      <c r="G728" s="244"/>
      <c r="H728" s="243"/>
      <c r="I728" s="243"/>
      <c r="J728" s="243"/>
      <c r="K728" s="243"/>
      <c r="L728" s="243"/>
      <c r="M728" s="244"/>
      <c r="N728" s="245" t="s">
        <v>257</v>
      </c>
      <c r="O728" s="246"/>
      <c r="P728" s="203" t="s">
        <v>257</v>
      </c>
      <c r="Q728" s="210" t="s">
        <v>257</v>
      </c>
      <c r="R728" s="243" t="s">
        <v>257</v>
      </c>
      <c r="S728" s="247"/>
    </row>
    <row r="729" spans="1:19" x14ac:dyDescent="0.2">
      <c r="A729" s="242"/>
      <c r="B729" s="243"/>
      <c r="C729" s="243"/>
      <c r="D729" s="243"/>
      <c r="E729" s="243"/>
      <c r="F729" s="243"/>
      <c r="G729" s="244"/>
      <c r="H729" s="243"/>
      <c r="I729" s="243"/>
      <c r="J729" s="243"/>
      <c r="K729" s="243"/>
      <c r="L729" s="243"/>
      <c r="M729" s="244"/>
      <c r="N729" s="245" t="s">
        <v>257</v>
      </c>
      <c r="O729" s="246"/>
      <c r="P729" s="203" t="s">
        <v>257</v>
      </c>
      <c r="Q729" s="210" t="s">
        <v>257</v>
      </c>
      <c r="R729" s="243" t="s">
        <v>257</v>
      </c>
      <c r="S729" s="247"/>
    </row>
    <row r="730" spans="1:19" x14ac:dyDescent="0.2">
      <c r="A730" s="242"/>
      <c r="B730" s="243"/>
      <c r="C730" s="243"/>
      <c r="D730" s="243"/>
      <c r="E730" s="243"/>
      <c r="F730" s="243"/>
      <c r="G730" s="244"/>
      <c r="H730" s="243"/>
      <c r="I730" s="243"/>
      <c r="J730" s="243"/>
      <c r="K730" s="243"/>
      <c r="L730" s="243"/>
      <c r="M730" s="244"/>
      <c r="N730" s="245" t="s">
        <v>257</v>
      </c>
      <c r="O730" s="246"/>
      <c r="P730" s="203" t="s">
        <v>257</v>
      </c>
      <c r="Q730" s="210" t="s">
        <v>257</v>
      </c>
      <c r="R730" s="243" t="s">
        <v>257</v>
      </c>
      <c r="S730" s="247"/>
    </row>
    <row r="731" spans="1:19" x14ac:dyDescent="0.2">
      <c r="A731" s="242"/>
      <c r="B731" s="243"/>
      <c r="C731" s="243"/>
      <c r="D731" s="243"/>
      <c r="E731" s="243"/>
      <c r="F731" s="243"/>
      <c r="G731" s="244"/>
      <c r="H731" s="243"/>
      <c r="I731" s="243"/>
      <c r="J731" s="243"/>
      <c r="K731" s="243"/>
      <c r="L731" s="243"/>
      <c r="M731" s="244"/>
      <c r="N731" s="245" t="s">
        <v>257</v>
      </c>
      <c r="O731" s="246"/>
      <c r="P731" s="203" t="s">
        <v>257</v>
      </c>
      <c r="Q731" s="210" t="s">
        <v>257</v>
      </c>
      <c r="R731" s="243" t="s">
        <v>257</v>
      </c>
      <c r="S731" s="247"/>
    </row>
    <row r="732" spans="1:19" x14ac:dyDescent="0.2">
      <c r="A732" s="242"/>
      <c r="B732" s="243"/>
      <c r="C732" s="243"/>
      <c r="D732" s="243"/>
      <c r="E732" s="243"/>
      <c r="F732" s="243"/>
      <c r="G732" s="244"/>
      <c r="H732" s="243"/>
      <c r="I732" s="243"/>
      <c r="J732" s="243"/>
      <c r="K732" s="243"/>
      <c r="L732" s="243"/>
      <c r="M732" s="244"/>
      <c r="N732" s="245" t="s">
        <v>257</v>
      </c>
      <c r="O732" s="246"/>
      <c r="P732" s="203" t="s">
        <v>257</v>
      </c>
      <c r="Q732" s="210" t="s">
        <v>257</v>
      </c>
      <c r="R732" s="243" t="s">
        <v>257</v>
      </c>
      <c r="S732" s="247"/>
    </row>
    <row r="733" spans="1:19" x14ac:dyDescent="0.2">
      <c r="A733" s="242"/>
      <c r="B733" s="243"/>
      <c r="C733" s="243"/>
      <c r="D733" s="243"/>
      <c r="E733" s="243"/>
      <c r="F733" s="243"/>
      <c r="G733" s="244"/>
      <c r="H733" s="243"/>
      <c r="I733" s="243"/>
      <c r="J733" s="243"/>
      <c r="K733" s="243"/>
      <c r="L733" s="243"/>
      <c r="M733" s="244"/>
      <c r="N733" s="245" t="s">
        <v>257</v>
      </c>
      <c r="O733" s="246"/>
      <c r="P733" s="203" t="s">
        <v>257</v>
      </c>
      <c r="Q733" s="210" t="s">
        <v>257</v>
      </c>
      <c r="R733" s="243" t="s">
        <v>257</v>
      </c>
      <c r="S733" s="247"/>
    </row>
    <row r="734" spans="1:19" x14ac:dyDescent="0.2">
      <c r="A734" s="242"/>
      <c r="B734" s="243"/>
      <c r="C734" s="243"/>
      <c r="D734" s="243"/>
      <c r="E734" s="243"/>
      <c r="F734" s="243"/>
      <c r="G734" s="244"/>
      <c r="H734" s="243"/>
      <c r="I734" s="243"/>
      <c r="J734" s="243"/>
      <c r="K734" s="243"/>
      <c r="L734" s="243"/>
      <c r="M734" s="244"/>
      <c r="N734" s="245" t="s">
        <v>257</v>
      </c>
      <c r="O734" s="246"/>
      <c r="P734" s="203" t="s">
        <v>257</v>
      </c>
      <c r="Q734" s="210" t="s">
        <v>257</v>
      </c>
      <c r="R734" s="243" t="s">
        <v>257</v>
      </c>
      <c r="S734" s="247"/>
    </row>
    <row r="735" spans="1:19" x14ac:dyDescent="0.2">
      <c r="A735" s="242"/>
      <c r="B735" s="243"/>
      <c r="C735" s="243"/>
      <c r="D735" s="243"/>
      <c r="E735" s="243"/>
      <c r="F735" s="243"/>
      <c r="G735" s="244"/>
      <c r="H735" s="243"/>
      <c r="I735" s="243"/>
      <c r="J735" s="243"/>
      <c r="K735" s="243"/>
      <c r="L735" s="243"/>
      <c r="M735" s="244"/>
      <c r="N735" s="245" t="s">
        <v>257</v>
      </c>
      <c r="O735" s="246"/>
      <c r="P735" s="203" t="s">
        <v>257</v>
      </c>
      <c r="Q735" s="210" t="s">
        <v>257</v>
      </c>
      <c r="R735" s="243" t="s">
        <v>257</v>
      </c>
      <c r="S735" s="247"/>
    </row>
    <row r="736" spans="1:19" x14ac:dyDescent="0.2">
      <c r="A736" s="242"/>
      <c r="B736" s="243"/>
      <c r="C736" s="243"/>
      <c r="D736" s="243"/>
      <c r="E736" s="243"/>
      <c r="F736" s="243"/>
      <c r="G736" s="244"/>
      <c r="H736" s="243"/>
      <c r="I736" s="243"/>
      <c r="J736" s="243"/>
      <c r="K736" s="243"/>
      <c r="L736" s="243"/>
      <c r="M736" s="244"/>
      <c r="N736" s="245" t="s">
        <v>257</v>
      </c>
      <c r="O736" s="246"/>
      <c r="P736" s="203" t="s">
        <v>257</v>
      </c>
      <c r="Q736" s="210" t="s">
        <v>257</v>
      </c>
      <c r="R736" s="243" t="s">
        <v>257</v>
      </c>
      <c r="S736" s="247"/>
    </row>
    <row r="737" spans="1:19" x14ac:dyDescent="0.2">
      <c r="A737" s="242"/>
      <c r="B737" s="243"/>
      <c r="C737" s="243"/>
      <c r="D737" s="243"/>
      <c r="E737" s="243"/>
      <c r="F737" s="243"/>
      <c r="G737" s="244"/>
      <c r="H737" s="243"/>
      <c r="I737" s="243"/>
      <c r="J737" s="243"/>
      <c r="K737" s="243"/>
      <c r="L737" s="243"/>
      <c r="M737" s="244"/>
      <c r="N737" s="245" t="s">
        <v>257</v>
      </c>
      <c r="O737" s="246"/>
      <c r="P737" s="203" t="s">
        <v>257</v>
      </c>
      <c r="Q737" s="210" t="s">
        <v>257</v>
      </c>
      <c r="R737" s="243" t="s">
        <v>257</v>
      </c>
      <c r="S737" s="247"/>
    </row>
    <row r="738" spans="1:19" x14ac:dyDescent="0.2">
      <c r="A738" s="242"/>
      <c r="B738" s="243"/>
      <c r="C738" s="243"/>
      <c r="D738" s="243"/>
      <c r="E738" s="243"/>
      <c r="F738" s="243"/>
      <c r="G738" s="244"/>
      <c r="H738" s="243"/>
      <c r="I738" s="243"/>
      <c r="J738" s="243"/>
      <c r="K738" s="243"/>
      <c r="L738" s="243"/>
      <c r="M738" s="244"/>
      <c r="N738" s="245" t="s">
        <v>257</v>
      </c>
      <c r="O738" s="246"/>
      <c r="P738" s="203" t="s">
        <v>257</v>
      </c>
      <c r="Q738" s="210" t="s">
        <v>257</v>
      </c>
      <c r="R738" s="243" t="s">
        <v>257</v>
      </c>
      <c r="S738" s="247"/>
    </row>
    <row r="739" spans="1:19" x14ac:dyDescent="0.2">
      <c r="A739" s="242"/>
      <c r="B739" s="243"/>
      <c r="C739" s="243"/>
      <c r="D739" s="243"/>
      <c r="E739" s="243"/>
      <c r="F739" s="243"/>
      <c r="G739" s="244"/>
      <c r="H739" s="243"/>
      <c r="I739" s="243"/>
      <c r="J739" s="243"/>
      <c r="K739" s="243"/>
      <c r="L739" s="243"/>
      <c r="M739" s="244"/>
      <c r="N739" s="245" t="s">
        <v>257</v>
      </c>
      <c r="O739" s="246"/>
      <c r="P739" s="203" t="s">
        <v>257</v>
      </c>
      <c r="Q739" s="210" t="s">
        <v>257</v>
      </c>
      <c r="R739" s="243" t="s">
        <v>257</v>
      </c>
      <c r="S739" s="247"/>
    </row>
    <row r="740" spans="1:19" x14ac:dyDescent="0.2">
      <c r="A740" s="242"/>
      <c r="B740" s="243"/>
      <c r="C740" s="243"/>
      <c r="D740" s="243"/>
      <c r="E740" s="243"/>
      <c r="F740" s="243"/>
      <c r="G740" s="244"/>
      <c r="H740" s="243"/>
      <c r="I740" s="243"/>
      <c r="J740" s="243"/>
      <c r="K740" s="243"/>
      <c r="L740" s="243"/>
      <c r="M740" s="244"/>
      <c r="N740" s="245" t="s">
        <v>257</v>
      </c>
      <c r="O740" s="246"/>
      <c r="P740" s="203" t="s">
        <v>257</v>
      </c>
      <c r="Q740" s="210" t="s">
        <v>257</v>
      </c>
      <c r="R740" s="243" t="s">
        <v>257</v>
      </c>
      <c r="S740" s="247"/>
    </row>
    <row r="741" spans="1:19" x14ac:dyDescent="0.2">
      <c r="A741" s="242"/>
      <c r="B741" s="243"/>
      <c r="C741" s="243"/>
      <c r="D741" s="243"/>
      <c r="E741" s="243"/>
      <c r="F741" s="243"/>
      <c r="G741" s="244"/>
      <c r="H741" s="243"/>
      <c r="I741" s="243"/>
      <c r="J741" s="243"/>
      <c r="K741" s="243"/>
      <c r="L741" s="243"/>
      <c r="M741" s="244"/>
      <c r="N741" s="245" t="s">
        <v>257</v>
      </c>
      <c r="O741" s="246"/>
      <c r="P741" s="203" t="s">
        <v>257</v>
      </c>
      <c r="Q741" s="210" t="s">
        <v>257</v>
      </c>
      <c r="R741" s="243" t="s">
        <v>257</v>
      </c>
      <c r="S741" s="247"/>
    </row>
    <row r="742" spans="1:19" x14ac:dyDescent="0.2">
      <c r="A742" s="242"/>
      <c r="B742" s="243"/>
      <c r="C742" s="243"/>
      <c r="D742" s="243"/>
      <c r="E742" s="243"/>
      <c r="F742" s="243"/>
      <c r="G742" s="244"/>
      <c r="H742" s="243"/>
      <c r="I742" s="243"/>
      <c r="J742" s="243"/>
      <c r="K742" s="243"/>
      <c r="L742" s="243"/>
      <c r="M742" s="244"/>
      <c r="N742" s="245" t="s">
        <v>257</v>
      </c>
      <c r="O742" s="246"/>
      <c r="P742" s="203" t="s">
        <v>257</v>
      </c>
      <c r="Q742" s="210" t="s">
        <v>257</v>
      </c>
      <c r="R742" s="243" t="s">
        <v>257</v>
      </c>
      <c r="S742" s="247"/>
    </row>
    <row r="743" spans="1:19" x14ac:dyDescent="0.2">
      <c r="A743" s="242"/>
      <c r="B743" s="243"/>
      <c r="C743" s="243"/>
      <c r="D743" s="243"/>
      <c r="E743" s="243"/>
      <c r="F743" s="243"/>
      <c r="G743" s="244"/>
      <c r="H743" s="243"/>
      <c r="I743" s="243"/>
      <c r="J743" s="243"/>
      <c r="K743" s="243"/>
      <c r="L743" s="243"/>
      <c r="M743" s="244"/>
      <c r="N743" s="245" t="s">
        <v>257</v>
      </c>
      <c r="O743" s="246"/>
      <c r="P743" s="203" t="s">
        <v>257</v>
      </c>
      <c r="Q743" s="210" t="s">
        <v>257</v>
      </c>
      <c r="R743" s="243" t="s">
        <v>257</v>
      </c>
      <c r="S743" s="247"/>
    </row>
    <row r="744" spans="1:19" x14ac:dyDescent="0.2">
      <c r="A744" s="242"/>
      <c r="B744" s="243"/>
      <c r="C744" s="243"/>
      <c r="D744" s="243"/>
      <c r="E744" s="243"/>
      <c r="F744" s="243"/>
      <c r="G744" s="244"/>
      <c r="H744" s="243"/>
      <c r="I744" s="243"/>
      <c r="J744" s="243"/>
      <c r="K744" s="243"/>
      <c r="L744" s="243"/>
      <c r="M744" s="244"/>
      <c r="N744" s="245" t="s">
        <v>257</v>
      </c>
      <c r="O744" s="246"/>
      <c r="P744" s="203" t="s">
        <v>257</v>
      </c>
      <c r="Q744" s="210" t="s">
        <v>257</v>
      </c>
      <c r="R744" s="243" t="s">
        <v>257</v>
      </c>
      <c r="S744" s="247"/>
    </row>
    <row r="745" spans="1:19" x14ac:dyDescent="0.2">
      <c r="A745" s="242"/>
      <c r="B745" s="243"/>
      <c r="C745" s="243"/>
      <c r="D745" s="243"/>
      <c r="E745" s="243"/>
      <c r="F745" s="243"/>
      <c r="G745" s="244"/>
      <c r="H745" s="243"/>
      <c r="I745" s="243"/>
      <c r="J745" s="243"/>
      <c r="K745" s="243"/>
      <c r="L745" s="243"/>
      <c r="M745" s="244"/>
      <c r="N745" s="245" t="s">
        <v>257</v>
      </c>
      <c r="O745" s="246"/>
      <c r="P745" s="203" t="s">
        <v>257</v>
      </c>
      <c r="Q745" s="210" t="s">
        <v>257</v>
      </c>
      <c r="R745" s="243" t="s">
        <v>257</v>
      </c>
      <c r="S745" s="247"/>
    </row>
    <row r="746" spans="1:19" x14ac:dyDescent="0.2">
      <c r="A746" s="242"/>
      <c r="B746" s="243"/>
      <c r="C746" s="243"/>
      <c r="D746" s="243"/>
      <c r="E746" s="243"/>
      <c r="F746" s="243"/>
      <c r="G746" s="244"/>
      <c r="H746" s="243"/>
      <c r="I746" s="243"/>
      <c r="J746" s="243"/>
      <c r="K746" s="243"/>
      <c r="L746" s="243"/>
      <c r="M746" s="244"/>
      <c r="N746" s="245" t="s">
        <v>257</v>
      </c>
      <c r="O746" s="246"/>
      <c r="P746" s="203" t="s">
        <v>257</v>
      </c>
      <c r="Q746" s="210" t="s">
        <v>257</v>
      </c>
      <c r="R746" s="243" t="s">
        <v>257</v>
      </c>
      <c r="S746" s="247"/>
    </row>
    <row r="747" spans="1:19" x14ac:dyDescent="0.2">
      <c r="A747" s="242"/>
      <c r="B747" s="243"/>
      <c r="C747" s="243"/>
      <c r="D747" s="243"/>
      <c r="E747" s="243"/>
      <c r="F747" s="243"/>
      <c r="G747" s="244"/>
      <c r="H747" s="243"/>
      <c r="I747" s="243"/>
      <c r="J747" s="243"/>
      <c r="K747" s="243"/>
      <c r="L747" s="243"/>
      <c r="M747" s="244"/>
      <c r="N747" s="245" t="s">
        <v>257</v>
      </c>
      <c r="O747" s="246"/>
      <c r="P747" s="203" t="s">
        <v>257</v>
      </c>
      <c r="Q747" s="210" t="s">
        <v>257</v>
      </c>
      <c r="R747" s="243" t="s">
        <v>257</v>
      </c>
      <c r="S747" s="247"/>
    </row>
    <row r="748" spans="1:19" x14ac:dyDescent="0.2">
      <c r="A748" s="242"/>
      <c r="B748" s="243"/>
      <c r="C748" s="243"/>
      <c r="D748" s="243"/>
      <c r="E748" s="243"/>
      <c r="F748" s="243"/>
      <c r="G748" s="244"/>
      <c r="H748" s="243"/>
      <c r="I748" s="243"/>
      <c r="J748" s="243"/>
      <c r="K748" s="243"/>
      <c r="L748" s="243"/>
      <c r="M748" s="244"/>
      <c r="N748" s="245" t="s">
        <v>257</v>
      </c>
      <c r="O748" s="246"/>
      <c r="P748" s="203" t="s">
        <v>257</v>
      </c>
      <c r="Q748" s="210" t="s">
        <v>257</v>
      </c>
      <c r="R748" s="243" t="s">
        <v>257</v>
      </c>
      <c r="S748" s="247"/>
    </row>
    <row r="749" spans="1:19" x14ac:dyDescent="0.2">
      <c r="A749" s="242"/>
      <c r="B749" s="243"/>
      <c r="C749" s="243"/>
      <c r="D749" s="243"/>
      <c r="E749" s="243"/>
      <c r="F749" s="243"/>
      <c r="G749" s="244"/>
      <c r="H749" s="243"/>
      <c r="I749" s="243"/>
      <c r="J749" s="243"/>
      <c r="K749" s="243"/>
      <c r="L749" s="243"/>
      <c r="M749" s="244"/>
      <c r="N749" s="245" t="s">
        <v>257</v>
      </c>
      <c r="O749" s="246"/>
      <c r="P749" s="203" t="s">
        <v>257</v>
      </c>
      <c r="Q749" s="210" t="s">
        <v>257</v>
      </c>
      <c r="R749" s="243" t="s">
        <v>257</v>
      </c>
      <c r="S749" s="247"/>
    </row>
    <row r="750" spans="1:19" x14ac:dyDescent="0.2">
      <c r="A750" s="242"/>
      <c r="B750" s="243"/>
      <c r="C750" s="243"/>
      <c r="D750" s="243"/>
      <c r="E750" s="243"/>
      <c r="F750" s="243"/>
      <c r="G750" s="244"/>
      <c r="H750" s="243"/>
      <c r="I750" s="243"/>
      <c r="J750" s="243"/>
      <c r="K750" s="243"/>
      <c r="L750" s="243"/>
      <c r="M750" s="244"/>
      <c r="N750" s="245" t="s">
        <v>257</v>
      </c>
      <c r="O750" s="246"/>
      <c r="P750" s="203" t="s">
        <v>257</v>
      </c>
      <c r="Q750" s="210" t="s">
        <v>257</v>
      </c>
      <c r="R750" s="243" t="s">
        <v>257</v>
      </c>
      <c r="S750" s="247"/>
    </row>
    <row r="751" spans="1:19" x14ac:dyDescent="0.2">
      <c r="A751" s="242"/>
      <c r="B751" s="243"/>
      <c r="C751" s="243"/>
      <c r="D751" s="243"/>
      <c r="E751" s="243"/>
      <c r="F751" s="243"/>
      <c r="G751" s="244"/>
      <c r="H751" s="243"/>
      <c r="I751" s="243"/>
      <c r="J751" s="243"/>
      <c r="K751" s="243"/>
      <c r="L751" s="243"/>
      <c r="M751" s="244"/>
      <c r="N751" s="245" t="s">
        <v>257</v>
      </c>
      <c r="O751" s="246"/>
      <c r="P751" s="203" t="s">
        <v>257</v>
      </c>
      <c r="Q751" s="210" t="s">
        <v>257</v>
      </c>
      <c r="R751" s="243" t="s">
        <v>257</v>
      </c>
      <c r="S751" s="247"/>
    </row>
    <row r="752" spans="1:19" x14ac:dyDescent="0.2">
      <c r="A752" s="242"/>
      <c r="B752" s="243"/>
      <c r="C752" s="243"/>
      <c r="D752" s="243"/>
      <c r="E752" s="243"/>
      <c r="F752" s="243"/>
      <c r="G752" s="244"/>
      <c r="H752" s="243"/>
      <c r="I752" s="243"/>
      <c r="J752" s="243"/>
      <c r="K752" s="243"/>
      <c r="L752" s="243"/>
      <c r="M752" s="244"/>
      <c r="N752" s="245" t="s">
        <v>257</v>
      </c>
      <c r="O752" s="246"/>
      <c r="P752" s="203" t="s">
        <v>257</v>
      </c>
      <c r="Q752" s="210" t="s">
        <v>257</v>
      </c>
      <c r="R752" s="243" t="s">
        <v>257</v>
      </c>
      <c r="S752" s="247"/>
    </row>
    <row r="753" spans="1:19" x14ac:dyDescent="0.2">
      <c r="A753" s="242"/>
      <c r="B753" s="243"/>
      <c r="C753" s="243"/>
      <c r="D753" s="243"/>
      <c r="E753" s="243"/>
      <c r="F753" s="243"/>
      <c r="G753" s="244"/>
      <c r="H753" s="243"/>
      <c r="I753" s="243"/>
      <c r="J753" s="243"/>
      <c r="K753" s="243"/>
      <c r="L753" s="243"/>
      <c r="M753" s="244"/>
      <c r="N753" s="245" t="s">
        <v>257</v>
      </c>
      <c r="O753" s="246"/>
      <c r="P753" s="203" t="s">
        <v>257</v>
      </c>
      <c r="Q753" s="210" t="s">
        <v>257</v>
      </c>
      <c r="R753" s="243" t="s">
        <v>257</v>
      </c>
      <c r="S753" s="247"/>
    </row>
    <row r="754" spans="1:19" x14ac:dyDescent="0.2">
      <c r="A754" s="242"/>
      <c r="B754" s="243"/>
      <c r="C754" s="243"/>
      <c r="D754" s="243"/>
      <c r="E754" s="243"/>
      <c r="F754" s="243"/>
      <c r="G754" s="244"/>
      <c r="H754" s="243"/>
      <c r="I754" s="243"/>
      <c r="J754" s="243"/>
      <c r="K754" s="243"/>
      <c r="L754" s="243"/>
      <c r="M754" s="244"/>
      <c r="N754" s="245" t="s">
        <v>257</v>
      </c>
      <c r="O754" s="246"/>
      <c r="P754" s="203" t="s">
        <v>257</v>
      </c>
      <c r="Q754" s="210" t="s">
        <v>257</v>
      </c>
      <c r="R754" s="243" t="s">
        <v>257</v>
      </c>
      <c r="S754" s="247"/>
    </row>
    <row r="755" spans="1:19" x14ac:dyDescent="0.2">
      <c r="A755" s="242"/>
      <c r="B755" s="243"/>
      <c r="C755" s="243"/>
      <c r="D755" s="243"/>
      <c r="E755" s="243"/>
      <c r="F755" s="243"/>
      <c r="G755" s="244"/>
      <c r="H755" s="243"/>
      <c r="I755" s="243"/>
      <c r="J755" s="243"/>
      <c r="K755" s="243"/>
      <c r="L755" s="243"/>
      <c r="M755" s="244"/>
      <c r="N755" s="245" t="s">
        <v>257</v>
      </c>
      <c r="O755" s="246"/>
      <c r="P755" s="203" t="s">
        <v>257</v>
      </c>
      <c r="Q755" s="210" t="s">
        <v>257</v>
      </c>
      <c r="R755" s="243" t="s">
        <v>257</v>
      </c>
      <c r="S755" s="247"/>
    </row>
    <row r="756" spans="1:19" x14ac:dyDescent="0.2">
      <c r="A756" s="242"/>
      <c r="B756" s="243"/>
      <c r="C756" s="243"/>
      <c r="D756" s="243"/>
      <c r="E756" s="243"/>
      <c r="F756" s="243"/>
      <c r="G756" s="244"/>
      <c r="H756" s="243"/>
      <c r="I756" s="243"/>
      <c r="J756" s="243"/>
      <c r="K756" s="243"/>
      <c r="L756" s="243"/>
      <c r="M756" s="244"/>
      <c r="N756" s="245" t="s">
        <v>257</v>
      </c>
      <c r="O756" s="246"/>
      <c r="P756" s="203" t="s">
        <v>257</v>
      </c>
      <c r="Q756" s="210" t="s">
        <v>257</v>
      </c>
      <c r="R756" s="243" t="s">
        <v>257</v>
      </c>
      <c r="S756" s="247"/>
    </row>
    <row r="757" spans="1:19" x14ac:dyDescent="0.2">
      <c r="A757" s="242"/>
      <c r="B757" s="243"/>
      <c r="C757" s="243"/>
      <c r="D757" s="243"/>
      <c r="E757" s="243"/>
      <c r="F757" s="243"/>
      <c r="G757" s="244"/>
      <c r="H757" s="243"/>
      <c r="I757" s="243"/>
      <c r="J757" s="243"/>
      <c r="K757" s="243"/>
      <c r="L757" s="243"/>
      <c r="M757" s="244"/>
      <c r="N757" s="245" t="s">
        <v>257</v>
      </c>
      <c r="O757" s="246"/>
      <c r="P757" s="203" t="s">
        <v>257</v>
      </c>
      <c r="Q757" s="210" t="s">
        <v>257</v>
      </c>
      <c r="R757" s="243" t="s">
        <v>257</v>
      </c>
      <c r="S757" s="247"/>
    </row>
    <row r="758" spans="1:19" x14ac:dyDescent="0.2">
      <c r="A758" s="242"/>
      <c r="B758" s="243"/>
      <c r="C758" s="243"/>
      <c r="D758" s="243"/>
      <c r="E758" s="243"/>
      <c r="F758" s="243"/>
      <c r="G758" s="244"/>
      <c r="H758" s="243"/>
      <c r="I758" s="243"/>
      <c r="J758" s="243"/>
      <c r="K758" s="243"/>
      <c r="L758" s="243"/>
      <c r="M758" s="244"/>
      <c r="N758" s="245" t="s">
        <v>257</v>
      </c>
      <c r="O758" s="246"/>
      <c r="P758" s="203" t="s">
        <v>257</v>
      </c>
      <c r="Q758" s="210" t="s">
        <v>257</v>
      </c>
      <c r="R758" s="243" t="s">
        <v>257</v>
      </c>
      <c r="S758" s="247"/>
    </row>
    <row r="759" spans="1:19" x14ac:dyDescent="0.2">
      <c r="A759" s="242"/>
      <c r="B759" s="243"/>
      <c r="C759" s="243"/>
      <c r="D759" s="243"/>
      <c r="E759" s="243"/>
      <c r="F759" s="243"/>
      <c r="G759" s="244"/>
      <c r="H759" s="243"/>
      <c r="I759" s="243"/>
      <c r="J759" s="243"/>
      <c r="K759" s="243"/>
      <c r="L759" s="243"/>
      <c r="M759" s="244"/>
      <c r="N759" s="245" t="s">
        <v>257</v>
      </c>
      <c r="O759" s="246"/>
      <c r="P759" s="203" t="s">
        <v>257</v>
      </c>
      <c r="Q759" s="210" t="s">
        <v>257</v>
      </c>
      <c r="R759" s="243" t="s">
        <v>257</v>
      </c>
      <c r="S759" s="247"/>
    </row>
    <row r="760" spans="1:19" x14ac:dyDescent="0.2">
      <c r="A760" s="242"/>
      <c r="B760" s="243"/>
      <c r="C760" s="243"/>
      <c r="D760" s="243"/>
      <c r="E760" s="243"/>
      <c r="F760" s="243"/>
      <c r="G760" s="244"/>
      <c r="H760" s="243"/>
      <c r="I760" s="243"/>
      <c r="J760" s="243"/>
      <c r="K760" s="243"/>
      <c r="L760" s="243"/>
      <c r="M760" s="244"/>
      <c r="N760" s="245" t="s">
        <v>257</v>
      </c>
      <c r="O760" s="246"/>
      <c r="P760" s="203" t="s">
        <v>257</v>
      </c>
      <c r="Q760" s="210" t="s">
        <v>257</v>
      </c>
      <c r="R760" s="243" t="s">
        <v>257</v>
      </c>
      <c r="S760" s="247"/>
    </row>
    <row r="761" spans="1:19" x14ac:dyDescent="0.2">
      <c r="A761" s="242"/>
      <c r="B761" s="243"/>
      <c r="C761" s="243"/>
      <c r="D761" s="243"/>
      <c r="E761" s="243"/>
      <c r="F761" s="243"/>
      <c r="G761" s="244"/>
      <c r="H761" s="243"/>
      <c r="I761" s="243"/>
      <c r="J761" s="243"/>
      <c r="K761" s="243"/>
      <c r="L761" s="243"/>
      <c r="M761" s="244"/>
      <c r="N761" s="245" t="s">
        <v>257</v>
      </c>
      <c r="O761" s="246"/>
      <c r="P761" s="203" t="s">
        <v>257</v>
      </c>
      <c r="Q761" s="210" t="s">
        <v>257</v>
      </c>
      <c r="R761" s="243" t="s">
        <v>257</v>
      </c>
      <c r="S761" s="247"/>
    </row>
    <row r="762" spans="1:19" x14ac:dyDescent="0.2">
      <c r="A762" s="242"/>
      <c r="B762" s="243"/>
      <c r="C762" s="243"/>
      <c r="D762" s="243"/>
      <c r="E762" s="243"/>
      <c r="F762" s="243"/>
      <c r="G762" s="244"/>
      <c r="H762" s="243"/>
      <c r="I762" s="243"/>
      <c r="J762" s="243"/>
      <c r="K762" s="243"/>
      <c r="L762" s="243"/>
      <c r="M762" s="244"/>
      <c r="N762" s="245" t="s">
        <v>257</v>
      </c>
      <c r="O762" s="246"/>
      <c r="P762" s="203" t="s">
        <v>257</v>
      </c>
      <c r="Q762" s="210" t="s">
        <v>257</v>
      </c>
      <c r="R762" s="243" t="s">
        <v>257</v>
      </c>
      <c r="S762" s="247"/>
    </row>
    <row r="763" spans="1:19" x14ac:dyDescent="0.2">
      <c r="A763" s="242"/>
      <c r="B763" s="243"/>
      <c r="C763" s="243"/>
      <c r="D763" s="243"/>
      <c r="E763" s="243"/>
      <c r="F763" s="243"/>
      <c r="G763" s="244"/>
      <c r="H763" s="243"/>
      <c r="I763" s="243"/>
      <c r="J763" s="243"/>
      <c r="K763" s="243"/>
      <c r="L763" s="243"/>
      <c r="M763" s="244"/>
      <c r="N763" s="245" t="s">
        <v>257</v>
      </c>
      <c r="O763" s="246"/>
      <c r="P763" s="203" t="s">
        <v>257</v>
      </c>
      <c r="Q763" s="210" t="s">
        <v>257</v>
      </c>
      <c r="R763" s="243" t="s">
        <v>257</v>
      </c>
      <c r="S763" s="247"/>
    </row>
    <row r="764" spans="1:19" x14ac:dyDescent="0.2">
      <c r="A764" s="242"/>
      <c r="B764" s="243"/>
      <c r="C764" s="243"/>
      <c r="D764" s="243"/>
      <c r="E764" s="243"/>
      <c r="F764" s="243"/>
      <c r="G764" s="244"/>
      <c r="H764" s="243"/>
      <c r="I764" s="243"/>
      <c r="J764" s="243"/>
      <c r="K764" s="243"/>
      <c r="L764" s="243"/>
      <c r="M764" s="244"/>
      <c r="N764" s="245" t="s">
        <v>257</v>
      </c>
      <c r="O764" s="246"/>
      <c r="P764" s="203" t="s">
        <v>257</v>
      </c>
      <c r="Q764" s="210" t="s">
        <v>257</v>
      </c>
      <c r="R764" s="243" t="s">
        <v>257</v>
      </c>
      <c r="S764" s="247"/>
    </row>
    <row r="765" spans="1:19" x14ac:dyDescent="0.2">
      <c r="A765" s="242"/>
      <c r="B765" s="243"/>
      <c r="C765" s="243"/>
      <c r="D765" s="243"/>
      <c r="E765" s="243"/>
      <c r="F765" s="243"/>
      <c r="G765" s="244"/>
      <c r="H765" s="243"/>
      <c r="I765" s="243"/>
      <c r="J765" s="243"/>
      <c r="K765" s="243"/>
      <c r="L765" s="243"/>
      <c r="M765" s="244"/>
      <c r="N765" s="245" t="s">
        <v>257</v>
      </c>
      <c r="O765" s="246"/>
      <c r="P765" s="203" t="s">
        <v>257</v>
      </c>
      <c r="Q765" s="210" t="s">
        <v>257</v>
      </c>
      <c r="R765" s="243" t="s">
        <v>257</v>
      </c>
      <c r="S765" s="247"/>
    </row>
    <row r="766" spans="1:19" x14ac:dyDescent="0.2">
      <c r="A766" s="242"/>
      <c r="B766" s="243"/>
      <c r="C766" s="243"/>
      <c r="D766" s="243"/>
      <c r="E766" s="243"/>
      <c r="F766" s="243"/>
      <c r="G766" s="244"/>
      <c r="H766" s="243"/>
      <c r="I766" s="243"/>
      <c r="J766" s="243"/>
      <c r="K766" s="243"/>
      <c r="L766" s="243"/>
      <c r="M766" s="244"/>
      <c r="N766" s="245" t="s">
        <v>257</v>
      </c>
      <c r="O766" s="246"/>
      <c r="P766" s="203" t="s">
        <v>257</v>
      </c>
      <c r="Q766" s="210" t="s">
        <v>257</v>
      </c>
      <c r="R766" s="243" t="s">
        <v>257</v>
      </c>
      <c r="S766" s="247"/>
    </row>
    <row r="767" spans="1:19" x14ac:dyDescent="0.2">
      <c r="A767" s="242"/>
      <c r="B767" s="243"/>
      <c r="C767" s="243"/>
      <c r="D767" s="243"/>
      <c r="E767" s="243"/>
      <c r="F767" s="243"/>
      <c r="G767" s="244"/>
      <c r="H767" s="243"/>
      <c r="I767" s="243"/>
      <c r="J767" s="243"/>
      <c r="K767" s="243"/>
      <c r="L767" s="243"/>
      <c r="M767" s="244"/>
      <c r="N767" s="245" t="s">
        <v>257</v>
      </c>
      <c r="O767" s="246"/>
      <c r="P767" s="203" t="s">
        <v>257</v>
      </c>
      <c r="Q767" s="210" t="s">
        <v>257</v>
      </c>
      <c r="R767" s="243" t="s">
        <v>257</v>
      </c>
      <c r="S767" s="247"/>
    </row>
    <row r="768" spans="1:19" x14ac:dyDescent="0.2">
      <c r="A768" s="242"/>
      <c r="B768" s="243"/>
      <c r="C768" s="243"/>
      <c r="D768" s="243"/>
      <c r="E768" s="243"/>
      <c r="F768" s="243"/>
      <c r="G768" s="244"/>
      <c r="H768" s="243"/>
      <c r="I768" s="243"/>
      <c r="J768" s="243"/>
      <c r="K768" s="243"/>
      <c r="L768" s="243"/>
      <c r="M768" s="244"/>
      <c r="N768" s="245" t="s">
        <v>257</v>
      </c>
      <c r="O768" s="246"/>
      <c r="P768" s="203" t="s">
        <v>257</v>
      </c>
      <c r="Q768" s="210" t="s">
        <v>257</v>
      </c>
      <c r="R768" s="243" t="s">
        <v>257</v>
      </c>
      <c r="S768" s="247"/>
    </row>
    <row r="769" spans="1:19" x14ac:dyDescent="0.2">
      <c r="A769" s="242"/>
      <c r="B769" s="243"/>
      <c r="C769" s="243"/>
      <c r="D769" s="243"/>
      <c r="E769" s="243"/>
      <c r="F769" s="243"/>
      <c r="G769" s="244"/>
      <c r="H769" s="243"/>
      <c r="I769" s="243"/>
      <c r="J769" s="243"/>
      <c r="K769" s="243"/>
      <c r="L769" s="243"/>
      <c r="M769" s="244"/>
      <c r="N769" s="245" t="s">
        <v>257</v>
      </c>
      <c r="O769" s="246"/>
      <c r="P769" s="203" t="s">
        <v>257</v>
      </c>
      <c r="Q769" s="210" t="s">
        <v>257</v>
      </c>
      <c r="R769" s="243" t="s">
        <v>257</v>
      </c>
      <c r="S769" s="247"/>
    </row>
    <row r="770" spans="1:19" x14ac:dyDescent="0.2">
      <c r="A770" s="242"/>
      <c r="B770" s="243"/>
      <c r="C770" s="243"/>
      <c r="D770" s="243"/>
      <c r="E770" s="243"/>
      <c r="F770" s="243"/>
      <c r="G770" s="244"/>
      <c r="H770" s="243"/>
      <c r="I770" s="243"/>
      <c r="J770" s="243"/>
      <c r="K770" s="243"/>
      <c r="L770" s="243"/>
      <c r="M770" s="244"/>
      <c r="N770" s="245" t="s">
        <v>257</v>
      </c>
      <c r="O770" s="246"/>
      <c r="P770" s="203" t="s">
        <v>257</v>
      </c>
      <c r="Q770" s="210" t="s">
        <v>257</v>
      </c>
      <c r="R770" s="243" t="s">
        <v>257</v>
      </c>
      <c r="S770" s="247"/>
    </row>
    <row r="771" spans="1:19" x14ac:dyDescent="0.2">
      <c r="A771" s="242"/>
      <c r="B771" s="243"/>
      <c r="C771" s="243"/>
      <c r="D771" s="243"/>
      <c r="E771" s="243"/>
      <c r="F771" s="243"/>
      <c r="G771" s="244"/>
      <c r="H771" s="243"/>
      <c r="I771" s="243"/>
      <c r="J771" s="243"/>
      <c r="K771" s="243"/>
      <c r="L771" s="243"/>
      <c r="M771" s="244"/>
      <c r="N771" s="245" t="s">
        <v>257</v>
      </c>
      <c r="O771" s="246"/>
      <c r="P771" s="203" t="s">
        <v>257</v>
      </c>
      <c r="Q771" s="210" t="s">
        <v>257</v>
      </c>
      <c r="R771" s="243" t="s">
        <v>257</v>
      </c>
      <c r="S771" s="247"/>
    </row>
    <row r="772" spans="1:19" x14ac:dyDescent="0.2">
      <c r="A772" s="242"/>
      <c r="B772" s="243"/>
      <c r="C772" s="243"/>
      <c r="D772" s="243"/>
      <c r="E772" s="243"/>
      <c r="F772" s="243"/>
      <c r="G772" s="244"/>
      <c r="H772" s="243"/>
      <c r="I772" s="243"/>
      <c r="J772" s="243"/>
      <c r="K772" s="243"/>
      <c r="L772" s="243"/>
      <c r="M772" s="244"/>
      <c r="N772" s="245" t="s">
        <v>257</v>
      </c>
      <c r="O772" s="246"/>
      <c r="P772" s="203" t="s">
        <v>257</v>
      </c>
      <c r="Q772" s="210" t="s">
        <v>257</v>
      </c>
      <c r="R772" s="243" t="s">
        <v>257</v>
      </c>
      <c r="S772" s="247"/>
    </row>
    <row r="773" spans="1:19" x14ac:dyDescent="0.2">
      <c r="A773" s="242"/>
      <c r="B773" s="243"/>
      <c r="C773" s="243"/>
      <c r="D773" s="243"/>
      <c r="E773" s="243"/>
      <c r="F773" s="243"/>
      <c r="G773" s="244"/>
      <c r="H773" s="243"/>
      <c r="I773" s="243"/>
      <c r="J773" s="243"/>
      <c r="K773" s="243"/>
      <c r="L773" s="243"/>
      <c r="M773" s="244"/>
      <c r="N773" s="245" t="s">
        <v>257</v>
      </c>
      <c r="O773" s="246"/>
      <c r="P773" s="203" t="s">
        <v>257</v>
      </c>
      <c r="Q773" s="210" t="s">
        <v>257</v>
      </c>
      <c r="R773" s="243" t="s">
        <v>257</v>
      </c>
      <c r="S773" s="247"/>
    </row>
    <row r="774" spans="1:19" x14ac:dyDescent="0.2">
      <c r="A774" s="242"/>
      <c r="B774" s="243"/>
      <c r="C774" s="243"/>
      <c r="D774" s="243"/>
      <c r="E774" s="243"/>
      <c r="F774" s="243"/>
      <c r="G774" s="244"/>
      <c r="H774" s="243"/>
      <c r="I774" s="243"/>
      <c r="J774" s="243"/>
      <c r="K774" s="243"/>
      <c r="L774" s="243"/>
      <c r="M774" s="244"/>
      <c r="N774" s="245" t="s">
        <v>257</v>
      </c>
      <c r="O774" s="246"/>
      <c r="P774" s="203" t="s">
        <v>257</v>
      </c>
      <c r="Q774" s="210" t="s">
        <v>257</v>
      </c>
      <c r="R774" s="243" t="s">
        <v>257</v>
      </c>
      <c r="S774" s="247"/>
    </row>
    <row r="775" spans="1:19" x14ac:dyDescent="0.2">
      <c r="A775" s="242"/>
      <c r="B775" s="243"/>
      <c r="C775" s="243"/>
      <c r="D775" s="243"/>
      <c r="E775" s="243"/>
      <c r="F775" s="243"/>
      <c r="G775" s="244"/>
      <c r="H775" s="243"/>
      <c r="I775" s="243"/>
      <c r="J775" s="243"/>
      <c r="K775" s="243"/>
      <c r="L775" s="243"/>
      <c r="M775" s="244"/>
      <c r="N775" s="245" t="s">
        <v>257</v>
      </c>
      <c r="O775" s="246"/>
      <c r="P775" s="203" t="s">
        <v>257</v>
      </c>
      <c r="Q775" s="210" t="s">
        <v>257</v>
      </c>
      <c r="R775" s="243" t="s">
        <v>257</v>
      </c>
      <c r="S775" s="247"/>
    </row>
    <row r="776" spans="1:19" x14ac:dyDescent="0.2">
      <c r="A776" s="242"/>
      <c r="B776" s="243"/>
      <c r="C776" s="243"/>
      <c r="D776" s="243"/>
      <c r="E776" s="243"/>
      <c r="F776" s="243"/>
      <c r="G776" s="244"/>
      <c r="H776" s="243"/>
      <c r="I776" s="243"/>
      <c r="J776" s="243"/>
      <c r="K776" s="243"/>
      <c r="L776" s="243"/>
      <c r="M776" s="244"/>
      <c r="N776" s="245" t="s">
        <v>257</v>
      </c>
      <c r="O776" s="246"/>
      <c r="P776" s="203" t="s">
        <v>257</v>
      </c>
      <c r="Q776" s="210" t="s">
        <v>257</v>
      </c>
      <c r="R776" s="243" t="s">
        <v>257</v>
      </c>
      <c r="S776" s="247"/>
    </row>
    <row r="777" spans="1:19" x14ac:dyDescent="0.2">
      <c r="A777" s="242"/>
      <c r="B777" s="243"/>
      <c r="C777" s="243"/>
      <c r="D777" s="243"/>
      <c r="E777" s="243"/>
      <c r="F777" s="243"/>
      <c r="G777" s="244"/>
      <c r="H777" s="243"/>
      <c r="I777" s="243"/>
      <c r="J777" s="243"/>
      <c r="K777" s="243"/>
      <c r="L777" s="243"/>
      <c r="M777" s="244"/>
      <c r="N777" s="245" t="s">
        <v>257</v>
      </c>
      <c r="O777" s="246"/>
      <c r="P777" s="203" t="s">
        <v>257</v>
      </c>
      <c r="Q777" s="210" t="s">
        <v>257</v>
      </c>
      <c r="R777" s="243" t="s">
        <v>257</v>
      </c>
      <c r="S777" s="247"/>
    </row>
    <row r="778" spans="1:19" x14ac:dyDescent="0.2">
      <c r="A778" s="242"/>
      <c r="B778" s="243"/>
      <c r="C778" s="243"/>
      <c r="D778" s="243"/>
      <c r="E778" s="243"/>
      <c r="F778" s="243"/>
      <c r="G778" s="244"/>
      <c r="H778" s="243"/>
      <c r="I778" s="243"/>
      <c r="J778" s="243"/>
      <c r="K778" s="243"/>
      <c r="L778" s="243"/>
      <c r="M778" s="244"/>
      <c r="N778" s="245" t="s">
        <v>257</v>
      </c>
      <c r="O778" s="246"/>
      <c r="P778" s="203" t="s">
        <v>257</v>
      </c>
      <c r="Q778" s="210" t="s">
        <v>257</v>
      </c>
      <c r="R778" s="243" t="s">
        <v>257</v>
      </c>
      <c r="S778" s="247"/>
    </row>
    <row r="779" spans="1:19" x14ac:dyDescent="0.2">
      <c r="A779" s="242"/>
      <c r="B779" s="243"/>
      <c r="C779" s="243"/>
      <c r="D779" s="243"/>
      <c r="E779" s="243"/>
      <c r="F779" s="243"/>
      <c r="G779" s="244"/>
      <c r="H779" s="243"/>
      <c r="I779" s="243"/>
      <c r="J779" s="243"/>
      <c r="K779" s="243"/>
      <c r="L779" s="243"/>
      <c r="M779" s="244"/>
      <c r="N779" s="245" t="s">
        <v>257</v>
      </c>
      <c r="O779" s="246"/>
      <c r="P779" s="203" t="s">
        <v>257</v>
      </c>
      <c r="Q779" s="210" t="s">
        <v>257</v>
      </c>
      <c r="R779" s="243" t="s">
        <v>257</v>
      </c>
      <c r="S779" s="247"/>
    </row>
    <row r="780" spans="1:19" x14ac:dyDescent="0.2">
      <c r="A780" s="242"/>
      <c r="B780" s="243"/>
      <c r="C780" s="243"/>
      <c r="D780" s="243"/>
      <c r="E780" s="243"/>
      <c r="F780" s="243"/>
      <c r="G780" s="244"/>
      <c r="H780" s="243"/>
      <c r="I780" s="243"/>
      <c r="J780" s="243"/>
      <c r="K780" s="243"/>
      <c r="L780" s="243"/>
      <c r="M780" s="244"/>
      <c r="N780" s="245" t="s">
        <v>257</v>
      </c>
      <c r="O780" s="246"/>
      <c r="P780" s="203" t="s">
        <v>257</v>
      </c>
      <c r="Q780" s="210" t="s">
        <v>257</v>
      </c>
      <c r="R780" s="243" t="s">
        <v>257</v>
      </c>
      <c r="S780" s="247"/>
    </row>
    <row r="781" spans="1:19" x14ac:dyDescent="0.2">
      <c r="A781" s="242"/>
      <c r="B781" s="243"/>
      <c r="C781" s="243"/>
      <c r="D781" s="243"/>
      <c r="E781" s="243"/>
      <c r="F781" s="243"/>
      <c r="G781" s="244"/>
      <c r="H781" s="243"/>
      <c r="I781" s="243"/>
      <c r="J781" s="243"/>
      <c r="K781" s="243"/>
      <c r="L781" s="243"/>
      <c r="M781" s="244"/>
      <c r="N781" s="245" t="s">
        <v>257</v>
      </c>
      <c r="O781" s="246"/>
      <c r="P781" s="203" t="s">
        <v>257</v>
      </c>
      <c r="Q781" s="210" t="s">
        <v>257</v>
      </c>
      <c r="R781" s="243" t="s">
        <v>257</v>
      </c>
      <c r="S781" s="247"/>
    </row>
    <row r="782" spans="1:19" x14ac:dyDescent="0.2">
      <c r="A782" s="242"/>
      <c r="B782" s="243"/>
      <c r="C782" s="243"/>
      <c r="D782" s="243"/>
      <c r="E782" s="243"/>
      <c r="F782" s="243"/>
      <c r="G782" s="244"/>
      <c r="H782" s="243"/>
      <c r="I782" s="243"/>
      <c r="J782" s="243"/>
      <c r="K782" s="243"/>
      <c r="L782" s="243"/>
      <c r="M782" s="244"/>
      <c r="N782" s="245" t="s">
        <v>257</v>
      </c>
      <c r="O782" s="246"/>
      <c r="P782" s="203" t="s">
        <v>257</v>
      </c>
      <c r="Q782" s="210" t="s">
        <v>257</v>
      </c>
      <c r="R782" s="243" t="s">
        <v>257</v>
      </c>
      <c r="S782" s="247"/>
    </row>
    <row r="783" spans="1:19" x14ac:dyDescent="0.2">
      <c r="A783" s="242"/>
      <c r="B783" s="243"/>
      <c r="C783" s="243"/>
      <c r="D783" s="243"/>
      <c r="E783" s="243"/>
      <c r="F783" s="243"/>
      <c r="G783" s="244"/>
      <c r="H783" s="243"/>
      <c r="I783" s="243"/>
      <c r="J783" s="243"/>
      <c r="K783" s="243"/>
      <c r="L783" s="243"/>
      <c r="M783" s="244"/>
      <c r="N783" s="245" t="s">
        <v>257</v>
      </c>
      <c r="O783" s="246"/>
      <c r="P783" s="203" t="s">
        <v>257</v>
      </c>
      <c r="Q783" s="210" t="s">
        <v>257</v>
      </c>
      <c r="R783" s="243" t="s">
        <v>257</v>
      </c>
      <c r="S783" s="247"/>
    </row>
    <row r="784" spans="1:19" x14ac:dyDescent="0.2">
      <c r="A784" s="242"/>
      <c r="B784" s="243"/>
      <c r="C784" s="243"/>
      <c r="D784" s="243"/>
      <c r="E784" s="243"/>
      <c r="F784" s="243"/>
      <c r="G784" s="244"/>
      <c r="H784" s="243"/>
      <c r="I784" s="243"/>
      <c r="J784" s="243"/>
      <c r="K784" s="243"/>
      <c r="L784" s="243"/>
      <c r="M784" s="244"/>
      <c r="N784" s="245" t="s">
        <v>257</v>
      </c>
      <c r="O784" s="246"/>
      <c r="P784" s="203" t="s">
        <v>257</v>
      </c>
      <c r="Q784" s="210" t="s">
        <v>257</v>
      </c>
      <c r="R784" s="243" t="s">
        <v>257</v>
      </c>
      <c r="S784" s="247"/>
    </row>
    <row r="785" spans="1:19" x14ac:dyDescent="0.2">
      <c r="A785" s="242"/>
      <c r="B785" s="243"/>
      <c r="C785" s="243"/>
      <c r="D785" s="243"/>
      <c r="E785" s="243"/>
      <c r="F785" s="243"/>
      <c r="G785" s="244"/>
      <c r="H785" s="243"/>
      <c r="I785" s="243"/>
      <c r="J785" s="243"/>
      <c r="K785" s="243"/>
      <c r="L785" s="243"/>
      <c r="M785" s="244"/>
      <c r="N785" s="245" t="s">
        <v>257</v>
      </c>
      <c r="O785" s="246"/>
      <c r="P785" s="203" t="s">
        <v>257</v>
      </c>
      <c r="Q785" s="210" t="s">
        <v>257</v>
      </c>
      <c r="R785" s="243" t="s">
        <v>257</v>
      </c>
      <c r="S785" s="247"/>
    </row>
    <row r="786" spans="1:19" x14ac:dyDescent="0.2">
      <c r="A786" s="242"/>
      <c r="B786" s="243"/>
      <c r="C786" s="243"/>
      <c r="D786" s="243"/>
      <c r="E786" s="243"/>
      <c r="F786" s="243"/>
      <c r="G786" s="244"/>
      <c r="H786" s="243"/>
      <c r="I786" s="243"/>
      <c r="J786" s="243"/>
      <c r="K786" s="243"/>
      <c r="L786" s="243"/>
      <c r="M786" s="244"/>
      <c r="N786" s="245" t="s">
        <v>257</v>
      </c>
      <c r="O786" s="246"/>
      <c r="P786" s="203" t="s">
        <v>257</v>
      </c>
      <c r="Q786" s="210" t="s">
        <v>257</v>
      </c>
      <c r="R786" s="243" t="s">
        <v>257</v>
      </c>
      <c r="S786" s="247"/>
    </row>
    <row r="787" spans="1:19" x14ac:dyDescent="0.2">
      <c r="A787" s="242"/>
      <c r="B787" s="243"/>
      <c r="C787" s="243"/>
      <c r="D787" s="243"/>
      <c r="E787" s="243"/>
      <c r="F787" s="243"/>
      <c r="G787" s="244"/>
      <c r="H787" s="243"/>
      <c r="I787" s="243"/>
      <c r="J787" s="243"/>
      <c r="K787" s="243"/>
      <c r="L787" s="243"/>
      <c r="M787" s="244"/>
      <c r="N787" s="245" t="s">
        <v>257</v>
      </c>
      <c r="O787" s="246"/>
      <c r="P787" s="203" t="s">
        <v>257</v>
      </c>
      <c r="Q787" s="210" t="s">
        <v>257</v>
      </c>
      <c r="R787" s="243" t="s">
        <v>257</v>
      </c>
      <c r="S787" s="247"/>
    </row>
    <row r="788" spans="1:19" x14ac:dyDescent="0.2">
      <c r="A788" s="242"/>
      <c r="B788" s="243"/>
      <c r="C788" s="243"/>
      <c r="D788" s="243"/>
      <c r="E788" s="243"/>
      <c r="F788" s="243"/>
      <c r="G788" s="244"/>
      <c r="H788" s="243"/>
      <c r="I788" s="243"/>
      <c r="J788" s="243"/>
      <c r="K788" s="243"/>
      <c r="L788" s="243"/>
      <c r="M788" s="244"/>
      <c r="N788" s="245" t="s">
        <v>257</v>
      </c>
      <c r="O788" s="246"/>
      <c r="P788" s="203" t="s">
        <v>257</v>
      </c>
      <c r="Q788" s="210" t="s">
        <v>257</v>
      </c>
      <c r="R788" s="243" t="s">
        <v>257</v>
      </c>
      <c r="S788" s="247"/>
    </row>
    <row r="789" spans="1:19" x14ac:dyDescent="0.2">
      <c r="A789" s="242"/>
      <c r="B789" s="243"/>
      <c r="C789" s="243"/>
      <c r="D789" s="243"/>
      <c r="E789" s="243"/>
      <c r="F789" s="243"/>
      <c r="G789" s="244"/>
      <c r="H789" s="243"/>
      <c r="I789" s="243"/>
      <c r="J789" s="243"/>
      <c r="K789" s="243"/>
      <c r="L789" s="243"/>
      <c r="M789" s="244"/>
      <c r="N789" s="245" t="s">
        <v>257</v>
      </c>
      <c r="O789" s="246"/>
      <c r="P789" s="203" t="s">
        <v>257</v>
      </c>
      <c r="Q789" s="210" t="s">
        <v>257</v>
      </c>
      <c r="R789" s="243" t="s">
        <v>257</v>
      </c>
      <c r="S789" s="247"/>
    </row>
    <row r="790" spans="1:19" x14ac:dyDescent="0.2">
      <c r="A790" s="242"/>
      <c r="B790" s="243"/>
      <c r="C790" s="243"/>
      <c r="D790" s="243"/>
      <c r="E790" s="243"/>
      <c r="F790" s="243"/>
      <c r="G790" s="244"/>
      <c r="H790" s="243"/>
      <c r="I790" s="243"/>
      <c r="J790" s="243"/>
      <c r="K790" s="243"/>
      <c r="L790" s="243"/>
      <c r="M790" s="244"/>
      <c r="N790" s="245" t="s">
        <v>257</v>
      </c>
      <c r="O790" s="246"/>
      <c r="P790" s="203" t="s">
        <v>257</v>
      </c>
      <c r="Q790" s="210" t="s">
        <v>257</v>
      </c>
      <c r="R790" s="243" t="s">
        <v>257</v>
      </c>
      <c r="S790" s="247"/>
    </row>
    <row r="791" spans="1:19" x14ac:dyDescent="0.2">
      <c r="A791" s="242"/>
      <c r="B791" s="243"/>
      <c r="C791" s="243"/>
      <c r="D791" s="243"/>
      <c r="E791" s="243"/>
      <c r="F791" s="243"/>
      <c r="G791" s="244"/>
      <c r="H791" s="243"/>
      <c r="I791" s="243"/>
      <c r="J791" s="243"/>
      <c r="K791" s="243"/>
      <c r="L791" s="243"/>
      <c r="M791" s="244"/>
      <c r="N791" s="245" t="s">
        <v>257</v>
      </c>
      <c r="O791" s="246"/>
      <c r="P791" s="203" t="s">
        <v>257</v>
      </c>
      <c r="Q791" s="210" t="s">
        <v>257</v>
      </c>
      <c r="R791" s="243" t="s">
        <v>257</v>
      </c>
      <c r="S791" s="247"/>
    </row>
    <row r="792" spans="1:19" x14ac:dyDescent="0.2">
      <c r="A792" s="242"/>
      <c r="B792" s="243"/>
      <c r="C792" s="243"/>
      <c r="D792" s="243"/>
      <c r="E792" s="243"/>
      <c r="F792" s="243"/>
      <c r="G792" s="244"/>
      <c r="H792" s="243"/>
      <c r="I792" s="243"/>
      <c r="J792" s="243"/>
      <c r="K792" s="243"/>
      <c r="L792" s="243"/>
      <c r="M792" s="244"/>
      <c r="N792" s="245" t="s">
        <v>257</v>
      </c>
      <c r="O792" s="246"/>
      <c r="P792" s="203" t="s">
        <v>257</v>
      </c>
      <c r="Q792" s="210" t="s">
        <v>257</v>
      </c>
      <c r="R792" s="243" t="s">
        <v>257</v>
      </c>
      <c r="S792" s="247"/>
    </row>
    <row r="793" spans="1:19" x14ac:dyDescent="0.2">
      <c r="A793" s="242"/>
      <c r="B793" s="243"/>
      <c r="C793" s="243"/>
      <c r="D793" s="243"/>
      <c r="E793" s="243"/>
      <c r="F793" s="243"/>
      <c r="G793" s="244"/>
      <c r="H793" s="243"/>
      <c r="I793" s="243"/>
      <c r="J793" s="243"/>
      <c r="K793" s="243"/>
      <c r="L793" s="243"/>
      <c r="M793" s="244"/>
      <c r="N793" s="245" t="s">
        <v>257</v>
      </c>
      <c r="O793" s="246"/>
      <c r="P793" s="203" t="s">
        <v>257</v>
      </c>
      <c r="Q793" s="210" t="s">
        <v>257</v>
      </c>
      <c r="R793" s="243" t="s">
        <v>257</v>
      </c>
      <c r="S793" s="247"/>
    </row>
    <row r="794" spans="1:19" x14ac:dyDescent="0.2">
      <c r="A794" s="242"/>
      <c r="B794" s="243"/>
      <c r="C794" s="243"/>
      <c r="D794" s="243"/>
      <c r="E794" s="243"/>
      <c r="F794" s="243"/>
      <c r="G794" s="244"/>
      <c r="H794" s="243"/>
      <c r="I794" s="243"/>
      <c r="J794" s="243"/>
      <c r="K794" s="243"/>
      <c r="L794" s="243"/>
      <c r="M794" s="244"/>
      <c r="N794" s="245" t="s">
        <v>257</v>
      </c>
      <c r="O794" s="246"/>
      <c r="P794" s="203" t="s">
        <v>257</v>
      </c>
      <c r="Q794" s="210" t="s">
        <v>257</v>
      </c>
      <c r="R794" s="243" t="s">
        <v>257</v>
      </c>
      <c r="S794" s="247"/>
    </row>
    <row r="795" spans="1:19" x14ac:dyDescent="0.2">
      <c r="A795" s="242"/>
      <c r="B795" s="243"/>
      <c r="C795" s="243"/>
      <c r="D795" s="243"/>
      <c r="E795" s="243"/>
      <c r="F795" s="243"/>
      <c r="G795" s="244"/>
      <c r="H795" s="243"/>
      <c r="I795" s="243"/>
      <c r="J795" s="243"/>
      <c r="K795" s="243"/>
      <c r="L795" s="243"/>
      <c r="M795" s="244"/>
      <c r="N795" s="245" t="s">
        <v>257</v>
      </c>
      <c r="O795" s="246"/>
      <c r="P795" s="203" t="s">
        <v>257</v>
      </c>
      <c r="Q795" s="210" t="s">
        <v>257</v>
      </c>
      <c r="R795" s="243" t="s">
        <v>257</v>
      </c>
      <c r="S795" s="247"/>
    </row>
    <row r="796" spans="1:19" x14ac:dyDescent="0.2">
      <c r="A796" s="242"/>
      <c r="B796" s="243"/>
      <c r="C796" s="243"/>
      <c r="D796" s="243"/>
      <c r="E796" s="243"/>
      <c r="F796" s="243"/>
      <c r="G796" s="244"/>
      <c r="H796" s="243"/>
      <c r="I796" s="243"/>
      <c r="J796" s="243"/>
      <c r="K796" s="243"/>
      <c r="L796" s="243"/>
      <c r="M796" s="244"/>
      <c r="N796" s="245" t="s">
        <v>257</v>
      </c>
      <c r="O796" s="246"/>
      <c r="P796" s="203" t="s">
        <v>257</v>
      </c>
      <c r="Q796" s="210" t="s">
        <v>257</v>
      </c>
      <c r="R796" s="243" t="s">
        <v>257</v>
      </c>
      <c r="S796" s="247"/>
    </row>
    <row r="797" spans="1:19" x14ac:dyDescent="0.2">
      <c r="A797" s="242"/>
      <c r="B797" s="243"/>
      <c r="C797" s="243"/>
      <c r="D797" s="243"/>
      <c r="E797" s="243"/>
      <c r="F797" s="243"/>
      <c r="G797" s="244"/>
      <c r="H797" s="243"/>
      <c r="I797" s="243"/>
      <c r="J797" s="243"/>
      <c r="K797" s="243"/>
      <c r="L797" s="243"/>
      <c r="M797" s="244"/>
      <c r="N797" s="245" t="s">
        <v>257</v>
      </c>
      <c r="O797" s="246"/>
      <c r="P797" s="203" t="s">
        <v>257</v>
      </c>
      <c r="Q797" s="210" t="s">
        <v>257</v>
      </c>
      <c r="R797" s="243" t="s">
        <v>257</v>
      </c>
      <c r="S797" s="247"/>
    </row>
    <row r="798" spans="1:19" x14ac:dyDescent="0.2">
      <c r="A798" s="242"/>
      <c r="B798" s="243"/>
      <c r="C798" s="243"/>
      <c r="D798" s="243"/>
      <c r="E798" s="243"/>
      <c r="F798" s="243"/>
      <c r="G798" s="244"/>
      <c r="H798" s="243"/>
      <c r="I798" s="243"/>
      <c r="J798" s="243"/>
      <c r="K798" s="243"/>
      <c r="L798" s="243"/>
      <c r="M798" s="244"/>
      <c r="N798" s="245" t="s">
        <v>257</v>
      </c>
      <c r="O798" s="246"/>
      <c r="P798" s="203" t="s">
        <v>257</v>
      </c>
      <c r="Q798" s="210" t="s">
        <v>257</v>
      </c>
      <c r="R798" s="243" t="s">
        <v>257</v>
      </c>
      <c r="S798" s="247"/>
    </row>
    <row r="799" spans="1:19" x14ac:dyDescent="0.2">
      <c r="A799" s="242"/>
      <c r="B799" s="243"/>
      <c r="C799" s="243"/>
      <c r="D799" s="243"/>
      <c r="E799" s="243"/>
      <c r="F799" s="243"/>
      <c r="G799" s="244"/>
      <c r="H799" s="243"/>
      <c r="I799" s="243"/>
      <c r="J799" s="243"/>
      <c r="K799" s="243"/>
      <c r="L799" s="243"/>
      <c r="M799" s="244"/>
      <c r="N799" s="245" t="s">
        <v>257</v>
      </c>
      <c r="O799" s="246"/>
      <c r="P799" s="203" t="s">
        <v>257</v>
      </c>
      <c r="Q799" s="210" t="s">
        <v>257</v>
      </c>
      <c r="R799" s="243" t="s">
        <v>257</v>
      </c>
      <c r="S799" s="247"/>
    </row>
    <row r="800" spans="1:19" x14ac:dyDescent="0.2">
      <c r="A800" s="242"/>
      <c r="B800" s="243"/>
      <c r="C800" s="243"/>
      <c r="D800" s="243"/>
      <c r="E800" s="243"/>
      <c r="F800" s="243"/>
      <c r="G800" s="244"/>
      <c r="H800" s="243"/>
      <c r="I800" s="243"/>
      <c r="J800" s="243"/>
      <c r="K800" s="243"/>
      <c r="L800" s="243"/>
      <c r="M800" s="244"/>
      <c r="N800" s="245" t="s">
        <v>257</v>
      </c>
      <c r="O800" s="246"/>
      <c r="P800" s="203" t="s">
        <v>257</v>
      </c>
      <c r="Q800" s="210" t="s">
        <v>257</v>
      </c>
      <c r="R800" s="243" t="s">
        <v>257</v>
      </c>
      <c r="S800" s="247"/>
    </row>
    <row r="801" spans="1:19" x14ac:dyDescent="0.2">
      <c r="A801" s="242"/>
      <c r="B801" s="243"/>
      <c r="C801" s="243"/>
      <c r="D801" s="243"/>
      <c r="E801" s="243"/>
      <c r="F801" s="243"/>
      <c r="G801" s="244"/>
      <c r="H801" s="243"/>
      <c r="I801" s="243"/>
      <c r="J801" s="243"/>
      <c r="K801" s="243"/>
      <c r="L801" s="243"/>
      <c r="M801" s="244"/>
      <c r="N801" s="245" t="s">
        <v>257</v>
      </c>
      <c r="O801" s="246"/>
      <c r="P801" s="203" t="s">
        <v>257</v>
      </c>
      <c r="Q801" s="210" t="s">
        <v>257</v>
      </c>
      <c r="R801" s="243" t="s">
        <v>257</v>
      </c>
      <c r="S801" s="247"/>
    </row>
    <row r="802" spans="1:19" x14ac:dyDescent="0.2">
      <c r="A802" s="242"/>
      <c r="B802" s="243"/>
      <c r="C802" s="243"/>
      <c r="D802" s="243"/>
      <c r="E802" s="243"/>
      <c r="F802" s="243"/>
      <c r="G802" s="244"/>
      <c r="H802" s="243"/>
      <c r="I802" s="243"/>
      <c r="J802" s="243"/>
      <c r="K802" s="243"/>
      <c r="L802" s="243"/>
      <c r="M802" s="244"/>
      <c r="N802" s="245" t="s">
        <v>257</v>
      </c>
      <c r="O802" s="246"/>
      <c r="P802" s="203" t="s">
        <v>257</v>
      </c>
      <c r="Q802" s="210" t="s">
        <v>257</v>
      </c>
      <c r="R802" s="243" t="s">
        <v>257</v>
      </c>
      <c r="S802" s="247"/>
    </row>
    <row r="803" spans="1:19" x14ac:dyDescent="0.2">
      <c r="A803" s="242"/>
      <c r="B803" s="243"/>
      <c r="C803" s="243"/>
      <c r="D803" s="243"/>
      <c r="E803" s="243"/>
      <c r="F803" s="243"/>
      <c r="G803" s="244"/>
      <c r="H803" s="243"/>
      <c r="I803" s="243"/>
      <c r="J803" s="243"/>
      <c r="K803" s="243"/>
      <c r="L803" s="243"/>
      <c r="M803" s="244"/>
      <c r="N803" s="245" t="s">
        <v>257</v>
      </c>
      <c r="O803" s="246"/>
      <c r="P803" s="203" t="s">
        <v>257</v>
      </c>
      <c r="Q803" s="210" t="s">
        <v>257</v>
      </c>
      <c r="R803" s="243" t="s">
        <v>257</v>
      </c>
      <c r="S803" s="247"/>
    </row>
    <row r="804" spans="1:19" x14ac:dyDescent="0.2">
      <c r="A804" s="242"/>
      <c r="B804" s="243"/>
      <c r="C804" s="243"/>
      <c r="D804" s="243"/>
      <c r="E804" s="243"/>
      <c r="F804" s="243"/>
      <c r="G804" s="244"/>
      <c r="H804" s="243"/>
      <c r="I804" s="243"/>
      <c r="J804" s="243"/>
      <c r="K804" s="243"/>
      <c r="L804" s="243"/>
      <c r="M804" s="244"/>
      <c r="N804" s="245" t="s">
        <v>257</v>
      </c>
      <c r="O804" s="246"/>
      <c r="P804" s="203" t="s">
        <v>257</v>
      </c>
      <c r="Q804" s="210" t="s">
        <v>257</v>
      </c>
      <c r="R804" s="243" t="s">
        <v>257</v>
      </c>
      <c r="S804" s="247"/>
    </row>
    <row r="805" spans="1:19" x14ac:dyDescent="0.2">
      <c r="A805" s="242"/>
      <c r="B805" s="243"/>
      <c r="C805" s="243"/>
      <c r="D805" s="243"/>
      <c r="E805" s="243"/>
      <c r="F805" s="243"/>
      <c r="G805" s="244"/>
      <c r="H805" s="243"/>
      <c r="I805" s="243"/>
      <c r="J805" s="243"/>
      <c r="K805" s="243"/>
      <c r="L805" s="243"/>
      <c r="M805" s="244"/>
      <c r="N805" s="245" t="s">
        <v>257</v>
      </c>
      <c r="O805" s="246"/>
      <c r="P805" s="203" t="s">
        <v>257</v>
      </c>
      <c r="Q805" s="210" t="s">
        <v>257</v>
      </c>
      <c r="R805" s="243" t="s">
        <v>257</v>
      </c>
      <c r="S805" s="247"/>
    </row>
    <row r="806" spans="1:19" x14ac:dyDescent="0.2">
      <c r="A806" s="242"/>
      <c r="B806" s="243"/>
      <c r="C806" s="243"/>
      <c r="D806" s="243"/>
      <c r="E806" s="243"/>
      <c r="F806" s="243"/>
      <c r="G806" s="244"/>
      <c r="H806" s="243"/>
      <c r="I806" s="243"/>
      <c r="J806" s="243"/>
      <c r="K806" s="243"/>
      <c r="L806" s="243"/>
      <c r="M806" s="244"/>
      <c r="N806" s="245" t="s">
        <v>257</v>
      </c>
      <c r="O806" s="246"/>
      <c r="P806" s="203" t="s">
        <v>257</v>
      </c>
      <c r="Q806" s="210" t="s">
        <v>257</v>
      </c>
      <c r="R806" s="243" t="s">
        <v>257</v>
      </c>
      <c r="S806" s="247"/>
    </row>
    <row r="807" spans="1:19" x14ac:dyDescent="0.2">
      <c r="A807" s="242"/>
      <c r="B807" s="243"/>
      <c r="C807" s="243"/>
      <c r="D807" s="243"/>
      <c r="E807" s="243"/>
      <c r="F807" s="243"/>
      <c r="G807" s="244"/>
      <c r="H807" s="243"/>
      <c r="I807" s="243"/>
      <c r="J807" s="243"/>
      <c r="K807" s="243"/>
      <c r="L807" s="243"/>
      <c r="M807" s="244"/>
      <c r="N807" s="245" t="s">
        <v>257</v>
      </c>
      <c r="O807" s="246"/>
      <c r="P807" s="203" t="s">
        <v>257</v>
      </c>
      <c r="Q807" s="210" t="s">
        <v>257</v>
      </c>
      <c r="R807" s="243" t="s">
        <v>257</v>
      </c>
      <c r="S807" s="247"/>
    </row>
    <row r="808" spans="1:19" x14ac:dyDescent="0.2">
      <c r="A808" s="242"/>
      <c r="B808" s="243"/>
      <c r="C808" s="243"/>
      <c r="D808" s="243"/>
      <c r="E808" s="243"/>
      <c r="F808" s="243"/>
      <c r="G808" s="244"/>
      <c r="H808" s="243"/>
      <c r="I808" s="243"/>
      <c r="J808" s="243"/>
      <c r="K808" s="243"/>
      <c r="L808" s="243"/>
      <c r="M808" s="244"/>
      <c r="N808" s="245" t="s">
        <v>257</v>
      </c>
      <c r="O808" s="246"/>
      <c r="P808" s="203" t="s">
        <v>257</v>
      </c>
      <c r="Q808" s="210" t="s">
        <v>257</v>
      </c>
      <c r="R808" s="243" t="s">
        <v>257</v>
      </c>
      <c r="S808" s="247"/>
    </row>
    <row r="809" spans="1:19" x14ac:dyDescent="0.2">
      <c r="A809" s="242"/>
      <c r="B809" s="243"/>
      <c r="C809" s="243"/>
      <c r="D809" s="243"/>
      <c r="E809" s="243"/>
      <c r="F809" s="243"/>
      <c r="G809" s="244"/>
      <c r="H809" s="243"/>
      <c r="I809" s="243"/>
      <c r="J809" s="243"/>
      <c r="K809" s="243"/>
      <c r="L809" s="243"/>
      <c r="M809" s="244"/>
      <c r="N809" s="245" t="s">
        <v>257</v>
      </c>
      <c r="O809" s="246"/>
      <c r="P809" s="203" t="s">
        <v>257</v>
      </c>
      <c r="Q809" s="210" t="s">
        <v>257</v>
      </c>
      <c r="R809" s="243" t="s">
        <v>257</v>
      </c>
      <c r="S809" s="247"/>
    </row>
    <row r="810" spans="1:19" x14ac:dyDescent="0.2">
      <c r="A810" s="242"/>
      <c r="B810" s="243"/>
      <c r="C810" s="243"/>
      <c r="D810" s="243"/>
      <c r="E810" s="243"/>
      <c r="F810" s="243"/>
      <c r="G810" s="244"/>
      <c r="H810" s="243"/>
      <c r="I810" s="243"/>
      <c r="J810" s="243"/>
      <c r="K810" s="243"/>
      <c r="L810" s="243"/>
      <c r="M810" s="244"/>
      <c r="N810" s="245" t="s">
        <v>257</v>
      </c>
      <c r="O810" s="246"/>
      <c r="P810" s="203" t="s">
        <v>257</v>
      </c>
      <c r="Q810" s="210" t="s">
        <v>257</v>
      </c>
      <c r="R810" s="243" t="s">
        <v>257</v>
      </c>
      <c r="S810" s="247"/>
    </row>
    <row r="811" spans="1:19" x14ac:dyDescent="0.2">
      <c r="A811" s="242"/>
      <c r="B811" s="243"/>
      <c r="C811" s="243"/>
      <c r="D811" s="243"/>
      <c r="E811" s="243"/>
      <c r="F811" s="243"/>
      <c r="G811" s="244"/>
      <c r="H811" s="243"/>
      <c r="I811" s="243"/>
      <c r="J811" s="243"/>
      <c r="K811" s="243"/>
      <c r="L811" s="243"/>
      <c r="M811" s="244"/>
      <c r="N811" s="245" t="s">
        <v>257</v>
      </c>
      <c r="O811" s="246"/>
      <c r="P811" s="203" t="s">
        <v>257</v>
      </c>
      <c r="Q811" s="210" t="s">
        <v>257</v>
      </c>
      <c r="R811" s="243" t="s">
        <v>257</v>
      </c>
      <c r="S811" s="247"/>
    </row>
    <row r="812" spans="1:19" x14ac:dyDescent="0.2">
      <c r="A812" s="242"/>
      <c r="B812" s="243"/>
      <c r="C812" s="243"/>
      <c r="D812" s="243"/>
      <c r="E812" s="243"/>
      <c r="F812" s="243"/>
      <c r="G812" s="244"/>
      <c r="H812" s="243"/>
      <c r="I812" s="243"/>
      <c r="J812" s="243"/>
      <c r="K812" s="243"/>
      <c r="L812" s="243"/>
      <c r="M812" s="244"/>
      <c r="N812" s="245" t="s">
        <v>257</v>
      </c>
      <c r="O812" s="246"/>
      <c r="P812" s="203" t="s">
        <v>257</v>
      </c>
      <c r="Q812" s="210" t="s">
        <v>257</v>
      </c>
      <c r="R812" s="243" t="s">
        <v>257</v>
      </c>
      <c r="S812" s="247"/>
    </row>
    <row r="813" spans="1:19" x14ac:dyDescent="0.2">
      <c r="A813" s="242"/>
      <c r="B813" s="243"/>
      <c r="C813" s="243"/>
      <c r="D813" s="243"/>
      <c r="E813" s="243"/>
      <c r="F813" s="243"/>
      <c r="G813" s="244"/>
      <c r="H813" s="243"/>
      <c r="I813" s="243"/>
      <c r="J813" s="243"/>
      <c r="K813" s="243"/>
      <c r="L813" s="243"/>
      <c r="M813" s="244"/>
      <c r="N813" s="245" t="s">
        <v>257</v>
      </c>
      <c r="O813" s="246"/>
      <c r="P813" s="203" t="s">
        <v>257</v>
      </c>
      <c r="Q813" s="210" t="s">
        <v>257</v>
      </c>
      <c r="R813" s="243" t="s">
        <v>257</v>
      </c>
      <c r="S813" s="247"/>
    </row>
    <row r="814" spans="1:19" x14ac:dyDescent="0.2">
      <c r="A814" s="242"/>
      <c r="B814" s="243"/>
      <c r="C814" s="243"/>
      <c r="D814" s="243"/>
      <c r="E814" s="243"/>
      <c r="F814" s="243"/>
      <c r="G814" s="244"/>
      <c r="H814" s="243"/>
      <c r="I814" s="243"/>
      <c r="J814" s="243"/>
      <c r="K814" s="243"/>
      <c r="L814" s="243"/>
      <c r="M814" s="244"/>
      <c r="N814" s="245" t="s">
        <v>257</v>
      </c>
      <c r="O814" s="246"/>
      <c r="P814" s="203" t="s">
        <v>257</v>
      </c>
      <c r="Q814" s="210" t="s">
        <v>257</v>
      </c>
      <c r="R814" s="243" t="s">
        <v>257</v>
      </c>
      <c r="S814" s="247"/>
    </row>
    <row r="815" spans="1:19" x14ac:dyDescent="0.2">
      <c r="A815" s="242"/>
      <c r="B815" s="243"/>
      <c r="C815" s="243"/>
      <c r="D815" s="243"/>
      <c r="E815" s="243"/>
      <c r="F815" s="243"/>
      <c r="G815" s="244"/>
      <c r="H815" s="243"/>
      <c r="I815" s="243"/>
      <c r="J815" s="243"/>
      <c r="K815" s="243"/>
      <c r="L815" s="243"/>
      <c r="M815" s="244"/>
      <c r="N815" s="245" t="s">
        <v>257</v>
      </c>
      <c r="O815" s="246"/>
      <c r="P815" s="203" t="s">
        <v>257</v>
      </c>
      <c r="Q815" s="210" t="s">
        <v>257</v>
      </c>
      <c r="R815" s="243" t="s">
        <v>257</v>
      </c>
      <c r="S815" s="247"/>
    </row>
    <row r="816" spans="1:19" x14ac:dyDescent="0.2">
      <c r="A816" s="242"/>
      <c r="B816" s="243"/>
      <c r="C816" s="243"/>
      <c r="D816" s="243"/>
      <c r="E816" s="243"/>
      <c r="F816" s="243"/>
      <c r="G816" s="244"/>
      <c r="H816" s="243"/>
      <c r="I816" s="243"/>
      <c r="J816" s="243"/>
      <c r="K816" s="243"/>
      <c r="L816" s="243"/>
      <c r="M816" s="244"/>
      <c r="N816" s="245" t="s">
        <v>257</v>
      </c>
      <c r="O816" s="246"/>
      <c r="P816" s="203" t="s">
        <v>257</v>
      </c>
      <c r="Q816" s="210" t="s">
        <v>257</v>
      </c>
      <c r="R816" s="243" t="s">
        <v>257</v>
      </c>
      <c r="S816" s="247"/>
    </row>
    <row r="817" spans="1:19" x14ac:dyDescent="0.2">
      <c r="A817" s="242"/>
      <c r="B817" s="243"/>
      <c r="C817" s="243"/>
      <c r="D817" s="243"/>
      <c r="E817" s="243"/>
      <c r="F817" s="243"/>
      <c r="G817" s="244"/>
      <c r="H817" s="243"/>
      <c r="I817" s="243"/>
      <c r="J817" s="243"/>
      <c r="K817" s="243"/>
      <c r="L817" s="243"/>
      <c r="M817" s="244"/>
      <c r="N817" s="245" t="s">
        <v>257</v>
      </c>
      <c r="O817" s="246"/>
      <c r="P817" s="203" t="s">
        <v>257</v>
      </c>
      <c r="Q817" s="210" t="s">
        <v>257</v>
      </c>
      <c r="R817" s="243" t="s">
        <v>257</v>
      </c>
      <c r="S817" s="247"/>
    </row>
    <row r="818" spans="1:19" x14ac:dyDescent="0.2">
      <c r="A818" s="242"/>
      <c r="B818" s="243"/>
      <c r="C818" s="243"/>
      <c r="D818" s="243"/>
      <c r="E818" s="243"/>
      <c r="F818" s="243"/>
      <c r="G818" s="244"/>
      <c r="H818" s="243"/>
      <c r="I818" s="243"/>
      <c r="J818" s="243"/>
      <c r="K818" s="243"/>
      <c r="L818" s="243"/>
      <c r="M818" s="244"/>
      <c r="N818" s="245" t="s">
        <v>257</v>
      </c>
      <c r="O818" s="246"/>
      <c r="P818" s="203" t="s">
        <v>257</v>
      </c>
      <c r="Q818" s="210" t="s">
        <v>257</v>
      </c>
      <c r="R818" s="243" t="s">
        <v>257</v>
      </c>
      <c r="S818" s="247"/>
    </row>
    <row r="819" spans="1:19" x14ac:dyDescent="0.2">
      <c r="A819" s="242"/>
      <c r="B819" s="243"/>
      <c r="C819" s="243"/>
      <c r="D819" s="243"/>
      <c r="E819" s="243"/>
      <c r="F819" s="243"/>
      <c r="G819" s="244"/>
      <c r="H819" s="243"/>
      <c r="I819" s="243"/>
      <c r="J819" s="243"/>
      <c r="K819" s="243"/>
      <c r="L819" s="243"/>
      <c r="M819" s="244"/>
      <c r="N819" s="245" t="s">
        <v>257</v>
      </c>
      <c r="O819" s="246"/>
      <c r="P819" s="203" t="s">
        <v>257</v>
      </c>
      <c r="Q819" s="210" t="s">
        <v>257</v>
      </c>
      <c r="R819" s="243" t="s">
        <v>257</v>
      </c>
      <c r="S819" s="247"/>
    </row>
    <row r="820" spans="1:19" x14ac:dyDescent="0.2">
      <c r="A820" s="242"/>
      <c r="B820" s="243"/>
      <c r="C820" s="243"/>
      <c r="D820" s="243"/>
      <c r="E820" s="243"/>
      <c r="F820" s="243"/>
      <c r="G820" s="244"/>
      <c r="H820" s="243"/>
      <c r="I820" s="243"/>
      <c r="J820" s="243"/>
      <c r="K820" s="243"/>
      <c r="L820" s="243"/>
      <c r="M820" s="244"/>
      <c r="N820" s="245" t="s">
        <v>257</v>
      </c>
      <c r="O820" s="246"/>
      <c r="P820" s="203" t="s">
        <v>257</v>
      </c>
      <c r="Q820" s="210" t="s">
        <v>257</v>
      </c>
      <c r="R820" s="243" t="s">
        <v>257</v>
      </c>
      <c r="S820" s="247"/>
    </row>
    <row r="821" spans="1:19" x14ac:dyDescent="0.2">
      <c r="A821" s="242"/>
      <c r="B821" s="243"/>
      <c r="C821" s="243"/>
      <c r="D821" s="243"/>
      <c r="E821" s="243"/>
      <c r="F821" s="243"/>
      <c r="G821" s="244"/>
      <c r="H821" s="243"/>
      <c r="I821" s="243"/>
      <c r="J821" s="243"/>
      <c r="K821" s="243"/>
      <c r="L821" s="243"/>
      <c r="M821" s="244"/>
      <c r="N821" s="245" t="s">
        <v>257</v>
      </c>
      <c r="O821" s="246"/>
      <c r="P821" s="203" t="s">
        <v>257</v>
      </c>
      <c r="Q821" s="210" t="s">
        <v>257</v>
      </c>
      <c r="R821" s="243" t="s">
        <v>257</v>
      </c>
      <c r="S821" s="247"/>
    </row>
    <row r="822" spans="1:19" x14ac:dyDescent="0.2">
      <c r="A822" s="242"/>
      <c r="B822" s="243"/>
      <c r="C822" s="243"/>
      <c r="D822" s="243"/>
      <c r="E822" s="243"/>
      <c r="F822" s="243"/>
      <c r="G822" s="244"/>
      <c r="H822" s="243"/>
      <c r="I822" s="243"/>
      <c r="J822" s="243"/>
      <c r="K822" s="243"/>
      <c r="L822" s="243"/>
      <c r="M822" s="244"/>
      <c r="N822" s="245" t="s">
        <v>257</v>
      </c>
      <c r="O822" s="246"/>
      <c r="P822" s="203" t="s">
        <v>257</v>
      </c>
      <c r="Q822" s="210" t="s">
        <v>257</v>
      </c>
      <c r="R822" s="243" t="s">
        <v>257</v>
      </c>
      <c r="S822" s="247"/>
    </row>
    <row r="823" spans="1:19" x14ac:dyDescent="0.2">
      <c r="A823" s="242"/>
      <c r="B823" s="243"/>
      <c r="C823" s="243"/>
      <c r="D823" s="243"/>
      <c r="E823" s="243"/>
      <c r="F823" s="243"/>
      <c r="G823" s="244"/>
      <c r="H823" s="243"/>
      <c r="I823" s="243"/>
      <c r="J823" s="243"/>
      <c r="K823" s="243"/>
      <c r="L823" s="243"/>
      <c r="M823" s="244"/>
      <c r="N823" s="245" t="s">
        <v>257</v>
      </c>
      <c r="O823" s="246"/>
      <c r="P823" s="203" t="s">
        <v>257</v>
      </c>
      <c r="Q823" s="210" t="s">
        <v>257</v>
      </c>
      <c r="R823" s="243" t="s">
        <v>257</v>
      </c>
      <c r="S823" s="247"/>
    </row>
    <row r="824" spans="1:19" x14ac:dyDescent="0.2">
      <c r="A824" s="242"/>
      <c r="B824" s="243"/>
      <c r="C824" s="243"/>
      <c r="D824" s="243"/>
      <c r="E824" s="243"/>
      <c r="F824" s="243"/>
      <c r="G824" s="244"/>
      <c r="H824" s="243"/>
      <c r="I824" s="243"/>
      <c r="J824" s="243"/>
      <c r="K824" s="243"/>
      <c r="L824" s="243"/>
      <c r="M824" s="244"/>
      <c r="N824" s="245" t="s">
        <v>257</v>
      </c>
      <c r="O824" s="246"/>
      <c r="P824" s="203" t="s">
        <v>257</v>
      </c>
      <c r="Q824" s="210" t="s">
        <v>257</v>
      </c>
      <c r="R824" s="243" t="s">
        <v>257</v>
      </c>
      <c r="S824" s="247"/>
    </row>
    <row r="825" spans="1:19" x14ac:dyDescent="0.2">
      <c r="A825" s="242"/>
      <c r="B825" s="243"/>
      <c r="C825" s="243"/>
      <c r="D825" s="243"/>
      <c r="E825" s="243"/>
      <c r="F825" s="243"/>
      <c r="G825" s="244"/>
      <c r="H825" s="243"/>
      <c r="I825" s="243"/>
      <c r="J825" s="243"/>
      <c r="K825" s="243"/>
      <c r="L825" s="243"/>
      <c r="M825" s="244"/>
      <c r="N825" s="245" t="s">
        <v>257</v>
      </c>
      <c r="O825" s="246"/>
      <c r="P825" s="203" t="s">
        <v>257</v>
      </c>
      <c r="Q825" s="210" t="s">
        <v>257</v>
      </c>
      <c r="R825" s="243" t="s">
        <v>257</v>
      </c>
      <c r="S825" s="247"/>
    </row>
    <row r="826" spans="1:19" x14ac:dyDescent="0.2">
      <c r="A826" s="242"/>
      <c r="B826" s="243"/>
      <c r="C826" s="243"/>
      <c r="D826" s="243"/>
      <c r="E826" s="243"/>
      <c r="F826" s="243"/>
      <c r="G826" s="244"/>
      <c r="H826" s="243"/>
      <c r="I826" s="243"/>
      <c r="J826" s="243"/>
      <c r="K826" s="243"/>
      <c r="L826" s="243"/>
      <c r="M826" s="244"/>
      <c r="N826" s="245" t="s">
        <v>257</v>
      </c>
      <c r="O826" s="246"/>
      <c r="P826" s="203" t="s">
        <v>257</v>
      </c>
      <c r="Q826" s="210" t="s">
        <v>257</v>
      </c>
      <c r="R826" s="243" t="s">
        <v>257</v>
      </c>
      <c r="S826" s="247"/>
    </row>
    <row r="827" spans="1:19" x14ac:dyDescent="0.2">
      <c r="A827" s="242"/>
      <c r="B827" s="243"/>
      <c r="C827" s="243"/>
      <c r="D827" s="243"/>
      <c r="E827" s="243"/>
      <c r="F827" s="243"/>
      <c r="G827" s="244"/>
      <c r="H827" s="243"/>
      <c r="I827" s="243"/>
      <c r="J827" s="243"/>
      <c r="K827" s="243"/>
      <c r="L827" s="243"/>
      <c r="M827" s="244"/>
      <c r="N827" s="245" t="s">
        <v>257</v>
      </c>
      <c r="O827" s="246"/>
      <c r="P827" s="203" t="s">
        <v>257</v>
      </c>
      <c r="Q827" s="210" t="s">
        <v>257</v>
      </c>
      <c r="R827" s="243" t="s">
        <v>257</v>
      </c>
      <c r="S827" s="247"/>
    </row>
    <row r="828" spans="1:19" x14ac:dyDescent="0.2">
      <c r="A828" s="242"/>
      <c r="B828" s="243"/>
      <c r="C828" s="243"/>
      <c r="D828" s="243"/>
      <c r="E828" s="243"/>
      <c r="F828" s="243"/>
      <c r="G828" s="244"/>
      <c r="H828" s="243"/>
      <c r="I828" s="243"/>
      <c r="J828" s="243"/>
      <c r="K828" s="243"/>
      <c r="L828" s="243"/>
      <c r="M828" s="244"/>
      <c r="N828" s="245" t="s">
        <v>257</v>
      </c>
      <c r="O828" s="246"/>
      <c r="P828" s="203" t="s">
        <v>257</v>
      </c>
      <c r="Q828" s="210" t="s">
        <v>257</v>
      </c>
      <c r="R828" s="243" t="s">
        <v>257</v>
      </c>
      <c r="S828" s="247"/>
    </row>
    <row r="829" spans="1:19" x14ac:dyDescent="0.2">
      <c r="A829" s="242"/>
      <c r="B829" s="243"/>
      <c r="C829" s="243"/>
      <c r="D829" s="243"/>
      <c r="E829" s="243"/>
      <c r="F829" s="243"/>
      <c r="G829" s="244"/>
      <c r="H829" s="243"/>
      <c r="I829" s="243"/>
      <c r="J829" s="243"/>
      <c r="K829" s="243"/>
      <c r="L829" s="243"/>
      <c r="M829" s="244"/>
      <c r="N829" s="245" t="s">
        <v>257</v>
      </c>
      <c r="O829" s="246"/>
      <c r="P829" s="203" t="s">
        <v>257</v>
      </c>
      <c r="Q829" s="210" t="s">
        <v>257</v>
      </c>
      <c r="R829" s="243" t="s">
        <v>257</v>
      </c>
      <c r="S829" s="247"/>
    </row>
    <row r="830" spans="1:19" x14ac:dyDescent="0.2">
      <c r="A830" s="242"/>
      <c r="B830" s="243"/>
      <c r="C830" s="243"/>
      <c r="D830" s="243"/>
      <c r="E830" s="243"/>
      <c r="F830" s="243"/>
      <c r="G830" s="244"/>
      <c r="H830" s="243"/>
      <c r="I830" s="243"/>
      <c r="J830" s="243"/>
      <c r="K830" s="243"/>
      <c r="L830" s="243"/>
      <c r="M830" s="244"/>
      <c r="N830" s="245" t="s">
        <v>257</v>
      </c>
      <c r="O830" s="246"/>
      <c r="P830" s="203" t="s">
        <v>257</v>
      </c>
      <c r="Q830" s="210" t="s">
        <v>257</v>
      </c>
      <c r="R830" s="243" t="s">
        <v>257</v>
      </c>
      <c r="S830" s="247"/>
    </row>
    <row r="831" spans="1:19" x14ac:dyDescent="0.2">
      <c r="A831" s="242"/>
      <c r="B831" s="243"/>
      <c r="C831" s="243"/>
      <c r="D831" s="243"/>
      <c r="E831" s="243"/>
      <c r="F831" s="243"/>
      <c r="G831" s="244"/>
      <c r="H831" s="243"/>
      <c r="I831" s="243"/>
      <c r="J831" s="243"/>
      <c r="K831" s="243"/>
      <c r="L831" s="243"/>
      <c r="M831" s="244"/>
      <c r="N831" s="245" t="s">
        <v>257</v>
      </c>
      <c r="O831" s="246"/>
      <c r="P831" s="203" t="s">
        <v>257</v>
      </c>
      <c r="Q831" s="210" t="s">
        <v>257</v>
      </c>
      <c r="R831" s="243" t="s">
        <v>257</v>
      </c>
      <c r="S831" s="247"/>
    </row>
    <row r="832" spans="1:19" x14ac:dyDescent="0.2">
      <c r="A832" s="242"/>
      <c r="B832" s="243"/>
      <c r="C832" s="243"/>
      <c r="D832" s="243"/>
      <c r="E832" s="243"/>
      <c r="F832" s="243"/>
      <c r="G832" s="244"/>
      <c r="H832" s="243"/>
      <c r="I832" s="243"/>
      <c r="J832" s="243"/>
      <c r="K832" s="243"/>
      <c r="L832" s="243"/>
      <c r="M832" s="244"/>
      <c r="N832" s="245" t="s">
        <v>257</v>
      </c>
      <c r="O832" s="246"/>
      <c r="P832" s="203" t="s">
        <v>257</v>
      </c>
      <c r="Q832" s="210" t="s">
        <v>257</v>
      </c>
      <c r="R832" s="243" t="s">
        <v>257</v>
      </c>
      <c r="S832" s="247"/>
    </row>
    <row r="833" spans="1:19" x14ac:dyDescent="0.2">
      <c r="A833" s="242"/>
      <c r="B833" s="243"/>
      <c r="C833" s="243"/>
      <c r="D833" s="243"/>
      <c r="E833" s="243"/>
      <c r="F833" s="243"/>
      <c r="G833" s="244"/>
      <c r="H833" s="243"/>
      <c r="I833" s="243"/>
      <c r="J833" s="243"/>
      <c r="K833" s="243"/>
      <c r="L833" s="243"/>
      <c r="M833" s="244"/>
      <c r="N833" s="245" t="s">
        <v>257</v>
      </c>
      <c r="O833" s="246"/>
      <c r="P833" s="203" t="s">
        <v>257</v>
      </c>
      <c r="Q833" s="210" t="s">
        <v>257</v>
      </c>
      <c r="R833" s="243" t="s">
        <v>257</v>
      </c>
      <c r="S833" s="247"/>
    </row>
    <row r="834" spans="1:19" x14ac:dyDescent="0.2">
      <c r="A834" s="242"/>
      <c r="B834" s="243"/>
      <c r="C834" s="243"/>
      <c r="D834" s="243"/>
      <c r="E834" s="243"/>
      <c r="F834" s="243"/>
      <c r="G834" s="244"/>
      <c r="H834" s="243"/>
      <c r="I834" s="243"/>
      <c r="J834" s="243"/>
      <c r="K834" s="243"/>
      <c r="L834" s="243"/>
      <c r="M834" s="244"/>
      <c r="N834" s="245" t="s">
        <v>257</v>
      </c>
      <c r="O834" s="246"/>
      <c r="P834" s="203" t="s">
        <v>257</v>
      </c>
      <c r="Q834" s="210" t="s">
        <v>257</v>
      </c>
      <c r="R834" s="243" t="s">
        <v>257</v>
      </c>
      <c r="S834" s="247"/>
    </row>
    <row r="835" spans="1:19" x14ac:dyDescent="0.2">
      <c r="A835" s="242"/>
      <c r="B835" s="243"/>
      <c r="C835" s="243"/>
      <c r="D835" s="243"/>
      <c r="E835" s="243"/>
      <c r="F835" s="243"/>
      <c r="G835" s="244"/>
      <c r="H835" s="243"/>
      <c r="I835" s="243"/>
      <c r="J835" s="243"/>
      <c r="K835" s="243"/>
      <c r="L835" s="243"/>
      <c r="M835" s="244"/>
      <c r="N835" s="245" t="s">
        <v>257</v>
      </c>
      <c r="O835" s="246"/>
      <c r="P835" s="203" t="s">
        <v>257</v>
      </c>
      <c r="Q835" s="210" t="s">
        <v>257</v>
      </c>
      <c r="R835" s="243" t="s">
        <v>257</v>
      </c>
      <c r="S835" s="247"/>
    </row>
    <row r="836" spans="1:19" x14ac:dyDescent="0.2">
      <c r="A836" s="242"/>
      <c r="B836" s="243"/>
      <c r="C836" s="243"/>
      <c r="D836" s="243"/>
      <c r="E836" s="243"/>
      <c r="F836" s="243"/>
      <c r="G836" s="244"/>
      <c r="H836" s="243"/>
      <c r="I836" s="243"/>
      <c r="J836" s="243"/>
      <c r="K836" s="243"/>
      <c r="L836" s="243"/>
      <c r="M836" s="244"/>
      <c r="N836" s="245" t="s">
        <v>257</v>
      </c>
      <c r="O836" s="246"/>
      <c r="P836" s="203" t="s">
        <v>257</v>
      </c>
      <c r="Q836" s="210" t="s">
        <v>257</v>
      </c>
      <c r="R836" s="243" t="s">
        <v>257</v>
      </c>
      <c r="S836" s="247"/>
    </row>
    <row r="837" spans="1:19" x14ac:dyDescent="0.2">
      <c r="A837" s="242"/>
      <c r="B837" s="243"/>
      <c r="C837" s="243"/>
      <c r="D837" s="243"/>
      <c r="E837" s="243"/>
      <c r="F837" s="243"/>
      <c r="G837" s="244"/>
      <c r="H837" s="243"/>
      <c r="I837" s="243"/>
      <c r="J837" s="243"/>
      <c r="K837" s="243"/>
      <c r="L837" s="243"/>
      <c r="M837" s="244"/>
      <c r="N837" s="245" t="s">
        <v>257</v>
      </c>
      <c r="O837" s="246"/>
      <c r="P837" s="203" t="s">
        <v>257</v>
      </c>
      <c r="Q837" s="210" t="s">
        <v>257</v>
      </c>
      <c r="R837" s="243" t="s">
        <v>257</v>
      </c>
      <c r="S837" s="247"/>
    </row>
    <row r="838" spans="1:19" x14ac:dyDescent="0.2">
      <c r="A838" s="242"/>
      <c r="B838" s="243"/>
      <c r="C838" s="243"/>
      <c r="D838" s="243"/>
      <c r="E838" s="243"/>
      <c r="F838" s="243"/>
      <c r="G838" s="244"/>
      <c r="H838" s="243"/>
      <c r="I838" s="243"/>
      <c r="J838" s="243"/>
      <c r="K838" s="243"/>
      <c r="L838" s="243"/>
      <c r="M838" s="244"/>
      <c r="N838" s="245" t="s">
        <v>257</v>
      </c>
      <c r="O838" s="246"/>
      <c r="P838" s="203" t="s">
        <v>257</v>
      </c>
      <c r="Q838" s="210" t="s">
        <v>257</v>
      </c>
      <c r="R838" s="243" t="s">
        <v>257</v>
      </c>
      <c r="S838" s="247"/>
    </row>
    <row r="839" spans="1:19" x14ac:dyDescent="0.2">
      <c r="A839" s="242"/>
      <c r="B839" s="243"/>
      <c r="C839" s="243"/>
      <c r="D839" s="243"/>
      <c r="E839" s="243"/>
      <c r="F839" s="243"/>
      <c r="G839" s="244"/>
      <c r="H839" s="243"/>
      <c r="I839" s="243"/>
      <c r="J839" s="243"/>
      <c r="K839" s="243"/>
      <c r="L839" s="243"/>
      <c r="M839" s="244"/>
      <c r="N839" s="245" t="s">
        <v>257</v>
      </c>
      <c r="O839" s="246"/>
      <c r="P839" s="203" t="s">
        <v>257</v>
      </c>
      <c r="Q839" s="210" t="s">
        <v>257</v>
      </c>
      <c r="R839" s="243" t="s">
        <v>257</v>
      </c>
      <c r="S839" s="247"/>
    </row>
    <row r="840" spans="1:19" x14ac:dyDescent="0.2">
      <c r="A840" s="242"/>
      <c r="B840" s="243"/>
      <c r="C840" s="243"/>
      <c r="D840" s="243"/>
      <c r="E840" s="243"/>
      <c r="F840" s="243"/>
      <c r="G840" s="244"/>
      <c r="H840" s="243"/>
      <c r="I840" s="243"/>
      <c r="J840" s="243"/>
      <c r="K840" s="243"/>
      <c r="L840" s="243"/>
      <c r="M840" s="244"/>
      <c r="N840" s="245" t="s">
        <v>257</v>
      </c>
      <c r="O840" s="246"/>
      <c r="P840" s="203" t="s">
        <v>257</v>
      </c>
      <c r="Q840" s="210" t="s">
        <v>257</v>
      </c>
      <c r="R840" s="243" t="s">
        <v>257</v>
      </c>
      <c r="S840" s="247"/>
    </row>
    <row r="841" spans="1:19" x14ac:dyDescent="0.2">
      <c r="A841" s="242"/>
      <c r="B841" s="243"/>
      <c r="C841" s="243"/>
      <c r="D841" s="243"/>
      <c r="E841" s="243"/>
      <c r="F841" s="243"/>
      <c r="G841" s="244"/>
      <c r="H841" s="243"/>
      <c r="I841" s="243"/>
      <c r="J841" s="243"/>
      <c r="K841" s="243"/>
      <c r="L841" s="243"/>
      <c r="M841" s="244"/>
      <c r="N841" s="245" t="s">
        <v>257</v>
      </c>
      <c r="O841" s="246"/>
      <c r="P841" s="203" t="s">
        <v>257</v>
      </c>
      <c r="Q841" s="210" t="s">
        <v>257</v>
      </c>
      <c r="R841" s="243" t="s">
        <v>257</v>
      </c>
      <c r="S841" s="247"/>
    </row>
    <row r="842" spans="1:19" x14ac:dyDescent="0.2">
      <c r="A842" s="242"/>
      <c r="B842" s="243"/>
      <c r="C842" s="243"/>
      <c r="D842" s="243"/>
      <c r="E842" s="243"/>
      <c r="F842" s="243"/>
      <c r="G842" s="244"/>
      <c r="H842" s="243"/>
      <c r="I842" s="243"/>
      <c r="J842" s="243"/>
      <c r="K842" s="243"/>
      <c r="L842" s="243"/>
      <c r="M842" s="244"/>
      <c r="N842" s="245" t="s">
        <v>257</v>
      </c>
      <c r="O842" s="246"/>
      <c r="P842" s="203" t="s">
        <v>257</v>
      </c>
      <c r="Q842" s="210" t="s">
        <v>257</v>
      </c>
      <c r="R842" s="243" t="s">
        <v>257</v>
      </c>
      <c r="S842" s="247"/>
    </row>
    <row r="843" spans="1:19" x14ac:dyDescent="0.2">
      <c r="A843" s="242"/>
      <c r="B843" s="243"/>
      <c r="C843" s="243"/>
      <c r="D843" s="243"/>
      <c r="E843" s="243"/>
      <c r="F843" s="243"/>
      <c r="G843" s="244"/>
      <c r="H843" s="243"/>
      <c r="I843" s="243"/>
      <c r="J843" s="243"/>
      <c r="K843" s="243"/>
      <c r="L843" s="243"/>
      <c r="M843" s="244"/>
      <c r="N843" s="245" t="s">
        <v>257</v>
      </c>
      <c r="O843" s="246"/>
      <c r="P843" s="203" t="s">
        <v>257</v>
      </c>
      <c r="Q843" s="210" t="s">
        <v>257</v>
      </c>
      <c r="R843" s="243" t="s">
        <v>257</v>
      </c>
      <c r="S843" s="247"/>
    </row>
    <row r="844" spans="1:19" x14ac:dyDescent="0.2">
      <c r="A844" s="242"/>
      <c r="B844" s="243"/>
      <c r="C844" s="243"/>
      <c r="D844" s="243"/>
      <c r="E844" s="243"/>
      <c r="F844" s="243"/>
      <c r="G844" s="244"/>
      <c r="H844" s="243"/>
      <c r="I844" s="243"/>
      <c r="J844" s="243"/>
      <c r="K844" s="243"/>
      <c r="L844" s="243"/>
      <c r="M844" s="244"/>
      <c r="N844" s="245" t="s">
        <v>257</v>
      </c>
      <c r="O844" s="246"/>
      <c r="P844" s="203" t="s">
        <v>257</v>
      </c>
      <c r="Q844" s="210" t="s">
        <v>257</v>
      </c>
      <c r="R844" s="243" t="s">
        <v>257</v>
      </c>
      <c r="S844" s="247"/>
    </row>
    <row r="845" spans="1:19" x14ac:dyDescent="0.2">
      <c r="A845" s="242"/>
      <c r="B845" s="243"/>
      <c r="C845" s="243"/>
      <c r="D845" s="243"/>
      <c r="E845" s="243"/>
      <c r="F845" s="243"/>
      <c r="G845" s="244"/>
      <c r="H845" s="243"/>
      <c r="I845" s="243"/>
      <c r="J845" s="243"/>
      <c r="K845" s="243"/>
      <c r="L845" s="243"/>
      <c r="M845" s="244"/>
      <c r="N845" s="245" t="s">
        <v>257</v>
      </c>
      <c r="O845" s="246"/>
      <c r="P845" s="203" t="s">
        <v>257</v>
      </c>
      <c r="Q845" s="210" t="s">
        <v>257</v>
      </c>
      <c r="R845" s="243" t="s">
        <v>257</v>
      </c>
      <c r="S845" s="247"/>
    </row>
    <row r="846" spans="1:19" x14ac:dyDescent="0.2">
      <c r="A846" s="242"/>
      <c r="B846" s="243"/>
      <c r="C846" s="243"/>
      <c r="D846" s="243"/>
      <c r="E846" s="243"/>
      <c r="F846" s="243"/>
      <c r="G846" s="244"/>
      <c r="H846" s="243"/>
      <c r="I846" s="243"/>
      <c r="J846" s="243"/>
      <c r="K846" s="243"/>
      <c r="L846" s="243"/>
      <c r="M846" s="244"/>
      <c r="N846" s="245" t="s">
        <v>257</v>
      </c>
      <c r="O846" s="246"/>
      <c r="P846" s="203" t="s">
        <v>257</v>
      </c>
      <c r="Q846" s="210" t="s">
        <v>257</v>
      </c>
      <c r="R846" s="243" t="s">
        <v>257</v>
      </c>
      <c r="S846" s="247"/>
    </row>
    <row r="847" spans="1:19" x14ac:dyDescent="0.2">
      <c r="A847" s="242"/>
      <c r="B847" s="243"/>
      <c r="C847" s="243"/>
      <c r="D847" s="243"/>
      <c r="E847" s="243"/>
      <c r="F847" s="243"/>
      <c r="G847" s="244"/>
      <c r="H847" s="243"/>
      <c r="I847" s="243"/>
      <c r="J847" s="243"/>
      <c r="K847" s="243"/>
      <c r="L847" s="243"/>
      <c r="M847" s="244"/>
      <c r="N847" s="245" t="s">
        <v>257</v>
      </c>
      <c r="O847" s="246"/>
      <c r="P847" s="203" t="s">
        <v>257</v>
      </c>
      <c r="Q847" s="210" t="s">
        <v>257</v>
      </c>
      <c r="R847" s="243" t="s">
        <v>257</v>
      </c>
      <c r="S847" s="247"/>
    </row>
    <row r="848" spans="1:19" x14ac:dyDescent="0.2">
      <c r="A848" s="242"/>
      <c r="B848" s="243"/>
      <c r="C848" s="243"/>
      <c r="D848" s="243"/>
      <c r="E848" s="243"/>
      <c r="F848" s="243"/>
      <c r="G848" s="244"/>
      <c r="H848" s="243"/>
      <c r="I848" s="243"/>
      <c r="J848" s="243"/>
      <c r="K848" s="243"/>
      <c r="L848" s="243"/>
      <c r="M848" s="244"/>
      <c r="N848" s="245" t="s">
        <v>257</v>
      </c>
      <c r="O848" s="246"/>
      <c r="P848" s="203" t="s">
        <v>257</v>
      </c>
      <c r="Q848" s="210" t="s">
        <v>257</v>
      </c>
      <c r="R848" s="243" t="s">
        <v>257</v>
      </c>
      <c r="S848" s="247"/>
    </row>
    <row r="849" spans="1:19" x14ac:dyDescent="0.2">
      <c r="A849" s="242"/>
      <c r="B849" s="243"/>
      <c r="C849" s="243"/>
      <c r="D849" s="243"/>
      <c r="E849" s="243"/>
      <c r="F849" s="243"/>
      <c r="G849" s="244"/>
      <c r="H849" s="243"/>
      <c r="I849" s="243"/>
      <c r="J849" s="243"/>
      <c r="K849" s="243"/>
      <c r="L849" s="243"/>
      <c r="M849" s="244"/>
      <c r="N849" s="245" t="s">
        <v>257</v>
      </c>
      <c r="O849" s="246"/>
      <c r="P849" s="203" t="s">
        <v>257</v>
      </c>
      <c r="Q849" s="210" t="s">
        <v>257</v>
      </c>
      <c r="R849" s="243" t="s">
        <v>257</v>
      </c>
      <c r="S849" s="247"/>
    </row>
    <row r="850" spans="1:19" x14ac:dyDescent="0.2">
      <c r="A850" s="242"/>
      <c r="B850" s="243"/>
      <c r="C850" s="243"/>
      <c r="D850" s="243"/>
      <c r="E850" s="243"/>
      <c r="F850" s="243"/>
      <c r="G850" s="244"/>
      <c r="H850" s="243"/>
      <c r="I850" s="243"/>
      <c r="J850" s="243"/>
      <c r="K850" s="243"/>
      <c r="L850" s="243"/>
      <c r="M850" s="244"/>
      <c r="N850" s="245" t="s">
        <v>257</v>
      </c>
      <c r="O850" s="246"/>
      <c r="P850" s="203" t="s">
        <v>257</v>
      </c>
      <c r="Q850" s="210" t="s">
        <v>257</v>
      </c>
      <c r="R850" s="243" t="s">
        <v>257</v>
      </c>
      <c r="S850" s="247"/>
    </row>
    <row r="851" spans="1:19" x14ac:dyDescent="0.2">
      <c r="A851" s="242"/>
      <c r="B851" s="243"/>
      <c r="C851" s="243"/>
      <c r="D851" s="243"/>
      <c r="E851" s="243"/>
      <c r="F851" s="243"/>
      <c r="G851" s="244"/>
      <c r="H851" s="243"/>
      <c r="I851" s="243"/>
      <c r="J851" s="243"/>
      <c r="K851" s="243"/>
      <c r="L851" s="243"/>
      <c r="M851" s="244"/>
      <c r="N851" s="245" t="s">
        <v>257</v>
      </c>
      <c r="O851" s="246"/>
      <c r="P851" s="203" t="s">
        <v>257</v>
      </c>
      <c r="Q851" s="210" t="s">
        <v>257</v>
      </c>
      <c r="R851" s="243" t="s">
        <v>257</v>
      </c>
      <c r="S851" s="247"/>
    </row>
    <row r="852" spans="1:19" x14ac:dyDescent="0.2">
      <c r="A852" s="242"/>
      <c r="B852" s="243"/>
      <c r="C852" s="243"/>
      <c r="D852" s="243"/>
      <c r="E852" s="243"/>
      <c r="F852" s="243"/>
      <c r="G852" s="244"/>
      <c r="H852" s="243"/>
      <c r="I852" s="243"/>
      <c r="J852" s="243"/>
      <c r="K852" s="243"/>
      <c r="L852" s="243"/>
      <c r="M852" s="244"/>
      <c r="N852" s="245" t="s">
        <v>257</v>
      </c>
      <c r="O852" s="246"/>
      <c r="P852" s="203" t="s">
        <v>257</v>
      </c>
      <c r="Q852" s="210" t="s">
        <v>257</v>
      </c>
      <c r="R852" s="243" t="s">
        <v>257</v>
      </c>
      <c r="S852" s="247"/>
    </row>
    <row r="853" spans="1:19" x14ac:dyDescent="0.2">
      <c r="A853" s="242"/>
      <c r="B853" s="243"/>
      <c r="C853" s="243"/>
      <c r="D853" s="243"/>
      <c r="E853" s="243"/>
      <c r="F853" s="243"/>
      <c r="G853" s="244"/>
      <c r="H853" s="243"/>
      <c r="I853" s="243"/>
      <c r="J853" s="243"/>
      <c r="K853" s="243"/>
      <c r="L853" s="243"/>
      <c r="M853" s="244"/>
      <c r="N853" s="245" t="s">
        <v>257</v>
      </c>
      <c r="O853" s="246"/>
      <c r="P853" s="203" t="s">
        <v>257</v>
      </c>
      <c r="Q853" s="210" t="s">
        <v>257</v>
      </c>
      <c r="R853" s="243" t="s">
        <v>257</v>
      </c>
      <c r="S853" s="247"/>
    </row>
    <row r="854" spans="1:19" x14ac:dyDescent="0.2">
      <c r="A854" s="242"/>
      <c r="B854" s="243"/>
      <c r="C854" s="243"/>
      <c r="D854" s="243"/>
      <c r="E854" s="243"/>
      <c r="F854" s="243"/>
      <c r="G854" s="244"/>
      <c r="H854" s="243"/>
      <c r="I854" s="243"/>
      <c r="J854" s="243"/>
      <c r="K854" s="243"/>
      <c r="L854" s="243"/>
      <c r="M854" s="244"/>
      <c r="N854" s="245" t="s">
        <v>257</v>
      </c>
      <c r="O854" s="246"/>
      <c r="P854" s="203" t="s">
        <v>257</v>
      </c>
      <c r="Q854" s="210" t="s">
        <v>257</v>
      </c>
      <c r="R854" s="243" t="s">
        <v>257</v>
      </c>
      <c r="S854" s="247"/>
    </row>
    <row r="855" spans="1:19" x14ac:dyDescent="0.2">
      <c r="A855" s="242"/>
      <c r="B855" s="243"/>
      <c r="C855" s="243"/>
      <c r="D855" s="243"/>
      <c r="E855" s="243"/>
      <c r="F855" s="243"/>
      <c r="G855" s="244"/>
      <c r="H855" s="243"/>
      <c r="I855" s="243"/>
      <c r="J855" s="243"/>
      <c r="K855" s="243"/>
      <c r="L855" s="243"/>
      <c r="M855" s="244"/>
      <c r="N855" s="245" t="s">
        <v>257</v>
      </c>
      <c r="O855" s="246"/>
      <c r="P855" s="203" t="s">
        <v>257</v>
      </c>
      <c r="Q855" s="210" t="s">
        <v>257</v>
      </c>
      <c r="R855" s="243" t="s">
        <v>257</v>
      </c>
      <c r="S855" s="247"/>
    </row>
    <row r="856" spans="1:19" x14ac:dyDescent="0.2">
      <c r="A856" s="242"/>
      <c r="B856" s="243"/>
      <c r="C856" s="243"/>
      <c r="D856" s="243"/>
      <c r="E856" s="243"/>
      <c r="F856" s="243"/>
      <c r="G856" s="244"/>
      <c r="H856" s="243"/>
      <c r="I856" s="243"/>
      <c r="J856" s="243"/>
      <c r="K856" s="243"/>
      <c r="L856" s="243"/>
      <c r="M856" s="244"/>
      <c r="N856" s="245" t="s">
        <v>257</v>
      </c>
      <c r="O856" s="246"/>
      <c r="P856" s="203" t="s">
        <v>257</v>
      </c>
      <c r="Q856" s="210" t="s">
        <v>257</v>
      </c>
      <c r="R856" s="243" t="s">
        <v>257</v>
      </c>
      <c r="S856" s="247"/>
    </row>
    <row r="857" spans="1:19" x14ac:dyDescent="0.2">
      <c r="A857" s="242"/>
      <c r="B857" s="243"/>
      <c r="C857" s="243"/>
      <c r="D857" s="243"/>
      <c r="E857" s="243"/>
      <c r="F857" s="243"/>
      <c r="G857" s="244"/>
      <c r="H857" s="243"/>
      <c r="I857" s="243"/>
      <c r="J857" s="243"/>
      <c r="K857" s="243"/>
      <c r="L857" s="243"/>
      <c r="M857" s="244"/>
      <c r="N857" s="245" t="s">
        <v>257</v>
      </c>
      <c r="O857" s="246"/>
      <c r="P857" s="203" t="s">
        <v>257</v>
      </c>
      <c r="Q857" s="210" t="s">
        <v>257</v>
      </c>
      <c r="R857" s="243" t="s">
        <v>257</v>
      </c>
      <c r="S857" s="247"/>
    </row>
    <row r="858" spans="1:19" x14ac:dyDescent="0.2">
      <c r="A858" s="242"/>
      <c r="B858" s="243"/>
      <c r="C858" s="243"/>
      <c r="D858" s="243"/>
      <c r="E858" s="243"/>
      <c r="F858" s="243"/>
      <c r="G858" s="244"/>
      <c r="H858" s="243"/>
      <c r="I858" s="243"/>
      <c r="J858" s="243"/>
      <c r="K858" s="243"/>
      <c r="L858" s="243"/>
      <c r="M858" s="244"/>
      <c r="N858" s="245" t="s">
        <v>257</v>
      </c>
      <c r="O858" s="246"/>
      <c r="P858" s="203" t="s">
        <v>257</v>
      </c>
      <c r="Q858" s="210" t="s">
        <v>257</v>
      </c>
      <c r="R858" s="243" t="s">
        <v>257</v>
      </c>
      <c r="S858" s="247"/>
    </row>
    <row r="859" spans="1:19" x14ac:dyDescent="0.2">
      <c r="A859" s="242"/>
      <c r="B859" s="243"/>
      <c r="C859" s="243"/>
      <c r="D859" s="243"/>
      <c r="E859" s="243"/>
      <c r="F859" s="243"/>
      <c r="G859" s="244"/>
      <c r="H859" s="243"/>
      <c r="I859" s="243"/>
      <c r="J859" s="243"/>
      <c r="K859" s="243"/>
      <c r="L859" s="243"/>
      <c r="M859" s="244"/>
      <c r="N859" s="245" t="s">
        <v>257</v>
      </c>
      <c r="O859" s="246"/>
      <c r="P859" s="203" t="s">
        <v>257</v>
      </c>
      <c r="Q859" s="210" t="s">
        <v>257</v>
      </c>
      <c r="R859" s="243" t="s">
        <v>257</v>
      </c>
      <c r="S859" s="247"/>
    </row>
    <row r="860" spans="1:19" x14ac:dyDescent="0.2">
      <c r="A860" s="242"/>
      <c r="B860" s="243"/>
      <c r="C860" s="243"/>
      <c r="D860" s="243"/>
      <c r="E860" s="243"/>
      <c r="F860" s="243"/>
      <c r="G860" s="244"/>
      <c r="H860" s="243"/>
      <c r="I860" s="243"/>
      <c r="J860" s="243"/>
      <c r="K860" s="243"/>
      <c r="L860" s="243"/>
      <c r="M860" s="244"/>
      <c r="N860" s="245" t="s">
        <v>257</v>
      </c>
      <c r="O860" s="246"/>
      <c r="P860" s="203" t="s">
        <v>257</v>
      </c>
      <c r="Q860" s="210" t="s">
        <v>257</v>
      </c>
      <c r="R860" s="243" t="s">
        <v>257</v>
      </c>
      <c r="S860" s="247"/>
    </row>
    <row r="861" spans="1:19" x14ac:dyDescent="0.2">
      <c r="A861" s="242"/>
      <c r="B861" s="243"/>
      <c r="C861" s="243"/>
      <c r="D861" s="243"/>
      <c r="E861" s="243"/>
      <c r="F861" s="243"/>
      <c r="G861" s="244"/>
      <c r="H861" s="243"/>
      <c r="I861" s="243"/>
      <c r="J861" s="243"/>
      <c r="K861" s="243"/>
      <c r="L861" s="243"/>
      <c r="M861" s="244"/>
      <c r="N861" s="245" t="s">
        <v>257</v>
      </c>
      <c r="O861" s="246"/>
      <c r="P861" s="203" t="s">
        <v>257</v>
      </c>
      <c r="Q861" s="210" t="s">
        <v>257</v>
      </c>
      <c r="R861" s="243" t="s">
        <v>257</v>
      </c>
      <c r="S861" s="247"/>
    </row>
    <row r="862" spans="1:19" x14ac:dyDescent="0.2">
      <c r="A862" s="242"/>
      <c r="B862" s="243"/>
      <c r="C862" s="243"/>
      <c r="D862" s="243"/>
      <c r="E862" s="243"/>
      <c r="F862" s="243"/>
      <c r="G862" s="244"/>
      <c r="H862" s="243"/>
      <c r="I862" s="243"/>
      <c r="J862" s="243"/>
      <c r="K862" s="243"/>
      <c r="L862" s="243"/>
      <c r="M862" s="244"/>
      <c r="N862" s="245" t="s">
        <v>257</v>
      </c>
      <c r="O862" s="246"/>
      <c r="P862" s="203" t="s">
        <v>257</v>
      </c>
      <c r="Q862" s="210" t="s">
        <v>257</v>
      </c>
      <c r="R862" s="243" t="s">
        <v>257</v>
      </c>
      <c r="S862" s="247"/>
    </row>
    <row r="863" spans="1:19" x14ac:dyDescent="0.2">
      <c r="A863" s="242"/>
      <c r="B863" s="243"/>
      <c r="C863" s="243"/>
      <c r="D863" s="243"/>
      <c r="E863" s="243"/>
      <c r="F863" s="243"/>
      <c r="G863" s="244"/>
      <c r="H863" s="243"/>
      <c r="I863" s="243"/>
      <c r="J863" s="243"/>
      <c r="K863" s="243"/>
      <c r="L863" s="243"/>
      <c r="M863" s="244"/>
      <c r="N863" s="245" t="s">
        <v>257</v>
      </c>
      <c r="O863" s="246"/>
      <c r="P863" s="203" t="s">
        <v>257</v>
      </c>
      <c r="Q863" s="210" t="s">
        <v>257</v>
      </c>
      <c r="R863" s="243" t="s">
        <v>257</v>
      </c>
      <c r="S863" s="247"/>
    </row>
    <row r="864" spans="1:19" x14ac:dyDescent="0.2">
      <c r="A864" s="242"/>
      <c r="B864" s="243"/>
      <c r="C864" s="243"/>
      <c r="D864" s="243"/>
      <c r="E864" s="243"/>
      <c r="F864" s="243"/>
      <c r="G864" s="244"/>
      <c r="H864" s="243"/>
      <c r="I864" s="243"/>
      <c r="J864" s="243"/>
      <c r="K864" s="243"/>
      <c r="L864" s="243"/>
      <c r="M864" s="244"/>
      <c r="N864" s="245" t="s">
        <v>257</v>
      </c>
      <c r="O864" s="246"/>
      <c r="P864" s="203" t="s">
        <v>257</v>
      </c>
      <c r="Q864" s="210" t="s">
        <v>257</v>
      </c>
      <c r="R864" s="243" t="s">
        <v>257</v>
      </c>
      <c r="S864" s="247"/>
    </row>
    <row r="865" spans="1:19" x14ac:dyDescent="0.2">
      <c r="A865" s="242"/>
      <c r="B865" s="243"/>
      <c r="C865" s="243"/>
      <c r="D865" s="243"/>
      <c r="E865" s="243"/>
      <c r="F865" s="243"/>
      <c r="G865" s="244"/>
      <c r="H865" s="243"/>
      <c r="I865" s="243"/>
      <c r="J865" s="243"/>
      <c r="K865" s="243"/>
      <c r="L865" s="243"/>
      <c r="M865" s="244"/>
      <c r="N865" s="245" t="s">
        <v>257</v>
      </c>
      <c r="O865" s="246"/>
      <c r="P865" s="203" t="s">
        <v>257</v>
      </c>
      <c r="Q865" s="210" t="s">
        <v>257</v>
      </c>
      <c r="R865" s="243" t="s">
        <v>257</v>
      </c>
      <c r="S865" s="247"/>
    </row>
    <row r="866" spans="1:19" x14ac:dyDescent="0.2">
      <c r="A866" s="242"/>
      <c r="B866" s="243"/>
      <c r="C866" s="243"/>
      <c r="D866" s="243"/>
      <c r="E866" s="243"/>
      <c r="F866" s="243"/>
      <c r="G866" s="244"/>
      <c r="H866" s="243"/>
      <c r="I866" s="243"/>
      <c r="J866" s="243"/>
      <c r="K866" s="243"/>
      <c r="L866" s="243"/>
      <c r="M866" s="244"/>
      <c r="N866" s="245" t="s">
        <v>257</v>
      </c>
      <c r="O866" s="246"/>
      <c r="P866" s="203" t="s">
        <v>257</v>
      </c>
      <c r="Q866" s="210" t="s">
        <v>257</v>
      </c>
      <c r="R866" s="243" t="s">
        <v>257</v>
      </c>
      <c r="S866" s="247"/>
    </row>
    <row r="867" spans="1:19" x14ac:dyDescent="0.2">
      <c r="A867" s="242"/>
      <c r="B867" s="243"/>
      <c r="C867" s="243"/>
      <c r="D867" s="243"/>
      <c r="E867" s="243"/>
      <c r="F867" s="243"/>
      <c r="G867" s="244"/>
      <c r="H867" s="243"/>
      <c r="I867" s="243"/>
      <c r="J867" s="243"/>
      <c r="K867" s="243"/>
      <c r="L867" s="243"/>
      <c r="M867" s="244"/>
      <c r="N867" s="245" t="s">
        <v>257</v>
      </c>
      <c r="O867" s="246"/>
      <c r="P867" s="203" t="s">
        <v>257</v>
      </c>
      <c r="Q867" s="210" t="s">
        <v>257</v>
      </c>
      <c r="R867" s="243" t="s">
        <v>257</v>
      </c>
      <c r="S867" s="247"/>
    </row>
    <row r="868" spans="1:19" x14ac:dyDescent="0.2">
      <c r="A868" s="242"/>
      <c r="B868" s="243"/>
      <c r="C868" s="243"/>
      <c r="D868" s="243"/>
      <c r="E868" s="243"/>
      <c r="F868" s="243"/>
      <c r="G868" s="244"/>
      <c r="H868" s="243"/>
      <c r="I868" s="243"/>
      <c r="J868" s="243"/>
      <c r="K868" s="243"/>
      <c r="L868" s="243"/>
      <c r="M868" s="244"/>
      <c r="N868" s="245" t="s">
        <v>257</v>
      </c>
      <c r="O868" s="246"/>
      <c r="P868" s="203" t="s">
        <v>257</v>
      </c>
      <c r="Q868" s="210" t="s">
        <v>257</v>
      </c>
      <c r="R868" s="243" t="s">
        <v>257</v>
      </c>
      <c r="S868" s="247"/>
    </row>
    <row r="869" spans="1:19" x14ac:dyDescent="0.2">
      <c r="A869" s="242"/>
      <c r="B869" s="243"/>
      <c r="C869" s="243"/>
      <c r="D869" s="243"/>
      <c r="E869" s="243"/>
      <c r="F869" s="243"/>
      <c r="G869" s="244"/>
      <c r="H869" s="243"/>
      <c r="I869" s="243"/>
      <c r="J869" s="243"/>
      <c r="K869" s="243"/>
      <c r="L869" s="243"/>
      <c r="M869" s="244"/>
      <c r="N869" s="245" t="s">
        <v>257</v>
      </c>
      <c r="O869" s="246"/>
      <c r="P869" s="203" t="s">
        <v>257</v>
      </c>
      <c r="Q869" s="210" t="s">
        <v>257</v>
      </c>
      <c r="R869" s="243" t="s">
        <v>257</v>
      </c>
      <c r="S869" s="247"/>
    </row>
    <row r="870" spans="1:19" x14ac:dyDescent="0.2">
      <c r="A870" s="242"/>
      <c r="B870" s="243"/>
      <c r="C870" s="243"/>
      <c r="D870" s="243"/>
      <c r="E870" s="243"/>
      <c r="F870" s="243"/>
      <c r="G870" s="244"/>
      <c r="H870" s="243"/>
      <c r="I870" s="243"/>
      <c r="J870" s="243"/>
      <c r="K870" s="243"/>
      <c r="L870" s="243"/>
      <c r="M870" s="244"/>
      <c r="N870" s="245" t="s">
        <v>257</v>
      </c>
      <c r="O870" s="246"/>
      <c r="P870" s="203" t="s">
        <v>257</v>
      </c>
      <c r="Q870" s="210" t="s">
        <v>257</v>
      </c>
      <c r="R870" s="243" t="s">
        <v>257</v>
      </c>
      <c r="S870" s="247"/>
    </row>
    <row r="871" spans="1:19" x14ac:dyDescent="0.2">
      <c r="A871" s="242"/>
      <c r="B871" s="243"/>
      <c r="C871" s="243"/>
      <c r="D871" s="243"/>
      <c r="E871" s="243"/>
      <c r="F871" s="243"/>
      <c r="G871" s="244"/>
      <c r="H871" s="243"/>
      <c r="I871" s="243"/>
      <c r="J871" s="243"/>
      <c r="K871" s="243"/>
      <c r="L871" s="243"/>
      <c r="M871" s="244"/>
      <c r="N871" s="245" t="s">
        <v>257</v>
      </c>
      <c r="O871" s="246"/>
      <c r="P871" s="203" t="s">
        <v>257</v>
      </c>
      <c r="Q871" s="210" t="s">
        <v>257</v>
      </c>
      <c r="R871" s="243" t="s">
        <v>257</v>
      </c>
      <c r="S871" s="247"/>
    </row>
    <row r="872" spans="1:19" x14ac:dyDescent="0.2">
      <c r="A872" s="242"/>
      <c r="B872" s="243"/>
      <c r="C872" s="243"/>
      <c r="D872" s="243"/>
      <c r="E872" s="243"/>
      <c r="F872" s="243"/>
      <c r="G872" s="244"/>
      <c r="H872" s="243"/>
      <c r="I872" s="243"/>
      <c r="J872" s="243"/>
      <c r="K872" s="243"/>
      <c r="L872" s="243"/>
      <c r="M872" s="244"/>
      <c r="N872" s="245" t="s">
        <v>257</v>
      </c>
      <c r="O872" s="246"/>
      <c r="P872" s="203" t="s">
        <v>257</v>
      </c>
      <c r="Q872" s="210" t="s">
        <v>257</v>
      </c>
      <c r="R872" s="243" t="s">
        <v>257</v>
      </c>
      <c r="S872" s="247"/>
    </row>
    <row r="873" spans="1:19" x14ac:dyDescent="0.2">
      <c r="A873" s="242"/>
      <c r="B873" s="243"/>
      <c r="C873" s="243"/>
      <c r="D873" s="243"/>
      <c r="E873" s="243"/>
      <c r="F873" s="243"/>
      <c r="G873" s="244"/>
      <c r="H873" s="243"/>
      <c r="I873" s="243"/>
      <c r="J873" s="243"/>
      <c r="K873" s="243"/>
      <c r="L873" s="243"/>
      <c r="M873" s="244"/>
      <c r="N873" s="245" t="s">
        <v>257</v>
      </c>
      <c r="O873" s="246"/>
      <c r="P873" s="203" t="s">
        <v>257</v>
      </c>
      <c r="Q873" s="210" t="s">
        <v>257</v>
      </c>
      <c r="R873" s="243" t="s">
        <v>257</v>
      </c>
      <c r="S873" s="247"/>
    </row>
    <row r="874" spans="1:19" x14ac:dyDescent="0.2">
      <c r="A874" s="242"/>
      <c r="B874" s="243"/>
      <c r="C874" s="243"/>
      <c r="D874" s="243"/>
      <c r="E874" s="243"/>
      <c r="F874" s="243"/>
      <c r="G874" s="244"/>
      <c r="H874" s="243"/>
      <c r="I874" s="243"/>
      <c r="J874" s="243"/>
      <c r="K874" s="243"/>
      <c r="L874" s="243"/>
      <c r="M874" s="244"/>
      <c r="N874" s="245" t="s">
        <v>257</v>
      </c>
      <c r="O874" s="246"/>
      <c r="P874" s="203" t="s">
        <v>257</v>
      </c>
      <c r="Q874" s="210" t="s">
        <v>257</v>
      </c>
      <c r="R874" s="243" t="s">
        <v>257</v>
      </c>
      <c r="S874" s="247"/>
    </row>
    <row r="875" spans="1:19" x14ac:dyDescent="0.2">
      <c r="A875" s="242"/>
      <c r="B875" s="243"/>
      <c r="C875" s="243"/>
      <c r="D875" s="243"/>
      <c r="E875" s="243"/>
      <c r="F875" s="243"/>
      <c r="G875" s="244"/>
      <c r="H875" s="243"/>
      <c r="I875" s="243"/>
      <c r="J875" s="243"/>
      <c r="K875" s="243"/>
      <c r="L875" s="243"/>
      <c r="M875" s="244"/>
      <c r="N875" s="245" t="s">
        <v>257</v>
      </c>
      <c r="O875" s="246"/>
      <c r="P875" s="203" t="s">
        <v>257</v>
      </c>
      <c r="Q875" s="210" t="s">
        <v>257</v>
      </c>
      <c r="R875" s="243" t="s">
        <v>257</v>
      </c>
      <c r="S875" s="247"/>
    </row>
    <row r="876" spans="1:19" x14ac:dyDescent="0.2">
      <c r="A876" s="242"/>
      <c r="B876" s="243"/>
      <c r="C876" s="243"/>
      <c r="D876" s="243"/>
      <c r="E876" s="243"/>
      <c r="F876" s="243"/>
      <c r="G876" s="244"/>
      <c r="H876" s="243"/>
      <c r="I876" s="243"/>
      <c r="J876" s="243"/>
      <c r="K876" s="243"/>
      <c r="L876" s="243"/>
      <c r="M876" s="244"/>
      <c r="N876" s="245" t="s">
        <v>257</v>
      </c>
      <c r="O876" s="246"/>
      <c r="P876" s="203" t="s">
        <v>257</v>
      </c>
      <c r="Q876" s="210" t="s">
        <v>257</v>
      </c>
      <c r="R876" s="243" t="s">
        <v>257</v>
      </c>
      <c r="S876" s="247"/>
    </row>
    <row r="877" spans="1:19" x14ac:dyDescent="0.2">
      <c r="A877" s="242"/>
      <c r="B877" s="243"/>
      <c r="C877" s="243"/>
      <c r="D877" s="243"/>
      <c r="E877" s="243"/>
      <c r="F877" s="243"/>
      <c r="G877" s="244"/>
      <c r="H877" s="243"/>
      <c r="I877" s="243"/>
      <c r="J877" s="243"/>
      <c r="K877" s="243"/>
      <c r="L877" s="243"/>
      <c r="M877" s="244"/>
      <c r="N877" s="245" t="s">
        <v>257</v>
      </c>
      <c r="O877" s="246"/>
      <c r="P877" s="203" t="s">
        <v>257</v>
      </c>
      <c r="Q877" s="210" t="s">
        <v>257</v>
      </c>
      <c r="R877" s="243" t="s">
        <v>257</v>
      </c>
      <c r="S877" s="247"/>
    </row>
    <row r="878" spans="1:19" x14ac:dyDescent="0.2">
      <c r="A878" s="242"/>
      <c r="B878" s="243"/>
      <c r="C878" s="243"/>
      <c r="D878" s="243"/>
      <c r="E878" s="243"/>
      <c r="F878" s="243"/>
      <c r="G878" s="244"/>
      <c r="H878" s="243"/>
      <c r="I878" s="243"/>
      <c r="J878" s="243"/>
      <c r="K878" s="243"/>
      <c r="L878" s="243"/>
      <c r="M878" s="244"/>
      <c r="N878" s="245" t="s">
        <v>257</v>
      </c>
      <c r="O878" s="246"/>
      <c r="P878" s="203" t="s">
        <v>257</v>
      </c>
      <c r="Q878" s="210" t="s">
        <v>257</v>
      </c>
      <c r="R878" s="243" t="s">
        <v>257</v>
      </c>
      <c r="S878" s="247"/>
    </row>
    <row r="879" spans="1:19" x14ac:dyDescent="0.2">
      <c r="A879" s="242"/>
      <c r="B879" s="243"/>
      <c r="C879" s="243"/>
      <c r="D879" s="243"/>
      <c r="E879" s="243"/>
      <c r="F879" s="243"/>
      <c r="G879" s="244"/>
      <c r="H879" s="243"/>
      <c r="I879" s="243"/>
      <c r="J879" s="243"/>
      <c r="K879" s="243"/>
      <c r="L879" s="243"/>
      <c r="M879" s="244"/>
      <c r="N879" s="245" t="s">
        <v>257</v>
      </c>
      <c r="O879" s="246"/>
      <c r="P879" s="203" t="s">
        <v>257</v>
      </c>
      <c r="Q879" s="210" t="s">
        <v>257</v>
      </c>
      <c r="R879" s="243" t="s">
        <v>257</v>
      </c>
      <c r="S879" s="247"/>
    </row>
    <row r="880" spans="1:19" x14ac:dyDescent="0.2">
      <c r="A880" s="242"/>
      <c r="B880" s="243"/>
      <c r="C880" s="243"/>
      <c r="D880" s="243"/>
      <c r="E880" s="243"/>
      <c r="F880" s="243"/>
      <c r="G880" s="244"/>
      <c r="H880" s="243"/>
      <c r="I880" s="243"/>
      <c r="J880" s="243"/>
      <c r="K880" s="243"/>
      <c r="L880" s="243"/>
      <c r="M880" s="244"/>
      <c r="N880" s="245" t="s">
        <v>257</v>
      </c>
      <c r="O880" s="246"/>
      <c r="P880" s="203" t="s">
        <v>257</v>
      </c>
      <c r="Q880" s="210" t="s">
        <v>257</v>
      </c>
      <c r="R880" s="243" t="s">
        <v>257</v>
      </c>
      <c r="S880" s="247"/>
    </row>
    <row r="881" spans="1:19" x14ac:dyDescent="0.2">
      <c r="A881" s="242"/>
      <c r="B881" s="243"/>
      <c r="C881" s="243"/>
      <c r="D881" s="243"/>
      <c r="E881" s="243"/>
      <c r="F881" s="243"/>
      <c r="G881" s="244"/>
      <c r="H881" s="243"/>
      <c r="I881" s="243"/>
      <c r="J881" s="243"/>
      <c r="K881" s="243"/>
      <c r="L881" s="243"/>
      <c r="M881" s="244"/>
      <c r="N881" s="245" t="s">
        <v>257</v>
      </c>
      <c r="O881" s="246"/>
      <c r="P881" s="203" t="s">
        <v>257</v>
      </c>
      <c r="Q881" s="210" t="s">
        <v>257</v>
      </c>
      <c r="R881" s="243" t="s">
        <v>257</v>
      </c>
      <c r="S881" s="247"/>
    </row>
    <row r="882" spans="1:19" x14ac:dyDescent="0.2">
      <c r="A882" s="242"/>
      <c r="B882" s="243"/>
      <c r="C882" s="243"/>
      <c r="D882" s="243"/>
      <c r="E882" s="243"/>
      <c r="F882" s="243"/>
      <c r="G882" s="244"/>
      <c r="H882" s="243"/>
      <c r="I882" s="243"/>
      <c r="J882" s="243"/>
      <c r="K882" s="243"/>
      <c r="L882" s="243"/>
      <c r="M882" s="244"/>
      <c r="N882" s="245" t="s">
        <v>257</v>
      </c>
      <c r="O882" s="246"/>
      <c r="P882" s="203" t="s">
        <v>257</v>
      </c>
      <c r="Q882" s="210" t="s">
        <v>257</v>
      </c>
      <c r="R882" s="243" t="s">
        <v>257</v>
      </c>
      <c r="S882" s="247"/>
    </row>
    <row r="883" spans="1:19" x14ac:dyDescent="0.2">
      <c r="A883" s="242"/>
      <c r="B883" s="243"/>
      <c r="C883" s="243"/>
      <c r="D883" s="243"/>
      <c r="E883" s="243"/>
      <c r="F883" s="243"/>
      <c r="G883" s="244"/>
      <c r="H883" s="243"/>
      <c r="I883" s="243"/>
      <c r="J883" s="243"/>
      <c r="K883" s="243"/>
      <c r="L883" s="243"/>
      <c r="M883" s="244"/>
      <c r="N883" s="245" t="s">
        <v>257</v>
      </c>
      <c r="O883" s="246"/>
      <c r="P883" s="203" t="s">
        <v>257</v>
      </c>
      <c r="Q883" s="210" t="s">
        <v>257</v>
      </c>
      <c r="R883" s="243" t="s">
        <v>257</v>
      </c>
      <c r="S883" s="247"/>
    </row>
    <row r="884" spans="1:19" x14ac:dyDescent="0.2">
      <c r="A884" s="242"/>
      <c r="B884" s="243"/>
      <c r="C884" s="243"/>
      <c r="D884" s="243"/>
      <c r="E884" s="243"/>
      <c r="F884" s="243"/>
      <c r="G884" s="244"/>
      <c r="H884" s="243"/>
      <c r="I884" s="243"/>
      <c r="J884" s="243"/>
      <c r="K884" s="243"/>
      <c r="L884" s="243"/>
      <c r="M884" s="244"/>
      <c r="N884" s="245" t="s">
        <v>257</v>
      </c>
      <c r="O884" s="246"/>
      <c r="P884" s="203" t="s">
        <v>257</v>
      </c>
      <c r="Q884" s="210" t="s">
        <v>257</v>
      </c>
      <c r="R884" s="243" t="s">
        <v>257</v>
      </c>
      <c r="S884" s="247"/>
    </row>
    <row r="885" spans="1:19" x14ac:dyDescent="0.2">
      <c r="A885" s="242"/>
      <c r="B885" s="243"/>
      <c r="C885" s="243"/>
      <c r="D885" s="243"/>
      <c r="E885" s="243"/>
      <c r="F885" s="243"/>
      <c r="G885" s="244"/>
      <c r="H885" s="243"/>
      <c r="I885" s="243"/>
      <c r="J885" s="243"/>
      <c r="K885" s="243"/>
      <c r="L885" s="243"/>
      <c r="M885" s="244"/>
      <c r="N885" s="245" t="s">
        <v>257</v>
      </c>
      <c r="O885" s="246"/>
      <c r="P885" s="203" t="s">
        <v>257</v>
      </c>
      <c r="Q885" s="210" t="s">
        <v>257</v>
      </c>
      <c r="R885" s="243" t="s">
        <v>257</v>
      </c>
      <c r="S885" s="247"/>
    </row>
    <row r="886" spans="1:19" x14ac:dyDescent="0.2">
      <c r="A886" s="242"/>
      <c r="B886" s="243"/>
      <c r="C886" s="243"/>
      <c r="D886" s="243"/>
      <c r="E886" s="243"/>
      <c r="F886" s="243"/>
      <c r="G886" s="244"/>
      <c r="H886" s="243"/>
      <c r="I886" s="243"/>
      <c r="J886" s="243"/>
      <c r="K886" s="243"/>
      <c r="L886" s="243"/>
      <c r="M886" s="244"/>
      <c r="N886" s="245" t="s">
        <v>257</v>
      </c>
      <c r="O886" s="246"/>
      <c r="P886" s="203" t="s">
        <v>257</v>
      </c>
      <c r="Q886" s="210" t="s">
        <v>257</v>
      </c>
      <c r="R886" s="243" t="s">
        <v>257</v>
      </c>
      <c r="S886" s="247"/>
    </row>
    <row r="887" spans="1:19" x14ac:dyDescent="0.2">
      <c r="A887" s="242"/>
      <c r="B887" s="243"/>
      <c r="C887" s="243"/>
      <c r="D887" s="243"/>
      <c r="E887" s="243"/>
      <c r="F887" s="243"/>
      <c r="G887" s="244"/>
      <c r="H887" s="243"/>
      <c r="I887" s="243"/>
      <c r="J887" s="243"/>
      <c r="K887" s="243"/>
      <c r="L887" s="243"/>
      <c r="M887" s="244"/>
      <c r="N887" s="245" t="s">
        <v>257</v>
      </c>
      <c r="O887" s="246"/>
      <c r="P887" s="203" t="s">
        <v>257</v>
      </c>
      <c r="Q887" s="210" t="s">
        <v>257</v>
      </c>
      <c r="R887" s="243" t="s">
        <v>257</v>
      </c>
      <c r="S887" s="247"/>
    </row>
    <row r="888" spans="1:19" x14ac:dyDescent="0.2">
      <c r="A888" s="242"/>
      <c r="B888" s="243"/>
      <c r="C888" s="243"/>
      <c r="D888" s="243"/>
      <c r="E888" s="243"/>
      <c r="F888" s="243"/>
      <c r="G888" s="244"/>
      <c r="H888" s="243"/>
      <c r="I888" s="243"/>
      <c r="J888" s="243"/>
      <c r="K888" s="243"/>
      <c r="L888" s="243"/>
      <c r="M888" s="244"/>
      <c r="N888" s="245" t="s">
        <v>257</v>
      </c>
      <c r="O888" s="246"/>
      <c r="P888" s="203" t="s">
        <v>257</v>
      </c>
      <c r="Q888" s="210" t="s">
        <v>257</v>
      </c>
      <c r="R888" s="243" t="s">
        <v>257</v>
      </c>
      <c r="S888" s="247"/>
    </row>
    <row r="889" spans="1:19" x14ac:dyDescent="0.2">
      <c r="A889" s="242"/>
      <c r="B889" s="243"/>
      <c r="C889" s="243"/>
      <c r="D889" s="243"/>
      <c r="E889" s="243"/>
      <c r="F889" s="243"/>
      <c r="G889" s="244"/>
      <c r="H889" s="243"/>
      <c r="I889" s="243"/>
      <c r="J889" s="243"/>
      <c r="K889" s="243"/>
      <c r="L889" s="243"/>
      <c r="M889" s="244"/>
      <c r="N889" s="245" t="s">
        <v>257</v>
      </c>
      <c r="O889" s="246"/>
      <c r="P889" s="203" t="s">
        <v>257</v>
      </c>
      <c r="Q889" s="210" t="s">
        <v>257</v>
      </c>
      <c r="R889" s="243" t="s">
        <v>257</v>
      </c>
      <c r="S889" s="247"/>
    </row>
    <row r="890" spans="1:19" x14ac:dyDescent="0.2">
      <c r="A890" s="242"/>
      <c r="B890" s="243"/>
      <c r="C890" s="243"/>
      <c r="D890" s="243"/>
      <c r="E890" s="243"/>
      <c r="F890" s="243"/>
      <c r="G890" s="244"/>
      <c r="H890" s="243"/>
      <c r="I890" s="243"/>
      <c r="J890" s="243"/>
      <c r="K890" s="243"/>
      <c r="L890" s="243"/>
      <c r="M890" s="244"/>
      <c r="N890" s="245" t="s">
        <v>257</v>
      </c>
      <c r="O890" s="246"/>
      <c r="P890" s="203" t="s">
        <v>257</v>
      </c>
      <c r="Q890" s="210" t="s">
        <v>257</v>
      </c>
      <c r="R890" s="243" t="s">
        <v>257</v>
      </c>
      <c r="S890" s="247"/>
    </row>
    <row r="891" spans="1:19" x14ac:dyDescent="0.2">
      <c r="A891" s="242"/>
      <c r="B891" s="243"/>
      <c r="C891" s="243"/>
      <c r="D891" s="243"/>
      <c r="E891" s="243"/>
      <c r="F891" s="243"/>
      <c r="G891" s="244"/>
      <c r="H891" s="243"/>
      <c r="I891" s="243"/>
      <c r="J891" s="243"/>
      <c r="K891" s="243"/>
      <c r="L891" s="243"/>
      <c r="M891" s="244"/>
      <c r="N891" s="245" t="s">
        <v>257</v>
      </c>
      <c r="O891" s="246"/>
      <c r="P891" s="203" t="s">
        <v>257</v>
      </c>
      <c r="Q891" s="210" t="s">
        <v>257</v>
      </c>
      <c r="R891" s="243" t="s">
        <v>257</v>
      </c>
      <c r="S891" s="247"/>
    </row>
    <row r="892" spans="1:19" x14ac:dyDescent="0.2">
      <c r="A892" s="242"/>
      <c r="B892" s="243"/>
      <c r="C892" s="243"/>
      <c r="D892" s="243"/>
      <c r="E892" s="243"/>
      <c r="F892" s="243"/>
      <c r="G892" s="244"/>
      <c r="H892" s="243"/>
      <c r="I892" s="243"/>
      <c r="J892" s="243"/>
      <c r="K892" s="243"/>
      <c r="L892" s="243"/>
      <c r="M892" s="244"/>
      <c r="N892" s="245" t="s">
        <v>257</v>
      </c>
      <c r="O892" s="246"/>
      <c r="P892" s="203" t="s">
        <v>257</v>
      </c>
      <c r="Q892" s="210" t="s">
        <v>257</v>
      </c>
      <c r="R892" s="243" t="s">
        <v>257</v>
      </c>
      <c r="S892" s="247"/>
    </row>
    <row r="893" spans="1:19" x14ac:dyDescent="0.2">
      <c r="A893" s="242"/>
      <c r="B893" s="243"/>
      <c r="C893" s="243"/>
      <c r="D893" s="243"/>
      <c r="E893" s="243"/>
      <c r="F893" s="243"/>
      <c r="G893" s="244"/>
      <c r="H893" s="243"/>
      <c r="I893" s="243"/>
      <c r="J893" s="243"/>
      <c r="K893" s="243"/>
      <c r="L893" s="243"/>
      <c r="M893" s="244"/>
      <c r="N893" s="245" t="s">
        <v>257</v>
      </c>
      <c r="O893" s="246"/>
      <c r="P893" s="203" t="s">
        <v>257</v>
      </c>
      <c r="Q893" s="210" t="s">
        <v>257</v>
      </c>
      <c r="R893" s="243" t="s">
        <v>257</v>
      </c>
      <c r="S893" s="247"/>
    </row>
    <row r="894" spans="1:19" x14ac:dyDescent="0.2">
      <c r="A894" s="242"/>
      <c r="B894" s="243"/>
      <c r="C894" s="243"/>
      <c r="D894" s="243"/>
      <c r="E894" s="243"/>
      <c r="F894" s="243"/>
      <c r="G894" s="244"/>
      <c r="H894" s="243"/>
      <c r="I894" s="243"/>
      <c r="J894" s="243"/>
      <c r="K894" s="243"/>
      <c r="L894" s="243"/>
      <c r="M894" s="244"/>
      <c r="N894" s="245" t="s">
        <v>257</v>
      </c>
      <c r="O894" s="246"/>
      <c r="P894" s="203" t="s">
        <v>257</v>
      </c>
      <c r="Q894" s="210" t="s">
        <v>257</v>
      </c>
      <c r="R894" s="243" t="s">
        <v>257</v>
      </c>
      <c r="S894" s="247"/>
    </row>
    <row r="895" spans="1:19" x14ac:dyDescent="0.2">
      <c r="A895" s="242"/>
      <c r="B895" s="243"/>
      <c r="C895" s="243"/>
      <c r="D895" s="243"/>
      <c r="E895" s="243"/>
      <c r="F895" s="243"/>
      <c r="G895" s="244"/>
      <c r="H895" s="243"/>
      <c r="I895" s="243"/>
      <c r="J895" s="243"/>
      <c r="K895" s="243"/>
      <c r="L895" s="243"/>
      <c r="M895" s="244"/>
      <c r="N895" s="245" t="s">
        <v>257</v>
      </c>
      <c r="O895" s="246"/>
      <c r="P895" s="203" t="s">
        <v>257</v>
      </c>
      <c r="Q895" s="210" t="s">
        <v>257</v>
      </c>
      <c r="R895" s="243" t="s">
        <v>257</v>
      </c>
      <c r="S895" s="247"/>
    </row>
    <row r="896" spans="1:19" x14ac:dyDescent="0.2">
      <c r="A896" s="242"/>
      <c r="B896" s="243"/>
      <c r="C896" s="243"/>
      <c r="D896" s="243"/>
      <c r="E896" s="243"/>
      <c r="F896" s="243"/>
      <c r="G896" s="244"/>
      <c r="H896" s="243"/>
      <c r="I896" s="243"/>
      <c r="J896" s="243"/>
      <c r="K896" s="243"/>
      <c r="L896" s="243"/>
      <c r="M896" s="244"/>
      <c r="N896" s="245" t="s">
        <v>257</v>
      </c>
      <c r="O896" s="246"/>
      <c r="P896" s="203" t="s">
        <v>257</v>
      </c>
      <c r="Q896" s="210" t="s">
        <v>257</v>
      </c>
      <c r="R896" s="243" t="s">
        <v>257</v>
      </c>
      <c r="S896" s="247"/>
    </row>
    <row r="897" spans="1:19" x14ac:dyDescent="0.2">
      <c r="A897" s="242"/>
      <c r="B897" s="243"/>
      <c r="C897" s="243"/>
      <c r="D897" s="243"/>
      <c r="E897" s="243"/>
      <c r="F897" s="243"/>
      <c r="G897" s="244"/>
      <c r="H897" s="243"/>
      <c r="I897" s="243"/>
      <c r="J897" s="243"/>
      <c r="K897" s="243"/>
      <c r="L897" s="243"/>
      <c r="M897" s="244"/>
      <c r="N897" s="245" t="s">
        <v>257</v>
      </c>
      <c r="O897" s="246"/>
      <c r="P897" s="203" t="s">
        <v>257</v>
      </c>
      <c r="Q897" s="210" t="s">
        <v>257</v>
      </c>
      <c r="R897" s="243" t="s">
        <v>257</v>
      </c>
      <c r="S897" s="247"/>
    </row>
    <row r="898" spans="1:19" x14ac:dyDescent="0.2">
      <c r="A898" s="242"/>
      <c r="B898" s="243"/>
      <c r="C898" s="243"/>
      <c r="D898" s="243"/>
      <c r="E898" s="243"/>
      <c r="F898" s="243"/>
      <c r="G898" s="244"/>
      <c r="H898" s="243"/>
      <c r="I898" s="243"/>
      <c r="J898" s="243"/>
      <c r="K898" s="243"/>
      <c r="L898" s="243"/>
      <c r="M898" s="244"/>
      <c r="N898" s="245" t="s">
        <v>257</v>
      </c>
      <c r="O898" s="246"/>
      <c r="P898" s="203" t="s">
        <v>257</v>
      </c>
      <c r="Q898" s="210" t="s">
        <v>257</v>
      </c>
      <c r="R898" s="243" t="s">
        <v>257</v>
      </c>
      <c r="S898" s="247"/>
    </row>
    <row r="899" spans="1:19" x14ac:dyDescent="0.2">
      <c r="A899" s="242"/>
      <c r="B899" s="243"/>
      <c r="C899" s="243"/>
      <c r="D899" s="243"/>
      <c r="E899" s="243"/>
      <c r="F899" s="243"/>
      <c r="G899" s="244"/>
      <c r="H899" s="243"/>
      <c r="I899" s="243"/>
      <c r="J899" s="243"/>
      <c r="K899" s="243"/>
      <c r="L899" s="243"/>
      <c r="M899" s="244"/>
      <c r="N899" s="245" t="s">
        <v>257</v>
      </c>
      <c r="O899" s="246"/>
      <c r="P899" s="203" t="s">
        <v>257</v>
      </c>
      <c r="Q899" s="210" t="s">
        <v>257</v>
      </c>
      <c r="R899" s="243" t="s">
        <v>257</v>
      </c>
      <c r="S899" s="247"/>
    </row>
    <row r="900" spans="1:19" x14ac:dyDescent="0.2">
      <c r="A900" s="242"/>
      <c r="B900" s="243"/>
      <c r="C900" s="243"/>
      <c r="D900" s="243"/>
      <c r="E900" s="243"/>
      <c r="F900" s="243"/>
      <c r="G900" s="244"/>
      <c r="H900" s="243"/>
      <c r="I900" s="243"/>
      <c r="J900" s="243"/>
      <c r="K900" s="243"/>
      <c r="L900" s="243"/>
      <c r="M900" s="244"/>
      <c r="N900" s="245" t="s">
        <v>257</v>
      </c>
      <c r="O900" s="246"/>
      <c r="P900" s="203" t="s">
        <v>257</v>
      </c>
      <c r="Q900" s="210" t="s">
        <v>257</v>
      </c>
      <c r="R900" s="243" t="s">
        <v>257</v>
      </c>
      <c r="S900" s="247"/>
    </row>
    <row r="901" spans="1:19" x14ac:dyDescent="0.2">
      <c r="A901" s="242"/>
      <c r="B901" s="243"/>
      <c r="C901" s="243"/>
      <c r="D901" s="243"/>
      <c r="E901" s="243"/>
      <c r="F901" s="243"/>
      <c r="G901" s="244"/>
      <c r="H901" s="243"/>
      <c r="I901" s="243"/>
      <c r="J901" s="243"/>
      <c r="K901" s="243"/>
      <c r="L901" s="243"/>
      <c r="M901" s="244"/>
      <c r="N901" s="245" t="s">
        <v>257</v>
      </c>
      <c r="O901" s="246"/>
      <c r="P901" s="203" t="s">
        <v>257</v>
      </c>
      <c r="Q901" s="210" t="s">
        <v>257</v>
      </c>
      <c r="R901" s="243" t="s">
        <v>257</v>
      </c>
      <c r="S901" s="247"/>
    </row>
    <row r="902" spans="1:19" x14ac:dyDescent="0.2">
      <c r="A902" s="242"/>
      <c r="B902" s="243"/>
      <c r="C902" s="243"/>
      <c r="D902" s="243"/>
      <c r="E902" s="243"/>
      <c r="F902" s="243"/>
      <c r="G902" s="244"/>
      <c r="H902" s="243"/>
      <c r="I902" s="243"/>
      <c r="J902" s="243"/>
      <c r="K902" s="243"/>
      <c r="L902" s="243"/>
      <c r="M902" s="244"/>
      <c r="N902" s="245" t="s">
        <v>257</v>
      </c>
      <c r="O902" s="246"/>
      <c r="P902" s="203" t="s">
        <v>257</v>
      </c>
      <c r="Q902" s="210" t="s">
        <v>257</v>
      </c>
      <c r="R902" s="243" t="s">
        <v>257</v>
      </c>
      <c r="S902" s="247"/>
    </row>
    <row r="903" spans="1:19" x14ac:dyDescent="0.2">
      <c r="A903" s="242"/>
      <c r="B903" s="243"/>
      <c r="C903" s="243"/>
      <c r="D903" s="243"/>
      <c r="E903" s="243"/>
      <c r="F903" s="243"/>
      <c r="G903" s="244"/>
      <c r="H903" s="243"/>
      <c r="I903" s="243"/>
      <c r="J903" s="243"/>
      <c r="K903" s="243"/>
      <c r="L903" s="243"/>
      <c r="M903" s="244"/>
      <c r="N903" s="245" t="s">
        <v>257</v>
      </c>
      <c r="O903" s="246"/>
      <c r="P903" s="203" t="s">
        <v>257</v>
      </c>
      <c r="Q903" s="210" t="s">
        <v>257</v>
      </c>
      <c r="R903" s="243" t="s">
        <v>257</v>
      </c>
      <c r="S903" s="247"/>
    </row>
    <row r="904" spans="1:19" x14ac:dyDescent="0.2">
      <c r="A904" s="242"/>
      <c r="B904" s="243"/>
      <c r="C904" s="243"/>
      <c r="D904" s="243"/>
      <c r="E904" s="243"/>
      <c r="F904" s="243"/>
      <c r="G904" s="244"/>
      <c r="H904" s="243"/>
      <c r="I904" s="243"/>
      <c r="J904" s="243"/>
      <c r="K904" s="243"/>
      <c r="L904" s="243"/>
      <c r="M904" s="244"/>
      <c r="N904" s="245" t="s">
        <v>257</v>
      </c>
      <c r="O904" s="246"/>
      <c r="P904" s="203" t="s">
        <v>257</v>
      </c>
      <c r="Q904" s="210" t="s">
        <v>257</v>
      </c>
      <c r="R904" s="243" t="s">
        <v>257</v>
      </c>
      <c r="S904" s="247"/>
    </row>
    <row r="905" spans="1:19" x14ac:dyDescent="0.2">
      <c r="A905" s="242"/>
      <c r="B905" s="243"/>
      <c r="C905" s="243"/>
      <c r="D905" s="243"/>
      <c r="E905" s="243"/>
      <c r="F905" s="243"/>
      <c r="G905" s="244"/>
      <c r="H905" s="243"/>
      <c r="I905" s="243"/>
      <c r="J905" s="243"/>
      <c r="K905" s="243"/>
      <c r="L905" s="243"/>
      <c r="M905" s="244"/>
      <c r="N905" s="245" t="s">
        <v>257</v>
      </c>
      <c r="O905" s="246"/>
      <c r="P905" s="203" t="s">
        <v>257</v>
      </c>
      <c r="Q905" s="210" t="s">
        <v>257</v>
      </c>
      <c r="R905" s="243" t="s">
        <v>257</v>
      </c>
      <c r="S905" s="247"/>
    </row>
    <row r="906" spans="1:19" x14ac:dyDescent="0.2">
      <c r="A906" s="242"/>
      <c r="B906" s="243"/>
      <c r="C906" s="243"/>
      <c r="D906" s="243"/>
      <c r="E906" s="243"/>
      <c r="F906" s="243"/>
      <c r="G906" s="244"/>
      <c r="H906" s="243"/>
      <c r="I906" s="243"/>
      <c r="J906" s="243"/>
      <c r="K906" s="243"/>
      <c r="L906" s="243"/>
      <c r="M906" s="244"/>
      <c r="N906" s="245" t="s">
        <v>257</v>
      </c>
      <c r="O906" s="246"/>
      <c r="P906" s="203" t="s">
        <v>257</v>
      </c>
      <c r="Q906" s="210" t="s">
        <v>257</v>
      </c>
      <c r="R906" s="243" t="s">
        <v>257</v>
      </c>
      <c r="S906" s="247"/>
    </row>
    <row r="907" spans="1:19" x14ac:dyDescent="0.2">
      <c r="A907" s="242"/>
      <c r="B907" s="243"/>
      <c r="C907" s="243"/>
      <c r="D907" s="243"/>
      <c r="E907" s="243"/>
      <c r="F907" s="243"/>
      <c r="G907" s="244"/>
      <c r="H907" s="243"/>
      <c r="I907" s="243"/>
      <c r="J907" s="243"/>
      <c r="K907" s="243"/>
      <c r="L907" s="243"/>
      <c r="M907" s="244"/>
      <c r="N907" s="245" t="s">
        <v>257</v>
      </c>
      <c r="O907" s="246"/>
      <c r="P907" s="203" t="s">
        <v>257</v>
      </c>
      <c r="Q907" s="210" t="s">
        <v>257</v>
      </c>
      <c r="R907" s="243" t="s">
        <v>257</v>
      </c>
      <c r="S907" s="247"/>
    </row>
    <row r="908" spans="1:19" x14ac:dyDescent="0.2">
      <c r="A908" s="242"/>
      <c r="B908" s="243"/>
      <c r="C908" s="243"/>
      <c r="D908" s="243"/>
      <c r="E908" s="243"/>
      <c r="F908" s="243"/>
      <c r="G908" s="244"/>
      <c r="H908" s="243"/>
      <c r="I908" s="243"/>
      <c r="J908" s="243"/>
      <c r="K908" s="243"/>
      <c r="L908" s="243"/>
      <c r="M908" s="244"/>
      <c r="N908" s="245" t="s">
        <v>257</v>
      </c>
      <c r="O908" s="246"/>
      <c r="P908" s="203" t="s">
        <v>257</v>
      </c>
      <c r="Q908" s="210" t="s">
        <v>257</v>
      </c>
      <c r="R908" s="243" t="s">
        <v>257</v>
      </c>
      <c r="S908" s="247"/>
    </row>
    <row r="909" spans="1:19" x14ac:dyDescent="0.2">
      <c r="A909" s="242"/>
      <c r="B909" s="243"/>
      <c r="C909" s="243"/>
      <c r="D909" s="243"/>
      <c r="E909" s="243"/>
      <c r="F909" s="243"/>
      <c r="G909" s="244"/>
      <c r="H909" s="243"/>
      <c r="I909" s="243"/>
      <c r="J909" s="243"/>
      <c r="K909" s="243"/>
      <c r="L909" s="243"/>
      <c r="M909" s="244"/>
      <c r="N909" s="245" t="s">
        <v>257</v>
      </c>
      <c r="O909" s="246"/>
      <c r="P909" s="203" t="s">
        <v>257</v>
      </c>
      <c r="Q909" s="210" t="s">
        <v>257</v>
      </c>
      <c r="R909" s="243" t="s">
        <v>257</v>
      </c>
      <c r="S909" s="247"/>
    </row>
    <row r="910" spans="1:19" x14ac:dyDescent="0.2">
      <c r="A910" s="242"/>
      <c r="B910" s="243"/>
      <c r="C910" s="243"/>
      <c r="D910" s="243"/>
      <c r="E910" s="243"/>
      <c r="F910" s="243"/>
      <c r="G910" s="244"/>
      <c r="H910" s="243"/>
      <c r="I910" s="243"/>
      <c r="J910" s="243"/>
      <c r="K910" s="243"/>
      <c r="L910" s="243"/>
      <c r="M910" s="244"/>
      <c r="N910" s="245" t="s">
        <v>257</v>
      </c>
      <c r="O910" s="246"/>
      <c r="P910" s="203" t="s">
        <v>257</v>
      </c>
      <c r="Q910" s="210" t="s">
        <v>257</v>
      </c>
      <c r="R910" s="243" t="s">
        <v>257</v>
      </c>
      <c r="S910" s="247"/>
    </row>
    <row r="911" spans="1:19" x14ac:dyDescent="0.2">
      <c r="A911" s="242"/>
      <c r="B911" s="243"/>
      <c r="C911" s="243"/>
      <c r="D911" s="243"/>
      <c r="E911" s="243"/>
      <c r="F911" s="243"/>
      <c r="G911" s="244"/>
      <c r="H911" s="243"/>
      <c r="I911" s="243"/>
      <c r="J911" s="243"/>
      <c r="K911" s="243"/>
      <c r="L911" s="243"/>
      <c r="M911" s="244"/>
      <c r="N911" s="245" t="s">
        <v>257</v>
      </c>
      <c r="O911" s="246"/>
      <c r="P911" s="203" t="s">
        <v>257</v>
      </c>
      <c r="Q911" s="210" t="s">
        <v>257</v>
      </c>
      <c r="R911" s="243" t="s">
        <v>257</v>
      </c>
      <c r="S911" s="247"/>
    </row>
    <row r="912" spans="1:19" x14ac:dyDescent="0.2">
      <c r="A912" s="242"/>
      <c r="B912" s="243"/>
      <c r="C912" s="243"/>
      <c r="D912" s="243"/>
      <c r="E912" s="243"/>
      <c r="F912" s="243"/>
      <c r="G912" s="244"/>
      <c r="H912" s="243"/>
      <c r="I912" s="243"/>
      <c r="J912" s="243"/>
      <c r="K912" s="243"/>
      <c r="L912" s="243"/>
      <c r="M912" s="244"/>
      <c r="N912" s="245" t="s">
        <v>257</v>
      </c>
      <c r="O912" s="246"/>
      <c r="P912" s="203" t="s">
        <v>257</v>
      </c>
      <c r="Q912" s="210" t="s">
        <v>257</v>
      </c>
      <c r="R912" s="243" t="s">
        <v>257</v>
      </c>
      <c r="S912" s="247"/>
    </row>
    <row r="913" spans="1:19" x14ac:dyDescent="0.2">
      <c r="A913" s="242"/>
      <c r="B913" s="243"/>
      <c r="C913" s="243"/>
      <c r="D913" s="243"/>
      <c r="E913" s="243"/>
      <c r="F913" s="243"/>
      <c r="G913" s="244"/>
      <c r="H913" s="243"/>
      <c r="I913" s="243"/>
      <c r="J913" s="243"/>
      <c r="K913" s="243"/>
      <c r="L913" s="243"/>
      <c r="M913" s="244"/>
      <c r="N913" s="245" t="s">
        <v>257</v>
      </c>
      <c r="O913" s="246"/>
      <c r="P913" s="203" t="s">
        <v>257</v>
      </c>
      <c r="Q913" s="210" t="s">
        <v>257</v>
      </c>
      <c r="R913" s="243" t="s">
        <v>257</v>
      </c>
      <c r="S913" s="247"/>
    </row>
    <row r="914" spans="1:19" x14ac:dyDescent="0.2">
      <c r="A914" s="242"/>
      <c r="B914" s="243"/>
      <c r="C914" s="243"/>
      <c r="D914" s="243"/>
      <c r="E914" s="243"/>
      <c r="F914" s="243"/>
      <c r="G914" s="244"/>
      <c r="H914" s="243"/>
      <c r="I914" s="243"/>
      <c r="J914" s="243"/>
      <c r="K914" s="243"/>
      <c r="L914" s="243"/>
      <c r="M914" s="244"/>
      <c r="N914" s="245" t="s">
        <v>257</v>
      </c>
      <c r="O914" s="246"/>
      <c r="P914" s="203" t="s">
        <v>257</v>
      </c>
      <c r="Q914" s="210" t="s">
        <v>257</v>
      </c>
      <c r="R914" s="243" t="s">
        <v>257</v>
      </c>
      <c r="S914" s="247"/>
    </row>
    <row r="915" spans="1:19" x14ac:dyDescent="0.2">
      <c r="A915" s="242"/>
      <c r="B915" s="243"/>
      <c r="C915" s="243"/>
      <c r="D915" s="243"/>
      <c r="E915" s="243"/>
      <c r="F915" s="243"/>
      <c r="G915" s="244"/>
      <c r="H915" s="243"/>
      <c r="I915" s="243"/>
      <c r="J915" s="243"/>
      <c r="K915" s="243"/>
      <c r="L915" s="243"/>
      <c r="M915" s="244"/>
      <c r="N915" s="245" t="s">
        <v>257</v>
      </c>
      <c r="O915" s="246"/>
      <c r="P915" s="203" t="s">
        <v>257</v>
      </c>
      <c r="Q915" s="210" t="s">
        <v>257</v>
      </c>
      <c r="R915" s="243" t="s">
        <v>257</v>
      </c>
      <c r="S915" s="247"/>
    </row>
    <row r="916" spans="1:19" x14ac:dyDescent="0.2">
      <c r="A916" s="242"/>
      <c r="B916" s="243"/>
      <c r="C916" s="243"/>
      <c r="D916" s="243"/>
      <c r="E916" s="243"/>
      <c r="F916" s="243"/>
      <c r="G916" s="244"/>
      <c r="H916" s="243"/>
      <c r="I916" s="243"/>
      <c r="J916" s="243"/>
      <c r="K916" s="243"/>
      <c r="L916" s="243"/>
      <c r="M916" s="244"/>
      <c r="N916" s="245" t="s">
        <v>257</v>
      </c>
      <c r="O916" s="246"/>
      <c r="P916" s="203" t="s">
        <v>257</v>
      </c>
      <c r="Q916" s="210" t="s">
        <v>257</v>
      </c>
      <c r="R916" s="243" t="s">
        <v>257</v>
      </c>
      <c r="S916" s="247"/>
    </row>
    <row r="917" spans="1:19" x14ac:dyDescent="0.2">
      <c r="A917" s="242"/>
      <c r="B917" s="243"/>
      <c r="C917" s="243"/>
      <c r="D917" s="243"/>
      <c r="E917" s="243"/>
      <c r="F917" s="243"/>
      <c r="G917" s="244"/>
      <c r="H917" s="243"/>
      <c r="I917" s="243"/>
      <c r="J917" s="243"/>
      <c r="K917" s="243"/>
      <c r="L917" s="243"/>
      <c r="M917" s="244"/>
      <c r="N917" s="245" t="s">
        <v>257</v>
      </c>
      <c r="O917" s="246"/>
      <c r="P917" s="203" t="s">
        <v>257</v>
      </c>
      <c r="Q917" s="210" t="s">
        <v>257</v>
      </c>
      <c r="R917" s="243" t="s">
        <v>257</v>
      </c>
      <c r="S917" s="247"/>
    </row>
    <row r="918" spans="1:19" x14ac:dyDescent="0.2">
      <c r="A918" s="242"/>
      <c r="B918" s="243"/>
      <c r="C918" s="243"/>
      <c r="D918" s="243"/>
      <c r="E918" s="243"/>
      <c r="F918" s="243"/>
      <c r="G918" s="244"/>
      <c r="H918" s="243"/>
      <c r="I918" s="243"/>
      <c r="J918" s="243"/>
      <c r="K918" s="243"/>
      <c r="L918" s="243"/>
      <c r="M918" s="244"/>
      <c r="N918" s="245" t="s">
        <v>257</v>
      </c>
      <c r="O918" s="246"/>
      <c r="P918" s="203" t="s">
        <v>257</v>
      </c>
      <c r="Q918" s="210" t="s">
        <v>257</v>
      </c>
      <c r="R918" s="243" t="s">
        <v>257</v>
      </c>
      <c r="S918" s="247"/>
    </row>
    <row r="919" spans="1:19" x14ac:dyDescent="0.2">
      <c r="A919" s="242"/>
      <c r="B919" s="243"/>
      <c r="C919" s="243"/>
      <c r="D919" s="243"/>
      <c r="E919" s="243"/>
      <c r="F919" s="243"/>
      <c r="G919" s="244"/>
      <c r="H919" s="243"/>
      <c r="I919" s="243"/>
      <c r="J919" s="243"/>
      <c r="K919" s="243"/>
      <c r="L919" s="243"/>
      <c r="M919" s="244"/>
      <c r="N919" s="245" t="s">
        <v>257</v>
      </c>
      <c r="O919" s="246"/>
      <c r="P919" s="203" t="s">
        <v>257</v>
      </c>
      <c r="Q919" s="210" t="s">
        <v>257</v>
      </c>
      <c r="R919" s="243" t="s">
        <v>257</v>
      </c>
      <c r="S919" s="247"/>
    </row>
    <row r="920" spans="1:19" x14ac:dyDescent="0.2">
      <c r="A920" s="242"/>
      <c r="B920" s="243"/>
      <c r="C920" s="243"/>
      <c r="D920" s="243"/>
      <c r="E920" s="243"/>
      <c r="F920" s="243"/>
      <c r="G920" s="244"/>
      <c r="H920" s="243"/>
      <c r="I920" s="243"/>
      <c r="J920" s="243"/>
      <c r="K920" s="243"/>
      <c r="L920" s="243"/>
      <c r="M920" s="244"/>
      <c r="N920" s="245" t="s">
        <v>257</v>
      </c>
      <c r="O920" s="246"/>
      <c r="P920" s="203" t="s">
        <v>257</v>
      </c>
      <c r="Q920" s="210" t="s">
        <v>257</v>
      </c>
      <c r="R920" s="243" t="s">
        <v>257</v>
      </c>
      <c r="S920" s="247"/>
    </row>
    <row r="921" spans="1:19" x14ac:dyDescent="0.2">
      <c r="A921" s="242"/>
      <c r="B921" s="243"/>
      <c r="C921" s="243"/>
      <c r="D921" s="243"/>
      <c r="E921" s="243"/>
      <c r="F921" s="243"/>
      <c r="G921" s="244"/>
      <c r="H921" s="243"/>
      <c r="I921" s="243"/>
      <c r="J921" s="243"/>
      <c r="K921" s="243"/>
      <c r="L921" s="243"/>
      <c r="M921" s="244"/>
      <c r="N921" s="245" t="s">
        <v>257</v>
      </c>
      <c r="O921" s="246"/>
      <c r="P921" s="203" t="s">
        <v>257</v>
      </c>
      <c r="Q921" s="210" t="s">
        <v>257</v>
      </c>
      <c r="R921" s="243" t="s">
        <v>257</v>
      </c>
      <c r="S921" s="247"/>
    </row>
    <row r="922" spans="1:19" x14ac:dyDescent="0.2">
      <c r="A922" s="242"/>
      <c r="B922" s="243"/>
      <c r="C922" s="243"/>
      <c r="D922" s="243"/>
      <c r="E922" s="243"/>
      <c r="F922" s="243"/>
      <c r="G922" s="244"/>
      <c r="H922" s="243"/>
      <c r="I922" s="243"/>
      <c r="J922" s="243"/>
      <c r="K922" s="243"/>
      <c r="L922" s="243"/>
      <c r="M922" s="244"/>
      <c r="N922" s="245" t="s">
        <v>257</v>
      </c>
      <c r="O922" s="246"/>
      <c r="P922" s="203" t="s">
        <v>257</v>
      </c>
      <c r="Q922" s="210" t="s">
        <v>257</v>
      </c>
      <c r="R922" s="243" t="s">
        <v>257</v>
      </c>
      <c r="S922" s="247"/>
    </row>
    <row r="923" spans="1:19" x14ac:dyDescent="0.2">
      <c r="A923" s="242"/>
      <c r="B923" s="243"/>
      <c r="C923" s="243"/>
      <c r="D923" s="243"/>
      <c r="E923" s="243"/>
      <c r="F923" s="243"/>
      <c r="G923" s="244"/>
      <c r="H923" s="243"/>
      <c r="I923" s="243"/>
      <c r="J923" s="243"/>
      <c r="K923" s="243"/>
      <c r="L923" s="243"/>
      <c r="M923" s="244"/>
      <c r="N923" s="245" t="s">
        <v>257</v>
      </c>
      <c r="O923" s="246"/>
      <c r="P923" s="203" t="s">
        <v>257</v>
      </c>
      <c r="Q923" s="210" t="s">
        <v>257</v>
      </c>
      <c r="R923" s="243" t="s">
        <v>257</v>
      </c>
      <c r="S923" s="247"/>
    </row>
    <row r="924" spans="1:19" x14ac:dyDescent="0.2">
      <c r="A924" s="242"/>
      <c r="B924" s="243"/>
      <c r="C924" s="243"/>
      <c r="D924" s="243"/>
      <c r="E924" s="243"/>
      <c r="F924" s="243"/>
      <c r="G924" s="244"/>
      <c r="H924" s="243"/>
      <c r="I924" s="243"/>
      <c r="J924" s="243"/>
      <c r="K924" s="243"/>
      <c r="L924" s="243"/>
      <c r="M924" s="244"/>
      <c r="N924" s="245" t="s">
        <v>257</v>
      </c>
      <c r="O924" s="246"/>
      <c r="P924" s="203" t="s">
        <v>257</v>
      </c>
      <c r="Q924" s="210" t="s">
        <v>257</v>
      </c>
      <c r="R924" s="243" t="s">
        <v>257</v>
      </c>
      <c r="S924" s="247"/>
    </row>
    <row r="925" spans="1:19" x14ac:dyDescent="0.2">
      <c r="A925" s="242"/>
      <c r="B925" s="243"/>
      <c r="C925" s="243"/>
      <c r="D925" s="243"/>
      <c r="E925" s="243"/>
      <c r="F925" s="243"/>
      <c r="G925" s="244"/>
      <c r="H925" s="243"/>
      <c r="I925" s="243"/>
      <c r="J925" s="243"/>
      <c r="K925" s="243"/>
      <c r="L925" s="243"/>
      <c r="M925" s="244"/>
      <c r="N925" s="245" t="s">
        <v>257</v>
      </c>
      <c r="O925" s="246"/>
      <c r="P925" s="203" t="s">
        <v>257</v>
      </c>
      <c r="Q925" s="210" t="s">
        <v>257</v>
      </c>
      <c r="R925" s="243" t="s">
        <v>257</v>
      </c>
      <c r="S925" s="247"/>
    </row>
    <row r="926" spans="1:19" x14ac:dyDescent="0.2">
      <c r="A926" s="242"/>
      <c r="B926" s="243"/>
      <c r="C926" s="243"/>
      <c r="D926" s="243"/>
      <c r="E926" s="243"/>
      <c r="F926" s="243"/>
      <c r="G926" s="244"/>
      <c r="H926" s="243"/>
      <c r="I926" s="243"/>
      <c r="J926" s="243"/>
      <c r="K926" s="243"/>
      <c r="L926" s="243"/>
      <c r="M926" s="244"/>
      <c r="N926" s="245" t="s">
        <v>257</v>
      </c>
      <c r="O926" s="246"/>
      <c r="P926" s="203" t="s">
        <v>257</v>
      </c>
      <c r="Q926" s="210" t="s">
        <v>257</v>
      </c>
      <c r="R926" s="243" t="s">
        <v>257</v>
      </c>
      <c r="S926" s="247"/>
    </row>
    <row r="927" spans="1:19" x14ac:dyDescent="0.2">
      <c r="A927" s="242"/>
      <c r="B927" s="243"/>
      <c r="C927" s="243"/>
      <c r="D927" s="243"/>
      <c r="E927" s="243"/>
      <c r="F927" s="243"/>
      <c r="G927" s="244"/>
      <c r="H927" s="243"/>
      <c r="I927" s="243"/>
      <c r="J927" s="243"/>
      <c r="K927" s="243"/>
      <c r="L927" s="243"/>
      <c r="M927" s="244"/>
      <c r="N927" s="245" t="s">
        <v>257</v>
      </c>
      <c r="O927" s="246"/>
      <c r="P927" s="203" t="s">
        <v>257</v>
      </c>
      <c r="Q927" s="210" t="s">
        <v>257</v>
      </c>
      <c r="R927" s="243" t="s">
        <v>257</v>
      </c>
      <c r="S927" s="247"/>
    </row>
    <row r="928" spans="1:19" x14ac:dyDescent="0.2">
      <c r="A928" s="242"/>
      <c r="B928" s="243"/>
      <c r="C928" s="243"/>
      <c r="D928" s="243"/>
      <c r="E928" s="243"/>
      <c r="F928" s="243"/>
      <c r="G928" s="244"/>
      <c r="H928" s="243"/>
      <c r="I928" s="243"/>
      <c r="J928" s="243"/>
      <c r="K928" s="243"/>
      <c r="L928" s="243"/>
      <c r="M928" s="244"/>
      <c r="N928" s="245" t="s">
        <v>257</v>
      </c>
      <c r="O928" s="246"/>
      <c r="P928" s="203" t="s">
        <v>257</v>
      </c>
      <c r="Q928" s="210" t="s">
        <v>257</v>
      </c>
      <c r="R928" s="243" t="s">
        <v>257</v>
      </c>
      <c r="S928" s="247"/>
    </row>
    <row r="929" spans="1:19" x14ac:dyDescent="0.2">
      <c r="A929" s="242"/>
      <c r="B929" s="243"/>
      <c r="C929" s="243"/>
      <c r="D929" s="243"/>
      <c r="E929" s="243"/>
      <c r="F929" s="243"/>
      <c r="G929" s="244"/>
      <c r="H929" s="243"/>
      <c r="I929" s="243"/>
      <c r="J929" s="243"/>
      <c r="K929" s="243"/>
      <c r="L929" s="243"/>
      <c r="M929" s="244"/>
      <c r="N929" s="245" t="s">
        <v>257</v>
      </c>
      <c r="O929" s="246"/>
      <c r="P929" s="203" t="s">
        <v>257</v>
      </c>
      <c r="Q929" s="210" t="s">
        <v>257</v>
      </c>
      <c r="R929" s="243" t="s">
        <v>257</v>
      </c>
      <c r="S929" s="247"/>
    </row>
    <row r="930" spans="1:19" x14ac:dyDescent="0.2">
      <c r="A930" s="242"/>
      <c r="B930" s="243"/>
      <c r="C930" s="243"/>
      <c r="D930" s="243"/>
      <c r="E930" s="243"/>
      <c r="F930" s="243"/>
      <c r="G930" s="244"/>
      <c r="H930" s="243"/>
      <c r="I930" s="243"/>
      <c r="J930" s="243"/>
      <c r="K930" s="243"/>
      <c r="L930" s="243"/>
      <c r="M930" s="244"/>
      <c r="N930" s="245" t="s">
        <v>257</v>
      </c>
      <c r="O930" s="246"/>
      <c r="P930" s="203" t="s">
        <v>257</v>
      </c>
      <c r="Q930" s="210" t="s">
        <v>257</v>
      </c>
      <c r="R930" s="243" t="s">
        <v>257</v>
      </c>
      <c r="S930" s="247"/>
    </row>
    <row r="931" spans="1:19" x14ac:dyDescent="0.2">
      <c r="A931" s="242"/>
      <c r="B931" s="243"/>
      <c r="C931" s="243"/>
      <c r="D931" s="243"/>
      <c r="E931" s="243"/>
      <c r="F931" s="243"/>
      <c r="G931" s="244"/>
      <c r="H931" s="243"/>
      <c r="I931" s="243"/>
      <c r="J931" s="243"/>
      <c r="K931" s="243"/>
      <c r="L931" s="243"/>
      <c r="M931" s="244"/>
      <c r="N931" s="245" t="s">
        <v>257</v>
      </c>
      <c r="O931" s="246"/>
      <c r="P931" s="203" t="s">
        <v>257</v>
      </c>
      <c r="Q931" s="210" t="s">
        <v>257</v>
      </c>
      <c r="R931" s="243" t="s">
        <v>257</v>
      </c>
      <c r="S931" s="247"/>
    </row>
    <row r="932" spans="1:19" x14ac:dyDescent="0.2">
      <c r="A932" s="242"/>
      <c r="B932" s="243"/>
      <c r="C932" s="243"/>
      <c r="D932" s="243"/>
      <c r="E932" s="243"/>
      <c r="F932" s="243"/>
      <c r="G932" s="244"/>
      <c r="H932" s="243"/>
      <c r="I932" s="243"/>
      <c r="J932" s="243"/>
      <c r="K932" s="243"/>
      <c r="L932" s="243"/>
      <c r="M932" s="244"/>
      <c r="N932" s="245" t="s">
        <v>257</v>
      </c>
      <c r="O932" s="246"/>
      <c r="P932" s="203" t="s">
        <v>257</v>
      </c>
      <c r="Q932" s="210" t="s">
        <v>257</v>
      </c>
      <c r="R932" s="243" t="s">
        <v>257</v>
      </c>
      <c r="S932" s="247"/>
    </row>
    <row r="933" spans="1:19" x14ac:dyDescent="0.2">
      <c r="A933" s="242"/>
      <c r="B933" s="243"/>
      <c r="C933" s="243"/>
      <c r="D933" s="243"/>
      <c r="E933" s="243"/>
      <c r="F933" s="243"/>
      <c r="G933" s="244"/>
      <c r="H933" s="243"/>
      <c r="I933" s="243"/>
      <c r="J933" s="243"/>
      <c r="K933" s="243"/>
      <c r="L933" s="243"/>
      <c r="M933" s="244"/>
      <c r="N933" s="245" t="s">
        <v>257</v>
      </c>
      <c r="O933" s="246"/>
      <c r="P933" s="203" t="s">
        <v>257</v>
      </c>
      <c r="Q933" s="210" t="s">
        <v>257</v>
      </c>
      <c r="R933" s="243" t="s">
        <v>257</v>
      </c>
      <c r="S933" s="247"/>
    </row>
    <row r="934" spans="1:19" x14ac:dyDescent="0.2">
      <c r="A934" s="242"/>
      <c r="B934" s="243"/>
      <c r="C934" s="243"/>
      <c r="D934" s="243"/>
      <c r="E934" s="243"/>
      <c r="F934" s="243"/>
      <c r="G934" s="244"/>
      <c r="H934" s="243"/>
      <c r="I934" s="243"/>
      <c r="J934" s="243"/>
      <c r="K934" s="243"/>
      <c r="L934" s="243"/>
      <c r="M934" s="244"/>
      <c r="N934" s="245" t="s">
        <v>257</v>
      </c>
      <c r="O934" s="246"/>
      <c r="P934" s="203" t="s">
        <v>257</v>
      </c>
      <c r="Q934" s="210" t="s">
        <v>257</v>
      </c>
      <c r="R934" s="243" t="s">
        <v>257</v>
      </c>
      <c r="S934" s="247"/>
    </row>
    <row r="935" spans="1:19" x14ac:dyDescent="0.2">
      <c r="A935" s="242"/>
      <c r="B935" s="243"/>
      <c r="C935" s="243"/>
      <c r="D935" s="243"/>
      <c r="E935" s="243"/>
      <c r="F935" s="243"/>
      <c r="G935" s="244"/>
      <c r="H935" s="243"/>
      <c r="I935" s="243"/>
      <c r="J935" s="243"/>
      <c r="K935" s="243"/>
      <c r="L935" s="243"/>
      <c r="M935" s="244"/>
      <c r="N935" s="245" t="s">
        <v>257</v>
      </c>
      <c r="O935" s="246"/>
      <c r="P935" s="203" t="s">
        <v>257</v>
      </c>
      <c r="Q935" s="210" t="s">
        <v>257</v>
      </c>
      <c r="R935" s="243" t="s">
        <v>257</v>
      </c>
      <c r="S935" s="247"/>
    </row>
    <row r="936" spans="1:19" x14ac:dyDescent="0.2">
      <c r="A936" s="242"/>
      <c r="B936" s="243"/>
      <c r="C936" s="243"/>
      <c r="D936" s="243"/>
      <c r="E936" s="243"/>
      <c r="F936" s="243"/>
      <c r="G936" s="244"/>
      <c r="H936" s="243"/>
      <c r="I936" s="243"/>
      <c r="J936" s="243"/>
      <c r="K936" s="243"/>
      <c r="L936" s="243"/>
      <c r="M936" s="244"/>
      <c r="N936" s="245" t="s">
        <v>257</v>
      </c>
      <c r="O936" s="246"/>
      <c r="P936" s="203" t="s">
        <v>257</v>
      </c>
      <c r="Q936" s="210" t="s">
        <v>257</v>
      </c>
      <c r="R936" s="243" t="s">
        <v>257</v>
      </c>
      <c r="S936" s="247"/>
    </row>
    <row r="937" spans="1:19" x14ac:dyDescent="0.2">
      <c r="A937" s="242"/>
      <c r="B937" s="243"/>
      <c r="C937" s="243"/>
      <c r="D937" s="243"/>
      <c r="E937" s="243"/>
      <c r="F937" s="243"/>
      <c r="G937" s="244"/>
      <c r="H937" s="243"/>
      <c r="I937" s="243"/>
      <c r="J937" s="243"/>
      <c r="K937" s="243"/>
      <c r="L937" s="243"/>
      <c r="M937" s="244"/>
      <c r="N937" s="245" t="s">
        <v>257</v>
      </c>
      <c r="O937" s="246"/>
      <c r="P937" s="203" t="s">
        <v>257</v>
      </c>
      <c r="Q937" s="210" t="s">
        <v>257</v>
      </c>
      <c r="R937" s="243" t="s">
        <v>257</v>
      </c>
      <c r="S937" s="247"/>
    </row>
    <row r="938" spans="1:19" x14ac:dyDescent="0.2">
      <c r="A938" s="242"/>
      <c r="B938" s="243"/>
      <c r="C938" s="243"/>
      <c r="D938" s="243"/>
      <c r="E938" s="243"/>
      <c r="F938" s="243"/>
      <c r="G938" s="244"/>
      <c r="H938" s="243"/>
      <c r="I938" s="243"/>
      <c r="J938" s="243"/>
      <c r="K938" s="243"/>
      <c r="L938" s="243"/>
      <c r="M938" s="244"/>
      <c r="N938" s="245" t="s">
        <v>257</v>
      </c>
      <c r="O938" s="246"/>
      <c r="P938" s="203" t="s">
        <v>257</v>
      </c>
      <c r="Q938" s="210" t="s">
        <v>257</v>
      </c>
      <c r="R938" s="243" t="s">
        <v>257</v>
      </c>
      <c r="S938" s="247"/>
    </row>
    <row r="939" spans="1:19" x14ac:dyDescent="0.2">
      <c r="A939" s="242"/>
      <c r="B939" s="243"/>
      <c r="C939" s="243"/>
      <c r="D939" s="243"/>
      <c r="E939" s="243"/>
      <c r="F939" s="243"/>
      <c r="G939" s="244"/>
      <c r="H939" s="243"/>
      <c r="I939" s="243"/>
      <c r="J939" s="243"/>
      <c r="K939" s="243"/>
      <c r="L939" s="243"/>
      <c r="M939" s="244"/>
      <c r="N939" s="245" t="s">
        <v>257</v>
      </c>
      <c r="O939" s="246"/>
      <c r="P939" s="203" t="s">
        <v>257</v>
      </c>
      <c r="Q939" s="210" t="s">
        <v>257</v>
      </c>
      <c r="R939" s="243" t="s">
        <v>257</v>
      </c>
      <c r="S939" s="247"/>
    </row>
    <row r="940" spans="1:19" x14ac:dyDescent="0.2">
      <c r="A940" s="242"/>
      <c r="B940" s="243"/>
      <c r="C940" s="243"/>
      <c r="D940" s="243"/>
      <c r="E940" s="243"/>
      <c r="F940" s="243"/>
      <c r="G940" s="244"/>
      <c r="H940" s="243"/>
      <c r="I940" s="243"/>
      <c r="J940" s="243"/>
      <c r="K940" s="243"/>
      <c r="L940" s="243"/>
      <c r="M940" s="244"/>
      <c r="N940" s="245" t="s">
        <v>257</v>
      </c>
      <c r="O940" s="246"/>
      <c r="P940" s="203" t="s">
        <v>257</v>
      </c>
      <c r="Q940" s="210" t="s">
        <v>257</v>
      </c>
      <c r="R940" s="243" t="s">
        <v>257</v>
      </c>
      <c r="S940" s="247"/>
    </row>
    <row r="941" spans="1:19" x14ac:dyDescent="0.2">
      <c r="A941" s="242"/>
      <c r="B941" s="243"/>
      <c r="C941" s="243"/>
      <c r="D941" s="243"/>
      <c r="E941" s="243"/>
      <c r="F941" s="243"/>
      <c r="G941" s="244"/>
      <c r="H941" s="243"/>
      <c r="I941" s="243"/>
      <c r="J941" s="243"/>
      <c r="K941" s="243"/>
      <c r="L941" s="243"/>
      <c r="M941" s="244"/>
      <c r="N941" s="245" t="s">
        <v>257</v>
      </c>
      <c r="O941" s="246"/>
      <c r="P941" s="203" t="s">
        <v>257</v>
      </c>
      <c r="Q941" s="210" t="s">
        <v>257</v>
      </c>
      <c r="R941" s="243" t="s">
        <v>257</v>
      </c>
      <c r="S941" s="247"/>
    </row>
    <row r="942" spans="1:19" x14ac:dyDescent="0.2">
      <c r="A942" s="242"/>
      <c r="B942" s="243"/>
      <c r="C942" s="243"/>
      <c r="D942" s="243"/>
      <c r="E942" s="243"/>
      <c r="F942" s="243"/>
      <c r="G942" s="244"/>
      <c r="H942" s="243"/>
      <c r="I942" s="243"/>
      <c r="J942" s="243"/>
      <c r="K942" s="243"/>
      <c r="L942" s="243"/>
      <c r="M942" s="244"/>
      <c r="N942" s="245" t="s">
        <v>257</v>
      </c>
      <c r="O942" s="246"/>
      <c r="P942" s="203" t="s">
        <v>257</v>
      </c>
      <c r="Q942" s="210" t="s">
        <v>257</v>
      </c>
      <c r="R942" s="243" t="s">
        <v>257</v>
      </c>
      <c r="S942" s="247"/>
    </row>
    <row r="943" spans="1:19" x14ac:dyDescent="0.2">
      <c r="A943" s="242"/>
      <c r="B943" s="243"/>
      <c r="C943" s="243"/>
      <c r="D943" s="243"/>
      <c r="E943" s="243"/>
      <c r="F943" s="243"/>
      <c r="G943" s="244"/>
      <c r="H943" s="243"/>
      <c r="I943" s="243"/>
      <c r="J943" s="243"/>
      <c r="K943" s="243"/>
      <c r="L943" s="243"/>
      <c r="M943" s="244"/>
      <c r="N943" s="245" t="s">
        <v>257</v>
      </c>
      <c r="O943" s="246"/>
      <c r="P943" s="203" t="s">
        <v>257</v>
      </c>
      <c r="Q943" s="210" t="s">
        <v>257</v>
      </c>
      <c r="R943" s="243" t="s">
        <v>257</v>
      </c>
      <c r="S943" s="247"/>
    </row>
    <row r="944" spans="1:19" x14ac:dyDescent="0.2">
      <c r="A944" s="242"/>
      <c r="B944" s="243"/>
      <c r="C944" s="243"/>
      <c r="D944" s="243"/>
      <c r="E944" s="243"/>
      <c r="F944" s="243"/>
      <c r="G944" s="244"/>
      <c r="H944" s="243"/>
      <c r="I944" s="243"/>
      <c r="J944" s="243"/>
      <c r="K944" s="243"/>
      <c r="L944" s="243"/>
      <c r="M944" s="244"/>
      <c r="N944" s="245" t="s">
        <v>257</v>
      </c>
      <c r="O944" s="246"/>
      <c r="P944" s="203" t="s">
        <v>257</v>
      </c>
      <c r="Q944" s="210" t="s">
        <v>257</v>
      </c>
      <c r="R944" s="243" t="s">
        <v>257</v>
      </c>
      <c r="S944" s="247"/>
    </row>
    <row r="945" spans="1:19" x14ac:dyDescent="0.2">
      <c r="A945" s="242"/>
      <c r="B945" s="243"/>
      <c r="C945" s="243"/>
      <c r="D945" s="243"/>
      <c r="E945" s="243"/>
      <c r="F945" s="243"/>
      <c r="G945" s="244"/>
      <c r="H945" s="243"/>
      <c r="I945" s="243"/>
      <c r="J945" s="243"/>
      <c r="K945" s="243"/>
      <c r="L945" s="243"/>
      <c r="M945" s="244"/>
      <c r="N945" s="245" t="s">
        <v>257</v>
      </c>
      <c r="O945" s="246"/>
      <c r="P945" s="203" t="s">
        <v>257</v>
      </c>
      <c r="Q945" s="210" t="s">
        <v>257</v>
      </c>
      <c r="R945" s="243" t="s">
        <v>257</v>
      </c>
      <c r="S945" s="247"/>
    </row>
    <row r="946" spans="1:19" x14ac:dyDescent="0.2">
      <c r="A946" s="242"/>
      <c r="B946" s="243"/>
      <c r="C946" s="243"/>
      <c r="D946" s="243"/>
      <c r="E946" s="243"/>
      <c r="F946" s="243"/>
      <c r="G946" s="244"/>
      <c r="H946" s="243"/>
      <c r="I946" s="243"/>
      <c r="J946" s="243"/>
      <c r="K946" s="243"/>
      <c r="L946" s="243"/>
      <c r="M946" s="244"/>
      <c r="N946" s="245" t="s">
        <v>257</v>
      </c>
      <c r="O946" s="246"/>
      <c r="P946" s="203" t="s">
        <v>257</v>
      </c>
      <c r="Q946" s="210" t="s">
        <v>257</v>
      </c>
      <c r="R946" s="243" t="s">
        <v>257</v>
      </c>
      <c r="S946" s="247"/>
    </row>
    <row r="947" spans="1:19" x14ac:dyDescent="0.2">
      <c r="A947" s="242"/>
      <c r="B947" s="243"/>
      <c r="C947" s="243"/>
      <c r="D947" s="243"/>
      <c r="E947" s="243"/>
      <c r="F947" s="243"/>
      <c r="G947" s="244"/>
      <c r="H947" s="243"/>
      <c r="I947" s="243"/>
      <c r="J947" s="243"/>
      <c r="K947" s="243"/>
      <c r="L947" s="243"/>
      <c r="M947" s="244"/>
      <c r="N947" s="245" t="s">
        <v>257</v>
      </c>
      <c r="O947" s="246"/>
      <c r="P947" s="203" t="s">
        <v>257</v>
      </c>
      <c r="Q947" s="210" t="s">
        <v>257</v>
      </c>
      <c r="R947" s="243" t="s">
        <v>257</v>
      </c>
      <c r="S947" s="247"/>
    </row>
    <row r="948" spans="1:19" x14ac:dyDescent="0.2">
      <c r="A948" s="242"/>
      <c r="B948" s="243"/>
      <c r="C948" s="243"/>
      <c r="D948" s="243"/>
      <c r="E948" s="243"/>
      <c r="F948" s="243"/>
      <c r="G948" s="244"/>
      <c r="H948" s="243"/>
      <c r="I948" s="243"/>
      <c r="J948" s="243"/>
      <c r="K948" s="243"/>
      <c r="L948" s="243"/>
      <c r="M948" s="244"/>
      <c r="N948" s="245" t="s">
        <v>257</v>
      </c>
      <c r="O948" s="246"/>
      <c r="P948" s="203" t="s">
        <v>257</v>
      </c>
      <c r="Q948" s="210" t="s">
        <v>257</v>
      </c>
      <c r="R948" s="243" t="s">
        <v>257</v>
      </c>
      <c r="S948" s="247"/>
    </row>
    <row r="949" spans="1:19" x14ac:dyDescent="0.2">
      <c r="A949" s="242"/>
      <c r="B949" s="243"/>
      <c r="C949" s="243"/>
      <c r="D949" s="243"/>
      <c r="E949" s="243"/>
      <c r="F949" s="243"/>
      <c r="G949" s="244"/>
      <c r="H949" s="243"/>
      <c r="I949" s="243"/>
      <c r="J949" s="243"/>
      <c r="K949" s="243"/>
      <c r="L949" s="243"/>
      <c r="M949" s="244"/>
      <c r="N949" s="245" t="s">
        <v>257</v>
      </c>
      <c r="O949" s="246"/>
      <c r="P949" s="203" t="s">
        <v>257</v>
      </c>
      <c r="Q949" s="210" t="s">
        <v>257</v>
      </c>
      <c r="R949" s="243" t="s">
        <v>257</v>
      </c>
      <c r="S949" s="247"/>
    </row>
    <row r="950" spans="1:19" x14ac:dyDescent="0.2">
      <c r="A950" s="242"/>
      <c r="B950" s="243"/>
      <c r="C950" s="243"/>
      <c r="D950" s="243"/>
      <c r="E950" s="243"/>
      <c r="F950" s="243"/>
      <c r="G950" s="244"/>
      <c r="H950" s="243"/>
      <c r="I950" s="243"/>
      <c r="J950" s="243"/>
      <c r="K950" s="243"/>
      <c r="L950" s="243"/>
      <c r="M950" s="244"/>
      <c r="N950" s="245" t="s">
        <v>257</v>
      </c>
      <c r="O950" s="246"/>
      <c r="P950" s="203" t="s">
        <v>257</v>
      </c>
      <c r="Q950" s="210" t="s">
        <v>257</v>
      </c>
      <c r="R950" s="243" t="s">
        <v>257</v>
      </c>
      <c r="S950" s="247"/>
    </row>
    <row r="951" spans="1:19" x14ac:dyDescent="0.2">
      <c r="A951" s="242"/>
      <c r="B951" s="243"/>
      <c r="C951" s="243"/>
      <c r="D951" s="243"/>
      <c r="E951" s="243"/>
      <c r="F951" s="243"/>
      <c r="G951" s="244"/>
      <c r="H951" s="243"/>
      <c r="I951" s="243"/>
      <c r="J951" s="243"/>
      <c r="K951" s="243"/>
      <c r="L951" s="243"/>
      <c r="M951" s="244"/>
      <c r="N951" s="245" t="s">
        <v>257</v>
      </c>
      <c r="O951" s="246"/>
      <c r="P951" s="203" t="s">
        <v>257</v>
      </c>
      <c r="Q951" s="210" t="s">
        <v>257</v>
      </c>
      <c r="R951" s="243" t="s">
        <v>257</v>
      </c>
      <c r="S951" s="247"/>
    </row>
    <row r="952" spans="1:19" x14ac:dyDescent="0.2">
      <c r="A952" s="242"/>
      <c r="B952" s="243"/>
      <c r="C952" s="243"/>
      <c r="D952" s="243"/>
      <c r="E952" s="243"/>
      <c r="F952" s="243"/>
      <c r="G952" s="244"/>
      <c r="H952" s="243"/>
      <c r="I952" s="243"/>
      <c r="J952" s="243"/>
      <c r="K952" s="243"/>
      <c r="L952" s="243"/>
      <c r="M952" s="244"/>
      <c r="N952" s="245" t="s">
        <v>257</v>
      </c>
      <c r="O952" s="246"/>
      <c r="P952" s="203" t="s">
        <v>257</v>
      </c>
      <c r="Q952" s="210" t="s">
        <v>257</v>
      </c>
      <c r="R952" s="243" t="s">
        <v>257</v>
      </c>
      <c r="S952" s="247"/>
    </row>
    <row r="953" spans="1:19" x14ac:dyDescent="0.2">
      <c r="A953" s="242"/>
      <c r="B953" s="243"/>
      <c r="C953" s="243"/>
      <c r="D953" s="243"/>
      <c r="E953" s="243"/>
      <c r="F953" s="243"/>
      <c r="G953" s="244"/>
      <c r="H953" s="243"/>
      <c r="I953" s="243"/>
      <c r="J953" s="243"/>
      <c r="K953" s="243"/>
      <c r="L953" s="243"/>
      <c r="M953" s="244"/>
      <c r="N953" s="245" t="s">
        <v>257</v>
      </c>
      <c r="O953" s="246"/>
      <c r="P953" s="203" t="s">
        <v>257</v>
      </c>
      <c r="Q953" s="210" t="s">
        <v>257</v>
      </c>
      <c r="R953" s="243" t="s">
        <v>257</v>
      </c>
      <c r="S953" s="247"/>
    </row>
    <row r="954" spans="1:19" x14ac:dyDescent="0.2">
      <c r="A954" s="242"/>
      <c r="B954" s="243"/>
      <c r="C954" s="243"/>
      <c r="D954" s="243"/>
      <c r="E954" s="243"/>
      <c r="F954" s="243"/>
      <c r="G954" s="244"/>
      <c r="H954" s="243"/>
      <c r="I954" s="243"/>
      <c r="J954" s="243"/>
      <c r="K954" s="243"/>
      <c r="L954" s="243"/>
      <c r="M954" s="244"/>
      <c r="N954" s="245" t="s">
        <v>257</v>
      </c>
      <c r="O954" s="246"/>
      <c r="P954" s="203" t="s">
        <v>257</v>
      </c>
      <c r="Q954" s="210" t="s">
        <v>257</v>
      </c>
      <c r="R954" s="243" t="s">
        <v>257</v>
      </c>
      <c r="S954" s="247"/>
    </row>
    <row r="955" spans="1:19" x14ac:dyDescent="0.2">
      <c r="A955" s="242"/>
      <c r="B955" s="243"/>
      <c r="C955" s="243"/>
      <c r="D955" s="243"/>
      <c r="E955" s="243"/>
      <c r="F955" s="243"/>
      <c r="G955" s="244"/>
      <c r="H955" s="243"/>
      <c r="I955" s="243"/>
      <c r="J955" s="243"/>
      <c r="K955" s="243"/>
      <c r="L955" s="243"/>
      <c r="M955" s="244"/>
      <c r="N955" s="245" t="s">
        <v>257</v>
      </c>
      <c r="O955" s="246"/>
      <c r="P955" s="203" t="s">
        <v>257</v>
      </c>
      <c r="Q955" s="210" t="s">
        <v>257</v>
      </c>
      <c r="R955" s="243" t="s">
        <v>257</v>
      </c>
      <c r="S955" s="247"/>
    </row>
    <row r="956" spans="1:19" x14ac:dyDescent="0.2">
      <c r="A956" s="242"/>
      <c r="B956" s="243"/>
      <c r="C956" s="243"/>
      <c r="D956" s="243"/>
      <c r="E956" s="243"/>
      <c r="F956" s="243"/>
      <c r="G956" s="244"/>
      <c r="H956" s="243"/>
      <c r="I956" s="243"/>
      <c r="J956" s="243"/>
      <c r="K956" s="243"/>
      <c r="L956" s="243"/>
      <c r="M956" s="244"/>
      <c r="N956" s="245" t="s">
        <v>257</v>
      </c>
      <c r="O956" s="246"/>
      <c r="P956" s="203" t="s">
        <v>257</v>
      </c>
      <c r="Q956" s="210" t="s">
        <v>257</v>
      </c>
      <c r="R956" s="243" t="s">
        <v>257</v>
      </c>
      <c r="S956" s="247"/>
    </row>
    <row r="957" spans="1:19" x14ac:dyDescent="0.2">
      <c r="A957" s="242"/>
      <c r="B957" s="243"/>
      <c r="C957" s="243"/>
      <c r="D957" s="243"/>
      <c r="E957" s="243"/>
      <c r="F957" s="243"/>
      <c r="G957" s="244"/>
      <c r="H957" s="243"/>
      <c r="I957" s="243"/>
      <c r="J957" s="243"/>
      <c r="K957" s="243"/>
      <c r="L957" s="243"/>
      <c r="M957" s="244"/>
      <c r="N957" s="245" t="s">
        <v>257</v>
      </c>
      <c r="O957" s="246"/>
      <c r="P957" s="203" t="s">
        <v>257</v>
      </c>
      <c r="Q957" s="210" t="s">
        <v>257</v>
      </c>
      <c r="R957" s="243" t="s">
        <v>257</v>
      </c>
      <c r="S957" s="247"/>
    </row>
    <row r="958" spans="1:19" x14ac:dyDescent="0.2">
      <c r="A958" s="242"/>
      <c r="B958" s="243"/>
      <c r="C958" s="243"/>
      <c r="D958" s="243"/>
      <c r="E958" s="243"/>
      <c r="F958" s="243"/>
      <c r="G958" s="244"/>
      <c r="H958" s="243"/>
      <c r="I958" s="243"/>
      <c r="J958" s="243"/>
      <c r="K958" s="243"/>
      <c r="L958" s="243"/>
      <c r="M958" s="244"/>
      <c r="N958" s="245" t="s">
        <v>257</v>
      </c>
      <c r="O958" s="246"/>
      <c r="P958" s="203" t="s">
        <v>257</v>
      </c>
      <c r="Q958" s="210" t="s">
        <v>257</v>
      </c>
      <c r="R958" s="243" t="s">
        <v>257</v>
      </c>
      <c r="S958" s="247"/>
    </row>
    <row r="959" spans="1:19" x14ac:dyDescent="0.2">
      <c r="A959" s="242"/>
      <c r="B959" s="243"/>
      <c r="C959" s="243"/>
      <c r="D959" s="243"/>
      <c r="E959" s="243"/>
      <c r="F959" s="243"/>
      <c r="G959" s="244"/>
      <c r="H959" s="243"/>
      <c r="I959" s="243"/>
      <c r="J959" s="243"/>
      <c r="K959" s="243"/>
      <c r="L959" s="243"/>
      <c r="M959" s="244"/>
      <c r="N959" s="245" t="s">
        <v>257</v>
      </c>
      <c r="O959" s="246"/>
      <c r="P959" s="203" t="s">
        <v>257</v>
      </c>
      <c r="Q959" s="210" t="s">
        <v>257</v>
      </c>
      <c r="R959" s="243" t="s">
        <v>257</v>
      </c>
      <c r="S959" s="247"/>
    </row>
    <row r="960" spans="1:19" x14ac:dyDescent="0.2">
      <c r="A960" s="242"/>
      <c r="B960" s="243"/>
      <c r="C960" s="243"/>
      <c r="D960" s="243"/>
      <c r="E960" s="243"/>
      <c r="F960" s="243"/>
      <c r="G960" s="244"/>
      <c r="H960" s="243"/>
      <c r="I960" s="243"/>
      <c r="J960" s="243"/>
      <c r="K960" s="243"/>
      <c r="L960" s="243"/>
      <c r="M960" s="244"/>
      <c r="N960" s="245" t="s">
        <v>257</v>
      </c>
      <c r="O960" s="246"/>
      <c r="P960" s="203" t="s">
        <v>257</v>
      </c>
      <c r="Q960" s="210" t="s">
        <v>257</v>
      </c>
      <c r="R960" s="243" t="s">
        <v>257</v>
      </c>
      <c r="S960" s="247"/>
    </row>
    <row r="961" spans="1:19" x14ac:dyDescent="0.2">
      <c r="A961" s="242"/>
      <c r="B961" s="243"/>
      <c r="C961" s="243"/>
      <c r="D961" s="243"/>
      <c r="E961" s="243"/>
      <c r="F961" s="243"/>
      <c r="G961" s="244"/>
      <c r="H961" s="243"/>
      <c r="I961" s="243"/>
      <c r="J961" s="243"/>
      <c r="K961" s="243"/>
      <c r="L961" s="243"/>
      <c r="M961" s="244"/>
      <c r="N961" s="245" t="s">
        <v>257</v>
      </c>
      <c r="O961" s="246"/>
      <c r="P961" s="203" t="s">
        <v>257</v>
      </c>
      <c r="Q961" s="210" t="s">
        <v>257</v>
      </c>
      <c r="R961" s="243" t="s">
        <v>257</v>
      </c>
      <c r="S961" s="247"/>
    </row>
    <row r="962" spans="1:19" x14ac:dyDescent="0.2">
      <c r="A962" s="242"/>
      <c r="B962" s="243"/>
      <c r="C962" s="243"/>
      <c r="D962" s="243"/>
      <c r="E962" s="243"/>
      <c r="F962" s="243"/>
      <c r="G962" s="244"/>
      <c r="H962" s="243"/>
      <c r="I962" s="243"/>
      <c r="J962" s="243"/>
      <c r="K962" s="243"/>
      <c r="L962" s="243"/>
      <c r="M962" s="244"/>
      <c r="N962" s="245" t="s">
        <v>257</v>
      </c>
      <c r="O962" s="246"/>
      <c r="P962" s="203" t="s">
        <v>257</v>
      </c>
      <c r="Q962" s="210" t="s">
        <v>257</v>
      </c>
      <c r="R962" s="243" t="s">
        <v>257</v>
      </c>
      <c r="S962" s="247"/>
    </row>
    <row r="963" spans="1:19" x14ac:dyDescent="0.2">
      <c r="A963" s="242"/>
      <c r="B963" s="243"/>
      <c r="C963" s="243"/>
      <c r="D963" s="243"/>
      <c r="E963" s="243"/>
      <c r="F963" s="243"/>
      <c r="G963" s="244"/>
      <c r="H963" s="243"/>
      <c r="I963" s="243"/>
      <c r="J963" s="243"/>
      <c r="K963" s="243"/>
      <c r="L963" s="243"/>
      <c r="M963" s="244"/>
      <c r="N963" s="245" t="s">
        <v>257</v>
      </c>
      <c r="O963" s="246"/>
      <c r="P963" s="203" t="s">
        <v>257</v>
      </c>
      <c r="Q963" s="210" t="s">
        <v>257</v>
      </c>
      <c r="R963" s="243" t="s">
        <v>257</v>
      </c>
      <c r="S963" s="247"/>
    </row>
    <row r="964" spans="1:19" x14ac:dyDescent="0.2">
      <c r="A964" s="242"/>
      <c r="B964" s="243"/>
      <c r="C964" s="243"/>
      <c r="D964" s="243"/>
      <c r="E964" s="243"/>
      <c r="F964" s="243"/>
      <c r="G964" s="244"/>
      <c r="H964" s="243"/>
      <c r="I964" s="243"/>
      <c r="J964" s="243"/>
      <c r="K964" s="243"/>
      <c r="L964" s="243"/>
      <c r="M964" s="244"/>
      <c r="N964" s="245" t="s">
        <v>257</v>
      </c>
      <c r="O964" s="246"/>
      <c r="P964" s="203" t="s">
        <v>257</v>
      </c>
      <c r="Q964" s="210" t="s">
        <v>257</v>
      </c>
      <c r="R964" s="243" t="s">
        <v>257</v>
      </c>
      <c r="S964" s="247"/>
    </row>
    <row r="965" spans="1:19" x14ac:dyDescent="0.2">
      <c r="A965" s="242"/>
      <c r="B965" s="243"/>
      <c r="C965" s="243"/>
      <c r="D965" s="243"/>
      <c r="E965" s="243"/>
      <c r="F965" s="243"/>
      <c r="G965" s="244"/>
      <c r="H965" s="243"/>
      <c r="I965" s="243"/>
      <c r="J965" s="243"/>
      <c r="K965" s="243"/>
      <c r="L965" s="243"/>
      <c r="M965" s="244"/>
      <c r="N965" s="245" t="s">
        <v>257</v>
      </c>
      <c r="O965" s="246"/>
      <c r="P965" s="203" t="s">
        <v>257</v>
      </c>
      <c r="Q965" s="210" t="s">
        <v>257</v>
      </c>
      <c r="R965" s="243" t="s">
        <v>257</v>
      </c>
      <c r="S965" s="247"/>
    </row>
    <row r="966" spans="1:19" x14ac:dyDescent="0.2">
      <c r="A966" s="242"/>
      <c r="B966" s="243"/>
      <c r="C966" s="243"/>
      <c r="D966" s="243"/>
      <c r="E966" s="243"/>
      <c r="F966" s="243"/>
      <c r="G966" s="244"/>
      <c r="H966" s="243"/>
      <c r="I966" s="243"/>
      <c r="J966" s="243"/>
      <c r="K966" s="243"/>
      <c r="L966" s="243"/>
      <c r="M966" s="244"/>
      <c r="N966" s="245" t="s">
        <v>257</v>
      </c>
      <c r="O966" s="246"/>
      <c r="P966" s="203" t="s">
        <v>257</v>
      </c>
      <c r="Q966" s="210" t="s">
        <v>257</v>
      </c>
      <c r="R966" s="243" t="s">
        <v>257</v>
      </c>
      <c r="S966" s="247"/>
    </row>
    <row r="967" spans="1:19" x14ac:dyDescent="0.2">
      <c r="A967" s="242"/>
      <c r="B967" s="243"/>
      <c r="C967" s="243"/>
      <c r="D967" s="243"/>
      <c r="E967" s="243"/>
      <c r="F967" s="243"/>
      <c r="G967" s="244"/>
      <c r="H967" s="243"/>
      <c r="I967" s="243"/>
      <c r="J967" s="243"/>
      <c r="K967" s="243"/>
      <c r="L967" s="243"/>
      <c r="M967" s="244"/>
      <c r="N967" s="245" t="s">
        <v>257</v>
      </c>
      <c r="O967" s="246"/>
      <c r="P967" s="203" t="s">
        <v>257</v>
      </c>
      <c r="Q967" s="210" t="s">
        <v>257</v>
      </c>
      <c r="R967" s="243" t="s">
        <v>257</v>
      </c>
      <c r="S967" s="247"/>
    </row>
    <row r="968" spans="1:19" x14ac:dyDescent="0.2">
      <c r="A968" s="242"/>
      <c r="B968" s="243"/>
      <c r="C968" s="243"/>
      <c r="D968" s="243"/>
      <c r="E968" s="243"/>
      <c r="F968" s="243"/>
      <c r="G968" s="244"/>
      <c r="H968" s="243"/>
      <c r="I968" s="243"/>
      <c r="J968" s="243"/>
      <c r="K968" s="243"/>
      <c r="L968" s="243"/>
      <c r="M968" s="244"/>
      <c r="N968" s="245" t="s">
        <v>257</v>
      </c>
      <c r="O968" s="246"/>
      <c r="P968" s="203" t="s">
        <v>257</v>
      </c>
      <c r="Q968" s="210" t="s">
        <v>257</v>
      </c>
      <c r="R968" s="243" t="s">
        <v>257</v>
      </c>
      <c r="S968" s="247"/>
    </row>
    <row r="969" spans="1:19" x14ac:dyDescent="0.2">
      <c r="A969" s="242"/>
      <c r="B969" s="243"/>
      <c r="C969" s="243"/>
      <c r="D969" s="243"/>
      <c r="E969" s="243"/>
      <c r="F969" s="243"/>
      <c r="G969" s="244"/>
      <c r="H969" s="243"/>
      <c r="I969" s="243"/>
      <c r="J969" s="243"/>
      <c r="K969" s="243"/>
      <c r="L969" s="243"/>
      <c r="M969" s="244"/>
      <c r="N969" s="245" t="s">
        <v>257</v>
      </c>
      <c r="O969" s="246"/>
      <c r="P969" s="203" t="s">
        <v>257</v>
      </c>
      <c r="Q969" s="210" t="s">
        <v>257</v>
      </c>
      <c r="R969" s="243" t="s">
        <v>257</v>
      </c>
      <c r="S969" s="247"/>
    </row>
    <row r="970" spans="1:19" x14ac:dyDescent="0.2">
      <c r="A970" s="242"/>
      <c r="B970" s="243"/>
      <c r="C970" s="243"/>
      <c r="D970" s="243"/>
      <c r="E970" s="243"/>
      <c r="F970" s="243"/>
      <c r="G970" s="244"/>
      <c r="H970" s="243"/>
      <c r="I970" s="243"/>
      <c r="J970" s="243"/>
      <c r="K970" s="243"/>
      <c r="L970" s="243"/>
      <c r="M970" s="244"/>
      <c r="N970" s="245" t="s">
        <v>257</v>
      </c>
      <c r="O970" s="246"/>
      <c r="P970" s="203" t="s">
        <v>257</v>
      </c>
      <c r="Q970" s="210" t="s">
        <v>257</v>
      </c>
      <c r="R970" s="243" t="s">
        <v>257</v>
      </c>
      <c r="S970" s="247"/>
    </row>
    <row r="971" spans="1:19" x14ac:dyDescent="0.2">
      <c r="A971" s="242"/>
      <c r="B971" s="243"/>
      <c r="C971" s="243"/>
      <c r="D971" s="243"/>
      <c r="E971" s="243"/>
      <c r="F971" s="243"/>
      <c r="G971" s="244"/>
      <c r="H971" s="243"/>
      <c r="I971" s="243"/>
      <c r="J971" s="243"/>
      <c r="K971" s="243"/>
      <c r="L971" s="243"/>
      <c r="M971" s="244"/>
      <c r="N971" s="245" t="s">
        <v>257</v>
      </c>
      <c r="O971" s="246"/>
      <c r="P971" s="203" t="s">
        <v>257</v>
      </c>
      <c r="Q971" s="210" t="s">
        <v>257</v>
      </c>
      <c r="R971" s="243" t="s">
        <v>257</v>
      </c>
      <c r="S971" s="247"/>
    </row>
    <row r="972" spans="1:19" x14ac:dyDescent="0.2">
      <c r="A972" s="242"/>
      <c r="B972" s="243"/>
      <c r="C972" s="243"/>
      <c r="D972" s="243"/>
      <c r="E972" s="243"/>
      <c r="F972" s="243"/>
      <c r="G972" s="244"/>
      <c r="H972" s="243"/>
      <c r="I972" s="243"/>
      <c r="J972" s="243"/>
      <c r="K972" s="243"/>
      <c r="L972" s="243"/>
      <c r="M972" s="244"/>
      <c r="N972" s="245" t="s">
        <v>257</v>
      </c>
      <c r="O972" s="246"/>
      <c r="P972" s="203" t="s">
        <v>257</v>
      </c>
      <c r="Q972" s="210" t="s">
        <v>257</v>
      </c>
      <c r="R972" s="243" t="s">
        <v>257</v>
      </c>
      <c r="S972" s="247"/>
    </row>
    <row r="973" spans="1:19" x14ac:dyDescent="0.2">
      <c r="A973" s="242"/>
      <c r="B973" s="243"/>
      <c r="C973" s="243"/>
      <c r="D973" s="243"/>
      <c r="E973" s="243"/>
      <c r="F973" s="243"/>
      <c r="G973" s="244"/>
      <c r="H973" s="243"/>
      <c r="I973" s="243"/>
      <c r="J973" s="243"/>
      <c r="K973" s="243"/>
      <c r="L973" s="243"/>
      <c r="M973" s="244"/>
      <c r="N973" s="245" t="s">
        <v>257</v>
      </c>
      <c r="O973" s="246"/>
      <c r="P973" s="203" t="s">
        <v>257</v>
      </c>
      <c r="Q973" s="210" t="s">
        <v>257</v>
      </c>
      <c r="R973" s="243" t="s">
        <v>257</v>
      </c>
      <c r="S973" s="247"/>
    </row>
    <row r="974" spans="1:19" x14ac:dyDescent="0.2">
      <c r="A974" s="242"/>
      <c r="B974" s="243"/>
      <c r="C974" s="243"/>
      <c r="D974" s="243"/>
      <c r="E974" s="243"/>
      <c r="F974" s="243"/>
      <c r="G974" s="244"/>
      <c r="H974" s="243"/>
      <c r="I974" s="243"/>
      <c r="J974" s="243"/>
      <c r="K974" s="243"/>
      <c r="L974" s="243"/>
      <c r="M974" s="244"/>
      <c r="N974" s="245" t="s">
        <v>257</v>
      </c>
      <c r="O974" s="246"/>
      <c r="P974" s="203" t="s">
        <v>257</v>
      </c>
      <c r="Q974" s="210" t="s">
        <v>257</v>
      </c>
      <c r="R974" s="243" t="s">
        <v>257</v>
      </c>
      <c r="S974" s="247"/>
    </row>
    <row r="975" spans="1:19" x14ac:dyDescent="0.2">
      <c r="A975" s="242"/>
      <c r="B975" s="243"/>
      <c r="C975" s="243"/>
      <c r="D975" s="243"/>
      <c r="E975" s="243"/>
      <c r="F975" s="243"/>
      <c r="G975" s="244"/>
      <c r="H975" s="243"/>
      <c r="I975" s="243"/>
      <c r="J975" s="243"/>
      <c r="K975" s="243"/>
      <c r="L975" s="243"/>
      <c r="M975" s="244"/>
      <c r="N975" s="245" t="s">
        <v>257</v>
      </c>
      <c r="O975" s="246"/>
      <c r="P975" s="203" t="s">
        <v>257</v>
      </c>
      <c r="Q975" s="210" t="s">
        <v>257</v>
      </c>
      <c r="R975" s="243" t="s">
        <v>257</v>
      </c>
      <c r="S975" s="247"/>
    </row>
    <row r="976" spans="1:19" x14ac:dyDescent="0.2">
      <c r="A976" s="242"/>
      <c r="B976" s="243"/>
      <c r="C976" s="243"/>
      <c r="D976" s="243"/>
      <c r="E976" s="243"/>
      <c r="F976" s="243"/>
      <c r="G976" s="244"/>
      <c r="H976" s="243"/>
      <c r="I976" s="243"/>
      <c r="J976" s="243"/>
      <c r="K976" s="243"/>
      <c r="L976" s="243"/>
      <c r="M976" s="244"/>
      <c r="N976" s="245" t="s">
        <v>257</v>
      </c>
      <c r="O976" s="246"/>
      <c r="P976" s="203" t="s">
        <v>257</v>
      </c>
      <c r="Q976" s="210" t="s">
        <v>257</v>
      </c>
      <c r="R976" s="243" t="s">
        <v>257</v>
      </c>
      <c r="S976" s="247"/>
    </row>
    <row r="977" spans="1:19" x14ac:dyDescent="0.2">
      <c r="A977" s="242"/>
      <c r="B977" s="243"/>
      <c r="C977" s="243"/>
      <c r="D977" s="243"/>
      <c r="E977" s="243"/>
      <c r="F977" s="243"/>
      <c r="G977" s="244"/>
      <c r="H977" s="243"/>
      <c r="I977" s="243"/>
      <c r="J977" s="243"/>
      <c r="K977" s="243"/>
      <c r="L977" s="243"/>
      <c r="M977" s="244"/>
      <c r="N977" s="245" t="s">
        <v>257</v>
      </c>
      <c r="O977" s="246"/>
      <c r="P977" s="203" t="s">
        <v>257</v>
      </c>
      <c r="Q977" s="210" t="s">
        <v>257</v>
      </c>
      <c r="R977" s="243" t="s">
        <v>257</v>
      </c>
      <c r="S977" s="247"/>
    </row>
    <row r="978" spans="1:19" x14ac:dyDescent="0.2">
      <c r="A978" s="242"/>
      <c r="B978" s="243"/>
      <c r="C978" s="243"/>
      <c r="D978" s="243"/>
      <c r="E978" s="243"/>
      <c r="F978" s="243"/>
      <c r="G978" s="244"/>
      <c r="H978" s="243"/>
      <c r="I978" s="243"/>
      <c r="J978" s="243"/>
      <c r="K978" s="243"/>
      <c r="L978" s="243"/>
      <c r="M978" s="244"/>
      <c r="N978" s="245" t="s">
        <v>257</v>
      </c>
      <c r="O978" s="246"/>
      <c r="P978" s="203" t="s">
        <v>257</v>
      </c>
      <c r="Q978" s="210" t="s">
        <v>257</v>
      </c>
      <c r="R978" s="243" t="s">
        <v>257</v>
      </c>
      <c r="S978" s="247"/>
    </row>
    <row r="979" spans="1:19" x14ac:dyDescent="0.2">
      <c r="A979" s="242"/>
      <c r="B979" s="243"/>
      <c r="C979" s="243"/>
      <c r="D979" s="243"/>
      <c r="E979" s="243"/>
      <c r="F979" s="243"/>
      <c r="G979" s="244"/>
      <c r="H979" s="243"/>
      <c r="I979" s="243"/>
      <c r="J979" s="243"/>
      <c r="K979" s="243"/>
      <c r="L979" s="243"/>
      <c r="M979" s="244"/>
      <c r="N979" s="245" t="s">
        <v>257</v>
      </c>
      <c r="O979" s="246"/>
      <c r="P979" s="203" t="s">
        <v>257</v>
      </c>
      <c r="Q979" s="210" t="s">
        <v>257</v>
      </c>
      <c r="R979" s="243" t="s">
        <v>257</v>
      </c>
      <c r="S979" s="247"/>
    </row>
    <row r="980" spans="1:19" x14ac:dyDescent="0.2">
      <c r="A980" s="242"/>
      <c r="B980" s="243"/>
      <c r="C980" s="243"/>
      <c r="D980" s="243"/>
      <c r="E980" s="243"/>
      <c r="F980" s="243"/>
      <c r="G980" s="244"/>
      <c r="H980" s="243"/>
      <c r="I980" s="243"/>
      <c r="J980" s="243"/>
      <c r="K980" s="243"/>
      <c r="L980" s="243"/>
      <c r="M980" s="244"/>
      <c r="N980" s="245" t="s">
        <v>257</v>
      </c>
      <c r="O980" s="246"/>
      <c r="P980" s="203" t="s">
        <v>257</v>
      </c>
      <c r="Q980" s="210" t="s">
        <v>257</v>
      </c>
      <c r="R980" s="243" t="s">
        <v>257</v>
      </c>
      <c r="S980" s="247"/>
    </row>
    <row r="981" spans="1:19" x14ac:dyDescent="0.2">
      <c r="A981" s="242"/>
      <c r="B981" s="243"/>
      <c r="C981" s="243"/>
      <c r="D981" s="243"/>
      <c r="E981" s="243"/>
      <c r="F981" s="243"/>
      <c r="G981" s="244"/>
      <c r="H981" s="243"/>
      <c r="I981" s="243"/>
      <c r="J981" s="243"/>
      <c r="K981" s="243"/>
      <c r="L981" s="243"/>
      <c r="M981" s="244"/>
      <c r="N981" s="245" t="s">
        <v>257</v>
      </c>
      <c r="O981" s="246"/>
      <c r="P981" s="203" t="s">
        <v>257</v>
      </c>
      <c r="Q981" s="210" t="s">
        <v>257</v>
      </c>
      <c r="R981" s="243" t="s">
        <v>257</v>
      </c>
      <c r="S981" s="247"/>
    </row>
    <row r="982" spans="1:19" x14ac:dyDescent="0.2">
      <c r="A982" s="242"/>
      <c r="B982" s="243"/>
      <c r="C982" s="243"/>
      <c r="D982" s="243"/>
      <c r="E982" s="243"/>
      <c r="F982" s="243"/>
      <c r="G982" s="244"/>
      <c r="H982" s="243"/>
      <c r="I982" s="243"/>
      <c r="J982" s="243"/>
      <c r="K982" s="243"/>
      <c r="L982" s="243"/>
      <c r="M982" s="244"/>
      <c r="N982" s="245" t="s">
        <v>257</v>
      </c>
      <c r="O982" s="246"/>
      <c r="P982" s="203" t="s">
        <v>257</v>
      </c>
      <c r="Q982" s="210" t="s">
        <v>257</v>
      </c>
      <c r="R982" s="243" t="s">
        <v>257</v>
      </c>
      <c r="S982" s="247"/>
    </row>
    <row r="983" spans="1:19" x14ac:dyDescent="0.2">
      <c r="A983" s="242"/>
      <c r="B983" s="243"/>
      <c r="C983" s="243"/>
      <c r="D983" s="243"/>
      <c r="E983" s="243"/>
      <c r="F983" s="243"/>
      <c r="G983" s="244"/>
      <c r="H983" s="243"/>
      <c r="I983" s="243"/>
      <c r="J983" s="243"/>
      <c r="K983" s="243"/>
      <c r="L983" s="243"/>
      <c r="M983" s="244"/>
      <c r="N983" s="245" t="s">
        <v>257</v>
      </c>
      <c r="O983" s="246"/>
      <c r="P983" s="203" t="s">
        <v>257</v>
      </c>
      <c r="Q983" s="210" t="s">
        <v>257</v>
      </c>
      <c r="R983" s="243" t="s">
        <v>257</v>
      </c>
      <c r="S983" s="247"/>
    </row>
    <row r="984" spans="1:19" x14ac:dyDescent="0.2">
      <c r="A984" s="242"/>
      <c r="B984" s="243"/>
      <c r="C984" s="243"/>
      <c r="D984" s="243"/>
      <c r="E984" s="243"/>
      <c r="F984" s="243"/>
      <c r="G984" s="244"/>
      <c r="H984" s="243"/>
      <c r="I984" s="243"/>
      <c r="J984" s="243"/>
      <c r="K984" s="243"/>
      <c r="L984" s="243"/>
      <c r="M984" s="244"/>
      <c r="N984" s="245" t="s">
        <v>257</v>
      </c>
      <c r="O984" s="246"/>
      <c r="P984" s="203" t="s">
        <v>257</v>
      </c>
      <c r="Q984" s="210" t="s">
        <v>257</v>
      </c>
      <c r="R984" s="243" t="s">
        <v>257</v>
      </c>
      <c r="S984" s="247"/>
    </row>
    <row r="985" spans="1:19" x14ac:dyDescent="0.2">
      <c r="A985" s="242"/>
      <c r="B985" s="243"/>
      <c r="C985" s="243"/>
      <c r="D985" s="243"/>
      <c r="E985" s="243"/>
      <c r="F985" s="243"/>
      <c r="G985" s="244"/>
      <c r="H985" s="243"/>
      <c r="I985" s="243"/>
      <c r="J985" s="243"/>
      <c r="K985" s="243"/>
      <c r="L985" s="243"/>
      <c r="M985" s="244"/>
      <c r="N985" s="245" t="s">
        <v>257</v>
      </c>
      <c r="O985" s="246"/>
      <c r="P985" s="203" t="s">
        <v>257</v>
      </c>
      <c r="Q985" s="210" t="s">
        <v>257</v>
      </c>
      <c r="R985" s="243" t="s">
        <v>257</v>
      </c>
      <c r="S985" s="247"/>
    </row>
    <row r="986" spans="1:19" x14ac:dyDescent="0.2">
      <c r="A986" s="242"/>
      <c r="B986" s="243"/>
      <c r="C986" s="243"/>
      <c r="D986" s="243"/>
      <c r="E986" s="243"/>
      <c r="F986" s="243"/>
      <c r="G986" s="244"/>
      <c r="H986" s="243"/>
      <c r="I986" s="243"/>
      <c r="J986" s="243"/>
      <c r="K986" s="243"/>
      <c r="L986" s="243"/>
      <c r="M986" s="244"/>
      <c r="N986" s="245" t="s">
        <v>257</v>
      </c>
      <c r="O986" s="246"/>
      <c r="P986" s="203" t="s">
        <v>257</v>
      </c>
      <c r="Q986" s="210" t="s">
        <v>257</v>
      </c>
      <c r="R986" s="243" t="s">
        <v>257</v>
      </c>
      <c r="S986" s="247"/>
    </row>
    <row r="987" spans="1:19" x14ac:dyDescent="0.2">
      <c r="A987" s="242"/>
      <c r="B987" s="243"/>
      <c r="C987" s="243"/>
      <c r="D987" s="243"/>
      <c r="E987" s="243"/>
      <c r="F987" s="243"/>
      <c r="G987" s="244"/>
      <c r="H987" s="243"/>
      <c r="I987" s="243"/>
      <c r="J987" s="243"/>
      <c r="K987" s="243"/>
      <c r="L987" s="243"/>
      <c r="M987" s="244"/>
      <c r="N987" s="245" t="s">
        <v>257</v>
      </c>
      <c r="O987" s="246"/>
      <c r="P987" s="203" t="s">
        <v>257</v>
      </c>
      <c r="Q987" s="210" t="s">
        <v>257</v>
      </c>
      <c r="R987" s="243" t="s">
        <v>257</v>
      </c>
      <c r="S987" s="247"/>
    </row>
    <row r="988" spans="1:19" x14ac:dyDescent="0.2">
      <c r="A988" s="242"/>
      <c r="B988" s="243"/>
      <c r="C988" s="243"/>
      <c r="D988" s="243"/>
      <c r="E988" s="243"/>
      <c r="F988" s="243"/>
      <c r="G988" s="244"/>
      <c r="H988" s="243"/>
      <c r="I988" s="243"/>
      <c r="J988" s="243"/>
      <c r="K988" s="243"/>
      <c r="L988" s="243"/>
      <c r="M988" s="244"/>
      <c r="N988" s="245" t="s">
        <v>257</v>
      </c>
      <c r="O988" s="246"/>
      <c r="P988" s="203" t="s">
        <v>257</v>
      </c>
      <c r="Q988" s="210" t="s">
        <v>257</v>
      </c>
      <c r="R988" s="243" t="s">
        <v>257</v>
      </c>
      <c r="S988" s="247"/>
    </row>
    <row r="989" spans="1:19" x14ac:dyDescent="0.2">
      <c r="A989" s="242"/>
      <c r="B989" s="243"/>
      <c r="C989" s="243"/>
      <c r="D989" s="243"/>
      <c r="E989" s="243"/>
      <c r="F989" s="243"/>
      <c r="G989" s="244"/>
      <c r="H989" s="243"/>
      <c r="I989" s="243"/>
      <c r="J989" s="243"/>
      <c r="K989" s="243"/>
      <c r="L989" s="243"/>
      <c r="M989" s="244"/>
      <c r="N989" s="245" t="s">
        <v>257</v>
      </c>
      <c r="O989" s="246"/>
      <c r="P989" s="203" t="s">
        <v>257</v>
      </c>
      <c r="Q989" s="210" t="s">
        <v>257</v>
      </c>
      <c r="R989" s="243" t="s">
        <v>257</v>
      </c>
      <c r="S989" s="247"/>
    </row>
    <row r="990" spans="1:19" x14ac:dyDescent="0.2">
      <c r="A990" s="242"/>
      <c r="B990" s="243"/>
      <c r="C990" s="243"/>
      <c r="D990" s="243"/>
      <c r="E990" s="243"/>
      <c r="F990" s="243"/>
      <c r="G990" s="244"/>
      <c r="H990" s="243"/>
      <c r="I990" s="243"/>
      <c r="J990" s="243"/>
      <c r="K990" s="243"/>
      <c r="L990" s="243"/>
      <c r="M990" s="244"/>
      <c r="N990" s="245" t="s">
        <v>257</v>
      </c>
      <c r="O990" s="246"/>
      <c r="P990" s="203" t="s">
        <v>257</v>
      </c>
      <c r="Q990" s="210" t="s">
        <v>257</v>
      </c>
      <c r="R990" s="243" t="s">
        <v>257</v>
      </c>
      <c r="S990" s="247"/>
    </row>
    <row r="991" spans="1:19" x14ac:dyDescent="0.2">
      <c r="A991" s="242"/>
      <c r="B991" s="243"/>
      <c r="C991" s="243"/>
      <c r="D991" s="243"/>
      <c r="E991" s="243"/>
      <c r="F991" s="243"/>
      <c r="G991" s="244"/>
      <c r="H991" s="243"/>
      <c r="I991" s="243"/>
      <c r="J991" s="243"/>
      <c r="K991" s="243"/>
      <c r="L991" s="243"/>
      <c r="M991" s="244"/>
      <c r="N991" s="245" t="s">
        <v>257</v>
      </c>
      <c r="O991" s="246"/>
      <c r="P991" s="203" t="s">
        <v>257</v>
      </c>
      <c r="Q991" s="210" t="s">
        <v>257</v>
      </c>
      <c r="R991" s="243" t="s">
        <v>257</v>
      </c>
      <c r="S991" s="247"/>
    </row>
    <row r="992" spans="1:19" x14ac:dyDescent="0.2">
      <c r="A992" s="242"/>
      <c r="B992" s="243"/>
      <c r="C992" s="243"/>
      <c r="D992" s="243"/>
      <c r="E992" s="243"/>
      <c r="F992" s="243"/>
      <c r="G992" s="244"/>
      <c r="H992" s="243"/>
      <c r="I992" s="243"/>
      <c r="J992" s="243"/>
      <c r="K992" s="243"/>
      <c r="L992" s="243"/>
      <c r="M992" s="244"/>
      <c r="N992" s="245" t="s">
        <v>257</v>
      </c>
      <c r="O992" s="246"/>
      <c r="P992" s="203" t="s">
        <v>257</v>
      </c>
      <c r="Q992" s="210" t="s">
        <v>257</v>
      </c>
      <c r="R992" s="243" t="s">
        <v>257</v>
      </c>
      <c r="S992" s="247"/>
    </row>
    <row r="993" spans="1:19" x14ac:dyDescent="0.2">
      <c r="A993" s="242"/>
      <c r="B993" s="243"/>
      <c r="C993" s="243"/>
      <c r="D993" s="243"/>
      <c r="E993" s="243"/>
      <c r="F993" s="243"/>
      <c r="G993" s="244"/>
      <c r="H993" s="243"/>
      <c r="I993" s="243"/>
      <c r="J993" s="243"/>
      <c r="K993" s="243"/>
      <c r="L993" s="243"/>
      <c r="M993" s="244"/>
      <c r="N993" s="245" t="s">
        <v>257</v>
      </c>
      <c r="O993" s="246"/>
      <c r="P993" s="203" t="s">
        <v>257</v>
      </c>
      <c r="Q993" s="210" t="s">
        <v>257</v>
      </c>
      <c r="R993" s="243" t="s">
        <v>257</v>
      </c>
      <c r="S993" s="247"/>
    </row>
    <row r="994" spans="1:19" x14ac:dyDescent="0.2">
      <c r="A994" s="242"/>
      <c r="B994" s="243"/>
      <c r="C994" s="243"/>
      <c r="D994" s="243"/>
      <c r="E994" s="243"/>
      <c r="F994" s="243"/>
      <c r="G994" s="244"/>
      <c r="H994" s="243"/>
      <c r="I994" s="243"/>
      <c r="J994" s="243"/>
      <c r="K994" s="243"/>
      <c r="L994" s="243"/>
      <c r="M994" s="244"/>
      <c r="N994" s="245" t="s">
        <v>257</v>
      </c>
      <c r="O994" s="246"/>
      <c r="P994" s="203" t="s">
        <v>257</v>
      </c>
      <c r="Q994" s="210" t="s">
        <v>257</v>
      </c>
      <c r="R994" s="243" t="s">
        <v>257</v>
      </c>
      <c r="S994" s="247"/>
    </row>
    <row r="995" spans="1:19" x14ac:dyDescent="0.2">
      <c r="A995" s="242"/>
      <c r="B995" s="243"/>
      <c r="C995" s="243"/>
      <c r="D995" s="243"/>
      <c r="E995" s="243"/>
      <c r="F995" s="243"/>
      <c r="G995" s="244"/>
      <c r="H995" s="243"/>
      <c r="I995" s="243"/>
      <c r="J995" s="243"/>
      <c r="K995" s="243"/>
      <c r="L995" s="243"/>
      <c r="M995" s="244"/>
      <c r="N995" s="245" t="s">
        <v>257</v>
      </c>
      <c r="O995" s="246"/>
      <c r="P995" s="203" t="s">
        <v>257</v>
      </c>
      <c r="Q995" s="210" t="s">
        <v>257</v>
      </c>
      <c r="R995" s="243" t="s">
        <v>257</v>
      </c>
      <c r="S995" s="247"/>
    </row>
    <row r="996" spans="1:19" x14ac:dyDescent="0.2">
      <c r="A996" s="242"/>
      <c r="B996" s="243"/>
      <c r="C996" s="243"/>
      <c r="D996" s="243"/>
      <c r="E996" s="243"/>
      <c r="F996" s="243"/>
      <c r="G996" s="244"/>
      <c r="H996" s="243"/>
      <c r="I996" s="243"/>
      <c r="J996" s="243"/>
      <c r="K996" s="243"/>
      <c r="L996" s="243"/>
      <c r="M996" s="244"/>
      <c r="N996" s="245" t="s">
        <v>257</v>
      </c>
      <c r="O996" s="246"/>
      <c r="P996" s="203" t="s">
        <v>257</v>
      </c>
      <c r="Q996" s="210" t="s">
        <v>257</v>
      </c>
      <c r="R996" s="243" t="s">
        <v>257</v>
      </c>
      <c r="S996" s="247"/>
    </row>
    <row r="997" spans="1:19" x14ac:dyDescent="0.2">
      <c r="A997" s="242"/>
      <c r="B997" s="243"/>
      <c r="C997" s="243"/>
      <c r="D997" s="243"/>
      <c r="E997" s="243"/>
      <c r="F997" s="243"/>
      <c r="G997" s="244"/>
      <c r="H997" s="243"/>
      <c r="I997" s="243"/>
      <c r="J997" s="243"/>
      <c r="K997" s="243"/>
      <c r="L997" s="243"/>
      <c r="M997" s="244"/>
      <c r="N997" s="245" t="s">
        <v>257</v>
      </c>
      <c r="O997" s="246"/>
      <c r="P997" s="203" t="s">
        <v>257</v>
      </c>
      <c r="Q997" s="210" t="s">
        <v>257</v>
      </c>
      <c r="R997" s="243" t="s">
        <v>257</v>
      </c>
      <c r="S997" s="247"/>
    </row>
    <row r="998" spans="1:19" x14ac:dyDescent="0.2">
      <c r="A998" s="242"/>
      <c r="B998" s="243"/>
      <c r="C998" s="243"/>
      <c r="D998" s="243"/>
      <c r="E998" s="243"/>
      <c r="F998" s="243"/>
      <c r="G998" s="244"/>
      <c r="H998" s="243"/>
      <c r="I998" s="243"/>
      <c r="J998" s="243"/>
      <c r="K998" s="243"/>
      <c r="L998" s="243"/>
      <c r="M998" s="244"/>
      <c r="N998" s="245" t="s">
        <v>257</v>
      </c>
      <c r="O998" s="246"/>
      <c r="P998" s="203" t="s">
        <v>257</v>
      </c>
      <c r="Q998" s="210" t="s">
        <v>257</v>
      </c>
      <c r="R998" s="243" t="s">
        <v>257</v>
      </c>
      <c r="S998" s="247"/>
    </row>
    <row r="999" spans="1:19" x14ac:dyDescent="0.2">
      <c r="A999" s="242"/>
      <c r="B999" s="243"/>
      <c r="C999" s="243"/>
      <c r="D999" s="243"/>
      <c r="E999" s="243"/>
      <c r="F999" s="243"/>
      <c r="G999" s="244"/>
      <c r="H999" s="243"/>
      <c r="I999" s="243"/>
      <c r="J999" s="243"/>
      <c r="K999" s="243"/>
      <c r="L999" s="243"/>
      <c r="M999" s="244"/>
      <c r="N999" s="245" t="s">
        <v>257</v>
      </c>
      <c r="O999" s="246"/>
      <c r="P999" s="203" t="s">
        <v>257</v>
      </c>
      <c r="Q999" s="210" t="s">
        <v>257</v>
      </c>
      <c r="R999" s="243" t="s">
        <v>257</v>
      </c>
      <c r="S999" s="247"/>
    </row>
    <row r="1000" spans="1:19" x14ac:dyDescent="0.2">
      <c r="A1000" s="242"/>
      <c r="B1000" s="243"/>
      <c r="C1000" s="243"/>
      <c r="D1000" s="243"/>
      <c r="E1000" s="243"/>
      <c r="F1000" s="243"/>
      <c r="G1000" s="244"/>
      <c r="H1000" s="243"/>
      <c r="I1000" s="243"/>
      <c r="J1000" s="243"/>
      <c r="K1000" s="243"/>
      <c r="L1000" s="243"/>
      <c r="M1000" s="244"/>
      <c r="N1000" s="245" t="s">
        <v>257</v>
      </c>
      <c r="O1000" s="246"/>
      <c r="P1000" s="203" t="s">
        <v>257</v>
      </c>
      <c r="Q1000" s="210" t="s">
        <v>257</v>
      </c>
      <c r="R1000" s="243" t="s">
        <v>257</v>
      </c>
      <c r="S1000" s="247"/>
    </row>
    <row r="1001" spans="1:19" x14ac:dyDescent="0.2">
      <c r="A1001" s="242"/>
      <c r="B1001" s="243"/>
      <c r="C1001" s="243"/>
      <c r="D1001" s="243"/>
      <c r="E1001" s="243"/>
      <c r="F1001" s="243"/>
      <c r="G1001" s="244"/>
      <c r="H1001" s="243"/>
      <c r="I1001" s="243"/>
      <c r="J1001" s="243"/>
      <c r="K1001" s="243"/>
      <c r="L1001" s="243"/>
      <c r="M1001" s="244"/>
      <c r="N1001" s="245" t="s">
        <v>257</v>
      </c>
      <c r="O1001" s="246"/>
      <c r="P1001" s="203" t="s">
        <v>257</v>
      </c>
      <c r="Q1001" s="210" t="s">
        <v>257</v>
      </c>
      <c r="R1001" s="243" t="s">
        <v>257</v>
      </c>
      <c r="S1001" s="247"/>
    </row>
    <row r="1002" spans="1:19" x14ac:dyDescent="0.2">
      <c r="A1002" s="242"/>
      <c r="B1002" s="243"/>
      <c r="C1002" s="243"/>
      <c r="D1002" s="243"/>
      <c r="E1002" s="243"/>
      <c r="F1002" s="243"/>
      <c r="G1002" s="244"/>
      <c r="H1002" s="243"/>
      <c r="I1002" s="243"/>
      <c r="J1002" s="243"/>
      <c r="K1002" s="243"/>
      <c r="L1002" s="243"/>
      <c r="M1002" s="244"/>
      <c r="N1002" s="245" t="s">
        <v>257</v>
      </c>
      <c r="O1002" s="246"/>
      <c r="P1002" s="203" t="s">
        <v>257</v>
      </c>
      <c r="Q1002" s="210" t="s">
        <v>257</v>
      </c>
      <c r="R1002" s="243" t="s">
        <v>257</v>
      </c>
      <c r="S1002" s="247"/>
    </row>
    <row r="1003" spans="1:19" x14ac:dyDescent="0.2">
      <c r="A1003" s="242"/>
      <c r="B1003" s="243"/>
      <c r="C1003" s="243"/>
      <c r="D1003" s="243"/>
      <c r="E1003" s="243"/>
      <c r="F1003" s="243"/>
      <c r="G1003" s="244"/>
      <c r="H1003" s="243"/>
      <c r="I1003" s="243"/>
      <c r="J1003" s="243"/>
      <c r="K1003" s="243"/>
      <c r="L1003" s="243"/>
      <c r="M1003" s="244"/>
      <c r="N1003" s="245" t="s">
        <v>257</v>
      </c>
      <c r="O1003" s="246"/>
      <c r="P1003" s="203" t="s">
        <v>257</v>
      </c>
      <c r="Q1003" s="210" t="s">
        <v>257</v>
      </c>
      <c r="R1003" s="243" t="s">
        <v>257</v>
      </c>
      <c r="S1003" s="247"/>
    </row>
    <row r="1004" spans="1:19" x14ac:dyDescent="0.2">
      <c r="A1004" s="242"/>
      <c r="B1004" s="243"/>
      <c r="C1004" s="243"/>
      <c r="D1004" s="243"/>
      <c r="E1004" s="243"/>
      <c r="F1004" s="243"/>
      <c r="G1004" s="244"/>
      <c r="H1004" s="243"/>
      <c r="I1004" s="243"/>
      <c r="J1004" s="243"/>
      <c r="K1004" s="243"/>
      <c r="L1004" s="243"/>
      <c r="M1004" s="244"/>
      <c r="N1004" s="245" t="s">
        <v>257</v>
      </c>
      <c r="O1004" s="246"/>
      <c r="P1004" s="203" t="s">
        <v>257</v>
      </c>
      <c r="Q1004" s="210" t="s">
        <v>257</v>
      </c>
      <c r="R1004" s="243" t="s">
        <v>257</v>
      </c>
      <c r="S1004" s="247"/>
    </row>
    <row r="1005" spans="1:19" x14ac:dyDescent="0.2">
      <c r="A1005" s="242"/>
      <c r="B1005" s="243"/>
      <c r="C1005" s="243"/>
      <c r="D1005" s="243"/>
      <c r="E1005" s="243"/>
      <c r="F1005" s="243"/>
      <c r="G1005" s="244"/>
      <c r="H1005" s="243"/>
      <c r="I1005" s="243"/>
      <c r="J1005" s="243"/>
      <c r="K1005" s="243"/>
      <c r="L1005" s="243"/>
      <c r="M1005" s="244"/>
      <c r="N1005" s="245" t="s">
        <v>257</v>
      </c>
      <c r="O1005" s="246"/>
      <c r="P1005" s="203" t="s">
        <v>257</v>
      </c>
      <c r="Q1005" s="210" t="s">
        <v>257</v>
      </c>
      <c r="R1005" s="243" t="s">
        <v>257</v>
      </c>
      <c r="S1005" s="247"/>
    </row>
    <row r="1006" spans="1:19" x14ac:dyDescent="0.2">
      <c r="A1006" s="242"/>
      <c r="B1006" s="243"/>
      <c r="C1006" s="243"/>
      <c r="D1006" s="243"/>
      <c r="E1006" s="243"/>
      <c r="F1006" s="243"/>
      <c r="G1006" s="244"/>
      <c r="H1006" s="243"/>
      <c r="I1006" s="243"/>
      <c r="J1006" s="243"/>
      <c r="K1006" s="243"/>
      <c r="L1006" s="243"/>
      <c r="M1006" s="244"/>
      <c r="N1006" s="245" t="s">
        <v>257</v>
      </c>
      <c r="O1006" s="246"/>
      <c r="P1006" s="203" t="s">
        <v>257</v>
      </c>
      <c r="Q1006" s="210" t="s">
        <v>257</v>
      </c>
      <c r="R1006" s="243" t="s">
        <v>257</v>
      </c>
      <c r="S1006" s="247"/>
    </row>
    <row r="1007" spans="1:19" x14ac:dyDescent="0.2">
      <c r="A1007" s="242"/>
      <c r="B1007" s="243"/>
      <c r="C1007" s="243"/>
      <c r="D1007" s="243"/>
      <c r="E1007" s="243"/>
      <c r="F1007" s="243"/>
      <c r="G1007" s="244"/>
      <c r="H1007" s="243"/>
      <c r="I1007" s="243"/>
      <c r="J1007" s="243"/>
      <c r="K1007" s="243"/>
      <c r="L1007" s="243"/>
      <c r="M1007" s="244"/>
      <c r="N1007" s="245" t="s">
        <v>257</v>
      </c>
      <c r="O1007" s="246"/>
      <c r="P1007" s="203" t="s">
        <v>257</v>
      </c>
      <c r="Q1007" s="210" t="s">
        <v>257</v>
      </c>
      <c r="R1007" s="243" t="s">
        <v>257</v>
      </c>
      <c r="S1007" s="247"/>
    </row>
    <row r="1008" spans="1:19" x14ac:dyDescent="0.2">
      <c r="A1008" s="242"/>
      <c r="B1008" s="243"/>
      <c r="C1008" s="243"/>
      <c r="D1008" s="243"/>
      <c r="E1008" s="243"/>
      <c r="F1008" s="243"/>
      <c r="G1008" s="244"/>
      <c r="H1008" s="243"/>
      <c r="I1008" s="243"/>
      <c r="J1008" s="243"/>
      <c r="K1008" s="243"/>
      <c r="L1008" s="243"/>
      <c r="M1008" s="244"/>
      <c r="N1008" s="245" t="s">
        <v>257</v>
      </c>
      <c r="O1008" s="246"/>
      <c r="P1008" s="203" t="s">
        <v>257</v>
      </c>
      <c r="Q1008" s="210" t="s">
        <v>257</v>
      </c>
      <c r="R1008" s="243" t="s">
        <v>257</v>
      </c>
      <c r="S1008" s="247"/>
    </row>
    <row r="1009" spans="1:19" x14ac:dyDescent="0.2">
      <c r="A1009" s="242"/>
      <c r="B1009" s="243"/>
      <c r="C1009" s="243"/>
      <c r="D1009" s="243"/>
      <c r="E1009" s="243"/>
      <c r="F1009" s="243"/>
      <c r="G1009" s="244"/>
      <c r="H1009" s="243"/>
      <c r="I1009" s="243"/>
      <c r="J1009" s="243"/>
      <c r="K1009" s="243"/>
      <c r="L1009" s="243"/>
      <c r="M1009" s="244"/>
      <c r="N1009" s="245" t="s">
        <v>257</v>
      </c>
      <c r="O1009" s="246"/>
      <c r="P1009" s="203" t="s">
        <v>257</v>
      </c>
      <c r="Q1009" s="210" t="s">
        <v>257</v>
      </c>
      <c r="R1009" s="243" t="s">
        <v>257</v>
      </c>
      <c r="S1009" s="247"/>
    </row>
    <row r="1010" spans="1:19" x14ac:dyDescent="0.2">
      <c r="A1010" s="242"/>
      <c r="B1010" s="243"/>
      <c r="C1010" s="243"/>
      <c r="D1010" s="243"/>
      <c r="E1010" s="243"/>
      <c r="F1010" s="243"/>
      <c r="G1010" s="244"/>
      <c r="H1010" s="243"/>
      <c r="I1010" s="243"/>
      <c r="J1010" s="243"/>
      <c r="K1010" s="243"/>
      <c r="L1010" s="243"/>
      <c r="M1010" s="244"/>
      <c r="N1010" s="245" t="s">
        <v>257</v>
      </c>
      <c r="O1010" s="246"/>
      <c r="P1010" s="203" t="s">
        <v>257</v>
      </c>
      <c r="Q1010" s="210" t="s">
        <v>257</v>
      </c>
      <c r="R1010" s="243" t="s">
        <v>257</v>
      </c>
      <c r="S1010" s="247"/>
    </row>
    <row r="1011" spans="1:19" x14ac:dyDescent="0.2">
      <c r="A1011" s="242"/>
      <c r="B1011" s="243"/>
      <c r="C1011" s="243"/>
      <c r="D1011" s="243"/>
      <c r="E1011" s="243"/>
      <c r="F1011" s="243"/>
      <c r="G1011" s="244"/>
      <c r="H1011" s="243"/>
      <c r="I1011" s="243"/>
      <c r="J1011" s="243"/>
      <c r="K1011" s="243"/>
      <c r="L1011" s="243"/>
      <c r="M1011" s="244"/>
      <c r="N1011" s="245" t="s">
        <v>257</v>
      </c>
      <c r="O1011" s="246"/>
      <c r="P1011" s="203" t="s">
        <v>257</v>
      </c>
      <c r="Q1011" s="210" t="s">
        <v>257</v>
      </c>
      <c r="R1011" s="243" t="s">
        <v>257</v>
      </c>
      <c r="S1011" s="247"/>
    </row>
    <row r="1012" spans="1:19" x14ac:dyDescent="0.2">
      <c r="A1012" s="242"/>
      <c r="B1012" s="243"/>
      <c r="C1012" s="243"/>
      <c r="D1012" s="243"/>
      <c r="E1012" s="243"/>
      <c r="F1012" s="243"/>
      <c r="G1012" s="244"/>
      <c r="H1012" s="243"/>
      <c r="I1012" s="243"/>
      <c r="J1012" s="243"/>
      <c r="K1012" s="243"/>
      <c r="L1012" s="243"/>
      <c r="M1012" s="244"/>
      <c r="N1012" s="245" t="s">
        <v>257</v>
      </c>
      <c r="O1012" s="246"/>
      <c r="P1012" s="203" t="s">
        <v>257</v>
      </c>
      <c r="Q1012" s="210" t="s">
        <v>257</v>
      </c>
      <c r="R1012" s="243" t="s">
        <v>257</v>
      </c>
      <c r="S1012" s="247"/>
    </row>
    <row r="1013" spans="1:19" x14ac:dyDescent="0.2">
      <c r="A1013" s="242"/>
      <c r="B1013" s="243"/>
      <c r="C1013" s="243"/>
      <c r="D1013" s="243"/>
      <c r="E1013" s="243"/>
      <c r="F1013" s="243"/>
      <c r="G1013" s="244"/>
      <c r="H1013" s="243"/>
      <c r="I1013" s="243"/>
      <c r="J1013" s="243"/>
      <c r="K1013" s="243"/>
      <c r="L1013" s="243"/>
      <c r="M1013" s="244"/>
      <c r="N1013" s="245" t="s">
        <v>257</v>
      </c>
      <c r="O1013" s="246"/>
      <c r="P1013" s="203" t="s">
        <v>257</v>
      </c>
      <c r="Q1013" s="210" t="s">
        <v>257</v>
      </c>
      <c r="R1013" s="243" t="s">
        <v>257</v>
      </c>
      <c r="S1013" s="247"/>
    </row>
    <row r="1014" spans="1:19" x14ac:dyDescent="0.2">
      <c r="A1014" s="242"/>
      <c r="B1014" s="243"/>
      <c r="C1014" s="243"/>
      <c r="D1014" s="243"/>
      <c r="E1014" s="243"/>
      <c r="F1014" s="243"/>
      <c r="G1014" s="244"/>
      <c r="H1014" s="243"/>
      <c r="I1014" s="243"/>
      <c r="J1014" s="243"/>
      <c r="K1014" s="243"/>
      <c r="L1014" s="243"/>
      <c r="M1014" s="244"/>
      <c r="N1014" s="245" t="s">
        <v>257</v>
      </c>
      <c r="O1014" s="246"/>
      <c r="P1014" s="203" t="s">
        <v>257</v>
      </c>
      <c r="Q1014" s="210" t="s">
        <v>257</v>
      </c>
      <c r="R1014" s="243" t="s">
        <v>257</v>
      </c>
      <c r="S1014" s="247"/>
    </row>
    <row r="1015" spans="1:19" x14ac:dyDescent="0.2">
      <c r="A1015" s="242"/>
      <c r="B1015" s="243"/>
      <c r="C1015" s="243"/>
      <c r="D1015" s="243"/>
      <c r="E1015" s="243"/>
      <c r="F1015" s="243"/>
      <c r="G1015" s="244"/>
      <c r="H1015" s="243"/>
      <c r="I1015" s="243"/>
      <c r="J1015" s="243"/>
      <c r="K1015" s="243"/>
      <c r="L1015" s="243"/>
      <c r="M1015" s="244"/>
      <c r="N1015" s="245" t="s">
        <v>257</v>
      </c>
      <c r="O1015" s="246"/>
      <c r="P1015" s="203" t="s">
        <v>257</v>
      </c>
      <c r="Q1015" s="210" t="s">
        <v>257</v>
      </c>
      <c r="R1015" s="243" t="s">
        <v>257</v>
      </c>
      <c r="S1015" s="247"/>
    </row>
    <row r="1016" spans="1:19" x14ac:dyDescent="0.2">
      <c r="A1016" s="242"/>
      <c r="B1016" s="243"/>
      <c r="C1016" s="243"/>
      <c r="D1016" s="243"/>
      <c r="E1016" s="243"/>
      <c r="F1016" s="243"/>
      <c r="G1016" s="244"/>
      <c r="H1016" s="243"/>
      <c r="I1016" s="243"/>
      <c r="J1016" s="243"/>
      <c r="K1016" s="243"/>
      <c r="L1016" s="243"/>
      <c r="M1016" s="244"/>
      <c r="N1016" s="245" t="s">
        <v>257</v>
      </c>
      <c r="O1016" s="246"/>
      <c r="P1016" s="203" t="s">
        <v>257</v>
      </c>
      <c r="Q1016" s="210" t="s">
        <v>257</v>
      </c>
      <c r="R1016" s="243" t="s">
        <v>257</v>
      </c>
      <c r="S1016" s="247"/>
    </row>
    <row r="1017" spans="1:19" x14ac:dyDescent="0.2">
      <c r="A1017" s="242"/>
      <c r="B1017" s="243"/>
      <c r="C1017" s="243"/>
      <c r="D1017" s="243"/>
      <c r="E1017" s="243"/>
      <c r="F1017" s="243"/>
      <c r="G1017" s="244"/>
      <c r="H1017" s="243"/>
      <c r="I1017" s="243"/>
      <c r="J1017" s="243"/>
      <c r="K1017" s="243"/>
      <c r="L1017" s="243"/>
      <c r="M1017" s="244"/>
      <c r="N1017" s="245" t="s">
        <v>257</v>
      </c>
      <c r="O1017" s="246"/>
      <c r="P1017" s="203" t="s">
        <v>257</v>
      </c>
      <c r="Q1017" s="210" t="s">
        <v>257</v>
      </c>
      <c r="R1017" s="243" t="s">
        <v>257</v>
      </c>
      <c r="S1017" s="247"/>
    </row>
    <row r="1018" spans="1:19" x14ac:dyDescent="0.2">
      <c r="A1018" s="242"/>
      <c r="B1018" s="243"/>
      <c r="C1018" s="243"/>
      <c r="D1018" s="243"/>
      <c r="E1018" s="243"/>
      <c r="F1018" s="243"/>
      <c r="G1018" s="244"/>
      <c r="H1018" s="243"/>
      <c r="I1018" s="243"/>
      <c r="J1018" s="243"/>
      <c r="K1018" s="243"/>
      <c r="L1018" s="243"/>
      <c r="M1018" s="244"/>
      <c r="N1018" s="245" t="s">
        <v>257</v>
      </c>
      <c r="O1018" s="246"/>
      <c r="P1018" s="203" t="s">
        <v>257</v>
      </c>
      <c r="Q1018" s="210" t="s">
        <v>257</v>
      </c>
      <c r="R1018" s="243" t="s">
        <v>257</v>
      </c>
      <c r="S1018" s="247"/>
    </row>
    <row r="1019" spans="1:19" x14ac:dyDescent="0.2">
      <c r="A1019" s="242"/>
      <c r="B1019" s="243"/>
      <c r="C1019" s="243"/>
      <c r="D1019" s="243"/>
      <c r="E1019" s="243"/>
      <c r="F1019" s="243"/>
      <c r="G1019" s="244"/>
      <c r="H1019" s="243"/>
      <c r="I1019" s="243"/>
      <c r="J1019" s="243"/>
      <c r="K1019" s="243"/>
      <c r="L1019" s="243"/>
      <c r="M1019" s="244"/>
      <c r="N1019" s="245" t="s">
        <v>257</v>
      </c>
      <c r="O1019" s="246"/>
      <c r="P1019" s="203" t="s">
        <v>257</v>
      </c>
      <c r="Q1019" s="210" t="s">
        <v>257</v>
      </c>
      <c r="R1019" s="243" t="s">
        <v>257</v>
      </c>
      <c r="S1019" s="247"/>
    </row>
    <row r="1020" spans="1:19" x14ac:dyDescent="0.2">
      <c r="A1020" s="242"/>
      <c r="B1020" s="243"/>
      <c r="C1020" s="243"/>
      <c r="D1020" s="243"/>
      <c r="E1020" s="243"/>
      <c r="F1020" s="243"/>
      <c r="G1020" s="244"/>
      <c r="H1020" s="243"/>
      <c r="I1020" s="243"/>
      <c r="J1020" s="243"/>
      <c r="K1020" s="243"/>
      <c r="L1020" s="243"/>
      <c r="M1020" s="244"/>
      <c r="N1020" s="245" t="s">
        <v>257</v>
      </c>
      <c r="O1020" s="246"/>
      <c r="P1020" s="203" t="s">
        <v>257</v>
      </c>
      <c r="Q1020" s="210" t="s">
        <v>257</v>
      </c>
      <c r="R1020" s="243" t="s">
        <v>257</v>
      </c>
      <c r="S1020" s="247"/>
    </row>
    <row r="1021" spans="1:19" x14ac:dyDescent="0.2">
      <c r="A1021" s="242"/>
      <c r="B1021" s="243"/>
      <c r="C1021" s="243"/>
      <c r="D1021" s="243"/>
      <c r="E1021" s="243"/>
      <c r="F1021" s="243"/>
      <c r="G1021" s="244"/>
      <c r="H1021" s="243"/>
      <c r="I1021" s="243"/>
      <c r="J1021" s="243"/>
      <c r="K1021" s="243"/>
      <c r="L1021" s="243"/>
      <c r="M1021" s="244"/>
      <c r="N1021" s="245" t="s">
        <v>257</v>
      </c>
      <c r="O1021" s="246"/>
      <c r="P1021" s="203" t="s">
        <v>257</v>
      </c>
      <c r="Q1021" s="210" t="s">
        <v>257</v>
      </c>
      <c r="R1021" s="243" t="s">
        <v>257</v>
      </c>
      <c r="S1021" s="247"/>
    </row>
    <row r="1022" spans="1:19" x14ac:dyDescent="0.2">
      <c r="A1022" s="242"/>
      <c r="B1022" s="243"/>
      <c r="C1022" s="243"/>
      <c r="D1022" s="243"/>
      <c r="E1022" s="243"/>
      <c r="F1022" s="243"/>
      <c r="G1022" s="244"/>
      <c r="H1022" s="243"/>
      <c r="I1022" s="243"/>
      <c r="J1022" s="243"/>
      <c r="K1022" s="243"/>
      <c r="L1022" s="243"/>
      <c r="M1022" s="244"/>
      <c r="N1022" s="245" t="s">
        <v>257</v>
      </c>
      <c r="O1022" s="246"/>
      <c r="P1022" s="203" t="s">
        <v>257</v>
      </c>
      <c r="Q1022" s="210" t="s">
        <v>257</v>
      </c>
      <c r="R1022" s="243" t="s">
        <v>257</v>
      </c>
      <c r="S1022" s="247"/>
    </row>
    <row r="1023" spans="1:19" x14ac:dyDescent="0.2">
      <c r="A1023" s="242"/>
      <c r="B1023" s="243"/>
      <c r="C1023" s="243"/>
      <c r="D1023" s="243"/>
      <c r="E1023" s="243"/>
      <c r="F1023" s="243"/>
      <c r="G1023" s="244"/>
      <c r="H1023" s="243"/>
      <c r="I1023" s="243"/>
      <c r="J1023" s="243"/>
      <c r="K1023" s="243"/>
      <c r="L1023" s="243"/>
      <c r="M1023" s="244"/>
      <c r="N1023" s="245" t="s">
        <v>257</v>
      </c>
      <c r="O1023" s="246"/>
      <c r="P1023" s="203" t="s">
        <v>257</v>
      </c>
      <c r="Q1023" s="210" t="s">
        <v>257</v>
      </c>
      <c r="R1023" s="243" t="s">
        <v>257</v>
      </c>
      <c r="S1023" s="247"/>
    </row>
    <row r="1024" spans="1:19" x14ac:dyDescent="0.2">
      <c r="A1024" s="242"/>
      <c r="B1024" s="243"/>
      <c r="C1024" s="243"/>
      <c r="D1024" s="243"/>
      <c r="E1024" s="243"/>
      <c r="F1024" s="243"/>
      <c r="G1024" s="244"/>
      <c r="H1024" s="243"/>
      <c r="I1024" s="243"/>
      <c r="J1024" s="243"/>
      <c r="K1024" s="243"/>
      <c r="L1024" s="243"/>
      <c r="M1024" s="244"/>
      <c r="N1024" s="245" t="s">
        <v>257</v>
      </c>
      <c r="O1024" s="246"/>
      <c r="P1024" s="203" t="s">
        <v>257</v>
      </c>
      <c r="Q1024" s="210" t="s">
        <v>257</v>
      </c>
      <c r="R1024" s="243" t="s">
        <v>257</v>
      </c>
      <c r="S1024" s="247"/>
    </row>
    <row r="1025" spans="1:19" x14ac:dyDescent="0.2">
      <c r="A1025" s="242"/>
      <c r="B1025" s="243"/>
      <c r="C1025" s="243"/>
      <c r="D1025" s="243"/>
      <c r="E1025" s="243"/>
      <c r="F1025" s="243"/>
      <c r="G1025" s="244"/>
      <c r="H1025" s="243"/>
      <c r="I1025" s="243"/>
      <c r="J1025" s="243"/>
      <c r="K1025" s="243"/>
      <c r="L1025" s="243"/>
      <c r="M1025" s="244"/>
      <c r="N1025" s="245" t="s">
        <v>257</v>
      </c>
      <c r="O1025" s="246"/>
      <c r="P1025" s="203" t="s">
        <v>257</v>
      </c>
      <c r="Q1025" s="210" t="s">
        <v>257</v>
      </c>
      <c r="R1025" s="243" t="s">
        <v>257</v>
      </c>
      <c r="S1025" s="247"/>
    </row>
    <row r="1026" spans="1:19" x14ac:dyDescent="0.2">
      <c r="A1026" s="242"/>
      <c r="B1026" s="243"/>
      <c r="C1026" s="243"/>
      <c r="D1026" s="243"/>
      <c r="E1026" s="243"/>
      <c r="F1026" s="243"/>
      <c r="G1026" s="244"/>
      <c r="H1026" s="243"/>
      <c r="I1026" s="243"/>
      <c r="J1026" s="243"/>
      <c r="K1026" s="243"/>
      <c r="L1026" s="243"/>
      <c r="M1026" s="244"/>
      <c r="N1026" s="245" t="s">
        <v>257</v>
      </c>
      <c r="O1026" s="246"/>
      <c r="P1026" s="203" t="s">
        <v>257</v>
      </c>
      <c r="Q1026" s="210" t="s">
        <v>257</v>
      </c>
      <c r="R1026" s="243" t="s">
        <v>257</v>
      </c>
      <c r="S1026" s="247"/>
    </row>
    <row r="1027" spans="1:19" x14ac:dyDescent="0.2">
      <c r="A1027" s="242"/>
      <c r="B1027" s="243"/>
      <c r="C1027" s="243"/>
      <c r="D1027" s="243"/>
      <c r="E1027" s="243"/>
      <c r="F1027" s="243"/>
      <c r="G1027" s="244"/>
      <c r="H1027" s="243"/>
      <c r="I1027" s="243"/>
      <c r="J1027" s="243"/>
      <c r="K1027" s="243"/>
      <c r="L1027" s="243"/>
      <c r="M1027" s="244"/>
      <c r="N1027" s="245" t="s">
        <v>257</v>
      </c>
      <c r="O1027" s="246"/>
      <c r="P1027" s="203" t="s">
        <v>257</v>
      </c>
      <c r="Q1027" s="210" t="s">
        <v>257</v>
      </c>
      <c r="R1027" s="243" t="s">
        <v>257</v>
      </c>
      <c r="S1027" s="247"/>
    </row>
    <row r="1028" spans="1:19" x14ac:dyDescent="0.2">
      <c r="A1028" s="242"/>
      <c r="B1028" s="243"/>
      <c r="C1028" s="243"/>
      <c r="D1028" s="243"/>
      <c r="E1028" s="243"/>
      <c r="F1028" s="243"/>
      <c r="G1028" s="244"/>
      <c r="H1028" s="243"/>
      <c r="I1028" s="243"/>
      <c r="J1028" s="243"/>
      <c r="K1028" s="243"/>
      <c r="L1028" s="243"/>
      <c r="M1028" s="244"/>
      <c r="N1028" s="245" t="s">
        <v>257</v>
      </c>
      <c r="O1028" s="246"/>
      <c r="P1028" s="203" t="s">
        <v>257</v>
      </c>
      <c r="Q1028" s="210" t="s">
        <v>257</v>
      </c>
      <c r="R1028" s="243" t="s">
        <v>257</v>
      </c>
      <c r="S1028" s="247"/>
    </row>
    <row r="1029" spans="1:19" x14ac:dyDescent="0.2">
      <c r="A1029" s="242"/>
      <c r="B1029" s="243"/>
      <c r="C1029" s="243"/>
      <c r="D1029" s="243"/>
      <c r="E1029" s="243"/>
      <c r="F1029" s="243"/>
      <c r="G1029" s="244"/>
      <c r="H1029" s="243"/>
      <c r="I1029" s="243"/>
      <c r="J1029" s="243"/>
      <c r="K1029" s="243"/>
      <c r="L1029" s="243"/>
      <c r="M1029" s="244"/>
      <c r="N1029" s="245" t="s">
        <v>257</v>
      </c>
      <c r="O1029" s="246"/>
      <c r="P1029" s="203" t="s">
        <v>257</v>
      </c>
      <c r="Q1029" s="210" t="s">
        <v>257</v>
      </c>
      <c r="R1029" s="243" t="s">
        <v>257</v>
      </c>
      <c r="S1029" s="247"/>
    </row>
    <row r="1030" spans="1:19" x14ac:dyDescent="0.2">
      <c r="A1030" s="242"/>
      <c r="B1030" s="243"/>
      <c r="C1030" s="243"/>
      <c r="D1030" s="243"/>
      <c r="E1030" s="243"/>
      <c r="F1030" s="243"/>
      <c r="G1030" s="244"/>
      <c r="H1030" s="243"/>
      <c r="I1030" s="243"/>
      <c r="J1030" s="243"/>
      <c r="K1030" s="243"/>
      <c r="L1030" s="243"/>
      <c r="M1030" s="244"/>
      <c r="N1030" s="245" t="s">
        <v>257</v>
      </c>
      <c r="O1030" s="246"/>
      <c r="P1030" s="203" t="s">
        <v>257</v>
      </c>
      <c r="Q1030" s="210" t="s">
        <v>257</v>
      </c>
      <c r="R1030" s="243" t="s">
        <v>257</v>
      </c>
      <c r="S1030" s="247"/>
    </row>
    <row r="1031" spans="1:19" x14ac:dyDescent="0.2">
      <c r="A1031" s="242"/>
      <c r="B1031" s="243"/>
      <c r="C1031" s="243"/>
      <c r="D1031" s="243"/>
      <c r="E1031" s="243"/>
      <c r="F1031" s="243"/>
      <c r="G1031" s="244"/>
      <c r="H1031" s="243"/>
      <c r="I1031" s="243"/>
      <c r="J1031" s="243"/>
      <c r="K1031" s="243"/>
      <c r="L1031" s="243"/>
      <c r="M1031" s="244"/>
      <c r="N1031" s="245" t="s">
        <v>257</v>
      </c>
      <c r="O1031" s="246"/>
      <c r="P1031" s="203" t="s">
        <v>257</v>
      </c>
      <c r="Q1031" s="210" t="s">
        <v>257</v>
      </c>
      <c r="R1031" s="243" t="s">
        <v>257</v>
      </c>
      <c r="S1031" s="247"/>
    </row>
    <row r="1032" spans="1:19" x14ac:dyDescent="0.2">
      <c r="A1032" s="242"/>
      <c r="B1032" s="243"/>
      <c r="C1032" s="243"/>
      <c r="D1032" s="243"/>
      <c r="E1032" s="243"/>
      <c r="F1032" s="243"/>
      <c r="G1032" s="244"/>
      <c r="H1032" s="243"/>
      <c r="I1032" s="243"/>
      <c r="J1032" s="243"/>
      <c r="K1032" s="243"/>
      <c r="L1032" s="243"/>
      <c r="M1032" s="244"/>
      <c r="N1032" s="245" t="s">
        <v>257</v>
      </c>
      <c r="O1032" s="246"/>
      <c r="P1032" s="203" t="s">
        <v>257</v>
      </c>
      <c r="Q1032" s="210" t="s">
        <v>257</v>
      </c>
      <c r="R1032" s="243" t="s">
        <v>257</v>
      </c>
      <c r="S1032" s="247"/>
    </row>
    <row r="1033" spans="1:19" x14ac:dyDescent="0.2">
      <c r="A1033" s="242"/>
      <c r="B1033" s="243"/>
      <c r="C1033" s="243"/>
      <c r="D1033" s="243"/>
      <c r="E1033" s="243"/>
      <c r="F1033" s="243"/>
      <c r="G1033" s="244"/>
      <c r="H1033" s="243"/>
      <c r="I1033" s="243"/>
      <c r="J1033" s="243"/>
      <c r="K1033" s="243"/>
      <c r="L1033" s="243"/>
      <c r="M1033" s="244"/>
      <c r="N1033" s="245" t="s">
        <v>257</v>
      </c>
      <c r="O1033" s="246"/>
      <c r="P1033" s="203" t="s">
        <v>257</v>
      </c>
      <c r="Q1033" s="210" t="s">
        <v>257</v>
      </c>
      <c r="R1033" s="243" t="s">
        <v>257</v>
      </c>
      <c r="S1033" s="247"/>
    </row>
    <row r="1034" spans="1:19" x14ac:dyDescent="0.2">
      <c r="A1034" s="242"/>
      <c r="B1034" s="243"/>
      <c r="C1034" s="243"/>
      <c r="D1034" s="243"/>
      <c r="E1034" s="243"/>
      <c r="F1034" s="243"/>
      <c r="G1034" s="244"/>
      <c r="H1034" s="243"/>
      <c r="I1034" s="243"/>
      <c r="J1034" s="243"/>
      <c r="K1034" s="243"/>
      <c r="L1034" s="243"/>
      <c r="M1034" s="244"/>
      <c r="N1034" s="245" t="s">
        <v>257</v>
      </c>
      <c r="O1034" s="246"/>
      <c r="P1034" s="203" t="s">
        <v>257</v>
      </c>
      <c r="Q1034" s="210" t="s">
        <v>257</v>
      </c>
      <c r="R1034" s="243" t="s">
        <v>257</v>
      </c>
      <c r="S1034" s="247"/>
    </row>
    <row r="1035" spans="1:19" x14ac:dyDescent="0.2">
      <c r="A1035" s="242"/>
      <c r="B1035" s="243"/>
      <c r="C1035" s="243"/>
      <c r="D1035" s="243"/>
      <c r="E1035" s="243"/>
      <c r="F1035" s="243"/>
      <c r="G1035" s="244"/>
      <c r="H1035" s="243"/>
      <c r="I1035" s="243"/>
      <c r="J1035" s="243"/>
      <c r="K1035" s="243"/>
      <c r="L1035" s="243"/>
      <c r="M1035" s="244"/>
      <c r="N1035" s="245" t="s">
        <v>257</v>
      </c>
      <c r="O1035" s="246"/>
      <c r="P1035" s="203" t="s">
        <v>257</v>
      </c>
      <c r="Q1035" s="210" t="s">
        <v>257</v>
      </c>
      <c r="R1035" s="243" t="s">
        <v>257</v>
      </c>
      <c r="S1035" s="247"/>
    </row>
    <row r="1036" spans="1:19" x14ac:dyDescent="0.2">
      <c r="A1036" s="242"/>
      <c r="B1036" s="243"/>
      <c r="C1036" s="243"/>
      <c r="D1036" s="243"/>
      <c r="E1036" s="243"/>
      <c r="F1036" s="243"/>
      <c r="G1036" s="244"/>
      <c r="H1036" s="243"/>
      <c r="I1036" s="243"/>
      <c r="J1036" s="243"/>
      <c r="K1036" s="243"/>
      <c r="L1036" s="243"/>
      <c r="M1036" s="244"/>
      <c r="N1036" s="245" t="s">
        <v>257</v>
      </c>
      <c r="O1036" s="246"/>
      <c r="P1036" s="203" t="s">
        <v>257</v>
      </c>
      <c r="Q1036" s="210" t="s">
        <v>257</v>
      </c>
      <c r="R1036" s="243" t="s">
        <v>257</v>
      </c>
      <c r="S1036" s="247"/>
    </row>
    <row r="1037" spans="1:19" x14ac:dyDescent="0.2">
      <c r="A1037" s="242"/>
      <c r="B1037" s="243"/>
      <c r="C1037" s="243"/>
      <c r="D1037" s="243"/>
      <c r="E1037" s="243"/>
      <c r="F1037" s="243"/>
      <c r="G1037" s="244"/>
      <c r="H1037" s="243"/>
      <c r="I1037" s="243"/>
      <c r="J1037" s="243"/>
      <c r="K1037" s="243"/>
      <c r="L1037" s="243"/>
      <c r="M1037" s="244"/>
      <c r="N1037" s="245" t="s">
        <v>257</v>
      </c>
      <c r="O1037" s="246"/>
      <c r="P1037" s="203" t="s">
        <v>257</v>
      </c>
      <c r="Q1037" s="210" t="s">
        <v>257</v>
      </c>
      <c r="R1037" s="243" t="s">
        <v>257</v>
      </c>
      <c r="S1037" s="247"/>
    </row>
    <row r="1038" spans="1:19" x14ac:dyDescent="0.2">
      <c r="A1038" s="242"/>
      <c r="B1038" s="243"/>
      <c r="C1038" s="243"/>
      <c r="D1038" s="243"/>
      <c r="E1038" s="243"/>
      <c r="F1038" s="243"/>
      <c r="G1038" s="244"/>
      <c r="H1038" s="243"/>
      <c r="I1038" s="243"/>
      <c r="J1038" s="243"/>
      <c r="K1038" s="243"/>
      <c r="L1038" s="243"/>
      <c r="M1038" s="244"/>
      <c r="N1038" s="245" t="s">
        <v>257</v>
      </c>
      <c r="O1038" s="246"/>
      <c r="P1038" s="203" t="s">
        <v>257</v>
      </c>
      <c r="Q1038" s="210" t="s">
        <v>257</v>
      </c>
      <c r="R1038" s="243" t="s">
        <v>257</v>
      </c>
      <c r="S1038" s="247"/>
    </row>
    <row r="1039" spans="1:19" x14ac:dyDescent="0.2">
      <c r="A1039" s="242"/>
      <c r="B1039" s="243"/>
      <c r="C1039" s="243"/>
      <c r="D1039" s="243"/>
      <c r="E1039" s="243"/>
      <c r="F1039" s="243"/>
      <c r="G1039" s="244"/>
      <c r="H1039" s="243"/>
      <c r="I1039" s="243"/>
      <c r="J1039" s="243"/>
      <c r="K1039" s="243"/>
      <c r="L1039" s="243"/>
      <c r="M1039" s="244"/>
      <c r="N1039" s="245" t="s">
        <v>257</v>
      </c>
      <c r="O1039" s="246"/>
      <c r="P1039" s="203" t="s">
        <v>257</v>
      </c>
      <c r="Q1039" s="210" t="s">
        <v>257</v>
      </c>
      <c r="R1039" s="243" t="s">
        <v>257</v>
      </c>
      <c r="S1039" s="247"/>
    </row>
    <row r="1040" spans="1:19" x14ac:dyDescent="0.2">
      <c r="A1040" s="242"/>
      <c r="B1040" s="243"/>
      <c r="C1040" s="243"/>
      <c r="D1040" s="243"/>
      <c r="E1040" s="243"/>
      <c r="F1040" s="243"/>
      <c r="G1040" s="244"/>
      <c r="H1040" s="243"/>
      <c r="I1040" s="243"/>
      <c r="J1040" s="243"/>
      <c r="K1040" s="243"/>
      <c r="L1040" s="243"/>
      <c r="M1040" s="244"/>
      <c r="N1040" s="245" t="s">
        <v>257</v>
      </c>
      <c r="O1040" s="246"/>
      <c r="P1040" s="203" t="s">
        <v>257</v>
      </c>
      <c r="Q1040" s="210" t="s">
        <v>257</v>
      </c>
      <c r="R1040" s="243" t="s">
        <v>257</v>
      </c>
      <c r="S1040" s="247"/>
    </row>
    <row r="1041" spans="1:19" x14ac:dyDescent="0.2">
      <c r="A1041" s="242"/>
      <c r="B1041" s="243"/>
      <c r="C1041" s="243"/>
      <c r="D1041" s="243"/>
      <c r="E1041" s="243"/>
      <c r="F1041" s="243"/>
      <c r="G1041" s="244"/>
      <c r="H1041" s="243"/>
      <c r="I1041" s="243"/>
      <c r="J1041" s="243"/>
      <c r="K1041" s="243"/>
      <c r="L1041" s="243"/>
      <c r="M1041" s="244"/>
      <c r="N1041" s="245" t="s">
        <v>257</v>
      </c>
      <c r="O1041" s="246"/>
      <c r="P1041" s="203" t="s">
        <v>257</v>
      </c>
      <c r="Q1041" s="210" t="s">
        <v>257</v>
      </c>
      <c r="R1041" s="243" t="s">
        <v>257</v>
      </c>
      <c r="S1041" s="247"/>
    </row>
    <row r="1042" spans="1:19" x14ac:dyDescent="0.2">
      <c r="A1042" s="242"/>
      <c r="B1042" s="243"/>
      <c r="C1042" s="243"/>
      <c r="D1042" s="243"/>
      <c r="E1042" s="243"/>
      <c r="F1042" s="243"/>
      <c r="G1042" s="244"/>
      <c r="H1042" s="243"/>
      <c r="I1042" s="243"/>
      <c r="J1042" s="243"/>
      <c r="K1042" s="243"/>
      <c r="L1042" s="243"/>
      <c r="M1042" s="244"/>
      <c r="N1042" s="245" t="s">
        <v>257</v>
      </c>
      <c r="O1042" s="246"/>
      <c r="P1042" s="203" t="s">
        <v>257</v>
      </c>
      <c r="Q1042" s="210" t="s">
        <v>257</v>
      </c>
      <c r="R1042" s="243" t="s">
        <v>257</v>
      </c>
      <c r="S1042" s="247"/>
    </row>
    <row r="1043" spans="1:19" x14ac:dyDescent="0.2">
      <c r="A1043" s="242"/>
      <c r="B1043" s="243"/>
      <c r="C1043" s="243"/>
      <c r="D1043" s="243"/>
      <c r="E1043" s="243"/>
      <c r="F1043" s="243"/>
      <c r="G1043" s="244"/>
      <c r="H1043" s="243"/>
      <c r="I1043" s="243"/>
      <c r="J1043" s="243"/>
      <c r="K1043" s="243"/>
      <c r="L1043" s="243"/>
      <c r="M1043" s="244"/>
      <c r="N1043" s="245" t="s">
        <v>257</v>
      </c>
      <c r="O1043" s="246"/>
      <c r="P1043" s="203" t="s">
        <v>257</v>
      </c>
      <c r="Q1043" s="210" t="s">
        <v>257</v>
      </c>
      <c r="R1043" s="243" t="s">
        <v>257</v>
      </c>
      <c r="S1043" s="247"/>
    </row>
    <row r="1044" spans="1:19" x14ac:dyDescent="0.2">
      <c r="A1044" s="242"/>
      <c r="B1044" s="243"/>
      <c r="C1044" s="243"/>
      <c r="D1044" s="243"/>
      <c r="E1044" s="243"/>
      <c r="F1044" s="243"/>
      <c r="G1044" s="244"/>
      <c r="H1044" s="243"/>
      <c r="I1044" s="243"/>
      <c r="J1044" s="243"/>
      <c r="K1044" s="243"/>
      <c r="L1044" s="243"/>
      <c r="M1044" s="244"/>
      <c r="N1044" s="245" t="s">
        <v>257</v>
      </c>
      <c r="O1044" s="246"/>
      <c r="P1044" s="203" t="s">
        <v>257</v>
      </c>
      <c r="Q1044" s="210" t="s">
        <v>257</v>
      </c>
      <c r="R1044" s="243" t="s">
        <v>257</v>
      </c>
      <c r="S1044" s="247"/>
    </row>
    <row r="1045" spans="1:19" x14ac:dyDescent="0.2">
      <c r="A1045" s="242"/>
      <c r="B1045" s="243"/>
      <c r="C1045" s="243"/>
      <c r="D1045" s="243"/>
      <c r="E1045" s="243"/>
      <c r="F1045" s="243"/>
      <c r="G1045" s="244"/>
      <c r="H1045" s="243"/>
      <c r="I1045" s="243"/>
      <c r="J1045" s="243"/>
      <c r="K1045" s="243"/>
      <c r="L1045" s="243"/>
      <c r="M1045" s="244"/>
      <c r="N1045" s="245" t="s">
        <v>257</v>
      </c>
      <c r="O1045" s="246"/>
      <c r="P1045" s="203" t="s">
        <v>257</v>
      </c>
      <c r="Q1045" s="210" t="s">
        <v>257</v>
      </c>
      <c r="R1045" s="243" t="s">
        <v>257</v>
      </c>
      <c r="S1045" s="247"/>
    </row>
    <row r="1046" spans="1:19" x14ac:dyDescent="0.2">
      <c r="A1046" s="242"/>
      <c r="B1046" s="243"/>
      <c r="C1046" s="243"/>
      <c r="D1046" s="243"/>
      <c r="E1046" s="243"/>
      <c r="F1046" s="243"/>
      <c r="G1046" s="244"/>
      <c r="H1046" s="243"/>
      <c r="I1046" s="243"/>
      <c r="J1046" s="243"/>
      <c r="K1046" s="243"/>
      <c r="L1046" s="243"/>
      <c r="M1046" s="244"/>
      <c r="N1046" s="245" t="s">
        <v>257</v>
      </c>
      <c r="O1046" s="246"/>
      <c r="P1046" s="203" t="s">
        <v>257</v>
      </c>
      <c r="Q1046" s="210" t="s">
        <v>257</v>
      </c>
      <c r="R1046" s="243" t="s">
        <v>257</v>
      </c>
      <c r="S1046" s="247"/>
    </row>
    <row r="1047" spans="1:19" x14ac:dyDescent="0.2">
      <c r="A1047" s="242"/>
      <c r="B1047" s="243"/>
      <c r="C1047" s="243"/>
      <c r="D1047" s="243"/>
      <c r="E1047" s="243"/>
      <c r="F1047" s="243"/>
      <c r="G1047" s="244"/>
      <c r="H1047" s="243"/>
      <c r="I1047" s="243"/>
      <c r="J1047" s="243"/>
      <c r="K1047" s="243"/>
      <c r="L1047" s="243"/>
      <c r="M1047" s="244"/>
      <c r="N1047" s="245" t="s">
        <v>257</v>
      </c>
      <c r="O1047" s="246"/>
      <c r="P1047" s="203" t="s">
        <v>257</v>
      </c>
      <c r="Q1047" s="210" t="s">
        <v>257</v>
      </c>
      <c r="R1047" s="243" t="s">
        <v>257</v>
      </c>
      <c r="S1047" s="247"/>
    </row>
    <row r="1048" spans="1:19" x14ac:dyDescent="0.2">
      <c r="A1048" s="242"/>
      <c r="B1048" s="243"/>
      <c r="C1048" s="243"/>
      <c r="D1048" s="243"/>
      <c r="E1048" s="243"/>
      <c r="F1048" s="243"/>
      <c r="G1048" s="244"/>
      <c r="H1048" s="243"/>
      <c r="I1048" s="243"/>
      <c r="J1048" s="243"/>
      <c r="K1048" s="243"/>
      <c r="L1048" s="243"/>
      <c r="M1048" s="244"/>
      <c r="N1048" s="245" t="s">
        <v>257</v>
      </c>
      <c r="O1048" s="246"/>
      <c r="P1048" s="203" t="s">
        <v>257</v>
      </c>
      <c r="Q1048" s="210" t="s">
        <v>257</v>
      </c>
      <c r="R1048" s="243" t="s">
        <v>257</v>
      </c>
      <c r="S1048" s="247"/>
    </row>
    <row r="1049" spans="1:19" x14ac:dyDescent="0.2">
      <c r="A1049" s="242"/>
      <c r="B1049" s="243"/>
      <c r="C1049" s="243"/>
      <c r="D1049" s="243"/>
      <c r="E1049" s="243"/>
      <c r="F1049" s="243"/>
      <c r="G1049" s="244"/>
      <c r="H1049" s="243"/>
      <c r="I1049" s="243"/>
      <c r="J1049" s="243"/>
      <c r="K1049" s="243"/>
      <c r="L1049" s="243"/>
      <c r="M1049" s="244"/>
      <c r="N1049" s="245" t="s">
        <v>257</v>
      </c>
      <c r="O1049" s="246"/>
      <c r="P1049" s="203" t="s">
        <v>257</v>
      </c>
      <c r="Q1049" s="210" t="s">
        <v>257</v>
      </c>
      <c r="R1049" s="243" t="s">
        <v>257</v>
      </c>
      <c r="S1049" s="247"/>
    </row>
    <row r="1050" spans="1:19" x14ac:dyDescent="0.2">
      <c r="A1050" s="242"/>
      <c r="B1050" s="243"/>
      <c r="C1050" s="243"/>
      <c r="D1050" s="243"/>
      <c r="E1050" s="243"/>
      <c r="F1050" s="243"/>
      <c r="G1050" s="244"/>
      <c r="H1050" s="243"/>
      <c r="I1050" s="243"/>
      <c r="J1050" s="243"/>
      <c r="K1050" s="243"/>
      <c r="L1050" s="243"/>
      <c r="M1050" s="244"/>
      <c r="N1050" s="245" t="s">
        <v>257</v>
      </c>
      <c r="O1050" s="246"/>
      <c r="P1050" s="203" t="s">
        <v>257</v>
      </c>
      <c r="Q1050" s="210" t="s">
        <v>257</v>
      </c>
      <c r="R1050" s="243" t="s">
        <v>257</v>
      </c>
      <c r="S1050" s="247"/>
    </row>
    <row r="1051" spans="1:19" x14ac:dyDescent="0.2">
      <c r="A1051" s="242"/>
      <c r="B1051" s="243"/>
      <c r="C1051" s="243"/>
      <c r="D1051" s="243"/>
      <c r="E1051" s="243"/>
      <c r="F1051" s="243"/>
      <c r="G1051" s="244"/>
      <c r="H1051" s="243"/>
      <c r="I1051" s="243"/>
      <c r="J1051" s="243"/>
      <c r="K1051" s="243"/>
      <c r="L1051" s="243"/>
      <c r="M1051" s="244"/>
      <c r="N1051" s="245" t="s">
        <v>257</v>
      </c>
      <c r="O1051" s="246"/>
      <c r="P1051" s="203" t="s">
        <v>257</v>
      </c>
      <c r="Q1051" s="210" t="s">
        <v>257</v>
      </c>
      <c r="R1051" s="243" t="s">
        <v>257</v>
      </c>
      <c r="S1051" s="247"/>
    </row>
    <row r="1052" spans="1:19" x14ac:dyDescent="0.2">
      <c r="A1052" s="242"/>
      <c r="B1052" s="243"/>
      <c r="C1052" s="243"/>
      <c r="D1052" s="243"/>
      <c r="E1052" s="243"/>
      <c r="F1052" s="243"/>
      <c r="G1052" s="244"/>
      <c r="H1052" s="243"/>
      <c r="I1052" s="243"/>
      <c r="J1052" s="243"/>
      <c r="K1052" s="243"/>
      <c r="L1052" s="243"/>
      <c r="M1052" s="244"/>
      <c r="N1052" s="245" t="s">
        <v>257</v>
      </c>
      <c r="O1052" s="246"/>
      <c r="P1052" s="203" t="s">
        <v>257</v>
      </c>
      <c r="Q1052" s="210" t="s">
        <v>257</v>
      </c>
      <c r="R1052" s="243" t="s">
        <v>257</v>
      </c>
      <c r="S1052" s="247"/>
    </row>
    <row r="1053" spans="1:19" x14ac:dyDescent="0.2">
      <c r="A1053" s="242"/>
      <c r="B1053" s="243"/>
      <c r="C1053" s="243"/>
      <c r="D1053" s="243"/>
      <c r="E1053" s="243"/>
      <c r="F1053" s="243"/>
      <c r="G1053" s="244"/>
      <c r="H1053" s="243"/>
      <c r="I1053" s="243"/>
      <c r="J1053" s="243"/>
      <c r="K1053" s="243"/>
      <c r="L1053" s="243"/>
      <c r="M1053" s="244"/>
      <c r="N1053" s="245" t="s">
        <v>257</v>
      </c>
      <c r="O1053" s="246"/>
      <c r="P1053" s="203" t="s">
        <v>257</v>
      </c>
      <c r="Q1053" s="210" t="s">
        <v>257</v>
      </c>
      <c r="R1053" s="243" t="s">
        <v>257</v>
      </c>
      <c r="S1053" s="247"/>
    </row>
    <row r="1054" spans="1:19" x14ac:dyDescent="0.2">
      <c r="A1054" s="242"/>
      <c r="B1054" s="243"/>
      <c r="C1054" s="243"/>
      <c r="D1054" s="243"/>
      <c r="E1054" s="243"/>
      <c r="F1054" s="243"/>
      <c r="G1054" s="244"/>
      <c r="H1054" s="243"/>
      <c r="I1054" s="243"/>
      <c r="J1054" s="243"/>
      <c r="K1054" s="243"/>
      <c r="L1054" s="243"/>
      <c r="M1054" s="244"/>
      <c r="N1054" s="245" t="s">
        <v>257</v>
      </c>
      <c r="O1054" s="246"/>
      <c r="P1054" s="203" t="s">
        <v>257</v>
      </c>
      <c r="Q1054" s="210" t="s">
        <v>257</v>
      </c>
      <c r="R1054" s="243" t="s">
        <v>257</v>
      </c>
      <c r="S1054" s="247"/>
    </row>
    <row r="1055" spans="1:19" x14ac:dyDescent="0.2">
      <c r="A1055" s="242"/>
      <c r="B1055" s="243"/>
      <c r="C1055" s="243"/>
      <c r="D1055" s="243"/>
      <c r="E1055" s="243"/>
      <c r="F1055" s="243"/>
      <c r="G1055" s="244"/>
      <c r="H1055" s="243"/>
      <c r="I1055" s="243"/>
      <c r="J1055" s="243"/>
      <c r="K1055" s="243"/>
      <c r="L1055" s="243"/>
      <c r="M1055" s="244"/>
      <c r="N1055" s="245" t="s">
        <v>257</v>
      </c>
      <c r="O1055" s="246"/>
      <c r="P1055" s="203" t="s">
        <v>257</v>
      </c>
      <c r="Q1055" s="210" t="s">
        <v>257</v>
      </c>
      <c r="R1055" s="243" t="s">
        <v>257</v>
      </c>
      <c r="S1055" s="247"/>
    </row>
    <row r="1056" spans="1:19" x14ac:dyDescent="0.2">
      <c r="A1056" s="242"/>
      <c r="B1056" s="243"/>
      <c r="C1056" s="243"/>
      <c r="D1056" s="243"/>
      <c r="E1056" s="243"/>
      <c r="F1056" s="243"/>
      <c r="G1056" s="244"/>
      <c r="H1056" s="243"/>
      <c r="I1056" s="243"/>
      <c r="J1056" s="243"/>
      <c r="K1056" s="243"/>
      <c r="L1056" s="243"/>
      <c r="M1056" s="244"/>
      <c r="N1056" s="245" t="s">
        <v>257</v>
      </c>
      <c r="O1056" s="246"/>
      <c r="P1056" s="203" t="s">
        <v>257</v>
      </c>
      <c r="Q1056" s="210" t="s">
        <v>257</v>
      </c>
      <c r="R1056" s="243" t="s">
        <v>257</v>
      </c>
      <c r="S1056" s="247"/>
    </row>
    <row r="1057" spans="1:19" x14ac:dyDescent="0.2">
      <c r="A1057" s="242"/>
      <c r="B1057" s="243"/>
      <c r="C1057" s="243"/>
      <c r="D1057" s="243"/>
      <c r="E1057" s="243"/>
      <c r="F1057" s="243"/>
      <c r="G1057" s="244"/>
      <c r="H1057" s="243"/>
      <c r="I1057" s="243"/>
      <c r="J1057" s="243"/>
      <c r="K1057" s="243"/>
      <c r="L1057" s="243"/>
      <c r="M1057" s="244"/>
      <c r="N1057" s="245" t="s">
        <v>257</v>
      </c>
      <c r="O1057" s="246"/>
      <c r="P1057" s="203" t="s">
        <v>257</v>
      </c>
      <c r="Q1057" s="210" t="s">
        <v>257</v>
      </c>
      <c r="R1057" s="243" t="s">
        <v>257</v>
      </c>
      <c r="S1057" s="247"/>
    </row>
    <row r="1058" spans="1:19" x14ac:dyDescent="0.2">
      <c r="A1058" s="242"/>
      <c r="B1058" s="243"/>
      <c r="C1058" s="243"/>
      <c r="D1058" s="243"/>
      <c r="E1058" s="243"/>
      <c r="F1058" s="243"/>
      <c r="G1058" s="244"/>
      <c r="H1058" s="243"/>
      <c r="I1058" s="243"/>
      <c r="J1058" s="243"/>
      <c r="K1058" s="243"/>
      <c r="L1058" s="243"/>
      <c r="M1058" s="244"/>
      <c r="N1058" s="245" t="s">
        <v>257</v>
      </c>
      <c r="O1058" s="246"/>
      <c r="P1058" s="203" t="s">
        <v>257</v>
      </c>
      <c r="Q1058" s="210" t="s">
        <v>257</v>
      </c>
      <c r="R1058" s="243" t="s">
        <v>257</v>
      </c>
      <c r="S1058" s="247"/>
    </row>
    <row r="1059" spans="1:19" x14ac:dyDescent="0.2">
      <c r="A1059" s="242"/>
      <c r="B1059" s="243"/>
      <c r="C1059" s="243"/>
      <c r="D1059" s="243"/>
      <c r="E1059" s="243"/>
      <c r="F1059" s="243"/>
      <c r="G1059" s="244"/>
      <c r="H1059" s="243"/>
      <c r="I1059" s="243"/>
      <c r="J1059" s="243"/>
      <c r="K1059" s="243"/>
      <c r="L1059" s="243"/>
      <c r="M1059" s="244"/>
      <c r="N1059" s="245" t="s">
        <v>257</v>
      </c>
      <c r="O1059" s="246"/>
      <c r="P1059" s="203" t="s">
        <v>257</v>
      </c>
      <c r="Q1059" s="210" t="s">
        <v>257</v>
      </c>
      <c r="R1059" s="243" t="s">
        <v>257</v>
      </c>
      <c r="S1059" s="247"/>
    </row>
    <row r="1060" spans="1:19" x14ac:dyDescent="0.2">
      <c r="A1060" s="242"/>
      <c r="B1060" s="243"/>
      <c r="C1060" s="243"/>
      <c r="D1060" s="243"/>
      <c r="E1060" s="243"/>
      <c r="F1060" s="243"/>
      <c r="G1060" s="244"/>
      <c r="H1060" s="243"/>
      <c r="I1060" s="243"/>
      <c r="J1060" s="243"/>
      <c r="K1060" s="243"/>
      <c r="L1060" s="243"/>
      <c r="M1060" s="244"/>
      <c r="N1060" s="245" t="s">
        <v>257</v>
      </c>
      <c r="O1060" s="246"/>
      <c r="P1060" s="203" t="s">
        <v>257</v>
      </c>
      <c r="Q1060" s="210" t="s">
        <v>257</v>
      </c>
      <c r="R1060" s="243" t="s">
        <v>257</v>
      </c>
      <c r="S1060" s="247"/>
    </row>
    <row r="1061" spans="1:19" x14ac:dyDescent="0.2">
      <c r="A1061" s="242"/>
      <c r="B1061" s="243"/>
      <c r="C1061" s="243"/>
      <c r="D1061" s="243"/>
      <c r="E1061" s="243"/>
      <c r="F1061" s="243"/>
      <c r="G1061" s="244"/>
      <c r="H1061" s="243"/>
      <c r="I1061" s="243"/>
      <c r="J1061" s="243"/>
      <c r="K1061" s="243"/>
      <c r="L1061" s="243"/>
      <c r="M1061" s="244"/>
      <c r="N1061" s="245" t="s">
        <v>257</v>
      </c>
      <c r="O1061" s="246"/>
      <c r="P1061" s="203" t="s">
        <v>257</v>
      </c>
      <c r="Q1061" s="210" t="s">
        <v>257</v>
      </c>
      <c r="R1061" s="243" t="s">
        <v>257</v>
      </c>
      <c r="S1061" s="247"/>
    </row>
    <row r="1062" spans="1:19" x14ac:dyDescent="0.2">
      <c r="A1062" s="242"/>
      <c r="B1062" s="243"/>
      <c r="C1062" s="243"/>
      <c r="D1062" s="243"/>
      <c r="E1062" s="243"/>
      <c r="F1062" s="243"/>
      <c r="G1062" s="244"/>
      <c r="H1062" s="243"/>
      <c r="I1062" s="243"/>
      <c r="J1062" s="243"/>
      <c r="K1062" s="243"/>
      <c r="L1062" s="243"/>
      <c r="M1062" s="244"/>
      <c r="N1062" s="245" t="s">
        <v>257</v>
      </c>
      <c r="O1062" s="246"/>
      <c r="P1062" s="203" t="s">
        <v>257</v>
      </c>
      <c r="Q1062" s="210" t="s">
        <v>257</v>
      </c>
      <c r="R1062" s="243" t="s">
        <v>257</v>
      </c>
      <c r="S1062" s="247"/>
    </row>
    <row r="1063" spans="1:19" x14ac:dyDescent="0.2">
      <c r="A1063" s="242"/>
      <c r="B1063" s="243"/>
      <c r="C1063" s="243"/>
      <c r="D1063" s="243"/>
      <c r="E1063" s="243"/>
      <c r="F1063" s="243"/>
      <c r="G1063" s="244"/>
      <c r="H1063" s="243"/>
      <c r="I1063" s="243"/>
      <c r="J1063" s="243"/>
      <c r="K1063" s="243"/>
      <c r="L1063" s="243"/>
      <c r="M1063" s="244"/>
      <c r="N1063" s="245" t="s">
        <v>257</v>
      </c>
      <c r="O1063" s="246"/>
      <c r="P1063" s="203" t="s">
        <v>257</v>
      </c>
      <c r="Q1063" s="210" t="s">
        <v>257</v>
      </c>
      <c r="R1063" s="243" t="s">
        <v>257</v>
      </c>
      <c r="S1063" s="247"/>
    </row>
    <row r="1064" spans="1:19" x14ac:dyDescent="0.2">
      <c r="A1064" s="242"/>
      <c r="B1064" s="243"/>
      <c r="C1064" s="243"/>
      <c r="D1064" s="243"/>
      <c r="E1064" s="243"/>
      <c r="F1064" s="243"/>
      <c r="G1064" s="244"/>
      <c r="H1064" s="243"/>
      <c r="I1064" s="243"/>
      <c r="J1064" s="243"/>
      <c r="K1064" s="243"/>
      <c r="L1064" s="243"/>
      <c r="M1064" s="244"/>
      <c r="N1064" s="245" t="s">
        <v>257</v>
      </c>
      <c r="O1064" s="246"/>
      <c r="P1064" s="203" t="s">
        <v>257</v>
      </c>
      <c r="Q1064" s="210" t="s">
        <v>257</v>
      </c>
      <c r="R1064" s="243" t="s">
        <v>257</v>
      </c>
      <c r="S1064" s="247"/>
    </row>
    <row r="1065" spans="1:19" x14ac:dyDescent="0.2">
      <c r="A1065" s="242"/>
      <c r="B1065" s="243"/>
      <c r="C1065" s="243"/>
      <c r="D1065" s="243"/>
      <c r="E1065" s="243"/>
      <c r="F1065" s="243"/>
      <c r="G1065" s="244"/>
      <c r="H1065" s="243"/>
      <c r="I1065" s="243"/>
      <c r="J1065" s="243"/>
      <c r="K1065" s="243"/>
      <c r="L1065" s="243"/>
      <c r="M1065" s="244"/>
      <c r="N1065" s="245" t="s">
        <v>257</v>
      </c>
      <c r="O1065" s="246"/>
      <c r="P1065" s="203" t="s">
        <v>257</v>
      </c>
      <c r="Q1065" s="210" t="s">
        <v>257</v>
      </c>
      <c r="R1065" s="243" t="s">
        <v>257</v>
      </c>
      <c r="S1065" s="247"/>
    </row>
    <row r="1066" spans="1:19" x14ac:dyDescent="0.2">
      <c r="A1066" s="242"/>
      <c r="B1066" s="243"/>
      <c r="C1066" s="243"/>
      <c r="D1066" s="243"/>
      <c r="E1066" s="243"/>
      <c r="F1066" s="243"/>
      <c r="G1066" s="244"/>
      <c r="H1066" s="243"/>
      <c r="I1066" s="243"/>
      <c r="J1066" s="243"/>
      <c r="K1066" s="243"/>
      <c r="L1066" s="243"/>
      <c r="M1066" s="244"/>
      <c r="N1066" s="245" t="s">
        <v>257</v>
      </c>
      <c r="O1066" s="246"/>
      <c r="P1066" s="203" t="s">
        <v>257</v>
      </c>
      <c r="Q1066" s="210" t="s">
        <v>257</v>
      </c>
      <c r="R1066" s="243" t="s">
        <v>257</v>
      </c>
      <c r="S1066" s="247"/>
    </row>
    <row r="1067" spans="1:19" x14ac:dyDescent="0.2">
      <c r="A1067" s="242"/>
      <c r="B1067" s="243"/>
      <c r="C1067" s="243"/>
      <c r="D1067" s="243"/>
      <c r="E1067" s="243"/>
      <c r="F1067" s="243"/>
      <c r="G1067" s="244"/>
      <c r="H1067" s="243"/>
      <c r="I1067" s="243"/>
      <c r="J1067" s="243"/>
      <c r="K1067" s="243"/>
      <c r="L1067" s="243"/>
      <c r="M1067" s="244"/>
      <c r="N1067" s="245" t="s">
        <v>257</v>
      </c>
      <c r="O1067" s="246"/>
      <c r="P1067" s="203" t="s">
        <v>257</v>
      </c>
      <c r="Q1067" s="210" t="s">
        <v>257</v>
      </c>
      <c r="R1067" s="243" t="s">
        <v>257</v>
      </c>
      <c r="S1067" s="247"/>
    </row>
    <row r="1068" spans="1:19" x14ac:dyDescent="0.2">
      <c r="A1068" s="242"/>
      <c r="B1068" s="243"/>
      <c r="C1068" s="243"/>
      <c r="D1068" s="243"/>
      <c r="E1068" s="243"/>
      <c r="F1068" s="243"/>
      <c r="G1068" s="244"/>
      <c r="H1068" s="243"/>
      <c r="I1068" s="243"/>
      <c r="J1068" s="243"/>
      <c r="K1068" s="243"/>
      <c r="L1068" s="243"/>
      <c r="M1068" s="244"/>
      <c r="N1068" s="245" t="s">
        <v>257</v>
      </c>
      <c r="O1068" s="246"/>
      <c r="P1068" s="203" t="s">
        <v>257</v>
      </c>
      <c r="Q1068" s="210" t="s">
        <v>257</v>
      </c>
      <c r="R1068" s="243" t="s">
        <v>257</v>
      </c>
      <c r="S1068" s="247"/>
    </row>
    <row r="1069" spans="1:19" x14ac:dyDescent="0.2">
      <c r="A1069" s="242"/>
      <c r="B1069" s="243"/>
      <c r="C1069" s="243"/>
      <c r="D1069" s="243"/>
      <c r="E1069" s="243"/>
      <c r="F1069" s="243"/>
      <c r="G1069" s="244"/>
      <c r="H1069" s="243"/>
      <c r="I1069" s="243"/>
      <c r="J1069" s="243"/>
      <c r="K1069" s="243"/>
      <c r="L1069" s="243"/>
      <c r="M1069" s="244"/>
      <c r="N1069" s="245" t="s">
        <v>257</v>
      </c>
      <c r="O1069" s="246"/>
      <c r="P1069" s="203" t="s">
        <v>257</v>
      </c>
      <c r="Q1069" s="210" t="s">
        <v>257</v>
      </c>
      <c r="R1069" s="243" t="s">
        <v>257</v>
      </c>
      <c r="S1069" s="247"/>
    </row>
    <row r="1070" spans="1:19" x14ac:dyDescent="0.2">
      <c r="A1070" s="242"/>
      <c r="B1070" s="243"/>
      <c r="C1070" s="243"/>
      <c r="D1070" s="243"/>
      <c r="E1070" s="243"/>
      <c r="F1070" s="243"/>
      <c r="G1070" s="244"/>
      <c r="H1070" s="243"/>
      <c r="I1070" s="243"/>
      <c r="J1070" s="243"/>
      <c r="K1070" s="243"/>
      <c r="L1070" s="243"/>
      <c r="M1070" s="244"/>
      <c r="N1070" s="245" t="s">
        <v>257</v>
      </c>
      <c r="O1070" s="246"/>
      <c r="P1070" s="203" t="s">
        <v>257</v>
      </c>
      <c r="Q1070" s="210" t="s">
        <v>257</v>
      </c>
      <c r="R1070" s="243" t="s">
        <v>257</v>
      </c>
      <c r="S1070" s="247"/>
    </row>
    <row r="1071" spans="1:19" x14ac:dyDescent="0.2">
      <c r="A1071" s="242"/>
      <c r="B1071" s="243"/>
      <c r="C1071" s="243"/>
      <c r="D1071" s="243"/>
      <c r="E1071" s="243"/>
      <c r="F1071" s="243"/>
      <c r="G1071" s="244"/>
      <c r="H1071" s="243"/>
      <c r="I1071" s="243"/>
      <c r="J1071" s="243"/>
      <c r="K1071" s="243"/>
      <c r="L1071" s="243"/>
      <c r="M1071" s="244"/>
      <c r="N1071" s="245" t="s">
        <v>257</v>
      </c>
      <c r="O1071" s="246"/>
      <c r="P1071" s="203" t="s">
        <v>257</v>
      </c>
      <c r="Q1071" s="210" t="s">
        <v>257</v>
      </c>
      <c r="R1071" s="243" t="s">
        <v>257</v>
      </c>
      <c r="S1071" s="247"/>
    </row>
    <row r="1072" spans="1:19" x14ac:dyDescent="0.2">
      <c r="A1072" s="242"/>
      <c r="B1072" s="243"/>
      <c r="C1072" s="243"/>
      <c r="D1072" s="243"/>
      <c r="E1072" s="243"/>
      <c r="F1072" s="243"/>
      <c r="G1072" s="244"/>
      <c r="H1072" s="243"/>
      <c r="I1072" s="243"/>
      <c r="J1072" s="243"/>
      <c r="K1072" s="243"/>
      <c r="L1072" s="243"/>
      <c r="M1072" s="244"/>
      <c r="N1072" s="245" t="s">
        <v>257</v>
      </c>
      <c r="O1072" s="246"/>
      <c r="P1072" s="203" t="s">
        <v>257</v>
      </c>
      <c r="Q1072" s="210" t="s">
        <v>257</v>
      </c>
      <c r="R1072" s="243" t="s">
        <v>257</v>
      </c>
      <c r="S1072" s="247"/>
    </row>
    <row r="1073" spans="1:19" x14ac:dyDescent="0.2">
      <c r="A1073" s="242"/>
      <c r="B1073" s="243"/>
      <c r="C1073" s="243"/>
      <c r="D1073" s="243"/>
      <c r="E1073" s="243"/>
      <c r="F1073" s="243"/>
      <c r="G1073" s="244"/>
      <c r="H1073" s="243"/>
      <c r="I1073" s="243"/>
      <c r="J1073" s="243"/>
      <c r="K1073" s="243"/>
      <c r="L1073" s="243"/>
      <c r="M1073" s="244"/>
      <c r="N1073" s="245" t="s">
        <v>257</v>
      </c>
      <c r="O1073" s="246"/>
      <c r="P1073" s="203" t="s">
        <v>257</v>
      </c>
      <c r="Q1073" s="210" t="s">
        <v>257</v>
      </c>
      <c r="R1073" s="243" t="s">
        <v>257</v>
      </c>
      <c r="S1073" s="247"/>
    </row>
    <row r="1074" spans="1:19" x14ac:dyDescent="0.2">
      <c r="A1074" s="242"/>
      <c r="B1074" s="243"/>
      <c r="C1074" s="243"/>
      <c r="D1074" s="243"/>
      <c r="E1074" s="243"/>
      <c r="F1074" s="243"/>
      <c r="G1074" s="244"/>
      <c r="H1074" s="243"/>
      <c r="I1074" s="243"/>
      <c r="J1074" s="243"/>
      <c r="K1074" s="243"/>
      <c r="L1074" s="243"/>
      <c r="M1074" s="244"/>
      <c r="N1074" s="245" t="s">
        <v>257</v>
      </c>
      <c r="O1074" s="246"/>
      <c r="P1074" s="203" t="s">
        <v>257</v>
      </c>
      <c r="Q1074" s="210" t="s">
        <v>257</v>
      </c>
      <c r="R1074" s="243" t="s">
        <v>257</v>
      </c>
      <c r="S1074" s="247"/>
    </row>
    <row r="1075" spans="1:19" x14ac:dyDescent="0.2">
      <c r="A1075" s="242"/>
      <c r="B1075" s="243"/>
      <c r="C1075" s="243"/>
      <c r="D1075" s="243"/>
      <c r="E1075" s="243"/>
      <c r="F1075" s="243"/>
      <c r="G1075" s="244"/>
      <c r="H1075" s="243"/>
      <c r="I1075" s="243"/>
      <c r="J1075" s="243"/>
      <c r="K1075" s="243"/>
      <c r="L1075" s="243"/>
      <c r="M1075" s="244"/>
      <c r="N1075" s="245" t="s">
        <v>257</v>
      </c>
      <c r="O1075" s="246"/>
      <c r="P1075" s="203" t="s">
        <v>257</v>
      </c>
      <c r="Q1075" s="210" t="s">
        <v>257</v>
      </c>
      <c r="R1075" s="243" t="s">
        <v>257</v>
      </c>
      <c r="S1075" s="247"/>
    </row>
    <row r="1076" spans="1:19" x14ac:dyDescent="0.2">
      <c r="A1076" s="242"/>
      <c r="B1076" s="243"/>
      <c r="C1076" s="243"/>
      <c r="D1076" s="243"/>
      <c r="E1076" s="243"/>
      <c r="F1076" s="243"/>
      <c r="G1076" s="244"/>
      <c r="H1076" s="243"/>
      <c r="I1076" s="243"/>
      <c r="J1076" s="243"/>
      <c r="K1076" s="243"/>
      <c r="L1076" s="243"/>
      <c r="M1076" s="244"/>
      <c r="N1076" s="245" t="s">
        <v>257</v>
      </c>
      <c r="O1076" s="246"/>
      <c r="P1076" s="203" t="s">
        <v>257</v>
      </c>
      <c r="Q1076" s="210" t="s">
        <v>257</v>
      </c>
      <c r="R1076" s="243" t="s">
        <v>257</v>
      </c>
      <c r="S1076" s="247"/>
    </row>
    <row r="1077" spans="1:19" x14ac:dyDescent="0.2">
      <c r="A1077" s="242"/>
      <c r="B1077" s="243"/>
      <c r="C1077" s="243"/>
      <c r="D1077" s="243"/>
      <c r="E1077" s="243"/>
      <c r="F1077" s="243"/>
      <c r="G1077" s="244"/>
      <c r="H1077" s="243"/>
      <c r="I1077" s="243"/>
      <c r="J1077" s="243"/>
      <c r="K1077" s="243"/>
      <c r="L1077" s="243"/>
      <c r="M1077" s="244"/>
      <c r="N1077" s="245" t="s">
        <v>257</v>
      </c>
      <c r="O1077" s="246"/>
      <c r="P1077" s="203" t="s">
        <v>257</v>
      </c>
      <c r="Q1077" s="210" t="s">
        <v>257</v>
      </c>
      <c r="R1077" s="243" t="s">
        <v>257</v>
      </c>
      <c r="S1077" s="247"/>
    </row>
    <row r="1078" spans="1:19" x14ac:dyDescent="0.2">
      <c r="A1078" s="242"/>
      <c r="B1078" s="243"/>
      <c r="C1078" s="243"/>
      <c r="D1078" s="243"/>
      <c r="E1078" s="243"/>
      <c r="F1078" s="243"/>
      <c r="G1078" s="244"/>
      <c r="H1078" s="243"/>
      <c r="I1078" s="243"/>
      <c r="J1078" s="243"/>
      <c r="K1078" s="243"/>
      <c r="L1078" s="243"/>
      <c r="M1078" s="244"/>
      <c r="N1078" s="245" t="s">
        <v>257</v>
      </c>
      <c r="O1078" s="246"/>
      <c r="P1078" s="203" t="s">
        <v>257</v>
      </c>
      <c r="Q1078" s="210" t="s">
        <v>257</v>
      </c>
      <c r="R1078" s="243" t="s">
        <v>257</v>
      </c>
      <c r="S1078" s="247"/>
    </row>
    <row r="1079" spans="1:19" x14ac:dyDescent="0.2">
      <c r="A1079" s="242"/>
      <c r="B1079" s="243"/>
      <c r="C1079" s="243"/>
      <c r="D1079" s="243"/>
      <c r="E1079" s="243"/>
      <c r="F1079" s="243"/>
      <c r="G1079" s="244"/>
      <c r="H1079" s="243"/>
      <c r="I1079" s="243"/>
      <c r="J1079" s="243"/>
      <c r="K1079" s="243"/>
      <c r="L1079" s="243"/>
      <c r="M1079" s="244"/>
      <c r="N1079" s="245" t="s">
        <v>257</v>
      </c>
      <c r="O1079" s="246"/>
      <c r="P1079" s="203" t="s">
        <v>257</v>
      </c>
      <c r="Q1079" s="210" t="s">
        <v>257</v>
      </c>
      <c r="R1079" s="243" t="s">
        <v>257</v>
      </c>
      <c r="S1079" s="247"/>
    </row>
    <row r="1080" spans="1:19" x14ac:dyDescent="0.2">
      <c r="A1080" s="242"/>
      <c r="B1080" s="243"/>
      <c r="C1080" s="243"/>
      <c r="D1080" s="243"/>
      <c r="E1080" s="243"/>
      <c r="F1080" s="243"/>
      <c r="G1080" s="244"/>
      <c r="H1080" s="243"/>
      <c r="I1080" s="243"/>
      <c r="J1080" s="243"/>
      <c r="K1080" s="243"/>
      <c r="L1080" s="243"/>
      <c r="M1080" s="244"/>
      <c r="N1080" s="245" t="s">
        <v>257</v>
      </c>
      <c r="O1080" s="246"/>
      <c r="P1080" s="203" t="s">
        <v>257</v>
      </c>
      <c r="Q1080" s="210" t="s">
        <v>257</v>
      </c>
      <c r="R1080" s="243" t="s">
        <v>257</v>
      </c>
      <c r="S1080" s="247"/>
    </row>
    <row r="1081" spans="1:19" x14ac:dyDescent="0.2">
      <c r="A1081" s="242"/>
      <c r="B1081" s="243"/>
      <c r="C1081" s="243"/>
      <c r="D1081" s="243"/>
      <c r="E1081" s="243"/>
      <c r="F1081" s="243"/>
      <c r="G1081" s="244"/>
      <c r="H1081" s="243"/>
      <c r="I1081" s="243"/>
      <c r="J1081" s="243"/>
      <c r="K1081" s="243"/>
      <c r="L1081" s="243"/>
      <c r="M1081" s="244"/>
      <c r="N1081" s="245" t="s">
        <v>257</v>
      </c>
      <c r="O1081" s="246"/>
      <c r="P1081" s="203" t="s">
        <v>257</v>
      </c>
      <c r="Q1081" s="210" t="s">
        <v>257</v>
      </c>
      <c r="R1081" s="243" t="s">
        <v>257</v>
      </c>
      <c r="S1081" s="247"/>
    </row>
    <row r="1082" spans="1:19" x14ac:dyDescent="0.2">
      <c r="A1082" s="242"/>
      <c r="B1082" s="243"/>
      <c r="C1082" s="243"/>
      <c r="D1082" s="243"/>
      <c r="E1082" s="243"/>
      <c r="F1082" s="243"/>
      <c r="G1082" s="244"/>
      <c r="H1082" s="243"/>
      <c r="I1082" s="243"/>
      <c r="J1082" s="243"/>
      <c r="K1082" s="243"/>
      <c r="L1082" s="243"/>
      <c r="M1082" s="244"/>
      <c r="N1082" s="245" t="s">
        <v>257</v>
      </c>
      <c r="O1082" s="246"/>
      <c r="P1082" s="203" t="s">
        <v>257</v>
      </c>
      <c r="Q1082" s="210" t="s">
        <v>257</v>
      </c>
      <c r="R1082" s="243" t="s">
        <v>257</v>
      </c>
      <c r="S1082" s="247"/>
    </row>
    <row r="1083" spans="1:19" x14ac:dyDescent="0.2">
      <c r="A1083" s="242"/>
      <c r="B1083" s="243"/>
      <c r="C1083" s="243"/>
      <c r="D1083" s="243"/>
      <c r="E1083" s="243"/>
      <c r="F1083" s="243"/>
      <c r="G1083" s="244"/>
      <c r="H1083" s="243"/>
      <c r="I1083" s="243"/>
      <c r="J1083" s="243"/>
      <c r="K1083" s="243"/>
      <c r="L1083" s="243"/>
      <c r="M1083" s="244"/>
      <c r="N1083" s="245" t="s">
        <v>257</v>
      </c>
      <c r="O1083" s="246"/>
      <c r="P1083" s="203" t="s">
        <v>257</v>
      </c>
      <c r="Q1083" s="210" t="s">
        <v>257</v>
      </c>
      <c r="R1083" s="243" t="s">
        <v>257</v>
      </c>
      <c r="S1083" s="247"/>
    </row>
    <row r="1084" spans="1:19" x14ac:dyDescent="0.2">
      <c r="A1084" s="242"/>
      <c r="B1084" s="243"/>
      <c r="C1084" s="243"/>
      <c r="D1084" s="243"/>
      <c r="E1084" s="243"/>
      <c r="F1084" s="243"/>
      <c r="G1084" s="244"/>
      <c r="H1084" s="243"/>
      <c r="I1084" s="243"/>
      <c r="J1084" s="243"/>
      <c r="K1084" s="243"/>
      <c r="L1084" s="243"/>
      <c r="M1084" s="244"/>
      <c r="N1084" s="245" t="s">
        <v>257</v>
      </c>
      <c r="O1084" s="246"/>
      <c r="P1084" s="203" t="s">
        <v>257</v>
      </c>
      <c r="Q1084" s="210" t="s">
        <v>257</v>
      </c>
      <c r="R1084" s="243" t="s">
        <v>257</v>
      </c>
      <c r="S1084" s="247"/>
    </row>
    <row r="1085" spans="1:19" x14ac:dyDescent="0.2">
      <c r="A1085" s="242"/>
      <c r="B1085" s="243"/>
      <c r="C1085" s="243"/>
      <c r="D1085" s="243"/>
      <c r="E1085" s="243"/>
      <c r="F1085" s="243"/>
      <c r="G1085" s="244"/>
      <c r="H1085" s="243"/>
      <c r="I1085" s="243"/>
      <c r="J1085" s="243"/>
      <c r="K1085" s="243"/>
      <c r="L1085" s="243"/>
      <c r="M1085" s="244"/>
      <c r="N1085" s="245" t="s">
        <v>257</v>
      </c>
      <c r="O1085" s="246"/>
      <c r="P1085" s="203" t="s">
        <v>257</v>
      </c>
      <c r="Q1085" s="210" t="s">
        <v>257</v>
      </c>
      <c r="R1085" s="243" t="s">
        <v>257</v>
      </c>
      <c r="S1085" s="247"/>
    </row>
    <row r="1086" spans="1:19" x14ac:dyDescent="0.2">
      <c r="A1086" s="242"/>
      <c r="B1086" s="243"/>
      <c r="C1086" s="243"/>
      <c r="D1086" s="243"/>
      <c r="E1086" s="243"/>
      <c r="F1086" s="243"/>
      <c r="G1086" s="244"/>
      <c r="H1086" s="243"/>
      <c r="I1086" s="243"/>
      <c r="J1086" s="243"/>
      <c r="K1086" s="243"/>
      <c r="L1086" s="243"/>
      <c r="M1086" s="244"/>
      <c r="N1086" s="245" t="s">
        <v>257</v>
      </c>
      <c r="O1086" s="246"/>
      <c r="P1086" s="203" t="s">
        <v>257</v>
      </c>
      <c r="Q1086" s="210" t="s">
        <v>257</v>
      </c>
      <c r="R1086" s="243" t="s">
        <v>257</v>
      </c>
      <c r="S1086" s="247"/>
    </row>
    <row r="1087" spans="1:19" x14ac:dyDescent="0.2">
      <c r="A1087" s="242"/>
      <c r="B1087" s="243"/>
      <c r="C1087" s="243"/>
      <c r="D1087" s="243"/>
      <c r="E1087" s="243"/>
      <c r="F1087" s="243"/>
      <c r="G1087" s="244"/>
      <c r="H1087" s="243"/>
      <c r="I1087" s="243"/>
      <c r="J1087" s="243"/>
      <c r="K1087" s="243"/>
      <c r="L1087" s="243"/>
      <c r="M1087" s="244"/>
      <c r="N1087" s="245" t="s">
        <v>257</v>
      </c>
      <c r="O1087" s="246"/>
      <c r="P1087" s="203" t="s">
        <v>257</v>
      </c>
      <c r="Q1087" s="210" t="s">
        <v>257</v>
      </c>
      <c r="R1087" s="243" t="s">
        <v>257</v>
      </c>
      <c r="S1087" s="247"/>
    </row>
    <row r="1088" spans="1:19" x14ac:dyDescent="0.2">
      <c r="A1088" s="242"/>
      <c r="B1088" s="243"/>
      <c r="C1088" s="243"/>
      <c r="D1088" s="243"/>
      <c r="E1088" s="243"/>
      <c r="F1088" s="243"/>
      <c r="G1088" s="244"/>
      <c r="H1088" s="243"/>
      <c r="I1088" s="243"/>
      <c r="J1088" s="243"/>
      <c r="K1088" s="243"/>
      <c r="L1088" s="243"/>
      <c r="M1088" s="244"/>
      <c r="N1088" s="245" t="s">
        <v>257</v>
      </c>
      <c r="O1088" s="246"/>
      <c r="P1088" s="203" t="s">
        <v>257</v>
      </c>
      <c r="Q1088" s="210" t="s">
        <v>257</v>
      </c>
      <c r="R1088" s="243" t="s">
        <v>257</v>
      </c>
      <c r="S1088" s="247"/>
    </row>
    <row r="1089" spans="1:19" x14ac:dyDescent="0.2">
      <c r="A1089" s="242"/>
      <c r="B1089" s="243"/>
      <c r="C1089" s="243"/>
      <c r="D1089" s="243"/>
      <c r="E1089" s="243"/>
      <c r="F1089" s="243"/>
      <c r="G1089" s="244"/>
      <c r="H1089" s="243"/>
      <c r="I1089" s="243"/>
      <c r="J1089" s="243"/>
      <c r="K1089" s="243"/>
      <c r="L1089" s="243"/>
      <c r="M1089" s="244"/>
      <c r="N1089" s="245" t="s">
        <v>257</v>
      </c>
      <c r="O1089" s="246"/>
      <c r="P1089" s="203" t="s">
        <v>257</v>
      </c>
      <c r="Q1089" s="210" t="s">
        <v>257</v>
      </c>
      <c r="R1089" s="243" t="s">
        <v>257</v>
      </c>
      <c r="S1089" s="247"/>
    </row>
    <row r="1090" spans="1:19" x14ac:dyDescent="0.2">
      <c r="A1090" s="242"/>
      <c r="B1090" s="243"/>
      <c r="C1090" s="243"/>
      <c r="D1090" s="243"/>
      <c r="E1090" s="243"/>
      <c r="F1090" s="243"/>
      <c r="G1090" s="244"/>
      <c r="H1090" s="243"/>
      <c r="I1090" s="243"/>
      <c r="J1090" s="243"/>
      <c r="K1090" s="243"/>
      <c r="L1090" s="243"/>
      <c r="M1090" s="244"/>
      <c r="N1090" s="245" t="s">
        <v>257</v>
      </c>
      <c r="O1090" s="246"/>
      <c r="P1090" s="203" t="s">
        <v>257</v>
      </c>
      <c r="Q1090" s="210" t="s">
        <v>257</v>
      </c>
      <c r="R1090" s="243" t="s">
        <v>257</v>
      </c>
      <c r="S1090" s="247"/>
    </row>
    <row r="1091" spans="1:19" x14ac:dyDescent="0.2">
      <c r="A1091" s="242"/>
      <c r="B1091" s="243"/>
      <c r="C1091" s="243"/>
      <c r="D1091" s="243"/>
      <c r="E1091" s="243"/>
      <c r="F1091" s="243"/>
      <c r="G1091" s="244"/>
      <c r="H1091" s="243"/>
      <c r="I1091" s="243"/>
      <c r="J1091" s="243"/>
      <c r="K1091" s="243"/>
      <c r="L1091" s="243"/>
      <c r="M1091" s="244"/>
      <c r="N1091" s="245" t="s">
        <v>257</v>
      </c>
      <c r="O1091" s="246"/>
      <c r="P1091" s="203" t="s">
        <v>257</v>
      </c>
      <c r="Q1091" s="210" t="s">
        <v>257</v>
      </c>
      <c r="R1091" s="243" t="s">
        <v>257</v>
      </c>
      <c r="S1091" s="247"/>
    </row>
    <row r="1092" spans="1:19" x14ac:dyDescent="0.2">
      <c r="A1092" s="242"/>
      <c r="B1092" s="243"/>
      <c r="C1092" s="243"/>
      <c r="D1092" s="243"/>
      <c r="E1092" s="243"/>
      <c r="F1092" s="243"/>
      <c r="G1092" s="244"/>
      <c r="H1092" s="243"/>
      <c r="I1092" s="243"/>
      <c r="J1092" s="243"/>
      <c r="K1092" s="243"/>
      <c r="L1092" s="243"/>
      <c r="M1092" s="244"/>
      <c r="N1092" s="245" t="s">
        <v>257</v>
      </c>
      <c r="O1092" s="246"/>
      <c r="P1092" s="203" t="s">
        <v>257</v>
      </c>
      <c r="Q1092" s="210" t="s">
        <v>257</v>
      </c>
      <c r="R1092" s="243" t="s">
        <v>257</v>
      </c>
      <c r="S1092" s="247"/>
    </row>
    <row r="1093" spans="1:19" x14ac:dyDescent="0.2">
      <c r="A1093" s="242"/>
      <c r="B1093" s="243"/>
      <c r="C1093" s="243"/>
      <c r="D1093" s="243"/>
      <c r="E1093" s="243"/>
      <c r="F1093" s="243"/>
      <c r="G1093" s="244"/>
      <c r="H1093" s="243"/>
      <c r="I1093" s="243"/>
      <c r="J1093" s="243"/>
      <c r="K1093" s="243"/>
      <c r="L1093" s="243"/>
      <c r="M1093" s="244"/>
      <c r="N1093" s="245" t="s">
        <v>257</v>
      </c>
      <c r="O1093" s="246"/>
      <c r="P1093" s="203" t="s">
        <v>257</v>
      </c>
      <c r="Q1093" s="210" t="s">
        <v>257</v>
      </c>
      <c r="R1093" s="243" t="s">
        <v>257</v>
      </c>
      <c r="S1093" s="247"/>
    </row>
    <row r="1094" spans="1:19" x14ac:dyDescent="0.2">
      <c r="A1094" s="242"/>
      <c r="B1094" s="243"/>
      <c r="C1094" s="243"/>
      <c r="D1094" s="243"/>
      <c r="E1094" s="243"/>
      <c r="F1094" s="243"/>
      <c r="G1094" s="244"/>
      <c r="H1094" s="243"/>
      <c r="I1094" s="243"/>
      <c r="J1094" s="243"/>
      <c r="K1094" s="243"/>
      <c r="L1094" s="243"/>
      <c r="M1094" s="244"/>
      <c r="N1094" s="245" t="s">
        <v>257</v>
      </c>
      <c r="O1094" s="246"/>
      <c r="P1094" s="203" t="s">
        <v>257</v>
      </c>
      <c r="Q1094" s="210" t="s">
        <v>257</v>
      </c>
      <c r="R1094" s="243" t="s">
        <v>257</v>
      </c>
      <c r="S1094" s="247"/>
    </row>
    <row r="1095" spans="1:19" x14ac:dyDescent="0.2">
      <c r="A1095" s="242"/>
      <c r="B1095" s="243"/>
      <c r="C1095" s="243"/>
      <c r="D1095" s="243"/>
      <c r="E1095" s="243"/>
      <c r="F1095" s="243"/>
      <c r="G1095" s="244"/>
      <c r="H1095" s="243"/>
      <c r="I1095" s="243"/>
      <c r="J1095" s="243"/>
      <c r="K1095" s="243"/>
      <c r="L1095" s="243"/>
      <c r="M1095" s="244"/>
      <c r="N1095" s="245" t="s">
        <v>257</v>
      </c>
      <c r="O1095" s="246"/>
      <c r="P1095" s="203" t="s">
        <v>257</v>
      </c>
      <c r="Q1095" s="210" t="s">
        <v>257</v>
      </c>
      <c r="R1095" s="243" t="s">
        <v>257</v>
      </c>
      <c r="S1095" s="247"/>
    </row>
    <row r="1096" spans="1:19" x14ac:dyDescent="0.2">
      <c r="A1096" s="242"/>
      <c r="B1096" s="243"/>
      <c r="C1096" s="243"/>
      <c r="D1096" s="243"/>
      <c r="E1096" s="243"/>
      <c r="F1096" s="243"/>
      <c r="G1096" s="244"/>
      <c r="H1096" s="243"/>
      <c r="I1096" s="243"/>
      <c r="J1096" s="243"/>
      <c r="K1096" s="243"/>
      <c r="L1096" s="243"/>
      <c r="M1096" s="244"/>
      <c r="N1096" s="245" t="s">
        <v>257</v>
      </c>
      <c r="O1096" s="246"/>
      <c r="P1096" s="203" t="s">
        <v>257</v>
      </c>
      <c r="Q1096" s="210" t="s">
        <v>257</v>
      </c>
      <c r="R1096" s="243" t="s">
        <v>257</v>
      </c>
      <c r="S1096" s="247"/>
    </row>
    <row r="1097" spans="1:19" x14ac:dyDescent="0.2">
      <c r="A1097" s="242"/>
      <c r="B1097" s="243"/>
      <c r="C1097" s="243"/>
      <c r="D1097" s="243"/>
      <c r="E1097" s="243"/>
      <c r="F1097" s="243"/>
      <c r="G1097" s="244"/>
      <c r="H1097" s="243"/>
      <c r="I1097" s="243"/>
      <c r="J1097" s="243"/>
      <c r="K1097" s="243"/>
      <c r="L1097" s="243"/>
      <c r="M1097" s="244"/>
      <c r="N1097" s="245" t="s">
        <v>257</v>
      </c>
      <c r="O1097" s="246"/>
      <c r="P1097" s="203" t="s">
        <v>257</v>
      </c>
      <c r="Q1097" s="210" t="s">
        <v>257</v>
      </c>
      <c r="R1097" s="243" t="s">
        <v>257</v>
      </c>
      <c r="S1097" s="247"/>
    </row>
    <row r="1098" spans="1:19" x14ac:dyDescent="0.2">
      <c r="A1098" s="242"/>
      <c r="B1098" s="243"/>
      <c r="C1098" s="243"/>
      <c r="D1098" s="243"/>
      <c r="E1098" s="243"/>
      <c r="F1098" s="243"/>
      <c r="G1098" s="244"/>
      <c r="H1098" s="243"/>
      <c r="I1098" s="243"/>
      <c r="J1098" s="243"/>
      <c r="K1098" s="243"/>
      <c r="L1098" s="243"/>
      <c r="M1098" s="244"/>
      <c r="N1098" s="245" t="s">
        <v>257</v>
      </c>
      <c r="O1098" s="246"/>
      <c r="P1098" s="203" t="s">
        <v>257</v>
      </c>
      <c r="Q1098" s="210" t="s">
        <v>257</v>
      </c>
      <c r="R1098" s="243" t="s">
        <v>257</v>
      </c>
      <c r="S1098" s="247"/>
    </row>
    <row r="1099" spans="1:19" x14ac:dyDescent="0.2">
      <c r="A1099" s="242"/>
      <c r="B1099" s="243"/>
      <c r="C1099" s="243"/>
      <c r="D1099" s="243"/>
      <c r="E1099" s="243"/>
      <c r="F1099" s="243"/>
      <c r="G1099" s="244"/>
      <c r="H1099" s="243"/>
      <c r="I1099" s="243"/>
      <c r="J1099" s="243"/>
      <c r="K1099" s="243"/>
      <c r="L1099" s="243"/>
      <c r="M1099" s="244"/>
      <c r="N1099" s="245" t="s">
        <v>257</v>
      </c>
      <c r="O1099" s="246"/>
      <c r="P1099" s="203" t="s">
        <v>257</v>
      </c>
      <c r="Q1099" s="210" t="s">
        <v>257</v>
      </c>
      <c r="R1099" s="243" t="s">
        <v>257</v>
      </c>
      <c r="S1099" s="247"/>
    </row>
    <row r="1100" spans="1:19" x14ac:dyDescent="0.2">
      <c r="A1100" s="242"/>
      <c r="B1100" s="243"/>
      <c r="C1100" s="243"/>
      <c r="D1100" s="243"/>
      <c r="E1100" s="243"/>
      <c r="F1100" s="243"/>
      <c r="G1100" s="244"/>
      <c r="H1100" s="243"/>
      <c r="I1100" s="243"/>
      <c r="J1100" s="243"/>
      <c r="K1100" s="243"/>
      <c r="L1100" s="243"/>
      <c r="M1100" s="244"/>
      <c r="N1100" s="245" t="s">
        <v>257</v>
      </c>
      <c r="O1100" s="246"/>
      <c r="P1100" s="203" t="s">
        <v>257</v>
      </c>
      <c r="Q1100" s="210" t="s">
        <v>257</v>
      </c>
      <c r="R1100" s="243" t="s">
        <v>257</v>
      </c>
      <c r="S1100" s="247"/>
    </row>
    <row r="1101" spans="1:19" x14ac:dyDescent="0.2">
      <c r="A1101" s="242"/>
      <c r="B1101" s="243"/>
      <c r="C1101" s="243"/>
      <c r="D1101" s="243"/>
      <c r="E1101" s="243"/>
      <c r="F1101" s="243"/>
      <c r="G1101" s="244"/>
      <c r="H1101" s="243"/>
      <c r="I1101" s="243"/>
      <c r="J1101" s="243"/>
      <c r="K1101" s="243"/>
      <c r="L1101" s="243"/>
      <c r="M1101" s="244"/>
      <c r="N1101" s="245" t="s">
        <v>257</v>
      </c>
      <c r="O1101" s="246"/>
      <c r="P1101" s="203" t="s">
        <v>257</v>
      </c>
      <c r="Q1101" s="210" t="s">
        <v>257</v>
      </c>
      <c r="R1101" s="243" t="s">
        <v>257</v>
      </c>
      <c r="S1101" s="247"/>
    </row>
    <row r="1102" spans="1:19" x14ac:dyDescent="0.2">
      <c r="A1102" s="242"/>
      <c r="B1102" s="243"/>
      <c r="C1102" s="243"/>
      <c r="D1102" s="243"/>
      <c r="E1102" s="243"/>
      <c r="F1102" s="243"/>
      <c r="G1102" s="244"/>
      <c r="H1102" s="243"/>
      <c r="I1102" s="243"/>
      <c r="J1102" s="243"/>
      <c r="K1102" s="243"/>
      <c r="L1102" s="243"/>
      <c r="M1102" s="244"/>
      <c r="N1102" s="245" t="s">
        <v>257</v>
      </c>
      <c r="O1102" s="246"/>
      <c r="P1102" s="203" t="s">
        <v>257</v>
      </c>
      <c r="Q1102" s="210" t="s">
        <v>257</v>
      </c>
      <c r="R1102" s="243" t="s">
        <v>257</v>
      </c>
      <c r="S1102" s="247"/>
    </row>
    <row r="1103" spans="1:19" x14ac:dyDescent="0.2">
      <c r="A1103" s="242"/>
      <c r="B1103" s="243"/>
      <c r="C1103" s="243"/>
      <c r="D1103" s="243"/>
      <c r="E1103" s="243"/>
      <c r="F1103" s="243"/>
      <c r="G1103" s="244"/>
      <c r="H1103" s="243"/>
      <c r="I1103" s="243"/>
      <c r="J1103" s="243"/>
      <c r="K1103" s="243"/>
      <c r="L1103" s="243"/>
      <c r="M1103" s="244"/>
      <c r="N1103" s="245" t="s">
        <v>257</v>
      </c>
      <c r="O1103" s="246"/>
      <c r="P1103" s="203" t="s">
        <v>257</v>
      </c>
      <c r="Q1103" s="210" t="s">
        <v>257</v>
      </c>
      <c r="R1103" s="243" t="s">
        <v>257</v>
      </c>
      <c r="S1103" s="247"/>
    </row>
    <row r="1104" spans="1:19" x14ac:dyDescent="0.2">
      <c r="A1104" s="242"/>
      <c r="B1104" s="243"/>
      <c r="C1104" s="243"/>
      <c r="D1104" s="243"/>
      <c r="E1104" s="243"/>
      <c r="F1104" s="243"/>
      <c r="G1104" s="244"/>
      <c r="H1104" s="243"/>
      <c r="I1104" s="243"/>
      <c r="J1104" s="243"/>
      <c r="K1104" s="243"/>
      <c r="L1104" s="243"/>
      <c r="M1104" s="244"/>
      <c r="N1104" s="245" t="s">
        <v>257</v>
      </c>
      <c r="O1104" s="246"/>
      <c r="P1104" s="203" t="s">
        <v>257</v>
      </c>
      <c r="Q1104" s="210" t="s">
        <v>257</v>
      </c>
      <c r="R1104" s="243" t="s">
        <v>257</v>
      </c>
      <c r="S1104" s="247"/>
    </row>
    <row r="1105" spans="1:19" x14ac:dyDescent="0.2">
      <c r="A1105" s="242"/>
      <c r="B1105" s="243"/>
      <c r="C1105" s="243"/>
      <c r="D1105" s="243"/>
      <c r="E1105" s="243"/>
      <c r="F1105" s="243"/>
      <c r="G1105" s="244"/>
      <c r="H1105" s="243"/>
      <c r="I1105" s="243"/>
      <c r="J1105" s="243"/>
      <c r="K1105" s="243"/>
      <c r="L1105" s="243"/>
      <c r="M1105" s="244"/>
      <c r="N1105" s="245" t="s">
        <v>257</v>
      </c>
      <c r="O1105" s="246"/>
      <c r="P1105" s="203" t="s">
        <v>257</v>
      </c>
      <c r="Q1105" s="210" t="s">
        <v>257</v>
      </c>
      <c r="R1105" s="243" t="s">
        <v>257</v>
      </c>
      <c r="S1105" s="247"/>
    </row>
    <row r="1106" spans="1:19" x14ac:dyDescent="0.2">
      <c r="A1106" s="242"/>
      <c r="B1106" s="243"/>
      <c r="C1106" s="243"/>
      <c r="D1106" s="243"/>
      <c r="E1106" s="243"/>
      <c r="F1106" s="243"/>
      <c r="G1106" s="244"/>
      <c r="H1106" s="243"/>
      <c r="I1106" s="243"/>
      <c r="J1106" s="243"/>
      <c r="K1106" s="243"/>
      <c r="L1106" s="243"/>
      <c r="M1106" s="244"/>
      <c r="N1106" s="245" t="s">
        <v>257</v>
      </c>
      <c r="O1106" s="246"/>
      <c r="P1106" s="203" t="s">
        <v>257</v>
      </c>
      <c r="Q1106" s="210" t="s">
        <v>257</v>
      </c>
      <c r="R1106" s="243" t="s">
        <v>257</v>
      </c>
      <c r="S1106" s="247"/>
    </row>
    <row r="1107" spans="1:19" x14ac:dyDescent="0.2">
      <c r="A1107" s="242"/>
      <c r="B1107" s="243"/>
      <c r="C1107" s="243"/>
      <c r="D1107" s="243"/>
      <c r="E1107" s="243"/>
      <c r="F1107" s="243"/>
      <c r="G1107" s="244"/>
      <c r="H1107" s="243"/>
      <c r="I1107" s="243"/>
      <c r="J1107" s="243"/>
      <c r="K1107" s="243"/>
      <c r="L1107" s="243"/>
      <c r="M1107" s="244"/>
      <c r="N1107" s="245" t="s">
        <v>257</v>
      </c>
      <c r="O1107" s="246"/>
      <c r="P1107" s="203" t="s">
        <v>257</v>
      </c>
      <c r="Q1107" s="210" t="s">
        <v>257</v>
      </c>
      <c r="R1107" s="243" t="s">
        <v>257</v>
      </c>
      <c r="S1107" s="247"/>
    </row>
    <row r="1108" spans="1:19" x14ac:dyDescent="0.2">
      <c r="A1108" s="242"/>
      <c r="B1108" s="243"/>
      <c r="C1108" s="243"/>
      <c r="D1108" s="243"/>
      <c r="E1108" s="243"/>
      <c r="F1108" s="243"/>
      <c r="G1108" s="244"/>
      <c r="H1108" s="243"/>
      <c r="I1108" s="243"/>
      <c r="J1108" s="243"/>
      <c r="K1108" s="243"/>
      <c r="L1108" s="243"/>
      <c r="M1108" s="244"/>
      <c r="N1108" s="245" t="s">
        <v>257</v>
      </c>
      <c r="O1108" s="246"/>
      <c r="P1108" s="203" t="s">
        <v>257</v>
      </c>
      <c r="Q1108" s="210" t="s">
        <v>257</v>
      </c>
      <c r="R1108" s="243" t="s">
        <v>257</v>
      </c>
      <c r="S1108" s="247"/>
    </row>
    <row r="1109" spans="1:19" x14ac:dyDescent="0.2">
      <c r="A1109" s="242"/>
      <c r="B1109" s="243"/>
      <c r="C1109" s="243"/>
      <c r="D1109" s="243"/>
      <c r="E1109" s="243"/>
      <c r="F1109" s="243"/>
      <c r="G1109" s="244"/>
      <c r="H1109" s="243"/>
      <c r="I1109" s="243"/>
      <c r="J1109" s="243"/>
      <c r="K1109" s="243"/>
      <c r="L1109" s="243"/>
      <c r="M1109" s="244"/>
      <c r="N1109" s="245" t="s">
        <v>257</v>
      </c>
      <c r="O1109" s="246"/>
      <c r="P1109" s="203" t="s">
        <v>257</v>
      </c>
      <c r="Q1109" s="210" t="s">
        <v>257</v>
      </c>
      <c r="R1109" s="243" t="s">
        <v>257</v>
      </c>
      <c r="S1109" s="247"/>
    </row>
    <row r="1110" spans="1:19" x14ac:dyDescent="0.2">
      <c r="A1110" s="242"/>
      <c r="B1110" s="243"/>
      <c r="C1110" s="243"/>
      <c r="D1110" s="243"/>
      <c r="E1110" s="243"/>
      <c r="F1110" s="243"/>
      <c r="G1110" s="244"/>
      <c r="H1110" s="243"/>
      <c r="I1110" s="243"/>
      <c r="J1110" s="243"/>
      <c r="K1110" s="243"/>
      <c r="L1110" s="243"/>
      <c r="M1110" s="244"/>
      <c r="N1110" s="245" t="s">
        <v>257</v>
      </c>
      <c r="O1110" s="246"/>
      <c r="P1110" s="203" t="s">
        <v>257</v>
      </c>
      <c r="Q1110" s="210" t="s">
        <v>257</v>
      </c>
      <c r="R1110" s="243" t="s">
        <v>257</v>
      </c>
      <c r="S1110" s="247"/>
    </row>
    <row r="1111" spans="1:19" x14ac:dyDescent="0.2">
      <c r="A1111" s="242"/>
      <c r="B1111" s="243"/>
      <c r="C1111" s="243"/>
      <c r="D1111" s="243"/>
      <c r="E1111" s="243"/>
      <c r="F1111" s="243"/>
      <c r="G1111" s="244"/>
      <c r="H1111" s="243"/>
      <c r="I1111" s="243"/>
      <c r="J1111" s="243"/>
      <c r="K1111" s="243"/>
      <c r="L1111" s="243"/>
      <c r="M1111" s="244"/>
      <c r="N1111" s="245" t="s">
        <v>257</v>
      </c>
      <c r="O1111" s="246"/>
      <c r="P1111" s="203" t="s">
        <v>257</v>
      </c>
      <c r="Q1111" s="210" t="s">
        <v>257</v>
      </c>
      <c r="R1111" s="243" t="s">
        <v>257</v>
      </c>
      <c r="S1111" s="247"/>
    </row>
    <row r="1112" spans="1:19" x14ac:dyDescent="0.2">
      <c r="A1112" s="242"/>
      <c r="B1112" s="243"/>
      <c r="C1112" s="243"/>
      <c r="D1112" s="243"/>
      <c r="E1112" s="243"/>
      <c r="F1112" s="243"/>
      <c r="G1112" s="244"/>
      <c r="H1112" s="243"/>
      <c r="I1112" s="243"/>
      <c r="J1112" s="243"/>
      <c r="K1112" s="243"/>
      <c r="L1112" s="243"/>
      <c r="M1112" s="244"/>
      <c r="N1112" s="245" t="s">
        <v>257</v>
      </c>
      <c r="O1112" s="246"/>
      <c r="P1112" s="203" t="s">
        <v>257</v>
      </c>
      <c r="Q1112" s="210" t="s">
        <v>257</v>
      </c>
      <c r="R1112" s="243" t="s">
        <v>257</v>
      </c>
      <c r="S1112" s="247"/>
    </row>
    <row r="1113" spans="1:19" x14ac:dyDescent="0.2">
      <c r="A1113" s="242"/>
      <c r="B1113" s="243"/>
      <c r="C1113" s="243"/>
      <c r="D1113" s="243"/>
      <c r="E1113" s="243"/>
      <c r="F1113" s="243"/>
      <c r="G1113" s="244"/>
      <c r="H1113" s="243"/>
      <c r="I1113" s="243"/>
      <c r="J1113" s="243"/>
      <c r="K1113" s="243"/>
      <c r="L1113" s="243"/>
      <c r="M1113" s="244"/>
      <c r="N1113" s="245" t="s">
        <v>257</v>
      </c>
      <c r="O1113" s="246"/>
      <c r="P1113" s="203" t="s">
        <v>257</v>
      </c>
      <c r="Q1113" s="210" t="s">
        <v>257</v>
      </c>
      <c r="R1113" s="243" t="s">
        <v>257</v>
      </c>
      <c r="S1113" s="247"/>
    </row>
    <row r="1114" spans="1:19" x14ac:dyDescent="0.2">
      <c r="A1114" s="242"/>
      <c r="B1114" s="243"/>
      <c r="C1114" s="243"/>
      <c r="D1114" s="243"/>
      <c r="E1114" s="243"/>
      <c r="F1114" s="243"/>
      <c r="G1114" s="244"/>
      <c r="H1114" s="243"/>
      <c r="I1114" s="243"/>
      <c r="J1114" s="243"/>
      <c r="K1114" s="243"/>
      <c r="L1114" s="243"/>
      <c r="M1114" s="244"/>
      <c r="N1114" s="245" t="s">
        <v>257</v>
      </c>
      <c r="O1114" s="246"/>
      <c r="P1114" s="203" t="s">
        <v>257</v>
      </c>
      <c r="Q1114" s="210" t="s">
        <v>257</v>
      </c>
      <c r="R1114" s="243" t="s">
        <v>257</v>
      </c>
      <c r="S1114" s="247"/>
    </row>
    <row r="1115" spans="1:19" x14ac:dyDescent="0.2">
      <c r="A1115" s="242"/>
      <c r="B1115" s="243"/>
      <c r="C1115" s="243"/>
      <c r="D1115" s="243"/>
      <c r="E1115" s="243"/>
      <c r="F1115" s="243"/>
      <c r="G1115" s="244"/>
      <c r="H1115" s="243"/>
      <c r="I1115" s="243"/>
      <c r="J1115" s="243"/>
      <c r="K1115" s="243"/>
      <c r="L1115" s="243"/>
      <c r="M1115" s="244"/>
      <c r="N1115" s="245" t="s">
        <v>257</v>
      </c>
      <c r="O1115" s="246"/>
      <c r="P1115" s="203" t="s">
        <v>257</v>
      </c>
      <c r="Q1115" s="210" t="s">
        <v>257</v>
      </c>
      <c r="R1115" s="243" t="s">
        <v>257</v>
      </c>
      <c r="S1115" s="247"/>
    </row>
    <row r="1116" spans="1:19" x14ac:dyDescent="0.2">
      <c r="A1116" s="242"/>
      <c r="B1116" s="243"/>
      <c r="C1116" s="243"/>
      <c r="D1116" s="243"/>
      <c r="E1116" s="243"/>
      <c r="F1116" s="243"/>
      <c r="G1116" s="244"/>
      <c r="H1116" s="243"/>
      <c r="I1116" s="243"/>
      <c r="J1116" s="243"/>
      <c r="K1116" s="243"/>
      <c r="L1116" s="243"/>
      <c r="M1116" s="244"/>
      <c r="N1116" s="245" t="s">
        <v>257</v>
      </c>
      <c r="O1116" s="246"/>
      <c r="P1116" s="203" t="s">
        <v>257</v>
      </c>
      <c r="Q1116" s="210" t="s">
        <v>257</v>
      </c>
      <c r="R1116" s="243" t="s">
        <v>257</v>
      </c>
      <c r="S1116" s="247"/>
    </row>
    <row r="1117" spans="1:19" x14ac:dyDescent="0.2">
      <c r="A1117" s="242"/>
      <c r="B1117" s="243"/>
      <c r="C1117" s="243"/>
      <c r="D1117" s="243"/>
      <c r="E1117" s="243"/>
      <c r="F1117" s="243"/>
      <c r="G1117" s="244"/>
      <c r="H1117" s="243"/>
      <c r="I1117" s="243"/>
      <c r="J1117" s="243"/>
      <c r="K1117" s="243"/>
      <c r="L1117" s="243"/>
      <c r="M1117" s="244"/>
      <c r="N1117" s="245" t="s">
        <v>257</v>
      </c>
      <c r="O1117" s="246"/>
      <c r="P1117" s="203" t="s">
        <v>257</v>
      </c>
      <c r="Q1117" s="210" t="s">
        <v>257</v>
      </c>
      <c r="R1117" s="243" t="s">
        <v>257</v>
      </c>
      <c r="S1117" s="247"/>
    </row>
    <row r="1118" spans="1:19" x14ac:dyDescent="0.2">
      <c r="A1118" s="242"/>
      <c r="B1118" s="243"/>
      <c r="C1118" s="243"/>
      <c r="D1118" s="243"/>
      <c r="E1118" s="243"/>
      <c r="F1118" s="243"/>
      <c r="G1118" s="244"/>
      <c r="H1118" s="243"/>
      <c r="I1118" s="243"/>
      <c r="J1118" s="243"/>
      <c r="K1118" s="243"/>
      <c r="L1118" s="243"/>
      <c r="M1118" s="244"/>
      <c r="N1118" s="245" t="s">
        <v>257</v>
      </c>
      <c r="O1118" s="246"/>
      <c r="P1118" s="203" t="s">
        <v>257</v>
      </c>
      <c r="Q1118" s="210" t="s">
        <v>257</v>
      </c>
      <c r="R1118" s="243" t="s">
        <v>257</v>
      </c>
      <c r="S1118" s="247"/>
    </row>
    <row r="1119" spans="1:19" x14ac:dyDescent="0.2">
      <c r="A1119" s="242"/>
      <c r="B1119" s="243"/>
      <c r="C1119" s="243"/>
      <c r="D1119" s="243"/>
      <c r="E1119" s="243"/>
      <c r="F1119" s="243"/>
      <c r="G1119" s="244"/>
      <c r="H1119" s="243"/>
      <c r="I1119" s="243"/>
      <c r="J1119" s="243"/>
      <c r="K1119" s="243"/>
      <c r="L1119" s="243"/>
      <c r="M1119" s="244"/>
      <c r="N1119" s="245" t="s">
        <v>257</v>
      </c>
      <c r="O1119" s="246"/>
      <c r="P1119" s="203" t="s">
        <v>257</v>
      </c>
      <c r="Q1119" s="210" t="s">
        <v>257</v>
      </c>
      <c r="R1119" s="243" t="s">
        <v>257</v>
      </c>
      <c r="S1119" s="247"/>
    </row>
    <row r="1120" spans="1:19" x14ac:dyDescent="0.2">
      <c r="A1120" s="242"/>
      <c r="B1120" s="243"/>
      <c r="C1120" s="243"/>
      <c r="D1120" s="243"/>
      <c r="E1120" s="243"/>
      <c r="F1120" s="243"/>
      <c r="G1120" s="244"/>
      <c r="H1120" s="243"/>
      <c r="I1120" s="243"/>
      <c r="J1120" s="243"/>
      <c r="K1120" s="243"/>
      <c r="L1120" s="243"/>
      <c r="M1120" s="244"/>
      <c r="N1120" s="245" t="s">
        <v>257</v>
      </c>
      <c r="O1120" s="246"/>
      <c r="P1120" s="203" t="s">
        <v>257</v>
      </c>
      <c r="Q1120" s="210" t="s">
        <v>257</v>
      </c>
      <c r="R1120" s="243" t="s">
        <v>257</v>
      </c>
      <c r="S1120" s="247"/>
    </row>
    <row r="1121" spans="1:19" x14ac:dyDescent="0.2">
      <c r="A1121" s="242"/>
      <c r="B1121" s="243"/>
      <c r="C1121" s="243"/>
      <c r="D1121" s="243"/>
      <c r="E1121" s="243"/>
      <c r="F1121" s="243"/>
      <c r="G1121" s="244"/>
      <c r="H1121" s="243"/>
      <c r="I1121" s="243"/>
      <c r="J1121" s="243"/>
      <c r="K1121" s="243"/>
      <c r="L1121" s="243"/>
      <c r="M1121" s="244"/>
      <c r="N1121" s="245" t="s">
        <v>257</v>
      </c>
      <c r="O1121" s="246"/>
      <c r="P1121" s="203" t="s">
        <v>257</v>
      </c>
      <c r="Q1121" s="210" t="s">
        <v>257</v>
      </c>
      <c r="R1121" s="243" t="s">
        <v>257</v>
      </c>
      <c r="S1121" s="247"/>
    </row>
    <row r="1122" spans="1:19" x14ac:dyDescent="0.2">
      <c r="A1122" s="242"/>
      <c r="B1122" s="243"/>
      <c r="C1122" s="243"/>
      <c r="D1122" s="243"/>
      <c r="E1122" s="243"/>
      <c r="F1122" s="243"/>
      <c r="G1122" s="244"/>
      <c r="H1122" s="243"/>
      <c r="I1122" s="243"/>
      <c r="J1122" s="243"/>
      <c r="K1122" s="243"/>
      <c r="L1122" s="243"/>
      <c r="M1122" s="244"/>
      <c r="N1122" s="245" t="s">
        <v>257</v>
      </c>
      <c r="O1122" s="246"/>
      <c r="P1122" s="203" t="s">
        <v>257</v>
      </c>
      <c r="Q1122" s="210" t="s">
        <v>257</v>
      </c>
      <c r="R1122" s="243" t="s">
        <v>257</v>
      </c>
      <c r="S1122" s="247"/>
    </row>
    <row r="1123" spans="1:19" x14ac:dyDescent="0.2">
      <c r="A1123" s="242"/>
      <c r="B1123" s="243"/>
      <c r="C1123" s="243"/>
      <c r="D1123" s="243"/>
      <c r="E1123" s="243"/>
      <c r="F1123" s="243"/>
      <c r="G1123" s="244"/>
      <c r="H1123" s="243"/>
      <c r="I1123" s="243"/>
      <c r="J1123" s="243"/>
      <c r="K1123" s="243"/>
      <c r="L1123" s="243"/>
      <c r="M1123" s="244"/>
      <c r="N1123" s="245" t="s">
        <v>257</v>
      </c>
      <c r="O1123" s="246"/>
      <c r="P1123" s="203" t="s">
        <v>257</v>
      </c>
      <c r="Q1123" s="210" t="s">
        <v>257</v>
      </c>
      <c r="R1123" s="243" t="s">
        <v>257</v>
      </c>
      <c r="S1123" s="247"/>
    </row>
    <row r="1124" spans="1:19" x14ac:dyDescent="0.2">
      <c r="A1124" s="242"/>
      <c r="B1124" s="243"/>
      <c r="C1124" s="243"/>
      <c r="D1124" s="243"/>
      <c r="E1124" s="243"/>
      <c r="F1124" s="243"/>
      <c r="G1124" s="244"/>
      <c r="H1124" s="243"/>
      <c r="I1124" s="243"/>
      <c r="J1124" s="243"/>
      <c r="K1124" s="243"/>
      <c r="L1124" s="243"/>
      <c r="M1124" s="244"/>
      <c r="N1124" s="245" t="s">
        <v>257</v>
      </c>
      <c r="O1124" s="246"/>
      <c r="P1124" s="203" t="s">
        <v>257</v>
      </c>
      <c r="Q1124" s="210" t="s">
        <v>257</v>
      </c>
      <c r="R1124" s="243" t="s">
        <v>257</v>
      </c>
      <c r="S1124" s="247"/>
    </row>
    <row r="1125" spans="1:19" x14ac:dyDescent="0.2">
      <c r="A1125" s="242"/>
      <c r="B1125" s="243"/>
      <c r="C1125" s="243"/>
      <c r="D1125" s="243"/>
      <c r="E1125" s="243"/>
      <c r="F1125" s="243"/>
      <c r="G1125" s="244"/>
      <c r="H1125" s="243"/>
      <c r="I1125" s="243"/>
      <c r="J1125" s="243"/>
      <c r="K1125" s="243"/>
      <c r="L1125" s="243"/>
      <c r="M1125" s="244"/>
      <c r="N1125" s="245" t="s">
        <v>257</v>
      </c>
      <c r="O1125" s="246"/>
      <c r="P1125" s="203" t="s">
        <v>257</v>
      </c>
      <c r="Q1125" s="210" t="s">
        <v>257</v>
      </c>
      <c r="R1125" s="243" t="s">
        <v>257</v>
      </c>
      <c r="S1125" s="247"/>
    </row>
    <row r="1126" spans="1:19" x14ac:dyDescent="0.2">
      <c r="A1126" s="242"/>
      <c r="B1126" s="243"/>
      <c r="C1126" s="243"/>
      <c r="D1126" s="243"/>
      <c r="E1126" s="243"/>
      <c r="F1126" s="243"/>
      <c r="G1126" s="244"/>
      <c r="H1126" s="243"/>
      <c r="I1126" s="243"/>
      <c r="J1126" s="243"/>
      <c r="K1126" s="243"/>
      <c r="L1126" s="243"/>
      <c r="M1126" s="244"/>
      <c r="N1126" s="245" t="s">
        <v>257</v>
      </c>
      <c r="O1126" s="246"/>
      <c r="P1126" s="203" t="s">
        <v>257</v>
      </c>
      <c r="Q1126" s="210" t="s">
        <v>257</v>
      </c>
      <c r="R1126" s="243" t="s">
        <v>257</v>
      </c>
      <c r="S1126" s="247"/>
    </row>
    <row r="1127" spans="1:19" x14ac:dyDescent="0.2">
      <c r="A1127" s="242"/>
      <c r="B1127" s="243"/>
      <c r="C1127" s="243"/>
      <c r="D1127" s="243"/>
      <c r="E1127" s="243"/>
      <c r="F1127" s="243"/>
      <c r="G1127" s="244"/>
      <c r="H1127" s="243"/>
      <c r="I1127" s="243"/>
      <c r="J1127" s="243"/>
      <c r="K1127" s="243"/>
      <c r="L1127" s="243"/>
      <c r="M1127" s="244"/>
      <c r="N1127" s="245" t="s">
        <v>257</v>
      </c>
      <c r="O1127" s="246"/>
      <c r="P1127" s="203" t="s">
        <v>257</v>
      </c>
      <c r="Q1127" s="210" t="s">
        <v>257</v>
      </c>
      <c r="R1127" s="243" t="s">
        <v>257</v>
      </c>
      <c r="S1127" s="247"/>
    </row>
    <row r="1128" spans="1:19" x14ac:dyDescent="0.2">
      <c r="A1128" s="242"/>
      <c r="B1128" s="243"/>
      <c r="C1128" s="243"/>
      <c r="D1128" s="243"/>
      <c r="E1128" s="243"/>
      <c r="F1128" s="243"/>
      <c r="G1128" s="244"/>
      <c r="H1128" s="243"/>
      <c r="I1128" s="243"/>
      <c r="J1128" s="243"/>
      <c r="K1128" s="243"/>
      <c r="L1128" s="243"/>
      <c r="M1128" s="244"/>
      <c r="N1128" s="245" t="s">
        <v>257</v>
      </c>
      <c r="O1128" s="246"/>
      <c r="P1128" s="203" t="s">
        <v>257</v>
      </c>
      <c r="Q1128" s="210" t="s">
        <v>257</v>
      </c>
      <c r="R1128" s="243" t="s">
        <v>257</v>
      </c>
      <c r="S1128" s="247"/>
    </row>
    <row r="1129" spans="1:19" x14ac:dyDescent="0.2">
      <c r="A1129" s="242"/>
      <c r="B1129" s="243"/>
      <c r="C1129" s="243"/>
      <c r="D1129" s="243"/>
      <c r="E1129" s="243"/>
      <c r="F1129" s="243"/>
      <c r="G1129" s="244"/>
      <c r="H1129" s="243"/>
      <c r="I1129" s="243"/>
      <c r="J1129" s="243"/>
      <c r="K1129" s="243"/>
      <c r="L1129" s="243"/>
      <c r="M1129" s="244"/>
      <c r="N1129" s="245" t="s">
        <v>257</v>
      </c>
      <c r="O1129" s="246"/>
      <c r="P1129" s="203" t="s">
        <v>257</v>
      </c>
      <c r="Q1129" s="210" t="s">
        <v>257</v>
      </c>
      <c r="R1129" s="243" t="s">
        <v>257</v>
      </c>
      <c r="S1129" s="247"/>
    </row>
    <row r="1130" spans="1:19" x14ac:dyDescent="0.2">
      <c r="A1130" s="242"/>
      <c r="B1130" s="243"/>
      <c r="C1130" s="243"/>
      <c r="D1130" s="243"/>
      <c r="E1130" s="243"/>
      <c r="F1130" s="243"/>
      <c r="G1130" s="244"/>
      <c r="H1130" s="243"/>
      <c r="I1130" s="243"/>
      <c r="J1130" s="243"/>
      <c r="K1130" s="243"/>
      <c r="L1130" s="243"/>
      <c r="M1130" s="244"/>
      <c r="N1130" s="245" t="s">
        <v>257</v>
      </c>
      <c r="O1130" s="246"/>
      <c r="P1130" s="203" t="s">
        <v>257</v>
      </c>
      <c r="Q1130" s="210" t="s">
        <v>257</v>
      </c>
      <c r="R1130" s="243" t="s">
        <v>257</v>
      </c>
      <c r="S1130" s="247"/>
    </row>
    <row r="1131" spans="1:19" x14ac:dyDescent="0.2">
      <c r="A1131" s="242"/>
      <c r="B1131" s="243"/>
      <c r="C1131" s="243"/>
      <c r="D1131" s="243"/>
      <c r="E1131" s="243"/>
      <c r="F1131" s="243"/>
      <c r="G1131" s="244"/>
      <c r="H1131" s="243"/>
      <c r="I1131" s="243"/>
      <c r="J1131" s="243"/>
      <c r="K1131" s="243"/>
      <c r="L1131" s="243"/>
      <c r="M1131" s="244"/>
      <c r="N1131" s="245" t="s">
        <v>257</v>
      </c>
      <c r="O1131" s="246"/>
      <c r="P1131" s="203" t="s">
        <v>257</v>
      </c>
      <c r="Q1131" s="210" t="s">
        <v>257</v>
      </c>
      <c r="R1131" s="243" t="s">
        <v>257</v>
      </c>
      <c r="S1131" s="247"/>
    </row>
    <row r="1132" spans="1:19" x14ac:dyDescent="0.2">
      <c r="A1132" s="242"/>
      <c r="B1132" s="243"/>
      <c r="C1132" s="243"/>
      <c r="D1132" s="243"/>
      <c r="E1132" s="243"/>
      <c r="F1132" s="243"/>
      <c r="G1132" s="244"/>
      <c r="H1132" s="243"/>
      <c r="I1132" s="243"/>
      <c r="J1132" s="243"/>
      <c r="K1132" s="243"/>
      <c r="L1132" s="243"/>
      <c r="M1132" s="244"/>
      <c r="N1132" s="245" t="s">
        <v>257</v>
      </c>
      <c r="O1132" s="246"/>
      <c r="P1132" s="203" t="s">
        <v>257</v>
      </c>
      <c r="Q1132" s="210" t="s">
        <v>257</v>
      </c>
      <c r="R1132" s="243" t="s">
        <v>257</v>
      </c>
      <c r="S1132" s="247"/>
    </row>
    <row r="1133" spans="1:19" x14ac:dyDescent="0.2">
      <c r="A1133" s="242"/>
      <c r="B1133" s="243"/>
      <c r="C1133" s="243"/>
      <c r="D1133" s="243"/>
      <c r="E1133" s="243"/>
      <c r="F1133" s="243"/>
      <c r="G1133" s="244"/>
      <c r="H1133" s="243"/>
      <c r="I1133" s="243"/>
      <c r="J1133" s="243"/>
      <c r="K1133" s="243"/>
      <c r="L1133" s="243"/>
      <c r="M1133" s="244"/>
      <c r="N1133" s="245" t="s">
        <v>257</v>
      </c>
      <c r="O1133" s="246"/>
      <c r="P1133" s="203" t="s">
        <v>257</v>
      </c>
      <c r="Q1133" s="210" t="s">
        <v>257</v>
      </c>
      <c r="R1133" s="243" t="s">
        <v>257</v>
      </c>
      <c r="S1133" s="247"/>
    </row>
    <row r="1134" spans="1:19" x14ac:dyDescent="0.2">
      <c r="A1134" s="242"/>
      <c r="B1134" s="243"/>
      <c r="C1134" s="243"/>
      <c r="D1134" s="243"/>
      <c r="E1134" s="243"/>
      <c r="F1134" s="243"/>
      <c r="G1134" s="244"/>
      <c r="H1134" s="243"/>
      <c r="I1134" s="243"/>
      <c r="J1134" s="243"/>
      <c r="K1134" s="243"/>
      <c r="L1134" s="243"/>
      <c r="M1134" s="244"/>
      <c r="N1134" s="245" t="s">
        <v>257</v>
      </c>
      <c r="O1134" s="246"/>
      <c r="P1134" s="203" t="s">
        <v>257</v>
      </c>
      <c r="Q1134" s="210" t="s">
        <v>257</v>
      </c>
      <c r="R1134" s="243" t="s">
        <v>257</v>
      </c>
      <c r="S1134" s="247"/>
    </row>
    <row r="1135" spans="1:19" x14ac:dyDescent="0.2">
      <c r="A1135" s="242"/>
      <c r="B1135" s="243"/>
      <c r="C1135" s="243"/>
      <c r="D1135" s="243"/>
      <c r="E1135" s="243"/>
      <c r="F1135" s="243"/>
      <c r="G1135" s="244"/>
      <c r="H1135" s="243"/>
      <c r="I1135" s="243"/>
      <c r="J1135" s="243"/>
      <c r="K1135" s="243"/>
      <c r="L1135" s="243"/>
      <c r="M1135" s="244"/>
      <c r="N1135" s="245" t="s">
        <v>257</v>
      </c>
      <c r="O1135" s="246"/>
      <c r="P1135" s="203" t="s">
        <v>257</v>
      </c>
      <c r="Q1135" s="210" t="s">
        <v>257</v>
      </c>
      <c r="R1135" s="243" t="s">
        <v>257</v>
      </c>
      <c r="S1135" s="247"/>
    </row>
    <row r="1136" spans="1:19" x14ac:dyDescent="0.2">
      <c r="A1136" s="242"/>
      <c r="B1136" s="243"/>
      <c r="C1136" s="243"/>
      <c r="D1136" s="243"/>
      <c r="E1136" s="243"/>
      <c r="F1136" s="243"/>
      <c r="G1136" s="244"/>
      <c r="H1136" s="243"/>
      <c r="I1136" s="243"/>
      <c r="J1136" s="243"/>
      <c r="K1136" s="243"/>
      <c r="L1136" s="243"/>
      <c r="M1136" s="244"/>
      <c r="N1136" s="245" t="s">
        <v>257</v>
      </c>
      <c r="O1136" s="246"/>
      <c r="P1136" s="203" t="s">
        <v>257</v>
      </c>
      <c r="Q1136" s="210" t="s">
        <v>257</v>
      </c>
      <c r="R1136" s="243" t="s">
        <v>257</v>
      </c>
      <c r="S1136" s="247"/>
    </row>
    <row r="1137" spans="1:19" x14ac:dyDescent="0.2">
      <c r="A1137" s="242"/>
      <c r="B1137" s="243"/>
      <c r="C1137" s="243"/>
      <c r="D1137" s="243"/>
      <c r="E1137" s="243"/>
      <c r="F1137" s="243"/>
      <c r="G1137" s="244"/>
      <c r="H1137" s="243"/>
      <c r="I1137" s="243"/>
      <c r="J1137" s="243"/>
      <c r="K1137" s="243"/>
      <c r="L1137" s="243"/>
      <c r="M1137" s="244"/>
      <c r="N1137" s="245" t="s">
        <v>257</v>
      </c>
      <c r="O1137" s="246"/>
      <c r="P1137" s="203" t="s">
        <v>257</v>
      </c>
      <c r="Q1137" s="210" t="s">
        <v>257</v>
      </c>
      <c r="R1137" s="243" t="s">
        <v>257</v>
      </c>
      <c r="S1137" s="247"/>
    </row>
    <row r="1138" spans="1:19" x14ac:dyDescent="0.2">
      <c r="A1138" s="242"/>
      <c r="B1138" s="243"/>
      <c r="C1138" s="243"/>
      <c r="D1138" s="243"/>
      <c r="E1138" s="243"/>
      <c r="F1138" s="243"/>
      <c r="G1138" s="244"/>
      <c r="H1138" s="243"/>
      <c r="I1138" s="243"/>
      <c r="J1138" s="243"/>
      <c r="K1138" s="243"/>
      <c r="L1138" s="243"/>
      <c r="M1138" s="244"/>
      <c r="N1138" s="245" t="s">
        <v>257</v>
      </c>
      <c r="O1138" s="246"/>
      <c r="P1138" s="203" t="s">
        <v>257</v>
      </c>
      <c r="Q1138" s="210" t="s">
        <v>257</v>
      </c>
      <c r="R1138" s="243" t="s">
        <v>257</v>
      </c>
      <c r="S1138" s="247"/>
    </row>
    <row r="1139" spans="1:19" x14ac:dyDescent="0.2">
      <c r="A1139" s="242"/>
      <c r="B1139" s="243"/>
      <c r="C1139" s="243"/>
      <c r="D1139" s="243"/>
      <c r="E1139" s="243"/>
      <c r="F1139" s="243"/>
      <c r="G1139" s="244"/>
      <c r="H1139" s="243"/>
      <c r="I1139" s="243"/>
      <c r="J1139" s="243"/>
      <c r="K1139" s="243"/>
      <c r="L1139" s="243"/>
      <c r="M1139" s="244"/>
      <c r="N1139" s="245" t="s">
        <v>257</v>
      </c>
      <c r="O1139" s="246"/>
      <c r="P1139" s="203" t="s">
        <v>257</v>
      </c>
      <c r="Q1139" s="210" t="s">
        <v>257</v>
      </c>
      <c r="R1139" s="243" t="s">
        <v>257</v>
      </c>
      <c r="S1139" s="247"/>
    </row>
    <row r="1140" spans="1:19" x14ac:dyDescent="0.2">
      <c r="A1140" s="242"/>
      <c r="B1140" s="243"/>
      <c r="C1140" s="243"/>
      <c r="D1140" s="243"/>
      <c r="E1140" s="243"/>
      <c r="F1140" s="243"/>
      <c r="G1140" s="244"/>
      <c r="H1140" s="243"/>
      <c r="I1140" s="243"/>
      <c r="J1140" s="243"/>
      <c r="K1140" s="243"/>
      <c r="L1140" s="243"/>
      <c r="M1140" s="244"/>
      <c r="N1140" s="245" t="s">
        <v>257</v>
      </c>
      <c r="O1140" s="246"/>
      <c r="P1140" s="203" t="s">
        <v>257</v>
      </c>
      <c r="Q1140" s="210" t="s">
        <v>257</v>
      </c>
      <c r="R1140" s="243" t="s">
        <v>257</v>
      </c>
      <c r="S1140" s="247"/>
    </row>
    <row r="1141" spans="1:19" x14ac:dyDescent="0.2">
      <c r="A1141" s="242"/>
      <c r="B1141" s="243"/>
      <c r="C1141" s="243"/>
      <c r="D1141" s="243"/>
      <c r="E1141" s="243"/>
      <c r="F1141" s="243"/>
      <c r="G1141" s="244"/>
      <c r="H1141" s="243"/>
      <c r="I1141" s="243"/>
      <c r="J1141" s="243"/>
      <c r="K1141" s="243"/>
      <c r="L1141" s="243"/>
      <c r="M1141" s="244"/>
      <c r="N1141" s="245" t="s">
        <v>257</v>
      </c>
      <c r="O1141" s="246"/>
      <c r="P1141" s="203" t="s">
        <v>257</v>
      </c>
      <c r="Q1141" s="210" t="s">
        <v>257</v>
      </c>
      <c r="R1141" s="243" t="s">
        <v>257</v>
      </c>
      <c r="S1141" s="247"/>
    </row>
    <row r="1142" spans="1:19" x14ac:dyDescent="0.2">
      <c r="A1142" s="242"/>
      <c r="B1142" s="243"/>
      <c r="C1142" s="243"/>
      <c r="D1142" s="243"/>
      <c r="E1142" s="243"/>
      <c r="F1142" s="243"/>
      <c r="G1142" s="244"/>
      <c r="H1142" s="243"/>
      <c r="I1142" s="243"/>
      <c r="J1142" s="243"/>
      <c r="K1142" s="243"/>
      <c r="L1142" s="243"/>
      <c r="M1142" s="244"/>
      <c r="N1142" s="245" t="s">
        <v>257</v>
      </c>
      <c r="O1142" s="246"/>
      <c r="P1142" s="203" t="s">
        <v>257</v>
      </c>
      <c r="Q1142" s="210" t="s">
        <v>257</v>
      </c>
      <c r="R1142" s="243" t="s">
        <v>257</v>
      </c>
      <c r="S1142" s="247"/>
    </row>
    <row r="1143" spans="1:19" x14ac:dyDescent="0.2">
      <c r="A1143" s="242"/>
      <c r="B1143" s="243"/>
      <c r="C1143" s="243"/>
      <c r="D1143" s="243"/>
      <c r="E1143" s="243"/>
      <c r="F1143" s="243"/>
      <c r="G1143" s="244"/>
      <c r="H1143" s="243"/>
      <c r="I1143" s="243"/>
      <c r="J1143" s="243"/>
      <c r="K1143" s="243"/>
      <c r="L1143" s="243"/>
      <c r="M1143" s="244"/>
      <c r="N1143" s="245" t="s">
        <v>257</v>
      </c>
      <c r="O1143" s="246"/>
      <c r="P1143" s="203" t="s">
        <v>257</v>
      </c>
      <c r="Q1143" s="210" t="s">
        <v>257</v>
      </c>
      <c r="R1143" s="243" t="s">
        <v>257</v>
      </c>
      <c r="S1143" s="247"/>
    </row>
    <row r="1144" spans="1:19" x14ac:dyDescent="0.2">
      <c r="A1144" s="242"/>
      <c r="B1144" s="243"/>
      <c r="C1144" s="243"/>
      <c r="D1144" s="243"/>
      <c r="E1144" s="243"/>
      <c r="F1144" s="243"/>
      <c r="G1144" s="244"/>
      <c r="H1144" s="243"/>
      <c r="I1144" s="243"/>
      <c r="J1144" s="243"/>
      <c r="K1144" s="243"/>
      <c r="L1144" s="243"/>
      <c r="M1144" s="244"/>
      <c r="N1144" s="245" t="s">
        <v>257</v>
      </c>
      <c r="O1144" s="246"/>
      <c r="P1144" s="203" t="s">
        <v>257</v>
      </c>
      <c r="Q1144" s="210" t="s">
        <v>257</v>
      </c>
      <c r="R1144" s="243" t="s">
        <v>257</v>
      </c>
      <c r="S1144" s="247"/>
    </row>
    <row r="1145" spans="1:19" x14ac:dyDescent="0.2">
      <c r="A1145" s="242"/>
      <c r="B1145" s="243"/>
      <c r="C1145" s="243"/>
      <c r="D1145" s="243"/>
      <c r="E1145" s="243"/>
      <c r="F1145" s="243"/>
      <c r="G1145" s="244"/>
      <c r="H1145" s="243"/>
      <c r="I1145" s="243"/>
      <c r="J1145" s="243"/>
      <c r="K1145" s="243"/>
      <c r="L1145" s="243"/>
      <c r="M1145" s="244"/>
      <c r="N1145" s="245" t="s">
        <v>257</v>
      </c>
      <c r="O1145" s="246"/>
      <c r="P1145" s="203" t="s">
        <v>257</v>
      </c>
      <c r="Q1145" s="210" t="s">
        <v>257</v>
      </c>
      <c r="R1145" s="243" t="s">
        <v>257</v>
      </c>
      <c r="S1145" s="247"/>
    </row>
    <row r="1146" spans="1:19" x14ac:dyDescent="0.2">
      <c r="A1146" s="242"/>
      <c r="B1146" s="243"/>
      <c r="C1146" s="243"/>
      <c r="D1146" s="243"/>
      <c r="E1146" s="243"/>
      <c r="F1146" s="243"/>
      <c r="G1146" s="244"/>
      <c r="H1146" s="243"/>
      <c r="I1146" s="243"/>
      <c r="J1146" s="243"/>
      <c r="K1146" s="243"/>
      <c r="L1146" s="243"/>
      <c r="M1146" s="244"/>
      <c r="N1146" s="245" t="s">
        <v>257</v>
      </c>
      <c r="O1146" s="246"/>
      <c r="P1146" s="203" t="s">
        <v>257</v>
      </c>
      <c r="Q1146" s="210" t="s">
        <v>257</v>
      </c>
      <c r="R1146" s="243" t="s">
        <v>257</v>
      </c>
      <c r="S1146" s="247"/>
    </row>
    <row r="1147" spans="1:19" x14ac:dyDescent="0.2">
      <c r="A1147" s="242"/>
      <c r="B1147" s="243"/>
      <c r="C1147" s="243"/>
      <c r="D1147" s="243"/>
      <c r="E1147" s="243"/>
      <c r="F1147" s="243"/>
      <c r="G1147" s="244"/>
      <c r="H1147" s="243"/>
      <c r="I1147" s="243"/>
      <c r="J1147" s="243"/>
      <c r="K1147" s="243"/>
      <c r="L1147" s="243"/>
      <c r="M1147" s="244"/>
      <c r="N1147" s="245" t="s">
        <v>257</v>
      </c>
      <c r="O1147" s="246"/>
      <c r="P1147" s="203" t="s">
        <v>257</v>
      </c>
      <c r="Q1147" s="210" t="s">
        <v>257</v>
      </c>
      <c r="R1147" s="243" t="s">
        <v>257</v>
      </c>
      <c r="S1147" s="247"/>
    </row>
    <row r="1148" spans="1:19" x14ac:dyDescent="0.2">
      <c r="A1148" s="242"/>
      <c r="B1148" s="243"/>
      <c r="C1148" s="243"/>
      <c r="D1148" s="243"/>
      <c r="E1148" s="243"/>
      <c r="F1148" s="243"/>
      <c r="G1148" s="244"/>
      <c r="H1148" s="243"/>
      <c r="I1148" s="243"/>
      <c r="J1148" s="243"/>
      <c r="K1148" s="243"/>
      <c r="L1148" s="243"/>
      <c r="M1148" s="244"/>
      <c r="N1148" s="245" t="s">
        <v>257</v>
      </c>
      <c r="O1148" s="246"/>
      <c r="P1148" s="203" t="s">
        <v>257</v>
      </c>
      <c r="Q1148" s="210" t="s">
        <v>257</v>
      </c>
      <c r="R1148" s="243" t="s">
        <v>257</v>
      </c>
      <c r="S1148" s="247"/>
    </row>
    <row r="1149" spans="1:19" x14ac:dyDescent="0.2">
      <c r="A1149" s="242"/>
      <c r="B1149" s="243"/>
      <c r="C1149" s="243"/>
      <c r="D1149" s="243"/>
      <c r="E1149" s="243"/>
      <c r="F1149" s="243"/>
      <c r="G1149" s="244"/>
      <c r="H1149" s="243"/>
      <c r="I1149" s="243"/>
      <c r="J1149" s="243"/>
      <c r="K1149" s="243"/>
      <c r="L1149" s="243"/>
      <c r="M1149" s="244"/>
      <c r="N1149" s="245" t="s">
        <v>257</v>
      </c>
      <c r="O1149" s="246"/>
      <c r="P1149" s="203" t="s">
        <v>257</v>
      </c>
      <c r="Q1149" s="210" t="s">
        <v>257</v>
      </c>
      <c r="R1149" s="243" t="s">
        <v>257</v>
      </c>
      <c r="S1149" s="247"/>
    </row>
    <row r="1150" spans="1:19" x14ac:dyDescent="0.2">
      <c r="A1150" s="242"/>
      <c r="B1150" s="243"/>
      <c r="C1150" s="243"/>
      <c r="D1150" s="243"/>
      <c r="E1150" s="243"/>
      <c r="F1150" s="243"/>
      <c r="G1150" s="244"/>
      <c r="H1150" s="243"/>
      <c r="I1150" s="243"/>
      <c r="J1150" s="243"/>
      <c r="K1150" s="243"/>
      <c r="L1150" s="243"/>
      <c r="M1150" s="244"/>
      <c r="N1150" s="245" t="s">
        <v>257</v>
      </c>
      <c r="O1150" s="246"/>
      <c r="P1150" s="203" t="s">
        <v>257</v>
      </c>
      <c r="Q1150" s="210" t="s">
        <v>257</v>
      </c>
      <c r="R1150" s="243" t="s">
        <v>257</v>
      </c>
      <c r="S1150" s="247"/>
    </row>
    <row r="1151" spans="1:19" x14ac:dyDescent="0.2">
      <c r="A1151" s="242"/>
      <c r="B1151" s="243"/>
      <c r="C1151" s="243"/>
      <c r="D1151" s="243"/>
      <c r="E1151" s="243"/>
      <c r="F1151" s="243"/>
      <c r="G1151" s="244"/>
      <c r="H1151" s="243"/>
      <c r="I1151" s="243"/>
      <c r="J1151" s="243"/>
      <c r="K1151" s="243"/>
      <c r="L1151" s="243"/>
      <c r="M1151" s="244"/>
      <c r="N1151" s="245" t="s">
        <v>257</v>
      </c>
      <c r="O1151" s="246"/>
      <c r="P1151" s="203" t="s">
        <v>257</v>
      </c>
      <c r="Q1151" s="210" t="s">
        <v>257</v>
      </c>
      <c r="R1151" s="243" t="s">
        <v>257</v>
      </c>
      <c r="S1151" s="247"/>
    </row>
    <row r="1152" spans="1:19" x14ac:dyDescent="0.2">
      <c r="A1152" s="242"/>
      <c r="B1152" s="243"/>
      <c r="C1152" s="243"/>
      <c r="D1152" s="243"/>
      <c r="E1152" s="243"/>
      <c r="F1152" s="243"/>
      <c r="G1152" s="244"/>
      <c r="H1152" s="243"/>
      <c r="I1152" s="243"/>
      <c r="J1152" s="243"/>
      <c r="K1152" s="243"/>
      <c r="L1152" s="243"/>
      <c r="M1152" s="244"/>
      <c r="N1152" s="245" t="s">
        <v>257</v>
      </c>
      <c r="O1152" s="246"/>
      <c r="P1152" s="203" t="s">
        <v>257</v>
      </c>
      <c r="Q1152" s="210" t="s">
        <v>257</v>
      </c>
      <c r="R1152" s="243" t="s">
        <v>257</v>
      </c>
      <c r="S1152" s="247"/>
    </row>
    <row r="1153" spans="1:19" x14ac:dyDescent="0.2">
      <c r="A1153" s="242"/>
      <c r="B1153" s="243"/>
      <c r="C1153" s="243"/>
      <c r="D1153" s="243"/>
      <c r="E1153" s="243"/>
      <c r="F1153" s="243"/>
      <c r="G1153" s="244"/>
      <c r="H1153" s="243"/>
      <c r="I1153" s="243"/>
      <c r="J1153" s="243"/>
      <c r="K1153" s="243"/>
      <c r="L1153" s="243"/>
      <c r="M1153" s="244"/>
      <c r="N1153" s="245" t="s">
        <v>257</v>
      </c>
      <c r="O1153" s="246"/>
      <c r="P1153" s="203" t="s">
        <v>257</v>
      </c>
      <c r="Q1153" s="210" t="s">
        <v>257</v>
      </c>
      <c r="R1153" s="243" t="s">
        <v>257</v>
      </c>
      <c r="S1153" s="247"/>
    </row>
    <row r="1154" spans="1:19" x14ac:dyDescent="0.2">
      <c r="A1154" s="242"/>
      <c r="B1154" s="243"/>
      <c r="C1154" s="243"/>
      <c r="D1154" s="243"/>
      <c r="E1154" s="243"/>
      <c r="F1154" s="243"/>
      <c r="G1154" s="244"/>
      <c r="H1154" s="243"/>
      <c r="I1154" s="243"/>
      <c r="J1154" s="243"/>
      <c r="K1154" s="243"/>
      <c r="L1154" s="243"/>
      <c r="M1154" s="244"/>
      <c r="N1154" s="245" t="s">
        <v>257</v>
      </c>
      <c r="O1154" s="246"/>
      <c r="P1154" s="203" t="s">
        <v>257</v>
      </c>
      <c r="Q1154" s="210" t="s">
        <v>257</v>
      </c>
      <c r="R1154" s="243" t="s">
        <v>257</v>
      </c>
      <c r="S1154" s="247"/>
    </row>
    <row r="1155" spans="1:19" x14ac:dyDescent="0.2">
      <c r="A1155" s="242"/>
      <c r="B1155" s="243"/>
      <c r="C1155" s="243"/>
      <c r="D1155" s="243"/>
      <c r="E1155" s="243"/>
      <c r="F1155" s="243"/>
      <c r="G1155" s="244"/>
      <c r="H1155" s="243"/>
      <c r="I1155" s="243"/>
      <c r="J1155" s="243"/>
      <c r="K1155" s="243"/>
      <c r="L1155" s="243"/>
      <c r="M1155" s="244"/>
      <c r="N1155" s="245" t="s">
        <v>257</v>
      </c>
      <c r="O1155" s="246"/>
      <c r="P1155" s="203" t="s">
        <v>257</v>
      </c>
      <c r="Q1155" s="210" t="s">
        <v>257</v>
      </c>
      <c r="R1155" s="243" t="s">
        <v>257</v>
      </c>
      <c r="S1155" s="247"/>
    </row>
    <row r="1156" spans="1:19" x14ac:dyDescent="0.2">
      <c r="A1156" s="242"/>
      <c r="B1156" s="243"/>
      <c r="C1156" s="243"/>
      <c r="D1156" s="243"/>
      <c r="E1156" s="243"/>
      <c r="F1156" s="243"/>
      <c r="G1156" s="244"/>
      <c r="H1156" s="243"/>
      <c r="I1156" s="243"/>
      <c r="J1156" s="243"/>
      <c r="K1156" s="243"/>
      <c r="L1156" s="243"/>
      <c r="M1156" s="244"/>
      <c r="N1156" s="245" t="s">
        <v>257</v>
      </c>
      <c r="O1156" s="246"/>
      <c r="P1156" s="203" t="s">
        <v>257</v>
      </c>
      <c r="Q1156" s="210" t="s">
        <v>257</v>
      </c>
      <c r="R1156" s="243" t="s">
        <v>257</v>
      </c>
      <c r="S1156" s="247"/>
    </row>
    <row r="1157" spans="1:19" x14ac:dyDescent="0.2">
      <c r="A1157" s="242"/>
      <c r="B1157" s="243"/>
      <c r="C1157" s="243"/>
      <c r="D1157" s="243"/>
      <c r="E1157" s="243"/>
      <c r="F1157" s="243"/>
      <c r="G1157" s="244"/>
      <c r="H1157" s="243"/>
      <c r="I1157" s="243"/>
      <c r="J1157" s="243"/>
      <c r="K1157" s="243"/>
      <c r="L1157" s="243"/>
      <c r="M1157" s="244"/>
      <c r="N1157" s="245" t="s">
        <v>257</v>
      </c>
      <c r="O1157" s="246"/>
      <c r="P1157" s="203" t="s">
        <v>257</v>
      </c>
      <c r="Q1157" s="210" t="s">
        <v>257</v>
      </c>
      <c r="R1157" s="243" t="s">
        <v>257</v>
      </c>
      <c r="S1157" s="247"/>
    </row>
    <row r="1158" spans="1:19" x14ac:dyDescent="0.2">
      <c r="A1158" s="242"/>
      <c r="B1158" s="243"/>
      <c r="C1158" s="243"/>
      <c r="D1158" s="243"/>
      <c r="E1158" s="243"/>
      <c r="F1158" s="243"/>
      <c r="G1158" s="244"/>
      <c r="H1158" s="243"/>
      <c r="I1158" s="243"/>
      <c r="J1158" s="243"/>
      <c r="K1158" s="243"/>
      <c r="L1158" s="243"/>
      <c r="M1158" s="244"/>
      <c r="N1158" s="245" t="s">
        <v>257</v>
      </c>
      <c r="O1158" s="246"/>
      <c r="P1158" s="203" t="s">
        <v>257</v>
      </c>
      <c r="Q1158" s="210" t="s">
        <v>257</v>
      </c>
      <c r="R1158" s="243" t="s">
        <v>257</v>
      </c>
      <c r="S1158" s="247"/>
    </row>
    <row r="1159" spans="1:19" x14ac:dyDescent="0.2">
      <c r="A1159" s="242"/>
      <c r="B1159" s="243"/>
      <c r="C1159" s="243"/>
      <c r="D1159" s="243"/>
      <c r="E1159" s="243"/>
      <c r="F1159" s="243"/>
      <c r="G1159" s="244"/>
      <c r="H1159" s="243"/>
      <c r="I1159" s="243"/>
      <c r="J1159" s="243"/>
      <c r="K1159" s="243"/>
      <c r="L1159" s="243"/>
      <c r="M1159" s="244"/>
      <c r="N1159" s="245" t="s">
        <v>257</v>
      </c>
      <c r="O1159" s="246"/>
      <c r="P1159" s="203" t="s">
        <v>257</v>
      </c>
      <c r="Q1159" s="210" t="s">
        <v>257</v>
      </c>
      <c r="R1159" s="243" t="s">
        <v>257</v>
      </c>
      <c r="S1159" s="247"/>
    </row>
    <row r="1160" spans="1:19" x14ac:dyDescent="0.2">
      <c r="A1160" s="242"/>
      <c r="B1160" s="243"/>
      <c r="C1160" s="243"/>
      <c r="D1160" s="243"/>
      <c r="E1160" s="243"/>
      <c r="F1160" s="243"/>
      <c r="G1160" s="244"/>
      <c r="H1160" s="243"/>
      <c r="I1160" s="243"/>
      <c r="J1160" s="243"/>
      <c r="K1160" s="243"/>
      <c r="L1160" s="243"/>
      <c r="M1160" s="244"/>
      <c r="N1160" s="245" t="s">
        <v>257</v>
      </c>
      <c r="O1160" s="246"/>
      <c r="P1160" s="203" t="s">
        <v>257</v>
      </c>
      <c r="Q1160" s="210" t="s">
        <v>257</v>
      </c>
      <c r="R1160" s="243" t="s">
        <v>257</v>
      </c>
      <c r="S1160" s="247"/>
    </row>
    <row r="1161" spans="1:19" x14ac:dyDescent="0.2">
      <c r="A1161" s="242"/>
      <c r="B1161" s="243"/>
      <c r="C1161" s="243"/>
      <c r="D1161" s="243"/>
      <c r="E1161" s="243"/>
      <c r="F1161" s="243"/>
      <c r="G1161" s="244"/>
      <c r="H1161" s="243"/>
      <c r="I1161" s="243"/>
      <c r="J1161" s="243"/>
      <c r="K1161" s="243"/>
      <c r="L1161" s="243"/>
      <c r="M1161" s="244"/>
      <c r="N1161" s="245" t="s">
        <v>257</v>
      </c>
      <c r="O1161" s="246"/>
      <c r="P1161" s="203" t="s">
        <v>257</v>
      </c>
      <c r="Q1161" s="210" t="s">
        <v>257</v>
      </c>
      <c r="R1161" s="243" t="s">
        <v>257</v>
      </c>
      <c r="S1161" s="247"/>
    </row>
    <row r="1162" spans="1:19" x14ac:dyDescent="0.2">
      <c r="A1162" s="242"/>
      <c r="B1162" s="243"/>
      <c r="C1162" s="243"/>
      <c r="D1162" s="243"/>
      <c r="E1162" s="243"/>
      <c r="F1162" s="243"/>
      <c r="G1162" s="244"/>
      <c r="H1162" s="243"/>
      <c r="I1162" s="243"/>
      <c r="J1162" s="243"/>
      <c r="K1162" s="243"/>
      <c r="L1162" s="243"/>
      <c r="M1162" s="244"/>
      <c r="N1162" s="245" t="s">
        <v>257</v>
      </c>
      <c r="O1162" s="246"/>
      <c r="P1162" s="203" t="s">
        <v>257</v>
      </c>
      <c r="Q1162" s="210" t="s">
        <v>257</v>
      </c>
      <c r="R1162" s="243" t="s">
        <v>257</v>
      </c>
      <c r="S1162" s="247"/>
    </row>
    <row r="1163" spans="1:19" x14ac:dyDescent="0.2">
      <c r="A1163" s="242"/>
      <c r="B1163" s="243"/>
      <c r="C1163" s="243"/>
      <c r="D1163" s="243"/>
      <c r="E1163" s="243"/>
      <c r="F1163" s="243"/>
      <c r="G1163" s="244"/>
      <c r="H1163" s="243"/>
      <c r="I1163" s="243"/>
      <c r="J1163" s="243"/>
      <c r="K1163" s="243"/>
      <c r="L1163" s="243"/>
      <c r="M1163" s="244"/>
      <c r="N1163" s="245" t="s">
        <v>257</v>
      </c>
      <c r="O1163" s="246"/>
      <c r="P1163" s="203" t="s">
        <v>257</v>
      </c>
      <c r="Q1163" s="210" t="s">
        <v>257</v>
      </c>
      <c r="R1163" s="243" t="s">
        <v>257</v>
      </c>
      <c r="S1163" s="247"/>
    </row>
    <row r="1164" spans="1:19" x14ac:dyDescent="0.2">
      <c r="A1164" s="242"/>
      <c r="B1164" s="243"/>
      <c r="C1164" s="243"/>
      <c r="D1164" s="243"/>
      <c r="E1164" s="243"/>
      <c r="F1164" s="243"/>
      <c r="G1164" s="244"/>
      <c r="H1164" s="243"/>
      <c r="I1164" s="243"/>
      <c r="J1164" s="243"/>
      <c r="K1164" s="243"/>
      <c r="L1164" s="243"/>
      <c r="M1164" s="244"/>
      <c r="N1164" s="245" t="s">
        <v>257</v>
      </c>
      <c r="O1164" s="246"/>
      <c r="P1164" s="203" t="s">
        <v>257</v>
      </c>
      <c r="Q1164" s="210" t="s">
        <v>257</v>
      </c>
      <c r="R1164" s="243" t="s">
        <v>257</v>
      </c>
      <c r="S1164" s="247"/>
    </row>
    <row r="1165" spans="1:19" x14ac:dyDescent="0.2">
      <c r="A1165" s="242"/>
      <c r="B1165" s="243"/>
      <c r="C1165" s="243"/>
      <c r="D1165" s="243"/>
      <c r="E1165" s="243"/>
      <c r="F1165" s="243"/>
      <c r="G1165" s="244"/>
      <c r="H1165" s="243"/>
      <c r="I1165" s="243"/>
      <c r="J1165" s="243"/>
      <c r="K1165" s="243"/>
      <c r="L1165" s="243"/>
      <c r="M1165" s="244"/>
      <c r="N1165" s="245" t="s">
        <v>257</v>
      </c>
      <c r="O1165" s="246"/>
      <c r="P1165" s="203" t="s">
        <v>257</v>
      </c>
      <c r="Q1165" s="210" t="s">
        <v>257</v>
      </c>
      <c r="R1165" s="243" t="s">
        <v>257</v>
      </c>
      <c r="S1165" s="247"/>
    </row>
    <row r="1166" spans="1:19" x14ac:dyDescent="0.2">
      <c r="A1166" s="242"/>
      <c r="B1166" s="243"/>
      <c r="C1166" s="243"/>
      <c r="D1166" s="243"/>
      <c r="E1166" s="243"/>
      <c r="F1166" s="243"/>
      <c r="G1166" s="244"/>
      <c r="H1166" s="243"/>
      <c r="I1166" s="243"/>
      <c r="J1166" s="243"/>
      <c r="K1166" s="243"/>
      <c r="L1166" s="243"/>
      <c r="M1166" s="244"/>
      <c r="N1166" s="245" t="s">
        <v>257</v>
      </c>
      <c r="O1166" s="246"/>
      <c r="P1166" s="203" t="s">
        <v>257</v>
      </c>
      <c r="Q1166" s="210" t="s">
        <v>257</v>
      </c>
      <c r="R1166" s="243" t="s">
        <v>257</v>
      </c>
      <c r="S1166" s="247"/>
    </row>
    <row r="1167" spans="1:19" x14ac:dyDescent="0.2">
      <c r="A1167" s="242"/>
      <c r="B1167" s="243"/>
      <c r="C1167" s="243"/>
      <c r="D1167" s="243"/>
      <c r="E1167" s="243"/>
      <c r="F1167" s="243"/>
      <c r="G1167" s="244"/>
      <c r="H1167" s="243"/>
      <c r="I1167" s="243"/>
      <c r="J1167" s="243"/>
      <c r="K1167" s="243"/>
      <c r="L1167" s="243"/>
      <c r="M1167" s="244"/>
      <c r="N1167" s="245" t="s">
        <v>257</v>
      </c>
      <c r="O1167" s="246"/>
      <c r="P1167" s="203" t="s">
        <v>257</v>
      </c>
      <c r="Q1167" s="210" t="s">
        <v>257</v>
      </c>
      <c r="R1167" s="243" t="s">
        <v>257</v>
      </c>
      <c r="S1167" s="247"/>
    </row>
    <row r="1168" spans="1:19" x14ac:dyDescent="0.2">
      <c r="A1168" s="242"/>
      <c r="B1168" s="243"/>
      <c r="C1168" s="243"/>
      <c r="D1168" s="243"/>
      <c r="E1168" s="243"/>
      <c r="F1168" s="243"/>
      <c r="G1168" s="244"/>
      <c r="H1168" s="243"/>
      <c r="I1168" s="243"/>
      <c r="J1168" s="243"/>
      <c r="K1168" s="243"/>
      <c r="L1168" s="243"/>
      <c r="M1168" s="244"/>
      <c r="N1168" s="245" t="s">
        <v>257</v>
      </c>
      <c r="O1168" s="246"/>
      <c r="P1168" s="203" t="s">
        <v>257</v>
      </c>
      <c r="Q1168" s="210" t="s">
        <v>257</v>
      </c>
      <c r="R1168" s="243" t="s">
        <v>257</v>
      </c>
      <c r="S1168" s="247"/>
    </row>
    <row r="1169" spans="1:19" x14ac:dyDescent="0.2">
      <c r="A1169" s="242"/>
      <c r="B1169" s="243"/>
      <c r="C1169" s="243"/>
      <c r="D1169" s="243"/>
      <c r="E1169" s="243"/>
      <c r="F1169" s="243"/>
      <c r="G1169" s="244"/>
      <c r="H1169" s="243"/>
      <c r="I1169" s="243"/>
      <c r="J1169" s="243"/>
      <c r="K1169" s="243"/>
      <c r="L1169" s="243"/>
      <c r="M1169" s="244"/>
      <c r="N1169" s="245" t="s">
        <v>257</v>
      </c>
      <c r="O1169" s="246"/>
      <c r="P1169" s="203" t="s">
        <v>257</v>
      </c>
      <c r="Q1169" s="210" t="s">
        <v>257</v>
      </c>
      <c r="R1169" s="243" t="s">
        <v>257</v>
      </c>
      <c r="S1169" s="247"/>
    </row>
    <row r="1170" spans="1:19" x14ac:dyDescent="0.2">
      <c r="A1170" s="242"/>
      <c r="B1170" s="243"/>
      <c r="C1170" s="243"/>
      <c r="D1170" s="243"/>
      <c r="E1170" s="243"/>
      <c r="F1170" s="243"/>
      <c r="G1170" s="244"/>
      <c r="H1170" s="243"/>
      <c r="I1170" s="243"/>
      <c r="J1170" s="243"/>
      <c r="K1170" s="243"/>
      <c r="L1170" s="243"/>
      <c r="M1170" s="244"/>
      <c r="N1170" s="245" t="s">
        <v>257</v>
      </c>
      <c r="O1170" s="246"/>
      <c r="P1170" s="203" t="s">
        <v>257</v>
      </c>
      <c r="Q1170" s="210" t="s">
        <v>257</v>
      </c>
      <c r="R1170" s="243" t="s">
        <v>257</v>
      </c>
      <c r="S1170" s="247"/>
    </row>
    <row r="1171" spans="1:19" x14ac:dyDescent="0.2">
      <c r="A1171" s="242"/>
      <c r="B1171" s="243"/>
      <c r="C1171" s="243"/>
      <c r="D1171" s="243"/>
      <c r="E1171" s="243"/>
      <c r="F1171" s="243"/>
      <c r="G1171" s="244"/>
      <c r="H1171" s="243"/>
      <c r="I1171" s="243"/>
      <c r="J1171" s="243"/>
      <c r="K1171" s="243"/>
      <c r="L1171" s="243"/>
      <c r="M1171" s="244"/>
      <c r="N1171" s="245" t="s">
        <v>257</v>
      </c>
      <c r="O1171" s="246"/>
      <c r="P1171" s="203" t="s">
        <v>257</v>
      </c>
      <c r="Q1171" s="210" t="s">
        <v>257</v>
      </c>
      <c r="R1171" s="243" t="s">
        <v>257</v>
      </c>
      <c r="S1171" s="247"/>
    </row>
    <row r="1172" spans="1:19" x14ac:dyDescent="0.2">
      <c r="A1172" s="242"/>
      <c r="B1172" s="243"/>
      <c r="C1172" s="243"/>
      <c r="D1172" s="243"/>
      <c r="E1172" s="243"/>
      <c r="F1172" s="243"/>
      <c r="G1172" s="244"/>
      <c r="H1172" s="243"/>
      <c r="I1172" s="243"/>
      <c r="J1172" s="243"/>
      <c r="K1172" s="243"/>
      <c r="L1172" s="243"/>
      <c r="M1172" s="244"/>
      <c r="N1172" s="245" t="s">
        <v>257</v>
      </c>
      <c r="O1172" s="246"/>
      <c r="P1172" s="203" t="s">
        <v>257</v>
      </c>
      <c r="Q1172" s="210" t="s">
        <v>257</v>
      </c>
      <c r="R1172" s="243" t="s">
        <v>257</v>
      </c>
      <c r="S1172" s="247"/>
    </row>
    <row r="1173" spans="1:19" x14ac:dyDescent="0.2">
      <c r="A1173" s="242"/>
      <c r="B1173" s="243"/>
      <c r="C1173" s="243"/>
      <c r="D1173" s="243"/>
      <c r="E1173" s="243"/>
      <c r="F1173" s="243"/>
      <c r="G1173" s="244"/>
      <c r="H1173" s="243"/>
      <c r="I1173" s="243"/>
      <c r="J1173" s="243"/>
      <c r="K1173" s="243"/>
      <c r="L1173" s="243"/>
      <c r="M1173" s="244"/>
      <c r="N1173" s="245" t="s">
        <v>257</v>
      </c>
      <c r="O1173" s="246"/>
      <c r="P1173" s="203" t="s">
        <v>257</v>
      </c>
      <c r="Q1173" s="210" t="s">
        <v>257</v>
      </c>
      <c r="R1173" s="243" t="s">
        <v>257</v>
      </c>
      <c r="S1173" s="247"/>
    </row>
    <row r="1174" spans="1:19" x14ac:dyDescent="0.2">
      <c r="A1174" s="242"/>
      <c r="B1174" s="243"/>
      <c r="C1174" s="243"/>
      <c r="D1174" s="243"/>
      <c r="E1174" s="243"/>
      <c r="F1174" s="243"/>
      <c r="G1174" s="244"/>
      <c r="H1174" s="243"/>
      <c r="I1174" s="243"/>
      <c r="J1174" s="243"/>
      <c r="K1174" s="243"/>
      <c r="L1174" s="243"/>
      <c r="M1174" s="244"/>
      <c r="N1174" s="245" t="s">
        <v>257</v>
      </c>
      <c r="O1174" s="246"/>
      <c r="P1174" s="203" t="s">
        <v>257</v>
      </c>
      <c r="Q1174" s="210" t="s">
        <v>257</v>
      </c>
      <c r="R1174" s="243" t="s">
        <v>257</v>
      </c>
      <c r="S1174" s="247"/>
    </row>
    <row r="1175" spans="1:19" x14ac:dyDescent="0.2">
      <c r="A1175" s="242"/>
      <c r="B1175" s="243"/>
      <c r="C1175" s="243"/>
      <c r="D1175" s="243"/>
      <c r="E1175" s="243"/>
      <c r="F1175" s="243"/>
      <c r="G1175" s="244"/>
      <c r="H1175" s="243"/>
      <c r="I1175" s="243"/>
      <c r="J1175" s="243"/>
      <c r="K1175" s="243"/>
      <c r="L1175" s="243"/>
      <c r="M1175" s="244"/>
      <c r="N1175" s="245" t="s">
        <v>257</v>
      </c>
      <c r="O1175" s="246"/>
      <c r="P1175" s="203" t="s">
        <v>257</v>
      </c>
      <c r="Q1175" s="210" t="s">
        <v>257</v>
      </c>
      <c r="R1175" s="243" t="s">
        <v>257</v>
      </c>
      <c r="S1175" s="247"/>
    </row>
    <row r="1176" spans="1:19" x14ac:dyDescent="0.2">
      <c r="A1176" s="242"/>
      <c r="B1176" s="243"/>
      <c r="C1176" s="243"/>
      <c r="D1176" s="243"/>
      <c r="E1176" s="243"/>
      <c r="F1176" s="243"/>
      <c r="G1176" s="244"/>
      <c r="H1176" s="243"/>
      <c r="I1176" s="243"/>
      <c r="J1176" s="243"/>
      <c r="K1176" s="243"/>
      <c r="L1176" s="243"/>
      <c r="M1176" s="244"/>
      <c r="N1176" s="245" t="s">
        <v>257</v>
      </c>
      <c r="O1176" s="246"/>
      <c r="P1176" s="203" t="s">
        <v>257</v>
      </c>
      <c r="Q1176" s="210" t="s">
        <v>257</v>
      </c>
      <c r="R1176" s="243" t="s">
        <v>257</v>
      </c>
      <c r="S1176" s="247"/>
    </row>
    <row r="1177" spans="1:19" x14ac:dyDescent="0.2">
      <c r="A1177" s="242"/>
      <c r="B1177" s="243"/>
      <c r="C1177" s="243"/>
      <c r="D1177" s="243"/>
      <c r="E1177" s="243"/>
      <c r="F1177" s="243"/>
      <c r="G1177" s="244"/>
      <c r="H1177" s="243"/>
      <c r="I1177" s="243"/>
      <c r="J1177" s="243"/>
      <c r="K1177" s="243"/>
      <c r="L1177" s="243"/>
      <c r="M1177" s="244"/>
      <c r="N1177" s="245" t="s">
        <v>257</v>
      </c>
      <c r="O1177" s="246"/>
      <c r="P1177" s="203" t="s">
        <v>257</v>
      </c>
      <c r="Q1177" s="210" t="s">
        <v>257</v>
      </c>
      <c r="R1177" s="243" t="s">
        <v>257</v>
      </c>
      <c r="S1177" s="247"/>
    </row>
    <row r="1178" spans="1:19" x14ac:dyDescent="0.2">
      <c r="A1178" s="242"/>
      <c r="B1178" s="243"/>
      <c r="C1178" s="243"/>
      <c r="D1178" s="243"/>
      <c r="E1178" s="243"/>
      <c r="F1178" s="243"/>
      <c r="G1178" s="244"/>
      <c r="H1178" s="243"/>
      <c r="I1178" s="243"/>
      <c r="J1178" s="243"/>
      <c r="K1178" s="243"/>
      <c r="L1178" s="243"/>
      <c r="M1178" s="244"/>
      <c r="N1178" s="245" t="s">
        <v>257</v>
      </c>
      <c r="O1178" s="246"/>
      <c r="P1178" s="203" t="s">
        <v>257</v>
      </c>
      <c r="Q1178" s="210" t="s">
        <v>257</v>
      </c>
      <c r="R1178" s="243" t="s">
        <v>257</v>
      </c>
      <c r="S1178" s="247"/>
    </row>
    <row r="1179" spans="1:19" x14ac:dyDescent="0.2">
      <c r="A1179" s="242"/>
      <c r="B1179" s="243"/>
      <c r="C1179" s="243"/>
      <c r="D1179" s="243"/>
      <c r="E1179" s="243"/>
      <c r="F1179" s="243"/>
      <c r="G1179" s="244"/>
      <c r="H1179" s="243"/>
      <c r="I1179" s="243"/>
      <c r="J1179" s="243"/>
      <c r="K1179" s="243"/>
      <c r="L1179" s="243"/>
      <c r="M1179" s="244"/>
      <c r="N1179" s="245" t="s">
        <v>257</v>
      </c>
      <c r="O1179" s="246"/>
      <c r="P1179" s="203" t="s">
        <v>257</v>
      </c>
      <c r="Q1179" s="210" t="s">
        <v>257</v>
      </c>
      <c r="R1179" s="243" t="s">
        <v>257</v>
      </c>
      <c r="S1179" s="247"/>
    </row>
    <row r="1180" spans="1:19" x14ac:dyDescent="0.2">
      <c r="A1180" s="242"/>
      <c r="B1180" s="243"/>
      <c r="C1180" s="243"/>
      <c r="D1180" s="243"/>
      <c r="E1180" s="243"/>
      <c r="F1180" s="243"/>
      <c r="G1180" s="244"/>
      <c r="H1180" s="243"/>
      <c r="I1180" s="243"/>
      <c r="J1180" s="243"/>
      <c r="K1180" s="243"/>
      <c r="L1180" s="243"/>
      <c r="M1180" s="244"/>
      <c r="N1180" s="245" t="s">
        <v>257</v>
      </c>
      <c r="O1180" s="246"/>
      <c r="P1180" s="203" t="s">
        <v>257</v>
      </c>
      <c r="Q1180" s="210" t="s">
        <v>257</v>
      </c>
      <c r="R1180" s="243" t="s">
        <v>257</v>
      </c>
      <c r="S1180" s="247"/>
    </row>
    <row r="1181" spans="1:19" x14ac:dyDescent="0.2">
      <c r="A1181" s="242"/>
      <c r="B1181" s="243"/>
      <c r="C1181" s="243"/>
      <c r="D1181" s="243"/>
      <c r="E1181" s="243"/>
      <c r="F1181" s="243"/>
      <c r="G1181" s="244"/>
      <c r="H1181" s="243"/>
      <c r="I1181" s="243"/>
      <c r="J1181" s="243"/>
      <c r="K1181" s="243"/>
      <c r="L1181" s="243"/>
      <c r="M1181" s="244"/>
      <c r="N1181" s="245" t="s">
        <v>257</v>
      </c>
      <c r="O1181" s="246"/>
      <c r="P1181" s="203" t="s">
        <v>257</v>
      </c>
      <c r="Q1181" s="210" t="s">
        <v>257</v>
      </c>
      <c r="R1181" s="243" t="s">
        <v>257</v>
      </c>
      <c r="S1181" s="247"/>
    </row>
    <row r="1182" spans="1:19" x14ac:dyDescent="0.2">
      <c r="A1182" s="242"/>
      <c r="B1182" s="243"/>
      <c r="C1182" s="243"/>
      <c r="D1182" s="243"/>
      <c r="E1182" s="243"/>
      <c r="F1182" s="243"/>
      <c r="G1182" s="244"/>
      <c r="H1182" s="243"/>
      <c r="I1182" s="243"/>
      <c r="J1182" s="243"/>
      <c r="K1182" s="243"/>
      <c r="L1182" s="243"/>
      <c r="M1182" s="244"/>
      <c r="N1182" s="245" t="s">
        <v>257</v>
      </c>
      <c r="O1182" s="246"/>
      <c r="P1182" s="203" t="s">
        <v>257</v>
      </c>
      <c r="Q1182" s="210" t="s">
        <v>257</v>
      </c>
      <c r="R1182" s="243" t="s">
        <v>257</v>
      </c>
      <c r="S1182" s="247"/>
    </row>
    <row r="1183" spans="1:19" x14ac:dyDescent="0.2">
      <c r="A1183" s="242"/>
      <c r="B1183" s="243"/>
      <c r="C1183" s="243"/>
      <c r="D1183" s="243"/>
      <c r="E1183" s="243"/>
      <c r="F1183" s="243"/>
      <c r="G1183" s="244"/>
      <c r="H1183" s="243"/>
      <c r="I1183" s="243"/>
      <c r="J1183" s="243"/>
      <c r="K1183" s="243"/>
      <c r="L1183" s="243"/>
      <c r="M1183" s="244"/>
      <c r="N1183" s="245" t="s">
        <v>257</v>
      </c>
      <c r="O1183" s="246"/>
      <c r="P1183" s="203" t="s">
        <v>257</v>
      </c>
      <c r="Q1183" s="210" t="s">
        <v>257</v>
      </c>
      <c r="R1183" s="243" t="s">
        <v>257</v>
      </c>
      <c r="S1183" s="247"/>
    </row>
    <row r="1184" spans="1:19" x14ac:dyDescent="0.2">
      <c r="A1184" s="242"/>
      <c r="B1184" s="243"/>
      <c r="C1184" s="243"/>
      <c r="D1184" s="243"/>
      <c r="E1184" s="243"/>
      <c r="F1184" s="243"/>
      <c r="G1184" s="244"/>
      <c r="H1184" s="243"/>
      <c r="I1184" s="243"/>
      <c r="J1184" s="243"/>
      <c r="K1184" s="243"/>
      <c r="L1184" s="243"/>
      <c r="M1184" s="244"/>
      <c r="N1184" s="245" t="s">
        <v>257</v>
      </c>
      <c r="O1184" s="246"/>
      <c r="P1184" s="203" t="s">
        <v>257</v>
      </c>
      <c r="Q1184" s="210" t="s">
        <v>257</v>
      </c>
      <c r="R1184" s="243" t="s">
        <v>257</v>
      </c>
      <c r="S1184" s="247"/>
    </row>
    <row r="1185" spans="1:19" x14ac:dyDescent="0.2">
      <c r="A1185" s="242"/>
      <c r="B1185" s="243"/>
      <c r="C1185" s="243"/>
      <c r="D1185" s="243"/>
      <c r="E1185" s="243"/>
      <c r="F1185" s="243"/>
      <c r="G1185" s="244"/>
      <c r="H1185" s="243"/>
      <c r="I1185" s="243"/>
      <c r="J1185" s="243"/>
      <c r="K1185" s="243"/>
      <c r="L1185" s="243"/>
      <c r="M1185" s="244"/>
      <c r="N1185" s="245" t="s">
        <v>257</v>
      </c>
      <c r="O1185" s="246"/>
      <c r="P1185" s="203" t="s">
        <v>257</v>
      </c>
      <c r="Q1185" s="210" t="s">
        <v>257</v>
      </c>
      <c r="R1185" s="243" t="s">
        <v>257</v>
      </c>
      <c r="S1185" s="247"/>
    </row>
    <row r="1186" spans="1:19" x14ac:dyDescent="0.2">
      <c r="A1186" s="242"/>
      <c r="B1186" s="243"/>
      <c r="C1186" s="243"/>
      <c r="D1186" s="243"/>
      <c r="E1186" s="243"/>
      <c r="F1186" s="243"/>
      <c r="G1186" s="244"/>
      <c r="H1186" s="243"/>
      <c r="I1186" s="243"/>
      <c r="J1186" s="243"/>
      <c r="K1186" s="243"/>
      <c r="L1186" s="243"/>
      <c r="M1186" s="244"/>
      <c r="N1186" s="245" t="s">
        <v>257</v>
      </c>
      <c r="O1186" s="246"/>
      <c r="P1186" s="203" t="s">
        <v>257</v>
      </c>
      <c r="Q1186" s="210" t="s">
        <v>257</v>
      </c>
      <c r="R1186" s="243" t="s">
        <v>257</v>
      </c>
      <c r="S1186" s="247"/>
    </row>
    <row r="1187" spans="1:19" x14ac:dyDescent="0.2">
      <c r="A1187" s="242"/>
      <c r="B1187" s="243"/>
      <c r="C1187" s="243"/>
      <c r="D1187" s="243"/>
      <c r="E1187" s="243"/>
      <c r="F1187" s="243"/>
      <c r="G1187" s="244"/>
      <c r="H1187" s="243"/>
      <c r="I1187" s="243"/>
      <c r="J1187" s="243"/>
      <c r="K1187" s="243"/>
      <c r="L1187" s="243"/>
      <c r="M1187" s="244"/>
      <c r="N1187" s="245" t="s">
        <v>257</v>
      </c>
      <c r="O1187" s="246"/>
      <c r="P1187" s="203" t="s">
        <v>257</v>
      </c>
      <c r="Q1187" s="210" t="s">
        <v>257</v>
      </c>
      <c r="R1187" s="243" t="s">
        <v>257</v>
      </c>
      <c r="S1187" s="247"/>
    </row>
    <row r="1188" spans="1:19" x14ac:dyDescent="0.2">
      <c r="A1188" s="242"/>
      <c r="B1188" s="243"/>
      <c r="C1188" s="243"/>
      <c r="D1188" s="243"/>
      <c r="E1188" s="243"/>
      <c r="F1188" s="243"/>
      <c r="G1188" s="244"/>
      <c r="H1188" s="243"/>
      <c r="I1188" s="243"/>
      <c r="J1188" s="243"/>
      <c r="K1188" s="243"/>
      <c r="L1188" s="243"/>
      <c r="M1188" s="244"/>
      <c r="N1188" s="245" t="s">
        <v>257</v>
      </c>
      <c r="O1188" s="246"/>
      <c r="P1188" s="203" t="s">
        <v>257</v>
      </c>
      <c r="Q1188" s="210" t="s">
        <v>257</v>
      </c>
      <c r="R1188" s="243" t="s">
        <v>257</v>
      </c>
      <c r="S1188" s="247"/>
    </row>
    <row r="1189" spans="1:19" x14ac:dyDescent="0.2">
      <c r="A1189" s="242"/>
      <c r="B1189" s="243"/>
      <c r="C1189" s="243"/>
      <c r="D1189" s="243"/>
      <c r="E1189" s="243"/>
      <c r="F1189" s="243"/>
      <c r="G1189" s="244"/>
      <c r="H1189" s="243"/>
      <c r="I1189" s="243"/>
      <c r="J1189" s="243"/>
      <c r="K1189" s="243"/>
      <c r="L1189" s="243"/>
      <c r="M1189" s="244"/>
      <c r="N1189" s="245" t="s">
        <v>257</v>
      </c>
      <c r="O1189" s="246"/>
      <c r="P1189" s="203" t="s">
        <v>257</v>
      </c>
      <c r="Q1189" s="210" t="s">
        <v>257</v>
      </c>
      <c r="R1189" s="243" t="s">
        <v>257</v>
      </c>
      <c r="S1189" s="247"/>
    </row>
    <row r="1190" spans="1:19" x14ac:dyDescent="0.2">
      <c r="A1190" s="242"/>
      <c r="B1190" s="243"/>
      <c r="C1190" s="243"/>
      <c r="D1190" s="243"/>
      <c r="E1190" s="243"/>
      <c r="F1190" s="243"/>
      <c r="G1190" s="244"/>
      <c r="H1190" s="243"/>
      <c r="I1190" s="243"/>
      <c r="J1190" s="243"/>
      <c r="K1190" s="243"/>
      <c r="L1190" s="243"/>
      <c r="M1190" s="244"/>
      <c r="N1190" s="245" t="s">
        <v>257</v>
      </c>
      <c r="O1190" s="246"/>
      <c r="P1190" s="203" t="s">
        <v>257</v>
      </c>
      <c r="Q1190" s="210" t="s">
        <v>257</v>
      </c>
      <c r="R1190" s="243" t="s">
        <v>257</v>
      </c>
      <c r="S1190" s="247"/>
    </row>
    <row r="1191" spans="1:19" x14ac:dyDescent="0.2">
      <c r="A1191" s="242"/>
      <c r="B1191" s="243"/>
      <c r="C1191" s="243"/>
      <c r="D1191" s="243"/>
      <c r="E1191" s="243"/>
      <c r="F1191" s="243"/>
      <c r="G1191" s="244"/>
      <c r="H1191" s="243"/>
      <c r="I1191" s="243"/>
      <c r="J1191" s="243"/>
      <c r="K1191" s="243"/>
      <c r="L1191" s="243"/>
      <c r="M1191" s="244"/>
      <c r="N1191" s="245" t="s">
        <v>257</v>
      </c>
      <c r="O1191" s="246"/>
      <c r="P1191" s="203" t="s">
        <v>257</v>
      </c>
      <c r="Q1191" s="210" t="s">
        <v>257</v>
      </c>
      <c r="R1191" s="243" t="s">
        <v>257</v>
      </c>
      <c r="S1191" s="247"/>
    </row>
    <row r="1192" spans="1:19" x14ac:dyDescent="0.2">
      <c r="A1192" s="242"/>
      <c r="B1192" s="243"/>
      <c r="C1192" s="243"/>
      <c r="D1192" s="243"/>
      <c r="E1192" s="243"/>
      <c r="F1192" s="243"/>
      <c r="G1192" s="244"/>
      <c r="H1192" s="243"/>
      <c r="I1192" s="243"/>
      <c r="J1192" s="243"/>
      <c r="K1192" s="243"/>
      <c r="L1192" s="243"/>
      <c r="M1192" s="244"/>
      <c r="N1192" s="245" t="s">
        <v>257</v>
      </c>
      <c r="O1192" s="246"/>
      <c r="P1192" s="203" t="s">
        <v>257</v>
      </c>
      <c r="Q1192" s="210" t="s">
        <v>257</v>
      </c>
      <c r="R1192" s="243" t="s">
        <v>257</v>
      </c>
      <c r="S1192" s="247"/>
    </row>
    <row r="1193" spans="1:19" x14ac:dyDescent="0.2">
      <c r="A1193" s="242"/>
      <c r="B1193" s="243"/>
      <c r="C1193" s="243"/>
      <c r="D1193" s="243"/>
      <c r="E1193" s="243"/>
      <c r="F1193" s="243"/>
      <c r="G1193" s="244"/>
      <c r="H1193" s="243"/>
      <c r="I1193" s="243"/>
      <c r="J1193" s="243"/>
      <c r="K1193" s="243"/>
      <c r="L1193" s="243"/>
      <c r="M1193" s="244"/>
      <c r="N1193" s="245" t="s">
        <v>257</v>
      </c>
      <c r="O1193" s="246"/>
      <c r="P1193" s="203" t="s">
        <v>257</v>
      </c>
      <c r="Q1193" s="210" t="s">
        <v>257</v>
      </c>
      <c r="R1193" s="243" t="s">
        <v>257</v>
      </c>
      <c r="S1193" s="247"/>
    </row>
    <row r="1194" spans="1:19" x14ac:dyDescent="0.2">
      <c r="A1194" s="242"/>
      <c r="B1194" s="243"/>
      <c r="C1194" s="243"/>
      <c r="D1194" s="243"/>
      <c r="E1194" s="243"/>
      <c r="F1194" s="243"/>
      <c r="G1194" s="244"/>
      <c r="H1194" s="243"/>
      <c r="I1194" s="243"/>
      <c r="J1194" s="243"/>
      <c r="K1194" s="243"/>
      <c r="L1194" s="243"/>
      <c r="M1194" s="244"/>
      <c r="N1194" s="245" t="s">
        <v>257</v>
      </c>
      <c r="O1194" s="246"/>
      <c r="P1194" s="203" t="s">
        <v>257</v>
      </c>
      <c r="Q1194" s="210" t="s">
        <v>257</v>
      </c>
      <c r="R1194" s="243" t="s">
        <v>257</v>
      </c>
      <c r="S1194" s="247"/>
    </row>
    <row r="1195" spans="1:19" x14ac:dyDescent="0.2">
      <c r="A1195" s="242"/>
      <c r="B1195" s="243"/>
      <c r="C1195" s="243"/>
      <c r="D1195" s="243"/>
      <c r="E1195" s="243"/>
      <c r="F1195" s="243"/>
      <c r="G1195" s="244"/>
      <c r="H1195" s="243"/>
      <c r="I1195" s="243"/>
      <c r="J1195" s="243"/>
      <c r="K1195" s="243"/>
      <c r="L1195" s="243"/>
      <c r="M1195" s="244"/>
      <c r="N1195" s="245" t="s">
        <v>257</v>
      </c>
      <c r="O1195" s="246"/>
      <c r="P1195" s="203" t="s">
        <v>257</v>
      </c>
      <c r="Q1195" s="210" t="s">
        <v>257</v>
      </c>
      <c r="R1195" s="243" t="s">
        <v>257</v>
      </c>
      <c r="S1195" s="247"/>
    </row>
    <row r="1196" spans="1:19" x14ac:dyDescent="0.2">
      <c r="A1196" s="242"/>
      <c r="B1196" s="243"/>
      <c r="C1196" s="243"/>
      <c r="D1196" s="243"/>
      <c r="E1196" s="243"/>
      <c r="F1196" s="243"/>
      <c r="G1196" s="244"/>
      <c r="H1196" s="243"/>
      <c r="I1196" s="243"/>
      <c r="J1196" s="243"/>
      <c r="K1196" s="243"/>
      <c r="L1196" s="243"/>
      <c r="M1196" s="244"/>
      <c r="N1196" s="245" t="s">
        <v>257</v>
      </c>
      <c r="O1196" s="246"/>
      <c r="P1196" s="203" t="s">
        <v>257</v>
      </c>
      <c r="Q1196" s="210" t="s">
        <v>257</v>
      </c>
      <c r="R1196" s="243" t="s">
        <v>257</v>
      </c>
      <c r="S1196" s="247"/>
    </row>
    <row r="1197" spans="1:19" x14ac:dyDescent="0.2">
      <c r="A1197" s="242"/>
      <c r="B1197" s="243"/>
      <c r="C1197" s="243"/>
      <c r="D1197" s="243"/>
      <c r="E1197" s="243"/>
      <c r="F1197" s="243"/>
      <c r="G1197" s="244"/>
      <c r="H1197" s="243"/>
      <c r="I1197" s="243"/>
      <c r="J1197" s="243"/>
      <c r="K1197" s="243"/>
      <c r="L1197" s="243"/>
      <c r="M1197" s="244"/>
      <c r="N1197" s="245" t="s">
        <v>257</v>
      </c>
      <c r="O1197" s="246"/>
      <c r="P1197" s="203" t="s">
        <v>257</v>
      </c>
      <c r="Q1197" s="210" t="s">
        <v>257</v>
      </c>
      <c r="R1197" s="243" t="s">
        <v>257</v>
      </c>
      <c r="S1197" s="247"/>
    </row>
    <row r="1198" spans="1:19" x14ac:dyDescent="0.2">
      <c r="A1198" s="242"/>
      <c r="B1198" s="243"/>
      <c r="C1198" s="243"/>
      <c r="D1198" s="243"/>
      <c r="E1198" s="243"/>
      <c r="F1198" s="243"/>
      <c r="G1198" s="244"/>
      <c r="H1198" s="243"/>
      <c r="I1198" s="243"/>
      <c r="J1198" s="243"/>
      <c r="K1198" s="243"/>
      <c r="L1198" s="243"/>
      <c r="M1198" s="244"/>
      <c r="N1198" s="245" t="s">
        <v>257</v>
      </c>
      <c r="O1198" s="246"/>
      <c r="P1198" s="203" t="s">
        <v>257</v>
      </c>
      <c r="Q1198" s="210" t="s">
        <v>257</v>
      </c>
      <c r="R1198" s="243" t="s">
        <v>257</v>
      </c>
      <c r="S1198" s="247"/>
    </row>
    <row r="1199" spans="1:19" x14ac:dyDescent="0.2">
      <c r="A1199" s="242"/>
      <c r="B1199" s="243"/>
      <c r="C1199" s="243"/>
      <c r="D1199" s="243"/>
      <c r="E1199" s="243"/>
      <c r="F1199" s="243"/>
      <c r="G1199" s="244"/>
      <c r="H1199" s="243"/>
      <c r="I1199" s="243"/>
      <c r="J1199" s="243"/>
      <c r="K1199" s="243"/>
      <c r="L1199" s="243"/>
      <c r="M1199" s="244"/>
      <c r="N1199" s="245" t="s">
        <v>257</v>
      </c>
      <c r="O1199" s="246"/>
      <c r="P1199" s="203" t="s">
        <v>257</v>
      </c>
      <c r="Q1199" s="210" t="s">
        <v>257</v>
      </c>
      <c r="R1199" s="243" t="s">
        <v>257</v>
      </c>
      <c r="S1199" s="247"/>
    </row>
    <row r="1200" spans="1:19" x14ac:dyDescent="0.2">
      <c r="A1200" s="242"/>
      <c r="B1200" s="243"/>
      <c r="C1200" s="243"/>
      <c r="D1200" s="243"/>
      <c r="E1200" s="243"/>
      <c r="F1200" s="243"/>
      <c r="G1200" s="244"/>
      <c r="H1200" s="243"/>
      <c r="I1200" s="243"/>
      <c r="J1200" s="243"/>
      <c r="K1200" s="243"/>
      <c r="L1200" s="243"/>
      <c r="M1200" s="244"/>
      <c r="N1200" s="245" t="s">
        <v>257</v>
      </c>
      <c r="O1200" s="246"/>
      <c r="P1200" s="203" t="s">
        <v>257</v>
      </c>
      <c r="Q1200" s="210" t="s">
        <v>257</v>
      </c>
      <c r="R1200" s="243" t="s">
        <v>257</v>
      </c>
      <c r="S1200" s="247"/>
    </row>
    <row r="1201" spans="1:19" x14ac:dyDescent="0.2">
      <c r="A1201" s="242"/>
      <c r="B1201" s="243"/>
      <c r="C1201" s="243"/>
      <c r="D1201" s="243"/>
      <c r="E1201" s="243"/>
      <c r="F1201" s="243"/>
      <c r="G1201" s="244"/>
      <c r="H1201" s="243"/>
      <c r="I1201" s="243"/>
      <c r="J1201" s="243"/>
      <c r="K1201" s="243"/>
      <c r="L1201" s="243"/>
      <c r="M1201" s="244"/>
      <c r="N1201" s="245" t="s">
        <v>257</v>
      </c>
      <c r="O1201" s="246"/>
      <c r="P1201" s="203" t="s">
        <v>257</v>
      </c>
      <c r="Q1201" s="210" t="s">
        <v>257</v>
      </c>
      <c r="R1201" s="243" t="s">
        <v>257</v>
      </c>
      <c r="S1201" s="247"/>
    </row>
    <row r="1202" spans="1:19" x14ac:dyDescent="0.2">
      <c r="A1202" s="242"/>
      <c r="B1202" s="243"/>
      <c r="C1202" s="243"/>
      <c r="D1202" s="243"/>
      <c r="E1202" s="243"/>
      <c r="F1202" s="243"/>
      <c r="G1202" s="244"/>
      <c r="H1202" s="243"/>
      <c r="I1202" s="243"/>
      <c r="J1202" s="243"/>
      <c r="K1202" s="243"/>
      <c r="L1202" s="243"/>
      <c r="M1202" s="244"/>
      <c r="N1202" s="245" t="s">
        <v>257</v>
      </c>
      <c r="O1202" s="246"/>
      <c r="P1202" s="203" t="s">
        <v>257</v>
      </c>
      <c r="Q1202" s="210" t="s">
        <v>257</v>
      </c>
      <c r="R1202" s="243" t="s">
        <v>257</v>
      </c>
      <c r="S1202" s="247"/>
    </row>
    <row r="1203" spans="1:19" x14ac:dyDescent="0.2">
      <c r="A1203" s="242"/>
      <c r="B1203" s="243"/>
      <c r="C1203" s="243"/>
      <c r="D1203" s="243"/>
      <c r="E1203" s="243"/>
      <c r="F1203" s="243"/>
      <c r="G1203" s="244"/>
      <c r="H1203" s="243"/>
      <c r="I1203" s="243"/>
      <c r="J1203" s="243"/>
      <c r="K1203" s="243"/>
      <c r="L1203" s="243"/>
      <c r="M1203" s="244"/>
      <c r="N1203" s="245" t="s">
        <v>257</v>
      </c>
      <c r="O1203" s="246"/>
      <c r="P1203" s="203" t="s">
        <v>257</v>
      </c>
      <c r="Q1203" s="210" t="s">
        <v>257</v>
      </c>
      <c r="R1203" s="243" t="s">
        <v>257</v>
      </c>
      <c r="S1203" s="247"/>
    </row>
    <row r="1204" spans="1:19" x14ac:dyDescent="0.2">
      <c r="A1204" s="242"/>
      <c r="B1204" s="243"/>
      <c r="C1204" s="243"/>
      <c r="D1204" s="243"/>
      <c r="E1204" s="243"/>
      <c r="F1204" s="243"/>
      <c r="G1204" s="244"/>
      <c r="H1204" s="243"/>
      <c r="I1204" s="243"/>
      <c r="J1204" s="243"/>
      <c r="K1204" s="243"/>
      <c r="L1204" s="243"/>
      <c r="M1204" s="244"/>
      <c r="N1204" s="245" t="s">
        <v>257</v>
      </c>
      <c r="O1204" s="246"/>
      <c r="P1204" s="203" t="s">
        <v>257</v>
      </c>
      <c r="Q1204" s="210" t="s">
        <v>257</v>
      </c>
      <c r="R1204" s="243" t="s">
        <v>257</v>
      </c>
      <c r="S1204" s="247"/>
    </row>
    <row r="1205" spans="1:19" x14ac:dyDescent="0.2">
      <c r="A1205" s="242"/>
      <c r="B1205" s="243"/>
      <c r="C1205" s="243"/>
      <c r="D1205" s="243"/>
      <c r="E1205" s="243"/>
      <c r="F1205" s="243"/>
      <c r="G1205" s="244"/>
      <c r="H1205" s="243"/>
      <c r="I1205" s="243"/>
      <c r="J1205" s="243"/>
      <c r="K1205" s="243"/>
      <c r="L1205" s="243"/>
      <c r="M1205" s="244"/>
      <c r="N1205" s="245" t="s">
        <v>257</v>
      </c>
      <c r="O1205" s="246"/>
      <c r="P1205" s="203" t="s">
        <v>257</v>
      </c>
      <c r="Q1205" s="210" t="s">
        <v>257</v>
      </c>
      <c r="R1205" s="243" t="s">
        <v>257</v>
      </c>
      <c r="S1205" s="247"/>
    </row>
    <row r="1206" spans="1:19" x14ac:dyDescent="0.2">
      <c r="A1206" s="242"/>
      <c r="B1206" s="243"/>
      <c r="C1206" s="243"/>
      <c r="D1206" s="243"/>
      <c r="E1206" s="243"/>
      <c r="F1206" s="243"/>
      <c r="G1206" s="244"/>
      <c r="H1206" s="243"/>
      <c r="I1206" s="243"/>
      <c r="J1206" s="243"/>
      <c r="K1206" s="243"/>
      <c r="L1206" s="243"/>
      <c r="M1206" s="244"/>
      <c r="N1206" s="245" t="s">
        <v>257</v>
      </c>
      <c r="O1206" s="246"/>
      <c r="P1206" s="203" t="s">
        <v>257</v>
      </c>
      <c r="Q1206" s="210" t="s">
        <v>257</v>
      </c>
      <c r="R1206" s="243" t="s">
        <v>257</v>
      </c>
      <c r="S1206" s="247"/>
    </row>
    <row r="1207" spans="1:19" x14ac:dyDescent="0.2">
      <c r="A1207" s="242"/>
      <c r="B1207" s="243"/>
      <c r="C1207" s="243"/>
      <c r="D1207" s="243"/>
      <c r="E1207" s="243"/>
      <c r="F1207" s="243"/>
      <c r="G1207" s="244"/>
      <c r="H1207" s="243"/>
      <c r="I1207" s="243"/>
      <c r="J1207" s="243"/>
      <c r="K1207" s="243"/>
      <c r="L1207" s="243"/>
      <c r="M1207" s="244"/>
      <c r="N1207" s="245" t="s">
        <v>257</v>
      </c>
      <c r="O1207" s="246"/>
      <c r="P1207" s="203" t="s">
        <v>257</v>
      </c>
      <c r="Q1207" s="210" t="s">
        <v>257</v>
      </c>
      <c r="R1207" s="243" t="s">
        <v>257</v>
      </c>
      <c r="S1207" s="247"/>
    </row>
    <row r="1208" spans="1:19" x14ac:dyDescent="0.2">
      <c r="A1208" s="242"/>
      <c r="B1208" s="243"/>
      <c r="C1208" s="243"/>
      <c r="D1208" s="243"/>
      <c r="E1208" s="243"/>
      <c r="F1208" s="243"/>
      <c r="G1208" s="244"/>
      <c r="H1208" s="243"/>
      <c r="I1208" s="243"/>
      <c r="J1208" s="243"/>
      <c r="K1208" s="243"/>
      <c r="L1208" s="243"/>
      <c r="M1208" s="244"/>
      <c r="N1208" s="245" t="s">
        <v>257</v>
      </c>
      <c r="O1208" s="246"/>
      <c r="P1208" s="203" t="s">
        <v>257</v>
      </c>
      <c r="Q1208" s="210" t="s">
        <v>257</v>
      </c>
      <c r="R1208" s="243" t="s">
        <v>257</v>
      </c>
      <c r="S1208" s="247"/>
    </row>
    <row r="1209" spans="1:19" x14ac:dyDescent="0.2">
      <c r="A1209" s="242"/>
      <c r="B1209" s="243"/>
      <c r="C1209" s="243"/>
      <c r="D1209" s="243"/>
      <c r="E1209" s="243"/>
      <c r="F1209" s="243"/>
      <c r="G1209" s="244"/>
      <c r="H1209" s="243"/>
      <c r="I1209" s="243"/>
      <c r="J1209" s="243"/>
      <c r="K1209" s="243"/>
      <c r="L1209" s="243"/>
      <c r="M1209" s="244"/>
      <c r="N1209" s="245" t="s">
        <v>257</v>
      </c>
      <c r="O1209" s="246"/>
      <c r="P1209" s="203" t="s">
        <v>257</v>
      </c>
      <c r="Q1209" s="210" t="s">
        <v>257</v>
      </c>
      <c r="R1209" s="243" t="s">
        <v>257</v>
      </c>
      <c r="S1209" s="247"/>
    </row>
    <row r="1210" spans="1:19" x14ac:dyDescent="0.2">
      <c r="A1210" s="242"/>
      <c r="B1210" s="243"/>
      <c r="C1210" s="243"/>
      <c r="D1210" s="243"/>
      <c r="E1210" s="243"/>
      <c r="F1210" s="243"/>
      <c r="G1210" s="244"/>
      <c r="H1210" s="243"/>
      <c r="I1210" s="243"/>
      <c r="J1210" s="243"/>
      <c r="K1210" s="243"/>
      <c r="L1210" s="243"/>
      <c r="M1210" s="244"/>
      <c r="N1210" s="245" t="s">
        <v>257</v>
      </c>
      <c r="O1210" s="246"/>
      <c r="P1210" s="203" t="s">
        <v>257</v>
      </c>
      <c r="Q1210" s="210" t="s">
        <v>257</v>
      </c>
      <c r="R1210" s="243" t="s">
        <v>257</v>
      </c>
      <c r="S1210" s="247"/>
    </row>
    <row r="1211" spans="1:19" x14ac:dyDescent="0.2">
      <c r="A1211" s="242"/>
      <c r="B1211" s="243"/>
      <c r="C1211" s="243"/>
      <c r="D1211" s="243"/>
      <c r="E1211" s="243"/>
      <c r="F1211" s="243"/>
      <c r="G1211" s="244"/>
      <c r="H1211" s="243"/>
      <c r="I1211" s="243"/>
      <c r="J1211" s="243"/>
      <c r="K1211" s="243"/>
      <c r="L1211" s="243"/>
      <c r="M1211" s="244"/>
      <c r="N1211" s="245" t="s">
        <v>257</v>
      </c>
      <c r="O1211" s="246"/>
      <c r="P1211" s="203" t="s">
        <v>257</v>
      </c>
      <c r="Q1211" s="210" t="s">
        <v>257</v>
      </c>
      <c r="R1211" s="243" t="s">
        <v>257</v>
      </c>
      <c r="S1211" s="247"/>
    </row>
    <row r="1212" spans="1:19" x14ac:dyDescent="0.2">
      <c r="A1212" s="242"/>
      <c r="B1212" s="243"/>
      <c r="C1212" s="243"/>
      <c r="D1212" s="243"/>
      <c r="E1212" s="243"/>
      <c r="F1212" s="243"/>
      <c r="G1212" s="244"/>
      <c r="H1212" s="243"/>
      <c r="I1212" s="243"/>
      <c r="J1212" s="243"/>
      <c r="K1212" s="243"/>
      <c r="L1212" s="243"/>
      <c r="M1212" s="244"/>
      <c r="N1212" s="245" t="s">
        <v>257</v>
      </c>
      <c r="O1212" s="246"/>
      <c r="P1212" s="203" t="s">
        <v>257</v>
      </c>
      <c r="Q1212" s="210" t="s">
        <v>257</v>
      </c>
      <c r="R1212" s="243" t="s">
        <v>257</v>
      </c>
      <c r="S1212" s="247"/>
    </row>
    <row r="1213" spans="1:19" x14ac:dyDescent="0.2">
      <c r="A1213" s="242"/>
      <c r="B1213" s="243"/>
      <c r="C1213" s="243"/>
      <c r="D1213" s="243"/>
      <c r="E1213" s="243"/>
      <c r="F1213" s="243"/>
      <c r="G1213" s="244"/>
      <c r="H1213" s="243"/>
      <c r="I1213" s="243"/>
      <c r="J1213" s="243"/>
      <c r="K1213" s="243"/>
      <c r="L1213" s="243"/>
      <c r="M1213" s="244"/>
      <c r="N1213" s="245" t="s">
        <v>257</v>
      </c>
      <c r="O1213" s="246"/>
      <c r="P1213" s="203" t="s">
        <v>257</v>
      </c>
      <c r="Q1213" s="210" t="s">
        <v>257</v>
      </c>
      <c r="R1213" s="243" t="s">
        <v>257</v>
      </c>
      <c r="S1213" s="247"/>
    </row>
    <row r="1214" spans="1:19" x14ac:dyDescent="0.2">
      <c r="A1214" s="242"/>
      <c r="B1214" s="243"/>
      <c r="C1214" s="243"/>
      <c r="D1214" s="243"/>
      <c r="E1214" s="243"/>
      <c r="F1214" s="243"/>
      <c r="G1214" s="244"/>
      <c r="H1214" s="243"/>
      <c r="I1214" s="243"/>
      <c r="J1214" s="243"/>
      <c r="K1214" s="243"/>
      <c r="L1214" s="243"/>
      <c r="M1214" s="244"/>
      <c r="N1214" s="245" t="s">
        <v>257</v>
      </c>
      <c r="O1214" s="246"/>
      <c r="P1214" s="203" t="s">
        <v>257</v>
      </c>
      <c r="Q1214" s="210" t="s">
        <v>257</v>
      </c>
      <c r="R1214" s="243" t="s">
        <v>257</v>
      </c>
      <c r="S1214" s="247"/>
    </row>
    <row r="1215" spans="1:19" x14ac:dyDescent="0.2">
      <c r="A1215" s="242"/>
      <c r="B1215" s="243"/>
      <c r="C1215" s="243"/>
      <c r="D1215" s="243"/>
      <c r="E1215" s="243"/>
      <c r="F1215" s="243"/>
      <c r="G1215" s="244"/>
      <c r="H1215" s="243"/>
      <c r="I1215" s="243"/>
      <c r="J1215" s="243"/>
      <c r="K1215" s="243"/>
      <c r="L1215" s="243"/>
      <c r="M1215" s="244"/>
      <c r="N1215" s="245" t="s">
        <v>257</v>
      </c>
      <c r="O1215" s="246"/>
      <c r="P1215" s="203" t="s">
        <v>257</v>
      </c>
      <c r="Q1215" s="210" t="s">
        <v>257</v>
      </c>
      <c r="R1215" s="243" t="s">
        <v>257</v>
      </c>
      <c r="S1215" s="247"/>
    </row>
    <row r="1216" spans="1:19" x14ac:dyDescent="0.2">
      <c r="A1216" s="242"/>
      <c r="B1216" s="243"/>
      <c r="C1216" s="243"/>
      <c r="D1216" s="243"/>
      <c r="E1216" s="243"/>
      <c r="F1216" s="243"/>
      <c r="G1216" s="244"/>
      <c r="H1216" s="243"/>
      <c r="I1216" s="243"/>
      <c r="J1216" s="243"/>
      <c r="K1216" s="243"/>
      <c r="L1216" s="243"/>
      <c r="M1216" s="244"/>
      <c r="N1216" s="245" t="s">
        <v>257</v>
      </c>
      <c r="O1216" s="246"/>
      <c r="P1216" s="203" t="s">
        <v>257</v>
      </c>
      <c r="Q1216" s="210" t="s">
        <v>257</v>
      </c>
      <c r="R1216" s="243" t="s">
        <v>257</v>
      </c>
      <c r="S1216" s="247"/>
    </row>
    <row r="1217" spans="1:19" x14ac:dyDescent="0.2">
      <c r="A1217" s="242"/>
      <c r="B1217" s="243"/>
      <c r="C1217" s="243"/>
      <c r="D1217" s="243"/>
      <c r="E1217" s="243"/>
      <c r="F1217" s="243"/>
      <c r="G1217" s="244"/>
      <c r="H1217" s="243"/>
      <c r="I1217" s="243"/>
      <c r="J1217" s="243"/>
      <c r="K1217" s="243"/>
      <c r="L1217" s="243"/>
      <c r="M1217" s="244"/>
      <c r="N1217" s="245" t="s">
        <v>257</v>
      </c>
      <c r="O1217" s="246"/>
      <c r="P1217" s="203" t="s">
        <v>257</v>
      </c>
      <c r="Q1217" s="210" t="s">
        <v>257</v>
      </c>
      <c r="R1217" s="243" t="s">
        <v>257</v>
      </c>
      <c r="S1217" s="247"/>
    </row>
    <row r="1218" spans="1:19" x14ac:dyDescent="0.2">
      <c r="A1218" s="242"/>
      <c r="B1218" s="243"/>
      <c r="C1218" s="243"/>
      <c r="D1218" s="243"/>
      <c r="E1218" s="243"/>
      <c r="F1218" s="243"/>
      <c r="G1218" s="244"/>
      <c r="H1218" s="243"/>
      <c r="I1218" s="243"/>
      <c r="J1218" s="243"/>
      <c r="K1218" s="243"/>
      <c r="L1218" s="243"/>
      <c r="M1218" s="244"/>
      <c r="N1218" s="245" t="s">
        <v>257</v>
      </c>
      <c r="O1218" s="246"/>
      <c r="P1218" s="203" t="s">
        <v>257</v>
      </c>
      <c r="Q1218" s="210" t="s">
        <v>257</v>
      </c>
      <c r="R1218" s="243" t="s">
        <v>257</v>
      </c>
      <c r="S1218" s="247"/>
    </row>
    <row r="1219" spans="1:19" x14ac:dyDescent="0.2">
      <c r="A1219" s="242"/>
      <c r="B1219" s="243"/>
      <c r="C1219" s="243"/>
      <c r="D1219" s="243"/>
      <c r="E1219" s="243"/>
      <c r="F1219" s="243"/>
      <c r="G1219" s="244"/>
      <c r="H1219" s="243"/>
      <c r="I1219" s="243"/>
      <c r="J1219" s="243"/>
      <c r="K1219" s="243"/>
      <c r="L1219" s="243"/>
      <c r="M1219" s="244"/>
      <c r="N1219" s="245" t="s">
        <v>257</v>
      </c>
      <c r="O1219" s="246"/>
      <c r="P1219" s="203" t="s">
        <v>257</v>
      </c>
      <c r="Q1219" s="210" t="s">
        <v>257</v>
      </c>
      <c r="R1219" s="243" t="s">
        <v>257</v>
      </c>
      <c r="S1219" s="247"/>
    </row>
    <row r="1220" spans="1:19" x14ac:dyDescent="0.2">
      <c r="A1220" s="242"/>
      <c r="B1220" s="243"/>
      <c r="C1220" s="243"/>
      <c r="D1220" s="243"/>
      <c r="E1220" s="243"/>
      <c r="F1220" s="243"/>
      <c r="G1220" s="244"/>
      <c r="H1220" s="243"/>
      <c r="I1220" s="243"/>
      <c r="J1220" s="243"/>
      <c r="K1220" s="243"/>
      <c r="L1220" s="243"/>
      <c r="M1220" s="244"/>
      <c r="N1220" s="245" t="s">
        <v>257</v>
      </c>
      <c r="O1220" s="246"/>
      <c r="P1220" s="203" t="s">
        <v>257</v>
      </c>
      <c r="Q1220" s="210" t="s">
        <v>257</v>
      </c>
      <c r="R1220" s="243" t="s">
        <v>257</v>
      </c>
      <c r="S1220" s="247"/>
    </row>
    <row r="1221" spans="1:19" x14ac:dyDescent="0.2">
      <c r="A1221" s="242"/>
      <c r="B1221" s="243"/>
      <c r="C1221" s="243"/>
      <c r="D1221" s="243"/>
      <c r="E1221" s="243"/>
      <c r="F1221" s="243"/>
      <c r="G1221" s="244"/>
      <c r="H1221" s="243"/>
      <c r="I1221" s="243"/>
      <c r="J1221" s="243"/>
      <c r="K1221" s="243"/>
      <c r="L1221" s="243"/>
      <c r="M1221" s="244"/>
      <c r="N1221" s="245" t="s">
        <v>257</v>
      </c>
      <c r="O1221" s="246"/>
      <c r="P1221" s="203" t="s">
        <v>257</v>
      </c>
      <c r="Q1221" s="210" t="s">
        <v>257</v>
      </c>
      <c r="R1221" s="243" t="s">
        <v>257</v>
      </c>
      <c r="S1221" s="247"/>
    </row>
    <row r="1222" spans="1:19" x14ac:dyDescent="0.2">
      <c r="A1222" s="242"/>
      <c r="B1222" s="243"/>
      <c r="C1222" s="243"/>
      <c r="D1222" s="243"/>
      <c r="E1222" s="243"/>
      <c r="F1222" s="243"/>
      <c r="G1222" s="244"/>
      <c r="H1222" s="243"/>
      <c r="I1222" s="243"/>
      <c r="J1222" s="243"/>
      <c r="K1222" s="243"/>
      <c r="L1222" s="243"/>
      <c r="M1222" s="244"/>
      <c r="N1222" s="245" t="s">
        <v>257</v>
      </c>
      <c r="O1222" s="246"/>
      <c r="P1222" s="203" t="s">
        <v>257</v>
      </c>
      <c r="Q1222" s="210" t="s">
        <v>257</v>
      </c>
      <c r="R1222" s="243" t="s">
        <v>257</v>
      </c>
      <c r="S1222" s="247"/>
    </row>
    <row r="1223" spans="1:19" x14ac:dyDescent="0.2">
      <c r="A1223" s="242"/>
      <c r="B1223" s="243"/>
      <c r="C1223" s="243"/>
      <c r="D1223" s="243"/>
      <c r="E1223" s="243"/>
      <c r="F1223" s="243"/>
      <c r="G1223" s="244"/>
      <c r="H1223" s="243"/>
      <c r="I1223" s="243"/>
      <c r="J1223" s="243"/>
      <c r="K1223" s="243"/>
      <c r="L1223" s="243"/>
      <c r="M1223" s="244"/>
      <c r="N1223" s="245" t="s">
        <v>257</v>
      </c>
      <c r="O1223" s="246"/>
      <c r="P1223" s="203" t="s">
        <v>257</v>
      </c>
      <c r="Q1223" s="210" t="s">
        <v>257</v>
      </c>
      <c r="R1223" s="243" t="s">
        <v>257</v>
      </c>
      <c r="S1223" s="247"/>
    </row>
    <row r="1224" spans="1:19" x14ac:dyDescent="0.2">
      <c r="A1224" s="242"/>
      <c r="B1224" s="243"/>
      <c r="C1224" s="243"/>
      <c r="D1224" s="243"/>
      <c r="E1224" s="243"/>
      <c r="F1224" s="243"/>
      <c r="G1224" s="244"/>
      <c r="H1224" s="243"/>
      <c r="I1224" s="243"/>
      <c r="J1224" s="243"/>
      <c r="K1224" s="243"/>
      <c r="L1224" s="243"/>
      <c r="M1224" s="244"/>
      <c r="N1224" s="245" t="s">
        <v>257</v>
      </c>
      <c r="O1224" s="246"/>
      <c r="P1224" s="203" t="s">
        <v>257</v>
      </c>
      <c r="Q1224" s="210" t="s">
        <v>257</v>
      </c>
      <c r="R1224" s="243" t="s">
        <v>257</v>
      </c>
      <c r="S1224" s="247"/>
    </row>
    <row r="1225" spans="1:19" x14ac:dyDescent="0.2">
      <c r="A1225" s="242"/>
      <c r="B1225" s="243"/>
      <c r="C1225" s="243"/>
      <c r="D1225" s="243"/>
      <c r="E1225" s="243"/>
      <c r="F1225" s="243"/>
      <c r="G1225" s="244"/>
      <c r="H1225" s="243"/>
      <c r="I1225" s="243"/>
      <c r="J1225" s="243"/>
      <c r="K1225" s="243"/>
      <c r="L1225" s="243"/>
      <c r="M1225" s="244"/>
      <c r="N1225" s="245" t="s">
        <v>257</v>
      </c>
      <c r="O1225" s="246"/>
      <c r="P1225" s="203" t="s">
        <v>257</v>
      </c>
      <c r="Q1225" s="210" t="s">
        <v>257</v>
      </c>
      <c r="R1225" s="243" t="s">
        <v>257</v>
      </c>
      <c r="S1225" s="247"/>
    </row>
    <row r="1226" spans="1:19" x14ac:dyDescent="0.2">
      <c r="A1226" s="242"/>
      <c r="B1226" s="243"/>
      <c r="C1226" s="243"/>
      <c r="D1226" s="243"/>
      <c r="E1226" s="243"/>
      <c r="F1226" s="243"/>
      <c r="G1226" s="244"/>
      <c r="H1226" s="243"/>
      <c r="I1226" s="243"/>
      <c r="J1226" s="243"/>
      <c r="K1226" s="243"/>
      <c r="L1226" s="243"/>
      <c r="M1226" s="244"/>
      <c r="N1226" s="245" t="s">
        <v>257</v>
      </c>
      <c r="O1226" s="246"/>
      <c r="P1226" s="203" t="s">
        <v>257</v>
      </c>
      <c r="Q1226" s="210" t="s">
        <v>257</v>
      </c>
      <c r="R1226" s="243" t="s">
        <v>257</v>
      </c>
      <c r="S1226" s="247"/>
    </row>
    <row r="1227" spans="1:19" x14ac:dyDescent="0.2">
      <c r="A1227" s="242"/>
      <c r="B1227" s="243"/>
      <c r="C1227" s="243"/>
      <c r="D1227" s="243"/>
      <c r="E1227" s="243"/>
      <c r="F1227" s="243"/>
      <c r="G1227" s="244"/>
      <c r="H1227" s="243"/>
      <c r="I1227" s="243"/>
      <c r="J1227" s="243"/>
      <c r="K1227" s="243"/>
      <c r="L1227" s="243"/>
      <c r="M1227" s="244"/>
      <c r="N1227" s="245" t="s">
        <v>257</v>
      </c>
      <c r="O1227" s="246"/>
      <c r="P1227" s="203" t="s">
        <v>257</v>
      </c>
      <c r="Q1227" s="210" t="s">
        <v>257</v>
      </c>
      <c r="R1227" s="243" t="s">
        <v>257</v>
      </c>
      <c r="S1227" s="247"/>
    </row>
    <row r="1228" spans="1:19" x14ac:dyDescent="0.2">
      <c r="A1228" s="242"/>
      <c r="B1228" s="243"/>
      <c r="C1228" s="243"/>
      <c r="D1228" s="243"/>
      <c r="E1228" s="243"/>
      <c r="F1228" s="243"/>
      <c r="G1228" s="244"/>
      <c r="H1228" s="243"/>
      <c r="I1228" s="243"/>
      <c r="J1228" s="243"/>
      <c r="K1228" s="243"/>
      <c r="L1228" s="243"/>
      <c r="M1228" s="244"/>
      <c r="N1228" s="245" t="s">
        <v>257</v>
      </c>
      <c r="O1228" s="246"/>
      <c r="P1228" s="203" t="s">
        <v>257</v>
      </c>
      <c r="Q1228" s="210" t="s">
        <v>257</v>
      </c>
      <c r="R1228" s="243" t="s">
        <v>257</v>
      </c>
      <c r="S1228" s="247"/>
    </row>
    <row r="1229" spans="1:19" x14ac:dyDescent="0.2">
      <c r="A1229" s="242"/>
      <c r="B1229" s="243"/>
      <c r="C1229" s="243"/>
      <c r="D1229" s="243"/>
      <c r="E1229" s="243"/>
      <c r="F1229" s="243"/>
      <c r="G1229" s="244"/>
      <c r="H1229" s="243"/>
      <c r="I1229" s="243"/>
      <c r="J1229" s="243"/>
      <c r="K1229" s="243"/>
      <c r="L1229" s="243"/>
      <c r="M1229" s="244"/>
      <c r="N1229" s="245" t="s">
        <v>257</v>
      </c>
      <c r="O1229" s="246"/>
      <c r="P1229" s="203" t="s">
        <v>257</v>
      </c>
      <c r="Q1229" s="210" t="s">
        <v>257</v>
      </c>
      <c r="R1229" s="243" t="s">
        <v>257</v>
      </c>
      <c r="S1229" s="247"/>
    </row>
    <row r="1230" spans="1:19" x14ac:dyDescent="0.2">
      <c r="A1230" s="242"/>
      <c r="B1230" s="243"/>
      <c r="C1230" s="243"/>
      <c r="D1230" s="243"/>
      <c r="E1230" s="243"/>
      <c r="F1230" s="243"/>
      <c r="G1230" s="244"/>
      <c r="H1230" s="243"/>
      <c r="I1230" s="243"/>
      <c r="J1230" s="243"/>
      <c r="K1230" s="243"/>
      <c r="L1230" s="243"/>
      <c r="M1230" s="244"/>
      <c r="N1230" s="245" t="s">
        <v>257</v>
      </c>
      <c r="O1230" s="246"/>
      <c r="P1230" s="203" t="s">
        <v>257</v>
      </c>
      <c r="Q1230" s="210" t="s">
        <v>257</v>
      </c>
      <c r="R1230" s="243" t="s">
        <v>257</v>
      </c>
      <c r="S1230" s="247"/>
    </row>
    <row r="1231" spans="1:19" x14ac:dyDescent="0.2">
      <c r="A1231" s="242"/>
      <c r="B1231" s="243"/>
      <c r="C1231" s="243"/>
      <c r="D1231" s="243"/>
      <c r="E1231" s="243"/>
      <c r="F1231" s="243"/>
      <c r="G1231" s="244"/>
      <c r="H1231" s="243"/>
      <c r="I1231" s="243"/>
      <c r="J1231" s="243"/>
      <c r="K1231" s="243"/>
      <c r="L1231" s="243"/>
      <c r="M1231" s="244"/>
      <c r="N1231" s="245" t="s">
        <v>257</v>
      </c>
      <c r="O1231" s="246"/>
      <c r="P1231" s="203" t="s">
        <v>257</v>
      </c>
      <c r="Q1231" s="210" t="s">
        <v>257</v>
      </c>
      <c r="R1231" s="243" t="s">
        <v>257</v>
      </c>
      <c r="S1231" s="247"/>
    </row>
    <row r="1232" spans="1:19" x14ac:dyDescent="0.2">
      <c r="A1232" s="242"/>
      <c r="B1232" s="243"/>
      <c r="C1232" s="243"/>
      <c r="D1232" s="243"/>
      <c r="E1232" s="243"/>
      <c r="F1232" s="243"/>
      <c r="G1232" s="244"/>
      <c r="H1232" s="243"/>
      <c r="I1232" s="243"/>
      <c r="J1232" s="243"/>
      <c r="K1232" s="243"/>
      <c r="L1232" s="243"/>
      <c r="M1232" s="244"/>
      <c r="N1232" s="245" t="s">
        <v>257</v>
      </c>
      <c r="O1232" s="246"/>
      <c r="P1232" s="203" t="s">
        <v>257</v>
      </c>
      <c r="Q1232" s="210" t="s">
        <v>257</v>
      </c>
      <c r="R1232" s="243" t="s">
        <v>257</v>
      </c>
      <c r="S1232" s="247"/>
    </row>
    <row r="1233" spans="1:19" x14ac:dyDescent="0.2">
      <c r="A1233" s="242"/>
      <c r="B1233" s="243"/>
      <c r="C1233" s="243"/>
      <c r="D1233" s="243"/>
      <c r="E1233" s="243"/>
      <c r="F1233" s="243"/>
      <c r="G1233" s="244"/>
      <c r="H1233" s="243"/>
      <c r="I1233" s="243"/>
      <c r="J1233" s="243"/>
      <c r="K1233" s="243"/>
      <c r="L1233" s="243"/>
      <c r="M1233" s="244"/>
      <c r="N1233" s="245" t="s">
        <v>257</v>
      </c>
      <c r="O1233" s="246"/>
      <c r="P1233" s="203" t="s">
        <v>257</v>
      </c>
      <c r="Q1233" s="210" t="s">
        <v>257</v>
      </c>
      <c r="R1233" s="243" t="s">
        <v>257</v>
      </c>
      <c r="S1233" s="247"/>
    </row>
    <row r="1234" spans="1:19" x14ac:dyDescent="0.2">
      <c r="A1234" s="242"/>
      <c r="B1234" s="243"/>
      <c r="C1234" s="243"/>
      <c r="D1234" s="243"/>
      <c r="E1234" s="243"/>
      <c r="F1234" s="243"/>
      <c r="G1234" s="244"/>
      <c r="H1234" s="243"/>
      <c r="I1234" s="243"/>
      <c r="J1234" s="243"/>
      <c r="K1234" s="243"/>
      <c r="L1234" s="243"/>
      <c r="M1234" s="244"/>
      <c r="N1234" s="245" t="s">
        <v>257</v>
      </c>
      <c r="O1234" s="246"/>
      <c r="P1234" s="203" t="s">
        <v>257</v>
      </c>
      <c r="Q1234" s="210" t="s">
        <v>257</v>
      </c>
      <c r="R1234" s="243" t="s">
        <v>257</v>
      </c>
      <c r="S1234" s="247"/>
    </row>
    <row r="1235" spans="1:19" x14ac:dyDescent="0.2">
      <c r="A1235" s="242"/>
      <c r="B1235" s="243"/>
      <c r="C1235" s="243"/>
      <c r="D1235" s="243"/>
      <c r="E1235" s="243"/>
      <c r="F1235" s="243"/>
      <c r="G1235" s="244"/>
      <c r="H1235" s="243"/>
      <c r="I1235" s="243"/>
      <c r="J1235" s="243"/>
      <c r="K1235" s="243"/>
      <c r="L1235" s="243"/>
      <c r="M1235" s="244"/>
      <c r="N1235" s="245" t="s">
        <v>257</v>
      </c>
      <c r="O1235" s="246"/>
      <c r="P1235" s="203" t="s">
        <v>257</v>
      </c>
      <c r="Q1235" s="210" t="s">
        <v>257</v>
      </c>
      <c r="R1235" s="243" t="s">
        <v>257</v>
      </c>
      <c r="S1235" s="247"/>
    </row>
    <row r="1236" spans="1:19" x14ac:dyDescent="0.2">
      <c r="A1236" s="242"/>
      <c r="B1236" s="243"/>
      <c r="C1236" s="243"/>
      <c r="D1236" s="243"/>
      <c r="E1236" s="243"/>
      <c r="F1236" s="243"/>
      <c r="G1236" s="244"/>
      <c r="H1236" s="243"/>
      <c r="I1236" s="243"/>
      <c r="J1236" s="243"/>
      <c r="K1236" s="243"/>
      <c r="L1236" s="243"/>
      <c r="M1236" s="244"/>
      <c r="N1236" s="245" t="s">
        <v>257</v>
      </c>
      <c r="O1236" s="246"/>
      <c r="P1236" s="203" t="s">
        <v>257</v>
      </c>
      <c r="Q1236" s="210" t="s">
        <v>257</v>
      </c>
      <c r="R1236" s="243" t="s">
        <v>257</v>
      </c>
      <c r="S1236" s="247"/>
    </row>
    <row r="1237" spans="1:19" x14ac:dyDescent="0.2">
      <c r="A1237" s="242"/>
      <c r="B1237" s="243"/>
      <c r="C1237" s="243"/>
      <c r="D1237" s="243"/>
      <c r="E1237" s="243"/>
      <c r="F1237" s="243"/>
      <c r="G1237" s="244"/>
      <c r="H1237" s="243"/>
      <c r="I1237" s="243"/>
      <c r="J1237" s="243"/>
      <c r="K1237" s="243"/>
      <c r="L1237" s="243"/>
      <c r="M1237" s="244"/>
      <c r="N1237" s="245" t="s">
        <v>257</v>
      </c>
      <c r="O1237" s="246"/>
      <c r="P1237" s="203" t="s">
        <v>257</v>
      </c>
      <c r="Q1237" s="210" t="s">
        <v>257</v>
      </c>
      <c r="R1237" s="243" t="s">
        <v>257</v>
      </c>
      <c r="S1237" s="247"/>
    </row>
    <row r="1238" spans="1:19" x14ac:dyDescent="0.2">
      <c r="A1238" s="242"/>
      <c r="B1238" s="243"/>
      <c r="C1238" s="243"/>
      <c r="D1238" s="243"/>
      <c r="E1238" s="243"/>
      <c r="F1238" s="243"/>
      <c r="G1238" s="244"/>
      <c r="H1238" s="243"/>
      <c r="I1238" s="243"/>
      <c r="J1238" s="243"/>
      <c r="K1238" s="243"/>
      <c r="L1238" s="243"/>
      <c r="M1238" s="244"/>
      <c r="N1238" s="245" t="s">
        <v>257</v>
      </c>
      <c r="O1238" s="246"/>
      <c r="P1238" s="203" t="s">
        <v>257</v>
      </c>
      <c r="Q1238" s="210" t="s">
        <v>257</v>
      </c>
      <c r="R1238" s="243" t="s">
        <v>257</v>
      </c>
      <c r="S1238" s="247"/>
    </row>
    <row r="1239" spans="1:19" x14ac:dyDescent="0.2">
      <c r="A1239" s="242"/>
      <c r="B1239" s="243"/>
      <c r="C1239" s="243"/>
      <c r="D1239" s="243"/>
      <c r="E1239" s="243"/>
      <c r="F1239" s="243"/>
      <c r="G1239" s="244"/>
      <c r="H1239" s="243"/>
      <c r="I1239" s="243"/>
      <c r="J1239" s="243"/>
      <c r="K1239" s="243"/>
      <c r="L1239" s="243"/>
      <c r="M1239" s="244"/>
      <c r="N1239" s="245" t="s">
        <v>257</v>
      </c>
      <c r="O1239" s="246"/>
      <c r="P1239" s="203" t="s">
        <v>257</v>
      </c>
      <c r="Q1239" s="210" t="s">
        <v>257</v>
      </c>
      <c r="R1239" s="243" t="s">
        <v>257</v>
      </c>
      <c r="S1239" s="247"/>
    </row>
    <row r="1240" spans="1:19" x14ac:dyDescent="0.2">
      <c r="A1240" s="242"/>
      <c r="B1240" s="243"/>
      <c r="C1240" s="243"/>
      <c r="D1240" s="243"/>
      <c r="E1240" s="243"/>
      <c r="F1240" s="243"/>
      <c r="G1240" s="244"/>
      <c r="H1240" s="243"/>
      <c r="I1240" s="243"/>
      <c r="J1240" s="243"/>
      <c r="K1240" s="243"/>
      <c r="L1240" s="243"/>
      <c r="M1240" s="244"/>
      <c r="N1240" s="245" t="s">
        <v>257</v>
      </c>
      <c r="O1240" s="246"/>
      <c r="P1240" s="203" t="s">
        <v>257</v>
      </c>
      <c r="Q1240" s="210" t="s">
        <v>257</v>
      </c>
      <c r="R1240" s="243" t="s">
        <v>257</v>
      </c>
      <c r="S1240" s="247"/>
    </row>
    <row r="1241" spans="1:19" x14ac:dyDescent="0.2">
      <c r="A1241" s="242"/>
      <c r="B1241" s="243"/>
      <c r="C1241" s="243"/>
      <c r="D1241" s="243"/>
      <c r="E1241" s="243"/>
      <c r="F1241" s="243"/>
      <c r="G1241" s="244"/>
      <c r="H1241" s="243"/>
      <c r="I1241" s="243"/>
      <c r="J1241" s="243"/>
      <c r="K1241" s="243"/>
      <c r="L1241" s="243"/>
      <c r="M1241" s="244"/>
      <c r="N1241" s="245" t="s">
        <v>257</v>
      </c>
      <c r="O1241" s="246"/>
      <c r="P1241" s="203" t="s">
        <v>257</v>
      </c>
      <c r="Q1241" s="210" t="s">
        <v>257</v>
      </c>
      <c r="R1241" s="243" t="s">
        <v>257</v>
      </c>
      <c r="S1241" s="247"/>
    </row>
    <row r="1242" spans="1:19" x14ac:dyDescent="0.2">
      <c r="A1242" s="242"/>
      <c r="B1242" s="243"/>
      <c r="C1242" s="243"/>
      <c r="D1242" s="243"/>
      <c r="E1242" s="243"/>
      <c r="F1242" s="243"/>
      <c r="G1242" s="244"/>
      <c r="H1242" s="243"/>
      <c r="I1242" s="243"/>
      <c r="J1242" s="243"/>
      <c r="K1242" s="243"/>
      <c r="L1242" s="243"/>
      <c r="M1242" s="244"/>
      <c r="N1242" s="245" t="s">
        <v>257</v>
      </c>
      <c r="O1242" s="246"/>
      <c r="P1242" s="203" t="s">
        <v>257</v>
      </c>
      <c r="Q1242" s="210" t="s">
        <v>257</v>
      </c>
      <c r="R1242" s="243" t="s">
        <v>257</v>
      </c>
      <c r="S1242" s="247"/>
    </row>
    <row r="1243" spans="1:19" x14ac:dyDescent="0.2">
      <c r="A1243" s="242"/>
      <c r="B1243" s="243"/>
      <c r="C1243" s="243"/>
      <c r="D1243" s="243"/>
      <c r="E1243" s="243"/>
      <c r="F1243" s="243"/>
      <c r="G1243" s="244"/>
      <c r="H1243" s="243"/>
      <c r="I1243" s="243"/>
      <c r="J1243" s="243"/>
      <c r="K1243" s="243"/>
      <c r="L1243" s="243"/>
      <c r="M1243" s="244"/>
      <c r="N1243" s="245" t="s">
        <v>257</v>
      </c>
      <c r="O1243" s="246"/>
      <c r="P1243" s="203" t="s">
        <v>257</v>
      </c>
      <c r="Q1243" s="210" t="s">
        <v>257</v>
      </c>
      <c r="R1243" s="243" t="s">
        <v>257</v>
      </c>
      <c r="S1243" s="247"/>
    </row>
    <row r="1244" spans="1:19" x14ac:dyDescent="0.2">
      <c r="A1244" s="242"/>
      <c r="B1244" s="243"/>
      <c r="C1244" s="243"/>
      <c r="D1244" s="243"/>
      <c r="E1244" s="243"/>
      <c r="F1244" s="243"/>
      <c r="G1244" s="244"/>
      <c r="H1244" s="243"/>
      <c r="I1244" s="243"/>
      <c r="J1244" s="243"/>
      <c r="K1244" s="243"/>
      <c r="L1244" s="243"/>
      <c r="M1244" s="244"/>
      <c r="N1244" s="245" t="s">
        <v>257</v>
      </c>
      <c r="O1244" s="246"/>
      <c r="P1244" s="203" t="s">
        <v>257</v>
      </c>
      <c r="Q1244" s="210" t="s">
        <v>257</v>
      </c>
      <c r="R1244" s="243" t="s">
        <v>257</v>
      </c>
      <c r="S1244" s="247"/>
    </row>
    <row r="1245" spans="1:19" x14ac:dyDescent="0.2">
      <c r="A1245" s="242"/>
      <c r="B1245" s="243"/>
      <c r="C1245" s="243"/>
      <c r="D1245" s="243"/>
      <c r="E1245" s="243"/>
      <c r="F1245" s="243"/>
      <c r="G1245" s="244"/>
      <c r="H1245" s="243"/>
      <c r="I1245" s="243"/>
      <c r="J1245" s="243"/>
      <c r="K1245" s="243"/>
      <c r="L1245" s="243"/>
      <c r="M1245" s="244"/>
      <c r="N1245" s="245" t="s">
        <v>257</v>
      </c>
      <c r="O1245" s="246"/>
      <c r="P1245" s="203" t="s">
        <v>257</v>
      </c>
      <c r="Q1245" s="210" t="s">
        <v>257</v>
      </c>
      <c r="R1245" s="243" t="s">
        <v>257</v>
      </c>
      <c r="S1245" s="247"/>
    </row>
    <row r="1246" spans="1:19" x14ac:dyDescent="0.2">
      <c r="A1246" s="242"/>
      <c r="B1246" s="243"/>
      <c r="C1246" s="243"/>
      <c r="D1246" s="243"/>
      <c r="E1246" s="243"/>
      <c r="F1246" s="243"/>
      <c r="G1246" s="244"/>
      <c r="H1246" s="243"/>
      <c r="I1246" s="243"/>
      <c r="J1246" s="243"/>
      <c r="K1246" s="243"/>
      <c r="L1246" s="243"/>
      <c r="M1246" s="244"/>
      <c r="N1246" s="245" t="s">
        <v>257</v>
      </c>
      <c r="O1246" s="246"/>
      <c r="P1246" s="203" t="s">
        <v>257</v>
      </c>
      <c r="Q1246" s="210" t="s">
        <v>257</v>
      </c>
      <c r="R1246" s="243" t="s">
        <v>257</v>
      </c>
      <c r="S1246" s="247"/>
    </row>
    <row r="1247" spans="1:19" x14ac:dyDescent="0.2">
      <c r="A1247" s="242"/>
      <c r="B1247" s="243"/>
      <c r="C1247" s="243"/>
      <c r="D1247" s="243"/>
      <c r="E1247" s="243"/>
      <c r="F1247" s="243"/>
      <c r="G1247" s="244"/>
      <c r="H1247" s="243"/>
      <c r="I1247" s="243"/>
      <c r="J1247" s="243"/>
      <c r="K1247" s="243"/>
      <c r="L1247" s="243"/>
      <c r="M1247" s="244"/>
      <c r="N1247" s="245" t="s">
        <v>257</v>
      </c>
      <c r="O1247" s="246"/>
      <c r="P1247" s="203" t="s">
        <v>257</v>
      </c>
      <c r="Q1247" s="210" t="s">
        <v>257</v>
      </c>
      <c r="R1247" s="243" t="s">
        <v>257</v>
      </c>
      <c r="S1247" s="247"/>
    </row>
    <row r="1248" spans="1:19" x14ac:dyDescent="0.2">
      <c r="A1248" s="242"/>
      <c r="B1248" s="243"/>
      <c r="C1248" s="243"/>
      <c r="D1248" s="243"/>
      <c r="E1248" s="243"/>
      <c r="F1248" s="243"/>
      <c r="G1248" s="244"/>
      <c r="H1248" s="243"/>
      <c r="I1248" s="243"/>
      <c r="J1248" s="243"/>
      <c r="K1248" s="243"/>
      <c r="L1248" s="243"/>
      <c r="M1248" s="244"/>
      <c r="N1248" s="245" t="s">
        <v>257</v>
      </c>
      <c r="O1248" s="246"/>
      <c r="P1248" s="203" t="s">
        <v>257</v>
      </c>
      <c r="Q1248" s="210" t="s">
        <v>257</v>
      </c>
      <c r="R1248" s="243" t="s">
        <v>257</v>
      </c>
      <c r="S1248" s="247"/>
    </row>
    <row r="1249" spans="1:19" x14ac:dyDescent="0.2">
      <c r="A1249" s="242"/>
      <c r="B1249" s="243"/>
      <c r="C1249" s="243"/>
      <c r="D1249" s="243"/>
      <c r="E1249" s="243"/>
      <c r="F1249" s="243"/>
      <c r="G1249" s="244"/>
      <c r="H1249" s="243"/>
      <c r="I1249" s="243"/>
      <c r="J1249" s="243"/>
      <c r="K1249" s="243"/>
      <c r="L1249" s="243"/>
      <c r="M1249" s="244"/>
      <c r="N1249" s="245" t="s">
        <v>257</v>
      </c>
      <c r="O1249" s="246"/>
      <c r="P1249" s="203" t="s">
        <v>257</v>
      </c>
      <c r="Q1249" s="210" t="s">
        <v>257</v>
      </c>
      <c r="R1249" s="243" t="s">
        <v>257</v>
      </c>
      <c r="S1249" s="247"/>
    </row>
    <row r="1250" spans="1:19" x14ac:dyDescent="0.2">
      <c r="A1250" s="242"/>
      <c r="B1250" s="243"/>
      <c r="C1250" s="243"/>
      <c r="D1250" s="243"/>
      <c r="E1250" s="243"/>
      <c r="F1250" s="243"/>
      <c r="G1250" s="244"/>
      <c r="H1250" s="243"/>
      <c r="I1250" s="243"/>
      <c r="J1250" s="243"/>
      <c r="K1250" s="243"/>
      <c r="L1250" s="243"/>
      <c r="M1250" s="244"/>
      <c r="N1250" s="245" t="s">
        <v>257</v>
      </c>
      <c r="O1250" s="246"/>
      <c r="P1250" s="203" t="s">
        <v>257</v>
      </c>
      <c r="Q1250" s="210" t="s">
        <v>257</v>
      </c>
      <c r="R1250" s="243" t="s">
        <v>257</v>
      </c>
      <c r="S1250" s="247"/>
    </row>
    <row r="1251" spans="1:19" x14ac:dyDescent="0.2">
      <c r="A1251" s="242"/>
      <c r="B1251" s="243"/>
      <c r="C1251" s="243"/>
      <c r="D1251" s="243"/>
      <c r="E1251" s="243"/>
      <c r="F1251" s="243"/>
      <c r="G1251" s="244"/>
      <c r="H1251" s="243"/>
      <c r="I1251" s="243"/>
      <c r="J1251" s="243"/>
      <c r="K1251" s="243"/>
      <c r="L1251" s="243"/>
      <c r="M1251" s="244"/>
      <c r="N1251" s="245" t="s">
        <v>257</v>
      </c>
      <c r="O1251" s="246"/>
      <c r="P1251" s="203" t="s">
        <v>257</v>
      </c>
      <c r="Q1251" s="210" t="s">
        <v>257</v>
      </c>
      <c r="R1251" s="243" t="s">
        <v>257</v>
      </c>
      <c r="S1251" s="247"/>
    </row>
    <row r="1252" spans="1:19" x14ac:dyDescent="0.2">
      <c r="A1252" s="242"/>
      <c r="B1252" s="243"/>
      <c r="C1252" s="243"/>
      <c r="D1252" s="243"/>
      <c r="E1252" s="243"/>
      <c r="F1252" s="243"/>
      <c r="G1252" s="244"/>
      <c r="H1252" s="243"/>
      <c r="I1252" s="243"/>
      <c r="J1252" s="243"/>
      <c r="K1252" s="243"/>
      <c r="L1252" s="243"/>
      <c r="M1252" s="244"/>
      <c r="N1252" s="245" t="s">
        <v>257</v>
      </c>
      <c r="O1252" s="246"/>
      <c r="P1252" s="203" t="s">
        <v>257</v>
      </c>
      <c r="Q1252" s="210" t="s">
        <v>257</v>
      </c>
      <c r="R1252" s="243" t="s">
        <v>257</v>
      </c>
      <c r="S1252" s="247"/>
    </row>
    <row r="1253" spans="1:19" x14ac:dyDescent="0.2">
      <c r="A1253" s="242"/>
      <c r="B1253" s="243"/>
      <c r="C1253" s="243"/>
      <c r="D1253" s="243"/>
      <c r="E1253" s="243"/>
      <c r="F1253" s="243"/>
      <c r="G1253" s="244"/>
      <c r="H1253" s="243"/>
      <c r="I1253" s="243"/>
      <c r="J1253" s="243"/>
      <c r="K1253" s="243"/>
      <c r="L1253" s="243"/>
      <c r="M1253" s="244"/>
      <c r="N1253" s="245" t="s">
        <v>257</v>
      </c>
      <c r="O1253" s="246"/>
      <c r="P1253" s="203" t="s">
        <v>257</v>
      </c>
      <c r="Q1253" s="210" t="s">
        <v>257</v>
      </c>
      <c r="R1253" s="243" t="s">
        <v>257</v>
      </c>
      <c r="S1253" s="247"/>
    </row>
    <row r="1254" spans="1:19" x14ac:dyDescent="0.2">
      <c r="A1254" s="242"/>
      <c r="B1254" s="243"/>
      <c r="C1254" s="243"/>
      <c r="D1254" s="243"/>
      <c r="E1254" s="243"/>
      <c r="F1254" s="243"/>
      <c r="G1254" s="244"/>
      <c r="H1254" s="243"/>
      <c r="I1254" s="243"/>
      <c r="J1254" s="243"/>
      <c r="K1254" s="243"/>
      <c r="L1254" s="243"/>
      <c r="M1254" s="244"/>
      <c r="N1254" s="245" t="s">
        <v>257</v>
      </c>
      <c r="O1254" s="246"/>
      <c r="P1254" s="203" t="s">
        <v>257</v>
      </c>
      <c r="Q1254" s="210" t="s">
        <v>257</v>
      </c>
      <c r="R1254" s="243" t="s">
        <v>257</v>
      </c>
      <c r="S1254" s="247"/>
    </row>
    <row r="1255" spans="1:19" x14ac:dyDescent="0.2">
      <c r="A1255" s="242"/>
      <c r="B1255" s="243"/>
      <c r="C1255" s="243"/>
      <c r="D1255" s="243"/>
      <c r="E1255" s="243"/>
      <c r="F1255" s="243"/>
      <c r="G1255" s="244"/>
      <c r="H1255" s="243"/>
      <c r="I1255" s="243"/>
      <c r="J1255" s="243"/>
      <c r="K1255" s="243"/>
      <c r="L1255" s="243"/>
      <c r="M1255" s="244"/>
      <c r="N1255" s="245" t="s">
        <v>257</v>
      </c>
      <c r="O1255" s="246"/>
      <c r="P1255" s="203" t="s">
        <v>257</v>
      </c>
      <c r="Q1255" s="210" t="s">
        <v>257</v>
      </c>
      <c r="R1255" s="243" t="s">
        <v>257</v>
      </c>
      <c r="S1255" s="247"/>
    </row>
    <row r="1256" spans="1:19" x14ac:dyDescent="0.2">
      <c r="A1256" s="242"/>
      <c r="B1256" s="243"/>
      <c r="C1256" s="243"/>
      <c r="D1256" s="243"/>
      <c r="E1256" s="243"/>
      <c r="F1256" s="243"/>
      <c r="G1256" s="244"/>
      <c r="H1256" s="243"/>
      <c r="I1256" s="243"/>
      <c r="J1256" s="243"/>
      <c r="K1256" s="243"/>
      <c r="L1256" s="243"/>
      <c r="M1256" s="244"/>
      <c r="N1256" s="245" t="s">
        <v>257</v>
      </c>
      <c r="O1256" s="246"/>
      <c r="P1256" s="203" t="s">
        <v>257</v>
      </c>
      <c r="Q1256" s="210" t="s">
        <v>257</v>
      </c>
      <c r="R1256" s="243" t="s">
        <v>257</v>
      </c>
      <c r="S1256" s="247"/>
    </row>
    <row r="1257" spans="1:19" x14ac:dyDescent="0.2">
      <c r="A1257" s="242"/>
      <c r="B1257" s="243"/>
      <c r="C1257" s="243"/>
      <c r="D1257" s="243"/>
      <c r="E1257" s="243"/>
      <c r="F1257" s="243"/>
      <c r="G1257" s="244"/>
      <c r="H1257" s="243"/>
      <c r="I1257" s="243"/>
      <c r="J1257" s="243"/>
      <c r="K1257" s="243"/>
      <c r="L1257" s="243"/>
      <c r="M1257" s="244"/>
      <c r="N1257" s="245" t="s">
        <v>257</v>
      </c>
      <c r="O1257" s="246"/>
      <c r="P1257" s="203" t="s">
        <v>257</v>
      </c>
      <c r="Q1257" s="210" t="s">
        <v>257</v>
      </c>
      <c r="R1257" s="243" t="s">
        <v>257</v>
      </c>
      <c r="S1257" s="247"/>
    </row>
    <row r="1258" spans="1:19" x14ac:dyDescent="0.2">
      <c r="A1258" s="242"/>
      <c r="B1258" s="243"/>
      <c r="C1258" s="243"/>
      <c r="D1258" s="243"/>
      <c r="E1258" s="243"/>
      <c r="F1258" s="243"/>
      <c r="G1258" s="244"/>
      <c r="H1258" s="243"/>
      <c r="I1258" s="243"/>
      <c r="J1258" s="243"/>
      <c r="K1258" s="243"/>
      <c r="L1258" s="243"/>
      <c r="M1258" s="244"/>
      <c r="N1258" s="245" t="s">
        <v>257</v>
      </c>
      <c r="O1258" s="246"/>
      <c r="P1258" s="203" t="s">
        <v>257</v>
      </c>
      <c r="Q1258" s="210" t="s">
        <v>257</v>
      </c>
      <c r="R1258" s="243" t="s">
        <v>257</v>
      </c>
      <c r="S1258" s="247"/>
    </row>
    <row r="1259" spans="1:19" x14ac:dyDescent="0.2">
      <c r="A1259" s="242"/>
      <c r="B1259" s="243"/>
      <c r="C1259" s="243"/>
      <c r="D1259" s="243"/>
      <c r="E1259" s="243"/>
      <c r="F1259" s="243"/>
      <c r="G1259" s="244"/>
      <c r="H1259" s="243"/>
      <c r="I1259" s="243"/>
      <c r="J1259" s="243"/>
      <c r="K1259" s="243"/>
      <c r="L1259" s="243"/>
      <c r="M1259" s="244"/>
      <c r="N1259" s="245" t="s">
        <v>257</v>
      </c>
      <c r="O1259" s="246"/>
      <c r="P1259" s="203" t="s">
        <v>257</v>
      </c>
      <c r="Q1259" s="210" t="s">
        <v>257</v>
      </c>
      <c r="R1259" s="243" t="s">
        <v>257</v>
      </c>
      <c r="S1259" s="247"/>
    </row>
    <row r="1260" spans="1:19" x14ac:dyDescent="0.2">
      <c r="A1260" s="242"/>
      <c r="B1260" s="243"/>
      <c r="C1260" s="243"/>
      <c r="D1260" s="243"/>
      <c r="E1260" s="243"/>
      <c r="F1260" s="243"/>
      <c r="G1260" s="244"/>
      <c r="H1260" s="243"/>
      <c r="I1260" s="243"/>
      <c r="J1260" s="243"/>
      <c r="K1260" s="243"/>
      <c r="L1260" s="243"/>
      <c r="M1260" s="244"/>
      <c r="N1260" s="245" t="s">
        <v>257</v>
      </c>
      <c r="O1260" s="246"/>
      <c r="P1260" s="203" t="s">
        <v>257</v>
      </c>
      <c r="Q1260" s="210" t="s">
        <v>257</v>
      </c>
      <c r="R1260" s="243" t="s">
        <v>257</v>
      </c>
      <c r="S1260" s="247"/>
    </row>
    <row r="1261" spans="1:19" x14ac:dyDescent="0.2">
      <c r="A1261" s="242"/>
      <c r="B1261" s="243"/>
      <c r="C1261" s="243"/>
      <c r="D1261" s="243"/>
      <c r="E1261" s="243"/>
      <c r="F1261" s="243"/>
      <c r="G1261" s="244"/>
      <c r="H1261" s="243"/>
      <c r="I1261" s="243"/>
      <c r="J1261" s="243"/>
      <c r="K1261" s="243"/>
      <c r="L1261" s="243"/>
      <c r="M1261" s="244"/>
      <c r="N1261" s="245" t="s">
        <v>257</v>
      </c>
      <c r="O1261" s="246"/>
      <c r="P1261" s="203" t="s">
        <v>257</v>
      </c>
      <c r="Q1261" s="210" t="s">
        <v>257</v>
      </c>
      <c r="R1261" s="243" t="s">
        <v>257</v>
      </c>
      <c r="S1261" s="247"/>
    </row>
    <row r="1262" spans="1:19" x14ac:dyDescent="0.2">
      <c r="A1262" s="242"/>
      <c r="B1262" s="243"/>
      <c r="C1262" s="243"/>
      <c r="D1262" s="243"/>
      <c r="E1262" s="243"/>
      <c r="F1262" s="243"/>
      <c r="G1262" s="244"/>
      <c r="H1262" s="243"/>
      <c r="I1262" s="243"/>
      <c r="J1262" s="243"/>
      <c r="K1262" s="243"/>
      <c r="L1262" s="243"/>
      <c r="M1262" s="244"/>
      <c r="N1262" s="245" t="s">
        <v>257</v>
      </c>
      <c r="O1262" s="246"/>
      <c r="P1262" s="203" t="s">
        <v>257</v>
      </c>
      <c r="Q1262" s="210" t="s">
        <v>257</v>
      </c>
      <c r="R1262" s="243" t="s">
        <v>257</v>
      </c>
      <c r="S1262" s="247"/>
    </row>
    <row r="1263" spans="1:19" x14ac:dyDescent="0.2">
      <c r="A1263" s="242"/>
      <c r="B1263" s="243"/>
      <c r="C1263" s="243"/>
      <c r="D1263" s="243"/>
      <c r="E1263" s="243"/>
      <c r="F1263" s="243"/>
      <c r="G1263" s="244"/>
      <c r="H1263" s="243"/>
      <c r="I1263" s="243"/>
      <c r="J1263" s="243"/>
      <c r="K1263" s="243"/>
      <c r="L1263" s="243"/>
      <c r="M1263" s="244"/>
      <c r="N1263" s="245" t="s">
        <v>257</v>
      </c>
      <c r="O1263" s="246"/>
      <c r="P1263" s="203" t="s">
        <v>257</v>
      </c>
      <c r="Q1263" s="210" t="s">
        <v>257</v>
      </c>
      <c r="R1263" s="243" t="s">
        <v>257</v>
      </c>
      <c r="S1263" s="247"/>
    </row>
    <row r="1264" spans="1:19" x14ac:dyDescent="0.2">
      <c r="A1264" s="242"/>
      <c r="B1264" s="243"/>
      <c r="C1264" s="243"/>
      <c r="D1264" s="243"/>
      <c r="E1264" s="243"/>
      <c r="F1264" s="243"/>
      <c r="G1264" s="244"/>
      <c r="H1264" s="243"/>
      <c r="I1264" s="243"/>
      <c r="J1264" s="243"/>
      <c r="K1264" s="243"/>
      <c r="L1264" s="243"/>
      <c r="M1264" s="244"/>
      <c r="N1264" s="245" t="s">
        <v>257</v>
      </c>
      <c r="O1264" s="246"/>
      <c r="P1264" s="203" t="s">
        <v>257</v>
      </c>
      <c r="Q1264" s="210" t="s">
        <v>257</v>
      </c>
      <c r="R1264" s="243" t="s">
        <v>257</v>
      </c>
      <c r="S1264" s="247"/>
    </row>
    <row r="1265" spans="1:19" x14ac:dyDescent="0.2">
      <c r="A1265" s="242"/>
      <c r="B1265" s="243"/>
      <c r="C1265" s="243"/>
      <c r="D1265" s="243"/>
      <c r="E1265" s="243"/>
      <c r="F1265" s="243"/>
      <c r="G1265" s="244"/>
      <c r="H1265" s="243"/>
      <c r="I1265" s="243"/>
      <c r="J1265" s="243"/>
      <c r="K1265" s="243"/>
      <c r="L1265" s="243"/>
      <c r="M1265" s="244"/>
      <c r="N1265" s="245" t="s">
        <v>257</v>
      </c>
      <c r="O1265" s="246"/>
      <c r="P1265" s="203" t="s">
        <v>257</v>
      </c>
      <c r="Q1265" s="210" t="s">
        <v>257</v>
      </c>
      <c r="R1265" s="243" t="s">
        <v>257</v>
      </c>
      <c r="S1265" s="247"/>
    </row>
    <row r="1266" spans="1:19" x14ac:dyDescent="0.2">
      <c r="A1266" s="242"/>
      <c r="B1266" s="243"/>
      <c r="C1266" s="243"/>
      <c r="D1266" s="243"/>
      <c r="E1266" s="243"/>
      <c r="F1266" s="243"/>
      <c r="G1266" s="244"/>
      <c r="H1266" s="243"/>
      <c r="I1266" s="243"/>
      <c r="J1266" s="243"/>
      <c r="K1266" s="243"/>
      <c r="L1266" s="243"/>
      <c r="M1266" s="244"/>
      <c r="N1266" s="245" t="s">
        <v>257</v>
      </c>
      <c r="O1266" s="246"/>
      <c r="P1266" s="203" t="s">
        <v>257</v>
      </c>
      <c r="Q1266" s="210" t="s">
        <v>257</v>
      </c>
      <c r="R1266" s="243" t="s">
        <v>257</v>
      </c>
      <c r="S1266" s="247"/>
    </row>
    <row r="1267" spans="1:19" x14ac:dyDescent="0.2">
      <c r="A1267" s="242"/>
      <c r="B1267" s="243"/>
      <c r="C1267" s="243"/>
      <c r="D1267" s="243"/>
      <c r="E1267" s="243"/>
      <c r="F1267" s="243"/>
      <c r="G1267" s="244"/>
      <c r="H1267" s="243"/>
      <c r="I1267" s="243"/>
      <c r="J1267" s="243"/>
      <c r="K1267" s="243"/>
      <c r="L1267" s="243"/>
      <c r="M1267" s="244"/>
      <c r="N1267" s="245" t="s">
        <v>257</v>
      </c>
      <c r="O1267" s="246"/>
      <c r="P1267" s="203" t="s">
        <v>257</v>
      </c>
      <c r="Q1267" s="210" t="s">
        <v>257</v>
      </c>
      <c r="R1267" s="243" t="s">
        <v>257</v>
      </c>
      <c r="S1267" s="247"/>
    </row>
    <row r="1268" spans="1:19" x14ac:dyDescent="0.2">
      <c r="A1268" s="242"/>
      <c r="B1268" s="243"/>
      <c r="C1268" s="243"/>
      <c r="D1268" s="243"/>
      <c r="E1268" s="243"/>
      <c r="F1268" s="243"/>
      <c r="G1268" s="244"/>
      <c r="H1268" s="243"/>
      <c r="I1268" s="243"/>
      <c r="J1268" s="243"/>
      <c r="K1268" s="243"/>
      <c r="L1268" s="243"/>
      <c r="M1268" s="244"/>
      <c r="N1268" s="245" t="s">
        <v>257</v>
      </c>
      <c r="O1268" s="246"/>
      <c r="P1268" s="203" t="s">
        <v>257</v>
      </c>
      <c r="Q1268" s="210" t="s">
        <v>257</v>
      </c>
      <c r="R1268" s="243" t="s">
        <v>257</v>
      </c>
      <c r="S1268" s="247"/>
    </row>
    <row r="1269" spans="1:19" x14ac:dyDescent="0.2">
      <c r="A1269" s="242"/>
      <c r="B1269" s="243"/>
      <c r="C1269" s="243"/>
      <c r="D1269" s="243"/>
      <c r="E1269" s="243"/>
      <c r="F1269" s="243"/>
      <c r="G1269" s="244"/>
      <c r="H1269" s="243"/>
      <c r="I1269" s="243"/>
      <c r="J1269" s="243"/>
      <c r="K1269" s="243"/>
      <c r="L1269" s="243"/>
      <c r="M1269" s="244"/>
      <c r="N1269" s="245" t="s">
        <v>257</v>
      </c>
      <c r="O1269" s="246"/>
      <c r="P1269" s="203" t="s">
        <v>257</v>
      </c>
      <c r="Q1269" s="210" t="s">
        <v>257</v>
      </c>
      <c r="R1269" s="243" t="s">
        <v>257</v>
      </c>
      <c r="S1269" s="247"/>
    </row>
    <row r="1270" spans="1:19" x14ac:dyDescent="0.2">
      <c r="A1270" s="242"/>
      <c r="B1270" s="243"/>
      <c r="C1270" s="243"/>
      <c r="D1270" s="243"/>
      <c r="E1270" s="243"/>
      <c r="F1270" s="243"/>
      <c r="G1270" s="244"/>
      <c r="H1270" s="243"/>
      <c r="I1270" s="243"/>
      <c r="J1270" s="243"/>
      <c r="K1270" s="243"/>
      <c r="L1270" s="243"/>
      <c r="M1270" s="244"/>
      <c r="N1270" s="245" t="s">
        <v>257</v>
      </c>
      <c r="O1270" s="246"/>
      <c r="P1270" s="203" t="s">
        <v>257</v>
      </c>
      <c r="Q1270" s="210" t="s">
        <v>257</v>
      </c>
      <c r="R1270" s="243" t="s">
        <v>257</v>
      </c>
      <c r="S1270" s="247"/>
    </row>
    <row r="1271" spans="1:19" x14ac:dyDescent="0.2">
      <c r="A1271" s="242"/>
      <c r="B1271" s="243"/>
      <c r="C1271" s="243"/>
      <c r="D1271" s="243"/>
      <c r="E1271" s="243"/>
      <c r="F1271" s="243"/>
      <c r="G1271" s="244"/>
      <c r="H1271" s="243"/>
      <c r="I1271" s="243"/>
      <c r="J1271" s="243"/>
      <c r="K1271" s="243"/>
      <c r="L1271" s="243"/>
      <c r="M1271" s="244"/>
      <c r="N1271" s="245" t="s">
        <v>257</v>
      </c>
      <c r="O1271" s="246"/>
      <c r="P1271" s="203" t="s">
        <v>257</v>
      </c>
      <c r="Q1271" s="210" t="s">
        <v>257</v>
      </c>
      <c r="R1271" s="243" t="s">
        <v>257</v>
      </c>
      <c r="S1271" s="247"/>
    </row>
    <row r="1272" spans="1:19" x14ac:dyDescent="0.2">
      <c r="A1272" s="242"/>
      <c r="B1272" s="243"/>
      <c r="C1272" s="243"/>
      <c r="D1272" s="243"/>
      <c r="E1272" s="243"/>
      <c r="F1272" s="243"/>
      <c r="G1272" s="244"/>
      <c r="H1272" s="243"/>
      <c r="I1272" s="243"/>
      <c r="J1272" s="243"/>
      <c r="K1272" s="243"/>
      <c r="L1272" s="243"/>
      <c r="M1272" s="244"/>
      <c r="N1272" s="245" t="s">
        <v>257</v>
      </c>
      <c r="O1272" s="246"/>
      <c r="P1272" s="203" t="s">
        <v>257</v>
      </c>
      <c r="Q1272" s="210" t="s">
        <v>257</v>
      </c>
      <c r="R1272" s="243" t="s">
        <v>257</v>
      </c>
      <c r="S1272" s="247"/>
    </row>
    <row r="1273" spans="1:19" x14ac:dyDescent="0.2">
      <c r="A1273" s="242"/>
      <c r="B1273" s="243"/>
      <c r="C1273" s="243"/>
      <c r="D1273" s="243"/>
      <c r="E1273" s="243"/>
      <c r="F1273" s="243"/>
      <c r="G1273" s="244"/>
      <c r="H1273" s="243"/>
      <c r="I1273" s="243"/>
      <c r="J1273" s="243"/>
      <c r="K1273" s="243"/>
      <c r="L1273" s="243"/>
      <c r="M1273" s="244"/>
      <c r="N1273" s="245" t="s">
        <v>257</v>
      </c>
      <c r="O1273" s="246"/>
      <c r="P1273" s="203" t="s">
        <v>257</v>
      </c>
      <c r="Q1273" s="210" t="s">
        <v>257</v>
      </c>
      <c r="R1273" s="243" t="s">
        <v>257</v>
      </c>
      <c r="S1273" s="247"/>
    </row>
    <row r="1274" spans="1:19" x14ac:dyDescent="0.2">
      <c r="A1274" s="242"/>
      <c r="B1274" s="243"/>
      <c r="C1274" s="243"/>
      <c r="D1274" s="243"/>
      <c r="E1274" s="243"/>
      <c r="F1274" s="243"/>
      <c r="G1274" s="244"/>
      <c r="H1274" s="243"/>
      <c r="I1274" s="243"/>
      <c r="J1274" s="243"/>
      <c r="K1274" s="243"/>
      <c r="L1274" s="243"/>
      <c r="M1274" s="244"/>
      <c r="N1274" s="245" t="s">
        <v>257</v>
      </c>
      <c r="O1274" s="246"/>
      <c r="P1274" s="203" t="s">
        <v>257</v>
      </c>
      <c r="Q1274" s="210" t="s">
        <v>257</v>
      </c>
      <c r="R1274" s="243" t="s">
        <v>257</v>
      </c>
      <c r="S1274" s="247"/>
    </row>
    <row r="1275" spans="1:19" x14ac:dyDescent="0.2">
      <c r="A1275" s="242"/>
      <c r="B1275" s="243"/>
      <c r="C1275" s="243"/>
      <c r="D1275" s="243"/>
      <c r="E1275" s="243"/>
      <c r="F1275" s="243"/>
      <c r="G1275" s="244"/>
      <c r="H1275" s="243"/>
      <c r="I1275" s="243"/>
      <c r="J1275" s="243"/>
      <c r="K1275" s="243"/>
      <c r="L1275" s="243"/>
      <c r="M1275" s="244"/>
      <c r="N1275" s="245" t="s">
        <v>257</v>
      </c>
      <c r="O1275" s="246"/>
      <c r="P1275" s="203" t="s">
        <v>257</v>
      </c>
      <c r="Q1275" s="210" t="s">
        <v>257</v>
      </c>
      <c r="R1275" s="243" t="s">
        <v>257</v>
      </c>
      <c r="S1275" s="247"/>
    </row>
    <row r="1276" spans="1:19" x14ac:dyDescent="0.2">
      <c r="A1276" s="242"/>
      <c r="B1276" s="243"/>
      <c r="C1276" s="243"/>
      <c r="D1276" s="243"/>
      <c r="E1276" s="243"/>
      <c r="F1276" s="243"/>
      <c r="G1276" s="244"/>
      <c r="H1276" s="243"/>
      <c r="I1276" s="243"/>
      <c r="J1276" s="243"/>
      <c r="K1276" s="243"/>
      <c r="L1276" s="243"/>
      <c r="M1276" s="244"/>
      <c r="N1276" s="245" t="s">
        <v>257</v>
      </c>
      <c r="O1276" s="246"/>
      <c r="P1276" s="203" t="s">
        <v>257</v>
      </c>
      <c r="Q1276" s="210" t="s">
        <v>257</v>
      </c>
      <c r="R1276" s="243" t="s">
        <v>257</v>
      </c>
      <c r="S1276" s="247"/>
    </row>
    <row r="1277" spans="1:19" x14ac:dyDescent="0.2">
      <c r="A1277" s="242"/>
      <c r="B1277" s="243"/>
      <c r="C1277" s="243"/>
      <c r="D1277" s="243"/>
      <c r="E1277" s="243"/>
      <c r="F1277" s="243"/>
      <c r="G1277" s="244"/>
      <c r="H1277" s="243"/>
      <c r="I1277" s="243"/>
      <c r="J1277" s="243"/>
      <c r="K1277" s="243"/>
      <c r="L1277" s="243"/>
      <c r="M1277" s="244"/>
      <c r="N1277" s="245" t="s">
        <v>257</v>
      </c>
      <c r="O1277" s="246"/>
      <c r="P1277" s="203" t="s">
        <v>257</v>
      </c>
      <c r="Q1277" s="210" t="s">
        <v>257</v>
      </c>
      <c r="R1277" s="243" t="s">
        <v>257</v>
      </c>
      <c r="S1277" s="247"/>
    </row>
    <row r="1278" spans="1:19" x14ac:dyDescent="0.2">
      <c r="A1278" s="242"/>
      <c r="B1278" s="243"/>
      <c r="C1278" s="243"/>
      <c r="D1278" s="243"/>
      <c r="E1278" s="243"/>
      <c r="F1278" s="243"/>
      <c r="G1278" s="244"/>
      <c r="H1278" s="243"/>
      <c r="I1278" s="243"/>
      <c r="J1278" s="243"/>
      <c r="K1278" s="243"/>
      <c r="L1278" s="243"/>
      <c r="M1278" s="244"/>
      <c r="N1278" s="245" t="s">
        <v>257</v>
      </c>
      <c r="O1278" s="246"/>
      <c r="P1278" s="203" t="s">
        <v>257</v>
      </c>
      <c r="Q1278" s="210" t="s">
        <v>257</v>
      </c>
      <c r="R1278" s="243" t="s">
        <v>257</v>
      </c>
      <c r="S1278" s="247"/>
    </row>
    <row r="1279" spans="1:19" x14ac:dyDescent="0.2">
      <c r="A1279" s="242"/>
      <c r="B1279" s="243"/>
      <c r="C1279" s="243"/>
      <c r="D1279" s="243"/>
      <c r="E1279" s="243"/>
      <c r="F1279" s="243"/>
      <c r="G1279" s="244"/>
      <c r="H1279" s="243"/>
      <c r="I1279" s="243"/>
      <c r="J1279" s="243"/>
      <c r="K1279" s="243"/>
      <c r="L1279" s="243"/>
      <c r="M1279" s="244"/>
      <c r="N1279" s="245" t="s">
        <v>257</v>
      </c>
      <c r="O1279" s="246"/>
      <c r="P1279" s="203" t="s">
        <v>257</v>
      </c>
      <c r="Q1279" s="210" t="s">
        <v>257</v>
      </c>
      <c r="R1279" s="243" t="s">
        <v>257</v>
      </c>
      <c r="S1279" s="247"/>
    </row>
    <row r="1280" spans="1:19" x14ac:dyDescent="0.2">
      <c r="A1280" s="242"/>
      <c r="B1280" s="243"/>
      <c r="C1280" s="243"/>
      <c r="D1280" s="243"/>
      <c r="E1280" s="243"/>
      <c r="F1280" s="243"/>
      <c r="G1280" s="244"/>
      <c r="H1280" s="243"/>
      <c r="I1280" s="243"/>
      <c r="J1280" s="243"/>
      <c r="K1280" s="243"/>
      <c r="L1280" s="243"/>
      <c r="M1280" s="244"/>
      <c r="N1280" s="245" t="s">
        <v>257</v>
      </c>
      <c r="O1280" s="246"/>
      <c r="P1280" s="203" t="s">
        <v>257</v>
      </c>
      <c r="Q1280" s="210" t="s">
        <v>257</v>
      </c>
      <c r="R1280" s="243" t="s">
        <v>257</v>
      </c>
      <c r="S1280" s="247"/>
    </row>
    <row r="1281" spans="1:19" x14ac:dyDescent="0.2">
      <c r="A1281" s="242"/>
      <c r="B1281" s="243"/>
      <c r="C1281" s="243"/>
      <c r="D1281" s="243"/>
      <c r="E1281" s="243"/>
      <c r="F1281" s="243"/>
      <c r="G1281" s="244"/>
      <c r="H1281" s="243"/>
      <c r="I1281" s="243"/>
      <c r="J1281" s="243"/>
      <c r="K1281" s="243"/>
      <c r="L1281" s="243"/>
      <c r="M1281" s="244"/>
      <c r="N1281" s="245" t="s">
        <v>257</v>
      </c>
      <c r="O1281" s="246"/>
      <c r="P1281" s="203" t="s">
        <v>257</v>
      </c>
      <c r="Q1281" s="210" t="s">
        <v>257</v>
      </c>
      <c r="R1281" s="243" t="s">
        <v>257</v>
      </c>
      <c r="S1281" s="247"/>
    </row>
    <row r="1282" spans="1:19" x14ac:dyDescent="0.2">
      <c r="A1282" s="242"/>
      <c r="B1282" s="243"/>
      <c r="C1282" s="243"/>
      <c r="D1282" s="243"/>
      <c r="E1282" s="243"/>
      <c r="F1282" s="243"/>
      <c r="G1282" s="244"/>
      <c r="H1282" s="243"/>
      <c r="I1282" s="243"/>
      <c r="J1282" s="243"/>
      <c r="K1282" s="243"/>
      <c r="L1282" s="243"/>
      <c r="M1282" s="244"/>
      <c r="N1282" s="245" t="s">
        <v>257</v>
      </c>
      <c r="O1282" s="246"/>
      <c r="P1282" s="203" t="s">
        <v>257</v>
      </c>
      <c r="Q1282" s="210" t="s">
        <v>257</v>
      </c>
      <c r="R1282" s="243" t="s">
        <v>257</v>
      </c>
      <c r="S1282" s="247"/>
    </row>
    <row r="1283" spans="1:19" x14ac:dyDescent="0.2">
      <c r="A1283" s="242"/>
      <c r="B1283" s="243"/>
      <c r="C1283" s="243"/>
      <c r="D1283" s="243"/>
      <c r="E1283" s="243"/>
      <c r="F1283" s="243"/>
      <c r="G1283" s="244"/>
      <c r="H1283" s="243"/>
      <c r="I1283" s="243"/>
      <c r="J1283" s="243"/>
      <c r="K1283" s="243"/>
      <c r="L1283" s="243"/>
      <c r="M1283" s="244"/>
      <c r="N1283" s="245" t="s">
        <v>257</v>
      </c>
      <c r="O1283" s="246"/>
      <c r="P1283" s="203" t="s">
        <v>257</v>
      </c>
      <c r="Q1283" s="210" t="s">
        <v>257</v>
      </c>
      <c r="R1283" s="243" t="s">
        <v>257</v>
      </c>
      <c r="S1283" s="247"/>
    </row>
    <row r="1284" spans="1:19" x14ac:dyDescent="0.2">
      <c r="A1284" s="242"/>
      <c r="B1284" s="243"/>
      <c r="C1284" s="243"/>
      <c r="D1284" s="243"/>
      <c r="E1284" s="243"/>
      <c r="F1284" s="243"/>
      <c r="G1284" s="244"/>
      <c r="H1284" s="243"/>
      <c r="I1284" s="243"/>
      <c r="J1284" s="243"/>
      <c r="K1284" s="243"/>
      <c r="L1284" s="243"/>
      <c r="M1284" s="244"/>
      <c r="N1284" s="245" t="s">
        <v>257</v>
      </c>
      <c r="O1284" s="246"/>
      <c r="P1284" s="203" t="s">
        <v>257</v>
      </c>
      <c r="Q1284" s="210" t="s">
        <v>257</v>
      </c>
      <c r="R1284" s="243" t="s">
        <v>257</v>
      </c>
      <c r="S1284" s="247"/>
    </row>
    <row r="1285" spans="1:19" x14ac:dyDescent="0.2">
      <c r="A1285" s="242"/>
      <c r="B1285" s="243"/>
      <c r="C1285" s="243"/>
      <c r="D1285" s="243"/>
      <c r="E1285" s="243"/>
      <c r="F1285" s="243"/>
      <c r="G1285" s="244"/>
      <c r="H1285" s="243"/>
      <c r="I1285" s="243"/>
      <c r="J1285" s="243"/>
      <c r="K1285" s="243"/>
      <c r="L1285" s="243"/>
      <c r="M1285" s="244"/>
      <c r="N1285" s="245" t="s">
        <v>257</v>
      </c>
      <c r="O1285" s="246"/>
      <c r="P1285" s="203" t="s">
        <v>257</v>
      </c>
      <c r="Q1285" s="210" t="s">
        <v>257</v>
      </c>
      <c r="R1285" s="243" t="s">
        <v>257</v>
      </c>
      <c r="S1285" s="247"/>
    </row>
    <row r="1286" spans="1:19" x14ac:dyDescent="0.2">
      <c r="A1286" s="242"/>
      <c r="B1286" s="243"/>
      <c r="C1286" s="243"/>
      <c r="D1286" s="243"/>
      <c r="E1286" s="243"/>
      <c r="F1286" s="243"/>
      <c r="G1286" s="244"/>
      <c r="H1286" s="243"/>
      <c r="I1286" s="243"/>
      <c r="J1286" s="243"/>
      <c r="K1286" s="243"/>
      <c r="L1286" s="243"/>
      <c r="M1286" s="244"/>
      <c r="N1286" s="245" t="s">
        <v>257</v>
      </c>
      <c r="O1286" s="246"/>
      <c r="P1286" s="203" t="s">
        <v>257</v>
      </c>
      <c r="Q1286" s="210" t="s">
        <v>257</v>
      </c>
      <c r="R1286" s="243" t="s">
        <v>257</v>
      </c>
      <c r="S1286" s="247"/>
    </row>
    <row r="1287" spans="1:19" x14ac:dyDescent="0.2">
      <c r="A1287" s="242"/>
      <c r="B1287" s="243"/>
      <c r="C1287" s="243"/>
      <c r="D1287" s="243"/>
      <c r="E1287" s="243"/>
      <c r="F1287" s="243"/>
      <c r="G1287" s="244"/>
      <c r="H1287" s="243"/>
      <c r="I1287" s="243"/>
      <c r="J1287" s="243"/>
      <c r="K1287" s="243"/>
      <c r="L1287" s="243"/>
      <c r="M1287" s="244"/>
      <c r="N1287" s="245" t="s">
        <v>257</v>
      </c>
      <c r="O1287" s="246"/>
      <c r="P1287" s="203" t="s">
        <v>257</v>
      </c>
      <c r="Q1287" s="210" t="s">
        <v>257</v>
      </c>
      <c r="R1287" s="243" t="s">
        <v>257</v>
      </c>
      <c r="S1287" s="247"/>
    </row>
    <row r="1288" spans="1:19" x14ac:dyDescent="0.2">
      <c r="A1288" s="242"/>
      <c r="B1288" s="243"/>
      <c r="C1288" s="243"/>
      <c r="D1288" s="243"/>
      <c r="E1288" s="243"/>
      <c r="F1288" s="243"/>
      <c r="G1288" s="244"/>
      <c r="H1288" s="243"/>
      <c r="I1288" s="243"/>
      <c r="J1288" s="243"/>
      <c r="K1288" s="243"/>
      <c r="L1288" s="243"/>
      <c r="M1288" s="244"/>
      <c r="N1288" s="245" t="s">
        <v>257</v>
      </c>
      <c r="O1288" s="246"/>
      <c r="P1288" s="203" t="s">
        <v>257</v>
      </c>
      <c r="Q1288" s="210" t="s">
        <v>257</v>
      </c>
      <c r="R1288" s="243" t="s">
        <v>257</v>
      </c>
      <c r="S1288" s="247"/>
    </row>
    <row r="1289" spans="1:19" x14ac:dyDescent="0.2">
      <c r="A1289" s="242"/>
      <c r="B1289" s="243"/>
      <c r="C1289" s="243"/>
      <c r="D1289" s="243"/>
      <c r="E1289" s="243"/>
      <c r="F1289" s="243"/>
      <c r="G1289" s="244"/>
      <c r="H1289" s="243"/>
      <c r="I1289" s="243"/>
      <c r="J1289" s="243"/>
      <c r="K1289" s="243"/>
      <c r="L1289" s="243"/>
      <c r="M1289" s="244"/>
      <c r="N1289" s="245" t="s">
        <v>257</v>
      </c>
      <c r="O1289" s="246"/>
      <c r="P1289" s="203" t="s">
        <v>257</v>
      </c>
      <c r="Q1289" s="210" t="s">
        <v>257</v>
      </c>
      <c r="R1289" s="243" t="s">
        <v>257</v>
      </c>
      <c r="S1289" s="247"/>
    </row>
    <row r="1290" spans="1:19" x14ac:dyDescent="0.2">
      <c r="A1290" s="242"/>
      <c r="B1290" s="243"/>
      <c r="C1290" s="243"/>
      <c r="D1290" s="243"/>
      <c r="E1290" s="243"/>
      <c r="F1290" s="243"/>
      <c r="G1290" s="244"/>
      <c r="H1290" s="243"/>
      <c r="I1290" s="243"/>
      <c r="J1290" s="243"/>
      <c r="K1290" s="243"/>
      <c r="L1290" s="243"/>
      <c r="M1290" s="244"/>
      <c r="N1290" s="245" t="s">
        <v>257</v>
      </c>
      <c r="O1290" s="246"/>
      <c r="P1290" s="203" t="s">
        <v>257</v>
      </c>
      <c r="Q1290" s="210" t="s">
        <v>257</v>
      </c>
      <c r="R1290" s="243" t="s">
        <v>257</v>
      </c>
      <c r="S1290" s="247"/>
    </row>
    <row r="1291" spans="1:19" x14ac:dyDescent="0.2">
      <c r="A1291" s="242"/>
      <c r="B1291" s="243"/>
      <c r="C1291" s="243"/>
      <c r="D1291" s="243"/>
      <c r="E1291" s="243"/>
      <c r="F1291" s="243"/>
      <c r="G1291" s="244"/>
      <c r="H1291" s="243"/>
      <c r="I1291" s="243"/>
      <c r="J1291" s="243"/>
      <c r="K1291" s="243"/>
      <c r="L1291" s="243"/>
      <c r="M1291" s="244"/>
      <c r="N1291" s="245" t="s">
        <v>257</v>
      </c>
      <c r="O1291" s="246"/>
      <c r="P1291" s="203" t="s">
        <v>257</v>
      </c>
      <c r="Q1291" s="210" t="s">
        <v>257</v>
      </c>
      <c r="R1291" s="243" t="s">
        <v>257</v>
      </c>
      <c r="S1291" s="247"/>
    </row>
    <row r="1292" spans="1:19" x14ac:dyDescent="0.2">
      <c r="A1292" s="242"/>
      <c r="B1292" s="243"/>
      <c r="C1292" s="243"/>
      <c r="D1292" s="243"/>
      <c r="E1292" s="243"/>
      <c r="F1292" s="243"/>
      <c r="G1292" s="244"/>
      <c r="H1292" s="243"/>
      <c r="I1292" s="243"/>
      <c r="J1292" s="243"/>
      <c r="K1292" s="243"/>
      <c r="L1292" s="243"/>
      <c r="M1292" s="244"/>
      <c r="N1292" s="245" t="s">
        <v>257</v>
      </c>
      <c r="O1292" s="246"/>
      <c r="P1292" s="203" t="s">
        <v>257</v>
      </c>
      <c r="Q1292" s="210" t="s">
        <v>257</v>
      </c>
      <c r="R1292" s="243" t="s">
        <v>257</v>
      </c>
      <c r="S1292" s="247"/>
    </row>
    <row r="1293" spans="1:19" x14ac:dyDescent="0.2">
      <c r="A1293" s="242"/>
      <c r="B1293" s="243"/>
      <c r="C1293" s="243"/>
      <c r="D1293" s="243"/>
      <c r="E1293" s="243"/>
      <c r="F1293" s="243"/>
      <c r="G1293" s="244"/>
      <c r="H1293" s="243"/>
      <c r="I1293" s="243"/>
      <c r="J1293" s="243"/>
      <c r="K1293" s="243"/>
      <c r="L1293" s="243"/>
      <c r="M1293" s="244"/>
      <c r="N1293" s="245" t="s">
        <v>257</v>
      </c>
      <c r="O1293" s="246"/>
      <c r="P1293" s="203" t="s">
        <v>257</v>
      </c>
      <c r="Q1293" s="210" t="s">
        <v>257</v>
      </c>
      <c r="R1293" s="243" t="s">
        <v>257</v>
      </c>
      <c r="S1293" s="247"/>
    </row>
    <row r="1294" spans="1:19" x14ac:dyDescent="0.2">
      <c r="A1294" s="242"/>
      <c r="B1294" s="243"/>
      <c r="C1294" s="243"/>
      <c r="D1294" s="243"/>
      <c r="E1294" s="243"/>
      <c r="F1294" s="243"/>
      <c r="G1294" s="244"/>
      <c r="H1294" s="243"/>
      <c r="I1294" s="243"/>
      <c r="J1294" s="243"/>
      <c r="K1294" s="243"/>
      <c r="L1294" s="243"/>
      <c r="M1294" s="244"/>
      <c r="N1294" s="245" t="s">
        <v>257</v>
      </c>
      <c r="O1294" s="246"/>
      <c r="P1294" s="203" t="s">
        <v>257</v>
      </c>
      <c r="Q1294" s="210" t="s">
        <v>257</v>
      </c>
      <c r="R1294" s="243" t="s">
        <v>257</v>
      </c>
      <c r="S1294" s="247"/>
    </row>
    <row r="1295" spans="1:19" x14ac:dyDescent="0.2">
      <c r="A1295" s="242"/>
      <c r="B1295" s="243"/>
      <c r="C1295" s="243"/>
      <c r="D1295" s="243"/>
      <c r="E1295" s="243"/>
      <c r="F1295" s="243"/>
      <c r="G1295" s="244"/>
      <c r="H1295" s="243"/>
      <c r="I1295" s="243"/>
      <c r="J1295" s="243"/>
      <c r="K1295" s="243"/>
      <c r="L1295" s="243"/>
      <c r="M1295" s="244"/>
      <c r="N1295" s="245" t="s">
        <v>257</v>
      </c>
      <c r="O1295" s="246"/>
      <c r="P1295" s="203" t="s">
        <v>257</v>
      </c>
      <c r="Q1295" s="210" t="s">
        <v>257</v>
      </c>
      <c r="R1295" s="243" t="s">
        <v>257</v>
      </c>
      <c r="S1295" s="247"/>
    </row>
    <row r="1296" spans="1:19" x14ac:dyDescent="0.2">
      <c r="A1296" s="242"/>
      <c r="B1296" s="243"/>
      <c r="C1296" s="243"/>
      <c r="D1296" s="243"/>
      <c r="E1296" s="243"/>
      <c r="F1296" s="243"/>
      <c r="G1296" s="244"/>
      <c r="H1296" s="243"/>
      <c r="I1296" s="243"/>
      <c r="J1296" s="243"/>
      <c r="K1296" s="243"/>
      <c r="L1296" s="243"/>
      <c r="M1296" s="244"/>
      <c r="N1296" s="245" t="s">
        <v>257</v>
      </c>
      <c r="O1296" s="246"/>
      <c r="P1296" s="203" t="s">
        <v>257</v>
      </c>
      <c r="Q1296" s="210" t="s">
        <v>257</v>
      </c>
      <c r="R1296" s="243" t="s">
        <v>257</v>
      </c>
      <c r="S1296" s="247"/>
    </row>
    <row r="1297" spans="1:19" x14ac:dyDescent="0.2">
      <c r="A1297" s="242"/>
      <c r="B1297" s="243"/>
      <c r="C1297" s="243"/>
      <c r="D1297" s="243"/>
      <c r="E1297" s="243"/>
      <c r="F1297" s="243"/>
      <c r="G1297" s="244"/>
      <c r="H1297" s="243"/>
      <c r="I1297" s="243"/>
      <c r="J1297" s="243"/>
      <c r="K1297" s="243"/>
      <c r="L1297" s="243"/>
      <c r="M1297" s="244"/>
      <c r="N1297" s="245" t="s">
        <v>257</v>
      </c>
      <c r="O1297" s="246"/>
      <c r="P1297" s="203" t="s">
        <v>257</v>
      </c>
      <c r="Q1297" s="210" t="s">
        <v>257</v>
      </c>
      <c r="R1297" s="243" t="s">
        <v>257</v>
      </c>
      <c r="S1297" s="247"/>
    </row>
    <row r="1298" spans="1:19" x14ac:dyDescent="0.2">
      <c r="A1298" s="242"/>
      <c r="B1298" s="243"/>
      <c r="C1298" s="243"/>
      <c r="D1298" s="243"/>
      <c r="E1298" s="243"/>
      <c r="F1298" s="243"/>
      <c r="G1298" s="244"/>
      <c r="H1298" s="243"/>
      <c r="I1298" s="243"/>
      <c r="J1298" s="243"/>
      <c r="K1298" s="243"/>
      <c r="L1298" s="243"/>
      <c r="M1298" s="244"/>
      <c r="N1298" s="245" t="s">
        <v>257</v>
      </c>
      <c r="O1298" s="246"/>
      <c r="P1298" s="203" t="s">
        <v>257</v>
      </c>
      <c r="Q1298" s="210" t="s">
        <v>257</v>
      </c>
      <c r="R1298" s="243" t="s">
        <v>257</v>
      </c>
      <c r="S1298" s="247"/>
    </row>
    <row r="1299" spans="1:19" x14ac:dyDescent="0.2">
      <c r="A1299" s="242"/>
      <c r="B1299" s="243"/>
      <c r="C1299" s="243"/>
      <c r="D1299" s="243"/>
      <c r="E1299" s="243"/>
      <c r="F1299" s="243"/>
      <c r="G1299" s="244"/>
      <c r="H1299" s="243"/>
      <c r="I1299" s="243"/>
      <c r="J1299" s="243"/>
      <c r="K1299" s="243"/>
      <c r="L1299" s="243"/>
      <c r="M1299" s="244"/>
      <c r="N1299" s="245" t="s">
        <v>257</v>
      </c>
      <c r="O1299" s="246"/>
      <c r="P1299" s="203" t="s">
        <v>257</v>
      </c>
      <c r="Q1299" s="210" t="s">
        <v>257</v>
      </c>
      <c r="R1299" s="243" t="s">
        <v>257</v>
      </c>
      <c r="S1299" s="247"/>
    </row>
    <row r="1300" spans="1:19" x14ac:dyDescent="0.2">
      <c r="A1300" s="242"/>
      <c r="B1300" s="243"/>
      <c r="C1300" s="243"/>
      <c r="D1300" s="243"/>
      <c r="E1300" s="243"/>
      <c r="F1300" s="243"/>
      <c r="G1300" s="244"/>
      <c r="H1300" s="243"/>
      <c r="I1300" s="243"/>
      <c r="J1300" s="243"/>
      <c r="K1300" s="243"/>
      <c r="L1300" s="243"/>
      <c r="M1300" s="244"/>
      <c r="N1300" s="245" t="s">
        <v>257</v>
      </c>
      <c r="O1300" s="246"/>
      <c r="P1300" s="203" t="s">
        <v>257</v>
      </c>
      <c r="Q1300" s="210" t="s">
        <v>257</v>
      </c>
      <c r="R1300" s="243" t="s">
        <v>257</v>
      </c>
      <c r="S1300" s="247"/>
    </row>
    <row r="1301" spans="1:19" x14ac:dyDescent="0.2">
      <c r="A1301" s="242"/>
      <c r="B1301" s="243"/>
      <c r="C1301" s="243"/>
      <c r="D1301" s="243"/>
      <c r="E1301" s="243"/>
      <c r="F1301" s="243"/>
      <c r="G1301" s="244"/>
      <c r="H1301" s="243"/>
      <c r="I1301" s="243"/>
      <c r="J1301" s="243"/>
      <c r="K1301" s="243"/>
      <c r="L1301" s="243"/>
      <c r="M1301" s="244"/>
      <c r="N1301" s="245" t="s">
        <v>257</v>
      </c>
      <c r="O1301" s="246"/>
      <c r="P1301" s="203" t="s">
        <v>257</v>
      </c>
      <c r="Q1301" s="210" t="s">
        <v>257</v>
      </c>
      <c r="R1301" s="243" t="s">
        <v>257</v>
      </c>
      <c r="S1301" s="247"/>
    </row>
    <row r="1302" spans="1:19" x14ac:dyDescent="0.2">
      <c r="A1302" s="242"/>
      <c r="B1302" s="243"/>
      <c r="C1302" s="243"/>
      <c r="D1302" s="243"/>
      <c r="E1302" s="243"/>
      <c r="F1302" s="243"/>
      <c r="G1302" s="244"/>
      <c r="H1302" s="243"/>
      <c r="I1302" s="243"/>
      <c r="J1302" s="243"/>
      <c r="K1302" s="243"/>
      <c r="L1302" s="243"/>
      <c r="M1302" s="244"/>
      <c r="N1302" s="245" t="s">
        <v>257</v>
      </c>
      <c r="O1302" s="246"/>
      <c r="P1302" s="203" t="s">
        <v>257</v>
      </c>
      <c r="Q1302" s="210" t="s">
        <v>257</v>
      </c>
      <c r="R1302" s="243" t="s">
        <v>257</v>
      </c>
      <c r="S1302" s="247"/>
    </row>
    <row r="1303" spans="1:19" x14ac:dyDescent="0.2">
      <c r="A1303" s="242"/>
      <c r="B1303" s="243"/>
      <c r="C1303" s="243"/>
      <c r="D1303" s="243"/>
      <c r="E1303" s="243"/>
      <c r="F1303" s="243"/>
      <c r="G1303" s="244"/>
      <c r="H1303" s="243"/>
      <c r="I1303" s="243"/>
      <c r="J1303" s="243"/>
      <c r="K1303" s="243"/>
      <c r="L1303" s="243"/>
      <c r="M1303" s="244"/>
      <c r="N1303" s="245" t="s">
        <v>257</v>
      </c>
      <c r="O1303" s="246"/>
      <c r="P1303" s="203" t="s">
        <v>257</v>
      </c>
      <c r="Q1303" s="210" t="s">
        <v>257</v>
      </c>
      <c r="R1303" s="243" t="s">
        <v>257</v>
      </c>
      <c r="S1303" s="247"/>
    </row>
    <row r="1304" spans="1:19" x14ac:dyDescent="0.2">
      <c r="A1304" s="242"/>
      <c r="B1304" s="243"/>
      <c r="C1304" s="243"/>
      <c r="D1304" s="243"/>
      <c r="E1304" s="243"/>
      <c r="F1304" s="243"/>
      <c r="G1304" s="244"/>
      <c r="H1304" s="243"/>
      <c r="I1304" s="243"/>
      <c r="J1304" s="243"/>
      <c r="K1304" s="243"/>
      <c r="L1304" s="243"/>
      <c r="M1304" s="244"/>
      <c r="N1304" s="245" t="s">
        <v>257</v>
      </c>
      <c r="O1304" s="246"/>
      <c r="P1304" s="203" t="s">
        <v>257</v>
      </c>
      <c r="Q1304" s="210" t="s">
        <v>257</v>
      </c>
      <c r="R1304" s="243" t="s">
        <v>257</v>
      </c>
      <c r="S1304" s="247"/>
    </row>
    <row r="1305" spans="1:19" x14ac:dyDescent="0.2">
      <c r="A1305" s="242"/>
      <c r="B1305" s="243"/>
      <c r="C1305" s="243"/>
      <c r="D1305" s="243"/>
      <c r="E1305" s="243"/>
      <c r="F1305" s="243"/>
      <c r="G1305" s="244"/>
      <c r="H1305" s="243"/>
      <c r="I1305" s="243"/>
      <c r="J1305" s="243"/>
      <c r="K1305" s="243"/>
      <c r="L1305" s="243"/>
      <c r="M1305" s="244"/>
      <c r="N1305" s="245" t="s">
        <v>257</v>
      </c>
      <c r="O1305" s="246"/>
      <c r="P1305" s="203" t="s">
        <v>257</v>
      </c>
      <c r="Q1305" s="210" t="s">
        <v>257</v>
      </c>
      <c r="R1305" s="243" t="s">
        <v>257</v>
      </c>
      <c r="S1305" s="247"/>
    </row>
    <row r="1306" spans="1:19" x14ac:dyDescent="0.2">
      <c r="A1306" s="242"/>
      <c r="B1306" s="243"/>
      <c r="C1306" s="243"/>
      <c r="D1306" s="243"/>
      <c r="E1306" s="243"/>
      <c r="F1306" s="243"/>
      <c r="G1306" s="244"/>
      <c r="H1306" s="243"/>
      <c r="I1306" s="243"/>
      <c r="J1306" s="243"/>
      <c r="K1306" s="243"/>
      <c r="L1306" s="243"/>
      <c r="M1306" s="244"/>
      <c r="N1306" s="245" t="s">
        <v>257</v>
      </c>
      <c r="O1306" s="246"/>
      <c r="P1306" s="203" t="s">
        <v>257</v>
      </c>
      <c r="Q1306" s="210" t="s">
        <v>257</v>
      </c>
      <c r="R1306" s="243" t="s">
        <v>257</v>
      </c>
      <c r="S1306" s="247"/>
    </row>
    <row r="1307" spans="1:19" x14ac:dyDescent="0.2">
      <c r="A1307" s="242"/>
      <c r="B1307" s="243"/>
      <c r="C1307" s="243"/>
      <c r="D1307" s="243"/>
      <c r="E1307" s="243"/>
      <c r="F1307" s="243"/>
      <c r="G1307" s="244"/>
      <c r="H1307" s="243"/>
      <c r="I1307" s="243"/>
      <c r="J1307" s="243"/>
      <c r="K1307" s="243"/>
      <c r="L1307" s="243"/>
      <c r="M1307" s="244"/>
      <c r="N1307" s="245" t="s">
        <v>257</v>
      </c>
      <c r="O1307" s="246"/>
      <c r="P1307" s="203" t="s">
        <v>257</v>
      </c>
      <c r="Q1307" s="210" t="s">
        <v>257</v>
      </c>
      <c r="R1307" s="243" t="s">
        <v>257</v>
      </c>
      <c r="S1307" s="247"/>
    </row>
    <row r="1308" spans="1:19" x14ac:dyDescent="0.2">
      <c r="A1308" s="242"/>
      <c r="B1308" s="243"/>
      <c r="C1308" s="243"/>
      <c r="D1308" s="243"/>
      <c r="E1308" s="243"/>
      <c r="F1308" s="243"/>
      <c r="G1308" s="244"/>
      <c r="H1308" s="243"/>
      <c r="I1308" s="243"/>
      <c r="J1308" s="243"/>
      <c r="K1308" s="243"/>
      <c r="L1308" s="243"/>
      <c r="M1308" s="244"/>
      <c r="N1308" s="245" t="s">
        <v>257</v>
      </c>
      <c r="O1308" s="246"/>
      <c r="P1308" s="203" t="s">
        <v>257</v>
      </c>
      <c r="Q1308" s="210" t="s">
        <v>257</v>
      </c>
      <c r="R1308" s="243" t="s">
        <v>257</v>
      </c>
      <c r="S1308" s="247"/>
    </row>
    <row r="1309" spans="1:19" x14ac:dyDescent="0.2">
      <c r="A1309" s="242"/>
      <c r="B1309" s="243"/>
      <c r="C1309" s="243"/>
      <c r="D1309" s="243"/>
      <c r="E1309" s="243"/>
      <c r="F1309" s="243"/>
      <c r="G1309" s="244"/>
      <c r="H1309" s="243"/>
      <c r="I1309" s="243"/>
      <c r="J1309" s="243"/>
      <c r="K1309" s="243"/>
      <c r="L1309" s="243"/>
      <c r="M1309" s="244"/>
      <c r="N1309" s="245" t="s">
        <v>257</v>
      </c>
      <c r="O1309" s="246"/>
      <c r="P1309" s="203" t="s">
        <v>257</v>
      </c>
      <c r="Q1309" s="210" t="s">
        <v>257</v>
      </c>
      <c r="R1309" s="243" t="s">
        <v>257</v>
      </c>
      <c r="S1309" s="247"/>
    </row>
    <row r="1310" spans="1:19" x14ac:dyDescent="0.2">
      <c r="A1310" s="242"/>
      <c r="B1310" s="243"/>
      <c r="C1310" s="243"/>
      <c r="D1310" s="243"/>
      <c r="E1310" s="243"/>
      <c r="F1310" s="243"/>
      <c r="G1310" s="244"/>
      <c r="H1310" s="243"/>
      <c r="I1310" s="243"/>
      <c r="J1310" s="243"/>
      <c r="K1310" s="243"/>
      <c r="L1310" s="243"/>
      <c r="M1310" s="244"/>
      <c r="N1310" s="245" t="s">
        <v>257</v>
      </c>
      <c r="O1310" s="246"/>
      <c r="P1310" s="203" t="s">
        <v>257</v>
      </c>
      <c r="Q1310" s="210" t="s">
        <v>257</v>
      </c>
      <c r="R1310" s="243" t="s">
        <v>257</v>
      </c>
      <c r="S1310" s="247"/>
    </row>
    <row r="1311" spans="1:19" x14ac:dyDescent="0.2">
      <c r="A1311" s="242"/>
      <c r="B1311" s="243"/>
      <c r="C1311" s="243"/>
      <c r="D1311" s="243"/>
      <c r="E1311" s="243"/>
      <c r="F1311" s="243"/>
      <c r="G1311" s="244"/>
      <c r="H1311" s="243"/>
      <c r="I1311" s="243"/>
      <c r="J1311" s="243"/>
      <c r="K1311" s="243"/>
      <c r="L1311" s="243"/>
      <c r="M1311" s="244"/>
      <c r="N1311" s="245" t="s">
        <v>257</v>
      </c>
      <c r="O1311" s="246"/>
      <c r="P1311" s="203" t="s">
        <v>257</v>
      </c>
      <c r="Q1311" s="210" t="s">
        <v>257</v>
      </c>
      <c r="R1311" s="243" t="s">
        <v>257</v>
      </c>
      <c r="S1311" s="247"/>
    </row>
    <row r="1312" spans="1:19" x14ac:dyDescent="0.2">
      <c r="A1312" s="242"/>
      <c r="B1312" s="243"/>
      <c r="C1312" s="243"/>
      <c r="D1312" s="243"/>
      <c r="E1312" s="243"/>
      <c r="F1312" s="243"/>
      <c r="G1312" s="244"/>
      <c r="H1312" s="243"/>
      <c r="I1312" s="243"/>
      <c r="J1312" s="243"/>
      <c r="K1312" s="243"/>
      <c r="L1312" s="243"/>
      <c r="M1312" s="244"/>
      <c r="N1312" s="245" t="s">
        <v>257</v>
      </c>
      <c r="O1312" s="246"/>
      <c r="P1312" s="203" t="s">
        <v>257</v>
      </c>
      <c r="Q1312" s="210" t="s">
        <v>257</v>
      </c>
      <c r="R1312" s="243" t="s">
        <v>257</v>
      </c>
      <c r="S1312" s="247"/>
    </row>
    <row r="1313" spans="1:19" x14ac:dyDescent="0.2">
      <c r="A1313" s="242"/>
      <c r="B1313" s="243"/>
      <c r="C1313" s="243"/>
      <c r="D1313" s="243"/>
      <c r="E1313" s="243"/>
      <c r="F1313" s="243"/>
      <c r="G1313" s="244"/>
      <c r="H1313" s="243"/>
      <c r="I1313" s="243"/>
      <c r="J1313" s="243"/>
      <c r="K1313" s="243"/>
      <c r="L1313" s="243"/>
      <c r="M1313" s="244"/>
      <c r="N1313" s="245" t="s">
        <v>257</v>
      </c>
      <c r="O1313" s="246"/>
      <c r="P1313" s="203" t="s">
        <v>257</v>
      </c>
      <c r="Q1313" s="210" t="s">
        <v>257</v>
      </c>
      <c r="R1313" s="243" t="s">
        <v>257</v>
      </c>
      <c r="S1313" s="247"/>
    </row>
    <row r="1314" spans="1:19" x14ac:dyDescent="0.2">
      <c r="A1314" s="242"/>
      <c r="B1314" s="243"/>
      <c r="C1314" s="243"/>
      <c r="D1314" s="243"/>
      <c r="E1314" s="243"/>
      <c r="F1314" s="243"/>
      <c r="G1314" s="244"/>
      <c r="H1314" s="243"/>
      <c r="I1314" s="243"/>
      <c r="J1314" s="243"/>
      <c r="K1314" s="243"/>
      <c r="L1314" s="243"/>
      <c r="M1314" s="244"/>
      <c r="N1314" s="245" t="s">
        <v>257</v>
      </c>
      <c r="O1314" s="246"/>
      <c r="P1314" s="203" t="s">
        <v>257</v>
      </c>
      <c r="Q1314" s="210" t="s">
        <v>257</v>
      </c>
      <c r="R1314" s="243" t="s">
        <v>257</v>
      </c>
      <c r="S1314" s="247"/>
    </row>
    <row r="1315" spans="1:19" x14ac:dyDescent="0.2">
      <c r="A1315" s="242"/>
      <c r="B1315" s="243"/>
      <c r="C1315" s="243"/>
      <c r="D1315" s="243"/>
      <c r="E1315" s="243"/>
      <c r="F1315" s="243"/>
      <c r="G1315" s="244"/>
      <c r="H1315" s="243"/>
      <c r="I1315" s="243"/>
      <c r="J1315" s="243"/>
      <c r="K1315" s="243"/>
      <c r="L1315" s="243"/>
      <c r="M1315" s="244"/>
      <c r="N1315" s="245" t="s">
        <v>257</v>
      </c>
      <c r="O1315" s="246"/>
      <c r="P1315" s="203" t="s">
        <v>257</v>
      </c>
      <c r="Q1315" s="210" t="s">
        <v>257</v>
      </c>
      <c r="R1315" s="243" t="s">
        <v>257</v>
      </c>
      <c r="S1315" s="247"/>
    </row>
    <row r="1316" spans="1:19" x14ac:dyDescent="0.2">
      <c r="A1316" s="242"/>
      <c r="B1316" s="243"/>
      <c r="C1316" s="243"/>
      <c r="D1316" s="243"/>
      <c r="E1316" s="243"/>
      <c r="F1316" s="243"/>
      <c r="G1316" s="244"/>
      <c r="H1316" s="243"/>
      <c r="I1316" s="243"/>
      <c r="J1316" s="243"/>
      <c r="K1316" s="243"/>
      <c r="L1316" s="243"/>
      <c r="M1316" s="244"/>
      <c r="N1316" s="245" t="s">
        <v>257</v>
      </c>
      <c r="O1316" s="246"/>
      <c r="P1316" s="203" t="s">
        <v>257</v>
      </c>
      <c r="Q1316" s="210" t="s">
        <v>257</v>
      </c>
      <c r="R1316" s="243" t="s">
        <v>257</v>
      </c>
      <c r="S1316" s="247"/>
    </row>
    <row r="1317" spans="1:19" x14ac:dyDescent="0.2">
      <c r="A1317" s="242"/>
      <c r="B1317" s="243"/>
      <c r="C1317" s="243"/>
      <c r="D1317" s="243"/>
      <c r="E1317" s="243"/>
      <c r="F1317" s="243"/>
      <c r="G1317" s="244"/>
      <c r="H1317" s="243"/>
      <c r="I1317" s="243"/>
      <c r="J1317" s="243"/>
      <c r="K1317" s="243"/>
      <c r="L1317" s="243"/>
      <c r="M1317" s="244"/>
      <c r="N1317" s="245" t="s">
        <v>257</v>
      </c>
      <c r="O1317" s="246"/>
      <c r="P1317" s="203" t="s">
        <v>257</v>
      </c>
      <c r="Q1317" s="210" t="s">
        <v>257</v>
      </c>
      <c r="R1317" s="243" t="s">
        <v>257</v>
      </c>
      <c r="S1317" s="247"/>
    </row>
    <row r="1318" spans="1:19" x14ac:dyDescent="0.2">
      <c r="A1318" s="242"/>
      <c r="B1318" s="243"/>
      <c r="C1318" s="243"/>
      <c r="D1318" s="243"/>
      <c r="E1318" s="243"/>
      <c r="F1318" s="243"/>
      <c r="G1318" s="244"/>
      <c r="H1318" s="243"/>
      <c r="I1318" s="243"/>
      <c r="J1318" s="243"/>
      <c r="K1318" s="243"/>
      <c r="L1318" s="243"/>
      <c r="M1318" s="244"/>
      <c r="N1318" s="245" t="s">
        <v>257</v>
      </c>
      <c r="O1318" s="246"/>
      <c r="P1318" s="203" t="s">
        <v>257</v>
      </c>
      <c r="Q1318" s="210" t="s">
        <v>257</v>
      </c>
      <c r="R1318" s="243" t="s">
        <v>257</v>
      </c>
      <c r="S1318" s="247"/>
    </row>
    <row r="1319" spans="1:19" x14ac:dyDescent="0.2">
      <c r="A1319" s="242"/>
      <c r="B1319" s="243"/>
      <c r="C1319" s="243"/>
      <c r="D1319" s="243"/>
      <c r="E1319" s="243"/>
      <c r="F1319" s="243"/>
      <c r="G1319" s="244"/>
      <c r="H1319" s="243"/>
      <c r="I1319" s="243"/>
      <c r="J1319" s="243"/>
      <c r="K1319" s="243"/>
      <c r="L1319" s="243"/>
      <c r="M1319" s="244"/>
      <c r="N1319" s="245" t="s">
        <v>257</v>
      </c>
      <c r="O1319" s="246"/>
      <c r="P1319" s="203" t="s">
        <v>257</v>
      </c>
      <c r="Q1319" s="210" t="s">
        <v>257</v>
      </c>
      <c r="R1319" s="243" t="s">
        <v>257</v>
      </c>
      <c r="S1319" s="247"/>
    </row>
    <row r="1320" spans="1:19" x14ac:dyDescent="0.2">
      <c r="A1320" s="242"/>
      <c r="B1320" s="243"/>
      <c r="C1320" s="243"/>
      <c r="D1320" s="243"/>
      <c r="E1320" s="243"/>
      <c r="F1320" s="243"/>
      <c r="G1320" s="244"/>
      <c r="H1320" s="243"/>
      <c r="I1320" s="243"/>
      <c r="J1320" s="243"/>
      <c r="K1320" s="243"/>
      <c r="L1320" s="243"/>
      <c r="M1320" s="244"/>
      <c r="N1320" s="245" t="s">
        <v>257</v>
      </c>
      <c r="O1320" s="246"/>
      <c r="P1320" s="203" t="s">
        <v>257</v>
      </c>
      <c r="Q1320" s="210" t="s">
        <v>257</v>
      </c>
      <c r="R1320" s="243" t="s">
        <v>257</v>
      </c>
      <c r="S1320" s="247"/>
    </row>
    <row r="1321" spans="1:19" x14ac:dyDescent="0.2">
      <c r="A1321" s="242"/>
      <c r="B1321" s="243"/>
      <c r="C1321" s="243"/>
      <c r="D1321" s="243"/>
      <c r="E1321" s="243"/>
      <c r="F1321" s="243"/>
      <c r="G1321" s="244"/>
      <c r="H1321" s="243"/>
      <c r="I1321" s="243"/>
      <c r="J1321" s="243"/>
      <c r="K1321" s="243"/>
      <c r="L1321" s="243"/>
      <c r="M1321" s="244"/>
      <c r="N1321" s="245" t="s">
        <v>257</v>
      </c>
      <c r="O1321" s="246"/>
      <c r="P1321" s="203" t="s">
        <v>257</v>
      </c>
      <c r="Q1321" s="210" t="s">
        <v>257</v>
      </c>
      <c r="R1321" s="243" t="s">
        <v>257</v>
      </c>
      <c r="S1321" s="247"/>
    </row>
    <row r="1322" spans="1:19" x14ac:dyDescent="0.2">
      <c r="A1322" s="242"/>
      <c r="B1322" s="243"/>
      <c r="C1322" s="243"/>
      <c r="D1322" s="243"/>
      <c r="E1322" s="243"/>
      <c r="F1322" s="243"/>
      <c r="G1322" s="244"/>
      <c r="H1322" s="243"/>
      <c r="I1322" s="243"/>
      <c r="J1322" s="243"/>
      <c r="K1322" s="243"/>
      <c r="L1322" s="243"/>
      <c r="M1322" s="244"/>
      <c r="N1322" s="245" t="s">
        <v>257</v>
      </c>
      <c r="O1322" s="246"/>
      <c r="P1322" s="203" t="s">
        <v>257</v>
      </c>
      <c r="Q1322" s="210" t="s">
        <v>257</v>
      </c>
      <c r="R1322" s="243" t="s">
        <v>257</v>
      </c>
      <c r="S1322" s="247"/>
    </row>
    <row r="1323" spans="1:19" x14ac:dyDescent="0.2">
      <c r="A1323" s="242"/>
      <c r="B1323" s="243"/>
      <c r="C1323" s="243"/>
      <c r="D1323" s="243"/>
      <c r="E1323" s="243"/>
      <c r="F1323" s="243"/>
      <c r="G1323" s="244"/>
      <c r="H1323" s="243"/>
      <c r="I1323" s="243"/>
      <c r="J1323" s="243"/>
      <c r="K1323" s="243"/>
      <c r="L1323" s="243"/>
      <c r="M1323" s="244"/>
      <c r="N1323" s="245" t="s">
        <v>257</v>
      </c>
      <c r="O1323" s="246"/>
      <c r="P1323" s="203" t="s">
        <v>257</v>
      </c>
      <c r="Q1323" s="210" t="s">
        <v>257</v>
      </c>
      <c r="R1323" s="243" t="s">
        <v>257</v>
      </c>
      <c r="S1323" s="247"/>
    </row>
    <row r="1324" spans="1:19" x14ac:dyDescent="0.2">
      <c r="A1324" s="242"/>
      <c r="B1324" s="243"/>
      <c r="C1324" s="243"/>
      <c r="D1324" s="243"/>
      <c r="E1324" s="243"/>
      <c r="F1324" s="243"/>
      <c r="G1324" s="244"/>
      <c r="H1324" s="243"/>
      <c r="I1324" s="243"/>
      <c r="J1324" s="243"/>
      <c r="K1324" s="243"/>
      <c r="L1324" s="243"/>
      <c r="M1324" s="244"/>
      <c r="N1324" s="245" t="s">
        <v>257</v>
      </c>
      <c r="O1324" s="246"/>
      <c r="P1324" s="203" t="s">
        <v>257</v>
      </c>
      <c r="Q1324" s="210" t="s">
        <v>257</v>
      </c>
      <c r="R1324" s="243" t="s">
        <v>257</v>
      </c>
      <c r="S1324" s="247"/>
    </row>
    <row r="1325" spans="1:19" x14ac:dyDescent="0.2">
      <c r="A1325" s="242"/>
      <c r="B1325" s="243"/>
      <c r="C1325" s="243"/>
      <c r="D1325" s="243"/>
      <c r="E1325" s="243"/>
      <c r="F1325" s="243"/>
      <c r="G1325" s="244"/>
      <c r="H1325" s="243"/>
      <c r="I1325" s="243"/>
      <c r="J1325" s="243"/>
      <c r="K1325" s="243"/>
      <c r="L1325" s="243"/>
      <c r="M1325" s="244"/>
      <c r="N1325" s="245" t="s">
        <v>257</v>
      </c>
      <c r="O1325" s="246"/>
      <c r="P1325" s="203" t="s">
        <v>257</v>
      </c>
      <c r="Q1325" s="210" t="s">
        <v>257</v>
      </c>
      <c r="R1325" s="243" t="s">
        <v>257</v>
      </c>
      <c r="S1325" s="247"/>
    </row>
    <row r="1326" spans="1:19" x14ac:dyDescent="0.2">
      <c r="A1326" s="242"/>
      <c r="B1326" s="243"/>
      <c r="C1326" s="243"/>
      <c r="D1326" s="243"/>
      <c r="E1326" s="243"/>
      <c r="F1326" s="243"/>
      <c r="G1326" s="244"/>
      <c r="H1326" s="243"/>
      <c r="I1326" s="243"/>
      <c r="J1326" s="243"/>
      <c r="K1326" s="243"/>
      <c r="L1326" s="243"/>
      <c r="M1326" s="244"/>
      <c r="N1326" s="245" t="s">
        <v>257</v>
      </c>
      <c r="O1326" s="246"/>
      <c r="P1326" s="203" t="s">
        <v>257</v>
      </c>
      <c r="Q1326" s="210" t="s">
        <v>257</v>
      </c>
      <c r="R1326" s="243" t="s">
        <v>257</v>
      </c>
      <c r="S1326" s="247"/>
    </row>
    <row r="1327" spans="1:19" x14ac:dyDescent="0.2">
      <c r="A1327" s="242"/>
      <c r="B1327" s="243"/>
      <c r="C1327" s="243"/>
      <c r="D1327" s="243"/>
      <c r="E1327" s="243"/>
      <c r="F1327" s="243"/>
      <c r="G1327" s="244"/>
      <c r="H1327" s="243"/>
      <c r="I1327" s="243"/>
      <c r="J1327" s="243"/>
      <c r="K1327" s="243"/>
      <c r="L1327" s="243"/>
      <c r="M1327" s="244"/>
      <c r="N1327" s="245" t="s">
        <v>257</v>
      </c>
      <c r="O1327" s="246"/>
      <c r="P1327" s="203" t="s">
        <v>257</v>
      </c>
      <c r="Q1327" s="210" t="s">
        <v>257</v>
      </c>
      <c r="R1327" s="243" t="s">
        <v>257</v>
      </c>
      <c r="S1327" s="247"/>
    </row>
    <row r="1328" spans="1:19" x14ac:dyDescent="0.2">
      <c r="A1328" s="242"/>
      <c r="B1328" s="243"/>
      <c r="C1328" s="243"/>
      <c r="D1328" s="243"/>
      <c r="E1328" s="243"/>
      <c r="F1328" s="243"/>
      <c r="G1328" s="244"/>
      <c r="H1328" s="243"/>
      <c r="I1328" s="243"/>
      <c r="J1328" s="243"/>
      <c r="K1328" s="243"/>
      <c r="L1328" s="243"/>
      <c r="M1328" s="244"/>
      <c r="N1328" s="245" t="s">
        <v>257</v>
      </c>
      <c r="O1328" s="246"/>
      <c r="P1328" s="203" t="s">
        <v>257</v>
      </c>
      <c r="Q1328" s="210" t="s">
        <v>257</v>
      </c>
      <c r="R1328" s="243" t="s">
        <v>257</v>
      </c>
      <c r="S1328" s="247"/>
    </row>
    <row r="1329" spans="1:19" x14ac:dyDescent="0.2">
      <c r="A1329" s="242"/>
      <c r="B1329" s="243"/>
      <c r="C1329" s="243"/>
      <c r="D1329" s="243"/>
      <c r="E1329" s="243"/>
      <c r="F1329" s="243"/>
      <c r="G1329" s="244"/>
      <c r="H1329" s="243"/>
      <c r="I1329" s="243"/>
      <c r="J1329" s="243"/>
      <c r="K1329" s="243"/>
      <c r="L1329" s="243"/>
      <c r="M1329" s="244"/>
      <c r="N1329" s="245" t="s">
        <v>257</v>
      </c>
      <c r="O1329" s="246"/>
      <c r="P1329" s="203" t="s">
        <v>257</v>
      </c>
      <c r="Q1329" s="210" t="s">
        <v>257</v>
      </c>
      <c r="R1329" s="243" t="s">
        <v>257</v>
      </c>
      <c r="S1329" s="247"/>
    </row>
    <row r="1330" spans="1:19" x14ac:dyDescent="0.2">
      <c r="A1330" s="242"/>
      <c r="B1330" s="243"/>
      <c r="C1330" s="243"/>
      <c r="D1330" s="243"/>
      <c r="E1330" s="243"/>
      <c r="F1330" s="243"/>
      <c r="G1330" s="244"/>
      <c r="H1330" s="243"/>
      <c r="I1330" s="243"/>
      <c r="J1330" s="243"/>
      <c r="K1330" s="243"/>
      <c r="L1330" s="243"/>
      <c r="M1330" s="244"/>
      <c r="N1330" s="245" t="s">
        <v>257</v>
      </c>
      <c r="O1330" s="246"/>
      <c r="P1330" s="203" t="s">
        <v>257</v>
      </c>
      <c r="Q1330" s="210" t="s">
        <v>257</v>
      </c>
      <c r="R1330" s="243" t="s">
        <v>257</v>
      </c>
      <c r="S1330" s="247"/>
    </row>
    <row r="1331" spans="1:19" x14ac:dyDescent="0.2">
      <c r="A1331" s="242"/>
      <c r="B1331" s="243"/>
      <c r="C1331" s="243"/>
      <c r="D1331" s="243"/>
      <c r="E1331" s="243"/>
      <c r="F1331" s="243"/>
      <c r="G1331" s="244"/>
      <c r="H1331" s="243"/>
      <c r="I1331" s="243"/>
      <c r="J1331" s="243"/>
      <c r="K1331" s="243"/>
      <c r="L1331" s="243"/>
      <c r="M1331" s="244"/>
      <c r="N1331" s="245" t="s">
        <v>257</v>
      </c>
      <c r="O1331" s="246"/>
      <c r="P1331" s="203" t="s">
        <v>257</v>
      </c>
      <c r="Q1331" s="210" t="s">
        <v>257</v>
      </c>
      <c r="R1331" s="243" t="s">
        <v>257</v>
      </c>
      <c r="S1331" s="247"/>
    </row>
    <row r="1332" spans="1:19" x14ac:dyDescent="0.2">
      <c r="A1332" s="242"/>
      <c r="B1332" s="243"/>
      <c r="C1332" s="243"/>
      <c r="D1332" s="243"/>
      <c r="E1332" s="243"/>
      <c r="F1332" s="243"/>
      <c r="G1332" s="244"/>
      <c r="H1332" s="243"/>
      <c r="I1332" s="243"/>
      <c r="J1332" s="243"/>
      <c r="K1332" s="243"/>
      <c r="L1332" s="243"/>
      <c r="M1332" s="244"/>
      <c r="N1332" s="245" t="s">
        <v>257</v>
      </c>
      <c r="O1332" s="246"/>
      <c r="P1332" s="203" t="s">
        <v>257</v>
      </c>
      <c r="Q1332" s="210" t="s">
        <v>257</v>
      </c>
      <c r="R1332" s="243" t="s">
        <v>257</v>
      </c>
      <c r="S1332" s="247"/>
    </row>
    <row r="1333" spans="1:19" x14ac:dyDescent="0.2">
      <c r="A1333" s="242"/>
      <c r="B1333" s="243"/>
      <c r="C1333" s="243"/>
      <c r="D1333" s="243"/>
      <c r="E1333" s="243"/>
      <c r="F1333" s="243"/>
      <c r="G1333" s="244"/>
      <c r="H1333" s="243"/>
      <c r="I1333" s="243"/>
      <c r="J1333" s="243"/>
      <c r="K1333" s="243"/>
      <c r="L1333" s="243"/>
      <c r="M1333" s="244"/>
      <c r="N1333" s="245" t="s">
        <v>257</v>
      </c>
      <c r="O1333" s="246"/>
      <c r="P1333" s="203" t="s">
        <v>257</v>
      </c>
      <c r="Q1333" s="210" t="s">
        <v>257</v>
      </c>
      <c r="R1333" s="243" t="s">
        <v>257</v>
      </c>
      <c r="S1333" s="247"/>
    </row>
    <row r="1334" spans="1:19" x14ac:dyDescent="0.2">
      <c r="A1334" s="242"/>
      <c r="B1334" s="243"/>
      <c r="C1334" s="243"/>
      <c r="D1334" s="243"/>
      <c r="E1334" s="243"/>
      <c r="F1334" s="243"/>
      <c r="G1334" s="244"/>
      <c r="H1334" s="243"/>
      <c r="I1334" s="243"/>
      <c r="J1334" s="243"/>
      <c r="K1334" s="243"/>
      <c r="L1334" s="243"/>
      <c r="M1334" s="244"/>
      <c r="N1334" s="245" t="s">
        <v>257</v>
      </c>
      <c r="O1334" s="246"/>
      <c r="P1334" s="203" t="s">
        <v>257</v>
      </c>
      <c r="Q1334" s="210" t="s">
        <v>257</v>
      </c>
      <c r="R1334" s="243" t="s">
        <v>257</v>
      </c>
      <c r="S1334" s="247"/>
    </row>
    <row r="1335" spans="1:19" x14ac:dyDescent="0.2">
      <c r="A1335" s="242"/>
      <c r="B1335" s="243"/>
      <c r="C1335" s="243"/>
      <c r="D1335" s="243"/>
      <c r="E1335" s="243"/>
      <c r="F1335" s="243"/>
      <c r="G1335" s="244"/>
      <c r="H1335" s="243"/>
      <c r="I1335" s="243"/>
      <c r="J1335" s="243"/>
      <c r="K1335" s="243"/>
      <c r="L1335" s="243"/>
      <c r="M1335" s="244"/>
      <c r="N1335" s="245" t="s">
        <v>257</v>
      </c>
      <c r="O1335" s="246"/>
      <c r="P1335" s="203" t="s">
        <v>257</v>
      </c>
      <c r="Q1335" s="210" t="s">
        <v>257</v>
      </c>
      <c r="R1335" s="243" t="s">
        <v>257</v>
      </c>
      <c r="S1335" s="247"/>
    </row>
    <row r="1336" spans="1:19" x14ac:dyDescent="0.2">
      <c r="A1336" s="242"/>
      <c r="B1336" s="243"/>
      <c r="C1336" s="243"/>
      <c r="D1336" s="243"/>
      <c r="E1336" s="243"/>
      <c r="F1336" s="243"/>
      <c r="G1336" s="244"/>
      <c r="H1336" s="243"/>
      <c r="I1336" s="243"/>
      <c r="J1336" s="243"/>
      <c r="K1336" s="243"/>
      <c r="L1336" s="243"/>
      <c r="M1336" s="244"/>
      <c r="N1336" s="245" t="s">
        <v>257</v>
      </c>
      <c r="O1336" s="246"/>
      <c r="P1336" s="203" t="s">
        <v>257</v>
      </c>
      <c r="Q1336" s="210" t="s">
        <v>257</v>
      </c>
      <c r="R1336" s="243" t="s">
        <v>257</v>
      </c>
      <c r="S1336" s="247"/>
    </row>
    <row r="1337" spans="1:19" x14ac:dyDescent="0.2">
      <c r="A1337" s="242"/>
      <c r="B1337" s="243"/>
      <c r="C1337" s="243"/>
      <c r="D1337" s="243"/>
      <c r="E1337" s="243"/>
      <c r="F1337" s="243"/>
      <c r="G1337" s="244"/>
      <c r="H1337" s="243"/>
      <c r="I1337" s="243"/>
      <c r="J1337" s="243"/>
      <c r="K1337" s="243"/>
      <c r="L1337" s="243"/>
      <c r="M1337" s="244"/>
      <c r="N1337" s="245" t="s">
        <v>257</v>
      </c>
      <c r="O1337" s="246"/>
      <c r="P1337" s="203" t="s">
        <v>257</v>
      </c>
      <c r="Q1337" s="210" t="s">
        <v>257</v>
      </c>
      <c r="R1337" s="243" t="s">
        <v>257</v>
      </c>
      <c r="S1337" s="247"/>
    </row>
    <row r="1338" spans="1:19" x14ac:dyDescent="0.2">
      <c r="A1338" s="242"/>
      <c r="B1338" s="243"/>
      <c r="C1338" s="243"/>
      <c r="D1338" s="243"/>
      <c r="E1338" s="243"/>
      <c r="F1338" s="243"/>
      <c r="G1338" s="244"/>
      <c r="H1338" s="243"/>
      <c r="I1338" s="243"/>
      <c r="J1338" s="243"/>
      <c r="K1338" s="243"/>
      <c r="L1338" s="243"/>
      <c r="M1338" s="244"/>
      <c r="N1338" s="245" t="s">
        <v>257</v>
      </c>
      <c r="O1338" s="246"/>
      <c r="P1338" s="203" t="s">
        <v>257</v>
      </c>
      <c r="Q1338" s="210" t="s">
        <v>257</v>
      </c>
      <c r="R1338" s="243" t="s">
        <v>257</v>
      </c>
      <c r="S1338" s="247"/>
    </row>
    <row r="1339" spans="1:19" x14ac:dyDescent="0.2">
      <c r="A1339" s="242"/>
      <c r="B1339" s="243"/>
      <c r="C1339" s="243"/>
      <c r="D1339" s="243"/>
      <c r="E1339" s="243"/>
      <c r="F1339" s="243"/>
      <c r="G1339" s="244"/>
      <c r="H1339" s="243"/>
      <c r="I1339" s="243"/>
      <c r="J1339" s="243"/>
      <c r="K1339" s="243"/>
      <c r="L1339" s="243"/>
      <c r="M1339" s="244"/>
      <c r="N1339" s="245" t="s">
        <v>257</v>
      </c>
      <c r="O1339" s="246"/>
      <c r="P1339" s="203" t="s">
        <v>257</v>
      </c>
      <c r="Q1339" s="210" t="s">
        <v>257</v>
      </c>
      <c r="R1339" s="243" t="s">
        <v>257</v>
      </c>
      <c r="S1339" s="247"/>
    </row>
    <row r="1340" spans="1:19" x14ac:dyDescent="0.2">
      <c r="A1340" s="242"/>
      <c r="B1340" s="243"/>
      <c r="C1340" s="243"/>
      <c r="D1340" s="243"/>
      <c r="E1340" s="243"/>
      <c r="F1340" s="243"/>
      <c r="G1340" s="244"/>
      <c r="H1340" s="243"/>
      <c r="I1340" s="243"/>
      <c r="J1340" s="243"/>
      <c r="K1340" s="243"/>
      <c r="L1340" s="243"/>
      <c r="M1340" s="244"/>
      <c r="N1340" s="245" t="s">
        <v>257</v>
      </c>
      <c r="O1340" s="246"/>
      <c r="P1340" s="203" t="s">
        <v>257</v>
      </c>
      <c r="Q1340" s="210" t="s">
        <v>257</v>
      </c>
      <c r="R1340" s="243" t="s">
        <v>257</v>
      </c>
      <c r="S1340" s="247"/>
    </row>
    <row r="1341" spans="1:19" x14ac:dyDescent="0.2">
      <c r="A1341" s="242"/>
      <c r="B1341" s="243"/>
      <c r="C1341" s="243"/>
      <c r="D1341" s="243"/>
      <c r="E1341" s="243"/>
      <c r="F1341" s="243"/>
      <c r="G1341" s="244"/>
      <c r="H1341" s="243"/>
      <c r="I1341" s="243"/>
      <c r="J1341" s="243"/>
      <c r="K1341" s="243"/>
      <c r="L1341" s="243"/>
      <c r="M1341" s="244"/>
      <c r="N1341" s="245" t="s">
        <v>257</v>
      </c>
      <c r="O1341" s="246"/>
      <c r="P1341" s="203" t="s">
        <v>257</v>
      </c>
      <c r="Q1341" s="210" t="s">
        <v>257</v>
      </c>
      <c r="R1341" s="243" t="s">
        <v>257</v>
      </c>
      <c r="S1341" s="247"/>
    </row>
    <row r="1342" spans="1:19" x14ac:dyDescent="0.2">
      <c r="A1342" s="242"/>
      <c r="B1342" s="243"/>
      <c r="C1342" s="243"/>
      <c r="D1342" s="243"/>
      <c r="E1342" s="243"/>
      <c r="F1342" s="243"/>
      <c r="G1342" s="244"/>
      <c r="H1342" s="243"/>
      <c r="I1342" s="243"/>
      <c r="J1342" s="243"/>
      <c r="K1342" s="243"/>
      <c r="L1342" s="243"/>
      <c r="M1342" s="244"/>
      <c r="N1342" s="245" t="s">
        <v>257</v>
      </c>
      <c r="O1342" s="246"/>
      <c r="P1342" s="203" t="s">
        <v>257</v>
      </c>
      <c r="Q1342" s="210" t="s">
        <v>257</v>
      </c>
      <c r="R1342" s="243" t="s">
        <v>257</v>
      </c>
      <c r="S1342" s="247"/>
    </row>
    <row r="1343" spans="1:19" x14ac:dyDescent="0.2">
      <c r="A1343" s="242"/>
      <c r="B1343" s="243"/>
      <c r="C1343" s="243"/>
      <c r="D1343" s="243"/>
      <c r="E1343" s="243"/>
      <c r="F1343" s="243"/>
      <c r="G1343" s="244"/>
      <c r="H1343" s="243"/>
      <c r="I1343" s="243"/>
      <c r="J1343" s="243"/>
      <c r="K1343" s="243"/>
      <c r="L1343" s="243"/>
      <c r="M1343" s="244"/>
      <c r="N1343" s="245" t="s">
        <v>257</v>
      </c>
      <c r="O1343" s="246"/>
      <c r="P1343" s="203" t="s">
        <v>257</v>
      </c>
      <c r="Q1343" s="210" t="s">
        <v>257</v>
      </c>
      <c r="R1343" s="243" t="s">
        <v>257</v>
      </c>
      <c r="S1343" s="247"/>
    </row>
    <row r="1344" spans="1:19" x14ac:dyDescent="0.2">
      <c r="A1344" s="242"/>
      <c r="B1344" s="243"/>
      <c r="C1344" s="243"/>
      <c r="D1344" s="243"/>
      <c r="E1344" s="243"/>
      <c r="F1344" s="243"/>
      <c r="G1344" s="244"/>
      <c r="H1344" s="243"/>
      <c r="I1344" s="243"/>
      <c r="J1344" s="243"/>
      <c r="K1344" s="243"/>
      <c r="L1344" s="243"/>
      <c r="M1344" s="244"/>
      <c r="N1344" s="245" t="s">
        <v>257</v>
      </c>
      <c r="O1344" s="246"/>
      <c r="P1344" s="203" t="s">
        <v>257</v>
      </c>
      <c r="Q1344" s="210" t="s">
        <v>257</v>
      </c>
      <c r="R1344" s="243" t="s">
        <v>257</v>
      </c>
      <c r="S1344" s="247"/>
    </row>
    <row r="1345" spans="1:19" x14ac:dyDescent="0.2">
      <c r="A1345" s="242"/>
      <c r="B1345" s="243"/>
      <c r="C1345" s="243"/>
      <c r="D1345" s="243"/>
      <c r="E1345" s="243"/>
      <c r="F1345" s="243"/>
      <c r="G1345" s="244"/>
      <c r="H1345" s="243"/>
      <c r="I1345" s="243"/>
      <c r="J1345" s="243"/>
      <c r="K1345" s="243"/>
      <c r="L1345" s="243"/>
      <c r="M1345" s="244"/>
      <c r="N1345" s="245" t="s">
        <v>257</v>
      </c>
      <c r="O1345" s="246"/>
      <c r="P1345" s="203" t="s">
        <v>257</v>
      </c>
      <c r="Q1345" s="210" t="s">
        <v>257</v>
      </c>
      <c r="R1345" s="243" t="s">
        <v>257</v>
      </c>
      <c r="S1345" s="247"/>
    </row>
    <row r="1346" spans="1:19" x14ac:dyDescent="0.2">
      <c r="A1346" s="242"/>
      <c r="B1346" s="243"/>
      <c r="C1346" s="243"/>
      <c r="D1346" s="243"/>
      <c r="E1346" s="243"/>
      <c r="F1346" s="243"/>
      <c r="G1346" s="244"/>
      <c r="H1346" s="243"/>
      <c r="I1346" s="243"/>
      <c r="J1346" s="243"/>
      <c r="K1346" s="243"/>
      <c r="L1346" s="243"/>
      <c r="M1346" s="244"/>
      <c r="N1346" s="245" t="s">
        <v>257</v>
      </c>
      <c r="O1346" s="246"/>
      <c r="P1346" s="203" t="s">
        <v>257</v>
      </c>
      <c r="Q1346" s="210" t="s">
        <v>257</v>
      </c>
      <c r="R1346" s="243" t="s">
        <v>257</v>
      </c>
      <c r="S1346" s="247"/>
    </row>
    <row r="1347" spans="1:19" x14ac:dyDescent="0.2">
      <c r="A1347" s="242"/>
      <c r="B1347" s="243"/>
      <c r="C1347" s="243"/>
      <c r="D1347" s="243"/>
      <c r="E1347" s="243"/>
      <c r="F1347" s="243"/>
      <c r="G1347" s="244"/>
      <c r="H1347" s="243"/>
      <c r="I1347" s="243"/>
      <c r="J1347" s="243"/>
      <c r="K1347" s="243"/>
      <c r="L1347" s="243"/>
      <c r="M1347" s="244"/>
      <c r="N1347" s="245" t="s">
        <v>257</v>
      </c>
      <c r="O1347" s="246"/>
      <c r="P1347" s="203" t="s">
        <v>257</v>
      </c>
      <c r="Q1347" s="210" t="s">
        <v>257</v>
      </c>
      <c r="R1347" s="243" t="s">
        <v>257</v>
      </c>
      <c r="S1347" s="247"/>
    </row>
    <row r="1348" spans="1:19" x14ac:dyDescent="0.2">
      <c r="A1348" s="242"/>
      <c r="B1348" s="243"/>
      <c r="C1348" s="243"/>
      <c r="D1348" s="243"/>
      <c r="E1348" s="243"/>
      <c r="F1348" s="243"/>
      <c r="G1348" s="244"/>
      <c r="H1348" s="243"/>
      <c r="I1348" s="243"/>
      <c r="J1348" s="243"/>
      <c r="K1348" s="243"/>
      <c r="L1348" s="243"/>
      <c r="M1348" s="244"/>
      <c r="N1348" s="245" t="s">
        <v>257</v>
      </c>
      <c r="O1348" s="246"/>
      <c r="P1348" s="203" t="s">
        <v>257</v>
      </c>
      <c r="Q1348" s="210" t="s">
        <v>257</v>
      </c>
      <c r="R1348" s="243" t="s">
        <v>257</v>
      </c>
      <c r="S1348" s="247"/>
    </row>
    <row r="1349" spans="1:19" x14ac:dyDescent="0.2">
      <c r="A1349" s="242"/>
      <c r="B1349" s="243"/>
      <c r="C1349" s="243"/>
      <c r="D1349" s="243"/>
      <c r="E1349" s="243"/>
      <c r="F1349" s="243"/>
      <c r="G1349" s="244"/>
      <c r="H1349" s="243"/>
      <c r="I1349" s="243"/>
      <c r="J1349" s="243"/>
      <c r="K1349" s="243"/>
      <c r="L1349" s="243"/>
      <c r="M1349" s="244"/>
      <c r="N1349" s="245" t="s">
        <v>257</v>
      </c>
      <c r="O1349" s="246"/>
      <c r="P1349" s="203" t="s">
        <v>257</v>
      </c>
      <c r="Q1349" s="210" t="s">
        <v>257</v>
      </c>
      <c r="R1349" s="243" t="s">
        <v>257</v>
      </c>
      <c r="S1349" s="247"/>
    </row>
    <row r="1350" spans="1:19" x14ac:dyDescent="0.2">
      <c r="A1350" s="242"/>
      <c r="B1350" s="243"/>
      <c r="C1350" s="243"/>
      <c r="D1350" s="243"/>
      <c r="E1350" s="243"/>
      <c r="F1350" s="243"/>
      <c r="G1350" s="244"/>
      <c r="H1350" s="243"/>
      <c r="I1350" s="243"/>
      <c r="J1350" s="243"/>
      <c r="K1350" s="243"/>
      <c r="L1350" s="243"/>
      <c r="M1350" s="244"/>
      <c r="N1350" s="245" t="s">
        <v>257</v>
      </c>
      <c r="O1350" s="246"/>
      <c r="P1350" s="203" t="s">
        <v>257</v>
      </c>
      <c r="Q1350" s="210" t="s">
        <v>257</v>
      </c>
      <c r="R1350" s="243" t="s">
        <v>257</v>
      </c>
      <c r="S1350" s="247"/>
    </row>
    <row r="1351" spans="1:19" x14ac:dyDescent="0.2">
      <c r="A1351" s="242"/>
      <c r="B1351" s="243"/>
      <c r="C1351" s="243"/>
      <c r="D1351" s="243"/>
      <c r="E1351" s="243"/>
      <c r="F1351" s="243"/>
      <c r="G1351" s="244"/>
      <c r="H1351" s="243"/>
      <c r="I1351" s="243"/>
      <c r="J1351" s="243"/>
      <c r="K1351" s="243"/>
      <c r="L1351" s="243"/>
      <c r="M1351" s="244"/>
      <c r="N1351" s="245" t="s">
        <v>257</v>
      </c>
      <c r="O1351" s="246"/>
      <c r="P1351" s="203" t="s">
        <v>257</v>
      </c>
      <c r="Q1351" s="210" t="s">
        <v>257</v>
      </c>
      <c r="R1351" s="243" t="s">
        <v>257</v>
      </c>
      <c r="S1351" s="247"/>
    </row>
    <row r="1352" spans="1:19" x14ac:dyDescent="0.2">
      <c r="A1352" s="242"/>
      <c r="B1352" s="243"/>
      <c r="C1352" s="243"/>
      <c r="D1352" s="243"/>
      <c r="E1352" s="243"/>
      <c r="F1352" s="243"/>
      <c r="G1352" s="244"/>
      <c r="H1352" s="243"/>
      <c r="I1352" s="243"/>
      <c r="J1352" s="243"/>
      <c r="K1352" s="243"/>
      <c r="L1352" s="243"/>
      <c r="M1352" s="244"/>
      <c r="N1352" s="245" t="s">
        <v>257</v>
      </c>
      <c r="O1352" s="246"/>
      <c r="P1352" s="203" t="s">
        <v>257</v>
      </c>
      <c r="Q1352" s="210" t="s">
        <v>257</v>
      </c>
      <c r="R1352" s="243" t="s">
        <v>257</v>
      </c>
      <c r="S1352" s="247"/>
    </row>
    <row r="1353" spans="1:19" x14ac:dyDescent="0.2">
      <c r="A1353" s="242"/>
      <c r="B1353" s="243"/>
      <c r="C1353" s="243"/>
      <c r="D1353" s="243"/>
      <c r="E1353" s="243"/>
      <c r="F1353" s="243"/>
      <c r="G1353" s="244"/>
      <c r="H1353" s="243"/>
      <c r="I1353" s="243"/>
      <c r="J1353" s="243"/>
      <c r="K1353" s="243"/>
      <c r="L1353" s="243"/>
      <c r="M1353" s="244"/>
      <c r="N1353" s="245" t="s">
        <v>257</v>
      </c>
      <c r="O1353" s="246"/>
      <c r="P1353" s="203" t="s">
        <v>257</v>
      </c>
      <c r="Q1353" s="210" t="s">
        <v>257</v>
      </c>
      <c r="R1353" s="243" t="s">
        <v>257</v>
      </c>
      <c r="S1353" s="247"/>
    </row>
    <row r="1354" spans="1:19" x14ac:dyDescent="0.2">
      <c r="A1354" s="242"/>
      <c r="B1354" s="243"/>
      <c r="C1354" s="243"/>
      <c r="D1354" s="243"/>
      <c r="E1354" s="243"/>
      <c r="F1354" s="243"/>
      <c r="G1354" s="244"/>
      <c r="H1354" s="243"/>
      <c r="I1354" s="243"/>
      <c r="J1354" s="243"/>
      <c r="K1354" s="243"/>
      <c r="L1354" s="243"/>
      <c r="M1354" s="244"/>
      <c r="N1354" s="245" t="s">
        <v>257</v>
      </c>
      <c r="O1354" s="246"/>
      <c r="P1354" s="203" t="s">
        <v>257</v>
      </c>
      <c r="Q1354" s="210" t="s">
        <v>257</v>
      </c>
      <c r="R1354" s="243" t="s">
        <v>257</v>
      </c>
      <c r="S1354" s="247"/>
    </row>
    <row r="1355" spans="1:19" x14ac:dyDescent="0.2">
      <c r="A1355" s="242"/>
      <c r="B1355" s="243"/>
      <c r="C1355" s="243"/>
      <c r="D1355" s="243"/>
      <c r="E1355" s="243"/>
      <c r="F1355" s="243"/>
      <c r="G1355" s="244"/>
      <c r="H1355" s="243"/>
      <c r="I1355" s="243"/>
      <c r="J1355" s="243"/>
      <c r="K1355" s="243"/>
      <c r="L1355" s="243"/>
      <c r="M1355" s="244"/>
      <c r="N1355" s="245" t="s">
        <v>257</v>
      </c>
      <c r="O1355" s="246"/>
      <c r="P1355" s="203" t="s">
        <v>257</v>
      </c>
      <c r="Q1355" s="210" t="s">
        <v>257</v>
      </c>
      <c r="R1355" s="243" t="s">
        <v>257</v>
      </c>
      <c r="S1355" s="247"/>
    </row>
    <row r="1356" spans="1:19" x14ac:dyDescent="0.2">
      <c r="A1356" s="242"/>
      <c r="B1356" s="243"/>
      <c r="C1356" s="243"/>
      <c r="D1356" s="243"/>
      <c r="E1356" s="243"/>
      <c r="F1356" s="243"/>
      <c r="G1356" s="244"/>
      <c r="H1356" s="243"/>
      <c r="I1356" s="243"/>
      <c r="J1356" s="243"/>
      <c r="K1356" s="243"/>
      <c r="L1356" s="243"/>
      <c r="M1356" s="244"/>
      <c r="N1356" s="245" t="s">
        <v>257</v>
      </c>
      <c r="O1356" s="246"/>
      <c r="P1356" s="203" t="s">
        <v>257</v>
      </c>
      <c r="Q1356" s="210" t="s">
        <v>257</v>
      </c>
      <c r="R1356" s="243" t="s">
        <v>257</v>
      </c>
      <c r="S1356" s="247"/>
    </row>
    <row r="1357" spans="1:19" x14ac:dyDescent="0.2">
      <c r="A1357" s="242"/>
      <c r="B1357" s="243"/>
      <c r="C1357" s="243"/>
      <c r="D1357" s="243"/>
      <c r="E1357" s="243"/>
      <c r="F1357" s="243"/>
      <c r="G1357" s="244"/>
      <c r="H1357" s="243"/>
      <c r="I1357" s="243"/>
      <c r="J1357" s="243"/>
      <c r="K1357" s="243"/>
      <c r="L1357" s="243"/>
      <c r="M1357" s="244"/>
      <c r="N1357" s="245" t="s">
        <v>257</v>
      </c>
      <c r="O1357" s="246"/>
      <c r="P1357" s="203" t="s">
        <v>257</v>
      </c>
      <c r="Q1357" s="210" t="s">
        <v>257</v>
      </c>
      <c r="R1357" s="243" t="s">
        <v>257</v>
      </c>
      <c r="S1357" s="247"/>
    </row>
    <row r="1358" spans="1:19" x14ac:dyDescent="0.2">
      <c r="A1358" s="242"/>
      <c r="B1358" s="243"/>
      <c r="C1358" s="243"/>
      <c r="D1358" s="243"/>
      <c r="E1358" s="243"/>
      <c r="F1358" s="243"/>
      <c r="G1358" s="244"/>
      <c r="H1358" s="243"/>
      <c r="I1358" s="243"/>
      <c r="J1358" s="243"/>
      <c r="K1358" s="243"/>
      <c r="L1358" s="243"/>
      <c r="M1358" s="244"/>
      <c r="N1358" s="245" t="s">
        <v>257</v>
      </c>
      <c r="O1358" s="246"/>
      <c r="P1358" s="203" t="s">
        <v>257</v>
      </c>
      <c r="Q1358" s="210" t="s">
        <v>257</v>
      </c>
      <c r="R1358" s="243" t="s">
        <v>257</v>
      </c>
      <c r="S1358" s="247"/>
    </row>
    <row r="1359" spans="1:19" x14ac:dyDescent="0.2">
      <c r="A1359" s="242"/>
      <c r="B1359" s="243"/>
      <c r="C1359" s="243"/>
      <c r="D1359" s="243"/>
      <c r="E1359" s="243"/>
      <c r="F1359" s="243"/>
      <c r="G1359" s="244"/>
      <c r="H1359" s="243"/>
      <c r="I1359" s="243"/>
      <c r="J1359" s="243"/>
      <c r="K1359" s="243"/>
      <c r="L1359" s="243"/>
      <c r="M1359" s="244"/>
      <c r="N1359" s="245" t="s">
        <v>257</v>
      </c>
      <c r="O1359" s="246"/>
      <c r="P1359" s="203" t="s">
        <v>257</v>
      </c>
      <c r="Q1359" s="210" t="s">
        <v>257</v>
      </c>
      <c r="R1359" s="243" t="s">
        <v>257</v>
      </c>
      <c r="S1359" s="247"/>
    </row>
    <row r="1360" spans="1:19" x14ac:dyDescent="0.2">
      <c r="A1360" s="242"/>
      <c r="B1360" s="243"/>
      <c r="C1360" s="243"/>
      <c r="D1360" s="243"/>
      <c r="E1360" s="243"/>
      <c r="F1360" s="243"/>
      <c r="G1360" s="244"/>
      <c r="H1360" s="243"/>
      <c r="I1360" s="243"/>
      <c r="J1360" s="243"/>
      <c r="K1360" s="243"/>
      <c r="L1360" s="243"/>
      <c r="M1360" s="244"/>
      <c r="N1360" s="245" t="s">
        <v>257</v>
      </c>
      <c r="O1360" s="246"/>
      <c r="P1360" s="203" t="s">
        <v>257</v>
      </c>
      <c r="Q1360" s="210" t="s">
        <v>257</v>
      </c>
      <c r="R1360" s="243" t="s">
        <v>257</v>
      </c>
      <c r="S1360" s="247"/>
    </row>
    <row r="1361" spans="1:19" x14ac:dyDescent="0.2">
      <c r="A1361" s="242"/>
      <c r="B1361" s="243"/>
      <c r="C1361" s="243"/>
      <c r="D1361" s="243"/>
      <c r="E1361" s="243"/>
      <c r="F1361" s="243"/>
      <c r="G1361" s="244"/>
      <c r="H1361" s="243"/>
      <c r="I1361" s="243"/>
      <c r="J1361" s="243"/>
      <c r="K1361" s="243"/>
      <c r="L1361" s="243"/>
      <c r="M1361" s="244"/>
      <c r="N1361" s="245" t="s">
        <v>257</v>
      </c>
      <c r="O1361" s="246"/>
      <c r="P1361" s="203" t="s">
        <v>257</v>
      </c>
      <c r="Q1361" s="210" t="s">
        <v>257</v>
      </c>
      <c r="R1361" s="243" t="s">
        <v>257</v>
      </c>
      <c r="S1361" s="247"/>
    </row>
    <row r="1362" spans="1:19" x14ac:dyDescent="0.2">
      <c r="A1362" s="242"/>
      <c r="B1362" s="243"/>
      <c r="C1362" s="243"/>
      <c r="D1362" s="243"/>
      <c r="E1362" s="243"/>
      <c r="F1362" s="243"/>
      <c r="G1362" s="244"/>
      <c r="H1362" s="243"/>
      <c r="I1362" s="243"/>
      <c r="J1362" s="243"/>
      <c r="K1362" s="243"/>
      <c r="L1362" s="243"/>
      <c r="M1362" s="244"/>
      <c r="N1362" s="245" t="s">
        <v>257</v>
      </c>
      <c r="O1362" s="246"/>
      <c r="P1362" s="203" t="s">
        <v>257</v>
      </c>
      <c r="Q1362" s="210" t="s">
        <v>257</v>
      </c>
      <c r="R1362" s="243" t="s">
        <v>257</v>
      </c>
      <c r="S1362" s="247"/>
    </row>
    <row r="1363" spans="1:19" x14ac:dyDescent="0.2">
      <c r="A1363" s="242"/>
      <c r="B1363" s="243"/>
      <c r="C1363" s="243"/>
      <c r="D1363" s="243"/>
      <c r="E1363" s="243"/>
      <c r="F1363" s="243"/>
      <c r="G1363" s="244"/>
      <c r="H1363" s="243"/>
      <c r="I1363" s="243"/>
      <c r="J1363" s="243"/>
      <c r="K1363" s="243"/>
      <c r="L1363" s="243"/>
      <c r="M1363" s="244"/>
      <c r="N1363" s="245" t="s">
        <v>257</v>
      </c>
      <c r="O1363" s="246"/>
      <c r="P1363" s="203" t="s">
        <v>257</v>
      </c>
      <c r="Q1363" s="210" t="s">
        <v>257</v>
      </c>
      <c r="R1363" s="243" t="s">
        <v>257</v>
      </c>
      <c r="S1363" s="247"/>
    </row>
    <row r="1364" spans="1:19" x14ac:dyDescent="0.2">
      <c r="A1364" s="242"/>
      <c r="B1364" s="243"/>
      <c r="C1364" s="243"/>
      <c r="D1364" s="243"/>
      <c r="E1364" s="243"/>
      <c r="F1364" s="243"/>
      <c r="G1364" s="244"/>
      <c r="H1364" s="243"/>
      <c r="I1364" s="243"/>
      <c r="J1364" s="243"/>
      <c r="K1364" s="243"/>
      <c r="L1364" s="243"/>
      <c r="M1364" s="244"/>
      <c r="N1364" s="245" t="s">
        <v>257</v>
      </c>
      <c r="O1364" s="246"/>
      <c r="P1364" s="203" t="s">
        <v>257</v>
      </c>
      <c r="Q1364" s="210" t="s">
        <v>257</v>
      </c>
      <c r="R1364" s="243" t="s">
        <v>257</v>
      </c>
      <c r="S1364" s="247"/>
    </row>
    <row r="1365" spans="1:19" x14ac:dyDescent="0.2">
      <c r="A1365" s="242"/>
      <c r="B1365" s="243"/>
      <c r="C1365" s="243"/>
      <c r="D1365" s="243"/>
      <c r="E1365" s="243"/>
      <c r="F1365" s="243"/>
      <c r="G1365" s="244"/>
      <c r="H1365" s="243"/>
      <c r="I1365" s="243"/>
      <c r="J1365" s="243"/>
      <c r="K1365" s="243"/>
      <c r="L1365" s="243"/>
      <c r="M1365" s="244"/>
      <c r="N1365" s="245" t="s">
        <v>257</v>
      </c>
      <c r="O1365" s="246"/>
      <c r="P1365" s="203" t="s">
        <v>257</v>
      </c>
      <c r="Q1365" s="210" t="s">
        <v>257</v>
      </c>
      <c r="R1365" s="243" t="s">
        <v>257</v>
      </c>
      <c r="S1365" s="247"/>
    </row>
    <row r="1366" spans="1:19" x14ac:dyDescent="0.2">
      <c r="A1366" s="242"/>
      <c r="B1366" s="243"/>
      <c r="C1366" s="243"/>
      <c r="D1366" s="243"/>
      <c r="E1366" s="243"/>
      <c r="F1366" s="243"/>
      <c r="G1366" s="244"/>
      <c r="H1366" s="243"/>
      <c r="I1366" s="243"/>
      <c r="J1366" s="243"/>
      <c r="K1366" s="243"/>
      <c r="L1366" s="243"/>
      <c r="M1366" s="244"/>
      <c r="N1366" s="245" t="s">
        <v>257</v>
      </c>
      <c r="O1366" s="246"/>
      <c r="P1366" s="203" t="s">
        <v>257</v>
      </c>
      <c r="Q1366" s="210" t="s">
        <v>257</v>
      </c>
      <c r="R1366" s="243" t="s">
        <v>257</v>
      </c>
      <c r="S1366" s="247"/>
    </row>
    <row r="1367" spans="1:19" x14ac:dyDescent="0.2">
      <c r="A1367" s="242"/>
      <c r="B1367" s="243"/>
      <c r="C1367" s="243"/>
      <c r="D1367" s="243"/>
      <c r="E1367" s="243"/>
      <c r="F1367" s="243"/>
      <c r="G1367" s="244"/>
      <c r="H1367" s="243"/>
      <c r="I1367" s="243"/>
      <c r="J1367" s="243"/>
      <c r="K1367" s="243"/>
      <c r="L1367" s="243"/>
      <c r="M1367" s="244"/>
      <c r="N1367" s="245" t="s">
        <v>257</v>
      </c>
      <c r="O1367" s="246"/>
      <c r="P1367" s="203" t="s">
        <v>257</v>
      </c>
      <c r="Q1367" s="210" t="s">
        <v>257</v>
      </c>
      <c r="R1367" s="243" t="s">
        <v>257</v>
      </c>
      <c r="S1367" s="247"/>
    </row>
    <row r="1368" spans="1:19" x14ac:dyDescent="0.2">
      <c r="A1368" s="242"/>
      <c r="B1368" s="243"/>
      <c r="C1368" s="243"/>
      <c r="D1368" s="243"/>
      <c r="E1368" s="243"/>
      <c r="F1368" s="243"/>
      <c r="G1368" s="244"/>
      <c r="H1368" s="243"/>
      <c r="I1368" s="243"/>
      <c r="J1368" s="243"/>
      <c r="K1368" s="243"/>
      <c r="L1368" s="243"/>
      <c r="M1368" s="244"/>
      <c r="N1368" s="245" t="s">
        <v>257</v>
      </c>
      <c r="O1368" s="246"/>
      <c r="P1368" s="203" t="s">
        <v>257</v>
      </c>
      <c r="Q1368" s="210" t="s">
        <v>257</v>
      </c>
      <c r="R1368" s="243" t="s">
        <v>257</v>
      </c>
      <c r="S1368" s="247"/>
    </row>
    <row r="1369" spans="1:19" x14ac:dyDescent="0.2">
      <c r="A1369" s="242"/>
      <c r="B1369" s="243"/>
      <c r="C1369" s="243"/>
      <c r="D1369" s="243"/>
      <c r="E1369" s="243"/>
      <c r="F1369" s="243"/>
      <c r="G1369" s="244"/>
      <c r="H1369" s="243"/>
      <c r="I1369" s="243"/>
      <c r="J1369" s="243"/>
      <c r="K1369" s="243"/>
      <c r="L1369" s="243"/>
      <c r="M1369" s="244"/>
      <c r="N1369" s="245" t="s">
        <v>257</v>
      </c>
      <c r="O1369" s="246"/>
      <c r="P1369" s="203" t="s">
        <v>257</v>
      </c>
      <c r="Q1369" s="210" t="s">
        <v>257</v>
      </c>
      <c r="R1369" s="243" t="s">
        <v>257</v>
      </c>
      <c r="S1369" s="247"/>
    </row>
    <row r="1370" spans="1:19" x14ac:dyDescent="0.2">
      <c r="A1370" s="242"/>
      <c r="B1370" s="243"/>
      <c r="C1370" s="243"/>
      <c r="D1370" s="243"/>
      <c r="E1370" s="243"/>
      <c r="F1370" s="243"/>
      <c r="G1370" s="244"/>
      <c r="H1370" s="243"/>
      <c r="I1370" s="243"/>
      <c r="J1370" s="243"/>
      <c r="K1370" s="243"/>
      <c r="L1370" s="243"/>
      <c r="M1370" s="244"/>
      <c r="N1370" s="245" t="s">
        <v>257</v>
      </c>
      <c r="O1370" s="246"/>
      <c r="P1370" s="203" t="s">
        <v>257</v>
      </c>
      <c r="Q1370" s="210" t="s">
        <v>257</v>
      </c>
      <c r="R1370" s="243" t="s">
        <v>257</v>
      </c>
      <c r="S1370" s="247"/>
    </row>
    <row r="1371" spans="1:19" x14ac:dyDescent="0.2">
      <c r="A1371" s="242"/>
      <c r="B1371" s="243"/>
      <c r="C1371" s="243"/>
      <c r="D1371" s="243"/>
      <c r="E1371" s="243"/>
      <c r="F1371" s="243"/>
      <c r="G1371" s="244"/>
      <c r="H1371" s="243"/>
      <c r="I1371" s="243"/>
      <c r="J1371" s="243"/>
      <c r="K1371" s="243"/>
      <c r="L1371" s="243"/>
      <c r="M1371" s="244"/>
      <c r="N1371" s="245" t="s">
        <v>257</v>
      </c>
      <c r="O1371" s="246"/>
      <c r="P1371" s="203" t="s">
        <v>257</v>
      </c>
      <c r="Q1371" s="210" t="s">
        <v>257</v>
      </c>
      <c r="R1371" s="243" t="s">
        <v>257</v>
      </c>
      <c r="S1371" s="247"/>
    </row>
    <row r="1372" spans="1:19" x14ac:dyDescent="0.2">
      <c r="A1372" s="242"/>
      <c r="B1372" s="243"/>
      <c r="C1372" s="243"/>
      <c r="D1372" s="243"/>
      <c r="E1372" s="243"/>
      <c r="F1372" s="243"/>
      <c r="G1372" s="244"/>
      <c r="H1372" s="243"/>
      <c r="I1372" s="243"/>
      <c r="J1372" s="243"/>
      <c r="K1372" s="243"/>
      <c r="L1372" s="243"/>
      <c r="M1372" s="244"/>
      <c r="N1372" s="245" t="s">
        <v>257</v>
      </c>
      <c r="O1372" s="246"/>
      <c r="P1372" s="203" t="s">
        <v>257</v>
      </c>
      <c r="Q1372" s="210" t="s">
        <v>257</v>
      </c>
      <c r="R1372" s="243" t="s">
        <v>257</v>
      </c>
      <c r="S1372" s="247"/>
    </row>
    <row r="1373" spans="1:19" x14ac:dyDescent="0.2">
      <c r="A1373" s="242"/>
      <c r="B1373" s="243"/>
      <c r="C1373" s="243"/>
      <c r="D1373" s="243"/>
      <c r="E1373" s="243"/>
      <c r="F1373" s="243"/>
      <c r="G1373" s="244"/>
      <c r="H1373" s="243"/>
      <c r="I1373" s="243"/>
      <c r="J1373" s="243"/>
      <c r="K1373" s="243"/>
      <c r="L1373" s="243"/>
      <c r="M1373" s="244"/>
      <c r="N1373" s="245" t="s">
        <v>257</v>
      </c>
      <c r="O1373" s="246"/>
      <c r="P1373" s="203" t="s">
        <v>257</v>
      </c>
      <c r="Q1373" s="210" t="s">
        <v>257</v>
      </c>
      <c r="R1373" s="243" t="s">
        <v>257</v>
      </c>
      <c r="S1373" s="247"/>
    </row>
    <row r="1374" spans="1:19" x14ac:dyDescent="0.2">
      <c r="A1374" s="242"/>
      <c r="B1374" s="243"/>
      <c r="C1374" s="243"/>
      <c r="D1374" s="243"/>
      <c r="E1374" s="243"/>
      <c r="F1374" s="243"/>
      <c r="G1374" s="244"/>
      <c r="H1374" s="243"/>
      <c r="I1374" s="243"/>
      <c r="J1374" s="243"/>
      <c r="K1374" s="243"/>
      <c r="L1374" s="243"/>
      <c r="M1374" s="244"/>
      <c r="N1374" s="245" t="s">
        <v>257</v>
      </c>
      <c r="O1374" s="246"/>
      <c r="P1374" s="203" t="s">
        <v>257</v>
      </c>
      <c r="Q1374" s="210" t="s">
        <v>257</v>
      </c>
      <c r="R1374" s="243" t="s">
        <v>257</v>
      </c>
      <c r="S1374" s="247"/>
    </row>
    <row r="1375" spans="1:19" x14ac:dyDescent="0.2">
      <c r="A1375" s="242"/>
      <c r="B1375" s="243"/>
      <c r="C1375" s="243"/>
      <c r="D1375" s="243"/>
      <c r="E1375" s="243"/>
      <c r="F1375" s="243"/>
      <c r="G1375" s="244"/>
      <c r="H1375" s="243"/>
      <c r="I1375" s="243"/>
      <c r="J1375" s="243"/>
      <c r="K1375" s="243"/>
      <c r="L1375" s="243"/>
      <c r="M1375" s="244"/>
      <c r="N1375" s="245" t="s">
        <v>257</v>
      </c>
      <c r="O1375" s="246"/>
      <c r="P1375" s="203" t="s">
        <v>257</v>
      </c>
      <c r="Q1375" s="210" t="s">
        <v>257</v>
      </c>
      <c r="R1375" s="243" t="s">
        <v>257</v>
      </c>
      <c r="S1375" s="247"/>
    </row>
    <row r="1376" spans="1:19" x14ac:dyDescent="0.2">
      <c r="A1376" s="242"/>
      <c r="B1376" s="243"/>
      <c r="C1376" s="243"/>
      <c r="D1376" s="243"/>
      <c r="E1376" s="243"/>
      <c r="F1376" s="243"/>
      <c r="G1376" s="244"/>
      <c r="H1376" s="243"/>
      <c r="I1376" s="243"/>
      <c r="J1376" s="243"/>
      <c r="K1376" s="243"/>
      <c r="L1376" s="243"/>
      <c r="M1376" s="244"/>
      <c r="N1376" s="245" t="s">
        <v>257</v>
      </c>
      <c r="O1376" s="246"/>
      <c r="P1376" s="203" t="s">
        <v>257</v>
      </c>
      <c r="Q1376" s="210" t="s">
        <v>257</v>
      </c>
      <c r="R1376" s="243" t="s">
        <v>257</v>
      </c>
      <c r="S1376" s="247"/>
    </row>
    <row r="1377" spans="1:19" x14ac:dyDescent="0.2">
      <c r="A1377" s="242"/>
      <c r="B1377" s="243"/>
      <c r="C1377" s="243"/>
      <c r="D1377" s="243"/>
      <c r="E1377" s="243"/>
      <c r="F1377" s="243"/>
      <c r="G1377" s="244"/>
      <c r="H1377" s="243"/>
      <c r="I1377" s="243"/>
      <c r="J1377" s="243"/>
      <c r="K1377" s="243"/>
      <c r="L1377" s="243"/>
      <c r="M1377" s="244"/>
      <c r="N1377" s="245" t="s">
        <v>257</v>
      </c>
      <c r="O1377" s="246"/>
      <c r="P1377" s="203" t="s">
        <v>257</v>
      </c>
      <c r="Q1377" s="210" t="s">
        <v>257</v>
      </c>
      <c r="R1377" s="243" t="s">
        <v>257</v>
      </c>
      <c r="S1377" s="247"/>
    </row>
    <row r="1378" spans="1:19" x14ac:dyDescent="0.2">
      <c r="A1378" s="242"/>
      <c r="B1378" s="243"/>
      <c r="C1378" s="243"/>
      <c r="D1378" s="243"/>
      <c r="E1378" s="243"/>
      <c r="F1378" s="243"/>
      <c r="G1378" s="244"/>
      <c r="H1378" s="243"/>
      <c r="I1378" s="243"/>
      <c r="J1378" s="243"/>
      <c r="K1378" s="243"/>
      <c r="L1378" s="243"/>
      <c r="M1378" s="244"/>
      <c r="N1378" s="245" t="s">
        <v>257</v>
      </c>
      <c r="O1378" s="246"/>
      <c r="P1378" s="203" t="s">
        <v>257</v>
      </c>
      <c r="Q1378" s="210" t="s">
        <v>257</v>
      </c>
      <c r="R1378" s="243" t="s">
        <v>257</v>
      </c>
      <c r="S1378" s="247"/>
    </row>
    <row r="1379" spans="1:19" x14ac:dyDescent="0.2">
      <c r="A1379" s="242"/>
      <c r="B1379" s="243"/>
      <c r="C1379" s="243"/>
      <c r="D1379" s="243"/>
      <c r="E1379" s="243"/>
      <c r="F1379" s="243"/>
      <c r="G1379" s="244"/>
      <c r="H1379" s="243"/>
      <c r="I1379" s="243"/>
      <c r="J1379" s="243"/>
      <c r="K1379" s="243"/>
      <c r="L1379" s="243"/>
      <c r="M1379" s="244"/>
      <c r="N1379" s="245" t="s">
        <v>257</v>
      </c>
      <c r="O1379" s="246"/>
      <c r="P1379" s="203" t="s">
        <v>257</v>
      </c>
      <c r="Q1379" s="210" t="s">
        <v>257</v>
      </c>
      <c r="R1379" s="243" t="s">
        <v>257</v>
      </c>
      <c r="S1379" s="247"/>
    </row>
    <row r="1380" spans="1:19" x14ac:dyDescent="0.2">
      <c r="A1380" s="242"/>
      <c r="B1380" s="243"/>
      <c r="C1380" s="243"/>
      <c r="D1380" s="243"/>
      <c r="E1380" s="243"/>
      <c r="F1380" s="243"/>
      <c r="G1380" s="244"/>
      <c r="H1380" s="243"/>
      <c r="I1380" s="243"/>
      <c r="J1380" s="243"/>
      <c r="K1380" s="243"/>
      <c r="L1380" s="243"/>
      <c r="M1380" s="244"/>
      <c r="N1380" s="245" t="s">
        <v>257</v>
      </c>
      <c r="O1380" s="246"/>
      <c r="P1380" s="203" t="s">
        <v>257</v>
      </c>
      <c r="Q1380" s="210" t="s">
        <v>257</v>
      </c>
      <c r="R1380" s="243" t="s">
        <v>257</v>
      </c>
      <c r="S1380" s="247"/>
    </row>
    <row r="1381" spans="1:19" x14ac:dyDescent="0.2">
      <c r="A1381" s="242"/>
      <c r="B1381" s="243"/>
      <c r="C1381" s="243"/>
      <c r="D1381" s="243"/>
      <c r="E1381" s="243"/>
      <c r="F1381" s="243"/>
      <c r="G1381" s="244"/>
      <c r="H1381" s="243"/>
      <c r="I1381" s="243"/>
      <c r="J1381" s="243"/>
      <c r="K1381" s="243"/>
      <c r="L1381" s="243"/>
      <c r="M1381" s="244"/>
      <c r="N1381" s="245" t="s">
        <v>257</v>
      </c>
      <c r="O1381" s="246"/>
      <c r="P1381" s="203" t="s">
        <v>257</v>
      </c>
      <c r="Q1381" s="210" t="s">
        <v>257</v>
      </c>
      <c r="R1381" s="243" t="s">
        <v>257</v>
      </c>
      <c r="S1381" s="247"/>
    </row>
    <row r="1382" spans="1:19" x14ac:dyDescent="0.2">
      <c r="A1382" s="242"/>
      <c r="B1382" s="243"/>
      <c r="C1382" s="243"/>
      <c r="D1382" s="243"/>
      <c r="E1382" s="243"/>
      <c r="F1382" s="243"/>
      <c r="G1382" s="244"/>
      <c r="H1382" s="243"/>
      <c r="I1382" s="243"/>
      <c r="J1382" s="243"/>
      <c r="K1382" s="243"/>
      <c r="L1382" s="243"/>
      <c r="M1382" s="244"/>
      <c r="N1382" s="245" t="s">
        <v>257</v>
      </c>
      <c r="O1382" s="246"/>
      <c r="P1382" s="203" t="s">
        <v>257</v>
      </c>
      <c r="Q1382" s="210" t="s">
        <v>257</v>
      </c>
      <c r="R1382" s="243" t="s">
        <v>257</v>
      </c>
      <c r="S1382" s="247"/>
    </row>
    <row r="1383" spans="1:19" x14ac:dyDescent="0.2">
      <c r="A1383" s="242"/>
      <c r="B1383" s="243"/>
      <c r="C1383" s="243"/>
      <c r="D1383" s="243"/>
      <c r="E1383" s="243"/>
      <c r="F1383" s="243"/>
      <c r="G1383" s="244"/>
      <c r="H1383" s="243"/>
      <c r="I1383" s="243"/>
      <c r="J1383" s="243"/>
      <c r="K1383" s="243"/>
      <c r="L1383" s="243"/>
      <c r="M1383" s="244"/>
      <c r="N1383" s="245" t="s">
        <v>257</v>
      </c>
      <c r="O1383" s="246"/>
      <c r="P1383" s="203" t="s">
        <v>257</v>
      </c>
      <c r="Q1383" s="210" t="s">
        <v>257</v>
      </c>
      <c r="R1383" s="243" t="s">
        <v>257</v>
      </c>
      <c r="S1383" s="247"/>
    </row>
    <row r="1384" spans="1:19" x14ac:dyDescent="0.2">
      <c r="A1384" s="242"/>
      <c r="B1384" s="243"/>
      <c r="C1384" s="243"/>
      <c r="D1384" s="243"/>
      <c r="E1384" s="243"/>
      <c r="F1384" s="243"/>
      <c r="G1384" s="244"/>
      <c r="H1384" s="243"/>
      <c r="I1384" s="243"/>
      <c r="J1384" s="243"/>
      <c r="K1384" s="243"/>
      <c r="L1384" s="243"/>
      <c r="M1384" s="244"/>
      <c r="N1384" s="245" t="s">
        <v>257</v>
      </c>
      <c r="O1384" s="246"/>
      <c r="P1384" s="203" t="s">
        <v>257</v>
      </c>
      <c r="Q1384" s="210" t="s">
        <v>257</v>
      </c>
      <c r="R1384" s="243" t="s">
        <v>257</v>
      </c>
      <c r="S1384" s="247"/>
    </row>
    <row r="1385" spans="1:19" x14ac:dyDescent="0.2">
      <c r="A1385" s="242"/>
      <c r="B1385" s="243"/>
      <c r="C1385" s="243"/>
      <c r="D1385" s="243"/>
      <c r="E1385" s="243"/>
      <c r="F1385" s="243"/>
      <c r="G1385" s="244"/>
      <c r="H1385" s="243"/>
      <c r="I1385" s="243"/>
      <c r="J1385" s="243"/>
      <c r="K1385" s="243"/>
      <c r="L1385" s="243"/>
      <c r="M1385" s="244"/>
      <c r="N1385" s="245" t="s">
        <v>257</v>
      </c>
      <c r="O1385" s="246"/>
      <c r="P1385" s="203" t="s">
        <v>257</v>
      </c>
      <c r="Q1385" s="210" t="s">
        <v>257</v>
      </c>
      <c r="R1385" s="243" t="s">
        <v>257</v>
      </c>
      <c r="S1385" s="247"/>
    </row>
    <row r="1386" spans="1:19" x14ac:dyDescent="0.2">
      <c r="A1386" s="242"/>
      <c r="B1386" s="243"/>
      <c r="C1386" s="243"/>
      <c r="D1386" s="243"/>
      <c r="E1386" s="243"/>
      <c r="F1386" s="243"/>
      <c r="G1386" s="244"/>
      <c r="H1386" s="243"/>
      <c r="I1386" s="243"/>
      <c r="J1386" s="243"/>
      <c r="K1386" s="243"/>
      <c r="L1386" s="243"/>
      <c r="M1386" s="244"/>
      <c r="N1386" s="245" t="s">
        <v>257</v>
      </c>
      <c r="O1386" s="246"/>
      <c r="P1386" s="203" t="s">
        <v>257</v>
      </c>
      <c r="Q1386" s="210" t="s">
        <v>257</v>
      </c>
      <c r="R1386" s="243" t="s">
        <v>257</v>
      </c>
      <c r="S1386" s="247"/>
    </row>
    <row r="1387" spans="1:19" x14ac:dyDescent="0.2">
      <c r="A1387" s="242"/>
      <c r="B1387" s="243"/>
      <c r="C1387" s="243"/>
      <c r="D1387" s="243"/>
      <c r="E1387" s="243"/>
      <c r="F1387" s="243"/>
      <c r="G1387" s="244"/>
      <c r="H1387" s="243"/>
      <c r="I1387" s="243"/>
      <c r="J1387" s="243"/>
      <c r="K1387" s="243"/>
      <c r="L1387" s="243"/>
      <c r="M1387" s="244"/>
      <c r="N1387" s="245" t="s">
        <v>257</v>
      </c>
      <c r="O1387" s="246"/>
      <c r="P1387" s="203" t="s">
        <v>257</v>
      </c>
      <c r="Q1387" s="210" t="s">
        <v>257</v>
      </c>
      <c r="R1387" s="243" t="s">
        <v>257</v>
      </c>
      <c r="S1387" s="247"/>
    </row>
    <row r="1388" spans="1:19" x14ac:dyDescent="0.2">
      <c r="A1388" s="242"/>
      <c r="B1388" s="243"/>
      <c r="C1388" s="243"/>
      <c r="D1388" s="243"/>
      <c r="E1388" s="243"/>
      <c r="F1388" s="243"/>
      <c r="G1388" s="244"/>
      <c r="H1388" s="243"/>
      <c r="I1388" s="243"/>
      <c r="J1388" s="243"/>
      <c r="K1388" s="243"/>
      <c r="L1388" s="243"/>
      <c r="M1388" s="244"/>
      <c r="N1388" s="245" t="s">
        <v>257</v>
      </c>
      <c r="O1388" s="246"/>
      <c r="P1388" s="203" t="s">
        <v>257</v>
      </c>
      <c r="Q1388" s="210" t="s">
        <v>257</v>
      </c>
      <c r="R1388" s="243" t="s">
        <v>257</v>
      </c>
      <c r="S1388" s="247"/>
    </row>
    <row r="1389" spans="1:19" x14ac:dyDescent="0.2">
      <c r="A1389" s="242"/>
      <c r="B1389" s="243"/>
      <c r="C1389" s="243"/>
      <c r="D1389" s="243"/>
      <c r="E1389" s="243"/>
      <c r="F1389" s="243"/>
      <c r="G1389" s="244"/>
      <c r="H1389" s="243"/>
      <c r="I1389" s="243"/>
      <c r="J1389" s="243"/>
      <c r="K1389" s="243"/>
      <c r="L1389" s="243"/>
      <c r="M1389" s="244"/>
      <c r="N1389" s="245" t="s">
        <v>257</v>
      </c>
      <c r="O1389" s="246"/>
      <c r="P1389" s="203" t="s">
        <v>257</v>
      </c>
      <c r="Q1389" s="210" t="s">
        <v>257</v>
      </c>
      <c r="R1389" s="243" t="s">
        <v>257</v>
      </c>
      <c r="S1389" s="247"/>
    </row>
    <row r="1390" spans="1:19" x14ac:dyDescent="0.2">
      <c r="A1390" s="242"/>
      <c r="B1390" s="243"/>
      <c r="C1390" s="243"/>
      <c r="D1390" s="243"/>
      <c r="E1390" s="243"/>
      <c r="F1390" s="243"/>
      <c r="G1390" s="244"/>
      <c r="H1390" s="243"/>
      <c r="I1390" s="243"/>
      <c r="J1390" s="243"/>
      <c r="K1390" s="243"/>
      <c r="L1390" s="243"/>
      <c r="M1390" s="244"/>
      <c r="N1390" s="245" t="s">
        <v>257</v>
      </c>
      <c r="O1390" s="246"/>
      <c r="P1390" s="203" t="s">
        <v>257</v>
      </c>
      <c r="Q1390" s="210" t="s">
        <v>257</v>
      </c>
      <c r="R1390" s="243" t="s">
        <v>257</v>
      </c>
      <c r="S1390" s="247"/>
    </row>
    <row r="1391" spans="1:19" x14ac:dyDescent="0.2">
      <c r="A1391" s="242"/>
      <c r="B1391" s="243"/>
      <c r="C1391" s="243"/>
      <c r="D1391" s="243"/>
      <c r="E1391" s="243"/>
      <c r="F1391" s="243"/>
      <c r="G1391" s="244"/>
      <c r="H1391" s="243"/>
      <c r="I1391" s="243"/>
      <c r="J1391" s="243"/>
      <c r="K1391" s="243"/>
      <c r="L1391" s="243"/>
      <c r="M1391" s="244"/>
      <c r="N1391" s="245" t="s">
        <v>257</v>
      </c>
      <c r="O1391" s="246"/>
      <c r="P1391" s="203" t="s">
        <v>257</v>
      </c>
      <c r="Q1391" s="210" t="s">
        <v>257</v>
      </c>
      <c r="R1391" s="243" t="s">
        <v>257</v>
      </c>
      <c r="S1391" s="247"/>
    </row>
    <row r="1392" spans="1:19" x14ac:dyDescent="0.2">
      <c r="A1392" s="242"/>
      <c r="B1392" s="243"/>
      <c r="C1392" s="243"/>
      <c r="D1392" s="243"/>
      <c r="E1392" s="243"/>
      <c r="F1392" s="243"/>
      <c r="G1392" s="244"/>
      <c r="H1392" s="243"/>
      <c r="I1392" s="243"/>
      <c r="J1392" s="243"/>
      <c r="K1392" s="243"/>
      <c r="L1392" s="243"/>
      <c r="M1392" s="244"/>
      <c r="N1392" s="245" t="s">
        <v>257</v>
      </c>
      <c r="O1392" s="246"/>
      <c r="P1392" s="203" t="s">
        <v>257</v>
      </c>
      <c r="Q1392" s="210" t="s">
        <v>257</v>
      </c>
      <c r="R1392" s="243" t="s">
        <v>257</v>
      </c>
      <c r="S1392" s="247"/>
    </row>
    <row r="1393" spans="1:19" x14ac:dyDescent="0.2">
      <c r="A1393" s="242"/>
      <c r="B1393" s="243"/>
      <c r="C1393" s="243"/>
      <c r="D1393" s="243"/>
      <c r="E1393" s="243"/>
      <c r="F1393" s="243"/>
      <c r="G1393" s="244"/>
      <c r="H1393" s="243"/>
      <c r="I1393" s="243"/>
      <c r="J1393" s="243"/>
      <c r="K1393" s="243"/>
      <c r="L1393" s="243"/>
      <c r="M1393" s="244"/>
      <c r="N1393" s="245" t="s">
        <v>257</v>
      </c>
      <c r="O1393" s="246"/>
      <c r="P1393" s="203" t="s">
        <v>257</v>
      </c>
      <c r="Q1393" s="210" t="s">
        <v>257</v>
      </c>
      <c r="R1393" s="243" t="s">
        <v>257</v>
      </c>
      <c r="S1393" s="247"/>
    </row>
    <row r="1394" spans="1:19" x14ac:dyDescent="0.2">
      <c r="A1394" s="242"/>
      <c r="B1394" s="243"/>
      <c r="C1394" s="243"/>
      <c r="D1394" s="243"/>
      <c r="E1394" s="243"/>
      <c r="F1394" s="243"/>
      <c r="G1394" s="244"/>
      <c r="H1394" s="243"/>
      <c r="I1394" s="243"/>
      <c r="J1394" s="243"/>
      <c r="K1394" s="243"/>
      <c r="L1394" s="243"/>
      <c r="M1394" s="244"/>
      <c r="N1394" s="245" t="s">
        <v>257</v>
      </c>
      <c r="O1394" s="246"/>
      <c r="P1394" s="203" t="s">
        <v>257</v>
      </c>
      <c r="Q1394" s="210" t="s">
        <v>257</v>
      </c>
      <c r="R1394" s="243" t="s">
        <v>257</v>
      </c>
      <c r="S1394" s="247"/>
    </row>
    <row r="1395" spans="1:19" x14ac:dyDescent="0.2">
      <c r="A1395" s="242"/>
      <c r="B1395" s="243"/>
      <c r="C1395" s="243"/>
      <c r="D1395" s="243"/>
      <c r="E1395" s="243"/>
      <c r="F1395" s="243"/>
      <c r="G1395" s="244"/>
      <c r="H1395" s="243"/>
      <c r="I1395" s="243"/>
      <c r="J1395" s="243"/>
      <c r="K1395" s="243"/>
      <c r="L1395" s="243"/>
      <c r="M1395" s="244"/>
      <c r="N1395" s="245" t="s">
        <v>257</v>
      </c>
      <c r="O1395" s="246"/>
      <c r="P1395" s="203" t="s">
        <v>257</v>
      </c>
      <c r="Q1395" s="210" t="s">
        <v>257</v>
      </c>
      <c r="R1395" s="243" t="s">
        <v>257</v>
      </c>
      <c r="S1395" s="247"/>
    </row>
    <row r="1396" spans="1:19" x14ac:dyDescent="0.2">
      <c r="A1396" s="242"/>
      <c r="B1396" s="243"/>
      <c r="C1396" s="243"/>
      <c r="D1396" s="243"/>
      <c r="E1396" s="243"/>
      <c r="F1396" s="243"/>
      <c r="G1396" s="244"/>
      <c r="H1396" s="243"/>
      <c r="I1396" s="243"/>
      <c r="J1396" s="243"/>
      <c r="K1396" s="243"/>
      <c r="L1396" s="243"/>
      <c r="M1396" s="244"/>
      <c r="N1396" s="245" t="s">
        <v>257</v>
      </c>
      <c r="O1396" s="246"/>
      <c r="P1396" s="203" t="s">
        <v>257</v>
      </c>
      <c r="Q1396" s="210" t="s">
        <v>257</v>
      </c>
      <c r="R1396" s="243" t="s">
        <v>257</v>
      </c>
      <c r="S1396" s="247"/>
    </row>
    <row r="1397" spans="1:19" x14ac:dyDescent="0.2">
      <c r="A1397" s="242"/>
      <c r="B1397" s="243"/>
      <c r="C1397" s="243"/>
      <c r="D1397" s="243"/>
      <c r="E1397" s="243"/>
      <c r="F1397" s="243"/>
      <c r="G1397" s="244"/>
      <c r="H1397" s="243"/>
      <c r="I1397" s="243"/>
      <c r="J1397" s="243"/>
      <c r="K1397" s="243"/>
      <c r="L1397" s="243"/>
      <c r="M1397" s="244"/>
      <c r="N1397" s="245" t="s">
        <v>257</v>
      </c>
      <c r="O1397" s="246"/>
      <c r="P1397" s="203" t="s">
        <v>257</v>
      </c>
      <c r="Q1397" s="210" t="s">
        <v>257</v>
      </c>
      <c r="R1397" s="243" t="s">
        <v>257</v>
      </c>
      <c r="S1397" s="247"/>
    </row>
    <row r="1398" spans="1:19" x14ac:dyDescent="0.2">
      <c r="A1398" s="242"/>
      <c r="B1398" s="243"/>
      <c r="C1398" s="243"/>
      <c r="D1398" s="243"/>
      <c r="E1398" s="243"/>
      <c r="F1398" s="243"/>
      <c r="G1398" s="244"/>
      <c r="H1398" s="243"/>
      <c r="I1398" s="243"/>
      <c r="J1398" s="243"/>
      <c r="K1398" s="243"/>
      <c r="L1398" s="243"/>
      <c r="M1398" s="244"/>
      <c r="N1398" s="245" t="s">
        <v>257</v>
      </c>
      <c r="O1398" s="246"/>
      <c r="P1398" s="203" t="s">
        <v>257</v>
      </c>
      <c r="Q1398" s="210" t="s">
        <v>257</v>
      </c>
      <c r="R1398" s="243" t="s">
        <v>257</v>
      </c>
      <c r="S1398" s="247"/>
    </row>
    <row r="1399" spans="1:19" x14ac:dyDescent="0.2">
      <c r="A1399" s="242"/>
      <c r="B1399" s="243"/>
      <c r="C1399" s="243"/>
      <c r="D1399" s="243"/>
      <c r="E1399" s="243"/>
      <c r="F1399" s="243"/>
      <c r="G1399" s="244"/>
      <c r="H1399" s="243"/>
      <c r="I1399" s="243"/>
      <c r="J1399" s="243"/>
      <c r="K1399" s="243"/>
      <c r="L1399" s="243"/>
      <c r="M1399" s="244"/>
      <c r="N1399" s="245" t="s">
        <v>257</v>
      </c>
      <c r="O1399" s="246"/>
      <c r="P1399" s="203" t="s">
        <v>257</v>
      </c>
      <c r="Q1399" s="210" t="s">
        <v>257</v>
      </c>
      <c r="R1399" s="243" t="s">
        <v>257</v>
      </c>
      <c r="S1399" s="247"/>
    </row>
    <row r="1400" spans="1:19" x14ac:dyDescent="0.2">
      <c r="A1400" s="242"/>
      <c r="B1400" s="243"/>
      <c r="C1400" s="243"/>
      <c r="D1400" s="243"/>
      <c r="E1400" s="243"/>
      <c r="F1400" s="243"/>
      <c r="G1400" s="244"/>
      <c r="H1400" s="243"/>
      <c r="I1400" s="243"/>
      <c r="J1400" s="243"/>
      <c r="K1400" s="243"/>
      <c r="L1400" s="243"/>
      <c r="M1400" s="244"/>
      <c r="N1400" s="245" t="s">
        <v>257</v>
      </c>
      <c r="O1400" s="246"/>
      <c r="P1400" s="203" t="s">
        <v>257</v>
      </c>
      <c r="Q1400" s="210" t="s">
        <v>257</v>
      </c>
      <c r="R1400" s="243" t="s">
        <v>257</v>
      </c>
      <c r="S1400" s="247"/>
    </row>
    <row r="1401" spans="1:19" x14ac:dyDescent="0.2">
      <c r="A1401" s="242"/>
      <c r="B1401" s="243"/>
      <c r="C1401" s="243"/>
      <c r="D1401" s="243"/>
      <c r="E1401" s="243"/>
      <c r="F1401" s="243"/>
      <c r="G1401" s="244"/>
      <c r="H1401" s="243"/>
      <c r="I1401" s="243"/>
      <c r="J1401" s="243"/>
      <c r="K1401" s="243"/>
      <c r="L1401" s="243"/>
      <c r="M1401" s="244"/>
      <c r="N1401" s="245" t="s">
        <v>257</v>
      </c>
      <c r="O1401" s="246"/>
      <c r="P1401" s="203" t="s">
        <v>257</v>
      </c>
      <c r="Q1401" s="210" t="s">
        <v>257</v>
      </c>
      <c r="R1401" s="243" t="s">
        <v>257</v>
      </c>
      <c r="S1401" s="247"/>
    </row>
    <row r="1402" spans="1:19" x14ac:dyDescent="0.2">
      <c r="A1402" s="242"/>
      <c r="B1402" s="243"/>
      <c r="C1402" s="243"/>
      <c r="D1402" s="243"/>
      <c r="E1402" s="243"/>
      <c r="F1402" s="243"/>
      <c r="G1402" s="244"/>
      <c r="H1402" s="243"/>
      <c r="I1402" s="243"/>
      <c r="J1402" s="243"/>
      <c r="K1402" s="243"/>
      <c r="L1402" s="243"/>
      <c r="M1402" s="244"/>
      <c r="N1402" s="245" t="s">
        <v>257</v>
      </c>
      <c r="O1402" s="246"/>
      <c r="P1402" s="203" t="s">
        <v>257</v>
      </c>
      <c r="Q1402" s="210" t="s">
        <v>257</v>
      </c>
      <c r="R1402" s="243" t="s">
        <v>257</v>
      </c>
      <c r="S1402" s="247"/>
    </row>
    <row r="1403" spans="1:19" x14ac:dyDescent="0.2">
      <c r="A1403" s="242"/>
      <c r="B1403" s="243"/>
      <c r="C1403" s="243"/>
      <c r="D1403" s="243"/>
      <c r="E1403" s="243"/>
      <c r="F1403" s="243"/>
      <c r="G1403" s="244"/>
      <c r="H1403" s="243"/>
      <c r="I1403" s="243"/>
      <c r="J1403" s="243"/>
      <c r="K1403" s="243"/>
      <c r="L1403" s="243"/>
      <c r="M1403" s="244"/>
      <c r="N1403" s="245" t="s">
        <v>257</v>
      </c>
      <c r="O1403" s="246"/>
      <c r="P1403" s="203" t="s">
        <v>257</v>
      </c>
      <c r="Q1403" s="210" t="s">
        <v>257</v>
      </c>
      <c r="R1403" s="243" t="s">
        <v>257</v>
      </c>
      <c r="S1403" s="247"/>
    </row>
    <row r="1404" spans="1:19" x14ac:dyDescent="0.2">
      <c r="A1404" s="242"/>
      <c r="B1404" s="243"/>
      <c r="C1404" s="243"/>
      <c r="D1404" s="243"/>
      <c r="E1404" s="243"/>
      <c r="F1404" s="243"/>
      <c r="G1404" s="244"/>
      <c r="H1404" s="243"/>
      <c r="I1404" s="243"/>
      <c r="J1404" s="243"/>
      <c r="K1404" s="243"/>
      <c r="L1404" s="243"/>
      <c r="M1404" s="244"/>
      <c r="N1404" s="245" t="s">
        <v>257</v>
      </c>
      <c r="O1404" s="246"/>
      <c r="P1404" s="203" t="s">
        <v>257</v>
      </c>
      <c r="Q1404" s="210" t="s">
        <v>257</v>
      </c>
      <c r="R1404" s="243" t="s">
        <v>257</v>
      </c>
      <c r="S1404" s="247"/>
    </row>
    <row r="1405" spans="1:19" x14ac:dyDescent="0.2">
      <c r="A1405" s="242"/>
      <c r="B1405" s="243"/>
      <c r="C1405" s="243"/>
      <c r="D1405" s="243"/>
      <c r="E1405" s="243"/>
      <c r="F1405" s="243"/>
      <c r="G1405" s="244"/>
      <c r="H1405" s="243"/>
      <c r="I1405" s="243"/>
      <c r="J1405" s="243"/>
      <c r="K1405" s="243"/>
      <c r="L1405" s="243"/>
      <c r="M1405" s="244"/>
      <c r="N1405" s="245" t="s">
        <v>257</v>
      </c>
      <c r="O1405" s="246"/>
      <c r="P1405" s="203" t="s">
        <v>257</v>
      </c>
      <c r="Q1405" s="210" t="s">
        <v>257</v>
      </c>
      <c r="R1405" s="243" t="s">
        <v>257</v>
      </c>
      <c r="S1405" s="247"/>
    </row>
    <row r="1406" spans="1:19" x14ac:dyDescent="0.2">
      <c r="A1406" s="242"/>
      <c r="B1406" s="243"/>
      <c r="C1406" s="243"/>
      <c r="D1406" s="243"/>
      <c r="E1406" s="243"/>
      <c r="F1406" s="243"/>
      <c r="G1406" s="244"/>
      <c r="H1406" s="243"/>
      <c r="I1406" s="243"/>
      <c r="J1406" s="243"/>
      <c r="K1406" s="243"/>
      <c r="L1406" s="243"/>
      <c r="M1406" s="244"/>
      <c r="N1406" s="245" t="s">
        <v>257</v>
      </c>
      <c r="O1406" s="246"/>
      <c r="P1406" s="203" t="s">
        <v>257</v>
      </c>
      <c r="Q1406" s="210" t="s">
        <v>257</v>
      </c>
      <c r="R1406" s="243" t="s">
        <v>257</v>
      </c>
      <c r="S1406" s="247"/>
    </row>
    <row r="1407" spans="1:19" x14ac:dyDescent="0.2">
      <c r="A1407" s="242"/>
      <c r="B1407" s="243"/>
      <c r="C1407" s="243"/>
      <c r="D1407" s="243"/>
      <c r="E1407" s="243"/>
      <c r="F1407" s="243"/>
      <c r="G1407" s="244"/>
      <c r="H1407" s="243"/>
      <c r="I1407" s="243"/>
      <c r="J1407" s="243"/>
      <c r="K1407" s="243"/>
      <c r="L1407" s="243"/>
      <c r="M1407" s="244"/>
      <c r="N1407" s="245" t="s">
        <v>257</v>
      </c>
      <c r="O1407" s="246"/>
      <c r="P1407" s="203" t="s">
        <v>257</v>
      </c>
      <c r="Q1407" s="210" t="s">
        <v>257</v>
      </c>
      <c r="R1407" s="243" t="s">
        <v>257</v>
      </c>
      <c r="S1407" s="247"/>
    </row>
    <row r="1408" spans="1:19" x14ac:dyDescent="0.2">
      <c r="A1408" s="242"/>
      <c r="B1408" s="243"/>
      <c r="C1408" s="243"/>
      <c r="D1408" s="243"/>
      <c r="E1408" s="243"/>
      <c r="F1408" s="243"/>
      <c r="G1408" s="244"/>
      <c r="H1408" s="243"/>
      <c r="I1408" s="243"/>
      <c r="J1408" s="243"/>
      <c r="K1408" s="243"/>
      <c r="L1408" s="243"/>
      <c r="M1408" s="244"/>
      <c r="N1408" s="245" t="s">
        <v>257</v>
      </c>
      <c r="O1408" s="246"/>
      <c r="P1408" s="203" t="s">
        <v>257</v>
      </c>
      <c r="Q1408" s="210" t="s">
        <v>257</v>
      </c>
      <c r="R1408" s="243" t="s">
        <v>257</v>
      </c>
      <c r="S1408" s="247"/>
    </row>
    <row r="1409" spans="1:19" x14ac:dyDescent="0.2">
      <c r="A1409" s="242"/>
      <c r="B1409" s="243"/>
      <c r="C1409" s="243"/>
      <c r="D1409" s="243"/>
      <c r="E1409" s="243"/>
      <c r="F1409" s="243"/>
      <c r="G1409" s="244"/>
      <c r="H1409" s="243"/>
      <c r="I1409" s="243"/>
      <c r="J1409" s="243"/>
      <c r="K1409" s="243"/>
      <c r="L1409" s="243"/>
      <c r="M1409" s="244"/>
      <c r="N1409" s="245" t="s">
        <v>257</v>
      </c>
      <c r="O1409" s="246"/>
      <c r="P1409" s="203" t="s">
        <v>257</v>
      </c>
      <c r="Q1409" s="210" t="s">
        <v>257</v>
      </c>
      <c r="R1409" s="243" t="s">
        <v>257</v>
      </c>
      <c r="S1409" s="247"/>
    </row>
    <row r="1410" spans="1:19" x14ac:dyDescent="0.2">
      <c r="A1410" s="242"/>
      <c r="B1410" s="243"/>
      <c r="C1410" s="243"/>
      <c r="D1410" s="243"/>
      <c r="E1410" s="243"/>
      <c r="F1410" s="243"/>
      <c r="G1410" s="244"/>
      <c r="H1410" s="243"/>
      <c r="I1410" s="243"/>
      <c r="J1410" s="243"/>
      <c r="K1410" s="243"/>
      <c r="L1410" s="243"/>
      <c r="M1410" s="244"/>
      <c r="N1410" s="245" t="s">
        <v>257</v>
      </c>
      <c r="O1410" s="246"/>
      <c r="P1410" s="203" t="s">
        <v>257</v>
      </c>
      <c r="Q1410" s="210" t="s">
        <v>257</v>
      </c>
      <c r="R1410" s="243" t="s">
        <v>257</v>
      </c>
      <c r="S1410" s="247"/>
    </row>
    <row r="1411" spans="1:19" x14ac:dyDescent="0.2">
      <c r="A1411" s="242"/>
      <c r="B1411" s="243"/>
      <c r="C1411" s="243"/>
      <c r="D1411" s="243"/>
      <c r="E1411" s="243"/>
      <c r="F1411" s="243"/>
      <c r="G1411" s="244"/>
      <c r="H1411" s="243"/>
      <c r="I1411" s="243"/>
      <c r="J1411" s="243"/>
      <c r="K1411" s="243"/>
      <c r="L1411" s="243"/>
      <c r="M1411" s="244"/>
      <c r="N1411" s="245" t="s">
        <v>257</v>
      </c>
      <c r="O1411" s="246"/>
      <c r="P1411" s="203" t="s">
        <v>257</v>
      </c>
      <c r="Q1411" s="210" t="s">
        <v>257</v>
      </c>
      <c r="R1411" s="243" t="s">
        <v>257</v>
      </c>
      <c r="S1411" s="247"/>
    </row>
    <row r="1412" spans="1:19" x14ac:dyDescent="0.2">
      <c r="A1412" s="242"/>
      <c r="B1412" s="243"/>
      <c r="C1412" s="243"/>
      <c r="D1412" s="243"/>
      <c r="E1412" s="243"/>
      <c r="F1412" s="243"/>
      <c r="G1412" s="244"/>
      <c r="H1412" s="243"/>
      <c r="I1412" s="243"/>
      <c r="J1412" s="243"/>
      <c r="K1412" s="243"/>
      <c r="L1412" s="243"/>
      <c r="M1412" s="244"/>
      <c r="N1412" s="245" t="s">
        <v>257</v>
      </c>
      <c r="O1412" s="246"/>
      <c r="P1412" s="203" t="s">
        <v>257</v>
      </c>
      <c r="Q1412" s="210" t="s">
        <v>257</v>
      </c>
      <c r="R1412" s="243" t="s">
        <v>257</v>
      </c>
      <c r="S1412" s="247"/>
    </row>
    <row r="1413" spans="1:19" x14ac:dyDescent="0.2">
      <c r="A1413" s="242"/>
      <c r="B1413" s="243"/>
      <c r="C1413" s="243"/>
      <c r="D1413" s="243"/>
      <c r="E1413" s="243"/>
      <c r="F1413" s="243"/>
      <c r="G1413" s="244"/>
      <c r="H1413" s="243"/>
      <c r="I1413" s="243"/>
      <c r="J1413" s="243"/>
      <c r="K1413" s="243"/>
      <c r="L1413" s="243"/>
      <c r="M1413" s="244"/>
      <c r="N1413" s="245" t="s">
        <v>257</v>
      </c>
      <c r="O1413" s="246"/>
      <c r="P1413" s="203" t="s">
        <v>257</v>
      </c>
      <c r="Q1413" s="210" t="s">
        <v>257</v>
      </c>
      <c r="R1413" s="243" t="s">
        <v>257</v>
      </c>
      <c r="S1413" s="247"/>
    </row>
    <row r="1414" spans="1:19" x14ac:dyDescent="0.2">
      <c r="A1414" s="242"/>
      <c r="B1414" s="243"/>
      <c r="C1414" s="243"/>
      <c r="D1414" s="243"/>
      <c r="E1414" s="243"/>
      <c r="F1414" s="243"/>
      <c r="G1414" s="244"/>
      <c r="H1414" s="243"/>
      <c r="I1414" s="243"/>
      <c r="J1414" s="243"/>
      <c r="K1414" s="243"/>
      <c r="L1414" s="243"/>
      <c r="M1414" s="244"/>
      <c r="N1414" s="245" t="s">
        <v>257</v>
      </c>
      <c r="O1414" s="246"/>
      <c r="P1414" s="203" t="s">
        <v>257</v>
      </c>
      <c r="Q1414" s="210" t="s">
        <v>257</v>
      </c>
      <c r="R1414" s="243" t="s">
        <v>257</v>
      </c>
      <c r="S1414" s="247"/>
    </row>
    <row r="1415" spans="1:19" x14ac:dyDescent="0.2">
      <c r="A1415" s="242"/>
      <c r="B1415" s="243"/>
      <c r="C1415" s="243"/>
      <c r="D1415" s="243"/>
      <c r="E1415" s="243"/>
      <c r="F1415" s="243"/>
      <c r="G1415" s="244"/>
      <c r="H1415" s="243"/>
      <c r="I1415" s="243"/>
      <c r="J1415" s="243"/>
      <c r="K1415" s="243"/>
      <c r="L1415" s="243"/>
      <c r="M1415" s="244"/>
      <c r="N1415" s="245" t="s">
        <v>257</v>
      </c>
      <c r="O1415" s="246"/>
      <c r="P1415" s="203" t="s">
        <v>257</v>
      </c>
      <c r="Q1415" s="210" t="s">
        <v>257</v>
      </c>
      <c r="R1415" s="243" t="s">
        <v>257</v>
      </c>
      <c r="S1415" s="247"/>
    </row>
    <row r="1416" spans="1:19" x14ac:dyDescent="0.2">
      <c r="A1416" s="242"/>
      <c r="B1416" s="243"/>
      <c r="C1416" s="243"/>
      <c r="D1416" s="243"/>
      <c r="E1416" s="243"/>
      <c r="F1416" s="243"/>
      <c r="G1416" s="244"/>
      <c r="H1416" s="243"/>
      <c r="I1416" s="243"/>
      <c r="J1416" s="243"/>
      <c r="K1416" s="243"/>
      <c r="L1416" s="243"/>
      <c r="M1416" s="244"/>
      <c r="N1416" s="245" t="s">
        <v>257</v>
      </c>
      <c r="O1416" s="246"/>
      <c r="P1416" s="203" t="s">
        <v>257</v>
      </c>
      <c r="Q1416" s="210" t="s">
        <v>257</v>
      </c>
      <c r="R1416" s="243" t="s">
        <v>257</v>
      </c>
      <c r="S1416" s="247"/>
    </row>
    <row r="1417" spans="1:19" x14ac:dyDescent="0.2">
      <c r="A1417" s="242"/>
      <c r="B1417" s="243"/>
      <c r="C1417" s="243"/>
      <c r="D1417" s="243"/>
      <c r="E1417" s="243"/>
      <c r="F1417" s="243"/>
      <c r="G1417" s="244"/>
      <c r="H1417" s="243"/>
      <c r="I1417" s="243"/>
      <c r="J1417" s="243"/>
      <c r="K1417" s="243"/>
      <c r="L1417" s="243"/>
      <c r="M1417" s="244"/>
      <c r="N1417" s="245" t="s">
        <v>257</v>
      </c>
      <c r="O1417" s="246"/>
      <c r="P1417" s="203" t="s">
        <v>257</v>
      </c>
      <c r="Q1417" s="210" t="s">
        <v>257</v>
      </c>
      <c r="R1417" s="243" t="s">
        <v>257</v>
      </c>
      <c r="S1417" s="247"/>
    </row>
    <row r="1418" spans="1:19" x14ac:dyDescent="0.2">
      <c r="A1418" s="242"/>
      <c r="B1418" s="243"/>
      <c r="C1418" s="243"/>
      <c r="D1418" s="243"/>
      <c r="E1418" s="243"/>
      <c r="F1418" s="243"/>
      <c r="G1418" s="244"/>
      <c r="H1418" s="243"/>
      <c r="I1418" s="243"/>
      <c r="J1418" s="243"/>
      <c r="K1418" s="243"/>
      <c r="L1418" s="243"/>
      <c r="M1418" s="244"/>
      <c r="N1418" s="245" t="s">
        <v>257</v>
      </c>
      <c r="O1418" s="246"/>
      <c r="P1418" s="203" t="s">
        <v>257</v>
      </c>
      <c r="Q1418" s="210" t="s">
        <v>257</v>
      </c>
      <c r="R1418" s="243" t="s">
        <v>257</v>
      </c>
      <c r="S1418" s="247"/>
    </row>
    <row r="1419" spans="1:19" x14ac:dyDescent="0.2">
      <c r="A1419" s="242"/>
      <c r="B1419" s="243"/>
      <c r="C1419" s="243"/>
      <c r="D1419" s="243"/>
      <c r="E1419" s="243"/>
      <c r="F1419" s="243"/>
      <c r="G1419" s="244"/>
      <c r="H1419" s="243"/>
      <c r="I1419" s="243"/>
      <c r="J1419" s="243"/>
      <c r="K1419" s="243"/>
      <c r="L1419" s="243"/>
      <c r="M1419" s="244"/>
      <c r="N1419" s="245" t="s">
        <v>257</v>
      </c>
      <c r="O1419" s="246"/>
      <c r="P1419" s="203" t="s">
        <v>257</v>
      </c>
      <c r="Q1419" s="210" t="s">
        <v>257</v>
      </c>
      <c r="R1419" s="243" t="s">
        <v>257</v>
      </c>
      <c r="S1419" s="247"/>
    </row>
    <row r="1420" spans="1:19" x14ac:dyDescent="0.2">
      <c r="A1420" s="242"/>
      <c r="B1420" s="243"/>
      <c r="C1420" s="243"/>
      <c r="D1420" s="243"/>
      <c r="E1420" s="243"/>
      <c r="F1420" s="243"/>
      <c r="G1420" s="244"/>
      <c r="H1420" s="243"/>
      <c r="I1420" s="243"/>
      <c r="J1420" s="243"/>
      <c r="K1420" s="243"/>
      <c r="L1420" s="243"/>
      <c r="M1420" s="244"/>
      <c r="N1420" s="245" t="s">
        <v>257</v>
      </c>
      <c r="O1420" s="246"/>
      <c r="P1420" s="203" t="s">
        <v>257</v>
      </c>
      <c r="Q1420" s="210" t="s">
        <v>257</v>
      </c>
      <c r="R1420" s="243" t="s">
        <v>257</v>
      </c>
      <c r="S1420" s="247"/>
    </row>
    <row r="1421" spans="1:19" x14ac:dyDescent="0.2">
      <c r="A1421" s="242"/>
      <c r="B1421" s="243"/>
      <c r="C1421" s="243"/>
      <c r="D1421" s="243"/>
      <c r="E1421" s="243"/>
      <c r="F1421" s="243"/>
      <c r="G1421" s="244"/>
      <c r="H1421" s="243"/>
      <c r="I1421" s="243"/>
      <c r="J1421" s="243"/>
      <c r="K1421" s="243"/>
      <c r="L1421" s="243"/>
      <c r="M1421" s="244"/>
      <c r="N1421" s="245" t="s">
        <v>257</v>
      </c>
      <c r="O1421" s="246"/>
      <c r="P1421" s="203" t="s">
        <v>257</v>
      </c>
      <c r="Q1421" s="210" t="s">
        <v>257</v>
      </c>
      <c r="R1421" s="243" t="s">
        <v>257</v>
      </c>
      <c r="S1421" s="247"/>
    </row>
    <row r="1422" spans="1:19" x14ac:dyDescent="0.2">
      <c r="A1422" s="242"/>
      <c r="B1422" s="243"/>
      <c r="C1422" s="243"/>
      <c r="D1422" s="243"/>
      <c r="E1422" s="243"/>
      <c r="F1422" s="243"/>
      <c r="G1422" s="244"/>
      <c r="H1422" s="243"/>
      <c r="I1422" s="243"/>
      <c r="J1422" s="243"/>
      <c r="K1422" s="243"/>
      <c r="L1422" s="243"/>
      <c r="M1422" s="244"/>
      <c r="N1422" s="245" t="s">
        <v>257</v>
      </c>
      <c r="O1422" s="246"/>
      <c r="P1422" s="203" t="s">
        <v>257</v>
      </c>
      <c r="Q1422" s="210" t="s">
        <v>257</v>
      </c>
      <c r="R1422" s="243" t="s">
        <v>257</v>
      </c>
      <c r="S1422" s="247"/>
    </row>
    <row r="1423" spans="1:19" x14ac:dyDescent="0.2">
      <c r="A1423" s="242"/>
      <c r="B1423" s="243"/>
      <c r="C1423" s="243"/>
      <c r="D1423" s="243"/>
      <c r="E1423" s="243"/>
      <c r="F1423" s="243"/>
      <c r="G1423" s="244"/>
      <c r="H1423" s="243"/>
      <c r="I1423" s="243"/>
      <c r="J1423" s="243"/>
      <c r="K1423" s="243"/>
      <c r="L1423" s="243"/>
      <c r="M1423" s="244"/>
      <c r="N1423" s="245" t="s">
        <v>257</v>
      </c>
      <c r="O1423" s="246"/>
      <c r="P1423" s="203" t="s">
        <v>257</v>
      </c>
      <c r="Q1423" s="210" t="s">
        <v>257</v>
      </c>
      <c r="R1423" s="243" t="s">
        <v>257</v>
      </c>
      <c r="S1423" s="247"/>
    </row>
    <row r="1424" spans="1:19" x14ac:dyDescent="0.2">
      <c r="A1424" s="242"/>
      <c r="B1424" s="243"/>
      <c r="C1424" s="243"/>
      <c r="D1424" s="243"/>
      <c r="E1424" s="243"/>
      <c r="F1424" s="243"/>
      <c r="G1424" s="244"/>
      <c r="H1424" s="243"/>
      <c r="I1424" s="243"/>
      <c r="J1424" s="243"/>
      <c r="K1424" s="243"/>
      <c r="L1424" s="243"/>
      <c r="M1424" s="244"/>
      <c r="N1424" s="245" t="s">
        <v>257</v>
      </c>
      <c r="O1424" s="246"/>
      <c r="P1424" s="203" t="s">
        <v>257</v>
      </c>
      <c r="Q1424" s="210" t="s">
        <v>257</v>
      </c>
      <c r="R1424" s="243" t="s">
        <v>257</v>
      </c>
      <c r="S1424" s="247"/>
    </row>
    <row r="1425" spans="1:19" x14ac:dyDescent="0.2">
      <c r="A1425" s="242"/>
      <c r="B1425" s="243"/>
      <c r="C1425" s="243"/>
      <c r="D1425" s="243"/>
      <c r="E1425" s="243"/>
      <c r="F1425" s="243"/>
      <c r="G1425" s="244"/>
      <c r="H1425" s="243"/>
      <c r="I1425" s="243"/>
      <c r="J1425" s="243"/>
      <c r="K1425" s="243"/>
      <c r="L1425" s="243"/>
      <c r="M1425" s="244"/>
      <c r="N1425" s="245" t="s">
        <v>257</v>
      </c>
      <c r="O1425" s="246"/>
      <c r="P1425" s="203" t="s">
        <v>257</v>
      </c>
      <c r="Q1425" s="210" t="s">
        <v>257</v>
      </c>
      <c r="R1425" s="243" t="s">
        <v>257</v>
      </c>
      <c r="S1425" s="247"/>
    </row>
    <row r="1426" spans="1:19" x14ac:dyDescent="0.2">
      <c r="A1426" s="242"/>
      <c r="B1426" s="243"/>
      <c r="C1426" s="243"/>
      <c r="D1426" s="243"/>
      <c r="E1426" s="243"/>
      <c r="F1426" s="243"/>
      <c r="G1426" s="244"/>
      <c r="H1426" s="243"/>
      <c r="I1426" s="243"/>
      <c r="J1426" s="243"/>
      <c r="K1426" s="243"/>
      <c r="L1426" s="243"/>
      <c r="M1426" s="244"/>
      <c r="N1426" s="245" t="s">
        <v>257</v>
      </c>
      <c r="O1426" s="246"/>
      <c r="P1426" s="203" t="s">
        <v>257</v>
      </c>
      <c r="Q1426" s="210" t="s">
        <v>257</v>
      </c>
      <c r="R1426" s="243" t="s">
        <v>257</v>
      </c>
      <c r="S1426" s="247"/>
    </row>
    <row r="1427" spans="1:19" x14ac:dyDescent="0.2">
      <c r="A1427" s="242"/>
      <c r="B1427" s="243"/>
      <c r="C1427" s="243"/>
      <c r="D1427" s="243"/>
      <c r="E1427" s="243"/>
      <c r="F1427" s="243"/>
      <c r="G1427" s="244"/>
      <c r="H1427" s="243"/>
      <c r="I1427" s="243"/>
      <c r="J1427" s="243"/>
      <c r="K1427" s="243"/>
      <c r="L1427" s="243"/>
      <c r="M1427" s="244"/>
      <c r="N1427" s="245" t="s">
        <v>257</v>
      </c>
      <c r="O1427" s="246"/>
      <c r="P1427" s="203" t="s">
        <v>257</v>
      </c>
      <c r="Q1427" s="210" t="s">
        <v>257</v>
      </c>
      <c r="R1427" s="243" t="s">
        <v>257</v>
      </c>
      <c r="S1427" s="247"/>
    </row>
    <row r="1428" spans="1:19" x14ac:dyDescent="0.2">
      <c r="A1428" s="242"/>
      <c r="B1428" s="243"/>
      <c r="C1428" s="243"/>
      <c r="D1428" s="243"/>
      <c r="E1428" s="243"/>
      <c r="F1428" s="243"/>
      <c r="G1428" s="244"/>
      <c r="H1428" s="243"/>
      <c r="I1428" s="243"/>
      <c r="J1428" s="243"/>
      <c r="K1428" s="243"/>
      <c r="L1428" s="243"/>
      <c r="M1428" s="244"/>
      <c r="N1428" s="245" t="s">
        <v>257</v>
      </c>
      <c r="O1428" s="246"/>
      <c r="P1428" s="203" t="s">
        <v>257</v>
      </c>
      <c r="Q1428" s="210" t="s">
        <v>257</v>
      </c>
      <c r="R1428" s="243" t="s">
        <v>257</v>
      </c>
      <c r="S1428" s="247"/>
    </row>
    <row r="1429" spans="1:19" x14ac:dyDescent="0.2">
      <c r="A1429" s="242"/>
      <c r="B1429" s="243"/>
      <c r="C1429" s="243"/>
      <c r="D1429" s="243"/>
      <c r="E1429" s="243"/>
      <c r="F1429" s="243"/>
      <c r="G1429" s="244"/>
      <c r="H1429" s="243"/>
      <c r="I1429" s="243"/>
      <c r="J1429" s="243"/>
      <c r="K1429" s="243"/>
      <c r="L1429" s="243"/>
      <c r="M1429" s="244"/>
      <c r="N1429" s="245" t="s">
        <v>257</v>
      </c>
      <c r="O1429" s="246"/>
      <c r="P1429" s="203" t="s">
        <v>257</v>
      </c>
      <c r="Q1429" s="210" t="s">
        <v>257</v>
      </c>
      <c r="R1429" s="243" t="s">
        <v>257</v>
      </c>
      <c r="S1429" s="247"/>
    </row>
    <row r="1430" spans="1:19" x14ac:dyDescent="0.2">
      <c r="A1430" s="242"/>
      <c r="B1430" s="243"/>
      <c r="C1430" s="243"/>
      <c r="D1430" s="243"/>
      <c r="E1430" s="243"/>
      <c r="F1430" s="243"/>
      <c r="G1430" s="244"/>
      <c r="H1430" s="243"/>
      <c r="I1430" s="243"/>
      <c r="J1430" s="243"/>
      <c r="K1430" s="243"/>
      <c r="L1430" s="243"/>
      <c r="M1430" s="244"/>
      <c r="N1430" s="245" t="s">
        <v>257</v>
      </c>
      <c r="O1430" s="246"/>
      <c r="P1430" s="203" t="s">
        <v>257</v>
      </c>
      <c r="Q1430" s="210" t="s">
        <v>257</v>
      </c>
      <c r="R1430" s="243" t="s">
        <v>257</v>
      </c>
      <c r="S1430" s="247"/>
    </row>
    <row r="1431" spans="1:19" x14ac:dyDescent="0.2">
      <c r="A1431" s="242"/>
      <c r="B1431" s="243"/>
      <c r="C1431" s="243"/>
      <c r="D1431" s="243"/>
      <c r="E1431" s="243"/>
      <c r="F1431" s="243"/>
      <c r="G1431" s="244"/>
      <c r="H1431" s="243"/>
      <c r="I1431" s="243"/>
      <c r="J1431" s="243"/>
      <c r="K1431" s="243"/>
      <c r="L1431" s="243"/>
      <c r="M1431" s="244"/>
      <c r="N1431" s="245" t="s">
        <v>257</v>
      </c>
      <c r="O1431" s="246"/>
      <c r="P1431" s="203" t="s">
        <v>257</v>
      </c>
      <c r="Q1431" s="210" t="s">
        <v>257</v>
      </c>
      <c r="R1431" s="243" t="s">
        <v>257</v>
      </c>
      <c r="S1431" s="247"/>
    </row>
    <row r="1432" spans="1:19" x14ac:dyDescent="0.2">
      <c r="A1432" s="242"/>
      <c r="B1432" s="243"/>
      <c r="C1432" s="243"/>
      <c r="D1432" s="243"/>
      <c r="E1432" s="243"/>
      <c r="F1432" s="243"/>
      <c r="G1432" s="244"/>
      <c r="H1432" s="243"/>
      <c r="I1432" s="243"/>
      <c r="J1432" s="243"/>
      <c r="K1432" s="243"/>
      <c r="L1432" s="243"/>
      <c r="M1432" s="244"/>
      <c r="N1432" s="245" t="s">
        <v>257</v>
      </c>
      <c r="O1432" s="246"/>
      <c r="P1432" s="203" t="s">
        <v>257</v>
      </c>
      <c r="Q1432" s="210" t="s">
        <v>257</v>
      </c>
      <c r="R1432" s="243" t="s">
        <v>257</v>
      </c>
      <c r="S1432" s="247"/>
    </row>
    <row r="1433" spans="1:19" x14ac:dyDescent="0.2">
      <c r="A1433" s="242"/>
      <c r="B1433" s="243"/>
      <c r="C1433" s="243"/>
      <c r="D1433" s="243"/>
      <c r="E1433" s="243"/>
      <c r="F1433" s="243"/>
      <c r="G1433" s="244"/>
      <c r="H1433" s="243"/>
      <c r="I1433" s="243"/>
      <c r="J1433" s="243"/>
      <c r="K1433" s="243"/>
      <c r="L1433" s="243"/>
      <c r="M1433" s="244"/>
      <c r="N1433" s="245" t="s">
        <v>257</v>
      </c>
      <c r="O1433" s="246"/>
      <c r="P1433" s="203" t="s">
        <v>257</v>
      </c>
      <c r="Q1433" s="210" t="s">
        <v>257</v>
      </c>
      <c r="R1433" s="243" t="s">
        <v>257</v>
      </c>
      <c r="S1433" s="247"/>
    </row>
    <row r="1434" spans="1:19" x14ac:dyDescent="0.2">
      <c r="A1434" s="242"/>
      <c r="B1434" s="243"/>
      <c r="C1434" s="243"/>
      <c r="D1434" s="243"/>
      <c r="E1434" s="243"/>
      <c r="F1434" s="243"/>
      <c r="G1434" s="244"/>
      <c r="H1434" s="243"/>
      <c r="I1434" s="243"/>
      <c r="J1434" s="243"/>
      <c r="K1434" s="243"/>
      <c r="L1434" s="243"/>
      <c r="M1434" s="244"/>
      <c r="N1434" s="245" t="s">
        <v>257</v>
      </c>
      <c r="O1434" s="246"/>
      <c r="P1434" s="203" t="s">
        <v>257</v>
      </c>
      <c r="Q1434" s="210" t="s">
        <v>257</v>
      </c>
      <c r="R1434" s="243" t="s">
        <v>257</v>
      </c>
      <c r="S1434" s="247"/>
    </row>
    <row r="1435" spans="1:19" x14ac:dyDescent="0.2">
      <c r="A1435" s="242"/>
      <c r="B1435" s="243"/>
      <c r="C1435" s="243"/>
      <c r="D1435" s="243"/>
      <c r="E1435" s="243"/>
      <c r="F1435" s="243"/>
      <c r="G1435" s="244"/>
      <c r="H1435" s="243"/>
      <c r="I1435" s="243"/>
      <c r="J1435" s="243"/>
      <c r="K1435" s="243"/>
      <c r="L1435" s="243"/>
      <c r="M1435" s="244"/>
      <c r="N1435" s="245" t="s">
        <v>257</v>
      </c>
      <c r="O1435" s="246"/>
      <c r="P1435" s="203" t="s">
        <v>257</v>
      </c>
      <c r="Q1435" s="210" t="s">
        <v>257</v>
      </c>
      <c r="R1435" s="243" t="s">
        <v>257</v>
      </c>
      <c r="S1435" s="247"/>
    </row>
    <row r="1436" spans="1:19" x14ac:dyDescent="0.2">
      <c r="A1436" s="242"/>
      <c r="B1436" s="243"/>
      <c r="C1436" s="243"/>
      <c r="D1436" s="243"/>
      <c r="E1436" s="243"/>
      <c r="F1436" s="243"/>
      <c r="G1436" s="244"/>
      <c r="H1436" s="243"/>
      <c r="I1436" s="243"/>
      <c r="J1436" s="243"/>
      <c r="K1436" s="243"/>
      <c r="L1436" s="243"/>
      <c r="M1436" s="244"/>
      <c r="N1436" s="245" t="s">
        <v>257</v>
      </c>
      <c r="O1436" s="246"/>
      <c r="P1436" s="203" t="s">
        <v>257</v>
      </c>
      <c r="Q1436" s="210" t="s">
        <v>257</v>
      </c>
      <c r="R1436" s="243" t="s">
        <v>257</v>
      </c>
      <c r="S1436" s="247"/>
    </row>
    <row r="1437" spans="1:19" x14ac:dyDescent="0.2">
      <c r="A1437" s="242"/>
      <c r="B1437" s="243"/>
      <c r="C1437" s="243"/>
      <c r="D1437" s="243"/>
      <c r="E1437" s="243"/>
      <c r="F1437" s="243"/>
      <c r="G1437" s="244"/>
      <c r="H1437" s="243"/>
      <c r="I1437" s="243"/>
      <c r="J1437" s="243"/>
      <c r="K1437" s="243"/>
      <c r="L1437" s="243"/>
      <c r="M1437" s="244"/>
      <c r="N1437" s="245" t="s">
        <v>257</v>
      </c>
      <c r="O1437" s="246"/>
      <c r="P1437" s="203" t="s">
        <v>257</v>
      </c>
      <c r="Q1437" s="210" t="s">
        <v>257</v>
      </c>
      <c r="R1437" s="243" t="s">
        <v>257</v>
      </c>
      <c r="S1437" s="247"/>
    </row>
    <row r="1438" spans="1:19" x14ac:dyDescent="0.2">
      <c r="A1438" s="242"/>
      <c r="B1438" s="243"/>
      <c r="C1438" s="243"/>
      <c r="D1438" s="243"/>
      <c r="E1438" s="243"/>
      <c r="F1438" s="243"/>
      <c r="G1438" s="244"/>
      <c r="H1438" s="243"/>
      <c r="I1438" s="243"/>
      <c r="J1438" s="243"/>
      <c r="K1438" s="243"/>
      <c r="L1438" s="243"/>
      <c r="M1438" s="244"/>
      <c r="N1438" s="245" t="s">
        <v>257</v>
      </c>
      <c r="O1438" s="246"/>
      <c r="P1438" s="203" t="s">
        <v>257</v>
      </c>
      <c r="Q1438" s="210" t="s">
        <v>257</v>
      </c>
      <c r="R1438" s="243" t="s">
        <v>257</v>
      </c>
      <c r="S1438" s="247"/>
    </row>
    <row r="1439" spans="1:19" x14ac:dyDescent="0.2">
      <c r="A1439" s="242"/>
      <c r="B1439" s="243"/>
      <c r="C1439" s="243"/>
      <c r="D1439" s="243"/>
      <c r="E1439" s="243"/>
      <c r="F1439" s="243"/>
      <c r="G1439" s="244"/>
      <c r="H1439" s="243"/>
      <c r="I1439" s="243"/>
      <c r="J1439" s="243"/>
      <c r="K1439" s="243"/>
      <c r="L1439" s="243"/>
      <c r="M1439" s="244"/>
      <c r="N1439" s="245" t="s">
        <v>257</v>
      </c>
      <c r="O1439" s="246"/>
      <c r="P1439" s="203" t="s">
        <v>257</v>
      </c>
      <c r="Q1439" s="210" t="s">
        <v>257</v>
      </c>
      <c r="R1439" s="243" t="s">
        <v>257</v>
      </c>
      <c r="S1439" s="247"/>
    </row>
    <row r="1440" spans="1:19" x14ac:dyDescent="0.2">
      <c r="A1440" s="242"/>
      <c r="B1440" s="243"/>
      <c r="C1440" s="243"/>
      <c r="D1440" s="243"/>
      <c r="E1440" s="243"/>
      <c r="F1440" s="243"/>
      <c r="G1440" s="244"/>
      <c r="H1440" s="243"/>
      <c r="I1440" s="243"/>
      <c r="J1440" s="243"/>
      <c r="K1440" s="243"/>
      <c r="L1440" s="243"/>
      <c r="M1440" s="244"/>
      <c r="N1440" s="245" t="s">
        <v>257</v>
      </c>
      <c r="O1440" s="246"/>
      <c r="P1440" s="203" t="s">
        <v>257</v>
      </c>
      <c r="Q1440" s="210" t="s">
        <v>257</v>
      </c>
      <c r="R1440" s="243" t="s">
        <v>257</v>
      </c>
      <c r="S1440" s="247"/>
    </row>
    <row r="1441" spans="1:19" x14ac:dyDescent="0.2">
      <c r="A1441" s="242"/>
      <c r="B1441" s="243"/>
      <c r="C1441" s="243"/>
      <c r="D1441" s="243"/>
      <c r="E1441" s="243"/>
      <c r="F1441" s="243"/>
      <c r="G1441" s="244"/>
      <c r="H1441" s="243"/>
      <c r="I1441" s="243"/>
      <c r="J1441" s="243"/>
      <c r="K1441" s="243"/>
      <c r="L1441" s="243"/>
      <c r="M1441" s="244"/>
      <c r="N1441" s="245" t="s">
        <v>257</v>
      </c>
      <c r="O1441" s="246"/>
      <c r="P1441" s="203" t="s">
        <v>257</v>
      </c>
      <c r="Q1441" s="210" t="s">
        <v>257</v>
      </c>
      <c r="R1441" s="243" t="s">
        <v>257</v>
      </c>
      <c r="S1441" s="247"/>
    </row>
    <row r="1442" spans="1:19" x14ac:dyDescent="0.2">
      <c r="A1442" s="242"/>
      <c r="B1442" s="243"/>
      <c r="C1442" s="243"/>
      <c r="D1442" s="243"/>
      <c r="E1442" s="243"/>
      <c r="F1442" s="243"/>
      <c r="G1442" s="244"/>
      <c r="H1442" s="243"/>
      <c r="I1442" s="243"/>
      <c r="J1442" s="243"/>
      <c r="K1442" s="243"/>
      <c r="L1442" s="243"/>
      <c r="M1442" s="244"/>
      <c r="N1442" s="245" t="s">
        <v>257</v>
      </c>
      <c r="O1442" s="246"/>
      <c r="P1442" s="203" t="s">
        <v>257</v>
      </c>
      <c r="Q1442" s="210" t="s">
        <v>257</v>
      </c>
      <c r="R1442" s="243" t="s">
        <v>257</v>
      </c>
      <c r="S1442" s="247"/>
    </row>
    <row r="1443" spans="1:19" x14ac:dyDescent="0.2">
      <c r="A1443" s="242"/>
      <c r="B1443" s="243"/>
      <c r="C1443" s="243"/>
      <c r="D1443" s="243"/>
      <c r="E1443" s="243"/>
      <c r="F1443" s="243"/>
      <c r="G1443" s="244"/>
      <c r="H1443" s="243"/>
      <c r="I1443" s="243"/>
      <c r="J1443" s="243"/>
      <c r="K1443" s="243"/>
      <c r="L1443" s="243"/>
      <c r="M1443" s="244"/>
      <c r="N1443" s="245" t="s">
        <v>257</v>
      </c>
      <c r="O1443" s="246"/>
      <c r="P1443" s="203" t="s">
        <v>257</v>
      </c>
      <c r="Q1443" s="210" t="s">
        <v>257</v>
      </c>
      <c r="R1443" s="243" t="s">
        <v>257</v>
      </c>
      <c r="S1443" s="247"/>
    </row>
    <row r="1444" spans="1:19" x14ac:dyDescent="0.2">
      <c r="A1444" s="242"/>
      <c r="B1444" s="243"/>
      <c r="C1444" s="243"/>
      <c r="D1444" s="243"/>
      <c r="E1444" s="243"/>
      <c r="F1444" s="243"/>
      <c r="G1444" s="244"/>
      <c r="H1444" s="243"/>
      <c r="I1444" s="243"/>
      <c r="J1444" s="243"/>
      <c r="K1444" s="243"/>
      <c r="L1444" s="243"/>
      <c r="M1444" s="244"/>
      <c r="N1444" s="245" t="s">
        <v>257</v>
      </c>
      <c r="O1444" s="246"/>
      <c r="P1444" s="203" t="s">
        <v>257</v>
      </c>
      <c r="Q1444" s="210" t="s">
        <v>257</v>
      </c>
      <c r="R1444" s="243" t="s">
        <v>257</v>
      </c>
      <c r="S1444" s="247"/>
    </row>
    <row r="1445" spans="1:19" x14ac:dyDescent="0.2">
      <c r="A1445" s="242"/>
      <c r="B1445" s="243"/>
      <c r="C1445" s="243"/>
      <c r="D1445" s="243"/>
      <c r="E1445" s="243"/>
      <c r="F1445" s="243"/>
      <c r="G1445" s="244"/>
      <c r="H1445" s="243"/>
      <c r="I1445" s="243"/>
      <c r="J1445" s="243"/>
      <c r="K1445" s="243"/>
      <c r="L1445" s="243"/>
      <c r="M1445" s="244"/>
      <c r="N1445" s="245" t="s">
        <v>257</v>
      </c>
      <c r="O1445" s="246"/>
      <c r="P1445" s="203" t="s">
        <v>257</v>
      </c>
      <c r="Q1445" s="210" t="s">
        <v>257</v>
      </c>
      <c r="R1445" s="243" t="s">
        <v>257</v>
      </c>
      <c r="S1445" s="247"/>
    </row>
    <row r="1446" spans="1:19" x14ac:dyDescent="0.2">
      <c r="A1446" s="242"/>
      <c r="B1446" s="243"/>
      <c r="C1446" s="243"/>
      <c r="D1446" s="243"/>
      <c r="E1446" s="243"/>
      <c r="F1446" s="243"/>
      <c r="G1446" s="244"/>
      <c r="H1446" s="243"/>
      <c r="I1446" s="243"/>
      <c r="J1446" s="243"/>
      <c r="K1446" s="243"/>
      <c r="L1446" s="243"/>
      <c r="M1446" s="244"/>
      <c r="N1446" s="245" t="s">
        <v>257</v>
      </c>
      <c r="O1446" s="246"/>
      <c r="P1446" s="203" t="s">
        <v>257</v>
      </c>
      <c r="Q1446" s="210" t="s">
        <v>257</v>
      </c>
      <c r="R1446" s="243" t="s">
        <v>257</v>
      </c>
      <c r="S1446" s="247"/>
    </row>
    <row r="1447" spans="1:19" x14ac:dyDescent="0.2">
      <c r="A1447" s="242"/>
      <c r="B1447" s="243"/>
      <c r="C1447" s="243"/>
      <c r="D1447" s="243"/>
      <c r="E1447" s="243"/>
      <c r="F1447" s="243"/>
      <c r="G1447" s="244"/>
      <c r="H1447" s="243"/>
      <c r="I1447" s="243"/>
      <c r="J1447" s="243"/>
      <c r="K1447" s="243"/>
      <c r="L1447" s="243"/>
      <c r="M1447" s="244"/>
      <c r="N1447" s="245" t="s">
        <v>257</v>
      </c>
      <c r="O1447" s="246"/>
      <c r="P1447" s="203" t="s">
        <v>257</v>
      </c>
      <c r="Q1447" s="210" t="s">
        <v>257</v>
      </c>
      <c r="R1447" s="243" t="s">
        <v>257</v>
      </c>
      <c r="S1447" s="247"/>
    </row>
    <row r="1448" spans="1:19" x14ac:dyDescent="0.2">
      <c r="A1448" s="242"/>
      <c r="B1448" s="243"/>
      <c r="C1448" s="243"/>
      <c r="D1448" s="243"/>
      <c r="E1448" s="243"/>
      <c r="F1448" s="243"/>
      <c r="G1448" s="244"/>
      <c r="H1448" s="243"/>
      <c r="I1448" s="243"/>
      <c r="J1448" s="243"/>
      <c r="K1448" s="243"/>
      <c r="L1448" s="243"/>
      <c r="M1448" s="244"/>
      <c r="N1448" s="245" t="s">
        <v>257</v>
      </c>
      <c r="O1448" s="246"/>
      <c r="P1448" s="203" t="s">
        <v>257</v>
      </c>
      <c r="Q1448" s="210" t="s">
        <v>257</v>
      </c>
      <c r="R1448" s="243" t="s">
        <v>257</v>
      </c>
      <c r="S1448" s="247"/>
    </row>
    <row r="1449" spans="1:19" x14ac:dyDescent="0.2">
      <c r="A1449" s="242"/>
      <c r="B1449" s="243"/>
      <c r="C1449" s="243"/>
      <c r="D1449" s="243"/>
      <c r="E1449" s="243"/>
      <c r="F1449" s="243"/>
      <c r="G1449" s="244"/>
      <c r="H1449" s="243"/>
      <c r="I1449" s="243"/>
      <c r="J1449" s="243"/>
      <c r="K1449" s="243"/>
      <c r="L1449" s="243"/>
      <c r="M1449" s="244"/>
      <c r="N1449" s="245" t="s">
        <v>257</v>
      </c>
      <c r="O1449" s="246"/>
      <c r="P1449" s="203" t="s">
        <v>257</v>
      </c>
      <c r="Q1449" s="210" t="s">
        <v>257</v>
      </c>
      <c r="R1449" s="243" t="s">
        <v>257</v>
      </c>
      <c r="S1449" s="247"/>
    </row>
    <row r="1450" spans="1:19" x14ac:dyDescent="0.2">
      <c r="A1450" s="242"/>
      <c r="B1450" s="243"/>
      <c r="C1450" s="243"/>
      <c r="D1450" s="243"/>
      <c r="E1450" s="243"/>
      <c r="F1450" s="243"/>
      <c r="G1450" s="244"/>
      <c r="H1450" s="243"/>
      <c r="I1450" s="243"/>
      <c r="J1450" s="243"/>
      <c r="K1450" s="243"/>
      <c r="L1450" s="243"/>
      <c r="M1450" s="244"/>
      <c r="N1450" s="245" t="s">
        <v>257</v>
      </c>
      <c r="O1450" s="246"/>
      <c r="P1450" s="203" t="s">
        <v>257</v>
      </c>
      <c r="Q1450" s="210" t="s">
        <v>257</v>
      </c>
      <c r="R1450" s="243" t="s">
        <v>257</v>
      </c>
      <c r="S1450" s="247"/>
    </row>
    <row r="1451" spans="1:19" x14ac:dyDescent="0.2">
      <c r="A1451" s="242"/>
      <c r="B1451" s="243"/>
      <c r="C1451" s="243"/>
      <c r="D1451" s="243"/>
      <c r="E1451" s="243"/>
      <c r="F1451" s="243"/>
      <c r="G1451" s="244"/>
      <c r="H1451" s="243"/>
      <c r="I1451" s="243"/>
      <c r="J1451" s="243"/>
      <c r="K1451" s="243"/>
      <c r="L1451" s="243"/>
      <c r="M1451" s="244"/>
      <c r="N1451" s="245" t="s">
        <v>257</v>
      </c>
      <c r="O1451" s="246"/>
      <c r="P1451" s="203" t="s">
        <v>257</v>
      </c>
      <c r="Q1451" s="210" t="s">
        <v>257</v>
      </c>
      <c r="R1451" s="243" t="s">
        <v>257</v>
      </c>
      <c r="S1451" s="247"/>
    </row>
    <row r="1452" spans="1:19" x14ac:dyDescent="0.2">
      <c r="A1452" s="242"/>
      <c r="B1452" s="243"/>
      <c r="C1452" s="243"/>
      <c r="D1452" s="243"/>
      <c r="E1452" s="243"/>
      <c r="F1452" s="243"/>
      <c r="G1452" s="244"/>
      <c r="H1452" s="243"/>
      <c r="I1452" s="243"/>
      <c r="J1452" s="243"/>
      <c r="K1452" s="243"/>
      <c r="L1452" s="243"/>
      <c r="M1452" s="244"/>
      <c r="N1452" s="245" t="s">
        <v>257</v>
      </c>
      <c r="O1452" s="246"/>
      <c r="P1452" s="203" t="s">
        <v>257</v>
      </c>
      <c r="Q1452" s="210" t="s">
        <v>257</v>
      </c>
      <c r="R1452" s="243" t="s">
        <v>257</v>
      </c>
      <c r="S1452" s="247"/>
    </row>
    <row r="1453" spans="1:19" x14ac:dyDescent="0.2">
      <c r="A1453" s="242"/>
      <c r="B1453" s="243"/>
      <c r="C1453" s="243"/>
      <c r="D1453" s="243"/>
      <c r="E1453" s="243"/>
      <c r="F1453" s="243"/>
      <c r="G1453" s="244"/>
      <c r="H1453" s="243"/>
      <c r="I1453" s="243"/>
      <c r="J1453" s="243"/>
      <c r="K1453" s="243"/>
      <c r="L1453" s="243"/>
      <c r="M1453" s="244"/>
      <c r="N1453" s="245" t="s">
        <v>257</v>
      </c>
      <c r="O1453" s="246"/>
      <c r="P1453" s="203" t="s">
        <v>257</v>
      </c>
      <c r="Q1453" s="210" t="s">
        <v>257</v>
      </c>
      <c r="R1453" s="243" t="s">
        <v>257</v>
      </c>
      <c r="S1453" s="247"/>
    </row>
    <row r="1454" spans="1:19" x14ac:dyDescent="0.2">
      <c r="A1454" s="242"/>
      <c r="B1454" s="243"/>
      <c r="C1454" s="243"/>
      <c r="D1454" s="243"/>
      <c r="E1454" s="243"/>
      <c r="F1454" s="243"/>
      <c r="G1454" s="244"/>
      <c r="H1454" s="243"/>
      <c r="I1454" s="243"/>
      <c r="J1454" s="243"/>
      <c r="K1454" s="243"/>
      <c r="L1454" s="243"/>
      <c r="M1454" s="244"/>
      <c r="N1454" s="245" t="s">
        <v>257</v>
      </c>
      <c r="O1454" s="246"/>
      <c r="P1454" s="203" t="s">
        <v>257</v>
      </c>
      <c r="Q1454" s="210" t="s">
        <v>257</v>
      </c>
      <c r="R1454" s="243" t="s">
        <v>257</v>
      </c>
      <c r="S1454" s="247"/>
    </row>
    <row r="1455" spans="1:19" x14ac:dyDescent="0.2">
      <c r="A1455" s="242"/>
      <c r="B1455" s="243"/>
      <c r="C1455" s="243"/>
      <c r="D1455" s="243"/>
      <c r="E1455" s="243"/>
      <c r="F1455" s="243"/>
      <c r="G1455" s="244"/>
      <c r="H1455" s="243"/>
      <c r="I1455" s="243"/>
      <c r="J1455" s="243"/>
      <c r="K1455" s="243"/>
      <c r="L1455" s="243"/>
      <c r="M1455" s="244"/>
      <c r="N1455" s="245" t="s">
        <v>257</v>
      </c>
      <c r="O1455" s="246"/>
      <c r="P1455" s="203" t="s">
        <v>257</v>
      </c>
      <c r="Q1455" s="210" t="s">
        <v>257</v>
      </c>
      <c r="R1455" s="243" t="s">
        <v>257</v>
      </c>
      <c r="S1455" s="247"/>
    </row>
    <row r="1456" spans="1:19" x14ac:dyDescent="0.2">
      <c r="A1456" s="242"/>
      <c r="B1456" s="243"/>
      <c r="C1456" s="243"/>
      <c r="D1456" s="243"/>
      <c r="E1456" s="243"/>
      <c r="F1456" s="243"/>
      <c r="G1456" s="244"/>
      <c r="H1456" s="243"/>
      <c r="I1456" s="243"/>
      <c r="J1456" s="243"/>
      <c r="K1456" s="243"/>
      <c r="L1456" s="243"/>
      <c r="M1456" s="244"/>
      <c r="N1456" s="245" t="s">
        <v>257</v>
      </c>
      <c r="O1456" s="246"/>
      <c r="P1456" s="203" t="s">
        <v>257</v>
      </c>
      <c r="Q1456" s="210" t="s">
        <v>257</v>
      </c>
      <c r="R1456" s="243" t="s">
        <v>257</v>
      </c>
      <c r="S1456" s="247"/>
    </row>
    <row r="1457" spans="1:19" x14ac:dyDescent="0.2">
      <c r="A1457" s="242"/>
      <c r="B1457" s="243"/>
      <c r="C1457" s="243"/>
      <c r="D1457" s="243"/>
      <c r="E1457" s="243"/>
      <c r="F1457" s="243"/>
      <c r="G1457" s="244"/>
      <c r="H1457" s="243"/>
      <c r="I1457" s="243"/>
      <c r="J1457" s="243"/>
      <c r="K1457" s="243"/>
      <c r="L1457" s="243"/>
      <c r="M1457" s="244"/>
      <c r="N1457" s="245" t="s">
        <v>257</v>
      </c>
      <c r="O1457" s="246"/>
      <c r="P1457" s="203" t="s">
        <v>257</v>
      </c>
      <c r="Q1457" s="210" t="s">
        <v>257</v>
      </c>
      <c r="R1457" s="243" t="s">
        <v>257</v>
      </c>
      <c r="S1457" s="247"/>
    </row>
    <row r="1458" spans="1:19" x14ac:dyDescent="0.2">
      <c r="A1458" s="242"/>
      <c r="B1458" s="243"/>
      <c r="C1458" s="243"/>
      <c r="D1458" s="243"/>
      <c r="E1458" s="243"/>
      <c r="F1458" s="243"/>
      <c r="G1458" s="244"/>
      <c r="H1458" s="243"/>
      <c r="I1458" s="243"/>
      <c r="J1458" s="243"/>
      <c r="K1458" s="243"/>
      <c r="L1458" s="243"/>
      <c r="M1458" s="244"/>
      <c r="N1458" s="245" t="s">
        <v>257</v>
      </c>
      <c r="O1458" s="246"/>
      <c r="P1458" s="203" t="s">
        <v>257</v>
      </c>
      <c r="Q1458" s="210" t="s">
        <v>257</v>
      </c>
      <c r="R1458" s="243" t="s">
        <v>257</v>
      </c>
      <c r="S1458" s="247"/>
    </row>
    <row r="1459" spans="1:19" x14ac:dyDescent="0.2">
      <c r="A1459" s="242"/>
      <c r="B1459" s="243"/>
      <c r="C1459" s="243"/>
      <c r="D1459" s="243"/>
      <c r="E1459" s="243"/>
      <c r="F1459" s="243"/>
      <c r="G1459" s="244"/>
      <c r="H1459" s="243"/>
      <c r="I1459" s="243"/>
      <c r="J1459" s="243"/>
      <c r="K1459" s="243"/>
      <c r="L1459" s="243"/>
      <c r="M1459" s="244"/>
      <c r="N1459" s="245" t="s">
        <v>257</v>
      </c>
      <c r="O1459" s="246"/>
      <c r="P1459" s="203" t="s">
        <v>257</v>
      </c>
      <c r="Q1459" s="210" t="s">
        <v>257</v>
      </c>
      <c r="R1459" s="243" t="s">
        <v>257</v>
      </c>
      <c r="S1459" s="247"/>
    </row>
    <row r="1460" spans="1:19" x14ac:dyDescent="0.2">
      <c r="A1460" s="242"/>
      <c r="B1460" s="243"/>
      <c r="C1460" s="243"/>
      <c r="D1460" s="243"/>
      <c r="E1460" s="243"/>
      <c r="F1460" s="243"/>
      <c r="G1460" s="244"/>
      <c r="H1460" s="243"/>
      <c r="I1460" s="243"/>
      <c r="J1460" s="243"/>
      <c r="K1460" s="243"/>
      <c r="L1460" s="243"/>
      <c r="M1460" s="244"/>
      <c r="N1460" s="245" t="s">
        <v>257</v>
      </c>
      <c r="O1460" s="246"/>
      <c r="P1460" s="203" t="s">
        <v>257</v>
      </c>
      <c r="Q1460" s="210" t="s">
        <v>257</v>
      </c>
      <c r="R1460" s="243" t="s">
        <v>257</v>
      </c>
      <c r="S1460" s="247"/>
    </row>
    <row r="1461" spans="1:19" x14ac:dyDescent="0.2">
      <c r="A1461" s="242"/>
      <c r="B1461" s="243"/>
      <c r="C1461" s="243"/>
      <c r="D1461" s="243"/>
      <c r="E1461" s="243"/>
      <c r="F1461" s="243"/>
      <c r="G1461" s="244"/>
      <c r="H1461" s="243"/>
      <c r="I1461" s="243"/>
      <c r="J1461" s="243"/>
      <c r="K1461" s="243"/>
      <c r="L1461" s="243"/>
      <c r="M1461" s="244"/>
      <c r="N1461" s="245" t="s">
        <v>257</v>
      </c>
      <c r="O1461" s="246"/>
      <c r="P1461" s="203" t="s">
        <v>257</v>
      </c>
      <c r="Q1461" s="210" t="s">
        <v>257</v>
      </c>
      <c r="R1461" s="243" t="s">
        <v>257</v>
      </c>
      <c r="S1461" s="247"/>
    </row>
    <row r="1462" spans="1:19" x14ac:dyDescent="0.2">
      <c r="A1462" s="242"/>
      <c r="B1462" s="243"/>
      <c r="C1462" s="243"/>
      <c r="D1462" s="243"/>
      <c r="E1462" s="243"/>
      <c r="F1462" s="243"/>
      <c r="G1462" s="244"/>
      <c r="H1462" s="243"/>
      <c r="I1462" s="243"/>
      <c r="J1462" s="243"/>
      <c r="K1462" s="243"/>
      <c r="L1462" s="243"/>
      <c r="M1462" s="244"/>
      <c r="N1462" s="245" t="s">
        <v>257</v>
      </c>
      <c r="O1462" s="246"/>
      <c r="P1462" s="203" t="s">
        <v>257</v>
      </c>
      <c r="Q1462" s="210" t="s">
        <v>257</v>
      </c>
      <c r="R1462" s="243" t="s">
        <v>257</v>
      </c>
      <c r="S1462" s="247"/>
    </row>
    <row r="1463" spans="1:19" x14ac:dyDescent="0.2">
      <c r="A1463" s="242"/>
      <c r="B1463" s="243"/>
      <c r="C1463" s="243"/>
      <c r="D1463" s="243"/>
      <c r="E1463" s="243"/>
      <c r="F1463" s="243"/>
      <c r="G1463" s="244"/>
      <c r="H1463" s="243"/>
      <c r="I1463" s="243"/>
      <c r="J1463" s="243"/>
      <c r="K1463" s="243"/>
      <c r="L1463" s="243"/>
      <c r="M1463" s="244"/>
      <c r="N1463" s="245" t="s">
        <v>257</v>
      </c>
      <c r="O1463" s="246"/>
      <c r="P1463" s="203" t="s">
        <v>257</v>
      </c>
      <c r="Q1463" s="210" t="s">
        <v>257</v>
      </c>
      <c r="R1463" s="243" t="s">
        <v>257</v>
      </c>
      <c r="S1463" s="247"/>
    </row>
    <row r="1464" spans="1:19" x14ac:dyDescent="0.2">
      <c r="A1464" s="242"/>
      <c r="B1464" s="243"/>
      <c r="C1464" s="243"/>
      <c r="D1464" s="243"/>
      <c r="E1464" s="243"/>
      <c r="F1464" s="243"/>
      <c r="G1464" s="244"/>
      <c r="H1464" s="243"/>
      <c r="I1464" s="243"/>
      <c r="J1464" s="243"/>
      <c r="K1464" s="243"/>
      <c r="L1464" s="243"/>
      <c r="M1464" s="244"/>
      <c r="N1464" s="245" t="s">
        <v>257</v>
      </c>
      <c r="O1464" s="246"/>
      <c r="P1464" s="203" t="s">
        <v>257</v>
      </c>
      <c r="Q1464" s="210" t="s">
        <v>257</v>
      </c>
      <c r="R1464" s="243" t="s">
        <v>257</v>
      </c>
      <c r="S1464" s="247"/>
    </row>
    <row r="1465" spans="1:19" x14ac:dyDescent="0.2">
      <c r="A1465" s="242"/>
      <c r="B1465" s="243"/>
      <c r="C1465" s="243"/>
      <c r="D1465" s="243"/>
      <c r="E1465" s="243"/>
      <c r="F1465" s="243"/>
      <c r="G1465" s="244"/>
      <c r="H1465" s="243"/>
      <c r="I1465" s="243"/>
      <c r="J1465" s="243"/>
      <c r="K1465" s="243"/>
      <c r="L1465" s="243"/>
      <c r="M1465" s="244"/>
      <c r="N1465" s="245" t="s">
        <v>257</v>
      </c>
      <c r="O1465" s="246"/>
      <c r="P1465" s="203" t="s">
        <v>257</v>
      </c>
      <c r="Q1465" s="210" t="s">
        <v>257</v>
      </c>
      <c r="R1465" s="243" t="s">
        <v>257</v>
      </c>
      <c r="S1465" s="247"/>
    </row>
    <row r="1466" spans="1:19" x14ac:dyDescent="0.2">
      <c r="A1466" s="242"/>
      <c r="B1466" s="243"/>
      <c r="C1466" s="243"/>
      <c r="D1466" s="243"/>
      <c r="E1466" s="243"/>
      <c r="F1466" s="243"/>
      <c r="G1466" s="244"/>
      <c r="H1466" s="243"/>
      <c r="I1466" s="243"/>
      <c r="J1466" s="243"/>
      <c r="K1466" s="243"/>
      <c r="L1466" s="243"/>
      <c r="M1466" s="244"/>
      <c r="N1466" s="245" t="s">
        <v>257</v>
      </c>
      <c r="O1466" s="246"/>
      <c r="P1466" s="203" t="s">
        <v>257</v>
      </c>
      <c r="Q1466" s="210" t="s">
        <v>257</v>
      </c>
      <c r="R1466" s="243" t="s">
        <v>257</v>
      </c>
      <c r="S1466" s="247"/>
    </row>
    <row r="1467" spans="1:19" x14ac:dyDescent="0.2">
      <c r="A1467" s="242"/>
      <c r="B1467" s="243"/>
      <c r="C1467" s="243"/>
      <c r="D1467" s="243"/>
      <c r="E1467" s="243"/>
      <c r="F1467" s="243"/>
      <c r="G1467" s="244"/>
      <c r="H1467" s="243"/>
      <c r="I1467" s="243"/>
      <c r="J1467" s="243"/>
      <c r="K1467" s="243"/>
      <c r="L1467" s="243"/>
      <c r="M1467" s="244"/>
      <c r="N1467" s="245" t="s">
        <v>257</v>
      </c>
      <c r="O1467" s="246"/>
      <c r="P1467" s="203" t="s">
        <v>257</v>
      </c>
      <c r="Q1467" s="210" t="s">
        <v>257</v>
      </c>
      <c r="R1467" s="243" t="s">
        <v>257</v>
      </c>
      <c r="S1467" s="247"/>
    </row>
    <row r="1468" spans="1:19" x14ac:dyDescent="0.2">
      <c r="A1468" s="242"/>
      <c r="B1468" s="243"/>
      <c r="C1468" s="243"/>
      <c r="D1468" s="243"/>
      <c r="E1468" s="243"/>
      <c r="F1468" s="243"/>
      <c r="G1468" s="244"/>
      <c r="H1468" s="243"/>
      <c r="I1468" s="243"/>
      <c r="J1468" s="243"/>
      <c r="K1468" s="243"/>
      <c r="L1468" s="243"/>
      <c r="M1468" s="244"/>
      <c r="N1468" s="245" t="s">
        <v>257</v>
      </c>
      <c r="O1468" s="246"/>
      <c r="P1468" s="203" t="s">
        <v>257</v>
      </c>
      <c r="Q1468" s="210" t="s">
        <v>257</v>
      </c>
      <c r="R1468" s="243" t="s">
        <v>257</v>
      </c>
      <c r="S1468" s="247"/>
    </row>
    <row r="1469" spans="1:19" x14ac:dyDescent="0.2">
      <c r="A1469" s="242"/>
      <c r="B1469" s="243"/>
      <c r="C1469" s="243"/>
      <c r="D1469" s="243"/>
      <c r="E1469" s="243"/>
      <c r="F1469" s="243"/>
      <c r="G1469" s="244"/>
      <c r="H1469" s="243"/>
      <c r="I1469" s="243"/>
      <c r="J1469" s="243"/>
      <c r="K1469" s="243"/>
      <c r="L1469" s="243"/>
      <c r="M1469" s="244"/>
      <c r="N1469" s="245" t="s">
        <v>257</v>
      </c>
      <c r="O1469" s="246"/>
      <c r="P1469" s="203" t="s">
        <v>257</v>
      </c>
      <c r="Q1469" s="210" t="s">
        <v>257</v>
      </c>
      <c r="R1469" s="243" t="s">
        <v>257</v>
      </c>
      <c r="S1469" s="247"/>
    </row>
    <row r="1470" spans="1:19" x14ac:dyDescent="0.2">
      <c r="A1470" s="242"/>
      <c r="B1470" s="243"/>
      <c r="C1470" s="243"/>
      <c r="D1470" s="243"/>
      <c r="E1470" s="243"/>
      <c r="F1470" s="243"/>
      <c r="G1470" s="244"/>
      <c r="H1470" s="243"/>
      <c r="I1470" s="243"/>
      <c r="J1470" s="243"/>
      <c r="K1470" s="243"/>
      <c r="L1470" s="243"/>
      <c r="M1470" s="244"/>
      <c r="N1470" s="245" t="s">
        <v>257</v>
      </c>
      <c r="O1470" s="246"/>
      <c r="P1470" s="203" t="s">
        <v>257</v>
      </c>
      <c r="Q1470" s="210" t="s">
        <v>257</v>
      </c>
      <c r="R1470" s="243" t="s">
        <v>257</v>
      </c>
      <c r="S1470" s="247"/>
    </row>
    <row r="1471" spans="1:19" x14ac:dyDescent="0.2">
      <c r="A1471" s="242"/>
      <c r="B1471" s="243"/>
      <c r="C1471" s="243"/>
      <c r="D1471" s="243"/>
      <c r="E1471" s="243"/>
      <c r="F1471" s="243"/>
      <c r="G1471" s="244"/>
      <c r="H1471" s="243"/>
      <c r="I1471" s="243"/>
      <c r="J1471" s="243"/>
      <c r="K1471" s="243"/>
      <c r="L1471" s="243"/>
      <c r="M1471" s="244"/>
      <c r="N1471" s="245" t="s">
        <v>257</v>
      </c>
      <c r="O1471" s="246"/>
      <c r="P1471" s="203" t="s">
        <v>257</v>
      </c>
      <c r="Q1471" s="210" t="s">
        <v>257</v>
      </c>
      <c r="R1471" s="243" t="s">
        <v>257</v>
      </c>
      <c r="S1471" s="247"/>
    </row>
    <row r="1472" spans="1:19" x14ac:dyDescent="0.2">
      <c r="A1472" s="242"/>
      <c r="B1472" s="243"/>
      <c r="C1472" s="243"/>
      <c r="D1472" s="243"/>
      <c r="E1472" s="243"/>
      <c r="F1472" s="243"/>
      <c r="G1472" s="244"/>
      <c r="H1472" s="243"/>
      <c r="I1472" s="243"/>
      <c r="J1472" s="243"/>
      <c r="K1472" s="243"/>
      <c r="L1472" s="243"/>
      <c r="M1472" s="244"/>
      <c r="N1472" s="245" t="s">
        <v>257</v>
      </c>
      <c r="O1472" s="246"/>
      <c r="P1472" s="203" t="s">
        <v>257</v>
      </c>
      <c r="Q1472" s="210" t="s">
        <v>257</v>
      </c>
      <c r="R1472" s="243" t="s">
        <v>257</v>
      </c>
      <c r="S1472" s="247"/>
    </row>
    <row r="1473" spans="1:19" x14ac:dyDescent="0.2">
      <c r="A1473" s="242"/>
      <c r="B1473" s="243"/>
      <c r="C1473" s="243"/>
      <c r="D1473" s="243"/>
      <c r="E1473" s="243"/>
      <c r="F1473" s="243"/>
      <c r="G1473" s="244"/>
      <c r="H1473" s="243"/>
      <c r="I1473" s="243"/>
      <c r="J1473" s="243"/>
      <c r="K1473" s="243"/>
      <c r="L1473" s="243"/>
      <c r="M1473" s="244"/>
      <c r="N1473" s="245" t="s">
        <v>257</v>
      </c>
      <c r="O1473" s="246"/>
      <c r="P1473" s="203" t="s">
        <v>257</v>
      </c>
      <c r="Q1473" s="210" t="s">
        <v>257</v>
      </c>
      <c r="R1473" s="243" t="s">
        <v>257</v>
      </c>
      <c r="S1473" s="247"/>
    </row>
    <row r="1474" spans="1:19" x14ac:dyDescent="0.2">
      <c r="A1474" s="242"/>
      <c r="B1474" s="243"/>
      <c r="C1474" s="243"/>
      <c r="D1474" s="243"/>
      <c r="E1474" s="243"/>
      <c r="F1474" s="243"/>
      <c r="G1474" s="244"/>
      <c r="H1474" s="243"/>
      <c r="I1474" s="243"/>
      <c r="J1474" s="243"/>
      <c r="K1474" s="243"/>
      <c r="L1474" s="243"/>
      <c r="M1474" s="244"/>
      <c r="N1474" s="245" t="s">
        <v>257</v>
      </c>
      <c r="O1474" s="246"/>
      <c r="P1474" s="203" t="s">
        <v>257</v>
      </c>
      <c r="Q1474" s="210" t="s">
        <v>257</v>
      </c>
      <c r="R1474" s="243" t="s">
        <v>257</v>
      </c>
      <c r="S1474" s="247"/>
    </row>
    <row r="1475" spans="1:19" x14ac:dyDescent="0.2">
      <c r="A1475" s="242"/>
      <c r="B1475" s="243"/>
      <c r="C1475" s="243"/>
      <c r="D1475" s="243"/>
      <c r="E1475" s="243"/>
      <c r="F1475" s="243"/>
      <c r="G1475" s="244"/>
      <c r="H1475" s="243"/>
      <c r="I1475" s="243"/>
      <c r="J1475" s="243"/>
      <c r="K1475" s="243"/>
      <c r="L1475" s="243"/>
      <c r="M1475" s="244"/>
      <c r="N1475" s="245" t="s">
        <v>257</v>
      </c>
      <c r="O1475" s="246"/>
      <c r="P1475" s="203" t="s">
        <v>257</v>
      </c>
      <c r="Q1475" s="210" t="s">
        <v>257</v>
      </c>
      <c r="R1475" s="243" t="s">
        <v>257</v>
      </c>
      <c r="S1475" s="247"/>
    </row>
    <row r="1476" spans="1:19" x14ac:dyDescent="0.2">
      <c r="A1476" s="242"/>
      <c r="B1476" s="243"/>
      <c r="C1476" s="243"/>
      <c r="D1476" s="243"/>
      <c r="E1476" s="243"/>
      <c r="F1476" s="243"/>
      <c r="G1476" s="244"/>
      <c r="H1476" s="243"/>
      <c r="I1476" s="243"/>
      <c r="J1476" s="243"/>
      <c r="K1476" s="243"/>
      <c r="L1476" s="243"/>
      <c r="M1476" s="244"/>
      <c r="N1476" s="245" t="s">
        <v>257</v>
      </c>
      <c r="O1476" s="246"/>
      <c r="P1476" s="203" t="s">
        <v>257</v>
      </c>
      <c r="Q1476" s="210" t="s">
        <v>257</v>
      </c>
      <c r="R1476" s="243" t="s">
        <v>257</v>
      </c>
      <c r="S1476" s="247"/>
    </row>
    <row r="1477" spans="1:19" x14ac:dyDescent="0.2">
      <c r="A1477" s="242"/>
      <c r="B1477" s="243"/>
      <c r="C1477" s="243"/>
      <c r="D1477" s="243"/>
      <c r="E1477" s="243"/>
      <c r="F1477" s="243"/>
      <c r="G1477" s="244"/>
      <c r="H1477" s="243"/>
      <c r="I1477" s="243"/>
      <c r="J1477" s="243"/>
      <c r="K1477" s="243"/>
      <c r="L1477" s="243"/>
      <c r="M1477" s="244"/>
      <c r="N1477" s="245" t="s">
        <v>257</v>
      </c>
      <c r="O1477" s="246"/>
      <c r="P1477" s="203" t="s">
        <v>257</v>
      </c>
      <c r="Q1477" s="210" t="s">
        <v>257</v>
      </c>
      <c r="R1477" s="243" t="s">
        <v>257</v>
      </c>
      <c r="S1477" s="247"/>
    </row>
    <row r="1478" spans="1:19" x14ac:dyDescent="0.2">
      <c r="A1478" s="242"/>
      <c r="B1478" s="243"/>
      <c r="C1478" s="243"/>
      <c r="D1478" s="243"/>
      <c r="E1478" s="243"/>
      <c r="F1478" s="243"/>
      <c r="G1478" s="244"/>
      <c r="H1478" s="243"/>
      <c r="I1478" s="243"/>
      <c r="J1478" s="243"/>
      <c r="K1478" s="243"/>
      <c r="L1478" s="243"/>
      <c r="M1478" s="244"/>
      <c r="N1478" s="245" t="s">
        <v>257</v>
      </c>
      <c r="O1478" s="246"/>
      <c r="P1478" s="203" t="s">
        <v>257</v>
      </c>
      <c r="Q1478" s="210" t="s">
        <v>257</v>
      </c>
      <c r="R1478" s="243" t="s">
        <v>257</v>
      </c>
      <c r="S1478" s="247"/>
    </row>
    <row r="1479" spans="1:19" x14ac:dyDescent="0.2">
      <c r="A1479" s="242"/>
      <c r="B1479" s="243"/>
      <c r="C1479" s="243"/>
      <c r="D1479" s="243"/>
      <c r="E1479" s="243"/>
      <c r="F1479" s="243"/>
      <c r="G1479" s="244"/>
      <c r="H1479" s="243"/>
      <c r="I1479" s="243"/>
      <c r="J1479" s="243"/>
      <c r="K1479" s="243"/>
      <c r="L1479" s="243"/>
      <c r="M1479" s="244"/>
      <c r="N1479" s="245" t="s">
        <v>257</v>
      </c>
      <c r="O1479" s="246"/>
      <c r="P1479" s="203" t="s">
        <v>257</v>
      </c>
      <c r="Q1479" s="210" t="s">
        <v>257</v>
      </c>
      <c r="R1479" s="243" t="s">
        <v>257</v>
      </c>
      <c r="S1479" s="247"/>
    </row>
    <row r="1480" spans="1:19" x14ac:dyDescent="0.2">
      <c r="A1480" s="242"/>
      <c r="B1480" s="243"/>
      <c r="C1480" s="243"/>
      <c r="D1480" s="243"/>
      <c r="E1480" s="243"/>
      <c r="F1480" s="243"/>
      <c r="G1480" s="244"/>
      <c r="H1480" s="243"/>
      <c r="I1480" s="243"/>
      <c r="J1480" s="243"/>
      <c r="K1480" s="243"/>
      <c r="L1480" s="243"/>
      <c r="M1480" s="244"/>
      <c r="N1480" s="245" t="s">
        <v>257</v>
      </c>
      <c r="O1480" s="246"/>
      <c r="P1480" s="203" t="s">
        <v>257</v>
      </c>
      <c r="Q1480" s="210" t="s">
        <v>257</v>
      </c>
      <c r="R1480" s="243" t="s">
        <v>257</v>
      </c>
      <c r="S1480" s="247"/>
    </row>
    <row r="1481" spans="1:19" x14ac:dyDescent="0.2">
      <c r="A1481" s="242"/>
      <c r="B1481" s="243"/>
      <c r="C1481" s="243"/>
      <c r="D1481" s="243"/>
      <c r="E1481" s="243"/>
      <c r="F1481" s="243"/>
      <c r="G1481" s="244"/>
      <c r="H1481" s="243"/>
      <c r="I1481" s="243"/>
      <c r="J1481" s="243"/>
      <c r="K1481" s="243"/>
      <c r="L1481" s="243"/>
      <c r="M1481" s="244"/>
      <c r="N1481" s="245" t="s">
        <v>257</v>
      </c>
      <c r="O1481" s="246"/>
      <c r="P1481" s="203" t="s">
        <v>257</v>
      </c>
      <c r="Q1481" s="210" t="s">
        <v>257</v>
      </c>
      <c r="R1481" s="243" t="s">
        <v>257</v>
      </c>
      <c r="S1481" s="247"/>
    </row>
    <row r="1482" spans="1:19" x14ac:dyDescent="0.2">
      <c r="A1482" s="242"/>
      <c r="B1482" s="243"/>
      <c r="C1482" s="243"/>
      <c r="D1482" s="243"/>
      <c r="E1482" s="243"/>
      <c r="F1482" s="243"/>
      <c r="G1482" s="244"/>
      <c r="H1482" s="243"/>
      <c r="I1482" s="243"/>
      <c r="J1482" s="243"/>
      <c r="K1482" s="243"/>
      <c r="L1482" s="243"/>
      <c r="M1482" s="244"/>
      <c r="N1482" s="245" t="s">
        <v>257</v>
      </c>
      <c r="O1482" s="246"/>
      <c r="P1482" s="203" t="s">
        <v>257</v>
      </c>
      <c r="Q1482" s="210" t="s">
        <v>257</v>
      </c>
      <c r="R1482" s="243" t="s">
        <v>257</v>
      </c>
      <c r="S1482" s="247"/>
    </row>
    <row r="1483" spans="1:19" x14ac:dyDescent="0.2">
      <c r="A1483" s="242"/>
      <c r="B1483" s="243"/>
      <c r="C1483" s="243"/>
      <c r="D1483" s="243"/>
      <c r="E1483" s="243"/>
      <c r="F1483" s="243"/>
      <c r="G1483" s="244"/>
      <c r="H1483" s="243"/>
      <c r="I1483" s="243"/>
      <c r="J1483" s="243"/>
      <c r="K1483" s="243"/>
      <c r="L1483" s="243"/>
      <c r="M1483" s="244"/>
      <c r="N1483" s="245" t="s">
        <v>257</v>
      </c>
      <c r="O1483" s="246"/>
      <c r="P1483" s="203" t="s">
        <v>257</v>
      </c>
      <c r="Q1483" s="210" t="s">
        <v>257</v>
      </c>
      <c r="R1483" s="243" t="s">
        <v>257</v>
      </c>
      <c r="S1483" s="247"/>
    </row>
    <row r="1484" spans="1:19" x14ac:dyDescent="0.2">
      <c r="A1484" s="242"/>
      <c r="B1484" s="243"/>
      <c r="C1484" s="243"/>
      <c r="D1484" s="243"/>
      <c r="E1484" s="243"/>
      <c r="F1484" s="243"/>
      <c r="G1484" s="244"/>
      <c r="H1484" s="243"/>
      <c r="I1484" s="243"/>
      <c r="J1484" s="243"/>
      <c r="K1484" s="243"/>
      <c r="L1484" s="243"/>
      <c r="M1484" s="244"/>
      <c r="N1484" s="245" t="s">
        <v>257</v>
      </c>
      <c r="O1484" s="246"/>
      <c r="P1484" s="203" t="s">
        <v>257</v>
      </c>
      <c r="Q1484" s="210" t="s">
        <v>257</v>
      </c>
      <c r="R1484" s="243" t="s">
        <v>257</v>
      </c>
      <c r="S1484" s="247"/>
    </row>
    <row r="1485" spans="1:19" x14ac:dyDescent="0.2">
      <c r="A1485" s="242"/>
      <c r="B1485" s="243"/>
      <c r="C1485" s="243"/>
      <c r="D1485" s="243"/>
      <c r="E1485" s="243"/>
      <c r="F1485" s="243"/>
      <c r="G1485" s="244"/>
      <c r="H1485" s="243"/>
      <c r="I1485" s="243"/>
      <c r="J1485" s="243"/>
      <c r="K1485" s="243"/>
      <c r="L1485" s="243"/>
      <c r="M1485" s="244"/>
      <c r="N1485" s="245" t="s">
        <v>257</v>
      </c>
      <c r="O1485" s="246"/>
      <c r="P1485" s="203" t="s">
        <v>257</v>
      </c>
      <c r="Q1485" s="210" t="s">
        <v>257</v>
      </c>
      <c r="R1485" s="243" t="s">
        <v>257</v>
      </c>
      <c r="S1485" s="247"/>
    </row>
    <row r="1486" spans="1:19" x14ac:dyDescent="0.2">
      <c r="A1486" s="242"/>
      <c r="B1486" s="243"/>
      <c r="C1486" s="243"/>
      <c r="D1486" s="243"/>
      <c r="E1486" s="243"/>
      <c r="F1486" s="243"/>
      <c r="G1486" s="244"/>
      <c r="H1486" s="243"/>
      <c r="I1486" s="243"/>
      <c r="J1486" s="243"/>
      <c r="K1486" s="243"/>
      <c r="L1486" s="243"/>
      <c r="M1486" s="244"/>
      <c r="N1486" s="245" t="s">
        <v>257</v>
      </c>
      <c r="O1486" s="246"/>
      <c r="P1486" s="203" t="s">
        <v>257</v>
      </c>
      <c r="Q1486" s="210" t="s">
        <v>257</v>
      </c>
      <c r="R1486" s="243" t="s">
        <v>257</v>
      </c>
      <c r="S1486" s="247"/>
    </row>
    <row r="1487" spans="1:19" x14ac:dyDescent="0.2">
      <c r="A1487" s="242"/>
      <c r="B1487" s="243"/>
      <c r="C1487" s="243"/>
      <c r="D1487" s="243"/>
      <c r="E1487" s="243"/>
      <c r="F1487" s="243"/>
      <c r="G1487" s="244"/>
      <c r="H1487" s="243"/>
      <c r="I1487" s="243"/>
      <c r="J1487" s="243"/>
      <c r="K1487" s="243"/>
      <c r="L1487" s="243"/>
      <c r="M1487" s="244"/>
      <c r="N1487" s="245" t="s">
        <v>257</v>
      </c>
      <c r="O1487" s="246"/>
      <c r="P1487" s="203" t="s">
        <v>257</v>
      </c>
      <c r="Q1487" s="210" t="s">
        <v>257</v>
      </c>
      <c r="R1487" s="243" t="s">
        <v>257</v>
      </c>
      <c r="S1487" s="247"/>
    </row>
    <row r="1488" spans="1:19" x14ac:dyDescent="0.2">
      <c r="A1488" s="242"/>
      <c r="B1488" s="243"/>
      <c r="C1488" s="243"/>
      <c r="D1488" s="243"/>
      <c r="E1488" s="243"/>
      <c r="F1488" s="243"/>
      <c r="G1488" s="244"/>
      <c r="H1488" s="243"/>
      <c r="I1488" s="243"/>
      <c r="J1488" s="243"/>
      <c r="K1488" s="243"/>
      <c r="L1488" s="243"/>
      <c r="M1488" s="244"/>
      <c r="N1488" s="245" t="s">
        <v>257</v>
      </c>
      <c r="O1488" s="246"/>
      <c r="P1488" s="203" t="s">
        <v>257</v>
      </c>
      <c r="Q1488" s="210" t="s">
        <v>257</v>
      </c>
      <c r="R1488" s="243" t="s">
        <v>257</v>
      </c>
      <c r="S1488" s="247"/>
    </row>
    <row r="1489" spans="1:19" x14ac:dyDescent="0.2">
      <c r="A1489" s="242"/>
      <c r="B1489" s="243"/>
      <c r="C1489" s="243"/>
      <c r="D1489" s="243"/>
      <c r="E1489" s="243"/>
      <c r="F1489" s="243"/>
      <c r="G1489" s="244"/>
      <c r="H1489" s="243"/>
      <c r="I1489" s="243"/>
      <c r="J1489" s="243"/>
      <c r="K1489" s="243"/>
      <c r="L1489" s="243"/>
      <c r="M1489" s="244"/>
      <c r="N1489" s="245" t="s">
        <v>257</v>
      </c>
      <c r="O1489" s="246"/>
      <c r="P1489" s="203" t="s">
        <v>257</v>
      </c>
      <c r="Q1489" s="210" t="s">
        <v>257</v>
      </c>
      <c r="R1489" s="243" t="s">
        <v>257</v>
      </c>
      <c r="S1489" s="247"/>
    </row>
    <row r="1490" spans="1:19" x14ac:dyDescent="0.2">
      <c r="A1490" s="242"/>
      <c r="B1490" s="243"/>
      <c r="C1490" s="243"/>
      <c r="D1490" s="243"/>
      <c r="E1490" s="243"/>
      <c r="F1490" s="243"/>
      <c r="G1490" s="244"/>
      <c r="H1490" s="243"/>
      <c r="I1490" s="243"/>
      <c r="J1490" s="243"/>
      <c r="K1490" s="243"/>
      <c r="L1490" s="243"/>
      <c r="M1490" s="244"/>
      <c r="N1490" s="245" t="s">
        <v>257</v>
      </c>
      <c r="O1490" s="246"/>
      <c r="P1490" s="203" t="s">
        <v>257</v>
      </c>
      <c r="Q1490" s="210" t="s">
        <v>257</v>
      </c>
      <c r="R1490" s="243" t="s">
        <v>257</v>
      </c>
      <c r="S1490" s="247"/>
    </row>
    <row r="1491" spans="1:19" x14ac:dyDescent="0.2">
      <c r="A1491" s="242"/>
      <c r="B1491" s="243"/>
      <c r="C1491" s="243"/>
      <c r="D1491" s="243"/>
      <c r="E1491" s="243"/>
      <c r="F1491" s="243"/>
      <c r="G1491" s="244"/>
      <c r="H1491" s="243"/>
      <c r="I1491" s="243"/>
      <c r="J1491" s="243"/>
      <c r="K1491" s="243"/>
      <c r="L1491" s="243"/>
      <c r="M1491" s="244"/>
      <c r="N1491" s="245" t="s">
        <v>257</v>
      </c>
      <c r="O1491" s="246"/>
      <c r="P1491" s="203" t="s">
        <v>257</v>
      </c>
      <c r="Q1491" s="210" t="s">
        <v>257</v>
      </c>
      <c r="R1491" s="243" t="s">
        <v>257</v>
      </c>
      <c r="S1491" s="247"/>
    </row>
    <row r="1492" spans="1:19" x14ac:dyDescent="0.2">
      <c r="A1492" s="242"/>
      <c r="B1492" s="243"/>
      <c r="C1492" s="243"/>
      <c r="D1492" s="243"/>
      <c r="E1492" s="243"/>
      <c r="F1492" s="243"/>
      <c r="G1492" s="244"/>
      <c r="H1492" s="243"/>
      <c r="I1492" s="243"/>
      <c r="J1492" s="243"/>
      <c r="K1492" s="243"/>
      <c r="L1492" s="243"/>
      <c r="M1492" s="244"/>
      <c r="N1492" s="245" t="s">
        <v>257</v>
      </c>
      <c r="O1492" s="246"/>
      <c r="P1492" s="203" t="s">
        <v>257</v>
      </c>
      <c r="Q1492" s="210" t="s">
        <v>257</v>
      </c>
      <c r="R1492" s="243" t="s">
        <v>257</v>
      </c>
      <c r="S1492" s="247"/>
    </row>
    <row r="1493" spans="1:19" x14ac:dyDescent="0.2">
      <c r="A1493" s="242"/>
      <c r="B1493" s="243"/>
      <c r="C1493" s="243"/>
      <c r="D1493" s="243"/>
      <c r="E1493" s="243"/>
      <c r="F1493" s="243"/>
      <c r="G1493" s="244"/>
      <c r="H1493" s="243"/>
      <c r="I1493" s="243"/>
      <c r="J1493" s="243"/>
      <c r="K1493" s="243"/>
      <c r="L1493" s="243"/>
      <c r="M1493" s="244"/>
      <c r="N1493" s="245" t="s">
        <v>257</v>
      </c>
      <c r="O1493" s="246"/>
      <c r="P1493" s="203" t="s">
        <v>257</v>
      </c>
      <c r="Q1493" s="210" t="s">
        <v>257</v>
      </c>
      <c r="R1493" s="243" t="s">
        <v>257</v>
      </c>
      <c r="S1493" s="247"/>
    </row>
    <row r="1494" spans="1:19" x14ac:dyDescent="0.2">
      <c r="A1494" s="242"/>
      <c r="B1494" s="243"/>
      <c r="C1494" s="243"/>
      <c r="D1494" s="243"/>
      <c r="E1494" s="243"/>
      <c r="F1494" s="243"/>
      <c r="G1494" s="244"/>
      <c r="H1494" s="243"/>
      <c r="I1494" s="243"/>
      <c r="J1494" s="243"/>
      <c r="K1494" s="243"/>
      <c r="L1494" s="243"/>
      <c r="M1494" s="244"/>
      <c r="N1494" s="245" t="s">
        <v>257</v>
      </c>
      <c r="O1494" s="246"/>
      <c r="P1494" s="203" t="s">
        <v>257</v>
      </c>
      <c r="Q1494" s="210" t="s">
        <v>257</v>
      </c>
      <c r="R1494" s="243" t="s">
        <v>257</v>
      </c>
      <c r="S1494" s="247"/>
    </row>
    <row r="1495" spans="1:19" x14ac:dyDescent="0.2">
      <c r="A1495" s="242"/>
      <c r="B1495" s="243"/>
      <c r="C1495" s="243"/>
      <c r="D1495" s="243"/>
      <c r="E1495" s="243"/>
      <c r="F1495" s="243"/>
      <c r="G1495" s="244"/>
      <c r="H1495" s="243"/>
      <c r="I1495" s="243"/>
      <c r="J1495" s="243"/>
      <c r="K1495" s="243"/>
      <c r="L1495" s="243"/>
      <c r="M1495" s="244"/>
      <c r="N1495" s="245" t="s">
        <v>257</v>
      </c>
      <c r="O1495" s="246"/>
      <c r="P1495" s="203" t="s">
        <v>257</v>
      </c>
      <c r="Q1495" s="210" t="s">
        <v>257</v>
      </c>
      <c r="R1495" s="243" t="s">
        <v>257</v>
      </c>
      <c r="S1495" s="247"/>
    </row>
    <row r="1496" spans="1:19" x14ac:dyDescent="0.2">
      <c r="A1496" s="242"/>
      <c r="B1496" s="243"/>
      <c r="C1496" s="243"/>
      <c r="D1496" s="243"/>
      <c r="E1496" s="243"/>
      <c r="F1496" s="243"/>
      <c r="G1496" s="244"/>
      <c r="H1496" s="243"/>
      <c r="I1496" s="243"/>
      <c r="J1496" s="243"/>
      <c r="K1496" s="243"/>
      <c r="L1496" s="243"/>
      <c r="M1496" s="244"/>
      <c r="N1496" s="245" t="s">
        <v>257</v>
      </c>
      <c r="O1496" s="246"/>
      <c r="P1496" s="203" t="s">
        <v>257</v>
      </c>
      <c r="Q1496" s="210" t="s">
        <v>257</v>
      </c>
      <c r="R1496" s="243" t="s">
        <v>257</v>
      </c>
      <c r="S1496" s="247"/>
    </row>
    <row r="1497" spans="1:19" x14ac:dyDescent="0.2">
      <c r="A1497" s="242"/>
      <c r="B1497" s="243"/>
      <c r="C1497" s="243"/>
      <c r="D1497" s="243"/>
      <c r="E1497" s="243"/>
      <c r="F1497" s="243"/>
      <c r="G1497" s="244"/>
      <c r="H1497" s="243"/>
      <c r="I1497" s="243"/>
      <c r="J1497" s="243"/>
      <c r="K1497" s="243"/>
      <c r="L1497" s="243"/>
      <c r="M1497" s="244"/>
      <c r="N1497" s="245" t="s">
        <v>257</v>
      </c>
      <c r="O1497" s="246"/>
      <c r="P1497" s="203" t="s">
        <v>257</v>
      </c>
      <c r="Q1497" s="210" t="s">
        <v>257</v>
      </c>
      <c r="R1497" s="243" t="s">
        <v>257</v>
      </c>
      <c r="S1497" s="247"/>
    </row>
    <row r="1498" spans="1:19" x14ac:dyDescent="0.2">
      <c r="A1498" s="242"/>
      <c r="B1498" s="243"/>
      <c r="C1498" s="243"/>
      <c r="D1498" s="243"/>
      <c r="E1498" s="243"/>
      <c r="F1498" s="243"/>
      <c r="G1498" s="244"/>
      <c r="H1498" s="243"/>
      <c r="I1498" s="243"/>
      <c r="J1498" s="243"/>
      <c r="K1498" s="243"/>
      <c r="L1498" s="243"/>
      <c r="M1498" s="244"/>
      <c r="N1498" s="245" t="s">
        <v>257</v>
      </c>
      <c r="O1498" s="246"/>
      <c r="P1498" s="203" t="s">
        <v>257</v>
      </c>
      <c r="Q1498" s="210" t="s">
        <v>257</v>
      </c>
      <c r="R1498" s="243" t="s">
        <v>257</v>
      </c>
      <c r="S1498" s="247"/>
    </row>
    <row r="1499" spans="1:19" x14ac:dyDescent="0.2">
      <c r="A1499" s="242"/>
      <c r="B1499" s="243"/>
      <c r="C1499" s="243"/>
      <c r="D1499" s="243"/>
      <c r="E1499" s="243"/>
      <c r="F1499" s="243"/>
      <c r="G1499" s="244"/>
      <c r="H1499" s="243"/>
      <c r="I1499" s="243"/>
      <c r="J1499" s="243"/>
      <c r="K1499" s="243"/>
      <c r="L1499" s="243"/>
      <c r="M1499" s="244"/>
      <c r="N1499" s="245" t="s">
        <v>257</v>
      </c>
      <c r="O1499" s="246"/>
      <c r="P1499" s="203" t="s">
        <v>257</v>
      </c>
      <c r="Q1499" s="210" t="s">
        <v>257</v>
      </c>
      <c r="R1499" s="243" t="s">
        <v>257</v>
      </c>
      <c r="S1499" s="247"/>
    </row>
    <row r="1500" spans="1:19" x14ac:dyDescent="0.2">
      <c r="A1500" s="242"/>
      <c r="B1500" s="243"/>
      <c r="C1500" s="243"/>
      <c r="D1500" s="243"/>
      <c r="E1500" s="243"/>
      <c r="F1500" s="243"/>
      <c r="G1500" s="244"/>
      <c r="H1500" s="243"/>
      <c r="I1500" s="243"/>
      <c r="J1500" s="243"/>
      <c r="K1500" s="243"/>
      <c r="L1500" s="243"/>
      <c r="M1500" s="244"/>
      <c r="N1500" s="245" t="s">
        <v>257</v>
      </c>
      <c r="O1500" s="246"/>
      <c r="P1500" s="203" t="s">
        <v>257</v>
      </c>
      <c r="Q1500" s="210" t="s">
        <v>257</v>
      </c>
      <c r="R1500" s="243" t="s">
        <v>257</v>
      </c>
      <c r="S1500" s="247"/>
    </row>
    <row r="1501" spans="1:19" x14ac:dyDescent="0.2">
      <c r="A1501" s="242"/>
      <c r="B1501" s="243"/>
      <c r="C1501" s="243"/>
      <c r="D1501" s="243"/>
      <c r="E1501" s="243"/>
      <c r="F1501" s="243"/>
      <c r="G1501" s="244"/>
      <c r="H1501" s="243"/>
      <c r="I1501" s="243"/>
      <c r="J1501" s="243"/>
      <c r="K1501" s="243"/>
      <c r="L1501" s="243"/>
      <c r="M1501" s="244"/>
      <c r="N1501" s="245" t="s">
        <v>257</v>
      </c>
      <c r="O1501" s="246"/>
      <c r="P1501" s="203" t="s">
        <v>257</v>
      </c>
      <c r="Q1501" s="210" t="s">
        <v>257</v>
      </c>
      <c r="R1501" s="243" t="s">
        <v>257</v>
      </c>
      <c r="S1501" s="247"/>
    </row>
    <row r="1502" spans="1:19" x14ac:dyDescent="0.2">
      <c r="A1502" s="242"/>
      <c r="B1502" s="243"/>
      <c r="C1502" s="243"/>
      <c r="D1502" s="243"/>
      <c r="E1502" s="243"/>
      <c r="F1502" s="243"/>
      <c r="G1502" s="244"/>
      <c r="H1502" s="243"/>
      <c r="I1502" s="243"/>
      <c r="J1502" s="243"/>
      <c r="K1502" s="243"/>
      <c r="L1502" s="243"/>
      <c r="M1502" s="244"/>
      <c r="N1502" s="245" t="s">
        <v>257</v>
      </c>
      <c r="O1502" s="246"/>
      <c r="P1502" s="203" t="s">
        <v>257</v>
      </c>
      <c r="Q1502" s="210" t="s">
        <v>257</v>
      </c>
      <c r="R1502" s="243" t="s">
        <v>257</v>
      </c>
      <c r="S1502" s="247"/>
    </row>
    <row r="1503" spans="1:19" x14ac:dyDescent="0.2">
      <c r="A1503" s="242"/>
      <c r="B1503" s="243"/>
      <c r="C1503" s="243"/>
      <c r="D1503" s="243"/>
      <c r="E1503" s="243"/>
      <c r="F1503" s="243"/>
      <c r="G1503" s="244"/>
      <c r="H1503" s="243"/>
      <c r="I1503" s="243"/>
      <c r="J1503" s="243"/>
      <c r="K1503" s="243"/>
      <c r="L1503" s="243"/>
      <c r="M1503" s="244"/>
      <c r="N1503" s="245" t="s">
        <v>257</v>
      </c>
      <c r="O1503" s="246"/>
      <c r="P1503" s="203" t="s">
        <v>257</v>
      </c>
      <c r="Q1503" s="210" t="s">
        <v>257</v>
      </c>
      <c r="R1503" s="243" t="s">
        <v>257</v>
      </c>
      <c r="S1503" s="247"/>
    </row>
    <row r="1504" spans="1:19" x14ac:dyDescent="0.2">
      <c r="A1504" s="242"/>
      <c r="B1504" s="243"/>
      <c r="C1504" s="243"/>
      <c r="D1504" s="243"/>
      <c r="E1504" s="243"/>
      <c r="F1504" s="243"/>
      <c r="G1504" s="244"/>
      <c r="H1504" s="243"/>
      <c r="I1504" s="243"/>
      <c r="J1504" s="243"/>
      <c r="K1504" s="243"/>
      <c r="L1504" s="243"/>
      <c r="M1504" s="244"/>
      <c r="N1504" s="245" t="s">
        <v>257</v>
      </c>
      <c r="O1504" s="246"/>
      <c r="P1504" s="203" t="s">
        <v>257</v>
      </c>
      <c r="Q1504" s="210" t="s">
        <v>257</v>
      </c>
      <c r="R1504" s="243" t="s">
        <v>257</v>
      </c>
      <c r="S1504" s="247"/>
    </row>
    <row r="1505" spans="1:19" x14ac:dyDescent="0.2">
      <c r="A1505" s="242"/>
      <c r="B1505" s="243"/>
      <c r="C1505" s="243"/>
      <c r="D1505" s="243"/>
      <c r="E1505" s="243"/>
      <c r="F1505" s="243"/>
      <c r="G1505" s="244"/>
      <c r="H1505" s="243"/>
      <c r="I1505" s="243"/>
      <c r="J1505" s="243"/>
      <c r="K1505" s="243"/>
      <c r="L1505" s="243"/>
      <c r="M1505" s="244"/>
      <c r="N1505" s="245" t="s">
        <v>257</v>
      </c>
      <c r="O1505" s="246"/>
      <c r="P1505" s="203" t="s">
        <v>257</v>
      </c>
      <c r="Q1505" s="210" t="s">
        <v>257</v>
      </c>
      <c r="R1505" s="243" t="s">
        <v>257</v>
      </c>
      <c r="S1505" s="247"/>
    </row>
    <row r="1506" spans="1:19" x14ac:dyDescent="0.2">
      <c r="A1506" s="242"/>
      <c r="B1506" s="243"/>
      <c r="C1506" s="243"/>
      <c r="D1506" s="243"/>
      <c r="E1506" s="243"/>
      <c r="F1506" s="243"/>
      <c r="G1506" s="244"/>
      <c r="H1506" s="243"/>
      <c r="I1506" s="243"/>
      <c r="J1506" s="243"/>
      <c r="K1506" s="243"/>
      <c r="L1506" s="243"/>
      <c r="M1506" s="244"/>
      <c r="N1506" s="245" t="s">
        <v>257</v>
      </c>
      <c r="O1506" s="246"/>
      <c r="P1506" s="203" t="s">
        <v>257</v>
      </c>
      <c r="Q1506" s="210" t="s">
        <v>257</v>
      </c>
      <c r="R1506" s="243" t="s">
        <v>257</v>
      </c>
      <c r="S1506" s="247"/>
    </row>
    <row r="1507" spans="1:19" x14ac:dyDescent="0.2">
      <c r="A1507" s="242"/>
      <c r="B1507" s="243"/>
      <c r="C1507" s="243"/>
      <c r="D1507" s="243"/>
      <c r="E1507" s="243"/>
      <c r="F1507" s="243"/>
      <c r="G1507" s="244"/>
      <c r="H1507" s="243"/>
      <c r="I1507" s="243"/>
      <c r="J1507" s="243"/>
      <c r="K1507" s="243"/>
      <c r="L1507" s="243"/>
      <c r="M1507" s="244"/>
      <c r="N1507" s="245" t="s">
        <v>257</v>
      </c>
      <c r="O1507" s="246"/>
      <c r="P1507" s="203" t="s">
        <v>257</v>
      </c>
      <c r="Q1507" s="210" t="s">
        <v>257</v>
      </c>
      <c r="R1507" s="243" t="s">
        <v>257</v>
      </c>
      <c r="S1507" s="247"/>
    </row>
    <row r="1508" spans="1:19" x14ac:dyDescent="0.2">
      <c r="A1508" s="242"/>
      <c r="B1508" s="243"/>
      <c r="C1508" s="243"/>
      <c r="D1508" s="243"/>
      <c r="E1508" s="243"/>
      <c r="F1508" s="243"/>
      <c r="G1508" s="244"/>
      <c r="H1508" s="243"/>
      <c r="I1508" s="243"/>
      <c r="J1508" s="243"/>
      <c r="K1508" s="243"/>
      <c r="L1508" s="243"/>
      <c r="M1508" s="244"/>
      <c r="N1508" s="245" t="s">
        <v>257</v>
      </c>
      <c r="O1508" s="246"/>
      <c r="P1508" s="203" t="s">
        <v>257</v>
      </c>
      <c r="Q1508" s="210" t="s">
        <v>257</v>
      </c>
      <c r="R1508" s="243" t="s">
        <v>257</v>
      </c>
      <c r="S1508" s="247"/>
    </row>
    <row r="1509" spans="1:19" x14ac:dyDescent="0.2">
      <c r="A1509" s="242"/>
      <c r="B1509" s="243"/>
      <c r="C1509" s="243"/>
      <c r="D1509" s="243"/>
      <c r="E1509" s="243"/>
      <c r="F1509" s="243"/>
      <c r="G1509" s="244"/>
      <c r="H1509" s="243"/>
      <c r="I1509" s="243"/>
      <c r="J1509" s="243"/>
      <c r="K1509" s="243"/>
      <c r="L1509" s="243"/>
      <c r="M1509" s="244"/>
      <c r="N1509" s="245" t="s">
        <v>257</v>
      </c>
      <c r="O1509" s="246"/>
      <c r="P1509" s="203" t="s">
        <v>257</v>
      </c>
      <c r="Q1509" s="210" t="s">
        <v>257</v>
      </c>
      <c r="R1509" s="243" t="s">
        <v>257</v>
      </c>
      <c r="S1509" s="247"/>
    </row>
    <row r="1510" spans="1:19" x14ac:dyDescent="0.2">
      <c r="A1510" s="242"/>
      <c r="B1510" s="243"/>
      <c r="C1510" s="243"/>
      <c r="D1510" s="243"/>
      <c r="E1510" s="243"/>
      <c r="F1510" s="243"/>
      <c r="G1510" s="244"/>
      <c r="H1510" s="243"/>
      <c r="I1510" s="243"/>
      <c r="J1510" s="243"/>
      <c r="K1510" s="243"/>
      <c r="L1510" s="243"/>
      <c r="M1510" s="244"/>
      <c r="N1510" s="245" t="s">
        <v>257</v>
      </c>
      <c r="O1510" s="246"/>
      <c r="P1510" s="203" t="s">
        <v>257</v>
      </c>
      <c r="Q1510" s="210" t="s">
        <v>257</v>
      </c>
      <c r="R1510" s="243" t="s">
        <v>257</v>
      </c>
      <c r="S1510" s="247"/>
    </row>
    <row r="1511" spans="1:19" x14ac:dyDescent="0.2">
      <c r="A1511" s="242"/>
      <c r="B1511" s="243"/>
      <c r="C1511" s="243"/>
      <c r="D1511" s="243"/>
      <c r="E1511" s="243"/>
      <c r="F1511" s="243"/>
      <c r="G1511" s="244"/>
      <c r="H1511" s="243"/>
      <c r="I1511" s="243"/>
      <c r="J1511" s="243"/>
      <c r="K1511" s="243"/>
      <c r="L1511" s="243"/>
      <c r="M1511" s="244"/>
      <c r="N1511" s="245" t="s">
        <v>257</v>
      </c>
      <c r="O1511" s="246"/>
      <c r="P1511" s="203" t="s">
        <v>257</v>
      </c>
      <c r="Q1511" s="210" t="s">
        <v>257</v>
      </c>
      <c r="R1511" s="243" t="s">
        <v>257</v>
      </c>
      <c r="S1511" s="247"/>
    </row>
    <row r="1512" spans="1:19" x14ac:dyDescent="0.2">
      <c r="A1512" s="242"/>
      <c r="B1512" s="243"/>
      <c r="C1512" s="243"/>
      <c r="D1512" s="243"/>
      <c r="E1512" s="243"/>
      <c r="F1512" s="243"/>
      <c r="G1512" s="244"/>
      <c r="H1512" s="243"/>
      <c r="I1512" s="243"/>
      <c r="J1512" s="243"/>
      <c r="K1512" s="243"/>
      <c r="L1512" s="243"/>
      <c r="M1512" s="244"/>
      <c r="N1512" s="245" t="s">
        <v>257</v>
      </c>
      <c r="O1512" s="246"/>
      <c r="P1512" s="203" t="s">
        <v>257</v>
      </c>
      <c r="Q1512" s="210" t="s">
        <v>257</v>
      </c>
      <c r="R1512" s="243" t="s">
        <v>257</v>
      </c>
      <c r="S1512" s="247"/>
    </row>
    <row r="1513" spans="1:19" x14ac:dyDescent="0.2">
      <c r="A1513" s="242"/>
      <c r="B1513" s="243"/>
      <c r="C1513" s="243"/>
      <c r="D1513" s="243"/>
      <c r="E1513" s="243"/>
      <c r="F1513" s="243"/>
      <c r="G1513" s="244"/>
      <c r="H1513" s="243"/>
      <c r="I1513" s="243"/>
      <c r="J1513" s="243"/>
      <c r="K1513" s="243"/>
      <c r="L1513" s="243"/>
      <c r="M1513" s="244"/>
      <c r="N1513" s="245" t="s">
        <v>257</v>
      </c>
      <c r="O1513" s="246"/>
      <c r="P1513" s="203" t="s">
        <v>257</v>
      </c>
      <c r="Q1513" s="210" t="s">
        <v>257</v>
      </c>
      <c r="R1513" s="243" t="s">
        <v>257</v>
      </c>
      <c r="S1513" s="247"/>
    </row>
    <row r="1514" spans="1:19" x14ac:dyDescent="0.2">
      <c r="A1514" s="242"/>
      <c r="B1514" s="243"/>
      <c r="C1514" s="243"/>
      <c r="D1514" s="243"/>
      <c r="E1514" s="243"/>
      <c r="F1514" s="243"/>
      <c r="G1514" s="244"/>
      <c r="H1514" s="243"/>
      <c r="I1514" s="243"/>
      <c r="J1514" s="243"/>
      <c r="K1514" s="243"/>
      <c r="L1514" s="243"/>
      <c r="M1514" s="244"/>
      <c r="N1514" s="245" t="s">
        <v>257</v>
      </c>
      <c r="O1514" s="246"/>
      <c r="P1514" s="203" t="s">
        <v>257</v>
      </c>
      <c r="Q1514" s="210" t="s">
        <v>257</v>
      </c>
      <c r="R1514" s="243" t="s">
        <v>257</v>
      </c>
      <c r="S1514" s="247"/>
    </row>
    <row r="1515" spans="1:19" x14ac:dyDescent="0.2">
      <c r="A1515" s="242"/>
      <c r="B1515" s="243"/>
      <c r="C1515" s="243"/>
      <c r="D1515" s="243"/>
      <c r="E1515" s="243"/>
      <c r="F1515" s="243"/>
      <c r="G1515" s="244"/>
      <c r="H1515" s="243"/>
      <c r="I1515" s="243"/>
      <c r="J1515" s="243"/>
      <c r="K1515" s="243"/>
      <c r="L1515" s="243"/>
      <c r="M1515" s="244"/>
      <c r="N1515" s="245" t="s">
        <v>257</v>
      </c>
      <c r="O1515" s="246"/>
      <c r="P1515" s="203" t="s">
        <v>257</v>
      </c>
      <c r="Q1515" s="210" t="s">
        <v>257</v>
      </c>
      <c r="R1515" s="243" t="s">
        <v>257</v>
      </c>
      <c r="S1515" s="247"/>
    </row>
    <row r="1516" spans="1:19" x14ac:dyDescent="0.2">
      <c r="A1516" s="242"/>
      <c r="B1516" s="243"/>
      <c r="C1516" s="243"/>
      <c r="D1516" s="243"/>
      <c r="E1516" s="243"/>
      <c r="F1516" s="243"/>
      <c r="G1516" s="244"/>
      <c r="H1516" s="243"/>
      <c r="I1516" s="243"/>
      <c r="J1516" s="243"/>
      <c r="K1516" s="243"/>
      <c r="L1516" s="243"/>
      <c r="M1516" s="244"/>
      <c r="N1516" s="245" t="s">
        <v>257</v>
      </c>
      <c r="O1516" s="246"/>
      <c r="P1516" s="203" t="s">
        <v>257</v>
      </c>
      <c r="Q1516" s="210" t="s">
        <v>257</v>
      </c>
      <c r="R1516" s="243" t="s">
        <v>257</v>
      </c>
      <c r="S1516" s="247"/>
    </row>
    <row r="1517" spans="1:19" x14ac:dyDescent="0.2">
      <c r="A1517" s="242"/>
      <c r="B1517" s="243"/>
      <c r="C1517" s="243"/>
      <c r="D1517" s="243"/>
      <c r="E1517" s="243"/>
      <c r="F1517" s="243"/>
      <c r="G1517" s="244"/>
      <c r="H1517" s="243"/>
      <c r="I1517" s="243"/>
      <c r="J1517" s="243"/>
      <c r="K1517" s="243"/>
      <c r="L1517" s="243"/>
      <c r="M1517" s="244"/>
      <c r="N1517" s="245" t="s">
        <v>257</v>
      </c>
      <c r="O1517" s="246"/>
      <c r="P1517" s="203" t="s">
        <v>257</v>
      </c>
      <c r="Q1517" s="210" t="s">
        <v>257</v>
      </c>
      <c r="R1517" s="243" t="s">
        <v>257</v>
      </c>
      <c r="S1517" s="247"/>
    </row>
    <row r="1518" spans="1:19" x14ac:dyDescent="0.2">
      <c r="A1518" s="242"/>
      <c r="B1518" s="243"/>
      <c r="C1518" s="243"/>
      <c r="D1518" s="243"/>
      <c r="E1518" s="243"/>
      <c r="F1518" s="243"/>
      <c r="G1518" s="244"/>
      <c r="H1518" s="243"/>
      <c r="I1518" s="243"/>
      <c r="J1518" s="243"/>
      <c r="K1518" s="243"/>
      <c r="L1518" s="243"/>
      <c r="M1518" s="244"/>
      <c r="N1518" s="245" t="s">
        <v>257</v>
      </c>
      <c r="O1518" s="246"/>
      <c r="P1518" s="203" t="s">
        <v>257</v>
      </c>
      <c r="Q1518" s="210" t="s">
        <v>257</v>
      </c>
      <c r="R1518" s="243" t="s">
        <v>257</v>
      </c>
      <c r="S1518" s="247"/>
    </row>
    <row r="1519" spans="1:19" x14ac:dyDescent="0.2">
      <c r="A1519" s="242"/>
      <c r="B1519" s="243"/>
      <c r="C1519" s="243"/>
      <c r="D1519" s="243"/>
      <c r="E1519" s="243"/>
      <c r="F1519" s="243"/>
      <c r="G1519" s="244"/>
      <c r="H1519" s="243"/>
      <c r="I1519" s="243"/>
      <c r="J1519" s="243"/>
      <c r="K1519" s="243"/>
      <c r="L1519" s="243"/>
      <c r="M1519" s="244"/>
      <c r="N1519" s="245" t="s">
        <v>257</v>
      </c>
      <c r="O1519" s="246"/>
      <c r="P1519" s="203" t="s">
        <v>257</v>
      </c>
      <c r="Q1519" s="210" t="s">
        <v>257</v>
      </c>
      <c r="R1519" s="243" t="s">
        <v>257</v>
      </c>
      <c r="S1519" s="247"/>
    </row>
    <row r="1520" spans="1:19" x14ac:dyDescent="0.2">
      <c r="A1520" s="242"/>
      <c r="B1520" s="243"/>
      <c r="C1520" s="243"/>
      <c r="D1520" s="243"/>
      <c r="E1520" s="243"/>
      <c r="F1520" s="243"/>
      <c r="G1520" s="244"/>
      <c r="H1520" s="243"/>
      <c r="I1520" s="243"/>
      <c r="J1520" s="243"/>
      <c r="K1520" s="243"/>
      <c r="L1520" s="243"/>
      <c r="M1520" s="244"/>
      <c r="N1520" s="245" t="s">
        <v>257</v>
      </c>
      <c r="O1520" s="246"/>
      <c r="P1520" s="203" t="s">
        <v>257</v>
      </c>
      <c r="Q1520" s="210" t="s">
        <v>257</v>
      </c>
      <c r="R1520" s="243" t="s">
        <v>257</v>
      </c>
      <c r="S1520" s="247"/>
    </row>
    <row r="1521" spans="1:19" x14ac:dyDescent="0.2">
      <c r="A1521" s="242"/>
      <c r="B1521" s="243"/>
      <c r="C1521" s="243"/>
      <c r="D1521" s="243"/>
      <c r="E1521" s="243"/>
      <c r="F1521" s="243"/>
      <c r="G1521" s="244"/>
      <c r="H1521" s="243"/>
      <c r="I1521" s="243"/>
      <c r="J1521" s="243"/>
      <c r="K1521" s="243"/>
      <c r="L1521" s="243"/>
      <c r="M1521" s="244"/>
      <c r="N1521" s="245" t="s">
        <v>257</v>
      </c>
      <c r="O1521" s="246"/>
      <c r="P1521" s="203" t="s">
        <v>257</v>
      </c>
      <c r="Q1521" s="210" t="s">
        <v>257</v>
      </c>
      <c r="R1521" s="243" t="s">
        <v>257</v>
      </c>
      <c r="S1521" s="247"/>
    </row>
    <row r="1522" spans="1:19" x14ac:dyDescent="0.2">
      <c r="A1522" s="242"/>
      <c r="B1522" s="243"/>
      <c r="C1522" s="243"/>
      <c r="D1522" s="243"/>
      <c r="E1522" s="243"/>
      <c r="F1522" s="243"/>
      <c r="G1522" s="244"/>
      <c r="H1522" s="243"/>
      <c r="I1522" s="243"/>
      <c r="J1522" s="243"/>
      <c r="K1522" s="243"/>
      <c r="L1522" s="243"/>
      <c r="M1522" s="244"/>
      <c r="N1522" s="245" t="s">
        <v>257</v>
      </c>
      <c r="O1522" s="246"/>
      <c r="P1522" s="203" t="s">
        <v>257</v>
      </c>
      <c r="Q1522" s="210" t="s">
        <v>257</v>
      </c>
      <c r="R1522" s="243" t="s">
        <v>257</v>
      </c>
      <c r="S1522" s="247"/>
    </row>
    <row r="1523" spans="1:19" x14ac:dyDescent="0.2">
      <c r="A1523" s="242"/>
      <c r="B1523" s="243"/>
      <c r="C1523" s="243"/>
      <c r="D1523" s="243"/>
      <c r="E1523" s="243"/>
      <c r="F1523" s="243"/>
      <c r="G1523" s="244"/>
      <c r="H1523" s="243"/>
      <c r="I1523" s="243"/>
      <c r="J1523" s="243"/>
      <c r="K1523" s="243"/>
      <c r="L1523" s="243"/>
      <c r="M1523" s="244"/>
      <c r="N1523" s="245" t="s">
        <v>257</v>
      </c>
      <c r="O1523" s="246"/>
      <c r="P1523" s="203" t="s">
        <v>257</v>
      </c>
      <c r="Q1523" s="210" t="s">
        <v>257</v>
      </c>
      <c r="R1523" s="243" t="s">
        <v>257</v>
      </c>
      <c r="S1523" s="247"/>
    </row>
    <row r="1524" spans="1:19" x14ac:dyDescent="0.2">
      <c r="A1524" s="242"/>
      <c r="B1524" s="243"/>
      <c r="C1524" s="243"/>
      <c r="D1524" s="243"/>
      <c r="E1524" s="243"/>
      <c r="F1524" s="243"/>
      <c r="G1524" s="244"/>
      <c r="H1524" s="243"/>
      <c r="I1524" s="243"/>
      <c r="J1524" s="243"/>
      <c r="K1524" s="243"/>
      <c r="L1524" s="243"/>
      <c r="M1524" s="244"/>
      <c r="N1524" s="245" t="s">
        <v>257</v>
      </c>
      <c r="O1524" s="246"/>
      <c r="P1524" s="203" t="s">
        <v>257</v>
      </c>
      <c r="Q1524" s="210" t="s">
        <v>257</v>
      </c>
      <c r="R1524" s="243" t="s">
        <v>257</v>
      </c>
      <c r="S1524" s="247"/>
    </row>
    <row r="1525" spans="1:19" x14ac:dyDescent="0.2">
      <c r="A1525" s="242"/>
      <c r="B1525" s="243"/>
      <c r="C1525" s="243"/>
      <c r="D1525" s="243"/>
      <c r="E1525" s="243"/>
      <c r="F1525" s="243"/>
      <c r="G1525" s="244"/>
      <c r="H1525" s="243"/>
      <c r="I1525" s="243"/>
      <c r="J1525" s="243"/>
      <c r="K1525" s="243"/>
      <c r="L1525" s="243"/>
      <c r="M1525" s="244"/>
      <c r="N1525" s="245" t="s">
        <v>257</v>
      </c>
      <c r="O1525" s="246"/>
      <c r="P1525" s="203" t="s">
        <v>257</v>
      </c>
      <c r="Q1525" s="210" t="s">
        <v>257</v>
      </c>
      <c r="R1525" s="243" t="s">
        <v>257</v>
      </c>
      <c r="S1525" s="247"/>
    </row>
    <row r="1526" spans="1:19" ht="17" thickBot="1" x14ac:dyDescent="0.25">
      <c r="A1526" s="242"/>
      <c r="B1526" s="243"/>
      <c r="C1526" s="243"/>
      <c r="D1526" s="243"/>
      <c r="E1526" s="243"/>
      <c r="F1526" s="243"/>
      <c r="G1526" s="244"/>
      <c r="H1526" s="243"/>
      <c r="I1526" s="243"/>
      <c r="J1526" s="243"/>
      <c r="K1526" s="243"/>
      <c r="L1526" s="243"/>
      <c r="M1526" s="244"/>
      <c r="N1526" s="245" t="s">
        <v>257</v>
      </c>
      <c r="O1526" s="246"/>
      <c r="P1526" s="203" t="s">
        <v>257</v>
      </c>
      <c r="Q1526" s="205" t="s">
        <v>257</v>
      </c>
      <c r="R1526" s="243" t="s">
        <v>257</v>
      </c>
      <c r="S1526" s="247"/>
    </row>
    <row r="1527" spans="1:19" ht="18" thickTop="1" thickBot="1" x14ac:dyDescent="0.25">
      <c r="A1527" s="234"/>
      <c r="B1527" s="235"/>
      <c r="C1527" s="235"/>
      <c r="D1527" s="235"/>
      <c r="E1527" s="235"/>
      <c r="F1527" s="235"/>
      <c r="G1527" s="236"/>
      <c r="H1527" s="235"/>
      <c r="I1527" s="235"/>
      <c r="J1527" s="235"/>
      <c r="K1527" s="235"/>
      <c r="L1527" s="235"/>
      <c r="M1527" s="236"/>
      <c r="N1527" s="237" t="s">
        <v>257</v>
      </c>
      <c r="O1527" s="238"/>
      <c r="P1527" s="204" t="s">
        <v>257</v>
      </c>
      <c r="Q1527" s="209">
        <v>57.810710724967898</v>
      </c>
      <c r="R1527" s="235" t="s">
        <v>257</v>
      </c>
      <c r="S1527" s="239"/>
    </row>
    <row r="1528" spans="1:19" ht="17" thickTop="1" x14ac:dyDescent="0.2">
      <c r="A1528" s="240"/>
      <c r="B1528" s="240"/>
      <c r="C1528" s="240"/>
      <c r="D1528" s="240"/>
      <c r="E1528" s="240"/>
      <c r="F1528" s="240"/>
      <c r="G1528" s="240"/>
      <c r="H1528" s="240"/>
      <c r="I1528" s="240"/>
      <c r="J1528" s="240"/>
      <c r="K1528" s="240"/>
      <c r="L1528" s="240"/>
      <c r="M1528" s="240"/>
      <c r="N1528" s="241" t="s">
        <v>257</v>
      </c>
      <c r="O1528" s="241"/>
      <c r="P1528" s="187" t="s">
        <v>257</v>
      </c>
      <c r="Q1528" s="165"/>
      <c r="R1528" s="240" t="s">
        <v>257</v>
      </c>
      <c r="S1528" s="240"/>
    </row>
    <row r="1529" spans="1:19" x14ac:dyDescent="0.2">
      <c r="H1529" s="180"/>
      <c r="P1529" s="180" t="s">
        <v>257</v>
      </c>
      <c r="R1529" s="180" t="s">
        <v>257</v>
      </c>
    </row>
    <row r="1530" spans="1:19" x14ac:dyDescent="0.2">
      <c r="H1530" s="180"/>
      <c r="P1530" s="180" t="s">
        <v>257</v>
      </c>
      <c r="R1530" s="180" t="s">
        <v>257</v>
      </c>
    </row>
    <row r="1531" spans="1:19" x14ac:dyDescent="0.2">
      <c r="H1531" s="180"/>
      <c r="P1531" s="180" t="s">
        <v>257</v>
      </c>
      <c r="R1531" s="180" t="s">
        <v>257</v>
      </c>
    </row>
    <row r="1532" spans="1:19" x14ac:dyDescent="0.2">
      <c r="H1532" s="180"/>
      <c r="P1532" s="180" t="s">
        <v>257</v>
      </c>
      <c r="R1532" s="180" t="s">
        <v>257</v>
      </c>
    </row>
    <row r="1533" spans="1:19" x14ac:dyDescent="0.2">
      <c r="H1533" s="180"/>
      <c r="P1533" s="180" t="s">
        <v>257</v>
      </c>
      <c r="R1533" s="180" t="s">
        <v>257</v>
      </c>
    </row>
    <row r="1534" spans="1:19" x14ac:dyDescent="0.2">
      <c r="H1534" s="180"/>
      <c r="P1534" s="180" t="s">
        <v>257</v>
      </c>
      <c r="R1534" s="180" t="s">
        <v>257</v>
      </c>
    </row>
    <row r="1535" spans="1:19" x14ac:dyDescent="0.2">
      <c r="H1535" s="180"/>
      <c r="P1535" s="180" t="s">
        <v>257</v>
      </c>
      <c r="R1535" s="180" t="s">
        <v>257</v>
      </c>
    </row>
    <row r="1536" spans="1:19" x14ac:dyDescent="0.2">
      <c r="H1536" s="180"/>
      <c r="P1536" s="180" t="s">
        <v>257</v>
      </c>
      <c r="R1536" s="180" t="s">
        <v>257</v>
      </c>
    </row>
    <row r="1537" spans="8:18" x14ac:dyDescent="0.2">
      <c r="H1537" s="180"/>
      <c r="P1537" s="180" t="s">
        <v>257</v>
      </c>
      <c r="R1537" s="180" t="s">
        <v>257</v>
      </c>
    </row>
    <row r="1538" spans="8:18" x14ac:dyDescent="0.2">
      <c r="H1538" s="180"/>
      <c r="P1538" s="180" t="s">
        <v>257</v>
      </c>
      <c r="R1538" s="180" t="s">
        <v>257</v>
      </c>
    </row>
    <row r="1539" spans="8:18" x14ac:dyDescent="0.2">
      <c r="H1539" s="180"/>
      <c r="P1539" s="180" t="s">
        <v>257</v>
      </c>
      <c r="R1539" s="180" t="s">
        <v>257</v>
      </c>
    </row>
    <row r="1540" spans="8:18" x14ac:dyDescent="0.2">
      <c r="H1540" s="180"/>
      <c r="P1540" s="180" t="s">
        <v>257</v>
      </c>
      <c r="R1540" s="180" t="s">
        <v>257</v>
      </c>
    </row>
    <row r="1541" spans="8:18" x14ac:dyDescent="0.2">
      <c r="H1541" s="180"/>
      <c r="P1541" s="180" t="s">
        <v>257</v>
      </c>
      <c r="R1541" s="180" t="s">
        <v>257</v>
      </c>
    </row>
    <row r="1542" spans="8:18" x14ac:dyDescent="0.2">
      <c r="H1542" s="180"/>
      <c r="P1542" s="180" t="s">
        <v>257</v>
      </c>
      <c r="R1542" s="180" t="s">
        <v>257</v>
      </c>
    </row>
    <row r="1543" spans="8:18" x14ac:dyDescent="0.2">
      <c r="H1543" s="180"/>
      <c r="P1543" s="180" t="s">
        <v>257</v>
      </c>
      <c r="R1543" s="180" t="s">
        <v>257</v>
      </c>
    </row>
    <row r="1544" spans="8:18" x14ac:dyDescent="0.2">
      <c r="H1544" s="180"/>
      <c r="P1544" s="180" t="s">
        <v>257</v>
      </c>
      <c r="R1544" s="180" t="s">
        <v>257</v>
      </c>
    </row>
    <row r="1545" spans="8:18" x14ac:dyDescent="0.2">
      <c r="H1545" s="180"/>
      <c r="P1545" s="180" t="s">
        <v>257</v>
      </c>
      <c r="R1545" s="180" t="s">
        <v>257</v>
      </c>
    </row>
    <row r="1546" spans="8:18" x14ac:dyDescent="0.2">
      <c r="H1546" s="180"/>
      <c r="P1546" s="180" t="s">
        <v>257</v>
      </c>
      <c r="R1546" s="180" t="s">
        <v>257</v>
      </c>
    </row>
    <row r="1547" spans="8:18" x14ac:dyDescent="0.2">
      <c r="H1547" s="180"/>
      <c r="P1547" s="180" t="s">
        <v>257</v>
      </c>
      <c r="R1547" s="180" t="s">
        <v>257</v>
      </c>
    </row>
    <row r="1548" spans="8:18" x14ac:dyDescent="0.2">
      <c r="H1548" s="180"/>
      <c r="P1548" s="180" t="s">
        <v>257</v>
      </c>
      <c r="R1548" s="180" t="s">
        <v>257</v>
      </c>
    </row>
    <row r="1549" spans="8:18" x14ac:dyDescent="0.2">
      <c r="H1549" s="180"/>
      <c r="P1549" s="180" t="s">
        <v>257</v>
      </c>
      <c r="R1549" s="180" t="s">
        <v>257</v>
      </c>
    </row>
    <row r="1550" spans="8:18" x14ac:dyDescent="0.2">
      <c r="H1550" s="180"/>
      <c r="P1550" s="180" t="s">
        <v>257</v>
      </c>
      <c r="R1550" s="180" t="s">
        <v>257</v>
      </c>
    </row>
    <row r="1551" spans="8:18" x14ac:dyDescent="0.2">
      <c r="H1551" s="180"/>
      <c r="P1551" s="180" t="s">
        <v>257</v>
      </c>
      <c r="R1551" s="180" t="s">
        <v>257</v>
      </c>
    </row>
    <row r="1552" spans="8:18" x14ac:dyDescent="0.2">
      <c r="H1552" s="180"/>
      <c r="P1552" s="180" t="s">
        <v>257</v>
      </c>
      <c r="R1552" s="180" t="s">
        <v>257</v>
      </c>
    </row>
    <row r="1553" spans="8:18" x14ac:dyDescent="0.2">
      <c r="H1553" s="180"/>
      <c r="P1553" s="180" t="s">
        <v>257</v>
      </c>
      <c r="R1553" s="180" t="s">
        <v>257</v>
      </c>
    </row>
    <row r="1554" spans="8:18" x14ac:dyDescent="0.2">
      <c r="H1554" s="180"/>
      <c r="P1554" s="180" t="s">
        <v>257</v>
      </c>
      <c r="R1554" s="180" t="s">
        <v>257</v>
      </c>
    </row>
    <row r="1555" spans="8:18" x14ac:dyDescent="0.2">
      <c r="H1555" s="180"/>
      <c r="P1555" s="180" t="s">
        <v>257</v>
      </c>
      <c r="R1555" s="180" t="s">
        <v>257</v>
      </c>
    </row>
    <row r="1556" spans="8:18" x14ac:dyDescent="0.2">
      <c r="H1556" s="180"/>
      <c r="P1556" s="180" t="s">
        <v>257</v>
      </c>
      <c r="R1556" s="180" t="s">
        <v>257</v>
      </c>
    </row>
    <row r="1557" spans="8:18" x14ac:dyDescent="0.2">
      <c r="H1557" s="180"/>
      <c r="P1557" s="180" t="s">
        <v>257</v>
      </c>
      <c r="R1557" s="180" t="s">
        <v>257</v>
      </c>
    </row>
    <row r="1558" spans="8:18" x14ac:dyDescent="0.2">
      <c r="H1558" s="180"/>
      <c r="P1558" s="180" t="s">
        <v>257</v>
      </c>
      <c r="R1558" s="180" t="s">
        <v>257</v>
      </c>
    </row>
    <row r="1559" spans="8:18" x14ac:dyDescent="0.2">
      <c r="H1559" s="180"/>
      <c r="P1559" s="180" t="s">
        <v>257</v>
      </c>
      <c r="R1559" s="180" t="s">
        <v>257</v>
      </c>
    </row>
    <row r="1560" spans="8:18" x14ac:dyDescent="0.2">
      <c r="H1560" s="180"/>
      <c r="P1560" s="180" t="s">
        <v>257</v>
      </c>
      <c r="R1560" s="180" t="s">
        <v>257</v>
      </c>
    </row>
    <row r="1561" spans="8:18" x14ac:dyDescent="0.2">
      <c r="H1561" s="180"/>
      <c r="P1561" s="180" t="s">
        <v>257</v>
      </c>
      <c r="R1561" s="180" t="s">
        <v>257</v>
      </c>
    </row>
    <row r="1562" spans="8:18" x14ac:dyDescent="0.2">
      <c r="H1562" s="180"/>
      <c r="P1562" s="180" t="s">
        <v>257</v>
      </c>
      <c r="R1562" s="180" t="s">
        <v>257</v>
      </c>
    </row>
    <row r="1563" spans="8:18" x14ac:dyDescent="0.2">
      <c r="H1563" s="180"/>
      <c r="P1563" s="180" t="s">
        <v>257</v>
      </c>
      <c r="R1563" s="180" t="s">
        <v>257</v>
      </c>
    </row>
    <row r="1564" spans="8:18" x14ac:dyDescent="0.2">
      <c r="H1564" s="180"/>
      <c r="P1564" s="180" t="s">
        <v>257</v>
      </c>
      <c r="R1564" s="180" t="s">
        <v>257</v>
      </c>
    </row>
    <row r="1565" spans="8:18" x14ac:dyDescent="0.2">
      <c r="H1565" s="180"/>
      <c r="P1565" s="180" t="s">
        <v>257</v>
      </c>
      <c r="R1565" s="180" t="s">
        <v>257</v>
      </c>
    </row>
    <row r="1566" spans="8:18" x14ac:dyDescent="0.2">
      <c r="H1566" s="180"/>
      <c r="P1566" s="180" t="s">
        <v>257</v>
      </c>
      <c r="R1566" s="180" t="s">
        <v>257</v>
      </c>
    </row>
    <row r="1567" spans="8:18" x14ac:dyDescent="0.2">
      <c r="H1567" s="180"/>
      <c r="P1567" s="180" t="s">
        <v>257</v>
      </c>
      <c r="R1567" s="180" t="s">
        <v>257</v>
      </c>
    </row>
    <row r="1568" spans="8:18" x14ac:dyDescent="0.2">
      <c r="H1568" s="180"/>
      <c r="P1568" s="180" t="s">
        <v>257</v>
      </c>
      <c r="R1568" s="180" t="s">
        <v>257</v>
      </c>
    </row>
    <row r="1569" spans="8:18" x14ac:dyDescent="0.2">
      <c r="H1569" s="180"/>
      <c r="P1569" s="180" t="s">
        <v>257</v>
      </c>
      <c r="R1569" s="180" t="s">
        <v>257</v>
      </c>
    </row>
    <row r="1570" spans="8:18" x14ac:dyDescent="0.2">
      <c r="H1570" s="180"/>
      <c r="P1570" s="180" t="s">
        <v>257</v>
      </c>
      <c r="R1570" s="180" t="s">
        <v>257</v>
      </c>
    </row>
    <row r="1571" spans="8:18" x14ac:dyDescent="0.2">
      <c r="H1571" s="180"/>
      <c r="P1571" s="180" t="s">
        <v>257</v>
      </c>
      <c r="R1571" s="180" t="s">
        <v>257</v>
      </c>
    </row>
    <row r="1572" spans="8:18" x14ac:dyDescent="0.2">
      <c r="H1572" s="180"/>
      <c r="P1572" s="180" t="s">
        <v>257</v>
      </c>
      <c r="R1572" s="180" t="s">
        <v>257</v>
      </c>
    </row>
    <row r="1573" spans="8:18" x14ac:dyDescent="0.2">
      <c r="H1573" s="180"/>
      <c r="P1573" s="180" t="s">
        <v>257</v>
      </c>
      <c r="R1573" s="180" t="s">
        <v>257</v>
      </c>
    </row>
    <row r="1574" spans="8:18" x14ac:dyDescent="0.2">
      <c r="H1574" s="180"/>
      <c r="P1574" s="180" t="s">
        <v>257</v>
      </c>
      <c r="R1574" s="180" t="s">
        <v>257</v>
      </c>
    </row>
    <row r="1575" spans="8:18" x14ac:dyDescent="0.2">
      <c r="H1575" s="180"/>
      <c r="P1575" s="180" t="s">
        <v>257</v>
      </c>
      <c r="R1575" s="180" t="s">
        <v>257</v>
      </c>
    </row>
    <row r="1576" spans="8:18" x14ac:dyDescent="0.2">
      <c r="H1576" s="180"/>
      <c r="P1576" s="180" t="s">
        <v>257</v>
      </c>
      <c r="R1576" s="180" t="s">
        <v>257</v>
      </c>
    </row>
    <row r="1577" spans="8:18" x14ac:dyDescent="0.2">
      <c r="H1577" s="180"/>
      <c r="P1577" s="180" t="s">
        <v>257</v>
      </c>
      <c r="R1577" s="180" t="s">
        <v>257</v>
      </c>
    </row>
    <row r="1578" spans="8:18" x14ac:dyDescent="0.2">
      <c r="H1578" s="180"/>
      <c r="P1578" s="180" t="s">
        <v>257</v>
      </c>
      <c r="R1578" s="180" t="s">
        <v>257</v>
      </c>
    </row>
    <row r="1579" spans="8:18" x14ac:dyDescent="0.2">
      <c r="H1579" s="180"/>
      <c r="P1579" s="180" t="s">
        <v>257</v>
      </c>
      <c r="R1579" s="180" t="s">
        <v>257</v>
      </c>
    </row>
    <row r="1580" spans="8:18" x14ac:dyDescent="0.2">
      <c r="H1580" s="180"/>
      <c r="P1580" s="180" t="s">
        <v>257</v>
      </c>
      <c r="R1580" s="180" t="s">
        <v>257</v>
      </c>
    </row>
    <row r="1581" spans="8:18" x14ac:dyDescent="0.2">
      <c r="H1581" s="180"/>
      <c r="P1581" s="180" t="s">
        <v>257</v>
      </c>
      <c r="R1581" s="180" t="s">
        <v>257</v>
      </c>
    </row>
    <row r="1582" spans="8:18" x14ac:dyDescent="0.2">
      <c r="H1582" s="180"/>
      <c r="P1582" s="180" t="s">
        <v>257</v>
      </c>
      <c r="R1582" s="180" t="s">
        <v>257</v>
      </c>
    </row>
    <row r="1583" spans="8:18" x14ac:dyDescent="0.2">
      <c r="H1583" s="180"/>
      <c r="P1583" s="180" t="s">
        <v>257</v>
      </c>
      <c r="R1583" s="180" t="s">
        <v>257</v>
      </c>
    </row>
    <row r="1584" spans="8:18" x14ac:dyDescent="0.2">
      <c r="H1584" s="180"/>
      <c r="P1584" s="180" t="s">
        <v>257</v>
      </c>
      <c r="R1584" s="180" t="s">
        <v>257</v>
      </c>
    </row>
    <row r="1585" spans="8:18" x14ac:dyDescent="0.2">
      <c r="H1585" s="180"/>
      <c r="P1585" s="180" t="s">
        <v>257</v>
      </c>
      <c r="R1585" s="180" t="s">
        <v>257</v>
      </c>
    </row>
    <row r="1586" spans="8:18" x14ac:dyDescent="0.2">
      <c r="H1586" s="180"/>
      <c r="P1586" s="180" t="s">
        <v>257</v>
      </c>
      <c r="R1586" s="180" t="s">
        <v>257</v>
      </c>
    </row>
    <row r="1587" spans="8:18" x14ac:dyDescent="0.2">
      <c r="H1587" s="180"/>
      <c r="P1587" s="180" t="s">
        <v>257</v>
      </c>
      <c r="R1587" s="180" t="s">
        <v>257</v>
      </c>
    </row>
    <row r="1588" spans="8:18" x14ac:dyDescent="0.2">
      <c r="H1588" s="180"/>
      <c r="P1588" s="180" t="s">
        <v>257</v>
      </c>
      <c r="R1588" s="180" t="s">
        <v>257</v>
      </c>
    </row>
    <row r="1589" spans="8:18" x14ac:dyDescent="0.2">
      <c r="H1589" s="180"/>
      <c r="P1589" s="180" t="s">
        <v>257</v>
      </c>
      <c r="R1589" s="180" t="s">
        <v>257</v>
      </c>
    </row>
    <row r="1590" spans="8:18" x14ac:dyDescent="0.2">
      <c r="H1590" s="180"/>
      <c r="P1590" s="180" t="s">
        <v>257</v>
      </c>
      <c r="R1590" s="180" t="s">
        <v>257</v>
      </c>
    </row>
    <row r="1591" spans="8:18" x14ac:dyDescent="0.2">
      <c r="H1591" s="180"/>
      <c r="P1591" s="180" t="s">
        <v>257</v>
      </c>
      <c r="R1591" s="180" t="s">
        <v>257</v>
      </c>
    </row>
    <row r="1592" spans="8:18" x14ac:dyDescent="0.2">
      <c r="H1592" s="180"/>
      <c r="P1592" s="180" t="s">
        <v>257</v>
      </c>
      <c r="R1592" s="180" t="s">
        <v>257</v>
      </c>
    </row>
    <row r="1593" spans="8:18" x14ac:dyDescent="0.2">
      <c r="H1593" s="180"/>
      <c r="P1593" s="180" t="s">
        <v>257</v>
      </c>
      <c r="R1593" s="180" t="s">
        <v>257</v>
      </c>
    </row>
    <row r="1594" spans="8:18" x14ac:dyDescent="0.2">
      <c r="H1594" s="180"/>
      <c r="P1594" s="180" t="s">
        <v>257</v>
      </c>
      <c r="R1594" s="180" t="s">
        <v>257</v>
      </c>
    </row>
    <row r="1595" spans="8:18" x14ac:dyDescent="0.2">
      <c r="H1595" s="180"/>
      <c r="P1595" s="180" t="s">
        <v>257</v>
      </c>
      <c r="R1595" s="180" t="s">
        <v>257</v>
      </c>
    </row>
    <row r="1596" spans="8:18" x14ac:dyDescent="0.2">
      <c r="H1596" s="180"/>
      <c r="P1596" s="180" t="s">
        <v>257</v>
      </c>
      <c r="R1596" s="180" t="s">
        <v>257</v>
      </c>
    </row>
    <row r="1597" spans="8:18" x14ac:dyDescent="0.2">
      <c r="H1597" s="180"/>
      <c r="P1597" s="180" t="s">
        <v>257</v>
      </c>
      <c r="R1597" s="180" t="s">
        <v>257</v>
      </c>
    </row>
    <row r="1598" spans="8:18" x14ac:dyDescent="0.2">
      <c r="H1598" s="180"/>
      <c r="P1598" s="180" t="s">
        <v>257</v>
      </c>
      <c r="R1598" s="180" t="s">
        <v>257</v>
      </c>
    </row>
    <row r="1599" spans="8:18" x14ac:dyDescent="0.2">
      <c r="H1599" s="180"/>
      <c r="P1599" s="180" t="s">
        <v>257</v>
      </c>
      <c r="R1599" s="180" t="s">
        <v>257</v>
      </c>
    </row>
    <row r="1600" spans="8:18" x14ac:dyDescent="0.2">
      <c r="H1600" s="180"/>
      <c r="P1600" s="180" t="s">
        <v>257</v>
      </c>
      <c r="R1600" s="180" t="s">
        <v>257</v>
      </c>
    </row>
    <row r="1601" spans="8:18" x14ac:dyDescent="0.2">
      <c r="H1601" s="180"/>
      <c r="P1601" s="180" t="s">
        <v>257</v>
      </c>
      <c r="R1601" s="180" t="s">
        <v>257</v>
      </c>
    </row>
    <row r="1602" spans="8:18" x14ac:dyDescent="0.2">
      <c r="H1602" s="180"/>
      <c r="P1602" s="180" t="s">
        <v>257</v>
      </c>
      <c r="R1602" s="180" t="s">
        <v>257</v>
      </c>
    </row>
    <row r="1603" spans="8:18" x14ac:dyDescent="0.2">
      <c r="H1603" s="180"/>
      <c r="P1603" s="180" t="s">
        <v>257</v>
      </c>
      <c r="R1603" s="180" t="s">
        <v>257</v>
      </c>
    </row>
    <row r="1604" spans="8:18" x14ac:dyDescent="0.2">
      <c r="H1604" s="180"/>
      <c r="P1604" s="180" t="s">
        <v>257</v>
      </c>
      <c r="R1604" s="180" t="s">
        <v>257</v>
      </c>
    </row>
    <row r="1605" spans="8:18" x14ac:dyDescent="0.2">
      <c r="H1605" s="180"/>
      <c r="P1605" s="180" t="s">
        <v>257</v>
      </c>
      <c r="R1605" s="180" t="s">
        <v>257</v>
      </c>
    </row>
    <row r="1606" spans="8:18" x14ac:dyDescent="0.2">
      <c r="H1606" s="180"/>
      <c r="P1606" s="180" t="s">
        <v>257</v>
      </c>
      <c r="R1606" s="180" t="s">
        <v>257</v>
      </c>
    </row>
    <row r="1607" spans="8:18" x14ac:dyDescent="0.2">
      <c r="H1607" s="180"/>
      <c r="P1607" s="180" t="s">
        <v>257</v>
      </c>
      <c r="R1607" s="180" t="s">
        <v>257</v>
      </c>
    </row>
    <row r="1608" spans="8:18" x14ac:dyDescent="0.2">
      <c r="H1608" s="180"/>
      <c r="P1608" s="180" t="s">
        <v>257</v>
      </c>
      <c r="R1608" s="180" t="s">
        <v>257</v>
      </c>
    </row>
    <row r="1609" spans="8:18" x14ac:dyDescent="0.2">
      <c r="H1609" s="180"/>
      <c r="P1609" s="180" t="s">
        <v>257</v>
      </c>
      <c r="R1609" s="180" t="s">
        <v>257</v>
      </c>
    </row>
    <row r="1610" spans="8:18" x14ac:dyDescent="0.2">
      <c r="H1610" s="180"/>
      <c r="P1610" s="180" t="s">
        <v>257</v>
      </c>
      <c r="R1610" s="180" t="s">
        <v>257</v>
      </c>
    </row>
    <row r="1611" spans="8:18" x14ac:dyDescent="0.2">
      <c r="H1611" s="180"/>
      <c r="P1611" s="180" t="s">
        <v>257</v>
      </c>
      <c r="R1611" s="180" t="s">
        <v>257</v>
      </c>
    </row>
    <row r="1612" spans="8:18" x14ac:dyDescent="0.2">
      <c r="H1612" s="180"/>
      <c r="P1612" s="180" t="s">
        <v>257</v>
      </c>
      <c r="R1612" s="180" t="s">
        <v>257</v>
      </c>
    </row>
    <row r="1613" spans="8:18" x14ac:dyDescent="0.2">
      <c r="H1613" s="180"/>
      <c r="P1613" s="180" t="s">
        <v>257</v>
      </c>
      <c r="R1613" s="180" t="s">
        <v>257</v>
      </c>
    </row>
    <row r="1614" spans="8:18" x14ac:dyDescent="0.2">
      <c r="H1614" s="180"/>
      <c r="P1614" s="180" t="s">
        <v>257</v>
      </c>
      <c r="R1614" s="180" t="s">
        <v>257</v>
      </c>
    </row>
    <row r="1615" spans="8:18" x14ac:dyDescent="0.2">
      <c r="H1615" s="180"/>
      <c r="P1615" s="180" t="s">
        <v>257</v>
      </c>
      <c r="R1615" s="180" t="s">
        <v>257</v>
      </c>
    </row>
    <row r="1616" spans="8:18" x14ac:dyDescent="0.2">
      <c r="H1616" s="180"/>
      <c r="P1616" s="180" t="s">
        <v>257</v>
      </c>
      <c r="R1616" s="180" t="s">
        <v>257</v>
      </c>
    </row>
    <row r="1617" spans="8:18" x14ac:dyDescent="0.2">
      <c r="H1617" s="180"/>
      <c r="P1617" s="180" t="s">
        <v>257</v>
      </c>
      <c r="R1617" s="180" t="s">
        <v>257</v>
      </c>
    </row>
    <row r="1618" spans="8:18" x14ac:dyDescent="0.2">
      <c r="H1618" s="180"/>
      <c r="P1618" s="180" t="s">
        <v>257</v>
      </c>
      <c r="R1618" s="180" t="s">
        <v>257</v>
      </c>
    </row>
    <row r="1619" spans="8:18" x14ac:dyDescent="0.2">
      <c r="H1619" s="180"/>
      <c r="P1619" s="180" t="s">
        <v>257</v>
      </c>
      <c r="R1619" s="180" t="s">
        <v>257</v>
      </c>
    </row>
    <row r="1620" spans="8:18" x14ac:dyDescent="0.2">
      <c r="H1620" s="180"/>
      <c r="P1620" s="180" t="s">
        <v>257</v>
      </c>
      <c r="R1620" s="180" t="s">
        <v>257</v>
      </c>
    </row>
    <row r="1621" spans="8:18" x14ac:dyDescent="0.2">
      <c r="H1621" s="180"/>
      <c r="P1621" s="180" t="s">
        <v>257</v>
      </c>
      <c r="R1621" s="180" t="s">
        <v>257</v>
      </c>
    </row>
    <row r="1622" spans="8:18" x14ac:dyDescent="0.2">
      <c r="H1622" s="180"/>
      <c r="P1622" s="180" t="s">
        <v>257</v>
      </c>
      <c r="R1622" s="180" t="s">
        <v>257</v>
      </c>
    </row>
    <row r="1623" spans="8:18" x14ac:dyDescent="0.2">
      <c r="H1623" s="180"/>
      <c r="P1623" s="180" t="s">
        <v>257</v>
      </c>
      <c r="R1623" s="180" t="s">
        <v>257</v>
      </c>
    </row>
    <row r="1624" spans="8:18" x14ac:dyDescent="0.2">
      <c r="H1624" s="180"/>
      <c r="P1624" s="180" t="s">
        <v>257</v>
      </c>
      <c r="R1624" s="180" t="s">
        <v>257</v>
      </c>
    </row>
    <row r="1625" spans="8:18" x14ac:dyDescent="0.2">
      <c r="H1625" s="180"/>
      <c r="P1625" s="180" t="s">
        <v>257</v>
      </c>
      <c r="R1625" s="180" t="s">
        <v>257</v>
      </c>
    </row>
    <row r="1626" spans="8:18" x14ac:dyDescent="0.2">
      <c r="H1626" s="180"/>
      <c r="P1626" s="180" t="s">
        <v>257</v>
      </c>
      <c r="R1626" s="180" t="s">
        <v>257</v>
      </c>
    </row>
    <row r="1627" spans="8:18" x14ac:dyDescent="0.2">
      <c r="H1627" s="180"/>
      <c r="P1627" s="180" t="s">
        <v>257</v>
      </c>
      <c r="R1627" s="180" t="s">
        <v>257</v>
      </c>
    </row>
    <row r="1628" spans="8:18" x14ac:dyDescent="0.2">
      <c r="H1628" s="180"/>
      <c r="P1628" s="180" t="s">
        <v>257</v>
      </c>
      <c r="R1628" s="180" t="s">
        <v>257</v>
      </c>
    </row>
    <row r="1629" spans="8:18" x14ac:dyDescent="0.2">
      <c r="H1629" s="180"/>
      <c r="P1629" s="180" t="s">
        <v>257</v>
      </c>
      <c r="R1629" s="180" t="s">
        <v>257</v>
      </c>
    </row>
    <row r="1630" spans="8:18" x14ac:dyDescent="0.2">
      <c r="H1630" s="180"/>
      <c r="P1630" s="180" t="s">
        <v>257</v>
      </c>
      <c r="R1630" s="180" t="s">
        <v>257</v>
      </c>
    </row>
    <row r="1631" spans="8:18" x14ac:dyDescent="0.2">
      <c r="H1631" s="180"/>
      <c r="P1631" s="180" t="s">
        <v>257</v>
      </c>
      <c r="R1631" s="180" t="s">
        <v>257</v>
      </c>
    </row>
    <row r="1632" spans="8:18" x14ac:dyDescent="0.2">
      <c r="H1632" s="180"/>
      <c r="P1632" s="180" t="s">
        <v>257</v>
      </c>
      <c r="R1632" s="180" t="s">
        <v>257</v>
      </c>
    </row>
    <row r="1633" spans="8:18" x14ac:dyDescent="0.2">
      <c r="H1633" s="180"/>
      <c r="P1633" s="180" t="s">
        <v>257</v>
      </c>
      <c r="R1633" s="180" t="s">
        <v>257</v>
      </c>
    </row>
    <row r="1634" spans="8:18" x14ac:dyDescent="0.2">
      <c r="H1634" s="180"/>
      <c r="P1634" s="180" t="s">
        <v>257</v>
      </c>
      <c r="R1634" s="180" t="s">
        <v>257</v>
      </c>
    </row>
    <row r="1635" spans="8:18" x14ac:dyDescent="0.2">
      <c r="H1635" s="180"/>
      <c r="P1635" s="180" t="s">
        <v>257</v>
      </c>
      <c r="R1635" s="180" t="s">
        <v>257</v>
      </c>
    </row>
    <row r="1636" spans="8:18" x14ac:dyDescent="0.2">
      <c r="H1636" s="180"/>
      <c r="P1636" s="180" t="s">
        <v>257</v>
      </c>
      <c r="R1636" s="180" t="s">
        <v>257</v>
      </c>
    </row>
    <row r="1637" spans="8:18" x14ac:dyDescent="0.2">
      <c r="H1637" s="180"/>
      <c r="P1637" s="180" t="s">
        <v>257</v>
      </c>
      <c r="R1637" s="180" t="s">
        <v>257</v>
      </c>
    </row>
    <row r="1638" spans="8:18" x14ac:dyDescent="0.2">
      <c r="H1638" s="180"/>
      <c r="P1638" s="180" t="s">
        <v>257</v>
      </c>
      <c r="R1638" s="180" t="s">
        <v>257</v>
      </c>
    </row>
    <row r="1639" spans="8:18" x14ac:dyDescent="0.2">
      <c r="H1639" s="180"/>
      <c r="P1639" s="180" t="s">
        <v>257</v>
      </c>
      <c r="R1639" s="180" t="s">
        <v>257</v>
      </c>
    </row>
    <row r="1640" spans="8:18" x14ac:dyDescent="0.2">
      <c r="H1640" s="180"/>
      <c r="P1640" s="180" t="s">
        <v>257</v>
      </c>
      <c r="R1640" s="180" t="s">
        <v>257</v>
      </c>
    </row>
    <row r="1641" spans="8:18" x14ac:dyDescent="0.2">
      <c r="H1641" s="180"/>
      <c r="P1641" s="180" t="s">
        <v>257</v>
      </c>
      <c r="R1641" s="180" t="s">
        <v>257</v>
      </c>
    </row>
    <row r="1642" spans="8:18" x14ac:dyDescent="0.2">
      <c r="H1642" s="180"/>
      <c r="P1642" s="180" t="s">
        <v>257</v>
      </c>
      <c r="R1642" s="180" t="s">
        <v>257</v>
      </c>
    </row>
    <row r="1643" spans="8:18" x14ac:dyDescent="0.2">
      <c r="H1643" s="180"/>
      <c r="P1643" s="180" t="s">
        <v>257</v>
      </c>
      <c r="R1643" s="180" t="s">
        <v>257</v>
      </c>
    </row>
    <row r="1644" spans="8:18" x14ac:dyDescent="0.2">
      <c r="H1644" s="180"/>
      <c r="P1644" s="180" t="s">
        <v>257</v>
      </c>
      <c r="R1644" s="180" t="s">
        <v>257</v>
      </c>
    </row>
    <row r="1645" spans="8:18" x14ac:dyDescent="0.2">
      <c r="H1645" s="180"/>
      <c r="P1645" s="180" t="s">
        <v>257</v>
      </c>
      <c r="R1645" s="180" t="s">
        <v>257</v>
      </c>
    </row>
    <row r="1646" spans="8:18" x14ac:dyDescent="0.2">
      <c r="H1646" s="180"/>
      <c r="P1646" s="180" t="s">
        <v>257</v>
      </c>
      <c r="R1646" s="180" t="s">
        <v>257</v>
      </c>
    </row>
    <row r="1647" spans="8:18" x14ac:dyDescent="0.2">
      <c r="H1647" s="180"/>
      <c r="P1647" s="180" t="s">
        <v>257</v>
      </c>
      <c r="R1647" s="180" t="s">
        <v>257</v>
      </c>
    </row>
    <row r="1648" spans="8:18" x14ac:dyDescent="0.2">
      <c r="H1648" s="180"/>
      <c r="P1648" s="180" t="s">
        <v>257</v>
      </c>
      <c r="R1648" s="180" t="s">
        <v>257</v>
      </c>
    </row>
    <row r="1649" spans="8:18" x14ac:dyDescent="0.2">
      <c r="H1649" s="180"/>
      <c r="P1649" s="180" t="s">
        <v>257</v>
      </c>
      <c r="R1649" s="180" t="s">
        <v>257</v>
      </c>
    </row>
    <row r="1650" spans="8:18" x14ac:dyDescent="0.2">
      <c r="H1650" s="180"/>
      <c r="P1650" s="180" t="s">
        <v>257</v>
      </c>
      <c r="R1650" s="180" t="s">
        <v>257</v>
      </c>
    </row>
    <row r="1651" spans="8:18" x14ac:dyDescent="0.2">
      <c r="H1651" s="180"/>
      <c r="P1651" s="180" t="s">
        <v>257</v>
      </c>
      <c r="R1651" s="180" t="s">
        <v>257</v>
      </c>
    </row>
    <row r="1652" spans="8:18" x14ac:dyDescent="0.2">
      <c r="H1652" s="180"/>
      <c r="P1652" s="180" t="s">
        <v>257</v>
      </c>
      <c r="R1652" s="180" t="s">
        <v>257</v>
      </c>
    </row>
    <row r="1653" spans="8:18" x14ac:dyDescent="0.2">
      <c r="H1653" s="180"/>
      <c r="P1653" s="180" t="s">
        <v>257</v>
      </c>
      <c r="R1653" s="180" t="s">
        <v>257</v>
      </c>
    </row>
    <row r="1654" spans="8:18" x14ac:dyDescent="0.2">
      <c r="H1654" s="180"/>
      <c r="P1654" s="180" t="s">
        <v>257</v>
      </c>
      <c r="R1654" s="180" t="s">
        <v>257</v>
      </c>
    </row>
    <row r="1655" spans="8:18" x14ac:dyDescent="0.2">
      <c r="H1655" s="180"/>
      <c r="P1655" s="180" t="s">
        <v>257</v>
      </c>
      <c r="R1655" s="180" t="s">
        <v>257</v>
      </c>
    </row>
    <row r="1656" spans="8:18" x14ac:dyDescent="0.2">
      <c r="H1656" s="180"/>
      <c r="P1656" s="180" t="s">
        <v>257</v>
      </c>
      <c r="R1656" s="180" t="s">
        <v>257</v>
      </c>
    </row>
    <row r="1657" spans="8:18" x14ac:dyDescent="0.2">
      <c r="H1657" s="180"/>
      <c r="P1657" s="180" t="s">
        <v>257</v>
      </c>
      <c r="R1657" s="180" t="s">
        <v>257</v>
      </c>
    </row>
    <row r="1658" spans="8:18" x14ac:dyDescent="0.2">
      <c r="H1658" s="180"/>
      <c r="P1658" s="180" t="s">
        <v>257</v>
      </c>
      <c r="R1658" s="180" t="s">
        <v>257</v>
      </c>
    </row>
    <row r="1659" spans="8:18" x14ac:dyDescent="0.2">
      <c r="H1659" s="180"/>
      <c r="P1659" s="180" t="s">
        <v>257</v>
      </c>
      <c r="R1659" s="180" t="s">
        <v>257</v>
      </c>
    </row>
    <row r="1660" spans="8:18" x14ac:dyDescent="0.2">
      <c r="H1660" s="180"/>
      <c r="P1660" s="180" t="s">
        <v>257</v>
      </c>
      <c r="R1660" s="180" t="s">
        <v>257</v>
      </c>
    </row>
    <row r="1661" spans="8:18" x14ac:dyDescent="0.2">
      <c r="H1661" s="180"/>
      <c r="P1661" s="180" t="s">
        <v>257</v>
      </c>
      <c r="R1661" s="180" t="s">
        <v>257</v>
      </c>
    </row>
    <row r="1662" spans="8:18" x14ac:dyDescent="0.2">
      <c r="H1662" s="180"/>
      <c r="P1662" s="180" t="s">
        <v>257</v>
      </c>
      <c r="R1662" s="180" t="s">
        <v>257</v>
      </c>
    </row>
    <row r="1663" spans="8:18" x14ac:dyDescent="0.2">
      <c r="H1663" s="180"/>
      <c r="P1663" s="180" t="s">
        <v>257</v>
      </c>
      <c r="R1663" s="180" t="s">
        <v>257</v>
      </c>
    </row>
    <row r="1664" spans="8:18" x14ac:dyDescent="0.2">
      <c r="H1664" s="180"/>
      <c r="P1664" s="180" t="s">
        <v>257</v>
      </c>
      <c r="R1664" s="180" t="s">
        <v>257</v>
      </c>
    </row>
    <row r="1665" spans="8:18" x14ac:dyDescent="0.2">
      <c r="H1665" s="180"/>
      <c r="P1665" s="180" t="s">
        <v>257</v>
      </c>
      <c r="R1665" s="180" t="s">
        <v>257</v>
      </c>
    </row>
    <row r="1666" spans="8:18" x14ac:dyDescent="0.2">
      <c r="H1666" s="180"/>
      <c r="P1666" s="180" t="s">
        <v>257</v>
      </c>
      <c r="R1666" s="180" t="s">
        <v>257</v>
      </c>
    </row>
    <row r="1667" spans="8:18" x14ac:dyDescent="0.2">
      <c r="H1667" s="180"/>
      <c r="P1667" s="180" t="s">
        <v>257</v>
      </c>
      <c r="R1667" s="180" t="s">
        <v>257</v>
      </c>
    </row>
    <row r="1668" spans="8:18" x14ac:dyDescent="0.2">
      <c r="H1668" s="180"/>
      <c r="P1668" s="180" t="s">
        <v>257</v>
      </c>
      <c r="R1668" s="180" t="s">
        <v>257</v>
      </c>
    </row>
    <row r="1669" spans="8:18" x14ac:dyDescent="0.2">
      <c r="H1669" s="180"/>
      <c r="P1669" s="180" t="s">
        <v>257</v>
      </c>
      <c r="R1669" s="180" t="s">
        <v>257</v>
      </c>
    </row>
    <row r="1670" spans="8:18" x14ac:dyDescent="0.2">
      <c r="H1670" s="180"/>
      <c r="P1670" s="180" t="s">
        <v>257</v>
      </c>
      <c r="R1670" s="180" t="s">
        <v>257</v>
      </c>
    </row>
    <row r="1671" spans="8:18" x14ac:dyDescent="0.2">
      <c r="H1671" s="180"/>
      <c r="P1671" s="180" t="s">
        <v>257</v>
      </c>
      <c r="R1671" s="180" t="s">
        <v>257</v>
      </c>
    </row>
    <row r="1672" spans="8:18" x14ac:dyDescent="0.2">
      <c r="H1672" s="180"/>
      <c r="P1672" s="180" t="s">
        <v>257</v>
      </c>
      <c r="R1672" s="180" t="s">
        <v>257</v>
      </c>
    </row>
    <row r="1673" spans="8:18" x14ac:dyDescent="0.2">
      <c r="H1673" s="180"/>
      <c r="P1673" s="180" t="s">
        <v>257</v>
      </c>
      <c r="R1673" s="180" t="s">
        <v>257</v>
      </c>
    </row>
    <row r="1674" spans="8:18" x14ac:dyDescent="0.2">
      <c r="H1674" s="180"/>
      <c r="P1674" s="180" t="s">
        <v>257</v>
      </c>
      <c r="R1674" s="180" t="s">
        <v>257</v>
      </c>
    </row>
    <row r="1675" spans="8:18" x14ac:dyDescent="0.2">
      <c r="H1675" s="180"/>
      <c r="P1675" s="180" t="s">
        <v>257</v>
      </c>
      <c r="R1675" s="180" t="s">
        <v>257</v>
      </c>
    </row>
    <row r="1676" spans="8:18" x14ac:dyDescent="0.2">
      <c r="H1676" s="180"/>
      <c r="P1676" s="180" t="s">
        <v>257</v>
      </c>
      <c r="R1676" s="180" t="s">
        <v>257</v>
      </c>
    </row>
    <row r="1677" spans="8:18" x14ac:dyDescent="0.2">
      <c r="H1677" s="180"/>
      <c r="P1677" s="180" t="s">
        <v>257</v>
      </c>
      <c r="R1677" s="180" t="s">
        <v>257</v>
      </c>
    </row>
    <row r="1678" spans="8:18" x14ac:dyDescent="0.2">
      <c r="H1678" s="180"/>
      <c r="P1678" s="180" t="s">
        <v>257</v>
      </c>
      <c r="R1678" s="180" t="s">
        <v>257</v>
      </c>
    </row>
    <row r="1679" spans="8:18" x14ac:dyDescent="0.2">
      <c r="H1679" s="180"/>
      <c r="P1679" s="180" t="s">
        <v>257</v>
      </c>
      <c r="R1679" s="180" t="s">
        <v>257</v>
      </c>
    </row>
    <row r="1680" spans="8:18" x14ac:dyDescent="0.2">
      <c r="H1680" s="180"/>
      <c r="P1680" s="180" t="s">
        <v>257</v>
      </c>
      <c r="R1680" s="180" t="s">
        <v>257</v>
      </c>
    </row>
    <row r="1681" spans="8:18" x14ac:dyDescent="0.2">
      <c r="H1681" s="180"/>
      <c r="P1681" s="180" t="s">
        <v>257</v>
      </c>
      <c r="R1681" s="180" t="s">
        <v>257</v>
      </c>
    </row>
    <row r="1682" spans="8:18" x14ac:dyDescent="0.2">
      <c r="H1682" s="180"/>
      <c r="P1682" s="180" t="s">
        <v>257</v>
      </c>
      <c r="R1682" s="180" t="s">
        <v>257</v>
      </c>
    </row>
    <row r="1683" spans="8:18" x14ac:dyDescent="0.2">
      <c r="H1683" s="180"/>
      <c r="P1683" s="180" t="s">
        <v>257</v>
      </c>
      <c r="R1683" s="180" t="s">
        <v>257</v>
      </c>
    </row>
    <row r="1684" spans="8:18" x14ac:dyDescent="0.2">
      <c r="H1684" s="180"/>
      <c r="P1684" s="180" t="s">
        <v>257</v>
      </c>
      <c r="R1684" s="180" t="s">
        <v>257</v>
      </c>
    </row>
    <row r="1685" spans="8:18" x14ac:dyDescent="0.2">
      <c r="H1685" s="180"/>
      <c r="P1685" s="180" t="s">
        <v>257</v>
      </c>
      <c r="R1685" s="180" t="s">
        <v>257</v>
      </c>
    </row>
    <row r="1686" spans="8:18" x14ac:dyDescent="0.2">
      <c r="H1686" s="180"/>
      <c r="P1686" s="180" t="s">
        <v>257</v>
      </c>
      <c r="R1686" s="180" t="s">
        <v>257</v>
      </c>
    </row>
    <row r="1687" spans="8:18" x14ac:dyDescent="0.2">
      <c r="H1687" s="180"/>
      <c r="P1687" s="180" t="s">
        <v>257</v>
      </c>
      <c r="R1687" s="180" t="s">
        <v>257</v>
      </c>
    </row>
    <row r="1688" spans="8:18" x14ac:dyDescent="0.2">
      <c r="H1688" s="180"/>
      <c r="P1688" s="180" t="s">
        <v>257</v>
      </c>
      <c r="R1688" s="180" t="s">
        <v>257</v>
      </c>
    </row>
    <row r="1689" spans="8:18" x14ac:dyDescent="0.2">
      <c r="H1689" s="180"/>
      <c r="P1689" s="180" t="s">
        <v>257</v>
      </c>
      <c r="R1689" s="180" t="s">
        <v>257</v>
      </c>
    </row>
    <row r="1690" spans="8:18" x14ac:dyDescent="0.2">
      <c r="H1690" s="180"/>
      <c r="P1690" s="180" t="s">
        <v>257</v>
      </c>
      <c r="R1690" s="180" t="s">
        <v>257</v>
      </c>
    </row>
    <row r="1691" spans="8:18" x14ac:dyDescent="0.2">
      <c r="H1691" s="180"/>
      <c r="P1691" s="180" t="s">
        <v>257</v>
      </c>
      <c r="R1691" s="180" t="s">
        <v>257</v>
      </c>
    </row>
    <row r="1692" spans="8:18" x14ac:dyDescent="0.2">
      <c r="H1692" s="180"/>
      <c r="P1692" s="180" t="s">
        <v>257</v>
      </c>
      <c r="R1692" s="180" t="s">
        <v>257</v>
      </c>
    </row>
    <row r="1693" spans="8:18" x14ac:dyDescent="0.2">
      <c r="H1693" s="180"/>
      <c r="P1693" s="180" t="s">
        <v>257</v>
      </c>
      <c r="R1693" s="180" t="s">
        <v>257</v>
      </c>
    </row>
    <row r="1694" spans="8:18" x14ac:dyDescent="0.2">
      <c r="H1694" s="180"/>
      <c r="P1694" s="180" t="s">
        <v>257</v>
      </c>
      <c r="R1694" s="180" t="s">
        <v>257</v>
      </c>
    </row>
    <row r="1695" spans="8:18" x14ac:dyDescent="0.2">
      <c r="H1695" s="180"/>
      <c r="P1695" s="180" t="s">
        <v>257</v>
      </c>
      <c r="R1695" s="180" t="s">
        <v>257</v>
      </c>
    </row>
    <row r="1696" spans="8:18" x14ac:dyDescent="0.2">
      <c r="H1696" s="180"/>
      <c r="P1696" s="180" t="s">
        <v>257</v>
      </c>
      <c r="R1696" s="180" t="s">
        <v>257</v>
      </c>
    </row>
    <row r="1697" spans="8:18" x14ac:dyDescent="0.2">
      <c r="H1697" s="180"/>
      <c r="P1697" s="180" t="s">
        <v>257</v>
      </c>
      <c r="R1697" s="180" t="s">
        <v>257</v>
      </c>
    </row>
    <row r="1698" spans="8:18" x14ac:dyDescent="0.2">
      <c r="H1698" s="180"/>
      <c r="P1698" s="180" t="s">
        <v>257</v>
      </c>
      <c r="R1698" s="180" t="s">
        <v>257</v>
      </c>
    </row>
    <row r="1699" spans="8:18" x14ac:dyDescent="0.2">
      <c r="H1699" s="180"/>
      <c r="P1699" s="180" t="s">
        <v>257</v>
      </c>
      <c r="R1699" s="180" t="s">
        <v>257</v>
      </c>
    </row>
    <row r="1700" spans="8:18" x14ac:dyDescent="0.2">
      <c r="H1700" s="180"/>
      <c r="P1700" s="180" t="s">
        <v>257</v>
      </c>
      <c r="R1700" s="180" t="s">
        <v>257</v>
      </c>
    </row>
    <row r="1701" spans="8:18" x14ac:dyDescent="0.2">
      <c r="H1701" s="180"/>
      <c r="P1701" s="180" t="s">
        <v>257</v>
      </c>
      <c r="R1701" s="180" t="s">
        <v>257</v>
      </c>
    </row>
    <row r="1702" spans="8:18" x14ac:dyDescent="0.2">
      <c r="H1702" s="180"/>
      <c r="P1702" s="180" t="s">
        <v>257</v>
      </c>
      <c r="R1702" s="180" t="s">
        <v>257</v>
      </c>
    </row>
    <row r="1703" spans="8:18" x14ac:dyDescent="0.2">
      <c r="H1703" s="180"/>
      <c r="P1703" s="180" t="s">
        <v>257</v>
      </c>
      <c r="R1703" s="180" t="s">
        <v>257</v>
      </c>
    </row>
    <row r="1704" spans="8:18" x14ac:dyDescent="0.2">
      <c r="H1704" s="180"/>
      <c r="P1704" s="180" t="s">
        <v>257</v>
      </c>
      <c r="R1704" s="180" t="s">
        <v>257</v>
      </c>
    </row>
    <row r="1705" spans="8:18" x14ac:dyDescent="0.2">
      <c r="H1705" s="180"/>
      <c r="P1705" s="180" t="s">
        <v>257</v>
      </c>
      <c r="R1705" s="180" t="s">
        <v>257</v>
      </c>
    </row>
    <row r="1706" spans="8:18" x14ac:dyDescent="0.2">
      <c r="H1706" s="180"/>
      <c r="P1706" s="180" t="s">
        <v>257</v>
      </c>
      <c r="R1706" s="180" t="s">
        <v>257</v>
      </c>
    </row>
    <row r="1707" spans="8:18" x14ac:dyDescent="0.2">
      <c r="H1707" s="180"/>
      <c r="P1707" s="180" t="s">
        <v>257</v>
      </c>
      <c r="R1707" s="180" t="s">
        <v>257</v>
      </c>
    </row>
    <row r="1708" spans="8:18" x14ac:dyDescent="0.2">
      <c r="H1708" s="180"/>
      <c r="P1708" s="180" t="s">
        <v>257</v>
      </c>
      <c r="R1708" s="180" t="s">
        <v>257</v>
      </c>
    </row>
    <row r="1709" spans="8:18" x14ac:dyDescent="0.2">
      <c r="H1709" s="180"/>
      <c r="P1709" s="180" t="s">
        <v>257</v>
      </c>
      <c r="R1709" s="180" t="s">
        <v>257</v>
      </c>
    </row>
    <row r="1710" spans="8:18" x14ac:dyDescent="0.2">
      <c r="H1710" s="180"/>
      <c r="P1710" s="180" t="s">
        <v>257</v>
      </c>
      <c r="R1710" s="180" t="s">
        <v>257</v>
      </c>
    </row>
    <row r="1711" spans="8:18" x14ac:dyDescent="0.2">
      <c r="H1711" s="180"/>
      <c r="P1711" s="180" t="s">
        <v>257</v>
      </c>
      <c r="R1711" s="180" t="s">
        <v>257</v>
      </c>
    </row>
    <row r="1712" spans="8:18" x14ac:dyDescent="0.2">
      <c r="H1712" s="180"/>
      <c r="P1712" s="180" t="s">
        <v>257</v>
      </c>
      <c r="R1712" s="180" t="s">
        <v>257</v>
      </c>
    </row>
    <row r="1713" spans="8:18" x14ac:dyDescent="0.2">
      <c r="H1713" s="180"/>
      <c r="P1713" s="180" t="s">
        <v>257</v>
      </c>
      <c r="R1713" s="180" t="s">
        <v>257</v>
      </c>
    </row>
    <row r="1714" spans="8:18" x14ac:dyDescent="0.2">
      <c r="H1714" s="180"/>
      <c r="P1714" s="180" t="s">
        <v>257</v>
      </c>
      <c r="R1714" s="180" t="s">
        <v>257</v>
      </c>
    </row>
    <row r="1715" spans="8:18" x14ac:dyDescent="0.2">
      <c r="H1715" s="180"/>
      <c r="P1715" s="180" t="s">
        <v>257</v>
      </c>
      <c r="R1715" s="180" t="s">
        <v>257</v>
      </c>
    </row>
    <row r="1716" spans="8:18" x14ac:dyDescent="0.2">
      <c r="H1716" s="180"/>
      <c r="P1716" s="180" t="s">
        <v>257</v>
      </c>
      <c r="R1716" s="180" t="s">
        <v>257</v>
      </c>
    </row>
    <row r="1717" spans="8:18" x14ac:dyDescent="0.2">
      <c r="H1717" s="180"/>
      <c r="P1717" s="180" t="s">
        <v>257</v>
      </c>
      <c r="R1717" s="180" t="s">
        <v>257</v>
      </c>
    </row>
    <row r="1718" spans="8:18" x14ac:dyDescent="0.2">
      <c r="H1718" s="180"/>
      <c r="P1718" s="180" t="s">
        <v>257</v>
      </c>
      <c r="R1718" s="180" t="s">
        <v>257</v>
      </c>
    </row>
    <row r="1719" spans="8:18" x14ac:dyDescent="0.2">
      <c r="H1719" s="180"/>
      <c r="P1719" s="180" t="s">
        <v>257</v>
      </c>
      <c r="R1719" s="180" t="s">
        <v>257</v>
      </c>
    </row>
    <row r="1720" spans="8:18" x14ac:dyDescent="0.2">
      <c r="H1720" s="180"/>
      <c r="P1720" s="180" t="s">
        <v>257</v>
      </c>
      <c r="R1720" s="180" t="s">
        <v>257</v>
      </c>
    </row>
    <row r="1721" spans="8:18" x14ac:dyDescent="0.2">
      <c r="H1721" s="180"/>
      <c r="P1721" s="180" t="s">
        <v>257</v>
      </c>
      <c r="R1721" s="180" t="s">
        <v>257</v>
      </c>
    </row>
    <row r="1722" spans="8:18" x14ac:dyDescent="0.2">
      <c r="H1722" s="180"/>
      <c r="P1722" s="180" t="s">
        <v>257</v>
      </c>
      <c r="R1722" s="180" t="s">
        <v>257</v>
      </c>
    </row>
    <row r="1723" spans="8:18" x14ac:dyDescent="0.2">
      <c r="H1723" s="180"/>
      <c r="P1723" s="180" t="s">
        <v>257</v>
      </c>
      <c r="R1723" s="180" t="s">
        <v>257</v>
      </c>
    </row>
    <row r="1724" spans="8:18" x14ac:dyDescent="0.2">
      <c r="H1724" s="180"/>
      <c r="P1724" s="180" t="s">
        <v>257</v>
      </c>
      <c r="R1724" s="180" t="s">
        <v>257</v>
      </c>
    </row>
    <row r="1725" spans="8:18" x14ac:dyDescent="0.2">
      <c r="H1725" s="180"/>
      <c r="P1725" s="180" t="s">
        <v>257</v>
      </c>
      <c r="R1725" s="180" t="s">
        <v>257</v>
      </c>
    </row>
    <row r="1726" spans="8:18" x14ac:dyDescent="0.2">
      <c r="H1726" s="180"/>
      <c r="P1726" s="180" t="s">
        <v>257</v>
      </c>
      <c r="R1726" s="180" t="s">
        <v>257</v>
      </c>
    </row>
    <row r="1727" spans="8:18" x14ac:dyDescent="0.2">
      <c r="H1727" s="180"/>
      <c r="P1727" s="180" t="s">
        <v>257</v>
      </c>
      <c r="R1727" s="180" t="s">
        <v>257</v>
      </c>
    </row>
    <row r="1728" spans="8:18" x14ac:dyDescent="0.2">
      <c r="H1728" s="180"/>
      <c r="P1728" s="180" t="s">
        <v>257</v>
      </c>
      <c r="R1728" s="180" t="s">
        <v>257</v>
      </c>
    </row>
    <row r="1729" spans="8:18" x14ac:dyDescent="0.2">
      <c r="H1729" s="180"/>
      <c r="P1729" s="180" t="s">
        <v>257</v>
      </c>
      <c r="R1729" s="180" t="s">
        <v>257</v>
      </c>
    </row>
    <row r="1730" spans="8:18" x14ac:dyDescent="0.2">
      <c r="H1730" s="180"/>
      <c r="P1730" s="180" t="s">
        <v>257</v>
      </c>
      <c r="R1730" s="180" t="s">
        <v>257</v>
      </c>
    </row>
    <row r="1731" spans="8:18" x14ac:dyDescent="0.2">
      <c r="H1731" s="180"/>
      <c r="P1731" s="180" t="s">
        <v>257</v>
      </c>
      <c r="R1731" s="180" t="s">
        <v>257</v>
      </c>
    </row>
    <row r="1732" spans="8:18" x14ac:dyDescent="0.2">
      <c r="H1732" s="180"/>
      <c r="P1732" s="180" t="s">
        <v>257</v>
      </c>
      <c r="R1732" s="180" t="s">
        <v>257</v>
      </c>
    </row>
    <row r="1733" spans="8:18" x14ac:dyDescent="0.2">
      <c r="H1733" s="180"/>
      <c r="P1733" s="180" t="s">
        <v>257</v>
      </c>
      <c r="R1733" s="180" t="s">
        <v>257</v>
      </c>
    </row>
    <row r="1734" spans="8:18" x14ac:dyDescent="0.2">
      <c r="H1734" s="180"/>
      <c r="P1734" s="180" t="s">
        <v>257</v>
      </c>
      <c r="R1734" s="180" t="s">
        <v>257</v>
      </c>
    </row>
    <row r="1735" spans="8:18" x14ac:dyDescent="0.2">
      <c r="H1735" s="180"/>
      <c r="P1735" s="180" t="s">
        <v>257</v>
      </c>
      <c r="R1735" s="180" t="s">
        <v>257</v>
      </c>
    </row>
    <row r="1736" spans="8:18" x14ac:dyDescent="0.2">
      <c r="H1736" s="180"/>
      <c r="P1736" s="180" t="s">
        <v>257</v>
      </c>
      <c r="R1736" s="180" t="s">
        <v>257</v>
      </c>
    </row>
    <row r="1737" spans="8:18" x14ac:dyDescent="0.2">
      <c r="H1737" s="180"/>
      <c r="P1737" s="180" t="s">
        <v>257</v>
      </c>
      <c r="R1737" s="180" t="s">
        <v>257</v>
      </c>
    </row>
    <row r="1738" spans="8:18" x14ac:dyDescent="0.2">
      <c r="H1738" s="180"/>
      <c r="P1738" s="180" t="s">
        <v>257</v>
      </c>
      <c r="R1738" s="180" t="s">
        <v>257</v>
      </c>
    </row>
    <row r="1739" spans="8:18" x14ac:dyDescent="0.2">
      <c r="H1739" s="180"/>
      <c r="P1739" s="180" t="s">
        <v>257</v>
      </c>
      <c r="R1739" s="180" t="s">
        <v>257</v>
      </c>
    </row>
    <row r="1740" spans="8:18" x14ac:dyDescent="0.2">
      <c r="H1740" s="180"/>
      <c r="P1740" s="180" t="s">
        <v>257</v>
      </c>
      <c r="R1740" s="180" t="s">
        <v>257</v>
      </c>
    </row>
    <row r="1741" spans="8:18" x14ac:dyDescent="0.2">
      <c r="H1741" s="180"/>
      <c r="P1741" s="180" t="s">
        <v>257</v>
      </c>
      <c r="R1741" s="180" t="s">
        <v>257</v>
      </c>
    </row>
    <row r="1742" spans="8:18" x14ac:dyDescent="0.2">
      <c r="H1742" s="180"/>
      <c r="P1742" s="180" t="s">
        <v>257</v>
      </c>
      <c r="R1742" s="180" t="s">
        <v>257</v>
      </c>
    </row>
    <row r="1743" spans="8:18" x14ac:dyDescent="0.2">
      <c r="H1743" s="180"/>
      <c r="P1743" s="180" t="s">
        <v>257</v>
      </c>
      <c r="R1743" s="180" t="s">
        <v>257</v>
      </c>
    </row>
    <row r="1744" spans="8:18" x14ac:dyDescent="0.2">
      <c r="H1744" s="180"/>
      <c r="P1744" s="180" t="s">
        <v>257</v>
      </c>
      <c r="R1744" s="180" t="s">
        <v>257</v>
      </c>
    </row>
    <row r="1745" spans="8:18" x14ac:dyDescent="0.2">
      <c r="H1745" s="180"/>
      <c r="P1745" s="180" t="s">
        <v>257</v>
      </c>
      <c r="R1745" s="180" t="s">
        <v>257</v>
      </c>
    </row>
    <row r="1746" spans="8:18" x14ac:dyDescent="0.2">
      <c r="H1746" s="180"/>
      <c r="P1746" s="180" t="s">
        <v>257</v>
      </c>
      <c r="R1746" s="180" t="s">
        <v>257</v>
      </c>
    </row>
    <row r="1747" spans="8:18" x14ac:dyDescent="0.2">
      <c r="H1747" s="180"/>
      <c r="P1747" s="180" t="s">
        <v>257</v>
      </c>
      <c r="R1747" s="180" t="s">
        <v>257</v>
      </c>
    </row>
    <row r="1748" spans="8:18" x14ac:dyDescent="0.2">
      <c r="H1748" s="180"/>
      <c r="P1748" s="180" t="s">
        <v>257</v>
      </c>
      <c r="R1748" s="180" t="s">
        <v>257</v>
      </c>
    </row>
    <row r="1749" spans="8:18" x14ac:dyDescent="0.2">
      <c r="H1749" s="180"/>
      <c r="P1749" s="180" t="s">
        <v>257</v>
      </c>
      <c r="R1749" s="180" t="s">
        <v>257</v>
      </c>
    </row>
    <row r="1750" spans="8:18" x14ac:dyDescent="0.2">
      <c r="H1750" s="180"/>
      <c r="P1750" s="180" t="s">
        <v>257</v>
      </c>
      <c r="R1750" s="180" t="s">
        <v>257</v>
      </c>
    </row>
    <row r="1751" spans="8:18" x14ac:dyDescent="0.2">
      <c r="H1751" s="180"/>
      <c r="P1751" s="180" t="s">
        <v>257</v>
      </c>
      <c r="R1751" s="180" t="s">
        <v>257</v>
      </c>
    </row>
    <row r="1752" spans="8:18" x14ac:dyDescent="0.2">
      <c r="H1752" s="180"/>
      <c r="P1752" s="180" t="s">
        <v>257</v>
      </c>
      <c r="R1752" s="180" t="s">
        <v>257</v>
      </c>
    </row>
    <row r="1753" spans="8:18" x14ac:dyDescent="0.2">
      <c r="H1753" s="180"/>
      <c r="P1753" s="180" t="s">
        <v>257</v>
      </c>
      <c r="R1753" s="180" t="s">
        <v>257</v>
      </c>
    </row>
    <row r="1754" spans="8:18" x14ac:dyDescent="0.2">
      <c r="H1754" s="180"/>
      <c r="P1754" s="180" t="s">
        <v>257</v>
      </c>
      <c r="R1754" s="180" t="s">
        <v>257</v>
      </c>
    </row>
    <row r="1755" spans="8:18" x14ac:dyDescent="0.2">
      <c r="H1755" s="180"/>
      <c r="P1755" s="180" t="s">
        <v>257</v>
      </c>
      <c r="R1755" s="180" t="s">
        <v>257</v>
      </c>
    </row>
    <row r="1756" spans="8:18" x14ac:dyDescent="0.2">
      <c r="H1756" s="180"/>
      <c r="P1756" s="180" t="s">
        <v>257</v>
      </c>
      <c r="R1756" s="180" t="s">
        <v>257</v>
      </c>
    </row>
    <row r="1757" spans="8:18" x14ac:dyDescent="0.2">
      <c r="H1757" s="180"/>
      <c r="P1757" s="180" t="s">
        <v>257</v>
      </c>
      <c r="R1757" s="180" t="s">
        <v>257</v>
      </c>
    </row>
    <row r="1758" spans="8:18" x14ac:dyDescent="0.2">
      <c r="H1758" s="180"/>
      <c r="P1758" s="180" t="s">
        <v>257</v>
      </c>
      <c r="R1758" s="180" t="s">
        <v>257</v>
      </c>
    </row>
    <row r="1759" spans="8:18" x14ac:dyDescent="0.2">
      <c r="H1759" s="180"/>
      <c r="P1759" s="180" t="s">
        <v>257</v>
      </c>
      <c r="R1759" s="180" t="s">
        <v>257</v>
      </c>
    </row>
    <row r="1760" spans="8:18" x14ac:dyDescent="0.2">
      <c r="H1760" s="180"/>
      <c r="P1760" s="180" t="s">
        <v>257</v>
      </c>
      <c r="R1760" s="180" t="s">
        <v>257</v>
      </c>
    </row>
    <row r="1761" spans="8:18" x14ac:dyDescent="0.2">
      <c r="H1761" s="180"/>
      <c r="P1761" s="180" t="s">
        <v>257</v>
      </c>
      <c r="R1761" s="180" t="s">
        <v>257</v>
      </c>
    </row>
    <row r="1762" spans="8:18" x14ac:dyDescent="0.2">
      <c r="H1762" s="180"/>
      <c r="P1762" s="180" t="s">
        <v>257</v>
      </c>
      <c r="R1762" s="180" t="s">
        <v>257</v>
      </c>
    </row>
    <row r="1763" spans="8:18" x14ac:dyDescent="0.2">
      <c r="H1763" s="180"/>
      <c r="P1763" s="180" t="s">
        <v>257</v>
      </c>
      <c r="R1763" s="180" t="s">
        <v>257</v>
      </c>
    </row>
    <row r="1764" spans="8:18" x14ac:dyDescent="0.2">
      <c r="H1764" s="180"/>
      <c r="P1764" s="180" t="s">
        <v>257</v>
      </c>
      <c r="R1764" s="180" t="s">
        <v>257</v>
      </c>
    </row>
    <row r="1765" spans="8:18" x14ac:dyDescent="0.2">
      <c r="H1765" s="180"/>
      <c r="P1765" s="180" t="s">
        <v>257</v>
      </c>
      <c r="R1765" s="180" t="s">
        <v>257</v>
      </c>
    </row>
    <row r="1766" spans="8:18" x14ac:dyDescent="0.2">
      <c r="H1766" s="180"/>
      <c r="P1766" s="180" t="s">
        <v>257</v>
      </c>
      <c r="R1766" s="180" t="s">
        <v>257</v>
      </c>
    </row>
    <row r="1767" spans="8:18" x14ac:dyDescent="0.2">
      <c r="H1767" s="180"/>
      <c r="P1767" s="180" t="s">
        <v>257</v>
      </c>
      <c r="R1767" s="180" t="s">
        <v>257</v>
      </c>
    </row>
    <row r="1768" spans="8:18" x14ac:dyDescent="0.2">
      <c r="H1768" s="180"/>
      <c r="P1768" s="180" t="s">
        <v>257</v>
      </c>
      <c r="R1768" s="180" t="s">
        <v>257</v>
      </c>
    </row>
    <row r="1769" spans="8:18" x14ac:dyDescent="0.2">
      <c r="H1769" s="180"/>
      <c r="P1769" s="180" t="s">
        <v>257</v>
      </c>
      <c r="R1769" s="180" t="s">
        <v>257</v>
      </c>
    </row>
    <row r="1770" spans="8:18" x14ac:dyDescent="0.2">
      <c r="H1770" s="180"/>
      <c r="P1770" s="180" t="s">
        <v>257</v>
      </c>
      <c r="R1770" s="180" t="s">
        <v>257</v>
      </c>
    </row>
    <row r="1771" spans="8:18" x14ac:dyDescent="0.2">
      <c r="H1771" s="180"/>
      <c r="P1771" s="180" t="s">
        <v>257</v>
      </c>
      <c r="R1771" s="180" t="s">
        <v>257</v>
      </c>
    </row>
    <row r="1772" spans="8:18" x14ac:dyDescent="0.2">
      <c r="H1772" s="180"/>
      <c r="P1772" s="180" t="s">
        <v>257</v>
      </c>
      <c r="R1772" s="180" t="s">
        <v>257</v>
      </c>
    </row>
    <row r="1773" spans="8:18" x14ac:dyDescent="0.2">
      <c r="H1773" s="180"/>
      <c r="P1773" s="180" t="s">
        <v>257</v>
      </c>
      <c r="R1773" s="180" t="s">
        <v>257</v>
      </c>
    </row>
    <row r="1774" spans="8:18" x14ac:dyDescent="0.2">
      <c r="H1774" s="180"/>
      <c r="P1774" s="180" t="s">
        <v>257</v>
      </c>
      <c r="R1774" s="180" t="s">
        <v>257</v>
      </c>
    </row>
    <row r="1775" spans="8:18" x14ac:dyDescent="0.2">
      <c r="H1775" s="180"/>
      <c r="P1775" s="180" t="s">
        <v>257</v>
      </c>
      <c r="R1775" s="180" t="s">
        <v>257</v>
      </c>
    </row>
    <row r="1776" spans="8:18" x14ac:dyDescent="0.2">
      <c r="H1776" s="180"/>
      <c r="P1776" s="180" t="s">
        <v>257</v>
      </c>
      <c r="R1776" s="180" t="s">
        <v>257</v>
      </c>
    </row>
    <row r="1777" spans="8:18" x14ac:dyDescent="0.2">
      <c r="H1777" s="180"/>
      <c r="P1777" s="180" t="s">
        <v>257</v>
      </c>
      <c r="R1777" s="180" t="s">
        <v>257</v>
      </c>
    </row>
    <row r="1778" spans="8:18" x14ac:dyDescent="0.2">
      <c r="H1778" s="180"/>
      <c r="P1778" s="180" t="s">
        <v>257</v>
      </c>
      <c r="R1778" s="180" t="s">
        <v>257</v>
      </c>
    </row>
    <row r="1779" spans="8:18" x14ac:dyDescent="0.2">
      <c r="H1779" s="180"/>
      <c r="P1779" s="180" t="s">
        <v>257</v>
      </c>
      <c r="R1779" s="180" t="s">
        <v>257</v>
      </c>
    </row>
    <row r="1780" spans="8:18" x14ac:dyDescent="0.2">
      <c r="H1780" s="180"/>
      <c r="P1780" s="180" t="s">
        <v>257</v>
      </c>
      <c r="R1780" s="180" t="s">
        <v>257</v>
      </c>
    </row>
    <row r="1781" spans="8:18" x14ac:dyDescent="0.2">
      <c r="H1781" s="180"/>
      <c r="P1781" s="180" t="s">
        <v>257</v>
      </c>
      <c r="R1781" s="180" t="s">
        <v>257</v>
      </c>
    </row>
    <row r="1782" spans="8:18" x14ac:dyDescent="0.2">
      <c r="H1782" s="180"/>
      <c r="P1782" s="180" t="s">
        <v>257</v>
      </c>
      <c r="R1782" s="180" t="s">
        <v>257</v>
      </c>
    </row>
    <row r="1783" spans="8:18" x14ac:dyDescent="0.2">
      <c r="H1783" s="180"/>
      <c r="P1783" s="180" t="s">
        <v>257</v>
      </c>
      <c r="R1783" s="180" t="s">
        <v>257</v>
      </c>
    </row>
    <row r="1784" spans="8:18" x14ac:dyDescent="0.2">
      <c r="H1784" s="180"/>
      <c r="P1784" s="180" t="s">
        <v>257</v>
      </c>
      <c r="R1784" s="180" t="s">
        <v>257</v>
      </c>
    </row>
    <row r="1785" spans="8:18" x14ac:dyDescent="0.2">
      <c r="H1785" s="180"/>
      <c r="P1785" s="180" t="s">
        <v>257</v>
      </c>
      <c r="R1785" s="180" t="s">
        <v>257</v>
      </c>
    </row>
    <row r="1786" spans="8:18" x14ac:dyDescent="0.2">
      <c r="H1786" s="180"/>
      <c r="P1786" s="180" t="s">
        <v>257</v>
      </c>
      <c r="R1786" s="180" t="s">
        <v>257</v>
      </c>
    </row>
    <row r="1787" spans="8:18" x14ac:dyDescent="0.2">
      <c r="H1787" s="180"/>
      <c r="P1787" s="180" t="s">
        <v>257</v>
      </c>
      <c r="R1787" s="180" t="s">
        <v>257</v>
      </c>
    </row>
    <row r="1788" spans="8:18" x14ac:dyDescent="0.2">
      <c r="H1788" s="180"/>
      <c r="P1788" s="180" t="s">
        <v>257</v>
      </c>
      <c r="R1788" s="180" t="s">
        <v>257</v>
      </c>
    </row>
    <row r="1789" spans="8:18" x14ac:dyDescent="0.2">
      <c r="H1789" s="180"/>
      <c r="P1789" s="180" t="s">
        <v>257</v>
      </c>
      <c r="R1789" s="180" t="s">
        <v>257</v>
      </c>
    </row>
    <row r="1790" spans="8:18" x14ac:dyDescent="0.2">
      <c r="H1790" s="180"/>
      <c r="P1790" s="180" t="s">
        <v>257</v>
      </c>
      <c r="R1790" s="180" t="s">
        <v>257</v>
      </c>
    </row>
    <row r="1791" spans="8:18" x14ac:dyDescent="0.2">
      <c r="H1791" s="180"/>
      <c r="P1791" s="180" t="s">
        <v>257</v>
      </c>
      <c r="R1791" s="180" t="s">
        <v>257</v>
      </c>
    </row>
    <row r="1792" spans="8:18" x14ac:dyDescent="0.2">
      <c r="H1792" s="180"/>
      <c r="P1792" s="180" t="s">
        <v>257</v>
      </c>
      <c r="R1792" s="180" t="s">
        <v>257</v>
      </c>
    </row>
    <row r="1793" spans="8:18" x14ac:dyDescent="0.2">
      <c r="H1793" s="180"/>
      <c r="P1793" s="180" t="s">
        <v>257</v>
      </c>
      <c r="R1793" s="180" t="s">
        <v>257</v>
      </c>
    </row>
    <row r="1794" spans="8:18" x14ac:dyDescent="0.2">
      <c r="H1794" s="180"/>
      <c r="P1794" s="180" t="s">
        <v>257</v>
      </c>
      <c r="R1794" s="180" t="s">
        <v>257</v>
      </c>
    </row>
    <row r="1795" spans="8:18" x14ac:dyDescent="0.2">
      <c r="H1795" s="180"/>
      <c r="P1795" s="180" t="s">
        <v>257</v>
      </c>
      <c r="R1795" s="180" t="s">
        <v>257</v>
      </c>
    </row>
    <row r="1796" spans="8:18" x14ac:dyDescent="0.2">
      <c r="H1796" s="180"/>
      <c r="P1796" s="180" t="s">
        <v>257</v>
      </c>
      <c r="R1796" s="180" t="s">
        <v>257</v>
      </c>
    </row>
    <row r="1797" spans="8:18" x14ac:dyDescent="0.2">
      <c r="H1797" s="180"/>
      <c r="P1797" s="180" t="s">
        <v>257</v>
      </c>
      <c r="R1797" s="180" t="s">
        <v>257</v>
      </c>
    </row>
    <row r="1798" spans="8:18" x14ac:dyDescent="0.2">
      <c r="H1798" s="180"/>
      <c r="P1798" s="180" t="s">
        <v>257</v>
      </c>
      <c r="R1798" s="180" t="s">
        <v>257</v>
      </c>
    </row>
    <row r="1799" spans="8:18" x14ac:dyDescent="0.2">
      <c r="H1799" s="180"/>
      <c r="P1799" s="180" t="s">
        <v>257</v>
      </c>
      <c r="R1799" s="180" t="s">
        <v>257</v>
      </c>
    </row>
    <row r="1800" spans="8:18" x14ac:dyDescent="0.2">
      <c r="H1800" s="180"/>
      <c r="P1800" s="180" t="s">
        <v>257</v>
      </c>
      <c r="R1800" s="180" t="s">
        <v>257</v>
      </c>
    </row>
    <row r="1801" spans="8:18" x14ac:dyDescent="0.2">
      <c r="H1801" s="180"/>
      <c r="P1801" s="180" t="s">
        <v>257</v>
      </c>
      <c r="R1801" s="180" t="s">
        <v>257</v>
      </c>
    </row>
    <row r="1802" spans="8:18" x14ac:dyDescent="0.2">
      <c r="H1802" s="180"/>
      <c r="P1802" s="180" t="s">
        <v>257</v>
      </c>
      <c r="R1802" s="180" t="s">
        <v>257</v>
      </c>
    </row>
    <row r="1803" spans="8:18" x14ac:dyDescent="0.2">
      <c r="H1803" s="180"/>
      <c r="P1803" s="180" t="s">
        <v>257</v>
      </c>
      <c r="R1803" s="180" t="s">
        <v>257</v>
      </c>
    </row>
    <row r="1804" spans="8:18" x14ac:dyDescent="0.2">
      <c r="H1804" s="180"/>
      <c r="P1804" s="180" t="s">
        <v>257</v>
      </c>
      <c r="R1804" s="180" t="s">
        <v>257</v>
      </c>
    </row>
    <row r="1805" spans="8:18" x14ac:dyDescent="0.2">
      <c r="H1805" s="180"/>
      <c r="P1805" s="180" t="s">
        <v>257</v>
      </c>
      <c r="R1805" s="180" t="s">
        <v>257</v>
      </c>
    </row>
    <row r="1806" spans="8:18" x14ac:dyDescent="0.2">
      <c r="H1806" s="180"/>
      <c r="P1806" s="180" t="s">
        <v>257</v>
      </c>
      <c r="R1806" s="180" t="s">
        <v>257</v>
      </c>
    </row>
    <row r="1807" spans="8:18" x14ac:dyDescent="0.2">
      <c r="H1807" s="180"/>
      <c r="P1807" s="180" t="s">
        <v>257</v>
      </c>
      <c r="R1807" s="180" t="s">
        <v>257</v>
      </c>
    </row>
    <row r="1808" spans="8:18" x14ac:dyDescent="0.2">
      <c r="H1808" s="180"/>
      <c r="P1808" s="180" t="s">
        <v>257</v>
      </c>
      <c r="R1808" s="180" t="s">
        <v>257</v>
      </c>
    </row>
    <row r="1809" spans="8:18" x14ac:dyDescent="0.2">
      <c r="H1809" s="180"/>
      <c r="P1809" s="180" t="s">
        <v>257</v>
      </c>
      <c r="R1809" s="180" t="s">
        <v>257</v>
      </c>
    </row>
    <row r="1810" spans="8:18" x14ac:dyDescent="0.2">
      <c r="H1810" s="180"/>
      <c r="P1810" s="180" t="s">
        <v>257</v>
      </c>
      <c r="R1810" s="180" t="s">
        <v>257</v>
      </c>
    </row>
    <row r="1811" spans="8:18" x14ac:dyDescent="0.2">
      <c r="H1811" s="180"/>
      <c r="P1811" s="180" t="s">
        <v>257</v>
      </c>
      <c r="R1811" s="180" t="s">
        <v>257</v>
      </c>
    </row>
    <row r="1812" spans="8:18" x14ac:dyDescent="0.2">
      <c r="H1812" s="180"/>
      <c r="P1812" s="180" t="s">
        <v>257</v>
      </c>
      <c r="R1812" s="180" t="s">
        <v>257</v>
      </c>
    </row>
    <row r="1813" spans="8:18" x14ac:dyDescent="0.2">
      <c r="H1813" s="180"/>
      <c r="P1813" s="180" t="s">
        <v>257</v>
      </c>
      <c r="R1813" s="180" t="s">
        <v>257</v>
      </c>
    </row>
    <row r="1814" spans="8:18" x14ac:dyDescent="0.2">
      <c r="H1814" s="180"/>
      <c r="P1814" s="180" t="s">
        <v>257</v>
      </c>
      <c r="R1814" s="180" t="s">
        <v>257</v>
      </c>
    </row>
    <row r="1815" spans="8:18" x14ac:dyDescent="0.2">
      <c r="H1815" s="180"/>
      <c r="P1815" s="180" t="s">
        <v>257</v>
      </c>
      <c r="R1815" s="180" t="s">
        <v>257</v>
      </c>
    </row>
    <row r="1816" spans="8:18" x14ac:dyDescent="0.2">
      <c r="H1816" s="180"/>
      <c r="P1816" s="180" t="s">
        <v>257</v>
      </c>
      <c r="R1816" s="180" t="s">
        <v>257</v>
      </c>
    </row>
    <row r="1817" spans="8:18" x14ac:dyDescent="0.2">
      <c r="H1817" s="180"/>
      <c r="P1817" s="180" t="s">
        <v>257</v>
      </c>
      <c r="R1817" s="180" t="s">
        <v>257</v>
      </c>
    </row>
    <row r="1818" spans="8:18" x14ac:dyDescent="0.2">
      <c r="H1818" s="180"/>
      <c r="P1818" s="180" t="s">
        <v>257</v>
      </c>
      <c r="R1818" s="180" t="s">
        <v>257</v>
      </c>
    </row>
    <row r="1819" spans="8:18" x14ac:dyDescent="0.2">
      <c r="H1819" s="180"/>
      <c r="P1819" s="180" t="s">
        <v>257</v>
      </c>
      <c r="R1819" s="180" t="s">
        <v>257</v>
      </c>
    </row>
    <row r="1820" spans="8:18" x14ac:dyDescent="0.2">
      <c r="H1820" s="180"/>
      <c r="P1820" s="180" t="s">
        <v>257</v>
      </c>
      <c r="R1820" s="180" t="s">
        <v>257</v>
      </c>
    </row>
    <row r="1821" spans="8:18" x14ac:dyDescent="0.2">
      <c r="H1821" s="180"/>
      <c r="P1821" s="180" t="s">
        <v>257</v>
      </c>
      <c r="R1821" s="180" t="s">
        <v>257</v>
      </c>
    </row>
    <row r="1822" spans="8:18" x14ac:dyDescent="0.2">
      <c r="H1822" s="180"/>
      <c r="P1822" s="180" t="s">
        <v>257</v>
      </c>
      <c r="R1822" s="180" t="s">
        <v>257</v>
      </c>
    </row>
    <row r="1823" spans="8:18" x14ac:dyDescent="0.2">
      <c r="H1823" s="180"/>
      <c r="P1823" s="180" t="s">
        <v>257</v>
      </c>
      <c r="R1823" s="180" t="s">
        <v>257</v>
      </c>
    </row>
    <row r="1824" spans="8:18" x14ac:dyDescent="0.2">
      <c r="H1824" s="180"/>
      <c r="P1824" s="180" t="s">
        <v>257</v>
      </c>
      <c r="R1824" s="180" t="s">
        <v>257</v>
      </c>
    </row>
    <row r="1825" spans="8:18" x14ac:dyDescent="0.2">
      <c r="H1825" s="180"/>
      <c r="P1825" s="180" t="s">
        <v>257</v>
      </c>
      <c r="R1825" s="180" t="s">
        <v>257</v>
      </c>
    </row>
    <row r="1826" spans="8:18" x14ac:dyDescent="0.2">
      <c r="H1826" s="180"/>
      <c r="P1826" s="180" t="s">
        <v>257</v>
      </c>
      <c r="R1826" s="180" t="s">
        <v>257</v>
      </c>
    </row>
    <row r="1827" spans="8:18" x14ac:dyDescent="0.2">
      <c r="H1827" s="180"/>
      <c r="P1827" s="180" t="s">
        <v>257</v>
      </c>
      <c r="R1827" s="180" t="s">
        <v>257</v>
      </c>
    </row>
    <row r="1828" spans="8:18" x14ac:dyDescent="0.2">
      <c r="H1828" s="180"/>
      <c r="P1828" s="180" t="s">
        <v>257</v>
      </c>
      <c r="R1828" s="180" t="s">
        <v>257</v>
      </c>
    </row>
    <row r="1829" spans="8:18" x14ac:dyDescent="0.2">
      <c r="H1829" s="180"/>
      <c r="P1829" s="180" t="s">
        <v>257</v>
      </c>
      <c r="R1829" s="180" t="s">
        <v>257</v>
      </c>
    </row>
    <row r="1830" spans="8:18" x14ac:dyDescent="0.2">
      <c r="H1830" s="180"/>
      <c r="P1830" s="180" t="s">
        <v>257</v>
      </c>
      <c r="R1830" s="180" t="s">
        <v>257</v>
      </c>
    </row>
    <row r="1831" spans="8:18" x14ac:dyDescent="0.2">
      <c r="H1831" s="180"/>
      <c r="P1831" s="180" t="s">
        <v>257</v>
      </c>
      <c r="R1831" s="180" t="s">
        <v>257</v>
      </c>
    </row>
    <row r="1832" spans="8:18" x14ac:dyDescent="0.2">
      <c r="H1832" s="180"/>
      <c r="P1832" s="180" t="s">
        <v>257</v>
      </c>
      <c r="R1832" s="180" t="s">
        <v>257</v>
      </c>
    </row>
    <row r="1833" spans="8:18" x14ac:dyDescent="0.2">
      <c r="H1833" s="180"/>
      <c r="P1833" s="180" t="s">
        <v>257</v>
      </c>
      <c r="R1833" s="180" t="s">
        <v>257</v>
      </c>
    </row>
    <row r="1834" spans="8:18" x14ac:dyDescent="0.2">
      <c r="H1834" s="180"/>
      <c r="P1834" s="180" t="s">
        <v>257</v>
      </c>
      <c r="R1834" s="180" t="s">
        <v>257</v>
      </c>
    </row>
    <row r="1835" spans="8:18" x14ac:dyDescent="0.2">
      <c r="H1835" s="180"/>
      <c r="P1835" s="180" t="s">
        <v>257</v>
      </c>
      <c r="R1835" s="180" t="s">
        <v>257</v>
      </c>
    </row>
    <row r="1836" spans="8:18" x14ac:dyDescent="0.2">
      <c r="H1836" s="180"/>
      <c r="P1836" s="180" t="s">
        <v>257</v>
      </c>
      <c r="R1836" s="180" t="s">
        <v>257</v>
      </c>
    </row>
    <row r="1837" spans="8:18" x14ac:dyDescent="0.2">
      <c r="H1837" s="180"/>
      <c r="P1837" s="180" t="s">
        <v>257</v>
      </c>
      <c r="R1837" s="180" t="s">
        <v>257</v>
      </c>
    </row>
    <row r="1838" spans="8:18" x14ac:dyDescent="0.2">
      <c r="H1838" s="180"/>
      <c r="P1838" s="180" t="s">
        <v>257</v>
      </c>
      <c r="R1838" s="180" t="s">
        <v>257</v>
      </c>
    </row>
    <row r="1839" spans="8:18" x14ac:dyDescent="0.2">
      <c r="H1839" s="180"/>
      <c r="P1839" s="180" t="s">
        <v>257</v>
      </c>
      <c r="R1839" s="180" t="s">
        <v>257</v>
      </c>
    </row>
    <row r="1840" spans="8:18" x14ac:dyDescent="0.2">
      <c r="H1840" s="180"/>
      <c r="P1840" s="180" t="s">
        <v>257</v>
      </c>
      <c r="R1840" s="180" t="s">
        <v>257</v>
      </c>
    </row>
    <row r="1841" spans="8:18" x14ac:dyDescent="0.2">
      <c r="H1841" s="180"/>
      <c r="P1841" s="180" t="s">
        <v>257</v>
      </c>
      <c r="R1841" s="180" t="s">
        <v>257</v>
      </c>
    </row>
    <row r="1842" spans="8:18" x14ac:dyDescent="0.2">
      <c r="H1842" s="180"/>
      <c r="P1842" s="180" t="s">
        <v>257</v>
      </c>
      <c r="R1842" s="180" t="s">
        <v>257</v>
      </c>
    </row>
    <row r="1843" spans="8:18" x14ac:dyDescent="0.2">
      <c r="H1843" s="180"/>
      <c r="P1843" s="180" t="s">
        <v>257</v>
      </c>
      <c r="R1843" s="180" t="s">
        <v>257</v>
      </c>
    </row>
    <row r="1844" spans="8:18" x14ac:dyDescent="0.2">
      <c r="H1844" s="180"/>
      <c r="P1844" s="180" t="s">
        <v>257</v>
      </c>
      <c r="R1844" s="180" t="s">
        <v>257</v>
      </c>
    </row>
    <row r="1845" spans="8:18" x14ac:dyDescent="0.2">
      <c r="H1845" s="180"/>
      <c r="P1845" s="180" t="s">
        <v>257</v>
      </c>
      <c r="R1845" s="180" t="s">
        <v>257</v>
      </c>
    </row>
    <row r="1846" spans="8:18" x14ac:dyDescent="0.2">
      <c r="H1846" s="180"/>
      <c r="P1846" s="180" t="s">
        <v>257</v>
      </c>
      <c r="R1846" s="180" t="s">
        <v>257</v>
      </c>
    </row>
    <row r="1847" spans="8:18" x14ac:dyDescent="0.2">
      <c r="H1847" s="180"/>
      <c r="P1847" s="180" t="s">
        <v>257</v>
      </c>
      <c r="R1847" s="180" t="s">
        <v>257</v>
      </c>
    </row>
    <row r="1848" spans="8:18" x14ac:dyDescent="0.2">
      <c r="H1848" s="180"/>
      <c r="P1848" s="180" t="s">
        <v>257</v>
      </c>
      <c r="R1848" s="180" t="s">
        <v>257</v>
      </c>
    </row>
    <row r="1849" spans="8:18" x14ac:dyDescent="0.2">
      <c r="H1849" s="180"/>
      <c r="P1849" s="180" t="s">
        <v>257</v>
      </c>
      <c r="R1849" s="180" t="s">
        <v>257</v>
      </c>
    </row>
    <row r="1850" spans="8:18" x14ac:dyDescent="0.2">
      <c r="H1850" s="180"/>
      <c r="P1850" s="180" t="s">
        <v>257</v>
      </c>
      <c r="R1850" s="180" t="s">
        <v>257</v>
      </c>
    </row>
    <row r="1851" spans="8:18" x14ac:dyDescent="0.2">
      <c r="H1851" s="180"/>
      <c r="P1851" s="180" t="s">
        <v>257</v>
      </c>
      <c r="R1851" s="180" t="s">
        <v>257</v>
      </c>
    </row>
    <row r="1852" spans="8:18" x14ac:dyDescent="0.2">
      <c r="H1852" s="180"/>
      <c r="P1852" s="180" t="s">
        <v>257</v>
      </c>
      <c r="R1852" s="180" t="s">
        <v>257</v>
      </c>
    </row>
    <row r="1853" spans="8:18" x14ac:dyDescent="0.2">
      <c r="H1853" s="180"/>
      <c r="P1853" s="180" t="s">
        <v>257</v>
      </c>
      <c r="R1853" s="180" t="s">
        <v>257</v>
      </c>
    </row>
    <row r="1854" spans="8:18" x14ac:dyDescent="0.2">
      <c r="H1854" s="180"/>
      <c r="P1854" s="180" t="s">
        <v>257</v>
      </c>
      <c r="R1854" s="180" t="s">
        <v>257</v>
      </c>
    </row>
    <row r="1855" spans="8:18" x14ac:dyDescent="0.2">
      <c r="H1855" s="180"/>
      <c r="P1855" s="180" t="s">
        <v>257</v>
      </c>
      <c r="R1855" s="180" t="s">
        <v>257</v>
      </c>
    </row>
    <row r="1856" spans="8:18" x14ac:dyDescent="0.2">
      <c r="H1856" s="180"/>
      <c r="P1856" s="180" t="s">
        <v>257</v>
      </c>
      <c r="R1856" s="180" t="s">
        <v>257</v>
      </c>
    </row>
    <row r="1857" spans="8:18" x14ac:dyDescent="0.2">
      <c r="H1857" s="180"/>
      <c r="P1857" s="180" t="s">
        <v>257</v>
      </c>
      <c r="R1857" s="180" t="s">
        <v>257</v>
      </c>
    </row>
    <row r="1858" spans="8:18" x14ac:dyDescent="0.2">
      <c r="H1858" s="180"/>
      <c r="P1858" s="180" t="s">
        <v>257</v>
      </c>
      <c r="R1858" s="180" t="s">
        <v>257</v>
      </c>
    </row>
    <row r="1859" spans="8:18" x14ac:dyDescent="0.2">
      <c r="H1859" s="180"/>
      <c r="P1859" s="180" t="s">
        <v>257</v>
      </c>
      <c r="R1859" s="180" t="s">
        <v>257</v>
      </c>
    </row>
    <row r="1860" spans="8:18" x14ac:dyDescent="0.2">
      <c r="H1860" s="180"/>
      <c r="P1860" s="180" t="s">
        <v>257</v>
      </c>
      <c r="R1860" s="180" t="s">
        <v>257</v>
      </c>
    </row>
    <row r="1861" spans="8:18" x14ac:dyDescent="0.2">
      <c r="H1861" s="180"/>
      <c r="P1861" s="180" t="s">
        <v>257</v>
      </c>
      <c r="R1861" s="180" t="s">
        <v>257</v>
      </c>
    </row>
    <row r="1862" spans="8:18" x14ac:dyDescent="0.2">
      <c r="H1862" s="180"/>
      <c r="P1862" s="180" t="s">
        <v>257</v>
      </c>
      <c r="R1862" s="180" t="s">
        <v>257</v>
      </c>
    </row>
    <row r="1863" spans="8:18" x14ac:dyDescent="0.2">
      <c r="H1863" s="180"/>
      <c r="P1863" s="180" t="s">
        <v>257</v>
      </c>
      <c r="R1863" s="180" t="s">
        <v>257</v>
      </c>
    </row>
    <row r="1864" spans="8:18" x14ac:dyDescent="0.2">
      <c r="H1864" s="180"/>
      <c r="P1864" s="180" t="s">
        <v>257</v>
      </c>
      <c r="R1864" s="180" t="s">
        <v>257</v>
      </c>
    </row>
    <row r="1865" spans="8:18" x14ac:dyDescent="0.2">
      <c r="H1865" s="180"/>
      <c r="P1865" s="180" t="s">
        <v>257</v>
      </c>
      <c r="R1865" s="180" t="s">
        <v>257</v>
      </c>
    </row>
    <row r="1866" spans="8:18" x14ac:dyDescent="0.2">
      <c r="H1866" s="180"/>
      <c r="P1866" s="180" t="s">
        <v>257</v>
      </c>
      <c r="R1866" s="180" t="s">
        <v>257</v>
      </c>
    </row>
    <row r="1867" spans="8:18" x14ac:dyDescent="0.2">
      <c r="H1867" s="180"/>
      <c r="P1867" s="180" t="s">
        <v>257</v>
      </c>
      <c r="R1867" s="180" t="s">
        <v>257</v>
      </c>
    </row>
    <row r="1868" spans="8:18" x14ac:dyDescent="0.2">
      <c r="H1868" s="180"/>
      <c r="P1868" s="180" t="s">
        <v>257</v>
      </c>
      <c r="R1868" s="180" t="s">
        <v>257</v>
      </c>
    </row>
    <row r="1869" spans="8:18" x14ac:dyDescent="0.2">
      <c r="H1869" s="180"/>
      <c r="P1869" s="180" t="s">
        <v>257</v>
      </c>
      <c r="R1869" s="180" t="s">
        <v>257</v>
      </c>
    </row>
    <row r="1870" spans="8:18" x14ac:dyDescent="0.2">
      <c r="H1870" s="180"/>
      <c r="P1870" s="180" t="s">
        <v>257</v>
      </c>
      <c r="R1870" s="180" t="s">
        <v>257</v>
      </c>
    </row>
    <row r="1871" spans="8:18" x14ac:dyDescent="0.2">
      <c r="H1871" s="180"/>
      <c r="P1871" s="180" t="s">
        <v>257</v>
      </c>
      <c r="R1871" s="180" t="s">
        <v>257</v>
      </c>
    </row>
    <row r="1872" spans="8:18" x14ac:dyDescent="0.2">
      <c r="H1872" s="180"/>
      <c r="P1872" s="180" t="s">
        <v>257</v>
      </c>
      <c r="R1872" s="180" t="s">
        <v>257</v>
      </c>
    </row>
    <row r="1873" spans="8:18" x14ac:dyDescent="0.2">
      <c r="H1873" s="180"/>
      <c r="P1873" s="180" t="s">
        <v>257</v>
      </c>
      <c r="R1873" s="180" t="s">
        <v>257</v>
      </c>
    </row>
    <row r="1874" spans="8:18" x14ac:dyDescent="0.2">
      <c r="H1874" s="180"/>
      <c r="P1874" s="180" t="s">
        <v>257</v>
      </c>
      <c r="R1874" s="180" t="s">
        <v>257</v>
      </c>
    </row>
    <row r="1875" spans="8:18" x14ac:dyDescent="0.2">
      <c r="H1875" s="180"/>
      <c r="P1875" s="180" t="s">
        <v>257</v>
      </c>
      <c r="R1875" s="180" t="s">
        <v>257</v>
      </c>
    </row>
    <row r="1876" spans="8:18" x14ac:dyDescent="0.2">
      <c r="H1876" s="180"/>
      <c r="P1876" s="180" t="s">
        <v>257</v>
      </c>
      <c r="R1876" s="180" t="s">
        <v>257</v>
      </c>
    </row>
    <row r="1877" spans="8:18" x14ac:dyDescent="0.2">
      <c r="H1877" s="180"/>
      <c r="P1877" s="180" t="s">
        <v>257</v>
      </c>
      <c r="R1877" s="180" t="s">
        <v>257</v>
      </c>
    </row>
    <row r="1878" spans="8:18" x14ac:dyDescent="0.2">
      <c r="H1878" s="180"/>
      <c r="P1878" s="180" t="s">
        <v>257</v>
      </c>
      <c r="R1878" s="180" t="s">
        <v>257</v>
      </c>
    </row>
    <row r="1879" spans="8:18" x14ac:dyDescent="0.2">
      <c r="H1879" s="180"/>
      <c r="P1879" s="180" t="s">
        <v>257</v>
      </c>
      <c r="R1879" s="180" t="s">
        <v>257</v>
      </c>
    </row>
    <row r="1880" spans="8:18" x14ac:dyDescent="0.2">
      <c r="H1880" s="180"/>
      <c r="P1880" s="180" t="s">
        <v>257</v>
      </c>
      <c r="R1880" s="180" t="s">
        <v>257</v>
      </c>
    </row>
    <row r="1881" spans="8:18" x14ac:dyDescent="0.2">
      <c r="H1881" s="180"/>
      <c r="P1881" s="180" t="s">
        <v>257</v>
      </c>
      <c r="R1881" s="180" t="s">
        <v>257</v>
      </c>
    </row>
    <row r="1882" spans="8:18" x14ac:dyDescent="0.2">
      <c r="H1882" s="180"/>
      <c r="P1882" s="180" t="s">
        <v>257</v>
      </c>
      <c r="R1882" s="180" t="s">
        <v>257</v>
      </c>
    </row>
    <row r="1883" spans="8:18" x14ac:dyDescent="0.2">
      <c r="H1883" s="180"/>
      <c r="P1883" s="180" t="s">
        <v>257</v>
      </c>
      <c r="R1883" s="180" t="s">
        <v>257</v>
      </c>
    </row>
    <row r="1884" spans="8:18" x14ac:dyDescent="0.2">
      <c r="H1884" s="180"/>
      <c r="P1884" s="180" t="s">
        <v>257</v>
      </c>
      <c r="R1884" s="180" t="s">
        <v>257</v>
      </c>
    </row>
    <row r="1885" spans="8:18" x14ac:dyDescent="0.2">
      <c r="H1885" s="180"/>
      <c r="P1885" s="180" t="s">
        <v>257</v>
      </c>
      <c r="R1885" s="180" t="s">
        <v>257</v>
      </c>
    </row>
    <row r="1886" spans="8:18" x14ac:dyDescent="0.2">
      <c r="H1886" s="180"/>
      <c r="P1886" s="180" t="s">
        <v>257</v>
      </c>
      <c r="R1886" s="180" t="s">
        <v>257</v>
      </c>
    </row>
    <row r="1887" spans="8:18" x14ac:dyDescent="0.2">
      <c r="H1887" s="180"/>
      <c r="P1887" s="180" t="s">
        <v>257</v>
      </c>
      <c r="R1887" s="180" t="s">
        <v>257</v>
      </c>
    </row>
    <row r="1888" spans="8:18" x14ac:dyDescent="0.2">
      <c r="H1888" s="180"/>
      <c r="P1888" s="180" t="s">
        <v>257</v>
      </c>
      <c r="R1888" s="180" t="s">
        <v>257</v>
      </c>
    </row>
    <row r="1889" spans="8:18" x14ac:dyDescent="0.2">
      <c r="H1889" s="180"/>
      <c r="P1889" s="180" t="s">
        <v>257</v>
      </c>
      <c r="R1889" s="180" t="s">
        <v>257</v>
      </c>
    </row>
    <row r="1890" spans="8:18" x14ac:dyDescent="0.2">
      <c r="H1890" s="180"/>
      <c r="P1890" s="180" t="s">
        <v>257</v>
      </c>
      <c r="R1890" s="180" t="s">
        <v>257</v>
      </c>
    </row>
    <row r="1891" spans="8:18" x14ac:dyDescent="0.2">
      <c r="H1891" s="180"/>
      <c r="P1891" s="180" t="s">
        <v>257</v>
      </c>
      <c r="R1891" s="180" t="s">
        <v>257</v>
      </c>
    </row>
    <row r="1892" spans="8:18" x14ac:dyDescent="0.2">
      <c r="H1892" s="180"/>
      <c r="P1892" s="180" t="s">
        <v>257</v>
      </c>
      <c r="R1892" s="180" t="s">
        <v>257</v>
      </c>
    </row>
    <row r="1893" spans="8:18" x14ac:dyDescent="0.2">
      <c r="H1893" s="180"/>
      <c r="P1893" s="180" t="s">
        <v>257</v>
      </c>
      <c r="R1893" s="180" t="s">
        <v>257</v>
      </c>
    </row>
    <row r="1894" spans="8:18" x14ac:dyDescent="0.2">
      <c r="H1894" s="180"/>
      <c r="P1894" s="180" t="s">
        <v>257</v>
      </c>
      <c r="R1894" s="180" t="s">
        <v>257</v>
      </c>
    </row>
    <row r="1895" spans="8:18" x14ac:dyDescent="0.2">
      <c r="H1895" s="180"/>
      <c r="P1895" s="180" t="s">
        <v>257</v>
      </c>
      <c r="R1895" s="180" t="s">
        <v>257</v>
      </c>
    </row>
    <row r="1896" spans="8:18" x14ac:dyDescent="0.2">
      <c r="H1896" s="180"/>
      <c r="P1896" s="180" t="s">
        <v>257</v>
      </c>
      <c r="R1896" s="180" t="s">
        <v>257</v>
      </c>
    </row>
    <row r="1897" spans="8:18" x14ac:dyDescent="0.2">
      <c r="H1897" s="180"/>
      <c r="P1897" s="180" t="s">
        <v>257</v>
      </c>
      <c r="R1897" s="180" t="s">
        <v>257</v>
      </c>
    </row>
    <row r="1898" spans="8:18" x14ac:dyDescent="0.2">
      <c r="H1898" s="180"/>
      <c r="P1898" s="180" t="s">
        <v>257</v>
      </c>
      <c r="R1898" s="180" t="s">
        <v>257</v>
      </c>
    </row>
    <row r="1899" spans="8:18" x14ac:dyDescent="0.2">
      <c r="H1899" s="180"/>
      <c r="P1899" s="180" t="s">
        <v>257</v>
      </c>
      <c r="R1899" s="180" t="s">
        <v>257</v>
      </c>
    </row>
    <row r="1900" spans="8:18" x14ac:dyDescent="0.2">
      <c r="H1900" s="180"/>
      <c r="P1900" s="180" t="s">
        <v>257</v>
      </c>
      <c r="R1900" s="180" t="s">
        <v>257</v>
      </c>
    </row>
    <row r="1901" spans="8:18" x14ac:dyDescent="0.2">
      <c r="H1901" s="180"/>
      <c r="P1901" s="180" t="s">
        <v>257</v>
      </c>
      <c r="R1901" s="180" t="s">
        <v>257</v>
      </c>
    </row>
    <row r="1902" spans="8:18" x14ac:dyDescent="0.2">
      <c r="H1902" s="180"/>
      <c r="P1902" s="180" t="s">
        <v>257</v>
      </c>
      <c r="R1902" s="180" t="s">
        <v>257</v>
      </c>
    </row>
    <row r="1903" spans="8:18" x14ac:dyDescent="0.2">
      <c r="H1903" s="180"/>
      <c r="P1903" s="180" t="s">
        <v>257</v>
      </c>
      <c r="R1903" s="180" t="s">
        <v>257</v>
      </c>
    </row>
    <row r="1904" spans="8:18" x14ac:dyDescent="0.2">
      <c r="H1904" s="180"/>
      <c r="P1904" s="180" t="s">
        <v>257</v>
      </c>
      <c r="R1904" s="180" t="s">
        <v>257</v>
      </c>
    </row>
    <row r="1905" spans="8:18" x14ac:dyDescent="0.2">
      <c r="H1905" s="180"/>
      <c r="P1905" s="180" t="s">
        <v>257</v>
      </c>
      <c r="R1905" s="180" t="s">
        <v>257</v>
      </c>
    </row>
    <row r="1906" spans="8:18" x14ac:dyDescent="0.2">
      <c r="H1906" s="180"/>
      <c r="P1906" s="180" t="s">
        <v>257</v>
      </c>
      <c r="R1906" s="180" t="s">
        <v>257</v>
      </c>
    </row>
    <row r="1907" spans="8:18" x14ac:dyDescent="0.2">
      <c r="H1907" s="180"/>
      <c r="P1907" s="180" t="s">
        <v>257</v>
      </c>
      <c r="R1907" s="180" t="s">
        <v>257</v>
      </c>
    </row>
    <row r="1908" spans="8:18" x14ac:dyDescent="0.2">
      <c r="H1908" s="180"/>
      <c r="P1908" s="180" t="s">
        <v>257</v>
      </c>
      <c r="R1908" s="180" t="s">
        <v>257</v>
      </c>
    </row>
    <row r="1909" spans="8:18" x14ac:dyDescent="0.2">
      <c r="H1909" s="180"/>
      <c r="P1909" s="180" t="s">
        <v>257</v>
      </c>
      <c r="R1909" s="180" t="s">
        <v>257</v>
      </c>
    </row>
    <row r="1910" spans="8:18" x14ac:dyDescent="0.2">
      <c r="H1910" s="180"/>
      <c r="P1910" s="180" t="s">
        <v>257</v>
      </c>
      <c r="R1910" s="180" t="s">
        <v>257</v>
      </c>
    </row>
    <row r="1911" spans="8:18" x14ac:dyDescent="0.2">
      <c r="H1911" s="180"/>
      <c r="P1911" s="180" t="s">
        <v>257</v>
      </c>
      <c r="R1911" s="180" t="s">
        <v>257</v>
      </c>
    </row>
    <row r="1912" spans="8:18" x14ac:dyDescent="0.2">
      <c r="H1912" s="180"/>
      <c r="P1912" s="180" t="s">
        <v>257</v>
      </c>
      <c r="R1912" s="180" t="s">
        <v>257</v>
      </c>
    </row>
    <row r="1913" spans="8:18" x14ac:dyDescent="0.2">
      <c r="H1913" s="180"/>
      <c r="P1913" s="180" t="s">
        <v>257</v>
      </c>
      <c r="R1913" s="180" t="s">
        <v>257</v>
      </c>
    </row>
    <row r="1914" spans="8:18" x14ac:dyDescent="0.2">
      <c r="H1914" s="180"/>
      <c r="P1914" s="180" t="s">
        <v>257</v>
      </c>
      <c r="R1914" s="180" t="s">
        <v>257</v>
      </c>
    </row>
    <row r="1915" spans="8:18" x14ac:dyDescent="0.2">
      <c r="H1915" s="180"/>
      <c r="P1915" s="180" t="s">
        <v>257</v>
      </c>
      <c r="R1915" s="180" t="s">
        <v>257</v>
      </c>
    </row>
    <row r="1916" spans="8:18" x14ac:dyDescent="0.2">
      <c r="H1916" s="180"/>
      <c r="P1916" s="180" t="s">
        <v>257</v>
      </c>
      <c r="R1916" s="180" t="s">
        <v>257</v>
      </c>
    </row>
    <row r="1917" spans="8:18" x14ac:dyDescent="0.2">
      <c r="H1917" s="180"/>
      <c r="P1917" s="180" t="s">
        <v>257</v>
      </c>
      <c r="R1917" s="180" t="s">
        <v>257</v>
      </c>
    </row>
    <row r="1918" spans="8:18" x14ac:dyDescent="0.2">
      <c r="H1918" s="180"/>
      <c r="P1918" s="180" t="s">
        <v>257</v>
      </c>
      <c r="R1918" s="180" t="s">
        <v>257</v>
      </c>
    </row>
    <row r="1919" spans="8:18" x14ac:dyDescent="0.2">
      <c r="H1919" s="180"/>
      <c r="P1919" s="180" t="s">
        <v>257</v>
      </c>
      <c r="R1919" s="180" t="s">
        <v>257</v>
      </c>
    </row>
    <row r="1920" spans="8:18" x14ac:dyDescent="0.2">
      <c r="H1920" s="180"/>
      <c r="P1920" s="180" t="s">
        <v>257</v>
      </c>
      <c r="R1920" s="180" t="s">
        <v>257</v>
      </c>
    </row>
    <row r="1921" spans="8:18" x14ac:dyDescent="0.2">
      <c r="H1921" s="180"/>
      <c r="P1921" s="180" t="s">
        <v>257</v>
      </c>
      <c r="R1921" s="180" t="s">
        <v>257</v>
      </c>
    </row>
    <row r="1922" spans="8:18" x14ac:dyDescent="0.2">
      <c r="H1922" s="180"/>
      <c r="P1922" s="180" t="s">
        <v>257</v>
      </c>
      <c r="R1922" s="180" t="s">
        <v>257</v>
      </c>
    </row>
    <row r="1923" spans="8:18" x14ac:dyDescent="0.2">
      <c r="H1923" s="180"/>
      <c r="P1923" s="180" t="s">
        <v>257</v>
      </c>
      <c r="R1923" s="180" t="s">
        <v>257</v>
      </c>
    </row>
    <row r="1924" spans="8:18" x14ac:dyDescent="0.2">
      <c r="H1924" s="180"/>
      <c r="P1924" s="180" t="s">
        <v>257</v>
      </c>
      <c r="R1924" s="180" t="s">
        <v>257</v>
      </c>
    </row>
    <row r="1925" spans="8:18" x14ac:dyDescent="0.2">
      <c r="H1925" s="180"/>
      <c r="P1925" s="180" t="s">
        <v>257</v>
      </c>
      <c r="R1925" s="180" t="s">
        <v>257</v>
      </c>
    </row>
    <row r="1926" spans="8:18" x14ac:dyDescent="0.2">
      <c r="H1926" s="180"/>
      <c r="P1926" s="180" t="s">
        <v>257</v>
      </c>
      <c r="R1926" s="180" t="s">
        <v>257</v>
      </c>
    </row>
    <row r="1927" spans="8:18" x14ac:dyDescent="0.2">
      <c r="H1927" s="180"/>
      <c r="P1927" s="180" t="s">
        <v>257</v>
      </c>
      <c r="R1927" s="180" t="s">
        <v>257</v>
      </c>
    </row>
    <row r="1928" spans="8:18" x14ac:dyDescent="0.2">
      <c r="H1928" s="180"/>
      <c r="P1928" s="180" t="s">
        <v>257</v>
      </c>
      <c r="R1928" s="180" t="s">
        <v>257</v>
      </c>
    </row>
    <row r="1929" spans="8:18" x14ac:dyDescent="0.2">
      <c r="H1929" s="180"/>
      <c r="P1929" s="180" t="s">
        <v>257</v>
      </c>
      <c r="R1929" s="180" t="s">
        <v>257</v>
      </c>
    </row>
    <row r="1930" spans="8:18" x14ac:dyDescent="0.2">
      <c r="H1930" s="180"/>
      <c r="P1930" s="180" t="s">
        <v>257</v>
      </c>
      <c r="R1930" s="180" t="s">
        <v>257</v>
      </c>
    </row>
    <row r="1931" spans="8:18" x14ac:dyDescent="0.2">
      <c r="H1931" s="180"/>
      <c r="P1931" s="180" t="s">
        <v>257</v>
      </c>
      <c r="R1931" s="180" t="s">
        <v>257</v>
      </c>
    </row>
    <row r="1932" spans="8:18" x14ac:dyDescent="0.2">
      <c r="H1932" s="180"/>
      <c r="P1932" s="180" t="s">
        <v>257</v>
      </c>
      <c r="R1932" s="180" t="s">
        <v>257</v>
      </c>
    </row>
    <row r="1933" spans="8:18" x14ac:dyDescent="0.2">
      <c r="H1933" s="180"/>
      <c r="P1933" s="180" t="s">
        <v>257</v>
      </c>
      <c r="R1933" s="180" t="s">
        <v>257</v>
      </c>
    </row>
    <row r="1934" spans="8:18" x14ac:dyDescent="0.2">
      <c r="H1934" s="180"/>
      <c r="P1934" s="180" t="s">
        <v>257</v>
      </c>
      <c r="R1934" s="180" t="s">
        <v>257</v>
      </c>
    </row>
    <row r="1935" spans="8:18" x14ac:dyDescent="0.2">
      <c r="H1935" s="180"/>
      <c r="P1935" s="180" t="s">
        <v>257</v>
      </c>
      <c r="R1935" s="180" t="s">
        <v>257</v>
      </c>
    </row>
    <row r="1936" spans="8:18" x14ac:dyDescent="0.2">
      <c r="H1936" s="180"/>
      <c r="P1936" s="180" t="s">
        <v>257</v>
      </c>
      <c r="R1936" s="180" t="s">
        <v>257</v>
      </c>
    </row>
    <row r="1937" spans="8:18" x14ac:dyDescent="0.2">
      <c r="H1937" s="180"/>
      <c r="P1937" s="180" t="s">
        <v>257</v>
      </c>
      <c r="R1937" s="180" t="s">
        <v>257</v>
      </c>
    </row>
    <row r="1938" spans="8:18" x14ac:dyDescent="0.2">
      <c r="H1938" s="180"/>
      <c r="P1938" s="180" t="s">
        <v>257</v>
      </c>
      <c r="R1938" s="180" t="s">
        <v>257</v>
      </c>
    </row>
    <row r="1939" spans="8:18" x14ac:dyDescent="0.2">
      <c r="H1939" s="180"/>
      <c r="P1939" s="180" t="s">
        <v>257</v>
      </c>
      <c r="R1939" s="180" t="s">
        <v>257</v>
      </c>
    </row>
    <row r="1940" spans="8:18" x14ac:dyDescent="0.2">
      <c r="H1940" s="180"/>
      <c r="P1940" s="180" t="s">
        <v>257</v>
      </c>
      <c r="R1940" s="180" t="s">
        <v>257</v>
      </c>
    </row>
    <row r="1941" spans="8:18" x14ac:dyDescent="0.2">
      <c r="H1941" s="180"/>
      <c r="P1941" s="180" t="s">
        <v>257</v>
      </c>
      <c r="R1941" s="180" t="s">
        <v>257</v>
      </c>
    </row>
    <row r="1942" spans="8:18" x14ac:dyDescent="0.2">
      <c r="H1942" s="180"/>
      <c r="P1942" s="180" t="s">
        <v>257</v>
      </c>
      <c r="R1942" s="180" t="s">
        <v>257</v>
      </c>
    </row>
    <row r="1943" spans="8:18" x14ac:dyDescent="0.2">
      <c r="H1943" s="180"/>
      <c r="P1943" s="180" t="s">
        <v>257</v>
      </c>
      <c r="R1943" s="180" t="s">
        <v>257</v>
      </c>
    </row>
    <row r="1944" spans="8:18" x14ac:dyDescent="0.2">
      <c r="H1944" s="180"/>
      <c r="P1944" s="180" t="s">
        <v>257</v>
      </c>
      <c r="R1944" s="180" t="s">
        <v>257</v>
      </c>
    </row>
    <row r="1945" spans="8:18" x14ac:dyDescent="0.2">
      <c r="H1945" s="180"/>
      <c r="P1945" s="180" t="s">
        <v>257</v>
      </c>
      <c r="R1945" s="180" t="s">
        <v>257</v>
      </c>
    </row>
    <row r="1946" spans="8:18" x14ac:dyDescent="0.2">
      <c r="H1946" s="180"/>
      <c r="P1946" s="180" t="s">
        <v>257</v>
      </c>
      <c r="R1946" s="180" t="s">
        <v>257</v>
      </c>
    </row>
    <row r="1947" spans="8:18" x14ac:dyDescent="0.2">
      <c r="H1947" s="180"/>
      <c r="P1947" s="180" t="s">
        <v>257</v>
      </c>
      <c r="R1947" s="180" t="s">
        <v>257</v>
      </c>
    </row>
    <row r="1948" spans="8:18" x14ac:dyDescent="0.2">
      <c r="H1948" s="180"/>
      <c r="P1948" s="180" t="s">
        <v>257</v>
      </c>
      <c r="R1948" s="180" t="s">
        <v>257</v>
      </c>
    </row>
    <row r="1949" spans="8:18" x14ac:dyDescent="0.2">
      <c r="H1949" s="180"/>
      <c r="P1949" s="180" t="s">
        <v>257</v>
      </c>
      <c r="R1949" s="180" t="s">
        <v>257</v>
      </c>
    </row>
    <row r="1950" spans="8:18" x14ac:dyDescent="0.2">
      <c r="H1950" s="180"/>
      <c r="P1950" s="180" t="s">
        <v>257</v>
      </c>
      <c r="R1950" s="180" t="s">
        <v>257</v>
      </c>
    </row>
    <row r="1951" spans="8:18" x14ac:dyDescent="0.2">
      <c r="H1951" s="180"/>
      <c r="P1951" s="180" t="s">
        <v>257</v>
      </c>
      <c r="R1951" s="180" t="s">
        <v>257</v>
      </c>
    </row>
    <row r="1952" spans="8:18" x14ac:dyDescent="0.2">
      <c r="H1952" s="180"/>
      <c r="P1952" s="180" t="s">
        <v>257</v>
      </c>
      <c r="R1952" s="180" t="s">
        <v>257</v>
      </c>
    </row>
    <row r="1953" spans="8:18" x14ac:dyDescent="0.2">
      <c r="H1953" s="180"/>
      <c r="P1953" s="180" t="s">
        <v>257</v>
      </c>
      <c r="R1953" s="180" t="s">
        <v>257</v>
      </c>
    </row>
    <row r="1954" spans="8:18" x14ac:dyDescent="0.2">
      <c r="H1954" s="180"/>
      <c r="P1954" s="180" t="s">
        <v>257</v>
      </c>
      <c r="R1954" s="180" t="s">
        <v>257</v>
      </c>
    </row>
    <row r="1955" spans="8:18" x14ac:dyDescent="0.2">
      <c r="H1955" s="180"/>
      <c r="P1955" s="180" t="s">
        <v>257</v>
      </c>
      <c r="R1955" s="180" t="s">
        <v>257</v>
      </c>
    </row>
    <row r="1956" spans="8:18" x14ac:dyDescent="0.2">
      <c r="H1956" s="180"/>
      <c r="P1956" s="180" t="s">
        <v>257</v>
      </c>
      <c r="R1956" s="180" t="s">
        <v>257</v>
      </c>
    </row>
    <row r="1957" spans="8:18" x14ac:dyDescent="0.2">
      <c r="H1957" s="180"/>
      <c r="P1957" s="180" t="s">
        <v>257</v>
      </c>
      <c r="R1957" s="180" t="s">
        <v>257</v>
      </c>
    </row>
    <row r="1958" spans="8:18" x14ac:dyDescent="0.2">
      <c r="H1958" s="180"/>
      <c r="P1958" s="180" t="s">
        <v>257</v>
      </c>
      <c r="R1958" s="180" t="s">
        <v>257</v>
      </c>
    </row>
    <row r="1959" spans="8:18" x14ac:dyDescent="0.2">
      <c r="H1959" s="180"/>
      <c r="P1959" s="180" t="s">
        <v>257</v>
      </c>
      <c r="R1959" s="180" t="s">
        <v>257</v>
      </c>
    </row>
    <row r="1960" spans="8:18" x14ac:dyDescent="0.2">
      <c r="H1960" s="180"/>
      <c r="P1960" s="180" t="s">
        <v>257</v>
      </c>
      <c r="R1960" s="180" t="s">
        <v>257</v>
      </c>
    </row>
    <row r="1961" spans="8:18" x14ac:dyDescent="0.2">
      <c r="H1961" s="180"/>
      <c r="P1961" s="180" t="s">
        <v>257</v>
      </c>
      <c r="R1961" s="180" t="s">
        <v>257</v>
      </c>
    </row>
    <row r="1962" spans="8:18" x14ac:dyDescent="0.2">
      <c r="H1962" s="180"/>
      <c r="P1962" s="180" t="s">
        <v>257</v>
      </c>
      <c r="R1962" s="180" t="s">
        <v>257</v>
      </c>
    </row>
    <row r="1963" spans="8:18" x14ac:dyDescent="0.2">
      <c r="H1963" s="180"/>
      <c r="P1963" s="180" t="s">
        <v>257</v>
      </c>
      <c r="R1963" s="180" t="s">
        <v>257</v>
      </c>
    </row>
    <row r="1964" spans="8:18" x14ac:dyDescent="0.2">
      <c r="H1964" s="180"/>
      <c r="P1964" s="180" t="s">
        <v>257</v>
      </c>
      <c r="R1964" s="180" t="s">
        <v>257</v>
      </c>
    </row>
    <row r="1965" spans="8:18" x14ac:dyDescent="0.2">
      <c r="H1965" s="180"/>
      <c r="P1965" s="180" t="s">
        <v>257</v>
      </c>
      <c r="R1965" s="180" t="s">
        <v>257</v>
      </c>
    </row>
    <row r="1966" spans="8:18" x14ac:dyDescent="0.2">
      <c r="H1966" s="180"/>
      <c r="P1966" s="180" t="s">
        <v>257</v>
      </c>
      <c r="R1966" s="180" t="s">
        <v>257</v>
      </c>
    </row>
    <row r="1967" spans="8:18" x14ac:dyDescent="0.2">
      <c r="H1967" s="180"/>
      <c r="P1967" s="180" t="s">
        <v>257</v>
      </c>
      <c r="R1967" s="180" t="s">
        <v>257</v>
      </c>
    </row>
    <row r="1968" spans="8:18" x14ac:dyDescent="0.2">
      <c r="H1968" s="180"/>
      <c r="P1968" s="180" t="s">
        <v>257</v>
      </c>
      <c r="R1968" s="180" t="s">
        <v>257</v>
      </c>
    </row>
    <row r="1969" spans="8:18" x14ac:dyDescent="0.2">
      <c r="H1969" s="180"/>
      <c r="P1969" s="180" t="s">
        <v>257</v>
      </c>
      <c r="R1969" s="180" t="s">
        <v>257</v>
      </c>
    </row>
    <row r="1970" spans="8:18" x14ac:dyDescent="0.2">
      <c r="H1970" s="180"/>
      <c r="P1970" s="180" t="s">
        <v>257</v>
      </c>
      <c r="R1970" s="180" t="s">
        <v>257</v>
      </c>
    </row>
    <row r="1971" spans="8:18" x14ac:dyDescent="0.2">
      <c r="H1971" s="180"/>
      <c r="P1971" s="180" t="s">
        <v>257</v>
      </c>
      <c r="R1971" s="180" t="s">
        <v>257</v>
      </c>
    </row>
    <row r="1972" spans="8:18" x14ac:dyDescent="0.2">
      <c r="H1972" s="180"/>
      <c r="P1972" s="180" t="s">
        <v>257</v>
      </c>
      <c r="R1972" s="180" t="s">
        <v>257</v>
      </c>
    </row>
    <row r="1973" spans="8:18" x14ac:dyDescent="0.2">
      <c r="H1973" s="180"/>
      <c r="P1973" s="180" t="s">
        <v>257</v>
      </c>
      <c r="R1973" s="180" t="s">
        <v>257</v>
      </c>
    </row>
    <row r="1974" spans="8:18" x14ac:dyDescent="0.2">
      <c r="H1974" s="180"/>
      <c r="P1974" s="180" t="s">
        <v>257</v>
      </c>
      <c r="R1974" s="180" t="s">
        <v>257</v>
      </c>
    </row>
    <row r="1975" spans="8:18" x14ac:dyDescent="0.2">
      <c r="H1975" s="180"/>
      <c r="P1975" s="180" t="s">
        <v>257</v>
      </c>
      <c r="R1975" s="180" t="s">
        <v>257</v>
      </c>
    </row>
    <row r="1976" spans="8:18" x14ac:dyDescent="0.2">
      <c r="H1976" s="180"/>
      <c r="P1976" s="180" t="s">
        <v>257</v>
      </c>
      <c r="R1976" s="180" t="s">
        <v>257</v>
      </c>
    </row>
    <row r="1977" spans="8:18" x14ac:dyDescent="0.2">
      <c r="H1977" s="180"/>
      <c r="P1977" s="180" t="s">
        <v>257</v>
      </c>
      <c r="R1977" s="180" t="s">
        <v>257</v>
      </c>
    </row>
    <row r="1978" spans="8:18" x14ac:dyDescent="0.2">
      <c r="H1978" s="180"/>
      <c r="P1978" s="180" t="s">
        <v>257</v>
      </c>
      <c r="R1978" s="180" t="s">
        <v>257</v>
      </c>
    </row>
    <row r="1979" spans="8:18" x14ac:dyDescent="0.2">
      <c r="H1979" s="180"/>
      <c r="P1979" s="180" t="s">
        <v>257</v>
      </c>
      <c r="R1979" s="180" t="s">
        <v>257</v>
      </c>
    </row>
    <row r="1980" spans="8:18" x14ac:dyDescent="0.2">
      <c r="H1980" s="180"/>
      <c r="P1980" s="180" t="s">
        <v>257</v>
      </c>
      <c r="R1980" s="180" t="s">
        <v>257</v>
      </c>
    </row>
    <row r="1981" spans="8:18" x14ac:dyDescent="0.2">
      <c r="H1981" s="180"/>
      <c r="P1981" s="180" t="s">
        <v>257</v>
      </c>
      <c r="R1981" s="180" t="s">
        <v>257</v>
      </c>
    </row>
    <row r="1982" spans="8:18" x14ac:dyDescent="0.2">
      <c r="H1982" s="180"/>
      <c r="P1982" s="180" t="s">
        <v>257</v>
      </c>
      <c r="R1982" s="180" t="s">
        <v>257</v>
      </c>
    </row>
    <row r="1983" spans="8:18" x14ac:dyDescent="0.2">
      <c r="H1983" s="180"/>
      <c r="P1983" s="180" t="s">
        <v>257</v>
      </c>
      <c r="R1983" s="180" t="s">
        <v>257</v>
      </c>
    </row>
    <row r="1984" spans="8:18" x14ac:dyDescent="0.2">
      <c r="H1984" s="180"/>
      <c r="P1984" s="180" t="s">
        <v>257</v>
      </c>
      <c r="R1984" s="180" t="s">
        <v>257</v>
      </c>
    </row>
    <row r="1985" spans="8:18" x14ac:dyDescent="0.2">
      <c r="H1985" s="180"/>
      <c r="P1985" s="180" t="s">
        <v>257</v>
      </c>
      <c r="R1985" s="180" t="s">
        <v>257</v>
      </c>
    </row>
    <row r="1986" spans="8:18" x14ac:dyDescent="0.2">
      <c r="H1986" s="180"/>
      <c r="P1986" s="180" t="s">
        <v>257</v>
      </c>
      <c r="R1986" s="180" t="s">
        <v>257</v>
      </c>
    </row>
    <row r="1987" spans="8:18" x14ac:dyDescent="0.2">
      <c r="H1987" s="180"/>
      <c r="P1987" s="180" t="s">
        <v>257</v>
      </c>
      <c r="R1987" s="180" t="s">
        <v>257</v>
      </c>
    </row>
    <row r="1988" spans="8:18" x14ac:dyDescent="0.2">
      <c r="H1988" s="180"/>
      <c r="P1988" s="180" t="s">
        <v>257</v>
      </c>
      <c r="R1988" s="180" t="s">
        <v>257</v>
      </c>
    </row>
    <row r="1989" spans="8:18" x14ac:dyDescent="0.2">
      <c r="H1989" s="180"/>
      <c r="P1989" s="180" t="s">
        <v>257</v>
      </c>
      <c r="R1989" s="180" t="s">
        <v>257</v>
      </c>
    </row>
    <row r="1990" spans="8:18" x14ac:dyDescent="0.2">
      <c r="H1990" s="180"/>
      <c r="P1990" s="180" t="s">
        <v>257</v>
      </c>
      <c r="R1990" s="180" t="s">
        <v>257</v>
      </c>
    </row>
    <row r="1991" spans="8:18" x14ac:dyDescent="0.2">
      <c r="H1991" s="180"/>
      <c r="P1991" s="180" t="s">
        <v>257</v>
      </c>
      <c r="R1991" s="180" t="s">
        <v>257</v>
      </c>
    </row>
    <row r="1992" spans="8:18" x14ac:dyDescent="0.2">
      <c r="H1992" s="180"/>
      <c r="P1992" s="180" t="s">
        <v>257</v>
      </c>
      <c r="R1992" s="180" t="s">
        <v>257</v>
      </c>
    </row>
    <row r="1993" spans="8:18" x14ac:dyDescent="0.2">
      <c r="H1993" s="180"/>
      <c r="P1993" s="180" t="s">
        <v>257</v>
      </c>
      <c r="R1993" s="180" t="s">
        <v>257</v>
      </c>
    </row>
    <row r="1994" spans="8:18" x14ac:dyDescent="0.2">
      <c r="H1994" s="180"/>
      <c r="P1994" s="180" t="s">
        <v>257</v>
      </c>
      <c r="R1994" s="180" t="s">
        <v>257</v>
      </c>
    </row>
    <row r="1995" spans="8:18" x14ac:dyDescent="0.2">
      <c r="H1995" s="180"/>
      <c r="P1995" s="180" t="s">
        <v>257</v>
      </c>
      <c r="R1995" s="180" t="s">
        <v>257</v>
      </c>
    </row>
    <row r="1996" spans="8:18" x14ac:dyDescent="0.2">
      <c r="H1996" s="180"/>
      <c r="P1996" s="180" t="s">
        <v>257</v>
      </c>
      <c r="R1996" s="180" t="s">
        <v>257</v>
      </c>
    </row>
    <row r="1997" spans="8:18" x14ac:dyDescent="0.2">
      <c r="H1997" s="180"/>
      <c r="P1997" s="180" t="s">
        <v>257</v>
      </c>
      <c r="R1997" s="180" t="s">
        <v>257</v>
      </c>
    </row>
    <row r="1998" spans="8:18" x14ac:dyDescent="0.2">
      <c r="H1998" s="180"/>
      <c r="P1998" s="180" t="s">
        <v>257</v>
      </c>
      <c r="R1998" s="180" t="s">
        <v>257</v>
      </c>
    </row>
    <row r="1999" spans="8:18" x14ac:dyDescent="0.2">
      <c r="H1999" s="180"/>
      <c r="P1999" s="180" t="s">
        <v>257</v>
      </c>
      <c r="R1999" s="180" t="s">
        <v>257</v>
      </c>
    </row>
    <row r="2000" spans="8:18" x14ac:dyDescent="0.2">
      <c r="H2000" s="180"/>
      <c r="P2000" s="180" t="s">
        <v>257</v>
      </c>
      <c r="R2000" s="180" t="s">
        <v>257</v>
      </c>
    </row>
    <row r="2001" spans="8:18" x14ac:dyDescent="0.2">
      <c r="H2001" s="180"/>
      <c r="P2001" s="180" t="s">
        <v>257</v>
      </c>
      <c r="R2001" s="180" t="s">
        <v>257</v>
      </c>
    </row>
    <row r="2002" spans="8:18" x14ac:dyDescent="0.2">
      <c r="H2002" s="180"/>
      <c r="P2002" s="180" t="s">
        <v>257</v>
      </c>
      <c r="R2002" s="180" t="s">
        <v>257</v>
      </c>
    </row>
    <row r="2003" spans="8:18" x14ac:dyDescent="0.2">
      <c r="H2003" s="180"/>
      <c r="P2003" s="180" t="s">
        <v>257</v>
      </c>
      <c r="R2003" s="180" t="s">
        <v>257</v>
      </c>
    </row>
    <row r="2004" spans="8:18" x14ac:dyDescent="0.2">
      <c r="H2004" s="180"/>
      <c r="P2004" s="180" t="s">
        <v>257</v>
      </c>
      <c r="R2004" s="180" t="s">
        <v>257</v>
      </c>
    </row>
    <row r="2005" spans="8:18" x14ac:dyDescent="0.2">
      <c r="H2005" s="180"/>
      <c r="P2005" s="180" t="s">
        <v>257</v>
      </c>
      <c r="R2005" s="180" t="s">
        <v>257</v>
      </c>
    </row>
    <row r="2006" spans="8:18" x14ac:dyDescent="0.2">
      <c r="H2006" s="180"/>
      <c r="P2006" s="180" t="s">
        <v>257</v>
      </c>
      <c r="R2006" s="180" t="s">
        <v>257</v>
      </c>
    </row>
    <row r="2007" spans="8:18" x14ac:dyDescent="0.2">
      <c r="H2007" s="180"/>
      <c r="P2007" s="180" t="s">
        <v>257</v>
      </c>
      <c r="R2007" s="180" t="s">
        <v>257</v>
      </c>
    </row>
    <row r="2008" spans="8:18" x14ac:dyDescent="0.2">
      <c r="H2008" s="180"/>
      <c r="P2008" s="180" t="s">
        <v>257</v>
      </c>
      <c r="R2008" s="180" t="s">
        <v>257</v>
      </c>
    </row>
    <row r="2009" spans="8:18" x14ac:dyDescent="0.2">
      <c r="H2009" s="180"/>
      <c r="P2009" s="180" t="s">
        <v>257</v>
      </c>
      <c r="R2009" s="180" t="s">
        <v>257</v>
      </c>
    </row>
    <row r="2010" spans="8:18" x14ac:dyDescent="0.2">
      <c r="H2010" s="180"/>
      <c r="P2010" s="180" t="s">
        <v>257</v>
      </c>
      <c r="R2010" s="180" t="s">
        <v>257</v>
      </c>
    </row>
    <row r="2011" spans="8:18" x14ac:dyDescent="0.2">
      <c r="H2011" s="180"/>
      <c r="P2011" s="180" t="s">
        <v>257</v>
      </c>
      <c r="R2011" s="180" t="s">
        <v>257</v>
      </c>
    </row>
    <row r="2012" spans="8:18" x14ac:dyDescent="0.2">
      <c r="H2012" s="180"/>
      <c r="P2012" s="180" t="s">
        <v>257</v>
      </c>
      <c r="R2012" s="180" t="s">
        <v>257</v>
      </c>
    </row>
    <row r="2013" spans="8:18" x14ac:dyDescent="0.2">
      <c r="H2013" s="180"/>
      <c r="P2013" s="180" t="s">
        <v>257</v>
      </c>
      <c r="R2013" s="180" t="s">
        <v>257</v>
      </c>
    </row>
    <row r="2014" spans="8:18" x14ac:dyDescent="0.2">
      <c r="H2014" s="180"/>
      <c r="P2014" s="180" t="s">
        <v>257</v>
      </c>
      <c r="R2014" s="180" t="s">
        <v>257</v>
      </c>
    </row>
    <row r="2015" spans="8:18" x14ac:dyDescent="0.2">
      <c r="H2015" s="180"/>
      <c r="P2015" s="180" t="s">
        <v>257</v>
      </c>
      <c r="R2015" s="180" t="s">
        <v>257</v>
      </c>
    </row>
    <row r="2016" spans="8:18" x14ac:dyDescent="0.2">
      <c r="H2016" s="180"/>
      <c r="P2016" s="180" t="s">
        <v>257</v>
      </c>
      <c r="R2016" s="180" t="s">
        <v>257</v>
      </c>
    </row>
    <row r="2017" spans="8:18" x14ac:dyDescent="0.2">
      <c r="H2017" s="180"/>
      <c r="P2017" s="180" t="s">
        <v>257</v>
      </c>
      <c r="R2017" s="180" t="s">
        <v>257</v>
      </c>
    </row>
    <row r="2018" spans="8:18" x14ac:dyDescent="0.2">
      <c r="H2018" s="180"/>
      <c r="P2018" s="180" t="s">
        <v>257</v>
      </c>
      <c r="R2018" s="180" t="s">
        <v>257</v>
      </c>
    </row>
    <row r="2019" spans="8:18" x14ac:dyDescent="0.2">
      <c r="H2019" s="180"/>
      <c r="P2019" s="180" t="s">
        <v>257</v>
      </c>
      <c r="R2019" s="180" t="s">
        <v>257</v>
      </c>
    </row>
    <row r="2020" spans="8:18" x14ac:dyDescent="0.2">
      <c r="H2020" s="180"/>
      <c r="P2020" s="180" t="s">
        <v>257</v>
      </c>
      <c r="R2020" s="180" t="s">
        <v>257</v>
      </c>
    </row>
    <row r="2021" spans="8:18" x14ac:dyDescent="0.2">
      <c r="H2021" s="180"/>
      <c r="P2021" s="180" t="s">
        <v>257</v>
      </c>
      <c r="R2021" s="180" t="s">
        <v>257</v>
      </c>
    </row>
    <row r="2022" spans="8:18" x14ac:dyDescent="0.2">
      <c r="H2022" s="180"/>
      <c r="P2022" s="180" t="s">
        <v>257</v>
      </c>
      <c r="R2022" s="180" t="s">
        <v>257</v>
      </c>
    </row>
    <row r="2023" spans="8:18" x14ac:dyDescent="0.2">
      <c r="H2023" s="180"/>
      <c r="P2023" s="180" t="s">
        <v>257</v>
      </c>
      <c r="R2023" s="180" t="s">
        <v>257</v>
      </c>
    </row>
    <row r="2024" spans="8:18" x14ac:dyDescent="0.2">
      <c r="H2024" s="180"/>
      <c r="P2024" s="180" t="s">
        <v>257</v>
      </c>
      <c r="R2024" s="180" t="s">
        <v>257</v>
      </c>
    </row>
    <row r="2025" spans="8:18" x14ac:dyDescent="0.2">
      <c r="H2025" s="180"/>
      <c r="P2025" s="180" t="s">
        <v>257</v>
      </c>
      <c r="R2025" s="180" t="s">
        <v>257</v>
      </c>
    </row>
    <row r="2026" spans="8:18" x14ac:dyDescent="0.2">
      <c r="H2026" s="180"/>
      <c r="P2026" s="180" t="s">
        <v>257</v>
      </c>
      <c r="R2026" s="180" t="s">
        <v>257</v>
      </c>
    </row>
    <row r="2027" spans="8:18" x14ac:dyDescent="0.2">
      <c r="H2027" s="180"/>
      <c r="P2027" s="180" t="s">
        <v>257</v>
      </c>
      <c r="R2027" s="180" t="s">
        <v>257</v>
      </c>
    </row>
    <row r="2028" spans="8:18" x14ac:dyDescent="0.2">
      <c r="H2028" s="180"/>
      <c r="P2028" s="180" t="s">
        <v>257</v>
      </c>
      <c r="R2028" s="180" t="s">
        <v>257</v>
      </c>
    </row>
    <row r="2029" spans="8:18" x14ac:dyDescent="0.2">
      <c r="H2029" s="180"/>
      <c r="P2029" s="180" t="s">
        <v>257</v>
      </c>
      <c r="R2029" s="180" t="s">
        <v>257</v>
      </c>
    </row>
    <row r="2030" spans="8:18" x14ac:dyDescent="0.2">
      <c r="H2030" s="180"/>
      <c r="P2030" s="180" t="s">
        <v>257</v>
      </c>
      <c r="R2030" s="180" t="s">
        <v>257</v>
      </c>
    </row>
    <row r="2031" spans="8:18" x14ac:dyDescent="0.2">
      <c r="H2031" s="180"/>
      <c r="P2031" s="180" t="s">
        <v>257</v>
      </c>
      <c r="R2031" s="180" t="s">
        <v>257</v>
      </c>
    </row>
    <row r="2032" spans="8:18" x14ac:dyDescent="0.2">
      <c r="H2032" s="180"/>
      <c r="P2032" s="180" t="s">
        <v>257</v>
      </c>
      <c r="R2032" s="180" t="s">
        <v>257</v>
      </c>
    </row>
    <row r="2033" spans="8:18" x14ac:dyDescent="0.2">
      <c r="H2033" s="180"/>
      <c r="P2033" s="180" t="s">
        <v>257</v>
      </c>
      <c r="R2033" s="180" t="s">
        <v>257</v>
      </c>
    </row>
    <row r="2034" spans="8:18" x14ac:dyDescent="0.2">
      <c r="H2034" s="180"/>
      <c r="P2034" s="180" t="s">
        <v>257</v>
      </c>
      <c r="R2034" s="180" t="s">
        <v>257</v>
      </c>
    </row>
    <row r="2035" spans="8:18" x14ac:dyDescent="0.2">
      <c r="H2035" s="180"/>
      <c r="P2035" s="180" t="s">
        <v>257</v>
      </c>
      <c r="R2035" s="180" t="s">
        <v>257</v>
      </c>
    </row>
    <row r="2036" spans="8:18" x14ac:dyDescent="0.2">
      <c r="H2036" s="180"/>
      <c r="P2036" s="180" t="s">
        <v>257</v>
      </c>
      <c r="R2036" s="180" t="s">
        <v>257</v>
      </c>
    </row>
    <row r="2037" spans="8:18" x14ac:dyDescent="0.2">
      <c r="H2037" s="180"/>
      <c r="P2037" s="180" t="s">
        <v>257</v>
      </c>
      <c r="R2037" s="180" t="s">
        <v>257</v>
      </c>
    </row>
    <row r="2038" spans="8:18" x14ac:dyDescent="0.2">
      <c r="H2038" s="180"/>
      <c r="P2038" s="180" t="s">
        <v>257</v>
      </c>
      <c r="R2038" s="180" t="s">
        <v>257</v>
      </c>
    </row>
    <row r="2039" spans="8:18" x14ac:dyDescent="0.2">
      <c r="H2039" s="180"/>
      <c r="P2039" s="180" t="s">
        <v>257</v>
      </c>
      <c r="R2039" s="180" t="s">
        <v>257</v>
      </c>
    </row>
    <row r="2040" spans="8:18" x14ac:dyDescent="0.2">
      <c r="H2040" s="180"/>
      <c r="P2040" s="180" t="s">
        <v>257</v>
      </c>
      <c r="R2040" s="180" t="s">
        <v>257</v>
      </c>
    </row>
    <row r="2041" spans="8:18" x14ac:dyDescent="0.2">
      <c r="H2041" s="180"/>
      <c r="P2041" s="180" t="s">
        <v>257</v>
      </c>
      <c r="R2041" s="180" t="s">
        <v>257</v>
      </c>
    </row>
    <row r="2042" spans="8:18" x14ac:dyDescent="0.2">
      <c r="H2042" s="180"/>
      <c r="P2042" s="180" t="s">
        <v>257</v>
      </c>
      <c r="R2042" s="180" t="s">
        <v>257</v>
      </c>
    </row>
    <row r="2043" spans="8:18" x14ac:dyDescent="0.2">
      <c r="H2043" s="180"/>
      <c r="P2043" s="180" t="s">
        <v>257</v>
      </c>
      <c r="R2043" s="180" t="s">
        <v>257</v>
      </c>
    </row>
    <row r="2044" spans="8:18" x14ac:dyDescent="0.2">
      <c r="H2044" s="180"/>
      <c r="P2044" s="180" t="s">
        <v>257</v>
      </c>
      <c r="R2044" s="180" t="s">
        <v>257</v>
      </c>
    </row>
    <row r="2045" spans="8:18" x14ac:dyDescent="0.2">
      <c r="H2045" s="180"/>
      <c r="P2045" s="180" t="s">
        <v>257</v>
      </c>
      <c r="R2045" s="180" t="s">
        <v>257</v>
      </c>
    </row>
    <row r="2046" spans="8:18" x14ac:dyDescent="0.2">
      <c r="H2046" s="180"/>
      <c r="P2046" s="180" t="s">
        <v>257</v>
      </c>
      <c r="R2046" s="180" t="s">
        <v>257</v>
      </c>
    </row>
    <row r="2047" spans="8:18" x14ac:dyDescent="0.2">
      <c r="H2047" s="180"/>
      <c r="P2047" s="180" t="s">
        <v>257</v>
      </c>
      <c r="R2047" s="180" t="s">
        <v>257</v>
      </c>
    </row>
    <row r="2048" spans="8:18" x14ac:dyDescent="0.2">
      <c r="H2048" s="180"/>
      <c r="P2048" s="180" t="s">
        <v>257</v>
      </c>
      <c r="R2048" s="180" t="s">
        <v>257</v>
      </c>
    </row>
    <row r="2049" spans="8:18" x14ac:dyDescent="0.2">
      <c r="H2049" s="180"/>
      <c r="P2049" s="180" t="s">
        <v>257</v>
      </c>
      <c r="R2049" s="180" t="s">
        <v>257</v>
      </c>
    </row>
    <row r="2050" spans="8:18" x14ac:dyDescent="0.2">
      <c r="H2050" s="180"/>
      <c r="P2050" s="180" t="s">
        <v>257</v>
      </c>
      <c r="R2050" s="180" t="s">
        <v>257</v>
      </c>
    </row>
    <row r="2051" spans="8:18" x14ac:dyDescent="0.2">
      <c r="H2051" s="180"/>
      <c r="P2051" s="180" t="s">
        <v>257</v>
      </c>
      <c r="R2051" s="180" t="s">
        <v>257</v>
      </c>
    </row>
    <row r="2052" spans="8:18" x14ac:dyDescent="0.2">
      <c r="H2052" s="180"/>
      <c r="P2052" s="180" t="s">
        <v>257</v>
      </c>
      <c r="R2052" s="180" t="s">
        <v>257</v>
      </c>
    </row>
    <row r="2053" spans="8:18" x14ac:dyDescent="0.2">
      <c r="H2053" s="180"/>
      <c r="P2053" s="180" t="s">
        <v>257</v>
      </c>
      <c r="R2053" s="180" t="s">
        <v>257</v>
      </c>
    </row>
    <row r="2054" spans="8:18" x14ac:dyDescent="0.2">
      <c r="H2054" s="180"/>
      <c r="P2054" s="180" t="s">
        <v>257</v>
      </c>
      <c r="R2054" s="180" t="s">
        <v>257</v>
      </c>
    </row>
    <row r="2055" spans="8:18" x14ac:dyDescent="0.2">
      <c r="H2055" s="180"/>
      <c r="P2055" s="180" t="s">
        <v>257</v>
      </c>
      <c r="R2055" s="180" t="s">
        <v>257</v>
      </c>
    </row>
    <row r="2056" spans="8:18" x14ac:dyDescent="0.2">
      <c r="H2056" s="180"/>
      <c r="P2056" s="180" t="s">
        <v>257</v>
      </c>
      <c r="R2056" s="180" t="s">
        <v>257</v>
      </c>
    </row>
    <row r="2057" spans="8:18" x14ac:dyDescent="0.2">
      <c r="H2057" s="180"/>
      <c r="P2057" s="180" t="s">
        <v>257</v>
      </c>
      <c r="R2057" s="180" t="s">
        <v>257</v>
      </c>
    </row>
    <row r="2058" spans="8:18" x14ac:dyDescent="0.2">
      <c r="H2058" s="180"/>
      <c r="P2058" s="180" t="s">
        <v>257</v>
      </c>
      <c r="R2058" s="180" t="s">
        <v>257</v>
      </c>
    </row>
    <row r="2059" spans="8:18" x14ac:dyDescent="0.2">
      <c r="H2059" s="180"/>
      <c r="P2059" s="180" t="s">
        <v>257</v>
      </c>
      <c r="R2059" s="180" t="s">
        <v>257</v>
      </c>
    </row>
    <row r="2060" spans="8:18" x14ac:dyDescent="0.2">
      <c r="H2060" s="180"/>
      <c r="P2060" s="180" t="s">
        <v>257</v>
      </c>
      <c r="R2060" s="180" t="s">
        <v>257</v>
      </c>
    </row>
    <row r="2061" spans="8:18" x14ac:dyDescent="0.2">
      <c r="H2061" s="180"/>
      <c r="P2061" s="180" t="s">
        <v>257</v>
      </c>
      <c r="R2061" s="180" t="s">
        <v>257</v>
      </c>
    </row>
    <row r="2062" spans="8:18" x14ac:dyDescent="0.2">
      <c r="H2062" s="180"/>
      <c r="P2062" s="180" t="s">
        <v>257</v>
      </c>
      <c r="R2062" s="180" t="s">
        <v>257</v>
      </c>
    </row>
    <row r="2063" spans="8:18" x14ac:dyDescent="0.2">
      <c r="H2063" s="180"/>
      <c r="P2063" s="180" t="s">
        <v>257</v>
      </c>
      <c r="R2063" s="180" t="s">
        <v>257</v>
      </c>
    </row>
    <row r="2064" spans="8:18" x14ac:dyDescent="0.2">
      <c r="H2064" s="180"/>
      <c r="P2064" s="180" t="s">
        <v>257</v>
      </c>
      <c r="R2064" s="180" t="s">
        <v>257</v>
      </c>
    </row>
    <row r="2065" spans="8:18" x14ac:dyDescent="0.2">
      <c r="H2065" s="180"/>
      <c r="P2065" s="180" t="s">
        <v>257</v>
      </c>
      <c r="R2065" s="180" t="s">
        <v>257</v>
      </c>
    </row>
    <row r="2066" spans="8:18" x14ac:dyDescent="0.2">
      <c r="H2066" s="180"/>
      <c r="P2066" s="180" t="s">
        <v>257</v>
      </c>
      <c r="R2066" s="180" t="s">
        <v>257</v>
      </c>
    </row>
    <row r="2067" spans="8:18" x14ac:dyDescent="0.2">
      <c r="H2067" s="180"/>
      <c r="P2067" s="180" t="s">
        <v>257</v>
      </c>
      <c r="R2067" s="180" t="s">
        <v>257</v>
      </c>
    </row>
    <row r="2068" spans="8:18" x14ac:dyDescent="0.2">
      <c r="H2068" s="180"/>
      <c r="P2068" s="180" t="s">
        <v>257</v>
      </c>
      <c r="R2068" s="180" t="s">
        <v>257</v>
      </c>
    </row>
    <row r="2069" spans="8:18" x14ac:dyDescent="0.2">
      <c r="H2069" s="180"/>
      <c r="P2069" s="180" t="s">
        <v>257</v>
      </c>
      <c r="R2069" s="180" t="s">
        <v>257</v>
      </c>
    </row>
    <row r="2070" spans="8:18" x14ac:dyDescent="0.2">
      <c r="H2070" s="180"/>
      <c r="P2070" s="180" t="s">
        <v>257</v>
      </c>
      <c r="R2070" s="180" t="s">
        <v>257</v>
      </c>
    </row>
    <row r="2071" spans="8:18" x14ac:dyDescent="0.2">
      <c r="H2071" s="180"/>
      <c r="P2071" s="180" t="s">
        <v>257</v>
      </c>
      <c r="R2071" s="180" t="s">
        <v>257</v>
      </c>
    </row>
    <row r="2072" spans="8:18" x14ac:dyDescent="0.2">
      <c r="H2072" s="180"/>
      <c r="P2072" s="180" t="s">
        <v>257</v>
      </c>
      <c r="R2072" s="180" t="s">
        <v>257</v>
      </c>
    </row>
    <row r="2073" spans="8:18" x14ac:dyDescent="0.2">
      <c r="H2073" s="180"/>
      <c r="P2073" s="180" t="s">
        <v>257</v>
      </c>
      <c r="R2073" s="180" t="s">
        <v>257</v>
      </c>
    </row>
    <row r="2074" spans="8:18" x14ac:dyDescent="0.2">
      <c r="H2074" s="180"/>
      <c r="P2074" s="180" t="s">
        <v>257</v>
      </c>
      <c r="R2074" s="180" t="s">
        <v>257</v>
      </c>
    </row>
    <row r="2075" spans="8:18" x14ac:dyDescent="0.2">
      <c r="H2075" s="180"/>
      <c r="P2075" s="180" t="s">
        <v>257</v>
      </c>
      <c r="R2075" s="180" t="s">
        <v>257</v>
      </c>
    </row>
    <row r="2076" spans="8:18" x14ac:dyDescent="0.2">
      <c r="H2076" s="180"/>
      <c r="P2076" s="180" t="s">
        <v>257</v>
      </c>
      <c r="R2076" s="180" t="s">
        <v>257</v>
      </c>
    </row>
    <row r="2077" spans="8:18" x14ac:dyDescent="0.2">
      <c r="H2077" s="180"/>
      <c r="P2077" s="180" t="s">
        <v>257</v>
      </c>
      <c r="R2077" s="180" t="s">
        <v>257</v>
      </c>
    </row>
    <row r="2078" spans="8:18" x14ac:dyDescent="0.2">
      <c r="H2078" s="180"/>
      <c r="P2078" s="180" t="s">
        <v>257</v>
      </c>
      <c r="R2078" s="180" t="s">
        <v>257</v>
      </c>
    </row>
    <row r="2079" spans="8:18" x14ac:dyDescent="0.2">
      <c r="H2079" s="180"/>
      <c r="P2079" s="180" t="s">
        <v>257</v>
      </c>
      <c r="R2079" s="180" t="s">
        <v>257</v>
      </c>
    </row>
    <row r="2080" spans="8:18" x14ac:dyDescent="0.2">
      <c r="H2080" s="180"/>
      <c r="P2080" s="180" t="s">
        <v>257</v>
      </c>
      <c r="R2080" s="180" t="s">
        <v>257</v>
      </c>
    </row>
    <row r="2081" spans="8:18" x14ac:dyDescent="0.2">
      <c r="H2081" s="180"/>
      <c r="P2081" s="180" t="s">
        <v>257</v>
      </c>
      <c r="R2081" s="180" t="s">
        <v>257</v>
      </c>
    </row>
    <row r="2082" spans="8:18" x14ac:dyDescent="0.2">
      <c r="H2082" s="180"/>
      <c r="P2082" s="180" t="s">
        <v>257</v>
      </c>
      <c r="R2082" s="180" t="s">
        <v>257</v>
      </c>
    </row>
    <row r="2083" spans="8:18" x14ac:dyDescent="0.2">
      <c r="H2083" s="180"/>
      <c r="P2083" s="180" t="s">
        <v>257</v>
      </c>
      <c r="R2083" s="180" t="s">
        <v>257</v>
      </c>
    </row>
    <row r="2084" spans="8:18" x14ac:dyDescent="0.2">
      <c r="H2084" s="180"/>
      <c r="P2084" s="180" t="s">
        <v>257</v>
      </c>
      <c r="R2084" s="180" t="s">
        <v>257</v>
      </c>
    </row>
    <row r="2085" spans="8:18" x14ac:dyDescent="0.2">
      <c r="H2085" s="180"/>
      <c r="P2085" s="180" t="s">
        <v>257</v>
      </c>
      <c r="R2085" s="180" t="s">
        <v>257</v>
      </c>
    </row>
    <row r="2086" spans="8:18" x14ac:dyDescent="0.2">
      <c r="H2086" s="180"/>
      <c r="P2086" s="180" t="s">
        <v>257</v>
      </c>
      <c r="R2086" s="180" t="s">
        <v>257</v>
      </c>
    </row>
    <row r="2087" spans="8:18" x14ac:dyDescent="0.2">
      <c r="H2087" s="180"/>
      <c r="P2087" s="180" t="s">
        <v>257</v>
      </c>
      <c r="R2087" s="180" t="s">
        <v>257</v>
      </c>
    </row>
    <row r="2088" spans="8:18" x14ac:dyDescent="0.2">
      <c r="H2088" s="180"/>
      <c r="P2088" s="180" t="s">
        <v>257</v>
      </c>
      <c r="R2088" s="180" t="s">
        <v>257</v>
      </c>
    </row>
    <row r="2089" spans="8:18" x14ac:dyDescent="0.2">
      <c r="H2089" s="180"/>
      <c r="P2089" s="180" t="s">
        <v>257</v>
      </c>
      <c r="R2089" s="180" t="s">
        <v>257</v>
      </c>
    </row>
    <row r="2090" spans="8:18" x14ac:dyDescent="0.2">
      <c r="H2090" s="180"/>
      <c r="P2090" s="180" t="s">
        <v>257</v>
      </c>
      <c r="R2090" s="180" t="s">
        <v>257</v>
      </c>
    </row>
    <row r="2091" spans="8:18" x14ac:dyDescent="0.2">
      <c r="H2091" s="180"/>
      <c r="P2091" s="180" t="s">
        <v>257</v>
      </c>
      <c r="R2091" s="180" t="s">
        <v>257</v>
      </c>
    </row>
    <row r="2092" spans="8:18" x14ac:dyDescent="0.2">
      <c r="H2092" s="180"/>
      <c r="P2092" s="180" t="s">
        <v>257</v>
      </c>
      <c r="R2092" s="180" t="s">
        <v>257</v>
      </c>
    </row>
    <row r="2093" spans="8:18" x14ac:dyDescent="0.2">
      <c r="H2093" s="180"/>
      <c r="P2093" s="180" t="s">
        <v>257</v>
      </c>
      <c r="R2093" s="180" t="s">
        <v>257</v>
      </c>
    </row>
    <row r="2094" spans="8:18" x14ac:dyDescent="0.2">
      <c r="H2094" s="180"/>
      <c r="P2094" s="180" t="s">
        <v>257</v>
      </c>
      <c r="R2094" s="180" t="s">
        <v>257</v>
      </c>
    </row>
    <row r="2095" spans="8:18" x14ac:dyDescent="0.2">
      <c r="H2095" s="180"/>
      <c r="P2095" s="180" t="s">
        <v>257</v>
      </c>
      <c r="R2095" s="180" t="s">
        <v>257</v>
      </c>
    </row>
    <row r="2096" spans="8:18" x14ac:dyDescent="0.2">
      <c r="H2096" s="180"/>
      <c r="P2096" s="180" t="s">
        <v>257</v>
      </c>
      <c r="R2096" s="180" t="s">
        <v>257</v>
      </c>
    </row>
    <row r="2097" spans="8:18" x14ac:dyDescent="0.2">
      <c r="H2097" s="180"/>
      <c r="P2097" s="180" t="s">
        <v>257</v>
      </c>
      <c r="R2097" s="180" t="s">
        <v>257</v>
      </c>
    </row>
    <row r="2098" spans="8:18" x14ac:dyDescent="0.2">
      <c r="H2098" s="180"/>
      <c r="P2098" s="180" t="s">
        <v>257</v>
      </c>
      <c r="R2098" s="180" t="s">
        <v>257</v>
      </c>
    </row>
    <row r="2099" spans="8:18" x14ac:dyDescent="0.2">
      <c r="H2099" s="180"/>
      <c r="P2099" s="180" t="s">
        <v>257</v>
      </c>
      <c r="R2099" s="180" t="s">
        <v>257</v>
      </c>
    </row>
    <row r="2100" spans="8:18" x14ac:dyDescent="0.2">
      <c r="H2100" s="180"/>
      <c r="P2100" s="180" t="s">
        <v>257</v>
      </c>
      <c r="R2100" s="180" t="s">
        <v>257</v>
      </c>
    </row>
    <row r="2101" spans="8:18" x14ac:dyDescent="0.2">
      <c r="H2101" s="180"/>
      <c r="P2101" s="180" t="s">
        <v>257</v>
      </c>
      <c r="R2101" s="180" t="s">
        <v>257</v>
      </c>
    </row>
    <row r="2102" spans="8:18" x14ac:dyDescent="0.2">
      <c r="H2102" s="180"/>
      <c r="P2102" s="180" t="s">
        <v>257</v>
      </c>
      <c r="R2102" s="180" t="s">
        <v>257</v>
      </c>
    </row>
    <row r="2103" spans="8:18" x14ac:dyDescent="0.2">
      <c r="H2103" s="180"/>
      <c r="P2103" s="180" t="s">
        <v>257</v>
      </c>
      <c r="R2103" s="180" t="s">
        <v>257</v>
      </c>
    </row>
    <row r="2104" spans="8:18" x14ac:dyDescent="0.2">
      <c r="H2104" s="180"/>
      <c r="P2104" s="180" t="s">
        <v>257</v>
      </c>
      <c r="R2104" s="180" t="s">
        <v>257</v>
      </c>
    </row>
    <row r="2105" spans="8:18" x14ac:dyDescent="0.2">
      <c r="H2105" s="180"/>
      <c r="P2105" s="180" t="s">
        <v>257</v>
      </c>
      <c r="R2105" s="180" t="s">
        <v>257</v>
      </c>
    </row>
    <row r="2106" spans="8:18" x14ac:dyDescent="0.2">
      <c r="H2106" s="180"/>
      <c r="P2106" s="180" t="s">
        <v>257</v>
      </c>
      <c r="R2106" s="180" t="s">
        <v>257</v>
      </c>
    </row>
    <row r="2107" spans="8:18" x14ac:dyDescent="0.2">
      <c r="H2107" s="180"/>
      <c r="P2107" s="180" t="s">
        <v>257</v>
      </c>
      <c r="R2107" s="180" t="s">
        <v>257</v>
      </c>
    </row>
    <row r="2108" spans="8:18" x14ac:dyDescent="0.2">
      <c r="H2108" s="180"/>
      <c r="P2108" s="180" t="s">
        <v>257</v>
      </c>
      <c r="R2108" s="180" t="s">
        <v>257</v>
      </c>
    </row>
    <row r="2109" spans="8:18" x14ac:dyDescent="0.2">
      <c r="H2109" s="180"/>
      <c r="P2109" s="180" t="s">
        <v>257</v>
      </c>
      <c r="R2109" s="180" t="s">
        <v>257</v>
      </c>
    </row>
    <row r="2110" spans="8:18" x14ac:dyDescent="0.2">
      <c r="H2110" s="180"/>
      <c r="P2110" s="180" t="s">
        <v>257</v>
      </c>
      <c r="R2110" s="180" t="s">
        <v>257</v>
      </c>
    </row>
    <row r="2111" spans="8:18" x14ac:dyDescent="0.2">
      <c r="H2111" s="180"/>
      <c r="P2111" s="180" t="s">
        <v>257</v>
      </c>
      <c r="R2111" s="180" t="s">
        <v>257</v>
      </c>
    </row>
    <row r="2112" spans="8:18" x14ac:dyDescent="0.2">
      <c r="H2112" s="180"/>
      <c r="P2112" s="180" t="s">
        <v>257</v>
      </c>
      <c r="R2112" s="180" t="s">
        <v>257</v>
      </c>
    </row>
    <row r="2113" spans="8:18" x14ac:dyDescent="0.2">
      <c r="H2113" s="180"/>
      <c r="P2113" s="180" t="s">
        <v>257</v>
      </c>
      <c r="R2113" s="180" t="s">
        <v>257</v>
      </c>
    </row>
    <row r="2114" spans="8:18" x14ac:dyDescent="0.2">
      <c r="H2114" s="180"/>
      <c r="P2114" s="180" t="s">
        <v>257</v>
      </c>
      <c r="R2114" s="180" t="s">
        <v>257</v>
      </c>
    </row>
    <row r="2115" spans="8:18" x14ac:dyDescent="0.2">
      <c r="H2115" s="180"/>
      <c r="P2115" s="180" t="s">
        <v>257</v>
      </c>
      <c r="R2115" s="180" t="s">
        <v>257</v>
      </c>
    </row>
    <row r="2116" spans="8:18" x14ac:dyDescent="0.2">
      <c r="H2116" s="180"/>
      <c r="P2116" s="180" t="s">
        <v>257</v>
      </c>
      <c r="R2116" s="180" t="s">
        <v>257</v>
      </c>
    </row>
    <row r="2117" spans="8:18" x14ac:dyDescent="0.2">
      <c r="H2117" s="180"/>
      <c r="P2117" s="180" t="s">
        <v>257</v>
      </c>
      <c r="R2117" s="180" t="s">
        <v>257</v>
      </c>
    </row>
    <row r="2118" spans="8:18" x14ac:dyDescent="0.2">
      <c r="H2118" s="180"/>
      <c r="P2118" s="180" t="s">
        <v>257</v>
      </c>
      <c r="R2118" s="180" t="s">
        <v>257</v>
      </c>
    </row>
    <row r="2119" spans="8:18" x14ac:dyDescent="0.2">
      <c r="H2119" s="180"/>
      <c r="P2119" s="180" t="s">
        <v>257</v>
      </c>
      <c r="R2119" s="180" t="s">
        <v>257</v>
      </c>
    </row>
    <row r="2120" spans="8:18" x14ac:dyDescent="0.2">
      <c r="H2120" s="180"/>
      <c r="P2120" s="180" t="s">
        <v>257</v>
      </c>
      <c r="R2120" s="180" t="s">
        <v>257</v>
      </c>
    </row>
    <row r="2121" spans="8:18" x14ac:dyDescent="0.2">
      <c r="H2121" s="180"/>
      <c r="P2121" s="180" t="s">
        <v>257</v>
      </c>
      <c r="R2121" s="180" t="s">
        <v>257</v>
      </c>
    </row>
    <row r="2122" spans="8:18" x14ac:dyDescent="0.2">
      <c r="H2122" s="180"/>
      <c r="P2122" s="180" t="s">
        <v>257</v>
      </c>
      <c r="R2122" s="180" t="s">
        <v>257</v>
      </c>
    </row>
    <row r="2123" spans="8:18" x14ac:dyDescent="0.2">
      <c r="H2123" s="180"/>
      <c r="P2123" s="180" t="s">
        <v>257</v>
      </c>
      <c r="R2123" s="180" t="s">
        <v>257</v>
      </c>
    </row>
    <row r="2124" spans="8:18" x14ac:dyDescent="0.2">
      <c r="H2124" s="180"/>
      <c r="P2124" s="180" t="s">
        <v>257</v>
      </c>
      <c r="R2124" s="180" t="s">
        <v>257</v>
      </c>
    </row>
    <row r="2125" spans="8:18" x14ac:dyDescent="0.2">
      <c r="H2125" s="180"/>
      <c r="P2125" s="180" t="s">
        <v>257</v>
      </c>
      <c r="R2125" s="180" t="s">
        <v>257</v>
      </c>
    </row>
    <row r="2126" spans="8:18" x14ac:dyDescent="0.2">
      <c r="H2126" s="180"/>
      <c r="P2126" s="180" t="s">
        <v>257</v>
      </c>
      <c r="R2126" s="180" t="s">
        <v>257</v>
      </c>
    </row>
    <row r="2127" spans="8:18" x14ac:dyDescent="0.2">
      <c r="H2127" s="180"/>
      <c r="P2127" s="180" t="s">
        <v>257</v>
      </c>
      <c r="R2127" s="180" t="s">
        <v>257</v>
      </c>
    </row>
    <row r="2128" spans="8:18" x14ac:dyDescent="0.2">
      <c r="H2128" s="180"/>
      <c r="P2128" s="180" t="s">
        <v>257</v>
      </c>
      <c r="R2128" s="180" t="s">
        <v>257</v>
      </c>
    </row>
    <row r="2129" spans="8:18" x14ac:dyDescent="0.2">
      <c r="H2129" s="180"/>
      <c r="P2129" s="180" t="s">
        <v>257</v>
      </c>
      <c r="R2129" s="180" t="s">
        <v>257</v>
      </c>
    </row>
    <row r="2130" spans="8:18" x14ac:dyDescent="0.2">
      <c r="H2130" s="180"/>
      <c r="P2130" s="180" t="s">
        <v>257</v>
      </c>
      <c r="R2130" s="180" t="s">
        <v>257</v>
      </c>
    </row>
    <row r="2131" spans="8:18" x14ac:dyDescent="0.2">
      <c r="H2131" s="180"/>
      <c r="P2131" s="180" t="s">
        <v>257</v>
      </c>
      <c r="R2131" s="180" t="s">
        <v>257</v>
      </c>
    </row>
    <row r="2132" spans="8:18" x14ac:dyDescent="0.2">
      <c r="H2132" s="180"/>
      <c r="P2132" s="180" t="s">
        <v>257</v>
      </c>
      <c r="R2132" s="180" t="s">
        <v>257</v>
      </c>
    </row>
    <row r="2133" spans="8:18" x14ac:dyDescent="0.2">
      <c r="H2133" s="180"/>
      <c r="P2133" s="180" t="s">
        <v>257</v>
      </c>
      <c r="R2133" s="180" t="s">
        <v>257</v>
      </c>
    </row>
    <row r="2134" spans="8:18" x14ac:dyDescent="0.2">
      <c r="H2134" s="180"/>
      <c r="P2134" s="180" t="s">
        <v>257</v>
      </c>
      <c r="R2134" s="180" t="s">
        <v>257</v>
      </c>
    </row>
    <row r="2135" spans="8:18" x14ac:dyDescent="0.2">
      <c r="H2135" s="180"/>
      <c r="P2135" s="180" t="s">
        <v>257</v>
      </c>
      <c r="R2135" s="180" t="s">
        <v>257</v>
      </c>
    </row>
    <row r="2136" spans="8:18" x14ac:dyDescent="0.2">
      <c r="H2136" s="180"/>
      <c r="P2136" s="180" t="s">
        <v>257</v>
      </c>
      <c r="R2136" s="180" t="s">
        <v>257</v>
      </c>
    </row>
    <row r="2137" spans="8:18" x14ac:dyDescent="0.2">
      <c r="H2137" s="180"/>
      <c r="P2137" s="180" t="s">
        <v>257</v>
      </c>
      <c r="R2137" s="180" t="s">
        <v>257</v>
      </c>
    </row>
    <row r="2138" spans="8:18" x14ac:dyDescent="0.2">
      <c r="H2138" s="180"/>
      <c r="P2138" s="180" t="s">
        <v>257</v>
      </c>
      <c r="R2138" s="180" t="s">
        <v>257</v>
      </c>
    </row>
    <row r="2139" spans="8:18" x14ac:dyDescent="0.2">
      <c r="H2139" s="180"/>
      <c r="P2139" s="180" t="s">
        <v>257</v>
      </c>
      <c r="R2139" s="180" t="s">
        <v>257</v>
      </c>
    </row>
    <row r="2140" spans="8:18" x14ac:dyDescent="0.2">
      <c r="H2140" s="180"/>
      <c r="P2140" s="180" t="s">
        <v>257</v>
      </c>
      <c r="R2140" s="180" t="s">
        <v>257</v>
      </c>
    </row>
    <row r="2141" spans="8:18" x14ac:dyDescent="0.2">
      <c r="H2141" s="180"/>
      <c r="P2141" s="180" t="s">
        <v>257</v>
      </c>
      <c r="R2141" s="180" t="s">
        <v>257</v>
      </c>
    </row>
    <row r="2142" spans="8:18" x14ac:dyDescent="0.2">
      <c r="H2142" s="180"/>
      <c r="P2142" s="180" t="s">
        <v>257</v>
      </c>
      <c r="R2142" s="180" t="s">
        <v>257</v>
      </c>
    </row>
    <row r="2143" spans="8:18" x14ac:dyDescent="0.2">
      <c r="H2143" s="180"/>
      <c r="P2143" s="180" t="s">
        <v>257</v>
      </c>
      <c r="R2143" s="180" t="s">
        <v>257</v>
      </c>
    </row>
    <row r="2144" spans="8:18" x14ac:dyDescent="0.2">
      <c r="H2144" s="180"/>
      <c r="P2144" s="180" t="s">
        <v>257</v>
      </c>
      <c r="R2144" s="180" t="s">
        <v>257</v>
      </c>
    </row>
    <row r="2145" spans="8:18" x14ac:dyDescent="0.2">
      <c r="H2145" s="180"/>
      <c r="P2145" s="180" t="s">
        <v>257</v>
      </c>
      <c r="R2145" s="180" t="s">
        <v>257</v>
      </c>
    </row>
    <row r="2146" spans="8:18" x14ac:dyDescent="0.2">
      <c r="H2146" s="180"/>
      <c r="P2146" s="180" t="s">
        <v>257</v>
      </c>
      <c r="R2146" s="180" t="s">
        <v>257</v>
      </c>
    </row>
    <row r="2147" spans="8:18" x14ac:dyDescent="0.2">
      <c r="H2147" s="180"/>
      <c r="P2147" s="180" t="s">
        <v>257</v>
      </c>
      <c r="R2147" s="180" t="s">
        <v>257</v>
      </c>
    </row>
    <row r="2148" spans="8:18" x14ac:dyDescent="0.2">
      <c r="H2148" s="180"/>
      <c r="P2148" s="180" t="s">
        <v>257</v>
      </c>
      <c r="R2148" s="180" t="s">
        <v>257</v>
      </c>
    </row>
    <row r="2149" spans="8:18" x14ac:dyDescent="0.2">
      <c r="H2149" s="180"/>
      <c r="P2149" s="180" t="s">
        <v>257</v>
      </c>
      <c r="R2149" s="180" t="s">
        <v>257</v>
      </c>
    </row>
    <row r="2150" spans="8:18" x14ac:dyDescent="0.2">
      <c r="H2150" s="180"/>
      <c r="P2150" s="180" t="s">
        <v>257</v>
      </c>
      <c r="R2150" s="180" t="s">
        <v>257</v>
      </c>
    </row>
    <row r="2151" spans="8:18" x14ac:dyDescent="0.2">
      <c r="H2151" s="180"/>
      <c r="P2151" s="180" t="s">
        <v>257</v>
      </c>
      <c r="R2151" s="180" t="s">
        <v>257</v>
      </c>
    </row>
    <row r="2152" spans="8:18" x14ac:dyDescent="0.2">
      <c r="H2152" s="180"/>
      <c r="P2152" s="180" t="s">
        <v>257</v>
      </c>
      <c r="R2152" s="180" t="s">
        <v>257</v>
      </c>
    </row>
    <row r="2153" spans="8:18" x14ac:dyDescent="0.2">
      <c r="H2153" s="180"/>
      <c r="P2153" s="180" t="s">
        <v>257</v>
      </c>
      <c r="R2153" s="180" t="s">
        <v>257</v>
      </c>
    </row>
    <row r="2154" spans="8:18" x14ac:dyDescent="0.2">
      <c r="H2154" s="180"/>
      <c r="P2154" s="180" t="s">
        <v>257</v>
      </c>
      <c r="R2154" s="180" t="s">
        <v>257</v>
      </c>
    </row>
    <row r="2155" spans="8:18" x14ac:dyDescent="0.2">
      <c r="H2155" s="180"/>
      <c r="P2155" s="180" t="s">
        <v>257</v>
      </c>
      <c r="R2155" s="180" t="s">
        <v>257</v>
      </c>
    </row>
    <row r="2156" spans="8:18" x14ac:dyDescent="0.2">
      <c r="H2156" s="180"/>
      <c r="P2156" s="180" t="s">
        <v>257</v>
      </c>
      <c r="R2156" s="180" t="s">
        <v>257</v>
      </c>
    </row>
    <row r="2157" spans="8:18" x14ac:dyDescent="0.2">
      <c r="H2157" s="180"/>
      <c r="P2157" s="180" t="s">
        <v>257</v>
      </c>
      <c r="R2157" s="180" t="s">
        <v>257</v>
      </c>
    </row>
    <row r="2158" spans="8:18" x14ac:dyDescent="0.2">
      <c r="H2158" s="180"/>
      <c r="P2158" s="180" t="s">
        <v>257</v>
      </c>
      <c r="R2158" s="180" t="s">
        <v>257</v>
      </c>
    </row>
    <row r="2159" spans="8:18" x14ac:dyDescent="0.2">
      <c r="H2159" s="180"/>
      <c r="P2159" s="180" t="s">
        <v>257</v>
      </c>
      <c r="R2159" s="180" t="s">
        <v>257</v>
      </c>
    </row>
    <row r="2160" spans="8:18" x14ac:dyDescent="0.2">
      <c r="H2160" s="180"/>
      <c r="P2160" s="180" t="s">
        <v>257</v>
      </c>
      <c r="R2160" s="180" t="s">
        <v>257</v>
      </c>
    </row>
    <row r="2161" spans="8:18" x14ac:dyDescent="0.2">
      <c r="H2161" s="180"/>
      <c r="P2161" s="180" t="s">
        <v>257</v>
      </c>
      <c r="R2161" s="180" t="s">
        <v>257</v>
      </c>
    </row>
    <row r="2162" spans="8:18" x14ac:dyDescent="0.2">
      <c r="H2162" s="180"/>
      <c r="P2162" s="180" t="s">
        <v>257</v>
      </c>
      <c r="R2162" s="180" t="s">
        <v>257</v>
      </c>
    </row>
    <row r="2163" spans="8:18" x14ac:dyDescent="0.2">
      <c r="H2163" s="180"/>
      <c r="P2163" s="180" t="s">
        <v>257</v>
      </c>
      <c r="R2163" s="180" t="s">
        <v>257</v>
      </c>
    </row>
    <row r="2164" spans="8:18" x14ac:dyDescent="0.2">
      <c r="H2164" s="180"/>
      <c r="P2164" s="180" t="s">
        <v>257</v>
      </c>
      <c r="R2164" s="180" t="s">
        <v>257</v>
      </c>
    </row>
    <row r="2165" spans="8:18" x14ac:dyDescent="0.2">
      <c r="H2165" s="180"/>
      <c r="P2165" s="180" t="s">
        <v>257</v>
      </c>
      <c r="R2165" s="180" t="s">
        <v>257</v>
      </c>
    </row>
    <row r="2166" spans="8:18" x14ac:dyDescent="0.2">
      <c r="H2166" s="180"/>
      <c r="P2166" s="180" t="s">
        <v>257</v>
      </c>
      <c r="R2166" s="180" t="s">
        <v>257</v>
      </c>
    </row>
    <row r="2167" spans="8:18" x14ac:dyDescent="0.2">
      <c r="H2167" s="180"/>
      <c r="P2167" s="180" t="s">
        <v>257</v>
      </c>
      <c r="R2167" s="180" t="s">
        <v>257</v>
      </c>
    </row>
    <row r="2168" spans="8:18" x14ac:dyDescent="0.2">
      <c r="H2168" s="180"/>
      <c r="P2168" s="180" t="s">
        <v>257</v>
      </c>
      <c r="R2168" s="180" t="s">
        <v>257</v>
      </c>
    </row>
    <row r="2169" spans="8:18" x14ac:dyDescent="0.2">
      <c r="H2169" s="180"/>
      <c r="P2169" s="180" t="s">
        <v>257</v>
      </c>
      <c r="R2169" s="180" t="s">
        <v>257</v>
      </c>
    </row>
    <row r="2170" spans="8:18" x14ac:dyDescent="0.2">
      <c r="H2170" s="180"/>
      <c r="P2170" s="180" t="s">
        <v>257</v>
      </c>
      <c r="R2170" s="180" t="s">
        <v>257</v>
      </c>
    </row>
    <row r="2171" spans="8:18" x14ac:dyDescent="0.2">
      <c r="H2171" s="180"/>
      <c r="P2171" s="180" t="s">
        <v>257</v>
      </c>
      <c r="R2171" s="180" t="s">
        <v>257</v>
      </c>
    </row>
    <row r="2172" spans="8:18" x14ac:dyDescent="0.2">
      <c r="H2172" s="180"/>
      <c r="P2172" s="180" t="s">
        <v>257</v>
      </c>
      <c r="R2172" s="180" t="s">
        <v>257</v>
      </c>
    </row>
    <row r="2173" spans="8:18" x14ac:dyDescent="0.2">
      <c r="H2173" s="180"/>
      <c r="P2173" s="180" t="s">
        <v>257</v>
      </c>
      <c r="R2173" s="180" t="s">
        <v>257</v>
      </c>
    </row>
    <row r="2174" spans="8:18" x14ac:dyDescent="0.2">
      <c r="H2174" s="180"/>
      <c r="P2174" s="180" t="s">
        <v>257</v>
      </c>
      <c r="R2174" s="180" t="s">
        <v>257</v>
      </c>
    </row>
    <row r="2175" spans="8:18" x14ac:dyDescent="0.2">
      <c r="H2175" s="180"/>
      <c r="P2175" s="180" t="s">
        <v>257</v>
      </c>
      <c r="R2175" s="180" t="s">
        <v>257</v>
      </c>
    </row>
    <row r="2176" spans="8:18" x14ac:dyDescent="0.2">
      <c r="H2176" s="180"/>
      <c r="P2176" s="180" t="s">
        <v>257</v>
      </c>
      <c r="R2176" s="180" t="s">
        <v>257</v>
      </c>
    </row>
    <row r="2177" spans="8:18" x14ac:dyDescent="0.2">
      <c r="H2177" s="180"/>
      <c r="P2177" s="180" t="s">
        <v>257</v>
      </c>
      <c r="R2177" s="180" t="s">
        <v>257</v>
      </c>
    </row>
    <row r="2178" spans="8:18" x14ac:dyDescent="0.2">
      <c r="H2178" s="180"/>
      <c r="P2178" s="180" t="s">
        <v>257</v>
      </c>
      <c r="R2178" s="180" t="s">
        <v>257</v>
      </c>
    </row>
    <row r="2179" spans="8:18" x14ac:dyDescent="0.2">
      <c r="H2179" s="180"/>
      <c r="P2179" s="180" t="s">
        <v>257</v>
      </c>
      <c r="R2179" s="180" t="s">
        <v>257</v>
      </c>
    </row>
    <row r="2180" spans="8:18" x14ac:dyDescent="0.2">
      <c r="H2180" s="180"/>
      <c r="P2180" s="180" t="s">
        <v>257</v>
      </c>
      <c r="R2180" s="180" t="s">
        <v>257</v>
      </c>
    </row>
    <row r="2181" spans="8:18" x14ac:dyDescent="0.2">
      <c r="H2181" s="180"/>
      <c r="P2181" s="180" t="s">
        <v>257</v>
      </c>
      <c r="R2181" s="180" t="s">
        <v>257</v>
      </c>
    </row>
    <row r="2182" spans="8:18" x14ac:dyDescent="0.2">
      <c r="H2182" s="180"/>
      <c r="P2182" s="180" t="s">
        <v>257</v>
      </c>
      <c r="R2182" s="180" t="s">
        <v>257</v>
      </c>
    </row>
    <row r="2183" spans="8:18" x14ac:dyDescent="0.2">
      <c r="H2183" s="180"/>
      <c r="P2183" s="180" t="s">
        <v>257</v>
      </c>
      <c r="R2183" s="180" t="s">
        <v>257</v>
      </c>
    </row>
    <row r="2184" spans="8:18" x14ac:dyDescent="0.2">
      <c r="H2184" s="180"/>
      <c r="P2184" s="180" t="s">
        <v>257</v>
      </c>
      <c r="R2184" s="180" t="s">
        <v>257</v>
      </c>
    </row>
    <row r="2185" spans="8:18" x14ac:dyDescent="0.2">
      <c r="H2185" s="180"/>
      <c r="P2185" s="180" t="s">
        <v>257</v>
      </c>
      <c r="R2185" s="180" t="s">
        <v>257</v>
      </c>
    </row>
    <row r="2186" spans="8:18" x14ac:dyDescent="0.2">
      <c r="H2186" s="180"/>
      <c r="P2186" s="180" t="s">
        <v>257</v>
      </c>
      <c r="R2186" s="180" t="s">
        <v>257</v>
      </c>
    </row>
    <row r="2187" spans="8:18" x14ac:dyDescent="0.2">
      <c r="H2187" s="180"/>
      <c r="P2187" s="180" t="s">
        <v>257</v>
      </c>
      <c r="R2187" s="180" t="s">
        <v>257</v>
      </c>
    </row>
    <row r="2188" spans="8:18" x14ac:dyDescent="0.2">
      <c r="H2188" s="180"/>
      <c r="P2188" s="180" t="s">
        <v>257</v>
      </c>
      <c r="R2188" s="180" t="s">
        <v>257</v>
      </c>
    </row>
    <row r="2189" spans="8:18" x14ac:dyDescent="0.2">
      <c r="H2189" s="180"/>
      <c r="P2189" s="180" t="s">
        <v>257</v>
      </c>
      <c r="R2189" s="180" t="s">
        <v>257</v>
      </c>
    </row>
    <row r="2190" spans="8:18" x14ac:dyDescent="0.2">
      <c r="H2190" s="180"/>
      <c r="P2190" s="180" t="s">
        <v>257</v>
      </c>
      <c r="R2190" s="180" t="s">
        <v>257</v>
      </c>
    </row>
    <row r="2191" spans="8:18" x14ac:dyDescent="0.2">
      <c r="H2191" s="180"/>
      <c r="P2191" s="180" t="s">
        <v>257</v>
      </c>
      <c r="R2191" s="180" t="s">
        <v>257</v>
      </c>
    </row>
    <row r="2192" spans="8:18" x14ac:dyDescent="0.2">
      <c r="H2192" s="180"/>
      <c r="P2192" s="180" t="s">
        <v>257</v>
      </c>
      <c r="R2192" s="180" t="s">
        <v>257</v>
      </c>
    </row>
    <row r="2193" spans="8:18" x14ac:dyDescent="0.2">
      <c r="H2193" s="180"/>
      <c r="P2193" s="180" t="s">
        <v>257</v>
      </c>
      <c r="R2193" s="180" t="s">
        <v>257</v>
      </c>
    </row>
    <row r="2194" spans="8:18" x14ac:dyDescent="0.2">
      <c r="H2194" s="180"/>
      <c r="P2194" s="180" t="s">
        <v>257</v>
      </c>
      <c r="R2194" s="180" t="s">
        <v>257</v>
      </c>
    </row>
    <row r="2195" spans="8:18" x14ac:dyDescent="0.2">
      <c r="H2195" s="180"/>
      <c r="P2195" s="180" t="s">
        <v>257</v>
      </c>
      <c r="R2195" s="180" t="s">
        <v>257</v>
      </c>
    </row>
    <row r="2196" spans="8:18" x14ac:dyDescent="0.2">
      <c r="H2196" s="180"/>
      <c r="P2196" s="180" t="s">
        <v>257</v>
      </c>
      <c r="R2196" s="180" t="s">
        <v>257</v>
      </c>
    </row>
    <row r="2197" spans="8:18" x14ac:dyDescent="0.2">
      <c r="H2197" s="180"/>
      <c r="P2197" s="180" t="s">
        <v>257</v>
      </c>
      <c r="R2197" s="180" t="s">
        <v>257</v>
      </c>
    </row>
    <row r="2198" spans="8:18" x14ac:dyDescent="0.2">
      <c r="H2198" s="180"/>
      <c r="P2198" s="180" t="s">
        <v>257</v>
      </c>
      <c r="R2198" s="180" t="s">
        <v>257</v>
      </c>
    </row>
    <row r="2199" spans="8:18" x14ac:dyDescent="0.2">
      <c r="H2199" s="180"/>
      <c r="P2199" s="180" t="s">
        <v>257</v>
      </c>
      <c r="R2199" s="180" t="s">
        <v>257</v>
      </c>
    </row>
    <row r="2200" spans="8:18" x14ac:dyDescent="0.2">
      <c r="H2200" s="180"/>
      <c r="P2200" s="180" t="s">
        <v>257</v>
      </c>
      <c r="R2200" s="180" t="s">
        <v>257</v>
      </c>
    </row>
    <row r="2201" spans="8:18" x14ac:dyDescent="0.2">
      <c r="H2201" s="180"/>
      <c r="P2201" s="180" t="s">
        <v>257</v>
      </c>
      <c r="R2201" s="180" t="s">
        <v>257</v>
      </c>
    </row>
    <row r="2202" spans="8:18" x14ac:dyDescent="0.2">
      <c r="H2202" s="180"/>
      <c r="P2202" s="180" t="s">
        <v>257</v>
      </c>
      <c r="R2202" s="180" t="s">
        <v>257</v>
      </c>
    </row>
    <row r="2203" spans="8:18" x14ac:dyDescent="0.2">
      <c r="H2203" s="180"/>
      <c r="P2203" s="180" t="s">
        <v>257</v>
      </c>
      <c r="R2203" s="180" t="s">
        <v>257</v>
      </c>
    </row>
    <row r="2204" spans="8:18" x14ac:dyDescent="0.2">
      <c r="H2204" s="180"/>
      <c r="P2204" s="180" t="s">
        <v>257</v>
      </c>
      <c r="R2204" s="180" t="s">
        <v>257</v>
      </c>
    </row>
    <row r="2205" spans="8:18" x14ac:dyDescent="0.2">
      <c r="H2205" s="180"/>
      <c r="P2205" s="180" t="s">
        <v>257</v>
      </c>
      <c r="R2205" s="180" t="s">
        <v>257</v>
      </c>
    </row>
    <row r="2206" spans="8:18" x14ac:dyDescent="0.2">
      <c r="H2206" s="180"/>
      <c r="P2206" s="180" t="s">
        <v>257</v>
      </c>
      <c r="R2206" s="180" t="s">
        <v>257</v>
      </c>
    </row>
    <row r="2207" spans="8:18" x14ac:dyDescent="0.2">
      <c r="H2207" s="180"/>
      <c r="P2207" s="180" t="s">
        <v>257</v>
      </c>
      <c r="R2207" s="180" t="s">
        <v>257</v>
      </c>
    </row>
    <row r="2208" spans="8:18" x14ac:dyDescent="0.2">
      <c r="H2208" s="180"/>
      <c r="P2208" s="180" t="s">
        <v>257</v>
      </c>
      <c r="R2208" s="180" t="s">
        <v>257</v>
      </c>
    </row>
    <row r="2209" spans="8:18" x14ac:dyDescent="0.2">
      <c r="H2209" s="180"/>
      <c r="P2209" s="180" t="s">
        <v>257</v>
      </c>
      <c r="R2209" s="180" t="s">
        <v>257</v>
      </c>
    </row>
    <row r="2210" spans="8:18" x14ac:dyDescent="0.2">
      <c r="H2210" s="180"/>
      <c r="P2210" s="180" t="s">
        <v>257</v>
      </c>
      <c r="R2210" s="180" t="s">
        <v>257</v>
      </c>
    </row>
    <row r="2211" spans="8:18" x14ac:dyDescent="0.2">
      <c r="H2211" s="180"/>
      <c r="P2211" s="180" t="s">
        <v>257</v>
      </c>
      <c r="R2211" s="180" t="s">
        <v>257</v>
      </c>
    </row>
    <row r="2212" spans="8:18" x14ac:dyDescent="0.2">
      <c r="H2212" s="180"/>
      <c r="P2212" s="180" t="s">
        <v>257</v>
      </c>
      <c r="R2212" s="180" t="s">
        <v>257</v>
      </c>
    </row>
    <row r="2213" spans="8:18" x14ac:dyDescent="0.2">
      <c r="H2213" s="180"/>
      <c r="P2213" s="180" t="s">
        <v>257</v>
      </c>
      <c r="R2213" s="180" t="s">
        <v>257</v>
      </c>
    </row>
    <row r="2214" spans="8:18" x14ac:dyDescent="0.2">
      <c r="H2214" s="180"/>
      <c r="P2214" s="180" t="s">
        <v>257</v>
      </c>
      <c r="R2214" s="180" t="s">
        <v>257</v>
      </c>
    </row>
    <row r="2215" spans="8:18" x14ac:dyDescent="0.2">
      <c r="H2215" s="180"/>
      <c r="P2215" s="180" t="s">
        <v>257</v>
      </c>
      <c r="R2215" s="180" t="s">
        <v>257</v>
      </c>
    </row>
    <row r="2216" spans="8:18" x14ac:dyDescent="0.2">
      <c r="H2216" s="180"/>
      <c r="P2216" s="180" t="s">
        <v>257</v>
      </c>
      <c r="R2216" s="180" t="s">
        <v>257</v>
      </c>
    </row>
    <row r="2217" spans="8:18" x14ac:dyDescent="0.2">
      <c r="H2217" s="180"/>
      <c r="P2217" s="180" t="s">
        <v>257</v>
      </c>
      <c r="R2217" s="180" t="s">
        <v>257</v>
      </c>
    </row>
    <row r="2218" spans="8:18" x14ac:dyDescent="0.2">
      <c r="H2218" s="180"/>
      <c r="P2218" s="180" t="s">
        <v>257</v>
      </c>
      <c r="R2218" s="180" t="s">
        <v>257</v>
      </c>
    </row>
    <row r="2219" spans="8:18" x14ac:dyDescent="0.2">
      <c r="H2219" s="180"/>
      <c r="P2219" s="180" t="s">
        <v>257</v>
      </c>
      <c r="R2219" s="180" t="s">
        <v>257</v>
      </c>
    </row>
    <row r="2220" spans="8:18" x14ac:dyDescent="0.2">
      <c r="H2220" s="180"/>
      <c r="P2220" s="180" t="s">
        <v>257</v>
      </c>
      <c r="R2220" s="180" t="s">
        <v>257</v>
      </c>
    </row>
    <row r="2221" spans="8:18" x14ac:dyDescent="0.2">
      <c r="H2221" s="180"/>
      <c r="P2221" s="180" t="s">
        <v>257</v>
      </c>
      <c r="R2221" s="180" t="s">
        <v>257</v>
      </c>
    </row>
    <row r="2222" spans="8:18" x14ac:dyDescent="0.2">
      <c r="H2222" s="180"/>
      <c r="P2222" s="180" t="s">
        <v>257</v>
      </c>
      <c r="R2222" s="180" t="s">
        <v>257</v>
      </c>
    </row>
    <row r="2223" spans="8:18" x14ac:dyDescent="0.2">
      <c r="H2223" s="180"/>
      <c r="P2223" s="180" t="s">
        <v>257</v>
      </c>
      <c r="R2223" s="180" t="s">
        <v>257</v>
      </c>
    </row>
    <row r="2224" spans="8:18" x14ac:dyDescent="0.2">
      <c r="H2224" s="180"/>
      <c r="P2224" s="180" t="s">
        <v>257</v>
      </c>
      <c r="R2224" s="180" t="s">
        <v>257</v>
      </c>
    </row>
    <row r="2225" spans="8:18" x14ac:dyDescent="0.2">
      <c r="H2225" s="180"/>
      <c r="P2225" s="180" t="s">
        <v>257</v>
      </c>
      <c r="R2225" s="180" t="s">
        <v>257</v>
      </c>
    </row>
    <row r="2226" spans="8:18" x14ac:dyDescent="0.2">
      <c r="H2226" s="180"/>
      <c r="P2226" s="180" t="s">
        <v>257</v>
      </c>
      <c r="R2226" s="180" t="s">
        <v>257</v>
      </c>
    </row>
    <row r="2227" spans="8:18" x14ac:dyDescent="0.2">
      <c r="H2227" s="180"/>
      <c r="P2227" s="180" t="s">
        <v>257</v>
      </c>
      <c r="R2227" s="180" t="s">
        <v>257</v>
      </c>
    </row>
    <row r="2228" spans="8:18" x14ac:dyDescent="0.2">
      <c r="H2228" s="180"/>
      <c r="P2228" s="180" t="s">
        <v>257</v>
      </c>
      <c r="R2228" s="180" t="s">
        <v>257</v>
      </c>
    </row>
    <row r="2229" spans="8:18" x14ac:dyDescent="0.2">
      <c r="H2229" s="180"/>
      <c r="P2229" s="180" t="s">
        <v>257</v>
      </c>
      <c r="R2229" s="180" t="s">
        <v>257</v>
      </c>
    </row>
    <row r="2230" spans="8:18" x14ac:dyDescent="0.2">
      <c r="H2230" s="180"/>
      <c r="P2230" s="180" t="s">
        <v>257</v>
      </c>
      <c r="R2230" s="180" t="s">
        <v>257</v>
      </c>
    </row>
    <row r="2231" spans="8:18" x14ac:dyDescent="0.2">
      <c r="H2231" s="180"/>
      <c r="P2231" s="180" t="s">
        <v>257</v>
      </c>
      <c r="R2231" s="180" t="s">
        <v>257</v>
      </c>
    </row>
    <row r="2232" spans="8:18" x14ac:dyDescent="0.2">
      <c r="H2232" s="180"/>
      <c r="P2232" s="180" t="s">
        <v>257</v>
      </c>
      <c r="R2232" s="180" t="s">
        <v>257</v>
      </c>
    </row>
    <row r="2233" spans="8:18" x14ac:dyDescent="0.2">
      <c r="H2233" s="180"/>
      <c r="P2233" s="180" t="s">
        <v>257</v>
      </c>
      <c r="R2233" s="180" t="s">
        <v>257</v>
      </c>
    </row>
    <row r="2234" spans="8:18" x14ac:dyDescent="0.2">
      <c r="H2234" s="180"/>
      <c r="P2234" s="180" t="s">
        <v>257</v>
      </c>
      <c r="R2234" s="180" t="s">
        <v>257</v>
      </c>
    </row>
    <row r="2235" spans="8:18" x14ac:dyDescent="0.2">
      <c r="H2235" s="180"/>
      <c r="P2235" s="180" t="s">
        <v>257</v>
      </c>
      <c r="R2235" s="180" t="s">
        <v>257</v>
      </c>
    </row>
    <row r="2236" spans="8:18" x14ac:dyDescent="0.2">
      <c r="H2236" s="180"/>
      <c r="P2236" s="180" t="s">
        <v>257</v>
      </c>
      <c r="R2236" s="180" t="s">
        <v>257</v>
      </c>
    </row>
    <row r="2237" spans="8:18" x14ac:dyDescent="0.2">
      <c r="H2237" s="180"/>
      <c r="P2237" s="180" t="s">
        <v>257</v>
      </c>
      <c r="R2237" s="180" t="s">
        <v>257</v>
      </c>
    </row>
    <row r="2238" spans="8:18" x14ac:dyDescent="0.2">
      <c r="H2238" s="180"/>
      <c r="P2238" s="180" t="s">
        <v>257</v>
      </c>
      <c r="R2238" s="180" t="s">
        <v>257</v>
      </c>
    </row>
    <row r="2239" spans="8:18" x14ac:dyDescent="0.2">
      <c r="H2239" s="180"/>
      <c r="P2239" s="180" t="s">
        <v>257</v>
      </c>
      <c r="R2239" s="180" t="s">
        <v>257</v>
      </c>
    </row>
    <row r="2240" spans="8:18" x14ac:dyDescent="0.2">
      <c r="H2240" s="180"/>
      <c r="P2240" s="180" t="s">
        <v>257</v>
      </c>
      <c r="R2240" s="180" t="s">
        <v>257</v>
      </c>
    </row>
    <row r="2241" spans="8:18" x14ac:dyDescent="0.2">
      <c r="H2241" s="180"/>
      <c r="P2241" s="180" t="s">
        <v>257</v>
      </c>
      <c r="R2241" s="180" t="s">
        <v>257</v>
      </c>
    </row>
    <row r="2242" spans="8:18" x14ac:dyDescent="0.2">
      <c r="H2242" s="180"/>
      <c r="P2242" s="180" t="s">
        <v>257</v>
      </c>
      <c r="R2242" s="180" t="s">
        <v>257</v>
      </c>
    </row>
    <row r="2243" spans="8:18" x14ac:dyDescent="0.2">
      <c r="H2243" s="180"/>
      <c r="P2243" s="180" t="s">
        <v>257</v>
      </c>
      <c r="R2243" s="180" t="s">
        <v>257</v>
      </c>
    </row>
    <row r="2244" spans="8:18" x14ac:dyDescent="0.2">
      <c r="H2244" s="180"/>
      <c r="P2244" s="180" t="s">
        <v>257</v>
      </c>
      <c r="R2244" s="180" t="s">
        <v>257</v>
      </c>
    </row>
    <row r="2245" spans="8:18" x14ac:dyDescent="0.2">
      <c r="H2245" s="180"/>
      <c r="P2245" s="180" t="s">
        <v>257</v>
      </c>
      <c r="R2245" s="180" t="s">
        <v>257</v>
      </c>
    </row>
    <row r="2246" spans="8:18" x14ac:dyDescent="0.2">
      <c r="H2246" s="180"/>
      <c r="P2246" s="180" t="s">
        <v>257</v>
      </c>
      <c r="R2246" s="180" t="s">
        <v>257</v>
      </c>
    </row>
    <row r="2247" spans="8:18" x14ac:dyDescent="0.2">
      <c r="H2247" s="180"/>
      <c r="P2247" s="180" t="s">
        <v>257</v>
      </c>
      <c r="R2247" s="180" t="s">
        <v>257</v>
      </c>
    </row>
    <row r="2248" spans="8:18" x14ac:dyDescent="0.2">
      <c r="H2248" s="180"/>
      <c r="P2248" s="180" t="s">
        <v>257</v>
      </c>
      <c r="R2248" s="180" t="s">
        <v>257</v>
      </c>
    </row>
    <row r="2249" spans="8:18" x14ac:dyDescent="0.2">
      <c r="H2249" s="180"/>
      <c r="P2249" s="180" t="s">
        <v>257</v>
      </c>
      <c r="R2249" s="180" t="s">
        <v>257</v>
      </c>
    </row>
    <row r="2250" spans="8:18" x14ac:dyDescent="0.2">
      <c r="H2250" s="180"/>
      <c r="P2250" s="180" t="s">
        <v>257</v>
      </c>
      <c r="R2250" s="180" t="s">
        <v>257</v>
      </c>
    </row>
    <row r="2251" spans="8:18" x14ac:dyDescent="0.2">
      <c r="H2251" s="180"/>
      <c r="P2251" s="180" t="s">
        <v>257</v>
      </c>
      <c r="R2251" s="180" t="s">
        <v>257</v>
      </c>
    </row>
    <row r="2252" spans="8:18" x14ac:dyDescent="0.2">
      <c r="H2252" s="180"/>
      <c r="P2252" s="180" t="s">
        <v>257</v>
      </c>
      <c r="R2252" s="180" t="s">
        <v>257</v>
      </c>
    </row>
    <row r="2253" spans="8:18" x14ac:dyDescent="0.2">
      <c r="H2253" s="180"/>
      <c r="P2253" s="180" t="s">
        <v>257</v>
      </c>
      <c r="R2253" s="180" t="s">
        <v>257</v>
      </c>
    </row>
    <row r="2254" spans="8:18" x14ac:dyDescent="0.2">
      <c r="H2254" s="180"/>
      <c r="P2254" s="180" t="s">
        <v>257</v>
      </c>
      <c r="R2254" s="180" t="s">
        <v>257</v>
      </c>
    </row>
    <row r="2255" spans="8:18" x14ac:dyDescent="0.2">
      <c r="H2255" s="180"/>
      <c r="P2255" s="180" t="s">
        <v>257</v>
      </c>
      <c r="R2255" s="180" t="s">
        <v>257</v>
      </c>
    </row>
    <row r="2256" spans="8:18" x14ac:dyDescent="0.2">
      <c r="H2256" s="180"/>
      <c r="P2256" s="180" t="s">
        <v>257</v>
      </c>
      <c r="R2256" s="180" t="s">
        <v>257</v>
      </c>
    </row>
    <row r="2257" spans="8:18" x14ac:dyDescent="0.2">
      <c r="H2257" s="180"/>
      <c r="P2257" s="180" t="s">
        <v>257</v>
      </c>
      <c r="R2257" s="180" t="s">
        <v>257</v>
      </c>
    </row>
    <row r="2258" spans="8:18" x14ac:dyDescent="0.2">
      <c r="H2258" s="180"/>
      <c r="P2258" s="180" t="s">
        <v>257</v>
      </c>
      <c r="R2258" s="180" t="s">
        <v>257</v>
      </c>
    </row>
    <row r="2259" spans="8:18" x14ac:dyDescent="0.2">
      <c r="H2259" s="180"/>
      <c r="P2259" s="180" t="s">
        <v>257</v>
      </c>
      <c r="R2259" s="180" t="s">
        <v>257</v>
      </c>
    </row>
    <row r="2260" spans="8:18" x14ac:dyDescent="0.2">
      <c r="H2260" s="180"/>
      <c r="P2260" s="180" t="s">
        <v>257</v>
      </c>
      <c r="R2260" s="180" t="s">
        <v>257</v>
      </c>
    </row>
    <row r="2261" spans="8:18" x14ac:dyDescent="0.2">
      <c r="H2261" s="180"/>
      <c r="P2261" s="180" t="s">
        <v>257</v>
      </c>
      <c r="R2261" s="180" t="s">
        <v>257</v>
      </c>
    </row>
    <row r="2262" spans="8:18" x14ac:dyDescent="0.2">
      <c r="H2262" s="180"/>
      <c r="P2262" s="180" t="s">
        <v>257</v>
      </c>
      <c r="R2262" s="180" t="s">
        <v>257</v>
      </c>
    </row>
    <row r="2263" spans="8:18" x14ac:dyDescent="0.2">
      <c r="H2263" s="180"/>
      <c r="P2263" s="180" t="s">
        <v>257</v>
      </c>
      <c r="R2263" s="180" t="s">
        <v>257</v>
      </c>
    </row>
    <row r="2264" spans="8:18" x14ac:dyDescent="0.2">
      <c r="H2264" s="180"/>
      <c r="P2264" s="180" t="s">
        <v>257</v>
      </c>
      <c r="R2264" s="180" t="s">
        <v>257</v>
      </c>
    </row>
    <row r="2265" spans="8:18" x14ac:dyDescent="0.2">
      <c r="H2265" s="180"/>
      <c r="P2265" s="180" t="s">
        <v>257</v>
      </c>
      <c r="R2265" s="180" t="s">
        <v>257</v>
      </c>
    </row>
    <row r="2266" spans="8:18" x14ac:dyDescent="0.2">
      <c r="H2266" s="180"/>
      <c r="P2266" s="180" t="s">
        <v>257</v>
      </c>
      <c r="R2266" s="180" t="s">
        <v>257</v>
      </c>
    </row>
    <row r="2267" spans="8:18" x14ac:dyDescent="0.2">
      <c r="H2267" s="180"/>
      <c r="P2267" s="180" t="s">
        <v>257</v>
      </c>
      <c r="R2267" s="180" t="s">
        <v>257</v>
      </c>
    </row>
    <row r="2268" spans="8:18" x14ac:dyDescent="0.2">
      <c r="H2268" s="180"/>
      <c r="P2268" s="180" t="s">
        <v>257</v>
      </c>
      <c r="R2268" s="180" t="s">
        <v>257</v>
      </c>
    </row>
    <row r="2269" spans="8:18" x14ac:dyDescent="0.2">
      <c r="H2269" s="180"/>
      <c r="P2269" s="180" t="s">
        <v>257</v>
      </c>
      <c r="R2269" s="180" t="s">
        <v>257</v>
      </c>
    </row>
    <row r="2270" spans="8:18" x14ac:dyDescent="0.2">
      <c r="H2270" s="180"/>
      <c r="P2270" s="180" t="s">
        <v>257</v>
      </c>
      <c r="R2270" s="180" t="s">
        <v>257</v>
      </c>
    </row>
    <row r="2271" spans="8:18" x14ac:dyDescent="0.2">
      <c r="H2271" s="180"/>
      <c r="P2271" s="180" t="s">
        <v>257</v>
      </c>
      <c r="R2271" s="180" t="s">
        <v>257</v>
      </c>
    </row>
    <row r="2272" spans="8:18" x14ac:dyDescent="0.2">
      <c r="H2272" s="180"/>
      <c r="P2272" s="180" t="s">
        <v>257</v>
      </c>
      <c r="R2272" s="180" t="s">
        <v>257</v>
      </c>
    </row>
    <row r="2273" spans="8:18" x14ac:dyDescent="0.2">
      <c r="H2273" s="180"/>
      <c r="P2273" s="180" t="s">
        <v>257</v>
      </c>
      <c r="R2273" s="180" t="s">
        <v>257</v>
      </c>
    </row>
    <row r="2274" spans="8:18" x14ac:dyDescent="0.2">
      <c r="H2274" s="180"/>
      <c r="P2274" s="180" t="s">
        <v>257</v>
      </c>
      <c r="R2274" s="180" t="s">
        <v>257</v>
      </c>
    </row>
    <row r="2275" spans="8:18" x14ac:dyDescent="0.2">
      <c r="H2275" s="180"/>
      <c r="P2275" s="180" t="s">
        <v>257</v>
      </c>
      <c r="R2275" s="180" t="s">
        <v>257</v>
      </c>
    </row>
    <row r="2276" spans="8:18" x14ac:dyDescent="0.2">
      <c r="H2276" s="180"/>
      <c r="P2276" s="180" t="s">
        <v>257</v>
      </c>
      <c r="R2276" s="180" t="s">
        <v>257</v>
      </c>
    </row>
    <row r="2277" spans="8:18" x14ac:dyDescent="0.2">
      <c r="H2277" s="180"/>
      <c r="P2277" s="180" t="s">
        <v>257</v>
      </c>
      <c r="R2277" s="180" t="s">
        <v>257</v>
      </c>
    </row>
    <row r="2278" spans="8:18" x14ac:dyDescent="0.2">
      <c r="H2278" s="180"/>
      <c r="P2278" s="180" t="s">
        <v>257</v>
      </c>
      <c r="R2278" s="180" t="s">
        <v>257</v>
      </c>
    </row>
    <row r="2279" spans="8:18" x14ac:dyDescent="0.2">
      <c r="H2279" s="180"/>
      <c r="P2279" s="180" t="s">
        <v>257</v>
      </c>
      <c r="R2279" s="180" t="s">
        <v>257</v>
      </c>
    </row>
    <row r="2280" spans="8:18" x14ac:dyDescent="0.2">
      <c r="H2280" s="180"/>
      <c r="P2280" s="180" t="s">
        <v>257</v>
      </c>
      <c r="R2280" s="180" t="s">
        <v>257</v>
      </c>
    </row>
    <row r="2281" spans="8:18" x14ac:dyDescent="0.2">
      <c r="H2281" s="180"/>
      <c r="P2281" s="180" t="s">
        <v>257</v>
      </c>
      <c r="R2281" s="180" t="s">
        <v>257</v>
      </c>
    </row>
    <row r="2282" spans="8:18" x14ac:dyDescent="0.2">
      <c r="H2282" s="180"/>
      <c r="P2282" s="180" t="s">
        <v>257</v>
      </c>
      <c r="R2282" s="180" t="s">
        <v>257</v>
      </c>
    </row>
    <row r="2283" spans="8:18" x14ac:dyDescent="0.2">
      <c r="H2283" s="180"/>
      <c r="P2283" s="180" t="s">
        <v>257</v>
      </c>
      <c r="R2283" s="180" t="s">
        <v>257</v>
      </c>
    </row>
    <row r="2284" spans="8:18" x14ac:dyDescent="0.2">
      <c r="H2284" s="180"/>
      <c r="P2284" s="180" t="s">
        <v>257</v>
      </c>
      <c r="R2284" s="180" t="s">
        <v>257</v>
      </c>
    </row>
    <row r="2285" spans="8:18" x14ac:dyDescent="0.2">
      <c r="H2285" s="180"/>
      <c r="P2285" s="180" t="s">
        <v>257</v>
      </c>
      <c r="R2285" s="180" t="s">
        <v>257</v>
      </c>
    </row>
    <row r="2286" spans="8:18" x14ac:dyDescent="0.2">
      <c r="H2286" s="180"/>
      <c r="P2286" s="180" t="s">
        <v>257</v>
      </c>
      <c r="R2286" s="180" t="s">
        <v>257</v>
      </c>
    </row>
    <row r="2287" spans="8:18" x14ac:dyDescent="0.2">
      <c r="H2287" s="180"/>
      <c r="P2287" s="180" t="s">
        <v>257</v>
      </c>
      <c r="R2287" s="180" t="s">
        <v>257</v>
      </c>
    </row>
    <row r="2288" spans="8:18" x14ac:dyDescent="0.2">
      <c r="H2288" s="180"/>
      <c r="P2288" s="180" t="s">
        <v>257</v>
      </c>
      <c r="R2288" s="180" t="s">
        <v>257</v>
      </c>
    </row>
    <row r="2289" spans="8:18" x14ac:dyDescent="0.2">
      <c r="H2289" s="180"/>
      <c r="P2289" s="180" t="s">
        <v>257</v>
      </c>
      <c r="R2289" s="180" t="s">
        <v>257</v>
      </c>
    </row>
    <row r="2290" spans="8:18" x14ac:dyDescent="0.2">
      <c r="H2290" s="180"/>
      <c r="P2290" s="180" t="s">
        <v>257</v>
      </c>
      <c r="R2290" s="180" t="s">
        <v>257</v>
      </c>
    </row>
    <row r="2291" spans="8:18" x14ac:dyDescent="0.2">
      <c r="H2291" s="180"/>
      <c r="P2291" s="180" t="s">
        <v>257</v>
      </c>
      <c r="R2291" s="180" t="s">
        <v>257</v>
      </c>
    </row>
    <row r="2292" spans="8:18" x14ac:dyDescent="0.2">
      <c r="H2292" s="180"/>
      <c r="P2292" s="180" t="s">
        <v>257</v>
      </c>
      <c r="R2292" s="180" t="s">
        <v>257</v>
      </c>
    </row>
    <row r="2293" spans="8:18" x14ac:dyDescent="0.2">
      <c r="H2293" s="180"/>
      <c r="P2293" s="180" t="s">
        <v>257</v>
      </c>
      <c r="R2293" s="180" t="s">
        <v>257</v>
      </c>
    </row>
    <row r="2294" spans="8:18" x14ac:dyDescent="0.2">
      <c r="H2294" s="180"/>
      <c r="P2294" s="180" t="s">
        <v>257</v>
      </c>
      <c r="R2294" s="180" t="s">
        <v>257</v>
      </c>
    </row>
    <row r="2295" spans="8:18" x14ac:dyDescent="0.2">
      <c r="H2295" s="180"/>
      <c r="P2295" s="180" t="s">
        <v>257</v>
      </c>
      <c r="R2295" s="180" t="s">
        <v>257</v>
      </c>
    </row>
    <row r="2296" spans="8:18" x14ac:dyDescent="0.2">
      <c r="H2296" s="180"/>
      <c r="P2296" s="180" t="s">
        <v>257</v>
      </c>
      <c r="R2296" s="180" t="s">
        <v>257</v>
      </c>
    </row>
    <row r="2297" spans="8:18" x14ac:dyDescent="0.2">
      <c r="H2297" s="180"/>
      <c r="P2297" s="180" t="s">
        <v>257</v>
      </c>
      <c r="R2297" s="180" t="s">
        <v>257</v>
      </c>
    </row>
    <row r="2298" spans="8:18" x14ac:dyDescent="0.2">
      <c r="H2298" s="180"/>
      <c r="P2298" s="180" t="s">
        <v>257</v>
      </c>
      <c r="R2298" s="180" t="s">
        <v>257</v>
      </c>
    </row>
    <row r="2299" spans="8:18" x14ac:dyDescent="0.2">
      <c r="H2299" s="180"/>
      <c r="P2299" s="180" t="s">
        <v>257</v>
      </c>
      <c r="R2299" s="180" t="s">
        <v>257</v>
      </c>
    </row>
    <row r="2300" spans="8:18" x14ac:dyDescent="0.2">
      <c r="H2300" s="180"/>
      <c r="P2300" s="180" t="s">
        <v>257</v>
      </c>
      <c r="R2300" s="180" t="s">
        <v>257</v>
      </c>
    </row>
    <row r="2301" spans="8:18" x14ac:dyDescent="0.2">
      <c r="H2301" s="180"/>
      <c r="P2301" s="180" t="s">
        <v>257</v>
      </c>
      <c r="R2301" s="180" t="s">
        <v>257</v>
      </c>
    </row>
    <row r="2302" spans="8:18" x14ac:dyDescent="0.2">
      <c r="H2302" s="180"/>
      <c r="P2302" s="180" t="s">
        <v>257</v>
      </c>
      <c r="R2302" s="180" t="s">
        <v>257</v>
      </c>
    </row>
    <row r="2303" spans="8:18" x14ac:dyDescent="0.2">
      <c r="H2303" s="180"/>
      <c r="P2303" s="180" t="s">
        <v>257</v>
      </c>
      <c r="R2303" s="180" t="s">
        <v>257</v>
      </c>
    </row>
    <row r="2304" spans="8:18" x14ac:dyDescent="0.2">
      <c r="H2304" s="180"/>
      <c r="P2304" s="180" t="s">
        <v>257</v>
      </c>
      <c r="R2304" s="180" t="s">
        <v>257</v>
      </c>
    </row>
    <row r="2305" spans="8:18" x14ac:dyDescent="0.2">
      <c r="H2305" s="180"/>
      <c r="P2305" s="180" t="s">
        <v>257</v>
      </c>
      <c r="R2305" s="180" t="s">
        <v>257</v>
      </c>
    </row>
    <row r="2306" spans="8:18" x14ac:dyDescent="0.2">
      <c r="H2306" s="180"/>
      <c r="P2306" s="180" t="s">
        <v>257</v>
      </c>
      <c r="R2306" s="180" t="s">
        <v>257</v>
      </c>
    </row>
    <row r="2307" spans="8:18" x14ac:dyDescent="0.2">
      <c r="H2307" s="180"/>
      <c r="P2307" s="180" t="s">
        <v>257</v>
      </c>
      <c r="R2307" s="180" t="s">
        <v>257</v>
      </c>
    </row>
    <row r="2308" spans="8:18" x14ac:dyDescent="0.2">
      <c r="H2308" s="180"/>
      <c r="P2308" s="180" t="s">
        <v>257</v>
      </c>
      <c r="R2308" s="180" t="s">
        <v>257</v>
      </c>
    </row>
    <row r="2309" spans="8:18" x14ac:dyDescent="0.2">
      <c r="H2309" s="180"/>
      <c r="P2309" s="180" t="s">
        <v>257</v>
      </c>
      <c r="R2309" s="180" t="s">
        <v>257</v>
      </c>
    </row>
    <row r="2310" spans="8:18" x14ac:dyDescent="0.2">
      <c r="H2310" s="180"/>
      <c r="P2310" s="180" t="s">
        <v>257</v>
      </c>
      <c r="R2310" s="180" t="s">
        <v>257</v>
      </c>
    </row>
    <row r="2311" spans="8:18" x14ac:dyDescent="0.2">
      <c r="H2311" s="180"/>
      <c r="P2311" s="180" t="s">
        <v>257</v>
      </c>
      <c r="R2311" s="180" t="s">
        <v>257</v>
      </c>
    </row>
    <row r="2312" spans="8:18" x14ac:dyDescent="0.2">
      <c r="H2312" s="180"/>
      <c r="P2312" s="180" t="s">
        <v>257</v>
      </c>
      <c r="R2312" s="180" t="s">
        <v>257</v>
      </c>
    </row>
    <row r="2313" spans="8:18" x14ac:dyDescent="0.2">
      <c r="H2313" s="180"/>
      <c r="P2313" s="180" t="s">
        <v>257</v>
      </c>
      <c r="R2313" s="180" t="s">
        <v>257</v>
      </c>
    </row>
    <row r="2314" spans="8:18" x14ac:dyDescent="0.2">
      <c r="H2314" s="180"/>
      <c r="P2314" s="180" t="s">
        <v>257</v>
      </c>
      <c r="R2314" s="180" t="s">
        <v>257</v>
      </c>
    </row>
    <row r="2315" spans="8:18" x14ac:dyDescent="0.2">
      <c r="H2315" s="180"/>
      <c r="P2315" s="180" t="s">
        <v>257</v>
      </c>
      <c r="R2315" s="180" t="s">
        <v>257</v>
      </c>
    </row>
    <row r="2316" spans="8:18" x14ac:dyDescent="0.2">
      <c r="H2316" s="180"/>
      <c r="P2316" s="180" t="s">
        <v>257</v>
      </c>
      <c r="R2316" s="180" t="s">
        <v>257</v>
      </c>
    </row>
    <row r="2317" spans="8:18" x14ac:dyDescent="0.2">
      <c r="H2317" s="180"/>
      <c r="P2317" s="180" t="s">
        <v>257</v>
      </c>
      <c r="R2317" s="180" t="s">
        <v>257</v>
      </c>
    </row>
    <row r="2318" spans="8:18" x14ac:dyDescent="0.2">
      <c r="H2318" s="180"/>
      <c r="P2318" s="180" t="s">
        <v>257</v>
      </c>
      <c r="R2318" s="180" t="s">
        <v>257</v>
      </c>
    </row>
    <row r="2319" spans="8:18" x14ac:dyDescent="0.2">
      <c r="H2319" s="180"/>
      <c r="P2319" s="180" t="s">
        <v>257</v>
      </c>
      <c r="R2319" s="180" t="s">
        <v>257</v>
      </c>
    </row>
    <row r="2320" spans="8:18" x14ac:dyDescent="0.2">
      <c r="H2320" s="180"/>
      <c r="P2320" s="180" t="s">
        <v>257</v>
      </c>
      <c r="R2320" s="180" t="s">
        <v>257</v>
      </c>
    </row>
    <row r="2321" spans="8:18" x14ac:dyDescent="0.2">
      <c r="H2321" s="180"/>
      <c r="P2321" s="180" t="s">
        <v>257</v>
      </c>
      <c r="R2321" s="180" t="s">
        <v>257</v>
      </c>
    </row>
    <row r="2322" spans="8:18" x14ac:dyDescent="0.2">
      <c r="H2322" s="180"/>
      <c r="P2322" s="180" t="s">
        <v>257</v>
      </c>
      <c r="R2322" s="180" t="s">
        <v>257</v>
      </c>
    </row>
    <row r="2323" spans="8:18" x14ac:dyDescent="0.2">
      <c r="H2323" s="180"/>
      <c r="P2323" s="180" t="s">
        <v>257</v>
      </c>
      <c r="R2323" s="180" t="s">
        <v>257</v>
      </c>
    </row>
    <row r="2324" spans="8:18" x14ac:dyDescent="0.2">
      <c r="H2324" s="180"/>
      <c r="P2324" s="180" t="s">
        <v>257</v>
      </c>
      <c r="R2324" s="180" t="s">
        <v>257</v>
      </c>
    </row>
    <row r="2325" spans="8:18" x14ac:dyDescent="0.2">
      <c r="H2325" s="180"/>
      <c r="P2325" s="180" t="s">
        <v>257</v>
      </c>
      <c r="R2325" s="180" t="s">
        <v>257</v>
      </c>
    </row>
    <row r="2326" spans="8:18" x14ac:dyDescent="0.2">
      <c r="H2326" s="180"/>
      <c r="P2326" s="180" t="s">
        <v>257</v>
      </c>
      <c r="R2326" s="180" t="s">
        <v>257</v>
      </c>
    </row>
    <row r="2327" spans="8:18" x14ac:dyDescent="0.2">
      <c r="H2327" s="180"/>
      <c r="P2327" s="180" t="s">
        <v>257</v>
      </c>
      <c r="R2327" s="180" t="s">
        <v>257</v>
      </c>
    </row>
    <row r="2328" spans="8:18" x14ac:dyDescent="0.2">
      <c r="H2328" s="180"/>
      <c r="P2328" s="180" t="s">
        <v>257</v>
      </c>
      <c r="R2328" s="180" t="s">
        <v>257</v>
      </c>
    </row>
    <row r="2329" spans="8:18" x14ac:dyDescent="0.2">
      <c r="H2329" s="180"/>
      <c r="P2329" s="180" t="s">
        <v>257</v>
      </c>
      <c r="R2329" s="180" t="s">
        <v>257</v>
      </c>
    </row>
    <row r="2330" spans="8:18" x14ac:dyDescent="0.2">
      <c r="H2330" s="180"/>
      <c r="P2330" s="180" t="s">
        <v>257</v>
      </c>
      <c r="R2330" s="180" t="s">
        <v>257</v>
      </c>
    </row>
    <row r="2331" spans="8:18" x14ac:dyDescent="0.2">
      <c r="H2331" s="180"/>
      <c r="P2331" s="180" t="s">
        <v>257</v>
      </c>
      <c r="R2331" s="180" t="s">
        <v>257</v>
      </c>
    </row>
    <row r="2332" spans="8:18" x14ac:dyDescent="0.2">
      <c r="H2332" s="180"/>
      <c r="P2332" s="180" t="s">
        <v>257</v>
      </c>
      <c r="R2332" s="180" t="s">
        <v>257</v>
      </c>
    </row>
    <row r="2333" spans="8:18" x14ac:dyDescent="0.2">
      <c r="H2333" s="180"/>
      <c r="P2333" s="180" t="s">
        <v>257</v>
      </c>
      <c r="R2333" s="180" t="s">
        <v>257</v>
      </c>
    </row>
    <row r="2334" spans="8:18" x14ac:dyDescent="0.2">
      <c r="H2334" s="180"/>
      <c r="P2334" s="180" t="s">
        <v>257</v>
      </c>
      <c r="R2334" s="180" t="s">
        <v>257</v>
      </c>
    </row>
    <row r="2335" spans="8:18" x14ac:dyDescent="0.2">
      <c r="H2335" s="180"/>
      <c r="P2335" s="180" t="s">
        <v>257</v>
      </c>
      <c r="R2335" s="180" t="s">
        <v>257</v>
      </c>
    </row>
    <row r="2336" spans="8:18" x14ac:dyDescent="0.2">
      <c r="H2336" s="180"/>
      <c r="P2336" s="180" t="s">
        <v>257</v>
      </c>
      <c r="R2336" s="180" t="s">
        <v>257</v>
      </c>
    </row>
    <row r="2337" spans="8:18" x14ac:dyDescent="0.2">
      <c r="H2337" s="180"/>
      <c r="P2337" s="180" t="s">
        <v>257</v>
      </c>
      <c r="R2337" s="180" t="s">
        <v>257</v>
      </c>
    </row>
    <row r="2338" spans="8:18" x14ac:dyDescent="0.2">
      <c r="H2338" s="180"/>
      <c r="P2338" s="180" t="s">
        <v>257</v>
      </c>
      <c r="R2338" s="180" t="s">
        <v>257</v>
      </c>
    </row>
    <row r="2339" spans="8:18" x14ac:dyDescent="0.2">
      <c r="H2339" s="180"/>
      <c r="P2339" s="180" t="s">
        <v>257</v>
      </c>
      <c r="R2339" s="180" t="s">
        <v>257</v>
      </c>
    </row>
    <row r="2340" spans="8:18" x14ac:dyDescent="0.2">
      <c r="H2340" s="180"/>
      <c r="P2340" s="180" t="s">
        <v>257</v>
      </c>
      <c r="R2340" s="180" t="s">
        <v>257</v>
      </c>
    </row>
    <row r="2341" spans="8:18" x14ac:dyDescent="0.2">
      <c r="H2341" s="180"/>
      <c r="P2341" s="180" t="s">
        <v>257</v>
      </c>
      <c r="R2341" s="180" t="s">
        <v>257</v>
      </c>
    </row>
    <row r="2342" spans="8:18" x14ac:dyDescent="0.2">
      <c r="H2342" s="180"/>
      <c r="P2342" s="180" t="s">
        <v>257</v>
      </c>
      <c r="R2342" s="180" t="s">
        <v>257</v>
      </c>
    </row>
    <row r="2343" spans="8:18" x14ac:dyDescent="0.2">
      <c r="H2343" s="180"/>
      <c r="P2343" s="180" t="s">
        <v>257</v>
      </c>
      <c r="R2343" s="180" t="s">
        <v>257</v>
      </c>
    </row>
    <row r="2344" spans="8:18" x14ac:dyDescent="0.2">
      <c r="H2344" s="180"/>
      <c r="P2344" s="180" t="s">
        <v>257</v>
      </c>
      <c r="R2344" s="180" t="s">
        <v>257</v>
      </c>
    </row>
    <row r="2345" spans="8:18" x14ac:dyDescent="0.2">
      <c r="H2345" s="180"/>
      <c r="P2345" s="180" t="s">
        <v>257</v>
      </c>
      <c r="R2345" s="180" t="s">
        <v>257</v>
      </c>
    </row>
    <row r="2346" spans="8:18" x14ac:dyDescent="0.2">
      <c r="H2346" s="180"/>
      <c r="P2346" s="180" t="s">
        <v>257</v>
      </c>
      <c r="R2346" s="180" t="s">
        <v>257</v>
      </c>
    </row>
    <row r="2347" spans="8:18" x14ac:dyDescent="0.2">
      <c r="H2347" s="180"/>
      <c r="P2347" s="180" t="s">
        <v>257</v>
      </c>
      <c r="R2347" s="180" t="s">
        <v>257</v>
      </c>
    </row>
    <row r="2348" spans="8:18" x14ac:dyDescent="0.2">
      <c r="H2348" s="180"/>
      <c r="P2348" s="180" t="s">
        <v>257</v>
      </c>
      <c r="R2348" s="180" t="s">
        <v>257</v>
      </c>
    </row>
    <row r="2349" spans="8:18" x14ac:dyDescent="0.2">
      <c r="H2349" s="180"/>
      <c r="P2349" s="180" t="s">
        <v>257</v>
      </c>
      <c r="R2349" s="180" t="s">
        <v>257</v>
      </c>
    </row>
    <row r="2350" spans="8:18" x14ac:dyDescent="0.2">
      <c r="H2350" s="180"/>
      <c r="P2350" s="180" t="s">
        <v>257</v>
      </c>
      <c r="R2350" s="180" t="s">
        <v>257</v>
      </c>
    </row>
    <row r="2351" spans="8:18" x14ac:dyDescent="0.2">
      <c r="H2351" s="180"/>
      <c r="P2351" s="180" t="s">
        <v>257</v>
      </c>
      <c r="R2351" s="180" t="s">
        <v>257</v>
      </c>
    </row>
    <row r="2352" spans="8:18" x14ac:dyDescent="0.2">
      <c r="H2352" s="180"/>
      <c r="P2352" s="180" t="s">
        <v>257</v>
      </c>
      <c r="R2352" s="180" t="s">
        <v>257</v>
      </c>
    </row>
    <row r="2353" spans="8:18" x14ac:dyDescent="0.2">
      <c r="H2353" s="180"/>
      <c r="P2353" s="180" t="s">
        <v>257</v>
      </c>
      <c r="R2353" s="180" t="s">
        <v>257</v>
      </c>
    </row>
    <row r="2354" spans="8:18" x14ac:dyDescent="0.2">
      <c r="H2354" s="180"/>
      <c r="P2354" s="180" t="s">
        <v>257</v>
      </c>
      <c r="R2354" s="180" t="s">
        <v>257</v>
      </c>
    </row>
    <row r="2355" spans="8:18" x14ac:dyDescent="0.2">
      <c r="H2355" s="180"/>
      <c r="P2355" s="180" t="s">
        <v>257</v>
      </c>
      <c r="R2355" s="180" t="s">
        <v>257</v>
      </c>
    </row>
    <row r="2356" spans="8:18" x14ac:dyDescent="0.2">
      <c r="H2356" s="180"/>
      <c r="P2356" s="180" t="s">
        <v>257</v>
      </c>
      <c r="R2356" s="180" t="s">
        <v>257</v>
      </c>
    </row>
    <row r="2357" spans="8:18" x14ac:dyDescent="0.2">
      <c r="H2357" s="180"/>
      <c r="P2357" s="180" t="s">
        <v>257</v>
      </c>
      <c r="R2357" s="180" t="s">
        <v>257</v>
      </c>
    </row>
    <row r="2358" spans="8:18" x14ac:dyDescent="0.2">
      <c r="H2358" s="180"/>
      <c r="P2358" s="180" t="s">
        <v>257</v>
      </c>
      <c r="R2358" s="180" t="s">
        <v>257</v>
      </c>
    </row>
    <row r="2359" spans="8:18" x14ac:dyDescent="0.2">
      <c r="H2359" s="180"/>
      <c r="P2359" s="180" t="s">
        <v>257</v>
      </c>
      <c r="R2359" s="180" t="s">
        <v>257</v>
      </c>
    </row>
    <row r="2360" spans="8:18" x14ac:dyDescent="0.2">
      <c r="H2360" s="180"/>
      <c r="P2360" s="180" t="s">
        <v>257</v>
      </c>
      <c r="R2360" s="180" t="s">
        <v>257</v>
      </c>
    </row>
    <row r="2361" spans="8:18" x14ac:dyDescent="0.2">
      <c r="H2361" s="180"/>
      <c r="P2361" s="180" t="s">
        <v>257</v>
      </c>
      <c r="R2361" s="180" t="s">
        <v>257</v>
      </c>
    </row>
    <row r="2362" spans="8:18" x14ac:dyDescent="0.2">
      <c r="H2362" s="180"/>
      <c r="P2362" s="180" t="s">
        <v>257</v>
      </c>
      <c r="R2362" s="180" t="s">
        <v>257</v>
      </c>
    </row>
    <row r="2363" spans="8:18" x14ac:dyDescent="0.2">
      <c r="H2363" s="180"/>
      <c r="P2363" s="180" t="s">
        <v>257</v>
      </c>
      <c r="R2363" s="180" t="s">
        <v>257</v>
      </c>
    </row>
    <row r="2364" spans="8:18" x14ac:dyDescent="0.2">
      <c r="H2364" s="180"/>
      <c r="P2364" s="180" t="s">
        <v>257</v>
      </c>
      <c r="R2364" s="180" t="s">
        <v>257</v>
      </c>
    </row>
    <row r="2365" spans="8:18" x14ac:dyDescent="0.2">
      <c r="H2365" s="180"/>
      <c r="P2365" s="180" t="s">
        <v>257</v>
      </c>
      <c r="R2365" s="180" t="s">
        <v>257</v>
      </c>
    </row>
    <row r="2366" spans="8:18" x14ac:dyDescent="0.2">
      <c r="H2366" s="180"/>
      <c r="P2366" s="180" t="s">
        <v>257</v>
      </c>
      <c r="R2366" s="180" t="s">
        <v>257</v>
      </c>
    </row>
    <row r="2367" spans="8:18" x14ac:dyDescent="0.2">
      <c r="H2367" s="180"/>
      <c r="P2367" s="180" t="s">
        <v>257</v>
      </c>
      <c r="R2367" s="180" t="s">
        <v>257</v>
      </c>
    </row>
    <row r="2368" spans="8:18" x14ac:dyDescent="0.2">
      <c r="H2368" s="180"/>
      <c r="P2368" s="180" t="s">
        <v>257</v>
      </c>
      <c r="R2368" s="180" t="s">
        <v>257</v>
      </c>
    </row>
    <row r="2369" spans="8:18" x14ac:dyDescent="0.2">
      <c r="H2369" s="180"/>
      <c r="P2369" s="180" t="s">
        <v>257</v>
      </c>
      <c r="R2369" s="180" t="s">
        <v>257</v>
      </c>
    </row>
    <row r="2370" spans="8:18" x14ac:dyDescent="0.2">
      <c r="H2370" s="180"/>
      <c r="P2370" s="180" t="s">
        <v>257</v>
      </c>
      <c r="R2370" s="180" t="s">
        <v>257</v>
      </c>
    </row>
    <row r="2371" spans="8:18" x14ac:dyDescent="0.2">
      <c r="H2371" s="180"/>
      <c r="P2371" s="180" t="s">
        <v>257</v>
      </c>
      <c r="R2371" s="180" t="s">
        <v>257</v>
      </c>
    </row>
    <row r="2372" spans="8:18" x14ac:dyDescent="0.2">
      <c r="H2372" s="180"/>
      <c r="P2372" s="180" t="s">
        <v>257</v>
      </c>
      <c r="R2372" s="180" t="s">
        <v>257</v>
      </c>
    </row>
    <row r="2373" spans="8:18" x14ac:dyDescent="0.2">
      <c r="H2373" s="180"/>
      <c r="P2373" s="180" t="s">
        <v>257</v>
      </c>
      <c r="R2373" s="180" t="s">
        <v>257</v>
      </c>
    </row>
    <row r="2374" spans="8:18" x14ac:dyDescent="0.2">
      <c r="H2374" s="180"/>
      <c r="P2374" s="180" t="s">
        <v>257</v>
      </c>
      <c r="R2374" s="180" t="s">
        <v>257</v>
      </c>
    </row>
    <row r="2375" spans="8:18" x14ac:dyDescent="0.2">
      <c r="H2375" s="180"/>
      <c r="P2375" s="180" t="s">
        <v>257</v>
      </c>
      <c r="R2375" s="180" t="s">
        <v>257</v>
      </c>
    </row>
    <row r="2376" spans="8:18" x14ac:dyDescent="0.2">
      <c r="H2376" s="180"/>
      <c r="P2376" s="180" t="s">
        <v>257</v>
      </c>
      <c r="R2376" s="180" t="s">
        <v>257</v>
      </c>
    </row>
    <row r="2377" spans="8:18" x14ac:dyDescent="0.2">
      <c r="H2377" s="180"/>
      <c r="P2377" s="180" t="s">
        <v>257</v>
      </c>
      <c r="R2377" s="180" t="s">
        <v>257</v>
      </c>
    </row>
    <row r="2378" spans="8:18" x14ac:dyDescent="0.2">
      <c r="H2378" s="180"/>
      <c r="P2378" s="180" t="s">
        <v>257</v>
      </c>
      <c r="R2378" s="180" t="s">
        <v>257</v>
      </c>
    </row>
    <row r="2379" spans="8:18" x14ac:dyDescent="0.2">
      <c r="H2379" s="180"/>
      <c r="P2379" s="180" t="s">
        <v>257</v>
      </c>
      <c r="R2379" s="180" t="s">
        <v>257</v>
      </c>
    </row>
    <row r="2380" spans="8:18" x14ac:dyDescent="0.2">
      <c r="H2380" s="180"/>
      <c r="P2380" s="180" t="s">
        <v>257</v>
      </c>
      <c r="R2380" s="180" t="s">
        <v>257</v>
      </c>
    </row>
    <row r="2381" spans="8:18" x14ac:dyDescent="0.2">
      <c r="H2381" s="180"/>
      <c r="P2381" s="180" t="s">
        <v>257</v>
      </c>
      <c r="R2381" s="180" t="s">
        <v>257</v>
      </c>
    </row>
    <row r="2382" spans="8:18" x14ac:dyDescent="0.2">
      <c r="H2382" s="180"/>
      <c r="P2382" s="180" t="s">
        <v>257</v>
      </c>
      <c r="R2382" s="180" t="s">
        <v>257</v>
      </c>
    </row>
    <row r="2383" spans="8:18" x14ac:dyDescent="0.2">
      <c r="H2383" s="180"/>
      <c r="P2383" s="180" t="s">
        <v>257</v>
      </c>
      <c r="R2383" s="180" t="s">
        <v>257</v>
      </c>
    </row>
    <row r="2384" spans="8:18" x14ac:dyDescent="0.2">
      <c r="H2384" s="180"/>
      <c r="P2384" s="180" t="s">
        <v>257</v>
      </c>
      <c r="R2384" s="180" t="s">
        <v>257</v>
      </c>
    </row>
    <row r="2385" spans="8:18" x14ac:dyDescent="0.2">
      <c r="H2385" s="180"/>
      <c r="P2385" s="180" t="s">
        <v>257</v>
      </c>
      <c r="R2385" s="180" t="s">
        <v>257</v>
      </c>
    </row>
    <row r="2386" spans="8:18" x14ac:dyDescent="0.2">
      <c r="H2386" s="180"/>
      <c r="P2386" s="180" t="s">
        <v>257</v>
      </c>
      <c r="R2386" s="180" t="s">
        <v>257</v>
      </c>
    </row>
    <row r="2387" spans="8:18" x14ac:dyDescent="0.2">
      <c r="H2387" s="180"/>
      <c r="P2387" s="180" t="s">
        <v>257</v>
      </c>
      <c r="R2387" s="180" t="s">
        <v>257</v>
      </c>
    </row>
    <row r="2388" spans="8:18" x14ac:dyDescent="0.2">
      <c r="H2388" s="180"/>
      <c r="P2388" s="180" t="s">
        <v>257</v>
      </c>
      <c r="R2388" s="180" t="s">
        <v>257</v>
      </c>
    </row>
    <row r="2389" spans="8:18" x14ac:dyDescent="0.2">
      <c r="H2389" s="180"/>
      <c r="P2389" s="180" t="s">
        <v>257</v>
      </c>
      <c r="R2389" s="180" t="s">
        <v>257</v>
      </c>
    </row>
    <row r="2390" spans="8:18" x14ac:dyDescent="0.2">
      <c r="H2390" s="180"/>
      <c r="P2390" s="180" t="s">
        <v>257</v>
      </c>
      <c r="R2390" s="180" t="s">
        <v>257</v>
      </c>
    </row>
    <row r="2391" spans="8:18" x14ac:dyDescent="0.2">
      <c r="H2391" s="180"/>
      <c r="P2391" s="180" t="s">
        <v>257</v>
      </c>
      <c r="R2391" s="180" t="s">
        <v>257</v>
      </c>
    </row>
    <row r="2392" spans="8:18" x14ac:dyDescent="0.2">
      <c r="H2392" s="180"/>
      <c r="P2392" s="180" t="s">
        <v>257</v>
      </c>
      <c r="R2392" s="180" t="s">
        <v>257</v>
      </c>
    </row>
    <row r="2393" spans="8:18" x14ac:dyDescent="0.2">
      <c r="H2393" s="180"/>
      <c r="P2393" s="180" t="s">
        <v>257</v>
      </c>
      <c r="R2393" s="180" t="s">
        <v>257</v>
      </c>
    </row>
    <row r="2394" spans="8:18" x14ac:dyDescent="0.2">
      <c r="H2394" s="180"/>
      <c r="P2394" s="180" t="s">
        <v>257</v>
      </c>
      <c r="R2394" s="180" t="s">
        <v>257</v>
      </c>
    </row>
    <row r="2395" spans="8:18" x14ac:dyDescent="0.2">
      <c r="H2395" s="180"/>
      <c r="P2395" s="180" t="s">
        <v>257</v>
      </c>
      <c r="R2395" s="180" t="s">
        <v>257</v>
      </c>
    </row>
    <row r="2396" spans="8:18" x14ac:dyDescent="0.2">
      <c r="H2396" s="180"/>
      <c r="P2396" s="180" t="s">
        <v>257</v>
      </c>
      <c r="R2396" s="180" t="s">
        <v>257</v>
      </c>
    </row>
    <row r="2397" spans="8:18" x14ac:dyDescent="0.2">
      <c r="H2397" s="180"/>
      <c r="P2397" s="180" t="s">
        <v>257</v>
      </c>
      <c r="R2397" s="180" t="s">
        <v>257</v>
      </c>
    </row>
    <row r="2398" spans="8:18" x14ac:dyDescent="0.2">
      <c r="H2398" s="180"/>
      <c r="P2398" s="180" t="s">
        <v>257</v>
      </c>
      <c r="R2398" s="180" t="s">
        <v>257</v>
      </c>
    </row>
    <row r="2399" spans="8:18" x14ac:dyDescent="0.2">
      <c r="H2399" s="180"/>
      <c r="P2399" s="180" t="s">
        <v>257</v>
      </c>
      <c r="R2399" s="180" t="s">
        <v>257</v>
      </c>
    </row>
    <row r="2400" spans="8:18" x14ac:dyDescent="0.2">
      <c r="H2400" s="180"/>
      <c r="P2400" s="180" t="s">
        <v>257</v>
      </c>
      <c r="R2400" s="180" t="s">
        <v>257</v>
      </c>
    </row>
    <row r="2401" spans="8:18" x14ac:dyDescent="0.2">
      <c r="H2401" s="180"/>
      <c r="P2401" s="180" t="s">
        <v>257</v>
      </c>
      <c r="R2401" s="180" t="s">
        <v>257</v>
      </c>
    </row>
    <row r="2402" spans="8:18" x14ac:dyDescent="0.2">
      <c r="H2402" s="180"/>
      <c r="P2402" s="180" t="s">
        <v>257</v>
      </c>
      <c r="R2402" s="180" t="s">
        <v>257</v>
      </c>
    </row>
    <row r="2403" spans="8:18" x14ac:dyDescent="0.2">
      <c r="H2403" s="180"/>
      <c r="P2403" s="180" t="s">
        <v>257</v>
      </c>
      <c r="R2403" s="180" t="s">
        <v>257</v>
      </c>
    </row>
    <row r="2404" spans="8:18" x14ac:dyDescent="0.2">
      <c r="H2404" s="180"/>
      <c r="P2404" s="180" t="s">
        <v>257</v>
      </c>
      <c r="R2404" s="180" t="s">
        <v>257</v>
      </c>
    </row>
    <row r="2405" spans="8:18" x14ac:dyDescent="0.2">
      <c r="H2405" s="180"/>
      <c r="P2405" s="180" t="s">
        <v>257</v>
      </c>
      <c r="R2405" s="180" t="s">
        <v>257</v>
      </c>
    </row>
    <row r="2406" spans="8:18" x14ac:dyDescent="0.2">
      <c r="H2406" s="180"/>
      <c r="P2406" s="180" t="s">
        <v>257</v>
      </c>
      <c r="R2406" s="180" t="s">
        <v>257</v>
      </c>
    </row>
    <row r="2407" spans="8:18" x14ac:dyDescent="0.2">
      <c r="H2407" s="180"/>
      <c r="P2407" s="180" t="s">
        <v>257</v>
      </c>
      <c r="R2407" s="180" t="s">
        <v>257</v>
      </c>
    </row>
    <row r="2408" spans="8:18" x14ac:dyDescent="0.2">
      <c r="H2408" s="180"/>
      <c r="P2408" s="180" t="s">
        <v>257</v>
      </c>
      <c r="R2408" s="180" t="s">
        <v>257</v>
      </c>
    </row>
    <row r="2409" spans="8:18" x14ac:dyDescent="0.2">
      <c r="H2409" s="180"/>
      <c r="P2409" s="180" t="s">
        <v>257</v>
      </c>
      <c r="R2409" s="180" t="s">
        <v>257</v>
      </c>
    </row>
    <row r="2410" spans="8:18" x14ac:dyDescent="0.2">
      <c r="H2410" s="180"/>
      <c r="P2410" s="180" t="s">
        <v>257</v>
      </c>
      <c r="R2410" s="180" t="s">
        <v>257</v>
      </c>
    </row>
    <row r="2411" spans="8:18" x14ac:dyDescent="0.2">
      <c r="H2411" s="180"/>
      <c r="P2411" s="180" t="s">
        <v>257</v>
      </c>
      <c r="R2411" s="180" t="s">
        <v>257</v>
      </c>
    </row>
    <row r="2412" spans="8:18" x14ac:dyDescent="0.2">
      <c r="H2412" s="180"/>
      <c r="P2412" s="180" t="s">
        <v>257</v>
      </c>
      <c r="R2412" s="180" t="s">
        <v>257</v>
      </c>
    </row>
    <row r="2413" spans="8:18" x14ac:dyDescent="0.2">
      <c r="H2413" s="180"/>
      <c r="P2413" s="180" t="s">
        <v>257</v>
      </c>
      <c r="R2413" s="180" t="s">
        <v>257</v>
      </c>
    </row>
    <row r="2414" spans="8:18" x14ac:dyDescent="0.2">
      <c r="H2414" s="180"/>
      <c r="P2414" s="180" t="s">
        <v>257</v>
      </c>
      <c r="R2414" s="180" t="s">
        <v>257</v>
      </c>
    </row>
    <row r="2415" spans="8:18" x14ac:dyDescent="0.2">
      <c r="H2415" s="180"/>
      <c r="P2415" s="180" t="s">
        <v>257</v>
      </c>
      <c r="R2415" s="180" t="s">
        <v>257</v>
      </c>
    </row>
    <row r="2416" spans="8:18" x14ac:dyDescent="0.2">
      <c r="H2416" s="180"/>
      <c r="P2416" s="180" t="s">
        <v>257</v>
      </c>
      <c r="R2416" s="180" t="s">
        <v>257</v>
      </c>
    </row>
    <row r="2417" spans="8:18" x14ac:dyDescent="0.2">
      <c r="H2417" s="180"/>
      <c r="P2417" s="180" t="s">
        <v>257</v>
      </c>
      <c r="R2417" s="180" t="s">
        <v>257</v>
      </c>
    </row>
    <row r="2418" spans="8:18" x14ac:dyDescent="0.2">
      <c r="H2418" s="180"/>
      <c r="P2418" s="180" t="s">
        <v>257</v>
      </c>
      <c r="R2418" s="180" t="s">
        <v>257</v>
      </c>
    </row>
    <row r="2419" spans="8:18" x14ac:dyDescent="0.2">
      <c r="H2419" s="180"/>
      <c r="P2419" s="180" t="s">
        <v>257</v>
      </c>
      <c r="R2419" s="180" t="s">
        <v>257</v>
      </c>
    </row>
    <row r="2420" spans="8:18" x14ac:dyDescent="0.2">
      <c r="H2420" s="180"/>
      <c r="P2420" s="180" t="s">
        <v>257</v>
      </c>
      <c r="R2420" s="180" t="s">
        <v>257</v>
      </c>
    </row>
    <row r="2421" spans="8:18" x14ac:dyDescent="0.2">
      <c r="H2421" s="180"/>
      <c r="P2421" s="180" t="s">
        <v>257</v>
      </c>
      <c r="R2421" s="180" t="s">
        <v>257</v>
      </c>
    </row>
    <row r="2422" spans="8:18" x14ac:dyDescent="0.2">
      <c r="H2422" s="180"/>
      <c r="P2422" s="180" t="s">
        <v>257</v>
      </c>
      <c r="R2422" s="180" t="s">
        <v>257</v>
      </c>
    </row>
    <row r="2423" spans="8:18" x14ac:dyDescent="0.2">
      <c r="H2423" s="180"/>
      <c r="P2423" s="180" t="s">
        <v>257</v>
      </c>
      <c r="R2423" s="180" t="s">
        <v>257</v>
      </c>
    </row>
    <row r="2424" spans="8:18" x14ac:dyDescent="0.2">
      <c r="H2424" s="180"/>
      <c r="P2424" s="180" t="s">
        <v>257</v>
      </c>
      <c r="R2424" s="180" t="s">
        <v>257</v>
      </c>
    </row>
    <row r="2425" spans="8:18" x14ac:dyDescent="0.2">
      <c r="H2425" s="180"/>
      <c r="P2425" s="180" t="s">
        <v>257</v>
      </c>
      <c r="R2425" s="180" t="s">
        <v>257</v>
      </c>
    </row>
    <row r="2426" spans="8:18" x14ac:dyDescent="0.2">
      <c r="H2426" s="180"/>
      <c r="P2426" s="180" t="s">
        <v>257</v>
      </c>
      <c r="R2426" s="180" t="s">
        <v>257</v>
      </c>
    </row>
    <row r="2427" spans="8:18" x14ac:dyDescent="0.2">
      <c r="H2427" s="180"/>
      <c r="P2427" s="180" t="s">
        <v>257</v>
      </c>
      <c r="R2427" s="180" t="s">
        <v>257</v>
      </c>
    </row>
    <row r="2428" spans="8:18" x14ac:dyDescent="0.2">
      <c r="H2428" s="180"/>
      <c r="P2428" s="180" t="s">
        <v>257</v>
      </c>
      <c r="R2428" s="180" t="s">
        <v>257</v>
      </c>
    </row>
    <row r="2429" spans="8:18" x14ac:dyDescent="0.2">
      <c r="H2429" s="180"/>
      <c r="P2429" s="180" t="s">
        <v>257</v>
      </c>
      <c r="R2429" s="180" t="s">
        <v>257</v>
      </c>
    </row>
    <row r="2430" spans="8:18" x14ac:dyDescent="0.2">
      <c r="H2430" s="180"/>
      <c r="P2430" s="180" t="s">
        <v>257</v>
      </c>
      <c r="R2430" s="180" t="s">
        <v>257</v>
      </c>
    </row>
    <row r="2431" spans="8:18" x14ac:dyDescent="0.2">
      <c r="H2431" s="180"/>
      <c r="P2431" s="180" t="s">
        <v>257</v>
      </c>
      <c r="R2431" s="180" t="s">
        <v>257</v>
      </c>
    </row>
    <row r="2432" spans="8:18" x14ac:dyDescent="0.2">
      <c r="H2432" s="180"/>
      <c r="P2432" s="180" t="s">
        <v>257</v>
      </c>
      <c r="R2432" s="180" t="s">
        <v>257</v>
      </c>
    </row>
    <row r="2433" spans="8:18" x14ac:dyDescent="0.2">
      <c r="H2433" s="180"/>
      <c r="P2433" s="180" t="s">
        <v>257</v>
      </c>
      <c r="R2433" s="180" t="s">
        <v>257</v>
      </c>
    </row>
    <row r="2434" spans="8:18" x14ac:dyDescent="0.2">
      <c r="H2434" s="180"/>
      <c r="P2434" s="180" t="s">
        <v>257</v>
      </c>
      <c r="R2434" s="180" t="s">
        <v>257</v>
      </c>
    </row>
    <row r="2435" spans="8:18" x14ac:dyDescent="0.2">
      <c r="H2435" s="180"/>
      <c r="P2435" s="180" t="s">
        <v>257</v>
      </c>
      <c r="R2435" s="180" t="s">
        <v>257</v>
      </c>
    </row>
    <row r="2436" spans="8:18" x14ac:dyDescent="0.2">
      <c r="H2436" s="180"/>
      <c r="P2436" s="180" t="s">
        <v>257</v>
      </c>
      <c r="R2436" s="180" t="s">
        <v>257</v>
      </c>
    </row>
    <row r="2437" spans="8:18" x14ac:dyDescent="0.2">
      <c r="H2437" s="180"/>
      <c r="P2437" s="180" t="s">
        <v>257</v>
      </c>
      <c r="R2437" s="180" t="s">
        <v>257</v>
      </c>
    </row>
    <row r="2438" spans="8:18" x14ac:dyDescent="0.2">
      <c r="H2438" s="180"/>
      <c r="P2438" s="180" t="s">
        <v>257</v>
      </c>
      <c r="R2438" s="180" t="s">
        <v>257</v>
      </c>
    </row>
    <row r="2439" spans="8:18" x14ac:dyDescent="0.2">
      <c r="H2439" s="180"/>
      <c r="P2439" s="180" t="s">
        <v>257</v>
      </c>
      <c r="R2439" s="180" t="s">
        <v>257</v>
      </c>
    </row>
    <row r="2440" spans="8:18" x14ac:dyDescent="0.2">
      <c r="H2440" s="180"/>
      <c r="P2440" s="180" t="s">
        <v>257</v>
      </c>
      <c r="R2440" s="180" t="s">
        <v>257</v>
      </c>
    </row>
    <row r="2441" spans="8:18" x14ac:dyDescent="0.2">
      <c r="H2441" s="180"/>
      <c r="P2441" s="180" t="s">
        <v>257</v>
      </c>
      <c r="R2441" s="180" t="s">
        <v>257</v>
      </c>
    </row>
    <row r="2442" spans="8:18" x14ac:dyDescent="0.2">
      <c r="H2442" s="180"/>
      <c r="P2442" s="180" t="s">
        <v>257</v>
      </c>
      <c r="R2442" s="180" t="s">
        <v>257</v>
      </c>
    </row>
    <row r="2443" spans="8:18" x14ac:dyDescent="0.2">
      <c r="H2443" s="180"/>
      <c r="P2443" s="180" t="s">
        <v>257</v>
      </c>
      <c r="R2443" s="180" t="s">
        <v>257</v>
      </c>
    </row>
    <row r="2444" spans="8:18" x14ac:dyDescent="0.2">
      <c r="H2444" s="180"/>
      <c r="P2444" s="180" t="s">
        <v>257</v>
      </c>
      <c r="R2444" s="180" t="s">
        <v>257</v>
      </c>
    </row>
    <row r="2445" spans="8:18" x14ac:dyDescent="0.2">
      <c r="H2445" s="180"/>
      <c r="P2445" s="180" t="s">
        <v>257</v>
      </c>
      <c r="R2445" s="180" t="s">
        <v>257</v>
      </c>
    </row>
    <row r="2446" spans="8:18" x14ac:dyDescent="0.2">
      <c r="H2446" s="180"/>
      <c r="P2446" s="180" t="s">
        <v>257</v>
      </c>
      <c r="R2446" s="180" t="s">
        <v>257</v>
      </c>
    </row>
    <row r="2447" spans="8:18" x14ac:dyDescent="0.2">
      <c r="H2447" s="180"/>
      <c r="P2447" s="180" t="s">
        <v>257</v>
      </c>
      <c r="R2447" s="180" t="s">
        <v>257</v>
      </c>
    </row>
    <row r="2448" spans="8:18" x14ac:dyDescent="0.2">
      <c r="H2448" s="180"/>
      <c r="P2448" s="180" t="s">
        <v>257</v>
      </c>
      <c r="R2448" s="180" t="s">
        <v>257</v>
      </c>
    </row>
    <row r="2449" spans="8:18" x14ac:dyDescent="0.2">
      <c r="H2449" s="180"/>
      <c r="P2449" s="180" t="s">
        <v>257</v>
      </c>
      <c r="R2449" s="180" t="s">
        <v>257</v>
      </c>
    </row>
    <row r="2450" spans="8:18" x14ac:dyDescent="0.2">
      <c r="H2450" s="180"/>
      <c r="P2450" s="180" t="s">
        <v>257</v>
      </c>
      <c r="R2450" s="180" t="s">
        <v>257</v>
      </c>
    </row>
    <row r="2451" spans="8:18" x14ac:dyDescent="0.2">
      <c r="H2451" s="180"/>
      <c r="P2451" s="180" t="s">
        <v>257</v>
      </c>
      <c r="R2451" s="180" t="s">
        <v>257</v>
      </c>
    </row>
    <row r="2452" spans="8:18" x14ac:dyDescent="0.2">
      <c r="H2452" s="180"/>
      <c r="P2452" s="180" t="s">
        <v>257</v>
      </c>
      <c r="R2452" s="180" t="s">
        <v>257</v>
      </c>
    </row>
    <row r="2453" spans="8:18" x14ac:dyDescent="0.2">
      <c r="H2453" s="180"/>
      <c r="P2453" s="180" t="s">
        <v>257</v>
      </c>
      <c r="R2453" s="180" t="s">
        <v>257</v>
      </c>
    </row>
    <row r="2454" spans="8:18" x14ac:dyDescent="0.2">
      <c r="H2454" s="180"/>
      <c r="P2454" s="180" t="s">
        <v>257</v>
      </c>
      <c r="R2454" s="180" t="s">
        <v>257</v>
      </c>
    </row>
    <row r="2455" spans="8:18" x14ac:dyDescent="0.2">
      <c r="H2455" s="180"/>
      <c r="P2455" s="180" t="s">
        <v>257</v>
      </c>
      <c r="R2455" s="180" t="s">
        <v>257</v>
      </c>
    </row>
    <row r="2456" spans="8:18" x14ac:dyDescent="0.2">
      <c r="H2456" s="180"/>
      <c r="P2456" s="180" t="s">
        <v>257</v>
      </c>
      <c r="R2456" s="180" t="s">
        <v>257</v>
      </c>
    </row>
    <row r="2457" spans="8:18" x14ac:dyDescent="0.2">
      <c r="H2457" s="180"/>
      <c r="P2457" s="180" t="s">
        <v>257</v>
      </c>
      <c r="R2457" s="180" t="s">
        <v>257</v>
      </c>
    </row>
    <row r="2458" spans="8:18" x14ac:dyDescent="0.2">
      <c r="H2458" s="180"/>
      <c r="P2458" s="180" t="s">
        <v>257</v>
      </c>
      <c r="R2458" s="180" t="s">
        <v>257</v>
      </c>
    </row>
    <row r="2459" spans="8:18" x14ac:dyDescent="0.2">
      <c r="H2459" s="180"/>
      <c r="P2459" s="180" t="s">
        <v>257</v>
      </c>
      <c r="R2459" s="180" t="s">
        <v>257</v>
      </c>
    </row>
    <row r="2460" spans="8:18" x14ac:dyDescent="0.2">
      <c r="H2460" s="180"/>
      <c r="P2460" s="180" t="s">
        <v>257</v>
      </c>
      <c r="R2460" s="180" t="s">
        <v>257</v>
      </c>
    </row>
    <row r="2461" spans="8:18" x14ac:dyDescent="0.2">
      <c r="H2461" s="180"/>
      <c r="P2461" s="180" t="s">
        <v>257</v>
      </c>
      <c r="R2461" s="180" t="s">
        <v>257</v>
      </c>
    </row>
    <row r="2462" spans="8:18" x14ac:dyDescent="0.2">
      <c r="H2462" s="180"/>
      <c r="P2462" s="180" t="s">
        <v>257</v>
      </c>
      <c r="R2462" s="180" t="s">
        <v>257</v>
      </c>
    </row>
    <row r="2463" spans="8:18" x14ac:dyDescent="0.2">
      <c r="H2463" s="180"/>
      <c r="P2463" s="180" t="s">
        <v>257</v>
      </c>
      <c r="R2463" s="180" t="s">
        <v>257</v>
      </c>
    </row>
    <row r="2464" spans="8:18" x14ac:dyDescent="0.2">
      <c r="H2464" s="180"/>
      <c r="P2464" s="180" t="s">
        <v>257</v>
      </c>
      <c r="R2464" s="180" t="s">
        <v>257</v>
      </c>
    </row>
    <row r="2465" spans="8:18" x14ac:dyDescent="0.2">
      <c r="H2465" s="180"/>
      <c r="P2465" s="180" t="s">
        <v>257</v>
      </c>
      <c r="R2465" s="180" t="s">
        <v>257</v>
      </c>
    </row>
    <row r="2466" spans="8:18" x14ac:dyDescent="0.2">
      <c r="H2466" s="180"/>
      <c r="P2466" s="180" t="s">
        <v>257</v>
      </c>
      <c r="R2466" s="180" t="s">
        <v>257</v>
      </c>
    </row>
    <row r="2467" spans="8:18" x14ac:dyDescent="0.2">
      <c r="H2467" s="180"/>
      <c r="P2467" s="180" t="s">
        <v>257</v>
      </c>
      <c r="R2467" s="180" t="s">
        <v>257</v>
      </c>
    </row>
    <row r="2468" spans="8:18" x14ac:dyDescent="0.2">
      <c r="H2468" s="180"/>
      <c r="P2468" s="180" t="s">
        <v>257</v>
      </c>
      <c r="R2468" s="180" t="s">
        <v>257</v>
      </c>
    </row>
    <row r="2469" spans="8:18" x14ac:dyDescent="0.2">
      <c r="H2469" s="180"/>
      <c r="P2469" s="180" t="s">
        <v>257</v>
      </c>
      <c r="R2469" s="180" t="s">
        <v>257</v>
      </c>
    </row>
    <row r="2470" spans="8:18" x14ac:dyDescent="0.2">
      <c r="H2470" s="180"/>
      <c r="P2470" s="180" t="s">
        <v>257</v>
      </c>
      <c r="R2470" s="180" t="s">
        <v>257</v>
      </c>
    </row>
    <row r="2471" spans="8:18" x14ac:dyDescent="0.2">
      <c r="H2471" s="180"/>
      <c r="P2471" s="180" t="s">
        <v>257</v>
      </c>
      <c r="R2471" s="180" t="s">
        <v>257</v>
      </c>
    </row>
    <row r="2472" spans="8:18" x14ac:dyDescent="0.2">
      <c r="H2472" s="180"/>
      <c r="P2472" s="180" t="s">
        <v>257</v>
      </c>
      <c r="R2472" s="180" t="s">
        <v>257</v>
      </c>
    </row>
    <row r="2473" spans="8:18" x14ac:dyDescent="0.2">
      <c r="H2473" s="180"/>
      <c r="P2473" s="180" t="s">
        <v>257</v>
      </c>
      <c r="R2473" s="180" t="s">
        <v>257</v>
      </c>
    </row>
    <row r="2474" spans="8:18" x14ac:dyDescent="0.2">
      <c r="H2474" s="180"/>
      <c r="P2474" s="180" t="s">
        <v>257</v>
      </c>
      <c r="R2474" s="180" t="s">
        <v>257</v>
      </c>
    </row>
    <row r="2475" spans="8:18" x14ac:dyDescent="0.2">
      <c r="H2475" s="180"/>
      <c r="P2475" s="180" t="s">
        <v>257</v>
      </c>
      <c r="R2475" s="180" t="s">
        <v>257</v>
      </c>
    </row>
    <row r="2476" spans="8:18" x14ac:dyDescent="0.2">
      <c r="H2476" s="180"/>
      <c r="P2476" s="180" t="s">
        <v>257</v>
      </c>
      <c r="R2476" s="180" t="s">
        <v>257</v>
      </c>
    </row>
    <row r="2477" spans="8:18" x14ac:dyDescent="0.2">
      <c r="H2477" s="180"/>
      <c r="P2477" s="180" t="s">
        <v>257</v>
      </c>
      <c r="R2477" s="180" t="s">
        <v>257</v>
      </c>
    </row>
    <row r="2478" spans="8:18" x14ac:dyDescent="0.2">
      <c r="H2478" s="180"/>
      <c r="P2478" s="180" t="s">
        <v>257</v>
      </c>
      <c r="R2478" s="180" t="s">
        <v>257</v>
      </c>
    </row>
    <row r="2479" spans="8:18" x14ac:dyDescent="0.2">
      <c r="H2479" s="180"/>
      <c r="P2479" s="180" t="s">
        <v>257</v>
      </c>
      <c r="R2479" s="180" t="s">
        <v>257</v>
      </c>
    </row>
    <row r="2480" spans="8:18" x14ac:dyDescent="0.2">
      <c r="H2480" s="180"/>
      <c r="P2480" s="180" t="s">
        <v>257</v>
      </c>
      <c r="R2480" s="180" t="s">
        <v>257</v>
      </c>
    </row>
    <row r="2481" spans="8:18" x14ac:dyDescent="0.2">
      <c r="H2481" s="180"/>
      <c r="P2481" s="180" t="s">
        <v>257</v>
      </c>
      <c r="R2481" s="180" t="s">
        <v>257</v>
      </c>
    </row>
    <row r="2482" spans="8:18" x14ac:dyDescent="0.2">
      <c r="H2482" s="180"/>
      <c r="P2482" s="180" t="s">
        <v>257</v>
      </c>
      <c r="R2482" s="180" t="s">
        <v>257</v>
      </c>
    </row>
    <row r="2483" spans="8:18" x14ac:dyDescent="0.2">
      <c r="H2483" s="180"/>
      <c r="P2483" s="180" t="s">
        <v>257</v>
      </c>
      <c r="R2483" s="180" t="s">
        <v>257</v>
      </c>
    </row>
    <row r="2484" spans="8:18" x14ac:dyDescent="0.2">
      <c r="H2484" s="180"/>
      <c r="P2484" s="180" t="s">
        <v>257</v>
      </c>
      <c r="R2484" s="180" t="s">
        <v>257</v>
      </c>
    </row>
    <row r="2485" spans="8:18" x14ac:dyDescent="0.2">
      <c r="H2485" s="180"/>
      <c r="P2485" s="180" t="s">
        <v>257</v>
      </c>
      <c r="R2485" s="180" t="s">
        <v>257</v>
      </c>
    </row>
    <row r="2486" spans="8:18" x14ac:dyDescent="0.2">
      <c r="H2486" s="180"/>
      <c r="P2486" s="180" t="s">
        <v>257</v>
      </c>
      <c r="R2486" s="180" t="s">
        <v>257</v>
      </c>
    </row>
    <row r="2487" spans="8:18" x14ac:dyDescent="0.2">
      <c r="H2487" s="180"/>
      <c r="P2487" s="180" t="s">
        <v>257</v>
      </c>
      <c r="R2487" s="180" t="s">
        <v>257</v>
      </c>
    </row>
    <row r="2488" spans="8:18" x14ac:dyDescent="0.2">
      <c r="H2488" s="180"/>
      <c r="P2488" s="180" t="s">
        <v>257</v>
      </c>
      <c r="R2488" s="180" t="s">
        <v>257</v>
      </c>
    </row>
    <row r="2489" spans="8:18" x14ac:dyDescent="0.2">
      <c r="H2489" s="180"/>
      <c r="P2489" s="180" t="s">
        <v>257</v>
      </c>
      <c r="R2489" s="180" t="s">
        <v>257</v>
      </c>
    </row>
    <row r="2490" spans="8:18" x14ac:dyDescent="0.2">
      <c r="H2490" s="180"/>
      <c r="P2490" s="180" t="s">
        <v>257</v>
      </c>
      <c r="R2490" s="180" t="s">
        <v>257</v>
      </c>
    </row>
    <row r="2491" spans="8:18" x14ac:dyDescent="0.2">
      <c r="H2491" s="180"/>
      <c r="P2491" s="180" t="s">
        <v>257</v>
      </c>
      <c r="R2491" s="180" t="s">
        <v>257</v>
      </c>
    </row>
    <row r="2492" spans="8:18" x14ac:dyDescent="0.2">
      <c r="H2492" s="180"/>
      <c r="P2492" s="180" t="s">
        <v>257</v>
      </c>
      <c r="R2492" s="180" t="s">
        <v>257</v>
      </c>
    </row>
    <row r="2493" spans="8:18" x14ac:dyDescent="0.2">
      <c r="H2493" s="180"/>
      <c r="P2493" s="180" t="s">
        <v>257</v>
      </c>
      <c r="R2493" s="180" t="s">
        <v>257</v>
      </c>
    </row>
    <row r="2494" spans="8:18" x14ac:dyDescent="0.2">
      <c r="H2494" s="180"/>
      <c r="P2494" s="180" t="s">
        <v>257</v>
      </c>
      <c r="R2494" s="180" t="s">
        <v>257</v>
      </c>
    </row>
    <row r="2495" spans="8:18" x14ac:dyDescent="0.2">
      <c r="H2495" s="180"/>
      <c r="P2495" s="180" t="s">
        <v>257</v>
      </c>
      <c r="R2495" s="180" t="s">
        <v>257</v>
      </c>
    </row>
    <row r="2496" spans="8:18" x14ac:dyDescent="0.2">
      <c r="H2496" s="180"/>
      <c r="P2496" s="180" t="s">
        <v>257</v>
      </c>
      <c r="R2496" s="180" t="s">
        <v>257</v>
      </c>
    </row>
    <row r="2497" spans="8:18" x14ac:dyDescent="0.2">
      <c r="H2497" s="180"/>
      <c r="P2497" s="180" t="s">
        <v>257</v>
      </c>
      <c r="R2497" s="180" t="s">
        <v>257</v>
      </c>
    </row>
    <row r="2498" spans="8:18" x14ac:dyDescent="0.2">
      <c r="H2498" s="180"/>
      <c r="P2498" s="180" t="s">
        <v>257</v>
      </c>
      <c r="R2498" s="180" t="s">
        <v>257</v>
      </c>
    </row>
    <row r="2499" spans="8:18" x14ac:dyDescent="0.2">
      <c r="H2499" s="180"/>
      <c r="P2499" s="180" t="s">
        <v>257</v>
      </c>
      <c r="R2499" s="180" t="s">
        <v>257</v>
      </c>
    </row>
    <row r="2500" spans="8:18" x14ac:dyDescent="0.2">
      <c r="H2500" s="180"/>
      <c r="P2500" s="180" t="s">
        <v>257</v>
      </c>
      <c r="R2500" s="180" t="s">
        <v>257</v>
      </c>
    </row>
    <row r="2501" spans="8:18" x14ac:dyDescent="0.2">
      <c r="H2501" s="180"/>
      <c r="P2501" s="180" t="s">
        <v>257</v>
      </c>
      <c r="R2501" s="180" t="s">
        <v>257</v>
      </c>
    </row>
    <row r="2502" spans="8:18" x14ac:dyDescent="0.2">
      <c r="H2502" s="180"/>
      <c r="P2502" s="180" t="s">
        <v>257</v>
      </c>
      <c r="R2502" s="180" t="s">
        <v>257</v>
      </c>
    </row>
    <row r="2503" spans="8:18" x14ac:dyDescent="0.2">
      <c r="H2503" s="180"/>
      <c r="P2503" s="180" t="s">
        <v>257</v>
      </c>
      <c r="R2503" s="180" t="s">
        <v>257</v>
      </c>
    </row>
    <row r="2504" spans="8:18" x14ac:dyDescent="0.2">
      <c r="H2504" s="180"/>
      <c r="P2504" s="180" t="s">
        <v>257</v>
      </c>
      <c r="R2504" s="180" t="s">
        <v>257</v>
      </c>
    </row>
    <row r="2505" spans="8:18" x14ac:dyDescent="0.2">
      <c r="H2505" s="180"/>
      <c r="P2505" s="180" t="s">
        <v>257</v>
      </c>
      <c r="R2505" s="180" t="s">
        <v>257</v>
      </c>
    </row>
    <row r="2506" spans="8:18" x14ac:dyDescent="0.2">
      <c r="H2506" s="180"/>
      <c r="P2506" s="180" t="s">
        <v>257</v>
      </c>
      <c r="R2506" s="180" t="s">
        <v>257</v>
      </c>
    </row>
    <row r="2507" spans="8:18" x14ac:dyDescent="0.2">
      <c r="H2507" s="180"/>
      <c r="P2507" s="180" t="s">
        <v>257</v>
      </c>
      <c r="R2507" s="180" t="s">
        <v>257</v>
      </c>
    </row>
    <row r="2508" spans="8:18" x14ac:dyDescent="0.2">
      <c r="H2508" s="180"/>
      <c r="P2508" s="180" t="s">
        <v>257</v>
      </c>
      <c r="R2508" s="180" t="s">
        <v>257</v>
      </c>
    </row>
    <row r="2509" spans="8:18" x14ac:dyDescent="0.2">
      <c r="H2509" s="180"/>
      <c r="P2509" s="180" t="s">
        <v>257</v>
      </c>
      <c r="R2509" s="180" t="s">
        <v>257</v>
      </c>
    </row>
    <row r="2510" spans="8:18" x14ac:dyDescent="0.2">
      <c r="H2510" s="180"/>
      <c r="P2510" s="180" t="s">
        <v>257</v>
      </c>
      <c r="R2510" s="180" t="s">
        <v>257</v>
      </c>
    </row>
    <row r="2511" spans="8:18" x14ac:dyDescent="0.2">
      <c r="H2511" s="180"/>
      <c r="P2511" s="180" t="s">
        <v>257</v>
      </c>
      <c r="R2511" s="180" t="s">
        <v>257</v>
      </c>
    </row>
    <row r="2512" spans="8:18" x14ac:dyDescent="0.2">
      <c r="H2512" s="180"/>
      <c r="P2512" s="180" t="s">
        <v>257</v>
      </c>
      <c r="R2512" s="180" t="s">
        <v>257</v>
      </c>
    </row>
    <row r="2513" spans="8:18" x14ac:dyDescent="0.2">
      <c r="H2513" s="180"/>
      <c r="P2513" s="180" t="s">
        <v>257</v>
      </c>
      <c r="R2513" s="180" t="s">
        <v>257</v>
      </c>
    </row>
    <row r="2514" spans="8:18" x14ac:dyDescent="0.2">
      <c r="H2514" s="180"/>
      <c r="P2514" s="180" t="s">
        <v>257</v>
      </c>
      <c r="R2514" s="180" t="s">
        <v>257</v>
      </c>
    </row>
    <row r="2515" spans="8:18" x14ac:dyDescent="0.2">
      <c r="H2515" s="180"/>
      <c r="P2515" s="180" t="s">
        <v>257</v>
      </c>
      <c r="R2515" s="180" t="s">
        <v>257</v>
      </c>
    </row>
    <row r="2516" spans="8:18" x14ac:dyDescent="0.2">
      <c r="H2516" s="180"/>
      <c r="P2516" s="180" t="s">
        <v>257</v>
      </c>
      <c r="R2516" s="180" t="s">
        <v>257</v>
      </c>
    </row>
    <row r="2517" spans="8:18" x14ac:dyDescent="0.2">
      <c r="H2517" s="180"/>
      <c r="P2517" s="180" t="s">
        <v>257</v>
      </c>
      <c r="R2517" s="180" t="s">
        <v>257</v>
      </c>
    </row>
    <row r="2518" spans="8:18" x14ac:dyDescent="0.2">
      <c r="H2518" s="180"/>
      <c r="P2518" s="180" t="s">
        <v>257</v>
      </c>
      <c r="R2518" s="180" t="s">
        <v>257</v>
      </c>
    </row>
    <row r="2519" spans="8:18" x14ac:dyDescent="0.2">
      <c r="H2519" s="180"/>
      <c r="P2519" s="180" t="s">
        <v>257</v>
      </c>
      <c r="R2519" s="180" t="s">
        <v>257</v>
      </c>
    </row>
    <row r="2520" spans="8:18" x14ac:dyDescent="0.2">
      <c r="H2520" s="180"/>
      <c r="P2520" s="180" t="s">
        <v>257</v>
      </c>
      <c r="R2520" s="180" t="s">
        <v>257</v>
      </c>
    </row>
    <row r="2521" spans="8:18" x14ac:dyDescent="0.2">
      <c r="H2521" s="180"/>
      <c r="P2521" s="180" t="s">
        <v>257</v>
      </c>
      <c r="R2521" s="180" t="s">
        <v>257</v>
      </c>
    </row>
    <row r="2522" spans="8:18" x14ac:dyDescent="0.2">
      <c r="H2522" s="180"/>
      <c r="P2522" s="180" t="s">
        <v>257</v>
      </c>
      <c r="R2522" s="180" t="s">
        <v>257</v>
      </c>
    </row>
    <row r="2523" spans="8:18" x14ac:dyDescent="0.2">
      <c r="H2523" s="180"/>
      <c r="P2523" s="180" t="s">
        <v>257</v>
      </c>
      <c r="R2523" s="180" t="s">
        <v>257</v>
      </c>
    </row>
    <row r="2524" spans="8:18" x14ac:dyDescent="0.2">
      <c r="H2524" s="180"/>
      <c r="P2524" s="180" t="s">
        <v>257</v>
      </c>
      <c r="R2524" s="180" t="s">
        <v>257</v>
      </c>
    </row>
    <row r="2525" spans="8:18" x14ac:dyDescent="0.2">
      <c r="H2525" s="180"/>
      <c r="P2525" s="180" t="s">
        <v>257</v>
      </c>
      <c r="R2525" s="180" t="s">
        <v>257</v>
      </c>
    </row>
    <row r="2526" spans="8:18" x14ac:dyDescent="0.2">
      <c r="H2526" s="180"/>
      <c r="P2526" s="180" t="s">
        <v>257</v>
      </c>
      <c r="R2526" s="180" t="s">
        <v>257</v>
      </c>
    </row>
    <row r="2527" spans="8:18" x14ac:dyDescent="0.2">
      <c r="H2527" s="180"/>
      <c r="P2527" s="180" t="s">
        <v>257</v>
      </c>
      <c r="R2527" s="180" t="s">
        <v>257</v>
      </c>
    </row>
    <row r="2528" spans="8:18" x14ac:dyDescent="0.2">
      <c r="H2528" s="180"/>
      <c r="P2528" s="180" t="s">
        <v>257</v>
      </c>
      <c r="R2528" s="180" t="s">
        <v>257</v>
      </c>
    </row>
    <row r="2529" spans="8:18" x14ac:dyDescent="0.2">
      <c r="H2529" s="180"/>
      <c r="P2529" s="180" t="s">
        <v>257</v>
      </c>
      <c r="R2529" s="180" t="s">
        <v>257</v>
      </c>
    </row>
    <row r="2530" spans="8:18" x14ac:dyDescent="0.2">
      <c r="H2530" s="180"/>
      <c r="P2530" s="180" t="s">
        <v>257</v>
      </c>
      <c r="R2530" s="180" t="s">
        <v>257</v>
      </c>
    </row>
    <row r="2531" spans="8:18" x14ac:dyDescent="0.2">
      <c r="H2531" s="180"/>
      <c r="P2531" s="180" t="s">
        <v>257</v>
      </c>
      <c r="R2531" s="180" t="s">
        <v>257</v>
      </c>
    </row>
    <row r="2532" spans="8:18" x14ac:dyDescent="0.2">
      <c r="H2532" s="180"/>
      <c r="P2532" s="180" t="s">
        <v>257</v>
      </c>
      <c r="R2532" s="180" t="s">
        <v>257</v>
      </c>
    </row>
    <row r="2533" spans="8:18" x14ac:dyDescent="0.2">
      <c r="H2533" s="180"/>
      <c r="P2533" s="180" t="s">
        <v>257</v>
      </c>
      <c r="R2533" s="180" t="s">
        <v>257</v>
      </c>
    </row>
    <row r="2534" spans="8:18" x14ac:dyDescent="0.2">
      <c r="H2534" s="180"/>
      <c r="P2534" s="180" t="s">
        <v>257</v>
      </c>
      <c r="R2534" s="180" t="s">
        <v>257</v>
      </c>
    </row>
    <row r="2535" spans="8:18" x14ac:dyDescent="0.2">
      <c r="H2535" s="180"/>
      <c r="P2535" s="180" t="s">
        <v>257</v>
      </c>
      <c r="R2535" s="180" t="s">
        <v>257</v>
      </c>
    </row>
    <row r="2536" spans="8:18" x14ac:dyDescent="0.2">
      <c r="H2536" s="180"/>
      <c r="P2536" s="180" t="s">
        <v>257</v>
      </c>
      <c r="R2536" s="180" t="s">
        <v>257</v>
      </c>
    </row>
    <row r="2537" spans="8:18" x14ac:dyDescent="0.2">
      <c r="H2537" s="180"/>
      <c r="P2537" s="180" t="s">
        <v>257</v>
      </c>
      <c r="R2537" s="180" t="s">
        <v>257</v>
      </c>
    </row>
    <row r="2538" spans="8:18" x14ac:dyDescent="0.2">
      <c r="H2538" s="180"/>
      <c r="P2538" s="180" t="s">
        <v>257</v>
      </c>
      <c r="R2538" s="180" t="s">
        <v>257</v>
      </c>
    </row>
    <row r="2539" spans="8:18" x14ac:dyDescent="0.2">
      <c r="H2539" s="180"/>
      <c r="P2539" s="180" t="s">
        <v>257</v>
      </c>
      <c r="R2539" s="180" t="s">
        <v>257</v>
      </c>
    </row>
    <row r="2540" spans="8:18" x14ac:dyDescent="0.2">
      <c r="H2540" s="180"/>
      <c r="P2540" s="180" t="s">
        <v>257</v>
      </c>
      <c r="R2540" s="180" t="s">
        <v>257</v>
      </c>
    </row>
    <row r="2541" spans="8:18" x14ac:dyDescent="0.2">
      <c r="H2541" s="180"/>
      <c r="P2541" s="180" t="s">
        <v>257</v>
      </c>
      <c r="R2541" s="180" t="s">
        <v>257</v>
      </c>
    </row>
    <row r="2542" spans="8:18" x14ac:dyDescent="0.2">
      <c r="H2542" s="180"/>
      <c r="P2542" s="180" t="s">
        <v>257</v>
      </c>
      <c r="R2542" s="180" t="s">
        <v>257</v>
      </c>
    </row>
    <row r="2543" spans="8:18" x14ac:dyDescent="0.2">
      <c r="H2543" s="180"/>
      <c r="P2543" s="180" t="s">
        <v>257</v>
      </c>
      <c r="R2543" s="180" t="s">
        <v>257</v>
      </c>
    </row>
    <row r="2544" spans="8:18" x14ac:dyDescent="0.2">
      <c r="H2544" s="180"/>
      <c r="P2544" s="180" t="s">
        <v>257</v>
      </c>
      <c r="R2544" s="180" t="s">
        <v>257</v>
      </c>
    </row>
    <row r="2545" spans="8:18" x14ac:dyDescent="0.2">
      <c r="H2545" s="180"/>
      <c r="P2545" s="180" t="s">
        <v>257</v>
      </c>
      <c r="R2545" s="180" t="s">
        <v>257</v>
      </c>
    </row>
    <row r="2546" spans="8:18" x14ac:dyDescent="0.2">
      <c r="H2546" s="180"/>
      <c r="P2546" s="180" t="s">
        <v>257</v>
      </c>
      <c r="R2546" s="180" t="s">
        <v>257</v>
      </c>
    </row>
    <row r="2547" spans="8:18" x14ac:dyDescent="0.2">
      <c r="H2547" s="180"/>
      <c r="P2547" s="180" t="s">
        <v>257</v>
      </c>
      <c r="R2547" s="180" t="s">
        <v>257</v>
      </c>
    </row>
    <row r="2548" spans="8:18" x14ac:dyDescent="0.2">
      <c r="H2548" s="180"/>
      <c r="P2548" s="180" t="s">
        <v>257</v>
      </c>
      <c r="R2548" s="180" t="s">
        <v>257</v>
      </c>
    </row>
    <row r="2549" spans="8:18" x14ac:dyDescent="0.2">
      <c r="H2549" s="180"/>
      <c r="P2549" s="180" t="s">
        <v>257</v>
      </c>
      <c r="R2549" s="180" t="s">
        <v>257</v>
      </c>
    </row>
    <row r="2550" spans="8:18" x14ac:dyDescent="0.2">
      <c r="H2550" s="180"/>
      <c r="P2550" s="180" t="s">
        <v>257</v>
      </c>
      <c r="R2550" s="180" t="s">
        <v>257</v>
      </c>
    </row>
    <row r="2551" spans="8:18" x14ac:dyDescent="0.2">
      <c r="H2551" s="180"/>
      <c r="P2551" s="180" t="s">
        <v>257</v>
      </c>
      <c r="R2551" s="180" t="s">
        <v>257</v>
      </c>
    </row>
    <row r="2552" spans="8:18" x14ac:dyDescent="0.2">
      <c r="H2552" s="180"/>
      <c r="P2552" s="180" t="s">
        <v>257</v>
      </c>
      <c r="R2552" s="180" t="s">
        <v>257</v>
      </c>
    </row>
    <row r="2553" spans="8:18" x14ac:dyDescent="0.2">
      <c r="H2553" s="180"/>
      <c r="P2553" s="180" t="s">
        <v>257</v>
      </c>
      <c r="R2553" s="180" t="s">
        <v>257</v>
      </c>
    </row>
    <row r="2554" spans="8:18" x14ac:dyDescent="0.2">
      <c r="H2554" s="180"/>
      <c r="P2554" s="180" t="s">
        <v>257</v>
      </c>
      <c r="R2554" s="180" t="s">
        <v>257</v>
      </c>
    </row>
    <row r="2555" spans="8:18" x14ac:dyDescent="0.2">
      <c r="H2555" s="180"/>
      <c r="P2555" s="180" t="s">
        <v>257</v>
      </c>
      <c r="R2555" s="180" t="s">
        <v>257</v>
      </c>
    </row>
    <row r="2556" spans="8:18" x14ac:dyDescent="0.2">
      <c r="H2556" s="180"/>
      <c r="P2556" s="180" t="s">
        <v>257</v>
      </c>
      <c r="R2556" s="180" t="s">
        <v>257</v>
      </c>
    </row>
    <row r="2557" spans="8:18" x14ac:dyDescent="0.2">
      <c r="H2557" s="180"/>
      <c r="P2557" s="180" t="s">
        <v>257</v>
      </c>
      <c r="R2557" s="180" t="s">
        <v>257</v>
      </c>
    </row>
    <row r="2558" spans="8:18" x14ac:dyDescent="0.2">
      <c r="H2558" s="180"/>
      <c r="P2558" s="180" t="s">
        <v>257</v>
      </c>
      <c r="R2558" s="180" t="s">
        <v>257</v>
      </c>
    </row>
    <row r="2559" spans="8:18" x14ac:dyDescent="0.2">
      <c r="H2559" s="180"/>
      <c r="P2559" s="180" t="s">
        <v>257</v>
      </c>
      <c r="R2559" s="180" t="s">
        <v>257</v>
      </c>
    </row>
    <row r="2560" spans="8:18" x14ac:dyDescent="0.2">
      <c r="H2560" s="180"/>
      <c r="P2560" s="180" t="s">
        <v>257</v>
      </c>
      <c r="R2560" s="180" t="s">
        <v>257</v>
      </c>
    </row>
    <row r="2561" spans="8:18" x14ac:dyDescent="0.2">
      <c r="H2561" s="180"/>
      <c r="P2561" s="180" t="s">
        <v>257</v>
      </c>
      <c r="R2561" s="180" t="s">
        <v>257</v>
      </c>
    </row>
    <row r="2562" spans="8:18" x14ac:dyDescent="0.2">
      <c r="H2562" s="180"/>
      <c r="P2562" s="180" t="s">
        <v>257</v>
      </c>
      <c r="R2562" s="180" t="s">
        <v>257</v>
      </c>
    </row>
    <row r="2563" spans="8:18" x14ac:dyDescent="0.2">
      <c r="H2563" s="180"/>
      <c r="P2563" s="180" t="s">
        <v>257</v>
      </c>
      <c r="R2563" s="180" t="s">
        <v>257</v>
      </c>
    </row>
    <row r="2564" spans="8:18" x14ac:dyDescent="0.2">
      <c r="H2564" s="180"/>
      <c r="P2564" s="180" t="s">
        <v>257</v>
      </c>
      <c r="R2564" s="180" t="s">
        <v>257</v>
      </c>
    </row>
    <row r="2565" spans="8:18" x14ac:dyDescent="0.2">
      <c r="H2565" s="180"/>
      <c r="P2565" s="180" t="s">
        <v>257</v>
      </c>
      <c r="R2565" s="180" t="s">
        <v>257</v>
      </c>
    </row>
    <row r="2566" spans="8:18" x14ac:dyDescent="0.2">
      <c r="H2566" s="180"/>
      <c r="P2566" s="180" t="s">
        <v>257</v>
      </c>
      <c r="R2566" s="180" t="s">
        <v>257</v>
      </c>
    </row>
    <row r="2567" spans="8:18" x14ac:dyDescent="0.2">
      <c r="H2567" s="180"/>
      <c r="P2567" s="180" t="s">
        <v>257</v>
      </c>
      <c r="R2567" s="180" t="s">
        <v>257</v>
      </c>
    </row>
    <row r="2568" spans="8:18" x14ac:dyDescent="0.2">
      <c r="H2568" s="180"/>
      <c r="P2568" s="180" t="s">
        <v>257</v>
      </c>
      <c r="R2568" s="180" t="s">
        <v>257</v>
      </c>
    </row>
    <row r="2569" spans="8:18" x14ac:dyDescent="0.2">
      <c r="H2569" s="180"/>
      <c r="P2569" s="180" t="s">
        <v>257</v>
      </c>
      <c r="R2569" s="180" t="s">
        <v>257</v>
      </c>
    </row>
    <row r="2570" spans="8:18" x14ac:dyDescent="0.2">
      <c r="H2570" s="180"/>
      <c r="P2570" s="180" t="s">
        <v>257</v>
      </c>
      <c r="R2570" s="180" t="s">
        <v>257</v>
      </c>
    </row>
    <row r="2571" spans="8:18" x14ac:dyDescent="0.2">
      <c r="H2571" s="180"/>
      <c r="P2571" s="180" t="s">
        <v>257</v>
      </c>
      <c r="R2571" s="180" t="s">
        <v>257</v>
      </c>
    </row>
    <row r="2572" spans="8:18" x14ac:dyDescent="0.2">
      <c r="H2572" s="180"/>
      <c r="P2572" s="180" t="s">
        <v>257</v>
      </c>
      <c r="R2572" s="180" t="s">
        <v>257</v>
      </c>
    </row>
    <row r="2573" spans="8:18" x14ac:dyDescent="0.2">
      <c r="H2573" s="180"/>
      <c r="P2573" s="180" t="s">
        <v>257</v>
      </c>
      <c r="R2573" s="180" t="s">
        <v>257</v>
      </c>
    </row>
    <row r="2574" spans="8:18" x14ac:dyDescent="0.2">
      <c r="H2574" s="180"/>
      <c r="P2574" s="180" t="s">
        <v>257</v>
      </c>
      <c r="R2574" s="180" t="s">
        <v>257</v>
      </c>
    </row>
    <row r="2575" spans="8:18" x14ac:dyDescent="0.2">
      <c r="H2575" s="180"/>
      <c r="P2575" s="180" t="s">
        <v>257</v>
      </c>
      <c r="R2575" s="180" t="s">
        <v>257</v>
      </c>
    </row>
    <row r="2576" spans="8:18" x14ac:dyDescent="0.2">
      <c r="H2576" s="180"/>
      <c r="P2576" s="180" t="s">
        <v>257</v>
      </c>
      <c r="R2576" s="180" t="s">
        <v>257</v>
      </c>
    </row>
    <row r="2577" spans="8:18" x14ac:dyDescent="0.2">
      <c r="H2577" s="180"/>
      <c r="P2577" s="180" t="s">
        <v>257</v>
      </c>
      <c r="R2577" s="180" t="s">
        <v>257</v>
      </c>
    </row>
    <row r="2578" spans="8:18" x14ac:dyDescent="0.2">
      <c r="H2578" s="180"/>
      <c r="P2578" s="180" t="s">
        <v>257</v>
      </c>
      <c r="R2578" s="180" t="s">
        <v>257</v>
      </c>
    </row>
    <row r="2579" spans="8:18" x14ac:dyDescent="0.2">
      <c r="H2579" s="180"/>
      <c r="P2579" s="180" t="s">
        <v>257</v>
      </c>
      <c r="R2579" s="180" t="s">
        <v>257</v>
      </c>
    </row>
    <row r="2580" spans="8:18" x14ac:dyDescent="0.2">
      <c r="H2580" s="180"/>
      <c r="P2580" s="180" t="s">
        <v>257</v>
      </c>
      <c r="R2580" s="180" t="s">
        <v>257</v>
      </c>
    </row>
    <row r="2581" spans="8:18" x14ac:dyDescent="0.2">
      <c r="H2581" s="180"/>
      <c r="P2581" s="180" t="s">
        <v>257</v>
      </c>
      <c r="R2581" s="180" t="s">
        <v>257</v>
      </c>
    </row>
    <row r="2582" spans="8:18" x14ac:dyDescent="0.2">
      <c r="H2582" s="180"/>
      <c r="P2582" s="180" t="s">
        <v>257</v>
      </c>
      <c r="R2582" s="180" t="s">
        <v>257</v>
      </c>
    </row>
    <row r="2583" spans="8:18" x14ac:dyDescent="0.2">
      <c r="H2583" s="180"/>
      <c r="P2583" s="180" t="s">
        <v>257</v>
      </c>
      <c r="R2583" s="180" t="s">
        <v>257</v>
      </c>
    </row>
    <row r="2584" spans="8:18" x14ac:dyDescent="0.2">
      <c r="H2584" s="180"/>
      <c r="P2584" s="180" t="s">
        <v>257</v>
      </c>
      <c r="R2584" s="180" t="s">
        <v>257</v>
      </c>
    </row>
    <row r="2585" spans="8:18" x14ac:dyDescent="0.2">
      <c r="H2585" s="180"/>
      <c r="P2585" s="180" t="s">
        <v>257</v>
      </c>
      <c r="R2585" s="180" t="s">
        <v>257</v>
      </c>
    </row>
    <row r="2586" spans="8:18" x14ac:dyDescent="0.2">
      <c r="H2586" s="180"/>
      <c r="P2586" s="180" t="s">
        <v>257</v>
      </c>
      <c r="R2586" s="180" t="s">
        <v>257</v>
      </c>
    </row>
    <row r="2587" spans="8:18" x14ac:dyDescent="0.2">
      <c r="H2587" s="180"/>
      <c r="P2587" s="180" t="s">
        <v>257</v>
      </c>
      <c r="R2587" s="180" t="s">
        <v>257</v>
      </c>
    </row>
    <row r="2588" spans="8:18" x14ac:dyDescent="0.2">
      <c r="H2588" s="180"/>
      <c r="P2588" s="180" t="s">
        <v>257</v>
      </c>
      <c r="R2588" s="180" t="s">
        <v>257</v>
      </c>
    </row>
    <row r="2589" spans="8:18" x14ac:dyDescent="0.2">
      <c r="H2589" s="180"/>
      <c r="P2589" s="180" t="s">
        <v>257</v>
      </c>
      <c r="R2589" s="180" t="s">
        <v>257</v>
      </c>
    </row>
    <row r="2590" spans="8:18" x14ac:dyDescent="0.2">
      <c r="H2590" s="180"/>
      <c r="P2590" s="180" t="s">
        <v>257</v>
      </c>
      <c r="R2590" s="180" t="s">
        <v>257</v>
      </c>
    </row>
    <row r="2591" spans="8:18" x14ac:dyDescent="0.2">
      <c r="H2591" s="180"/>
      <c r="P2591" s="180" t="s">
        <v>257</v>
      </c>
      <c r="R2591" s="180" t="s">
        <v>257</v>
      </c>
    </row>
    <row r="2592" spans="8:18" x14ac:dyDescent="0.2">
      <c r="H2592" s="180"/>
      <c r="P2592" s="180" t="s">
        <v>257</v>
      </c>
      <c r="R2592" s="180" t="s">
        <v>257</v>
      </c>
    </row>
    <row r="2593" spans="8:18" x14ac:dyDescent="0.2">
      <c r="H2593" s="180"/>
      <c r="P2593" s="180" t="s">
        <v>257</v>
      </c>
      <c r="R2593" s="180" t="s">
        <v>257</v>
      </c>
    </row>
    <row r="2594" spans="8:18" x14ac:dyDescent="0.2">
      <c r="H2594" s="180"/>
      <c r="P2594" s="180" t="s">
        <v>257</v>
      </c>
      <c r="R2594" s="180" t="s">
        <v>257</v>
      </c>
    </row>
    <row r="2595" spans="8:18" x14ac:dyDescent="0.2">
      <c r="H2595" s="180"/>
      <c r="P2595" s="180" t="s">
        <v>257</v>
      </c>
      <c r="R2595" s="180" t="s">
        <v>257</v>
      </c>
    </row>
    <row r="2596" spans="8:18" x14ac:dyDescent="0.2">
      <c r="H2596" s="180"/>
      <c r="P2596" s="180" t="s">
        <v>257</v>
      </c>
      <c r="R2596" s="180" t="s">
        <v>257</v>
      </c>
    </row>
    <row r="2597" spans="8:18" x14ac:dyDescent="0.2">
      <c r="H2597" s="180"/>
      <c r="P2597" s="180" t="s">
        <v>257</v>
      </c>
      <c r="R2597" s="180" t="s">
        <v>257</v>
      </c>
    </row>
    <row r="2598" spans="8:18" x14ac:dyDescent="0.2">
      <c r="H2598" s="180"/>
      <c r="P2598" s="180" t="s">
        <v>257</v>
      </c>
      <c r="R2598" s="180" t="s">
        <v>257</v>
      </c>
    </row>
    <row r="2599" spans="8:18" x14ac:dyDescent="0.2">
      <c r="H2599" s="180"/>
      <c r="P2599" s="180" t="s">
        <v>257</v>
      </c>
      <c r="R2599" s="180" t="s">
        <v>257</v>
      </c>
    </row>
    <row r="2600" spans="8:18" x14ac:dyDescent="0.2">
      <c r="H2600" s="180"/>
      <c r="P2600" s="180" t="s">
        <v>257</v>
      </c>
      <c r="R2600" s="180" t="s">
        <v>257</v>
      </c>
    </row>
    <row r="2601" spans="8:18" x14ac:dyDescent="0.2">
      <c r="H2601" s="180"/>
      <c r="P2601" s="180" t="s">
        <v>257</v>
      </c>
      <c r="R2601" s="180" t="s">
        <v>257</v>
      </c>
    </row>
    <row r="2602" spans="8:18" x14ac:dyDescent="0.2">
      <c r="H2602" s="180"/>
      <c r="P2602" s="180" t="s">
        <v>257</v>
      </c>
      <c r="R2602" s="180" t="s">
        <v>257</v>
      </c>
    </row>
    <row r="2603" spans="8:18" x14ac:dyDescent="0.2">
      <c r="H2603" s="180"/>
      <c r="P2603" s="180" t="s">
        <v>257</v>
      </c>
      <c r="R2603" s="180" t="s">
        <v>257</v>
      </c>
    </row>
    <row r="2604" spans="8:18" x14ac:dyDescent="0.2">
      <c r="H2604" s="180"/>
      <c r="P2604" s="180" t="s">
        <v>257</v>
      </c>
      <c r="R2604" s="180" t="s">
        <v>257</v>
      </c>
    </row>
    <row r="2605" spans="8:18" x14ac:dyDescent="0.2">
      <c r="H2605" s="180"/>
      <c r="P2605" s="180" t="s">
        <v>257</v>
      </c>
      <c r="R2605" s="180" t="s">
        <v>257</v>
      </c>
    </row>
    <row r="2606" spans="8:18" x14ac:dyDescent="0.2">
      <c r="H2606" s="180"/>
      <c r="P2606" s="180" t="s">
        <v>257</v>
      </c>
      <c r="R2606" s="180" t="s">
        <v>257</v>
      </c>
    </row>
    <row r="2607" spans="8:18" x14ac:dyDescent="0.2">
      <c r="H2607" s="180"/>
      <c r="P2607" s="180" t="s">
        <v>257</v>
      </c>
      <c r="R2607" s="180" t="s">
        <v>257</v>
      </c>
    </row>
    <row r="2608" spans="8:18" x14ac:dyDescent="0.2">
      <c r="H2608" s="180"/>
      <c r="P2608" s="180" t="s">
        <v>257</v>
      </c>
      <c r="R2608" s="180" t="s">
        <v>257</v>
      </c>
    </row>
    <row r="2609" spans="8:18" x14ac:dyDescent="0.2">
      <c r="H2609" s="180"/>
      <c r="P2609" s="180" t="s">
        <v>257</v>
      </c>
      <c r="R2609" s="180" t="s">
        <v>257</v>
      </c>
    </row>
    <row r="2610" spans="8:18" x14ac:dyDescent="0.2">
      <c r="H2610" s="180"/>
      <c r="P2610" s="180" t="s">
        <v>257</v>
      </c>
      <c r="R2610" s="180" t="s">
        <v>257</v>
      </c>
    </row>
    <row r="2611" spans="8:18" x14ac:dyDescent="0.2">
      <c r="H2611" s="180"/>
      <c r="P2611" s="180" t="s">
        <v>257</v>
      </c>
      <c r="R2611" s="180" t="s">
        <v>257</v>
      </c>
    </row>
    <row r="2612" spans="8:18" x14ac:dyDescent="0.2">
      <c r="H2612" s="180"/>
      <c r="P2612" s="180" t="s">
        <v>257</v>
      </c>
      <c r="R2612" s="180" t="s">
        <v>257</v>
      </c>
    </row>
    <row r="2613" spans="8:18" x14ac:dyDescent="0.2">
      <c r="H2613" s="180"/>
      <c r="P2613" s="180" t="s">
        <v>257</v>
      </c>
      <c r="R2613" s="180" t="s">
        <v>257</v>
      </c>
    </row>
    <row r="2614" spans="8:18" x14ac:dyDescent="0.2">
      <c r="H2614" s="180"/>
      <c r="P2614" s="180" t="s">
        <v>257</v>
      </c>
      <c r="R2614" s="180" t="s">
        <v>257</v>
      </c>
    </row>
    <row r="2615" spans="8:18" x14ac:dyDescent="0.2">
      <c r="H2615" s="180"/>
      <c r="P2615" s="180" t="s">
        <v>257</v>
      </c>
      <c r="R2615" s="180" t="s">
        <v>257</v>
      </c>
    </row>
    <row r="2616" spans="8:18" x14ac:dyDescent="0.2">
      <c r="H2616" s="180"/>
      <c r="P2616" s="180" t="s">
        <v>257</v>
      </c>
      <c r="R2616" s="180" t="s">
        <v>257</v>
      </c>
    </row>
    <row r="2617" spans="8:18" x14ac:dyDescent="0.2">
      <c r="H2617" s="180"/>
      <c r="P2617" s="180" t="s">
        <v>257</v>
      </c>
      <c r="R2617" s="180" t="s">
        <v>257</v>
      </c>
    </row>
    <row r="2618" spans="8:18" x14ac:dyDescent="0.2">
      <c r="H2618" s="180"/>
      <c r="P2618" s="180" t="s">
        <v>257</v>
      </c>
      <c r="R2618" s="180" t="s">
        <v>257</v>
      </c>
    </row>
    <row r="2619" spans="8:18" x14ac:dyDescent="0.2">
      <c r="H2619" s="180"/>
      <c r="P2619" s="180" t="s">
        <v>257</v>
      </c>
      <c r="R2619" s="180" t="s">
        <v>257</v>
      </c>
    </row>
    <row r="2620" spans="8:18" x14ac:dyDescent="0.2">
      <c r="H2620" s="180"/>
      <c r="P2620" s="180" t="s">
        <v>257</v>
      </c>
      <c r="R2620" s="180" t="s">
        <v>257</v>
      </c>
    </row>
    <row r="2621" spans="8:18" x14ac:dyDescent="0.2">
      <c r="H2621" s="180"/>
      <c r="P2621" s="180" t="s">
        <v>257</v>
      </c>
      <c r="R2621" s="180" t="s">
        <v>257</v>
      </c>
    </row>
    <row r="2622" spans="8:18" x14ac:dyDescent="0.2">
      <c r="H2622" s="180"/>
      <c r="P2622" s="180" t="s">
        <v>257</v>
      </c>
      <c r="R2622" s="180" t="s">
        <v>257</v>
      </c>
    </row>
    <row r="2623" spans="8:18" x14ac:dyDescent="0.2">
      <c r="H2623" s="180"/>
      <c r="P2623" s="180" t="s">
        <v>257</v>
      </c>
      <c r="R2623" s="180" t="s">
        <v>257</v>
      </c>
    </row>
    <row r="2624" spans="8:18" x14ac:dyDescent="0.2">
      <c r="H2624" s="180"/>
      <c r="P2624" s="180" t="s">
        <v>257</v>
      </c>
      <c r="R2624" s="180" t="s">
        <v>257</v>
      </c>
    </row>
    <row r="2625" spans="8:18" x14ac:dyDescent="0.2">
      <c r="H2625" s="180"/>
      <c r="P2625" s="180" t="s">
        <v>257</v>
      </c>
      <c r="R2625" s="180" t="s">
        <v>257</v>
      </c>
    </row>
    <row r="2626" spans="8:18" x14ac:dyDescent="0.2">
      <c r="H2626" s="180"/>
      <c r="P2626" s="180" t="s">
        <v>257</v>
      </c>
      <c r="R2626" s="180" t="s">
        <v>257</v>
      </c>
    </row>
    <row r="2627" spans="8:18" x14ac:dyDescent="0.2">
      <c r="H2627" s="180"/>
      <c r="P2627" s="180" t="s">
        <v>257</v>
      </c>
      <c r="R2627" s="180" t="s">
        <v>257</v>
      </c>
    </row>
    <row r="2628" spans="8:18" x14ac:dyDescent="0.2">
      <c r="H2628" s="180"/>
      <c r="P2628" s="180" t="s">
        <v>257</v>
      </c>
      <c r="R2628" s="180" t="s">
        <v>257</v>
      </c>
    </row>
    <row r="2629" spans="8:18" x14ac:dyDescent="0.2">
      <c r="H2629" s="180"/>
      <c r="P2629" s="180" t="s">
        <v>257</v>
      </c>
      <c r="R2629" s="180" t="s">
        <v>257</v>
      </c>
    </row>
    <row r="2630" spans="8:18" x14ac:dyDescent="0.2">
      <c r="H2630" s="180"/>
      <c r="P2630" s="180" t="s">
        <v>257</v>
      </c>
      <c r="R2630" s="180" t="s">
        <v>257</v>
      </c>
    </row>
    <row r="2631" spans="8:18" x14ac:dyDescent="0.2">
      <c r="H2631" s="180"/>
      <c r="P2631" s="180" t="s">
        <v>257</v>
      </c>
      <c r="R2631" s="180" t="s">
        <v>257</v>
      </c>
    </row>
    <row r="2632" spans="8:18" x14ac:dyDescent="0.2">
      <c r="H2632" s="180"/>
      <c r="P2632" s="180" t="s">
        <v>257</v>
      </c>
      <c r="R2632" s="180" t="s">
        <v>257</v>
      </c>
    </row>
    <row r="2633" spans="8:18" x14ac:dyDescent="0.2">
      <c r="H2633" s="180"/>
      <c r="P2633" s="180" t="s">
        <v>257</v>
      </c>
      <c r="R2633" s="180" t="s">
        <v>257</v>
      </c>
    </row>
    <row r="2634" spans="8:18" x14ac:dyDescent="0.2">
      <c r="H2634" s="180"/>
      <c r="P2634" s="180" t="s">
        <v>257</v>
      </c>
      <c r="R2634" s="180" t="s">
        <v>257</v>
      </c>
    </row>
    <row r="2635" spans="8:18" x14ac:dyDescent="0.2">
      <c r="H2635" s="180"/>
      <c r="P2635" s="180" t="s">
        <v>257</v>
      </c>
      <c r="R2635" s="180" t="s">
        <v>257</v>
      </c>
    </row>
    <row r="2636" spans="8:18" x14ac:dyDescent="0.2">
      <c r="H2636" s="180"/>
      <c r="P2636" s="180" t="s">
        <v>257</v>
      </c>
      <c r="R2636" s="180" t="s">
        <v>257</v>
      </c>
    </row>
    <row r="2637" spans="8:18" x14ac:dyDescent="0.2">
      <c r="H2637" s="180"/>
      <c r="P2637" s="180" t="s">
        <v>257</v>
      </c>
      <c r="R2637" s="180" t="s">
        <v>257</v>
      </c>
    </row>
    <row r="2638" spans="8:18" x14ac:dyDescent="0.2">
      <c r="H2638" s="180"/>
      <c r="P2638" s="180" t="s">
        <v>257</v>
      </c>
      <c r="R2638" s="180" t="s">
        <v>257</v>
      </c>
    </row>
    <row r="2639" spans="8:18" x14ac:dyDescent="0.2">
      <c r="H2639" s="180"/>
      <c r="P2639" s="180" t="s">
        <v>257</v>
      </c>
      <c r="R2639" s="180" t="s">
        <v>257</v>
      </c>
    </row>
    <row r="2640" spans="8:18" x14ac:dyDescent="0.2">
      <c r="H2640" s="180"/>
      <c r="P2640" s="180" t="s">
        <v>257</v>
      </c>
      <c r="R2640" s="180" t="s">
        <v>257</v>
      </c>
    </row>
    <row r="2641" spans="8:18" x14ac:dyDescent="0.2">
      <c r="H2641" s="180"/>
      <c r="P2641" s="180" t="s">
        <v>257</v>
      </c>
      <c r="R2641" s="180" t="s">
        <v>257</v>
      </c>
    </row>
    <row r="2642" spans="8:18" x14ac:dyDescent="0.2">
      <c r="H2642" s="180"/>
      <c r="P2642" s="180" t="s">
        <v>257</v>
      </c>
      <c r="R2642" s="180" t="s">
        <v>257</v>
      </c>
    </row>
    <row r="2643" spans="8:18" x14ac:dyDescent="0.2">
      <c r="H2643" s="180"/>
      <c r="P2643" s="180" t="s">
        <v>257</v>
      </c>
      <c r="R2643" s="180" t="s">
        <v>257</v>
      </c>
    </row>
    <row r="2644" spans="8:18" x14ac:dyDescent="0.2">
      <c r="H2644" s="180"/>
      <c r="P2644" s="180" t="s">
        <v>257</v>
      </c>
      <c r="R2644" s="180" t="s">
        <v>257</v>
      </c>
    </row>
    <row r="2645" spans="8:18" x14ac:dyDescent="0.2">
      <c r="H2645" s="180"/>
      <c r="P2645" s="180" t="s">
        <v>257</v>
      </c>
      <c r="R2645" s="180" t="s">
        <v>257</v>
      </c>
    </row>
    <row r="2646" spans="8:18" x14ac:dyDescent="0.2">
      <c r="H2646" s="180"/>
      <c r="P2646" s="180" t="s">
        <v>257</v>
      </c>
      <c r="R2646" s="180" t="s">
        <v>257</v>
      </c>
    </row>
    <row r="2647" spans="8:18" x14ac:dyDescent="0.2">
      <c r="H2647" s="180"/>
      <c r="P2647" s="180" t="s">
        <v>257</v>
      </c>
      <c r="R2647" s="180" t="s">
        <v>257</v>
      </c>
    </row>
    <row r="2648" spans="8:18" x14ac:dyDescent="0.2">
      <c r="H2648" s="180"/>
      <c r="P2648" s="180" t="s">
        <v>257</v>
      </c>
      <c r="R2648" s="180" t="s">
        <v>257</v>
      </c>
    </row>
    <row r="2649" spans="8:18" x14ac:dyDescent="0.2">
      <c r="H2649" s="180"/>
      <c r="P2649" s="180" t="s">
        <v>257</v>
      </c>
      <c r="R2649" s="180" t="s">
        <v>257</v>
      </c>
    </row>
    <row r="2650" spans="8:18" x14ac:dyDescent="0.2">
      <c r="H2650" s="180"/>
      <c r="P2650" s="180" t="s">
        <v>257</v>
      </c>
      <c r="R2650" s="180" t="s">
        <v>257</v>
      </c>
    </row>
    <row r="2651" spans="8:18" x14ac:dyDescent="0.2">
      <c r="H2651" s="180"/>
      <c r="P2651" s="180" t="s">
        <v>257</v>
      </c>
      <c r="R2651" s="180" t="s">
        <v>257</v>
      </c>
    </row>
    <row r="2652" spans="8:18" x14ac:dyDescent="0.2">
      <c r="H2652" s="180"/>
      <c r="P2652" s="180" t="s">
        <v>257</v>
      </c>
      <c r="R2652" s="180" t="s">
        <v>257</v>
      </c>
    </row>
    <row r="2653" spans="8:18" x14ac:dyDescent="0.2">
      <c r="H2653" s="180"/>
      <c r="P2653" s="180" t="s">
        <v>257</v>
      </c>
      <c r="R2653" s="180" t="s">
        <v>257</v>
      </c>
    </row>
    <row r="2654" spans="8:18" x14ac:dyDescent="0.2">
      <c r="H2654" s="180"/>
      <c r="P2654" s="180" t="s">
        <v>257</v>
      </c>
      <c r="R2654" s="180" t="s">
        <v>257</v>
      </c>
    </row>
    <row r="2655" spans="8:18" x14ac:dyDescent="0.2">
      <c r="H2655" s="180"/>
      <c r="P2655" s="180" t="s">
        <v>257</v>
      </c>
      <c r="R2655" s="180" t="s">
        <v>257</v>
      </c>
    </row>
    <row r="2656" spans="8:18" x14ac:dyDescent="0.2">
      <c r="H2656" s="180"/>
      <c r="P2656" s="180" t="s">
        <v>257</v>
      </c>
      <c r="R2656" s="180" t="s">
        <v>257</v>
      </c>
    </row>
    <row r="2657" spans="8:18" x14ac:dyDescent="0.2">
      <c r="H2657" s="180"/>
      <c r="P2657" s="180" t="s">
        <v>257</v>
      </c>
      <c r="R2657" s="180" t="s">
        <v>257</v>
      </c>
    </row>
    <row r="2658" spans="8:18" x14ac:dyDescent="0.2">
      <c r="H2658" s="180"/>
      <c r="P2658" s="180" t="s">
        <v>257</v>
      </c>
      <c r="R2658" s="180" t="s">
        <v>257</v>
      </c>
    </row>
    <row r="2659" spans="8:18" x14ac:dyDescent="0.2">
      <c r="H2659" s="180"/>
      <c r="P2659" s="180" t="s">
        <v>257</v>
      </c>
      <c r="R2659" s="180" t="s">
        <v>257</v>
      </c>
    </row>
    <row r="2660" spans="8:18" x14ac:dyDescent="0.2">
      <c r="H2660" s="180"/>
      <c r="P2660" s="180" t="s">
        <v>257</v>
      </c>
      <c r="R2660" s="180" t="s">
        <v>257</v>
      </c>
    </row>
    <row r="2661" spans="8:18" x14ac:dyDescent="0.2">
      <c r="H2661" s="180"/>
      <c r="P2661" s="180" t="s">
        <v>257</v>
      </c>
      <c r="R2661" s="180" t="s">
        <v>257</v>
      </c>
    </row>
    <row r="2662" spans="8:18" x14ac:dyDescent="0.2">
      <c r="H2662" s="180"/>
      <c r="P2662" s="180" t="s">
        <v>257</v>
      </c>
      <c r="R2662" s="180" t="s">
        <v>257</v>
      </c>
    </row>
    <row r="2663" spans="8:18" x14ac:dyDescent="0.2">
      <c r="H2663" s="180"/>
      <c r="P2663" s="180" t="s">
        <v>257</v>
      </c>
      <c r="R2663" s="180" t="s">
        <v>257</v>
      </c>
    </row>
    <row r="2664" spans="8:18" x14ac:dyDescent="0.2">
      <c r="H2664" s="180"/>
      <c r="P2664" s="180" t="s">
        <v>257</v>
      </c>
      <c r="R2664" s="180" t="s">
        <v>257</v>
      </c>
    </row>
    <row r="2665" spans="8:18" x14ac:dyDescent="0.2">
      <c r="H2665" s="180"/>
      <c r="P2665" s="180" t="s">
        <v>257</v>
      </c>
      <c r="R2665" s="180" t="s">
        <v>257</v>
      </c>
    </row>
    <row r="2666" spans="8:18" x14ac:dyDescent="0.2">
      <c r="H2666" s="180"/>
      <c r="P2666" s="180" t="s">
        <v>257</v>
      </c>
      <c r="R2666" s="180" t="s">
        <v>257</v>
      </c>
    </row>
    <row r="2667" spans="8:18" x14ac:dyDescent="0.2">
      <c r="H2667" s="180"/>
      <c r="P2667" s="180" t="s">
        <v>257</v>
      </c>
      <c r="R2667" s="180" t="s">
        <v>257</v>
      </c>
    </row>
    <row r="2668" spans="8:18" x14ac:dyDescent="0.2">
      <c r="H2668" s="180"/>
      <c r="P2668" s="180" t="s">
        <v>257</v>
      </c>
      <c r="R2668" s="180" t="s">
        <v>257</v>
      </c>
    </row>
    <row r="2669" spans="8:18" x14ac:dyDescent="0.2">
      <c r="H2669" s="180"/>
      <c r="P2669" s="180" t="s">
        <v>257</v>
      </c>
      <c r="R2669" s="180" t="s">
        <v>257</v>
      </c>
    </row>
    <row r="2670" spans="8:18" x14ac:dyDescent="0.2">
      <c r="H2670" s="180"/>
      <c r="P2670" s="180" t="s">
        <v>257</v>
      </c>
      <c r="R2670" s="180" t="s">
        <v>257</v>
      </c>
    </row>
    <row r="2671" spans="8:18" x14ac:dyDescent="0.2">
      <c r="H2671" s="180"/>
      <c r="P2671" s="180" t="s">
        <v>257</v>
      </c>
      <c r="R2671" s="180" t="s">
        <v>257</v>
      </c>
    </row>
    <row r="2672" spans="8:18" x14ac:dyDescent="0.2">
      <c r="H2672" s="180"/>
      <c r="P2672" s="180" t="s">
        <v>257</v>
      </c>
      <c r="R2672" s="180" t="s">
        <v>257</v>
      </c>
    </row>
    <row r="2673" spans="8:18" x14ac:dyDescent="0.2">
      <c r="H2673" s="180"/>
      <c r="P2673" s="180" t="s">
        <v>257</v>
      </c>
      <c r="R2673" s="180" t="s">
        <v>257</v>
      </c>
    </row>
    <row r="2674" spans="8:18" x14ac:dyDescent="0.2">
      <c r="H2674" s="180"/>
      <c r="P2674" s="180" t="s">
        <v>257</v>
      </c>
      <c r="R2674" s="180" t="s">
        <v>257</v>
      </c>
    </row>
    <row r="2675" spans="8:18" x14ac:dyDescent="0.2">
      <c r="H2675" s="180"/>
      <c r="P2675" s="180" t="s">
        <v>257</v>
      </c>
      <c r="R2675" s="180" t="s">
        <v>257</v>
      </c>
    </row>
    <row r="2676" spans="8:18" x14ac:dyDescent="0.2">
      <c r="H2676" s="180"/>
      <c r="P2676" s="180" t="s">
        <v>257</v>
      </c>
      <c r="R2676" s="180" t="s">
        <v>257</v>
      </c>
    </row>
    <row r="2677" spans="8:18" x14ac:dyDescent="0.2">
      <c r="H2677" s="180"/>
      <c r="P2677" s="180" t="s">
        <v>257</v>
      </c>
      <c r="R2677" s="180" t="s">
        <v>257</v>
      </c>
    </row>
    <row r="2678" spans="8:18" x14ac:dyDescent="0.2">
      <c r="H2678" s="180"/>
      <c r="P2678" s="180" t="s">
        <v>257</v>
      </c>
      <c r="R2678" s="180" t="s">
        <v>257</v>
      </c>
    </row>
    <row r="2679" spans="8:18" x14ac:dyDescent="0.2">
      <c r="H2679" s="180"/>
      <c r="P2679" s="180" t="s">
        <v>257</v>
      </c>
      <c r="R2679" s="180" t="s">
        <v>257</v>
      </c>
    </row>
    <row r="2680" spans="8:18" x14ac:dyDescent="0.2">
      <c r="H2680" s="180"/>
      <c r="P2680" s="180" t="s">
        <v>257</v>
      </c>
      <c r="R2680" s="180" t="s">
        <v>257</v>
      </c>
    </row>
    <row r="2681" spans="8:18" x14ac:dyDescent="0.2">
      <c r="H2681" s="180"/>
      <c r="P2681" s="180" t="s">
        <v>257</v>
      </c>
      <c r="R2681" s="180" t="s">
        <v>257</v>
      </c>
    </row>
    <row r="2682" spans="8:18" x14ac:dyDescent="0.2">
      <c r="H2682" s="180"/>
      <c r="P2682" s="180" t="s">
        <v>257</v>
      </c>
      <c r="R2682" s="180" t="s">
        <v>257</v>
      </c>
    </row>
    <row r="2683" spans="8:18" x14ac:dyDescent="0.2">
      <c r="H2683" s="180"/>
      <c r="P2683" s="180" t="s">
        <v>257</v>
      </c>
      <c r="R2683" s="180" t="s">
        <v>257</v>
      </c>
    </row>
    <row r="2684" spans="8:18" x14ac:dyDescent="0.2">
      <c r="H2684" s="180"/>
      <c r="P2684" s="180" t="s">
        <v>257</v>
      </c>
      <c r="R2684" s="180" t="s">
        <v>257</v>
      </c>
    </row>
    <row r="2685" spans="8:18" x14ac:dyDescent="0.2">
      <c r="H2685" s="180"/>
      <c r="P2685" s="180" t="s">
        <v>257</v>
      </c>
      <c r="R2685" s="180" t="s">
        <v>257</v>
      </c>
    </row>
    <row r="2686" spans="8:18" x14ac:dyDescent="0.2">
      <c r="H2686" s="180"/>
      <c r="P2686" s="180" t="s">
        <v>257</v>
      </c>
      <c r="R2686" s="180" t="s">
        <v>257</v>
      </c>
    </row>
    <row r="2687" spans="8:18" x14ac:dyDescent="0.2">
      <c r="H2687" s="180"/>
      <c r="P2687" s="180" t="s">
        <v>257</v>
      </c>
      <c r="R2687" s="180" t="s">
        <v>257</v>
      </c>
    </row>
    <row r="2688" spans="8:18" x14ac:dyDescent="0.2">
      <c r="H2688" s="180"/>
      <c r="P2688" s="180" t="s">
        <v>257</v>
      </c>
      <c r="R2688" s="180" t="s">
        <v>257</v>
      </c>
    </row>
    <row r="2689" spans="8:18" x14ac:dyDescent="0.2">
      <c r="H2689" s="180"/>
      <c r="P2689" s="180" t="s">
        <v>257</v>
      </c>
      <c r="R2689" s="180" t="s">
        <v>257</v>
      </c>
    </row>
    <row r="2690" spans="8:18" x14ac:dyDescent="0.2">
      <c r="H2690" s="180"/>
      <c r="P2690" s="180" t="s">
        <v>257</v>
      </c>
      <c r="R2690" s="180" t="s">
        <v>257</v>
      </c>
    </row>
    <row r="2691" spans="8:18" x14ac:dyDescent="0.2">
      <c r="H2691" s="180"/>
      <c r="P2691" s="180" t="s">
        <v>257</v>
      </c>
      <c r="R2691" s="180" t="s">
        <v>257</v>
      </c>
    </row>
    <row r="2692" spans="8:18" x14ac:dyDescent="0.2">
      <c r="H2692" s="180"/>
      <c r="P2692" s="180" t="s">
        <v>257</v>
      </c>
      <c r="R2692" s="180" t="s">
        <v>257</v>
      </c>
    </row>
    <row r="2693" spans="8:18" x14ac:dyDescent="0.2">
      <c r="H2693" s="180"/>
      <c r="P2693" s="180" t="s">
        <v>257</v>
      </c>
      <c r="R2693" s="180" t="s">
        <v>257</v>
      </c>
    </row>
    <row r="2694" spans="8:18" x14ac:dyDescent="0.2">
      <c r="H2694" s="180"/>
      <c r="P2694" s="180" t="s">
        <v>257</v>
      </c>
      <c r="R2694" s="180" t="s">
        <v>257</v>
      </c>
    </row>
    <row r="2695" spans="8:18" x14ac:dyDescent="0.2">
      <c r="H2695" s="180"/>
      <c r="P2695" s="180" t="s">
        <v>257</v>
      </c>
      <c r="R2695" s="180" t="s">
        <v>257</v>
      </c>
    </row>
    <row r="2696" spans="8:18" x14ac:dyDescent="0.2">
      <c r="H2696" s="180"/>
      <c r="P2696" s="180" t="s">
        <v>257</v>
      </c>
      <c r="R2696" s="180" t="s">
        <v>257</v>
      </c>
    </row>
    <row r="2697" spans="8:18" x14ac:dyDescent="0.2">
      <c r="H2697" s="180"/>
      <c r="P2697" s="180" t="s">
        <v>257</v>
      </c>
      <c r="R2697" s="180" t="s">
        <v>257</v>
      </c>
    </row>
    <row r="2698" spans="8:18" x14ac:dyDescent="0.2">
      <c r="H2698" s="180"/>
      <c r="P2698" s="180" t="s">
        <v>257</v>
      </c>
      <c r="R2698" s="180" t="s">
        <v>257</v>
      </c>
    </row>
    <row r="2699" spans="8:18" x14ac:dyDescent="0.2">
      <c r="H2699" s="180"/>
      <c r="P2699" s="180" t="s">
        <v>257</v>
      </c>
      <c r="R2699" s="180" t="s">
        <v>257</v>
      </c>
    </row>
    <row r="2700" spans="8:18" x14ac:dyDescent="0.2">
      <c r="H2700" s="180"/>
      <c r="P2700" s="180" t="s">
        <v>257</v>
      </c>
      <c r="R2700" s="180" t="s">
        <v>257</v>
      </c>
    </row>
    <row r="2701" spans="8:18" x14ac:dyDescent="0.2">
      <c r="H2701" s="180"/>
      <c r="P2701" s="180" t="s">
        <v>257</v>
      </c>
      <c r="R2701" s="180" t="s">
        <v>257</v>
      </c>
    </row>
    <row r="2702" spans="8:18" x14ac:dyDescent="0.2">
      <c r="H2702" s="180"/>
      <c r="P2702" s="180" t="s">
        <v>257</v>
      </c>
      <c r="R2702" s="180" t="s">
        <v>257</v>
      </c>
    </row>
    <row r="2703" spans="8:18" x14ac:dyDescent="0.2">
      <c r="H2703" s="180"/>
      <c r="P2703" s="180" t="s">
        <v>257</v>
      </c>
      <c r="R2703" s="180" t="s">
        <v>257</v>
      </c>
    </row>
    <row r="2704" spans="8:18" x14ac:dyDescent="0.2">
      <c r="H2704" s="180"/>
      <c r="P2704" s="180" t="s">
        <v>257</v>
      </c>
      <c r="R2704" s="180" t="s">
        <v>257</v>
      </c>
    </row>
    <row r="2705" spans="8:18" x14ac:dyDescent="0.2">
      <c r="H2705" s="180"/>
      <c r="P2705" s="180" t="s">
        <v>257</v>
      </c>
      <c r="R2705" s="180" t="s">
        <v>257</v>
      </c>
    </row>
    <row r="2706" spans="8:18" x14ac:dyDescent="0.2">
      <c r="H2706" s="180"/>
      <c r="P2706" s="180" t="s">
        <v>257</v>
      </c>
      <c r="R2706" s="180" t="s">
        <v>257</v>
      </c>
    </row>
    <row r="2707" spans="8:18" x14ac:dyDescent="0.2">
      <c r="H2707" s="180"/>
      <c r="P2707" s="180" t="s">
        <v>257</v>
      </c>
      <c r="R2707" s="180" t="s">
        <v>257</v>
      </c>
    </row>
    <row r="2708" spans="8:18" x14ac:dyDescent="0.2">
      <c r="H2708" s="180"/>
      <c r="P2708" s="180" t="s">
        <v>257</v>
      </c>
      <c r="R2708" s="180" t="s">
        <v>257</v>
      </c>
    </row>
    <row r="2709" spans="8:18" x14ac:dyDescent="0.2">
      <c r="H2709" s="180"/>
      <c r="P2709" s="180" t="s">
        <v>257</v>
      </c>
      <c r="R2709" s="180" t="s">
        <v>257</v>
      </c>
    </row>
    <row r="2710" spans="8:18" x14ac:dyDescent="0.2">
      <c r="H2710" s="180"/>
      <c r="P2710" s="180" t="s">
        <v>257</v>
      </c>
      <c r="R2710" s="180" t="s">
        <v>257</v>
      </c>
    </row>
    <row r="2711" spans="8:18" x14ac:dyDescent="0.2">
      <c r="H2711" s="180"/>
      <c r="P2711" s="180" t="s">
        <v>257</v>
      </c>
      <c r="R2711" s="180" t="s">
        <v>257</v>
      </c>
    </row>
    <row r="2712" spans="8:18" x14ac:dyDescent="0.2">
      <c r="H2712" s="180"/>
      <c r="P2712" s="180" t="s">
        <v>257</v>
      </c>
      <c r="R2712" s="180" t="s">
        <v>257</v>
      </c>
    </row>
    <row r="2713" spans="8:18" x14ac:dyDescent="0.2">
      <c r="H2713" s="180"/>
      <c r="P2713" s="180" t="s">
        <v>257</v>
      </c>
      <c r="R2713" s="180" t="s">
        <v>257</v>
      </c>
    </row>
    <row r="2714" spans="8:18" x14ac:dyDescent="0.2">
      <c r="H2714" s="180"/>
      <c r="P2714" s="180" t="s">
        <v>257</v>
      </c>
      <c r="R2714" s="180" t="s">
        <v>257</v>
      </c>
    </row>
    <row r="2715" spans="8:18" x14ac:dyDescent="0.2">
      <c r="H2715" s="180"/>
      <c r="P2715" s="180" t="s">
        <v>257</v>
      </c>
      <c r="R2715" s="180" t="s">
        <v>257</v>
      </c>
    </row>
    <row r="2716" spans="8:18" x14ac:dyDescent="0.2">
      <c r="H2716" s="180"/>
      <c r="P2716" s="180" t="s">
        <v>257</v>
      </c>
      <c r="R2716" s="180" t="s">
        <v>257</v>
      </c>
    </row>
    <row r="2717" spans="8:18" x14ac:dyDescent="0.2">
      <c r="H2717" s="180"/>
      <c r="P2717" s="180" t="s">
        <v>257</v>
      </c>
      <c r="R2717" s="180" t="s">
        <v>257</v>
      </c>
    </row>
    <row r="2718" spans="8:18" x14ac:dyDescent="0.2">
      <c r="H2718" s="180"/>
      <c r="P2718" s="180" t="s">
        <v>257</v>
      </c>
      <c r="R2718" s="180" t="s">
        <v>257</v>
      </c>
    </row>
    <row r="2719" spans="8:18" x14ac:dyDescent="0.2">
      <c r="H2719" s="180"/>
      <c r="P2719" s="180" t="s">
        <v>257</v>
      </c>
      <c r="R2719" s="180" t="s">
        <v>257</v>
      </c>
    </row>
    <row r="2720" spans="8:18" x14ac:dyDescent="0.2">
      <c r="H2720" s="180"/>
      <c r="P2720" s="180" t="s">
        <v>257</v>
      </c>
      <c r="R2720" s="180" t="s">
        <v>257</v>
      </c>
    </row>
    <row r="2721" spans="8:18" x14ac:dyDescent="0.2">
      <c r="H2721" s="180"/>
      <c r="P2721" s="180" t="s">
        <v>257</v>
      </c>
      <c r="R2721" s="180" t="s">
        <v>257</v>
      </c>
    </row>
    <row r="2722" spans="8:18" x14ac:dyDescent="0.2">
      <c r="H2722" s="180"/>
      <c r="P2722" s="180" t="s">
        <v>257</v>
      </c>
      <c r="R2722" s="180" t="s">
        <v>257</v>
      </c>
    </row>
    <row r="2723" spans="8:18" x14ac:dyDescent="0.2">
      <c r="H2723" s="180"/>
      <c r="P2723" s="180" t="s">
        <v>257</v>
      </c>
      <c r="R2723" s="180" t="s">
        <v>257</v>
      </c>
    </row>
    <row r="2724" spans="8:18" x14ac:dyDescent="0.2">
      <c r="H2724" s="180"/>
      <c r="P2724" s="180" t="s">
        <v>257</v>
      </c>
      <c r="R2724" s="180" t="s">
        <v>257</v>
      </c>
    </row>
    <row r="2725" spans="8:18" x14ac:dyDescent="0.2">
      <c r="H2725" s="180"/>
      <c r="P2725" s="180" t="s">
        <v>257</v>
      </c>
      <c r="R2725" s="180" t="s">
        <v>257</v>
      </c>
    </row>
    <row r="2726" spans="8:18" x14ac:dyDescent="0.2">
      <c r="H2726" s="180"/>
      <c r="P2726" s="180" t="s">
        <v>257</v>
      </c>
      <c r="R2726" s="180" t="s">
        <v>257</v>
      </c>
    </row>
    <row r="2727" spans="8:18" x14ac:dyDescent="0.2">
      <c r="H2727" s="180"/>
      <c r="P2727" s="180" t="s">
        <v>257</v>
      </c>
      <c r="R2727" s="180" t="s">
        <v>257</v>
      </c>
    </row>
    <row r="2728" spans="8:18" x14ac:dyDescent="0.2">
      <c r="H2728" s="180"/>
      <c r="P2728" s="180" t="s">
        <v>257</v>
      </c>
      <c r="R2728" s="180" t="s">
        <v>257</v>
      </c>
    </row>
    <row r="2729" spans="8:18" x14ac:dyDescent="0.2">
      <c r="H2729" s="180"/>
      <c r="P2729" s="180" t="s">
        <v>257</v>
      </c>
      <c r="R2729" s="180" t="s">
        <v>257</v>
      </c>
    </row>
    <row r="2730" spans="8:18" x14ac:dyDescent="0.2">
      <c r="H2730" s="180"/>
      <c r="P2730" s="180" t="s">
        <v>257</v>
      </c>
      <c r="R2730" s="180" t="s">
        <v>257</v>
      </c>
    </row>
    <row r="2731" spans="8:18" x14ac:dyDescent="0.2">
      <c r="H2731" s="180"/>
      <c r="P2731" s="180" t="s">
        <v>257</v>
      </c>
      <c r="R2731" s="180" t="s">
        <v>257</v>
      </c>
    </row>
    <row r="2732" spans="8:18" x14ac:dyDescent="0.2">
      <c r="H2732" s="180"/>
      <c r="P2732" s="180" t="s">
        <v>257</v>
      </c>
      <c r="R2732" s="180" t="s">
        <v>257</v>
      </c>
    </row>
    <row r="2733" spans="8:18" x14ac:dyDescent="0.2">
      <c r="H2733" s="180"/>
      <c r="P2733" s="180" t="s">
        <v>257</v>
      </c>
      <c r="R2733" s="180" t="s">
        <v>257</v>
      </c>
    </row>
    <row r="2734" spans="8:18" x14ac:dyDescent="0.2">
      <c r="H2734" s="180"/>
      <c r="P2734" s="180" t="s">
        <v>257</v>
      </c>
      <c r="R2734" s="180" t="s">
        <v>257</v>
      </c>
    </row>
    <row r="2735" spans="8:18" x14ac:dyDescent="0.2">
      <c r="H2735" s="180"/>
      <c r="P2735" s="180" t="s">
        <v>257</v>
      </c>
      <c r="R2735" s="180" t="s">
        <v>257</v>
      </c>
    </row>
    <row r="2736" spans="8:18" x14ac:dyDescent="0.2">
      <c r="H2736" s="180"/>
      <c r="P2736" s="180" t="s">
        <v>257</v>
      </c>
      <c r="R2736" s="180" t="s">
        <v>257</v>
      </c>
    </row>
    <row r="2737" spans="8:18" x14ac:dyDescent="0.2">
      <c r="H2737" s="180"/>
      <c r="P2737" s="180" t="s">
        <v>257</v>
      </c>
      <c r="R2737" s="180" t="s">
        <v>257</v>
      </c>
    </row>
    <row r="2738" spans="8:18" x14ac:dyDescent="0.2">
      <c r="H2738" s="180"/>
      <c r="P2738" s="180" t="s">
        <v>257</v>
      </c>
      <c r="R2738" s="180" t="s">
        <v>257</v>
      </c>
    </row>
    <row r="2739" spans="8:18" x14ac:dyDescent="0.2">
      <c r="H2739" s="180"/>
      <c r="P2739" s="180" t="s">
        <v>257</v>
      </c>
      <c r="R2739" s="180" t="s">
        <v>257</v>
      </c>
    </row>
    <row r="2740" spans="8:18" x14ac:dyDescent="0.2">
      <c r="H2740" s="180"/>
      <c r="P2740" s="180" t="s">
        <v>257</v>
      </c>
      <c r="R2740" s="180" t="s">
        <v>257</v>
      </c>
    </row>
    <row r="2741" spans="8:18" x14ac:dyDescent="0.2">
      <c r="H2741" s="180"/>
      <c r="P2741" s="180" t="s">
        <v>257</v>
      </c>
      <c r="R2741" s="180" t="s">
        <v>257</v>
      </c>
    </row>
    <row r="2742" spans="8:18" x14ac:dyDescent="0.2">
      <c r="H2742" s="180"/>
      <c r="P2742" s="180" t="s">
        <v>257</v>
      </c>
      <c r="R2742" s="180" t="s">
        <v>257</v>
      </c>
    </row>
    <row r="2743" spans="8:18" x14ac:dyDescent="0.2">
      <c r="H2743" s="180"/>
      <c r="P2743" s="180" t="s">
        <v>257</v>
      </c>
      <c r="R2743" s="180" t="s">
        <v>257</v>
      </c>
    </row>
    <row r="2744" spans="8:18" x14ac:dyDescent="0.2">
      <c r="H2744" s="180"/>
      <c r="P2744" s="180" t="s">
        <v>257</v>
      </c>
      <c r="R2744" s="180" t="s">
        <v>257</v>
      </c>
    </row>
    <row r="2745" spans="8:18" x14ac:dyDescent="0.2">
      <c r="H2745" s="180"/>
      <c r="P2745" s="180" t="s">
        <v>257</v>
      </c>
      <c r="R2745" s="180" t="s">
        <v>257</v>
      </c>
    </row>
    <row r="2746" spans="8:18" x14ac:dyDescent="0.2">
      <c r="H2746" s="180"/>
      <c r="P2746" s="180" t="s">
        <v>257</v>
      </c>
      <c r="R2746" s="180" t="s">
        <v>257</v>
      </c>
    </row>
    <row r="2747" spans="8:18" x14ac:dyDescent="0.2">
      <c r="H2747" s="180"/>
      <c r="P2747" s="180" t="s">
        <v>257</v>
      </c>
      <c r="R2747" s="180" t="s">
        <v>257</v>
      </c>
    </row>
    <row r="2748" spans="8:18" x14ac:dyDescent="0.2">
      <c r="H2748" s="180"/>
      <c r="P2748" s="180" t="s">
        <v>257</v>
      </c>
      <c r="R2748" s="180" t="s">
        <v>257</v>
      </c>
    </row>
    <row r="2749" spans="8:18" x14ac:dyDescent="0.2">
      <c r="H2749" s="180"/>
      <c r="P2749" s="180" t="s">
        <v>257</v>
      </c>
      <c r="R2749" s="180" t="s">
        <v>257</v>
      </c>
    </row>
    <row r="2750" spans="8:18" x14ac:dyDescent="0.2">
      <c r="H2750" s="180"/>
      <c r="P2750" s="180" t="s">
        <v>257</v>
      </c>
      <c r="R2750" s="180" t="s">
        <v>257</v>
      </c>
    </row>
    <row r="2751" spans="8:18" x14ac:dyDescent="0.2">
      <c r="H2751" s="180"/>
      <c r="P2751" s="180" t="s">
        <v>257</v>
      </c>
      <c r="R2751" s="180" t="s">
        <v>257</v>
      </c>
    </row>
    <row r="2752" spans="8:18" x14ac:dyDescent="0.2">
      <c r="H2752" s="180"/>
      <c r="P2752" s="180" t="s">
        <v>257</v>
      </c>
      <c r="R2752" s="180" t="s">
        <v>257</v>
      </c>
    </row>
    <row r="2753" spans="8:18" x14ac:dyDescent="0.2">
      <c r="H2753" s="180"/>
      <c r="P2753" s="180" t="s">
        <v>257</v>
      </c>
      <c r="R2753" s="180" t="s">
        <v>257</v>
      </c>
    </row>
    <row r="2754" spans="8:18" x14ac:dyDescent="0.2">
      <c r="H2754" s="180"/>
      <c r="P2754" s="180" t="s">
        <v>257</v>
      </c>
      <c r="R2754" s="180" t="s">
        <v>257</v>
      </c>
    </row>
    <row r="2755" spans="8:18" x14ac:dyDescent="0.2">
      <c r="H2755" s="180"/>
      <c r="P2755" s="180" t="s">
        <v>257</v>
      </c>
      <c r="R2755" s="180" t="s">
        <v>257</v>
      </c>
    </row>
    <row r="2756" spans="8:18" x14ac:dyDescent="0.2">
      <c r="H2756" s="180"/>
      <c r="P2756" s="180" t="s">
        <v>257</v>
      </c>
      <c r="R2756" s="180" t="s">
        <v>257</v>
      </c>
    </row>
    <row r="2757" spans="8:18" x14ac:dyDescent="0.2">
      <c r="H2757" s="180"/>
      <c r="P2757" s="180" t="s">
        <v>257</v>
      </c>
      <c r="R2757" s="180" t="s">
        <v>257</v>
      </c>
    </row>
    <row r="2758" spans="8:18" x14ac:dyDescent="0.2">
      <c r="H2758" s="180"/>
      <c r="P2758" s="180" t="s">
        <v>257</v>
      </c>
      <c r="R2758" s="180" t="s">
        <v>257</v>
      </c>
    </row>
    <row r="2759" spans="8:18" x14ac:dyDescent="0.2">
      <c r="H2759" s="180"/>
      <c r="P2759" s="180" t="s">
        <v>257</v>
      </c>
      <c r="R2759" s="180" t="s">
        <v>257</v>
      </c>
    </row>
    <row r="2760" spans="8:18" x14ac:dyDescent="0.2">
      <c r="H2760" s="180"/>
      <c r="P2760" s="180" t="s">
        <v>257</v>
      </c>
      <c r="R2760" s="180" t="s">
        <v>257</v>
      </c>
    </row>
    <row r="2761" spans="8:18" x14ac:dyDescent="0.2">
      <c r="H2761" s="180"/>
      <c r="P2761" s="180" t="s">
        <v>257</v>
      </c>
      <c r="R2761" s="180" t="s">
        <v>257</v>
      </c>
    </row>
    <row r="2762" spans="8:18" x14ac:dyDescent="0.2">
      <c r="H2762" s="180"/>
      <c r="P2762" s="180" t="s">
        <v>257</v>
      </c>
      <c r="R2762" s="180" t="s">
        <v>257</v>
      </c>
    </row>
    <row r="2763" spans="8:18" x14ac:dyDescent="0.2">
      <c r="H2763" s="180"/>
      <c r="P2763" s="180" t="s">
        <v>257</v>
      </c>
      <c r="R2763" s="180" t="s">
        <v>257</v>
      </c>
    </row>
    <row r="2764" spans="8:18" x14ac:dyDescent="0.2">
      <c r="H2764" s="180"/>
      <c r="P2764" s="180" t="s">
        <v>257</v>
      </c>
      <c r="R2764" s="180" t="s">
        <v>257</v>
      </c>
    </row>
    <row r="2765" spans="8:18" x14ac:dyDescent="0.2">
      <c r="H2765" s="180"/>
      <c r="P2765" s="180" t="s">
        <v>257</v>
      </c>
      <c r="R2765" s="180" t="s">
        <v>257</v>
      </c>
    </row>
    <row r="2766" spans="8:18" x14ac:dyDescent="0.2">
      <c r="H2766" s="180"/>
      <c r="P2766" s="180" t="s">
        <v>257</v>
      </c>
      <c r="R2766" s="180" t="s">
        <v>257</v>
      </c>
    </row>
    <row r="2767" spans="8:18" x14ac:dyDescent="0.2">
      <c r="H2767" s="180"/>
      <c r="P2767" s="180" t="s">
        <v>257</v>
      </c>
      <c r="R2767" s="180" t="s">
        <v>257</v>
      </c>
    </row>
    <row r="2768" spans="8:18" x14ac:dyDescent="0.2">
      <c r="H2768" s="180"/>
      <c r="P2768" s="180" t="s">
        <v>257</v>
      </c>
      <c r="R2768" s="180" t="s">
        <v>257</v>
      </c>
    </row>
    <row r="2769" spans="8:18" x14ac:dyDescent="0.2">
      <c r="H2769" s="180"/>
      <c r="P2769" s="180" t="s">
        <v>257</v>
      </c>
      <c r="R2769" s="180" t="s">
        <v>257</v>
      </c>
    </row>
    <row r="2770" spans="8:18" x14ac:dyDescent="0.2">
      <c r="H2770" s="180"/>
      <c r="P2770" s="180" t="s">
        <v>257</v>
      </c>
      <c r="R2770" s="180" t="s">
        <v>257</v>
      </c>
    </row>
    <row r="2771" spans="8:18" x14ac:dyDescent="0.2">
      <c r="H2771" s="180"/>
      <c r="P2771" s="180" t="s">
        <v>257</v>
      </c>
      <c r="R2771" s="180" t="s">
        <v>257</v>
      </c>
    </row>
    <row r="2772" spans="8:18" x14ac:dyDescent="0.2">
      <c r="H2772" s="180"/>
      <c r="P2772" s="180" t="s">
        <v>257</v>
      </c>
      <c r="R2772" s="180" t="s">
        <v>257</v>
      </c>
    </row>
    <row r="2773" spans="8:18" x14ac:dyDescent="0.2">
      <c r="H2773" s="180"/>
      <c r="P2773" s="180" t="s">
        <v>257</v>
      </c>
      <c r="R2773" s="180" t="s">
        <v>257</v>
      </c>
    </row>
    <row r="2774" spans="8:18" x14ac:dyDescent="0.2">
      <c r="H2774" s="180"/>
      <c r="P2774" s="180" t="s">
        <v>257</v>
      </c>
      <c r="R2774" s="180" t="s">
        <v>257</v>
      </c>
    </row>
    <row r="2775" spans="8:18" x14ac:dyDescent="0.2">
      <c r="H2775" s="180"/>
      <c r="P2775" s="180" t="s">
        <v>257</v>
      </c>
      <c r="R2775" s="180" t="s">
        <v>257</v>
      </c>
    </row>
    <row r="2776" spans="8:18" x14ac:dyDescent="0.2">
      <c r="H2776" s="180"/>
      <c r="P2776" s="180" t="s">
        <v>257</v>
      </c>
      <c r="R2776" s="180" t="s">
        <v>257</v>
      </c>
    </row>
    <row r="2777" spans="8:18" x14ac:dyDescent="0.2">
      <c r="H2777" s="180"/>
      <c r="P2777" s="180" t="s">
        <v>257</v>
      </c>
      <c r="R2777" s="180" t="s">
        <v>257</v>
      </c>
    </row>
    <row r="2778" spans="8:18" x14ac:dyDescent="0.2">
      <c r="H2778" s="180"/>
      <c r="P2778" s="180" t="s">
        <v>257</v>
      </c>
      <c r="R2778" s="180" t="s">
        <v>257</v>
      </c>
    </row>
    <row r="2779" spans="8:18" x14ac:dyDescent="0.2">
      <c r="H2779" s="180"/>
      <c r="P2779" s="180" t="s">
        <v>257</v>
      </c>
      <c r="R2779" s="180" t="s">
        <v>257</v>
      </c>
    </row>
    <row r="2780" spans="8:18" x14ac:dyDescent="0.2">
      <c r="H2780" s="180"/>
      <c r="P2780" s="180" t="s">
        <v>257</v>
      </c>
      <c r="R2780" s="180" t="s">
        <v>257</v>
      </c>
    </row>
    <row r="2781" spans="8:18" x14ac:dyDescent="0.2">
      <c r="H2781" s="180"/>
      <c r="P2781" s="180" t="s">
        <v>257</v>
      </c>
      <c r="R2781" s="180" t="s">
        <v>257</v>
      </c>
    </row>
    <row r="2782" spans="8:18" x14ac:dyDescent="0.2">
      <c r="H2782" s="180"/>
      <c r="P2782" s="180" t="s">
        <v>257</v>
      </c>
      <c r="R2782" s="180" t="s">
        <v>257</v>
      </c>
    </row>
    <row r="2783" spans="8:18" x14ac:dyDescent="0.2">
      <c r="H2783" s="180"/>
      <c r="P2783" s="180" t="s">
        <v>257</v>
      </c>
      <c r="R2783" s="180" t="s">
        <v>257</v>
      </c>
    </row>
    <row r="2784" spans="8:18" x14ac:dyDescent="0.2">
      <c r="H2784" s="180"/>
      <c r="P2784" s="180" t="s">
        <v>257</v>
      </c>
      <c r="R2784" s="180" t="s">
        <v>257</v>
      </c>
    </row>
    <row r="2785" spans="8:18" x14ac:dyDescent="0.2">
      <c r="H2785" s="180"/>
      <c r="P2785" s="180" t="s">
        <v>257</v>
      </c>
      <c r="R2785" s="180" t="s">
        <v>257</v>
      </c>
    </row>
    <row r="2786" spans="8:18" x14ac:dyDescent="0.2">
      <c r="H2786" s="180"/>
      <c r="P2786" s="180" t="s">
        <v>257</v>
      </c>
      <c r="R2786" s="180" t="s">
        <v>257</v>
      </c>
    </row>
    <row r="2787" spans="8:18" x14ac:dyDescent="0.2">
      <c r="H2787" s="180"/>
      <c r="P2787" s="180" t="s">
        <v>257</v>
      </c>
      <c r="R2787" s="180" t="s">
        <v>257</v>
      </c>
    </row>
    <row r="2788" spans="8:18" x14ac:dyDescent="0.2">
      <c r="H2788" s="180"/>
      <c r="P2788" s="180" t="s">
        <v>257</v>
      </c>
      <c r="R2788" s="180" t="s">
        <v>257</v>
      </c>
    </row>
    <row r="2789" spans="8:18" x14ac:dyDescent="0.2">
      <c r="H2789" s="180"/>
      <c r="P2789" s="180" t="s">
        <v>257</v>
      </c>
      <c r="R2789" s="180" t="s">
        <v>257</v>
      </c>
    </row>
    <row r="2790" spans="8:18" x14ac:dyDescent="0.2">
      <c r="H2790" s="180"/>
      <c r="P2790" s="180" t="s">
        <v>257</v>
      </c>
      <c r="R2790" s="180" t="s">
        <v>257</v>
      </c>
    </row>
    <row r="2791" spans="8:18" x14ac:dyDescent="0.2">
      <c r="H2791" s="180"/>
      <c r="P2791" s="180" t="s">
        <v>257</v>
      </c>
      <c r="R2791" s="180" t="s">
        <v>257</v>
      </c>
    </row>
    <row r="2792" spans="8:18" x14ac:dyDescent="0.2">
      <c r="H2792" s="180"/>
      <c r="P2792" s="180" t="s">
        <v>257</v>
      </c>
      <c r="R2792" s="180" t="s">
        <v>257</v>
      </c>
    </row>
    <row r="2793" spans="8:18" x14ac:dyDescent="0.2">
      <c r="H2793" s="180"/>
      <c r="P2793" s="180" t="s">
        <v>257</v>
      </c>
      <c r="R2793" s="180" t="s">
        <v>257</v>
      </c>
    </row>
    <row r="2794" spans="8:18" x14ac:dyDescent="0.2">
      <c r="H2794" s="180"/>
      <c r="P2794" s="180" t="s">
        <v>257</v>
      </c>
      <c r="R2794" s="180" t="s">
        <v>257</v>
      </c>
    </row>
    <row r="2795" spans="8:18" x14ac:dyDescent="0.2">
      <c r="H2795" s="180"/>
      <c r="P2795" s="180" t="s">
        <v>257</v>
      </c>
      <c r="R2795" s="180" t="s">
        <v>257</v>
      </c>
    </row>
    <row r="2796" spans="8:18" x14ac:dyDescent="0.2">
      <c r="H2796" s="180"/>
      <c r="P2796" s="180" t="s">
        <v>257</v>
      </c>
      <c r="R2796" s="180" t="s">
        <v>257</v>
      </c>
    </row>
    <row r="2797" spans="8:18" x14ac:dyDescent="0.2">
      <c r="H2797" s="180"/>
      <c r="P2797" s="180" t="s">
        <v>257</v>
      </c>
      <c r="R2797" s="180" t="s">
        <v>257</v>
      </c>
    </row>
    <row r="2798" spans="8:18" x14ac:dyDescent="0.2">
      <c r="H2798" s="180"/>
      <c r="P2798" s="180" t="s">
        <v>257</v>
      </c>
      <c r="R2798" s="180" t="s">
        <v>257</v>
      </c>
    </row>
    <row r="2799" spans="8:18" x14ac:dyDescent="0.2">
      <c r="H2799" s="180"/>
      <c r="P2799" s="180" t="s">
        <v>257</v>
      </c>
      <c r="R2799" s="180" t="s">
        <v>257</v>
      </c>
    </row>
    <row r="2800" spans="8:18" x14ac:dyDescent="0.2">
      <c r="H2800" s="180"/>
      <c r="P2800" s="180" t="s">
        <v>257</v>
      </c>
      <c r="R2800" s="180" t="s">
        <v>257</v>
      </c>
    </row>
    <row r="2801" spans="8:18" x14ac:dyDescent="0.2">
      <c r="H2801" s="180"/>
      <c r="P2801" s="180" t="s">
        <v>257</v>
      </c>
      <c r="R2801" s="180" t="s">
        <v>257</v>
      </c>
    </row>
    <row r="2802" spans="8:18" x14ac:dyDescent="0.2">
      <c r="H2802" s="180"/>
      <c r="P2802" s="180" t="s">
        <v>257</v>
      </c>
      <c r="R2802" s="180" t="s">
        <v>257</v>
      </c>
    </row>
    <row r="2803" spans="8:18" x14ac:dyDescent="0.2">
      <c r="H2803" s="180"/>
      <c r="P2803" s="180" t="s">
        <v>257</v>
      </c>
      <c r="R2803" s="180" t="s">
        <v>257</v>
      </c>
    </row>
    <row r="2804" spans="8:18" x14ac:dyDescent="0.2">
      <c r="H2804" s="180"/>
      <c r="P2804" s="180" t="s">
        <v>257</v>
      </c>
      <c r="R2804" s="180" t="s">
        <v>257</v>
      </c>
    </row>
    <row r="2805" spans="8:18" x14ac:dyDescent="0.2">
      <c r="H2805" s="180"/>
      <c r="P2805" s="180" t="s">
        <v>257</v>
      </c>
      <c r="R2805" s="180" t="s">
        <v>257</v>
      </c>
    </row>
    <row r="2806" spans="8:18" x14ac:dyDescent="0.2">
      <c r="H2806" s="180"/>
      <c r="P2806" s="180" t="s">
        <v>257</v>
      </c>
      <c r="R2806" s="180" t="s">
        <v>257</v>
      </c>
    </row>
    <row r="2807" spans="8:18" x14ac:dyDescent="0.2">
      <c r="H2807" s="180"/>
      <c r="P2807" s="180" t="s">
        <v>257</v>
      </c>
      <c r="R2807" s="180" t="s">
        <v>257</v>
      </c>
    </row>
    <row r="2808" spans="8:18" x14ac:dyDescent="0.2">
      <c r="H2808" s="180"/>
      <c r="P2808" s="180" t="s">
        <v>257</v>
      </c>
      <c r="R2808" s="180" t="s">
        <v>257</v>
      </c>
    </row>
    <row r="2809" spans="8:18" x14ac:dyDescent="0.2">
      <c r="H2809" s="180"/>
      <c r="P2809" s="180" t="s">
        <v>257</v>
      </c>
      <c r="R2809" s="180" t="s">
        <v>257</v>
      </c>
    </row>
    <row r="2810" spans="8:18" x14ac:dyDescent="0.2">
      <c r="H2810" s="180"/>
      <c r="P2810" s="180" t="s">
        <v>257</v>
      </c>
      <c r="R2810" s="180" t="s">
        <v>257</v>
      </c>
    </row>
    <row r="2811" spans="8:18" x14ac:dyDescent="0.2">
      <c r="H2811" s="180"/>
      <c r="P2811" s="180" t="s">
        <v>257</v>
      </c>
      <c r="R2811" s="180" t="s">
        <v>257</v>
      </c>
    </row>
    <row r="2812" spans="8:18" x14ac:dyDescent="0.2">
      <c r="H2812" s="180"/>
      <c r="P2812" s="180" t="s">
        <v>257</v>
      </c>
      <c r="R2812" s="180" t="s">
        <v>257</v>
      </c>
    </row>
    <row r="2813" spans="8:18" x14ac:dyDescent="0.2">
      <c r="H2813" s="180"/>
      <c r="P2813" s="180" t="s">
        <v>257</v>
      </c>
      <c r="R2813" s="180" t="s">
        <v>257</v>
      </c>
    </row>
    <row r="2814" spans="8:18" x14ac:dyDescent="0.2">
      <c r="H2814" s="180"/>
      <c r="P2814" s="180" t="s">
        <v>257</v>
      </c>
      <c r="R2814" s="180" t="s">
        <v>257</v>
      </c>
    </row>
    <row r="2815" spans="8:18" x14ac:dyDescent="0.2">
      <c r="H2815" s="180"/>
      <c r="P2815" s="180" t="s">
        <v>257</v>
      </c>
      <c r="R2815" s="180" t="s">
        <v>257</v>
      </c>
    </row>
    <row r="2816" spans="8:18" x14ac:dyDescent="0.2">
      <c r="H2816" s="180"/>
      <c r="P2816" s="180" t="s">
        <v>257</v>
      </c>
      <c r="R2816" s="180" t="s">
        <v>257</v>
      </c>
    </row>
    <row r="2817" spans="8:18" x14ac:dyDescent="0.2">
      <c r="H2817" s="180"/>
      <c r="P2817" s="180" t="s">
        <v>257</v>
      </c>
      <c r="R2817" s="180" t="s">
        <v>257</v>
      </c>
    </row>
    <row r="2818" spans="8:18" x14ac:dyDescent="0.2">
      <c r="H2818" s="180"/>
      <c r="P2818" s="180" t="s">
        <v>257</v>
      </c>
      <c r="R2818" s="180" t="s">
        <v>257</v>
      </c>
    </row>
    <row r="2819" spans="8:18" x14ac:dyDescent="0.2">
      <c r="H2819" s="180"/>
      <c r="P2819" s="180" t="s">
        <v>257</v>
      </c>
      <c r="R2819" s="180" t="s">
        <v>257</v>
      </c>
    </row>
    <row r="2820" spans="8:18" x14ac:dyDescent="0.2">
      <c r="H2820" s="180"/>
      <c r="P2820" s="180" t="s">
        <v>257</v>
      </c>
      <c r="R2820" s="180" t="s">
        <v>257</v>
      </c>
    </row>
    <row r="2821" spans="8:18" x14ac:dyDescent="0.2">
      <c r="H2821" s="180"/>
      <c r="P2821" s="180" t="s">
        <v>257</v>
      </c>
      <c r="R2821" s="180" t="s">
        <v>257</v>
      </c>
    </row>
    <row r="2822" spans="8:18" x14ac:dyDescent="0.2">
      <c r="H2822" s="180"/>
      <c r="P2822" s="180" t="s">
        <v>257</v>
      </c>
      <c r="R2822" s="180" t="s">
        <v>257</v>
      </c>
    </row>
    <row r="2823" spans="8:18" x14ac:dyDescent="0.2">
      <c r="H2823" s="180"/>
      <c r="P2823" s="180" t="s">
        <v>257</v>
      </c>
      <c r="R2823" s="180" t="s">
        <v>257</v>
      </c>
    </row>
    <row r="2824" spans="8:18" x14ac:dyDescent="0.2">
      <c r="H2824" s="180"/>
      <c r="P2824" s="180" t="s">
        <v>257</v>
      </c>
      <c r="R2824" s="180" t="s">
        <v>257</v>
      </c>
    </row>
    <row r="2825" spans="8:18" x14ac:dyDescent="0.2">
      <c r="H2825" s="180"/>
      <c r="P2825" s="180" t="s">
        <v>257</v>
      </c>
      <c r="R2825" s="180" t="s">
        <v>257</v>
      </c>
    </row>
    <row r="2826" spans="8:18" x14ac:dyDescent="0.2">
      <c r="H2826" s="180"/>
      <c r="P2826" s="180" t="s">
        <v>257</v>
      </c>
      <c r="R2826" s="180" t="s">
        <v>257</v>
      </c>
    </row>
    <row r="2827" spans="8:18" x14ac:dyDescent="0.2">
      <c r="H2827" s="180"/>
      <c r="P2827" s="180" t="s">
        <v>257</v>
      </c>
      <c r="R2827" s="180" t="s">
        <v>257</v>
      </c>
    </row>
    <row r="2828" spans="8:18" x14ac:dyDescent="0.2">
      <c r="H2828" s="180"/>
      <c r="P2828" s="180" t="s">
        <v>257</v>
      </c>
      <c r="R2828" s="180" t="s">
        <v>257</v>
      </c>
    </row>
    <row r="2829" spans="8:18" x14ac:dyDescent="0.2">
      <c r="H2829" s="180"/>
      <c r="P2829" s="180" t="s">
        <v>257</v>
      </c>
      <c r="R2829" s="180" t="s">
        <v>257</v>
      </c>
    </row>
    <row r="2830" spans="8:18" x14ac:dyDescent="0.2">
      <c r="H2830" s="180"/>
      <c r="P2830" s="180" t="s">
        <v>257</v>
      </c>
      <c r="R2830" s="180" t="s">
        <v>257</v>
      </c>
    </row>
    <row r="2831" spans="8:18" x14ac:dyDescent="0.2">
      <c r="H2831" s="180"/>
      <c r="P2831" s="180" t="s">
        <v>257</v>
      </c>
      <c r="R2831" s="180" t="s">
        <v>257</v>
      </c>
    </row>
    <row r="2832" spans="8:18" x14ac:dyDescent="0.2">
      <c r="H2832" s="180"/>
      <c r="P2832" s="180" t="s">
        <v>257</v>
      </c>
      <c r="R2832" s="180" t="s">
        <v>257</v>
      </c>
    </row>
    <row r="2833" spans="8:18" x14ac:dyDescent="0.2">
      <c r="H2833" s="180"/>
      <c r="P2833" s="180" t="s">
        <v>257</v>
      </c>
      <c r="R2833" s="180" t="s">
        <v>257</v>
      </c>
    </row>
    <row r="2834" spans="8:18" x14ac:dyDescent="0.2">
      <c r="H2834" s="180"/>
      <c r="P2834" s="180" t="s">
        <v>257</v>
      </c>
      <c r="R2834" s="180" t="s">
        <v>257</v>
      </c>
    </row>
    <row r="2835" spans="8:18" x14ac:dyDescent="0.2">
      <c r="H2835" s="180"/>
      <c r="P2835" s="180" t="s">
        <v>257</v>
      </c>
      <c r="R2835" s="180" t="s">
        <v>257</v>
      </c>
    </row>
    <row r="2836" spans="8:18" x14ac:dyDescent="0.2">
      <c r="H2836" s="180"/>
      <c r="P2836" s="180" t="s">
        <v>257</v>
      </c>
      <c r="R2836" s="180" t="s">
        <v>257</v>
      </c>
    </row>
    <row r="2837" spans="8:18" x14ac:dyDescent="0.2">
      <c r="H2837" s="180"/>
      <c r="P2837" s="180" t="s">
        <v>257</v>
      </c>
      <c r="R2837" s="180" t="s">
        <v>257</v>
      </c>
    </row>
    <row r="2838" spans="8:18" x14ac:dyDescent="0.2">
      <c r="H2838" s="180"/>
      <c r="P2838" s="180" t="s">
        <v>257</v>
      </c>
      <c r="R2838" s="180" t="s">
        <v>257</v>
      </c>
    </row>
    <row r="2839" spans="8:18" x14ac:dyDescent="0.2">
      <c r="H2839" s="180"/>
      <c r="P2839" s="180" t="s">
        <v>257</v>
      </c>
      <c r="R2839" s="180" t="s">
        <v>257</v>
      </c>
    </row>
    <row r="2840" spans="8:18" x14ac:dyDescent="0.2">
      <c r="H2840" s="180"/>
      <c r="P2840" s="180" t="s">
        <v>257</v>
      </c>
      <c r="R2840" s="180" t="s">
        <v>257</v>
      </c>
    </row>
    <row r="2841" spans="8:18" x14ac:dyDescent="0.2">
      <c r="H2841" s="180"/>
      <c r="P2841" s="180" t="s">
        <v>257</v>
      </c>
      <c r="R2841" s="180" t="s">
        <v>257</v>
      </c>
    </row>
    <row r="2842" spans="8:18" x14ac:dyDescent="0.2">
      <c r="H2842" s="180"/>
      <c r="P2842" s="180" t="s">
        <v>257</v>
      </c>
      <c r="R2842" s="180" t="s">
        <v>257</v>
      </c>
    </row>
    <row r="2843" spans="8:18" x14ac:dyDescent="0.2">
      <c r="H2843" s="180"/>
      <c r="P2843" s="180" t="s">
        <v>257</v>
      </c>
      <c r="R2843" s="180" t="s">
        <v>257</v>
      </c>
    </row>
    <row r="2844" spans="8:18" x14ac:dyDescent="0.2">
      <c r="H2844" s="180"/>
      <c r="P2844" s="180" t="s">
        <v>257</v>
      </c>
      <c r="R2844" s="180" t="s">
        <v>257</v>
      </c>
    </row>
    <row r="2845" spans="8:18" x14ac:dyDescent="0.2">
      <c r="H2845" s="180"/>
      <c r="P2845" s="180" t="s">
        <v>257</v>
      </c>
      <c r="R2845" s="180" t="s">
        <v>257</v>
      </c>
    </row>
    <row r="2846" spans="8:18" x14ac:dyDescent="0.2">
      <c r="H2846" s="180"/>
      <c r="P2846" s="180" t="s">
        <v>257</v>
      </c>
      <c r="R2846" s="180" t="s">
        <v>257</v>
      </c>
    </row>
    <row r="2847" spans="8:18" x14ac:dyDescent="0.2">
      <c r="H2847" s="180"/>
      <c r="P2847" s="180" t="s">
        <v>257</v>
      </c>
      <c r="R2847" s="180" t="s">
        <v>257</v>
      </c>
    </row>
    <row r="2848" spans="8:18" x14ac:dyDescent="0.2">
      <c r="H2848" s="180"/>
      <c r="P2848" s="180" t="s">
        <v>257</v>
      </c>
      <c r="R2848" s="180" t="s">
        <v>257</v>
      </c>
    </row>
    <row r="2849" spans="8:18" x14ac:dyDescent="0.2">
      <c r="H2849" s="180"/>
      <c r="P2849" s="180" t="s">
        <v>257</v>
      </c>
      <c r="R2849" s="180" t="s">
        <v>257</v>
      </c>
    </row>
    <row r="2850" spans="8:18" x14ac:dyDescent="0.2">
      <c r="H2850" s="180"/>
      <c r="P2850" s="180" t="s">
        <v>257</v>
      </c>
      <c r="R2850" s="180" t="s">
        <v>257</v>
      </c>
    </row>
    <row r="2851" spans="8:18" x14ac:dyDescent="0.2">
      <c r="H2851" s="180"/>
      <c r="P2851" s="180" t="s">
        <v>257</v>
      </c>
      <c r="R2851" s="180" t="s">
        <v>257</v>
      </c>
    </row>
    <row r="2852" spans="8:18" x14ac:dyDescent="0.2">
      <c r="H2852" s="180"/>
      <c r="P2852" s="180" t="s">
        <v>257</v>
      </c>
      <c r="R2852" s="180" t="s">
        <v>257</v>
      </c>
    </row>
    <row r="2853" spans="8:18" x14ac:dyDescent="0.2">
      <c r="H2853" s="180"/>
      <c r="P2853" s="180" t="s">
        <v>257</v>
      </c>
      <c r="R2853" s="180" t="s">
        <v>257</v>
      </c>
    </row>
    <row r="2854" spans="8:18" x14ac:dyDescent="0.2">
      <c r="H2854" s="180"/>
      <c r="P2854" s="180" t="s">
        <v>257</v>
      </c>
      <c r="R2854" s="180" t="s">
        <v>257</v>
      </c>
    </row>
    <row r="2855" spans="8:18" x14ac:dyDescent="0.2">
      <c r="H2855" s="180"/>
      <c r="P2855" s="180" t="s">
        <v>257</v>
      </c>
      <c r="R2855" s="180" t="s">
        <v>257</v>
      </c>
    </row>
    <row r="2856" spans="8:18" x14ac:dyDescent="0.2">
      <c r="H2856" s="180"/>
      <c r="P2856" s="180" t="s">
        <v>257</v>
      </c>
      <c r="R2856" s="180" t="s">
        <v>257</v>
      </c>
    </row>
    <row r="2857" spans="8:18" x14ac:dyDescent="0.2">
      <c r="H2857" s="180"/>
      <c r="P2857" s="180" t="s">
        <v>257</v>
      </c>
      <c r="R2857" s="180" t="s">
        <v>257</v>
      </c>
    </row>
    <row r="2858" spans="8:18" x14ac:dyDescent="0.2">
      <c r="H2858" s="180"/>
      <c r="P2858" s="180" t="s">
        <v>257</v>
      </c>
      <c r="R2858" s="180" t="s">
        <v>257</v>
      </c>
    </row>
    <row r="2859" spans="8:18" x14ac:dyDescent="0.2">
      <c r="H2859" s="180"/>
      <c r="P2859" s="180" t="s">
        <v>257</v>
      </c>
      <c r="R2859" s="180" t="s">
        <v>257</v>
      </c>
    </row>
    <row r="2860" spans="8:18" x14ac:dyDescent="0.2">
      <c r="H2860" s="180"/>
      <c r="P2860" s="180" t="s">
        <v>257</v>
      </c>
      <c r="R2860" s="180" t="s">
        <v>257</v>
      </c>
    </row>
    <row r="2861" spans="8:18" x14ac:dyDescent="0.2">
      <c r="H2861" s="180"/>
      <c r="P2861" s="180" t="s">
        <v>257</v>
      </c>
      <c r="R2861" s="180" t="s">
        <v>257</v>
      </c>
    </row>
    <row r="2862" spans="8:18" x14ac:dyDescent="0.2">
      <c r="H2862" s="180"/>
      <c r="P2862" s="180" t="s">
        <v>257</v>
      </c>
      <c r="R2862" s="180" t="s">
        <v>257</v>
      </c>
    </row>
    <row r="2863" spans="8:18" x14ac:dyDescent="0.2">
      <c r="H2863" s="180"/>
      <c r="P2863" s="180" t="s">
        <v>257</v>
      </c>
      <c r="R2863" s="180" t="s">
        <v>257</v>
      </c>
    </row>
    <row r="2864" spans="8:18" x14ac:dyDescent="0.2">
      <c r="H2864" s="180"/>
      <c r="P2864" s="180" t="s">
        <v>257</v>
      </c>
      <c r="R2864" s="180" t="s">
        <v>257</v>
      </c>
    </row>
    <row r="2865" spans="8:18" x14ac:dyDescent="0.2">
      <c r="H2865" s="180"/>
      <c r="P2865" s="180" t="s">
        <v>257</v>
      </c>
      <c r="R2865" s="180" t="s">
        <v>257</v>
      </c>
    </row>
    <row r="2866" spans="8:18" x14ac:dyDescent="0.2">
      <c r="H2866" s="180"/>
      <c r="P2866" s="180" t="s">
        <v>257</v>
      </c>
      <c r="R2866" s="180" t="s">
        <v>257</v>
      </c>
    </row>
    <row r="2867" spans="8:18" x14ac:dyDescent="0.2">
      <c r="H2867" s="180"/>
      <c r="P2867" s="180" t="s">
        <v>257</v>
      </c>
      <c r="R2867" s="180" t="s">
        <v>257</v>
      </c>
    </row>
    <row r="2868" spans="8:18" x14ac:dyDescent="0.2">
      <c r="H2868" s="180"/>
      <c r="P2868" s="180" t="s">
        <v>257</v>
      </c>
      <c r="R2868" s="180" t="s">
        <v>257</v>
      </c>
    </row>
    <row r="2869" spans="8:18" x14ac:dyDescent="0.2">
      <c r="H2869" s="180"/>
      <c r="P2869" s="180" t="s">
        <v>257</v>
      </c>
      <c r="R2869" s="180" t="s">
        <v>257</v>
      </c>
    </row>
    <row r="2870" spans="8:18" x14ac:dyDescent="0.2">
      <c r="H2870" s="180"/>
      <c r="P2870" s="180" t="s">
        <v>257</v>
      </c>
      <c r="R2870" s="180" t="s">
        <v>257</v>
      </c>
    </row>
    <row r="2871" spans="8:18" x14ac:dyDescent="0.2">
      <c r="H2871" s="180"/>
      <c r="P2871" s="180" t="s">
        <v>257</v>
      </c>
      <c r="R2871" s="180" t="s">
        <v>257</v>
      </c>
    </row>
    <row r="2872" spans="8:18" x14ac:dyDescent="0.2">
      <c r="H2872" s="180"/>
      <c r="P2872" s="180" t="s">
        <v>257</v>
      </c>
      <c r="R2872" s="180" t="s">
        <v>257</v>
      </c>
    </row>
    <row r="2873" spans="8:18" x14ac:dyDescent="0.2">
      <c r="H2873" s="180"/>
      <c r="P2873" s="180" t="s">
        <v>257</v>
      </c>
      <c r="R2873" s="180" t="s">
        <v>257</v>
      </c>
    </row>
    <row r="2874" spans="8:18" x14ac:dyDescent="0.2">
      <c r="H2874" s="180"/>
      <c r="P2874" s="180" t="s">
        <v>257</v>
      </c>
      <c r="R2874" s="180" t="s">
        <v>257</v>
      </c>
    </row>
    <row r="2875" spans="8:18" x14ac:dyDescent="0.2">
      <c r="H2875" s="180"/>
      <c r="P2875" s="180" t="s">
        <v>257</v>
      </c>
      <c r="R2875" s="180" t="s">
        <v>257</v>
      </c>
    </row>
    <row r="2876" spans="8:18" x14ac:dyDescent="0.2">
      <c r="H2876" s="180"/>
      <c r="P2876" s="180" t="s">
        <v>257</v>
      </c>
      <c r="R2876" s="180" t="s">
        <v>257</v>
      </c>
    </row>
    <row r="2877" spans="8:18" x14ac:dyDescent="0.2">
      <c r="H2877" s="180"/>
      <c r="P2877" s="180" t="s">
        <v>257</v>
      </c>
      <c r="R2877" s="180" t="s">
        <v>257</v>
      </c>
    </row>
    <row r="2878" spans="8:18" x14ac:dyDescent="0.2">
      <c r="H2878" s="180"/>
      <c r="P2878" s="180" t="s">
        <v>257</v>
      </c>
      <c r="R2878" s="180" t="s">
        <v>257</v>
      </c>
    </row>
    <row r="2879" spans="8:18" x14ac:dyDescent="0.2">
      <c r="H2879" s="180"/>
      <c r="P2879" s="180" t="s">
        <v>257</v>
      </c>
      <c r="R2879" s="180" t="s">
        <v>257</v>
      </c>
    </row>
    <row r="2880" spans="8:18" x14ac:dyDescent="0.2">
      <c r="H2880" s="180"/>
      <c r="P2880" s="180" t="s">
        <v>257</v>
      </c>
      <c r="R2880" s="180" t="s">
        <v>257</v>
      </c>
    </row>
    <row r="2881" spans="8:18" x14ac:dyDescent="0.2">
      <c r="H2881" s="180"/>
      <c r="P2881" s="180" t="s">
        <v>257</v>
      </c>
      <c r="R2881" s="180" t="s">
        <v>257</v>
      </c>
    </row>
    <row r="2882" spans="8:18" x14ac:dyDescent="0.2">
      <c r="H2882" s="180"/>
      <c r="P2882" s="180" t="s">
        <v>257</v>
      </c>
      <c r="R2882" s="180" t="s">
        <v>257</v>
      </c>
    </row>
    <row r="2883" spans="8:18" x14ac:dyDescent="0.2">
      <c r="H2883" s="180"/>
      <c r="P2883" s="180" t="s">
        <v>257</v>
      </c>
      <c r="R2883" s="180" t="s">
        <v>257</v>
      </c>
    </row>
    <row r="2884" spans="8:18" x14ac:dyDescent="0.2">
      <c r="H2884" s="180"/>
      <c r="P2884" s="180" t="s">
        <v>257</v>
      </c>
      <c r="R2884" s="180" t="s">
        <v>257</v>
      </c>
    </row>
    <row r="2885" spans="8:18" x14ac:dyDescent="0.2">
      <c r="H2885" s="180"/>
      <c r="P2885" s="180" t="s">
        <v>257</v>
      </c>
      <c r="R2885" s="180" t="s">
        <v>257</v>
      </c>
    </row>
    <row r="2886" spans="8:18" x14ac:dyDescent="0.2">
      <c r="H2886" s="180"/>
      <c r="P2886" s="180" t="s">
        <v>257</v>
      </c>
      <c r="R2886" s="180" t="s">
        <v>257</v>
      </c>
    </row>
    <row r="2887" spans="8:18" x14ac:dyDescent="0.2">
      <c r="H2887" s="180"/>
      <c r="P2887" s="180" t="s">
        <v>257</v>
      </c>
      <c r="R2887" s="180" t="s">
        <v>257</v>
      </c>
    </row>
    <row r="2888" spans="8:18" x14ac:dyDescent="0.2">
      <c r="H2888" s="180"/>
      <c r="P2888" s="180" t="s">
        <v>257</v>
      </c>
      <c r="R2888" s="180" t="s">
        <v>257</v>
      </c>
    </row>
    <row r="2889" spans="8:18" x14ac:dyDescent="0.2">
      <c r="H2889" s="180"/>
      <c r="P2889" s="180" t="s">
        <v>257</v>
      </c>
      <c r="R2889" s="180" t="s">
        <v>257</v>
      </c>
    </row>
    <row r="2890" spans="8:18" x14ac:dyDescent="0.2">
      <c r="H2890" s="180"/>
      <c r="P2890" s="180" t="s">
        <v>257</v>
      </c>
      <c r="R2890" s="180" t="s">
        <v>257</v>
      </c>
    </row>
    <row r="2891" spans="8:18" x14ac:dyDescent="0.2">
      <c r="H2891" s="180"/>
      <c r="P2891" s="180" t="s">
        <v>257</v>
      </c>
      <c r="R2891" s="180" t="s">
        <v>257</v>
      </c>
    </row>
    <row r="2892" spans="8:18" x14ac:dyDescent="0.2">
      <c r="H2892" s="180"/>
      <c r="P2892" s="180" t="s">
        <v>257</v>
      </c>
      <c r="R2892" s="180" t="s">
        <v>257</v>
      </c>
    </row>
    <row r="2893" spans="8:18" x14ac:dyDescent="0.2">
      <c r="H2893" s="180"/>
      <c r="P2893" s="180" t="s">
        <v>257</v>
      </c>
      <c r="R2893" s="180" t="s">
        <v>257</v>
      </c>
    </row>
    <row r="2894" spans="8:18" x14ac:dyDescent="0.2">
      <c r="H2894" s="180"/>
      <c r="P2894" s="180" t="s">
        <v>257</v>
      </c>
      <c r="R2894" s="180" t="s">
        <v>257</v>
      </c>
    </row>
    <row r="2895" spans="8:18" x14ac:dyDescent="0.2">
      <c r="H2895" s="180"/>
      <c r="P2895" s="180" t="s">
        <v>257</v>
      </c>
      <c r="R2895" s="180" t="s">
        <v>257</v>
      </c>
    </row>
    <row r="2896" spans="8:18" x14ac:dyDescent="0.2">
      <c r="H2896" s="180"/>
      <c r="P2896" s="180" t="s">
        <v>257</v>
      </c>
      <c r="R2896" s="180" t="s">
        <v>257</v>
      </c>
    </row>
    <row r="2897" spans="8:18" x14ac:dyDescent="0.2">
      <c r="H2897" s="180"/>
      <c r="P2897" s="180" t="s">
        <v>257</v>
      </c>
      <c r="R2897" s="180" t="s">
        <v>257</v>
      </c>
    </row>
    <row r="2898" spans="8:18" x14ac:dyDescent="0.2">
      <c r="H2898" s="180"/>
      <c r="P2898" s="180" t="s">
        <v>257</v>
      </c>
      <c r="R2898" s="180" t="s">
        <v>257</v>
      </c>
    </row>
    <row r="2899" spans="8:18" x14ac:dyDescent="0.2">
      <c r="H2899" s="180"/>
      <c r="P2899" s="180" t="s">
        <v>257</v>
      </c>
      <c r="R2899" s="180" t="s">
        <v>257</v>
      </c>
    </row>
    <row r="2900" spans="8:18" x14ac:dyDescent="0.2">
      <c r="H2900" s="180"/>
      <c r="P2900" s="180" t="s">
        <v>257</v>
      </c>
      <c r="R2900" s="180" t="s">
        <v>257</v>
      </c>
    </row>
    <row r="2901" spans="8:18" x14ac:dyDescent="0.2">
      <c r="H2901" s="180"/>
      <c r="P2901" s="180" t="s">
        <v>257</v>
      </c>
      <c r="R2901" s="180" t="s">
        <v>257</v>
      </c>
    </row>
    <row r="2902" spans="8:18" x14ac:dyDescent="0.2">
      <c r="H2902" s="180"/>
      <c r="P2902" s="180" t="s">
        <v>257</v>
      </c>
      <c r="R2902" s="180" t="s">
        <v>257</v>
      </c>
    </row>
    <row r="2903" spans="8:18" x14ac:dyDescent="0.2">
      <c r="H2903" s="180"/>
      <c r="P2903" s="180" t="s">
        <v>257</v>
      </c>
      <c r="R2903" s="180" t="s">
        <v>257</v>
      </c>
    </row>
    <row r="2904" spans="8:18" x14ac:dyDescent="0.2">
      <c r="H2904" s="180"/>
      <c r="P2904" s="180" t="s">
        <v>257</v>
      </c>
      <c r="R2904" s="180" t="s">
        <v>257</v>
      </c>
    </row>
    <row r="2905" spans="8:18" x14ac:dyDescent="0.2">
      <c r="H2905" s="180"/>
      <c r="P2905" s="180" t="s">
        <v>257</v>
      </c>
      <c r="R2905" s="180" t="s">
        <v>257</v>
      </c>
    </row>
    <row r="2906" spans="8:18" x14ac:dyDescent="0.2">
      <c r="H2906" s="180"/>
      <c r="P2906" s="180" t="s">
        <v>257</v>
      </c>
      <c r="R2906" s="180" t="s">
        <v>257</v>
      </c>
    </row>
    <row r="2907" spans="8:18" x14ac:dyDescent="0.2">
      <c r="H2907" s="180"/>
      <c r="P2907" s="180" t="s">
        <v>257</v>
      </c>
      <c r="R2907" s="180" t="s">
        <v>257</v>
      </c>
    </row>
    <row r="2908" spans="8:18" x14ac:dyDescent="0.2">
      <c r="H2908" s="180"/>
      <c r="P2908" s="180" t="s">
        <v>257</v>
      </c>
      <c r="R2908" s="180" t="s">
        <v>257</v>
      </c>
    </row>
    <row r="2909" spans="8:18" x14ac:dyDescent="0.2">
      <c r="H2909" s="180"/>
      <c r="P2909" s="180" t="s">
        <v>257</v>
      </c>
      <c r="R2909" s="180" t="s">
        <v>257</v>
      </c>
    </row>
    <row r="2910" spans="8:18" x14ac:dyDescent="0.2">
      <c r="H2910" s="180"/>
      <c r="P2910" s="180" t="s">
        <v>257</v>
      </c>
      <c r="R2910" s="180" t="s">
        <v>257</v>
      </c>
    </row>
    <row r="2911" spans="8:18" x14ac:dyDescent="0.2">
      <c r="H2911" s="180"/>
      <c r="P2911" s="180" t="s">
        <v>257</v>
      </c>
      <c r="R2911" s="180" t="s">
        <v>257</v>
      </c>
    </row>
    <row r="2912" spans="8:18" x14ac:dyDescent="0.2">
      <c r="H2912" s="180"/>
      <c r="P2912" s="180" t="s">
        <v>257</v>
      </c>
      <c r="R2912" s="180" t="s">
        <v>257</v>
      </c>
    </row>
    <row r="2913" spans="8:18" x14ac:dyDescent="0.2">
      <c r="H2913" s="180"/>
      <c r="P2913" s="180" t="s">
        <v>257</v>
      </c>
      <c r="R2913" s="180" t="s">
        <v>257</v>
      </c>
    </row>
    <row r="2914" spans="8:18" x14ac:dyDescent="0.2">
      <c r="H2914" s="180"/>
      <c r="P2914" s="180" t="s">
        <v>257</v>
      </c>
      <c r="R2914" s="180" t="s">
        <v>257</v>
      </c>
    </row>
    <row r="2915" spans="8:18" x14ac:dyDescent="0.2">
      <c r="H2915" s="180"/>
      <c r="P2915" s="180" t="s">
        <v>257</v>
      </c>
      <c r="R2915" s="180" t="s">
        <v>257</v>
      </c>
    </row>
    <row r="2916" spans="8:18" x14ac:dyDescent="0.2">
      <c r="H2916" s="180"/>
      <c r="P2916" s="180" t="s">
        <v>257</v>
      </c>
      <c r="R2916" s="180" t="s">
        <v>257</v>
      </c>
    </row>
    <row r="2917" spans="8:18" x14ac:dyDescent="0.2">
      <c r="H2917" s="180"/>
      <c r="P2917" s="180" t="s">
        <v>257</v>
      </c>
      <c r="R2917" s="180" t="s">
        <v>257</v>
      </c>
    </row>
    <row r="2918" spans="8:18" x14ac:dyDescent="0.2">
      <c r="H2918" s="180"/>
      <c r="P2918" s="180" t="s">
        <v>257</v>
      </c>
      <c r="R2918" s="180" t="s">
        <v>257</v>
      </c>
    </row>
    <row r="2919" spans="8:18" x14ac:dyDescent="0.2">
      <c r="H2919" s="180"/>
      <c r="P2919" s="180" t="s">
        <v>257</v>
      </c>
      <c r="R2919" s="180" t="s">
        <v>257</v>
      </c>
    </row>
    <row r="2920" spans="8:18" x14ac:dyDescent="0.2">
      <c r="H2920" s="180"/>
      <c r="P2920" s="180" t="s">
        <v>257</v>
      </c>
      <c r="R2920" s="180" t="s">
        <v>257</v>
      </c>
    </row>
    <row r="2921" spans="8:18" x14ac:dyDescent="0.2">
      <c r="H2921" s="180"/>
      <c r="P2921" s="180" t="s">
        <v>257</v>
      </c>
      <c r="R2921" s="180" t="s">
        <v>257</v>
      </c>
    </row>
    <row r="2922" spans="8:18" x14ac:dyDescent="0.2">
      <c r="H2922" s="180"/>
      <c r="P2922" s="180" t="s">
        <v>257</v>
      </c>
      <c r="R2922" s="180" t="s">
        <v>257</v>
      </c>
    </row>
    <row r="2923" spans="8:18" x14ac:dyDescent="0.2">
      <c r="H2923" s="180"/>
      <c r="P2923" s="180" t="s">
        <v>257</v>
      </c>
      <c r="R2923" s="180" t="s">
        <v>257</v>
      </c>
    </row>
    <row r="2924" spans="8:18" x14ac:dyDescent="0.2">
      <c r="H2924" s="180"/>
      <c r="P2924" s="180" t="s">
        <v>257</v>
      </c>
      <c r="R2924" s="180" t="s">
        <v>257</v>
      </c>
    </row>
    <row r="2925" spans="8:18" x14ac:dyDescent="0.2">
      <c r="H2925" s="180"/>
      <c r="P2925" s="180" t="s">
        <v>257</v>
      </c>
      <c r="R2925" s="180" t="s">
        <v>257</v>
      </c>
    </row>
    <row r="2926" spans="8:18" x14ac:dyDescent="0.2">
      <c r="H2926" s="180"/>
      <c r="P2926" s="180" t="s">
        <v>257</v>
      </c>
      <c r="R2926" s="180" t="s">
        <v>257</v>
      </c>
    </row>
    <row r="2927" spans="8:18" x14ac:dyDescent="0.2">
      <c r="H2927" s="180"/>
      <c r="P2927" s="180" t="s">
        <v>257</v>
      </c>
      <c r="R2927" s="180" t="s">
        <v>257</v>
      </c>
    </row>
    <row r="2928" spans="8:18" x14ac:dyDescent="0.2">
      <c r="H2928" s="180"/>
      <c r="P2928" s="180" t="s">
        <v>257</v>
      </c>
      <c r="R2928" s="180" t="s">
        <v>257</v>
      </c>
    </row>
    <row r="2929" spans="8:18" x14ac:dyDescent="0.2">
      <c r="H2929" s="180"/>
      <c r="P2929" s="180" t="s">
        <v>257</v>
      </c>
      <c r="R2929" s="180" t="s">
        <v>257</v>
      </c>
    </row>
    <row r="2930" spans="8:18" x14ac:dyDescent="0.2">
      <c r="H2930" s="180"/>
      <c r="P2930" s="180" t="s">
        <v>257</v>
      </c>
      <c r="R2930" s="180" t="s">
        <v>257</v>
      </c>
    </row>
    <row r="2931" spans="8:18" x14ac:dyDescent="0.2">
      <c r="H2931" s="180"/>
      <c r="P2931" s="180" t="s">
        <v>257</v>
      </c>
      <c r="R2931" s="180" t="s">
        <v>257</v>
      </c>
    </row>
    <row r="2932" spans="8:18" x14ac:dyDescent="0.2">
      <c r="H2932" s="180"/>
      <c r="P2932" s="180" t="s">
        <v>257</v>
      </c>
      <c r="R2932" s="180" t="s">
        <v>257</v>
      </c>
    </row>
    <row r="2933" spans="8:18" x14ac:dyDescent="0.2">
      <c r="H2933" s="180"/>
      <c r="P2933" s="180" t="s">
        <v>257</v>
      </c>
      <c r="R2933" s="180" t="s">
        <v>257</v>
      </c>
    </row>
    <row r="2934" spans="8:18" x14ac:dyDescent="0.2">
      <c r="H2934" s="180"/>
      <c r="P2934" s="180" t="s">
        <v>257</v>
      </c>
      <c r="R2934" s="180" t="s">
        <v>257</v>
      </c>
    </row>
    <row r="2935" spans="8:18" x14ac:dyDescent="0.2">
      <c r="H2935" s="180"/>
      <c r="P2935" s="180" t="s">
        <v>257</v>
      </c>
      <c r="R2935" s="180" t="s">
        <v>257</v>
      </c>
    </row>
    <row r="2936" spans="8:18" x14ac:dyDescent="0.2">
      <c r="H2936" s="180"/>
      <c r="P2936" s="180" t="s">
        <v>257</v>
      </c>
      <c r="R2936" s="180" t="s">
        <v>257</v>
      </c>
    </row>
    <row r="2937" spans="8:18" x14ac:dyDescent="0.2">
      <c r="H2937" s="180"/>
      <c r="P2937" s="180" t="s">
        <v>257</v>
      </c>
      <c r="R2937" s="180" t="s">
        <v>257</v>
      </c>
    </row>
    <row r="2938" spans="8:18" x14ac:dyDescent="0.2">
      <c r="H2938" s="180"/>
      <c r="P2938" s="180" t="s">
        <v>257</v>
      </c>
      <c r="R2938" s="180" t="s">
        <v>257</v>
      </c>
    </row>
    <row r="2939" spans="8:18" x14ac:dyDescent="0.2">
      <c r="H2939" s="180"/>
      <c r="P2939" s="180" t="s">
        <v>257</v>
      </c>
      <c r="R2939" s="180" t="s">
        <v>257</v>
      </c>
    </row>
    <row r="2940" spans="8:18" x14ac:dyDescent="0.2">
      <c r="H2940" s="180"/>
      <c r="P2940" s="180" t="s">
        <v>257</v>
      </c>
      <c r="R2940" s="180" t="s">
        <v>257</v>
      </c>
    </row>
    <row r="2941" spans="8:18" x14ac:dyDescent="0.2">
      <c r="H2941" s="180"/>
      <c r="P2941" s="180" t="s">
        <v>257</v>
      </c>
      <c r="R2941" s="180" t="s">
        <v>257</v>
      </c>
    </row>
    <row r="2942" spans="8:18" x14ac:dyDescent="0.2">
      <c r="H2942" s="180"/>
      <c r="P2942" s="180" t="s">
        <v>257</v>
      </c>
      <c r="R2942" s="180" t="s">
        <v>257</v>
      </c>
    </row>
    <row r="2943" spans="8:18" x14ac:dyDescent="0.2">
      <c r="H2943" s="180"/>
      <c r="P2943" s="180" t="s">
        <v>257</v>
      </c>
      <c r="R2943" s="180" t="s">
        <v>257</v>
      </c>
    </row>
    <row r="2944" spans="8:18" x14ac:dyDescent="0.2">
      <c r="H2944" s="180"/>
      <c r="P2944" s="180" t="s">
        <v>257</v>
      </c>
      <c r="R2944" s="180" t="s">
        <v>257</v>
      </c>
    </row>
    <row r="2945" spans="8:18" x14ac:dyDescent="0.2">
      <c r="H2945" s="180"/>
      <c r="P2945" s="180" t="s">
        <v>257</v>
      </c>
      <c r="R2945" s="180" t="s">
        <v>257</v>
      </c>
    </row>
    <row r="2946" spans="8:18" x14ac:dyDescent="0.2">
      <c r="H2946" s="180"/>
      <c r="P2946" s="180" t="s">
        <v>257</v>
      </c>
      <c r="R2946" s="180" t="s">
        <v>257</v>
      </c>
    </row>
    <row r="2947" spans="8:18" x14ac:dyDescent="0.2">
      <c r="H2947" s="180"/>
      <c r="P2947" s="180" t="s">
        <v>257</v>
      </c>
      <c r="R2947" s="180" t="s">
        <v>257</v>
      </c>
    </row>
    <row r="2948" spans="8:18" x14ac:dyDescent="0.2">
      <c r="H2948" s="180"/>
      <c r="P2948" s="180" t="s">
        <v>257</v>
      </c>
      <c r="R2948" s="180" t="s">
        <v>257</v>
      </c>
    </row>
    <row r="2949" spans="8:18" x14ac:dyDescent="0.2">
      <c r="H2949" s="180"/>
      <c r="P2949" s="180" t="s">
        <v>257</v>
      </c>
      <c r="R2949" s="180" t="s">
        <v>257</v>
      </c>
    </row>
    <row r="2950" spans="8:18" x14ac:dyDescent="0.2">
      <c r="H2950" s="180"/>
      <c r="P2950" s="180" t="s">
        <v>257</v>
      </c>
      <c r="R2950" s="180" t="s">
        <v>257</v>
      </c>
    </row>
    <row r="2951" spans="8:18" x14ac:dyDescent="0.2">
      <c r="H2951" s="180"/>
      <c r="P2951" s="180" t="s">
        <v>257</v>
      </c>
      <c r="R2951" s="180" t="s">
        <v>257</v>
      </c>
    </row>
    <row r="2952" spans="8:18" x14ac:dyDescent="0.2">
      <c r="H2952" s="180"/>
      <c r="P2952" s="180" t="s">
        <v>257</v>
      </c>
      <c r="R2952" s="180" t="s">
        <v>257</v>
      </c>
    </row>
    <row r="2953" spans="8:18" x14ac:dyDescent="0.2">
      <c r="H2953" s="180"/>
      <c r="P2953" s="180" t="s">
        <v>257</v>
      </c>
      <c r="R2953" s="180" t="s">
        <v>257</v>
      </c>
    </row>
    <row r="2954" spans="8:18" x14ac:dyDescent="0.2">
      <c r="H2954" s="180"/>
      <c r="P2954" s="180" t="s">
        <v>257</v>
      </c>
      <c r="R2954" s="180" t="s">
        <v>257</v>
      </c>
    </row>
    <row r="2955" spans="8:18" x14ac:dyDescent="0.2">
      <c r="H2955" s="180"/>
      <c r="P2955" s="180" t="s">
        <v>257</v>
      </c>
      <c r="R2955" s="180" t="s">
        <v>257</v>
      </c>
    </row>
    <row r="2956" spans="8:18" x14ac:dyDescent="0.2">
      <c r="H2956" s="180"/>
      <c r="P2956" s="180" t="s">
        <v>257</v>
      </c>
      <c r="R2956" s="180" t="s">
        <v>257</v>
      </c>
    </row>
    <row r="2957" spans="8:18" x14ac:dyDescent="0.2">
      <c r="H2957" s="180"/>
      <c r="P2957" s="180" t="s">
        <v>257</v>
      </c>
      <c r="R2957" s="180" t="s">
        <v>257</v>
      </c>
    </row>
    <row r="2958" spans="8:18" x14ac:dyDescent="0.2">
      <c r="H2958" s="180"/>
      <c r="P2958" s="180" t="s">
        <v>257</v>
      </c>
      <c r="R2958" s="180" t="s">
        <v>257</v>
      </c>
    </row>
    <row r="2959" spans="8:18" x14ac:dyDescent="0.2">
      <c r="H2959" s="180"/>
      <c r="P2959" s="180" t="s">
        <v>257</v>
      </c>
      <c r="R2959" s="180" t="s">
        <v>257</v>
      </c>
    </row>
    <row r="2960" spans="8:18" x14ac:dyDescent="0.2">
      <c r="H2960" s="180"/>
      <c r="P2960" s="180" t="s">
        <v>257</v>
      </c>
      <c r="R2960" s="180" t="s">
        <v>257</v>
      </c>
    </row>
    <row r="2961" spans="8:18" x14ac:dyDescent="0.2">
      <c r="H2961" s="180"/>
      <c r="P2961" s="180" t="s">
        <v>257</v>
      </c>
      <c r="R2961" s="180" t="s">
        <v>257</v>
      </c>
    </row>
    <row r="2962" spans="8:18" x14ac:dyDescent="0.2">
      <c r="H2962" s="180"/>
      <c r="P2962" s="180" t="s">
        <v>257</v>
      </c>
      <c r="R2962" s="180" t="s">
        <v>257</v>
      </c>
    </row>
    <row r="2963" spans="8:18" x14ac:dyDescent="0.2">
      <c r="H2963" s="180"/>
      <c r="P2963" s="180" t="s">
        <v>257</v>
      </c>
      <c r="R2963" s="180" t="s">
        <v>257</v>
      </c>
    </row>
    <row r="2964" spans="8:18" x14ac:dyDescent="0.2">
      <c r="H2964" s="180"/>
      <c r="P2964" s="180" t="s">
        <v>257</v>
      </c>
      <c r="R2964" s="180" t="s">
        <v>257</v>
      </c>
    </row>
    <row r="2965" spans="8:18" x14ac:dyDescent="0.2">
      <c r="H2965" s="180"/>
      <c r="P2965" s="180" t="s">
        <v>257</v>
      </c>
      <c r="R2965" s="180" t="s">
        <v>257</v>
      </c>
    </row>
    <row r="2966" spans="8:18" x14ac:dyDescent="0.2">
      <c r="H2966" s="180"/>
      <c r="P2966" s="180" t="s">
        <v>257</v>
      </c>
      <c r="R2966" s="180" t="s">
        <v>257</v>
      </c>
    </row>
    <row r="2967" spans="8:18" x14ac:dyDescent="0.2">
      <c r="H2967" s="180"/>
      <c r="P2967" s="180" t="s">
        <v>257</v>
      </c>
      <c r="R2967" s="180" t="s">
        <v>257</v>
      </c>
    </row>
    <row r="2968" spans="8:18" x14ac:dyDescent="0.2">
      <c r="H2968" s="180"/>
      <c r="P2968" s="180" t="s">
        <v>257</v>
      </c>
      <c r="R2968" s="180" t="s">
        <v>257</v>
      </c>
    </row>
    <row r="2969" spans="8:18" x14ac:dyDescent="0.2">
      <c r="H2969" s="180"/>
      <c r="P2969" s="180" t="s">
        <v>257</v>
      </c>
      <c r="R2969" s="180" t="s">
        <v>257</v>
      </c>
    </row>
    <row r="2970" spans="8:18" x14ac:dyDescent="0.2">
      <c r="H2970" s="180"/>
      <c r="P2970" s="180" t="s">
        <v>257</v>
      </c>
      <c r="R2970" s="180" t="s">
        <v>257</v>
      </c>
    </row>
    <row r="2971" spans="8:18" x14ac:dyDescent="0.2">
      <c r="H2971" s="180"/>
      <c r="P2971" s="180" t="s">
        <v>257</v>
      </c>
      <c r="R2971" s="180" t="s">
        <v>257</v>
      </c>
    </row>
    <row r="2972" spans="8:18" x14ac:dyDescent="0.2">
      <c r="H2972" s="180"/>
      <c r="P2972" s="180" t="s">
        <v>257</v>
      </c>
      <c r="R2972" s="180" t="s">
        <v>257</v>
      </c>
    </row>
    <row r="2973" spans="8:18" x14ac:dyDescent="0.2">
      <c r="H2973" s="180"/>
      <c r="P2973" s="180" t="s">
        <v>257</v>
      </c>
      <c r="R2973" s="180" t="s">
        <v>257</v>
      </c>
    </row>
    <row r="2974" spans="8:18" x14ac:dyDescent="0.2">
      <c r="H2974" s="180"/>
      <c r="P2974" s="180" t="s">
        <v>257</v>
      </c>
      <c r="R2974" s="180" t="s">
        <v>257</v>
      </c>
    </row>
    <row r="2975" spans="8:18" x14ac:dyDescent="0.2">
      <c r="H2975" s="180"/>
      <c r="P2975" s="180" t="s">
        <v>257</v>
      </c>
      <c r="R2975" s="180" t="s">
        <v>257</v>
      </c>
    </row>
    <row r="2976" spans="8:18" x14ac:dyDescent="0.2">
      <c r="H2976" s="180"/>
      <c r="P2976" s="180" t="s">
        <v>257</v>
      </c>
      <c r="R2976" s="180" t="s">
        <v>257</v>
      </c>
    </row>
    <row r="2977" spans="8:18" x14ac:dyDescent="0.2">
      <c r="H2977" s="180"/>
      <c r="P2977" s="180" t="s">
        <v>257</v>
      </c>
      <c r="R2977" s="180" t="s">
        <v>257</v>
      </c>
    </row>
    <row r="2978" spans="8:18" x14ac:dyDescent="0.2">
      <c r="H2978" s="180"/>
      <c r="P2978" s="180" t="s">
        <v>257</v>
      </c>
      <c r="R2978" s="180" t="s">
        <v>257</v>
      </c>
    </row>
    <row r="2979" spans="8:18" x14ac:dyDescent="0.2">
      <c r="H2979" s="180"/>
      <c r="P2979" s="180" t="s">
        <v>257</v>
      </c>
      <c r="R2979" s="180" t="s">
        <v>257</v>
      </c>
    </row>
    <row r="2980" spans="8:18" x14ac:dyDescent="0.2">
      <c r="H2980" s="180"/>
      <c r="P2980" s="180" t="s">
        <v>257</v>
      </c>
      <c r="R2980" s="180" t="s">
        <v>257</v>
      </c>
    </row>
    <row r="2981" spans="8:18" x14ac:dyDescent="0.2">
      <c r="H2981" s="180"/>
      <c r="P2981" s="180" t="s">
        <v>257</v>
      </c>
      <c r="R2981" s="180" t="s">
        <v>257</v>
      </c>
    </row>
    <row r="2982" spans="8:18" x14ac:dyDescent="0.2">
      <c r="H2982" s="180"/>
      <c r="P2982" s="180" t="s">
        <v>257</v>
      </c>
      <c r="R2982" s="180" t="s">
        <v>257</v>
      </c>
    </row>
    <row r="2983" spans="8:18" x14ac:dyDescent="0.2">
      <c r="H2983" s="180"/>
      <c r="P2983" s="180" t="s">
        <v>257</v>
      </c>
      <c r="R2983" s="180" t="s">
        <v>257</v>
      </c>
    </row>
    <row r="2984" spans="8:18" x14ac:dyDescent="0.2">
      <c r="H2984" s="180"/>
      <c r="P2984" s="180" t="s">
        <v>257</v>
      </c>
      <c r="R2984" s="180" t="s">
        <v>257</v>
      </c>
    </row>
    <row r="2985" spans="8:18" x14ac:dyDescent="0.2">
      <c r="H2985" s="180"/>
      <c r="P2985" s="180" t="s">
        <v>257</v>
      </c>
      <c r="R2985" s="180" t="s">
        <v>257</v>
      </c>
    </row>
    <row r="2986" spans="8:18" x14ac:dyDescent="0.2">
      <c r="H2986" s="180"/>
      <c r="P2986" s="180" t="s">
        <v>257</v>
      </c>
      <c r="R2986" s="180" t="s">
        <v>257</v>
      </c>
    </row>
    <row r="2987" spans="8:18" x14ac:dyDescent="0.2">
      <c r="H2987" s="180"/>
      <c r="P2987" s="180" t="s">
        <v>257</v>
      </c>
      <c r="R2987" s="180" t="s">
        <v>257</v>
      </c>
    </row>
    <row r="2988" spans="8:18" x14ac:dyDescent="0.2">
      <c r="H2988" s="180"/>
      <c r="P2988" s="180" t="s">
        <v>257</v>
      </c>
      <c r="R2988" s="180" t="s">
        <v>257</v>
      </c>
    </row>
    <row r="2989" spans="8:18" x14ac:dyDescent="0.2">
      <c r="H2989" s="180"/>
      <c r="P2989" s="180" t="s">
        <v>257</v>
      </c>
      <c r="R2989" s="180" t="s">
        <v>257</v>
      </c>
    </row>
    <row r="2990" spans="8:18" x14ac:dyDescent="0.2">
      <c r="H2990" s="180"/>
      <c r="P2990" s="180" t="s">
        <v>257</v>
      </c>
      <c r="R2990" s="180" t="s">
        <v>257</v>
      </c>
    </row>
    <row r="2991" spans="8:18" x14ac:dyDescent="0.2">
      <c r="H2991" s="180"/>
      <c r="P2991" s="180" t="s">
        <v>257</v>
      </c>
      <c r="R2991" s="180" t="s">
        <v>257</v>
      </c>
    </row>
    <row r="2992" spans="8:18" x14ac:dyDescent="0.2">
      <c r="H2992" s="180"/>
      <c r="P2992" s="180" t="s">
        <v>257</v>
      </c>
      <c r="R2992" s="180" t="s">
        <v>257</v>
      </c>
    </row>
    <row r="2993" spans="8:18" x14ac:dyDescent="0.2">
      <c r="H2993" s="180"/>
      <c r="P2993" s="180" t="s">
        <v>257</v>
      </c>
      <c r="R2993" s="180" t="s">
        <v>257</v>
      </c>
    </row>
    <row r="2994" spans="8:18" x14ac:dyDescent="0.2">
      <c r="H2994" s="180"/>
      <c r="P2994" s="180" t="s">
        <v>257</v>
      </c>
      <c r="R2994" s="180" t="s">
        <v>257</v>
      </c>
    </row>
    <row r="2995" spans="8:18" x14ac:dyDescent="0.2">
      <c r="H2995" s="180"/>
      <c r="P2995" s="180" t="s">
        <v>257</v>
      </c>
      <c r="R2995" s="180" t="s">
        <v>257</v>
      </c>
    </row>
    <row r="2996" spans="8:18" x14ac:dyDescent="0.2">
      <c r="H2996" s="180"/>
      <c r="P2996" s="180" t="s">
        <v>257</v>
      </c>
      <c r="R2996" s="180" t="s">
        <v>257</v>
      </c>
    </row>
    <row r="2997" spans="8:18" x14ac:dyDescent="0.2">
      <c r="H2997" s="180"/>
      <c r="P2997" s="180" t="s">
        <v>257</v>
      </c>
      <c r="R2997" s="180" t="s">
        <v>257</v>
      </c>
    </row>
    <row r="2998" spans="8:18" x14ac:dyDescent="0.2">
      <c r="H2998" s="180"/>
      <c r="P2998" s="180" t="s">
        <v>257</v>
      </c>
      <c r="R2998" s="180" t="s">
        <v>257</v>
      </c>
    </row>
    <row r="2999" spans="8:18" x14ac:dyDescent="0.2">
      <c r="H2999" s="180"/>
      <c r="P2999" s="180" t="s">
        <v>257</v>
      </c>
      <c r="R2999" s="180" t="s">
        <v>257</v>
      </c>
    </row>
    <row r="3000" spans="8:18" x14ac:dyDescent="0.2">
      <c r="H3000" s="180"/>
      <c r="P3000" s="180" t="s">
        <v>257</v>
      </c>
      <c r="R3000" s="180" t="s">
        <v>257</v>
      </c>
    </row>
    <row r="3001" spans="8:18" x14ac:dyDescent="0.2">
      <c r="H3001" s="180"/>
      <c r="P3001" s="180" t="s">
        <v>257</v>
      </c>
      <c r="R3001" s="180" t="s">
        <v>257</v>
      </c>
    </row>
    <row r="3002" spans="8:18" x14ac:dyDescent="0.2">
      <c r="H3002" s="180"/>
      <c r="P3002" s="180" t="s">
        <v>257</v>
      </c>
      <c r="R3002" s="180" t="s">
        <v>257</v>
      </c>
    </row>
    <row r="3003" spans="8:18" x14ac:dyDescent="0.2">
      <c r="H3003" s="180"/>
      <c r="P3003" s="180" t="s">
        <v>257</v>
      </c>
      <c r="R3003" s="180" t="s">
        <v>257</v>
      </c>
    </row>
    <row r="3004" spans="8:18" x14ac:dyDescent="0.2">
      <c r="H3004" s="180"/>
      <c r="P3004" s="180" t="s">
        <v>257</v>
      </c>
      <c r="R3004" s="180" t="s">
        <v>257</v>
      </c>
    </row>
    <row r="3005" spans="8:18" x14ac:dyDescent="0.2">
      <c r="H3005" s="180"/>
      <c r="P3005" s="180" t="s">
        <v>257</v>
      </c>
      <c r="R3005" s="180" t="s">
        <v>257</v>
      </c>
    </row>
    <row r="3006" spans="8:18" x14ac:dyDescent="0.2">
      <c r="H3006" s="180"/>
      <c r="P3006" s="180" t="s">
        <v>257</v>
      </c>
      <c r="R3006" s="180" t="s">
        <v>257</v>
      </c>
    </row>
    <row r="3007" spans="8:18" x14ac:dyDescent="0.2">
      <c r="H3007" s="180"/>
      <c r="P3007" s="180" t="s">
        <v>257</v>
      </c>
      <c r="R3007" s="180" t="s">
        <v>257</v>
      </c>
    </row>
    <row r="3008" spans="8:18" x14ac:dyDescent="0.2">
      <c r="H3008" s="180"/>
      <c r="P3008" s="180" t="s">
        <v>257</v>
      </c>
      <c r="R3008" s="180" t="s">
        <v>257</v>
      </c>
    </row>
    <row r="3009" spans="8:18" x14ac:dyDescent="0.2">
      <c r="H3009" s="180"/>
      <c r="P3009" s="180" t="s">
        <v>257</v>
      </c>
      <c r="R3009" s="180" t="s">
        <v>257</v>
      </c>
    </row>
    <row r="3010" spans="8:18" x14ac:dyDescent="0.2">
      <c r="H3010" s="180"/>
      <c r="P3010" s="180" t="s">
        <v>257</v>
      </c>
      <c r="R3010" s="180" t="s">
        <v>257</v>
      </c>
    </row>
    <row r="3011" spans="8:18" x14ac:dyDescent="0.2">
      <c r="H3011" s="180"/>
      <c r="P3011" s="180" t="s">
        <v>257</v>
      </c>
      <c r="R3011" s="180" t="s">
        <v>257</v>
      </c>
    </row>
    <row r="3012" spans="8:18" x14ac:dyDescent="0.2">
      <c r="H3012" s="180"/>
      <c r="P3012" s="180" t="s">
        <v>257</v>
      </c>
      <c r="R3012" s="180" t="s">
        <v>257</v>
      </c>
    </row>
    <row r="3013" spans="8:18" x14ac:dyDescent="0.2">
      <c r="H3013" s="180"/>
      <c r="P3013" s="180" t="s">
        <v>257</v>
      </c>
      <c r="R3013" s="180" t="s">
        <v>257</v>
      </c>
    </row>
    <row r="3014" spans="8:18" x14ac:dyDescent="0.2">
      <c r="H3014" s="180"/>
      <c r="P3014" s="180" t="s">
        <v>257</v>
      </c>
      <c r="R3014" s="180" t="s">
        <v>257</v>
      </c>
    </row>
    <row r="3015" spans="8:18" x14ac:dyDescent="0.2">
      <c r="H3015" s="180"/>
      <c r="P3015" s="180" t="s">
        <v>257</v>
      </c>
      <c r="R3015" s="180" t="s">
        <v>257</v>
      </c>
    </row>
    <row r="3016" spans="8:18" x14ac:dyDescent="0.2">
      <c r="H3016" s="180"/>
      <c r="P3016" s="180" t="s">
        <v>257</v>
      </c>
      <c r="R3016" s="180" t="s">
        <v>257</v>
      </c>
    </row>
    <row r="3017" spans="8:18" x14ac:dyDescent="0.2">
      <c r="H3017" s="180"/>
      <c r="P3017" s="180" t="s">
        <v>257</v>
      </c>
      <c r="R3017" s="180" t="s">
        <v>257</v>
      </c>
    </row>
    <row r="3018" spans="8:18" x14ac:dyDescent="0.2">
      <c r="H3018" s="180"/>
      <c r="P3018" s="180" t="s">
        <v>257</v>
      </c>
      <c r="R3018" s="180" t="s">
        <v>257</v>
      </c>
    </row>
    <row r="3019" spans="8:18" x14ac:dyDescent="0.2">
      <c r="H3019" s="180"/>
      <c r="P3019" s="180" t="s">
        <v>257</v>
      </c>
      <c r="R3019" s="180" t="s">
        <v>257</v>
      </c>
    </row>
    <row r="3020" spans="8:18" x14ac:dyDescent="0.2">
      <c r="H3020" s="180"/>
      <c r="P3020" s="180" t="s">
        <v>257</v>
      </c>
      <c r="R3020" s="180" t="s">
        <v>257</v>
      </c>
    </row>
    <row r="3021" spans="8:18" x14ac:dyDescent="0.2">
      <c r="H3021" s="180"/>
      <c r="P3021" s="180" t="s">
        <v>257</v>
      </c>
      <c r="R3021" s="180" t="s">
        <v>257</v>
      </c>
    </row>
    <row r="3022" spans="8:18" x14ac:dyDescent="0.2">
      <c r="H3022" s="180"/>
      <c r="P3022" s="180" t="s">
        <v>257</v>
      </c>
      <c r="R3022" s="180" t="s">
        <v>257</v>
      </c>
    </row>
    <row r="3023" spans="8:18" x14ac:dyDescent="0.2">
      <c r="H3023" s="180"/>
      <c r="P3023" s="180" t="s">
        <v>257</v>
      </c>
      <c r="R3023" s="180" t="s">
        <v>257</v>
      </c>
    </row>
    <row r="3024" spans="8:18" x14ac:dyDescent="0.2">
      <c r="H3024" s="180"/>
      <c r="P3024" s="180" t="s">
        <v>257</v>
      </c>
      <c r="R3024" s="180" t="s">
        <v>257</v>
      </c>
    </row>
    <row r="3025" spans="8:18" x14ac:dyDescent="0.2">
      <c r="H3025" s="180"/>
      <c r="P3025" s="180" t="s">
        <v>257</v>
      </c>
      <c r="R3025" s="180" t="s">
        <v>257</v>
      </c>
    </row>
    <row r="3026" spans="8:18" x14ac:dyDescent="0.2">
      <c r="H3026" s="180"/>
      <c r="P3026" s="180" t="s">
        <v>257</v>
      </c>
      <c r="R3026" s="180" t="s">
        <v>257</v>
      </c>
    </row>
    <row r="3027" spans="8:18" x14ac:dyDescent="0.2">
      <c r="H3027" s="180"/>
      <c r="P3027" s="180" t="s">
        <v>257</v>
      </c>
      <c r="R3027" s="180" t="s">
        <v>257</v>
      </c>
    </row>
    <row r="3028" spans="8:18" x14ac:dyDescent="0.2">
      <c r="H3028" s="180"/>
      <c r="P3028" s="180" t="s">
        <v>257</v>
      </c>
      <c r="R3028" s="180" t="s">
        <v>257</v>
      </c>
    </row>
    <row r="3029" spans="8:18" x14ac:dyDescent="0.2">
      <c r="H3029" s="180"/>
      <c r="P3029" s="180" t="s">
        <v>257</v>
      </c>
      <c r="R3029" s="180" t="s">
        <v>257</v>
      </c>
    </row>
    <row r="3030" spans="8:18" x14ac:dyDescent="0.2">
      <c r="H3030" s="180"/>
      <c r="P3030" s="180" t="s">
        <v>257</v>
      </c>
      <c r="R3030" s="180" t="s">
        <v>257</v>
      </c>
    </row>
    <row r="3031" spans="8:18" x14ac:dyDescent="0.2">
      <c r="H3031" s="180"/>
      <c r="P3031" s="180" t="s">
        <v>257</v>
      </c>
      <c r="R3031" s="180" t="s">
        <v>257</v>
      </c>
    </row>
    <row r="3032" spans="8:18" x14ac:dyDescent="0.2">
      <c r="H3032" s="180"/>
      <c r="P3032" s="180" t="s">
        <v>257</v>
      </c>
      <c r="R3032" s="180" t="s">
        <v>257</v>
      </c>
    </row>
    <row r="3033" spans="8:18" x14ac:dyDescent="0.2">
      <c r="H3033" s="180"/>
      <c r="P3033" s="180" t="s">
        <v>257</v>
      </c>
      <c r="R3033" s="180" t="s">
        <v>257</v>
      </c>
    </row>
    <row r="3034" spans="8:18" x14ac:dyDescent="0.2">
      <c r="H3034" s="180"/>
      <c r="P3034" s="180" t="s">
        <v>257</v>
      </c>
      <c r="R3034" s="180" t="s">
        <v>257</v>
      </c>
    </row>
    <row r="3035" spans="8:18" x14ac:dyDescent="0.2">
      <c r="H3035" s="180"/>
      <c r="P3035" s="180" t="s">
        <v>257</v>
      </c>
      <c r="R3035" s="180" t="s">
        <v>257</v>
      </c>
    </row>
    <row r="3036" spans="8:18" x14ac:dyDescent="0.2">
      <c r="H3036" s="180"/>
      <c r="P3036" s="180" t="s">
        <v>257</v>
      </c>
      <c r="R3036" s="180" t="s">
        <v>257</v>
      </c>
    </row>
    <row r="3037" spans="8:18" x14ac:dyDescent="0.2">
      <c r="H3037" s="180"/>
      <c r="P3037" s="180" t="s">
        <v>257</v>
      </c>
      <c r="R3037" s="180" t="s">
        <v>257</v>
      </c>
    </row>
    <row r="3038" spans="8:18" x14ac:dyDescent="0.2">
      <c r="H3038" s="180"/>
      <c r="P3038" s="180" t="s">
        <v>257</v>
      </c>
      <c r="R3038" s="180" t="s">
        <v>257</v>
      </c>
    </row>
    <row r="3039" spans="8:18" x14ac:dyDescent="0.2">
      <c r="H3039" s="180"/>
      <c r="P3039" s="180" t="s">
        <v>257</v>
      </c>
      <c r="R3039" s="180" t="s">
        <v>257</v>
      </c>
    </row>
    <row r="3040" spans="8:18" x14ac:dyDescent="0.2">
      <c r="H3040" s="180"/>
      <c r="P3040" s="180" t="s">
        <v>257</v>
      </c>
      <c r="R3040" s="180" t="s">
        <v>257</v>
      </c>
    </row>
    <row r="3041" spans="8:18" x14ac:dyDescent="0.2">
      <c r="H3041" s="180"/>
      <c r="P3041" s="180" t="s">
        <v>257</v>
      </c>
      <c r="R3041" s="180" t="s">
        <v>257</v>
      </c>
    </row>
    <row r="3042" spans="8:18" x14ac:dyDescent="0.2">
      <c r="H3042" s="180"/>
      <c r="P3042" s="180" t="s">
        <v>257</v>
      </c>
      <c r="R3042" s="180" t="s">
        <v>257</v>
      </c>
    </row>
    <row r="3043" spans="8:18" x14ac:dyDescent="0.2">
      <c r="H3043" s="180"/>
      <c r="P3043" s="180" t="s">
        <v>257</v>
      </c>
      <c r="R3043" s="180" t="s">
        <v>257</v>
      </c>
    </row>
    <row r="3044" spans="8:18" x14ac:dyDescent="0.2">
      <c r="H3044" s="180"/>
      <c r="P3044" s="180" t="s">
        <v>257</v>
      </c>
      <c r="R3044" s="180" t="s">
        <v>257</v>
      </c>
    </row>
    <row r="3045" spans="8:18" x14ac:dyDescent="0.2">
      <c r="H3045" s="180"/>
      <c r="P3045" s="180" t="s">
        <v>257</v>
      </c>
      <c r="R3045" s="180" t="s">
        <v>257</v>
      </c>
    </row>
    <row r="3046" spans="8:18" x14ac:dyDescent="0.2">
      <c r="H3046" s="180"/>
      <c r="P3046" s="180" t="s">
        <v>257</v>
      </c>
      <c r="R3046" s="180" t="s">
        <v>257</v>
      </c>
    </row>
    <row r="3047" spans="8:18" x14ac:dyDescent="0.2">
      <c r="H3047" s="180"/>
      <c r="P3047" s="180" t="s">
        <v>257</v>
      </c>
      <c r="R3047" s="180" t="s">
        <v>257</v>
      </c>
    </row>
    <row r="3048" spans="8:18" x14ac:dyDescent="0.2">
      <c r="H3048" s="180"/>
      <c r="P3048" s="180" t="s">
        <v>257</v>
      </c>
      <c r="R3048" s="180" t="s">
        <v>257</v>
      </c>
    </row>
    <row r="3049" spans="8:18" x14ac:dyDescent="0.2">
      <c r="H3049" s="180"/>
      <c r="P3049" s="180" t="s">
        <v>257</v>
      </c>
      <c r="R3049" s="180" t="s">
        <v>257</v>
      </c>
    </row>
    <row r="3050" spans="8:18" x14ac:dyDescent="0.2">
      <c r="H3050" s="180"/>
      <c r="P3050" s="180" t="s">
        <v>257</v>
      </c>
      <c r="R3050" s="180" t="s">
        <v>257</v>
      </c>
    </row>
    <row r="3051" spans="8:18" x14ac:dyDescent="0.2">
      <c r="H3051" s="180"/>
      <c r="P3051" s="180" t="s">
        <v>257</v>
      </c>
      <c r="R3051" s="180" t="s">
        <v>257</v>
      </c>
    </row>
    <row r="3052" spans="8:18" x14ac:dyDescent="0.2">
      <c r="H3052" s="180"/>
      <c r="P3052" s="180" t="s">
        <v>257</v>
      </c>
      <c r="R3052" s="180" t="s">
        <v>257</v>
      </c>
    </row>
    <row r="3053" spans="8:18" x14ac:dyDescent="0.2">
      <c r="H3053" s="180"/>
      <c r="P3053" s="180" t="s">
        <v>257</v>
      </c>
      <c r="R3053" s="180" t="s">
        <v>257</v>
      </c>
    </row>
    <row r="3054" spans="8:18" x14ac:dyDescent="0.2">
      <c r="H3054" s="180"/>
      <c r="P3054" s="180" t="s">
        <v>257</v>
      </c>
      <c r="R3054" s="180" t="s">
        <v>257</v>
      </c>
    </row>
    <row r="3055" spans="8:18" x14ac:dyDescent="0.2">
      <c r="H3055" s="180"/>
      <c r="P3055" s="180" t="s">
        <v>257</v>
      </c>
      <c r="R3055" s="180" t="s">
        <v>257</v>
      </c>
    </row>
    <row r="3056" spans="8:18" x14ac:dyDescent="0.2">
      <c r="H3056" s="180"/>
      <c r="P3056" s="180" t="s">
        <v>257</v>
      </c>
      <c r="R3056" s="180" t="s">
        <v>257</v>
      </c>
    </row>
    <row r="3057" spans="8:18" x14ac:dyDescent="0.2">
      <c r="H3057" s="180"/>
      <c r="P3057" s="180" t="s">
        <v>257</v>
      </c>
      <c r="R3057" s="180" t="s">
        <v>257</v>
      </c>
    </row>
    <row r="3058" spans="8:18" x14ac:dyDescent="0.2">
      <c r="H3058" s="180"/>
      <c r="P3058" s="180" t="s">
        <v>257</v>
      </c>
      <c r="R3058" s="180" t="s">
        <v>257</v>
      </c>
    </row>
    <row r="3059" spans="8:18" x14ac:dyDescent="0.2">
      <c r="H3059" s="180"/>
      <c r="P3059" s="180" t="s">
        <v>257</v>
      </c>
      <c r="R3059" s="180" t="s">
        <v>257</v>
      </c>
    </row>
    <row r="3060" spans="8:18" x14ac:dyDescent="0.2">
      <c r="H3060" s="180"/>
      <c r="P3060" s="180" t="s">
        <v>257</v>
      </c>
      <c r="R3060" s="180" t="s">
        <v>257</v>
      </c>
    </row>
    <row r="3061" spans="8:18" x14ac:dyDescent="0.2">
      <c r="H3061" s="180"/>
      <c r="P3061" s="180" t="s">
        <v>257</v>
      </c>
      <c r="R3061" s="180" t="s">
        <v>257</v>
      </c>
    </row>
    <row r="3062" spans="8:18" x14ac:dyDescent="0.2">
      <c r="H3062" s="180"/>
      <c r="P3062" s="180" t="s">
        <v>257</v>
      </c>
      <c r="R3062" s="180" t="s">
        <v>257</v>
      </c>
    </row>
    <row r="3063" spans="8:18" x14ac:dyDescent="0.2">
      <c r="H3063" s="180"/>
      <c r="P3063" s="180" t="s">
        <v>257</v>
      </c>
      <c r="R3063" s="180" t="s">
        <v>257</v>
      </c>
    </row>
    <row r="3064" spans="8:18" x14ac:dyDescent="0.2">
      <c r="H3064" s="180"/>
      <c r="P3064" s="180" t="s">
        <v>257</v>
      </c>
      <c r="R3064" s="180" t="s">
        <v>257</v>
      </c>
    </row>
    <row r="3065" spans="8:18" x14ac:dyDescent="0.2">
      <c r="H3065" s="180"/>
      <c r="P3065" s="180" t="s">
        <v>257</v>
      </c>
      <c r="R3065" s="180" t="s">
        <v>257</v>
      </c>
    </row>
    <row r="3066" spans="8:18" x14ac:dyDescent="0.2">
      <c r="H3066" s="180"/>
      <c r="P3066" s="180" t="s">
        <v>257</v>
      </c>
      <c r="R3066" s="180" t="s">
        <v>257</v>
      </c>
    </row>
    <row r="3067" spans="8:18" x14ac:dyDescent="0.2">
      <c r="H3067" s="180"/>
      <c r="P3067" s="180" t="s">
        <v>257</v>
      </c>
      <c r="R3067" s="180" t="s">
        <v>257</v>
      </c>
    </row>
    <row r="3068" spans="8:18" x14ac:dyDescent="0.2">
      <c r="H3068" s="180"/>
      <c r="P3068" s="180" t="s">
        <v>257</v>
      </c>
      <c r="R3068" s="180" t="s">
        <v>257</v>
      </c>
    </row>
    <row r="3069" spans="8:18" x14ac:dyDescent="0.2">
      <c r="H3069" s="180"/>
      <c r="P3069" s="180" t="s">
        <v>257</v>
      </c>
      <c r="R3069" s="180" t="s">
        <v>257</v>
      </c>
    </row>
    <row r="3070" spans="8:18" x14ac:dyDescent="0.2">
      <c r="H3070" s="180"/>
      <c r="P3070" s="180" t="s">
        <v>257</v>
      </c>
      <c r="R3070" s="180" t="s">
        <v>257</v>
      </c>
    </row>
    <row r="3071" spans="8:18" x14ac:dyDescent="0.2">
      <c r="H3071" s="180"/>
      <c r="P3071" s="180" t="s">
        <v>257</v>
      </c>
      <c r="R3071" s="180" t="s">
        <v>257</v>
      </c>
    </row>
    <row r="3072" spans="8:18" x14ac:dyDescent="0.2">
      <c r="H3072" s="180"/>
      <c r="P3072" s="180" t="s">
        <v>257</v>
      </c>
      <c r="R3072" s="180" t="s">
        <v>257</v>
      </c>
    </row>
    <row r="3073" spans="8:18" x14ac:dyDescent="0.2">
      <c r="H3073" s="180"/>
      <c r="P3073" s="180" t="s">
        <v>257</v>
      </c>
      <c r="R3073" s="180" t="s">
        <v>257</v>
      </c>
    </row>
    <row r="3074" spans="8:18" x14ac:dyDescent="0.2">
      <c r="H3074" s="180"/>
      <c r="P3074" s="180" t="s">
        <v>257</v>
      </c>
      <c r="R3074" s="180" t="s">
        <v>257</v>
      </c>
    </row>
    <row r="3075" spans="8:18" x14ac:dyDescent="0.2">
      <c r="H3075" s="180"/>
      <c r="P3075" s="180" t="s">
        <v>257</v>
      </c>
      <c r="R3075" s="180" t="s">
        <v>257</v>
      </c>
    </row>
    <row r="3076" spans="8:18" x14ac:dyDescent="0.2">
      <c r="H3076" s="180"/>
      <c r="P3076" s="180" t="s">
        <v>257</v>
      </c>
      <c r="R3076" s="180" t="s">
        <v>257</v>
      </c>
    </row>
    <row r="3077" spans="8:18" x14ac:dyDescent="0.2">
      <c r="H3077" s="180"/>
      <c r="P3077" s="180" t="s">
        <v>257</v>
      </c>
      <c r="R3077" s="180" t="s">
        <v>257</v>
      </c>
    </row>
    <row r="3078" spans="8:18" x14ac:dyDescent="0.2">
      <c r="H3078" s="180"/>
      <c r="P3078" s="180" t="s">
        <v>257</v>
      </c>
      <c r="R3078" s="180" t="s">
        <v>257</v>
      </c>
    </row>
    <row r="3079" spans="8:18" x14ac:dyDescent="0.2">
      <c r="H3079" s="180"/>
      <c r="P3079" s="180" t="s">
        <v>257</v>
      </c>
      <c r="R3079" s="180" t="s">
        <v>257</v>
      </c>
    </row>
    <row r="3080" spans="8:18" x14ac:dyDescent="0.2">
      <c r="H3080" s="180"/>
      <c r="P3080" s="180" t="s">
        <v>257</v>
      </c>
      <c r="R3080" s="180" t="s">
        <v>257</v>
      </c>
    </row>
    <row r="3081" spans="8:18" x14ac:dyDescent="0.2">
      <c r="H3081" s="180"/>
      <c r="P3081" s="180" t="s">
        <v>257</v>
      </c>
      <c r="R3081" s="180" t="s">
        <v>257</v>
      </c>
    </row>
    <row r="3082" spans="8:18" x14ac:dyDescent="0.2">
      <c r="H3082" s="180"/>
      <c r="P3082" s="180" t="s">
        <v>257</v>
      </c>
      <c r="R3082" s="180" t="s">
        <v>257</v>
      </c>
    </row>
    <row r="3083" spans="8:18" x14ac:dyDescent="0.2">
      <c r="H3083" s="180"/>
      <c r="P3083" s="180" t="s">
        <v>257</v>
      </c>
      <c r="R3083" s="180" t="s">
        <v>257</v>
      </c>
    </row>
    <row r="3084" spans="8:18" x14ac:dyDescent="0.2">
      <c r="H3084" s="180"/>
      <c r="P3084" s="180" t="s">
        <v>257</v>
      </c>
      <c r="R3084" s="180" t="s">
        <v>257</v>
      </c>
    </row>
    <row r="3085" spans="8:18" x14ac:dyDescent="0.2">
      <c r="H3085" s="180"/>
      <c r="P3085" s="180" t="s">
        <v>257</v>
      </c>
      <c r="R3085" s="180" t="s">
        <v>257</v>
      </c>
    </row>
    <row r="3086" spans="8:18" x14ac:dyDescent="0.2">
      <c r="H3086" s="180"/>
      <c r="P3086" s="180" t="s">
        <v>257</v>
      </c>
      <c r="R3086" s="180" t="s">
        <v>257</v>
      </c>
    </row>
    <row r="3087" spans="8:18" x14ac:dyDescent="0.2">
      <c r="H3087" s="180"/>
      <c r="P3087" s="180" t="s">
        <v>257</v>
      </c>
      <c r="R3087" s="180" t="s">
        <v>257</v>
      </c>
    </row>
    <row r="3088" spans="8:18" x14ac:dyDescent="0.2">
      <c r="H3088" s="180"/>
      <c r="P3088" s="180" t="s">
        <v>257</v>
      </c>
      <c r="R3088" s="180" t="s">
        <v>257</v>
      </c>
    </row>
    <row r="3089" spans="8:18" x14ac:dyDescent="0.2">
      <c r="H3089" s="180"/>
      <c r="P3089" s="180" t="s">
        <v>257</v>
      </c>
      <c r="R3089" s="180" t="s">
        <v>257</v>
      </c>
    </row>
    <row r="3090" spans="8:18" x14ac:dyDescent="0.2">
      <c r="H3090" s="180"/>
      <c r="P3090" s="180" t="s">
        <v>257</v>
      </c>
      <c r="R3090" s="180" t="s">
        <v>257</v>
      </c>
    </row>
    <row r="3091" spans="8:18" x14ac:dyDescent="0.2">
      <c r="H3091" s="180"/>
      <c r="P3091" s="180" t="s">
        <v>257</v>
      </c>
      <c r="R3091" s="180" t="s">
        <v>257</v>
      </c>
    </row>
    <row r="3092" spans="8:18" x14ac:dyDescent="0.2">
      <c r="H3092" s="180"/>
      <c r="P3092" s="180" t="s">
        <v>257</v>
      </c>
      <c r="R3092" s="180" t="s">
        <v>257</v>
      </c>
    </row>
    <row r="3093" spans="8:18" x14ac:dyDescent="0.2">
      <c r="H3093" s="180"/>
      <c r="P3093" s="180" t="s">
        <v>257</v>
      </c>
      <c r="R3093" s="180" t="s">
        <v>257</v>
      </c>
    </row>
    <row r="3094" spans="8:18" x14ac:dyDescent="0.2">
      <c r="H3094" s="180"/>
      <c r="P3094" s="180" t="s">
        <v>257</v>
      </c>
      <c r="R3094" s="180" t="s">
        <v>257</v>
      </c>
    </row>
    <row r="3095" spans="8:18" x14ac:dyDescent="0.2">
      <c r="H3095" s="180"/>
      <c r="P3095" s="180" t="s">
        <v>257</v>
      </c>
      <c r="R3095" s="180" t="s">
        <v>257</v>
      </c>
    </row>
    <row r="3096" spans="8:18" x14ac:dyDescent="0.2">
      <c r="H3096" s="180"/>
      <c r="P3096" s="180" t="s">
        <v>257</v>
      </c>
      <c r="R3096" s="180" t="s">
        <v>257</v>
      </c>
    </row>
    <row r="3097" spans="8:18" x14ac:dyDescent="0.2">
      <c r="H3097" s="180"/>
      <c r="P3097" s="180" t="s">
        <v>257</v>
      </c>
      <c r="R3097" s="180" t="s">
        <v>257</v>
      </c>
    </row>
    <row r="3098" spans="8:18" x14ac:dyDescent="0.2">
      <c r="H3098" s="180"/>
      <c r="P3098" s="180" t="s">
        <v>257</v>
      </c>
      <c r="R3098" s="180" t="s">
        <v>257</v>
      </c>
    </row>
    <row r="3099" spans="8:18" x14ac:dyDescent="0.2">
      <c r="H3099" s="180"/>
      <c r="P3099" s="180" t="s">
        <v>257</v>
      </c>
      <c r="R3099" s="180" t="s">
        <v>257</v>
      </c>
    </row>
    <row r="3100" spans="8:18" x14ac:dyDescent="0.2">
      <c r="H3100" s="180"/>
      <c r="P3100" s="180" t="s">
        <v>257</v>
      </c>
      <c r="R3100" s="180" t="s">
        <v>257</v>
      </c>
    </row>
    <row r="3101" spans="8:18" x14ac:dyDescent="0.2">
      <c r="H3101" s="180"/>
      <c r="P3101" s="180" t="s">
        <v>257</v>
      </c>
      <c r="R3101" s="180" t="s">
        <v>257</v>
      </c>
    </row>
    <row r="3102" spans="8:18" x14ac:dyDescent="0.2">
      <c r="H3102" s="180"/>
      <c r="P3102" s="180" t="s">
        <v>257</v>
      </c>
      <c r="R3102" s="180" t="s">
        <v>257</v>
      </c>
    </row>
    <row r="3103" spans="8:18" x14ac:dyDescent="0.2">
      <c r="H3103" s="180"/>
      <c r="P3103" s="180" t="s">
        <v>257</v>
      </c>
      <c r="R3103" s="180" t="s">
        <v>257</v>
      </c>
    </row>
    <row r="3104" spans="8:18" x14ac:dyDescent="0.2">
      <c r="H3104" s="180"/>
      <c r="P3104" s="180" t="s">
        <v>257</v>
      </c>
      <c r="R3104" s="180" t="s">
        <v>257</v>
      </c>
    </row>
    <row r="3105" spans="8:18" x14ac:dyDescent="0.2">
      <c r="H3105" s="180"/>
      <c r="P3105" s="180" t="s">
        <v>257</v>
      </c>
      <c r="R3105" s="180" t="s">
        <v>257</v>
      </c>
    </row>
    <row r="3106" spans="8:18" x14ac:dyDescent="0.2">
      <c r="H3106" s="180"/>
      <c r="P3106" s="180" t="s">
        <v>257</v>
      </c>
      <c r="R3106" s="180" t="s">
        <v>257</v>
      </c>
    </row>
    <row r="3107" spans="8:18" x14ac:dyDescent="0.2">
      <c r="H3107" s="180"/>
      <c r="P3107" s="180" t="s">
        <v>257</v>
      </c>
      <c r="R3107" s="180" t="s">
        <v>257</v>
      </c>
    </row>
    <row r="3108" spans="8:18" x14ac:dyDescent="0.2">
      <c r="H3108" s="180"/>
      <c r="P3108" s="180" t="s">
        <v>257</v>
      </c>
      <c r="R3108" s="180" t="s">
        <v>257</v>
      </c>
    </row>
    <row r="3109" spans="8:18" x14ac:dyDescent="0.2">
      <c r="H3109" s="180"/>
      <c r="P3109" s="180" t="s">
        <v>257</v>
      </c>
      <c r="R3109" s="180" t="s">
        <v>257</v>
      </c>
    </row>
    <row r="3110" spans="8:18" x14ac:dyDescent="0.2">
      <c r="H3110" s="180"/>
      <c r="P3110" s="180" t="s">
        <v>257</v>
      </c>
      <c r="R3110" s="180" t="s">
        <v>257</v>
      </c>
    </row>
    <row r="3111" spans="8:18" x14ac:dyDescent="0.2">
      <c r="H3111" s="180"/>
      <c r="P3111" s="180" t="s">
        <v>257</v>
      </c>
      <c r="R3111" s="180" t="s">
        <v>257</v>
      </c>
    </row>
    <row r="3112" spans="8:18" x14ac:dyDescent="0.2">
      <c r="H3112" s="180"/>
      <c r="P3112" s="180" t="s">
        <v>257</v>
      </c>
      <c r="R3112" s="180" t="s">
        <v>257</v>
      </c>
    </row>
    <row r="3113" spans="8:18" x14ac:dyDescent="0.2">
      <c r="H3113" s="180"/>
      <c r="P3113" s="180" t="s">
        <v>257</v>
      </c>
      <c r="R3113" s="180" t="s">
        <v>257</v>
      </c>
    </row>
    <row r="3114" spans="8:18" x14ac:dyDescent="0.2">
      <c r="H3114" s="180"/>
      <c r="P3114" s="180" t="s">
        <v>257</v>
      </c>
      <c r="R3114" s="180" t="s">
        <v>257</v>
      </c>
    </row>
    <row r="3115" spans="8:18" x14ac:dyDescent="0.2">
      <c r="H3115" s="180"/>
      <c r="P3115" s="180" t="s">
        <v>257</v>
      </c>
      <c r="R3115" s="180" t="s">
        <v>257</v>
      </c>
    </row>
    <row r="3116" spans="8:18" x14ac:dyDescent="0.2">
      <c r="H3116" s="180"/>
      <c r="P3116" s="180" t="s">
        <v>257</v>
      </c>
      <c r="R3116" s="180" t="s">
        <v>257</v>
      </c>
    </row>
    <row r="3117" spans="8:18" x14ac:dyDescent="0.2">
      <c r="H3117" s="180"/>
      <c r="P3117" s="180" t="s">
        <v>257</v>
      </c>
      <c r="R3117" s="180" t="s">
        <v>257</v>
      </c>
    </row>
    <row r="3118" spans="8:18" x14ac:dyDescent="0.2">
      <c r="H3118" s="180"/>
      <c r="P3118" s="180" t="s">
        <v>257</v>
      </c>
      <c r="R3118" s="180" t="s">
        <v>257</v>
      </c>
    </row>
    <row r="3119" spans="8:18" x14ac:dyDescent="0.2">
      <c r="H3119" s="180"/>
      <c r="P3119" s="180" t="s">
        <v>257</v>
      </c>
      <c r="R3119" s="180" t="s">
        <v>257</v>
      </c>
    </row>
    <row r="3120" spans="8:18" x14ac:dyDescent="0.2">
      <c r="H3120" s="180"/>
      <c r="P3120" s="180" t="s">
        <v>257</v>
      </c>
      <c r="R3120" s="180" t="s">
        <v>257</v>
      </c>
    </row>
    <row r="3121" spans="8:18" x14ac:dyDescent="0.2">
      <c r="H3121" s="180"/>
      <c r="P3121" s="180" t="s">
        <v>257</v>
      </c>
      <c r="R3121" s="180" t="s">
        <v>257</v>
      </c>
    </row>
    <row r="3122" spans="8:18" x14ac:dyDescent="0.2">
      <c r="H3122" s="180"/>
      <c r="P3122" s="180" t="s">
        <v>257</v>
      </c>
      <c r="R3122" s="180" t="s">
        <v>257</v>
      </c>
    </row>
    <row r="3123" spans="8:18" x14ac:dyDescent="0.2">
      <c r="H3123" s="180"/>
      <c r="P3123" s="180" t="s">
        <v>257</v>
      </c>
      <c r="R3123" s="180" t="s">
        <v>257</v>
      </c>
    </row>
    <row r="3124" spans="8:18" x14ac:dyDescent="0.2">
      <c r="H3124" s="180"/>
      <c r="P3124" s="180" t="s">
        <v>257</v>
      </c>
      <c r="R3124" s="180" t="s">
        <v>257</v>
      </c>
    </row>
    <row r="3125" spans="8:18" x14ac:dyDescent="0.2">
      <c r="H3125" s="180"/>
      <c r="P3125" s="180" t="s">
        <v>257</v>
      </c>
      <c r="R3125" s="180" t="s">
        <v>257</v>
      </c>
    </row>
    <row r="3126" spans="8:18" x14ac:dyDescent="0.2">
      <c r="H3126" s="180"/>
      <c r="P3126" s="180" t="s">
        <v>257</v>
      </c>
      <c r="R3126" s="180" t="s">
        <v>257</v>
      </c>
    </row>
    <row r="3127" spans="8:18" x14ac:dyDescent="0.2">
      <c r="H3127" s="180"/>
      <c r="P3127" s="180" t="s">
        <v>257</v>
      </c>
      <c r="R3127" s="180" t="s">
        <v>257</v>
      </c>
    </row>
    <row r="3128" spans="8:18" x14ac:dyDescent="0.2">
      <c r="H3128" s="180"/>
      <c r="P3128" s="180" t="s">
        <v>257</v>
      </c>
      <c r="R3128" s="180" t="s">
        <v>257</v>
      </c>
    </row>
    <row r="3129" spans="8:18" x14ac:dyDescent="0.2">
      <c r="H3129" s="180"/>
      <c r="P3129" s="180" t="s">
        <v>257</v>
      </c>
      <c r="R3129" s="180" t="s">
        <v>257</v>
      </c>
    </row>
    <row r="3130" spans="8:18" x14ac:dyDescent="0.2">
      <c r="H3130" s="180"/>
      <c r="P3130" s="180" t="s">
        <v>257</v>
      </c>
      <c r="R3130" s="180" t="s">
        <v>257</v>
      </c>
    </row>
    <row r="3131" spans="8:18" x14ac:dyDescent="0.2">
      <c r="H3131" s="180"/>
      <c r="P3131" s="180" t="s">
        <v>257</v>
      </c>
      <c r="R3131" s="180" t="s">
        <v>257</v>
      </c>
    </row>
    <row r="3132" spans="8:18" x14ac:dyDescent="0.2">
      <c r="H3132" s="180"/>
      <c r="P3132" s="180" t="s">
        <v>257</v>
      </c>
      <c r="R3132" s="180" t="s">
        <v>257</v>
      </c>
    </row>
    <row r="3133" spans="8:18" x14ac:dyDescent="0.2">
      <c r="H3133" s="180"/>
      <c r="P3133" s="180" t="s">
        <v>257</v>
      </c>
      <c r="R3133" s="180" t="s">
        <v>257</v>
      </c>
    </row>
    <row r="3134" spans="8:18" x14ac:dyDescent="0.2">
      <c r="H3134" s="180"/>
      <c r="P3134" s="180" t="s">
        <v>257</v>
      </c>
      <c r="R3134" s="180" t="s">
        <v>257</v>
      </c>
    </row>
    <row r="3135" spans="8:18" x14ac:dyDescent="0.2">
      <c r="H3135" s="180"/>
      <c r="P3135" s="180" t="s">
        <v>257</v>
      </c>
      <c r="R3135" s="180" t="s">
        <v>257</v>
      </c>
    </row>
    <row r="3136" spans="8:18" x14ac:dyDescent="0.2">
      <c r="H3136" s="180"/>
      <c r="P3136" s="180" t="s">
        <v>257</v>
      </c>
      <c r="R3136" s="180" t="s">
        <v>257</v>
      </c>
    </row>
    <row r="3137" spans="8:18" x14ac:dyDescent="0.2">
      <c r="H3137" s="180"/>
      <c r="P3137" s="180" t="s">
        <v>257</v>
      </c>
      <c r="R3137" s="180" t="s">
        <v>257</v>
      </c>
    </row>
    <row r="3138" spans="8:18" x14ac:dyDescent="0.2">
      <c r="H3138" s="180"/>
      <c r="P3138" s="180" t="s">
        <v>257</v>
      </c>
      <c r="R3138" s="180" t="s">
        <v>257</v>
      </c>
    </row>
    <row r="3139" spans="8:18" x14ac:dyDescent="0.2">
      <c r="H3139" s="180"/>
      <c r="P3139" s="180" t="s">
        <v>257</v>
      </c>
      <c r="R3139" s="180" t="s">
        <v>257</v>
      </c>
    </row>
    <row r="3140" spans="8:18" x14ac:dyDescent="0.2">
      <c r="H3140" s="180"/>
      <c r="P3140" s="180" t="s">
        <v>257</v>
      </c>
      <c r="R3140" s="180" t="s">
        <v>257</v>
      </c>
    </row>
    <row r="3141" spans="8:18" x14ac:dyDescent="0.2">
      <c r="H3141" s="180"/>
      <c r="P3141" s="180" t="s">
        <v>257</v>
      </c>
      <c r="R3141" s="180" t="s">
        <v>257</v>
      </c>
    </row>
    <row r="3142" spans="8:18" x14ac:dyDescent="0.2">
      <c r="H3142" s="180"/>
      <c r="P3142" s="180" t="s">
        <v>257</v>
      </c>
      <c r="R3142" s="180" t="s">
        <v>257</v>
      </c>
    </row>
    <row r="3143" spans="8:18" x14ac:dyDescent="0.2">
      <c r="H3143" s="180"/>
      <c r="P3143" s="180" t="s">
        <v>257</v>
      </c>
      <c r="R3143" s="180" t="s">
        <v>257</v>
      </c>
    </row>
    <row r="3144" spans="8:18" x14ac:dyDescent="0.2">
      <c r="H3144" s="180"/>
      <c r="P3144" s="180" t="s">
        <v>257</v>
      </c>
      <c r="R3144" s="180" t="s">
        <v>257</v>
      </c>
    </row>
    <row r="3145" spans="8:18" x14ac:dyDescent="0.2">
      <c r="H3145" s="180"/>
      <c r="P3145" s="180" t="s">
        <v>257</v>
      </c>
      <c r="R3145" s="180" t="s">
        <v>257</v>
      </c>
    </row>
    <row r="3146" spans="8:18" x14ac:dyDescent="0.2">
      <c r="H3146" s="180"/>
      <c r="P3146" s="180" t="s">
        <v>257</v>
      </c>
      <c r="R3146" s="180" t="s">
        <v>257</v>
      </c>
    </row>
    <row r="3147" spans="8:18" x14ac:dyDescent="0.2">
      <c r="H3147" s="180"/>
      <c r="P3147" s="180" t="s">
        <v>257</v>
      </c>
      <c r="R3147" s="180" t="s">
        <v>257</v>
      </c>
    </row>
    <row r="3148" spans="8:18" x14ac:dyDescent="0.2">
      <c r="H3148" s="180"/>
      <c r="P3148" s="180" t="s">
        <v>257</v>
      </c>
      <c r="R3148" s="180" t="s">
        <v>257</v>
      </c>
    </row>
    <row r="3149" spans="8:18" x14ac:dyDescent="0.2">
      <c r="H3149" s="180"/>
      <c r="P3149" s="180" t="s">
        <v>257</v>
      </c>
      <c r="R3149" s="180" t="s">
        <v>257</v>
      </c>
    </row>
    <row r="3150" spans="8:18" x14ac:dyDescent="0.2">
      <c r="H3150" s="180"/>
      <c r="P3150" s="180" t="s">
        <v>257</v>
      </c>
      <c r="R3150" s="180" t="s">
        <v>257</v>
      </c>
    </row>
    <row r="3151" spans="8:18" x14ac:dyDescent="0.2">
      <c r="H3151" s="180"/>
      <c r="P3151" s="180" t="s">
        <v>257</v>
      </c>
      <c r="R3151" s="180" t="s">
        <v>257</v>
      </c>
    </row>
    <row r="3152" spans="8:18" x14ac:dyDescent="0.2">
      <c r="H3152" s="180"/>
      <c r="P3152" s="180" t="s">
        <v>257</v>
      </c>
      <c r="R3152" s="180" t="s">
        <v>257</v>
      </c>
    </row>
    <row r="3153" spans="8:18" x14ac:dyDescent="0.2">
      <c r="H3153" s="180"/>
      <c r="P3153" s="180" t="s">
        <v>257</v>
      </c>
      <c r="R3153" s="180" t="s">
        <v>257</v>
      </c>
    </row>
    <row r="3154" spans="8:18" x14ac:dyDescent="0.2">
      <c r="H3154" s="180"/>
      <c r="P3154" s="180" t="s">
        <v>257</v>
      </c>
      <c r="R3154" s="180" t="s">
        <v>257</v>
      </c>
    </row>
    <row r="3155" spans="8:18" x14ac:dyDescent="0.2">
      <c r="H3155" s="180"/>
      <c r="P3155" s="180" t="s">
        <v>257</v>
      </c>
      <c r="R3155" s="180" t="s">
        <v>257</v>
      </c>
    </row>
    <row r="3156" spans="8:18" x14ac:dyDescent="0.2">
      <c r="H3156" s="180"/>
      <c r="P3156" s="180" t="s">
        <v>257</v>
      </c>
      <c r="R3156" s="180" t="s">
        <v>257</v>
      </c>
    </row>
    <row r="3157" spans="8:18" x14ac:dyDescent="0.2">
      <c r="H3157" s="180"/>
      <c r="P3157" s="180" t="s">
        <v>257</v>
      </c>
      <c r="R3157" s="180" t="s">
        <v>257</v>
      </c>
    </row>
    <row r="3158" spans="8:18" x14ac:dyDescent="0.2">
      <c r="H3158" s="180"/>
      <c r="P3158" s="180" t="s">
        <v>257</v>
      </c>
      <c r="R3158" s="180" t="s">
        <v>257</v>
      </c>
    </row>
    <row r="3159" spans="8:18" x14ac:dyDescent="0.2">
      <c r="H3159" s="180"/>
      <c r="P3159" s="180" t="s">
        <v>257</v>
      </c>
      <c r="R3159" s="180" t="s">
        <v>257</v>
      </c>
    </row>
    <row r="3160" spans="8:18" x14ac:dyDescent="0.2">
      <c r="H3160" s="180"/>
      <c r="P3160" s="180" t="s">
        <v>257</v>
      </c>
      <c r="R3160" s="180" t="s">
        <v>257</v>
      </c>
    </row>
    <row r="3161" spans="8:18" x14ac:dyDescent="0.2">
      <c r="H3161" s="180"/>
      <c r="P3161" s="180" t="s">
        <v>257</v>
      </c>
      <c r="R3161" s="180" t="s">
        <v>257</v>
      </c>
    </row>
    <row r="3162" spans="8:18" x14ac:dyDescent="0.2">
      <c r="H3162" s="180"/>
      <c r="P3162" s="180" t="s">
        <v>257</v>
      </c>
      <c r="R3162" s="180" t="s">
        <v>257</v>
      </c>
    </row>
    <row r="3163" spans="8:18" x14ac:dyDescent="0.2">
      <c r="H3163" s="180"/>
      <c r="P3163" s="180" t="s">
        <v>257</v>
      </c>
      <c r="R3163" s="180" t="s">
        <v>257</v>
      </c>
    </row>
    <row r="3164" spans="8:18" x14ac:dyDescent="0.2">
      <c r="H3164" s="180"/>
      <c r="P3164" s="180" t="s">
        <v>257</v>
      </c>
      <c r="R3164" s="180" t="s">
        <v>257</v>
      </c>
    </row>
    <row r="3165" spans="8:18" x14ac:dyDescent="0.2">
      <c r="H3165" s="180"/>
      <c r="P3165" s="180" t="s">
        <v>257</v>
      </c>
      <c r="R3165" s="180" t="s">
        <v>257</v>
      </c>
    </row>
    <row r="3166" spans="8:18" x14ac:dyDescent="0.2">
      <c r="H3166" s="180"/>
      <c r="P3166" s="180" t="s">
        <v>257</v>
      </c>
      <c r="R3166" s="180" t="s">
        <v>257</v>
      </c>
    </row>
    <row r="3167" spans="8:18" x14ac:dyDescent="0.2">
      <c r="H3167" s="180"/>
      <c r="P3167" s="180" t="s">
        <v>257</v>
      </c>
      <c r="R3167" s="180" t="s">
        <v>257</v>
      </c>
    </row>
    <row r="3168" spans="8:18" x14ac:dyDescent="0.2">
      <c r="H3168" s="180"/>
      <c r="P3168" s="180" t="s">
        <v>257</v>
      </c>
      <c r="R3168" s="180" t="s">
        <v>257</v>
      </c>
    </row>
    <row r="3169" spans="8:18" x14ac:dyDescent="0.2">
      <c r="H3169" s="180"/>
      <c r="P3169" s="180" t="s">
        <v>257</v>
      </c>
      <c r="R3169" s="180" t="s">
        <v>257</v>
      </c>
    </row>
    <row r="3170" spans="8:18" x14ac:dyDescent="0.2">
      <c r="H3170" s="180"/>
      <c r="P3170" s="180" t="s">
        <v>257</v>
      </c>
      <c r="R3170" s="180" t="s">
        <v>257</v>
      </c>
    </row>
    <row r="3171" spans="8:18" x14ac:dyDescent="0.2">
      <c r="H3171" s="180"/>
      <c r="P3171" s="180" t="s">
        <v>257</v>
      </c>
      <c r="R3171" s="180" t="s">
        <v>257</v>
      </c>
    </row>
    <row r="3172" spans="8:18" x14ac:dyDescent="0.2">
      <c r="H3172" s="180"/>
      <c r="P3172" s="180" t="s">
        <v>257</v>
      </c>
      <c r="R3172" s="180" t="s">
        <v>257</v>
      </c>
    </row>
    <row r="3173" spans="8:18" x14ac:dyDescent="0.2">
      <c r="H3173" s="180"/>
      <c r="P3173" s="180" t="s">
        <v>257</v>
      </c>
      <c r="R3173" s="180" t="s">
        <v>257</v>
      </c>
    </row>
    <row r="3174" spans="8:18" x14ac:dyDescent="0.2">
      <c r="H3174" s="180"/>
      <c r="P3174" s="180" t="s">
        <v>257</v>
      </c>
      <c r="R3174" s="180" t="s">
        <v>257</v>
      </c>
    </row>
    <row r="3175" spans="8:18" x14ac:dyDescent="0.2">
      <c r="H3175" s="180"/>
      <c r="P3175" s="180" t="s">
        <v>257</v>
      </c>
      <c r="R3175" s="180" t="s">
        <v>257</v>
      </c>
    </row>
    <row r="3176" spans="8:18" x14ac:dyDescent="0.2">
      <c r="H3176" s="180"/>
      <c r="P3176" s="180" t="s">
        <v>257</v>
      </c>
      <c r="R3176" s="180" t="s">
        <v>257</v>
      </c>
    </row>
    <row r="3177" spans="8:18" x14ac:dyDescent="0.2">
      <c r="H3177" s="180"/>
      <c r="P3177" s="180" t="s">
        <v>257</v>
      </c>
      <c r="R3177" s="180" t="s">
        <v>257</v>
      </c>
    </row>
    <row r="3178" spans="8:18" x14ac:dyDescent="0.2">
      <c r="H3178" s="180"/>
      <c r="P3178" s="180" t="s">
        <v>257</v>
      </c>
      <c r="R3178" s="180" t="s">
        <v>257</v>
      </c>
    </row>
    <row r="3179" spans="8:18" x14ac:dyDescent="0.2">
      <c r="H3179" s="180"/>
      <c r="P3179" s="180" t="s">
        <v>257</v>
      </c>
      <c r="R3179" s="180" t="s">
        <v>257</v>
      </c>
    </row>
    <row r="3180" spans="8:18" x14ac:dyDescent="0.2">
      <c r="H3180" s="180"/>
      <c r="P3180" s="180" t="s">
        <v>257</v>
      </c>
      <c r="R3180" s="180" t="s">
        <v>257</v>
      </c>
    </row>
    <row r="3181" spans="8:18" x14ac:dyDescent="0.2">
      <c r="H3181" s="180"/>
      <c r="P3181" s="180" t="s">
        <v>257</v>
      </c>
      <c r="R3181" s="180" t="s">
        <v>257</v>
      </c>
    </row>
    <row r="3182" spans="8:18" x14ac:dyDescent="0.2">
      <c r="H3182" s="180"/>
      <c r="P3182" s="180" t="s">
        <v>257</v>
      </c>
      <c r="R3182" s="180" t="s">
        <v>257</v>
      </c>
    </row>
    <row r="3183" spans="8:18" x14ac:dyDescent="0.2">
      <c r="H3183" s="180"/>
      <c r="P3183" s="180" t="s">
        <v>257</v>
      </c>
      <c r="R3183" s="180" t="s">
        <v>257</v>
      </c>
    </row>
    <row r="3184" spans="8:18" x14ac:dyDescent="0.2">
      <c r="H3184" s="180"/>
      <c r="P3184" s="180" t="s">
        <v>257</v>
      </c>
      <c r="R3184" s="180" t="s">
        <v>257</v>
      </c>
    </row>
    <row r="3185" spans="8:18" x14ac:dyDescent="0.2">
      <c r="H3185" s="180"/>
      <c r="P3185" s="180" t="s">
        <v>257</v>
      </c>
      <c r="R3185" s="180" t="s">
        <v>257</v>
      </c>
    </row>
    <row r="3186" spans="8:18" x14ac:dyDescent="0.2">
      <c r="H3186" s="180"/>
      <c r="P3186" s="180" t="s">
        <v>257</v>
      </c>
      <c r="R3186" s="180" t="s">
        <v>257</v>
      </c>
    </row>
    <row r="3187" spans="8:18" x14ac:dyDescent="0.2">
      <c r="H3187" s="180"/>
      <c r="P3187" s="180" t="s">
        <v>257</v>
      </c>
      <c r="R3187" s="180" t="s">
        <v>257</v>
      </c>
    </row>
    <row r="3188" spans="8:18" x14ac:dyDescent="0.2">
      <c r="H3188" s="180"/>
      <c r="P3188" s="180" t="s">
        <v>257</v>
      </c>
      <c r="R3188" s="180" t="s">
        <v>257</v>
      </c>
    </row>
    <row r="3189" spans="8:18" x14ac:dyDescent="0.2">
      <c r="H3189" s="180"/>
      <c r="P3189" s="180" t="s">
        <v>257</v>
      </c>
      <c r="R3189" s="180" t="s">
        <v>257</v>
      </c>
    </row>
    <row r="3190" spans="8:18" x14ac:dyDescent="0.2">
      <c r="H3190" s="180"/>
      <c r="P3190" s="180" t="s">
        <v>257</v>
      </c>
      <c r="R3190" s="180" t="s">
        <v>257</v>
      </c>
    </row>
    <row r="3191" spans="8:18" x14ac:dyDescent="0.2">
      <c r="H3191" s="180"/>
      <c r="P3191" s="180" t="s">
        <v>257</v>
      </c>
      <c r="R3191" s="180" t="s">
        <v>257</v>
      </c>
    </row>
    <row r="3192" spans="8:18" x14ac:dyDescent="0.2">
      <c r="H3192" s="180"/>
      <c r="P3192" s="180" t="s">
        <v>257</v>
      </c>
      <c r="R3192" s="180" t="s">
        <v>257</v>
      </c>
    </row>
    <row r="3193" spans="8:18" x14ac:dyDescent="0.2">
      <c r="H3193" s="180"/>
      <c r="P3193" s="180" t="s">
        <v>257</v>
      </c>
      <c r="R3193" s="180" t="s">
        <v>257</v>
      </c>
    </row>
    <row r="3194" spans="8:18" x14ac:dyDescent="0.2">
      <c r="H3194" s="180"/>
      <c r="P3194" s="180" t="s">
        <v>257</v>
      </c>
      <c r="R3194" s="180" t="s">
        <v>257</v>
      </c>
    </row>
    <row r="3195" spans="8:18" x14ac:dyDescent="0.2">
      <c r="H3195" s="180"/>
      <c r="P3195" s="180" t="s">
        <v>257</v>
      </c>
      <c r="R3195" s="180" t="s">
        <v>257</v>
      </c>
    </row>
    <row r="3196" spans="8:18" x14ac:dyDescent="0.2">
      <c r="H3196" s="180"/>
      <c r="P3196" s="180" t="s">
        <v>257</v>
      </c>
      <c r="R3196" s="180" t="s">
        <v>257</v>
      </c>
    </row>
    <row r="3197" spans="8:18" x14ac:dyDescent="0.2">
      <c r="H3197" s="180"/>
      <c r="P3197" s="180" t="s">
        <v>257</v>
      </c>
      <c r="R3197" s="180" t="s">
        <v>257</v>
      </c>
    </row>
    <row r="3198" spans="8:18" x14ac:dyDescent="0.2">
      <c r="H3198" s="180"/>
      <c r="P3198" s="180" t="s">
        <v>257</v>
      </c>
      <c r="R3198" s="180" t="s">
        <v>257</v>
      </c>
    </row>
    <row r="3199" spans="8:18" x14ac:dyDescent="0.2">
      <c r="H3199" s="180"/>
      <c r="P3199" s="180" t="s">
        <v>257</v>
      </c>
      <c r="R3199" s="180" t="s">
        <v>257</v>
      </c>
    </row>
    <row r="3200" spans="8:18" x14ac:dyDescent="0.2">
      <c r="H3200" s="180"/>
      <c r="P3200" s="180" t="s">
        <v>257</v>
      </c>
      <c r="R3200" s="180" t="s">
        <v>257</v>
      </c>
    </row>
    <row r="3201" spans="8:18" x14ac:dyDescent="0.2">
      <c r="H3201" s="180"/>
      <c r="P3201" s="180" t="s">
        <v>257</v>
      </c>
      <c r="R3201" s="180" t="s">
        <v>257</v>
      </c>
    </row>
    <row r="3202" spans="8:18" x14ac:dyDescent="0.2">
      <c r="H3202" s="180"/>
      <c r="P3202" s="180" t="s">
        <v>257</v>
      </c>
      <c r="R3202" s="180" t="s">
        <v>257</v>
      </c>
    </row>
    <row r="3203" spans="8:18" x14ac:dyDescent="0.2">
      <c r="H3203" s="180"/>
      <c r="P3203" s="180" t="s">
        <v>257</v>
      </c>
      <c r="R3203" s="180" t="s">
        <v>257</v>
      </c>
    </row>
    <row r="3204" spans="8:18" x14ac:dyDescent="0.2">
      <c r="H3204" s="180"/>
      <c r="P3204" s="180" t="s">
        <v>257</v>
      </c>
      <c r="R3204" s="180" t="s">
        <v>257</v>
      </c>
    </row>
    <row r="3205" spans="8:18" x14ac:dyDescent="0.2">
      <c r="H3205" s="180"/>
      <c r="P3205" s="180" t="s">
        <v>257</v>
      </c>
      <c r="R3205" s="180" t="s">
        <v>257</v>
      </c>
    </row>
    <row r="3206" spans="8:18" x14ac:dyDescent="0.2">
      <c r="H3206" s="180"/>
      <c r="P3206" s="180" t="s">
        <v>257</v>
      </c>
      <c r="R3206" s="180" t="s">
        <v>257</v>
      </c>
    </row>
    <row r="3207" spans="8:18" x14ac:dyDescent="0.2">
      <c r="H3207" s="180"/>
      <c r="P3207" s="180" t="s">
        <v>257</v>
      </c>
      <c r="R3207" s="180" t="s">
        <v>257</v>
      </c>
    </row>
    <row r="3208" spans="8:18" x14ac:dyDescent="0.2">
      <c r="H3208" s="180"/>
      <c r="P3208" s="180" t="s">
        <v>257</v>
      </c>
      <c r="R3208" s="180" t="s">
        <v>257</v>
      </c>
    </row>
    <row r="3209" spans="8:18" x14ac:dyDescent="0.2">
      <c r="H3209" s="180"/>
      <c r="P3209" s="180" t="s">
        <v>257</v>
      </c>
      <c r="R3209" s="180" t="s">
        <v>257</v>
      </c>
    </row>
    <row r="3210" spans="8:18" x14ac:dyDescent="0.2">
      <c r="H3210" s="180"/>
      <c r="P3210" s="180" t="s">
        <v>257</v>
      </c>
      <c r="R3210" s="180" t="s">
        <v>257</v>
      </c>
    </row>
    <row r="3211" spans="8:18" x14ac:dyDescent="0.2">
      <c r="H3211" s="180"/>
      <c r="P3211" s="180" t="s">
        <v>257</v>
      </c>
      <c r="R3211" s="180" t="s">
        <v>257</v>
      </c>
    </row>
    <row r="3212" spans="8:18" x14ac:dyDescent="0.2">
      <c r="H3212" s="180"/>
      <c r="P3212" s="180" t="s">
        <v>257</v>
      </c>
      <c r="R3212" s="180" t="s">
        <v>257</v>
      </c>
    </row>
    <row r="3213" spans="8:18" x14ac:dyDescent="0.2">
      <c r="H3213" s="180"/>
      <c r="P3213" s="180" t="s">
        <v>257</v>
      </c>
      <c r="R3213" s="180" t="s">
        <v>257</v>
      </c>
    </row>
    <row r="3214" spans="8:18" x14ac:dyDescent="0.2">
      <c r="H3214" s="180"/>
      <c r="P3214" s="180" t="s">
        <v>257</v>
      </c>
      <c r="R3214" s="180" t="s">
        <v>257</v>
      </c>
    </row>
    <row r="3215" spans="8:18" x14ac:dyDescent="0.2">
      <c r="H3215" s="180"/>
      <c r="P3215" s="180" t="s">
        <v>257</v>
      </c>
      <c r="R3215" s="180" t="s">
        <v>257</v>
      </c>
    </row>
    <row r="3216" spans="8:18" x14ac:dyDescent="0.2">
      <c r="H3216" s="180"/>
      <c r="P3216" s="180" t="s">
        <v>257</v>
      </c>
      <c r="R3216" s="180" t="s">
        <v>257</v>
      </c>
    </row>
    <row r="3217" spans="8:18" x14ac:dyDescent="0.2">
      <c r="H3217" s="180"/>
      <c r="P3217" s="180" t="s">
        <v>257</v>
      </c>
      <c r="R3217" s="180" t="s">
        <v>257</v>
      </c>
    </row>
    <row r="3218" spans="8:18" x14ac:dyDescent="0.2">
      <c r="H3218" s="180"/>
      <c r="P3218" s="180" t="s">
        <v>257</v>
      </c>
      <c r="R3218" s="180" t="s">
        <v>257</v>
      </c>
    </row>
    <row r="3219" spans="8:18" x14ac:dyDescent="0.2">
      <c r="H3219" s="180"/>
      <c r="P3219" s="180" t="s">
        <v>257</v>
      </c>
      <c r="R3219" s="180" t="s">
        <v>257</v>
      </c>
    </row>
    <row r="3220" spans="8:18" x14ac:dyDescent="0.2">
      <c r="H3220" s="180"/>
      <c r="P3220" s="180" t="s">
        <v>257</v>
      </c>
      <c r="R3220" s="180" t="s">
        <v>257</v>
      </c>
    </row>
    <row r="3221" spans="8:18" x14ac:dyDescent="0.2">
      <c r="H3221" s="180"/>
      <c r="P3221" s="180" t="s">
        <v>257</v>
      </c>
      <c r="R3221" s="180" t="s">
        <v>257</v>
      </c>
    </row>
    <row r="3222" spans="8:18" x14ac:dyDescent="0.2">
      <c r="H3222" s="180"/>
      <c r="P3222" s="180" t="s">
        <v>257</v>
      </c>
      <c r="R3222" s="180" t="s">
        <v>257</v>
      </c>
    </row>
    <row r="3223" spans="8:18" x14ac:dyDescent="0.2">
      <c r="H3223" s="180"/>
      <c r="P3223" s="180" t="s">
        <v>257</v>
      </c>
      <c r="R3223" s="180" t="s">
        <v>257</v>
      </c>
    </row>
    <row r="3224" spans="8:18" x14ac:dyDescent="0.2">
      <c r="H3224" s="180"/>
      <c r="P3224" s="180" t="s">
        <v>257</v>
      </c>
      <c r="R3224" s="180" t="s">
        <v>257</v>
      </c>
    </row>
    <row r="3225" spans="8:18" x14ac:dyDescent="0.2">
      <c r="H3225" s="180"/>
      <c r="P3225" s="180" t="s">
        <v>257</v>
      </c>
      <c r="R3225" s="180" t="s">
        <v>257</v>
      </c>
    </row>
    <row r="3226" spans="8:18" x14ac:dyDescent="0.2">
      <c r="H3226" s="180"/>
      <c r="P3226" s="180" t="s">
        <v>257</v>
      </c>
      <c r="R3226" s="180" t="s">
        <v>257</v>
      </c>
    </row>
    <row r="3227" spans="8:18" x14ac:dyDescent="0.2">
      <c r="H3227" s="180"/>
      <c r="P3227" s="180" t="s">
        <v>257</v>
      </c>
      <c r="R3227" s="180" t="s">
        <v>257</v>
      </c>
    </row>
    <row r="3228" spans="8:18" x14ac:dyDescent="0.2">
      <c r="H3228" s="180"/>
      <c r="P3228" s="180" t="s">
        <v>257</v>
      </c>
      <c r="R3228" s="180" t="s">
        <v>257</v>
      </c>
    </row>
    <row r="3229" spans="8:18" x14ac:dyDescent="0.2">
      <c r="H3229" s="180"/>
      <c r="P3229" s="180" t="s">
        <v>257</v>
      </c>
      <c r="R3229" s="180" t="s">
        <v>257</v>
      </c>
    </row>
    <row r="3230" spans="8:18" x14ac:dyDescent="0.2">
      <c r="H3230" s="180"/>
      <c r="P3230" s="180" t="s">
        <v>257</v>
      </c>
      <c r="R3230" s="180" t="s">
        <v>257</v>
      </c>
    </row>
    <row r="3231" spans="8:18" x14ac:dyDescent="0.2">
      <c r="H3231" s="180"/>
      <c r="P3231" s="180" t="s">
        <v>257</v>
      </c>
      <c r="R3231" s="180" t="s">
        <v>257</v>
      </c>
    </row>
    <row r="3232" spans="8:18" x14ac:dyDescent="0.2">
      <c r="H3232" s="180"/>
      <c r="P3232" s="180" t="s">
        <v>257</v>
      </c>
      <c r="R3232" s="180" t="s">
        <v>257</v>
      </c>
    </row>
    <row r="3233" spans="8:18" x14ac:dyDescent="0.2">
      <c r="H3233" s="180"/>
      <c r="P3233" s="180" t="s">
        <v>257</v>
      </c>
      <c r="R3233" s="180" t="s">
        <v>257</v>
      </c>
    </row>
    <row r="3234" spans="8:18" x14ac:dyDescent="0.2">
      <c r="H3234" s="180"/>
      <c r="P3234" s="180" t="s">
        <v>257</v>
      </c>
      <c r="R3234" s="180" t="s">
        <v>257</v>
      </c>
    </row>
    <row r="3235" spans="8:18" x14ac:dyDescent="0.2">
      <c r="H3235" s="180"/>
      <c r="P3235" s="180" t="s">
        <v>257</v>
      </c>
      <c r="R3235" s="180" t="s">
        <v>257</v>
      </c>
    </row>
    <row r="3236" spans="8:18" x14ac:dyDescent="0.2">
      <c r="H3236" s="180"/>
      <c r="P3236" s="180" t="s">
        <v>257</v>
      </c>
      <c r="R3236" s="180" t="s">
        <v>257</v>
      </c>
    </row>
    <row r="3237" spans="8:18" x14ac:dyDescent="0.2">
      <c r="H3237" s="180"/>
      <c r="P3237" s="180" t="s">
        <v>257</v>
      </c>
      <c r="R3237" s="180" t="s">
        <v>257</v>
      </c>
    </row>
    <row r="3238" spans="8:18" x14ac:dyDescent="0.2">
      <c r="H3238" s="180"/>
      <c r="P3238" s="180" t="s">
        <v>257</v>
      </c>
      <c r="R3238" s="180" t="s">
        <v>257</v>
      </c>
    </row>
    <row r="3239" spans="8:18" x14ac:dyDescent="0.2">
      <c r="H3239" s="180"/>
      <c r="P3239" s="180" t="s">
        <v>257</v>
      </c>
      <c r="R3239" s="180" t="s">
        <v>257</v>
      </c>
    </row>
    <row r="3240" spans="8:18" x14ac:dyDescent="0.2">
      <c r="H3240" s="180"/>
      <c r="P3240" s="180" t="s">
        <v>257</v>
      </c>
      <c r="R3240" s="180" t="s">
        <v>257</v>
      </c>
    </row>
    <row r="3241" spans="8:18" x14ac:dyDescent="0.2">
      <c r="H3241" s="180"/>
      <c r="P3241" s="180" t="s">
        <v>257</v>
      </c>
      <c r="R3241" s="180" t="s">
        <v>257</v>
      </c>
    </row>
    <row r="3242" spans="8:18" x14ac:dyDescent="0.2">
      <c r="H3242" s="180"/>
      <c r="P3242" s="180" t="s">
        <v>257</v>
      </c>
      <c r="R3242" s="180" t="s">
        <v>257</v>
      </c>
    </row>
    <row r="3243" spans="8:18" x14ac:dyDescent="0.2">
      <c r="H3243" s="180"/>
      <c r="P3243" s="180" t="s">
        <v>257</v>
      </c>
      <c r="R3243" s="180" t="s">
        <v>257</v>
      </c>
    </row>
    <row r="3244" spans="8:18" x14ac:dyDescent="0.2">
      <c r="H3244" s="180"/>
      <c r="P3244" s="180" t="s">
        <v>257</v>
      </c>
      <c r="R3244" s="180" t="s">
        <v>257</v>
      </c>
    </row>
    <row r="3245" spans="8:18" x14ac:dyDescent="0.2">
      <c r="H3245" s="180"/>
      <c r="P3245" s="180" t="s">
        <v>257</v>
      </c>
      <c r="R3245" s="180" t="s">
        <v>257</v>
      </c>
    </row>
    <row r="3246" spans="8:18" x14ac:dyDescent="0.2">
      <c r="H3246" s="180"/>
      <c r="P3246" s="180" t="s">
        <v>257</v>
      </c>
      <c r="R3246" s="180" t="s">
        <v>257</v>
      </c>
    </row>
    <row r="3247" spans="8:18" x14ac:dyDescent="0.2">
      <c r="H3247" s="180"/>
      <c r="P3247" s="180" t="s">
        <v>257</v>
      </c>
      <c r="R3247" s="180" t="s">
        <v>257</v>
      </c>
    </row>
    <row r="3248" spans="8:18" x14ac:dyDescent="0.2">
      <c r="H3248" s="180"/>
      <c r="P3248" s="180" t="s">
        <v>257</v>
      </c>
      <c r="R3248" s="180" t="s">
        <v>257</v>
      </c>
    </row>
    <row r="3249" spans="8:18" x14ac:dyDescent="0.2">
      <c r="H3249" s="180"/>
      <c r="P3249" s="180" t="s">
        <v>257</v>
      </c>
      <c r="R3249" s="180" t="s">
        <v>257</v>
      </c>
    </row>
    <row r="3250" spans="8:18" x14ac:dyDescent="0.2">
      <c r="H3250" s="180"/>
      <c r="P3250" s="180" t="s">
        <v>257</v>
      </c>
      <c r="R3250" s="180" t="s">
        <v>257</v>
      </c>
    </row>
    <row r="3251" spans="8:18" x14ac:dyDescent="0.2">
      <c r="H3251" s="180"/>
      <c r="P3251" s="180" t="s">
        <v>257</v>
      </c>
      <c r="R3251" s="180" t="s">
        <v>257</v>
      </c>
    </row>
    <row r="3252" spans="8:18" x14ac:dyDescent="0.2">
      <c r="H3252" s="180"/>
      <c r="P3252" s="180" t="s">
        <v>257</v>
      </c>
      <c r="R3252" s="180" t="s">
        <v>257</v>
      </c>
    </row>
    <row r="3253" spans="8:18" x14ac:dyDescent="0.2">
      <c r="H3253" s="180"/>
      <c r="P3253" s="180" t="s">
        <v>257</v>
      </c>
      <c r="R3253" s="180" t="s">
        <v>257</v>
      </c>
    </row>
    <row r="3254" spans="8:18" x14ac:dyDescent="0.2">
      <c r="H3254" s="180"/>
      <c r="P3254" s="180" t="s">
        <v>257</v>
      </c>
      <c r="R3254" s="180" t="s">
        <v>257</v>
      </c>
    </row>
    <row r="3255" spans="8:18" x14ac:dyDescent="0.2">
      <c r="H3255" s="180"/>
      <c r="P3255" s="180" t="s">
        <v>257</v>
      </c>
      <c r="R3255" s="180" t="s">
        <v>257</v>
      </c>
    </row>
    <row r="3256" spans="8:18" x14ac:dyDescent="0.2">
      <c r="H3256" s="180"/>
      <c r="P3256" s="180" t="s">
        <v>257</v>
      </c>
      <c r="R3256" s="180" t="s">
        <v>257</v>
      </c>
    </row>
    <row r="3257" spans="8:18" x14ac:dyDescent="0.2">
      <c r="H3257" s="180"/>
      <c r="P3257" s="180" t="s">
        <v>257</v>
      </c>
      <c r="R3257" s="180" t="s">
        <v>257</v>
      </c>
    </row>
    <row r="3258" spans="8:18" x14ac:dyDescent="0.2">
      <c r="H3258" s="180"/>
      <c r="P3258" s="180" t="s">
        <v>257</v>
      </c>
      <c r="R3258" s="180" t="s">
        <v>257</v>
      </c>
    </row>
    <row r="3259" spans="8:18" x14ac:dyDescent="0.2">
      <c r="H3259" s="180"/>
      <c r="P3259" s="180" t="s">
        <v>257</v>
      </c>
      <c r="R3259" s="180" t="s">
        <v>257</v>
      </c>
    </row>
    <row r="3260" spans="8:18" x14ac:dyDescent="0.2">
      <c r="H3260" s="180"/>
      <c r="P3260" s="180" t="s">
        <v>257</v>
      </c>
      <c r="R3260" s="180" t="s">
        <v>257</v>
      </c>
    </row>
    <row r="3261" spans="8:18" x14ac:dyDescent="0.2">
      <c r="H3261" s="180"/>
      <c r="P3261" s="180" t="s">
        <v>257</v>
      </c>
      <c r="R3261" s="180" t="s">
        <v>257</v>
      </c>
    </row>
    <row r="3262" spans="8:18" x14ac:dyDescent="0.2">
      <c r="H3262" s="180"/>
      <c r="P3262" s="180" t="s">
        <v>257</v>
      </c>
      <c r="R3262" s="180" t="s">
        <v>257</v>
      </c>
    </row>
    <row r="3263" spans="8:18" x14ac:dyDescent="0.2">
      <c r="H3263" s="180"/>
      <c r="P3263" s="180" t="s">
        <v>257</v>
      </c>
      <c r="R3263" s="180" t="s">
        <v>257</v>
      </c>
    </row>
    <row r="3264" spans="8:18" x14ac:dyDescent="0.2">
      <c r="H3264" s="180"/>
      <c r="P3264" s="180" t="s">
        <v>257</v>
      </c>
      <c r="R3264" s="180" t="s">
        <v>257</v>
      </c>
    </row>
    <row r="3265" spans="8:18" x14ac:dyDescent="0.2">
      <c r="H3265" s="180"/>
      <c r="P3265" s="180" t="s">
        <v>257</v>
      </c>
      <c r="R3265" s="180" t="s">
        <v>257</v>
      </c>
    </row>
    <row r="3266" spans="8:18" x14ac:dyDescent="0.2">
      <c r="H3266" s="180"/>
      <c r="P3266" s="180" t="s">
        <v>257</v>
      </c>
      <c r="R3266" s="180" t="s">
        <v>257</v>
      </c>
    </row>
    <row r="3267" spans="8:18" x14ac:dyDescent="0.2">
      <c r="H3267" s="180"/>
      <c r="P3267" s="180" t="s">
        <v>257</v>
      </c>
      <c r="R3267" s="180" t="s">
        <v>257</v>
      </c>
    </row>
    <row r="3268" spans="8:18" x14ac:dyDescent="0.2">
      <c r="H3268" s="180"/>
      <c r="P3268" s="180" t="s">
        <v>257</v>
      </c>
      <c r="R3268" s="180" t="s">
        <v>257</v>
      </c>
    </row>
    <row r="3269" spans="8:18" x14ac:dyDescent="0.2">
      <c r="H3269" s="180"/>
      <c r="P3269" s="180" t="s">
        <v>257</v>
      </c>
      <c r="R3269" s="180" t="s">
        <v>257</v>
      </c>
    </row>
    <row r="3270" spans="8:18" x14ac:dyDescent="0.2">
      <c r="H3270" s="180"/>
      <c r="P3270" s="180" t="s">
        <v>257</v>
      </c>
      <c r="R3270" s="180" t="s">
        <v>257</v>
      </c>
    </row>
    <row r="3271" spans="8:18" x14ac:dyDescent="0.2">
      <c r="H3271" s="180"/>
      <c r="P3271" s="180" t="s">
        <v>257</v>
      </c>
      <c r="R3271" s="180" t="s">
        <v>257</v>
      </c>
    </row>
    <row r="3272" spans="8:18" x14ac:dyDescent="0.2">
      <c r="H3272" s="180"/>
      <c r="P3272" s="180" t="s">
        <v>257</v>
      </c>
      <c r="R3272" s="180" t="s">
        <v>257</v>
      </c>
    </row>
    <row r="3273" spans="8:18" x14ac:dyDescent="0.2">
      <c r="H3273" s="180"/>
      <c r="P3273" s="180" t="s">
        <v>257</v>
      </c>
      <c r="R3273" s="180" t="s">
        <v>257</v>
      </c>
    </row>
    <row r="3274" spans="8:18" x14ac:dyDescent="0.2">
      <c r="H3274" s="180"/>
      <c r="P3274" s="180" t="s">
        <v>257</v>
      </c>
      <c r="R3274" s="180" t="s">
        <v>257</v>
      </c>
    </row>
    <row r="3275" spans="8:18" x14ac:dyDescent="0.2">
      <c r="H3275" s="180"/>
      <c r="P3275" s="180" t="s">
        <v>257</v>
      </c>
      <c r="R3275" s="180" t="s">
        <v>257</v>
      </c>
    </row>
    <row r="3276" spans="8:18" x14ac:dyDescent="0.2">
      <c r="H3276" s="180"/>
      <c r="P3276" s="180" t="s">
        <v>257</v>
      </c>
      <c r="R3276" s="180" t="s">
        <v>257</v>
      </c>
    </row>
    <row r="3277" spans="8:18" x14ac:dyDescent="0.2">
      <c r="H3277" s="180"/>
      <c r="P3277" s="180" t="s">
        <v>257</v>
      </c>
      <c r="R3277" s="180" t="s">
        <v>257</v>
      </c>
    </row>
    <row r="3278" spans="8:18" x14ac:dyDescent="0.2">
      <c r="H3278" s="180"/>
      <c r="P3278" s="180" t="s">
        <v>257</v>
      </c>
      <c r="R3278" s="180" t="s">
        <v>257</v>
      </c>
    </row>
    <row r="3279" spans="8:18" x14ac:dyDescent="0.2">
      <c r="H3279" s="180"/>
      <c r="P3279" s="180" t="s">
        <v>257</v>
      </c>
      <c r="R3279" s="180" t="s">
        <v>257</v>
      </c>
    </row>
    <row r="3280" spans="8:18" x14ac:dyDescent="0.2">
      <c r="H3280" s="180"/>
      <c r="P3280" s="180" t="s">
        <v>257</v>
      </c>
      <c r="R3280" s="180" t="s">
        <v>257</v>
      </c>
    </row>
    <row r="3281" spans="8:18" x14ac:dyDescent="0.2">
      <c r="H3281" s="180"/>
      <c r="P3281" s="180" t="s">
        <v>257</v>
      </c>
      <c r="R3281" s="180" t="s">
        <v>257</v>
      </c>
    </row>
    <row r="3282" spans="8:18" x14ac:dyDescent="0.2">
      <c r="H3282" s="180"/>
      <c r="P3282" s="180" t="s">
        <v>257</v>
      </c>
      <c r="R3282" s="180" t="s">
        <v>257</v>
      </c>
    </row>
    <row r="3283" spans="8:18" x14ac:dyDescent="0.2">
      <c r="H3283" s="180"/>
      <c r="P3283" s="180" t="s">
        <v>257</v>
      </c>
      <c r="R3283" s="180" t="s">
        <v>257</v>
      </c>
    </row>
    <row r="3284" spans="8:18" x14ac:dyDescent="0.2">
      <c r="H3284" s="180"/>
      <c r="P3284" s="180" t="s">
        <v>257</v>
      </c>
      <c r="R3284" s="180" t="s">
        <v>257</v>
      </c>
    </row>
    <row r="3285" spans="8:18" x14ac:dyDescent="0.2">
      <c r="H3285" s="180"/>
      <c r="P3285" s="180" t="s">
        <v>257</v>
      </c>
      <c r="R3285" s="180" t="s">
        <v>257</v>
      </c>
    </row>
    <row r="3286" spans="8:18" x14ac:dyDescent="0.2">
      <c r="H3286" s="180"/>
      <c r="P3286" s="180" t="s">
        <v>257</v>
      </c>
      <c r="R3286" s="180" t="s">
        <v>257</v>
      </c>
    </row>
    <row r="3287" spans="8:18" x14ac:dyDescent="0.2">
      <c r="H3287" s="180"/>
      <c r="P3287" s="180" t="s">
        <v>257</v>
      </c>
      <c r="R3287" s="180" t="s">
        <v>257</v>
      </c>
    </row>
    <row r="3288" spans="8:18" x14ac:dyDescent="0.2">
      <c r="H3288" s="180"/>
      <c r="P3288" s="180" t="s">
        <v>257</v>
      </c>
      <c r="R3288" s="180" t="s">
        <v>257</v>
      </c>
    </row>
    <row r="3289" spans="8:18" x14ac:dyDescent="0.2">
      <c r="H3289" s="180"/>
      <c r="P3289" s="180" t="s">
        <v>257</v>
      </c>
      <c r="R3289" s="180" t="s">
        <v>257</v>
      </c>
    </row>
    <row r="3290" spans="8:18" x14ac:dyDescent="0.2">
      <c r="H3290" s="180"/>
      <c r="P3290" s="180" t="s">
        <v>257</v>
      </c>
      <c r="R3290" s="180" t="s">
        <v>257</v>
      </c>
    </row>
    <row r="3291" spans="8:18" x14ac:dyDescent="0.2">
      <c r="H3291" s="180"/>
      <c r="P3291" s="180" t="s">
        <v>257</v>
      </c>
      <c r="R3291" s="180" t="s">
        <v>257</v>
      </c>
    </row>
    <row r="3292" spans="8:18" x14ac:dyDescent="0.2">
      <c r="H3292" s="180"/>
      <c r="P3292" s="180" t="s">
        <v>257</v>
      </c>
      <c r="R3292" s="180" t="s">
        <v>257</v>
      </c>
    </row>
    <row r="3293" spans="8:18" x14ac:dyDescent="0.2">
      <c r="H3293" s="180"/>
      <c r="P3293" s="180" t="s">
        <v>257</v>
      </c>
      <c r="R3293" s="180" t="s">
        <v>257</v>
      </c>
    </row>
    <row r="3294" spans="8:18" x14ac:dyDescent="0.2">
      <c r="H3294" s="180"/>
      <c r="P3294" s="180" t="s">
        <v>257</v>
      </c>
      <c r="R3294" s="180" t="s">
        <v>257</v>
      </c>
    </row>
    <row r="3295" spans="8:18" x14ac:dyDescent="0.2">
      <c r="H3295" s="180"/>
      <c r="P3295" s="180" t="s">
        <v>257</v>
      </c>
      <c r="R3295" s="180" t="s">
        <v>257</v>
      </c>
    </row>
    <row r="3296" spans="8:18" x14ac:dyDescent="0.2">
      <c r="H3296" s="180"/>
      <c r="P3296" s="180" t="s">
        <v>257</v>
      </c>
      <c r="R3296" s="180" t="s">
        <v>257</v>
      </c>
    </row>
    <row r="3297" spans="8:18" x14ac:dyDescent="0.2">
      <c r="H3297" s="180"/>
      <c r="P3297" s="180" t="s">
        <v>257</v>
      </c>
      <c r="R3297" s="180" t="s">
        <v>257</v>
      </c>
    </row>
    <row r="3298" spans="8:18" x14ac:dyDescent="0.2">
      <c r="H3298" s="180"/>
      <c r="P3298" s="180" t="s">
        <v>257</v>
      </c>
      <c r="R3298" s="180" t="s">
        <v>257</v>
      </c>
    </row>
    <row r="3299" spans="8:18" x14ac:dyDescent="0.2">
      <c r="H3299" s="180"/>
      <c r="P3299" s="180" t="s">
        <v>257</v>
      </c>
      <c r="R3299" s="180" t="s">
        <v>257</v>
      </c>
    </row>
    <row r="3300" spans="8:18" x14ac:dyDescent="0.2">
      <c r="H3300" s="180"/>
      <c r="P3300" s="180" t="s">
        <v>257</v>
      </c>
      <c r="R3300" s="180" t="s">
        <v>257</v>
      </c>
    </row>
    <row r="3301" spans="8:18" x14ac:dyDescent="0.2">
      <c r="H3301" s="180"/>
      <c r="P3301" s="180" t="s">
        <v>257</v>
      </c>
      <c r="R3301" s="180" t="s">
        <v>257</v>
      </c>
    </row>
    <row r="3302" spans="8:18" x14ac:dyDescent="0.2">
      <c r="H3302" s="180"/>
      <c r="P3302" s="180" t="s">
        <v>257</v>
      </c>
      <c r="R3302" s="180" t="s">
        <v>257</v>
      </c>
    </row>
    <row r="3303" spans="8:18" x14ac:dyDescent="0.2">
      <c r="H3303" s="180"/>
      <c r="P3303" s="180" t="s">
        <v>257</v>
      </c>
      <c r="R3303" s="180" t="s">
        <v>257</v>
      </c>
    </row>
    <row r="3304" spans="8:18" x14ac:dyDescent="0.2">
      <c r="H3304" s="180"/>
      <c r="P3304" s="180" t="s">
        <v>257</v>
      </c>
      <c r="R3304" s="180" t="s">
        <v>257</v>
      </c>
    </row>
    <row r="3305" spans="8:18" x14ac:dyDescent="0.2">
      <c r="H3305" s="180"/>
      <c r="P3305" s="180" t="s">
        <v>257</v>
      </c>
      <c r="R3305" s="180" t="s">
        <v>257</v>
      </c>
    </row>
    <row r="3306" spans="8:18" x14ac:dyDescent="0.2">
      <c r="H3306" s="180"/>
      <c r="P3306" s="180" t="s">
        <v>257</v>
      </c>
      <c r="R3306" s="180" t="s">
        <v>257</v>
      </c>
    </row>
    <row r="3307" spans="8:18" x14ac:dyDescent="0.2">
      <c r="H3307" s="180"/>
      <c r="P3307" s="180" t="s">
        <v>257</v>
      </c>
      <c r="R3307" s="180" t="s">
        <v>257</v>
      </c>
    </row>
    <row r="3308" spans="8:18" x14ac:dyDescent="0.2">
      <c r="H3308" s="180"/>
      <c r="P3308" s="180" t="s">
        <v>257</v>
      </c>
      <c r="R3308" s="180" t="s">
        <v>257</v>
      </c>
    </row>
    <row r="3309" spans="8:18" x14ac:dyDescent="0.2">
      <c r="H3309" s="180"/>
      <c r="P3309" s="180" t="s">
        <v>257</v>
      </c>
      <c r="R3309" s="180" t="s">
        <v>257</v>
      </c>
    </row>
    <row r="3310" spans="8:18" x14ac:dyDescent="0.2">
      <c r="H3310" s="180"/>
      <c r="P3310" s="180" t="s">
        <v>257</v>
      </c>
      <c r="R3310" s="180" t="s">
        <v>257</v>
      </c>
    </row>
    <row r="3311" spans="8:18" x14ac:dyDescent="0.2">
      <c r="H3311" s="180"/>
      <c r="P3311" s="180" t="s">
        <v>257</v>
      </c>
      <c r="R3311" s="180" t="s">
        <v>257</v>
      </c>
    </row>
    <row r="3312" spans="8:18" x14ac:dyDescent="0.2">
      <c r="H3312" s="180"/>
      <c r="P3312" s="180" t="s">
        <v>257</v>
      </c>
      <c r="R3312" s="180" t="s">
        <v>257</v>
      </c>
    </row>
    <row r="3313" spans="8:18" x14ac:dyDescent="0.2">
      <c r="H3313" s="180"/>
      <c r="P3313" s="180" t="s">
        <v>257</v>
      </c>
      <c r="R3313" s="180" t="s">
        <v>257</v>
      </c>
    </row>
    <row r="3314" spans="8:18" x14ac:dyDescent="0.2">
      <c r="H3314" s="180"/>
      <c r="P3314" s="180" t="s">
        <v>257</v>
      </c>
      <c r="R3314" s="180" t="s">
        <v>257</v>
      </c>
    </row>
    <row r="3315" spans="8:18" x14ac:dyDescent="0.2">
      <c r="H3315" s="180"/>
      <c r="P3315" s="180" t="s">
        <v>257</v>
      </c>
      <c r="R3315" s="180" t="s">
        <v>257</v>
      </c>
    </row>
    <row r="3316" spans="8:18" x14ac:dyDescent="0.2">
      <c r="H3316" s="180"/>
      <c r="P3316" s="180" t="s">
        <v>257</v>
      </c>
      <c r="R3316" s="180" t="s">
        <v>257</v>
      </c>
    </row>
    <row r="3317" spans="8:18" x14ac:dyDescent="0.2">
      <c r="H3317" s="180"/>
      <c r="P3317" s="180" t="s">
        <v>257</v>
      </c>
      <c r="R3317" s="180" t="s">
        <v>257</v>
      </c>
    </row>
    <row r="3318" spans="8:18" x14ac:dyDescent="0.2">
      <c r="H3318" s="180"/>
      <c r="P3318" s="180" t="s">
        <v>257</v>
      </c>
      <c r="R3318" s="180" t="s">
        <v>257</v>
      </c>
    </row>
    <row r="3319" spans="8:18" x14ac:dyDescent="0.2">
      <c r="H3319" s="180"/>
      <c r="P3319" s="180" t="s">
        <v>257</v>
      </c>
      <c r="R3319" s="180" t="s">
        <v>257</v>
      </c>
    </row>
    <row r="3320" spans="8:18" x14ac:dyDescent="0.2">
      <c r="H3320" s="180"/>
      <c r="P3320" s="180" t="s">
        <v>257</v>
      </c>
      <c r="R3320" s="180" t="s">
        <v>257</v>
      </c>
    </row>
    <row r="3321" spans="8:18" x14ac:dyDescent="0.2">
      <c r="H3321" s="180"/>
      <c r="P3321" s="180" t="s">
        <v>257</v>
      </c>
      <c r="R3321" s="180" t="s">
        <v>257</v>
      </c>
    </row>
    <row r="3322" spans="8:18" x14ac:dyDescent="0.2">
      <c r="H3322" s="180"/>
      <c r="P3322" s="180" t="s">
        <v>257</v>
      </c>
      <c r="R3322" s="180" t="s">
        <v>257</v>
      </c>
    </row>
    <row r="3323" spans="8:18" x14ac:dyDescent="0.2">
      <c r="H3323" s="180"/>
      <c r="P3323" s="180" t="s">
        <v>257</v>
      </c>
      <c r="R3323" s="180" t="s">
        <v>257</v>
      </c>
    </row>
    <row r="3324" spans="8:18" x14ac:dyDescent="0.2">
      <c r="H3324" s="180"/>
      <c r="P3324" s="180" t="s">
        <v>257</v>
      </c>
      <c r="R3324" s="180" t="s">
        <v>257</v>
      </c>
    </row>
    <row r="3325" spans="8:18" x14ac:dyDescent="0.2">
      <c r="H3325" s="180"/>
      <c r="P3325" s="180" t="s">
        <v>257</v>
      </c>
      <c r="R3325" s="180" t="s">
        <v>257</v>
      </c>
    </row>
    <row r="3326" spans="8:18" x14ac:dyDescent="0.2">
      <c r="H3326" s="180"/>
      <c r="P3326" s="180" t="s">
        <v>257</v>
      </c>
      <c r="R3326" s="180" t="s">
        <v>257</v>
      </c>
    </row>
    <row r="3327" spans="8:18" x14ac:dyDescent="0.2">
      <c r="H3327" s="180"/>
      <c r="P3327" s="180" t="s">
        <v>257</v>
      </c>
      <c r="R3327" s="180" t="s">
        <v>257</v>
      </c>
    </row>
    <row r="3328" spans="8:18" x14ac:dyDescent="0.2">
      <c r="H3328" s="180"/>
      <c r="P3328" s="180" t="s">
        <v>257</v>
      </c>
      <c r="R3328" s="180" t="s">
        <v>257</v>
      </c>
    </row>
    <row r="3329" spans="8:18" x14ac:dyDescent="0.2">
      <c r="H3329" s="180"/>
      <c r="P3329" s="180" t="s">
        <v>257</v>
      </c>
      <c r="R3329" s="180" t="s">
        <v>257</v>
      </c>
    </row>
    <row r="3330" spans="8:18" x14ac:dyDescent="0.2">
      <c r="H3330" s="180"/>
      <c r="P3330" s="180" t="s">
        <v>257</v>
      </c>
      <c r="R3330" s="180" t="s">
        <v>257</v>
      </c>
    </row>
    <row r="3331" spans="8:18" x14ac:dyDescent="0.2">
      <c r="H3331" s="180"/>
      <c r="P3331" s="180" t="s">
        <v>257</v>
      </c>
      <c r="R3331" s="180" t="s">
        <v>257</v>
      </c>
    </row>
    <row r="3332" spans="8:18" x14ac:dyDescent="0.2">
      <c r="H3332" s="180"/>
      <c r="P3332" s="180" t="s">
        <v>257</v>
      </c>
      <c r="R3332" s="180" t="s">
        <v>257</v>
      </c>
    </row>
    <row r="3333" spans="8:18" x14ac:dyDescent="0.2">
      <c r="H3333" s="180"/>
      <c r="P3333" s="180" t="s">
        <v>257</v>
      </c>
      <c r="R3333" s="180" t="s">
        <v>257</v>
      </c>
    </row>
    <row r="3334" spans="8:18" x14ac:dyDescent="0.2">
      <c r="H3334" s="180"/>
      <c r="P3334" s="180" t="s">
        <v>257</v>
      </c>
      <c r="R3334" s="180" t="s">
        <v>257</v>
      </c>
    </row>
    <row r="3335" spans="8:18" x14ac:dyDescent="0.2">
      <c r="H3335" s="180"/>
      <c r="P3335" s="180" t="s">
        <v>257</v>
      </c>
      <c r="R3335" s="180" t="s">
        <v>257</v>
      </c>
    </row>
    <row r="3336" spans="8:18" x14ac:dyDescent="0.2">
      <c r="H3336" s="180"/>
      <c r="P3336" s="180" t="s">
        <v>257</v>
      </c>
      <c r="R3336" s="180" t="s">
        <v>257</v>
      </c>
    </row>
    <row r="3337" spans="8:18" x14ac:dyDescent="0.2">
      <c r="H3337" s="180"/>
      <c r="P3337" s="180" t="s">
        <v>257</v>
      </c>
      <c r="R3337" s="180" t="s">
        <v>257</v>
      </c>
    </row>
    <row r="3338" spans="8:18" x14ac:dyDescent="0.2">
      <c r="H3338" s="180"/>
      <c r="P3338" s="180" t="s">
        <v>257</v>
      </c>
      <c r="R3338" s="180" t="s">
        <v>257</v>
      </c>
    </row>
    <row r="3339" spans="8:18" x14ac:dyDescent="0.2">
      <c r="H3339" s="180"/>
      <c r="P3339" s="180" t="s">
        <v>257</v>
      </c>
      <c r="R3339" s="180" t="s">
        <v>257</v>
      </c>
    </row>
    <row r="3340" spans="8:18" x14ac:dyDescent="0.2">
      <c r="H3340" s="180"/>
      <c r="P3340" s="180" t="s">
        <v>257</v>
      </c>
      <c r="R3340" s="180" t="s">
        <v>257</v>
      </c>
    </row>
    <row r="3341" spans="8:18" x14ac:dyDescent="0.2">
      <c r="H3341" s="180"/>
      <c r="P3341" s="180" t="s">
        <v>257</v>
      </c>
      <c r="R3341" s="180" t="s">
        <v>257</v>
      </c>
    </row>
    <row r="3342" spans="8:18" x14ac:dyDescent="0.2">
      <c r="H3342" s="180"/>
      <c r="P3342" s="180" t="s">
        <v>257</v>
      </c>
      <c r="R3342" s="180" t="s">
        <v>257</v>
      </c>
    </row>
    <row r="3343" spans="8:18" x14ac:dyDescent="0.2">
      <c r="H3343" s="180"/>
      <c r="P3343" s="180" t="s">
        <v>257</v>
      </c>
      <c r="R3343" s="180" t="s">
        <v>257</v>
      </c>
    </row>
    <row r="3344" spans="8:18" x14ac:dyDescent="0.2">
      <c r="H3344" s="180"/>
      <c r="P3344" s="180" t="s">
        <v>257</v>
      </c>
      <c r="R3344" s="180" t="s">
        <v>257</v>
      </c>
    </row>
    <row r="3345" spans="8:18" x14ac:dyDescent="0.2">
      <c r="H3345" s="180"/>
      <c r="P3345" s="180" t="s">
        <v>257</v>
      </c>
      <c r="R3345" s="180" t="s">
        <v>257</v>
      </c>
    </row>
    <row r="3346" spans="8:18" x14ac:dyDescent="0.2">
      <c r="H3346" s="180"/>
      <c r="P3346" s="180" t="s">
        <v>257</v>
      </c>
      <c r="R3346" s="180" t="s">
        <v>257</v>
      </c>
    </row>
    <row r="3347" spans="8:18" x14ac:dyDescent="0.2">
      <c r="H3347" s="180"/>
      <c r="P3347" s="180" t="s">
        <v>257</v>
      </c>
      <c r="R3347" s="180" t="s">
        <v>257</v>
      </c>
    </row>
    <row r="3348" spans="8:18" x14ac:dyDescent="0.2">
      <c r="H3348" s="180"/>
      <c r="P3348" s="180" t="s">
        <v>257</v>
      </c>
      <c r="R3348" s="180" t="s">
        <v>257</v>
      </c>
    </row>
    <row r="3349" spans="8:18" x14ac:dyDescent="0.2">
      <c r="H3349" s="180"/>
      <c r="P3349" s="180" t="s">
        <v>257</v>
      </c>
      <c r="R3349" s="180" t="s">
        <v>257</v>
      </c>
    </row>
    <row r="3350" spans="8:18" x14ac:dyDescent="0.2">
      <c r="H3350" s="180"/>
      <c r="P3350" s="180" t="s">
        <v>257</v>
      </c>
      <c r="R3350" s="180" t="s">
        <v>257</v>
      </c>
    </row>
    <row r="3351" spans="8:18" x14ac:dyDescent="0.2">
      <c r="H3351" s="180"/>
      <c r="P3351" s="180" t="s">
        <v>257</v>
      </c>
      <c r="R3351" s="180" t="s">
        <v>257</v>
      </c>
    </row>
    <row r="3352" spans="8:18" x14ac:dyDescent="0.2">
      <c r="H3352" s="180"/>
      <c r="P3352" s="180" t="s">
        <v>257</v>
      </c>
      <c r="R3352" s="180" t="s">
        <v>257</v>
      </c>
    </row>
    <row r="3353" spans="8:18" x14ac:dyDescent="0.2">
      <c r="H3353" s="180"/>
      <c r="P3353" s="180" t="s">
        <v>257</v>
      </c>
      <c r="R3353" s="180" t="s">
        <v>257</v>
      </c>
    </row>
    <row r="3354" spans="8:18" x14ac:dyDescent="0.2">
      <c r="H3354" s="180"/>
      <c r="P3354" s="180" t="s">
        <v>257</v>
      </c>
      <c r="R3354" s="180" t="s">
        <v>257</v>
      </c>
    </row>
    <row r="3355" spans="8:18" x14ac:dyDescent="0.2">
      <c r="H3355" s="180"/>
      <c r="P3355" s="180" t="s">
        <v>257</v>
      </c>
      <c r="R3355" s="180" t="s">
        <v>257</v>
      </c>
    </row>
    <row r="3356" spans="8:18" x14ac:dyDescent="0.2">
      <c r="H3356" s="180"/>
      <c r="P3356" s="180" t="s">
        <v>257</v>
      </c>
      <c r="R3356" s="180" t="s">
        <v>257</v>
      </c>
    </row>
    <row r="3357" spans="8:18" x14ac:dyDescent="0.2">
      <c r="H3357" s="180"/>
      <c r="P3357" s="180" t="s">
        <v>257</v>
      </c>
      <c r="R3357" s="180" t="s">
        <v>257</v>
      </c>
    </row>
    <row r="3358" spans="8:18" x14ac:dyDescent="0.2">
      <c r="H3358" s="180"/>
      <c r="P3358" s="180" t="s">
        <v>257</v>
      </c>
      <c r="R3358" s="180" t="s">
        <v>257</v>
      </c>
    </row>
    <row r="3359" spans="8:18" x14ac:dyDescent="0.2">
      <c r="H3359" s="180"/>
      <c r="P3359" s="180" t="s">
        <v>257</v>
      </c>
      <c r="R3359" s="180" t="s">
        <v>257</v>
      </c>
    </row>
    <row r="3360" spans="8:18" x14ac:dyDescent="0.2">
      <c r="H3360" s="180"/>
      <c r="P3360" s="180" t="s">
        <v>257</v>
      </c>
      <c r="R3360" s="180" t="s">
        <v>257</v>
      </c>
    </row>
    <row r="3361" spans="8:18" x14ac:dyDescent="0.2">
      <c r="H3361" s="180"/>
      <c r="P3361" s="180" t="s">
        <v>257</v>
      </c>
      <c r="R3361" s="180" t="s">
        <v>257</v>
      </c>
    </row>
    <row r="3362" spans="8:18" x14ac:dyDescent="0.2">
      <c r="H3362" s="180"/>
      <c r="P3362" s="180" t="s">
        <v>257</v>
      </c>
      <c r="R3362" s="180" t="s">
        <v>257</v>
      </c>
    </row>
    <row r="3363" spans="8:18" x14ac:dyDescent="0.2">
      <c r="H3363" s="180"/>
      <c r="P3363" s="180" t="s">
        <v>257</v>
      </c>
      <c r="R3363" s="180" t="s">
        <v>257</v>
      </c>
    </row>
    <row r="3364" spans="8:18" x14ac:dyDescent="0.2">
      <c r="H3364" s="180"/>
      <c r="P3364" s="180" t="s">
        <v>257</v>
      </c>
      <c r="R3364" s="180" t="s">
        <v>257</v>
      </c>
    </row>
    <row r="3365" spans="8:18" x14ac:dyDescent="0.2">
      <c r="H3365" s="180"/>
      <c r="P3365" s="180" t="s">
        <v>257</v>
      </c>
      <c r="R3365" s="180" t="s">
        <v>257</v>
      </c>
    </row>
    <row r="3366" spans="8:18" x14ac:dyDescent="0.2">
      <c r="H3366" s="180"/>
      <c r="P3366" s="180" t="s">
        <v>257</v>
      </c>
      <c r="R3366" s="180" t="s">
        <v>257</v>
      </c>
    </row>
    <row r="3367" spans="8:18" x14ac:dyDescent="0.2">
      <c r="H3367" s="180"/>
      <c r="P3367" s="180" t="s">
        <v>257</v>
      </c>
      <c r="R3367" s="180" t="s">
        <v>257</v>
      </c>
    </row>
    <row r="3368" spans="8:18" x14ac:dyDescent="0.2">
      <c r="H3368" s="180"/>
      <c r="P3368" s="180" t="s">
        <v>257</v>
      </c>
      <c r="R3368" s="180" t="s">
        <v>257</v>
      </c>
    </row>
    <row r="3369" spans="8:18" x14ac:dyDescent="0.2">
      <c r="H3369" s="180"/>
      <c r="P3369" s="180" t="s">
        <v>257</v>
      </c>
      <c r="R3369" s="180" t="s">
        <v>257</v>
      </c>
    </row>
    <row r="3370" spans="8:18" x14ac:dyDescent="0.2">
      <c r="H3370" s="180"/>
      <c r="P3370" s="180" t="s">
        <v>257</v>
      </c>
      <c r="R3370" s="180" t="s">
        <v>257</v>
      </c>
    </row>
    <row r="3371" spans="8:18" x14ac:dyDescent="0.2">
      <c r="H3371" s="180"/>
      <c r="P3371" s="180" t="s">
        <v>257</v>
      </c>
      <c r="R3371" s="180" t="s">
        <v>257</v>
      </c>
    </row>
    <row r="3372" spans="8:18" x14ac:dyDescent="0.2">
      <c r="H3372" s="180"/>
      <c r="P3372" s="180" t="s">
        <v>257</v>
      </c>
      <c r="R3372" s="180" t="s">
        <v>257</v>
      </c>
    </row>
    <row r="3373" spans="8:18" x14ac:dyDescent="0.2">
      <c r="H3373" s="180"/>
      <c r="P3373" s="180" t="s">
        <v>257</v>
      </c>
      <c r="R3373" s="180" t="s">
        <v>257</v>
      </c>
    </row>
    <row r="3374" spans="8:18" x14ac:dyDescent="0.2">
      <c r="H3374" s="180"/>
      <c r="P3374" s="180" t="s">
        <v>257</v>
      </c>
      <c r="R3374" s="180" t="s">
        <v>257</v>
      </c>
    </row>
    <row r="3375" spans="8:18" x14ac:dyDescent="0.2">
      <c r="H3375" s="180"/>
      <c r="P3375" s="180" t="s">
        <v>257</v>
      </c>
      <c r="R3375" s="180" t="s">
        <v>257</v>
      </c>
    </row>
    <row r="3376" spans="8:18" x14ac:dyDescent="0.2">
      <c r="H3376" s="180"/>
      <c r="P3376" s="180" t="s">
        <v>257</v>
      </c>
      <c r="R3376" s="180" t="s">
        <v>257</v>
      </c>
    </row>
    <row r="3377" spans="8:18" x14ac:dyDescent="0.2">
      <c r="H3377" s="180"/>
      <c r="P3377" s="180" t="s">
        <v>257</v>
      </c>
      <c r="R3377" s="180" t="s">
        <v>257</v>
      </c>
    </row>
    <row r="3378" spans="8:18" x14ac:dyDescent="0.2">
      <c r="H3378" s="180"/>
      <c r="P3378" s="180" t="s">
        <v>257</v>
      </c>
      <c r="R3378" s="180" t="s">
        <v>257</v>
      </c>
    </row>
    <row r="3379" spans="8:18" x14ac:dyDescent="0.2">
      <c r="H3379" s="180"/>
      <c r="P3379" s="180" t="s">
        <v>257</v>
      </c>
      <c r="R3379" s="180" t="s">
        <v>257</v>
      </c>
    </row>
    <row r="3380" spans="8:18" x14ac:dyDescent="0.2">
      <c r="H3380" s="180"/>
      <c r="P3380" s="180" t="s">
        <v>257</v>
      </c>
      <c r="R3380" s="180" t="s">
        <v>257</v>
      </c>
    </row>
    <row r="3381" spans="8:18" x14ac:dyDescent="0.2">
      <c r="H3381" s="180"/>
      <c r="P3381" s="180" t="s">
        <v>257</v>
      </c>
      <c r="R3381" s="180" t="s">
        <v>257</v>
      </c>
    </row>
    <row r="3382" spans="8:18" x14ac:dyDescent="0.2">
      <c r="H3382" s="180"/>
      <c r="P3382" s="180" t="s">
        <v>257</v>
      </c>
      <c r="R3382" s="180" t="s">
        <v>257</v>
      </c>
    </row>
    <row r="3383" spans="8:18" x14ac:dyDescent="0.2">
      <c r="H3383" s="180"/>
      <c r="P3383" s="180" t="s">
        <v>257</v>
      </c>
      <c r="R3383" s="180" t="s">
        <v>257</v>
      </c>
    </row>
    <row r="3384" spans="8:18" x14ac:dyDescent="0.2">
      <c r="H3384" s="180"/>
      <c r="P3384" s="180" t="s">
        <v>257</v>
      </c>
      <c r="R3384" s="180" t="s">
        <v>257</v>
      </c>
    </row>
    <row r="3385" spans="8:18" x14ac:dyDescent="0.2">
      <c r="H3385" s="180"/>
      <c r="P3385" s="180" t="s">
        <v>257</v>
      </c>
      <c r="R3385" s="180" t="s">
        <v>257</v>
      </c>
    </row>
    <row r="3386" spans="8:18" x14ac:dyDescent="0.2">
      <c r="H3386" s="180"/>
      <c r="P3386" s="180" t="s">
        <v>257</v>
      </c>
      <c r="R3386" s="180" t="s">
        <v>257</v>
      </c>
    </row>
    <row r="3387" spans="8:18" x14ac:dyDescent="0.2">
      <c r="H3387" s="180"/>
      <c r="P3387" s="180" t="s">
        <v>257</v>
      </c>
      <c r="R3387" s="180" t="s">
        <v>257</v>
      </c>
    </row>
    <row r="3388" spans="8:18" x14ac:dyDescent="0.2">
      <c r="H3388" s="180"/>
      <c r="P3388" s="180" t="s">
        <v>257</v>
      </c>
      <c r="R3388" s="180" t="s">
        <v>257</v>
      </c>
    </row>
    <row r="3389" spans="8:18" x14ac:dyDescent="0.2">
      <c r="H3389" s="180"/>
      <c r="P3389" s="180" t="s">
        <v>257</v>
      </c>
      <c r="R3389" s="180" t="s">
        <v>257</v>
      </c>
    </row>
    <row r="3390" spans="8:18" x14ac:dyDescent="0.2">
      <c r="H3390" s="180"/>
      <c r="P3390" s="180" t="s">
        <v>257</v>
      </c>
      <c r="R3390" s="180" t="s">
        <v>257</v>
      </c>
    </row>
    <row r="3391" spans="8:18" x14ac:dyDescent="0.2">
      <c r="H3391" s="180"/>
      <c r="P3391" s="180" t="s">
        <v>257</v>
      </c>
      <c r="R3391" s="180" t="s">
        <v>257</v>
      </c>
    </row>
    <row r="3392" spans="8:18" x14ac:dyDescent="0.2">
      <c r="H3392" s="180"/>
      <c r="P3392" s="180" t="s">
        <v>257</v>
      </c>
      <c r="R3392" s="180" t="s">
        <v>257</v>
      </c>
    </row>
    <row r="3393" spans="8:18" x14ac:dyDescent="0.2">
      <c r="H3393" s="180"/>
      <c r="P3393" s="180" t="s">
        <v>257</v>
      </c>
      <c r="R3393" s="180" t="s">
        <v>257</v>
      </c>
    </row>
    <row r="3394" spans="8:18" x14ac:dyDescent="0.2">
      <c r="H3394" s="180"/>
      <c r="P3394" s="180" t="s">
        <v>257</v>
      </c>
      <c r="R3394" s="180" t="s">
        <v>257</v>
      </c>
    </row>
    <row r="3395" spans="8:18" x14ac:dyDescent="0.2">
      <c r="H3395" s="180"/>
      <c r="P3395" s="180" t="s">
        <v>257</v>
      </c>
      <c r="R3395" s="180" t="s">
        <v>257</v>
      </c>
    </row>
    <row r="3396" spans="8:18" x14ac:dyDescent="0.2">
      <c r="H3396" s="180"/>
      <c r="P3396" s="180" t="s">
        <v>257</v>
      </c>
      <c r="R3396" s="180" t="s">
        <v>257</v>
      </c>
    </row>
    <row r="3397" spans="8:18" x14ac:dyDescent="0.2">
      <c r="H3397" s="180"/>
      <c r="P3397" s="180" t="s">
        <v>257</v>
      </c>
      <c r="R3397" s="180" t="s">
        <v>257</v>
      </c>
    </row>
    <row r="3398" spans="8:18" x14ac:dyDescent="0.2">
      <c r="H3398" s="180"/>
      <c r="P3398" s="180" t="s">
        <v>257</v>
      </c>
      <c r="R3398" s="180" t="s">
        <v>257</v>
      </c>
    </row>
    <row r="3399" spans="8:18" x14ac:dyDescent="0.2">
      <c r="H3399" s="180"/>
      <c r="P3399" s="180" t="s">
        <v>257</v>
      </c>
      <c r="R3399" s="180" t="s">
        <v>257</v>
      </c>
    </row>
    <row r="3400" spans="8:18" x14ac:dyDescent="0.2">
      <c r="H3400" s="180"/>
      <c r="P3400" s="180" t="s">
        <v>257</v>
      </c>
      <c r="R3400" s="180" t="s">
        <v>257</v>
      </c>
    </row>
    <row r="3401" spans="8:18" x14ac:dyDescent="0.2">
      <c r="H3401" s="180"/>
      <c r="P3401" s="180" t="s">
        <v>257</v>
      </c>
      <c r="R3401" s="180" t="s">
        <v>257</v>
      </c>
    </row>
    <row r="3402" spans="8:18" x14ac:dyDescent="0.2">
      <c r="H3402" s="180"/>
      <c r="P3402" s="180" t="s">
        <v>257</v>
      </c>
      <c r="R3402" s="180" t="s">
        <v>257</v>
      </c>
    </row>
    <row r="3403" spans="8:18" x14ac:dyDescent="0.2">
      <c r="H3403" s="180"/>
      <c r="P3403" s="180" t="s">
        <v>257</v>
      </c>
      <c r="R3403" s="180" t="s">
        <v>257</v>
      </c>
    </row>
    <row r="3404" spans="8:18" x14ac:dyDescent="0.2">
      <c r="H3404" s="180"/>
      <c r="P3404" s="180" t="s">
        <v>257</v>
      </c>
      <c r="R3404" s="180" t="s">
        <v>257</v>
      </c>
    </row>
    <row r="3405" spans="8:18" x14ac:dyDescent="0.2">
      <c r="H3405" s="180"/>
      <c r="P3405" s="180" t="s">
        <v>257</v>
      </c>
      <c r="R3405" s="180" t="s">
        <v>257</v>
      </c>
    </row>
    <row r="3406" spans="8:18" x14ac:dyDescent="0.2">
      <c r="H3406" s="180"/>
      <c r="P3406" s="180" t="s">
        <v>257</v>
      </c>
      <c r="R3406" s="180" t="s">
        <v>257</v>
      </c>
    </row>
    <row r="3407" spans="8:18" x14ac:dyDescent="0.2">
      <c r="H3407" s="180"/>
      <c r="P3407" s="180" t="s">
        <v>257</v>
      </c>
      <c r="R3407" s="180" t="s">
        <v>257</v>
      </c>
    </row>
    <row r="3408" spans="8:18" x14ac:dyDescent="0.2">
      <c r="H3408" s="180"/>
      <c r="P3408" s="180" t="s">
        <v>257</v>
      </c>
      <c r="R3408" s="180" t="s">
        <v>257</v>
      </c>
    </row>
    <row r="3409" spans="8:18" x14ac:dyDescent="0.2">
      <c r="H3409" s="180"/>
      <c r="P3409" s="180" t="s">
        <v>257</v>
      </c>
      <c r="R3409" s="180" t="s">
        <v>257</v>
      </c>
    </row>
    <row r="3410" spans="8:18" x14ac:dyDescent="0.2">
      <c r="H3410" s="180"/>
      <c r="P3410" s="180" t="s">
        <v>257</v>
      </c>
      <c r="R3410" s="180" t="s">
        <v>257</v>
      </c>
    </row>
    <row r="3411" spans="8:18" x14ac:dyDescent="0.2">
      <c r="H3411" s="180"/>
      <c r="P3411" s="180" t="s">
        <v>257</v>
      </c>
      <c r="R3411" s="180" t="s">
        <v>257</v>
      </c>
    </row>
    <row r="3412" spans="8:18" x14ac:dyDescent="0.2">
      <c r="H3412" s="180"/>
      <c r="P3412" s="180" t="s">
        <v>257</v>
      </c>
      <c r="R3412" s="180" t="s">
        <v>257</v>
      </c>
    </row>
    <row r="3413" spans="8:18" x14ac:dyDescent="0.2">
      <c r="H3413" s="180"/>
      <c r="P3413" s="180" t="s">
        <v>257</v>
      </c>
      <c r="R3413" s="180" t="s">
        <v>257</v>
      </c>
    </row>
    <row r="3414" spans="8:18" x14ac:dyDescent="0.2">
      <c r="H3414" s="180"/>
      <c r="P3414" s="180" t="s">
        <v>257</v>
      </c>
      <c r="R3414" s="180" t="s">
        <v>257</v>
      </c>
    </row>
    <row r="3415" spans="8:18" x14ac:dyDescent="0.2">
      <c r="H3415" s="180"/>
      <c r="P3415" s="180" t="s">
        <v>257</v>
      </c>
      <c r="R3415" s="180" t="s">
        <v>257</v>
      </c>
    </row>
    <row r="3416" spans="8:18" x14ac:dyDescent="0.2">
      <c r="H3416" s="180"/>
      <c r="P3416" s="180" t="s">
        <v>257</v>
      </c>
      <c r="R3416" s="180" t="s">
        <v>257</v>
      </c>
    </row>
    <row r="3417" spans="8:18" x14ac:dyDescent="0.2">
      <c r="H3417" s="180"/>
      <c r="P3417" s="180" t="s">
        <v>257</v>
      </c>
      <c r="R3417" s="180" t="s">
        <v>257</v>
      </c>
    </row>
    <row r="3418" spans="8:18" x14ac:dyDescent="0.2">
      <c r="H3418" s="180"/>
      <c r="P3418" s="180" t="s">
        <v>257</v>
      </c>
      <c r="R3418" s="180" t="s">
        <v>257</v>
      </c>
    </row>
    <row r="3419" spans="8:18" x14ac:dyDescent="0.2">
      <c r="H3419" s="180"/>
      <c r="P3419" s="180" t="s">
        <v>257</v>
      </c>
      <c r="R3419" s="180" t="s">
        <v>257</v>
      </c>
    </row>
    <row r="3420" spans="8:18" x14ac:dyDescent="0.2">
      <c r="H3420" s="180"/>
      <c r="P3420" s="180" t="s">
        <v>257</v>
      </c>
      <c r="R3420" s="180" t="s">
        <v>257</v>
      </c>
    </row>
    <row r="3421" spans="8:18" x14ac:dyDescent="0.2">
      <c r="H3421" s="180"/>
      <c r="P3421" s="180" t="s">
        <v>257</v>
      </c>
      <c r="R3421" s="180" t="s">
        <v>257</v>
      </c>
    </row>
    <row r="3422" spans="8:18" x14ac:dyDescent="0.2">
      <c r="H3422" s="180"/>
      <c r="P3422" s="180" t="s">
        <v>257</v>
      </c>
      <c r="R3422" s="180" t="s">
        <v>257</v>
      </c>
    </row>
    <row r="3423" spans="8:18" x14ac:dyDescent="0.2">
      <c r="H3423" s="180"/>
      <c r="P3423" s="180" t="s">
        <v>257</v>
      </c>
      <c r="R3423" s="180" t="s">
        <v>257</v>
      </c>
    </row>
    <row r="3424" spans="8:18" x14ac:dyDescent="0.2">
      <c r="H3424" s="180"/>
      <c r="P3424" s="180" t="s">
        <v>257</v>
      </c>
      <c r="R3424" s="180" t="s">
        <v>257</v>
      </c>
    </row>
    <row r="3425" spans="8:18" x14ac:dyDescent="0.2">
      <c r="H3425" s="180"/>
      <c r="P3425" s="180" t="s">
        <v>257</v>
      </c>
      <c r="R3425" s="180" t="s">
        <v>257</v>
      </c>
    </row>
    <row r="3426" spans="8:18" x14ac:dyDescent="0.2">
      <c r="H3426" s="180"/>
      <c r="P3426" s="180" t="s">
        <v>257</v>
      </c>
      <c r="R3426" s="180" t="s">
        <v>257</v>
      </c>
    </row>
    <row r="3427" spans="8:18" x14ac:dyDescent="0.2">
      <c r="H3427" s="180"/>
      <c r="P3427" s="180" t="s">
        <v>257</v>
      </c>
      <c r="R3427" s="180" t="s">
        <v>257</v>
      </c>
    </row>
    <row r="3428" spans="8:18" x14ac:dyDescent="0.2">
      <c r="H3428" s="180"/>
      <c r="P3428" s="180" t="s">
        <v>257</v>
      </c>
      <c r="R3428" s="180" t="s">
        <v>257</v>
      </c>
    </row>
    <row r="3429" spans="8:18" x14ac:dyDescent="0.2">
      <c r="H3429" s="180"/>
      <c r="P3429" s="180" t="s">
        <v>257</v>
      </c>
      <c r="R3429" s="180" t="s">
        <v>257</v>
      </c>
    </row>
    <row r="3430" spans="8:18" x14ac:dyDescent="0.2">
      <c r="H3430" s="180"/>
      <c r="P3430" s="180" t="s">
        <v>257</v>
      </c>
      <c r="R3430" s="180" t="s">
        <v>257</v>
      </c>
    </row>
    <row r="3431" spans="8:18" x14ac:dyDescent="0.2">
      <c r="H3431" s="180"/>
      <c r="P3431" s="180" t="s">
        <v>257</v>
      </c>
      <c r="R3431" s="180" t="s">
        <v>257</v>
      </c>
    </row>
    <row r="3432" spans="8:18" x14ac:dyDescent="0.2">
      <c r="H3432" s="180"/>
      <c r="P3432" s="180" t="s">
        <v>257</v>
      </c>
      <c r="R3432" s="180" t="s">
        <v>257</v>
      </c>
    </row>
    <row r="3433" spans="8:18" x14ac:dyDescent="0.2">
      <c r="H3433" s="180"/>
      <c r="P3433" s="180" t="s">
        <v>257</v>
      </c>
      <c r="R3433" s="180" t="s">
        <v>257</v>
      </c>
    </row>
    <row r="3434" spans="8:18" x14ac:dyDescent="0.2">
      <c r="H3434" s="180"/>
      <c r="P3434" s="180" t="s">
        <v>257</v>
      </c>
      <c r="R3434" s="180" t="s">
        <v>257</v>
      </c>
    </row>
    <row r="3435" spans="8:18" x14ac:dyDescent="0.2">
      <c r="H3435" s="180"/>
      <c r="P3435" s="180" t="s">
        <v>257</v>
      </c>
      <c r="R3435" s="180" t="s">
        <v>257</v>
      </c>
    </row>
    <row r="3436" spans="8:18" x14ac:dyDescent="0.2">
      <c r="H3436" s="180"/>
      <c r="P3436" s="180" t="s">
        <v>257</v>
      </c>
      <c r="R3436" s="180" t="s">
        <v>257</v>
      </c>
    </row>
    <row r="3437" spans="8:18" x14ac:dyDescent="0.2">
      <c r="H3437" s="180"/>
      <c r="P3437" s="180" t="s">
        <v>257</v>
      </c>
      <c r="R3437" s="180" t="s">
        <v>257</v>
      </c>
    </row>
    <row r="3438" spans="8:18" x14ac:dyDescent="0.2">
      <c r="H3438" s="180"/>
      <c r="P3438" s="180" t="s">
        <v>257</v>
      </c>
      <c r="R3438" s="180" t="s">
        <v>257</v>
      </c>
    </row>
    <row r="3439" spans="8:18" x14ac:dyDescent="0.2">
      <c r="H3439" s="180"/>
      <c r="P3439" s="180" t="s">
        <v>257</v>
      </c>
      <c r="R3439" s="180" t="s">
        <v>257</v>
      </c>
    </row>
    <row r="3440" spans="8:18" x14ac:dyDescent="0.2">
      <c r="H3440" s="180"/>
      <c r="P3440" s="180" t="s">
        <v>257</v>
      </c>
      <c r="R3440" s="180" t="s">
        <v>257</v>
      </c>
    </row>
    <row r="3441" spans="8:18" x14ac:dyDescent="0.2">
      <c r="H3441" s="180"/>
      <c r="P3441" s="180" t="s">
        <v>257</v>
      </c>
      <c r="R3441" s="180" t="s">
        <v>257</v>
      </c>
    </row>
    <row r="3442" spans="8:18" x14ac:dyDescent="0.2">
      <c r="H3442" s="180"/>
      <c r="P3442" s="180" t="s">
        <v>257</v>
      </c>
      <c r="R3442" s="180" t="s">
        <v>257</v>
      </c>
    </row>
    <row r="3443" spans="8:18" x14ac:dyDescent="0.2">
      <c r="H3443" s="180"/>
      <c r="P3443" s="180" t="s">
        <v>257</v>
      </c>
      <c r="R3443" s="180" t="s">
        <v>257</v>
      </c>
    </row>
    <row r="3444" spans="8:18" x14ac:dyDescent="0.2">
      <c r="H3444" s="180"/>
      <c r="P3444" s="180" t="s">
        <v>257</v>
      </c>
      <c r="R3444" s="180" t="s">
        <v>257</v>
      </c>
    </row>
    <row r="3445" spans="8:18" x14ac:dyDescent="0.2">
      <c r="H3445" s="180"/>
      <c r="P3445" s="180" t="s">
        <v>257</v>
      </c>
      <c r="R3445" s="180" t="s">
        <v>257</v>
      </c>
    </row>
    <row r="3446" spans="8:18" x14ac:dyDescent="0.2">
      <c r="H3446" s="180"/>
      <c r="P3446" s="180" t="s">
        <v>257</v>
      </c>
      <c r="R3446" s="180" t="s">
        <v>257</v>
      </c>
    </row>
    <row r="3447" spans="8:18" x14ac:dyDescent="0.2">
      <c r="H3447" s="180"/>
      <c r="P3447" s="180" t="s">
        <v>257</v>
      </c>
      <c r="R3447" s="180" t="s">
        <v>257</v>
      </c>
    </row>
    <row r="3448" spans="8:18" x14ac:dyDescent="0.2">
      <c r="H3448" s="180"/>
      <c r="P3448" s="180" t="s">
        <v>257</v>
      </c>
      <c r="R3448" s="180" t="s">
        <v>257</v>
      </c>
    </row>
    <row r="3449" spans="8:18" x14ac:dyDescent="0.2">
      <c r="H3449" s="180"/>
      <c r="P3449" s="180" t="s">
        <v>257</v>
      </c>
      <c r="R3449" s="180" t="s">
        <v>257</v>
      </c>
    </row>
    <row r="3450" spans="8:18" x14ac:dyDescent="0.2">
      <c r="H3450" s="180"/>
      <c r="P3450" s="180" t="s">
        <v>257</v>
      </c>
      <c r="R3450" s="180" t="s">
        <v>257</v>
      </c>
    </row>
    <row r="3451" spans="8:18" x14ac:dyDescent="0.2">
      <c r="H3451" s="180"/>
      <c r="P3451" s="180" t="s">
        <v>257</v>
      </c>
      <c r="R3451" s="180" t="s">
        <v>257</v>
      </c>
    </row>
    <row r="3452" spans="8:18" x14ac:dyDescent="0.2">
      <c r="H3452" s="180"/>
      <c r="P3452" s="180" t="s">
        <v>257</v>
      </c>
      <c r="R3452" s="180" t="s">
        <v>257</v>
      </c>
    </row>
    <row r="3453" spans="8:18" x14ac:dyDescent="0.2">
      <c r="H3453" s="180"/>
      <c r="P3453" s="180" t="s">
        <v>257</v>
      </c>
      <c r="R3453" s="180" t="s">
        <v>257</v>
      </c>
    </row>
    <row r="3454" spans="8:18" x14ac:dyDescent="0.2">
      <c r="H3454" s="180"/>
      <c r="P3454" s="180" t="s">
        <v>257</v>
      </c>
      <c r="R3454" s="180" t="s">
        <v>257</v>
      </c>
    </row>
    <row r="3455" spans="8:18" x14ac:dyDescent="0.2">
      <c r="H3455" s="180"/>
      <c r="P3455" s="180" t="s">
        <v>257</v>
      </c>
      <c r="R3455" s="180" t="s">
        <v>257</v>
      </c>
    </row>
    <row r="3456" spans="8:18" x14ac:dyDescent="0.2">
      <c r="H3456" s="180"/>
      <c r="P3456" s="180" t="s">
        <v>257</v>
      </c>
      <c r="R3456" s="180" t="s">
        <v>257</v>
      </c>
    </row>
    <row r="3457" spans="8:18" x14ac:dyDescent="0.2">
      <c r="H3457" s="180"/>
      <c r="P3457" s="180" t="s">
        <v>257</v>
      </c>
      <c r="R3457" s="180" t="s">
        <v>257</v>
      </c>
    </row>
    <row r="3458" spans="8:18" x14ac:dyDescent="0.2">
      <c r="H3458" s="180"/>
      <c r="P3458" s="180" t="s">
        <v>257</v>
      </c>
      <c r="R3458" s="180" t="s">
        <v>257</v>
      </c>
    </row>
    <row r="3459" spans="8:18" x14ac:dyDescent="0.2">
      <c r="H3459" s="180"/>
      <c r="P3459" s="180" t="s">
        <v>257</v>
      </c>
      <c r="R3459" s="180" t="s">
        <v>257</v>
      </c>
    </row>
    <row r="3460" spans="8:18" x14ac:dyDescent="0.2">
      <c r="H3460" s="180"/>
      <c r="P3460" s="180" t="s">
        <v>257</v>
      </c>
      <c r="R3460" s="180" t="s">
        <v>257</v>
      </c>
    </row>
    <row r="3461" spans="8:18" x14ac:dyDescent="0.2">
      <c r="H3461" s="180"/>
      <c r="P3461" s="180" t="s">
        <v>257</v>
      </c>
      <c r="R3461" s="180" t="s">
        <v>257</v>
      </c>
    </row>
    <row r="3462" spans="8:18" x14ac:dyDescent="0.2">
      <c r="H3462" s="180"/>
      <c r="P3462" s="180" t="s">
        <v>257</v>
      </c>
      <c r="R3462" s="180" t="s">
        <v>257</v>
      </c>
    </row>
    <row r="3463" spans="8:18" x14ac:dyDescent="0.2">
      <c r="H3463" s="180"/>
      <c r="P3463" s="180" t="s">
        <v>257</v>
      </c>
      <c r="R3463" s="180" t="s">
        <v>257</v>
      </c>
    </row>
    <row r="3464" spans="8:18" x14ac:dyDescent="0.2">
      <c r="H3464" s="180"/>
      <c r="P3464" s="180" t="s">
        <v>257</v>
      </c>
      <c r="R3464" s="180" t="s">
        <v>257</v>
      </c>
    </row>
    <row r="3465" spans="8:18" x14ac:dyDescent="0.2">
      <c r="H3465" s="180"/>
      <c r="P3465" s="180" t="s">
        <v>257</v>
      </c>
      <c r="R3465" s="180" t="s">
        <v>257</v>
      </c>
    </row>
    <row r="3466" spans="8:18" x14ac:dyDescent="0.2">
      <c r="H3466" s="180"/>
      <c r="P3466" s="180" t="s">
        <v>257</v>
      </c>
      <c r="R3466" s="180" t="s">
        <v>257</v>
      </c>
    </row>
    <row r="3467" spans="8:18" x14ac:dyDescent="0.2">
      <c r="H3467" s="180"/>
      <c r="P3467" s="180" t="s">
        <v>257</v>
      </c>
      <c r="R3467" s="180" t="s">
        <v>257</v>
      </c>
    </row>
    <row r="3468" spans="8:18" x14ac:dyDescent="0.2">
      <c r="H3468" s="180"/>
      <c r="P3468" s="180" t="s">
        <v>257</v>
      </c>
      <c r="R3468" s="180" t="s">
        <v>257</v>
      </c>
    </row>
    <row r="3469" spans="8:18" x14ac:dyDescent="0.2">
      <c r="H3469" s="180"/>
      <c r="P3469" s="180" t="s">
        <v>257</v>
      </c>
      <c r="R3469" s="180" t="s">
        <v>257</v>
      </c>
    </row>
    <row r="3470" spans="8:18" x14ac:dyDescent="0.2">
      <c r="H3470" s="180"/>
      <c r="P3470" s="180" t="s">
        <v>257</v>
      </c>
      <c r="R3470" s="180" t="s">
        <v>257</v>
      </c>
    </row>
    <row r="3471" spans="8:18" x14ac:dyDescent="0.2">
      <c r="H3471" s="180"/>
      <c r="P3471" s="180" t="s">
        <v>257</v>
      </c>
      <c r="R3471" s="180" t="s">
        <v>257</v>
      </c>
    </row>
    <row r="3472" spans="8:18" x14ac:dyDescent="0.2">
      <c r="H3472" s="180"/>
      <c r="P3472" s="180" t="s">
        <v>257</v>
      </c>
      <c r="R3472" s="180" t="s">
        <v>257</v>
      </c>
    </row>
    <row r="3473" spans="8:18" x14ac:dyDescent="0.2">
      <c r="H3473" s="180"/>
      <c r="P3473" s="180" t="s">
        <v>257</v>
      </c>
      <c r="R3473" s="180" t="s">
        <v>257</v>
      </c>
    </row>
    <row r="3474" spans="8:18" x14ac:dyDescent="0.2">
      <c r="H3474" s="180"/>
      <c r="P3474" s="180" t="s">
        <v>257</v>
      </c>
      <c r="R3474" s="180" t="s">
        <v>257</v>
      </c>
    </row>
    <row r="3475" spans="8:18" x14ac:dyDescent="0.2">
      <c r="H3475" s="180"/>
      <c r="P3475" s="180" t="s">
        <v>257</v>
      </c>
      <c r="R3475" s="180" t="s">
        <v>257</v>
      </c>
    </row>
    <row r="3476" spans="8:18" x14ac:dyDescent="0.2">
      <c r="H3476" s="180"/>
      <c r="P3476" s="180" t="s">
        <v>257</v>
      </c>
      <c r="R3476" s="180" t="s">
        <v>257</v>
      </c>
    </row>
    <row r="3477" spans="8:18" x14ac:dyDescent="0.2">
      <c r="H3477" s="180"/>
      <c r="P3477" s="180" t="s">
        <v>257</v>
      </c>
      <c r="R3477" s="180" t="s">
        <v>257</v>
      </c>
    </row>
    <row r="3478" spans="8:18" x14ac:dyDescent="0.2">
      <c r="H3478" s="180"/>
      <c r="P3478" s="180" t="s">
        <v>257</v>
      </c>
      <c r="R3478" s="180" t="s">
        <v>257</v>
      </c>
    </row>
    <row r="3479" spans="8:18" x14ac:dyDescent="0.2">
      <c r="H3479" s="180"/>
      <c r="P3479" s="180" t="s">
        <v>257</v>
      </c>
      <c r="R3479" s="180" t="s">
        <v>257</v>
      </c>
    </row>
    <row r="3480" spans="8:18" x14ac:dyDescent="0.2">
      <c r="H3480" s="180"/>
      <c r="P3480" s="180" t="s">
        <v>257</v>
      </c>
      <c r="R3480" s="180" t="s">
        <v>257</v>
      </c>
    </row>
    <row r="3481" spans="8:18" x14ac:dyDescent="0.2">
      <c r="H3481" s="180"/>
      <c r="P3481" s="180" t="s">
        <v>257</v>
      </c>
      <c r="R3481" s="180" t="s">
        <v>257</v>
      </c>
    </row>
    <row r="3482" spans="8:18" x14ac:dyDescent="0.2">
      <c r="H3482" s="180"/>
      <c r="P3482" s="180" t="s">
        <v>257</v>
      </c>
      <c r="R3482" s="180" t="s">
        <v>257</v>
      </c>
    </row>
    <row r="3483" spans="8:18" x14ac:dyDescent="0.2">
      <c r="H3483" s="180"/>
      <c r="P3483" s="180" t="s">
        <v>257</v>
      </c>
      <c r="R3483" s="180" t="s">
        <v>257</v>
      </c>
    </row>
    <row r="3484" spans="8:18" x14ac:dyDescent="0.2">
      <c r="H3484" s="180"/>
      <c r="P3484" s="180" t="s">
        <v>257</v>
      </c>
      <c r="R3484" s="180" t="s">
        <v>257</v>
      </c>
    </row>
    <row r="3485" spans="8:18" x14ac:dyDescent="0.2">
      <c r="H3485" s="180"/>
      <c r="P3485" s="180" t="s">
        <v>257</v>
      </c>
      <c r="R3485" s="180" t="s">
        <v>257</v>
      </c>
    </row>
    <row r="3486" spans="8:18" x14ac:dyDescent="0.2">
      <c r="H3486" s="180"/>
      <c r="P3486" s="180" t="s">
        <v>257</v>
      </c>
      <c r="R3486" s="180" t="s">
        <v>257</v>
      </c>
    </row>
    <row r="3487" spans="8:18" x14ac:dyDescent="0.2">
      <c r="H3487" s="180"/>
      <c r="P3487" s="180" t="s">
        <v>257</v>
      </c>
      <c r="R3487" s="180" t="s">
        <v>257</v>
      </c>
    </row>
    <row r="3488" spans="8:18" x14ac:dyDescent="0.2">
      <c r="H3488" s="180"/>
      <c r="P3488" s="180" t="s">
        <v>257</v>
      </c>
      <c r="R3488" s="180" t="s">
        <v>257</v>
      </c>
    </row>
    <row r="3489" spans="8:18" x14ac:dyDescent="0.2">
      <c r="H3489" s="180"/>
      <c r="P3489" s="180" t="s">
        <v>257</v>
      </c>
      <c r="R3489" s="180" t="s">
        <v>257</v>
      </c>
    </row>
    <row r="3490" spans="8:18" x14ac:dyDescent="0.2">
      <c r="H3490" s="180"/>
      <c r="P3490" s="180" t="s">
        <v>257</v>
      </c>
      <c r="R3490" s="180" t="s">
        <v>257</v>
      </c>
    </row>
    <row r="3491" spans="8:18" x14ac:dyDescent="0.2">
      <c r="H3491" s="180"/>
      <c r="P3491" s="180" t="s">
        <v>257</v>
      </c>
      <c r="R3491" s="180" t="s">
        <v>257</v>
      </c>
    </row>
    <row r="3492" spans="8:18" x14ac:dyDescent="0.2">
      <c r="H3492" s="180"/>
      <c r="P3492" s="180" t="s">
        <v>257</v>
      </c>
      <c r="R3492" s="180" t="s">
        <v>257</v>
      </c>
    </row>
    <row r="3493" spans="8:18" x14ac:dyDescent="0.2">
      <c r="H3493" s="180"/>
      <c r="P3493" s="180" t="s">
        <v>257</v>
      </c>
      <c r="R3493" s="180" t="s">
        <v>257</v>
      </c>
    </row>
    <row r="3494" spans="8:18" x14ac:dyDescent="0.2">
      <c r="H3494" s="180"/>
      <c r="P3494" s="180" t="s">
        <v>257</v>
      </c>
      <c r="R3494" s="180" t="s">
        <v>257</v>
      </c>
    </row>
    <row r="3495" spans="8:18" x14ac:dyDescent="0.2">
      <c r="H3495" s="180"/>
      <c r="P3495" s="180" t="s">
        <v>257</v>
      </c>
      <c r="R3495" s="180" t="s">
        <v>257</v>
      </c>
    </row>
    <row r="3496" spans="8:18" x14ac:dyDescent="0.2">
      <c r="H3496" s="180"/>
      <c r="P3496" s="180" t="s">
        <v>257</v>
      </c>
      <c r="R3496" s="180" t="s">
        <v>257</v>
      </c>
    </row>
    <row r="3497" spans="8:18" x14ac:dyDescent="0.2">
      <c r="H3497" s="180"/>
      <c r="P3497" s="180" t="s">
        <v>257</v>
      </c>
      <c r="R3497" s="180" t="s">
        <v>257</v>
      </c>
    </row>
    <row r="3498" spans="8:18" x14ac:dyDescent="0.2">
      <c r="H3498" s="180"/>
      <c r="P3498" s="180" t="s">
        <v>257</v>
      </c>
      <c r="R3498" s="180" t="s">
        <v>257</v>
      </c>
    </row>
    <row r="3499" spans="8:18" x14ac:dyDescent="0.2">
      <c r="H3499" s="180"/>
      <c r="P3499" s="180" t="s">
        <v>257</v>
      </c>
      <c r="R3499" s="180" t="s">
        <v>257</v>
      </c>
    </row>
    <row r="3500" spans="8:18" x14ac:dyDescent="0.2">
      <c r="H3500" s="180"/>
      <c r="P3500" s="180" t="s">
        <v>257</v>
      </c>
      <c r="R3500" s="180" t="s">
        <v>257</v>
      </c>
    </row>
    <row r="3501" spans="8:18" x14ac:dyDescent="0.2">
      <c r="H3501" s="180"/>
      <c r="P3501" s="180" t="s">
        <v>257</v>
      </c>
      <c r="R3501" s="180" t="s">
        <v>257</v>
      </c>
    </row>
    <row r="3502" spans="8:18" x14ac:dyDescent="0.2">
      <c r="H3502" s="180"/>
      <c r="P3502" s="180" t="s">
        <v>257</v>
      </c>
      <c r="R3502" s="180" t="s">
        <v>257</v>
      </c>
    </row>
    <row r="3503" spans="8:18" x14ac:dyDescent="0.2">
      <c r="H3503" s="180"/>
      <c r="P3503" s="180" t="s">
        <v>257</v>
      </c>
      <c r="R3503" s="180" t="s">
        <v>257</v>
      </c>
    </row>
    <row r="3504" spans="8:18" x14ac:dyDescent="0.2">
      <c r="H3504" s="180"/>
      <c r="P3504" s="180" t="s">
        <v>257</v>
      </c>
      <c r="R3504" s="180" t="s">
        <v>257</v>
      </c>
    </row>
    <row r="3505" spans="8:18" x14ac:dyDescent="0.2">
      <c r="H3505" s="180"/>
      <c r="P3505" s="180" t="s">
        <v>257</v>
      </c>
      <c r="R3505" s="180" t="s">
        <v>257</v>
      </c>
    </row>
    <row r="3506" spans="8:18" x14ac:dyDescent="0.2">
      <c r="H3506" s="180"/>
      <c r="P3506" s="180" t="s">
        <v>257</v>
      </c>
      <c r="R3506" s="180" t="s">
        <v>257</v>
      </c>
    </row>
    <row r="3507" spans="8:18" x14ac:dyDescent="0.2">
      <c r="H3507" s="180"/>
      <c r="P3507" s="180" t="s">
        <v>257</v>
      </c>
      <c r="R3507" s="180" t="s">
        <v>257</v>
      </c>
    </row>
    <row r="3508" spans="8:18" x14ac:dyDescent="0.2">
      <c r="H3508" s="180"/>
      <c r="P3508" s="180" t="s">
        <v>257</v>
      </c>
      <c r="R3508" s="180" t="s">
        <v>257</v>
      </c>
    </row>
    <row r="3509" spans="8:18" x14ac:dyDescent="0.2">
      <c r="H3509" s="180"/>
      <c r="P3509" s="180" t="s">
        <v>257</v>
      </c>
      <c r="R3509" s="180" t="s">
        <v>257</v>
      </c>
    </row>
    <row r="3510" spans="8:18" x14ac:dyDescent="0.2">
      <c r="H3510" s="180"/>
      <c r="P3510" s="180" t="s">
        <v>257</v>
      </c>
      <c r="R3510" s="180" t="s">
        <v>257</v>
      </c>
    </row>
    <row r="3511" spans="8:18" x14ac:dyDescent="0.2">
      <c r="H3511" s="180"/>
      <c r="P3511" s="180" t="s">
        <v>257</v>
      </c>
      <c r="R3511" s="180" t="s">
        <v>257</v>
      </c>
    </row>
    <row r="3512" spans="8:18" x14ac:dyDescent="0.2">
      <c r="H3512" s="180"/>
      <c r="P3512" s="180" t="s">
        <v>257</v>
      </c>
      <c r="R3512" s="180" t="s">
        <v>257</v>
      </c>
    </row>
    <row r="3513" spans="8:18" x14ac:dyDescent="0.2">
      <c r="H3513" s="180"/>
      <c r="P3513" s="180" t="s">
        <v>257</v>
      </c>
      <c r="R3513" s="180" t="s">
        <v>257</v>
      </c>
    </row>
    <row r="3514" spans="8:18" x14ac:dyDescent="0.2">
      <c r="H3514" s="180"/>
      <c r="P3514" s="180" t="s">
        <v>257</v>
      </c>
      <c r="R3514" s="180" t="s">
        <v>257</v>
      </c>
    </row>
    <row r="3515" spans="8:18" x14ac:dyDescent="0.2">
      <c r="H3515" s="180"/>
      <c r="P3515" s="180" t="s">
        <v>257</v>
      </c>
      <c r="R3515" s="180" t="s">
        <v>257</v>
      </c>
    </row>
    <row r="3516" spans="8:18" x14ac:dyDescent="0.2">
      <c r="H3516" s="180"/>
      <c r="P3516" s="180" t="s">
        <v>257</v>
      </c>
      <c r="R3516" s="180" t="s">
        <v>257</v>
      </c>
    </row>
    <row r="3517" spans="8:18" x14ac:dyDescent="0.2">
      <c r="H3517" s="180"/>
      <c r="P3517" s="180" t="s">
        <v>257</v>
      </c>
      <c r="R3517" s="180" t="s">
        <v>257</v>
      </c>
    </row>
    <row r="3518" spans="8:18" x14ac:dyDescent="0.2">
      <c r="H3518" s="180"/>
      <c r="P3518" s="180" t="s">
        <v>257</v>
      </c>
      <c r="R3518" s="180" t="s">
        <v>257</v>
      </c>
    </row>
    <row r="3519" spans="8:18" x14ac:dyDescent="0.2">
      <c r="H3519" s="180"/>
      <c r="P3519" s="180" t="s">
        <v>257</v>
      </c>
      <c r="R3519" s="180" t="s">
        <v>257</v>
      </c>
    </row>
    <row r="3520" spans="8:18" x14ac:dyDescent="0.2">
      <c r="H3520" s="180"/>
      <c r="P3520" s="180" t="s">
        <v>257</v>
      </c>
      <c r="R3520" s="180" t="s">
        <v>257</v>
      </c>
    </row>
    <row r="3521" spans="8:18" x14ac:dyDescent="0.2">
      <c r="H3521" s="180"/>
      <c r="P3521" s="180" t="s">
        <v>257</v>
      </c>
      <c r="R3521" s="180" t="s">
        <v>257</v>
      </c>
    </row>
    <row r="3522" spans="8:18" x14ac:dyDescent="0.2">
      <c r="H3522" s="180"/>
      <c r="P3522" s="180" t="s">
        <v>257</v>
      </c>
      <c r="R3522" s="180" t="s">
        <v>257</v>
      </c>
    </row>
    <row r="3523" spans="8:18" x14ac:dyDescent="0.2">
      <c r="H3523" s="180"/>
      <c r="P3523" s="180" t="s">
        <v>257</v>
      </c>
      <c r="R3523" s="180" t="s">
        <v>257</v>
      </c>
    </row>
    <row r="3524" spans="8:18" x14ac:dyDescent="0.2">
      <c r="H3524" s="180"/>
      <c r="P3524" s="180" t="s">
        <v>257</v>
      </c>
      <c r="R3524" s="180" t="s">
        <v>257</v>
      </c>
    </row>
    <row r="3525" spans="8:18" x14ac:dyDescent="0.2">
      <c r="H3525" s="180"/>
      <c r="P3525" s="180" t="s">
        <v>257</v>
      </c>
      <c r="R3525" s="180" t="s">
        <v>257</v>
      </c>
    </row>
    <row r="3526" spans="8:18" x14ac:dyDescent="0.2">
      <c r="H3526" s="180"/>
      <c r="P3526" s="180" t="s">
        <v>257</v>
      </c>
      <c r="R3526" s="180" t="s">
        <v>257</v>
      </c>
    </row>
    <row r="3527" spans="8:18" x14ac:dyDescent="0.2">
      <c r="H3527" s="180"/>
      <c r="P3527" s="180" t="s">
        <v>257</v>
      </c>
      <c r="R3527" s="180" t="s">
        <v>257</v>
      </c>
    </row>
    <row r="3528" spans="8:18" x14ac:dyDescent="0.2">
      <c r="H3528" s="180"/>
      <c r="P3528" s="180" t="s">
        <v>257</v>
      </c>
      <c r="R3528" s="180" t="s">
        <v>257</v>
      </c>
    </row>
    <row r="3529" spans="8:18" x14ac:dyDescent="0.2">
      <c r="H3529" s="180"/>
      <c r="P3529" s="180" t="s">
        <v>257</v>
      </c>
      <c r="R3529" s="180" t="s">
        <v>257</v>
      </c>
    </row>
    <row r="3530" spans="8:18" x14ac:dyDescent="0.2">
      <c r="H3530" s="180"/>
      <c r="P3530" s="180" t="s">
        <v>257</v>
      </c>
      <c r="R3530" s="180" t="s">
        <v>257</v>
      </c>
    </row>
    <row r="3531" spans="8:18" x14ac:dyDescent="0.2">
      <c r="H3531" s="180"/>
      <c r="P3531" s="180" t="s">
        <v>257</v>
      </c>
      <c r="R3531" s="180" t="s">
        <v>257</v>
      </c>
    </row>
    <row r="3532" spans="8:18" x14ac:dyDescent="0.2">
      <c r="H3532" s="180"/>
      <c r="P3532" s="180" t="s">
        <v>257</v>
      </c>
      <c r="R3532" s="180" t="s">
        <v>257</v>
      </c>
    </row>
    <row r="3533" spans="8:18" x14ac:dyDescent="0.2">
      <c r="H3533" s="180"/>
      <c r="P3533" s="180" t="s">
        <v>257</v>
      </c>
      <c r="R3533" s="180" t="s">
        <v>257</v>
      </c>
    </row>
    <row r="3534" spans="8:18" x14ac:dyDescent="0.2">
      <c r="H3534" s="180"/>
      <c r="P3534" s="180" t="s">
        <v>257</v>
      </c>
      <c r="R3534" s="180" t="s">
        <v>257</v>
      </c>
    </row>
    <row r="3535" spans="8:18" x14ac:dyDescent="0.2">
      <c r="H3535" s="180"/>
      <c r="P3535" s="180" t="s">
        <v>257</v>
      </c>
      <c r="R3535" s="180" t="s">
        <v>257</v>
      </c>
    </row>
    <row r="3536" spans="8:18" x14ac:dyDescent="0.2">
      <c r="H3536" s="180"/>
      <c r="P3536" s="180" t="s">
        <v>257</v>
      </c>
      <c r="R3536" s="180" t="s">
        <v>257</v>
      </c>
    </row>
    <row r="3537" spans="8:18" x14ac:dyDescent="0.2">
      <c r="H3537" s="180"/>
      <c r="P3537" s="180" t="s">
        <v>257</v>
      </c>
      <c r="R3537" s="180" t="s">
        <v>257</v>
      </c>
    </row>
    <row r="3538" spans="8:18" x14ac:dyDescent="0.2">
      <c r="H3538" s="180"/>
      <c r="P3538" s="180" t="s">
        <v>257</v>
      </c>
      <c r="R3538" s="180" t="s">
        <v>257</v>
      </c>
    </row>
    <row r="3539" spans="8:18" x14ac:dyDescent="0.2">
      <c r="H3539" s="180"/>
      <c r="P3539" s="180" t="s">
        <v>257</v>
      </c>
      <c r="R3539" s="180" t="s">
        <v>257</v>
      </c>
    </row>
    <row r="3540" spans="8:18" x14ac:dyDescent="0.2">
      <c r="H3540" s="180"/>
      <c r="P3540" s="180" t="s">
        <v>257</v>
      </c>
      <c r="R3540" s="180" t="s">
        <v>257</v>
      </c>
    </row>
    <row r="3541" spans="8:18" x14ac:dyDescent="0.2">
      <c r="H3541" s="180"/>
      <c r="P3541" s="180" t="s">
        <v>257</v>
      </c>
      <c r="R3541" s="180" t="s">
        <v>257</v>
      </c>
    </row>
    <row r="3542" spans="8:18" x14ac:dyDescent="0.2">
      <c r="H3542" s="180"/>
      <c r="P3542" s="180" t="s">
        <v>257</v>
      </c>
      <c r="R3542" s="180" t="s">
        <v>257</v>
      </c>
    </row>
    <row r="3543" spans="8:18" x14ac:dyDescent="0.2">
      <c r="H3543" s="180"/>
      <c r="P3543" s="180" t="s">
        <v>257</v>
      </c>
      <c r="R3543" s="180" t="s">
        <v>257</v>
      </c>
    </row>
    <row r="3544" spans="8:18" x14ac:dyDescent="0.2">
      <c r="H3544" s="180"/>
      <c r="P3544" s="180" t="s">
        <v>257</v>
      </c>
      <c r="R3544" s="180" t="s">
        <v>257</v>
      </c>
    </row>
    <row r="3545" spans="8:18" x14ac:dyDescent="0.2">
      <c r="H3545" s="180"/>
      <c r="P3545" s="180" t="s">
        <v>257</v>
      </c>
      <c r="R3545" s="180" t="s">
        <v>257</v>
      </c>
    </row>
    <row r="3546" spans="8:18" x14ac:dyDescent="0.2">
      <c r="H3546" s="180"/>
      <c r="P3546" s="180" t="s">
        <v>257</v>
      </c>
      <c r="R3546" s="180" t="s">
        <v>257</v>
      </c>
    </row>
    <row r="3547" spans="8:18" x14ac:dyDescent="0.2">
      <c r="H3547" s="180"/>
      <c r="P3547" s="180" t="s">
        <v>257</v>
      </c>
      <c r="R3547" s="180" t="s">
        <v>257</v>
      </c>
    </row>
    <row r="3548" spans="8:18" x14ac:dyDescent="0.2">
      <c r="H3548" s="180"/>
      <c r="P3548" s="180" t="s">
        <v>257</v>
      </c>
      <c r="R3548" s="180" t="s">
        <v>257</v>
      </c>
    </row>
    <row r="3549" spans="8:18" x14ac:dyDescent="0.2">
      <c r="H3549" s="180"/>
      <c r="P3549" s="180" t="s">
        <v>257</v>
      </c>
      <c r="R3549" s="180" t="s">
        <v>257</v>
      </c>
    </row>
    <row r="3550" spans="8:18" x14ac:dyDescent="0.2">
      <c r="H3550" s="180"/>
      <c r="P3550" s="180" t="s">
        <v>257</v>
      </c>
      <c r="R3550" s="180" t="s">
        <v>257</v>
      </c>
    </row>
    <row r="3551" spans="8:18" x14ac:dyDescent="0.2">
      <c r="H3551" s="180"/>
      <c r="P3551" s="180" t="s">
        <v>257</v>
      </c>
      <c r="R3551" s="180" t="s">
        <v>257</v>
      </c>
    </row>
    <row r="3552" spans="8:18" x14ac:dyDescent="0.2">
      <c r="H3552" s="180"/>
      <c r="P3552" s="180" t="s">
        <v>257</v>
      </c>
      <c r="R3552" s="180" t="s">
        <v>257</v>
      </c>
    </row>
    <row r="3553" spans="8:18" x14ac:dyDescent="0.2">
      <c r="H3553" s="180"/>
      <c r="P3553" s="180" t="s">
        <v>257</v>
      </c>
      <c r="R3553" s="180" t="s">
        <v>257</v>
      </c>
    </row>
    <row r="3554" spans="8:18" x14ac:dyDescent="0.2">
      <c r="H3554" s="180"/>
      <c r="P3554" s="180" t="s">
        <v>257</v>
      </c>
      <c r="R3554" s="180" t="s">
        <v>257</v>
      </c>
    </row>
    <row r="3555" spans="8:18" x14ac:dyDescent="0.2">
      <c r="H3555" s="180"/>
      <c r="P3555" s="180" t="s">
        <v>257</v>
      </c>
      <c r="R3555" s="180" t="s">
        <v>257</v>
      </c>
    </row>
    <row r="3556" spans="8:18" x14ac:dyDescent="0.2">
      <c r="H3556" s="180"/>
      <c r="P3556" s="180" t="s">
        <v>257</v>
      </c>
      <c r="R3556" s="180" t="s">
        <v>257</v>
      </c>
    </row>
    <row r="3557" spans="8:18" x14ac:dyDescent="0.2">
      <c r="H3557" s="180"/>
      <c r="P3557" s="180" t="s">
        <v>257</v>
      </c>
      <c r="R3557" s="180" t="s">
        <v>257</v>
      </c>
    </row>
    <row r="3558" spans="8:18" x14ac:dyDescent="0.2">
      <c r="H3558" s="180"/>
      <c r="P3558" s="180" t="s">
        <v>257</v>
      </c>
      <c r="R3558" s="180" t="s">
        <v>257</v>
      </c>
    </row>
    <row r="3559" spans="8:18" x14ac:dyDescent="0.2">
      <c r="H3559" s="180"/>
      <c r="P3559" s="180" t="s">
        <v>257</v>
      </c>
      <c r="R3559" s="180" t="s">
        <v>257</v>
      </c>
    </row>
    <row r="3560" spans="8:18" x14ac:dyDescent="0.2">
      <c r="H3560" s="180"/>
      <c r="P3560" s="180" t="s">
        <v>257</v>
      </c>
      <c r="R3560" s="180" t="s">
        <v>257</v>
      </c>
    </row>
    <row r="3561" spans="8:18" x14ac:dyDescent="0.2">
      <c r="H3561" s="180"/>
      <c r="P3561" s="180" t="s">
        <v>257</v>
      </c>
      <c r="R3561" s="180" t="s">
        <v>257</v>
      </c>
    </row>
    <row r="3562" spans="8:18" x14ac:dyDescent="0.2">
      <c r="H3562" s="180"/>
      <c r="P3562" s="180" t="s">
        <v>257</v>
      </c>
      <c r="R3562" s="180" t="s">
        <v>257</v>
      </c>
    </row>
    <row r="3563" spans="8:18" x14ac:dyDescent="0.2">
      <c r="H3563" s="180"/>
      <c r="P3563" s="180" t="s">
        <v>257</v>
      </c>
      <c r="R3563" s="180" t="s">
        <v>257</v>
      </c>
    </row>
    <row r="3564" spans="8:18" x14ac:dyDescent="0.2">
      <c r="H3564" s="180"/>
      <c r="P3564" s="180" t="s">
        <v>257</v>
      </c>
      <c r="R3564" s="180" t="s">
        <v>257</v>
      </c>
    </row>
    <row r="3565" spans="8:18" x14ac:dyDescent="0.2">
      <c r="H3565" s="180"/>
      <c r="P3565" s="180" t="s">
        <v>257</v>
      </c>
      <c r="R3565" s="180" t="s">
        <v>257</v>
      </c>
    </row>
    <row r="3566" spans="8:18" x14ac:dyDescent="0.2">
      <c r="H3566" s="180"/>
      <c r="P3566" s="180" t="s">
        <v>257</v>
      </c>
      <c r="R3566" s="180" t="s">
        <v>257</v>
      </c>
    </row>
    <row r="3567" spans="8:18" x14ac:dyDescent="0.2">
      <c r="H3567" s="180"/>
      <c r="P3567" s="180" t="s">
        <v>257</v>
      </c>
      <c r="R3567" s="180" t="s">
        <v>257</v>
      </c>
    </row>
    <row r="3568" spans="8:18" x14ac:dyDescent="0.2">
      <c r="H3568" s="180"/>
      <c r="P3568" s="180" t="s">
        <v>257</v>
      </c>
      <c r="R3568" s="180" t="s">
        <v>257</v>
      </c>
    </row>
    <row r="3569" spans="8:18" x14ac:dyDescent="0.2">
      <c r="H3569" s="180"/>
      <c r="P3569" s="180" t="s">
        <v>257</v>
      </c>
      <c r="R3569" s="180" t="s">
        <v>257</v>
      </c>
    </row>
    <row r="3570" spans="8:18" x14ac:dyDescent="0.2">
      <c r="H3570" s="180"/>
      <c r="P3570" s="180" t="s">
        <v>257</v>
      </c>
      <c r="R3570" s="180" t="s">
        <v>257</v>
      </c>
    </row>
    <row r="3571" spans="8:18" x14ac:dyDescent="0.2">
      <c r="H3571" s="180"/>
      <c r="P3571" s="180" t="s">
        <v>257</v>
      </c>
      <c r="R3571" s="180" t="s">
        <v>257</v>
      </c>
    </row>
    <row r="3572" spans="8:18" x14ac:dyDescent="0.2">
      <c r="H3572" s="180"/>
      <c r="P3572" s="180" t="s">
        <v>257</v>
      </c>
      <c r="R3572" s="180" t="s">
        <v>257</v>
      </c>
    </row>
    <row r="3573" spans="8:18" x14ac:dyDescent="0.2">
      <c r="H3573" s="180"/>
      <c r="P3573" s="180" t="s">
        <v>257</v>
      </c>
      <c r="R3573" s="180" t="s">
        <v>257</v>
      </c>
    </row>
    <row r="3574" spans="8:18" x14ac:dyDescent="0.2">
      <c r="H3574" s="180"/>
      <c r="P3574" s="180" t="s">
        <v>257</v>
      </c>
      <c r="R3574" s="180" t="s">
        <v>257</v>
      </c>
    </row>
    <row r="3575" spans="8:18" x14ac:dyDescent="0.2">
      <c r="H3575" s="180"/>
      <c r="P3575" s="180" t="s">
        <v>257</v>
      </c>
      <c r="R3575" s="180" t="s">
        <v>257</v>
      </c>
    </row>
    <row r="3576" spans="8:18" x14ac:dyDescent="0.2">
      <c r="H3576" s="180"/>
      <c r="P3576" s="180" t="s">
        <v>257</v>
      </c>
      <c r="R3576" s="180" t="s">
        <v>257</v>
      </c>
    </row>
    <row r="3577" spans="8:18" x14ac:dyDescent="0.2">
      <c r="H3577" s="180"/>
      <c r="P3577" s="180" t="s">
        <v>257</v>
      </c>
      <c r="R3577" s="180" t="s">
        <v>257</v>
      </c>
    </row>
    <row r="3578" spans="8:18" x14ac:dyDescent="0.2">
      <c r="H3578" s="180"/>
      <c r="P3578" s="180" t="s">
        <v>257</v>
      </c>
      <c r="R3578" s="180" t="s">
        <v>257</v>
      </c>
    </row>
    <row r="3579" spans="8:18" x14ac:dyDescent="0.2">
      <c r="H3579" s="180"/>
      <c r="P3579" s="180" t="s">
        <v>257</v>
      </c>
      <c r="R3579" s="180" t="s">
        <v>257</v>
      </c>
    </row>
    <row r="3580" spans="8:18" x14ac:dyDescent="0.2">
      <c r="H3580" s="180"/>
      <c r="P3580" s="180" t="s">
        <v>257</v>
      </c>
      <c r="R3580" s="180" t="s">
        <v>257</v>
      </c>
    </row>
    <row r="3581" spans="8:18" x14ac:dyDescent="0.2">
      <c r="H3581" s="180"/>
      <c r="P3581" s="180" t="s">
        <v>257</v>
      </c>
      <c r="R3581" s="180" t="s">
        <v>257</v>
      </c>
    </row>
    <row r="3582" spans="8:18" x14ac:dyDescent="0.2">
      <c r="H3582" s="180"/>
      <c r="P3582" s="180" t="s">
        <v>257</v>
      </c>
      <c r="R3582" s="180" t="s">
        <v>257</v>
      </c>
    </row>
    <row r="3583" spans="8:18" x14ac:dyDescent="0.2">
      <c r="H3583" s="180"/>
      <c r="P3583" s="180" t="s">
        <v>257</v>
      </c>
      <c r="R3583" s="180" t="s">
        <v>257</v>
      </c>
    </row>
    <row r="3584" spans="8:18" x14ac:dyDescent="0.2">
      <c r="H3584" s="180"/>
      <c r="P3584" s="180" t="s">
        <v>257</v>
      </c>
      <c r="R3584" s="180" t="s">
        <v>257</v>
      </c>
    </row>
    <row r="3585" spans="8:18" x14ac:dyDescent="0.2">
      <c r="H3585" s="180"/>
      <c r="P3585" s="180" t="s">
        <v>257</v>
      </c>
      <c r="R3585" s="180" t="s">
        <v>257</v>
      </c>
    </row>
    <row r="3586" spans="8:18" x14ac:dyDescent="0.2">
      <c r="H3586" s="180"/>
      <c r="P3586" s="180" t="s">
        <v>257</v>
      </c>
      <c r="R3586" s="180" t="s">
        <v>257</v>
      </c>
    </row>
    <row r="3587" spans="8:18" x14ac:dyDescent="0.2">
      <c r="H3587" s="180"/>
      <c r="P3587" s="180" t="s">
        <v>257</v>
      </c>
      <c r="R3587" s="180" t="s">
        <v>257</v>
      </c>
    </row>
    <row r="3588" spans="8:18" x14ac:dyDescent="0.2">
      <c r="H3588" s="180"/>
      <c r="P3588" s="180" t="s">
        <v>257</v>
      </c>
      <c r="R3588" s="180" t="s">
        <v>257</v>
      </c>
    </row>
    <row r="3589" spans="8:18" x14ac:dyDescent="0.2">
      <c r="H3589" s="180"/>
      <c r="P3589" s="180" t="s">
        <v>257</v>
      </c>
      <c r="R3589" s="180" t="s">
        <v>257</v>
      </c>
    </row>
    <row r="3590" spans="8:18" x14ac:dyDescent="0.2">
      <c r="H3590" s="180"/>
      <c r="P3590" s="180" t="s">
        <v>257</v>
      </c>
      <c r="R3590" s="180" t="s">
        <v>257</v>
      </c>
    </row>
    <row r="3591" spans="8:18" x14ac:dyDescent="0.2">
      <c r="H3591" s="180"/>
      <c r="P3591" s="180" t="s">
        <v>257</v>
      </c>
      <c r="R3591" s="180" t="s">
        <v>257</v>
      </c>
    </row>
    <row r="3592" spans="8:18" x14ac:dyDescent="0.2">
      <c r="H3592" s="180"/>
      <c r="P3592" s="180" t="s">
        <v>257</v>
      </c>
      <c r="R3592" s="180" t="s">
        <v>257</v>
      </c>
    </row>
    <row r="3593" spans="8:18" x14ac:dyDescent="0.2">
      <c r="H3593" s="180"/>
      <c r="P3593" s="180" t="s">
        <v>257</v>
      </c>
      <c r="R3593" s="180" t="s">
        <v>257</v>
      </c>
    </row>
    <row r="3594" spans="8:18" x14ac:dyDescent="0.2">
      <c r="H3594" s="180"/>
      <c r="P3594" s="180" t="s">
        <v>257</v>
      </c>
      <c r="R3594" s="180" t="s">
        <v>257</v>
      </c>
    </row>
    <row r="3595" spans="8:18" x14ac:dyDescent="0.2">
      <c r="H3595" s="180"/>
      <c r="P3595" s="180" t="s">
        <v>257</v>
      </c>
      <c r="R3595" s="180" t="s">
        <v>257</v>
      </c>
    </row>
    <row r="3596" spans="8:18" x14ac:dyDescent="0.2">
      <c r="H3596" s="180"/>
      <c r="P3596" s="180" t="s">
        <v>257</v>
      </c>
      <c r="R3596" s="180" t="s">
        <v>257</v>
      </c>
    </row>
    <row r="3597" spans="8:18" x14ac:dyDescent="0.2">
      <c r="H3597" s="180"/>
      <c r="P3597" s="180" t="s">
        <v>257</v>
      </c>
      <c r="R3597" s="180" t="s">
        <v>257</v>
      </c>
    </row>
    <row r="3598" spans="8:18" x14ac:dyDescent="0.2">
      <c r="H3598" s="180"/>
      <c r="P3598" s="180" t="s">
        <v>257</v>
      </c>
      <c r="R3598" s="180" t="s">
        <v>257</v>
      </c>
    </row>
    <row r="3599" spans="8:18" x14ac:dyDescent="0.2">
      <c r="H3599" s="180"/>
      <c r="P3599" s="180" t="s">
        <v>257</v>
      </c>
      <c r="R3599" s="180" t="s">
        <v>257</v>
      </c>
    </row>
    <row r="3600" spans="8:18" x14ac:dyDescent="0.2">
      <c r="H3600" s="180"/>
      <c r="P3600" s="180" t="s">
        <v>257</v>
      </c>
      <c r="R3600" s="180" t="s">
        <v>257</v>
      </c>
    </row>
    <row r="3601" spans="8:18" x14ac:dyDescent="0.2">
      <c r="H3601" s="180"/>
      <c r="P3601" s="180" t="s">
        <v>257</v>
      </c>
      <c r="R3601" s="180" t="s">
        <v>257</v>
      </c>
    </row>
    <row r="3602" spans="8:18" x14ac:dyDescent="0.2">
      <c r="H3602" s="180"/>
      <c r="P3602" s="180" t="s">
        <v>257</v>
      </c>
      <c r="R3602" s="180" t="s">
        <v>257</v>
      </c>
    </row>
    <row r="3603" spans="8:18" x14ac:dyDescent="0.2">
      <c r="H3603" s="180"/>
      <c r="P3603" s="180" t="s">
        <v>257</v>
      </c>
      <c r="R3603" s="180" t="s">
        <v>257</v>
      </c>
    </row>
    <row r="3604" spans="8:18" x14ac:dyDescent="0.2">
      <c r="H3604" s="180"/>
      <c r="P3604" s="180" t="s">
        <v>257</v>
      </c>
      <c r="R3604" s="180" t="s">
        <v>257</v>
      </c>
    </row>
    <row r="3605" spans="8:18" x14ac:dyDescent="0.2">
      <c r="H3605" s="180"/>
      <c r="P3605" s="180" t="s">
        <v>257</v>
      </c>
      <c r="R3605" s="180" t="s">
        <v>257</v>
      </c>
    </row>
    <row r="3606" spans="8:18" x14ac:dyDescent="0.2">
      <c r="H3606" s="180"/>
      <c r="P3606" s="180" t="s">
        <v>257</v>
      </c>
      <c r="R3606" s="180" t="s">
        <v>257</v>
      </c>
    </row>
    <row r="3607" spans="8:18" x14ac:dyDescent="0.2">
      <c r="H3607" s="180"/>
      <c r="P3607" s="180" t="s">
        <v>257</v>
      </c>
      <c r="R3607" s="180" t="s">
        <v>257</v>
      </c>
    </row>
    <row r="3608" spans="8:18" x14ac:dyDescent="0.2">
      <c r="H3608" s="180"/>
      <c r="P3608" s="180" t="s">
        <v>257</v>
      </c>
      <c r="R3608" s="180" t="s">
        <v>257</v>
      </c>
    </row>
    <row r="3609" spans="8:18" x14ac:dyDescent="0.2">
      <c r="H3609" s="180"/>
      <c r="P3609" s="180" t="s">
        <v>257</v>
      </c>
      <c r="R3609" s="180" t="s">
        <v>257</v>
      </c>
    </row>
    <row r="3610" spans="8:18" x14ac:dyDescent="0.2">
      <c r="H3610" s="180"/>
      <c r="P3610" s="180" t="s">
        <v>257</v>
      </c>
      <c r="R3610" s="180" t="s">
        <v>257</v>
      </c>
    </row>
    <row r="3611" spans="8:18" x14ac:dyDescent="0.2">
      <c r="H3611" s="180"/>
      <c r="P3611" s="180" t="s">
        <v>257</v>
      </c>
      <c r="R3611" s="180" t="s">
        <v>257</v>
      </c>
    </row>
    <row r="3612" spans="8:18" x14ac:dyDescent="0.2">
      <c r="H3612" s="180"/>
      <c r="P3612" s="180" t="s">
        <v>257</v>
      </c>
      <c r="R3612" s="180" t="s">
        <v>257</v>
      </c>
    </row>
    <row r="3613" spans="8:18" x14ac:dyDescent="0.2">
      <c r="H3613" s="180"/>
      <c r="P3613" s="180" t="s">
        <v>257</v>
      </c>
      <c r="R3613" s="180" t="s">
        <v>257</v>
      </c>
    </row>
    <row r="3614" spans="8:18" x14ac:dyDescent="0.2">
      <c r="H3614" s="180"/>
      <c r="P3614" s="180" t="s">
        <v>257</v>
      </c>
      <c r="R3614" s="180" t="s">
        <v>257</v>
      </c>
    </row>
    <row r="3615" spans="8:18" x14ac:dyDescent="0.2">
      <c r="H3615" s="180"/>
      <c r="P3615" s="180" t="s">
        <v>257</v>
      </c>
      <c r="R3615" s="180" t="s">
        <v>257</v>
      </c>
    </row>
    <row r="3616" spans="8:18" x14ac:dyDescent="0.2">
      <c r="H3616" s="180"/>
      <c r="P3616" s="180" t="s">
        <v>257</v>
      </c>
      <c r="R3616" s="180" t="s">
        <v>257</v>
      </c>
    </row>
    <row r="3617" spans="8:18" x14ac:dyDescent="0.2">
      <c r="H3617" s="180"/>
      <c r="P3617" s="180" t="s">
        <v>257</v>
      </c>
      <c r="R3617" s="180" t="s">
        <v>257</v>
      </c>
    </row>
    <row r="3618" spans="8:18" x14ac:dyDescent="0.2">
      <c r="H3618" s="180"/>
      <c r="P3618" s="180" t="s">
        <v>257</v>
      </c>
      <c r="R3618" s="180" t="s">
        <v>257</v>
      </c>
    </row>
    <row r="3619" spans="8:18" x14ac:dyDescent="0.2">
      <c r="H3619" s="180"/>
      <c r="P3619" s="180" t="s">
        <v>257</v>
      </c>
      <c r="R3619" s="180" t="s">
        <v>257</v>
      </c>
    </row>
    <row r="3620" spans="8:18" x14ac:dyDescent="0.2">
      <c r="H3620" s="180"/>
      <c r="P3620" s="180" t="s">
        <v>257</v>
      </c>
      <c r="R3620" s="180" t="s">
        <v>257</v>
      </c>
    </row>
    <row r="3621" spans="8:18" x14ac:dyDescent="0.2">
      <c r="H3621" s="180"/>
      <c r="P3621" s="180" t="s">
        <v>257</v>
      </c>
      <c r="R3621" s="180" t="s">
        <v>257</v>
      </c>
    </row>
    <row r="3622" spans="8:18" x14ac:dyDescent="0.2">
      <c r="H3622" s="180"/>
      <c r="P3622" s="180" t="s">
        <v>257</v>
      </c>
      <c r="R3622" s="180" t="s">
        <v>257</v>
      </c>
    </row>
    <row r="3623" spans="8:18" x14ac:dyDescent="0.2">
      <c r="H3623" s="180"/>
      <c r="P3623" s="180" t="s">
        <v>257</v>
      </c>
      <c r="R3623" s="180" t="s">
        <v>257</v>
      </c>
    </row>
    <row r="3624" spans="8:18" x14ac:dyDescent="0.2">
      <c r="H3624" s="180"/>
      <c r="P3624" s="180" t="s">
        <v>257</v>
      </c>
      <c r="R3624" s="180" t="s">
        <v>257</v>
      </c>
    </row>
    <row r="3625" spans="8:18" x14ac:dyDescent="0.2">
      <c r="H3625" s="180"/>
      <c r="P3625" s="180" t="s">
        <v>257</v>
      </c>
      <c r="R3625" s="180" t="s">
        <v>257</v>
      </c>
    </row>
    <row r="3626" spans="8:18" x14ac:dyDescent="0.2">
      <c r="H3626" s="180"/>
      <c r="P3626" s="180" t="s">
        <v>257</v>
      </c>
      <c r="R3626" s="180" t="s">
        <v>257</v>
      </c>
    </row>
    <row r="3627" spans="8:18" x14ac:dyDescent="0.2">
      <c r="H3627" s="180"/>
      <c r="P3627" s="180" t="s">
        <v>257</v>
      </c>
      <c r="R3627" s="180" t="s">
        <v>257</v>
      </c>
    </row>
    <row r="3628" spans="8:18" x14ac:dyDescent="0.2">
      <c r="H3628" s="180"/>
      <c r="P3628" s="180" t="s">
        <v>257</v>
      </c>
      <c r="R3628" s="180" t="s">
        <v>257</v>
      </c>
    </row>
    <row r="3629" spans="8:18" x14ac:dyDescent="0.2">
      <c r="H3629" s="180"/>
      <c r="P3629" s="180" t="s">
        <v>257</v>
      </c>
      <c r="R3629" s="180" t="s">
        <v>257</v>
      </c>
    </row>
    <row r="3630" spans="8:18" x14ac:dyDescent="0.2">
      <c r="H3630" s="180"/>
      <c r="P3630" s="180" t="s">
        <v>257</v>
      </c>
      <c r="R3630" s="180" t="s">
        <v>257</v>
      </c>
    </row>
    <row r="3631" spans="8:18" x14ac:dyDescent="0.2">
      <c r="H3631" s="180"/>
      <c r="P3631" s="180" t="s">
        <v>257</v>
      </c>
      <c r="R3631" s="180" t="s">
        <v>257</v>
      </c>
    </row>
    <row r="3632" spans="8:18" x14ac:dyDescent="0.2">
      <c r="H3632" s="180"/>
      <c r="P3632" s="180" t="s">
        <v>257</v>
      </c>
      <c r="R3632" s="180" t="s">
        <v>257</v>
      </c>
    </row>
    <row r="3633" spans="8:18" x14ac:dyDescent="0.2">
      <c r="H3633" s="180"/>
      <c r="P3633" s="180" t="s">
        <v>257</v>
      </c>
      <c r="R3633" s="180" t="s">
        <v>257</v>
      </c>
    </row>
    <row r="3634" spans="8:18" x14ac:dyDescent="0.2">
      <c r="H3634" s="180"/>
      <c r="P3634" s="180" t="s">
        <v>257</v>
      </c>
      <c r="R3634" s="180" t="s">
        <v>257</v>
      </c>
    </row>
    <row r="3635" spans="8:18" x14ac:dyDescent="0.2">
      <c r="H3635" s="180"/>
      <c r="P3635" s="180" t="s">
        <v>257</v>
      </c>
      <c r="R3635" s="180" t="s">
        <v>257</v>
      </c>
    </row>
    <row r="3636" spans="8:18" x14ac:dyDescent="0.2">
      <c r="H3636" s="180"/>
      <c r="P3636" s="180" t="s">
        <v>257</v>
      </c>
      <c r="R3636" s="180" t="s">
        <v>257</v>
      </c>
    </row>
    <row r="3637" spans="8:18" x14ac:dyDescent="0.2">
      <c r="H3637" s="180"/>
      <c r="P3637" s="180" t="s">
        <v>257</v>
      </c>
      <c r="R3637" s="180" t="s">
        <v>257</v>
      </c>
    </row>
    <row r="3638" spans="8:18" x14ac:dyDescent="0.2">
      <c r="H3638" s="180"/>
      <c r="P3638" s="180" t="s">
        <v>257</v>
      </c>
      <c r="R3638" s="180" t="s">
        <v>257</v>
      </c>
    </row>
    <row r="3639" spans="8:18" x14ac:dyDescent="0.2">
      <c r="H3639" s="180"/>
      <c r="P3639" s="180" t="s">
        <v>257</v>
      </c>
      <c r="R3639" s="180" t="s">
        <v>257</v>
      </c>
    </row>
    <row r="3640" spans="8:18" x14ac:dyDescent="0.2">
      <c r="H3640" s="180"/>
      <c r="P3640" s="180" t="s">
        <v>257</v>
      </c>
      <c r="R3640" s="180" t="s">
        <v>257</v>
      </c>
    </row>
    <row r="3641" spans="8:18" x14ac:dyDescent="0.2">
      <c r="H3641" s="180"/>
      <c r="P3641" s="180" t="s">
        <v>257</v>
      </c>
      <c r="R3641" s="180" t="s">
        <v>257</v>
      </c>
    </row>
    <row r="3642" spans="8:18" x14ac:dyDescent="0.2">
      <c r="H3642" s="180"/>
      <c r="P3642" s="180" t="s">
        <v>257</v>
      </c>
      <c r="R3642" s="180" t="s">
        <v>257</v>
      </c>
    </row>
    <row r="3643" spans="8:18" x14ac:dyDescent="0.2">
      <c r="H3643" s="180"/>
      <c r="P3643" s="180" t="s">
        <v>257</v>
      </c>
      <c r="R3643" s="180" t="s">
        <v>257</v>
      </c>
    </row>
    <row r="3644" spans="8:18" x14ac:dyDescent="0.2">
      <c r="H3644" s="180"/>
      <c r="P3644" s="180" t="s">
        <v>257</v>
      </c>
      <c r="R3644" s="180" t="s">
        <v>257</v>
      </c>
    </row>
    <row r="3645" spans="8:18" x14ac:dyDescent="0.2">
      <c r="H3645" s="180"/>
      <c r="P3645" s="180" t="s">
        <v>257</v>
      </c>
      <c r="R3645" s="180" t="s">
        <v>257</v>
      </c>
    </row>
    <row r="3646" spans="8:18" x14ac:dyDescent="0.2">
      <c r="H3646" s="180"/>
      <c r="P3646" s="180" t="s">
        <v>257</v>
      </c>
      <c r="R3646" s="180" t="s">
        <v>257</v>
      </c>
    </row>
    <row r="3647" spans="8:18" x14ac:dyDescent="0.2">
      <c r="H3647" s="180"/>
      <c r="P3647" s="180" t="s">
        <v>257</v>
      </c>
      <c r="R3647" s="180" t="s">
        <v>257</v>
      </c>
    </row>
    <row r="3648" spans="8:18" x14ac:dyDescent="0.2">
      <c r="H3648" s="180"/>
      <c r="P3648" s="180" t="s">
        <v>257</v>
      </c>
      <c r="R3648" s="180" t="s">
        <v>257</v>
      </c>
    </row>
    <row r="3649" spans="8:18" x14ac:dyDescent="0.2">
      <c r="H3649" s="180"/>
      <c r="P3649" s="180" t="s">
        <v>257</v>
      </c>
      <c r="R3649" s="180" t="s">
        <v>257</v>
      </c>
    </row>
    <row r="3650" spans="8:18" x14ac:dyDescent="0.2">
      <c r="H3650" s="180"/>
      <c r="P3650" s="180" t="s">
        <v>257</v>
      </c>
      <c r="R3650" s="180" t="s">
        <v>257</v>
      </c>
    </row>
    <row r="3651" spans="8:18" x14ac:dyDescent="0.2">
      <c r="H3651" s="180"/>
      <c r="P3651" s="180" t="s">
        <v>257</v>
      </c>
      <c r="R3651" s="180" t="s">
        <v>257</v>
      </c>
    </row>
    <row r="3652" spans="8:18" x14ac:dyDescent="0.2">
      <c r="H3652" s="180"/>
      <c r="P3652" s="180" t="s">
        <v>257</v>
      </c>
      <c r="R3652" s="180" t="s">
        <v>257</v>
      </c>
    </row>
    <row r="3653" spans="8:18" x14ac:dyDescent="0.2">
      <c r="H3653" s="180"/>
      <c r="P3653" s="180" t="s">
        <v>257</v>
      </c>
      <c r="R3653" s="180" t="s">
        <v>257</v>
      </c>
    </row>
    <row r="3654" spans="8:18" x14ac:dyDescent="0.2">
      <c r="H3654" s="180"/>
      <c r="P3654" s="180" t="s">
        <v>257</v>
      </c>
      <c r="R3654" s="180" t="s">
        <v>257</v>
      </c>
    </row>
    <row r="3655" spans="8:18" x14ac:dyDescent="0.2">
      <c r="H3655" s="180"/>
      <c r="P3655" s="180" t="s">
        <v>257</v>
      </c>
      <c r="R3655" s="180" t="s">
        <v>257</v>
      </c>
    </row>
    <row r="3656" spans="8:18" x14ac:dyDescent="0.2">
      <c r="H3656" s="180"/>
      <c r="P3656" s="180" t="s">
        <v>257</v>
      </c>
      <c r="R3656" s="180" t="s">
        <v>257</v>
      </c>
    </row>
    <row r="3657" spans="8:18" x14ac:dyDescent="0.2">
      <c r="H3657" s="180"/>
      <c r="P3657" s="180" t="s">
        <v>257</v>
      </c>
      <c r="R3657" s="180" t="s">
        <v>257</v>
      </c>
    </row>
    <row r="3658" spans="8:18" x14ac:dyDescent="0.2">
      <c r="H3658" s="180"/>
      <c r="P3658" s="180" t="s">
        <v>257</v>
      </c>
      <c r="R3658" s="180" t="s">
        <v>257</v>
      </c>
    </row>
    <row r="3659" spans="8:18" x14ac:dyDescent="0.2">
      <c r="H3659" s="180"/>
      <c r="P3659" s="180" t="s">
        <v>257</v>
      </c>
      <c r="R3659" s="180" t="s">
        <v>257</v>
      </c>
    </row>
    <row r="3660" spans="8:18" x14ac:dyDescent="0.2">
      <c r="H3660" s="180"/>
      <c r="P3660" s="180" t="s">
        <v>257</v>
      </c>
      <c r="R3660" s="180" t="s">
        <v>257</v>
      </c>
    </row>
    <row r="3661" spans="8:18" x14ac:dyDescent="0.2">
      <c r="H3661" s="180"/>
      <c r="P3661" s="180" t="s">
        <v>257</v>
      </c>
      <c r="R3661" s="180" t="s">
        <v>257</v>
      </c>
    </row>
    <row r="3662" spans="8:18" x14ac:dyDescent="0.2">
      <c r="H3662" s="180"/>
      <c r="P3662" s="180" t="s">
        <v>257</v>
      </c>
      <c r="R3662" s="180" t="s">
        <v>257</v>
      </c>
    </row>
    <row r="3663" spans="8:18" x14ac:dyDescent="0.2">
      <c r="H3663" s="180"/>
      <c r="P3663" s="180" t="s">
        <v>257</v>
      </c>
      <c r="R3663" s="180" t="s">
        <v>257</v>
      </c>
    </row>
    <row r="3664" spans="8:18" x14ac:dyDescent="0.2">
      <c r="H3664" s="180"/>
      <c r="P3664" s="180" t="s">
        <v>257</v>
      </c>
      <c r="R3664" s="180" t="s">
        <v>257</v>
      </c>
    </row>
    <row r="3665" spans="8:18" x14ac:dyDescent="0.2">
      <c r="H3665" s="180"/>
      <c r="P3665" s="180" t="s">
        <v>257</v>
      </c>
      <c r="R3665" s="180" t="s">
        <v>257</v>
      </c>
    </row>
    <row r="3666" spans="8:18" x14ac:dyDescent="0.2">
      <c r="H3666" s="180"/>
      <c r="P3666" s="180" t="s">
        <v>257</v>
      </c>
      <c r="R3666" s="180" t="s">
        <v>257</v>
      </c>
    </row>
    <row r="3667" spans="8:18" x14ac:dyDescent="0.2">
      <c r="H3667" s="180"/>
      <c r="P3667" s="180" t="s">
        <v>257</v>
      </c>
      <c r="R3667" s="180" t="s">
        <v>257</v>
      </c>
    </row>
    <row r="3668" spans="8:18" x14ac:dyDescent="0.2">
      <c r="H3668" s="180"/>
      <c r="P3668" s="180" t="s">
        <v>257</v>
      </c>
      <c r="R3668" s="180" t="s">
        <v>257</v>
      </c>
    </row>
    <row r="3669" spans="8:18" x14ac:dyDescent="0.2">
      <c r="H3669" s="180"/>
      <c r="P3669" s="180" t="s">
        <v>257</v>
      </c>
      <c r="R3669" s="180" t="s">
        <v>257</v>
      </c>
    </row>
    <row r="3670" spans="8:18" x14ac:dyDescent="0.2">
      <c r="H3670" s="180"/>
      <c r="P3670" s="180" t="s">
        <v>257</v>
      </c>
      <c r="R3670" s="180" t="s">
        <v>257</v>
      </c>
    </row>
    <row r="3671" spans="8:18" x14ac:dyDescent="0.2">
      <c r="H3671" s="180"/>
      <c r="P3671" s="180" t="s">
        <v>257</v>
      </c>
      <c r="R3671" s="180" t="s">
        <v>257</v>
      </c>
    </row>
    <row r="3672" spans="8:18" x14ac:dyDescent="0.2">
      <c r="H3672" s="180"/>
      <c r="P3672" s="180" t="s">
        <v>257</v>
      </c>
      <c r="R3672" s="180" t="s">
        <v>257</v>
      </c>
    </row>
    <row r="3673" spans="8:18" x14ac:dyDescent="0.2">
      <c r="H3673" s="180"/>
      <c r="P3673" s="180" t="s">
        <v>257</v>
      </c>
      <c r="R3673" s="180" t="s">
        <v>257</v>
      </c>
    </row>
    <row r="3674" spans="8:18" x14ac:dyDescent="0.2">
      <c r="H3674" s="180"/>
      <c r="P3674" s="180" t="s">
        <v>257</v>
      </c>
      <c r="R3674" s="180" t="s">
        <v>257</v>
      </c>
    </row>
    <row r="3675" spans="8:18" x14ac:dyDescent="0.2">
      <c r="H3675" s="180"/>
      <c r="P3675" s="180" t="s">
        <v>257</v>
      </c>
      <c r="R3675" s="180" t="s">
        <v>257</v>
      </c>
    </row>
    <row r="3676" spans="8:18" x14ac:dyDescent="0.2">
      <c r="H3676" s="180"/>
      <c r="P3676" s="180" t="s">
        <v>257</v>
      </c>
      <c r="R3676" s="180" t="s">
        <v>257</v>
      </c>
    </row>
    <row r="3677" spans="8:18" x14ac:dyDescent="0.2">
      <c r="H3677" s="180"/>
      <c r="P3677" s="180" t="s">
        <v>257</v>
      </c>
      <c r="R3677" s="180" t="s">
        <v>257</v>
      </c>
    </row>
    <row r="3678" spans="8:18" x14ac:dyDescent="0.2">
      <c r="H3678" s="180"/>
      <c r="P3678" s="180" t="s">
        <v>257</v>
      </c>
      <c r="R3678" s="180" t="s">
        <v>257</v>
      </c>
    </row>
    <row r="3679" spans="8:18" x14ac:dyDescent="0.2">
      <c r="H3679" s="180"/>
      <c r="P3679" s="180" t="s">
        <v>257</v>
      </c>
      <c r="R3679" s="180" t="s">
        <v>257</v>
      </c>
    </row>
    <row r="3680" spans="8:18" x14ac:dyDescent="0.2">
      <c r="H3680" s="180"/>
      <c r="P3680" s="180" t="s">
        <v>257</v>
      </c>
      <c r="R3680" s="180" t="s">
        <v>257</v>
      </c>
    </row>
    <row r="3681" spans="8:18" x14ac:dyDescent="0.2">
      <c r="H3681" s="180"/>
      <c r="P3681" s="180" t="s">
        <v>257</v>
      </c>
      <c r="R3681" s="180" t="s">
        <v>257</v>
      </c>
    </row>
    <row r="3682" spans="8:18" x14ac:dyDescent="0.2">
      <c r="H3682" s="180"/>
      <c r="P3682" s="180" t="s">
        <v>257</v>
      </c>
      <c r="R3682" s="180" t="s">
        <v>257</v>
      </c>
    </row>
    <row r="3683" spans="8:18" x14ac:dyDescent="0.2">
      <c r="H3683" s="180"/>
      <c r="P3683" s="180" t="s">
        <v>257</v>
      </c>
      <c r="R3683" s="180" t="s">
        <v>257</v>
      </c>
    </row>
    <row r="3684" spans="8:18" x14ac:dyDescent="0.2">
      <c r="H3684" s="180"/>
      <c r="P3684" s="180" t="s">
        <v>257</v>
      </c>
      <c r="R3684" s="180" t="s">
        <v>257</v>
      </c>
    </row>
    <row r="3685" spans="8:18" x14ac:dyDescent="0.2">
      <c r="H3685" s="180"/>
      <c r="P3685" s="180" t="s">
        <v>257</v>
      </c>
      <c r="R3685" s="180" t="s">
        <v>257</v>
      </c>
    </row>
    <row r="3686" spans="8:18" x14ac:dyDescent="0.2">
      <c r="H3686" s="180"/>
      <c r="P3686" s="180" t="s">
        <v>257</v>
      </c>
      <c r="R3686" s="180" t="s">
        <v>257</v>
      </c>
    </row>
    <row r="3687" spans="8:18" x14ac:dyDescent="0.2">
      <c r="H3687" s="180"/>
      <c r="P3687" s="180" t="s">
        <v>257</v>
      </c>
      <c r="R3687" s="180" t="s">
        <v>257</v>
      </c>
    </row>
    <row r="3688" spans="8:18" x14ac:dyDescent="0.2">
      <c r="H3688" s="180"/>
      <c r="P3688" s="180" t="s">
        <v>257</v>
      </c>
      <c r="R3688" s="180" t="s">
        <v>257</v>
      </c>
    </row>
    <row r="3689" spans="8:18" x14ac:dyDescent="0.2">
      <c r="H3689" s="180"/>
      <c r="P3689" s="180" t="s">
        <v>257</v>
      </c>
      <c r="R3689" s="180" t="s">
        <v>257</v>
      </c>
    </row>
    <row r="3690" spans="8:18" x14ac:dyDescent="0.2">
      <c r="H3690" s="180"/>
      <c r="P3690" s="180" t="s">
        <v>257</v>
      </c>
      <c r="R3690" s="180" t="s">
        <v>257</v>
      </c>
    </row>
    <row r="3691" spans="8:18" x14ac:dyDescent="0.2">
      <c r="H3691" s="180"/>
      <c r="P3691" s="180" t="s">
        <v>257</v>
      </c>
      <c r="R3691" s="180" t="s">
        <v>257</v>
      </c>
    </row>
    <row r="3692" spans="8:18" x14ac:dyDescent="0.2">
      <c r="H3692" s="180"/>
      <c r="P3692" s="180" t="s">
        <v>257</v>
      </c>
      <c r="R3692" s="180" t="s">
        <v>257</v>
      </c>
    </row>
    <row r="3693" spans="8:18" x14ac:dyDescent="0.2">
      <c r="H3693" s="180"/>
      <c r="P3693" s="180" t="s">
        <v>257</v>
      </c>
      <c r="R3693" s="180" t="s">
        <v>257</v>
      </c>
    </row>
    <row r="3694" spans="8:18" x14ac:dyDescent="0.2">
      <c r="H3694" s="180"/>
      <c r="P3694" s="180" t="s">
        <v>257</v>
      </c>
      <c r="R3694" s="180" t="s">
        <v>257</v>
      </c>
    </row>
    <row r="3695" spans="8:18" x14ac:dyDescent="0.2">
      <c r="H3695" s="180"/>
      <c r="P3695" s="180" t="s">
        <v>257</v>
      </c>
      <c r="R3695" s="180" t="s">
        <v>257</v>
      </c>
    </row>
    <row r="3696" spans="8:18" x14ac:dyDescent="0.2">
      <c r="H3696" s="180"/>
      <c r="P3696" s="180" t="s">
        <v>257</v>
      </c>
      <c r="R3696" s="180" t="s">
        <v>257</v>
      </c>
    </row>
    <row r="3697" spans="8:18" x14ac:dyDescent="0.2">
      <c r="H3697" s="180"/>
      <c r="P3697" s="180" t="s">
        <v>257</v>
      </c>
      <c r="R3697" s="180" t="s">
        <v>257</v>
      </c>
    </row>
    <row r="3698" spans="8:18" x14ac:dyDescent="0.2">
      <c r="H3698" s="180"/>
      <c r="P3698" s="180" t="s">
        <v>257</v>
      </c>
      <c r="R3698" s="180" t="s">
        <v>257</v>
      </c>
    </row>
    <row r="3699" spans="8:18" x14ac:dyDescent="0.2">
      <c r="H3699" s="180"/>
      <c r="P3699" s="180" t="s">
        <v>257</v>
      </c>
      <c r="R3699" s="180" t="s">
        <v>257</v>
      </c>
    </row>
    <row r="3700" spans="8:18" x14ac:dyDescent="0.2">
      <c r="H3700" s="180"/>
      <c r="P3700" s="180" t="s">
        <v>257</v>
      </c>
      <c r="R3700" s="180" t="s">
        <v>257</v>
      </c>
    </row>
    <row r="3701" spans="8:18" x14ac:dyDescent="0.2">
      <c r="H3701" s="180"/>
      <c r="P3701" s="180" t="s">
        <v>257</v>
      </c>
      <c r="R3701" s="180" t="s">
        <v>257</v>
      </c>
    </row>
    <row r="3702" spans="8:18" x14ac:dyDescent="0.2">
      <c r="H3702" s="180"/>
      <c r="P3702" s="180" t="s">
        <v>257</v>
      </c>
      <c r="R3702" s="180" t="s">
        <v>257</v>
      </c>
    </row>
    <row r="3703" spans="8:18" x14ac:dyDescent="0.2">
      <c r="H3703" s="180"/>
      <c r="P3703" s="180" t="s">
        <v>257</v>
      </c>
      <c r="R3703" s="180" t="s">
        <v>257</v>
      </c>
    </row>
    <row r="3704" spans="8:18" x14ac:dyDescent="0.2">
      <c r="H3704" s="180"/>
      <c r="P3704" s="180" t="s">
        <v>257</v>
      </c>
      <c r="R3704" s="180" t="s">
        <v>257</v>
      </c>
    </row>
    <row r="3705" spans="8:18" x14ac:dyDescent="0.2">
      <c r="H3705" s="180"/>
      <c r="P3705" s="180" t="s">
        <v>257</v>
      </c>
      <c r="R3705" s="180" t="s">
        <v>257</v>
      </c>
    </row>
    <row r="3706" spans="8:18" x14ac:dyDescent="0.2">
      <c r="H3706" s="180"/>
      <c r="P3706" s="180" t="s">
        <v>257</v>
      </c>
      <c r="R3706" s="180" t="s">
        <v>257</v>
      </c>
    </row>
    <row r="3707" spans="8:18" x14ac:dyDescent="0.2">
      <c r="H3707" s="180"/>
      <c r="P3707" s="180" t="s">
        <v>257</v>
      </c>
      <c r="R3707" s="180" t="s">
        <v>257</v>
      </c>
    </row>
    <row r="3708" spans="8:18" x14ac:dyDescent="0.2">
      <c r="H3708" s="180"/>
      <c r="P3708" s="180" t="s">
        <v>257</v>
      </c>
      <c r="R3708" s="180" t="s">
        <v>257</v>
      </c>
    </row>
    <row r="3709" spans="8:18" x14ac:dyDescent="0.2">
      <c r="H3709" s="180"/>
      <c r="P3709" s="180" t="s">
        <v>257</v>
      </c>
      <c r="R3709" s="180" t="s">
        <v>257</v>
      </c>
    </row>
    <row r="3710" spans="8:18" x14ac:dyDescent="0.2">
      <c r="H3710" s="180"/>
      <c r="P3710" s="180" t="s">
        <v>257</v>
      </c>
      <c r="R3710" s="180" t="s">
        <v>257</v>
      </c>
    </row>
    <row r="3711" spans="8:18" x14ac:dyDescent="0.2">
      <c r="H3711" s="180"/>
      <c r="P3711" s="180" t="s">
        <v>257</v>
      </c>
      <c r="R3711" s="180" t="s">
        <v>257</v>
      </c>
    </row>
    <row r="3712" spans="8:18" x14ac:dyDescent="0.2">
      <c r="H3712" s="180"/>
      <c r="P3712" s="180" t="s">
        <v>257</v>
      </c>
      <c r="R3712" s="180" t="s">
        <v>257</v>
      </c>
    </row>
    <row r="3713" spans="8:18" x14ac:dyDescent="0.2">
      <c r="H3713" s="180"/>
      <c r="P3713" s="180" t="s">
        <v>257</v>
      </c>
      <c r="R3713" s="180" t="s">
        <v>257</v>
      </c>
    </row>
    <row r="3714" spans="8:18" x14ac:dyDescent="0.2">
      <c r="H3714" s="180"/>
      <c r="P3714" s="180" t="s">
        <v>257</v>
      </c>
      <c r="R3714" s="180" t="s">
        <v>257</v>
      </c>
    </row>
    <row r="3715" spans="8:18" x14ac:dyDescent="0.2">
      <c r="H3715" s="180"/>
      <c r="P3715" s="180" t="s">
        <v>257</v>
      </c>
      <c r="R3715" s="180" t="s">
        <v>257</v>
      </c>
    </row>
    <row r="3716" spans="8:18" x14ac:dyDescent="0.2">
      <c r="H3716" s="180"/>
      <c r="P3716" s="180" t="s">
        <v>257</v>
      </c>
      <c r="R3716" s="180" t="s">
        <v>257</v>
      </c>
    </row>
    <row r="3717" spans="8:18" x14ac:dyDescent="0.2">
      <c r="H3717" s="180"/>
      <c r="P3717" s="180" t="s">
        <v>257</v>
      </c>
      <c r="R3717" s="180" t="s">
        <v>257</v>
      </c>
    </row>
    <row r="3718" spans="8:18" x14ac:dyDescent="0.2">
      <c r="H3718" s="180"/>
      <c r="P3718" s="180" t="s">
        <v>257</v>
      </c>
      <c r="R3718" s="180" t="s">
        <v>257</v>
      </c>
    </row>
    <row r="3719" spans="8:18" x14ac:dyDescent="0.2">
      <c r="H3719" s="180"/>
      <c r="P3719" s="180" t="s">
        <v>257</v>
      </c>
      <c r="R3719" s="180" t="s">
        <v>257</v>
      </c>
    </row>
    <row r="3720" spans="8:18" x14ac:dyDescent="0.2">
      <c r="H3720" s="180"/>
      <c r="P3720" s="180" t="s">
        <v>257</v>
      </c>
      <c r="R3720" s="180" t="s">
        <v>257</v>
      </c>
    </row>
    <row r="3721" spans="8:18" x14ac:dyDescent="0.2">
      <c r="H3721" s="180"/>
      <c r="P3721" s="180" t="s">
        <v>257</v>
      </c>
      <c r="R3721" s="180" t="s">
        <v>257</v>
      </c>
    </row>
    <row r="3722" spans="8:18" x14ac:dyDescent="0.2">
      <c r="H3722" s="180"/>
      <c r="P3722" s="180" t="s">
        <v>257</v>
      </c>
      <c r="R3722" s="180" t="s">
        <v>257</v>
      </c>
    </row>
    <row r="3723" spans="8:18" x14ac:dyDescent="0.2">
      <c r="H3723" s="180"/>
      <c r="P3723" s="180" t="s">
        <v>257</v>
      </c>
      <c r="R3723" s="180" t="s">
        <v>257</v>
      </c>
    </row>
    <row r="3724" spans="8:18" x14ac:dyDescent="0.2">
      <c r="H3724" s="180"/>
      <c r="P3724" s="180" t="s">
        <v>257</v>
      </c>
      <c r="R3724" s="180" t="s">
        <v>257</v>
      </c>
    </row>
    <row r="3725" spans="8:18" x14ac:dyDescent="0.2">
      <c r="H3725" s="180"/>
      <c r="P3725" s="180" t="s">
        <v>257</v>
      </c>
      <c r="R3725" s="180" t="s">
        <v>257</v>
      </c>
    </row>
    <row r="3726" spans="8:18" x14ac:dyDescent="0.2">
      <c r="H3726" s="180"/>
      <c r="P3726" s="180" t="s">
        <v>257</v>
      </c>
      <c r="R3726" s="180" t="s">
        <v>257</v>
      </c>
    </row>
    <row r="3727" spans="8:18" x14ac:dyDescent="0.2">
      <c r="H3727" s="180"/>
      <c r="P3727" s="180" t="s">
        <v>257</v>
      </c>
      <c r="R3727" s="180" t="s">
        <v>257</v>
      </c>
    </row>
    <row r="3728" spans="8:18" x14ac:dyDescent="0.2">
      <c r="H3728" s="180"/>
      <c r="P3728" s="180" t="s">
        <v>257</v>
      </c>
      <c r="R3728" s="180" t="s">
        <v>257</v>
      </c>
    </row>
    <row r="3729" spans="8:18" x14ac:dyDescent="0.2">
      <c r="H3729" s="180"/>
      <c r="P3729" s="180" t="s">
        <v>257</v>
      </c>
      <c r="R3729" s="180" t="s">
        <v>257</v>
      </c>
    </row>
    <row r="3730" spans="8:18" x14ac:dyDescent="0.2">
      <c r="H3730" s="180"/>
      <c r="P3730" s="180" t="s">
        <v>257</v>
      </c>
      <c r="R3730" s="180" t="s">
        <v>257</v>
      </c>
    </row>
    <row r="3731" spans="8:18" x14ac:dyDescent="0.2">
      <c r="H3731" s="180"/>
      <c r="P3731" s="180" t="s">
        <v>257</v>
      </c>
      <c r="R3731" s="180" t="s">
        <v>257</v>
      </c>
    </row>
    <row r="3732" spans="8:18" x14ac:dyDescent="0.2">
      <c r="H3732" s="180"/>
      <c r="P3732" s="180" t="s">
        <v>257</v>
      </c>
      <c r="R3732" s="180" t="s">
        <v>257</v>
      </c>
    </row>
    <row r="3733" spans="8:18" x14ac:dyDescent="0.2">
      <c r="H3733" s="180"/>
      <c r="P3733" s="180" t="s">
        <v>257</v>
      </c>
      <c r="R3733" s="180" t="s">
        <v>257</v>
      </c>
    </row>
    <row r="3734" spans="8:18" x14ac:dyDescent="0.2">
      <c r="H3734" s="180"/>
      <c r="P3734" s="180" t="s">
        <v>257</v>
      </c>
      <c r="R3734" s="180" t="s">
        <v>257</v>
      </c>
    </row>
    <row r="3735" spans="8:18" x14ac:dyDescent="0.2">
      <c r="H3735" s="180"/>
      <c r="P3735" s="180" t="s">
        <v>257</v>
      </c>
      <c r="R3735" s="180" t="s">
        <v>257</v>
      </c>
    </row>
    <row r="3736" spans="8:18" x14ac:dyDescent="0.2">
      <c r="H3736" s="180"/>
      <c r="P3736" s="180" t="s">
        <v>257</v>
      </c>
      <c r="R3736" s="180" t="s">
        <v>257</v>
      </c>
    </row>
    <row r="3737" spans="8:18" x14ac:dyDescent="0.2">
      <c r="H3737" s="180"/>
      <c r="P3737" s="180" t="s">
        <v>257</v>
      </c>
      <c r="R3737" s="180" t="s">
        <v>257</v>
      </c>
    </row>
    <row r="3738" spans="8:18" x14ac:dyDescent="0.2">
      <c r="H3738" s="180"/>
      <c r="P3738" s="180" t="s">
        <v>257</v>
      </c>
      <c r="R3738" s="180" t="s">
        <v>257</v>
      </c>
    </row>
    <row r="3739" spans="8:18" x14ac:dyDescent="0.2">
      <c r="H3739" s="180"/>
      <c r="P3739" s="180" t="s">
        <v>257</v>
      </c>
      <c r="R3739" s="180" t="s">
        <v>257</v>
      </c>
    </row>
    <row r="3740" spans="8:18" x14ac:dyDescent="0.2">
      <c r="H3740" s="180"/>
      <c r="P3740" s="180" t="s">
        <v>257</v>
      </c>
      <c r="R3740" s="180" t="s">
        <v>257</v>
      </c>
    </row>
    <row r="3741" spans="8:18" x14ac:dyDescent="0.2">
      <c r="H3741" s="180"/>
      <c r="P3741" s="180" t="s">
        <v>257</v>
      </c>
      <c r="R3741" s="180" t="s">
        <v>257</v>
      </c>
    </row>
    <row r="3742" spans="8:18" x14ac:dyDescent="0.2">
      <c r="H3742" s="180"/>
      <c r="P3742" s="180" t="s">
        <v>257</v>
      </c>
      <c r="R3742" s="180" t="s">
        <v>257</v>
      </c>
    </row>
    <row r="3743" spans="8:18" x14ac:dyDescent="0.2">
      <c r="H3743" s="180"/>
      <c r="P3743" s="180" t="s">
        <v>257</v>
      </c>
      <c r="R3743" s="180" t="s">
        <v>257</v>
      </c>
    </row>
    <row r="3744" spans="8:18" x14ac:dyDescent="0.2">
      <c r="H3744" s="180"/>
      <c r="P3744" s="180" t="s">
        <v>257</v>
      </c>
      <c r="R3744" s="180" t="s">
        <v>257</v>
      </c>
    </row>
    <row r="3745" spans="8:18" x14ac:dyDescent="0.2">
      <c r="H3745" s="180"/>
      <c r="P3745" s="180" t="s">
        <v>257</v>
      </c>
      <c r="R3745" s="180" t="s">
        <v>257</v>
      </c>
    </row>
    <row r="3746" spans="8:18" x14ac:dyDescent="0.2">
      <c r="H3746" s="180"/>
      <c r="P3746" s="180" t="s">
        <v>257</v>
      </c>
      <c r="R3746" s="180" t="s">
        <v>257</v>
      </c>
    </row>
    <row r="3747" spans="8:18" x14ac:dyDescent="0.2">
      <c r="H3747" s="180"/>
      <c r="P3747" s="180" t="s">
        <v>257</v>
      </c>
      <c r="R3747" s="180" t="s">
        <v>257</v>
      </c>
    </row>
    <row r="3748" spans="8:18" x14ac:dyDescent="0.2">
      <c r="H3748" s="180"/>
      <c r="P3748" s="180" t="s">
        <v>257</v>
      </c>
      <c r="R3748" s="180" t="s">
        <v>257</v>
      </c>
    </row>
    <row r="3749" spans="8:18" x14ac:dyDescent="0.2">
      <c r="H3749" s="180"/>
      <c r="P3749" s="180" t="s">
        <v>257</v>
      </c>
      <c r="R3749" s="180" t="s">
        <v>257</v>
      </c>
    </row>
    <row r="3750" spans="8:18" x14ac:dyDescent="0.2">
      <c r="H3750" s="180"/>
      <c r="P3750" s="180" t="s">
        <v>257</v>
      </c>
      <c r="R3750" s="180" t="s">
        <v>257</v>
      </c>
    </row>
    <row r="3751" spans="8:18" x14ac:dyDescent="0.2">
      <c r="H3751" s="180"/>
      <c r="P3751" s="180" t="s">
        <v>257</v>
      </c>
      <c r="R3751" s="180" t="s">
        <v>257</v>
      </c>
    </row>
    <row r="3752" spans="8:18" x14ac:dyDescent="0.2">
      <c r="H3752" s="180"/>
      <c r="P3752" s="180" t="s">
        <v>257</v>
      </c>
      <c r="R3752" s="180" t="s">
        <v>257</v>
      </c>
    </row>
    <row r="3753" spans="8:18" x14ac:dyDescent="0.2">
      <c r="H3753" s="180"/>
      <c r="P3753" s="180" t="s">
        <v>257</v>
      </c>
      <c r="R3753" s="180" t="s">
        <v>257</v>
      </c>
    </row>
    <row r="3754" spans="8:18" x14ac:dyDescent="0.2">
      <c r="H3754" s="180"/>
      <c r="P3754" s="180" t="s">
        <v>257</v>
      </c>
      <c r="R3754" s="180" t="s">
        <v>257</v>
      </c>
    </row>
    <row r="3755" spans="8:18" x14ac:dyDescent="0.2">
      <c r="H3755" s="180"/>
      <c r="P3755" s="180" t="s">
        <v>257</v>
      </c>
      <c r="R3755" s="180" t="s">
        <v>257</v>
      </c>
    </row>
    <row r="3756" spans="8:18" x14ac:dyDescent="0.2">
      <c r="H3756" s="180"/>
      <c r="P3756" s="180" t="s">
        <v>257</v>
      </c>
      <c r="R3756" s="180" t="s">
        <v>257</v>
      </c>
    </row>
    <row r="3757" spans="8:18" x14ac:dyDescent="0.2">
      <c r="H3757" s="180"/>
      <c r="P3757" s="180" t="s">
        <v>257</v>
      </c>
      <c r="R3757" s="180" t="s">
        <v>257</v>
      </c>
    </row>
    <row r="3758" spans="8:18" x14ac:dyDescent="0.2">
      <c r="H3758" s="180"/>
      <c r="P3758" s="180" t="s">
        <v>257</v>
      </c>
      <c r="R3758" s="180" t="s">
        <v>257</v>
      </c>
    </row>
    <row r="3759" spans="8:18" x14ac:dyDescent="0.2">
      <c r="H3759" s="180"/>
      <c r="P3759" s="180" t="s">
        <v>257</v>
      </c>
      <c r="R3759" s="180" t="s">
        <v>257</v>
      </c>
    </row>
    <row r="3760" spans="8:18" x14ac:dyDescent="0.2">
      <c r="H3760" s="180"/>
      <c r="P3760" s="180" t="s">
        <v>257</v>
      </c>
      <c r="R3760" s="180" t="s">
        <v>257</v>
      </c>
    </row>
    <row r="3761" spans="8:18" x14ac:dyDescent="0.2">
      <c r="H3761" s="180"/>
      <c r="P3761" s="180" t="s">
        <v>257</v>
      </c>
      <c r="R3761" s="180" t="s">
        <v>257</v>
      </c>
    </row>
    <row r="3762" spans="8:18" x14ac:dyDescent="0.2">
      <c r="H3762" s="180"/>
      <c r="P3762" s="180" t="s">
        <v>257</v>
      </c>
      <c r="R3762" s="180" t="s">
        <v>257</v>
      </c>
    </row>
    <row r="3763" spans="8:18" x14ac:dyDescent="0.2">
      <c r="H3763" s="180"/>
      <c r="P3763" s="180" t="s">
        <v>257</v>
      </c>
      <c r="R3763" s="180" t="s">
        <v>257</v>
      </c>
    </row>
    <row r="3764" spans="8:18" x14ac:dyDescent="0.2">
      <c r="H3764" s="180"/>
      <c r="P3764" s="180" t="s">
        <v>257</v>
      </c>
      <c r="R3764" s="180" t="s">
        <v>257</v>
      </c>
    </row>
    <row r="3765" spans="8:18" x14ac:dyDescent="0.2">
      <c r="H3765" s="180"/>
      <c r="P3765" s="180" t="s">
        <v>257</v>
      </c>
      <c r="R3765" s="180" t="s">
        <v>257</v>
      </c>
    </row>
    <row r="3766" spans="8:18" x14ac:dyDescent="0.2">
      <c r="H3766" s="180"/>
      <c r="P3766" s="180" t="s">
        <v>257</v>
      </c>
      <c r="R3766" s="180" t="s">
        <v>257</v>
      </c>
    </row>
    <row r="3767" spans="8:18" x14ac:dyDescent="0.2">
      <c r="H3767" s="180"/>
      <c r="P3767" s="180" t="s">
        <v>257</v>
      </c>
      <c r="R3767" s="180" t="s">
        <v>257</v>
      </c>
    </row>
    <row r="3768" spans="8:18" x14ac:dyDescent="0.2">
      <c r="H3768" s="180"/>
      <c r="P3768" s="180" t="s">
        <v>257</v>
      </c>
      <c r="R3768" s="180" t="s">
        <v>257</v>
      </c>
    </row>
    <row r="3769" spans="8:18" x14ac:dyDescent="0.2">
      <c r="H3769" s="180"/>
      <c r="P3769" s="180" t="s">
        <v>257</v>
      </c>
      <c r="R3769" s="180" t="s">
        <v>257</v>
      </c>
    </row>
    <row r="3770" spans="8:18" x14ac:dyDescent="0.2">
      <c r="H3770" s="180"/>
      <c r="P3770" s="180" t="s">
        <v>257</v>
      </c>
      <c r="R3770" s="180" t="s">
        <v>257</v>
      </c>
    </row>
    <row r="3771" spans="8:18" x14ac:dyDescent="0.2">
      <c r="H3771" s="180"/>
      <c r="P3771" s="180" t="s">
        <v>257</v>
      </c>
      <c r="R3771" s="180" t="s">
        <v>257</v>
      </c>
    </row>
    <row r="3772" spans="8:18" x14ac:dyDescent="0.2">
      <c r="H3772" s="180"/>
      <c r="P3772" s="180" t="s">
        <v>257</v>
      </c>
      <c r="R3772" s="180" t="s">
        <v>257</v>
      </c>
    </row>
    <row r="3773" spans="8:18" x14ac:dyDescent="0.2">
      <c r="H3773" s="180"/>
      <c r="P3773" s="180" t="s">
        <v>257</v>
      </c>
      <c r="R3773" s="180" t="s">
        <v>257</v>
      </c>
    </row>
    <row r="3774" spans="8:18" x14ac:dyDescent="0.2">
      <c r="H3774" s="180"/>
      <c r="P3774" s="180" t="s">
        <v>257</v>
      </c>
      <c r="R3774" s="180" t="s">
        <v>257</v>
      </c>
    </row>
    <row r="3775" spans="8:18" x14ac:dyDescent="0.2">
      <c r="H3775" s="180"/>
      <c r="P3775" s="180" t="s">
        <v>257</v>
      </c>
      <c r="R3775" s="180" t="s">
        <v>257</v>
      </c>
    </row>
    <row r="3776" spans="8:18" x14ac:dyDescent="0.2">
      <c r="H3776" s="180"/>
      <c r="P3776" s="180" t="s">
        <v>257</v>
      </c>
      <c r="R3776" s="180" t="s">
        <v>257</v>
      </c>
    </row>
    <row r="3777" spans="8:18" x14ac:dyDescent="0.2">
      <c r="H3777" s="180"/>
      <c r="P3777" s="180" t="s">
        <v>257</v>
      </c>
      <c r="R3777" s="180" t="s">
        <v>257</v>
      </c>
    </row>
    <row r="3778" spans="8:18" x14ac:dyDescent="0.2">
      <c r="H3778" s="180"/>
      <c r="P3778" s="180" t="s">
        <v>257</v>
      </c>
      <c r="R3778" s="180" t="s">
        <v>257</v>
      </c>
    </row>
    <row r="3779" spans="8:18" x14ac:dyDescent="0.2">
      <c r="H3779" s="180"/>
      <c r="P3779" s="180" t="s">
        <v>257</v>
      </c>
      <c r="R3779" s="180" t="s">
        <v>257</v>
      </c>
    </row>
    <row r="3780" spans="8:18" x14ac:dyDescent="0.2">
      <c r="H3780" s="180"/>
      <c r="P3780" s="180" t="s">
        <v>257</v>
      </c>
      <c r="R3780" s="180" t="s">
        <v>257</v>
      </c>
    </row>
    <row r="3781" spans="8:18" x14ac:dyDescent="0.2">
      <c r="H3781" s="180"/>
      <c r="P3781" s="180" t="s">
        <v>257</v>
      </c>
      <c r="R3781" s="180" t="s">
        <v>257</v>
      </c>
    </row>
    <row r="3782" spans="8:18" x14ac:dyDescent="0.2">
      <c r="H3782" s="180"/>
      <c r="P3782" s="180" t="s">
        <v>257</v>
      </c>
      <c r="R3782" s="180" t="s">
        <v>257</v>
      </c>
    </row>
    <row r="3783" spans="8:18" x14ac:dyDescent="0.2">
      <c r="H3783" s="180"/>
      <c r="P3783" s="180" t="s">
        <v>257</v>
      </c>
      <c r="R3783" s="180" t="s">
        <v>257</v>
      </c>
    </row>
    <row r="3784" spans="8:18" x14ac:dyDescent="0.2">
      <c r="H3784" s="180"/>
      <c r="P3784" s="180" t="s">
        <v>257</v>
      </c>
      <c r="R3784" s="180" t="s">
        <v>257</v>
      </c>
    </row>
    <row r="3785" spans="8:18" x14ac:dyDescent="0.2">
      <c r="H3785" s="180"/>
      <c r="P3785" s="180" t="s">
        <v>257</v>
      </c>
      <c r="R3785" s="180" t="s">
        <v>257</v>
      </c>
    </row>
    <row r="3786" spans="8:18" x14ac:dyDescent="0.2">
      <c r="H3786" s="180"/>
      <c r="P3786" s="180" t="s">
        <v>257</v>
      </c>
      <c r="R3786" s="180" t="s">
        <v>257</v>
      </c>
    </row>
    <row r="3787" spans="8:18" x14ac:dyDescent="0.2">
      <c r="H3787" s="180"/>
      <c r="P3787" s="180" t="s">
        <v>257</v>
      </c>
      <c r="R3787" s="180" t="s">
        <v>257</v>
      </c>
    </row>
    <row r="3788" spans="8:18" x14ac:dyDescent="0.2">
      <c r="H3788" s="180"/>
      <c r="P3788" s="180" t="s">
        <v>257</v>
      </c>
      <c r="R3788" s="180" t="s">
        <v>257</v>
      </c>
    </row>
    <row r="3789" spans="8:18" x14ac:dyDescent="0.2">
      <c r="H3789" s="180"/>
      <c r="P3789" s="180" t="s">
        <v>257</v>
      </c>
      <c r="R3789" s="180" t="s">
        <v>257</v>
      </c>
    </row>
    <row r="3790" spans="8:18" x14ac:dyDescent="0.2">
      <c r="H3790" s="180"/>
      <c r="P3790" s="180" t="s">
        <v>257</v>
      </c>
      <c r="R3790" s="180" t="s">
        <v>257</v>
      </c>
    </row>
    <row r="3791" spans="8:18" x14ac:dyDescent="0.2">
      <c r="H3791" s="180"/>
      <c r="P3791" s="180" t="s">
        <v>257</v>
      </c>
      <c r="R3791" s="180" t="s">
        <v>257</v>
      </c>
    </row>
    <row r="3792" spans="8:18" x14ac:dyDescent="0.2">
      <c r="H3792" s="180"/>
      <c r="P3792" s="180" t="s">
        <v>257</v>
      </c>
      <c r="R3792" s="180" t="s">
        <v>257</v>
      </c>
    </row>
    <row r="3793" spans="8:18" x14ac:dyDescent="0.2">
      <c r="H3793" s="180"/>
      <c r="P3793" s="180" t="s">
        <v>257</v>
      </c>
      <c r="R3793" s="180" t="s">
        <v>257</v>
      </c>
    </row>
    <row r="3794" spans="8:18" x14ac:dyDescent="0.2">
      <c r="H3794" s="180"/>
      <c r="P3794" s="180" t="s">
        <v>257</v>
      </c>
      <c r="R3794" s="180" t="s">
        <v>257</v>
      </c>
    </row>
    <row r="3795" spans="8:18" x14ac:dyDescent="0.2">
      <c r="H3795" s="180"/>
      <c r="P3795" s="180" t="s">
        <v>257</v>
      </c>
      <c r="R3795" s="180" t="s">
        <v>257</v>
      </c>
    </row>
    <row r="3796" spans="8:18" x14ac:dyDescent="0.2">
      <c r="H3796" s="180"/>
      <c r="P3796" s="180" t="s">
        <v>257</v>
      </c>
      <c r="R3796" s="180" t="s">
        <v>257</v>
      </c>
    </row>
    <row r="3797" spans="8:18" x14ac:dyDescent="0.2">
      <c r="H3797" s="180"/>
      <c r="P3797" s="180" t="s">
        <v>257</v>
      </c>
      <c r="R3797" s="180" t="s">
        <v>257</v>
      </c>
    </row>
    <row r="3798" spans="8:18" x14ac:dyDescent="0.2">
      <c r="H3798" s="180"/>
      <c r="P3798" s="180" t="s">
        <v>257</v>
      </c>
      <c r="R3798" s="180" t="s">
        <v>257</v>
      </c>
    </row>
    <row r="3799" spans="8:18" x14ac:dyDescent="0.2">
      <c r="H3799" s="180"/>
      <c r="P3799" s="180" t="s">
        <v>257</v>
      </c>
      <c r="R3799" s="180" t="s">
        <v>257</v>
      </c>
    </row>
    <row r="3800" spans="8:18" x14ac:dyDescent="0.2">
      <c r="H3800" s="180"/>
      <c r="P3800" s="180" t="s">
        <v>257</v>
      </c>
      <c r="R3800" s="180" t="s">
        <v>257</v>
      </c>
    </row>
    <row r="3801" spans="8:18" x14ac:dyDescent="0.2">
      <c r="H3801" s="180"/>
      <c r="P3801" s="180" t="s">
        <v>257</v>
      </c>
      <c r="R3801" s="180" t="s">
        <v>257</v>
      </c>
    </row>
    <row r="3802" spans="8:18" x14ac:dyDescent="0.2">
      <c r="H3802" s="180"/>
      <c r="P3802" s="180" t="s">
        <v>257</v>
      </c>
      <c r="R3802" s="180" t="s">
        <v>257</v>
      </c>
    </row>
    <row r="3803" spans="8:18" x14ac:dyDescent="0.2">
      <c r="H3803" s="180"/>
      <c r="P3803" s="180" t="s">
        <v>257</v>
      </c>
      <c r="R3803" s="180" t="s">
        <v>257</v>
      </c>
    </row>
    <row r="3804" spans="8:18" x14ac:dyDescent="0.2">
      <c r="H3804" s="180"/>
      <c r="P3804" s="180" t="s">
        <v>257</v>
      </c>
      <c r="R3804" s="180" t="s">
        <v>257</v>
      </c>
    </row>
    <row r="3805" spans="8:18" x14ac:dyDescent="0.2">
      <c r="H3805" s="180"/>
      <c r="P3805" s="180" t="s">
        <v>257</v>
      </c>
      <c r="R3805" s="180" t="s">
        <v>257</v>
      </c>
    </row>
    <row r="3806" spans="8:18" x14ac:dyDescent="0.2">
      <c r="H3806" s="180"/>
      <c r="P3806" s="180" t="s">
        <v>257</v>
      </c>
      <c r="R3806" s="180" t="s">
        <v>257</v>
      </c>
    </row>
    <row r="3807" spans="8:18" x14ac:dyDescent="0.2">
      <c r="H3807" s="180"/>
      <c r="P3807" s="180" t="s">
        <v>257</v>
      </c>
      <c r="R3807" s="180" t="s">
        <v>257</v>
      </c>
    </row>
    <row r="3808" spans="8:18" x14ac:dyDescent="0.2">
      <c r="H3808" s="180"/>
      <c r="P3808" s="180" t="s">
        <v>257</v>
      </c>
      <c r="R3808" s="180" t="s">
        <v>257</v>
      </c>
    </row>
    <row r="3809" spans="8:18" x14ac:dyDescent="0.2">
      <c r="H3809" s="180"/>
      <c r="P3809" s="180" t="s">
        <v>257</v>
      </c>
      <c r="R3809" s="180" t="s">
        <v>257</v>
      </c>
    </row>
    <row r="3810" spans="8:18" x14ac:dyDescent="0.2">
      <c r="H3810" s="180"/>
      <c r="P3810" s="180" t="s">
        <v>257</v>
      </c>
      <c r="R3810" s="180" t="s">
        <v>257</v>
      </c>
    </row>
    <row r="3811" spans="8:18" x14ac:dyDescent="0.2">
      <c r="H3811" s="180"/>
      <c r="P3811" s="180" t="s">
        <v>257</v>
      </c>
      <c r="R3811" s="180" t="s">
        <v>257</v>
      </c>
    </row>
    <row r="3812" spans="8:18" x14ac:dyDescent="0.2">
      <c r="H3812" s="180"/>
      <c r="P3812" s="180" t="s">
        <v>257</v>
      </c>
      <c r="R3812" s="180" t="s">
        <v>257</v>
      </c>
    </row>
    <row r="3813" spans="8:18" x14ac:dyDescent="0.2">
      <c r="H3813" s="180"/>
      <c r="P3813" s="180" t="s">
        <v>257</v>
      </c>
      <c r="R3813" s="180" t="s">
        <v>257</v>
      </c>
    </row>
    <row r="3814" spans="8:18" x14ac:dyDescent="0.2">
      <c r="H3814" s="180"/>
      <c r="P3814" s="180" t="s">
        <v>257</v>
      </c>
      <c r="R3814" s="180" t="s">
        <v>257</v>
      </c>
    </row>
    <row r="3815" spans="8:18" x14ac:dyDescent="0.2">
      <c r="H3815" s="180"/>
      <c r="P3815" s="180" t="s">
        <v>257</v>
      </c>
      <c r="R3815" s="180" t="s">
        <v>257</v>
      </c>
    </row>
    <row r="3816" spans="8:18" x14ac:dyDescent="0.2">
      <c r="H3816" s="180"/>
      <c r="P3816" s="180" t="s">
        <v>257</v>
      </c>
      <c r="R3816" s="180" t="s">
        <v>257</v>
      </c>
    </row>
    <row r="3817" spans="8:18" x14ac:dyDescent="0.2">
      <c r="H3817" s="180"/>
      <c r="P3817" s="180" t="s">
        <v>257</v>
      </c>
      <c r="R3817" s="180" t="s">
        <v>257</v>
      </c>
    </row>
    <row r="3818" spans="8:18" x14ac:dyDescent="0.2">
      <c r="H3818" s="180"/>
      <c r="P3818" s="180" t="s">
        <v>257</v>
      </c>
      <c r="R3818" s="180" t="s">
        <v>257</v>
      </c>
    </row>
    <row r="3819" spans="8:18" x14ac:dyDescent="0.2">
      <c r="H3819" s="180"/>
      <c r="P3819" s="180" t="s">
        <v>257</v>
      </c>
      <c r="R3819" s="180" t="s">
        <v>257</v>
      </c>
    </row>
    <row r="3820" spans="8:18" x14ac:dyDescent="0.2">
      <c r="H3820" s="180"/>
      <c r="P3820" s="180" t="s">
        <v>257</v>
      </c>
      <c r="R3820" s="180" t="s">
        <v>257</v>
      </c>
    </row>
    <row r="3821" spans="8:18" x14ac:dyDescent="0.2">
      <c r="H3821" s="180"/>
      <c r="P3821" s="180" t="s">
        <v>257</v>
      </c>
      <c r="R3821" s="180" t="s">
        <v>257</v>
      </c>
    </row>
    <row r="3822" spans="8:18" x14ac:dyDescent="0.2">
      <c r="H3822" s="180"/>
      <c r="P3822" s="180" t="s">
        <v>257</v>
      </c>
      <c r="R3822" s="180" t="s">
        <v>257</v>
      </c>
    </row>
    <row r="3823" spans="8:18" x14ac:dyDescent="0.2">
      <c r="H3823" s="180"/>
      <c r="P3823" s="180" t="s">
        <v>257</v>
      </c>
      <c r="R3823" s="180" t="s">
        <v>257</v>
      </c>
    </row>
    <row r="3824" spans="8:18" x14ac:dyDescent="0.2">
      <c r="H3824" s="180"/>
      <c r="P3824" s="180" t="s">
        <v>257</v>
      </c>
      <c r="R3824" s="180" t="s">
        <v>257</v>
      </c>
    </row>
    <row r="3825" spans="8:18" x14ac:dyDescent="0.2">
      <c r="H3825" s="180"/>
      <c r="P3825" s="180" t="s">
        <v>257</v>
      </c>
      <c r="R3825" s="180" t="s">
        <v>257</v>
      </c>
    </row>
    <row r="3826" spans="8:18" x14ac:dyDescent="0.2">
      <c r="H3826" s="180"/>
      <c r="P3826" s="180" t="s">
        <v>257</v>
      </c>
      <c r="R3826" s="180" t="s">
        <v>257</v>
      </c>
    </row>
    <row r="3827" spans="8:18" x14ac:dyDescent="0.2">
      <c r="H3827" s="180"/>
      <c r="P3827" s="180" t="s">
        <v>257</v>
      </c>
      <c r="R3827" s="180" t="s">
        <v>257</v>
      </c>
    </row>
    <row r="3828" spans="8:18" x14ac:dyDescent="0.2">
      <c r="H3828" s="180"/>
      <c r="P3828" s="180" t="s">
        <v>257</v>
      </c>
      <c r="R3828" s="180" t="s">
        <v>257</v>
      </c>
    </row>
    <row r="3829" spans="8:18" x14ac:dyDescent="0.2">
      <c r="H3829" s="180"/>
      <c r="P3829" s="180" t="s">
        <v>257</v>
      </c>
      <c r="R3829" s="180" t="s">
        <v>257</v>
      </c>
    </row>
    <row r="3830" spans="8:18" x14ac:dyDescent="0.2">
      <c r="H3830" s="180"/>
      <c r="P3830" s="180" t="s">
        <v>257</v>
      </c>
      <c r="R3830" s="180" t="s">
        <v>257</v>
      </c>
    </row>
    <row r="3831" spans="8:18" x14ac:dyDescent="0.2">
      <c r="H3831" s="180"/>
      <c r="P3831" s="180" t="s">
        <v>257</v>
      </c>
      <c r="R3831" s="180" t="s">
        <v>257</v>
      </c>
    </row>
    <row r="3832" spans="8:18" x14ac:dyDescent="0.2">
      <c r="H3832" s="180"/>
      <c r="P3832" s="180" t="s">
        <v>257</v>
      </c>
      <c r="R3832" s="180" t="s">
        <v>257</v>
      </c>
    </row>
    <row r="3833" spans="8:18" x14ac:dyDescent="0.2">
      <c r="H3833" s="180"/>
      <c r="P3833" s="180" t="s">
        <v>257</v>
      </c>
      <c r="R3833" s="180" t="s">
        <v>257</v>
      </c>
    </row>
    <row r="3834" spans="8:18" x14ac:dyDescent="0.2">
      <c r="H3834" s="180"/>
      <c r="P3834" s="180" t="s">
        <v>257</v>
      </c>
      <c r="R3834" s="180" t="s">
        <v>257</v>
      </c>
    </row>
    <row r="3835" spans="8:18" x14ac:dyDescent="0.2">
      <c r="H3835" s="180"/>
      <c r="P3835" s="180" t="s">
        <v>257</v>
      </c>
      <c r="R3835" s="180" t="s">
        <v>257</v>
      </c>
    </row>
    <row r="3836" spans="8:18" x14ac:dyDescent="0.2">
      <c r="H3836" s="180"/>
      <c r="P3836" s="180" t="s">
        <v>257</v>
      </c>
      <c r="R3836" s="180" t="s">
        <v>257</v>
      </c>
    </row>
    <row r="3837" spans="8:18" x14ac:dyDescent="0.2">
      <c r="H3837" s="180"/>
      <c r="P3837" s="180" t="s">
        <v>257</v>
      </c>
      <c r="R3837" s="180" t="s">
        <v>257</v>
      </c>
    </row>
    <row r="3838" spans="8:18" x14ac:dyDescent="0.2">
      <c r="H3838" s="180"/>
      <c r="P3838" s="180" t="s">
        <v>257</v>
      </c>
      <c r="R3838" s="180" t="s">
        <v>257</v>
      </c>
    </row>
    <row r="3839" spans="8:18" x14ac:dyDescent="0.2">
      <c r="H3839" s="180"/>
      <c r="P3839" s="180" t="s">
        <v>257</v>
      </c>
      <c r="R3839" s="180" t="s">
        <v>257</v>
      </c>
    </row>
    <row r="3840" spans="8:18" x14ac:dyDescent="0.2">
      <c r="H3840" s="180"/>
      <c r="P3840" s="180" t="s">
        <v>257</v>
      </c>
      <c r="R3840" s="180" t="s">
        <v>257</v>
      </c>
    </row>
    <row r="3841" spans="8:18" x14ac:dyDescent="0.2">
      <c r="H3841" s="180"/>
      <c r="P3841" s="180" t="s">
        <v>257</v>
      </c>
      <c r="R3841" s="180" t="s">
        <v>257</v>
      </c>
    </row>
    <row r="3842" spans="8:18" x14ac:dyDescent="0.2">
      <c r="H3842" s="180"/>
      <c r="P3842" s="180" t="s">
        <v>257</v>
      </c>
      <c r="R3842" s="180" t="s">
        <v>257</v>
      </c>
    </row>
    <row r="3843" spans="8:18" x14ac:dyDescent="0.2">
      <c r="H3843" s="180"/>
      <c r="P3843" s="180" t="s">
        <v>257</v>
      </c>
      <c r="R3843" s="180" t="s">
        <v>257</v>
      </c>
    </row>
    <row r="3844" spans="8:18" x14ac:dyDescent="0.2">
      <c r="H3844" s="180"/>
      <c r="P3844" s="180" t="s">
        <v>257</v>
      </c>
      <c r="R3844" s="180" t="s">
        <v>257</v>
      </c>
    </row>
    <row r="3845" spans="8:18" x14ac:dyDescent="0.2">
      <c r="H3845" s="180"/>
      <c r="P3845" s="180" t="s">
        <v>257</v>
      </c>
      <c r="R3845" s="180" t="s">
        <v>257</v>
      </c>
    </row>
    <row r="3846" spans="8:18" x14ac:dyDescent="0.2">
      <c r="H3846" s="180"/>
      <c r="P3846" s="180" t="s">
        <v>257</v>
      </c>
      <c r="R3846" s="180" t="s">
        <v>257</v>
      </c>
    </row>
    <row r="3847" spans="8:18" x14ac:dyDescent="0.2">
      <c r="H3847" s="180"/>
      <c r="P3847" s="180" t="s">
        <v>257</v>
      </c>
      <c r="R3847" s="180" t="s">
        <v>257</v>
      </c>
    </row>
    <row r="3848" spans="8:18" x14ac:dyDescent="0.2">
      <c r="H3848" s="180"/>
      <c r="P3848" s="180" t="s">
        <v>257</v>
      </c>
      <c r="R3848" s="180" t="s">
        <v>257</v>
      </c>
    </row>
    <row r="3849" spans="8:18" x14ac:dyDescent="0.2">
      <c r="H3849" s="180"/>
      <c r="P3849" s="180" t="s">
        <v>257</v>
      </c>
      <c r="R3849" s="180" t="s">
        <v>257</v>
      </c>
    </row>
    <row r="3850" spans="8:18" x14ac:dyDescent="0.2">
      <c r="H3850" s="180"/>
      <c r="P3850" s="180" t="s">
        <v>257</v>
      </c>
      <c r="R3850" s="180" t="s">
        <v>257</v>
      </c>
    </row>
    <row r="3851" spans="8:18" x14ac:dyDescent="0.2">
      <c r="H3851" s="180"/>
      <c r="P3851" s="180" t="s">
        <v>257</v>
      </c>
      <c r="R3851" s="180" t="s">
        <v>257</v>
      </c>
    </row>
    <row r="3852" spans="8:18" x14ac:dyDescent="0.2">
      <c r="H3852" s="180"/>
      <c r="P3852" s="180" t="s">
        <v>257</v>
      </c>
      <c r="R3852" s="180" t="s">
        <v>257</v>
      </c>
    </row>
    <row r="3853" spans="8:18" x14ac:dyDescent="0.2">
      <c r="H3853" s="180"/>
      <c r="P3853" s="180" t="s">
        <v>257</v>
      </c>
      <c r="R3853" s="180" t="s">
        <v>257</v>
      </c>
    </row>
    <row r="3854" spans="8:18" x14ac:dyDescent="0.2">
      <c r="H3854" s="180"/>
      <c r="P3854" s="180" t="s">
        <v>257</v>
      </c>
      <c r="R3854" s="180" t="s">
        <v>257</v>
      </c>
    </row>
    <row r="3855" spans="8:18" x14ac:dyDescent="0.2">
      <c r="H3855" s="180"/>
      <c r="P3855" s="180" t="s">
        <v>257</v>
      </c>
      <c r="R3855" s="180" t="s">
        <v>257</v>
      </c>
    </row>
    <row r="3856" spans="8:18" x14ac:dyDescent="0.2">
      <c r="H3856" s="180"/>
      <c r="P3856" s="180" t="s">
        <v>257</v>
      </c>
      <c r="R3856" s="180" t="s">
        <v>257</v>
      </c>
    </row>
    <row r="3857" spans="8:18" x14ac:dyDescent="0.2">
      <c r="H3857" s="180"/>
      <c r="P3857" s="180" t="s">
        <v>257</v>
      </c>
      <c r="R3857" s="180" t="s">
        <v>257</v>
      </c>
    </row>
    <row r="3858" spans="8:18" x14ac:dyDescent="0.2">
      <c r="H3858" s="180"/>
      <c r="P3858" s="180" t="s">
        <v>257</v>
      </c>
      <c r="R3858" s="180" t="s">
        <v>257</v>
      </c>
    </row>
    <row r="3859" spans="8:18" x14ac:dyDescent="0.2">
      <c r="H3859" s="180"/>
      <c r="P3859" s="180" t="s">
        <v>257</v>
      </c>
      <c r="R3859" s="180" t="s">
        <v>257</v>
      </c>
    </row>
    <row r="3860" spans="8:18" x14ac:dyDescent="0.2">
      <c r="H3860" s="180"/>
      <c r="P3860" s="180" t="s">
        <v>257</v>
      </c>
      <c r="R3860" s="180" t="s">
        <v>257</v>
      </c>
    </row>
    <row r="3861" spans="8:18" x14ac:dyDescent="0.2">
      <c r="H3861" s="180"/>
      <c r="P3861" s="180" t="s">
        <v>257</v>
      </c>
      <c r="R3861" s="180" t="s">
        <v>257</v>
      </c>
    </row>
    <row r="3862" spans="8:18" x14ac:dyDescent="0.2">
      <c r="H3862" s="180"/>
      <c r="P3862" s="180" t="s">
        <v>257</v>
      </c>
      <c r="R3862" s="180" t="s">
        <v>257</v>
      </c>
    </row>
    <row r="3863" spans="8:18" x14ac:dyDescent="0.2">
      <c r="H3863" s="180"/>
      <c r="P3863" s="180" t="s">
        <v>257</v>
      </c>
      <c r="R3863" s="180" t="s">
        <v>257</v>
      </c>
    </row>
    <row r="3864" spans="8:18" x14ac:dyDescent="0.2">
      <c r="H3864" s="180"/>
      <c r="P3864" s="180" t="s">
        <v>257</v>
      </c>
      <c r="R3864" s="180" t="s">
        <v>257</v>
      </c>
    </row>
    <row r="3865" spans="8:18" x14ac:dyDescent="0.2">
      <c r="H3865" s="180"/>
      <c r="P3865" s="180" t="s">
        <v>257</v>
      </c>
      <c r="R3865" s="180" t="s">
        <v>257</v>
      </c>
    </row>
    <row r="3866" spans="8:18" x14ac:dyDescent="0.2">
      <c r="H3866" s="180"/>
      <c r="P3866" s="180" t="s">
        <v>257</v>
      </c>
      <c r="R3866" s="180" t="s">
        <v>257</v>
      </c>
    </row>
    <row r="3867" spans="8:18" x14ac:dyDescent="0.2">
      <c r="H3867" s="180"/>
      <c r="P3867" s="180" t="s">
        <v>257</v>
      </c>
      <c r="R3867" s="180" t="s">
        <v>257</v>
      </c>
    </row>
    <row r="3868" spans="8:18" x14ac:dyDescent="0.2">
      <c r="H3868" s="180"/>
      <c r="P3868" s="180" t="s">
        <v>257</v>
      </c>
      <c r="R3868" s="180" t="s">
        <v>257</v>
      </c>
    </row>
    <row r="3869" spans="8:18" x14ac:dyDescent="0.2">
      <c r="H3869" s="180"/>
      <c r="P3869" s="180" t="s">
        <v>257</v>
      </c>
      <c r="R3869" s="180" t="s">
        <v>257</v>
      </c>
    </row>
    <row r="3870" spans="8:18" x14ac:dyDescent="0.2">
      <c r="H3870" s="180"/>
      <c r="P3870" s="180" t="s">
        <v>257</v>
      </c>
      <c r="R3870" s="180" t="s">
        <v>257</v>
      </c>
    </row>
    <row r="3871" spans="8:18" x14ac:dyDescent="0.2">
      <c r="H3871" s="180"/>
      <c r="P3871" s="180" t="s">
        <v>257</v>
      </c>
      <c r="R3871" s="180" t="s">
        <v>257</v>
      </c>
    </row>
    <row r="3872" spans="8:18" x14ac:dyDescent="0.2">
      <c r="H3872" s="180"/>
      <c r="P3872" s="180" t="s">
        <v>257</v>
      </c>
      <c r="R3872" s="180" t="s">
        <v>257</v>
      </c>
    </row>
    <row r="3873" spans="8:18" x14ac:dyDescent="0.2">
      <c r="H3873" s="180"/>
      <c r="P3873" s="180" t="s">
        <v>257</v>
      </c>
      <c r="R3873" s="180" t="s">
        <v>257</v>
      </c>
    </row>
    <row r="3874" spans="8:18" x14ac:dyDescent="0.2">
      <c r="H3874" s="180"/>
      <c r="P3874" s="180" t="s">
        <v>257</v>
      </c>
      <c r="R3874" s="180" t="s">
        <v>257</v>
      </c>
    </row>
    <row r="3875" spans="8:18" x14ac:dyDescent="0.2">
      <c r="H3875" s="180"/>
      <c r="P3875" s="180" t="s">
        <v>257</v>
      </c>
      <c r="R3875" s="180" t="s">
        <v>257</v>
      </c>
    </row>
    <row r="3876" spans="8:18" x14ac:dyDescent="0.2">
      <c r="H3876" s="180"/>
      <c r="P3876" s="180" t="s">
        <v>257</v>
      </c>
      <c r="R3876" s="180" t="s">
        <v>257</v>
      </c>
    </row>
    <row r="3877" spans="8:18" x14ac:dyDescent="0.2">
      <c r="H3877" s="180"/>
      <c r="P3877" s="180" t="s">
        <v>257</v>
      </c>
      <c r="R3877" s="180" t="s">
        <v>257</v>
      </c>
    </row>
    <row r="3878" spans="8:18" x14ac:dyDescent="0.2">
      <c r="H3878" s="180"/>
      <c r="P3878" s="180" t="s">
        <v>257</v>
      </c>
      <c r="R3878" s="180" t="s">
        <v>257</v>
      </c>
    </row>
    <row r="3879" spans="8:18" x14ac:dyDescent="0.2">
      <c r="H3879" s="180"/>
      <c r="P3879" s="180" t="s">
        <v>257</v>
      </c>
      <c r="R3879" s="180" t="s">
        <v>257</v>
      </c>
    </row>
    <row r="3880" spans="8:18" x14ac:dyDescent="0.2">
      <c r="H3880" s="180"/>
      <c r="P3880" s="180" t="s">
        <v>257</v>
      </c>
      <c r="R3880" s="180" t="s">
        <v>257</v>
      </c>
    </row>
    <row r="3881" spans="8:18" x14ac:dyDescent="0.2">
      <c r="H3881" s="180"/>
      <c r="P3881" s="180" t="s">
        <v>257</v>
      </c>
      <c r="R3881" s="180" t="s">
        <v>257</v>
      </c>
    </row>
    <row r="3882" spans="8:18" x14ac:dyDescent="0.2">
      <c r="H3882" s="180"/>
      <c r="P3882" s="180" t="s">
        <v>257</v>
      </c>
      <c r="R3882" s="180" t="s">
        <v>257</v>
      </c>
    </row>
    <row r="3883" spans="8:18" x14ac:dyDescent="0.2">
      <c r="H3883" s="180"/>
      <c r="P3883" s="180" t="s">
        <v>257</v>
      </c>
      <c r="R3883" s="180" t="s">
        <v>257</v>
      </c>
    </row>
    <row r="3884" spans="8:18" x14ac:dyDescent="0.2">
      <c r="H3884" s="180"/>
      <c r="P3884" s="180" t="s">
        <v>257</v>
      </c>
      <c r="R3884" s="180" t="s">
        <v>257</v>
      </c>
    </row>
    <row r="3885" spans="8:18" x14ac:dyDescent="0.2">
      <c r="H3885" s="180"/>
      <c r="P3885" s="180" t="s">
        <v>257</v>
      </c>
      <c r="R3885" s="180" t="s">
        <v>257</v>
      </c>
    </row>
    <row r="3886" spans="8:18" x14ac:dyDescent="0.2">
      <c r="H3886" s="180"/>
      <c r="P3886" s="180" t="s">
        <v>257</v>
      </c>
      <c r="R3886" s="180" t="s">
        <v>257</v>
      </c>
    </row>
    <row r="3887" spans="8:18" x14ac:dyDescent="0.2">
      <c r="H3887" s="180"/>
      <c r="P3887" s="180" t="s">
        <v>257</v>
      </c>
      <c r="R3887" s="180" t="s">
        <v>257</v>
      </c>
    </row>
    <row r="3888" spans="8:18" x14ac:dyDescent="0.2">
      <c r="H3888" s="180"/>
      <c r="P3888" s="180" t="s">
        <v>257</v>
      </c>
      <c r="R3888" s="180" t="s">
        <v>257</v>
      </c>
    </row>
    <row r="3889" spans="8:18" x14ac:dyDescent="0.2">
      <c r="H3889" s="180"/>
      <c r="P3889" s="180" t="s">
        <v>257</v>
      </c>
      <c r="R3889" s="180" t="s">
        <v>257</v>
      </c>
    </row>
    <row r="3890" spans="8:18" x14ac:dyDescent="0.2">
      <c r="H3890" s="180"/>
      <c r="P3890" s="180" t="s">
        <v>257</v>
      </c>
      <c r="R3890" s="180" t="s">
        <v>257</v>
      </c>
    </row>
    <row r="3891" spans="8:18" x14ac:dyDescent="0.2">
      <c r="H3891" s="180"/>
      <c r="P3891" s="180" t="s">
        <v>257</v>
      </c>
      <c r="R3891" s="180" t="s">
        <v>257</v>
      </c>
    </row>
    <row r="3892" spans="8:18" x14ac:dyDescent="0.2">
      <c r="H3892" s="180"/>
      <c r="P3892" s="180" t="s">
        <v>257</v>
      </c>
      <c r="R3892" s="180" t="s">
        <v>257</v>
      </c>
    </row>
    <row r="3893" spans="8:18" x14ac:dyDescent="0.2">
      <c r="H3893" s="180"/>
      <c r="P3893" s="180" t="s">
        <v>257</v>
      </c>
      <c r="R3893" s="180" t="s">
        <v>257</v>
      </c>
    </row>
    <row r="3894" spans="8:18" x14ac:dyDescent="0.2">
      <c r="H3894" s="180"/>
      <c r="P3894" s="180" t="s">
        <v>257</v>
      </c>
      <c r="R3894" s="180" t="s">
        <v>257</v>
      </c>
    </row>
    <row r="3895" spans="8:18" x14ac:dyDescent="0.2">
      <c r="H3895" s="180"/>
      <c r="P3895" s="180" t="s">
        <v>257</v>
      </c>
      <c r="R3895" s="180" t="s">
        <v>257</v>
      </c>
    </row>
    <row r="3896" spans="8:18" x14ac:dyDescent="0.2">
      <c r="H3896" s="180"/>
      <c r="P3896" s="180" t="s">
        <v>257</v>
      </c>
      <c r="R3896" s="180" t="s">
        <v>257</v>
      </c>
    </row>
    <row r="3897" spans="8:18" x14ac:dyDescent="0.2">
      <c r="H3897" s="180"/>
      <c r="P3897" s="180" t="s">
        <v>257</v>
      </c>
      <c r="R3897" s="180" t="s">
        <v>257</v>
      </c>
    </row>
    <row r="3898" spans="8:18" x14ac:dyDescent="0.2">
      <c r="H3898" s="180"/>
      <c r="P3898" s="180" t="s">
        <v>257</v>
      </c>
      <c r="R3898" s="180" t="s">
        <v>257</v>
      </c>
    </row>
    <row r="3899" spans="8:18" x14ac:dyDescent="0.2">
      <c r="H3899" s="180"/>
      <c r="P3899" s="180" t="s">
        <v>257</v>
      </c>
      <c r="R3899" s="180" t="s">
        <v>257</v>
      </c>
    </row>
    <row r="3900" spans="8:18" x14ac:dyDescent="0.2">
      <c r="H3900" s="180"/>
      <c r="P3900" s="180" t="s">
        <v>257</v>
      </c>
      <c r="R3900" s="180" t="s">
        <v>257</v>
      </c>
    </row>
    <row r="3901" spans="8:18" x14ac:dyDescent="0.2">
      <c r="H3901" s="180"/>
      <c r="P3901" s="180" t="s">
        <v>257</v>
      </c>
      <c r="R3901" s="180" t="s">
        <v>257</v>
      </c>
    </row>
    <row r="3902" spans="8:18" x14ac:dyDescent="0.2">
      <c r="H3902" s="180"/>
      <c r="P3902" s="180" t="s">
        <v>257</v>
      </c>
      <c r="R3902" s="180" t="s">
        <v>257</v>
      </c>
    </row>
    <row r="3903" spans="8:18" x14ac:dyDescent="0.2">
      <c r="H3903" s="180"/>
      <c r="P3903" s="180" t="s">
        <v>257</v>
      </c>
      <c r="R3903" s="180" t="s">
        <v>257</v>
      </c>
    </row>
    <row r="3904" spans="8:18" x14ac:dyDescent="0.2">
      <c r="H3904" s="180"/>
      <c r="P3904" s="180" t="s">
        <v>257</v>
      </c>
      <c r="R3904" s="180" t="s">
        <v>257</v>
      </c>
    </row>
    <row r="3905" spans="8:18" x14ac:dyDescent="0.2">
      <c r="H3905" s="180"/>
      <c r="P3905" s="180" t="s">
        <v>257</v>
      </c>
      <c r="R3905" s="180" t="s">
        <v>257</v>
      </c>
    </row>
    <row r="3906" spans="8:18" x14ac:dyDescent="0.2">
      <c r="H3906" s="180"/>
      <c r="P3906" s="180" t="s">
        <v>257</v>
      </c>
      <c r="R3906" s="180" t="s">
        <v>257</v>
      </c>
    </row>
    <row r="3907" spans="8:18" x14ac:dyDescent="0.2">
      <c r="H3907" s="180"/>
      <c r="P3907" s="180" t="s">
        <v>257</v>
      </c>
      <c r="R3907" s="180" t="s">
        <v>257</v>
      </c>
    </row>
    <row r="3908" spans="8:18" x14ac:dyDescent="0.2">
      <c r="H3908" s="180"/>
      <c r="P3908" s="180" t="s">
        <v>257</v>
      </c>
      <c r="R3908" s="180" t="s">
        <v>257</v>
      </c>
    </row>
    <row r="3909" spans="8:18" x14ac:dyDescent="0.2">
      <c r="H3909" s="180"/>
      <c r="P3909" s="180" t="s">
        <v>257</v>
      </c>
      <c r="R3909" s="180" t="s">
        <v>257</v>
      </c>
    </row>
    <row r="3910" spans="8:18" x14ac:dyDescent="0.2">
      <c r="H3910" s="180"/>
      <c r="P3910" s="180" t="s">
        <v>257</v>
      </c>
      <c r="R3910" s="180" t="s">
        <v>257</v>
      </c>
    </row>
    <row r="3911" spans="8:18" x14ac:dyDescent="0.2">
      <c r="H3911" s="180"/>
      <c r="P3911" s="180" t="s">
        <v>257</v>
      </c>
      <c r="R3911" s="180" t="s">
        <v>257</v>
      </c>
    </row>
    <row r="3912" spans="8:18" x14ac:dyDescent="0.2">
      <c r="H3912" s="180"/>
      <c r="P3912" s="180" t="s">
        <v>257</v>
      </c>
      <c r="R3912" s="180" t="s">
        <v>257</v>
      </c>
    </row>
    <row r="3913" spans="8:18" x14ac:dyDescent="0.2">
      <c r="H3913" s="180"/>
      <c r="P3913" s="180" t="s">
        <v>257</v>
      </c>
      <c r="R3913" s="180" t="s">
        <v>257</v>
      </c>
    </row>
    <row r="3914" spans="8:18" x14ac:dyDescent="0.2">
      <c r="H3914" s="180"/>
      <c r="P3914" s="180" t="s">
        <v>257</v>
      </c>
      <c r="R3914" s="180" t="s">
        <v>257</v>
      </c>
    </row>
    <row r="3915" spans="8:18" x14ac:dyDescent="0.2">
      <c r="H3915" s="180"/>
      <c r="P3915" s="180" t="s">
        <v>257</v>
      </c>
      <c r="R3915" s="180" t="s">
        <v>257</v>
      </c>
    </row>
    <row r="3916" spans="8:18" x14ac:dyDescent="0.2">
      <c r="H3916" s="180"/>
      <c r="P3916" s="180" t="s">
        <v>257</v>
      </c>
      <c r="R3916" s="180" t="s">
        <v>257</v>
      </c>
    </row>
    <row r="3917" spans="8:18" x14ac:dyDescent="0.2">
      <c r="H3917" s="180"/>
      <c r="P3917" s="180" t="s">
        <v>257</v>
      </c>
      <c r="R3917" s="180" t="s">
        <v>257</v>
      </c>
    </row>
    <row r="3918" spans="8:18" x14ac:dyDescent="0.2">
      <c r="H3918" s="180"/>
      <c r="P3918" s="180" t="s">
        <v>257</v>
      </c>
      <c r="R3918" s="180" t="s">
        <v>257</v>
      </c>
    </row>
    <row r="3919" spans="8:18" x14ac:dyDescent="0.2">
      <c r="H3919" s="180"/>
      <c r="P3919" s="180" t="s">
        <v>257</v>
      </c>
      <c r="R3919" s="180" t="s">
        <v>257</v>
      </c>
    </row>
    <row r="3920" spans="8:18" x14ac:dyDescent="0.2">
      <c r="H3920" s="180"/>
      <c r="P3920" s="180" t="s">
        <v>257</v>
      </c>
      <c r="R3920" s="180" t="s">
        <v>257</v>
      </c>
    </row>
    <row r="3921" spans="8:18" x14ac:dyDescent="0.2">
      <c r="H3921" s="180"/>
      <c r="P3921" s="180" t="s">
        <v>257</v>
      </c>
      <c r="R3921" s="180" t="s">
        <v>257</v>
      </c>
    </row>
    <row r="3922" spans="8:18" x14ac:dyDescent="0.2">
      <c r="H3922" s="180"/>
      <c r="P3922" s="180" t="s">
        <v>257</v>
      </c>
      <c r="R3922" s="180" t="s">
        <v>257</v>
      </c>
    </row>
    <row r="3923" spans="8:18" x14ac:dyDescent="0.2">
      <c r="H3923" s="180"/>
      <c r="P3923" s="180" t="s">
        <v>257</v>
      </c>
      <c r="R3923" s="180" t="s">
        <v>257</v>
      </c>
    </row>
    <row r="3924" spans="8:18" x14ac:dyDescent="0.2">
      <c r="H3924" s="180"/>
      <c r="P3924" s="180" t="s">
        <v>257</v>
      </c>
      <c r="R3924" s="180" t="s">
        <v>257</v>
      </c>
    </row>
    <row r="3925" spans="8:18" x14ac:dyDescent="0.2">
      <c r="H3925" s="180"/>
      <c r="P3925" s="180" t="s">
        <v>257</v>
      </c>
      <c r="R3925" s="180" t="s">
        <v>257</v>
      </c>
    </row>
    <row r="3926" spans="8:18" x14ac:dyDescent="0.2">
      <c r="H3926" s="180"/>
      <c r="P3926" s="180" t="s">
        <v>257</v>
      </c>
      <c r="R3926" s="180" t="s">
        <v>257</v>
      </c>
    </row>
    <row r="3927" spans="8:18" x14ac:dyDescent="0.2">
      <c r="H3927" s="180"/>
      <c r="P3927" s="180" t="s">
        <v>257</v>
      </c>
      <c r="R3927" s="180" t="s">
        <v>257</v>
      </c>
    </row>
    <row r="3928" spans="8:18" x14ac:dyDescent="0.2">
      <c r="H3928" s="180"/>
      <c r="P3928" s="180" t="s">
        <v>257</v>
      </c>
      <c r="R3928" s="180" t="s">
        <v>257</v>
      </c>
    </row>
    <row r="3929" spans="8:18" x14ac:dyDescent="0.2">
      <c r="H3929" s="180"/>
      <c r="P3929" s="180" t="s">
        <v>257</v>
      </c>
      <c r="R3929" s="180" t="s">
        <v>257</v>
      </c>
    </row>
    <row r="3930" spans="8:18" x14ac:dyDescent="0.2">
      <c r="H3930" s="180"/>
      <c r="P3930" s="180" t="s">
        <v>257</v>
      </c>
      <c r="R3930" s="180" t="s">
        <v>257</v>
      </c>
    </row>
    <row r="3931" spans="8:18" x14ac:dyDescent="0.2">
      <c r="H3931" s="180"/>
      <c r="P3931" s="180" t="s">
        <v>257</v>
      </c>
      <c r="R3931" s="180" t="s">
        <v>257</v>
      </c>
    </row>
    <row r="3932" spans="8:18" x14ac:dyDescent="0.2">
      <c r="H3932" s="180"/>
      <c r="P3932" s="180" t="s">
        <v>257</v>
      </c>
      <c r="R3932" s="180" t="s">
        <v>257</v>
      </c>
    </row>
    <row r="3933" spans="8:18" x14ac:dyDescent="0.2">
      <c r="H3933" s="180"/>
      <c r="P3933" s="180" t="s">
        <v>257</v>
      </c>
      <c r="R3933" s="180" t="s">
        <v>257</v>
      </c>
    </row>
    <row r="3934" spans="8:18" x14ac:dyDescent="0.2">
      <c r="H3934" s="180"/>
      <c r="P3934" s="180" t="s">
        <v>257</v>
      </c>
      <c r="R3934" s="180" t="s">
        <v>257</v>
      </c>
    </row>
    <row r="3935" spans="8:18" x14ac:dyDescent="0.2">
      <c r="H3935" s="180"/>
      <c r="P3935" s="180" t="s">
        <v>257</v>
      </c>
      <c r="R3935" s="180" t="s">
        <v>257</v>
      </c>
    </row>
    <row r="3936" spans="8:18" x14ac:dyDescent="0.2">
      <c r="H3936" s="180"/>
      <c r="P3936" s="180" t="s">
        <v>257</v>
      </c>
      <c r="R3936" s="180" t="s">
        <v>257</v>
      </c>
    </row>
    <row r="3937" spans="8:18" x14ac:dyDescent="0.2">
      <c r="H3937" s="180"/>
      <c r="P3937" s="180" t="s">
        <v>257</v>
      </c>
      <c r="R3937" s="180" t="s">
        <v>257</v>
      </c>
    </row>
    <row r="3938" spans="8:18" x14ac:dyDescent="0.2">
      <c r="H3938" s="180"/>
      <c r="P3938" s="180" t="s">
        <v>257</v>
      </c>
      <c r="R3938" s="180" t="s">
        <v>257</v>
      </c>
    </row>
    <row r="3939" spans="8:18" x14ac:dyDescent="0.2">
      <c r="H3939" s="180"/>
      <c r="P3939" s="180" t="s">
        <v>257</v>
      </c>
      <c r="R3939" s="180" t="s">
        <v>257</v>
      </c>
    </row>
    <row r="3940" spans="8:18" x14ac:dyDescent="0.2">
      <c r="H3940" s="180"/>
      <c r="P3940" s="180" t="s">
        <v>257</v>
      </c>
      <c r="R3940" s="180" t="s">
        <v>257</v>
      </c>
    </row>
    <row r="3941" spans="8:18" x14ac:dyDescent="0.2">
      <c r="H3941" s="180"/>
      <c r="P3941" s="180" t="s">
        <v>257</v>
      </c>
      <c r="R3941" s="180" t="s">
        <v>257</v>
      </c>
    </row>
    <row r="3942" spans="8:18" x14ac:dyDescent="0.2">
      <c r="H3942" s="180"/>
      <c r="P3942" s="180" t="s">
        <v>257</v>
      </c>
      <c r="R3942" s="180" t="s">
        <v>257</v>
      </c>
    </row>
    <row r="3943" spans="8:18" x14ac:dyDescent="0.2">
      <c r="H3943" s="180"/>
      <c r="P3943" s="180" t="s">
        <v>257</v>
      </c>
      <c r="R3943" s="180" t="s">
        <v>257</v>
      </c>
    </row>
    <row r="3944" spans="8:18" x14ac:dyDescent="0.2">
      <c r="H3944" s="180"/>
      <c r="P3944" s="180" t="s">
        <v>257</v>
      </c>
      <c r="R3944" s="180" t="s">
        <v>257</v>
      </c>
    </row>
    <row r="3945" spans="8:18" x14ac:dyDescent="0.2">
      <c r="H3945" s="180"/>
      <c r="P3945" s="180" t="s">
        <v>257</v>
      </c>
      <c r="R3945" s="180" t="s">
        <v>257</v>
      </c>
    </row>
    <row r="3946" spans="8:18" x14ac:dyDescent="0.2">
      <c r="H3946" s="180"/>
      <c r="P3946" s="180" t="s">
        <v>257</v>
      </c>
      <c r="R3946" s="180" t="s">
        <v>257</v>
      </c>
    </row>
    <row r="3947" spans="8:18" x14ac:dyDescent="0.2">
      <c r="H3947" s="180"/>
      <c r="P3947" s="180" t="s">
        <v>257</v>
      </c>
      <c r="R3947" s="180" t="s">
        <v>257</v>
      </c>
    </row>
    <row r="3948" spans="8:18" x14ac:dyDescent="0.2">
      <c r="H3948" s="180"/>
      <c r="P3948" s="180" t="s">
        <v>257</v>
      </c>
      <c r="R3948" s="180" t="s">
        <v>257</v>
      </c>
    </row>
    <row r="3949" spans="8:18" x14ac:dyDescent="0.2">
      <c r="H3949" s="180"/>
      <c r="P3949" s="180" t="s">
        <v>257</v>
      </c>
      <c r="R3949" s="180" t="s">
        <v>257</v>
      </c>
    </row>
    <row r="3950" spans="8:18" x14ac:dyDescent="0.2">
      <c r="H3950" s="180"/>
      <c r="P3950" s="180" t="s">
        <v>257</v>
      </c>
      <c r="R3950" s="180" t="s">
        <v>257</v>
      </c>
    </row>
    <row r="3951" spans="8:18" x14ac:dyDescent="0.2">
      <c r="H3951" s="180"/>
      <c r="P3951" s="180" t="s">
        <v>257</v>
      </c>
      <c r="R3951" s="180" t="s">
        <v>257</v>
      </c>
    </row>
    <row r="3952" spans="8:18" x14ac:dyDescent="0.2">
      <c r="H3952" s="180"/>
      <c r="P3952" s="180" t="s">
        <v>257</v>
      </c>
      <c r="R3952" s="180" t="s">
        <v>257</v>
      </c>
    </row>
    <row r="3953" spans="8:18" x14ac:dyDescent="0.2">
      <c r="H3953" s="180"/>
      <c r="P3953" s="180" t="s">
        <v>257</v>
      </c>
      <c r="R3953" s="180" t="s">
        <v>257</v>
      </c>
    </row>
    <row r="3954" spans="8:18" x14ac:dyDescent="0.2">
      <c r="H3954" s="180"/>
      <c r="P3954" s="180" t="s">
        <v>257</v>
      </c>
      <c r="R3954" s="180" t="s">
        <v>257</v>
      </c>
    </row>
    <row r="3955" spans="8:18" x14ac:dyDescent="0.2">
      <c r="H3955" s="180"/>
      <c r="P3955" s="180" t="s">
        <v>257</v>
      </c>
      <c r="R3955" s="180" t="s">
        <v>257</v>
      </c>
    </row>
    <row r="3956" spans="8:18" x14ac:dyDescent="0.2">
      <c r="H3956" s="180"/>
      <c r="P3956" s="180" t="s">
        <v>257</v>
      </c>
      <c r="R3956" s="180" t="s">
        <v>257</v>
      </c>
    </row>
    <row r="3957" spans="8:18" x14ac:dyDescent="0.2">
      <c r="H3957" s="180"/>
      <c r="P3957" s="180" t="s">
        <v>257</v>
      </c>
      <c r="R3957" s="180" t="s">
        <v>257</v>
      </c>
    </row>
    <row r="3958" spans="8:18" x14ac:dyDescent="0.2">
      <c r="H3958" s="180"/>
      <c r="P3958" s="180" t="s">
        <v>257</v>
      </c>
      <c r="R3958" s="180" t="s">
        <v>257</v>
      </c>
    </row>
    <row r="3959" spans="8:18" x14ac:dyDescent="0.2">
      <c r="H3959" s="180"/>
      <c r="P3959" s="180" t="s">
        <v>257</v>
      </c>
      <c r="R3959" s="180" t="s">
        <v>257</v>
      </c>
    </row>
    <row r="3960" spans="8:18" x14ac:dyDescent="0.2">
      <c r="H3960" s="180"/>
      <c r="P3960" s="180" t="s">
        <v>257</v>
      </c>
      <c r="R3960" s="180" t="s">
        <v>257</v>
      </c>
    </row>
    <row r="3961" spans="8:18" x14ac:dyDescent="0.2">
      <c r="H3961" s="180"/>
      <c r="P3961" s="180" t="s">
        <v>257</v>
      </c>
      <c r="R3961" s="180" t="s">
        <v>257</v>
      </c>
    </row>
    <row r="3962" spans="8:18" x14ac:dyDescent="0.2">
      <c r="H3962" s="180"/>
      <c r="P3962" s="180" t="s">
        <v>257</v>
      </c>
      <c r="R3962" s="180" t="s">
        <v>257</v>
      </c>
    </row>
    <row r="3963" spans="8:18" x14ac:dyDescent="0.2">
      <c r="H3963" s="180"/>
      <c r="P3963" s="180" t="s">
        <v>257</v>
      </c>
      <c r="R3963" s="180" t="s">
        <v>257</v>
      </c>
    </row>
    <row r="3964" spans="8:18" x14ac:dyDescent="0.2">
      <c r="H3964" s="180"/>
      <c r="P3964" s="180" t="s">
        <v>257</v>
      </c>
      <c r="R3964" s="180" t="s">
        <v>257</v>
      </c>
    </row>
    <row r="3965" spans="8:18" x14ac:dyDescent="0.2">
      <c r="H3965" s="180"/>
      <c r="P3965" s="180" t="s">
        <v>257</v>
      </c>
      <c r="R3965" s="180" t="s">
        <v>257</v>
      </c>
    </row>
    <row r="3966" spans="8:18" x14ac:dyDescent="0.2">
      <c r="H3966" s="180"/>
      <c r="P3966" s="180" t="s">
        <v>257</v>
      </c>
      <c r="R3966" s="180" t="s">
        <v>257</v>
      </c>
    </row>
    <row r="3967" spans="8:18" x14ac:dyDescent="0.2">
      <c r="H3967" s="180"/>
      <c r="P3967" s="180" t="s">
        <v>257</v>
      </c>
      <c r="R3967" s="180" t="s">
        <v>257</v>
      </c>
    </row>
    <row r="3968" spans="8:18" x14ac:dyDescent="0.2">
      <c r="H3968" s="180"/>
      <c r="P3968" s="180" t="s">
        <v>257</v>
      </c>
      <c r="R3968" s="180" t="s">
        <v>257</v>
      </c>
    </row>
    <row r="3969" spans="8:18" x14ac:dyDescent="0.2">
      <c r="H3969" s="180"/>
      <c r="P3969" s="180" t="s">
        <v>257</v>
      </c>
      <c r="R3969" s="180" t="s">
        <v>257</v>
      </c>
    </row>
    <row r="3970" spans="8:18" x14ac:dyDescent="0.2">
      <c r="H3970" s="180"/>
      <c r="P3970" s="180" t="s">
        <v>257</v>
      </c>
      <c r="R3970" s="180" t="s">
        <v>257</v>
      </c>
    </row>
    <row r="3971" spans="8:18" x14ac:dyDescent="0.2">
      <c r="H3971" s="180"/>
      <c r="P3971" s="180" t="s">
        <v>257</v>
      </c>
      <c r="R3971" s="180" t="s">
        <v>257</v>
      </c>
    </row>
    <row r="3972" spans="8:18" x14ac:dyDescent="0.2">
      <c r="H3972" s="180"/>
      <c r="P3972" s="180" t="s">
        <v>257</v>
      </c>
      <c r="R3972" s="180" t="s">
        <v>257</v>
      </c>
    </row>
    <row r="3973" spans="8:18" x14ac:dyDescent="0.2">
      <c r="H3973" s="180"/>
      <c r="P3973" s="180" t="s">
        <v>257</v>
      </c>
      <c r="R3973" s="180" t="s">
        <v>257</v>
      </c>
    </row>
    <row r="3974" spans="8:18" x14ac:dyDescent="0.2">
      <c r="H3974" s="180"/>
      <c r="P3974" s="180" t="s">
        <v>257</v>
      </c>
      <c r="R3974" s="180" t="s">
        <v>257</v>
      </c>
    </row>
    <row r="3975" spans="8:18" x14ac:dyDescent="0.2">
      <c r="H3975" s="180"/>
      <c r="P3975" s="180" t="s">
        <v>257</v>
      </c>
      <c r="R3975" s="180" t="s">
        <v>257</v>
      </c>
    </row>
    <row r="3976" spans="8:18" x14ac:dyDescent="0.2">
      <c r="H3976" s="180"/>
      <c r="P3976" s="180" t="s">
        <v>257</v>
      </c>
      <c r="R3976" s="180" t="s">
        <v>257</v>
      </c>
    </row>
    <row r="3977" spans="8:18" x14ac:dyDescent="0.2">
      <c r="H3977" s="180"/>
      <c r="P3977" s="180" t="s">
        <v>257</v>
      </c>
      <c r="R3977" s="180" t="s">
        <v>257</v>
      </c>
    </row>
    <row r="3978" spans="8:18" x14ac:dyDescent="0.2">
      <c r="H3978" s="180"/>
      <c r="P3978" s="180" t="s">
        <v>257</v>
      </c>
      <c r="R3978" s="180" t="s">
        <v>257</v>
      </c>
    </row>
    <row r="3979" spans="8:18" x14ac:dyDescent="0.2">
      <c r="H3979" s="180"/>
      <c r="P3979" s="180" t="s">
        <v>257</v>
      </c>
      <c r="R3979" s="180" t="s">
        <v>257</v>
      </c>
    </row>
    <row r="3980" spans="8:18" x14ac:dyDescent="0.2">
      <c r="H3980" s="180"/>
      <c r="P3980" s="180" t="s">
        <v>257</v>
      </c>
      <c r="R3980" s="180" t="s">
        <v>257</v>
      </c>
    </row>
    <row r="3981" spans="8:18" x14ac:dyDescent="0.2">
      <c r="H3981" s="180"/>
      <c r="P3981" s="180" t="s">
        <v>257</v>
      </c>
      <c r="R3981" s="180" t="s">
        <v>257</v>
      </c>
    </row>
    <row r="3982" spans="8:18" x14ac:dyDescent="0.2">
      <c r="H3982" s="180"/>
      <c r="P3982" s="180" t="s">
        <v>257</v>
      </c>
      <c r="R3982" s="180" t="s">
        <v>257</v>
      </c>
    </row>
    <row r="3983" spans="8:18" x14ac:dyDescent="0.2">
      <c r="H3983" s="180"/>
      <c r="P3983" s="180" t="s">
        <v>257</v>
      </c>
      <c r="R3983" s="180" t="s">
        <v>257</v>
      </c>
    </row>
    <row r="3984" spans="8:18" x14ac:dyDescent="0.2">
      <c r="H3984" s="180"/>
      <c r="P3984" s="180" t="s">
        <v>257</v>
      </c>
      <c r="R3984" s="180" t="s">
        <v>257</v>
      </c>
    </row>
    <row r="3985" spans="8:18" x14ac:dyDescent="0.2">
      <c r="H3985" s="180"/>
      <c r="P3985" s="180" t="s">
        <v>257</v>
      </c>
      <c r="R3985" s="180" t="s">
        <v>257</v>
      </c>
    </row>
    <row r="3986" spans="8:18" x14ac:dyDescent="0.2">
      <c r="H3986" s="180"/>
      <c r="P3986" s="180" t="s">
        <v>257</v>
      </c>
      <c r="R3986" s="180" t="s">
        <v>257</v>
      </c>
    </row>
    <row r="3987" spans="8:18" x14ac:dyDescent="0.2">
      <c r="H3987" s="180"/>
      <c r="P3987" s="180" t="s">
        <v>257</v>
      </c>
      <c r="R3987" s="180" t="s">
        <v>257</v>
      </c>
    </row>
    <row r="3988" spans="8:18" x14ac:dyDescent="0.2">
      <c r="H3988" s="180"/>
      <c r="P3988" s="180" t="s">
        <v>257</v>
      </c>
      <c r="R3988" s="180" t="s">
        <v>257</v>
      </c>
    </row>
    <row r="3989" spans="8:18" x14ac:dyDescent="0.2">
      <c r="H3989" s="180"/>
      <c r="P3989" s="180" t="s">
        <v>257</v>
      </c>
      <c r="R3989" s="180" t="s">
        <v>257</v>
      </c>
    </row>
    <row r="3990" spans="8:18" x14ac:dyDescent="0.2">
      <c r="H3990" s="180"/>
      <c r="P3990" s="180" t="s">
        <v>257</v>
      </c>
      <c r="R3990" s="180" t="s">
        <v>257</v>
      </c>
    </row>
    <row r="3991" spans="8:18" x14ac:dyDescent="0.2">
      <c r="H3991" s="180"/>
      <c r="P3991" s="180" t="s">
        <v>257</v>
      </c>
      <c r="R3991" s="180" t="s">
        <v>257</v>
      </c>
    </row>
    <row r="3992" spans="8:18" x14ac:dyDescent="0.2">
      <c r="H3992" s="180"/>
      <c r="P3992" s="180" t="s">
        <v>257</v>
      </c>
      <c r="R3992" s="180" t="s">
        <v>257</v>
      </c>
    </row>
    <row r="3993" spans="8:18" x14ac:dyDescent="0.2">
      <c r="H3993" s="180"/>
      <c r="P3993" s="180" t="s">
        <v>257</v>
      </c>
      <c r="R3993" s="180" t="s">
        <v>257</v>
      </c>
    </row>
    <row r="3994" spans="8:18" x14ac:dyDescent="0.2">
      <c r="H3994" s="180"/>
      <c r="P3994" s="180" t="s">
        <v>257</v>
      </c>
      <c r="R3994" s="180" t="s">
        <v>257</v>
      </c>
    </row>
    <row r="3995" spans="8:18" x14ac:dyDescent="0.2">
      <c r="H3995" s="180"/>
      <c r="P3995" s="180" t="s">
        <v>257</v>
      </c>
      <c r="R3995" s="180" t="s">
        <v>257</v>
      </c>
    </row>
    <row r="3996" spans="8:18" x14ac:dyDescent="0.2">
      <c r="H3996" s="180"/>
      <c r="P3996" s="180" t="s">
        <v>257</v>
      </c>
      <c r="R3996" s="180" t="s">
        <v>257</v>
      </c>
    </row>
    <row r="3997" spans="8:18" x14ac:dyDescent="0.2">
      <c r="H3997" s="180"/>
      <c r="P3997" s="180" t="s">
        <v>257</v>
      </c>
      <c r="R3997" s="180" t="s">
        <v>257</v>
      </c>
    </row>
    <row r="3998" spans="8:18" x14ac:dyDescent="0.2">
      <c r="H3998" s="180"/>
      <c r="P3998" s="180" t="s">
        <v>257</v>
      </c>
      <c r="R3998" s="180" t="s">
        <v>257</v>
      </c>
    </row>
    <row r="3999" spans="8:18" x14ac:dyDescent="0.2">
      <c r="H3999" s="180"/>
      <c r="P3999" s="180" t="s">
        <v>257</v>
      </c>
      <c r="R3999" s="180" t="s">
        <v>257</v>
      </c>
    </row>
    <row r="4000" spans="8:18" x14ac:dyDescent="0.2">
      <c r="H4000" s="180"/>
      <c r="P4000" s="180" t="s">
        <v>257</v>
      </c>
      <c r="R4000" s="180" t="s">
        <v>257</v>
      </c>
    </row>
    <row r="4001" spans="8:18" x14ac:dyDescent="0.2">
      <c r="H4001" s="180"/>
      <c r="P4001" s="180" t="s">
        <v>257</v>
      </c>
      <c r="R4001" s="180" t="s">
        <v>257</v>
      </c>
    </row>
    <row r="4002" spans="8:18" x14ac:dyDescent="0.2">
      <c r="H4002" s="180"/>
      <c r="P4002" s="180" t="s">
        <v>257</v>
      </c>
      <c r="R4002" s="180" t="s">
        <v>257</v>
      </c>
    </row>
    <row r="4003" spans="8:18" x14ac:dyDescent="0.2">
      <c r="H4003" s="180"/>
      <c r="P4003" s="180" t="s">
        <v>257</v>
      </c>
      <c r="R4003" s="180" t="s">
        <v>257</v>
      </c>
    </row>
    <row r="4004" spans="8:18" x14ac:dyDescent="0.2">
      <c r="H4004" s="180"/>
      <c r="P4004" s="180" t="s">
        <v>257</v>
      </c>
      <c r="R4004" s="180" t="s">
        <v>257</v>
      </c>
    </row>
    <row r="4005" spans="8:18" x14ac:dyDescent="0.2">
      <c r="H4005" s="180"/>
      <c r="P4005" s="180" t="s">
        <v>257</v>
      </c>
      <c r="R4005" s="180" t="s">
        <v>257</v>
      </c>
    </row>
    <row r="4006" spans="8:18" x14ac:dyDescent="0.2">
      <c r="H4006" s="180"/>
      <c r="P4006" s="180" t="s">
        <v>257</v>
      </c>
      <c r="R4006" s="180" t="s">
        <v>257</v>
      </c>
    </row>
    <row r="4007" spans="8:18" x14ac:dyDescent="0.2">
      <c r="H4007" s="180"/>
      <c r="P4007" s="180" t="s">
        <v>257</v>
      </c>
      <c r="R4007" s="180" t="s">
        <v>257</v>
      </c>
    </row>
    <row r="4008" spans="8:18" x14ac:dyDescent="0.2">
      <c r="H4008" s="180"/>
      <c r="P4008" s="180" t="s">
        <v>257</v>
      </c>
      <c r="R4008" s="180" t="s">
        <v>257</v>
      </c>
    </row>
    <row r="4009" spans="8:18" x14ac:dyDescent="0.2">
      <c r="H4009" s="180"/>
      <c r="P4009" s="180" t="s">
        <v>257</v>
      </c>
      <c r="R4009" s="180" t="s">
        <v>257</v>
      </c>
    </row>
    <row r="4010" spans="8:18" x14ac:dyDescent="0.2">
      <c r="H4010" s="180"/>
      <c r="P4010" s="180" t="s">
        <v>257</v>
      </c>
      <c r="R4010" s="180" t="s">
        <v>257</v>
      </c>
    </row>
    <row r="4011" spans="8:18" x14ac:dyDescent="0.2">
      <c r="H4011" s="180"/>
      <c r="P4011" s="180" t="s">
        <v>257</v>
      </c>
      <c r="R4011" s="180" t="s">
        <v>257</v>
      </c>
    </row>
    <row r="4012" spans="8:18" x14ac:dyDescent="0.2">
      <c r="H4012" s="180"/>
      <c r="P4012" s="180" t="s">
        <v>257</v>
      </c>
      <c r="R4012" s="180" t="s">
        <v>257</v>
      </c>
    </row>
    <row r="4013" spans="8:18" x14ac:dyDescent="0.2">
      <c r="H4013" s="180"/>
      <c r="P4013" s="180" t="s">
        <v>257</v>
      </c>
      <c r="R4013" s="180" t="s">
        <v>257</v>
      </c>
    </row>
    <row r="4014" spans="8:18" x14ac:dyDescent="0.2">
      <c r="H4014" s="180"/>
      <c r="P4014" s="180" t="s">
        <v>257</v>
      </c>
      <c r="R4014" s="180" t="s">
        <v>257</v>
      </c>
    </row>
    <row r="4015" spans="8:18" x14ac:dyDescent="0.2">
      <c r="H4015" s="180"/>
      <c r="P4015" s="180" t="s">
        <v>257</v>
      </c>
      <c r="R4015" s="180" t="s">
        <v>257</v>
      </c>
    </row>
    <row r="4016" spans="8:18" x14ac:dyDescent="0.2">
      <c r="H4016" s="180"/>
      <c r="P4016" s="180" t="s">
        <v>257</v>
      </c>
      <c r="R4016" s="180" t="s">
        <v>257</v>
      </c>
    </row>
    <row r="4017" spans="8:18" x14ac:dyDescent="0.2">
      <c r="H4017" s="180"/>
      <c r="P4017" s="180" t="s">
        <v>257</v>
      </c>
      <c r="R4017" s="180" t="s">
        <v>257</v>
      </c>
    </row>
    <row r="4018" spans="8:18" x14ac:dyDescent="0.2">
      <c r="H4018" s="180"/>
      <c r="P4018" s="180" t="s">
        <v>257</v>
      </c>
      <c r="R4018" s="180" t="s">
        <v>257</v>
      </c>
    </row>
    <row r="4019" spans="8:18" x14ac:dyDescent="0.2">
      <c r="H4019" s="180"/>
      <c r="P4019" s="180" t="s">
        <v>257</v>
      </c>
      <c r="R4019" s="180" t="s">
        <v>257</v>
      </c>
    </row>
    <row r="4020" spans="8:18" x14ac:dyDescent="0.2">
      <c r="H4020" s="180"/>
      <c r="P4020" s="180" t="s">
        <v>257</v>
      </c>
      <c r="R4020" s="180" t="s">
        <v>257</v>
      </c>
    </row>
    <row r="4021" spans="8:18" x14ac:dyDescent="0.2">
      <c r="H4021" s="180"/>
      <c r="P4021" s="180" t="s">
        <v>257</v>
      </c>
      <c r="R4021" s="180" t="s">
        <v>257</v>
      </c>
    </row>
    <row r="4022" spans="8:18" x14ac:dyDescent="0.2">
      <c r="H4022" s="180"/>
      <c r="P4022" s="180" t="s">
        <v>257</v>
      </c>
      <c r="R4022" s="180" t="s">
        <v>257</v>
      </c>
    </row>
    <row r="4023" spans="8:18" x14ac:dyDescent="0.2">
      <c r="H4023" s="180"/>
      <c r="P4023" s="180" t="s">
        <v>257</v>
      </c>
      <c r="R4023" s="180" t="s">
        <v>257</v>
      </c>
    </row>
    <row r="4024" spans="8:18" x14ac:dyDescent="0.2">
      <c r="H4024" s="180"/>
      <c r="P4024" s="180" t="s">
        <v>257</v>
      </c>
      <c r="R4024" s="180" t="s">
        <v>257</v>
      </c>
    </row>
    <row r="4025" spans="8:18" x14ac:dyDescent="0.2">
      <c r="H4025" s="180"/>
      <c r="P4025" s="180" t="s">
        <v>257</v>
      </c>
      <c r="R4025" s="180" t="s">
        <v>257</v>
      </c>
    </row>
    <row r="4026" spans="8:18" x14ac:dyDescent="0.2">
      <c r="H4026" s="180"/>
      <c r="P4026" s="180" t="s">
        <v>257</v>
      </c>
      <c r="R4026" s="180" t="s">
        <v>257</v>
      </c>
    </row>
    <row r="4027" spans="8:18" x14ac:dyDescent="0.2">
      <c r="H4027" s="180"/>
      <c r="P4027" s="180" t="s">
        <v>257</v>
      </c>
      <c r="R4027" s="180" t="s">
        <v>257</v>
      </c>
    </row>
    <row r="4028" spans="8:18" x14ac:dyDescent="0.2">
      <c r="H4028" s="180"/>
      <c r="P4028" s="180" t="s">
        <v>257</v>
      </c>
      <c r="R4028" s="180" t="s">
        <v>257</v>
      </c>
    </row>
    <row r="4029" spans="8:18" x14ac:dyDescent="0.2">
      <c r="H4029" s="180"/>
      <c r="P4029" s="180" t="s">
        <v>257</v>
      </c>
      <c r="R4029" s="180" t="s">
        <v>257</v>
      </c>
    </row>
    <row r="4030" spans="8:18" x14ac:dyDescent="0.2">
      <c r="H4030" s="180"/>
      <c r="P4030" s="180" t="s">
        <v>257</v>
      </c>
      <c r="R4030" s="180" t="s">
        <v>257</v>
      </c>
    </row>
    <row r="4031" spans="8:18" x14ac:dyDescent="0.2">
      <c r="H4031" s="180"/>
      <c r="P4031" s="180" t="s">
        <v>257</v>
      </c>
      <c r="R4031" s="180" t="s">
        <v>257</v>
      </c>
    </row>
    <row r="4032" spans="8:18" x14ac:dyDescent="0.2">
      <c r="H4032" s="180"/>
      <c r="P4032" s="180" t="s">
        <v>257</v>
      </c>
      <c r="R4032" s="180" t="s">
        <v>257</v>
      </c>
    </row>
    <row r="4033" spans="8:18" x14ac:dyDescent="0.2">
      <c r="H4033" s="180"/>
      <c r="P4033" s="180" t="s">
        <v>257</v>
      </c>
      <c r="R4033" s="180" t="s">
        <v>257</v>
      </c>
    </row>
    <row r="4034" spans="8:18" x14ac:dyDescent="0.2">
      <c r="H4034" s="180"/>
      <c r="P4034" s="180" t="s">
        <v>257</v>
      </c>
      <c r="R4034" s="180" t="s">
        <v>257</v>
      </c>
    </row>
    <row r="4035" spans="8:18" x14ac:dyDescent="0.2">
      <c r="H4035" s="180"/>
      <c r="P4035" s="180" t="s">
        <v>257</v>
      </c>
      <c r="R4035" s="180" t="s">
        <v>257</v>
      </c>
    </row>
    <row r="4036" spans="8:18" x14ac:dyDescent="0.2">
      <c r="H4036" s="180"/>
      <c r="P4036" s="180" t="s">
        <v>257</v>
      </c>
      <c r="R4036" s="180" t="s">
        <v>257</v>
      </c>
    </row>
    <row r="4037" spans="8:18" x14ac:dyDescent="0.2">
      <c r="H4037" s="180"/>
      <c r="P4037" s="180" t="s">
        <v>257</v>
      </c>
      <c r="R4037" s="180" t="s">
        <v>257</v>
      </c>
    </row>
    <row r="4038" spans="8:18" x14ac:dyDescent="0.2">
      <c r="H4038" s="180"/>
      <c r="P4038" s="180" t="s">
        <v>257</v>
      </c>
      <c r="R4038" s="180" t="s">
        <v>257</v>
      </c>
    </row>
    <row r="4039" spans="8:18" x14ac:dyDescent="0.2">
      <c r="H4039" s="180"/>
      <c r="P4039" s="180" t="s">
        <v>257</v>
      </c>
      <c r="R4039" s="180" t="s">
        <v>257</v>
      </c>
    </row>
    <row r="4040" spans="8:18" x14ac:dyDescent="0.2">
      <c r="H4040" s="180"/>
      <c r="P4040" s="180" t="s">
        <v>257</v>
      </c>
      <c r="R4040" s="180" t="s">
        <v>257</v>
      </c>
    </row>
    <row r="4041" spans="8:18" x14ac:dyDescent="0.2">
      <c r="H4041" s="180"/>
      <c r="P4041" s="180" t="s">
        <v>257</v>
      </c>
      <c r="R4041" s="180" t="s">
        <v>257</v>
      </c>
    </row>
    <row r="4042" spans="8:18" x14ac:dyDescent="0.2">
      <c r="H4042" s="180"/>
      <c r="P4042" s="180" t="s">
        <v>257</v>
      </c>
      <c r="R4042" s="180" t="s">
        <v>257</v>
      </c>
    </row>
    <row r="4043" spans="8:18" x14ac:dyDescent="0.2">
      <c r="H4043" s="180"/>
      <c r="P4043" s="180" t="s">
        <v>257</v>
      </c>
      <c r="R4043" s="180" t="s">
        <v>257</v>
      </c>
    </row>
    <row r="4044" spans="8:18" x14ac:dyDescent="0.2">
      <c r="H4044" s="180"/>
      <c r="P4044" s="180" t="s">
        <v>257</v>
      </c>
      <c r="R4044" s="180" t="s">
        <v>257</v>
      </c>
    </row>
    <row r="4045" spans="8:18" x14ac:dyDescent="0.2">
      <c r="H4045" s="180"/>
      <c r="P4045" s="180" t="s">
        <v>257</v>
      </c>
      <c r="R4045" s="180" t="s">
        <v>257</v>
      </c>
    </row>
    <row r="4046" spans="8:18" x14ac:dyDescent="0.2">
      <c r="H4046" s="180"/>
      <c r="P4046" s="180" t="s">
        <v>257</v>
      </c>
      <c r="R4046" s="180" t="s">
        <v>257</v>
      </c>
    </row>
    <row r="4047" spans="8:18" x14ac:dyDescent="0.2">
      <c r="H4047" s="180"/>
      <c r="P4047" s="180" t="s">
        <v>257</v>
      </c>
      <c r="R4047" s="180" t="s">
        <v>257</v>
      </c>
    </row>
    <row r="4048" spans="8:18" x14ac:dyDescent="0.2">
      <c r="H4048" s="180"/>
      <c r="P4048" s="180" t="s">
        <v>257</v>
      </c>
      <c r="R4048" s="180" t="s">
        <v>257</v>
      </c>
    </row>
    <row r="4049" spans="8:18" x14ac:dyDescent="0.2">
      <c r="H4049" s="180"/>
      <c r="P4049" s="180" t="s">
        <v>257</v>
      </c>
      <c r="R4049" s="180" t="s">
        <v>257</v>
      </c>
    </row>
    <row r="4050" spans="8:18" x14ac:dyDescent="0.2">
      <c r="H4050" s="180"/>
      <c r="P4050" s="180" t="s">
        <v>257</v>
      </c>
      <c r="R4050" s="180" t="s">
        <v>257</v>
      </c>
    </row>
    <row r="4051" spans="8:18" x14ac:dyDescent="0.2">
      <c r="H4051" s="180"/>
      <c r="P4051" s="180" t="s">
        <v>257</v>
      </c>
      <c r="R4051" s="180" t="s">
        <v>257</v>
      </c>
    </row>
    <row r="4052" spans="8:18" x14ac:dyDescent="0.2">
      <c r="H4052" s="180"/>
      <c r="P4052" s="180" t="s">
        <v>257</v>
      </c>
      <c r="R4052" s="180" t="s">
        <v>257</v>
      </c>
    </row>
    <row r="4053" spans="8:18" x14ac:dyDescent="0.2">
      <c r="H4053" s="180"/>
      <c r="P4053" s="180" t="s">
        <v>257</v>
      </c>
      <c r="R4053" s="180" t="s">
        <v>257</v>
      </c>
    </row>
    <row r="4054" spans="8:18" x14ac:dyDescent="0.2">
      <c r="H4054" s="180"/>
      <c r="P4054" s="180" t="s">
        <v>257</v>
      </c>
      <c r="R4054" s="180" t="s">
        <v>257</v>
      </c>
    </row>
    <row r="4055" spans="8:18" x14ac:dyDescent="0.2">
      <c r="H4055" s="180"/>
      <c r="P4055" s="180" t="s">
        <v>257</v>
      </c>
      <c r="R4055" s="180" t="s">
        <v>257</v>
      </c>
    </row>
    <row r="4056" spans="8:18" x14ac:dyDescent="0.2">
      <c r="H4056" s="180"/>
      <c r="P4056" s="180" t="s">
        <v>257</v>
      </c>
      <c r="R4056" s="180" t="s">
        <v>257</v>
      </c>
    </row>
    <row r="4057" spans="8:18" x14ac:dyDescent="0.2">
      <c r="H4057" s="180"/>
      <c r="P4057" s="180" t="s">
        <v>257</v>
      </c>
      <c r="R4057" s="180" t="s">
        <v>257</v>
      </c>
    </row>
    <row r="4058" spans="8:18" x14ac:dyDescent="0.2">
      <c r="H4058" s="180"/>
      <c r="P4058" s="180" t="s">
        <v>257</v>
      </c>
      <c r="R4058" s="180" t="s">
        <v>257</v>
      </c>
    </row>
    <row r="4059" spans="8:18" x14ac:dyDescent="0.2">
      <c r="H4059" s="180"/>
      <c r="P4059" s="180" t="s">
        <v>257</v>
      </c>
      <c r="R4059" s="180" t="s">
        <v>257</v>
      </c>
    </row>
    <row r="4060" spans="8:18" x14ac:dyDescent="0.2">
      <c r="H4060" s="180"/>
      <c r="P4060" s="180" t="s">
        <v>257</v>
      </c>
      <c r="R4060" s="180" t="s">
        <v>257</v>
      </c>
    </row>
    <row r="4061" spans="8:18" x14ac:dyDescent="0.2">
      <c r="H4061" s="180"/>
      <c r="P4061" s="180" t="s">
        <v>257</v>
      </c>
      <c r="R4061" s="180" t="s">
        <v>257</v>
      </c>
    </row>
    <row r="4062" spans="8:18" x14ac:dyDescent="0.2">
      <c r="H4062" s="180"/>
      <c r="P4062" s="180" t="s">
        <v>257</v>
      </c>
      <c r="R4062" s="180" t="s">
        <v>257</v>
      </c>
    </row>
    <row r="4063" spans="8:18" x14ac:dyDescent="0.2">
      <c r="H4063" s="180"/>
      <c r="P4063" s="180" t="s">
        <v>257</v>
      </c>
      <c r="R4063" s="180" t="s">
        <v>257</v>
      </c>
    </row>
    <row r="4064" spans="8:18" x14ac:dyDescent="0.2">
      <c r="H4064" s="180"/>
      <c r="P4064" s="180" t="s">
        <v>257</v>
      </c>
      <c r="R4064" s="180" t="s">
        <v>257</v>
      </c>
    </row>
    <row r="4065" spans="8:18" x14ac:dyDescent="0.2">
      <c r="H4065" s="180"/>
      <c r="P4065" s="180" t="s">
        <v>257</v>
      </c>
      <c r="R4065" s="180" t="s">
        <v>257</v>
      </c>
    </row>
    <row r="4066" spans="8:18" x14ac:dyDescent="0.2">
      <c r="H4066" s="180"/>
      <c r="P4066" s="180" t="s">
        <v>257</v>
      </c>
      <c r="R4066" s="180" t="s">
        <v>257</v>
      </c>
    </row>
    <row r="4067" spans="8:18" x14ac:dyDescent="0.2">
      <c r="H4067" s="180"/>
      <c r="P4067" s="180" t="s">
        <v>257</v>
      </c>
      <c r="R4067" s="180" t="s">
        <v>257</v>
      </c>
    </row>
    <row r="4068" spans="8:18" x14ac:dyDescent="0.2">
      <c r="H4068" s="180"/>
      <c r="P4068" s="180" t="s">
        <v>257</v>
      </c>
      <c r="R4068" s="180" t="s">
        <v>257</v>
      </c>
    </row>
    <row r="4069" spans="8:18" x14ac:dyDescent="0.2">
      <c r="H4069" s="180"/>
      <c r="P4069" s="180" t="s">
        <v>257</v>
      </c>
      <c r="R4069" s="180" t="s">
        <v>257</v>
      </c>
    </row>
    <row r="4070" spans="8:18" x14ac:dyDescent="0.2">
      <c r="H4070" s="180"/>
      <c r="P4070" s="180" t="s">
        <v>257</v>
      </c>
      <c r="R4070" s="180" t="s">
        <v>257</v>
      </c>
    </row>
    <row r="4071" spans="8:18" x14ac:dyDescent="0.2">
      <c r="H4071" s="180"/>
      <c r="P4071" s="180" t="s">
        <v>257</v>
      </c>
      <c r="R4071" s="180" t="s">
        <v>257</v>
      </c>
    </row>
    <row r="4072" spans="8:18" x14ac:dyDescent="0.2">
      <c r="H4072" s="180"/>
      <c r="P4072" s="180" t="s">
        <v>257</v>
      </c>
      <c r="R4072" s="180" t="s">
        <v>257</v>
      </c>
    </row>
    <row r="4073" spans="8:18" x14ac:dyDescent="0.2">
      <c r="H4073" s="180"/>
      <c r="P4073" s="180" t="s">
        <v>257</v>
      </c>
      <c r="R4073" s="180" t="s">
        <v>257</v>
      </c>
    </row>
    <row r="4074" spans="8:18" x14ac:dyDescent="0.2">
      <c r="H4074" s="180"/>
      <c r="P4074" s="180" t="s">
        <v>257</v>
      </c>
      <c r="R4074" s="180" t="s">
        <v>257</v>
      </c>
    </row>
    <row r="4075" spans="8:18" x14ac:dyDescent="0.2">
      <c r="H4075" s="180"/>
      <c r="P4075" s="180" t="s">
        <v>257</v>
      </c>
      <c r="R4075" s="180" t="s">
        <v>257</v>
      </c>
    </row>
    <row r="4076" spans="8:18" x14ac:dyDescent="0.2">
      <c r="H4076" s="180"/>
      <c r="P4076" s="180" t="s">
        <v>257</v>
      </c>
      <c r="R4076" s="180" t="s">
        <v>257</v>
      </c>
    </row>
    <row r="4077" spans="8:18" x14ac:dyDescent="0.2">
      <c r="H4077" s="180"/>
      <c r="P4077" s="180" t="s">
        <v>257</v>
      </c>
      <c r="R4077" s="180" t="s">
        <v>257</v>
      </c>
    </row>
    <row r="4078" spans="8:18" x14ac:dyDescent="0.2">
      <c r="H4078" s="180"/>
      <c r="P4078" s="180" t="s">
        <v>257</v>
      </c>
      <c r="R4078" s="180" t="s">
        <v>257</v>
      </c>
    </row>
    <row r="4079" spans="8:18" x14ac:dyDescent="0.2">
      <c r="H4079" s="180"/>
      <c r="P4079" s="180" t="s">
        <v>257</v>
      </c>
      <c r="R4079" s="180" t="s">
        <v>257</v>
      </c>
    </row>
    <row r="4080" spans="8:18" x14ac:dyDescent="0.2">
      <c r="H4080" s="180"/>
      <c r="P4080" s="180" t="s">
        <v>257</v>
      </c>
      <c r="R4080" s="180" t="s">
        <v>257</v>
      </c>
    </row>
    <row r="4081" spans="8:18" x14ac:dyDescent="0.2">
      <c r="H4081" s="180"/>
      <c r="P4081" s="180" t="s">
        <v>257</v>
      </c>
      <c r="R4081" s="180" t="s">
        <v>257</v>
      </c>
    </row>
    <row r="4082" spans="8:18" x14ac:dyDescent="0.2">
      <c r="H4082" s="180"/>
      <c r="P4082" s="180" t="s">
        <v>257</v>
      </c>
      <c r="R4082" s="180" t="s">
        <v>257</v>
      </c>
    </row>
    <row r="4083" spans="8:18" x14ac:dyDescent="0.2">
      <c r="H4083" s="180"/>
      <c r="P4083" s="180" t="s">
        <v>257</v>
      </c>
      <c r="R4083" s="180" t="s">
        <v>257</v>
      </c>
    </row>
    <row r="4084" spans="8:18" x14ac:dyDescent="0.2">
      <c r="H4084" s="180"/>
      <c r="P4084" s="180" t="s">
        <v>257</v>
      </c>
      <c r="R4084" s="180" t="s">
        <v>257</v>
      </c>
    </row>
    <row r="4085" spans="8:18" x14ac:dyDescent="0.2">
      <c r="H4085" s="180"/>
      <c r="P4085" s="180" t="s">
        <v>257</v>
      </c>
      <c r="R4085" s="180" t="s">
        <v>257</v>
      </c>
    </row>
    <row r="4086" spans="8:18" x14ac:dyDescent="0.2">
      <c r="H4086" s="180"/>
      <c r="P4086" s="180" t="s">
        <v>257</v>
      </c>
      <c r="R4086" s="180" t="s">
        <v>257</v>
      </c>
    </row>
    <row r="4087" spans="8:18" x14ac:dyDescent="0.2">
      <c r="H4087" s="180"/>
      <c r="P4087" s="180" t="s">
        <v>257</v>
      </c>
      <c r="R4087" s="180" t="s">
        <v>257</v>
      </c>
    </row>
    <row r="4088" spans="8:18" x14ac:dyDescent="0.2">
      <c r="H4088" s="180"/>
      <c r="P4088" s="180" t="s">
        <v>257</v>
      </c>
      <c r="R4088" s="180" t="s">
        <v>257</v>
      </c>
    </row>
    <row r="4089" spans="8:18" x14ac:dyDescent="0.2">
      <c r="H4089" s="180"/>
      <c r="P4089" s="180" t="s">
        <v>257</v>
      </c>
      <c r="R4089" s="180" t="s">
        <v>257</v>
      </c>
    </row>
    <row r="4090" spans="8:18" x14ac:dyDescent="0.2">
      <c r="H4090" s="180"/>
      <c r="P4090" s="180" t="s">
        <v>257</v>
      </c>
      <c r="R4090" s="180" t="s">
        <v>257</v>
      </c>
    </row>
    <row r="4091" spans="8:18" x14ac:dyDescent="0.2">
      <c r="H4091" s="180"/>
      <c r="P4091" s="180" t="s">
        <v>257</v>
      </c>
      <c r="R4091" s="180" t="s">
        <v>257</v>
      </c>
    </row>
    <row r="4092" spans="8:18" x14ac:dyDescent="0.2">
      <c r="H4092" s="180"/>
      <c r="P4092" s="180" t="s">
        <v>257</v>
      </c>
      <c r="R4092" s="180" t="s">
        <v>257</v>
      </c>
    </row>
    <row r="4093" spans="8:18" x14ac:dyDescent="0.2">
      <c r="H4093" s="180"/>
      <c r="P4093" s="180" t="s">
        <v>257</v>
      </c>
      <c r="R4093" s="180" t="s">
        <v>257</v>
      </c>
    </row>
    <row r="4094" spans="8:18" x14ac:dyDescent="0.2">
      <c r="H4094" s="180"/>
      <c r="P4094" s="180" t="s">
        <v>257</v>
      </c>
      <c r="R4094" s="180" t="s">
        <v>257</v>
      </c>
    </row>
    <row r="4095" spans="8:18" x14ac:dyDescent="0.2">
      <c r="H4095" s="180"/>
      <c r="P4095" s="180" t="s">
        <v>257</v>
      </c>
      <c r="R4095" s="180" t="s">
        <v>257</v>
      </c>
    </row>
    <row r="4096" spans="8:18" x14ac:dyDescent="0.2">
      <c r="H4096" s="180"/>
      <c r="P4096" s="180" t="s">
        <v>257</v>
      </c>
      <c r="R4096" s="180" t="s">
        <v>257</v>
      </c>
    </row>
    <row r="4097" spans="8:18" x14ac:dyDescent="0.2">
      <c r="H4097" s="180"/>
      <c r="P4097" s="180" t="s">
        <v>257</v>
      </c>
      <c r="R4097" s="180" t="s">
        <v>257</v>
      </c>
    </row>
    <row r="4098" spans="8:18" x14ac:dyDescent="0.2">
      <c r="H4098" s="180"/>
      <c r="P4098" s="180" t="s">
        <v>257</v>
      </c>
      <c r="R4098" s="180" t="s">
        <v>257</v>
      </c>
    </row>
    <row r="4099" spans="8:18" x14ac:dyDescent="0.2">
      <c r="H4099" s="180"/>
      <c r="P4099" s="180" t="s">
        <v>257</v>
      </c>
      <c r="R4099" s="180" t="s">
        <v>257</v>
      </c>
    </row>
    <row r="4100" spans="8:18" x14ac:dyDescent="0.2">
      <c r="H4100" s="180"/>
      <c r="P4100" s="180" t="s">
        <v>257</v>
      </c>
      <c r="R4100" s="180" t="s">
        <v>257</v>
      </c>
    </row>
    <row r="4101" spans="8:18" x14ac:dyDescent="0.2">
      <c r="H4101" s="180"/>
      <c r="P4101" s="180" t="s">
        <v>257</v>
      </c>
      <c r="R4101" s="180" t="s">
        <v>257</v>
      </c>
    </row>
    <row r="4102" spans="8:18" x14ac:dyDescent="0.2">
      <c r="H4102" s="180"/>
      <c r="P4102" s="180" t="s">
        <v>257</v>
      </c>
      <c r="R4102" s="180" t="s">
        <v>257</v>
      </c>
    </row>
    <row r="4103" spans="8:18" x14ac:dyDescent="0.2">
      <c r="H4103" s="180"/>
      <c r="P4103" s="180" t="s">
        <v>257</v>
      </c>
      <c r="R4103" s="180" t="s">
        <v>257</v>
      </c>
    </row>
    <row r="4104" spans="8:18" x14ac:dyDescent="0.2">
      <c r="H4104" s="180"/>
      <c r="P4104" s="180" t="s">
        <v>257</v>
      </c>
      <c r="R4104" s="180" t="s">
        <v>257</v>
      </c>
    </row>
    <row r="4105" spans="8:18" x14ac:dyDescent="0.2">
      <c r="H4105" s="180"/>
      <c r="P4105" s="180" t="s">
        <v>257</v>
      </c>
      <c r="R4105" s="180" t="s">
        <v>257</v>
      </c>
    </row>
    <row r="4106" spans="8:18" x14ac:dyDescent="0.2">
      <c r="H4106" s="180"/>
      <c r="P4106" s="180" t="s">
        <v>257</v>
      </c>
      <c r="R4106" s="180" t="s">
        <v>257</v>
      </c>
    </row>
    <row r="4107" spans="8:18" x14ac:dyDescent="0.2">
      <c r="H4107" s="180"/>
      <c r="P4107" s="180" t="s">
        <v>257</v>
      </c>
      <c r="R4107" s="180" t="s">
        <v>257</v>
      </c>
    </row>
    <row r="4108" spans="8:18" x14ac:dyDescent="0.2">
      <c r="H4108" s="180"/>
      <c r="P4108" s="180" t="s">
        <v>257</v>
      </c>
      <c r="R4108" s="180" t="s">
        <v>257</v>
      </c>
    </row>
    <row r="4109" spans="8:18" x14ac:dyDescent="0.2">
      <c r="H4109" s="180"/>
      <c r="P4109" s="180" t="s">
        <v>257</v>
      </c>
      <c r="R4109" s="180" t="s">
        <v>257</v>
      </c>
    </row>
    <row r="4110" spans="8:18" x14ac:dyDescent="0.2">
      <c r="H4110" s="180"/>
      <c r="P4110" s="180" t="s">
        <v>257</v>
      </c>
      <c r="R4110" s="180" t="s">
        <v>257</v>
      </c>
    </row>
    <row r="4111" spans="8:18" x14ac:dyDescent="0.2">
      <c r="H4111" s="180"/>
      <c r="P4111" s="180" t="s">
        <v>257</v>
      </c>
      <c r="R4111" s="180" t="s">
        <v>257</v>
      </c>
    </row>
    <row r="4112" spans="8:18" x14ac:dyDescent="0.2">
      <c r="H4112" s="180"/>
      <c r="P4112" s="180" t="s">
        <v>257</v>
      </c>
      <c r="R4112" s="180" t="s">
        <v>257</v>
      </c>
    </row>
    <row r="4113" spans="8:18" x14ac:dyDescent="0.2">
      <c r="H4113" s="180"/>
      <c r="P4113" s="180" t="s">
        <v>257</v>
      </c>
      <c r="R4113" s="180" t="s">
        <v>257</v>
      </c>
    </row>
    <row r="4114" spans="8:18" x14ac:dyDescent="0.2">
      <c r="H4114" s="180"/>
      <c r="P4114" s="180" t="s">
        <v>257</v>
      </c>
      <c r="R4114" s="180" t="s">
        <v>257</v>
      </c>
    </row>
    <row r="4115" spans="8:18" x14ac:dyDescent="0.2">
      <c r="H4115" s="180"/>
      <c r="P4115" s="180" t="s">
        <v>257</v>
      </c>
      <c r="R4115" s="180" t="s">
        <v>257</v>
      </c>
    </row>
    <row r="4116" spans="8:18" x14ac:dyDescent="0.2">
      <c r="H4116" s="180"/>
      <c r="P4116" s="180" t="s">
        <v>257</v>
      </c>
      <c r="R4116" s="180" t="s">
        <v>257</v>
      </c>
    </row>
    <row r="4117" spans="8:18" x14ac:dyDescent="0.2">
      <c r="H4117" s="180"/>
      <c r="P4117" s="180" t="s">
        <v>257</v>
      </c>
      <c r="R4117" s="180" t="s">
        <v>257</v>
      </c>
    </row>
    <row r="4118" spans="8:18" x14ac:dyDescent="0.2">
      <c r="H4118" s="180"/>
      <c r="P4118" s="180" t="s">
        <v>257</v>
      </c>
      <c r="R4118" s="180" t="s">
        <v>257</v>
      </c>
    </row>
    <row r="4119" spans="8:18" x14ac:dyDescent="0.2">
      <c r="H4119" s="180"/>
      <c r="P4119" s="180" t="s">
        <v>257</v>
      </c>
      <c r="R4119" s="180" t="s">
        <v>257</v>
      </c>
    </row>
    <row r="4120" spans="8:18" x14ac:dyDescent="0.2">
      <c r="H4120" s="180"/>
      <c r="P4120" s="180" t="s">
        <v>257</v>
      </c>
      <c r="R4120" s="180" t="s">
        <v>257</v>
      </c>
    </row>
    <row r="4121" spans="8:18" x14ac:dyDescent="0.2">
      <c r="H4121" s="180"/>
      <c r="P4121" s="180" t="s">
        <v>257</v>
      </c>
      <c r="R4121" s="180" t="s">
        <v>257</v>
      </c>
    </row>
    <row r="4122" spans="8:18" x14ac:dyDescent="0.2">
      <c r="H4122" s="180"/>
      <c r="P4122" s="180" t="s">
        <v>257</v>
      </c>
      <c r="R4122" s="180" t="s">
        <v>257</v>
      </c>
    </row>
    <row r="4123" spans="8:18" x14ac:dyDescent="0.2">
      <c r="H4123" s="180"/>
      <c r="P4123" s="180" t="s">
        <v>257</v>
      </c>
      <c r="R4123" s="180" t="s">
        <v>257</v>
      </c>
    </row>
    <row r="4124" spans="8:18" x14ac:dyDescent="0.2">
      <c r="H4124" s="180"/>
      <c r="P4124" s="180" t="s">
        <v>257</v>
      </c>
      <c r="R4124" s="180" t="s">
        <v>257</v>
      </c>
    </row>
    <row r="4125" spans="8:18" x14ac:dyDescent="0.2">
      <c r="H4125" s="180"/>
      <c r="P4125" s="180" t="s">
        <v>257</v>
      </c>
      <c r="R4125" s="180" t="s">
        <v>257</v>
      </c>
    </row>
    <row r="4126" spans="8:18" x14ac:dyDescent="0.2">
      <c r="H4126" s="180"/>
      <c r="P4126" s="180" t="s">
        <v>257</v>
      </c>
      <c r="R4126" s="180" t="s">
        <v>257</v>
      </c>
    </row>
    <row r="4127" spans="8:18" x14ac:dyDescent="0.2">
      <c r="H4127" s="180"/>
      <c r="P4127" s="180" t="s">
        <v>257</v>
      </c>
      <c r="R4127" s="180" t="s">
        <v>257</v>
      </c>
    </row>
    <row r="4128" spans="8:18" x14ac:dyDescent="0.2">
      <c r="H4128" s="180"/>
      <c r="P4128" s="180" t="s">
        <v>257</v>
      </c>
      <c r="R4128" s="180" t="s">
        <v>257</v>
      </c>
    </row>
    <row r="4129" spans="8:18" x14ac:dyDescent="0.2">
      <c r="H4129" s="180"/>
      <c r="P4129" s="180" t="s">
        <v>257</v>
      </c>
      <c r="R4129" s="180" t="s">
        <v>257</v>
      </c>
    </row>
    <row r="4130" spans="8:18" x14ac:dyDescent="0.2">
      <c r="H4130" s="180"/>
      <c r="P4130" s="180" t="s">
        <v>257</v>
      </c>
      <c r="R4130" s="180" t="s">
        <v>257</v>
      </c>
    </row>
    <row r="4131" spans="8:18" x14ac:dyDescent="0.2">
      <c r="H4131" s="180"/>
      <c r="P4131" s="180" t="s">
        <v>257</v>
      </c>
      <c r="R4131" s="180" t="s">
        <v>257</v>
      </c>
    </row>
    <row r="4132" spans="8:18" x14ac:dyDescent="0.2">
      <c r="H4132" s="180"/>
      <c r="P4132" s="180" t="s">
        <v>257</v>
      </c>
      <c r="R4132" s="180" t="s">
        <v>257</v>
      </c>
    </row>
    <row r="4133" spans="8:18" x14ac:dyDescent="0.2">
      <c r="H4133" s="180"/>
      <c r="P4133" s="180" t="s">
        <v>257</v>
      </c>
      <c r="R4133" s="180" t="s">
        <v>257</v>
      </c>
    </row>
    <row r="4134" spans="8:18" x14ac:dyDescent="0.2">
      <c r="H4134" s="180"/>
      <c r="P4134" s="180" t="s">
        <v>257</v>
      </c>
      <c r="R4134" s="180" t="s">
        <v>257</v>
      </c>
    </row>
    <row r="4135" spans="8:18" x14ac:dyDescent="0.2">
      <c r="H4135" s="180"/>
      <c r="P4135" s="180" t="s">
        <v>257</v>
      </c>
      <c r="R4135" s="180" t="s">
        <v>257</v>
      </c>
    </row>
    <row r="4136" spans="8:18" x14ac:dyDescent="0.2">
      <c r="H4136" s="180"/>
      <c r="P4136" s="180" t="s">
        <v>257</v>
      </c>
      <c r="R4136" s="180" t="s">
        <v>257</v>
      </c>
    </row>
    <row r="4137" spans="8:18" x14ac:dyDescent="0.2">
      <c r="H4137" s="180"/>
      <c r="P4137" s="180" t="s">
        <v>257</v>
      </c>
      <c r="R4137" s="180" t="s">
        <v>257</v>
      </c>
    </row>
    <row r="4138" spans="8:18" x14ac:dyDescent="0.2">
      <c r="H4138" s="180"/>
      <c r="P4138" s="180" t="s">
        <v>257</v>
      </c>
      <c r="R4138" s="180" t="s">
        <v>257</v>
      </c>
    </row>
    <row r="4139" spans="8:18" x14ac:dyDescent="0.2">
      <c r="H4139" s="180"/>
      <c r="P4139" s="180" t="s">
        <v>257</v>
      </c>
      <c r="R4139" s="180" t="s">
        <v>257</v>
      </c>
    </row>
    <row r="4140" spans="8:18" x14ac:dyDescent="0.2">
      <c r="H4140" s="180"/>
      <c r="P4140" s="180" t="s">
        <v>257</v>
      </c>
      <c r="R4140" s="180" t="s">
        <v>257</v>
      </c>
    </row>
    <row r="4141" spans="8:18" x14ac:dyDescent="0.2">
      <c r="H4141" s="180"/>
      <c r="P4141" s="180" t="s">
        <v>257</v>
      </c>
      <c r="R4141" s="180" t="s">
        <v>257</v>
      </c>
    </row>
    <row r="4142" spans="8:18" x14ac:dyDescent="0.2">
      <c r="H4142" s="180"/>
      <c r="P4142" s="180" t="s">
        <v>257</v>
      </c>
      <c r="R4142" s="180" t="s">
        <v>257</v>
      </c>
    </row>
    <row r="4143" spans="8:18" x14ac:dyDescent="0.2">
      <c r="H4143" s="180"/>
      <c r="P4143" s="180" t="s">
        <v>257</v>
      </c>
      <c r="R4143" s="180" t="s">
        <v>257</v>
      </c>
    </row>
    <row r="4144" spans="8:18" x14ac:dyDescent="0.2">
      <c r="H4144" s="180"/>
      <c r="P4144" s="180" t="s">
        <v>257</v>
      </c>
      <c r="R4144" s="180" t="s">
        <v>257</v>
      </c>
    </row>
    <row r="4145" spans="8:18" x14ac:dyDescent="0.2">
      <c r="H4145" s="180"/>
      <c r="P4145" s="180" t="s">
        <v>257</v>
      </c>
      <c r="R4145" s="180" t="s">
        <v>257</v>
      </c>
    </row>
    <row r="4146" spans="8:18" x14ac:dyDescent="0.2">
      <c r="H4146" s="180"/>
      <c r="P4146" s="180" t="s">
        <v>257</v>
      </c>
      <c r="R4146" s="180" t="s">
        <v>257</v>
      </c>
    </row>
    <row r="4147" spans="8:18" x14ac:dyDescent="0.2">
      <c r="H4147" s="180"/>
      <c r="P4147" s="180" t="s">
        <v>257</v>
      </c>
      <c r="R4147" s="180" t="s">
        <v>257</v>
      </c>
    </row>
    <row r="4148" spans="8:18" x14ac:dyDescent="0.2">
      <c r="H4148" s="180"/>
      <c r="P4148" s="180" t="s">
        <v>257</v>
      </c>
      <c r="R4148" s="180" t="s">
        <v>257</v>
      </c>
    </row>
    <row r="4149" spans="8:18" x14ac:dyDescent="0.2">
      <c r="H4149" s="180"/>
      <c r="P4149" s="180" t="s">
        <v>257</v>
      </c>
      <c r="R4149" s="180" t="s">
        <v>257</v>
      </c>
    </row>
    <row r="4150" spans="8:18" x14ac:dyDescent="0.2">
      <c r="H4150" s="180"/>
      <c r="P4150" s="180" t="s">
        <v>257</v>
      </c>
      <c r="R4150" s="180" t="s">
        <v>257</v>
      </c>
    </row>
    <row r="4151" spans="8:18" x14ac:dyDescent="0.2">
      <c r="H4151" s="180"/>
      <c r="P4151" s="180" t="s">
        <v>257</v>
      </c>
      <c r="R4151" s="180" t="s">
        <v>257</v>
      </c>
    </row>
    <row r="4152" spans="8:18" x14ac:dyDescent="0.2">
      <c r="H4152" s="180"/>
      <c r="P4152" s="180" t="s">
        <v>257</v>
      </c>
      <c r="R4152" s="180" t="s">
        <v>257</v>
      </c>
    </row>
    <row r="4153" spans="8:18" x14ac:dyDescent="0.2">
      <c r="H4153" s="180"/>
      <c r="P4153" s="180" t="s">
        <v>257</v>
      </c>
      <c r="R4153" s="180" t="s">
        <v>257</v>
      </c>
    </row>
    <row r="4154" spans="8:18" x14ac:dyDescent="0.2">
      <c r="H4154" s="180"/>
      <c r="P4154" s="180" t="s">
        <v>257</v>
      </c>
      <c r="R4154" s="180" t="s">
        <v>257</v>
      </c>
    </row>
    <row r="4155" spans="8:18" x14ac:dyDescent="0.2">
      <c r="H4155" s="180"/>
      <c r="P4155" s="180" t="s">
        <v>257</v>
      </c>
      <c r="R4155" s="180" t="s">
        <v>257</v>
      </c>
    </row>
    <row r="4156" spans="8:18" x14ac:dyDescent="0.2">
      <c r="H4156" s="180"/>
      <c r="P4156" s="180" t="s">
        <v>257</v>
      </c>
      <c r="R4156" s="180" t="s">
        <v>257</v>
      </c>
    </row>
    <row r="4157" spans="8:18" x14ac:dyDescent="0.2">
      <c r="H4157" s="180"/>
      <c r="P4157" s="180" t="s">
        <v>257</v>
      </c>
      <c r="R4157" s="180" t="s">
        <v>257</v>
      </c>
    </row>
    <row r="4158" spans="8:18" x14ac:dyDescent="0.2">
      <c r="H4158" s="180"/>
      <c r="P4158" s="180" t="s">
        <v>257</v>
      </c>
      <c r="R4158" s="180" t="s">
        <v>257</v>
      </c>
    </row>
    <row r="4159" spans="8:18" x14ac:dyDescent="0.2">
      <c r="H4159" s="180"/>
      <c r="P4159" s="180" t="s">
        <v>257</v>
      </c>
      <c r="R4159" s="180" t="s">
        <v>257</v>
      </c>
    </row>
    <row r="4160" spans="8:18" x14ac:dyDescent="0.2">
      <c r="H4160" s="180"/>
      <c r="P4160" s="180" t="s">
        <v>257</v>
      </c>
      <c r="R4160" s="180" t="s">
        <v>257</v>
      </c>
    </row>
    <row r="4161" spans="8:18" x14ac:dyDescent="0.2">
      <c r="H4161" s="180"/>
      <c r="P4161" s="180" t="s">
        <v>257</v>
      </c>
      <c r="R4161" s="180" t="s">
        <v>257</v>
      </c>
    </row>
    <row r="4162" spans="8:18" x14ac:dyDescent="0.2">
      <c r="H4162" s="180"/>
      <c r="P4162" s="180" t="s">
        <v>257</v>
      </c>
      <c r="R4162" s="180" t="s">
        <v>257</v>
      </c>
    </row>
    <row r="4163" spans="8:18" x14ac:dyDescent="0.2">
      <c r="H4163" s="180"/>
      <c r="P4163" s="180" t="s">
        <v>257</v>
      </c>
      <c r="R4163" s="180" t="s">
        <v>257</v>
      </c>
    </row>
    <row r="4164" spans="8:18" x14ac:dyDescent="0.2">
      <c r="H4164" s="180"/>
      <c r="P4164" s="180" t="s">
        <v>257</v>
      </c>
      <c r="R4164" s="180" t="s">
        <v>257</v>
      </c>
    </row>
    <row r="4165" spans="8:18" x14ac:dyDescent="0.2">
      <c r="H4165" s="180"/>
      <c r="P4165" s="180" t="s">
        <v>257</v>
      </c>
      <c r="R4165" s="180" t="s">
        <v>257</v>
      </c>
    </row>
    <row r="4166" spans="8:18" x14ac:dyDescent="0.2">
      <c r="H4166" s="180"/>
      <c r="P4166" s="180" t="s">
        <v>257</v>
      </c>
      <c r="R4166" s="180" t="s">
        <v>257</v>
      </c>
    </row>
    <row r="4167" spans="8:18" x14ac:dyDescent="0.2">
      <c r="H4167" s="180"/>
      <c r="P4167" s="180" t="s">
        <v>257</v>
      </c>
      <c r="R4167" s="180" t="s">
        <v>257</v>
      </c>
    </row>
    <row r="4168" spans="8:18" x14ac:dyDescent="0.2">
      <c r="H4168" s="180"/>
      <c r="P4168" s="180" t="s">
        <v>257</v>
      </c>
      <c r="R4168" s="180" t="s">
        <v>257</v>
      </c>
    </row>
    <row r="4169" spans="8:18" x14ac:dyDescent="0.2">
      <c r="H4169" s="180"/>
      <c r="P4169" s="180" t="s">
        <v>257</v>
      </c>
      <c r="R4169" s="180" t="s">
        <v>257</v>
      </c>
    </row>
    <row r="4170" spans="8:18" x14ac:dyDescent="0.2">
      <c r="H4170" s="180"/>
      <c r="P4170" s="180" t="s">
        <v>257</v>
      </c>
      <c r="R4170" s="180" t="s">
        <v>257</v>
      </c>
    </row>
    <row r="4171" spans="8:18" x14ac:dyDescent="0.2">
      <c r="H4171" s="180"/>
      <c r="P4171" s="180" t="s">
        <v>257</v>
      </c>
      <c r="R4171" s="180" t="s">
        <v>257</v>
      </c>
    </row>
    <row r="4172" spans="8:18" x14ac:dyDescent="0.2">
      <c r="H4172" s="180"/>
      <c r="P4172" s="180" t="s">
        <v>257</v>
      </c>
      <c r="R4172" s="180" t="s">
        <v>257</v>
      </c>
    </row>
    <row r="4173" spans="8:18" x14ac:dyDescent="0.2">
      <c r="H4173" s="180"/>
      <c r="P4173" s="180" t="s">
        <v>257</v>
      </c>
      <c r="R4173" s="180" t="s">
        <v>257</v>
      </c>
    </row>
    <row r="4174" spans="8:18" x14ac:dyDescent="0.2">
      <c r="H4174" s="180"/>
      <c r="P4174" s="180" t="s">
        <v>257</v>
      </c>
      <c r="R4174" s="180" t="s">
        <v>257</v>
      </c>
    </row>
    <row r="4175" spans="8:18" x14ac:dyDescent="0.2">
      <c r="H4175" s="180"/>
      <c r="P4175" s="180" t="s">
        <v>257</v>
      </c>
      <c r="R4175" s="180" t="s">
        <v>257</v>
      </c>
    </row>
    <row r="4176" spans="8:18" x14ac:dyDescent="0.2">
      <c r="H4176" s="180"/>
      <c r="P4176" s="180" t="s">
        <v>257</v>
      </c>
      <c r="R4176" s="180" t="s">
        <v>257</v>
      </c>
    </row>
    <row r="4177" spans="8:18" x14ac:dyDescent="0.2">
      <c r="H4177" s="180"/>
      <c r="P4177" s="180" t="s">
        <v>257</v>
      </c>
      <c r="R4177" s="180" t="s">
        <v>257</v>
      </c>
    </row>
    <row r="4178" spans="8:18" x14ac:dyDescent="0.2">
      <c r="H4178" s="180"/>
      <c r="P4178" s="180" t="s">
        <v>257</v>
      </c>
      <c r="R4178" s="180" t="s">
        <v>257</v>
      </c>
    </row>
    <row r="4179" spans="8:18" x14ac:dyDescent="0.2">
      <c r="H4179" s="180"/>
      <c r="P4179" s="180" t="s">
        <v>257</v>
      </c>
      <c r="R4179" s="180" t="s">
        <v>257</v>
      </c>
    </row>
    <row r="4180" spans="8:18" x14ac:dyDescent="0.2">
      <c r="H4180" s="180"/>
      <c r="P4180" s="180" t="s">
        <v>257</v>
      </c>
      <c r="R4180" s="180" t="s">
        <v>257</v>
      </c>
    </row>
    <row r="4181" spans="8:18" x14ac:dyDescent="0.2">
      <c r="H4181" s="180"/>
      <c r="P4181" s="180" t="s">
        <v>257</v>
      </c>
      <c r="R4181" s="180" t="s">
        <v>257</v>
      </c>
    </row>
    <row r="4182" spans="8:18" x14ac:dyDescent="0.2">
      <c r="H4182" s="180"/>
      <c r="P4182" s="180" t="s">
        <v>257</v>
      </c>
      <c r="R4182" s="180" t="s">
        <v>257</v>
      </c>
    </row>
    <row r="4183" spans="8:18" x14ac:dyDescent="0.2">
      <c r="H4183" s="180"/>
      <c r="P4183" s="180" t="s">
        <v>257</v>
      </c>
      <c r="R4183" s="180" t="s">
        <v>257</v>
      </c>
    </row>
    <row r="4184" spans="8:18" x14ac:dyDescent="0.2">
      <c r="H4184" s="180"/>
      <c r="P4184" s="180" t="s">
        <v>257</v>
      </c>
      <c r="R4184" s="180" t="s">
        <v>257</v>
      </c>
    </row>
    <row r="4185" spans="8:18" x14ac:dyDescent="0.2">
      <c r="H4185" s="180"/>
      <c r="P4185" s="180" t="s">
        <v>257</v>
      </c>
      <c r="R4185" s="180" t="s">
        <v>257</v>
      </c>
    </row>
    <row r="4186" spans="8:18" x14ac:dyDescent="0.2">
      <c r="H4186" s="180"/>
      <c r="P4186" s="180" t="s">
        <v>257</v>
      </c>
      <c r="R4186" s="180" t="s">
        <v>257</v>
      </c>
    </row>
    <row r="4187" spans="8:18" x14ac:dyDescent="0.2">
      <c r="H4187" s="180"/>
      <c r="P4187" s="180" t="s">
        <v>257</v>
      </c>
      <c r="R4187" s="180" t="s">
        <v>257</v>
      </c>
    </row>
    <row r="4188" spans="8:18" x14ac:dyDescent="0.2">
      <c r="H4188" s="180"/>
      <c r="P4188" s="180" t="s">
        <v>257</v>
      </c>
      <c r="R4188" s="180" t="s">
        <v>257</v>
      </c>
    </row>
    <row r="4189" spans="8:18" x14ac:dyDescent="0.2">
      <c r="H4189" s="180"/>
      <c r="P4189" s="180" t="s">
        <v>257</v>
      </c>
      <c r="R4189" s="180" t="s">
        <v>257</v>
      </c>
    </row>
    <row r="4190" spans="8:18" x14ac:dyDescent="0.2">
      <c r="H4190" s="180"/>
      <c r="P4190" s="180" t="s">
        <v>257</v>
      </c>
      <c r="R4190" s="180" t="s">
        <v>257</v>
      </c>
    </row>
    <row r="4191" spans="8:18" x14ac:dyDescent="0.2">
      <c r="H4191" s="180"/>
      <c r="P4191" s="180" t="s">
        <v>257</v>
      </c>
      <c r="R4191" s="180" t="s">
        <v>257</v>
      </c>
    </row>
    <row r="4192" spans="8:18" x14ac:dyDescent="0.2">
      <c r="H4192" s="180"/>
      <c r="P4192" s="180" t="s">
        <v>257</v>
      </c>
      <c r="R4192" s="180" t="s">
        <v>257</v>
      </c>
    </row>
    <row r="4193" spans="8:18" x14ac:dyDescent="0.2">
      <c r="H4193" s="180"/>
      <c r="P4193" s="180" t="s">
        <v>257</v>
      </c>
      <c r="R4193" s="180" t="s">
        <v>257</v>
      </c>
    </row>
    <row r="4194" spans="8:18" x14ac:dyDescent="0.2">
      <c r="H4194" s="180"/>
      <c r="P4194" s="180" t="s">
        <v>257</v>
      </c>
      <c r="R4194" s="180" t="s">
        <v>257</v>
      </c>
    </row>
    <row r="4195" spans="8:18" x14ac:dyDescent="0.2">
      <c r="H4195" s="180"/>
      <c r="P4195" s="180" t="s">
        <v>257</v>
      </c>
      <c r="R4195" s="180" t="s">
        <v>257</v>
      </c>
    </row>
    <row r="4196" spans="8:18" x14ac:dyDescent="0.2">
      <c r="H4196" s="180"/>
      <c r="P4196" s="180" t="s">
        <v>257</v>
      </c>
      <c r="R4196" s="180" t="s">
        <v>257</v>
      </c>
    </row>
    <row r="4197" spans="8:18" x14ac:dyDescent="0.2">
      <c r="H4197" s="180"/>
      <c r="P4197" s="180" t="s">
        <v>257</v>
      </c>
      <c r="R4197" s="180" t="s">
        <v>257</v>
      </c>
    </row>
    <row r="4198" spans="8:18" x14ac:dyDescent="0.2">
      <c r="H4198" s="180"/>
      <c r="P4198" s="180" t="s">
        <v>257</v>
      </c>
      <c r="R4198" s="180" t="s">
        <v>257</v>
      </c>
    </row>
    <row r="4199" spans="8:18" x14ac:dyDescent="0.2">
      <c r="H4199" s="180"/>
      <c r="P4199" s="180" t="s">
        <v>257</v>
      </c>
      <c r="R4199" s="180" t="s">
        <v>257</v>
      </c>
    </row>
    <row r="4200" spans="8:18" x14ac:dyDescent="0.2">
      <c r="H4200" s="180"/>
      <c r="P4200" s="180" t="s">
        <v>257</v>
      </c>
      <c r="R4200" s="180" t="s">
        <v>257</v>
      </c>
    </row>
    <row r="4201" spans="8:18" x14ac:dyDescent="0.2">
      <c r="H4201" s="180"/>
      <c r="P4201" s="180" t="s">
        <v>257</v>
      </c>
      <c r="R4201" s="180" t="s">
        <v>257</v>
      </c>
    </row>
    <row r="4202" spans="8:18" x14ac:dyDescent="0.2">
      <c r="H4202" s="180"/>
      <c r="P4202" s="180" t="s">
        <v>257</v>
      </c>
      <c r="R4202" s="180" t="s">
        <v>257</v>
      </c>
    </row>
    <row r="4203" spans="8:18" x14ac:dyDescent="0.2">
      <c r="H4203" s="180"/>
      <c r="P4203" s="180" t="s">
        <v>257</v>
      </c>
      <c r="R4203" s="180" t="s">
        <v>257</v>
      </c>
    </row>
    <row r="4204" spans="8:18" x14ac:dyDescent="0.2">
      <c r="H4204" s="180"/>
      <c r="P4204" s="180" t="s">
        <v>257</v>
      </c>
      <c r="R4204" s="180" t="s">
        <v>257</v>
      </c>
    </row>
    <row r="4205" spans="8:18" x14ac:dyDescent="0.2">
      <c r="H4205" s="180"/>
      <c r="P4205" s="180" t="s">
        <v>257</v>
      </c>
      <c r="R4205" s="180" t="s">
        <v>257</v>
      </c>
    </row>
    <row r="4206" spans="8:18" x14ac:dyDescent="0.2">
      <c r="H4206" s="180"/>
      <c r="P4206" s="180" t="s">
        <v>257</v>
      </c>
      <c r="R4206" s="180" t="s">
        <v>257</v>
      </c>
    </row>
    <row r="4207" spans="8:18" x14ac:dyDescent="0.2">
      <c r="H4207" s="180"/>
      <c r="P4207" s="180" t="s">
        <v>257</v>
      </c>
      <c r="R4207" s="180" t="s">
        <v>257</v>
      </c>
    </row>
    <row r="4208" spans="8:18" x14ac:dyDescent="0.2">
      <c r="H4208" s="180"/>
      <c r="P4208" s="180" t="s">
        <v>257</v>
      </c>
      <c r="R4208" s="180" t="s">
        <v>257</v>
      </c>
    </row>
    <row r="4209" spans="8:18" x14ac:dyDescent="0.2">
      <c r="H4209" s="180"/>
      <c r="P4209" s="180" t="s">
        <v>257</v>
      </c>
      <c r="R4209" s="180" t="s">
        <v>257</v>
      </c>
    </row>
    <row r="4210" spans="8:18" x14ac:dyDescent="0.2">
      <c r="H4210" s="180"/>
      <c r="P4210" s="180" t="s">
        <v>257</v>
      </c>
      <c r="R4210" s="180" t="s">
        <v>257</v>
      </c>
    </row>
    <row r="4211" spans="8:18" x14ac:dyDescent="0.2">
      <c r="H4211" s="180"/>
      <c r="P4211" s="180" t="s">
        <v>257</v>
      </c>
      <c r="R4211" s="180" t="s">
        <v>257</v>
      </c>
    </row>
    <row r="4212" spans="8:18" x14ac:dyDescent="0.2">
      <c r="H4212" s="180"/>
      <c r="P4212" s="180" t="s">
        <v>257</v>
      </c>
      <c r="R4212" s="180" t="s">
        <v>257</v>
      </c>
    </row>
    <row r="4213" spans="8:18" x14ac:dyDescent="0.2">
      <c r="H4213" s="180"/>
      <c r="P4213" s="180" t="s">
        <v>257</v>
      </c>
      <c r="R4213" s="180" t="s">
        <v>257</v>
      </c>
    </row>
    <row r="4214" spans="8:18" x14ac:dyDescent="0.2">
      <c r="H4214" s="180"/>
      <c r="P4214" s="180" t="s">
        <v>257</v>
      </c>
      <c r="R4214" s="180" t="s">
        <v>257</v>
      </c>
    </row>
    <row r="4215" spans="8:18" x14ac:dyDescent="0.2">
      <c r="H4215" s="180"/>
      <c r="P4215" s="180" t="s">
        <v>257</v>
      </c>
      <c r="R4215" s="180" t="s">
        <v>257</v>
      </c>
    </row>
    <row r="4216" spans="8:18" x14ac:dyDescent="0.2">
      <c r="H4216" s="180"/>
      <c r="P4216" s="180" t="s">
        <v>257</v>
      </c>
      <c r="R4216" s="180" t="s">
        <v>257</v>
      </c>
    </row>
    <row r="4217" spans="8:18" x14ac:dyDescent="0.2">
      <c r="H4217" s="180"/>
      <c r="P4217" s="180" t="s">
        <v>257</v>
      </c>
      <c r="R4217" s="180" t="s">
        <v>257</v>
      </c>
    </row>
    <row r="4218" spans="8:18" x14ac:dyDescent="0.2">
      <c r="H4218" s="180"/>
      <c r="P4218" s="180" t="s">
        <v>257</v>
      </c>
      <c r="R4218" s="180" t="s">
        <v>257</v>
      </c>
    </row>
    <row r="4219" spans="8:18" x14ac:dyDescent="0.2">
      <c r="H4219" s="180"/>
      <c r="P4219" s="180" t="s">
        <v>257</v>
      </c>
      <c r="R4219" s="180" t="s">
        <v>257</v>
      </c>
    </row>
    <row r="4220" spans="8:18" x14ac:dyDescent="0.2">
      <c r="H4220" s="180"/>
      <c r="P4220" s="180" t="s">
        <v>257</v>
      </c>
      <c r="R4220" s="180" t="s">
        <v>257</v>
      </c>
    </row>
    <row r="4221" spans="8:18" x14ac:dyDescent="0.2">
      <c r="H4221" s="180"/>
      <c r="P4221" s="180" t="s">
        <v>257</v>
      </c>
      <c r="R4221" s="180" t="s">
        <v>257</v>
      </c>
    </row>
    <row r="4222" spans="8:18" x14ac:dyDescent="0.2">
      <c r="H4222" s="180"/>
      <c r="P4222" s="180" t="s">
        <v>257</v>
      </c>
      <c r="R4222" s="180" t="s">
        <v>257</v>
      </c>
    </row>
    <row r="4223" spans="8:18" x14ac:dyDescent="0.2">
      <c r="H4223" s="180"/>
      <c r="P4223" s="180" t="s">
        <v>257</v>
      </c>
      <c r="R4223" s="180" t="s">
        <v>257</v>
      </c>
    </row>
    <row r="4224" spans="8:18" x14ac:dyDescent="0.2">
      <c r="H4224" s="180"/>
      <c r="P4224" s="180" t="s">
        <v>257</v>
      </c>
      <c r="R4224" s="180" t="s">
        <v>257</v>
      </c>
    </row>
    <row r="4225" spans="8:18" x14ac:dyDescent="0.2">
      <c r="H4225" s="180"/>
      <c r="P4225" s="180" t="s">
        <v>257</v>
      </c>
      <c r="R4225" s="180" t="s">
        <v>257</v>
      </c>
    </row>
    <row r="4226" spans="8:18" x14ac:dyDescent="0.2">
      <c r="H4226" s="180"/>
      <c r="P4226" s="180" t="s">
        <v>257</v>
      </c>
      <c r="R4226" s="180" t="s">
        <v>257</v>
      </c>
    </row>
    <row r="4227" spans="8:18" x14ac:dyDescent="0.2">
      <c r="H4227" s="180"/>
      <c r="P4227" s="180" t="s">
        <v>257</v>
      </c>
      <c r="R4227" s="180" t="s">
        <v>257</v>
      </c>
    </row>
    <row r="4228" spans="8:18" x14ac:dyDescent="0.2">
      <c r="H4228" s="180"/>
      <c r="P4228" s="180" t="s">
        <v>257</v>
      </c>
      <c r="R4228" s="180" t="s">
        <v>257</v>
      </c>
    </row>
    <row r="4229" spans="8:18" x14ac:dyDescent="0.2">
      <c r="H4229" s="180"/>
      <c r="P4229" s="180" t="s">
        <v>257</v>
      </c>
      <c r="R4229" s="180" t="s">
        <v>257</v>
      </c>
    </row>
    <row r="4230" spans="8:18" x14ac:dyDescent="0.2">
      <c r="H4230" s="180"/>
      <c r="P4230" s="180" t="s">
        <v>257</v>
      </c>
      <c r="R4230" s="180" t="s">
        <v>257</v>
      </c>
    </row>
    <row r="4231" spans="8:18" x14ac:dyDescent="0.2">
      <c r="H4231" s="180"/>
      <c r="P4231" s="180" t="s">
        <v>257</v>
      </c>
      <c r="R4231" s="180" t="s">
        <v>257</v>
      </c>
    </row>
    <row r="4232" spans="8:18" x14ac:dyDescent="0.2">
      <c r="H4232" s="180"/>
      <c r="P4232" s="180" t="s">
        <v>257</v>
      </c>
      <c r="R4232" s="180" t="s">
        <v>257</v>
      </c>
    </row>
    <row r="4233" spans="8:18" x14ac:dyDescent="0.2">
      <c r="H4233" s="180"/>
      <c r="P4233" s="180" t="s">
        <v>257</v>
      </c>
      <c r="R4233" s="180" t="s">
        <v>257</v>
      </c>
    </row>
    <row r="4234" spans="8:18" x14ac:dyDescent="0.2">
      <c r="H4234" s="180"/>
      <c r="P4234" s="180" t="s">
        <v>257</v>
      </c>
      <c r="R4234" s="180" t="s">
        <v>257</v>
      </c>
    </row>
    <row r="4235" spans="8:18" x14ac:dyDescent="0.2">
      <c r="H4235" s="180"/>
      <c r="P4235" s="180" t="s">
        <v>257</v>
      </c>
      <c r="R4235" s="180" t="s">
        <v>257</v>
      </c>
    </row>
    <row r="4236" spans="8:18" x14ac:dyDescent="0.2">
      <c r="H4236" s="180"/>
      <c r="P4236" s="180" t="s">
        <v>257</v>
      </c>
      <c r="R4236" s="180" t="s">
        <v>257</v>
      </c>
    </row>
    <row r="4237" spans="8:18" x14ac:dyDescent="0.2">
      <c r="H4237" s="180"/>
      <c r="P4237" s="180" t="s">
        <v>257</v>
      </c>
      <c r="R4237" s="180" t="s">
        <v>257</v>
      </c>
    </row>
    <row r="4238" spans="8:18" x14ac:dyDescent="0.2">
      <c r="H4238" s="180"/>
      <c r="P4238" s="180" t="s">
        <v>257</v>
      </c>
      <c r="R4238" s="180" t="s">
        <v>257</v>
      </c>
    </row>
    <row r="4239" spans="8:18" x14ac:dyDescent="0.2">
      <c r="H4239" s="180"/>
      <c r="P4239" s="180" t="s">
        <v>257</v>
      </c>
      <c r="R4239" s="180" t="s">
        <v>257</v>
      </c>
    </row>
    <row r="4240" spans="8:18" x14ac:dyDescent="0.2">
      <c r="H4240" s="180"/>
      <c r="P4240" s="180" t="s">
        <v>257</v>
      </c>
      <c r="R4240" s="180" t="s">
        <v>257</v>
      </c>
    </row>
    <row r="4241" spans="8:18" x14ac:dyDescent="0.2">
      <c r="H4241" s="180"/>
      <c r="P4241" s="180" t="s">
        <v>257</v>
      </c>
      <c r="R4241" s="180" t="s">
        <v>257</v>
      </c>
    </row>
    <row r="4242" spans="8:18" x14ac:dyDescent="0.2">
      <c r="H4242" s="180"/>
      <c r="P4242" s="180" t="s">
        <v>257</v>
      </c>
      <c r="R4242" s="180" t="s">
        <v>257</v>
      </c>
    </row>
    <row r="4243" spans="8:18" x14ac:dyDescent="0.2">
      <c r="H4243" s="180"/>
      <c r="P4243" s="180" t="s">
        <v>257</v>
      </c>
      <c r="R4243" s="180" t="s">
        <v>257</v>
      </c>
    </row>
    <row r="4244" spans="8:18" x14ac:dyDescent="0.2">
      <c r="H4244" s="180"/>
      <c r="P4244" s="180" t="s">
        <v>257</v>
      </c>
      <c r="R4244" s="180" t="s">
        <v>257</v>
      </c>
    </row>
    <row r="4245" spans="8:18" x14ac:dyDescent="0.2">
      <c r="H4245" s="180"/>
      <c r="P4245" s="180" t="s">
        <v>257</v>
      </c>
      <c r="R4245" s="180" t="s">
        <v>257</v>
      </c>
    </row>
    <row r="4246" spans="8:18" x14ac:dyDescent="0.2">
      <c r="H4246" s="180"/>
      <c r="P4246" s="180" t="s">
        <v>257</v>
      </c>
      <c r="R4246" s="180" t="s">
        <v>257</v>
      </c>
    </row>
    <row r="4247" spans="8:18" x14ac:dyDescent="0.2">
      <c r="H4247" s="180"/>
      <c r="P4247" s="180" t="s">
        <v>257</v>
      </c>
      <c r="R4247" s="180" t="s">
        <v>257</v>
      </c>
    </row>
    <row r="4248" spans="8:18" x14ac:dyDescent="0.2">
      <c r="H4248" s="180"/>
      <c r="P4248" s="180" t="s">
        <v>257</v>
      </c>
      <c r="R4248" s="180" t="s">
        <v>257</v>
      </c>
    </row>
    <row r="4249" spans="8:18" x14ac:dyDescent="0.2">
      <c r="H4249" s="180"/>
      <c r="P4249" s="180" t="s">
        <v>257</v>
      </c>
      <c r="R4249" s="180" t="s">
        <v>257</v>
      </c>
    </row>
    <row r="4250" spans="8:18" x14ac:dyDescent="0.2">
      <c r="H4250" s="180"/>
      <c r="P4250" s="180" t="s">
        <v>257</v>
      </c>
      <c r="R4250" s="180" t="s">
        <v>257</v>
      </c>
    </row>
    <row r="4251" spans="8:18" x14ac:dyDescent="0.2">
      <c r="H4251" s="180"/>
      <c r="P4251" s="180" t="s">
        <v>257</v>
      </c>
      <c r="R4251" s="180" t="s">
        <v>257</v>
      </c>
    </row>
    <row r="4252" spans="8:18" x14ac:dyDescent="0.2">
      <c r="H4252" s="180"/>
      <c r="P4252" s="180" t="s">
        <v>257</v>
      </c>
      <c r="R4252" s="180" t="s">
        <v>257</v>
      </c>
    </row>
    <row r="4253" spans="8:18" x14ac:dyDescent="0.2">
      <c r="H4253" s="180"/>
      <c r="P4253" s="180" t="s">
        <v>257</v>
      </c>
      <c r="R4253" s="180" t="s">
        <v>257</v>
      </c>
    </row>
    <row r="4254" spans="8:18" x14ac:dyDescent="0.2">
      <c r="H4254" s="180"/>
      <c r="P4254" s="180" t="s">
        <v>257</v>
      </c>
      <c r="R4254" s="180" t="s">
        <v>257</v>
      </c>
    </row>
    <row r="4255" spans="8:18" x14ac:dyDescent="0.2">
      <c r="H4255" s="180"/>
      <c r="P4255" s="180" t="s">
        <v>257</v>
      </c>
      <c r="R4255" s="180" t="s">
        <v>257</v>
      </c>
    </row>
    <row r="4256" spans="8:18" x14ac:dyDescent="0.2">
      <c r="H4256" s="180"/>
      <c r="P4256" s="180" t="s">
        <v>257</v>
      </c>
      <c r="R4256" s="180" t="s">
        <v>257</v>
      </c>
    </row>
    <row r="4257" spans="8:18" x14ac:dyDescent="0.2">
      <c r="H4257" s="180"/>
      <c r="P4257" s="180" t="s">
        <v>257</v>
      </c>
      <c r="R4257" s="180" t="s">
        <v>257</v>
      </c>
    </row>
    <row r="4258" spans="8:18" x14ac:dyDescent="0.2">
      <c r="H4258" s="180"/>
      <c r="P4258" s="180" t="s">
        <v>257</v>
      </c>
      <c r="R4258" s="180" t="s">
        <v>257</v>
      </c>
    </row>
    <row r="4259" spans="8:18" x14ac:dyDescent="0.2">
      <c r="H4259" s="180"/>
      <c r="P4259" s="180" t="s">
        <v>257</v>
      </c>
      <c r="R4259" s="180" t="s">
        <v>257</v>
      </c>
    </row>
    <row r="4260" spans="8:18" x14ac:dyDescent="0.2">
      <c r="H4260" s="180"/>
      <c r="P4260" s="180" t="s">
        <v>257</v>
      </c>
      <c r="R4260" s="180" t="s">
        <v>257</v>
      </c>
    </row>
    <row r="4261" spans="8:18" x14ac:dyDescent="0.2">
      <c r="H4261" s="180"/>
      <c r="P4261" s="180" t="s">
        <v>257</v>
      </c>
      <c r="R4261" s="180" t="s">
        <v>257</v>
      </c>
    </row>
    <row r="4262" spans="8:18" x14ac:dyDescent="0.2">
      <c r="H4262" s="180"/>
      <c r="P4262" s="180" t="s">
        <v>257</v>
      </c>
      <c r="R4262" s="180" t="s">
        <v>257</v>
      </c>
    </row>
    <row r="4263" spans="8:18" x14ac:dyDescent="0.2">
      <c r="H4263" s="180"/>
      <c r="P4263" s="180" t="s">
        <v>257</v>
      </c>
      <c r="R4263" s="180" t="s">
        <v>257</v>
      </c>
    </row>
    <row r="4264" spans="8:18" x14ac:dyDescent="0.2">
      <c r="H4264" s="180"/>
      <c r="P4264" s="180" t="s">
        <v>257</v>
      </c>
      <c r="R4264" s="180" t="s">
        <v>257</v>
      </c>
    </row>
    <row r="4265" spans="8:18" x14ac:dyDescent="0.2">
      <c r="H4265" s="180"/>
      <c r="P4265" s="180" t="s">
        <v>257</v>
      </c>
      <c r="R4265" s="180" t="s">
        <v>257</v>
      </c>
    </row>
    <row r="4266" spans="8:18" x14ac:dyDescent="0.2">
      <c r="H4266" s="180"/>
      <c r="P4266" s="180" t="s">
        <v>257</v>
      </c>
      <c r="R4266" s="180" t="s">
        <v>257</v>
      </c>
    </row>
    <row r="4267" spans="8:18" x14ac:dyDescent="0.2">
      <c r="H4267" s="180"/>
      <c r="P4267" s="180" t="s">
        <v>257</v>
      </c>
      <c r="R4267" s="180" t="s">
        <v>257</v>
      </c>
    </row>
    <row r="4268" spans="8:18" x14ac:dyDescent="0.2">
      <c r="H4268" s="180"/>
      <c r="P4268" s="180" t="s">
        <v>257</v>
      </c>
      <c r="R4268" s="180" t="s">
        <v>257</v>
      </c>
    </row>
    <row r="4269" spans="8:18" x14ac:dyDescent="0.2">
      <c r="H4269" s="180"/>
      <c r="P4269" s="180" t="s">
        <v>257</v>
      </c>
      <c r="R4269" s="180" t="s">
        <v>257</v>
      </c>
    </row>
    <row r="4270" spans="8:18" x14ac:dyDescent="0.2">
      <c r="H4270" s="180"/>
      <c r="P4270" s="180" t="s">
        <v>257</v>
      </c>
      <c r="R4270" s="180" t="s">
        <v>257</v>
      </c>
    </row>
    <row r="4271" spans="8:18" x14ac:dyDescent="0.2">
      <c r="H4271" s="180"/>
      <c r="P4271" s="180" t="s">
        <v>257</v>
      </c>
      <c r="R4271" s="180" t="s">
        <v>257</v>
      </c>
    </row>
    <row r="4272" spans="8:18" x14ac:dyDescent="0.2">
      <c r="H4272" s="180"/>
      <c r="P4272" s="180" t="s">
        <v>257</v>
      </c>
      <c r="R4272" s="180" t="s">
        <v>257</v>
      </c>
    </row>
    <row r="4273" spans="8:18" x14ac:dyDescent="0.2">
      <c r="H4273" s="180"/>
      <c r="P4273" s="180" t="s">
        <v>257</v>
      </c>
      <c r="R4273" s="180" t="s">
        <v>257</v>
      </c>
    </row>
    <row r="4274" spans="8:18" x14ac:dyDescent="0.2">
      <c r="H4274" s="180"/>
      <c r="P4274" s="180" t="s">
        <v>257</v>
      </c>
      <c r="R4274" s="180" t="s">
        <v>257</v>
      </c>
    </row>
    <row r="4275" spans="8:18" x14ac:dyDescent="0.2">
      <c r="H4275" s="180"/>
      <c r="P4275" s="180" t="s">
        <v>257</v>
      </c>
      <c r="R4275" s="180" t="s">
        <v>257</v>
      </c>
    </row>
    <row r="4276" spans="8:18" x14ac:dyDescent="0.2">
      <c r="H4276" s="180"/>
      <c r="P4276" s="180" t="s">
        <v>257</v>
      </c>
      <c r="R4276" s="180" t="s">
        <v>257</v>
      </c>
    </row>
    <row r="4277" spans="8:18" x14ac:dyDescent="0.2">
      <c r="H4277" s="180"/>
      <c r="P4277" s="180" t="s">
        <v>257</v>
      </c>
      <c r="R4277" s="180" t="s">
        <v>257</v>
      </c>
    </row>
    <row r="4278" spans="8:18" x14ac:dyDescent="0.2">
      <c r="H4278" s="180"/>
      <c r="P4278" s="180" t="s">
        <v>257</v>
      </c>
      <c r="R4278" s="180" t="s">
        <v>257</v>
      </c>
    </row>
    <row r="4279" spans="8:18" x14ac:dyDescent="0.2">
      <c r="H4279" s="180"/>
      <c r="P4279" s="180" t="s">
        <v>257</v>
      </c>
      <c r="R4279" s="180" t="s">
        <v>257</v>
      </c>
    </row>
    <row r="4280" spans="8:18" x14ac:dyDescent="0.2">
      <c r="H4280" s="180"/>
      <c r="P4280" s="180" t="s">
        <v>257</v>
      </c>
      <c r="R4280" s="180" t="s">
        <v>257</v>
      </c>
    </row>
    <row r="4281" spans="8:18" x14ac:dyDescent="0.2">
      <c r="H4281" s="180"/>
      <c r="P4281" s="180" t="s">
        <v>257</v>
      </c>
      <c r="R4281" s="180" t="s">
        <v>257</v>
      </c>
    </row>
    <row r="4282" spans="8:18" x14ac:dyDescent="0.2">
      <c r="H4282" s="180"/>
      <c r="P4282" s="180" t="s">
        <v>257</v>
      </c>
      <c r="R4282" s="180" t="s">
        <v>257</v>
      </c>
    </row>
    <row r="4283" spans="8:18" x14ac:dyDescent="0.2">
      <c r="H4283" s="180"/>
      <c r="P4283" s="180" t="s">
        <v>257</v>
      </c>
      <c r="R4283" s="180" t="s">
        <v>257</v>
      </c>
    </row>
    <row r="4284" spans="8:18" x14ac:dyDescent="0.2">
      <c r="H4284" s="180"/>
      <c r="P4284" s="180" t="s">
        <v>257</v>
      </c>
      <c r="R4284" s="180" t="s">
        <v>257</v>
      </c>
    </row>
    <row r="4285" spans="8:18" x14ac:dyDescent="0.2">
      <c r="H4285" s="180"/>
      <c r="P4285" s="180" t="s">
        <v>257</v>
      </c>
      <c r="R4285" s="180" t="s">
        <v>257</v>
      </c>
    </row>
    <row r="4286" spans="8:18" x14ac:dyDescent="0.2">
      <c r="H4286" s="180"/>
      <c r="P4286" s="180" t="s">
        <v>257</v>
      </c>
      <c r="R4286" s="180" t="s">
        <v>257</v>
      </c>
    </row>
    <row r="4287" spans="8:18" x14ac:dyDescent="0.2">
      <c r="H4287" s="180"/>
      <c r="P4287" s="180" t="s">
        <v>257</v>
      </c>
      <c r="R4287" s="180" t="s">
        <v>257</v>
      </c>
    </row>
    <row r="4288" spans="8:18" x14ac:dyDescent="0.2">
      <c r="H4288" s="180"/>
      <c r="P4288" s="180" t="s">
        <v>257</v>
      </c>
      <c r="R4288" s="180" t="s">
        <v>257</v>
      </c>
    </row>
    <row r="4289" spans="8:18" x14ac:dyDescent="0.2">
      <c r="H4289" s="180"/>
      <c r="P4289" s="180" t="s">
        <v>257</v>
      </c>
      <c r="R4289" s="180" t="s">
        <v>257</v>
      </c>
    </row>
    <row r="4290" spans="8:18" x14ac:dyDescent="0.2">
      <c r="H4290" s="180"/>
      <c r="P4290" s="180" t="s">
        <v>257</v>
      </c>
      <c r="R4290" s="180" t="s">
        <v>257</v>
      </c>
    </row>
    <row r="4291" spans="8:18" x14ac:dyDescent="0.2">
      <c r="H4291" s="180"/>
      <c r="P4291" s="180" t="s">
        <v>257</v>
      </c>
      <c r="R4291" s="180" t="s">
        <v>257</v>
      </c>
    </row>
    <row r="4292" spans="8:18" x14ac:dyDescent="0.2">
      <c r="H4292" s="180"/>
      <c r="P4292" s="180" t="s">
        <v>257</v>
      </c>
      <c r="R4292" s="180" t="s">
        <v>257</v>
      </c>
    </row>
    <row r="4293" spans="8:18" x14ac:dyDescent="0.2">
      <c r="H4293" s="180"/>
      <c r="P4293" s="180" t="s">
        <v>257</v>
      </c>
      <c r="R4293" s="180" t="s">
        <v>257</v>
      </c>
    </row>
    <row r="4294" spans="8:18" x14ac:dyDescent="0.2">
      <c r="H4294" s="180"/>
      <c r="P4294" s="180" t="s">
        <v>257</v>
      </c>
      <c r="R4294" s="180" t="s">
        <v>257</v>
      </c>
    </row>
    <row r="4295" spans="8:18" x14ac:dyDescent="0.2">
      <c r="H4295" s="180"/>
      <c r="P4295" s="180" t="s">
        <v>257</v>
      </c>
      <c r="R4295" s="180" t="s">
        <v>257</v>
      </c>
    </row>
    <row r="4296" spans="8:18" x14ac:dyDescent="0.2">
      <c r="H4296" s="180"/>
      <c r="P4296" s="180" t="s">
        <v>257</v>
      </c>
      <c r="R4296" s="180" t="s">
        <v>257</v>
      </c>
    </row>
    <row r="4297" spans="8:18" x14ac:dyDescent="0.2">
      <c r="H4297" s="180"/>
      <c r="P4297" s="180" t="s">
        <v>257</v>
      </c>
      <c r="R4297" s="180" t="s">
        <v>257</v>
      </c>
    </row>
    <row r="4298" spans="8:18" x14ac:dyDescent="0.2">
      <c r="H4298" s="180"/>
      <c r="P4298" s="180" t="s">
        <v>257</v>
      </c>
      <c r="R4298" s="180" t="s">
        <v>257</v>
      </c>
    </row>
    <row r="4299" spans="8:18" x14ac:dyDescent="0.2">
      <c r="H4299" s="180"/>
      <c r="P4299" s="180" t="s">
        <v>257</v>
      </c>
      <c r="R4299" s="180" t="s">
        <v>257</v>
      </c>
    </row>
    <row r="4300" spans="8:18" x14ac:dyDescent="0.2">
      <c r="H4300" s="180"/>
      <c r="P4300" s="180" t="s">
        <v>257</v>
      </c>
      <c r="R4300" s="180" t="s">
        <v>257</v>
      </c>
    </row>
    <row r="4301" spans="8:18" x14ac:dyDescent="0.2">
      <c r="H4301" s="180"/>
      <c r="P4301" s="180" t="s">
        <v>257</v>
      </c>
      <c r="R4301" s="180" t="s">
        <v>257</v>
      </c>
    </row>
    <row r="4302" spans="8:18" x14ac:dyDescent="0.2">
      <c r="H4302" s="180"/>
      <c r="P4302" s="180" t="s">
        <v>257</v>
      </c>
      <c r="R4302" s="180" t="s">
        <v>257</v>
      </c>
    </row>
    <row r="4303" spans="8:18" x14ac:dyDescent="0.2">
      <c r="H4303" s="180"/>
      <c r="P4303" s="180" t="s">
        <v>257</v>
      </c>
      <c r="R4303" s="180" t="s">
        <v>257</v>
      </c>
    </row>
    <row r="4304" spans="8:18" x14ac:dyDescent="0.2">
      <c r="H4304" s="180"/>
      <c r="P4304" s="180" t="s">
        <v>257</v>
      </c>
      <c r="R4304" s="180" t="s">
        <v>257</v>
      </c>
    </row>
    <row r="4305" spans="8:18" x14ac:dyDescent="0.2">
      <c r="H4305" s="180"/>
      <c r="P4305" s="180" t="s">
        <v>257</v>
      </c>
      <c r="R4305" s="180" t="s">
        <v>257</v>
      </c>
    </row>
    <row r="4306" spans="8:18" x14ac:dyDescent="0.2">
      <c r="H4306" s="180"/>
      <c r="P4306" s="180" t="s">
        <v>257</v>
      </c>
      <c r="R4306" s="180" t="s">
        <v>257</v>
      </c>
    </row>
    <row r="4307" spans="8:18" x14ac:dyDescent="0.2">
      <c r="H4307" s="180"/>
      <c r="P4307" s="180" t="s">
        <v>257</v>
      </c>
      <c r="R4307" s="180" t="s">
        <v>257</v>
      </c>
    </row>
    <row r="4308" spans="8:18" x14ac:dyDescent="0.2">
      <c r="H4308" s="180"/>
      <c r="P4308" s="180" t="s">
        <v>257</v>
      </c>
      <c r="R4308" s="180" t="s">
        <v>257</v>
      </c>
    </row>
    <row r="4309" spans="8:18" x14ac:dyDescent="0.2">
      <c r="H4309" s="180"/>
      <c r="P4309" s="180" t="s">
        <v>257</v>
      </c>
      <c r="R4309" s="180" t="s">
        <v>257</v>
      </c>
    </row>
    <row r="4310" spans="8:18" x14ac:dyDescent="0.2">
      <c r="H4310" s="180"/>
      <c r="P4310" s="180" t="s">
        <v>257</v>
      </c>
      <c r="R4310" s="180" t="s">
        <v>257</v>
      </c>
    </row>
    <row r="4311" spans="8:18" x14ac:dyDescent="0.2">
      <c r="H4311" s="180"/>
      <c r="P4311" s="180" t="s">
        <v>257</v>
      </c>
      <c r="R4311" s="180" t="s">
        <v>257</v>
      </c>
    </row>
    <row r="4312" spans="8:18" x14ac:dyDescent="0.2">
      <c r="H4312" s="180"/>
      <c r="P4312" s="180" t="s">
        <v>257</v>
      </c>
      <c r="R4312" s="180" t="s">
        <v>257</v>
      </c>
    </row>
    <row r="4313" spans="8:18" x14ac:dyDescent="0.2">
      <c r="H4313" s="180"/>
      <c r="P4313" s="180" t="s">
        <v>257</v>
      </c>
      <c r="R4313" s="180" t="s">
        <v>257</v>
      </c>
    </row>
    <row r="4314" spans="8:18" x14ac:dyDescent="0.2">
      <c r="H4314" s="180"/>
      <c r="P4314" s="180" t="s">
        <v>257</v>
      </c>
      <c r="R4314" s="180" t="s">
        <v>257</v>
      </c>
    </row>
    <row r="4315" spans="8:18" x14ac:dyDescent="0.2">
      <c r="H4315" s="180"/>
      <c r="P4315" s="180" t="s">
        <v>257</v>
      </c>
      <c r="R4315" s="180" t="s">
        <v>257</v>
      </c>
    </row>
    <row r="4316" spans="8:18" x14ac:dyDescent="0.2">
      <c r="H4316" s="180"/>
      <c r="P4316" s="180" t="s">
        <v>257</v>
      </c>
      <c r="R4316" s="180" t="s">
        <v>257</v>
      </c>
    </row>
    <row r="4317" spans="8:18" x14ac:dyDescent="0.2">
      <c r="H4317" s="180"/>
      <c r="P4317" s="180" t="s">
        <v>257</v>
      </c>
      <c r="R4317" s="180" t="s">
        <v>257</v>
      </c>
    </row>
    <row r="4318" spans="8:18" x14ac:dyDescent="0.2">
      <c r="H4318" s="180"/>
      <c r="P4318" s="180" t="s">
        <v>257</v>
      </c>
      <c r="R4318" s="180" t="s">
        <v>257</v>
      </c>
    </row>
    <row r="4319" spans="8:18" x14ac:dyDescent="0.2">
      <c r="H4319" s="180"/>
      <c r="P4319" s="180" t="s">
        <v>257</v>
      </c>
      <c r="R4319" s="180" t="s">
        <v>257</v>
      </c>
    </row>
    <row r="4320" spans="8:18" x14ac:dyDescent="0.2">
      <c r="H4320" s="180"/>
      <c r="P4320" s="180" t="s">
        <v>257</v>
      </c>
      <c r="R4320" s="180" t="s">
        <v>257</v>
      </c>
    </row>
    <row r="4321" spans="8:18" x14ac:dyDescent="0.2">
      <c r="H4321" s="180"/>
      <c r="P4321" s="180" t="s">
        <v>257</v>
      </c>
      <c r="R4321" s="180" t="s">
        <v>257</v>
      </c>
    </row>
    <row r="4322" spans="8:18" x14ac:dyDescent="0.2">
      <c r="H4322" s="180"/>
      <c r="P4322" s="180" t="s">
        <v>257</v>
      </c>
      <c r="R4322" s="180" t="s">
        <v>257</v>
      </c>
    </row>
    <row r="4323" spans="8:18" x14ac:dyDescent="0.2">
      <c r="H4323" s="180"/>
      <c r="P4323" s="180" t="s">
        <v>257</v>
      </c>
      <c r="R4323" s="180" t="s">
        <v>257</v>
      </c>
    </row>
    <row r="4324" spans="8:18" x14ac:dyDescent="0.2">
      <c r="H4324" s="180"/>
      <c r="P4324" s="180" t="s">
        <v>257</v>
      </c>
      <c r="R4324" s="180" t="s">
        <v>257</v>
      </c>
    </row>
    <row r="4325" spans="8:18" x14ac:dyDescent="0.2">
      <c r="H4325" s="180"/>
      <c r="P4325" s="180" t="s">
        <v>257</v>
      </c>
      <c r="R4325" s="180" t="s">
        <v>257</v>
      </c>
    </row>
    <row r="4326" spans="8:18" x14ac:dyDescent="0.2">
      <c r="H4326" s="180"/>
      <c r="P4326" s="180" t="s">
        <v>257</v>
      </c>
      <c r="R4326" s="180" t="s">
        <v>257</v>
      </c>
    </row>
    <row r="4327" spans="8:18" x14ac:dyDescent="0.2">
      <c r="H4327" s="180"/>
      <c r="P4327" s="180" t="s">
        <v>257</v>
      </c>
      <c r="R4327" s="180" t="s">
        <v>257</v>
      </c>
    </row>
    <row r="4328" spans="8:18" x14ac:dyDescent="0.2">
      <c r="H4328" s="180"/>
      <c r="P4328" s="180" t="s">
        <v>257</v>
      </c>
      <c r="R4328" s="180" t="s">
        <v>257</v>
      </c>
    </row>
    <row r="4329" spans="8:18" x14ac:dyDescent="0.2">
      <c r="H4329" s="180"/>
      <c r="P4329" s="180" t="s">
        <v>257</v>
      </c>
      <c r="R4329" s="180" t="s">
        <v>257</v>
      </c>
    </row>
    <row r="4330" spans="8:18" x14ac:dyDescent="0.2">
      <c r="H4330" s="180"/>
      <c r="P4330" s="180" t="s">
        <v>257</v>
      </c>
      <c r="R4330" s="180" t="s">
        <v>257</v>
      </c>
    </row>
    <row r="4331" spans="8:18" x14ac:dyDescent="0.2">
      <c r="H4331" s="180"/>
      <c r="P4331" s="180" t="s">
        <v>257</v>
      </c>
      <c r="R4331" s="180" t="s">
        <v>257</v>
      </c>
    </row>
    <row r="4332" spans="8:18" x14ac:dyDescent="0.2">
      <c r="H4332" s="180"/>
      <c r="P4332" s="180" t="s">
        <v>257</v>
      </c>
      <c r="R4332" s="180" t="s">
        <v>257</v>
      </c>
    </row>
    <row r="4333" spans="8:18" x14ac:dyDescent="0.2">
      <c r="H4333" s="180"/>
      <c r="P4333" s="180" t="s">
        <v>257</v>
      </c>
      <c r="R4333" s="180" t="s">
        <v>257</v>
      </c>
    </row>
    <row r="4334" spans="8:18" x14ac:dyDescent="0.2">
      <c r="H4334" s="180"/>
      <c r="P4334" s="180" t="s">
        <v>257</v>
      </c>
      <c r="R4334" s="180" t="s">
        <v>257</v>
      </c>
    </row>
    <row r="4335" spans="8:18" x14ac:dyDescent="0.2">
      <c r="H4335" s="180"/>
      <c r="P4335" s="180" t="s">
        <v>257</v>
      </c>
      <c r="R4335" s="180" t="s">
        <v>257</v>
      </c>
    </row>
    <row r="4336" spans="8:18" x14ac:dyDescent="0.2">
      <c r="H4336" s="180"/>
      <c r="P4336" s="180" t="s">
        <v>257</v>
      </c>
      <c r="R4336" s="180" t="s">
        <v>257</v>
      </c>
    </row>
    <row r="4337" spans="8:18" x14ac:dyDescent="0.2">
      <c r="H4337" s="180"/>
      <c r="P4337" s="180" t="s">
        <v>257</v>
      </c>
      <c r="R4337" s="180" t="s">
        <v>257</v>
      </c>
    </row>
    <row r="4338" spans="8:18" x14ac:dyDescent="0.2">
      <c r="H4338" s="180"/>
      <c r="P4338" s="180" t="s">
        <v>257</v>
      </c>
      <c r="R4338" s="180" t="s">
        <v>257</v>
      </c>
    </row>
    <row r="4339" spans="8:18" x14ac:dyDescent="0.2">
      <c r="H4339" s="180"/>
      <c r="P4339" s="180" t="s">
        <v>257</v>
      </c>
      <c r="R4339" s="180" t="s">
        <v>257</v>
      </c>
    </row>
    <row r="4340" spans="8:18" x14ac:dyDescent="0.2">
      <c r="H4340" s="180"/>
      <c r="P4340" s="180" t="s">
        <v>257</v>
      </c>
      <c r="R4340" s="180" t="s">
        <v>257</v>
      </c>
    </row>
    <row r="4341" spans="8:18" x14ac:dyDescent="0.2">
      <c r="H4341" s="180"/>
      <c r="P4341" s="180" t="s">
        <v>257</v>
      </c>
      <c r="R4341" s="180" t="s">
        <v>257</v>
      </c>
    </row>
    <row r="4342" spans="8:18" x14ac:dyDescent="0.2">
      <c r="H4342" s="180"/>
      <c r="P4342" s="180" t="s">
        <v>257</v>
      </c>
      <c r="R4342" s="180" t="s">
        <v>257</v>
      </c>
    </row>
    <row r="4343" spans="8:18" x14ac:dyDescent="0.2">
      <c r="H4343" s="180"/>
      <c r="P4343" s="180" t="s">
        <v>257</v>
      </c>
      <c r="R4343" s="180" t="s">
        <v>257</v>
      </c>
    </row>
    <row r="4344" spans="8:18" x14ac:dyDescent="0.2">
      <c r="H4344" s="180"/>
      <c r="P4344" s="180" t="s">
        <v>257</v>
      </c>
      <c r="R4344" s="180" t="s">
        <v>257</v>
      </c>
    </row>
    <row r="4345" spans="8:18" x14ac:dyDescent="0.2">
      <c r="H4345" s="180"/>
      <c r="P4345" s="180" t="s">
        <v>257</v>
      </c>
      <c r="R4345" s="180" t="s">
        <v>257</v>
      </c>
    </row>
    <row r="4346" spans="8:18" x14ac:dyDescent="0.2">
      <c r="H4346" s="180"/>
      <c r="P4346" s="180" t="s">
        <v>257</v>
      </c>
      <c r="R4346" s="180" t="s">
        <v>257</v>
      </c>
    </row>
    <row r="4347" spans="8:18" x14ac:dyDescent="0.2">
      <c r="H4347" s="180"/>
      <c r="P4347" s="180" t="s">
        <v>257</v>
      </c>
      <c r="R4347" s="180" t="s">
        <v>257</v>
      </c>
    </row>
    <row r="4348" spans="8:18" x14ac:dyDescent="0.2">
      <c r="H4348" s="180"/>
      <c r="P4348" s="180" t="s">
        <v>257</v>
      </c>
      <c r="R4348" s="180" t="s">
        <v>257</v>
      </c>
    </row>
    <row r="4349" spans="8:18" x14ac:dyDescent="0.2">
      <c r="H4349" s="180"/>
      <c r="P4349" s="180" t="s">
        <v>257</v>
      </c>
      <c r="R4349" s="180" t="s">
        <v>257</v>
      </c>
    </row>
    <row r="4350" spans="8:18" x14ac:dyDescent="0.2">
      <c r="H4350" s="180"/>
      <c r="P4350" s="180" t="s">
        <v>257</v>
      </c>
      <c r="R4350" s="180" t="s">
        <v>257</v>
      </c>
    </row>
    <row r="4351" spans="8:18" x14ac:dyDescent="0.2">
      <c r="H4351" s="180"/>
      <c r="P4351" s="180" t="s">
        <v>257</v>
      </c>
      <c r="R4351" s="180" t="s">
        <v>257</v>
      </c>
    </row>
    <row r="4352" spans="8:18" x14ac:dyDescent="0.2">
      <c r="H4352" s="180"/>
      <c r="P4352" s="180" t="s">
        <v>257</v>
      </c>
      <c r="R4352" s="180" t="s">
        <v>257</v>
      </c>
    </row>
    <row r="4353" spans="8:18" x14ac:dyDescent="0.2">
      <c r="H4353" s="180"/>
      <c r="P4353" s="180" t="s">
        <v>257</v>
      </c>
      <c r="R4353" s="180" t="s">
        <v>257</v>
      </c>
    </row>
    <row r="4354" spans="8:18" x14ac:dyDescent="0.2">
      <c r="H4354" s="180"/>
      <c r="P4354" s="180" t="s">
        <v>257</v>
      </c>
      <c r="R4354" s="180" t="s">
        <v>257</v>
      </c>
    </row>
    <row r="4355" spans="8:18" x14ac:dyDescent="0.2">
      <c r="H4355" s="180"/>
      <c r="P4355" s="180" t="s">
        <v>257</v>
      </c>
      <c r="R4355" s="180" t="s">
        <v>257</v>
      </c>
    </row>
    <row r="4356" spans="8:18" x14ac:dyDescent="0.2">
      <c r="H4356" s="180"/>
      <c r="P4356" s="180" t="s">
        <v>257</v>
      </c>
      <c r="R4356" s="180" t="s">
        <v>257</v>
      </c>
    </row>
    <row r="4357" spans="8:18" x14ac:dyDescent="0.2">
      <c r="H4357" s="180"/>
      <c r="P4357" s="180" t="s">
        <v>257</v>
      </c>
      <c r="R4357" s="180" t="s">
        <v>257</v>
      </c>
    </row>
    <row r="4358" spans="8:18" x14ac:dyDescent="0.2">
      <c r="H4358" s="180"/>
      <c r="P4358" s="180" t="s">
        <v>257</v>
      </c>
      <c r="R4358" s="180" t="s">
        <v>257</v>
      </c>
    </row>
    <row r="4359" spans="8:18" x14ac:dyDescent="0.2">
      <c r="H4359" s="180"/>
      <c r="P4359" s="180" t="s">
        <v>257</v>
      </c>
      <c r="R4359" s="180" t="s">
        <v>257</v>
      </c>
    </row>
    <row r="4360" spans="8:18" x14ac:dyDescent="0.2">
      <c r="H4360" s="180"/>
      <c r="P4360" s="180" t="s">
        <v>257</v>
      </c>
      <c r="R4360" s="180" t="s">
        <v>257</v>
      </c>
    </row>
    <row r="4361" spans="8:18" x14ac:dyDescent="0.2">
      <c r="H4361" s="180"/>
      <c r="P4361" s="180" t="s">
        <v>257</v>
      </c>
      <c r="R4361" s="180" t="s">
        <v>257</v>
      </c>
    </row>
    <row r="4362" spans="8:18" x14ac:dyDescent="0.2">
      <c r="H4362" s="180"/>
      <c r="P4362" s="180" t="s">
        <v>257</v>
      </c>
      <c r="R4362" s="180" t="s">
        <v>257</v>
      </c>
    </row>
    <row r="4363" spans="8:18" x14ac:dyDescent="0.2">
      <c r="H4363" s="180"/>
      <c r="P4363" s="180" t="s">
        <v>257</v>
      </c>
      <c r="R4363" s="180" t="s">
        <v>257</v>
      </c>
    </row>
    <row r="4364" spans="8:18" x14ac:dyDescent="0.2">
      <c r="H4364" s="180"/>
      <c r="P4364" s="180" t="s">
        <v>257</v>
      </c>
      <c r="R4364" s="180" t="s">
        <v>257</v>
      </c>
    </row>
    <row r="4365" spans="8:18" x14ac:dyDescent="0.2">
      <c r="H4365" s="180"/>
      <c r="P4365" s="180" t="s">
        <v>257</v>
      </c>
      <c r="R4365" s="180" t="s">
        <v>257</v>
      </c>
    </row>
    <row r="4366" spans="8:18" x14ac:dyDescent="0.2">
      <c r="H4366" s="180"/>
      <c r="P4366" s="180" t="s">
        <v>257</v>
      </c>
      <c r="R4366" s="180" t="s">
        <v>257</v>
      </c>
    </row>
    <row r="4367" spans="8:18" x14ac:dyDescent="0.2">
      <c r="H4367" s="180"/>
      <c r="P4367" s="180" t="s">
        <v>257</v>
      </c>
      <c r="R4367" s="180" t="s">
        <v>257</v>
      </c>
    </row>
    <row r="4368" spans="8:18" x14ac:dyDescent="0.2">
      <c r="H4368" s="180"/>
      <c r="P4368" s="180" t="s">
        <v>257</v>
      </c>
      <c r="R4368" s="180" t="s">
        <v>257</v>
      </c>
    </row>
    <row r="4369" spans="8:18" x14ac:dyDescent="0.2">
      <c r="H4369" s="180"/>
      <c r="P4369" s="180" t="s">
        <v>257</v>
      </c>
      <c r="R4369" s="180" t="s">
        <v>257</v>
      </c>
    </row>
    <row r="4370" spans="8:18" x14ac:dyDescent="0.2">
      <c r="H4370" s="180"/>
      <c r="P4370" s="180" t="s">
        <v>257</v>
      </c>
      <c r="R4370" s="180" t="s">
        <v>257</v>
      </c>
    </row>
    <row r="4371" spans="8:18" x14ac:dyDescent="0.2">
      <c r="H4371" s="180"/>
      <c r="P4371" s="180" t="s">
        <v>257</v>
      </c>
      <c r="R4371" s="180" t="s">
        <v>257</v>
      </c>
    </row>
    <row r="4372" spans="8:18" x14ac:dyDescent="0.2">
      <c r="H4372" s="180"/>
      <c r="P4372" s="180" t="s">
        <v>257</v>
      </c>
      <c r="R4372" s="180" t="s">
        <v>257</v>
      </c>
    </row>
    <row r="4373" spans="8:18" x14ac:dyDescent="0.2">
      <c r="H4373" s="180"/>
      <c r="P4373" s="180" t="s">
        <v>257</v>
      </c>
      <c r="R4373" s="180" t="s">
        <v>257</v>
      </c>
    </row>
    <row r="4374" spans="8:18" x14ac:dyDescent="0.2">
      <c r="H4374" s="180"/>
      <c r="P4374" s="180" t="s">
        <v>257</v>
      </c>
      <c r="R4374" s="180" t="s">
        <v>257</v>
      </c>
    </row>
    <row r="4375" spans="8:18" x14ac:dyDescent="0.2">
      <c r="H4375" s="180"/>
      <c r="P4375" s="180" t="s">
        <v>257</v>
      </c>
      <c r="R4375" s="180" t="s">
        <v>257</v>
      </c>
    </row>
    <row r="4376" spans="8:18" x14ac:dyDescent="0.2">
      <c r="H4376" s="180"/>
      <c r="P4376" s="180" t="s">
        <v>257</v>
      </c>
      <c r="R4376" s="180" t="s">
        <v>257</v>
      </c>
    </row>
    <row r="4377" spans="8:18" x14ac:dyDescent="0.2">
      <c r="H4377" s="180"/>
      <c r="P4377" s="180" t="s">
        <v>257</v>
      </c>
      <c r="R4377" s="180" t="s">
        <v>257</v>
      </c>
    </row>
    <row r="4378" spans="8:18" x14ac:dyDescent="0.2">
      <c r="H4378" s="180"/>
      <c r="P4378" s="180" t="s">
        <v>257</v>
      </c>
      <c r="R4378" s="180" t="s">
        <v>257</v>
      </c>
    </row>
    <row r="4379" spans="8:18" x14ac:dyDescent="0.2">
      <c r="H4379" s="180"/>
      <c r="P4379" s="180" t="s">
        <v>257</v>
      </c>
      <c r="R4379" s="180" t="s">
        <v>257</v>
      </c>
    </row>
    <row r="4380" spans="8:18" x14ac:dyDescent="0.2">
      <c r="H4380" s="180"/>
      <c r="P4380" s="180" t="s">
        <v>257</v>
      </c>
      <c r="R4380" s="180" t="s">
        <v>257</v>
      </c>
    </row>
    <row r="4381" spans="8:18" x14ac:dyDescent="0.2">
      <c r="H4381" s="180"/>
      <c r="P4381" s="180" t="s">
        <v>257</v>
      </c>
      <c r="R4381" s="180" t="s">
        <v>257</v>
      </c>
    </row>
    <row r="4382" spans="8:18" x14ac:dyDescent="0.2">
      <c r="H4382" s="180"/>
      <c r="P4382" s="180" t="s">
        <v>257</v>
      </c>
      <c r="R4382" s="180" t="s">
        <v>257</v>
      </c>
    </row>
    <row r="4383" spans="8:18" x14ac:dyDescent="0.2">
      <c r="H4383" s="180"/>
      <c r="P4383" s="180" t="s">
        <v>257</v>
      </c>
      <c r="R4383" s="180" t="s">
        <v>257</v>
      </c>
    </row>
    <row r="4384" spans="8:18" x14ac:dyDescent="0.2">
      <c r="H4384" s="180"/>
      <c r="P4384" s="180" t="s">
        <v>257</v>
      </c>
      <c r="R4384" s="180" t="s">
        <v>257</v>
      </c>
    </row>
    <row r="4385" spans="8:18" x14ac:dyDescent="0.2">
      <c r="H4385" s="180"/>
      <c r="P4385" s="180" t="s">
        <v>257</v>
      </c>
      <c r="R4385" s="180" t="s">
        <v>257</v>
      </c>
    </row>
    <row r="4386" spans="8:18" x14ac:dyDescent="0.2">
      <c r="H4386" s="180"/>
      <c r="P4386" s="180" t="s">
        <v>257</v>
      </c>
      <c r="R4386" s="180" t="s">
        <v>257</v>
      </c>
    </row>
    <row r="4387" spans="8:18" x14ac:dyDescent="0.2">
      <c r="H4387" s="180"/>
      <c r="P4387" s="180" t="s">
        <v>257</v>
      </c>
      <c r="R4387" s="180" t="s">
        <v>257</v>
      </c>
    </row>
    <row r="4388" spans="8:18" x14ac:dyDescent="0.2">
      <c r="H4388" s="180"/>
      <c r="P4388" s="180" t="s">
        <v>257</v>
      </c>
      <c r="R4388" s="180" t="s">
        <v>257</v>
      </c>
    </row>
    <row r="4389" spans="8:18" x14ac:dyDescent="0.2">
      <c r="H4389" s="180"/>
      <c r="P4389" s="180" t="s">
        <v>257</v>
      </c>
      <c r="R4389" s="180" t="s">
        <v>257</v>
      </c>
    </row>
    <row r="4390" spans="8:18" x14ac:dyDescent="0.2">
      <c r="H4390" s="180"/>
      <c r="P4390" s="180" t="s">
        <v>257</v>
      </c>
      <c r="R4390" s="180" t="s">
        <v>257</v>
      </c>
    </row>
    <row r="4391" spans="8:18" x14ac:dyDescent="0.2">
      <c r="H4391" s="180"/>
      <c r="P4391" s="180" t="s">
        <v>257</v>
      </c>
      <c r="R4391" s="180" t="s">
        <v>257</v>
      </c>
    </row>
    <row r="4392" spans="8:18" x14ac:dyDescent="0.2">
      <c r="H4392" s="180"/>
      <c r="P4392" s="180" t="s">
        <v>257</v>
      </c>
      <c r="R4392" s="180" t="s">
        <v>257</v>
      </c>
    </row>
    <row r="4393" spans="8:18" x14ac:dyDescent="0.2">
      <c r="H4393" s="180"/>
      <c r="P4393" s="180" t="s">
        <v>257</v>
      </c>
      <c r="R4393" s="180" t="s">
        <v>257</v>
      </c>
    </row>
    <row r="4394" spans="8:18" x14ac:dyDescent="0.2">
      <c r="H4394" s="180"/>
      <c r="P4394" s="180" t="s">
        <v>257</v>
      </c>
      <c r="R4394" s="180" t="s">
        <v>257</v>
      </c>
    </row>
    <row r="4395" spans="8:18" x14ac:dyDescent="0.2">
      <c r="H4395" s="180"/>
      <c r="P4395" s="180" t="s">
        <v>257</v>
      </c>
      <c r="R4395" s="180" t="s">
        <v>257</v>
      </c>
    </row>
    <row r="4396" spans="8:18" x14ac:dyDescent="0.2">
      <c r="H4396" s="180"/>
      <c r="P4396" s="180" t="s">
        <v>257</v>
      </c>
      <c r="R4396" s="180" t="s">
        <v>257</v>
      </c>
    </row>
    <row r="4397" spans="8:18" x14ac:dyDescent="0.2">
      <c r="H4397" s="180"/>
      <c r="P4397" s="180" t="s">
        <v>257</v>
      </c>
      <c r="R4397" s="180" t="s">
        <v>257</v>
      </c>
    </row>
    <row r="4398" spans="8:18" x14ac:dyDescent="0.2">
      <c r="H4398" s="180"/>
      <c r="P4398" s="180" t="s">
        <v>257</v>
      </c>
      <c r="R4398" s="180" t="s">
        <v>257</v>
      </c>
    </row>
    <row r="4399" spans="8:18" x14ac:dyDescent="0.2">
      <c r="H4399" s="180"/>
      <c r="P4399" s="180" t="s">
        <v>257</v>
      </c>
      <c r="R4399" s="180" t="s">
        <v>257</v>
      </c>
    </row>
    <row r="4400" spans="8:18" x14ac:dyDescent="0.2">
      <c r="H4400" s="180"/>
      <c r="P4400" s="180" t="s">
        <v>257</v>
      </c>
      <c r="R4400" s="180" t="s">
        <v>257</v>
      </c>
    </row>
    <row r="4401" spans="8:18" x14ac:dyDescent="0.2">
      <c r="H4401" s="180"/>
      <c r="P4401" s="180" t="s">
        <v>257</v>
      </c>
      <c r="R4401" s="180" t="s">
        <v>257</v>
      </c>
    </row>
    <row r="4402" spans="8:18" x14ac:dyDescent="0.2">
      <c r="H4402" s="180"/>
      <c r="P4402" s="180" t="s">
        <v>257</v>
      </c>
      <c r="R4402" s="180" t="s">
        <v>257</v>
      </c>
    </row>
    <row r="4403" spans="8:18" x14ac:dyDescent="0.2">
      <c r="H4403" s="180"/>
      <c r="P4403" s="180" t="s">
        <v>257</v>
      </c>
      <c r="R4403" s="180" t="s">
        <v>257</v>
      </c>
    </row>
    <row r="4404" spans="8:18" x14ac:dyDescent="0.2">
      <c r="H4404" s="180"/>
      <c r="P4404" s="180" t="s">
        <v>257</v>
      </c>
      <c r="R4404" s="180" t="s">
        <v>257</v>
      </c>
    </row>
    <row r="4405" spans="8:18" x14ac:dyDescent="0.2">
      <c r="H4405" s="180"/>
      <c r="P4405" s="180" t="s">
        <v>257</v>
      </c>
      <c r="R4405" s="180" t="s">
        <v>257</v>
      </c>
    </row>
    <row r="4406" spans="8:18" x14ac:dyDescent="0.2">
      <c r="H4406" s="180"/>
      <c r="P4406" s="180" t="s">
        <v>257</v>
      </c>
      <c r="R4406" s="180" t="s">
        <v>257</v>
      </c>
    </row>
    <row r="4407" spans="8:18" x14ac:dyDescent="0.2">
      <c r="H4407" s="180"/>
      <c r="P4407" s="180" t="s">
        <v>257</v>
      </c>
      <c r="R4407" s="180" t="s">
        <v>257</v>
      </c>
    </row>
    <row r="4408" spans="8:18" x14ac:dyDescent="0.2">
      <c r="H4408" s="180"/>
      <c r="P4408" s="180" t="s">
        <v>257</v>
      </c>
      <c r="R4408" s="180" t="s">
        <v>257</v>
      </c>
    </row>
    <row r="4409" spans="8:18" x14ac:dyDescent="0.2">
      <c r="H4409" s="180"/>
      <c r="P4409" s="180" t="s">
        <v>257</v>
      </c>
      <c r="R4409" s="180" t="s">
        <v>257</v>
      </c>
    </row>
    <row r="4410" spans="8:18" x14ac:dyDescent="0.2">
      <c r="H4410" s="180"/>
      <c r="P4410" s="180" t="s">
        <v>257</v>
      </c>
      <c r="R4410" s="180" t="s">
        <v>257</v>
      </c>
    </row>
    <row r="4411" spans="8:18" x14ac:dyDescent="0.2">
      <c r="H4411" s="180"/>
      <c r="P4411" s="180" t="s">
        <v>257</v>
      </c>
      <c r="R4411" s="180" t="s">
        <v>257</v>
      </c>
    </row>
    <row r="4412" spans="8:18" x14ac:dyDescent="0.2">
      <c r="H4412" s="180"/>
      <c r="P4412" s="180" t="s">
        <v>257</v>
      </c>
      <c r="R4412" s="180" t="s">
        <v>257</v>
      </c>
    </row>
    <row r="4413" spans="8:18" x14ac:dyDescent="0.2">
      <c r="H4413" s="180"/>
      <c r="P4413" s="180" t="s">
        <v>257</v>
      </c>
      <c r="R4413" s="180" t="s">
        <v>257</v>
      </c>
    </row>
    <row r="4414" spans="8:18" x14ac:dyDescent="0.2">
      <c r="H4414" s="180"/>
      <c r="P4414" s="180" t="s">
        <v>257</v>
      </c>
      <c r="R4414" s="180" t="s">
        <v>257</v>
      </c>
    </row>
    <row r="4415" spans="8:18" x14ac:dyDescent="0.2">
      <c r="H4415" s="180"/>
      <c r="P4415" s="180" t="s">
        <v>257</v>
      </c>
      <c r="R4415" s="180" t="s">
        <v>257</v>
      </c>
    </row>
    <row r="4416" spans="8:18" x14ac:dyDescent="0.2">
      <c r="H4416" s="180"/>
      <c r="P4416" s="180" t="s">
        <v>257</v>
      </c>
      <c r="R4416" s="180" t="s">
        <v>257</v>
      </c>
    </row>
    <row r="4417" spans="8:18" x14ac:dyDescent="0.2">
      <c r="H4417" s="180"/>
      <c r="P4417" s="180" t="s">
        <v>257</v>
      </c>
      <c r="R4417" s="180" t="s">
        <v>257</v>
      </c>
    </row>
    <row r="4418" spans="8:18" x14ac:dyDescent="0.2">
      <c r="H4418" s="180"/>
      <c r="P4418" s="180" t="s">
        <v>257</v>
      </c>
      <c r="R4418" s="180" t="s">
        <v>257</v>
      </c>
    </row>
    <row r="4419" spans="8:18" x14ac:dyDescent="0.2">
      <c r="H4419" s="180"/>
      <c r="P4419" s="180" t="s">
        <v>257</v>
      </c>
      <c r="R4419" s="180" t="s">
        <v>257</v>
      </c>
    </row>
    <row r="4420" spans="8:18" x14ac:dyDescent="0.2">
      <c r="H4420" s="180"/>
      <c r="P4420" s="180" t="s">
        <v>257</v>
      </c>
      <c r="R4420" s="180" t="s">
        <v>257</v>
      </c>
    </row>
    <row r="4421" spans="8:18" x14ac:dyDescent="0.2">
      <c r="H4421" s="180"/>
      <c r="P4421" s="180" t="s">
        <v>257</v>
      </c>
      <c r="R4421" s="180" t="s">
        <v>257</v>
      </c>
    </row>
    <row r="4422" spans="8:18" x14ac:dyDescent="0.2">
      <c r="H4422" s="180"/>
      <c r="P4422" s="180" t="s">
        <v>257</v>
      </c>
      <c r="R4422" s="180" t="s">
        <v>257</v>
      </c>
    </row>
    <row r="4423" spans="8:18" x14ac:dyDescent="0.2">
      <c r="H4423" s="180"/>
      <c r="P4423" s="180" t="s">
        <v>257</v>
      </c>
      <c r="R4423" s="180" t="s">
        <v>257</v>
      </c>
    </row>
    <row r="4424" spans="8:18" x14ac:dyDescent="0.2">
      <c r="H4424" s="180"/>
      <c r="P4424" s="180" t="s">
        <v>257</v>
      </c>
      <c r="R4424" s="180" t="s">
        <v>257</v>
      </c>
    </row>
    <row r="4425" spans="8:18" x14ac:dyDescent="0.2">
      <c r="H4425" s="180"/>
      <c r="P4425" s="180" t="s">
        <v>257</v>
      </c>
      <c r="R4425" s="180" t="s">
        <v>257</v>
      </c>
    </row>
    <row r="4426" spans="8:18" x14ac:dyDescent="0.2">
      <c r="H4426" s="180"/>
      <c r="P4426" s="180" t="s">
        <v>257</v>
      </c>
      <c r="R4426" s="180" t="s">
        <v>257</v>
      </c>
    </row>
    <row r="4427" spans="8:18" x14ac:dyDescent="0.2">
      <c r="H4427" s="180"/>
      <c r="P4427" s="180" t="s">
        <v>257</v>
      </c>
      <c r="R4427" s="180" t="s">
        <v>257</v>
      </c>
    </row>
    <row r="4428" spans="8:18" x14ac:dyDescent="0.2">
      <c r="H4428" s="180"/>
      <c r="P4428" s="180" t="s">
        <v>257</v>
      </c>
      <c r="R4428" s="180" t="s">
        <v>257</v>
      </c>
    </row>
    <row r="4429" spans="8:18" x14ac:dyDescent="0.2">
      <c r="H4429" s="180"/>
      <c r="P4429" s="180" t="s">
        <v>257</v>
      </c>
      <c r="R4429" s="180" t="s">
        <v>257</v>
      </c>
    </row>
    <row r="4430" spans="8:18" x14ac:dyDescent="0.2">
      <c r="H4430" s="180"/>
      <c r="P4430" s="180" t="s">
        <v>257</v>
      </c>
      <c r="R4430" s="180" t="s">
        <v>257</v>
      </c>
    </row>
    <row r="4431" spans="8:18" x14ac:dyDescent="0.2">
      <c r="H4431" s="180"/>
      <c r="P4431" s="180" t="s">
        <v>257</v>
      </c>
      <c r="R4431" s="180" t="s">
        <v>257</v>
      </c>
    </row>
    <row r="4432" spans="8:18" x14ac:dyDescent="0.2">
      <c r="H4432" s="180"/>
      <c r="P4432" s="180" t="s">
        <v>257</v>
      </c>
      <c r="R4432" s="180" t="s">
        <v>257</v>
      </c>
    </row>
    <row r="4433" spans="8:18" x14ac:dyDescent="0.2">
      <c r="H4433" s="180"/>
      <c r="P4433" s="180" t="s">
        <v>257</v>
      </c>
      <c r="R4433" s="180" t="s">
        <v>257</v>
      </c>
    </row>
    <row r="4434" spans="8:18" x14ac:dyDescent="0.2">
      <c r="H4434" s="180"/>
      <c r="P4434" s="180" t="s">
        <v>257</v>
      </c>
      <c r="R4434" s="180" t="s">
        <v>257</v>
      </c>
    </row>
    <row r="4435" spans="8:18" x14ac:dyDescent="0.2">
      <c r="H4435" s="180"/>
      <c r="P4435" s="180" t="s">
        <v>257</v>
      </c>
      <c r="R4435" s="180" t="s">
        <v>257</v>
      </c>
    </row>
    <row r="4436" spans="8:18" x14ac:dyDescent="0.2">
      <c r="H4436" s="180"/>
      <c r="P4436" s="180" t="s">
        <v>257</v>
      </c>
      <c r="R4436" s="180" t="s">
        <v>257</v>
      </c>
    </row>
    <row r="4437" spans="8:18" x14ac:dyDescent="0.2">
      <c r="H4437" s="180"/>
      <c r="P4437" s="180" t="s">
        <v>257</v>
      </c>
      <c r="R4437" s="180" t="s">
        <v>257</v>
      </c>
    </row>
    <row r="4438" spans="8:18" x14ac:dyDescent="0.2">
      <c r="H4438" s="180"/>
      <c r="P4438" s="180" t="s">
        <v>257</v>
      </c>
      <c r="R4438" s="180" t="s">
        <v>257</v>
      </c>
    </row>
    <row r="4439" spans="8:18" x14ac:dyDescent="0.2">
      <c r="H4439" s="180"/>
      <c r="P4439" s="180" t="s">
        <v>257</v>
      </c>
      <c r="R4439" s="180" t="s">
        <v>257</v>
      </c>
    </row>
    <row r="4440" spans="8:18" x14ac:dyDescent="0.2">
      <c r="H4440" s="180"/>
      <c r="P4440" s="180" t="s">
        <v>257</v>
      </c>
      <c r="R4440" s="180" t="s">
        <v>257</v>
      </c>
    </row>
    <row r="4441" spans="8:18" x14ac:dyDescent="0.2">
      <c r="H4441" s="180"/>
      <c r="P4441" s="180" t="s">
        <v>257</v>
      </c>
      <c r="R4441" s="180" t="s">
        <v>257</v>
      </c>
    </row>
    <row r="4442" spans="8:18" x14ac:dyDescent="0.2">
      <c r="H4442" s="180"/>
      <c r="P4442" s="180" t="s">
        <v>257</v>
      </c>
      <c r="R4442" s="180" t="s">
        <v>257</v>
      </c>
    </row>
    <row r="4443" spans="8:18" x14ac:dyDescent="0.2">
      <c r="H4443" s="180"/>
      <c r="P4443" s="180" t="s">
        <v>257</v>
      </c>
      <c r="R4443" s="180" t="s">
        <v>257</v>
      </c>
    </row>
    <row r="4444" spans="8:18" x14ac:dyDescent="0.2">
      <c r="H4444" s="180"/>
      <c r="P4444" s="180" t="s">
        <v>257</v>
      </c>
      <c r="R4444" s="180" t="s">
        <v>257</v>
      </c>
    </row>
    <row r="4445" spans="8:18" x14ac:dyDescent="0.2">
      <c r="H4445" s="180"/>
      <c r="P4445" s="180" t="s">
        <v>257</v>
      </c>
      <c r="R4445" s="180" t="s">
        <v>257</v>
      </c>
    </row>
    <row r="4446" spans="8:18" x14ac:dyDescent="0.2">
      <c r="H4446" s="180"/>
      <c r="P4446" s="180" t="s">
        <v>257</v>
      </c>
      <c r="R4446" s="180" t="s">
        <v>257</v>
      </c>
    </row>
    <row r="4447" spans="8:18" x14ac:dyDescent="0.2">
      <c r="H4447" s="180"/>
      <c r="P4447" s="180" t="s">
        <v>257</v>
      </c>
      <c r="R4447" s="180" t="s">
        <v>257</v>
      </c>
    </row>
    <row r="4448" spans="8:18" x14ac:dyDescent="0.2">
      <c r="H4448" s="180"/>
      <c r="P4448" s="180" t="s">
        <v>257</v>
      </c>
      <c r="R4448" s="180" t="s">
        <v>257</v>
      </c>
    </row>
    <row r="4449" spans="8:18" x14ac:dyDescent="0.2">
      <c r="H4449" s="180"/>
      <c r="P4449" s="180" t="s">
        <v>257</v>
      </c>
      <c r="R4449" s="180" t="s">
        <v>257</v>
      </c>
    </row>
    <row r="4450" spans="8:18" x14ac:dyDescent="0.2">
      <c r="H4450" s="180"/>
      <c r="P4450" s="180" t="s">
        <v>257</v>
      </c>
      <c r="R4450" s="180" t="s">
        <v>257</v>
      </c>
    </row>
    <row r="4451" spans="8:18" x14ac:dyDescent="0.2">
      <c r="H4451" s="180"/>
      <c r="P4451" s="180" t="s">
        <v>257</v>
      </c>
      <c r="R4451" s="180" t="s">
        <v>257</v>
      </c>
    </row>
    <row r="4452" spans="8:18" x14ac:dyDescent="0.2">
      <c r="H4452" s="180"/>
      <c r="P4452" s="180" t="s">
        <v>257</v>
      </c>
      <c r="R4452" s="180" t="s">
        <v>257</v>
      </c>
    </row>
    <row r="4453" spans="8:18" x14ac:dyDescent="0.2">
      <c r="H4453" s="180"/>
      <c r="P4453" s="180" t="s">
        <v>257</v>
      </c>
      <c r="R4453" s="180" t="s">
        <v>257</v>
      </c>
    </row>
    <row r="4454" spans="8:18" x14ac:dyDescent="0.2">
      <c r="H4454" s="180"/>
      <c r="P4454" s="180" t="s">
        <v>257</v>
      </c>
      <c r="R4454" s="180" t="s">
        <v>257</v>
      </c>
    </row>
    <row r="4455" spans="8:18" x14ac:dyDescent="0.2">
      <c r="H4455" s="180"/>
      <c r="P4455" s="180" t="s">
        <v>257</v>
      </c>
      <c r="R4455" s="180" t="s">
        <v>257</v>
      </c>
    </row>
    <row r="4456" spans="8:18" x14ac:dyDescent="0.2">
      <c r="H4456" s="180"/>
      <c r="P4456" s="180" t="s">
        <v>257</v>
      </c>
      <c r="R4456" s="180" t="s">
        <v>257</v>
      </c>
    </row>
    <row r="4457" spans="8:18" x14ac:dyDescent="0.2">
      <c r="H4457" s="180"/>
      <c r="P4457" s="180" t="s">
        <v>257</v>
      </c>
      <c r="R4457" s="180" t="s">
        <v>257</v>
      </c>
    </row>
    <row r="4458" spans="8:18" x14ac:dyDescent="0.2">
      <c r="H4458" s="180"/>
      <c r="P4458" s="180" t="s">
        <v>257</v>
      </c>
      <c r="R4458" s="180" t="s">
        <v>257</v>
      </c>
    </row>
    <row r="4459" spans="8:18" x14ac:dyDescent="0.2">
      <c r="H4459" s="180"/>
      <c r="P4459" s="180" t="s">
        <v>257</v>
      </c>
      <c r="R4459" s="180" t="s">
        <v>257</v>
      </c>
    </row>
    <row r="4460" spans="8:18" x14ac:dyDescent="0.2">
      <c r="H4460" s="180"/>
      <c r="P4460" s="180" t="s">
        <v>257</v>
      </c>
      <c r="R4460" s="180" t="s">
        <v>257</v>
      </c>
    </row>
    <row r="4461" spans="8:18" x14ac:dyDescent="0.2">
      <c r="H4461" s="180"/>
      <c r="P4461" s="180" t="s">
        <v>257</v>
      </c>
      <c r="R4461" s="180" t="s">
        <v>257</v>
      </c>
    </row>
    <row r="4462" spans="8:18" x14ac:dyDescent="0.2">
      <c r="H4462" s="180"/>
      <c r="P4462" s="180" t="s">
        <v>257</v>
      </c>
      <c r="R4462" s="180" t="s">
        <v>257</v>
      </c>
    </row>
    <row r="4463" spans="8:18" x14ac:dyDescent="0.2">
      <c r="H4463" s="180"/>
      <c r="P4463" s="180" t="s">
        <v>257</v>
      </c>
      <c r="R4463" s="180" t="s">
        <v>257</v>
      </c>
    </row>
    <row r="4464" spans="8:18" x14ac:dyDescent="0.2">
      <c r="H4464" s="180"/>
      <c r="P4464" s="180" t="s">
        <v>257</v>
      </c>
      <c r="R4464" s="180" t="s">
        <v>257</v>
      </c>
    </row>
    <row r="4465" spans="8:18" x14ac:dyDescent="0.2">
      <c r="H4465" s="180"/>
      <c r="P4465" s="180" t="s">
        <v>257</v>
      </c>
      <c r="R4465" s="180" t="s">
        <v>257</v>
      </c>
    </row>
    <row r="4466" spans="8:18" x14ac:dyDescent="0.2">
      <c r="H4466" s="180"/>
      <c r="P4466" s="180" t="s">
        <v>257</v>
      </c>
      <c r="R4466" s="180" t="s">
        <v>257</v>
      </c>
    </row>
    <row r="4467" spans="8:18" x14ac:dyDescent="0.2">
      <c r="H4467" s="180"/>
      <c r="P4467" s="180" t="s">
        <v>257</v>
      </c>
      <c r="R4467" s="180" t="s">
        <v>257</v>
      </c>
    </row>
    <row r="4468" spans="8:18" x14ac:dyDescent="0.2">
      <c r="H4468" s="180"/>
      <c r="P4468" s="180" t="s">
        <v>257</v>
      </c>
      <c r="R4468" s="180" t="s">
        <v>257</v>
      </c>
    </row>
    <row r="4469" spans="8:18" x14ac:dyDescent="0.2">
      <c r="H4469" s="180"/>
      <c r="P4469" s="180" t="s">
        <v>257</v>
      </c>
      <c r="R4469" s="180" t="s">
        <v>257</v>
      </c>
    </row>
    <row r="4470" spans="8:18" x14ac:dyDescent="0.2">
      <c r="H4470" s="180"/>
      <c r="P4470" s="180" t="s">
        <v>257</v>
      </c>
      <c r="R4470" s="180" t="s">
        <v>257</v>
      </c>
    </row>
    <row r="4471" spans="8:18" x14ac:dyDescent="0.2">
      <c r="H4471" s="180"/>
      <c r="P4471" s="180" t="s">
        <v>257</v>
      </c>
      <c r="R4471" s="180" t="s">
        <v>257</v>
      </c>
    </row>
    <row r="4472" spans="8:18" x14ac:dyDescent="0.2">
      <c r="H4472" s="180"/>
      <c r="P4472" s="180" t="s">
        <v>257</v>
      </c>
      <c r="R4472" s="180" t="s">
        <v>257</v>
      </c>
    </row>
    <row r="4473" spans="8:18" x14ac:dyDescent="0.2">
      <c r="H4473" s="180"/>
      <c r="P4473" s="180" t="s">
        <v>257</v>
      </c>
      <c r="R4473" s="180" t="s">
        <v>257</v>
      </c>
    </row>
    <row r="4474" spans="8:18" x14ac:dyDescent="0.2">
      <c r="H4474" s="180"/>
      <c r="P4474" s="180" t="s">
        <v>257</v>
      </c>
      <c r="R4474" s="180" t="s">
        <v>257</v>
      </c>
    </row>
    <row r="4475" spans="8:18" x14ac:dyDescent="0.2">
      <c r="H4475" s="180"/>
      <c r="P4475" s="180" t="s">
        <v>257</v>
      </c>
      <c r="R4475" s="180" t="s">
        <v>257</v>
      </c>
    </row>
    <row r="4476" spans="8:18" x14ac:dyDescent="0.2">
      <c r="H4476" s="180"/>
      <c r="P4476" s="180" t="s">
        <v>257</v>
      </c>
      <c r="R4476" s="180" t="s">
        <v>257</v>
      </c>
    </row>
    <row r="4477" spans="8:18" x14ac:dyDescent="0.2">
      <c r="H4477" s="180"/>
      <c r="P4477" s="180" t="s">
        <v>257</v>
      </c>
      <c r="R4477" s="180" t="s">
        <v>257</v>
      </c>
    </row>
    <row r="4478" spans="8:18" x14ac:dyDescent="0.2">
      <c r="H4478" s="180"/>
      <c r="P4478" s="180" t="s">
        <v>257</v>
      </c>
      <c r="R4478" s="180" t="s">
        <v>257</v>
      </c>
    </row>
    <row r="4479" spans="8:18" x14ac:dyDescent="0.2">
      <c r="H4479" s="180"/>
      <c r="P4479" s="180" t="s">
        <v>257</v>
      </c>
      <c r="R4479" s="180" t="s">
        <v>257</v>
      </c>
    </row>
    <row r="4480" spans="8:18" x14ac:dyDescent="0.2">
      <c r="H4480" s="180"/>
      <c r="P4480" s="180" t="s">
        <v>257</v>
      </c>
      <c r="R4480" s="180" t="s">
        <v>257</v>
      </c>
    </row>
    <row r="4481" spans="8:18" x14ac:dyDescent="0.2">
      <c r="H4481" s="180"/>
      <c r="P4481" s="180" t="s">
        <v>257</v>
      </c>
      <c r="R4481" s="180" t="s">
        <v>257</v>
      </c>
    </row>
    <row r="4482" spans="8:18" x14ac:dyDescent="0.2">
      <c r="H4482" s="180"/>
      <c r="P4482" s="180" t="s">
        <v>257</v>
      </c>
      <c r="R4482" s="180" t="s">
        <v>257</v>
      </c>
    </row>
    <row r="4483" spans="8:18" x14ac:dyDescent="0.2">
      <c r="H4483" s="180"/>
      <c r="P4483" s="180" t="s">
        <v>257</v>
      </c>
      <c r="R4483" s="180" t="s">
        <v>257</v>
      </c>
    </row>
    <row r="4484" spans="8:18" x14ac:dyDescent="0.2">
      <c r="H4484" s="180"/>
      <c r="P4484" s="180" t="s">
        <v>257</v>
      </c>
      <c r="R4484" s="180" t="s">
        <v>257</v>
      </c>
    </row>
    <row r="4485" spans="8:18" x14ac:dyDescent="0.2">
      <c r="H4485" s="180"/>
      <c r="P4485" s="180" t="s">
        <v>257</v>
      </c>
      <c r="R4485" s="180" t="s">
        <v>257</v>
      </c>
    </row>
    <row r="4486" spans="8:18" x14ac:dyDescent="0.2">
      <c r="H4486" s="180"/>
      <c r="P4486" s="180" t="s">
        <v>257</v>
      </c>
      <c r="R4486" s="180" t="s">
        <v>257</v>
      </c>
    </row>
    <row r="4487" spans="8:18" x14ac:dyDescent="0.2">
      <c r="H4487" s="180"/>
      <c r="P4487" s="180" t="s">
        <v>257</v>
      </c>
      <c r="R4487" s="180" t="s">
        <v>257</v>
      </c>
    </row>
    <row r="4488" spans="8:18" x14ac:dyDescent="0.2">
      <c r="H4488" s="180"/>
      <c r="P4488" s="180" t="s">
        <v>257</v>
      </c>
      <c r="R4488" s="180" t="s">
        <v>257</v>
      </c>
    </row>
    <row r="4489" spans="8:18" x14ac:dyDescent="0.2">
      <c r="H4489" s="180"/>
      <c r="P4489" s="180" t="s">
        <v>257</v>
      </c>
      <c r="R4489" s="180" t="s">
        <v>257</v>
      </c>
    </row>
    <row r="4490" spans="8:18" x14ac:dyDescent="0.2">
      <c r="H4490" s="180"/>
      <c r="P4490" s="180" t="s">
        <v>257</v>
      </c>
      <c r="R4490" s="180" t="s">
        <v>257</v>
      </c>
    </row>
    <row r="4491" spans="8:18" x14ac:dyDescent="0.2">
      <c r="H4491" s="180"/>
      <c r="P4491" s="180" t="s">
        <v>257</v>
      </c>
      <c r="R4491" s="180" t="s">
        <v>257</v>
      </c>
    </row>
    <row r="4492" spans="8:18" x14ac:dyDescent="0.2">
      <c r="H4492" s="180"/>
      <c r="P4492" s="180" t="s">
        <v>257</v>
      </c>
      <c r="R4492" s="180" t="s">
        <v>257</v>
      </c>
    </row>
    <row r="4493" spans="8:18" x14ac:dyDescent="0.2">
      <c r="H4493" s="180"/>
      <c r="P4493" s="180" t="s">
        <v>257</v>
      </c>
      <c r="R4493" s="180" t="s">
        <v>257</v>
      </c>
    </row>
    <row r="4494" spans="8:18" x14ac:dyDescent="0.2">
      <c r="H4494" s="180"/>
      <c r="P4494" s="180" t="s">
        <v>257</v>
      </c>
      <c r="R4494" s="180" t="s">
        <v>257</v>
      </c>
    </row>
    <row r="4495" spans="8:18" x14ac:dyDescent="0.2">
      <c r="H4495" s="180"/>
      <c r="P4495" s="180" t="s">
        <v>257</v>
      </c>
      <c r="R4495" s="180" t="s">
        <v>257</v>
      </c>
    </row>
    <row r="4496" spans="8:18" x14ac:dyDescent="0.2">
      <c r="H4496" s="180"/>
      <c r="P4496" s="180" t="s">
        <v>257</v>
      </c>
      <c r="R4496" s="180" t="s">
        <v>257</v>
      </c>
    </row>
    <row r="4497" spans="8:18" x14ac:dyDescent="0.2">
      <c r="H4497" s="180"/>
      <c r="P4497" s="180" t="s">
        <v>257</v>
      </c>
      <c r="R4497" s="180" t="s">
        <v>257</v>
      </c>
    </row>
    <row r="4498" spans="8:18" x14ac:dyDescent="0.2">
      <c r="H4498" s="180"/>
      <c r="P4498" s="180" t="s">
        <v>257</v>
      </c>
      <c r="R4498" s="180" t="s">
        <v>257</v>
      </c>
    </row>
    <row r="4499" spans="8:18" x14ac:dyDescent="0.2">
      <c r="H4499" s="180"/>
      <c r="P4499" s="180" t="s">
        <v>257</v>
      </c>
      <c r="R4499" s="180" t="s">
        <v>257</v>
      </c>
    </row>
    <row r="4500" spans="8:18" x14ac:dyDescent="0.2">
      <c r="H4500" s="180"/>
      <c r="P4500" s="180" t="s">
        <v>257</v>
      </c>
      <c r="R4500" s="180" t="s">
        <v>257</v>
      </c>
    </row>
    <row r="4501" spans="8:18" x14ac:dyDescent="0.2">
      <c r="H4501" s="180"/>
      <c r="P4501" s="180" t="s">
        <v>257</v>
      </c>
      <c r="R4501" s="180" t="s">
        <v>257</v>
      </c>
    </row>
    <row r="4502" spans="8:18" x14ac:dyDescent="0.2">
      <c r="H4502" s="180"/>
      <c r="P4502" s="180" t="s">
        <v>257</v>
      </c>
      <c r="R4502" s="180" t="s">
        <v>257</v>
      </c>
    </row>
    <row r="4503" spans="8:18" x14ac:dyDescent="0.2">
      <c r="H4503" s="180"/>
      <c r="P4503" s="180" t="s">
        <v>257</v>
      </c>
      <c r="R4503" s="180" t="s">
        <v>257</v>
      </c>
    </row>
    <row r="4504" spans="8:18" x14ac:dyDescent="0.2">
      <c r="H4504" s="180"/>
      <c r="P4504" s="180" t="s">
        <v>257</v>
      </c>
      <c r="R4504" s="180" t="s">
        <v>257</v>
      </c>
    </row>
    <row r="4505" spans="8:18" x14ac:dyDescent="0.2">
      <c r="H4505" s="180"/>
      <c r="P4505" s="180" t="s">
        <v>257</v>
      </c>
      <c r="R4505" s="180" t="s">
        <v>257</v>
      </c>
    </row>
    <row r="4506" spans="8:18" x14ac:dyDescent="0.2">
      <c r="H4506" s="180"/>
      <c r="P4506" s="180" t="s">
        <v>257</v>
      </c>
      <c r="R4506" s="180" t="s">
        <v>257</v>
      </c>
    </row>
    <row r="4507" spans="8:18" x14ac:dyDescent="0.2">
      <c r="H4507" s="180"/>
      <c r="P4507" s="180" t="s">
        <v>257</v>
      </c>
      <c r="R4507" s="180" t="s">
        <v>257</v>
      </c>
    </row>
    <row r="4508" spans="8:18" x14ac:dyDescent="0.2">
      <c r="H4508" s="180"/>
      <c r="P4508" s="180" t="s">
        <v>257</v>
      </c>
      <c r="R4508" s="180" t="s">
        <v>257</v>
      </c>
    </row>
    <row r="4509" spans="8:18" x14ac:dyDescent="0.2">
      <c r="H4509" s="180"/>
      <c r="P4509" s="180" t="s">
        <v>257</v>
      </c>
      <c r="R4509" s="180" t="s">
        <v>257</v>
      </c>
    </row>
    <row r="4510" spans="8:18" x14ac:dyDescent="0.2">
      <c r="H4510" s="180"/>
      <c r="P4510" s="180" t="s">
        <v>257</v>
      </c>
      <c r="R4510" s="180" t="s">
        <v>257</v>
      </c>
    </row>
    <row r="4511" spans="8:18" x14ac:dyDescent="0.2">
      <c r="H4511" s="180"/>
      <c r="P4511" s="180" t="s">
        <v>257</v>
      </c>
      <c r="R4511" s="180" t="s">
        <v>257</v>
      </c>
    </row>
    <row r="4512" spans="8:18" x14ac:dyDescent="0.2">
      <c r="H4512" s="180"/>
      <c r="P4512" s="180" t="s">
        <v>257</v>
      </c>
      <c r="R4512" s="180" t="s">
        <v>257</v>
      </c>
    </row>
    <row r="4513" spans="8:18" x14ac:dyDescent="0.2">
      <c r="H4513" s="180"/>
      <c r="P4513" s="180" t="s">
        <v>257</v>
      </c>
      <c r="R4513" s="180" t="s">
        <v>257</v>
      </c>
    </row>
    <row r="4514" spans="8:18" x14ac:dyDescent="0.2">
      <c r="H4514" s="180"/>
      <c r="P4514" s="180" t="s">
        <v>257</v>
      </c>
      <c r="R4514" s="180" t="s">
        <v>257</v>
      </c>
    </row>
    <row r="4515" spans="8:18" x14ac:dyDescent="0.2">
      <c r="H4515" s="180"/>
      <c r="P4515" s="180" t="s">
        <v>257</v>
      </c>
      <c r="R4515" s="180" t="s">
        <v>257</v>
      </c>
    </row>
    <row r="4516" spans="8:18" x14ac:dyDescent="0.2">
      <c r="H4516" s="180"/>
      <c r="P4516" s="180" t="s">
        <v>257</v>
      </c>
      <c r="R4516" s="180" t="s">
        <v>257</v>
      </c>
    </row>
    <row r="4517" spans="8:18" x14ac:dyDescent="0.2">
      <c r="H4517" s="180"/>
      <c r="P4517" s="180" t="s">
        <v>257</v>
      </c>
      <c r="R4517" s="180" t="s">
        <v>257</v>
      </c>
    </row>
    <row r="4518" spans="8:18" x14ac:dyDescent="0.2">
      <c r="H4518" s="180"/>
      <c r="P4518" s="180" t="s">
        <v>257</v>
      </c>
      <c r="R4518" s="180" t="s">
        <v>257</v>
      </c>
    </row>
    <row r="4519" spans="8:18" x14ac:dyDescent="0.2">
      <c r="H4519" s="180"/>
      <c r="P4519" s="180" t="s">
        <v>257</v>
      </c>
      <c r="R4519" s="180" t="s">
        <v>257</v>
      </c>
    </row>
    <row r="4520" spans="8:18" x14ac:dyDescent="0.2">
      <c r="H4520" s="180"/>
      <c r="P4520" s="180" t="s">
        <v>257</v>
      </c>
      <c r="R4520" s="180" t="s">
        <v>257</v>
      </c>
    </row>
    <row r="4521" spans="8:18" x14ac:dyDescent="0.2">
      <c r="H4521" s="180"/>
      <c r="P4521" s="180" t="s">
        <v>257</v>
      </c>
      <c r="R4521" s="180" t="s">
        <v>257</v>
      </c>
    </row>
    <row r="4522" spans="8:18" x14ac:dyDescent="0.2">
      <c r="H4522" s="180"/>
      <c r="P4522" s="180" t="s">
        <v>257</v>
      </c>
      <c r="R4522" s="180" t="s">
        <v>257</v>
      </c>
    </row>
    <row r="4523" spans="8:18" x14ac:dyDescent="0.2">
      <c r="H4523" s="180"/>
      <c r="P4523" s="180" t="s">
        <v>257</v>
      </c>
      <c r="R4523" s="180" t="s">
        <v>257</v>
      </c>
    </row>
    <row r="4524" spans="8:18" x14ac:dyDescent="0.2">
      <c r="H4524" s="180"/>
      <c r="P4524" s="180" t="s">
        <v>257</v>
      </c>
      <c r="R4524" s="180" t="s">
        <v>257</v>
      </c>
    </row>
    <row r="4525" spans="8:18" x14ac:dyDescent="0.2">
      <c r="H4525" s="180"/>
      <c r="P4525" s="180" t="s">
        <v>257</v>
      </c>
      <c r="R4525" s="180" t="s">
        <v>257</v>
      </c>
    </row>
    <row r="4526" spans="8:18" x14ac:dyDescent="0.2">
      <c r="H4526" s="180"/>
      <c r="P4526" s="180" t="s">
        <v>257</v>
      </c>
      <c r="R4526" s="180" t="s">
        <v>257</v>
      </c>
    </row>
    <row r="4527" spans="8:18" x14ac:dyDescent="0.2">
      <c r="H4527" s="180"/>
      <c r="P4527" s="180" t="s">
        <v>257</v>
      </c>
      <c r="R4527" s="180" t="s">
        <v>257</v>
      </c>
    </row>
    <row r="4528" spans="8:18" x14ac:dyDescent="0.2">
      <c r="H4528" s="180"/>
      <c r="P4528" s="180" t="s">
        <v>257</v>
      </c>
      <c r="R4528" s="180" t="s">
        <v>257</v>
      </c>
    </row>
    <row r="4529" spans="8:18" x14ac:dyDescent="0.2">
      <c r="H4529" s="180"/>
      <c r="P4529" s="180" t="s">
        <v>257</v>
      </c>
      <c r="R4529" s="180" t="s">
        <v>257</v>
      </c>
    </row>
    <row r="4530" spans="8:18" x14ac:dyDescent="0.2">
      <c r="H4530" s="180"/>
      <c r="P4530" s="180" t="s">
        <v>257</v>
      </c>
      <c r="R4530" s="180" t="s">
        <v>257</v>
      </c>
    </row>
    <row r="4531" spans="8:18" x14ac:dyDescent="0.2">
      <c r="H4531" s="180"/>
      <c r="P4531" s="180" t="s">
        <v>257</v>
      </c>
      <c r="R4531" s="180" t="s">
        <v>257</v>
      </c>
    </row>
    <row r="4532" spans="8:18" x14ac:dyDescent="0.2">
      <c r="H4532" s="180"/>
      <c r="P4532" s="180" t="s">
        <v>257</v>
      </c>
      <c r="R4532" s="180" t="s">
        <v>257</v>
      </c>
    </row>
    <row r="4533" spans="8:18" x14ac:dyDescent="0.2">
      <c r="H4533" s="180"/>
      <c r="P4533" s="180" t="s">
        <v>257</v>
      </c>
      <c r="R4533" s="180" t="s">
        <v>257</v>
      </c>
    </row>
    <row r="4534" spans="8:18" x14ac:dyDescent="0.2">
      <c r="H4534" s="180"/>
      <c r="P4534" s="180" t="s">
        <v>257</v>
      </c>
      <c r="R4534" s="180" t="s">
        <v>257</v>
      </c>
    </row>
    <row r="4535" spans="8:18" x14ac:dyDescent="0.2">
      <c r="H4535" s="180"/>
      <c r="P4535" s="180" t="s">
        <v>257</v>
      </c>
      <c r="R4535" s="180" t="s">
        <v>257</v>
      </c>
    </row>
    <row r="4536" spans="8:18" x14ac:dyDescent="0.2">
      <c r="H4536" s="180"/>
      <c r="P4536" s="180" t="s">
        <v>257</v>
      </c>
      <c r="R4536" s="180" t="s">
        <v>257</v>
      </c>
    </row>
    <row r="4537" spans="8:18" x14ac:dyDescent="0.2">
      <c r="H4537" s="180"/>
      <c r="P4537" s="180" t="s">
        <v>257</v>
      </c>
      <c r="R4537" s="180" t="s">
        <v>257</v>
      </c>
    </row>
    <row r="4538" spans="8:18" x14ac:dyDescent="0.2">
      <c r="H4538" s="180"/>
      <c r="P4538" s="180" t="s">
        <v>257</v>
      </c>
      <c r="R4538" s="180" t="s">
        <v>257</v>
      </c>
    </row>
    <row r="4539" spans="8:18" x14ac:dyDescent="0.2">
      <c r="H4539" s="180"/>
      <c r="P4539" s="180" t="s">
        <v>257</v>
      </c>
      <c r="R4539" s="180" t="s">
        <v>257</v>
      </c>
    </row>
    <row r="4540" spans="8:18" x14ac:dyDescent="0.2">
      <c r="H4540" s="180"/>
      <c r="P4540" s="180" t="s">
        <v>257</v>
      </c>
      <c r="R4540" s="180" t="s">
        <v>257</v>
      </c>
    </row>
    <row r="4541" spans="8:18" x14ac:dyDescent="0.2">
      <c r="H4541" s="180"/>
      <c r="P4541" s="180" t="s">
        <v>257</v>
      </c>
      <c r="R4541" s="180" t="s">
        <v>257</v>
      </c>
    </row>
    <row r="4542" spans="8:18" x14ac:dyDescent="0.2">
      <c r="H4542" s="180"/>
      <c r="P4542" s="180" t="s">
        <v>257</v>
      </c>
      <c r="R4542" s="180" t="s">
        <v>257</v>
      </c>
    </row>
    <row r="4543" spans="8:18" x14ac:dyDescent="0.2">
      <c r="H4543" s="180"/>
      <c r="P4543" s="180" t="s">
        <v>257</v>
      </c>
      <c r="R4543" s="180" t="s">
        <v>257</v>
      </c>
    </row>
    <row r="4544" spans="8:18" x14ac:dyDescent="0.2">
      <c r="H4544" s="180"/>
      <c r="P4544" s="180" t="s">
        <v>257</v>
      </c>
      <c r="R4544" s="180" t="s">
        <v>257</v>
      </c>
    </row>
    <row r="4545" spans="8:18" x14ac:dyDescent="0.2">
      <c r="H4545" s="180"/>
      <c r="P4545" s="180" t="s">
        <v>257</v>
      </c>
      <c r="R4545" s="180" t="s">
        <v>257</v>
      </c>
    </row>
    <row r="4546" spans="8:18" x14ac:dyDescent="0.2">
      <c r="H4546" s="180"/>
      <c r="P4546" s="180" t="s">
        <v>257</v>
      </c>
      <c r="R4546" s="180" t="s">
        <v>257</v>
      </c>
    </row>
    <row r="4547" spans="8:18" x14ac:dyDescent="0.2">
      <c r="H4547" s="180"/>
      <c r="P4547" s="180" t="s">
        <v>257</v>
      </c>
      <c r="R4547" s="180" t="s">
        <v>257</v>
      </c>
    </row>
    <row r="4548" spans="8:18" x14ac:dyDescent="0.2">
      <c r="H4548" s="180"/>
      <c r="P4548" s="180" t="s">
        <v>257</v>
      </c>
      <c r="R4548" s="180" t="s">
        <v>257</v>
      </c>
    </row>
    <row r="4549" spans="8:18" x14ac:dyDescent="0.2">
      <c r="H4549" s="180"/>
      <c r="P4549" s="180" t="s">
        <v>257</v>
      </c>
      <c r="R4549" s="180" t="s">
        <v>257</v>
      </c>
    </row>
    <row r="4550" spans="8:18" x14ac:dyDescent="0.2">
      <c r="H4550" s="180"/>
      <c r="P4550" s="180" t="s">
        <v>257</v>
      </c>
      <c r="R4550" s="180" t="s">
        <v>257</v>
      </c>
    </row>
    <row r="4551" spans="8:18" x14ac:dyDescent="0.2">
      <c r="H4551" s="180"/>
      <c r="P4551" s="180" t="s">
        <v>257</v>
      </c>
      <c r="R4551" s="180" t="s">
        <v>257</v>
      </c>
    </row>
    <row r="4552" spans="8:18" x14ac:dyDescent="0.2">
      <c r="H4552" s="180"/>
      <c r="P4552" s="180" t="s">
        <v>257</v>
      </c>
      <c r="R4552" s="180" t="s">
        <v>257</v>
      </c>
    </row>
    <row r="4553" spans="8:18" x14ac:dyDescent="0.2">
      <c r="H4553" s="180"/>
      <c r="P4553" s="180" t="s">
        <v>257</v>
      </c>
      <c r="R4553" s="180" t="s">
        <v>257</v>
      </c>
    </row>
    <row r="4554" spans="8:18" x14ac:dyDescent="0.2">
      <c r="H4554" s="180"/>
      <c r="P4554" s="180" t="s">
        <v>257</v>
      </c>
      <c r="R4554" s="180" t="s">
        <v>257</v>
      </c>
    </row>
    <row r="4555" spans="8:18" x14ac:dyDescent="0.2">
      <c r="H4555" s="180"/>
      <c r="P4555" s="180" t="s">
        <v>257</v>
      </c>
      <c r="R4555" s="180" t="s">
        <v>257</v>
      </c>
    </row>
    <row r="4556" spans="8:18" x14ac:dyDescent="0.2">
      <c r="H4556" s="180"/>
      <c r="P4556" s="180" t="s">
        <v>257</v>
      </c>
      <c r="R4556" s="180" t="s">
        <v>257</v>
      </c>
    </row>
    <row r="4557" spans="8:18" x14ac:dyDescent="0.2">
      <c r="H4557" s="180"/>
      <c r="P4557" s="180" t="s">
        <v>257</v>
      </c>
      <c r="R4557" s="180" t="s">
        <v>257</v>
      </c>
    </row>
    <row r="4558" spans="8:18" x14ac:dyDescent="0.2">
      <c r="H4558" s="180"/>
      <c r="P4558" s="180" t="s">
        <v>257</v>
      </c>
      <c r="R4558" s="180" t="s">
        <v>257</v>
      </c>
    </row>
    <row r="4559" spans="8:18" x14ac:dyDescent="0.2">
      <c r="H4559" s="180"/>
      <c r="P4559" s="180" t="s">
        <v>257</v>
      </c>
      <c r="R4559" s="180" t="s">
        <v>257</v>
      </c>
    </row>
    <row r="4560" spans="8:18" x14ac:dyDescent="0.2">
      <c r="H4560" s="180"/>
      <c r="P4560" s="180" t="s">
        <v>257</v>
      </c>
      <c r="R4560" s="180" t="s">
        <v>257</v>
      </c>
    </row>
    <row r="4561" spans="8:18" x14ac:dyDescent="0.2">
      <c r="H4561" s="180"/>
      <c r="P4561" s="180" t="s">
        <v>257</v>
      </c>
      <c r="R4561" s="180" t="s">
        <v>257</v>
      </c>
    </row>
    <row r="4562" spans="8:18" x14ac:dyDescent="0.2">
      <c r="H4562" s="180"/>
      <c r="P4562" s="180" t="s">
        <v>257</v>
      </c>
      <c r="R4562" s="180" t="s">
        <v>257</v>
      </c>
    </row>
    <row r="4563" spans="8:18" x14ac:dyDescent="0.2">
      <c r="H4563" s="180"/>
      <c r="P4563" s="180" t="s">
        <v>257</v>
      </c>
      <c r="R4563" s="180" t="s">
        <v>257</v>
      </c>
    </row>
    <row r="4564" spans="8:18" x14ac:dyDescent="0.2">
      <c r="H4564" s="180"/>
      <c r="P4564" s="180" t="s">
        <v>257</v>
      </c>
      <c r="R4564" s="180" t="s">
        <v>257</v>
      </c>
    </row>
    <row r="4565" spans="8:18" x14ac:dyDescent="0.2">
      <c r="H4565" s="180"/>
      <c r="P4565" s="180" t="s">
        <v>257</v>
      </c>
      <c r="R4565" s="180" t="s">
        <v>257</v>
      </c>
    </row>
    <row r="4566" spans="8:18" x14ac:dyDescent="0.2">
      <c r="H4566" s="180"/>
      <c r="P4566" s="180" t="s">
        <v>257</v>
      </c>
      <c r="R4566" s="180" t="s">
        <v>257</v>
      </c>
    </row>
    <row r="4567" spans="8:18" x14ac:dyDescent="0.2">
      <c r="H4567" s="180"/>
      <c r="P4567" s="180" t="s">
        <v>257</v>
      </c>
      <c r="R4567" s="180" t="s">
        <v>257</v>
      </c>
    </row>
    <row r="4568" spans="8:18" x14ac:dyDescent="0.2">
      <c r="H4568" s="180"/>
      <c r="P4568" s="180" t="s">
        <v>257</v>
      </c>
      <c r="R4568" s="180" t="s">
        <v>257</v>
      </c>
    </row>
    <row r="4569" spans="8:18" x14ac:dyDescent="0.2">
      <c r="H4569" s="180"/>
      <c r="P4569" s="180" t="s">
        <v>257</v>
      </c>
      <c r="R4569" s="180" t="s">
        <v>257</v>
      </c>
    </row>
    <row r="4570" spans="8:18" x14ac:dyDescent="0.2">
      <c r="H4570" s="180"/>
      <c r="P4570" s="180" t="s">
        <v>257</v>
      </c>
      <c r="R4570" s="180" t="s">
        <v>257</v>
      </c>
    </row>
    <row r="4571" spans="8:18" x14ac:dyDescent="0.2">
      <c r="H4571" s="180"/>
      <c r="P4571" s="180" t="s">
        <v>257</v>
      </c>
      <c r="R4571" s="180" t="s">
        <v>257</v>
      </c>
    </row>
    <row r="4572" spans="8:18" x14ac:dyDescent="0.2">
      <c r="H4572" s="180"/>
      <c r="P4572" s="180" t="s">
        <v>257</v>
      </c>
      <c r="R4572" s="180" t="s">
        <v>257</v>
      </c>
    </row>
    <row r="4573" spans="8:18" x14ac:dyDescent="0.2">
      <c r="H4573" s="180"/>
      <c r="P4573" s="180" t="s">
        <v>257</v>
      </c>
      <c r="R4573" s="180" t="s">
        <v>257</v>
      </c>
    </row>
    <row r="4574" spans="8:18" x14ac:dyDescent="0.2">
      <c r="H4574" s="180"/>
      <c r="P4574" s="180" t="s">
        <v>257</v>
      </c>
      <c r="R4574" s="180" t="s">
        <v>257</v>
      </c>
    </row>
    <row r="4575" spans="8:18" x14ac:dyDescent="0.2">
      <c r="H4575" s="180"/>
      <c r="P4575" s="180" t="s">
        <v>257</v>
      </c>
      <c r="R4575" s="180" t="s">
        <v>257</v>
      </c>
    </row>
    <row r="4576" spans="8:18" x14ac:dyDescent="0.2">
      <c r="H4576" s="180"/>
      <c r="P4576" s="180" t="s">
        <v>257</v>
      </c>
      <c r="R4576" s="180" t="s">
        <v>257</v>
      </c>
    </row>
    <row r="4577" spans="8:18" x14ac:dyDescent="0.2">
      <c r="H4577" s="180"/>
      <c r="P4577" s="180" t="s">
        <v>257</v>
      </c>
      <c r="R4577" s="180" t="s">
        <v>257</v>
      </c>
    </row>
    <row r="4578" spans="8:18" x14ac:dyDescent="0.2">
      <c r="H4578" s="180"/>
      <c r="P4578" s="180" t="s">
        <v>257</v>
      </c>
      <c r="R4578" s="180" t="s">
        <v>257</v>
      </c>
    </row>
    <row r="4579" spans="8:18" x14ac:dyDescent="0.2">
      <c r="H4579" s="180"/>
      <c r="P4579" s="180" t="s">
        <v>257</v>
      </c>
      <c r="R4579" s="180" t="s">
        <v>257</v>
      </c>
    </row>
    <row r="4580" spans="8:18" x14ac:dyDescent="0.2">
      <c r="H4580" s="180"/>
      <c r="P4580" s="180" t="s">
        <v>257</v>
      </c>
      <c r="R4580" s="180" t="s">
        <v>257</v>
      </c>
    </row>
    <row r="4581" spans="8:18" x14ac:dyDescent="0.2">
      <c r="H4581" s="180"/>
      <c r="P4581" s="180" t="s">
        <v>257</v>
      </c>
      <c r="R4581" s="180" t="s">
        <v>257</v>
      </c>
    </row>
    <row r="4582" spans="8:18" x14ac:dyDescent="0.2">
      <c r="H4582" s="180"/>
      <c r="P4582" s="180" t="s">
        <v>257</v>
      </c>
      <c r="R4582" s="180" t="s">
        <v>257</v>
      </c>
    </row>
    <row r="4583" spans="8:18" x14ac:dyDescent="0.2">
      <c r="H4583" s="180"/>
      <c r="P4583" s="180" t="s">
        <v>257</v>
      </c>
      <c r="R4583" s="180" t="s">
        <v>257</v>
      </c>
    </row>
    <row r="4584" spans="8:18" x14ac:dyDescent="0.2">
      <c r="H4584" s="180"/>
      <c r="P4584" s="180" t="s">
        <v>257</v>
      </c>
      <c r="R4584" s="180" t="s">
        <v>257</v>
      </c>
    </row>
    <row r="4585" spans="8:18" x14ac:dyDescent="0.2">
      <c r="H4585" s="180"/>
      <c r="P4585" s="180" t="s">
        <v>257</v>
      </c>
      <c r="R4585" s="180" t="s">
        <v>257</v>
      </c>
    </row>
    <row r="4586" spans="8:18" x14ac:dyDescent="0.2">
      <c r="H4586" s="180"/>
      <c r="P4586" s="180" t="s">
        <v>257</v>
      </c>
      <c r="R4586" s="180" t="s">
        <v>257</v>
      </c>
    </row>
    <row r="4587" spans="8:18" x14ac:dyDescent="0.2">
      <c r="H4587" s="180"/>
      <c r="P4587" s="180" t="s">
        <v>257</v>
      </c>
      <c r="R4587" s="180" t="s">
        <v>257</v>
      </c>
    </row>
    <row r="4588" spans="8:18" x14ac:dyDescent="0.2">
      <c r="H4588" s="180"/>
      <c r="P4588" s="180" t="s">
        <v>257</v>
      </c>
      <c r="R4588" s="180" t="s">
        <v>257</v>
      </c>
    </row>
    <row r="4589" spans="8:18" x14ac:dyDescent="0.2">
      <c r="H4589" s="180"/>
      <c r="P4589" s="180" t="s">
        <v>257</v>
      </c>
      <c r="R4589" s="180" t="s">
        <v>257</v>
      </c>
    </row>
    <row r="4590" spans="8:18" x14ac:dyDescent="0.2">
      <c r="H4590" s="180"/>
      <c r="P4590" s="180" t="s">
        <v>257</v>
      </c>
      <c r="R4590" s="180" t="s">
        <v>257</v>
      </c>
    </row>
    <row r="4591" spans="8:18" x14ac:dyDescent="0.2">
      <c r="H4591" s="180"/>
      <c r="P4591" s="180" t="s">
        <v>257</v>
      </c>
      <c r="R4591" s="180" t="s">
        <v>257</v>
      </c>
    </row>
    <row r="4592" spans="8:18" x14ac:dyDescent="0.2">
      <c r="H4592" s="180"/>
      <c r="P4592" s="180" t="s">
        <v>257</v>
      </c>
      <c r="R4592" s="180" t="s">
        <v>257</v>
      </c>
    </row>
    <row r="4593" spans="8:18" x14ac:dyDescent="0.2">
      <c r="H4593" s="180"/>
      <c r="P4593" s="180" t="s">
        <v>257</v>
      </c>
      <c r="R4593" s="180" t="s">
        <v>257</v>
      </c>
    </row>
    <row r="4594" spans="8:18" x14ac:dyDescent="0.2">
      <c r="H4594" s="180"/>
      <c r="P4594" s="180" t="s">
        <v>257</v>
      </c>
      <c r="R4594" s="180" t="s">
        <v>257</v>
      </c>
    </row>
    <row r="4595" spans="8:18" x14ac:dyDescent="0.2">
      <c r="H4595" s="180"/>
      <c r="P4595" s="180" t="s">
        <v>257</v>
      </c>
      <c r="R4595" s="180" t="s">
        <v>257</v>
      </c>
    </row>
    <row r="4596" spans="8:18" x14ac:dyDescent="0.2">
      <c r="H4596" s="180"/>
      <c r="P4596" s="180" t="s">
        <v>257</v>
      </c>
      <c r="R4596" s="180" t="s">
        <v>257</v>
      </c>
    </row>
    <row r="4597" spans="8:18" x14ac:dyDescent="0.2">
      <c r="H4597" s="180"/>
      <c r="P4597" s="180" t="s">
        <v>257</v>
      </c>
      <c r="R4597" s="180" t="s">
        <v>257</v>
      </c>
    </row>
    <row r="4598" spans="8:18" x14ac:dyDescent="0.2">
      <c r="H4598" s="180"/>
      <c r="P4598" s="180" t="s">
        <v>257</v>
      </c>
      <c r="R4598" s="180" t="s">
        <v>257</v>
      </c>
    </row>
    <row r="4599" spans="8:18" x14ac:dyDescent="0.2">
      <c r="H4599" s="180"/>
      <c r="P4599" s="180" t="s">
        <v>257</v>
      </c>
      <c r="R4599" s="180" t="s">
        <v>257</v>
      </c>
    </row>
    <row r="4600" spans="8:18" x14ac:dyDescent="0.2">
      <c r="H4600" s="180"/>
      <c r="P4600" s="180" t="s">
        <v>257</v>
      </c>
      <c r="R4600" s="180" t="s">
        <v>257</v>
      </c>
    </row>
    <row r="4601" spans="8:18" x14ac:dyDescent="0.2">
      <c r="H4601" s="180"/>
      <c r="P4601" s="180" t="s">
        <v>257</v>
      </c>
      <c r="R4601" s="180" t="s">
        <v>257</v>
      </c>
    </row>
    <row r="4602" spans="8:18" x14ac:dyDescent="0.2">
      <c r="H4602" s="180"/>
      <c r="P4602" s="180" t="s">
        <v>257</v>
      </c>
      <c r="R4602" s="180" t="s">
        <v>257</v>
      </c>
    </row>
    <row r="4603" spans="8:18" x14ac:dyDescent="0.2">
      <c r="H4603" s="180"/>
      <c r="P4603" s="180" t="s">
        <v>257</v>
      </c>
      <c r="R4603" s="180" t="s">
        <v>257</v>
      </c>
    </row>
    <row r="4604" spans="8:18" x14ac:dyDescent="0.2">
      <c r="H4604" s="180"/>
      <c r="P4604" s="180" t="s">
        <v>257</v>
      </c>
      <c r="R4604" s="180" t="s">
        <v>257</v>
      </c>
    </row>
    <row r="4605" spans="8:18" x14ac:dyDescent="0.2">
      <c r="H4605" s="180"/>
      <c r="P4605" s="180" t="s">
        <v>257</v>
      </c>
      <c r="R4605" s="180" t="s">
        <v>257</v>
      </c>
    </row>
    <row r="4606" spans="8:18" x14ac:dyDescent="0.2">
      <c r="H4606" s="180"/>
      <c r="P4606" s="180" t="s">
        <v>257</v>
      </c>
      <c r="R4606" s="180" t="s">
        <v>257</v>
      </c>
    </row>
    <row r="4607" spans="8:18" x14ac:dyDescent="0.2">
      <c r="H4607" s="180"/>
      <c r="P4607" s="180" t="s">
        <v>257</v>
      </c>
      <c r="R4607" s="180" t="s">
        <v>257</v>
      </c>
    </row>
    <row r="4608" spans="8:18" x14ac:dyDescent="0.2">
      <c r="H4608" s="180"/>
      <c r="P4608" s="180" t="s">
        <v>257</v>
      </c>
      <c r="R4608" s="180" t="s">
        <v>257</v>
      </c>
    </row>
    <row r="4609" spans="8:18" x14ac:dyDescent="0.2">
      <c r="H4609" s="180"/>
      <c r="P4609" s="180" t="s">
        <v>257</v>
      </c>
      <c r="R4609" s="180" t="s">
        <v>257</v>
      </c>
    </row>
    <row r="4610" spans="8:18" x14ac:dyDescent="0.2">
      <c r="H4610" s="180"/>
      <c r="P4610" s="180" t="s">
        <v>257</v>
      </c>
      <c r="R4610" s="180" t="s">
        <v>257</v>
      </c>
    </row>
    <row r="4611" spans="8:18" x14ac:dyDescent="0.2">
      <c r="H4611" s="180"/>
      <c r="P4611" s="180" t="s">
        <v>257</v>
      </c>
      <c r="R4611" s="180" t="s">
        <v>257</v>
      </c>
    </row>
    <row r="4612" spans="8:18" x14ac:dyDescent="0.2">
      <c r="H4612" s="180"/>
      <c r="P4612" s="180" t="s">
        <v>257</v>
      </c>
      <c r="R4612" s="180" t="s">
        <v>257</v>
      </c>
    </row>
    <row r="4613" spans="8:18" x14ac:dyDescent="0.2">
      <c r="H4613" s="180"/>
      <c r="P4613" s="180" t="s">
        <v>257</v>
      </c>
      <c r="R4613" s="180" t="s">
        <v>257</v>
      </c>
    </row>
    <row r="4614" spans="8:18" x14ac:dyDescent="0.2">
      <c r="H4614" s="180"/>
      <c r="P4614" s="180" t="s">
        <v>257</v>
      </c>
      <c r="R4614" s="180" t="s">
        <v>257</v>
      </c>
    </row>
    <row r="4615" spans="8:18" x14ac:dyDescent="0.2">
      <c r="H4615" s="180"/>
      <c r="P4615" s="180" t="s">
        <v>257</v>
      </c>
      <c r="R4615" s="180" t="s">
        <v>257</v>
      </c>
    </row>
    <row r="4616" spans="8:18" x14ac:dyDescent="0.2">
      <c r="H4616" s="180"/>
      <c r="P4616" s="180" t="s">
        <v>257</v>
      </c>
      <c r="R4616" s="180" t="s">
        <v>257</v>
      </c>
    </row>
    <row r="4617" spans="8:18" x14ac:dyDescent="0.2">
      <c r="H4617" s="180"/>
      <c r="P4617" s="180" t="s">
        <v>257</v>
      </c>
      <c r="R4617" s="180" t="s">
        <v>257</v>
      </c>
    </row>
    <row r="4618" spans="8:18" x14ac:dyDescent="0.2">
      <c r="H4618" s="180"/>
      <c r="P4618" s="180" t="s">
        <v>257</v>
      </c>
      <c r="R4618" s="180" t="s">
        <v>257</v>
      </c>
    </row>
    <row r="4619" spans="8:18" x14ac:dyDescent="0.2">
      <c r="H4619" s="180"/>
      <c r="P4619" s="180" t="s">
        <v>257</v>
      </c>
      <c r="R4619" s="180" t="s">
        <v>257</v>
      </c>
    </row>
    <row r="4620" spans="8:18" x14ac:dyDescent="0.2">
      <c r="H4620" s="180"/>
      <c r="P4620" s="180" t="s">
        <v>257</v>
      </c>
      <c r="R4620" s="180" t="s">
        <v>257</v>
      </c>
    </row>
    <row r="4621" spans="8:18" x14ac:dyDescent="0.2">
      <c r="H4621" s="180"/>
      <c r="P4621" s="180" t="s">
        <v>257</v>
      </c>
      <c r="R4621" s="180" t="s">
        <v>257</v>
      </c>
    </row>
    <row r="4622" spans="8:18" x14ac:dyDescent="0.2">
      <c r="H4622" s="180"/>
      <c r="P4622" s="180" t="s">
        <v>257</v>
      </c>
      <c r="R4622" s="180" t="s">
        <v>257</v>
      </c>
    </row>
    <row r="4623" spans="8:18" x14ac:dyDescent="0.2">
      <c r="H4623" s="180"/>
      <c r="P4623" s="180" t="s">
        <v>257</v>
      </c>
      <c r="R4623" s="180" t="s">
        <v>257</v>
      </c>
    </row>
    <row r="4624" spans="8:18" x14ac:dyDescent="0.2">
      <c r="H4624" s="180"/>
      <c r="P4624" s="180" t="s">
        <v>257</v>
      </c>
      <c r="R4624" s="180" t="s">
        <v>257</v>
      </c>
    </row>
    <row r="4625" spans="8:18" x14ac:dyDescent="0.2">
      <c r="H4625" s="180"/>
      <c r="P4625" s="180" t="s">
        <v>257</v>
      </c>
      <c r="R4625" s="180" t="s">
        <v>257</v>
      </c>
    </row>
    <row r="4626" spans="8:18" x14ac:dyDescent="0.2">
      <c r="H4626" s="180"/>
      <c r="P4626" s="180" t="s">
        <v>257</v>
      </c>
      <c r="R4626" s="180" t="s">
        <v>257</v>
      </c>
    </row>
    <row r="4627" spans="8:18" x14ac:dyDescent="0.2">
      <c r="H4627" s="180"/>
      <c r="P4627" s="180" t="s">
        <v>257</v>
      </c>
      <c r="R4627" s="180" t="s">
        <v>257</v>
      </c>
    </row>
    <row r="4628" spans="8:18" x14ac:dyDescent="0.2">
      <c r="H4628" s="180"/>
      <c r="P4628" s="180" t="s">
        <v>257</v>
      </c>
      <c r="R4628" s="180" t="s">
        <v>257</v>
      </c>
    </row>
    <row r="4629" spans="8:18" x14ac:dyDescent="0.2">
      <c r="H4629" s="180"/>
      <c r="P4629" s="180" t="s">
        <v>257</v>
      </c>
      <c r="R4629" s="180" t="s">
        <v>257</v>
      </c>
    </row>
    <row r="4630" spans="8:18" x14ac:dyDescent="0.2">
      <c r="H4630" s="180"/>
      <c r="P4630" s="180" t="s">
        <v>257</v>
      </c>
      <c r="R4630" s="180" t="s">
        <v>257</v>
      </c>
    </row>
    <row r="4631" spans="8:18" x14ac:dyDescent="0.2">
      <c r="H4631" s="180"/>
      <c r="P4631" s="180" t="s">
        <v>257</v>
      </c>
      <c r="R4631" s="180" t="s">
        <v>257</v>
      </c>
    </row>
    <row r="4632" spans="8:18" x14ac:dyDescent="0.2">
      <c r="H4632" s="180"/>
      <c r="P4632" s="180" t="s">
        <v>257</v>
      </c>
      <c r="R4632" s="180" t="s">
        <v>257</v>
      </c>
    </row>
    <row r="4633" spans="8:18" x14ac:dyDescent="0.2">
      <c r="H4633" s="180"/>
      <c r="P4633" s="180" t="s">
        <v>257</v>
      </c>
      <c r="R4633" s="180" t="s">
        <v>257</v>
      </c>
    </row>
    <row r="4634" spans="8:18" x14ac:dyDescent="0.2">
      <c r="H4634" s="180"/>
      <c r="P4634" s="180" t="s">
        <v>257</v>
      </c>
      <c r="R4634" s="180" t="s">
        <v>257</v>
      </c>
    </row>
    <row r="4635" spans="8:18" x14ac:dyDescent="0.2">
      <c r="H4635" s="180"/>
      <c r="P4635" s="180" t="s">
        <v>257</v>
      </c>
      <c r="R4635" s="180" t="s">
        <v>257</v>
      </c>
    </row>
    <row r="4636" spans="8:18" x14ac:dyDescent="0.2">
      <c r="H4636" s="180"/>
      <c r="P4636" s="180" t="s">
        <v>257</v>
      </c>
      <c r="R4636" s="180" t="s">
        <v>257</v>
      </c>
    </row>
    <row r="4637" spans="8:18" x14ac:dyDescent="0.2">
      <c r="H4637" s="180"/>
      <c r="P4637" s="180" t="s">
        <v>257</v>
      </c>
      <c r="R4637" s="180" t="s">
        <v>257</v>
      </c>
    </row>
    <row r="4638" spans="8:18" x14ac:dyDescent="0.2">
      <c r="H4638" s="180"/>
      <c r="P4638" s="180" t="s">
        <v>257</v>
      </c>
      <c r="R4638" s="180" t="s">
        <v>257</v>
      </c>
    </row>
    <row r="4639" spans="8:18" x14ac:dyDescent="0.2">
      <c r="H4639" s="180"/>
      <c r="P4639" s="180" t="s">
        <v>257</v>
      </c>
      <c r="R4639" s="180" t="s">
        <v>257</v>
      </c>
    </row>
    <row r="4640" spans="8:18" x14ac:dyDescent="0.2">
      <c r="H4640" s="180"/>
      <c r="P4640" s="180" t="s">
        <v>257</v>
      </c>
      <c r="R4640" s="180" t="s">
        <v>257</v>
      </c>
    </row>
    <row r="4641" spans="8:18" x14ac:dyDescent="0.2">
      <c r="H4641" s="180"/>
      <c r="P4641" s="180" t="s">
        <v>257</v>
      </c>
      <c r="R4641" s="180" t="s">
        <v>257</v>
      </c>
    </row>
    <row r="4642" spans="8:18" x14ac:dyDescent="0.2">
      <c r="H4642" s="180"/>
      <c r="P4642" s="180" t="s">
        <v>257</v>
      </c>
      <c r="R4642" s="180" t="s">
        <v>257</v>
      </c>
    </row>
    <row r="4643" spans="8:18" x14ac:dyDescent="0.2">
      <c r="H4643" s="180"/>
      <c r="P4643" s="180" t="s">
        <v>257</v>
      </c>
      <c r="R4643" s="180" t="s">
        <v>257</v>
      </c>
    </row>
    <row r="4644" spans="8:18" x14ac:dyDescent="0.2">
      <c r="H4644" s="180"/>
      <c r="P4644" s="180" t="s">
        <v>257</v>
      </c>
      <c r="R4644" s="180" t="s">
        <v>257</v>
      </c>
    </row>
    <row r="4645" spans="8:18" x14ac:dyDescent="0.2">
      <c r="H4645" s="180"/>
      <c r="P4645" s="180" t="s">
        <v>257</v>
      </c>
      <c r="R4645" s="180" t="s">
        <v>257</v>
      </c>
    </row>
    <row r="4646" spans="8:18" x14ac:dyDescent="0.2">
      <c r="H4646" s="180"/>
      <c r="P4646" s="180" t="s">
        <v>257</v>
      </c>
      <c r="R4646" s="180" t="s">
        <v>257</v>
      </c>
    </row>
    <row r="4647" spans="8:18" x14ac:dyDescent="0.2">
      <c r="H4647" s="180"/>
      <c r="P4647" s="180" t="s">
        <v>257</v>
      </c>
      <c r="R4647" s="180" t="s">
        <v>257</v>
      </c>
    </row>
    <row r="4648" spans="8:18" x14ac:dyDescent="0.2">
      <c r="H4648" s="180"/>
      <c r="P4648" s="180" t="s">
        <v>257</v>
      </c>
      <c r="R4648" s="180" t="s">
        <v>257</v>
      </c>
    </row>
    <row r="4649" spans="8:18" x14ac:dyDescent="0.2">
      <c r="H4649" s="180"/>
      <c r="P4649" s="180" t="s">
        <v>257</v>
      </c>
      <c r="R4649" s="180" t="s">
        <v>257</v>
      </c>
    </row>
    <row r="4650" spans="8:18" x14ac:dyDescent="0.2">
      <c r="H4650" s="180"/>
      <c r="P4650" s="180" t="s">
        <v>257</v>
      </c>
      <c r="R4650" s="180" t="s">
        <v>257</v>
      </c>
    </row>
    <row r="4651" spans="8:18" x14ac:dyDescent="0.2">
      <c r="H4651" s="180"/>
      <c r="P4651" s="180" t="s">
        <v>257</v>
      </c>
      <c r="R4651" s="180" t="s">
        <v>257</v>
      </c>
    </row>
    <row r="4652" spans="8:18" x14ac:dyDescent="0.2">
      <c r="H4652" s="180"/>
      <c r="P4652" s="180" t="s">
        <v>257</v>
      </c>
      <c r="R4652" s="180" t="s">
        <v>257</v>
      </c>
    </row>
    <row r="4653" spans="8:18" x14ac:dyDescent="0.2">
      <c r="H4653" s="180"/>
      <c r="P4653" s="180" t="s">
        <v>257</v>
      </c>
      <c r="R4653" s="180" t="s">
        <v>257</v>
      </c>
    </row>
    <row r="4654" spans="8:18" x14ac:dyDescent="0.2">
      <c r="H4654" s="180"/>
      <c r="P4654" s="180" t="s">
        <v>257</v>
      </c>
      <c r="R4654" s="180" t="s">
        <v>257</v>
      </c>
    </row>
    <row r="4655" spans="8:18" x14ac:dyDescent="0.2">
      <c r="H4655" s="180"/>
      <c r="P4655" s="180" t="s">
        <v>257</v>
      </c>
      <c r="R4655" s="180" t="s">
        <v>257</v>
      </c>
    </row>
    <row r="4656" spans="8:18" x14ac:dyDescent="0.2">
      <c r="H4656" s="180"/>
      <c r="P4656" s="180" t="s">
        <v>257</v>
      </c>
      <c r="R4656" s="180" t="s">
        <v>257</v>
      </c>
    </row>
    <row r="4657" spans="8:18" x14ac:dyDescent="0.2">
      <c r="H4657" s="180"/>
      <c r="P4657" s="180" t="s">
        <v>257</v>
      </c>
      <c r="R4657" s="180" t="s">
        <v>257</v>
      </c>
    </row>
    <row r="4658" spans="8:18" x14ac:dyDescent="0.2">
      <c r="H4658" s="180"/>
      <c r="P4658" s="180" t="s">
        <v>257</v>
      </c>
      <c r="R4658" s="180" t="s">
        <v>257</v>
      </c>
    </row>
    <row r="4659" spans="8:18" x14ac:dyDescent="0.2">
      <c r="H4659" s="180"/>
      <c r="P4659" s="180" t="s">
        <v>257</v>
      </c>
      <c r="R4659" s="180" t="s">
        <v>257</v>
      </c>
    </row>
    <row r="4660" spans="8:18" x14ac:dyDescent="0.2">
      <c r="H4660" s="180"/>
      <c r="P4660" s="180" t="s">
        <v>257</v>
      </c>
      <c r="R4660" s="180" t="s">
        <v>257</v>
      </c>
    </row>
    <row r="4661" spans="8:18" x14ac:dyDescent="0.2">
      <c r="H4661" s="180"/>
      <c r="P4661" s="180" t="s">
        <v>257</v>
      </c>
      <c r="R4661" s="180" t="s">
        <v>257</v>
      </c>
    </row>
    <row r="4662" spans="8:18" x14ac:dyDescent="0.2">
      <c r="H4662" s="180"/>
      <c r="P4662" s="180" t="s">
        <v>257</v>
      </c>
      <c r="R4662" s="180" t="s">
        <v>257</v>
      </c>
    </row>
    <row r="4663" spans="8:18" x14ac:dyDescent="0.2">
      <c r="H4663" s="180"/>
      <c r="P4663" s="180" t="s">
        <v>257</v>
      </c>
      <c r="R4663" s="180" t="s">
        <v>257</v>
      </c>
    </row>
    <row r="4664" spans="8:18" x14ac:dyDescent="0.2">
      <c r="H4664" s="180"/>
      <c r="P4664" s="180" t="s">
        <v>257</v>
      </c>
      <c r="R4664" s="180" t="s">
        <v>257</v>
      </c>
    </row>
    <row r="4665" spans="8:18" x14ac:dyDescent="0.2">
      <c r="H4665" s="180"/>
      <c r="P4665" s="180" t="s">
        <v>257</v>
      </c>
      <c r="R4665" s="180" t="s">
        <v>257</v>
      </c>
    </row>
    <row r="4666" spans="8:18" x14ac:dyDescent="0.2">
      <c r="H4666" s="180"/>
      <c r="P4666" s="180" t="s">
        <v>257</v>
      </c>
      <c r="R4666" s="180" t="s">
        <v>257</v>
      </c>
    </row>
    <row r="4667" spans="8:18" x14ac:dyDescent="0.2">
      <c r="H4667" s="180"/>
      <c r="P4667" s="180" t="s">
        <v>257</v>
      </c>
      <c r="R4667" s="180" t="s">
        <v>257</v>
      </c>
    </row>
    <row r="4668" spans="8:18" x14ac:dyDescent="0.2">
      <c r="H4668" s="180"/>
      <c r="P4668" s="180" t="s">
        <v>257</v>
      </c>
      <c r="R4668" s="180" t="s">
        <v>257</v>
      </c>
    </row>
    <row r="4669" spans="8:18" x14ac:dyDescent="0.2">
      <c r="H4669" s="180"/>
      <c r="P4669" s="180" t="s">
        <v>257</v>
      </c>
      <c r="R4669" s="180" t="s">
        <v>257</v>
      </c>
    </row>
    <row r="4670" spans="8:18" x14ac:dyDescent="0.2">
      <c r="H4670" s="180"/>
      <c r="P4670" s="180" t="s">
        <v>257</v>
      </c>
      <c r="R4670" s="180" t="s">
        <v>257</v>
      </c>
    </row>
    <row r="4671" spans="8:18" x14ac:dyDescent="0.2">
      <c r="H4671" s="180"/>
      <c r="P4671" s="180" t="s">
        <v>257</v>
      </c>
      <c r="R4671" s="180" t="s">
        <v>257</v>
      </c>
    </row>
    <row r="4672" spans="8:18" x14ac:dyDescent="0.2">
      <c r="H4672" s="180"/>
      <c r="P4672" s="180" t="s">
        <v>257</v>
      </c>
      <c r="R4672" s="180" t="s">
        <v>257</v>
      </c>
    </row>
    <row r="4673" spans="8:18" x14ac:dyDescent="0.2">
      <c r="H4673" s="180"/>
      <c r="P4673" s="180" t="s">
        <v>257</v>
      </c>
      <c r="R4673" s="180" t="s">
        <v>257</v>
      </c>
    </row>
    <row r="4674" spans="8:18" x14ac:dyDescent="0.2">
      <c r="H4674" s="180"/>
      <c r="P4674" s="180" t="s">
        <v>257</v>
      </c>
      <c r="R4674" s="180" t="s">
        <v>257</v>
      </c>
    </row>
    <row r="4675" spans="8:18" x14ac:dyDescent="0.2">
      <c r="H4675" s="180"/>
      <c r="P4675" s="180" t="s">
        <v>257</v>
      </c>
      <c r="R4675" s="180" t="s">
        <v>257</v>
      </c>
    </row>
    <row r="4676" spans="8:18" x14ac:dyDescent="0.2">
      <c r="H4676" s="180"/>
      <c r="P4676" s="180" t="s">
        <v>257</v>
      </c>
      <c r="R4676" s="180" t="s">
        <v>257</v>
      </c>
    </row>
    <row r="4677" spans="8:18" x14ac:dyDescent="0.2">
      <c r="H4677" s="180"/>
      <c r="P4677" s="180" t="s">
        <v>257</v>
      </c>
      <c r="R4677" s="180" t="s">
        <v>257</v>
      </c>
    </row>
    <row r="4678" spans="8:18" x14ac:dyDescent="0.2">
      <c r="H4678" s="180"/>
      <c r="P4678" s="180" t="s">
        <v>257</v>
      </c>
      <c r="R4678" s="180" t="s">
        <v>257</v>
      </c>
    </row>
    <row r="4679" spans="8:18" x14ac:dyDescent="0.2">
      <c r="H4679" s="180"/>
      <c r="P4679" s="180" t="s">
        <v>257</v>
      </c>
      <c r="R4679" s="180" t="s">
        <v>257</v>
      </c>
    </row>
    <row r="4680" spans="8:18" x14ac:dyDescent="0.2">
      <c r="H4680" s="180"/>
      <c r="P4680" s="180" t="s">
        <v>257</v>
      </c>
      <c r="R4680" s="180" t="s">
        <v>257</v>
      </c>
    </row>
    <row r="4681" spans="8:18" x14ac:dyDescent="0.2">
      <c r="H4681" s="180"/>
      <c r="P4681" s="180" t="s">
        <v>257</v>
      </c>
      <c r="R4681" s="180" t="s">
        <v>257</v>
      </c>
    </row>
    <row r="4682" spans="8:18" x14ac:dyDescent="0.2">
      <c r="H4682" s="180"/>
      <c r="P4682" s="180" t="s">
        <v>257</v>
      </c>
      <c r="R4682" s="180" t="s">
        <v>257</v>
      </c>
    </row>
    <row r="4683" spans="8:18" x14ac:dyDescent="0.2">
      <c r="H4683" s="180"/>
      <c r="P4683" s="180" t="s">
        <v>257</v>
      </c>
      <c r="R4683" s="180" t="s">
        <v>257</v>
      </c>
    </row>
    <row r="4684" spans="8:18" x14ac:dyDescent="0.2">
      <c r="H4684" s="180"/>
      <c r="P4684" s="180" t="s">
        <v>257</v>
      </c>
      <c r="R4684" s="180" t="s">
        <v>257</v>
      </c>
    </row>
    <row r="4685" spans="8:18" x14ac:dyDescent="0.2">
      <c r="H4685" s="180"/>
      <c r="P4685" s="180" t="s">
        <v>257</v>
      </c>
      <c r="R4685" s="180" t="s">
        <v>257</v>
      </c>
    </row>
    <row r="4686" spans="8:18" x14ac:dyDescent="0.2">
      <c r="H4686" s="180"/>
      <c r="P4686" s="180" t="s">
        <v>257</v>
      </c>
      <c r="R4686" s="180" t="s">
        <v>257</v>
      </c>
    </row>
    <row r="4687" spans="8:18" x14ac:dyDescent="0.2">
      <c r="H4687" s="180"/>
      <c r="P4687" s="180" t="s">
        <v>257</v>
      </c>
      <c r="R4687" s="180" t="s">
        <v>257</v>
      </c>
    </row>
    <row r="4688" spans="8:18" x14ac:dyDescent="0.2">
      <c r="H4688" s="180"/>
      <c r="P4688" s="180" t="s">
        <v>257</v>
      </c>
      <c r="R4688" s="180" t="s">
        <v>257</v>
      </c>
    </row>
    <row r="4689" spans="8:18" x14ac:dyDescent="0.2">
      <c r="H4689" s="180"/>
      <c r="P4689" s="180" t="s">
        <v>257</v>
      </c>
      <c r="R4689" s="180" t="s">
        <v>257</v>
      </c>
    </row>
    <row r="4690" spans="8:18" x14ac:dyDescent="0.2">
      <c r="H4690" s="180"/>
      <c r="P4690" s="180" t="s">
        <v>257</v>
      </c>
      <c r="R4690" s="180" t="s">
        <v>257</v>
      </c>
    </row>
    <row r="4691" spans="8:18" x14ac:dyDescent="0.2">
      <c r="H4691" s="180"/>
      <c r="P4691" s="180" t="s">
        <v>257</v>
      </c>
      <c r="R4691" s="180" t="s">
        <v>257</v>
      </c>
    </row>
    <row r="4692" spans="8:18" x14ac:dyDescent="0.2">
      <c r="H4692" s="180"/>
      <c r="P4692" s="180" t="s">
        <v>257</v>
      </c>
      <c r="R4692" s="180" t="s">
        <v>257</v>
      </c>
    </row>
    <row r="4693" spans="8:18" x14ac:dyDescent="0.2">
      <c r="H4693" s="180"/>
      <c r="P4693" s="180" t="s">
        <v>257</v>
      </c>
      <c r="R4693" s="180" t="s">
        <v>257</v>
      </c>
    </row>
    <row r="4694" spans="8:18" x14ac:dyDescent="0.2">
      <c r="H4694" s="180"/>
      <c r="P4694" s="180" t="s">
        <v>257</v>
      </c>
      <c r="R4694" s="180" t="s">
        <v>257</v>
      </c>
    </row>
    <row r="4695" spans="8:18" x14ac:dyDescent="0.2">
      <c r="H4695" s="180"/>
      <c r="P4695" s="180" t="s">
        <v>257</v>
      </c>
      <c r="R4695" s="180" t="s">
        <v>257</v>
      </c>
    </row>
    <row r="4696" spans="8:18" x14ac:dyDescent="0.2">
      <c r="H4696" s="180"/>
      <c r="P4696" s="180" t="s">
        <v>257</v>
      </c>
      <c r="R4696" s="180" t="s">
        <v>257</v>
      </c>
    </row>
    <row r="4697" spans="8:18" x14ac:dyDescent="0.2">
      <c r="H4697" s="180"/>
      <c r="P4697" s="180" t="s">
        <v>257</v>
      </c>
      <c r="R4697" s="180" t="s">
        <v>257</v>
      </c>
    </row>
    <row r="4698" spans="8:18" x14ac:dyDescent="0.2">
      <c r="H4698" s="180"/>
      <c r="P4698" s="180" t="s">
        <v>257</v>
      </c>
      <c r="R4698" s="180" t="s">
        <v>257</v>
      </c>
    </row>
    <row r="4699" spans="8:18" x14ac:dyDescent="0.2">
      <c r="H4699" s="180"/>
      <c r="P4699" s="180" t="s">
        <v>257</v>
      </c>
      <c r="R4699" s="180" t="s">
        <v>257</v>
      </c>
    </row>
    <row r="4700" spans="8:18" x14ac:dyDescent="0.2">
      <c r="H4700" s="180"/>
      <c r="P4700" s="180" t="s">
        <v>257</v>
      </c>
      <c r="R4700" s="180" t="s">
        <v>257</v>
      </c>
    </row>
    <row r="4701" spans="8:18" x14ac:dyDescent="0.2">
      <c r="H4701" s="180"/>
      <c r="P4701" s="180" t="s">
        <v>257</v>
      </c>
      <c r="R4701" s="180" t="s">
        <v>257</v>
      </c>
    </row>
    <row r="4702" spans="8:18" x14ac:dyDescent="0.2">
      <c r="H4702" s="180"/>
      <c r="P4702" s="180" t="s">
        <v>257</v>
      </c>
      <c r="R4702" s="180" t="s">
        <v>257</v>
      </c>
    </row>
    <row r="4703" spans="8:18" x14ac:dyDescent="0.2">
      <c r="H4703" s="180"/>
      <c r="P4703" s="180" t="s">
        <v>257</v>
      </c>
      <c r="R4703" s="180" t="s">
        <v>257</v>
      </c>
    </row>
    <row r="4704" spans="8:18" x14ac:dyDescent="0.2">
      <c r="H4704" s="180"/>
      <c r="P4704" s="180" t="s">
        <v>257</v>
      </c>
      <c r="R4704" s="180" t="s">
        <v>257</v>
      </c>
    </row>
    <row r="4705" spans="8:18" x14ac:dyDescent="0.2">
      <c r="H4705" s="180"/>
      <c r="P4705" s="180" t="s">
        <v>257</v>
      </c>
      <c r="R4705" s="180" t="s">
        <v>257</v>
      </c>
    </row>
    <row r="4706" spans="8:18" x14ac:dyDescent="0.2">
      <c r="H4706" s="180"/>
      <c r="P4706" s="180" t="s">
        <v>257</v>
      </c>
      <c r="R4706" s="180" t="s">
        <v>257</v>
      </c>
    </row>
    <row r="4707" spans="8:18" x14ac:dyDescent="0.2">
      <c r="H4707" s="180"/>
      <c r="P4707" s="180" t="s">
        <v>257</v>
      </c>
      <c r="R4707" s="180" t="s">
        <v>257</v>
      </c>
    </row>
    <row r="4708" spans="8:18" x14ac:dyDescent="0.2">
      <c r="H4708" s="180"/>
      <c r="P4708" s="180" t="s">
        <v>257</v>
      </c>
      <c r="R4708" s="180" t="s">
        <v>257</v>
      </c>
    </row>
    <row r="4709" spans="8:18" x14ac:dyDescent="0.2">
      <c r="H4709" s="180"/>
      <c r="P4709" s="180" t="s">
        <v>257</v>
      </c>
      <c r="R4709" s="180" t="s">
        <v>257</v>
      </c>
    </row>
    <row r="4710" spans="8:18" x14ac:dyDescent="0.2">
      <c r="H4710" s="180"/>
      <c r="P4710" s="180" t="s">
        <v>257</v>
      </c>
      <c r="R4710" s="180" t="s">
        <v>257</v>
      </c>
    </row>
    <row r="4711" spans="8:18" x14ac:dyDescent="0.2">
      <c r="H4711" s="180"/>
      <c r="P4711" s="180" t="s">
        <v>257</v>
      </c>
      <c r="R4711" s="180" t="s">
        <v>257</v>
      </c>
    </row>
    <row r="4712" spans="8:18" x14ac:dyDescent="0.2">
      <c r="H4712" s="180"/>
      <c r="P4712" s="180" t="s">
        <v>257</v>
      </c>
      <c r="R4712" s="180" t="s">
        <v>257</v>
      </c>
    </row>
    <row r="4713" spans="8:18" x14ac:dyDescent="0.2">
      <c r="H4713" s="180"/>
      <c r="P4713" s="180" t="s">
        <v>257</v>
      </c>
      <c r="R4713" s="180" t="s">
        <v>257</v>
      </c>
    </row>
    <row r="4714" spans="8:18" x14ac:dyDescent="0.2">
      <c r="H4714" s="180"/>
      <c r="P4714" s="180" t="s">
        <v>257</v>
      </c>
      <c r="R4714" s="180" t="s">
        <v>257</v>
      </c>
    </row>
    <row r="4715" spans="8:18" x14ac:dyDescent="0.2">
      <c r="H4715" s="180"/>
      <c r="P4715" s="180" t="s">
        <v>257</v>
      </c>
      <c r="R4715" s="180" t="s">
        <v>257</v>
      </c>
    </row>
    <row r="4716" spans="8:18" x14ac:dyDescent="0.2">
      <c r="H4716" s="180"/>
      <c r="P4716" s="180" t="s">
        <v>257</v>
      </c>
      <c r="R4716" s="180" t="s">
        <v>257</v>
      </c>
    </row>
    <row r="4717" spans="8:18" x14ac:dyDescent="0.2">
      <c r="H4717" s="180"/>
      <c r="P4717" s="180" t="s">
        <v>257</v>
      </c>
      <c r="R4717" s="180" t="s">
        <v>257</v>
      </c>
    </row>
    <row r="4718" spans="8:18" x14ac:dyDescent="0.2">
      <c r="H4718" s="180"/>
      <c r="P4718" s="180" t="s">
        <v>257</v>
      </c>
      <c r="R4718" s="180" t="s">
        <v>257</v>
      </c>
    </row>
    <row r="4719" spans="8:18" x14ac:dyDescent="0.2">
      <c r="H4719" s="180"/>
      <c r="P4719" s="180" t="s">
        <v>257</v>
      </c>
      <c r="R4719" s="180" t="s">
        <v>257</v>
      </c>
    </row>
    <row r="4720" spans="8:18" x14ac:dyDescent="0.2">
      <c r="H4720" s="180"/>
      <c r="P4720" s="180" t="s">
        <v>257</v>
      </c>
      <c r="R4720" s="180" t="s">
        <v>257</v>
      </c>
    </row>
    <row r="4721" spans="8:18" x14ac:dyDescent="0.2">
      <c r="H4721" s="180"/>
      <c r="P4721" s="180" t="s">
        <v>257</v>
      </c>
      <c r="R4721" s="180" t="s">
        <v>257</v>
      </c>
    </row>
    <row r="4722" spans="8:18" x14ac:dyDescent="0.2">
      <c r="H4722" s="180"/>
      <c r="P4722" s="180" t="s">
        <v>257</v>
      </c>
      <c r="R4722" s="180" t="s">
        <v>257</v>
      </c>
    </row>
    <row r="4723" spans="8:18" x14ac:dyDescent="0.2">
      <c r="H4723" s="180"/>
      <c r="P4723" s="180" t="s">
        <v>257</v>
      </c>
      <c r="R4723" s="180" t="s">
        <v>257</v>
      </c>
    </row>
    <row r="4724" spans="8:18" x14ac:dyDescent="0.2">
      <c r="H4724" s="180"/>
      <c r="P4724" s="180" t="s">
        <v>257</v>
      </c>
      <c r="R4724" s="180" t="s">
        <v>257</v>
      </c>
    </row>
    <row r="4725" spans="8:18" x14ac:dyDescent="0.2">
      <c r="H4725" s="180"/>
      <c r="P4725" s="180" t="s">
        <v>257</v>
      </c>
      <c r="R4725" s="180" t="s">
        <v>257</v>
      </c>
    </row>
    <row r="4726" spans="8:18" x14ac:dyDescent="0.2">
      <c r="H4726" s="180"/>
      <c r="P4726" s="180" t="s">
        <v>257</v>
      </c>
      <c r="R4726" s="180" t="s">
        <v>257</v>
      </c>
    </row>
    <row r="4727" spans="8:18" x14ac:dyDescent="0.2">
      <c r="H4727" s="180"/>
      <c r="P4727" s="180" t="s">
        <v>257</v>
      </c>
      <c r="R4727" s="180" t="s">
        <v>257</v>
      </c>
    </row>
    <row r="4728" spans="8:18" x14ac:dyDescent="0.2">
      <c r="H4728" s="180"/>
      <c r="P4728" s="180" t="s">
        <v>257</v>
      </c>
      <c r="R4728" s="180" t="s">
        <v>257</v>
      </c>
    </row>
    <row r="4729" spans="8:18" x14ac:dyDescent="0.2">
      <c r="H4729" s="180"/>
      <c r="P4729" s="180" t="s">
        <v>257</v>
      </c>
      <c r="R4729" s="180" t="s">
        <v>257</v>
      </c>
    </row>
    <row r="4730" spans="8:18" x14ac:dyDescent="0.2">
      <c r="H4730" s="180"/>
      <c r="P4730" s="180" t="s">
        <v>257</v>
      </c>
      <c r="R4730" s="180" t="s">
        <v>257</v>
      </c>
    </row>
    <row r="4731" spans="8:18" x14ac:dyDescent="0.2">
      <c r="H4731" s="180"/>
      <c r="P4731" s="180" t="s">
        <v>257</v>
      </c>
      <c r="R4731" s="180" t="s">
        <v>257</v>
      </c>
    </row>
    <row r="4732" spans="8:18" x14ac:dyDescent="0.2">
      <c r="H4732" s="180"/>
      <c r="P4732" s="180" t="s">
        <v>257</v>
      </c>
      <c r="R4732" s="180" t="s">
        <v>257</v>
      </c>
    </row>
    <row r="4733" spans="8:18" x14ac:dyDescent="0.2">
      <c r="H4733" s="180"/>
      <c r="P4733" s="180" t="s">
        <v>257</v>
      </c>
      <c r="R4733" s="180" t="s">
        <v>257</v>
      </c>
    </row>
    <row r="4734" spans="8:18" x14ac:dyDescent="0.2">
      <c r="H4734" s="180"/>
      <c r="P4734" s="180" t="s">
        <v>257</v>
      </c>
      <c r="R4734" s="180" t="s">
        <v>257</v>
      </c>
    </row>
    <row r="4735" spans="8:18" x14ac:dyDescent="0.2">
      <c r="H4735" s="180"/>
      <c r="P4735" s="180" t="s">
        <v>257</v>
      </c>
      <c r="R4735" s="180" t="s">
        <v>257</v>
      </c>
    </row>
    <row r="4736" spans="8:18" x14ac:dyDescent="0.2">
      <c r="H4736" s="180"/>
      <c r="P4736" s="180" t="s">
        <v>257</v>
      </c>
      <c r="R4736" s="180" t="s">
        <v>257</v>
      </c>
    </row>
    <row r="4737" spans="8:18" x14ac:dyDescent="0.2">
      <c r="H4737" s="180"/>
      <c r="P4737" s="180" t="s">
        <v>257</v>
      </c>
      <c r="R4737" s="180" t="s">
        <v>257</v>
      </c>
    </row>
    <row r="4738" spans="8:18" x14ac:dyDescent="0.2">
      <c r="H4738" s="180"/>
      <c r="P4738" s="180" t="s">
        <v>257</v>
      </c>
      <c r="R4738" s="180" t="s">
        <v>257</v>
      </c>
    </row>
    <row r="4739" spans="8:18" x14ac:dyDescent="0.2">
      <c r="H4739" s="180"/>
      <c r="P4739" s="180" t="s">
        <v>257</v>
      </c>
      <c r="R4739" s="180" t="s">
        <v>257</v>
      </c>
    </row>
    <row r="4740" spans="8:18" x14ac:dyDescent="0.2">
      <c r="H4740" s="180"/>
      <c r="P4740" s="180" t="s">
        <v>257</v>
      </c>
      <c r="R4740" s="180" t="s">
        <v>257</v>
      </c>
    </row>
    <row r="4741" spans="8:18" x14ac:dyDescent="0.2">
      <c r="H4741" s="180"/>
      <c r="P4741" s="180" t="s">
        <v>257</v>
      </c>
      <c r="R4741" s="180" t="s">
        <v>257</v>
      </c>
    </row>
    <row r="4742" spans="8:18" x14ac:dyDescent="0.2">
      <c r="H4742" s="180"/>
      <c r="P4742" s="180" t="s">
        <v>257</v>
      </c>
      <c r="R4742" s="180" t="s">
        <v>257</v>
      </c>
    </row>
    <row r="4743" spans="8:18" x14ac:dyDescent="0.2">
      <c r="H4743" s="180"/>
      <c r="P4743" s="180" t="s">
        <v>257</v>
      </c>
      <c r="R4743" s="180" t="s">
        <v>257</v>
      </c>
    </row>
    <row r="4744" spans="8:18" x14ac:dyDescent="0.2">
      <c r="H4744" s="180"/>
      <c r="P4744" s="180" t="s">
        <v>257</v>
      </c>
      <c r="R4744" s="180" t="s">
        <v>257</v>
      </c>
    </row>
    <row r="4745" spans="8:18" x14ac:dyDescent="0.2">
      <c r="H4745" s="180"/>
      <c r="P4745" s="180" t="s">
        <v>257</v>
      </c>
      <c r="R4745" s="180" t="s">
        <v>257</v>
      </c>
    </row>
    <row r="4746" spans="8:18" x14ac:dyDescent="0.2">
      <c r="H4746" s="180"/>
      <c r="P4746" s="180" t="s">
        <v>257</v>
      </c>
      <c r="R4746" s="180" t="s">
        <v>257</v>
      </c>
    </row>
    <row r="4747" spans="8:18" x14ac:dyDescent="0.2">
      <c r="H4747" s="180"/>
      <c r="P4747" s="180" t="s">
        <v>257</v>
      </c>
      <c r="R4747" s="180" t="s">
        <v>257</v>
      </c>
    </row>
    <row r="4748" spans="8:18" x14ac:dyDescent="0.2">
      <c r="H4748" s="180"/>
      <c r="P4748" s="180" t="s">
        <v>257</v>
      </c>
      <c r="R4748" s="180" t="s">
        <v>257</v>
      </c>
    </row>
    <row r="4749" spans="8:18" x14ac:dyDescent="0.2">
      <c r="H4749" s="180"/>
      <c r="P4749" s="180" t="s">
        <v>257</v>
      </c>
      <c r="R4749" s="180" t="s">
        <v>257</v>
      </c>
    </row>
    <row r="4750" spans="8:18" x14ac:dyDescent="0.2">
      <c r="H4750" s="180"/>
      <c r="P4750" s="180" t="s">
        <v>257</v>
      </c>
      <c r="R4750" s="180" t="s">
        <v>257</v>
      </c>
    </row>
    <row r="4751" spans="8:18" x14ac:dyDescent="0.2">
      <c r="H4751" s="180"/>
      <c r="P4751" s="180" t="s">
        <v>257</v>
      </c>
      <c r="R4751" s="180" t="s">
        <v>257</v>
      </c>
    </row>
    <row r="4752" spans="8:18" x14ac:dyDescent="0.2">
      <c r="H4752" s="180"/>
      <c r="P4752" s="180" t="s">
        <v>257</v>
      </c>
      <c r="R4752" s="180" t="s">
        <v>257</v>
      </c>
    </row>
    <row r="4753" spans="8:18" x14ac:dyDescent="0.2">
      <c r="H4753" s="180"/>
      <c r="P4753" s="180" t="s">
        <v>257</v>
      </c>
      <c r="R4753" s="180" t="s">
        <v>257</v>
      </c>
    </row>
    <row r="4754" spans="8:18" x14ac:dyDescent="0.2">
      <c r="H4754" s="180"/>
      <c r="P4754" s="180" t="s">
        <v>257</v>
      </c>
      <c r="R4754" s="180" t="s">
        <v>257</v>
      </c>
    </row>
    <row r="4755" spans="8:18" x14ac:dyDescent="0.2">
      <c r="H4755" s="180"/>
      <c r="P4755" s="180" t="s">
        <v>257</v>
      </c>
      <c r="R4755" s="180" t="s">
        <v>257</v>
      </c>
    </row>
    <row r="4756" spans="8:18" x14ac:dyDescent="0.2">
      <c r="H4756" s="180"/>
      <c r="P4756" s="180" t="s">
        <v>257</v>
      </c>
      <c r="R4756" s="180" t="s">
        <v>257</v>
      </c>
    </row>
    <row r="4757" spans="8:18" x14ac:dyDescent="0.2">
      <c r="H4757" s="180"/>
      <c r="P4757" s="180" t="s">
        <v>257</v>
      </c>
      <c r="R4757" s="180" t="s">
        <v>257</v>
      </c>
    </row>
    <row r="4758" spans="8:18" x14ac:dyDescent="0.2">
      <c r="H4758" s="180"/>
      <c r="P4758" s="180" t="s">
        <v>257</v>
      </c>
      <c r="R4758" s="180" t="s">
        <v>257</v>
      </c>
    </row>
    <row r="4759" spans="8:18" x14ac:dyDescent="0.2">
      <c r="H4759" s="180"/>
      <c r="P4759" s="180" t="s">
        <v>257</v>
      </c>
      <c r="R4759" s="180" t="s">
        <v>257</v>
      </c>
    </row>
    <row r="4760" spans="8:18" x14ac:dyDescent="0.2">
      <c r="H4760" s="180"/>
      <c r="P4760" s="180" t="s">
        <v>257</v>
      </c>
      <c r="R4760" s="180" t="s">
        <v>257</v>
      </c>
    </row>
    <row r="4761" spans="8:18" x14ac:dyDescent="0.2">
      <c r="H4761" s="180"/>
      <c r="P4761" s="180" t="s">
        <v>257</v>
      </c>
      <c r="R4761" s="180" t="s">
        <v>257</v>
      </c>
    </row>
    <row r="4762" spans="8:18" x14ac:dyDescent="0.2">
      <c r="H4762" s="180"/>
      <c r="P4762" s="180" t="s">
        <v>257</v>
      </c>
      <c r="R4762" s="180" t="s">
        <v>257</v>
      </c>
    </row>
    <row r="4763" spans="8:18" x14ac:dyDescent="0.2">
      <c r="H4763" s="180"/>
      <c r="P4763" s="180" t="s">
        <v>257</v>
      </c>
      <c r="R4763" s="180" t="s">
        <v>257</v>
      </c>
    </row>
    <row r="4764" spans="8:18" x14ac:dyDescent="0.2">
      <c r="H4764" s="180"/>
      <c r="P4764" s="180" t="s">
        <v>257</v>
      </c>
      <c r="R4764" s="180" t="s">
        <v>257</v>
      </c>
    </row>
    <row r="4765" spans="8:18" x14ac:dyDescent="0.2">
      <c r="H4765" s="180"/>
      <c r="P4765" s="180" t="s">
        <v>257</v>
      </c>
      <c r="R4765" s="180" t="s">
        <v>257</v>
      </c>
    </row>
    <row r="4766" spans="8:18" x14ac:dyDescent="0.2">
      <c r="H4766" s="180"/>
      <c r="P4766" s="180" t="s">
        <v>257</v>
      </c>
      <c r="R4766" s="180" t="s">
        <v>257</v>
      </c>
    </row>
    <row r="4767" spans="8:18" x14ac:dyDescent="0.2">
      <c r="H4767" s="180"/>
      <c r="P4767" s="180" t="s">
        <v>257</v>
      </c>
      <c r="R4767" s="180" t="s">
        <v>257</v>
      </c>
    </row>
    <row r="4768" spans="8:18" x14ac:dyDescent="0.2">
      <c r="H4768" s="180"/>
      <c r="P4768" s="180" t="s">
        <v>257</v>
      </c>
      <c r="R4768" s="180" t="s">
        <v>257</v>
      </c>
    </row>
    <row r="4769" spans="8:18" x14ac:dyDescent="0.2">
      <c r="H4769" s="180"/>
      <c r="P4769" s="180" t="s">
        <v>257</v>
      </c>
      <c r="R4769" s="180" t="s">
        <v>257</v>
      </c>
    </row>
    <row r="4770" spans="8:18" x14ac:dyDescent="0.2">
      <c r="H4770" s="180"/>
      <c r="P4770" s="180" t="s">
        <v>257</v>
      </c>
      <c r="R4770" s="180" t="s">
        <v>257</v>
      </c>
    </row>
    <row r="4771" spans="8:18" x14ac:dyDescent="0.2">
      <c r="H4771" s="180"/>
      <c r="P4771" s="180" t="s">
        <v>257</v>
      </c>
      <c r="R4771" s="180" t="s">
        <v>257</v>
      </c>
    </row>
    <row r="4772" spans="8:18" x14ac:dyDescent="0.2">
      <c r="H4772" s="180"/>
      <c r="P4772" s="180" t="s">
        <v>257</v>
      </c>
      <c r="R4772" s="180" t="s">
        <v>257</v>
      </c>
    </row>
    <row r="4773" spans="8:18" x14ac:dyDescent="0.2">
      <c r="H4773" s="180"/>
      <c r="P4773" s="180" t="s">
        <v>257</v>
      </c>
      <c r="R4773" s="180" t="s">
        <v>257</v>
      </c>
    </row>
    <row r="4774" spans="8:18" x14ac:dyDescent="0.2">
      <c r="H4774" s="180"/>
      <c r="P4774" s="180" t="s">
        <v>257</v>
      </c>
      <c r="R4774" s="180" t="s">
        <v>257</v>
      </c>
    </row>
    <row r="4775" spans="8:18" x14ac:dyDescent="0.2">
      <c r="H4775" s="180"/>
      <c r="P4775" s="180" t="s">
        <v>257</v>
      </c>
      <c r="R4775" s="180" t="s">
        <v>257</v>
      </c>
    </row>
    <row r="4776" spans="8:18" x14ac:dyDescent="0.2">
      <c r="H4776" s="180"/>
      <c r="P4776" s="180" t="s">
        <v>257</v>
      </c>
      <c r="R4776" s="180" t="s">
        <v>257</v>
      </c>
    </row>
    <row r="4777" spans="8:18" x14ac:dyDescent="0.2">
      <c r="H4777" s="180"/>
      <c r="P4777" s="180" t="s">
        <v>257</v>
      </c>
      <c r="R4777" s="180" t="s">
        <v>257</v>
      </c>
    </row>
    <row r="4778" spans="8:18" x14ac:dyDescent="0.2">
      <c r="H4778" s="180"/>
      <c r="P4778" s="180" t="s">
        <v>257</v>
      </c>
      <c r="R4778" s="180" t="s">
        <v>257</v>
      </c>
    </row>
    <row r="4779" spans="8:18" x14ac:dyDescent="0.2">
      <c r="H4779" s="180"/>
      <c r="P4779" s="180" t="s">
        <v>257</v>
      </c>
      <c r="R4779" s="180" t="s">
        <v>257</v>
      </c>
    </row>
    <row r="4780" spans="8:18" x14ac:dyDescent="0.2">
      <c r="H4780" s="180"/>
      <c r="P4780" s="180" t="s">
        <v>257</v>
      </c>
      <c r="R4780" s="180" t="s">
        <v>257</v>
      </c>
    </row>
    <row r="4781" spans="8:18" x14ac:dyDescent="0.2">
      <c r="H4781" s="180"/>
      <c r="P4781" s="180" t="s">
        <v>257</v>
      </c>
      <c r="R4781" s="180" t="s">
        <v>257</v>
      </c>
    </row>
    <row r="4782" spans="8:18" x14ac:dyDescent="0.2">
      <c r="H4782" s="180"/>
      <c r="P4782" s="180" t="s">
        <v>257</v>
      </c>
      <c r="R4782" s="180" t="s">
        <v>257</v>
      </c>
    </row>
    <row r="4783" spans="8:18" x14ac:dyDescent="0.2">
      <c r="H4783" s="180"/>
      <c r="P4783" s="180" t="s">
        <v>257</v>
      </c>
      <c r="R4783" s="180" t="s">
        <v>257</v>
      </c>
    </row>
    <row r="4784" spans="8:18" x14ac:dyDescent="0.2">
      <c r="H4784" s="180"/>
      <c r="P4784" s="180" t="s">
        <v>257</v>
      </c>
      <c r="R4784" s="180" t="s">
        <v>257</v>
      </c>
    </row>
    <row r="4785" spans="8:18" x14ac:dyDescent="0.2">
      <c r="H4785" s="180"/>
      <c r="P4785" s="180" t="s">
        <v>257</v>
      </c>
      <c r="R4785" s="180" t="s">
        <v>257</v>
      </c>
    </row>
    <row r="4786" spans="8:18" x14ac:dyDescent="0.2">
      <c r="H4786" s="180"/>
      <c r="P4786" s="180" t="s">
        <v>257</v>
      </c>
      <c r="R4786" s="180" t="s">
        <v>257</v>
      </c>
    </row>
    <row r="4787" spans="8:18" x14ac:dyDescent="0.2">
      <c r="H4787" s="180"/>
      <c r="P4787" s="180" t="s">
        <v>257</v>
      </c>
      <c r="R4787" s="180" t="s">
        <v>257</v>
      </c>
    </row>
    <row r="4788" spans="8:18" x14ac:dyDescent="0.2">
      <c r="H4788" s="180"/>
      <c r="P4788" s="180" t="s">
        <v>257</v>
      </c>
      <c r="R4788" s="180" t="s">
        <v>257</v>
      </c>
    </row>
    <row r="4789" spans="8:18" x14ac:dyDescent="0.2">
      <c r="H4789" s="180"/>
      <c r="P4789" s="180" t="s">
        <v>257</v>
      </c>
      <c r="R4789" s="180" t="s">
        <v>257</v>
      </c>
    </row>
    <row r="4790" spans="8:18" x14ac:dyDescent="0.2">
      <c r="H4790" s="180"/>
      <c r="P4790" s="180" t="s">
        <v>257</v>
      </c>
      <c r="R4790" s="180" t="s">
        <v>257</v>
      </c>
    </row>
    <row r="4791" spans="8:18" x14ac:dyDescent="0.2">
      <c r="H4791" s="180"/>
      <c r="P4791" s="180" t="s">
        <v>257</v>
      </c>
      <c r="R4791" s="180" t="s">
        <v>257</v>
      </c>
    </row>
    <row r="4792" spans="8:18" x14ac:dyDescent="0.2">
      <c r="H4792" s="180"/>
      <c r="P4792" s="180" t="s">
        <v>257</v>
      </c>
      <c r="R4792" s="180" t="s">
        <v>257</v>
      </c>
    </row>
    <row r="4793" spans="8:18" x14ac:dyDescent="0.2">
      <c r="H4793" s="180"/>
      <c r="P4793" s="180" t="s">
        <v>257</v>
      </c>
      <c r="R4793" s="180" t="s">
        <v>257</v>
      </c>
    </row>
    <row r="4794" spans="8:18" x14ac:dyDescent="0.2">
      <c r="H4794" s="180"/>
      <c r="P4794" s="180" t="s">
        <v>257</v>
      </c>
      <c r="R4794" s="180" t="s">
        <v>257</v>
      </c>
    </row>
    <row r="4795" spans="8:18" x14ac:dyDescent="0.2">
      <c r="H4795" s="180"/>
      <c r="P4795" s="180" t="s">
        <v>257</v>
      </c>
      <c r="R4795" s="180" t="s">
        <v>257</v>
      </c>
    </row>
    <row r="4796" spans="8:18" x14ac:dyDescent="0.2">
      <c r="H4796" s="180"/>
      <c r="P4796" s="180" t="s">
        <v>257</v>
      </c>
      <c r="R4796" s="180" t="s">
        <v>257</v>
      </c>
    </row>
    <row r="4797" spans="8:18" x14ac:dyDescent="0.2">
      <c r="H4797" s="180"/>
      <c r="P4797" s="180" t="s">
        <v>257</v>
      </c>
      <c r="R4797" s="180" t="s">
        <v>257</v>
      </c>
    </row>
    <row r="4798" spans="8:18" x14ac:dyDescent="0.2">
      <c r="H4798" s="180"/>
      <c r="P4798" s="180" t="s">
        <v>257</v>
      </c>
      <c r="R4798" s="180" t="s">
        <v>257</v>
      </c>
    </row>
    <row r="4799" spans="8:18" x14ac:dyDescent="0.2">
      <c r="H4799" s="180"/>
      <c r="P4799" s="180" t="s">
        <v>257</v>
      </c>
      <c r="R4799" s="180" t="s">
        <v>257</v>
      </c>
    </row>
    <row r="4800" spans="8:18" x14ac:dyDescent="0.2">
      <c r="H4800" s="180"/>
      <c r="P4800" s="180" t="s">
        <v>257</v>
      </c>
      <c r="R4800" s="180" t="s">
        <v>257</v>
      </c>
    </row>
    <row r="4801" spans="8:18" x14ac:dyDescent="0.2">
      <c r="H4801" s="180"/>
      <c r="P4801" s="180" t="s">
        <v>257</v>
      </c>
      <c r="R4801" s="180" t="s">
        <v>257</v>
      </c>
    </row>
    <row r="4802" spans="8:18" x14ac:dyDescent="0.2">
      <c r="H4802" s="180"/>
      <c r="P4802" s="180" t="s">
        <v>257</v>
      </c>
      <c r="R4802" s="180" t="s">
        <v>257</v>
      </c>
    </row>
    <row r="4803" spans="8:18" x14ac:dyDescent="0.2">
      <c r="H4803" s="180"/>
      <c r="P4803" s="180" t="s">
        <v>257</v>
      </c>
      <c r="R4803" s="180" t="s">
        <v>257</v>
      </c>
    </row>
    <row r="4804" spans="8:18" x14ac:dyDescent="0.2">
      <c r="H4804" s="180"/>
      <c r="P4804" s="180" t="s">
        <v>257</v>
      </c>
      <c r="R4804" s="180" t="s">
        <v>257</v>
      </c>
    </row>
    <row r="4805" spans="8:18" x14ac:dyDescent="0.2">
      <c r="H4805" s="180"/>
      <c r="P4805" s="180" t="s">
        <v>257</v>
      </c>
      <c r="R4805" s="180" t="s">
        <v>257</v>
      </c>
    </row>
    <row r="4806" spans="8:18" x14ac:dyDescent="0.2">
      <c r="H4806" s="180"/>
      <c r="P4806" s="180" t="s">
        <v>257</v>
      </c>
      <c r="R4806" s="180" t="s">
        <v>257</v>
      </c>
    </row>
    <row r="4807" spans="8:18" x14ac:dyDescent="0.2">
      <c r="H4807" s="180"/>
      <c r="P4807" s="180" t="s">
        <v>257</v>
      </c>
      <c r="R4807" s="180" t="s">
        <v>257</v>
      </c>
    </row>
    <row r="4808" spans="8:18" x14ac:dyDescent="0.2">
      <c r="H4808" s="180"/>
      <c r="P4808" s="180" t="s">
        <v>257</v>
      </c>
      <c r="R4808" s="180" t="s">
        <v>257</v>
      </c>
    </row>
    <row r="4809" spans="8:18" x14ac:dyDescent="0.2">
      <c r="H4809" s="180"/>
      <c r="P4809" s="180" t="s">
        <v>257</v>
      </c>
      <c r="R4809" s="180" t="s">
        <v>257</v>
      </c>
    </row>
    <row r="4810" spans="8:18" x14ac:dyDescent="0.2">
      <c r="H4810" s="180"/>
      <c r="P4810" s="180" t="s">
        <v>257</v>
      </c>
      <c r="R4810" s="180" t="s">
        <v>257</v>
      </c>
    </row>
    <row r="4811" spans="8:18" x14ac:dyDescent="0.2">
      <c r="H4811" s="180"/>
      <c r="P4811" s="180" t="s">
        <v>257</v>
      </c>
      <c r="R4811" s="180" t="s">
        <v>257</v>
      </c>
    </row>
    <row r="4812" spans="8:18" x14ac:dyDescent="0.2">
      <c r="H4812" s="180"/>
      <c r="P4812" s="180" t="s">
        <v>257</v>
      </c>
      <c r="R4812" s="180" t="s">
        <v>257</v>
      </c>
    </row>
    <row r="4813" spans="8:18" x14ac:dyDescent="0.2">
      <c r="H4813" s="180"/>
      <c r="P4813" s="180" t="s">
        <v>257</v>
      </c>
      <c r="R4813" s="180" t="s">
        <v>257</v>
      </c>
    </row>
    <row r="4814" spans="8:18" x14ac:dyDescent="0.2">
      <c r="H4814" s="180"/>
      <c r="P4814" s="180" t="s">
        <v>257</v>
      </c>
      <c r="R4814" s="180" t="s">
        <v>257</v>
      </c>
    </row>
    <row r="4815" spans="8:18" x14ac:dyDescent="0.2">
      <c r="H4815" s="180"/>
      <c r="P4815" s="180" t="s">
        <v>257</v>
      </c>
      <c r="R4815" s="180" t="s">
        <v>257</v>
      </c>
    </row>
    <row r="4816" spans="8:18" x14ac:dyDescent="0.2">
      <c r="H4816" s="180"/>
      <c r="P4816" s="180" t="s">
        <v>257</v>
      </c>
      <c r="R4816" s="180" t="s">
        <v>257</v>
      </c>
    </row>
    <row r="4817" spans="8:18" x14ac:dyDescent="0.2">
      <c r="H4817" s="180"/>
      <c r="P4817" s="180" t="s">
        <v>257</v>
      </c>
      <c r="R4817" s="180" t="s">
        <v>257</v>
      </c>
    </row>
    <row r="4818" spans="8:18" x14ac:dyDescent="0.2">
      <c r="H4818" s="180"/>
      <c r="P4818" s="180" t="s">
        <v>257</v>
      </c>
      <c r="R4818" s="180" t="s">
        <v>257</v>
      </c>
    </row>
    <row r="4819" spans="8:18" x14ac:dyDescent="0.2">
      <c r="H4819" s="180"/>
      <c r="P4819" s="180" t="s">
        <v>257</v>
      </c>
      <c r="R4819" s="180" t="s">
        <v>257</v>
      </c>
    </row>
    <row r="4820" spans="8:18" x14ac:dyDescent="0.2">
      <c r="H4820" s="180"/>
      <c r="P4820" s="180" t="s">
        <v>257</v>
      </c>
      <c r="R4820" s="180" t="s">
        <v>257</v>
      </c>
    </row>
    <row r="4821" spans="8:18" x14ac:dyDescent="0.2">
      <c r="H4821" s="180"/>
      <c r="P4821" s="180" t="s">
        <v>257</v>
      </c>
      <c r="R4821" s="180" t="s">
        <v>257</v>
      </c>
    </row>
    <row r="4822" spans="8:18" x14ac:dyDescent="0.2">
      <c r="H4822" s="180"/>
      <c r="P4822" s="180" t="s">
        <v>257</v>
      </c>
      <c r="R4822" s="180" t="s">
        <v>257</v>
      </c>
    </row>
    <row r="4823" spans="8:18" x14ac:dyDescent="0.2">
      <c r="H4823" s="180"/>
      <c r="P4823" s="180" t="s">
        <v>257</v>
      </c>
      <c r="R4823" s="180" t="s">
        <v>257</v>
      </c>
    </row>
    <row r="4824" spans="8:18" x14ac:dyDescent="0.2">
      <c r="H4824" s="180"/>
      <c r="P4824" s="180" t="s">
        <v>257</v>
      </c>
      <c r="R4824" s="180" t="s">
        <v>257</v>
      </c>
    </row>
    <row r="4825" spans="8:18" x14ac:dyDescent="0.2">
      <c r="H4825" s="180"/>
      <c r="P4825" s="180" t="s">
        <v>257</v>
      </c>
      <c r="R4825" s="180" t="s">
        <v>257</v>
      </c>
    </row>
    <row r="4826" spans="8:18" x14ac:dyDescent="0.2">
      <c r="H4826" s="180"/>
      <c r="P4826" s="180" t="s">
        <v>257</v>
      </c>
      <c r="R4826" s="180" t="s">
        <v>257</v>
      </c>
    </row>
    <row r="4827" spans="8:18" x14ac:dyDescent="0.2">
      <c r="H4827" s="180"/>
      <c r="P4827" s="180" t="s">
        <v>257</v>
      </c>
      <c r="R4827" s="180" t="s">
        <v>257</v>
      </c>
    </row>
    <row r="4828" spans="8:18" x14ac:dyDescent="0.2">
      <c r="H4828" s="180"/>
      <c r="P4828" s="180" t="s">
        <v>257</v>
      </c>
      <c r="R4828" s="180" t="s">
        <v>257</v>
      </c>
    </row>
    <row r="4829" spans="8:18" x14ac:dyDescent="0.2">
      <c r="H4829" s="180"/>
      <c r="P4829" s="180" t="s">
        <v>257</v>
      </c>
      <c r="R4829" s="180" t="s">
        <v>257</v>
      </c>
    </row>
    <row r="4830" spans="8:18" x14ac:dyDescent="0.2">
      <c r="H4830" s="180"/>
      <c r="P4830" s="180" t="s">
        <v>257</v>
      </c>
      <c r="R4830" s="180" t="s">
        <v>257</v>
      </c>
    </row>
    <row r="4831" spans="8:18" x14ac:dyDescent="0.2">
      <c r="H4831" s="180"/>
      <c r="P4831" s="180" t="s">
        <v>257</v>
      </c>
      <c r="R4831" s="180" t="s">
        <v>257</v>
      </c>
    </row>
    <row r="4832" spans="8:18" x14ac:dyDescent="0.2">
      <c r="H4832" s="180"/>
      <c r="P4832" s="180" t="s">
        <v>257</v>
      </c>
      <c r="R4832" s="180" t="s">
        <v>257</v>
      </c>
    </row>
    <row r="4833" spans="8:18" x14ac:dyDescent="0.2">
      <c r="H4833" s="180"/>
      <c r="P4833" s="180" t="s">
        <v>257</v>
      </c>
      <c r="R4833" s="180" t="s">
        <v>257</v>
      </c>
    </row>
    <row r="4834" spans="8:18" x14ac:dyDescent="0.2">
      <c r="H4834" s="180"/>
      <c r="P4834" s="180" t="s">
        <v>257</v>
      </c>
      <c r="R4834" s="180" t="s">
        <v>257</v>
      </c>
    </row>
    <row r="4835" spans="8:18" x14ac:dyDescent="0.2">
      <c r="H4835" s="180"/>
      <c r="P4835" s="180" t="s">
        <v>257</v>
      </c>
      <c r="R4835" s="180" t="s">
        <v>257</v>
      </c>
    </row>
    <row r="4836" spans="8:18" x14ac:dyDescent="0.2">
      <c r="H4836" s="180"/>
      <c r="P4836" s="180" t="s">
        <v>257</v>
      </c>
      <c r="R4836" s="180" t="s">
        <v>257</v>
      </c>
    </row>
    <row r="4837" spans="8:18" x14ac:dyDescent="0.2">
      <c r="H4837" s="180"/>
      <c r="P4837" s="180" t="s">
        <v>257</v>
      </c>
      <c r="R4837" s="180" t="s">
        <v>257</v>
      </c>
    </row>
    <row r="4838" spans="8:18" x14ac:dyDescent="0.2">
      <c r="H4838" s="180"/>
      <c r="P4838" s="180" t="s">
        <v>257</v>
      </c>
      <c r="R4838" s="180" t="s">
        <v>257</v>
      </c>
    </row>
    <row r="4839" spans="8:18" x14ac:dyDescent="0.2">
      <c r="H4839" s="180"/>
      <c r="P4839" s="180" t="s">
        <v>257</v>
      </c>
      <c r="R4839" s="180" t="s">
        <v>257</v>
      </c>
    </row>
    <row r="4840" spans="8:18" x14ac:dyDescent="0.2">
      <c r="H4840" s="180"/>
      <c r="P4840" s="180" t="s">
        <v>257</v>
      </c>
      <c r="R4840" s="180" t="s">
        <v>257</v>
      </c>
    </row>
    <row r="4841" spans="8:18" x14ac:dyDescent="0.2">
      <c r="H4841" s="180"/>
      <c r="P4841" s="180" t="s">
        <v>257</v>
      </c>
      <c r="R4841" s="180" t="s">
        <v>257</v>
      </c>
    </row>
    <row r="4842" spans="8:18" x14ac:dyDescent="0.2">
      <c r="H4842" s="180"/>
      <c r="P4842" s="180" t="s">
        <v>257</v>
      </c>
      <c r="R4842" s="180" t="s">
        <v>257</v>
      </c>
    </row>
    <row r="4843" spans="8:18" x14ac:dyDescent="0.2">
      <c r="H4843" s="180"/>
      <c r="P4843" s="180" t="s">
        <v>257</v>
      </c>
      <c r="R4843" s="180" t="s">
        <v>257</v>
      </c>
    </row>
    <row r="4844" spans="8:18" x14ac:dyDescent="0.2">
      <c r="H4844" s="180"/>
      <c r="P4844" s="180" t="s">
        <v>257</v>
      </c>
      <c r="R4844" s="180" t="s">
        <v>257</v>
      </c>
    </row>
    <row r="4845" spans="8:18" x14ac:dyDescent="0.2">
      <c r="H4845" s="180"/>
      <c r="P4845" s="180" t="s">
        <v>257</v>
      </c>
      <c r="R4845" s="180" t="s">
        <v>257</v>
      </c>
    </row>
    <row r="4846" spans="8:18" x14ac:dyDescent="0.2">
      <c r="H4846" s="180"/>
      <c r="P4846" s="180" t="s">
        <v>257</v>
      </c>
      <c r="R4846" s="180" t="s">
        <v>257</v>
      </c>
    </row>
    <row r="4847" spans="8:18" x14ac:dyDescent="0.2">
      <c r="H4847" s="180"/>
      <c r="P4847" s="180" t="s">
        <v>257</v>
      </c>
      <c r="R4847" s="180" t="s">
        <v>257</v>
      </c>
    </row>
    <row r="4848" spans="8:18" x14ac:dyDescent="0.2">
      <c r="H4848" s="180"/>
      <c r="P4848" s="180" t="s">
        <v>257</v>
      </c>
      <c r="R4848" s="180" t="s">
        <v>257</v>
      </c>
    </row>
    <row r="4849" spans="8:18" x14ac:dyDescent="0.2">
      <c r="H4849" s="180"/>
      <c r="P4849" s="180" t="s">
        <v>257</v>
      </c>
      <c r="R4849" s="180" t="s">
        <v>257</v>
      </c>
    </row>
    <row r="4850" spans="8:18" x14ac:dyDescent="0.2">
      <c r="H4850" s="180"/>
      <c r="P4850" s="180" t="s">
        <v>257</v>
      </c>
      <c r="R4850" s="180" t="s">
        <v>257</v>
      </c>
    </row>
    <row r="4851" spans="8:18" x14ac:dyDescent="0.2">
      <c r="H4851" s="180"/>
      <c r="P4851" s="180" t="s">
        <v>257</v>
      </c>
      <c r="R4851" s="180" t="s">
        <v>257</v>
      </c>
    </row>
    <row r="4852" spans="8:18" x14ac:dyDescent="0.2">
      <c r="H4852" s="180"/>
      <c r="P4852" s="180" t="s">
        <v>257</v>
      </c>
      <c r="R4852" s="180" t="s">
        <v>257</v>
      </c>
    </row>
    <row r="4853" spans="8:18" x14ac:dyDescent="0.2">
      <c r="H4853" s="180"/>
      <c r="P4853" s="180" t="s">
        <v>257</v>
      </c>
      <c r="R4853" s="180" t="s">
        <v>257</v>
      </c>
    </row>
    <row r="4854" spans="8:18" x14ac:dyDescent="0.2">
      <c r="H4854" s="180"/>
      <c r="P4854" s="180" t="s">
        <v>257</v>
      </c>
      <c r="R4854" s="180" t="s">
        <v>257</v>
      </c>
    </row>
    <row r="4855" spans="8:18" x14ac:dyDescent="0.2">
      <c r="H4855" s="180"/>
      <c r="P4855" s="180" t="s">
        <v>257</v>
      </c>
      <c r="R4855" s="180" t="s">
        <v>257</v>
      </c>
    </row>
    <row r="4856" spans="8:18" x14ac:dyDescent="0.2">
      <c r="H4856" s="180"/>
      <c r="P4856" s="180" t="s">
        <v>257</v>
      </c>
      <c r="R4856" s="180" t="s">
        <v>257</v>
      </c>
    </row>
    <row r="4857" spans="8:18" x14ac:dyDescent="0.2">
      <c r="H4857" s="180"/>
      <c r="P4857" s="180" t="s">
        <v>257</v>
      </c>
      <c r="R4857" s="180" t="s">
        <v>257</v>
      </c>
    </row>
    <row r="4858" spans="8:18" x14ac:dyDescent="0.2">
      <c r="H4858" s="180"/>
      <c r="P4858" s="180" t="s">
        <v>257</v>
      </c>
      <c r="R4858" s="180" t="s">
        <v>257</v>
      </c>
    </row>
    <row r="4859" spans="8:18" x14ac:dyDescent="0.2">
      <c r="H4859" s="180"/>
      <c r="P4859" s="180" t="s">
        <v>257</v>
      </c>
      <c r="R4859" s="180" t="s">
        <v>257</v>
      </c>
    </row>
    <row r="4860" spans="8:18" x14ac:dyDescent="0.2">
      <c r="H4860" s="180"/>
      <c r="P4860" s="180" t="s">
        <v>257</v>
      </c>
      <c r="R4860" s="180" t="s">
        <v>257</v>
      </c>
    </row>
    <row r="4861" spans="8:18" x14ac:dyDescent="0.2">
      <c r="H4861" s="180"/>
      <c r="P4861" s="180" t="s">
        <v>257</v>
      </c>
      <c r="R4861" s="180" t="s">
        <v>257</v>
      </c>
    </row>
    <row r="4862" spans="8:18" x14ac:dyDescent="0.2">
      <c r="H4862" s="180"/>
      <c r="P4862" s="180" t="s">
        <v>257</v>
      </c>
      <c r="R4862" s="180" t="s">
        <v>257</v>
      </c>
    </row>
    <row r="4863" spans="8:18" x14ac:dyDescent="0.2">
      <c r="H4863" s="180"/>
      <c r="P4863" s="180" t="s">
        <v>257</v>
      </c>
      <c r="R4863" s="180" t="s">
        <v>257</v>
      </c>
    </row>
    <row r="4864" spans="8:18" x14ac:dyDescent="0.2">
      <c r="H4864" s="180"/>
      <c r="P4864" s="180" t="s">
        <v>257</v>
      </c>
      <c r="R4864" s="180" t="s">
        <v>257</v>
      </c>
    </row>
    <row r="4865" spans="8:18" x14ac:dyDescent="0.2">
      <c r="H4865" s="180"/>
      <c r="P4865" s="180" t="s">
        <v>257</v>
      </c>
      <c r="R4865" s="180" t="s">
        <v>257</v>
      </c>
    </row>
    <row r="4866" spans="8:18" x14ac:dyDescent="0.2">
      <c r="H4866" s="180"/>
      <c r="P4866" s="180" t="s">
        <v>257</v>
      </c>
      <c r="R4866" s="180" t="s">
        <v>257</v>
      </c>
    </row>
    <row r="4867" spans="8:18" x14ac:dyDescent="0.2">
      <c r="H4867" s="180"/>
      <c r="P4867" s="180" t="s">
        <v>257</v>
      </c>
      <c r="R4867" s="180" t="s">
        <v>257</v>
      </c>
    </row>
    <row r="4868" spans="8:18" x14ac:dyDescent="0.2">
      <c r="H4868" s="180"/>
      <c r="P4868" s="180" t="s">
        <v>257</v>
      </c>
      <c r="R4868" s="180" t="s">
        <v>257</v>
      </c>
    </row>
    <row r="4869" spans="8:18" x14ac:dyDescent="0.2">
      <c r="H4869" s="180"/>
      <c r="P4869" s="180" t="s">
        <v>257</v>
      </c>
      <c r="R4869" s="180" t="s">
        <v>257</v>
      </c>
    </row>
    <row r="4870" spans="8:18" x14ac:dyDescent="0.2">
      <c r="H4870" s="180"/>
      <c r="P4870" s="180" t="s">
        <v>257</v>
      </c>
      <c r="R4870" s="180" t="s">
        <v>257</v>
      </c>
    </row>
    <row r="4871" spans="8:18" x14ac:dyDescent="0.2">
      <c r="H4871" s="180"/>
      <c r="P4871" s="180" t="s">
        <v>257</v>
      </c>
      <c r="R4871" s="180" t="s">
        <v>257</v>
      </c>
    </row>
    <row r="4872" spans="8:18" x14ac:dyDescent="0.2">
      <c r="H4872" s="180"/>
      <c r="P4872" s="180" t="s">
        <v>257</v>
      </c>
      <c r="R4872" s="180" t="s">
        <v>257</v>
      </c>
    </row>
    <row r="4873" spans="8:18" x14ac:dyDescent="0.2">
      <c r="H4873" s="180"/>
      <c r="P4873" s="180" t="s">
        <v>257</v>
      </c>
      <c r="R4873" s="180" t="s">
        <v>257</v>
      </c>
    </row>
    <row r="4874" spans="8:18" x14ac:dyDescent="0.2">
      <c r="H4874" s="180"/>
      <c r="P4874" s="180" t="s">
        <v>257</v>
      </c>
      <c r="R4874" s="180" t="s">
        <v>257</v>
      </c>
    </row>
    <row r="4875" spans="8:18" x14ac:dyDescent="0.2">
      <c r="H4875" s="180"/>
      <c r="P4875" s="180" t="s">
        <v>257</v>
      </c>
      <c r="R4875" s="180" t="s">
        <v>257</v>
      </c>
    </row>
    <row r="4876" spans="8:18" x14ac:dyDescent="0.2">
      <c r="H4876" s="180"/>
      <c r="P4876" s="180" t="s">
        <v>257</v>
      </c>
      <c r="R4876" s="180" t="s">
        <v>257</v>
      </c>
    </row>
    <row r="4877" spans="8:18" x14ac:dyDescent="0.2">
      <c r="H4877" s="180"/>
      <c r="P4877" s="180" t="s">
        <v>257</v>
      </c>
      <c r="R4877" s="180" t="s">
        <v>257</v>
      </c>
    </row>
    <row r="4878" spans="8:18" x14ac:dyDescent="0.2">
      <c r="H4878" s="180"/>
      <c r="P4878" s="180" t="s">
        <v>257</v>
      </c>
      <c r="R4878" s="180" t="s">
        <v>257</v>
      </c>
    </row>
    <row r="4879" spans="8:18" x14ac:dyDescent="0.2">
      <c r="H4879" s="180"/>
      <c r="P4879" s="180" t="s">
        <v>257</v>
      </c>
      <c r="R4879" s="180" t="s">
        <v>257</v>
      </c>
    </row>
    <row r="4880" spans="8:18" x14ac:dyDescent="0.2">
      <c r="H4880" s="180"/>
      <c r="P4880" s="180" t="s">
        <v>257</v>
      </c>
      <c r="R4880" s="180" t="s">
        <v>257</v>
      </c>
    </row>
    <row r="4881" spans="8:18" x14ac:dyDescent="0.2">
      <c r="H4881" s="180"/>
      <c r="P4881" s="180" t="s">
        <v>257</v>
      </c>
      <c r="R4881" s="180" t="s">
        <v>257</v>
      </c>
    </row>
    <row r="4882" spans="8:18" x14ac:dyDescent="0.2">
      <c r="H4882" s="180"/>
      <c r="P4882" s="180" t="s">
        <v>257</v>
      </c>
      <c r="R4882" s="180" t="s">
        <v>257</v>
      </c>
    </row>
    <row r="4883" spans="8:18" x14ac:dyDescent="0.2">
      <c r="H4883" s="180"/>
      <c r="P4883" s="180" t="s">
        <v>257</v>
      </c>
      <c r="R4883" s="180" t="s">
        <v>257</v>
      </c>
    </row>
    <row r="4884" spans="8:18" x14ac:dyDescent="0.2">
      <c r="H4884" s="180"/>
      <c r="P4884" s="180" t="s">
        <v>257</v>
      </c>
      <c r="R4884" s="180" t="s">
        <v>257</v>
      </c>
    </row>
    <row r="4885" spans="8:18" x14ac:dyDescent="0.2">
      <c r="H4885" s="180"/>
      <c r="P4885" s="180" t="s">
        <v>257</v>
      </c>
      <c r="R4885" s="180" t="s">
        <v>257</v>
      </c>
    </row>
    <row r="4886" spans="8:18" x14ac:dyDescent="0.2">
      <c r="H4886" s="180"/>
      <c r="P4886" s="180" t="s">
        <v>257</v>
      </c>
      <c r="R4886" s="180" t="s">
        <v>257</v>
      </c>
    </row>
    <row r="4887" spans="8:18" x14ac:dyDescent="0.2">
      <c r="H4887" s="180"/>
      <c r="P4887" s="180" t="s">
        <v>257</v>
      </c>
      <c r="R4887" s="180" t="s">
        <v>257</v>
      </c>
    </row>
    <row r="4888" spans="8:18" x14ac:dyDescent="0.2">
      <c r="H4888" s="180"/>
      <c r="P4888" s="180" t="s">
        <v>257</v>
      </c>
      <c r="R4888" s="180" t="s">
        <v>257</v>
      </c>
    </row>
    <row r="4889" spans="8:18" x14ac:dyDescent="0.2">
      <c r="H4889" s="180"/>
      <c r="P4889" s="180" t="s">
        <v>257</v>
      </c>
      <c r="R4889" s="180" t="s">
        <v>257</v>
      </c>
    </row>
    <row r="4890" spans="8:18" x14ac:dyDescent="0.2">
      <c r="H4890" s="180"/>
      <c r="P4890" s="180" t="s">
        <v>257</v>
      </c>
      <c r="R4890" s="180" t="s">
        <v>257</v>
      </c>
    </row>
    <row r="4891" spans="8:18" x14ac:dyDescent="0.2">
      <c r="H4891" s="180"/>
      <c r="P4891" s="180" t="s">
        <v>257</v>
      </c>
      <c r="R4891" s="180" t="s">
        <v>257</v>
      </c>
    </row>
    <row r="4892" spans="8:18" x14ac:dyDescent="0.2">
      <c r="H4892" s="180"/>
      <c r="P4892" s="180" t="s">
        <v>257</v>
      </c>
      <c r="R4892" s="180" t="s">
        <v>257</v>
      </c>
    </row>
    <row r="4893" spans="8:18" x14ac:dyDescent="0.2">
      <c r="H4893" s="180"/>
      <c r="P4893" s="180" t="s">
        <v>257</v>
      </c>
      <c r="R4893" s="180" t="s">
        <v>257</v>
      </c>
    </row>
    <row r="4894" spans="8:18" x14ac:dyDescent="0.2">
      <c r="H4894" s="180"/>
      <c r="P4894" s="180" t="s">
        <v>257</v>
      </c>
      <c r="R4894" s="180" t="s">
        <v>257</v>
      </c>
    </row>
    <row r="4895" spans="8:18" x14ac:dyDescent="0.2">
      <c r="H4895" s="180"/>
      <c r="P4895" s="180" t="s">
        <v>257</v>
      </c>
      <c r="R4895" s="180" t="s">
        <v>257</v>
      </c>
    </row>
    <row r="4896" spans="8:18" x14ac:dyDescent="0.2">
      <c r="H4896" s="180"/>
      <c r="P4896" s="180" t="s">
        <v>257</v>
      </c>
      <c r="R4896" s="180" t="s">
        <v>257</v>
      </c>
    </row>
    <row r="4897" spans="8:18" x14ac:dyDescent="0.2">
      <c r="H4897" s="180"/>
      <c r="P4897" s="180" t="s">
        <v>257</v>
      </c>
      <c r="R4897" s="180" t="s">
        <v>257</v>
      </c>
    </row>
    <row r="4898" spans="8:18" x14ac:dyDescent="0.2">
      <c r="H4898" s="180"/>
      <c r="P4898" s="180" t="s">
        <v>257</v>
      </c>
      <c r="R4898" s="180" t="s">
        <v>257</v>
      </c>
    </row>
    <row r="4899" spans="8:18" x14ac:dyDescent="0.2">
      <c r="H4899" s="180"/>
      <c r="P4899" s="180" t="s">
        <v>257</v>
      </c>
      <c r="R4899" s="180" t="s">
        <v>257</v>
      </c>
    </row>
    <row r="4900" spans="8:18" x14ac:dyDescent="0.2">
      <c r="H4900" s="180"/>
      <c r="P4900" s="180" t="s">
        <v>257</v>
      </c>
      <c r="R4900" s="180" t="s">
        <v>257</v>
      </c>
    </row>
    <row r="4901" spans="8:18" x14ac:dyDescent="0.2">
      <c r="H4901" s="180"/>
      <c r="P4901" s="180" t="s">
        <v>257</v>
      </c>
      <c r="R4901" s="180" t="s">
        <v>257</v>
      </c>
    </row>
    <row r="4902" spans="8:18" x14ac:dyDescent="0.2">
      <c r="H4902" s="180"/>
      <c r="P4902" s="180" t="s">
        <v>257</v>
      </c>
      <c r="R4902" s="180" t="s">
        <v>257</v>
      </c>
    </row>
    <row r="4903" spans="8:18" x14ac:dyDescent="0.2">
      <c r="H4903" s="180"/>
      <c r="P4903" s="180" t="s">
        <v>257</v>
      </c>
      <c r="R4903" s="180" t="s">
        <v>257</v>
      </c>
    </row>
    <row r="4904" spans="8:18" x14ac:dyDescent="0.2">
      <c r="H4904" s="180"/>
      <c r="P4904" s="180" t="s">
        <v>257</v>
      </c>
      <c r="R4904" s="180" t="s">
        <v>257</v>
      </c>
    </row>
    <row r="4905" spans="8:18" x14ac:dyDescent="0.2">
      <c r="H4905" s="180"/>
      <c r="P4905" s="180" t="s">
        <v>257</v>
      </c>
      <c r="R4905" s="180" t="s">
        <v>257</v>
      </c>
    </row>
    <row r="4906" spans="8:18" x14ac:dyDescent="0.2">
      <c r="H4906" s="180"/>
      <c r="P4906" s="180" t="s">
        <v>257</v>
      </c>
      <c r="R4906" s="180" t="s">
        <v>257</v>
      </c>
    </row>
    <row r="4907" spans="8:18" x14ac:dyDescent="0.2">
      <c r="H4907" s="180"/>
      <c r="P4907" s="180" t="s">
        <v>257</v>
      </c>
      <c r="R4907" s="180" t="s">
        <v>257</v>
      </c>
    </row>
    <row r="4908" spans="8:18" x14ac:dyDescent="0.2">
      <c r="H4908" s="180"/>
      <c r="P4908" s="180" t="s">
        <v>257</v>
      </c>
      <c r="R4908" s="180" t="s">
        <v>257</v>
      </c>
    </row>
    <row r="4909" spans="8:18" x14ac:dyDescent="0.2">
      <c r="H4909" s="180"/>
      <c r="P4909" s="180" t="s">
        <v>257</v>
      </c>
      <c r="R4909" s="180" t="s">
        <v>257</v>
      </c>
    </row>
    <row r="4910" spans="8:18" x14ac:dyDescent="0.2">
      <c r="H4910" s="180"/>
      <c r="P4910" s="180" t="s">
        <v>257</v>
      </c>
      <c r="R4910" s="180" t="s">
        <v>257</v>
      </c>
    </row>
    <row r="4911" spans="8:18" x14ac:dyDescent="0.2">
      <c r="H4911" s="180"/>
      <c r="P4911" s="180" t="s">
        <v>257</v>
      </c>
      <c r="R4911" s="180" t="s">
        <v>257</v>
      </c>
    </row>
    <row r="4912" spans="8:18" x14ac:dyDescent="0.2">
      <c r="H4912" s="180"/>
      <c r="P4912" s="180" t="s">
        <v>257</v>
      </c>
      <c r="R4912" s="180" t="s">
        <v>257</v>
      </c>
    </row>
    <row r="4913" spans="8:18" x14ac:dyDescent="0.2">
      <c r="H4913" s="180"/>
      <c r="P4913" s="180" t="s">
        <v>257</v>
      </c>
      <c r="R4913" s="180" t="s">
        <v>257</v>
      </c>
    </row>
    <row r="4914" spans="8:18" x14ac:dyDescent="0.2">
      <c r="H4914" s="180"/>
      <c r="P4914" s="180" t="s">
        <v>257</v>
      </c>
      <c r="R4914" s="180" t="s">
        <v>257</v>
      </c>
    </row>
    <row r="4915" spans="8:18" x14ac:dyDescent="0.2">
      <c r="H4915" s="180"/>
      <c r="P4915" s="180" t="s">
        <v>257</v>
      </c>
      <c r="R4915" s="180" t="s">
        <v>257</v>
      </c>
    </row>
    <row r="4916" spans="8:18" x14ac:dyDescent="0.2">
      <c r="H4916" s="180"/>
      <c r="P4916" s="180" t="s">
        <v>257</v>
      </c>
      <c r="R4916" s="180" t="s">
        <v>257</v>
      </c>
    </row>
    <row r="4917" spans="8:18" x14ac:dyDescent="0.2">
      <c r="H4917" s="180"/>
      <c r="P4917" s="180" t="s">
        <v>257</v>
      </c>
      <c r="R4917" s="180" t="s">
        <v>257</v>
      </c>
    </row>
    <row r="4918" spans="8:18" x14ac:dyDescent="0.2">
      <c r="H4918" s="180"/>
      <c r="P4918" s="180" t="s">
        <v>257</v>
      </c>
      <c r="R4918" s="180" t="s">
        <v>257</v>
      </c>
    </row>
    <row r="4919" spans="8:18" x14ac:dyDescent="0.2">
      <c r="H4919" s="180"/>
      <c r="P4919" s="180" t="s">
        <v>257</v>
      </c>
      <c r="R4919" s="180" t="s">
        <v>257</v>
      </c>
    </row>
    <row r="4920" spans="8:18" x14ac:dyDescent="0.2">
      <c r="H4920" s="180"/>
      <c r="P4920" s="180" t="s">
        <v>257</v>
      </c>
      <c r="R4920" s="180" t="s">
        <v>257</v>
      </c>
    </row>
    <row r="4921" spans="8:18" x14ac:dyDescent="0.2">
      <c r="H4921" s="180"/>
      <c r="P4921" s="180" t="s">
        <v>257</v>
      </c>
      <c r="R4921" s="180" t="s">
        <v>257</v>
      </c>
    </row>
    <row r="4922" spans="8:18" x14ac:dyDescent="0.2">
      <c r="H4922" s="180"/>
      <c r="P4922" s="180" t="s">
        <v>257</v>
      </c>
      <c r="R4922" s="180" t="s">
        <v>257</v>
      </c>
    </row>
    <row r="4923" spans="8:18" x14ac:dyDescent="0.2">
      <c r="H4923" s="180"/>
      <c r="P4923" s="180" t="s">
        <v>257</v>
      </c>
      <c r="R4923" s="180" t="s">
        <v>257</v>
      </c>
    </row>
    <row r="4924" spans="8:18" x14ac:dyDescent="0.2">
      <c r="H4924" s="180"/>
      <c r="P4924" s="180" t="s">
        <v>257</v>
      </c>
      <c r="R4924" s="180" t="s">
        <v>257</v>
      </c>
    </row>
    <row r="4925" spans="8:18" x14ac:dyDescent="0.2">
      <c r="H4925" s="180"/>
      <c r="P4925" s="180" t="s">
        <v>257</v>
      </c>
      <c r="R4925" s="180" t="s">
        <v>257</v>
      </c>
    </row>
    <row r="4926" spans="8:18" x14ac:dyDescent="0.2">
      <c r="H4926" s="180"/>
      <c r="P4926" s="180" t="s">
        <v>257</v>
      </c>
      <c r="R4926" s="180" t="s">
        <v>257</v>
      </c>
    </row>
    <row r="4927" spans="8:18" x14ac:dyDescent="0.2">
      <c r="H4927" s="180"/>
      <c r="P4927" s="180" t="s">
        <v>257</v>
      </c>
      <c r="R4927" s="180" t="s">
        <v>257</v>
      </c>
    </row>
    <row r="4928" spans="8:18" x14ac:dyDescent="0.2">
      <c r="H4928" s="180"/>
      <c r="P4928" s="180" t="s">
        <v>257</v>
      </c>
      <c r="R4928" s="180" t="s">
        <v>257</v>
      </c>
    </row>
    <row r="4929" spans="8:18" x14ac:dyDescent="0.2">
      <c r="H4929" s="180"/>
      <c r="P4929" s="180" t="s">
        <v>257</v>
      </c>
      <c r="R4929" s="180" t="s">
        <v>257</v>
      </c>
    </row>
    <row r="4930" spans="8:18" x14ac:dyDescent="0.2">
      <c r="H4930" s="180"/>
      <c r="P4930" s="180" t="s">
        <v>257</v>
      </c>
      <c r="R4930" s="180" t="s">
        <v>257</v>
      </c>
    </row>
    <row r="4931" spans="8:18" x14ac:dyDescent="0.2">
      <c r="H4931" s="180"/>
      <c r="P4931" s="180" t="s">
        <v>257</v>
      </c>
      <c r="R4931" s="180" t="s">
        <v>257</v>
      </c>
    </row>
    <row r="4932" spans="8:18" x14ac:dyDescent="0.2">
      <c r="H4932" s="180"/>
      <c r="P4932" s="180" t="s">
        <v>257</v>
      </c>
      <c r="R4932" s="180" t="s">
        <v>257</v>
      </c>
    </row>
    <row r="4933" spans="8:18" x14ac:dyDescent="0.2">
      <c r="H4933" s="180"/>
      <c r="P4933" s="180" t="s">
        <v>257</v>
      </c>
      <c r="R4933" s="180" t="s">
        <v>257</v>
      </c>
    </row>
    <row r="4934" spans="8:18" x14ac:dyDescent="0.2">
      <c r="H4934" s="180"/>
      <c r="P4934" s="180" t="s">
        <v>257</v>
      </c>
      <c r="R4934" s="180" t="s">
        <v>257</v>
      </c>
    </row>
    <row r="4935" spans="8:18" x14ac:dyDescent="0.2">
      <c r="H4935" s="180"/>
      <c r="P4935" s="180" t="s">
        <v>257</v>
      </c>
      <c r="R4935" s="180" t="s">
        <v>257</v>
      </c>
    </row>
    <row r="4936" spans="8:18" x14ac:dyDescent="0.2">
      <c r="H4936" s="180"/>
      <c r="P4936" s="180" t="s">
        <v>257</v>
      </c>
      <c r="R4936" s="180" t="s">
        <v>257</v>
      </c>
    </row>
    <row r="4937" spans="8:18" x14ac:dyDescent="0.2">
      <c r="H4937" s="180"/>
      <c r="P4937" s="180" t="s">
        <v>257</v>
      </c>
      <c r="R4937" s="180" t="s">
        <v>257</v>
      </c>
    </row>
    <row r="4938" spans="8:18" x14ac:dyDescent="0.2">
      <c r="H4938" s="180"/>
      <c r="P4938" s="180" t="s">
        <v>257</v>
      </c>
      <c r="R4938" s="180" t="s">
        <v>257</v>
      </c>
    </row>
    <row r="4939" spans="8:18" x14ac:dyDescent="0.2">
      <c r="H4939" s="180"/>
      <c r="P4939" s="180" t="s">
        <v>257</v>
      </c>
      <c r="R4939" s="180" t="s">
        <v>257</v>
      </c>
    </row>
    <row r="4940" spans="8:18" x14ac:dyDescent="0.2">
      <c r="H4940" s="180"/>
      <c r="P4940" s="180" t="s">
        <v>257</v>
      </c>
      <c r="R4940" s="180" t="s">
        <v>257</v>
      </c>
    </row>
    <row r="4941" spans="8:18" x14ac:dyDescent="0.2">
      <c r="H4941" s="180"/>
      <c r="P4941" s="180" t="s">
        <v>257</v>
      </c>
      <c r="R4941" s="180" t="s">
        <v>257</v>
      </c>
    </row>
    <row r="4942" spans="8:18" x14ac:dyDescent="0.2">
      <c r="H4942" s="180"/>
      <c r="P4942" s="180" t="s">
        <v>257</v>
      </c>
      <c r="R4942" s="180" t="s">
        <v>257</v>
      </c>
    </row>
    <row r="4943" spans="8:18" x14ac:dyDescent="0.2">
      <c r="H4943" s="180"/>
      <c r="P4943" s="180" t="s">
        <v>257</v>
      </c>
      <c r="R4943" s="180" t="s">
        <v>257</v>
      </c>
    </row>
    <row r="4944" spans="8:18" x14ac:dyDescent="0.2">
      <c r="H4944" s="180"/>
      <c r="P4944" s="180" t="s">
        <v>257</v>
      </c>
      <c r="R4944" s="180" t="s">
        <v>257</v>
      </c>
    </row>
    <row r="4945" spans="8:18" x14ac:dyDescent="0.2">
      <c r="H4945" s="180"/>
      <c r="P4945" s="180" t="s">
        <v>257</v>
      </c>
      <c r="R4945" s="180" t="s">
        <v>257</v>
      </c>
    </row>
    <row r="4946" spans="8:18" x14ac:dyDescent="0.2">
      <c r="H4946" s="180"/>
      <c r="P4946" s="180" t="s">
        <v>257</v>
      </c>
      <c r="R4946" s="180" t="s">
        <v>257</v>
      </c>
    </row>
    <row r="4947" spans="8:18" x14ac:dyDescent="0.2">
      <c r="H4947" s="180"/>
      <c r="P4947" s="180" t="s">
        <v>257</v>
      </c>
      <c r="R4947" s="180" t="s">
        <v>257</v>
      </c>
    </row>
    <row r="4948" spans="8:18" x14ac:dyDescent="0.2">
      <c r="H4948" s="180"/>
      <c r="P4948" s="180" t="s">
        <v>257</v>
      </c>
      <c r="R4948" s="180" t="s">
        <v>257</v>
      </c>
    </row>
    <row r="4949" spans="8:18" x14ac:dyDescent="0.2">
      <c r="H4949" s="180"/>
      <c r="P4949" s="180" t="s">
        <v>257</v>
      </c>
      <c r="R4949" s="180" t="s">
        <v>257</v>
      </c>
    </row>
    <row r="4950" spans="8:18" x14ac:dyDescent="0.2">
      <c r="H4950" s="180"/>
      <c r="P4950" s="180" t="s">
        <v>257</v>
      </c>
      <c r="R4950" s="180" t="s">
        <v>257</v>
      </c>
    </row>
    <row r="4951" spans="8:18" x14ac:dyDescent="0.2">
      <c r="H4951" s="180"/>
      <c r="P4951" s="180" t="s">
        <v>257</v>
      </c>
      <c r="R4951" s="180" t="s">
        <v>257</v>
      </c>
    </row>
    <row r="4952" spans="8:18" x14ac:dyDescent="0.2">
      <c r="H4952" s="180"/>
      <c r="P4952" s="180" t="s">
        <v>257</v>
      </c>
      <c r="R4952" s="180" t="s">
        <v>257</v>
      </c>
    </row>
    <row r="4953" spans="8:18" x14ac:dyDescent="0.2">
      <c r="H4953" s="180"/>
      <c r="P4953" s="180" t="s">
        <v>257</v>
      </c>
      <c r="R4953" s="180" t="s">
        <v>257</v>
      </c>
    </row>
    <row r="4954" spans="8:18" x14ac:dyDescent="0.2">
      <c r="H4954" s="180"/>
      <c r="P4954" s="180" t="s">
        <v>257</v>
      </c>
      <c r="R4954" s="180" t="s">
        <v>257</v>
      </c>
    </row>
    <row r="4955" spans="8:18" x14ac:dyDescent="0.2">
      <c r="H4955" s="180"/>
      <c r="P4955" s="180" t="s">
        <v>257</v>
      </c>
      <c r="R4955" s="180" t="s">
        <v>257</v>
      </c>
    </row>
    <row r="4956" spans="8:18" x14ac:dyDescent="0.2">
      <c r="H4956" s="180"/>
      <c r="P4956" s="180" t="s">
        <v>257</v>
      </c>
      <c r="R4956" s="180" t="s">
        <v>257</v>
      </c>
    </row>
    <row r="4957" spans="8:18" x14ac:dyDescent="0.2">
      <c r="H4957" s="180"/>
      <c r="P4957" s="180" t="s">
        <v>257</v>
      </c>
      <c r="R4957" s="180" t="s">
        <v>257</v>
      </c>
    </row>
    <row r="4958" spans="8:18" x14ac:dyDescent="0.2">
      <c r="H4958" s="180"/>
      <c r="P4958" s="180" t="s">
        <v>257</v>
      </c>
      <c r="R4958" s="180" t="s">
        <v>257</v>
      </c>
    </row>
    <row r="4959" spans="8:18" x14ac:dyDescent="0.2">
      <c r="H4959" s="180"/>
      <c r="P4959" s="180" t="s">
        <v>257</v>
      </c>
      <c r="R4959" s="180" t="s">
        <v>257</v>
      </c>
    </row>
    <row r="4960" spans="8:18" x14ac:dyDescent="0.2">
      <c r="H4960" s="180"/>
      <c r="P4960" s="180" t="s">
        <v>257</v>
      </c>
      <c r="R4960" s="180" t="s">
        <v>257</v>
      </c>
    </row>
    <row r="4961" spans="8:18" x14ac:dyDescent="0.2">
      <c r="H4961" s="180"/>
      <c r="P4961" s="180" t="s">
        <v>257</v>
      </c>
      <c r="R4961" s="180" t="s">
        <v>257</v>
      </c>
    </row>
    <row r="4962" spans="8:18" x14ac:dyDescent="0.2">
      <c r="H4962" s="180"/>
      <c r="P4962" s="180" t="s">
        <v>257</v>
      </c>
      <c r="R4962" s="180" t="s">
        <v>257</v>
      </c>
    </row>
    <row r="4963" spans="8:18" x14ac:dyDescent="0.2">
      <c r="H4963" s="180"/>
      <c r="P4963" s="180" t="s">
        <v>257</v>
      </c>
      <c r="R4963" s="180" t="s">
        <v>257</v>
      </c>
    </row>
    <row r="4964" spans="8:18" x14ac:dyDescent="0.2">
      <c r="H4964" s="180"/>
      <c r="P4964" s="180" t="s">
        <v>257</v>
      </c>
      <c r="R4964" s="180" t="s">
        <v>257</v>
      </c>
    </row>
    <row r="4965" spans="8:18" x14ac:dyDescent="0.2">
      <c r="H4965" s="180"/>
      <c r="P4965" s="180" t="s">
        <v>257</v>
      </c>
      <c r="R4965" s="180" t="s">
        <v>257</v>
      </c>
    </row>
    <row r="4966" spans="8:18" x14ac:dyDescent="0.2">
      <c r="H4966" s="180"/>
      <c r="P4966" s="180" t="s">
        <v>257</v>
      </c>
      <c r="R4966" s="180" t="s">
        <v>257</v>
      </c>
    </row>
    <row r="4967" spans="8:18" x14ac:dyDescent="0.2">
      <c r="H4967" s="180"/>
      <c r="P4967" s="180" t="s">
        <v>257</v>
      </c>
      <c r="R4967" s="180" t="s">
        <v>257</v>
      </c>
    </row>
    <row r="4968" spans="8:18" x14ac:dyDescent="0.2">
      <c r="H4968" s="180"/>
      <c r="P4968" s="180" t="s">
        <v>257</v>
      </c>
      <c r="R4968" s="180" t="s">
        <v>257</v>
      </c>
    </row>
    <row r="4969" spans="8:18" x14ac:dyDescent="0.2">
      <c r="H4969" s="180"/>
      <c r="P4969" s="180" t="s">
        <v>257</v>
      </c>
      <c r="R4969" s="180" t="s">
        <v>257</v>
      </c>
    </row>
    <row r="4970" spans="8:18" x14ac:dyDescent="0.2">
      <c r="H4970" s="180"/>
      <c r="P4970" s="180" t="s">
        <v>257</v>
      </c>
      <c r="R4970" s="180" t="s">
        <v>257</v>
      </c>
    </row>
    <row r="4971" spans="8:18" x14ac:dyDescent="0.2">
      <c r="H4971" s="180"/>
      <c r="P4971" s="180" t="s">
        <v>257</v>
      </c>
      <c r="R4971" s="180" t="s">
        <v>257</v>
      </c>
    </row>
    <row r="4972" spans="8:18" x14ac:dyDescent="0.2">
      <c r="H4972" s="180"/>
      <c r="P4972" s="180" t="s">
        <v>257</v>
      </c>
      <c r="R4972" s="180" t="s">
        <v>257</v>
      </c>
    </row>
    <row r="4973" spans="8:18" x14ac:dyDescent="0.2">
      <c r="H4973" s="180"/>
      <c r="P4973" s="180" t="s">
        <v>257</v>
      </c>
      <c r="R4973" s="180" t="s">
        <v>257</v>
      </c>
    </row>
    <row r="4974" spans="8:18" x14ac:dyDescent="0.2">
      <c r="H4974" s="180"/>
      <c r="P4974" s="180" t="s">
        <v>257</v>
      </c>
      <c r="R4974" s="180" t="s">
        <v>257</v>
      </c>
    </row>
    <row r="4975" spans="8:18" x14ac:dyDescent="0.2">
      <c r="H4975" s="180"/>
      <c r="P4975" s="180" t="s">
        <v>257</v>
      </c>
      <c r="R4975" s="180" t="s">
        <v>257</v>
      </c>
    </row>
    <row r="4976" spans="8:18" x14ac:dyDescent="0.2">
      <c r="H4976" s="180"/>
      <c r="P4976" s="180" t="s">
        <v>257</v>
      </c>
      <c r="R4976" s="180" t="s">
        <v>257</v>
      </c>
    </row>
    <row r="4977" spans="8:18" x14ac:dyDescent="0.2">
      <c r="H4977" s="180"/>
      <c r="P4977" s="180" t="s">
        <v>257</v>
      </c>
      <c r="R4977" s="180" t="s">
        <v>257</v>
      </c>
    </row>
    <row r="4978" spans="8:18" x14ac:dyDescent="0.2">
      <c r="H4978" s="180"/>
      <c r="P4978" s="180" t="s">
        <v>257</v>
      </c>
      <c r="R4978" s="180" t="s">
        <v>257</v>
      </c>
    </row>
    <row r="4979" spans="8:18" x14ac:dyDescent="0.2">
      <c r="H4979" s="180"/>
      <c r="P4979" s="180" t="s">
        <v>257</v>
      </c>
      <c r="R4979" s="180" t="s">
        <v>257</v>
      </c>
    </row>
    <row r="4980" spans="8:18" x14ac:dyDescent="0.2">
      <c r="H4980" s="180"/>
      <c r="P4980" s="180" t="s">
        <v>257</v>
      </c>
      <c r="R4980" s="180" t="s">
        <v>257</v>
      </c>
    </row>
    <row r="4981" spans="8:18" x14ac:dyDescent="0.2">
      <c r="H4981" s="180"/>
      <c r="P4981" s="180" t="s">
        <v>257</v>
      </c>
      <c r="R4981" s="180" t="s">
        <v>257</v>
      </c>
    </row>
    <row r="4982" spans="8:18" x14ac:dyDescent="0.2">
      <c r="H4982" s="180"/>
      <c r="P4982" s="180" t="s">
        <v>257</v>
      </c>
      <c r="R4982" s="180" t="s">
        <v>257</v>
      </c>
    </row>
    <row r="4983" spans="8:18" x14ac:dyDescent="0.2">
      <c r="H4983" s="180"/>
      <c r="P4983" s="180" t="s">
        <v>257</v>
      </c>
      <c r="R4983" s="180" t="s">
        <v>257</v>
      </c>
    </row>
    <row r="4984" spans="8:18" x14ac:dyDescent="0.2">
      <c r="H4984" s="180"/>
      <c r="P4984" s="180" t="s">
        <v>257</v>
      </c>
      <c r="R4984" s="180" t="s">
        <v>257</v>
      </c>
    </row>
    <row r="4985" spans="8:18" x14ac:dyDescent="0.2">
      <c r="H4985" s="180"/>
      <c r="P4985" s="180" t="s">
        <v>257</v>
      </c>
      <c r="R4985" s="180" t="s">
        <v>257</v>
      </c>
    </row>
    <row r="4986" spans="8:18" x14ac:dyDescent="0.2">
      <c r="H4986" s="180"/>
      <c r="P4986" s="180" t="s">
        <v>257</v>
      </c>
      <c r="R4986" s="180" t="s">
        <v>257</v>
      </c>
    </row>
    <row r="4987" spans="8:18" x14ac:dyDescent="0.2">
      <c r="H4987" s="180"/>
      <c r="P4987" s="180" t="s">
        <v>257</v>
      </c>
      <c r="R4987" s="180" t="s">
        <v>257</v>
      </c>
    </row>
    <row r="4988" spans="8:18" x14ac:dyDescent="0.2">
      <c r="H4988" s="180"/>
      <c r="P4988" s="180" t="s">
        <v>257</v>
      </c>
      <c r="R4988" s="180" t="s">
        <v>257</v>
      </c>
    </row>
    <row r="4989" spans="8:18" x14ac:dyDescent="0.2">
      <c r="H4989" s="180"/>
      <c r="P4989" s="180" t="s">
        <v>257</v>
      </c>
      <c r="R4989" s="180" t="s">
        <v>257</v>
      </c>
    </row>
    <row r="4990" spans="8:18" x14ac:dyDescent="0.2">
      <c r="H4990" s="180"/>
      <c r="P4990" s="180" t="s">
        <v>257</v>
      </c>
      <c r="R4990" s="180" t="s">
        <v>257</v>
      </c>
    </row>
    <row r="4991" spans="8:18" x14ac:dyDescent="0.2">
      <c r="H4991" s="180"/>
      <c r="P4991" s="180" t="s">
        <v>257</v>
      </c>
      <c r="R4991" s="180" t="s">
        <v>257</v>
      </c>
    </row>
    <row r="4992" spans="8:18" x14ac:dyDescent="0.2">
      <c r="H4992" s="180"/>
      <c r="P4992" s="180" t="s">
        <v>257</v>
      </c>
      <c r="R4992" s="180" t="s">
        <v>257</v>
      </c>
    </row>
    <row r="4993" spans="8:18" x14ac:dyDescent="0.2">
      <c r="H4993" s="180"/>
      <c r="P4993" s="180" t="s">
        <v>257</v>
      </c>
      <c r="R4993" s="180" t="s">
        <v>257</v>
      </c>
    </row>
    <row r="4994" spans="8:18" x14ac:dyDescent="0.2">
      <c r="H4994" s="180"/>
      <c r="P4994" s="180" t="s">
        <v>257</v>
      </c>
      <c r="R4994" s="180" t="s">
        <v>257</v>
      </c>
    </row>
    <row r="4995" spans="8:18" x14ac:dyDescent="0.2">
      <c r="H4995" s="180"/>
      <c r="P4995" s="180" t="s">
        <v>257</v>
      </c>
      <c r="R4995" s="180" t="s">
        <v>257</v>
      </c>
    </row>
    <row r="4996" spans="8:18" x14ac:dyDescent="0.2">
      <c r="H4996" s="180"/>
      <c r="P4996" s="180" t="s">
        <v>257</v>
      </c>
      <c r="R4996" s="180" t="s">
        <v>257</v>
      </c>
    </row>
    <row r="4997" spans="8:18" x14ac:dyDescent="0.2">
      <c r="H4997" s="180"/>
      <c r="P4997" s="180" t="s">
        <v>257</v>
      </c>
      <c r="R4997" s="180" t="s">
        <v>257</v>
      </c>
    </row>
    <row r="4998" spans="8:18" x14ac:dyDescent="0.2">
      <c r="H4998" s="180"/>
      <c r="P4998" s="180" t="s">
        <v>257</v>
      </c>
      <c r="R4998" s="180" t="s">
        <v>257</v>
      </c>
    </row>
    <row r="4999" spans="8:18" x14ac:dyDescent="0.2">
      <c r="H4999" s="180"/>
      <c r="P4999" s="180" t="s">
        <v>257</v>
      </c>
      <c r="R4999" s="180" t="s">
        <v>257</v>
      </c>
    </row>
    <row r="5000" spans="8:18" x14ac:dyDescent="0.2">
      <c r="H5000" s="180"/>
      <c r="P5000" s="180" t="s">
        <v>257</v>
      </c>
      <c r="R5000" s="180" t="s">
        <v>257</v>
      </c>
    </row>
    <row r="5001" spans="8:18" x14ac:dyDescent="0.2">
      <c r="H5001" s="180"/>
      <c r="P5001" s="180" t="s">
        <v>257</v>
      </c>
      <c r="R5001" s="180" t="s">
        <v>257</v>
      </c>
    </row>
    <row r="5002" spans="8:18" x14ac:dyDescent="0.2">
      <c r="H5002" s="180"/>
      <c r="P5002" s="180" t="s">
        <v>257</v>
      </c>
      <c r="R5002" s="180" t="s">
        <v>257</v>
      </c>
    </row>
    <row r="5003" spans="8:18" x14ac:dyDescent="0.2">
      <c r="H5003" s="180"/>
      <c r="P5003" s="180" t="s">
        <v>257</v>
      </c>
      <c r="R5003" s="180" t="s">
        <v>257</v>
      </c>
    </row>
    <row r="5004" spans="8:18" x14ac:dyDescent="0.2">
      <c r="H5004" s="180"/>
      <c r="P5004" s="180" t="s">
        <v>257</v>
      </c>
      <c r="R5004" s="180" t="s">
        <v>257</v>
      </c>
    </row>
    <row r="5005" spans="8:18" x14ac:dyDescent="0.2">
      <c r="H5005" s="180"/>
      <c r="P5005" s="180" t="s">
        <v>257</v>
      </c>
      <c r="R5005" s="180" t="s">
        <v>257</v>
      </c>
    </row>
    <row r="5006" spans="8:18" x14ac:dyDescent="0.2">
      <c r="H5006" s="180"/>
      <c r="P5006" s="180" t="s">
        <v>257</v>
      </c>
      <c r="R5006" s="180" t="s">
        <v>257</v>
      </c>
    </row>
    <row r="5007" spans="8:18" x14ac:dyDescent="0.2">
      <c r="H5007" s="180"/>
      <c r="P5007" s="180" t="s">
        <v>257</v>
      </c>
      <c r="R5007" s="180" t="s">
        <v>257</v>
      </c>
    </row>
    <row r="5008" spans="8:18" x14ac:dyDescent="0.2">
      <c r="H5008" s="180"/>
      <c r="P5008" s="180" t="s">
        <v>257</v>
      </c>
      <c r="R5008" s="180" t="s">
        <v>257</v>
      </c>
    </row>
    <row r="5009" spans="8:18" x14ac:dyDescent="0.2">
      <c r="H5009" s="180"/>
      <c r="P5009" s="180" t="s">
        <v>257</v>
      </c>
      <c r="R5009" s="180" t="s">
        <v>257</v>
      </c>
    </row>
    <row r="5010" spans="8:18" x14ac:dyDescent="0.2">
      <c r="H5010" s="180"/>
      <c r="P5010" s="180" t="s">
        <v>257</v>
      </c>
      <c r="R5010" s="180" t="s">
        <v>257</v>
      </c>
    </row>
    <row r="5011" spans="8:18" x14ac:dyDescent="0.2">
      <c r="H5011" s="180"/>
      <c r="P5011" s="180" t="s">
        <v>257</v>
      </c>
      <c r="R5011" s="180" t="s">
        <v>257</v>
      </c>
    </row>
    <row r="5012" spans="8:18" x14ac:dyDescent="0.2">
      <c r="H5012" s="180"/>
      <c r="P5012" s="180" t="s">
        <v>257</v>
      </c>
      <c r="R5012" s="180" t="s">
        <v>257</v>
      </c>
    </row>
    <row r="5013" spans="8:18" x14ac:dyDescent="0.2">
      <c r="H5013" s="180"/>
      <c r="P5013" s="180" t="s">
        <v>257</v>
      </c>
      <c r="R5013" s="180" t="s">
        <v>257</v>
      </c>
    </row>
    <row r="5014" spans="8:18" x14ac:dyDescent="0.2">
      <c r="H5014" s="180"/>
      <c r="P5014" s="180" t="s">
        <v>257</v>
      </c>
      <c r="R5014" s="180" t="s">
        <v>257</v>
      </c>
    </row>
    <row r="5015" spans="8:18" x14ac:dyDescent="0.2">
      <c r="H5015" s="180"/>
      <c r="P5015" s="180" t="s">
        <v>257</v>
      </c>
      <c r="R5015" s="180" t="s">
        <v>257</v>
      </c>
    </row>
    <row r="5016" spans="8:18" x14ac:dyDescent="0.2">
      <c r="H5016" s="180"/>
      <c r="P5016" s="180" t="s">
        <v>257</v>
      </c>
      <c r="R5016" s="180" t="s">
        <v>257</v>
      </c>
    </row>
    <row r="5017" spans="8:18" x14ac:dyDescent="0.2">
      <c r="H5017" s="180"/>
      <c r="P5017" s="180" t="s">
        <v>257</v>
      </c>
      <c r="R5017" s="180" t="s">
        <v>257</v>
      </c>
    </row>
    <row r="5018" spans="8:18" x14ac:dyDescent="0.2">
      <c r="H5018" s="180"/>
      <c r="P5018" s="180" t="s">
        <v>257</v>
      </c>
      <c r="R5018" s="180" t="s">
        <v>257</v>
      </c>
    </row>
    <row r="5019" spans="8:18" x14ac:dyDescent="0.2">
      <c r="H5019" s="180"/>
      <c r="P5019" s="180" t="s">
        <v>257</v>
      </c>
      <c r="R5019" s="180" t="s">
        <v>257</v>
      </c>
    </row>
    <row r="5020" spans="8:18" x14ac:dyDescent="0.2">
      <c r="H5020" s="180"/>
      <c r="P5020" s="180" t="s">
        <v>257</v>
      </c>
      <c r="R5020" s="180" t="s">
        <v>257</v>
      </c>
    </row>
    <row r="5021" spans="8:18" x14ac:dyDescent="0.2">
      <c r="H5021" s="180"/>
      <c r="P5021" s="180" t="s">
        <v>257</v>
      </c>
      <c r="R5021" s="180" t="s">
        <v>257</v>
      </c>
    </row>
    <row r="5022" spans="8:18" x14ac:dyDescent="0.2">
      <c r="H5022" s="180"/>
      <c r="P5022" s="180" t="s">
        <v>257</v>
      </c>
      <c r="R5022" s="180" t="s">
        <v>257</v>
      </c>
    </row>
    <row r="5023" spans="8:18" x14ac:dyDescent="0.2">
      <c r="H5023" s="180"/>
      <c r="P5023" s="180" t="s">
        <v>257</v>
      </c>
      <c r="R5023" s="180" t="s">
        <v>257</v>
      </c>
    </row>
    <row r="5024" spans="8:18" x14ac:dyDescent="0.2">
      <c r="H5024" s="180"/>
      <c r="P5024" s="180" t="s">
        <v>257</v>
      </c>
      <c r="R5024" s="180" t="s">
        <v>257</v>
      </c>
    </row>
    <row r="5025" spans="8:18" x14ac:dyDescent="0.2">
      <c r="H5025" s="180"/>
      <c r="P5025" s="180" t="s">
        <v>257</v>
      </c>
      <c r="R5025" s="180" t="s">
        <v>257</v>
      </c>
    </row>
    <row r="5026" spans="8:18" x14ac:dyDescent="0.2">
      <c r="H5026" s="180"/>
      <c r="P5026" s="180" t="s">
        <v>257</v>
      </c>
      <c r="R5026" s="180" t="s">
        <v>257</v>
      </c>
    </row>
    <row r="5027" spans="8:18" x14ac:dyDescent="0.2">
      <c r="H5027" s="180"/>
      <c r="P5027" s="180" t="s">
        <v>257</v>
      </c>
      <c r="R5027" s="180" t="s">
        <v>257</v>
      </c>
    </row>
    <row r="5028" spans="8:18" x14ac:dyDescent="0.2">
      <c r="H5028" s="180"/>
      <c r="P5028" s="180" t="s">
        <v>257</v>
      </c>
      <c r="R5028" s="180" t="s">
        <v>257</v>
      </c>
    </row>
    <row r="5029" spans="8:18" x14ac:dyDescent="0.2">
      <c r="H5029" s="180"/>
      <c r="P5029" s="180" t="s">
        <v>257</v>
      </c>
      <c r="R5029" s="180" t="s">
        <v>257</v>
      </c>
    </row>
    <row r="5030" spans="8:18" x14ac:dyDescent="0.2">
      <c r="H5030" s="180"/>
      <c r="P5030" s="180" t="s">
        <v>257</v>
      </c>
      <c r="R5030" s="180" t="s">
        <v>257</v>
      </c>
    </row>
    <row r="5031" spans="8:18" x14ac:dyDescent="0.2">
      <c r="H5031" s="180"/>
      <c r="P5031" s="180" t="s">
        <v>257</v>
      </c>
      <c r="R5031" s="180" t="s">
        <v>257</v>
      </c>
    </row>
    <row r="5032" spans="8:18" x14ac:dyDescent="0.2">
      <c r="H5032" s="180"/>
      <c r="P5032" s="180" t="s">
        <v>257</v>
      </c>
      <c r="R5032" s="180" t="s">
        <v>257</v>
      </c>
    </row>
    <row r="5033" spans="8:18" x14ac:dyDescent="0.2">
      <c r="H5033" s="180"/>
      <c r="P5033" s="180" t="s">
        <v>257</v>
      </c>
      <c r="R5033" s="180" t="s">
        <v>257</v>
      </c>
    </row>
    <row r="5034" spans="8:18" x14ac:dyDescent="0.2">
      <c r="H5034" s="180"/>
      <c r="P5034" s="180" t="s">
        <v>257</v>
      </c>
      <c r="R5034" s="180" t="s">
        <v>257</v>
      </c>
    </row>
    <row r="5035" spans="8:18" x14ac:dyDescent="0.2">
      <c r="H5035" s="180"/>
      <c r="P5035" s="180" t="s">
        <v>257</v>
      </c>
      <c r="R5035" s="180" t="s">
        <v>257</v>
      </c>
    </row>
    <row r="5036" spans="8:18" x14ac:dyDescent="0.2">
      <c r="H5036" s="180"/>
      <c r="P5036" s="180" t="s">
        <v>257</v>
      </c>
      <c r="R5036" s="180" t="s">
        <v>257</v>
      </c>
    </row>
    <row r="5037" spans="8:18" x14ac:dyDescent="0.2">
      <c r="H5037" s="180"/>
      <c r="P5037" s="180" t="s">
        <v>257</v>
      </c>
      <c r="R5037" s="180" t="s">
        <v>257</v>
      </c>
    </row>
    <row r="5038" spans="8:18" x14ac:dyDescent="0.2">
      <c r="H5038" s="180"/>
      <c r="P5038" s="180" t="s">
        <v>257</v>
      </c>
      <c r="R5038" s="180" t="s">
        <v>257</v>
      </c>
    </row>
    <row r="5039" spans="8:18" x14ac:dyDescent="0.2">
      <c r="H5039" s="180"/>
      <c r="P5039" s="180" t="s">
        <v>257</v>
      </c>
      <c r="R5039" s="180" t="s">
        <v>257</v>
      </c>
    </row>
    <row r="5040" spans="8:18" x14ac:dyDescent="0.2">
      <c r="H5040" s="180"/>
      <c r="P5040" s="180" t="s">
        <v>257</v>
      </c>
      <c r="R5040" s="180" t="s">
        <v>257</v>
      </c>
    </row>
    <row r="5041" spans="8:18" x14ac:dyDescent="0.2">
      <c r="H5041" s="180"/>
      <c r="P5041" s="180" t="s">
        <v>257</v>
      </c>
      <c r="R5041" s="180" t="s">
        <v>257</v>
      </c>
    </row>
    <row r="5042" spans="8:18" x14ac:dyDescent="0.2">
      <c r="H5042" s="180"/>
      <c r="P5042" s="180" t="s">
        <v>257</v>
      </c>
      <c r="R5042" s="180" t="s">
        <v>257</v>
      </c>
    </row>
    <row r="5043" spans="8:18" x14ac:dyDescent="0.2">
      <c r="H5043" s="180"/>
      <c r="P5043" s="180" t="s">
        <v>257</v>
      </c>
      <c r="R5043" s="180" t="s">
        <v>257</v>
      </c>
    </row>
    <row r="5044" spans="8:18" x14ac:dyDescent="0.2">
      <c r="H5044" s="180"/>
      <c r="P5044" s="180" t="s">
        <v>257</v>
      </c>
      <c r="R5044" s="180" t="s">
        <v>257</v>
      </c>
    </row>
    <row r="5045" spans="8:18" x14ac:dyDescent="0.2">
      <c r="H5045" s="180"/>
      <c r="P5045" s="180" t="s">
        <v>257</v>
      </c>
      <c r="R5045" s="180" t="s">
        <v>257</v>
      </c>
    </row>
    <row r="5046" spans="8:18" x14ac:dyDescent="0.2">
      <c r="H5046" s="180"/>
      <c r="P5046" s="180" t="s">
        <v>257</v>
      </c>
      <c r="R5046" s="180" t="s">
        <v>257</v>
      </c>
    </row>
    <row r="5047" spans="8:18" x14ac:dyDescent="0.2">
      <c r="H5047" s="180"/>
      <c r="P5047" s="180" t="s">
        <v>257</v>
      </c>
      <c r="R5047" s="180" t="s">
        <v>257</v>
      </c>
    </row>
    <row r="5048" spans="8:18" x14ac:dyDescent="0.2">
      <c r="H5048" s="180"/>
      <c r="P5048" s="180" t="s">
        <v>257</v>
      </c>
      <c r="R5048" s="180" t="s">
        <v>257</v>
      </c>
    </row>
    <row r="5049" spans="8:18" x14ac:dyDescent="0.2">
      <c r="H5049" s="180"/>
      <c r="P5049" s="180" t="s">
        <v>257</v>
      </c>
      <c r="R5049" s="180" t="s">
        <v>257</v>
      </c>
    </row>
    <row r="5050" spans="8:18" x14ac:dyDescent="0.2">
      <c r="H5050" s="180"/>
      <c r="P5050" s="180" t="s">
        <v>257</v>
      </c>
      <c r="R5050" s="180" t="s">
        <v>257</v>
      </c>
    </row>
    <row r="5051" spans="8:18" x14ac:dyDescent="0.2">
      <c r="H5051" s="180"/>
      <c r="P5051" s="180" t="s">
        <v>257</v>
      </c>
      <c r="R5051" s="180" t="s">
        <v>257</v>
      </c>
    </row>
    <row r="5052" spans="8:18" x14ac:dyDescent="0.2">
      <c r="H5052" s="180"/>
      <c r="P5052" s="180" t="s">
        <v>257</v>
      </c>
      <c r="R5052" s="180" t="s">
        <v>257</v>
      </c>
    </row>
    <row r="5053" spans="8:18" x14ac:dyDescent="0.2">
      <c r="H5053" s="180"/>
      <c r="P5053" s="180" t="s">
        <v>257</v>
      </c>
      <c r="R5053" s="180" t="s">
        <v>257</v>
      </c>
    </row>
    <row r="5054" spans="8:18" x14ac:dyDescent="0.2">
      <c r="H5054" s="180"/>
      <c r="P5054" s="180" t="s">
        <v>257</v>
      </c>
      <c r="R5054" s="180" t="s">
        <v>257</v>
      </c>
    </row>
    <row r="5055" spans="8:18" x14ac:dyDescent="0.2">
      <c r="H5055" s="180"/>
      <c r="P5055" s="180" t="s">
        <v>257</v>
      </c>
      <c r="R5055" s="180" t="s">
        <v>257</v>
      </c>
    </row>
    <row r="5056" spans="8:18" x14ac:dyDescent="0.2">
      <c r="H5056" s="180"/>
      <c r="P5056" s="180" t="s">
        <v>257</v>
      </c>
      <c r="R5056" s="180" t="s">
        <v>257</v>
      </c>
    </row>
    <row r="5057" spans="8:18" x14ac:dyDescent="0.2">
      <c r="H5057" s="180"/>
      <c r="P5057" s="180" t="s">
        <v>257</v>
      </c>
      <c r="R5057" s="180" t="s">
        <v>257</v>
      </c>
    </row>
    <row r="5058" spans="8:18" x14ac:dyDescent="0.2">
      <c r="H5058" s="180"/>
      <c r="P5058" s="180" t="s">
        <v>257</v>
      </c>
      <c r="R5058" s="180" t="s">
        <v>257</v>
      </c>
    </row>
    <row r="5059" spans="8:18" x14ac:dyDescent="0.2">
      <c r="H5059" s="180"/>
      <c r="P5059" s="180" t="s">
        <v>257</v>
      </c>
      <c r="R5059" s="180" t="s">
        <v>257</v>
      </c>
    </row>
    <row r="5060" spans="8:18" x14ac:dyDescent="0.2">
      <c r="H5060" s="180"/>
      <c r="P5060" s="180" t="s">
        <v>257</v>
      </c>
      <c r="R5060" s="180" t="s">
        <v>257</v>
      </c>
    </row>
    <row r="5061" spans="8:18" x14ac:dyDescent="0.2">
      <c r="H5061" s="180"/>
      <c r="P5061" s="180" t="s">
        <v>257</v>
      </c>
      <c r="R5061" s="180" t="s">
        <v>257</v>
      </c>
    </row>
    <row r="5062" spans="8:18" x14ac:dyDescent="0.2">
      <c r="H5062" s="180"/>
      <c r="P5062" s="180" t="s">
        <v>257</v>
      </c>
      <c r="R5062" s="180" t="s">
        <v>257</v>
      </c>
    </row>
    <row r="5063" spans="8:18" x14ac:dyDescent="0.2">
      <c r="H5063" s="180"/>
      <c r="P5063" s="180" t="s">
        <v>257</v>
      </c>
      <c r="R5063" s="180" t="s">
        <v>257</v>
      </c>
    </row>
    <row r="5064" spans="8:18" x14ac:dyDescent="0.2">
      <c r="H5064" s="180"/>
      <c r="P5064" s="180" t="s">
        <v>257</v>
      </c>
      <c r="R5064" s="180" t="s">
        <v>257</v>
      </c>
    </row>
    <row r="5065" spans="8:18" x14ac:dyDescent="0.2">
      <c r="H5065" s="180"/>
      <c r="P5065" s="180" t="s">
        <v>257</v>
      </c>
      <c r="R5065" s="180" t="s">
        <v>257</v>
      </c>
    </row>
    <row r="5066" spans="8:18" x14ac:dyDescent="0.2">
      <c r="H5066" s="180"/>
      <c r="P5066" s="180" t="s">
        <v>257</v>
      </c>
      <c r="R5066" s="180" t="s">
        <v>257</v>
      </c>
    </row>
    <row r="5067" spans="8:18" x14ac:dyDescent="0.2">
      <c r="H5067" s="180"/>
      <c r="P5067" s="180" t="s">
        <v>257</v>
      </c>
      <c r="R5067" s="180" t="s">
        <v>257</v>
      </c>
    </row>
    <row r="5068" spans="8:18" x14ac:dyDescent="0.2">
      <c r="H5068" s="180"/>
      <c r="P5068" s="180" t="s">
        <v>257</v>
      </c>
      <c r="R5068" s="180" t="s">
        <v>257</v>
      </c>
    </row>
    <row r="5069" spans="8:18" x14ac:dyDescent="0.2">
      <c r="H5069" s="180"/>
      <c r="P5069" s="180" t="s">
        <v>257</v>
      </c>
      <c r="R5069" s="180" t="s">
        <v>257</v>
      </c>
    </row>
    <row r="5070" spans="8:18" x14ac:dyDescent="0.2">
      <c r="H5070" s="180"/>
      <c r="P5070" s="180" t="s">
        <v>257</v>
      </c>
      <c r="R5070" s="180" t="s">
        <v>257</v>
      </c>
    </row>
    <row r="5071" spans="8:18" x14ac:dyDescent="0.2">
      <c r="H5071" s="180"/>
      <c r="P5071" s="180" t="s">
        <v>257</v>
      </c>
      <c r="R5071" s="180" t="s">
        <v>257</v>
      </c>
    </row>
    <row r="5072" spans="8:18" x14ac:dyDescent="0.2">
      <c r="H5072" s="180"/>
      <c r="P5072" s="180" t="s">
        <v>257</v>
      </c>
      <c r="R5072" s="180" t="s">
        <v>257</v>
      </c>
    </row>
    <row r="5073" spans="8:18" x14ac:dyDescent="0.2">
      <c r="H5073" s="180"/>
      <c r="P5073" s="180" t="s">
        <v>257</v>
      </c>
      <c r="R5073" s="180" t="s">
        <v>257</v>
      </c>
    </row>
    <row r="5074" spans="8:18" x14ac:dyDescent="0.2">
      <c r="H5074" s="180"/>
      <c r="P5074" s="180" t="s">
        <v>257</v>
      </c>
      <c r="R5074" s="180" t="s">
        <v>257</v>
      </c>
    </row>
    <row r="5075" spans="8:18" x14ac:dyDescent="0.2">
      <c r="H5075" s="180"/>
      <c r="P5075" s="180" t="s">
        <v>257</v>
      </c>
      <c r="R5075" s="180" t="s">
        <v>257</v>
      </c>
    </row>
    <row r="5076" spans="8:18" x14ac:dyDescent="0.2">
      <c r="H5076" s="180"/>
      <c r="P5076" s="180" t="s">
        <v>257</v>
      </c>
      <c r="R5076" s="180" t="s">
        <v>257</v>
      </c>
    </row>
    <row r="5077" spans="8:18" x14ac:dyDescent="0.2">
      <c r="H5077" s="180"/>
      <c r="P5077" s="180" t="s">
        <v>257</v>
      </c>
      <c r="R5077" s="180" t="s">
        <v>257</v>
      </c>
    </row>
    <row r="5078" spans="8:18" x14ac:dyDescent="0.2">
      <c r="H5078" s="180"/>
      <c r="P5078" s="180" t="s">
        <v>257</v>
      </c>
      <c r="R5078" s="180" t="s">
        <v>257</v>
      </c>
    </row>
    <row r="5079" spans="8:18" x14ac:dyDescent="0.2">
      <c r="H5079" s="180"/>
      <c r="P5079" s="180" t="s">
        <v>257</v>
      </c>
      <c r="R5079" s="180" t="s">
        <v>257</v>
      </c>
    </row>
    <row r="5080" spans="8:18" x14ac:dyDescent="0.2">
      <c r="H5080" s="180"/>
      <c r="P5080" s="180" t="s">
        <v>257</v>
      </c>
      <c r="R5080" s="180" t="s">
        <v>257</v>
      </c>
    </row>
    <row r="5081" spans="8:18" x14ac:dyDescent="0.2">
      <c r="H5081" s="180"/>
      <c r="P5081" s="180" t="s">
        <v>257</v>
      </c>
      <c r="R5081" s="180" t="s">
        <v>257</v>
      </c>
    </row>
    <row r="5082" spans="8:18" x14ac:dyDescent="0.2">
      <c r="H5082" s="180"/>
      <c r="P5082" s="180" t="s">
        <v>257</v>
      </c>
      <c r="R5082" s="180" t="s">
        <v>257</v>
      </c>
    </row>
    <row r="5083" spans="8:18" x14ac:dyDescent="0.2">
      <c r="H5083" s="180"/>
      <c r="P5083" s="180" t="s">
        <v>257</v>
      </c>
      <c r="R5083" s="180" t="s">
        <v>257</v>
      </c>
    </row>
    <row r="5084" spans="8:18" x14ac:dyDescent="0.2">
      <c r="H5084" s="180"/>
      <c r="P5084" s="180" t="s">
        <v>257</v>
      </c>
      <c r="R5084" s="180" t="s">
        <v>257</v>
      </c>
    </row>
    <row r="5085" spans="8:18" x14ac:dyDescent="0.2">
      <c r="H5085" s="180"/>
      <c r="P5085" s="180" t="s">
        <v>257</v>
      </c>
      <c r="R5085" s="180" t="s">
        <v>257</v>
      </c>
    </row>
    <row r="5086" spans="8:18" x14ac:dyDescent="0.2">
      <c r="H5086" s="180"/>
      <c r="P5086" s="180" t="s">
        <v>257</v>
      </c>
      <c r="R5086" s="180" t="s">
        <v>257</v>
      </c>
    </row>
    <row r="5087" spans="8:18" x14ac:dyDescent="0.2">
      <c r="H5087" s="180"/>
      <c r="P5087" s="180" t="s">
        <v>257</v>
      </c>
      <c r="R5087" s="180" t="s">
        <v>257</v>
      </c>
    </row>
    <row r="5088" spans="8:18" x14ac:dyDescent="0.2">
      <c r="H5088" s="180"/>
      <c r="P5088" s="180" t="s">
        <v>257</v>
      </c>
      <c r="R5088" s="180" t="s">
        <v>257</v>
      </c>
    </row>
    <row r="5089" spans="8:18" x14ac:dyDescent="0.2">
      <c r="H5089" s="180"/>
      <c r="P5089" s="180" t="s">
        <v>257</v>
      </c>
      <c r="R5089" s="180" t="s">
        <v>257</v>
      </c>
    </row>
    <row r="5090" spans="8:18" x14ac:dyDescent="0.2">
      <c r="H5090" s="180"/>
      <c r="P5090" s="180" t="s">
        <v>257</v>
      </c>
      <c r="R5090" s="180" t="s">
        <v>257</v>
      </c>
    </row>
    <row r="5091" spans="8:18" x14ac:dyDescent="0.2">
      <c r="H5091" s="180"/>
      <c r="P5091" s="180" t="s">
        <v>257</v>
      </c>
      <c r="R5091" s="180" t="s">
        <v>257</v>
      </c>
    </row>
    <row r="5092" spans="8:18" x14ac:dyDescent="0.2">
      <c r="H5092" s="180"/>
      <c r="P5092" s="180" t="s">
        <v>257</v>
      </c>
      <c r="R5092" s="180" t="s">
        <v>257</v>
      </c>
    </row>
    <row r="5093" spans="8:18" x14ac:dyDescent="0.2">
      <c r="H5093" s="180"/>
      <c r="P5093" s="180" t="s">
        <v>257</v>
      </c>
      <c r="R5093" s="180" t="s">
        <v>257</v>
      </c>
    </row>
    <row r="5094" spans="8:18" x14ac:dyDescent="0.2">
      <c r="H5094" s="180"/>
      <c r="P5094" s="180" t="s">
        <v>257</v>
      </c>
      <c r="R5094" s="180" t="s">
        <v>257</v>
      </c>
    </row>
    <row r="5095" spans="8:18" x14ac:dyDescent="0.2">
      <c r="H5095" s="180"/>
      <c r="P5095" s="180" t="s">
        <v>257</v>
      </c>
      <c r="R5095" s="180" t="s">
        <v>257</v>
      </c>
    </row>
    <row r="5096" spans="8:18" x14ac:dyDescent="0.2">
      <c r="H5096" s="180"/>
      <c r="P5096" s="180" t="s">
        <v>257</v>
      </c>
      <c r="R5096" s="180" t="s">
        <v>257</v>
      </c>
    </row>
    <row r="5097" spans="8:18" x14ac:dyDescent="0.2">
      <c r="H5097" s="180"/>
      <c r="P5097" s="180" t="s">
        <v>257</v>
      </c>
      <c r="R5097" s="180" t="s">
        <v>257</v>
      </c>
    </row>
    <row r="5098" spans="8:18" x14ac:dyDescent="0.2">
      <c r="H5098" s="180"/>
      <c r="P5098" s="180" t="s">
        <v>257</v>
      </c>
      <c r="R5098" s="180" t="s">
        <v>257</v>
      </c>
    </row>
    <row r="5099" spans="8:18" x14ac:dyDescent="0.2">
      <c r="H5099" s="180"/>
      <c r="P5099" s="180" t="s">
        <v>257</v>
      </c>
      <c r="R5099" s="180" t="s">
        <v>257</v>
      </c>
    </row>
    <row r="5100" spans="8:18" x14ac:dyDescent="0.2">
      <c r="H5100" s="180"/>
      <c r="P5100" s="180" t="s">
        <v>257</v>
      </c>
      <c r="R5100" s="180" t="s">
        <v>257</v>
      </c>
    </row>
    <row r="5101" spans="8:18" x14ac:dyDescent="0.2">
      <c r="H5101" s="180"/>
      <c r="P5101" s="180" t="s">
        <v>257</v>
      </c>
      <c r="R5101" s="180" t="s">
        <v>257</v>
      </c>
    </row>
    <row r="5102" spans="8:18" x14ac:dyDescent="0.2">
      <c r="H5102" s="180"/>
      <c r="P5102" s="180" t="s">
        <v>257</v>
      </c>
      <c r="R5102" s="180" t="s">
        <v>257</v>
      </c>
    </row>
    <row r="5103" spans="8:18" x14ac:dyDescent="0.2">
      <c r="H5103" s="180"/>
      <c r="P5103" s="180" t="s">
        <v>257</v>
      </c>
      <c r="R5103" s="180" t="s">
        <v>257</v>
      </c>
    </row>
    <row r="5104" spans="8:18" x14ac:dyDescent="0.2">
      <c r="H5104" s="180"/>
      <c r="P5104" s="180" t="s">
        <v>257</v>
      </c>
      <c r="R5104" s="180" t="s">
        <v>257</v>
      </c>
    </row>
    <row r="5105" spans="8:18" x14ac:dyDescent="0.2">
      <c r="H5105" s="180"/>
      <c r="P5105" s="180" t="s">
        <v>257</v>
      </c>
      <c r="R5105" s="180" t="s">
        <v>257</v>
      </c>
    </row>
    <row r="5106" spans="8:18" x14ac:dyDescent="0.2">
      <c r="H5106" s="180"/>
      <c r="P5106" s="180" t="s">
        <v>257</v>
      </c>
      <c r="R5106" s="180" t="s">
        <v>257</v>
      </c>
    </row>
    <row r="5107" spans="8:18" x14ac:dyDescent="0.2">
      <c r="H5107" s="180"/>
      <c r="P5107" s="180" t="s">
        <v>257</v>
      </c>
      <c r="R5107" s="180" t="s">
        <v>257</v>
      </c>
    </row>
    <row r="5108" spans="8:18" x14ac:dyDescent="0.2">
      <c r="H5108" s="180"/>
      <c r="P5108" s="180" t="s">
        <v>257</v>
      </c>
      <c r="R5108" s="180" t="s">
        <v>257</v>
      </c>
    </row>
    <row r="5109" spans="8:18" x14ac:dyDescent="0.2">
      <c r="H5109" s="180"/>
      <c r="P5109" s="180" t="s">
        <v>257</v>
      </c>
      <c r="R5109" s="180" t="s">
        <v>257</v>
      </c>
    </row>
    <row r="5110" spans="8:18" x14ac:dyDescent="0.2">
      <c r="H5110" s="180"/>
      <c r="P5110" s="180" t="s">
        <v>257</v>
      </c>
      <c r="R5110" s="180" t="s">
        <v>257</v>
      </c>
    </row>
    <row r="5111" spans="8:18" x14ac:dyDescent="0.2">
      <c r="H5111" s="180"/>
      <c r="P5111" s="180" t="s">
        <v>257</v>
      </c>
      <c r="R5111" s="180" t="s">
        <v>257</v>
      </c>
    </row>
    <row r="5112" spans="8:18" x14ac:dyDescent="0.2">
      <c r="H5112" s="180"/>
      <c r="P5112" s="180" t="s">
        <v>257</v>
      </c>
      <c r="R5112" s="180" t="s">
        <v>257</v>
      </c>
    </row>
    <row r="5113" spans="8:18" x14ac:dyDescent="0.2">
      <c r="H5113" s="180"/>
      <c r="P5113" s="180" t="s">
        <v>257</v>
      </c>
      <c r="R5113" s="180" t="s">
        <v>257</v>
      </c>
    </row>
    <row r="5114" spans="8:18" x14ac:dyDescent="0.2">
      <c r="H5114" s="180"/>
      <c r="P5114" s="180" t="s">
        <v>257</v>
      </c>
      <c r="R5114" s="180" t="s">
        <v>257</v>
      </c>
    </row>
    <row r="5115" spans="8:18" x14ac:dyDescent="0.2">
      <c r="H5115" s="180"/>
      <c r="P5115" s="180" t="s">
        <v>257</v>
      </c>
      <c r="R5115" s="180" t="s">
        <v>257</v>
      </c>
    </row>
    <row r="5116" spans="8:18" x14ac:dyDescent="0.2">
      <c r="H5116" s="180"/>
      <c r="P5116" s="180" t="s">
        <v>257</v>
      </c>
      <c r="R5116" s="180" t="s">
        <v>257</v>
      </c>
    </row>
    <row r="5117" spans="8:18" x14ac:dyDescent="0.2">
      <c r="H5117" s="180"/>
      <c r="P5117" s="180" t="s">
        <v>257</v>
      </c>
      <c r="R5117" s="180" t="s">
        <v>257</v>
      </c>
    </row>
    <row r="5118" spans="8:18" x14ac:dyDescent="0.2">
      <c r="H5118" s="180"/>
      <c r="P5118" s="180" t="s">
        <v>257</v>
      </c>
      <c r="R5118" s="180" t="s">
        <v>257</v>
      </c>
    </row>
    <row r="5119" spans="8:18" x14ac:dyDescent="0.2">
      <c r="H5119" s="180"/>
      <c r="P5119" s="180" t="s">
        <v>257</v>
      </c>
      <c r="R5119" s="180" t="s">
        <v>257</v>
      </c>
    </row>
    <row r="5120" spans="8:18" x14ac:dyDescent="0.2">
      <c r="H5120" s="180"/>
      <c r="P5120" s="180" t="s">
        <v>257</v>
      </c>
      <c r="R5120" s="180" t="s">
        <v>257</v>
      </c>
    </row>
    <row r="5121" spans="8:18" x14ac:dyDescent="0.2">
      <c r="H5121" s="180"/>
      <c r="P5121" s="180" t="s">
        <v>257</v>
      </c>
      <c r="R5121" s="180" t="s">
        <v>257</v>
      </c>
    </row>
    <row r="5122" spans="8:18" x14ac:dyDescent="0.2">
      <c r="H5122" s="180"/>
      <c r="P5122" s="180" t="s">
        <v>257</v>
      </c>
      <c r="R5122" s="180" t="s">
        <v>257</v>
      </c>
    </row>
    <row r="5123" spans="8:18" x14ac:dyDescent="0.2">
      <c r="H5123" s="180"/>
      <c r="P5123" s="180" t="s">
        <v>257</v>
      </c>
      <c r="R5123" s="180" t="s">
        <v>257</v>
      </c>
    </row>
    <row r="5124" spans="8:18" x14ac:dyDescent="0.2">
      <c r="H5124" s="180"/>
      <c r="P5124" s="180" t="s">
        <v>257</v>
      </c>
      <c r="R5124" s="180" t="s">
        <v>257</v>
      </c>
    </row>
    <row r="5125" spans="8:18" x14ac:dyDescent="0.2">
      <c r="H5125" s="180"/>
      <c r="P5125" s="180" t="s">
        <v>257</v>
      </c>
      <c r="R5125" s="180" t="s">
        <v>257</v>
      </c>
    </row>
    <row r="5126" spans="8:18" x14ac:dyDescent="0.2">
      <c r="H5126" s="180"/>
      <c r="P5126" s="180" t="s">
        <v>257</v>
      </c>
      <c r="R5126" s="180" t="s">
        <v>257</v>
      </c>
    </row>
    <row r="5127" spans="8:18" x14ac:dyDescent="0.2">
      <c r="H5127" s="180"/>
      <c r="P5127" s="180" t="s">
        <v>257</v>
      </c>
      <c r="R5127" s="180" t="s">
        <v>257</v>
      </c>
    </row>
    <row r="5128" spans="8:18" x14ac:dyDescent="0.2">
      <c r="H5128" s="180"/>
      <c r="P5128" s="180" t="s">
        <v>257</v>
      </c>
      <c r="R5128" s="180" t="s">
        <v>257</v>
      </c>
    </row>
    <row r="5129" spans="8:18" x14ac:dyDescent="0.2">
      <c r="H5129" s="180"/>
      <c r="P5129" s="180" t="s">
        <v>257</v>
      </c>
      <c r="R5129" s="180" t="s">
        <v>257</v>
      </c>
    </row>
    <row r="5130" spans="8:18" x14ac:dyDescent="0.2">
      <c r="H5130" s="180"/>
      <c r="P5130" s="180" t="s">
        <v>257</v>
      </c>
      <c r="R5130" s="180" t="s">
        <v>257</v>
      </c>
    </row>
    <row r="5131" spans="8:18" x14ac:dyDescent="0.2">
      <c r="H5131" s="180"/>
      <c r="P5131" s="180" t="s">
        <v>257</v>
      </c>
      <c r="R5131" s="180" t="s">
        <v>257</v>
      </c>
    </row>
    <row r="5132" spans="8:18" x14ac:dyDescent="0.2">
      <c r="H5132" s="180"/>
      <c r="P5132" s="180" t="s">
        <v>257</v>
      </c>
      <c r="R5132" s="180" t="s">
        <v>257</v>
      </c>
    </row>
    <row r="5133" spans="8:18" x14ac:dyDescent="0.2">
      <c r="H5133" s="180"/>
      <c r="P5133" s="180" t="s">
        <v>257</v>
      </c>
      <c r="R5133" s="180" t="s">
        <v>257</v>
      </c>
    </row>
    <row r="5134" spans="8:18" x14ac:dyDescent="0.2">
      <c r="H5134" s="180"/>
      <c r="P5134" s="180" t="s">
        <v>257</v>
      </c>
      <c r="R5134" s="180" t="s">
        <v>257</v>
      </c>
    </row>
    <row r="5135" spans="8:18" x14ac:dyDescent="0.2">
      <c r="H5135" s="180"/>
      <c r="P5135" s="180" t="s">
        <v>257</v>
      </c>
      <c r="R5135" s="180" t="s">
        <v>257</v>
      </c>
    </row>
    <row r="5136" spans="8:18" x14ac:dyDescent="0.2">
      <c r="H5136" s="180"/>
      <c r="P5136" s="180" t="s">
        <v>257</v>
      </c>
      <c r="R5136" s="180" t="s">
        <v>257</v>
      </c>
    </row>
    <row r="5137" spans="8:18" x14ac:dyDescent="0.2">
      <c r="H5137" s="180"/>
      <c r="P5137" s="180" t="s">
        <v>257</v>
      </c>
      <c r="R5137" s="180" t="s">
        <v>257</v>
      </c>
    </row>
    <row r="5138" spans="8:18" x14ac:dyDescent="0.2">
      <c r="H5138" s="180"/>
      <c r="P5138" s="180" t="s">
        <v>257</v>
      </c>
      <c r="R5138" s="180" t="s">
        <v>257</v>
      </c>
    </row>
    <row r="5139" spans="8:18" x14ac:dyDescent="0.2">
      <c r="H5139" s="180"/>
      <c r="P5139" s="180" t="s">
        <v>257</v>
      </c>
      <c r="R5139" s="180" t="s">
        <v>257</v>
      </c>
    </row>
    <row r="5140" spans="8:18" x14ac:dyDescent="0.2">
      <c r="H5140" s="180"/>
      <c r="P5140" s="180" t="s">
        <v>257</v>
      </c>
      <c r="R5140" s="180" t="s">
        <v>257</v>
      </c>
    </row>
    <row r="5141" spans="8:18" x14ac:dyDescent="0.2">
      <c r="H5141" s="180"/>
      <c r="P5141" s="180" t="s">
        <v>257</v>
      </c>
      <c r="R5141" s="180" t="s">
        <v>257</v>
      </c>
    </row>
    <row r="5142" spans="8:18" x14ac:dyDescent="0.2">
      <c r="H5142" s="180"/>
      <c r="P5142" s="180" t="s">
        <v>257</v>
      </c>
      <c r="R5142" s="180" t="s">
        <v>257</v>
      </c>
    </row>
    <row r="5143" spans="8:18" x14ac:dyDescent="0.2">
      <c r="H5143" s="180"/>
      <c r="P5143" s="180" t="s">
        <v>257</v>
      </c>
      <c r="R5143" s="180" t="s">
        <v>257</v>
      </c>
    </row>
    <row r="5144" spans="8:18" x14ac:dyDescent="0.2">
      <c r="H5144" s="180"/>
      <c r="P5144" s="180" t="s">
        <v>257</v>
      </c>
      <c r="R5144" s="180" t="s">
        <v>257</v>
      </c>
    </row>
    <row r="5145" spans="8:18" x14ac:dyDescent="0.2">
      <c r="H5145" s="180"/>
      <c r="P5145" s="180" t="s">
        <v>257</v>
      </c>
      <c r="R5145" s="180" t="s">
        <v>257</v>
      </c>
    </row>
    <row r="5146" spans="8:18" x14ac:dyDescent="0.2">
      <c r="H5146" s="180"/>
      <c r="P5146" s="180" t="s">
        <v>257</v>
      </c>
      <c r="R5146" s="180" t="s">
        <v>257</v>
      </c>
    </row>
    <row r="5147" spans="8:18" x14ac:dyDescent="0.2">
      <c r="H5147" s="180"/>
      <c r="P5147" s="180" t="s">
        <v>257</v>
      </c>
      <c r="R5147" s="180" t="s">
        <v>257</v>
      </c>
    </row>
    <row r="5148" spans="8:18" x14ac:dyDescent="0.2">
      <c r="H5148" s="180"/>
      <c r="P5148" s="180" t="s">
        <v>257</v>
      </c>
      <c r="R5148" s="180" t="s">
        <v>257</v>
      </c>
    </row>
    <row r="5149" spans="8:18" x14ac:dyDescent="0.2">
      <c r="H5149" s="180"/>
      <c r="P5149" s="180" t="s">
        <v>257</v>
      </c>
      <c r="R5149" s="180" t="s">
        <v>257</v>
      </c>
    </row>
    <row r="5150" spans="8:18" x14ac:dyDescent="0.2">
      <c r="H5150" s="180"/>
      <c r="P5150" s="180" t="s">
        <v>257</v>
      </c>
      <c r="R5150" s="180" t="s">
        <v>257</v>
      </c>
    </row>
    <row r="5151" spans="8:18" x14ac:dyDescent="0.2">
      <c r="H5151" s="180"/>
      <c r="P5151" s="180" t="s">
        <v>257</v>
      </c>
      <c r="R5151" s="180" t="s">
        <v>257</v>
      </c>
    </row>
    <row r="5152" spans="8:18" x14ac:dyDescent="0.2">
      <c r="H5152" s="180"/>
      <c r="P5152" s="180" t="s">
        <v>257</v>
      </c>
      <c r="R5152" s="180" t="s">
        <v>257</v>
      </c>
    </row>
    <row r="5153" spans="8:18" x14ac:dyDescent="0.2">
      <c r="H5153" s="180"/>
      <c r="P5153" s="180" t="s">
        <v>257</v>
      </c>
      <c r="R5153" s="180" t="s">
        <v>257</v>
      </c>
    </row>
    <row r="5154" spans="8:18" x14ac:dyDescent="0.2">
      <c r="H5154" s="180"/>
      <c r="P5154" s="180" t="s">
        <v>257</v>
      </c>
      <c r="R5154" s="180" t="s">
        <v>257</v>
      </c>
    </row>
    <row r="5155" spans="8:18" x14ac:dyDescent="0.2">
      <c r="H5155" s="180"/>
      <c r="P5155" s="180" t="s">
        <v>257</v>
      </c>
      <c r="R5155" s="180" t="s">
        <v>257</v>
      </c>
    </row>
    <row r="5156" spans="8:18" x14ac:dyDescent="0.2">
      <c r="H5156" s="180"/>
      <c r="P5156" s="180" t="s">
        <v>257</v>
      </c>
      <c r="R5156" s="180" t="s">
        <v>257</v>
      </c>
    </row>
    <row r="5157" spans="8:18" x14ac:dyDescent="0.2">
      <c r="H5157" s="180"/>
      <c r="P5157" s="180" t="s">
        <v>257</v>
      </c>
      <c r="R5157" s="180" t="s">
        <v>257</v>
      </c>
    </row>
    <row r="5158" spans="8:18" x14ac:dyDescent="0.2">
      <c r="H5158" s="180"/>
      <c r="P5158" s="180" t="s">
        <v>257</v>
      </c>
      <c r="R5158" s="180" t="s">
        <v>257</v>
      </c>
    </row>
    <row r="5159" spans="8:18" x14ac:dyDescent="0.2">
      <c r="H5159" s="180"/>
      <c r="P5159" s="180" t="s">
        <v>257</v>
      </c>
      <c r="R5159" s="180" t="s">
        <v>257</v>
      </c>
    </row>
    <row r="5160" spans="8:18" x14ac:dyDescent="0.2">
      <c r="H5160" s="180"/>
      <c r="P5160" s="180" t="s">
        <v>257</v>
      </c>
      <c r="R5160" s="180" t="s">
        <v>257</v>
      </c>
    </row>
    <row r="5161" spans="8:18" x14ac:dyDescent="0.2">
      <c r="H5161" s="180"/>
      <c r="P5161" s="180" t="s">
        <v>257</v>
      </c>
      <c r="R5161" s="180" t="s">
        <v>257</v>
      </c>
    </row>
    <row r="5162" spans="8:18" x14ac:dyDescent="0.2">
      <c r="H5162" s="180"/>
      <c r="P5162" s="180" t="s">
        <v>257</v>
      </c>
      <c r="R5162" s="180" t="s">
        <v>257</v>
      </c>
    </row>
    <row r="5163" spans="8:18" x14ac:dyDescent="0.2">
      <c r="H5163" s="180"/>
      <c r="P5163" s="180" t="s">
        <v>257</v>
      </c>
      <c r="R5163" s="180" t="s">
        <v>257</v>
      </c>
    </row>
    <row r="5164" spans="8:18" x14ac:dyDescent="0.2">
      <c r="H5164" s="180"/>
      <c r="P5164" s="180" t="s">
        <v>257</v>
      </c>
      <c r="R5164" s="180" t="s">
        <v>257</v>
      </c>
    </row>
    <row r="5165" spans="8:18" x14ac:dyDescent="0.2">
      <c r="H5165" s="180"/>
      <c r="P5165" s="180" t="s">
        <v>257</v>
      </c>
      <c r="R5165" s="180" t="s">
        <v>257</v>
      </c>
    </row>
    <row r="5166" spans="8:18" x14ac:dyDescent="0.2">
      <c r="H5166" s="180"/>
      <c r="P5166" s="180" t="s">
        <v>257</v>
      </c>
      <c r="R5166" s="180" t="s">
        <v>257</v>
      </c>
    </row>
    <row r="5167" spans="8:18" x14ac:dyDescent="0.2">
      <c r="H5167" s="180"/>
      <c r="P5167" s="180" t="s">
        <v>257</v>
      </c>
      <c r="R5167" s="180" t="s">
        <v>257</v>
      </c>
    </row>
    <row r="5168" spans="8:18" x14ac:dyDescent="0.2">
      <c r="H5168" s="180"/>
      <c r="P5168" s="180" t="s">
        <v>257</v>
      </c>
      <c r="R5168" s="180" t="s">
        <v>257</v>
      </c>
    </row>
    <row r="5169" spans="8:18" x14ac:dyDescent="0.2">
      <c r="H5169" s="180"/>
      <c r="P5169" s="180" t="s">
        <v>257</v>
      </c>
      <c r="R5169" s="180" t="s">
        <v>257</v>
      </c>
    </row>
    <row r="5170" spans="8:18" x14ac:dyDescent="0.2">
      <c r="H5170" s="180"/>
      <c r="P5170" s="180" t="s">
        <v>257</v>
      </c>
      <c r="R5170" s="180" t="s">
        <v>257</v>
      </c>
    </row>
    <row r="5171" spans="8:18" x14ac:dyDescent="0.2">
      <c r="H5171" s="180"/>
      <c r="P5171" s="180" t="s">
        <v>257</v>
      </c>
      <c r="R5171" s="180" t="s">
        <v>257</v>
      </c>
    </row>
    <row r="5172" spans="8:18" x14ac:dyDescent="0.2">
      <c r="H5172" s="180"/>
      <c r="P5172" s="180" t="s">
        <v>257</v>
      </c>
      <c r="R5172" s="180" t="s">
        <v>257</v>
      </c>
    </row>
    <row r="5173" spans="8:18" x14ac:dyDescent="0.2">
      <c r="H5173" s="180"/>
      <c r="P5173" s="180" t="s">
        <v>257</v>
      </c>
      <c r="R5173" s="180" t="s">
        <v>257</v>
      </c>
    </row>
    <row r="5174" spans="8:18" x14ac:dyDescent="0.2">
      <c r="H5174" s="180"/>
      <c r="P5174" s="180" t="s">
        <v>257</v>
      </c>
      <c r="R5174" s="180" t="s">
        <v>257</v>
      </c>
    </row>
    <row r="5175" spans="8:18" x14ac:dyDescent="0.2">
      <c r="H5175" s="180"/>
      <c r="P5175" s="180" t="s">
        <v>257</v>
      </c>
      <c r="R5175" s="180" t="s">
        <v>257</v>
      </c>
    </row>
    <row r="5176" spans="8:18" x14ac:dyDescent="0.2">
      <c r="H5176" s="180"/>
      <c r="P5176" s="180" t="s">
        <v>257</v>
      </c>
      <c r="R5176" s="180" t="s">
        <v>257</v>
      </c>
    </row>
    <row r="5177" spans="8:18" x14ac:dyDescent="0.2">
      <c r="H5177" s="180"/>
      <c r="P5177" s="180" t="s">
        <v>257</v>
      </c>
      <c r="R5177" s="180" t="s">
        <v>257</v>
      </c>
    </row>
    <row r="5178" spans="8:18" x14ac:dyDescent="0.2">
      <c r="H5178" s="180"/>
      <c r="P5178" s="180" t="s">
        <v>257</v>
      </c>
      <c r="R5178" s="180" t="s">
        <v>257</v>
      </c>
    </row>
    <row r="5179" spans="8:18" x14ac:dyDescent="0.2">
      <c r="H5179" s="180"/>
      <c r="P5179" s="180" t="s">
        <v>257</v>
      </c>
      <c r="R5179" s="180" t="s">
        <v>257</v>
      </c>
    </row>
    <row r="5180" spans="8:18" x14ac:dyDescent="0.2">
      <c r="H5180" s="180"/>
      <c r="P5180" s="180" t="s">
        <v>257</v>
      </c>
      <c r="R5180" s="180" t="s">
        <v>257</v>
      </c>
    </row>
    <row r="5181" spans="8:18" x14ac:dyDescent="0.2">
      <c r="H5181" s="180"/>
      <c r="P5181" s="180" t="s">
        <v>257</v>
      </c>
      <c r="R5181" s="180" t="s">
        <v>257</v>
      </c>
    </row>
    <row r="5182" spans="8:18" x14ac:dyDescent="0.2">
      <c r="H5182" s="180"/>
      <c r="P5182" s="180" t="s">
        <v>257</v>
      </c>
      <c r="R5182" s="180" t="s">
        <v>257</v>
      </c>
    </row>
    <row r="5183" spans="8:18" x14ac:dyDescent="0.2">
      <c r="H5183" s="180"/>
      <c r="P5183" s="180" t="s">
        <v>257</v>
      </c>
      <c r="R5183" s="180" t="s">
        <v>257</v>
      </c>
    </row>
    <row r="5184" spans="8:18" x14ac:dyDescent="0.2">
      <c r="H5184" s="180"/>
      <c r="P5184" s="180" t="s">
        <v>257</v>
      </c>
      <c r="R5184" s="180" t="s">
        <v>257</v>
      </c>
    </row>
    <row r="5185" spans="8:18" x14ac:dyDescent="0.2">
      <c r="H5185" s="180"/>
      <c r="P5185" s="180" t="s">
        <v>257</v>
      </c>
      <c r="R5185" s="180" t="s">
        <v>257</v>
      </c>
    </row>
    <row r="5186" spans="8:18" x14ac:dyDescent="0.2">
      <c r="H5186" s="180"/>
      <c r="P5186" s="180" t="s">
        <v>257</v>
      </c>
      <c r="R5186" s="180" t="s">
        <v>257</v>
      </c>
    </row>
    <row r="5187" spans="8:18" x14ac:dyDescent="0.2">
      <c r="H5187" s="180"/>
      <c r="P5187" s="180" t="s">
        <v>257</v>
      </c>
      <c r="R5187" s="180" t="s">
        <v>257</v>
      </c>
    </row>
    <row r="5188" spans="8:18" x14ac:dyDescent="0.2">
      <c r="H5188" s="180"/>
      <c r="P5188" s="180" t="s">
        <v>257</v>
      </c>
      <c r="R5188" s="180" t="s">
        <v>257</v>
      </c>
    </row>
    <row r="5189" spans="8:18" x14ac:dyDescent="0.2">
      <c r="H5189" s="180"/>
      <c r="P5189" s="180" t="s">
        <v>257</v>
      </c>
      <c r="R5189" s="180" t="s">
        <v>257</v>
      </c>
    </row>
    <row r="5190" spans="8:18" x14ac:dyDescent="0.2">
      <c r="H5190" s="180"/>
      <c r="P5190" s="180" t="s">
        <v>257</v>
      </c>
      <c r="R5190" s="180" t="s">
        <v>257</v>
      </c>
    </row>
    <row r="5191" spans="8:18" x14ac:dyDescent="0.2">
      <c r="H5191" s="180"/>
      <c r="P5191" s="180" t="s">
        <v>257</v>
      </c>
      <c r="R5191" s="180" t="s">
        <v>257</v>
      </c>
    </row>
    <row r="5192" spans="8:18" x14ac:dyDescent="0.2">
      <c r="H5192" s="180"/>
      <c r="P5192" s="180" t="s">
        <v>257</v>
      </c>
      <c r="R5192" s="180" t="s">
        <v>257</v>
      </c>
    </row>
    <row r="5193" spans="8:18" x14ac:dyDescent="0.2">
      <c r="H5193" s="180"/>
      <c r="P5193" s="180" t="s">
        <v>257</v>
      </c>
      <c r="R5193" s="180" t="s">
        <v>257</v>
      </c>
    </row>
    <row r="5194" spans="8:18" x14ac:dyDescent="0.2">
      <c r="H5194" s="180"/>
      <c r="P5194" s="180" t="s">
        <v>257</v>
      </c>
      <c r="R5194" s="180" t="s">
        <v>257</v>
      </c>
    </row>
    <row r="5195" spans="8:18" x14ac:dyDescent="0.2">
      <c r="H5195" s="180"/>
      <c r="P5195" s="180" t="s">
        <v>257</v>
      </c>
      <c r="R5195" s="180" t="s">
        <v>257</v>
      </c>
    </row>
    <row r="5196" spans="8:18" x14ac:dyDescent="0.2">
      <c r="H5196" s="180"/>
      <c r="P5196" s="180" t="s">
        <v>257</v>
      </c>
      <c r="R5196" s="180" t="s">
        <v>257</v>
      </c>
    </row>
    <row r="5197" spans="8:18" x14ac:dyDescent="0.2">
      <c r="H5197" s="180"/>
      <c r="P5197" s="180" t="s">
        <v>257</v>
      </c>
      <c r="R5197" s="180" t="s">
        <v>257</v>
      </c>
    </row>
    <row r="5198" spans="8:18" x14ac:dyDescent="0.2">
      <c r="H5198" s="180"/>
      <c r="P5198" s="180" t="s">
        <v>257</v>
      </c>
      <c r="R5198" s="180" t="s">
        <v>257</v>
      </c>
    </row>
    <row r="5199" spans="8:18" x14ac:dyDescent="0.2">
      <c r="H5199" s="180"/>
      <c r="P5199" s="180" t="s">
        <v>257</v>
      </c>
      <c r="R5199" s="180" t="s">
        <v>257</v>
      </c>
    </row>
    <row r="5200" spans="8:18" x14ac:dyDescent="0.2">
      <c r="H5200" s="180"/>
      <c r="P5200" s="180" t="s">
        <v>257</v>
      </c>
      <c r="R5200" s="180" t="s">
        <v>257</v>
      </c>
    </row>
    <row r="5201" spans="8:18" x14ac:dyDescent="0.2">
      <c r="H5201" s="180"/>
      <c r="P5201" s="180" t="s">
        <v>257</v>
      </c>
      <c r="R5201" s="180" t="s">
        <v>257</v>
      </c>
    </row>
    <row r="5202" spans="8:18" x14ac:dyDescent="0.2">
      <c r="H5202" s="180"/>
      <c r="P5202" s="180" t="s">
        <v>257</v>
      </c>
      <c r="R5202" s="180" t="s">
        <v>257</v>
      </c>
    </row>
    <row r="5203" spans="8:18" x14ac:dyDescent="0.2">
      <c r="H5203" s="180"/>
      <c r="P5203" s="180" t="s">
        <v>257</v>
      </c>
      <c r="R5203" s="180" t="s">
        <v>257</v>
      </c>
    </row>
    <row r="5204" spans="8:18" x14ac:dyDescent="0.2">
      <c r="H5204" s="180"/>
      <c r="P5204" s="180" t="s">
        <v>257</v>
      </c>
      <c r="R5204" s="180" t="s">
        <v>257</v>
      </c>
    </row>
    <row r="5205" spans="8:18" x14ac:dyDescent="0.2">
      <c r="H5205" s="180"/>
      <c r="P5205" s="180" t="s">
        <v>257</v>
      </c>
      <c r="R5205" s="180" t="s">
        <v>257</v>
      </c>
    </row>
    <row r="5206" spans="8:18" x14ac:dyDescent="0.2">
      <c r="H5206" s="180"/>
      <c r="P5206" s="180" t="s">
        <v>257</v>
      </c>
      <c r="R5206" s="180" t="s">
        <v>257</v>
      </c>
    </row>
    <row r="5207" spans="8:18" x14ac:dyDescent="0.2">
      <c r="H5207" s="180"/>
      <c r="P5207" s="180" t="s">
        <v>257</v>
      </c>
      <c r="R5207" s="180" t="s">
        <v>257</v>
      </c>
    </row>
    <row r="5208" spans="8:18" x14ac:dyDescent="0.2">
      <c r="H5208" s="180"/>
      <c r="P5208" s="180" t="s">
        <v>257</v>
      </c>
      <c r="R5208" s="180" t="s">
        <v>257</v>
      </c>
    </row>
    <row r="5209" spans="8:18" x14ac:dyDescent="0.2">
      <c r="H5209" s="180"/>
      <c r="P5209" s="180" t="s">
        <v>257</v>
      </c>
      <c r="R5209" s="180" t="s">
        <v>257</v>
      </c>
    </row>
    <row r="5210" spans="8:18" x14ac:dyDescent="0.2">
      <c r="H5210" s="180"/>
      <c r="P5210" s="180" t="s">
        <v>257</v>
      </c>
      <c r="R5210" s="180" t="s">
        <v>257</v>
      </c>
    </row>
    <row r="5211" spans="8:18" x14ac:dyDescent="0.2">
      <c r="H5211" s="180"/>
      <c r="P5211" s="180" t="s">
        <v>257</v>
      </c>
      <c r="R5211" s="180" t="s">
        <v>257</v>
      </c>
    </row>
    <row r="5212" spans="8:18" x14ac:dyDescent="0.2">
      <c r="H5212" s="180"/>
      <c r="P5212" s="180" t="s">
        <v>257</v>
      </c>
      <c r="R5212" s="180" t="s">
        <v>257</v>
      </c>
    </row>
    <row r="5213" spans="8:18" x14ac:dyDescent="0.2">
      <c r="H5213" s="180"/>
      <c r="P5213" s="180" t="s">
        <v>257</v>
      </c>
      <c r="R5213" s="180" t="s">
        <v>257</v>
      </c>
    </row>
    <row r="5214" spans="8:18" x14ac:dyDescent="0.2">
      <c r="H5214" s="180"/>
      <c r="P5214" s="180" t="s">
        <v>257</v>
      </c>
      <c r="R5214" s="180" t="s">
        <v>257</v>
      </c>
    </row>
    <row r="5215" spans="8:18" x14ac:dyDescent="0.2">
      <c r="H5215" s="180"/>
      <c r="P5215" s="180" t="s">
        <v>257</v>
      </c>
      <c r="R5215" s="180" t="s">
        <v>257</v>
      </c>
    </row>
    <row r="5216" spans="8:18" x14ac:dyDescent="0.2">
      <c r="H5216" s="180"/>
      <c r="P5216" s="180" t="s">
        <v>257</v>
      </c>
      <c r="R5216" s="180" t="s">
        <v>257</v>
      </c>
    </row>
    <row r="5217" spans="8:18" x14ac:dyDescent="0.2">
      <c r="H5217" s="180"/>
      <c r="P5217" s="180" t="s">
        <v>257</v>
      </c>
      <c r="R5217" s="180" t="s">
        <v>257</v>
      </c>
    </row>
    <row r="5218" spans="8:18" x14ac:dyDescent="0.2">
      <c r="H5218" s="180"/>
      <c r="P5218" s="180" t="s">
        <v>257</v>
      </c>
      <c r="R5218" s="180" t="s">
        <v>257</v>
      </c>
    </row>
    <row r="5219" spans="8:18" x14ac:dyDescent="0.2">
      <c r="H5219" s="180"/>
      <c r="P5219" s="180" t="s">
        <v>257</v>
      </c>
      <c r="R5219" s="180" t="s">
        <v>257</v>
      </c>
    </row>
    <row r="5220" spans="8:18" x14ac:dyDescent="0.2">
      <c r="H5220" s="180"/>
      <c r="P5220" s="180" t="s">
        <v>257</v>
      </c>
      <c r="R5220" s="180" t="s">
        <v>257</v>
      </c>
    </row>
    <row r="5221" spans="8:18" x14ac:dyDescent="0.2">
      <c r="H5221" s="180"/>
      <c r="P5221" s="180" t="s">
        <v>257</v>
      </c>
      <c r="R5221" s="180" t="s">
        <v>257</v>
      </c>
    </row>
    <row r="5222" spans="8:18" x14ac:dyDescent="0.2">
      <c r="H5222" s="180"/>
      <c r="P5222" s="180" t="s">
        <v>257</v>
      </c>
      <c r="R5222" s="180" t="s">
        <v>257</v>
      </c>
    </row>
    <row r="5223" spans="8:18" x14ac:dyDescent="0.2">
      <c r="H5223" s="180"/>
      <c r="P5223" s="180" t="s">
        <v>257</v>
      </c>
      <c r="R5223" s="180" t="s">
        <v>257</v>
      </c>
    </row>
    <row r="5224" spans="8:18" x14ac:dyDescent="0.2">
      <c r="H5224" s="180"/>
      <c r="P5224" s="180" t="s">
        <v>257</v>
      </c>
      <c r="R5224" s="180" t="s">
        <v>257</v>
      </c>
    </row>
    <row r="5225" spans="8:18" x14ac:dyDescent="0.2">
      <c r="H5225" s="180"/>
      <c r="P5225" s="180" t="s">
        <v>257</v>
      </c>
      <c r="R5225" s="180" t="s">
        <v>257</v>
      </c>
    </row>
    <row r="5226" spans="8:18" x14ac:dyDescent="0.2">
      <c r="H5226" s="180"/>
      <c r="P5226" s="180" t="s">
        <v>257</v>
      </c>
      <c r="R5226" s="180" t="s">
        <v>257</v>
      </c>
    </row>
    <row r="5227" spans="8:18" x14ac:dyDescent="0.2">
      <c r="H5227" s="180"/>
      <c r="P5227" s="180" t="s">
        <v>257</v>
      </c>
      <c r="R5227" s="180" t="s">
        <v>257</v>
      </c>
    </row>
    <row r="5228" spans="8:18" x14ac:dyDescent="0.2">
      <c r="H5228" s="180"/>
      <c r="P5228" s="180" t="s">
        <v>257</v>
      </c>
      <c r="R5228" s="180" t="s">
        <v>257</v>
      </c>
    </row>
    <row r="5229" spans="8:18" x14ac:dyDescent="0.2">
      <c r="H5229" s="180"/>
      <c r="P5229" s="180" t="s">
        <v>257</v>
      </c>
      <c r="R5229" s="180" t="s">
        <v>257</v>
      </c>
    </row>
    <row r="5230" spans="8:18" x14ac:dyDescent="0.2">
      <c r="H5230" s="180"/>
      <c r="P5230" s="180" t="s">
        <v>257</v>
      </c>
      <c r="R5230" s="180" t="s">
        <v>257</v>
      </c>
    </row>
    <row r="5231" spans="8:18" x14ac:dyDescent="0.2">
      <c r="H5231" s="180"/>
      <c r="P5231" s="180" t="s">
        <v>257</v>
      </c>
      <c r="R5231" s="180" t="s">
        <v>257</v>
      </c>
    </row>
    <row r="5232" spans="8:18" x14ac:dyDescent="0.2">
      <c r="H5232" s="180"/>
      <c r="P5232" s="180" t="s">
        <v>257</v>
      </c>
      <c r="R5232" s="180" t="s">
        <v>257</v>
      </c>
    </row>
    <row r="5233" spans="8:18" x14ac:dyDescent="0.2">
      <c r="H5233" s="180"/>
      <c r="P5233" s="180" t="s">
        <v>257</v>
      </c>
      <c r="R5233" s="180" t="s">
        <v>257</v>
      </c>
    </row>
    <row r="5234" spans="8:18" x14ac:dyDescent="0.2">
      <c r="H5234" s="180"/>
      <c r="P5234" s="180" t="s">
        <v>257</v>
      </c>
      <c r="R5234" s="180" t="s">
        <v>257</v>
      </c>
    </row>
    <row r="5235" spans="8:18" x14ac:dyDescent="0.2">
      <c r="H5235" s="180"/>
      <c r="P5235" s="180" t="s">
        <v>257</v>
      </c>
      <c r="R5235" s="180" t="s">
        <v>257</v>
      </c>
    </row>
    <row r="5236" spans="8:18" x14ac:dyDescent="0.2">
      <c r="H5236" s="180"/>
      <c r="P5236" s="180" t="s">
        <v>257</v>
      </c>
      <c r="R5236" s="180" t="s">
        <v>257</v>
      </c>
    </row>
    <row r="5237" spans="8:18" x14ac:dyDescent="0.2">
      <c r="H5237" s="180"/>
      <c r="P5237" s="180" t="s">
        <v>257</v>
      </c>
      <c r="R5237" s="180" t="s">
        <v>257</v>
      </c>
    </row>
    <row r="5238" spans="8:18" x14ac:dyDescent="0.2">
      <c r="H5238" s="180"/>
      <c r="P5238" s="180" t="s">
        <v>257</v>
      </c>
      <c r="R5238" s="180" t="s">
        <v>257</v>
      </c>
    </row>
    <row r="5239" spans="8:18" x14ac:dyDescent="0.2">
      <c r="H5239" s="180"/>
      <c r="P5239" s="180" t="s">
        <v>257</v>
      </c>
      <c r="R5239" s="180" t="s">
        <v>257</v>
      </c>
    </row>
    <row r="5240" spans="8:18" x14ac:dyDescent="0.2">
      <c r="H5240" s="180"/>
      <c r="P5240" s="180" t="s">
        <v>257</v>
      </c>
      <c r="R5240" s="180" t="s">
        <v>257</v>
      </c>
    </row>
    <row r="5241" spans="8:18" x14ac:dyDescent="0.2">
      <c r="H5241" s="180"/>
      <c r="P5241" s="180" t="s">
        <v>257</v>
      </c>
      <c r="R5241" s="180" t="s">
        <v>257</v>
      </c>
    </row>
    <row r="5242" spans="8:18" x14ac:dyDescent="0.2">
      <c r="H5242" s="180"/>
      <c r="P5242" s="180" t="s">
        <v>257</v>
      </c>
      <c r="R5242" s="180" t="s">
        <v>257</v>
      </c>
    </row>
    <row r="5243" spans="8:18" x14ac:dyDescent="0.2">
      <c r="H5243" s="180"/>
      <c r="P5243" s="180" t="s">
        <v>257</v>
      </c>
      <c r="R5243" s="180" t="s">
        <v>257</v>
      </c>
    </row>
    <row r="5244" spans="8:18" x14ac:dyDescent="0.2">
      <c r="H5244" s="180"/>
      <c r="P5244" s="180" t="s">
        <v>257</v>
      </c>
      <c r="R5244" s="180" t="s">
        <v>257</v>
      </c>
    </row>
    <row r="5245" spans="8:18" x14ac:dyDescent="0.2">
      <c r="H5245" s="180"/>
      <c r="P5245" s="180" t="s">
        <v>257</v>
      </c>
      <c r="R5245" s="180" t="s">
        <v>257</v>
      </c>
    </row>
    <row r="5246" spans="8:18" x14ac:dyDescent="0.2">
      <c r="H5246" s="180"/>
      <c r="P5246" s="180" t="s">
        <v>257</v>
      </c>
      <c r="R5246" s="180" t="s">
        <v>257</v>
      </c>
    </row>
    <row r="5247" spans="8:18" x14ac:dyDescent="0.2">
      <c r="H5247" s="180"/>
      <c r="P5247" s="180" t="s">
        <v>257</v>
      </c>
      <c r="R5247" s="180" t="s">
        <v>257</v>
      </c>
    </row>
    <row r="5248" spans="8:18" x14ac:dyDescent="0.2">
      <c r="H5248" s="180"/>
      <c r="P5248" s="180" t="s">
        <v>257</v>
      </c>
      <c r="R5248" s="180" t="s">
        <v>257</v>
      </c>
    </row>
    <row r="5249" spans="8:18" x14ac:dyDescent="0.2">
      <c r="H5249" s="180"/>
      <c r="P5249" s="180" t="s">
        <v>257</v>
      </c>
      <c r="R5249" s="180" t="s">
        <v>257</v>
      </c>
    </row>
    <row r="5250" spans="8:18" x14ac:dyDescent="0.2">
      <c r="H5250" s="180"/>
      <c r="P5250" s="180" t="s">
        <v>257</v>
      </c>
      <c r="R5250" s="180" t="s">
        <v>257</v>
      </c>
    </row>
    <row r="5251" spans="8:18" x14ac:dyDescent="0.2">
      <c r="H5251" s="180"/>
      <c r="P5251" s="180" t="s">
        <v>257</v>
      </c>
      <c r="R5251" s="180" t="s">
        <v>257</v>
      </c>
    </row>
    <row r="5252" spans="8:18" x14ac:dyDescent="0.2">
      <c r="H5252" s="180"/>
      <c r="P5252" s="180" t="s">
        <v>257</v>
      </c>
      <c r="R5252" s="180" t="s">
        <v>257</v>
      </c>
    </row>
    <row r="5253" spans="8:18" x14ac:dyDescent="0.2">
      <c r="H5253" s="180"/>
      <c r="P5253" s="180" t="s">
        <v>257</v>
      </c>
      <c r="R5253" s="180" t="s">
        <v>257</v>
      </c>
    </row>
    <row r="5254" spans="8:18" x14ac:dyDescent="0.2">
      <c r="H5254" s="180"/>
      <c r="P5254" s="180" t="s">
        <v>257</v>
      </c>
      <c r="R5254" s="180" t="s">
        <v>257</v>
      </c>
    </row>
    <row r="5255" spans="8:18" x14ac:dyDescent="0.2">
      <c r="H5255" s="180"/>
      <c r="P5255" s="180" t="s">
        <v>257</v>
      </c>
      <c r="R5255" s="180" t="s">
        <v>257</v>
      </c>
    </row>
    <row r="5256" spans="8:18" x14ac:dyDescent="0.2">
      <c r="H5256" s="180"/>
      <c r="P5256" s="180" t="s">
        <v>257</v>
      </c>
      <c r="R5256" s="180" t="s">
        <v>257</v>
      </c>
    </row>
    <row r="5257" spans="8:18" x14ac:dyDescent="0.2">
      <c r="H5257" s="180"/>
      <c r="P5257" s="180" t="s">
        <v>257</v>
      </c>
      <c r="R5257" s="180" t="s">
        <v>257</v>
      </c>
    </row>
    <row r="5258" spans="8:18" x14ac:dyDescent="0.2">
      <c r="H5258" s="180"/>
      <c r="P5258" s="180" t="s">
        <v>257</v>
      </c>
      <c r="R5258" s="180" t="s">
        <v>257</v>
      </c>
    </row>
    <row r="5259" spans="8:18" x14ac:dyDescent="0.2">
      <c r="H5259" s="180"/>
      <c r="P5259" s="180" t="s">
        <v>257</v>
      </c>
      <c r="R5259" s="180" t="s">
        <v>257</v>
      </c>
    </row>
    <row r="5260" spans="8:18" x14ac:dyDescent="0.2">
      <c r="H5260" s="180"/>
      <c r="P5260" s="180" t="s">
        <v>257</v>
      </c>
      <c r="R5260" s="180" t="s">
        <v>257</v>
      </c>
    </row>
    <row r="5261" spans="8:18" x14ac:dyDescent="0.2">
      <c r="H5261" s="180"/>
      <c r="P5261" s="180" t="s">
        <v>257</v>
      </c>
      <c r="R5261" s="180" t="s">
        <v>257</v>
      </c>
    </row>
    <row r="5262" spans="8:18" x14ac:dyDescent="0.2">
      <c r="H5262" s="180"/>
      <c r="P5262" s="180" t="s">
        <v>257</v>
      </c>
      <c r="R5262" s="180" t="s">
        <v>257</v>
      </c>
    </row>
    <row r="5263" spans="8:18" x14ac:dyDescent="0.2">
      <c r="H5263" s="180"/>
      <c r="P5263" s="180" t="s">
        <v>257</v>
      </c>
      <c r="R5263" s="180" t="s">
        <v>257</v>
      </c>
    </row>
    <row r="5264" spans="8:18" x14ac:dyDescent="0.2">
      <c r="H5264" s="180"/>
      <c r="P5264" s="180" t="s">
        <v>257</v>
      </c>
      <c r="R5264" s="180" t="s">
        <v>257</v>
      </c>
    </row>
    <row r="5265" spans="8:18" x14ac:dyDescent="0.2">
      <c r="H5265" s="180"/>
      <c r="P5265" s="180" t="s">
        <v>257</v>
      </c>
      <c r="R5265" s="180" t="s">
        <v>257</v>
      </c>
    </row>
    <row r="5266" spans="8:18" x14ac:dyDescent="0.2">
      <c r="H5266" s="180"/>
      <c r="P5266" s="180" t="s">
        <v>257</v>
      </c>
      <c r="R5266" s="180" t="s">
        <v>257</v>
      </c>
    </row>
    <row r="5267" spans="8:18" x14ac:dyDescent="0.2">
      <c r="H5267" s="180"/>
      <c r="P5267" s="180" t="s">
        <v>257</v>
      </c>
      <c r="R5267" s="180" t="s">
        <v>257</v>
      </c>
    </row>
    <row r="5268" spans="8:18" x14ac:dyDescent="0.2">
      <c r="H5268" s="180"/>
      <c r="P5268" s="180" t="s">
        <v>257</v>
      </c>
      <c r="R5268" s="180" t="s">
        <v>257</v>
      </c>
    </row>
    <row r="5269" spans="8:18" x14ac:dyDescent="0.2">
      <c r="H5269" s="180"/>
      <c r="P5269" s="180" t="s">
        <v>257</v>
      </c>
      <c r="R5269" s="180" t="s">
        <v>257</v>
      </c>
    </row>
    <row r="5270" spans="8:18" x14ac:dyDescent="0.2">
      <c r="H5270" s="180"/>
      <c r="P5270" s="180" t="s">
        <v>257</v>
      </c>
      <c r="R5270" s="180" t="s">
        <v>257</v>
      </c>
    </row>
    <row r="5271" spans="8:18" x14ac:dyDescent="0.2">
      <c r="H5271" s="180"/>
      <c r="P5271" s="180" t="s">
        <v>257</v>
      </c>
      <c r="R5271" s="180" t="s">
        <v>257</v>
      </c>
    </row>
    <row r="5272" spans="8:18" x14ac:dyDescent="0.2">
      <c r="H5272" s="180"/>
      <c r="P5272" s="180" t="s">
        <v>257</v>
      </c>
      <c r="R5272" s="180" t="s">
        <v>257</v>
      </c>
    </row>
    <row r="5273" spans="8:18" x14ac:dyDescent="0.2">
      <c r="H5273" s="180"/>
      <c r="P5273" s="180" t="s">
        <v>257</v>
      </c>
      <c r="R5273" s="180" t="s">
        <v>257</v>
      </c>
    </row>
    <row r="5274" spans="8:18" x14ac:dyDescent="0.2">
      <c r="H5274" s="180"/>
      <c r="P5274" s="180" t="s">
        <v>257</v>
      </c>
      <c r="R5274" s="180" t="s">
        <v>257</v>
      </c>
    </row>
    <row r="5275" spans="8:18" x14ac:dyDescent="0.2">
      <c r="H5275" s="180"/>
      <c r="P5275" s="180" t="s">
        <v>257</v>
      </c>
      <c r="R5275" s="180" t="s">
        <v>257</v>
      </c>
    </row>
    <row r="5276" spans="8:18" x14ac:dyDescent="0.2">
      <c r="H5276" s="180"/>
      <c r="P5276" s="180" t="s">
        <v>257</v>
      </c>
      <c r="R5276" s="180" t="s">
        <v>257</v>
      </c>
    </row>
    <row r="5277" spans="8:18" x14ac:dyDescent="0.2">
      <c r="H5277" s="180"/>
      <c r="P5277" s="180" t="s">
        <v>257</v>
      </c>
      <c r="R5277" s="180" t="s">
        <v>257</v>
      </c>
    </row>
    <row r="5278" spans="8:18" x14ac:dyDescent="0.2">
      <c r="H5278" s="180"/>
      <c r="P5278" s="180" t="s">
        <v>257</v>
      </c>
      <c r="R5278" s="180" t="s">
        <v>257</v>
      </c>
    </row>
    <row r="5279" spans="8:18" x14ac:dyDescent="0.2">
      <c r="H5279" s="180"/>
      <c r="P5279" s="180" t="s">
        <v>257</v>
      </c>
      <c r="R5279" s="180" t="s">
        <v>257</v>
      </c>
    </row>
    <row r="5280" spans="8:18" x14ac:dyDescent="0.2">
      <c r="H5280" s="180"/>
      <c r="P5280" s="180" t="s">
        <v>257</v>
      </c>
      <c r="R5280" s="180" t="s">
        <v>257</v>
      </c>
    </row>
    <row r="5281" spans="8:18" x14ac:dyDescent="0.2">
      <c r="H5281" s="180"/>
      <c r="P5281" s="180" t="s">
        <v>257</v>
      </c>
      <c r="R5281" s="180" t="s">
        <v>257</v>
      </c>
    </row>
    <row r="5282" spans="8:18" x14ac:dyDescent="0.2">
      <c r="H5282" s="180"/>
      <c r="P5282" s="180" t="s">
        <v>257</v>
      </c>
      <c r="R5282" s="180" t="s">
        <v>257</v>
      </c>
    </row>
    <row r="5283" spans="8:18" x14ac:dyDescent="0.2">
      <c r="H5283" s="180"/>
      <c r="P5283" s="180" t="s">
        <v>257</v>
      </c>
      <c r="R5283" s="180" t="s">
        <v>257</v>
      </c>
    </row>
    <row r="5284" spans="8:18" x14ac:dyDescent="0.2">
      <c r="H5284" s="180"/>
      <c r="P5284" s="180" t="s">
        <v>257</v>
      </c>
      <c r="R5284" s="180" t="s">
        <v>257</v>
      </c>
    </row>
    <row r="5285" spans="8:18" x14ac:dyDescent="0.2">
      <c r="H5285" s="180"/>
      <c r="P5285" s="180" t="s">
        <v>257</v>
      </c>
      <c r="R5285" s="180" t="s">
        <v>257</v>
      </c>
    </row>
    <row r="5286" spans="8:18" x14ac:dyDescent="0.2">
      <c r="H5286" s="180"/>
      <c r="P5286" s="180" t="s">
        <v>257</v>
      </c>
      <c r="R5286" s="180" t="s">
        <v>257</v>
      </c>
    </row>
    <row r="5287" spans="8:18" x14ac:dyDescent="0.2">
      <c r="H5287" s="180"/>
      <c r="P5287" s="180" t="s">
        <v>257</v>
      </c>
      <c r="R5287" s="180" t="s">
        <v>257</v>
      </c>
    </row>
    <row r="5288" spans="8:18" x14ac:dyDescent="0.2">
      <c r="H5288" s="180"/>
      <c r="P5288" s="180" t="s">
        <v>257</v>
      </c>
      <c r="R5288" s="180" t="s">
        <v>257</v>
      </c>
    </row>
    <row r="5289" spans="8:18" x14ac:dyDescent="0.2">
      <c r="H5289" s="180"/>
      <c r="P5289" s="180" t="s">
        <v>257</v>
      </c>
      <c r="R5289" s="180" t="s">
        <v>257</v>
      </c>
    </row>
    <row r="5290" spans="8:18" x14ac:dyDescent="0.2">
      <c r="H5290" s="180"/>
      <c r="P5290" s="180" t="s">
        <v>257</v>
      </c>
      <c r="R5290" s="180" t="s">
        <v>257</v>
      </c>
    </row>
    <row r="5291" spans="8:18" x14ac:dyDescent="0.2">
      <c r="H5291" s="180"/>
      <c r="P5291" s="180" t="s">
        <v>257</v>
      </c>
      <c r="R5291" s="180" t="s">
        <v>257</v>
      </c>
    </row>
    <row r="5292" spans="8:18" x14ac:dyDescent="0.2">
      <c r="H5292" s="180"/>
      <c r="P5292" s="180" t="s">
        <v>257</v>
      </c>
      <c r="R5292" s="180" t="s">
        <v>257</v>
      </c>
    </row>
    <row r="5293" spans="8:18" x14ac:dyDescent="0.2">
      <c r="H5293" s="180"/>
      <c r="P5293" s="180" t="s">
        <v>257</v>
      </c>
      <c r="R5293" s="180" t="s">
        <v>257</v>
      </c>
    </row>
    <row r="5294" spans="8:18" x14ac:dyDescent="0.2">
      <c r="H5294" s="180"/>
      <c r="P5294" s="180" t="s">
        <v>257</v>
      </c>
      <c r="R5294" s="180" t="s">
        <v>257</v>
      </c>
    </row>
    <row r="5295" spans="8:18" x14ac:dyDescent="0.2">
      <c r="H5295" s="180"/>
      <c r="P5295" s="180" t="s">
        <v>257</v>
      </c>
      <c r="R5295" s="180" t="s">
        <v>257</v>
      </c>
    </row>
    <row r="5296" spans="8:18" x14ac:dyDescent="0.2">
      <c r="H5296" s="180"/>
      <c r="P5296" s="180" t="s">
        <v>257</v>
      </c>
      <c r="R5296" s="180" t="s">
        <v>257</v>
      </c>
    </row>
    <row r="5297" spans="8:18" x14ac:dyDescent="0.2">
      <c r="H5297" s="180"/>
      <c r="P5297" s="180" t="s">
        <v>257</v>
      </c>
      <c r="R5297" s="180" t="s">
        <v>257</v>
      </c>
    </row>
    <row r="5298" spans="8:18" x14ac:dyDescent="0.2">
      <c r="H5298" s="180"/>
      <c r="P5298" s="180" t="s">
        <v>257</v>
      </c>
      <c r="R5298" s="180" t="s">
        <v>257</v>
      </c>
    </row>
    <row r="5299" spans="8:18" x14ac:dyDescent="0.2">
      <c r="H5299" s="180"/>
      <c r="P5299" s="180" t="s">
        <v>257</v>
      </c>
      <c r="R5299" s="180" t="s">
        <v>257</v>
      </c>
    </row>
    <row r="5300" spans="8:18" x14ac:dyDescent="0.2">
      <c r="H5300" s="180"/>
      <c r="P5300" s="180" t="s">
        <v>257</v>
      </c>
      <c r="R5300" s="180" t="s">
        <v>257</v>
      </c>
    </row>
    <row r="5301" spans="8:18" x14ac:dyDescent="0.2">
      <c r="H5301" s="180"/>
      <c r="P5301" s="180" t="s">
        <v>257</v>
      </c>
      <c r="R5301" s="180" t="s">
        <v>257</v>
      </c>
    </row>
    <row r="5302" spans="8:18" x14ac:dyDescent="0.2">
      <c r="H5302" s="180"/>
      <c r="P5302" s="180" t="s">
        <v>257</v>
      </c>
      <c r="R5302" s="180" t="s">
        <v>257</v>
      </c>
    </row>
    <row r="5303" spans="8:18" x14ac:dyDescent="0.2">
      <c r="H5303" s="180"/>
      <c r="P5303" s="180" t="s">
        <v>257</v>
      </c>
      <c r="R5303" s="180" t="s">
        <v>257</v>
      </c>
    </row>
    <row r="5304" spans="8:18" x14ac:dyDescent="0.2">
      <c r="H5304" s="180"/>
      <c r="P5304" s="180" t="s">
        <v>257</v>
      </c>
      <c r="R5304" s="180" t="s">
        <v>257</v>
      </c>
    </row>
    <row r="5305" spans="8:18" x14ac:dyDescent="0.2">
      <c r="H5305" s="180"/>
      <c r="P5305" s="180" t="s">
        <v>257</v>
      </c>
      <c r="R5305" s="180" t="s">
        <v>257</v>
      </c>
    </row>
    <row r="5306" spans="8:18" x14ac:dyDescent="0.2">
      <c r="H5306" s="180"/>
      <c r="P5306" s="180" t="s">
        <v>257</v>
      </c>
      <c r="R5306" s="180" t="s">
        <v>257</v>
      </c>
    </row>
    <row r="5307" spans="8:18" x14ac:dyDescent="0.2">
      <c r="H5307" s="180"/>
      <c r="P5307" s="180" t="s">
        <v>257</v>
      </c>
      <c r="R5307" s="180" t="s">
        <v>257</v>
      </c>
    </row>
    <row r="5308" spans="8:18" x14ac:dyDescent="0.2">
      <c r="H5308" s="180"/>
      <c r="P5308" s="180" t="s">
        <v>257</v>
      </c>
      <c r="R5308" s="180" t="s">
        <v>257</v>
      </c>
    </row>
    <row r="5309" spans="8:18" x14ac:dyDescent="0.2">
      <c r="H5309" s="180"/>
      <c r="P5309" s="180" t="s">
        <v>257</v>
      </c>
      <c r="R5309" s="180" t="s">
        <v>257</v>
      </c>
    </row>
    <row r="5310" spans="8:18" x14ac:dyDescent="0.2">
      <c r="H5310" s="180"/>
      <c r="P5310" s="180" t="s">
        <v>257</v>
      </c>
      <c r="R5310" s="180" t="s">
        <v>257</v>
      </c>
    </row>
    <row r="5311" spans="8:18" x14ac:dyDescent="0.2">
      <c r="H5311" s="180"/>
      <c r="P5311" s="180" t="s">
        <v>257</v>
      </c>
      <c r="R5311" s="180" t="s">
        <v>257</v>
      </c>
    </row>
    <row r="5312" spans="8:18" x14ac:dyDescent="0.2">
      <c r="H5312" s="180"/>
      <c r="P5312" s="180" t="s">
        <v>257</v>
      </c>
      <c r="R5312" s="180" t="s">
        <v>257</v>
      </c>
    </row>
    <row r="5313" spans="8:18" x14ac:dyDescent="0.2">
      <c r="H5313" s="180"/>
      <c r="P5313" s="180" t="s">
        <v>257</v>
      </c>
      <c r="R5313" s="180" t="s">
        <v>257</v>
      </c>
    </row>
    <row r="5314" spans="8:18" x14ac:dyDescent="0.2">
      <c r="H5314" s="180"/>
      <c r="P5314" s="180" t="s">
        <v>257</v>
      </c>
      <c r="R5314" s="180" t="s">
        <v>257</v>
      </c>
    </row>
    <row r="5315" spans="8:18" x14ac:dyDescent="0.2">
      <c r="H5315" s="180"/>
      <c r="P5315" s="180" t="s">
        <v>257</v>
      </c>
      <c r="R5315" s="180" t="s">
        <v>257</v>
      </c>
    </row>
    <row r="5316" spans="8:18" x14ac:dyDescent="0.2">
      <c r="H5316" s="180"/>
      <c r="P5316" s="180" t="s">
        <v>257</v>
      </c>
      <c r="R5316" s="180" t="s">
        <v>257</v>
      </c>
    </row>
    <row r="5317" spans="8:18" x14ac:dyDescent="0.2">
      <c r="H5317" s="180"/>
      <c r="P5317" s="180" t="s">
        <v>257</v>
      </c>
      <c r="R5317" s="180" t="s">
        <v>257</v>
      </c>
    </row>
    <row r="5318" spans="8:18" x14ac:dyDescent="0.2">
      <c r="H5318" s="180"/>
      <c r="P5318" s="180" t="s">
        <v>257</v>
      </c>
      <c r="R5318" s="180" t="s">
        <v>257</v>
      </c>
    </row>
    <row r="5319" spans="8:18" x14ac:dyDescent="0.2">
      <c r="H5319" s="180"/>
      <c r="P5319" s="180" t="s">
        <v>257</v>
      </c>
      <c r="R5319" s="180" t="s">
        <v>257</v>
      </c>
    </row>
    <row r="5320" spans="8:18" x14ac:dyDescent="0.2">
      <c r="H5320" s="180"/>
      <c r="P5320" s="180" t="s">
        <v>257</v>
      </c>
      <c r="R5320" s="180" t="s">
        <v>257</v>
      </c>
    </row>
    <row r="5321" spans="8:18" x14ac:dyDescent="0.2">
      <c r="H5321" s="180"/>
      <c r="P5321" s="180" t="s">
        <v>257</v>
      </c>
      <c r="R5321" s="180" t="s">
        <v>257</v>
      </c>
    </row>
    <row r="5322" spans="8:18" x14ac:dyDescent="0.2">
      <c r="H5322" s="180"/>
      <c r="P5322" s="180" t="s">
        <v>257</v>
      </c>
      <c r="R5322" s="180" t="s">
        <v>257</v>
      </c>
    </row>
    <row r="5323" spans="8:18" x14ac:dyDescent="0.2">
      <c r="H5323" s="180"/>
      <c r="P5323" s="180" t="s">
        <v>257</v>
      </c>
      <c r="R5323" s="180" t="s">
        <v>257</v>
      </c>
    </row>
    <row r="5324" spans="8:18" x14ac:dyDescent="0.2">
      <c r="H5324" s="180"/>
      <c r="P5324" s="180" t="s">
        <v>257</v>
      </c>
      <c r="R5324" s="180" t="s">
        <v>257</v>
      </c>
    </row>
    <row r="5325" spans="8:18" x14ac:dyDescent="0.2">
      <c r="H5325" s="180"/>
      <c r="P5325" s="180" t="s">
        <v>257</v>
      </c>
      <c r="R5325" s="180" t="s">
        <v>257</v>
      </c>
    </row>
    <row r="5326" spans="8:18" x14ac:dyDescent="0.2">
      <c r="H5326" s="180"/>
      <c r="P5326" s="180" t="s">
        <v>257</v>
      </c>
      <c r="R5326" s="180" t="s">
        <v>257</v>
      </c>
    </row>
    <row r="5327" spans="8:18" x14ac:dyDescent="0.2">
      <c r="H5327" s="180"/>
      <c r="P5327" s="180" t="s">
        <v>257</v>
      </c>
      <c r="R5327" s="180" t="s">
        <v>257</v>
      </c>
    </row>
    <row r="5328" spans="8:18" x14ac:dyDescent="0.2">
      <c r="H5328" s="180"/>
      <c r="P5328" s="180" t="s">
        <v>257</v>
      </c>
      <c r="R5328" s="180" t="s">
        <v>257</v>
      </c>
    </row>
    <row r="5329" spans="8:18" x14ac:dyDescent="0.2">
      <c r="H5329" s="180"/>
      <c r="P5329" s="180" t="s">
        <v>257</v>
      </c>
      <c r="R5329" s="180" t="s">
        <v>257</v>
      </c>
    </row>
    <row r="5330" spans="8:18" x14ac:dyDescent="0.2">
      <c r="H5330" s="180"/>
      <c r="P5330" s="180" t="s">
        <v>257</v>
      </c>
      <c r="R5330" s="180" t="s">
        <v>257</v>
      </c>
    </row>
    <row r="5331" spans="8:18" x14ac:dyDescent="0.2">
      <c r="H5331" s="180"/>
      <c r="P5331" s="180" t="s">
        <v>257</v>
      </c>
      <c r="R5331" s="180" t="s">
        <v>257</v>
      </c>
    </row>
    <row r="5332" spans="8:18" x14ac:dyDescent="0.2">
      <c r="H5332" s="180"/>
      <c r="P5332" s="180" t="s">
        <v>257</v>
      </c>
      <c r="R5332" s="180" t="s">
        <v>257</v>
      </c>
    </row>
    <row r="5333" spans="8:18" x14ac:dyDescent="0.2">
      <c r="H5333" s="180"/>
      <c r="P5333" s="180" t="s">
        <v>257</v>
      </c>
      <c r="R5333" s="180" t="s">
        <v>257</v>
      </c>
    </row>
    <row r="5334" spans="8:18" x14ac:dyDescent="0.2">
      <c r="H5334" s="180"/>
      <c r="P5334" s="180" t="s">
        <v>257</v>
      </c>
      <c r="R5334" s="180" t="s">
        <v>257</v>
      </c>
    </row>
    <row r="5335" spans="8:18" x14ac:dyDescent="0.2">
      <c r="H5335" s="180"/>
      <c r="P5335" s="180" t="s">
        <v>257</v>
      </c>
      <c r="R5335" s="180" t="s">
        <v>257</v>
      </c>
    </row>
    <row r="5336" spans="8:18" x14ac:dyDescent="0.2">
      <c r="H5336" s="180"/>
      <c r="P5336" s="180" t="s">
        <v>257</v>
      </c>
      <c r="R5336" s="180" t="s">
        <v>257</v>
      </c>
    </row>
    <row r="5337" spans="8:18" x14ac:dyDescent="0.2">
      <c r="H5337" s="180"/>
      <c r="P5337" s="180" t="s">
        <v>257</v>
      </c>
      <c r="R5337" s="180" t="s">
        <v>257</v>
      </c>
    </row>
    <row r="5338" spans="8:18" x14ac:dyDescent="0.2">
      <c r="H5338" s="180"/>
      <c r="P5338" s="180" t="s">
        <v>257</v>
      </c>
      <c r="R5338" s="180" t="s">
        <v>257</v>
      </c>
    </row>
    <row r="5339" spans="8:18" x14ac:dyDescent="0.2">
      <c r="H5339" s="180"/>
      <c r="P5339" s="180" t="s">
        <v>257</v>
      </c>
      <c r="R5339" s="180" t="s">
        <v>257</v>
      </c>
    </row>
    <row r="5340" spans="8:18" x14ac:dyDescent="0.2">
      <c r="H5340" s="180"/>
      <c r="P5340" s="180" t="s">
        <v>257</v>
      </c>
      <c r="R5340" s="180" t="s">
        <v>257</v>
      </c>
    </row>
    <row r="5341" spans="8:18" x14ac:dyDescent="0.2">
      <c r="H5341" s="180"/>
      <c r="P5341" s="180" t="s">
        <v>257</v>
      </c>
      <c r="R5341" s="180" t="s">
        <v>257</v>
      </c>
    </row>
    <row r="5342" spans="8:18" x14ac:dyDescent="0.2">
      <c r="H5342" s="180"/>
      <c r="P5342" s="180" t="s">
        <v>257</v>
      </c>
      <c r="R5342" s="180" t="s">
        <v>257</v>
      </c>
    </row>
    <row r="5343" spans="8:18" x14ac:dyDescent="0.2">
      <c r="H5343" s="180"/>
      <c r="P5343" s="180" t="s">
        <v>257</v>
      </c>
      <c r="R5343" s="180" t="s">
        <v>257</v>
      </c>
    </row>
    <row r="5344" spans="8:18" x14ac:dyDescent="0.2">
      <c r="H5344" s="180"/>
      <c r="P5344" s="180" t="s">
        <v>257</v>
      </c>
      <c r="R5344" s="180" t="s">
        <v>257</v>
      </c>
    </row>
    <row r="5345" spans="8:18" x14ac:dyDescent="0.2">
      <c r="H5345" s="180"/>
      <c r="P5345" s="180" t="s">
        <v>257</v>
      </c>
      <c r="R5345" s="180" t="s">
        <v>257</v>
      </c>
    </row>
    <row r="5346" spans="8:18" x14ac:dyDescent="0.2">
      <c r="H5346" s="180"/>
      <c r="P5346" s="180" t="s">
        <v>257</v>
      </c>
      <c r="R5346" s="180" t="s">
        <v>257</v>
      </c>
    </row>
    <row r="5347" spans="8:18" x14ac:dyDescent="0.2">
      <c r="H5347" s="180"/>
      <c r="P5347" s="180" t="s">
        <v>257</v>
      </c>
      <c r="R5347" s="180" t="s">
        <v>257</v>
      </c>
    </row>
    <row r="5348" spans="8:18" x14ac:dyDescent="0.2">
      <c r="H5348" s="180"/>
      <c r="P5348" s="180" t="s">
        <v>257</v>
      </c>
      <c r="R5348" s="180" t="s">
        <v>257</v>
      </c>
    </row>
    <row r="5349" spans="8:18" x14ac:dyDescent="0.2">
      <c r="H5349" s="180"/>
      <c r="P5349" s="180" t="s">
        <v>257</v>
      </c>
      <c r="R5349" s="180" t="s">
        <v>257</v>
      </c>
    </row>
    <row r="5350" spans="8:18" x14ac:dyDescent="0.2">
      <c r="H5350" s="180"/>
      <c r="P5350" s="180" t="s">
        <v>257</v>
      </c>
      <c r="R5350" s="180" t="s">
        <v>257</v>
      </c>
    </row>
    <row r="5351" spans="8:18" x14ac:dyDescent="0.2">
      <c r="H5351" s="180"/>
      <c r="P5351" s="180" t="s">
        <v>257</v>
      </c>
      <c r="R5351" s="180" t="s">
        <v>257</v>
      </c>
    </row>
    <row r="5352" spans="8:18" x14ac:dyDescent="0.2">
      <c r="H5352" s="180"/>
      <c r="P5352" s="180" t="s">
        <v>257</v>
      </c>
      <c r="R5352" s="180" t="s">
        <v>257</v>
      </c>
    </row>
    <row r="5353" spans="8:18" x14ac:dyDescent="0.2">
      <c r="H5353" s="180"/>
      <c r="P5353" s="180" t="s">
        <v>257</v>
      </c>
      <c r="R5353" s="180" t="s">
        <v>257</v>
      </c>
    </row>
    <row r="5354" spans="8:18" x14ac:dyDescent="0.2">
      <c r="H5354" s="180"/>
      <c r="P5354" s="180" t="s">
        <v>257</v>
      </c>
      <c r="R5354" s="180" t="s">
        <v>257</v>
      </c>
    </row>
    <row r="5355" spans="8:18" x14ac:dyDescent="0.2">
      <c r="H5355" s="180"/>
      <c r="P5355" s="180" t="s">
        <v>257</v>
      </c>
      <c r="R5355" s="180" t="s">
        <v>257</v>
      </c>
    </row>
    <row r="5356" spans="8:18" x14ac:dyDescent="0.2">
      <c r="H5356" s="180"/>
      <c r="P5356" s="180" t="s">
        <v>257</v>
      </c>
      <c r="R5356" s="180" t="s">
        <v>257</v>
      </c>
    </row>
    <row r="5357" spans="8:18" x14ac:dyDescent="0.2">
      <c r="H5357" s="180"/>
      <c r="P5357" s="180" t="s">
        <v>257</v>
      </c>
      <c r="R5357" s="180" t="s">
        <v>257</v>
      </c>
    </row>
    <row r="5358" spans="8:18" x14ac:dyDescent="0.2">
      <c r="H5358" s="180"/>
      <c r="P5358" s="180" t="s">
        <v>257</v>
      </c>
      <c r="R5358" s="180" t="s">
        <v>257</v>
      </c>
    </row>
    <row r="5359" spans="8:18" x14ac:dyDescent="0.2">
      <c r="H5359" s="180"/>
      <c r="P5359" s="180" t="s">
        <v>257</v>
      </c>
      <c r="R5359" s="180" t="s">
        <v>257</v>
      </c>
    </row>
    <row r="5360" spans="8:18" x14ac:dyDescent="0.2">
      <c r="H5360" s="180"/>
      <c r="P5360" s="180" t="s">
        <v>257</v>
      </c>
      <c r="R5360" s="180" t="s">
        <v>257</v>
      </c>
    </row>
    <row r="5361" spans="8:18" x14ac:dyDescent="0.2">
      <c r="H5361" s="180"/>
      <c r="P5361" s="180" t="s">
        <v>257</v>
      </c>
      <c r="R5361" s="180" t="s">
        <v>257</v>
      </c>
    </row>
    <row r="5362" spans="8:18" x14ac:dyDescent="0.2">
      <c r="H5362" s="180"/>
      <c r="P5362" s="180" t="s">
        <v>257</v>
      </c>
      <c r="R5362" s="180" t="s">
        <v>257</v>
      </c>
    </row>
    <row r="5363" spans="8:18" x14ac:dyDescent="0.2">
      <c r="H5363" s="180"/>
      <c r="P5363" s="180" t="s">
        <v>257</v>
      </c>
      <c r="R5363" s="180" t="s">
        <v>257</v>
      </c>
    </row>
    <row r="5364" spans="8:18" x14ac:dyDescent="0.2">
      <c r="H5364" s="180"/>
      <c r="P5364" s="180" t="s">
        <v>257</v>
      </c>
      <c r="R5364" s="180" t="s">
        <v>257</v>
      </c>
    </row>
    <row r="5365" spans="8:18" x14ac:dyDescent="0.2">
      <c r="H5365" s="180"/>
      <c r="P5365" s="180" t="s">
        <v>257</v>
      </c>
      <c r="R5365" s="180" t="s">
        <v>257</v>
      </c>
    </row>
    <row r="5366" spans="8:18" x14ac:dyDescent="0.2">
      <c r="H5366" s="180"/>
      <c r="P5366" s="180" t="s">
        <v>257</v>
      </c>
      <c r="R5366" s="180" t="s">
        <v>257</v>
      </c>
    </row>
    <row r="5367" spans="8:18" x14ac:dyDescent="0.2">
      <c r="H5367" s="180"/>
      <c r="P5367" s="180" t="s">
        <v>257</v>
      </c>
      <c r="R5367" s="180" t="s">
        <v>257</v>
      </c>
    </row>
    <row r="5368" spans="8:18" x14ac:dyDescent="0.2">
      <c r="H5368" s="180"/>
      <c r="P5368" s="180" t="s">
        <v>257</v>
      </c>
      <c r="R5368" s="180" t="s">
        <v>257</v>
      </c>
    </row>
    <row r="5369" spans="8:18" x14ac:dyDescent="0.2">
      <c r="H5369" s="180"/>
      <c r="P5369" s="180" t="s">
        <v>257</v>
      </c>
      <c r="R5369" s="180" t="s">
        <v>257</v>
      </c>
    </row>
    <row r="5370" spans="8:18" x14ac:dyDescent="0.2">
      <c r="H5370" s="180"/>
      <c r="P5370" s="180" t="s">
        <v>257</v>
      </c>
      <c r="R5370" s="180" t="s">
        <v>257</v>
      </c>
    </row>
    <row r="5371" spans="8:18" x14ac:dyDescent="0.2">
      <c r="H5371" s="180"/>
      <c r="P5371" s="180" t="s">
        <v>257</v>
      </c>
      <c r="R5371" s="180" t="s">
        <v>257</v>
      </c>
    </row>
    <row r="5372" spans="8:18" x14ac:dyDescent="0.2">
      <c r="H5372" s="180"/>
      <c r="P5372" s="180" t="s">
        <v>257</v>
      </c>
      <c r="R5372" s="180" t="s">
        <v>257</v>
      </c>
    </row>
    <row r="5373" spans="8:18" x14ac:dyDescent="0.2">
      <c r="H5373" s="180"/>
      <c r="P5373" s="180" t="s">
        <v>257</v>
      </c>
      <c r="R5373" s="180" t="s">
        <v>257</v>
      </c>
    </row>
    <row r="5374" spans="8:18" x14ac:dyDescent="0.2">
      <c r="H5374" s="180"/>
      <c r="P5374" s="180" t="s">
        <v>257</v>
      </c>
      <c r="R5374" s="180" t="s">
        <v>257</v>
      </c>
    </row>
    <row r="5375" spans="8:18" x14ac:dyDescent="0.2">
      <c r="H5375" s="180"/>
      <c r="P5375" s="180" t="s">
        <v>257</v>
      </c>
      <c r="R5375" s="180" t="s">
        <v>257</v>
      </c>
    </row>
    <row r="5376" spans="8:18" x14ac:dyDescent="0.2">
      <c r="H5376" s="180"/>
      <c r="P5376" s="180" t="s">
        <v>257</v>
      </c>
      <c r="R5376" s="180" t="s">
        <v>257</v>
      </c>
    </row>
    <row r="5377" spans="8:18" x14ac:dyDescent="0.2">
      <c r="H5377" s="180"/>
      <c r="P5377" s="180" t="s">
        <v>257</v>
      </c>
      <c r="R5377" s="180" t="s">
        <v>257</v>
      </c>
    </row>
    <row r="5378" spans="8:18" x14ac:dyDescent="0.2">
      <c r="H5378" s="180"/>
      <c r="P5378" s="180" t="s">
        <v>257</v>
      </c>
      <c r="R5378" s="180" t="s">
        <v>257</v>
      </c>
    </row>
    <row r="5379" spans="8:18" x14ac:dyDescent="0.2">
      <c r="H5379" s="180"/>
      <c r="P5379" s="180" t="s">
        <v>257</v>
      </c>
      <c r="R5379" s="180" t="s">
        <v>257</v>
      </c>
    </row>
    <row r="5380" spans="8:18" x14ac:dyDescent="0.2">
      <c r="H5380" s="180"/>
      <c r="P5380" s="180" t="s">
        <v>257</v>
      </c>
      <c r="R5380" s="180" t="s">
        <v>257</v>
      </c>
    </row>
    <row r="5381" spans="8:18" x14ac:dyDescent="0.2">
      <c r="H5381" s="180"/>
      <c r="P5381" s="180" t="s">
        <v>257</v>
      </c>
      <c r="R5381" s="180" t="s">
        <v>257</v>
      </c>
    </row>
    <row r="5382" spans="8:18" x14ac:dyDescent="0.2">
      <c r="H5382" s="180"/>
      <c r="P5382" s="180" t="s">
        <v>257</v>
      </c>
      <c r="R5382" s="180" t="s">
        <v>257</v>
      </c>
    </row>
    <row r="5383" spans="8:18" x14ac:dyDescent="0.2">
      <c r="H5383" s="180"/>
      <c r="P5383" s="180" t="s">
        <v>257</v>
      </c>
      <c r="R5383" s="180" t="s">
        <v>257</v>
      </c>
    </row>
    <row r="5384" spans="8:18" x14ac:dyDescent="0.2">
      <c r="H5384" s="180"/>
      <c r="P5384" s="180" t="s">
        <v>257</v>
      </c>
      <c r="R5384" s="180" t="s">
        <v>257</v>
      </c>
    </row>
    <row r="5385" spans="8:18" x14ac:dyDescent="0.2">
      <c r="H5385" s="180"/>
      <c r="P5385" s="180" t="s">
        <v>257</v>
      </c>
      <c r="R5385" s="180" t="s">
        <v>257</v>
      </c>
    </row>
    <row r="5386" spans="8:18" x14ac:dyDescent="0.2">
      <c r="H5386" s="180"/>
      <c r="P5386" s="180" t="s">
        <v>257</v>
      </c>
      <c r="R5386" s="180" t="s">
        <v>257</v>
      </c>
    </row>
    <row r="5387" spans="8:18" x14ac:dyDescent="0.2">
      <c r="H5387" s="180"/>
      <c r="P5387" s="180" t="s">
        <v>257</v>
      </c>
      <c r="R5387" s="180" t="s">
        <v>257</v>
      </c>
    </row>
    <row r="5388" spans="8:18" x14ac:dyDescent="0.2">
      <c r="H5388" s="180"/>
      <c r="P5388" s="180" t="s">
        <v>257</v>
      </c>
      <c r="R5388" s="180" t="s">
        <v>257</v>
      </c>
    </row>
    <row r="5389" spans="8:18" x14ac:dyDescent="0.2">
      <c r="H5389" s="180"/>
      <c r="P5389" s="180" t="s">
        <v>257</v>
      </c>
      <c r="R5389" s="180" t="s">
        <v>257</v>
      </c>
    </row>
    <row r="5390" spans="8:18" x14ac:dyDescent="0.2">
      <c r="H5390" s="180"/>
      <c r="P5390" s="180" t="s">
        <v>257</v>
      </c>
      <c r="R5390" s="180" t="s">
        <v>257</v>
      </c>
    </row>
    <row r="5391" spans="8:18" x14ac:dyDescent="0.2">
      <c r="H5391" s="180"/>
      <c r="P5391" s="180" t="s">
        <v>257</v>
      </c>
      <c r="R5391" s="180" t="s">
        <v>257</v>
      </c>
    </row>
    <row r="5392" spans="8:18" x14ac:dyDescent="0.2">
      <c r="H5392" s="180"/>
      <c r="P5392" s="180" t="s">
        <v>257</v>
      </c>
      <c r="R5392" s="180" t="s">
        <v>257</v>
      </c>
    </row>
    <row r="5393" spans="8:18" x14ac:dyDescent="0.2">
      <c r="H5393" s="180"/>
      <c r="P5393" s="180" t="s">
        <v>257</v>
      </c>
      <c r="R5393" s="180" t="s">
        <v>257</v>
      </c>
    </row>
    <row r="5394" spans="8:18" x14ac:dyDescent="0.2">
      <c r="H5394" s="180"/>
      <c r="P5394" s="180" t="s">
        <v>257</v>
      </c>
      <c r="R5394" s="180" t="s">
        <v>257</v>
      </c>
    </row>
    <row r="5395" spans="8:18" x14ac:dyDescent="0.2">
      <c r="H5395" s="180"/>
      <c r="P5395" s="180" t="s">
        <v>257</v>
      </c>
      <c r="R5395" s="180" t="s">
        <v>257</v>
      </c>
    </row>
    <row r="5396" spans="8:18" x14ac:dyDescent="0.2">
      <c r="H5396" s="180"/>
      <c r="P5396" s="180" t="s">
        <v>257</v>
      </c>
      <c r="R5396" s="180" t="s">
        <v>257</v>
      </c>
    </row>
    <row r="5397" spans="8:18" x14ac:dyDescent="0.2">
      <c r="H5397" s="180"/>
      <c r="P5397" s="180" t="s">
        <v>257</v>
      </c>
      <c r="R5397" s="180" t="s">
        <v>257</v>
      </c>
    </row>
    <row r="5398" spans="8:18" x14ac:dyDescent="0.2">
      <c r="H5398" s="180"/>
      <c r="P5398" s="180" t="s">
        <v>257</v>
      </c>
      <c r="R5398" s="180" t="s">
        <v>257</v>
      </c>
    </row>
    <row r="5399" spans="8:18" x14ac:dyDescent="0.2">
      <c r="H5399" s="180"/>
      <c r="P5399" s="180" t="s">
        <v>257</v>
      </c>
      <c r="R5399" s="180" t="s">
        <v>257</v>
      </c>
    </row>
    <row r="5400" spans="8:18" x14ac:dyDescent="0.2">
      <c r="H5400" s="180"/>
      <c r="P5400" s="180" t="s">
        <v>257</v>
      </c>
      <c r="R5400" s="180" t="s">
        <v>257</v>
      </c>
    </row>
    <row r="5401" spans="8:18" x14ac:dyDescent="0.2">
      <c r="H5401" s="180"/>
      <c r="P5401" s="180" t="s">
        <v>257</v>
      </c>
      <c r="R5401" s="180" t="s">
        <v>257</v>
      </c>
    </row>
    <row r="5402" spans="8:18" x14ac:dyDescent="0.2">
      <c r="H5402" s="180"/>
      <c r="P5402" s="180" t="s">
        <v>257</v>
      </c>
      <c r="R5402" s="180" t="s">
        <v>257</v>
      </c>
    </row>
    <row r="5403" spans="8:18" x14ac:dyDescent="0.2">
      <c r="H5403" s="180"/>
      <c r="P5403" s="180" t="s">
        <v>257</v>
      </c>
      <c r="R5403" s="180" t="s">
        <v>257</v>
      </c>
    </row>
    <row r="5404" spans="8:18" x14ac:dyDescent="0.2">
      <c r="H5404" s="180"/>
      <c r="P5404" s="180" t="s">
        <v>257</v>
      </c>
      <c r="R5404" s="180" t="s">
        <v>257</v>
      </c>
    </row>
    <row r="5405" spans="8:18" x14ac:dyDescent="0.2">
      <c r="H5405" s="180"/>
      <c r="P5405" s="180" t="s">
        <v>257</v>
      </c>
      <c r="R5405" s="180" t="s">
        <v>257</v>
      </c>
    </row>
    <row r="5406" spans="8:18" x14ac:dyDescent="0.2">
      <c r="H5406" s="180"/>
      <c r="P5406" s="180" t="s">
        <v>257</v>
      </c>
      <c r="R5406" s="180" t="s">
        <v>257</v>
      </c>
    </row>
    <row r="5407" spans="8:18" x14ac:dyDescent="0.2">
      <c r="H5407" s="180"/>
      <c r="P5407" s="180" t="s">
        <v>257</v>
      </c>
      <c r="R5407" s="180" t="s">
        <v>257</v>
      </c>
    </row>
    <row r="5408" spans="8:18" x14ac:dyDescent="0.2">
      <c r="H5408" s="180"/>
      <c r="P5408" s="180" t="s">
        <v>257</v>
      </c>
      <c r="R5408" s="180" t="s">
        <v>257</v>
      </c>
    </row>
    <row r="5409" spans="8:18" x14ac:dyDescent="0.2">
      <c r="H5409" s="180"/>
      <c r="P5409" s="180" t="s">
        <v>257</v>
      </c>
      <c r="R5409" s="180" t="s">
        <v>257</v>
      </c>
    </row>
    <row r="5410" spans="8:18" x14ac:dyDescent="0.2">
      <c r="H5410" s="180"/>
      <c r="P5410" s="180" t="s">
        <v>257</v>
      </c>
      <c r="R5410" s="180" t="s">
        <v>257</v>
      </c>
    </row>
    <row r="5411" spans="8:18" x14ac:dyDescent="0.2">
      <c r="H5411" s="180"/>
      <c r="P5411" s="180" t="s">
        <v>257</v>
      </c>
      <c r="R5411" s="180" t="s">
        <v>257</v>
      </c>
    </row>
    <row r="5412" spans="8:18" x14ac:dyDescent="0.2">
      <c r="H5412" s="180"/>
      <c r="P5412" s="180" t="s">
        <v>257</v>
      </c>
      <c r="R5412" s="180" t="s">
        <v>257</v>
      </c>
    </row>
    <row r="5413" spans="8:18" x14ac:dyDescent="0.2">
      <c r="H5413" s="180"/>
      <c r="P5413" s="180" t="s">
        <v>257</v>
      </c>
      <c r="R5413" s="180" t="s">
        <v>257</v>
      </c>
    </row>
    <row r="5414" spans="8:18" x14ac:dyDescent="0.2">
      <c r="H5414" s="180"/>
      <c r="P5414" s="180" t="s">
        <v>257</v>
      </c>
      <c r="R5414" s="180" t="s">
        <v>257</v>
      </c>
    </row>
    <row r="5415" spans="8:18" x14ac:dyDescent="0.2">
      <c r="H5415" s="180"/>
      <c r="P5415" s="180" t="s">
        <v>257</v>
      </c>
      <c r="R5415" s="180" t="s">
        <v>257</v>
      </c>
    </row>
    <row r="5416" spans="8:18" x14ac:dyDescent="0.2">
      <c r="H5416" s="180"/>
      <c r="P5416" s="180" t="s">
        <v>257</v>
      </c>
      <c r="R5416" s="180" t="s">
        <v>257</v>
      </c>
    </row>
    <row r="5417" spans="8:18" x14ac:dyDescent="0.2">
      <c r="H5417" s="180"/>
      <c r="P5417" s="180" t="s">
        <v>257</v>
      </c>
      <c r="R5417" s="180" t="s">
        <v>257</v>
      </c>
    </row>
    <row r="5418" spans="8:18" x14ac:dyDescent="0.2">
      <c r="H5418" s="180"/>
      <c r="P5418" s="180" t="s">
        <v>257</v>
      </c>
      <c r="R5418" s="180" t="s">
        <v>257</v>
      </c>
    </row>
    <row r="5419" spans="8:18" x14ac:dyDescent="0.2">
      <c r="H5419" s="180"/>
      <c r="P5419" s="180" t="s">
        <v>257</v>
      </c>
      <c r="R5419" s="180" t="s">
        <v>257</v>
      </c>
    </row>
    <row r="5420" spans="8:18" x14ac:dyDescent="0.2">
      <c r="H5420" s="180"/>
      <c r="P5420" s="180" t="s">
        <v>257</v>
      </c>
      <c r="R5420" s="180" t="s">
        <v>257</v>
      </c>
    </row>
    <row r="5421" spans="8:18" x14ac:dyDescent="0.2">
      <c r="H5421" s="180"/>
      <c r="P5421" s="180" t="s">
        <v>257</v>
      </c>
      <c r="R5421" s="180" t="s">
        <v>257</v>
      </c>
    </row>
    <row r="5422" spans="8:18" x14ac:dyDescent="0.2">
      <c r="H5422" s="180"/>
      <c r="P5422" s="180" t="s">
        <v>257</v>
      </c>
      <c r="R5422" s="180" t="s">
        <v>257</v>
      </c>
    </row>
    <row r="5423" spans="8:18" x14ac:dyDescent="0.2">
      <c r="H5423" s="180"/>
      <c r="P5423" s="180" t="s">
        <v>257</v>
      </c>
      <c r="R5423" s="180" t="s">
        <v>257</v>
      </c>
    </row>
    <row r="5424" spans="8:18" x14ac:dyDescent="0.2">
      <c r="H5424" s="180"/>
      <c r="P5424" s="180" t="s">
        <v>257</v>
      </c>
      <c r="R5424" s="180" t="s">
        <v>257</v>
      </c>
    </row>
    <row r="5425" spans="8:18" x14ac:dyDescent="0.2">
      <c r="H5425" s="180"/>
      <c r="P5425" s="180" t="s">
        <v>257</v>
      </c>
      <c r="R5425" s="180" t="s">
        <v>257</v>
      </c>
    </row>
    <row r="5426" spans="8:18" x14ac:dyDescent="0.2">
      <c r="H5426" s="180"/>
      <c r="P5426" s="180" t="s">
        <v>257</v>
      </c>
      <c r="R5426" s="180" t="s">
        <v>257</v>
      </c>
    </row>
    <row r="5427" spans="8:18" x14ac:dyDescent="0.2">
      <c r="H5427" s="180"/>
      <c r="P5427" s="180" t="s">
        <v>257</v>
      </c>
      <c r="R5427" s="180" t="s">
        <v>257</v>
      </c>
    </row>
    <row r="5428" spans="8:18" x14ac:dyDescent="0.2">
      <c r="H5428" s="180"/>
      <c r="P5428" s="180" t="s">
        <v>257</v>
      </c>
      <c r="R5428" s="180" t="s">
        <v>257</v>
      </c>
    </row>
    <row r="5429" spans="8:18" x14ac:dyDescent="0.2">
      <c r="H5429" s="180"/>
      <c r="P5429" s="180" t="s">
        <v>257</v>
      </c>
      <c r="R5429" s="180" t="s">
        <v>257</v>
      </c>
    </row>
    <row r="5430" spans="8:18" x14ac:dyDescent="0.2">
      <c r="H5430" s="180"/>
      <c r="P5430" s="180" t="s">
        <v>257</v>
      </c>
      <c r="R5430" s="180" t="s">
        <v>257</v>
      </c>
    </row>
    <row r="5431" spans="8:18" x14ac:dyDescent="0.2">
      <c r="H5431" s="180"/>
      <c r="P5431" s="180" t="s">
        <v>257</v>
      </c>
      <c r="R5431" s="180" t="s">
        <v>257</v>
      </c>
    </row>
    <row r="5432" spans="8:18" x14ac:dyDescent="0.2">
      <c r="H5432" s="180"/>
      <c r="P5432" s="180" t="s">
        <v>257</v>
      </c>
      <c r="R5432" s="180" t="s">
        <v>257</v>
      </c>
    </row>
    <row r="5433" spans="8:18" x14ac:dyDescent="0.2">
      <c r="H5433" s="180"/>
      <c r="P5433" s="180" t="s">
        <v>257</v>
      </c>
      <c r="R5433" s="180" t="s">
        <v>257</v>
      </c>
    </row>
    <row r="5434" spans="8:18" x14ac:dyDescent="0.2">
      <c r="H5434" s="180"/>
      <c r="P5434" s="180" t="s">
        <v>257</v>
      </c>
      <c r="R5434" s="180" t="s">
        <v>257</v>
      </c>
    </row>
    <row r="5435" spans="8:18" x14ac:dyDescent="0.2">
      <c r="H5435" s="180"/>
      <c r="P5435" s="180" t="s">
        <v>257</v>
      </c>
      <c r="R5435" s="180" t="s">
        <v>257</v>
      </c>
    </row>
    <row r="5436" spans="8:18" x14ac:dyDescent="0.2">
      <c r="H5436" s="180"/>
      <c r="P5436" s="180" t="s">
        <v>257</v>
      </c>
      <c r="R5436" s="180" t="s">
        <v>257</v>
      </c>
    </row>
    <row r="5437" spans="8:18" x14ac:dyDescent="0.2">
      <c r="H5437" s="180"/>
      <c r="P5437" s="180" t="s">
        <v>257</v>
      </c>
      <c r="R5437" s="180" t="s">
        <v>257</v>
      </c>
    </row>
    <row r="5438" spans="8:18" x14ac:dyDescent="0.2">
      <c r="H5438" s="180"/>
      <c r="P5438" s="180" t="s">
        <v>257</v>
      </c>
      <c r="R5438" s="180" t="s">
        <v>257</v>
      </c>
    </row>
    <row r="5439" spans="8:18" x14ac:dyDescent="0.2">
      <c r="H5439" s="180"/>
      <c r="P5439" s="180" t="s">
        <v>257</v>
      </c>
      <c r="R5439" s="180" t="s">
        <v>257</v>
      </c>
    </row>
    <row r="5440" spans="8:18" x14ac:dyDescent="0.2">
      <c r="H5440" s="180"/>
      <c r="P5440" s="180" t="s">
        <v>257</v>
      </c>
      <c r="R5440" s="180" t="s">
        <v>257</v>
      </c>
    </row>
    <row r="5441" spans="8:18" x14ac:dyDescent="0.2">
      <c r="H5441" s="180"/>
      <c r="P5441" s="180" t="s">
        <v>257</v>
      </c>
      <c r="R5441" s="180" t="s">
        <v>257</v>
      </c>
    </row>
    <row r="5442" spans="8:18" x14ac:dyDescent="0.2">
      <c r="H5442" s="180"/>
      <c r="P5442" s="180" t="s">
        <v>257</v>
      </c>
      <c r="R5442" s="180" t="s">
        <v>257</v>
      </c>
    </row>
    <row r="5443" spans="8:18" x14ac:dyDescent="0.2">
      <c r="H5443" s="180"/>
      <c r="P5443" s="180" t="s">
        <v>257</v>
      </c>
      <c r="R5443" s="180" t="s">
        <v>257</v>
      </c>
    </row>
    <row r="5444" spans="8:18" x14ac:dyDescent="0.2">
      <c r="H5444" s="180"/>
      <c r="P5444" s="180" t="s">
        <v>257</v>
      </c>
      <c r="R5444" s="180" t="s">
        <v>257</v>
      </c>
    </row>
    <row r="5445" spans="8:18" x14ac:dyDescent="0.2">
      <c r="H5445" s="180"/>
      <c r="P5445" s="180" t="s">
        <v>257</v>
      </c>
      <c r="R5445" s="180" t="s">
        <v>257</v>
      </c>
    </row>
    <row r="5446" spans="8:18" x14ac:dyDescent="0.2">
      <c r="H5446" s="180"/>
      <c r="P5446" s="180" t="s">
        <v>257</v>
      </c>
      <c r="R5446" s="180" t="s">
        <v>257</v>
      </c>
    </row>
    <row r="5447" spans="8:18" x14ac:dyDescent="0.2">
      <c r="H5447" s="180"/>
      <c r="P5447" s="180" t="s">
        <v>257</v>
      </c>
      <c r="R5447" s="180" t="s">
        <v>257</v>
      </c>
    </row>
    <row r="5448" spans="8:18" x14ac:dyDescent="0.2">
      <c r="H5448" s="180"/>
      <c r="P5448" s="180" t="s">
        <v>257</v>
      </c>
      <c r="R5448" s="180" t="s">
        <v>257</v>
      </c>
    </row>
    <row r="5449" spans="8:18" x14ac:dyDescent="0.2">
      <c r="H5449" s="180"/>
      <c r="P5449" s="180" t="s">
        <v>257</v>
      </c>
      <c r="R5449" s="180" t="s">
        <v>257</v>
      </c>
    </row>
    <row r="5450" spans="8:18" x14ac:dyDescent="0.2">
      <c r="H5450" s="180"/>
      <c r="P5450" s="180" t="s">
        <v>257</v>
      </c>
      <c r="R5450" s="180" t="s">
        <v>257</v>
      </c>
    </row>
    <row r="5451" spans="8:18" x14ac:dyDescent="0.2">
      <c r="H5451" s="180"/>
      <c r="P5451" s="180" t="s">
        <v>257</v>
      </c>
      <c r="R5451" s="180" t="s">
        <v>257</v>
      </c>
    </row>
    <row r="5452" spans="8:18" x14ac:dyDescent="0.2">
      <c r="H5452" s="180"/>
      <c r="P5452" s="180" t="s">
        <v>257</v>
      </c>
      <c r="R5452" s="180" t="s">
        <v>257</v>
      </c>
    </row>
    <row r="5453" spans="8:18" x14ac:dyDescent="0.2">
      <c r="H5453" s="180"/>
      <c r="P5453" s="180" t="s">
        <v>257</v>
      </c>
      <c r="R5453" s="180" t="s">
        <v>257</v>
      </c>
    </row>
    <row r="5454" spans="8:18" x14ac:dyDescent="0.2">
      <c r="H5454" s="180"/>
      <c r="P5454" s="180" t="s">
        <v>257</v>
      </c>
      <c r="R5454" s="180" t="s">
        <v>257</v>
      </c>
    </row>
    <row r="5455" spans="8:18" x14ac:dyDescent="0.2">
      <c r="H5455" s="180"/>
      <c r="P5455" s="180" t="s">
        <v>257</v>
      </c>
      <c r="R5455" s="180" t="s">
        <v>257</v>
      </c>
    </row>
    <row r="5456" spans="8:18" x14ac:dyDescent="0.2">
      <c r="H5456" s="180"/>
      <c r="P5456" s="180" t="s">
        <v>257</v>
      </c>
      <c r="R5456" s="180" t="s">
        <v>257</v>
      </c>
    </row>
    <row r="5457" spans="8:18" x14ac:dyDescent="0.2">
      <c r="H5457" s="180"/>
      <c r="P5457" s="180" t="s">
        <v>257</v>
      </c>
      <c r="R5457" s="180" t="s">
        <v>257</v>
      </c>
    </row>
    <row r="5458" spans="8:18" x14ac:dyDescent="0.2">
      <c r="H5458" s="180"/>
      <c r="P5458" s="180" t="s">
        <v>257</v>
      </c>
      <c r="R5458" s="180" t="s">
        <v>257</v>
      </c>
    </row>
    <row r="5459" spans="8:18" x14ac:dyDescent="0.2">
      <c r="H5459" s="180"/>
      <c r="P5459" s="180" t="s">
        <v>257</v>
      </c>
      <c r="R5459" s="180" t="s">
        <v>257</v>
      </c>
    </row>
    <row r="5460" spans="8:18" x14ac:dyDescent="0.2">
      <c r="H5460" s="180"/>
      <c r="P5460" s="180" t="s">
        <v>257</v>
      </c>
      <c r="R5460" s="180" t="s">
        <v>257</v>
      </c>
    </row>
    <row r="5461" spans="8:18" x14ac:dyDescent="0.2">
      <c r="H5461" s="180"/>
      <c r="P5461" s="180" t="s">
        <v>257</v>
      </c>
      <c r="R5461" s="180" t="s">
        <v>257</v>
      </c>
    </row>
    <row r="5462" spans="8:18" x14ac:dyDescent="0.2">
      <c r="H5462" s="180"/>
      <c r="P5462" s="180" t="s">
        <v>257</v>
      </c>
      <c r="R5462" s="180" t="s">
        <v>257</v>
      </c>
    </row>
    <row r="5463" spans="8:18" x14ac:dyDescent="0.2">
      <c r="H5463" s="180"/>
      <c r="P5463" s="180" t="s">
        <v>257</v>
      </c>
      <c r="R5463" s="180" t="s">
        <v>257</v>
      </c>
    </row>
    <row r="5464" spans="8:18" x14ac:dyDescent="0.2">
      <c r="H5464" s="180"/>
      <c r="P5464" s="180" t="s">
        <v>257</v>
      </c>
      <c r="R5464" s="180" t="s">
        <v>257</v>
      </c>
    </row>
    <row r="5465" spans="8:18" x14ac:dyDescent="0.2">
      <c r="H5465" s="180"/>
      <c r="P5465" s="180" t="s">
        <v>257</v>
      </c>
      <c r="R5465" s="180" t="s">
        <v>257</v>
      </c>
    </row>
    <row r="5466" spans="8:18" x14ac:dyDescent="0.2">
      <c r="H5466" s="180"/>
      <c r="P5466" s="180" t="s">
        <v>257</v>
      </c>
      <c r="R5466" s="180" t="s">
        <v>257</v>
      </c>
    </row>
    <row r="5467" spans="8:18" x14ac:dyDescent="0.2">
      <c r="H5467" s="180"/>
      <c r="P5467" s="180" t="s">
        <v>257</v>
      </c>
      <c r="R5467" s="180" t="s">
        <v>257</v>
      </c>
    </row>
    <row r="5468" spans="8:18" x14ac:dyDescent="0.2">
      <c r="H5468" s="180"/>
      <c r="P5468" s="180" t="s">
        <v>257</v>
      </c>
      <c r="R5468" s="180" t="s">
        <v>257</v>
      </c>
    </row>
    <row r="5469" spans="8:18" x14ac:dyDescent="0.2">
      <c r="H5469" s="180"/>
      <c r="P5469" s="180" t="s">
        <v>257</v>
      </c>
      <c r="R5469" s="180" t="s">
        <v>257</v>
      </c>
    </row>
    <row r="5470" spans="8:18" x14ac:dyDescent="0.2">
      <c r="H5470" s="180"/>
      <c r="P5470" s="180" t="s">
        <v>257</v>
      </c>
      <c r="R5470" s="180" t="s">
        <v>257</v>
      </c>
    </row>
    <row r="5471" spans="8:18" x14ac:dyDescent="0.2">
      <c r="H5471" s="180"/>
      <c r="P5471" s="180" t="s">
        <v>257</v>
      </c>
      <c r="R5471" s="180" t="s">
        <v>257</v>
      </c>
    </row>
    <row r="5472" spans="8:18" x14ac:dyDescent="0.2">
      <c r="H5472" s="180"/>
      <c r="P5472" s="180" t="s">
        <v>257</v>
      </c>
      <c r="R5472" s="180" t="s">
        <v>257</v>
      </c>
    </row>
    <row r="5473" spans="8:18" x14ac:dyDescent="0.2">
      <c r="H5473" s="180"/>
      <c r="P5473" s="180" t="s">
        <v>257</v>
      </c>
      <c r="R5473" s="180" t="s">
        <v>257</v>
      </c>
    </row>
    <row r="5474" spans="8:18" x14ac:dyDescent="0.2">
      <c r="H5474" s="180"/>
      <c r="P5474" s="180" t="s">
        <v>257</v>
      </c>
      <c r="R5474" s="180" t="s">
        <v>257</v>
      </c>
    </row>
    <row r="5475" spans="8:18" x14ac:dyDescent="0.2">
      <c r="H5475" s="180"/>
      <c r="P5475" s="180" t="s">
        <v>257</v>
      </c>
      <c r="R5475" s="180" t="s">
        <v>257</v>
      </c>
    </row>
    <row r="5476" spans="8:18" x14ac:dyDescent="0.2">
      <c r="H5476" s="180"/>
      <c r="P5476" s="180" t="s">
        <v>257</v>
      </c>
      <c r="R5476" s="180" t="s">
        <v>257</v>
      </c>
    </row>
    <row r="5477" spans="8:18" x14ac:dyDescent="0.2">
      <c r="H5477" s="180"/>
      <c r="P5477" s="180" t="s">
        <v>257</v>
      </c>
      <c r="R5477" s="180" t="s">
        <v>257</v>
      </c>
    </row>
    <row r="5478" spans="8:18" x14ac:dyDescent="0.2">
      <c r="H5478" s="180"/>
      <c r="P5478" s="180" t="s">
        <v>257</v>
      </c>
      <c r="R5478" s="180" t="s">
        <v>257</v>
      </c>
    </row>
    <row r="5479" spans="8:18" x14ac:dyDescent="0.2">
      <c r="H5479" s="180"/>
      <c r="P5479" s="180" t="s">
        <v>257</v>
      </c>
      <c r="R5479" s="180" t="s">
        <v>257</v>
      </c>
    </row>
    <row r="5480" spans="8:18" x14ac:dyDescent="0.2">
      <c r="H5480" s="180"/>
      <c r="P5480" s="180" t="s">
        <v>257</v>
      </c>
      <c r="R5480" s="180" t="s">
        <v>257</v>
      </c>
    </row>
    <row r="5481" spans="8:18" x14ac:dyDescent="0.2">
      <c r="H5481" s="180"/>
      <c r="P5481" s="180" t="s">
        <v>257</v>
      </c>
      <c r="R5481" s="180" t="s">
        <v>257</v>
      </c>
    </row>
    <row r="5482" spans="8:18" x14ac:dyDescent="0.2">
      <c r="H5482" s="180"/>
      <c r="P5482" s="180" t="s">
        <v>257</v>
      </c>
      <c r="R5482" s="180" t="s">
        <v>257</v>
      </c>
    </row>
    <row r="5483" spans="8:18" x14ac:dyDescent="0.2">
      <c r="H5483" s="180"/>
      <c r="P5483" s="180" t="s">
        <v>257</v>
      </c>
      <c r="R5483" s="180" t="s">
        <v>257</v>
      </c>
    </row>
    <row r="5484" spans="8:18" x14ac:dyDescent="0.2">
      <c r="H5484" s="180"/>
      <c r="P5484" s="180" t="s">
        <v>257</v>
      </c>
      <c r="R5484" s="180" t="s">
        <v>257</v>
      </c>
    </row>
    <row r="5485" spans="8:18" x14ac:dyDescent="0.2">
      <c r="H5485" s="180"/>
      <c r="P5485" s="180" t="s">
        <v>257</v>
      </c>
      <c r="R5485" s="180" t="s">
        <v>257</v>
      </c>
    </row>
    <row r="5486" spans="8:18" x14ac:dyDescent="0.2">
      <c r="H5486" s="180"/>
      <c r="P5486" s="180" t="s">
        <v>257</v>
      </c>
      <c r="R5486" s="180" t="s">
        <v>257</v>
      </c>
    </row>
    <row r="5487" spans="8:18" x14ac:dyDescent="0.2">
      <c r="H5487" s="180"/>
      <c r="P5487" s="180" t="s">
        <v>257</v>
      </c>
      <c r="R5487" s="180" t="s">
        <v>257</v>
      </c>
    </row>
    <row r="5488" spans="8:18" x14ac:dyDescent="0.2">
      <c r="H5488" s="180"/>
      <c r="P5488" s="180" t="s">
        <v>257</v>
      </c>
      <c r="R5488" s="180" t="s">
        <v>257</v>
      </c>
    </row>
    <row r="5489" spans="8:18" x14ac:dyDescent="0.2">
      <c r="H5489" s="180"/>
      <c r="P5489" s="180" t="s">
        <v>257</v>
      </c>
      <c r="R5489" s="180" t="s">
        <v>257</v>
      </c>
    </row>
    <row r="5490" spans="8:18" x14ac:dyDescent="0.2">
      <c r="H5490" s="180"/>
      <c r="P5490" s="180" t="s">
        <v>257</v>
      </c>
      <c r="R5490" s="180" t="s">
        <v>257</v>
      </c>
    </row>
    <row r="5491" spans="8:18" x14ac:dyDescent="0.2">
      <c r="H5491" s="180"/>
      <c r="P5491" s="180" t="s">
        <v>257</v>
      </c>
      <c r="R5491" s="180" t="s">
        <v>257</v>
      </c>
    </row>
    <row r="5492" spans="8:18" x14ac:dyDescent="0.2">
      <c r="H5492" s="180"/>
      <c r="P5492" s="180" t="s">
        <v>257</v>
      </c>
      <c r="R5492" s="180" t="s">
        <v>257</v>
      </c>
    </row>
    <row r="5493" spans="8:18" x14ac:dyDescent="0.2">
      <c r="H5493" s="180"/>
      <c r="P5493" s="180" t="s">
        <v>257</v>
      </c>
      <c r="R5493" s="180" t="s">
        <v>257</v>
      </c>
    </row>
    <row r="5494" spans="8:18" x14ac:dyDescent="0.2">
      <c r="H5494" s="180"/>
      <c r="P5494" s="180" t="s">
        <v>257</v>
      </c>
      <c r="R5494" s="180" t="s">
        <v>257</v>
      </c>
    </row>
    <row r="5495" spans="8:18" x14ac:dyDescent="0.2">
      <c r="H5495" s="180"/>
      <c r="P5495" s="180" t="s">
        <v>257</v>
      </c>
      <c r="R5495" s="180" t="s">
        <v>257</v>
      </c>
    </row>
    <row r="5496" spans="8:18" x14ac:dyDescent="0.2">
      <c r="H5496" s="180"/>
      <c r="P5496" s="180" t="s">
        <v>257</v>
      </c>
      <c r="R5496" s="180" t="s">
        <v>257</v>
      </c>
    </row>
    <row r="5497" spans="8:18" x14ac:dyDescent="0.2">
      <c r="H5497" s="180"/>
      <c r="P5497" s="180" t="s">
        <v>257</v>
      </c>
      <c r="R5497" s="180" t="s">
        <v>257</v>
      </c>
    </row>
    <row r="5498" spans="8:18" x14ac:dyDescent="0.2">
      <c r="H5498" s="180"/>
      <c r="P5498" s="180" t="s">
        <v>257</v>
      </c>
      <c r="R5498" s="180" t="s">
        <v>257</v>
      </c>
    </row>
    <row r="5499" spans="8:18" x14ac:dyDescent="0.2">
      <c r="H5499" s="180"/>
      <c r="P5499" s="180" t="s">
        <v>257</v>
      </c>
      <c r="R5499" s="180" t="s">
        <v>257</v>
      </c>
    </row>
    <row r="5500" spans="8:18" x14ac:dyDescent="0.2">
      <c r="H5500" s="180"/>
      <c r="P5500" s="180" t="s">
        <v>257</v>
      </c>
      <c r="R5500" s="180" t="s">
        <v>257</v>
      </c>
    </row>
    <row r="5501" spans="8:18" x14ac:dyDescent="0.2">
      <c r="H5501" s="180"/>
      <c r="P5501" s="180" t="s">
        <v>257</v>
      </c>
      <c r="R5501" s="180" t="s">
        <v>257</v>
      </c>
    </row>
    <row r="5502" spans="8:18" x14ac:dyDescent="0.2">
      <c r="H5502" s="180"/>
      <c r="P5502" s="180" t="s">
        <v>257</v>
      </c>
      <c r="R5502" s="180" t="s">
        <v>257</v>
      </c>
    </row>
    <row r="5503" spans="8:18" x14ac:dyDescent="0.2">
      <c r="H5503" s="180"/>
      <c r="P5503" s="180" t="s">
        <v>257</v>
      </c>
      <c r="R5503" s="180" t="s">
        <v>257</v>
      </c>
    </row>
    <row r="5504" spans="8:18" x14ac:dyDescent="0.2">
      <c r="H5504" s="180"/>
      <c r="P5504" s="180" t="s">
        <v>257</v>
      </c>
      <c r="R5504" s="180" t="s">
        <v>257</v>
      </c>
    </row>
    <row r="5505" spans="8:18" x14ac:dyDescent="0.2">
      <c r="H5505" s="180"/>
      <c r="P5505" s="180" t="s">
        <v>257</v>
      </c>
      <c r="R5505" s="180" t="s">
        <v>257</v>
      </c>
    </row>
    <row r="5506" spans="8:18" x14ac:dyDescent="0.2">
      <c r="H5506" s="180"/>
      <c r="P5506" s="180" t="s">
        <v>257</v>
      </c>
      <c r="R5506" s="180" t="s">
        <v>257</v>
      </c>
    </row>
    <row r="5507" spans="8:18" x14ac:dyDescent="0.2">
      <c r="H5507" s="180"/>
      <c r="P5507" s="180" t="s">
        <v>257</v>
      </c>
      <c r="R5507" s="180" t="s">
        <v>257</v>
      </c>
    </row>
    <row r="5508" spans="8:18" x14ac:dyDescent="0.2">
      <c r="H5508" s="180"/>
      <c r="P5508" s="180" t="s">
        <v>257</v>
      </c>
      <c r="R5508" s="180" t="s">
        <v>257</v>
      </c>
    </row>
    <row r="5509" spans="8:18" x14ac:dyDescent="0.2">
      <c r="H5509" s="180"/>
      <c r="P5509" s="180" t="s">
        <v>257</v>
      </c>
      <c r="R5509" s="180" t="s">
        <v>257</v>
      </c>
    </row>
    <row r="5510" spans="8:18" x14ac:dyDescent="0.2">
      <c r="H5510" s="180"/>
      <c r="P5510" s="180" t="s">
        <v>257</v>
      </c>
      <c r="R5510" s="180" t="s">
        <v>257</v>
      </c>
    </row>
    <row r="5511" spans="8:18" x14ac:dyDescent="0.2">
      <c r="H5511" s="180"/>
      <c r="P5511" s="180" t="s">
        <v>257</v>
      </c>
      <c r="R5511" s="180" t="s">
        <v>257</v>
      </c>
    </row>
    <row r="5512" spans="8:18" x14ac:dyDescent="0.2">
      <c r="H5512" s="180"/>
      <c r="P5512" s="180" t="s">
        <v>257</v>
      </c>
      <c r="R5512" s="180" t="s">
        <v>257</v>
      </c>
    </row>
    <row r="5513" spans="8:18" x14ac:dyDescent="0.2">
      <c r="H5513" s="180"/>
      <c r="P5513" s="180" t="s">
        <v>257</v>
      </c>
      <c r="R5513" s="180" t="s">
        <v>257</v>
      </c>
    </row>
    <row r="5514" spans="8:18" x14ac:dyDescent="0.2">
      <c r="H5514" s="180"/>
      <c r="P5514" s="180" t="s">
        <v>257</v>
      </c>
      <c r="R5514" s="180" t="s">
        <v>257</v>
      </c>
    </row>
    <row r="5515" spans="8:18" x14ac:dyDescent="0.2">
      <c r="H5515" s="180"/>
      <c r="P5515" s="180" t="s">
        <v>257</v>
      </c>
      <c r="R5515" s="180" t="s">
        <v>257</v>
      </c>
    </row>
    <row r="5516" spans="8:18" x14ac:dyDescent="0.2">
      <c r="H5516" s="180"/>
      <c r="P5516" s="180" t="s">
        <v>257</v>
      </c>
      <c r="R5516" s="180" t="s">
        <v>257</v>
      </c>
    </row>
    <row r="5517" spans="8:18" x14ac:dyDescent="0.2">
      <c r="H5517" s="180"/>
      <c r="P5517" s="180" t="s">
        <v>257</v>
      </c>
      <c r="R5517" s="180" t="s">
        <v>257</v>
      </c>
    </row>
    <row r="5518" spans="8:18" x14ac:dyDescent="0.2">
      <c r="H5518" s="180"/>
      <c r="P5518" s="180" t="s">
        <v>257</v>
      </c>
      <c r="R5518" s="180" t="s">
        <v>257</v>
      </c>
    </row>
    <row r="5519" spans="8:18" x14ac:dyDescent="0.2">
      <c r="H5519" s="180"/>
      <c r="P5519" s="180" t="s">
        <v>257</v>
      </c>
      <c r="R5519" s="180" t="s">
        <v>257</v>
      </c>
    </row>
    <row r="5520" spans="8:18" x14ac:dyDescent="0.2">
      <c r="H5520" s="180"/>
      <c r="P5520" s="180" t="s">
        <v>257</v>
      </c>
      <c r="R5520" s="180" t="s">
        <v>257</v>
      </c>
    </row>
    <row r="5521" spans="8:18" x14ac:dyDescent="0.2">
      <c r="H5521" s="180"/>
      <c r="P5521" s="180" t="s">
        <v>257</v>
      </c>
      <c r="R5521" s="180" t="s">
        <v>257</v>
      </c>
    </row>
    <row r="5522" spans="8:18" x14ac:dyDescent="0.2">
      <c r="H5522" s="180"/>
      <c r="P5522" s="180" t="s">
        <v>257</v>
      </c>
      <c r="R5522" s="180" t="s">
        <v>257</v>
      </c>
    </row>
    <row r="5523" spans="8:18" x14ac:dyDescent="0.2">
      <c r="H5523" s="180"/>
      <c r="P5523" s="180" t="s">
        <v>257</v>
      </c>
      <c r="R5523" s="180" t="s">
        <v>257</v>
      </c>
    </row>
    <row r="5524" spans="8:18" x14ac:dyDescent="0.2">
      <c r="H5524" s="180"/>
      <c r="P5524" s="180" t="s">
        <v>257</v>
      </c>
      <c r="R5524" s="180" t="s">
        <v>257</v>
      </c>
    </row>
    <row r="5525" spans="8:18" x14ac:dyDescent="0.2">
      <c r="H5525" s="180"/>
      <c r="P5525" s="180" t="s">
        <v>257</v>
      </c>
      <c r="R5525" s="180" t="s">
        <v>257</v>
      </c>
    </row>
    <row r="5526" spans="8:18" x14ac:dyDescent="0.2">
      <c r="H5526" s="180"/>
      <c r="P5526" s="180" t="s">
        <v>257</v>
      </c>
      <c r="R5526" s="180" t="s">
        <v>257</v>
      </c>
    </row>
    <row r="5527" spans="8:18" x14ac:dyDescent="0.2">
      <c r="H5527" s="180"/>
      <c r="P5527" s="180" t="s">
        <v>257</v>
      </c>
      <c r="R5527" s="180" t="s">
        <v>257</v>
      </c>
    </row>
    <row r="5528" spans="8:18" x14ac:dyDescent="0.2">
      <c r="H5528" s="180"/>
      <c r="P5528" s="180" t="s">
        <v>257</v>
      </c>
      <c r="R5528" s="180" t="s">
        <v>257</v>
      </c>
    </row>
    <row r="5529" spans="8:18" x14ac:dyDescent="0.2">
      <c r="H5529" s="180"/>
      <c r="P5529" s="180" t="s">
        <v>257</v>
      </c>
      <c r="R5529" s="180" t="s">
        <v>257</v>
      </c>
    </row>
    <row r="5530" spans="8:18" x14ac:dyDescent="0.2">
      <c r="H5530" s="180"/>
      <c r="P5530" s="180" t="s">
        <v>257</v>
      </c>
      <c r="R5530" s="180" t="s">
        <v>257</v>
      </c>
    </row>
    <row r="5531" spans="8:18" x14ac:dyDescent="0.2">
      <c r="H5531" s="180"/>
      <c r="P5531" s="180" t="s">
        <v>257</v>
      </c>
      <c r="R5531" s="180" t="s">
        <v>257</v>
      </c>
    </row>
    <row r="5532" spans="8:18" x14ac:dyDescent="0.2">
      <c r="H5532" s="180"/>
      <c r="P5532" s="180" t="s">
        <v>257</v>
      </c>
      <c r="R5532" s="180" t="s">
        <v>257</v>
      </c>
    </row>
    <row r="5533" spans="8:18" x14ac:dyDescent="0.2">
      <c r="H5533" s="180"/>
      <c r="P5533" s="180" t="s">
        <v>257</v>
      </c>
      <c r="R5533" s="180" t="s">
        <v>257</v>
      </c>
    </row>
    <row r="5534" spans="8:18" x14ac:dyDescent="0.2">
      <c r="H5534" s="180"/>
      <c r="P5534" s="180" t="s">
        <v>257</v>
      </c>
      <c r="R5534" s="180" t="s">
        <v>257</v>
      </c>
    </row>
    <row r="5535" spans="8:18" x14ac:dyDescent="0.2">
      <c r="H5535" s="180"/>
      <c r="P5535" s="180" t="s">
        <v>257</v>
      </c>
      <c r="R5535" s="180" t="s">
        <v>257</v>
      </c>
    </row>
    <row r="5536" spans="8:18" x14ac:dyDescent="0.2">
      <c r="H5536" s="180"/>
      <c r="P5536" s="180" t="s">
        <v>257</v>
      </c>
      <c r="R5536" s="180" t="s">
        <v>257</v>
      </c>
    </row>
    <row r="5537" spans="8:18" x14ac:dyDescent="0.2">
      <c r="H5537" s="180"/>
      <c r="P5537" s="180" t="s">
        <v>257</v>
      </c>
      <c r="R5537" s="180" t="s">
        <v>257</v>
      </c>
    </row>
    <row r="5538" spans="8:18" x14ac:dyDescent="0.2">
      <c r="H5538" s="180"/>
      <c r="P5538" s="180" t="s">
        <v>257</v>
      </c>
      <c r="R5538" s="180" t="s">
        <v>257</v>
      </c>
    </row>
    <row r="5539" spans="8:18" x14ac:dyDescent="0.2">
      <c r="H5539" s="180"/>
      <c r="P5539" s="180" t="s">
        <v>257</v>
      </c>
      <c r="R5539" s="180" t="s">
        <v>257</v>
      </c>
    </row>
    <row r="5540" spans="8:18" x14ac:dyDescent="0.2">
      <c r="H5540" s="180"/>
      <c r="P5540" s="180" t="s">
        <v>257</v>
      </c>
      <c r="R5540" s="180" t="s">
        <v>257</v>
      </c>
    </row>
    <row r="5541" spans="8:18" x14ac:dyDescent="0.2">
      <c r="H5541" s="180"/>
      <c r="P5541" s="180" t="s">
        <v>257</v>
      </c>
      <c r="R5541" s="180" t="s">
        <v>257</v>
      </c>
    </row>
    <row r="5542" spans="8:18" x14ac:dyDescent="0.2">
      <c r="H5542" s="180"/>
      <c r="P5542" s="180" t="s">
        <v>257</v>
      </c>
      <c r="R5542" s="180" t="s">
        <v>257</v>
      </c>
    </row>
    <row r="5543" spans="8:18" x14ac:dyDescent="0.2">
      <c r="H5543" s="180"/>
      <c r="P5543" s="180" t="s">
        <v>257</v>
      </c>
      <c r="R5543" s="180" t="s">
        <v>257</v>
      </c>
    </row>
    <row r="5544" spans="8:18" x14ac:dyDescent="0.2">
      <c r="H5544" s="180"/>
      <c r="P5544" s="180" t="s">
        <v>257</v>
      </c>
      <c r="R5544" s="180" t="s">
        <v>257</v>
      </c>
    </row>
    <row r="5545" spans="8:18" x14ac:dyDescent="0.2">
      <c r="H5545" s="180"/>
      <c r="P5545" s="180" t="s">
        <v>257</v>
      </c>
      <c r="R5545" s="180" t="s">
        <v>257</v>
      </c>
    </row>
    <row r="5546" spans="8:18" x14ac:dyDescent="0.2">
      <c r="H5546" s="180"/>
      <c r="P5546" s="180" t="s">
        <v>257</v>
      </c>
      <c r="R5546" s="180" t="s">
        <v>257</v>
      </c>
    </row>
    <row r="5547" spans="8:18" x14ac:dyDescent="0.2">
      <c r="H5547" s="180"/>
      <c r="P5547" s="180" t="s">
        <v>257</v>
      </c>
      <c r="R5547" s="180" t="s">
        <v>257</v>
      </c>
    </row>
    <row r="5548" spans="8:18" x14ac:dyDescent="0.2">
      <c r="H5548" s="180"/>
      <c r="P5548" s="180" t="s">
        <v>257</v>
      </c>
      <c r="R5548" s="180" t="s">
        <v>257</v>
      </c>
    </row>
    <row r="5549" spans="8:18" x14ac:dyDescent="0.2">
      <c r="H5549" s="180"/>
      <c r="P5549" s="180" t="s">
        <v>257</v>
      </c>
      <c r="R5549" s="180" t="s">
        <v>257</v>
      </c>
    </row>
    <row r="5550" spans="8:18" x14ac:dyDescent="0.2">
      <c r="H5550" s="180"/>
      <c r="P5550" s="180" t="s">
        <v>257</v>
      </c>
      <c r="R5550" s="180" t="s">
        <v>257</v>
      </c>
    </row>
    <row r="5551" spans="8:18" x14ac:dyDescent="0.2">
      <c r="H5551" s="180"/>
      <c r="P5551" s="180" t="s">
        <v>257</v>
      </c>
      <c r="R5551" s="180" t="s">
        <v>257</v>
      </c>
    </row>
    <row r="5552" spans="8:18" x14ac:dyDescent="0.2">
      <c r="H5552" s="180"/>
      <c r="P5552" s="180" t="s">
        <v>257</v>
      </c>
      <c r="R5552" s="180" t="s">
        <v>257</v>
      </c>
    </row>
    <row r="5553" spans="8:18" x14ac:dyDescent="0.2">
      <c r="H5553" s="180"/>
      <c r="P5553" s="180" t="s">
        <v>257</v>
      </c>
      <c r="R5553" s="180" t="s">
        <v>257</v>
      </c>
    </row>
    <row r="5554" spans="8:18" x14ac:dyDescent="0.2">
      <c r="H5554" s="180"/>
      <c r="P5554" s="180" t="s">
        <v>257</v>
      </c>
      <c r="R5554" s="180" t="s">
        <v>257</v>
      </c>
    </row>
    <row r="5555" spans="8:18" x14ac:dyDescent="0.2">
      <c r="H5555" s="180"/>
      <c r="P5555" s="180" t="s">
        <v>257</v>
      </c>
      <c r="R5555" s="180" t="s">
        <v>257</v>
      </c>
    </row>
    <row r="5556" spans="8:18" x14ac:dyDescent="0.2">
      <c r="H5556" s="180"/>
      <c r="P5556" s="180" t="s">
        <v>257</v>
      </c>
      <c r="R5556" s="180" t="s">
        <v>257</v>
      </c>
    </row>
    <row r="5557" spans="8:18" x14ac:dyDescent="0.2">
      <c r="H5557" s="180"/>
      <c r="P5557" s="180" t="s">
        <v>257</v>
      </c>
      <c r="R5557" s="180" t="s">
        <v>257</v>
      </c>
    </row>
    <row r="5558" spans="8:18" x14ac:dyDescent="0.2">
      <c r="H5558" s="180"/>
      <c r="P5558" s="180" t="s">
        <v>257</v>
      </c>
      <c r="R5558" s="180" t="s">
        <v>257</v>
      </c>
    </row>
    <row r="5559" spans="8:18" x14ac:dyDescent="0.2">
      <c r="H5559" s="180"/>
      <c r="P5559" s="180" t="s">
        <v>257</v>
      </c>
      <c r="R5559" s="180" t="s">
        <v>257</v>
      </c>
    </row>
    <row r="5560" spans="8:18" x14ac:dyDescent="0.2">
      <c r="H5560" s="180"/>
      <c r="P5560" s="180" t="s">
        <v>257</v>
      </c>
      <c r="R5560" s="180" t="s">
        <v>257</v>
      </c>
    </row>
    <row r="5561" spans="8:18" x14ac:dyDescent="0.2">
      <c r="H5561" s="180"/>
      <c r="P5561" s="180" t="s">
        <v>257</v>
      </c>
      <c r="R5561" s="180" t="s">
        <v>257</v>
      </c>
    </row>
    <row r="5562" spans="8:18" x14ac:dyDescent="0.2">
      <c r="H5562" s="180"/>
      <c r="P5562" s="180" t="s">
        <v>257</v>
      </c>
      <c r="R5562" s="180" t="s">
        <v>257</v>
      </c>
    </row>
    <row r="5563" spans="8:18" x14ac:dyDescent="0.2">
      <c r="H5563" s="180"/>
      <c r="P5563" s="180" t="s">
        <v>257</v>
      </c>
      <c r="R5563" s="180" t="s">
        <v>257</v>
      </c>
    </row>
    <row r="5564" spans="8:18" x14ac:dyDescent="0.2">
      <c r="H5564" s="180"/>
      <c r="P5564" s="180" t="s">
        <v>257</v>
      </c>
      <c r="R5564" s="180" t="s">
        <v>257</v>
      </c>
    </row>
    <row r="5565" spans="8:18" x14ac:dyDescent="0.2">
      <c r="H5565" s="180"/>
      <c r="P5565" s="180" t="s">
        <v>257</v>
      </c>
      <c r="R5565" s="180" t="s">
        <v>257</v>
      </c>
    </row>
    <row r="5566" spans="8:18" x14ac:dyDescent="0.2">
      <c r="H5566" s="180"/>
      <c r="P5566" s="180" t="s">
        <v>257</v>
      </c>
      <c r="R5566" s="180" t="s">
        <v>257</v>
      </c>
    </row>
    <row r="5567" spans="8:18" x14ac:dyDescent="0.2">
      <c r="H5567" s="180"/>
      <c r="P5567" s="180" t="s">
        <v>257</v>
      </c>
      <c r="R5567" s="180" t="s">
        <v>257</v>
      </c>
    </row>
    <row r="5568" spans="8:18" x14ac:dyDescent="0.2">
      <c r="H5568" s="180"/>
      <c r="P5568" s="180" t="s">
        <v>257</v>
      </c>
      <c r="R5568" s="180" t="s">
        <v>257</v>
      </c>
    </row>
    <row r="5569" spans="8:18" x14ac:dyDescent="0.2">
      <c r="H5569" s="180"/>
      <c r="P5569" s="180" t="s">
        <v>257</v>
      </c>
      <c r="R5569" s="180" t="s">
        <v>257</v>
      </c>
    </row>
    <row r="5570" spans="8:18" x14ac:dyDescent="0.2">
      <c r="H5570" s="180"/>
      <c r="P5570" s="180" t="s">
        <v>257</v>
      </c>
      <c r="R5570" s="180" t="s">
        <v>257</v>
      </c>
    </row>
    <row r="5571" spans="8:18" x14ac:dyDescent="0.2">
      <c r="H5571" s="180"/>
      <c r="P5571" s="180" t="s">
        <v>257</v>
      </c>
      <c r="R5571" s="180" t="s">
        <v>257</v>
      </c>
    </row>
    <row r="5572" spans="8:18" x14ac:dyDescent="0.2">
      <c r="H5572" s="180"/>
      <c r="P5572" s="180" t="s">
        <v>257</v>
      </c>
      <c r="R5572" s="180" t="s">
        <v>257</v>
      </c>
    </row>
    <row r="5573" spans="8:18" x14ac:dyDescent="0.2">
      <c r="H5573" s="180"/>
      <c r="P5573" s="180" t="s">
        <v>257</v>
      </c>
      <c r="R5573" s="180" t="s">
        <v>257</v>
      </c>
    </row>
    <row r="5574" spans="8:18" x14ac:dyDescent="0.2">
      <c r="H5574" s="180"/>
      <c r="P5574" s="180" t="s">
        <v>257</v>
      </c>
      <c r="R5574" s="180" t="s">
        <v>257</v>
      </c>
    </row>
    <row r="5575" spans="8:18" x14ac:dyDescent="0.2">
      <c r="H5575" s="180"/>
      <c r="P5575" s="180" t="s">
        <v>257</v>
      </c>
      <c r="R5575" s="180" t="s">
        <v>257</v>
      </c>
    </row>
    <row r="5576" spans="8:18" x14ac:dyDescent="0.2">
      <c r="H5576" s="180"/>
      <c r="P5576" s="180" t="s">
        <v>257</v>
      </c>
      <c r="R5576" s="180" t="s">
        <v>257</v>
      </c>
    </row>
    <row r="5577" spans="8:18" x14ac:dyDescent="0.2">
      <c r="H5577" s="180"/>
      <c r="P5577" s="180" t="s">
        <v>257</v>
      </c>
      <c r="R5577" s="180" t="s">
        <v>257</v>
      </c>
    </row>
    <row r="5578" spans="8:18" x14ac:dyDescent="0.2">
      <c r="H5578" s="180"/>
      <c r="P5578" s="180" t="s">
        <v>257</v>
      </c>
      <c r="R5578" s="180" t="s">
        <v>257</v>
      </c>
    </row>
    <row r="5579" spans="8:18" x14ac:dyDescent="0.2">
      <c r="H5579" s="180"/>
      <c r="P5579" s="180" t="s">
        <v>257</v>
      </c>
      <c r="R5579" s="180" t="s">
        <v>257</v>
      </c>
    </row>
    <row r="5580" spans="8:18" x14ac:dyDescent="0.2">
      <c r="H5580" s="180"/>
      <c r="P5580" s="180" t="s">
        <v>257</v>
      </c>
      <c r="R5580" s="180" t="s">
        <v>257</v>
      </c>
    </row>
    <row r="5581" spans="8:18" x14ac:dyDescent="0.2">
      <c r="H5581" s="180"/>
      <c r="P5581" s="180" t="s">
        <v>257</v>
      </c>
      <c r="R5581" s="180" t="s">
        <v>257</v>
      </c>
    </row>
    <row r="5582" spans="8:18" x14ac:dyDescent="0.2">
      <c r="H5582" s="180"/>
      <c r="P5582" s="180" t="s">
        <v>257</v>
      </c>
      <c r="R5582" s="180" t="s">
        <v>257</v>
      </c>
    </row>
    <row r="5583" spans="8:18" x14ac:dyDescent="0.2">
      <c r="H5583" s="180"/>
      <c r="P5583" s="180" t="s">
        <v>257</v>
      </c>
      <c r="R5583" s="180" t="s">
        <v>257</v>
      </c>
    </row>
    <row r="5584" spans="8:18" x14ac:dyDescent="0.2">
      <c r="H5584" s="180"/>
      <c r="P5584" s="180" t="s">
        <v>257</v>
      </c>
      <c r="R5584" s="180" t="s">
        <v>257</v>
      </c>
    </row>
    <row r="5585" spans="8:18" x14ac:dyDescent="0.2">
      <c r="H5585" s="180"/>
      <c r="P5585" s="180" t="s">
        <v>257</v>
      </c>
      <c r="R5585" s="180" t="s">
        <v>257</v>
      </c>
    </row>
    <row r="5586" spans="8:18" x14ac:dyDescent="0.2">
      <c r="H5586" s="180"/>
      <c r="P5586" s="180" t="s">
        <v>257</v>
      </c>
      <c r="R5586" s="180" t="s">
        <v>257</v>
      </c>
    </row>
    <row r="5587" spans="8:18" x14ac:dyDescent="0.2">
      <c r="H5587" s="180"/>
      <c r="P5587" s="180" t="s">
        <v>257</v>
      </c>
      <c r="R5587" s="180" t="s">
        <v>257</v>
      </c>
    </row>
    <row r="5588" spans="8:18" x14ac:dyDescent="0.2">
      <c r="H5588" s="180"/>
      <c r="P5588" s="180" t="s">
        <v>257</v>
      </c>
      <c r="R5588" s="180" t="s">
        <v>257</v>
      </c>
    </row>
    <row r="5589" spans="8:18" x14ac:dyDescent="0.2">
      <c r="H5589" s="180"/>
      <c r="P5589" s="180" t="s">
        <v>257</v>
      </c>
      <c r="R5589" s="180" t="s">
        <v>257</v>
      </c>
    </row>
    <row r="5590" spans="8:18" x14ac:dyDescent="0.2">
      <c r="H5590" s="180"/>
      <c r="P5590" s="180" t="s">
        <v>257</v>
      </c>
      <c r="R5590" s="180" t="s">
        <v>257</v>
      </c>
    </row>
    <row r="5591" spans="8:18" x14ac:dyDescent="0.2">
      <c r="H5591" s="180"/>
      <c r="P5591" s="180" t="s">
        <v>257</v>
      </c>
      <c r="R5591" s="180" t="s">
        <v>257</v>
      </c>
    </row>
    <row r="5592" spans="8:18" x14ac:dyDescent="0.2">
      <c r="H5592" s="180"/>
      <c r="P5592" s="180" t="s">
        <v>257</v>
      </c>
      <c r="R5592" s="180" t="s">
        <v>257</v>
      </c>
    </row>
    <row r="5593" spans="8:18" x14ac:dyDescent="0.2">
      <c r="H5593" s="180"/>
      <c r="P5593" s="180" t="s">
        <v>257</v>
      </c>
      <c r="R5593" s="180" t="s">
        <v>257</v>
      </c>
    </row>
    <row r="5594" spans="8:18" x14ac:dyDescent="0.2">
      <c r="H5594" s="180"/>
      <c r="P5594" s="180" t="s">
        <v>257</v>
      </c>
      <c r="R5594" s="180" t="s">
        <v>257</v>
      </c>
    </row>
    <row r="5595" spans="8:18" x14ac:dyDescent="0.2">
      <c r="H5595" s="180"/>
      <c r="P5595" s="180" t="s">
        <v>257</v>
      </c>
      <c r="R5595" s="180" t="s">
        <v>257</v>
      </c>
    </row>
    <row r="5596" spans="8:18" x14ac:dyDescent="0.2">
      <c r="H5596" s="180"/>
      <c r="P5596" s="180" t="s">
        <v>257</v>
      </c>
      <c r="R5596" s="180" t="s">
        <v>257</v>
      </c>
    </row>
    <row r="5597" spans="8:18" x14ac:dyDescent="0.2">
      <c r="H5597" s="180"/>
      <c r="P5597" s="180" t="s">
        <v>257</v>
      </c>
      <c r="R5597" s="180" t="s">
        <v>257</v>
      </c>
    </row>
    <row r="5598" spans="8:18" x14ac:dyDescent="0.2">
      <c r="H5598" s="180"/>
      <c r="P5598" s="180" t="s">
        <v>257</v>
      </c>
      <c r="R5598" s="180" t="s">
        <v>257</v>
      </c>
    </row>
    <row r="5599" spans="8:18" x14ac:dyDescent="0.2">
      <c r="H5599" s="180"/>
      <c r="P5599" s="180" t="s">
        <v>257</v>
      </c>
      <c r="R5599" s="180" t="s">
        <v>257</v>
      </c>
    </row>
    <row r="5600" spans="8:18" x14ac:dyDescent="0.2">
      <c r="H5600" s="180"/>
      <c r="P5600" s="180" t="s">
        <v>257</v>
      </c>
      <c r="R5600" s="180" t="s">
        <v>257</v>
      </c>
    </row>
    <row r="5601" spans="8:18" x14ac:dyDescent="0.2">
      <c r="H5601" s="180"/>
      <c r="P5601" s="180" t="s">
        <v>257</v>
      </c>
      <c r="R5601" s="180" t="s">
        <v>257</v>
      </c>
    </row>
    <row r="5602" spans="8:18" x14ac:dyDescent="0.2">
      <c r="H5602" s="180"/>
      <c r="P5602" s="180" t="s">
        <v>257</v>
      </c>
      <c r="R5602" s="180" t="s">
        <v>257</v>
      </c>
    </row>
    <row r="5603" spans="8:18" x14ac:dyDescent="0.2">
      <c r="H5603" s="180"/>
      <c r="P5603" s="180" t="s">
        <v>257</v>
      </c>
      <c r="R5603" s="180" t="s">
        <v>257</v>
      </c>
    </row>
    <row r="5604" spans="8:18" x14ac:dyDescent="0.2">
      <c r="H5604" s="180"/>
      <c r="P5604" s="180" t="s">
        <v>257</v>
      </c>
      <c r="R5604" s="180" t="s">
        <v>257</v>
      </c>
    </row>
    <row r="5605" spans="8:18" x14ac:dyDescent="0.2">
      <c r="H5605" s="180"/>
      <c r="P5605" s="180" t="s">
        <v>257</v>
      </c>
      <c r="R5605" s="180" t="s">
        <v>257</v>
      </c>
    </row>
    <row r="5606" spans="8:18" x14ac:dyDescent="0.2">
      <c r="H5606" s="180"/>
      <c r="P5606" s="180" t="s">
        <v>257</v>
      </c>
      <c r="R5606" s="180" t="s">
        <v>257</v>
      </c>
    </row>
    <row r="5607" spans="8:18" x14ac:dyDescent="0.2">
      <c r="H5607" s="180"/>
      <c r="P5607" s="180" t="s">
        <v>257</v>
      </c>
      <c r="R5607" s="180" t="s">
        <v>257</v>
      </c>
    </row>
    <row r="5608" spans="8:18" x14ac:dyDescent="0.2">
      <c r="H5608" s="180"/>
      <c r="P5608" s="180" t="s">
        <v>257</v>
      </c>
      <c r="R5608" s="180" t="s">
        <v>257</v>
      </c>
    </row>
    <row r="5609" spans="8:18" x14ac:dyDescent="0.2">
      <c r="H5609" s="180"/>
      <c r="P5609" s="180" t="s">
        <v>257</v>
      </c>
      <c r="R5609" s="180" t="s">
        <v>257</v>
      </c>
    </row>
    <row r="5610" spans="8:18" x14ac:dyDescent="0.2">
      <c r="H5610" s="180"/>
      <c r="P5610" s="180" t="s">
        <v>257</v>
      </c>
      <c r="R5610" s="180" t="s">
        <v>257</v>
      </c>
    </row>
    <row r="5611" spans="8:18" x14ac:dyDescent="0.2">
      <c r="H5611" s="180"/>
      <c r="P5611" s="180" t="s">
        <v>257</v>
      </c>
      <c r="R5611" s="180" t="s">
        <v>257</v>
      </c>
    </row>
    <row r="5612" spans="8:18" x14ac:dyDescent="0.2">
      <c r="H5612" s="180"/>
      <c r="P5612" s="180" t="s">
        <v>257</v>
      </c>
      <c r="R5612" s="180" t="s">
        <v>257</v>
      </c>
    </row>
    <row r="5613" spans="8:18" x14ac:dyDescent="0.2">
      <c r="H5613" s="180"/>
      <c r="P5613" s="180" t="s">
        <v>257</v>
      </c>
      <c r="R5613" s="180" t="s">
        <v>257</v>
      </c>
    </row>
    <row r="5614" spans="8:18" x14ac:dyDescent="0.2">
      <c r="H5614" s="180"/>
      <c r="P5614" s="180" t="s">
        <v>257</v>
      </c>
      <c r="R5614" s="180" t="s">
        <v>257</v>
      </c>
    </row>
    <row r="5615" spans="8:18" x14ac:dyDescent="0.2">
      <c r="H5615" s="180"/>
      <c r="P5615" s="180" t="s">
        <v>257</v>
      </c>
      <c r="R5615" s="180" t="s">
        <v>257</v>
      </c>
    </row>
    <row r="5616" spans="8:18" x14ac:dyDescent="0.2">
      <c r="H5616" s="180"/>
      <c r="P5616" s="180" t="s">
        <v>257</v>
      </c>
      <c r="R5616" s="180" t="s">
        <v>257</v>
      </c>
    </row>
    <row r="5617" spans="8:18" x14ac:dyDescent="0.2">
      <c r="H5617" s="180"/>
      <c r="P5617" s="180" t="s">
        <v>257</v>
      </c>
      <c r="R5617" s="180" t="s">
        <v>257</v>
      </c>
    </row>
    <row r="5618" spans="8:18" x14ac:dyDescent="0.2">
      <c r="H5618" s="180"/>
      <c r="P5618" s="180" t="s">
        <v>257</v>
      </c>
      <c r="R5618" s="180" t="s">
        <v>257</v>
      </c>
    </row>
    <row r="5619" spans="8:18" x14ac:dyDescent="0.2">
      <c r="H5619" s="180"/>
      <c r="P5619" s="180" t="s">
        <v>257</v>
      </c>
      <c r="R5619" s="180" t="s">
        <v>257</v>
      </c>
    </row>
    <row r="5620" spans="8:18" x14ac:dyDescent="0.2">
      <c r="H5620" s="180"/>
      <c r="P5620" s="180" t="s">
        <v>257</v>
      </c>
      <c r="R5620" s="180" t="s">
        <v>257</v>
      </c>
    </row>
    <row r="5621" spans="8:18" x14ac:dyDescent="0.2">
      <c r="H5621" s="180"/>
      <c r="P5621" s="180" t="s">
        <v>257</v>
      </c>
      <c r="R5621" s="180" t="s">
        <v>257</v>
      </c>
    </row>
    <row r="5622" spans="8:18" x14ac:dyDescent="0.2">
      <c r="H5622" s="180"/>
      <c r="P5622" s="180" t="s">
        <v>257</v>
      </c>
      <c r="R5622" s="180" t="s">
        <v>257</v>
      </c>
    </row>
    <row r="5623" spans="8:18" x14ac:dyDescent="0.2">
      <c r="H5623" s="180"/>
      <c r="P5623" s="180" t="s">
        <v>257</v>
      </c>
      <c r="R5623" s="180" t="s">
        <v>257</v>
      </c>
    </row>
    <row r="5624" spans="8:18" x14ac:dyDescent="0.2">
      <c r="H5624" s="180"/>
      <c r="P5624" s="180" t="s">
        <v>257</v>
      </c>
      <c r="R5624" s="180" t="s">
        <v>257</v>
      </c>
    </row>
    <row r="5625" spans="8:18" x14ac:dyDescent="0.2">
      <c r="H5625" s="180"/>
      <c r="P5625" s="180" t="s">
        <v>257</v>
      </c>
      <c r="R5625" s="180" t="s">
        <v>257</v>
      </c>
    </row>
    <row r="5626" spans="8:18" x14ac:dyDescent="0.2">
      <c r="H5626" s="180"/>
      <c r="P5626" s="180" t="s">
        <v>257</v>
      </c>
      <c r="R5626" s="180" t="s">
        <v>257</v>
      </c>
    </row>
    <row r="5627" spans="8:18" x14ac:dyDescent="0.2">
      <c r="H5627" s="180"/>
      <c r="P5627" s="180" t="s">
        <v>257</v>
      </c>
      <c r="R5627" s="180" t="s">
        <v>257</v>
      </c>
    </row>
    <row r="5628" spans="8:18" x14ac:dyDescent="0.2">
      <c r="H5628" s="180"/>
      <c r="P5628" s="180" t="s">
        <v>257</v>
      </c>
      <c r="R5628" s="180" t="s">
        <v>257</v>
      </c>
    </row>
    <row r="5629" spans="8:18" x14ac:dyDescent="0.2">
      <c r="H5629" s="180"/>
      <c r="P5629" s="180" t="s">
        <v>257</v>
      </c>
      <c r="R5629" s="180" t="s">
        <v>257</v>
      </c>
    </row>
    <row r="5630" spans="8:18" x14ac:dyDescent="0.2">
      <c r="H5630" s="180"/>
      <c r="P5630" s="180" t="s">
        <v>257</v>
      </c>
      <c r="R5630" s="180" t="s">
        <v>257</v>
      </c>
    </row>
    <row r="5631" spans="8:18" x14ac:dyDescent="0.2">
      <c r="H5631" s="180"/>
      <c r="P5631" s="180" t="s">
        <v>257</v>
      </c>
      <c r="R5631" s="180" t="s">
        <v>257</v>
      </c>
    </row>
    <row r="5632" spans="8:18" x14ac:dyDescent="0.2">
      <c r="H5632" s="180"/>
      <c r="P5632" s="180" t="s">
        <v>257</v>
      </c>
      <c r="R5632" s="180" t="s">
        <v>257</v>
      </c>
    </row>
    <row r="5633" spans="8:18" x14ac:dyDescent="0.2">
      <c r="H5633" s="180"/>
      <c r="P5633" s="180" t="s">
        <v>257</v>
      </c>
      <c r="R5633" s="180" t="s">
        <v>257</v>
      </c>
    </row>
    <row r="5634" spans="8:18" x14ac:dyDescent="0.2">
      <c r="H5634" s="180"/>
      <c r="P5634" s="180" t="s">
        <v>257</v>
      </c>
      <c r="R5634" s="180" t="s">
        <v>257</v>
      </c>
    </row>
    <row r="5635" spans="8:18" x14ac:dyDescent="0.2">
      <c r="H5635" s="180"/>
      <c r="P5635" s="180" t="s">
        <v>257</v>
      </c>
      <c r="R5635" s="180" t="s">
        <v>257</v>
      </c>
    </row>
    <row r="5636" spans="8:18" x14ac:dyDescent="0.2">
      <c r="H5636" s="180"/>
      <c r="P5636" s="180" t="s">
        <v>257</v>
      </c>
      <c r="R5636" s="180" t="s">
        <v>257</v>
      </c>
    </row>
    <row r="5637" spans="8:18" x14ac:dyDescent="0.2">
      <c r="H5637" s="180"/>
      <c r="P5637" s="180" t="s">
        <v>257</v>
      </c>
      <c r="R5637" s="180" t="s">
        <v>257</v>
      </c>
    </row>
    <row r="5638" spans="8:18" x14ac:dyDescent="0.2">
      <c r="H5638" s="180"/>
      <c r="P5638" s="180" t="s">
        <v>257</v>
      </c>
      <c r="R5638" s="180" t="s">
        <v>257</v>
      </c>
    </row>
    <row r="5639" spans="8:18" x14ac:dyDescent="0.2">
      <c r="H5639" s="180"/>
      <c r="P5639" s="180" t="s">
        <v>257</v>
      </c>
      <c r="R5639" s="180" t="s">
        <v>257</v>
      </c>
    </row>
    <row r="5640" spans="8:18" x14ac:dyDescent="0.2">
      <c r="H5640" s="180"/>
      <c r="P5640" s="180" t="s">
        <v>257</v>
      </c>
      <c r="R5640" s="180" t="s">
        <v>257</v>
      </c>
    </row>
    <row r="5641" spans="8:18" x14ac:dyDescent="0.2">
      <c r="H5641" s="180"/>
      <c r="P5641" s="180" t="s">
        <v>257</v>
      </c>
      <c r="R5641" s="180" t="s">
        <v>257</v>
      </c>
    </row>
    <row r="5642" spans="8:18" x14ac:dyDescent="0.2">
      <c r="H5642" s="180"/>
      <c r="P5642" s="180" t="s">
        <v>257</v>
      </c>
      <c r="R5642" s="180" t="s">
        <v>257</v>
      </c>
    </row>
    <row r="5643" spans="8:18" x14ac:dyDescent="0.2">
      <c r="H5643" s="180"/>
      <c r="P5643" s="180" t="s">
        <v>257</v>
      </c>
      <c r="R5643" s="180" t="s">
        <v>257</v>
      </c>
    </row>
    <row r="5644" spans="8:18" x14ac:dyDescent="0.2">
      <c r="H5644" s="180"/>
      <c r="P5644" s="180" t="s">
        <v>257</v>
      </c>
      <c r="R5644" s="180" t="s">
        <v>257</v>
      </c>
    </row>
    <row r="5645" spans="8:18" x14ac:dyDescent="0.2">
      <c r="H5645" s="180"/>
      <c r="P5645" s="180" t="s">
        <v>257</v>
      </c>
      <c r="R5645" s="180" t="s">
        <v>257</v>
      </c>
    </row>
    <row r="5646" spans="8:18" x14ac:dyDescent="0.2">
      <c r="H5646" s="180"/>
      <c r="P5646" s="180" t="s">
        <v>257</v>
      </c>
      <c r="R5646" s="180" t="s">
        <v>257</v>
      </c>
    </row>
    <row r="5647" spans="8:18" x14ac:dyDescent="0.2">
      <c r="H5647" s="180"/>
      <c r="P5647" s="180" t="s">
        <v>257</v>
      </c>
      <c r="R5647" s="180" t="s">
        <v>257</v>
      </c>
    </row>
    <row r="5648" spans="8:18" x14ac:dyDescent="0.2">
      <c r="H5648" s="180"/>
      <c r="P5648" s="180" t="s">
        <v>257</v>
      </c>
      <c r="R5648" s="180" t="s">
        <v>257</v>
      </c>
    </row>
    <row r="5649" spans="8:18" x14ac:dyDescent="0.2">
      <c r="H5649" s="180"/>
      <c r="P5649" s="180" t="s">
        <v>257</v>
      </c>
      <c r="R5649" s="180" t="s">
        <v>257</v>
      </c>
    </row>
    <row r="5650" spans="8:18" x14ac:dyDescent="0.2">
      <c r="H5650" s="180"/>
      <c r="P5650" s="180" t="s">
        <v>257</v>
      </c>
      <c r="R5650" s="180" t="s">
        <v>257</v>
      </c>
    </row>
    <row r="5651" spans="8:18" x14ac:dyDescent="0.2">
      <c r="H5651" s="180"/>
      <c r="P5651" s="180" t="s">
        <v>257</v>
      </c>
      <c r="R5651" s="180" t="s">
        <v>257</v>
      </c>
    </row>
    <row r="5652" spans="8:18" x14ac:dyDescent="0.2">
      <c r="H5652" s="180"/>
      <c r="P5652" s="180" t="s">
        <v>257</v>
      </c>
      <c r="R5652" s="180" t="s">
        <v>257</v>
      </c>
    </row>
    <row r="5653" spans="8:18" x14ac:dyDescent="0.2">
      <c r="H5653" s="180"/>
      <c r="P5653" s="180" t="s">
        <v>257</v>
      </c>
      <c r="R5653" s="180" t="s">
        <v>257</v>
      </c>
    </row>
    <row r="5654" spans="8:18" x14ac:dyDescent="0.2">
      <c r="H5654" s="180"/>
      <c r="P5654" s="180" t="s">
        <v>257</v>
      </c>
      <c r="R5654" s="180" t="s">
        <v>257</v>
      </c>
    </row>
    <row r="5655" spans="8:18" x14ac:dyDescent="0.2">
      <c r="H5655" s="180"/>
      <c r="P5655" s="180" t="s">
        <v>257</v>
      </c>
      <c r="R5655" s="180" t="s">
        <v>257</v>
      </c>
    </row>
    <row r="5656" spans="8:18" x14ac:dyDescent="0.2">
      <c r="H5656" s="180"/>
      <c r="P5656" s="180" t="s">
        <v>257</v>
      </c>
      <c r="R5656" s="180" t="s">
        <v>257</v>
      </c>
    </row>
    <row r="5657" spans="8:18" x14ac:dyDescent="0.2">
      <c r="H5657" s="180"/>
      <c r="P5657" s="180" t="s">
        <v>257</v>
      </c>
      <c r="R5657" s="180" t="s">
        <v>257</v>
      </c>
    </row>
    <row r="5658" spans="8:18" x14ac:dyDescent="0.2">
      <c r="H5658" s="180"/>
      <c r="P5658" s="180" t="s">
        <v>257</v>
      </c>
      <c r="R5658" s="180" t="s">
        <v>257</v>
      </c>
    </row>
    <row r="5659" spans="8:18" x14ac:dyDescent="0.2">
      <c r="H5659" s="180"/>
      <c r="P5659" s="180" t="s">
        <v>257</v>
      </c>
      <c r="R5659" s="180" t="s">
        <v>257</v>
      </c>
    </row>
    <row r="5660" spans="8:18" x14ac:dyDescent="0.2">
      <c r="H5660" s="180"/>
      <c r="P5660" s="180" t="s">
        <v>257</v>
      </c>
      <c r="R5660" s="180" t="s">
        <v>257</v>
      </c>
    </row>
    <row r="5661" spans="8:18" x14ac:dyDescent="0.2">
      <c r="H5661" s="180"/>
      <c r="P5661" s="180" t="s">
        <v>257</v>
      </c>
      <c r="R5661" s="180" t="s">
        <v>257</v>
      </c>
    </row>
    <row r="5662" spans="8:18" x14ac:dyDescent="0.2">
      <c r="H5662" s="180"/>
      <c r="P5662" s="180" t="s">
        <v>257</v>
      </c>
      <c r="R5662" s="180" t="s">
        <v>257</v>
      </c>
    </row>
    <row r="5663" spans="8:18" x14ac:dyDescent="0.2">
      <c r="H5663" s="180"/>
      <c r="P5663" s="180" t="s">
        <v>257</v>
      </c>
      <c r="R5663" s="180" t="s">
        <v>257</v>
      </c>
    </row>
    <row r="5664" spans="8:18" x14ac:dyDescent="0.2">
      <c r="H5664" s="180"/>
      <c r="P5664" s="180" t="s">
        <v>257</v>
      </c>
      <c r="R5664" s="180" t="s">
        <v>257</v>
      </c>
    </row>
    <row r="5665" spans="8:18" x14ac:dyDescent="0.2">
      <c r="H5665" s="180"/>
      <c r="P5665" s="180" t="s">
        <v>257</v>
      </c>
      <c r="R5665" s="180" t="s">
        <v>257</v>
      </c>
    </row>
    <row r="5666" spans="8:18" x14ac:dyDescent="0.2">
      <c r="H5666" s="180"/>
      <c r="P5666" s="180" t="s">
        <v>257</v>
      </c>
      <c r="R5666" s="180" t="s">
        <v>257</v>
      </c>
    </row>
    <row r="5667" spans="8:18" x14ac:dyDescent="0.2">
      <c r="H5667" s="180"/>
      <c r="P5667" s="180" t="s">
        <v>257</v>
      </c>
      <c r="R5667" s="180" t="s">
        <v>257</v>
      </c>
    </row>
    <row r="5668" spans="8:18" x14ac:dyDescent="0.2">
      <c r="H5668" s="180"/>
      <c r="P5668" s="180" t="s">
        <v>257</v>
      </c>
      <c r="R5668" s="180" t="s">
        <v>257</v>
      </c>
    </row>
    <row r="5669" spans="8:18" x14ac:dyDescent="0.2">
      <c r="H5669" s="180"/>
      <c r="P5669" s="180" t="s">
        <v>257</v>
      </c>
      <c r="R5669" s="180" t="s">
        <v>257</v>
      </c>
    </row>
    <row r="5670" spans="8:18" x14ac:dyDescent="0.2">
      <c r="H5670" s="180"/>
      <c r="P5670" s="180" t="s">
        <v>257</v>
      </c>
      <c r="R5670" s="180" t="s">
        <v>257</v>
      </c>
    </row>
    <row r="5671" spans="8:18" x14ac:dyDescent="0.2">
      <c r="H5671" s="180"/>
      <c r="P5671" s="180" t="s">
        <v>257</v>
      </c>
      <c r="R5671" s="180" t="s">
        <v>257</v>
      </c>
    </row>
    <row r="5672" spans="8:18" x14ac:dyDescent="0.2">
      <c r="H5672" s="180"/>
      <c r="P5672" s="180" t="s">
        <v>257</v>
      </c>
      <c r="R5672" s="180" t="s">
        <v>257</v>
      </c>
    </row>
    <row r="5673" spans="8:18" x14ac:dyDescent="0.2">
      <c r="H5673" s="180"/>
      <c r="P5673" s="180" t="s">
        <v>257</v>
      </c>
      <c r="R5673" s="180" t="s">
        <v>257</v>
      </c>
    </row>
    <row r="5674" spans="8:18" x14ac:dyDescent="0.2">
      <c r="H5674" s="180"/>
      <c r="P5674" s="180" t="s">
        <v>257</v>
      </c>
      <c r="R5674" s="180" t="s">
        <v>257</v>
      </c>
    </row>
    <row r="5675" spans="8:18" x14ac:dyDescent="0.2">
      <c r="H5675" s="180"/>
      <c r="P5675" s="180" t="s">
        <v>257</v>
      </c>
      <c r="R5675" s="180" t="s">
        <v>257</v>
      </c>
    </row>
    <row r="5676" spans="8:18" x14ac:dyDescent="0.2">
      <c r="H5676" s="180"/>
      <c r="P5676" s="180" t="s">
        <v>257</v>
      </c>
      <c r="R5676" s="180" t="s">
        <v>257</v>
      </c>
    </row>
    <row r="5677" spans="8:18" x14ac:dyDescent="0.2">
      <c r="H5677" s="180"/>
      <c r="P5677" s="180" t="s">
        <v>257</v>
      </c>
      <c r="R5677" s="180" t="s">
        <v>257</v>
      </c>
    </row>
    <row r="5678" spans="8:18" x14ac:dyDescent="0.2">
      <c r="H5678" s="180"/>
      <c r="P5678" s="180" t="s">
        <v>257</v>
      </c>
      <c r="R5678" s="180" t="s">
        <v>257</v>
      </c>
    </row>
    <row r="5679" spans="8:18" x14ac:dyDescent="0.2">
      <c r="H5679" s="180"/>
      <c r="P5679" s="180" t="s">
        <v>257</v>
      </c>
      <c r="R5679" s="180" t="s">
        <v>257</v>
      </c>
    </row>
    <row r="5680" spans="8:18" x14ac:dyDescent="0.2">
      <c r="H5680" s="180"/>
      <c r="P5680" s="180" t="s">
        <v>257</v>
      </c>
      <c r="R5680" s="180" t="s">
        <v>257</v>
      </c>
    </row>
    <row r="5681" spans="8:18" x14ac:dyDescent="0.2">
      <c r="H5681" s="180"/>
      <c r="P5681" s="180" t="s">
        <v>257</v>
      </c>
      <c r="R5681" s="180" t="s">
        <v>257</v>
      </c>
    </row>
    <row r="5682" spans="8:18" x14ac:dyDescent="0.2">
      <c r="H5682" s="180"/>
      <c r="P5682" s="180" t="s">
        <v>257</v>
      </c>
      <c r="R5682" s="180" t="s">
        <v>257</v>
      </c>
    </row>
    <row r="5683" spans="8:18" x14ac:dyDescent="0.2">
      <c r="H5683" s="180"/>
      <c r="P5683" s="180" t="s">
        <v>257</v>
      </c>
      <c r="R5683" s="180" t="s">
        <v>257</v>
      </c>
    </row>
    <row r="5684" spans="8:18" x14ac:dyDescent="0.2">
      <c r="H5684" s="180"/>
      <c r="P5684" s="180" t="s">
        <v>257</v>
      </c>
      <c r="R5684" s="180" t="s">
        <v>257</v>
      </c>
    </row>
    <row r="5685" spans="8:18" x14ac:dyDescent="0.2">
      <c r="H5685" s="180"/>
      <c r="P5685" s="180" t="s">
        <v>257</v>
      </c>
      <c r="R5685" s="180" t="s">
        <v>257</v>
      </c>
    </row>
    <row r="5686" spans="8:18" x14ac:dyDescent="0.2">
      <c r="H5686" s="180"/>
      <c r="P5686" s="180" t="s">
        <v>257</v>
      </c>
      <c r="R5686" s="180" t="s">
        <v>257</v>
      </c>
    </row>
    <row r="5687" spans="8:18" x14ac:dyDescent="0.2">
      <c r="H5687" s="180"/>
      <c r="P5687" s="180" t="s">
        <v>257</v>
      </c>
      <c r="R5687" s="180" t="s">
        <v>257</v>
      </c>
    </row>
    <row r="5688" spans="8:18" x14ac:dyDescent="0.2">
      <c r="H5688" s="180"/>
      <c r="P5688" s="180" t="s">
        <v>257</v>
      </c>
      <c r="R5688" s="180" t="s">
        <v>257</v>
      </c>
    </row>
    <row r="5689" spans="8:18" x14ac:dyDescent="0.2">
      <c r="H5689" s="180"/>
      <c r="P5689" s="180" t="s">
        <v>257</v>
      </c>
      <c r="R5689" s="180" t="s">
        <v>257</v>
      </c>
    </row>
    <row r="5690" spans="8:18" x14ac:dyDescent="0.2">
      <c r="H5690" s="180"/>
      <c r="P5690" s="180" t="s">
        <v>257</v>
      </c>
      <c r="R5690" s="180" t="s">
        <v>257</v>
      </c>
    </row>
    <row r="5691" spans="8:18" x14ac:dyDescent="0.2">
      <c r="H5691" s="180"/>
      <c r="P5691" s="180" t="s">
        <v>257</v>
      </c>
      <c r="R5691" s="180" t="s">
        <v>257</v>
      </c>
    </row>
    <row r="5692" spans="8:18" x14ac:dyDescent="0.2">
      <c r="H5692" s="180"/>
      <c r="P5692" s="180" t="s">
        <v>257</v>
      </c>
      <c r="R5692" s="180" t="s">
        <v>257</v>
      </c>
    </row>
    <row r="5693" spans="8:18" x14ac:dyDescent="0.2">
      <c r="H5693" s="180"/>
      <c r="P5693" s="180" t="s">
        <v>257</v>
      </c>
      <c r="R5693" s="180" t="s">
        <v>257</v>
      </c>
    </row>
    <row r="5694" spans="8:18" x14ac:dyDescent="0.2">
      <c r="H5694" s="180"/>
      <c r="P5694" s="180" t="s">
        <v>257</v>
      </c>
      <c r="R5694" s="180" t="s">
        <v>257</v>
      </c>
    </row>
    <row r="5695" spans="8:18" x14ac:dyDescent="0.2">
      <c r="H5695" s="180"/>
      <c r="P5695" s="180" t="s">
        <v>257</v>
      </c>
      <c r="R5695" s="180" t="s">
        <v>257</v>
      </c>
    </row>
    <row r="5696" spans="8:18" x14ac:dyDescent="0.2">
      <c r="H5696" s="180"/>
      <c r="P5696" s="180" t="s">
        <v>257</v>
      </c>
      <c r="R5696" s="180" t="s">
        <v>257</v>
      </c>
    </row>
    <row r="5697" spans="8:18" x14ac:dyDescent="0.2">
      <c r="H5697" s="180"/>
      <c r="P5697" s="180" t="s">
        <v>257</v>
      </c>
      <c r="R5697" s="180" t="s">
        <v>257</v>
      </c>
    </row>
    <row r="5698" spans="8:18" x14ac:dyDescent="0.2">
      <c r="H5698" s="180"/>
      <c r="P5698" s="180" t="s">
        <v>257</v>
      </c>
      <c r="R5698" s="180" t="s">
        <v>257</v>
      </c>
    </row>
    <row r="5699" spans="8:18" x14ac:dyDescent="0.2">
      <c r="H5699" s="180"/>
      <c r="P5699" s="180" t="s">
        <v>257</v>
      </c>
      <c r="R5699" s="180" t="s">
        <v>257</v>
      </c>
    </row>
    <row r="5700" spans="8:18" x14ac:dyDescent="0.2">
      <c r="H5700" s="180"/>
      <c r="P5700" s="180" t="s">
        <v>257</v>
      </c>
      <c r="R5700" s="180" t="s">
        <v>257</v>
      </c>
    </row>
    <row r="5701" spans="8:18" x14ac:dyDescent="0.2">
      <c r="H5701" s="180"/>
      <c r="P5701" s="180" t="s">
        <v>257</v>
      </c>
      <c r="R5701" s="180" t="s">
        <v>257</v>
      </c>
    </row>
    <row r="5702" spans="8:18" x14ac:dyDescent="0.2">
      <c r="H5702" s="180"/>
      <c r="P5702" s="180" t="s">
        <v>257</v>
      </c>
      <c r="R5702" s="180" t="s">
        <v>257</v>
      </c>
    </row>
    <row r="5703" spans="8:18" x14ac:dyDescent="0.2">
      <c r="H5703" s="180"/>
      <c r="P5703" s="180" t="s">
        <v>257</v>
      </c>
      <c r="R5703" s="180" t="s">
        <v>257</v>
      </c>
    </row>
    <row r="5704" spans="8:18" x14ac:dyDescent="0.2">
      <c r="H5704" s="180"/>
      <c r="P5704" s="180" t="s">
        <v>257</v>
      </c>
      <c r="R5704" s="180" t="s">
        <v>257</v>
      </c>
    </row>
    <row r="5705" spans="8:18" x14ac:dyDescent="0.2">
      <c r="H5705" s="180"/>
      <c r="P5705" s="180" t="s">
        <v>257</v>
      </c>
      <c r="R5705" s="180" t="s">
        <v>257</v>
      </c>
    </row>
    <row r="5706" spans="8:18" x14ac:dyDescent="0.2">
      <c r="H5706" s="180"/>
      <c r="P5706" s="180" t="s">
        <v>257</v>
      </c>
      <c r="R5706" s="180" t="s">
        <v>257</v>
      </c>
    </row>
    <row r="5707" spans="8:18" x14ac:dyDescent="0.2">
      <c r="H5707" s="180"/>
      <c r="P5707" s="180" t="s">
        <v>257</v>
      </c>
      <c r="R5707" s="180" t="s">
        <v>257</v>
      </c>
    </row>
    <row r="5708" spans="8:18" x14ac:dyDescent="0.2">
      <c r="H5708" s="180"/>
      <c r="P5708" s="180" t="s">
        <v>257</v>
      </c>
      <c r="R5708" s="180" t="s">
        <v>257</v>
      </c>
    </row>
    <row r="5709" spans="8:18" x14ac:dyDescent="0.2">
      <c r="H5709" s="180"/>
      <c r="P5709" s="180" t="s">
        <v>257</v>
      </c>
      <c r="R5709" s="180" t="s">
        <v>257</v>
      </c>
    </row>
    <row r="5710" spans="8:18" x14ac:dyDescent="0.2">
      <c r="H5710" s="180"/>
      <c r="P5710" s="180" t="s">
        <v>257</v>
      </c>
      <c r="R5710" s="180" t="s">
        <v>257</v>
      </c>
    </row>
    <row r="5711" spans="8:18" x14ac:dyDescent="0.2">
      <c r="H5711" s="180"/>
      <c r="P5711" s="180" t="s">
        <v>257</v>
      </c>
      <c r="R5711" s="180" t="s">
        <v>257</v>
      </c>
    </row>
    <row r="5712" spans="8:18" x14ac:dyDescent="0.2">
      <c r="H5712" s="180"/>
      <c r="P5712" s="180" t="s">
        <v>257</v>
      </c>
      <c r="R5712" s="180" t="s">
        <v>257</v>
      </c>
    </row>
    <row r="5713" spans="8:18" x14ac:dyDescent="0.2">
      <c r="H5713" s="180"/>
      <c r="P5713" s="180" t="s">
        <v>257</v>
      </c>
      <c r="R5713" s="180" t="s">
        <v>257</v>
      </c>
    </row>
    <row r="5714" spans="8:18" x14ac:dyDescent="0.2">
      <c r="H5714" s="180"/>
      <c r="P5714" s="180" t="s">
        <v>257</v>
      </c>
      <c r="R5714" s="180" t="s">
        <v>257</v>
      </c>
    </row>
    <row r="5715" spans="8:18" x14ac:dyDescent="0.2">
      <c r="H5715" s="180"/>
      <c r="P5715" s="180" t="s">
        <v>257</v>
      </c>
      <c r="R5715" s="180" t="s">
        <v>257</v>
      </c>
    </row>
    <row r="5716" spans="8:18" x14ac:dyDescent="0.2">
      <c r="H5716" s="180"/>
      <c r="P5716" s="180" t="s">
        <v>257</v>
      </c>
      <c r="R5716" s="180" t="s">
        <v>257</v>
      </c>
    </row>
    <row r="5717" spans="8:18" x14ac:dyDescent="0.2">
      <c r="H5717" s="180"/>
      <c r="P5717" s="180" t="s">
        <v>257</v>
      </c>
      <c r="R5717" s="180" t="s">
        <v>257</v>
      </c>
    </row>
    <row r="5718" spans="8:18" x14ac:dyDescent="0.2">
      <c r="H5718" s="180"/>
      <c r="P5718" s="180" t="s">
        <v>257</v>
      </c>
      <c r="R5718" s="180" t="s">
        <v>257</v>
      </c>
    </row>
    <row r="5719" spans="8:18" x14ac:dyDescent="0.2">
      <c r="H5719" s="180"/>
      <c r="P5719" s="180" t="s">
        <v>257</v>
      </c>
      <c r="R5719" s="180" t="s">
        <v>257</v>
      </c>
    </row>
    <row r="5720" spans="8:18" x14ac:dyDescent="0.2">
      <c r="H5720" s="180"/>
      <c r="P5720" s="180" t="s">
        <v>257</v>
      </c>
      <c r="R5720" s="180" t="s">
        <v>257</v>
      </c>
    </row>
    <row r="5721" spans="8:18" x14ac:dyDescent="0.2">
      <c r="H5721" s="180"/>
      <c r="P5721" s="180" t="s">
        <v>257</v>
      </c>
      <c r="R5721" s="180" t="s">
        <v>257</v>
      </c>
    </row>
    <row r="5722" spans="8:18" x14ac:dyDescent="0.2">
      <c r="H5722" s="180"/>
      <c r="P5722" s="180" t="s">
        <v>257</v>
      </c>
      <c r="R5722" s="180" t="s">
        <v>257</v>
      </c>
    </row>
    <row r="5723" spans="8:18" x14ac:dyDescent="0.2">
      <c r="H5723" s="180"/>
      <c r="P5723" s="180" t="s">
        <v>257</v>
      </c>
      <c r="R5723" s="180" t="s">
        <v>257</v>
      </c>
    </row>
    <row r="5724" spans="8:18" x14ac:dyDescent="0.2">
      <c r="H5724" s="180"/>
      <c r="P5724" s="180" t="s">
        <v>257</v>
      </c>
      <c r="R5724" s="180" t="s">
        <v>257</v>
      </c>
    </row>
    <row r="5725" spans="8:18" x14ac:dyDescent="0.2">
      <c r="H5725" s="180"/>
      <c r="P5725" s="180" t="s">
        <v>257</v>
      </c>
      <c r="R5725" s="180" t="s">
        <v>257</v>
      </c>
    </row>
    <row r="5726" spans="8:18" x14ac:dyDescent="0.2">
      <c r="H5726" s="180"/>
      <c r="P5726" s="180" t="s">
        <v>257</v>
      </c>
      <c r="R5726" s="180" t="s">
        <v>257</v>
      </c>
    </row>
    <row r="5727" spans="8:18" x14ac:dyDescent="0.2">
      <c r="H5727" s="180"/>
      <c r="P5727" s="180" t="s">
        <v>257</v>
      </c>
      <c r="R5727" s="180" t="s">
        <v>257</v>
      </c>
    </row>
    <row r="5728" spans="8:18" x14ac:dyDescent="0.2">
      <c r="H5728" s="180"/>
      <c r="P5728" s="180" t="s">
        <v>257</v>
      </c>
      <c r="R5728" s="180" t="s">
        <v>257</v>
      </c>
    </row>
    <row r="5729" spans="8:18" x14ac:dyDescent="0.2">
      <c r="H5729" s="180"/>
      <c r="P5729" s="180" t="s">
        <v>257</v>
      </c>
      <c r="R5729" s="180" t="s">
        <v>257</v>
      </c>
    </row>
    <row r="5730" spans="8:18" x14ac:dyDescent="0.2">
      <c r="H5730" s="180"/>
      <c r="P5730" s="180" t="s">
        <v>257</v>
      </c>
      <c r="R5730" s="180" t="s">
        <v>257</v>
      </c>
    </row>
    <row r="5731" spans="8:18" x14ac:dyDescent="0.2">
      <c r="H5731" s="180"/>
      <c r="P5731" s="180" t="s">
        <v>257</v>
      </c>
      <c r="R5731" s="180" t="s">
        <v>257</v>
      </c>
    </row>
    <row r="5732" spans="8:18" x14ac:dyDescent="0.2">
      <c r="H5732" s="180"/>
      <c r="P5732" s="180" t="s">
        <v>257</v>
      </c>
      <c r="R5732" s="180" t="s">
        <v>257</v>
      </c>
    </row>
    <row r="5733" spans="8:18" x14ac:dyDescent="0.2">
      <c r="H5733" s="180"/>
      <c r="P5733" s="180" t="s">
        <v>257</v>
      </c>
      <c r="R5733" s="180" t="s">
        <v>257</v>
      </c>
    </row>
    <row r="5734" spans="8:18" x14ac:dyDescent="0.2">
      <c r="H5734" s="180"/>
      <c r="P5734" s="180" t="s">
        <v>257</v>
      </c>
      <c r="R5734" s="180" t="s">
        <v>257</v>
      </c>
    </row>
    <row r="5735" spans="8:18" x14ac:dyDescent="0.2">
      <c r="H5735" s="180"/>
      <c r="P5735" s="180" t="s">
        <v>257</v>
      </c>
      <c r="R5735" s="180" t="s">
        <v>257</v>
      </c>
    </row>
    <row r="5736" spans="8:18" x14ac:dyDescent="0.2">
      <c r="H5736" s="180"/>
      <c r="P5736" s="180" t="s">
        <v>257</v>
      </c>
      <c r="R5736" s="180" t="s">
        <v>257</v>
      </c>
    </row>
    <row r="5737" spans="8:18" x14ac:dyDescent="0.2">
      <c r="H5737" s="180"/>
      <c r="P5737" s="180" t="s">
        <v>257</v>
      </c>
      <c r="R5737" s="180" t="s">
        <v>257</v>
      </c>
    </row>
    <row r="5738" spans="8:18" x14ac:dyDescent="0.2">
      <c r="H5738" s="180"/>
      <c r="P5738" s="180" t="s">
        <v>257</v>
      </c>
      <c r="R5738" s="180" t="s">
        <v>257</v>
      </c>
    </row>
    <row r="5739" spans="8:18" x14ac:dyDescent="0.2">
      <c r="H5739" s="180"/>
      <c r="P5739" s="180" t="s">
        <v>257</v>
      </c>
      <c r="R5739" s="180" t="s">
        <v>257</v>
      </c>
    </row>
    <row r="5740" spans="8:18" x14ac:dyDescent="0.2">
      <c r="H5740" s="180"/>
      <c r="P5740" s="180" t="s">
        <v>257</v>
      </c>
      <c r="R5740" s="180" t="s">
        <v>257</v>
      </c>
    </row>
    <row r="5741" spans="8:18" x14ac:dyDescent="0.2">
      <c r="H5741" s="180"/>
      <c r="P5741" s="180" t="s">
        <v>257</v>
      </c>
      <c r="R5741" s="180" t="s">
        <v>257</v>
      </c>
    </row>
    <row r="5742" spans="8:18" x14ac:dyDescent="0.2">
      <c r="H5742" s="180"/>
      <c r="P5742" s="180" t="s">
        <v>257</v>
      </c>
      <c r="R5742" s="180" t="s">
        <v>257</v>
      </c>
    </row>
    <row r="5743" spans="8:18" x14ac:dyDescent="0.2">
      <c r="H5743" s="180"/>
      <c r="P5743" s="180" t="s">
        <v>257</v>
      </c>
      <c r="R5743" s="180" t="s">
        <v>257</v>
      </c>
    </row>
    <row r="5744" spans="8:18" x14ac:dyDescent="0.2">
      <c r="H5744" s="180"/>
      <c r="P5744" s="180" t="s">
        <v>257</v>
      </c>
      <c r="R5744" s="180" t="s">
        <v>257</v>
      </c>
    </row>
    <row r="5745" spans="8:18" x14ac:dyDescent="0.2">
      <c r="H5745" s="180"/>
      <c r="P5745" s="180" t="s">
        <v>257</v>
      </c>
      <c r="R5745" s="180" t="s">
        <v>257</v>
      </c>
    </row>
    <row r="5746" spans="8:18" x14ac:dyDescent="0.2">
      <c r="H5746" s="180"/>
      <c r="P5746" s="180" t="s">
        <v>257</v>
      </c>
      <c r="R5746" s="180" t="s">
        <v>257</v>
      </c>
    </row>
    <row r="5747" spans="8:18" x14ac:dyDescent="0.2">
      <c r="H5747" s="180"/>
      <c r="P5747" s="180" t="s">
        <v>257</v>
      </c>
      <c r="R5747" s="180" t="s">
        <v>257</v>
      </c>
    </row>
    <row r="5748" spans="8:18" x14ac:dyDescent="0.2">
      <c r="H5748" s="180"/>
      <c r="P5748" s="180" t="s">
        <v>257</v>
      </c>
      <c r="R5748" s="180" t="s">
        <v>257</v>
      </c>
    </row>
    <row r="5749" spans="8:18" x14ac:dyDescent="0.2">
      <c r="H5749" s="180"/>
      <c r="P5749" s="180" t="s">
        <v>257</v>
      </c>
      <c r="R5749" s="180" t="s">
        <v>257</v>
      </c>
    </row>
    <row r="5750" spans="8:18" x14ac:dyDescent="0.2">
      <c r="H5750" s="180"/>
      <c r="P5750" s="180" t="s">
        <v>257</v>
      </c>
      <c r="R5750" s="180" t="s">
        <v>257</v>
      </c>
    </row>
    <row r="5751" spans="8:18" x14ac:dyDescent="0.2">
      <c r="H5751" s="180"/>
      <c r="P5751" s="180" t="s">
        <v>257</v>
      </c>
      <c r="R5751" s="180" t="s">
        <v>257</v>
      </c>
    </row>
    <row r="5752" spans="8:18" x14ac:dyDescent="0.2">
      <c r="H5752" s="180"/>
      <c r="P5752" s="180" t="s">
        <v>257</v>
      </c>
      <c r="R5752" s="180" t="s">
        <v>257</v>
      </c>
    </row>
    <row r="5753" spans="8:18" x14ac:dyDescent="0.2">
      <c r="H5753" s="180"/>
      <c r="P5753" s="180" t="s">
        <v>257</v>
      </c>
      <c r="R5753" s="180" t="s">
        <v>257</v>
      </c>
    </row>
    <row r="5754" spans="8:18" x14ac:dyDescent="0.2">
      <c r="H5754" s="180"/>
      <c r="P5754" s="180" t="s">
        <v>257</v>
      </c>
      <c r="R5754" s="180" t="s">
        <v>257</v>
      </c>
    </row>
    <row r="5755" spans="8:18" x14ac:dyDescent="0.2">
      <c r="H5755" s="180"/>
      <c r="P5755" s="180" t="s">
        <v>257</v>
      </c>
      <c r="R5755" s="180" t="s">
        <v>257</v>
      </c>
    </row>
    <row r="5756" spans="8:18" x14ac:dyDescent="0.2">
      <c r="H5756" s="180"/>
      <c r="P5756" s="180" t="s">
        <v>257</v>
      </c>
      <c r="R5756" s="180" t="s">
        <v>257</v>
      </c>
    </row>
    <row r="5757" spans="8:18" x14ac:dyDescent="0.2">
      <c r="H5757" s="180"/>
      <c r="P5757" s="180" t="s">
        <v>257</v>
      </c>
      <c r="R5757" s="180" t="s">
        <v>257</v>
      </c>
    </row>
    <row r="5758" spans="8:18" x14ac:dyDescent="0.2">
      <c r="H5758" s="180"/>
      <c r="P5758" s="180" t="s">
        <v>257</v>
      </c>
      <c r="R5758" s="180" t="s">
        <v>257</v>
      </c>
    </row>
    <row r="5759" spans="8:18" x14ac:dyDescent="0.2">
      <c r="H5759" s="180"/>
      <c r="P5759" s="180" t="s">
        <v>257</v>
      </c>
      <c r="R5759" s="180" t="s">
        <v>257</v>
      </c>
    </row>
    <row r="5760" spans="8:18" x14ac:dyDescent="0.2">
      <c r="H5760" s="180"/>
      <c r="P5760" s="180" t="s">
        <v>257</v>
      </c>
      <c r="R5760" s="180" t="s">
        <v>257</v>
      </c>
    </row>
    <row r="5761" spans="8:18" x14ac:dyDescent="0.2">
      <c r="H5761" s="180"/>
      <c r="P5761" s="180" t="s">
        <v>257</v>
      </c>
      <c r="R5761" s="180" t="s">
        <v>257</v>
      </c>
    </row>
    <row r="5762" spans="8:18" x14ac:dyDescent="0.2">
      <c r="H5762" s="180"/>
      <c r="P5762" s="180" t="s">
        <v>257</v>
      </c>
      <c r="R5762" s="180" t="s">
        <v>257</v>
      </c>
    </row>
    <row r="5763" spans="8:18" x14ac:dyDescent="0.2">
      <c r="H5763" s="180"/>
      <c r="P5763" s="180" t="s">
        <v>257</v>
      </c>
      <c r="R5763" s="180" t="s">
        <v>257</v>
      </c>
    </row>
    <row r="5764" spans="8:18" x14ac:dyDescent="0.2">
      <c r="H5764" s="180"/>
      <c r="P5764" s="180" t="s">
        <v>257</v>
      </c>
      <c r="R5764" s="180" t="s">
        <v>257</v>
      </c>
    </row>
    <row r="5765" spans="8:18" x14ac:dyDescent="0.2">
      <c r="H5765" s="180"/>
      <c r="P5765" s="180" t="s">
        <v>257</v>
      </c>
      <c r="R5765" s="180" t="s">
        <v>257</v>
      </c>
    </row>
    <row r="5766" spans="8:18" x14ac:dyDescent="0.2">
      <c r="H5766" s="180"/>
      <c r="P5766" s="180" t="s">
        <v>257</v>
      </c>
      <c r="R5766" s="180" t="s">
        <v>257</v>
      </c>
    </row>
    <row r="5767" spans="8:18" x14ac:dyDescent="0.2">
      <c r="H5767" s="180"/>
      <c r="P5767" s="180" t="s">
        <v>257</v>
      </c>
      <c r="R5767" s="180" t="s">
        <v>257</v>
      </c>
    </row>
    <row r="5768" spans="8:18" x14ac:dyDescent="0.2">
      <c r="H5768" s="180"/>
      <c r="P5768" s="180" t="s">
        <v>257</v>
      </c>
      <c r="R5768" s="180" t="s">
        <v>257</v>
      </c>
    </row>
    <row r="5769" spans="8:18" x14ac:dyDescent="0.2">
      <c r="H5769" s="180"/>
      <c r="P5769" s="180" t="s">
        <v>257</v>
      </c>
      <c r="R5769" s="180" t="s">
        <v>257</v>
      </c>
    </row>
    <row r="5770" spans="8:18" x14ac:dyDescent="0.2">
      <c r="H5770" s="180"/>
      <c r="P5770" s="180" t="s">
        <v>257</v>
      </c>
      <c r="R5770" s="180" t="s">
        <v>257</v>
      </c>
    </row>
    <row r="5771" spans="8:18" x14ac:dyDescent="0.2">
      <c r="H5771" s="180"/>
      <c r="P5771" s="180" t="s">
        <v>257</v>
      </c>
      <c r="R5771" s="180" t="s">
        <v>257</v>
      </c>
    </row>
    <row r="5772" spans="8:18" x14ac:dyDescent="0.2">
      <c r="H5772" s="180"/>
      <c r="P5772" s="180" t="s">
        <v>257</v>
      </c>
      <c r="R5772" s="180" t="s">
        <v>257</v>
      </c>
    </row>
    <row r="5773" spans="8:18" x14ac:dyDescent="0.2">
      <c r="H5773" s="180"/>
      <c r="P5773" s="180" t="s">
        <v>257</v>
      </c>
      <c r="R5773" s="180" t="s">
        <v>257</v>
      </c>
    </row>
    <row r="5774" spans="8:18" x14ac:dyDescent="0.2">
      <c r="H5774" s="180"/>
      <c r="P5774" s="180" t="s">
        <v>257</v>
      </c>
      <c r="R5774" s="180" t="s">
        <v>257</v>
      </c>
    </row>
    <row r="5775" spans="8:18" x14ac:dyDescent="0.2">
      <c r="H5775" s="180"/>
      <c r="P5775" s="180" t="s">
        <v>257</v>
      </c>
      <c r="R5775" s="180" t="s">
        <v>257</v>
      </c>
    </row>
    <row r="5776" spans="8:18" x14ac:dyDescent="0.2">
      <c r="H5776" s="180"/>
      <c r="P5776" s="180" t="s">
        <v>257</v>
      </c>
      <c r="R5776" s="180" t="s">
        <v>257</v>
      </c>
    </row>
    <row r="5777" spans="8:18" x14ac:dyDescent="0.2">
      <c r="H5777" s="180"/>
      <c r="P5777" s="180" t="s">
        <v>257</v>
      </c>
      <c r="R5777" s="180" t="s">
        <v>257</v>
      </c>
    </row>
    <row r="5778" spans="8:18" x14ac:dyDescent="0.2">
      <c r="H5778" s="180"/>
      <c r="P5778" s="180" t="s">
        <v>257</v>
      </c>
      <c r="R5778" s="180" t="s">
        <v>257</v>
      </c>
    </row>
    <row r="5779" spans="8:18" x14ac:dyDescent="0.2">
      <c r="H5779" s="180"/>
      <c r="P5779" s="180" t="s">
        <v>257</v>
      </c>
      <c r="R5779" s="180" t="s">
        <v>257</v>
      </c>
    </row>
    <row r="5780" spans="8:18" x14ac:dyDescent="0.2">
      <c r="H5780" s="180"/>
      <c r="P5780" s="180" t="s">
        <v>257</v>
      </c>
      <c r="R5780" s="180" t="s">
        <v>257</v>
      </c>
    </row>
    <row r="5781" spans="8:18" x14ac:dyDescent="0.2">
      <c r="H5781" s="180"/>
      <c r="P5781" s="180" t="s">
        <v>257</v>
      </c>
      <c r="R5781" s="180" t="s">
        <v>257</v>
      </c>
    </row>
    <row r="5782" spans="8:18" x14ac:dyDescent="0.2">
      <c r="H5782" s="180"/>
      <c r="P5782" s="180" t="s">
        <v>257</v>
      </c>
      <c r="R5782" s="180" t="s">
        <v>257</v>
      </c>
    </row>
    <row r="5783" spans="8:18" x14ac:dyDescent="0.2">
      <c r="H5783" s="180"/>
      <c r="P5783" s="180" t="s">
        <v>257</v>
      </c>
      <c r="R5783" s="180" t="s">
        <v>257</v>
      </c>
    </row>
    <row r="5784" spans="8:18" x14ac:dyDescent="0.2">
      <c r="H5784" s="180"/>
      <c r="P5784" s="180" t="s">
        <v>257</v>
      </c>
      <c r="R5784" s="180" t="s">
        <v>257</v>
      </c>
    </row>
    <row r="5785" spans="8:18" x14ac:dyDescent="0.2">
      <c r="H5785" s="180"/>
      <c r="P5785" s="180" t="s">
        <v>257</v>
      </c>
      <c r="R5785" s="180" t="s">
        <v>257</v>
      </c>
    </row>
    <row r="5786" spans="8:18" x14ac:dyDescent="0.2">
      <c r="H5786" s="180"/>
      <c r="P5786" s="180" t="s">
        <v>257</v>
      </c>
      <c r="R5786" s="180" t="s">
        <v>257</v>
      </c>
    </row>
    <row r="5787" spans="8:18" x14ac:dyDescent="0.2">
      <c r="H5787" s="180"/>
      <c r="P5787" s="180" t="s">
        <v>257</v>
      </c>
      <c r="R5787" s="180" t="s">
        <v>257</v>
      </c>
    </row>
    <row r="5788" spans="8:18" x14ac:dyDescent="0.2">
      <c r="H5788" s="180"/>
      <c r="P5788" s="180" t="s">
        <v>257</v>
      </c>
      <c r="R5788" s="180" t="s">
        <v>257</v>
      </c>
    </row>
    <row r="5789" spans="8:18" x14ac:dyDescent="0.2">
      <c r="H5789" s="180"/>
      <c r="P5789" s="180" t="s">
        <v>257</v>
      </c>
      <c r="R5789" s="180" t="s">
        <v>257</v>
      </c>
    </row>
    <row r="5790" spans="8:18" x14ac:dyDescent="0.2">
      <c r="H5790" s="180"/>
      <c r="P5790" s="180" t="s">
        <v>257</v>
      </c>
      <c r="R5790" s="180" t="s">
        <v>257</v>
      </c>
    </row>
    <row r="5791" spans="8:18" x14ac:dyDescent="0.2">
      <c r="H5791" s="180"/>
      <c r="P5791" s="180" t="s">
        <v>257</v>
      </c>
      <c r="R5791" s="180" t="s">
        <v>257</v>
      </c>
    </row>
    <row r="5792" spans="8:18" x14ac:dyDescent="0.2">
      <c r="H5792" s="180"/>
      <c r="P5792" s="180" t="s">
        <v>257</v>
      </c>
      <c r="R5792" s="180" t="s">
        <v>257</v>
      </c>
    </row>
    <row r="5793" spans="8:18" x14ac:dyDescent="0.2">
      <c r="H5793" s="180"/>
      <c r="P5793" s="180" t="s">
        <v>257</v>
      </c>
      <c r="R5793" s="180" t="s">
        <v>257</v>
      </c>
    </row>
    <row r="5794" spans="8:18" x14ac:dyDescent="0.2">
      <c r="H5794" s="180"/>
      <c r="P5794" s="180" t="s">
        <v>257</v>
      </c>
      <c r="R5794" s="180" t="s">
        <v>257</v>
      </c>
    </row>
    <row r="5795" spans="8:18" x14ac:dyDescent="0.2">
      <c r="H5795" s="180"/>
      <c r="P5795" s="180" t="s">
        <v>257</v>
      </c>
      <c r="R5795" s="180" t="s">
        <v>257</v>
      </c>
    </row>
    <row r="5796" spans="8:18" x14ac:dyDescent="0.2">
      <c r="H5796" s="180"/>
      <c r="P5796" s="180" t="s">
        <v>257</v>
      </c>
      <c r="R5796" s="180" t="s">
        <v>257</v>
      </c>
    </row>
    <row r="5797" spans="8:18" x14ac:dyDescent="0.2">
      <c r="H5797" s="180"/>
      <c r="P5797" s="180" t="s">
        <v>257</v>
      </c>
      <c r="R5797" s="180" t="s">
        <v>257</v>
      </c>
    </row>
    <row r="5798" spans="8:18" x14ac:dyDescent="0.2">
      <c r="H5798" s="180"/>
      <c r="P5798" s="180" t="s">
        <v>257</v>
      </c>
      <c r="R5798" s="180" t="s">
        <v>257</v>
      </c>
    </row>
    <row r="5799" spans="8:18" x14ac:dyDescent="0.2">
      <c r="H5799" s="180"/>
      <c r="P5799" s="180" t="s">
        <v>257</v>
      </c>
      <c r="R5799" s="180" t="s">
        <v>257</v>
      </c>
    </row>
    <row r="5800" spans="8:18" x14ac:dyDescent="0.2">
      <c r="H5800" s="180"/>
      <c r="P5800" s="180" t="s">
        <v>257</v>
      </c>
      <c r="R5800" s="180" t="s">
        <v>257</v>
      </c>
    </row>
    <row r="5801" spans="8:18" x14ac:dyDescent="0.2">
      <c r="H5801" s="180"/>
      <c r="P5801" s="180" t="s">
        <v>257</v>
      </c>
      <c r="R5801" s="180" t="s">
        <v>257</v>
      </c>
    </row>
    <row r="5802" spans="8:18" x14ac:dyDescent="0.2">
      <c r="H5802" s="180"/>
      <c r="P5802" s="180" t="s">
        <v>257</v>
      </c>
      <c r="R5802" s="180" t="s">
        <v>257</v>
      </c>
    </row>
    <row r="5803" spans="8:18" x14ac:dyDescent="0.2">
      <c r="H5803" s="180"/>
      <c r="P5803" s="180" t="s">
        <v>257</v>
      </c>
      <c r="R5803" s="180" t="s">
        <v>257</v>
      </c>
    </row>
    <row r="5804" spans="8:18" x14ac:dyDescent="0.2">
      <c r="H5804" s="180"/>
      <c r="P5804" s="180" t="s">
        <v>257</v>
      </c>
      <c r="R5804" s="180" t="s">
        <v>257</v>
      </c>
    </row>
    <row r="5805" spans="8:18" x14ac:dyDescent="0.2">
      <c r="H5805" s="180"/>
      <c r="P5805" s="180" t="s">
        <v>257</v>
      </c>
      <c r="R5805" s="180" t="s">
        <v>257</v>
      </c>
    </row>
    <row r="5806" spans="8:18" x14ac:dyDescent="0.2">
      <c r="H5806" s="180"/>
      <c r="P5806" s="180" t="s">
        <v>257</v>
      </c>
      <c r="R5806" s="180" t="s">
        <v>257</v>
      </c>
    </row>
    <row r="5807" spans="8:18" x14ac:dyDescent="0.2">
      <c r="H5807" s="180"/>
      <c r="P5807" s="180" t="s">
        <v>257</v>
      </c>
      <c r="R5807" s="180" t="s">
        <v>257</v>
      </c>
    </row>
    <row r="5808" spans="8:18" x14ac:dyDescent="0.2">
      <c r="H5808" s="180"/>
      <c r="P5808" s="180" t="s">
        <v>257</v>
      </c>
      <c r="R5808" s="180" t="s">
        <v>257</v>
      </c>
    </row>
    <row r="5809" spans="8:18" x14ac:dyDescent="0.2">
      <c r="H5809" s="180"/>
      <c r="P5809" s="180" t="s">
        <v>257</v>
      </c>
      <c r="R5809" s="180" t="s">
        <v>257</v>
      </c>
    </row>
    <row r="5810" spans="8:18" x14ac:dyDescent="0.2">
      <c r="H5810" s="180"/>
      <c r="P5810" s="180" t="s">
        <v>257</v>
      </c>
      <c r="R5810" s="180" t="s">
        <v>257</v>
      </c>
    </row>
    <row r="5811" spans="8:18" x14ac:dyDescent="0.2">
      <c r="H5811" s="180"/>
      <c r="P5811" s="180" t="s">
        <v>257</v>
      </c>
      <c r="R5811" s="180" t="s">
        <v>257</v>
      </c>
    </row>
    <row r="5812" spans="8:18" x14ac:dyDescent="0.2">
      <c r="H5812" s="180"/>
      <c r="P5812" s="180" t="s">
        <v>257</v>
      </c>
      <c r="R5812" s="180" t="s">
        <v>257</v>
      </c>
    </row>
    <row r="5813" spans="8:18" x14ac:dyDescent="0.2">
      <c r="H5813" s="180"/>
      <c r="P5813" s="180" t="s">
        <v>257</v>
      </c>
      <c r="R5813" s="180" t="s">
        <v>257</v>
      </c>
    </row>
    <row r="5814" spans="8:18" x14ac:dyDescent="0.2">
      <c r="H5814" s="180"/>
      <c r="P5814" s="180" t="s">
        <v>257</v>
      </c>
      <c r="R5814" s="180" t="s">
        <v>257</v>
      </c>
    </row>
    <row r="5815" spans="8:18" x14ac:dyDescent="0.2">
      <c r="H5815" s="180"/>
      <c r="P5815" s="180" t="s">
        <v>257</v>
      </c>
      <c r="R5815" s="180" t="s">
        <v>257</v>
      </c>
    </row>
    <row r="5816" spans="8:18" x14ac:dyDescent="0.2">
      <c r="H5816" s="180"/>
      <c r="P5816" s="180" t="s">
        <v>257</v>
      </c>
      <c r="R5816" s="180" t="s">
        <v>257</v>
      </c>
    </row>
    <row r="5817" spans="8:18" x14ac:dyDescent="0.2">
      <c r="H5817" s="180"/>
      <c r="P5817" s="180" t="s">
        <v>257</v>
      </c>
      <c r="R5817" s="180" t="s">
        <v>257</v>
      </c>
    </row>
    <row r="5818" spans="8:18" x14ac:dyDescent="0.2">
      <c r="H5818" s="180"/>
      <c r="P5818" s="180" t="s">
        <v>257</v>
      </c>
      <c r="R5818" s="180" t="s">
        <v>257</v>
      </c>
    </row>
    <row r="5819" spans="8:18" x14ac:dyDescent="0.2">
      <c r="H5819" s="180"/>
      <c r="P5819" s="180" t="s">
        <v>257</v>
      </c>
      <c r="R5819" s="180" t="s">
        <v>257</v>
      </c>
    </row>
    <row r="5820" spans="8:18" x14ac:dyDescent="0.2">
      <c r="H5820" s="180"/>
      <c r="P5820" s="180" t="s">
        <v>257</v>
      </c>
      <c r="R5820" s="180" t="s">
        <v>257</v>
      </c>
    </row>
    <row r="5821" spans="8:18" x14ac:dyDescent="0.2">
      <c r="H5821" s="180"/>
      <c r="P5821" s="180" t="s">
        <v>257</v>
      </c>
      <c r="R5821" s="180" t="s">
        <v>257</v>
      </c>
    </row>
    <row r="5822" spans="8:18" x14ac:dyDescent="0.2">
      <c r="H5822" s="180"/>
      <c r="P5822" s="180" t="s">
        <v>257</v>
      </c>
      <c r="R5822" s="180" t="s">
        <v>257</v>
      </c>
    </row>
    <row r="5823" spans="8:18" x14ac:dyDescent="0.2">
      <c r="H5823" s="180"/>
      <c r="P5823" s="180" t="s">
        <v>257</v>
      </c>
      <c r="R5823" s="180" t="s">
        <v>257</v>
      </c>
    </row>
    <row r="5824" spans="8:18" x14ac:dyDescent="0.2">
      <c r="H5824" s="180"/>
      <c r="P5824" s="180" t="s">
        <v>257</v>
      </c>
      <c r="R5824" s="180" t="s">
        <v>257</v>
      </c>
    </row>
    <row r="5825" spans="8:18" x14ac:dyDescent="0.2">
      <c r="H5825" s="180"/>
      <c r="P5825" s="180" t="s">
        <v>257</v>
      </c>
      <c r="R5825" s="180" t="s">
        <v>257</v>
      </c>
    </row>
    <row r="5826" spans="8:18" x14ac:dyDescent="0.2">
      <c r="H5826" s="180"/>
      <c r="P5826" s="180" t="s">
        <v>257</v>
      </c>
      <c r="R5826" s="180" t="s">
        <v>257</v>
      </c>
    </row>
    <row r="5827" spans="8:18" x14ac:dyDescent="0.2">
      <c r="H5827" s="180"/>
      <c r="P5827" s="180" t="s">
        <v>257</v>
      </c>
      <c r="R5827" s="180" t="s">
        <v>257</v>
      </c>
    </row>
    <row r="5828" spans="8:18" x14ac:dyDescent="0.2">
      <c r="H5828" s="180"/>
      <c r="P5828" s="180" t="s">
        <v>257</v>
      </c>
      <c r="R5828" s="180" t="s">
        <v>257</v>
      </c>
    </row>
    <row r="5829" spans="8:18" x14ac:dyDescent="0.2">
      <c r="H5829" s="180"/>
      <c r="P5829" s="180" t="s">
        <v>257</v>
      </c>
      <c r="R5829" s="180" t="s">
        <v>257</v>
      </c>
    </row>
    <row r="5830" spans="8:18" x14ac:dyDescent="0.2">
      <c r="H5830" s="180"/>
      <c r="P5830" s="180" t="s">
        <v>257</v>
      </c>
      <c r="R5830" s="180" t="s">
        <v>257</v>
      </c>
    </row>
    <row r="5831" spans="8:18" x14ac:dyDescent="0.2">
      <c r="H5831" s="180"/>
      <c r="P5831" s="180" t="s">
        <v>257</v>
      </c>
      <c r="R5831" s="180" t="s">
        <v>257</v>
      </c>
    </row>
    <row r="5832" spans="8:18" x14ac:dyDescent="0.2">
      <c r="H5832" s="180"/>
      <c r="P5832" s="180" t="s">
        <v>257</v>
      </c>
      <c r="R5832" s="180" t="s">
        <v>257</v>
      </c>
    </row>
    <row r="5833" spans="8:18" x14ac:dyDescent="0.2">
      <c r="H5833" s="180"/>
      <c r="P5833" s="180" t="s">
        <v>257</v>
      </c>
      <c r="R5833" s="180" t="s">
        <v>257</v>
      </c>
    </row>
    <row r="5834" spans="8:18" x14ac:dyDescent="0.2">
      <c r="H5834" s="180"/>
      <c r="P5834" s="180" t="s">
        <v>257</v>
      </c>
      <c r="R5834" s="180" t="s">
        <v>257</v>
      </c>
    </row>
    <row r="5835" spans="8:18" x14ac:dyDescent="0.2">
      <c r="H5835" s="180"/>
      <c r="P5835" s="180" t="s">
        <v>257</v>
      </c>
      <c r="R5835" s="180" t="s">
        <v>257</v>
      </c>
    </row>
    <row r="5836" spans="8:18" x14ac:dyDescent="0.2">
      <c r="H5836" s="180"/>
      <c r="P5836" s="180" t="s">
        <v>257</v>
      </c>
      <c r="R5836" s="180" t="s">
        <v>257</v>
      </c>
    </row>
    <row r="5837" spans="8:18" x14ac:dyDescent="0.2">
      <c r="H5837" s="180"/>
      <c r="P5837" s="180" t="s">
        <v>257</v>
      </c>
      <c r="R5837" s="180" t="s">
        <v>257</v>
      </c>
    </row>
    <row r="5838" spans="8:18" x14ac:dyDescent="0.2">
      <c r="H5838" s="180"/>
      <c r="P5838" s="180" t="s">
        <v>257</v>
      </c>
      <c r="R5838" s="180" t="s">
        <v>257</v>
      </c>
    </row>
    <row r="5839" spans="8:18" x14ac:dyDescent="0.2">
      <c r="H5839" s="180"/>
      <c r="P5839" s="180" t="s">
        <v>257</v>
      </c>
      <c r="R5839" s="180" t="s">
        <v>257</v>
      </c>
    </row>
    <row r="5840" spans="8:18" x14ac:dyDescent="0.2">
      <c r="H5840" s="180"/>
      <c r="P5840" s="180" t="s">
        <v>257</v>
      </c>
      <c r="R5840" s="180" t="s">
        <v>257</v>
      </c>
    </row>
    <row r="5841" spans="8:18" x14ac:dyDescent="0.2">
      <c r="H5841" s="180"/>
      <c r="P5841" s="180" t="s">
        <v>257</v>
      </c>
      <c r="R5841" s="180" t="s">
        <v>257</v>
      </c>
    </row>
    <row r="5842" spans="8:18" x14ac:dyDescent="0.2">
      <c r="H5842" s="180"/>
      <c r="P5842" s="180" t="s">
        <v>257</v>
      </c>
      <c r="R5842" s="180" t="s">
        <v>257</v>
      </c>
    </row>
    <row r="5843" spans="8:18" x14ac:dyDescent="0.2">
      <c r="H5843" s="180"/>
      <c r="P5843" s="180" t="s">
        <v>257</v>
      </c>
      <c r="R5843" s="180" t="s">
        <v>257</v>
      </c>
    </row>
    <row r="5844" spans="8:18" x14ac:dyDescent="0.2">
      <c r="H5844" s="180"/>
      <c r="P5844" s="180" t="s">
        <v>257</v>
      </c>
      <c r="R5844" s="180" t="s">
        <v>257</v>
      </c>
    </row>
    <row r="5845" spans="8:18" x14ac:dyDescent="0.2">
      <c r="H5845" s="180"/>
      <c r="P5845" s="180" t="s">
        <v>257</v>
      </c>
      <c r="R5845" s="180" t="s">
        <v>257</v>
      </c>
    </row>
    <row r="5846" spans="8:18" x14ac:dyDescent="0.2">
      <c r="H5846" s="180"/>
      <c r="P5846" s="180" t="s">
        <v>257</v>
      </c>
      <c r="R5846" s="180" t="s">
        <v>257</v>
      </c>
    </row>
    <row r="5847" spans="8:18" x14ac:dyDescent="0.2">
      <c r="H5847" s="180"/>
      <c r="P5847" s="180" t="s">
        <v>257</v>
      </c>
      <c r="R5847" s="180" t="s">
        <v>257</v>
      </c>
    </row>
    <row r="5848" spans="8:18" x14ac:dyDescent="0.2">
      <c r="H5848" s="180"/>
      <c r="P5848" s="180" t="s">
        <v>257</v>
      </c>
      <c r="R5848" s="180" t="s">
        <v>257</v>
      </c>
    </row>
    <row r="5849" spans="8:18" x14ac:dyDescent="0.2">
      <c r="H5849" s="180"/>
      <c r="P5849" s="180" t="s">
        <v>257</v>
      </c>
      <c r="R5849" s="180" t="s">
        <v>257</v>
      </c>
    </row>
    <row r="5850" spans="8:18" x14ac:dyDescent="0.2">
      <c r="H5850" s="180"/>
      <c r="P5850" s="180" t="s">
        <v>257</v>
      </c>
      <c r="R5850" s="180" t="s">
        <v>257</v>
      </c>
    </row>
    <row r="5851" spans="8:18" x14ac:dyDescent="0.2">
      <c r="H5851" s="180"/>
      <c r="P5851" s="180" t="s">
        <v>257</v>
      </c>
      <c r="R5851" s="180" t="s">
        <v>257</v>
      </c>
    </row>
    <row r="5852" spans="8:18" x14ac:dyDescent="0.2">
      <c r="H5852" s="180"/>
      <c r="P5852" s="180" t="s">
        <v>257</v>
      </c>
      <c r="R5852" s="180" t="s">
        <v>257</v>
      </c>
    </row>
    <row r="5853" spans="8:18" x14ac:dyDescent="0.2">
      <c r="H5853" s="180"/>
      <c r="P5853" s="180" t="s">
        <v>257</v>
      </c>
      <c r="R5853" s="180" t="s">
        <v>257</v>
      </c>
    </row>
    <row r="5854" spans="8:18" x14ac:dyDescent="0.2">
      <c r="H5854" s="180"/>
      <c r="P5854" s="180" t="s">
        <v>257</v>
      </c>
      <c r="R5854" s="180" t="s">
        <v>257</v>
      </c>
    </row>
    <row r="5855" spans="8:18" x14ac:dyDescent="0.2">
      <c r="H5855" s="180"/>
      <c r="P5855" s="180" t="s">
        <v>257</v>
      </c>
      <c r="R5855" s="180" t="s">
        <v>257</v>
      </c>
    </row>
    <row r="5856" spans="8:18" x14ac:dyDescent="0.2">
      <c r="H5856" s="180"/>
      <c r="P5856" s="180" t="s">
        <v>257</v>
      </c>
      <c r="R5856" s="180" t="s">
        <v>257</v>
      </c>
    </row>
    <row r="5857" spans="8:18" x14ac:dyDescent="0.2">
      <c r="H5857" s="180"/>
      <c r="P5857" s="180" t="s">
        <v>257</v>
      </c>
      <c r="R5857" s="180" t="s">
        <v>257</v>
      </c>
    </row>
    <row r="5858" spans="8:18" x14ac:dyDescent="0.2">
      <c r="H5858" s="180"/>
      <c r="P5858" s="180" t="s">
        <v>257</v>
      </c>
      <c r="R5858" s="180" t="s">
        <v>257</v>
      </c>
    </row>
    <row r="5859" spans="8:18" x14ac:dyDescent="0.2">
      <c r="H5859" s="180"/>
      <c r="P5859" s="180" t="s">
        <v>257</v>
      </c>
      <c r="R5859" s="180" t="s">
        <v>257</v>
      </c>
    </row>
    <row r="5860" spans="8:18" x14ac:dyDescent="0.2">
      <c r="H5860" s="180"/>
      <c r="P5860" s="180" t="s">
        <v>257</v>
      </c>
      <c r="R5860" s="180" t="s">
        <v>257</v>
      </c>
    </row>
    <row r="5861" spans="8:18" x14ac:dyDescent="0.2">
      <c r="H5861" s="180"/>
      <c r="P5861" s="180" t="s">
        <v>257</v>
      </c>
      <c r="R5861" s="180" t="s">
        <v>257</v>
      </c>
    </row>
    <row r="5862" spans="8:18" x14ac:dyDescent="0.2">
      <c r="H5862" s="180"/>
      <c r="P5862" s="180" t="s">
        <v>257</v>
      </c>
      <c r="R5862" s="180" t="s">
        <v>257</v>
      </c>
    </row>
    <row r="5863" spans="8:18" x14ac:dyDescent="0.2">
      <c r="H5863" s="180"/>
      <c r="P5863" s="180" t="s">
        <v>257</v>
      </c>
      <c r="R5863" s="180" t="s">
        <v>257</v>
      </c>
    </row>
    <row r="5864" spans="8:18" x14ac:dyDescent="0.2">
      <c r="H5864" s="180"/>
      <c r="P5864" s="180" t="s">
        <v>257</v>
      </c>
      <c r="R5864" s="180" t="s">
        <v>257</v>
      </c>
    </row>
    <row r="5865" spans="8:18" x14ac:dyDescent="0.2">
      <c r="H5865" s="180"/>
      <c r="P5865" s="180" t="s">
        <v>257</v>
      </c>
      <c r="R5865" s="180" t="s">
        <v>257</v>
      </c>
    </row>
    <row r="5866" spans="8:18" x14ac:dyDescent="0.2">
      <c r="H5866" s="180"/>
      <c r="P5866" s="180" t="s">
        <v>257</v>
      </c>
      <c r="R5866" s="180" t="s">
        <v>257</v>
      </c>
    </row>
    <row r="5867" spans="8:18" x14ac:dyDescent="0.2">
      <c r="H5867" s="180"/>
      <c r="P5867" s="180" t="s">
        <v>257</v>
      </c>
      <c r="R5867" s="180" t="s">
        <v>257</v>
      </c>
    </row>
    <row r="5868" spans="8:18" x14ac:dyDescent="0.2">
      <c r="H5868" s="180"/>
      <c r="P5868" s="180" t="s">
        <v>257</v>
      </c>
      <c r="R5868" s="180" t="s">
        <v>257</v>
      </c>
    </row>
    <row r="5869" spans="8:18" x14ac:dyDescent="0.2">
      <c r="H5869" s="180"/>
      <c r="P5869" s="180" t="s">
        <v>257</v>
      </c>
      <c r="R5869" s="180" t="s">
        <v>257</v>
      </c>
    </row>
    <row r="5870" spans="8:18" x14ac:dyDescent="0.2">
      <c r="H5870" s="180"/>
      <c r="P5870" s="180" t="s">
        <v>257</v>
      </c>
      <c r="R5870" s="180" t="s">
        <v>257</v>
      </c>
    </row>
    <row r="5871" spans="8:18" x14ac:dyDescent="0.2">
      <c r="H5871" s="180"/>
      <c r="P5871" s="180" t="s">
        <v>257</v>
      </c>
      <c r="R5871" s="180" t="s">
        <v>257</v>
      </c>
    </row>
    <row r="5872" spans="8:18" x14ac:dyDescent="0.2">
      <c r="H5872" s="180"/>
      <c r="P5872" s="180" t="s">
        <v>257</v>
      </c>
      <c r="R5872" s="180" t="s">
        <v>257</v>
      </c>
    </row>
    <row r="5873" spans="8:18" x14ac:dyDescent="0.2">
      <c r="H5873" s="180"/>
      <c r="P5873" s="180" t="s">
        <v>257</v>
      </c>
      <c r="R5873" s="180" t="s">
        <v>257</v>
      </c>
    </row>
    <row r="5874" spans="8:18" x14ac:dyDescent="0.2">
      <c r="H5874" s="180"/>
      <c r="P5874" s="180" t="s">
        <v>257</v>
      </c>
      <c r="R5874" s="180" t="s">
        <v>257</v>
      </c>
    </row>
    <row r="5875" spans="8:18" x14ac:dyDescent="0.2">
      <c r="H5875" s="180"/>
      <c r="P5875" s="180" t="s">
        <v>257</v>
      </c>
      <c r="R5875" s="180" t="s">
        <v>257</v>
      </c>
    </row>
    <row r="5876" spans="8:18" x14ac:dyDescent="0.2">
      <c r="H5876" s="180"/>
      <c r="P5876" s="180" t="s">
        <v>257</v>
      </c>
      <c r="R5876" s="180" t="s">
        <v>257</v>
      </c>
    </row>
    <row r="5877" spans="8:18" x14ac:dyDescent="0.2">
      <c r="H5877" s="180"/>
      <c r="P5877" s="180" t="s">
        <v>257</v>
      </c>
      <c r="R5877" s="180" t="s">
        <v>257</v>
      </c>
    </row>
    <row r="5878" spans="8:18" x14ac:dyDescent="0.2">
      <c r="H5878" s="180"/>
      <c r="P5878" s="180" t="s">
        <v>257</v>
      </c>
      <c r="R5878" s="180" t="s">
        <v>257</v>
      </c>
    </row>
    <row r="5879" spans="8:18" x14ac:dyDescent="0.2">
      <c r="H5879" s="180"/>
      <c r="P5879" s="180" t="s">
        <v>257</v>
      </c>
      <c r="R5879" s="180" t="s">
        <v>257</v>
      </c>
    </row>
    <row r="5880" spans="8:18" x14ac:dyDescent="0.2">
      <c r="H5880" s="180"/>
      <c r="P5880" s="180" t="s">
        <v>257</v>
      </c>
      <c r="R5880" s="180" t="s">
        <v>257</v>
      </c>
    </row>
    <row r="5881" spans="8:18" x14ac:dyDescent="0.2">
      <c r="H5881" s="180"/>
      <c r="P5881" s="180" t="s">
        <v>257</v>
      </c>
      <c r="R5881" s="180" t="s">
        <v>257</v>
      </c>
    </row>
    <row r="5882" spans="8:18" x14ac:dyDescent="0.2">
      <c r="H5882" s="180"/>
      <c r="P5882" s="180" t="s">
        <v>257</v>
      </c>
      <c r="R5882" s="180" t="s">
        <v>257</v>
      </c>
    </row>
    <row r="5883" spans="8:18" x14ac:dyDescent="0.2">
      <c r="H5883" s="180"/>
      <c r="P5883" s="180" t="s">
        <v>257</v>
      </c>
      <c r="R5883" s="180" t="s">
        <v>257</v>
      </c>
    </row>
    <row r="5884" spans="8:18" x14ac:dyDescent="0.2">
      <c r="H5884" s="180"/>
      <c r="P5884" s="180" t="s">
        <v>257</v>
      </c>
      <c r="R5884" s="180" t="s">
        <v>257</v>
      </c>
    </row>
    <row r="5885" spans="8:18" x14ac:dyDescent="0.2">
      <c r="H5885" s="180"/>
      <c r="P5885" s="180" t="s">
        <v>257</v>
      </c>
      <c r="R5885" s="180" t="s">
        <v>257</v>
      </c>
    </row>
    <row r="5886" spans="8:18" x14ac:dyDescent="0.2">
      <c r="H5886" s="180"/>
      <c r="P5886" s="180" t="s">
        <v>257</v>
      </c>
      <c r="R5886" s="180" t="s">
        <v>257</v>
      </c>
    </row>
    <row r="5887" spans="8:18" x14ac:dyDescent="0.2">
      <c r="H5887" s="180"/>
      <c r="P5887" s="180" t="s">
        <v>257</v>
      </c>
      <c r="R5887" s="180" t="s">
        <v>257</v>
      </c>
    </row>
    <row r="5888" spans="8:18" x14ac:dyDescent="0.2">
      <c r="H5888" s="180"/>
      <c r="P5888" s="180" t="s">
        <v>257</v>
      </c>
      <c r="R5888" s="180" t="s">
        <v>257</v>
      </c>
    </row>
    <row r="5889" spans="8:18" x14ac:dyDescent="0.2">
      <c r="H5889" s="180"/>
      <c r="P5889" s="180" t="s">
        <v>257</v>
      </c>
      <c r="R5889" s="180" t="s">
        <v>257</v>
      </c>
    </row>
    <row r="5890" spans="8:18" x14ac:dyDescent="0.2">
      <c r="H5890" s="180"/>
      <c r="P5890" s="180" t="s">
        <v>257</v>
      </c>
      <c r="R5890" s="180" t="s">
        <v>257</v>
      </c>
    </row>
    <row r="5891" spans="8:18" x14ac:dyDescent="0.2">
      <c r="H5891" s="180"/>
      <c r="P5891" s="180" t="s">
        <v>257</v>
      </c>
      <c r="R5891" s="180" t="s">
        <v>257</v>
      </c>
    </row>
    <row r="5892" spans="8:18" x14ac:dyDescent="0.2">
      <c r="H5892" s="180"/>
      <c r="P5892" s="180" t="s">
        <v>257</v>
      </c>
      <c r="R5892" s="180" t="s">
        <v>257</v>
      </c>
    </row>
    <row r="5893" spans="8:18" x14ac:dyDescent="0.2">
      <c r="H5893" s="180"/>
      <c r="P5893" s="180" t="s">
        <v>257</v>
      </c>
      <c r="R5893" s="180" t="s">
        <v>257</v>
      </c>
    </row>
    <row r="5894" spans="8:18" x14ac:dyDescent="0.2">
      <c r="H5894" s="180"/>
      <c r="P5894" s="180" t="s">
        <v>257</v>
      </c>
      <c r="R5894" s="180" t="s">
        <v>257</v>
      </c>
    </row>
    <row r="5895" spans="8:18" x14ac:dyDescent="0.2">
      <c r="H5895" s="180"/>
      <c r="P5895" s="180" t="s">
        <v>257</v>
      </c>
      <c r="R5895" s="180" t="s">
        <v>257</v>
      </c>
    </row>
    <row r="5896" spans="8:18" x14ac:dyDescent="0.2">
      <c r="H5896" s="180"/>
      <c r="P5896" s="180" t="s">
        <v>257</v>
      </c>
      <c r="R5896" s="180" t="s">
        <v>257</v>
      </c>
    </row>
    <row r="5897" spans="8:18" x14ac:dyDescent="0.2">
      <c r="H5897" s="180"/>
      <c r="P5897" s="180" t="s">
        <v>257</v>
      </c>
      <c r="R5897" s="180" t="s">
        <v>257</v>
      </c>
    </row>
    <row r="5898" spans="8:18" x14ac:dyDescent="0.2">
      <c r="H5898" s="180"/>
      <c r="P5898" s="180" t="s">
        <v>257</v>
      </c>
      <c r="R5898" s="180" t="s">
        <v>257</v>
      </c>
    </row>
    <row r="5899" spans="8:18" x14ac:dyDescent="0.2">
      <c r="H5899" s="180"/>
      <c r="P5899" s="180" t="s">
        <v>257</v>
      </c>
      <c r="R5899" s="180" t="s">
        <v>257</v>
      </c>
    </row>
    <row r="5900" spans="8:18" x14ac:dyDescent="0.2">
      <c r="H5900" s="180"/>
      <c r="P5900" s="180" t="s">
        <v>257</v>
      </c>
      <c r="R5900" s="180" t="s">
        <v>257</v>
      </c>
    </row>
    <row r="5901" spans="8:18" x14ac:dyDescent="0.2">
      <c r="H5901" s="180"/>
      <c r="P5901" s="180" t="s">
        <v>257</v>
      </c>
      <c r="R5901" s="180" t="s">
        <v>257</v>
      </c>
    </row>
    <row r="5902" spans="8:18" x14ac:dyDescent="0.2">
      <c r="H5902" s="180"/>
      <c r="P5902" s="180" t="s">
        <v>257</v>
      </c>
      <c r="R5902" s="180" t="s">
        <v>257</v>
      </c>
    </row>
    <row r="5903" spans="8:18" x14ac:dyDescent="0.2">
      <c r="H5903" s="180"/>
      <c r="P5903" s="180" t="s">
        <v>257</v>
      </c>
      <c r="R5903" s="180" t="s">
        <v>257</v>
      </c>
    </row>
    <row r="5904" spans="8:18" x14ac:dyDescent="0.2">
      <c r="H5904" s="180"/>
      <c r="P5904" s="180" t="s">
        <v>257</v>
      </c>
      <c r="R5904" s="180" t="s">
        <v>257</v>
      </c>
    </row>
    <row r="5905" spans="8:18" x14ac:dyDescent="0.2">
      <c r="H5905" s="180"/>
      <c r="P5905" s="180" t="s">
        <v>257</v>
      </c>
      <c r="R5905" s="180" t="s">
        <v>257</v>
      </c>
    </row>
    <row r="5906" spans="8:18" x14ac:dyDescent="0.2">
      <c r="H5906" s="180"/>
      <c r="P5906" s="180" t="s">
        <v>257</v>
      </c>
      <c r="R5906" s="180" t="s">
        <v>257</v>
      </c>
    </row>
    <row r="5907" spans="8:18" x14ac:dyDescent="0.2">
      <c r="H5907" s="180"/>
      <c r="P5907" s="180" t="s">
        <v>257</v>
      </c>
      <c r="R5907" s="180" t="s">
        <v>257</v>
      </c>
    </row>
    <row r="5908" spans="8:18" x14ac:dyDescent="0.2">
      <c r="H5908" s="180"/>
      <c r="P5908" s="180" t="s">
        <v>257</v>
      </c>
      <c r="R5908" s="180" t="s">
        <v>257</v>
      </c>
    </row>
    <row r="5909" spans="8:18" x14ac:dyDescent="0.2">
      <c r="H5909" s="180"/>
      <c r="P5909" s="180" t="s">
        <v>257</v>
      </c>
      <c r="R5909" s="180" t="s">
        <v>257</v>
      </c>
    </row>
    <row r="5910" spans="8:18" x14ac:dyDescent="0.2">
      <c r="H5910" s="180"/>
      <c r="P5910" s="180" t="s">
        <v>257</v>
      </c>
      <c r="R5910" s="180" t="s">
        <v>257</v>
      </c>
    </row>
    <row r="5911" spans="8:18" x14ac:dyDescent="0.2">
      <c r="H5911" s="180"/>
      <c r="P5911" s="180" t="s">
        <v>257</v>
      </c>
      <c r="R5911" s="180" t="s">
        <v>257</v>
      </c>
    </row>
    <row r="5912" spans="8:18" x14ac:dyDescent="0.2">
      <c r="H5912" s="180"/>
      <c r="P5912" s="180" t="s">
        <v>257</v>
      </c>
      <c r="R5912" s="180" t="s">
        <v>257</v>
      </c>
    </row>
    <row r="5913" spans="8:18" x14ac:dyDescent="0.2">
      <c r="H5913" s="180"/>
      <c r="P5913" s="180" t="s">
        <v>257</v>
      </c>
      <c r="R5913" s="180" t="s">
        <v>257</v>
      </c>
    </row>
    <row r="5914" spans="8:18" x14ac:dyDescent="0.2">
      <c r="H5914" s="180"/>
      <c r="P5914" s="180" t="s">
        <v>257</v>
      </c>
      <c r="R5914" s="180" t="s">
        <v>257</v>
      </c>
    </row>
    <row r="5915" spans="8:18" x14ac:dyDescent="0.2">
      <c r="H5915" s="180"/>
      <c r="P5915" s="180" t="s">
        <v>257</v>
      </c>
      <c r="R5915" s="180" t="s">
        <v>257</v>
      </c>
    </row>
    <row r="5916" spans="8:18" x14ac:dyDescent="0.2">
      <c r="H5916" s="180"/>
      <c r="P5916" s="180" t="s">
        <v>257</v>
      </c>
      <c r="R5916" s="180" t="s">
        <v>257</v>
      </c>
    </row>
    <row r="5917" spans="8:18" x14ac:dyDescent="0.2">
      <c r="H5917" s="180"/>
      <c r="P5917" s="180" t="s">
        <v>257</v>
      </c>
      <c r="R5917" s="180" t="s">
        <v>257</v>
      </c>
    </row>
    <row r="5918" spans="8:18" x14ac:dyDescent="0.2">
      <c r="H5918" s="180"/>
      <c r="P5918" s="180" t="s">
        <v>257</v>
      </c>
      <c r="R5918" s="180" t="s">
        <v>257</v>
      </c>
    </row>
    <row r="5919" spans="8:18" x14ac:dyDescent="0.2">
      <c r="H5919" s="180"/>
      <c r="P5919" s="180" t="s">
        <v>257</v>
      </c>
      <c r="R5919" s="180" t="s">
        <v>257</v>
      </c>
    </row>
    <row r="5920" spans="8:18" x14ac:dyDescent="0.2">
      <c r="H5920" s="180"/>
      <c r="P5920" s="180" t="s">
        <v>257</v>
      </c>
      <c r="R5920" s="180" t="s">
        <v>257</v>
      </c>
    </row>
    <row r="5921" spans="8:18" x14ac:dyDescent="0.2">
      <c r="H5921" s="180"/>
      <c r="P5921" s="180" t="s">
        <v>257</v>
      </c>
      <c r="R5921" s="180" t="s">
        <v>257</v>
      </c>
    </row>
    <row r="5922" spans="8:18" x14ac:dyDescent="0.2">
      <c r="H5922" s="180"/>
      <c r="P5922" s="180" t="s">
        <v>257</v>
      </c>
      <c r="R5922" s="180" t="s">
        <v>257</v>
      </c>
    </row>
    <row r="5923" spans="8:18" x14ac:dyDescent="0.2">
      <c r="H5923" s="180"/>
      <c r="P5923" s="180" t="s">
        <v>257</v>
      </c>
      <c r="R5923" s="180" t="s">
        <v>257</v>
      </c>
    </row>
    <row r="5924" spans="8:18" x14ac:dyDescent="0.2">
      <c r="H5924" s="180"/>
      <c r="P5924" s="180" t="s">
        <v>257</v>
      </c>
      <c r="R5924" s="180" t="s">
        <v>257</v>
      </c>
    </row>
    <row r="5925" spans="8:18" x14ac:dyDescent="0.2">
      <c r="H5925" s="180"/>
      <c r="P5925" s="180" t="s">
        <v>257</v>
      </c>
      <c r="R5925" s="180" t="s">
        <v>257</v>
      </c>
    </row>
    <row r="5926" spans="8:18" x14ac:dyDescent="0.2">
      <c r="H5926" s="180"/>
      <c r="P5926" s="180" t="s">
        <v>257</v>
      </c>
      <c r="R5926" s="180" t="s">
        <v>257</v>
      </c>
    </row>
    <row r="5927" spans="8:18" x14ac:dyDescent="0.2">
      <c r="H5927" s="180"/>
      <c r="P5927" s="180" t="s">
        <v>257</v>
      </c>
      <c r="R5927" s="180" t="s">
        <v>257</v>
      </c>
    </row>
    <row r="5928" spans="8:18" x14ac:dyDescent="0.2">
      <c r="H5928" s="180"/>
      <c r="P5928" s="180" t="s">
        <v>257</v>
      </c>
      <c r="R5928" s="180" t="s">
        <v>257</v>
      </c>
    </row>
    <row r="5929" spans="8:18" x14ac:dyDescent="0.2">
      <c r="H5929" s="180"/>
      <c r="P5929" s="180" t="s">
        <v>257</v>
      </c>
      <c r="R5929" s="180" t="s">
        <v>257</v>
      </c>
    </row>
    <row r="5930" spans="8:18" x14ac:dyDescent="0.2">
      <c r="H5930" s="180"/>
      <c r="P5930" s="180" t="s">
        <v>257</v>
      </c>
      <c r="R5930" s="180" t="s">
        <v>257</v>
      </c>
    </row>
    <row r="5931" spans="8:18" x14ac:dyDescent="0.2">
      <c r="H5931" s="180"/>
      <c r="P5931" s="180" t="s">
        <v>257</v>
      </c>
      <c r="R5931" s="180" t="s">
        <v>257</v>
      </c>
    </row>
    <row r="5932" spans="8:18" x14ac:dyDescent="0.2">
      <c r="H5932" s="180"/>
      <c r="P5932" s="180" t="s">
        <v>257</v>
      </c>
      <c r="R5932" s="180" t="s">
        <v>257</v>
      </c>
    </row>
    <row r="5933" spans="8:18" x14ac:dyDescent="0.2">
      <c r="H5933" s="180"/>
      <c r="P5933" s="180" t="s">
        <v>257</v>
      </c>
      <c r="R5933" s="180" t="s">
        <v>257</v>
      </c>
    </row>
    <row r="5934" spans="8:18" x14ac:dyDescent="0.2">
      <c r="H5934" s="180"/>
      <c r="P5934" s="180" t="s">
        <v>257</v>
      </c>
      <c r="R5934" s="180" t="s">
        <v>257</v>
      </c>
    </row>
    <row r="5935" spans="8:18" x14ac:dyDescent="0.2">
      <c r="H5935" s="180"/>
      <c r="P5935" s="180" t="s">
        <v>257</v>
      </c>
      <c r="R5935" s="180" t="s">
        <v>257</v>
      </c>
    </row>
    <row r="5936" spans="8:18" x14ac:dyDescent="0.2">
      <c r="H5936" s="180"/>
      <c r="P5936" s="180" t="s">
        <v>257</v>
      </c>
      <c r="R5936" s="180" t="s">
        <v>257</v>
      </c>
    </row>
    <row r="5937" spans="8:18" x14ac:dyDescent="0.2">
      <c r="H5937" s="180"/>
      <c r="P5937" s="180" t="s">
        <v>257</v>
      </c>
      <c r="R5937" s="180" t="s">
        <v>257</v>
      </c>
    </row>
    <row r="5938" spans="8:18" x14ac:dyDescent="0.2">
      <c r="H5938" s="180"/>
      <c r="P5938" s="180" t="s">
        <v>257</v>
      </c>
      <c r="R5938" s="180" t="s">
        <v>257</v>
      </c>
    </row>
    <row r="5939" spans="8:18" x14ac:dyDescent="0.2">
      <c r="H5939" s="180"/>
      <c r="P5939" s="180" t="s">
        <v>257</v>
      </c>
      <c r="R5939" s="180" t="s">
        <v>257</v>
      </c>
    </row>
    <row r="5940" spans="8:18" x14ac:dyDescent="0.2">
      <c r="H5940" s="180"/>
      <c r="P5940" s="180" t="s">
        <v>257</v>
      </c>
      <c r="R5940" s="180" t="s">
        <v>257</v>
      </c>
    </row>
    <row r="5941" spans="8:18" x14ac:dyDescent="0.2">
      <c r="H5941" s="180"/>
      <c r="P5941" s="180" t="s">
        <v>257</v>
      </c>
      <c r="R5941" s="180" t="s">
        <v>257</v>
      </c>
    </row>
    <row r="5942" spans="8:18" x14ac:dyDescent="0.2">
      <c r="H5942" s="180"/>
      <c r="P5942" s="180" t="s">
        <v>257</v>
      </c>
      <c r="R5942" s="180" t="s">
        <v>257</v>
      </c>
    </row>
    <row r="5943" spans="8:18" x14ac:dyDescent="0.2">
      <c r="H5943" s="180"/>
      <c r="P5943" s="180" t="s">
        <v>257</v>
      </c>
      <c r="R5943" s="180" t="s">
        <v>257</v>
      </c>
    </row>
    <row r="5944" spans="8:18" x14ac:dyDescent="0.2">
      <c r="H5944" s="180"/>
      <c r="P5944" s="180" t="s">
        <v>257</v>
      </c>
      <c r="R5944" s="180" t="s">
        <v>257</v>
      </c>
    </row>
    <row r="5945" spans="8:18" x14ac:dyDescent="0.2">
      <c r="H5945" s="180"/>
      <c r="P5945" s="180" t="s">
        <v>257</v>
      </c>
      <c r="R5945" s="180" t="s">
        <v>257</v>
      </c>
    </row>
    <row r="5946" spans="8:18" x14ac:dyDescent="0.2">
      <c r="H5946" s="180"/>
      <c r="P5946" s="180" t="s">
        <v>257</v>
      </c>
      <c r="R5946" s="180" t="s">
        <v>257</v>
      </c>
    </row>
    <row r="5947" spans="8:18" x14ac:dyDescent="0.2">
      <c r="H5947" s="180"/>
      <c r="P5947" s="180" t="s">
        <v>257</v>
      </c>
      <c r="R5947" s="180" t="s">
        <v>257</v>
      </c>
    </row>
    <row r="5948" spans="8:18" x14ac:dyDescent="0.2">
      <c r="H5948" s="180"/>
      <c r="P5948" s="180" t="s">
        <v>257</v>
      </c>
      <c r="R5948" s="180" t="s">
        <v>257</v>
      </c>
    </row>
    <row r="5949" spans="8:18" x14ac:dyDescent="0.2">
      <c r="H5949" s="180"/>
      <c r="P5949" s="180" t="s">
        <v>257</v>
      </c>
      <c r="R5949" s="180" t="s">
        <v>257</v>
      </c>
    </row>
    <row r="5950" spans="8:18" x14ac:dyDescent="0.2">
      <c r="H5950" s="180"/>
      <c r="P5950" s="180" t="s">
        <v>257</v>
      </c>
      <c r="R5950" s="180" t="s">
        <v>257</v>
      </c>
    </row>
    <row r="5951" spans="8:18" x14ac:dyDescent="0.2">
      <c r="H5951" s="180"/>
      <c r="P5951" s="180" t="s">
        <v>257</v>
      </c>
      <c r="R5951" s="180" t="s">
        <v>257</v>
      </c>
    </row>
    <row r="5952" spans="8:18" x14ac:dyDescent="0.2">
      <c r="H5952" s="180"/>
      <c r="P5952" s="180" t="s">
        <v>257</v>
      </c>
      <c r="R5952" s="180" t="s">
        <v>257</v>
      </c>
    </row>
    <row r="5953" spans="8:18" x14ac:dyDescent="0.2">
      <c r="H5953" s="180"/>
      <c r="P5953" s="180" t="s">
        <v>257</v>
      </c>
      <c r="R5953" s="180" t="s">
        <v>257</v>
      </c>
    </row>
    <row r="5954" spans="8:18" x14ac:dyDescent="0.2">
      <c r="H5954" s="180"/>
      <c r="P5954" s="180" t="s">
        <v>257</v>
      </c>
      <c r="R5954" s="180" t="s">
        <v>257</v>
      </c>
    </row>
    <row r="5955" spans="8:18" x14ac:dyDescent="0.2">
      <c r="H5955" s="180"/>
      <c r="P5955" s="180" t="s">
        <v>257</v>
      </c>
      <c r="R5955" s="180" t="s">
        <v>257</v>
      </c>
    </row>
    <row r="5956" spans="8:18" x14ac:dyDescent="0.2">
      <c r="H5956" s="180"/>
      <c r="P5956" s="180" t="s">
        <v>257</v>
      </c>
      <c r="R5956" s="180" t="s">
        <v>257</v>
      </c>
    </row>
    <row r="5957" spans="8:18" x14ac:dyDescent="0.2">
      <c r="H5957" s="180"/>
      <c r="P5957" s="180" t="s">
        <v>257</v>
      </c>
      <c r="R5957" s="180" t="s">
        <v>257</v>
      </c>
    </row>
    <row r="5958" spans="8:18" x14ac:dyDescent="0.2">
      <c r="H5958" s="180"/>
      <c r="P5958" s="180" t="s">
        <v>257</v>
      </c>
      <c r="R5958" s="180" t="s">
        <v>257</v>
      </c>
    </row>
    <row r="5959" spans="8:18" x14ac:dyDescent="0.2">
      <c r="H5959" s="180"/>
      <c r="P5959" s="180" t="s">
        <v>257</v>
      </c>
      <c r="R5959" s="180" t="s">
        <v>257</v>
      </c>
    </row>
    <row r="5960" spans="8:18" x14ac:dyDescent="0.2">
      <c r="H5960" s="180"/>
      <c r="P5960" s="180" t="s">
        <v>257</v>
      </c>
      <c r="R5960" s="180" t="s">
        <v>257</v>
      </c>
    </row>
    <row r="5961" spans="8:18" x14ac:dyDescent="0.2">
      <c r="H5961" s="180"/>
      <c r="P5961" s="180" t="s">
        <v>257</v>
      </c>
      <c r="R5961" s="180" t="s">
        <v>257</v>
      </c>
    </row>
    <row r="5962" spans="8:18" x14ac:dyDescent="0.2">
      <c r="H5962" s="180"/>
      <c r="P5962" s="180" t="s">
        <v>257</v>
      </c>
      <c r="R5962" s="180" t="s">
        <v>257</v>
      </c>
    </row>
    <row r="5963" spans="8:18" x14ac:dyDescent="0.2">
      <c r="H5963" s="180"/>
      <c r="P5963" s="180" t="s">
        <v>257</v>
      </c>
      <c r="R5963" s="180" t="s">
        <v>257</v>
      </c>
    </row>
    <row r="5964" spans="8:18" x14ac:dyDescent="0.2">
      <c r="H5964" s="180"/>
      <c r="P5964" s="180" t="s">
        <v>257</v>
      </c>
      <c r="R5964" s="180" t="s">
        <v>257</v>
      </c>
    </row>
    <row r="5965" spans="8:18" x14ac:dyDescent="0.2">
      <c r="H5965" s="180"/>
      <c r="P5965" s="180" t="s">
        <v>257</v>
      </c>
      <c r="R5965" s="180" t="s">
        <v>257</v>
      </c>
    </row>
    <row r="5966" spans="8:18" x14ac:dyDescent="0.2">
      <c r="H5966" s="180"/>
      <c r="P5966" s="180" t="s">
        <v>257</v>
      </c>
      <c r="R5966" s="180" t="s">
        <v>257</v>
      </c>
    </row>
    <row r="5967" spans="8:18" x14ac:dyDescent="0.2">
      <c r="H5967" s="180"/>
      <c r="P5967" s="180" t="s">
        <v>257</v>
      </c>
      <c r="R5967" s="180" t="s">
        <v>257</v>
      </c>
    </row>
    <row r="5968" spans="8:18" x14ac:dyDescent="0.2">
      <c r="H5968" s="180"/>
      <c r="P5968" s="180" t="s">
        <v>257</v>
      </c>
      <c r="R5968" s="180" t="s">
        <v>257</v>
      </c>
    </row>
    <row r="5969" spans="8:18" x14ac:dyDescent="0.2">
      <c r="H5969" s="180"/>
      <c r="P5969" s="180" t="s">
        <v>257</v>
      </c>
      <c r="R5969" s="180" t="s">
        <v>257</v>
      </c>
    </row>
    <row r="5970" spans="8:18" x14ac:dyDescent="0.2">
      <c r="H5970" s="180"/>
      <c r="P5970" s="180" t="s">
        <v>257</v>
      </c>
      <c r="R5970" s="180" t="s">
        <v>257</v>
      </c>
    </row>
    <row r="5971" spans="8:18" x14ac:dyDescent="0.2">
      <c r="H5971" s="180"/>
      <c r="P5971" s="180" t="s">
        <v>257</v>
      </c>
      <c r="R5971" s="180" t="s">
        <v>257</v>
      </c>
    </row>
    <row r="5972" spans="8:18" x14ac:dyDescent="0.2">
      <c r="H5972" s="180"/>
      <c r="P5972" s="180" t="s">
        <v>257</v>
      </c>
      <c r="R5972" s="180" t="s">
        <v>257</v>
      </c>
    </row>
    <row r="5973" spans="8:18" x14ac:dyDescent="0.2">
      <c r="H5973" s="180"/>
      <c r="P5973" s="180" t="s">
        <v>257</v>
      </c>
      <c r="R5973" s="180" t="s">
        <v>257</v>
      </c>
    </row>
    <row r="5974" spans="8:18" x14ac:dyDescent="0.2">
      <c r="H5974" s="180"/>
      <c r="P5974" s="180" t="s">
        <v>257</v>
      </c>
      <c r="R5974" s="180" t="s">
        <v>257</v>
      </c>
    </row>
    <row r="5975" spans="8:18" x14ac:dyDescent="0.2">
      <c r="H5975" s="180"/>
      <c r="P5975" s="180" t="s">
        <v>257</v>
      </c>
      <c r="R5975" s="180" t="s">
        <v>257</v>
      </c>
    </row>
    <row r="5976" spans="8:18" x14ac:dyDescent="0.2">
      <c r="H5976" s="180"/>
      <c r="P5976" s="180" t="s">
        <v>257</v>
      </c>
      <c r="R5976" s="180" t="s">
        <v>257</v>
      </c>
    </row>
    <row r="5977" spans="8:18" x14ac:dyDescent="0.2">
      <c r="H5977" s="180"/>
      <c r="P5977" s="180" t="s">
        <v>257</v>
      </c>
      <c r="R5977" s="180" t="s">
        <v>257</v>
      </c>
    </row>
    <row r="5978" spans="8:18" x14ac:dyDescent="0.2">
      <c r="H5978" s="180"/>
      <c r="P5978" s="180" t="s">
        <v>257</v>
      </c>
      <c r="R5978" s="180" t="s">
        <v>257</v>
      </c>
    </row>
    <row r="5979" spans="8:18" x14ac:dyDescent="0.2">
      <c r="H5979" s="180"/>
      <c r="P5979" s="180" t="s">
        <v>257</v>
      </c>
      <c r="R5979" s="180" t="s">
        <v>257</v>
      </c>
    </row>
    <row r="5980" spans="8:18" x14ac:dyDescent="0.2">
      <c r="H5980" s="180"/>
      <c r="P5980" s="180" t="s">
        <v>257</v>
      </c>
      <c r="R5980" s="180" t="s">
        <v>257</v>
      </c>
    </row>
    <row r="5981" spans="8:18" x14ac:dyDescent="0.2">
      <c r="H5981" s="180"/>
      <c r="P5981" s="180" t="s">
        <v>257</v>
      </c>
      <c r="R5981" s="180" t="s">
        <v>257</v>
      </c>
    </row>
    <row r="5982" spans="8:18" x14ac:dyDescent="0.2">
      <c r="H5982" s="180"/>
      <c r="P5982" s="180" t="s">
        <v>257</v>
      </c>
      <c r="R5982" s="180" t="s">
        <v>257</v>
      </c>
    </row>
    <row r="5983" spans="8:18" x14ac:dyDescent="0.2">
      <c r="H5983" s="180"/>
      <c r="P5983" s="180" t="s">
        <v>257</v>
      </c>
      <c r="R5983" s="180" t="s">
        <v>257</v>
      </c>
    </row>
    <row r="5984" spans="8:18" x14ac:dyDescent="0.2">
      <c r="H5984" s="180"/>
      <c r="P5984" s="180" t="s">
        <v>257</v>
      </c>
      <c r="R5984" s="180" t="s">
        <v>257</v>
      </c>
    </row>
    <row r="5985" spans="8:18" x14ac:dyDescent="0.2">
      <c r="H5985" s="180"/>
      <c r="P5985" s="180" t="s">
        <v>257</v>
      </c>
      <c r="R5985" s="180" t="s">
        <v>257</v>
      </c>
    </row>
    <row r="5986" spans="8:18" x14ac:dyDescent="0.2">
      <c r="H5986" s="180"/>
      <c r="P5986" s="180" t="s">
        <v>257</v>
      </c>
      <c r="R5986" s="180" t="s">
        <v>257</v>
      </c>
    </row>
    <row r="5987" spans="8:18" x14ac:dyDescent="0.2">
      <c r="H5987" s="180"/>
      <c r="P5987" s="180" t="s">
        <v>257</v>
      </c>
      <c r="R5987" s="180" t="s">
        <v>257</v>
      </c>
    </row>
    <row r="5988" spans="8:18" x14ac:dyDescent="0.2">
      <c r="H5988" s="180"/>
      <c r="P5988" s="180" t="s">
        <v>257</v>
      </c>
      <c r="R5988" s="180" t="s">
        <v>257</v>
      </c>
    </row>
    <row r="5989" spans="8:18" x14ac:dyDescent="0.2">
      <c r="H5989" s="180"/>
      <c r="P5989" s="180" t="s">
        <v>257</v>
      </c>
      <c r="R5989" s="180" t="s">
        <v>257</v>
      </c>
    </row>
    <row r="5990" spans="8:18" x14ac:dyDescent="0.2">
      <c r="H5990" s="180"/>
      <c r="P5990" s="180" t="s">
        <v>257</v>
      </c>
      <c r="R5990" s="180" t="s">
        <v>257</v>
      </c>
    </row>
    <row r="5991" spans="8:18" x14ac:dyDescent="0.2">
      <c r="H5991" s="180"/>
      <c r="P5991" s="180" t="s">
        <v>257</v>
      </c>
      <c r="R5991" s="180" t="s">
        <v>257</v>
      </c>
    </row>
    <row r="5992" spans="8:18" x14ac:dyDescent="0.2">
      <c r="H5992" s="180"/>
      <c r="P5992" s="180" t="s">
        <v>257</v>
      </c>
      <c r="R5992" s="180" t="s">
        <v>257</v>
      </c>
    </row>
    <row r="5993" spans="8:18" x14ac:dyDescent="0.2">
      <c r="H5993" s="180"/>
      <c r="P5993" s="180" t="s">
        <v>257</v>
      </c>
      <c r="R5993" s="180" t="s">
        <v>257</v>
      </c>
    </row>
    <row r="5994" spans="8:18" x14ac:dyDescent="0.2">
      <c r="H5994" s="180"/>
      <c r="P5994" s="180" t="s">
        <v>257</v>
      </c>
      <c r="R5994" s="180" t="s">
        <v>257</v>
      </c>
    </row>
    <row r="5995" spans="8:18" x14ac:dyDescent="0.2">
      <c r="H5995" s="180"/>
      <c r="P5995" s="180" t="s">
        <v>257</v>
      </c>
      <c r="R5995" s="180" t="s">
        <v>257</v>
      </c>
    </row>
    <row r="5996" spans="8:18" x14ac:dyDescent="0.2">
      <c r="H5996" s="180"/>
      <c r="P5996" s="180" t="s">
        <v>257</v>
      </c>
      <c r="R5996" s="180" t="s">
        <v>257</v>
      </c>
    </row>
    <row r="5997" spans="8:18" x14ac:dyDescent="0.2">
      <c r="H5997" s="180"/>
      <c r="P5997" s="180" t="s">
        <v>257</v>
      </c>
      <c r="R5997" s="180" t="s">
        <v>257</v>
      </c>
    </row>
    <row r="5998" spans="8:18" x14ac:dyDescent="0.2">
      <c r="H5998" s="180"/>
      <c r="P5998" s="180" t="s">
        <v>257</v>
      </c>
      <c r="R5998" s="180" t="s">
        <v>257</v>
      </c>
    </row>
    <row r="5999" spans="8:18" x14ac:dyDescent="0.2">
      <c r="H5999" s="180"/>
      <c r="P5999" s="180" t="s">
        <v>257</v>
      </c>
      <c r="R5999" s="180" t="s">
        <v>257</v>
      </c>
    </row>
    <row r="6000" spans="8:18" x14ac:dyDescent="0.2">
      <c r="H6000" s="180"/>
      <c r="P6000" s="180" t="s">
        <v>257</v>
      </c>
      <c r="R6000" s="180" t="s">
        <v>257</v>
      </c>
    </row>
    <row r="6001" spans="8:18" x14ac:dyDescent="0.2">
      <c r="H6001" s="180"/>
      <c r="P6001" s="180" t="s">
        <v>257</v>
      </c>
      <c r="R6001" s="180" t="s">
        <v>257</v>
      </c>
    </row>
    <row r="6002" spans="8:18" x14ac:dyDescent="0.2">
      <c r="H6002" s="180"/>
      <c r="P6002" s="180" t="s">
        <v>257</v>
      </c>
      <c r="R6002" s="180" t="s">
        <v>257</v>
      </c>
    </row>
    <row r="6003" spans="8:18" x14ac:dyDescent="0.2">
      <c r="H6003" s="180"/>
      <c r="P6003" s="180" t="s">
        <v>257</v>
      </c>
      <c r="R6003" s="180" t="s">
        <v>257</v>
      </c>
    </row>
    <row r="6004" spans="8:18" x14ac:dyDescent="0.2">
      <c r="H6004" s="180"/>
      <c r="P6004" s="180" t="s">
        <v>257</v>
      </c>
      <c r="R6004" s="180" t="s">
        <v>257</v>
      </c>
    </row>
    <row r="6005" spans="8:18" x14ac:dyDescent="0.2">
      <c r="H6005" s="180"/>
      <c r="P6005" s="180" t="s">
        <v>257</v>
      </c>
      <c r="R6005" s="180" t="s">
        <v>257</v>
      </c>
    </row>
    <row r="6006" spans="8:18" x14ac:dyDescent="0.2">
      <c r="H6006" s="180"/>
      <c r="P6006" s="180" t="s">
        <v>257</v>
      </c>
      <c r="R6006" s="180" t="s">
        <v>257</v>
      </c>
    </row>
    <row r="6007" spans="8:18" x14ac:dyDescent="0.2">
      <c r="H6007" s="180"/>
      <c r="P6007" s="180" t="s">
        <v>257</v>
      </c>
      <c r="R6007" s="180" t="s">
        <v>257</v>
      </c>
    </row>
    <row r="6008" spans="8:18" x14ac:dyDescent="0.2">
      <c r="H6008" s="180"/>
      <c r="P6008" s="180" t="s">
        <v>257</v>
      </c>
      <c r="R6008" s="180" t="s">
        <v>257</v>
      </c>
    </row>
    <row r="6009" spans="8:18" x14ac:dyDescent="0.2">
      <c r="H6009" s="180"/>
      <c r="P6009" s="180" t="s">
        <v>257</v>
      </c>
      <c r="R6009" s="180" t="s">
        <v>257</v>
      </c>
    </row>
    <row r="6010" spans="8:18" x14ac:dyDescent="0.2">
      <c r="H6010" s="180"/>
      <c r="P6010" s="180" t="s">
        <v>257</v>
      </c>
      <c r="R6010" s="180" t="s">
        <v>257</v>
      </c>
    </row>
    <row r="6011" spans="8:18" x14ac:dyDescent="0.2">
      <c r="H6011" s="180"/>
      <c r="P6011" s="180" t="s">
        <v>257</v>
      </c>
      <c r="R6011" s="180" t="s">
        <v>257</v>
      </c>
    </row>
    <row r="6012" spans="8:18" x14ac:dyDescent="0.2">
      <c r="H6012" s="180"/>
      <c r="P6012" s="180" t="s">
        <v>257</v>
      </c>
      <c r="R6012" s="180" t="s">
        <v>257</v>
      </c>
    </row>
    <row r="6013" spans="8:18" x14ac:dyDescent="0.2">
      <c r="H6013" s="180"/>
      <c r="P6013" s="180" t="s">
        <v>257</v>
      </c>
      <c r="R6013" s="180" t="s">
        <v>257</v>
      </c>
    </row>
    <row r="6014" spans="8:18" x14ac:dyDescent="0.2">
      <c r="H6014" s="180"/>
      <c r="P6014" s="180" t="s">
        <v>257</v>
      </c>
      <c r="R6014" s="180" t="s">
        <v>257</v>
      </c>
    </row>
    <row r="6015" spans="8:18" x14ac:dyDescent="0.2">
      <c r="H6015" s="180"/>
      <c r="P6015" s="180" t="s">
        <v>257</v>
      </c>
      <c r="R6015" s="180" t="s">
        <v>257</v>
      </c>
    </row>
    <row r="6016" spans="8:18" x14ac:dyDescent="0.2">
      <c r="H6016" s="180"/>
      <c r="P6016" s="180" t="s">
        <v>257</v>
      </c>
      <c r="R6016" s="180" t="s">
        <v>257</v>
      </c>
    </row>
    <row r="6017" spans="8:18" x14ac:dyDescent="0.2">
      <c r="H6017" s="180"/>
      <c r="P6017" s="180" t="s">
        <v>257</v>
      </c>
      <c r="R6017" s="180" t="s">
        <v>257</v>
      </c>
    </row>
    <row r="6018" spans="8:18" x14ac:dyDescent="0.2">
      <c r="H6018" s="180"/>
      <c r="P6018" s="180" t="s">
        <v>257</v>
      </c>
      <c r="R6018" s="180" t="s">
        <v>257</v>
      </c>
    </row>
    <row r="6019" spans="8:18" x14ac:dyDescent="0.2">
      <c r="H6019" s="180"/>
      <c r="P6019" s="180" t="s">
        <v>257</v>
      </c>
      <c r="R6019" s="180" t="s">
        <v>257</v>
      </c>
    </row>
    <row r="6020" spans="8:18" x14ac:dyDescent="0.2">
      <c r="H6020" s="180"/>
      <c r="P6020" s="180" t="s">
        <v>257</v>
      </c>
      <c r="R6020" s="180" t="s">
        <v>257</v>
      </c>
    </row>
    <row r="6021" spans="8:18" x14ac:dyDescent="0.2">
      <c r="H6021" s="180"/>
      <c r="P6021" s="180" t="s">
        <v>257</v>
      </c>
      <c r="R6021" s="180" t="s">
        <v>257</v>
      </c>
    </row>
    <row r="6022" spans="8:18" x14ac:dyDescent="0.2">
      <c r="H6022" s="180"/>
      <c r="P6022" s="180" t="s">
        <v>257</v>
      </c>
      <c r="R6022" s="180" t="s">
        <v>257</v>
      </c>
    </row>
    <row r="6023" spans="8:18" x14ac:dyDescent="0.2">
      <c r="H6023" s="180"/>
      <c r="P6023" s="180" t="s">
        <v>257</v>
      </c>
      <c r="R6023" s="180" t="s">
        <v>257</v>
      </c>
    </row>
    <row r="6024" spans="8:18" x14ac:dyDescent="0.2">
      <c r="H6024" s="180"/>
      <c r="P6024" s="180" t="s">
        <v>257</v>
      </c>
      <c r="R6024" s="180" t="s">
        <v>257</v>
      </c>
    </row>
    <row r="6025" spans="8:18" x14ac:dyDescent="0.2">
      <c r="H6025" s="180"/>
      <c r="P6025" s="180" t="s">
        <v>257</v>
      </c>
      <c r="R6025" s="180" t="s">
        <v>257</v>
      </c>
    </row>
    <row r="6026" spans="8:18" x14ac:dyDescent="0.2">
      <c r="H6026" s="180"/>
      <c r="P6026" s="180" t="s">
        <v>257</v>
      </c>
      <c r="R6026" s="180" t="s">
        <v>257</v>
      </c>
    </row>
    <row r="6027" spans="8:18" x14ac:dyDescent="0.2">
      <c r="H6027" s="180"/>
      <c r="P6027" s="180" t="s">
        <v>257</v>
      </c>
      <c r="R6027" s="180" t="s">
        <v>257</v>
      </c>
    </row>
    <row r="6028" spans="8:18" x14ac:dyDescent="0.2">
      <c r="H6028" s="180"/>
      <c r="P6028" s="180" t="s">
        <v>257</v>
      </c>
      <c r="R6028" s="180" t="s">
        <v>257</v>
      </c>
    </row>
    <row r="6029" spans="8:18" x14ac:dyDescent="0.2">
      <c r="H6029" s="180"/>
      <c r="P6029" s="180" t="s">
        <v>257</v>
      </c>
      <c r="R6029" s="180" t="s">
        <v>257</v>
      </c>
    </row>
    <row r="6030" spans="8:18" x14ac:dyDescent="0.2">
      <c r="H6030" s="180"/>
      <c r="P6030" s="180" t="s">
        <v>257</v>
      </c>
      <c r="R6030" s="180" t="s">
        <v>257</v>
      </c>
    </row>
    <row r="6031" spans="8:18" x14ac:dyDescent="0.2">
      <c r="H6031" s="180"/>
      <c r="P6031" s="180" t="s">
        <v>257</v>
      </c>
      <c r="R6031" s="180" t="s">
        <v>257</v>
      </c>
    </row>
    <row r="6032" spans="8:18" x14ac:dyDescent="0.2">
      <c r="H6032" s="180"/>
      <c r="P6032" s="180" t="s">
        <v>257</v>
      </c>
      <c r="R6032" s="180" t="s">
        <v>257</v>
      </c>
    </row>
    <row r="6033" spans="8:18" x14ac:dyDescent="0.2">
      <c r="H6033" s="180"/>
      <c r="P6033" s="180" t="s">
        <v>257</v>
      </c>
      <c r="R6033" s="180" t="s">
        <v>257</v>
      </c>
    </row>
    <row r="6034" spans="8:18" x14ac:dyDescent="0.2">
      <c r="H6034" s="180"/>
      <c r="P6034" s="180" t="s">
        <v>257</v>
      </c>
      <c r="R6034" s="180" t="s">
        <v>257</v>
      </c>
    </row>
    <row r="6035" spans="8:18" x14ac:dyDescent="0.2">
      <c r="H6035" s="180"/>
      <c r="P6035" s="180" t="s">
        <v>257</v>
      </c>
      <c r="R6035" s="180" t="s">
        <v>257</v>
      </c>
    </row>
    <row r="6036" spans="8:18" x14ac:dyDescent="0.2">
      <c r="H6036" s="180"/>
      <c r="P6036" s="180" t="s">
        <v>257</v>
      </c>
      <c r="R6036" s="180" t="s">
        <v>257</v>
      </c>
    </row>
    <row r="6037" spans="8:18" x14ac:dyDescent="0.2">
      <c r="H6037" s="180"/>
      <c r="P6037" s="180" t="s">
        <v>257</v>
      </c>
      <c r="R6037" s="180" t="s">
        <v>257</v>
      </c>
    </row>
    <row r="6038" spans="8:18" x14ac:dyDescent="0.2">
      <c r="H6038" s="180"/>
      <c r="P6038" s="180" t="s">
        <v>257</v>
      </c>
      <c r="R6038" s="180" t="s">
        <v>257</v>
      </c>
    </row>
    <row r="6039" spans="8:18" x14ac:dyDescent="0.2">
      <c r="H6039" s="180"/>
      <c r="P6039" s="180" t="s">
        <v>257</v>
      </c>
      <c r="R6039" s="180" t="s">
        <v>257</v>
      </c>
    </row>
    <row r="6040" spans="8:18" x14ac:dyDescent="0.2">
      <c r="H6040" s="180"/>
      <c r="P6040" s="180" t="s">
        <v>257</v>
      </c>
      <c r="R6040" s="180" t="s">
        <v>257</v>
      </c>
    </row>
    <row r="6041" spans="8:18" x14ac:dyDescent="0.2">
      <c r="H6041" s="180"/>
      <c r="P6041" s="180" t="s">
        <v>257</v>
      </c>
      <c r="R6041" s="180" t="s">
        <v>257</v>
      </c>
    </row>
    <row r="6042" spans="8:18" x14ac:dyDescent="0.2">
      <c r="H6042" s="180"/>
      <c r="P6042" s="180" t="s">
        <v>257</v>
      </c>
      <c r="R6042" s="180" t="s">
        <v>257</v>
      </c>
    </row>
    <row r="6043" spans="8:18" x14ac:dyDescent="0.2">
      <c r="H6043" s="180"/>
      <c r="P6043" s="180" t="s">
        <v>257</v>
      </c>
      <c r="R6043" s="180" t="s">
        <v>257</v>
      </c>
    </row>
    <row r="6044" spans="8:18" x14ac:dyDescent="0.2">
      <c r="H6044" s="180"/>
      <c r="P6044" s="180" t="s">
        <v>257</v>
      </c>
      <c r="R6044" s="180" t="s">
        <v>257</v>
      </c>
    </row>
    <row r="6045" spans="8:18" x14ac:dyDescent="0.2">
      <c r="H6045" s="180"/>
      <c r="P6045" s="180" t="s">
        <v>257</v>
      </c>
      <c r="R6045" s="180" t="s">
        <v>257</v>
      </c>
    </row>
    <row r="6046" spans="8:18" x14ac:dyDescent="0.2">
      <c r="H6046" s="180"/>
      <c r="P6046" s="180" t="s">
        <v>257</v>
      </c>
      <c r="R6046" s="180" t="s">
        <v>257</v>
      </c>
    </row>
    <row r="6047" spans="8:18" x14ac:dyDescent="0.2">
      <c r="H6047" s="180"/>
      <c r="P6047" s="180" t="s">
        <v>257</v>
      </c>
      <c r="R6047" s="180" t="s">
        <v>257</v>
      </c>
    </row>
    <row r="6048" spans="8:18" x14ac:dyDescent="0.2">
      <c r="H6048" s="180"/>
      <c r="P6048" s="180" t="s">
        <v>257</v>
      </c>
      <c r="R6048" s="180" t="s">
        <v>257</v>
      </c>
    </row>
    <row r="6049" spans="8:18" x14ac:dyDescent="0.2">
      <c r="H6049" s="180"/>
      <c r="P6049" s="180" t="s">
        <v>257</v>
      </c>
      <c r="R6049" s="180" t="s">
        <v>257</v>
      </c>
    </row>
    <row r="6050" spans="8:18" x14ac:dyDescent="0.2">
      <c r="H6050" s="180"/>
      <c r="P6050" s="180" t="s">
        <v>257</v>
      </c>
      <c r="R6050" s="180" t="s">
        <v>257</v>
      </c>
    </row>
    <row r="6051" spans="8:18" x14ac:dyDescent="0.2">
      <c r="H6051" s="180"/>
      <c r="P6051" s="180" t="s">
        <v>257</v>
      </c>
      <c r="R6051" s="180" t="s">
        <v>257</v>
      </c>
    </row>
    <row r="6052" spans="8:18" x14ac:dyDescent="0.2">
      <c r="H6052" s="180"/>
      <c r="P6052" s="180" t="s">
        <v>257</v>
      </c>
      <c r="R6052" s="180" t="s">
        <v>257</v>
      </c>
    </row>
    <row r="6053" spans="8:18" x14ac:dyDescent="0.2">
      <c r="H6053" s="180"/>
      <c r="P6053" s="180" t="s">
        <v>257</v>
      </c>
      <c r="R6053" s="180" t="s">
        <v>257</v>
      </c>
    </row>
    <row r="6054" spans="8:18" x14ac:dyDescent="0.2">
      <c r="H6054" s="180"/>
      <c r="P6054" s="180" t="s">
        <v>257</v>
      </c>
      <c r="R6054" s="180" t="s">
        <v>257</v>
      </c>
    </row>
    <row r="6055" spans="8:18" x14ac:dyDescent="0.2">
      <c r="H6055" s="180"/>
      <c r="P6055" s="180" t="s">
        <v>257</v>
      </c>
      <c r="R6055" s="180" t="s">
        <v>257</v>
      </c>
    </row>
    <row r="6056" spans="8:18" x14ac:dyDescent="0.2">
      <c r="H6056" s="180"/>
      <c r="P6056" s="180" t="s">
        <v>257</v>
      </c>
      <c r="R6056" s="180" t="s">
        <v>257</v>
      </c>
    </row>
    <row r="6057" spans="8:18" x14ac:dyDescent="0.2">
      <c r="H6057" s="180"/>
      <c r="P6057" s="180" t="s">
        <v>257</v>
      </c>
      <c r="R6057" s="180" t="s">
        <v>257</v>
      </c>
    </row>
    <row r="6058" spans="8:18" x14ac:dyDescent="0.2">
      <c r="H6058" s="180"/>
      <c r="P6058" s="180" t="s">
        <v>257</v>
      </c>
      <c r="R6058" s="180" t="s">
        <v>257</v>
      </c>
    </row>
    <row r="6059" spans="8:18" x14ac:dyDescent="0.2">
      <c r="H6059" s="180"/>
      <c r="P6059" s="180" t="s">
        <v>257</v>
      </c>
      <c r="R6059" s="180" t="s">
        <v>257</v>
      </c>
    </row>
    <row r="6060" spans="8:18" x14ac:dyDescent="0.2">
      <c r="H6060" s="180"/>
      <c r="P6060" s="180" t="s">
        <v>257</v>
      </c>
      <c r="R6060" s="180" t="s">
        <v>257</v>
      </c>
    </row>
    <row r="6061" spans="8:18" x14ac:dyDescent="0.2">
      <c r="H6061" s="180"/>
      <c r="P6061" s="180" t="s">
        <v>257</v>
      </c>
      <c r="R6061" s="180" t="s">
        <v>257</v>
      </c>
    </row>
    <row r="6062" spans="8:18" x14ac:dyDescent="0.2">
      <c r="H6062" s="180"/>
      <c r="P6062" s="180" t="s">
        <v>257</v>
      </c>
      <c r="R6062" s="180" t="s">
        <v>257</v>
      </c>
    </row>
    <row r="6063" spans="8:18" x14ac:dyDescent="0.2">
      <c r="H6063" s="180"/>
      <c r="P6063" s="180" t="s">
        <v>257</v>
      </c>
      <c r="R6063" s="180" t="s">
        <v>257</v>
      </c>
    </row>
    <row r="6064" spans="8:18" x14ac:dyDescent="0.2">
      <c r="H6064" s="180"/>
      <c r="P6064" s="180" t="s">
        <v>257</v>
      </c>
      <c r="R6064" s="180" t="s">
        <v>257</v>
      </c>
    </row>
    <row r="6065" spans="8:18" x14ac:dyDescent="0.2">
      <c r="H6065" s="180"/>
      <c r="P6065" s="180" t="s">
        <v>257</v>
      </c>
      <c r="R6065" s="180" t="s">
        <v>257</v>
      </c>
    </row>
    <row r="6066" spans="8:18" x14ac:dyDescent="0.2">
      <c r="H6066" s="180"/>
      <c r="P6066" s="180" t="s">
        <v>257</v>
      </c>
      <c r="R6066" s="180" t="s">
        <v>257</v>
      </c>
    </row>
    <row r="6067" spans="8:18" x14ac:dyDescent="0.2">
      <c r="H6067" s="180"/>
      <c r="P6067" s="180" t="s">
        <v>257</v>
      </c>
      <c r="R6067" s="180" t="s">
        <v>257</v>
      </c>
    </row>
    <row r="6068" spans="8:18" x14ac:dyDescent="0.2">
      <c r="H6068" s="180"/>
      <c r="P6068" s="180" t="s">
        <v>257</v>
      </c>
      <c r="R6068" s="180" t="s">
        <v>257</v>
      </c>
    </row>
    <row r="6069" spans="8:18" x14ac:dyDescent="0.2">
      <c r="H6069" s="180"/>
      <c r="P6069" s="180" t="s">
        <v>257</v>
      </c>
      <c r="R6069" s="180" t="s">
        <v>257</v>
      </c>
    </row>
    <row r="6070" spans="8:18" x14ac:dyDescent="0.2">
      <c r="H6070" s="180"/>
      <c r="P6070" s="180" t="s">
        <v>257</v>
      </c>
      <c r="R6070" s="180" t="s">
        <v>257</v>
      </c>
    </row>
    <row r="6071" spans="8:18" x14ac:dyDescent="0.2">
      <c r="H6071" s="180"/>
      <c r="P6071" s="180" t="s">
        <v>257</v>
      </c>
      <c r="R6071" s="180" t="s">
        <v>257</v>
      </c>
    </row>
    <row r="6072" spans="8:18" x14ac:dyDescent="0.2">
      <c r="H6072" s="180"/>
      <c r="P6072" s="180" t="s">
        <v>257</v>
      </c>
      <c r="R6072" s="180" t="s">
        <v>257</v>
      </c>
    </row>
    <row r="6073" spans="8:18" x14ac:dyDescent="0.2">
      <c r="H6073" s="180"/>
      <c r="P6073" s="180" t="s">
        <v>257</v>
      </c>
      <c r="R6073" s="180" t="s">
        <v>257</v>
      </c>
    </row>
    <row r="6074" spans="8:18" x14ac:dyDescent="0.2">
      <c r="H6074" s="180"/>
      <c r="P6074" s="180" t="s">
        <v>257</v>
      </c>
      <c r="R6074" s="180" t="s">
        <v>257</v>
      </c>
    </row>
    <row r="6075" spans="8:18" x14ac:dyDescent="0.2">
      <c r="H6075" s="180"/>
      <c r="P6075" s="180" t="s">
        <v>257</v>
      </c>
      <c r="R6075" s="180" t="s">
        <v>257</v>
      </c>
    </row>
    <row r="6076" spans="8:18" x14ac:dyDescent="0.2">
      <c r="H6076" s="180"/>
      <c r="P6076" s="180" t="s">
        <v>257</v>
      </c>
      <c r="R6076" s="180" t="s">
        <v>257</v>
      </c>
    </row>
    <row r="6077" spans="8:18" x14ac:dyDescent="0.2">
      <c r="H6077" s="180"/>
      <c r="P6077" s="180" t="s">
        <v>257</v>
      </c>
      <c r="R6077" s="180" t="s">
        <v>257</v>
      </c>
    </row>
    <row r="6078" spans="8:18" x14ac:dyDescent="0.2">
      <c r="H6078" s="180"/>
      <c r="P6078" s="180" t="s">
        <v>257</v>
      </c>
      <c r="R6078" s="180" t="s">
        <v>257</v>
      </c>
    </row>
    <row r="6079" spans="8:18" x14ac:dyDescent="0.2">
      <c r="H6079" s="180"/>
      <c r="P6079" s="180" t="s">
        <v>257</v>
      </c>
      <c r="R6079" s="180" t="s">
        <v>257</v>
      </c>
    </row>
    <row r="6080" spans="8:18" x14ac:dyDescent="0.2">
      <c r="H6080" s="180"/>
      <c r="P6080" s="180" t="s">
        <v>257</v>
      </c>
      <c r="R6080" s="180" t="s">
        <v>257</v>
      </c>
    </row>
    <row r="6081" spans="8:18" x14ac:dyDescent="0.2">
      <c r="H6081" s="180"/>
      <c r="P6081" s="180" t="s">
        <v>257</v>
      </c>
      <c r="R6081" s="180" t="s">
        <v>257</v>
      </c>
    </row>
    <row r="6082" spans="8:18" x14ac:dyDescent="0.2">
      <c r="H6082" s="180"/>
      <c r="P6082" s="180" t="s">
        <v>257</v>
      </c>
      <c r="R6082" s="180" t="s">
        <v>257</v>
      </c>
    </row>
    <row r="6083" spans="8:18" x14ac:dyDescent="0.2">
      <c r="H6083" s="180"/>
      <c r="P6083" s="180" t="s">
        <v>257</v>
      </c>
      <c r="R6083" s="180" t="s">
        <v>257</v>
      </c>
    </row>
    <row r="6084" spans="8:18" x14ac:dyDescent="0.2">
      <c r="H6084" s="180"/>
      <c r="P6084" s="180" t="s">
        <v>257</v>
      </c>
      <c r="R6084" s="180" t="s">
        <v>257</v>
      </c>
    </row>
    <row r="6085" spans="8:18" x14ac:dyDescent="0.2">
      <c r="H6085" s="180"/>
      <c r="P6085" s="180" t="s">
        <v>257</v>
      </c>
      <c r="R6085" s="180" t="s">
        <v>257</v>
      </c>
    </row>
    <row r="6086" spans="8:18" x14ac:dyDescent="0.2">
      <c r="H6086" s="180"/>
      <c r="P6086" s="180" t="s">
        <v>257</v>
      </c>
      <c r="R6086" s="180" t="s">
        <v>257</v>
      </c>
    </row>
    <row r="6087" spans="8:18" x14ac:dyDescent="0.2">
      <c r="H6087" s="180"/>
      <c r="P6087" s="180" t="s">
        <v>257</v>
      </c>
      <c r="R6087" s="180" t="s">
        <v>257</v>
      </c>
    </row>
    <row r="6088" spans="8:18" x14ac:dyDescent="0.2">
      <c r="H6088" s="180"/>
      <c r="P6088" s="180" t="s">
        <v>257</v>
      </c>
      <c r="R6088" s="180" t="s">
        <v>257</v>
      </c>
    </row>
    <row r="6089" spans="8:18" x14ac:dyDescent="0.2">
      <c r="H6089" s="180"/>
      <c r="P6089" s="180" t="s">
        <v>257</v>
      </c>
      <c r="R6089" s="180" t="s">
        <v>257</v>
      </c>
    </row>
    <row r="6090" spans="8:18" x14ac:dyDescent="0.2">
      <c r="H6090" s="180"/>
      <c r="P6090" s="180" t="s">
        <v>257</v>
      </c>
      <c r="R6090" s="180" t="s">
        <v>257</v>
      </c>
    </row>
    <row r="6091" spans="8:18" x14ac:dyDescent="0.2">
      <c r="H6091" s="180"/>
      <c r="P6091" s="180" t="s">
        <v>257</v>
      </c>
      <c r="R6091" s="180" t="s">
        <v>257</v>
      </c>
    </row>
    <row r="6092" spans="8:18" x14ac:dyDescent="0.2">
      <c r="H6092" s="180"/>
      <c r="P6092" s="180" t="s">
        <v>257</v>
      </c>
      <c r="R6092" s="180" t="s">
        <v>257</v>
      </c>
    </row>
    <row r="6093" spans="8:18" x14ac:dyDescent="0.2">
      <c r="H6093" s="180"/>
      <c r="P6093" s="180" t="s">
        <v>257</v>
      </c>
      <c r="R6093" s="180" t="s">
        <v>257</v>
      </c>
    </row>
    <row r="6094" spans="8:18" x14ac:dyDescent="0.2">
      <c r="H6094" s="180"/>
      <c r="P6094" s="180" t="s">
        <v>257</v>
      </c>
      <c r="R6094" s="180" t="s">
        <v>257</v>
      </c>
    </row>
    <row r="6095" spans="8:18" x14ac:dyDescent="0.2">
      <c r="H6095" s="180"/>
      <c r="P6095" s="180" t="s">
        <v>257</v>
      </c>
      <c r="R6095" s="180" t="s">
        <v>257</v>
      </c>
    </row>
    <row r="6096" spans="8:18" x14ac:dyDescent="0.2">
      <c r="H6096" s="180"/>
      <c r="P6096" s="180" t="s">
        <v>257</v>
      </c>
      <c r="R6096" s="180" t="s">
        <v>257</v>
      </c>
    </row>
    <row r="6097" spans="8:18" x14ac:dyDescent="0.2">
      <c r="H6097" s="180"/>
      <c r="P6097" s="180" t="s">
        <v>257</v>
      </c>
      <c r="R6097" s="180" t="s">
        <v>257</v>
      </c>
    </row>
    <row r="6098" spans="8:18" x14ac:dyDescent="0.2">
      <c r="H6098" s="180"/>
      <c r="P6098" s="180" t="s">
        <v>257</v>
      </c>
      <c r="R6098" s="180" t="s">
        <v>257</v>
      </c>
    </row>
    <row r="6099" spans="8:18" x14ac:dyDescent="0.2">
      <c r="H6099" s="180"/>
      <c r="P6099" s="180" t="s">
        <v>257</v>
      </c>
      <c r="R6099" s="180" t="s">
        <v>257</v>
      </c>
    </row>
    <row r="6100" spans="8:18" x14ac:dyDescent="0.2">
      <c r="H6100" s="180"/>
      <c r="P6100" s="180" t="s">
        <v>257</v>
      </c>
      <c r="R6100" s="180" t="s">
        <v>257</v>
      </c>
    </row>
    <row r="6101" spans="8:18" x14ac:dyDescent="0.2">
      <c r="H6101" s="180"/>
      <c r="P6101" s="180" t="s">
        <v>257</v>
      </c>
      <c r="R6101" s="180" t="s">
        <v>257</v>
      </c>
    </row>
    <row r="6102" spans="8:18" x14ac:dyDescent="0.2">
      <c r="H6102" s="180"/>
      <c r="P6102" s="180" t="s">
        <v>257</v>
      </c>
      <c r="R6102" s="180" t="s">
        <v>257</v>
      </c>
    </row>
    <row r="6103" spans="8:18" x14ac:dyDescent="0.2">
      <c r="H6103" s="180"/>
      <c r="P6103" s="180" t="s">
        <v>257</v>
      </c>
      <c r="R6103" s="180" t="s">
        <v>257</v>
      </c>
    </row>
    <row r="6104" spans="8:18" x14ac:dyDescent="0.2">
      <c r="H6104" s="180"/>
      <c r="P6104" s="180" t="s">
        <v>257</v>
      </c>
      <c r="R6104" s="180" t="s">
        <v>257</v>
      </c>
    </row>
    <row r="6105" spans="8:18" x14ac:dyDescent="0.2">
      <c r="H6105" s="180"/>
      <c r="P6105" s="180" t="s">
        <v>257</v>
      </c>
      <c r="R6105" s="180" t="s">
        <v>257</v>
      </c>
    </row>
    <row r="6106" spans="8:18" x14ac:dyDescent="0.2">
      <c r="H6106" s="180"/>
      <c r="P6106" s="180" t="s">
        <v>257</v>
      </c>
      <c r="R6106" s="180" t="s">
        <v>257</v>
      </c>
    </row>
    <row r="6107" spans="8:18" x14ac:dyDescent="0.2">
      <c r="H6107" s="180"/>
      <c r="P6107" s="180" t="s">
        <v>257</v>
      </c>
      <c r="R6107" s="180" t="s">
        <v>257</v>
      </c>
    </row>
    <row r="6108" spans="8:18" x14ac:dyDescent="0.2">
      <c r="H6108" s="180"/>
      <c r="P6108" s="180" t="s">
        <v>257</v>
      </c>
      <c r="R6108" s="180" t="s">
        <v>257</v>
      </c>
    </row>
    <row r="6109" spans="8:18" x14ac:dyDescent="0.2">
      <c r="H6109" s="180"/>
      <c r="P6109" s="180" t="s">
        <v>257</v>
      </c>
      <c r="R6109" s="180" t="s">
        <v>257</v>
      </c>
    </row>
    <row r="6110" spans="8:18" x14ac:dyDescent="0.2">
      <c r="H6110" s="180"/>
      <c r="P6110" s="180" t="s">
        <v>257</v>
      </c>
      <c r="R6110" s="180" t="s">
        <v>257</v>
      </c>
    </row>
    <row r="6111" spans="8:18" x14ac:dyDescent="0.2">
      <c r="H6111" s="180"/>
      <c r="P6111" s="180" t="s">
        <v>257</v>
      </c>
      <c r="R6111" s="180" t="s">
        <v>257</v>
      </c>
    </row>
    <row r="6112" spans="8:18" x14ac:dyDescent="0.2">
      <c r="H6112" s="180"/>
      <c r="P6112" s="180" t="s">
        <v>257</v>
      </c>
      <c r="R6112" s="180" t="s">
        <v>257</v>
      </c>
    </row>
    <row r="6113" spans="8:18" x14ac:dyDescent="0.2">
      <c r="H6113" s="180"/>
      <c r="P6113" s="180" t="s">
        <v>257</v>
      </c>
      <c r="R6113" s="180" t="s">
        <v>257</v>
      </c>
    </row>
    <row r="6114" spans="8:18" x14ac:dyDescent="0.2">
      <c r="H6114" s="180"/>
      <c r="P6114" s="180" t="s">
        <v>257</v>
      </c>
      <c r="R6114" s="180" t="s">
        <v>257</v>
      </c>
    </row>
    <row r="6115" spans="8:18" x14ac:dyDescent="0.2">
      <c r="H6115" s="180"/>
      <c r="P6115" s="180" t="s">
        <v>257</v>
      </c>
      <c r="R6115" s="180" t="s">
        <v>257</v>
      </c>
    </row>
    <row r="6116" spans="8:18" x14ac:dyDescent="0.2">
      <c r="H6116" s="180"/>
      <c r="P6116" s="180" t="s">
        <v>257</v>
      </c>
      <c r="R6116" s="180" t="s">
        <v>257</v>
      </c>
    </row>
    <row r="6117" spans="8:18" x14ac:dyDescent="0.2">
      <c r="H6117" s="180"/>
      <c r="P6117" s="180" t="s">
        <v>257</v>
      </c>
      <c r="R6117" s="180" t="s">
        <v>257</v>
      </c>
    </row>
    <row r="6118" spans="8:18" x14ac:dyDescent="0.2">
      <c r="H6118" s="180"/>
      <c r="P6118" s="180" t="s">
        <v>257</v>
      </c>
      <c r="R6118" s="180" t="s">
        <v>257</v>
      </c>
    </row>
    <row r="6119" spans="8:18" x14ac:dyDescent="0.2">
      <c r="H6119" s="180"/>
      <c r="P6119" s="180" t="s">
        <v>257</v>
      </c>
      <c r="R6119" s="180" t="s">
        <v>257</v>
      </c>
    </row>
    <row r="6120" spans="8:18" x14ac:dyDescent="0.2">
      <c r="H6120" s="180"/>
      <c r="P6120" s="180" t="s">
        <v>257</v>
      </c>
      <c r="R6120" s="180" t="s">
        <v>257</v>
      </c>
    </row>
    <row r="6121" spans="8:18" x14ac:dyDescent="0.2">
      <c r="H6121" s="180"/>
      <c r="P6121" s="180" t="s">
        <v>257</v>
      </c>
      <c r="R6121" s="180" t="s">
        <v>257</v>
      </c>
    </row>
    <row r="6122" spans="8:18" x14ac:dyDescent="0.2">
      <c r="H6122" s="180"/>
      <c r="P6122" s="180" t="s">
        <v>257</v>
      </c>
      <c r="R6122" s="180" t="s">
        <v>257</v>
      </c>
    </row>
    <row r="6123" spans="8:18" x14ac:dyDescent="0.2">
      <c r="H6123" s="180"/>
      <c r="P6123" s="180" t="s">
        <v>257</v>
      </c>
      <c r="R6123" s="180" t="s">
        <v>257</v>
      </c>
    </row>
    <row r="6124" spans="8:18" x14ac:dyDescent="0.2">
      <c r="H6124" s="180"/>
      <c r="P6124" s="180" t="s">
        <v>257</v>
      </c>
      <c r="R6124" s="180" t="s">
        <v>257</v>
      </c>
    </row>
    <row r="6125" spans="8:18" x14ac:dyDescent="0.2">
      <c r="H6125" s="180"/>
      <c r="P6125" s="180" t="s">
        <v>257</v>
      </c>
      <c r="R6125" s="180" t="s">
        <v>257</v>
      </c>
    </row>
    <row r="6126" spans="8:18" x14ac:dyDescent="0.2">
      <c r="H6126" s="180"/>
      <c r="P6126" s="180" t="s">
        <v>257</v>
      </c>
      <c r="R6126" s="180" t="s">
        <v>257</v>
      </c>
    </row>
    <row r="6127" spans="8:18" x14ac:dyDescent="0.2">
      <c r="H6127" s="180"/>
      <c r="P6127" s="180" t="s">
        <v>257</v>
      </c>
      <c r="R6127" s="180" t="s">
        <v>257</v>
      </c>
    </row>
    <row r="6128" spans="8:18" x14ac:dyDescent="0.2">
      <c r="H6128" s="180"/>
      <c r="P6128" s="180" t="s">
        <v>257</v>
      </c>
      <c r="R6128" s="180" t="s">
        <v>257</v>
      </c>
    </row>
    <row r="6129" spans="8:18" x14ac:dyDescent="0.2">
      <c r="H6129" s="180"/>
      <c r="P6129" s="180" t="s">
        <v>257</v>
      </c>
      <c r="R6129" s="180" t="s">
        <v>257</v>
      </c>
    </row>
    <row r="6130" spans="8:18" x14ac:dyDescent="0.2">
      <c r="H6130" s="180"/>
      <c r="P6130" s="180" t="s">
        <v>257</v>
      </c>
      <c r="R6130" s="180" t="s">
        <v>257</v>
      </c>
    </row>
    <row r="6131" spans="8:18" x14ac:dyDescent="0.2">
      <c r="H6131" s="180"/>
      <c r="P6131" s="180" t="s">
        <v>257</v>
      </c>
      <c r="R6131" s="180" t="s">
        <v>257</v>
      </c>
    </row>
    <row r="6132" spans="8:18" x14ac:dyDescent="0.2">
      <c r="H6132" s="180"/>
      <c r="P6132" s="180" t="s">
        <v>257</v>
      </c>
      <c r="R6132" s="180" t="s">
        <v>257</v>
      </c>
    </row>
    <row r="6133" spans="8:18" x14ac:dyDescent="0.2">
      <c r="H6133" s="180"/>
      <c r="P6133" s="180" t="s">
        <v>257</v>
      </c>
      <c r="R6133" s="180" t="s">
        <v>257</v>
      </c>
    </row>
    <row r="6134" spans="8:18" x14ac:dyDescent="0.2">
      <c r="H6134" s="180"/>
      <c r="P6134" s="180" t="s">
        <v>257</v>
      </c>
      <c r="R6134" s="180" t="s">
        <v>257</v>
      </c>
    </row>
    <row r="6135" spans="8:18" x14ac:dyDescent="0.2">
      <c r="H6135" s="180"/>
      <c r="P6135" s="180" t="s">
        <v>257</v>
      </c>
      <c r="R6135" s="180" t="s">
        <v>257</v>
      </c>
    </row>
    <row r="6136" spans="8:18" x14ac:dyDescent="0.2">
      <c r="H6136" s="180"/>
      <c r="P6136" s="180" t="s">
        <v>257</v>
      </c>
      <c r="R6136" s="180" t="s">
        <v>257</v>
      </c>
    </row>
    <row r="6137" spans="8:18" x14ac:dyDescent="0.2">
      <c r="H6137" s="180"/>
      <c r="P6137" s="180" t="s">
        <v>257</v>
      </c>
      <c r="R6137" s="180" t="s">
        <v>257</v>
      </c>
    </row>
    <row r="6138" spans="8:18" x14ac:dyDescent="0.2">
      <c r="H6138" s="180"/>
      <c r="P6138" s="180" t="s">
        <v>257</v>
      </c>
      <c r="R6138" s="180" t="s">
        <v>257</v>
      </c>
    </row>
    <row r="6139" spans="8:18" x14ac:dyDescent="0.2">
      <c r="H6139" s="180"/>
      <c r="P6139" s="180" t="s">
        <v>257</v>
      </c>
      <c r="R6139" s="180" t="s">
        <v>257</v>
      </c>
    </row>
    <row r="6140" spans="8:18" x14ac:dyDescent="0.2">
      <c r="H6140" s="180"/>
      <c r="P6140" s="180" t="s">
        <v>257</v>
      </c>
      <c r="R6140" s="180" t="s">
        <v>257</v>
      </c>
    </row>
    <row r="6141" spans="8:18" x14ac:dyDescent="0.2">
      <c r="H6141" s="180"/>
      <c r="P6141" s="180" t="s">
        <v>257</v>
      </c>
      <c r="R6141" s="180" t="s">
        <v>257</v>
      </c>
    </row>
    <row r="6142" spans="8:18" x14ac:dyDescent="0.2">
      <c r="H6142" s="180"/>
      <c r="P6142" s="180" t="s">
        <v>257</v>
      </c>
      <c r="R6142" s="180" t="s">
        <v>257</v>
      </c>
    </row>
    <row r="6143" spans="8:18" x14ac:dyDescent="0.2">
      <c r="H6143" s="180"/>
      <c r="P6143" s="180" t="s">
        <v>257</v>
      </c>
      <c r="R6143" s="180" t="s">
        <v>257</v>
      </c>
    </row>
    <row r="6144" spans="8:18" x14ac:dyDescent="0.2">
      <c r="H6144" s="180"/>
      <c r="P6144" s="180" t="s">
        <v>257</v>
      </c>
      <c r="R6144" s="180" t="s">
        <v>257</v>
      </c>
    </row>
    <row r="6145" spans="8:18" x14ac:dyDescent="0.2">
      <c r="H6145" s="180"/>
      <c r="P6145" s="180" t="s">
        <v>257</v>
      </c>
      <c r="R6145" s="180" t="s">
        <v>257</v>
      </c>
    </row>
    <row r="6146" spans="8:18" x14ac:dyDescent="0.2">
      <c r="H6146" s="180"/>
      <c r="P6146" s="180" t="s">
        <v>257</v>
      </c>
      <c r="R6146" s="180" t="s">
        <v>257</v>
      </c>
    </row>
    <row r="6147" spans="8:18" x14ac:dyDescent="0.2">
      <c r="H6147" s="180"/>
      <c r="P6147" s="180" t="s">
        <v>257</v>
      </c>
      <c r="R6147" s="180" t="s">
        <v>257</v>
      </c>
    </row>
    <row r="6148" spans="8:18" x14ac:dyDescent="0.2">
      <c r="H6148" s="180"/>
      <c r="P6148" s="180" t="s">
        <v>257</v>
      </c>
      <c r="R6148" s="180" t="s">
        <v>257</v>
      </c>
    </row>
    <row r="6149" spans="8:18" x14ac:dyDescent="0.2">
      <c r="H6149" s="180"/>
      <c r="P6149" s="180" t="s">
        <v>257</v>
      </c>
      <c r="R6149" s="180" t="s">
        <v>257</v>
      </c>
    </row>
    <row r="6150" spans="8:18" x14ac:dyDescent="0.2">
      <c r="H6150" s="180"/>
      <c r="P6150" s="180" t="s">
        <v>257</v>
      </c>
      <c r="R6150" s="180" t="s">
        <v>257</v>
      </c>
    </row>
    <row r="6151" spans="8:18" x14ac:dyDescent="0.2">
      <c r="H6151" s="180"/>
      <c r="P6151" s="180" t="s">
        <v>257</v>
      </c>
      <c r="R6151" s="180" t="s">
        <v>257</v>
      </c>
    </row>
    <row r="6152" spans="8:18" x14ac:dyDescent="0.2">
      <c r="H6152" s="180"/>
      <c r="P6152" s="180" t="s">
        <v>257</v>
      </c>
      <c r="R6152" s="180" t="s">
        <v>257</v>
      </c>
    </row>
    <row r="6153" spans="8:18" x14ac:dyDescent="0.2">
      <c r="H6153" s="180"/>
      <c r="P6153" s="180" t="s">
        <v>257</v>
      </c>
      <c r="R6153" s="180" t="s">
        <v>257</v>
      </c>
    </row>
    <row r="6154" spans="8:18" x14ac:dyDescent="0.2">
      <c r="H6154" s="180"/>
      <c r="P6154" s="180" t="s">
        <v>257</v>
      </c>
      <c r="R6154" s="180" t="s">
        <v>257</v>
      </c>
    </row>
    <row r="6155" spans="8:18" x14ac:dyDescent="0.2">
      <c r="H6155" s="180"/>
      <c r="P6155" s="180" t="s">
        <v>257</v>
      </c>
      <c r="R6155" s="180" t="s">
        <v>257</v>
      </c>
    </row>
    <row r="6156" spans="8:18" x14ac:dyDescent="0.2">
      <c r="H6156" s="180"/>
      <c r="P6156" s="180" t="s">
        <v>257</v>
      </c>
      <c r="R6156" s="180" t="s">
        <v>257</v>
      </c>
    </row>
    <row r="6157" spans="8:18" x14ac:dyDescent="0.2">
      <c r="H6157" s="180"/>
      <c r="P6157" s="180" t="s">
        <v>257</v>
      </c>
      <c r="R6157" s="180" t="s">
        <v>257</v>
      </c>
    </row>
    <row r="6158" spans="8:18" x14ac:dyDescent="0.2">
      <c r="H6158" s="180"/>
      <c r="P6158" s="180" t="s">
        <v>257</v>
      </c>
      <c r="R6158" s="180" t="s">
        <v>257</v>
      </c>
    </row>
    <row r="6159" spans="8:18" x14ac:dyDescent="0.2">
      <c r="H6159" s="180"/>
      <c r="P6159" s="180" t="s">
        <v>257</v>
      </c>
      <c r="R6159" s="180" t="s">
        <v>257</v>
      </c>
    </row>
    <row r="6160" spans="8:18" x14ac:dyDescent="0.2">
      <c r="H6160" s="180"/>
      <c r="P6160" s="180" t="s">
        <v>257</v>
      </c>
      <c r="R6160" s="180" t="s">
        <v>257</v>
      </c>
    </row>
    <row r="6161" spans="8:18" x14ac:dyDescent="0.2">
      <c r="H6161" s="180"/>
      <c r="P6161" s="180" t="s">
        <v>257</v>
      </c>
      <c r="R6161" s="180" t="s">
        <v>257</v>
      </c>
    </row>
    <row r="6162" spans="8:18" x14ac:dyDescent="0.2">
      <c r="H6162" s="180"/>
      <c r="P6162" s="180" t="s">
        <v>257</v>
      </c>
      <c r="R6162" s="180" t="s">
        <v>257</v>
      </c>
    </row>
    <row r="6163" spans="8:18" x14ac:dyDescent="0.2">
      <c r="H6163" s="180"/>
      <c r="P6163" s="180" t="s">
        <v>257</v>
      </c>
      <c r="R6163" s="180" t="s">
        <v>257</v>
      </c>
    </row>
    <row r="6164" spans="8:18" x14ac:dyDescent="0.2">
      <c r="H6164" s="180"/>
      <c r="P6164" s="180" t="s">
        <v>257</v>
      </c>
      <c r="R6164" s="180" t="s">
        <v>257</v>
      </c>
    </row>
    <row r="6165" spans="8:18" x14ac:dyDescent="0.2">
      <c r="H6165" s="180"/>
      <c r="P6165" s="180" t="s">
        <v>257</v>
      </c>
      <c r="R6165" s="180" t="s">
        <v>257</v>
      </c>
    </row>
    <row r="6166" spans="8:18" x14ac:dyDescent="0.2">
      <c r="H6166" s="180"/>
      <c r="P6166" s="180" t="s">
        <v>257</v>
      </c>
      <c r="R6166" s="180" t="s">
        <v>257</v>
      </c>
    </row>
    <row r="6167" spans="8:18" x14ac:dyDescent="0.2">
      <c r="H6167" s="180"/>
      <c r="P6167" s="180" t="s">
        <v>257</v>
      </c>
      <c r="R6167" s="180" t="s">
        <v>257</v>
      </c>
    </row>
    <row r="6168" spans="8:18" x14ac:dyDescent="0.2">
      <c r="H6168" s="180"/>
      <c r="P6168" s="180" t="s">
        <v>257</v>
      </c>
      <c r="R6168" s="180" t="s">
        <v>257</v>
      </c>
    </row>
    <row r="6169" spans="8:18" x14ac:dyDescent="0.2">
      <c r="H6169" s="180"/>
      <c r="P6169" s="180" t="s">
        <v>257</v>
      </c>
      <c r="R6169" s="180" t="s">
        <v>257</v>
      </c>
    </row>
    <row r="6170" spans="8:18" x14ac:dyDescent="0.2">
      <c r="H6170" s="180"/>
      <c r="P6170" s="180" t="s">
        <v>257</v>
      </c>
      <c r="R6170" s="180" t="s">
        <v>257</v>
      </c>
    </row>
    <row r="6171" spans="8:18" x14ac:dyDescent="0.2">
      <c r="H6171" s="180"/>
      <c r="P6171" s="180" t="s">
        <v>257</v>
      </c>
      <c r="R6171" s="180" t="s">
        <v>257</v>
      </c>
    </row>
    <row r="6172" spans="8:18" x14ac:dyDescent="0.2">
      <c r="H6172" s="180"/>
      <c r="P6172" s="180" t="s">
        <v>257</v>
      </c>
      <c r="R6172" s="180" t="s">
        <v>257</v>
      </c>
    </row>
    <row r="6173" spans="8:18" x14ac:dyDescent="0.2">
      <c r="H6173" s="180"/>
      <c r="P6173" s="180" t="s">
        <v>257</v>
      </c>
      <c r="R6173" s="180" t="s">
        <v>257</v>
      </c>
    </row>
    <row r="6174" spans="8:18" x14ac:dyDescent="0.2">
      <c r="H6174" s="180"/>
      <c r="P6174" s="180" t="s">
        <v>257</v>
      </c>
      <c r="R6174" s="180" t="s">
        <v>257</v>
      </c>
    </row>
    <row r="6175" spans="8:18" x14ac:dyDescent="0.2">
      <c r="H6175" s="180"/>
      <c r="P6175" s="180" t="s">
        <v>257</v>
      </c>
      <c r="R6175" s="180" t="s">
        <v>257</v>
      </c>
    </row>
    <row r="6176" spans="8:18" x14ac:dyDescent="0.2">
      <c r="H6176" s="180"/>
      <c r="P6176" s="180" t="s">
        <v>257</v>
      </c>
      <c r="R6176" s="180" t="s">
        <v>257</v>
      </c>
    </row>
    <row r="6177" spans="8:18" x14ac:dyDescent="0.2">
      <c r="H6177" s="180"/>
      <c r="P6177" s="180" t="s">
        <v>257</v>
      </c>
      <c r="R6177" s="180" t="s">
        <v>257</v>
      </c>
    </row>
    <row r="6178" spans="8:18" x14ac:dyDescent="0.2">
      <c r="H6178" s="180"/>
      <c r="P6178" s="180" t="s">
        <v>257</v>
      </c>
      <c r="R6178" s="180" t="s">
        <v>257</v>
      </c>
    </row>
    <row r="6179" spans="8:18" x14ac:dyDescent="0.2">
      <c r="H6179" s="180"/>
      <c r="P6179" s="180" t="s">
        <v>257</v>
      </c>
      <c r="R6179" s="180" t="s">
        <v>257</v>
      </c>
    </row>
    <row r="6180" spans="8:18" x14ac:dyDescent="0.2">
      <c r="H6180" s="180"/>
      <c r="P6180" s="180" t="s">
        <v>257</v>
      </c>
      <c r="R6180" s="180" t="s">
        <v>257</v>
      </c>
    </row>
    <row r="6181" spans="8:18" x14ac:dyDescent="0.2">
      <c r="H6181" s="180"/>
      <c r="P6181" s="180" t="s">
        <v>257</v>
      </c>
      <c r="R6181" s="180" t="s">
        <v>257</v>
      </c>
    </row>
    <row r="6182" spans="8:18" x14ac:dyDescent="0.2">
      <c r="H6182" s="180"/>
      <c r="P6182" s="180" t="s">
        <v>257</v>
      </c>
      <c r="R6182" s="180" t="s">
        <v>257</v>
      </c>
    </row>
    <row r="6183" spans="8:18" x14ac:dyDescent="0.2">
      <c r="H6183" s="180"/>
      <c r="P6183" s="180" t="s">
        <v>257</v>
      </c>
      <c r="R6183" s="180" t="s">
        <v>257</v>
      </c>
    </row>
    <row r="6184" spans="8:18" x14ac:dyDescent="0.2">
      <c r="H6184" s="180"/>
      <c r="P6184" s="180" t="s">
        <v>257</v>
      </c>
      <c r="R6184" s="180" t="s">
        <v>257</v>
      </c>
    </row>
    <row r="6185" spans="8:18" x14ac:dyDescent="0.2">
      <c r="H6185" s="180"/>
      <c r="P6185" s="180" t="s">
        <v>257</v>
      </c>
      <c r="R6185" s="180" t="s">
        <v>257</v>
      </c>
    </row>
    <row r="6186" spans="8:18" x14ac:dyDescent="0.2">
      <c r="H6186" s="180"/>
      <c r="P6186" s="180" t="s">
        <v>257</v>
      </c>
      <c r="R6186" s="180" t="s">
        <v>257</v>
      </c>
    </row>
    <row r="6187" spans="8:18" x14ac:dyDescent="0.2">
      <c r="H6187" s="180"/>
      <c r="P6187" s="180" t="s">
        <v>257</v>
      </c>
      <c r="R6187" s="180" t="s">
        <v>257</v>
      </c>
    </row>
    <row r="6188" spans="8:18" x14ac:dyDescent="0.2">
      <c r="H6188" s="180"/>
      <c r="P6188" s="180" t="s">
        <v>257</v>
      </c>
      <c r="R6188" s="180" t="s">
        <v>257</v>
      </c>
    </row>
    <row r="6189" spans="8:18" x14ac:dyDescent="0.2">
      <c r="H6189" s="180"/>
      <c r="P6189" s="180" t="s">
        <v>257</v>
      </c>
      <c r="R6189" s="180" t="s">
        <v>257</v>
      </c>
    </row>
    <row r="6190" spans="8:18" x14ac:dyDescent="0.2">
      <c r="H6190" s="180"/>
      <c r="P6190" s="180" t="s">
        <v>257</v>
      </c>
      <c r="R6190" s="180" t="s">
        <v>257</v>
      </c>
    </row>
    <row r="6191" spans="8:18" x14ac:dyDescent="0.2">
      <c r="H6191" s="180"/>
      <c r="P6191" s="180" t="s">
        <v>257</v>
      </c>
      <c r="R6191" s="180" t="s">
        <v>257</v>
      </c>
    </row>
    <row r="6192" spans="8:18" x14ac:dyDescent="0.2">
      <c r="H6192" s="180"/>
      <c r="P6192" s="180" t="s">
        <v>257</v>
      </c>
      <c r="R6192" s="180" t="s">
        <v>257</v>
      </c>
    </row>
    <row r="6193" spans="8:18" x14ac:dyDescent="0.2">
      <c r="H6193" s="180"/>
      <c r="P6193" s="180" t="s">
        <v>257</v>
      </c>
      <c r="R6193" s="180" t="s">
        <v>257</v>
      </c>
    </row>
    <row r="6194" spans="8:18" x14ac:dyDescent="0.2">
      <c r="H6194" s="180"/>
      <c r="P6194" s="180" t="s">
        <v>257</v>
      </c>
      <c r="R6194" s="180" t="s">
        <v>257</v>
      </c>
    </row>
    <row r="6195" spans="8:18" x14ac:dyDescent="0.2">
      <c r="H6195" s="180"/>
      <c r="P6195" s="180" t="s">
        <v>257</v>
      </c>
      <c r="R6195" s="180" t="s">
        <v>257</v>
      </c>
    </row>
    <row r="6196" spans="8:18" x14ac:dyDescent="0.2">
      <c r="H6196" s="180"/>
      <c r="P6196" s="180" t="s">
        <v>257</v>
      </c>
      <c r="R6196" s="180" t="s">
        <v>257</v>
      </c>
    </row>
    <row r="6197" spans="8:18" x14ac:dyDescent="0.2">
      <c r="H6197" s="180"/>
      <c r="P6197" s="180" t="s">
        <v>257</v>
      </c>
      <c r="R6197" s="180" t="s">
        <v>257</v>
      </c>
    </row>
    <row r="6198" spans="8:18" x14ac:dyDescent="0.2">
      <c r="H6198" s="180"/>
      <c r="P6198" s="180" t="s">
        <v>257</v>
      </c>
      <c r="R6198" s="180" t="s">
        <v>257</v>
      </c>
    </row>
    <row r="6199" spans="8:18" x14ac:dyDescent="0.2">
      <c r="H6199" s="180"/>
      <c r="P6199" s="180" t="s">
        <v>257</v>
      </c>
      <c r="R6199" s="180" t="s">
        <v>257</v>
      </c>
    </row>
    <row r="6200" spans="8:18" x14ac:dyDescent="0.2">
      <c r="H6200" s="180"/>
      <c r="P6200" s="180" t="s">
        <v>257</v>
      </c>
      <c r="R6200" s="180" t="s">
        <v>257</v>
      </c>
    </row>
    <row r="6201" spans="8:18" x14ac:dyDescent="0.2">
      <c r="H6201" s="180"/>
      <c r="P6201" s="180" t="s">
        <v>257</v>
      </c>
      <c r="R6201" s="180" t="s">
        <v>257</v>
      </c>
    </row>
    <row r="6202" spans="8:18" x14ac:dyDescent="0.2">
      <c r="H6202" s="180"/>
      <c r="P6202" s="180" t="s">
        <v>257</v>
      </c>
      <c r="R6202" s="180" t="s">
        <v>257</v>
      </c>
    </row>
    <row r="6203" spans="8:18" x14ac:dyDescent="0.2">
      <c r="H6203" s="180"/>
      <c r="P6203" s="180" t="s">
        <v>257</v>
      </c>
      <c r="R6203" s="180" t="s">
        <v>257</v>
      </c>
    </row>
    <row r="6204" spans="8:18" x14ac:dyDescent="0.2">
      <c r="H6204" s="180"/>
      <c r="P6204" s="180" t="s">
        <v>257</v>
      </c>
      <c r="R6204" s="180" t="s">
        <v>257</v>
      </c>
    </row>
    <row r="6205" spans="8:18" x14ac:dyDescent="0.2">
      <c r="H6205" s="180"/>
      <c r="P6205" s="180" t="s">
        <v>257</v>
      </c>
      <c r="R6205" s="180" t="s">
        <v>257</v>
      </c>
    </row>
    <row r="6206" spans="8:18" x14ac:dyDescent="0.2">
      <c r="H6206" s="180"/>
      <c r="P6206" s="180" t="s">
        <v>257</v>
      </c>
      <c r="R6206" s="180" t="s">
        <v>257</v>
      </c>
    </row>
    <row r="6207" spans="8:18" x14ac:dyDescent="0.2">
      <c r="H6207" s="180"/>
      <c r="P6207" s="180" t="s">
        <v>257</v>
      </c>
      <c r="R6207" s="180" t="s">
        <v>257</v>
      </c>
    </row>
    <row r="6208" spans="8:18" x14ac:dyDescent="0.2">
      <c r="H6208" s="180"/>
      <c r="P6208" s="180" t="s">
        <v>257</v>
      </c>
      <c r="R6208" s="180" t="s">
        <v>257</v>
      </c>
    </row>
    <row r="6209" spans="8:18" x14ac:dyDescent="0.2">
      <c r="H6209" s="180"/>
      <c r="P6209" s="180" t="s">
        <v>257</v>
      </c>
      <c r="R6209" s="180" t="s">
        <v>257</v>
      </c>
    </row>
    <row r="6210" spans="8:18" x14ac:dyDescent="0.2">
      <c r="H6210" s="180"/>
      <c r="P6210" s="180" t="s">
        <v>257</v>
      </c>
      <c r="R6210" s="180" t="s">
        <v>257</v>
      </c>
    </row>
    <row r="6211" spans="8:18" x14ac:dyDescent="0.2">
      <c r="H6211" s="180"/>
      <c r="P6211" s="180" t="s">
        <v>257</v>
      </c>
      <c r="R6211" s="180" t="s">
        <v>257</v>
      </c>
    </row>
    <row r="6212" spans="8:18" x14ac:dyDescent="0.2">
      <c r="H6212" s="180"/>
      <c r="P6212" s="180" t="s">
        <v>257</v>
      </c>
      <c r="R6212" s="180" t="s">
        <v>257</v>
      </c>
    </row>
    <row r="6213" spans="8:18" x14ac:dyDescent="0.2">
      <c r="H6213" s="180"/>
      <c r="P6213" s="180" t="s">
        <v>257</v>
      </c>
      <c r="R6213" s="180" t="s">
        <v>257</v>
      </c>
    </row>
    <row r="6214" spans="8:18" x14ac:dyDescent="0.2">
      <c r="H6214" s="180"/>
      <c r="P6214" s="180" t="s">
        <v>257</v>
      </c>
      <c r="R6214" s="180" t="s">
        <v>257</v>
      </c>
    </row>
    <row r="6215" spans="8:18" x14ac:dyDescent="0.2">
      <c r="H6215" s="180"/>
      <c r="P6215" s="180" t="s">
        <v>257</v>
      </c>
      <c r="R6215" s="180" t="s">
        <v>257</v>
      </c>
    </row>
    <row r="6216" spans="8:18" x14ac:dyDescent="0.2">
      <c r="H6216" s="180"/>
      <c r="P6216" s="180" t="s">
        <v>257</v>
      </c>
      <c r="R6216" s="180" t="s">
        <v>257</v>
      </c>
    </row>
    <row r="6217" spans="8:18" x14ac:dyDescent="0.2">
      <c r="H6217" s="180"/>
      <c r="P6217" s="180" t="s">
        <v>257</v>
      </c>
      <c r="R6217" s="180" t="s">
        <v>257</v>
      </c>
    </row>
    <row r="6218" spans="8:18" x14ac:dyDescent="0.2">
      <c r="H6218" s="180"/>
      <c r="P6218" s="180" t="s">
        <v>257</v>
      </c>
      <c r="R6218" s="180" t="s">
        <v>257</v>
      </c>
    </row>
    <row r="6219" spans="8:18" x14ac:dyDescent="0.2">
      <c r="H6219" s="180"/>
      <c r="P6219" s="180" t="s">
        <v>257</v>
      </c>
      <c r="R6219" s="180" t="s">
        <v>257</v>
      </c>
    </row>
    <row r="6220" spans="8:18" x14ac:dyDescent="0.2">
      <c r="H6220" s="180"/>
      <c r="P6220" s="180" t="s">
        <v>257</v>
      </c>
      <c r="R6220" s="180" t="s">
        <v>257</v>
      </c>
    </row>
    <row r="6221" spans="8:18" x14ac:dyDescent="0.2">
      <c r="H6221" s="180"/>
      <c r="P6221" s="180" t="s">
        <v>257</v>
      </c>
      <c r="R6221" s="180" t="s">
        <v>257</v>
      </c>
    </row>
    <row r="6222" spans="8:18" x14ac:dyDescent="0.2">
      <c r="H6222" s="180"/>
      <c r="P6222" s="180" t="s">
        <v>257</v>
      </c>
      <c r="R6222" s="180" t="s">
        <v>257</v>
      </c>
    </row>
    <row r="6223" spans="8:18" x14ac:dyDescent="0.2">
      <c r="H6223" s="180"/>
      <c r="P6223" s="180" t="s">
        <v>257</v>
      </c>
      <c r="R6223" s="180" t="s">
        <v>257</v>
      </c>
    </row>
    <row r="6224" spans="8:18" x14ac:dyDescent="0.2">
      <c r="H6224" s="180"/>
      <c r="P6224" s="180" t="s">
        <v>257</v>
      </c>
      <c r="R6224" s="180" t="s">
        <v>257</v>
      </c>
    </row>
    <row r="6225" spans="8:18" x14ac:dyDescent="0.2">
      <c r="H6225" s="180"/>
      <c r="P6225" s="180" t="s">
        <v>257</v>
      </c>
      <c r="R6225" s="180" t="s">
        <v>257</v>
      </c>
    </row>
    <row r="6226" spans="8:18" x14ac:dyDescent="0.2">
      <c r="H6226" s="180"/>
      <c r="P6226" s="180" t="s">
        <v>257</v>
      </c>
      <c r="R6226" s="180" t="s">
        <v>257</v>
      </c>
    </row>
    <row r="6227" spans="8:18" x14ac:dyDescent="0.2">
      <c r="H6227" s="180"/>
      <c r="P6227" s="180" t="s">
        <v>257</v>
      </c>
      <c r="R6227" s="180" t="s">
        <v>257</v>
      </c>
    </row>
    <row r="6228" spans="8:18" x14ac:dyDescent="0.2">
      <c r="H6228" s="180"/>
      <c r="P6228" s="180" t="s">
        <v>257</v>
      </c>
      <c r="R6228" s="180" t="s">
        <v>257</v>
      </c>
    </row>
    <row r="6229" spans="8:18" x14ac:dyDescent="0.2">
      <c r="H6229" s="180"/>
      <c r="P6229" s="180" t="s">
        <v>257</v>
      </c>
      <c r="R6229" s="180" t="s">
        <v>257</v>
      </c>
    </row>
    <row r="6230" spans="8:18" x14ac:dyDescent="0.2">
      <c r="H6230" s="180"/>
      <c r="P6230" s="180" t="s">
        <v>257</v>
      </c>
      <c r="R6230" s="180" t="s">
        <v>257</v>
      </c>
    </row>
    <row r="6231" spans="8:18" x14ac:dyDescent="0.2">
      <c r="H6231" s="180"/>
      <c r="P6231" s="180" t="s">
        <v>257</v>
      </c>
      <c r="R6231" s="180" t="s">
        <v>257</v>
      </c>
    </row>
    <row r="6232" spans="8:18" x14ac:dyDescent="0.2">
      <c r="H6232" s="180"/>
      <c r="P6232" s="180" t="s">
        <v>257</v>
      </c>
      <c r="R6232" s="180" t="s">
        <v>257</v>
      </c>
    </row>
    <row r="6233" spans="8:18" x14ac:dyDescent="0.2">
      <c r="H6233" s="180"/>
      <c r="P6233" s="180" t="s">
        <v>257</v>
      </c>
      <c r="R6233" s="180" t="s">
        <v>257</v>
      </c>
    </row>
    <row r="6234" spans="8:18" x14ac:dyDescent="0.2">
      <c r="H6234" s="180"/>
      <c r="P6234" s="180" t="s">
        <v>257</v>
      </c>
      <c r="R6234" s="180" t="s">
        <v>257</v>
      </c>
    </row>
    <row r="6235" spans="8:18" x14ac:dyDescent="0.2">
      <c r="H6235" s="180"/>
      <c r="P6235" s="180" t="s">
        <v>257</v>
      </c>
      <c r="R6235" s="180" t="s">
        <v>257</v>
      </c>
    </row>
    <row r="6236" spans="8:18" x14ac:dyDescent="0.2">
      <c r="H6236" s="180"/>
      <c r="P6236" s="180" t="s">
        <v>257</v>
      </c>
      <c r="R6236" s="180" t="s">
        <v>257</v>
      </c>
    </row>
    <row r="6237" spans="8:18" x14ac:dyDescent="0.2">
      <c r="H6237" s="180"/>
      <c r="P6237" s="180" t="s">
        <v>257</v>
      </c>
      <c r="R6237" s="180" t="s">
        <v>257</v>
      </c>
    </row>
    <row r="6238" spans="8:18" x14ac:dyDescent="0.2">
      <c r="H6238" s="180"/>
      <c r="P6238" s="180" t="s">
        <v>257</v>
      </c>
      <c r="R6238" s="180" t="s">
        <v>257</v>
      </c>
    </row>
    <row r="6239" spans="8:18" x14ac:dyDescent="0.2">
      <c r="H6239" s="180"/>
      <c r="P6239" s="180" t="s">
        <v>257</v>
      </c>
      <c r="R6239" s="180" t="s">
        <v>257</v>
      </c>
    </row>
    <row r="6240" spans="8:18" x14ac:dyDescent="0.2">
      <c r="H6240" s="180"/>
      <c r="P6240" s="180" t="s">
        <v>257</v>
      </c>
      <c r="R6240" s="180" t="s">
        <v>257</v>
      </c>
    </row>
    <row r="6241" spans="8:18" x14ac:dyDescent="0.2">
      <c r="H6241" s="180"/>
      <c r="P6241" s="180" t="s">
        <v>257</v>
      </c>
      <c r="R6241" s="180" t="s">
        <v>257</v>
      </c>
    </row>
    <row r="6242" spans="8:18" x14ac:dyDescent="0.2">
      <c r="H6242" s="180"/>
      <c r="P6242" s="180" t="s">
        <v>257</v>
      </c>
      <c r="R6242" s="180" t="s">
        <v>257</v>
      </c>
    </row>
    <row r="6243" spans="8:18" x14ac:dyDescent="0.2">
      <c r="H6243" s="180"/>
      <c r="P6243" s="180" t="s">
        <v>257</v>
      </c>
      <c r="R6243" s="180" t="s">
        <v>257</v>
      </c>
    </row>
    <row r="6244" spans="8:18" x14ac:dyDescent="0.2">
      <c r="H6244" s="180"/>
      <c r="P6244" s="180" t="s">
        <v>257</v>
      </c>
      <c r="R6244" s="180" t="s">
        <v>257</v>
      </c>
    </row>
    <row r="6245" spans="8:18" x14ac:dyDescent="0.2">
      <c r="H6245" s="180"/>
      <c r="P6245" s="180" t="s">
        <v>257</v>
      </c>
      <c r="R6245" s="180" t="s">
        <v>257</v>
      </c>
    </row>
    <row r="6246" spans="8:18" x14ac:dyDescent="0.2">
      <c r="H6246" s="180"/>
      <c r="P6246" s="180" t="s">
        <v>257</v>
      </c>
      <c r="R6246" s="180" t="s">
        <v>257</v>
      </c>
    </row>
    <row r="6247" spans="8:18" x14ac:dyDescent="0.2">
      <c r="H6247" s="180"/>
      <c r="P6247" s="180" t="s">
        <v>257</v>
      </c>
      <c r="R6247" s="180" t="s">
        <v>257</v>
      </c>
    </row>
    <row r="6248" spans="8:18" x14ac:dyDescent="0.2">
      <c r="H6248" s="180"/>
      <c r="P6248" s="180" t="s">
        <v>257</v>
      </c>
      <c r="R6248" s="180" t="s">
        <v>257</v>
      </c>
    </row>
    <row r="6249" spans="8:18" x14ac:dyDescent="0.2">
      <c r="H6249" s="180"/>
      <c r="P6249" s="180" t="s">
        <v>257</v>
      </c>
      <c r="R6249" s="180" t="s">
        <v>257</v>
      </c>
    </row>
    <row r="6250" spans="8:18" x14ac:dyDescent="0.2">
      <c r="H6250" s="180"/>
      <c r="P6250" s="180" t="s">
        <v>257</v>
      </c>
      <c r="R6250" s="180" t="s">
        <v>257</v>
      </c>
    </row>
    <row r="6251" spans="8:18" x14ac:dyDescent="0.2">
      <c r="H6251" s="180"/>
      <c r="P6251" s="180" t="s">
        <v>257</v>
      </c>
      <c r="R6251" s="180" t="s">
        <v>257</v>
      </c>
    </row>
    <row r="6252" spans="8:18" x14ac:dyDescent="0.2">
      <c r="H6252" s="180"/>
      <c r="P6252" s="180" t="s">
        <v>257</v>
      </c>
      <c r="R6252" s="180" t="s">
        <v>257</v>
      </c>
    </row>
    <row r="6253" spans="8:18" x14ac:dyDescent="0.2">
      <c r="H6253" s="180"/>
      <c r="P6253" s="180" t="s">
        <v>257</v>
      </c>
      <c r="R6253" s="180" t="s">
        <v>257</v>
      </c>
    </row>
    <row r="6254" spans="8:18" x14ac:dyDescent="0.2">
      <c r="H6254" s="180"/>
      <c r="P6254" s="180" t="s">
        <v>257</v>
      </c>
      <c r="R6254" s="180" t="s">
        <v>257</v>
      </c>
    </row>
    <row r="6255" spans="8:18" x14ac:dyDescent="0.2">
      <c r="H6255" s="180"/>
      <c r="P6255" s="180" t="s">
        <v>257</v>
      </c>
      <c r="R6255" s="180" t="s">
        <v>257</v>
      </c>
    </row>
    <row r="6256" spans="8:18" x14ac:dyDescent="0.2">
      <c r="H6256" s="180"/>
      <c r="P6256" s="180" t="s">
        <v>257</v>
      </c>
      <c r="R6256" s="180" t="s">
        <v>257</v>
      </c>
    </row>
    <row r="6257" spans="8:18" x14ac:dyDescent="0.2">
      <c r="H6257" s="180"/>
      <c r="P6257" s="180" t="s">
        <v>257</v>
      </c>
      <c r="R6257" s="180" t="s">
        <v>257</v>
      </c>
    </row>
    <row r="6258" spans="8:18" x14ac:dyDescent="0.2">
      <c r="H6258" s="180"/>
      <c r="P6258" s="180" t="s">
        <v>257</v>
      </c>
      <c r="R6258" s="180" t="s">
        <v>257</v>
      </c>
    </row>
    <row r="6259" spans="8:18" x14ac:dyDescent="0.2">
      <c r="H6259" s="180"/>
      <c r="P6259" s="180" t="s">
        <v>257</v>
      </c>
      <c r="R6259" s="180" t="s">
        <v>257</v>
      </c>
    </row>
    <row r="6260" spans="8:18" x14ac:dyDescent="0.2">
      <c r="H6260" s="180"/>
      <c r="P6260" s="180" t="s">
        <v>257</v>
      </c>
      <c r="R6260" s="180" t="s">
        <v>257</v>
      </c>
    </row>
    <row r="6261" spans="8:18" x14ac:dyDescent="0.2">
      <c r="H6261" s="180"/>
      <c r="P6261" s="180" t="s">
        <v>257</v>
      </c>
      <c r="R6261" s="180" t="s">
        <v>257</v>
      </c>
    </row>
    <row r="6262" spans="8:18" x14ac:dyDescent="0.2">
      <c r="H6262" s="180"/>
      <c r="P6262" s="180" t="s">
        <v>257</v>
      </c>
      <c r="R6262" s="180" t="s">
        <v>257</v>
      </c>
    </row>
    <row r="6263" spans="8:18" x14ac:dyDescent="0.2">
      <c r="H6263" s="180"/>
      <c r="P6263" s="180" t="s">
        <v>257</v>
      </c>
      <c r="R6263" s="180" t="s">
        <v>257</v>
      </c>
    </row>
    <row r="6264" spans="8:18" x14ac:dyDescent="0.2">
      <c r="H6264" s="180"/>
      <c r="P6264" s="180" t="s">
        <v>257</v>
      </c>
      <c r="R6264" s="180" t="s">
        <v>257</v>
      </c>
    </row>
    <row r="6265" spans="8:18" x14ac:dyDescent="0.2">
      <c r="H6265" s="180"/>
      <c r="P6265" s="180" t="s">
        <v>257</v>
      </c>
      <c r="R6265" s="180" t="s">
        <v>257</v>
      </c>
    </row>
    <row r="6266" spans="8:18" x14ac:dyDescent="0.2">
      <c r="H6266" s="180"/>
      <c r="P6266" s="180" t="s">
        <v>257</v>
      </c>
      <c r="R6266" s="180" t="s">
        <v>257</v>
      </c>
    </row>
    <row r="6267" spans="8:18" x14ac:dyDescent="0.2">
      <c r="H6267" s="180"/>
      <c r="P6267" s="180" t="s">
        <v>257</v>
      </c>
      <c r="R6267" s="180" t="s">
        <v>257</v>
      </c>
    </row>
    <row r="6268" spans="8:18" x14ac:dyDescent="0.2">
      <c r="H6268" s="180"/>
      <c r="P6268" s="180" t="s">
        <v>257</v>
      </c>
      <c r="R6268" s="180" t="s">
        <v>257</v>
      </c>
    </row>
    <row r="6269" spans="8:18" x14ac:dyDescent="0.2">
      <c r="H6269" s="180"/>
      <c r="P6269" s="180" t="s">
        <v>257</v>
      </c>
      <c r="R6269" s="180" t="s">
        <v>257</v>
      </c>
    </row>
    <row r="6270" spans="8:18" x14ac:dyDescent="0.2">
      <c r="H6270" s="180"/>
      <c r="P6270" s="180" t="s">
        <v>257</v>
      </c>
      <c r="R6270" s="180" t="s">
        <v>257</v>
      </c>
    </row>
    <row r="6271" spans="8:18" x14ac:dyDescent="0.2">
      <c r="H6271" s="180"/>
      <c r="P6271" s="180" t="s">
        <v>257</v>
      </c>
      <c r="R6271" s="180" t="s">
        <v>257</v>
      </c>
    </row>
    <row r="6272" spans="8:18" x14ac:dyDescent="0.2">
      <c r="H6272" s="180"/>
      <c r="P6272" s="180" t="s">
        <v>257</v>
      </c>
      <c r="R6272" s="180" t="s">
        <v>257</v>
      </c>
    </row>
    <row r="6273" spans="8:18" x14ac:dyDescent="0.2">
      <c r="H6273" s="180"/>
      <c r="P6273" s="180" t="s">
        <v>257</v>
      </c>
      <c r="R6273" s="180" t="s">
        <v>257</v>
      </c>
    </row>
    <row r="6274" spans="8:18" x14ac:dyDescent="0.2">
      <c r="H6274" s="180"/>
      <c r="P6274" s="180" t="s">
        <v>257</v>
      </c>
      <c r="R6274" s="180" t="s">
        <v>257</v>
      </c>
    </row>
    <row r="6275" spans="8:18" x14ac:dyDescent="0.2">
      <c r="H6275" s="180"/>
      <c r="P6275" s="180" t="s">
        <v>257</v>
      </c>
      <c r="R6275" s="180" t="s">
        <v>257</v>
      </c>
    </row>
    <row r="6276" spans="8:18" x14ac:dyDescent="0.2">
      <c r="H6276" s="180"/>
      <c r="P6276" s="180" t="s">
        <v>257</v>
      </c>
      <c r="R6276" s="180" t="s">
        <v>257</v>
      </c>
    </row>
    <row r="6277" spans="8:18" x14ac:dyDescent="0.2">
      <c r="H6277" s="180"/>
      <c r="P6277" s="180" t="s">
        <v>257</v>
      </c>
      <c r="R6277" s="180" t="s">
        <v>257</v>
      </c>
    </row>
    <row r="6278" spans="8:18" x14ac:dyDescent="0.2">
      <c r="H6278" s="180"/>
      <c r="P6278" s="180" t="s">
        <v>257</v>
      </c>
      <c r="R6278" s="180" t="s">
        <v>257</v>
      </c>
    </row>
    <row r="6279" spans="8:18" x14ac:dyDescent="0.2">
      <c r="H6279" s="180"/>
      <c r="P6279" s="180" t="s">
        <v>257</v>
      </c>
      <c r="R6279" s="180" t="s">
        <v>257</v>
      </c>
    </row>
    <row r="6280" spans="8:18" x14ac:dyDescent="0.2">
      <c r="H6280" s="180"/>
      <c r="P6280" s="180" t="s">
        <v>257</v>
      </c>
      <c r="R6280" s="180" t="s">
        <v>257</v>
      </c>
    </row>
    <row r="6281" spans="8:18" x14ac:dyDescent="0.2">
      <c r="H6281" s="180"/>
      <c r="P6281" s="180" t="s">
        <v>257</v>
      </c>
      <c r="R6281" s="180" t="s">
        <v>257</v>
      </c>
    </row>
    <row r="6282" spans="8:18" x14ac:dyDescent="0.2">
      <c r="H6282" s="180"/>
      <c r="P6282" s="180" t="s">
        <v>257</v>
      </c>
      <c r="R6282" s="180" t="s">
        <v>257</v>
      </c>
    </row>
    <row r="6283" spans="8:18" x14ac:dyDescent="0.2">
      <c r="H6283" s="180"/>
      <c r="P6283" s="180" t="s">
        <v>257</v>
      </c>
      <c r="R6283" s="180" t="s">
        <v>257</v>
      </c>
    </row>
    <row r="6284" spans="8:18" x14ac:dyDescent="0.2">
      <c r="H6284" s="180"/>
      <c r="P6284" s="180" t="s">
        <v>257</v>
      </c>
      <c r="R6284" s="180" t="s">
        <v>257</v>
      </c>
    </row>
    <row r="6285" spans="8:18" x14ac:dyDescent="0.2">
      <c r="H6285" s="180"/>
      <c r="P6285" s="180" t="s">
        <v>257</v>
      </c>
      <c r="R6285" s="180" t="s">
        <v>257</v>
      </c>
    </row>
    <row r="6286" spans="8:18" x14ac:dyDescent="0.2">
      <c r="H6286" s="180"/>
      <c r="P6286" s="180" t="s">
        <v>257</v>
      </c>
      <c r="R6286" s="180" t="s">
        <v>257</v>
      </c>
    </row>
    <row r="6287" spans="8:18" x14ac:dyDescent="0.2">
      <c r="H6287" s="180"/>
      <c r="P6287" s="180" t="s">
        <v>257</v>
      </c>
      <c r="R6287" s="180" t="s">
        <v>257</v>
      </c>
    </row>
    <row r="6288" spans="8:18" x14ac:dyDescent="0.2">
      <c r="H6288" s="180"/>
      <c r="P6288" s="180" t="s">
        <v>257</v>
      </c>
      <c r="R6288" s="180" t="s">
        <v>257</v>
      </c>
    </row>
    <row r="6289" spans="8:18" x14ac:dyDescent="0.2">
      <c r="H6289" s="180"/>
      <c r="P6289" s="180" t="s">
        <v>257</v>
      </c>
      <c r="R6289" s="180" t="s">
        <v>257</v>
      </c>
    </row>
    <row r="6290" spans="8:18" x14ac:dyDescent="0.2">
      <c r="H6290" s="180"/>
      <c r="P6290" s="180" t="s">
        <v>257</v>
      </c>
      <c r="R6290" s="180" t="s">
        <v>257</v>
      </c>
    </row>
    <row r="6291" spans="8:18" x14ac:dyDescent="0.2">
      <c r="H6291" s="180"/>
      <c r="P6291" s="180" t="s">
        <v>257</v>
      </c>
      <c r="R6291" s="180" t="s">
        <v>257</v>
      </c>
    </row>
    <row r="6292" spans="8:18" x14ac:dyDescent="0.2">
      <c r="H6292" s="180"/>
      <c r="P6292" s="180" t="s">
        <v>257</v>
      </c>
      <c r="R6292" s="180" t="s">
        <v>257</v>
      </c>
    </row>
    <row r="6293" spans="8:18" x14ac:dyDescent="0.2">
      <c r="H6293" s="180"/>
      <c r="P6293" s="180" t="s">
        <v>257</v>
      </c>
      <c r="R6293" s="180" t="s">
        <v>257</v>
      </c>
    </row>
    <row r="6294" spans="8:18" x14ac:dyDescent="0.2">
      <c r="H6294" s="180"/>
      <c r="P6294" s="180" t="s">
        <v>257</v>
      </c>
      <c r="R6294" s="180" t="s">
        <v>257</v>
      </c>
    </row>
    <row r="6295" spans="8:18" x14ac:dyDescent="0.2">
      <c r="H6295" s="180"/>
      <c r="P6295" s="180" t="s">
        <v>257</v>
      </c>
      <c r="R6295" s="180" t="s">
        <v>257</v>
      </c>
    </row>
    <row r="6296" spans="8:18" x14ac:dyDescent="0.2">
      <c r="H6296" s="180"/>
      <c r="P6296" s="180" t="s">
        <v>257</v>
      </c>
      <c r="R6296" s="180" t="s">
        <v>257</v>
      </c>
    </row>
    <row r="6297" spans="8:18" x14ac:dyDescent="0.2">
      <c r="H6297" s="180"/>
      <c r="P6297" s="180" t="s">
        <v>257</v>
      </c>
      <c r="R6297" s="180" t="s">
        <v>257</v>
      </c>
    </row>
    <row r="6298" spans="8:18" x14ac:dyDescent="0.2">
      <c r="H6298" s="180"/>
      <c r="P6298" s="180" t="s">
        <v>257</v>
      </c>
      <c r="R6298" s="180" t="s">
        <v>257</v>
      </c>
    </row>
    <row r="6299" spans="8:18" x14ac:dyDescent="0.2">
      <c r="H6299" s="180"/>
      <c r="P6299" s="180" t="s">
        <v>257</v>
      </c>
      <c r="R6299" s="180" t="s">
        <v>257</v>
      </c>
    </row>
    <row r="6300" spans="8:18" x14ac:dyDescent="0.2">
      <c r="H6300" s="180"/>
      <c r="P6300" s="180" t="s">
        <v>257</v>
      </c>
      <c r="R6300" s="180" t="s">
        <v>257</v>
      </c>
    </row>
    <row r="6301" spans="8:18" x14ac:dyDescent="0.2">
      <c r="H6301" s="180"/>
      <c r="P6301" s="180" t="s">
        <v>257</v>
      </c>
      <c r="R6301" s="180" t="s">
        <v>257</v>
      </c>
    </row>
    <row r="6302" spans="8:18" x14ac:dyDescent="0.2">
      <c r="H6302" s="180"/>
      <c r="P6302" s="180" t="s">
        <v>257</v>
      </c>
      <c r="R6302" s="180" t="s">
        <v>257</v>
      </c>
    </row>
    <row r="6303" spans="8:18" x14ac:dyDescent="0.2">
      <c r="H6303" s="180"/>
      <c r="P6303" s="180" t="s">
        <v>257</v>
      </c>
      <c r="R6303" s="180" t="s">
        <v>257</v>
      </c>
    </row>
    <row r="6304" spans="8:18" x14ac:dyDescent="0.2">
      <c r="H6304" s="180"/>
      <c r="P6304" s="180" t="s">
        <v>257</v>
      </c>
      <c r="R6304" s="180" t="s">
        <v>257</v>
      </c>
    </row>
    <row r="6305" spans="8:18" x14ac:dyDescent="0.2">
      <c r="H6305" s="180"/>
      <c r="P6305" s="180" t="s">
        <v>257</v>
      </c>
      <c r="R6305" s="180" t="s">
        <v>257</v>
      </c>
    </row>
    <row r="6306" spans="8:18" x14ac:dyDescent="0.2">
      <c r="H6306" s="180"/>
      <c r="P6306" s="180" t="s">
        <v>257</v>
      </c>
      <c r="R6306" s="180" t="s">
        <v>257</v>
      </c>
    </row>
    <row r="6307" spans="8:18" x14ac:dyDescent="0.2">
      <c r="H6307" s="180"/>
      <c r="P6307" s="180" t="s">
        <v>257</v>
      </c>
      <c r="R6307" s="180" t="s">
        <v>257</v>
      </c>
    </row>
    <row r="6308" spans="8:18" x14ac:dyDescent="0.2">
      <c r="H6308" s="180"/>
      <c r="P6308" s="180" t="s">
        <v>257</v>
      </c>
      <c r="R6308" s="180" t="s">
        <v>257</v>
      </c>
    </row>
    <row r="6309" spans="8:18" x14ac:dyDescent="0.2">
      <c r="H6309" s="180"/>
      <c r="P6309" s="180" t="s">
        <v>257</v>
      </c>
      <c r="R6309" s="180" t="s">
        <v>257</v>
      </c>
    </row>
    <row r="6310" spans="8:18" x14ac:dyDescent="0.2">
      <c r="H6310" s="180"/>
      <c r="P6310" s="180" t="s">
        <v>257</v>
      </c>
      <c r="R6310" s="180" t="s">
        <v>257</v>
      </c>
    </row>
    <row r="6311" spans="8:18" x14ac:dyDescent="0.2">
      <c r="H6311" s="180"/>
      <c r="P6311" s="180" t="s">
        <v>257</v>
      </c>
      <c r="R6311" s="180" t="s">
        <v>257</v>
      </c>
    </row>
    <row r="6312" spans="8:18" x14ac:dyDescent="0.2">
      <c r="H6312" s="180"/>
      <c r="P6312" s="180" t="s">
        <v>257</v>
      </c>
      <c r="R6312" s="180" t="s">
        <v>257</v>
      </c>
    </row>
    <row r="6313" spans="8:18" x14ac:dyDescent="0.2">
      <c r="H6313" s="180"/>
      <c r="P6313" s="180" t="s">
        <v>257</v>
      </c>
      <c r="R6313" s="180" t="s">
        <v>257</v>
      </c>
    </row>
    <row r="6314" spans="8:18" x14ac:dyDescent="0.2">
      <c r="H6314" s="180"/>
      <c r="P6314" s="180" t="s">
        <v>257</v>
      </c>
      <c r="R6314" s="180" t="s">
        <v>257</v>
      </c>
    </row>
    <row r="6315" spans="8:18" x14ac:dyDescent="0.2">
      <c r="H6315" s="180"/>
      <c r="P6315" s="180" t="s">
        <v>257</v>
      </c>
      <c r="R6315" s="180" t="s">
        <v>257</v>
      </c>
    </row>
    <row r="6316" spans="8:18" x14ac:dyDescent="0.2">
      <c r="H6316" s="180"/>
      <c r="P6316" s="180" t="s">
        <v>257</v>
      </c>
      <c r="R6316" s="180" t="s">
        <v>257</v>
      </c>
    </row>
    <row r="6317" spans="8:18" x14ac:dyDescent="0.2">
      <c r="H6317" s="180"/>
      <c r="P6317" s="180" t="s">
        <v>257</v>
      </c>
      <c r="R6317" s="180" t="s">
        <v>257</v>
      </c>
    </row>
    <row r="6318" spans="8:18" x14ac:dyDescent="0.2">
      <c r="H6318" s="180"/>
      <c r="P6318" s="180" t="s">
        <v>257</v>
      </c>
      <c r="R6318" s="180" t="s">
        <v>257</v>
      </c>
    </row>
    <row r="6319" spans="8:18" x14ac:dyDescent="0.2">
      <c r="H6319" s="180"/>
      <c r="P6319" s="180" t="s">
        <v>257</v>
      </c>
      <c r="R6319" s="180" t="s">
        <v>257</v>
      </c>
    </row>
    <row r="6320" spans="8:18" x14ac:dyDescent="0.2">
      <c r="H6320" s="180"/>
      <c r="P6320" s="180" t="s">
        <v>257</v>
      </c>
      <c r="R6320" s="180" t="s">
        <v>257</v>
      </c>
    </row>
    <row r="6321" spans="8:18" x14ac:dyDescent="0.2">
      <c r="H6321" s="180"/>
      <c r="P6321" s="180" t="s">
        <v>257</v>
      </c>
      <c r="R6321" s="180" t="s">
        <v>257</v>
      </c>
    </row>
    <row r="6322" spans="8:18" x14ac:dyDescent="0.2">
      <c r="H6322" s="180"/>
      <c r="P6322" s="180" t="s">
        <v>257</v>
      </c>
      <c r="R6322" s="180" t="s">
        <v>257</v>
      </c>
    </row>
    <row r="6323" spans="8:18" x14ac:dyDescent="0.2">
      <c r="H6323" s="180"/>
      <c r="P6323" s="180" t="s">
        <v>257</v>
      </c>
      <c r="R6323" s="180" t="s">
        <v>257</v>
      </c>
    </row>
    <row r="6324" spans="8:18" x14ac:dyDescent="0.2">
      <c r="H6324" s="180"/>
      <c r="P6324" s="180" t="s">
        <v>257</v>
      </c>
      <c r="R6324" s="180" t="s">
        <v>257</v>
      </c>
    </row>
    <row r="6325" spans="8:18" x14ac:dyDescent="0.2">
      <c r="H6325" s="180"/>
      <c r="P6325" s="180" t="s">
        <v>257</v>
      </c>
      <c r="R6325" s="180" t="s">
        <v>257</v>
      </c>
    </row>
    <row r="6326" spans="8:18" x14ac:dyDescent="0.2">
      <c r="H6326" s="180"/>
      <c r="P6326" s="180" t="s">
        <v>257</v>
      </c>
      <c r="R6326" s="180" t="s">
        <v>257</v>
      </c>
    </row>
    <row r="6327" spans="8:18" x14ac:dyDescent="0.2">
      <c r="H6327" s="180"/>
      <c r="P6327" s="180" t="s">
        <v>257</v>
      </c>
      <c r="R6327" s="180" t="s">
        <v>257</v>
      </c>
    </row>
    <row r="6328" spans="8:18" x14ac:dyDescent="0.2">
      <c r="H6328" s="180"/>
      <c r="P6328" s="180" t="s">
        <v>257</v>
      </c>
      <c r="R6328" s="180" t="s">
        <v>257</v>
      </c>
    </row>
    <row r="6329" spans="8:18" x14ac:dyDescent="0.2">
      <c r="H6329" s="180"/>
      <c r="P6329" s="180" t="s">
        <v>257</v>
      </c>
      <c r="R6329" s="180" t="s">
        <v>257</v>
      </c>
    </row>
    <row r="6330" spans="8:18" x14ac:dyDescent="0.2">
      <c r="H6330" s="180"/>
      <c r="P6330" s="180" t="s">
        <v>257</v>
      </c>
      <c r="R6330" s="180" t="s">
        <v>257</v>
      </c>
    </row>
    <row r="6331" spans="8:18" x14ac:dyDescent="0.2">
      <c r="H6331" s="180"/>
      <c r="P6331" s="180" t="s">
        <v>257</v>
      </c>
      <c r="R6331" s="180" t="s">
        <v>257</v>
      </c>
    </row>
    <row r="6332" spans="8:18" x14ac:dyDescent="0.2">
      <c r="H6332" s="180"/>
      <c r="P6332" s="180" t="s">
        <v>257</v>
      </c>
      <c r="R6332" s="180" t="s">
        <v>257</v>
      </c>
    </row>
    <row r="6333" spans="8:18" x14ac:dyDescent="0.2">
      <c r="H6333" s="180"/>
      <c r="P6333" s="180" t="s">
        <v>257</v>
      </c>
      <c r="R6333" s="180" t="s">
        <v>257</v>
      </c>
    </row>
    <row r="6334" spans="8:18" x14ac:dyDescent="0.2">
      <c r="H6334" s="180"/>
      <c r="P6334" s="180" t="s">
        <v>257</v>
      </c>
      <c r="R6334" s="180" t="s">
        <v>257</v>
      </c>
    </row>
    <row r="6335" spans="8:18" x14ac:dyDescent="0.2">
      <c r="H6335" s="180"/>
      <c r="P6335" s="180" t="s">
        <v>257</v>
      </c>
      <c r="R6335" s="180" t="s">
        <v>257</v>
      </c>
    </row>
    <row r="6336" spans="8:18" x14ac:dyDescent="0.2">
      <c r="H6336" s="180"/>
      <c r="P6336" s="180" t="s">
        <v>257</v>
      </c>
      <c r="R6336" s="180" t="s">
        <v>257</v>
      </c>
    </row>
    <row r="6337" spans="8:18" x14ac:dyDescent="0.2">
      <c r="H6337" s="180"/>
      <c r="P6337" s="180" t="s">
        <v>257</v>
      </c>
      <c r="R6337" s="180" t="s">
        <v>257</v>
      </c>
    </row>
    <row r="6338" spans="8:18" x14ac:dyDescent="0.2">
      <c r="H6338" s="180"/>
      <c r="P6338" s="180" t="s">
        <v>257</v>
      </c>
      <c r="R6338" s="180" t="s">
        <v>257</v>
      </c>
    </row>
    <row r="6339" spans="8:18" x14ac:dyDescent="0.2">
      <c r="H6339" s="180"/>
      <c r="P6339" s="180" t="s">
        <v>257</v>
      </c>
      <c r="R6339" s="180" t="s">
        <v>257</v>
      </c>
    </row>
    <row r="6340" spans="8:18" x14ac:dyDescent="0.2">
      <c r="H6340" s="180"/>
      <c r="P6340" s="180" t="s">
        <v>257</v>
      </c>
      <c r="R6340" s="180" t="s">
        <v>257</v>
      </c>
    </row>
    <row r="6341" spans="8:18" x14ac:dyDescent="0.2">
      <c r="H6341" s="180"/>
      <c r="P6341" s="180" t="s">
        <v>257</v>
      </c>
      <c r="R6341" s="180" t="s">
        <v>257</v>
      </c>
    </row>
    <row r="6342" spans="8:18" x14ac:dyDescent="0.2">
      <c r="H6342" s="180"/>
      <c r="P6342" s="180" t="s">
        <v>257</v>
      </c>
      <c r="R6342" s="180" t="s">
        <v>257</v>
      </c>
    </row>
    <row r="6343" spans="8:18" x14ac:dyDescent="0.2">
      <c r="H6343" s="180"/>
      <c r="P6343" s="180" t="s">
        <v>257</v>
      </c>
      <c r="R6343" s="180" t="s">
        <v>257</v>
      </c>
    </row>
    <row r="6344" spans="8:18" x14ac:dyDescent="0.2">
      <c r="H6344" s="180"/>
      <c r="P6344" s="180" t="s">
        <v>257</v>
      </c>
      <c r="R6344" s="180" t="s">
        <v>257</v>
      </c>
    </row>
    <row r="6345" spans="8:18" x14ac:dyDescent="0.2">
      <c r="H6345" s="180"/>
      <c r="P6345" s="180" t="s">
        <v>257</v>
      </c>
      <c r="R6345" s="180" t="s">
        <v>257</v>
      </c>
    </row>
    <row r="6346" spans="8:18" x14ac:dyDescent="0.2">
      <c r="H6346" s="180"/>
      <c r="P6346" s="180" t="s">
        <v>257</v>
      </c>
      <c r="R6346" s="180" t="s">
        <v>257</v>
      </c>
    </row>
    <row r="6347" spans="8:18" x14ac:dyDescent="0.2">
      <c r="H6347" s="180"/>
      <c r="P6347" s="180" t="s">
        <v>257</v>
      </c>
      <c r="R6347" s="180" t="s">
        <v>257</v>
      </c>
    </row>
    <row r="6348" spans="8:18" x14ac:dyDescent="0.2">
      <c r="H6348" s="180"/>
      <c r="P6348" s="180" t="s">
        <v>257</v>
      </c>
      <c r="R6348" s="180" t="s">
        <v>257</v>
      </c>
    </row>
    <row r="6349" spans="8:18" x14ac:dyDescent="0.2">
      <c r="H6349" s="180"/>
      <c r="P6349" s="180" t="s">
        <v>257</v>
      </c>
      <c r="R6349" s="180" t="s">
        <v>257</v>
      </c>
    </row>
    <row r="6350" spans="8:18" x14ac:dyDescent="0.2">
      <c r="H6350" s="180"/>
      <c r="P6350" s="180" t="s">
        <v>257</v>
      </c>
      <c r="R6350" s="180" t="s">
        <v>257</v>
      </c>
    </row>
    <row r="6351" spans="8:18" x14ac:dyDescent="0.2">
      <c r="H6351" s="180"/>
      <c r="P6351" s="180" t="s">
        <v>257</v>
      </c>
      <c r="R6351" s="180" t="s">
        <v>257</v>
      </c>
    </row>
    <row r="6352" spans="8:18" x14ac:dyDescent="0.2">
      <c r="H6352" s="180"/>
      <c r="P6352" s="180" t="s">
        <v>257</v>
      </c>
      <c r="R6352" s="180" t="s">
        <v>257</v>
      </c>
    </row>
    <row r="6353" spans="8:18" x14ac:dyDescent="0.2">
      <c r="H6353" s="180"/>
      <c r="P6353" s="180" t="s">
        <v>257</v>
      </c>
      <c r="R6353" s="180" t="s">
        <v>257</v>
      </c>
    </row>
    <row r="6354" spans="8:18" x14ac:dyDescent="0.2">
      <c r="H6354" s="180"/>
      <c r="P6354" s="180" t="s">
        <v>257</v>
      </c>
      <c r="R6354" s="180" t="s">
        <v>257</v>
      </c>
    </row>
    <row r="6355" spans="8:18" x14ac:dyDescent="0.2">
      <c r="H6355" s="180"/>
      <c r="P6355" s="180" t="s">
        <v>257</v>
      </c>
      <c r="R6355" s="180" t="s">
        <v>257</v>
      </c>
    </row>
    <row r="6356" spans="8:18" x14ac:dyDescent="0.2">
      <c r="H6356" s="180"/>
      <c r="P6356" s="180" t="s">
        <v>257</v>
      </c>
      <c r="R6356" s="180" t="s">
        <v>257</v>
      </c>
    </row>
    <row r="6357" spans="8:18" x14ac:dyDescent="0.2">
      <c r="H6357" s="180"/>
      <c r="P6357" s="180" t="s">
        <v>257</v>
      </c>
      <c r="R6357" s="180" t="s">
        <v>257</v>
      </c>
    </row>
    <row r="6358" spans="8:18" x14ac:dyDescent="0.2">
      <c r="H6358" s="180"/>
      <c r="P6358" s="180" t="s">
        <v>257</v>
      </c>
      <c r="R6358" s="180" t="s">
        <v>257</v>
      </c>
    </row>
    <row r="6359" spans="8:18" x14ac:dyDescent="0.2">
      <c r="H6359" s="180"/>
      <c r="P6359" s="180" t="s">
        <v>257</v>
      </c>
      <c r="R6359" s="180" t="s">
        <v>257</v>
      </c>
    </row>
    <row r="6360" spans="8:18" x14ac:dyDescent="0.2">
      <c r="H6360" s="180"/>
      <c r="P6360" s="180" t="s">
        <v>257</v>
      </c>
      <c r="R6360" s="180" t="s">
        <v>257</v>
      </c>
    </row>
    <row r="6361" spans="8:18" x14ac:dyDescent="0.2">
      <c r="H6361" s="180"/>
      <c r="P6361" s="180" t="s">
        <v>257</v>
      </c>
      <c r="R6361" s="180" t="s">
        <v>257</v>
      </c>
    </row>
    <row r="6362" spans="8:18" x14ac:dyDescent="0.2">
      <c r="H6362" s="180"/>
      <c r="P6362" s="180" t="s">
        <v>257</v>
      </c>
      <c r="R6362" s="180" t="s">
        <v>257</v>
      </c>
    </row>
    <row r="6363" spans="8:18" x14ac:dyDescent="0.2">
      <c r="H6363" s="180"/>
      <c r="P6363" s="180" t="s">
        <v>257</v>
      </c>
      <c r="R6363" s="180" t="s">
        <v>257</v>
      </c>
    </row>
    <row r="6364" spans="8:18" x14ac:dyDescent="0.2">
      <c r="H6364" s="180"/>
      <c r="P6364" s="180" t="s">
        <v>257</v>
      </c>
      <c r="R6364" s="180" t="s">
        <v>257</v>
      </c>
    </row>
    <row r="6365" spans="8:18" x14ac:dyDescent="0.2">
      <c r="H6365" s="180"/>
      <c r="P6365" s="180" t="s">
        <v>257</v>
      </c>
      <c r="R6365" s="180" t="s">
        <v>257</v>
      </c>
    </row>
    <row r="6366" spans="8:18" x14ac:dyDescent="0.2">
      <c r="H6366" s="180"/>
      <c r="P6366" s="180" t="s">
        <v>257</v>
      </c>
      <c r="R6366" s="180" t="s">
        <v>257</v>
      </c>
    </row>
    <row r="6367" spans="8:18" x14ac:dyDescent="0.2">
      <c r="H6367" s="180"/>
      <c r="P6367" s="180" t="s">
        <v>257</v>
      </c>
      <c r="R6367" s="180" t="s">
        <v>257</v>
      </c>
    </row>
    <row r="6368" spans="8:18" x14ac:dyDescent="0.2">
      <c r="H6368" s="180"/>
      <c r="P6368" s="180" t="s">
        <v>257</v>
      </c>
      <c r="R6368" s="180" t="s">
        <v>257</v>
      </c>
    </row>
    <row r="6369" spans="8:18" x14ac:dyDescent="0.2">
      <c r="H6369" s="180"/>
      <c r="P6369" s="180" t="s">
        <v>257</v>
      </c>
      <c r="R6369" s="180" t="s">
        <v>257</v>
      </c>
    </row>
    <row r="6370" spans="8:18" x14ac:dyDescent="0.2">
      <c r="H6370" s="180"/>
      <c r="P6370" s="180" t="s">
        <v>257</v>
      </c>
      <c r="R6370" s="180" t="s">
        <v>257</v>
      </c>
    </row>
    <row r="6371" spans="8:18" x14ac:dyDescent="0.2">
      <c r="H6371" s="180"/>
      <c r="P6371" s="180" t="s">
        <v>257</v>
      </c>
      <c r="R6371" s="180" t="s">
        <v>257</v>
      </c>
    </row>
    <row r="6372" spans="8:18" x14ac:dyDescent="0.2">
      <c r="H6372" s="180"/>
      <c r="P6372" s="180" t="s">
        <v>257</v>
      </c>
      <c r="R6372" s="180" t="s">
        <v>257</v>
      </c>
    </row>
    <row r="6373" spans="8:18" x14ac:dyDescent="0.2">
      <c r="H6373" s="180"/>
      <c r="P6373" s="180" t="s">
        <v>257</v>
      </c>
      <c r="R6373" s="180" t="s">
        <v>257</v>
      </c>
    </row>
    <row r="6374" spans="8:18" x14ac:dyDescent="0.2">
      <c r="H6374" s="180"/>
      <c r="P6374" s="180" t="s">
        <v>257</v>
      </c>
      <c r="R6374" s="180" t="s">
        <v>257</v>
      </c>
    </row>
    <row r="6375" spans="8:18" x14ac:dyDescent="0.2">
      <c r="H6375" s="180"/>
      <c r="P6375" s="180" t="s">
        <v>257</v>
      </c>
      <c r="R6375" s="180" t="s">
        <v>257</v>
      </c>
    </row>
    <row r="6376" spans="8:18" x14ac:dyDescent="0.2">
      <c r="H6376" s="180"/>
      <c r="P6376" s="180" t="s">
        <v>257</v>
      </c>
      <c r="R6376" s="180" t="s">
        <v>257</v>
      </c>
    </row>
    <row r="6377" spans="8:18" x14ac:dyDescent="0.2">
      <c r="H6377" s="180"/>
      <c r="P6377" s="180" t="s">
        <v>257</v>
      </c>
      <c r="R6377" s="180" t="s">
        <v>257</v>
      </c>
    </row>
    <row r="6378" spans="8:18" x14ac:dyDescent="0.2">
      <c r="H6378" s="180"/>
      <c r="P6378" s="180" t="s">
        <v>257</v>
      </c>
      <c r="R6378" s="180" t="s">
        <v>257</v>
      </c>
    </row>
    <row r="6379" spans="8:18" x14ac:dyDescent="0.2">
      <c r="H6379" s="180"/>
      <c r="P6379" s="180" t="s">
        <v>257</v>
      </c>
      <c r="R6379" s="180" t="s">
        <v>257</v>
      </c>
    </row>
    <row r="6380" spans="8:18" x14ac:dyDescent="0.2">
      <c r="H6380" s="180"/>
      <c r="P6380" s="180" t="s">
        <v>257</v>
      </c>
      <c r="R6380" s="180" t="s">
        <v>257</v>
      </c>
    </row>
    <row r="6381" spans="8:18" x14ac:dyDescent="0.2">
      <c r="H6381" s="180"/>
      <c r="P6381" s="180" t="s">
        <v>257</v>
      </c>
      <c r="R6381" s="180" t="s">
        <v>257</v>
      </c>
    </row>
    <row r="6382" spans="8:18" x14ac:dyDescent="0.2">
      <c r="H6382" s="180"/>
      <c r="P6382" s="180" t="s">
        <v>257</v>
      </c>
      <c r="R6382" s="180" t="s">
        <v>257</v>
      </c>
    </row>
    <row r="6383" spans="8:18" x14ac:dyDescent="0.2">
      <c r="H6383" s="180"/>
      <c r="P6383" s="180" t="s">
        <v>257</v>
      </c>
      <c r="R6383" s="180" t="s">
        <v>257</v>
      </c>
    </row>
    <row r="6384" spans="8:18" x14ac:dyDescent="0.2">
      <c r="H6384" s="180"/>
      <c r="P6384" s="180" t="s">
        <v>257</v>
      </c>
      <c r="R6384" s="180" t="s">
        <v>257</v>
      </c>
    </row>
    <row r="6385" spans="8:18" x14ac:dyDescent="0.2">
      <c r="H6385" s="180"/>
      <c r="P6385" s="180" t="s">
        <v>257</v>
      </c>
      <c r="R6385" s="180" t="s">
        <v>257</v>
      </c>
    </row>
    <row r="6386" spans="8:18" x14ac:dyDescent="0.2">
      <c r="H6386" s="180"/>
      <c r="P6386" s="180" t="s">
        <v>257</v>
      </c>
      <c r="R6386" s="180" t="s">
        <v>257</v>
      </c>
    </row>
    <row r="6387" spans="8:18" x14ac:dyDescent="0.2">
      <c r="H6387" s="180"/>
      <c r="P6387" s="180" t="s">
        <v>257</v>
      </c>
      <c r="R6387" s="180" t="s">
        <v>257</v>
      </c>
    </row>
    <row r="6388" spans="8:18" x14ac:dyDescent="0.2">
      <c r="H6388" s="180"/>
      <c r="P6388" s="180" t="s">
        <v>257</v>
      </c>
      <c r="R6388" s="180" t="s">
        <v>257</v>
      </c>
    </row>
    <row r="6389" spans="8:18" x14ac:dyDescent="0.2">
      <c r="H6389" s="180"/>
      <c r="P6389" s="180" t="s">
        <v>257</v>
      </c>
      <c r="R6389" s="180" t="s">
        <v>257</v>
      </c>
    </row>
    <row r="6390" spans="8:18" x14ac:dyDescent="0.2">
      <c r="H6390" s="180"/>
      <c r="P6390" s="180" t="s">
        <v>257</v>
      </c>
      <c r="R6390" s="180" t="s">
        <v>257</v>
      </c>
    </row>
    <row r="6391" spans="8:18" x14ac:dyDescent="0.2">
      <c r="H6391" s="180"/>
      <c r="P6391" s="180" t="s">
        <v>257</v>
      </c>
      <c r="R6391" s="180" t="s">
        <v>257</v>
      </c>
    </row>
    <row r="6392" spans="8:18" x14ac:dyDescent="0.2">
      <c r="H6392" s="180"/>
      <c r="P6392" s="180" t="s">
        <v>257</v>
      </c>
      <c r="R6392" s="180" t="s">
        <v>257</v>
      </c>
    </row>
    <row r="6393" spans="8:18" x14ac:dyDescent="0.2">
      <c r="H6393" s="180"/>
      <c r="P6393" s="180" t="s">
        <v>257</v>
      </c>
      <c r="R6393" s="180" t="s">
        <v>257</v>
      </c>
    </row>
    <row r="6394" spans="8:18" x14ac:dyDescent="0.2">
      <c r="H6394" s="180"/>
      <c r="P6394" s="180" t="s">
        <v>257</v>
      </c>
      <c r="R6394" s="180" t="s">
        <v>257</v>
      </c>
    </row>
    <row r="6395" spans="8:18" x14ac:dyDescent="0.2">
      <c r="H6395" s="180"/>
      <c r="P6395" s="180" t="s">
        <v>257</v>
      </c>
      <c r="R6395" s="180" t="s">
        <v>257</v>
      </c>
    </row>
    <row r="6396" spans="8:18" x14ac:dyDescent="0.2">
      <c r="H6396" s="180"/>
      <c r="P6396" s="180" t="s">
        <v>257</v>
      </c>
      <c r="R6396" s="180" t="s">
        <v>257</v>
      </c>
    </row>
    <row r="6397" spans="8:18" x14ac:dyDescent="0.2">
      <c r="H6397" s="180"/>
      <c r="P6397" s="180" t="s">
        <v>257</v>
      </c>
      <c r="R6397" s="180" t="s">
        <v>257</v>
      </c>
    </row>
    <row r="6398" spans="8:18" x14ac:dyDescent="0.2">
      <c r="H6398" s="180"/>
      <c r="P6398" s="180" t="s">
        <v>257</v>
      </c>
      <c r="R6398" s="180" t="s">
        <v>257</v>
      </c>
    </row>
    <row r="6399" spans="8:18" x14ac:dyDescent="0.2">
      <c r="H6399" s="180"/>
      <c r="P6399" s="180" t="s">
        <v>257</v>
      </c>
      <c r="R6399" s="180" t="s">
        <v>257</v>
      </c>
    </row>
    <row r="6400" spans="8:18" x14ac:dyDescent="0.2">
      <c r="H6400" s="180"/>
      <c r="P6400" s="180" t="s">
        <v>257</v>
      </c>
      <c r="R6400" s="180" t="s">
        <v>257</v>
      </c>
    </row>
    <row r="6401" spans="8:18" x14ac:dyDescent="0.2">
      <c r="H6401" s="180"/>
      <c r="P6401" s="180" t="s">
        <v>257</v>
      </c>
      <c r="R6401" s="180" t="s">
        <v>257</v>
      </c>
    </row>
    <row r="6402" spans="8:18" x14ac:dyDescent="0.2">
      <c r="H6402" s="180"/>
      <c r="P6402" s="180" t="s">
        <v>257</v>
      </c>
      <c r="R6402" s="180" t="s">
        <v>257</v>
      </c>
    </row>
    <row r="6403" spans="8:18" x14ac:dyDescent="0.2">
      <c r="H6403" s="180"/>
      <c r="P6403" s="180" t="s">
        <v>257</v>
      </c>
      <c r="R6403" s="180" t="s">
        <v>257</v>
      </c>
    </row>
    <row r="6404" spans="8:18" x14ac:dyDescent="0.2">
      <c r="H6404" s="180"/>
      <c r="P6404" s="180" t="s">
        <v>257</v>
      </c>
      <c r="R6404" s="180" t="s">
        <v>257</v>
      </c>
    </row>
    <row r="6405" spans="8:18" x14ac:dyDescent="0.2">
      <c r="H6405" s="180"/>
      <c r="P6405" s="180" t="s">
        <v>257</v>
      </c>
      <c r="R6405" s="180" t="s">
        <v>257</v>
      </c>
    </row>
    <row r="6406" spans="8:18" x14ac:dyDescent="0.2">
      <c r="H6406" s="180"/>
      <c r="P6406" s="180" t="s">
        <v>257</v>
      </c>
      <c r="R6406" s="180" t="s">
        <v>257</v>
      </c>
    </row>
    <row r="6407" spans="8:18" x14ac:dyDescent="0.2">
      <c r="H6407" s="180"/>
      <c r="P6407" s="180" t="s">
        <v>257</v>
      </c>
      <c r="R6407" s="180" t="s">
        <v>257</v>
      </c>
    </row>
    <row r="6408" spans="8:18" x14ac:dyDescent="0.2">
      <c r="H6408" s="180"/>
      <c r="P6408" s="180" t="s">
        <v>257</v>
      </c>
      <c r="R6408" s="180" t="s">
        <v>257</v>
      </c>
    </row>
    <row r="6409" spans="8:18" x14ac:dyDescent="0.2">
      <c r="H6409" s="180"/>
      <c r="P6409" s="180" t="s">
        <v>257</v>
      </c>
      <c r="R6409" s="180" t="s">
        <v>257</v>
      </c>
    </row>
    <row r="6410" spans="8:18" x14ac:dyDescent="0.2">
      <c r="H6410" s="180"/>
      <c r="P6410" s="180" t="s">
        <v>257</v>
      </c>
      <c r="R6410" s="180" t="s">
        <v>257</v>
      </c>
    </row>
    <row r="6411" spans="8:18" x14ac:dyDescent="0.2">
      <c r="H6411" s="180"/>
      <c r="P6411" s="180" t="s">
        <v>257</v>
      </c>
      <c r="R6411" s="180" t="s">
        <v>257</v>
      </c>
    </row>
    <row r="6412" spans="8:18" x14ac:dyDescent="0.2">
      <c r="H6412" s="180"/>
      <c r="P6412" s="180" t="s">
        <v>257</v>
      </c>
      <c r="R6412" s="180" t="s">
        <v>257</v>
      </c>
    </row>
    <row r="6413" spans="8:18" x14ac:dyDescent="0.2">
      <c r="H6413" s="180"/>
      <c r="P6413" s="180" t="s">
        <v>257</v>
      </c>
      <c r="R6413" s="180" t="s">
        <v>257</v>
      </c>
    </row>
    <row r="6414" spans="8:18" x14ac:dyDescent="0.2">
      <c r="H6414" s="180"/>
      <c r="P6414" s="180" t="s">
        <v>257</v>
      </c>
      <c r="R6414" s="180" t="s">
        <v>257</v>
      </c>
    </row>
    <row r="6415" spans="8:18" x14ac:dyDescent="0.2">
      <c r="H6415" s="180"/>
      <c r="P6415" s="180" t="s">
        <v>257</v>
      </c>
      <c r="R6415" s="180" t="s">
        <v>257</v>
      </c>
    </row>
    <row r="6416" spans="8:18" x14ac:dyDescent="0.2">
      <c r="H6416" s="180"/>
      <c r="P6416" s="180" t="s">
        <v>257</v>
      </c>
      <c r="R6416" s="180" t="s">
        <v>257</v>
      </c>
    </row>
    <row r="6417" spans="8:18" x14ac:dyDescent="0.2">
      <c r="H6417" s="180"/>
      <c r="P6417" s="180" t="s">
        <v>257</v>
      </c>
      <c r="R6417" s="180" t="s">
        <v>257</v>
      </c>
    </row>
    <row r="6418" spans="8:18" x14ac:dyDescent="0.2">
      <c r="H6418" s="180"/>
      <c r="P6418" s="180" t="s">
        <v>257</v>
      </c>
      <c r="R6418" s="180" t="s">
        <v>257</v>
      </c>
    </row>
    <row r="6419" spans="8:18" x14ac:dyDescent="0.2">
      <c r="H6419" s="180"/>
      <c r="P6419" s="180" t="s">
        <v>257</v>
      </c>
      <c r="R6419" s="180" t="s">
        <v>257</v>
      </c>
    </row>
    <row r="6420" spans="8:18" x14ac:dyDescent="0.2">
      <c r="H6420" s="180"/>
      <c r="P6420" s="180" t="s">
        <v>257</v>
      </c>
      <c r="R6420" s="180" t="s">
        <v>257</v>
      </c>
    </row>
    <row r="6421" spans="8:18" x14ac:dyDescent="0.2">
      <c r="H6421" s="180"/>
      <c r="P6421" s="180" t="s">
        <v>257</v>
      </c>
      <c r="R6421" s="180" t="s">
        <v>257</v>
      </c>
    </row>
    <row r="6422" spans="8:18" x14ac:dyDescent="0.2">
      <c r="H6422" s="180"/>
      <c r="P6422" s="180" t="s">
        <v>257</v>
      </c>
      <c r="R6422" s="180" t="s">
        <v>257</v>
      </c>
    </row>
    <row r="6423" spans="8:18" x14ac:dyDescent="0.2">
      <c r="H6423" s="180"/>
      <c r="P6423" s="180" t="s">
        <v>257</v>
      </c>
      <c r="R6423" s="180" t="s">
        <v>257</v>
      </c>
    </row>
    <row r="6424" spans="8:18" x14ac:dyDescent="0.2">
      <c r="H6424" s="180"/>
      <c r="P6424" s="180" t="s">
        <v>257</v>
      </c>
      <c r="R6424" s="180" t="s">
        <v>257</v>
      </c>
    </row>
    <row r="6425" spans="8:18" x14ac:dyDescent="0.2">
      <c r="H6425" s="180"/>
      <c r="P6425" s="180" t="s">
        <v>257</v>
      </c>
      <c r="R6425" s="180" t="s">
        <v>257</v>
      </c>
    </row>
    <row r="6426" spans="8:18" x14ac:dyDescent="0.2">
      <c r="H6426" s="180"/>
      <c r="P6426" s="180" t="s">
        <v>257</v>
      </c>
      <c r="R6426" s="180" t="s">
        <v>257</v>
      </c>
    </row>
    <row r="6427" spans="8:18" x14ac:dyDescent="0.2">
      <c r="H6427" s="180"/>
      <c r="P6427" s="180" t="s">
        <v>257</v>
      </c>
      <c r="R6427" s="180" t="s">
        <v>257</v>
      </c>
    </row>
    <row r="6428" spans="8:18" x14ac:dyDescent="0.2">
      <c r="H6428" s="180"/>
      <c r="P6428" s="180" t="s">
        <v>257</v>
      </c>
      <c r="R6428" s="180" t="s">
        <v>257</v>
      </c>
    </row>
    <row r="6429" spans="8:18" x14ac:dyDescent="0.2">
      <c r="H6429" s="180"/>
      <c r="P6429" s="180" t="s">
        <v>257</v>
      </c>
      <c r="R6429" s="180" t="s">
        <v>257</v>
      </c>
    </row>
    <row r="6430" spans="8:18" x14ac:dyDescent="0.2">
      <c r="H6430" s="180"/>
      <c r="P6430" s="180" t="s">
        <v>257</v>
      </c>
      <c r="R6430" s="180" t="s">
        <v>257</v>
      </c>
    </row>
    <row r="6431" spans="8:18" x14ac:dyDescent="0.2">
      <c r="H6431" s="180"/>
      <c r="P6431" s="180" t="s">
        <v>257</v>
      </c>
      <c r="R6431" s="180" t="s">
        <v>257</v>
      </c>
    </row>
    <row r="6432" spans="8:18" x14ac:dyDescent="0.2">
      <c r="H6432" s="180"/>
      <c r="P6432" s="180" t="s">
        <v>257</v>
      </c>
      <c r="R6432" s="180" t="s">
        <v>257</v>
      </c>
    </row>
    <row r="6433" spans="8:18" x14ac:dyDescent="0.2">
      <c r="H6433" s="180"/>
      <c r="P6433" s="180" t="s">
        <v>257</v>
      </c>
      <c r="R6433" s="180" t="s">
        <v>257</v>
      </c>
    </row>
    <row r="6434" spans="8:18" x14ac:dyDescent="0.2">
      <c r="H6434" s="180"/>
      <c r="P6434" s="180" t="s">
        <v>257</v>
      </c>
      <c r="R6434" s="180" t="s">
        <v>257</v>
      </c>
    </row>
    <row r="6435" spans="8:18" x14ac:dyDescent="0.2">
      <c r="H6435" s="180"/>
      <c r="P6435" s="180" t="s">
        <v>257</v>
      </c>
      <c r="R6435" s="180" t="s">
        <v>257</v>
      </c>
    </row>
    <row r="6436" spans="8:18" x14ac:dyDescent="0.2">
      <c r="H6436" s="180"/>
      <c r="P6436" s="180" t="s">
        <v>257</v>
      </c>
      <c r="R6436" s="180" t="s">
        <v>257</v>
      </c>
    </row>
    <row r="6437" spans="8:18" x14ac:dyDescent="0.2">
      <c r="H6437" s="180"/>
      <c r="P6437" s="180" t="s">
        <v>257</v>
      </c>
      <c r="R6437" s="180" t="s">
        <v>257</v>
      </c>
    </row>
    <row r="6438" spans="8:18" x14ac:dyDescent="0.2">
      <c r="H6438" s="180"/>
      <c r="P6438" s="180" t="s">
        <v>257</v>
      </c>
      <c r="R6438" s="180" t="s">
        <v>257</v>
      </c>
    </row>
    <row r="6439" spans="8:18" x14ac:dyDescent="0.2">
      <c r="H6439" s="180"/>
      <c r="P6439" s="180" t="s">
        <v>257</v>
      </c>
      <c r="R6439" s="180" t="s">
        <v>257</v>
      </c>
    </row>
    <row r="6440" spans="8:18" x14ac:dyDescent="0.2">
      <c r="H6440" s="180"/>
      <c r="P6440" s="180" t="s">
        <v>257</v>
      </c>
      <c r="R6440" s="180" t="s">
        <v>257</v>
      </c>
    </row>
    <row r="6441" spans="8:18" x14ac:dyDescent="0.2">
      <c r="H6441" s="180"/>
      <c r="P6441" s="180" t="s">
        <v>257</v>
      </c>
      <c r="R6441" s="180" t="s">
        <v>257</v>
      </c>
    </row>
    <row r="6442" spans="8:18" x14ac:dyDescent="0.2">
      <c r="H6442" s="180"/>
      <c r="P6442" s="180" t="s">
        <v>257</v>
      </c>
      <c r="R6442" s="180" t="s">
        <v>257</v>
      </c>
    </row>
    <row r="6443" spans="8:18" x14ac:dyDescent="0.2">
      <c r="H6443" s="180"/>
      <c r="P6443" s="180" t="s">
        <v>257</v>
      </c>
      <c r="R6443" s="180" t="s">
        <v>257</v>
      </c>
    </row>
    <row r="6444" spans="8:18" x14ac:dyDescent="0.2">
      <c r="H6444" s="180"/>
      <c r="P6444" s="180" t="s">
        <v>257</v>
      </c>
      <c r="R6444" s="180" t="s">
        <v>257</v>
      </c>
    </row>
    <row r="6445" spans="8:18" x14ac:dyDescent="0.2">
      <c r="H6445" s="180"/>
      <c r="P6445" s="180" t="s">
        <v>257</v>
      </c>
      <c r="R6445" s="180" t="s">
        <v>257</v>
      </c>
    </row>
    <row r="6446" spans="8:18" x14ac:dyDescent="0.2">
      <c r="H6446" s="180"/>
      <c r="P6446" s="180" t="s">
        <v>257</v>
      </c>
      <c r="R6446" s="180" t="s">
        <v>257</v>
      </c>
    </row>
    <row r="6447" spans="8:18" x14ac:dyDescent="0.2">
      <c r="H6447" s="180"/>
      <c r="P6447" s="180" t="s">
        <v>257</v>
      </c>
      <c r="R6447" s="180" t="s">
        <v>257</v>
      </c>
    </row>
    <row r="6448" spans="8:18" x14ac:dyDescent="0.2">
      <c r="H6448" s="180"/>
      <c r="P6448" s="180" t="s">
        <v>257</v>
      </c>
      <c r="R6448" s="180" t="s">
        <v>257</v>
      </c>
    </row>
    <row r="6449" spans="8:18" x14ac:dyDescent="0.2">
      <c r="H6449" s="180"/>
      <c r="P6449" s="180" t="s">
        <v>257</v>
      </c>
      <c r="R6449" s="180" t="s">
        <v>257</v>
      </c>
    </row>
    <row r="6450" spans="8:18" x14ac:dyDescent="0.2">
      <c r="H6450" s="180"/>
      <c r="P6450" s="180" t="s">
        <v>257</v>
      </c>
      <c r="R6450" s="180" t="s">
        <v>257</v>
      </c>
    </row>
    <row r="6451" spans="8:18" x14ac:dyDescent="0.2">
      <c r="H6451" s="180"/>
      <c r="P6451" s="180" t="s">
        <v>257</v>
      </c>
      <c r="R6451" s="180" t="s">
        <v>257</v>
      </c>
    </row>
    <row r="6452" spans="8:18" x14ac:dyDescent="0.2">
      <c r="H6452" s="180"/>
      <c r="P6452" s="180" t="s">
        <v>257</v>
      </c>
      <c r="R6452" s="180" t="s">
        <v>257</v>
      </c>
    </row>
    <row r="6453" spans="8:18" x14ac:dyDescent="0.2">
      <c r="H6453" s="180"/>
      <c r="P6453" s="180" t="s">
        <v>257</v>
      </c>
      <c r="R6453" s="180" t="s">
        <v>257</v>
      </c>
    </row>
    <row r="6454" spans="8:18" x14ac:dyDescent="0.2">
      <c r="H6454" s="180"/>
      <c r="P6454" s="180" t="s">
        <v>257</v>
      </c>
      <c r="R6454" s="180" t="s">
        <v>257</v>
      </c>
    </row>
    <row r="6455" spans="8:18" x14ac:dyDescent="0.2">
      <c r="H6455" s="180"/>
      <c r="P6455" s="180" t="s">
        <v>257</v>
      </c>
      <c r="R6455" s="180" t="s">
        <v>257</v>
      </c>
    </row>
    <row r="6456" spans="8:18" x14ac:dyDescent="0.2">
      <c r="H6456" s="180"/>
      <c r="P6456" s="180" t="s">
        <v>257</v>
      </c>
      <c r="R6456" s="180" t="s">
        <v>257</v>
      </c>
    </row>
    <row r="6457" spans="8:18" x14ac:dyDescent="0.2">
      <c r="H6457" s="180"/>
      <c r="P6457" s="180" t="s">
        <v>257</v>
      </c>
      <c r="R6457" s="180" t="s">
        <v>257</v>
      </c>
    </row>
    <row r="6458" spans="8:18" x14ac:dyDescent="0.2">
      <c r="H6458" s="180"/>
      <c r="P6458" s="180" t="s">
        <v>257</v>
      </c>
      <c r="R6458" s="180" t="s">
        <v>257</v>
      </c>
    </row>
    <row r="6459" spans="8:18" x14ac:dyDescent="0.2">
      <c r="H6459" s="180"/>
      <c r="P6459" s="180" t="s">
        <v>257</v>
      </c>
      <c r="R6459" s="180" t="s">
        <v>257</v>
      </c>
    </row>
    <row r="6460" spans="8:18" x14ac:dyDescent="0.2">
      <c r="H6460" s="180"/>
      <c r="P6460" s="180" t="s">
        <v>257</v>
      </c>
      <c r="R6460" s="180" t="s">
        <v>257</v>
      </c>
    </row>
    <row r="6461" spans="8:18" x14ac:dyDescent="0.2">
      <c r="H6461" s="180"/>
      <c r="P6461" s="180" t="s">
        <v>257</v>
      </c>
      <c r="R6461" s="180" t="s">
        <v>257</v>
      </c>
    </row>
    <row r="6462" spans="8:18" x14ac:dyDescent="0.2">
      <c r="H6462" s="180"/>
      <c r="P6462" s="180" t="s">
        <v>257</v>
      </c>
      <c r="R6462" s="180" t="s">
        <v>257</v>
      </c>
    </row>
    <row r="6463" spans="8:18" x14ac:dyDescent="0.2">
      <c r="H6463" s="180"/>
      <c r="P6463" s="180" t="s">
        <v>257</v>
      </c>
      <c r="R6463" s="180" t="s">
        <v>257</v>
      </c>
    </row>
    <row r="6464" spans="8:18" x14ac:dyDescent="0.2">
      <c r="H6464" s="180"/>
      <c r="P6464" s="180" t="s">
        <v>257</v>
      </c>
      <c r="R6464" s="180" t="s">
        <v>257</v>
      </c>
    </row>
    <row r="6465" spans="8:18" x14ac:dyDescent="0.2">
      <c r="H6465" s="180"/>
      <c r="P6465" s="180" t="s">
        <v>257</v>
      </c>
      <c r="R6465" s="180" t="s">
        <v>257</v>
      </c>
    </row>
    <row r="6466" spans="8:18" x14ac:dyDescent="0.2">
      <c r="H6466" s="180"/>
      <c r="P6466" s="180" t="s">
        <v>257</v>
      </c>
      <c r="R6466" s="180" t="s">
        <v>257</v>
      </c>
    </row>
    <row r="6467" spans="8:18" x14ac:dyDescent="0.2">
      <c r="H6467" s="180"/>
      <c r="P6467" s="180" t="s">
        <v>257</v>
      </c>
      <c r="R6467" s="180" t="s">
        <v>257</v>
      </c>
    </row>
    <row r="6468" spans="8:18" x14ac:dyDescent="0.2">
      <c r="H6468" s="180"/>
      <c r="P6468" s="180" t="s">
        <v>257</v>
      </c>
      <c r="R6468" s="180" t="s">
        <v>257</v>
      </c>
    </row>
    <row r="6469" spans="8:18" x14ac:dyDescent="0.2">
      <c r="H6469" s="180"/>
      <c r="P6469" s="180" t="s">
        <v>257</v>
      </c>
      <c r="R6469" s="180" t="s">
        <v>257</v>
      </c>
    </row>
    <row r="6470" spans="8:18" x14ac:dyDescent="0.2">
      <c r="H6470" s="180"/>
      <c r="P6470" s="180" t="s">
        <v>257</v>
      </c>
      <c r="R6470" s="180" t="s">
        <v>257</v>
      </c>
    </row>
    <row r="6471" spans="8:18" x14ac:dyDescent="0.2">
      <c r="H6471" s="180"/>
      <c r="P6471" s="180" t="s">
        <v>257</v>
      </c>
      <c r="R6471" s="180" t="s">
        <v>257</v>
      </c>
    </row>
    <row r="6472" spans="8:18" x14ac:dyDescent="0.2">
      <c r="H6472" s="180"/>
      <c r="P6472" s="180" t="s">
        <v>257</v>
      </c>
      <c r="R6472" s="180" t="s">
        <v>257</v>
      </c>
    </row>
    <row r="6473" spans="8:18" x14ac:dyDescent="0.2">
      <c r="H6473" s="180"/>
      <c r="P6473" s="180" t="s">
        <v>257</v>
      </c>
      <c r="R6473" s="180" t="s">
        <v>257</v>
      </c>
    </row>
    <row r="6474" spans="8:18" x14ac:dyDescent="0.2">
      <c r="H6474" s="180"/>
      <c r="P6474" s="180" t="s">
        <v>257</v>
      </c>
      <c r="R6474" s="180" t="s">
        <v>257</v>
      </c>
    </row>
    <row r="6475" spans="8:18" x14ac:dyDescent="0.2">
      <c r="H6475" s="180"/>
      <c r="P6475" s="180" t="s">
        <v>257</v>
      </c>
      <c r="R6475" s="180" t="s">
        <v>257</v>
      </c>
    </row>
    <row r="6476" spans="8:18" x14ac:dyDescent="0.2">
      <c r="H6476" s="180"/>
      <c r="P6476" s="180" t="s">
        <v>257</v>
      </c>
      <c r="R6476" s="180" t="s">
        <v>257</v>
      </c>
    </row>
    <row r="6477" spans="8:18" x14ac:dyDescent="0.2">
      <c r="H6477" s="180"/>
      <c r="P6477" s="180" t="s">
        <v>257</v>
      </c>
      <c r="R6477" s="180" t="s">
        <v>257</v>
      </c>
    </row>
    <row r="6478" spans="8:18" x14ac:dyDescent="0.2">
      <c r="H6478" s="180"/>
      <c r="P6478" s="180" t="s">
        <v>257</v>
      </c>
      <c r="R6478" s="180" t="s">
        <v>257</v>
      </c>
    </row>
    <row r="6479" spans="8:18" x14ac:dyDescent="0.2">
      <c r="H6479" s="180"/>
      <c r="P6479" s="180" t="s">
        <v>257</v>
      </c>
      <c r="R6479" s="180" t="s">
        <v>257</v>
      </c>
    </row>
    <row r="6480" spans="8:18" x14ac:dyDescent="0.2">
      <c r="H6480" s="180"/>
      <c r="P6480" s="180" t="s">
        <v>257</v>
      </c>
      <c r="R6480" s="180" t="s">
        <v>257</v>
      </c>
    </row>
    <row r="6481" spans="8:18" x14ac:dyDescent="0.2">
      <c r="H6481" s="180"/>
      <c r="P6481" s="180" t="s">
        <v>257</v>
      </c>
      <c r="R6481" s="180" t="s">
        <v>257</v>
      </c>
    </row>
    <row r="6482" spans="8:18" x14ac:dyDescent="0.2">
      <c r="H6482" s="180"/>
      <c r="P6482" s="180" t="s">
        <v>257</v>
      </c>
      <c r="R6482" s="180" t="s">
        <v>257</v>
      </c>
    </row>
    <row r="6483" spans="8:18" x14ac:dyDescent="0.2">
      <c r="H6483" s="180"/>
      <c r="P6483" s="180" t="s">
        <v>257</v>
      </c>
      <c r="R6483" s="180" t="s">
        <v>257</v>
      </c>
    </row>
    <row r="6484" spans="8:18" x14ac:dyDescent="0.2">
      <c r="H6484" s="180"/>
      <c r="P6484" s="180" t="s">
        <v>257</v>
      </c>
      <c r="R6484" s="180" t="s">
        <v>257</v>
      </c>
    </row>
    <row r="6485" spans="8:18" x14ac:dyDescent="0.2">
      <c r="H6485" s="180"/>
      <c r="P6485" s="180" t="s">
        <v>257</v>
      </c>
      <c r="R6485" s="180" t="s">
        <v>257</v>
      </c>
    </row>
    <row r="6486" spans="8:18" x14ac:dyDescent="0.2">
      <c r="H6486" s="180"/>
      <c r="P6486" s="180" t="s">
        <v>257</v>
      </c>
      <c r="R6486" s="180" t="s">
        <v>257</v>
      </c>
    </row>
    <row r="6487" spans="8:18" x14ac:dyDescent="0.2">
      <c r="H6487" s="180"/>
      <c r="P6487" s="180" t="s">
        <v>257</v>
      </c>
      <c r="R6487" s="180" t="s">
        <v>257</v>
      </c>
    </row>
    <row r="6488" spans="8:18" x14ac:dyDescent="0.2">
      <c r="H6488" s="180"/>
      <c r="P6488" s="180" t="s">
        <v>257</v>
      </c>
      <c r="R6488" s="180" t="s">
        <v>257</v>
      </c>
    </row>
    <row r="6489" spans="8:18" x14ac:dyDescent="0.2">
      <c r="H6489" s="180"/>
      <c r="P6489" s="180" t="s">
        <v>257</v>
      </c>
      <c r="R6489" s="180" t="s">
        <v>257</v>
      </c>
    </row>
    <row r="6490" spans="8:18" x14ac:dyDescent="0.2">
      <c r="H6490" s="180"/>
      <c r="P6490" s="180" t="s">
        <v>257</v>
      </c>
      <c r="R6490" s="180" t="s">
        <v>257</v>
      </c>
    </row>
    <row r="6491" spans="8:18" x14ac:dyDescent="0.2">
      <c r="H6491" s="180"/>
      <c r="P6491" s="180" t="s">
        <v>257</v>
      </c>
      <c r="R6491" s="180" t="s">
        <v>257</v>
      </c>
    </row>
    <row r="6492" spans="8:18" x14ac:dyDescent="0.2">
      <c r="H6492" s="180"/>
      <c r="P6492" s="180" t="s">
        <v>257</v>
      </c>
      <c r="R6492" s="180" t="s">
        <v>257</v>
      </c>
    </row>
    <row r="6493" spans="8:18" x14ac:dyDescent="0.2">
      <c r="H6493" s="180"/>
      <c r="P6493" s="180" t="s">
        <v>257</v>
      </c>
      <c r="R6493" s="180" t="s">
        <v>257</v>
      </c>
    </row>
    <row r="6494" spans="8:18" x14ac:dyDescent="0.2">
      <c r="H6494" s="180"/>
      <c r="P6494" s="180" t="s">
        <v>257</v>
      </c>
      <c r="R6494" s="180" t="s">
        <v>257</v>
      </c>
    </row>
    <row r="6495" spans="8:18" x14ac:dyDescent="0.2">
      <c r="H6495" s="180"/>
      <c r="P6495" s="180" t="s">
        <v>257</v>
      </c>
      <c r="R6495" s="180" t="s">
        <v>257</v>
      </c>
    </row>
    <row r="6496" spans="8:18" x14ac:dyDescent="0.2">
      <c r="H6496" s="180"/>
      <c r="P6496" s="180" t="s">
        <v>257</v>
      </c>
      <c r="R6496" s="180" t="s">
        <v>257</v>
      </c>
    </row>
    <row r="6497" spans="8:18" x14ac:dyDescent="0.2">
      <c r="H6497" s="180"/>
      <c r="P6497" s="180" t="s">
        <v>257</v>
      </c>
      <c r="R6497" s="180" t="s">
        <v>257</v>
      </c>
    </row>
    <row r="6498" spans="8:18" x14ac:dyDescent="0.2">
      <c r="H6498" s="180"/>
      <c r="P6498" s="180" t="s">
        <v>257</v>
      </c>
      <c r="R6498" s="180" t="s">
        <v>257</v>
      </c>
    </row>
    <row r="6499" spans="8:18" x14ac:dyDescent="0.2">
      <c r="H6499" s="180"/>
      <c r="P6499" s="180" t="s">
        <v>257</v>
      </c>
      <c r="R6499" s="180" t="s">
        <v>257</v>
      </c>
    </row>
    <row r="6500" spans="8:18" x14ac:dyDescent="0.2">
      <c r="H6500" s="180"/>
      <c r="P6500" s="180" t="s">
        <v>257</v>
      </c>
      <c r="R6500" s="180" t="s">
        <v>257</v>
      </c>
    </row>
    <row r="6501" spans="8:18" x14ac:dyDescent="0.2">
      <c r="H6501" s="180"/>
      <c r="P6501" s="180" t="s">
        <v>257</v>
      </c>
      <c r="R6501" s="180" t="s">
        <v>257</v>
      </c>
    </row>
    <row r="6502" spans="8:18" x14ac:dyDescent="0.2">
      <c r="H6502" s="180"/>
      <c r="P6502" s="180" t="s">
        <v>257</v>
      </c>
      <c r="R6502" s="180" t="s">
        <v>257</v>
      </c>
    </row>
    <row r="6503" spans="8:18" x14ac:dyDescent="0.2">
      <c r="H6503" s="180"/>
      <c r="P6503" s="180" t="s">
        <v>257</v>
      </c>
      <c r="R6503" s="180" t="s">
        <v>257</v>
      </c>
    </row>
    <row r="6504" spans="8:18" x14ac:dyDescent="0.2">
      <c r="H6504" s="180"/>
      <c r="P6504" s="180" t="s">
        <v>257</v>
      </c>
      <c r="R6504" s="180" t="s">
        <v>257</v>
      </c>
    </row>
    <row r="6505" spans="8:18" x14ac:dyDescent="0.2">
      <c r="H6505" s="180"/>
      <c r="P6505" s="180" t="s">
        <v>257</v>
      </c>
      <c r="R6505" s="180" t="s">
        <v>257</v>
      </c>
    </row>
    <row r="6506" spans="8:18" x14ac:dyDescent="0.2">
      <c r="H6506" s="180"/>
      <c r="P6506" s="180" t="s">
        <v>257</v>
      </c>
      <c r="R6506" s="180" t="s">
        <v>257</v>
      </c>
    </row>
    <row r="6507" spans="8:18" x14ac:dyDescent="0.2">
      <c r="H6507" s="180"/>
      <c r="P6507" s="180" t="s">
        <v>257</v>
      </c>
      <c r="R6507" s="180" t="s">
        <v>257</v>
      </c>
    </row>
    <row r="6508" spans="8:18" x14ac:dyDescent="0.2">
      <c r="H6508" s="180"/>
      <c r="P6508" s="180" t="s">
        <v>257</v>
      </c>
      <c r="R6508" s="180" t="s">
        <v>257</v>
      </c>
    </row>
    <row r="6509" spans="8:18" x14ac:dyDescent="0.2">
      <c r="H6509" s="180"/>
      <c r="P6509" s="180" t="s">
        <v>257</v>
      </c>
      <c r="R6509" s="180" t="s">
        <v>257</v>
      </c>
    </row>
    <row r="6510" spans="8:18" x14ac:dyDescent="0.2">
      <c r="H6510" s="180"/>
      <c r="P6510" s="180" t="s">
        <v>257</v>
      </c>
      <c r="R6510" s="180" t="s">
        <v>257</v>
      </c>
    </row>
    <row r="6511" spans="8:18" x14ac:dyDescent="0.2">
      <c r="H6511" s="180"/>
      <c r="P6511" s="180" t="s">
        <v>257</v>
      </c>
      <c r="R6511" s="180" t="s">
        <v>257</v>
      </c>
    </row>
    <row r="6512" spans="8:18" x14ac:dyDescent="0.2">
      <c r="H6512" s="180"/>
      <c r="P6512" s="180" t="s">
        <v>257</v>
      </c>
      <c r="R6512" s="180" t="s">
        <v>257</v>
      </c>
    </row>
    <row r="6513" spans="8:18" x14ac:dyDescent="0.2">
      <c r="H6513" s="180"/>
      <c r="P6513" s="180" t="s">
        <v>257</v>
      </c>
      <c r="R6513" s="180" t="s">
        <v>257</v>
      </c>
    </row>
    <row r="6514" spans="8:18" x14ac:dyDescent="0.2">
      <c r="H6514" s="180"/>
      <c r="P6514" s="180" t="s">
        <v>257</v>
      </c>
      <c r="R6514" s="180" t="s">
        <v>257</v>
      </c>
    </row>
    <row r="6515" spans="8:18" x14ac:dyDescent="0.2">
      <c r="H6515" s="180"/>
      <c r="P6515" s="180" t="s">
        <v>257</v>
      </c>
      <c r="R6515" s="180" t="s">
        <v>257</v>
      </c>
    </row>
    <row r="6516" spans="8:18" x14ac:dyDescent="0.2">
      <c r="H6516" s="180"/>
      <c r="P6516" s="180" t="s">
        <v>257</v>
      </c>
      <c r="R6516" s="180" t="s">
        <v>257</v>
      </c>
    </row>
    <row r="6517" spans="8:18" x14ac:dyDescent="0.2">
      <c r="H6517" s="180"/>
      <c r="P6517" s="180" t="s">
        <v>257</v>
      </c>
      <c r="R6517" s="180" t="s">
        <v>257</v>
      </c>
    </row>
    <row r="6518" spans="8:18" x14ac:dyDescent="0.2">
      <c r="H6518" s="180"/>
      <c r="P6518" s="180" t="s">
        <v>257</v>
      </c>
      <c r="R6518" s="180" t="s">
        <v>257</v>
      </c>
    </row>
    <row r="6519" spans="8:18" x14ac:dyDescent="0.2">
      <c r="H6519" s="180"/>
      <c r="P6519" s="180" t="s">
        <v>257</v>
      </c>
      <c r="R6519" s="180" t="s">
        <v>257</v>
      </c>
    </row>
    <row r="6520" spans="8:18" x14ac:dyDescent="0.2">
      <c r="H6520" s="180"/>
      <c r="P6520" s="180" t="s">
        <v>257</v>
      </c>
      <c r="R6520" s="180" t="s">
        <v>257</v>
      </c>
    </row>
    <row r="6521" spans="8:18" x14ac:dyDescent="0.2">
      <c r="H6521" s="180"/>
      <c r="P6521" s="180" t="s">
        <v>257</v>
      </c>
      <c r="R6521" s="180" t="s">
        <v>257</v>
      </c>
    </row>
    <row r="6522" spans="8:18" x14ac:dyDescent="0.2">
      <c r="H6522" s="180"/>
      <c r="P6522" s="180" t="s">
        <v>257</v>
      </c>
      <c r="R6522" s="180" t="s">
        <v>257</v>
      </c>
    </row>
    <row r="6523" spans="8:18" x14ac:dyDescent="0.2">
      <c r="H6523" s="180"/>
      <c r="P6523" s="180" t="s">
        <v>257</v>
      </c>
      <c r="R6523" s="180" t="s">
        <v>257</v>
      </c>
    </row>
    <row r="6524" spans="8:18" x14ac:dyDescent="0.2">
      <c r="H6524" s="180"/>
      <c r="P6524" s="180" t="s">
        <v>257</v>
      </c>
      <c r="R6524" s="180" t="s">
        <v>257</v>
      </c>
    </row>
    <row r="6525" spans="8:18" x14ac:dyDescent="0.2">
      <c r="H6525" s="180"/>
      <c r="P6525" s="180" t="s">
        <v>257</v>
      </c>
      <c r="R6525" s="180" t="s">
        <v>257</v>
      </c>
    </row>
    <row r="6526" spans="8:18" x14ac:dyDescent="0.2">
      <c r="H6526" s="180"/>
      <c r="P6526" s="180" t="s">
        <v>257</v>
      </c>
      <c r="R6526" s="180" t="s">
        <v>257</v>
      </c>
    </row>
    <row r="6527" spans="8:18" x14ac:dyDescent="0.2">
      <c r="H6527" s="180"/>
      <c r="P6527" s="180" t="s">
        <v>257</v>
      </c>
      <c r="R6527" s="180" t="s">
        <v>257</v>
      </c>
    </row>
    <row r="6528" spans="8:18" x14ac:dyDescent="0.2">
      <c r="H6528" s="180"/>
      <c r="P6528" s="180" t="s">
        <v>257</v>
      </c>
      <c r="R6528" s="180" t="s">
        <v>257</v>
      </c>
    </row>
    <row r="6529" spans="8:18" x14ac:dyDescent="0.2">
      <c r="H6529" s="180"/>
      <c r="P6529" s="180" t="s">
        <v>257</v>
      </c>
      <c r="R6529" s="180" t="s">
        <v>257</v>
      </c>
    </row>
    <row r="6530" spans="8:18" x14ac:dyDescent="0.2">
      <c r="H6530" s="180"/>
      <c r="P6530" s="180" t="s">
        <v>257</v>
      </c>
      <c r="R6530" s="180" t="s">
        <v>257</v>
      </c>
    </row>
    <row r="6531" spans="8:18" x14ac:dyDescent="0.2">
      <c r="H6531" s="180"/>
      <c r="P6531" s="180" t="s">
        <v>257</v>
      </c>
      <c r="R6531" s="180" t="s">
        <v>257</v>
      </c>
    </row>
    <row r="6532" spans="8:18" x14ac:dyDescent="0.2">
      <c r="H6532" s="180"/>
      <c r="P6532" s="180" t="s">
        <v>257</v>
      </c>
      <c r="R6532" s="180" t="s">
        <v>257</v>
      </c>
    </row>
    <row r="6533" spans="8:18" x14ac:dyDescent="0.2">
      <c r="H6533" s="180"/>
      <c r="P6533" s="180" t="s">
        <v>257</v>
      </c>
      <c r="R6533" s="180" t="s">
        <v>257</v>
      </c>
    </row>
    <row r="6534" spans="8:18" x14ac:dyDescent="0.2">
      <c r="H6534" s="180"/>
      <c r="P6534" s="180" t="s">
        <v>257</v>
      </c>
      <c r="R6534" s="180" t="s">
        <v>257</v>
      </c>
    </row>
    <row r="6535" spans="8:18" x14ac:dyDescent="0.2">
      <c r="H6535" s="180"/>
      <c r="P6535" s="180" t="s">
        <v>257</v>
      </c>
      <c r="R6535" s="180" t="s">
        <v>257</v>
      </c>
    </row>
    <row r="6536" spans="8:18" x14ac:dyDescent="0.2">
      <c r="H6536" s="180"/>
      <c r="P6536" s="180" t="s">
        <v>257</v>
      </c>
      <c r="R6536" s="180" t="s">
        <v>257</v>
      </c>
    </row>
    <row r="6537" spans="8:18" x14ac:dyDescent="0.2">
      <c r="H6537" s="180"/>
      <c r="P6537" s="180" t="s">
        <v>257</v>
      </c>
      <c r="R6537" s="180" t="s">
        <v>257</v>
      </c>
    </row>
    <row r="6538" spans="8:18" x14ac:dyDescent="0.2">
      <c r="H6538" s="180"/>
      <c r="P6538" s="180" t="s">
        <v>257</v>
      </c>
      <c r="R6538" s="180" t="s">
        <v>257</v>
      </c>
    </row>
    <row r="6539" spans="8:18" x14ac:dyDescent="0.2">
      <c r="H6539" s="180"/>
      <c r="P6539" s="180" t="s">
        <v>257</v>
      </c>
      <c r="R6539" s="180" t="s">
        <v>257</v>
      </c>
    </row>
    <row r="6540" spans="8:18" x14ac:dyDescent="0.2">
      <c r="H6540" s="180"/>
      <c r="P6540" s="180" t="s">
        <v>257</v>
      </c>
      <c r="R6540" s="180" t="s">
        <v>257</v>
      </c>
    </row>
    <row r="6541" spans="8:18" x14ac:dyDescent="0.2">
      <c r="H6541" s="180"/>
      <c r="P6541" s="180" t="s">
        <v>257</v>
      </c>
      <c r="R6541" s="180" t="s">
        <v>257</v>
      </c>
    </row>
    <row r="6542" spans="8:18" x14ac:dyDescent="0.2">
      <c r="H6542" s="180"/>
      <c r="P6542" s="180" t="s">
        <v>257</v>
      </c>
      <c r="R6542" s="180" t="s">
        <v>257</v>
      </c>
    </row>
    <row r="6543" spans="8:18" x14ac:dyDescent="0.2">
      <c r="H6543" s="180"/>
      <c r="P6543" s="180" t="s">
        <v>257</v>
      </c>
      <c r="R6543" s="180" t="s">
        <v>257</v>
      </c>
    </row>
    <row r="6544" spans="8:18" x14ac:dyDescent="0.2">
      <c r="H6544" s="180"/>
      <c r="P6544" s="180" t="s">
        <v>257</v>
      </c>
      <c r="R6544" s="180" t="s">
        <v>257</v>
      </c>
    </row>
    <row r="6545" spans="8:18" x14ac:dyDescent="0.2">
      <c r="H6545" s="180"/>
      <c r="P6545" s="180" t="s">
        <v>257</v>
      </c>
      <c r="R6545" s="180" t="s">
        <v>257</v>
      </c>
    </row>
    <row r="6546" spans="8:18" x14ac:dyDescent="0.2">
      <c r="H6546" s="180"/>
      <c r="P6546" s="180" t="s">
        <v>257</v>
      </c>
      <c r="R6546" s="180" t="s">
        <v>257</v>
      </c>
    </row>
    <row r="6547" spans="8:18" x14ac:dyDescent="0.2">
      <c r="H6547" s="180"/>
      <c r="P6547" s="180" t="s">
        <v>257</v>
      </c>
      <c r="R6547" s="180" t="s">
        <v>257</v>
      </c>
    </row>
    <row r="6548" spans="8:18" x14ac:dyDescent="0.2">
      <c r="H6548" s="180"/>
      <c r="P6548" s="180" t="s">
        <v>257</v>
      </c>
      <c r="R6548" s="180" t="s">
        <v>257</v>
      </c>
    </row>
    <row r="6549" spans="8:18" x14ac:dyDescent="0.2">
      <c r="H6549" s="180"/>
      <c r="P6549" s="180" t="s">
        <v>257</v>
      </c>
      <c r="R6549" s="180" t="s">
        <v>257</v>
      </c>
    </row>
    <row r="6550" spans="8:18" x14ac:dyDescent="0.2">
      <c r="H6550" s="180"/>
      <c r="P6550" s="180" t="s">
        <v>257</v>
      </c>
      <c r="R6550" s="180" t="s">
        <v>257</v>
      </c>
    </row>
    <row r="6551" spans="8:18" x14ac:dyDescent="0.2">
      <c r="H6551" s="180"/>
      <c r="P6551" s="180" t="s">
        <v>257</v>
      </c>
      <c r="R6551" s="180" t="s">
        <v>257</v>
      </c>
    </row>
    <row r="6552" spans="8:18" x14ac:dyDescent="0.2">
      <c r="H6552" s="180"/>
      <c r="P6552" s="180" t="s">
        <v>257</v>
      </c>
      <c r="R6552" s="180" t="s">
        <v>257</v>
      </c>
    </row>
    <row r="6553" spans="8:18" x14ac:dyDescent="0.2">
      <c r="H6553" s="180"/>
      <c r="P6553" s="180" t="s">
        <v>257</v>
      </c>
      <c r="R6553" s="180" t="s">
        <v>257</v>
      </c>
    </row>
    <row r="6554" spans="8:18" x14ac:dyDescent="0.2">
      <c r="H6554" s="180"/>
      <c r="P6554" s="180" t="s">
        <v>257</v>
      </c>
      <c r="R6554" s="180" t="s">
        <v>257</v>
      </c>
    </row>
    <row r="6555" spans="8:18" x14ac:dyDescent="0.2">
      <c r="H6555" s="180"/>
      <c r="P6555" s="180" t="s">
        <v>257</v>
      </c>
      <c r="R6555" s="180" t="s">
        <v>257</v>
      </c>
    </row>
    <row r="6556" spans="8:18" x14ac:dyDescent="0.2">
      <c r="H6556" s="180"/>
      <c r="P6556" s="180" t="s">
        <v>257</v>
      </c>
      <c r="R6556" s="180" t="s">
        <v>257</v>
      </c>
    </row>
    <row r="6557" spans="8:18" x14ac:dyDescent="0.2">
      <c r="H6557" s="180"/>
      <c r="P6557" s="180" t="s">
        <v>257</v>
      </c>
      <c r="R6557" s="180" t="s">
        <v>257</v>
      </c>
    </row>
    <row r="6558" spans="8:18" x14ac:dyDescent="0.2">
      <c r="H6558" s="180"/>
      <c r="P6558" s="180" t="s">
        <v>257</v>
      </c>
      <c r="R6558" s="180" t="s">
        <v>257</v>
      </c>
    </row>
    <row r="6559" spans="8:18" x14ac:dyDescent="0.2">
      <c r="H6559" s="180"/>
      <c r="P6559" s="180" t="s">
        <v>257</v>
      </c>
      <c r="R6559" s="180" t="s">
        <v>257</v>
      </c>
    </row>
    <row r="6560" spans="8:18" x14ac:dyDescent="0.2">
      <c r="H6560" s="180"/>
      <c r="P6560" s="180" t="s">
        <v>257</v>
      </c>
      <c r="R6560" s="180" t="s">
        <v>257</v>
      </c>
    </row>
    <row r="6561" spans="8:18" x14ac:dyDescent="0.2">
      <c r="H6561" s="180"/>
      <c r="P6561" s="180" t="s">
        <v>257</v>
      </c>
      <c r="R6561" s="180" t="s">
        <v>257</v>
      </c>
    </row>
    <row r="6562" spans="8:18" x14ac:dyDescent="0.2">
      <c r="H6562" s="180"/>
      <c r="P6562" s="180" t="s">
        <v>257</v>
      </c>
      <c r="R6562" s="180" t="s">
        <v>257</v>
      </c>
    </row>
    <row r="6563" spans="8:18" x14ac:dyDescent="0.2">
      <c r="H6563" s="180"/>
      <c r="P6563" s="180" t="s">
        <v>257</v>
      </c>
      <c r="R6563" s="180" t="s">
        <v>257</v>
      </c>
    </row>
    <row r="6564" spans="8:18" x14ac:dyDescent="0.2">
      <c r="H6564" s="180"/>
      <c r="P6564" s="180" t="s">
        <v>257</v>
      </c>
      <c r="R6564" s="180" t="s">
        <v>257</v>
      </c>
    </row>
    <row r="6565" spans="8:18" x14ac:dyDescent="0.2">
      <c r="H6565" s="180"/>
      <c r="P6565" s="180" t="s">
        <v>257</v>
      </c>
      <c r="R6565" s="180" t="s">
        <v>257</v>
      </c>
    </row>
    <row r="6566" spans="8:18" x14ac:dyDescent="0.2">
      <c r="H6566" s="180"/>
      <c r="P6566" s="180" t="s">
        <v>257</v>
      </c>
      <c r="R6566" s="180" t="s">
        <v>257</v>
      </c>
    </row>
    <row r="6567" spans="8:18" x14ac:dyDescent="0.2">
      <c r="H6567" s="180"/>
      <c r="P6567" s="180" t="s">
        <v>257</v>
      </c>
      <c r="R6567" s="180" t="s">
        <v>257</v>
      </c>
    </row>
    <row r="6568" spans="8:18" x14ac:dyDescent="0.2">
      <c r="H6568" s="180"/>
      <c r="P6568" s="180" t="s">
        <v>257</v>
      </c>
      <c r="R6568" s="180" t="s">
        <v>257</v>
      </c>
    </row>
    <row r="6569" spans="8:18" x14ac:dyDescent="0.2">
      <c r="H6569" s="180"/>
      <c r="P6569" s="180" t="s">
        <v>257</v>
      </c>
      <c r="R6569" s="180" t="s">
        <v>257</v>
      </c>
    </row>
    <row r="6570" spans="8:18" x14ac:dyDescent="0.2">
      <c r="H6570" s="180"/>
      <c r="P6570" s="180" t="s">
        <v>257</v>
      </c>
      <c r="R6570" s="180" t="s">
        <v>257</v>
      </c>
    </row>
    <row r="6571" spans="8:18" x14ac:dyDescent="0.2">
      <c r="H6571" s="180"/>
      <c r="P6571" s="180" t="s">
        <v>257</v>
      </c>
      <c r="R6571" s="180" t="s">
        <v>257</v>
      </c>
    </row>
    <row r="6572" spans="8:18" x14ac:dyDescent="0.2">
      <c r="H6572" s="180"/>
      <c r="P6572" s="180" t="s">
        <v>257</v>
      </c>
      <c r="R6572" s="180" t="s">
        <v>257</v>
      </c>
    </row>
    <row r="6573" spans="8:18" x14ac:dyDescent="0.2">
      <c r="H6573" s="180"/>
      <c r="P6573" s="180" t="s">
        <v>257</v>
      </c>
      <c r="R6573" s="180" t="s">
        <v>257</v>
      </c>
    </row>
    <row r="6574" spans="8:18" x14ac:dyDescent="0.2">
      <c r="H6574" s="180"/>
      <c r="P6574" s="180" t="s">
        <v>257</v>
      </c>
      <c r="R6574" s="180" t="s">
        <v>257</v>
      </c>
    </row>
    <row r="6575" spans="8:18" x14ac:dyDescent="0.2">
      <c r="H6575" s="180"/>
      <c r="P6575" s="180" t="s">
        <v>257</v>
      </c>
      <c r="R6575" s="180" t="s">
        <v>257</v>
      </c>
    </row>
    <row r="6576" spans="8:18" x14ac:dyDescent="0.2">
      <c r="H6576" s="180"/>
      <c r="P6576" s="180" t="s">
        <v>257</v>
      </c>
      <c r="R6576" s="180" t="s">
        <v>257</v>
      </c>
    </row>
    <row r="6577" spans="8:18" x14ac:dyDescent="0.2">
      <c r="H6577" s="180"/>
      <c r="P6577" s="180" t="s">
        <v>257</v>
      </c>
      <c r="R6577" s="180" t="s">
        <v>257</v>
      </c>
    </row>
    <row r="6578" spans="8:18" x14ac:dyDescent="0.2">
      <c r="H6578" s="180"/>
      <c r="P6578" s="180" t="s">
        <v>257</v>
      </c>
      <c r="R6578" s="180" t="s">
        <v>257</v>
      </c>
    </row>
    <row r="6579" spans="8:18" x14ac:dyDescent="0.2">
      <c r="H6579" s="180"/>
      <c r="P6579" s="180" t="s">
        <v>257</v>
      </c>
      <c r="R6579" s="180" t="s">
        <v>257</v>
      </c>
    </row>
    <row r="6580" spans="8:18" x14ac:dyDescent="0.2">
      <c r="H6580" s="180"/>
      <c r="P6580" s="180" t="s">
        <v>257</v>
      </c>
      <c r="R6580" s="180" t="s">
        <v>257</v>
      </c>
    </row>
    <row r="6581" spans="8:18" x14ac:dyDescent="0.2">
      <c r="H6581" s="180"/>
      <c r="P6581" s="180" t="s">
        <v>257</v>
      </c>
      <c r="R6581" s="180" t="s">
        <v>257</v>
      </c>
    </row>
    <row r="6582" spans="8:18" x14ac:dyDescent="0.2">
      <c r="H6582" s="180"/>
      <c r="P6582" s="180" t="s">
        <v>257</v>
      </c>
      <c r="R6582" s="180" t="s">
        <v>257</v>
      </c>
    </row>
    <row r="6583" spans="8:18" x14ac:dyDescent="0.2">
      <c r="H6583" s="180"/>
      <c r="P6583" s="180" t="s">
        <v>257</v>
      </c>
      <c r="R6583" s="180" t="s">
        <v>257</v>
      </c>
    </row>
    <row r="6584" spans="8:18" x14ac:dyDescent="0.2">
      <c r="H6584" s="180"/>
      <c r="P6584" s="180" t="s">
        <v>257</v>
      </c>
      <c r="R6584" s="180" t="s">
        <v>257</v>
      </c>
    </row>
    <row r="6585" spans="8:18" x14ac:dyDescent="0.2">
      <c r="H6585" s="180"/>
      <c r="P6585" s="180" t="s">
        <v>257</v>
      </c>
      <c r="R6585" s="180" t="s">
        <v>257</v>
      </c>
    </row>
    <row r="6586" spans="8:18" x14ac:dyDescent="0.2">
      <c r="H6586" s="180"/>
      <c r="P6586" s="180" t="s">
        <v>257</v>
      </c>
      <c r="R6586" s="180" t="s">
        <v>257</v>
      </c>
    </row>
    <row r="6587" spans="8:18" x14ac:dyDescent="0.2">
      <c r="H6587" s="180"/>
      <c r="P6587" s="180" t="s">
        <v>257</v>
      </c>
      <c r="R6587" s="180" t="s">
        <v>257</v>
      </c>
    </row>
    <row r="6588" spans="8:18" x14ac:dyDescent="0.2">
      <c r="H6588" s="180"/>
      <c r="P6588" s="180" t="s">
        <v>257</v>
      </c>
      <c r="R6588" s="180" t="s">
        <v>257</v>
      </c>
    </row>
    <row r="6589" spans="8:18" x14ac:dyDescent="0.2">
      <c r="H6589" s="180"/>
      <c r="P6589" s="180" t="s">
        <v>257</v>
      </c>
      <c r="R6589" s="180" t="s">
        <v>257</v>
      </c>
    </row>
    <row r="6590" spans="8:18" x14ac:dyDescent="0.2">
      <c r="H6590" s="180"/>
      <c r="P6590" s="180" t="s">
        <v>257</v>
      </c>
      <c r="R6590" s="180" t="s">
        <v>257</v>
      </c>
    </row>
    <row r="6591" spans="8:18" x14ac:dyDescent="0.2">
      <c r="H6591" s="180"/>
      <c r="P6591" s="180" t="s">
        <v>257</v>
      </c>
      <c r="R6591" s="180" t="s">
        <v>257</v>
      </c>
    </row>
    <row r="6592" spans="8:18" x14ac:dyDescent="0.2">
      <c r="H6592" s="180"/>
      <c r="P6592" s="180" t="s">
        <v>257</v>
      </c>
      <c r="R6592" s="180" t="s">
        <v>257</v>
      </c>
    </row>
    <row r="6593" spans="8:18" x14ac:dyDescent="0.2">
      <c r="H6593" s="180"/>
      <c r="P6593" s="180" t="s">
        <v>257</v>
      </c>
      <c r="R6593" s="180" t="s">
        <v>257</v>
      </c>
    </row>
    <row r="6594" spans="8:18" x14ac:dyDescent="0.2">
      <c r="H6594" s="180"/>
      <c r="P6594" s="180" t="s">
        <v>257</v>
      </c>
      <c r="R6594" s="180" t="s">
        <v>257</v>
      </c>
    </row>
    <row r="6595" spans="8:18" x14ac:dyDescent="0.2">
      <c r="H6595" s="180"/>
      <c r="P6595" s="180" t="s">
        <v>257</v>
      </c>
      <c r="R6595" s="180" t="s">
        <v>257</v>
      </c>
    </row>
    <row r="6596" spans="8:18" x14ac:dyDescent="0.2">
      <c r="H6596" s="180"/>
      <c r="P6596" s="180" t="s">
        <v>257</v>
      </c>
      <c r="R6596" s="180" t="s">
        <v>257</v>
      </c>
    </row>
    <row r="6597" spans="8:18" x14ac:dyDescent="0.2">
      <c r="H6597" s="180"/>
      <c r="P6597" s="180" t="s">
        <v>257</v>
      </c>
      <c r="R6597" s="180" t="s">
        <v>257</v>
      </c>
    </row>
    <row r="6598" spans="8:18" x14ac:dyDescent="0.2">
      <c r="H6598" s="180"/>
      <c r="P6598" s="180" t="s">
        <v>257</v>
      </c>
      <c r="R6598" s="180" t="s">
        <v>257</v>
      </c>
    </row>
    <row r="6599" spans="8:18" x14ac:dyDescent="0.2">
      <c r="H6599" s="180"/>
      <c r="P6599" s="180" t="s">
        <v>257</v>
      </c>
      <c r="R6599" s="180" t="s">
        <v>257</v>
      </c>
    </row>
    <row r="6600" spans="8:18" x14ac:dyDescent="0.2">
      <c r="H6600" s="180"/>
      <c r="P6600" s="180" t="s">
        <v>257</v>
      </c>
      <c r="R6600" s="180" t="s">
        <v>257</v>
      </c>
    </row>
    <row r="6601" spans="8:18" x14ac:dyDescent="0.2">
      <c r="H6601" s="180"/>
      <c r="P6601" s="180" t="s">
        <v>257</v>
      </c>
      <c r="R6601" s="180" t="s">
        <v>257</v>
      </c>
    </row>
    <row r="6602" spans="8:18" x14ac:dyDescent="0.2">
      <c r="H6602" s="180"/>
      <c r="P6602" s="180" t="s">
        <v>257</v>
      </c>
      <c r="R6602" s="180" t="s">
        <v>257</v>
      </c>
    </row>
    <row r="6603" spans="8:18" x14ac:dyDescent="0.2">
      <c r="H6603" s="180"/>
      <c r="P6603" s="180" t="s">
        <v>257</v>
      </c>
      <c r="R6603" s="180" t="s">
        <v>257</v>
      </c>
    </row>
    <row r="6604" spans="8:18" x14ac:dyDescent="0.2">
      <c r="H6604" s="180"/>
      <c r="P6604" s="180" t="s">
        <v>257</v>
      </c>
      <c r="R6604" s="180" t="s">
        <v>257</v>
      </c>
    </row>
    <row r="6605" spans="8:18" x14ac:dyDescent="0.2">
      <c r="H6605" s="180"/>
      <c r="P6605" s="180" t="s">
        <v>257</v>
      </c>
      <c r="R6605" s="180" t="s">
        <v>257</v>
      </c>
    </row>
    <row r="6606" spans="8:18" x14ac:dyDescent="0.2">
      <c r="H6606" s="180"/>
      <c r="P6606" s="180" t="s">
        <v>257</v>
      </c>
      <c r="R6606" s="180" t="s">
        <v>257</v>
      </c>
    </row>
    <row r="6607" spans="8:18" x14ac:dyDescent="0.2">
      <c r="H6607" s="180"/>
      <c r="P6607" s="180" t="s">
        <v>257</v>
      </c>
      <c r="R6607" s="180" t="s">
        <v>257</v>
      </c>
    </row>
    <row r="6608" spans="8:18" x14ac:dyDescent="0.2">
      <c r="H6608" s="180"/>
      <c r="P6608" s="180" t="s">
        <v>257</v>
      </c>
      <c r="R6608" s="180" t="s">
        <v>257</v>
      </c>
    </row>
    <row r="6609" spans="8:18" x14ac:dyDescent="0.2">
      <c r="H6609" s="180"/>
      <c r="P6609" s="180" t="s">
        <v>257</v>
      </c>
      <c r="R6609" s="180" t="s">
        <v>257</v>
      </c>
    </row>
    <row r="6610" spans="8:18" x14ac:dyDescent="0.2">
      <c r="H6610" s="180"/>
      <c r="P6610" s="180" t="s">
        <v>257</v>
      </c>
      <c r="R6610" s="180" t="s">
        <v>257</v>
      </c>
    </row>
    <row r="6611" spans="8:18" x14ac:dyDescent="0.2">
      <c r="H6611" s="180"/>
      <c r="P6611" s="180" t="s">
        <v>257</v>
      </c>
      <c r="R6611" s="180" t="s">
        <v>257</v>
      </c>
    </row>
    <row r="6612" spans="8:18" x14ac:dyDescent="0.2">
      <c r="H6612" s="180"/>
      <c r="P6612" s="180" t="s">
        <v>257</v>
      </c>
      <c r="R6612" s="180" t="s">
        <v>257</v>
      </c>
    </row>
    <row r="6613" spans="8:18" x14ac:dyDescent="0.2">
      <c r="H6613" s="180"/>
      <c r="P6613" s="180" t="s">
        <v>257</v>
      </c>
      <c r="R6613" s="180" t="s">
        <v>257</v>
      </c>
    </row>
    <row r="6614" spans="8:18" x14ac:dyDescent="0.2">
      <c r="H6614" s="180"/>
      <c r="P6614" s="180" t="s">
        <v>257</v>
      </c>
      <c r="R6614" s="180" t="s">
        <v>257</v>
      </c>
    </row>
    <row r="6615" spans="8:18" x14ac:dyDescent="0.2">
      <c r="H6615" s="180"/>
      <c r="P6615" s="180" t="s">
        <v>257</v>
      </c>
      <c r="R6615" s="180" t="s">
        <v>257</v>
      </c>
    </row>
    <row r="6616" spans="8:18" x14ac:dyDescent="0.2">
      <c r="H6616" s="180"/>
      <c r="P6616" s="180" t="s">
        <v>257</v>
      </c>
      <c r="R6616" s="180" t="s">
        <v>257</v>
      </c>
    </row>
    <row r="6617" spans="8:18" x14ac:dyDescent="0.2">
      <c r="H6617" s="180"/>
      <c r="P6617" s="180" t="s">
        <v>257</v>
      </c>
      <c r="R6617" s="180" t="s">
        <v>257</v>
      </c>
    </row>
    <row r="6618" spans="8:18" x14ac:dyDescent="0.2">
      <c r="H6618" s="180"/>
      <c r="P6618" s="180" t="s">
        <v>257</v>
      </c>
      <c r="R6618" s="180" t="s">
        <v>257</v>
      </c>
    </row>
    <row r="6619" spans="8:18" x14ac:dyDescent="0.2">
      <c r="H6619" s="180"/>
      <c r="P6619" s="180" t="s">
        <v>257</v>
      </c>
      <c r="R6619" s="180" t="s">
        <v>257</v>
      </c>
    </row>
    <row r="6620" spans="8:18" x14ac:dyDescent="0.2">
      <c r="H6620" s="180"/>
      <c r="P6620" s="180" t="s">
        <v>257</v>
      </c>
      <c r="R6620" s="180" t="s">
        <v>257</v>
      </c>
    </row>
    <row r="6621" spans="8:18" x14ac:dyDescent="0.2">
      <c r="H6621" s="180"/>
      <c r="P6621" s="180" t="s">
        <v>257</v>
      </c>
      <c r="R6621" s="180" t="s">
        <v>257</v>
      </c>
    </row>
    <row r="6622" spans="8:18" x14ac:dyDescent="0.2">
      <c r="H6622" s="180"/>
      <c r="P6622" s="180" t="s">
        <v>257</v>
      </c>
      <c r="R6622" s="180" t="s">
        <v>257</v>
      </c>
    </row>
    <row r="6623" spans="8:18" x14ac:dyDescent="0.2">
      <c r="H6623" s="180"/>
      <c r="P6623" s="180" t="s">
        <v>257</v>
      </c>
      <c r="R6623" s="180" t="s">
        <v>257</v>
      </c>
    </row>
    <row r="6624" spans="8:18" x14ac:dyDescent="0.2">
      <c r="H6624" s="180"/>
      <c r="P6624" s="180" t="s">
        <v>257</v>
      </c>
      <c r="R6624" s="180" t="s">
        <v>257</v>
      </c>
    </row>
    <row r="6625" spans="8:18" x14ac:dyDescent="0.2">
      <c r="H6625" s="180"/>
      <c r="P6625" s="180" t="s">
        <v>257</v>
      </c>
      <c r="R6625" s="180" t="s">
        <v>257</v>
      </c>
    </row>
    <row r="6626" spans="8:18" x14ac:dyDescent="0.2">
      <c r="H6626" s="180"/>
      <c r="P6626" s="180" t="s">
        <v>257</v>
      </c>
      <c r="R6626" s="180" t="s">
        <v>257</v>
      </c>
    </row>
    <row r="6627" spans="8:18" x14ac:dyDescent="0.2">
      <c r="H6627" s="180"/>
      <c r="P6627" s="180" t="s">
        <v>257</v>
      </c>
      <c r="R6627" s="180" t="s">
        <v>257</v>
      </c>
    </row>
    <row r="6628" spans="8:18" x14ac:dyDescent="0.2">
      <c r="H6628" s="180"/>
      <c r="P6628" s="180" t="s">
        <v>257</v>
      </c>
      <c r="R6628" s="180" t="s">
        <v>257</v>
      </c>
    </row>
    <row r="6629" spans="8:18" x14ac:dyDescent="0.2">
      <c r="H6629" s="180"/>
      <c r="P6629" s="180" t="s">
        <v>257</v>
      </c>
      <c r="R6629" s="180" t="s">
        <v>257</v>
      </c>
    </row>
    <row r="6630" spans="8:18" x14ac:dyDescent="0.2">
      <c r="H6630" s="180"/>
      <c r="P6630" s="180" t="s">
        <v>257</v>
      </c>
      <c r="R6630" s="180" t="s">
        <v>257</v>
      </c>
    </row>
    <row r="6631" spans="8:18" x14ac:dyDescent="0.2">
      <c r="H6631" s="180"/>
      <c r="P6631" s="180" t="s">
        <v>257</v>
      </c>
      <c r="R6631" s="180" t="s">
        <v>257</v>
      </c>
    </row>
    <row r="6632" spans="8:18" x14ac:dyDescent="0.2">
      <c r="H6632" s="180"/>
      <c r="P6632" s="180" t="s">
        <v>257</v>
      </c>
      <c r="R6632" s="180" t="s">
        <v>257</v>
      </c>
    </row>
    <row r="6633" spans="8:18" x14ac:dyDescent="0.2">
      <c r="H6633" s="180"/>
      <c r="P6633" s="180" t="s">
        <v>257</v>
      </c>
      <c r="R6633" s="180" t="s">
        <v>257</v>
      </c>
    </row>
    <row r="6634" spans="8:18" x14ac:dyDescent="0.2">
      <c r="H6634" s="180"/>
      <c r="P6634" s="180" t="s">
        <v>257</v>
      </c>
      <c r="R6634" s="180" t="s">
        <v>257</v>
      </c>
    </row>
    <row r="6635" spans="8:18" x14ac:dyDescent="0.2">
      <c r="H6635" s="180"/>
      <c r="P6635" s="180" t="s">
        <v>257</v>
      </c>
      <c r="R6635" s="180" t="s">
        <v>257</v>
      </c>
    </row>
    <row r="6636" spans="8:18" x14ac:dyDescent="0.2">
      <c r="H6636" s="180"/>
      <c r="P6636" s="180" t="s">
        <v>257</v>
      </c>
      <c r="R6636" s="180" t="s">
        <v>257</v>
      </c>
    </row>
    <row r="6637" spans="8:18" x14ac:dyDescent="0.2">
      <c r="H6637" s="180"/>
      <c r="P6637" s="180" t="s">
        <v>257</v>
      </c>
      <c r="R6637" s="180" t="s">
        <v>257</v>
      </c>
    </row>
    <row r="6638" spans="8:18" x14ac:dyDescent="0.2">
      <c r="H6638" s="180"/>
      <c r="P6638" s="180" t="s">
        <v>257</v>
      </c>
      <c r="R6638" s="180" t="s">
        <v>257</v>
      </c>
    </row>
    <row r="6639" spans="8:18" x14ac:dyDescent="0.2">
      <c r="H6639" s="180"/>
      <c r="P6639" s="180" t="s">
        <v>257</v>
      </c>
      <c r="R6639" s="180" t="s">
        <v>257</v>
      </c>
    </row>
    <row r="6640" spans="8:18" x14ac:dyDescent="0.2">
      <c r="H6640" s="180"/>
      <c r="P6640" s="180" t="s">
        <v>257</v>
      </c>
      <c r="R6640" s="180" t="s">
        <v>257</v>
      </c>
    </row>
    <row r="6641" spans="8:18" x14ac:dyDescent="0.2">
      <c r="H6641" s="180"/>
      <c r="P6641" s="180" t="s">
        <v>257</v>
      </c>
      <c r="R6641" s="180" t="s">
        <v>257</v>
      </c>
    </row>
    <row r="6642" spans="8:18" x14ac:dyDescent="0.2">
      <c r="H6642" s="180"/>
      <c r="P6642" s="180" t="s">
        <v>257</v>
      </c>
      <c r="R6642" s="180" t="s">
        <v>257</v>
      </c>
    </row>
    <row r="6643" spans="8:18" x14ac:dyDescent="0.2">
      <c r="H6643" s="180"/>
      <c r="P6643" s="180" t="s">
        <v>257</v>
      </c>
      <c r="R6643" s="180" t="s">
        <v>257</v>
      </c>
    </row>
    <row r="6644" spans="8:18" x14ac:dyDescent="0.2">
      <c r="H6644" s="180"/>
      <c r="P6644" s="180" t="s">
        <v>257</v>
      </c>
      <c r="R6644" s="180" t="s">
        <v>257</v>
      </c>
    </row>
    <row r="6645" spans="8:18" x14ac:dyDescent="0.2">
      <c r="H6645" s="180"/>
      <c r="P6645" s="180" t="s">
        <v>257</v>
      </c>
      <c r="R6645" s="180" t="s">
        <v>257</v>
      </c>
    </row>
    <row r="6646" spans="8:18" x14ac:dyDescent="0.2">
      <c r="H6646" s="180"/>
      <c r="P6646" s="180" t="s">
        <v>257</v>
      </c>
      <c r="R6646" s="180" t="s">
        <v>257</v>
      </c>
    </row>
    <row r="6647" spans="8:18" x14ac:dyDescent="0.2">
      <c r="H6647" s="180"/>
      <c r="P6647" s="180" t="s">
        <v>257</v>
      </c>
      <c r="R6647" s="180" t="s">
        <v>257</v>
      </c>
    </row>
    <row r="6648" spans="8:18" x14ac:dyDescent="0.2">
      <c r="H6648" s="180"/>
      <c r="P6648" s="180" t="s">
        <v>257</v>
      </c>
      <c r="R6648" s="180" t="s">
        <v>257</v>
      </c>
    </row>
    <row r="6649" spans="8:18" x14ac:dyDescent="0.2">
      <c r="H6649" s="180"/>
      <c r="P6649" s="180" t="s">
        <v>257</v>
      </c>
      <c r="R6649" s="180" t="s">
        <v>257</v>
      </c>
    </row>
    <row r="6650" spans="8:18" x14ac:dyDescent="0.2">
      <c r="H6650" s="180"/>
      <c r="P6650" s="180" t="s">
        <v>257</v>
      </c>
      <c r="R6650" s="180" t="s">
        <v>257</v>
      </c>
    </row>
    <row r="6651" spans="8:18" x14ac:dyDescent="0.2">
      <c r="H6651" s="180"/>
      <c r="P6651" s="180" t="s">
        <v>257</v>
      </c>
      <c r="R6651" s="180" t="s">
        <v>257</v>
      </c>
    </row>
    <row r="6652" spans="8:18" x14ac:dyDescent="0.2">
      <c r="H6652" s="180"/>
      <c r="P6652" s="180" t="s">
        <v>257</v>
      </c>
      <c r="R6652" s="180" t="s">
        <v>257</v>
      </c>
    </row>
    <row r="6653" spans="8:18" x14ac:dyDescent="0.2">
      <c r="H6653" s="180"/>
      <c r="P6653" s="180" t="s">
        <v>257</v>
      </c>
      <c r="R6653" s="180" t="s">
        <v>257</v>
      </c>
    </row>
    <row r="6654" spans="8:18" x14ac:dyDescent="0.2">
      <c r="H6654" s="180"/>
      <c r="P6654" s="180" t="s">
        <v>257</v>
      </c>
      <c r="R6654" s="180" t="s">
        <v>257</v>
      </c>
    </row>
    <row r="6655" spans="8:18" x14ac:dyDescent="0.2">
      <c r="H6655" s="180"/>
      <c r="P6655" s="180" t="s">
        <v>257</v>
      </c>
      <c r="R6655" s="180" t="s">
        <v>257</v>
      </c>
    </row>
    <row r="6656" spans="8:18" x14ac:dyDescent="0.2">
      <c r="H6656" s="180"/>
      <c r="P6656" s="180" t="s">
        <v>257</v>
      </c>
      <c r="R6656" s="180" t="s">
        <v>257</v>
      </c>
    </row>
    <row r="6657" spans="8:18" x14ac:dyDescent="0.2">
      <c r="H6657" s="180"/>
      <c r="P6657" s="180" t="s">
        <v>257</v>
      </c>
      <c r="R6657" s="180" t="s">
        <v>257</v>
      </c>
    </row>
    <row r="6658" spans="8:18" x14ac:dyDescent="0.2">
      <c r="H6658" s="180"/>
      <c r="P6658" s="180" t="s">
        <v>257</v>
      </c>
      <c r="R6658" s="180" t="s">
        <v>257</v>
      </c>
    </row>
    <row r="6659" spans="8:18" x14ac:dyDescent="0.2">
      <c r="H6659" s="180"/>
      <c r="P6659" s="180" t="s">
        <v>257</v>
      </c>
      <c r="R6659" s="180" t="s">
        <v>257</v>
      </c>
    </row>
    <row r="6660" spans="8:18" x14ac:dyDescent="0.2">
      <c r="H6660" s="180"/>
      <c r="P6660" s="180" t="s">
        <v>257</v>
      </c>
      <c r="R6660" s="180" t="s">
        <v>257</v>
      </c>
    </row>
    <row r="6661" spans="8:18" x14ac:dyDescent="0.2">
      <c r="H6661" s="180"/>
      <c r="P6661" s="180" t="s">
        <v>257</v>
      </c>
      <c r="R6661" s="180" t="s">
        <v>257</v>
      </c>
    </row>
    <row r="6662" spans="8:18" x14ac:dyDescent="0.2">
      <c r="H6662" s="180"/>
      <c r="P6662" s="180" t="s">
        <v>257</v>
      </c>
      <c r="R6662" s="180" t="s">
        <v>257</v>
      </c>
    </row>
    <row r="6663" spans="8:18" x14ac:dyDescent="0.2">
      <c r="H6663" s="180"/>
      <c r="P6663" s="180" t="s">
        <v>257</v>
      </c>
      <c r="R6663" s="180" t="s">
        <v>257</v>
      </c>
    </row>
    <row r="6664" spans="8:18" x14ac:dyDescent="0.2">
      <c r="H6664" s="180"/>
      <c r="P6664" s="180" t="s">
        <v>257</v>
      </c>
      <c r="R6664" s="180" t="s">
        <v>257</v>
      </c>
    </row>
    <row r="6665" spans="8:18" x14ac:dyDescent="0.2">
      <c r="H6665" s="180"/>
      <c r="P6665" s="180" t="s">
        <v>257</v>
      </c>
      <c r="R6665" s="180" t="s">
        <v>257</v>
      </c>
    </row>
    <row r="6666" spans="8:18" x14ac:dyDescent="0.2">
      <c r="H6666" s="180"/>
      <c r="P6666" s="180" t="s">
        <v>257</v>
      </c>
      <c r="R6666" s="180" t="s">
        <v>257</v>
      </c>
    </row>
    <row r="6667" spans="8:18" x14ac:dyDescent="0.2">
      <c r="H6667" s="180"/>
      <c r="P6667" s="180" t="s">
        <v>257</v>
      </c>
      <c r="R6667" s="180" t="s">
        <v>257</v>
      </c>
    </row>
    <row r="6668" spans="8:18" x14ac:dyDescent="0.2">
      <c r="H6668" s="180"/>
      <c r="P6668" s="180" t="s">
        <v>257</v>
      </c>
      <c r="R6668" s="180" t="s">
        <v>257</v>
      </c>
    </row>
    <row r="6669" spans="8:18" x14ac:dyDescent="0.2">
      <c r="H6669" s="180"/>
      <c r="P6669" s="180" t="s">
        <v>257</v>
      </c>
      <c r="R6669" s="180" t="s">
        <v>257</v>
      </c>
    </row>
    <row r="6670" spans="8:18" x14ac:dyDescent="0.2">
      <c r="H6670" s="180"/>
      <c r="P6670" s="180" t="s">
        <v>257</v>
      </c>
      <c r="R6670" s="180" t="s">
        <v>257</v>
      </c>
    </row>
    <row r="6671" spans="8:18" x14ac:dyDescent="0.2">
      <c r="H6671" s="180"/>
      <c r="P6671" s="180" t="s">
        <v>257</v>
      </c>
      <c r="R6671" s="180" t="s">
        <v>257</v>
      </c>
    </row>
    <row r="6672" spans="8:18" x14ac:dyDescent="0.2">
      <c r="H6672" s="180"/>
      <c r="P6672" s="180" t="s">
        <v>257</v>
      </c>
      <c r="R6672" s="180" t="s">
        <v>257</v>
      </c>
    </row>
    <row r="6673" spans="8:18" x14ac:dyDescent="0.2">
      <c r="H6673" s="180"/>
      <c r="P6673" s="180" t="s">
        <v>257</v>
      </c>
      <c r="R6673" s="180" t="s">
        <v>257</v>
      </c>
    </row>
    <row r="6674" spans="8:18" x14ac:dyDescent="0.2">
      <c r="H6674" s="180"/>
      <c r="P6674" s="180" t="s">
        <v>257</v>
      </c>
      <c r="R6674" s="180" t="s">
        <v>257</v>
      </c>
    </row>
    <row r="6675" spans="8:18" x14ac:dyDescent="0.2">
      <c r="H6675" s="180"/>
      <c r="P6675" s="180" t="s">
        <v>257</v>
      </c>
      <c r="R6675" s="180" t="s">
        <v>257</v>
      </c>
    </row>
    <row r="6676" spans="8:18" x14ac:dyDescent="0.2">
      <c r="H6676" s="180"/>
      <c r="P6676" s="180" t="s">
        <v>257</v>
      </c>
      <c r="R6676" s="180" t="s">
        <v>257</v>
      </c>
    </row>
    <row r="6677" spans="8:18" x14ac:dyDescent="0.2">
      <c r="H6677" s="180"/>
      <c r="P6677" s="180" t="s">
        <v>257</v>
      </c>
      <c r="R6677" s="180" t="s">
        <v>257</v>
      </c>
    </row>
    <row r="6678" spans="8:18" x14ac:dyDescent="0.2">
      <c r="H6678" s="180"/>
      <c r="P6678" s="180" t="s">
        <v>257</v>
      </c>
      <c r="R6678" s="180" t="s">
        <v>257</v>
      </c>
    </row>
    <row r="6679" spans="8:18" x14ac:dyDescent="0.2">
      <c r="H6679" s="180"/>
      <c r="P6679" s="180" t="s">
        <v>257</v>
      </c>
      <c r="R6679" s="180" t="s">
        <v>257</v>
      </c>
    </row>
    <row r="6680" spans="8:18" x14ac:dyDescent="0.2">
      <c r="H6680" s="180"/>
      <c r="P6680" s="180" t="s">
        <v>257</v>
      </c>
      <c r="R6680" s="180" t="s">
        <v>257</v>
      </c>
    </row>
    <row r="6681" spans="8:18" x14ac:dyDescent="0.2">
      <c r="H6681" s="180"/>
      <c r="P6681" s="180" t="s">
        <v>257</v>
      </c>
      <c r="R6681" s="180" t="s">
        <v>257</v>
      </c>
    </row>
    <row r="6682" spans="8:18" x14ac:dyDescent="0.2">
      <c r="H6682" s="180"/>
      <c r="P6682" s="180" t="s">
        <v>257</v>
      </c>
      <c r="R6682" s="180" t="s">
        <v>257</v>
      </c>
    </row>
    <row r="6683" spans="8:18" x14ac:dyDescent="0.2">
      <c r="H6683" s="180"/>
      <c r="P6683" s="180" t="s">
        <v>257</v>
      </c>
      <c r="R6683" s="180" t="s">
        <v>257</v>
      </c>
    </row>
    <row r="6684" spans="8:18" x14ac:dyDescent="0.2">
      <c r="H6684" s="180"/>
      <c r="P6684" s="180" t="s">
        <v>257</v>
      </c>
      <c r="R6684" s="180" t="s">
        <v>257</v>
      </c>
    </row>
    <row r="6685" spans="8:18" x14ac:dyDescent="0.2">
      <c r="H6685" s="180"/>
      <c r="P6685" s="180" t="s">
        <v>257</v>
      </c>
      <c r="R6685" s="180" t="s">
        <v>257</v>
      </c>
    </row>
    <row r="6686" spans="8:18" x14ac:dyDescent="0.2">
      <c r="H6686" s="180"/>
      <c r="P6686" s="180" t="s">
        <v>257</v>
      </c>
      <c r="R6686" s="180" t="s">
        <v>257</v>
      </c>
    </row>
    <row r="6687" spans="8:18" x14ac:dyDescent="0.2">
      <c r="H6687" s="180"/>
      <c r="P6687" s="180" t="s">
        <v>257</v>
      </c>
      <c r="R6687" s="180" t="s">
        <v>257</v>
      </c>
    </row>
    <row r="6688" spans="8:18" x14ac:dyDescent="0.2">
      <c r="H6688" s="180"/>
      <c r="P6688" s="180" t="s">
        <v>257</v>
      </c>
      <c r="R6688" s="180" t="s">
        <v>257</v>
      </c>
    </row>
    <row r="6689" spans="8:18" x14ac:dyDescent="0.2">
      <c r="H6689" s="180"/>
      <c r="P6689" s="180" t="s">
        <v>257</v>
      </c>
      <c r="R6689" s="180" t="s">
        <v>257</v>
      </c>
    </row>
    <row r="6690" spans="8:18" x14ac:dyDescent="0.2">
      <c r="H6690" s="180"/>
      <c r="P6690" s="180" t="s">
        <v>257</v>
      </c>
      <c r="R6690" s="180" t="s">
        <v>257</v>
      </c>
    </row>
    <row r="6691" spans="8:18" x14ac:dyDescent="0.2">
      <c r="H6691" s="180"/>
      <c r="P6691" s="180" t="s">
        <v>257</v>
      </c>
      <c r="R6691" s="180" t="s">
        <v>257</v>
      </c>
    </row>
    <row r="6692" spans="8:18" x14ac:dyDescent="0.2">
      <c r="H6692" s="180"/>
      <c r="P6692" s="180" t="s">
        <v>257</v>
      </c>
      <c r="R6692" s="180" t="s">
        <v>257</v>
      </c>
    </row>
    <row r="6693" spans="8:18" x14ac:dyDescent="0.2">
      <c r="H6693" s="180"/>
      <c r="P6693" s="180" t="s">
        <v>257</v>
      </c>
      <c r="R6693" s="180" t="s">
        <v>257</v>
      </c>
    </row>
    <row r="6694" spans="8:18" x14ac:dyDescent="0.2">
      <c r="H6694" s="180"/>
      <c r="P6694" s="180" t="s">
        <v>257</v>
      </c>
      <c r="R6694" s="180" t="s">
        <v>257</v>
      </c>
    </row>
    <row r="6695" spans="8:18" x14ac:dyDescent="0.2">
      <c r="H6695" s="180"/>
      <c r="P6695" s="180" t="s">
        <v>257</v>
      </c>
      <c r="R6695" s="180" t="s">
        <v>257</v>
      </c>
    </row>
    <row r="6696" spans="8:18" x14ac:dyDescent="0.2">
      <c r="H6696" s="180"/>
      <c r="P6696" s="180" t="s">
        <v>257</v>
      </c>
      <c r="R6696" s="180" t="s">
        <v>257</v>
      </c>
    </row>
    <row r="6697" spans="8:18" x14ac:dyDescent="0.2">
      <c r="H6697" s="180"/>
      <c r="P6697" s="180" t="s">
        <v>257</v>
      </c>
      <c r="R6697" s="180" t="s">
        <v>257</v>
      </c>
    </row>
    <row r="6698" spans="8:18" x14ac:dyDescent="0.2">
      <c r="H6698" s="180"/>
      <c r="P6698" s="180" t="s">
        <v>257</v>
      </c>
      <c r="R6698" s="180" t="s">
        <v>257</v>
      </c>
    </row>
    <row r="6699" spans="8:18" x14ac:dyDescent="0.2">
      <c r="H6699" s="180"/>
      <c r="P6699" s="180" t="s">
        <v>257</v>
      </c>
      <c r="R6699" s="180" t="s">
        <v>257</v>
      </c>
    </row>
    <row r="6700" spans="8:18" x14ac:dyDescent="0.2">
      <c r="H6700" s="180"/>
      <c r="P6700" s="180" t="s">
        <v>257</v>
      </c>
      <c r="R6700" s="180" t="s">
        <v>257</v>
      </c>
    </row>
    <row r="6701" spans="8:18" x14ac:dyDescent="0.2">
      <c r="H6701" s="180"/>
      <c r="P6701" s="180" t="s">
        <v>257</v>
      </c>
      <c r="R6701" s="180" t="s">
        <v>257</v>
      </c>
    </row>
    <row r="6702" spans="8:18" x14ac:dyDescent="0.2">
      <c r="H6702" s="180"/>
      <c r="P6702" s="180" t="s">
        <v>257</v>
      </c>
      <c r="R6702" s="180" t="s">
        <v>257</v>
      </c>
    </row>
    <row r="6703" spans="8:18" x14ac:dyDescent="0.2">
      <c r="H6703" s="180"/>
      <c r="P6703" s="180" t="s">
        <v>257</v>
      </c>
      <c r="R6703" s="180" t="s">
        <v>257</v>
      </c>
    </row>
    <row r="6704" spans="8:18" x14ac:dyDescent="0.2">
      <c r="H6704" s="180"/>
      <c r="P6704" s="180" t="s">
        <v>257</v>
      </c>
      <c r="R6704" s="180" t="s">
        <v>257</v>
      </c>
    </row>
    <row r="6705" spans="8:18" x14ac:dyDescent="0.2">
      <c r="H6705" s="180"/>
      <c r="P6705" s="180" t="s">
        <v>257</v>
      </c>
      <c r="R6705" s="180" t="s">
        <v>257</v>
      </c>
    </row>
    <row r="6706" spans="8:18" x14ac:dyDescent="0.2">
      <c r="H6706" s="180"/>
      <c r="P6706" s="180" t="s">
        <v>257</v>
      </c>
      <c r="R6706" s="180" t="s">
        <v>257</v>
      </c>
    </row>
    <row r="6707" spans="8:18" x14ac:dyDescent="0.2">
      <c r="H6707" s="180"/>
      <c r="P6707" s="180" t="s">
        <v>257</v>
      </c>
      <c r="R6707" s="180" t="s">
        <v>257</v>
      </c>
    </row>
    <row r="6708" spans="8:18" x14ac:dyDescent="0.2">
      <c r="H6708" s="180"/>
      <c r="P6708" s="180" t="s">
        <v>257</v>
      </c>
      <c r="R6708" s="180" t="s">
        <v>257</v>
      </c>
    </row>
    <row r="6709" spans="8:18" x14ac:dyDescent="0.2">
      <c r="H6709" s="180"/>
      <c r="P6709" s="180" t="s">
        <v>257</v>
      </c>
      <c r="R6709" s="180" t="s">
        <v>257</v>
      </c>
    </row>
    <row r="6710" spans="8:18" x14ac:dyDescent="0.2">
      <c r="H6710" s="180"/>
      <c r="P6710" s="180" t="s">
        <v>257</v>
      </c>
      <c r="R6710" s="180" t="s">
        <v>257</v>
      </c>
    </row>
    <row r="6711" spans="8:18" x14ac:dyDescent="0.2">
      <c r="H6711" s="180"/>
      <c r="P6711" s="180" t="s">
        <v>257</v>
      </c>
      <c r="R6711" s="180" t="s">
        <v>257</v>
      </c>
    </row>
    <row r="6712" spans="8:18" x14ac:dyDescent="0.2">
      <c r="H6712" s="180"/>
      <c r="P6712" s="180" t="s">
        <v>257</v>
      </c>
      <c r="R6712" s="180" t="s">
        <v>257</v>
      </c>
    </row>
    <row r="6713" spans="8:18" x14ac:dyDescent="0.2">
      <c r="H6713" s="180"/>
      <c r="P6713" s="180" t="s">
        <v>257</v>
      </c>
      <c r="R6713" s="180" t="s">
        <v>257</v>
      </c>
    </row>
    <row r="6714" spans="8:18" x14ac:dyDescent="0.2">
      <c r="H6714" s="180"/>
      <c r="P6714" s="180" t="s">
        <v>257</v>
      </c>
      <c r="R6714" s="180" t="s">
        <v>257</v>
      </c>
    </row>
    <row r="6715" spans="8:18" x14ac:dyDescent="0.2">
      <c r="H6715" s="180"/>
      <c r="P6715" s="180" t="s">
        <v>257</v>
      </c>
      <c r="R6715" s="180" t="s">
        <v>257</v>
      </c>
    </row>
    <row r="6716" spans="8:18" x14ac:dyDescent="0.2">
      <c r="H6716" s="180"/>
      <c r="P6716" s="180" t="s">
        <v>257</v>
      </c>
      <c r="R6716" s="180" t="s">
        <v>257</v>
      </c>
    </row>
    <row r="6717" spans="8:18" x14ac:dyDescent="0.2">
      <c r="H6717" s="180"/>
      <c r="P6717" s="180" t="s">
        <v>257</v>
      </c>
      <c r="R6717" s="180" t="s">
        <v>257</v>
      </c>
    </row>
    <row r="6718" spans="8:18" x14ac:dyDescent="0.2">
      <c r="H6718" s="180"/>
      <c r="P6718" s="180" t="s">
        <v>257</v>
      </c>
      <c r="R6718" s="180" t="s">
        <v>257</v>
      </c>
    </row>
    <row r="6719" spans="8:18" x14ac:dyDescent="0.2">
      <c r="H6719" s="180"/>
      <c r="P6719" s="180" t="s">
        <v>257</v>
      </c>
      <c r="R6719" s="180" t="s">
        <v>257</v>
      </c>
    </row>
    <row r="6720" spans="8:18" x14ac:dyDescent="0.2">
      <c r="H6720" s="180"/>
      <c r="P6720" s="180" t="s">
        <v>257</v>
      </c>
      <c r="R6720" s="180" t="s">
        <v>257</v>
      </c>
    </row>
    <row r="6721" spans="8:18" x14ac:dyDescent="0.2">
      <c r="H6721" s="180"/>
      <c r="P6721" s="180" t="s">
        <v>257</v>
      </c>
      <c r="R6721" s="180" t="s">
        <v>257</v>
      </c>
    </row>
    <row r="6722" spans="8:18" x14ac:dyDescent="0.2">
      <c r="H6722" s="180"/>
      <c r="P6722" s="180" t="s">
        <v>257</v>
      </c>
      <c r="R6722" s="180" t="s">
        <v>257</v>
      </c>
    </row>
    <row r="6723" spans="8:18" x14ac:dyDescent="0.2">
      <c r="H6723" s="180"/>
      <c r="P6723" s="180" t="s">
        <v>257</v>
      </c>
      <c r="R6723" s="180" t="s">
        <v>257</v>
      </c>
    </row>
    <row r="6724" spans="8:18" x14ac:dyDescent="0.2">
      <c r="H6724" s="180"/>
      <c r="P6724" s="180" t="s">
        <v>257</v>
      </c>
      <c r="R6724" s="180" t="s">
        <v>257</v>
      </c>
    </row>
    <row r="6725" spans="8:18" x14ac:dyDescent="0.2">
      <c r="H6725" s="180"/>
      <c r="P6725" s="180" t="s">
        <v>257</v>
      </c>
      <c r="R6725" s="180" t="s">
        <v>257</v>
      </c>
    </row>
    <row r="6726" spans="8:18" x14ac:dyDescent="0.2">
      <c r="H6726" s="180"/>
      <c r="P6726" s="180" t="s">
        <v>257</v>
      </c>
      <c r="R6726" s="180" t="s">
        <v>257</v>
      </c>
    </row>
    <row r="6727" spans="8:18" x14ac:dyDescent="0.2">
      <c r="H6727" s="180"/>
      <c r="P6727" s="180" t="s">
        <v>257</v>
      </c>
      <c r="R6727" s="180" t="s">
        <v>257</v>
      </c>
    </row>
    <row r="6728" spans="8:18" x14ac:dyDescent="0.2">
      <c r="H6728" s="180"/>
      <c r="P6728" s="180" t="s">
        <v>257</v>
      </c>
      <c r="R6728" s="180" t="s">
        <v>257</v>
      </c>
    </row>
    <row r="6729" spans="8:18" x14ac:dyDescent="0.2">
      <c r="H6729" s="180"/>
      <c r="P6729" s="180" t="s">
        <v>257</v>
      </c>
      <c r="R6729" s="180" t="s">
        <v>257</v>
      </c>
    </row>
    <row r="6730" spans="8:18" x14ac:dyDescent="0.2">
      <c r="H6730" s="180"/>
      <c r="P6730" s="180" t="s">
        <v>257</v>
      </c>
      <c r="R6730" s="180" t="s">
        <v>257</v>
      </c>
    </row>
    <row r="6731" spans="8:18" x14ac:dyDescent="0.2">
      <c r="H6731" s="180"/>
      <c r="P6731" s="180" t="s">
        <v>257</v>
      </c>
      <c r="R6731" s="180" t="s">
        <v>257</v>
      </c>
    </row>
    <row r="6732" spans="8:18" x14ac:dyDescent="0.2">
      <c r="H6732" s="180"/>
      <c r="P6732" s="180" t="s">
        <v>257</v>
      </c>
      <c r="R6732" s="180" t="s">
        <v>257</v>
      </c>
    </row>
    <row r="6733" spans="8:18" x14ac:dyDescent="0.2">
      <c r="H6733" s="180"/>
      <c r="P6733" s="180" t="s">
        <v>257</v>
      </c>
      <c r="R6733" s="180" t="s">
        <v>257</v>
      </c>
    </row>
    <row r="6734" spans="8:18" x14ac:dyDescent="0.2">
      <c r="H6734" s="180"/>
      <c r="P6734" s="180" t="s">
        <v>257</v>
      </c>
      <c r="R6734" s="180" t="s">
        <v>257</v>
      </c>
    </row>
    <row r="6735" spans="8:18" x14ac:dyDescent="0.2">
      <c r="H6735" s="180"/>
      <c r="P6735" s="180" t="s">
        <v>257</v>
      </c>
      <c r="R6735" s="180" t="s">
        <v>257</v>
      </c>
    </row>
    <row r="6736" spans="8:18" x14ac:dyDescent="0.2">
      <c r="H6736" s="180"/>
      <c r="P6736" s="180" t="s">
        <v>257</v>
      </c>
      <c r="R6736" s="180" t="s">
        <v>257</v>
      </c>
    </row>
    <row r="6737" spans="8:18" x14ac:dyDescent="0.2">
      <c r="H6737" s="180"/>
      <c r="P6737" s="180" t="s">
        <v>257</v>
      </c>
      <c r="R6737" s="180" t="s">
        <v>257</v>
      </c>
    </row>
    <row r="6738" spans="8:18" x14ac:dyDescent="0.2">
      <c r="H6738" s="180"/>
      <c r="P6738" s="180" t="s">
        <v>257</v>
      </c>
      <c r="R6738" s="180" t="s">
        <v>257</v>
      </c>
    </row>
    <row r="6739" spans="8:18" x14ac:dyDescent="0.2">
      <c r="H6739" s="180"/>
      <c r="P6739" s="180" t="s">
        <v>257</v>
      </c>
      <c r="R6739" s="180" t="s">
        <v>257</v>
      </c>
    </row>
    <row r="6740" spans="8:18" x14ac:dyDescent="0.2">
      <c r="H6740" s="180"/>
      <c r="P6740" s="180" t="s">
        <v>257</v>
      </c>
      <c r="R6740" s="180" t="s">
        <v>257</v>
      </c>
    </row>
    <row r="6741" spans="8:18" x14ac:dyDescent="0.2">
      <c r="H6741" s="180"/>
      <c r="P6741" s="180" t="s">
        <v>257</v>
      </c>
      <c r="R6741" s="180" t="s">
        <v>257</v>
      </c>
    </row>
    <row r="6742" spans="8:18" x14ac:dyDescent="0.2">
      <c r="H6742" s="180"/>
      <c r="P6742" s="180" t="s">
        <v>257</v>
      </c>
      <c r="R6742" s="180" t="s">
        <v>257</v>
      </c>
    </row>
    <row r="6743" spans="8:18" x14ac:dyDescent="0.2">
      <c r="H6743" s="180"/>
      <c r="P6743" s="180" t="s">
        <v>257</v>
      </c>
      <c r="R6743" s="180" t="s">
        <v>257</v>
      </c>
    </row>
    <row r="6744" spans="8:18" x14ac:dyDescent="0.2">
      <c r="H6744" s="180"/>
      <c r="P6744" s="180" t="s">
        <v>257</v>
      </c>
      <c r="R6744" s="180" t="s">
        <v>257</v>
      </c>
    </row>
    <row r="6745" spans="8:18" x14ac:dyDescent="0.2">
      <c r="H6745" s="180"/>
      <c r="P6745" s="180" t="s">
        <v>257</v>
      </c>
      <c r="R6745" s="180" t="s">
        <v>257</v>
      </c>
    </row>
    <row r="6746" spans="8:18" x14ac:dyDescent="0.2">
      <c r="H6746" s="180"/>
      <c r="P6746" s="180" t="s">
        <v>257</v>
      </c>
      <c r="R6746" s="180" t="s">
        <v>257</v>
      </c>
    </row>
    <row r="6747" spans="8:18" x14ac:dyDescent="0.2">
      <c r="H6747" s="180"/>
      <c r="P6747" s="180" t="s">
        <v>257</v>
      </c>
      <c r="R6747" s="180" t="s">
        <v>257</v>
      </c>
    </row>
    <row r="6748" spans="8:18" x14ac:dyDescent="0.2">
      <c r="H6748" s="180"/>
      <c r="P6748" s="180" t="s">
        <v>257</v>
      </c>
      <c r="R6748" s="180" t="s">
        <v>257</v>
      </c>
    </row>
    <row r="6749" spans="8:18" x14ac:dyDescent="0.2">
      <c r="H6749" s="180"/>
      <c r="P6749" s="180" t="s">
        <v>257</v>
      </c>
      <c r="R6749" s="180" t="s">
        <v>257</v>
      </c>
    </row>
    <row r="6750" spans="8:18" x14ac:dyDescent="0.2">
      <c r="H6750" s="180"/>
      <c r="P6750" s="180" t="s">
        <v>257</v>
      </c>
      <c r="R6750" s="180" t="s">
        <v>257</v>
      </c>
    </row>
    <row r="6751" spans="8:18" x14ac:dyDescent="0.2">
      <c r="H6751" s="180"/>
      <c r="P6751" s="180" t="s">
        <v>257</v>
      </c>
      <c r="R6751" s="180" t="s">
        <v>257</v>
      </c>
    </row>
    <row r="6752" spans="8:18" x14ac:dyDescent="0.2">
      <c r="H6752" s="180"/>
      <c r="P6752" s="180" t="s">
        <v>257</v>
      </c>
      <c r="R6752" s="180" t="s">
        <v>257</v>
      </c>
    </row>
    <row r="6753" spans="8:18" x14ac:dyDescent="0.2">
      <c r="H6753" s="180"/>
      <c r="P6753" s="180" t="s">
        <v>257</v>
      </c>
      <c r="R6753" s="180" t="s">
        <v>257</v>
      </c>
    </row>
    <row r="6754" spans="8:18" x14ac:dyDescent="0.2">
      <c r="H6754" s="180"/>
      <c r="P6754" s="180" t="s">
        <v>257</v>
      </c>
      <c r="R6754" s="180" t="s">
        <v>257</v>
      </c>
    </row>
    <row r="6755" spans="8:18" x14ac:dyDescent="0.2">
      <c r="H6755" s="180"/>
      <c r="P6755" s="180" t="s">
        <v>257</v>
      </c>
      <c r="R6755" s="180" t="s">
        <v>257</v>
      </c>
    </row>
    <row r="6756" spans="8:18" x14ac:dyDescent="0.2">
      <c r="H6756" s="180"/>
      <c r="P6756" s="180" t="s">
        <v>257</v>
      </c>
      <c r="R6756" s="180" t="s">
        <v>257</v>
      </c>
    </row>
    <row r="6757" spans="8:18" x14ac:dyDescent="0.2">
      <c r="H6757" s="180"/>
      <c r="P6757" s="180" t="s">
        <v>257</v>
      </c>
      <c r="R6757" s="180" t="s">
        <v>257</v>
      </c>
    </row>
    <row r="6758" spans="8:18" x14ac:dyDescent="0.2">
      <c r="H6758" s="180"/>
      <c r="P6758" s="180" t="s">
        <v>257</v>
      </c>
      <c r="R6758" s="180" t="s">
        <v>257</v>
      </c>
    </row>
    <row r="6759" spans="8:18" x14ac:dyDescent="0.2">
      <c r="H6759" s="180"/>
      <c r="P6759" s="180" t="s">
        <v>257</v>
      </c>
      <c r="R6759" s="180" t="s">
        <v>257</v>
      </c>
    </row>
    <row r="6760" spans="8:18" x14ac:dyDescent="0.2">
      <c r="H6760" s="180"/>
      <c r="P6760" s="180" t="s">
        <v>257</v>
      </c>
      <c r="R6760" s="180" t="s">
        <v>257</v>
      </c>
    </row>
    <row r="6761" spans="8:18" x14ac:dyDescent="0.2">
      <c r="H6761" s="180"/>
      <c r="P6761" s="180" t="s">
        <v>257</v>
      </c>
      <c r="R6761" s="180" t="s">
        <v>257</v>
      </c>
    </row>
    <row r="6762" spans="8:18" x14ac:dyDescent="0.2">
      <c r="H6762" s="180"/>
      <c r="P6762" s="180" t="s">
        <v>257</v>
      </c>
      <c r="R6762" s="180" t="s">
        <v>257</v>
      </c>
    </row>
    <row r="6763" spans="8:18" x14ac:dyDescent="0.2">
      <c r="H6763" s="180"/>
      <c r="P6763" s="180" t="s">
        <v>257</v>
      </c>
      <c r="R6763" s="180" t="s">
        <v>257</v>
      </c>
    </row>
    <row r="6764" spans="8:18" x14ac:dyDescent="0.2">
      <c r="H6764" s="180"/>
      <c r="P6764" s="180" t="s">
        <v>257</v>
      </c>
      <c r="R6764" s="180" t="s">
        <v>257</v>
      </c>
    </row>
    <row r="6765" spans="8:18" x14ac:dyDescent="0.2">
      <c r="H6765" s="180"/>
      <c r="P6765" s="180" t="s">
        <v>257</v>
      </c>
      <c r="R6765" s="180" t="s">
        <v>257</v>
      </c>
    </row>
    <row r="6766" spans="8:18" x14ac:dyDescent="0.2">
      <c r="H6766" s="180"/>
      <c r="P6766" s="180" t="s">
        <v>257</v>
      </c>
      <c r="R6766" s="180" t="s">
        <v>257</v>
      </c>
    </row>
    <row r="6767" spans="8:18" x14ac:dyDescent="0.2">
      <c r="H6767" s="180"/>
      <c r="P6767" s="180" t="s">
        <v>257</v>
      </c>
      <c r="R6767" s="180" t="s">
        <v>257</v>
      </c>
    </row>
    <row r="6768" spans="8:18" x14ac:dyDescent="0.2">
      <c r="H6768" s="180"/>
      <c r="P6768" s="180" t="s">
        <v>257</v>
      </c>
      <c r="R6768" s="180" t="s">
        <v>257</v>
      </c>
    </row>
    <row r="6769" spans="8:18" x14ac:dyDescent="0.2">
      <c r="H6769" s="180"/>
      <c r="P6769" s="180" t="s">
        <v>257</v>
      </c>
      <c r="R6769" s="180" t="s">
        <v>257</v>
      </c>
    </row>
    <row r="6770" spans="8:18" x14ac:dyDescent="0.2">
      <c r="H6770" s="180"/>
      <c r="P6770" s="180" t="s">
        <v>257</v>
      </c>
      <c r="R6770" s="180" t="s">
        <v>257</v>
      </c>
    </row>
    <row r="6771" spans="8:18" x14ac:dyDescent="0.2">
      <c r="H6771" s="180"/>
      <c r="P6771" s="180" t="s">
        <v>257</v>
      </c>
      <c r="R6771" s="180" t="s">
        <v>257</v>
      </c>
    </row>
    <row r="6772" spans="8:18" x14ac:dyDescent="0.2">
      <c r="H6772" s="180"/>
      <c r="P6772" s="180" t="s">
        <v>257</v>
      </c>
      <c r="R6772" s="180" t="s">
        <v>257</v>
      </c>
    </row>
    <row r="6773" spans="8:18" x14ac:dyDescent="0.2">
      <c r="H6773" s="180"/>
      <c r="P6773" s="180" t="s">
        <v>257</v>
      </c>
      <c r="R6773" s="180" t="s">
        <v>257</v>
      </c>
    </row>
    <row r="6774" spans="8:18" x14ac:dyDescent="0.2">
      <c r="H6774" s="180"/>
      <c r="P6774" s="180" t="s">
        <v>257</v>
      </c>
      <c r="R6774" s="180" t="s">
        <v>257</v>
      </c>
    </row>
    <row r="6775" spans="8:18" x14ac:dyDescent="0.2">
      <c r="H6775" s="180"/>
      <c r="P6775" s="180" t="s">
        <v>257</v>
      </c>
      <c r="R6775" s="180" t="s">
        <v>257</v>
      </c>
    </row>
    <row r="6776" spans="8:18" x14ac:dyDescent="0.2">
      <c r="H6776" s="180"/>
      <c r="P6776" s="180" t="s">
        <v>257</v>
      </c>
      <c r="R6776" s="180" t="s">
        <v>257</v>
      </c>
    </row>
    <row r="6777" spans="8:18" x14ac:dyDescent="0.2">
      <c r="H6777" s="180"/>
      <c r="P6777" s="180" t="s">
        <v>257</v>
      </c>
      <c r="R6777" s="180" t="s">
        <v>257</v>
      </c>
    </row>
    <row r="6778" spans="8:18" x14ac:dyDescent="0.2">
      <c r="H6778" s="180"/>
      <c r="P6778" s="180" t="s">
        <v>257</v>
      </c>
      <c r="R6778" s="180" t="s">
        <v>257</v>
      </c>
    </row>
    <row r="6779" spans="8:18" x14ac:dyDescent="0.2">
      <c r="H6779" s="180"/>
      <c r="P6779" s="180" t="s">
        <v>257</v>
      </c>
      <c r="R6779" s="180" t="s">
        <v>257</v>
      </c>
    </row>
    <row r="6780" spans="8:18" x14ac:dyDescent="0.2">
      <c r="H6780" s="180"/>
      <c r="P6780" s="180" t="s">
        <v>257</v>
      </c>
      <c r="R6780" s="180" t="s">
        <v>257</v>
      </c>
    </row>
    <row r="6781" spans="8:18" x14ac:dyDescent="0.2">
      <c r="H6781" s="180"/>
      <c r="P6781" s="180" t="s">
        <v>257</v>
      </c>
      <c r="R6781" s="180" t="s">
        <v>257</v>
      </c>
    </row>
    <row r="6782" spans="8:18" x14ac:dyDescent="0.2">
      <c r="H6782" s="180"/>
      <c r="P6782" s="180" t="s">
        <v>257</v>
      </c>
      <c r="R6782" s="180" t="s">
        <v>257</v>
      </c>
    </row>
    <row r="6783" spans="8:18" x14ac:dyDescent="0.2">
      <c r="H6783" s="180"/>
      <c r="P6783" s="180" t="s">
        <v>257</v>
      </c>
      <c r="R6783" s="180" t="s">
        <v>257</v>
      </c>
    </row>
    <row r="6784" spans="8:18" x14ac:dyDescent="0.2">
      <c r="H6784" s="180"/>
      <c r="P6784" s="180" t="s">
        <v>257</v>
      </c>
      <c r="R6784" s="180" t="s">
        <v>257</v>
      </c>
    </row>
    <row r="6785" spans="8:18" x14ac:dyDescent="0.2">
      <c r="H6785" s="180"/>
      <c r="P6785" s="180" t="s">
        <v>257</v>
      </c>
      <c r="R6785" s="180" t="s">
        <v>257</v>
      </c>
    </row>
    <row r="6786" spans="8:18" x14ac:dyDescent="0.2">
      <c r="H6786" s="180"/>
      <c r="P6786" s="180" t="s">
        <v>257</v>
      </c>
      <c r="R6786" s="180" t="s">
        <v>257</v>
      </c>
    </row>
    <row r="6787" spans="8:18" x14ac:dyDescent="0.2">
      <c r="H6787" s="180"/>
      <c r="P6787" s="180" t="s">
        <v>257</v>
      </c>
      <c r="R6787" s="180" t="s">
        <v>257</v>
      </c>
    </row>
    <row r="6788" spans="8:18" x14ac:dyDescent="0.2">
      <c r="H6788" s="180"/>
      <c r="P6788" s="180" t="s">
        <v>257</v>
      </c>
      <c r="R6788" s="180" t="s">
        <v>257</v>
      </c>
    </row>
    <row r="6789" spans="8:18" x14ac:dyDescent="0.2">
      <c r="H6789" s="180"/>
      <c r="P6789" s="180" t="s">
        <v>257</v>
      </c>
      <c r="R6789" s="180" t="s">
        <v>257</v>
      </c>
    </row>
    <row r="6790" spans="8:18" x14ac:dyDescent="0.2">
      <c r="H6790" s="180"/>
      <c r="P6790" s="180" t="s">
        <v>257</v>
      </c>
      <c r="R6790" s="180" t="s">
        <v>257</v>
      </c>
    </row>
    <row r="6791" spans="8:18" x14ac:dyDescent="0.2">
      <c r="H6791" s="180"/>
      <c r="P6791" s="180" t="s">
        <v>257</v>
      </c>
      <c r="R6791" s="180" t="s">
        <v>257</v>
      </c>
    </row>
    <row r="6792" spans="8:18" x14ac:dyDescent="0.2">
      <c r="H6792" s="180"/>
      <c r="P6792" s="180" t="s">
        <v>257</v>
      </c>
      <c r="R6792" s="180" t="s">
        <v>257</v>
      </c>
    </row>
    <row r="6793" spans="8:18" x14ac:dyDescent="0.2">
      <c r="H6793" s="180"/>
      <c r="P6793" s="180" t="s">
        <v>257</v>
      </c>
      <c r="R6793" s="180" t="s">
        <v>257</v>
      </c>
    </row>
    <row r="6794" spans="8:18" x14ac:dyDescent="0.2">
      <c r="H6794" s="180"/>
      <c r="P6794" s="180" t="s">
        <v>257</v>
      </c>
      <c r="R6794" s="180" t="s">
        <v>257</v>
      </c>
    </row>
    <row r="6795" spans="8:18" x14ac:dyDescent="0.2">
      <c r="H6795" s="180"/>
      <c r="P6795" s="180" t="s">
        <v>257</v>
      </c>
      <c r="R6795" s="180" t="s">
        <v>257</v>
      </c>
    </row>
    <row r="6796" spans="8:18" x14ac:dyDescent="0.2">
      <c r="H6796" s="180"/>
      <c r="P6796" s="180" t="s">
        <v>257</v>
      </c>
      <c r="R6796" s="180" t="s">
        <v>257</v>
      </c>
    </row>
    <row r="6797" spans="8:18" x14ac:dyDescent="0.2">
      <c r="H6797" s="180"/>
      <c r="P6797" s="180" t="s">
        <v>257</v>
      </c>
      <c r="R6797" s="180" t="s">
        <v>257</v>
      </c>
    </row>
    <row r="6798" spans="8:18" x14ac:dyDescent="0.2">
      <c r="H6798" s="180"/>
      <c r="P6798" s="180" t="s">
        <v>257</v>
      </c>
      <c r="R6798" s="180" t="s">
        <v>257</v>
      </c>
    </row>
    <row r="6799" spans="8:18" x14ac:dyDescent="0.2">
      <c r="H6799" s="180"/>
      <c r="P6799" s="180" t="s">
        <v>257</v>
      </c>
      <c r="R6799" s="180" t="s">
        <v>257</v>
      </c>
    </row>
    <row r="6800" spans="8:18" x14ac:dyDescent="0.2">
      <c r="H6800" s="180"/>
      <c r="P6800" s="180" t="s">
        <v>257</v>
      </c>
      <c r="R6800" s="180" t="s">
        <v>257</v>
      </c>
    </row>
    <row r="6801" spans="8:18" x14ac:dyDescent="0.2">
      <c r="H6801" s="180"/>
      <c r="P6801" s="180" t="s">
        <v>257</v>
      </c>
      <c r="R6801" s="180" t="s">
        <v>257</v>
      </c>
    </row>
    <row r="6802" spans="8:18" x14ac:dyDescent="0.2">
      <c r="H6802" s="180"/>
      <c r="P6802" s="180" t="s">
        <v>257</v>
      </c>
      <c r="R6802" s="180" t="s">
        <v>257</v>
      </c>
    </row>
    <row r="6803" spans="8:18" x14ac:dyDescent="0.2">
      <c r="H6803" s="180"/>
      <c r="P6803" s="180" t="s">
        <v>257</v>
      </c>
      <c r="R6803" s="180" t="s">
        <v>257</v>
      </c>
    </row>
    <row r="6804" spans="8:18" x14ac:dyDescent="0.2">
      <c r="H6804" s="180"/>
      <c r="P6804" s="180" t="s">
        <v>257</v>
      </c>
      <c r="R6804" s="180" t="s">
        <v>257</v>
      </c>
    </row>
    <row r="6805" spans="8:18" x14ac:dyDescent="0.2">
      <c r="H6805" s="180"/>
      <c r="P6805" s="180" t="s">
        <v>257</v>
      </c>
      <c r="R6805" s="180" t="s">
        <v>257</v>
      </c>
    </row>
    <row r="6806" spans="8:18" x14ac:dyDescent="0.2">
      <c r="H6806" s="180"/>
      <c r="P6806" s="180" t="s">
        <v>257</v>
      </c>
      <c r="R6806" s="180" t="s">
        <v>257</v>
      </c>
    </row>
    <row r="6807" spans="8:18" x14ac:dyDescent="0.2">
      <c r="H6807" s="180"/>
      <c r="P6807" s="180" t="s">
        <v>257</v>
      </c>
      <c r="R6807" s="180" t="s">
        <v>257</v>
      </c>
    </row>
    <row r="6808" spans="8:18" x14ac:dyDescent="0.2">
      <c r="H6808" s="180"/>
      <c r="P6808" s="180" t="s">
        <v>257</v>
      </c>
      <c r="R6808" s="180" t="s">
        <v>257</v>
      </c>
    </row>
    <row r="6809" spans="8:18" x14ac:dyDescent="0.2">
      <c r="H6809" s="180"/>
      <c r="P6809" s="180" t="s">
        <v>257</v>
      </c>
      <c r="R6809" s="180" t="s">
        <v>257</v>
      </c>
    </row>
    <row r="6810" spans="8:18" x14ac:dyDescent="0.2">
      <c r="H6810" s="180"/>
      <c r="P6810" s="180" t="s">
        <v>257</v>
      </c>
      <c r="R6810" s="180" t="s">
        <v>257</v>
      </c>
    </row>
    <row r="6811" spans="8:18" x14ac:dyDescent="0.2">
      <c r="H6811" s="180"/>
      <c r="P6811" s="180" t="s">
        <v>257</v>
      </c>
      <c r="R6811" s="180" t="s">
        <v>257</v>
      </c>
    </row>
    <row r="6812" spans="8:18" x14ac:dyDescent="0.2">
      <c r="H6812" s="180"/>
      <c r="P6812" s="180" t="s">
        <v>257</v>
      </c>
      <c r="R6812" s="180" t="s">
        <v>257</v>
      </c>
    </row>
    <row r="6813" spans="8:18" x14ac:dyDescent="0.2">
      <c r="H6813" s="180"/>
      <c r="P6813" s="180" t="s">
        <v>257</v>
      </c>
      <c r="R6813" s="180" t="s">
        <v>257</v>
      </c>
    </row>
    <row r="6814" spans="8:18" x14ac:dyDescent="0.2">
      <c r="H6814" s="180"/>
      <c r="P6814" s="180" t="s">
        <v>257</v>
      </c>
      <c r="R6814" s="180" t="s">
        <v>257</v>
      </c>
    </row>
    <row r="6815" spans="8:18" x14ac:dyDescent="0.2">
      <c r="H6815" s="180"/>
      <c r="P6815" s="180" t="s">
        <v>257</v>
      </c>
      <c r="R6815" s="180" t="s">
        <v>257</v>
      </c>
    </row>
    <row r="6816" spans="8:18" x14ac:dyDescent="0.2">
      <c r="H6816" s="180"/>
      <c r="P6816" s="180" t="s">
        <v>257</v>
      </c>
      <c r="R6816" s="180" t="s">
        <v>257</v>
      </c>
    </row>
    <row r="6817" spans="8:18" x14ac:dyDescent="0.2">
      <c r="H6817" s="180"/>
      <c r="P6817" s="180" t="s">
        <v>257</v>
      </c>
      <c r="R6817" s="180" t="s">
        <v>257</v>
      </c>
    </row>
    <row r="6818" spans="8:18" x14ac:dyDescent="0.2">
      <c r="H6818" s="180"/>
      <c r="P6818" s="180" t="s">
        <v>257</v>
      </c>
      <c r="R6818" s="180" t="s">
        <v>257</v>
      </c>
    </row>
    <row r="6819" spans="8:18" x14ac:dyDescent="0.2">
      <c r="H6819" s="180"/>
      <c r="P6819" s="180" t="s">
        <v>257</v>
      </c>
      <c r="R6819" s="180" t="s">
        <v>257</v>
      </c>
    </row>
    <row r="6820" spans="8:18" x14ac:dyDescent="0.2">
      <c r="H6820" s="180"/>
      <c r="P6820" s="180" t="s">
        <v>257</v>
      </c>
      <c r="R6820" s="180" t="s">
        <v>257</v>
      </c>
    </row>
    <row r="6821" spans="8:18" x14ac:dyDescent="0.2">
      <c r="H6821" s="180"/>
      <c r="P6821" s="180" t="s">
        <v>257</v>
      </c>
      <c r="R6821" s="180" t="s">
        <v>257</v>
      </c>
    </row>
    <row r="6822" spans="8:18" x14ac:dyDescent="0.2">
      <c r="H6822" s="180"/>
      <c r="P6822" s="180" t="s">
        <v>257</v>
      </c>
      <c r="R6822" s="180" t="s">
        <v>257</v>
      </c>
    </row>
    <row r="6823" spans="8:18" x14ac:dyDescent="0.2">
      <c r="H6823" s="180"/>
      <c r="P6823" s="180" t="s">
        <v>257</v>
      </c>
      <c r="R6823" s="180" t="s">
        <v>257</v>
      </c>
    </row>
    <row r="6824" spans="8:18" x14ac:dyDescent="0.2">
      <c r="H6824" s="180"/>
      <c r="P6824" s="180" t="s">
        <v>257</v>
      </c>
      <c r="R6824" s="180" t="s">
        <v>257</v>
      </c>
    </row>
    <row r="6825" spans="8:18" x14ac:dyDescent="0.2">
      <c r="H6825" s="180"/>
      <c r="P6825" s="180" t="s">
        <v>257</v>
      </c>
      <c r="R6825" s="180" t="s">
        <v>257</v>
      </c>
    </row>
    <row r="6826" spans="8:18" x14ac:dyDescent="0.2">
      <c r="H6826" s="180"/>
      <c r="P6826" s="180" t="s">
        <v>257</v>
      </c>
      <c r="R6826" s="180" t="s">
        <v>257</v>
      </c>
    </row>
    <row r="6827" spans="8:18" x14ac:dyDescent="0.2">
      <c r="H6827" s="180"/>
      <c r="P6827" s="180" t="s">
        <v>257</v>
      </c>
      <c r="R6827" s="180" t="s">
        <v>257</v>
      </c>
    </row>
    <row r="6828" spans="8:18" x14ac:dyDescent="0.2">
      <c r="H6828" s="180"/>
      <c r="P6828" s="180" t="s">
        <v>257</v>
      </c>
      <c r="R6828" s="180" t="s">
        <v>257</v>
      </c>
    </row>
    <row r="6829" spans="8:18" x14ac:dyDescent="0.2">
      <c r="H6829" s="180"/>
      <c r="P6829" s="180" t="s">
        <v>257</v>
      </c>
      <c r="R6829" s="180" t="s">
        <v>257</v>
      </c>
    </row>
    <row r="6830" spans="8:18" x14ac:dyDescent="0.2">
      <c r="H6830" s="180"/>
      <c r="P6830" s="180" t="s">
        <v>257</v>
      </c>
      <c r="R6830" s="180" t="s">
        <v>257</v>
      </c>
    </row>
    <row r="6831" spans="8:18" x14ac:dyDescent="0.2">
      <c r="H6831" s="180"/>
      <c r="P6831" s="180" t="s">
        <v>257</v>
      </c>
      <c r="R6831" s="180" t="s">
        <v>257</v>
      </c>
    </row>
    <row r="6832" spans="8:18" x14ac:dyDescent="0.2">
      <c r="H6832" s="180"/>
      <c r="P6832" s="180" t="s">
        <v>257</v>
      </c>
      <c r="R6832" s="180" t="s">
        <v>257</v>
      </c>
    </row>
    <row r="6833" spans="8:18" x14ac:dyDescent="0.2">
      <c r="H6833" s="180"/>
      <c r="P6833" s="180" t="s">
        <v>257</v>
      </c>
      <c r="R6833" s="180" t="s">
        <v>257</v>
      </c>
    </row>
    <row r="6834" spans="8:18" x14ac:dyDescent="0.2">
      <c r="H6834" s="180"/>
      <c r="P6834" s="180" t="s">
        <v>257</v>
      </c>
      <c r="R6834" s="180" t="s">
        <v>257</v>
      </c>
    </row>
    <row r="6835" spans="8:18" x14ac:dyDescent="0.2">
      <c r="H6835" s="180"/>
      <c r="P6835" s="180" t="s">
        <v>257</v>
      </c>
      <c r="R6835" s="180" t="s">
        <v>257</v>
      </c>
    </row>
    <row r="6836" spans="8:18" x14ac:dyDescent="0.2">
      <c r="H6836" s="180"/>
      <c r="P6836" s="180" t="s">
        <v>257</v>
      </c>
      <c r="R6836" s="180" t="s">
        <v>257</v>
      </c>
    </row>
    <row r="6837" spans="8:18" x14ac:dyDescent="0.2">
      <c r="H6837" s="180"/>
      <c r="P6837" s="180" t="s">
        <v>257</v>
      </c>
      <c r="R6837" s="180" t="s">
        <v>257</v>
      </c>
    </row>
    <row r="6838" spans="8:18" x14ac:dyDescent="0.2">
      <c r="H6838" s="180"/>
      <c r="P6838" s="180" t="s">
        <v>257</v>
      </c>
      <c r="R6838" s="180" t="s">
        <v>257</v>
      </c>
    </row>
    <row r="6839" spans="8:18" x14ac:dyDescent="0.2">
      <c r="H6839" s="180"/>
      <c r="P6839" s="180" t="s">
        <v>257</v>
      </c>
      <c r="R6839" s="180" t="s">
        <v>257</v>
      </c>
    </row>
    <row r="6840" spans="8:18" x14ac:dyDescent="0.2">
      <c r="H6840" s="180"/>
      <c r="P6840" s="180" t="s">
        <v>257</v>
      </c>
      <c r="R6840" s="180" t="s">
        <v>257</v>
      </c>
    </row>
    <row r="6841" spans="8:18" x14ac:dyDescent="0.2">
      <c r="H6841" s="180"/>
      <c r="P6841" s="180" t="s">
        <v>257</v>
      </c>
      <c r="R6841" s="180" t="s">
        <v>257</v>
      </c>
    </row>
    <row r="6842" spans="8:18" x14ac:dyDescent="0.2">
      <c r="H6842" s="180"/>
      <c r="P6842" s="180" t="s">
        <v>257</v>
      </c>
      <c r="R6842" s="180" t="s">
        <v>257</v>
      </c>
    </row>
    <row r="6843" spans="8:18" x14ac:dyDescent="0.2">
      <c r="H6843" s="180"/>
      <c r="P6843" s="180" t="s">
        <v>257</v>
      </c>
      <c r="R6843" s="180" t="s">
        <v>257</v>
      </c>
    </row>
    <row r="6844" spans="8:18" x14ac:dyDescent="0.2">
      <c r="H6844" s="180"/>
      <c r="P6844" s="180" t="s">
        <v>257</v>
      </c>
      <c r="R6844" s="180" t="s">
        <v>257</v>
      </c>
    </row>
    <row r="6845" spans="8:18" x14ac:dyDescent="0.2">
      <c r="H6845" s="180"/>
      <c r="P6845" s="180" t="s">
        <v>257</v>
      </c>
      <c r="R6845" s="180" t="s">
        <v>257</v>
      </c>
    </row>
    <row r="6846" spans="8:18" x14ac:dyDescent="0.2">
      <c r="H6846" s="180"/>
      <c r="P6846" s="180" t="s">
        <v>257</v>
      </c>
      <c r="R6846" s="180" t="s">
        <v>257</v>
      </c>
    </row>
    <row r="6847" spans="8:18" x14ac:dyDescent="0.2">
      <c r="H6847" s="180"/>
      <c r="P6847" s="180" t="s">
        <v>257</v>
      </c>
      <c r="R6847" s="180" t="s">
        <v>257</v>
      </c>
    </row>
    <row r="6848" spans="8:18" x14ac:dyDescent="0.2">
      <c r="H6848" s="180"/>
      <c r="P6848" s="180" t="s">
        <v>257</v>
      </c>
      <c r="R6848" s="180" t="s">
        <v>257</v>
      </c>
    </row>
    <row r="6849" spans="8:18" x14ac:dyDescent="0.2">
      <c r="H6849" s="180"/>
      <c r="P6849" s="180" t="s">
        <v>257</v>
      </c>
      <c r="R6849" s="180" t="s">
        <v>257</v>
      </c>
    </row>
    <row r="6850" spans="8:18" x14ac:dyDescent="0.2">
      <c r="H6850" s="180"/>
      <c r="P6850" s="180" t="s">
        <v>257</v>
      </c>
      <c r="R6850" s="180" t="s">
        <v>257</v>
      </c>
    </row>
    <row r="6851" spans="8:18" x14ac:dyDescent="0.2">
      <c r="H6851" s="180"/>
      <c r="P6851" s="180" t="s">
        <v>257</v>
      </c>
      <c r="R6851" s="180" t="s">
        <v>257</v>
      </c>
    </row>
    <row r="6852" spans="8:18" x14ac:dyDescent="0.2">
      <c r="H6852" s="180"/>
      <c r="P6852" s="180" t="s">
        <v>257</v>
      </c>
      <c r="R6852" s="180" t="s">
        <v>257</v>
      </c>
    </row>
    <row r="6853" spans="8:18" x14ac:dyDescent="0.2">
      <c r="H6853" s="180"/>
      <c r="P6853" s="180" t="s">
        <v>257</v>
      </c>
      <c r="R6853" s="180" t="s">
        <v>257</v>
      </c>
    </row>
    <row r="6854" spans="8:18" x14ac:dyDescent="0.2">
      <c r="H6854" s="180"/>
      <c r="P6854" s="180" t="s">
        <v>257</v>
      </c>
      <c r="R6854" s="180" t="s">
        <v>257</v>
      </c>
    </row>
    <row r="6855" spans="8:18" x14ac:dyDescent="0.2">
      <c r="H6855" s="180"/>
      <c r="P6855" s="180" t="s">
        <v>257</v>
      </c>
      <c r="R6855" s="180" t="s">
        <v>257</v>
      </c>
    </row>
    <row r="6856" spans="8:18" x14ac:dyDescent="0.2">
      <c r="H6856" s="180"/>
      <c r="P6856" s="180" t="s">
        <v>257</v>
      </c>
      <c r="R6856" s="180" t="s">
        <v>257</v>
      </c>
    </row>
    <row r="6857" spans="8:18" x14ac:dyDescent="0.2">
      <c r="H6857" s="180"/>
      <c r="P6857" s="180" t="s">
        <v>257</v>
      </c>
      <c r="R6857" s="180" t="s">
        <v>257</v>
      </c>
    </row>
    <row r="6858" spans="8:18" x14ac:dyDescent="0.2">
      <c r="H6858" s="180"/>
      <c r="P6858" s="180" t="s">
        <v>257</v>
      </c>
      <c r="R6858" s="180" t="s">
        <v>257</v>
      </c>
    </row>
    <row r="6859" spans="8:18" x14ac:dyDescent="0.2">
      <c r="H6859" s="180"/>
      <c r="P6859" s="180" t="s">
        <v>257</v>
      </c>
      <c r="R6859" s="180" t="s">
        <v>257</v>
      </c>
    </row>
    <row r="6860" spans="8:18" x14ac:dyDescent="0.2">
      <c r="H6860" s="180"/>
      <c r="P6860" s="180" t="s">
        <v>257</v>
      </c>
      <c r="R6860" s="180" t="s">
        <v>257</v>
      </c>
    </row>
    <row r="6861" spans="8:18" x14ac:dyDescent="0.2">
      <c r="H6861" s="180"/>
      <c r="P6861" s="180" t="s">
        <v>257</v>
      </c>
      <c r="R6861" s="180" t="s">
        <v>257</v>
      </c>
    </row>
    <row r="6862" spans="8:18" x14ac:dyDescent="0.2">
      <c r="H6862" s="180"/>
      <c r="P6862" s="180" t="s">
        <v>257</v>
      </c>
      <c r="R6862" s="180" t="s">
        <v>257</v>
      </c>
    </row>
    <row r="6863" spans="8:18" x14ac:dyDescent="0.2">
      <c r="H6863" s="180"/>
      <c r="P6863" s="180" t="s">
        <v>257</v>
      </c>
      <c r="R6863" s="180" t="s">
        <v>257</v>
      </c>
    </row>
    <row r="6864" spans="8:18" x14ac:dyDescent="0.2">
      <c r="H6864" s="180"/>
      <c r="P6864" s="180" t="s">
        <v>257</v>
      </c>
      <c r="R6864" s="180" t="s">
        <v>257</v>
      </c>
    </row>
    <row r="6865" spans="8:18" x14ac:dyDescent="0.2">
      <c r="H6865" s="180"/>
      <c r="P6865" s="180" t="s">
        <v>257</v>
      </c>
      <c r="R6865" s="180" t="s">
        <v>257</v>
      </c>
    </row>
    <row r="6866" spans="8:18" x14ac:dyDescent="0.2">
      <c r="H6866" s="180"/>
      <c r="P6866" s="180" t="s">
        <v>257</v>
      </c>
      <c r="R6866" s="180" t="s">
        <v>257</v>
      </c>
    </row>
    <row r="6867" spans="8:18" x14ac:dyDescent="0.2">
      <c r="H6867" s="180"/>
      <c r="P6867" s="180" t="s">
        <v>257</v>
      </c>
      <c r="R6867" s="180" t="s">
        <v>257</v>
      </c>
    </row>
    <row r="6868" spans="8:18" x14ac:dyDescent="0.2">
      <c r="H6868" s="180"/>
      <c r="P6868" s="180" t="s">
        <v>257</v>
      </c>
      <c r="R6868" s="180" t="s">
        <v>257</v>
      </c>
    </row>
    <row r="6869" spans="8:18" x14ac:dyDescent="0.2">
      <c r="H6869" s="180"/>
      <c r="P6869" s="180" t="s">
        <v>257</v>
      </c>
      <c r="R6869" s="180" t="s">
        <v>257</v>
      </c>
    </row>
    <row r="6870" spans="8:18" x14ac:dyDescent="0.2">
      <c r="H6870" s="180"/>
      <c r="P6870" s="180" t="s">
        <v>257</v>
      </c>
      <c r="R6870" s="180" t="s">
        <v>257</v>
      </c>
    </row>
    <row r="6871" spans="8:18" x14ac:dyDescent="0.2">
      <c r="H6871" s="180"/>
      <c r="P6871" s="180" t="s">
        <v>257</v>
      </c>
      <c r="R6871" s="180" t="s">
        <v>257</v>
      </c>
    </row>
    <row r="6872" spans="8:18" x14ac:dyDescent="0.2">
      <c r="H6872" s="180"/>
      <c r="P6872" s="180" t="s">
        <v>257</v>
      </c>
      <c r="R6872" s="180" t="s">
        <v>257</v>
      </c>
    </row>
    <row r="6873" spans="8:18" x14ac:dyDescent="0.2">
      <c r="H6873" s="180"/>
      <c r="P6873" s="180" t="s">
        <v>257</v>
      </c>
      <c r="R6873" s="180" t="s">
        <v>257</v>
      </c>
    </row>
    <row r="6874" spans="8:18" x14ac:dyDescent="0.2">
      <c r="H6874" s="180"/>
      <c r="P6874" s="180" t="s">
        <v>257</v>
      </c>
      <c r="R6874" s="180" t="s">
        <v>257</v>
      </c>
    </row>
    <row r="6875" spans="8:18" x14ac:dyDescent="0.2">
      <c r="H6875" s="180"/>
      <c r="P6875" s="180" t="s">
        <v>257</v>
      </c>
      <c r="R6875" s="180" t="s">
        <v>257</v>
      </c>
    </row>
    <row r="6876" spans="8:18" x14ac:dyDescent="0.2">
      <c r="H6876" s="180"/>
      <c r="P6876" s="180" t="s">
        <v>257</v>
      </c>
      <c r="R6876" s="180" t="s">
        <v>257</v>
      </c>
    </row>
    <row r="6877" spans="8:18" x14ac:dyDescent="0.2">
      <c r="H6877" s="180"/>
      <c r="P6877" s="180" t="s">
        <v>257</v>
      </c>
      <c r="R6877" s="180" t="s">
        <v>257</v>
      </c>
    </row>
    <row r="6878" spans="8:18" x14ac:dyDescent="0.2">
      <c r="H6878" s="180"/>
      <c r="P6878" s="180" t="s">
        <v>257</v>
      </c>
      <c r="R6878" s="180" t="s">
        <v>257</v>
      </c>
    </row>
    <row r="6879" spans="8:18" x14ac:dyDescent="0.2">
      <c r="H6879" s="180"/>
      <c r="P6879" s="180" t="s">
        <v>257</v>
      </c>
      <c r="R6879" s="180" t="s">
        <v>257</v>
      </c>
    </row>
    <row r="6880" spans="8:18" x14ac:dyDescent="0.2">
      <c r="H6880" s="180"/>
      <c r="P6880" s="180" t="s">
        <v>257</v>
      </c>
      <c r="R6880" s="180" t="s">
        <v>257</v>
      </c>
    </row>
    <row r="6881" spans="8:18" x14ac:dyDescent="0.2">
      <c r="H6881" s="180"/>
      <c r="P6881" s="180" t="s">
        <v>257</v>
      </c>
      <c r="R6881" s="180" t="s">
        <v>257</v>
      </c>
    </row>
    <row r="6882" spans="8:18" x14ac:dyDescent="0.2">
      <c r="H6882" s="180"/>
      <c r="P6882" s="180" t="s">
        <v>257</v>
      </c>
      <c r="R6882" s="180" t="s">
        <v>257</v>
      </c>
    </row>
    <row r="6883" spans="8:18" x14ac:dyDescent="0.2">
      <c r="H6883" s="180"/>
      <c r="P6883" s="180" t="s">
        <v>257</v>
      </c>
      <c r="R6883" s="180" t="s">
        <v>257</v>
      </c>
    </row>
    <row r="6884" spans="8:18" x14ac:dyDescent="0.2">
      <c r="H6884" s="180"/>
      <c r="P6884" s="180" t="s">
        <v>257</v>
      </c>
      <c r="R6884" s="180" t="s">
        <v>257</v>
      </c>
    </row>
    <row r="6885" spans="8:18" x14ac:dyDescent="0.2">
      <c r="H6885" s="180"/>
      <c r="P6885" s="180" t="s">
        <v>257</v>
      </c>
      <c r="R6885" s="180" t="s">
        <v>257</v>
      </c>
    </row>
    <row r="6886" spans="8:18" x14ac:dyDescent="0.2">
      <c r="H6886" s="180"/>
      <c r="P6886" s="180" t="s">
        <v>257</v>
      </c>
      <c r="R6886" s="180" t="s">
        <v>257</v>
      </c>
    </row>
    <row r="6887" spans="8:18" x14ac:dyDescent="0.2">
      <c r="H6887" s="180"/>
      <c r="P6887" s="180" t="s">
        <v>257</v>
      </c>
      <c r="R6887" s="180" t="s">
        <v>257</v>
      </c>
    </row>
    <row r="6888" spans="8:18" x14ac:dyDescent="0.2">
      <c r="H6888" s="180"/>
      <c r="P6888" s="180" t="s">
        <v>257</v>
      </c>
      <c r="R6888" s="180" t="s">
        <v>257</v>
      </c>
    </row>
    <row r="6889" spans="8:18" x14ac:dyDescent="0.2">
      <c r="H6889" s="180"/>
      <c r="P6889" s="180" t="s">
        <v>257</v>
      </c>
      <c r="R6889" s="180" t="s">
        <v>257</v>
      </c>
    </row>
    <row r="6890" spans="8:18" x14ac:dyDescent="0.2">
      <c r="H6890" s="180"/>
      <c r="P6890" s="180" t="s">
        <v>257</v>
      </c>
      <c r="R6890" s="180" t="s">
        <v>257</v>
      </c>
    </row>
    <row r="6891" spans="8:18" x14ac:dyDescent="0.2">
      <c r="H6891" s="180"/>
      <c r="P6891" s="180" t="s">
        <v>257</v>
      </c>
      <c r="R6891" s="180" t="s">
        <v>257</v>
      </c>
    </row>
    <row r="6892" spans="8:18" x14ac:dyDescent="0.2">
      <c r="H6892" s="180"/>
      <c r="P6892" s="180" t="s">
        <v>257</v>
      </c>
      <c r="R6892" s="180" t="s">
        <v>257</v>
      </c>
    </row>
    <row r="6893" spans="8:18" x14ac:dyDescent="0.2">
      <c r="H6893" s="180"/>
      <c r="P6893" s="180" t="s">
        <v>257</v>
      </c>
      <c r="R6893" s="180" t="s">
        <v>257</v>
      </c>
    </row>
    <row r="6894" spans="8:18" x14ac:dyDescent="0.2">
      <c r="H6894" s="180"/>
      <c r="P6894" s="180" t="s">
        <v>257</v>
      </c>
      <c r="R6894" s="180" t="s">
        <v>257</v>
      </c>
    </row>
    <row r="6895" spans="8:18" x14ac:dyDescent="0.2">
      <c r="H6895" s="180"/>
      <c r="P6895" s="180" t="s">
        <v>257</v>
      </c>
      <c r="R6895" s="180" t="s">
        <v>257</v>
      </c>
    </row>
    <row r="6896" spans="8:18" x14ac:dyDescent="0.2">
      <c r="H6896" s="180"/>
      <c r="P6896" s="180" t="s">
        <v>257</v>
      </c>
      <c r="R6896" s="180" t="s">
        <v>257</v>
      </c>
    </row>
    <row r="6897" spans="8:18" x14ac:dyDescent="0.2">
      <c r="H6897" s="180"/>
      <c r="P6897" s="180" t="s">
        <v>257</v>
      </c>
      <c r="R6897" s="180" t="s">
        <v>257</v>
      </c>
    </row>
    <row r="6898" spans="8:18" x14ac:dyDescent="0.2">
      <c r="H6898" s="180"/>
      <c r="P6898" s="180" t="s">
        <v>257</v>
      </c>
      <c r="R6898" s="180" t="s">
        <v>257</v>
      </c>
    </row>
    <row r="6899" spans="8:18" x14ac:dyDescent="0.2">
      <c r="H6899" s="180"/>
      <c r="P6899" s="180" t="s">
        <v>257</v>
      </c>
      <c r="R6899" s="180" t="s">
        <v>257</v>
      </c>
    </row>
    <row r="6900" spans="8:18" x14ac:dyDescent="0.2">
      <c r="H6900" s="180"/>
      <c r="P6900" s="180" t="s">
        <v>257</v>
      </c>
      <c r="R6900" s="180" t="s">
        <v>257</v>
      </c>
    </row>
    <row r="6901" spans="8:18" x14ac:dyDescent="0.2">
      <c r="H6901" s="180"/>
      <c r="P6901" s="180" t="s">
        <v>257</v>
      </c>
      <c r="R6901" s="180" t="s">
        <v>257</v>
      </c>
    </row>
    <row r="6902" spans="8:18" x14ac:dyDescent="0.2">
      <c r="H6902" s="180"/>
      <c r="P6902" s="180" t="s">
        <v>257</v>
      </c>
      <c r="R6902" s="180" t="s">
        <v>257</v>
      </c>
    </row>
    <row r="6903" spans="8:18" x14ac:dyDescent="0.2">
      <c r="H6903" s="180"/>
      <c r="P6903" s="180" t="s">
        <v>257</v>
      </c>
      <c r="R6903" s="180" t="s">
        <v>257</v>
      </c>
    </row>
    <row r="6904" spans="8:18" x14ac:dyDescent="0.2">
      <c r="H6904" s="180"/>
      <c r="P6904" s="180" t="s">
        <v>257</v>
      </c>
      <c r="R6904" s="180" t="s">
        <v>257</v>
      </c>
    </row>
    <row r="6905" spans="8:18" x14ac:dyDescent="0.2">
      <c r="H6905" s="180"/>
      <c r="P6905" s="180" t="s">
        <v>257</v>
      </c>
      <c r="R6905" s="180" t="s">
        <v>257</v>
      </c>
    </row>
    <row r="6906" spans="8:18" x14ac:dyDescent="0.2">
      <c r="H6906" s="180"/>
      <c r="P6906" s="180" t="s">
        <v>257</v>
      </c>
      <c r="R6906" s="180" t="s">
        <v>257</v>
      </c>
    </row>
    <row r="6907" spans="8:18" x14ac:dyDescent="0.2">
      <c r="H6907" s="180"/>
      <c r="P6907" s="180" t="s">
        <v>257</v>
      </c>
      <c r="R6907" s="180" t="s">
        <v>257</v>
      </c>
    </row>
    <row r="6908" spans="8:18" x14ac:dyDescent="0.2">
      <c r="H6908" s="180"/>
      <c r="P6908" s="180" t="s">
        <v>257</v>
      </c>
      <c r="R6908" s="180" t="s">
        <v>257</v>
      </c>
    </row>
    <row r="6909" spans="8:18" x14ac:dyDescent="0.2">
      <c r="H6909" s="180"/>
      <c r="P6909" s="180" t="s">
        <v>257</v>
      </c>
      <c r="R6909" s="180" t="s">
        <v>257</v>
      </c>
    </row>
    <row r="6910" spans="8:18" x14ac:dyDescent="0.2">
      <c r="H6910" s="180"/>
      <c r="P6910" s="180" t="s">
        <v>257</v>
      </c>
      <c r="R6910" s="180" t="s">
        <v>257</v>
      </c>
    </row>
    <row r="6911" spans="8:18" x14ac:dyDescent="0.2">
      <c r="H6911" s="180"/>
      <c r="P6911" s="180" t="s">
        <v>257</v>
      </c>
      <c r="R6911" s="180" t="s">
        <v>257</v>
      </c>
    </row>
    <row r="6912" spans="8:18" x14ac:dyDescent="0.2">
      <c r="H6912" s="180"/>
      <c r="P6912" s="180" t="s">
        <v>257</v>
      </c>
      <c r="R6912" s="180" t="s">
        <v>257</v>
      </c>
    </row>
    <row r="6913" spans="8:18" x14ac:dyDescent="0.2">
      <c r="H6913" s="180"/>
      <c r="P6913" s="180" t="s">
        <v>257</v>
      </c>
      <c r="R6913" s="180" t="s">
        <v>257</v>
      </c>
    </row>
    <row r="6914" spans="8:18" x14ac:dyDescent="0.2">
      <c r="H6914" s="180"/>
      <c r="P6914" s="180" t="s">
        <v>257</v>
      </c>
      <c r="R6914" s="180" t="s">
        <v>257</v>
      </c>
    </row>
    <row r="6915" spans="8:18" x14ac:dyDescent="0.2">
      <c r="H6915" s="180"/>
      <c r="P6915" s="180" t="s">
        <v>257</v>
      </c>
      <c r="R6915" s="180" t="s">
        <v>257</v>
      </c>
    </row>
    <row r="6916" spans="8:18" x14ac:dyDescent="0.2">
      <c r="H6916" s="180"/>
      <c r="P6916" s="180" t="s">
        <v>257</v>
      </c>
      <c r="R6916" s="180" t="s">
        <v>257</v>
      </c>
    </row>
    <row r="6917" spans="8:18" x14ac:dyDescent="0.2">
      <c r="H6917" s="180"/>
      <c r="P6917" s="180" t="s">
        <v>257</v>
      </c>
      <c r="R6917" s="180" t="s">
        <v>257</v>
      </c>
    </row>
    <row r="6918" spans="8:18" x14ac:dyDescent="0.2">
      <c r="H6918" s="180"/>
      <c r="P6918" s="180" t="s">
        <v>257</v>
      </c>
      <c r="R6918" s="180" t="s">
        <v>257</v>
      </c>
    </row>
    <row r="6919" spans="8:18" x14ac:dyDescent="0.2">
      <c r="H6919" s="180"/>
      <c r="P6919" s="180" t="s">
        <v>257</v>
      </c>
      <c r="R6919" s="180" t="s">
        <v>257</v>
      </c>
    </row>
    <row r="6920" spans="8:18" x14ac:dyDescent="0.2">
      <c r="H6920" s="180"/>
      <c r="P6920" s="180" t="s">
        <v>257</v>
      </c>
      <c r="R6920" s="180" t="s">
        <v>257</v>
      </c>
    </row>
    <row r="6921" spans="8:18" x14ac:dyDescent="0.2">
      <c r="H6921" s="180"/>
      <c r="P6921" s="180" t="s">
        <v>257</v>
      </c>
      <c r="R6921" s="180" t="s">
        <v>257</v>
      </c>
    </row>
    <row r="6922" spans="8:18" x14ac:dyDescent="0.2">
      <c r="H6922" s="180"/>
      <c r="P6922" s="180" t="s">
        <v>257</v>
      </c>
      <c r="R6922" s="180" t="s">
        <v>257</v>
      </c>
    </row>
    <row r="6923" spans="8:18" x14ac:dyDescent="0.2">
      <c r="H6923" s="180"/>
      <c r="P6923" s="180" t="s">
        <v>257</v>
      </c>
      <c r="R6923" s="180" t="s">
        <v>257</v>
      </c>
    </row>
    <row r="6924" spans="8:18" x14ac:dyDescent="0.2">
      <c r="H6924" s="180"/>
      <c r="P6924" s="180" t="s">
        <v>257</v>
      </c>
      <c r="R6924" s="180" t="s">
        <v>257</v>
      </c>
    </row>
    <row r="6925" spans="8:18" x14ac:dyDescent="0.2">
      <c r="H6925" s="180"/>
      <c r="P6925" s="180" t="s">
        <v>257</v>
      </c>
      <c r="R6925" s="180" t="s">
        <v>257</v>
      </c>
    </row>
    <row r="6926" spans="8:18" x14ac:dyDescent="0.2">
      <c r="H6926" s="180"/>
      <c r="P6926" s="180" t="s">
        <v>257</v>
      </c>
      <c r="R6926" s="180" t="s">
        <v>257</v>
      </c>
    </row>
    <row r="6927" spans="8:18" x14ac:dyDescent="0.2">
      <c r="H6927" s="180"/>
      <c r="P6927" s="180" t="s">
        <v>257</v>
      </c>
      <c r="R6927" s="180" t="s">
        <v>257</v>
      </c>
    </row>
    <row r="6928" spans="8:18" x14ac:dyDescent="0.2">
      <c r="H6928" s="180"/>
      <c r="P6928" s="180" t="s">
        <v>257</v>
      </c>
      <c r="R6928" s="180" t="s">
        <v>257</v>
      </c>
    </row>
    <row r="6929" spans="8:18" x14ac:dyDescent="0.2">
      <c r="H6929" s="180"/>
      <c r="P6929" s="180" t="s">
        <v>257</v>
      </c>
      <c r="R6929" s="180" t="s">
        <v>257</v>
      </c>
    </row>
    <row r="6930" spans="8:18" x14ac:dyDescent="0.2">
      <c r="H6930" s="180"/>
      <c r="P6930" s="180" t="s">
        <v>257</v>
      </c>
      <c r="R6930" s="180" t="s">
        <v>257</v>
      </c>
    </row>
    <row r="6931" spans="8:18" x14ac:dyDescent="0.2">
      <c r="H6931" s="180"/>
      <c r="P6931" s="180" t="s">
        <v>257</v>
      </c>
      <c r="R6931" s="180" t="s">
        <v>257</v>
      </c>
    </row>
    <row r="6932" spans="8:18" x14ac:dyDescent="0.2">
      <c r="H6932" s="180"/>
      <c r="P6932" s="180" t="s">
        <v>257</v>
      </c>
      <c r="R6932" s="180" t="s">
        <v>257</v>
      </c>
    </row>
    <row r="6933" spans="8:18" x14ac:dyDescent="0.2">
      <c r="H6933" s="180"/>
      <c r="P6933" s="180" t="s">
        <v>257</v>
      </c>
      <c r="R6933" s="180" t="s">
        <v>257</v>
      </c>
    </row>
    <row r="6934" spans="8:18" x14ac:dyDescent="0.2">
      <c r="H6934" s="180"/>
      <c r="P6934" s="180" t="s">
        <v>257</v>
      </c>
      <c r="R6934" s="180" t="s">
        <v>257</v>
      </c>
    </row>
    <row r="6935" spans="8:18" x14ac:dyDescent="0.2">
      <c r="H6935" s="180"/>
      <c r="P6935" s="180" t="s">
        <v>257</v>
      </c>
      <c r="R6935" s="180" t="s">
        <v>257</v>
      </c>
    </row>
    <row r="6936" spans="8:18" x14ac:dyDescent="0.2">
      <c r="H6936" s="180"/>
      <c r="P6936" s="180" t="s">
        <v>257</v>
      </c>
      <c r="R6936" s="180" t="s">
        <v>257</v>
      </c>
    </row>
    <row r="6937" spans="8:18" x14ac:dyDescent="0.2">
      <c r="H6937" s="180"/>
      <c r="P6937" s="180" t="s">
        <v>257</v>
      </c>
      <c r="R6937" s="180" t="s">
        <v>257</v>
      </c>
    </row>
    <row r="6938" spans="8:18" x14ac:dyDescent="0.2">
      <c r="H6938" s="180"/>
      <c r="P6938" s="180" t="s">
        <v>257</v>
      </c>
      <c r="R6938" s="180" t="s">
        <v>257</v>
      </c>
    </row>
    <row r="6939" spans="8:18" x14ac:dyDescent="0.2">
      <c r="H6939" s="180"/>
      <c r="P6939" s="180" t="s">
        <v>257</v>
      </c>
      <c r="R6939" s="180" t="s">
        <v>257</v>
      </c>
    </row>
    <row r="6940" spans="8:18" x14ac:dyDescent="0.2">
      <c r="H6940" s="180"/>
      <c r="P6940" s="180" t="s">
        <v>257</v>
      </c>
      <c r="R6940" s="180" t="s">
        <v>257</v>
      </c>
    </row>
    <row r="6941" spans="8:18" x14ac:dyDescent="0.2">
      <c r="H6941" s="180"/>
      <c r="P6941" s="180" t="s">
        <v>257</v>
      </c>
      <c r="R6941" s="180" t="s">
        <v>257</v>
      </c>
    </row>
    <row r="6942" spans="8:18" x14ac:dyDescent="0.2">
      <c r="H6942" s="180"/>
      <c r="P6942" s="180" t="s">
        <v>257</v>
      </c>
      <c r="R6942" s="180" t="s">
        <v>257</v>
      </c>
    </row>
    <row r="6943" spans="8:18" x14ac:dyDescent="0.2">
      <c r="H6943" s="180"/>
      <c r="P6943" s="180" t="s">
        <v>257</v>
      </c>
      <c r="R6943" s="180" t="s">
        <v>257</v>
      </c>
    </row>
    <row r="6944" spans="8:18" x14ac:dyDescent="0.2">
      <c r="H6944" s="180"/>
      <c r="P6944" s="180" t="s">
        <v>257</v>
      </c>
      <c r="R6944" s="180" t="s">
        <v>257</v>
      </c>
    </row>
    <row r="6945" spans="8:18" x14ac:dyDescent="0.2">
      <c r="H6945" s="180"/>
      <c r="P6945" s="180" t="s">
        <v>257</v>
      </c>
      <c r="R6945" s="180" t="s">
        <v>257</v>
      </c>
    </row>
    <row r="6946" spans="8:18" x14ac:dyDescent="0.2">
      <c r="H6946" s="180"/>
      <c r="P6946" s="180" t="s">
        <v>257</v>
      </c>
      <c r="R6946" s="180" t="s">
        <v>257</v>
      </c>
    </row>
    <row r="6947" spans="8:18" x14ac:dyDescent="0.2">
      <c r="H6947" s="180"/>
      <c r="P6947" s="180" t="s">
        <v>257</v>
      </c>
      <c r="R6947" s="180" t="s">
        <v>257</v>
      </c>
    </row>
    <row r="6948" spans="8:18" x14ac:dyDescent="0.2">
      <c r="H6948" s="180"/>
      <c r="P6948" s="180" t="s">
        <v>257</v>
      </c>
      <c r="R6948" s="180" t="s">
        <v>257</v>
      </c>
    </row>
    <row r="6949" spans="8:18" x14ac:dyDescent="0.2">
      <c r="H6949" s="180"/>
      <c r="P6949" s="180" t="s">
        <v>257</v>
      </c>
      <c r="R6949" s="180" t="s">
        <v>257</v>
      </c>
    </row>
    <row r="6950" spans="8:18" x14ac:dyDescent="0.2">
      <c r="H6950" s="180"/>
      <c r="P6950" s="180" t="s">
        <v>257</v>
      </c>
      <c r="R6950" s="180" t="s">
        <v>257</v>
      </c>
    </row>
    <row r="6951" spans="8:18" x14ac:dyDescent="0.2">
      <c r="H6951" s="180"/>
      <c r="P6951" s="180" t="s">
        <v>257</v>
      </c>
      <c r="R6951" s="180" t="s">
        <v>257</v>
      </c>
    </row>
    <row r="6952" spans="8:18" x14ac:dyDescent="0.2">
      <c r="H6952" s="180"/>
      <c r="P6952" s="180" t="s">
        <v>257</v>
      </c>
      <c r="R6952" s="180" t="s">
        <v>257</v>
      </c>
    </row>
    <row r="6953" spans="8:18" x14ac:dyDescent="0.2">
      <c r="H6953" s="180"/>
      <c r="P6953" s="180" t="s">
        <v>257</v>
      </c>
      <c r="R6953" s="180" t="s">
        <v>257</v>
      </c>
    </row>
    <row r="6954" spans="8:18" x14ac:dyDescent="0.2">
      <c r="H6954" s="180"/>
      <c r="P6954" s="180" t="s">
        <v>257</v>
      </c>
      <c r="R6954" s="180" t="s">
        <v>257</v>
      </c>
    </row>
    <row r="6955" spans="8:18" x14ac:dyDescent="0.2">
      <c r="H6955" s="180"/>
      <c r="P6955" s="180" t="s">
        <v>257</v>
      </c>
      <c r="R6955" s="180" t="s">
        <v>257</v>
      </c>
    </row>
    <row r="6956" spans="8:18" x14ac:dyDescent="0.2">
      <c r="H6956" s="180"/>
      <c r="P6956" s="180" t="s">
        <v>257</v>
      </c>
      <c r="R6956" s="180" t="s">
        <v>257</v>
      </c>
    </row>
    <row r="6957" spans="8:18" x14ac:dyDescent="0.2">
      <c r="H6957" s="180"/>
      <c r="P6957" s="180" t="s">
        <v>257</v>
      </c>
      <c r="R6957" s="180" t="s">
        <v>257</v>
      </c>
    </row>
    <row r="6958" spans="8:18" x14ac:dyDescent="0.2">
      <c r="H6958" s="180"/>
      <c r="P6958" s="180" t="s">
        <v>257</v>
      </c>
      <c r="R6958" s="180" t="s">
        <v>257</v>
      </c>
    </row>
    <row r="6959" spans="8:18" x14ac:dyDescent="0.2">
      <c r="H6959" s="180"/>
      <c r="P6959" s="180" t="s">
        <v>257</v>
      </c>
      <c r="R6959" s="180" t="s">
        <v>257</v>
      </c>
    </row>
    <row r="6960" spans="8:18" x14ac:dyDescent="0.2">
      <c r="H6960" s="180"/>
      <c r="P6960" s="180" t="s">
        <v>257</v>
      </c>
      <c r="R6960" s="180" t="s">
        <v>257</v>
      </c>
    </row>
    <row r="6961" spans="8:18" x14ac:dyDescent="0.2">
      <c r="H6961" s="180"/>
      <c r="P6961" s="180" t="s">
        <v>257</v>
      </c>
      <c r="R6961" s="180" t="s">
        <v>257</v>
      </c>
    </row>
    <row r="6962" spans="8:18" x14ac:dyDescent="0.2">
      <c r="H6962" s="180"/>
      <c r="P6962" s="180" t="s">
        <v>257</v>
      </c>
      <c r="R6962" s="180" t="s">
        <v>257</v>
      </c>
    </row>
    <row r="6963" spans="8:18" x14ac:dyDescent="0.2">
      <c r="H6963" s="180"/>
      <c r="P6963" s="180" t="s">
        <v>257</v>
      </c>
      <c r="R6963" s="180" t="s">
        <v>257</v>
      </c>
    </row>
    <row r="6964" spans="8:18" x14ac:dyDescent="0.2">
      <c r="H6964" s="180"/>
      <c r="P6964" s="180" t="s">
        <v>257</v>
      </c>
      <c r="R6964" s="180" t="s">
        <v>257</v>
      </c>
    </row>
    <row r="6965" spans="8:18" x14ac:dyDescent="0.2">
      <c r="H6965" s="180"/>
      <c r="P6965" s="180" t="s">
        <v>257</v>
      </c>
      <c r="R6965" s="180" t="s">
        <v>257</v>
      </c>
    </row>
    <row r="6966" spans="8:18" x14ac:dyDescent="0.2">
      <c r="H6966" s="180"/>
      <c r="P6966" s="180" t="s">
        <v>257</v>
      </c>
      <c r="R6966" s="180" t="s">
        <v>257</v>
      </c>
    </row>
    <row r="6967" spans="8:18" x14ac:dyDescent="0.2">
      <c r="H6967" s="180"/>
      <c r="P6967" s="180" t="s">
        <v>257</v>
      </c>
      <c r="R6967" s="180" t="s">
        <v>257</v>
      </c>
    </row>
    <row r="6968" spans="8:18" x14ac:dyDescent="0.2">
      <c r="H6968" s="180"/>
      <c r="P6968" s="180" t="s">
        <v>257</v>
      </c>
      <c r="R6968" s="180" t="s">
        <v>257</v>
      </c>
    </row>
    <row r="6969" spans="8:18" x14ac:dyDescent="0.2">
      <c r="H6969" s="180"/>
      <c r="P6969" s="180" t="s">
        <v>257</v>
      </c>
      <c r="R6969" s="180" t="s">
        <v>257</v>
      </c>
    </row>
    <row r="6970" spans="8:18" x14ac:dyDescent="0.2">
      <c r="H6970" s="180"/>
      <c r="P6970" s="180" t="s">
        <v>257</v>
      </c>
      <c r="R6970" s="180" t="s">
        <v>257</v>
      </c>
    </row>
    <row r="6971" spans="8:18" x14ac:dyDescent="0.2">
      <c r="H6971" s="180"/>
      <c r="P6971" s="180" t="s">
        <v>257</v>
      </c>
      <c r="R6971" s="180" t="s">
        <v>257</v>
      </c>
    </row>
    <row r="6972" spans="8:18" x14ac:dyDescent="0.2">
      <c r="H6972" s="180"/>
      <c r="P6972" s="180" t="s">
        <v>257</v>
      </c>
      <c r="R6972" s="180" t="s">
        <v>257</v>
      </c>
    </row>
    <row r="6973" spans="8:18" x14ac:dyDescent="0.2">
      <c r="H6973" s="180"/>
      <c r="P6973" s="180" t="s">
        <v>257</v>
      </c>
      <c r="R6973" s="180" t="s">
        <v>257</v>
      </c>
    </row>
    <row r="6974" spans="8:18" x14ac:dyDescent="0.2">
      <c r="H6974" s="180"/>
      <c r="P6974" s="180" t="s">
        <v>257</v>
      </c>
      <c r="R6974" s="180" t="s">
        <v>257</v>
      </c>
    </row>
    <row r="6975" spans="8:18" x14ac:dyDescent="0.2">
      <c r="H6975" s="180"/>
      <c r="P6975" s="180" t="s">
        <v>257</v>
      </c>
      <c r="R6975" s="180" t="s">
        <v>257</v>
      </c>
    </row>
    <row r="6976" spans="8:18" x14ac:dyDescent="0.2">
      <c r="H6976" s="180"/>
      <c r="P6976" s="180" t="s">
        <v>257</v>
      </c>
      <c r="R6976" s="180" t="s">
        <v>257</v>
      </c>
    </row>
    <row r="6977" spans="8:18" x14ac:dyDescent="0.2">
      <c r="H6977" s="180"/>
      <c r="P6977" s="180" t="s">
        <v>257</v>
      </c>
      <c r="R6977" s="180" t="s">
        <v>257</v>
      </c>
    </row>
    <row r="6978" spans="8:18" x14ac:dyDescent="0.2">
      <c r="H6978" s="180"/>
      <c r="P6978" s="180" t="s">
        <v>257</v>
      </c>
      <c r="R6978" s="180" t="s">
        <v>257</v>
      </c>
    </row>
    <row r="6979" spans="8:18" x14ac:dyDescent="0.2">
      <c r="H6979" s="180"/>
      <c r="P6979" s="180" t="s">
        <v>257</v>
      </c>
      <c r="R6979" s="180" t="s">
        <v>257</v>
      </c>
    </row>
    <row r="6980" spans="8:18" x14ac:dyDescent="0.2">
      <c r="H6980" s="180"/>
      <c r="P6980" s="180" t="s">
        <v>257</v>
      </c>
      <c r="R6980" s="180" t="s">
        <v>257</v>
      </c>
    </row>
    <row r="6981" spans="8:18" x14ac:dyDescent="0.2">
      <c r="H6981" s="180"/>
      <c r="P6981" s="180" t="s">
        <v>257</v>
      </c>
      <c r="R6981" s="180" t="s">
        <v>257</v>
      </c>
    </row>
    <row r="6982" spans="8:18" x14ac:dyDescent="0.2">
      <c r="H6982" s="180"/>
      <c r="P6982" s="180" t="s">
        <v>257</v>
      </c>
      <c r="R6982" s="180" t="s">
        <v>257</v>
      </c>
    </row>
    <row r="6983" spans="8:18" x14ac:dyDescent="0.2">
      <c r="H6983" s="180"/>
      <c r="P6983" s="180" t="s">
        <v>257</v>
      </c>
      <c r="R6983" s="180" t="s">
        <v>257</v>
      </c>
    </row>
    <row r="6984" spans="8:18" x14ac:dyDescent="0.2">
      <c r="H6984" s="180"/>
      <c r="P6984" s="180" t="s">
        <v>257</v>
      </c>
      <c r="R6984" s="180" t="s">
        <v>257</v>
      </c>
    </row>
    <row r="6985" spans="8:18" x14ac:dyDescent="0.2">
      <c r="H6985" s="180"/>
      <c r="P6985" s="180" t="s">
        <v>257</v>
      </c>
      <c r="R6985" s="180" t="s">
        <v>257</v>
      </c>
    </row>
    <row r="6986" spans="8:18" x14ac:dyDescent="0.2">
      <c r="H6986" s="180"/>
      <c r="P6986" s="180" t="s">
        <v>257</v>
      </c>
      <c r="R6986" s="180" t="s">
        <v>257</v>
      </c>
    </row>
    <row r="6987" spans="8:18" x14ac:dyDescent="0.2">
      <c r="H6987" s="180"/>
      <c r="P6987" s="180" t="s">
        <v>257</v>
      </c>
      <c r="R6987" s="180" t="s">
        <v>257</v>
      </c>
    </row>
    <row r="6988" spans="8:18" x14ac:dyDescent="0.2">
      <c r="H6988" s="180"/>
      <c r="P6988" s="180" t="s">
        <v>257</v>
      </c>
      <c r="R6988" s="180" t="s">
        <v>257</v>
      </c>
    </row>
    <row r="6989" spans="8:18" x14ac:dyDescent="0.2">
      <c r="H6989" s="180"/>
      <c r="P6989" s="180" t="s">
        <v>257</v>
      </c>
      <c r="R6989" s="180" t="s">
        <v>257</v>
      </c>
    </row>
    <row r="6990" spans="8:18" x14ac:dyDescent="0.2">
      <c r="H6990" s="180"/>
      <c r="P6990" s="180" t="s">
        <v>257</v>
      </c>
      <c r="R6990" s="180" t="s">
        <v>257</v>
      </c>
    </row>
    <row r="6991" spans="8:18" x14ac:dyDescent="0.2">
      <c r="H6991" s="180"/>
      <c r="P6991" s="180" t="s">
        <v>257</v>
      </c>
      <c r="R6991" s="180" t="s">
        <v>257</v>
      </c>
    </row>
    <row r="6992" spans="8:18" x14ac:dyDescent="0.2">
      <c r="H6992" s="180"/>
      <c r="P6992" s="180" t="s">
        <v>257</v>
      </c>
      <c r="R6992" s="180" t="s">
        <v>257</v>
      </c>
    </row>
    <row r="6993" spans="8:18" x14ac:dyDescent="0.2">
      <c r="H6993" s="180"/>
      <c r="P6993" s="180" t="s">
        <v>257</v>
      </c>
      <c r="R6993" s="180" t="s">
        <v>257</v>
      </c>
    </row>
    <row r="6994" spans="8:18" x14ac:dyDescent="0.2">
      <c r="H6994" s="180"/>
      <c r="P6994" s="180" t="s">
        <v>257</v>
      </c>
      <c r="R6994" s="180" t="s">
        <v>257</v>
      </c>
    </row>
    <row r="6995" spans="8:18" x14ac:dyDescent="0.2">
      <c r="H6995" s="180"/>
      <c r="P6995" s="180" t="s">
        <v>257</v>
      </c>
      <c r="R6995" s="180" t="s">
        <v>257</v>
      </c>
    </row>
    <row r="6996" spans="8:18" x14ac:dyDescent="0.2">
      <c r="H6996" s="180"/>
      <c r="P6996" s="180" t="s">
        <v>257</v>
      </c>
      <c r="R6996" s="180" t="s">
        <v>257</v>
      </c>
    </row>
    <row r="6997" spans="8:18" x14ac:dyDescent="0.2">
      <c r="H6997" s="180"/>
      <c r="P6997" s="180" t="s">
        <v>257</v>
      </c>
      <c r="R6997" s="180" t="s">
        <v>257</v>
      </c>
    </row>
    <row r="6998" spans="8:18" x14ac:dyDescent="0.2">
      <c r="H6998" s="180"/>
      <c r="P6998" s="180" t="s">
        <v>257</v>
      </c>
      <c r="R6998" s="180" t="s">
        <v>257</v>
      </c>
    </row>
    <row r="6999" spans="8:18" x14ac:dyDescent="0.2">
      <c r="H6999" s="180"/>
      <c r="P6999" s="180" t="s">
        <v>257</v>
      </c>
      <c r="R6999" s="180" t="s">
        <v>257</v>
      </c>
    </row>
    <row r="7000" spans="8:18" x14ac:dyDescent="0.2">
      <c r="H7000" s="180"/>
      <c r="P7000" s="180" t="s">
        <v>257</v>
      </c>
      <c r="R7000" s="180" t="s">
        <v>257</v>
      </c>
    </row>
    <row r="7001" spans="8:18" x14ac:dyDescent="0.2">
      <c r="H7001" s="180"/>
      <c r="P7001" s="180" t="s">
        <v>257</v>
      </c>
      <c r="R7001" s="180" t="s">
        <v>257</v>
      </c>
    </row>
    <row r="7002" spans="8:18" x14ac:dyDescent="0.2">
      <c r="H7002" s="180"/>
      <c r="P7002" s="180" t="s">
        <v>257</v>
      </c>
      <c r="R7002" s="180" t="s">
        <v>257</v>
      </c>
    </row>
    <row r="7003" spans="8:18" x14ac:dyDescent="0.2">
      <c r="H7003" s="180"/>
      <c r="P7003" s="180" t="s">
        <v>257</v>
      </c>
      <c r="R7003" s="180" t="s">
        <v>257</v>
      </c>
    </row>
    <row r="7004" spans="8:18" x14ac:dyDescent="0.2">
      <c r="H7004" s="180"/>
      <c r="P7004" s="180" t="s">
        <v>257</v>
      </c>
      <c r="R7004" s="180" t="s">
        <v>257</v>
      </c>
    </row>
    <row r="7005" spans="8:18" x14ac:dyDescent="0.2">
      <c r="H7005" s="180"/>
      <c r="P7005" s="180" t="s">
        <v>257</v>
      </c>
      <c r="R7005" s="180" t="s">
        <v>257</v>
      </c>
    </row>
    <row r="7006" spans="8:18" x14ac:dyDescent="0.2">
      <c r="H7006" s="180"/>
      <c r="P7006" s="180" t="s">
        <v>257</v>
      </c>
      <c r="R7006" s="180" t="s">
        <v>257</v>
      </c>
    </row>
    <row r="7007" spans="8:18" x14ac:dyDescent="0.2">
      <c r="H7007" s="180"/>
      <c r="P7007" s="180" t="s">
        <v>257</v>
      </c>
      <c r="R7007" s="180" t="s">
        <v>257</v>
      </c>
    </row>
    <row r="7008" spans="8:18" x14ac:dyDescent="0.2">
      <c r="H7008" s="180"/>
      <c r="P7008" s="180" t="s">
        <v>257</v>
      </c>
      <c r="R7008" s="180" t="s">
        <v>257</v>
      </c>
    </row>
    <row r="7009" spans="8:18" x14ac:dyDescent="0.2">
      <c r="H7009" s="180"/>
      <c r="P7009" s="180" t="s">
        <v>257</v>
      </c>
      <c r="R7009" s="180" t="s">
        <v>257</v>
      </c>
    </row>
    <row r="7010" spans="8:18" x14ac:dyDescent="0.2">
      <c r="H7010" s="180"/>
      <c r="P7010" s="180" t="s">
        <v>257</v>
      </c>
      <c r="R7010" s="180" t="s">
        <v>257</v>
      </c>
    </row>
    <row r="7011" spans="8:18" x14ac:dyDescent="0.2">
      <c r="H7011" s="180"/>
      <c r="P7011" s="180" t="s">
        <v>257</v>
      </c>
      <c r="R7011" s="180" t="s">
        <v>257</v>
      </c>
    </row>
    <row r="7012" spans="8:18" x14ac:dyDescent="0.2">
      <c r="H7012" s="180"/>
      <c r="P7012" s="180" t="s">
        <v>257</v>
      </c>
      <c r="R7012" s="180" t="s">
        <v>257</v>
      </c>
    </row>
    <row r="7013" spans="8:18" x14ac:dyDescent="0.2">
      <c r="H7013" s="180"/>
      <c r="P7013" s="180" t="s">
        <v>257</v>
      </c>
      <c r="R7013" s="180" t="s">
        <v>257</v>
      </c>
    </row>
    <row r="7014" spans="8:18" x14ac:dyDescent="0.2">
      <c r="H7014" s="180"/>
      <c r="P7014" s="180" t="s">
        <v>257</v>
      </c>
      <c r="R7014" s="180" t="s">
        <v>257</v>
      </c>
    </row>
    <row r="7015" spans="8:18" x14ac:dyDescent="0.2">
      <c r="H7015" s="180"/>
      <c r="P7015" s="180" t="s">
        <v>257</v>
      </c>
      <c r="R7015" s="180" t="s">
        <v>257</v>
      </c>
    </row>
    <row r="7016" spans="8:18" x14ac:dyDescent="0.2">
      <c r="H7016" s="180"/>
      <c r="P7016" s="180" t="s">
        <v>257</v>
      </c>
      <c r="R7016" s="180" t="s">
        <v>257</v>
      </c>
    </row>
    <row r="7017" spans="8:18" x14ac:dyDescent="0.2">
      <c r="H7017" s="180"/>
      <c r="P7017" s="180" t="s">
        <v>257</v>
      </c>
      <c r="R7017" s="180" t="s">
        <v>257</v>
      </c>
    </row>
    <row r="7018" spans="8:18" x14ac:dyDescent="0.2">
      <c r="H7018" s="180"/>
      <c r="P7018" s="180" t="s">
        <v>257</v>
      </c>
      <c r="R7018" s="180" t="s">
        <v>257</v>
      </c>
    </row>
    <row r="7019" spans="8:18" x14ac:dyDescent="0.2">
      <c r="H7019" s="180"/>
      <c r="P7019" s="180" t="s">
        <v>257</v>
      </c>
      <c r="R7019" s="180" t="s">
        <v>257</v>
      </c>
    </row>
    <row r="7020" spans="8:18" x14ac:dyDescent="0.2">
      <c r="H7020" s="180"/>
      <c r="P7020" s="180" t="s">
        <v>257</v>
      </c>
      <c r="R7020" s="180" t="s">
        <v>257</v>
      </c>
    </row>
    <row r="7021" spans="8:18" x14ac:dyDescent="0.2">
      <c r="H7021" s="180"/>
      <c r="P7021" s="180" t="s">
        <v>257</v>
      </c>
      <c r="R7021" s="180" t="s">
        <v>257</v>
      </c>
    </row>
    <row r="7022" spans="8:18" x14ac:dyDescent="0.2">
      <c r="H7022" s="180"/>
      <c r="P7022" s="180" t="s">
        <v>257</v>
      </c>
      <c r="R7022" s="180" t="s">
        <v>257</v>
      </c>
    </row>
    <row r="7023" spans="8:18" x14ac:dyDescent="0.2">
      <c r="H7023" s="180"/>
      <c r="P7023" s="180" t="s">
        <v>257</v>
      </c>
      <c r="R7023" s="180" t="s">
        <v>257</v>
      </c>
    </row>
    <row r="7024" spans="8:18" x14ac:dyDescent="0.2">
      <c r="H7024" s="180"/>
      <c r="P7024" s="180" t="s">
        <v>257</v>
      </c>
      <c r="R7024" s="180" t="s">
        <v>257</v>
      </c>
    </row>
    <row r="7025" spans="8:18" x14ac:dyDescent="0.2">
      <c r="H7025" s="180"/>
      <c r="P7025" s="180" t="s">
        <v>257</v>
      </c>
      <c r="R7025" s="180" t="s">
        <v>257</v>
      </c>
    </row>
    <row r="7026" spans="8:18" x14ac:dyDescent="0.2">
      <c r="H7026" s="180"/>
      <c r="P7026" s="180" t="s">
        <v>257</v>
      </c>
      <c r="R7026" s="180" t="s">
        <v>257</v>
      </c>
    </row>
    <row r="7027" spans="8:18" x14ac:dyDescent="0.2">
      <c r="H7027" s="180"/>
      <c r="P7027" s="180" t="s">
        <v>257</v>
      </c>
      <c r="R7027" s="180" t="s">
        <v>257</v>
      </c>
    </row>
    <row r="7028" spans="8:18" x14ac:dyDescent="0.2">
      <c r="H7028" s="180"/>
      <c r="P7028" s="180" t="s">
        <v>257</v>
      </c>
      <c r="R7028" s="180" t="s">
        <v>257</v>
      </c>
    </row>
    <row r="7029" spans="8:18" x14ac:dyDescent="0.2">
      <c r="H7029" s="180"/>
      <c r="P7029" s="180" t="s">
        <v>257</v>
      </c>
      <c r="R7029" s="180" t="s">
        <v>257</v>
      </c>
    </row>
    <row r="7030" spans="8:18" x14ac:dyDescent="0.2">
      <c r="H7030" s="180"/>
      <c r="P7030" s="180" t="s">
        <v>257</v>
      </c>
      <c r="R7030" s="180" t="s">
        <v>257</v>
      </c>
    </row>
    <row r="7031" spans="8:18" x14ac:dyDescent="0.2">
      <c r="H7031" s="180"/>
      <c r="P7031" s="180" t="s">
        <v>257</v>
      </c>
      <c r="R7031" s="180" t="s">
        <v>257</v>
      </c>
    </row>
    <row r="7032" spans="8:18" x14ac:dyDescent="0.2">
      <c r="H7032" s="180"/>
      <c r="P7032" s="180" t="s">
        <v>257</v>
      </c>
      <c r="R7032" s="180" t="s">
        <v>257</v>
      </c>
    </row>
    <row r="7033" spans="8:18" x14ac:dyDescent="0.2">
      <c r="H7033" s="180"/>
      <c r="P7033" s="180" t="s">
        <v>257</v>
      </c>
      <c r="R7033" s="180" t="s">
        <v>257</v>
      </c>
    </row>
    <row r="7034" spans="8:18" x14ac:dyDescent="0.2">
      <c r="H7034" s="180"/>
      <c r="P7034" s="180" t="s">
        <v>257</v>
      </c>
      <c r="R7034" s="180" t="s">
        <v>257</v>
      </c>
    </row>
    <row r="7035" spans="8:18" x14ac:dyDescent="0.2">
      <c r="H7035" s="180"/>
      <c r="P7035" s="180" t="s">
        <v>257</v>
      </c>
      <c r="R7035" s="180" t="s">
        <v>257</v>
      </c>
    </row>
    <row r="7036" spans="8:18" x14ac:dyDescent="0.2">
      <c r="H7036" s="180"/>
      <c r="P7036" s="180" t="s">
        <v>257</v>
      </c>
      <c r="R7036" s="180" t="s">
        <v>257</v>
      </c>
    </row>
    <row r="7037" spans="8:18" x14ac:dyDescent="0.2">
      <c r="H7037" s="180"/>
      <c r="P7037" s="180" t="s">
        <v>257</v>
      </c>
      <c r="R7037" s="180" t="s">
        <v>257</v>
      </c>
    </row>
    <row r="7038" spans="8:18" x14ac:dyDescent="0.2">
      <c r="H7038" s="180"/>
      <c r="P7038" s="180" t="s">
        <v>257</v>
      </c>
      <c r="R7038" s="180" t="s">
        <v>257</v>
      </c>
    </row>
    <row r="7039" spans="8:18" x14ac:dyDescent="0.2">
      <c r="H7039" s="180"/>
      <c r="P7039" s="180" t="s">
        <v>257</v>
      </c>
      <c r="R7039" s="180" t="s">
        <v>257</v>
      </c>
    </row>
    <row r="7040" spans="8:18" x14ac:dyDescent="0.2">
      <c r="H7040" s="180"/>
      <c r="P7040" s="180" t="s">
        <v>257</v>
      </c>
      <c r="R7040" s="180" t="s">
        <v>257</v>
      </c>
    </row>
    <row r="7041" spans="8:18" x14ac:dyDescent="0.2">
      <c r="H7041" s="180"/>
      <c r="P7041" s="180" t="s">
        <v>257</v>
      </c>
      <c r="R7041" s="180" t="s">
        <v>257</v>
      </c>
    </row>
    <row r="7042" spans="8:18" x14ac:dyDescent="0.2">
      <c r="H7042" s="180"/>
      <c r="P7042" s="180" t="s">
        <v>257</v>
      </c>
      <c r="R7042" s="180" t="s">
        <v>257</v>
      </c>
    </row>
    <row r="7043" spans="8:18" x14ac:dyDescent="0.2">
      <c r="H7043" s="180"/>
      <c r="P7043" s="180" t="s">
        <v>257</v>
      </c>
      <c r="R7043" s="180" t="s">
        <v>257</v>
      </c>
    </row>
    <row r="7044" spans="8:18" x14ac:dyDescent="0.2">
      <c r="H7044" s="180"/>
      <c r="P7044" s="180" t="s">
        <v>257</v>
      </c>
      <c r="R7044" s="180" t="s">
        <v>257</v>
      </c>
    </row>
    <row r="7045" spans="8:18" x14ac:dyDescent="0.2">
      <c r="H7045" s="180"/>
      <c r="P7045" s="180" t="s">
        <v>257</v>
      </c>
      <c r="R7045" s="180" t="s">
        <v>257</v>
      </c>
    </row>
    <row r="7046" spans="8:18" x14ac:dyDescent="0.2">
      <c r="H7046" s="180"/>
      <c r="P7046" s="180" t="s">
        <v>257</v>
      </c>
      <c r="R7046" s="180" t="s">
        <v>257</v>
      </c>
    </row>
    <row r="7047" spans="8:18" x14ac:dyDescent="0.2">
      <c r="H7047" s="180"/>
      <c r="P7047" s="180" t="s">
        <v>257</v>
      </c>
      <c r="R7047" s="180" t="s">
        <v>257</v>
      </c>
    </row>
    <row r="7048" spans="8:18" x14ac:dyDescent="0.2">
      <c r="H7048" s="180"/>
      <c r="P7048" s="180" t="s">
        <v>257</v>
      </c>
      <c r="R7048" s="180" t="s">
        <v>257</v>
      </c>
    </row>
    <row r="7049" spans="8:18" x14ac:dyDescent="0.2">
      <c r="H7049" s="180"/>
      <c r="P7049" s="180" t="s">
        <v>257</v>
      </c>
      <c r="R7049" s="180" t="s">
        <v>257</v>
      </c>
    </row>
    <row r="7050" spans="8:18" x14ac:dyDescent="0.2">
      <c r="H7050" s="180"/>
      <c r="P7050" s="180" t="s">
        <v>257</v>
      </c>
      <c r="R7050" s="180" t="s">
        <v>257</v>
      </c>
    </row>
    <row r="7051" spans="8:18" x14ac:dyDescent="0.2">
      <c r="H7051" s="180"/>
      <c r="P7051" s="180" t="s">
        <v>257</v>
      </c>
      <c r="R7051" s="180" t="s">
        <v>257</v>
      </c>
    </row>
    <row r="7052" spans="8:18" x14ac:dyDescent="0.2">
      <c r="H7052" s="180"/>
      <c r="P7052" s="180" t="s">
        <v>257</v>
      </c>
      <c r="R7052" s="180" t="s">
        <v>257</v>
      </c>
    </row>
    <row r="7053" spans="8:18" x14ac:dyDescent="0.2">
      <c r="H7053" s="180"/>
      <c r="P7053" s="180" t="s">
        <v>257</v>
      </c>
      <c r="R7053" s="180" t="s">
        <v>257</v>
      </c>
    </row>
    <row r="7054" spans="8:18" x14ac:dyDescent="0.2">
      <c r="H7054" s="180"/>
      <c r="P7054" s="180" t="s">
        <v>257</v>
      </c>
      <c r="R7054" s="180" t="s">
        <v>257</v>
      </c>
    </row>
    <row r="7055" spans="8:18" x14ac:dyDescent="0.2">
      <c r="H7055" s="180"/>
      <c r="P7055" s="180" t="s">
        <v>257</v>
      </c>
      <c r="R7055" s="180" t="s">
        <v>257</v>
      </c>
    </row>
    <row r="7056" spans="8:18" x14ac:dyDescent="0.2">
      <c r="H7056" s="180"/>
      <c r="P7056" s="180" t="s">
        <v>257</v>
      </c>
      <c r="R7056" s="180" t="s">
        <v>257</v>
      </c>
    </row>
    <row r="7057" spans="8:18" x14ac:dyDescent="0.2">
      <c r="H7057" s="180"/>
      <c r="P7057" s="180" t="s">
        <v>257</v>
      </c>
      <c r="R7057" s="180" t="s">
        <v>257</v>
      </c>
    </row>
    <row r="7058" spans="8:18" x14ac:dyDescent="0.2">
      <c r="H7058" s="180"/>
      <c r="P7058" s="180" t="s">
        <v>257</v>
      </c>
      <c r="R7058" s="180" t="s">
        <v>257</v>
      </c>
    </row>
    <row r="7059" spans="8:18" x14ac:dyDescent="0.2">
      <c r="H7059" s="180"/>
      <c r="P7059" s="180" t="s">
        <v>257</v>
      </c>
      <c r="R7059" s="180" t="s">
        <v>257</v>
      </c>
    </row>
    <row r="7060" spans="8:18" x14ac:dyDescent="0.2">
      <c r="H7060" s="180"/>
      <c r="P7060" s="180" t="s">
        <v>257</v>
      </c>
      <c r="R7060" s="180" t="s">
        <v>257</v>
      </c>
    </row>
    <row r="7061" spans="8:18" x14ac:dyDescent="0.2">
      <c r="H7061" s="180"/>
      <c r="P7061" s="180" t="s">
        <v>257</v>
      </c>
      <c r="R7061" s="180" t="s">
        <v>257</v>
      </c>
    </row>
    <row r="7062" spans="8:18" x14ac:dyDescent="0.2">
      <c r="H7062" s="180"/>
      <c r="P7062" s="180" t="s">
        <v>257</v>
      </c>
      <c r="R7062" s="180" t="s">
        <v>257</v>
      </c>
    </row>
    <row r="7063" spans="8:18" x14ac:dyDescent="0.2">
      <c r="H7063" s="180"/>
      <c r="P7063" s="180" t="s">
        <v>257</v>
      </c>
      <c r="R7063" s="180" t="s">
        <v>257</v>
      </c>
    </row>
    <row r="7064" spans="8:18" x14ac:dyDescent="0.2">
      <c r="H7064" s="180"/>
      <c r="P7064" s="180" t="s">
        <v>257</v>
      </c>
      <c r="R7064" s="180" t="s">
        <v>257</v>
      </c>
    </row>
    <row r="7065" spans="8:18" x14ac:dyDescent="0.2">
      <c r="H7065" s="180"/>
      <c r="P7065" s="180" t="s">
        <v>257</v>
      </c>
      <c r="R7065" s="180" t="s">
        <v>257</v>
      </c>
    </row>
    <row r="7066" spans="8:18" x14ac:dyDescent="0.2">
      <c r="H7066" s="180"/>
      <c r="P7066" s="180" t="s">
        <v>257</v>
      </c>
      <c r="R7066" s="180" t="s">
        <v>257</v>
      </c>
    </row>
    <row r="7067" spans="8:18" x14ac:dyDescent="0.2">
      <c r="H7067" s="180"/>
      <c r="P7067" s="180" t="s">
        <v>257</v>
      </c>
      <c r="R7067" s="180" t="s">
        <v>257</v>
      </c>
    </row>
    <row r="7068" spans="8:18" x14ac:dyDescent="0.2">
      <c r="H7068" s="180"/>
      <c r="P7068" s="180" t="s">
        <v>257</v>
      </c>
      <c r="R7068" s="180" t="s">
        <v>257</v>
      </c>
    </row>
    <row r="7069" spans="8:18" x14ac:dyDescent="0.2">
      <c r="H7069" s="180"/>
      <c r="P7069" s="180" t="s">
        <v>257</v>
      </c>
      <c r="R7069" s="180" t="s">
        <v>257</v>
      </c>
    </row>
    <row r="7070" spans="8:18" x14ac:dyDescent="0.2">
      <c r="H7070" s="180"/>
      <c r="P7070" s="180" t="s">
        <v>257</v>
      </c>
      <c r="R7070" s="180" t="s">
        <v>257</v>
      </c>
    </row>
    <row r="7071" spans="8:18" x14ac:dyDescent="0.2">
      <c r="H7071" s="180"/>
      <c r="P7071" s="180" t="s">
        <v>257</v>
      </c>
      <c r="R7071" s="180" t="s">
        <v>257</v>
      </c>
    </row>
    <row r="7072" spans="8:18" x14ac:dyDescent="0.2">
      <c r="H7072" s="180"/>
      <c r="P7072" s="180" t="s">
        <v>257</v>
      </c>
      <c r="R7072" s="180" t="s">
        <v>257</v>
      </c>
    </row>
    <row r="7073" spans="8:18" x14ac:dyDescent="0.2">
      <c r="H7073" s="180"/>
      <c r="P7073" s="180" t="s">
        <v>257</v>
      </c>
      <c r="R7073" s="180" t="s">
        <v>257</v>
      </c>
    </row>
    <row r="7074" spans="8:18" x14ac:dyDescent="0.2">
      <c r="H7074" s="180"/>
      <c r="P7074" s="180" t="s">
        <v>257</v>
      </c>
      <c r="R7074" s="180" t="s">
        <v>257</v>
      </c>
    </row>
    <row r="7075" spans="8:18" x14ac:dyDescent="0.2">
      <c r="H7075" s="180"/>
      <c r="P7075" s="180" t="s">
        <v>257</v>
      </c>
      <c r="R7075" s="180" t="s">
        <v>257</v>
      </c>
    </row>
    <row r="7076" spans="8:18" x14ac:dyDescent="0.2">
      <c r="H7076" s="180"/>
      <c r="P7076" s="180" t="s">
        <v>257</v>
      </c>
      <c r="R7076" s="180" t="s">
        <v>257</v>
      </c>
    </row>
    <row r="7077" spans="8:18" x14ac:dyDescent="0.2">
      <c r="H7077" s="180"/>
      <c r="P7077" s="180" t="s">
        <v>257</v>
      </c>
      <c r="R7077" s="180" t="s">
        <v>257</v>
      </c>
    </row>
    <row r="7078" spans="8:18" x14ac:dyDescent="0.2">
      <c r="H7078" s="180"/>
      <c r="P7078" s="180" t="s">
        <v>257</v>
      </c>
      <c r="R7078" s="180" t="s">
        <v>257</v>
      </c>
    </row>
    <row r="7079" spans="8:18" x14ac:dyDescent="0.2">
      <c r="H7079" s="180"/>
      <c r="P7079" s="180" t="s">
        <v>257</v>
      </c>
      <c r="R7079" s="180" t="s">
        <v>257</v>
      </c>
    </row>
    <row r="7080" spans="8:18" x14ac:dyDescent="0.2">
      <c r="H7080" s="180"/>
      <c r="P7080" s="180" t="s">
        <v>257</v>
      </c>
      <c r="R7080" s="180" t="s">
        <v>257</v>
      </c>
    </row>
    <row r="7081" spans="8:18" x14ac:dyDescent="0.2">
      <c r="H7081" s="180"/>
      <c r="P7081" s="180" t="s">
        <v>257</v>
      </c>
      <c r="R7081" s="180" t="s">
        <v>257</v>
      </c>
    </row>
    <row r="7082" spans="8:18" x14ac:dyDescent="0.2">
      <c r="H7082" s="180"/>
      <c r="P7082" s="180" t="s">
        <v>257</v>
      </c>
      <c r="R7082" s="180" t="s">
        <v>257</v>
      </c>
    </row>
    <row r="7083" spans="8:18" x14ac:dyDescent="0.2">
      <c r="H7083" s="180"/>
      <c r="P7083" s="180" t="s">
        <v>257</v>
      </c>
      <c r="R7083" s="180" t="s">
        <v>257</v>
      </c>
    </row>
    <row r="7084" spans="8:18" x14ac:dyDescent="0.2">
      <c r="H7084" s="180"/>
      <c r="P7084" s="180" t="s">
        <v>257</v>
      </c>
      <c r="R7084" s="180" t="s">
        <v>257</v>
      </c>
    </row>
    <row r="7085" spans="8:18" x14ac:dyDescent="0.2">
      <c r="H7085" s="180"/>
      <c r="P7085" s="180" t="s">
        <v>257</v>
      </c>
      <c r="R7085" s="180" t="s">
        <v>257</v>
      </c>
    </row>
    <row r="7086" spans="8:18" x14ac:dyDescent="0.2">
      <c r="H7086" s="180"/>
      <c r="P7086" s="180" t="s">
        <v>257</v>
      </c>
      <c r="R7086" s="180" t="s">
        <v>257</v>
      </c>
    </row>
    <row r="7087" spans="8:18" x14ac:dyDescent="0.2">
      <c r="H7087" s="180"/>
      <c r="P7087" s="180" t="s">
        <v>257</v>
      </c>
      <c r="R7087" s="180" t="s">
        <v>257</v>
      </c>
    </row>
    <row r="7088" spans="8:18" x14ac:dyDescent="0.2">
      <c r="H7088" s="180"/>
      <c r="P7088" s="180" t="s">
        <v>257</v>
      </c>
      <c r="R7088" s="180" t="s">
        <v>257</v>
      </c>
    </row>
    <row r="7089" spans="8:18" x14ac:dyDescent="0.2">
      <c r="H7089" s="180"/>
      <c r="P7089" s="180" t="s">
        <v>257</v>
      </c>
      <c r="R7089" s="180" t="s">
        <v>257</v>
      </c>
    </row>
    <row r="7090" spans="8:18" x14ac:dyDescent="0.2">
      <c r="H7090" s="180"/>
      <c r="P7090" s="180" t="s">
        <v>257</v>
      </c>
      <c r="R7090" s="180" t="s">
        <v>257</v>
      </c>
    </row>
    <row r="7091" spans="8:18" x14ac:dyDescent="0.2">
      <c r="H7091" s="180"/>
      <c r="P7091" s="180" t="s">
        <v>257</v>
      </c>
      <c r="R7091" s="180" t="s">
        <v>257</v>
      </c>
    </row>
    <row r="7092" spans="8:18" x14ac:dyDescent="0.2">
      <c r="H7092" s="180"/>
      <c r="P7092" s="180" t="s">
        <v>257</v>
      </c>
      <c r="R7092" s="180" t="s">
        <v>257</v>
      </c>
    </row>
    <row r="7093" spans="8:18" x14ac:dyDescent="0.2">
      <c r="H7093" s="180"/>
      <c r="P7093" s="180" t="s">
        <v>257</v>
      </c>
      <c r="R7093" s="180" t="s">
        <v>257</v>
      </c>
    </row>
    <row r="7094" spans="8:18" x14ac:dyDescent="0.2">
      <c r="H7094" s="180"/>
      <c r="P7094" s="180" t="s">
        <v>257</v>
      </c>
      <c r="R7094" s="180" t="s">
        <v>257</v>
      </c>
    </row>
    <row r="7095" spans="8:18" x14ac:dyDescent="0.2">
      <c r="H7095" s="180"/>
      <c r="P7095" s="180" t="s">
        <v>257</v>
      </c>
      <c r="R7095" s="180" t="s">
        <v>257</v>
      </c>
    </row>
    <row r="7096" spans="8:18" x14ac:dyDescent="0.2">
      <c r="H7096" s="180"/>
      <c r="P7096" s="180" t="s">
        <v>257</v>
      </c>
      <c r="R7096" s="180" t="s">
        <v>257</v>
      </c>
    </row>
    <row r="7097" spans="8:18" x14ac:dyDescent="0.2">
      <c r="H7097" s="180"/>
      <c r="P7097" s="180" t="s">
        <v>257</v>
      </c>
      <c r="R7097" s="180" t="s">
        <v>257</v>
      </c>
    </row>
    <row r="7098" spans="8:18" x14ac:dyDescent="0.2">
      <c r="H7098" s="180"/>
      <c r="P7098" s="180" t="s">
        <v>257</v>
      </c>
      <c r="R7098" s="180" t="s">
        <v>257</v>
      </c>
    </row>
    <row r="7099" spans="8:18" x14ac:dyDescent="0.2">
      <c r="H7099" s="180"/>
      <c r="P7099" s="180" t="s">
        <v>257</v>
      </c>
      <c r="R7099" s="180" t="s">
        <v>257</v>
      </c>
    </row>
    <row r="7100" spans="8:18" x14ac:dyDescent="0.2">
      <c r="H7100" s="180"/>
      <c r="P7100" s="180" t="s">
        <v>257</v>
      </c>
      <c r="R7100" s="180" t="s">
        <v>257</v>
      </c>
    </row>
    <row r="7101" spans="8:18" x14ac:dyDescent="0.2">
      <c r="H7101" s="180"/>
      <c r="P7101" s="180" t="s">
        <v>257</v>
      </c>
      <c r="R7101" s="180" t="s">
        <v>257</v>
      </c>
    </row>
    <row r="7102" spans="8:18" x14ac:dyDescent="0.2">
      <c r="H7102" s="180"/>
      <c r="P7102" s="180" t="s">
        <v>257</v>
      </c>
      <c r="R7102" s="180" t="s">
        <v>257</v>
      </c>
    </row>
    <row r="7103" spans="8:18" x14ac:dyDescent="0.2">
      <c r="H7103" s="180"/>
      <c r="P7103" s="180" t="s">
        <v>257</v>
      </c>
      <c r="R7103" s="180" t="s">
        <v>257</v>
      </c>
    </row>
    <row r="7104" spans="8:18" x14ac:dyDescent="0.2">
      <c r="H7104" s="180"/>
      <c r="P7104" s="180" t="s">
        <v>257</v>
      </c>
      <c r="R7104" s="180" t="s">
        <v>257</v>
      </c>
    </row>
    <row r="7105" spans="8:18" x14ac:dyDescent="0.2">
      <c r="H7105" s="180"/>
      <c r="P7105" s="180" t="s">
        <v>257</v>
      </c>
      <c r="R7105" s="180" t="s">
        <v>257</v>
      </c>
    </row>
    <row r="7106" spans="8:18" x14ac:dyDescent="0.2">
      <c r="H7106" s="180"/>
      <c r="P7106" s="180" t="s">
        <v>257</v>
      </c>
      <c r="R7106" s="180" t="s">
        <v>257</v>
      </c>
    </row>
    <row r="7107" spans="8:18" x14ac:dyDescent="0.2">
      <c r="H7107" s="180"/>
      <c r="P7107" s="180" t="s">
        <v>257</v>
      </c>
      <c r="R7107" s="180" t="s">
        <v>257</v>
      </c>
    </row>
    <row r="7108" spans="8:18" x14ac:dyDescent="0.2">
      <c r="H7108" s="180"/>
      <c r="P7108" s="180" t="s">
        <v>257</v>
      </c>
      <c r="R7108" s="180" t="s">
        <v>257</v>
      </c>
    </row>
    <row r="7109" spans="8:18" x14ac:dyDescent="0.2">
      <c r="H7109" s="180"/>
      <c r="P7109" s="180" t="s">
        <v>257</v>
      </c>
      <c r="R7109" s="180" t="s">
        <v>257</v>
      </c>
    </row>
    <row r="7110" spans="8:18" x14ac:dyDescent="0.2">
      <c r="H7110" s="180"/>
      <c r="P7110" s="180" t="s">
        <v>257</v>
      </c>
      <c r="R7110" s="180" t="s">
        <v>257</v>
      </c>
    </row>
    <row r="7111" spans="8:18" x14ac:dyDescent="0.2">
      <c r="H7111" s="180"/>
      <c r="P7111" s="180" t="s">
        <v>257</v>
      </c>
      <c r="R7111" s="180" t="s">
        <v>257</v>
      </c>
    </row>
    <row r="7112" spans="8:18" x14ac:dyDescent="0.2">
      <c r="H7112" s="180"/>
      <c r="P7112" s="180" t="s">
        <v>257</v>
      </c>
      <c r="R7112" s="180" t="s">
        <v>257</v>
      </c>
    </row>
    <row r="7113" spans="8:18" x14ac:dyDescent="0.2">
      <c r="H7113" s="180"/>
      <c r="P7113" s="180" t="s">
        <v>257</v>
      </c>
      <c r="R7113" s="180" t="s">
        <v>257</v>
      </c>
    </row>
    <row r="7114" spans="8:18" x14ac:dyDescent="0.2">
      <c r="H7114" s="180"/>
      <c r="P7114" s="180" t="s">
        <v>257</v>
      </c>
      <c r="R7114" s="180" t="s">
        <v>257</v>
      </c>
    </row>
    <row r="7115" spans="8:18" x14ac:dyDescent="0.2">
      <c r="H7115" s="180"/>
      <c r="P7115" s="180" t="s">
        <v>257</v>
      </c>
      <c r="R7115" s="180" t="s">
        <v>257</v>
      </c>
    </row>
    <row r="7116" spans="8:18" x14ac:dyDescent="0.2">
      <c r="H7116" s="180"/>
      <c r="P7116" s="180" t="s">
        <v>257</v>
      </c>
      <c r="R7116" s="180" t="s">
        <v>257</v>
      </c>
    </row>
    <row r="7117" spans="8:18" x14ac:dyDescent="0.2">
      <c r="H7117" s="180"/>
      <c r="P7117" s="180" t="s">
        <v>257</v>
      </c>
      <c r="R7117" s="180" t="s">
        <v>257</v>
      </c>
    </row>
    <row r="7118" spans="8:18" x14ac:dyDescent="0.2">
      <c r="H7118" s="180"/>
      <c r="P7118" s="180" t="s">
        <v>257</v>
      </c>
      <c r="R7118" s="180" t="s">
        <v>257</v>
      </c>
    </row>
    <row r="7119" spans="8:18" x14ac:dyDescent="0.2">
      <c r="H7119" s="180"/>
      <c r="P7119" s="180" t="s">
        <v>257</v>
      </c>
      <c r="R7119" s="180" t="s">
        <v>257</v>
      </c>
    </row>
    <row r="7120" spans="8:18" x14ac:dyDescent="0.2">
      <c r="H7120" s="180"/>
      <c r="P7120" s="180" t="s">
        <v>257</v>
      </c>
      <c r="R7120" s="180" t="s">
        <v>257</v>
      </c>
    </row>
    <row r="7121" spans="8:18" x14ac:dyDescent="0.2">
      <c r="H7121" s="180"/>
      <c r="P7121" s="180" t="s">
        <v>257</v>
      </c>
      <c r="R7121" s="180" t="s">
        <v>257</v>
      </c>
    </row>
    <row r="7122" spans="8:18" x14ac:dyDescent="0.2">
      <c r="H7122" s="180"/>
      <c r="P7122" s="180" t="s">
        <v>257</v>
      </c>
      <c r="R7122" s="180" t="s">
        <v>257</v>
      </c>
    </row>
    <row r="7123" spans="8:18" x14ac:dyDescent="0.2">
      <c r="H7123" s="180"/>
      <c r="P7123" s="180" t="s">
        <v>257</v>
      </c>
      <c r="R7123" s="180" t="s">
        <v>257</v>
      </c>
    </row>
    <row r="7124" spans="8:18" x14ac:dyDescent="0.2">
      <c r="H7124" s="180"/>
      <c r="P7124" s="180" t="s">
        <v>257</v>
      </c>
      <c r="R7124" s="180" t="s">
        <v>257</v>
      </c>
    </row>
    <row r="7125" spans="8:18" x14ac:dyDescent="0.2">
      <c r="H7125" s="180"/>
      <c r="P7125" s="180" t="s">
        <v>257</v>
      </c>
      <c r="R7125" s="180" t="s">
        <v>257</v>
      </c>
    </row>
    <row r="7126" spans="8:18" x14ac:dyDescent="0.2">
      <c r="H7126" s="180"/>
      <c r="P7126" s="180" t="s">
        <v>257</v>
      </c>
      <c r="R7126" s="180" t="s">
        <v>257</v>
      </c>
    </row>
    <row r="7127" spans="8:18" x14ac:dyDescent="0.2">
      <c r="H7127" s="180"/>
      <c r="P7127" s="180" t="s">
        <v>257</v>
      </c>
      <c r="R7127" s="180" t="s">
        <v>257</v>
      </c>
    </row>
    <row r="7128" spans="8:18" x14ac:dyDescent="0.2">
      <c r="H7128" s="180"/>
      <c r="P7128" s="180" t="s">
        <v>257</v>
      </c>
      <c r="R7128" s="180" t="s">
        <v>257</v>
      </c>
    </row>
    <row r="7129" spans="8:18" x14ac:dyDescent="0.2">
      <c r="H7129" s="180"/>
      <c r="P7129" s="180" t="s">
        <v>257</v>
      </c>
      <c r="R7129" s="180" t="s">
        <v>257</v>
      </c>
    </row>
    <row r="7130" spans="8:18" x14ac:dyDescent="0.2">
      <c r="H7130" s="180"/>
      <c r="P7130" s="180" t="s">
        <v>257</v>
      </c>
      <c r="R7130" s="180" t="s">
        <v>257</v>
      </c>
    </row>
    <row r="7131" spans="8:18" x14ac:dyDescent="0.2">
      <c r="H7131" s="180"/>
      <c r="P7131" s="180" t="s">
        <v>257</v>
      </c>
      <c r="R7131" s="180" t="s">
        <v>257</v>
      </c>
    </row>
    <row r="7132" spans="8:18" x14ac:dyDescent="0.2">
      <c r="H7132" s="180"/>
      <c r="P7132" s="180" t="s">
        <v>257</v>
      </c>
      <c r="R7132" s="180" t="s">
        <v>257</v>
      </c>
    </row>
    <row r="7133" spans="8:18" x14ac:dyDescent="0.2">
      <c r="H7133" s="180"/>
      <c r="P7133" s="180" t="s">
        <v>257</v>
      </c>
      <c r="R7133" s="180" t="s">
        <v>257</v>
      </c>
    </row>
    <row r="7134" spans="8:18" x14ac:dyDescent="0.2">
      <c r="H7134" s="180"/>
      <c r="P7134" s="180" t="s">
        <v>257</v>
      </c>
      <c r="R7134" s="180" t="s">
        <v>257</v>
      </c>
    </row>
    <row r="7135" spans="8:18" x14ac:dyDescent="0.2">
      <c r="H7135" s="180"/>
      <c r="P7135" s="180" t="s">
        <v>257</v>
      </c>
      <c r="R7135" s="180" t="s">
        <v>257</v>
      </c>
    </row>
    <row r="7136" spans="8:18" x14ac:dyDescent="0.2">
      <c r="H7136" s="180"/>
      <c r="P7136" s="180" t="s">
        <v>257</v>
      </c>
      <c r="R7136" s="180" t="s">
        <v>257</v>
      </c>
    </row>
    <row r="7137" spans="8:18" x14ac:dyDescent="0.2">
      <c r="H7137" s="180"/>
      <c r="P7137" s="180" t="s">
        <v>257</v>
      </c>
      <c r="R7137" s="180" t="s">
        <v>257</v>
      </c>
    </row>
    <row r="7138" spans="8:18" x14ac:dyDescent="0.2">
      <c r="H7138" s="180"/>
      <c r="P7138" s="180" t="s">
        <v>257</v>
      </c>
      <c r="R7138" s="180" t="s">
        <v>257</v>
      </c>
    </row>
    <row r="7139" spans="8:18" x14ac:dyDescent="0.2">
      <c r="H7139" s="180"/>
      <c r="P7139" s="180" t="s">
        <v>257</v>
      </c>
      <c r="R7139" s="180" t="s">
        <v>257</v>
      </c>
    </row>
    <row r="7140" spans="8:18" x14ac:dyDescent="0.2">
      <c r="H7140" s="180"/>
      <c r="P7140" s="180" t="s">
        <v>257</v>
      </c>
      <c r="R7140" s="180" t="s">
        <v>257</v>
      </c>
    </row>
    <row r="7141" spans="8:18" x14ac:dyDescent="0.2">
      <c r="H7141" s="180"/>
      <c r="P7141" s="180" t="s">
        <v>257</v>
      </c>
      <c r="R7141" s="180" t="s">
        <v>257</v>
      </c>
    </row>
    <row r="7142" spans="8:18" x14ac:dyDescent="0.2">
      <c r="H7142" s="180"/>
      <c r="P7142" s="180" t="s">
        <v>257</v>
      </c>
      <c r="R7142" s="180" t="s">
        <v>257</v>
      </c>
    </row>
    <row r="7143" spans="8:18" x14ac:dyDescent="0.2">
      <c r="H7143" s="180"/>
      <c r="P7143" s="180" t="s">
        <v>257</v>
      </c>
      <c r="R7143" s="180" t="s">
        <v>257</v>
      </c>
    </row>
    <row r="7144" spans="8:18" x14ac:dyDescent="0.2">
      <c r="H7144" s="180"/>
      <c r="P7144" s="180" t="s">
        <v>257</v>
      </c>
      <c r="R7144" s="180" t="s">
        <v>257</v>
      </c>
    </row>
    <row r="7145" spans="8:18" x14ac:dyDescent="0.2">
      <c r="H7145" s="180"/>
      <c r="P7145" s="180" t="s">
        <v>257</v>
      </c>
      <c r="R7145" s="180" t="s">
        <v>257</v>
      </c>
    </row>
    <row r="7146" spans="8:18" x14ac:dyDescent="0.2">
      <c r="H7146" s="180"/>
      <c r="P7146" s="180" t="s">
        <v>257</v>
      </c>
      <c r="R7146" s="180" t="s">
        <v>257</v>
      </c>
    </row>
    <row r="7147" spans="8:18" x14ac:dyDescent="0.2">
      <c r="H7147" s="180"/>
      <c r="P7147" s="180" t="s">
        <v>257</v>
      </c>
      <c r="R7147" s="180" t="s">
        <v>257</v>
      </c>
    </row>
    <row r="7148" spans="8:18" x14ac:dyDescent="0.2">
      <c r="H7148" s="180"/>
      <c r="P7148" s="180" t="s">
        <v>257</v>
      </c>
      <c r="R7148" s="180" t="s">
        <v>257</v>
      </c>
    </row>
    <row r="7149" spans="8:18" x14ac:dyDescent="0.2">
      <c r="H7149" s="180"/>
      <c r="P7149" s="180" t="s">
        <v>257</v>
      </c>
      <c r="R7149" s="180" t="s">
        <v>257</v>
      </c>
    </row>
    <row r="7150" spans="8:18" x14ac:dyDescent="0.2">
      <c r="H7150" s="180"/>
      <c r="P7150" s="180" t="s">
        <v>257</v>
      </c>
      <c r="R7150" s="180" t="s">
        <v>257</v>
      </c>
    </row>
    <row r="7151" spans="8:18" x14ac:dyDescent="0.2">
      <c r="H7151" s="180"/>
      <c r="P7151" s="180" t="s">
        <v>257</v>
      </c>
      <c r="R7151" s="180" t="s">
        <v>257</v>
      </c>
    </row>
    <row r="7152" spans="8:18" x14ac:dyDescent="0.2">
      <c r="H7152" s="180"/>
      <c r="P7152" s="180" t="s">
        <v>257</v>
      </c>
      <c r="R7152" s="180" t="s">
        <v>257</v>
      </c>
    </row>
    <row r="7153" spans="8:18" x14ac:dyDescent="0.2">
      <c r="H7153" s="180"/>
      <c r="P7153" s="180" t="s">
        <v>257</v>
      </c>
      <c r="R7153" s="180" t="s">
        <v>257</v>
      </c>
    </row>
    <row r="7154" spans="8:18" x14ac:dyDescent="0.2">
      <c r="H7154" s="180"/>
      <c r="P7154" s="180" t="s">
        <v>257</v>
      </c>
      <c r="R7154" s="180" t="s">
        <v>257</v>
      </c>
    </row>
    <row r="7155" spans="8:18" x14ac:dyDescent="0.2">
      <c r="H7155" s="180"/>
      <c r="P7155" s="180" t="s">
        <v>257</v>
      </c>
      <c r="R7155" s="180" t="s">
        <v>257</v>
      </c>
    </row>
    <row r="7156" spans="8:18" x14ac:dyDescent="0.2">
      <c r="H7156" s="180"/>
      <c r="P7156" s="180" t="s">
        <v>257</v>
      </c>
      <c r="R7156" s="180" t="s">
        <v>257</v>
      </c>
    </row>
    <row r="7157" spans="8:18" x14ac:dyDescent="0.2">
      <c r="H7157" s="180"/>
      <c r="P7157" s="180" t="s">
        <v>257</v>
      </c>
      <c r="R7157" s="180" t="s">
        <v>257</v>
      </c>
    </row>
    <row r="7158" spans="8:18" x14ac:dyDescent="0.2">
      <c r="H7158" s="180"/>
      <c r="P7158" s="180" t="s">
        <v>257</v>
      </c>
      <c r="R7158" s="180" t="s">
        <v>257</v>
      </c>
    </row>
    <row r="7159" spans="8:18" x14ac:dyDescent="0.2">
      <c r="H7159" s="180"/>
      <c r="P7159" s="180" t="s">
        <v>257</v>
      </c>
      <c r="R7159" s="180" t="s">
        <v>257</v>
      </c>
    </row>
    <row r="7160" spans="8:18" x14ac:dyDescent="0.2">
      <c r="H7160" s="180"/>
      <c r="P7160" s="180" t="s">
        <v>257</v>
      </c>
      <c r="R7160" s="180" t="s">
        <v>257</v>
      </c>
    </row>
    <row r="7161" spans="8:18" x14ac:dyDescent="0.2">
      <c r="H7161" s="180"/>
      <c r="P7161" s="180" t="s">
        <v>257</v>
      </c>
      <c r="R7161" s="180" t="s">
        <v>257</v>
      </c>
    </row>
    <row r="7162" spans="8:18" x14ac:dyDescent="0.2">
      <c r="H7162" s="180"/>
      <c r="P7162" s="180" t="s">
        <v>257</v>
      </c>
      <c r="R7162" s="180" t="s">
        <v>257</v>
      </c>
    </row>
    <row r="7163" spans="8:18" x14ac:dyDescent="0.2">
      <c r="H7163" s="180"/>
      <c r="P7163" s="180" t="s">
        <v>257</v>
      </c>
      <c r="R7163" s="180" t="s">
        <v>257</v>
      </c>
    </row>
    <row r="7164" spans="8:18" x14ac:dyDescent="0.2">
      <c r="H7164" s="180"/>
      <c r="P7164" s="180" t="s">
        <v>257</v>
      </c>
      <c r="R7164" s="180" t="s">
        <v>257</v>
      </c>
    </row>
    <row r="7165" spans="8:18" x14ac:dyDescent="0.2">
      <c r="H7165" s="180"/>
      <c r="P7165" s="180" t="s">
        <v>257</v>
      </c>
      <c r="R7165" s="180" t="s">
        <v>257</v>
      </c>
    </row>
    <row r="7166" spans="8:18" x14ac:dyDescent="0.2">
      <c r="H7166" s="180"/>
      <c r="P7166" s="180" t="s">
        <v>257</v>
      </c>
      <c r="R7166" s="180" t="s">
        <v>257</v>
      </c>
    </row>
    <row r="7167" spans="8:18" x14ac:dyDescent="0.2">
      <c r="H7167" s="180"/>
      <c r="P7167" s="180" t="s">
        <v>257</v>
      </c>
      <c r="R7167" s="180" t="s">
        <v>257</v>
      </c>
    </row>
    <row r="7168" spans="8:18" x14ac:dyDescent="0.2">
      <c r="H7168" s="180"/>
      <c r="P7168" s="180" t="s">
        <v>257</v>
      </c>
      <c r="R7168" s="180" t="s">
        <v>257</v>
      </c>
    </row>
    <row r="7169" spans="8:18" x14ac:dyDescent="0.2">
      <c r="H7169" s="180"/>
      <c r="P7169" s="180" t="s">
        <v>257</v>
      </c>
      <c r="R7169" s="180" t="s">
        <v>257</v>
      </c>
    </row>
    <row r="7170" spans="8:18" x14ac:dyDescent="0.2">
      <c r="H7170" s="180"/>
      <c r="P7170" s="180" t="s">
        <v>257</v>
      </c>
      <c r="R7170" s="180" t="s">
        <v>257</v>
      </c>
    </row>
    <row r="7171" spans="8:18" x14ac:dyDescent="0.2">
      <c r="H7171" s="180"/>
      <c r="P7171" s="180" t="s">
        <v>257</v>
      </c>
      <c r="R7171" s="180" t="s">
        <v>257</v>
      </c>
    </row>
    <row r="7172" spans="8:18" x14ac:dyDescent="0.2">
      <c r="H7172" s="180"/>
      <c r="P7172" s="180" t="s">
        <v>257</v>
      </c>
      <c r="R7172" s="180" t="s">
        <v>257</v>
      </c>
    </row>
    <row r="7173" spans="8:18" x14ac:dyDescent="0.2">
      <c r="H7173" s="180"/>
      <c r="P7173" s="180" t="s">
        <v>257</v>
      </c>
      <c r="R7173" s="180" t="s">
        <v>257</v>
      </c>
    </row>
    <row r="7174" spans="8:18" x14ac:dyDescent="0.2">
      <c r="H7174" s="180"/>
      <c r="P7174" s="180" t="s">
        <v>257</v>
      </c>
      <c r="R7174" s="180" t="s">
        <v>257</v>
      </c>
    </row>
    <row r="7175" spans="8:18" x14ac:dyDescent="0.2">
      <c r="H7175" s="180"/>
      <c r="P7175" s="180" t="s">
        <v>257</v>
      </c>
      <c r="R7175" s="180" t="s">
        <v>257</v>
      </c>
    </row>
    <row r="7176" spans="8:18" x14ac:dyDescent="0.2">
      <c r="H7176" s="180"/>
      <c r="P7176" s="180" t="s">
        <v>257</v>
      </c>
      <c r="R7176" s="180" t="s">
        <v>257</v>
      </c>
    </row>
    <row r="7177" spans="8:18" x14ac:dyDescent="0.2">
      <c r="H7177" s="180"/>
      <c r="P7177" s="180" t="s">
        <v>257</v>
      </c>
      <c r="R7177" s="180" t="s">
        <v>257</v>
      </c>
    </row>
    <row r="7178" spans="8:18" x14ac:dyDescent="0.2">
      <c r="H7178" s="180"/>
      <c r="P7178" s="180" t="s">
        <v>257</v>
      </c>
      <c r="R7178" s="180" t="s">
        <v>257</v>
      </c>
    </row>
    <row r="7179" spans="8:18" x14ac:dyDescent="0.2">
      <c r="H7179" s="180"/>
      <c r="P7179" s="180" t="s">
        <v>257</v>
      </c>
      <c r="R7179" s="180" t="s">
        <v>257</v>
      </c>
    </row>
    <row r="7180" spans="8:18" x14ac:dyDescent="0.2">
      <c r="H7180" s="180"/>
      <c r="P7180" s="180" t="s">
        <v>257</v>
      </c>
      <c r="R7180" s="180" t="s">
        <v>257</v>
      </c>
    </row>
    <row r="7181" spans="8:18" x14ac:dyDescent="0.2">
      <c r="H7181" s="180"/>
      <c r="P7181" s="180" t="s">
        <v>257</v>
      </c>
      <c r="R7181" s="180" t="s">
        <v>257</v>
      </c>
    </row>
    <row r="7182" spans="8:18" x14ac:dyDescent="0.2">
      <c r="H7182" s="180"/>
      <c r="P7182" s="180" t="s">
        <v>257</v>
      </c>
      <c r="R7182" s="180" t="s">
        <v>257</v>
      </c>
    </row>
    <row r="7183" spans="8:18" x14ac:dyDescent="0.2">
      <c r="H7183" s="180"/>
      <c r="P7183" s="180" t="s">
        <v>257</v>
      </c>
      <c r="R7183" s="180" t="s">
        <v>257</v>
      </c>
    </row>
    <row r="7184" spans="8:18" x14ac:dyDescent="0.2">
      <c r="H7184" s="180"/>
      <c r="P7184" s="180" t="s">
        <v>257</v>
      </c>
      <c r="R7184" s="180" t="s">
        <v>257</v>
      </c>
    </row>
    <row r="7185" spans="8:18" x14ac:dyDescent="0.2">
      <c r="H7185" s="180"/>
      <c r="P7185" s="180" t="s">
        <v>257</v>
      </c>
      <c r="R7185" s="180" t="s">
        <v>257</v>
      </c>
    </row>
    <row r="7186" spans="8:18" x14ac:dyDescent="0.2">
      <c r="H7186" s="180"/>
      <c r="P7186" s="180" t="s">
        <v>257</v>
      </c>
      <c r="R7186" s="180" t="s">
        <v>257</v>
      </c>
    </row>
    <row r="7187" spans="8:18" x14ac:dyDescent="0.2">
      <c r="H7187" s="180"/>
      <c r="P7187" s="180" t="s">
        <v>257</v>
      </c>
      <c r="R7187" s="180" t="s">
        <v>257</v>
      </c>
    </row>
    <row r="7188" spans="8:18" x14ac:dyDescent="0.2">
      <c r="H7188" s="180"/>
      <c r="P7188" s="180" t="s">
        <v>257</v>
      </c>
      <c r="R7188" s="180" t="s">
        <v>257</v>
      </c>
    </row>
    <row r="7189" spans="8:18" x14ac:dyDescent="0.2">
      <c r="H7189" s="180"/>
      <c r="P7189" s="180" t="s">
        <v>257</v>
      </c>
      <c r="R7189" s="180" t="s">
        <v>257</v>
      </c>
    </row>
    <row r="7190" spans="8:18" x14ac:dyDescent="0.2">
      <c r="H7190" s="180"/>
      <c r="P7190" s="180" t="s">
        <v>257</v>
      </c>
      <c r="R7190" s="180" t="s">
        <v>257</v>
      </c>
    </row>
    <row r="7191" spans="8:18" x14ac:dyDescent="0.2">
      <c r="H7191" s="180"/>
      <c r="P7191" s="180" t="s">
        <v>257</v>
      </c>
      <c r="R7191" s="180" t="s">
        <v>257</v>
      </c>
    </row>
    <row r="7192" spans="8:18" x14ac:dyDescent="0.2">
      <c r="H7192" s="180"/>
      <c r="P7192" s="180" t="s">
        <v>257</v>
      </c>
      <c r="R7192" s="180" t="s">
        <v>257</v>
      </c>
    </row>
    <row r="7193" spans="8:18" x14ac:dyDescent="0.2">
      <c r="H7193" s="180"/>
      <c r="P7193" s="180" t="s">
        <v>257</v>
      </c>
      <c r="R7193" s="180" t="s">
        <v>257</v>
      </c>
    </row>
    <row r="7194" spans="8:18" x14ac:dyDescent="0.2">
      <c r="H7194" s="180"/>
      <c r="P7194" s="180" t="s">
        <v>257</v>
      </c>
      <c r="R7194" s="180" t="s">
        <v>257</v>
      </c>
    </row>
    <row r="7195" spans="8:18" x14ac:dyDescent="0.2">
      <c r="H7195" s="180"/>
      <c r="P7195" s="180" t="s">
        <v>257</v>
      </c>
      <c r="R7195" s="180" t="s">
        <v>257</v>
      </c>
    </row>
    <row r="7196" spans="8:18" x14ac:dyDescent="0.2">
      <c r="H7196" s="180"/>
      <c r="P7196" s="180" t="s">
        <v>257</v>
      </c>
      <c r="R7196" s="180" t="s">
        <v>257</v>
      </c>
    </row>
    <row r="7197" spans="8:18" x14ac:dyDescent="0.2">
      <c r="H7197" s="180"/>
      <c r="P7197" s="180" t="s">
        <v>257</v>
      </c>
      <c r="R7197" s="180" t="s">
        <v>257</v>
      </c>
    </row>
    <row r="7198" spans="8:18" x14ac:dyDescent="0.2">
      <c r="H7198" s="180"/>
      <c r="P7198" s="180" t="s">
        <v>257</v>
      </c>
      <c r="R7198" s="180" t="s">
        <v>257</v>
      </c>
    </row>
    <row r="7199" spans="8:18" x14ac:dyDescent="0.2">
      <c r="H7199" s="180"/>
      <c r="P7199" s="180" t="s">
        <v>257</v>
      </c>
      <c r="R7199" s="180" t="s">
        <v>257</v>
      </c>
    </row>
    <row r="7200" spans="8:18" x14ac:dyDescent="0.2">
      <c r="H7200" s="180"/>
      <c r="P7200" s="180" t="s">
        <v>257</v>
      </c>
      <c r="R7200" s="180" t="s">
        <v>257</v>
      </c>
    </row>
    <row r="7201" spans="8:18" x14ac:dyDescent="0.2">
      <c r="H7201" s="180"/>
      <c r="P7201" s="180" t="s">
        <v>257</v>
      </c>
      <c r="R7201" s="180" t="s">
        <v>257</v>
      </c>
    </row>
    <row r="7202" spans="8:18" x14ac:dyDescent="0.2">
      <c r="H7202" s="180"/>
      <c r="P7202" s="180" t="s">
        <v>257</v>
      </c>
      <c r="R7202" s="180" t="s">
        <v>257</v>
      </c>
    </row>
    <row r="7203" spans="8:18" x14ac:dyDescent="0.2">
      <c r="H7203" s="180"/>
      <c r="P7203" s="180" t="s">
        <v>257</v>
      </c>
      <c r="R7203" s="180" t="s">
        <v>257</v>
      </c>
    </row>
    <row r="7204" spans="8:18" x14ac:dyDescent="0.2">
      <c r="H7204" s="180"/>
      <c r="P7204" s="180" t="s">
        <v>257</v>
      </c>
      <c r="R7204" s="180" t="s">
        <v>257</v>
      </c>
    </row>
    <row r="7205" spans="8:18" x14ac:dyDescent="0.2">
      <c r="H7205" s="180"/>
      <c r="P7205" s="180" t="s">
        <v>257</v>
      </c>
      <c r="R7205" s="180" t="s">
        <v>257</v>
      </c>
    </row>
    <row r="7206" spans="8:18" x14ac:dyDescent="0.2">
      <c r="H7206" s="180"/>
      <c r="P7206" s="180" t="s">
        <v>257</v>
      </c>
      <c r="R7206" s="180" t="s">
        <v>257</v>
      </c>
    </row>
    <row r="7207" spans="8:18" x14ac:dyDescent="0.2">
      <c r="H7207" s="180"/>
      <c r="P7207" s="180" t="s">
        <v>257</v>
      </c>
      <c r="R7207" s="180" t="s">
        <v>257</v>
      </c>
    </row>
    <row r="7208" spans="8:18" x14ac:dyDescent="0.2">
      <c r="H7208" s="180"/>
      <c r="P7208" s="180" t="s">
        <v>257</v>
      </c>
      <c r="R7208" s="180" t="s">
        <v>257</v>
      </c>
    </row>
    <row r="7209" spans="8:18" x14ac:dyDescent="0.2">
      <c r="H7209" s="180"/>
      <c r="P7209" s="180" t="s">
        <v>257</v>
      </c>
      <c r="R7209" s="180" t="s">
        <v>257</v>
      </c>
    </row>
    <row r="7210" spans="8:18" x14ac:dyDescent="0.2">
      <c r="H7210" s="180"/>
      <c r="P7210" s="180" t="s">
        <v>257</v>
      </c>
      <c r="R7210" s="180" t="s">
        <v>257</v>
      </c>
    </row>
    <row r="7211" spans="8:18" x14ac:dyDescent="0.2">
      <c r="H7211" s="180"/>
      <c r="P7211" s="180" t="s">
        <v>257</v>
      </c>
      <c r="R7211" s="180" t="s">
        <v>257</v>
      </c>
    </row>
    <row r="7212" spans="8:18" x14ac:dyDescent="0.2">
      <c r="H7212" s="180"/>
      <c r="P7212" s="180" t="s">
        <v>257</v>
      </c>
      <c r="R7212" s="180" t="s">
        <v>257</v>
      </c>
    </row>
    <row r="7213" spans="8:18" x14ac:dyDescent="0.2">
      <c r="H7213" s="180"/>
      <c r="P7213" s="180" t="s">
        <v>257</v>
      </c>
      <c r="R7213" s="180" t="s">
        <v>257</v>
      </c>
    </row>
    <row r="7214" spans="8:18" x14ac:dyDescent="0.2">
      <c r="H7214" s="180"/>
      <c r="P7214" s="180" t="s">
        <v>257</v>
      </c>
      <c r="R7214" s="180" t="s">
        <v>257</v>
      </c>
    </row>
    <row r="7215" spans="8:18" x14ac:dyDescent="0.2">
      <c r="H7215" s="180"/>
      <c r="P7215" s="180" t="s">
        <v>257</v>
      </c>
      <c r="R7215" s="180" t="s">
        <v>257</v>
      </c>
    </row>
    <row r="7216" spans="8:18" x14ac:dyDescent="0.2">
      <c r="H7216" s="180"/>
      <c r="P7216" s="180" t="s">
        <v>257</v>
      </c>
      <c r="R7216" s="180" t="s">
        <v>257</v>
      </c>
    </row>
    <row r="7217" spans="8:18" x14ac:dyDescent="0.2">
      <c r="H7217" s="180"/>
      <c r="P7217" s="180" t="s">
        <v>257</v>
      </c>
      <c r="R7217" s="180" t="s">
        <v>257</v>
      </c>
    </row>
    <row r="7218" spans="8:18" x14ac:dyDescent="0.2">
      <c r="H7218" s="180"/>
      <c r="P7218" s="180" t="s">
        <v>257</v>
      </c>
      <c r="R7218" s="180" t="s">
        <v>257</v>
      </c>
    </row>
    <row r="7219" spans="8:18" x14ac:dyDescent="0.2">
      <c r="H7219" s="180"/>
      <c r="P7219" s="180" t="s">
        <v>257</v>
      </c>
      <c r="R7219" s="180" t="s">
        <v>257</v>
      </c>
    </row>
    <row r="7220" spans="8:18" x14ac:dyDescent="0.2">
      <c r="H7220" s="180"/>
      <c r="P7220" s="180" t="s">
        <v>257</v>
      </c>
      <c r="R7220" s="180" t="s">
        <v>257</v>
      </c>
    </row>
    <row r="7221" spans="8:18" x14ac:dyDescent="0.2">
      <c r="H7221" s="180"/>
      <c r="P7221" s="180" t="s">
        <v>257</v>
      </c>
      <c r="R7221" s="180" t="s">
        <v>257</v>
      </c>
    </row>
    <row r="7222" spans="8:18" x14ac:dyDescent="0.2">
      <c r="H7222" s="180"/>
      <c r="P7222" s="180" t="s">
        <v>257</v>
      </c>
      <c r="R7222" s="180" t="s">
        <v>257</v>
      </c>
    </row>
    <row r="7223" spans="8:18" x14ac:dyDescent="0.2">
      <c r="H7223" s="180"/>
      <c r="P7223" s="180" t="s">
        <v>257</v>
      </c>
      <c r="R7223" s="180" t="s">
        <v>257</v>
      </c>
    </row>
    <row r="7224" spans="8:18" x14ac:dyDescent="0.2">
      <c r="H7224" s="180"/>
      <c r="P7224" s="180" t="s">
        <v>257</v>
      </c>
      <c r="R7224" s="180" t="s">
        <v>257</v>
      </c>
    </row>
    <row r="7225" spans="8:18" x14ac:dyDescent="0.2">
      <c r="H7225" s="180"/>
      <c r="P7225" s="180" t="s">
        <v>257</v>
      </c>
      <c r="R7225" s="180" t="s">
        <v>257</v>
      </c>
    </row>
    <row r="7226" spans="8:18" x14ac:dyDescent="0.2">
      <c r="H7226" s="180"/>
      <c r="P7226" s="180" t="s">
        <v>257</v>
      </c>
      <c r="R7226" s="180" t="s">
        <v>257</v>
      </c>
    </row>
    <row r="7227" spans="8:18" x14ac:dyDescent="0.2">
      <c r="H7227" s="180"/>
      <c r="P7227" s="180" t="s">
        <v>257</v>
      </c>
      <c r="R7227" s="180" t="s">
        <v>257</v>
      </c>
    </row>
    <row r="7228" spans="8:18" x14ac:dyDescent="0.2">
      <c r="H7228" s="180"/>
      <c r="P7228" s="180" t="s">
        <v>257</v>
      </c>
      <c r="R7228" s="180" t="s">
        <v>257</v>
      </c>
    </row>
    <row r="7229" spans="8:18" x14ac:dyDescent="0.2">
      <c r="H7229" s="180"/>
      <c r="P7229" s="180" t="s">
        <v>257</v>
      </c>
      <c r="R7229" s="180" t="s">
        <v>257</v>
      </c>
    </row>
    <row r="7230" spans="8:18" x14ac:dyDescent="0.2">
      <c r="H7230" s="180"/>
      <c r="P7230" s="180" t="s">
        <v>257</v>
      </c>
      <c r="R7230" s="180" t="s">
        <v>257</v>
      </c>
    </row>
    <row r="7231" spans="8:18" x14ac:dyDescent="0.2">
      <c r="H7231" s="180"/>
      <c r="P7231" s="180" t="s">
        <v>257</v>
      </c>
      <c r="R7231" s="180" t="s">
        <v>257</v>
      </c>
    </row>
    <row r="7232" spans="8:18" x14ac:dyDescent="0.2">
      <c r="H7232" s="180"/>
      <c r="P7232" s="180" t="s">
        <v>257</v>
      </c>
      <c r="R7232" s="180" t="s">
        <v>257</v>
      </c>
    </row>
    <row r="7233" spans="8:18" x14ac:dyDescent="0.2">
      <c r="H7233" s="180"/>
      <c r="P7233" s="180" t="s">
        <v>257</v>
      </c>
      <c r="R7233" s="180" t="s">
        <v>257</v>
      </c>
    </row>
    <row r="7234" spans="8:18" x14ac:dyDescent="0.2">
      <c r="H7234" s="180"/>
      <c r="P7234" s="180" t="s">
        <v>257</v>
      </c>
      <c r="R7234" s="180" t="s">
        <v>257</v>
      </c>
    </row>
    <row r="7235" spans="8:18" x14ac:dyDescent="0.2">
      <c r="H7235" s="180"/>
      <c r="P7235" s="180" t="s">
        <v>257</v>
      </c>
      <c r="R7235" s="180" t="s">
        <v>257</v>
      </c>
    </row>
    <row r="7236" spans="8:18" x14ac:dyDescent="0.2">
      <c r="H7236" s="180"/>
      <c r="P7236" s="180" t="s">
        <v>257</v>
      </c>
      <c r="R7236" s="180" t="s">
        <v>257</v>
      </c>
    </row>
    <row r="7237" spans="8:18" x14ac:dyDescent="0.2">
      <c r="H7237" s="180"/>
      <c r="P7237" s="180" t="s">
        <v>257</v>
      </c>
      <c r="R7237" s="180" t="s">
        <v>257</v>
      </c>
    </row>
    <row r="7238" spans="8:18" x14ac:dyDescent="0.2">
      <c r="H7238" s="180"/>
      <c r="P7238" s="180" t="s">
        <v>257</v>
      </c>
      <c r="R7238" s="180" t="s">
        <v>257</v>
      </c>
    </row>
    <row r="7239" spans="8:18" x14ac:dyDescent="0.2">
      <c r="H7239" s="180"/>
      <c r="P7239" s="180" t="s">
        <v>257</v>
      </c>
      <c r="R7239" s="180" t="s">
        <v>257</v>
      </c>
    </row>
    <row r="7240" spans="8:18" x14ac:dyDescent="0.2">
      <c r="H7240" s="180"/>
      <c r="P7240" s="180" t="s">
        <v>257</v>
      </c>
      <c r="R7240" s="180" t="s">
        <v>257</v>
      </c>
    </row>
    <row r="7241" spans="8:18" x14ac:dyDescent="0.2">
      <c r="H7241" s="180"/>
      <c r="P7241" s="180" t="s">
        <v>257</v>
      </c>
      <c r="R7241" s="180" t="s">
        <v>257</v>
      </c>
    </row>
    <row r="7242" spans="8:18" x14ac:dyDescent="0.2">
      <c r="H7242" s="180"/>
      <c r="P7242" s="180" t="s">
        <v>257</v>
      </c>
      <c r="R7242" s="180" t="s">
        <v>257</v>
      </c>
    </row>
    <row r="7243" spans="8:18" x14ac:dyDescent="0.2">
      <c r="H7243" s="180"/>
      <c r="P7243" s="180" t="s">
        <v>257</v>
      </c>
      <c r="R7243" s="180" t="s">
        <v>257</v>
      </c>
    </row>
    <row r="7244" spans="8:18" x14ac:dyDescent="0.2">
      <c r="H7244" s="180"/>
      <c r="P7244" s="180" t="s">
        <v>257</v>
      </c>
      <c r="R7244" s="180" t="s">
        <v>257</v>
      </c>
    </row>
    <row r="7245" spans="8:18" x14ac:dyDescent="0.2">
      <c r="H7245" s="180"/>
      <c r="P7245" s="180" t="s">
        <v>257</v>
      </c>
      <c r="R7245" s="180" t="s">
        <v>257</v>
      </c>
    </row>
    <row r="7246" spans="8:18" x14ac:dyDescent="0.2">
      <c r="H7246" s="180"/>
      <c r="P7246" s="180" t="s">
        <v>257</v>
      </c>
      <c r="R7246" s="180" t="s">
        <v>257</v>
      </c>
    </row>
    <row r="7247" spans="8:18" x14ac:dyDescent="0.2">
      <c r="H7247" s="180"/>
      <c r="P7247" s="180" t="s">
        <v>257</v>
      </c>
      <c r="R7247" s="180" t="s">
        <v>257</v>
      </c>
    </row>
    <row r="7248" spans="8:18" x14ac:dyDescent="0.2">
      <c r="H7248" s="180"/>
      <c r="P7248" s="180" t="s">
        <v>257</v>
      </c>
      <c r="R7248" s="180" t="s">
        <v>257</v>
      </c>
    </row>
    <row r="7249" spans="8:18" x14ac:dyDescent="0.2">
      <c r="H7249" s="180"/>
      <c r="P7249" s="180" t="s">
        <v>257</v>
      </c>
      <c r="R7249" s="180" t="s">
        <v>257</v>
      </c>
    </row>
    <row r="7250" spans="8:18" x14ac:dyDescent="0.2">
      <c r="H7250" s="180"/>
      <c r="P7250" s="180" t="s">
        <v>257</v>
      </c>
      <c r="R7250" s="180" t="s">
        <v>257</v>
      </c>
    </row>
    <row r="7251" spans="8:18" x14ac:dyDescent="0.2">
      <c r="H7251" s="180"/>
      <c r="P7251" s="180" t="s">
        <v>257</v>
      </c>
      <c r="R7251" s="180" t="s">
        <v>257</v>
      </c>
    </row>
    <row r="7252" spans="8:18" x14ac:dyDescent="0.2">
      <c r="H7252" s="180"/>
      <c r="P7252" s="180" t="s">
        <v>257</v>
      </c>
      <c r="R7252" s="180" t="s">
        <v>257</v>
      </c>
    </row>
    <row r="7253" spans="8:18" x14ac:dyDescent="0.2">
      <c r="H7253" s="180"/>
      <c r="P7253" s="180" t="s">
        <v>257</v>
      </c>
      <c r="R7253" s="180" t="s">
        <v>257</v>
      </c>
    </row>
    <row r="7254" spans="8:18" x14ac:dyDescent="0.2">
      <c r="H7254" s="180"/>
      <c r="P7254" s="180" t="s">
        <v>257</v>
      </c>
      <c r="R7254" s="180" t="s">
        <v>257</v>
      </c>
    </row>
    <row r="7255" spans="8:18" x14ac:dyDescent="0.2">
      <c r="H7255" s="180"/>
      <c r="P7255" s="180" t="s">
        <v>257</v>
      </c>
      <c r="R7255" s="180" t="s">
        <v>257</v>
      </c>
    </row>
    <row r="7256" spans="8:18" x14ac:dyDescent="0.2">
      <c r="H7256" s="180"/>
      <c r="P7256" s="180" t="s">
        <v>257</v>
      </c>
      <c r="R7256" s="180" t="s">
        <v>257</v>
      </c>
    </row>
    <row r="7257" spans="8:18" x14ac:dyDescent="0.2">
      <c r="H7257" s="180"/>
      <c r="P7257" s="180" t="s">
        <v>257</v>
      </c>
      <c r="R7257" s="180" t="s">
        <v>257</v>
      </c>
    </row>
    <row r="7258" spans="8:18" x14ac:dyDescent="0.2">
      <c r="H7258" s="180"/>
      <c r="P7258" s="180" t="s">
        <v>257</v>
      </c>
      <c r="R7258" s="180" t="s">
        <v>257</v>
      </c>
    </row>
    <row r="7259" spans="8:18" x14ac:dyDescent="0.2">
      <c r="H7259" s="180"/>
      <c r="P7259" s="180" t="s">
        <v>257</v>
      </c>
      <c r="R7259" s="180" t="s">
        <v>257</v>
      </c>
    </row>
    <row r="7260" spans="8:18" x14ac:dyDescent="0.2">
      <c r="H7260" s="180"/>
      <c r="P7260" s="180" t="s">
        <v>257</v>
      </c>
      <c r="R7260" s="180" t="s">
        <v>257</v>
      </c>
    </row>
    <row r="7261" spans="8:18" x14ac:dyDescent="0.2">
      <c r="H7261" s="180"/>
      <c r="P7261" s="180" t="s">
        <v>257</v>
      </c>
      <c r="R7261" s="180" t="s">
        <v>257</v>
      </c>
    </row>
    <row r="7262" spans="8:18" x14ac:dyDescent="0.2">
      <c r="H7262" s="180"/>
      <c r="P7262" s="180" t="s">
        <v>257</v>
      </c>
      <c r="R7262" s="180" t="s">
        <v>257</v>
      </c>
    </row>
    <row r="7263" spans="8:18" x14ac:dyDescent="0.2">
      <c r="H7263" s="180"/>
      <c r="P7263" s="180" t="s">
        <v>257</v>
      </c>
      <c r="R7263" s="180" t="s">
        <v>257</v>
      </c>
    </row>
    <row r="7264" spans="8:18" x14ac:dyDescent="0.2">
      <c r="H7264" s="180"/>
      <c r="P7264" s="180" t="s">
        <v>257</v>
      </c>
      <c r="R7264" s="180" t="s">
        <v>257</v>
      </c>
    </row>
    <row r="7265" spans="8:18" x14ac:dyDescent="0.2">
      <c r="H7265" s="180"/>
      <c r="P7265" s="180" t="s">
        <v>257</v>
      </c>
      <c r="R7265" s="180" t="s">
        <v>257</v>
      </c>
    </row>
    <row r="7266" spans="8:18" x14ac:dyDescent="0.2">
      <c r="H7266" s="180"/>
      <c r="P7266" s="180" t="s">
        <v>257</v>
      </c>
      <c r="R7266" s="180" t="s">
        <v>257</v>
      </c>
    </row>
    <row r="7267" spans="8:18" x14ac:dyDescent="0.2">
      <c r="H7267" s="180"/>
      <c r="P7267" s="180" t="s">
        <v>257</v>
      </c>
      <c r="R7267" s="180" t="s">
        <v>257</v>
      </c>
    </row>
    <row r="7268" spans="8:18" x14ac:dyDescent="0.2">
      <c r="H7268" s="180"/>
      <c r="P7268" s="180" t="s">
        <v>257</v>
      </c>
      <c r="R7268" s="180" t="s">
        <v>257</v>
      </c>
    </row>
    <row r="7269" spans="8:18" x14ac:dyDescent="0.2">
      <c r="H7269" s="180"/>
      <c r="P7269" s="180" t="s">
        <v>257</v>
      </c>
      <c r="R7269" s="180" t="s">
        <v>257</v>
      </c>
    </row>
    <row r="7270" spans="8:18" x14ac:dyDescent="0.2">
      <c r="H7270" s="180"/>
      <c r="P7270" s="180" t="s">
        <v>257</v>
      </c>
      <c r="R7270" s="180" t="s">
        <v>257</v>
      </c>
    </row>
    <row r="7271" spans="8:18" x14ac:dyDescent="0.2">
      <c r="H7271" s="180"/>
      <c r="P7271" s="180" t="s">
        <v>257</v>
      </c>
      <c r="R7271" s="180" t="s">
        <v>257</v>
      </c>
    </row>
    <row r="7272" spans="8:18" x14ac:dyDescent="0.2">
      <c r="H7272" s="180"/>
      <c r="P7272" s="180" t="s">
        <v>257</v>
      </c>
      <c r="R7272" s="180" t="s">
        <v>257</v>
      </c>
    </row>
    <row r="7273" spans="8:18" x14ac:dyDescent="0.2">
      <c r="H7273" s="180"/>
      <c r="P7273" s="180" t="s">
        <v>257</v>
      </c>
      <c r="R7273" s="180" t="s">
        <v>257</v>
      </c>
    </row>
    <row r="7274" spans="8:18" x14ac:dyDescent="0.2">
      <c r="H7274" s="180"/>
      <c r="P7274" s="180" t="s">
        <v>257</v>
      </c>
      <c r="R7274" s="180" t="s">
        <v>257</v>
      </c>
    </row>
    <row r="7275" spans="8:18" x14ac:dyDescent="0.2">
      <c r="H7275" s="180"/>
      <c r="P7275" s="180" t="s">
        <v>257</v>
      </c>
      <c r="R7275" s="180" t="s">
        <v>257</v>
      </c>
    </row>
    <row r="7276" spans="8:18" x14ac:dyDescent="0.2">
      <c r="H7276" s="180"/>
      <c r="P7276" s="180" t="s">
        <v>257</v>
      </c>
      <c r="R7276" s="180" t="s">
        <v>257</v>
      </c>
    </row>
    <row r="7277" spans="8:18" x14ac:dyDescent="0.2">
      <c r="H7277" s="180"/>
      <c r="P7277" s="180" t="s">
        <v>257</v>
      </c>
      <c r="R7277" s="180" t="s">
        <v>257</v>
      </c>
    </row>
    <row r="7278" spans="8:18" x14ac:dyDescent="0.2">
      <c r="H7278" s="180"/>
      <c r="P7278" s="180" t="s">
        <v>257</v>
      </c>
      <c r="R7278" s="180" t="s">
        <v>257</v>
      </c>
    </row>
    <row r="7279" spans="8:18" x14ac:dyDescent="0.2">
      <c r="H7279" s="180"/>
      <c r="P7279" s="180" t="s">
        <v>257</v>
      </c>
      <c r="R7279" s="180" t="s">
        <v>257</v>
      </c>
    </row>
    <row r="7280" spans="8:18" x14ac:dyDescent="0.2">
      <c r="H7280" s="180"/>
      <c r="P7280" s="180" t="s">
        <v>257</v>
      </c>
      <c r="R7280" s="180" t="s">
        <v>257</v>
      </c>
    </row>
    <row r="7281" spans="8:18" x14ac:dyDescent="0.2">
      <c r="H7281" s="180"/>
      <c r="P7281" s="180" t="s">
        <v>257</v>
      </c>
      <c r="R7281" s="180" t="s">
        <v>257</v>
      </c>
    </row>
    <row r="7282" spans="8:18" x14ac:dyDescent="0.2">
      <c r="H7282" s="180"/>
      <c r="P7282" s="180" t="s">
        <v>257</v>
      </c>
      <c r="R7282" s="180" t="s">
        <v>257</v>
      </c>
    </row>
    <row r="7283" spans="8:18" x14ac:dyDescent="0.2">
      <c r="H7283" s="180"/>
      <c r="P7283" s="180" t="s">
        <v>257</v>
      </c>
      <c r="R7283" s="180" t="s">
        <v>257</v>
      </c>
    </row>
    <row r="7284" spans="8:18" x14ac:dyDescent="0.2">
      <c r="H7284" s="180"/>
      <c r="P7284" s="180" t="s">
        <v>257</v>
      </c>
      <c r="R7284" s="180" t="s">
        <v>257</v>
      </c>
    </row>
    <row r="7285" spans="8:18" x14ac:dyDescent="0.2">
      <c r="H7285" s="180"/>
      <c r="P7285" s="180" t="s">
        <v>257</v>
      </c>
      <c r="R7285" s="180" t="s">
        <v>257</v>
      </c>
    </row>
    <row r="7286" spans="8:18" x14ac:dyDescent="0.2">
      <c r="H7286" s="180"/>
      <c r="P7286" s="180" t="s">
        <v>257</v>
      </c>
      <c r="R7286" s="180" t="s">
        <v>257</v>
      </c>
    </row>
    <row r="7287" spans="8:18" x14ac:dyDescent="0.2">
      <c r="H7287" s="180"/>
      <c r="P7287" s="180" t="s">
        <v>257</v>
      </c>
      <c r="R7287" s="180" t="s">
        <v>257</v>
      </c>
    </row>
    <row r="7288" spans="8:18" x14ac:dyDescent="0.2">
      <c r="H7288" s="180"/>
      <c r="P7288" s="180" t="s">
        <v>257</v>
      </c>
      <c r="R7288" s="180" t="s">
        <v>257</v>
      </c>
    </row>
    <row r="7289" spans="8:18" x14ac:dyDescent="0.2">
      <c r="H7289" s="180"/>
      <c r="P7289" s="180" t="s">
        <v>257</v>
      </c>
      <c r="R7289" s="180" t="s">
        <v>257</v>
      </c>
    </row>
    <row r="7290" spans="8:18" x14ac:dyDescent="0.2">
      <c r="H7290" s="180"/>
      <c r="P7290" s="180" t="s">
        <v>257</v>
      </c>
      <c r="R7290" s="180" t="s">
        <v>257</v>
      </c>
    </row>
    <row r="7291" spans="8:18" x14ac:dyDescent="0.2">
      <c r="H7291" s="180"/>
      <c r="P7291" s="180" t="s">
        <v>257</v>
      </c>
      <c r="R7291" s="180" t="s">
        <v>257</v>
      </c>
    </row>
    <row r="7292" spans="8:18" x14ac:dyDescent="0.2">
      <c r="H7292" s="180"/>
      <c r="P7292" s="180" t="s">
        <v>257</v>
      </c>
      <c r="R7292" s="180" t="s">
        <v>257</v>
      </c>
    </row>
    <row r="7293" spans="8:18" x14ac:dyDescent="0.2">
      <c r="H7293" s="180"/>
      <c r="P7293" s="180" t="s">
        <v>257</v>
      </c>
      <c r="R7293" s="180" t="s">
        <v>257</v>
      </c>
    </row>
    <row r="7294" spans="8:18" x14ac:dyDescent="0.2">
      <c r="H7294" s="180"/>
      <c r="P7294" s="180" t="s">
        <v>257</v>
      </c>
      <c r="R7294" s="180" t="s">
        <v>257</v>
      </c>
    </row>
    <row r="7295" spans="8:18" x14ac:dyDescent="0.2">
      <c r="H7295" s="180"/>
      <c r="P7295" s="180" t="s">
        <v>257</v>
      </c>
      <c r="R7295" s="180" t="s">
        <v>257</v>
      </c>
    </row>
    <row r="7296" spans="8:18" x14ac:dyDescent="0.2">
      <c r="H7296" s="180"/>
      <c r="P7296" s="180" t="s">
        <v>257</v>
      </c>
      <c r="R7296" s="180" t="s">
        <v>257</v>
      </c>
    </row>
    <row r="7297" spans="8:18" x14ac:dyDescent="0.2">
      <c r="H7297" s="180"/>
      <c r="P7297" s="180" t="s">
        <v>257</v>
      </c>
      <c r="R7297" s="180" t="s">
        <v>257</v>
      </c>
    </row>
    <row r="7298" spans="8:18" x14ac:dyDescent="0.2">
      <c r="H7298" s="180"/>
      <c r="P7298" s="180" t="s">
        <v>257</v>
      </c>
      <c r="R7298" s="180" t="s">
        <v>257</v>
      </c>
    </row>
    <row r="7299" spans="8:18" x14ac:dyDescent="0.2">
      <c r="H7299" s="180"/>
      <c r="P7299" s="180" t="s">
        <v>257</v>
      </c>
      <c r="R7299" s="180" t="s">
        <v>257</v>
      </c>
    </row>
    <row r="7300" spans="8:18" x14ac:dyDescent="0.2">
      <c r="H7300" s="180"/>
      <c r="P7300" s="180" t="s">
        <v>257</v>
      </c>
      <c r="R7300" s="180" t="s">
        <v>257</v>
      </c>
    </row>
    <row r="7301" spans="8:18" x14ac:dyDescent="0.2">
      <c r="H7301" s="180"/>
      <c r="P7301" s="180" t="s">
        <v>257</v>
      </c>
      <c r="R7301" s="180" t="s">
        <v>257</v>
      </c>
    </row>
    <row r="7302" spans="8:18" x14ac:dyDescent="0.2">
      <c r="H7302" s="180"/>
      <c r="P7302" s="180" t="s">
        <v>257</v>
      </c>
      <c r="R7302" s="180" t="s">
        <v>257</v>
      </c>
    </row>
    <row r="7303" spans="8:18" x14ac:dyDescent="0.2">
      <c r="H7303" s="180"/>
      <c r="P7303" s="180" t="s">
        <v>257</v>
      </c>
      <c r="R7303" s="180" t="s">
        <v>257</v>
      </c>
    </row>
    <row r="7304" spans="8:18" x14ac:dyDescent="0.2">
      <c r="H7304" s="180"/>
      <c r="P7304" s="180" t="s">
        <v>257</v>
      </c>
      <c r="R7304" s="180" t="s">
        <v>257</v>
      </c>
    </row>
    <row r="7305" spans="8:18" x14ac:dyDescent="0.2">
      <c r="H7305" s="180"/>
      <c r="P7305" s="180" t="s">
        <v>257</v>
      </c>
      <c r="R7305" s="180" t="s">
        <v>257</v>
      </c>
    </row>
    <row r="7306" spans="8:18" x14ac:dyDescent="0.2">
      <c r="H7306" s="180"/>
      <c r="P7306" s="180" t="s">
        <v>257</v>
      </c>
      <c r="R7306" s="180" t="s">
        <v>257</v>
      </c>
    </row>
    <row r="7307" spans="8:18" x14ac:dyDescent="0.2">
      <c r="H7307" s="180"/>
      <c r="P7307" s="180" t="s">
        <v>257</v>
      </c>
      <c r="R7307" s="180" t="s">
        <v>257</v>
      </c>
    </row>
    <row r="7308" spans="8:18" x14ac:dyDescent="0.2">
      <c r="H7308" s="180"/>
      <c r="P7308" s="180" t="s">
        <v>257</v>
      </c>
      <c r="R7308" s="180" t="s">
        <v>257</v>
      </c>
    </row>
    <row r="7309" spans="8:18" x14ac:dyDescent="0.2">
      <c r="H7309" s="180"/>
      <c r="P7309" s="180" t="s">
        <v>257</v>
      </c>
      <c r="R7309" s="180" t="s">
        <v>257</v>
      </c>
    </row>
    <row r="7310" spans="8:18" x14ac:dyDescent="0.2">
      <c r="H7310" s="180"/>
      <c r="P7310" s="180" t="s">
        <v>257</v>
      </c>
      <c r="R7310" s="180" t="s">
        <v>257</v>
      </c>
    </row>
    <row r="7311" spans="8:18" x14ac:dyDescent="0.2">
      <c r="H7311" s="180"/>
      <c r="P7311" s="180" t="s">
        <v>257</v>
      </c>
      <c r="R7311" s="180" t="s">
        <v>257</v>
      </c>
    </row>
    <row r="7312" spans="8:18" x14ac:dyDescent="0.2">
      <c r="H7312" s="180"/>
      <c r="P7312" s="180" t="s">
        <v>257</v>
      </c>
      <c r="R7312" s="180" t="s">
        <v>257</v>
      </c>
    </row>
    <row r="7313" spans="8:18" x14ac:dyDescent="0.2">
      <c r="H7313" s="180"/>
      <c r="P7313" s="180" t="s">
        <v>257</v>
      </c>
      <c r="R7313" s="180" t="s">
        <v>257</v>
      </c>
    </row>
    <row r="7314" spans="8:18" x14ac:dyDescent="0.2">
      <c r="H7314" s="180"/>
      <c r="P7314" s="180" t="s">
        <v>257</v>
      </c>
      <c r="R7314" s="180" t="s">
        <v>257</v>
      </c>
    </row>
    <row r="7315" spans="8:18" x14ac:dyDescent="0.2">
      <c r="H7315" s="180"/>
      <c r="P7315" s="180" t="s">
        <v>257</v>
      </c>
      <c r="R7315" s="180" t="s">
        <v>257</v>
      </c>
    </row>
    <row r="7316" spans="8:18" x14ac:dyDescent="0.2">
      <c r="H7316" s="180"/>
      <c r="P7316" s="180" t="s">
        <v>257</v>
      </c>
      <c r="R7316" s="180" t="s">
        <v>257</v>
      </c>
    </row>
    <row r="7317" spans="8:18" x14ac:dyDescent="0.2">
      <c r="H7317" s="180"/>
      <c r="P7317" s="180" t="s">
        <v>257</v>
      </c>
      <c r="R7317" s="180" t="s">
        <v>257</v>
      </c>
    </row>
    <row r="7318" spans="8:18" x14ac:dyDescent="0.2">
      <c r="H7318" s="180"/>
      <c r="P7318" s="180" t="s">
        <v>257</v>
      </c>
      <c r="R7318" s="180" t="s">
        <v>257</v>
      </c>
    </row>
    <row r="7319" spans="8:18" x14ac:dyDescent="0.2">
      <c r="H7319" s="180"/>
      <c r="P7319" s="180" t="s">
        <v>257</v>
      </c>
      <c r="R7319" s="180" t="s">
        <v>257</v>
      </c>
    </row>
    <row r="7320" spans="8:18" x14ac:dyDescent="0.2">
      <c r="H7320" s="180"/>
      <c r="P7320" s="180" t="s">
        <v>257</v>
      </c>
      <c r="R7320" s="180" t="s">
        <v>257</v>
      </c>
    </row>
    <row r="7321" spans="8:18" x14ac:dyDescent="0.2">
      <c r="H7321" s="180"/>
      <c r="P7321" s="180" t="s">
        <v>257</v>
      </c>
      <c r="R7321" s="180" t="s">
        <v>257</v>
      </c>
    </row>
    <row r="7322" spans="8:18" x14ac:dyDescent="0.2">
      <c r="H7322" s="180"/>
      <c r="P7322" s="180" t="s">
        <v>257</v>
      </c>
      <c r="R7322" s="180" t="s">
        <v>257</v>
      </c>
    </row>
    <row r="7323" spans="8:18" x14ac:dyDescent="0.2">
      <c r="H7323" s="180"/>
      <c r="P7323" s="180" t="s">
        <v>257</v>
      </c>
      <c r="R7323" s="180" t="s">
        <v>257</v>
      </c>
    </row>
    <row r="7324" spans="8:18" x14ac:dyDescent="0.2">
      <c r="H7324" s="180"/>
      <c r="P7324" s="180" t="s">
        <v>257</v>
      </c>
      <c r="R7324" s="180" t="s">
        <v>257</v>
      </c>
    </row>
    <row r="7325" spans="8:18" x14ac:dyDescent="0.2">
      <c r="H7325" s="180"/>
      <c r="P7325" s="180" t="s">
        <v>257</v>
      </c>
      <c r="R7325" s="180" t="s">
        <v>257</v>
      </c>
    </row>
    <row r="7326" spans="8:18" x14ac:dyDescent="0.2">
      <c r="H7326" s="180"/>
      <c r="P7326" s="180" t="s">
        <v>257</v>
      </c>
      <c r="R7326" s="180" t="s">
        <v>257</v>
      </c>
    </row>
    <row r="7327" spans="8:18" x14ac:dyDescent="0.2">
      <c r="H7327" s="180"/>
      <c r="P7327" s="180" t="s">
        <v>257</v>
      </c>
      <c r="R7327" s="180" t="s">
        <v>257</v>
      </c>
    </row>
    <row r="7328" spans="8:18" x14ac:dyDescent="0.2">
      <c r="H7328" s="180"/>
      <c r="P7328" s="180" t="s">
        <v>257</v>
      </c>
      <c r="R7328" s="180" t="s">
        <v>257</v>
      </c>
    </row>
    <row r="7329" spans="8:18" x14ac:dyDescent="0.2">
      <c r="H7329" s="180"/>
      <c r="P7329" s="180" t="s">
        <v>257</v>
      </c>
      <c r="R7329" s="180" t="s">
        <v>257</v>
      </c>
    </row>
    <row r="7330" spans="8:18" x14ac:dyDescent="0.2">
      <c r="H7330" s="180"/>
      <c r="P7330" s="180" t="s">
        <v>257</v>
      </c>
      <c r="R7330" s="180" t="s">
        <v>257</v>
      </c>
    </row>
    <row r="7331" spans="8:18" x14ac:dyDescent="0.2">
      <c r="H7331" s="180"/>
      <c r="P7331" s="180" t="s">
        <v>257</v>
      </c>
      <c r="R7331" s="180" t="s">
        <v>257</v>
      </c>
    </row>
    <row r="7332" spans="8:18" x14ac:dyDescent="0.2">
      <c r="H7332" s="180"/>
      <c r="P7332" s="180" t="s">
        <v>257</v>
      </c>
      <c r="R7332" s="180" t="s">
        <v>257</v>
      </c>
    </row>
    <row r="7333" spans="8:18" x14ac:dyDescent="0.2">
      <c r="H7333" s="180"/>
      <c r="P7333" s="180" t="s">
        <v>257</v>
      </c>
      <c r="R7333" s="180" t="s">
        <v>257</v>
      </c>
    </row>
    <row r="7334" spans="8:18" x14ac:dyDescent="0.2">
      <c r="H7334" s="180"/>
      <c r="P7334" s="180" t="s">
        <v>257</v>
      </c>
      <c r="R7334" s="180" t="s">
        <v>257</v>
      </c>
    </row>
    <row r="7335" spans="8:18" x14ac:dyDescent="0.2">
      <c r="H7335" s="180"/>
      <c r="P7335" s="180" t="s">
        <v>257</v>
      </c>
      <c r="R7335" s="180" t="s">
        <v>257</v>
      </c>
    </row>
    <row r="7336" spans="8:18" x14ac:dyDescent="0.2">
      <c r="H7336" s="180"/>
      <c r="P7336" s="180" t="s">
        <v>257</v>
      </c>
      <c r="R7336" s="180" t="s">
        <v>257</v>
      </c>
    </row>
    <row r="7337" spans="8:18" x14ac:dyDescent="0.2">
      <c r="H7337" s="180"/>
      <c r="P7337" s="180" t="s">
        <v>257</v>
      </c>
      <c r="R7337" s="180" t="s">
        <v>257</v>
      </c>
    </row>
    <row r="7338" spans="8:18" x14ac:dyDescent="0.2">
      <c r="H7338" s="180"/>
      <c r="P7338" s="180" t="s">
        <v>257</v>
      </c>
      <c r="R7338" s="180" t="s">
        <v>257</v>
      </c>
    </row>
    <row r="7339" spans="8:18" x14ac:dyDescent="0.2">
      <c r="H7339" s="180"/>
      <c r="P7339" s="180" t="s">
        <v>257</v>
      </c>
      <c r="R7339" s="180" t="s">
        <v>257</v>
      </c>
    </row>
    <row r="7340" spans="8:18" x14ac:dyDescent="0.2">
      <c r="H7340" s="180"/>
      <c r="P7340" s="180" t="s">
        <v>257</v>
      </c>
      <c r="R7340" s="180" t="s">
        <v>257</v>
      </c>
    </row>
    <row r="7341" spans="8:18" x14ac:dyDescent="0.2">
      <c r="H7341" s="180"/>
      <c r="P7341" s="180" t="s">
        <v>257</v>
      </c>
      <c r="R7341" s="180" t="s">
        <v>257</v>
      </c>
    </row>
    <row r="7342" spans="8:18" x14ac:dyDescent="0.2">
      <c r="H7342" s="180"/>
      <c r="P7342" s="180" t="s">
        <v>257</v>
      </c>
      <c r="R7342" s="180" t="s">
        <v>257</v>
      </c>
    </row>
    <row r="7343" spans="8:18" x14ac:dyDescent="0.2">
      <c r="H7343" s="180"/>
      <c r="P7343" s="180" t="s">
        <v>257</v>
      </c>
      <c r="R7343" s="180" t="s">
        <v>257</v>
      </c>
    </row>
    <row r="7344" spans="8:18" x14ac:dyDescent="0.2">
      <c r="H7344" s="180"/>
      <c r="P7344" s="180" t="s">
        <v>257</v>
      </c>
      <c r="R7344" s="180" t="s">
        <v>257</v>
      </c>
    </row>
    <row r="7345" spans="8:18" x14ac:dyDescent="0.2">
      <c r="H7345" s="180"/>
      <c r="P7345" s="180" t="s">
        <v>257</v>
      </c>
      <c r="R7345" s="180" t="s">
        <v>257</v>
      </c>
    </row>
    <row r="7346" spans="8:18" x14ac:dyDescent="0.2">
      <c r="H7346" s="180"/>
      <c r="P7346" s="180" t="s">
        <v>257</v>
      </c>
      <c r="R7346" s="180" t="s">
        <v>257</v>
      </c>
    </row>
    <row r="7347" spans="8:18" x14ac:dyDescent="0.2">
      <c r="H7347" s="180"/>
      <c r="P7347" s="180" t="s">
        <v>257</v>
      </c>
      <c r="R7347" s="180" t="s">
        <v>257</v>
      </c>
    </row>
    <row r="7348" spans="8:18" x14ac:dyDescent="0.2">
      <c r="H7348" s="180"/>
      <c r="P7348" s="180" t="s">
        <v>257</v>
      </c>
      <c r="R7348" s="180" t="s">
        <v>257</v>
      </c>
    </row>
    <row r="7349" spans="8:18" x14ac:dyDescent="0.2">
      <c r="H7349" s="180"/>
      <c r="P7349" s="180" t="s">
        <v>257</v>
      </c>
      <c r="R7349" s="180" t="s">
        <v>257</v>
      </c>
    </row>
    <row r="7350" spans="8:18" x14ac:dyDescent="0.2">
      <c r="H7350" s="180"/>
      <c r="P7350" s="180" t="s">
        <v>257</v>
      </c>
      <c r="R7350" s="180" t="s">
        <v>257</v>
      </c>
    </row>
    <row r="7351" spans="8:18" x14ac:dyDescent="0.2">
      <c r="H7351" s="180"/>
      <c r="P7351" s="180" t="s">
        <v>257</v>
      </c>
      <c r="R7351" s="180" t="s">
        <v>257</v>
      </c>
    </row>
    <row r="7352" spans="8:18" x14ac:dyDescent="0.2">
      <c r="H7352" s="180"/>
      <c r="P7352" s="180" t="s">
        <v>257</v>
      </c>
      <c r="R7352" s="180" t="s">
        <v>257</v>
      </c>
    </row>
    <row r="7353" spans="8:18" x14ac:dyDescent="0.2">
      <c r="H7353" s="180"/>
      <c r="P7353" s="180" t="s">
        <v>257</v>
      </c>
      <c r="R7353" s="180" t="s">
        <v>257</v>
      </c>
    </row>
    <row r="7354" spans="8:18" x14ac:dyDescent="0.2">
      <c r="H7354" s="180"/>
      <c r="P7354" s="180" t="s">
        <v>257</v>
      </c>
      <c r="R7354" s="180" t="s">
        <v>257</v>
      </c>
    </row>
    <row r="7355" spans="8:18" x14ac:dyDescent="0.2">
      <c r="H7355" s="180"/>
      <c r="P7355" s="180" t="s">
        <v>257</v>
      </c>
      <c r="R7355" s="180" t="s">
        <v>257</v>
      </c>
    </row>
    <row r="7356" spans="8:18" x14ac:dyDescent="0.2">
      <c r="H7356" s="180"/>
      <c r="P7356" s="180" t="s">
        <v>257</v>
      </c>
      <c r="R7356" s="180" t="s">
        <v>257</v>
      </c>
    </row>
    <row r="7357" spans="8:18" x14ac:dyDescent="0.2">
      <c r="H7357" s="180"/>
      <c r="P7357" s="180" t="s">
        <v>257</v>
      </c>
      <c r="R7357" s="180" t="s">
        <v>257</v>
      </c>
    </row>
    <row r="7358" spans="8:18" x14ac:dyDescent="0.2">
      <c r="H7358" s="180"/>
      <c r="P7358" s="180" t="s">
        <v>257</v>
      </c>
      <c r="R7358" s="180" t="s">
        <v>257</v>
      </c>
    </row>
    <row r="7359" spans="8:18" x14ac:dyDescent="0.2">
      <c r="H7359" s="180"/>
      <c r="P7359" s="180" t="s">
        <v>257</v>
      </c>
      <c r="R7359" s="180" t="s">
        <v>257</v>
      </c>
    </row>
    <row r="7360" spans="8:18" x14ac:dyDescent="0.2">
      <c r="H7360" s="180"/>
      <c r="P7360" s="180" t="s">
        <v>257</v>
      </c>
      <c r="R7360" s="180" t="s">
        <v>257</v>
      </c>
    </row>
    <row r="7361" spans="8:18" x14ac:dyDescent="0.2">
      <c r="H7361" s="180"/>
      <c r="P7361" s="180" t="s">
        <v>257</v>
      </c>
      <c r="R7361" s="180" t="s">
        <v>257</v>
      </c>
    </row>
    <row r="7362" spans="8:18" x14ac:dyDescent="0.2">
      <c r="H7362" s="180"/>
      <c r="P7362" s="180" t="s">
        <v>257</v>
      </c>
      <c r="R7362" s="180" t="s">
        <v>257</v>
      </c>
    </row>
    <row r="7363" spans="8:18" x14ac:dyDescent="0.2">
      <c r="H7363" s="180"/>
      <c r="P7363" s="180" t="s">
        <v>257</v>
      </c>
      <c r="R7363" s="180" t="s">
        <v>257</v>
      </c>
    </row>
    <row r="7364" spans="8:18" x14ac:dyDescent="0.2">
      <c r="H7364" s="180"/>
      <c r="P7364" s="180" t="s">
        <v>257</v>
      </c>
      <c r="R7364" s="180" t="s">
        <v>257</v>
      </c>
    </row>
    <row r="7365" spans="8:18" x14ac:dyDescent="0.2">
      <c r="H7365" s="180"/>
      <c r="P7365" s="180" t="s">
        <v>257</v>
      </c>
      <c r="R7365" s="180" t="s">
        <v>257</v>
      </c>
    </row>
    <row r="7366" spans="8:18" x14ac:dyDescent="0.2">
      <c r="H7366" s="180"/>
      <c r="P7366" s="180" t="s">
        <v>257</v>
      </c>
      <c r="R7366" s="180" t="s">
        <v>257</v>
      </c>
    </row>
    <row r="7367" spans="8:18" x14ac:dyDescent="0.2">
      <c r="H7367" s="180"/>
      <c r="P7367" s="180" t="s">
        <v>257</v>
      </c>
      <c r="R7367" s="180" t="s">
        <v>257</v>
      </c>
    </row>
    <row r="7368" spans="8:18" x14ac:dyDescent="0.2">
      <c r="H7368" s="180"/>
      <c r="P7368" s="180" t="s">
        <v>257</v>
      </c>
      <c r="R7368" s="180" t="s">
        <v>257</v>
      </c>
    </row>
    <row r="7369" spans="8:18" x14ac:dyDescent="0.2">
      <c r="H7369" s="180"/>
      <c r="P7369" s="180" t="s">
        <v>257</v>
      </c>
      <c r="R7369" s="180" t="s">
        <v>257</v>
      </c>
    </row>
    <row r="7370" spans="8:18" x14ac:dyDescent="0.2">
      <c r="H7370" s="180"/>
      <c r="P7370" s="180" t="s">
        <v>257</v>
      </c>
      <c r="R7370" s="180" t="s">
        <v>257</v>
      </c>
    </row>
    <row r="7371" spans="8:18" x14ac:dyDescent="0.2">
      <c r="H7371" s="180"/>
      <c r="P7371" s="180" t="s">
        <v>257</v>
      </c>
      <c r="R7371" s="180" t="s">
        <v>257</v>
      </c>
    </row>
    <row r="7372" spans="8:18" x14ac:dyDescent="0.2">
      <c r="H7372" s="180"/>
      <c r="P7372" s="180" t="s">
        <v>257</v>
      </c>
      <c r="R7372" s="180" t="s">
        <v>257</v>
      </c>
    </row>
    <row r="7373" spans="8:18" x14ac:dyDescent="0.2">
      <c r="H7373" s="180"/>
      <c r="P7373" s="180" t="s">
        <v>257</v>
      </c>
      <c r="R7373" s="180" t="s">
        <v>257</v>
      </c>
    </row>
    <row r="7374" spans="8:18" x14ac:dyDescent="0.2">
      <c r="H7374" s="180"/>
      <c r="P7374" s="180" t="s">
        <v>257</v>
      </c>
      <c r="R7374" s="180" t="s">
        <v>257</v>
      </c>
    </row>
    <row r="7375" spans="8:18" x14ac:dyDescent="0.2">
      <c r="H7375" s="180"/>
      <c r="P7375" s="180" t="s">
        <v>257</v>
      </c>
      <c r="R7375" s="180" t="s">
        <v>257</v>
      </c>
    </row>
    <row r="7376" spans="8:18" x14ac:dyDescent="0.2">
      <c r="H7376" s="180"/>
      <c r="P7376" s="180" t="s">
        <v>257</v>
      </c>
      <c r="R7376" s="180" t="s">
        <v>257</v>
      </c>
    </row>
    <row r="7377" spans="8:18" x14ac:dyDescent="0.2">
      <c r="H7377" s="180"/>
      <c r="P7377" s="180" t="s">
        <v>257</v>
      </c>
      <c r="R7377" s="180" t="s">
        <v>257</v>
      </c>
    </row>
    <row r="7378" spans="8:18" x14ac:dyDescent="0.2">
      <c r="H7378" s="180"/>
      <c r="P7378" s="180" t="s">
        <v>257</v>
      </c>
      <c r="R7378" s="180" t="s">
        <v>257</v>
      </c>
    </row>
    <row r="7379" spans="8:18" x14ac:dyDescent="0.2">
      <c r="H7379" s="180"/>
      <c r="P7379" s="180" t="s">
        <v>257</v>
      </c>
      <c r="R7379" s="180" t="s">
        <v>257</v>
      </c>
    </row>
    <row r="7380" spans="8:18" x14ac:dyDescent="0.2">
      <c r="H7380" s="180"/>
      <c r="P7380" s="180" t="s">
        <v>257</v>
      </c>
      <c r="R7380" s="180" t="s">
        <v>257</v>
      </c>
    </row>
    <row r="7381" spans="8:18" x14ac:dyDescent="0.2">
      <c r="H7381" s="180"/>
      <c r="P7381" s="180" t="s">
        <v>257</v>
      </c>
      <c r="R7381" s="180" t="s">
        <v>257</v>
      </c>
    </row>
    <row r="7382" spans="8:18" x14ac:dyDescent="0.2">
      <c r="H7382" s="180"/>
      <c r="P7382" s="180" t="s">
        <v>257</v>
      </c>
      <c r="R7382" s="180" t="s">
        <v>257</v>
      </c>
    </row>
    <row r="7383" spans="8:18" x14ac:dyDescent="0.2">
      <c r="H7383" s="180"/>
      <c r="P7383" s="180" t="s">
        <v>257</v>
      </c>
      <c r="R7383" s="180" t="s">
        <v>257</v>
      </c>
    </row>
    <row r="7384" spans="8:18" x14ac:dyDescent="0.2">
      <c r="H7384" s="180"/>
      <c r="P7384" s="180" t="s">
        <v>257</v>
      </c>
      <c r="R7384" s="180" t="s">
        <v>257</v>
      </c>
    </row>
    <row r="7385" spans="8:18" x14ac:dyDescent="0.2">
      <c r="H7385" s="180"/>
      <c r="P7385" s="180" t="s">
        <v>257</v>
      </c>
      <c r="R7385" s="180" t="s">
        <v>257</v>
      </c>
    </row>
    <row r="7386" spans="8:18" x14ac:dyDescent="0.2">
      <c r="H7386" s="180"/>
      <c r="P7386" s="180" t="s">
        <v>257</v>
      </c>
      <c r="R7386" s="180" t="s">
        <v>257</v>
      </c>
    </row>
    <row r="7387" spans="8:18" x14ac:dyDescent="0.2">
      <c r="H7387" s="180"/>
      <c r="P7387" s="180" t="s">
        <v>257</v>
      </c>
      <c r="R7387" s="180" t="s">
        <v>257</v>
      </c>
    </row>
    <row r="7388" spans="8:18" x14ac:dyDescent="0.2">
      <c r="H7388" s="180"/>
      <c r="P7388" s="180" t="s">
        <v>257</v>
      </c>
      <c r="R7388" s="180" t="s">
        <v>257</v>
      </c>
    </row>
    <row r="7389" spans="8:18" x14ac:dyDescent="0.2">
      <c r="H7389" s="180"/>
      <c r="P7389" s="180" t="s">
        <v>257</v>
      </c>
      <c r="R7389" s="180" t="s">
        <v>257</v>
      </c>
    </row>
    <row r="7390" spans="8:18" x14ac:dyDescent="0.2">
      <c r="H7390" s="180"/>
      <c r="P7390" s="180" t="s">
        <v>257</v>
      </c>
      <c r="R7390" s="180" t="s">
        <v>257</v>
      </c>
    </row>
    <row r="7391" spans="8:18" x14ac:dyDescent="0.2">
      <c r="H7391" s="180"/>
      <c r="P7391" s="180" t="s">
        <v>257</v>
      </c>
      <c r="R7391" s="180" t="s">
        <v>257</v>
      </c>
    </row>
    <row r="7392" spans="8:18" x14ac:dyDescent="0.2">
      <c r="H7392" s="180"/>
      <c r="P7392" s="180" t="s">
        <v>257</v>
      </c>
      <c r="R7392" s="180" t="s">
        <v>257</v>
      </c>
    </row>
    <row r="7393" spans="8:18" x14ac:dyDescent="0.2">
      <c r="H7393" s="180"/>
      <c r="P7393" s="180" t="s">
        <v>257</v>
      </c>
      <c r="R7393" s="180" t="s">
        <v>257</v>
      </c>
    </row>
    <row r="7394" spans="8:18" x14ac:dyDescent="0.2">
      <c r="H7394" s="180"/>
      <c r="P7394" s="180" t="s">
        <v>257</v>
      </c>
      <c r="R7394" s="180" t="s">
        <v>257</v>
      </c>
    </row>
    <row r="7395" spans="8:18" x14ac:dyDescent="0.2">
      <c r="H7395" s="180"/>
      <c r="P7395" s="180" t="s">
        <v>257</v>
      </c>
      <c r="R7395" s="180" t="s">
        <v>257</v>
      </c>
    </row>
    <row r="7396" spans="8:18" x14ac:dyDescent="0.2">
      <c r="H7396" s="180"/>
      <c r="P7396" s="180" t="s">
        <v>257</v>
      </c>
      <c r="R7396" s="180" t="s">
        <v>257</v>
      </c>
    </row>
    <row r="7397" spans="8:18" x14ac:dyDescent="0.2">
      <c r="H7397" s="180"/>
      <c r="P7397" s="180" t="s">
        <v>257</v>
      </c>
      <c r="R7397" s="180" t="s">
        <v>257</v>
      </c>
    </row>
    <row r="7398" spans="8:18" x14ac:dyDescent="0.2">
      <c r="H7398" s="180"/>
      <c r="P7398" s="180" t="s">
        <v>257</v>
      </c>
      <c r="R7398" s="180" t="s">
        <v>257</v>
      </c>
    </row>
    <row r="7399" spans="8:18" x14ac:dyDescent="0.2">
      <c r="H7399" s="180"/>
      <c r="P7399" s="180" t="s">
        <v>257</v>
      </c>
      <c r="R7399" s="180" t="s">
        <v>257</v>
      </c>
    </row>
    <row r="7400" spans="8:18" x14ac:dyDescent="0.2">
      <c r="H7400" s="180"/>
      <c r="P7400" s="180" t="s">
        <v>257</v>
      </c>
      <c r="R7400" s="180" t="s">
        <v>257</v>
      </c>
    </row>
    <row r="7401" spans="8:18" x14ac:dyDescent="0.2">
      <c r="H7401" s="180"/>
      <c r="P7401" s="180" t="s">
        <v>257</v>
      </c>
      <c r="R7401" s="180" t="s">
        <v>257</v>
      </c>
    </row>
    <row r="7402" spans="8:18" x14ac:dyDescent="0.2">
      <c r="H7402" s="180"/>
      <c r="P7402" s="180" t="s">
        <v>257</v>
      </c>
      <c r="R7402" s="180" t="s">
        <v>257</v>
      </c>
    </row>
    <row r="7403" spans="8:18" x14ac:dyDescent="0.2">
      <c r="H7403" s="180"/>
      <c r="P7403" s="180" t="s">
        <v>257</v>
      </c>
      <c r="R7403" s="180" t="s">
        <v>257</v>
      </c>
    </row>
    <row r="7404" spans="8:18" x14ac:dyDescent="0.2">
      <c r="H7404" s="180"/>
      <c r="P7404" s="180" t="s">
        <v>257</v>
      </c>
      <c r="R7404" s="180" t="s">
        <v>257</v>
      </c>
    </row>
    <row r="7405" spans="8:18" x14ac:dyDescent="0.2">
      <c r="H7405" s="180"/>
      <c r="P7405" s="180" t="s">
        <v>257</v>
      </c>
      <c r="R7405" s="180" t="s">
        <v>257</v>
      </c>
    </row>
    <row r="7406" spans="8:18" x14ac:dyDescent="0.2">
      <c r="H7406" s="180"/>
      <c r="P7406" s="180" t="s">
        <v>257</v>
      </c>
      <c r="R7406" s="180" t="s">
        <v>257</v>
      </c>
    </row>
    <row r="7407" spans="8:18" x14ac:dyDescent="0.2">
      <c r="H7407" s="180"/>
      <c r="P7407" s="180" t="s">
        <v>257</v>
      </c>
      <c r="R7407" s="180" t="s">
        <v>257</v>
      </c>
    </row>
    <row r="7408" spans="8:18" x14ac:dyDescent="0.2">
      <c r="H7408" s="180"/>
      <c r="P7408" s="180" t="s">
        <v>257</v>
      </c>
      <c r="R7408" s="180" t="s">
        <v>257</v>
      </c>
    </row>
    <row r="7409" spans="8:18" x14ac:dyDescent="0.2">
      <c r="H7409" s="180"/>
      <c r="P7409" s="180" t="s">
        <v>257</v>
      </c>
      <c r="R7409" s="180" t="s">
        <v>257</v>
      </c>
    </row>
    <row r="7410" spans="8:18" x14ac:dyDescent="0.2">
      <c r="H7410" s="180"/>
      <c r="P7410" s="180" t="s">
        <v>257</v>
      </c>
      <c r="R7410" s="180" t="s">
        <v>257</v>
      </c>
    </row>
    <row r="7411" spans="8:18" x14ac:dyDescent="0.2">
      <c r="H7411" s="180"/>
      <c r="P7411" s="180" t="s">
        <v>257</v>
      </c>
      <c r="R7411" s="180" t="s">
        <v>257</v>
      </c>
    </row>
    <row r="7412" spans="8:18" x14ac:dyDescent="0.2">
      <c r="H7412" s="180"/>
      <c r="P7412" s="180" t="s">
        <v>257</v>
      </c>
      <c r="R7412" s="180" t="s">
        <v>257</v>
      </c>
    </row>
    <row r="7413" spans="8:18" x14ac:dyDescent="0.2">
      <c r="H7413" s="180"/>
      <c r="P7413" s="180" t="s">
        <v>257</v>
      </c>
      <c r="R7413" s="180" t="s">
        <v>257</v>
      </c>
    </row>
    <row r="7414" spans="8:18" x14ac:dyDescent="0.2">
      <c r="H7414" s="180"/>
      <c r="P7414" s="180" t="s">
        <v>257</v>
      </c>
      <c r="R7414" s="180" t="s">
        <v>257</v>
      </c>
    </row>
    <row r="7415" spans="8:18" x14ac:dyDescent="0.2">
      <c r="H7415" s="180"/>
      <c r="P7415" s="180" t="s">
        <v>257</v>
      </c>
      <c r="R7415" s="180" t="s">
        <v>257</v>
      </c>
    </row>
    <row r="7416" spans="8:18" x14ac:dyDescent="0.2">
      <c r="H7416" s="180"/>
      <c r="P7416" s="180" t="s">
        <v>257</v>
      </c>
      <c r="R7416" s="180" t="s">
        <v>257</v>
      </c>
    </row>
    <row r="7417" spans="8:18" x14ac:dyDescent="0.2">
      <c r="H7417" s="180"/>
      <c r="P7417" s="180" t="s">
        <v>257</v>
      </c>
      <c r="R7417" s="180" t="s">
        <v>257</v>
      </c>
    </row>
    <row r="7418" spans="8:18" x14ac:dyDescent="0.2">
      <c r="H7418" s="180"/>
      <c r="P7418" s="180" t="s">
        <v>257</v>
      </c>
      <c r="R7418" s="180" t="s">
        <v>257</v>
      </c>
    </row>
    <row r="7419" spans="8:18" x14ac:dyDescent="0.2">
      <c r="H7419" s="180"/>
      <c r="P7419" s="180" t="s">
        <v>257</v>
      </c>
      <c r="R7419" s="180" t="s">
        <v>257</v>
      </c>
    </row>
    <row r="7420" spans="8:18" x14ac:dyDescent="0.2">
      <c r="H7420" s="180"/>
      <c r="P7420" s="180" t="s">
        <v>257</v>
      </c>
      <c r="R7420" s="180" t="s">
        <v>257</v>
      </c>
    </row>
    <row r="7421" spans="8:18" x14ac:dyDescent="0.2">
      <c r="H7421" s="180"/>
      <c r="P7421" s="180" t="s">
        <v>257</v>
      </c>
      <c r="R7421" s="180" t="s">
        <v>257</v>
      </c>
    </row>
    <row r="7422" spans="8:18" x14ac:dyDescent="0.2">
      <c r="H7422" s="180"/>
      <c r="P7422" s="180" t="s">
        <v>257</v>
      </c>
      <c r="R7422" s="180" t="s">
        <v>257</v>
      </c>
    </row>
    <row r="7423" spans="8:18" x14ac:dyDescent="0.2">
      <c r="H7423" s="180"/>
      <c r="P7423" s="180" t="s">
        <v>257</v>
      </c>
      <c r="R7423" s="180" t="s">
        <v>257</v>
      </c>
    </row>
    <row r="7424" spans="8:18" x14ac:dyDescent="0.2">
      <c r="H7424" s="180"/>
      <c r="P7424" s="180" t="s">
        <v>257</v>
      </c>
      <c r="R7424" s="180" t="s">
        <v>257</v>
      </c>
    </row>
    <row r="7425" spans="8:18" x14ac:dyDescent="0.2">
      <c r="H7425" s="180"/>
      <c r="P7425" s="180" t="s">
        <v>257</v>
      </c>
      <c r="R7425" s="180" t="s">
        <v>257</v>
      </c>
    </row>
    <row r="7426" spans="8:18" x14ac:dyDescent="0.2">
      <c r="H7426" s="180"/>
      <c r="P7426" s="180" t="s">
        <v>257</v>
      </c>
      <c r="R7426" s="180" t="s">
        <v>257</v>
      </c>
    </row>
    <row r="7427" spans="8:18" x14ac:dyDescent="0.2">
      <c r="H7427" s="180"/>
      <c r="P7427" s="180" t="s">
        <v>257</v>
      </c>
      <c r="R7427" s="180" t="s">
        <v>257</v>
      </c>
    </row>
    <row r="7428" spans="8:18" x14ac:dyDescent="0.2">
      <c r="H7428" s="180"/>
      <c r="P7428" s="180" t="s">
        <v>257</v>
      </c>
      <c r="R7428" s="180" t="s">
        <v>257</v>
      </c>
    </row>
    <row r="7429" spans="8:18" x14ac:dyDescent="0.2">
      <c r="H7429" s="180"/>
      <c r="P7429" s="180" t="s">
        <v>257</v>
      </c>
      <c r="R7429" s="180" t="s">
        <v>257</v>
      </c>
    </row>
    <row r="7430" spans="8:18" x14ac:dyDescent="0.2">
      <c r="H7430" s="180"/>
      <c r="P7430" s="180" t="s">
        <v>257</v>
      </c>
      <c r="R7430" s="180" t="s">
        <v>257</v>
      </c>
    </row>
    <row r="7431" spans="8:18" x14ac:dyDescent="0.2">
      <c r="H7431" s="180"/>
      <c r="P7431" s="180" t="s">
        <v>257</v>
      </c>
      <c r="R7431" s="180" t="s">
        <v>257</v>
      </c>
    </row>
    <row r="7432" spans="8:18" x14ac:dyDescent="0.2">
      <c r="H7432" s="180"/>
      <c r="P7432" s="180" t="s">
        <v>257</v>
      </c>
      <c r="R7432" s="180" t="s">
        <v>257</v>
      </c>
    </row>
    <row r="7433" spans="8:18" x14ac:dyDescent="0.2">
      <c r="H7433" s="180"/>
      <c r="P7433" s="180" t="s">
        <v>257</v>
      </c>
      <c r="R7433" s="180" t="s">
        <v>257</v>
      </c>
    </row>
    <row r="7434" spans="8:18" x14ac:dyDescent="0.2">
      <c r="H7434" s="180"/>
      <c r="P7434" s="180" t="s">
        <v>257</v>
      </c>
      <c r="R7434" s="180" t="s">
        <v>257</v>
      </c>
    </row>
    <row r="7435" spans="8:18" x14ac:dyDescent="0.2">
      <c r="H7435" s="180"/>
      <c r="P7435" s="180" t="s">
        <v>257</v>
      </c>
      <c r="R7435" s="180" t="s">
        <v>257</v>
      </c>
    </row>
    <row r="7436" spans="8:18" x14ac:dyDescent="0.2">
      <c r="H7436" s="180"/>
      <c r="P7436" s="180" t="s">
        <v>257</v>
      </c>
      <c r="R7436" s="180" t="s">
        <v>257</v>
      </c>
    </row>
    <row r="7437" spans="8:18" x14ac:dyDescent="0.2">
      <c r="H7437" s="180"/>
      <c r="P7437" s="180" t="s">
        <v>257</v>
      </c>
      <c r="R7437" s="180" t="s">
        <v>257</v>
      </c>
    </row>
    <row r="7438" spans="8:18" x14ac:dyDescent="0.2">
      <c r="H7438" s="180"/>
      <c r="P7438" s="180" t="s">
        <v>257</v>
      </c>
      <c r="R7438" s="180" t="s">
        <v>257</v>
      </c>
    </row>
    <row r="7439" spans="8:18" x14ac:dyDescent="0.2">
      <c r="H7439" s="180"/>
      <c r="P7439" s="180" t="s">
        <v>257</v>
      </c>
      <c r="R7439" s="180" t="s">
        <v>257</v>
      </c>
    </row>
    <row r="7440" spans="8:18" x14ac:dyDescent="0.2">
      <c r="H7440" s="180"/>
      <c r="P7440" s="180" t="s">
        <v>257</v>
      </c>
      <c r="R7440" s="180" t="s">
        <v>257</v>
      </c>
    </row>
    <row r="7441" spans="8:18" x14ac:dyDescent="0.2">
      <c r="H7441" s="180"/>
      <c r="P7441" s="180" t="s">
        <v>257</v>
      </c>
      <c r="R7441" s="180" t="s">
        <v>257</v>
      </c>
    </row>
    <row r="7442" spans="8:18" x14ac:dyDescent="0.2">
      <c r="H7442" s="180"/>
      <c r="P7442" s="180" t="s">
        <v>257</v>
      </c>
      <c r="R7442" s="180" t="s">
        <v>257</v>
      </c>
    </row>
    <row r="7443" spans="8:18" x14ac:dyDescent="0.2">
      <c r="H7443" s="180"/>
      <c r="P7443" s="180" t="s">
        <v>257</v>
      </c>
      <c r="R7443" s="180" t="s">
        <v>257</v>
      </c>
    </row>
    <row r="7444" spans="8:18" x14ac:dyDescent="0.2">
      <c r="H7444" s="180"/>
      <c r="P7444" s="180" t="s">
        <v>257</v>
      </c>
      <c r="R7444" s="180" t="s">
        <v>257</v>
      </c>
    </row>
    <row r="7445" spans="8:18" x14ac:dyDescent="0.2">
      <c r="H7445" s="180"/>
      <c r="P7445" s="180" t="s">
        <v>257</v>
      </c>
      <c r="R7445" s="180" t="s">
        <v>257</v>
      </c>
    </row>
    <row r="7446" spans="8:18" x14ac:dyDescent="0.2">
      <c r="H7446" s="180"/>
      <c r="P7446" s="180" t="s">
        <v>257</v>
      </c>
      <c r="R7446" s="180" t="s">
        <v>257</v>
      </c>
    </row>
    <row r="7447" spans="8:18" x14ac:dyDescent="0.2">
      <c r="H7447" s="180"/>
      <c r="P7447" s="180" t="s">
        <v>257</v>
      </c>
      <c r="R7447" s="180" t="s">
        <v>257</v>
      </c>
    </row>
    <row r="7448" spans="8:18" x14ac:dyDescent="0.2">
      <c r="H7448" s="180"/>
      <c r="P7448" s="180" t="s">
        <v>257</v>
      </c>
      <c r="R7448" s="180" t="s">
        <v>257</v>
      </c>
    </row>
    <row r="7449" spans="8:18" x14ac:dyDescent="0.2">
      <c r="H7449" s="180"/>
      <c r="P7449" s="180" t="s">
        <v>257</v>
      </c>
      <c r="R7449" s="180" t="s">
        <v>257</v>
      </c>
    </row>
    <row r="7450" spans="8:18" x14ac:dyDescent="0.2">
      <c r="H7450" s="180"/>
      <c r="P7450" s="180" t="s">
        <v>257</v>
      </c>
      <c r="R7450" s="180" t="s">
        <v>257</v>
      </c>
    </row>
    <row r="7451" spans="8:18" x14ac:dyDescent="0.2">
      <c r="H7451" s="180"/>
      <c r="P7451" s="180" t="s">
        <v>257</v>
      </c>
      <c r="R7451" s="180" t="s">
        <v>257</v>
      </c>
    </row>
    <row r="7452" spans="8:18" x14ac:dyDescent="0.2">
      <c r="H7452" s="180"/>
      <c r="P7452" s="180" t="s">
        <v>257</v>
      </c>
      <c r="R7452" s="180" t="s">
        <v>257</v>
      </c>
    </row>
    <row r="7453" spans="8:18" x14ac:dyDescent="0.2">
      <c r="H7453" s="180"/>
      <c r="P7453" s="180" t="s">
        <v>257</v>
      </c>
      <c r="R7453" s="180" t="s">
        <v>257</v>
      </c>
    </row>
    <row r="7454" spans="8:18" x14ac:dyDescent="0.2">
      <c r="H7454" s="180"/>
      <c r="P7454" s="180" t="s">
        <v>257</v>
      </c>
      <c r="R7454" s="180" t="s">
        <v>257</v>
      </c>
    </row>
    <row r="7455" spans="8:18" x14ac:dyDescent="0.2">
      <c r="H7455" s="180"/>
      <c r="P7455" s="180" t="s">
        <v>257</v>
      </c>
      <c r="R7455" s="180" t="s">
        <v>257</v>
      </c>
    </row>
    <row r="7456" spans="8:18" x14ac:dyDescent="0.2">
      <c r="H7456" s="180"/>
      <c r="P7456" s="180" t="s">
        <v>257</v>
      </c>
      <c r="R7456" s="180" t="s">
        <v>257</v>
      </c>
    </row>
    <row r="7457" spans="8:18" x14ac:dyDescent="0.2">
      <c r="H7457" s="180"/>
      <c r="P7457" s="180" t="s">
        <v>257</v>
      </c>
      <c r="R7457" s="180" t="s">
        <v>257</v>
      </c>
    </row>
    <row r="7458" spans="8:18" x14ac:dyDescent="0.2">
      <c r="H7458" s="180"/>
      <c r="P7458" s="180" t="s">
        <v>257</v>
      </c>
      <c r="R7458" s="180" t="s">
        <v>257</v>
      </c>
    </row>
    <row r="7459" spans="8:18" x14ac:dyDescent="0.2">
      <c r="H7459" s="180"/>
      <c r="P7459" s="180" t="s">
        <v>257</v>
      </c>
      <c r="R7459" s="180" t="s">
        <v>257</v>
      </c>
    </row>
    <row r="7460" spans="8:18" x14ac:dyDescent="0.2">
      <c r="H7460" s="180"/>
      <c r="P7460" s="180" t="s">
        <v>257</v>
      </c>
      <c r="R7460" s="180" t="s">
        <v>257</v>
      </c>
    </row>
    <row r="7461" spans="8:18" x14ac:dyDescent="0.2">
      <c r="H7461" s="180"/>
      <c r="P7461" s="180" t="s">
        <v>257</v>
      </c>
      <c r="R7461" s="180" t="s">
        <v>257</v>
      </c>
    </row>
    <row r="7462" spans="8:18" x14ac:dyDescent="0.2">
      <c r="H7462" s="180"/>
      <c r="P7462" s="180" t="s">
        <v>257</v>
      </c>
      <c r="R7462" s="180" t="s">
        <v>257</v>
      </c>
    </row>
    <row r="7463" spans="8:18" x14ac:dyDescent="0.2">
      <c r="H7463" s="180"/>
      <c r="P7463" s="180" t="s">
        <v>257</v>
      </c>
      <c r="R7463" s="180" t="s">
        <v>257</v>
      </c>
    </row>
    <row r="7464" spans="8:18" x14ac:dyDescent="0.2">
      <c r="H7464" s="180"/>
      <c r="P7464" s="180" t="s">
        <v>257</v>
      </c>
      <c r="R7464" s="180" t="s">
        <v>257</v>
      </c>
    </row>
    <row r="7465" spans="8:18" x14ac:dyDescent="0.2">
      <c r="H7465" s="180"/>
      <c r="P7465" s="180" t="s">
        <v>257</v>
      </c>
      <c r="R7465" s="180" t="s">
        <v>257</v>
      </c>
    </row>
    <row r="7466" spans="8:18" x14ac:dyDescent="0.2">
      <c r="H7466" s="180"/>
      <c r="P7466" s="180" t="s">
        <v>257</v>
      </c>
      <c r="R7466" s="180" t="s">
        <v>257</v>
      </c>
    </row>
    <row r="7467" spans="8:18" x14ac:dyDescent="0.2">
      <c r="H7467" s="180"/>
      <c r="P7467" s="180" t="s">
        <v>257</v>
      </c>
      <c r="R7467" s="180" t="s">
        <v>257</v>
      </c>
    </row>
    <row r="7468" spans="8:18" x14ac:dyDescent="0.2">
      <c r="H7468" s="180"/>
      <c r="P7468" s="180" t="s">
        <v>257</v>
      </c>
      <c r="R7468" s="180" t="s">
        <v>257</v>
      </c>
    </row>
    <row r="7469" spans="8:18" x14ac:dyDescent="0.2">
      <c r="H7469" s="180"/>
      <c r="P7469" s="180" t="s">
        <v>257</v>
      </c>
      <c r="R7469" s="180" t="s">
        <v>257</v>
      </c>
    </row>
    <row r="7470" spans="8:18" x14ac:dyDescent="0.2">
      <c r="H7470" s="180"/>
      <c r="P7470" s="180" t="s">
        <v>257</v>
      </c>
      <c r="R7470" s="180" t="s">
        <v>257</v>
      </c>
    </row>
    <row r="7471" spans="8:18" x14ac:dyDescent="0.2">
      <c r="H7471" s="180"/>
      <c r="P7471" s="180" t="s">
        <v>257</v>
      </c>
      <c r="R7471" s="180" t="s">
        <v>257</v>
      </c>
    </row>
    <row r="7472" spans="8:18" x14ac:dyDescent="0.2">
      <c r="H7472" s="180"/>
      <c r="P7472" s="180" t="s">
        <v>257</v>
      </c>
      <c r="R7472" s="180" t="s">
        <v>257</v>
      </c>
    </row>
    <row r="7473" spans="8:18" x14ac:dyDescent="0.2">
      <c r="H7473" s="180"/>
      <c r="P7473" s="180" t="s">
        <v>257</v>
      </c>
      <c r="R7473" s="180" t="s">
        <v>257</v>
      </c>
    </row>
    <row r="7474" spans="8:18" x14ac:dyDescent="0.2">
      <c r="H7474" s="180"/>
      <c r="P7474" s="180" t="s">
        <v>257</v>
      </c>
      <c r="R7474" s="180" t="s">
        <v>257</v>
      </c>
    </row>
    <row r="7475" spans="8:18" x14ac:dyDescent="0.2">
      <c r="H7475" s="180"/>
      <c r="P7475" s="180" t="s">
        <v>257</v>
      </c>
      <c r="R7475" s="180" t="s">
        <v>257</v>
      </c>
    </row>
    <row r="7476" spans="8:18" x14ac:dyDescent="0.2">
      <c r="H7476" s="180"/>
      <c r="P7476" s="180" t="s">
        <v>257</v>
      </c>
      <c r="R7476" s="180" t="s">
        <v>257</v>
      </c>
    </row>
    <row r="7477" spans="8:18" x14ac:dyDescent="0.2">
      <c r="H7477" s="180"/>
      <c r="P7477" s="180" t="s">
        <v>257</v>
      </c>
      <c r="R7477" s="180" t="s">
        <v>257</v>
      </c>
    </row>
    <row r="7478" spans="8:18" x14ac:dyDescent="0.2">
      <c r="H7478" s="180"/>
      <c r="P7478" s="180" t="s">
        <v>257</v>
      </c>
      <c r="R7478" s="180" t="s">
        <v>257</v>
      </c>
    </row>
    <row r="7479" spans="8:18" x14ac:dyDescent="0.2">
      <c r="H7479" s="180"/>
      <c r="P7479" s="180" t="s">
        <v>257</v>
      </c>
      <c r="R7479" s="180" t="s">
        <v>257</v>
      </c>
    </row>
    <row r="7480" spans="8:18" x14ac:dyDescent="0.2">
      <c r="H7480" s="180"/>
      <c r="P7480" s="180" t="s">
        <v>257</v>
      </c>
      <c r="R7480" s="180" t="s">
        <v>257</v>
      </c>
    </row>
    <row r="7481" spans="8:18" x14ac:dyDescent="0.2">
      <c r="H7481" s="180"/>
      <c r="P7481" s="180" t="s">
        <v>257</v>
      </c>
      <c r="R7481" s="180" t="s">
        <v>257</v>
      </c>
    </row>
    <row r="7482" spans="8:18" x14ac:dyDescent="0.2">
      <c r="H7482" s="180"/>
      <c r="P7482" s="180" t="s">
        <v>257</v>
      </c>
      <c r="R7482" s="180" t="s">
        <v>257</v>
      </c>
    </row>
    <row r="7483" spans="8:18" x14ac:dyDescent="0.2">
      <c r="H7483" s="180"/>
      <c r="P7483" s="180" t="s">
        <v>257</v>
      </c>
      <c r="R7483" s="180" t="s">
        <v>257</v>
      </c>
    </row>
    <row r="7484" spans="8:18" x14ac:dyDescent="0.2">
      <c r="H7484" s="180"/>
      <c r="P7484" s="180" t="s">
        <v>257</v>
      </c>
      <c r="R7484" s="180" t="s">
        <v>257</v>
      </c>
    </row>
    <row r="7485" spans="8:18" x14ac:dyDescent="0.2">
      <c r="H7485" s="180"/>
      <c r="P7485" s="180" t="s">
        <v>257</v>
      </c>
      <c r="R7485" s="180" t="s">
        <v>257</v>
      </c>
    </row>
    <row r="7486" spans="8:18" x14ac:dyDescent="0.2">
      <c r="H7486" s="180"/>
      <c r="P7486" s="180" t="s">
        <v>257</v>
      </c>
      <c r="R7486" s="180" t="s">
        <v>257</v>
      </c>
    </row>
    <row r="7487" spans="8:18" x14ac:dyDescent="0.2">
      <c r="H7487" s="180"/>
      <c r="P7487" s="180" t="s">
        <v>257</v>
      </c>
      <c r="R7487" s="180" t="s">
        <v>257</v>
      </c>
    </row>
    <row r="7488" spans="8:18" x14ac:dyDescent="0.2">
      <c r="H7488" s="180"/>
      <c r="P7488" s="180" t="s">
        <v>257</v>
      </c>
      <c r="R7488" s="180" t="s">
        <v>257</v>
      </c>
    </row>
    <row r="7489" spans="8:18" x14ac:dyDescent="0.2">
      <c r="H7489" s="180"/>
      <c r="P7489" s="180" t="s">
        <v>257</v>
      </c>
      <c r="R7489" s="180" t="s">
        <v>257</v>
      </c>
    </row>
    <row r="7490" spans="8:18" x14ac:dyDescent="0.2">
      <c r="H7490" s="180"/>
      <c r="P7490" s="180" t="s">
        <v>257</v>
      </c>
      <c r="R7490" s="180" t="s">
        <v>257</v>
      </c>
    </row>
    <row r="7491" spans="8:18" x14ac:dyDescent="0.2">
      <c r="H7491" s="180"/>
      <c r="P7491" s="180" t="s">
        <v>257</v>
      </c>
      <c r="R7491" s="180" t="s">
        <v>257</v>
      </c>
    </row>
    <row r="7492" spans="8:18" x14ac:dyDescent="0.2">
      <c r="H7492" s="180"/>
      <c r="P7492" s="180" t="s">
        <v>257</v>
      </c>
      <c r="R7492" s="180" t="s">
        <v>257</v>
      </c>
    </row>
    <row r="7493" spans="8:18" x14ac:dyDescent="0.2">
      <c r="H7493" s="180"/>
      <c r="P7493" s="180" t="s">
        <v>257</v>
      </c>
      <c r="R7493" s="180" t="s">
        <v>257</v>
      </c>
    </row>
    <row r="7494" spans="8:18" x14ac:dyDescent="0.2">
      <c r="H7494" s="180"/>
      <c r="P7494" s="180" t="s">
        <v>257</v>
      </c>
      <c r="R7494" s="180" t="s">
        <v>257</v>
      </c>
    </row>
    <row r="7495" spans="8:18" x14ac:dyDescent="0.2">
      <c r="H7495" s="180"/>
      <c r="P7495" s="180" t="s">
        <v>257</v>
      </c>
      <c r="R7495" s="180" t="s">
        <v>257</v>
      </c>
    </row>
    <row r="7496" spans="8:18" x14ac:dyDescent="0.2">
      <c r="H7496" s="180"/>
      <c r="P7496" s="180" t="s">
        <v>257</v>
      </c>
      <c r="R7496" s="180" t="s">
        <v>257</v>
      </c>
    </row>
    <row r="7497" spans="8:18" x14ac:dyDescent="0.2">
      <c r="H7497" s="180"/>
      <c r="P7497" s="180" t="s">
        <v>257</v>
      </c>
      <c r="R7497" s="180" t="s">
        <v>257</v>
      </c>
    </row>
    <row r="7498" spans="8:18" x14ac:dyDescent="0.2">
      <c r="H7498" s="180"/>
      <c r="P7498" s="180" t="s">
        <v>257</v>
      </c>
      <c r="R7498" s="180" t="s">
        <v>257</v>
      </c>
    </row>
    <row r="7499" spans="8:18" x14ac:dyDescent="0.2">
      <c r="H7499" s="180"/>
      <c r="P7499" s="180" t="s">
        <v>257</v>
      </c>
      <c r="R7499" s="180" t="s">
        <v>257</v>
      </c>
    </row>
    <row r="7500" spans="8:18" x14ac:dyDescent="0.2">
      <c r="H7500" s="180"/>
      <c r="P7500" s="180" t="s">
        <v>257</v>
      </c>
      <c r="R7500" s="180" t="s">
        <v>257</v>
      </c>
    </row>
    <row r="7501" spans="8:18" x14ac:dyDescent="0.2">
      <c r="H7501" s="180"/>
      <c r="P7501" s="180" t="s">
        <v>257</v>
      </c>
      <c r="R7501" s="180" t="s">
        <v>257</v>
      </c>
    </row>
    <row r="7502" spans="8:18" x14ac:dyDescent="0.2">
      <c r="H7502" s="180"/>
      <c r="P7502" s="180" t="s">
        <v>257</v>
      </c>
      <c r="R7502" s="180" t="s">
        <v>257</v>
      </c>
    </row>
    <row r="7503" spans="8:18" x14ac:dyDescent="0.2">
      <c r="H7503" s="180"/>
      <c r="P7503" s="180" t="s">
        <v>257</v>
      </c>
      <c r="R7503" s="180" t="s">
        <v>257</v>
      </c>
    </row>
    <row r="7504" spans="8:18" x14ac:dyDescent="0.2">
      <c r="H7504" s="180"/>
      <c r="P7504" s="180" t="s">
        <v>257</v>
      </c>
      <c r="R7504" s="180" t="s">
        <v>257</v>
      </c>
    </row>
    <row r="7505" spans="8:18" x14ac:dyDescent="0.2">
      <c r="H7505" s="180"/>
      <c r="P7505" s="180" t="s">
        <v>257</v>
      </c>
      <c r="R7505" s="180" t="s">
        <v>257</v>
      </c>
    </row>
    <row r="7506" spans="8:18" x14ac:dyDescent="0.2">
      <c r="H7506" s="180"/>
      <c r="P7506" s="180" t="s">
        <v>257</v>
      </c>
      <c r="R7506" s="180" t="s">
        <v>257</v>
      </c>
    </row>
    <row r="7507" spans="8:18" x14ac:dyDescent="0.2">
      <c r="H7507" s="180"/>
      <c r="P7507" s="180" t="s">
        <v>257</v>
      </c>
      <c r="R7507" s="180" t="s">
        <v>257</v>
      </c>
    </row>
    <row r="7508" spans="8:18" x14ac:dyDescent="0.2">
      <c r="H7508" s="180"/>
      <c r="P7508" s="180" t="s">
        <v>257</v>
      </c>
      <c r="R7508" s="180" t="s">
        <v>257</v>
      </c>
    </row>
    <row r="7509" spans="8:18" x14ac:dyDescent="0.2">
      <c r="H7509" s="180"/>
      <c r="P7509" s="180" t="s">
        <v>257</v>
      </c>
      <c r="R7509" s="180" t="s">
        <v>257</v>
      </c>
    </row>
    <row r="7510" spans="8:18" x14ac:dyDescent="0.2">
      <c r="H7510" s="180"/>
      <c r="P7510" s="180" t="s">
        <v>257</v>
      </c>
      <c r="R7510" s="180" t="s">
        <v>257</v>
      </c>
    </row>
    <row r="7511" spans="8:18" x14ac:dyDescent="0.2">
      <c r="H7511" s="180"/>
      <c r="P7511" s="180" t="s">
        <v>257</v>
      </c>
      <c r="R7511" s="180" t="s">
        <v>257</v>
      </c>
    </row>
    <row r="7512" spans="8:18" x14ac:dyDescent="0.2">
      <c r="H7512" s="180"/>
      <c r="P7512" s="180" t="s">
        <v>257</v>
      </c>
      <c r="R7512" s="180" t="s">
        <v>257</v>
      </c>
    </row>
    <row r="7513" spans="8:18" x14ac:dyDescent="0.2">
      <c r="H7513" s="180"/>
      <c r="P7513" s="180" t="s">
        <v>257</v>
      </c>
      <c r="R7513" s="180" t="s">
        <v>257</v>
      </c>
    </row>
    <row r="7514" spans="8:18" x14ac:dyDescent="0.2">
      <c r="H7514" s="180"/>
      <c r="P7514" s="180" t="s">
        <v>257</v>
      </c>
      <c r="R7514" s="180" t="s">
        <v>257</v>
      </c>
    </row>
    <row r="7515" spans="8:18" x14ac:dyDescent="0.2">
      <c r="H7515" s="180"/>
      <c r="P7515" s="180" t="s">
        <v>257</v>
      </c>
      <c r="R7515" s="180" t="s">
        <v>257</v>
      </c>
    </row>
    <row r="7516" spans="8:18" x14ac:dyDescent="0.2">
      <c r="H7516" s="180"/>
      <c r="P7516" s="180" t="s">
        <v>257</v>
      </c>
      <c r="R7516" s="180" t="s">
        <v>257</v>
      </c>
    </row>
    <row r="7517" spans="8:18" x14ac:dyDescent="0.2">
      <c r="H7517" s="180"/>
      <c r="P7517" s="180" t="s">
        <v>257</v>
      </c>
      <c r="R7517" s="180" t="s">
        <v>257</v>
      </c>
    </row>
    <row r="7518" spans="8:18" x14ac:dyDescent="0.2">
      <c r="H7518" s="180"/>
      <c r="P7518" s="180" t="s">
        <v>257</v>
      </c>
      <c r="R7518" s="180" t="s">
        <v>257</v>
      </c>
    </row>
    <row r="7519" spans="8:18" x14ac:dyDescent="0.2">
      <c r="H7519" s="180"/>
      <c r="P7519" s="180" t="s">
        <v>257</v>
      </c>
      <c r="R7519" s="180" t="s">
        <v>257</v>
      </c>
    </row>
    <row r="7520" spans="8:18" x14ac:dyDescent="0.2">
      <c r="H7520" s="180"/>
      <c r="P7520" s="180" t="s">
        <v>257</v>
      </c>
      <c r="R7520" s="180" t="s">
        <v>257</v>
      </c>
    </row>
    <row r="7521" spans="8:18" x14ac:dyDescent="0.2">
      <c r="H7521" s="180"/>
      <c r="P7521" s="180" t="s">
        <v>257</v>
      </c>
      <c r="R7521" s="180" t="s">
        <v>257</v>
      </c>
    </row>
    <row r="7522" spans="8:18" x14ac:dyDescent="0.2">
      <c r="H7522" s="180"/>
      <c r="P7522" s="180" t="s">
        <v>257</v>
      </c>
      <c r="R7522" s="180" t="s">
        <v>257</v>
      </c>
    </row>
    <row r="7523" spans="8:18" x14ac:dyDescent="0.2">
      <c r="H7523" s="180"/>
      <c r="P7523" s="180" t="s">
        <v>257</v>
      </c>
      <c r="R7523" s="180" t="s">
        <v>257</v>
      </c>
    </row>
    <row r="7524" spans="8:18" x14ac:dyDescent="0.2">
      <c r="H7524" s="180"/>
      <c r="P7524" s="180" t="s">
        <v>257</v>
      </c>
      <c r="R7524" s="180" t="s">
        <v>257</v>
      </c>
    </row>
    <row r="7525" spans="8:18" x14ac:dyDescent="0.2">
      <c r="H7525" s="180"/>
      <c r="P7525" s="180" t="s">
        <v>257</v>
      </c>
      <c r="R7525" s="180" t="s">
        <v>257</v>
      </c>
    </row>
    <row r="7526" spans="8:18" x14ac:dyDescent="0.2">
      <c r="H7526" s="180"/>
      <c r="P7526" s="180" t="s">
        <v>257</v>
      </c>
      <c r="R7526" s="180" t="s">
        <v>257</v>
      </c>
    </row>
    <row r="7527" spans="8:18" x14ac:dyDescent="0.2">
      <c r="H7527" s="180"/>
      <c r="P7527" s="180" t="s">
        <v>257</v>
      </c>
      <c r="R7527" s="180" t="s">
        <v>257</v>
      </c>
    </row>
    <row r="7528" spans="8:18" x14ac:dyDescent="0.2">
      <c r="H7528" s="180"/>
      <c r="P7528" s="180" t="s">
        <v>257</v>
      </c>
      <c r="R7528" s="180" t="s">
        <v>257</v>
      </c>
    </row>
    <row r="7529" spans="8:18" x14ac:dyDescent="0.2">
      <c r="H7529" s="180"/>
      <c r="P7529" s="180" t="s">
        <v>257</v>
      </c>
      <c r="R7529" s="180" t="s">
        <v>257</v>
      </c>
    </row>
    <row r="7530" spans="8:18" x14ac:dyDescent="0.2">
      <c r="H7530" s="180"/>
      <c r="P7530" s="180" t="s">
        <v>257</v>
      </c>
      <c r="R7530" s="180" t="s">
        <v>257</v>
      </c>
    </row>
    <row r="7531" spans="8:18" x14ac:dyDescent="0.2">
      <c r="H7531" s="180"/>
      <c r="P7531" s="180" t="s">
        <v>257</v>
      </c>
      <c r="R7531" s="180" t="s">
        <v>257</v>
      </c>
    </row>
    <row r="7532" spans="8:18" x14ac:dyDescent="0.2">
      <c r="H7532" s="180"/>
      <c r="P7532" s="180" t="s">
        <v>257</v>
      </c>
      <c r="R7532" s="180" t="s">
        <v>257</v>
      </c>
    </row>
    <row r="7533" spans="8:18" x14ac:dyDescent="0.2">
      <c r="H7533" s="180"/>
      <c r="P7533" s="180" t="s">
        <v>257</v>
      </c>
      <c r="R7533" s="180" t="s">
        <v>257</v>
      </c>
    </row>
    <row r="7534" spans="8:18" x14ac:dyDescent="0.2">
      <c r="H7534" s="180"/>
      <c r="P7534" s="180" t="s">
        <v>257</v>
      </c>
      <c r="R7534" s="180" t="s">
        <v>257</v>
      </c>
    </row>
    <row r="7535" spans="8:18" x14ac:dyDescent="0.2">
      <c r="H7535" s="180"/>
      <c r="P7535" s="180" t="s">
        <v>257</v>
      </c>
      <c r="R7535" s="180" t="s">
        <v>257</v>
      </c>
    </row>
    <row r="7536" spans="8:18" x14ac:dyDescent="0.2">
      <c r="H7536" s="180"/>
      <c r="P7536" s="180" t="s">
        <v>257</v>
      </c>
      <c r="R7536" s="180" t="s">
        <v>257</v>
      </c>
    </row>
    <row r="7537" spans="8:18" x14ac:dyDescent="0.2">
      <c r="H7537" s="180"/>
      <c r="P7537" s="180" t="s">
        <v>257</v>
      </c>
      <c r="R7537" s="180" t="s">
        <v>257</v>
      </c>
    </row>
    <row r="7538" spans="8:18" x14ac:dyDescent="0.2">
      <c r="H7538" s="180"/>
      <c r="P7538" s="180" t="s">
        <v>257</v>
      </c>
      <c r="R7538" s="180" t="s">
        <v>257</v>
      </c>
    </row>
    <row r="7539" spans="8:18" x14ac:dyDescent="0.2">
      <c r="H7539" s="180"/>
      <c r="P7539" s="180" t="s">
        <v>257</v>
      </c>
      <c r="R7539" s="180" t="s">
        <v>257</v>
      </c>
    </row>
    <row r="7540" spans="8:18" x14ac:dyDescent="0.2">
      <c r="H7540" s="180"/>
      <c r="P7540" s="180" t="s">
        <v>257</v>
      </c>
      <c r="R7540" s="180" t="s">
        <v>257</v>
      </c>
    </row>
    <row r="7541" spans="8:18" x14ac:dyDescent="0.2">
      <c r="H7541" s="180"/>
      <c r="P7541" s="180" t="s">
        <v>257</v>
      </c>
      <c r="R7541" s="180" t="s">
        <v>257</v>
      </c>
    </row>
    <row r="7542" spans="8:18" x14ac:dyDescent="0.2">
      <c r="H7542" s="180"/>
      <c r="P7542" s="180" t="s">
        <v>257</v>
      </c>
      <c r="R7542" s="180" t="s">
        <v>257</v>
      </c>
    </row>
    <row r="7543" spans="8:18" x14ac:dyDescent="0.2">
      <c r="H7543" s="180"/>
      <c r="P7543" s="180" t="s">
        <v>257</v>
      </c>
      <c r="R7543" s="180" t="s">
        <v>257</v>
      </c>
    </row>
    <row r="7544" spans="8:18" x14ac:dyDescent="0.2">
      <c r="H7544" s="180"/>
      <c r="P7544" s="180" t="s">
        <v>257</v>
      </c>
      <c r="R7544" s="180" t="s">
        <v>257</v>
      </c>
    </row>
    <row r="7545" spans="8:18" x14ac:dyDescent="0.2">
      <c r="H7545" s="180"/>
      <c r="P7545" s="180" t="s">
        <v>257</v>
      </c>
      <c r="R7545" s="180" t="s">
        <v>257</v>
      </c>
    </row>
    <row r="7546" spans="8:18" x14ac:dyDescent="0.2">
      <c r="H7546" s="180"/>
      <c r="P7546" s="180" t="s">
        <v>257</v>
      </c>
      <c r="R7546" s="180" t="s">
        <v>257</v>
      </c>
    </row>
    <row r="7547" spans="8:18" x14ac:dyDescent="0.2">
      <c r="H7547" s="180"/>
      <c r="P7547" s="180" t="s">
        <v>257</v>
      </c>
      <c r="R7547" s="180" t="s">
        <v>257</v>
      </c>
    </row>
    <row r="7548" spans="8:18" x14ac:dyDescent="0.2">
      <c r="H7548" s="180"/>
      <c r="P7548" s="180" t="s">
        <v>257</v>
      </c>
      <c r="R7548" s="180" t="s">
        <v>257</v>
      </c>
    </row>
    <row r="7549" spans="8:18" x14ac:dyDescent="0.2">
      <c r="H7549" s="180"/>
      <c r="P7549" s="180" t="s">
        <v>257</v>
      </c>
      <c r="R7549" s="180" t="s">
        <v>257</v>
      </c>
    </row>
    <row r="7550" spans="8:18" x14ac:dyDescent="0.2">
      <c r="H7550" s="180"/>
      <c r="P7550" s="180" t="s">
        <v>257</v>
      </c>
      <c r="R7550" s="180" t="s">
        <v>257</v>
      </c>
    </row>
    <row r="7551" spans="8:18" x14ac:dyDescent="0.2">
      <c r="H7551" s="180"/>
      <c r="P7551" s="180" t="s">
        <v>257</v>
      </c>
      <c r="R7551" s="180" t="s">
        <v>257</v>
      </c>
    </row>
    <row r="7552" spans="8:18" x14ac:dyDescent="0.2">
      <c r="H7552" s="180"/>
      <c r="P7552" s="180" t="s">
        <v>257</v>
      </c>
      <c r="R7552" s="180" t="s">
        <v>257</v>
      </c>
    </row>
    <row r="7553" spans="8:18" x14ac:dyDescent="0.2">
      <c r="H7553" s="180"/>
      <c r="P7553" s="180" t="s">
        <v>257</v>
      </c>
      <c r="R7553" s="180" t="s">
        <v>257</v>
      </c>
    </row>
    <row r="7554" spans="8:18" x14ac:dyDescent="0.2">
      <c r="H7554" s="180"/>
      <c r="P7554" s="180" t="s">
        <v>257</v>
      </c>
      <c r="R7554" s="180" t="s">
        <v>257</v>
      </c>
    </row>
    <row r="7555" spans="8:18" x14ac:dyDescent="0.2">
      <c r="H7555" s="180"/>
      <c r="P7555" s="180" t="s">
        <v>257</v>
      </c>
      <c r="R7555" s="180" t="s">
        <v>257</v>
      </c>
    </row>
    <row r="7556" spans="8:18" x14ac:dyDescent="0.2">
      <c r="H7556" s="180"/>
      <c r="P7556" s="180" t="s">
        <v>257</v>
      </c>
      <c r="R7556" s="180" t="s">
        <v>257</v>
      </c>
    </row>
    <row r="7557" spans="8:18" x14ac:dyDescent="0.2">
      <c r="H7557" s="180"/>
      <c r="P7557" s="180" t="s">
        <v>257</v>
      </c>
      <c r="R7557" s="180" t="s">
        <v>257</v>
      </c>
    </row>
    <row r="7558" spans="8:18" x14ac:dyDescent="0.2">
      <c r="H7558" s="180"/>
      <c r="P7558" s="180" t="s">
        <v>257</v>
      </c>
      <c r="R7558" s="180" t="s">
        <v>257</v>
      </c>
    </row>
    <row r="7559" spans="8:18" x14ac:dyDescent="0.2">
      <c r="H7559" s="180"/>
      <c r="P7559" s="180" t="s">
        <v>257</v>
      </c>
      <c r="R7559" s="180" t="s">
        <v>257</v>
      </c>
    </row>
    <row r="7560" spans="8:18" x14ac:dyDescent="0.2">
      <c r="H7560" s="180"/>
      <c r="P7560" s="180" t="s">
        <v>257</v>
      </c>
      <c r="R7560" s="180" t="s">
        <v>257</v>
      </c>
    </row>
    <row r="7561" spans="8:18" x14ac:dyDescent="0.2">
      <c r="H7561" s="180"/>
      <c r="P7561" s="180" t="s">
        <v>257</v>
      </c>
      <c r="R7561" s="180" t="s">
        <v>257</v>
      </c>
    </row>
    <row r="7562" spans="8:18" x14ac:dyDescent="0.2">
      <c r="H7562" s="180"/>
      <c r="P7562" s="180" t="s">
        <v>257</v>
      </c>
      <c r="R7562" s="180" t="s">
        <v>257</v>
      </c>
    </row>
    <row r="7563" spans="8:18" x14ac:dyDescent="0.2">
      <c r="H7563" s="180"/>
      <c r="P7563" s="180" t="s">
        <v>257</v>
      </c>
      <c r="R7563" s="180" t="s">
        <v>257</v>
      </c>
    </row>
    <row r="7564" spans="8:18" x14ac:dyDescent="0.2">
      <c r="H7564" s="180"/>
      <c r="P7564" s="180" t="s">
        <v>257</v>
      </c>
      <c r="R7564" s="180" t="s">
        <v>257</v>
      </c>
    </row>
    <row r="7565" spans="8:18" x14ac:dyDescent="0.2">
      <c r="H7565" s="180"/>
      <c r="P7565" s="180" t="s">
        <v>257</v>
      </c>
      <c r="R7565" s="180" t="s">
        <v>257</v>
      </c>
    </row>
    <row r="7566" spans="8:18" x14ac:dyDescent="0.2">
      <c r="H7566" s="180"/>
      <c r="P7566" s="180" t="s">
        <v>257</v>
      </c>
      <c r="R7566" s="180" t="s">
        <v>257</v>
      </c>
    </row>
    <row r="7567" spans="8:18" x14ac:dyDescent="0.2">
      <c r="H7567" s="180"/>
      <c r="P7567" s="180" t="s">
        <v>257</v>
      </c>
      <c r="R7567" s="180" t="s">
        <v>257</v>
      </c>
    </row>
    <row r="7568" spans="8:18" x14ac:dyDescent="0.2">
      <c r="H7568" s="180"/>
      <c r="P7568" s="180" t="s">
        <v>257</v>
      </c>
      <c r="R7568" s="180" t="s">
        <v>257</v>
      </c>
    </row>
    <row r="7569" spans="8:18" x14ac:dyDescent="0.2">
      <c r="H7569" s="180"/>
      <c r="P7569" s="180" t="s">
        <v>257</v>
      </c>
      <c r="R7569" s="180" t="s">
        <v>257</v>
      </c>
    </row>
    <row r="7570" spans="8:18" x14ac:dyDescent="0.2">
      <c r="H7570" s="180"/>
      <c r="P7570" s="180" t="s">
        <v>257</v>
      </c>
      <c r="R7570" s="180" t="s">
        <v>257</v>
      </c>
    </row>
    <row r="7571" spans="8:18" x14ac:dyDescent="0.2">
      <c r="H7571" s="180"/>
      <c r="P7571" s="180" t="s">
        <v>257</v>
      </c>
      <c r="R7571" s="180" t="s">
        <v>257</v>
      </c>
    </row>
    <row r="7572" spans="8:18" x14ac:dyDescent="0.2">
      <c r="H7572" s="180"/>
      <c r="P7572" s="180" t="s">
        <v>257</v>
      </c>
      <c r="R7572" s="180" t="s">
        <v>257</v>
      </c>
    </row>
    <row r="7573" spans="8:18" x14ac:dyDescent="0.2">
      <c r="H7573" s="180"/>
      <c r="P7573" s="180" t="s">
        <v>257</v>
      </c>
      <c r="R7573" s="180" t="s">
        <v>257</v>
      </c>
    </row>
    <row r="7574" spans="8:18" x14ac:dyDescent="0.2">
      <c r="H7574" s="180"/>
      <c r="P7574" s="180" t="s">
        <v>257</v>
      </c>
      <c r="R7574" s="180" t="s">
        <v>257</v>
      </c>
    </row>
    <row r="7575" spans="8:18" x14ac:dyDescent="0.2">
      <c r="H7575" s="180"/>
      <c r="P7575" s="180" t="s">
        <v>257</v>
      </c>
      <c r="R7575" s="180" t="s">
        <v>257</v>
      </c>
    </row>
    <row r="7576" spans="8:18" x14ac:dyDescent="0.2">
      <c r="H7576" s="180"/>
      <c r="P7576" s="180" t="s">
        <v>257</v>
      </c>
      <c r="R7576" s="180" t="s">
        <v>257</v>
      </c>
    </row>
    <row r="7577" spans="8:18" x14ac:dyDescent="0.2">
      <c r="H7577" s="180"/>
      <c r="P7577" s="180" t="s">
        <v>257</v>
      </c>
      <c r="R7577" s="180" t="s">
        <v>257</v>
      </c>
    </row>
    <row r="7578" spans="8:18" x14ac:dyDescent="0.2">
      <c r="H7578" s="180"/>
      <c r="P7578" s="180" t="s">
        <v>257</v>
      </c>
      <c r="R7578" s="180" t="s">
        <v>257</v>
      </c>
    </row>
    <row r="7579" spans="8:18" x14ac:dyDescent="0.2">
      <c r="H7579" s="180"/>
      <c r="P7579" s="180" t="s">
        <v>257</v>
      </c>
      <c r="R7579" s="180" t="s">
        <v>257</v>
      </c>
    </row>
    <row r="7580" spans="8:18" x14ac:dyDescent="0.2">
      <c r="H7580" s="180"/>
      <c r="P7580" s="180" t="s">
        <v>257</v>
      </c>
      <c r="R7580" s="180" t="s">
        <v>257</v>
      </c>
    </row>
    <row r="7581" spans="8:18" x14ac:dyDescent="0.2">
      <c r="H7581" s="180"/>
      <c r="P7581" s="180" t="s">
        <v>257</v>
      </c>
      <c r="R7581" s="180" t="s">
        <v>257</v>
      </c>
    </row>
    <row r="7582" spans="8:18" x14ac:dyDescent="0.2">
      <c r="H7582" s="180"/>
      <c r="P7582" s="180" t="s">
        <v>257</v>
      </c>
      <c r="R7582" s="180" t="s">
        <v>257</v>
      </c>
    </row>
    <row r="7583" spans="8:18" x14ac:dyDescent="0.2">
      <c r="H7583" s="180"/>
      <c r="P7583" s="180" t="s">
        <v>257</v>
      </c>
      <c r="R7583" s="180" t="s">
        <v>257</v>
      </c>
    </row>
    <row r="7584" spans="8:18" x14ac:dyDescent="0.2">
      <c r="H7584" s="180"/>
      <c r="P7584" s="180" t="s">
        <v>257</v>
      </c>
      <c r="R7584" s="180" t="s">
        <v>257</v>
      </c>
    </row>
    <row r="7585" spans="8:18" x14ac:dyDescent="0.2">
      <c r="H7585" s="180"/>
      <c r="P7585" s="180" t="s">
        <v>257</v>
      </c>
      <c r="R7585" s="180" t="s">
        <v>257</v>
      </c>
    </row>
    <row r="7586" spans="8:18" x14ac:dyDescent="0.2">
      <c r="H7586" s="180"/>
      <c r="P7586" s="180" t="s">
        <v>257</v>
      </c>
      <c r="R7586" s="180" t="s">
        <v>257</v>
      </c>
    </row>
    <row r="7587" spans="8:18" x14ac:dyDescent="0.2">
      <c r="H7587" s="180"/>
      <c r="P7587" s="180" t="s">
        <v>257</v>
      </c>
      <c r="R7587" s="180" t="s">
        <v>257</v>
      </c>
    </row>
    <row r="7588" spans="8:18" x14ac:dyDescent="0.2">
      <c r="H7588" s="180"/>
      <c r="P7588" s="180" t="s">
        <v>257</v>
      </c>
      <c r="R7588" s="180" t="s">
        <v>257</v>
      </c>
    </row>
    <row r="7589" spans="8:18" x14ac:dyDescent="0.2">
      <c r="H7589" s="180"/>
      <c r="P7589" s="180" t="s">
        <v>257</v>
      </c>
      <c r="R7589" s="180" t="s">
        <v>257</v>
      </c>
    </row>
    <row r="7590" spans="8:18" x14ac:dyDescent="0.2">
      <c r="H7590" s="180"/>
      <c r="P7590" s="180" t="s">
        <v>257</v>
      </c>
      <c r="R7590" s="180" t="s">
        <v>257</v>
      </c>
    </row>
    <row r="7591" spans="8:18" x14ac:dyDescent="0.2">
      <c r="H7591" s="180"/>
      <c r="P7591" s="180" t="s">
        <v>257</v>
      </c>
      <c r="R7591" s="180" t="s">
        <v>257</v>
      </c>
    </row>
    <row r="7592" spans="8:18" x14ac:dyDescent="0.2">
      <c r="H7592" s="180"/>
      <c r="P7592" s="180" t="s">
        <v>257</v>
      </c>
      <c r="R7592" s="180" t="s">
        <v>257</v>
      </c>
    </row>
    <row r="7593" spans="8:18" x14ac:dyDescent="0.2">
      <c r="H7593" s="180"/>
      <c r="P7593" s="180" t="s">
        <v>257</v>
      </c>
      <c r="R7593" s="180" t="s">
        <v>257</v>
      </c>
    </row>
    <row r="7594" spans="8:18" x14ac:dyDescent="0.2">
      <c r="H7594" s="180"/>
      <c r="P7594" s="180" t="s">
        <v>257</v>
      </c>
      <c r="R7594" s="180" t="s">
        <v>257</v>
      </c>
    </row>
    <row r="7595" spans="8:18" x14ac:dyDescent="0.2">
      <c r="H7595" s="180"/>
      <c r="P7595" s="180" t="s">
        <v>257</v>
      </c>
      <c r="R7595" s="180" t="s">
        <v>257</v>
      </c>
    </row>
    <row r="7596" spans="8:18" x14ac:dyDescent="0.2">
      <c r="H7596" s="180"/>
      <c r="P7596" s="180" t="s">
        <v>257</v>
      </c>
      <c r="R7596" s="180" t="s">
        <v>257</v>
      </c>
    </row>
    <row r="7597" spans="8:18" x14ac:dyDescent="0.2">
      <c r="H7597" s="180"/>
      <c r="P7597" s="180" t="s">
        <v>257</v>
      </c>
      <c r="R7597" s="180" t="s">
        <v>257</v>
      </c>
    </row>
    <row r="7598" spans="8:18" x14ac:dyDescent="0.2">
      <c r="H7598" s="180"/>
      <c r="P7598" s="180" t="s">
        <v>257</v>
      </c>
      <c r="R7598" s="180" t="s">
        <v>257</v>
      </c>
    </row>
    <row r="7599" spans="8:18" x14ac:dyDescent="0.2">
      <c r="H7599" s="180"/>
      <c r="P7599" s="180" t="s">
        <v>257</v>
      </c>
      <c r="R7599" s="180" t="s">
        <v>257</v>
      </c>
    </row>
    <row r="7600" spans="8:18" x14ac:dyDescent="0.2">
      <c r="H7600" s="180"/>
      <c r="P7600" s="180" t="s">
        <v>257</v>
      </c>
      <c r="R7600" s="180" t="s">
        <v>257</v>
      </c>
    </row>
    <row r="7601" spans="8:18" x14ac:dyDescent="0.2">
      <c r="H7601" s="180"/>
      <c r="P7601" s="180" t="s">
        <v>257</v>
      </c>
      <c r="R7601" s="180" t="s">
        <v>257</v>
      </c>
    </row>
    <row r="7602" spans="8:18" x14ac:dyDescent="0.2">
      <c r="H7602" s="180"/>
      <c r="P7602" s="180" t="s">
        <v>257</v>
      </c>
      <c r="R7602" s="180" t="s">
        <v>257</v>
      </c>
    </row>
    <row r="7603" spans="8:18" x14ac:dyDescent="0.2">
      <c r="H7603" s="180"/>
      <c r="P7603" s="180" t="s">
        <v>257</v>
      </c>
      <c r="R7603" s="180" t="s">
        <v>257</v>
      </c>
    </row>
    <row r="7604" spans="8:18" x14ac:dyDescent="0.2">
      <c r="H7604" s="180"/>
      <c r="P7604" s="180" t="s">
        <v>257</v>
      </c>
      <c r="R7604" s="180" t="s">
        <v>257</v>
      </c>
    </row>
    <row r="7605" spans="8:18" x14ac:dyDescent="0.2">
      <c r="H7605" s="180"/>
      <c r="P7605" s="180" t="s">
        <v>257</v>
      </c>
      <c r="R7605" s="180" t="s">
        <v>257</v>
      </c>
    </row>
    <row r="7606" spans="8:18" x14ac:dyDescent="0.2">
      <c r="H7606" s="180"/>
      <c r="P7606" s="180" t="s">
        <v>257</v>
      </c>
      <c r="R7606" s="180" t="s">
        <v>257</v>
      </c>
    </row>
    <row r="7607" spans="8:18" x14ac:dyDescent="0.2">
      <c r="H7607" s="180"/>
      <c r="P7607" s="180" t="s">
        <v>257</v>
      </c>
      <c r="R7607" s="180" t="s">
        <v>257</v>
      </c>
    </row>
    <row r="7608" spans="8:18" x14ac:dyDescent="0.2">
      <c r="H7608" s="180"/>
      <c r="P7608" s="180" t="s">
        <v>257</v>
      </c>
      <c r="R7608" s="180" t="s">
        <v>257</v>
      </c>
    </row>
    <row r="7609" spans="8:18" x14ac:dyDescent="0.2">
      <c r="H7609" s="180"/>
      <c r="P7609" s="180" t="s">
        <v>257</v>
      </c>
      <c r="R7609" s="180" t="s">
        <v>257</v>
      </c>
    </row>
    <row r="7610" spans="8:18" x14ac:dyDescent="0.2">
      <c r="H7610" s="180"/>
      <c r="P7610" s="180" t="s">
        <v>257</v>
      </c>
      <c r="R7610" s="180" t="s">
        <v>257</v>
      </c>
    </row>
    <row r="7611" spans="8:18" x14ac:dyDescent="0.2">
      <c r="H7611" s="180"/>
      <c r="P7611" s="180" t="s">
        <v>257</v>
      </c>
      <c r="R7611" s="180" t="s">
        <v>257</v>
      </c>
    </row>
    <row r="7612" spans="8:18" x14ac:dyDescent="0.2">
      <c r="H7612" s="180"/>
      <c r="P7612" s="180" t="s">
        <v>257</v>
      </c>
      <c r="R7612" s="180" t="s">
        <v>257</v>
      </c>
    </row>
    <row r="7613" spans="8:18" x14ac:dyDescent="0.2">
      <c r="H7613" s="180"/>
      <c r="P7613" s="180" t="s">
        <v>257</v>
      </c>
      <c r="R7613" s="180" t="s">
        <v>257</v>
      </c>
    </row>
    <row r="7614" spans="8:18" x14ac:dyDescent="0.2">
      <c r="H7614" s="180"/>
      <c r="P7614" s="180" t="s">
        <v>257</v>
      </c>
      <c r="R7614" s="180" t="s">
        <v>257</v>
      </c>
    </row>
    <row r="7615" spans="8:18" x14ac:dyDescent="0.2">
      <c r="H7615" s="180"/>
      <c r="P7615" s="180" t="s">
        <v>257</v>
      </c>
      <c r="R7615" s="180" t="s">
        <v>257</v>
      </c>
    </row>
    <row r="7616" spans="8:18" x14ac:dyDescent="0.2">
      <c r="H7616" s="180"/>
      <c r="P7616" s="180" t="s">
        <v>257</v>
      </c>
      <c r="R7616" s="180" t="s">
        <v>257</v>
      </c>
    </row>
    <row r="7617" spans="8:18" x14ac:dyDescent="0.2">
      <c r="H7617" s="180"/>
      <c r="P7617" s="180" t="s">
        <v>257</v>
      </c>
      <c r="R7617" s="180" t="s">
        <v>257</v>
      </c>
    </row>
    <row r="7618" spans="8:18" x14ac:dyDescent="0.2">
      <c r="H7618" s="180"/>
      <c r="P7618" s="180" t="s">
        <v>257</v>
      </c>
      <c r="R7618" s="180" t="s">
        <v>257</v>
      </c>
    </row>
    <row r="7619" spans="8:18" x14ac:dyDescent="0.2">
      <c r="H7619" s="180"/>
      <c r="P7619" s="180" t="s">
        <v>257</v>
      </c>
      <c r="R7619" s="180" t="s">
        <v>257</v>
      </c>
    </row>
    <row r="7620" spans="8:18" x14ac:dyDescent="0.2">
      <c r="H7620" s="180"/>
      <c r="P7620" s="180" t="s">
        <v>257</v>
      </c>
      <c r="R7620" s="180" t="s">
        <v>257</v>
      </c>
    </row>
    <row r="7621" spans="8:18" x14ac:dyDescent="0.2">
      <c r="H7621" s="180"/>
      <c r="P7621" s="180" t="s">
        <v>257</v>
      </c>
      <c r="R7621" s="180" t="s">
        <v>257</v>
      </c>
    </row>
    <row r="7622" spans="8:18" x14ac:dyDescent="0.2">
      <c r="H7622" s="180"/>
      <c r="P7622" s="180" t="s">
        <v>257</v>
      </c>
      <c r="R7622" s="180" t="s">
        <v>257</v>
      </c>
    </row>
    <row r="7623" spans="8:18" x14ac:dyDescent="0.2">
      <c r="H7623" s="180"/>
      <c r="P7623" s="180" t="s">
        <v>257</v>
      </c>
      <c r="R7623" s="180" t="s">
        <v>257</v>
      </c>
    </row>
    <row r="7624" spans="8:18" x14ac:dyDescent="0.2">
      <c r="H7624" s="180"/>
      <c r="P7624" s="180" t="s">
        <v>257</v>
      </c>
      <c r="R7624" s="180" t="s">
        <v>257</v>
      </c>
    </row>
    <row r="7625" spans="8:18" x14ac:dyDescent="0.2">
      <c r="H7625" s="180"/>
      <c r="P7625" s="180" t="s">
        <v>257</v>
      </c>
      <c r="R7625" s="180" t="s">
        <v>257</v>
      </c>
    </row>
    <row r="7626" spans="8:18" x14ac:dyDescent="0.2">
      <c r="H7626" s="180"/>
      <c r="P7626" s="180" t="s">
        <v>257</v>
      </c>
      <c r="R7626" s="180" t="s">
        <v>257</v>
      </c>
    </row>
    <row r="7627" spans="8:18" x14ac:dyDescent="0.2">
      <c r="H7627" s="180"/>
      <c r="P7627" s="180" t="s">
        <v>257</v>
      </c>
      <c r="R7627" s="180" t="s">
        <v>257</v>
      </c>
    </row>
    <row r="7628" spans="8:18" x14ac:dyDescent="0.2">
      <c r="H7628" s="180"/>
      <c r="P7628" s="180" t="s">
        <v>257</v>
      </c>
      <c r="R7628" s="180" t="s">
        <v>257</v>
      </c>
    </row>
    <row r="7629" spans="8:18" x14ac:dyDescent="0.2">
      <c r="H7629" s="180"/>
      <c r="P7629" s="180" t="s">
        <v>257</v>
      </c>
      <c r="R7629" s="180" t="s">
        <v>257</v>
      </c>
    </row>
    <row r="7630" spans="8:18" x14ac:dyDescent="0.2">
      <c r="H7630" s="180"/>
      <c r="P7630" s="180" t="s">
        <v>257</v>
      </c>
      <c r="R7630" s="180" t="s">
        <v>257</v>
      </c>
    </row>
    <row r="7631" spans="8:18" x14ac:dyDescent="0.2">
      <c r="H7631" s="180"/>
      <c r="P7631" s="180" t="s">
        <v>257</v>
      </c>
      <c r="R7631" s="180" t="s">
        <v>257</v>
      </c>
    </row>
    <row r="7632" spans="8:18" x14ac:dyDescent="0.2">
      <c r="H7632" s="180"/>
      <c r="P7632" s="180" t="s">
        <v>257</v>
      </c>
      <c r="R7632" s="180" t="s">
        <v>257</v>
      </c>
    </row>
    <row r="7633" spans="8:18" x14ac:dyDescent="0.2">
      <c r="H7633" s="180"/>
      <c r="P7633" s="180" t="s">
        <v>257</v>
      </c>
      <c r="R7633" s="180" t="s">
        <v>257</v>
      </c>
    </row>
    <row r="7634" spans="8:18" x14ac:dyDescent="0.2">
      <c r="H7634" s="180"/>
      <c r="P7634" s="180" t="s">
        <v>257</v>
      </c>
      <c r="R7634" s="180" t="s">
        <v>257</v>
      </c>
    </row>
    <row r="7635" spans="8:18" x14ac:dyDescent="0.2">
      <c r="H7635" s="180"/>
      <c r="P7635" s="180" t="s">
        <v>257</v>
      </c>
      <c r="R7635" s="180" t="s">
        <v>257</v>
      </c>
    </row>
    <row r="7636" spans="8:18" x14ac:dyDescent="0.2">
      <c r="H7636" s="180"/>
      <c r="P7636" s="180" t="s">
        <v>257</v>
      </c>
      <c r="R7636" s="180" t="s">
        <v>257</v>
      </c>
    </row>
    <row r="7637" spans="8:18" x14ac:dyDescent="0.2">
      <c r="H7637" s="180"/>
      <c r="P7637" s="180" t="s">
        <v>257</v>
      </c>
      <c r="R7637" s="180" t="s">
        <v>257</v>
      </c>
    </row>
    <row r="7638" spans="8:18" x14ac:dyDescent="0.2">
      <c r="H7638" s="180"/>
      <c r="P7638" s="180" t="s">
        <v>257</v>
      </c>
      <c r="R7638" s="180" t="s">
        <v>257</v>
      </c>
    </row>
    <row r="7639" spans="8:18" x14ac:dyDescent="0.2">
      <c r="H7639" s="180"/>
      <c r="P7639" s="180" t="s">
        <v>257</v>
      </c>
      <c r="R7639" s="180" t="s">
        <v>257</v>
      </c>
    </row>
    <row r="7640" spans="8:18" x14ac:dyDescent="0.2">
      <c r="H7640" s="180"/>
      <c r="P7640" s="180" t="s">
        <v>257</v>
      </c>
      <c r="R7640" s="180" t="s">
        <v>257</v>
      </c>
    </row>
    <row r="7641" spans="8:18" x14ac:dyDescent="0.2">
      <c r="H7641" s="180"/>
      <c r="P7641" s="180" t="s">
        <v>257</v>
      </c>
      <c r="R7641" s="180" t="s">
        <v>257</v>
      </c>
    </row>
    <row r="7642" spans="8:18" x14ac:dyDescent="0.2">
      <c r="H7642" s="180"/>
      <c r="P7642" s="180" t="s">
        <v>257</v>
      </c>
      <c r="R7642" s="180" t="s">
        <v>257</v>
      </c>
    </row>
    <row r="7643" spans="8:18" x14ac:dyDescent="0.2">
      <c r="H7643" s="180"/>
      <c r="P7643" s="180" t="s">
        <v>257</v>
      </c>
      <c r="R7643" s="180" t="s">
        <v>257</v>
      </c>
    </row>
    <row r="7644" spans="8:18" x14ac:dyDescent="0.2">
      <c r="H7644" s="180"/>
      <c r="P7644" s="180" t="s">
        <v>257</v>
      </c>
      <c r="R7644" s="180" t="s">
        <v>257</v>
      </c>
    </row>
    <row r="7645" spans="8:18" x14ac:dyDescent="0.2">
      <c r="H7645" s="180"/>
      <c r="P7645" s="180" t="s">
        <v>257</v>
      </c>
      <c r="R7645" s="180" t="s">
        <v>257</v>
      </c>
    </row>
    <row r="7646" spans="8:18" x14ac:dyDescent="0.2">
      <c r="H7646" s="180"/>
      <c r="P7646" s="180" t="s">
        <v>257</v>
      </c>
      <c r="R7646" s="180" t="s">
        <v>257</v>
      </c>
    </row>
    <row r="7647" spans="8:18" x14ac:dyDescent="0.2">
      <c r="H7647" s="180"/>
      <c r="P7647" s="180" t="s">
        <v>257</v>
      </c>
      <c r="R7647" s="180" t="s">
        <v>257</v>
      </c>
    </row>
    <row r="7648" spans="8:18" x14ac:dyDescent="0.2">
      <c r="H7648" s="180"/>
      <c r="P7648" s="180" t="s">
        <v>257</v>
      </c>
      <c r="R7648" s="180" t="s">
        <v>257</v>
      </c>
    </row>
    <row r="7649" spans="8:18" x14ac:dyDescent="0.2">
      <c r="H7649" s="180"/>
      <c r="P7649" s="180" t="s">
        <v>257</v>
      </c>
      <c r="R7649" s="180" t="s">
        <v>257</v>
      </c>
    </row>
    <row r="7650" spans="8:18" x14ac:dyDescent="0.2">
      <c r="H7650" s="180"/>
      <c r="P7650" s="180" t="s">
        <v>257</v>
      </c>
      <c r="R7650" s="180" t="s">
        <v>257</v>
      </c>
    </row>
    <row r="7651" spans="8:18" x14ac:dyDescent="0.2">
      <c r="H7651" s="180"/>
      <c r="P7651" s="180" t="s">
        <v>257</v>
      </c>
      <c r="R7651" s="180" t="s">
        <v>257</v>
      </c>
    </row>
    <row r="7652" spans="8:18" x14ac:dyDescent="0.2">
      <c r="H7652" s="180"/>
      <c r="P7652" s="180" t="s">
        <v>257</v>
      </c>
      <c r="R7652" s="180" t="s">
        <v>257</v>
      </c>
    </row>
    <row r="7653" spans="8:18" x14ac:dyDescent="0.2">
      <c r="H7653" s="180"/>
      <c r="P7653" s="180" t="s">
        <v>257</v>
      </c>
      <c r="R7653" s="180" t="s">
        <v>257</v>
      </c>
    </row>
    <row r="7654" spans="8:18" x14ac:dyDescent="0.2">
      <c r="H7654" s="180"/>
      <c r="P7654" s="180" t="s">
        <v>257</v>
      </c>
      <c r="R7654" s="180" t="s">
        <v>257</v>
      </c>
    </row>
    <row r="7655" spans="8:18" x14ac:dyDescent="0.2">
      <c r="H7655" s="180"/>
      <c r="P7655" s="180" t="s">
        <v>257</v>
      </c>
      <c r="R7655" s="180" t="s">
        <v>257</v>
      </c>
    </row>
    <row r="7656" spans="8:18" x14ac:dyDescent="0.2">
      <c r="H7656" s="180"/>
      <c r="P7656" s="180" t="s">
        <v>257</v>
      </c>
      <c r="R7656" s="180" t="s">
        <v>257</v>
      </c>
    </row>
    <row r="7657" spans="8:18" x14ac:dyDescent="0.2">
      <c r="H7657" s="180"/>
      <c r="P7657" s="180" t="s">
        <v>257</v>
      </c>
      <c r="R7657" s="180" t="s">
        <v>257</v>
      </c>
    </row>
    <row r="7658" spans="8:18" x14ac:dyDescent="0.2">
      <c r="H7658" s="180"/>
      <c r="P7658" s="180" t="s">
        <v>257</v>
      </c>
      <c r="R7658" s="180" t="s">
        <v>257</v>
      </c>
    </row>
    <row r="7659" spans="8:18" x14ac:dyDescent="0.2">
      <c r="H7659" s="180"/>
      <c r="P7659" s="180" t="s">
        <v>257</v>
      </c>
      <c r="R7659" s="180" t="s">
        <v>257</v>
      </c>
    </row>
    <row r="7660" spans="8:18" x14ac:dyDescent="0.2">
      <c r="H7660" s="180"/>
      <c r="P7660" s="180" t="s">
        <v>257</v>
      </c>
      <c r="R7660" s="180" t="s">
        <v>257</v>
      </c>
    </row>
    <row r="7661" spans="8:18" x14ac:dyDescent="0.2">
      <c r="H7661" s="180"/>
      <c r="P7661" s="180" t="s">
        <v>257</v>
      </c>
      <c r="R7661" s="180" t="s">
        <v>257</v>
      </c>
    </row>
    <row r="7662" spans="8:18" x14ac:dyDescent="0.2">
      <c r="H7662" s="180"/>
      <c r="P7662" s="180" t="s">
        <v>257</v>
      </c>
      <c r="R7662" s="180" t="s">
        <v>257</v>
      </c>
    </row>
    <row r="7663" spans="8:18" x14ac:dyDescent="0.2">
      <c r="H7663" s="180"/>
      <c r="P7663" s="180" t="s">
        <v>257</v>
      </c>
      <c r="R7663" s="180" t="s">
        <v>257</v>
      </c>
    </row>
    <row r="7664" spans="8:18" x14ac:dyDescent="0.2">
      <c r="H7664" s="180"/>
      <c r="P7664" s="180" t="s">
        <v>257</v>
      </c>
      <c r="R7664" s="180" t="s">
        <v>257</v>
      </c>
    </row>
    <row r="7665" spans="8:18" x14ac:dyDescent="0.2">
      <c r="H7665" s="180"/>
      <c r="P7665" s="180" t="s">
        <v>257</v>
      </c>
      <c r="R7665" s="180" t="s">
        <v>257</v>
      </c>
    </row>
    <row r="7666" spans="8:18" x14ac:dyDescent="0.2">
      <c r="H7666" s="180"/>
      <c r="P7666" s="180" t="s">
        <v>257</v>
      </c>
      <c r="R7666" s="180" t="s">
        <v>257</v>
      </c>
    </row>
    <row r="7667" spans="8:18" x14ac:dyDescent="0.2">
      <c r="H7667" s="180"/>
      <c r="P7667" s="180" t="s">
        <v>257</v>
      </c>
      <c r="R7667" s="180" t="s">
        <v>257</v>
      </c>
    </row>
    <row r="7668" spans="8:18" x14ac:dyDescent="0.2">
      <c r="H7668" s="180"/>
      <c r="P7668" s="180" t="s">
        <v>257</v>
      </c>
      <c r="R7668" s="180" t="s">
        <v>257</v>
      </c>
    </row>
    <row r="7669" spans="8:18" x14ac:dyDescent="0.2">
      <c r="H7669" s="180"/>
      <c r="P7669" s="180" t="s">
        <v>257</v>
      </c>
      <c r="R7669" s="180" t="s">
        <v>257</v>
      </c>
    </row>
    <row r="7670" spans="8:18" x14ac:dyDescent="0.2">
      <c r="H7670" s="180"/>
      <c r="P7670" s="180" t="s">
        <v>257</v>
      </c>
      <c r="R7670" s="180" t="s">
        <v>257</v>
      </c>
    </row>
    <row r="7671" spans="8:18" x14ac:dyDescent="0.2">
      <c r="H7671" s="180"/>
      <c r="P7671" s="180" t="s">
        <v>257</v>
      </c>
      <c r="R7671" s="180" t="s">
        <v>257</v>
      </c>
    </row>
    <row r="7672" spans="8:18" x14ac:dyDescent="0.2">
      <c r="H7672" s="180"/>
      <c r="P7672" s="180" t="s">
        <v>257</v>
      </c>
      <c r="R7672" s="180" t="s">
        <v>257</v>
      </c>
    </row>
    <row r="7673" spans="8:18" x14ac:dyDescent="0.2">
      <c r="H7673" s="180"/>
      <c r="P7673" s="180" t="s">
        <v>257</v>
      </c>
      <c r="R7673" s="180" t="s">
        <v>257</v>
      </c>
    </row>
    <row r="7674" spans="8:18" x14ac:dyDescent="0.2">
      <c r="H7674" s="180"/>
      <c r="P7674" s="180" t="s">
        <v>257</v>
      </c>
      <c r="R7674" s="180" t="s">
        <v>257</v>
      </c>
    </row>
    <row r="7675" spans="8:18" x14ac:dyDescent="0.2">
      <c r="H7675" s="180"/>
      <c r="P7675" s="180" t="s">
        <v>257</v>
      </c>
      <c r="R7675" s="180" t="s">
        <v>257</v>
      </c>
    </row>
    <row r="7676" spans="8:18" x14ac:dyDescent="0.2">
      <c r="H7676" s="180"/>
      <c r="P7676" s="180" t="s">
        <v>257</v>
      </c>
      <c r="R7676" s="180" t="s">
        <v>257</v>
      </c>
    </row>
    <row r="7677" spans="8:18" x14ac:dyDescent="0.2">
      <c r="H7677" s="180"/>
      <c r="P7677" s="180" t="s">
        <v>257</v>
      </c>
      <c r="R7677" s="180" t="s">
        <v>257</v>
      </c>
    </row>
    <row r="7678" spans="8:18" x14ac:dyDescent="0.2">
      <c r="H7678" s="180"/>
      <c r="P7678" s="180" t="s">
        <v>257</v>
      </c>
      <c r="R7678" s="180" t="s">
        <v>257</v>
      </c>
    </row>
    <row r="7679" spans="8:18" x14ac:dyDescent="0.2">
      <c r="H7679" s="180"/>
      <c r="P7679" s="180" t="s">
        <v>257</v>
      </c>
      <c r="R7679" s="180" t="s">
        <v>257</v>
      </c>
    </row>
    <row r="7680" spans="8:18" x14ac:dyDescent="0.2">
      <c r="H7680" s="180"/>
      <c r="P7680" s="180" t="s">
        <v>257</v>
      </c>
      <c r="R7680" s="180" t="s">
        <v>257</v>
      </c>
    </row>
    <row r="7681" spans="8:18" x14ac:dyDescent="0.2">
      <c r="H7681" s="180"/>
      <c r="P7681" s="180" t="s">
        <v>257</v>
      </c>
      <c r="R7681" s="180" t="s">
        <v>257</v>
      </c>
    </row>
    <row r="7682" spans="8:18" x14ac:dyDescent="0.2">
      <c r="H7682" s="180"/>
      <c r="P7682" s="180" t="s">
        <v>257</v>
      </c>
      <c r="R7682" s="180" t="s">
        <v>257</v>
      </c>
    </row>
    <row r="7683" spans="8:18" x14ac:dyDescent="0.2">
      <c r="H7683" s="180"/>
      <c r="P7683" s="180" t="s">
        <v>257</v>
      </c>
      <c r="R7683" s="180" t="s">
        <v>257</v>
      </c>
    </row>
    <row r="7684" spans="8:18" x14ac:dyDescent="0.2">
      <c r="H7684" s="180"/>
      <c r="P7684" s="180" t="s">
        <v>257</v>
      </c>
      <c r="R7684" s="180" t="s">
        <v>257</v>
      </c>
    </row>
    <row r="7685" spans="8:18" x14ac:dyDescent="0.2">
      <c r="H7685" s="180"/>
      <c r="P7685" s="180" t="s">
        <v>257</v>
      </c>
      <c r="R7685" s="180" t="s">
        <v>257</v>
      </c>
    </row>
    <row r="7686" spans="8:18" x14ac:dyDescent="0.2">
      <c r="H7686" s="180"/>
      <c r="P7686" s="180" t="s">
        <v>257</v>
      </c>
      <c r="R7686" s="180" t="s">
        <v>257</v>
      </c>
    </row>
    <row r="7687" spans="8:18" x14ac:dyDescent="0.2">
      <c r="H7687" s="180"/>
      <c r="P7687" s="180" t="s">
        <v>257</v>
      </c>
      <c r="R7687" s="180" t="s">
        <v>257</v>
      </c>
    </row>
    <row r="7688" spans="8:18" x14ac:dyDescent="0.2">
      <c r="H7688" s="180"/>
      <c r="P7688" s="180" t="s">
        <v>257</v>
      </c>
      <c r="R7688" s="180" t="s">
        <v>257</v>
      </c>
    </row>
    <row r="7689" spans="8:18" x14ac:dyDescent="0.2">
      <c r="H7689" s="180"/>
      <c r="P7689" s="180" t="s">
        <v>257</v>
      </c>
      <c r="R7689" s="180" t="s">
        <v>257</v>
      </c>
    </row>
    <row r="7690" spans="8:18" x14ac:dyDescent="0.2">
      <c r="H7690" s="180"/>
      <c r="P7690" s="180" t="s">
        <v>257</v>
      </c>
      <c r="R7690" s="180" t="s">
        <v>257</v>
      </c>
    </row>
    <row r="7691" spans="8:18" x14ac:dyDescent="0.2">
      <c r="H7691" s="180"/>
      <c r="P7691" s="180" t="s">
        <v>257</v>
      </c>
      <c r="R7691" s="180" t="s">
        <v>257</v>
      </c>
    </row>
    <row r="7692" spans="8:18" x14ac:dyDescent="0.2">
      <c r="H7692" s="180"/>
      <c r="P7692" s="180" t="s">
        <v>257</v>
      </c>
      <c r="R7692" s="180" t="s">
        <v>257</v>
      </c>
    </row>
    <row r="7693" spans="8:18" x14ac:dyDescent="0.2">
      <c r="H7693" s="180"/>
      <c r="P7693" s="180" t="s">
        <v>257</v>
      </c>
      <c r="R7693" s="180" t="s">
        <v>257</v>
      </c>
    </row>
    <row r="7694" spans="8:18" x14ac:dyDescent="0.2">
      <c r="H7694" s="180"/>
      <c r="P7694" s="180" t="s">
        <v>257</v>
      </c>
      <c r="R7694" s="180" t="s">
        <v>257</v>
      </c>
    </row>
    <row r="7695" spans="8:18" x14ac:dyDescent="0.2">
      <c r="H7695" s="180"/>
      <c r="P7695" s="180" t="s">
        <v>257</v>
      </c>
      <c r="R7695" s="180" t="s">
        <v>257</v>
      </c>
    </row>
    <row r="7696" spans="8:18" x14ac:dyDescent="0.2">
      <c r="H7696" s="180"/>
      <c r="P7696" s="180" t="s">
        <v>257</v>
      </c>
      <c r="R7696" s="180" t="s">
        <v>257</v>
      </c>
    </row>
    <row r="7697" spans="8:18" x14ac:dyDescent="0.2">
      <c r="H7697" s="180"/>
      <c r="P7697" s="180" t="s">
        <v>257</v>
      </c>
      <c r="R7697" s="180" t="s">
        <v>257</v>
      </c>
    </row>
    <row r="7698" spans="8:18" x14ac:dyDescent="0.2">
      <c r="H7698" s="180"/>
      <c r="P7698" s="180" t="s">
        <v>257</v>
      </c>
      <c r="R7698" s="180" t="s">
        <v>257</v>
      </c>
    </row>
    <row r="7699" spans="8:18" x14ac:dyDescent="0.2">
      <c r="H7699" s="180"/>
      <c r="P7699" s="180" t="s">
        <v>257</v>
      </c>
      <c r="R7699" s="180" t="s">
        <v>257</v>
      </c>
    </row>
    <row r="7700" spans="8:18" x14ac:dyDescent="0.2">
      <c r="H7700" s="180"/>
      <c r="P7700" s="180" t="s">
        <v>257</v>
      </c>
      <c r="R7700" s="180" t="s">
        <v>257</v>
      </c>
    </row>
    <row r="7701" spans="8:18" x14ac:dyDescent="0.2">
      <c r="H7701" s="180"/>
      <c r="P7701" s="180" t="s">
        <v>257</v>
      </c>
      <c r="R7701" s="180" t="s">
        <v>257</v>
      </c>
    </row>
    <row r="7702" spans="8:18" x14ac:dyDescent="0.2">
      <c r="H7702" s="180"/>
      <c r="P7702" s="180" t="s">
        <v>257</v>
      </c>
      <c r="R7702" s="180" t="s">
        <v>257</v>
      </c>
    </row>
    <row r="7703" spans="8:18" x14ac:dyDescent="0.2">
      <c r="H7703" s="180"/>
      <c r="P7703" s="180" t="s">
        <v>257</v>
      </c>
      <c r="R7703" s="180" t="s">
        <v>257</v>
      </c>
    </row>
    <row r="7704" spans="8:18" x14ac:dyDescent="0.2">
      <c r="H7704" s="180"/>
      <c r="P7704" s="180" t="s">
        <v>257</v>
      </c>
      <c r="R7704" s="180" t="s">
        <v>257</v>
      </c>
    </row>
    <row r="7705" spans="8:18" x14ac:dyDescent="0.2">
      <c r="H7705" s="180"/>
      <c r="P7705" s="180" t="s">
        <v>257</v>
      </c>
      <c r="R7705" s="180" t="s">
        <v>257</v>
      </c>
    </row>
    <row r="7706" spans="8:18" x14ac:dyDescent="0.2">
      <c r="H7706" s="180"/>
      <c r="P7706" s="180" t="s">
        <v>257</v>
      </c>
      <c r="R7706" s="180" t="s">
        <v>257</v>
      </c>
    </row>
    <row r="7707" spans="8:18" x14ac:dyDescent="0.2">
      <c r="H7707" s="180"/>
      <c r="P7707" s="180" t="s">
        <v>257</v>
      </c>
      <c r="R7707" s="180" t="s">
        <v>257</v>
      </c>
    </row>
    <row r="7708" spans="8:18" x14ac:dyDescent="0.2">
      <c r="H7708" s="180"/>
      <c r="P7708" s="180" t="s">
        <v>257</v>
      </c>
      <c r="R7708" s="180" t="s">
        <v>257</v>
      </c>
    </row>
    <row r="7709" spans="8:18" x14ac:dyDescent="0.2">
      <c r="H7709" s="180"/>
      <c r="P7709" s="180" t="s">
        <v>257</v>
      </c>
      <c r="R7709" s="180" t="s">
        <v>257</v>
      </c>
    </row>
    <row r="7710" spans="8:18" x14ac:dyDescent="0.2">
      <c r="H7710" s="180"/>
      <c r="P7710" s="180" t="s">
        <v>257</v>
      </c>
      <c r="R7710" s="180" t="s">
        <v>257</v>
      </c>
    </row>
    <row r="7711" spans="8:18" x14ac:dyDescent="0.2">
      <c r="H7711" s="180"/>
      <c r="P7711" s="180" t="s">
        <v>257</v>
      </c>
      <c r="R7711" s="180" t="s">
        <v>257</v>
      </c>
    </row>
    <row r="7712" spans="8:18" x14ac:dyDescent="0.2">
      <c r="H7712" s="180"/>
      <c r="P7712" s="180" t="s">
        <v>257</v>
      </c>
      <c r="R7712" s="180" t="s">
        <v>257</v>
      </c>
    </row>
    <row r="7713" spans="8:18" x14ac:dyDescent="0.2">
      <c r="H7713" s="180"/>
      <c r="P7713" s="180" t="s">
        <v>257</v>
      </c>
      <c r="R7713" s="180" t="s">
        <v>257</v>
      </c>
    </row>
    <row r="7714" spans="8:18" x14ac:dyDescent="0.2">
      <c r="H7714" s="180"/>
      <c r="P7714" s="180" t="s">
        <v>257</v>
      </c>
      <c r="R7714" s="180" t="s">
        <v>257</v>
      </c>
    </row>
    <row r="7715" spans="8:18" x14ac:dyDescent="0.2">
      <c r="H7715" s="180"/>
      <c r="P7715" s="180" t="s">
        <v>257</v>
      </c>
      <c r="R7715" s="180" t="s">
        <v>257</v>
      </c>
    </row>
    <row r="7716" spans="8:18" x14ac:dyDescent="0.2">
      <c r="H7716" s="180"/>
      <c r="P7716" s="180" t="s">
        <v>257</v>
      </c>
      <c r="R7716" s="180" t="s">
        <v>257</v>
      </c>
    </row>
    <row r="7717" spans="8:18" x14ac:dyDescent="0.2">
      <c r="H7717" s="180"/>
      <c r="P7717" s="180" t="s">
        <v>257</v>
      </c>
      <c r="R7717" s="180" t="s">
        <v>257</v>
      </c>
    </row>
    <row r="7718" spans="8:18" x14ac:dyDescent="0.2">
      <c r="H7718" s="180"/>
      <c r="P7718" s="180" t="s">
        <v>257</v>
      </c>
      <c r="R7718" s="180" t="s">
        <v>257</v>
      </c>
    </row>
    <row r="7719" spans="8:18" x14ac:dyDescent="0.2">
      <c r="H7719" s="180"/>
      <c r="P7719" s="180" t="s">
        <v>257</v>
      </c>
      <c r="R7719" s="180" t="s">
        <v>257</v>
      </c>
    </row>
    <row r="7720" spans="8:18" x14ac:dyDescent="0.2">
      <c r="H7720" s="180"/>
      <c r="P7720" s="180" t="s">
        <v>257</v>
      </c>
      <c r="R7720" s="180" t="s">
        <v>257</v>
      </c>
    </row>
    <row r="7721" spans="8:18" x14ac:dyDescent="0.2">
      <c r="H7721" s="180"/>
      <c r="P7721" s="180" t="s">
        <v>257</v>
      </c>
      <c r="R7721" s="180" t="s">
        <v>257</v>
      </c>
    </row>
    <row r="7722" spans="8:18" x14ac:dyDescent="0.2">
      <c r="H7722" s="180"/>
      <c r="P7722" s="180" t="s">
        <v>257</v>
      </c>
      <c r="R7722" s="180" t="s">
        <v>257</v>
      </c>
    </row>
    <row r="7723" spans="8:18" x14ac:dyDescent="0.2">
      <c r="H7723" s="180"/>
      <c r="P7723" s="180" t="s">
        <v>257</v>
      </c>
      <c r="R7723" s="180" t="s">
        <v>257</v>
      </c>
    </row>
    <row r="7724" spans="8:18" x14ac:dyDescent="0.2">
      <c r="H7724" s="180"/>
      <c r="P7724" s="180" t="s">
        <v>257</v>
      </c>
      <c r="R7724" s="180" t="s">
        <v>257</v>
      </c>
    </row>
    <row r="7725" spans="8:18" x14ac:dyDescent="0.2">
      <c r="H7725" s="180"/>
      <c r="P7725" s="180" t="s">
        <v>257</v>
      </c>
      <c r="R7725" s="180" t="s">
        <v>257</v>
      </c>
    </row>
    <row r="7726" spans="8:18" x14ac:dyDescent="0.2">
      <c r="H7726" s="180"/>
      <c r="P7726" s="180" t="s">
        <v>257</v>
      </c>
      <c r="R7726" s="180" t="s">
        <v>257</v>
      </c>
    </row>
    <row r="7727" spans="8:18" x14ac:dyDescent="0.2">
      <c r="H7727" s="180"/>
      <c r="P7727" s="180" t="s">
        <v>257</v>
      </c>
      <c r="R7727" s="180" t="s">
        <v>257</v>
      </c>
    </row>
    <row r="7728" spans="8:18" x14ac:dyDescent="0.2">
      <c r="H7728" s="180"/>
      <c r="P7728" s="180" t="s">
        <v>257</v>
      </c>
      <c r="R7728" s="180" t="s">
        <v>257</v>
      </c>
    </row>
    <row r="7729" spans="8:18" x14ac:dyDescent="0.2">
      <c r="H7729" s="180"/>
      <c r="P7729" s="180" t="s">
        <v>257</v>
      </c>
      <c r="R7729" s="180" t="s">
        <v>257</v>
      </c>
    </row>
    <row r="7730" spans="8:18" x14ac:dyDescent="0.2">
      <c r="H7730" s="180"/>
      <c r="P7730" s="180" t="s">
        <v>257</v>
      </c>
      <c r="R7730" s="180" t="s">
        <v>257</v>
      </c>
    </row>
    <row r="7731" spans="8:18" x14ac:dyDescent="0.2">
      <c r="H7731" s="180"/>
      <c r="P7731" s="180" t="s">
        <v>257</v>
      </c>
      <c r="R7731" s="180" t="s">
        <v>257</v>
      </c>
    </row>
    <row r="7732" spans="8:18" x14ac:dyDescent="0.2">
      <c r="H7732" s="180"/>
      <c r="P7732" s="180" t="s">
        <v>257</v>
      </c>
      <c r="R7732" s="180" t="s">
        <v>257</v>
      </c>
    </row>
    <row r="7733" spans="8:18" x14ac:dyDescent="0.2">
      <c r="H7733" s="180"/>
      <c r="P7733" s="180" t="s">
        <v>257</v>
      </c>
      <c r="R7733" s="180" t="s">
        <v>257</v>
      </c>
    </row>
    <row r="7734" spans="8:18" x14ac:dyDescent="0.2">
      <c r="H7734" s="180"/>
      <c r="P7734" s="180" t="s">
        <v>257</v>
      </c>
      <c r="R7734" s="180" t="s">
        <v>257</v>
      </c>
    </row>
    <row r="7735" spans="8:18" x14ac:dyDescent="0.2">
      <c r="H7735" s="180"/>
      <c r="P7735" s="180" t="s">
        <v>257</v>
      </c>
      <c r="R7735" s="180" t="s">
        <v>257</v>
      </c>
    </row>
    <row r="7736" spans="8:18" x14ac:dyDescent="0.2">
      <c r="H7736" s="180"/>
      <c r="P7736" s="180" t="s">
        <v>257</v>
      </c>
      <c r="R7736" s="180" t="s">
        <v>257</v>
      </c>
    </row>
    <row r="7737" spans="8:18" x14ac:dyDescent="0.2">
      <c r="H7737" s="180"/>
      <c r="P7737" s="180" t="s">
        <v>257</v>
      </c>
      <c r="R7737" s="180" t="s">
        <v>257</v>
      </c>
    </row>
    <row r="7738" spans="8:18" x14ac:dyDescent="0.2">
      <c r="H7738" s="180"/>
      <c r="P7738" s="180" t="s">
        <v>257</v>
      </c>
      <c r="R7738" s="180" t="s">
        <v>257</v>
      </c>
    </row>
    <row r="7739" spans="8:18" x14ac:dyDescent="0.2">
      <c r="H7739" s="180"/>
      <c r="P7739" s="180" t="s">
        <v>257</v>
      </c>
      <c r="R7739" s="180" t="s">
        <v>257</v>
      </c>
    </row>
    <row r="7740" spans="8:18" x14ac:dyDescent="0.2">
      <c r="H7740" s="180"/>
      <c r="P7740" s="180" t="s">
        <v>257</v>
      </c>
      <c r="R7740" s="180" t="s">
        <v>257</v>
      </c>
    </row>
    <row r="7741" spans="8:18" x14ac:dyDescent="0.2">
      <c r="H7741" s="180"/>
      <c r="P7741" s="180" t="s">
        <v>257</v>
      </c>
      <c r="R7741" s="180" t="s">
        <v>257</v>
      </c>
    </row>
    <row r="7742" spans="8:18" x14ac:dyDescent="0.2">
      <c r="H7742" s="180"/>
      <c r="P7742" s="180" t="s">
        <v>257</v>
      </c>
      <c r="R7742" s="180" t="s">
        <v>257</v>
      </c>
    </row>
    <row r="7743" spans="8:18" x14ac:dyDescent="0.2">
      <c r="H7743" s="180"/>
      <c r="P7743" s="180" t="s">
        <v>257</v>
      </c>
      <c r="R7743" s="180" t="s">
        <v>257</v>
      </c>
    </row>
    <row r="7744" spans="8:18" x14ac:dyDescent="0.2">
      <c r="H7744" s="180"/>
      <c r="P7744" s="180" t="s">
        <v>257</v>
      </c>
      <c r="R7744" s="180" t="s">
        <v>257</v>
      </c>
    </row>
    <row r="7745" spans="8:18" x14ac:dyDescent="0.2">
      <c r="H7745" s="180"/>
      <c r="P7745" s="180" t="s">
        <v>257</v>
      </c>
      <c r="R7745" s="180" t="s">
        <v>257</v>
      </c>
    </row>
    <row r="7746" spans="8:18" x14ac:dyDescent="0.2">
      <c r="H7746" s="180"/>
      <c r="P7746" s="180" t="s">
        <v>257</v>
      </c>
      <c r="R7746" s="180" t="s">
        <v>257</v>
      </c>
    </row>
    <row r="7747" spans="8:18" x14ac:dyDescent="0.2">
      <c r="H7747" s="180"/>
      <c r="P7747" s="180" t="s">
        <v>257</v>
      </c>
      <c r="R7747" s="180" t="s">
        <v>257</v>
      </c>
    </row>
    <row r="7748" spans="8:18" x14ac:dyDescent="0.2">
      <c r="H7748" s="180"/>
      <c r="P7748" s="180" t="s">
        <v>257</v>
      </c>
      <c r="R7748" s="180" t="s">
        <v>257</v>
      </c>
    </row>
    <row r="7749" spans="8:18" x14ac:dyDescent="0.2">
      <c r="H7749" s="180"/>
      <c r="P7749" s="180" t="s">
        <v>257</v>
      </c>
      <c r="R7749" s="180" t="s">
        <v>257</v>
      </c>
    </row>
    <row r="7750" spans="8:18" x14ac:dyDescent="0.2">
      <c r="H7750" s="180"/>
      <c r="P7750" s="180" t="s">
        <v>257</v>
      </c>
      <c r="R7750" s="180" t="s">
        <v>257</v>
      </c>
    </row>
    <row r="7751" spans="8:18" x14ac:dyDescent="0.2">
      <c r="H7751" s="180"/>
      <c r="P7751" s="180" t="s">
        <v>257</v>
      </c>
      <c r="R7751" s="180" t="s">
        <v>257</v>
      </c>
    </row>
    <row r="7752" spans="8:18" x14ac:dyDescent="0.2">
      <c r="H7752" s="180"/>
      <c r="P7752" s="180" t="s">
        <v>257</v>
      </c>
      <c r="R7752" s="180" t="s">
        <v>257</v>
      </c>
    </row>
    <row r="7753" spans="8:18" x14ac:dyDescent="0.2">
      <c r="H7753" s="180"/>
      <c r="P7753" s="180" t="s">
        <v>257</v>
      </c>
      <c r="R7753" s="180" t="s">
        <v>257</v>
      </c>
    </row>
    <row r="7754" spans="8:18" x14ac:dyDescent="0.2">
      <c r="H7754" s="180"/>
      <c r="P7754" s="180" t="s">
        <v>257</v>
      </c>
      <c r="R7754" s="180" t="s">
        <v>257</v>
      </c>
    </row>
    <row r="7755" spans="8:18" x14ac:dyDescent="0.2">
      <c r="H7755" s="180"/>
      <c r="P7755" s="180" t="s">
        <v>257</v>
      </c>
      <c r="R7755" s="180" t="s">
        <v>257</v>
      </c>
    </row>
    <row r="7756" spans="8:18" x14ac:dyDescent="0.2">
      <c r="H7756" s="180"/>
      <c r="P7756" s="180" t="s">
        <v>257</v>
      </c>
      <c r="R7756" s="180" t="s">
        <v>257</v>
      </c>
    </row>
    <row r="7757" spans="8:18" x14ac:dyDescent="0.2">
      <c r="H7757" s="180"/>
      <c r="P7757" s="180" t="s">
        <v>257</v>
      </c>
      <c r="R7757" s="180" t="s">
        <v>257</v>
      </c>
    </row>
    <row r="7758" spans="8:18" x14ac:dyDescent="0.2">
      <c r="H7758" s="180"/>
      <c r="P7758" s="180" t="s">
        <v>257</v>
      </c>
      <c r="R7758" s="180" t="s">
        <v>257</v>
      </c>
    </row>
    <row r="7759" spans="8:18" x14ac:dyDescent="0.2">
      <c r="H7759" s="180"/>
      <c r="P7759" s="180" t="s">
        <v>257</v>
      </c>
      <c r="R7759" s="180" t="s">
        <v>257</v>
      </c>
    </row>
    <row r="7760" spans="8:18" x14ac:dyDescent="0.2">
      <c r="H7760" s="180"/>
      <c r="P7760" s="180" t="s">
        <v>257</v>
      </c>
      <c r="R7760" s="180" t="s">
        <v>257</v>
      </c>
    </row>
    <row r="7761" spans="8:18" x14ac:dyDescent="0.2">
      <c r="H7761" s="180"/>
      <c r="P7761" s="180" t="s">
        <v>257</v>
      </c>
      <c r="R7761" s="180" t="s">
        <v>257</v>
      </c>
    </row>
    <row r="7762" spans="8:18" x14ac:dyDescent="0.2">
      <c r="H7762" s="180"/>
      <c r="P7762" s="180" t="s">
        <v>257</v>
      </c>
      <c r="R7762" s="180" t="s">
        <v>257</v>
      </c>
    </row>
    <row r="7763" spans="8:18" x14ac:dyDescent="0.2">
      <c r="H7763" s="180"/>
      <c r="P7763" s="180" t="s">
        <v>257</v>
      </c>
      <c r="R7763" s="180" t="s">
        <v>257</v>
      </c>
    </row>
    <row r="7764" spans="8:18" x14ac:dyDescent="0.2">
      <c r="H7764" s="180"/>
      <c r="P7764" s="180" t="s">
        <v>257</v>
      </c>
      <c r="R7764" s="180" t="s">
        <v>257</v>
      </c>
    </row>
    <row r="7765" spans="8:18" x14ac:dyDescent="0.2">
      <c r="H7765" s="180"/>
      <c r="P7765" s="180" t="s">
        <v>257</v>
      </c>
      <c r="R7765" s="180" t="s">
        <v>257</v>
      </c>
    </row>
    <row r="7766" spans="8:18" x14ac:dyDescent="0.2">
      <c r="H7766" s="180"/>
      <c r="P7766" s="180" t="s">
        <v>257</v>
      </c>
      <c r="R7766" s="180" t="s">
        <v>257</v>
      </c>
    </row>
    <row r="7767" spans="8:18" x14ac:dyDescent="0.2">
      <c r="H7767" s="180"/>
      <c r="P7767" s="180" t="s">
        <v>257</v>
      </c>
      <c r="R7767" s="180" t="s">
        <v>257</v>
      </c>
    </row>
    <row r="7768" spans="8:18" x14ac:dyDescent="0.2">
      <c r="H7768" s="180"/>
      <c r="P7768" s="180" t="s">
        <v>257</v>
      </c>
      <c r="R7768" s="180" t="s">
        <v>257</v>
      </c>
    </row>
    <row r="7769" spans="8:18" x14ac:dyDescent="0.2">
      <c r="H7769" s="180"/>
      <c r="P7769" s="180" t="s">
        <v>257</v>
      </c>
      <c r="R7769" s="180" t="s">
        <v>257</v>
      </c>
    </row>
    <row r="7770" spans="8:18" x14ac:dyDescent="0.2">
      <c r="H7770" s="180"/>
      <c r="P7770" s="180" t="s">
        <v>257</v>
      </c>
      <c r="R7770" s="180" t="s">
        <v>257</v>
      </c>
    </row>
    <row r="7771" spans="8:18" x14ac:dyDescent="0.2">
      <c r="H7771" s="180"/>
      <c r="P7771" s="180" t="s">
        <v>257</v>
      </c>
      <c r="R7771" s="180" t="s">
        <v>257</v>
      </c>
    </row>
    <row r="7772" spans="8:18" x14ac:dyDescent="0.2">
      <c r="H7772" s="180"/>
      <c r="P7772" s="180" t="s">
        <v>257</v>
      </c>
      <c r="R7772" s="180" t="s">
        <v>257</v>
      </c>
    </row>
    <row r="7773" spans="8:18" x14ac:dyDescent="0.2">
      <c r="H7773" s="180"/>
      <c r="P7773" s="180" t="s">
        <v>257</v>
      </c>
      <c r="R7773" s="180" t="s">
        <v>257</v>
      </c>
    </row>
    <row r="7774" spans="8:18" x14ac:dyDescent="0.2">
      <c r="H7774" s="180"/>
      <c r="P7774" s="180" t="s">
        <v>257</v>
      </c>
      <c r="R7774" s="180" t="s">
        <v>257</v>
      </c>
    </row>
    <row r="7775" spans="8:18" x14ac:dyDescent="0.2">
      <c r="H7775" s="180"/>
      <c r="P7775" s="180" t="s">
        <v>257</v>
      </c>
      <c r="R7775" s="180" t="s">
        <v>257</v>
      </c>
    </row>
    <row r="7776" spans="8:18" x14ac:dyDescent="0.2">
      <c r="H7776" s="180"/>
      <c r="P7776" s="180" t="s">
        <v>257</v>
      </c>
      <c r="R7776" s="180" t="s">
        <v>257</v>
      </c>
    </row>
    <row r="7777" spans="8:18" x14ac:dyDescent="0.2">
      <c r="H7777" s="180"/>
      <c r="P7777" s="180" t="s">
        <v>257</v>
      </c>
      <c r="R7777" s="180" t="s">
        <v>257</v>
      </c>
    </row>
    <row r="7778" spans="8:18" x14ac:dyDescent="0.2">
      <c r="H7778" s="180"/>
      <c r="P7778" s="180" t="s">
        <v>257</v>
      </c>
      <c r="R7778" s="180" t="s">
        <v>257</v>
      </c>
    </row>
    <row r="7779" spans="8:18" x14ac:dyDescent="0.2">
      <c r="H7779" s="180"/>
      <c r="P7779" s="180" t="s">
        <v>257</v>
      </c>
      <c r="R7779" s="180" t="s">
        <v>257</v>
      </c>
    </row>
    <row r="7780" spans="8:18" x14ac:dyDescent="0.2">
      <c r="H7780" s="180"/>
      <c r="P7780" s="180" t="s">
        <v>257</v>
      </c>
      <c r="R7780" s="180" t="s">
        <v>257</v>
      </c>
    </row>
    <row r="7781" spans="8:18" x14ac:dyDescent="0.2">
      <c r="H7781" s="180"/>
      <c r="P7781" s="180" t="s">
        <v>257</v>
      </c>
      <c r="R7781" s="180" t="s">
        <v>257</v>
      </c>
    </row>
    <row r="7782" spans="8:18" x14ac:dyDescent="0.2">
      <c r="H7782" s="180"/>
      <c r="P7782" s="180" t="s">
        <v>257</v>
      </c>
      <c r="R7782" s="180" t="s">
        <v>257</v>
      </c>
    </row>
    <row r="7783" spans="8:18" x14ac:dyDescent="0.2">
      <c r="H7783" s="180"/>
      <c r="P7783" s="180" t="s">
        <v>257</v>
      </c>
      <c r="R7783" s="180" t="s">
        <v>257</v>
      </c>
    </row>
    <row r="7784" spans="8:18" x14ac:dyDescent="0.2">
      <c r="H7784" s="180"/>
      <c r="P7784" s="180" t="s">
        <v>257</v>
      </c>
      <c r="R7784" s="180" t="s">
        <v>257</v>
      </c>
    </row>
    <row r="7785" spans="8:18" x14ac:dyDescent="0.2">
      <c r="H7785" s="180"/>
      <c r="P7785" s="180" t="s">
        <v>257</v>
      </c>
      <c r="R7785" s="180" t="s">
        <v>257</v>
      </c>
    </row>
    <row r="7786" spans="8:18" x14ac:dyDescent="0.2">
      <c r="H7786" s="180"/>
      <c r="P7786" s="180" t="s">
        <v>257</v>
      </c>
      <c r="R7786" s="180" t="s">
        <v>257</v>
      </c>
    </row>
    <row r="7787" spans="8:18" x14ac:dyDescent="0.2">
      <c r="H7787" s="180"/>
      <c r="P7787" s="180" t="s">
        <v>257</v>
      </c>
      <c r="R7787" s="180" t="s">
        <v>257</v>
      </c>
    </row>
    <row r="7788" spans="8:18" x14ac:dyDescent="0.2">
      <c r="H7788" s="180"/>
      <c r="P7788" s="180" t="s">
        <v>257</v>
      </c>
      <c r="R7788" s="180" t="s">
        <v>257</v>
      </c>
    </row>
    <row r="7789" spans="8:18" x14ac:dyDescent="0.2">
      <c r="H7789" s="180"/>
      <c r="P7789" s="180" t="s">
        <v>257</v>
      </c>
      <c r="R7789" s="180" t="s">
        <v>257</v>
      </c>
    </row>
    <row r="7790" spans="8:18" x14ac:dyDescent="0.2">
      <c r="H7790" s="180"/>
      <c r="P7790" s="180" t="s">
        <v>257</v>
      </c>
      <c r="R7790" s="180" t="s">
        <v>257</v>
      </c>
    </row>
    <row r="7791" spans="8:18" x14ac:dyDescent="0.2">
      <c r="H7791" s="180"/>
      <c r="P7791" s="180" t="s">
        <v>257</v>
      </c>
      <c r="R7791" s="180" t="s">
        <v>257</v>
      </c>
    </row>
    <row r="7792" spans="8:18" x14ac:dyDescent="0.2">
      <c r="H7792" s="180"/>
      <c r="P7792" s="180" t="s">
        <v>257</v>
      </c>
      <c r="R7792" s="180" t="s">
        <v>257</v>
      </c>
    </row>
    <row r="7793" spans="8:18" x14ac:dyDescent="0.2">
      <c r="H7793" s="180"/>
      <c r="P7793" s="180" t="s">
        <v>257</v>
      </c>
      <c r="R7793" s="180" t="s">
        <v>257</v>
      </c>
    </row>
    <row r="7794" spans="8:18" x14ac:dyDescent="0.2">
      <c r="H7794" s="180"/>
      <c r="P7794" s="180" t="s">
        <v>257</v>
      </c>
      <c r="R7794" s="180" t="s">
        <v>257</v>
      </c>
    </row>
    <row r="7795" spans="8:18" x14ac:dyDescent="0.2">
      <c r="H7795" s="180"/>
      <c r="P7795" s="180" t="s">
        <v>257</v>
      </c>
      <c r="R7795" s="180" t="s">
        <v>257</v>
      </c>
    </row>
    <row r="7796" spans="8:18" x14ac:dyDescent="0.2">
      <c r="H7796" s="180"/>
      <c r="P7796" s="180" t="s">
        <v>257</v>
      </c>
      <c r="R7796" s="180" t="s">
        <v>257</v>
      </c>
    </row>
    <row r="7797" spans="8:18" x14ac:dyDescent="0.2">
      <c r="H7797" s="180"/>
      <c r="P7797" s="180" t="s">
        <v>257</v>
      </c>
      <c r="R7797" s="180" t="s">
        <v>257</v>
      </c>
    </row>
    <row r="7798" spans="8:18" x14ac:dyDescent="0.2">
      <c r="H7798" s="180"/>
      <c r="P7798" s="180" t="s">
        <v>257</v>
      </c>
      <c r="R7798" s="180" t="s">
        <v>257</v>
      </c>
    </row>
    <row r="7799" spans="8:18" x14ac:dyDescent="0.2">
      <c r="H7799" s="180"/>
      <c r="P7799" s="180" t="s">
        <v>257</v>
      </c>
      <c r="R7799" s="180" t="s">
        <v>257</v>
      </c>
    </row>
    <row r="7800" spans="8:18" x14ac:dyDescent="0.2">
      <c r="H7800" s="180"/>
      <c r="P7800" s="180" t="s">
        <v>257</v>
      </c>
      <c r="R7800" s="180" t="s">
        <v>257</v>
      </c>
    </row>
    <row r="7801" spans="8:18" x14ac:dyDescent="0.2">
      <c r="H7801" s="180"/>
      <c r="P7801" s="180" t="s">
        <v>257</v>
      </c>
      <c r="R7801" s="180" t="s">
        <v>257</v>
      </c>
    </row>
    <row r="7802" spans="8:18" x14ac:dyDescent="0.2">
      <c r="H7802" s="180"/>
      <c r="P7802" s="180" t="s">
        <v>257</v>
      </c>
      <c r="R7802" s="180" t="s">
        <v>257</v>
      </c>
    </row>
    <row r="7803" spans="8:18" x14ac:dyDescent="0.2">
      <c r="H7803" s="180"/>
      <c r="P7803" s="180" t="s">
        <v>257</v>
      </c>
      <c r="R7803" s="180" t="s">
        <v>257</v>
      </c>
    </row>
    <row r="7804" spans="8:18" x14ac:dyDescent="0.2">
      <c r="H7804" s="180"/>
      <c r="P7804" s="180" t="s">
        <v>257</v>
      </c>
      <c r="R7804" s="180" t="s">
        <v>257</v>
      </c>
    </row>
    <row r="7805" spans="8:18" x14ac:dyDescent="0.2">
      <c r="H7805" s="180"/>
      <c r="P7805" s="180" t="s">
        <v>257</v>
      </c>
      <c r="R7805" s="180" t="s">
        <v>257</v>
      </c>
    </row>
    <row r="7806" spans="8:18" x14ac:dyDescent="0.2">
      <c r="H7806" s="180"/>
      <c r="P7806" s="180" t="s">
        <v>257</v>
      </c>
      <c r="R7806" s="180" t="s">
        <v>257</v>
      </c>
    </row>
    <row r="7807" spans="8:18" x14ac:dyDescent="0.2">
      <c r="H7807" s="180"/>
      <c r="P7807" s="180" t="s">
        <v>257</v>
      </c>
      <c r="R7807" s="180" t="s">
        <v>257</v>
      </c>
    </row>
    <row r="7808" spans="8:18" x14ac:dyDescent="0.2">
      <c r="H7808" s="180"/>
      <c r="P7808" s="180" t="s">
        <v>257</v>
      </c>
      <c r="R7808" s="180" t="s">
        <v>257</v>
      </c>
    </row>
    <row r="7809" spans="8:18" x14ac:dyDescent="0.2">
      <c r="H7809" s="180"/>
      <c r="P7809" s="180" t="s">
        <v>257</v>
      </c>
      <c r="R7809" s="180" t="s">
        <v>257</v>
      </c>
    </row>
    <row r="7810" spans="8:18" x14ac:dyDescent="0.2">
      <c r="H7810" s="180"/>
      <c r="P7810" s="180" t="s">
        <v>257</v>
      </c>
      <c r="R7810" s="180" t="s">
        <v>257</v>
      </c>
    </row>
    <row r="7811" spans="8:18" x14ac:dyDescent="0.2">
      <c r="H7811" s="180"/>
      <c r="P7811" s="180" t="s">
        <v>257</v>
      </c>
      <c r="R7811" s="180" t="s">
        <v>257</v>
      </c>
    </row>
    <row r="7812" spans="8:18" x14ac:dyDescent="0.2">
      <c r="H7812" s="180"/>
      <c r="P7812" s="180" t="s">
        <v>257</v>
      </c>
      <c r="R7812" s="180" t="s">
        <v>257</v>
      </c>
    </row>
    <row r="7813" spans="8:18" x14ac:dyDescent="0.2">
      <c r="H7813" s="180"/>
      <c r="P7813" s="180" t="s">
        <v>257</v>
      </c>
      <c r="R7813" s="180" t="s">
        <v>257</v>
      </c>
    </row>
    <row r="7814" spans="8:18" x14ac:dyDescent="0.2">
      <c r="H7814" s="180"/>
      <c r="P7814" s="180" t="s">
        <v>257</v>
      </c>
      <c r="R7814" s="180" t="s">
        <v>257</v>
      </c>
    </row>
    <row r="7815" spans="8:18" x14ac:dyDescent="0.2">
      <c r="H7815" s="180"/>
      <c r="P7815" s="180" t="s">
        <v>257</v>
      </c>
      <c r="R7815" s="180" t="s">
        <v>257</v>
      </c>
    </row>
    <row r="7816" spans="8:18" x14ac:dyDescent="0.2">
      <c r="H7816" s="180"/>
      <c r="P7816" s="180" t="s">
        <v>257</v>
      </c>
      <c r="R7816" s="180" t="s">
        <v>257</v>
      </c>
    </row>
    <row r="7817" spans="8:18" x14ac:dyDescent="0.2">
      <c r="H7817" s="180"/>
      <c r="P7817" s="180" t="s">
        <v>257</v>
      </c>
      <c r="R7817" s="180" t="s">
        <v>257</v>
      </c>
    </row>
    <row r="7818" spans="8:18" x14ac:dyDescent="0.2">
      <c r="H7818" s="180"/>
      <c r="P7818" s="180" t="s">
        <v>257</v>
      </c>
      <c r="R7818" s="180" t="s">
        <v>257</v>
      </c>
    </row>
    <row r="7819" spans="8:18" x14ac:dyDescent="0.2">
      <c r="H7819" s="180"/>
      <c r="P7819" s="180" t="s">
        <v>257</v>
      </c>
      <c r="R7819" s="180" t="s">
        <v>257</v>
      </c>
    </row>
    <row r="7820" spans="8:18" x14ac:dyDescent="0.2">
      <c r="H7820" s="180"/>
      <c r="P7820" s="180" t="s">
        <v>257</v>
      </c>
      <c r="R7820" s="180" t="s">
        <v>257</v>
      </c>
    </row>
    <row r="7821" spans="8:18" x14ac:dyDescent="0.2">
      <c r="H7821" s="180"/>
      <c r="P7821" s="180" t="s">
        <v>257</v>
      </c>
      <c r="R7821" s="180" t="s">
        <v>257</v>
      </c>
    </row>
    <row r="7822" spans="8:18" x14ac:dyDescent="0.2">
      <c r="H7822" s="180"/>
      <c r="P7822" s="180" t="s">
        <v>257</v>
      </c>
      <c r="R7822" s="180" t="s">
        <v>257</v>
      </c>
    </row>
    <row r="7823" spans="8:18" x14ac:dyDescent="0.2">
      <c r="H7823" s="180"/>
      <c r="P7823" s="180" t="s">
        <v>257</v>
      </c>
      <c r="R7823" s="180" t="s">
        <v>257</v>
      </c>
    </row>
    <row r="7824" spans="8:18" x14ac:dyDescent="0.2">
      <c r="H7824" s="180"/>
      <c r="P7824" s="180" t="s">
        <v>257</v>
      </c>
      <c r="R7824" s="180" t="s">
        <v>257</v>
      </c>
    </row>
    <row r="7825" spans="8:18" x14ac:dyDescent="0.2">
      <c r="H7825" s="180"/>
      <c r="P7825" s="180" t="s">
        <v>257</v>
      </c>
      <c r="R7825" s="180" t="s">
        <v>257</v>
      </c>
    </row>
    <row r="7826" spans="8:18" x14ac:dyDescent="0.2">
      <c r="H7826" s="180"/>
      <c r="P7826" s="180" t="s">
        <v>257</v>
      </c>
      <c r="R7826" s="180" t="s">
        <v>257</v>
      </c>
    </row>
    <row r="7827" spans="8:18" x14ac:dyDescent="0.2">
      <c r="H7827" s="180"/>
      <c r="P7827" s="180" t="s">
        <v>257</v>
      </c>
      <c r="R7827" s="180" t="s">
        <v>257</v>
      </c>
    </row>
    <row r="7828" spans="8:18" x14ac:dyDescent="0.2">
      <c r="H7828" s="180"/>
      <c r="P7828" s="180" t="s">
        <v>257</v>
      </c>
      <c r="R7828" s="180" t="s">
        <v>257</v>
      </c>
    </row>
    <row r="7829" spans="8:18" x14ac:dyDescent="0.2">
      <c r="H7829" s="180"/>
      <c r="P7829" s="180" t="s">
        <v>257</v>
      </c>
      <c r="R7829" s="180" t="s">
        <v>257</v>
      </c>
    </row>
    <row r="7830" spans="8:18" x14ac:dyDescent="0.2">
      <c r="H7830" s="180"/>
      <c r="P7830" s="180" t="s">
        <v>257</v>
      </c>
      <c r="R7830" s="180" t="s">
        <v>257</v>
      </c>
    </row>
    <row r="7831" spans="8:18" x14ac:dyDescent="0.2">
      <c r="H7831" s="180"/>
      <c r="P7831" s="180" t="s">
        <v>257</v>
      </c>
      <c r="R7831" s="180" t="s">
        <v>257</v>
      </c>
    </row>
    <row r="7832" spans="8:18" x14ac:dyDescent="0.2">
      <c r="H7832" s="180"/>
      <c r="P7832" s="180" t="s">
        <v>257</v>
      </c>
      <c r="R7832" s="180" t="s">
        <v>257</v>
      </c>
    </row>
    <row r="7833" spans="8:18" x14ac:dyDescent="0.2">
      <c r="H7833" s="180"/>
      <c r="P7833" s="180" t="s">
        <v>257</v>
      </c>
      <c r="R7833" s="180" t="s">
        <v>257</v>
      </c>
    </row>
    <row r="7834" spans="8:18" x14ac:dyDescent="0.2">
      <c r="H7834" s="180"/>
      <c r="P7834" s="180" t="s">
        <v>257</v>
      </c>
      <c r="R7834" s="180" t="s">
        <v>257</v>
      </c>
    </row>
    <row r="7835" spans="8:18" x14ac:dyDescent="0.2">
      <c r="H7835" s="180"/>
      <c r="P7835" s="180" t="s">
        <v>257</v>
      </c>
      <c r="R7835" s="180" t="s">
        <v>257</v>
      </c>
    </row>
    <row r="7836" spans="8:18" x14ac:dyDescent="0.2">
      <c r="H7836" s="180"/>
      <c r="P7836" s="180" t="s">
        <v>257</v>
      </c>
      <c r="R7836" s="180" t="s">
        <v>257</v>
      </c>
    </row>
    <row r="7837" spans="8:18" x14ac:dyDescent="0.2">
      <c r="H7837" s="180"/>
      <c r="P7837" s="180" t="s">
        <v>257</v>
      </c>
      <c r="R7837" s="180" t="s">
        <v>257</v>
      </c>
    </row>
    <row r="7838" spans="8:18" x14ac:dyDescent="0.2">
      <c r="H7838" s="180"/>
      <c r="P7838" s="180" t="s">
        <v>257</v>
      </c>
      <c r="R7838" s="180" t="s">
        <v>257</v>
      </c>
    </row>
    <row r="7839" spans="8:18" x14ac:dyDescent="0.2">
      <c r="H7839" s="180"/>
      <c r="P7839" s="180" t="s">
        <v>257</v>
      </c>
      <c r="R7839" s="180" t="s">
        <v>257</v>
      </c>
    </row>
    <row r="7840" spans="8:18" x14ac:dyDescent="0.2">
      <c r="H7840" s="180"/>
      <c r="P7840" s="180" t="s">
        <v>257</v>
      </c>
      <c r="R7840" s="180" t="s">
        <v>257</v>
      </c>
    </row>
    <row r="7841" spans="8:18" x14ac:dyDescent="0.2">
      <c r="H7841" s="180"/>
      <c r="P7841" s="180" t="s">
        <v>257</v>
      </c>
      <c r="R7841" s="180" t="s">
        <v>257</v>
      </c>
    </row>
    <row r="7842" spans="8:18" x14ac:dyDescent="0.2">
      <c r="H7842" s="180"/>
      <c r="P7842" s="180" t="s">
        <v>257</v>
      </c>
      <c r="R7842" s="180" t="s">
        <v>257</v>
      </c>
    </row>
    <row r="7843" spans="8:18" x14ac:dyDescent="0.2">
      <c r="H7843" s="180"/>
      <c r="P7843" s="180" t="s">
        <v>257</v>
      </c>
      <c r="R7843" s="180" t="s">
        <v>257</v>
      </c>
    </row>
    <row r="7844" spans="8:18" x14ac:dyDescent="0.2">
      <c r="H7844" s="180"/>
      <c r="P7844" s="180" t="s">
        <v>257</v>
      </c>
      <c r="R7844" s="180" t="s">
        <v>257</v>
      </c>
    </row>
    <row r="7845" spans="8:18" x14ac:dyDescent="0.2">
      <c r="H7845" s="180"/>
      <c r="P7845" s="180" t="s">
        <v>257</v>
      </c>
      <c r="R7845" s="180" t="s">
        <v>257</v>
      </c>
    </row>
    <row r="7846" spans="8:18" x14ac:dyDescent="0.2">
      <c r="H7846" s="180"/>
      <c r="P7846" s="180" t="s">
        <v>257</v>
      </c>
      <c r="R7846" s="180" t="s">
        <v>257</v>
      </c>
    </row>
    <row r="7847" spans="8:18" x14ac:dyDescent="0.2">
      <c r="H7847" s="180"/>
      <c r="P7847" s="180" t="s">
        <v>257</v>
      </c>
      <c r="R7847" s="180" t="s">
        <v>257</v>
      </c>
    </row>
    <row r="7848" spans="8:18" x14ac:dyDescent="0.2">
      <c r="H7848" s="180"/>
      <c r="P7848" s="180" t="s">
        <v>257</v>
      </c>
      <c r="R7848" s="180" t="s">
        <v>257</v>
      </c>
    </row>
    <row r="7849" spans="8:18" x14ac:dyDescent="0.2">
      <c r="H7849" s="180"/>
      <c r="P7849" s="180" t="s">
        <v>257</v>
      </c>
      <c r="R7849" s="180" t="s">
        <v>257</v>
      </c>
    </row>
    <row r="7850" spans="8:18" x14ac:dyDescent="0.2">
      <c r="H7850" s="180"/>
      <c r="P7850" s="180" t="s">
        <v>257</v>
      </c>
      <c r="R7850" s="180" t="s">
        <v>257</v>
      </c>
    </row>
    <row r="7851" spans="8:18" x14ac:dyDescent="0.2">
      <c r="H7851" s="180"/>
      <c r="P7851" s="180" t="s">
        <v>257</v>
      </c>
      <c r="R7851" s="180" t="s">
        <v>257</v>
      </c>
    </row>
    <row r="7852" spans="8:18" x14ac:dyDescent="0.2">
      <c r="H7852" s="180"/>
      <c r="P7852" s="180" t="s">
        <v>257</v>
      </c>
      <c r="R7852" s="180" t="s">
        <v>257</v>
      </c>
    </row>
    <row r="7853" spans="8:18" x14ac:dyDescent="0.2">
      <c r="H7853" s="180"/>
      <c r="P7853" s="180" t="s">
        <v>257</v>
      </c>
      <c r="R7853" s="180" t="s">
        <v>257</v>
      </c>
    </row>
    <row r="7854" spans="8:18" x14ac:dyDescent="0.2">
      <c r="H7854" s="180"/>
      <c r="P7854" s="180" t="s">
        <v>257</v>
      </c>
      <c r="R7854" s="180" t="s">
        <v>257</v>
      </c>
    </row>
    <row r="7855" spans="8:18" x14ac:dyDescent="0.2">
      <c r="H7855" s="180"/>
      <c r="P7855" s="180" t="s">
        <v>257</v>
      </c>
      <c r="R7855" s="180" t="s">
        <v>257</v>
      </c>
    </row>
    <row r="7856" spans="8:18" x14ac:dyDescent="0.2">
      <c r="H7856" s="180"/>
      <c r="P7856" s="180" t="s">
        <v>257</v>
      </c>
      <c r="R7856" s="180" t="s">
        <v>257</v>
      </c>
    </row>
    <row r="7857" spans="8:18" x14ac:dyDescent="0.2">
      <c r="H7857" s="180"/>
      <c r="P7857" s="180" t="s">
        <v>257</v>
      </c>
      <c r="R7857" s="180" t="s">
        <v>257</v>
      </c>
    </row>
    <row r="7858" spans="8:18" x14ac:dyDescent="0.2">
      <c r="H7858" s="180"/>
      <c r="P7858" s="180" t="s">
        <v>257</v>
      </c>
      <c r="R7858" s="180" t="s">
        <v>257</v>
      </c>
    </row>
    <row r="7859" spans="8:18" x14ac:dyDescent="0.2">
      <c r="H7859" s="180"/>
      <c r="P7859" s="180" t="s">
        <v>257</v>
      </c>
      <c r="R7859" s="180" t="s">
        <v>257</v>
      </c>
    </row>
    <row r="7860" spans="8:18" x14ac:dyDescent="0.2">
      <c r="H7860" s="180"/>
      <c r="P7860" s="180" t="s">
        <v>257</v>
      </c>
      <c r="R7860" s="180" t="s">
        <v>257</v>
      </c>
    </row>
    <row r="7861" spans="8:18" x14ac:dyDescent="0.2">
      <c r="H7861" s="180"/>
      <c r="P7861" s="180" t="s">
        <v>257</v>
      </c>
      <c r="R7861" s="180" t="s">
        <v>257</v>
      </c>
    </row>
    <row r="7862" spans="8:18" x14ac:dyDescent="0.2">
      <c r="H7862" s="180"/>
      <c r="P7862" s="180" t="s">
        <v>257</v>
      </c>
      <c r="R7862" s="180" t="s">
        <v>257</v>
      </c>
    </row>
    <row r="7863" spans="8:18" x14ac:dyDescent="0.2">
      <c r="H7863" s="180"/>
      <c r="P7863" s="180" t="s">
        <v>257</v>
      </c>
      <c r="R7863" s="180" t="s">
        <v>257</v>
      </c>
    </row>
    <row r="7864" spans="8:18" x14ac:dyDescent="0.2">
      <c r="H7864" s="180"/>
      <c r="P7864" s="180" t="s">
        <v>257</v>
      </c>
      <c r="R7864" s="180" t="s">
        <v>257</v>
      </c>
    </row>
    <row r="7865" spans="8:18" x14ac:dyDescent="0.2">
      <c r="H7865" s="180"/>
      <c r="P7865" s="180" t="s">
        <v>257</v>
      </c>
      <c r="R7865" s="180" t="s">
        <v>257</v>
      </c>
    </row>
    <row r="7866" spans="8:18" x14ac:dyDescent="0.2">
      <c r="H7866" s="180"/>
      <c r="P7866" s="180" t="s">
        <v>257</v>
      </c>
      <c r="R7866" s="180" t="s">
        <v>257</v>
      </c>
    </row>
    <row r="7867" spans="8:18" x14ac:dyDescent="0.2">
      <c r="H7867" s="180"/>
      <c r="P7867" s="180" t="s">
        <v>257</v>
      </c>
      <c r="R7867" s="180" t="s">
        <v>257</v>
      </c>
    </row>
    <row r="7868" spans="8:18" x14ac:dyDescent="0.2">
      <c r="H7868" s="180"/>
      <c r="P7868" s="180" t="s">
        <v>257</v>
      </c>
      <c r="R7868" s="180" t="s">
        <v>257</v>
      </c>
    </row>
    <row r="7869" spans="8:18" x14ac:dyDescent="0.2">
      <c r="H7869" s="180"/>
      <c r="P7869" s="180" t="s">
        <v>257</v>
      </c>
      <c r="R7869" s="180" t="s">
        <v>257</v>
      </c>
    </row>
    <row r="7870" spans="8:18" x14ac:dyDescent="0.2">
      <c r="H7870" s="180"/>
      <c r="P7870" s="180" t="s">
        <v>257</v>
      </c>
      <c r="R7870" s="180" t="s">
        <v>257</v>
      </c>
    </row>
    <row r="7871" spans="8:18" x14ac:dyDescent="0.2">
      <c r="H7871" s="180"/>
      <c r="P7871" s="180" t="s">
        <v>257</v>
      </c>
      <c r="R7871" s="180" t="s">
        <v>257</v>
      </c>
    </row>
    <row r="7872" spans="8:18" x14ac:dyDescent="0.2">
      <c r="H7872" s="180"/>
      <c r="P7872" s="180" t="s">
        <v>257</v>
      </c>
      <c r="R7872" s="180" t="s">
        <v>257</v>
      </c>
    </row>
    <row r="7873" spans="8:18" x14ac:dyDescent="0.2">
      <c r="H7873" s="180"/>
      <c r="P7873" s="180" t="s">
        <v>257</v>
      </c>
      <c r="R7873" s="180" t="s">
        <v>257</v>
      </c>
    </row>
    <row r="7874" spans="8:18" x14ac:dyDescent="0.2">
      <c r="H7874" s="180"/>
      <c r="P7874" s="180" t="s">
        <v>257</v>
      </c>
      <c r="R7874" s="180" t="s">
        <v>257</v>
      </c>
    </row>
    <row r="7875" spans="8:18" x14ac:dyDescent="0.2">
      <c r="H7875" s="180"/>
      <c r="P7875" s="180" t="s">
        <v>257</v>
      </c>
      <c r="R7875" s="180" t="s">
        <v>257</v>
      </c>
    </row>
    <row r="7876" spans="8:18" x14ac:dyDescent="0.2">
      <c r="H7876" s="180"/>
      <c r="P7876" s="180" t="s">
        <v>257</v>
      </c>
      <c r="R7876" s="180" t="s">
        <v>257</v>
      </c>
    </row>
    <row r="7877" spans="8:18" x14ac:dyDescent="0.2">
      <c r="H7877" s="180"/>
      <c r="P7877" s="180" t="s">
        <v>257</v>
      </c>
      <c r="R7877" s="180" t="s">
        <v>257</v>
      </c>
    </row>
    <row r="7878" spans="8:18" x14ac:dyDescent="0.2">
      <c r="H7878" s="180"/>
      <c r="P7878" s="180" t="s">
        <v>257</v>
      </c>
      <c r="R7878" s="180" t="s">
        <v>257</v>
      </c>
    </row>
    <row r="7879" spans="8:18" x14ac:dyDescent="0.2">
      <c r="H7879" s="180"/>
      <c r="P7879" s="180" t="s">
        <v>257</v>
      </c>
      <c r="R7879" s="180" t="s">
        <v>257</v>
      </c>
    </row>
    <row r="7880" spans="8:18" x14ac:dyDescent="0.2">
      <c r="H7880" s="180"/>
      <c r="P7880" s="180" t="s">
        <v>257</v>
      </c>
      <c r="R7880" s="180" t="s">
        <v>257</v>
      </c>
    </row>
    <row r="7881" spans="8:18" x14ac:dyDescent="0.2">
      <c r="H7881" s="180"/>
      <c r="P7881" s="180" t="s">
        <v>257</v>
      </c>
      <c r="R7881" s="180" t="s">
        <v>257</v>
      </c>
    </row>
    <row r="7882" spans="8:18" x14ac:dyDescent="0.2">
      <c r="H7882" s="180"/>
      <c r="P7882" s="180" t="s">
        <v>257</v>
      </c>
      <c r="R7882" s="180" t="s">
        <v>257</v>
      </c>
    </row>
    <row r="7883" spans="8:18" x14ac:dyDescent="0.2">
      <c r="H7883" s="180"/>
      <c r="P7883" s="180" t="s">
        <v>257</v>
      </c>
      <c r="R7883" s="180" t="s">
        <v>257</v>
      </c>
    </row>
    <row r="7884" spans="8:18" x14ac:dyDescent="0.2">
      <c r="H7884" s="180"/>
      <c r="P7884" s="180" t="s">
        <v>257</v>
      </c>
      <c r="R7884" s="180" t="s">
        <v>257</v>
      </c>
    </row>
    <row r="7885" spans="8:18" x14ac:dyDescent="0.2">
      <c r="H7885" s="180"/>
      <c r="P7885" s="180" t="s">
        <v>257</v>
      </c>
      <c r="R7885" s="180" t="s">
        <v>257</v>
      </c>
    </row>
    <row r="7886" spans="8:18" x14ac:dyDescent="0.2">
      <c r="H7886" s="180"/>
      <c r="P7886" s="180" t="s">
        <v>257</v>
      </c>
      <c r="R7886" s="180" t="s">
        <v>257</v>
      </c>
    </row>
    <row r="7887" spans="8:18" x14ac:dyDescent="0.2">
      <c r="H7887" s="180"/>
      <c r="P7887" s="180" t="s">
        <v>257</v>
      </c>
      <c r="R7887" s="180" t="s">
        <v>257</v>
      </c>
    </row>
    <row r="7888" spans="8:18" x14ac:dyDescent="0.2">
      <c r="H7888" s="180"/>
      <c r="P7888" s="180" t="s">
        <v>257</v>
      </c>
      <c r="R7888" s="180" t="s">
        <v>257</v>
      </c>
    </row>
    <row r="7889" spans="8:18" x14ac:dyDescent="0.2">
      <c r="H7889" s="180"/>
      <c r="P7889" s="180" t="s">
        <v>257</v>
      </c>
      <c r="R7889" s="180" t="s">
        <v>257</v>
      </c>
    </row>
    <row r="7890" spans="8:18" x14ac:dyDescent="0.2">
      <c r="H7890" s="180"/>
      <c r="P7890" s="180" t="s">
        <v>257</v>
      </c>
      <c r="R7890" s="180" t="s">
        <v>257</v>
      </c>
    </row>
    <row r="7891" spans="8:18" x14ac:dyDescent="0.2">
      <c r="H7891" s="180"/>
      <c r="P7891" s="180" t="s">
        <v>257</v>
      </c>
      <c r="R7891" s="180" t="s">
        <v>257</v>
      </c>
    </row>
    <row r="7892" spans="8:18" x14ac:dyDescent="0.2">
      <c r="H7892" s="180"/>
      <c r="P7892" s="180" t="s">
        <v>257</v>
      </c>
      <c r="R7892" s="180" t="s">
        <v>257</v>
      </c>
    </row>
    <row r="7893" spans="8:18" x14ac:dyDescent="0.2">
      <c r="H7893" s="180"/>
      <c r="P7893" s="180" t="s">
        <v>257</v>
      </c>
      <c r="R7893" s="180" t="s">
        <v>257</v>
      </c>
    </row>
    <row r="7894" spans="8:18" x14ac:dyDescent="0.2">
      <c r="H7894" s="180"/>
      <c r="P7894" s="180" t="s">
        <v>257</v>
      </c>
      <c r="R7894" s="180" t="s">
        <v>257</v>
      </c>
    </row>
    <row r="7895" spans="8:18" x14ac:dyDescent="0.2">
      <c r="H7895" s="180"/>
      <c r="P7895" s="180" t="s">
        <v>257</v>
      </c>
      <c r="R7895" s="180" t="s">
        <v>257</v>
      </c>
    </row>
    <row r="7896" spans="8:18" x14ac:dyDescent="0.2">
      <c r="H7896" s="180"/>
      <c r="P7896" s="180" t="s">
        <v>257</v>
      </c>
      <c r="R7896" s="180" t="s">
        <v>257</v>
      </c>
    </row>
    <row r="7897" spans="8:18" x14ac:dyDescent="0.2">
      <c r="H7897" s="180"/>
      <c r="P7897" s="180" t="s">
        <v>257</v>
      </c>
      <c r="R7897" s="180" t="s">
        <v>257</v>
      </c>
    </row>
    <row r="7898" spans="8:18" x14ac:dyDescent="0.2">
      <c r="H7898" s="180"/>
      <c r="P7898" s="180" t="s">
        <v>257</v>
      </c>
      <c r="R7898" s="180" t="s">
        <v>257</v>
      </c>
    </row>
    <row r="7899" spans="8:18" x14ac:dyDescent="0.2">
      <c r="H7899" s="180"/>
      <c r="P7899" s="180" t="s">
        <v>257</v>
      </c>
      <c r="R7899" s="180" t="s">
        <v>257</v>
      </c>
    </row>
    <row r="7900" spans="8:18" x14ac:dyDescent="0.2">
      <c r="H7900" s="180"/>
      <c r="P7900" s="180" t="s">
        <v>257</v>
      </c>
      <c r="R7900" s="180" t="s">
        <v>257</v>
      </c>
    </row>
    <row r="7901" spans="8:18" x14ac:dyDescent="0.2">
      <c r="H7901" s="180"/>
      <c r="P7901" s="180" t="s">
        <v>257</v>
      </c>
      <c r="R7901" s="180" t="s">
        <v>257</v>
      </c>
    </row>
    <row r="7902" spans="8:18" x14ac:dyDescent="0.2">
      <c r="H7902" s="180"/>
      <c r="P7902" s="180" t="s">
        <v>257</v>
      </c>
      <c r="R7902" s="180" t="s">
        <v>257</v>
      </c>
    </row>
    <row r="7903" spans="8:18" x14ac:dyDescent="0.2">
      <c r="H7903" s="180"/>
      <c r="P7903" s="180" t="s">
        <v>257</v>
      </c>
      <c r="R7903" s="180" t="s">
        <v>257</v>
      </c>
    </row>
    <row r="7904" spans="8:18" x14ac:dyDescent="0.2">
      <c r="H7904" s="180"/>
      <c r="P7904" s="180" t="s">
        <v>257</v>
      </c>
      <c r="R7904" s="180" t="s">
        <v>257</v>
      </c>
    </row>
    <row r="7905" spans="8:18" x14ac:dyDescent="0.2">
      <c r="H7905" s="180"/>
      <c r="P7905" s="180" t="s">
        <v>257</v>
      </c>
      <c r="R7905" s="180" t="s">
        <v>257</v>
      </c>
    </row>
    <row r="7906" spans="8:18" x14ac:dyDescent="0.2">
      <c r="H7906" s="180"/>
      <c r="P7906" s="180" t="s">
        <v>257</v>
      </c>
      <c r="R7906" s="180" t="s">
        <v>257</v>
      </c>
    </row>
    <row r="7907" spans="8:18" x14ac:dyDescent="0.2">
      <c r="H7907" s="180"/>
      <c r="P7907" s="180" t="s">
        <v>257</v>
      </c>
      <c r="R7907" s="180" t="s">
        <v>257</v>
      </c>
    </row>
    <row r="7908" spans="8:18" x14ac:dyDescent="0.2">
      <c r="H7908" s="180"/>
      <c r="P7908" s="180" t="s">
        <v>257</v>
      </c>
      <c r="R7908" s="180" t="s">
        <v>257</v>
      </c>
    </row>
    <row r="7909" spans="8:18" x14ac:dyDescent="0.2">
      <c r="H7909" s="180"/>
      <c r="P7909" s="180" t="s">
        <v>257</v>
      </c>
      <c r="R7909" s="180" t="s">
        <v>257</v>
      </c>
    </row>
    <row r="7910" spans="8:18" x14ac:dyDescent="0.2">
      <c r="H7910" s="180"/>
      <c r="P7910" s="180" t="s">
        <v>257</v>
      </c>
      <c r="R7910" s="180" t="s">
        <v>257</v>
      </c>
    </row>
    <row r="7911" spans="8:18" x14ac:dyDescent="0.2">
      <c r="H7911" s="180"/>
      <c r="P7911" s="180" t="s">
        <v>257</v>
      </c>
      <c r="R7911" s="180" t="s">
        <v>257</v>
      </c>
    </row>
    <row r="7912" spans="8:18" x14ac:dyDescent="0.2">
      <c r="H7912" s="180"/>
      <c r="P7912" s="180" t="s">
        <v>257</v>
      </c>
      <c r="R7912" s="180" t="s">
        <v>257</v>
      </c>
    </row>
    <row r="7913" spans="8:18" x14ac:dyDescent="0.2">
      <c r="H7913" s="180"/>
      <c r="P7913" s="180" t="s">
        <v>257</v>
      </c>
      <c r="R7913" s="180" t="s">
        <v>257</v>
      </c>
    </row>
    <row r="7914" spans="8:18" x14ac:dyDescent="0.2">
      <c r="H7914" s="180"/>
      <c r="P7914" s="180" t="s">
        <v>257</v>
      </c>
      <c r="R7914" s="180" t="s">
        <v>257</v>
      </c>
    </row>
    <row r="7915" spans="8:18" x14ac:dyDescent="0.2">
      <c r="H7915" s="180"/>
      <c r="P7915" s="180" t="s">
        <v>257</v>
      </c>
      <c r="R7915" s="180" t="s">
        <v>257</v>
      </c>
    </row>
    <row r="7916" spans="8:18" x14ac:dyDescent="0.2">
      <c r="H7916" s="180"/>
      <c r="P7916" s="180" t="s">
        <v>257</v>
      </c>
      <c r="R7916" s="180" t="s">
        <v>257</v>
      </c>
    </row>
    <row r="7917" spans="8:18" x14ac:dyDescent="0.2">
      <c r="H7917" s="180"/>
      <c r="P7917" s="180" t="s">
        <v>257</v>
      </c>
      <c r="R7917" s="180" t="s">
        <v>257</v>
      </c>
    </row>
    <row r="7918" spans="8:18" x14ac:dyDescent="0.2">
      <c r="H7918" s="180"/>
      <c r="P7918" s="180" t="s">
        <v>257</v>
      </c>
      <c r="R7918" s="180" t="s">
        <v>257</v>
      </c>
    </row>
    <row r="7919" spans="8:18" x14ac:dyDescent="0.2">
      <c r="H7919" s="180"/>
      <c r="P7919" s="180" t="s">
        <v>257</v>
      </c>
      <c r="R7919" s="180" t="s">
        <v>257</v>
      </c>
    </row>
    <row r="7920" spans="8:18" x14ac:dyDescent="0.2">
      <c r="H7920" s="180"/>
      <c r="P7920" s="180" t="s">
        <v>257</v>
      </c>
      <c r="R7920" s="180" t="s">
        <v>257</v>
      </c>
    </row>
    <row r="7921" spans="8:18" x14ac:dyDescent="0.2">
      <c r="H7921" s="180"/>
      <c r="P7921" s="180" t="s">
        <v>257</v>
      </c>
      <c r="R7921" s="180" t="s">
        <v>257</v>
      </c>
    </row>
    <row r="7922" spans="8:18" x14ac:dyDescent="0.2">
      <c r="H7922" s="180"/>
      <c r="P7922" s="180" t="s">
        <v>257</v>
      </c>
      <c r="R7922" s="180" t="s">
        <v>257</v>
      </c>
    </row>
    <row r="7923" spans="8:18" x14ac:dyDescent="0.2">
      <c r="H7923" s="180"/>
      <c r="P7923" s="180" t="s">
        <v>257</v>
      </c>
      <c r="R7923" s="180" t="s">
        <v>257</v>
      </c>
    </row>
    <row r="7924" spans="8:18" x14ac:dyDescent="0.2">
      <c r="H7924" s="180"/>
      <c r="P7924" s="180" t="s">
        <v>257</v>
      </c>
      <c r="R7924" s="180" t="s">
        <v>257</v>
      </c>
    </row>
    <row r="7925" spans="8:18" x14ac:dyDescent="0.2">
      <c r="H7925" s="180"/>
      <c r="P7925" s="180" t="s">
        <v>257</v>
      </c>
      <c r="R7925" s="180" t="s">
        <v>257</v>
      </c>
    </row>
    <row r="7926" spans="8:18" x14ac:dyDescent="0.2">
      <c r="H7926" s="180"/>
      <c r="P7926" s="180" t="s">
        <v>257</v>
      </c>
      <c r="R7926" s="180" t="s">
        <v>257</v>
      </c>
    </row>
    <row r="7927" spans="8:18" x14ac:dyDescent="0.2">
      <c r="H7927" s="180"/>
      <c r="P7927" s="180" t="s">
        <v>257</v>
      </c>
      <c r="R7927" s="180" t="s">
        <v>257</v>
      </c>
    </row>
    <row r="7928" spans="8:18" x14ac:dyDescent="0.2">
      <c r="H7928" s="180"/>
      <c r="P7928" s="180" t="s">
        <v>257</v>
      </c>
      <c r="R7928" s="180" t="s">
        <v>257</v>
      </c>
    </row>
    <row r="7929" spans="8:18" x14ac:dyDescent="0.2">
      <c r="H7929" s="180"/>
      <c r="P7929" s="180" t="s">
        <v>257</v>
      </c>
      <c r="R7929" s="180" t="s">
        <v>257</v>
      </c>
    </row>
    <row r="7930" spans="8:18" x14ac:dyDescent="0.2">
      <c r="H7930" s="180"/>
      <c r="P7930" s="180" t="s">
        <v>257</v>
      </c>
      <c r="R7930" s="180" t="s">
        <v>257</v>
      </c>
    </row>
    <row r="7931" spans="8:18" x14ac:dyDescent="0.2">
      <c r="H7931" s="180"/>
      <c r="P7931" s="180" t="s">
        <v>257</v>
      </c>
      <c r="R7931" s="180" t="s">
        <v>257</v>
      </c>
    </row>
    <row r="7932" spans="8:18" x14ac:dyDescent="0.2">
      <c r="H7932" s="180"/>
      <c r="P7932" s="180" t="s">
        <v>257</v>
      </c>
      <c r="R7932" s="180" t="s">
        <v>257</v>
      </c>
    </row>
    <row r="7933" spans="8:18" x14ac:dyDescent="0.2">
      <c r="H7933" s="180"/>
      <c r="P7933" s="180" t="s">
        <v>257</v>
      </c>
      <c r="R7933" s="180" t="s">
        <v>257</v>
      </c>
    </row>
    <row r="7934" spans="8:18" x14ac:dyDescent="0.2">
      <c r="H7934" s="180"/>
      <c r="P7934" s="180" t="s">
        <v>257</v>
      </c>
      <c r="R7934" s="180" t="s">
        <v>257</v>
      </c>
    </row>
    <row r="7935" spans="8:18" x14ac:dyDescent="0.2">
      <c r="H7935" s="180"/>
      <c r="P7935" s="180" t="s">
        <v>257</v>
      </c>
      <c r="R7935" s="180" t="s">
        <v>257</v>
      </c>
    </row>
    <row r="7936" spans="8:18" x14ac:dyDescent="0.2">
      <c r="H7936" s="180"/>
      <c r="P7936" s="180" t="s">
        <v>257</v>
      </c>
      <c r="R7936" s="180" t="s">
        <v>257</v>
      </c>
    </row>
    <row r="7937" spans="8:18" x14ac:dyDescent="0.2">
      <c r="H7937" s="180"/>
      <c r="P7937" s="180" t="s">
        <v>257</v>
      </c>
      <c r="R7937" s="180" t="s">
        <v>257</v>
      </c>
    </row>
    <row r="7938" spans="8:18" x14ac:dyDescent="0.2">
      <c r="H7938" s="180"/>
      <c r="P7938" s="180" t="s">
        <v>257</v>
      </c>
      <c r="R7938" s="180" t="s">
        <v>257</v>
      </c>
    </row>
    <row r="7939" spans="8:18" x14ac:dyDescent="0.2">
      <c r="H7939" s="180"/>
      <c r="P7939" s="180" t="s">
        <v>257</v>
      </c>
      <c r="R7939" s="180" t="s">
        <v>257</v>
      </c>
    </row>
    <row r="7940" spans="8:18" x14ac:dyDescent="0.2">
      <c r="H7940" s="180"/>
      <c r="P7940" s="180" t="s">
        <v>257</v>
      </c>
      <c r="R7940" s="180" t="s">
        <v>257</v>
      </c>
    </row>
    <row r="7941" spans="8:18" x14ac:dyDescent="0.2">
      <c r="H7941" s="180"/>
      <c r="P7941" s="180" t="s">
        <v>257</v>
      </c>
      <c r="R7941" s="180" t="s">
        <v>257</v>
      </c>
    </row>
    <row r="7942" spans="8:18" x14ac:dyDescent="0.2">
      <c r="H7942" s="180"/>
      <c r="P7942" s="180" t="s">
        <v>257</v>
      </c>
      <c r="R7942" s="180" t="s">
        <v>257</v>
      </c>
    </row>
    <row r="7943" spans="8:18" x14ac:dyDescent="0.2">
      <c r="H7943" s="180"/>
      <c r="P7943" s="180" t="s">
        <v>257</v>
      </c>
      <c r="R7943" s="180" t="s">
        <v>257</v>
      </c>
    </row>
    <row r="7944" spans="8:18" x14ac:dyDescent="0.2">
      <c r="H7944" s="180"/>
      <c r="P7944" s="180" t="s">
        <v>257</v>
      </c>
      <c r="R7944" s="180" t="s">
        <v>257</v>
      </c>
    </row>
    <row r="7945" spans="8:18" x14ac:dyDescent="0.2">
      <c r="H7945" s="180"/>
      <c r="P7945" s="180" t="s">
        <v>257</v>
      </c>
      <c r="R7945" s="180" t="s">
        <v>257</v>
      </c>
    </row>
    <row r="7946" spans="8:18" x14ac:dyDescent="0.2">
      <c r="H7946" s="180"/>
      <c r="P7946" s="180" t="s">
        <v>257</v>
      </c>
      <c r="R7946" s="180" t="s">
        <v>257</v>
      </c>
    </row>
    <row r="7947" spans="8:18" x14ac:dyDescent="0.2">
      <c r="H7947" s="180"/>
      <c r="P7947" s="180" t="s">
        <v>257</v>
      </c>
      <c r="R7947" s="180" t="s">
        <v>257</v>
      </c>
    </row>
    <row r="7948" spans="8:18" x14ac:dyDescent="0.2">
      <c r="H7948" s="180"/>
      <c r="P7948" s="180" t="s">
        <v>257</v>
      </c>
      <c r="R7948" s="180" t="s">
        <v>257</v>
      </c>
    </row>
    <row r="7949" spans="8:18" x14ac:dyDescent="0.2">
      <c r="H7949" s="180"/>
      <c r="P7949" s="180" t="s">
        <v>257</v>
      </c>
      <c r="R7949" s="180" t="s">
        <v>257</v>
      </c>
    </row>
    <row r="7950" spans="8:18" x14ac:dyDescent="0.2">
      <c r="H7950" s="180"/>
      <c r="P7950" s="180" t="s">
        <v>257</v>
      </c>
      <c r="R7950" s="180" t="s">
        <v>257</v>
      </c>
    </row>
    <row r="7951" spans="8:18" x14ac:dyDescent="0.2">
      <c r="H7951" s="180"/>
      <c r="P7951" s="180" t="s">
        <v>257</v>
      </c>
      <c r="R7951" s="180" t="s">
        <v>257</v>
      </c>
    </row>
    <row r="7952" spans="8:18" x14ac:dyDescent="0.2">
      <c r="H7952" s="180"/>
      <c r="P7952" s="180" t="s">
        <v>257</v>
      </c>
      <c r="R7952" s="180" t="s">
        <v>257</v>
      </c>
    </row>
    <row r="7953" spans="8:18" x14ac:dyDescent="0.2">
      <c r="H7953" s="180"/>
      <c r="P7953" s="180" t="s">
        <v>257</v>
      </c>
      <c r="R7953" s="180" t="s">
        <v>257</v>
      </c>
    </row>
    <row r="7954" spans="8:18" x14ac:dyDescent="0.2">
      <c r="H7954" s="180"/>
      <c r="P7954" s="180" t="s">
        <v>257</v>
      </c>
      <c r="R7954" s="180" t="s">
        <v>257</v>
      </c>
    </row>
    <row r="7955" spans="8:18" x14ac:dyDescent="0.2">
      <c r="H7955" s="180"/>
      <c r="P7955" s="180" t="s">
        <v>257</v>
      </c>
      <c r="R7955" s="180" t="s">
        <v>257</v>
      </c>
    </row>
    <row r="7956" spans="8:18" x14ac:dyDescent="0.2">
      <c r="H7956" s="180"/>
      <c r="P7956" s="180" t="s">
        <v>257</v>
      </c>
      <c r="R7956" s="180" t="s">
        <v>257</v>
      </c>
    </row>
    <row r="7957" spans="8:18" x14ac:dyDescent="0.2">
      <c r="H7957" s="180"/>
      <c r="P7957" s="180" t="s">
        <v>257</v>
      </c>
      <c r="R7957" s="180" t="s">
        <v>257</v>
      </c>
    </row>
    <row r="7958" spans="8:18" x14ac:dyDescent="0.2">
      <c r="H7958" s="180"/>
      <c r="P7958" s="180" t="s">
        <v>257</v>
      </c>
      <c r="R7958" s="180" t="s">
        <v>257</v>
      </c>
    </row>
    <row r="7959" spans="8:18" x14ac:dyDescent="0.2">
      <c r="H7959" s="180"/>
      <c r="P7959" s="180" t="s">
        <v>257</v>
      </c>
      <c r="R7959" s="180" t="s">
        <v>257</v>
      </c>
    </row>
    <row r="7960" spans="8:18" x14ac:dyDescent="0.2">
      <c r="H7960" s="180"/>
      <c r="P7960" s="180" t="s">
        <v>257</v>
      </c>
      <c r="R7960" s="180" t="s">
        <v>257</v>
      </c>
    </row>
    <row r="7961" spans="8:18" x14ac:dyDescent="0.2">
      <c r="H7961" s="180"/>
      <c r="P7961" s="180" t="s">
        <v>257</v>
      </c>
      <c r="R7961" s="180" t="s">
        <v>257</v>
      </c>
    </row>
    <row r="7962" spans="8:18" x14ac:dyDescent="0.2">
      <c r="H7962" s="180"/>
      <c r="P7962" s="180" t="s">
        <v>257</v>
      </c>
      <c r="R7962" s="180" t="s">
        <v>257</v>
      </c>
    </row>
    <row r="7963" spans="8:18" x14ac:dyDescent="0.2">
      <c r="H7963" s="180"/>
      <c r="P7963" s="180" t="s">
        <v>257</v>
      </c>
      <c r="R7963" s="180" t="s">
        <v>257</v>
      </c>
    </row>
    <row r="7964" spans="8:18" x14ac:dyDescent="0.2">
      <c r="H7964" s="180"/>
      <c r="P7964" s="180" t="s">
        <v>257</v>
      </c>
      <c r="R7964" s="180" t="s">
        <v>257</v>
      </c>
    </row>
    <row r="7965" spans="8:18" x14ac:dyDescent="0.2">
      <c r="H7965" s="180"/>
      <c r="P7965" s="180" t="s">
        <v>257</v>
      </c>
      <c r="R7965" s="180" t="s">
        <v>257</v>
      </c>
    </row>
    <row r="7966" spans="8:18" x14ac:dyDescent="0.2">
      <c r="H7966" s="180"/>
      <c r="P7966" s="180" t="s">
        <v>257</v>
      </c>
      <c r="R7966" s="180" t="s">
        <v>257</v>
      </c>
    </row>
    <row r="7967" spans="8:18" x14ac:dyDescent="0.2">
      <c r="H7967" s="180"/>
      <c r="P7967" s="180" t="s">
        <v>257</v>
      </c>
      <c r="R7967" s="180" t="s">
        <v>257</v>
      </c>
    </row>
    <row r="7968" spans="8:18" x14ac:dyDescent="0.2">
      <c r="H7968" s="180"/>
      <c r="P7968" s="180" t="s">
        <v>257</v>
      </c>
      <c r="R7968" s="180" t="s">
        <v>257</v>
      </c>
    </row>
    <row r="7969" spans="8:18" x14ac:dyDescent="0.2">
      <c r="H7969" s="180"/>
      <c r="P7969" s="180" t="s">
        <v>257</v>
      </c>
      <c r="R7969" s="180" t="s">
        <v>257</v>
      </c>
    </row>
    <row r="7970" spans="8:18" x14ac:dyDescent="0.2">
      <c r="H7970" s="180"/>
      <c r="P7970" s="180" t="s">
        <v>257</v>
      </c>
      <c r="R7970" s="180" t="s">
        <v>257</v>
      </c>
    </row>
    <row r="7971" spans="8:18" x14ac:dyDescent="0.2">
      <c r="H7971" s="180"/>
      <c r="P7971" s="180" t="s">
        <v>257</v>
      </c>
      <c r="R7971" s="180" t="s">
        <v>257</v>
      </c>
    </row>
    <row r="7972" spans="8:18" x14ac:dyDescent="0.2">
      <c r="H7972" s="180"/>
      <c r="P7972" s="180" t="s">
        <v>257</v>
      </c>
      <c r="R7972" s="180" t="s">
        <v>257</v>
      </c>
    </row>
    <row r="7973" spans="8:18" x14ac:dyDescent="0.2">
      <c r="H7973" s="180"/>
      <c r="P7973" s="180" t="s">
        <v>257</v>
      </c>
      <c r="R7973" s="180" t="s">
        <v>257</v>
      </c>
    </row>
    <row r="7974" spans="8:18" x14ac:dyDescent="0.2">
      <c r="H7974" s="180"/>
      <c r="P7974" s="180" t="s">
        <v>257</v>
      </c>
      <c r="R7974" s="180" t="s">
        <v>257</v>
      </c>
    </row>
    <row r="7975" spans="8:18" x14ac:dyDescent="0.2">
      <c r="H7975" s="180"/>
      <c r="P7975" s="180" t="s">
        <v>257</v>
      </c>
      <c r="R7975" s="180" t="s">
        <v>257</v>
      </c>
    </row>
    <row r="7976" spans="8:18" x14ac:dyDescent="0.2">
      <c r="H7976" s="180"/>
      <c r="P7976" s="180" t="s">
        <v>257</v>
      </c>
      <c r="R7976" s="180" t="s">
        <v>257</v>
      </c>
    </row>
    <row r="7977" spans="8:18" x14ac:dyDescent="0.2">
      <c r="H7977" s="180"/>
      <c r="P7977" s="180" t="s">
        <v>257</v>
      </c>
      <c r="R7977" s="180" t="s">
        <v>257</v>
      </c>
    </row>
    <row r="7978" spans="8:18" x14ac:dyDescent="0.2">
      <c r="H7978" s="180"/>
      <c r="P7978" s="180" t="s">
        <v>257</v>
      </c>
      <c r="R7978" s="180" t="s">
        <v>257</v>
      </c>
    </row>
    <row r="7979" spans="8:18" x14ac:dyDescent="0.2">
      <c r="H7979" s="180"/>
      <c r="P7979" s="180" t="s">
        <v>257</v>
      </c>
      <c r="R7979" s="180" t="s">
        <v>257</v>
      </c>
    </row>
    <row r="7980" spans="8:18" x14ac:dyDescent="0.2">
      <c r="H7980" s="180"/>
      <c r="P7980" s="180" t="s">
        <v>257</v>
      </c>
      <c r="R7980" s="180" t="s">
        <v>257</v>
      </c>
    </row>
    <row r="7981" spans="8:18" x14ac:dyDescent="0.2">
      <c r="H7981" s="180"/>
      <c r="P7981" s="180" t="s">
        <v>257</v>
      </c>
      <c r="R7981" s="180" t="s">
        <v>257</v>
      </c>
    </row>
    <row r="7982" spans="8:18" x14ac:dyDescent="0.2">
      <c r="H7982" s="180"/>
      <c r="P7982" s="180" t="s">
        <v>257</v>
      </c>
      <c r="R7982" s="180" t="s">
        <v>257</v>
      </c>
    </row>
    <row r="7983" spans="8:18" x14ac:dyDescent="0.2">
      <c r="H7983" s="180"/>
      <c r="P7983" s="180" t="s">
        <v>257</v>
      </c>
      <c r="R7983" s="180" t="s">
        <v>257</v>
      </c>
    </row>
    <row r="7984" spans="8:18" x14ac:dyDescent="0.2">
      <c r="H7984" s="180"/>
      <c r="P7984" s="180" t="s">
        <v>257</v>
      </c>
      <c r="R7984" s="180" t="s">
        <v>257</v>
      </c>
    </row>
    <row r="7985" spans="8:18" x14ac:dyDescent="0.2">
      <c r="H7985" s="180"/>
      <c r="P7985" s="180" t="s">
        <v>257</v>
      </c>
      <c r="R7985" s="180" t="s">
        <v>257</v>
      </c>
    </row>
    <row r="7986" spans="8:18" x14ac:dyDescent="0.2">
      <c r="H7986" s="180"/>
      <c r="P7986" s="180" t="s">
        <v>257</v>
      </c>
      <c r="R7986" s="180" t="s">
        <v>257</v>
      </c>
    </row>
    <row r="7987" spans="8:18" x14ac:dyDescent="0.2">
      <c r="H7987" s="180"/>
      <c r="P7987" s="180" t="s">
        <v>257</v>
      </c>
      <c r="R7987" s="180" t="s">
        <v>257</v>
      </c>
    </row>
    <row r="7988" spans="8:18" x14ac:dyDescent="0.2">
      <c r="H7988" s="180"/>
      <c r="P7988" s="180" t="s">
        <v>257</v>
      </c>
      <c r="R7988" s="180" t="s">
        <v>257</v>
      </c>
    </row>
    <row r="7989" spans="8:18" x14ac:dyDescent="0.2">
      <c r="H7989" s="180"/>
      <c r="P7989" s="180" t="s">
        <v>257</v>
      </c>
      <c r="R7989" s="180" t="s">
        <v>257</v>
      </c>
    </row>
    <row r="7990" spans="8:18" x14ac:dyDescent="0.2">
      <c r="H7990" s="180"/>
      <c r="P7990" s="180" t="s">
        <v>257</v>
      </c>
      <c r="R7990" s="180" t="s">
        <v>257</v>
      </c>
    </row>
    <row r="7991" spans="8:18" x14ac:dyDescent="0.2">
      <c r="H7991" s="180"/>
      <c r="P7991" s="180" t="s">
        <v>257</v>
      </c>
      <c r="R7991" s="180" t="s">
        <v>257</v>
      </c>
    </row>
    <row r="7992" spans="8:18" x14ac:dyDescent="0.2">
      <c r="H7992" s="180"/>
      <c r="P7992" s="180" t="s">
        <v>257</v>
      </c>
      <c r="R7992" s="180" t="s">
        <v>257</v>
      </c>
    </row>
    <row r="7993" spans="8:18" x14ac:dyDescent="0.2">
      <c r="H7993" s="180"/>
      <c r="P7993" s="180" t="s">
        <v>257</v>
      </c>
      <c r="R7993" s="180" t="s">
        <v>257</v>
      </c>
    </row>
    <row r="7994" spans="8:18" x14ac:dyDescent="0.2">
      <c r="H7994" s="180"/>
      <c r="P7994" s="180" t="s">
        <v>257</v>
      </c>
      <c r="R7994" s="180" t="s">
        <v>257</v>
      </c>
    </row>
    <row r="7995" spans="8:18" x14ac:dyDescent="0.2">
      <c r="H7995" s="180"/>
      <c r="P7995" s="180" t="s">
        <v>257</v>
      </c>
      <c r="R7995" s="180" t="s">
        <v>257</v>
      </c>
    </row>
    <row r="7996" spans="8:18" x14ac:dyDescent="0.2">
      <c r="H7996" s="180"/>
      <c r="P7996" s="180" t="s">
        <v>257</v>
      </c>
      <c r="R7996" s="180" t="s">
        <v>257</v>
      </c>
    </row>
    <row r="7997" spans="8:18" x14ac:dyDescent="0.2">
      <c r="H7997" s="180"/>
      <c r="P7997" s="180" t="s">
        <v>257</v>
      </c>
      <c r="R7997" s="180" t="s">
        <v>257</v>
      </c>
    </row>
    <row r="7998" spans="8:18" x14ac:dyDescent="0.2">
      <c r="H7998" s="180"/>
      <c r="P7998" s="180" t="s">
        <v>257</v>
      </c>
      <c r="R7998" s="180" t="s">
        <v>257</v>
      </c>
    </row>
    <row r="7999" spans="8:18" x14ac:dyDescent="0.2">
      <c r="H7999" s="180"/>
      <c r="P7999" s="180" t="s">
        <v>257</v>
      </c>
      <c r="R7999" s="180" t="s">
        <v>257</v>
      </c>
    </row>
    <row r="8000" spans="8:18" x14ac:dyDescent="0.2">
      <c r="H8000" s="180"/>
      <c r="P8000" s="180" t="s">
        <v>257</v>
      </c>
      <c r="R8000" s="180" t="s">
        <v>257</v>
      </c>
    </row>
    <row r="8001" spans="8:18" x14ac:dyDescent="0.2">
      <c r="H8001" s="180"/>
      <c r="P8001" s="180" t="s">
        <v>257</v>
      </c>
      <c r="R8001" s="180" t="s">
        <v>257</v>
      </c>
    </row>
    <row r="8002" spans="8:18" x14ac:dyDescent="0.2">
      <c r="H8002" s="180"/>
      <c r="P8002" s="180" t="s">
        <v>257</v>
      </c>
      <c r="R8002" s="180" t="s">
        <v>257</v>
      </c>
    </row>
    <row r="8003" spans="8:18" x14ac:dyDescent="0.2">
      <c r="H8003" s="180"/>
      <c r="P8003" s="180" t="s">
        <v>257</v>
      </c>
      <c r="R8003" s="180" t="s">
        <v>257</v>
      </c>
    </row>
    <row r="8004" spans="8:18" x14ac:dyDescent="0.2">
      <c r="H8004" s="180"/>
      <c r="P8004" s="180" t="s">
        <v>257</v>
      </c>
      <c r="R8004" s="180" t="s">
        <v>257</v>
      </c>
    </row>
    <row r="8005" spans="8:18" x14ac:dyDescent="0.2">
      <c r="H8005" s="180"/>
      <c r="P8005" s="180" t="s">
        <v>257</v>
      </c>
      <c r="R8005" s="180" t="s">
        <v>257</v>
      </c>
    </row>
    <row r="8006" spans="8:18" x14ac:dyDescent="0.2">
      <c r="H8006" s="180"/>
      <c r="P8006" s="180" t="s">
        <v>257</v>
      </c>
      <c r="R8006" s="180" t="s">
        <v>257</v>
      </c>
    </row>
    <row r="8007" spans="8:18" x14ac:dyDescent="0.2">
      <c r="H8007" s="180"/>
      <c r="P8007" s="180" t="s">
        <v>257</v>
      </c>
      <c r="R8007" s="180" t="s">
        <v>257</v>
      </c>
    </row>
    <row r="8008" spans="8:18" x14ac:dyDescent="0.2">
      <c r="H8008" s="180"/>
      <c r="P8008" s="180" t="s">
        <v>257</v>
      </c>
      <c r="R8008" s="180" t="s">
        <v>257</v>
      </c>
    </row>
    <row r="8009" spans="8:18" x14ac:dyDescent="0.2">
      <c r="H8009" s="180"/>
      <c r="P8009" s="180" t="s">
        <v>257</v>
      </c>
      <c r="R8009" s="180" t="s">
        <v>257</v>
      </c>
    </row>
    <row r="8010" spans="8:18" x14ac:dyDescent="0.2">
      <c r="H8010" s="180"/>
      <c r="P8010" s="180" t="s">
        <v>257</v>
      </c>
      <c r="R8010" s="180" t="s">
        <v>257</v>
      </c>
    </row>
    <row r="8011" spans="8:18" x14ac:dyDescent="0.2">
      <c r="H8011" s="180"/>
      <c r="P8011" s="180" t="s">
        <v>257</v>
      </c>
      <c r="R8011" s="180" t="s">
        <v>257</v>
      </c>
    </row>
    <row r="8012" spans="8:18" x14ac:dyDescent="0.2">
      <c r="H8012" s="180"/>
      <c r="P8012" s="180" t="s">
        <v>257</v>
      </c>
      <c r="R8012" s="180" t="s">
        <v>257</v>
      </c>
    </row>
    <row r="8013" spans="8:18" x14ac:dyDescent="0.2">
      <c r="H8013" s="180"/>
      <c r="P8013" s="180" t="s">
        <v>257</v>
      </c>
      <c r="R8013" s="180" t="s">
        <v>257</v>
      </c>
    </row>
    <row r="8014" spans="8:18" x14ac:dyDescent="0.2">
      <c r="H8014" s="180"/>
      <c r="P8014" s="180" t="s">
        <v>257</v>
      </c>
      <c r="R8014" s="180" t="s">
        <v>257</v>
      </c>
    </row>
    <row r="8015" spans="8:18" x14ac:dyDescent="0.2">
      <c r="H8015" s="180"/>
      <c r="P8015" s="180" t="s">
        <v>257</v>
      </c>
      <c r="R8015" s="180" t="s">
        <v>257</v>
      </c>
    </row>
    <row r="8016" spans="8:18" x14ac:dyDescent="0.2">
      <c r="H8016" s="180"/>
      <c r="P8016" s="180" t="s">
        <v>257</v>
      </c>
      <c r="R8016" s="180" t="s">
        <v>257</v>
      </c>
    </row>
    <row r="8017" spans="8:18" x14ac:dyDescent="0.2">
      <c r="H8017" s="180"/>
      <c r="P8017" s="180" t="s">
        <v>257</v>
      </c>
      <c r="R8017" s="180" t="s">
        <v>257</v>
      </c>
    </row>
    <row r="8018" spans="8:18" x14ac:dyDescent="0.2">
      <c r="H8018" s="180"/>
      <c r="P8018" s="180" t="s">
        <v>257</v>
      </c>
      <c r="R8018" s="180" t="s">
        <v>257</v>
      </c>
    </row>
    <row r="8019" spans="8:18" x14ac:dyDescent="0.2">
      <c r="H8019" s="180"/>
      <c r="P8019" s="180" t="s">
        <v>257</v>
      </c>
      <c r="R8019" s="180" t="s">
        <v>257</v>
      </c>
    </row>
    <row r="8020" spans="8:18" x14ac:dyDescent="0.2">
      <c r="H8020" s="180"/>
      <c r="P8020" s="180" t="s">
        <v>257</v>
      </c>
      <c r="R8020" s="180" t="s">
        <v>257</v>
      </c>
    </row>
    <row r="8021" spans="8:18" x14ac:dyDescent="0.2">
      <c r="H8021" s="180"/>
      <c r="P8021" s="180" t="s">
        <v>257</v>
      </c>
      <c r="R8021" s="180" t="s">
        <v>257</v>
      </c>
    </row>
    <row r="8022" spans="8:18" x14ac:dyDescent="0.2">
      <c r="H8022" s="180"/>
      <c r="P8022" s="180" t="s">
        <v>257</v>
      </c>
      <c r="R8022" s="180" t="s">
        <v>257</v>
      </c>
    </row>
    <row r="8023" spans="8:18" x14ac:dyDescent="0.2">
      <c r="H8023" s="180"/>
      <c r="P8023" s="180" t="s">
        <v>257</v>
      </c>
      <c r="R8023" s="180" t="s">
        <v>257</v>
      </c>
    </row>
    <row r="8024" spans="8:18" x14ac:dyDescent="0.2">
      <c r="H8024" s="180"/>
      <c r="P8024" s="180" t="s">
        <v>257</v>
      </c>
      <c r="R8024" s="180" t="s">
        <v>257</v>
      </c>
    </row>
    <row r="8025" spans="8:18" x14ac:dyDescent="0.2">
      <c r="H8025" s="180"/>
      <c r="P8025" s="180" t="s">
        <v>257</v>
      </c>
      <c r="R8025" s="180" t="s">
        <v>257</v>
      </c>
    </row>
    <row r="8026" spans="8:18" x14ac:dyDescent="0.2">
      <c r="H8026" s="180"/>
      <c r="P8026" s="180" t="s">
        <v>257</v>
      </c>
      <c r="R8026" s="180" t="s">
        <v>257</v>
      </c>
    </row>
    <row r="8027" spans="8:18" x14ac:dyDescent="0.2">
      <c r="H8027" s="180"/>
      <c r="P8027" s="180" t="s">
        <v>257</v>
      </c>
      <c r="R8027" s="180" t="s">
        <v>257</v>
      </c>
    </row>
    <row r="8028" spans="8:18" x14ac:dyDescent="0.2">
      <c r="H8028" s="180"/>
      <c r="P8028" s="180" t="s">
        <v>257</v>
      </c>
      <c r="R8028" s="180" t="s">
        <v>257</v>
      </c>
    </row>
    <row r="8029" spans="8:18" x14ac:dyDescent="0.2">
      <c r="H8029" s="180"/>
      <c r="P8029" s="180" t="s">
        <v>257</v>
      </c>
      <c r="R8029" s="180" t="s">
        <v>257</v>
      </c>
    </row>
    <row r="8030" spans="8:18" x14ac:dyDescent="0.2">
      <c r="H8030" s="180"/>
      <c r="P8030" s="180" t="s">
        <v>257</v>
      </c>
      <c r="R8030" s="180" t="s">
        <v>257</v>
      </c>
    </row>
    <row r="8031" spans="8:18" x14ac:dyDescent="0.2">
      <c r="H8031" s="180"/>
      <c r="P8031" s="180" t="s">
        <v>257</v>
      </c>
      <c r="R8031" s="180" t="s">
        <v>257</v>
      </c>
    </row>
    <row r="8032" spans="8:18" x14ac:dyDescent="0.2">
      <c r="H8032" s="180"/>
      <c r="P8032" s="180" t="s">
        <v>257</v>
      </c>
      <c r="R8032" s="180" t="s">
        <v>257</v>
      </c>
    </row>
    <row r="8033" spans="8:18" x14ac:dyDescent="0.2">
      <c r="H8033" s="180"/>
      <c r="P8033" s="180" t="s">
        <v>257</v>
      </c>
      <c r="R8033" s="180" t="s">
        <v>257</v>
      </c>
    </row>
    <row r="8034" spans="8:18" x14ac:dyDescent="0.2">
      <c r="H8034" s="180"/>
      <c r="P8034" s="180" t="s">
        <v>257</v>
      </c>
      <c r="R8034" s="180" t="s">
        <v>257</v>
      </c>
    </row>
    <row r="8035" spans="8:18" x14ac:dyDescent="0.2">
      <c r="H8035" s="180"/>
      <c r="P8035" s="180" t="s">
        <v>257</v>
      </c>
      <c r="R8035" s="180" t="s">
        <v>257</v>
      </c>
    </row>
    <row r="8036" spans="8:18" x14ac:dyDescent="0.2">
      <c r="H8036" s="180"/>
      <c r="P8036" s="180" t="s">
        <v>257</v>
      </c>
      <c r="R8036" s="180" t="s">
        <v>257</v>
      </c>
    </row>
    <row r="8037" spans="8:18" x14ac:dyDescent="0.2">
      <c r="H8037" s="180"/>
      <c r="P8037" s="180" t="s">
        <v>257</v>
      </c>
      <c r="R8037" s="180" t="s">
        <v>257</v>
      </c>
    </row>
    <row r="8038" spans="8:18" x14ac:dyDescent="0.2">
      <c r="H8038" s="180"/>
      <c r="P8038" s="180" t="s">
        <v>257</v>
      </c>
      <c r="R8038" s="180" t="s">
        <v>257</v>
      </c>
    </row>
    <row r="8039" spans="8:18" x14ac:dyDescent="0.2">
      <c r="H8039" s="180"/>
      <c r="P8039" s="180" t="s">
        <v>257</v>
      </c>
      <c r="R8039" s="180" t="s">
        <v>257</v>
      </c>
    </row>
    <row r="8040" spans="8:18" x14ac:dyDescent="0.2">
      <c r="H8040" s="180"/>
      <c r="P8040" s="180" t="s">
        <v>257</v>
      </c>
      <c r="R8040" s="180" t="s">
        <v>257</v>
      </c>
    </row>
    <row r="8041" spans="8:18" x14ac:dyDescent="0.2">
      <c r="H8041" s="180"/>
      <c r="P8041" s="180" t="s">
        <v>257</v>
      </c>
      <c r="R8041" s="180" t="s">
        <v>257</v>
      </c>
    </row>
    <row r="8042" spans="8:18" x14ac:dyDescent="0.2">
      <c r="H8042" s="180"/>
      <c r="P8042" s="180" t="s">
        <v>257</v>
      </c>
      <c r="R8042" s="180" t="s">
        <v>257</v>
      </c>
    </row>
    <row r="8043" spans="8:18" x14ac:dyDescent="0.2">
      <c r="H8043" s="180"/>
      <c r="P8043" s="180" t="s">
        <v>257</v>
      </c>
      <c r="R8043" s="180" t="s">
        <v>257</v>
      </c>
    </row>
    <row r="8044" spans="8:18" x14ac:dyDescent="0.2">
      <c r="H8044" s="180"/>
      <c r="P8044" s="180" t="s">
        <v>257</v>
      </c>
      <c r="R8044" s="180" t="s">
        <v>257</v>
      </c>
    </row>
    <row r="8045" spans="8:18" x14ac:dyDescent="0.2">
      <c r="H8045" s="180"/>
      <c r="P8045" s="180" t="s">
        <v>257</v>
      </c>
      <c r="R8045" s="180" t="s">
        <v>257</v>
      </c>
    </row>
    <row r="8046" spans="8:18" x14ac:dyDescent="0.2">
      <c r="H8046" s="180"/>
      <c r="P8046" s="180" t="s">
        <v>257</v>
      </c>
      <c r="R8046" s="180" t="s">
        <v>257</v>
      </c>
    </row>
    <row r="8047" spans="8:18" x14ac:dyDescent="0.2">
      <c r="H8047" s="180"/>
      <c r="P8047" s="180" t="s">
        <v>257</v>
      </c>
      <c r="R8047" s="180" t="s">
        <v>257</v>
      </c>
    </row>
    <row r="8048" spans="8:18" x14ac:dyDescent="0.2">
      <c r="H8048" s="180"/>
      <c r="P8048" s="180" t="s">
        <v>257</v>
      </c>
      <c r="R8048" s="180" t="s">
        <v>257</v>
      </c>
    </row>
    <row r="8049" spans="8:18" x14ac:dyDescent="0.2">
      <c r="H8049" s="180"/>
      <c r="P8049" s="180" t="s">
        <v>257</v>
      </c>
      <c r="R8049" s="180" t="s">
        <v>257</v>
      </c>
    </row>
    <row r="8050" spans="8:18" x14ac:dyDescent="0.2">
      <c r="H8050" s="180"/>
      <c r="P8050" s="180" t="s">
        <v>257</v>
      </c>
      <c r="R8050" s="180" t="s">
        <v>257</v>
      </c>
    </row>
    <row r="8051" spans="8:18" x14ac:dyDescent="0.2">
      <c r="H8051" s="180"/>
      <c r="P8051" s="180" t="s">
        <v>257</v>
      </c>
      <c r="R8051" s="180" t="s">
        <v>257</v>
      </c>
    </row>
    <row r="8052" spans="8:18" x14ac:dyDescent="0.2">
      <c r="H8052" s="180"/>
      <c r="P8052" s="180" t="s">
        <v>257</v>
      </c>
      <c r="R8052" s="180" t="s">
        <v>257</v>
      </c>
    </row>
    <row r="8053" spans="8:18" x14ac:dyDescent="0.2">
      <c r="H8053" s="180"/>
      <c r="P8053" s="180" t="s">
        <v>257</v>
      </c>
      <c r="R8053" s="180" t="s">
        <v>257</v>
      </c>
    </row>
    <row r="8054" spans="8:18" x14ac:dyDescent="0.2">
      <c r="H8054" s="180"/>
      <c r="P8054" s="180" t="s">
        <v>257</v>
      </c>
      <c r="R8054" s="180" t="s">
        <v>257</v>
      </c>
    </row>
    <row r="8055" spans="8:18" x14ac:dyDescent="0.2">
      <c r="H8055" s="180"/>
      <c r="P8055" s="180" t="s">
        <v>257</v>
      </c>
      <c r="R8055" s="180" t="s">
        <v>257</v>
      </c>
    </row>
    <row r="8056" spans="8:18" x14ac:dyDescent="0.2">
      <c r="H8056" s="180"/>
      <c r="P8056" s="180" t="s">
        <v>257</v>
      </c>
      <c r="R8056" s="180" t="s">
        <v>257</v>
      </c>
    </row>
    <row r="8057" spans="8:18" x14ac:dyDescent="0.2">
      <c r="H8057" s="180"/>
      <c r="P8057" s="180" t="s">
        <v>257</v>
      </c>
      <c r="R8057" s="180" t="s">
        <v>257</v>
      </c>
    </row>
    <row r="8058" spans="8:18" x14ac:dyDescent="0.2">
      <c r="H8058" s="180"/>
      <c r="P8058" s="180" t="s">
        <v>257</v>
      </c>
      <c r="R8058" s="180" t="s">
        <v>257</v>
      </c>
    </row>
    <row r="8059" spans="8:18" x14ac:dyDescent="0.2">
      <c r="H8059" s="180"/>
      <c r="P8059" s="180" t="s">
        <v>257</v>
      </c>
      <c r="R8059" s="180" t="s">
        <v>257</v>
      </c>
    </row>
    <row r="8060" spans="8:18" x14ac:dyDescent="0.2">
      <c r="H8060" s="180"/>
      <c r="P8060" s="180" t="s">
        <v>257</v>
      </c>
      <c r="R8060" s="180" t="s">
        <v>257</v>
      </c>
    </row>
    <row r="8061" spans="8:18" x14ac:dyDescent="0.2">
      <c r="H8061" s="180"/>
      <c r="P8061" s="180" t="s">
        <v>257</v>
      </c>
      <c r="R8061" s="180" t="s">
        <v>257</v>
      </c>
    </row>
    <row r="8062" spans="8:18" x14ac:dyDescent="0.2">
      <c r="H8062" s="180"/>
      <c r="P8062" s="180" t="s">
        <v>257</v>
      </c>
      <c r="R8062" s="180" t="s">
        <v>257</v>
      </c>
    </row>
    <row r="8063" spans="8:18" x14ac:dyDescent="0.2">
      <c r="H8063" s="180"/>
      <c r="P8063" s="180" t="s">
        <v>257</v>
      </c>
      <c r="R8063" s="180" t="s">
        <v>257</v>
      </c>
    </row>
    <row r="8064" spans="8:18" x14ac:dyDescent="0.2">
      <c r="H8064" s="180"/>
      <c r="P8064" s="180" t="s">
        <v>257</v>
      </c>
      <c r="R8064" s="180" t="s">
        <v>257</v>
      </c>
    </row>
    <row r="8065" spans="8:18" x14ac:dyDescent="0.2">
      <c r="H8065" s="180"/>
      <c r="P8065" s="180" t="s">
        <v>257</v>
      </c>
      <c r="R8065" s="180" t="s">
        <v>257</v>
      </c>
    </row>
    <row r="8066" spans="8:18" x14ac:dyDescent="0.2">
      <c r="H8066" s="180"/>
      <c r="P8066" s="180" t="s">
        <v>257</v>
      </c>
      <c r="R8066" s="180" t="s">
        <v>257</v>
      </c>
    </row>
    <row r="8067" spans="8:18" x14ac:dyDescent="0.2">
      <c r="H8067" s="180"/>
      <c r="P8067" s="180" t="s">
        <v>257</v>
      </c>
      <c r="R8067" s="180" t="s">
        <v>257</v>
      </c>
    </row>
    <row r="8068" spans="8:18" x14ac:dyDescent="0.2">
      <c r="H8068" s="180"/>
      <c r="P8068" s="180" t="s">
        <v>257</v>
      </c>
      <c r="R8068" s="180" t="s">
        <v>257</v>
      </c>
    </row>
    <row r="8069" spans="8:18" x14ac:dyDescent="0.2">
      <c r="H8069" s="180"/>
      <c r="P8069" s="180" t="s">
        <v>257</v>
      </c>
      <c r="R8069" s="180" t="s">
        <v>257</v>
      </c>
    </row>
    <row r="8070" spans="8:18" x14ac:dyDescent="0.2">
      <c r="H8070" s="180"/>
      <c r="P8070" s="180" t="s">
        <v>257</v>
      </c>
      <c r="R8070" s="180" t="s">
        <v>257</v>
      </c>
    </row>
    <row r="8071" spans="8:18" x14ac:dyDescent="0.2">
      <c r="H8071" s="180"/>
      <c r="P8071" s="180" t="s">
        <v>257</v>
      </c>
      <c r="R8071" s="180" t="s">
        <v>257</v>
      </c>
    </row>
    <row r="8072" spans="8:18" x14ac:dyDescent="0.2">
      <c r="H8072" s="180"/>
      <c r="P8072" s="180" t="s">
        <v>257</v>
      </c>
      <c r="R8072" s="180" t="s">
        <v>257</v>
      </c>
    </row>
    <row r="8073" spans="8:18" x14ac:dyDescent="0.2">
      <c r="H8073" s="180"/>
      <c r="P8073" s="180" t="s">
        <v>257</v>
      </c>
      <c r="R8073" s="180" t="s">
        <v>257</v>
      </c>
    </row>
    <row r="8074" spans="8:18" x14ac:dyDescent="0.2">
      <c r="H8074" s="180"/>
      <c r="P8074" s="180" t="s">
        <v>257</v>
      </c>
      <c r="R8074" s="180" t="s">
        <v>257</v>
      </c>
    </row>
    <row r="8075" spans="8:18" x14ac:dyDescent="0.2">
      <c r="H8075" s="180"/>
      <c r="P8075" s="180" t="s">
        <v>257</v>
      </c>
      <c r="R8075" s="180" t="s">
        <v>257</v>
      </c>
    </row>
    <row r="8076" spans="8:18" x14ac:dyDescent="0.2">
      <c r="H8076" s="180"/>
      <c r="P8076" s="180" t="s">
        <v>257</v>
      </c>
      <c r="R8076" s="180" t="s">
        <v>257</v>
      </c>
    </row>
    <row r="8077" spans="8:18" x14ac:dyDescent="0.2">
      <c r="H8077" s="180"/>
      <c r="P8077" s="180" t="s">
        <v>257</v>
      </c>
      <c r="R8077" s="180" t="s">
        <v>257</v>
      </c>
    </row>
    <row r="8078" spans="8:18" x14ac:dyDescent="0.2">
      <c r="H8078" s="180"/>
      <c r="P8078" s="180" t="s">
        <v>257</v>
      </c>
      <c r="R8078" s="180" t="s">
        <v>257</v>
      </c>
    </row>
    <row r="8079" spans="8:18" x14ac:dyDescent="0.2">
      <c r="H8079" s="180"/>
      <c r="P8079" s="180" t="s">
        <v>257</v>
      </c>
      <c r="R8079" s="180" t="s">
        <v>257</v>
      </c>
    </row>
    <row r="8080" spans="8:18" x14ac:dyDescent="0.2">
      <c r="H8080" s="180"/>
      <c r="P8080" s="180" t="s">
        <v>257</v>
      </c>
      <c r="R8080" s="180" t="s">
        <v>257</v>
      </c>
    </row>
    <row r="8081" spans="8:18" x14ac:dyDescent="0.2">
      <c r="H8081" s="180"/>
      <c r="P8081" s="180" t="s">
        <v>257</v>
      </c>
      <c r="R8081" s="180" t="s">
        <v>257</v>
      </c>
    </row>
    <row r="8082" spans="8:18" x14ac:dyDescent="0.2">
      <c r="H8082" s="180"/>
      <c r="P8082" s="180" t="s">
        <v>257</v>
      </c>
      <c r="R8082" s="180" t="s">
        <v>257</v>
      </c>
    </row>
    <row r="8083" spans="8:18" x14ac:dyDescent="0.2">
      <c r="H8083" s="180"/>
      <c r="P8083" s="180" t="s">
        <v>257</v>
      </c>
      <c r="R8083" s="180" t="s">
        <v>257</v>
      </c>
    </row>
    <row r="8084" spans="8:18" x14ac:dyDescent="0.2">
      <c r="H8084" s="180"/>
      <c r="P8084" s="180" t="s">
        <v>257</v>
      </c>
      <c r="R8084" s="180" t="s">
        <v>257</v>
      </c>
    </row>
    <row r="8085" spans="8:18" x14ac:dyDescent="0.2">
      <c r="H8085" s="180"/>
      <c r="P8085" s="180" t="s">
        <v>257</v>
      </c>
      <c r="R8085" s="180" t="s">
        <v>257</v>
      </c>
    </row>
    <row r="8086" spans="8:18" x14ac:dyDescent="0.2">
      <c r="H8086" s="180"/>
      <c r="P8086" s="180" t="s">
        <v>257</v>
      </c>
      <c r="R8086" s="180" t="s">
        <v>257</v>
      </c>
    </row>
    <row r="8087" spans="8:18" x14ac:dyDescent="0.2">
      <c r="H8087" s="180"/>
      <c r="P8087" s="180" t="s">
        <v>257</v>
      </c>
      <c r="R8087" s="180" t="s">
        <v>257</v>
      </c>
    </row>
    <row r="8088" spans="8:18" x14ac:dyDescent="0.2">
      <c r="H8088" s="180"/>
      <c r="P8088" s="180" t="s">
        <v>257</v>
      </c>
      <c r="R8088" s="180" t="s">
        <v>257</v>
      </c>
    </row>
    <row r="8089" spans="8:18" x14ac:dyDescent="0.2">
      <c r="H8089" s="180"/>
      <c r="P8089" s="180" t="s">
        <v>257</v>
      </c>
      <c r="R8089" s="180" t="s">
        <v>257</v>
      </c>
    </row>
    <row r="8090" spans="8:18" x14ac:dyDescent="0.2">
      <c r="H8090" s="180"/>
      <c r="P8090" s="180" t="s">
        <v>257</v>
      </c>
      <c r="R8090" s="180" t="s">
        <v>257</v>
      </c>
    </row>
    <row r="8091" spans="8:18" x14ac:dyDescent="0.2">
      <c r="H8091" s="180"/>
      <c r="P8091" s="180" t="s">
        <v>257</v>
      </c>
      <c r="R8091" s="180" t="s">
        <v>257</v>
      </c>
    </row>
    <row r="8092" spans="8:18" x14ac:dyDescent="0.2">
      <c r="H8092" s="180"/>
      <c r="P8092" s="180" t="s">
        <v>257</v>
      </c>
      <c r="R8092" s="180" t="s">
        <v>257</v>
      </c>
    </row>
    <row r="8093" spans="8:18" x14ac:dyDescent="0.2">
      <c r="H8093" s="180"/>
      <c r="P8093" s="180" t="s">
        <v>257</v>
      </c>
      <c r="R8093" s="180" t="s">
        <v>257</v>
      </c>
    </row>
    <row r="8094" spans="8:18" x14ac:dyDescent="0.2">
      <c r="H8094" s="180"/>
      <c r="P8094" s="180" t="s">
        <v>257</v>
      </c>
      <c r="R8094" s="180" t="s">
        <v>257</v>
      </c>
    </row>
    <row r="8095" spans="8:18" x14ac:dyDescent="0.2">
      <c r="H8095" s="180"/>
      <c r="P8095" s="180" t="s">
        <v>257</v>
      </c>
      <c r="R8095" s="180" t="s">
        <v>257</v>
      </c>
    </row>
    <row r="8096" spans="8:18" x14ac:dyDescent="0.2">
      <c r="H8096" s="180"/>
      <c r="P8096" s="180" t="s">
        <v>257</v>
      </c>
      <c r="R8096" s="180" t="s">
        <v>257</v>
      </c>
    </row>
    <row r="8097" spans="8:18" x14ac:dyDescent="0.2">
      <c r="H8097" s="180"/>
      <c r="P8097" s="180" t="s">
        <v>257</v>
      </c>
      <c r="R8097" s="180" t="s">
        <v>257</v>
      </c>
    </row>
    <row r="8098" spans="8:18" x14ac:dyDescent="0.2">
      <c r="H8098" s="180"/>
      <c r="P8098" s="180" t="s">
        <v>257</v>
      </c>
      <c r="R8098" s="180" t="s">
        <v>257</v>
      </c>
    </row>
    <row r="8099" spans="8:18" x14ac:dyDescent="0.2">
      <c r="H8099" s="180"/>
      <c r="P8099" s="180" t="s">
        <v>257</v>
      </c>
      <c r="R8099" s="180" t="s">
        <v>257</v>
      </c>
    </row>
    <row r="8100" spans="8:18" x14ac:dyDescent="0.2">
      <c r="H8100" s="180"/>
      <c r="P8100" s="180" t="s">
        <v>257</v>
      </c>
      <c r="R8100" s="180" t="s">
        <v>257</v>
      </c>
    </row>
    <row r="8101" spans="8:18" x14ac:dyDescent="0.2">
      <c r="H8101" s="180"/>
      <c r="P8101" s="180" t="s">
        <v>257</v>
      </c>
      <c r="R8101" s="180" t="s">
        <v>257</v>
      </c>
    </row>
    <row r="8102" spans="8:18" x14ac:dyDescent="0.2">
      <c r="H8102" s="180"/>
      <c r="P8102" s="180" t="s">
        <v>257</v>
      </c>
      <c r="R8102" s="180" t="s">
        <v>257</v>
      </c>
    </row>
    <row r="8103" spans="8:18" x14ac:dyDescent="0.2">
      <c r="H8103" s="180"/>
      <c r="P8103" s="180" t="s">
        <v>257</v>
      </c>
      <c r="R8103" s="180" t="s">
        <v>257</v>
      </c>
    </row>
    <row r="8104" spans="8:18" x14ac:dyDescent="0.2">
      <c r="H8104" s="180"/>
      <c r="P8104" s="180" t="s">
        <v>257</v>
      </c>
      <c r="R8104" s="180" t="s">
        <v>257</v>
      </c>
    </row>
    <row r="8105" spans="8:18" x14ac:dyDescent="0.2">
      <c r="H8105" s="180"/>
      <c r="P8105" s="180" t="s">
        <v>257</v>
      </c>
      <c r="R8105" s="180" t="s">
        <v>257</v>
      </c>
    </row>
    <row r="8106" spans="8:18" x14ac:dyDescent="0.2">
      <c r="H8106" s="180"/>
      <c r="P8106" s="180" t="s">
        <v>257</v>
      </c>
      <c r="R8106" s="180" t="s">
        <v>257</v>
      </c>
    </row>
    <row r="8107" spans="8:18" x14ac:dyDescent="0.2">
      <c r="H8107" s="180"/>
      <c r="P8107" s="180" t="s">
        <v>257</v>
      </c>
      <c r="R8107" s="180" t="s">
        <v>257</v>
      </c>
    </row>
    <row r="8108" spans="8:18" x14ac:dyDescent="0.2">
      <c r="H8108" s="180"/>
      <c r="P8108" s="180" t="s">
        <v>257</v>
      </c>
      <c r="R8108" s="180" t="s">
        <v>257</v>
      </c>
    </row>
    <row r="8109" spans="8:18" x14ac:dyDescent="0.2">
      <c r="H8109" s="180"/>
      <c r="P8109" s="180" t="s">
        <v>257</v>
      </c>
      <c r="R8109" s="180" t="s">
        <v>257</v>
      </c>
    </row>
    <row r="8110" spans="8:18" x14ac:dyDescent="0.2">
      <c r="H8110" s="180"/>
      <c r="P8110" s="180" t="s">
        <v>257</v>
      </c>
      <c r="R8110" s="180" t="s">
        <v>257</v>
      </c>
    </row>
    <row r="8111" spans="8:18" x14ac:dyDescent="0.2">
      <c r="H8111" s="180"/>
      <c r="P8111" s="180" t="s">
        <v>257</v>
      </c>
      <c r="R8111" s="180" t="s">
        <v>257</v>
      </c>
    </row>
    <row r="8112" spans="8:18" x14ac:dyDescent="0.2">
      <c r="H8112" s="180"/>
      <c r="P8112" s="180" t="s">
        <v>257</v>
      </c>
      <c r="R8112" s="180" t="s">
        <v>257</v>
      </c>
    </row>
    <row r="8113" spans="8:18" x14ac:dyDescent="0.2">
      <c r="H8113" s="180"/>
      <c r="P8113" s="180" t="s">
        <v>257</v>
      </c>
      <c r="R8113" s="180" t="s">
        <v>257</v>
      </c>
    </row>
    <row r="8114" spans="8:18" x14ac:dyDescent="0.2">
      <c r="H8114" s="180"/>
      <c r="P8114" s="180" t="s">
        <v>257</v>
      </c>
      <c r="R8114" s="180" t="s">
        <v>257</v>
      </c>
    </row>
    <row r="8115" spans="8:18" x14ac:dyDescent="0.2">
      <c r="H8115" s="180"/>
      <c r="P8115" s="180" t="s">
        <v>257</v>
      </c>
      <c r="R8115" s="180" t="s">
        <v>257</v>
      </c>
    </row>
    <row r="8116" spans="8:18" x14ac:dyDescent="0.2">
      <c r="H8116" s="180"/>
      <c r="P8116" s="180" t="s">
        <v>257</v>
      </c>
      <c r="R8116" s="180" t="s">
        <v>257</v>
      </c>
    </row>
    <row r="8117" spans="8:18" x14ac:dyDescent="0.2">
      <c r="H8117" s="180"/>
      <c r="P8117" s="180" t="s">
        <v>257</v>
      </c>
      <c r="R8117" s="180" t="s">
        <v>257</v>
      </c>
    </row>
    <row r="8118" spans="8:18" x14ac:dyDescent="0.2">
      <c r="H8118" s="180"/>
      <c r="P8118" s="180" t="s">
        <v>257</v>
      </c>
      <c r="R8118" s="180" t="s">
        <v>257</v>
      </c>
    </row>
    <row r="8119" spans="8:18" x14ac:dyDescent="0.2">
      <c r="H8119" s="180"/>
      <c r="P8119" s="180" t="s">
        <v>257</v>
      </c>
      <c r="R8119" s="180" t="s">
        <v>257</v>
      </c>
    </row>
    <row r="8120" spans="8:18" x14ac:dyDescent="0.2">
      <c r="H8120" s="180"/>
      <c r="P8120" s="180" t="s">
        <v>257</v>
      </c>
      <c r="R8120" s="180" t="s">
        <v>257</v>
      </c>
    </row>
    <row r="8121" spans="8:18" x14ac:dyDescent="0.2">
      <c r="H8121" s="180"/>
      <c r="P8121" s="180" t="s">
        <v>257</v>
      </c>
      <c r="R8121" s="180" t="s">
        <v>257</v>
      </c>
    </row>
    <row r="8122" spans="8:18" x14ac:dyDescent="0.2">
      <c r="H8122" s="180"/>
      <c r="P8122" s="180" t="s">
        <v>257</v>
      </c>
      <c r="R8122" s="180" t="s">
        <v>257</v>
      </c>
    </row>
    <row r="8123" spans="8:18" x14ac:dyDescent="0.2">
      <c r="H8123" s="180"/>
      <c r="P8123" s="180" t="s">
        <v>257</v>
      </c>
      <c r="R8123" s="180" t="s">
        <v>257</v>
      </c>
    </row>
    <row r="8124" spans="8:18" x14ac:dyDescent="0.2">
      <c r="H8124" s="180"/>
      <c r="P8124" s="180" t="s">
        <v>257</v>
      </c>
      <c r="R8124" s="180" t="s">
        <v>257</v>
      </c>
    </row>
    <row r="8125" spans="8:18" x14ac:dyDescent="0.2">
      <c r="H8125" s="180"/>
      <c r="P8125" s="180" t="s">
        <v>257</v>
      </c>
      <c r="R8125" s="180" t="s">
        <v>257</v>
      </c>
    </row>
    <row r="8126" spans="8:18" x14ac:dyDescent="0.2">
      <c r="H8126" s="180"/>
      <c r="P8126" s="180" t="s">
        <v>257</v>
      </c>
      <c r="R8126" s="180" t="s">
        <v>257</v>
      </c>
    </row>
    <row r="8127" spans="8:18" x14ac:dyDescent="0.2">
      <c r="H8127" s="180"/>
      <c r="P8127" s="180" t="s">
        <v>257</v>
      </c>
      <c r="R8127" s="180" t="s">
        <v>257</v>
      </c>
    </row>
    <row r="8128" spans="8:18" x14ac:dyDescent="0.2">
      <c r="H8128" s="180"/>
      <c r="P8128" s="180" t="s">
        <v>257</v>
      </c>
      <c r="R8128" s="180" t="s">
        <v>257</v>
      </c>
    </row>
    <row r="8129" spans="8:18" x14ac:dyDescent="0.2">
      <c r="H8129" s="180"/>
      <c r="P8129" s="180" t="s">
        <v>257</v>
      </c>
      <c r="R8129" s="180" t="s">
        <v>257</v>
      </c>
    </row>
    <row r="8130" spans="8:18" x14ac:dyDescent="0.2">
      <c r="H8130" s="180"/>
      <c r="P8130" s="180" t="s">
        <v>257</v>
      </c>
      <c r="R8130" s="180" t="s">
        <v>257</v>
      </c>
    </row>
    <row r="8131" spans="8:18" x14ac:dyDescent="0.2">
      <c r="H8131" s="180"/>
      <c r="P8131" s="180" t="s">
        <v>257</v>
      </c>
      <c r="R8131" s="180" t="s">
        <v>257</v>
      </c>
    </row>
    <row r="8132" spans="8:18" x14ac:dyDescent="0.2">
      <c r="H8132" s="180"/>
      <c r="P8132" s="180" t="s">
        <v>257</v>
      </c>
      <c r="R8132" s="180" t="s">
        <v>257</v>
      </c>
    </row>
    <row r="8133" spans="8:18" x14ac:dyDescent="0.2">
      <c r="H8133" s="180"/>
      <c r="P8133" s="180" t="s">
        <v>257</v>
      </c>
      <c r="R8133" s="180" t="s">
        <v>257</v>
      </c>
    </row>
    <row r="8134" spans="8:18" x14ac:dyDescent="0.2">
      <c r="H8134" s="180"/>
      <c r="P8134" s="180" t="s">
        <v>257</v>
      </c>
      <c r="R8134" s="180" t="s">
        <v>257</v>
      </c>
    </row>
    <row r="8135" spans="8:18" x14ac:dyDescent="0.2">
      <c r="H8135" s="180"/>
      <c r="P8135" s="180" t="s">
        <v>257</v>
      </c>
      <c r="R8135" s="180" t="s">
        <v>257</v>
      </c>
    </row>
    <row r="8136" spans="8:18" x14ac:dyDescent="0.2">
      <c r="H8136" s="180"/>
      <c r="P8136" s="180" t="s">
        <v>257</v>
      </c>
      <c r="R8136" s="180" t="s">
        <v>257</v>
      </c>
    </row>
    <row r="8137" spans="8:18" x14ac:dyDescent="0.2">
      <c r="H8137" s="180"/>
      <c r="P8137" s="180" t="s">
        <v>257</v>
      </c>
      <c r="R8137" s="180" t="s">
        <v>257</v>
      </c>
    </row>
    <row r="8138" spans="8:18" x14ac:dyDescent="0.2">
      <c r="H8138" s="180"/>
      <c r="P8138" s="180" t="s">
        <v>257</v>
      </c>
      <c r="R8138" s="180" t="s">
        <v>257</v>
      </c>
    </row>
    <row r="8139" spans="8:18" x14ac:dyDescent="0.2">
      <c r="H8139" s="180"/>
      <c r="P8139" s="180" t="s">
        <v>257</v>
      </c>
      <c r="R8139" s="180" t="s">
        <v>257</v>
      </c>
    </row>
    <row r="8140" spans="8:18" x14ac:dyDescent="0.2">
      <c r="H8140" s="180"/>
      <c r="P8140" s="180" t="s">
        <v>257</v>
      </c>
      <c r="R8140" s="180" t="s">
        <v>257</v>
      </c>
    </row>
    <row r="8141" spans="8:18" x14ac:dyDescent="0.2">
      <c r="H8141" s="180"/>
      <c r="P8141" s="180" t="s">
        <v>257</v>
      </c>
      <c r="R8141" s="180" t="s">
        <v>257</v>
      </c>
    </row>
    <row r="8142" spans="8:18" x14ac:dyDescent="0.2">
      <c r="H8142" s="180"/>
      <c r="P8142" s="180" t="s">
        <v>257</v>
      </c>
      <c r="R8142" s="180" t="s">
        <v>257</v>
      </c>
    </row>
    <row r="8143" spans="8:18" x14ac:dyDescent="0.2">
      <c r="H8143" s="180"/>
      <c r="P8143" s="180" t="s">
        <v>257</v>
      </c>
      <c r="R8143" s="180" t="s">
        <v>257</v>
      </c>
    </row>
    <row r="8144" spans="8:18" x14ac:dyDescent="0.2">
      <c r="H8144" s="180"/>
      <c r="P8144" s="180" t="s">
        <v>257</v>
      </c>
      <c r="R8144" s="180" t="s">
        <v>257</v>
      </c>
    </row>
    <row r="8145" spans="8:18" x14ac:dyDescent="0.2">
      <c r="H8145" s="180"/>
      <c r="P8145" s="180" t="s">
        <v>257</v>
      </c>
      <c r="R8145" s="180" t="s">
        <v>257</v>
      </c>
    </row>
    <row r="8146" spans="8:18" x14ac:dyDescent="0.2">
      <c r="H8146" s="180"/>
      <c r="P8146" s="180" t="s">
        <v>257</v>
      </c>
      <c r="R8146" s="180" t="s">
        <v>257</v>
      </c>
    </row>
    <row r="8147" spans="8:18" x14ac:dyDescent="0.2">
      <c r="H8147" s="180"/>
      <c r="P8147" s="180" t="s">
        <v>257</v>
      </c>
      <c r="R8147" s="180" t="s">
        <v>257</v>
      </c>
    </row>
    <row r="8148" spans="8:18" x14ac:dyDescent="0.2">
      <c r="H8148" s="180"/>
      <c r="P8148" s="180" t="s">
        <v>257</v>
      </c>
      <c r="R8148" s="180" t="s">
        <v>257</v>
      </c>
    </row>
    <row r="8149" spans="8:18" x14ac:dyDescent="0.2">
      <c r="H8149" s="180"/>
      <c r="P8149" s="180" t="s">
        <v>257</v>
      </c>
      <c r="R8149" s="180" t="s">
        <v>257</v>
      </c>
    </row>
    <row r="8150" spans="8:18" x14ac:dyDescent="0.2">
      <c r="H8150" s="180"/>
      <c r="P8150" s="180" t="s">
        <v>257</v>
      </c>
      <c r="R8150" s="180" t="s">
        <v>257</v>
      </c>
    </row>
    <row r="8151" spans="8:18" x14ac:dyDescent="0.2">
      <c r="H8151" s="180"/>
      <c r="P8151" s="180" t="s">
        <v>257</v>
      </c>
      <c r="R8151" s="180" t="s">
        <v>257</v>
      </c>
    </row>
    <row r="8152" spans="8:18" x14ac:dyDescent="0.2">
      <c r="H8152" s="180"/>
      <c r="P8152" s="180" t="s">
        <v>257</v>
      </c>
      <c r="R8152" s="180" t="s">
        <v>257</v>
      </c>
    </row>
    <row r="8153" spans="8:18" x14ac:dyDescent="0.2">
      <c r="H8153" s="180"/>
      <c r="P8153" s="180" t="s">
        <v>257</v>
      </c>
      <c r="R8153" s="180" t="s">
        <v>257</v>
      </c>
    </row>
    <row r="8154" spans="8:18" x14ac:dyDescent="0.2">
      <c r="H8154" s="180"/>
      <c r="P8154" s="180" t="s">
        <v>257</v>
      </c>
      <c r="R8154" s="180" t="s">
        <v>257</v>
      </c>
    </row>
    <row r="8155" spans="8:18" x14ac:dyDescent="0.2">
      <c r="H8155" s="180"/>
      <c r="P8155" s="180" t="s">
        <v>257</v>
      </c>
      <c r="R8155" s="180" t="s">
        <v>257</v>
      </c>
    </row>
    <row r="8156" spans="8:18" x14ac:dyDescent="0.2">
      <c r="H8156" s="180"/>
      <c r="P8156" s="180" t="s">
        <v>257</v>
      </c>
      <c r="R8156" s="180" t="s">
        <v>257</v>
      </c>
    </row>
    <row r="8157" spans="8:18" x14ac:dyDescent="0.2">
      <c r="H8157" s="180"/>
      <c r="P8157" s="180" t="s">
        <v>257</v>
      </c>
      <c r="R8157" s="180" t="s">
        <v>257</v>
      </c>
    </row>
    <row r="8158" spans="8:18" x14ac:dyDescent="0.2">
      <c r="H8158" s="180"/>
      <c r="P8158" s="180" t="s">
        <v>257</v>
      </c>
      <c r="R8158" s="180" t="s">
        <v>257</v>
      </c>
    </row>
    <row r="8159" spans="8:18" x14ac:dyDescent="0.2">
      <c r="H8159" s="180"/>
      <c r="P8159" s="180" t="s">
        <v>257</v>
      </c>
      <c r="R8159" s="180" t="s">
        <v>257</v>
      </c>
    </row>
    <row r="8160" spans="8:18" x14ac:dyDescent="0.2">
      <c r="H8160" s="180"/>
      <c r="P8160" s="180" t="s">
        <v>257</v>
      </c>
      <c r="R8160" s="180" t="s">
        <v>257</v>
      </c>
    </row>
    <row r="8161" spans="8:18" x14ac:dyDescent="0.2">
      <c r="H8161" s="180"/>
      <c r="P8161" s="180" t="s">
        <v>257</v>
      </c>
      <c r="R8161" s="180" t="s">
        <v>257</v>
      </c>
    </row>
    <row r="8162" spans="8:18" x14ac:dyDescent="0.2">
      <c r="H8162" s="180"/>
      <c r="P8162" s="180" t="s">
        <v>257</v>
      </c>
      <c r="R8162" s="180" t="s">
        <v>257</v>
      </c>
    </row>
    <row r="8163" spans="8:18" x14ac:dyDescent="0.2">
      <c r="H8163" s="180"/>
      <c r="P8163" s="180" t="s">
        <v>257</v>
      </c>
      <c r="R8163" s="180" t="s">
        <v>257</v>
      </c>
    </row>
    <row r="8164" spans="8:18" x14ac:dyDescent="0.2">
      <c r="H8164" s="180"/>
      <c r="P8164" s="180" t="s">
        <v>257</v>
      </c>
      <c r="R8164" s="180" t="s">
        <v>257</v>
      </c>
    </row>
    <row r="8165" spans="8:18" x14ac:dyDescent="0.2">
      <c r="H8165" s="180"/>
      <c r="P8165" s="180" t="s">
        <v>257</v>
      </c>
      <c r="R8165" s="180" t="s">
        <v>257</v>
      </c>
    </row>
    <row r="8166" spans="8:18" x14ac:dyDescent="0.2">
      <c r="H8166" s="180"/>
      <c r="P8166" s="180" t="s">
        <v>257</v>
      </c>
      <c r="R8166" s="180" t="s">
        <v>257</v>
      </c>
    </row>
    <row r="8167" spans="8:18" x14ac:dyDescent="0.2">
      <c r="H8167" s="180"/>
      <c r="P8167" s="180" t="s">
        <v>257</v>
      </c>
      <c r="R8167" s="180" t="s">
        <v>257</v>
      </c>
    </row>
    <row r="8168" spans="8:18" x14ac:dyDescent="0.2">
      <c r="H8168" s="180"/>
      <c r="P8168" s="180" t="s">
        <v>257</v>
      </c>
      <c r="R8168" s="180" t="s">
        <v>257</v>
      </c>
    </row>
    <row r="8169" spans="8:18" x14ac:dyDescent="0.2">
      <c r="H8169" s="180"/>
      <c r="P8169" s="180" t="s">
        <v>257</v>
      </c>
      <c r="R8169" s="180" t="s">
        <v>257</v>
      </c>
    </row>
    <row r="8170" spans="8:18" x14ac:dyDescent="0.2">
      <c r="H8170" s="180"/>
      <c r="P8170" s="180" t="s">
        <v>257</v>
      </c>
      <c r="R8170" s="180" t="s">
        <v>257</v>
      </c>
    </row>
    <row r="8171" spans="8:18" x14ac:dyDescent="0.2">
      <c r="H8171" s="180"/>
      <c r="P8171" s="180" t="s">
        <v>257</v>
      </c>
      <c r="R8171" s="180" t="s">
        <v>257</v>
      </c>
    </row>
    <row r="8172" spans="8:18" x14ac:dyDescent="0.2">
      <c r="H8172" s="180"/>
      <c r="P8172" s="180" t="s">
        <v>257</v>
      </c>
      <c r="R8172" s="180" t="s">
        <v>257</v>
      </c>
    </row>
    <row r="8173" spans="8:18" x14ac:dyDescent="0.2">
      <c r="H8173" s="180"/>
      <c r="P8173" s="180" t="s">
        <v>257</v>
      </c>
      <c r="R8173" s="180" t="s">
        <v>257</v>
      </c>
    </row>
    <row r="8174" spans="8:18" x14ac:dyDescent="0.2">
      <c r="H8174" s="180"/>
      <c r="P8174" s="180" t="s">
        <v>257</v>
      </c>
      <c r="R8174" s="180" t="s">
        <v>257</v>
      </c>
    </row>
    <row r="8175" spans="8:18" x14ac:dyDescent="0.2">
      <c r="H8175" s="180"/>
      <c r="P8175" s="180" t="s">
        <v>257</v>
      </c>
      <c r="R8175" s="180" t="s">
        <v>257</v>
      </c>
    </row>
    <row r="8176" spans="8:18" x14ac:dyDescent="0.2">
      <c r="H8176" s="180"/>
      <c r="P8176" s="180" t="s">
        <v>257</v>
      </c>
      <c r="R8176" s="180" t="s">
        <v>257</v>
      </c>
    </row>
    <row r="8177" spans="8:18" x14ac:dyDescent="0.2">
      <c r="H8177" s="180"/>
      <c r="P8177" s="180" t="s">
        <v>257</v>
      </c>
      <c r="R8177" s="180" t="s">
        <v>257</v>
      </c>
    </row>
    <row r="8178" spans="8:18" x14ac:dyDescent="0.2">
      <c r="H8178" s="180"/>
      <c r="P8178" s="180" t="s">
        <v>257</v>
      </c>
      <c r="R8178" s="180" t="s">
        <v>257</v>
      </c>
    </row>
    <row r="8179" spans="8:18" x14ac:dyDescent="0.2">
      <c r="H8179" s="180"/>
      <c r="P8179" s="180" t="s">
        <v>257</v>
      </c>
      <c r="R8179" s="180" t="s">
        <v>257</v>
      </c>
    </row>
    <row r="8180" spans="8:18" x14ac:dyDescent="0.2">
      <c r="H8180" s="180"/>
      <c r="P8180" s="180" t="s">
        <v>257</v>
      </c>
      <c r="R8180" s="180" t="s">
        <v>257</v>
      </c>
    </row>
    <row r="8181" spans="8:18" x14ac:dyDescent="0.2">
      <c r="H8181" s="180"/>
      <c r="P8181" s="180" t="s">
        <v>257</v>
      </c>
      <c r="R8181" s="180" t="s">
        <v>257</v>
      </c>
    </row>
    <row r="8182" spans="8:18" x14ac:dyDescent="0.2">
      <c r="H8182" s="180"/>
      <c r="P8182" s="180" t="s">
        <v>257</v>
      </c>
      <c r="R8182" s="180" t="s">
        <v>257</v>
      </c>
    </row>
    <row r="8183" spans="8:18" x14ac:dyDescent="0.2">
      <c r="H8183" s="180"/>
      <c r="P8183" s="180" t="s">
        <v>257</v>
      </c>
      <c r="R8183" s="180" t="s">
        <v>257</v>
      </c>
    </row>
    <row r="8184" spans="8:18" x14ac:dyDescent="0.2">
      <c r="H8184" s="180"/>
      <c r="P8184" s="180" t="s">
        <v>257</v>
      </c>
      <c r="R8184" s="180" t="s">
        <v>257</v>
      </c>
    </row>
    <row r="8185" spans="8:18" x14ac:dyDescent="0.2">
      <c r="H8185" s="180"/>
      <c r="P8185" s="180" t="s">
        <v>257</v>
      </c>
      <c r="R8185" s="180" t="s">
        <v>257</v>
      </c>
    </row>
    <row r="8186" spans="8:18" x14ac:dyDescent="0.2">
      <c r="H8186" s="180"/>
      <c r="P8186" s="180" t="s">
        <v>257</v>
      </c>
      <c r="R8186" s="180" t="s">
        <v>257</v>
      </c>
    </row>
    <row r="8187" spans="8:18" x14ac:dyDescent="0.2">
      <c r="H8187" s="180"/>
      <c r="P8187" s="180" t="s">
        <v>257</v>
      </c>
      <c r="R8187" s="180" t="s">
        <v>257</v>
      </c>
    </row>
    <row r="8188" spans="8:18" x14ac:dyDescent="0.2">
      <c r="H8188" s="180"/>
      <c r="P8188" s="180" t="s">
        <v>257</v>
      </c>
      <c r="R8188" s="180" t="s">
        <v>257</v>
      </c>
    </row>
    <row r="8189" spans="8:18" x14ac:dyDescent="0.2">
      <c r="H8189" s="180"/>
      <c r="P8189" s="180" t="s">
        <v>257</v>
      </c>
      <c r="R8189" s="180" t="s">
        <v>257</v>
      </c>
    </row>
    <row r="8190" spans="8:18" x14ac:dyDescent="0.2">
      <c r="H8190" s="180"/>
      <c r="P8190" s="180" t="s">
        <v>257</v>
      </c>
      <c r="R8190" s="180" t="s">
        <v>257</v>
      </c>
    </row>
    <row r="8191" spans="8:18" x14ac:dyDescent="0.2">
      <c r="H8191" s="180"/>
      <c r="P8191" s="180" t="s">
        <v>257</v>
      </c>
      <c r="R8191" s="180" t="s">
        <v>257</v>
      </c>
    </row>
    <row r="8192" spans="8:18" x14ac:dyDescent="0.2">
      <c r="H8192" s="180"/>
      <c r="P8192" s="180" t="s">
        <v>257</v>
      </c>
      <c r="R8192" s="180" t="s">
        <v>257</v>
      </c>
    </row>
    <row r="8193" spans="8:18" x14ac:dyDescent="0.2">
      <c r="H8193" s="180"/>
      <c r="P8193" s="180" t="s">
        <v>257</v>
      </c>
      <c r="R8193" s="180" t="s">
        <v>257</v>
      </c>
    </row>
    <row r="8194" spans="8:18" x14ac:dyDescent="0.2">
      <c r="H8194" s="180"/>
      <c r="P8194" s="180" t="s">
        <v>257</v>
      </c>
      <c r="R8194" s="180" t="s">
        <v>257</v>
      </c>
    </row>
    <row r="8195" spans="8:18" x14ac:dyDescent="0.2">
      <c r="H8195" s="180"/>
      <c r="P8195" s="180" t="s">
        <v>257</v>
      </c>
      <c r="R8195" s="180" t="s">
        <v>257</v>
      </c>
    </row>
    <row r="8196" spans="8:18" x14ac:dyDescent="0.2">
      <c r="H8196" s="180"/>
      <c r="P8196" s="180" t="s">
        <v>257</v>
      </c>
      <c r="R8196" s="180" t="s">
        <v>257</v>
      </c>
    </row>
    <row r="8197" spans="8:18" x14ac:dyDescent="0.2">
      <c r="H8197" s="180"/>
      <c r="P8197" s="180" t="s">
        <v>257</v>
      </c>
      <c r="R8197" s="180" t="s">
        <v>257</v>
      </c>
    </row>
    <row r="8198" spans="8:18" x14ac:dyDescent="0.2">
      <c r="H8198" s="180"/>
      <c r="P8198" s="180" t="s">
        <v>257</v>
      </c>
      <c r="R8198" s="180" t="s">
        <v>257</v>
      </c>
    </row>
    <row r="8199" spans="8:18" x14ac:dyDescent="0.2">
      <c r="H8199" s="180"/>
      <c r="P8199" s="180" t="s">
        <v>257</v>
      </c>
      <c r="R8199" s="180" t="s">
        <v>257</v>
      </c>
    </row>
    <row r="8200" spans="8:18" x14ac:dyDescent="0.2">
      <c r="H8200" s="180"/>
      <c r="P8200" s="180" t="s">
        <v>257</v>
      </c>
      <c r="R8200" s="180" t="s">
        <v>257</v>
      </c>
    </row>
    <row r="8201" spans="8:18" x14ac:dyDescent="0.2">
      <c r="H8201" s="180"/>
      <c r="P8201" s="180" t="s">
        <v>257</v>
      </c>
      <c r="R8201" s="180" t="s">
        <v>257</v>
      </c>
    </row>
    <row r="8202" spans="8:18" x14ac:dyDescent="0.2">
      <c r="H8202" s="180"/>
      <c r="P8202" s="180" t="s">
        <v>257</v>
      </c>
      <c r="R8202" s="180" t="s">
        <v>257</v>
      </c>
    </row>
    <row r="8203" spans="8:18" x14ac:dyDescent="0.2">
      <c r="H8203" s="180"/>
      <c r="P8203" s="180" t="s">
        <v>257</v>
      </c>
      <c r="R8203" s="180" t="s">
        <v>257</v>
      </c>
    </row>
    <row r="8204" spans="8:18" x14ac:dyDescent="0.2">
      <c r="H8204" s="180"/>
      <c r="P8204" s="180" t="s">
        <v>257</v>
      </c>
      <c r="R8204" s="180" t="s">
        <v>257</v>
      </c>
    </row>
    <row r="8205" spans="8:18" x14ac:dyDescent="0.2">
      <c r="H8205" s="180"/>
      <c r="P8205" s="180" t="s">
        <v>257</v>
      </c>
      <c r="R8205" s="180" t="s">
        <v>257</v>
      </c>
    </row>
    <row r="8206" spans="8:18" x14ac:dyDescent="0.2">
      <c r="H8206" s="180"/>
      <c r="P8206" s="180" t="s">
        <v>257</v>
      </c>
      <c r="R8206" s="180" t="s">
        <v>257</v>
      </c>
    </row>
    <row r="8207" spans="8:18" x14ac:dyDescent="0.2">
      <c r="H8207" s="180"/>
      <c r="P8207" s="180" t="s">
        <v>257</v>
      </c>
      <c r="R8207" s="180" t="s">
        <v>257</v>
      </c>
    </row>
    <row r="8208" spans="8:18" x14ac:dyDescent="0.2">
      <c r="H8208" s="180"/>
      <c r="P8208" s="180" t="s">
        <v>257</v>
      </c>
      <c r="R8208" s="180" t="s">
        <v>257</v>
      </c>
    </row>
    <row r="8209" spans="8:18" x14ac:dyDescent="0.2">
      <c r="H8209" s="180"/>
      <c r="P8209" s="180" t="s">
        <v>257</v>
      </c>
      <c r="R8209" s="180" t="s">
        <v>257</v>
      </c>
    </row>
    <row r="8210" spans="8:18" x14ac:dyDescent="0.2">
      <c r="H8210" s="180"/>
      <c r="P8210" s="180" t="s">
        <v>257</v>
      </c>
      <c r="R8210" s="180" t="s">
        <v>257</v>
      </c>
    </row>
    <row r="8211" spans="8:18" x14ac:dyDescent="0.2">
      <c r="H8211" s="180"/>
      <c r="P8211" s="180" t="s">
        <v>257</v>
      </c>
      <c r="R8211" s="180" t="s">
        <v>257</v>
      </c>
    </row>
    <row r="8212" spans="8:18" x14ac:dyDescent="0.2">
      <c r="H8212" s="180"/>
      <c r="P8212" s="180" t="s">
        <v>257</v>
      </c>
      <c r="R8212" s="180" t="s">
        <v>257</v>
      </c>
    </row>
    <row r="8213" spans="8:18" x14ac:dyDescent="0.2">
      <c r="H8213" s="180"/>
      <c r="P8213" s="180" t="s">
        <v>257</v>
      </c>
      <c r="R8213" s="180" t="s">
        <v>257</v>
      </c>
    </row>
    <row r="8214" spans="8:18" x14ac:dyDescent="0.2">
      <c r="H8214" s="180"/>
      <c r="P8214" s="180" t="s">
        <v>257</v>
      </c>
      <c r="R8214" s="180" t="s">
        <v>257</v>
      </c>
    </row>
    <row r="8215" spans="8:18" x14ac:dyDescent="0.2">
      <c r="H8215" s="180"/>
      <c r="P8215" s="180" t="s">
        <v>257</v>
      </c>
      <c r="R8215" s="180" t="s">
        <v>257</v>
      </c>
    </row>
    <row r="8216" spans="8:18" x14ac:dyDescent="0.2">
      <c r="H8216" s="180"/>
      <c r="P8216" s="180" t="s">
        <v>257</v>
      </c>
      <c r="R8216" s="180" t="s">
        <v>257</v>
      </c>
    </row>
    <row r="8217" spans="8:18" x14ac:dyDescent="0.2">
      <c r="H8217" s="180"/>
      <c r="P8217" s="180" t="s">
        <v>257</v>
      </c>
      <c r="R8217" s="180" t="s">
        <v>257</v>
      </c>
    </row>
    <row r="8218" spans="8:18" x14ac:dyDescent="0.2">
      <c r="H8218" s="180"/>
      <c r="P8218" s="180" t="s">
        <v>257</v>
      </c>
      <c r="R8218" s="180" t="s">
        <v>257</v>
      </c>
    </row>
    <row r="8219" spans="8:18" x14ac:dyDescent="0.2">
      <c r="H8219" s="180"/>
      <c r="P8219" s="180" t="s">
        <v>257</v>
      </c>
      <c r="R8219" s="180" t="s">
        <v>257</v>
      </c>
    </row>
    <row r="8220" spans="8:18" x14ac:dyDescent="0.2">
      <c r="H8220" s="180"/>
      <c r="P8220" s="180" t="s">
        <v>257</v>
      </c>
      <c r="R8220" s="180" t="s">
        <v>257</v>
      </c>
    </row>
    <row r="8221" spans="8:18" x14ac:dyDescent="0.2">
      <c r="H8221" s="180"/>
      <c r="P8221" s="180" t="s">
        <v>257</v>
      </c>
      <c r="R8221" s="180" t="s">
        <v>257</v>
      </c>
    </row>
    <row r="8222" spans="8:18" x14ac:dyDescent="0.2">
      <c r="H8222" s="180"/>
      <c r="P8222" s="180" t="s">
        <v>257</v>
      </c>
      <c r="R8222" s="180" t="s">
        <v>257</v>
      </c>
    </row>
    <row r="8223" spans="8:18" x14ac:dyDescent="0.2">
      <c r="H8223" s="180"/>
      <c r="P8223" s="180" t="s">
        <v>257</v>
      </c>
      <c r="R8223" s="180" t="s">
        <v>257</v>
      </c>
    </row>
    <row r="8224" spans="8:18" x14ac:dyDescent="0.2">
      <c r="H8224" s="180"/>
      <c r="P8224" s="180" t="s">
        <v>257</v>
      </c>
      <c r="R8224" s="180" t="s">
        <v>257</v>
      </c>
    </row>
    <row r="8225" spans="8:18" x14ac:dyDescent="0.2">
      <c r="H8225" s="180"/>
      <c r="P8225" s="180" t="s">
        <v>257</v>
      </c>
      <c r="R8225" s="180" t="s">
        <v>257</v>
      </c>
    </row>
    <row r="8226" spans="8:18" x14ac:dyDescent="0.2">
      <c r="H8226" s="180"/>
      <c r="P8226" s="180" t="s">
        <v>257</v>
      </c>
      <c r="R8226" s="180" t="s">
        <v>257</v>
      </c>
    </row>
    <row r="8227" spans="8:18" x14ac:dyDescent="0.2">
      <c r="H8227" s="180"/>
      <c r="P8227" s="180" t="s">
        <v>257</v>
      </c>
      <c r="R8227" s="180" t="s">
        <v>257</v>
      </c>
    </row>
    <row r="8228" spans="8:18" x14ac:dyDescent="0.2">
      <c r="H8228" s="180"/>
      <c r="P8228" s="180" t="s">
        <v>257</v>
      </c>
      <c r="R8228" s="180" t="s">
        <v>257</v>
      </c>
    </row>
    <row r="8229" spans="8:18" x14ac:dyDescent="0.2">
      <c r="H8229" s="180"/>
      <c r="P8229" s="180" t="s">
        <v>257</v>
      </c>
      <c r="R8229" s="180" t="s">
        <v>257</v>
      </c>
    </row>
    <row r="8230" spans="8:18" x14ac:dyDescent="0.2">
      <c r="H8230" s="180"/>
      <c r="P8230" s="180" t="s">
        <v>257</v>
      </c>
      <c r="R8230" s="180" t="s">
        <v>257</v>
      </c>
    </row>
    <row r="8231" spans="8:18" x14ac:dyDescent="0.2">
      <c r="H8231" s="180"/>
      <c r="P8231" s="180" t="s">
        <v>257</v>
      </c>
      <c r="R8231" s="180" t="s">
        <v>257</v>
      </c>
    </row>
    <row r="8232" spans="8:18" x14ac:dyDescent="0.2">
      <c r="H8232" s="180"/>
      <c r="P8232" s="180" t="s">
        <v>257</v>
      </c>
      <c r="R8232" s="180" t="s">
        <v>257</v>
      </c>
    </row>
    <row r="8233" spans="8:18" x14ac:dyDescent="0.2">
      <c r="H8233" s="180"/>
      <c r="P8233" s="180" t="s">
        <v>257</v>
      </c>
      <c r="R8233" s="180" t="s">
        <v>257</v>
      </c>
    </row>
    <row r="8234" spans="8:18" x14ac:dyDescent="0.2">
      <c r="H8234" s="180"/>
      <c r="P8234" s="180" t="s">
        <v>257</v>
      </c>
      <c r="R8234" s="180" t="s">
        <v>257</v>
      </c>
    </row>
    <row r="8235" spans="8:18" x14ac:dyDescent="0.2">
      <c r="H8235" s="180"/>
      <c r="P8235" s="180" t="s">
        <v>257</v>
      </c>
      <c r="R8235" s="180" t="s">
        <v>257</v>
      </c>
    </row>
    <row r="8236" spans="8:18" x14ac:dyDescent="0.2">
      <c r="H8236" s="180"/>
      <c r="P8236" s="180" t="s">
        <v>257</v>
      </c>
      <c r="R8236" s="180" t="s">
        <v>257</v>
      </c>
    </row>
    <row r="8237" spans="8:18" x14ac:dyDescent="0.2">
      <c r="H8237" s="180"/>
      <c r="P8237" s="180" t="s">
        <v>257</v>
      </c>
      <c r="R8237" s="180" t="s">
        <v>257</v>
      </c>
    </row>
    <row r="8238" spans="8:18" x14ac:dyDescent="0.2">
      <c r="H8238" s="180"/>
      <c r="P8238" s="180" t="s">
        <v>257</v>
      </c>
      <c r="R8238" s="180" t="s">
        <v>257</v>
      </c>
    </row>
    <row r="8239" spans="8:18" x14ac:dyDescent="0.2">
      <c r="H8239" s="180"/>
      <c r="P8239" s="180" t="s">
        <v>257</v>
      </c>
      <c r="R8239" s="180" t="s">
        <v>257</v>
      </c>
    </row>
    <row r="8240" spans="8:18" x14ac:dyDescent="0.2">
      <c r="H8240" s="180"/>
      <c r="P8240" s="180" t="s">
        <v>257</v>
      </c>
      <c r="R8240" s="180" t="s">
        <v>257</v>
      </c>
    </row>
    <row r="8241" spans="8:18" x14ac:dyDescent="0.2">
      <c r="H8241" s="180"/>
      <c r="P8241" s="180" t="s">
        <v>257</v>
      </c>
      <c r="R8241" s="180" t="s">
        <v>257</v>
      </c>
    </row>
    <row r="8242" spans="8:18" x14ac:dyDescent="0.2">
      <c r="H8242" s="180"/>
      <c r="P8242" s="180" t="s">
        <v>257</v>
      </c>
      <c r="R8242" s="180" t="s">
        <v>257</v>
      </c>
    </row>
    <row r="8243" spans="8:18" x14ac:dyDescent="0.2">
      <c r="H8243" s="180"/>
      <c r="P8243" s="180" t="s">
        <v>257</v>
      </c>
      <c r="R8243" s="180" t="s">
        <v>257</v>
      </c>
    </row>
    <row r="8244" spans="8:18" x14ac:dyDescent="0.2">
      <c r="H8244" s="180"/>
      <c r="P8244" s="180" t="s">
        <v>257</v>
      </c>
      <c r="R8244" s="180" t="s">
        <v>257</v>
      </c>
    </row>
    <row r="8245" spans="8:18" x14ac:dyDescent="0.2">
      <c r="H8245" s="180"/>
      <c r="P8245" s="180" t="s">
        <v>257</v>
      </c>
      <c r="R8245" s="180" t="s">
        <v>257</v>
      </c>
    </row>
    <row r="8246" spans="8:18" x14ac:dyDescent="0.2">
      <c r="H8246" s="180"/>
      <c r="P8246" s="180" t="s">
        <v>257</v>
      </c>
      <c r="R8246" s="180" t="s">
        <v>257</v>
      </c>
    </row>
    <row r="8247" spans="8:18" x14ac:dyDescent="0.2">
      <c r="H8247" s="180"/>
      <c r="P8247" s="180" t="s">
        <v>257</v>
      </c>
      <c r="R8247" s="180" t="s">
        <v>257</v>
      </c>
    </row>
    <row r="8248" spans="8:18" x14ac:dyDescent="0.2">
      <c r="H8248" s="180"/>
      <c r="P8248" s="180" t="s">
        <v>257</v>
      </c>
      <c r="R8248" s="180" t="s">
        <v>257</v>
      </c>
    </row>
    <row r="8249" spans="8:18" x14ac:dyDescent="0.2">
      <c r="H8249" s="180"/>
      <c r="P8249" s="180" t="s">
        <v>257</v>
      </c>
      <c r="R8249" s="180" t="s">
        <v>257</v>
      </c>
    </row>
    <row r="8250" spans="8:18" x14ac:dyDescent="0.2">
      <c r="H8250" s="180"/>
      <c r="P8250" s="180" t="s">
        <v>257</v>
      </c>
      <c r="R8250" s="180" t="s">
        <v>257</v>
      </c>
    </row>
    <row r="8251" spans="8:18" x14ac:dyDescent="0.2">
      <c r="H8251" s="180"/>
      <c r="P8251" s="180" t="s">
        <v>257</v>
      </c>
      <c r="R8251" s="180" t="s">
        <v>257</v>
      </c>
    </row>
    <row r="8252" spans="8:18" x14ac:dyDescent="0.2">
      <c r="H8252" s="180"/>
      <c r="P8252" s="180" t="s">
        <v>257</v>
      </c>
      <c r="R8252" s="180" t="s">
        <v>257</v>
      </c>
    </row>
    <row r="8253" spans="8:18" x14ac:dyDescent="0.2">
      <c r="H8253" s="180"/>
      <c r="P8253" s="180" t="s">
        <v>257</v>
      </c>
      <c r="R8253" s="180" t="s">
        <v>257</v>
      </c>
    </row>
    <row r="8254" spans="8:18" x14ac:dyDescent="0.2">
      <c r="H8254" s="180"/>
      <c r="P8254" s="180" t="s">
        <v>257</v>
      </c>
      <c r="R8254" s="180" t="s">
        <v>257</v>
      </c>
    </row>
    <row r="8255" spans="8:18" x14ac:dyDescent="0.2">
      <c r="H8255" s="180"/>
      <c r="P8255" s="180" t="s">
        <v>257</v>
      </c>
      <c r="R8255" s="180" t="s">
        <v>257</v>
      </c>
    </row>
    <row r="8256" spans="8:18" x14ac:dyDescent="0.2">
      <c r="H8256" s="180"/>
      <c r="P8256" s="180" t="s">
        <v>257</v>
      </c>
      <c r="R8256" s="180" t="s">
        <v>257</v>
      </c>
    </row>
    <row r="8257" spans="8:18" x14ac:dyDescent="0.2">
      <c r="H8257" s="180"/>
      <c r="P8257" s="180" t="s">
        <v>257</v>
      </c>
      <c r="R8257" s="180" t="s">
        <v>257</v>
      </c>
    </row>
    <row r="8258" spans="8:18" x14ac:dyDescent="0.2">
      <c r="H8258" s="180"/>
      <c r="P8258" s="180" t="s">
        <v>257</v>
      </c>
      <c r="R8258" s="180" t="s">
        <v>257</v>
      </c>
    </row>
    <row r="8259" spans="8:18" x14ac:dyDescent="0.2">
      <c r="H8259" s="180"/>
      <c r="P8259" s="180" t="s">
        <v>257</v>
      </c>
      <c r="R8259" s="180" t="s">
        <v>257</v>
      </c>
    </row>
    <row r="8260" spans="8:18" x14ac:dyDescent="0.2">
      <c r="H8260" s="180"/>
      <c r="P8260" s="180" t="s">
        <v>257</v>
      </c>
      <c r="R8260" s="180" t="s">
        <v>257</v>
      </c>
    </row>
    <row r="8261" spans="8:18" x14ac:dyDescent="0.2">
      <c r="H8261" s="180"/>
      <c r="P8261" s="180" t="s">
        <v>257</v>
      </c>
      <c r="R8261" s="180" t="s">
        <v>257</v>
      </c>
    </row>
    <row r="8262" spans="8:18" x14ac:dyDescent="0.2">
      <c r="H8262" s="180"/>
      <c r="P8262" s="180" t="s">
        <v>257</v>
      </c>
      <c r="R8262" s="180" t="s">
        <v>257</v>
      </c>
    </row>
    <row r="8263" spans="8:18" x14ac:dyDescent="0.2">
      <c r="H8263" s="180"/>
      <c r="P8263" s="180" t="s">
        <v>257</v>
      </c>
      <c r="R8263" s="180" t="s">
        <v>257</v>
      </c>
    </row>
    <row r="8264" spans="8:18" x14ac:dyDescent="0.2">
      <c r="H8264" s="180"/>
      <c r="P8264" s="180" t="s">
        <v>257</v>
      </c>
      <c r="R8264" s="180" t="s">
        <v>257</v>
      </c>
    </row>
    <row r="8265" spans="8:18" x14ac:dyDescent="0.2">
      <c r="H8265" s="180"/>
      <c r="P8265" s="180" t="s">
        <v>257</v>
      </c>
      <c r="R8265" s="180" t="s">
        <v>257</v>
      </c>
    </row>
    <row r="8266" spans="8:18" x14ac:dyDescent="0.2">
      <c r="H8266" s="180"/>
      <c r="P8266" s="180" t="s">
        <v>257</v>
      </c>
      <c r="R8266" s="180" t="s">
        <v>257</v>
      </c>
    </row>
    <row r="8267" spans="8:18" x14ac:dyDescent="0.2">
      <c r="H8267" s="180"/>
      <c r="P8267" s="180" t="s">
        <v>257</v>
      </c>
      <c r="R8267" s="180" t="s">
        <v>257</v>
      </c>
    </row>
    <row r="8268" spans="8:18" x14ac:dyDescent="0.2">
      <c r="H8268" s="180"/>
      <c r="P8268" s="180" t="s">
        <v>257</v>
      </c>
      <c r="R8268" s="180" t="s">
        <v>257</v>
      </c>
    </row>
    <row r="8269" spans="8:18" x14ac:dyDescent="0.2">
      <c r="H8269" s="180"/>
      <c r="P8269" s="180" t="s">
        <v>257</v>
      </c>
      <c r="R8269" s="180" t="s">
        <v>257</v>
      </c>
    </row>
    <row r="8270" spans="8:18" x14ac:dyDescent="0.2">
      <c r="H8270" s="180"/>
      <c r="P8270" s="180" t="s">
        <v>257</v>
      </c>
      <c r="R8270" s="180" t="s">
        <v>257</v>
      </c>
    </row>
    <row r="8271" spans="8:18" x14ac:dyDescent="0.2">
      <c r="H8271" s="180"/>
      <c r="P8271" s="180" t="s">
        <v>257</v>
      </c>
      <c r="R8271" s="180" t="s">
        <v>257</v>
      </c>
    </row>
    <row r="8272" spans="8:18" x14ac:dyDescent="0.2">
      <c r="H8272" s="180"/>
      <c r="P8272" s="180" t="s">
        <v>257</v>
      </c>
      <c r="R8272" s="180" t="s">
        <v>257</v>
      </c>
    </row>
    <row r="8273" spans="8:18" x14ac:dyDescent="0.2">
      <c r="H8273" s="180"/>
      <c r="P8273" s="180" t="s">
        <v>257</v>
      </c>
      <c r="R8273" s="180" t="s">
        <v>257</v>
      </c>
    </row>
    <row r="8274" spans="8:18" x14ac:dyDescent="0.2">
      <c r="H8274" s="180"/>
      <c r="P8274" s="180" t="s">
        <v>257</v>
      </c>
      <c r="R8274" s="180" t="s">
        <v>257</v>
      </c>
    </row>
    <row r="8275" spans="8:18" x14ac:dyDescent="0.2">
      <c r="H8275" s="180"/>
      <c r="P8275" s="180" t="s">
        <v>257</v>
      </c>
      <c r="R8275" s="180" t="s">
        <v>257</v>
      </c>
    </row>
    <row r="8276" spans="8:18" x14ac:dyDescent="0.2">
      <c r="H8276" s="180"/>
      <c r="P8276" s="180" t="s">
        <v>257</v>
      </c>
      <c r="R8276" s="180" t="s">
        <v>257</v>
      </c>
    </row>
    <row r="8277" spans="8:18" x14ac:dyDescent="0.2">
      <c r="H8277" s="180"/>
      <c r="P8277" s="180" t="s">
        <v>257</v>
      </c>
      <c r="R8277" s="180" t="s">
        <v>257</v>
      </c>
    </row>
    <row r="8278" spans="8:18" x14ac:dyDescent="0.2">
      <c r="H8278" s="180"/>
      <c r="P8278" s="180" t="s">
        <v>257</v>
      </c>
      <c r="R8278" s="180" t="s">
        <v>257</v>
      </c>
    </row>
    <row r="8279" spans="8:18" x14ac:dyDescent="0.2">
      <c r="H8279" s="180"/>
      <c r="P8279" s="180" t="s">
        <v>257</v>
      </c>
      <c r="R8279" s="180" t="s">
        <v>257</v>
      </c>
    </row>
    <row r="8280" spans="8:18" x14ac:dyDescent="0.2">
      <c r="H8280" s="180"/>
      <c r="P8280" s="180" t="s">
        <v>257</v>
      </c>
      <c r="R8280" s="180" t="s">
        <v>257</v>
      </c>
    </row>
    <row r="8281" spans="8:18" x14ac:dyDescent="0.2">
      <c r="H8281" s="180"/>
      <c r="P8281" s="180" t="s">
        <v>257</v>
      </c>
      <c r="R8281" s="180" t="s">
        <v>257</v>
      </c>
    </row>
    <row r="8282" spans="8:18" x14ac:dyDescent="0.2">
      <c r="H8282" s="180"/>
      <c r="P8282" s="180" t="s">
        <v>257</v>
      </c>
      <c r="R8282" s="180" t="s">
        <v>257</v>
      </c>
    </row>
    <row r="8283" spans="8:18" x14ac:dyDescent="0.2">
      <c r="H8283" s="180"/>
      <c r="P8283" s="180" t="s">
        <v>257</v>
      </c>
      <c r="R8283" s="180" t="s">
        <v>257</v>
      </c>
    </row>
    <row r="8284" spans="8:18" x14ac:dyDescent="0.2">
      <c r="H8284" s="180"/>
      <c r="P8284" s="180" t="s">
        <v>257</v>
      </c>
      <c r="R8284" s="180" t="s">
        <v>257</v>
      </c>
    </row>
    <row r="8285" spans="8:18" x14ac:dyDescent="0.2">
      <c r="H8285" s="180"/>
      <c r="P8285" s="180" t="s">
        <v>257</v>
      </c>
      <c r="R8285" s="180" t="s">
        <v>257</v>
      </c>
    </row>
    <row r="8286" spans="8:18" x14ac:dyDescent="0.2">
      <c r="H8286" s="180"/>
      <c r="P8286" s="180" t="s">
        <v>257</v>
      </c>
      <c r="R8286" s="180" t="s">
        <v>257</v>
      </c>
    </row>
    <row r="8287" spans="8:18" x14ac:dyDescent="0.2">
      <c r="H8287" s="180"/>
      <c r="P8287" s="180" t="s">
        <v>257</v>
      </c>
      <c r="R8287" s="180" t="s">
        <v>257</v>
      </c>
    </row>
    <row r="8288" spans="8:18" x14ac:dyDescent="0.2">
      <c r="H8288" s="180"/>
      <c r="P8288" s="180" t="s">
        <v>257</v>
      </c>
      <c r="R8288" s="180" t="s">
        <v>257</v>
      </c>
    </row>
    <row r="8289" spans="8:18" x14ac:dyDescent="0.2">
      <c r="H8289" s="180"/>
      <c r="P8289" s="180" t="s">
        <v>257</v>
      </c>
      <c r="R8289" s="180" t="s">
        <v>257</v>
      </c>
    </row>
    <row r="8290" spans="8:18" x14ac:dyDescent="0.2">
      <c r="H8290" s="180"/>
      <c r="P8290" s="180" t="s">
        <v>257</v>
      </c>
      <c r="R8290" s="180" t="s">
        <v>257</v>
      </c>
    </row>
    <row r="8291" spans="8:18" x14ac:dyDescent="0.2">
      <c r="H8291" s="180"/>
      <c r="P8291" s="180" t="s">
        <v>257</v>
      </c>
      <c r="R8291" s="180" t="s">
        <v>257</v>
      </c>
    </row>
    <row r="8292" spans="8:18" x14ac:dyDescent="0.2">
      <c r="H8292" s="180"/>
      <c r="P8292" s="180" t="s">
        <v>257</v>
      </c>
      <c r="R8292" s="180" t="s">
        <v>257</v>
      </c>
    </row>
    <row r="8293" spans="8:18" x14ac:dyDescent="0.2">
      <c r="H8293" s="180"/>
      <c r="P8293" s="180" t="s">
        <v>257</v>
      </c>
      <c r="R8293" s="180" t="s">
        <v>257</v>
      </c>
    </row>
    <row r="8294" spans="8:18" x14ac:dyDescent="0.2">
      <c r="H8294" s="180"/>
      <c r="P8294" s="180" t="s">
        <v>257</v>
      </c>
      <c r="R8294" s="180" t="s">
        <v>257</v>
      </c>
    </row>
    <row r="8295" spans="8:18" x14ac:dyDescent="0.2">
      <c r="H8295" s="180"/>
      <c r="P8295" s="180" t="s">
        <v>257</v>
      </c>
      <c r="R8295" s="180" t="s">
        <v>257</v>
      </c>
    </row>
    <row r="8296" spans="8:18" x14ac:dyDescent="0.2">
      <c r="H8296" s="180"/>
      <c r="P8296" s="180" t="s">
        <v>257</v>
      </c>
      <c r="R8296" s="180" t="s">
        <v>257</v>
      </c>
    </row>
    <row r="8297" spans="8:18" x14ac:dyDescent="0.2">
      <c r="H8297" s="180"/>
      <c r="P8297" s="180" t="s">
        <v>257</v>
      </c>
      <c r="R8297" s="180" t="s">
        <v>257</v>
      </c>
    </row>
    <row r="8298" spans="8:18" x14ac:dyDescent="0.2">
      <c r="H8298" s="180"/>
      <c r="P8298" s="180" t="s">
        <v>257</v>
      </c>
      <c r="R8298" s="180" t="s">
        <v>257</v>
      </c>
    </row>
    <row r="8299" spans="8:18" x14ac:dyDescent="0.2">
      <c r="H8299" s="180"/>
      <c r="P8299" s="180" t="s">
        <v>257</v>
      </c>
      <c r="R8299" s="180" t="s">
        <v>257</v>
      </c>
    </row>
    <row r="8300" spans="8:18" x14ac:dyDescent="0.2">
      <c r="H8300" s="180"/>
      <c r="P8300" s="180" t="s">
        <v>257</v>
      </c>
      <c r="R8300" s="180" t="s">
        <v>257</v>
      </c>
    </row>
    <row r="8301" spans="8:18" x14ac:dyDescent="0.2">
      <c r="H8301" s="180"/>
      <c r="P8301" s="180" t="s">
        <v>257</v>
      </c>
      <c r="R8301" s="180" t="s">
        <v>257</v>
      </c>
    </row>
    <row r="8302" spans="8:18" x14ac:dyDescent="0.2">
      <c r="H8302" s="180"/>
      <c r="P8302" s="180" t="s">
        <v>257</v>
      </c>
      <c r="R8302" s="180" t="s">
        <v>257</v>
      </c>
    </row>
    <row r="8303" spans="8:18" x14ac:dyDescent="0.2">
      <c r="H8303" s="180"/>
      <c r="P8303" s="180" t="s">
        <v>257</v>
      </c>
      <c r="R8303" s="180" t="s">
        <v>257</v>
      </c>
    </row>
    <row r="8304" spans="8:18" x14ac:dyDescent="0.2">
      <c r="H8304" s="180"/>
      <c r="P8304" s="180" t="s">
        <v>257</v>
      </c>
      <c r="R8304" s="180" t="s">
        <v>257</v>
      </c>
    </row>
    <row r="8305" spans="8:18" x14ac:dyDescent="0.2">
      <c r="H8305" s="180"/>
      <c r="P8305" s="180" t="s">
        <v>257</v>
      </c>
      <c r="R8305" s="180" t="s">
        <v>257</v>
      </c>
    </row>
    <row r="8306" spans="8:18" x14ac:dyDescent="0.2">
      <c r="H8306" s="180"/>
      <c r="P8306" s="180" t="s">
        <v>257</v>
      </c>
      <c r="R8306" s="180" t="s">
        <v>257</v>
      </c>
    </row>
    <row r="8307" spans="8:18" x14ac:dyDescent="0.2">
      <c r="H8307" s="180"/>
      <c r="P8307" s="180" t="s">
        <v>257</v>
      </c>
      <c r="R8307" s="180" t="s">
        <v>257</v>
      </c>
    </row>
    <row r="8308" spans="8:18" x14ac:dyDescent="0.2">
      <c r="H8308" s="180"/>
      <c r="P8308" s="180" t="s">
        <v>257</v>
      </c>
      <c r="R8308" s="180" t="s">
        <v>257</v>
      </c>
    </row>
    <row r="8309" spans="8:18" x14ac:dyDescent="0.2">
      <c r="H8309" s="180"/>
      <c r="P8309" s="180" t="s">
        <v>257</v>
      </c>
      <c r="R8309" s="180" t="s">
        <v>257</v>
      </c>
    </row>
    <row r="8310" spans="8:18" x14ac:dyDescent="0.2">
      <c r="H8310" s="180"/>
      <c r="P8310" s="180" t="s">
        <v>257</v>
      </c>
      <c r="R8310" s="180" t="s">
        <v>257</v>
      </c>
    </row>
    <row r="8311" spans="8:18" x14ac:dyDescent="0.2">
      <c r="H8311" s="180"/>
      <c r="P8311" s="180" t="s">
        <v>257</v>
      </c>
      <c r="R8311" s="180" t="s">
        <v>257</v>
      </c>
    </row>
    <row r="8312" spans="8:18" x14ac:dyDescent="0.2">
      <c r="H8312" s="180"/>
      <c r="P8312" s="180" t="s">
        <v>257</v>
      </c>
      <c r="R8312" s="180" t="s">
        <v>257</v>
      </c>
    </row>
    <row r="8313" spans="8:18" x14ac:dyDescent="0.2">
      <c r="H8313" s="180"/>
      <c r="P8313" s="180" t="s">
        <v>257</v>
      </c>
      <c r="R8313" s="180" t="s">
        <v>257</v>
      </c>
    </row>
    <row r="8314" spans="8:18" x14ac:dyDescent="0.2">
      <c r="H8314" s="180"/>
      <c r="P8314" s="180" t="s">
        <v>257</v>
      </c>
      <c r="R8314" s="180" t="s">
        <v>257</v>
      </c>
    </row>
    <row r="8315" spans="8:18" x14ac:dyDescent="0.2">
      <c r="H8315" s="180"/>
      <c r="P8315" s="180" t="s">
        <v>257</v>
      </c>
      <c r="R8315" s="180" t="s">
        <v>257</v>
      </c>
    </row>
    <row r="8316" spans="8:18" x14ac:dyDescent="0.2">
      <c r="H8316" s="180"/>
      <c r="P8316" s="180" t="s">
        <v>257</v>
      </c>
      <c r="R8316" s="180" t="s">
        <v>257</v>
      </c>
    </row>
    <row r="8317" spans="8:18" x14ac:dyDescent="0.2">
      <c r="H8317" s="180"/>
      <c r="P8317" s="180" t="s">
        <v>257</v>
      </c>
      <c r="R8317" s="180" t="s">
        <v>257</v>
      </c>
    </row>
    <row r="8318" spans="8:18" x14ac:dyDescent="0.2">
      <c r="H8318" s="180"/>
      <c r="P8318" s="180" t="s">
        <v>257</v>
      </c>
      <c r="R8318" s="180" t="s">
        <v>257</v>
      </c>
    </row>
    <row r="8319" spans="8:18" x14ac:dyDescent="0.2">
      <c r="H8319" s="180"/>
      <c r="P8319" s="180" t="s">
        <v>257</v>
      </c>
      <c r="R8319" s="180" t="s">
        <v>257</v>
      </c>
    </row>
    <row r="8320" spans="8:18" x14ac:dyDescent="0.2">
      <c r="H8320" s="180"/>
      <c r="P8320" s="180" t="s">
        <v>257</v>
      </c>
      <c r="R8320" s="180" t="s">
        <v>257</v>
      </c>
    </row>
    <row r="8321" spans="8:18" x14ac:dyDescent="0.2">
      <c r="H8321" s="180"/>
      <c r="P8321" s="180" t="s">
        <v>257</v>
      </c>
      <c r="R8321" s="180" t="s">
        <v>257</v>
      </c>
    </row>
    <row r="8322" spans="8:18" x14ac:dyDescent="0.2">
      <c r="H8322" s="180"/>
      <c r="P8322" s="180" t="s">
        <v>257</v>
      </c>
      <c r="R8322" s="180" t="s">
        <v>257</v>
      </c>
    </row>
    <row r="8323" spans="8:18" x14ac:dyDescent="0.2">
      <c r="H8323" s="180"/>
      <c r="P8323" s="180" t="s">
        <v>257</v>
      </c>
      <c r="R8323" s="180" t="s">
        <v>257</v>
      </c>
    </row>
    <row r="8324" spans="8:18" x14ac:dyDescent="0.2">
      <c r="H8324" s="180"/>
      <c r="P8324" s="180" t="s">
        <v>257</v>
      </c>
      <c r="R8324" s="180" t="s">
        <v>257</v>
      </c>
    </row>
    <row r="8325" spans="8:18" x14ac:dyDescent="0.2">
      <c r="H8325" s="180"/>
      <c r="P8325" s="180" t="s">
        <v>257</v>
      </c>
      <c r="R8325" s="180" t="s">
        <v>257</v>
      </c>
    </row>
    <row r="8326" spans="8:18" x14ac:dyDescent="0.2">
      <c r="H8326" s="180"/>
      <c r="P8326" s="180" t="s">
        <v>257</v>
      </c>
      <c r="R8326" s="180" t="s">
        <v>257</v>
      </c>
    </row>
    <row r="8327" spans="8:18" x14ac:dyDescent="0.2">
      <c r="H8327" s="180"/>
      <c r="P8327" s="180" t="s">
        <v>257</v>
      </c>
      <c r="R8327" s="180" t="s">
        <v>257</v>
      </c>
    </row>
    <row r="8328" spans="8:18" x14ac:dyDescent="0.2">
      <c r="H8328" s="180"/>
      <c r="P8328" s="180" t="s">
        <v>257</v>
      </c>
      <c r="R8328" s="180" t="s">
        <v>257</v>
      </c>
    </row>
    <row r="8329" spans="8:18" x14ac:dyDescent="0.2">
      <c r="H8329" s="180"/>
      <c r="P8329" s="180" t="s">
        <v>257</v>
      </c>
      <c r="R8329" s="180" t="s">
        <v>257</v>
      </c>
    </row>
    <row r="8330" spans="8:18" x14ac:dyDescent="0.2">
      <c r="H8330" s="180"/>
      <c r="P8330" s="180" t="s">
        <v>257</v>
      </c>
      <c r="R8330" s="180" t="s">
        <v>257</v>
      </c>
    </row>
    <row r="8331" spans="8:18" x14ac:dyDescent="0.2">
      <c r="H8331" s="180"/>
      <c r="P8331" s="180" t="s">
        <v>257</v>
      </c>
      <c r="R8331" s="180" t="s">
        <v>257</v>
      </c>
    </row>
    <row r="8332" spans="8:18" x14ac:dyDescent="0.2">
      <c r="H8332" s="180"/>
      <c r="P8332" s="180" t="s">
        <v>257</v>
      </c>
      <c r="R8332" s="180" t="s">
        <v>257</v>
      </c>
    </row>
    <row r="8333" spans="8:18" x14ac:dyDescent="0.2">
      <c r="H8333" s="180"/>
      <c r="P8333" s="180" t="s">
        <v>257</v>
      </c>
      <c r="R8333" s="180" t="s">
        <v>257</v>
      </c>
    </row>
    <row r="8334" spans="8:18" x14ac:dyDescent="0.2">
      <c r="H8334" s="180"/>
      <c r="P8334" s="180" t="s">
        <v>257</v>
      </c>
      <c r="R8334" s="180" t="s">
        <v>257</v>
      </c>
    </row>
    <row r="8335" spans="8:18" x14ac:dyDescent="0.2">
      <c r="H8335" s="180"/>
      <c r="P8335" s="180" t="s">
        <v>257</v>
      </c>
      <c r="R8335" s="180" t="s">
        <v>257</v>
      </c>
    </row>
    <row r="8336" spans="8:18" x14ac:dyDescent="0.2">
      <c r="H8336" s="180"/>
      <c r="P8336" s="180" t="s">
        <v>257</v>
      </c>
      <c r="R8336" s="180" t="s">
        <v>257</v>
      </c>
    </row>
    <row r="8337" spans="8:18" x14ac:dyDescent="0.2">
      <c r="H8337" s="180"/>
      <c r="P8337" s="180" t="s">
        <v>257</v>
      </c>
      <c r="R8337" s="180" t="s">
        <v>257</v>
      </c>
    </row>
    <row r="8338" spans="8:18" x14ac:dyDescent="0.2">
      <c r="H8338" s="180"/>
      <c r="P8338" s="180" t="s">
        <v>257</v>
      </c>
      <c r="R8338" s="180" t="s">
        <v>257</v>
      </c>
    </row>
    <row r="8339" spans="8:18" x14ac:dyDescent="0.2">
      <c r="H8339" s="180"/>
      <c r="P8339" s="180" t="s">
        <v>257</v>
      </c>
      <c r="R8339" s="180" t="s">
        <v>257</v>
      </c>
    </row>
    <row r="8340" spans="8:18" x14ac:dyDescent="0.2">
      <c r="H8340" s="180"/>
      <c r="P8340" s="180" t="s">
        <v>257</v>
      </c>
      <c r="R8340" s="180" t="s">
        <v>257</v>
      </c>
    </row>
    <row r="8341" spans="8:18" x14ac:dyDescent="0.2">
      <c r="H8341" s="180"/>
      <c r="P8341" s="180" t="s">
        <v>257</v>
      </c>
      <c r="R8341" s="180" t="s">
        <v>257</v>
      </c>
    </row>
    <row r="8342" spans="8:18" x14ac:dyDescent="0.2">
      <c r="H8342" s="180"/>
      <c r="P8342" s="180" t="s">
        <v>257</v>
      </c>
      <c r="R8342" s="180" t="s">
        <v>257</v>
      </c>
    </row>
    <row r="8343" spans="8:18" x14ac:dyDescent="0.2">
      <c r="H8343" s="180"/>
      <c r="P8343" s="180" t="s">
        <v>257</v>
      </c>
      <c r="R8343" s="180" t="s">
        <v>257</v>
      </c>
    </row>
    <row r="8344" spans="8:18" x14ac:dyDescent="0.2">
      <c r="H8344" s="180"/>
      <c r="P8344" s="180" t="s">
        <v>257</v>
      </c>
      <c r="R8344" s="180" t="s">
        <v>257</v>
      </c>
    </row>
    <row r="8345" spans="8:18" x14ac:dyDescent="0.2">
      <c r="H8345" s="180"/>
      <c r="P8345" s="180" t="s">
        <v>257</v>
      </c>
      <c r="R8345" s="180" t="s">
        <v>257</v>
      </c>
    </row>
    <row r="8346" spans="8:18" x14ac:dyDescent="0.2">
      <c r="H8346" s="180"/>
      <c r="P8346" s="180" t="s">
        <v>257</v>
      </c>
      <c r="R8346" s="180" t="s">
        <v>257</v>
      </c>
    </row>
    <row r="8347" spans="8:18" x14ac:dyDescent="0.2">
      <c r="H8347" s="180"/>
      <c r="P8347" s="180" t="s">
        <v>257</v>
      </c>
      <c r="R8347" s="180" t="s">
        <v>257</v>
      </c>
    </row>
    <row r="8348" spans="8:18" x14ac:dyDescent="0.2">
      <c r="H8348" s="180"/>
      <c r="P8348" s="180" t="s">
        <v>257</v>
      </c>
      <c r="R8348" s="180" t="s">
        <v>257</v>
      </c>
    </row>
    <row r="8349" spans="8:18" x14ac:dyDescent="0.2">
      <c r="H8349" s="180"/>
      <c r="P8349" s="180" t="s">
        <v>257</v>
      </c>
      <c r="R8349" s="180" t="s">
        <v>257</v>
      </c>
    </row>
    <row r="8350" spans="8:18" x14ac:dyDescent="0.2">
      <c r="H8350" s="180"/>
      <c r="P8350" s="180" t="s">
        <v>257</v>
      </c>
      <c r="R8350" s="180" t="s">
        <v>257</v>
      </c>
    </row>
    <row r="8351" spans="8:18" x14ac:dyDescent="0.2">
      <c r="H8351" s="180"/>
      <c r="P8351" s="180" t="s">
        <v>257</v>
      </c>
      <c r="R8351" s="180" t="s">
        <v>257</v>
      </c>
    </row>
    <row r="8352" spans="8:18" x14ac:dyDescent="0.2">
      <c r="H8352" s="180"/>
      <c r="P8352" s="180" t="s">
        <v>257</v>
      </c>
      <c r="R8352" s="180" t="s">
        <v>257</v>
      </c>
    </row>
    <row r="8353" spans="8:18" x14ac:dyDescent="0.2">
      <c r="H8353" s="180"/>
      <c r="P8353" s="180" t="s">
        <v>257</v>
      </c>
      <c r="R8353" s="180" t="s">
        <v>257</v>
      </c>
    </row>
    <row r="8354" spans="8:18" x14ac:dyDescent="0.2">
      <c r="H8354" s="180"/>
      <c r="P8354" s="180" t="s">
        <v>257</v>
      </c>
      <c r="R8354" s="180" t="s">
        <v>257</v>
      </c>
    </row>
    <row r="8355" spans="8:18" x14ac:dyDescent="0.2">
      <c r="H8355" s="180"/>
      <c r="P8355" s="180" t="s">
        <v>257</v>
      </c>
      <c r="R8355" s="180" t="s">
        <v>257</v>
      </c>
    </row>
    <row r="8356" spans="8:18" x14ac:dyDescent="0.2">
      <c r="H8356" s="180"/>
      <c r="P8356" s="180" t="s">
        <v>257</v>
      </c>
      <c r="R8356" s="180" t="s">
        <v>257</v>
      </c>
    </row>
    <row r="8357" spans="8:18" x14ac:dyDescent="0.2">
      <c r="H8357" s="180"/>
      <c r="P8357" s="180" t="s">
        <v>257</v>
      </c>
      <c r="R8357" s="180" t="s">
        <v>257</v>
      </c>
    </row>
    <row r="8358" spans="8:18" x14ac:dyDescent="0.2">
      <c r="H8358" s="180"/>
      <c r="P8358" s="180" t="s">
        <v>257</v>
      </c>
      <c r="R8358" s="180" t="s">
        <v>257</v>
      </c>
    </row>
    <row r="8359" spans="8:18" x14ac:dyDescent="0.2">
      <c r="H8359" s="180"/>
      <c r="P8359" s="180" t="s">
        <v>257</v>
      </c>
      <c r="R8359" s="180" t="s">
        <v>257</v>
      </c>
    </row>
    <row r="8360" spans="8:18" x14ac:dyDescent="0.2">
      <c r="H8360" s="180"/>
      <c r="P8360" s="180" t="s">
        <v>257</v>
      </c>
      <c r="R8360" s="180" t="s">
        <v>257</v>
      </c>
    </row>
    <row r="8361" spans="8:18" x14ac:dyDescent="0.2">
      <c r="H8361" s="180"/>
      <c r="P8361" s="180" t="s">
        <v>257</v>
      </c>
      <c r="R8361" s="180" t="s">
        <v>257</v>
      </c>
    </row>
    <row r="8362" spans="8:18" x14ac:dyDescent="0.2">
      <c r="H8362" s="180"/>
      <c r="P8362" s="180" t="s">
        <v>257</v>
      </c>
      <c r="R8362" s="180" t="s">
        <v>257</v>
      </c>
    </row>
    <row r="8363" spans="8:18" x14ac:dyDescent="0.2">
      <c r="H8363" s="180"/>
      <c r="P8363" s="180" t="s">
        <v>257</v>
      </c>
      <c r="R8363" s="180" t="s">
        <v>257</v>
      </c>
    </row>
    <row r="8364" spans="8:18" x14ac:dyDescent="0.2">
      <c r="H8364" s="180"/>
      <c r="P8364" s="180" t="s">
        <v>257</v>
      </c>
      <c r="R8364" s="180" t="s">
        <v>257</v>
      </c>
    </row>
    <row r="8365" spans="8:18" x14ac:dyDescent="0.2">
      <c r="H8365" s="180"/>
      <c r="P8365" s="180" t="s">
        <v>257</v>
      </c>
      <c r="R8365" s="180" t="s">
        <v>257</v>
      </c>
    </row>
    <row r="8366" spans="8:18" x14ac:dyDescent="0.2">
      <c r="H8366" s="180"/>
      <c r="P8366" s="180" t="s">
        <v>257</v>
      </c>
      <c r="R8366" s="180" t="s">
        <v>257</v>
      </c>
    </row>
    <row r="8367" spans="8:18" x14ac:dyDescent="0.2">
      <c r="H8367" s="180"/>
      <c r="P8367" s="180" t="s">
        <v>257</v>
      </c>
      <c r="R8367" s="180" t="s">
        <v>257</v>
      </c>
    </row>
    <row r="8368" spans="8:18" x14ac:dyDescent="0.2">
      <c r="H8368" s="180"/>
      <c r="P8368" s="180" t="s">
        <v>257</v>
      </c>
      <c r="R8368" s="180" t="s">
        <v>257</v>
      </c>
    </row>
    <row r="8369" spans="8:18" x14ac:dyDescent="0.2">
      <c r="H8369" s="180"/>
      <c r="P8369" s="180" t="s">
        <v>257</v>
      </c>
      <c r="R8369" s="180" t="s">
        <v>257</v>
      </c>
    </row>
    <row r="8370" spans="8:18" x14ac:dyDescent="0.2">
      <c r="H8370" s="180"/>
      <c r="P8370" s="180" t="s">
        <v>257</v>
      </c>
      <c r="R8370" s="180" t="s">
        <v>257</v>
      </c>
    </row>
    <row r="8371" spans="8:18" x14ac:dyDescent="0.2">
      <c r="H8371" s="180"/>
      <c r="P8371" s="180" t="s">
        <v>257</v>
      </c>
      <c r="R8371" s="180" t="s">
        <v>257</v>
      </c>
    </row>
    <row r="8372" spans="8:18" x14ac:dyDescent="0.2">
      <c r="H8372" s="180"/>
      <c r="P8372" s="180" t="s">
        <v>257</v>
      </c>
      <c r="R8372" s="180" t="s">
        <v>257</v>
      </c>
    </row>
    <row r="8373" spans="8:18" x14ac:dyDescent="0.2">
      <c r="H8373" s="180"/>
      <c r="P8373" s="180" t="s">
        <v>257</v>
      </c>
      <c r="R8373" s="180" t="s">
        <v>257</v>
      </c>
    </row>
    <row r="8374" spans="8:18" x14ac:dyDescent="0.2">
      <c r="H8374" s="180"/>
      <c r="P8374" s="180" t="s">
        <v>257</v>
      </c>
      <c r="R8374" s="180" t="s">
        <v>257</v>
      </c>
    </row>
    <row r="8375" spans="8:18" x14ac:dyDescent="0.2">
      <c r="H8375" s="180"/>
      <c r="P8375" s="180" t="s">
        <v>257</v>
      </c>
      <c r="R8375" s="180" t="s">
        <v>257</v>
      </c>
    </row>
    <row r="8376" spans="8:18" x14ac:dyDescent="0.2">
      <c r="H8376" s="180"/>
      <c r="P8376" s="180" t="s">
        <v>257</v>
      </c>
      <c r="R8376" s="180" t="s">
        <v>257</v>
      </c>
    </row>
    <row r="8377" spans="8:18" x14ac:dyDescent="0.2">
      <c r="H8377" s="180"/>
      <c r="P8377" s="180" t="s">
        <v>257</v>
      </c>
      <c r="R8377" s="180" t="s">
        <v>257</v>
      </c>
    </row>
    <row r="8378" spans="8:18" x14ac:dyDescent="0.2">
      <c r="H8378" s="180"/>
      <c r="P8378" s="180" t="s">
        <v>257</v>
      </c>
      <c r="R8378" s="180" t="s">
        <v>257</v>
      </c>
    </row>
    <row r="8379" spans="8:18" x14ac:dyDescent="0.2">
      <c r="H8379" s="180"/>
      <c r="P8379" s="180" t="s">
        <v>257</v>
      </c>
      <c r="R8379" s="180" t="s">
        <v>257</v>
      </c>
    </row>
    <row r="8380" spans="8:18" x14ac:dyDescent="0.2">
      <c r="H8380" s="180"/>
      <c r="P8380" s="180" t="s">
        <v>257</v>
      </c>
      <c r="R8380" s="180" t="s">
        <v>257</v>
      </c>
    </row>
    <row r="8381" spans="8:18" x14ac:dyDescent="0.2">
      <c r="H8381" s="180"/>
      <c r="P8381" s="180" t="s">
        <v>257</v>
      </c>
      <c r="R8381" s="180" t="s">
        <v>257</v>
      </c>
    </row>
    <row r="8382" spans="8:18" x14ac:dyDescent="0.2">
      <c r="H8382" s="180"/>
      <c r="P8382" s="180" t="s">
        <v>257</v>
      </c>
      <c r="R8382" s="180" t="s">
        <v>257</v>
      </c>
    </row>
    <row r="8383" spans="8:18" x14ac:dyDescent="0.2">
      <c r="H8383" s="180"/>
      <c r="P8383" s="180" t="s">
        <v>257</v>
      </c>
      <c r="R8383" s="180" t="s">
        <v>257</v>
      </c>
    </row>
    <row r="8384" spans="8:18" x14ac:dyDescent="0.2">
      <c r="H8384" s="180"/>
      <c r="P8384" s="180" t="s">
        <v>257</v>
      </c>
      <c r="R8384" s="180" t="s">
        <v>257</v>
      </c>
    </row>
    <row r="8385" spans="8:18" x14ac:dyDescent="0.2">
      <c r="H8385" s="180"/>
      <c r="P8385" s="180" t="s">
        <v>257</v>
      </c>
      <c r="R8385" s="180" t="s">
        <v>257</v>
      </c>
    </row>
    <row r="8386" spans="8:18" x14ac:dyDescent="0.2">
      <c r="H8386" s="180"/>
      <c r="P8386" s="180" t="s">
        <v>257</v>
      </c>
      <c r="R8386" s="180" t="s">
        <v>257</v>
      </c>
    </row>
    <row r="8387" spans="8:18" x14ac:dyDescent="0.2">
      <c r="H8387" s="180"/>
      <c r="P8387" s="180" t="s">
        <v>257</v>
      </c>
      <c r="R8387" s="180" t="s">
        <v>257</v>
      </c>
    </row>
    <row r="8388" spans="8:18" x14ac:dyDescent="0.2">
      <c r="H8388" s="180"/>
      <c r="P8388" s="180" t="s">
        <v>257</v>
      </c>
      <c r="R8388" s="180" t="s">
        <v>257</v>
      </c>
    </row>
    <row r="8389" spans="8:18" x14ac:dyDescent="0.2">
      <c r="H8389" s="180"/>
      <c r="P8389" s="180" t="s">
        <v>257</v>
      </c>
      <c r="R8389" s="180" t="s">
        <v>257</v>
      </c>
    </row>
    <row r="8390" spans="8:18" x14ac:dyDescent="0.2">
      <c r="H8390" s="180"/>
      <c r="P8390" s="180" t="s">
        <v>257</v>
      </c>
      <c r="R8390" s="180" t="s">
        <v>257</v>
      </c>
    </row>
    <row r="8391" spans="8:18" x14ac:dyDescent="0.2">
      <c r="H8391" s="180"/>
      <c r="P8391" s="180" t="s">
        <v>257</v>
      </c>
      <c r="R8391" s="180" t="s">
        <v>257</v>
      </c>
    </row>
    <row r="8392" spans="8:18" x14ac:dyDescent="0.2">
      <c r="H8392" s="180"/>
      <c r="P8392" s="180" t="s">
        <v>257</v>
      </c>
      <c r="R8392" s="180" t="s">
        <v>257</v>
      </c>
    </row>
    <row r="8393" spans="8:18" x14ac:dyDescent="0.2">
      <c r="H8393" s="180"/>
      <c r="P8393" s="180" t="s">
        <v>257</v>
      </c>
      <c r="R8393" s="180" t="s">
        <v>257</v>
      </c>
    </row>
    <row r="8394" spans="8:18" x14ac:dyDescent="0.2">
      <c r="H8394" s="180"/>
      <c r="P8394" s="180" t="s">
        <v>257</v>
      </c>
      <c r="R8394" s="180" t="s">
        <v>257</v>
      </c>
    </row>
    <row r="8395" spans="8:18" x14ac:dyDescent="0.2">
      <c r="H8395" s="180"/>
      <c r="P8395" s="180" t="s">
        <v>257</v>
      </c>
      <c r="R8395" s="180" t="s">
        <v>257</v>
      </c>
    </row>
    <row r="8396" spans="8:18" x14ac:dyDescent="0.2">
      <c r="H8396" s="180"/>
      <c r="P8396" s="180" t="s">
        <v>257</v>
      </c>
      <c r="R8396" s="180" t="s">
        <v>257</v>
      </c>
    </row>
    <row r="8397" spans="8:18" x14ac:dyDescent="0.2">
      <c r="H8397" s="180"/>
      <c r="P8397" s="180" t="s">
        <v>257</v>
      </c>
      <c r="R8397" s="180" t="s">
        <v>257</v>
      </c>
    </row>
    <row r="8398" spans="8:18" x14ac:dyDescent="0.2">
      <c r="H8398" s="180"/>
      <c r="P8398" s="180" t="s">
        <v>257</v>
      </c>
      <c r="R8398" s="180" t="s">
        <v>257</v>
      </c>
    </row>
    <row r="8399" spans="8:18" x14ac:dyDescent="0.2">
      <c r="H8399" s="180"/>
      <c r="P8399" s="180" t="s">
        <v>257</v>
      </c>
      <c r="R8399" s="180" t="s">
        <v>257</v>
      </c>
    </row>
    <row r="8400" spans="8:18" x14ac:dyDescent="0.2">
      <c r="H8400" s="180"/>
      <c r="P8400" s="180" t="s">
        <v>257</v>
      </c>
      <c r="R8400" s="180" t="s">
        <v>257</v>
      </c>
    </row>
    <row r="8401" spans="8:18" x14ac:dyDescent="0.2">
      <c r="H8401" s="180"/>
      <c r="P8401" s="180" t="s">
        <v>257</v>
      </c>
      <c r="R8401" s="180" t="s">
        <v>257</v>
      </c>
    </row>
    <row r="8402" spans="8:18" x14ac:dyDescent="0.2">
      <c r="H8402" s="180"/>
      <c r="P8402" s="180" t="s">
        <v>257</v>
      </c>
      <c r="R8402" s="180" t="s">
        <v>257</v>
      </c>
    </row>
    <row r="8403" spans="8:18" x14ac:dyDescent="0.2">
      <c r="H8403" s="180"/>
      <c r="P8403" s="180" t="s">
        <v>257</v>
      </c>
      <c r="R8403" s="180" t="s">
        <v>257</v>
      </c>
    </row>
    <row r="8404" spans="8:18" x14ac:dyDescent="0.2">
      <c r="H8404" s="180"/>
      <c r="P8404" s="180" t="s">
        <v>257</v>
      </c>
      <c r="R8404" s="180" t="s">
        <v>257</v>
      </c>
    </row>
    <row r="8405" spans="8:18" x14ac:dyDescent="0.2">
      <c r="H8405" s="180"/>
      <c r="P8405" s="180" t="s">
        <v>257</v>
      </c>
      <c r="R8405" s="180" t="s">
        <v>257</v>
      </c>
    </row>
    <row r="8406" spans="8:18" x14ac:dyDescent="0.2">
      <c r="H8406" s="180"/>
      <c r="P8406" s="180" t="s">
        <v>257</v>
      </c>
      <c r="R8406" s="180" t="s">
        <v>257</v>
      </c>
    </row>
    <row r="8407" spans="8:18" x14ac:dyDescent="0.2">
      <c r="H8407" s="180"/>
      <c r="P8407" s="180" t="s">
        <v>257</v>
      </c>
      <c r="R8407" s="180" t="s">
        <v>257</v>
      </c>
    </row>
    <row r="8408" spans="8:18" x14ac:dyDescent="0.2">
      <c r="H8408" s="180"/>
      <c r="P8408" s="180" t="s">
        <v>257</v>
      </c>
      <c r="R8408" s="180" t="s">
        <v>257</v>
      </c>
    </row>
    <row r="8409" spans="8:18" x14ac:dyDescent="0.2">
      <c r="H8409" s="180"/>
      <c r="P8409" s="180" t="s">
        <v>257</v>
      </c>
      <c r="R8409" s="180" t="s">
        <v>257</v>
      </c>
    </row>
    <row r="8410" spans="8:18" x14ac:dyDescent="0.2">
      <c r="H8410" s="180"/>
      <c r="P8410" s="180" t="s">
        <v>257</v>
      </c>
      <c r="R8410" s="180" t="s">
        <v>257</v>
      </c>
    </row>
    <row r="8411" spans="8:18" x14ac:dyDescent="0.2">
      <c r="H8411" s="180"/>
      <c r="P8411" s="180" t="s">
        <v>257</v>
      </c>
      <c r="R8411" s="180" t="s">
        <v>257</v>
      </c>
    </row>
    <row r="8412" spans="8:18" x14ac:dyDescent="0.2">
      <c r="H8412" s="180"/>
      <c r="P8412" s="180" t="s">
        <v>257</v>
      </c>
      <c r="R8412" s="180" t="s">
        <v>257</v>
      </c>
    </row>
    <row r="8413" spans="8:18" x14ac:dyDescent="0.2">
      <c r="H8413" s="180"/>
      <c r="P8413" s="180" t="s">
        <v>257</v>
      </c>
      <c r="R8413" s="180" t="s">
        <v>257</v>
      </c>
    </row>
    <row r="8414" spans="8:18" x14ac:dyDescent="0.2">
      <c r="H8414" s="180"/>
      <c r="P8414" s="180" t="s">
        <v>257</v>
      </c>
      <c r="R8414" s="180" t="s">
        <v>257</v>
      </c>
    </row>
    <row r="8415" spans="8:18" x14ac:dyDescent="0.2">
      <c r="H8415" s="180"/>
      <c r="P8415" s="180" t="s">
        <v>257</v>
      </c>
      <c r="R8415" s="180" t="s">
        <v>257</v>
      </c>
    </row>
    <row r="8416" spans="8:18" x14ac:dyDescent="0.2">
      <c r="H8416" s="180"/>
      <c r="P8416" s="180" t="s">
        <v>257</v>
      </c>
      <c r="R8416" s="180" t="s">
        <v>257</v>
      </c>
    </row>
    <row r="8417" spans="8:18" x14ac:dyDescent="0.2">
      <c r="H8417" s="180"/>
      <c r="P8417" s="180" t="s">
        <v>257</v>
      </c>
      <c r="R8417" s="180" t="s">
        <v>257</v>
      </c>
    </row>
    <row r="8418" spans="8:18" x14ac:dyDescent="0.2">
      <c r="H8418" s="180"/>
      <c r="P8418" s="180" t="s">
        <v>257</v>
      </c>
      <c r="R8418" s="180" t="s">
        <v>257</v>
      </c>
    </row>
    <row r="8419" spans="8:18" x14ac:dyDescent="0.2">
      <c r="H8419" s="180"/>
      <c r="P8419" s="180" t="s">
        <v>257</v>
      </c>
      <c r="R8419" s="180" t="s">
        <v>257</v>
      </c>
    </row>
    <row r="8420" spans="8:18" x14ac:dyDescent="0.2">
      <c r="H8420" s="180"/>
      <c r="P8420" s="180" t="s">
        <v>257</v>
      </c>
      <c r="R8420" s="180" t="s">
        <v>257</v>
      </c>
    </row>
    <row r="8421" spans="8:18" x14ac:dyDescent="0.2">
      <c r="H8421" s="180"/>
      <c r="P8421" s="180" t="s">
        <v>257</v>
      </c>
      <c r="R8421" s="180" t="s">
        <v>257</v>
      </c>
    </row>
    <row r="8422" spans="8:18" x14ac:dyDescent="0.2">
      <c r="H8422" s="180"/>
      <c r="P8422" s="180" t="s">
        <v>257</v>
      </c>
      <c r="R8422" s="180" t="s">
        <v>257</v>
      </c>
    </row>
    <row r="8423" spans="8:18" x14ac:dyDescent="0.2">
      <c r="H8423" s="180"/>
      <c r="P8423" s="180" t="s">
        <v>257</v>
      </c>
      <c r="R8423" s="180" t="s">
        <v>257</v>
      </c>
    </row>
    <row r="8424" spans="8:18" x14ac:dyDescent="0.2">
      <c r="H8424" s="180"/>
      <c r="P8424" s="180" t="s">
        <v>257</v>
      </c>
      <c r="R8424" s="180" t="s">
        <v>257</v>
      </c>
    </row>
    <row r="8425" spans="8:18" x14ac:dyDescent="0.2">
      <c r="H8425" s="180"/>
      <c r="P8425" s="180" t="s">
        <v>257</v>
      </c>
      <c r="R8425" s="180" t="s">
        <v>257</v>
      </c>
    </row>
    <row r="8426" spans="8:18" x14ac:dyDescent="0.2">
      <c r="H8426" s="180"/>
      <c r="P8426" s="180" t="s">
        <v>257</v>
      </c>
      <c r="R8426" s="180" t="s">
        <v>257</v>
      </c>
    </row>
    <row r="8427" spans="8:18" x14ac:dyDescent="0.2">
      <c r="H8427" s="180"/>
      <c r="P8427" s="180" t="s">
        <v>257</v>
      </c>
      <c r="R8427" s="180" t="s">
        <v>257</v>
      </c>
    </row>
    <row r="8428" spans="8:18" x14ac:dyDescent="0.2">
      <c r="H8428" s="180"/>
      <c r="P8428" s="180" t="s">
        <v>257</v>
      </c>
      <c r="R8428" s="180" t="s">
        <v>257</v>
      </c>
    </row>
    <row r="8429" spans="8:18" x14ac:dyDescent="0.2">
      <c r="H8429" s="180"/>
      <c r="P8429" s="180" t="s">
        <v>257</v>
      </c>
      <c r="R8429" s="180" t="s">
        <v>257</v>
      </c>
    </row>
    <row r="8430" spans="8:18" x14ac:dyDescent="0.2">
      <c r="H8430" s="180"/>
      <c r="P8430" s="180" t="s">
        <v>257</v>
      </c>
      <c r="R8430" s="180" t="s">
        <v>257</v>
      </c>
    </row>
    <row r="8431" spans="8:18" x14ac:dyDescent="0.2">
      <c r="H8431" s="180"/>
      <c r="P8431" s="180" t="s">
        <v>257</v>
      </c>
      <c r="R8431" s="180" t="s">
        <v>257</v>
      </c>
    </row>
    <row r="8432" spans="8:18" x14ac:dyDescent="0.2">
      <c r="H8432" s="180"/>
      <c r="P8432" s="180" t="s">
        <v>257</v>
      </c>
      <c r="R8432" s="180" t="s">
        <v>257</v>
      </c>
    </row>
    <row r="8433" spans="8:18" x14ac:dyDescent="0.2">
      <c r="H8433" s="180"/>
      <c r="P8433" s="180" t="s">
        <v>257</v>
      </c>
      <c r="R8433" s="180" t="s">
        <v>257</v>
      </c>
    </row>
    <row r="8434" spans="8:18" x14ac:dyDescent="0.2">
      <c r="H8434" s="180"/>
      <c r="P8434" s="180" t="s">
        <v>257</v>
      </c>
      <c r="R8434" s="180" t="s">
        <v>257</v>
      </c>
    </row>
    <row r="8435" spans="8:18" x14ac:dyDescent="0.2">
      <c r="H8435" s="180"/>
      <c r="P8435" s="180" t="s">
        <v>257</v>
      </c>
      <c r="R8435" s="180" t="s">
        <v>257</v>
      </c>
    </row>
    <row r="8436" spans="8:18" x14ac:dyDescent="0.2">
      <c r="H8436" s="180"/>
      <c r="P8436" s="180" t="s">
        <v>257</v>
      </c>
      <c r="R8436" s="180" t="s">
        <v>257</v>
      </c>
    </row>
    <row r="8437" spans="8:18" x14ac:dyDescent="0.2">
      <c r="H8437" s="180"/>
      <c r="P8437" s="180" t="s">
        <v>257</v>
      </c>
      <c r="R8437" s="180" t="s">
        <v>257</v>
      </c>
    </row>
    <row r="8438" spans="8:18" x14ac:dyDescent="0.2">
      <c r="H8438" s="180"/>
      <c r="P8438" s="180" t="s">
        <v>257</v>
      </c>
      <c r="R8438" s="180" t="s">
        <v>257</v>
      </c>
    </row>
    <row r="8439" spans="8:18" x14ac:dyDescent="0.2">
      <c r="H8439" s="180"/>
      <c r="P8439" s="180" t="s">
        <v>257</v>
      </c>
      <c r="R8439" s="180" t="s">
        <v>257</v>
      </c>
    </row>
    <row r="8440" spans="8:18" x14ac:dyDescent="0.2">
      <c r="H8440" s="180"/>
      <c r="P8440" s="180" t="s">
        <v>257</v>
      </c>
      <c r="R8440" s="180" t="s">
        <v>257</v>
      </c>
    </row>
    <row r="8441" spans="8:18" x14ac:dyDescent="0.2">
      <c r="H8441" s="180"/>
      <c r="P8441" s="180" t="s">
        <v>257</v>
      </c>
      <c r="R8441" s="180" t="s">
        <v>257</v>
      </c>
    </row>
    <row r="8442" spans="8:18" x14ac:dyDescent="0.2">
      <c r="H8442" s="180"/>
      <c r="P8442" s="180" t="s">
        <v>257</v>
      </c>
      <c r="R8442" s="180" t="s">
        <v>257</v>
      </c>
    </row>
    <row r="8443" spans="8:18" x14ac:dyDescent="0.2">
      <c r="H8443" s="180"/>
      <c r="P8443" s="180" t="s">
        <v>257</v>
      </c>
      <c r="R8443" s="180" t="s">
        <v>257</v>
      </c>
    </row>
    <row r="8444" spans="8:18" x14ac:dyDescent="0.2">
      <c r="H8444" s="180"/>
      <c r="P8444" s="180" t="s">
        <v>257</v>
      </c>
      <c r="R8444" s="180" t="s">
        <v>257</v>
      </c>
    </row>
    <row r="8445" spans="8:18" x14ac:dyDescent="0.2">
      <c r="H8445" s="180"/>
      <c r="P8445" s="180" t="s">
        <v>257</v>
      </c>
      <c r="R8445" s="180" t="s">
        <v>257</v>
      </c>
    </row>
    <row r="8446" spans="8:18" x14ac:dyDescent="0.2">
      <c r="H8446" s="180"/>
      <c r="P8446" s="180" t="s">
        <v>257</v>
      </c>
      <c r="R8446" s="180" t="s">
        <v>257</v>
      </c>
    </row>
    <row r="8447" spans="8:18" x14ac:dyDescent="0.2">
      <c r="H8447" s="180"/>
      <c r="P8447" s="180" t="s">
        <v>257</v>
      </c>
      <c r="R8447" s="180" t="s">
        <v>257</v>
      </c>
    </row>
    <row r="8448" spans="8:18" x14ac:dyDescent="0.2">
      <c r="H8448" s="180"/>
      <c r="P8448" s="180" t="s">
        <v>257</v>
      </c>
      <c r="R8448" s="180" t="s">
        <v>257</v>
      </c>
    </row>
    <row r="8449" spans="8:18" x14ac:dyDescent="0.2">
      <c r="H8449" s="180"/>
      <c r="P8449" s="180" t="s">
        <v>257</v>
      </c>
      <c r="R8449" s="180" t="s">
        <v>257</v>
      </c>
    </row>
    <row r="8450" spans="8:18" x14ac:dyDescent="0.2">
      <c r="H8450" s="180"/>
      <c r="P8450" s="180" t="s">
        <v>257</v>
      </c>
      <c r="R8450" s="180" t="s">
        <v>257</v>
      </c>
    </row>
    <row r="8451" spans="8:18" x14ac:dyDescent="0.2">
      <c r="H8451" s="180"/>
      <c r="P8451" s="180" t="s">
        <v>257</v>
      </c>
      <c r="R8451" s="180" t="s">
        <v>257</v>
      </c>
    </row>
    <row r="8452" spans="8:18" x14ac:dyDescent="0.2">
      <c r="H8452" s="180"/>
      <c r="P8452" s="180" t="s">
        <v>257</v>
      </c>
      <c r="R8452" s="180" t="s">
        <v>257</v>
      </c>
    </row>
    <row r="8453" spans="8:18" x14ac:dyDescent="0.2">
      <c r="H8453" s="180"/>
      <c r="P8453" s="180" t="s">
        <v>257</v>
      </c>
      <c r="R8453" s="180" t="s">
        <v>257</v>
      </c>
    </row>
    <row r="8454" spans="8:18" x14ac:dyDescent="0.2">
      <c r="H8454" s="180"/>
      <c r="P8454" s="180" t="s">
        <v>257</v>
      </c>
      <c r="R8454" s="180" t="s">
        <v>257</v>
      </c>
    </row>
    <row r="8455" spans="8:18" x14ac:dyDescent="0.2">
      <c r="H8455" s="180"/>
      <c r="P8455" s="180" t="s">
        <v>257</v>
      </c>
      <c r="R8455" s="180" t="s">
        <v>257</v>
      </c>
    </row>
    <row r="8456" spans="8:18" x14ac:dyDescent="0.2">
      <c r="H8456" s="180"/>
      <c r="P8456" s="180" t="s">
        <v>257</v>
      </c>
      <c r="R8456" s="180" t="s">
        <v>257</v>
      </c>
    </row>
    <row r="8457" spans="8:18" x14ac:dyDescent="0.2">
      <c r="H8457" s="180"/>
      <c r="P8457" s="180" t="s">
        <v>257</v>
      </c>
      <c r="R8457" s="180" t="s">
        <v>257</v>
      </c>
    </row>
    <row r="8458" spans="8:18" x14ac:dyDescent="0.2">
      <c r="H8458" s="180"/>
      <c r="P8458" s="180" t="s">
        <v>257</v>
      </c>
      <c r="R8458" s="180" t="s">
        <v>257</v>
      </c>
    </row>
    <row r="8459" spans="8:18" x14ac:dyDescent="0.2">
      <c r="H8459" s="180"/>
      <c r="P8459" s="180" t="s">
        <v>257</v>
      </c>
      <c r="R8459" s="180" t="s">
        <v>257</v>
      </c>
    </row>
    <row r="8460" spans="8:18" x14ac:dyDescent="0.2">
      <c r="H8460" s="180"/>
      <c r="P8460" s="180" t="s">
        <v>257</v>
      </c>
      <c r="R8460" s="180" t="s">
        <v>257</v>
      </c>
    </row>
    <row r="8461" spans="8:18" x14ac:dyDescent="0.2">
      <c r="H8461" s="180"/>
      <c r="P8461" s="180" t="s">
        <v>257</v>
      </c>
      <c r="R8461" s="180" t="s">
        <v>257</v>
      </c>
    </row>
    <row r="8462" spans="8:18" x14ac:dyDescent="0.2">
      <c r="H8462" s="180"/>
      <c r="P8462" s="180" t="s">
        <v>257</v>
      </c>
      <c r="R8462" s="180" t="s">
        <v>257</v>
      </c>
    </row>
    <row r="8463" spans="8:18" x14ac:dyDescent="0.2">
      <c r="H8463" s="180"/>
      <c r="P8463" s="180" t="s">
        <v>257</v>
      </c>
      <c r="R8463" s="180" t="s">
        <v>257</v>
      </c>
    </row>
    <row r="8464" spans="8:18" x14ac:dyDescent="0.2">
      <c r="H8464" s="180"/>
      <c r="P8464" s="180" t="s">
        <v>257</v>
      </c>
      <c r="R8464" s="180" t="s">
        <v>257</v>
      </c>
    </row>
    <row r="8465" spans="8:18" x14ac:dyDescent="0.2">
      <c r="H8465" s="180"/>
      <c r="P8465" s="180" t="s">
        <v>257</v>
      </c>
      <c r="R8465" s="180" t="s">
        <v>257</v>
      </c>
    </row>
    <row r="8466" spans="8:18" x14ac:dyDescent="0.2">
      <c r="H8466" s="180"/>
      <c r="P8466" s="180" t="s">
        <v>257</v>
      </c>
      <c r="R8466" s="180" t="s">
        <v>257</v>
      </c>
    </row>
    <row r="8467" spans="8:18" x14ac:dyDescent="0.2">
      <c r="H8467" s="180"/>
      <c r="P8467" s="180" t="s">
        <v>257</v>
      </c>
      <c r="R8467" s="180" t="s">
        <v>257</v>
      </c>
    </row>
    <row r="8468" spans="8:18" x14ac:dyDescent="0.2">
      <c r="H8468" s="180"/>
      <c r="P8468" s="180" t="s">
        <v>257</v>
      </c>
      <c r="R8468" s="180" t="s">
        <v>257</v>
      </c>
    </row>
    <row r="8469" spans="8:18" x14ac:dyDescent="0.2">
      <c r="H8469" s="180"/>
      <c r="P8469" s="180" t="s">
        <v>257</v>
      </c>
      <c r="R8469" s="180" t="s">
        <v>257</v>
      </c>
    </row>
    <row r="8470" spans="8:18" x14ac:dyDescent="0.2">
      <c r="H8470" s="180"/>
      <c r="P8470" s="180" t="s">
        <v>257</v>
      </c>
      <c r="R8470" s="180" t="s">
        <v>257</v>
      </c>
    </row>
    <row r="8471" spans="8:18" x14ac:dyDescent="0.2">
      <c r="H8471" s="180"/>
      <c r="P8471" s="180" t="s">
        <v>257</v>
      </c>
      <c r="R8471" s="180" t="s">
        <v>257</v>
      </c>
    </row>
    <row r="8472" spans="8:18" x14ac:dyDescent="0.2">
      <c r="H8472" s="180"/>
      <c r="P8472" s="180" t="s">
        <v>257</v>
      </c>
      <c r="R8472" s="180" t="s">
        <v>257</v>
      </c>
    </row>
    <row r="8473" spans="8:18" x14ac:dyDescent="0.2">
      <c r="H8473" s="180"/>
      <c r="P8473" s="180" t="s">
        <v>257</v>
      </c>
      <c r="R8473" s="180" t="s">
        <v>257</v>
      </c>
    </row>
    <row r="8474" spans="8:18" x14ac:dyDescent="0.2">
      <c r="H8474" s="180"/>
      <c r="P8474" s="180" t="s">
        <v>257</v>
      </c>
      <c r="R8474" s="180" t="s">
        <v>257</v>
      </c>
    </row>
    <row r="8475" spans="8:18" x14ac:dyDescent="0.2">
      <c r="H8475" s="180"/>
      <c r="P8475" s="180" t="s">
        <v>257</v>
      </c>
      <c r="R8475" s="180" t="s">
        <v>257</v>
      </c>
    </row>
    <row r="8476" spans="8:18" x14ac:dyDescent="0.2">
      <c r="H8476" s="180"/>
      <c r="P8476" s="180" t="s">
        <v>257</v>
      </c>
      <c r="R8476" s="180" t="s">
        <v>257</v>
      </c>
    </row>
    <row r="8477" spans="8:18" x14ac:dyDescent="0.2">
      <c r="H8477" s="180"/>
      <c r="P8477" s="180" t="s">
        <v>257</v>
      </c>
      <c r="R8477" s="180" t="s">
        <v>257</v>
      </c>
    </row>
    <row r="8478" spans="8:18" x14ac:dyDescent="0.2">
      <c r="H8478" s="180"/>
      <c r="P8478" s="180" t="s">
        <v>257</v>
      </c>
      <c r="R8478" s="180" t="s">
        <v>257</v>
      </c>
    </row>
    <row r="8479" spans="8:18" x14ac:dyDescent="0.2">
      <c r="H8479" s="180"/>
      <c r="P8479" s="180" t="s">
        <v>257</v>
      </c>
      <c r="R8479" s="180" t="s">
        <v>257</v>
      </c>
    </row>
    <row r="8480" spans="8:18" x14ac:dyDescent="0.2">
      <c r="H8480" s="180"/>
      <c r="P8480" s="180" t="s">
        <v>257</v>
      </c>
      <c r="R8480" s="180" t="s">
        <v>257</v>
      </c>
    </row>
    <row r="8481" spans="8:18" x14ac:dyDescent="0.2">
      <c r="H8481" s="180"/>
      <c r="P8481" s="180" t="s">
        <v>257</v>
      </c>
      <c r="R8481" s="180" t="s">
        <v>257</v>
      </c>
    </row>
    <row r="8482" spans="8:18" x14ac:dyDescent="0.2">
      <c r="H8482" s="180"/>
      <c r="P8482" s="180" t="s">
        <v>257</v>
      </c>
      <c r="R8482" s="180" t="s">
        <v>257</v>
      </c>
    </row>
    <row r="8483" spans="8:18" x14ac:dyDescent="0.2">
      <c r="H8483" s="180"/>
      <c r="P8483" s="180" t="s">
        <v>257</v>
      </c>
      <c r="R8483" s="180" t="s">
        <v>257</v>
      </c>
    </row>
    <row r="8484" spans="8:18" x14ac:dyDescent="0.2">
      <c r="H8484" s="180"/>
      <c r="P8484" s="180" t="s">
        <v>257</v>
      </c>
      <c r="R8484" s="180" t="s">
        <v>257</v>
      </c>
    </row>
    <row r="8485" spans="8:18" x14ac:dyDescent="0.2">
      <c r="H8485" s="180"/>
      <c r="P8485" s="180" t="s">
        <v>257</v>
      </c>
      <c r="R8485" s="180" t="s">
        <v>257</v>
      </c>
    </row>
    <row r="8486" spans="8:18" x14ac:dyDescent="0.2">
      <c r="H8486" s="180"/>
      <c r="P8486" s="180" t="s">
        <v>257</v>
      </c>
      <c r="R8486" s="180" t="s">
        <v>257</v>
      </c>
    </row>
    <row r="8487" spans="8:18" x14ac:dyDescent="0.2">
      <c r="H8487" s="180"/>
      <c r="P8487" s="180" t="s">
        <v>257</v>
      </c>
      <c r="R8487" s="180" t="s">
        <v>257</v>
      </c>
    </row>
    <row r="8488" spans="8:18" x14ac:dyDescent="0.2">
      <c r="H8488" s="180"/>
      <c r="P8488" s="180" t="s">
        <v>257</v>
      </c>
      <c r="R8488" s="180" t="s">
        <v>257</v>
      </c>
    </row>
    <row r="8489" spans="8:18" x14ac:dyDescent="0.2">
      <c r="H8489" s="180"/>
      <c r="P8489" s="180" t="s">
        <v>257</v>
      </c>
      <c r="R8489" s="180" t="s">
        <v>257</v>
      </c>
    </row>
    <row r="8490" spans="8:18" x14ac:dyDescent="0.2">
      <c r="H8490" s="180"/>
      <c r="P8490" s="180" t="s">
        <v>257</v>
      </c>
      <c r="R8490" s="180" t="s">
        <v>257</v>
      </c>
    </row>
    <row r="8491" spans="8:18" x14ac:dyDescent="0.2">
      <c r="H8491" s="180"/>
      <c r="P8491" s="180" t="s">
        <v>257</v>
      </c>
      <c r="R8491" s="180" t="s">
        <v>257</v>
      </c>
    </row>
    <row r="8492" spans="8:18" x14ac:dyDescent="0.2">
      <c r="H8492" s="180"/>
      <c r="P8492" s="180" t="s">
        <v>257</v>
      </c>
      <c r="R8492" s="180" t="s">
        <v>257</v>
      </c>
    </row>
    <row r="8493" spans="8:18" x14ac:dyDescent="0.2">
      <c r="H8493" s="180"/>
      <c r="P8493" s="180" t="s">
        <v>257</v>
      </c>
      <c r="R8493" s="180" t="s">
        <v>257</v>
      </c>
    </row>
    <row r="8494" spans="8:18" x14ac:dyDescent="0.2">
      <c r="H8494" s="180"/>
      <c r="P8494" s="180" t="s">
        <v>257</v>
      </c>
      <c r="R8494" s="180" t="s">
        <v>257</v>
      </c>
    </row>
    <row r="8495" spans="8:18" x14ac:dyDescent="0.2">
      <c r="H8495" s="180"/>
      <c r="P8495" s="180" t="s">
        <v>257</v>
      </c>
      <c r="R8495" s="180" t="s">
        <v>257</v>
      </c>
    </row>
    <row r="8496" spans="8:18" x14ac:dyDescent="0.2">
      <c r="H8496" s="180"/>
      <c r="P8496" s="180" t="s">
        <v>257</v>
      </c>
      <c r="R8496" s="180" t="s">
        <v>257</v>
      </c>
    </row>
    <row r="8497" spans="8:18" x14ac:dyDescent="0.2">
      <c r="H8497" s="180"/>
      <c r="P8497" s="180" t="s">
        <v>257</v>
      </c>
      <c r="R8497" s="180" t="s">
        <v>257</v>
      </c>
    </row>
    <row r="8498" spans="8:18" x14ac:dyDescent="0.2">
      <c r="H8498" s="180"/>
      <c r="P8498" s="180" t="s">
        <v>257</v>
      </c>
      <c r="R8498" s="180" t="s">
        <v>257</v>
      </c>
    </row>
    <row r="8499" spans="8:18" x14ac:dyDescent="0.2">
      <c r="H8499" s="180"/>
      <c r="P8499" s="180" t="s">
        <v>257</v>
      </c>
      <c r="R8499" s="180" t="s">
        <v>257</v>
      </c>
    </row>
    <row r="8500" spans="8:18" x14ac:dyDescent="0.2">
      <c r="H8500" s="180"/>
      <c r="P8500" s="180" t="s">
        <v>257</v>
      </c>
      <c r="R8500" s="180" t="s">
        <v>257</v>
      </c>
    </row>
    <row r="8501" spans="8:18" x14ac:dyDescent="0.2">
      <c r="H8501" s="180"/>
      <c r="P8501" s="180" t="s">
        <v>257</v>
      </c>
      <c r="R8501" s="180" t="s">
        <v>257</v>
      </c>
    </row>
    <row r="8502" spans="8:18" x14ac:dyDescent="0.2">
      <c r="H8502" s="180"/>
      <c r="P8502" s="180" t="s">
        <v>257</v>
      </c>
      <c r="R8502" s="180" t="s">
        <v>257</v>
      </c>
    </row>
    <row r="8503" spans="8:18" x14ac:dyDescent="0.2">
      <c r="H8503" s="180"/>
      <c r="P8503" s="180" t="s">
        <v>257</v>
      </c>
      <c r="R8503" s="180" t="s">
        <v>257</v>
      </c>
    </row>
    <row r="8504" spans="8:18" x14ac:dyDescent="0.2">
      <c r="H8504" s="180"/>
      <c r="P8504" s="180" t="s">
        <v>257</v>
      </c>
      <c r="R8504" s="180" t="s">
        <v>257</v>
      </c>
    </row>
    <row r="8505" spans="8:18" x14ac:dyDescent="0.2">
      <c r="H8505" s="180"/>
      <c r="P8505" s="180" t="s">
        <v>257</v>
      </c>
      <c r="R8505" s="180" t="s">
        <v>257</v>
      </c>
    </row>
    <row r="8506" spans="8:18" x14ac:dyDescent="0.2">
      <c r="H8506" s="180"/>
      <c r="P8506" s="180" t="s">
        <v>257</v>
      </c>
      <c r="R8506" s="180" t="s">
        <v>257</v>
      </c>
    </row>
    <row r="8507" spans="8:18" x14ac:dyDescent="0.2">
      <c r="H8507" s="180"/>
      <c r="P8507" s="180" t="s">
        <v>257</v>
      </c>
      <c r="R8507" s="180" t="s">
        <v>257</v>
      </c>
    </row>
    <row r="8508" spans="8:18" x14ac:dyDescent="0.2">
      <c r="H8508" s="180"/>
      <c r="P8508" s="180" t="s">
        <v>257</v>
      </c>
      <c r="R8508" s="180" t="s">
        <v>257</v>
      </c>
    </row>
    <row r="8509" spans="8:18" x14ac:dyDescent="0.2">
      <c r="H8509" s="180"/>
      <c r="P8509" s="180" t="s">
        <v>257</v>
      </c>
      <c r="R8509" s="180" t="s">
        <v>257</v>
      </c>
    </row>
    <row r="8510" spans="8:18" x14ac:dyDescent="0.2">
      <c r="H8510" s="180"/>
      <c r="P8510" s="180" t="s">
        <v>257</v>
      </c>
      <c r="R8510" s="180" t="s">
        <v>257</v>
      </c>
    </row>
    <row r="8511" spans="8:18" x14ac:dyDescent="0.2">
      <c r="H8511" s="180"/>
      <c r="P8511" s="180" t="s">
        <v>257</v>
      </c>
      <c r="R8511" s="180" t="s">
        <v>257</v>
      </c>
    </row>
    <row r="8512" spans="8:18" x14ac:dyDescent="0.2">
      <c r="H8512" s="180"/>
      <c r="P8512" s="180" t="s">
        <v>257</v>
      </c>
      <c r="R8512" s="180" t="s">
        <v>257</v>
      </c>
    </row>
    <row r="8513" spans="8:18" x14ac:dyDescent="0.2">
      <c r="H8513" s="180"/>
      <c r="P8513" s="180" t="s">
        <v>257</v>
      </c>
      <c r="R8513" s="180" t="s">
        <v>257</v>
      </c>
    </row>
    <row r="8514" spans="8:18" x14ac:dyDescent="0.2">
      <c r="H8514" s="180"/>
      <c r="P8514" s="180" t="s">
        <v>257</v>
      </c>
      <c r="R8514" s="180" t="s">
        <v>257</v>
      </c>
    </row>
    <row r="8515" spans="8:18" x14ac:dyDescent="0.2">
      <c r="H8515" s="180"/>
      <c r="P8515" s="180" t="s">
        <v>257</v>
      </c>
      <c r="R8515" s="180" t="s">
        <v>257</v>
      </c>
    </row>
    <row r="8516" spans="8:18" x14ac:dyDescent="0.2">
      <c r="H8516" s="180"/>
      <c r="P8516" s="180" t="s">
        <v>257</v>
      </c>
      <c r="R8516" s="180" t="s">
        <v>257</v>
      </c>
    </row>
    <row r="8517" spans="8:18" x14ac:dyDescent="0.2">
      <c r="H8517" s="180"/>
      <c r="P8517" s="180" t="s">
        <v>257</v>
      </c>
      <c r="R8517" s="180" t="s">
        <v>257</v>
      </c>
    </row>
    <row r="8518" spans="8:18" x14ac:dyDescent="0.2">
      <c r="H8518" s="180"/>
      <c r="P8518" s="180" t="s">
        <v>257</v>
      </c>
      <c r="R8518" s="180" t="s">
        <v>257</v>
      </c>
    </row>
    <row r="8519" spans="8:18" x14ac:dyDescent="0.2">
      <c r="H8519" s="180"/>
      <c r="P8519" s="180" t="s">
        <v>257</v>
      </c>
      <c r="R8519" s="180" t="s">
        <v>257</v>
      </c>
    </row>
    <row r="8520" spans="8:18" x14ac:dyDescent="0.2">
      <c r="H8520" s="180"/>
      <c r="P8520" s="180" t="s">
        <v>257</v>
      </c>
      <c r="R8520" s="180" t="s">
        <v>257</v>
      </c>
    </row>
    <row r="8521" spans="8:18" x14ac:dyDescent="0.2">
      <c r="H8521" s="180"/>
      <c r="P8521" s="180" t="s">
        <v>257</v>
      </c>
      <c r="R8521" s="180" t="s">
        <v>257</v>
      </c>
    </row>
    <row r="8522" spans="8:18" x14ac:dyDescent="0.2">
      <c r="H8522" s="180"/>
      <c r="P8522" s="180" t="s">
        <v>257</v>
      </c>
      <c r="R8522" s="180" t="s">
        <v>257</v>
      </c>
    </row>
    <row r="8523" spans="8:18" x14ac:dyDescent="0.2">
      <c r="H8523" s="180"/>
      <c r="P8523" s="180" t="s">
        <v>257</v>
      </c>
      <c r="R8523" s="180" t="s">
        <v>257</v>
      </c>
    </row>
    <row r="8524" spans="8:18" x14ac:dyDescent="0.2">
      <c r="H8524" s="180"/>
      <c r="P8524" s="180" t="s">
        <v>257</v>
      </c>
      <c r="R8524" s="180" t="s">
        <v>257</v>
      </c>
    </row>
    <row r="8525" spans="8:18" x14ac:dyDescent="0.2">
      <c r="H8525" s="180"/>
      <c r="P8525" s="180" t="s">
        <v>257</v>
      </c>
      <c r="R8525" s="180" t="s">
        <v>257</v>
      </c>
    </row>
    <row r="8526" spans="8:18" x14ac:dyDescent="0.2">
      <c r="H8526" s="180"/>
      <c r="P8526" s="180" t="s">
        <v>257</v>
      </c>
      <c r="R8526" s="180" t="s">
        <v>257</v>
      </c>
    </row>
    <row r="8527" spans="8:18" x14ac:dyDescent="0.2">
      <c r="H8527" s="180"/>
      <c r="P8527" s="180" t="s">
        <v>257</v>
      </c>
      <c r="R8527" s="180" t="s">
        <v>257</v>
      </c>
    </row>
    <row r="8528" spans="8:18" x14ac:dyDescent="0.2">
      <c r="H8528" s="180"/>
      <c r="P8528" s="180" t="s">
        <v>257</v>
      </c>
      <c r="R8528" s="180" t="s">
        <v>257</v>
      </c>
    </row>
    <row r="8529" spans="8:18" x14ac:dyDescent="0.2">
      <c r="H8529" s="180"/>
      <c r="P8529" s="180" t="s">
        <v>257</v>
      </c>
      <c r="R8529" s="180" t="s">
        <v>257</v>
      </c>
    </row>
    <row r="8530" spans="8:18" x14ac:dyDescent="0.2">
      <c r="H8530" s="180"/>
      <c r="P8530" s="180" t="s">
        <v>257</v>
      </c>
      <c r="R8530" s="180" t="s">
        <v>257</v>
      </c>
    </row>
    <row r="8531" spans="8:18" x14ac:dyDescent="0.2">
      <c r="H8531" s="180"/>
      <c r="P8531" s="180" t="s">
        <v>257</v>
      </c>
      <c r="R8531" s="180" t="s">
        <v>257</v>
      </c>
    </row>
    <row r="8532" spans="8:18" x14ac:dyDescent="0.2">
      <c r="H8532" s="180"/>
      <c r="P8532" s="180" t="s">
        <v>257</v>
      </c>
      <c r="R8532" s="180" t="s">
        <v>257</v>
      </c>
    </row>
    <row r="8533" spans="8:18" x14ac:dyDescent="0.2">
      <c r="H8533" s="180"/>
      <c r="P8533" s="180" t="s">
        <v>257</v>
      </c>
      <c r="R8533" s="180" t="s">
        <v>257</v>
      </c>
    </row>
    <row r="8534" spans="8:18" x14ac:dyDescent="0.2">
      <c r="H8534" s="180"/>
      <c r="P8534" s="180" t="s">
        <v>257</v>
      </c>
      <c r="R8534" s="180" t="s">
        <v>257</v>
      </c>
    </row>
    <row r="8535" spans="8:18" x14ac:dyDescent="0.2">
      <c r="H8535" s="180"/>
      <c r="P8535" s="180" t="s">
        <v>257</v>
      </c>
      <c r="R8535" s="180" t="s">
        <v>257</v>
      </c>
    </row>
    <row r="8536" spans="8:18" x14ac:dyDescent="0.2">
      <c r="H8536" s="180"/>
      <c r="P8536" s="180" t="s">
        <v>257</v>
      </c>
      <c r="R8536" s="180" t="s">
        <v>257</v>
      </c>
    </row>
    <row r="8537" spans="8:18" x14ac:dyDescent="0.2">
      <c r="H8537" s="180"/>
      <c r="P8537" s="180" t="s">
        <v>257</v>
      </c>
      <c r="R8537" s="180" t="s">
        <v>257</v>
      </c>
    </row>
    <row r="8538" spans="8:18" x14ac:dyDescent="0.2">
      <c r="H8538" s="180"/>
      <c r="P8538" s="180" t="s">
        <v>257</v>
      </c>
      <c r="R8538" s="180" t="s">
        <v>257</v>
      </c>
    </row>
    <row r="8539" spans="8:18" x14ac:dyDescent="0.2">
      <c r="H8539" s="180"/>
      <c r="P8539" s="180" t="s">
        <v>257</v>
      </c>
      <c r="R8539" s="180" t="s">
        <v>257</v>
      </c>
    </row>
    <row r="8540" spans="8:18" x14ac:dyDescent="0.2">
      <c r="H8540" s="180"/>
      <c r="P8540" s="180" t="s">
        <v>257</v>
      </c>
      <c r="R8540" s="180" t="s">
        <v>257</v>
      </c>
    </row>
    <row r="8541" spans="8:18" x14ac:dyDescent="0.2">
      <c r="H8541" s="180"/>
      <c r="P8541" s="180" t="s">
        <v>257</v>
      </c>
      <c r="R8541" s="180" t="s">
        <v>257</v>
      </c>
    </row>
    <row r="8542" spans="8:18" x14ac:dyDescent="0.2">
      <c r="H8542" s="180"/>
      <c r="P8542" s="180" t="s">
        <v>257</v>
      </c>
      <c r="R8542" s="180" t="s">
        <v>257</v>
      </c>
    </row>
    <row r="8543" spans="8:18" x14ac:dyDescent="0.2">
      <c r="H8543" s="180"/>
      <c r="P8543" s="180" t="s">
        <v>257</v>
      </c>
      <c r="R8543" s="180" t="s">
        <v>257</v>
      </c>
    </row>
    <row r="8544" spans="8:18" x14ac:dyDescent="0.2">
      <c r="H8544" s="180"/>
      <c r="P8544" s="180" t="s">
        <v>257</v>
      </c>
      <c r="R8544" s="180" t="s">
        <v>257</v>
      </c>
    </row>
    <row r="8545" spans="8:18" x14ac:dyDescent="0.2">
      <c r="H8545" s="180"/>
      <c r="P8545" s="180" t="s">
        <v>257</v>
      </c>
      <c r="R8545" s="180" t="s">
        <v>257</v>
      </c>
    </row>
    <row r="8546" spans="8:18" x14ac:dyDescent="0.2">
      <c r="H8546" s="180"/>
      <c r="P8546" s="180" t="s">
        <v>257</v>
      </c>
      <c r="R8546" s="180" t="s">
        <v>257</v>
      </c>
    </row>
    <row r="8547" spans="8:18" x14ac:dyDescent="0.2">
      <c r="H8547" s="180"/>
      <c r="P8547" s="180" t="s">
        <v>257</v>
      </c>
      <c r="R8547" s="180" t="s">
        <v>257</v>
      </c>
    </row>
    <row r="8548" spans="8:18" x14ac:dyDescent="0.2">
      <c r="H8548" s="180"/>
      <c r="P8548" s="180" t="s">
        <v>257</v>
      </c>
      <c r="R8548" s="180" t="s">
        <v>257</v>
      </c>
    </row>
    <row r="8549" spans="8:18" x14ac:dyDescent="0.2">
      <c r="H8549" s="180"/>
      <c r="P8549" s="180" t="s">
        <v>257</v>
      </c>
      <c r="R8549" s="180" t="s">
        <v>257</v>
      </c>
    </row>
    <row r="8550" spans="8:18" x14ac:dyDescent="0.2">
      <c r="H8550" s="180"/>
      <c r="P8550" s="180" t="s">
        <v>257</v>
      </c>
      <c r="R8550" s="180" t="s">
        <v>257</v>
      </c>
    </row>
    <row r="8551" spans="8:18" x14ac:dyDescent="0.2">
      <c r="H8551" s="180"/>
      <c r="P8551" s="180" t="s">
        <v>257</v>
      </c>
      <c r="R8551" s="180" t="s">
        <v>257</v>
      </c>
    </row>
    <row r="8552" spans="8:18" x14ac:dyDescent="0.2">
      <c r="H8552" s="180"/>
      <c r="P8552" s="180" t="s">
        <v>257</v>
      </c>
      <c r="R8552" s="180" t="s">
        <v>257</v>
      </c>
    </row>
    <row r="8553" spans="8:18" x14ac:dyDescent="0.2">
      <c r="H8553" s="180"/>
      <c r="P8553" s="180" t="s">
        <v>257</v>
      </c>
      <c r="R8553" s="180" t="s">
        <v>257</v>
      </c>
    </row>
    <row r="8554" spans="8:18" x14ac:dyDescent="0.2">
      <c r="H8554" s="180"/>
      <c r="P8554" s="180" t="s">
        <v>257</v>
      </c>
      <c r="R8554" s="180" t="s">
        <v>257</v>
      </c>
    </row>
    <row r="8555" spans="8:18" x14ac:dyDescent="0.2">
      <c r="H8555" s="180"/>
      <c r="P8555" s="180" t="s">
        <v>257</v>
      </c>
      <c r="R8555" s="180" t="s">
        <v>257</v>
      </c>
    </row>
    <row r="8556" spans="8:18" x14ac:dyDescent="0.2">
      <c r="H8556" s="180"/>
      <c r="P8556" s="180" t="s">
        <v>257</v>
      </c>
      <c r="R8556" s="180" t="s">
        <v>257</v>
      </c>
    </row>
    <row r="8557" spans="8:18" x14ac:dyDescent="0.2">
      <c r="H8557" s="180"/>
      <c r="P8557" s="180" t="s">
        <v>257</v>
      </c>
      <c r="R8557" s="180" t="s">
        <v>257</v>
      </c>
    </row>
    <row r="8558" spans="8:18" x14ac:dyDescent="0.2">
      <c r="H8558" s="180"/>
      <c r="P8558" s="180" t="s">
        <v>257</v>
      </c>
      <c r="R8558" s="180" t="s">
        <v>257</v>
      </c>
    </row>
    <row r="8559" spans="8:18" x14ac:dyDescent="0.2">
      <c r="H8559" s="180"/>
      <c r="P8559" s="180" t="s">
        <v>257</v>
      </c>
      <c r="R8559" s="180" t="s">
        <v>257</v>
      </c>
    </row>
    <row r="8560" spans="8:18" x14ac:dyDescent="0.2">
      <c r="H8560" s="180"/>
      <c r="P8560" s="180" t="s">
        <v>257</v>
      </c>
      <c r="R8560" s="180" t="s">
        <v>257</v>
      </c>
    </row>
    <row r="8561" spans="8:18" x14ac:dyDescent="0.2">
      <c r="H8561" s="180"/>
      <c r="P8561" s="180" t="s">
        <v>257</v>
      </c>
      <c r="R8561" s="180" t="s">
        <v>257</v>
      </c>
    </row>
    <row r="8562" spans="8:18" x14ac:dyDescent="0.2">
      <c r="H8562" s="180"/>
      <c r="P8562" s="180" t="s">
        <v>257</v>
      </c>
      <c r="R8562" s="180" t="s">
        <v>257</v>
      </c>
    </row>
    <row r="8563" spans="8:18" x14ac:dyDescent="0.2">
      <c r="H8563" s="180"/>
      <c r="P8563" s="180" t="s">
        <v>257</v>
      </c>
      <c r="R8563" s="180" t="s">
        <v>257</v>
      </c>
    </row>
    <row r="8564" spans="8:18" x14ac:dyDescent="0.2">
      <c r="H8564" s="180"/>
      <c r="P8564" s="180" t="s">
        <v>257</v>
      </c>
      <c r="R8564" s="180" t="s">
        <v>257</v>
      </c>
    </row>
    <row r="8565" spans="8:18" x14ac:dyDescent="0.2">
      <c r="H8565" s="180"/>
      <c r="P8565" s="180" t="s">
        <v>257</v>
      </c>
      <c r="R8565" s="180" t="s">
        <v>257</v>
      </c>
    </row>
    <row r="8566" spans="8:18" x14ac:dyDescent="0.2">
      <c r="H8566" s="180"/>
      <c r="P8566" s="180" t="s">
        <v>257</v>
      </c>
      <c r="R8566" s="180" t="s">
        <v>257</v>
      </c>
    </row>
    <row r="8567" spans="8:18" x14ac:dyDescent="0.2">
      <c r="H8567" s="180"/>
      <c r="P8567" s="180" t="s">
        <v>257</v>
      </c>
      <c r="R8567" s="180" t="s">
        <v>257</v>
      </c>
    </row>
    <row r="8568" spans="8:18" x14ac:dyDescent="0.2">
      <c r="H8568" s="180"/>
      <c r="P8568" s="180" t="s">
        <v>257</v>
      </c>
      <c r="R8568" s="180" t="s">
        <v>257</v>
      </c>
    </row>
    <row r="8569" spans="8:18" x14ac:dyDescent="0.2">
      <c r="H8569" s="180"/>
      <c r="P8569" s="180" t="s">
        <v>257</v>
      </c>
      <c r="R8569" s="180" t="s">
        <v>257</v>
      </c>
    </row>
    <row r="8570" spans="8:18" x14ac:dyDescent="0.2">
      <c r="H8570" s="180"/>
      <c r="P8570" s="180" t="s">
        <v>257</v>
      </c>
      <c r="R8570" s="180" t="s">
        <v>257</v>
      </c>
    </row>
    <row r="8571" spans="8:18" x14ac:dyDescent="0.2">
      <c r="H8571" s="180"/>
      <c r="P8571" s="180" t="s">
        <v>257</v>
      </c>
      <c r="R8571" s="180" t="s">
        <v>257</v>
      </c>
    </row>
    <row r="8572" spans="8:18" x14ac:dyDescent="0.2">
      <c r="H8572" s="180"/>
      <c r="P8572" s="180" t="s">
        <v>257</v>
      </c>
      <c r="R8572" s="180" t="s">
        <v>257</v>
      </c>
    </row>
    <row r="8573" spans="8:18" x14ac:dyDescent="0.2">
      <c r="H8573" s="180"/>
      <c r="P8573" s="180" t="s">
        <v>257</v>
      </c>
      <c r="R8573" s="180" t="s">
        <v>257</v>
      </c>
    </row>
    <row r="8574" spans="8:18" x14ac:dyDescent="0.2">
      <c r="H8574" s="180"/>
      <c r="P8574" s="180" t="s">
        <v>257</v>
      </c>
      <c r="R8574" s="180" t="s">
        <v>257</v>
      </c>
    </row>
    <row r="8575" spans="8:18" x14ac:dyDescent="0.2">
      <c r="H8575" s="180"/>
      <c r="P8575" s="180" t="s">
        <v>257</v>
      </c>
      <c r="R8575" s="180" t="s">
        <v>257</v>
      </c>
    </row>
    <row r="8576" spans="8:18" x14ac:dyDescent="0.2">
      <c r="H8576" s="180"/>
      <c r="P8576" s="180" t="s">
        <v>257</v>
      </c>
      <c r="R8576" s="180" t="s">
        <v>257</v>
      </c>
    </row>
    <row r="8577" spans="8:18" x14ac:dyDescent="0.2">
      <c r="H8577" s="180"/>
      <c r="P8577" s="180" t="s">
        <v>257</v>
      </c>
      <c r="R8577" s="180" t="s">
        <v>257</v>
      </c>
    </row>
    <row r="8578" spans="8:18" x14ac:dyDescent="0.2">
      <c r="H8578" s="180"/>
      <c r="P8578" s="180" t="s">
        <v>257</v>
      </c>
      <c r="R8578" s="180" t="s">
        <v>257</v>
      </c>
    </row>
    <row r="8579" spans="8:18" x14ac:dyDescent="0.2">
      <c r="H8579" s="180"/>
      <c r="P8579" s="180" t="s">
        <v>257</v>
      </c>
      <c r="R8579" s="180" t="s">
        <v>257</v>
      </c>
    </row>
    <row r="8580" spans="8:18" x14ac:dyDescent="0.2">
      <c r="H8580" s="180"/>
      <c r="P8580" s="180" t="s">
        <v>257</v>
      </c>
      <c r="R8580" s="180" t="s">
        <v>257</v>
      </c>
    </row>
    <row r="8581" spans="8:18" x14ac:dyDescent="0.2">
      <c r="H8581" s="180"/>
      <c r="P8581" s="180" t="s">
        <v>257</v>
      </c>
      <c r="R8581" s="180" t="s">
        <v>257</v>
      </c>
    </row>
    <row r="8582" spans="8:18" x14ac:dyDescent="0.2">
      <c r="H8582" s="180"/>
      <c r="P8582" s="180" t="s">
        <v>257</v>
      </c>
      <c r="R8582" s="180" t="s">
        <v>257</v>
      </c>
    </row>
    <row r="8583" spans="8:18" x14ac:dyDescent="0.2">
      <c r="H8583" s="180"/>
      <c r="P8583" s="180" t="s">
        <v>257</v>
      </c>
      <c r="R8583" s="180" t="s">
        <v>257</v>
      </c>
    </row>
    <row r="8584" spans="8:18" x14ac:dyDescent="0.2">
      <c r="H8584" s="180"/>
      <c r="P8584" s="180" t="s">
        <v>257</v>
      </c>
      <c r="R8584" s="180" t="s">
        <v>257</v>
      </c>
    </row>
    <row r="8585" spans="8:18" x14ac:dyDescent="0.2">
      <c r="H8585" s="180"/>
      <c r="P8585" s="180" t="s">
        <v>257</v>
      </c>
      <c r="R8585" s="180" t="s">
        <v>257</v>
      </c>
    </row>
    <row r="8586" spans="8:18" x14ac:dyDescent="0.2">
      <c r="H8586" s="180"/>
      <c r="P8586" s="180" t="s">
        <v>257</v>
      </c>
      <c r="R8586" s="180" t="s">
        <v>257</v>
      </c>
    </row>
    <row r="8587" spans="8:18" x14ac:dyDescent="0.2">
      <c r="H8587" s="180"/>
      <c r="P8587" s="180" t="s">
        <v>257</v>
      </c>
      <c r="R8587" s="180" t="s">
        <v>257</v>
      </c>
    </row>
    <row r="8588" spans="8:18" x14ac:dyDescent="0.2">
      <c r="H8588" s="180"/>
      <c r="P8588" s="180" t="s">
        <v>257</v>
      </c>
      <c r="R8588" s="180" t="s">
        <v>257</v>
      </c>
    </row>
    <row r="8589" spans="8:18" x14ac:dyDescent="0.2">
      <c r="H8589" s="180"/>
      <c r="P8589" s="180" t="s">
        <v>257</v>
      </c>
      <c r="R8589" s="180" t="s">
        <v>257</v>
      </c>
    </row>
    <row r="8590" spans="8:18" x14ac:dyDescent="0.2">
      <c r="H8590" s="180"/>
      <c r="P8590" s="180" t="s">
        <v>257</v>
      </c>
      <c r="R8590" s="180" t="s">
        <v>257</v>
      </c>
    </row>
    <row r="8591" spans="8:18" x14ac:dyDescent="0.2">
      <c r="H8591" s="180"/>
      <c r="P8591" s="180" t="s">
        <v>257</v>
      </c>
      <c r="R8591" s="180" t="s">
        <v>257</v>
      </c>
    </row>
    <row r="8592" spans="8:18" x14ac:dyDescent="0.2">
      <c r="H8592" s="180"/>
      <c r="P8592" s="180" t="s">
        <v>257</v>
      </c>
      <c r="R8592" s="180" t="s">
        <v>257</v>
      </c>
    </row>
    <row r="8593" spans="8:18" x14ac:dyDescent="0.2">
      <c r="H8593" s="180"/>
      <c r="P8593" s="180" t="s">
        <v>257</v>
      </c>
      <c r="R8593" s="180" t="s">
        <v>257</v>
      </c>
    </row>
    <row r="8594" spans="8:18" x14ac:dyDescent="0.2">
      <c r="H8594" s="180"/>
      <c r="P8594" s="180" t="s">
        <v>257</v>
      </c>
      <c r="R8594" s="180" t="s">
        <v>257</v>
      </c>
    </row>
    <row r="8595" spans="8:18" x14ac:dyDescent="0.2">
      <c r="H8595" s="180"/>
      <c r="P8595" s="180" t="s">
        <v>257</v>
      </c>
      <c r="R8595" s="180" t="s">
        <v>257</v>
      </c>
    </row>
    <row r="8596" spans="8:18" x14ac:dyDescent="0.2">
      <c r="H8596" s="180"/>
      <c r="P8596" s="180" t="s">
        <v>257</v>
      </c>
      <c r="R8596" s="180" t="s">
        <v>257</v>
      </c>
    </row>
    <row r="8597" spans="8:18" x14ac:dyDescent="0.2">
      <c r="H8597" s="180"/>
      <c r="P8597" s="180" t="s">
        <v>257</v>
      </c>
      <c r="R8597" s="180" t="s">
        <v>257</v>
      </c>
    </row>
    <row r="8598" spans="8:18" x14ac:dyDescent="0.2">
      <c r="H8598" s="180"/>
      <c r="P8598" s="180" t="s">
        <v>257</v>
      </c>
      <c r="R8598" s="180" t="s">
        <v>257</v>
      </c>
    </row>
    <row r="8599" spans="8:18" x14ac:dyDescent="0.2">
      <c r="H8599" s="180"/>
      <c r="P8599" s="180" t="s">
        <v>257</v>
      </c>
      <c r="R8599" s="180" t="s">
        <v>257</v>
      </c>
    </row>
    <row r="8600" spans="8:18" x14ac:dyDescent="0.2">
      <c r="H8600" s="180"/>
      <c r="P8600" s="180" t="s">
        <v>257</v>
      </c>
      <c r="R8600" s="180" t="s">
        <v>257</v>
      </c>
    </row>
    <row r="8601" spans="8:18" x14ac:dyDescent="0.2">
      <c r="H8601" s="180"/>
      <c r="P8601" s="180" t="s">
        <v>257</v>
      </c>
      <c r="R8601" s="180" t="s">
        <v>257</v>
      </c>
    </row>
    <row r="8602" spans="8:18" x14ac:dyDescent="0.2">
      <c r="H8602" s="180"/>
      <c r="P8602" s="180" t="s">
        <v>257</v>
      </c>
      <c r="R8602" s="180" t="s">
        <v>257</v>
      </c>
    </row>
    <row r="8603" spans="8:18" x14ac:dyDescent="0.2">
      <c r="H8603" s="180"/>
      <c r="P8603" s="180" t="s">
        <v>257</v>
      </c>
      <c r="R8603" s="180" t="s">
        <v>257</v>
      </c>
    </row>
    <row r="8604" spans="8:18" x14ac:dyDescent="0.2">
      <c r="H8604" s="180"/>
      <c r="P8604" s="180" t="s">
        <v>257</v>
      </c>
      <c r="R8604" s="180" t="s">
        <v>257</v>
      </c>
    </row>
    <row r="8605" spans="8:18" x14ac:dyDescent="0.2">
      <c r="H8605" s="180"/>
      <c r="P8605" s="180" t="s">
        <v>257</v>
      </c>
      <c r="R8605" s="180" t="s">
        <v>257</v>
      </c>
    </row>
    <row r="8606" spans="8:18" x14ac:dyDescent="0.2">
      <c r="H8606" s="180"/>
      <c r="P8606" s="180" t="s">
        <v>257</v>
      </c>
      <c r="R8606" s="180" t="s">
        <v>257</v>
      </c>
    </row>
    <row r="8607" spans="8:18" x14ac:dyDescent="0.2">
      <c r="H8607" s="180"/>
      <c r="P8607" s="180" t="s">
        <v>257</v>
      </c>
      <c r="R8607" s="180" t="s">
        <v>257</v>
      </c>
    </row>
    <row r="8608" spans="8:18" x14ac:dyDescent="0.2">
      <c r="H8608" s="180"/>
      <c r="P8608" s="180" t="s">
        <v>257</v>
      </c>
      <c r="R8608" s="180" t="s">
        <v>257</v>
      </c>
    </row>
    <row r="8609" spans="8:18" x14ac:dyDescent="0.2">
      <c r="H8609" s="180"/>
      <c r="P8609" s="180" t="s">
        <v>257</v>
      </c>
      <c r="R8609" s="180" t="s">
        <v>257</v>
      </c>
    </row>
    <row r="8610" spans="8:18" x14ac:dyDescent="0.2">
      <c r="H8610" s="180"/>
      <c r="P8610" s="180" t="s">
        <v>257</v>
      </c>
      <c r="R8610" s="180" t="s">
        <v>257</v>
      </c>
    </row>
    <row r="8611" spans="8:18" x14ac:dyDescent="0.2">
      <c r="H8611" s="180"/>
      <c r="P8611" s="180" t="s">
        <v>257</v>
      </c>
      <c r="R8611" s="180" t="s">
        <v>257</v>
      </c>
    </row>
    <row r="8612" spans="8:18" x14ac:dyDescent="0.2">
      <c r="H8612" s="180"/>
      <c r="P8612" s="180" t="s">
        <v>257</v>
      </c>
      <c r="R8612" s="180" t="s">
        <v>257</v>
      </c>
    </row>
    <row r="8613" spans="8:18" x14ac:dyDescent="0.2">
      <c r="H8613" s="180"/>
      <c r="P8613" s="180" t="s">
        <v>257</v>
      </c>
      <c r="R8613" s="180" t="s">
        <v>257</v>
      </c>
    </row>
    <row r="8614" spans="8:18" x14ac:dyDescent="0.2">
      <c r="H8614" s="180"/>
      <c r="P8614" s="180" t="s">
        <v>257</v>
      </c>
      <c r="R8614" s="180" t="s">
        <v>257</v>
      </c>
    </row>
    <row r="8615" spans="8:18" x14ac:dyDescent="0.2">
      <c r="H8615" s="180"/>
      <c r="P8615" s="180" t="s">
        <v>257</v>
      </c>
      <c r="R8615" s="180" t="s">
        <v>257</v>
      </c>
    </row>
    <row r="8616" spans="8:18" x14ac:dyDescent="0.2">
      <c r="H8616" s="180"/>
      <c r="P8616" s="180" t="s">
        <v>257</v>
      </c>
      <c r="R8616" s="180" t="s">
        <v>257</v>
      </c>
    </row>
    <row r="8617" spans="8:18" x14ac:dyDescent="0.2">
      <c r="H8617" s="180"/>
      <c r="P8617" s="180" t="s">
        <v>257</v>
      </c>
      <c r="R8617" s="180" t="s">
        <v>257</v>
      </c>
    </row>
    <row r="8618" spans="8:18" x14ac:dyDescent="0.2">
      <c r="H8618" s="180"/>
      <c r="P8618" s="180" t="s">
        <v>257</v>
      </c>
      <c r="R8618" s="180" t="s">
        <v>257</v>
      </c>
    </row>
    <row r="8619" spans="8:18" x14ac:dyDescent="0.2">
      <c r="H8619" s="180"/>
      <c r="P8619" s="180" t="s">
        <v>257</v>
      </c>
      <c r="R8619" s="180" t="s">
        <v>257</v>
      </c>
    </row>
    <row r="8620" spans="8:18" x14ac:dyDescent="0.2">
      <c r="H8620" s="180"/>
      <c r="P8620" s="180" t="s">
        <v>257</v>
      </c>
      <c r="R8620" s="180" t="s">
        <v>257</v>
      </c>
    </row>
    <row r="8621" spans="8:18" x14ac:dyDescent="0.2">
      <c r="H8621" s="180"/>
      <c r="P8621" s="180" t="s">
        <v>257</v>
      </c>
      <c r="R8621" s="180" t="s">
        <v>257</v>
      </c>
    </row>
    <row r="8622" spans="8:18" x14ac:dyDescent="0.2">
      <c r="H8622" s="180"/>
      <c r="P8622" s="180" t="s">
        <v>257</v>
      </c>
      <c r="R8622" s="180" t="s">
        <v>257</v>
      </c>
    </row>
    <row r="8623" spans="8:18" x14ac:dyDescent="0.2">
      <c r="H8623" s="180"/>
      <c r="P8623" s="180" t="s">
        <v>257</v>
      </c>
      <c r="R8623" s="180" t="s">
        <v>257</v>
      </c>
    </row>
    <row r="8624" spans="8:18" x14ac:dyDescent="0.2">
      <c r="H8624" s="180"/>
      <c r="P8624" s="180" t="s">
        <v>257</v>
      </c>
      <c r="R8624" s="180" t="s">
        <v>257</v>
      </c>
    </row>
    <row r="8625" spans="8:18" x14ac:dyDescent="0.2">
      <c r="H8625" s="180"/>
      <c r="P8625" s="180" t="s">
        <v>257</v>
      </c>
      <c r="R8625" s="180" t="s">
        <v>257</v>
      </c>
    </row>
    <row r="8626" spans="8:18" x14ac:dyDescent="0.2">
      <c r="H8626" s="180"/>
      <c r="P8626" s="180" t="s">
        <v>257</v>
      </c>
      <c r="R8626" s="180" t="s">
        <v>257</v>
      </c>
    </row>
    <row r="8627" spans="8:18" x14ac:dyDescent="0.2">
      <c r="H8627" s="180"/>
      <c r="P8627" s="180" t="s">
        <v>257</v>
      </c>
      <c r="R8627" s="180" t="s">
        <v>257</v>
      </c>
    </row>
    <row r="8628" spans="8:18" x14ac:dyDescent="0.2">
      <c r="H8628" s="180"/>
      <c r="P8628" s="180" t="s">
        <v>257</v>
      </c>
      <c r="R8628" s="180" t="s">
        <v>257</v>
      </c>
    </row>
    <row r="8629" spans="8:18" x14ac:dyDescent="0.2">
      <c r="H8629" s="180"/>
      <c r="P8629" s="180" t="s">
        <v>257</v>
      </c>
      <c r="R8629" s="180" t="s">
        <v>257</v>
      </c>
    </row>
    <row r="8630" spans="8:18" x14ac:dyDescent="0.2">
      <c r="H8630" s="180"/>
      <c r="P8630" s="180" t="s">
        <v>257</v>
      </c>
      <c r="R8630" s="180" t="s">
        <v>257</v>
      </c>
    </row>
    <row r="8631" spans="8:18" x14ac:dyDescent="0.2">
      <c r="H8631" s="180"/>
      <c r="P8631" s="180" t="s">
        <v>257</v>
      </c>
      <c r="R8631" s="180" t="s">
        <v>257</v>
      </c>
    </row>
    <row r="8632" spans="8:18" x14ac:dyDescent="0.2">
      <c r="H8632" s="180"/>
      <c r="P8632" s="180" t="s">
        <v>257</v>
      </c>
      <c r="R8632" s="180" t="s">
        <v>257</v>
      </c>
    </row>
    <row r="8633" spans="8:18" x14ac:dyDescent="0.2">
      <c r="H8633" s="180"/>
      <c r="P8633" s="180" t="s">
        <v>257</v>
      </c>
      <c r="R8633" s="180" t="s">
        <v>257</v>
      </c>
    </row>
    <row r="8634" spans="8:18" x14ac:dyDescent="0.2">
      <c r="H8634" s="180"/>
      <c r="P8634" s="180" t="s">
        <v>257</v>
      </c>
      <c r="R8634" s="180" t="s">
        <v>257</v>
      </c>
    </row>
    <row r="8635" spans="8:18" x14ac:dyDescent="0.2">
      <c r="H8635" s="180"/>
      <c r="P8635" s="180" t="s">
        <v>257</v>
      </c>
      <c r="R8635" s="180" t="s">
        <v>257</v>
      </c>
    </row>
    <row r="8636" spans="8:18" x14ac:dyDescent="0.2">
      <c r="H8636" s="180"/>
      <c r="P8636" s="180" t="s">
        <v>257</v>
      </c>
      <c r="R8636" s="180" t="s">
        <v>257</v>
      </c>
    </row>
    <row r="8637" spans="8:18" x14ac:dyDescent="0.2">
      <c r="H8637" s="180"/>
      <c r="P8637" s="180" t="s">
        <v>257</v>
      </c>
      <c r="R8637" s="180" t="s">
        <v>257</v>
      </c>
    </row>
    <row r="8638" spans="8:18" x14ac:dyDescent="0.2">
      <c r="H8638" s="180"/>
      <c r="P8638" s="180" t="s">
        <v>257</v>
      </c>
      <c r="R8638" s="180" t="s">
        <v>257</v>
      </c>
    </row>
    <row r="8639" spans="8:18" x14ac:dyDescent="0.2">
      <c r="H8639" s="180"/>
      <c r="P8639" s="180" t="s">
        <v>257</v>
      </c>
      <c r="R8639" s="180" t="s">
        <v>257</v>
      </c>
    </row>
    <row r="8640" spans="8:18" x14ac:dyDescent="0.2">
      <c r="H8640" s="180"/>
      <c r="P8640" s="180" t="s">
        <v>257</v>
      </c>
      <c r="R8640" s="180" t="s">
        <v>257</v>
      </c>
    </row>
    <row r="8641" spans="8:18" x14ac:dyDescent="0.2">
      <c r="H8641" s="180"/>
      <c r="P8641" s="180" t="s">
        <v>257</v>
      </c>
      <c r="R8641" s="180" t="s">
        <v>257</v>
      </c>
    </row>
    <row r="8642" spans="8:18" x14ac:dyDescent="0.2">
      <c r="H8642" s="180"/>
      <c r="P8642" s="180" t="s">
        <v>257</v>
      </c>
      <c r="R8642" s="180" t="s">
        <v>257</v>
      </c>
    </row>
    <row r="8643" spans="8:18" x14ac:dyDescent="0.2">
      <c r="H8643" s="180"/>
      <c r="P8643" s="180" t="s">
        <v>257</v>
      </c>
      <c r="R8643" s="180" t="s">
        <v>257</v>
      </c>
    </row>
    <row r="8644" spans="8:18" x14ac:dyDescent="0.2">
      <c r="H8644" s="180"/>
      <c r="P8644" s="180" t="s">
        <v>257</v>
      </c>
      <c r="R8644" s="180" t="s">
        <v>257</v>
      </c>
    </row>
    <row r="8645" spans="8:18" x14ac:dyDescent="0.2">
      <c r="H8645" s="180"/>
      <c r="P8645" s="180" t="s">
        <v>257</v>
      </c>
      <c r="R8645" s="180" t="s">
        <v>257</v>
      </c>
    </row>
    <row r="8646" spans="8:18" x14ac:dyDescent="0.2">
      <c r="H8646" s="180"/>
      <c r="P8646" s="180" t="s">
        <v>257</v>
      </c>
      <c r="R8646" s="180" t="s">
        <v>257</v>
      </c>
    </row>
    <row r="8647" spans="8:18" x14ac:dyDescent="0.2">
      <c r="H8647" s="180"/>
      <c r="P8647" s="180" t="s">
        <v>257</v>
      </c>
      <c r="R8647" s="180" t="s">
        <v>257</v>
      </c>
    </row>
    <row r="8648" spans="8:18" x14ac:dyDescent="0.2">
      <c r="H8648" s="180"/>
      <c r="P8648" s="180" t="s">
        <v>257</v>
      </c>
      <c r="R8648" s="180" t="s">
        <v>257</v>
      </c>
    </row>
    <row r="8649" spans="8:18" x14ac:dyDescent="0.2">
      <c r="H8649" s="180"/>
      <c r="P8649" s="180" t="s">
        <v>257</v>
      </c>
      <c r="R8649" s="180" t="s">
        <v>257</v>
      </c>
    </row>
    <row r="8650" spans="8:18" x14ac:dyDescent="0.2">
      <c r="H8650" s="180"/>
      <c r="P8650" s="180" t="s">
        <v>257</v>
      </c>
      <c r="R8650" s="180" t="s">
        <v>257</v>
      </c>
    </row>
    <row r="8651" spans="8:18" x14ac:dyDescent="0.2">
      <c r="H8651" s="180"/>
      <c r="P8651" s="180" t="s">
        <v>257</v>
      </c>
      <c r="R8651" s="180" t="s">
        <v>257</v>
      </c>
    </row>
    <row r="8652" spans="8:18" x14ac:dyDescent="0.2">
      <c r="H8652" s="180"/>
      <c r="P8652" s="180" t="s">
        <v>257</v>
      </c>
      <c r="R8652" s="180" t="s">
        <v>257</v>
      </c>
    </row>
    <row r="8653" spans="8:18" x14ac:dyDescent="0.2">
      <c r="H8653" s="180"/>
      <c r="P8653" s="180" t="s">
        <v>257</v>
      </c>
      <c r="R8653" s="180" t="s">
        <v>257</v>
      </c>
    </row>
    <row r="8654" spans="8:18" x14ac:dyDescent="0.2">
      <c r="H8654" s="180"/>
      <c r="P8654" s="180" t="s">
        <v>257</v>
      </c>
      <c r="R8654" s="180" t="s">
        <v>257</v>
      </c>
    </row>
    <row r="8655" spans="8:18" x14ac:dyDescent="0.2">
      <c r="H8655" s="180"/>
      <c r="P8655" s="180" t="s">
        <v>257</v>
      </c>
      <c r="R8655" s="180" t="s">
        <v>257</v>
      </c>
    </row>
    <row r="8656" spans="8:18" x14ac:dyDescent="0.2">
      <c r="H8656" s="180"/>
      <c r="P8656" s="180" t="s">
        <v>257</v>
      </c>
      <c r="R8656" s="180" t="s">
        <v>257</v>
      </c>
    </row>
    <row r="8657" spans="8:18" x14ac:dyDescent="0.2">
      <c r="H8657" s="180"/>
      <c r="P8657" s="180" t="s">
        <v>257</v>
      </c>
      <c r="R8657" s="180" t="s">
        <v>257</v>
      </c>
    </row>
    <row r="8658" spans="8:18" x14ac:dyDescent="0.2">
      <c r="H8658" s="180"/>
      <c r="P8658" s="180" t="s">
        <v>257</v>
      </c>
      <c r="R8658" s="180" t="s">
        <v>257</v>
      </c>
    </row>
    <row r="8659" spans="8:18" x14ac:dyDescent="0.2">
      <c r="H8659" s="180"/>
      <c r="P8659" s="180" t="s">
        <v>257</v>
      </c>
      <c r="R8659" s="180" t="s">
        <v>257</v>
      </c>
    </row>
    <row r="8660" spans="8:18" x14ac:dyDescent="0.2">
      <c r="H8660" s="180"/>
      <c r="P8660" s="180" t="s">
        <v>257</v>
      </c>
      <c r="R8660" s="180" t="s">
        <v>257</v>
      </c>
    </row>
    <row r="8661" spans="8:18" x14ac:dyDescent="0.2">
      <c r="H8661" s="180"/>
      <c r="P8661" s="180" t="s">
        <v>257</v>
      </c>
      <c r="R8661" s="180" t="s">
        <v>257</v>
      </c>
    </row>
    <row r="8662" spans="8:18" x14ac:dyDescent="0.2">
      <c r="H8662" s="180"/>
      <c r="P8662" s="180" t="s">
        <v>257</v>
      </c>
      <c r="R8662" s="180" t="s">
        <v>257</v>
      </c>
    </row>
    <row r="8663" spans="8:18" x14ac:dyDescent="0.2">
      <c r="H8663" s="180"/>
      <c r="P8663" s="180" t="s">
        <v>257</v>
      </c>
      <c r="R8663" s="180" t="s">
        <v>257</v>
      </c>
    </row>
    <row r="8664" spans="8:18" x14ac:dyDescent="0.2">
      <c r="H8664" s="180"/>
      <c r="P8664" s="180" t="s">
        <v>257</v>
      </c>
      <c r="R8664" s="180" t="s">
        <v>257</v>
      </c>
    </row>
    <row r="8665" spans="8:18" x14ac:dyDescent="0.2">
      <c r="H8665" s="180"/>
      <c r="P8665" s="180" t="s">
        <v>257</v>
      </c>
      <c r="R8665" s="180" t="s">
        <v>257</v>
      </c>
    </row>
    <row r="8666" spans="8:18" x14ac:dyDescent="0.2">
      <c r="H8666" s="180"/>
      <c r="P8666" s="180" t="s">
        <v>257</v>
      </c>
      <c r="R8666" s="180" t="s">
        <v>257</v>
      </c>
    </row>
    <row r="8667" spans="8:18" x14ac:dyDescent="0.2">
      <c r="H8667" s="180"/>
      <c r="P8667" s="180" t="s">
        <v>257</v>
      </c>
      <c r="R8667" s="180" t="s">
        <v>257</v>
      </c>
    </row>
    <row r="8668" spans="8:18" x14ac:dyDescent="0.2">
      <c r="H8668" s="180"/>
      <c r="P8668" s="180" t="s">
        <v>257</v>
      </c>
      <c r="R8668" s="180" t="s">
        <v>257</v>
      </c>
    </row>
    <row r="8669" spans="8:18" x14ac:dyDescent="0.2">
      <c r="H8669" s="180"/>
      <c r="P8669" s="180" t="s">
        <v>257</v>
      </c>
      <c r="R8669" s="180" t="s">
        <v>257</v>
      </c>
    </row>
    <row r="8670" spans="8:18" x14ac:dyDescent="0.2">
      <c r="H8670" s="180"/>
      <c r="P8670" s="180" t="s">
        <v>257</v>
      </c>
      <c r="R8670" s="180" t="s">
        <v>257</v>
      </c>
    </row>
    <row r="8671" spans="8:18" x14ac:dyDescent="0.2">
      <c r="H8671" s="180"/>
      <c r="P8671" s="180" t="s">
        <v>257</v>
      </c>
      <c r="R8671" s="180" t="s">
        <v>257</v>
      </c>
    </row>
    <row r="8672" spans="8:18" x14ac:dyDescent="0.2">
      <c r="H8672" s="180"/>
      <c r="P8672" s="180" t="s">
        <v>257</v>
      </c>
      <c r="R8672" s="180" t="s">
        <v>257</v>
      </c>
    </row>
    <row r="8673" spans="8:18" x14ac:dyDescent="0.2">
      <c r="H8673" s="180"/>
      <c r="P8673" s="180" t="s">
        <v>257</v>
      </c>
      <c r="R8673" s="180" t="s">
        <v>257</v>
      </c>
    </row>
    <row r="8674" spans="8:18" x14ac:dyDescent="0.2">
      <c r="H8674" s="180"/>
      <c r="P8674" s="180" t="s">
        <v>257</v>
      </c>
      <c r="R8674" s="180" t="s">
        <v>257</v>
      </c>
    </row>
    <row r="8675" spans="8:18" x14ac:dyDescent="0.2">
      <c r="H8675" s="180"/>
      <c r="P8675" s="180" t="s">
        <v>257</v>
      </c>
      <c r="R8675" s="180" t="s">
        <v>257</v>
      </c>
    </row>
    <row r="8676" spans="8:18" x14ac:dyDescent="0.2">
      <c r="H8676" s="180"/>
      <c r="P8676" s="180" t="s">
        <v>257</v>
      </c>
      <c r="R8676" s="180" t="s">
        <v>257</v>
      </c>
    </row>
    <row r="8677" spans="8:18" x14ac:dyDescent="0.2">
      <c r="H8677" s="180"/>
      <c r="P8677" s="180" t="s">
        <v>257</v>
      </c>
      <c r="R8677" s="180" t="s">
        <v>257</v>
      </c>
    </row>
    <row r="8678" spans="8:18" x14ac:dyDescent="0.2">
      <c r="H8678" s="180"/>
      <c r="P8678" s="180" t="s">
        <v>257</v>
      </c>
      <c r="R8678" s="180" t="s">
        <v>257</v>
      </c>
    </row>
    <row r="8679" spans="8:18" x14ac:dyDescent="0.2">
      <c r="H8679" s="180"/>
      <c r="P8679" s="180" t="s">
        <v>257</v>
      </c>
      <c r="R8679" s="180" t="s">
        <v>257</v>
      </c>
    </row>
    <row r="8680" spans="8:18" x14ac:dyDescent="0.2">
      <c r="H8680" s="180"/>
      <c r="P8680" s="180" t="s">
        <v>257</v>
      </c>
      <c r="R8680" s="180" t="s">
        <v>257</v>
      </c>
    </row>
    <row r="8681" spans="8:18" x14ac:dyDescent="0.2">
      <c r="H8681" s="180"/>
      <c r="P8681" s="180" t="s">
        <v>257</v>
      </c>
      <c r="R8681" s="180" t="s">
        <v>257</v>
      </c>
    </row>
    <row r="8682" spans="8:18" x14ac:dyDescent="0.2">
      <c r="H8682" s="180"/>
      <c r="P8682" s="180" t="s">
        <v>257</v>
      </c>
      <c r="R8682" s="180" t="s">
        <v>257</v>
      </c>
    </row>
    <row r="8683" spans="8:18" x14ac:dyDescent="0.2">
      <c r="H8683" s="180"/>
      <c r="P8683" s="180" t="s">
        <v>257</v>
      </c>
      <c r="R8683" s="180" t="s">
        <v>257</v>
      </c>
    </row>
    <row r="8684" spans="8:18" x14ac:dyDescent="0.2">
      <c r="H8684" s="180"/>
      <c r="P8684" s="180" t="s">
        <v>257</v>
      </c>
      <c r="R8684" s="180" t="s">
        <v>257</v>
      </c>
    </row>
    <row r="8685" spans="8:18" x14ac:dyDescent="0.2">
      <c r="H8685" s="180"/>
      <c r="P8685" s="180" t="s">
        <v>257</v>
      </c>
      <c r="R8685" s="180" t="s">
        <v>257</v>
      </c>
    </row>
    <row r="8686" spans="8:18" x14ac:dyDescent="0.2">
      <c r="H8686" s="180"/>
      <c r="P8686" s="180" t="s">
        <v>257</v>
      </c>
      <c r="R8686" s="180" t="s">
        <v>257</v>
      </c>
    </row>
    <row r="8687" spans="8:18" x14ac:dyDescent="0.2">
      <c r="H8687" s="180"/>
      <c r="P8687" s="180" t="s">
        <v>257</v>
      </c>
      <c r="R8687" s="180" t="s">
        <v>257</v>
      </c>
    </row>
    <row r="8688" spans="8:18" x14ac:dyDescent="0.2">
      <c r="H8688" s="180"/>
      <c r="P8688" s="180" t="s">
        <v>257</v>
      </c>
      <c r="R8688" s="180" t="s">
        <v>257</v>
      </c>
    </row>
    <row r="8689" spans="8:18" x14ac:dyDescent="0.2">
      <c r="H8689" s="180"/>
      <c r="P8689" s="180" t="s">
        <v>257</v>
      </c>
      <c r="R8689" s="180" t="s">
        <v>257</v>
      </c>
    </row>
    <row r="8690" spans="8:18" x14ac:dyDescent="0.2">
      <c r="H8690" s="180"/>
      <c r="P8690" s="180" t="s">
        <v>257</v>
      </c>
      <c r="R8690" s="180" t="s">
        <v>257</v>
      </c>
    </row>
    <row r="8691" spans="8:18" x14ac:dyDescent="0.2">
      <c r="H8691" s="180"/>
      <c r="P8691" s="180" t="s">
        <v>257</v>
      </c>
      <c r="R8691" s="180" t="s">
        <v>257</v>
      </c>
    </row>
    <row r="8692" spans="8:18" x14ac:dyDescent="0.2">
      <c r="H8692" s="180"/>
      <c r="P8692" s="180" t="s">
        <v>257</v>
      </c>
      <c r="R8692" s="180" t="s">
        <v>257</v>
      </c>
    </row>
    <row r="8693" spans="8:18" x14ac:dyDescent="0.2">
      <c r="H8693" s="180"/>
      <c r="P8693" s="180" t="s">
        <v>257</v>
      </c>
      <c r="R8693" s="180" t="s">
        <v>257</v>
      </c>
    </row>
    <row r="8694" spans="8:18" x14ac:dyDescent="0.2">
      <c r="H8694" s="180"/>
      <c r="P8694" s="180" t="s">
        <v>257</v>
      </c>
      <c r="R8694" s="180" t="s">
        <v>257</v>
      </c>
    </row>
    <row r="8695" spans="8:18" x14ac:dyDescent="0.2">
      <c r="H8695" s="180"/>
      <c r="P8695" s="180" t="s">
        <v>257</v>
      </c>
      <c r="R8695" s="180" t="s">
        <v>257</v>
      </c>
    </row>
    <row r="8696" spans="8:18" x14ac:dyDescent="0.2">
      <c r="H8696" s="180"/>
      <c r="P8696" s="180" t="s">
        <v>257</v>
      </c>
      <c r="R8696" s="180" t="s">
        <v>257</v>
      </c>
    </row>
    <row r="8697" spans="8:18" x14ac:dyDescent="0.2">
      <c r="H8697" s="180"/>
      <c r="P8697" s="180" t="s">
        <v>257</v>
      </c>
      <c r="R8697" s="180" t="s">
        <v>257</v>
      </c>
    </row>
    <row r="8698" spans="8:18" x14ac:dyDescent="0.2">
      <c r="H8698" s="180"/>
      <c r="P8698" s="180" t="s">
        <v>257</v>
      </c>
      <c r="R8698" s="180" t="s">
        <v>257</v>
      </c>
    </row>
    <row r="8699" spans="8:18" x14ac:dyDescent="0.2">
      <c r="H8699" s="180"/>
      <c r="P8699" s="180" t="s">
        <v>257</v>
      </c>
      <c r="R8699" s="180" t="s">
        <v>257</v>
      </c>
    </row>
    <row r="8700" spans="8:18" x14ac:dyDescent="0.2">
      <c r="H8700" s="180"/>
      <c r="P8700" s="180" t="s">
        <v>257</v>
      </c>
      <c r="R8700" s="180" t="s">
        <v>257</v>
      </c>
    </row>
    <row r="8701" spans="8:18" x14ac:dyDescent="0.2">
      <c r="H8701" s="180"/>
      <c r="P8701" s="180" t="s">
        <v>257</v>
      </c>
      <c r="R8701" s="180" t="s">
        <v>257</v>
      </c>
    </row>
    <row r="8702" spans="8:18" x14ac:dyDescent="0.2">
      <c r="H8702" s="180"/>
      <c r="P8702" s="180" t="s">
        <v>257</v>
      </c>
      <c r="R8702" s="180" t="s">
        <v>257</v>
      </c>
    </row>
    <row r="8703" spans="8:18" x14ac:dyDescent="0.2">
      <c r="H8703" s="180"/>
      <c r="P8703" s="180" t="s">
        <v>257</v>
      </c>
      <c r="R8703" s="180" t="s">
        <v>257</v>
      </c>
    </row>
    <row r="8704" spans="8:18" x14ac:dyDescent="0.2">
      <c r="H8704" s="180"/>
      <c r="P8704" s="180" t="s">
        <v>257</v>
      </c>
      <c r="R8704" s="180" t="s">
        <v>257</v>
      </c>
    </row>
    <row r="8705" spans="8:18" x14ac:dyDescent="0.2">
      <c r="H8705" s="180"/>
      <c r="P8705" s="180" t="s">
        <v>257</v>
      </c>
      <c r="R8705" s="180" t="s">
        <v>257</v>
      </c>
    </row>
    <row r="8706" spans="8:18" x14ac:dyDescent="0.2">
      <c r="H8706" s="180"/>
      <c r="P8706" s="180" t="s">
        <v>257</v>
      </c>
      <c r="R8706" s="180" t="s">
        <v>257</v>
      </c>
    </row>
    <row r="8707" spans="8:18" x14ac:dyDescent="0.2">
      <c r="H8707" s="180"/>
      <c r="P8707" s="180" t="s">
        <v>257</v>
      </c>
      <c r="R8707" s="180" t="s">
        <v>257</v>
      </c>
    </row>
    <row r="8708" spans="8:18" x14ac:dyDescent="0.2">
      <c r="H8708" s="180"/>
      <c r="P8708" s="180" t="s">
        <v>257</v>
      </c>
      <c r="R8708" s="180" t="s">
        <v>257</v>
      </c>
    </row>
    <row r="8709" spans="8:18" x14ac:dyDescent="0.2">
      <c r="H8709" s="180"/>
      <c r="P8709" s="180" t="s">
        <v>257</v>
      </c>
      <c r="R8709" s="180" t="s">
        <v>257</v>
      </c>
    </row>
    <row r="8710" spans="8:18" x14ac:dyDescent="0.2">
      <c r="H8710" s="180"/>
      <c r="P8710" s="180" t="s">
        <v>257</v>
      </c>
      <c r="R8710" s="180" t="s">
        <v>257</v>
      </c>
    </row>
    <row r="8711" spans="8:18" x14ac:dyDescent="0.2">
      <c r="H8711" s="180"/>
      <c r="P8711" s="180" t="s">
        <v>257</v>
      </c>
      <c r="R8711" s="180" t="s">
        <v>257</v>
      </c>
    </row>
    <row r="8712" spans="8:18" x14ac:dyDescent="0.2">
      <c r="H8712" s="180"/>
      <c r="P8712" s="180" t="s">
        <v>257</v>
      </c>
      <c r="R8712" s="180" t="s">
        <v>257</v>
      </c>
    </row>
    <row r="8713" spans="8:18" x14ac:dyDescent="0.2">
      <c r="H8713" s="180"/>
      <c r="P8713" s="180" t="s">
        <v>257</v>
      </c>
      <c r="R8713" s="180" t="s">
        <v>257</v>
      </c>
    </row>
    <row r="8714" spans="8:18" x14ac:dyDescent="0.2">
      <c r="H8714" s="180"/>
      <c r="P8714" s="180" t="s">
        <v>257</v>
      </c>
      <c r="R8714" s="180" t="s">
        <v>257</v>
      </c>
    </row>
    <row r="8715" spans="8:18" x14ac:dyDescent="0.2">
      <c r="H8715" s="180"/>
      <c r="P8715" s="180" t="s">
        <v>257</v>
      </c>
      <c r="R8715" s="180" t="s">
        <v>257</v>
      </c>
    </row>
    <row r="8716" spans="8:18" x14ac:dyDescent="0.2">
      <c r="H8716" s="180"/>
      <c r="P8716" s="180" t="s">
        <v>257</v>
      </c>
      <c r="R8716" s="180" t="s">
        <v>257</v>
      </c>
    </row>
    <row r="8717" spans="8:18" x14ac:dyDescent="0.2">
      <c r="H8717" s="180"/>
      <c r="P8717" s="180" t="s">
        <v>257</v>
      </c>
      <c r="R8717" s="180" t="s">
        <v>257</v>
      </c>
    </row>
    <row r="8718" spans="8:18" x14ac:dyDescent="0.2">
      <c r="H8718" s="180"/>
      <c r="P8718" s="180" t="s">
        <v>257</v>
      </c>
      <c r="R8718" s="180" t="s">
        <v>257</v>
      </c>
    </row>
    <row r="8719" spans="8:18" x14ac:dyDescent="0.2">
      <c r="H8719" s="180"/>
      <c r="P8719" s="180" t="s">
        <v>257</v>
      </c>
      <c r="R8719" s="180" t="s">
        <v>257</v>
      </c>
    </row>
    <row r="8720" spans="8:18" x14ac:dyDescent="0.2">
      <c r="H8720" s="180"/>
      <c r="P8720" s="180" t="s">
        <v>257</v>
      </c>
      <c r="R8720" s="180" t="s">
        <v>257</v>
      </c>
    </row>
    <row r="8721" spans="8:18" x14ac:dyDescent="0.2">
      <c r="H8721" s="180"/>
      <c r="P8721" s="180" t="s">
        <v>257</v>
      </c>
      <c r="R8721" s="180" t="s">
        <v>257</v>
      </c>
    </row>
    <row r="8722" spans="8:18" x14ac:dyDescent="0.2">
      <c r="H8722" s="180"/>
      <c r="P8722" s="180" t="s">
        <v>257</v>
      </c>
      <c r="R8722" s="180" t="s">
        <v>257</v>
      </c>
    </row>
    <row r="8723" spans="8:18" x14ac:dyDescent="0.2">
      <c r="H8723" s="180"/>
      <c r="P8723" s="180" t="s">
        <v>257</v>
      </c>
      <c r="R8723" s="180" t="s">
        <v>257</v>
      </c>
    </row>
    <row r="8724" spans="8:18" x14ac:dyDescent="0.2">
      <c r="H8724" s="180"/>
      <c r="P8724" s="180" t="s">
        <v>257</v>
      </c>
      <c r="R8724" s="180" t="s">
        <v>257</v>
      </c>
    </row>
    <row r="8725" spans="8:18" x14ac:dyDescent="0.2">
      <c r="H8725" s="180"/>
      <c r="P8725" s="180" t="s">
        <v>257</v>
      </c>
      <c r="R8725" s="180" t="s">
        <v>257</v>
      </c>
    </row>
    <row r="8726" spans="8:18" x14ac:dyDescent="0.2">
      <c r="H8726" s="180"/>
      <c r="P8726" s="180" t="s">
        <v>257</v>
      </c>
      <c r="R8726" s="180" t="s">
        <v>257</v>
      </c>
    </row>
    <row r="8727" spans="8:18" x14ac:dyDescent="0.2">
      <c r="H8727" s="180"/>
      <c r="P8727" s="180" t="s">
        <v>257</v>
      </c>
      <c r="R8727" s="180" t="s">
        <v>257</v>
      </c>
    </row>
    <row r="8728" spans="8:18" x14ac:dyDescent="0.2">
      <c r="H8728" s="180"/>
      <c r="P8728" s="180" t="s">
        <v>257</v>
      </c>
      <c r="R8728" s="180" t="s">
        <v>257</v>
      </c>
    </row>
    <row r="8729" spans="8:18" x14ac:dyDescent="0.2">
      <c r="H8729" s="180"/>
      <c r="P8729" s="180" t="s">
        <v>257</v>
      </c>
      <c r="R8729" s="180" t="s">
        <v>257</v>
      </c>
    </row>
    <row r="8730" spans="8:18" x14ac:dyDescent="0.2">
      <c r="H8730" s="180"/>
      <c r="P8730" s="180" t="s">
        <v>257</v>
      </c>
      <c r="R8730" s="180" t="s">
        <v>257</v>
      </c>
    </row>
    <row r="8731" spans="8:18" x14ac:dyDescent="0.2">
      <c r="H8731" s="180"/>
      <c r="P8731" s="180" t="s">
        <v>257</v>
      </c>
      <c r="R8731" s="180" t="s">
        <v>257</v>
      </c>
    </row>
    <row r="8732" spans="8:18" x14ac:dyDescent="0.2">
      <c r="H8732" s="180"/>
      <c r="P8732" s="180" t="s">
        <v>257</v>
      </c>
      <c r="R8732" s="180" t="s">
        <v>257</v>
      </c>
    </row>
    <row r="8733" spans="8:18" x14ac:dyDescent="0.2">
      <c r="H8733" s="180"/>
      <c r="P8733" s="180" t="s">
        <v>257</v>
      </c>
      <c r="R8733" s="180" t="s">
        <v>257</v>
      </c>
    </row>
    <row r="8734" spans="8:18" x14ac:dyDescent="0.2">
      <c r="H8734" s="180"/>
      <c r="P8734" s="180" t="s">
        <v>257</v>
      </c>
      <c r="R8734" s="180" t="s">
        <v>257</v>
      </c>
    </row>
    <row r="8735" spans="8:18" x14ac:dyDescent="0.2">
      <c r="H8735" s="180"/>
      <c r="P8735" s="180" t="s">
        <v>257</v>
      </c>
      <c r="R8735" s="180" t="s">
        <v>257</v>
      </c>
    </row>
    <row r="8736" spans="8:18" x14ac:dyDescent="0.2">
      <c r="H8736" s="180"/>
      <c r="P8736" s="180" t="s">
        <v>257</v>
      </c>
      <c r="R8736" s="180" t="s">
        <v>257</v>
      </c>
    </row>
    <row r="8737" spans="8:18" x14ac:dyDescent="0.2">
      <c r="H8737" s="180"/>
      <c r="P8737" s="180" t="s">
        <v>257</v>
      </c>
      <c r="R8737" s="180" t="s">
        <v>257</v>
      </c>
    </row>
    <row r="8738" spans="8:18" x14ac:dyDescent="0.2">
      <c r="H8738" s="180"/>
      <c r="P8738" s="180" t="s">
        <v>257</v>
      </c>
      <c r="R8738" s="180" t="s">
        <v>257</v>
      </c>
    </row>
    <row r="8739" spans="8:18" x14ac:dyDescent="0.2">
      <c r="H8739" s="180"/>
      <c r="P8739" s="180" t="s">
        <v>257</v>
      </c>
      <c r="R8739" s="180" t="s">
        <v>257</v>
      </c>
    </row>
    <row r="8740" spans="8:18" x14ac:dyDescent="0.2">
      <c r="H8740" s="180"/>
      <c r="P8740" s="180" t="s">
        <v>257</v>
      </c>
      <c r="R8740" s="180" t="s">
        <v>257</v>
      </c>
    </row>
    <row r="8741" spans="8:18" x14ac:dyDescent="0.2">
      <c r="H8741" s="180"/>
      <c r="P8741" s="180" t="s">
        <v>257</v>
      </c>
      <c r="R8741" s="180" t="s">
        <v>257</v>
      </c>
    </row>
    <row r="8742" spans="8:18" x14ac:dyDescent="0.2">
      <c r="H8742" s="180"/>
      <c r="P8742" s="180" t="s">
        <v>257</v>
      </c>
      <c r="R8742" s="180" t="s">
        <v>257</v>
      </c>
    </row>
    <row r="8743" spans="8:18" x14ac:dyDescent="0.2">
      <c r="H8743" s="180"/>
      <c r="P8743" s="180" t="s">
        <v>257</v>
      </c>
      <c r="R8743" s="180" t="s">
        <v>257</v>
      </c>
    </row>
    <row r="8744" spans="8:18" x14ac:dyDescent="0.2">
      <c r="H8744" s="180"/>
      <c r="P8744" s="180" t="s">
        <v>257</v>
      </c>
      <c r="R8744" s="180" t="s">
        <v>257</v>
      </c>
    </row>
    <row r="8745" spans="8:18" x14ac:dyDescent="0.2">
      <c r="H8745" s="180"/>
      <c r="P8745" s="180" t="s">
        <v>257</v>
      </c>
      <c r="R8745" s="180" t="s">
        <v>257</v>
      </c>
    </row>
    <row r="8746" spans="8:18" x14ac:dyDescent="0.2">
      <c r="H8746" s="180"/>
      <c r="P8746" s="180" t="s">
        <v>257</v>
      </c>
      <c r="R8746" s="180" t="s">
        <v>257</v>
      </c>
    </row>
    <row r="8747" spans="8:18" x14ac:dyDescent="0.2">
      <c r="H8747" s="180"/>
      <c r="P8747" s="180" t="s">
        <v>257</v>
      </c>
      <c r="R8747" s="180" t="s">
        <v>257</v>
      </c>
    </row>
    <row r="8748" spans="8:18" x14ac:dyDescent="0.2">
      <c r="H8748" s="180"/>
      <c r="P8748" s="180" t="s">
        <v>257</v>
      </c>
      <c r="R8748" s="180" t="s">
        <v>257</v>
      </c>
    </row>
    <row r="8749" spans="8:18" x14ac:dyDescent="0.2">
      <c r="H8749" s="180"/>
      <c r="P8749" s="180" t="s">
        <v>257</v>
      </c>
      <c r="R8749" s="180" t="s">
        <v>257</v>
      </c>
    </row>
    <row r="8750" spans="8:18" x14ac:dyDescent="0.2">
      <c r="H8750" s="180"/>
      <c r="P8750" s="180" t="s">
        <v>257</v>
      </c>
      <c r="R8750" s="180" t="s">
        <v>257</v>
      </c>
    </row>
    <row r="8751" spans="8:18" x14ac:dyDescent="0.2">
      <c r="H8751" s="180"/>
      <c r="P8751" s="180" t="s">
        <v>257</v>
      </c>
      <c r="R8751" s="180" t="s">
        <v>257</v>
      </c>
    </row>
    <row r="8752" spans="8:18" x14ac:dyDescent="0.2">
      <c r="H8752" s="180"/>
      <c r="P8752" s="180" t="s">
        <v>257</v>
      </c>
      <c r="R8752" s="180" t="s">
        <v>257</v>
      </c>
    </row>
    <row r="8753" spans="8:18" x14ac:dyDescent="0.2">
      <c r="H8753" s="180"/>
      <c r="P8753" s="180" t="s">
        <v>257</v>
      </c>
      <c r="R8753" s="180" t="s">
        <v>257</v>
      </c>
    </row>
    <row r="8754" spans="8:18" x14ac:dyDescent="0.2">
      <c r="H8754" s="180"/>
      <c r="P8754" s="180" t="s">
        <v>257</v>
      </c>
      <c r="R8754" s="180" t="s">
        <v>257</v>
      </c>
    </row>
    <row r="8755" spans="8:18" x14ac:dyDescent="0.2">
      <c r="H8755" s="180"/>
      <c r="P8755" s="180" t="s">
        <v>257</v>
      </c>
      <c r="R8755" s="180" t="s">
        <v>257</v>
      </c>
    </row>
    <row r="8756" spans="8:18" x14ac:dyDescent="0.2">
      <c r="H8756" s="180"/>
      <c r="P8756" s="180" t="s">
        <v>257</v>
      </c>
      <c r="R8756" s="180" t="s">
        <v>257</v>
      </c>
    </row>
    <row r="8757" spans="8:18" x14ac:dyDescent="0.2">
      <c r="H8757" s="180"/>
      <c r="P8757" s="180" t="s">
        <v>257</v>
      </c>
      <c r="R8757" s="180" t="s">
        <v>257</v>
      </c>
    </row>
    <row r="8758" spans="8:18" x14ac:dyDescent="0.2">
      <c r="H8758" s="180"/>
      <c r="P8758" s="180" t="s">
        <v>257</v>
      </c>
      <c r="R8758" s="180" t="s">
        <v>257</v>
      </c>
    </row>
    <row r="8759" spans="8:18" x14ac:dyDescent="0.2">
      <c r="H8759" s="180"/>
      <c r="P8759" s="180" t="s">
        <v>257</v>
      </c>
      <c r="R8759" s="180" t="s">
        <v>257</v>
      </c>
    </row>
    <row r="8760" spans="8:18" x14ac:dyDescent="0.2">
      <c r="H8760" s="180"/>
      <c r="P8760" s="180" t="s">
        <v>257</v>
      </c>
      <c r="R8760" s="180" t="s">
        <v>257</v>
      </c>
    </row>
    <row r="8761" spans="8:18" x14ac:dyDescent="0.2">
      <c r="H8761" s="180"/>
      <c r="P8761" s="180" t="s">
        <v>257</v>
      </c>
      <c r="R8761" s="180" t="s">
        <v>257</v>
      </c>
    </row>
    <row r="8762" spans="8:18" x14ac:dyDescent="0.2">
      <c r="H8762" s="180"/>
      <c r="P8762" s="180" t="s">
        <v>257</v>
      </c>
      <c r="R8762" s="180" t="s">
        <v>257</v>
      </c>
    </row>
    <row r="8763" spans="8:18" x14ac:dyDescent="0.2">
      <c r="H8763" s="180"/>
      <c r="P8763" s="180" t="s">
        <v>257</v>
      </c>
      <c r="R8763" s="180" t="s">
        <v>257</v>
      </c>
    </row>
    <row r="8764" spans="8:18" x14ac:dyDescent="0.2">
      <c r="H8764" s="180"/>
      <c r="P8764" s="180" t="s">
        <v>257</v>
      </c>
      <c r="R8764" s="180" t="s">
        <v>257</v>
      </c>
    </row>
    <row r="8765" spans="8:18" x14ac:dyDescent="0.2">
      <c r="H8765" s="180"/>
      <c r="P8765" s="180" t="s">
        <v>257</v>
      </c>
      <c r="R8765" s="180" t="s">
        <v>257</v>
      </c>
    </row>
    <row r="8766" spans="8:18" x14ac:dyDescent="0.2">
      <c r="H8766" s="180"/>
      <c r="P8766" s="180" t="s">
        <v>257</v>
      </c>
      <c r="R8766" s="180" t="s">
        <v>257</v>
      </c>
    </row>
    <row r="8767" spans="8:18" x14ac:dyDescent="0.2">
      <c r="H8767" s="180"/>
      <c r="P8767" s="180" t="s">
        <v>257</v>
      </c>
      <c r="R8767" s="180" t="s">
        <v>257</v>
      </c>
    </row>
    <row r="8768" spans="8:18" x14ac:dyDescent="0.2">
      <c r="H8768" s="180"/>
      <c r="P8768" s="180" t="s">
        <v>257</v>
      </c>
      <c r="R8768" s="180" t="s">
        <v>257</v>
      </c>
    </row>
    <row r="8769" spans="8:18" x14ac:dyDescent="0.2">
      <c r="H8769" s="180"/>
      <c r="P8769" s="180" t="s">
        <v>257</v>
      </c>
      <c r="R8769" s="180" t="s">
        <v>257</v>
      </c>
    </row>
    <row r="8770" spans="8:18" x14ac:dyDescent="0.2">
      <c r="H8770" s="180"/>
      <c r="P8770" s="180" t="s">
        <v>257</v>
      </c>
      <c r="R8770" s="180" t="s">
        <v>257</v>
      </c>
    </row>
    <row r="8771" spans="8:18" x14ac:dyDescent="0.2">
      <c r="H8771" s="180"/>
      <c r="P8771" s="180" t="s">
        <v>257</v>
      </c>
      <c r="R8771" s="180" t="s">
        <v>257</v>
      </c>
    </row>
    <row r="8772" spans="8:18" x14ac:dyDescent="0.2">
      <c r="H8772" s="180"/>
      <c r="P8772" s="180" t="s">
        <v>257</v>
      </c>
      <c r="R8772" s="180" t="s">
        <v>257</v>
      </c>
    </row>
    <row r="8773" spans="8:18" x14ac:dyDescent="0.2">
      <c r="H8773" s="180"/>
      <c r="P8773" s="180" t="s">
        <v>257</v>
      </c>
      <c r="R8773" s="180" t="s">
        <v>257</v>
      </c>
    </row>
    <row r="8774" spans="8:18" x14ac:dyDescent="0.2">
      <c r="H8774" s="180"/>
      <c r="P8774" s="180" t="s">
        <v>257</v>
      </c>
      <c r="R8774" s="180" t="s">
        <v>257</v>
      </c>
    </row>
    <row r="8775" spans="8:18" x14ac:dyDescent="0.2">
      <c r="H8775" s="180"/>
      <c r="P8775" s="180" t="s">
        <v>257</v>
      </c>
      <c r="R8775" s="180" t="s">
        <v>257</v>
      </c>
    </row>
    <row r="8776" spans="8:18" x14ac:dyDescent="0.2">
      <c r="H8776" s="180"/>
      <c r="P8776" s="180" t="s">
        <v>257</v>
      </c>
      <c r="R8776" s="180" t="s">
        <v>257</v>
      </c>
    </row>
    <row r="8777" spans="8:18" x14ac:dyDescent="0.2">
      <c r="H8777" s="180"/>
      <c r="P8777" s="180" t="s">
        <v>257</v>
      </c>
      <c r="R8777" s="180" t="s">
        <v>257</v>
      </c>
    </row>
    <row r="8778" spans="8:18" x14ac:dyDescent="0.2">
      <c r="H8778" s="180"/>
      <c r="P8778" s="180" t="s">
        <v>257</v>
      </c>
      <c r="R8778" s="180" t="s">
        <v>257</v>
      </c>
    </row>
    <row r="8779" spans="8:18" x14ac:dyDescent="0.2">
      <c r="H8779" s="180"/>
      <c r="P8779" s="180" t="s">
        <v>257</v>
      </c>
      <c r="R8779" s="180" t="s">
        <v>257</v>
      </c>
    </row>
    <row r="8780" spans="8:18" x14ac:dyDescent="0.2">
      <c r="H8780" s="180"/>
      <c r="P8780" s="180" t="s">
        <v>257</v>
      </c>
      <c r="R8780" s="180" t="s">
        <v>257</v>
      </c>
    </row>
    <row r="8781" spans="8:18" x14ac:dyDescent="0.2">
      <c r="H8781" s="180"/>
      <c r="P8781" s="180" t="s">
        <v>257</v>
      </c>
      <c r="R8781" s="180" t="s">
        <v>257</v>
      </c>
    </row>
    <row r="8782" spans="8:18" x14ac:dyDescent="0.2">
      <c r="H8782" s="180"/>
      <c r="P8782" s="180" t="s">
        <v>257</v>
      </c>
      <c r="R8782" s="180" t="s">
        <v>257</v>
      </c>
    </row>
    <row r="8783" spans="8:18" x14ac:dyDescent="0.2">
      <c r="H8783" s="180"/>
      <c r="P8783" s="180" t="s">
        <v>257</v>
      </c>
      <c r="R8783" s="180" t="s">
        <v>257</v>
      </c>
    </row>
    <row r="8784" spans="8:18" x14ac:dyDescent="0.2">
      <c r="H8784" s="180"/>
      <c r="P8784" s="180" t="s">
        <v>257</v>
      </c>
      <c r="R8784" s="180" t="s">
        <v>257</v>
      </c>
    </row>
    <row r="8785" spans="8:18" x14ac:dyDescent="0.2">
      <c r="H8785" s="180"/>
      <c r="P8785" s="180" t="s">
        <v>257</v>
      </c>
      <c r="R8785" s="180" t="s">
        <v>257</v>
      </c>
    </row>
    <row r="8786" spans="8:18" x14ac:dyDescent="0.2">
      <c r="H8786" s="180"/>
      <c r="P8786" s="180" t="s">
        <v>257</v>
      </c>
      <c r="R8786" s="180" t="s">
        <v>257</v>
      </c>
    </row>
    <row r="8787" spans="8:18" x14ac:dyDescent="0.2">
      <c r="H8787" s="180"/>
      <c r="P8787" s="180" t="s">
        <v>257</v>
      </c>
      <c r="R8787" s="180" t="s">
        <v>257</v>
      </c>
    </row>
    <row r="8788" spans="8:18" x14ac:dyDescent="0.2">
      <c r="H8788" s="180"/>
      <c r="P8788" s="180" t="s">
        <v>257</v>
      </c>
      <c r="R8788" s="180" t="s">
        <v>257</v>
      </c>
    </row>
    <row r="8789" spans="8:18" x14ac:dyDescent="0.2">
      <c r="H8789" s="180"/>
      <c r="P8789" s="180" t="s">
        <v>257</v>
      </c>
      <c r="R8789" s="180" t="s">
        <v>257</v>
      </c>
    </row>
    <row r="8790" spans="8:18" x14ac:dyDescent="0.2">
      <c r="H8790" s="180"/>
      <c r="P8790" s="180" t="s">
        <v>257</v>
      </c>
      <c r="R8790" s="180" t="s">
        <v>257</v>
      </c>
    </row>
    <row r="8791" spans="8:18" x14ac:dyDescent="0.2">
      <c r="H8791" s="180"/>
      <c r="P8791" s="180" t="s">
        <v>257</v>
      </c>
      <c r="R8791" s="180" t="s">
        <v>257</v>
      </c>
    </row>
    <row r="8792" spans="8:18" x14ac:dyDescent="0.2">
      <c r="H8792" s="180"/>
      <c r="P8792" s="180" t="s">
        <v>257</v>
      </c>
      <c r="R8792" s="180" t="s">
        <v>257</v>
      </c>
    </row>
    <row r="8793" spans="8:18" x14ac:dyDescent="0.2">
      <c r="H8793" s="180"/>
      <c r="P8793" s="180" t="s">
        <v>257</v>
      </c>
      <c r="R8793" s="180" t="s">
        <v>257</v>
      </c>
    </row>
    <row r="8794" spans="8:18" x14ac:dyDescent="0.2">
      <c r="H8794" s="180"/>
      <c r="P8794" s="180" t="s">
        <v>257</v>
      </c>
      <c r="R8794" s="180" t="s">
        <v>257</v>
      </c>
    </row>
    <row r="8795" spans="8:18" x14ac:dyDescent="0.2">
      <c r="H8795" s="180"/>
      <c r="P8795" s="180" t="s">
        <v>257</v>
      </c>
      <c r="R8795" s="180" t="s">
        <v>257</v>
      </c>
    </row>
    <row r="8796" spans="8:18" x14ac:dyDescent="0.2">
      <c r="H8796" s="180"/>
      <c r="P8796" s="180" t="s">
        <v>257</v>
      </c>
      <c r="R8796" s="180" t="s">
        <v>257</v>
      </c>
    </row>
    <row r="8797" spans="8:18" x14ac:dyDescent="0.2">
      <c r="H8797" s="180"/>
      <c r="P8797" s="180" t="s">
        <v>257</v>
      </c>
      <c r="R8797" s="180" t="s">
        <v>257</v>
      </c>
    </row>
    <row r="8798" spans="8:18" x14ac:dyDescent="0.2">
      <c r="H8798" s="180"/>
      <c r="P8798" s="180" t="s">
        <v>257</v>
      </c>
      <c r="R8798" s="180" t="s">
        <v>257</v>
      </c>
    </row>
    <row r="8799" spans="8:18" x14ac:dyDescent="0.2">
      <c r="H8799" s="180"/>
      <c r="P8799" s="180" t="s">
        <v>257</v>
      </c>
      <c r="R8799" s="180" t="s">
        <v>257</v>
      </c>
    </row>
    <row r="8800" spans="8:18" x14ac:dyDescent="0.2">
      <c r="H8800" s="180"/>
      <c r="P8800" s="180" t="s">
        <v>257</v>
      </c>
      <c r="R8800" s="180" t="s">
        <v>257</v>
      </c>
    </row>
    <row r="8801" spans="8:18" x14ac:dyDescent="0.2">
      <c r="H8801" s="180"/>
      <c r="P8801" s="180" t="s">
        <v>257</v>
      </c>
      <c r="R8801" s="180" t="s">
        <v>257</v>
      </c>
    </row>
    <row r="8802" spans="8:18" x14ac:dyDescent="0.2">
      <c r="H8802" s="180"/>
      <c r="P8802" s="180" t="s">
        <v>257</v>
      </c>
      <c r="R8802" s="180" t="s">
        <v>257</v>
      </c>
    </row>
    <row r="8803" spans="8:18" x14ac:dyDescent="0.2">
      <c r="H8803" s="180"/>
      <c r="P8803" s="180" t="s">
        <v>257</v>
      </c>
      <c r="R8803" s="180" t="s">
        <v>257</v>
      </c>
    </row>
    <row r="8804" spans="8:18" x14ac:dyDescent="0.2">
      <c r="H8804" s="180"/>
      <c r="P8804" s="180" t="s">
        <v>257</v>
      </c>
      <c r="R8804" s="180" t="s">
        <v>257</v>
      </c>
    </row>
    <row r="8805" spans="8:18" x14ac:dyDescent="0.2">
      <c r="H8805" s="180"/>
      <c r="P8805" s="180" t="s">
        <v>257</v>
      </c>
      <c r="R8805" s="180" t="s">
        <v>257</v>
      </c>
    </row>
    <row r="8806" spans="8:18" x14ac:dyDescent="0.2">
      <c r="H8806" s="180"/>
      <c r="P8806" s="180" t="s">
        <v>257</v>
      </c>
      <c r="R8806" s="180" t="s">
        <v>257</v>
      </c>
    </row>
    <row r="8807" spans="8:18" x14ac:dyDescent="0.2">
      <c r="H8807" s="180"/>
      <c r="P8807" s="180" t="s">
        <v>257</v>
      </c>
      <c r="R8807" s="180" t="s">
        <v>257</v>
      </c>
    </row>
    <row r="8808" spans="8:18" x14ac:dyDescent="0.2">
      <c r="H8808" s="180"/>
      <c r="P8808" s="180" t="s">
        <v>257</v>
      </c>
      <c r="R8808" s="180" t="s">
        <v>257</v>
      </c>
    </row>
    <row r="8809" spans="8:18" x14ac:dyDescent="0.2">
      <c r="H8809" s="180"/>
      <c r="P8809" s="180" t="s">
        <v>257</v>
      </c>
      <c r="R8809" s="180" t="s">
        <v>257</v>
      </c>
    </row>
    <row r="8810" spans="8:18" x14ac:dyDescent="0.2">
      <c r="H8810" s="180"/>
      <c r="P8810" s="180" t="s">
        <v>257</v>
      </c>
      <c r="R8810" s="180" t="s">
        <v>257</v>
      </c>
    </row>
    <row r="8811" spans="8:18" x14ac:dyDescent="0.2">
      <c r="H8811" s="180"/>
      <c r="P8811" s="180" t="s">
        <v>257</v>
      </c>
      <c r="R8811" s="180" t="s">
        <v>257</v>
      </c>
    </row>
    <row r="8812" spans="8:18" x14ac:dyDescent="0.2">
      <c r="H8812" s="180"/>
      <c r="P8812" s="180" t="s">
        <v>257</v>
      </c>
      <c r="R8812" s="180" t="s">
        <v>257</v>
      </c>
    </row>
    <row r="8813" spans="8:18" x14ac:dyDescent="0.2">
      <c r="H8813" s="180"/>
      <c r="P8813" s="180" t="s">
        <v>257</v>
      </c>
      <c r="R8813" s="180" t="s">
        <v>257</v>
      </c>
    </row>
    <row r="8814" spans="8:18" x14ac:dyDescent="0.2">
      <c r="H8814" s="180"/>
      <c r="P8814" s="180" t="s">
        <v>257</v>
      </c>
      <c r="R8814" s="180" t="s">
        <v>257</v>
      </c>
    </row>
    <row r="8815" spans="8:18" x14ac:dyDescent="0.2">
      <c r="H8815" s="180"/>
      <c r="P8815" s="180" t="s">
        <v>257</v>
      </c>
      <c r="R8815" s="180" t="s">
        <v>257</v>
      </c>
    </row>
    <row r="8816" spans="8:18" x14ac:dyDescent="0.2">
      <c r="H8816" s="180"/>
      <c r="P8816" s="180" t="s">
        <v>257</v>
      </c>
      <c r="R8816" s="180" t="s">
        <v>257</v>
      </c>
    </row>
    <row r="8817" spans="8:18" x14ac:dyDescent="0.2">
      <c r="H8817" s="180"/>
      <c r="P8817" s="180" t="s">
        <v>257</v>
      </c>
      <c r="R8817" s="180" t="s">
        <v>257</v>
      </c>
    </row>
    <row r="8818" spans="8:18" x14ac:dyDescent="0.2">
      <c r="H8818" s="180"/>
      <c r="P8818" s="180" t="s">
        <v>257</v>
      </c>
      <c r="R8818" s="180" t="s">
        <v>257</v>
      </c>
    </row>
    <row r="8819" spans="8:18" x14ac:dyDescent="0.2">
      <c r="H8819" s="180"/>
      <c r="P8819" s="180" t="s">
        <v>257</v>
      </c>
      <c r="R8819" s="180" t="s">
        <v>257</v>
      </c>
    </row>
    <row r="8820" spans="8:18" x14ac:dyDescent="0.2">
      <c r="H8820" s="180"/>
      <c r="P8820" s="180" t="s">
        <v>257</v>
      </c>
      <c r="R8820" s="180" t="s">
        <v>257</v>
      </c>
    </row>
    <row r="8821" spans="8:18" x14ac:dyDescent="0.2">
      <c r="H8821" s="180"/>
      <c r="P8821" s="180" t="s">
        <v>257</v>
      </c>
      <c r="R8821" s="180" t="s">
        <v>257</v>
      </c>
    </row>
    <row r="8822" spans="8:18" x14ac:dyDescent="0.2">
      <c r="H8822" s="180"/>
      <c r="P8822" s="180" t="s">
        <v>257</v>
      </c>
      <c r="R8822" s="180" t="s">
        <v>257</v>
      </c>
    </row>
    <row r="8823" spans="8:18" x14ac:dyDescent="0.2">
      <c r="H8823" s="180"/>
      <c r="P8823" s="180" t="s">
        <v>257</v>
      </c>
      <c r="R8823" s="180" t="s">
        <v>257</v>
      </c>
    </row>
    <row r="8824" spans="8:18" x14ac:dyDescent="0.2">
      <c r="H8824" s="180"/>
      <c r="P8824" s="180" t="s">
        <v>257</v>
      </c>
      <c r="R8824" s="180" t="s">
        <v>257</v>
      </c>
    </row>
    <row r="8825" spans="8:18" x14ac:dyDescent="0.2">
      <c r="H8825" s="180"/>
      <c r="P8825" s="180" t="s">
        <v>257</v>
      </c>
      <c r="R8825" s="180" t="s">
        <v>257</v>
      </c>
    </row>
    <row r="8826" spans="8:18" x14ac:dyDescent="0.2">
      <c r="H8826" s="180"/>
      <c r="P8826" s="180" t="s">
        <v>257</v>
      </c>
      <c r="R8826" s="180" t="s">
        <v>257</v>
      </c>
    </row>
    <row r="8827" spans="8:18" x14ac:dyDescent="0.2">
      <c r="H8827" s="180"/>
      <c r="P8827" s="180" t="s">
        <v>257</v>
      </c>
      <c r="R8827" s="180" t="s">
        <v>257</v>
      </c>
    </row>
    <row r="8828" spans="8:18" x14ac:dyDescent="0.2">
      <c r="H8828" s="180"/>
      <c r="P8828" s="180" t="s">
        <v>257</v>
      </c>
      <c r="R8828" s="180" t="s">
        <v>257</v>
      </c>
    </row>
    <row r="8829" spans="8:18" x14ac:dyDescent="0.2">
      <c r="H8829" s="180"/>
      <c r="P8829" s="180" t="s">
        <v>257</v>
      </c>
      <c r="R8829" s="180" t="s">
        <v>257</v>
      </c>
    </row>
    <row r="8830" spans="8:18" x14ac:dyDescent="0.2">
      <c r="H8830" s="180"/>
      <c r="P8830" s="180" t="s">
        <v>257</v>
      </c>
      <c r="R8830" s="180" t="s">
        <v>257</v>
      </c>
    </row>
    <row r="8831" spans="8:18" x14ac:dyDescent="0.2">
      <c r="H8831" s="180"/>
      <c r="P8831" s="180" t="s">
        <v>257</v>
      </c>
      <c r="R8831" s="180" t="s">
        <v>257</v>
      </c>
    </row>
    <row r="8832" spans="8:18" x14ac:dyDescent="0.2">
      <c r="H8832" s="180"/>
      <c r="P8832" s="180" t="s">
        <v>257</v>
      </c>
      <c r="R8832" s="180" t="s">
        <v>257</v>
      </c>
    </row>
    <row r="8833" spans="8:18" x14ac:dyDescent="0.2">
      <c r="H8833" s="180"/>
      <c r="P8833" s="180" t="s">
        <v>257</v>
      </c>
      <c r="R8833" s="180" t="s">
        <v>257</v>
      </c>
    </row>
    <row r="8834" spans="8:18" x14ac:dyDescent="0.2">
      <c r="H8834" s="180"/>
      <c r="P8834" s="180" t="s">
        <v>257</v>
      </c>
      <c r="R8834" s="180" t="s">
        <v>257</v>
      </c>
    </row>
    <row r="8835" spans="8:18" x14ac:dyDescent="0.2">
      <c r="H8835" s="180"/>
      <c r="P8835" s="180" t="s">
        <v>257</v>
      </c>
      <c r="R8835" s="180" t="s">
        <v>257</v>
      </c>
    </row>
    <row r="8836" spans="8:18" x14ac:dyDescent="0.2">
      <c r="H8836" s="180"/>
      <c r="P8836" s="180" t="s">
        <v>257</v>
      </c>
      <c r="R8836" s="180" t="s">
        <v>257</v>
      </c>
    </row>
    <row r="8837" spans="8:18" x14ac:dyDescent="0.2">
      <c r="H8837" s="180"/>
      <c r="P8837" s="180" t="s">
        <v>257</v>
      </c>
      <c r="R8837" s="180" t="s">
        <v>257</v>
      </c>
    </row>
    <row r="8838" spans="8:18" x14ac:dyDescent="0.2">
      <c r="H8838" s="180"/>
      <c r="P8838" s="180" t="s">
        <v>257</v>
      </c>
      <c r="R8838" s="180" t="s">
        <v>257</v>
      </c>
    </row>
    <row r="8839" spans="8:18" x14ac:dyDescent="0.2">
      <c r="H8839" s="180"/>
      <c r="P8839" s="180" t="s">
        <v>257</v>
      </c>
      <c r="R8839" s="180" t="s">
        <v>257</v>
      </c>
    </row>
    <row r="8840" spans="8:18" x14ac:dyDescent="0.2">
      <c r="H8840" s="180"/>
      <c r="P8840" s="180" t="s">
        <v>257</v>
      </c>
      <c r="R8840" s="180" t="s">
        <v>257</v>
      </c>
    </row>
    <row r="8841" spans="8:18" x14ac:dyDescent="0.2">
      <c r="H8841" s="180"/>
      <c r="P8841" s="180" t="s">
        <v>257</v>
      </c>
      <c r="R8841" s="180" t="s">
        <v>257</v>
      </c>
    </row>
    <row r="8842" spans="8:18" x14ac:dyDescent="0.2">
      <c r="H8842" s="180"/>
      <c r="P8842" s="180" t="s">
        <v>257</v>
      </c>
      <c r="R8842" s="180" t="s">
        <v>257</v>
      </c>
    </row>
    <row r="8843" spans="8:18" x14ac:dyDescent="0.2">
      <c r="H8843" s="180"/>
      <c r="P8843" s="180" t="s">
        <v>257</v>
      </c>
      <c r="R8843" s="180" t="s">
        <v>257</v>
      </c>
    </row>
    <row r="8844" spans="8:18" x14ac:dyDescent="0.2">
      <c r="H8844" s="180"/>
      <c r="P8844" s="180" t="s">
        <v>257</v>
      </c>
      <c r="R8844" s="180" t="s">
        <v>257</v>
      </c>
    </row>
    <row r="8845" spans="8:18" x14ac:dyDescent="0.2">
      <c r="H8845" s="180"/>
      <c r="P8845" s="180" t="s">
        <v>257</v>
      </c>
      <c r="R8845" s="180" t="s">
        <v>257</v>
      </c>
    </row>
    <row r="8846" spans="8:18" x14ac:dyDescent="0.2">
      <c r="H8846" s="180"/>
      <c r="P8846" s="180" t="s">
        <v>257</v>
      </c>
      <c r="R8846" s="180" t="s">
        <v>257</v>
      </c>
    </row>
    <row r="8847" spans="8:18" x14ac:dyDescent="0.2">
      <c r="H8847" s="180"/>
      <c r="P8847" s="180" t="s">
        <v>257</v>
      </c>
      <c r="R8847" s="180" t="s">
        <v>257</v>
      </c>
    </row>
    <row r="8848" spans="8:18" x14ac:dyDescent="0.2">
      <c r="H8848" s="180"/>
      <c r="P8848" s="180" t="s">
        <v>257</v>
      </c>
      <c r="R8848" s="180" t="s">
        <v>257</v>
      </c>
    </row>
    <row r="8849" spans="8:18" x14ac:dyDescent="0.2">
      <c r="H8849" s="180"/>
      <c r="P8849" s="180" t="s">
        <v>257</v>
      </c>
      <c r="R8849" s="180" t="s">
        <v>257</v>
      </c>
    </row>
    <row r="8850" spans="8:18" x14ac:dyDescent="0.2">
      <c r="H8850" s="180"/>
      <c r="P8850" s="180" t="s">
        <v>257</v>
      </c>
      <c r="R8850" s="180" t="s">
        <v>257</v>
      </c>
    </row>
    <row r="8851" spans="8:18" x14ac:dyDescent="0.2">
      <c r="H8851" s="180"/>
      <c r="P8851" s="180" t="s">
        <v>257</v>
      </c>
      <c r="R8851" s="180" t="s">
        <v>257</v>
      </c>
    </row>
    <row r="8852" spans="8:18" x14ac:dyDescent="0.2">
      <c r="H8852" s="180"/>
      <c r="P8852" s="180" t="s">
        <v>257</v>
      </c>
      <c r="R8852" s="180" t="s">
        <v>257</v>
      </c>
    </row>
    <row r="8853" spans="8:18" x14ac:dyDescent="0.2">
      <c r="H8853" s="180"/>
      <c r="P8853" s="180" t="s">
        <v>257</v>
      </c>
      <c r="R8853" s="180" t="s">
        <v>257</v>
      </c>
    </row>
    <row r="8854" spans="8:18" x14ac:dyDescent="0.2">
      <c r="H8854" s="180"/>
      <c r="P8854" s="180" t="s">
        <v>257</v>
      </c>
      <c r="R8854" s="180" t="s">
        <v>257</v>
      </c>
    </row>
    <row r="8855" spans="8:18" x14ac:dyDescent="0.2">
      <c r="H8855" s="180"/>
      <c r="P8855" s="180" t="s">
        <v>257</v>
      </c>
      <c r="R8855" s="180" t="s">
        <v>257</v>
      </c>
    </row>
    <row r="8856" spans="8:18" x14ac:dyDescent="0.2">
      <c r="H8856" s="180"/>
      <c r="P8856" s="180" t="s">
        <v>257</v>
      </c>
      <c r="R8856" s="180" t="s">
        <v>257</v>
      </c>
    </row>
    <row r="8857" spans="8:18" x14ac:dyDescent="0.2">
      <c r="H8857" s="180"/>
      <c r="P8857" s="180" t="s">
        <v>257</v>
      </c>
      <c r="R8857" s="180" t="s">
        <v>257</v>
      </c>
    </row>
    <row r="8858" spans="8:18" x14ac:dyDescent="0.2">
      <c r="H8858" s="180"/>
      <c r="P8858" s="180" t="s">
        <v>257</v>
      </c>
      <c r="R8858" s="180" t="s">
        <v>257</v>
      </c>
    </row>
    <row r="8859" spans="8:18" x14ac:dyDescent="0.2">
      <c r="H8859" s="180"/>
      <c r="P8859" s="180" t="s">
        <v>257</v>
      </c>
      <c r="R8859" s="180" t="s">
        <v>257</v>
      </c>
    </row>
    <row r="8860" spans="8:18" x14ac:dyDescent="0.2">
      <c r="H8860" s="180"/>
      <c r="P8860" s="180" t="s">
        <v>257</v>
      </c>
      <c r="R8860" s="180" t="s">
        <v>257</v>
      </c>
    </row>
    <row r="8861" spans="8:18" x14ac:dyDescent="0.2">
      <c r="H8861" s="180"/>
      <c r="P8861" s="180" t="s">
        <v>257</v>
      </c>
      <c r="R8861" s="180" t="s">
        <v>257</v>
      </c>
    </row>
    <row r="8862" spans="8:18" x14ac:dyDescent="0.2">
      <c r="H8862" s="180"/>
      <c r="P8862" s="180" t="s">
        <v>257</v>
      </c>
      <c r="R8862" s="180" t="s">
        <v>257</v>
      </c>
    </row>
    <row r="8863" spans="8:18" x14ac:dyDescent="0.2">
      <c r="H8863" s="180"/>
      <c r="P8863" s="180" t="s">
        <v>257</v>
      </c>
      <c r="R8863" s="180" t="s">
        <v>257</v>
      </c>
    </row>
    <row r="8864" spans="8:18" x14ac:dyDescent="0.2">
      <c r="H8864" s="180"/>
      <c r="P8864" s="180" t="s">
        <v>257</v>
      </c>
      <c r="R8864" s="180" t="s">
        <v>257</v>
      </c>
    </row>
    <row r="8865" spans="8:18" x14ac:dyDescent="0.2">
      <c r="H8865" s="180"/>
      <c r="P8865" s="180" t="s">
        <v>257</v>
      </c>
      <c r="R8865" s="180" t="s">
        <v>257</v>
      </c>
    </row>
    <row r="8866" spans="8:18" x14ac:dyDescent="0.2">
      <c r="H8866" s="180"/>
      <c r="P8866" s="180" t="s">
        <v>257</v>
      </c>
      <c r="R8866" s="180" t="s">
        <v>257</v>
      </c>
    </row>
    <row r="8867" spans="8:18" x14ac:dyDescent="0.2">
      <c r="H8867" s="180"/>
      <c r="P8867" s="180" t="s">
        <v>257</v>
      </c>
      <c r="R8867" s="180" t="s">
        <v>257</v>
      </c>
    </row>
    <row r="8868" spans="8:18" x14ac:dyDescent="0.2">
      <c r="H8868" s="180"/>
      <c r="P8868" s="180" t="s">
        <v>257</v>
      </c>
      <c r="R8868" s="180" t="s">
        <v>257</v>
      </c>
    </row>
    <row r="8869" spans="8:18" x14ac:dyDescent="0.2">
      <c r="H8869" s="180"/>
      <c r="P8869" s="180" t="s">
        <v>257</v>
      </c>
      <c r="R8869" s="180" t="s">
        <v>257</v>
      </c>
    </row>
    <row r="8870" spans="8:18" x14ac:dyDescent="0.2">
      <c r="H8870" s="180"/>
      <c r="P8870" s="180" t="s">
        <v>257</v>
      </c>
      <c r="R8870" s="180" t="s">
        <v>257</v>
      </c>
    </row>
    <row r="8871" spans="8:18" x14ac:dyDescent="0.2">
      <c r="H8871" s="180"/>
      <c r="P8871" s="180" t="s">
        <v>257</v>
      </c>
      <c r="R8871" s="180" t="s">
        <v>257</v>
      </c>
    </row>
    <row r="8872" spans="8:18" x14ac:dyDescent="0.2">
      <c r="H8872" s="180"/>
      <c r="P8872" s="180" t="s">
        <v>257</v>
      </c>
      <c r="R8872" s="180" t="s">
        <v>257</v>
      </c>
    </row>
    <row r="8873" spans="8:18" x14ac:dyDescent="0.2">
      <c r="H8873" s="180"/>
      <c r="P8873" s="180" t="s">
        <v>257</v>
      </c>
      <c r="R8873" s="180" t="s">
        <v>257</v>
      </c>
    </row>
    <row r="8874" spans="8:18" x14ac:dyDescent="0.2">
      <c r="H8874" s="180"/>
      <c r="P8874" s="180" t="s">
        <v>257</v>
      </c>
      <c r="R8874" s="180" t="s">
        <v>257</v>
      </c>
    </row>
    <row r="8875" spans="8:18" x14ac:dyDescent="0.2">
      <c r="H8875" s="180"/>
      <c r="P8875" s="180" t="s">
        <v>257</v>
      </c>
      <c r="R8875" s="180" t="s">
        <v>257</v>
      </c>
    </row>
    <row r="8876" spans="8:18" x14ac:dyDescent="0.2">
      <c r="H8876" s="180"/>
      <c r="P8876" s="180" t="s">
        <v>257</v>
      </c>
      <c r="R8876" s="180" t="s">
        <v>257</v>
      </c>
    </row>
    <row r="8877" spans="8:18" x14ac:dyDescent="0.2">
      <c r="H8877" s="180"/>
      <c r="P8877" s="180" t="s">
        <v>257</v>
      </c>
      <c r="R8877" s="180" t="s">
        <v>257</v>
      </c>
    </row>
    <row r="8878" spans="8:18" x14ac:dyDescent="0.2">
      <c r="H8878" s="180"/>
      <c r="P8878" s="180" t="s">
        <v>257</v>
      </c>
      <c r="R8878" s="180" t="s">
        <v>257</v>
      </c>
    </row>
    <row r="8879" spans="8:18" x14ac:dyDescent="0.2">
      <c r="H8879" s="180"/>
      <c r="P8879" s="180" t="s">
        <v>257</v>
      </c>
      <c r="R8879" s="180" t="s">
        <v>257</v>
      </c>
    </row>
    <row r="8880" spans="8:18" x14ac:dyDescent="0.2">
      <c r="H8880" s="180"/>
      <c r="P8880" s="180" t="s">
        <v>257</v>
      </c>
      <c r="R8880" s="180" t="s">
        <v>257</v>
      </c>
    </row>
    <row r="8881" spans="8:18" x14ac:dyDescent="0.2">
      <c r="H8881" s="180"/>
      <c r="P8881" s="180" t="s">
        <v>257</v>
      </c>
      <c r="R8881" s="180" t="s">
        <v>257</v>
      </c>
    </row>
    <row r="8882" spans="8:18" x14ac:dyDescent="0.2">
      <c r="H8882" s="180"/>
      <c r="P8882" s="180" t="s">
        <v>257</v>
      </c>
      <c r="R8882" s="180" t="s">
        <v>257</v>
      </c>
    </row>
    <row r="8883" spans="8:18" x14ac:dyDescent="0.2">
      <c r="H8883" s="180"/>
      <c r="P8883" s="180" t="s">
        <v>257</v>
      </c>
      <c r="R8883" s="180" t="s">
        <v>257</v>
      </c>
    </row>
    <row r="8884" spans="8:18" x14ac:dyDescent="0.2">
      <c r="H8884" s="180"/>
      <c r="P8884" s="180" t="s">
        <v>257</v>
      </c>
      <c r="R8884" s="180" t="s">
        <v>257</v>
      </c>
    </row>
    <row r="8885" spans="8:18" x14ac:dyDescent="0.2">
      <c r="H8885" s="180"/>
      <c r="P8885" s="180" t="s">
        <v>257</v>
      </c>
      <c r="R8885" s="180" t="s">
        <v>257</v>
      </c>
    </row>
    <row r="8886" spans="8:18" x14ac:dyDescent="0.2">
      <c r="H8886" s="180"/>
      <c r="P8886" s="180" t="s">
        <v>257</v>
      </c>
      <c r="R8886" s="180" t="s">
        <v>257</v>
      </c>
    </row>
    <row r="8887" spans="8:18" x14ac:dyDescent="0.2">
      <c r="H8887" s="180"/>
      <c r="P8887" s="180" t="s">
        <v>257</v>
      </c>
      <c r="R8887" s="180" t="s">
        <v>257</v>
      </c>
    </row>
    <row r="8888" spans="8:18" x14ac:dyDescent="0.2">
      <c r="H8888" s="180"/>
      <c r="P8888" s="180" t="s">
        <v>257</v>
      </c>
      <c r="R8888" s="180" t="s">
        <v>257</v>
      </c>
    </row>
    <row r="8889" spans="8:18" x14ac:dyDescent="0.2">
      <c r="H8889" s="180"/>
      <c r="P8889" s="180" t="s">
        <v>257</v>
      </c>
      <c r="R8889" s="180" t="s">
        <v>257</v>
      </c>
    </row>
    <row r="8890" spans="8:18" x14ac:dyDescent="0.2">
      <c r="H8890" s="180"/>
      <c r="P8890" s="180" t="s">
        <v>257</v>
      </c>
      <c r="R8890" s="180" t="s">
        <v>257</v>
      </c>
    </row>
    <row r="8891" spans="8:18" x14ac:dyDescent="0.2">
      <c r="H8891" s="180"/>
      <c r="P8891" s="180" t="s">
        <v>257</v>
      </c>
      <c r="R8891" s="180" t="s">
        <v>257</v>
      </c>
    </row>
    <row r="8892" spans="8:18" x14ac:dyDescent="0.2">
      <c r="H8892" s="180"/>
      <c r="P8892" s="180" t="s">
        <v>257</v>
      </c>
      <c r="R8892" s="180" t="s">
        <v>257</v>
      </c>
    </row>
    <row r="8893" spans="8:18" x14ac:dyDescent="0.2">
      <c r="H8893" s="180"/>
      <c r="P8893" s="180" t="s">
        <v>257</v>
      </c>
      <c r="R8893" s="180" t="s">
        <v>257</v>
      </c>
    </row>
    <row r="8894" spans="8:18" x14ac:dyDescent="0.2">
      <c r="H8894" s="180"/>
      <c r="P8894" s="180" t="s">
        <v>257</v>
      </c>
      <c r="R8894" s="180" t="s">
        <v>257</v>
      </c>
    </row>
    <row r="8895" spans="8:18" x14ac:dyDescent="0.2">
      <c r="H8895" s="180"/>
      <c r="P8895" s="180" t="s">
        <v>257</v>
      </c>
      <c r="R8895" s="180" t="s">
        <v>257</v>
      </c>
    </row>
    <row r="8896" spans="8:18" x14ac:dyDescent="0.2">
      <c r="H8896" s="180"/>
      <c r="P8896" s="180" t="s">
        <v>257</v>
      </c>
      <c r="R8896" s="180" t="s">
        <v>257</v>
      </c>
    </row>
    <row r="8897" spans="8:18" x14ac:dyDescent="0.2">
      <c r="H8897" s="180"/>
      <c r="P8897" s="180" t="s">
        <v>257</v>
      </c>
      <c r="R8897" s="180" t="s">
        <v>257</v>
      </c>
    </row>
    <row r="8898" spans="8:18" x14ac:dyDescent="0.2">
      <c r="H8898" s="180"/>
      <c r="P8898" s="180" t="s">
        <v>257</v>
      </c>
      <c r="R8898" s="180" t="s">
        <v>257</v>
      </c>
    </row>
    <row r="8899" spans="8:18" x14ac:dyDescent="0.2">
      <c r="H8899" s="180"/>
      <c r="P8899" s="180" t="s">
        <v>257</v>
      </c>
      <c r="R8899" s="180" t="s">
        <v>257</v>
      </c>
    </row>
    <row r="8900" spans="8:18" x14ac:dyDescent="0.2">
      <c r="H8900" s="180"/>
      <c r="P8900" s="180" t="s">
        <v>257</v>
      </c>
      <c r="R8900" s="180" t="s">
        <v>257</v>
      </c>
    </row>
    <row r="8901" spans="8:18" x14ac:dyDescent="0.2">
      <c r="H8901" s="180"/>
      <c r="P8901" s="180" t="s">
        <v>257</v>
      </c>
      <c r="R8901" s="180" t="s">
        <v>257</v>
      </c>
    </row>
    <row r="8902" spans="8:18" x14ac:dyDescent="0.2">
      <c r="H8902" s="180"/>
      <c r="P8902" s="180" t="s">
        <v>257</v>
      </c>
      <c r="R8902" s="180" t="s">
        <v>257</v>
      </c>
    </row>
    <row r="8903" spans="8:18" x14ac:dyDescent="0.2">
      <c r="H8903" s="180"/>
      <c r="P8903" s="180" t="s">
        <v>257</v>
      </c>
      <c r="R8903" s="180" t="s">
        <v>257</v>
      </c>
    </row>
    <row r="8904" spans="8:18" x14ac:dyDescent="0.2">
      <c r="H8904" s="180"/>
      <c r="P8904" s="180" t="s">
        <v>257</v>
      </c>
      <c r="R8904" s="180" t="s">
        <v>257</v>
      </c>
    </row>
    <row r="8905" spans="8:18" x14ac:dyDescent="0.2">
      <c r="H8905" s="180"/>
      <c r="P8905" s="180" t="s">
        <v>257</v>
      </c>
      <c r="R8905" s="180" t="s">
        <v>257</v>
      </c>
    </row>
    <row r="8906" spans="8:18" x14ac:dyDescent="0.2">
      <c r="H8906" s="180"/>
      <c r="P8906" s="180" t="s">
        <v>257</v>
      </c>
      <c r="R8906" s="180" t="s">
        <v>257</v>
      </c>
    </row>
    <row r="8907" spans="8:18" x14ac:dyDescent="0.2">
      <c r="H8907" s="180"/>
      <c r="P8907" s="180" t="s">
        <v>257</v>
      </c>
      <c r="R8907" s="180" t="s">
        <v>257</v>
      </c>
    </row>
    <row r="8908" spans="8:18" x14ac:dyDescent="0.2">
      <c r="H8908" s="180"/>
      <c r="P8908" s="180" t="s">
        <v>257</v>
      </c>
      <c r="R8908" s="180" t="s">
        <v>257</v>
      </c>
    </row>
    <row r="8909" spans="8:18" x14ac:dyDescent="0.2">
      <c r="H8909" s="180"/>
      <c r="P8909" s="180" t="s">
        <v>257</v>
      </c>
      <c r="R8909" s="180" t="s">
        <v>257</v>
      </c>
    </row>
    <row r="8910" spans="8:18" x14ac:dyDescent="0.2">
      <c r="H8910" s="180"/>
      <c r="P8910" s="180" t="s">
        <v>257</v>
      </c>
      <c r="R8910" s="180" t="s">
        <v>257</v>
      </c>
    </row>
    <row r="8911" spans="8:18" x14ac:dyDescent="0.2">
      <c r="H8911" s="180"/>
      <c r="P8911" s="180" t="s">
        <v>257</v>
      </c>
      <c r="R8911" s="180" t="s">
        <v>257</v>
      </c>
    </row>
    <row r="8912" spans="8:18" x14ac:dyDescent="0.2">
      <c r="H8912" s="180"/>
      <c r="P8912" s="180" t="s">
        <v>257</v>
      </c>
      <c r="R8912" s="180" t="s">
        <v>257</v>
      </c>
    </row>
    <row r="8913" spans="8:18" x14ac:dyDescent="0.2">
      <c r="H8913" s="180"/>
      <c r="P8913" s="180" t="s">
        <v>257</v>
      </c>
      <c r="R8913" s="180" t="s">
        <v>257</v>
      </c>
    </row>
    <row r="8914" spans="8:18" x14ac:dyDescent="0.2">
      <c r="H8914" s="180"/>
      <c r="P8914" s="180" t="s">
        <v>257</v>
      </c>
      <c r="R8914" s="180" t="s">
        <v>257</v>
      </c>
    </row>
    <row r="8915" spans="8:18" x14ac:dyDescent="0.2">
      <c r="H8915" s="180"/>
      <c r="P8915" s="180" t="s">
        <v>257</v>
      </c>
      <c r="R8915" s="180" t="s">
        <v>257</v>
      </c>
    </row>
    <row r="8916" spans="8:18" x14ac:dyDescent="0.2">
      <c r="H8916" s="180"/>
      <c r="P8916" s="180" t="s">
        <v>257</v>
      </c>
      <c r="R8916" s="180" t="s">
        <v>257</v>
      </c>
    </row>
    <row r="8917" spans="8:18" x14ac:dyDescent="0.2">
      <c r="H8917" s="180"/>
      <c r="P8917" s="180" t="s">
        <v>257</v>
      </c>
      <c r="R8917" s="180" t="s">
        <v>257</v>
      </c>
    </row>
    <row r="8918" spans="8:18" x14ac:dyDescent="0.2">
      <c r="H8918" s="180"/>
      <c r="P8918" s="180" t="s">
        <v>257</v>
      </c>
      <c r="R8918" s="180" t="s">
        <v>257</v>
      </c>
    </row>
    <row r="8919" spans="8:18" x14ac:dyDescent="0.2">
      <c r="H8919" s="180"/>
      <c r="P8919" s="180" t="s">
        <v>257</v>
      </c>
      <c r="R8919" s="180" t="s">
        <v>257</v>
      </c>
    </row>
    <row r="8920" spans="8:18" x14ac:dyDescent="0.2">
      <c r="H8920" s="180"/>
      <c r="P8920" s="180" t="s">
        <v>257</v>
      </c>
      <c r="R8920" s="180" t="s">
        <v>257</v>
      </c>
    </row>
    <row r="8921" spans="8:18" x14ac:dyDescent="0.2">
      <c r="H8921" s="180"/>
      <c r="P8921" s="180" t="s">
        <v>257</v>
      </c>
      <c r="R8921" s="180" t="s">
        <v>257</v>
      </c>
    </row>
    <row r="8922" spans="8:18" x14ac:dyDescent="0.2">
      <c r="H8922" s="180"/>
      <c r="P8922" s="180" t="s">
        <v>257</v>
      </c>
      <c r="R8922" s="180" t="s">
        <v>257</v>
      </c>
    </row>
    <row r="8923" spans="8:18" x14ac:dyDescent="0.2">
      <c r="H8923" s="180"/>
      <c r="P8923" s="180" t="s">
        <v>257</v>
      </c>
      <c r="R8923" s="180" t="s">
        <v>257</v>
      </c>
    </row>
    <row r="8924" spans="8:18" x14ac:dyDescent="0.2">
      <c r="H8924" s="180"/>
      <c r="P8924" s="180" t="s">
        <v>257</v>
      </c>
      <c r="R8924" s="180" t="s">
        <v>257</v>
      </c>
    </row>
    <row r="8925" spans="8:18" x14ac:dyDescent="0.2">
      <c r="H8925" s="180"/>
      <c r="P8925" s="180" t="s">
        <v>257</v>
      </c>
      <c r="R8925" s="180" t="s">
        <v>257</v>
      </c>
    </row>
    <row r="8926" spans="8:18" x14ac:dyDescent="0.2">
      <c r="H8926" s="180"/>
      <c r="P8926" s="180" t="s">
        <v>257</v>
      </c>
      <c r="R8926" s="180" t="s">
        <v>257</v>
      </c>
    </row>
    <row r="8927" spans="8:18" x14ac:dyDescent="0.2">
      <c r="H8927" s="180"/>
      <c r="P8927" s="180" t="s">
        <v>257</v>
      </c>
      <c r="R8927" s="180" t="s">
        <v>257</v>
      </c>
    </row>
    <row r="8928" spans="8:18" x14ac:dyDescent="0.2">
      <c r="H8928" s="180"/>
      <c r="P8928" s="180" t="s">
        <v>257</v>
      </c>
      <c r="R8928" s="180" t="s">
        <v>257</v>
      </c>
    </row>
    <row r="8929" spans="8:18" x14ac:dyDescent="0.2">
      <c r="H8929" s="180"/>
      <c r="P8929" s="180" t="s">
        <v>257</v>
      </c>
      <c r="R8929" s="180" t="s">
        <v>257</v>
      </c>
    </row>
    <row r="8930" spans="8:18" x14ac:dyDescent="0.2">
      <c r="H8930" s="180"/>
      <c r="P8930" s="180" t="s">
        <v>257</v>
      </c>
      <c r="R8930" s="180" t="s">
        <v>257</v>
      </c>
    </row>
    <row r="8931" spans="8:18" x14ac:dyDescent="0.2">
      <c r="H8931" s="180"/>
      <c r="P8931" s="180" t="s">
        <v>257</v>
      </c>
      <c r="R8931" s="180" t="s">
        <v>257</v>
      </c>
    </row>
    <row r="8932" spans="8:18" x14ac:dyDescent="0.2">
      <c r="H8932" s="180"/>
      <c r="P8932" s="180" t="s">
        <v>257</v>
      </c>
      <c r="R8932" s="180" t="s">
        <v>257</v>
      </c>
    </row>
    <row r="8933" spans="8:18" x14ac:dyDescent="0.2">
      <c r="H8933" s="180"/>
      <c r="P8933" s="180" t="s">
        <v>257</v>
      </c>
      <c r="R8933" s="180" t="s">
        <v>257</v>
      </c>
    </row>
    <row r="8934" spans="8:18" x14ac:dyDescent="0.2">
      <c r="H8934" s="180"/>
      <c r="P8934" s="180" t="s">
        <v>257</v>
      </c>
      <c r="R8934" s="180" t="s">
        <v>257</v>
      </c>
    </row>
    <row r="8935" spans="8:18" x14ac:dyDescent="0.2">
      <c r="H8935" s="180"/>
      <c r="P8935" s="180" t="s">
        <v>257</v>
      </c>
      <c r="R8935" s="180" t="s">
        <v>257</v>
      </c>
    </row>
    <row r="8936" spans="8:18" x14ac:dyDescent="0.2">
      <c r="H8936" s="180"/>
      <c r="P8936" s="180" t="s">
        <v>257</v>
      </c>
      <c r="R8936" s="180" t="s">
        <v>257</v>
      </c>
    </row>
    <row r="8937" spans="8:18" x14ac:dyDescent="0.2">
      <c r="H8937" s="180"/>
      <c r="P8937" s="180" t="s">
        <v>257</v>
      </c>
      <c r="R8937" s="180" t="s">
        <v>257</v>
      </c>
    </row>
    <row r="8938" spans="8:18" x14ac:dyDescent="0.2">
      <c r="H8938" s="180"/>
      <c r="P8938" s="180" t="s">
        <v>257</v>
      </c>
      <c r="R8938" s="180" t="s">
        <v>257</v>
      </c>
    </row>
    <row r="8939" spans="8:18" x14ac:dyDescent="0.2">
      <c r="H8939" s="180"/>
      <c r="P8939" s="180" t="s">
        <v>257</v>
      </c>
      <c r="R8939" s="180" t="s">
        <v>257</v>
      </c>
    </row>
    <row r="8940" spans="8:18" x14ac:dyDescent="0.2">
      <c r="H8940" s="180"/>
      <c r="P8940" s="180" t="s">
        <v>257</v>
      </c>
      <c r="R8940" s="180" t="s">
        <v>257</v>
      </c>
    </row>
    <row r="8941" spans="8:18" x14ac:dyDescent="0.2">
      <c r="H8941" s="180"/>
      <c r="P8941" s="180" t="s">
        <v>257</v>
      </c>
      <c r="R8941" s="180" t="s">
        <v>257</v>
      </c>
    </row>
    <row r="8942" spans="8:18" x14ac:dyDescent="0.2">
      <c r="H8942" s="180"/>
      <c r="P8942" s="180" t="s">
        <v>257</v>
      </c>
      <c r="R8942" s="180" t="s">
        <v>257</v>
      </c>
    </row>
    <row r="8943" spans="8:18" x14ac:dyDescent="0.2">
      <c r="H8943" s="180"/>
      <c r="P8943" s="180" t="s">
        <v>257</v>
      </c>
      <c r="R8943" s="180" t="s">
        <v>257</v>
      </c>
    </row>
    <row r="8944" spans="8:18" x14ac:dyDescent="0.2">
      <c r="H8944" s="180"/>
      <c r="P8944" s="180" t="s">
        <v>257</v>
      </c>
      <c r="R8944" s="180" t="s">
        <v>257</v>
      </c>
    </row>
    <row r="8945" spans="8:18" x14ac:dyDescent="0.2">
      <c r="H8945" s="180"/>
      <c r="P8945" s="180" t="s">
        <v>257</v>
      </c>
      <c r="R8945" s="180" t="s">
        <v>257</v>
      </c>
    </row>
    <row r="8946" spans="8:18" x14ac:dyDescent="0.2">
      <c r="H8946" s="180"/>
      <c r="P8946" s="180" t="s">
        <v>257</v>
      </c>
      <c r="R8946" s="180" t="s">
        <v>257</v>
      </c>
    </row>
    <row r="8947" spans="8:18" x14ac:dyDescent="0.2">
      <c r="H8947" s="180"/>
      <c r="P8947" s="180" t="s">
        <v>257</v>
      </c>
      <c r="R8947" s="180" t="s">
        <v>257</v>
      </c>
    </row>
    <row r="8948" spans="8:18" x14ac:dyDescent="0.2">
      <c r="H8948" s="180"/>
      <c r="P8948" s="180" t="s">
        <v>257</v>
      </c>
      <c r="R8948" s="180" t="s">
        <v>257</v>
      </c>
    </row>
    <row r="8949" spans="8:18" x14ac:dyDescent="0.2">
      <c r="H8949" s="180"/>
      <c r="P8949" s="180" t="s">
        <v>257</v>
      </c>
      <c r="R8949" s="180" t="s">
        <v>257</v>
      </c>
    </row>
    <row r="8950" spans="8:18" x14ac:dyDescent="0.2">
      <c r="H8950" s="180"/>
      <c r="P8950" s="180" t="s">
        <v>257</v>
      </c>
      <c r="R8950" s="180" t="s">
        <v>257</v>
      </c>
    </row>
    <row r="8951" spans="8:18" x14ac:dyDescent="0.2">
      <c r="H8951" s="180"/>
      <c r="P8951" s="180" t="s">
        <v>257</v>
      </c>
      <c r="R8951" s="180" t="s">
        <v>257</v>
      </c>
    </row>
    <row r="8952" spans="8:18" x14ac:dyDescent="0.2">
      <c r="H8952" s="180"/>
      <c r="P8952" s="180" t="s">
        <v>257</v>
      </c>
      <c r="R8952" s="180" t="s">
        <v>257</v>
      </c>
    </row>
    <row r="8953" spans="8:18" x14ac:dyDescent="0.2">
      <c r="H8953" s="180"/>
      <c r="P8953" s="180" t="s">
        <v>257</v>
      </c>
      <c r="R8953" s="180" t="s">
        <v>257</v>
      </c>
    </row>
    <row r="8954" spans="8:18" x14ac:dyDescent="0.2">
      <c r="H8954" s="180"/>
      <c r="P8954" s="180" t="s">
        <v>257</v>
      </c>
      <c r="R8954" s="180" t="s">
        <v>257</v>
      </c>
    </row>
    <row r="8955" spans="8:18" x14ac:dyDescent="0.2">
      <c r="H8955" s="180"/>
      <c r="P8955" s="180" t="s">
        <v>257</v>
      </c>
      <c r="R8955" s="180" t="s">
        <v>257</v>
      </c>
    </row>
    <row r="8956" spans="8:18" x14ac:dyDescent="0.2">
      <c r="H8956" s="180"/>
      <c r="P8956" s="180" t="s">
        <v>257</v>
      </c>
      <c r="R8956" s="180" t="s">
        <v>257</v>
      </c>
    </row>
    <row r="8957" spans="8:18" x14ac:dyDescent="0.2">
      <c r="H8957" s="180"/>
      <c r="P8957" s="180" t="s">
        <v>257</v>
      </c>
      <c r="R8957" s="180" t="s">
        <v>257</v>
      </c>
    </row>
    <row r="8958" spans="8:18" x14ac:dyDescent="0.2">
      <c r="H8958" s="180"/>
      <c r="P8958" s="180" t="s">
        <v>257</v>
      </c>
      <c r="R8958" s="180" t="s">
        <v>257</v>
      </c>
    </row>
    <row r="8959" spans="8:18" x14ac:dyDescent="0.2">
      <c r="H8959" s="180"/>
      <c r="P8959" s="180" t="s">
        <v>257</v>
      </c>
      <c r="R8959" s="180" t="s">
        <v>257</v>
      </c>
    </row>
    <row r="8960" spans="8:18" x14ac:dyDescent="0.2">
      <c r="H8960" s="180"/>
      <c r="P8960" s="180" t="s">
        <v>257</v>
      </c>
      <c r="R8960" s="180" t="s">
        <v>257</v>
      </c>
    </row>
    <row r="8961" spans="8:18" x14ac:dyDescent="0.2">
      <c r="H8961" s="180"/>
      <c r="P8961" s="180" t="s">
        <v>257</v>
      </c>
      <c r="R8961" s="180" t="s">
        <v>257</v>
      </c>
    </row>
    <row r="8962" spans="8:18" x14ac:dyDescent="0.2">
      <c r="H8962" s="180"/>
      <c r="P8962" s="180" t="s">
        <v>257</v>
      </c>
      <c r="R8962" s="180" t="s">
        <v>257</v>
      </c>
    </row>
    <row r="8963" spans="8:18" x14ac:dyDescent="0.2">
      <c r="H8963" s="180"/>
      <c r="P8963" s="180" t="s">
        <v>257</v>
      </c>
      <c r="R8963" s="180" t="s">
        <v>257</v>
      </c>
    </row>
    <row r="8964" spans="8:18" x14ac:dyDescent="0.2">
      <c r="H8964" s="180"/>
      <c r="P8964" s="180" t="s">
        <v>257</v>
      </c>
      <c r="R8964" s="180" t="s">
        <v>257</v>
      </c>
    </row>
    <row r="8965" spans="8:18" x14ac:dyDescent="0.2">
      <c r="H8965" s="180"/>
      <c r="P8965" s="180" t="s">
        <v>257</v>
      </c>
      <c r="R8965" s="180" t="s">
        <v>257</v>
      </c>
    </row>
    <row r="8966" spans="8:18" x14ac:dyDescent="0.2">
      <c r="H8966" s="180"/>
      <c r="P8966" s="180" t="s">
        <v>257</v>
      </c>
      <c r="R8966" s="180" t="s">
        <v>257</v>
      </c>
    </row>
    <row r="8967" spans="8:18" x14ac:dyDescent="0.2">
      <c r="H8967" s="180"/>
      <c r="P8967" s="180" t="s">
        <v>257</v>
      </c>
      <c r="R8967" s="180" t="s">
        <v>257</v>
      </c>
    </row>
    <row r="8968" spans="8:18" x14ac:dyDescent="0.2">
      <c r="H8968" s="180"/>
      <c r="P8968" s="180" t="s">
        <v>257</v>
      </c>
      <c r="R8968" s="180" t="s">
        <v>257</v>
      </c>
    </row>
    <row r="8969" spans="8:18" x14ac:dyDescent="0.2">
      <c r="H8969" s="180"/>
      <c r="P8969" s="180" t="s">
        <v>257</v>
      </c>
      <c r="R8969" s="180" t="s">
        <v>257</v>
      </c>
    </row>
    <row r="8970" spans="8:18" x14ac:dyDescent="0.2">
      <c r="H8970" s="180"/>
      <c r="P8970" s="180" t="s">
        <v>257</v>
      </c>
      <c r="R8970" s="180" t="s">
        <v>257</v>
      </c>
    </row>
    <row r="8971" spans="8:18" x14ac:dyDescent="0.2">
      <c r="H8971" s="180"/>
      <c r="P8971" s="180" t="s">
        <v>257</v>
      </c>
      <c r="R8971" s="180" t="s">
        <v>257</v>
      </c>
    </row>
    <row r="8972" spans="8:18" x14ac:dyDescent="0.2">
      <c r="H8972" s="180"/>
      <c r="P8972" s="180" t="s">
        <v>257</v>
      </c>
      <c r="R8972" s="180" t="s">
        <v>257</v>
      </c>
    </row>
    <row r="8973" spans="8:18" x14ac:dyDescent="0.2">
      <c r="H8973" s="180"/>
      <c r="P8973" s="180" t="s">
        <v>257</v>
      </c>
      <c r="R8973" s="180" t="s">
        <v>257</v>
      </c>
    </row>
    <row r="8974" spans="8:18" x14ac:dyDescent="0.2">
      <c r="H8974" s="180"/>
      <c r="P8974" s="180" t="s">
        <v>257</v>
      </c>
      <c r="R8974" s="180" t="s">
        <v>257</v>
      </c>
    </row>
    <row r="8975" spans="8:18" x14ac:dyDescent="0.2">
      <c r="H8975" s="180"/>
      <c r="P8975" s="180" t="s">
        <v>257</v>
      </c>
      <c r="R8975" s="180" t="s">
        <v>257</v>
      </c>
    </row>
    <row r="8976" spans="8:18" x14ac:dyDescent="0.2">
      <c r="H8976" s="180"/>
      <c r="P8976" s="180" t="s">
        <v>257</v>
      </c>
      <c r="R8976" s="180" t="s">
        <v>257</v>
      </c>
    </row>
    <row r="8977" spans="8:18" x14ac:dyDescent="0.2">
      <c r="H8977" s="180"/>
      <c r="P8977" s="180" t="s">
        <v>257</v>
      </c>
      <c r="R8977" s="180" t="s">
        <v>257</v>
      </c>
    </row>
    <row r="8978" spans="8:18" x14ac:dyDescent="0.2">
      <c r="H8978" s="180"/>
      <c r="P8978" s="180" t="s">
        <v>257</v>
      </c>
      <c r="R8978" s="180" t="s">
        <v>257</v>
      </c>
    </row>
    <row r="8979" spans="8:18" x14ac:dyDescent="0.2">
      <c r="H8979" s="180"/>
      <c r="P8979" s="180" t="s">
        <v>257</v>
      </c>
      <c r="R8979" s="180" t="s">
        <v>257</v>
      </c>
    </row>
    <row r="8980" spans="8:18" x14ac:dyDescent="0.2">
      <c r="H8980" s="180"/>
      <c r="P8980" s="180" t="s">
        <v>257</v>
      </c>
      <c r="R8980" s="180" t="s">
        <v>257</v>
      </c>
    </row>
    <row r="8981" spans="8:18" x14ac:dyDescent="0.2">
      <c r="H8981" s="180"/>
      <c r="P8981" s="180" t="s">
        <v>257</v>
      </c>
      <c r="R8981" s="180" t="s">
        <v>257</v>
      </c>
    </row>
    <row r="8982" spans="8:18" x14ac:dyDescent="0.2">
      <c r="H8982" s="180"/>
      <c r="P8982" s="180" t="s">
        <v>257</v>
      </c>
      <c r="R8982" s="180" t="s">
        <v>257</v>
      </c>
    </row>
    <row r="8983" spans="8:18" x14ac:dyDescent="0.2">
      <c r="H8983" s="180"/>
      <c r="P8983" s="180" t="s">
        <v>257</v>
      </c>
      <c r="R8983" s="180" t="s">
        <v>257</v>
      </c>
    </row>
    <row r="8984" spans="8:18" x14ac:dyDescent="0.2">
      <c r="H8984" s="180"/>
      <c r="P8984" s="180" t="s">
        <v>257</v>
      </c>
      <c r="R8984" s="180" t="s">
        <v>257</v>
      </c>
    </row>
    <row r="8985" spans="8:18" x14ac:dyDescent="0.2">
      <c r="H8985" s="180"/>
      <c r="P8985" s="180" t="s">
        <v>257</v>
      </c>
      <c r="R8985" s="180" t="s">
        <v>257</v>
      </c>
    </row>
    <row r="8986" spans="8:18" x14ac:dyDescent="0.2">
      <c r="H8986" s="180"/>
      <c r="P8986" s="180" t="s">
        <v>257</v>
      </c>
      <c r="R8986" s="180" t="s">
        <v>257</v>
      </c>
    </row>
    <row r="8987" spans="8:18" x14ac:dyDescent="0.2">
      <c r="H8987" s="180"/>
      <c r="P8987" s="180" t="s">
        <v>257</v>
      </c>
      <c r="R8987" s="180" t="s">
        <v>257</v>
      </c>
    </row>
    <row r="8988" spans="8:18" x14ac:dyDescent="0.2">
      <c r="H8988" s="180"/>
      <c r="P8988" s="180" t="s">
        <v>257</v>
      </c>
      <c r="R8988" s="180" t="s">
        <v>257</v>
      </c>
    </row>
    <row r="8989" spans="8:18" x14ac:dyDescent="0.2">
      <c r="H8989" s="180"/>
      <c r="P8989" s="180" t="s">
        <v>257</v>
      </c>
      <c r="R8989" s="180" t="s">
        <v>257</v>
      </c>
    </row>
    <row r="8990" spans="8:18" x14ac:dyDescent="0.2">
      <c r="H8990" s="180"/>
      <c r="P8990" s="180" t="s">
        <v>257</v>
      </c>
      <c r="R8990" s="180" t="s">
        <v>257</v>
      </c>
    </row>
    <row r="8991" spans="8:18" x14ac:dyDescent="0.2">
      <c r="H8991" s="180"/>
      <c r="P8991" s="180" t="s">
        <v>257</v>
      </c>
      <c r="R8991" s="180" t="s">
        <v>257</v>
      </c>
    </row>
    <row r="8992" spans="8:18" x14ac:dyDescent="0.2">
      <c r="H8992" s="180"/>
      <c r="P8992" s="180" t="s">
        <v>257</v>
      </c>
      <c r="R8992" s="180" t="s">
        <v>257</v>
      </c>
    </row>
    <row r="8993" spans="8:18" x14ac:dyDescent="0.2">
      <c r="H8993" s="180"/>
      <c r="P8993" s="180" t="s">
        <v>257</v>
      </c>
      <c r="R8993" s="180" t="s">
        <v>257</v>
      </c>
    </row>
    <row r="8994" spans="8:18" x14ac:dyDescent="0.2">
      <c r="H8994" s="180"/>
      <c r="P8994" s="180" t="s">
        <v>257</v>
      </c>
      <c r="R8994" s="180" t="s">
        <v>257</v>
      </c>
    </row>
    <row r="8995" spans="8:18" x14ac:dyDescent="0.2">
      <c r="H8995" s="180"/>
      <c r="P8995" s="180" t="s">
        <v>257</v>
      </c>
      <c r="R8995" s="180" t="s">
        <v>257</v>
      </c>
    </row>
    <row r="8996" spans="8:18" x14ac:dyDescent="0.2">
      <c r="H8996" s="180"/>
      <c r="P8996" s="180" t="s">
        <v>257</v>
      </c>
      <c r="R8996" s="180" t="s">
        <v>257</v>
      </c>
    </row>
    <row r="8997" spans="8:18" x14ac:dyDescent="0.2">
      <c r="H8997" s="180"/>
      <c r="P8997" s="180" t="s">
        <v>257</v>
      </c>
      <c r="R8997" s="180" t="s">
        <v>257</v>
      </c>
    </row>
    <row r="8998" spans="8:18" x14ac:dyDescent="0.2">
      <c r="H8998" s="180"/>
      <c r="P8998" s="180" t="s">
        <v>257</v>
      </c>
      <c r="R8998" s="180" t="s">
        <v>257</v>
      </c>
    </row>
    <row r="8999" spans="8:18" x14ac:dyDescent="0.2">
      <c r="H8999" s="180"/>
      <c r="P8999" s="180" t="s">
        <v>257</v>
      </c>
      <c r="R8999" s="180" t="s">
        <v>257</v>
      </c>
    </row>
    <row r="9000" spans="8:18" x14ac:dyDescent="0.2">
      <c r="H9000" s="180"/>
      <c r="P9000" s="180" t="s">
        <v>257</v>
      </c>
      <c r="R9000" s="180" t="s">
        <v>257</v>
      </c>
    </row>
    <row r="9001" spans="8:18" x14ac:dyDescent="0.2">
      <c r="H9001" s="180"/>
      <c r="P9001" s="180" t="s">
        <v>257</v>
      </c>
      <c r="R9001" s="180" t="s">
        <v>257</v>
      </c>
    </row>
    <row r="9002" spans="8:18" x14ac:dyDescent="0.2">
      <c r="H9002" s="180"/>
      <c r="P9002" s="180" t="s">
        <v>257</v>
      </c>
      <c r="R9002" s="180" t="s">
        <v>257</v>
      </c>
    </row>
    <row r="9003" spans="8:18" x14ac:dyDescent="0.2">
      <c r="H9003" s="180"/>
      <c r="P9003" s="180" t="s">
        <v>257</v>
      </c>
      <c r="R9003" s="180" t="s">
        <v>257</v>
      </c>
    </row>
    <row r="9004" spans="8:18" x14ac:dyDescent="0.2">
      <c r="H9004" s="180"/>
      <c r="P9004" s="180" t="s">
        <v>257</v>
      </c>
      <c r="R9004" s="180" t="s">
        <v>257</v>
      </c>
    </row>
    <row r="9005" spans="8:18" x14ac:dyDescent="0.2">
      <c r="H9005" s="180"/>
      <c r="P9005" s="180" t="s">
        <v>257</v>
      </c>
      <c r="R9005" s="180" t="s">
        <v>257</v>
      </c>
    </row>
    <row r="9006" spans="8:18" x14ac:dyDescent="0.2">
      <c r="H9006" s="180"/>
      <c r="P9006" s="180" t="s">
        <v>257</v>
      </c>
      <c r="R9006" s="180" t="s">
        <v>257</v>
      </c>
    </row>
    <row r="9007" spans="8:18" x14ac:dyDescent="0.2">
      <c r="H9007" s="180"/>
      <c r="P9007" s="180" t="s">
        <v>257</v>
      </c>
      <c r="R9007" s="180" t="s">
        <v>257</v>
      </c>
    </row>
    <row r="9008" spans="8:18" x14ac:dyDescent="0.2">
      <c r="H9008" s="180"/>
      <c r="P9008" s="180" t="s">
        <v>257</v>
      </c>
      <c r="R9008" s="180" t="s">
        <v>257</v>
      </c>
    </row>
    <row r="9009" spans="8:18" x14ac:dyDescent="0.2">
      <c r="H9009" s="180"/>
      <c r="P9009" s="180" t="s">
        <v>257</v>
      </c>
      <c r="R9009" s="180" t="s">
        <v>257</v>
      </c>
    </row>
    <row r="9010" spans="8:18" x14ac:dyDescent="0.2">
      <c r="H9010" s="180"/>
      <c r="P9010" s="180" t="s">
        <v>257</v>
      </c>
      <c r="R9010" s="180" t="s">
        <v>257</v>
      </c>
    </row>
    <row r="9011" spans="8:18" x14ac:dyDescent="0.2">
      <c r="H9011" s="180"/>
      <c r="P9011" s="180" t="s">
        <v>257</v>
      </c>
      <c r="R9011" s="180" t="s">
        <v>257</v>
      </c>
    </row>
    <row r="9012" spans="8:18" x14ac:dyDescent="0.2">
      <c r="H9012" s="180"/>
      <c r="P9012" s="180" t="s">
        <v>257</v>
      </c>
      <c r="R9012" s="180" t="s">
        <v>257</v>
      </c>
    </row>
    <row r="9013" spans="8:18" x14ac:dyDescent="0.2">
      <c r="H9013" s="180"/>
      <c r="P9013" s="180" t="s">
        <v>257</v>
      </c>
      <c r="R9013" s="180" t="s">
        <v>257</v>
      </c>
    </row>
    <row r="9014" spans="8:18" x14ac:dyDescent="0.2">
      <c r="H9014" s="180"/>
      <c r="P9014" s="180" t="s">
        <v>257</v>
      </c>
      <c r="R9014" s="180" t="s">
        <v>257</v>
      </c>
    </row>
    <row r="9015" spans="8:18" x14ac:dyDescent="0.2">
      <c r="H9015" s="180"/>
      <c r="P9015" s="180" t="s">
        <v>257</v>
      </c>
      <c r="R9015" s="180" t="s">
        <v>257</v>
      </c>
    </row>
    <row r="9016" spans="8:18" x14ac:dyDescent="0.2">
      <c r="H9016" s="180"/>
      <c r="P9016" s="180" t="s">
        <v>257</v>
      </c>
      <c r="R9016" s="180" t="s">
        <v>257</v>
      </c>
    </row>
    <row r="9017" spans="8:18" x14ac:dyDescent="0.2">
      <c r="H9017" s="180"/>
      <c r="P9017" s="180" t="s">
        <v>257</v>
      </c>
      <c r="R9017" s="180" t="s">
        <v>257</v>
      </c>
    </row>
    <row r="9018" spans="8:18" x14ac:dyDescent="0.2">
      <c r="H9018" s="180"/>
      <c r="P9018" s="180" t="s">
        <v>257</v>
      </c>
      <c r="R9018" s="180" t="s">
        <v>257</v>
      </c>
    </row>
    <row r="9019" spans="8:18" x14ac:dyDescent="0.2">
      <c r="H9019" s="180"/>
      <c r="P9019" s="180" t="s">
        <v>257</v>
      </c>
      <c r="R9019" s="180" t="s">
        <v>257</v>
      </c>
    </row>
    <row r="9020" spans="8:18" x14ac:dyDescent="0.2">
      <c r="H9020" s="180"/>
      <c r="P9020" s="180" t="s">
        <v>257</v>
      </c>
      <c r="R9020" s="180" t="s">
        <v>257</v>
      </c>
    </row>
    <row r="9021" spans="8:18" x14ac:dyDescent="0.2">
      <c r="H9021" s="180"/>
      <c r="P9021" s="180" t="s">
        <v>257</v>
      </c>
      <c r="R9021" s="180" t="s">
        <v>257</v>
      </c>
    </row>
    <row r="9022" spans="8:18" x14ac:dyDescent="0.2">
      <c r="H9022" s="180"/>
      <c r="P9022" s="180" t="s">
        <v>257</v>
      </c>
      <c r="R9022" s="180" t="s">
        <v>257</v>
      </c>
    </row>
    <row r="9023" spans="8:18" x14ac:dyDescent="0.2">
      <c r="H9023" s="180"/>
      <c r="P9023" s="180" t="s">
        <v>257</v>
      </c>
      <c r="R9023" s="180" t="s">
        <v>257</v>
      </c>
    </row>
    <row r="9024" spans="8:18" x14ac:dyDescent="0.2">
      <c r="H9024" s="180"/>
      <c r="P9024" s="180" t="s">
        <v>257</v>
      </c>
      <c r="R9024" s="180" t="s">
        <v>257</v>
      </c>
    </row>
    <row r="9025" spans="8:18" x14ac:dyDescent="0.2">
      <c r="H9025" s="180"/>
      <c r="P9025" s="180" t="s">
        <v>257</v>
      </c>
      <c r="R9025" s="180" t="s">
        <v>257</v>
      </c>
    </row>
    <row r="9026" spans="8:18" x14ac:dyDescent="0.2">
      <c r="H9026" s="180"/>
      <c r="P9026" s="180" t="s">
        <v>257</v>
      </c>
      <c r="R9026" s="180" t="s">
        <v>257</v>
      </c>
    </row>
    <row r="9027" spans="8:18" x14ac:dyDescent="0.2">
      <c r="H9027" s="180"/>
      <c r="P9027" s="180" t="s">
        <v>257</v>
      </c>
      <c r="R9027" s="180" t="s">
        <v>257</v>
      </c>
    </row>
    <row r="9028" spans="8:18" x14ac:dyDescent="0.2">
      <c r="H9028" s="180"/>
      <c r="P9028" s="180" t="s">
        <v>257</v>
      </c>
      <c r="R9028" s="180" t="s">
        <v>257</v>
      </c>
    </row>
    <row r="9029" spans="8:18" x14ac:dyDescent="0.2">
      <c r="H9029" s="180"/>
      <c r="P9029" s="180" t="s">
        <v>257</v>
      </c>
      <c r="R9029" s="180" t="s">
        <v>257</v>
      </c>
    </row>
    <row r="9030" spans="8:18" x14ac:dyDescent="0.2">
      <c r="H9030" s="180"/>
      <c r="P9030" s="180" t="s">
        <v>257</v>
      </c>
      <c r="R9030" s="180" t="s">
        <v>257</v>
      </c>
    </row>
    <row r="9031" spans="8:18" x14ac:dyDescent="0.2">
      <c r="H9031" s="180"/>
      <c r="P9031" s="180" t="s">
        <v>257</v>
      </c>
      <c r="R9031" s="180" t="s">
        <v>257</v>
      </c>
    </row>
    <row r="9032" spans="8:18" x14ac:dyDescent="0.2">
      <c r="H9032" s="180"/>
      <c r="P9032" s="180" t="s">
        <v>257</v>
      </c>
      <c r="R9032" s="180" t="s">
        <v>257</v>
      </c>
    </row>
    <row r="9033" spans="8:18" x14ac:dyDescent="0.2">
      <c r="H9033" s="180"/>
      <c r="P9033" s="180" t="s">
        <v>257</v>
      </c>
      <c r="R9033" s="180" t="s">
        <v>257</v>
      </c>
    </row>
    <row r="9034" spans="8:18" x14ac:dyDescent="0.2">
      <c r="H9034" s="180"/>
      <c r="P9034" s="180" t="s">
        <v>257</v>
      </c>
      <c r="R9034" s="180" t="s">
        <v>257</v>
      </c>
    </row>
    <row r="9035" spans="8:18" x14ac:dyDescent="0.2">
      <c r="H9035" s="180"/>
      <c r="P9035" s="180" t="s">
        <v>257</v>
      </c>
      <c r="R9035" s="180" t="s">
        <v>257</v>
      </c>
    </row>
    <row r="9036" spans="8:18" x14ac:dyDescent="0.2">
      <c r="H9036" s="180"/>
      <c r="P9036" s="180" t="s">
        <v>257</v>
      </c>
      <c r="R9036" s="180" t="s">
        <v>257</v>
      </c>
    </row>
    <row r="9037" spans="8:18" x14ac:dyDescent="0.2">
      <c r="H9037" s="180"/>
      <c r="P9037" s="180" t="s">
        <v>257</v>
      </c>
      <c r="R9037" s="180" t="s">
        <v>257</v>
      </c>
    </row>
    <row r="9038" spans="8:18" x14ac:dyDescent="0.2">
      <c r="H9038" s="180"/>
      <c r="P9038" s="180" t="s">
        <v>257</v>
      </c>
      <c r="R9038" s="180" t="s">
        <v>257</v>
      </c>
    </row>
    <row r="9039" spans="8:18" x14ac:dyDescent="0.2">
      <c r="H9039" s="180"/>
      <c r="P9039" s="180" t="s">
        <v>257</v>
      </c>
      <c r="R9039" s="180" t="s">
        <v>257</v>
      </c>
    </row>
    <row r="9040" spans="8:18" x14ac:dyDescent="0.2">
      <c r="H9040" s="180"/>
      <c r="P9040" s="180" t="s">
        <v>257</v>
      </c>
      <c r="R9040" s="180" t="s">
        <v>257</v>
      </c>
    </row>
    <row r="9041" spans="8:18" x14ac:dyDescent="0.2">
      <c r="H9041" s="180"/>
      <c r="P9041" s="180" t="s">
        <v>257</v>
      </c>
      <c r="R9041" s="180" t="s">
        <v>257</v>
      </c>
    </row>
    <row r="9042" spans="8:18" x14ac:dyDescent="0.2">
      <c r="H9042" s="180"/>
      <c r="P9042" s="180" t="s">
        <v>257</v>
      </c>
      <c r="R9042" s="180" t="s">
        <v>257</v>
      </c>
    </row>
    <row r="9043" spans="8:18" x14ac:dyDescent="0.2">
      <c r="H9043" s="180"/>
      <c r="P9043" s="180" t="s">
        <v>257</v>
      </c>
      <c r="R9043" s="180" t="s">
        <v>257</v>
      </c>
    </row>
    <row r="9044" spans="8:18" x14ac:dyDescent="0.2">
      <c r="H9044" s="180"/>
      <c r="P9044" s="180" t="s">
        <v>257</v>
      </c>
      <c r="R9044" s="180" t="s">
        <v>257</v>
      </c>
    </row>
    <row r="9045" spans="8:18" x14ac:dyDescent="0.2">
      <c r="H9045" s="180"/>
      <c r="P9045" s="180" t="s">
        <v>257</v>
      </c>
      <c r="R9045" s="180" t="s">
        <v>257</v>
      </c>
    </row>
    <row r="9046" spans="8:18" x14ac:dyDescent="0.2">
      <c r="H9046" s="180"/>
      <c r="P9046" s="180" t="s">
        <v>257</v>
      </c>
      <c r="R9046" s="180" t="s">
        <v>257</v>
      </c>
    </row>
    <row r="9047" spans="8:18" x14ac:dyDescent="0.2">
      <c r="H9047" s="180"/>
      <c r="P9047" s="180" t="s">
        <v>257</v>
      </c>
      <c r="R9047" s="180" t="s">
        <v>257</v>
      </c>
    </row>
    <row r="9048" spans="8:18" x14ac:dyDescent="0.2">
      <c r="H9048" s="180"/>
      <c r="P9048" s="180" t="s">
        <v>257</v>
      </c>
      <c r="R9048" s="180" t="s">
        <v>257</v>
      </c>
    </row>
    <row r="9049" spans="8:18" x14ac:dyDescent="0.2">
      <c r="H9049" s="180"/>
      <c r="P9049" s="180" t="s">
        <v>257</v>
      </c>
      <c r="R9049" s="180" t="s">
        <v>257</v>
      </c>
    </row>
    <row r="9050" spans="8:18" x14ac:dyDescent="0.2">
      <c r="H9050" s="180"/>
      <c r="P9050" s="180" t="s">
        <v>257</v>
      </c>
      <c r="R9050" s="180" t="s">
        <v>257</v>
      </c>
    </row>
    <row r="9051" spans="8:18" x14ac:dyDescent="0.2">
      <c r="H9051" s="180"/>
      <c r="P9051" s="180" t="s">
        <v>257</v>
      </c>
      <c r="R9051" s="180" t="s">
        <v>257</v>
      </c>
    </row>
    <row r="9052" spans="8:18" x14ac:dyDescent="0.2">
      <c r="H9052" s="180"/>
      <c r="P9052" s="180" t="s">
        <v>257</v>
      </c>
      <c r="R9052" s="180" t="s">
        <v>257</v>
      </c>
    </row>
    <row r="9053" spans="8:18" x14ac:dyDescent="0.2">
      <c r="H9053" s="180"/>
      <c r="P9053" s="180" t="s">
        <v>257</v>
      </c>
      <c r="R9053" s="180" t="s">
        <v>257</v>
      </c>
    </row>
    <row r="9054" spans="8:18" x14ac:dyDescent="0.2">
      <c r="H9054" s="180"/>
      <c r="P9054" s="180" t="s">
        <v>257</v>
      </c>
      <c r="R9054" s="180" t="s">
        <v>257</v>
      </c>
    </row>
    <row r="9055" spans="8:18" x14ac:dyDescent="0.2">
      <c r="H9055" s="180"/>
      <c r="P9055" s="180" t="s">
        <v>257</v>
      </c>
      <c r="R9055" s="180" t="s">
        <v>257</v>
      </c>
    </row>
    <row r="9056" spans="8:18" x14ac:dyDescent="0.2">
      <c r="H9056" s="180"/>
      <c r="P9056" s="180" t="s">
        <v>257</v>
      </c>
      <c r="R9056" s="180" t="s">
        <v>257</v>
      </c>
    </row>
    <row r="9057" spans="8:18" x14ac:dyDescent="0.2">
      <c r="H9057" s="180"/>
      <c r="P9057" s="180" t="s">
        <v>257</v>
      </c>
      <c r="R9057" s="180" t="s">
        <v>257</v>
      </c>
    </row>
    <row r="9058" spans="8:18" x14ac:dyDescent="0.2">
      <c r="H9058" s="180"/>
      <c r="P9058" s="180" t="s">
        <v>257</v>
      </c>
      <c r="R9058" s="180" t="s">
        <v>257</v>
      </c>
    </row>
    <row r="9059" spans="8:18" x14ac:dyDescent="0.2">
      <c r="H9059" s="180"/>
      <c r="P9059" s="180" t="s">
        <v>257</v>
      </c>
      <c r="R9059" s="180" t="s">
        <v>257</v>
      </c>
    </row>
    <row r="9060" spans="8:18" x14ac:dyDescent="0.2">
      <c r="H9060" s="180"/>
      <c r="P9060" s="180" t="s">
        <v>257</v>
      </c>
      <c r="R9060" s="180" t="s">
        <v>257</v>
      </c>
    </row>
    <row r="9061" spans="8:18" x14ac:dyDescent="0.2">
      <c r="H9061" s="180"/>
      <c r="P9061" s="180" t="s">
        <v>257</v>
      </c>
      <c r="R9061" s="180" t="s">
        <v>257</v>
      </c>
    </row>
    <row r="9062" spans="8:18" x14ac:dyDescent="0.2">
      <c r="H9062" s="180"/>
      <c r="P9062" s="180" t="s">
        <v>257</v>
      </c>
      <c r="R9062" s="180" t="s">
        <v>257</v>
      </c>
    </row>
    <row r="9063" spans="8:18" x14ac:dyDescent="0.2">
      <c r="H9063" s="180"/>
      <c r="P9063" s="180" t="s">
        <v>257</v>
      </c>
      <c r="R9063" s="180" t="s">
        <v>257</v>
      </c>
    </row>
    <row r="9064" spans="8:18" x14ac:dyDescent="0.2">
      <c r="H9064" s="180"/>
      <c r="P9064" s="180" t="s">
        <v>257</v>
      </c>
      <c r="R9064" s="180" t="s">
        <v>257</v>
      </c>
    </row>
    <row r="9065" spans="8:18" x14ac:dyDescent="0.2">
      <c r="H9065" s="180"/>
      <c r="P9065" s="180" t="s">
        <v>257</v>
      </c>
      <c r="R9065" s="180" t="s">
        <v>257</v>
      </c>
    </row>
    <row r="9066" spans="8:18" x14ac:dyDescent="0.2">
      <c r="H9066" s="180"/>
      <c r="P9066" s="180" t="s">
        <v>257</v>
      </c>
      <c r="R9066" s="180" t="s">
        <v>257</v>
      </c>
    </row>
    <row r="9067" spans="8:18" x14ac:dyDescent="0.2">
      <c r="H9067" s="180"/>
      <c r="P9067" s="180" t="s">
        <v>257</v>
      </c>
      <c r="R9067" s="180" t="s">
        <v>257</v>
      </c>
    </row>
    <row r="9068" spans="8:18" x14ac:dyDescent="0.2">
      <c r="H9068" s="180"/>
      <c r="P9068" s="180" t="s">
        <v>257</v>
      </c>
      <c r="R9068" s="180" t="s">
        <v>257</v>
      </c>
    </row>
    <row r="9069" spans="8:18" x14ac:dyDescent="0.2">
      <c r="H9069" s="180"/>
      <c r="P9069" s="180" t="s">
        <v>257</v>
      </c>
      <c r="R9069" s="180" t="s">
        <v>257</v>
      </c>
    </row>
    <row r="9070" spans="8:18" x14ac:dyDescent="0.2">
      <c r="H9070" s="180"/>
      <c r="P9070" s="180" t="s">
        <v>257</v>
      </c>
      <c r="R9070" s="180" t="s">
        <v>257</v>
      </c>
    </row>
    <row r="9071" spans="8:18" x14ac:dyDescent="0.2">
      <c r="H9071" s="180"/>
      <c r="P9071" s="180" t="s">
        <v>257</v>
      </c>
      <c r="R9071" s="180" t="s">
        <v>257</v>
      </c>
    </row>
    <row r="9072" spans="8:18" x14ac:dyDescent="0.2">
      <c r="H9072" s="180"/>
      <c r="P9072" s="180" t="s">
        <v>257</v>
      </c>
      <c r="R9072" s="180" t="s">
        <v>257</v>
      </c>
    </row>
    <row r="9073" spans="8:18" x14ac:dyDescent="0.2">
      <c r="H9073" s="180"/>
      <c r="P9073" s="180" t="s">
        <v>257</v>
      </c>
      <c r="R9073" s="180" t="s">
        <v>257</v>
      </c>
    </row>
    <row r="9074" spans="8:18" x14ac:dyDescent="0.2">
      <c r="H9074" s="180"/>
      <c r="P9074" s="180" t="s">
        <v>257</v>
      </c>
      <c r="R9074" s="180" t="s">
        <v>257</v>
      </c>
    </row>
    <row r="9075" spans="8:18" x14ac:dyDescent="0.2">
      <c r="H9075" s="180"/>
      <c r="P9075" s="180" t="s">
        <v>257</v>
      </c>
      <c r="R9075" s="180" t="s">
        <v>257</v>
      </c>
    </row>
    <row r="9076" spans="8:18" x14ac:dyDescent="0.2">
      <c r="H9076" s="180"/>
      <c r="P9076" s="180" t="s">
        <v>257</v>
      </c>
      <c r="R9076" s="180" t="s">
        <v>257</v>
      </c>
    </row>
    <row r="9077" spans="8:18" x14ac:dyDescent="0.2">
      <c r="H9077" s="180"/>
      <c r="P9077" s="180" t="s">
        <v>257</v>
      </c>
      <c r="R9077" s="180" t="s">
        <v>257</v>
      </c>
    </row>
    <row r="9078" spans="8:18" x14ac:dyDescent="0.2">
      <c r="H9078" s="180"/>
      <c r="P9078" s="180" t="s">
        <v>257</v>
      </c>
      <c r="R9078" s="180" t="s">
        <v>257</v>
      </c>
    </row>
    <row r="9079" spans="8:18" x14ac:dyDescent="0.2">
      <c r="H9079" s="180"/>
      <c r="P9079" s="180" t="s">
        <v>257</v>
      </c>
      <c r="R9079" s="180" t="s">
        <v>257</v>
      </c>
    </row>
    <row r="9080" spans="8:18" x14ac:dyDescent="0.2">
      <c r="H9080" s="180"/>
      <c r="P9080" s="180" t="s">
        <v>257</v>
      </c>
      <c r="R9080" s="180" t="s">
        <v>257</v>
      </c>
    </row>
    <row r="9081" spans="8:18" x14ac:dyDescent="0.2">
      <c r="H9081" s="180"/>
      <c r="P9081" s="180" t="s">
        <v>257</v>
      </c>
      <c r="R9081" s="180" t="s">
        <v>257</v>
      </c>
    </row>
    <row r="9082" spans="8:18" x14ac:dyDescent="0.2">
      <c r="H9082" s="180"/>
      <c r="P9082" s="180" t="s">
        <v>257</v>
      </c>
      <c r="R9082" s="180" t="s">
        <v>257</v>
      </c>
    </row>
    <row r="9083" spans="8:18" x14ac:dyDescent="0.2">
      <c r="H9083" s="180"/>
      <c r="P9083" s="180" t="s">
        <v>257</v>
      </c>
      <c r="R9083" s="180" t="s">
        <v>257</v>
      </c>
    </row>
    <row r="9084" spans="8:18" x14ac:dyDescent="0.2">
      <c r="H9084" s="180"/>
      <c r="P9084" s="180" t="s">
        <v>257</v>
      </c>
      <c r="R9084" s="180" t="s">
        <v>257</v>
      </c>
    </row>
    <row r="9085" spans="8:18" x14ac:dyDescent="0.2">
      <c r="H9085" s="180"/>
      <c r="P9085" s="180" t="s">
        <v>257</v>
      </c>
      <c r="R9085" s="180" t="s">
        <v>257</v>
      </c>
    </row>
    <row r="9086" spans="8:18" x14ac:dyDescent="0.2">
      <c r="H9086" s="180"/>
      <c r="P9086" s="180" t="s">
        <v>257</v>
      </c>
      <c r="R9086" s="180" t="s">
        <v>257</v>
      </c>
    </row>
    <row r="9087" spans="8:18" x14ac:dyDescent="0.2">
      <c r="H9087" s="180"/>
      <c r="P9087" s="180" t="s">
        <v>257</v>
      </c>
      <c r="R9087" s="180" t="s">
        <v>257</v>
      </c>
    </row>
    <row r="9088" spans="8:18" x14ac:dyDescent="0.2">
      <c r="H9088" s="180"/>
      <c r="P9088" s="180" t="s">
        <v>257</v>
      </c>
      <c r="R9088" s="180" t="s">
        <v>257</v>
      </c>
    </row>
    <row r="9089" spans="8:18" x14ac:dyDescent="0.2">
      <c r="H9089" s="180"/>
      <c r="P9089" s="180" t="s">
        <v>257</v>
      </c>
      <c r="R9089" s="180" t="s">
        <v>257</v>
      </c>
    </row>
    <row r="9090" spans="8:18" x14ac:dyDescent="0.2">
      <c r="H9090" s="180"/>
      <c r="P9090" s="180" t="s">
        <v>257</v>
      </c>
      <c r="R9090" s="180" t="s">
        <v>257</v>
      </c>
    </row>
    <row r="9091" spans="8:18" x14ac:dyDescent="0.2">
      <c r="H9091" s="180"/>
      <c r="P9091" s="180" t="s">
        <v>257</v>
      </c>
      <c r="R9091" s="180" t="s">
        <v>257</v>
      </c>
    </row>
    <row r="9092" spans="8:18" x14ac:dyDescent="0.2">
      <c r="H9092" s="180"/>
      <c r="P9092" s="180" t="s">
        <v>257</v>
      </c>
      <c r="R9092" s="180" t="s">
        <v>257</v>
      </c>
    </row>
    <row r="9093" spans="8:18" x14ac:dyDescent="0.2">
      <c r="H9093" s="180"/>
      <c r="P9093" s="180" t="s">
        <v>257</v>
      </c>
      <c r="R9093" s="180" t="s">
        <v>257</v>
      </c>
    </row>
    <row r="9094" spans="8:18" x14ac:dyDescent="0.2">
      <c r="H9094" s="180"/>
      <c r="P9094" s="180" t="s">
        <v>257</v>
      </c>
      <c r="R9094" s="180" t="s">
        <v>257</v>
      </c>
    </row>
    <row r="9095" spans="8:18" x14ac:dyDescent="0.2">
      <c r="H9095" s="180"/>
      <c r="P9095" s="180" t="s">
        <v>257</v>
      </c>
      <c r="R9095" s="180" t="s">
        <v>257</v>
      </c>
    </row>
    <row r="9096" spans="8:18" x14ac:dyDescent="0.2">
      <c r="H9096" s="180"/>
      <c r="P9096" s="180" t="s">
        <v>257</v>
      </c>
      <c r="R9096" s="180" t="s">
        <v>257</v>
      </c>
    </row>
    <row r="9097" spans="8:18" x14ac:dyDescent="0.2">
      <c r="H9097" s="180"/>
      <c r="P9097" s="180" t="s">
        <v>257</v>
      </c>
      <c r="R9097" s="180" t="s">
        <v>257</v>
      </c>
    </row>
    <row r="9098" spans="8:18" x14ac:dyDescent="0.2">
      <c r="H9098" s="180"/>
      <c r="P9098" s="180" t="s">
        <v>257</v>
      </c>
      <c r="R9098" s="180" t="s">
        <v>257</v>
      </c>
    </row>
    <row r="9099" spans="8:18" x14ac:dyDescent="0.2">
      <c r="H9099" s="180"/>
      <c r="P9099" s="180" t="s">
        <v>257</v>
      </c>
      <c r="R9099" s="180" t="s">
        <v>257</v>
      </c>
    </row>
    <row r="9100" spans="8:18" x14ac:dyDescent="0.2">
      <c r="H9100" s="180"/>
      <c r="P9100" s="180" t="s">
        <v>257</v>
      </c>
      <c r="R9100" s="180" t="s">
        <v>257</v>
      </c>
    </row>
    <row r="9101" spans="8:18" x14ac:dyDescent="0.2">
      <c r="H9101" s="180"/>
      <c r="P9101" s="180" t="s">
        <v>257</v>
      </c>
      <c r="R9101" s="180" t="s">
        <v>257</v>
      </c>
    </row>
    <row r="9102" spans="8:18" x14ac:dyDescent="0.2">
      <c r="H9102" s="180"/>
      <c r="P9102" s="180" t="s">
        <v>257</v>
      </c>
      <c r="R9102" s="180" t="s">
        <v>257</v>
      </c>
    </row>
    <row r="9103" spans="8:18" x14ac:dyDescent="0.2">
      <c r="H9103" s="180"/>
      <c r="P9103" s="180" t="s">
        <v>257</v>
      </c>
      <c r="R9103" s="180" t="s">
        <v>257</v>
      </c>
    </row>
    <row r="9104" spans="8:18" x14ac:dyDescent="0.2">
      <c r="H9104" s="180"/>
      <c r="P9104" s="180" t="s">
        <v>257</v>
      </c>
      <c r="R9104" s="180" t="s">
        <v>257</v>
      </c>
    </row>
    <row r="9105" spans="8:18" x14ac:dyDescent="0.2">
      <c r="H9105" s="180"/>
      <c r="P9105" s="180" t="s">
        <v>257</v>
      </c>
      <c r="R9105" s="180" t="s">
        <v>257</v>
      </c>
    </row>
    <row r="9106" spans="8:18" x14ac:dyDescent="0.2">
      <c r="H9106" s="180"/>
      <c r="P9106" s="180" t="s">
        <v>257</v>
      </c>
      <c r="R9106" s="180" t="s">
        <v>257</v>
      </c>
    </row>
    <row r="9107" spans="8:18" x14ac:dyDescent="0.2">
      <c r="H9107" s="180"/>
      <c r="P9107" s="180" t="s">
        <v>257</v>
      </c>
      <c r="R9107" s="180" t="s">
        <v>257</v>
      </c>
    </row>
    <row r="9108" spans="8:18" x14ac:dyDescent="0.2">
      <c r="H9108" s="180"/>
      <c r="P9108" s="180" t="s">
        <v>257</v>
      </c>
      <c r="R9108" s="180" t="s">
        <v>257</v>
      </c>
    </row>
    <row r="9109" spans="8:18" x14ac:dyDescent="0.2">
      <c r="H9109" s="180"/>
      <c r="P9109" s="180" t="s">
        <v>257</v>
      </c>
      <c r="R9109" s="180" t="s">
        <v>257</v>
      </c>
    </row>
    <row r="9110" spans="8:18" x14ac:dyDescent="0.2">
      <c r="H9110" s="180"/>
      <c r="P9110" s="180" t="s">
        <v>257</v>
      </c>
      <c r="R9110" s="180" t="s">
        <v>257</v>
      </c>
    </row>
    <row r="9111" spans="8:18" x14ac:dyDescent="0.2">
      <c r="H9111" s="180"/>
      <c r="P9111" s="180" t="s">
        <v>257</v>
      </c>
      <c r="R9111" s="180" t="s">
        <v>257</v>
      </c>
    </row>
    <row r="9112" spans="8:18" x14ac:dyDescent="0.2">
      <c r="H9112" s="180"/>
      <c r="P9112" s="180" t="s">
        <v>257</v>
      </c>
      <c r="R9112" s="180" t="s">
        <v>257</v>
      </c>
    </row>
    <row r="9113" spans="8:18" x14ac:dyDescent="0.2">
      <c r="H9113" s="180"/>
      <c r="P9113" s="180" t="s">
        <v>257</v>
      </c>
      <c r="R9113" s="180" t="s">
        <v>257</v>
      </c>
    </row>
    <row r="9114" spans="8:18" x14ac:dyDescent="0.2">
      <c r="H9114" s="180"/>
      <c r="P9114" s="180" t="s">
        <v>257</v>
      </c>
      <c r="R9114" s="180" t="s">
        <v>257</v>
      </c>
    </row>
    <row r="9115" spans="8:18" x14ac:dyDescent="0.2">
      <c r="H9115" s="180"/>
      <c r="P9115" s="180" t="s">
        <v>257</v>
      </c>
      <c r="R9115" s="180" t="s">
        <v>257</v>
      </c>
    </row>
    <row r="9116" spans="8:18" x14ac:dyDescent="0.2">
      <c r="H9116" s="180"/>
      <c r="P9116" s="180" t="s">
        <v>257</v>
      </c>
      <c r="R9116" s="180" t="s">
        <v>257</v>
      </c>
    </row>
    <row r="9117" spans="8:18" x14ac:dyDescent="0.2">
      <c r="H9117" s="180"/>
      <c r="P9117" s="180" t="s">
        <v>257</v>
      </c>
      <c r="R9117" s="180" t="s">
        <v>257</v>
      </c>
    </row>
    <row r="9118" spans="8:18" x14ac:dyDescent="0.2">
      <c r="H9118" s="180"/>
      <c r="P9118" s="180" t="s">
        <v>257</v>
      </c>
      <c r="R9118" s="180" t="s">
        <v>257</v>
      </c>
    </row>
    <row r="9119" spans="8:18" x14ac:dyDescent="0.2">
      <c r="H9119" s="180"/>
      <c r="P9119" s="180" t="s">
        <v>257</v>
      </c>
      <c r="R9119" s="180" t="s">
        <v>257</v>
      </c>
    </row>
    <row r="9120" spans="8:18" x14ac:dyDescent="0.2">
      <c r="H9120" s="180"/>
      <c r="P9120" s="180" t="s">
        <v>257</v>
      </c>
      <c r="R9120" s="180" t="s">
        <v>257</v>
      </c>
    </row>
    <row r="9121" spans="8:18" x14ac:dyDescent="0.2">
      <c r="H9121" s="180"/>
      <c r="P9121" s="180" t="s">
        <v>257</v>
      </c>
      <c r="R9121" s="180" t="s">
        <v>257</v>
      </c>
    </row>
    <row r="9122" spans="8:18" x14ac:dyDescent="0.2">
      <c r="H9122" s="180"/>
      <c r="P9122" s="180" t="s">
        <v>257</v>
      </c>
      <c r="R9122" s="180" t="s">
        <v>257</v>
      </c>
    </row>
    <row r="9123" spans="8:18" x14ac:dyDescent="0.2">
      <c r="H9123" s="180"/>
      <c r="P9123" s="180" t="s">
        <v>257</v>
      </c>
      <c r="R9123" s="180" t="s">
        <v>257</v>
      </c>
    </row>
    <row r="9124" spans="8:18" x14ac:dyDescent="0.2">
      <c r="H9124" s="180"/>
      <c r="P9124" s="180" t="s">
        <v>257</v>
      </c>
      <c r="R9124" s="180" t="s">
        <v>257</v>
      </c>
    </row>
    <row r="9125" spans="8:18" x14ac:dyDescent="0.2">
      <c r="H9125" s="180"/>
      <c r="P9125" s="180" t="s">
        <v>257</v>
      </c>
      <c r="R9125" s="180" t="s">
        <v>257</v>
      </c>
    </row>
    <row r="9126" spans="8:18" x14ac:dyDescent="0.2">
      <c r="H9126" s="180"/>
      <c r="P9126" s="180" t="s">
        <v>257</v>
      </c>
      <c r="R9126" s="180" t="s">
        <v>257</v>
      </c>
    </row>
    <row r="9127" spans="8:18" x14ac:dyDescent="0.2">
      <c r="H9127" s="180"/>
      <c r="P9127" s="180" t="s">
        <v>257</v>
      </c>
      <c r="R9127" s="180" t="s">
        <v>257</v>
      </c>
    </row>
    <row r="9128" spans="8:18" x14ac:dyDescent="0.2">
      <c r="H9128" s="180"/>
      <c r="P9128" s="180" t="s">
        <v>257</v>
      </c>
      <c r="R9128" s="180" t="s">
        <v>257</v>
      </c>
    </row>
    <row r="9129" spans="8:18" x14ac:dyDescent="0.2">
      <c r="H9129" s="180"/>
      <c r="P9129" s="180" t="s">
        <v>257</v>
      </c>
      <c r="R9129" s="180" t="s">
        <v>257</v>
      </c>
    </row>
    <row r="9130" spans="8:18" x14ac:dyDescent="0.2">
      <c r="H9130" s="180"/>
      <c r="P9130" s="180" t="s">
        <v>257</v>
      </c>
      <c r="R9130" s="180" t="s">
        <v>257</v>
      </c>
    </row>
    <row r="9131" spans="8:18" x14ac:dyDescent="0.2">
      <c r="H9131" s="180"/>
      <c r="P9131" s="180" t="s">
        <v>257</v>
      </c>
      <c r="R9131" s="180" t="s">
        <v>257</v>
      </c>
    </row>
    <row r="9132" spans="8:18" x14ac:dyDescent="0.2">
      <c r="H9132" s="180"/>
      <c r="P9132" s="180" t="s">
        <v>257</v>
      </c>
      <c r="R9132" s="180" t="s">
        <v>257</v>
      </c>
    </row>
    <row r="9133" spans="8:18" x14ac:dyDescent="0.2">
      <c r="H9133" s="180"/>
      <c r="P9133" s="180" t="s">
        <v>257</v>
      </c>
      <c r="R9133" s="180" t="s">
        <v>257</v>
      </c>
    </row>
    <row r="9134" spans="8:18" x14ac:dyDescent="0.2">
      <c r="H9134" s="180"/>
      <c r="P9134" s="180" t="s">
        <v>257</v>
      </c>
      <c r="R9134" s="180" t="s">
        <v>257</v>
      </c>
    </row>
    <row r="9135" spans="8:18" x14ac:dyDescent="0.2">
      <c r="H9135" s="180"/>
      <c r="P9135" s="180" t="s">
        <v>257</v>
      </c>
      <c r="R9135" s="180" t="s">
        <v>257</v>
      </c>
    </row>
    <row r="9136" spans="8:18" x14ac:dyDescent="0.2">
      <c r="H9136" s="180"/>
      <c r="P9136" s="180" t="s">
        <v>257</v>
      </c>
      <c r="R9136" s="180" t="s">
        <v>257</v>
      </c>
    </row>
    <row r="9137" spans="8:18" x14ac:dyDescent="0.2">
      <c r="H9137" s="180"/>
      <c r="P9137" s="180" t="s">
        <v>257</v>
      </c>
      <c r="R9137" s="180" t="s">
        <v>257</v>
      </c>
    </row>
    <row r="9138" spans="8:18" x14ac:dyDescent="0.2">
      <c r="H9138" s="180"/>
      <c r="P9138" s="180" t="s">
        <v>257</v>
      </c>
      <c r="R9138" s="180" t="s">
        <v>257</v>
      </c>
    </row>
    <row r="9139" spans="8:18" x14ac:dyDescent="0.2">
      <c r="H9139" s="180"/>
      <c r="P9139" s="180" t="s">
        <v>257</v>
      </c>
      <c r="R9139" s="180" t="s">
        <v>257</v>
      </c>
    </row>
    <row r="9140" spans="8:18" x14ac:dyDescent="0.2">
      <c r="H9140" s="180"/>
      <c r="P9140" s="180" t="s">
        <v>257</v>
      </c>
      <c r="R9140" s="180" t="s">
        <v>257</v>
      </c>
    </row>
    <row r="9141" spans="8:18" x14ac:dyDescent="0.2">
      <c r="H9141" s="180"/>
      <c r="P9141" s="180" t="s">
        <v>257</v>
      </c>
      <c r="R9141" s="180" t="s">
        <v>257</v>
      </c>
    </row>
    <row r="9142" spans="8:18" x14ac:dyDescent="0.2">
      <c r="H9142" s="180"/>
      <c r="P9142" s="180" t="s">
        <v>257</v>
      </c>
      <c r="R9142" s="180" t="s">
        <v>257</v>
      </c>
    </row>
    <row r="9143" spans="8:18" x14ac:dyDescent="0.2">
      <c r="H9143" s="180"/>
      <c r="P9143" s="180" t="s">
        <v>257</v>
      </c>
      <c r="R9143" s="180" t="s">
        <v>257</v>
      </c>
    </row>
    <row r="9144" spans="8:18" x14ac:dyDescent="0.2">
      <c r="H9144" s="180"/>
      <c r="P9144" s="180" t="s">
        <v>257</v>
      </c>
      <c r="R9144" s="180" t="s">
        <v>257</v>
      </c>
    </row>
    <row r="9145" spans="8:18" x14ac:dyDescent="0.2">
      <c r="H9145" s="180"/>
      <c r="P9145" s="180" t="s">
        <v>257</v>
      </c>
      <c r="R9145" s="180" t="s">
        <v>257</v>
      </c>
    </row>
    <row r="9146" spans="8:18" x14ac:dyDescent="0.2">
      <c r="H9146" s="180"/>
      <c r="P9146" s="180" t="s">
        <v>257</v>
      </c>
      <c r="R9146" s="180" t="s">
        <v>257</v>
      </c>
    </row>
    <row r="9147" spans="8:18" x14ac:dyDescent="0.2">
      <c r="H9147" s="180"/>
      <c r="P9147" s="180" t="s">
        <v>257</v>
      </c>
      <c r="R9147" s="180" t="s">
        <v>257</v>
      </c>
    </row>
    <row r="9148" spans="8:18" x14ac:dyDescent="0.2">
      <c r="H9148" s="180"/>
      <c r="P9148" s="180" t="s">
        <v>257</v>
      </c>
      <c r="R9148" s="180" t="s">
        <v>257</v>
      </c>
    </row>
    <row r="9149" spans="8:18" x14ac:dyDescent="0.2">
      <c r="H9149" s="180"/>
      <c r="P9149" s="180" t="s">
        <v>257</v>
      </c>
      <c r="R9149" s="180" t="s">
        <v>257</v>
      </c>
    </row>
    <row r="9150" spans="8:18" x14ac:dyDescent="0.2">
      <c r="H9150" s="180"/>
      <c r="P9150" s="180" t="s">
        <v>257</v>
      </c>
      <c r="R9150" s="180" t="s">
        <v>257</v>
      </c>
    </row>
    <row r="9151" spans="8:18" x14ac:dyDescent="0.2">
      <c r="H9151" s="180"/>
      <c r="P9151" s="180" t="s">
        <v>257</v>
      </c>
      <c r="R9151" s="180" t="s">
        <v>257</v>
      </c>
    </row>
    <row r="9152" spans="8:18" x14ac:dyDescent="0.2">
      <c r="H9152" s="180"/>
      <c r="P9152" s="180" t="s">
        <v>257</v>
      </c>
      <c r="R9152" s="180" t="s">
        <v>257</v>
      </c>
    </row>
    <row r="9153" spans="8:18" x14ac:dyDescent="0.2">
      <c r="H9153" s="180"/>
      <c r="P9153" s="180" t="s">
        <v>257</v>
      </c>
      <c r="R9153" s="180" t="s">
        <v>257</v>
      </c>
    </row>
    <row r="9154" spans="8:18" x14ac:dyDescent="0.2">
      <c r="H9154" s="180"/>
      <c r="P9154" s="180" t="s">
        <v>257</v>
      </c>
      <c r="R9154" s="180" t="s">
        <v>257</v>
      </c>
    </row>
    <row r="9155" spans="8:18" x14ac:dyDescent="0.2">
      <c r="H9155" s="180"/>
      <c r="P9155" s="180" t="s">
        <v>257</v>
      </c>
      <c r="R9155" s="180" t="s">
        <v>257</v>
      </c>
    </row>
    <row r="9156" spans="8:18" x14ac:dyDescent="0.2">
      <c r="H9156" s="180"/>
      <c r="P9156" s="180" t="s">
        <v>257</v>
      </c>
      <c r="R9156" s="180" t="s">
        <v>257</v>
      </c>
    </row>
    <row r="9157" spans="8:18" x14ac:dyDescent="0.2">
      <c r="H9157" s="180"/>
      <c r="P9157" s="180" t="s">
        <v>257</v>
      </c>
      <c r="R9157" s="180" t="s">
        <v>257</v>
      </c>
    </row>
    <row r="9158" spans="8:18" x14ac:dyDescent="0.2">
      <c r="H9158" s="180"/>
      <c r="P9158" s="180" t="s">
        <v>257</v>
      </c>
      <c r="R9158" s="180" t="s">
        <v>257</v>
      </c>
    </row>
    <row r="9159" spans="8:18" x14ac:dyDescent="0.2">
      <c r="H9159" s="180"/>
      <c r="P9159" s="180" t="s">
        <v>257</v>
      </c>
      <c r="R9159" s="180" t="s">
        <v>257</v>
      </c>
    </row>
    <row r="9160" spans="8:18" x14ac:dyDescent="0.2">
      <c r="H9160" s="180"/>
      <c r="P9160" s="180" t="s">
        <v>257</v>
      </c>
      <c r="R9160" s="180" t="s">
        <v>257</v>
      </c>
    </row>
    <row r="9161" spans="8:18" x14ac:dyDescent="0.2">
      <c r="H9161" s="180"/>
      <c r="P9161" s="180" t="s">
        <v>257</v>
      </c>
      <c r="R9161" s="180" t="s">
        <v>257</v>
      </c>
    </row>
    <row r="9162" spans="8:18" x14ac:dyDescent="0.2">
      <c r="H9162" s="180"/>
      <c r="P9162" s="180" t="s">
        <v>257</v>
      </c>
      <c r="R9162" s="180" t="s">
        <v>257</v>
      </c>
    </row>
    <row r="9163" spans="8:18" x14ac:dyDescent="0.2">
      <c r="H9163" s="180"/>
      <c r="P9163" s="180" t="s">
        <v>257</v>
      </c>
      <c r="R9163" s="180" t="s">
        <v>257</v>
      </c>
    </row>
    <row r="9164" spans="8:18" x14ac:dyDescent="0.2">
      <c r="H9164" s="180"/>
      <c r="P9164" s="180" t="s">
        <v>257</v>
      </c>
      <c r="R9164" s="180" t="s">
        <v>257</v>
      </c>
    </row>
    <row r="9165" spans="8:18" x14ac:dyDescent="0.2">
      <c r="H9165" s="180"/>
      <c r="P9165" s="180" t="s">
        <v>257</v>
      </c>
      <c r="R9165" s="180" t="s">
        <v>257</v>
      </c>
    </row>
    <row r="9166" spans="8:18" x14ac:dyDescent="0.2">
      <c r="H9166" s="180"/>
      <c r="P9166" s="180" t="s">
        <v>257</v>
      </c>
      <c r="R9166" s="180" t="s">
        <v>257</v>
      </c>
    </row>
    <row r="9167" spans="8:18" x14ac:dyDescent="0.2">
      <c r="H9167" s="180"/>
      <c r="P9167" s="180" t="s">
        <v>257</v>
      </c>
      <c r="R9167" s="180" t="s">
        <v>257</v>
      </c>
    </row>
    <row r="9168" spans="8:18" x14ac:dyDescent="0.2">
      <c r="H9168" s="180"/>
      <c r="P9168" s="180" t="s">
        <v>257</v>
      </c>
      <c r="R9168" s="180" t="s">
        <v>257</v>
      </c>
    </row>
    <row r="9169" spans="8:18" x14ac:dyDescent="0.2">
      <c r="H9169" s="180"/>
      <c r="P9169" s="180" t="s">
        <v>257</v>
      </c>
      <c r="R9169" s="180" t="s">
        <v>257</v>
      </c>
    </row>
    <row r="9170" spans="8:18" x14ac:dyDescent="0.2">
      <c r="H9170" s="180"/>
      <c r="P9170" s="180" t="s">
        <v>257</v>
      </c>
      <c r="R9170" s="180" t="s">
        <v>257</v>
      </c>
    </row>
    <row r="9171" spans="8:18" x14ac:dyDescent="0.2">
      <c r="H9171" s="180"/>
      <c r="P9171" s="180" t="s">
        <v>257</v>
      </c>
      <c r="R9171" s="180" t="s">
        <v>257</v>
      </c>
    </row>
    <row r="9172" spans="8:18" x14ac:dyDescent="0.2">
      <c r="H9172" s="180"/>
      <c r="P9172" s="180" t="s">
        <v>257</v>
      </c>
      <c r="R9172" s="180" t="s">
        <v>257</v>
      </c>
    </row>
    <row r="9173" spans="8:18" x14ac:dyDescent="0.2">
      <c r="H9173" s="180"/>
      <c r="P9173" s="180" t="s">
        <v>257</v>
      </c>
      <c r="R9173" s="180" t="s">
        <v>257</v>
      </c>
    </row>
    <row r="9174" spans="8:18" x14ac:dyDescent="0.2">
      <c r="H9174" s="180"/>
      <c r="P9174" s="180" t="s">
        <v>257</v>
      </c>
      <c r="R9174" s="180" t="s">
        <v>257</v>
      </c>
    </row>
    <row r="9175" spans="8:18" x14ac:dyDescent="0.2">
      <c r="H9175" s="180"/>
      <c r="P9175" s="180" t="s">
        <v>257</v>
      </c>
      <c r="R9175" s="180" t="s">
        <v>257</v>
      </c>
    </row>
    <row r="9176" spans="8:18" x14ac:dyDescent="0.2">
      <c r="H9176" s="180"/>
      <c r="P9176" s="180" t="s">
        <v>257</v>
      </c>
      <c r="R9176" s="180" t="s">
        <v>257</v>
      </c>
    </row>
    <row r="9177" spans="8:18" x14ac:dyDescent="0.2">
      <c r="H9177" s="180"/>
      <c r="P9177" s="180" t="s">
        <v>257</v>
      </c>
      <c r="R9177" s="180" t="s">
        <v>257</v>
      </c>
    </row>
    <row r="9178" spans="8:18" x14ac:dyDescent="0.2">
      <c r="H9178" s="180"/>
      <c r="P9178" s="180" t="s">
        <v>257</v>
      </c>
      <c r="R9178" s="180" t="s">
        <v>257</v>
      </c>
    </row>
    <row r="9179" spans="8:18" x14ac:dyDescent="0.2">
      <c r="H9179" s="180"/>
      <c r="P9179" s="180" t="s">
        <v>257</v>
      </c>
      <c r="R9179" s="180" t="s">
        <v>257</v>
      </c>
    </row>
    <row r="9180" spans="8:18" x14ac:dyDescent="0.2">
      <c r="H9180" s="180"/>
      <c r="P9180" s="180" t="s">
        <v>257</v>
      </c>
      <c r="R9180" s="180" t="s">
        <v>257</v>
      </c>
    </row>
    <row r="9181" spans="8:18" x14ac:dyDescent="0.2">
      <c r="H9181" s="180"/>
      <c r="P9181" s="180" t="s">
        <v>257</v>
      </c>
      <c r="R9181" s="180" t="s">
        <v>257</v>
      </c>
    </row>
    <row r="9182" spans="8:18" x14ac:dyDescent="0.2">
      <c r="H9182" s="180"/>
      <c r="P9182" s="180" t="s">
        <v>257</v>
      </c>
      <c r="R9182" s="180" t="s">
        <v>257</v>
      </c>
    </row>
    <row r="9183" spans="8:18" x14ac:dyDescent="0.2">
      <c r="H9183" s="180"/>
      <c r="P9183" s="180" t="s">
        <v>257</v>
      </c>
      <c r="R9183" s="180" t="s">
        <v>257</v>
      </c>
    </row>
    <row r="9184" spans="8:18" x14ac:dyDescent="0.2">
      <c r="H9184" s="180"/>
      <c r="P9184" s="180" t="s">
        <v>257</v>
      </c>
      <c r="R9184" s="180" t="s">
        <v>257</v>
      </c>
    </row>
    <row r="9185" spans="8:18" x14ac:dyDescent="0.2">
      <c r="H9185" s="180"/>
      <c r="P9185" s="180" t="s">
        <v>257</v>
      </c>
      <c r="R9185" s="180" t="s">
        <v>257</v>
      </c>
    </row>
    <row r="9186" spans="8:18" x14ac:dyDescent="0.2">
      <c r="H9186" s="180"/>
      <c r="P9186" s="180" t="s">
        <v>257</v>
      </c>
      <c r="R9186" s="180" t="s">
        <v>257</v>
      </c>
    </row>
    <row r="9187" spans="8:18" x14ac:dyDescent="0.2">
      <c r="H9187" s="180"/>
      <c r="P9187" s="180" t="s">
        <v>257</v>
      </c>
      <c r="R9187" s="180" t="s">
        <v>257</v>
      </c>
    </row>
    <row r="9188" spans="8:18" x14ac:dyDescent="0.2">
      <c r="H9188" s="180"/>
      <c r="P9188" s="180" t="s">
        <v>257</v>
      </c>
      <c r="R9188" s="180" t="s">
        <v>257</v>
      </c>
    </row>
    <row r="9189" spans="8:18" x14ac:dyDescent="0.2">
      <c r="H9189" s="180"/>
      <c r="P9189" s="180" t="s">
        <v>257</v>
      </c>
      <c r="R9189" s="180" t="s">
        <v>257</v>
      </c>
    </row>
    <row r="9190" spans="8:18" x14ac:dyDescent="0.2">
      <c r="H9190" s="180"/>
      <c r="P9190" s="180" t="s">
        <v>257</v>
      </c>
      <c r="R9190" s="180" t="s">
        <v>257</v>
      </c>
    </row>
    <row r="9191" spans="8:18" x14ac:dyDescent="0.2">
      <c r="H9191" s="180"/>
      <c r="P9191" s="180" t="s">
        <v>257</v>
      </c>
      <c r="R9191" s="180" t="s">
        <v>257</v>
      </c>
    </row>
    <row r="9192" spans="8:18" x14ac:dyDescent="0.2">
      <c r="H9192" s="180"/>
      <c r="P9192" s="180" t="s">
        <v>257</v>
      </c>
      <c r="R9192" s="180" t="s">
        <v>257</v>
      </c>
    </row>
    <row r="9193" spans="8:18" x14ac:dyDescent="0.2">
      <c r="H9193" s="180"/>
      <c r="P9193" s="180" t="s">
        <v>257</v>
      </c>
      <c r="R9193" s="180" t="s">
        <v>257</v>
      </c>
    </row>
    <row r="9194" spans="8:18" x14ac:dyDescent="0.2">
      <c r="H9194" s="180"/>
      <c r="P9194" s="180" t="s">
        <v>257</v>
      </c>
      <c r="R9194" s="180" t="s">
        <v>257</v>
      </c>
    </row>
    <row r="9195" spans="8:18" x14ac:dyDescent="0.2">
      <c r="H9195" s="180"/>
      <c r="P9195" s="180" t="s">
        <v>257</v>
      </c>
      <c r="R9195" s="180" t="s">
        <v>257</v>
      </c>
    </row>
    <row r="9196" spans="8:18" x14ac:dyDescent="0.2">
      <c r="H9196" s="180"/>
      <c r="P9196" s="180" t="s">
        <v>257</v>
      </c>
      <c r="R9196" s="180" t="s">
        <v>257</v>
      </c>
    </row>
    <row r="9197" spans="8:18" x14ac:dyDescent="0.2">
      <c r="H9197" s="180"/>
      <c r="P9197" s="180" t="s">
        <v>257</v>
      </c>
      <c r="R9197" s="180" t="s">
        <v>257</v>
      </c>
    </row>
    <row r="9198" spans="8:18" x14ac:dyDescent="0.2">
      <c r="H9198" s="180"/>
      <c r="P9198" s="180" t="s">
        <v>257</v>
      </c>
      <c r="R9198" s="180" t="s">
        <v>257</v>
      </c>
    </row>
    <row r="9199" spans="8:18" x14ac:dyDescent="0.2">
      <c r="H9199" s="180"/>
      <c r="P9199" s="180" t="s">
        <v>257</v>
      </c>
      <c r="R9199" s="180" t="s">
        <v>257</v>
      </c>
    </row>
    <row r="9200" spans="8:18" x14ac:dyDescent="0.2">
      <c r="H9200" s="180"/>
      <c r="P9200" s="180" t="s">
        <v>257</v>
      </c>
      <c r="R9200" s="180" t="s">
        <v>257</v>
      </c>
    </row>
    <row r="9201" spans="8:18" x14ac:dyDescent="0.2">
      <c r="H9201" s="180"/>
      <c r="P9201" s="180" t="s">
        <v>257</v>
      </c>
      <c r="R9201" s="180" t="s">
        <v>257</v>
      </c>
    </row>
    <row r="9202" spans="8:18" x14ac:dyDescent="0.2">
      <c r="H9202" s="180"/>
      <c r="P9202" s="180" t="s">
        <v>257</v>
      </c>
      <c r="R9202" s="180" t="s">
        <v>257</v>
      </c>
    </row>
    <row r="9203" spans="8:18" x14ac:dyDescent="0.2">
      <c r="H9203" s="180"/>
      <c r="P9203" s="180" t="s">
        <v>257</v>
      </c>
      <c r="R9203" s="180" t="s">
        <v>257</v>
      </c>
    </row>
    <row r="9204" spans="8:18" x14ac:dyDescent="0.2">
      <c r="H9204" s="180"/>
      <c r="P9204" s="180" t="s">
        <v>257</v>
      </c>
      <c r="R9204" s="180" t="s">
        <v>257</v>
      </c>
    </row>
    <row r="9205" spans="8:18" x14ac:dyDescent="0.2">
      <c r="H9205" s="180"/>
      <c r="P9205" s="180" t="s">
        <v>257</v>
      </c>
      <c r="R9205" s="180" t="s">
        <v>257</v>
      </c>
    </row>
    <row r="9206" spans="8:18" x14ac:dyDescent="0.2">
      <c r="H9206" s="180"/>
      <c r="P9206" s="180" t="s">
        <v>257</v>
      </c>
      <c r="R9206" s="180" t="s">
        <v>257</v>
      </c>
    </row>
    <row r="9207" spans="8:18" x14ac:dyDescent="0.2">
      <c r="H9207" s="180"/>
      <c r="P9207" s="180" t="s">
        <v>257</v>
      </c>
      <c r="R9207" s="180" t="s">
        <v>257</v>
      </c>
    </row>
    <row r="9208" spans="8:18" x14ac:dyDescent="0.2">
      <c r="H9208" s="180"/>
      <c r="P9208" s="180" t="s">
        <v>257</v>
      </c>
      <c r="R9208" s="180" t="s">
        <v>257</v>
      </c>
    </row>
    <row r="9209" spans="8:18" x14ac:dyDescent="0.2">
      <c r="H9209" s="180"/>
      <c r="P9209" s="180" t="s">
        <v>257</v>
      </c>
      <c r="R9209" s="180" t="s">
        <v>257</v>
      </c>
    </row>
    <row r="9210" spans="8:18" x14ac:dyDescent="0.2">
      <c r="H9210" s="180"/>
      <c r="P9210" s="180" t="s">
        <v>257</v>
      </c>
      <c r="R9210" s="180" t="s">
        <v>257</v>
      </c>
    </row>
    <row r="9211" spans="8:18" x14ac:dyDescent="0.2">
      <c r="H9211" s="180"/>
      <c r="P9211" s="180" t="s">
        <v>257</v>
      </c>
      <c r="R9211" s="180" t="s">
        <v>257</v>
      </c>
    </row>
    <row r="9212" spans="8:18" x14ac:dyDescent="0.2">
      <c r="H9212" s="180"/>
      <c r="P9212" s="180" t="s">
        <v>257</v>
      </c>
      <c r="R9212" s="180" t="s">
        <v>257</v>
      </c>
    </row>
    <row r="9213" spans="8:18" x14ac:dyDescent="0.2">
      <c r="H9213" s="180"/>
      <c r="P9213" s="180" t="s">
        <v>257</v>
      </c>
      <c r="R9213" s="180" t="s">
        <v>257</v>
      </c>
    </row>
    <row r="9214" spans="8:18" x14ac:dyDescent="0.2">
      <c r="H9214" s="180"/>
      <c r="P9214" s="180" t="s">
        <v>257</v>
      </c>
      <c r="R9214" s="180" t="s">
        <v>257</v>
      </c>
    </row>
    <row r="9215" spans="8:18" x14ac:dyDescent="0.2">
      <c r="H9215" s="180"/>
      <c r="P9215" s="180" t="s">
        <v>257</v>
      </c>
      <c r="R9215" s="180" t="s">
        <v>257</v>
      </c>
    </row>
    <row r="9216" spans="8:18" x14ac:dyDescent="0.2">
      <c r="H9216" s="180"/>
      <c r="P9216" s="180" t="s">
        <v>257</v>
      </c>
      <c r="R9216" s="180" t="s">
        <v>257</v>
      </c>
    </row>
    <row r="9217" spans="8:18" x14ac:dyDescent="0.2">
      <c r="H9217" s="180"/>
      <c r="P9217" s="180" t="s">
        <v>257</v>
      </c>
      <c r="R9217" s="180" t="s">
        <v>257</v>
      </c>
    </row>
    <row r="9218" spans="8:18" x14ac:dyDescent="0.2">
      <c r="H9218" s="180"/>
      <c r="P9218" s="180" t="s">
        <v>257</v>
      </c>
      <c r="R9218" s="180" t="s">
        <v>257</v>
      </c>
    </row>
    <row r="9219" spans="8:18" x14ac:dyDescent="0.2">
      <c r="H9219" s="180"/>
      <c r="P9219" s="180" t="s">
        <v>257</v>
      </c>
      <c r="R9219" s="180" t="s">
        <v>257</v>
      </c>
    </row>
    <row r="9220" spans="8:18" x14ac:dyDescent="0.2">
      <c r="H9220" s="180"/>
      <c r="P9220" s="180" t="s">
        <v>257</v>
      </c>
      <c r="R9220" s="180" t="s">
        <v>257</v>
      </c>
    </row>
    <row r="9221" spans="8:18" x14ac:dyDescent="0.2">
      <c r="H9221" s="180"/>
      <c r="P9221" s="180" t="s">
        <v>257</v>
      </c>
      <c r="R9221" s="180" t="s">
        <v>257</v>
      </c>
    </row>
    <row r="9222" spans="8:18" x14ac:dyDescent="0.2">
      <c r="H9222" s="180"/>
      <c r="P9222" s="180" t="s">
        <v>257</v>
      </c>
      <c r="R9222" s="180" t="s">
        <v>257</v>
      </c>
    </row>
    <row r="9223" spans="8:18" x14ac:dyDescent="0.2">
      <c r="H9223" s="180"/>
      <c r="P9223" s="180" t="s">
        <v>257</v>
      </c>
      <c r="R9223" s="180" t="s">
        <v>257</v>
      </c>
    </row>
    <row r="9224" spans="8:18" x14ac:dyDescent="0.2">
      <c r="H9224" s="180"/>
      <c r="P9224" s="180" t="s">
        <v>257</v>
      </c>
      <c r="R9224" s="180" t="s">
        <v>257</v>
      </c>
    </row>
    <row r="9225" spans="8:18" x14ac:dyDescent="0.2">
      <c r="H9225" s="180"/>
      <c r="P9225" s="180" t="s">
        <v>257</v>
      </c>
      <c r="R9225" s="180" t="s">
        <v>257</v>
      </c>
    </row>
    <row r="9226" spans="8:18" x14ac:dyDescent="0.2">
      <c r="H9226" s="180"/>
      <c r="P9226" s="180" t="s">
        <v>257</v>
      </c>
      <c r="R9226" s="180" t="s">
        <v>257</v>
      </c>
    </row>
    <row r="9227" spans="8:18" x14ac:dyDescent="0.2">
      <c r="H9227" s="180"/>
      <c r="P9227" s="180" t="s">
        <v>257</v>
      </c>
      <c r="R9227" s="180" t="s">
        <v>257</v>
      </c>
    </row>
    <row r="9228" spans="8:18" x14ac:dyDescent="0.2">
      <c r="H9228" s="180"/>
      <c r="P9228" s="180" t="s">
        <v>257</v>
      </c>
      <c r="R9228" s="180" t="s">
        <v>257</v>
      </c>
    </row>
    <row r="9229" spans="8:18" x14ac:dyDescent="0.2">
      <c r="H9229" s="180"/>
      <c r="P9229" s="180" t="s">
        <v>257</v>
      </c>
      <c r="R9229" s="180" t="s">
        <v>257</v>
      </c>
    </row>
    <row r="9230" spans="8:18" x14ac:dyDescent="0.2">
      <c r="H9230" s="180"/>
      <c r="P9230" s="180" t="s">
        <v>257</v>
      </c>
      <c r="R9230" s="180" t="s">
        <v>257</v>
      </c>
    </row>
    <row r="9231" spans="8:18" x14ac:dyDescent="0.2">
      <c r="H9231" s="180"/>
      <c r="P9231" s="180" t="s">
        <v>257</v>
      </c>
      <c r="R9231" s="180" t="s">
        <v>257</v>
      </c>
    </row>
    <row r="9232" spans="8:18" x14ac:dyDescent="0.2">
      <c r="H9232" s="180"/>
      <c r="P9232" s="180" t="s">
        <v>257</v>
      </c>
      <c r="R9232" s="180" t="s">
        <v>257</v>
      </c>
    </row>
    <row r="9233" spans="8:18" x14ac:dyDescent="0.2">
      <c r="H9233" s="180"/>
      <c r="P9233" s="180" t="s">
        <v>257</v>
      </c>
      <c r="R9233" s="180" t="s">
        <v>257</v>
      </c>
    </row>
    <row r="9234" spans="8:18" x14ac:dyDescent="0.2">
      <c r="H9234" s="180"/>
      <c r="P9234" s="180" t="s">
        <v>257</v>
      </c>
      <c r="R9234" s="180" t="s">
        <v>257</v>
      </c>
    </row>
    <row r="9235" spans="8:18" x14ac:dyDescent="0.2">
      <c r="H9235" s="180"/>
      <c r="P9235" s="180" t="s">
        <v>257</v>
      </c>
      <c r="R9235" s="180" t="s">
        <v>257</v>
      </c>
    </row>
    <row r="9236" spans="8:18" x14ac:dyDescent="0.2">
      <c r="H9236" s="180"/>
      <c r="P9236" s="180" t="s">
        <v>257</v>
      </c>
      <c r="R9236" s="180" t="s">
        <v>257</v>
      </c>
    </row>
    <row r="9237" spans="8:18" x14ac:dyDescent="0.2">
      <c r="H9237" s="180"/>
      <c r="P9237" s="180" t="s">
        <v>257</v>
      </c>
      <c r="R9237" s="180" t="s">
        <v>257</v>
      </c>
    </row>
    <row r="9238" spans="8:18" x14ac:dyDescent="0.2">
      <c r="H9238" s="180"/>
      <c r="P9238" s="180" t="s">
        <v>257</v>
      </c>
      <c r="R9238" s="180" t="s">
        <v>257</v>
      </c>
    </row>
    <row r="9239" spans="8:18" x14ac:dyDescent="0.2">
      <c r="H9239" s="180"/>
      <c r="P9239" s="180" t="s">
        <v>257</v>
      </c>
      <c r="R9239" s="180" t="s">
        <v>257</v>
      </c>
    </row>
    <row r="9240" spans="8:18" x14ac:dyDescent="0.2">
      <c r="H9240" s="180"/>
      <c r="P9240" s="180" t="s">
        <v>257</v>
      </c>
      <c r="R9240" s="180" t="s">
        <v>257</v>
      </c>
    </row>
    <row r="9241" spans="8:18" x14ac:dyDescent="0.2">
      <c r="H9241" s="180"/>
      <c r="P9241" s="180" t="s">
        <v>257</v>
      </c>
      <c r="R9241" s="180" t="s">
        <v>257</v>
      </c>
    </row>
    <row r="9242" spans="8:18" x14ac:dyDescent="0.2">
      <c r="H9242" s="180"/>
      <c r="P9242" s="180" t="s">
        <v>257</v>
      </c>
      <c r="R9242" s="180" t="s">
        <v>257</v>
      </c>
    </row>
    <row r="9243" spans="8:18" x14ac:dyDescent="0.2">
      <c r="H9243" s="180"/>
      <c r="P9243" s="180" t="s">
        <v>257</v>
      </c>
      <c r="R9243" s="180" t="s">
        <v>257</v>
      </c>
    </row>
    <row r="9244" spans="8:18" x14ac:dyDescent="0.2">
      <c r="H9244" s="180"/>
      <c r="P9244" s="180" t="s">
        <v>257</v>
      </c>
      <c r="R9244" s="180" t="s">
        <v>257</v>
      </c>
    </row>
    <row r="9245" spans="8:18" x14ac:dyDescent="0.2">
      <c r="H9245" s="180"/>
      <c r="P9245" s="180" t="s">
        <v>257</v>
      </c>
      <c r="R9245" s="180" t="s">
        <v>257</v>
      </c>
    </row>
    <row r="9246" spans="8:18" x14ac:dyDescent="0.2">
      <c r="H9246" s="180"/>
      <c r="P9246" s="180" t="s">
        <v>257</v>
      </c>
      <c r="R9246" s="180" t="s">
        <v>257</v>
      </c>
    </row>
    <row r="9247" spans="8:18" x14ac:dyDescent="0.2">
      <c r="H9247" s="180"/>
      <c r="P9247" s="180" t="s">
        <v>257</v>
      </c>
      <c r="R9247" s="180" t="s">
        <v>257</v>
      </c>
    </row>
    <row r="9248" spans="8:18" x14ac:dyDescent="0.2">
      <c r="H9248" s="180"/>
      <c r="P9248" s="180" t="s">
        <v>257</v>
      </c>
      <c r="R9248" s="180" t="s">
        <v>257</v>
      </c>
    </row>
    <row r="9249" spans="8:18" x14ac:dyDescent="0.2">
      <c r="H9249" s="180"/>
      <c r="P9249" s="180" t="s">
        <v>257</v>
      </c>
      <c r="R9249" s="180" t="s">
        <v>257</v>
      </c>
    </row>
    <row r="9250" spans="8:18" x14ac:dyDescent="0.2">
      <c r="H9250" s="180"/>
      <c r="P9250" s="180" t="s">
        <v>257</v>
      </c>
      <c r="R9250" s="180" t="s">
        <v>257</v>
      </c>
    </row>
    <row r="9251" spans="8:18" x14ac:dyDescent="0.2">
      <c r="H9251" s="180"/>
      <c r="P9251" s="180" t="s">
        <v>257</v>
      </c>
      <c r="R9251" s="180" t="s">
        <v>257</v>
      </c>
    </row>
    <row r="9252" spans="8:18" x14ac:dyDescent="0.2">
      <c r="H9252" s="180"/>
      <c r="P9252" s="180" t="s">
        <v>257</v>
      </c>
      <c r="R9252" s="180" t="s">
        <v>257</v>
      </c>
    </row>
    <row r="9253" spans="8:18" x14ac:dyDescent="0.2">
      <c r="H9253" s="180"/>
      <c r="P9253" s="180" t="s">
        <v>257</v>
      </c>
      <c r="R9253" s="180" t="s">
        <v>257</v>
      </c>
    </row>
    <row r="9254" spans="8:18" x14ac:dyDescent="0.2">
      <c r="H9254" s="180"/>
      <c r="P9254" s="180" t="s">
        <v>257</v>
      </c>
      <c r="R9254" s="180" t="s">
        <v>257</v>
      </c>
    </row>
    <row r="9255" spans="8:18" x14ac:dyDescent="0.2">
      <c r="H9255" s="180"/>
      <c r="P9255" s="180" t="s">
        <v>257</v>
      </c>
      <c r="R9255" s="180" t="s">
        <v>257</v>
      </c>
    </row>
    <row r="9256" spans="8:18" x14ac:dyDescent="0.2">
      <c r="H9256" s="180"/>
      <c r="P9256" s="180" t="s">
        <v>257</v>
      </c>
      <c r="R9256" s="180" t="s">
        <v>257</v>
      </c>
    </row>
    <row r="9257" spans="8:18" x14ac:dyDescent="0.2">
      <c r="H9257" s="180"/>
      <c r="P9257" s="180" t="s">
        <v>257</v>
      </c>
      <c r="R9257" s="180" t="s">
        <v>257</v>
      </c>
    </row>
    <row r="9258" spans="8:18" x14ac:dyDescent="0.2">
      <c r="H9258" s="180"/>
      <c r="P9258" s="180" t="s">
        <v>257</v>
      </c>
      <c r="R9258" s="180" t="s">
        <v>257</v>
      </c>
    </row>
    <row r="9259" spans="8:18" x14ac:dyDescent="0.2">
      <c r="H9259" s="180"/>
      <c r="P9259" s="180" t="s">
        <v>257</v>
      </c>
      <c r="R9259" s="180" t="s">
        <v>257</v>
      </c>
    </row>
    <row r="9260" spans="8:18" x14ac:dyDescent="0.2">
      <c r="H9260" s="180"/>
      <c r="P9260" s="180" t="s">
        <v>257</v>
      </c>
      <c r="R9260" s="180" t="s">
        <v>257</v>
      </c>
    </row>
    <row r="9261" spans="8:18" x14ac:dyDescent="0.2">
      <c r="H9261" s="180"/>
      <c r="P9261" s="180" t="s">
        <v>257</v>
      </c>
      <c r="R9261" s="180" t="s">
        <v>257</v>
      </c>
    </row>
    <row r="9262" spans="8:18" x14ac:dyDescent="0.2">
      <c r="H9262" s="180"/>
      <c r="P9262" s="180" t="s">
        <v>257</v>
      </c>
      <c r="R9262" s="180" t="s">
        <v>257</v>
      </c>
    </row>
    <row r="9263" spans="8:18" x14ac:dyDescent="0.2">
      <c r="H9263" s="180"/>
      <c r="P9263" s="180" t="s">
        <v>257</v>
      </c>
      <c r="R9263" s="180" t="s">
        <v>257</v>
      </c>
    </row>
    <row r="9264" spans="8:18" x14ac:dyDescent="0.2">
      <c r="H9264" s="180"/>
      <c r="P9264" s="180" t="s">
        <v>257</v>
      </c>
      <c r="R9264" s="180" t="s">
        <v>257</v>
      </c>
    </row>
    <row r="9265" spans="8:18" x14ac:dyDescent="0.2">
      <c r="H9265" s="180"/>
      <c r="P9265" s="180" t="s">
        <v>257</v>
      </c>
      <c r="R9265" s="180" t="s">
        <v>257</v>
      </c>
    </row>
    <row r="9266" spans="8:18" x14ac:dyDescent="0.2">
      <c r="H9266" s="180"/>
      <c r="P9266" s="180" t="s">
        <v>257</v>
      </c>
      <c r="R9266" s="180" t="s">
        <v>257</v>
      </c>
    </row>
    <row r="9267" spans="8:18" x14ac:dyDescent="0.2">
      <c r="H9267" s="180"/>
      <c r="P9267" s="180" t="s">
        <v>257</v>
      </c>
      <c r="R9267" s="180" t="s">
        <v>257</v>
      </c>
    </row>
    <row r="9268" spans="8:18" x14ac:dyDescent="0.2">
      <c r="H9268" s="180"/>
      <c r="P9268" s="180" t="s">
        <v>257</v>
      </c>
      <c r="R9268" s="180" t="s">
        <v>257</v>
      </c>
    </row>
    <row r="9269" spans="8:18" x14ac:dyDescent="0.2">
      <c r="H9269" s="180"/>
      <c r="P9269" s="180" t="s">
        <v>257</v>
      </c>
      <c r="R9269" s="180" t="s">
        <v>257</v>
      </c>
    </row>
    <row r="9270" spans="8:18" x14ac:dyDescent="0.2">
      <c r="H9270" s="180"/>
      <c r="P9270" s="180" t="s">
        <v>257</v>
      </c>
      <c r="R9270" s="180" t="s">
        <v>257</v>
      </c>
    </row>
    <row r="9271" spans="8:18" x14ac:dyDescent="0.2">
      <c r="H9271" s="180"/>
      <c r="P9271" s="180" t="s">
        <v>257</v>
      </c>
      <c r="R9271" s="180" t="s">
        <v>257</v>
      </c>
    </row>
    <row r="9272" spans="8:18" x14ac:dyDescent="0.2">
      <c r="H9272" s="180"/>
      <c r="P9272" s="180" t="s">
        <v>257</v>
      </c>
      <c r="R9272" s="180" t="s">
        <v>257</v>
      </c>
    </row>
    <row r="9273" spans="8:18" x14ac:dyDescent="0.2">
      <c r="H9273" s="180"/>
      <c r="P9273" s="180" t="s">
        <v>257</v>
      </c>
      <c r="R9273" s="180" t="s">
        <v>257</v>
      </c>
    </row>
    <row r="9274" spans="8:18" x14ac:dyDescent="0.2">
      <c r="H9274" s="180"/>
      <c r="P9274" s="180" t="s">
        <v>257</v>
      </c>
      <c r="R9274" s="180" t="s">
        <v>257</v>
      </c>
    </row>
    <row r="9275" spans="8:18" x14ac:dyDescent="0.2">
      <c r="H9275" s="180"/>
      <c r="P9275" s="180" t="s">
        <v>257</v>
      </c>
      <c r="R9275" s="180" t="s">
        <v>257</v>
      </c>
    </row>
    <row r="9276" spans="8:18" x14ac:dyDescent="0.2">
      <c r="H9276" s="180"/>
      <c r="P9276" s="180" t="s">
        <v>257</v>
      </c>
      <c r="R9276" s="180" t="s">
        <v>257</v>
      </c>
    </row>
    <row r="9277" spans="8:18" x14ac:dyDescent="0.2">
      <c r="H9277" s="180"/>
      <c r="P9277" s="180" t="s">
        <v>257</v>
      </c>
      <c r="R9277" s="180" t="s">
        <v>257</v>
      </c>
    </row>
    <row r="9278" spans="8:18" x14ac:dyDescent="0.2">
      <c r="H9278" s="180"/>
      <c r="P9278" s="180" t="s">
        <v>257</v>
      </c>
      <c r="R9278" s="180" t="s">
        <v>257</v>
      </c>
    </row>
    <row r="9279" spans="8:18" x14ac:dyDescent="0.2">
      <c r="H9279" s="180"/>
      <c r="P9279" s="180" t="s">
        <v>257</v>
      </c>
      <c r="R9279" s="180" t="s">
        <v>257</v>
      </c>
    </row>
    <row r="9280" spans="8:18" x14ac:dyDescent="0.2">
      <c r="H9280" s="180"/>
      <c r="P9280" s="180" t="s">
        <v>257</v>
      </c>
      <c r="R9280" s="180" t="s">
        <v>257</v>
      </c>
    </row>
    <row r="9281" spans="8:18" x14ac:dyDescent="0.2">
      <c r="H9281" s="180"/>
      <c r="P9281" s="180" t="s">
        <v>257</v>
      </c>
      <c r="R9281" s="180" t="s">
        <v>257</v>
      </c>
    </row>
    <row r="9282" spans="8:18" x14ac:dyDescent="0.2">
      <c r="H9282" s="180"/>
      <c r="P9282" s="180" t="s">
        <v>257</v>
      </c>
      <c r="R9282" s="180" t="s">
        <v>257</v>
      </c>
    </row>
    <row r="9283" spans="8:18" x14ac:dyDescent="0.2">
      <c r="H9283" s="180"/>
      <c r="P9283" s="180" t="s">
        <v>257</v>
      </c>
      <c r="R9283" s="180" t="s">
        <v>257</v>
      </c>
    </row>
    <row r="9284" spans="8:18" x14ac:dyDescent="0.2">
      <c r="H9284" s="180"/>
      <c r="P9284" s="180" t="s">
        <v>257</v>
      </c>
      <c r="R9284" s="180" t="s">
        <v>257</v>
      </c>
    </row>
    <row r="9285" spans="8:18" x14ac:dyDescent="0.2">
      <c r="H9285" s="180"/>
      <c r="P9285" s="180" t="s">
        <v>257</v>
      </c>
      <c r="R9285" s="180" t="s">
        <v>257</v>
      </c>
    </row>
    <row r="9286" spans="8:18" x14ac:dyDescent="0.2">
      <c r="H9286" s="180"/>
      <c r="P9286" s="180" t="s">
        <v>257</v>
      </c>
      <c r="R9286" s="180" t="s">
        <v>257</v>
      </c>
    </row>
    <row r="9287" spans="8:18" x14ac:dyDescent="0.2">
      <c r="H9287" s="180"/>
      <c r="P9287" s="180" t="s">
        <v>257</v>
      </c>
      <c r="R9287" s="180" t="s">
        <v>257</v>
      </c>
    </row>
    <row r="9288" spans="8:18" x14ac:dyDescent="0.2">
      <c r="H9288" s="180"/>
      <c r="P9288" s="180" t="s">
        <v>257</v>
      </c>
      <c r="R9288" s="180" t="s">
        <v>257</v>
      </c>
    </row>
    <row r="9289" spans="8:18" x14ac:dyDescent="0.2">
      <c r="H9289" s="180"/>
      <c r="P9289" s="180" t="s">
        <v>257</v>
      </c>
      <c r="R9289" s="180" t="s">
        <v>257</v>
      </c>
    </row>
    <row r="9290" spans="8:18" x14ac:dyDescent="0.2">
      <c r="H9290" s="180"/>
      <c r="P9290" s="180" t="s">
        <v>257</v>
      </c>
      <c r="R9290" s="180" t="s">
        <v>257</v>
      </c>
    </row>
    <row r="9291" spans="8:18" x14ac:dyDescent="0.2">
      <c r="H9291" s="180"/>
      <c r="P9291" s="180" t="s">
        <v>257</v>
      </c>
      <c r="R9291" s="180" t="s">
        <v>257</v>
      </c>
    </row>
    <row r="9292" spans="8:18" x14ac:dyDescent="0.2">
      <c r="H9292" s="180"/>
      <c r="P9292" s="180" t="s">
        <v>257</v>
      </c>
      <c r="R9292" s="180" t="s">
        <v>257</v>
      </c>
    </row>
    <row r="9293" spans="8:18" x14ac:dyDescent="0.2">
      <c r="H9293" s="180"/>
      <c r="P9293" s="180" t="s">
        <v>257</v>
      </c>
      <c r="R9293" s="180" t="s">
        <v>257</v>
      </c>
    </row>
    <row r="9294" spans="8:18" x14ac:dyDescent="0.2">
      <c r="H9294" s="180"/>
      <c r="P9294" s="180" t="s">
        <v>257</v>
      </c>
      <c r="R9294" s="180" t="s">
        <v>257</v>
      </c>
    </row>
    <row r="9295" spans="8:18" x14ac:dyDescent="0.2">
      <c r="H9295" s="180"/>
      <c r="P9295" s="180" t="s">
        <v>257</v>
      </c>
      <c r="R9295" s="180" t="s">
        <v>257</v>
      </c>
    </row>
    <row r="9296" spans="8:18" x14ac:dyDescent="0.2">
      <c r="H9296" s="180"/>
      <c r="P9296" s="180" t="s">
        <v>257</v>
      </c>
      <c r="R9296" s="180" t="s">
        <v>257</v>
      </c>
    </row>
    <row r="9297" spans="8:18" x14ac:dyDescent="0.2">
      <c r="H9297" s="180"/>
      <c r="P9297" s="180" t="s">
        <v>257</v>
      </c>
      <c r="R9297" s="180" t="s">
        <v>257</v>
      </c>
    </row>
    <row r="9298" spans="8:18" x14ac:dyDescent="0.2">
      <c r="H9298" s="180"/>
      <c r="P9298" s="180" t="s">
        <v>257</v>
      </c>
      <c r="R9298" s="180" t="s">
        <v>257</v>
      </c>
    </row>
    <row r="9299" spans="8:18" x14ac:dyDescent="0.2">
      <c r="H9299" s="180"/>
      <c r="P9299" s="180" t="s">
        <v>257</v>
      </c>
      <c r="R9299" s="180" t="s">
        <v>257</v>
      </c>
    </row>
    <row r="9300" spans="8:18" x14ac:dyDescent="0.2">
      <c r="H9300" s="180"/>
      <c r="P9300" s="180" t="s">
        <v>257</v>
      </c>
      <c r="R9300" s="180" t="s">
        <v>257</v>
      </c>
    </row>
    <row r="9301" spans="8:18" x14ac:dyDescent="0.2">
      <c r="H9301" s="180"/>
      <c r="P9301" s="180" t="s">
        <v>257</v>
      </c>
      <c r="R9301" s="180" t="s">
        <v>257</v>
      </c>
    </row>
    <row r="9302" spans="8:18" x14ac:dyDescent="0.2">
      <c r="H9302" s="180"/>
      <c r="P9302" s="180" t="s">
        <v>257</v>
      </c>
      <c r="R9302" s="180" t="s">
        <v>257</v>
      </c>
    </row>
    <row r="9303" spans="8:18" x14ac:dyDescent="0.2">
      <c r="H9303" s="180"/>
      <c r="P9303" s="180" t="s">
        <v>257</v>
      </c>
      <c r="R9303" s="180" t="s">
        <v>257</v>
      </c>
    </row>
    <row r="9304" spans="8:18" x14ac:dyDescent="0.2">
      <c r="H9304" s="180"/>
      <c r="P9304" s="180" t="s">
        <v>257</v>
      </c>
      <c r="R9304" s="180" t="s">
        <v>257</v>
      </c>
    </row>
    <row r="9305" spans="8:18" x14ac:dyDescent="0.2">
      <c r="H9305" s="180"/>
      <c r="P9305" s="180" t="s">
        <v>257</v>
      </c>
      <c r="R9305" s="180" t="s">
        <v>257</v>
      </c>
    </row>
    <row r="9306" spans="8:18" x14ac:dyDescent="0.2">
      <c r="H9306" s="180"/>
      <c r="P9306" s="180" t="s">
        <v>257</v>
      </c>
      <c r="R9306" s="180" t="s">
        <v>257</v>
      </c>
    </row>
    <row r="9307" spans="8:18" x14ac:dyDescent="0.2">
      <c r="H9307" s="180"/>
      <c r="P9307" s="180" t="s">
        <v>257</v>
      </c>
      <c r="R9307" s="180" t="s">
        <v>257</v>
      </c>
    </row>
    <row r="9308" spans="8:18" x14ac:dyDescent="0.2">
      <c r="H9308" s="180"/>
      <c r="P9308" s="180" t="s">
        <v>257</v>
      </c>
      <c r="R9308" s="180" t="s">
        <v>257</v>
      </c>
    </row>
    <row r="9309" spans="8:18" x14ac:dyDescent="0.2">
      <c r="H9309" s="180"/>
      <c r="P9309" s="180" t="s">
        <v>257</v>
      </c>
      <c r="R9309" s="180" t="s">
        <v>257</v>
      </c>
    </row>
    <row r="9310" spans="8:18" x14ac:dyDescent="0.2">
      <c r="H9310" s="180"/>
      <c r="P9310" s="180" t="s">
        <v>257</v>
      </c>
      <c r="R9310" s="180" t="s">
        <v>257</v>
      </c>
    </row>
    <row r="9311" spans="8:18" x14ac:dyDescent="0.2">
      <c r="H9311" s="180"/>
      <c r="P9311" s="180" t="s">
        <v>257</v>
      </c>
      <c r="R9311" s="180" t="s">
        <v>257</v>
      </c>
    </row>
    <row r="9312" spans="8:18" x14ac:dyDescent="0.2">
      <c r="H9312" s="180"/>
      <c r="P9312" s="180" t="s">
        <v>257</v>
      </c>
      <c r="R9312" s="180" t="s">
        <v>257</v>
      </c>
    </row>
    <row r="9313" spans="8:18" x14ac:dyDescent="0.2">
      <c r="H9313" s="180"/>
      <c r="P9313" s="180" t="s">
        <v>257</v>
      </c>
      <c r="R9313" s="180" t="s">
        <v>257</v>
      </c>
    </row>
    <row r="9314" spans="8:18" x14ac:dyDescent="0.2">
      <c r="H9314" s="180"/>
      <c r="P9314" s="180" t="s">
        <v>257</v>
      </c>
      <c r="R9314" s="180" t="s">
        <v>257</v>
      </c>
    </row>
    <row r="9315" spans="8:18" x14ac:dyDescent="0.2">
      <c r="H9315" s="180"/>
      <c r="P9315" s="180" t="s">
        <v>257</v>
      </c>
      <c r="R9315" s="180" t="s">
        <v>257</v>
      </c>
    </row>
    <row r="9316" spans="8:18" x14ac:dyDescent="0.2">
      <c r="H9316" s="180"/>
      <c r="P9316" s="180" t="s">
        <v>257</v>
      </c>
      <c r="R9316" s="180" t="s">
        <v>257</v>
      </c>
    </row>
    <row r="9317" spans="8:18" x14ac:dyDescent="0.2">
      <c r="H9317" s="180"/>
      <c r="P9317" s="180" t="s">
        <v>257</v>
      </c>
      <c r="R9317" s="180" t="s">
        <v>257</v>
      </c>
    </row>
    <row r="9318" spans="8:18" x14ac:dyDescent="0.2">
      <c r="H9318" s="180"/>
      <c r="P9318" s="180" t="s">
        <v>257</v>
      </c>
      <c r="R9318" s="180" t="s">
        <v>257</v>
      </c>
    </row>
    <row r="9319" spans="8:18" x14ac:dyDescent="0.2">
      <c r="H9319" s="180"/>
      <c r="P9319" s="180" t="s">
        <v>257</v>
      </c>
      <c r="R9319" s="180" t="s">
        <v>257</v>
      </c>
    </row>
    <row r="9320" spans="8:18" x14ac:dyDescent="0.2">
      <c r="H9320" s="180"/>
      <c r="P9320" s="180" t="s">
        <v>257</v>
      </c>
      <c r="R9320" s="180" t="s">
        <v>257</v>
      </c>
    </row>
    <row r="9321" spans="8:18" x14ac:dyDescent="0.2">
      <c r="H9321" s="180"/>
      <c r="P9321" s="180" t="s">
        <v>257</v>
      </c>
      <c r="R9321" s="180" t="s">
        <v>257</v>
      </c>
    </row>
    <row r="9322" spans="8:18" x14ac:dyDescent="0.2">
      <c r="H9322" s="180"/>
      <c r="P9322" s="180" t="s">
        <v>257</v>
      </c>
      <c r="R9322" s="180" t="s">
        <v>257</v>
      </c>
    </row>
    <row r="9323" spans="8:18" x14ac:dyDescent="0.2">
      <c r="H9323" s="180"/>
      <c r="P9323" s="180" t="s">
        <v>257</v>
      </c>
      <c r="R9323" s="180" t="s">
        <v>257</v>
      </c>
    </row>
    <row r="9324" spans="8:18" x14ac:dyDescent="0.2">
      <c r="H9324" s="180"/>
      <c r="P9324" s="180" t="s">
        <v>257</v>
      </c>
      <c r="R9324" s="180" t="s">
        <v>257</v>
      </c>
    </row>
    <row r="9325" spans="8:18" x14ac:dyDescent="0.2">
      <c r="H9325" s="180"/>
      <c r="P9325" s="180" t="s">
        <v>257</v>
      </c>
      <c r="R9325" s="180" t="s">
        <v>257</v>
      </c>
    </row>
    <row r="9326" spans="8:18" x14ac:dyDescent="0.2">
      <c r="H9326" s="180"/>
      <c r="P9326" s="180" t="s">
        <v>257</v>
      </c>
      <c r="R9326" s="180" t="s">
        <v>257</v>
      </c>
    </row>
    <row r="9327" spans="8:18" x14ac:dyDescent="0.2">
      <c r="H9327" s="180"/>
      <c r="P9327" s="180" t="s">
        <v>257</v>
      </c>
      <c r="R9327" s="180" t="s">
        <v>257</v>
      </c>
    </row>
    <row r="9328" spans="8:18" x14ac:dyDescent="0.2">
      <c r="H9328" s="180"/>
      <c r="P9328" s="180" t="s">
        <v>257</v>
      </c>
      <c r="R9328" s="180" t="s">
        <v>257</v>
      </c>
    </row>
    <row r="9329" spans="8:18" x14ac:dyDescent="0.2">
      <c r="H9329" s="180"/>
      <c r="P9329" s="180" t="s">
        <v>257</v>
      </c>
      <c r="R9329" s="180" t="s">
        <v>257</v>
      </c>
    </row>
    <row r="9330" spans="8:18" x14ac:dyDescent="0.2">
      <c r="H9330" s="180"/>
      <c r="P9330" s="180" t="s">
        <v>257</v>
      </c>
      <c r="R9330" s="180" t="s">
        <v>257</v>
      </c>
    </row>
    <row r="9331" spans="8:18" x14ac:dyDescent="0.2">
      <c r="H9331" s="180"/>
      <c r="P9331" s="180" t="s">
        <v>257</v>
      </c>
      <c r="R9331" s="180" t="s">
        <v>257</v>
      </c>
    </row>
    <row r="9332" spans="8:18" x14ac:dyDescent="0.2">
      <c r="H9332" s="180"/>
      <c r="P9332" s="180" t="s">
        <v>257</v>
      </c>
      <c r="R9332" s="180" t="s">
        <v>257</v>
      </c>
    </row>
    <row r="9333" spans="8:18" x14ac:dyDescent="0.2">
      <c r="H9333" s="180"/>
      <c r="P9333" s="180" t="s">
        <v>257</v>
      </c>
      <c r="R9333" s="180" t="s">
        <v>257</v>
      </c>
    </row>
    <row r="9334" spans="8:18" x14ac:dyDescent="0.2">
      <c r="H9334" s="180"/>
      <c r="P9334" s="180" t="s">
        <v>257</v>
      </c>
      <c r="R9334" s="180" t="s">
        <v>257</v>
      </c>
    </row>
    <row r="9335" spans="8:18" x14ac:dyDescent="0.2">
      <c r="H9335" s="180"/>
      <c r="P9335" s="180" t="s">
        <v>257</v>
      </c>
      <c r="R9335" s="180" t="s">
        <v>257</v>
      </c>
    </row>
    <row r="9336" spans="8:18" x14ac:dyDescent="0.2">
      <c r="H9336" s="180"/>
      <c r="P9336" s="180" t="s">
        <v>257</v>
      </c>
      <c r="R9336" s="180" t="s">
        <v>257</v>
      </c>
    </row>
    <row r="9337" spans="8:18" x14ac:dyDescent="0.2">
      <c r="H9337" s="180"/>
      <c r="P9337" s="180" t="s">
        <v>257</v>
      </c>
      <c r="R9337" s="180" t="s">
        <v>257</v>
      </c>
    </row>
    <row r="9338" spans="8:18" x14ac:dyDescent="0.2">
      <c r="H9338" s="180"/>
      <c r="P9338" s="180" t="s">
        <v>257</v>
      </c>
      <c r="R9338" s="180" t="s">
        <v>257</v>
      </c>
    </row>
    <row r="9339" spans="8:18" x14ac:dyDescent="0.2">
      <c r="H9339" s="180"/>
      <c r="P9339" s="180" t="s">
        <v>257</v>
      </c>
      <c r="R9339" s="180" t="s">
        <v>257</v>
      </c>
    </row>
    <row r="9340" spans="8:18" x14ac:dyDescent="0.2">
      <c r="H9340" s="180"/>
      <c r="P9340" s="180" t="s">
        <v>257</v>
      </c>
      <c r="R9340" s="180" t="s">
        <v>257</v>
      </c>
    </row>
    <row r="9341" spans="8:18" x14ac:dyDescent="0.2">
      <c r="H9341" s="180"/>
      <c r="P9341" s="180" t="s">
        <v>257</v>
      </c>
      <c r="R9341" s="180" t="s">
        <v>257</v>
      </c>
    </row>
    <row r="9342" spans="8:18" x14ac:dyDescent="0.2">
      <c r="H9342" s="180"/>
      <c r="P9342" s="180" t="s">
        <v>257</v>
      </c>
      <c r="R9342" s="180" t="s">
        <v>257</v>
      </c>
    </row>
    <row r="9343" spans="8:18" x14ac:dyDescent="0.2">
      <c r="H9343" s="180"/>
      <c r="P9343" s="180" t="s">
        <v>257</v>
      </c>
      <c r="R9343" s="180" t="s">
        <v>257</v>
      </c>
    </row>
    <row r="9344" spans="8:18" x14ac:dyDescent="0.2">
      <c r="H9344" s="180"/>
      <c r="P9344" s="180" t="s">
        <v>257</v>
      </c>
      <c r="R9344" s="180" t="s">
        <v>257</v>
      </c>
    </row>
    <row r="9345" spans="8:18" x14ac:dyDescent="0.2">
      <c r="H9345" s="180"/>
      <c r="P9345" s="180" t="s">
        <v>257</v>
      </c>
      <c r="R9345" s="180" t="s">
        <v>257</v>
      </c>
    </row>
    <row r="9346" spans="8:18" x14ac:dyDescent="0.2">
      <c r="H9346" s="180"/>
      <c r="P9346" s="180" t="s">
        <v>257</v>
      </c>
      <c r="R9346" s="180" t="s">
        <v>257</v>
      </c>
    </row>
    <row r="9347" spans="8:18" x14ac:dyDescent="0.2">
      <c r="H9347" s="180"/>
      <c r="P9347" s="180" t="s">
        <v>257</v>
      </c>
      <c r="R9347" s="180" t="s">
        <v>257</v>
      </c>
    </row>
    <row r="9348" spans="8:18" x14ac:dyDescent="0.2">
      <c r="H9348" s="180"/>
      <c r="P9348" s="180" t="s">
        <v>257</v>
      </c>
      <c r="R9348" s="180" t="s">
        <v>257</v>
      </c>
    </row>
    <row r="9349" spans="8:18" x14ac:dyDescent="0.2">
      <c r="H9349" s="180"/>
      <c r="P9349" s="180" t="s">
        <v>257</v>
      </c>
      <c r="R9349" s="180" t="s">
        <v>257</v>
      </c>
    </row>
    <row r="9350" spans="8:18" x14ac:dyDescent="0.2">
      <c r="H9350" s="180"/>
      <c r="P9350" s="180" t="s">
        <v>257</v>
      </c>
      <c r="R9350" s="180" t="s">
        <v>257</v>
      </c>
    </row>
    <row r="9351" spans="8:18" x14ac:dyDescent="0.2">
      <c r="H9351" s="180"/>
      <c r="P9351" s="180" t="s">
        <v>257</v>
      </c>
      <c r="R9351" s="180" t="s">
        <v>257</v>
      </c>
    </row>
    <row r="9352" spans="8:18" x14ac:dyDescent="0.2">
      <c r="H9352" s="180"/>
      <c r="P9352" s="180" t="s">
        <v>257</v>
      </c>
      <c r="R9352" s="180" t="s">
        <v>257</v>
      </c>
    </row>
    <row r="9353" spans="8:18" x14ac:dyDescent="0.2">
      <c r="H9353" s="180"/>
      <c r="P9353" s="180" t="s">
        <v>257</v>
      </c>
      <c r="R9353" s="180" t="s">
        <v>257</v>
      </c>
    </row>
    <row r="9354" spans="8:18" x14ac:dyDescent="0.2">
      <c r="H9354" s="180"/>
      <c r="P9354" s="180" t="s">
        <v>257</v>
      </c>
      <c r="R9354" s="180" t="s">
        <v>257</v>
      </c>
    </row>
    <row r="9355" spans="8:18" x14ac:dyDescent="0.2">
      <c r="H9355" s="180"/>
      <c r="P9355" s="180" t="s">
        <v>257</v>
      </c>
      <c r="R9355" s="180" t="s">
        <v>257</v>
      </c>
    </row>
    <row r="9356" spans="8:18" x14ac:dyDescent="0.2">
      <c r="H9356" s="180"/>
      <c r="P9356" s="180" t="s">
        <v>257</v>
      </c>
      <c r="R9356" s="180" t="s">
        <v>257</v>
      </c>
    </row>
    <row r="9357" spans="8:18" x14ac:dyDescent="0.2">
      <c r="H9357" s="180"/>
      <c r="P9357" s="180" t="s">
        <v>257</v>
      </c>
      <c r="R9357" s="180" t="s">
        <v>257</v>
      </c>
    </row>
    <row r="9358" spans="8:18" x14ac:dyDescent="0.2">
      <c r="H9358" s="180"/>
      <c r="P9358" s="180" t="s">
        <v>257</v>
      </c>
      <c r="R9358" s="180" t="s">
        <v>257</v>
      </c>
    </row>
    <row r="9359" spans="8:18" x14ac:dyDescent="0.2">
      <c r="H9359" s="180"/>
      <c r="P9359" s="180" t="s">
        <v>257</v>
      </c>
      <c r="R9359" s="180" t="s">
        <v>257</v>
      </c>
    </row>
    <row r="9360" spans="8:18" x14ac:dyDescent="0.2">
      <c r="H9360" s="180"/>
      <c r="P9360" s="180" t="s">
        <v>257</v>
      </c>
      <c r="R9360" s="180" t="s">
        <v>257</v>
      </c>
    </row>
    <row r="9361" spans="8:18" x14ac:dyDescent="0.2">
      <c r="H9361" s="180"/>
      <c r="P9361" s="180" t="s">
        <v>257</v>
      </c>
      <c r="R9361" s="180" t="s">
        <v>257</v>
      </c>
    </row>
    <row r="9362" spans="8:18" x14ac:dyDescent="0.2">
      <c r="H9362" s="180"/>
      <c r="P9362" s="180" t="s">
        <v>257</v>
      </c>
      <c r="R9362" s="180" t="s">
        <v>257</v>
      </c>
    </row>
    <row r="9363" spans="8:18" x14ac:dyDescent="0.2">
      <c r="H9363" s="180"/>
      <c r="P9363" s="180" t="s">
        <v>257</v>
      </c>
      <c r="R9363" s="180" t="s">
        <v>257</v>
      </c>
    </row>
    <row r="9364" spans="8:18" x14ac:dyDescent="0.2">
      <c r="H9364" s="180"/>
      <c r="P9364" s="180" t="s">
        <v>257</v>
      </c>
      <c r="R9364" s="180" t="s">
        <v>257</v>
      </c>
    </row>
    <row r="9365" spans="8:18" x14ac:dyDescent="0.2">
      <c r="H9365" s="180"/>
      <c r="P9365" s="180" t="s">
        <v>257</v>
      </c>
      <c r="R9365" s="180" t="s">
        <v>257</v>
      </c>
    </row>
    <row r="9366" spans="8:18" x14ac:dyDescent="0.2">
      <c r="H9366" s="180"/>
      <c r="P9366" s="180" t="s">
        <v>257</v>
      </c>
      <c r="R9366" s="180" t="s">
        <v>257</v>
      </c>
    </row>
    <row r="9367" spans="8:18" x14ac:dyDescent="0.2">
      <c r="H9367" s="180"/>
      <c r="P9367" s="180" t="s">
        <v>257</v>
      </c>
      <c r="R9367" s="180" t="s">
        <v>257</v>
      </c>
    </row>
    <row r="9368" spans="8:18" x14ac:dyDescent="0.2">
      <c r="H9368" s="180"/>
      <c r="P9368" s="180" t="s">
        <v>257</v>
      </c>
      <c r="R9368" s="180" t="s">
        <v>257</v>
      </c>
    </row>
    <row r="9369" spans="8:18" x14ac:dyDescent="0.2">
      <c r="H9369" s="180"/>
      <c r="P9369" s="180" t="s">
        <v>257</v>
      </c>
      <c r="R9369" s="180" t="s">
        <v>257</v>
      </c>
    </row>
    <row r="9370" spans="8:18" x14ac:dyDescent="0.2">
      <c r="H9370" s="180"/>
      <c r="P9370" s="180" t="s">
        <v>257</v>
      </c>
      <c r="R9370" s="180" t="s">
        <v>257</v>
      </c>
    </row>
    <row r="9371" spans="8:18" x14ac:dyDescent="0.2">
      <c r="H9371" s="180"/>
      <c r="P9371" s="180" t="s">
        <v>257</v>
      </c>
      <c r="R9371" s="180" t="s">
        <v>257</v>
      </c>
    </row>
    <row r="9372" spans="8:18" x14ac:dyDescent="0.2">
      <c r="H9372" s="180"/>
      <c r="P9372" s="180" t="s">
        <v>257</v>
      </c>
      <c r="R9372" s="180" t="s">
        <v>257</v>
      </c>
    </row>
    <row r="9373" spans="8:18" x14ac:dyDescent="0.2">
      <c r="H9373" s="180"/>
      <c r="P9373" s="180" t="s">
        <v>257</v>
      </c>
      <c r="R9373" s="180" t="s">
        <v>257</v>
      </c>
    </row>
    <row r="9374" spans="8:18" x14ac:dyDescent="0.2">
      <c r="H9374" s="180"/>
      <c r="P9374" s="180" t="s">
        <v>257</v>
      </c>
      <c r="R9374" s="180" t="s">
        <v>257</v>
      </c>
    </row>
    <row r="9375" spans="8:18" x14ac:dyDescent="0.2">
      <c r="H9375" s="180"/>
      <c r="P9375" s="180" t="s">
        <v>257</v>
      </c>
      <c r="R9375" s="180" t="s">
        <v>257</v>
      </c>
    </row>
    <row r="9376" spans="8:18" x14ac:dyDescent="0.2">
      <c r="H9376" s="180"/>
      <c r="P9376" s="180" t="s">
        <v>257</v>
      </c>
      <c r="R9376" s="180" t="s">
        <v>257</v>
      </c>
    </row>
    <row r="9377" spans="8:18" x14ac:dyDescent="0.2">
      <c r="H9377" s="180"/>
      <c r="P9377" s="180" t="s">
        <v>257</v>
      </c>
      <c r="R9377" s="180" t="s">
        <v>257</v>
      </c>
    </row>
    <row r="9378" spans="8:18" x14ac:dyDescent="0.2">
      <c r="H9378" s="180"/>
      <c r="P9378" s="180" t="s">
        <v>257</v>
      </c>
      <c r="R9378" s="180" t="s">
        <v>257</v>
      </c>
    </row>
    <row r="9379" spans="8:18" x14ac:dyDescent="0.2">
      <c r="H9379" s="180"/>
      <c r="P9379" s="180" t="s">
        <v>257</v>
      </c>
      <c r="R9379" s="180" t="s">
        <v>257</v>
      </c>
    </row>
    <row r="9380" spans="8:18" x14ac:dyDescent="0.2">
      <c r="H9380" s="180"/>
      <c r="P9380" s="180" t="s">
        <v>257</v>
      </c>
      <c r="R9380" s="180" t="s">
        <v>257</v>
      </c>
    </row>
    <row r="9381" spans="8:18" x14ac:dyDescent="0.2">
      <c r="H9381" s="180"/>
      <c r="P9381" s="180" t="s">
        <v>257</v>
      </c>
      <c r="R9381" s="180" t="s">
        <v>257</v>
      </c>
    </row>
    <row r="9382" spans="8:18" x14ac:dyDescent="0.2">
      <c r="H9382" s="180"/>
      <c r="P9382" s="180" t="s">
        <v>257</v>
      </c>
      <c r="R9382" s="180" t="s">
        <v>257</v>
      </c>
    </row>
    <row r="9383" spans="8:18" x14ac:dyDescent="0.2">
      <c r="H9383" s="180"/>
      <c r="P9383" s="180" t="s">
        <v>257</v>
      </c>
      <c r="R9383" s="180" t="s">
        <v>257</v>
      </c>
    </row>
    <row r="9384" spans="8:18" x14ac:dyDescent="0.2">
      <c r="H9384" s="180"/>
      <c r="P9384" s="180" t="s">
        <v>257</v>
      </c>
      <c r="R9384" s="180" t="s">
        <v>257</v>
      </c>
    </row>
    <row r="9385" spans="8:18" x14ac:dyDescent="0.2">
      <c r="H9385" s="180"/>
      <c r="P9385" s="180" t="s">
        <v>257</v>
      </c>
      <c r="R9385" s="180" t="s">
        <v>257</v>
      </c>
    </row>
    <row r="9386" spans="8:18" x14ac:dyDescent="0.2">
      <c r="H9386" s="180"/>
      <c r="P9386" s="180" t="s">
        <v>257</v>
      </c>
      <c r="R9386" s="180" t="s">
        <v>257</v>
      </c>
    </row>
    <row r="9387" spans="8:18" x14ac:dyDescent="0.2">
      <c r="H9387" s="180"/>
      <c r="P9387" s="180" t="s">
        <v>257</v>
      </c>
      <c r="R9387" s="180" t="s">
        <v>257</v>
      </c>
    </row>
    <row r="9388" spans="8:18" x14ac:dyDescent="0.2">
      <c r="H9388" s="180"/>
      <c r="P9388" s="180" t="s">
        <v>257</v>
      </c>
      <c r="R9388" s="180" t="s">
        <v>257</v>
      </c>
    </row>
    <row r="9389" spans="8:18" x14ac:dyDescent="0.2">
      <c r="H9389" s="180"/>
      <c r="P9389" s="180" t="s">
        <v>257</v>
      </c>
      <c r="R9389" s="180" t="s">
        <v>257</v>
      </c>
    </row>
    <row r="9390" spans="8:18" x14ac:dyDescent="0.2">
      <c r="H9390" s="180"/>
      <c r="P9390" s="180" t="s">
        <v>257</v>
      </c>
      <c r="R9390" s="180" t="s">
        <v>257</v>
      </c>
    </row>
    <row r="9391" spans="8:18" x14ac:dyDescent="0.2">
      <c r="H9391" s="180"/>
      <c r="P9391" s="180" t="s">
        <v>257</v>
      </c>
      <c r="R9391" s="180" t="s">
        <v>257</v>
      </c>
    </row>
    <row r="9392" spans="8:18" x14ac:dyDescent="0.2">
      <c r="H9392" s="180"/>
      <c r="P9392" s="180" t="s">
        <v>257</v>
      </c>
      <c r="R9392" s="180" t="s">
        <v>257</v>
      </c>
    </row>
    <row r="9393" spans="8:18" x14ac:dyDescent="0.2">
      <c r="H9393" s="180"/>
      <c r="P9393" s="180" t="s">
        <v>257</v>
      </c>
      <c r="R9393" s="180" t="s">
        <v>257</v>
      </c>
    </row>
    <row r="9394" spans="8:18" x14ac:dyDescent="0.2">
      <c r="H9394" s="180"/>
      <c r="P9394" s="180" t="s">
        <v>257</v>
      </c>
      <c r="R9394" s="180" t="s">
        <v>257</v>
      </c>
    </row>
    <row r="9395" spans="8:18" x14ac:dyDescent="0.2">
      <c r="H9395" s="180"/>
      <c r="P9395" s="180" t="s">
        <v>257</v>
      </c>
      <c r="R9395" s="180" t="s">
        <v>257</v>
      </c>
    </row>
    <row r="9396" spans="8:18" x14ac:dyDescent="0.2">
      <c r="H9396" s="180"/>
      <c r="P9396" s="180" t="s">
        <v>257</v>
      </c>
      <c r="R9396" s="180" t="s">
        <v>257</v>
      </c>
    </row>
    <row r="9397" spans="8:18" x14ac:dyDescent="0.2">
      <c r="H9397" s="180"/>
      <c r="P9397" s="180" t="s">
        <v>257</v>
      </c>
      <c r="R9397" s="180" t="s">
        <v>257</v>
      </c>
    </row>
    <row r="9398" spans="8:18" x14ac:dyDescent="0.2">
      <c r="H9398" s="180"/>
      <c r="P9398" s="180" t="s">
        <v>257</v>
      </c>
      <c r="R9398" s="180" t="s">
        <v>257</v>
      </c>
    </row>
    <row r="9399" spans="8:18" x14ac:dyDescent="0.2">
      <c r="H9399" s="180"/>
      <c r="P9399" s="180" t="s">
        <v>257</v>
      </c>
      <c r="R9399" s="180" t="s">
        <v>257</v>
      </c>
    </row>
    <row r="9400" spans="8:18" x14ac:dyDescent="0.2">
      <c r="H9400" s="180"/>
      <c r="P9400" s="180" t="s">
        <v>257</v>
      </c>
      <c r="R9400" s="180" t="s">
        <v>257</v>
      </c>
    </row>
    <row r="9401" spans="8:18" x14ac:dyDescent="0.2">
      <c r="H9401" s="180"/>
      <c r="P9401" s="180" t="s">
        <v>257</v>
      </c>
      <c r="R9401" s="180" t="s">
        <v>257</v>
      </c>
    </row>
    <row r="9402" spans="8:18" x14ac:dyDescent="0.2">
      <c r="H9402" s="180"/>
      <c r="P9402" s="180" t="s">
        <v>257</v>
      </c>
      <c r="R9402" s="180" t="s">
        <v>257</v>
      </c>
    </row>
    <row r="9403" spans="8:18" x14ac:dyDescent="0.2">
      <c r="H9403" s="180"/>
      <c r="P9403" s="180" t="s">
        <v>257</v>
      </c>
      <c r="R9403" s="180" t="s">
        <v>257</v>
      </c>
    </row>
    <row r="9404" spans="8:18" x14ac:dyDescent="0.2">
      <c r="H9404" s="180"/>
      <c r="P9404" s="180" t="s">
        <v>257</v>
      </c>
      <c r="R9404" s="180" t="s">
        <v>257</v>
      </c>
    </row>
    <row r="9405" spans="8:18" x14ac:dyDescent="0.2">
      <c r="H9405" s="180"/>
      <c r="P9405" s="180" t="s">
        <v>257</v>
      </c>
      <c r="R9405" s="180" t="s">
        <v>257</v>
      </c>
    </row>
    <row r="9406" spans="8:18" x14ac:dyDescent="0.2">
      <c r="H9406" s="180"/>
      <c r="P9406" s="180" t="s">
        <v>257</v>
      </c>
      <c r="R9406" s="180" t="s">
        <v>257</v>
      </c>
    </row>
    <row r="9407" spans="8:18" x14ac:dyDescent="0.2">
      <c r="H9407" s="180"/>
      <c r="P9407" s="180" t="s">
        <v>257</v>
      </c>
      <c r="R9407" s="180" t="s">
        <v>257</v>
      </c>
    </row>
    <row r="9408" spans="8:18" x14ac:dyDescent="0.2">
      <c r="H9408" s="180"/>
      <c r="P9408" s="180" t="s">
        <v>257</v>
      </c>
      <c r="R9408" s="180" t="s">
        <v>257</v>
      </c>
    </row>
    <row r="9409" spans="8:18" x14ac:dyDescent="0.2">
      <c r="H9409" s="180"/>
      <c r="P9409" s="180" t="s">
        <v>257</v>
      </c>
      <c r="R9409" s="180" t="s">
        <v>257</v>
      </c>
    </row>
    <row r="9410" spans="8:18" x14ac:dyDescent="0.2">
      <c r="H9410" s="180"/>
      <c r="P9410" s="180" t="s">
        <v>257</v>
      </c>
      <c r="R9410" s="180" t="s">
        <v>257</v>
      </c>
    </row>
    <row r="9411" spans="8:18" x14ac:dyDescent="0.2">
      <c r="H9411" s="180"/>
      <c r="P9411" s="180" t="s">
        <v>257</v>
      </c>
      <c r="R9411" s="180" t="s">
        <v>257</v>
      </c>
    </row>
    <row r="9412" spans="8:18" x14ac:dyDescent="0.2">
      <c r="H9412" s="180"/>
      <c r="P9412" s="180" t="s">
        <v>257</v>
      </c>
      <c r="R9412" s="180" t="s">
        <v>257</v>
      </c>
    </row>
    <row r="9413" spans="8:18" x14ac:dyDescent="0.2">
      <c r="H9413" s="180"/>
      <c r="P9413" s="180" t="s">
        <v>257</v>
      </c>
      <c r="R9413" s="180" t="s">
        <v>257</v>
      </c>
    </row>
    <row r="9414" spans="8:18" x14ac:dyDescent="0.2">
      <c r="H9414" s="180"/>
      <c r="P9414" s="180" t="s">
        <v>257</v>
      </c>
      <c r="R9414" s="180" t="s">
        <v>257</v>
      </c>
    </row>
    <row r="9415" spans="8:18" x14ac:dyDescent="0.2">
      <c r="H9415" s="180"/>
      <c r="P9415" s="180" t="s">
        <v>257</v>
      </c>
      <c r="R9415" s="180" t="s">
        <v>257</v>
      </c>
    </row>
    <row r="9416" spans="8:18" x14ac:dyDescent="0.2">
      <c r="H9416" s="180"/>
      <c r="P9416" s="180" t="s">
        <v>257</v>
      </c>
      <c r="R9416" s="180" t="s">
        <v>257</v>
      </c>
    </row>
    <row r="9417" spans="8:18" x14ac:dyDescent="0.2">
      <c r="H9417" s="180"/>
      <c r="P9417" s="180" t="s">
        <v>257</v>
      </c>
      <c r="R9417" s="180" t="s">
        <v>257</v>
      </c>
    </row>
    <row r="9418" spans="8:18" x14ac:dyDescent="0.2">
      <c r="H9418" s="180"/>
      <c r="P9418" s="180" t="s">
        <v>257</v>
      </c>
      <c r="R9418" s="180" t="s">
        <v>257</v>
      </c>
    </row>
    <row r="9419" spans="8:18" x14ac:dyDescent="0.2">
      <c r="H9419" s="180"/>
      <c r="P9419" s="180" t="s">
        <v>257</v>
      </c>
      <c r="R9419" s="180" t="s">
        <v>257</v>
      </c>
    </row>
    <row r="9420" spans="8:18" x14ac:dyDescent="0.2">
      <c r="H9420" s="180"/>
      <c r="P9420" s="180" t="s">
        <v>257</v>
      </c>
      <c r="R9420" s="180" t="s">
        <v>257</v>
      </c>
    </row>
    <row r="9421" spans="8:18" x14ac:dyDescent="0.2">
      <c r="H9421" s="180"/>
      <c r="P9421" s="180" t="s">
        <v>257</v>
      </c>
      <c r="R9421" s="180" t="s">
        <v>257</v>
      </c>
    </row>
    <row r="9422" spans="8:18" x14ac:dyDescent="0.2">
      <c r="H9422" s="180"/>
      <c r="P9422" s="180" t="s">
        <v>257</v>
      </c>
      <c r="R9422" s="180" t="s">
        <v>257</v>
      </c>
    </row>
    <row r="9423" spans="8:18" x14ac:dyDescent="0.2">
      <c r="H9423" s="180"/>
      <c r="P9423" s="180" t="s">
        <v>257</v>
      </c>
      <c r="R9423" s="180" t="s">
        <v>257</v>
      </c>
    </row>
    <row r="9424" spans="8:18" x14ac:dyDescent="0.2">
      <c r="H9424" s="180"/>
      <c r="P9424" s="180" t="s">
        <v>257</v>
      </c>
      <c r="R9424" s="180" t="s">
        <v>257</v>
      </c>
    </row>
    <row r="9425" spans="8:18" x14ac:dyDescent="0.2">
      <c r="H9425" s="180"/>
      <c r="P9425" s="180" t="s">
        <v>257</v>
      </c>
      <c r="R9425" s="180" t="s">
        <v>257</v>
      </c>
    </row>
    <row r="9426" spans="8:18" x14ac:dyDescent="0.2">
      <c r="H9426" s="180"/>
      <c r="P9426" s="180" t="s">
        <v>257</v>
      </c>
      <c r="R9426" s="180" t="s">
        <v>257</v>
      </c>
    </row>
    <row r="9427" spans="8:18" x14ac:dyDescent="0.2">
      <c r="H9427" s="180"/>
      <c r="P9427" s="180" t="s">
        <v>257</v>
      </c>
      <c r="R9427" s="180" t="s">
        <v>257</v>
      </c>
    </row>
    <row r="9428" spans="8:18" x14ac:dyDescent="0.2">
      <c r="H9428" s="180"/>
      <c r="P9428" s="180" t="s">
        <v>257</v>
      </c>
      <c r="R9428" s="180" t="s">
        <v>257</v>
      </c>
    </row>
    <row r="9429" spans="8:18" x14ac:dyDescent="0.2">
      <c r="H9429" s="180"/>
      <c r="P9429" s="180" t="s">
        <v>257</v>
      </c>
      <c r="R9429" s="180" t="s">
        <v>257</v>
      </c>
    </row>
    <row r="9430" spans="8:18" x14ac:dyDescent="0.2">
      <c r="H9430" s="180"/>
      <c r="P9430" s="180" t="s">
        <v>257</v>
      </c>
      <c r="R9430" s="180" t="s">
        <v>257</v>
      </c>
    </row>
    <row r="9431" spans="8:18" x14ac:dyDescent="0.2">
      <c r="H9431" s="180"/>
      <c r="P9431" s="180" t="s">
        <v>257</v>
      </c>
      <c r="R9431" s="180" t="s">
        <v>257</v>
      </c>
    </row>
    <row r="9432" spans="8:18" x14ac:dyDescent="0.2">
      <c r="H9432" s="180"/>
      <c r="P9432" s="180" t="s">
        <v>257</v>
      </c>
      <c r="R9432" s="180" t="s">
        <v>257</v>
      </c>
    </row>
    <row r="9433" spans="8:18" x14ac:dyDescent="0.2">
      <c r="H9433" s="180"/>
      <c r="P9433" s="180" t="s">
        <v>257</v>
      </c>
      <c r="R9433" s="180" t="s">
        <v>257</v>
      </c>
    </row>
    <row r="9434" spans="8:18" x14ac:dyDescent="0.2">
      <c r="H9434" s="180"/>
      <c r="P9434" s="180" t="s">
        <v>257</v>
      </c>
      <c r="R9434" s="180" t="s">
        <v>257</v>
      </c>
    </row>
    <row r="9435" spans="8:18" x14ac:dyDescent="0.2">
      <c r="H9435" s="180"/>
      <c r="P9435" s="180" t="s">
        <v>257</v>
      </c>
      <c r="R9435" s="180" t="s">
        <v>257</v>
      </c>
    </row>
    <row r="9436" spans="8:18" x14ac:dyDescent="0.2">
      <c r="H9436" s="180"/>
      <c r="P9436" s="180" t="s">
        <v>257</v>
      </c>
      <c r="R9436" s="180" t="s">
        <v>257</v>
      </c>
    </row>
    <row r="9437" spans="8:18" x14ac:dyDescent="0.2">
      <c r="H9437" s="180"/>
      <c r="P9437" s="180" t="s">
        <v>257</v>
      </c>
      <c r="R9437" s="180" t="s">
        <v>257</v>
      </c>
    </row>
    <row r="9438" spans="8:18" x14ac:dyDescent="0.2">
      <c r="H9438" s="180"/>
      <c r="P9438" s="180" t="s">
        <v>257</v>
      </c>
      <c r="R9438" s="180" t="s">
        <v>257</v>
      </c>
    </row>
    <row r="9439" spans="8:18" x14ac:dyDescent="0.2">
      <c r="H9439" s="180"/>
      <c r="P9439" s="180" t="s">
        <v>257</v>
      </c>
      <c r="R9439" s="180" t="s">
        <v>257</v>
      </c>
    </row>
    <row r="9440" spans="8:18" x14ac:dyDescent="0.2">
      <c r="H9440" s="180"/>
      <c r="P9440" s="180" t="s">
        <v>257</v>
      </c>
      <c r="R9440" s="180" t="s">
        <v>257</v>
      </c>
    </row>
    <row r="9441" spans="8:18" x14ac:dyDescent="0.2">
      <c r="H9441" s="180"/>
      <c r="P9441" s="180" t="s">
        <v>257</v>
      </c>
      <c r="R9441" s="180" t="s">
        <v>257</v>
      </c>
    </row>
    <row r="9442" spans="8:18" x14ac:dyDescent="0.2">
      <c r="H9442" s="180"/>
      <c r="P9442" s="180" t="s">
        <v>257</v>
      </c>
      <c r="R9442" s="180" t="s">
        <v>257</v>
      </c>
    </row>
    <row r="9443" spans="8:18" x14ac:dyDescent="0.2">
      <c r="H9443" s="180"/>
      <c r="P9443" s="180" t="s">
        <v>257</v>
      </c>
      <c r="R9443" s="180" t="s">
        <v>257</v>
      </c>
    </row>
    <row r="9444" spans="8:18" x14ac:dyDescent="0.2">
      <c r="H9444" s="180"/>
      <c r="P9444" s="180" t="s">
        <v>257</v>
      </c>
      <c r="R9444" s="180" t="s">
        <v>257</v>
      </c>
    </row>
    <row r="9445" spans="8:18" x14ac:dyDescent="0.2">
      <c r="H9445" s="180"/>
      <c r="P9445" s="180" t="s">
        <v>257</v>
      </c>
      <c r="R9445" s="180" t="s">
        <v>257</v>
      </c>
    </row>
    <row r="9446" spans="8:18" x14ac:dyDescent="0.2">
      <c r="H9446" s="180"/>
      <c r="P9446" s="180" t="s">
        <v>257</v>
      </c>
      <c r="R9446" s="180" t="s">
        <v>257</v>
      </c>
    </row>
    <row r="9447" spans="8:18" x14ac:dyDescent="0.2">
      <c r="H9447" s="180"/>
      <c r="P9447" s="180" t="s">
        <v>257</v>
      </c>
      <c r="R9447" s="180" t="s">
        <v>257</v>
      </c>
    </row>
    <row r="9448" spans="8:18" x14ac:dyDescent="0.2">
      <c r="H9448" s="180"/>
      <c r="P9448" s="180" t="s">
        <v>257</v>
      </c>
      <c r="R9448" s="180" t="s">
        <v>257</v>
      </c>
    </row>
    <row r="9449" spans="8:18" x14ac:dyDescent="0.2">
      <c r="H9449" s="180"/>
      <c r="P9449" s="180" t="s">
        <v>257</v>
      </c>
      <c r="R9449" s="180" t="s">
        <v>257</v>
      </c>
    </row>
    <row r="9450" spans="8:18" x14ac:dyDescent="0.2">
      <c r="H9450" s="180"/>
      <c r="P9450" s="180" t="s">
        <v>257</v>
      </c>
      <c r="R9450" s="180" t="s">
        <v>257</v>
      </c>
    </row>
    <row r="9451" spans="8:18" x14ac:dyDescent="0.2">
      <c r="H9451" s="180"/>
      <c r="P9451" s="180" t="s">
        <v>257</v>
      </c>
      <c r="R9451" s="180" t="s">
        <v>257</v>
      </c>
    </row>
    <row r="9452" spans="8:18" x14ac:dyDescent="0.2">
      <c r="H9452" s="180"/>
      <c r="P9452" s="180" t="s">
        <v>257</v>
      </c>
      <c r="R9452" s="180" t="s">
        <v>257</v>
      </c>
    </row>
    <row r="9453" spans="8:18" x14ac:dyDescent="0.2">
      <c r="H9453" s="180"/>
      <c r="P9453" s="180" t="s">
        <v>257</v>
      </c>
      <c r="R9453" s="180" t="s">
        <v>257</v>
      </c>
    </row>
    <row r="9454" spans="8:18" x14ac:dyDescent="0.2">
      <c r="H9454" s="180"/>
      <c r="P9454" s="180" t="s">
        <v>257</v>
      </c>
      <c r="R9454" s="180" t="s">
        <v>257</v>
      </c>
    </row>
    <row r="9455" spans="8:18" x14ac:dyDescent="0.2">
      <c r="H9455" s="180"/>
      <c r="P9455" s="180" t="s">
        <v>257</v>
      </c>
      <c r="R9455" s="180" t="s">
        <v>257</v>
      </c>
    </row>
    <row r="9456" spans="8:18" x14ac:dyDescent="0.2">
      <c r="H9456" s="180"/>
      <c r="P9456" s="180" t="s">
        <v>257</v>
      </c>
      <c r="R9456" s="180" t="s">
        <v>257</v>
      </c>
    </row>
    <row r="9457" spans="8:18" x14ac:dyDescent="0.2">
      <c r="H9457" s="180"/>
      <c r="P9457" s="180" t="s">
        <v>257</v>
      </c>
      <c r="R9457" s="180" t="s">
        <v>257</v>
      </c>
    </row>
    <row r="9458" spans="8:18" x14ac:dyDescent="0.2">
      <c r="H9458" s="180"/>
      <c r="P9458" s="180" t="s">
        <v>257</v>
      </c>
      <c r="R9458" s="180" t="s">
        <v>257</v>
      </c>
    </row>
    <row r="9459" spans="8:18" x14ac:dyDescent="0.2">
      <c r="H9459" s="180"/>
      <c r="P9459" s="180" t="s">
        <v>257</v>
      </c>
      <c r="R9459" s="180" t="s">
        <v>257</v>
      </c>
    </row>
    <row r="9460" spans="8:18" x14ac:dyDescent="0.2">
      <c r="H9460" s="180"/>
      <c r="P9460" s="180" t="s">
        <v>257</v>
      </c>
      <c r="R9460" s="180" t="s">
        <v>257</v>
      </c>
    </row>
    <row r="9461" spans="8:18" x14ac:dyDescent="0.2">
      <c r="H9461" s="180"/>
      <c r="P9461" s="180" t="s">
        <v>257</v>
      </c>
      <c r="R9461" s="180" t="s">
        <v>257</v>
      </c>
    </row>
    <row r="9462" spans="8:18" x14ac:dyDescent="0.2">
      <c r="H9462" s="180"/>
      <c r="P9462" s="180" t="s">
        <v>257</v>
      </c>
      <c r="R9462" s="180" t="s">
        <v>257</v>
      </c>
    </row>
    <row r="9463" spans="8:18" x14ac:dyDescent="0.2">
      <c r="H9463" s="180"/>
      <c r="P9463" s="180" t="s">
        <v>257</v>
      </c>
      <c r="R9463" s="180" t="s">
        <v>257</v>
      </c>
    </row>
    <row r="9464" spans="8:18" x14ac:dyDescent="0.2">
      <c r="H9464" s="180"/>
      <c r="P9464" s="180" t="s">
        <v>257</v>
      </c>
      <c r="R9464" s="180" t="s">
        <v>257</v>
      </c>
    </row>
    <row r="9465" spans="8:18" x14ac:dyDescent="0.2">
      <c r="H9465" s="180"/>
      <c r="P9465" s="180" t="s">
        <v>257</v>
      </c>
      <c r="R9465" s="180" t="s">
        <v>257</v>
      </c>
    </row>
    <row r="9466" spans="8:18" x14ac:dyDescent="0.2">
      <c r="H9466" s="180"/>
      <c r="P9466" s="180" t="s">
        <v>257</v>
      </c>
      <c r="R9466" s="180" t="s">
        <v>257</v>
      </c>
    </row>
    <row r="9467" spans="8:18" x14ac:dyDescent="0.2">
      <c r="H9467" s="180"/>
      <c r="P9467" s="180" t="s">
        <v>257</v>
      </c>
      <c r="R9467" s="180" t="s">
        <v>257</v>
      </c>
    </row>
    <row r="9468" spans="8:18" x14ac:dyDescent="0.2">
      <c r="H9468" s="180"/>
      <c r="P9468" s="180" t="s">
        <v>257</v>
      </c>
      <c r="R9468" s="180" t="s">
        <v>257</v>
      </c>
    </row>
    <row r="9469" spans="8:18" x14ac:dyDescent="0.2">
      <c r="H9469" s="180"/>
      <c r="P9469" s="180" t="s">
        <v>257</v>
      </c>
      <c r="R9469" s="180" t="s">
        <v>257</v>
      </c>
    </row>
    <row r="9470" spans="8:18" x14ac:dyDescent="0.2">
      <c r="H9470" s="180"/>
      <c r="P9470" s="180" t="s">
        <v>257</v>
      </c>
      <c r="R9470" s="180" t="s">
        <v>257</v>
      </c>
    </row>
    <row r="9471" spans="8:18" x14ac:dyDescent="0.2">
      <c r="H9471" s="180"/>
      <c r="P9471" s="180" t="s">
        <v>257</v>
      </c>
      <c r="R9471" s="180" t="s">
        <v>257</v>
      </c>
    </row>
    <row r="9472" spans="8:18" x14ac:dyDescent="0.2">
      <c r="H9472" s="180"/>
      <c r="P9472" s="180" t="s">
        <v>257</v>
      </c>
      <c r="R9472" s="180" t="s">
        <v>257</v>
      </c>
    </row>
    <row r="9473" spans="8:18" x14ac:dyDescent="0.2">
      <c r="H9473" s="180"/>
      <c r="P9473" s="180" t="s">
        <v>257</v>
      </c>
      <c r="R9473" s="180" t="s">
        <v>257</v>
      </c>
    </row>
    <row r="9474" spans="8:18" x14ac:dyDescent="0.2">
      <c r="H9474" s="180"/>
      <c r="P9474" s="180" t="s">
        <v>257</v>
      </c>
      <c r="R9474" s="180" t="s">
        <v>257</v>
      </c>
    </row>
    <row r="9475" spans="8:18" x14ac:dyDescent="0.2">
      <c r="H9475" s="180"/>
      <c r="P9475" s="180" t="s">
        <v>257</v>
      </c>
      <c r="R9475" s="180" t="s">
        <v>257</v>
      </c>
    </row>
    <row r="9476" spans="8:18" x14ac:dyDescent="0.2">
      <c r="H9476" s="180"/>
      <c r="P9476" s="180" t="s">
        <v>257</v>
      </c>
      <c r="R9476" s="180" t="s">
        <v>257</v>
      </c>
    </row>
    <row r="9477" spans="8:18" x14ac:dyDescent="0.2">
      <c r="H9477" s="180"/>
      <c r="P9477" s="180" t="s">
        <v>257</v>
      </c>
      <c r="R9477" s="180" t="s">
        <v>257</v>
      </c>
    </row>
    <row r="9478" spans="8:18" x14ac:dyDescent="0.2">
      <c r="H9478" s="180"/>
      <c r="P9478" s="180" t="s">
        <v>257</v>
      </c>
      <c r="R9478" s="180" t="s">
        <v>257</v>
      </c>
    </row>
    <row r="9479" spans="8:18" x14ac:dyDescent="0.2">
      <c r="H9479" s="180"/>
      <c r="P9479" s="180" t="s">
        <v>257</v>
      </c>
      <c r="R9479" s="180" t="s">
        <v>257</v>
      </c>
    </row>
    <row r="9480" spans="8:18" x14ac:dyDescent="0.2">
      <c r="H9480" s="180"/>
      <c r="P9480" s="180" t="s">
        <v>257</v>
      </c>
      <c r="R9480" s="180" t="s">
        <v>257</v>
      </c>
    </row>
    <row r="9481" spans="8:18" x14ac:dyDescent="0.2">
      <c r="H9481" s="180"/>
      <c r="P9481" s="180" t="s">
        <v>257</v>
      </c>
      <c r="R9481" s="180" t="s">
        <v>257</v>
      </c>
    </row>
    <row r="9482" spans="8:18" x14ac:dyDescent="0.2">
      <c r="H9482" s="180"/>
      <c r="P9482" s="180" t="s">
        <v>257</v>
      </c>
      <c r="R9482" s="180" t="s">
        <v>257</v>
      </c>
    </row>
    <row r="9483" spans="8:18" x14ac:dyDescent="0.2">
      <c r="H9483" s="180"/>
      <c r="P9483" s="180" t="s">
        <v>257</v>
      </c>
      <c r="R9483" s="180" t="s">
        <v>257</v>
      </c>
    </row>
    <row r="9484" spans="8:18" x14ac:dyDescent="0.2">
      <c r="H9484" s="180"/>
      <c r="P9484" s="180" t="s">
        <v>257</v>
      </c>
      <c r="R9484" s="180" t="s">
        <v>257</v>
      </c>
    </row>
    <row r="9485" spans="8:18" x14ac:dyDescent="0.2">
      <c r="H9485" s="180"/>
      <c r="P9485" s="180" t="s">
        <v>257</v>
      </c>
      <c r="R9485" s="180" t="s">
        <v>257</v>
      </c>
    </row>
    <row r="9486" spans="8:18" x14ac:dyDescent="0.2">
      <c r="H9486" s="180"/>
      <c r="P9486" s="180" t="s">
        <v>257</v>
      </c>
      <c r="R9486" s="180" t="s">
        <v>257</v>
      </c>
    </row>
    <row r="9487" spans="8:18" x14ac:dyDescent="0.2">
      <c r="H9487" s="180"/>
      <c r="P9487" s="180" t="s">
        <v>257</v>
      </c>
      <c r="R9487" s="180" t="s">
        <v>257</v>
      </c>
    </row>
    <row r="9488" spans="8:18" x14ac:dyDescent="0.2">
      <c r="H9488" s="180"/>
      <c r="P9488" s="180" t="s">
        <v>257</v>
      </c>
      <c r="R9488" s="180" t="s">
        <v>257</v>
      </c>
    </row>
    <row r="9489" spans="8:18" x14ac:dyDescent="0.2">
      <c r="H9489" s="180"/>
      <c r="P9489" s="180" t="s">
        <v>257</v>
      </c>
      <c r="R9489" s="180" t="s">
        <v>257</v>
      </c>
    </row>
    <row r="9490" spans="8:18" x14ac:dyDescent="0.2">
      <c r="H9490" s="180"/>
      <c r="P9490" s="180" t="s">
        <v>257</v>
      </c>
      <c r="R9490" s="180" t="s">
        <v>257</v>
      </c>
    </row>
    <row r="9491" spans="8:18" x14ac:dyDescent="0.2">
      <c r="H9491" s="180"/>
      <c r="P9491" s="180" t="s">
        <v>257</v>
      </c>
      <c r="R9491" s="180" t="s">
        <v>257</v>
      </c>
    </row>
    <row r="9492" spans="8:18" x14ac:dyDescent="0.2">
      <c r="H9492" s="180"/>
      <c r="P9492" s="180" t="s">
        <v>257</v>
      </c>
      <c r="R9492" s="180" t="s">
        <v>257</v>
      </c>
    </row>
    <row r="9493" spans="8:18" x14ac:dyDescent="0.2">
      <c r="H9493" s="180"/>
      <c r="P9493" s="180" t="s">
        <v>257</v>
      </c>
      <c r="R9493" s="180" t="s">
        <v>257</v>
      </c>
    </row>
    <row r="9494" spans="8:18" x14ac:dyDescent="0.2">
      <c r="H9494" s="180"/>
      <c r="P9494" s="180" t="s">
        <v>257</v>
      </c>
      <c r="R9494" s="180" t="s">
        <v>257</v>
      </c>
    </row>
    <row r="9495" spans="8:18" x14ac:dyDescent="0.2">
      <c r="H9495" s="180"/>
      <c r="P9495" s="180" t="s">
        <v>257</v>
      </c>
      <c r="R9495" s="180" t="s">
        <v>257</v>
      </c>
    </row>
    <row r="9496" spans="8:18" x14ac:dyDescent="0.2">
      <c r="H9496" s="180"/>
      <c r="P9496" s="180" t="s">
        <v>257</v>
      </c>
      <c r="R9496" s="180" t="s">
        <v>257</v>
      </c>
    </row>
    <row r="9497" spans="8:18" x14ac:dyDescent="0.2">
      <c r="H9497" s="180"/>
      <c r="P9497" s="180" t="s">
        <v>257</v>
      </c>
      <c r="R9497" s="180" t="s">
        <v>257</v>
      </c>
    </row>
    <row r="9498" spans="8:18" x14ac:dyDescent="0.2">
      <c r="H9498" s="180"/>
      <c r="P9498" s="180" t="s">
        <v>257</v>
      </c>
      <c r="R9498" s="180" t="s">
        <v>257</v>
      </c>
    </row>
    <row r="9499" spans="8:18" x14ac:dyDescent="0.2">
      <c r="H9499" s="180"/>
      <c r="P9499" s="180" t="s">
        <v>257</v>
      </c>
      <c r="R9499" s="180" t="s">
        <v>257</v>
      </c>
    </row>
    <row r="9500" spans="8:18" x14ac:dyDescent="0.2">
      <c r="H9500" s="180"/>
      <c r="P9500" s="180" t="s">
        <v>257</v>
      </c>
      <c r="R9500" s="180" t="s">
        <v>257</v>
      </c>
    </row>
    <row r="9501" spans="8:18" x14ac:dyDescent="0.2">
      <c r="H9501" s="180"/>
      <c r="P9501" s="180" t="s">
        <v>257</v>
      </c>
      <c r="R9501" s="180" t="s">
        <v>257</v>
      </c>
    </row>
    <row r="9502" spans="8:18" x14ac:dyDescent="0.2">
      <c r="H9502" s="180"/>
      <c r="P9502" s="180" t="s">
        <v>257</v>
      </c>
      <c r="R9502" s="180" t="s">
        <v>257</v>
      </c>
    </row>
    <row r="9503" spans="8:18" x14ac:dyDescent="0.2">
      <c r="H9503" s="180"/>
      <c r="P9503" s="180" t="s">
        <v>257</v>
      </c>
      <c r="R9503" s="180" t="s">
        <v>257</v>
      </c>
    </row>
    <row r="9504" spans="8:18" x14ac:dyDescent="0.2">
      <c r="H9504" s="180"/>
      <c r="P9504" s="180" t="s">
        <v>257</v>
      </c>
      <c r="R9504" s="180" t="s">
        <v>257</v>
      </c>
    </row>
    <row r="9505" spans="8:18" x14ac:dyDescent="0.2">
      <c r="H9505" s="180"/>
      <c r="P9505" s="180" t="s">
        <v>257</v>
      </c>
      <c r="R9505" s="180" t="s">
        <v>257</v>
      </c>
    </row>
    <row r="9506" spans="8:18" x14ac:dyDescent="0.2">
      <c r="H9506" s="180"/>
      <c r="P9506" s="180" t="s">
        <v>257</v>
      </c>
      <c r="R9506" s="180" t="s">
        <v>257</v>
      </c>
    </row>
    <row r="9507" spans="8:18" x14ac:dyDescent="0.2">
      <c r="H9507" s="180"/>
      <c r="P9507" s="180" t="s">
        <v>257</v>
      </c>
      <c r="R9507" s="180" t="s">
        <v>257</v>
      </c>
    </row>
    <row r="9508" spans="8:18" x14ac:dyDescent="0.2">
      <c r="H9508" s="180"/>
      <c r="P9508" s="180" t="s">
        <v>257</v>
      </c>
      <c r="R9508" s="180" t="s">
        <v>257</v>
      </c>
    </row>
    <row r="9509" spans="8:18" x14ac:dyDescent="0.2">
      <c r="H9509" s="180"/>
      <c r="P9509" s="180" t="s">
        <v>257</v>
      </c>
      <c r="R9509" s="180" t="s">
        <v>257</v>
      </c>
    </row>
    <row r="9510" spans="8:18" x14ac:dyDescent="0.2">
      <c r="H9510" s="180"/>
      <c r="P9510" s="180" t="s">
        <v>257</v>
      </c>
      <c r="R9510" s="180" t="s">
        <v>257</v>
      </c>
    </row>
    <row r="9511" spans="8:18" x14ac:dyDescent="0.2">
      <c r="H9511" s="180"/>
      <c r="P9511" s="180" t="s">
        <v>257</v>
      </c>
      <c r="R9511" s="180" t="s">
        <v>257</v>
      </c>
    </row>
    <row r="9512" spans="8:18" x14ac:dyDescent="0.2">
      <c r="H9512" s="180"/>
      <c r="P9512" s="180" t="s">
        <v>257</v>
      </c>
      <c r="R9512" s="180" t="s">
        <v>257</v>
      </c>
    </row>
    <row r="9513" spans="8:18" x14ac:dyDescent="0.2">
      <c r="H9513" s="180"/>
      <c r="P9513" s="180" t="s">
        <v>257</v>
      </c>
      <c r="R9513" s="180" t="s">
        <v>257</v>
      </c>
    </row>
    <row r="9514" spans="8:18" x14ac:dyDescent="0.2">
      <c r="H9514" s="180"/>
      <c r="P9514" s="180" t="s">
        <v>257</v>
      </c>
      <c r="R9514" s="180" t="s">
        <v>257</v>
      </c>
    </row>
    <row r="9515" spans="8:18" x14ac:dyDescent="0.2">
      <c r="H9515" s="180"/>
      <c r="P9515" s="180" t="s">
        <v>257</v>
      </c>
      <c r="R9515" s="180" t="s">
        <v>257</v>
      </c>
    </row>
    <row r="9516" spans="8:18" x14ac:dyDescent="0.2">
      <c r="H9516" s="180"/>
      <c r="P9516" s="180" t="s">
        <v>257</v>
      </c>
      <c r="R9516" s="180" t="s">
        <v>257</v>
      </c>
    </row>
    <row r="9517" spans="8:18" x14ac:dyDescent="0.2">
      <c r="H9517" s="180"/>
      <c r="P9517" s="180" t="s">
        <v>257</v>
      </c>
      <c r="R9517" s="180" t="s">
        <v>257</v>
      </c>
    </row>
    <row r="9518" spans="8:18" x14ac:dyDescent="0.2">
      <c r="H9518" s="180"/>
      <c r="P9518" s="180" t="s">
        <v>257</v>
      </c>
      <c r="R9518" s="180" t="s">
        <v>257</v>
      </c>
    </row>
    <row r="9519" spans="8:18" x14ac:dyDescent="0.2">
      <c r="H9519" s="180"/>
      <c r="P9519" s="180" t="s">
        <v>257</v>
      </c>
      <c r="R9519" s="180" t="s">
        <v>257</v>
      </c>
    </row>
    <row r="9520" spans="8:18" x14ac:dyDescent="0.2">
      <c r="H9520" s="180"/>
      <c r="P9520" s="180" t="s">
        <v>257</v>
      </c>
      <c r="R9520" s="180" t="s">
        <v>257</v>
      </c>
    </row>
    <row r="9521" spans="8:18" x14ac:dyDescent="0.2">
      <c r="H9521" s="180"/>
      <c r="P9521" s="180" t="s">
        <v>257</v>
      </c>
      <c r="R9521" s="180" t="s">
        <v>257</v>
      </c>
    </row>
    <row r="9522" spans="8:18" x14ac:dyDescent="0.2">
      <c r="H9522" s="180"/>
      <c r="P9522" s="180" t="s">
        <v>257</v>
      </c>
      <c r="R9522" s="180" t="s">
        <v>257</v>
      </c>
    </row>
    <row r="9523" spans="8:18" x14ac:dyDescent="0.2">
      <c r="H9523" s="180"/>
      <c r="P9523" s="180" t="s">
        <v>257</v>
      </c>
      <c r="R9523" s="180" t="s">
        <v>257</v>
      </c>
    </row>
    <row r="9524" spans="8:18" x14ac:dyDescent="0.2">
      <c r="H9524" s="180"/>
      <c r="P9524" s="180" t="s">
        <v>257</v>
      </c>
      <c r="R9524" s="180" t="s">
        <v>257</v>
      </c>
    </row>
    <row r="9525" spans="8:18" x14ac:dyDescent="0.2">
      <c r="H9525" s="180"/>
      <c r="P9525" s="180" t="s">
        <v>257</v>
      </c>
      <c r="R9525" s="180" t="s">
        <v>257</v>
      </c>
    </row>
    <row r="9526" spans="8:18" x14ac:dyDescent="0.2">
      <c r="H9526" s="180"/>
      <c r="P9526" s="180" t="s">
        <v>257</v>
      </c>
      <c r="R9526" s="180" t="s">
        <v>257</v>
      </c>
    </row>
    <row r="9527" spans="8:18" x14ac:dyDescent="0.2">
      <c r="H9527" s="180"/>
      <c r="P9527" s="180" t="s">
        <v>257</v>
      </c>
      <c r="R9527" s="180" t="s">
        <v>257</v>
      </c>
    </row>
    <row r="9528" spans="8:18" x14ac:dyDescent="0.2">
      <c r="H9528" s="180"/>
      <c r="P9528" s="180" t="s">
        <v>257</v>
      </c>
      <c r="R9528" s="180" t="s">
        <v>257</v>
      </c>
    </row>
    <row r="9529" spans="8:18" x14ac:dyDescent="0.2">
      <c r="H9529" s="180"/>
      <c r="P9529" s="180" t="s">
        <v>257</v>
      </c>
      <c r="R9529" s="180" t="s">
        <v>257</v>
      </c>
    </row>
    <row r="9530" spans="8:18" x14ac:dyDescent="0.2">
      <c r="H9530" s="180"/>
      <c r="P9530" s="180" t="s">
        <v>257</v>
      </c>
      <c r="R9530" s="180" t="s">
        <v>257</v>
      </c>
    </row>
    <row r="9531" spans="8:18" x14ac:dyDescent="0.2">
      <c r="H9531" s="180"/>
      <c r="P9531" s="180" t="s">
        <v>257</v>
      </c>
      <c r="R9531" s="180" t="s">
        <v>257</v>
      </c>
    </row>
    <row r="9532" spans="8:18" x14ac:dyDescent="0.2">
      <c r="H9532" s="180"/>
      <c r="P9532" s="180" t="s">
        <v>257</v>
      </c>
      <c r="R9532" s="180" t="s">
        <v>257</v>
      </c>
    </row>
    <row r="9533" spans="8:18" x14ac:dyDescent="0.2">
      <c r="H9533" s="180"/>
      <c r="P9533" s="180" t="s">
        <v>257</v>
      </c>
      <c r="R9533" s="180" t="s">
        <v>257</v>
      </c>
    </row>
    <row r="9534" spans="8:18" x14ac:dyDescent="0.2">
      <c r="H9534" s="180"/>
      <c r="P9534" s="180" t="s">
        <v>257</v>
      </c>
      <c r="R9534" s="180" t="s">
        <v>257</v>
      </c>
    </row>
    <row r="9535" spans="8:18" x14ac:dyDescent="0.2">
      <c r="H9535" s="180"/>
      <c r="P9535" s="180" t="s">
        <v>257</v>
      </c>
      <c r="R9535" s="180" t="s">
        <v>257</v>
      </c>
    </row>
    <row r="9536" spans="8:18" x14ac:dyDescent="0.2">
      <c r="H9536" s="180"/>
      <c r="P9536" s="180" t="s">
        <v>257</v>
      </c>
      <c r="R9536" s="180" t="s">
        <v>257</v>
      </c>
    </row>
    <row r="9537" spans="8:18" x14ac:dyDescent="0.2">
      <c r="H9537" s="180"/>
      <c r="P9537" s="180" t="s">
        <v>257</v>
      </c>
      <c r="R9537" s="180" t="s">
        <v>257</v>
      </c>
    </row>
    <row r="9538" spans="8:18" x14ac:dyDescent="0.2">
      <c r="H9538" s="180"/>
      <c r="P9538" s="180" t="s">
        <v>257</v>
      </c>
      <c r="R9538" s="180" t="s">
        <v>257</v>
      </c>
    </row>
    <row r="9539" spans="8:18" x14ac:dyDescent="0.2">
      <c r="H9539" s="180"/>
      <c r="P9539" s="180" t="s">
        <v>257</v>
      </c>
      <c r="R9539" s="180" t="s">
        <v>257</v>
      </c>
    </row>
    <row r="9540" spans="8:18" x14ac:dyDescent="0.2">
      <c r="H9540" s="180"/>
      <c r="P9540" s="180" t="s">
        <v>257</v>
      </c>
      <c r="R9540" s="180" t="s">
        <v>257</v>
      </c>
    </row>
    <row r="9541" spans="8:18" x14ac:dyDescent="0.2">
      <c r="H9541" s="180"/>
      <c r="P9541" s="180" t="s">
        <v>257</v>
      </c>
      <c r="R9541" s="180" t="s">
        <v>257</v>
      </c>
    </row>
    <row r="9542" spans="8:18" x14ac:dyDescent="0.2">
      <c r="H9542" s="180"/>
      <c r="P9542" s="180" t="s">
        <v>257</v>
      </c>
      <c r="R9542" s="180" t="s">
        <v>257</v>
      </c>
    </row>
    <row r="9543" spans="8:18" x14ac:dyDescent="0.2">
      <c r="H9543" s="180"/>
      <c r="P9543" s="180" t="s">
        <v>257</v>
      </c>
      <c r="R9543" s="180" t="s">
        <v>257</v>
      </c>
    </row>
    <row r="9544" spans="8:18" x14ac:dyDescent="0.2">
      <c r="H9544" s="180"/>
      <c r="P9544" s="180" t="s">
        <v>257</v>
      </c>
      <c r="R9544" s="180" t="s">
        <v>257</v>
      </c>
    </row>
    <row r="9545" spans="8:18" x14ac:dyDescent="0.2">
      <c r="H9545" s="180"/>
      <c r="P9545" s="180" t="s">
        <v>257</v>
      </c>
      <c r="R9545" s="180" t="s">
        <v>257</v>
      </c>
    </row>
    <row r="9546" spans="8:18" x14ac:dyDescent="0.2">
      <c r="H9546" s="180"/>
      <c r="P9546" s="180" t="s">
        <v>257</v>
      </c>
      <c r="R9546" s="180" t="s">
        <v>257</v>
      </c>
    </row>
    <row r="9547" spans="8:18" x14ac:dyDescent="0.2">
      <c r="H9547" s="180"/>
      <c r="P9547" s="180" t="s">
        <v>257</v>
      </c>
      <c r="R9547" s="180" t="s">
        <v>257</v>
      </c>
    </row>
    <row r="9548" spans="8:18" x14ac:dyDescent="0.2">
      <c r="H9548" s="180"/>
      <c r="P9548" s="180" t="s">
        <v>257</v>
      </c>
      <c r="R9548" s="180" t="s">
        <v>257</v>
      </c>
    </row>
    <row r="9549" spans="8:18" x14ac:dyDescent="0.2">
      <c r="H9549" s="180"/>
      <c r="P9549" s="180" t="s">
        <v>257</v>
      </c>
      <c r="R9549" s="180" t="s">
        <v>257</v>
      </c>
    </row>
    <row r="9550" spans="8:18" x14ac:dyDescent="0.2">
      <c r="H9550" s="180"/>
      <c r="P9550" s="180" t="s">
        <v>257</v>
      </c>
      <c r="R9550" s="180" t="s">
        <v>257</v>
      </c>
    </row>
    <row r="9551" spans="8:18" x14ac:dyDescent="0.2">
      <c r="H9551" s="180"/>
      <c r="P9551" s="180" t="s">
        <v>257</v>
      </c>
      <c r="R9551" s="180" t="s">
        <v>257</v>
      </c>
    </row>
    <row r="9552" spans="8:18" x14ac:dyDescent="0.2">
      <c r="H9552" s="180"/>
      <c r="P9552" s="180" t="s">
        <v>257</v>
      </c>
      <c r="R9552" s="180" t="s">
        <v>257</v>
      </c>
    </row>
    <row r="9553" spans="8:18" x14ac:dyDescent="0.2">
      <c r="H9553" s="180"/>
      <c r="P9553" s="180" t="s">
        <v>257</v>
      </c>
      <c r="R9553" s="180" t="s">
        <v>257</v>
      </c>
    </row>
    <row r="9554" spans="8:18" x14ac:dyDescent="0.2">
      <c r="H9554" s="180"/>
      <c r="P9554" s="180" t="s">
        <v>257</v>
      </c>
      <c r="R9554" s="180" t="s">
        <v>257</v>
      </c>
    </row>
    <row r="9555" spans="8:18" x14ac:dyDescent="0.2">
      <c r="H9555" s="180"/>
      <c r="P9555" s="180" t="s">
        <v>257</v>
      </c>
      <c r="R9555" s="180" t="s">
        <v>257</v>
      </c>
    </row>
    <row r="9556" spans="8:18" x14ac:dyDescent="0.2">
      <c r="H9556" s="180"/>
      <c r="P9556" s="180" t="s">
        <v>257</v>
      </c>
      <c r="R9556" s="180" t="s">
        <v>257</v>
      </c>
    </row>
    <row r="9557" spans="8:18" x14ac:dyDescent="0.2">
      <c r="H9557" s="180"/>
      <c r="P9557" s="180" t="s">
        <v>257</v>
      </c>
      <c r="R9557" s="180" t="s">
        <v>257</v>
      </c>
    </row>
    <row r="9558" spans="8:18" x14ac:dyDescent="0.2">
      <c r="H9558" s="180"/>
      <c r="P9558" s="180" t="s">
        <v>257</v>
      </c>
      <c r="R9558" s="180" t="s">
        <v>257</v>
      </c>
    </row>
    <row r="9559" spans="8:18" x14ac:dyDescent="0.2">
      <c r="H9559" s="180"/>
      <c r="P9559" s="180" t="s">
        <v>257</v>
      </c>
      <c r="R9559" s="180" t="s">
        <v>257</v>
      </c>
    </row>
    <row r="9560" spans="8:18" x14ac:dyDescent="0.2">
      <c r="H9560" s="180"/>
      <c r="P9560" s="180" t="s">
        <v>257</v>
      </c>
      <c r="R9560" s="180" t="s">
        <v>257</v>
      </c>
    </row>
    <row r="9561" spans="8:18" x14ac:dyDescent="0.2">
      <c r="H9561" s="180"/>
      <c r="P9561" s="180" t="s">
        <v>257</v>
      </c>
      <c r="R9561" s="180" t="s">
        <v>257</v>
      </c>
    </row>
    <row r="9562" spans="8:18" x14ac:dyDescent="0.2">
      <c r="H9562" s="180"/>
      <c r="P9562" s="180" t="s">
        <v>257</v>
      </c>
      <c r="R9562" s="180" t="s">
        <v>257</v>
      </c>
    </row>
    <row r="9563" spans="8:18" x14ac:dyDescent="0.2">
      <c r="H9563" s="180"/>
      <c r="P9563" s="180" t="s">
        <v>257</v>
      </c>
      <c r="R9563" s="180" t="s">
        <v>257</v>
      </c>
    </row>
    <row r="9564" spans="8:18" x14ac:dyDescent="0.2">
      <c r="H9564" s="180"/>
      <c r="P9564" s="180" t="s">
        <v>257</v>
      </c>
      <c r="R9564" s="180" t="s">
        <v>257</v>
      </c>
    </row>
    <row r="9565" spans="8:18" x14ac:dyDescent="0.2">
      <c r="H9565" s="180"/>
      <c r="P9565" s="180" t="s">
        <v>257</v>
      </c>
      <c r="R9565" s="180" t="s">
        <v>257</v>
      </c>
    </row>
    <row r="9566" spans="8:18" x14ac:dyDescent="0.2">
      <c r="H9566" s="180"/>
      <c r="P9566" s="180" t="s">
        <v>257</v>
      </c>
      <c r="R9566" s="180" t="s">
        <v>257</v>
      </c>
    </row>
    <row r="9567" spans="8:18" x14ac:dyDescent="0.2">
      <c r="H9567" s="180"/>
      <c r="P9567" s="180" t="s">
        <v>257</v>
      </c>
      <c r="R9567" s="180" t="s">
        <v>257</v>
      </c>
    </row>
    <row r="9568" spans="8:18" x14ac:dyDescent="0.2">
      <c r="H9568" s="180"/>
      <c r="P9568" s="180" t="s">
        <v>257</v>
      </c>
      <c r="R9568" s="180" t="s">
        <v>257</v>
      </c>
    </row>
    <row r="9569" spans="8:18" x14ac:dyDescent="0.2">
      <c r="H9569" s="180"/>
      <c r="P9569" s="180" t="s">
        <v>257</v>
      </c>
      <c r="R9569" s="180" t="s">
        <v>257</v>
      </c>
    </row>
    <row r="9570" spans="8:18" x14ac:dyDescent="0.2">
      <c r="H9570" s="180"/>
      <c r="P9570" s="180" t="s">
        <v>257</v>
      </c>
      <c r="R9570" s="180" t="s">
        <v>257</v>
      </c>
    </row>
    <row r="9571" spans="8:18" x14ac:dyDescent="0.2">
      <c r="H9571" s="180"/>
      <c r="P9571" s="180" t="s">
        <v>257</v>
      </c>
      <c r="R9571" s="180" t="s">
        <v>257</v>
      </c>
    </row>
    <row r="9572" spans="8:18" x14ac:dyDescent="0.2">
      <c r="H9572" s="180"/>
      <c r="P9572" s="180" t="s">
        <v>257</v>
      </c>
      <c r="R9572" s="180" t="s">
        <v>257</v>
      </c>
    </row>
    <row r="9573" spans="8:18" x14ac:dyDescent="0.2">
      <c r="H9573" s="180"/>
      <c r="P9573" s="180" t="s">
        <v>257</v>
      </c>
      <c r="R9573" s="180" t="s">
        <v>257</v>
      </c>
    </row>
    <row r="9574" spans="8:18" x14ac:dyDescent="0.2">
      <c r="H9574" s="180"/>
      <c r="P9574" s="180" t="s">
        <v>257</v>
      </c>
      <c r="R9574" s="180" t="s">
        <v>257</v>
      </c>
    </row>
    <row r="9575" spans="8:18" x14ac:dyDescent="0.2">
      <c r="H9575" s="180"/>
      <c r="P9575" s="180" t="s">
        <v>257</v>
      </c>
      <c r="R9575" s="180" t="s">
        <v>257</v>
      </c>
    </row>
    <row r="9576" spans="8:18" x14ac:dyDescent="0.2">
      <c r="H9576" s="180"/>
      <c r="P9576" s="180" t="s">
        <v>257</v>
      </c>
      <c r="R9576" s="180" t="s">
        <v>257</v>
      </c>
    </row>
    <row r="9577" spans="8:18" x14ac:dyDescent="0.2">
      <c r="H9577" s="180"/>
      <c r="P9577" s="180" t="s">
        <v>257</v>
      </c>
      <c r="R9577" s="180" t="s">
        <v>257</v>
      </c>
    </row>
    <row r="9578" spans="8:18" x14ac:dyDescent="0.2">
      <c r="H9578" s="180"/>
      <c r="P9578" s="180" t="s">
        <v>257</v>
      </c>
      <c r="R9578" s="180" t="s">
        <v>257</v>
      </c>
    </row>
    <row r="9579" spans="8:18" x14ac:dyDescent="0.2">
      <c r="H9579" s="180"/>
      <c r="P9579" s="180" t="s">
        <v>257</v>
      </c>
      <c r="R9579" s="180" t="s">
        <v>257</v>
      </c>
    </row>
    <row r="9580" spans="8:18" x14ac:dyDescent="0.2">
      <c r="H9580" s="180"/>
      <c r="P9580" s="180" t="s">
        <v>257</v>
      </c>
      <c r="R9580" s="180" t="s">
        <v>257</v>
      </c>
    </row>
    <row r="9581" spans="8:18" x14ac:dyDescent="0.2">
      <c r="H9581" s="180"/>
      <c r="P9581" s="180" t="s">
        <v>257</v>
      </c>
      <c r="R9581" s="180" t="s">
        <v>257</v>
      </c>
    </row>
    <row r="9582" spans="8:18" x14ac:dyDescent="0.2">
      <c r="H9582" s="180"/>
      <c r="P9582" s="180" t="s">
        <v>257</v>
      </c>
      <c r="R9582" s="180" t="s">
        <v>257</v>
      </c>
    </row>
    <row r="9583" spans="8:18" x14ac:dyDescent="0.2">
      <c r="H9583" s="180"/>
      <c r="P9583" s="180" t="s">
        <v>257</v>
      </c>
      <c r="R9583" s="180" t="s">
        <v>257</v>
      </c>
    </row>
    <row r="9584" spans="8:18" x14ac:dyDescent="0.2">
      <c r="H9584" s="180"/>
      <c r="P9584" s="180" t="s">
        <v>257</v>
      </c>
      <c r="R9584" s="180" t="s">
        <v>257</v>
      </c>
    </row>
    <row r="9585" spans="8:18" x14ac:dyDescent="0.2">
      <c r="H9585" s="180"/>
      <c r="P9585" s="180" t="s">
        <v>257</v>
      </c>
      <c r="R9585" s="180" t="s">
        <v>257</v>
      </c>
    </row>
    <row r="9586" spans="8:18" x14ac:dyDescent="0.2">
      <c r="H9586" s="180"/>
      <c r="P9586" s="180" t="s">
        <v>257</v>
      </c>
      <c r="R9586" s="180" t="s">
        <v>257</v>
      </c>
    </row>
    <row r="9587" spans="8:18" x14ac:dyDescent="0.2">
      <c r="H9587" s="180"/>
      <c r="P9587" s="180" t="s">
        <v>257</v>
      </c>
      <c r="R9587" s="180" t="s">
        <v>257</v>
      </c>
    </row>
    <row r="9588" spans="8:18" x14ac:dyDescent="0.2">
      <c r="H9588" s="180"/>
      <c r="P9588" s="180" t="s">
        <v>257</v>
      </c>
      <c r="R9588" s="180" t="s">
        <v>257</v>
      </c>
    </row>
    <row r="9589" spans="8:18" x14ac:dyDescent="0.2">
      <c r="H9589" s="180"/>
      <c r="P9589" s="180" t="s">
        <v>257</v>
      </c>
      <c r="R9589" s="180" t="s">
        <v>257</v>
      </c>
    </row>
    <row r="9590" spans="8:18" x14ac:dyDescent="0.2">
      <c r="H9590" s="180"/>
      <c r="P9590" s="180" t="s">
        <v>257</v>
      </c>
      <c r="R9590" s="180" t="s">
        <v>257</v>
      </c>
    </row>
    <row r="9591" spans="8:18" x14ac:dyDescent="0.2">
      <c r="H9591" s="180"/>
      <c r="P9591" s="180" t="s">
        <v>257</v>
      </c>
      <c r="R9591" s="180" t="s">
        <v>257</v>
      </c>
    </row>
    <row r="9592" spans="8:18" x14ac:dyDescent="0.2">
      <c r="H9592" s="180"/>
      <c r="P9592" s="180" t="s">
        <v>257</v>
      </c>
      <c r="R9592" s="180" t="s">
        <v>257</v>
      </c>
    </row>
    <row r="9593" spans="8:18" x14ac:dyDescent="0.2">
      <c r="H9593" s="180"/>
      <c r="P9593" s="180" t="s">
        <v>257</v>
      </c>
      <c r="R9593" s="180" t="s">
        <v>257</v>
      </c>
    </row>
    <row r="9594" spans="8:18" x14ac:dyDescent="0.2">
      <c r="H9594" s="180"/>
      <c r="P9594" s="180" t="s">
        <v>257</v>
      </c>
      <c r="R9594" s="180" t="s">
        <v>257</v>
      </c>
    </row>
    <row r="9595" spans="8:18" x14ac:dyDescent="0.2">
      <c r="H9595" s="180"/>
      <c r="P9595" s="180" t="s">
        <v>257</v>
      </c>
      <c r="R9595" s="180" t="s">
        <v>257</v>
      </c>
    </row>
    <row r="9596" spans="8:18" x14ac:dyDescent="0.2">
      <c r="H9596" s="180"/>
      <c r="P9596" s="180" t="s">
        <v>257</v>
      </c>
      <c r="R9596" s="180" t="s">
        <v>257</v>
      </c>
    </row>
    <row r="9597" spans="8:18" x14ac:dyDescent="0.2">
      <c r="H9597" s="180"/>
      <c r="P9597" s="180" t="s">
        <v>257</v>
      </c>
      <c r="R9597" s="180" t="s">
        <v>257</v>
      </c>
    </row>
    <row r="9598" spans="8:18" x14ac:dyDescent="0.2">
      <c r="H9598" s="180"/>
      <c r="P9598" s="180" t="s">
        <v>257</v>
      </c>
      <c r="R9598" s="180" t="s">
        <v>257</v>
      </c>
    </row>
    <row r="9599" spans="8:18" x14ac:dyDescent="0.2">
      <c r="H9599" s="180"/>
      <c r="P9599" s="180" t="s">
        <v>257</v>
      </c>
      <c r="R9599" s="180" t="s">
        <v>257</v>
      </c>
    </row>
    <row r="9600" spans="8:18" x14ac:dyDescent="0.2">
      <c r="H9600" s="180"/>
      <c r="P9600" s="180" t="s">
        <v>257</v>
      </c>
      <c r="R9600" s="180" t="s">
        <v>257</v>
      </c>
    </row>
    <row r="9601" spans="8:18" x14ac:dyDescent="0.2">
      <c r="H9601" s="180"/>
      <c r="P9601" s="180" t="s">
        <v>257</v>
      </c>
      <c r="R9601" s="180" t="s">
        <v>257</v>
      </c>
    </row>
    <row r="9602" spans="8:18" x14ac:dyDescent="0.2">
      <c r="H9602" s="180"/>
      <c r="P9602" s="180" t="s">
        <v>257</v>
      </c>
      <c r="R9602" s="180" t="s">
        <v>257</v>
      </c>
    </row>
    <row r="9603" spans="8:18" x14ac:dyDescent="0.2">
      <c r="H9603" s="180"/>
      <c r="P9603" s="180" t="s">
        <v>257</v>
      </c>
      <c r="R9603" s="180" t="s">
        <v>257</v>
      </c>
    </row>
    <row r="9604" spans="8:18" x14ac:dyDescent="0.2">
      <c r="H9604" s="180"/>
      <c r="P9604" s="180" t="s">
        <v>257</v>
      </c>
      <c r="R9604" s="180" t="s">
        <v>257</v>
      </c>
    </row>
    <row r="9605" spans="8:18" x14ac:dyDescent="0.2">
      <c r="H9605" s="180"/>
      <c r="P9605" s="180" t="s">
        <v>257</v>
      </c>
      <c r="R9605" s="180" t="s">
        <v>257</v>
      </c>
    </row>
    <row r="9606" spans="8:18" x14ac:dyDescent="0.2">
      <c r="H9606" s="180"/>
      <c r="P9606" s="180" t="s">
        <v>257</v>
      </c>
      <c r="R9606" s="180" t="s">
        <v>257</v>
      </c>
    </row>
    <row r="9607" spans="8:18" x14ac:dyDescent="0.2">
      <c r="H9607" s="180"/>
      <c r="P9607" s="180" t="s">
        <v>257</v>
      </c>
      <c r="R9607" s="180" t="s">
        <v>257</v>
      </c>
    </row>
    <row r="9608" spans="8:18" x14ac:dyDescent="0.2">
      <c r="H9608" s="180"/>
      <c r="P9608" s="180" t="s">
        <v>257</v>
      </c>
      <c r="R9608" s="180" t="s">
        <v>257</v>
      </c>
    </row>
    <row r="9609" spans="8:18" x14ac:dyDescent="0.2">
      <c r="H9609" s="180"/>
      <c r="P9609" s="180" t="s">
        <v>257</v>
      </c>
      <c r="R9609" s="180" t="s">
        <v>257</v>
      </c>
    </row>
    <row r="9610" spans="8:18" x14ac:dyDescent="0.2">
      <c r="H9610" s="180"/>
      <c r="P9610" s="180" t="s">
        <v>257</v>
      </c>
      <c r="R9610" s="180" t="s">
        <v>257</v>
      </c>
    </row>
    <row r="9611" spans="8:18" x14ac:dyDescent="0.2">
      <c r="H9611" s="180"/>
      <c r="P9611" s="180" t="s">
        <v>257</v>
      </c>
      <c r="R9611" s="180" t="s">
        <v>257</v>
      </c>
    </row>
    <row r="9612" spans="8:18" x14ac:dyDescent="0.2">
      <c r="H9612" s="180"/>
      <c r="P9612" s="180" t="s">
        <v>257</v>
      </c>
      <c r="R9612" s="180" t="s">
        <v>257</v>
      </c>
    </row>
    <row r="9613" spans="8:18" x14ac:dyDescent="0.2">
      <c r="H9613" s="180"/>
      <c r="P9613" s="180" t="s">
        <v>257</v>
      </c>
      <c r="R9613" s="180" t="s">
        <v>257</v>
      </c>
    </row>
    <row r="9614" spans="8:18" x14ac:dyDescent="0.2">
      <c r="H9614" s="180"/>
      <c r="P9614" s="180" t="s">
        <v>257</v>
      </c>
      <c r="R9614" s="180" t="s">
        <v>257</v>
      </c>
    </row>
    <row r="9615" spans="8:18" x14ac:dyDescent="0.2">
      <c r="H9615" s="180"/>
      <c r="P9615" s="180" t="s">
        <v>257</v>
      </c>
      <c r="R9615" s="180" t="s">
        <v>257</v>
      </c>
    </row>
    <row r="9616" spans="8:18" x14ac:dyDescent="0.2">
      <c r="H9616" s="180"/>
      <c r="P9616" s="180" t="s">
        <v>257</v>
      </c>
      <c r="R9616" s="180" t="s">
        <v>257</v>
      </c>
    </row>
    <row r="9617" spans="8:18" x14ac:dyDescent="0.2">
      <c r="H9617" s="180"/>
      <c r="P9617" s="180" t="s">
        <v>257</v>
      </c>
      <c r="R9617" s="180" t="s">
        <v>257</v>
      </c>
    </row>
    <row r="9618" spans="8:18" x14ac:dyDescent="0.2">
      <c r="H9618" s="180"/>
      <c r="P9618" s="180" t="s">
        <v>257</v>
      </c>
      <c r="R9618" s="180" t="s">
        <v>257</v>
      </c>
    </row>
    <row r="9619" spans="8:18" x14ac:dyDescent="0.2">
      <c r="H9619" s="180"/>
      <c r="P9619" s="180" t="s">
        <v>257</v>
      </c>
      <c r="R9619" s="180" t="s">
        <v>257</v>
      </c>
    </row>
    <row r="9620" spans="8:18" x14ac:dyDescent="0.2">
      <c r="H9620" s="180"/>
      <c r="P9620" s="180" t="s">
        <v>257</v>
      </c>
      <c r="R9620" s="180" t="s">
        <v>257</v>
      </c>
    </row>
    <row r="9621" spans="8:18" x14ac:dyDescent="0.2">
      <c r="H9621" s="180"/>
      <c r="P9621" s="180" t="s">
        <v>257</v>
      </c>
      <c r="R9621" s="180" t="s">
        <v>257</v>
      </c>
    </row>
    <row r="9622" spans="8:18" x14ac:dyDescent="0.2">
      <c r="H9622" s="180"/>
      <c r="P9622" s="180" t="s">
        <v>257</v>
      </c>
      <c r="R9622" s="180" t="s">
        <v>257</v>
      </c>
    </row>
    <row r="9623" spans="8:18" x14ac:dyDescent="0.2">
      <c r="H9623" s="180"/>
      <c r="P9623" s="180" t="s">
        <v>257</v>
      </c>
      <c r="R9623" s="180" t="s">
        <v>257</v>
      </c>
    </row>
    <row r="9624" spans="8:18" x14ac:dyDescent="0.2">
      <c r="H9624" s="180"/>
      <c r="P9624" s="180" t="s">
        <v>257</v>
      </c>
      <c r="R9624" s="180" t="s">
        <v>257</v>
      </c>
    </row>
    <row r="9625" spans="8:18" x14ac:dyDescent="0.2">
      <c r="H9625" s="180"/>
      <c r="P9625" s="180" t="s">
        <v>257</v>
      </c>
      <c r="R9625" s="180" t="s">
        <v>257</v>
      </c>
    </row>
    <row r="9626" spans="8:18" x14ac:dyDescent="0.2">
      <c r="H9626" s="180"/>
      <c r="P9626" s="180" t="s">
        <v>257</v>
      </c>
      <c r="R9626" s="180" t="s">
        <v>257</v>
      </c>
    </row>
    <row r="9627" spans="8:18" x14ac:dyDescent="0.2">
      <c r="H9627" s="180"/>
      <c r="P9627" s="180" t="s">
        <v>257</v>
      </c>
      <c r="R9627" s="180" t="s">
        <v>257</v>
      </c>
    </row>
    <row r="9628" spans="8:18" x14ac:dyDescent="0.2">
      <c r="H9628" s="180"/>
      <c r="P9628" s="180" t="s">
        <v>257</v>
      </c>
      <c r="R9628" s="180" t="s">
        <v>257</v>
      </c>
    </row>
    <row r="9629" spans="8:18" x14ac:dyDescent="0.2">
      <c r="H9629" s="180"/>
      <c r="P9629" s="180" t="s">
        <v>257</v>
      </c>
      <c r="R9629" s="180" t="s">
        <v>257</v>
      </c>
    </row>
    <row r="9630" spans="8:18" x14ac:dyDescent="0.2">
      <c r="H9630" s="180"/>
      <c r="P9630" s="180" t="s">
        <v>257</v>
      </c>
      <c r="R9630" s="180" t="s">
        <v>257</v>
      </c>
    </row>
    <row r="9631" spans="8:18" x14ac:dyDescent="0.2">
      <c r="H9631" s="180"/>
      <c r="P9631" s="180" t="s">
        <v>257</v>
      </c>
      <c r="R9631" s="180" t="s">
        <v>257</v>
      </c>
    </row>
    <row r="9632" spans="8:18" x14ac:dyDescent="0.2">
      <c r="H9632" s="180"/>
      <c r="P9632" s="180" t="s">
        <v>257</v>
      </c>
      <c r="R9632" s="180" t="s">
        <v>257</v>
      </c>
    </row>
    <row r="9633" spans="8:18" x14ac:dyDescent="0.2">
      <c r="H9633" s="180"/>
      <c r="P9633" s="180" t="s">
        <v>257</v>
      </c>
      <c r="R9633" s="180" t="s">
        <v>257</v>
      </c>
    </row>
    <row r="9634" spans="8:18" x14ac:dyDescent="0.2">
      <c r="H9634" s="180"/>
      <c r="P9634" s="180" t="s">
        <v>257</v>
      </c>
      <c r="R9634" s="180" t="s">
        <v>257</v>
      </c>
    </row>
    <row r="9635" spans="8:18" x14ac:dyDescent="0.2">
      <c r="H9635" s="180"/>
      <c r="P9635" s="180" t="s">
        <v>257</v>
      </c>
      <c r="R9635" s="180" t="s">
        <v>257</v>
      </c>
    </row>
    <row r="9636" spans="8:18" x14ac:dyDescent="0.2">
      <c r="H9636" s="180"/>
      <c r="P9636" s="180" t="s">
        <v>257</v>
      </c>
      <c r="R9636" s="180" t="s">
        <v>257</v>
      </c>
    </row>
    <row r="9637" spans="8:18" x14ac:dyDescent="0.2">
      <c r="H9637" s="180"/>
      <c r="P9637" s="180" t="s">
        <v>257</v>
      </c>
      <c r="R9637" s="180" t="s">
        <v>257</v>
      </c>
    </row>
    <row r="9638" spans="8:18" x14ac:dyDescent="0.2">
      <c r="H9638" s="180"/>
      <c r="P9638" s="180" t="s">
        <v>257</v>
      </c>
      <c r="R9638" s="180" t="s">
        <v>257</v>
      </c>
    </row>
    <row r="9639" spans="8:18" x14ac:dyDescent="0.2">
      <c r="H9639" s="180"/>
      <c r="P9639" s="180" t="s">
        <v>257</v>
      </c>
      <c r="R9639" s="180" t="s">
        <v>257</v>
      </c>
    </row>
    <row r="9640" spans="8:18" x14ac:dyDescent="0.2">
      <c r="H9640" s="180"/>
      <c r="P9640" s="180" t="s">
        <v>257</v>
      </c>
      <c r="R9640" s="180" t="s">
        <v>257</v>
      </c>
    </row>
    <row r="9641" spans="8:18" x14ac:dyDescent="0.2">
      <c r="H9641" s="180"/>
      <c r="P9641" s="180" t="s">
        <v>257</v>
      </c>
      <c r="R9641" s="180" t="s">
        <v>257</v>
      </c>
    </row>
    <row r="9642" spans="8:18" x14ac:dyDescent="0.2">
      <c r="H9642" s="180"/>
      <c r="P9642" s="180" t="s">
        <v>257</v>
      </c>
      <c r="R9642" s="180" t="s">
        <v>257</v>
      </c>
    </row>
    <row r="9643" spans="8:18" x14ac:dyDescent="0.2">
      <c r="H9643" s="180"/>
      <c r="P9643" s="180" t="s">
        <v>257</v>
      </c>
      <c r="R9643" s="180" t="s">
        <v>257</v>
      </c>
    </row>
    <row r="9644" spans="8:18" x14ac:dyDescent="0.2">
      <c r="H9644" s="180"/>
      <c r="P9644" s="180" t="s">
        <v>257</v>
      </c>
      <c r="R9644" s="180" t="s">
        <v>257</v>
      </c>
    </row>
    <row r="9645" spans="8:18" x14ac:dyDescent="0.2">
      <c r="H9645" s="180"/>
      <c r="P9645" s="180" t="s">
        <v>257</v>
      </c>
      <c r="R9645" s="180" t="s">
        <v>257</v>
      </c>
    </row>
    <row r="9646" spans="8:18" x14ac:dyDescent="0.2">
      <c r="H9646" s="180"/>
      <c r="P9646" s="180" t="s">
        <v>257</v>
      </c>
      <c r="R9646" s="180" t="s">
        <v>257</v>
      </c>
    </row>
    <row r="9647" spans="8:18" x14ac:dyDescent="0.2">
      <c r="H9647" s="180"/>
      <c r="P9647" s="180" t="s">
        <v>257</v>
      </c>
      <c r="R9647" s="180" t="s">
        <v>257</v>
      </c>
    </row>
    <row r="9648" spans="8:18" x14ac:dyDescent="0.2">
      <c r="H9648" s="180"/>
      <c r="P9648" s="180" t="s">
        <v>257</v>
      </c>
      <c r="R9648" s="180" t="s">
        <v>257</v>
      </c>
    </row>
    <row r="9649" spans="8:18" x14ac:dyDescent="0.2">
      <c r="H9649" s="180"/>
      <c r="P9649" s="180" t="s">
        <v>257</v>
      </c>
      <c r="R9649" s="180" t="s">
        <v>257</v>
      </c>
    </row>
    <row r="9650" spans="8:18" x14ac:dyDescent="0.2">
      <c r="H9650" s="180"/>
      <c r="P9650" s="180" t="s">
        <v>257</v>
      </c>
      <c r="R9650" s="180" t="s">
        <v>257</v>
      </c>
    </row>
    <row r="9651" spans="8:18" x14ac:dyDescent="0.2">
      <c r="H9651" s="180"/>
      <c r="P9651" s="180" t="s">
        <v>257</v>
      </c>
      <c r="R9651" s="180" t="s">
        <v>257</v>
      </c>
    </row>
    <row r="9652" spans="8:18" x14ac:dyDescent="0.2">
      <c r="H9652" s="180"/>
      <c r="P9652" s="180" t="s">
        <v>257</v>
      </c>
      <c r="R9652" s="180" t="s">
        <v>257</v>
      </c>
    </row>
    <row r="9653" spans="8:18" x14ac:dyDescent="0.2">
      <c r="H9653" s="180"/>
      <c r="P9653" s="180" t="s">
        <v>257</v>
      </c>
      <c r="R9653" s="180" t="s">
        <v>257</v>
      </c>
    </row>
    <row r="9654" spans="8:18" x14ac:dyDescent="0.2">
      <c r="H9654" s="180"/>
      <c r="P9654" s="180" t="s">
        <v>257</v>
      </c>
      <c r="R9654" s="180" t="s">
        <v>257</v>
      </c>
    </row>
    <row r="9655" spans="8:18" x14ac:dyDescent="0.2">
      <c r="H9655" s="180"/>
      <c r="P9655" s="180" t="s">
        <v>257</v>
      </c>
      <c r="R9655" s="180" t="s">
        <v>257</v>
      </c>
    </row>
    <row r="9656" spans="8:18" x14ac:dyDescent="0.2">
      <c r="H9656" s="180"/>
      <c r="P9656" s="180" t="s">
        <v>257</v>
      </c>
      <c r="R9656" s="180" t="s">
        <v>257</v>
      </c>
    </row>
    <row r="9657" spans="8:18" x14ac:dyDescent="0.2">
      <c r="H9657" s="180"/>
      <c r="P9657" s="180" t="s">
        <v>257</v>
      </c>
      <c r="R9657" s="180" t="s">
        <v>257</v>
      </c>
    </row>
    <row r="9658" spans="8:18" x14ac:dyDescent="0.2">
      <c r="H9658" s="180"/>
      <c r="P9658" s="180" t="s">
        <v>257</v>
      </c>
      <c r="R9658" s="180" t="s">
        <v>257</v>
      </c>
    </row>
    <row r="9659" spans="8:18" x14ac:dyDescent="0.2">
      <c r="H9659" s="180"/>
      <c r="P9659" s="180" t="s">
        <v>257</v>
      </c>
      <c r="R9659" s="180" t="s">
        <v>257</v>
      </c>
    </row>
    <row r="9660" spans="8:18" x14ac:dyDescent="0.2">
      <c r="H9660" s="180"/>
      <c r="P9660" s="180" t="s">
        <v>257</v>
      </c>
      <c r="R9660" s="180" t="s">
        <v>257</v>
      </c>
    </row>
    <row r="9661" spans="8:18" x14ac:dyDescent="0.2">
      <c r="H9661" s="180"/>
      <c r="P9661" s="180" t="s">
        <v>257</v>
      </c>
      <c r="R9661" s="180" t="s">
        <v>257</v>
      </c>
    </row>
    <row r="9662" spans="8:18" x14ac:dyDescent="0.2">
      <c r="H9662" s="180"/>
      <c r="P9662" s="180" t="s">
        <v>257</v>
      </c>
      <c r="R9662" s="180" t="s">
        <v>257</v>
      </c>
    </row>
    <row r="9663" spans="8:18" x14ac:dyDescent="0.2">
      <c r="H9663" s="180"/>
      <c r="P9663" s="180" t="s">
        <v>257</v>
      </c>
      <c r="R9663" s="180" t="s">
        <v>257</v>
      </c>
    </row>
    <row r="9664" spans="8:18" x14ac:dyDescent="0.2">
      <c r="H9664" s="180"/>
      <c r="P9664" s="180" t="s">
        <v>257</v>
      </c>
      <c r="R9664" s="180" t="s">
        <v>257</v>
      </c>
    </row>
    <row r="9665" spans="8:18" x14ac:dyDescent="0.2">
      <c r="H9665" s="180"/>
      <c r="P9665" s="180" t="s">
        <v>257</v>
      </c>
      <c r="R9665" s="180" t="s">
        <v>257</v>
      </c>
    </row>
    <row r="9666" spans="8:18" x14ac:dyDescent="0.2">
      <c r="H9666" s="180"/>
      <c r="P9666" s="180" t="s">
        <v>257</v>
      </c>
      <c r="R9666" s="180" t="s">
        <v>257</v>
      </c>
    </row>
    <row r="9667" spans="8:18" x14ac:dyDescent="0.2">
      <c r="H9667" s="180"/>
      <c r="P9667" s="180" t="s">
        <v>257</v>
      </c>
      <c r="R9667" s="180" t="s">
        <v>257</v>
      </c>
    </row>
    <row r="9668" spans="8:18" x14ac:dyDescent="0.2">
      <c r="H9668" s="180"/>
      <c r="P9668" s="180" t="s">
        <v>257</v>
      </c>
      <c r="R9668" s="180" t="s">
        <v>257</v>
      </c>
    </row>
    <row r="9669" spans="8:18" x14ac:dyDescent="0.2">
      <c r="H9669" s="180"/>
      <c r="P9669" s="180" t="s">
        <v>257</v>
      </c>
      <c r="R9669" s="180" t="s">
        <v>257</v>
      </c>
    </row>
    <row r="9670" spans="8:18" x14ac:dyDescent="0.2">
      <c r="H9670" s="180"/>
      <c r="P9670" s="180" t="s">
        <v>257</v>
      </c>
      <c r="R9670" s="180" t="s">
        <v>257</v>
      </c>
    </row>
    <row r="9671" spans="8:18" x14ac:dyDescent="0.2">
      <c r="H9671" s="180"/>
      <c r="P9671" s="180" t="s">
        <v>257</v>
      </c>
      <c r="R9671" s="180" t="s">
        <v>257</v>
      </c>
    </row>
    <row r="9672" spans="8:18" x14ac:dyDescent="0.2">
      <c r="H9672" s="180"/>
      <c r="P9672" s="180" t="s">
        <v>257</v>
      </c>
      <c r="R9672" s="180" t="s">
        <v>257</v>
      </c>
    </row>
    <row r="9673" spans="8:18" x14ac:dyDescent="0.2">
      <c r="H9673" s="180"/>
      <c r="P9673" s="180" t="s">
        <v>257</v>
      </c>
      <c r="R9673" s="180" t="s">
        <v>257</v>
      </c>
    </row>
    <row r="9674" spans="8:18" x14ac:dyDescent="0.2">
      <c r="H9674" s="180"/>
      <c r="P9674" s="180" t="s">
        <v>257</v>
      </c>
      <c r="R9674" s="180" t="s">
        <v>257</v>
      </c>
    </row>
    <row r="9675" spans="8:18" x14ac:dyDescent="0.2">
      <c r="H9675" s="180"/>
      <c r="P9675" s="180" t="s">
        <v>257</v>
      </c>
      <c r="R9675" s="180" t="s">
        <v>257</v>
      </c>
    </row>
    <row r="9676" spans="8:18" x14ac:dyDescent="0.2">
      <c r="H9676" s="180"/>
      <c r="P9676" s="180" t="s">
        <v>257</v>
      </c>
      <c r="R9676" s="180" t="s">
        <v>257</v>
      </c>
    </row>
    <row r="9677" spans="8:18" x14ac:dyDescent="0.2">
      <c r="H9677" s="180"/>
      <c r="P9677" s="180" t="s">
        <v>257</v>
      </c>
      <c r="R9677" s="180" t="s">
        <v>257</v>
      </c>
    </row>
    <row r="9678" spans="8:18" x14ac:dyDescent="0.2">
      <c r="H9678" s="180"/>
      <c r="P9678" s="180" t="s">
        <v>257</v>
      </c>
      <c r="R9678" s="180" t="s">
        <v>257</v>
      </c>
    </row>
    <row r="9679" spans="8:18" x14ac:dyDescent="0.2">
      <c r="H9679" s="180"/>
      <c r="P9679" s="180" t="s">
        <v>257</v>
      </c>
      <c r="R9679" s="180" t="s">
        <v>257</v>
      </c>
    </row>
    <row r="9680" spans="8:18" x14ac:dyDescent="0.2">
      <c r="H9680" s="180"/>
      <c r="P9680" s="180" t="s">
        <v>257</v>
      </c>
      <c r="R9680" s="180" t="s">
        <v>257</v>
      </c>
    </row>
    <row r="9681" spans="8:18" x14ac:dyDescent="0.2">
      <c r="H9681" s="180"/>
      <c r="P9681" s="180" t="s">
        <v>257</v>
      </c>
      <c r="R9681" s="180" t="s">
        <v>257</v>
      </c>
    </row>
    <row r="9682" spans="8:18" x14ac:dyDescent="0.2">
      <c r="H9682" s="180"/>
      <c r="P9682" s="180" t="s">
        <v>257</v>
      </c>
      <c r="R9682" s="180" t="s">
        <v>257</v>
      </c>
    </row>
    <row r="9683" spans="8:18" x14ac:dyDescent="0.2">
      <c r="H9683" s="180"/>
      <c r="P9683" s="180" t="s">
        <v>257</v>
      </c>
      <c r="R9683" s="180" t="s">
        <v>257</v>
      </c>
    </row>
    <row r="9684" spans="8:18" x14ac:dyDescent="0.2">
      <c r="H9684" s="180"/>
      <c r="P9684" s="180" t="s">
        <v>257</v>
      </c>
      <c r="R9684" s="180" t="s">
        <v>257</v>
      </c>
    </row>
    <row r="9685" spans="8:18" x14ac:dyDescent="0.2">
      <c r="H9685" s="180"/>
      <c r="P9685" s="180" t="s">
        <v>257</v>
      </c>
      <c r="R9685" s="180" t="s">
        <v>257</v>
      </c>
    </row>
    <row r="9686" spans="8:18" x14ac:dyDescent="0.2">
      <c r="H9686" s="180"/>
      <c r="P9686" s="180" t="s">
        <v>257</v>
      </c>
      <c r="R9686" s="180" t="s">
        <v>257</v>
      </c>
    </row>
    <row r="9687" spans="8:18" x14ac:dyDescent="0.2">
      <c r="H9687" s="180"/>
      <c r="P9687" s="180" t="s">
        <v>257</v>
      </c>
      <c r="R9687" s="180" t="s">
        <v>257</v>
      </c>
    </row>
    <row r="9688" spans="8:18" x14ac:dyDescent="0.2">
      <c r="H9688" s="180"/>
      <c r="P9688" s="180" t="s">
        <v>257</v>
      </c>
      <c r="R9688" s="180" t="s">
        <v>257</v>
      </c>
    </row>
    <row r="9689" spans="8:18" x14ac:dyDescent="0.2">
      <c r="H9689" s="180"/>
      <c r="P9689" s="180" t="s">
        <v>257</v>
      </c>
      <c r="R9689" s="180" t="s">
        <v>257</v>
      </c>
    </row>
    <row r="9690" spans="8:18" x14ac:dyDescent="0.2">
      <c r="H9690" s="180"/>
      <c r="P9690" s="180" t="s">
        <v>257</v>
      </c>
      <c r="R9690" s="180" t="s">
        <v>257</v>
      </c>
    </row>
    <row r="9691" spans="8:18" x14ac:dyDescent="0.2">
      <c r="H9691" s="180"/>
      <c r="P9691" s="180" t="s">
        <v>257</v>
      </c>
      <c r="R9691" s="180" t="s">
        <v>257</v>
      </c>
    </row>
    <row r="9692" spans="8:18" x14ac:dyDescent="0.2">
      <c r="H9692" s="180"/>
      <c r="P9692" s="180" t="s">
        <v>257</v>
      </c>
      <c r="R9692" s="180" t="s">
        <v>257</v>
      </c>
    </row>
    <row r="9693" spans="8:18" x14ac:dyDescent="0.2">
      <c r="H9693" s="180"/>
      <c r="P9693" s="180" t="s">
        <v>257</v>
      </c>
      <c r="R9693" s="180" t="s">
        <v>257</v>
      </c>
    </row>
    <row r="9694" spans="8:18" x14ac:dyDescent="0.2">
      <c r="H9694" s="180"/>
      <c r="P9694" s="180" t="s">
        <v>257</v>
      </c>
      <c r="R9694" s="180" t="s">
        <v>257</v>
      </c>
    </row>
    <row r="9695" spans="8:18" x14ac:dyDescent="0.2">
      <c r="H9695" s="180"/>
      <c r="P9695" s="180" t="s">
        <v>257</v>
      </c>
      <c r="R9695" s="180" t="s">
        <v>257</v>
      </c>
    </row>
    <row r="9696" spans="8:18" x14ac:dyDescent="0.2">
      <c r="H9696" s="180"/>
      <c r="P9696" s="180" t="s">
        <v>257</v>
      </c>
      <c r="R9696" s="180" t="s">
        <v>257</v>
      </c>
    </row>
    <row r="9697" spans="8:18" x14ac:dyDescent="0.2">
      <c r="H9697" s="180"/>
      <c r="P9697" s="180" t="s">
        <v>257</v>
      </c>
      <c r="R9697" s="180" t="s">
        <v>257</v>
      </c>
    </row>
    <row r="9698" spans="8:18" x14ac:dyDescent="0.2">
      <c r="H9698" s="180"/>
      <c r="P9698" s="180" t="s">
        <v>257</v>
      </c>
      <c r="R9698" s="180" t="s">
        <v>257</v>
      </c>
    </row>
    <row r="9699" spans="8:18" x14ac:dyDescent="0.2">
      <c r="H9699" s="180"/>
      <c r="P9699" s="180" t="s">
        <v>257</v>
      </c>
      <c r="R9699" s="180" t="s">
        <v>257</v>
      </c>
    </row>
    <row r="9700" spans="8:18" x14ac:dyDescent="0.2">
      <c r="H9700" s="180"/>
      <c r="P9700" s="180" t="s">
        <v>257</v>
      </c>
      <c r="R9700" s="180" t="s">
        <v>257</v>
      </c>
    </row>
    <row r="9701" spans="8:18" x14ac:dyDescent="0.2">
      <c r="H9701" s="180"/>
      <c r="P9701" s="180" t="s">
        <v>257</v>
      </c>
      <c r="R9701" s="180" t="s">
        <v>257</v>
      </c>
    </row>
    <row r="9702" spans="8:18" x14ac:dyDescent="0.2">
      <c r="H9702" s="180"/>
      <c r="P9702" s="180" t="s">
        <v>257</v>
      </c>
      <c r="R9702" s="180" t="s">
        <v>257</v>
      </c>
    </row>
    <row r="9703" spans="8:18" x14ac:dyDescent="0.2">
      <c r="H9703" s="180"/>
      <c r="P9703" s="180" t="s">
        <v>257</v>
      </c>
      <c r="R9703" s="180" t="s">
        <v>257</v>
      </c>
    </row>
    <row r="9704" spans="8:18" x14ac:dyDescent="0.2">
      <c r="H9704" s="180"/>
      <c r="P9704" s="180" t="s">
        <v>257</v>
      </c>
      <c r="R9704" s="180" t="s">
        <v>257</v>
      </c>
    </row>
    <row r="9705" spans="8:18" x14ac:dyDescent="0.2">
      <c r="H9705" s="180"/>
      <c r="P9705" s="180" t="s">
        <v>257</v>
      </c>
      <c r="R9705" s="180" t="s">
        <v>257</v>
      </c>
    </row>
    <row r="9706" spans="8:18" x14ac:dyDescent="0.2">
      <c r="H9706" s="180"/>
      <c r="P9706" s="180" t="s">
        <v>257</v>
      </c>
      <c r="R9706" s="180" t="s">
        <v>257</v>
      </c>
    </row>
    <row r="9707" spans="8:18" x14ac:dyDescent="0.2">
      <c r="H9707" s="180"/>
      <c r="P9707" s="180" t="s">
        <v>257</v>
      </c>
      <c r="R9707" s="180" t="s">
        <v>257</v>
      </c>
    </row>
    <row r="9708" spans="8:18" x14ac:dyDescent="0.2">
      <c r="H9708" s="180"/>
      <c r="P9708" s="180" t="s">
        <v>257</v>
      </c>
      <c r="R9708" s="180" t="s">
        <v>257</v>
      </c>
    </row>
    <row r="9709" spans="8:18" x14ac:dyDescent="0.2">
      <c r="H9709" s="180"/>
      <c r="P9709" s="180" t="s">
        <v>257</v>
      </c>
      <c r="R9709" s="180" t="s">
        <v>257</v>
      </c>
    </row>
    <row r="9710" spans="8:18" x14ac:dyDescent="0.2">
      <c r="H9710" s="180"/>
      <c r="P9710" s="180" t="s">
        <v>257</v>
      </c>
      <c r="R9710" s="180" t="s">
        <v>257</v>
      </c>
    </row>
    <row r="9711" spans="8:18" x14ac:dyDescent="0.2">
      <c r="H9711" s="180"/>
      <c r="P9711" s="180" t="s">
        <v>257</v>
      </c>
      <c r="R9711" s="180" t="s">
        <v>257</v>
      </c>
    </row>
    <row r="9712" spans="8:18" x14ac:dyDescent="0.2">
      <c r="H9712" s="180"/>
      <c r="P9712" s="180" t="s">
        <v>257</v>
      </c>
      <c r="R9712" s="180" t="s">
        <v>257</v>
      </c>
    </row>
    <row r="9713" spans="8:18" x14ac:dyDescent="0.2">
      <c r="H9713" s="180"/>
      <c r="P9713" s="180" t="s">
        <v>257</v>
      </c>
      <c r="R9713" s="180" t="s">
        <v>257</v>
      </c>
    </row>
    <row r="9714" spans="8:18" x14ac:dyDescent="0.2">
      <c r="H9714" s="180"/>
      <c r="P9714" s="180" t="s">
        <v>257</v>
      </c>
      <c r="R9714" s="180" t="s">
        <v>257</v>
      </c>
    </row>
    <row r="9715" spans="8:18" x14ac:dyDescent="0.2">
      <c r="H9715" s="180"/>
      <c r="P9715" s="180" t="s">
        <v>257</v>
      </c>
      <c r="R9715" s="180" t="s">
        <v>257</v>
      </c>
    </row>
    <row r="9716" spans="8:18" x14ac:dyDescent="0.2">
      <c r="H9716" s="180"/>
      <c r="P9716" s="180" t="s">
        <v>257</v>
      </c>
      <c r="R9716" s="180" t="s">
        <v>257</v>
      </c>
    </row>
    <row r="9717" spans="8:18" x14ac:dyDescent="0.2">
      <c r="H9717" s="180"/>
      <c r="P9717" s="180" t="s">
        <v>257</v>
      </c>
      <c r="R9717" s="180" t="s">
        <v>257</v>
      </c>
    </row>
    <row r="9718" spans="8:18" x14ac:dyDescent="0.2">
      <c r="H9718" s="180"/>
      <c r="P9718" s="180" t="s">
        <v>257</v>
      </c>
      <c r="R9718" s="180" t="s">
        <v>257</v>
      </c>
    </row>
    <row r="9719" spans="8:18" x14ac:dyDescent="0.2">
      <c r="H9719" s="180"/>
      <c r="P9719" s="180" t="s">
        <v>257</v>
      </c>
      <c r="R9719" s="180" t="s">
        <v>257</v>
      </c>
    </row>
    <row r="9720" spans="8:18" x14ac:dyDescent="0.2">
      <c r="H9720" s="180"/>
      <c r="P9720" s="180" t="s">
        <v>257</v>
      </c>
      <c r="R9720" s="180" t="s">
        <v>257</v>
      </c>
    </row>
    <row r="9721" spans="8:18" x14ac:dyDescent="0.2">
      <c r="H9721" s="180"/>
      <c r="P9721" s="180" t="s">
        <v>257</v>
      </c>
      <c r="R9721" s="180" t="s">
        <v>257</v>
      </c>
    </row>
    <row r="9722" spans="8:18" x14ac:dyDescent="0.2">
      <c r="H9722" s="180"/>
      <c r="P9722" s="180" t="s">
        <v>257</v>
      </c>
      <c r="R9722" s="180" t="s">
        <v>257</v>
      </c>
    </row>
    <row r="9723" spans="8:18" x14ac:dyDescent="0.2">
      <c r="H9723" s="180"/>
      <c r="P9723" s="180" t="s">
        <v>257</v>
      </c>
      <c r="R9723" s="180" t="s">
        <v>257</v>
      </c>
    </row>
    <row r="9724" spans="8:18" x14ac:dyDescent="0.2">
      <c r="H9724" s="180"/>
      <c r="P9724" s="180" t="s">
        <v>257</v>
      </c>
      <c r="R9724" s="180" t="s">
        <v>257</v>
      </c>
    </row>
    <row r="9725" spans="8:18" x14ac:dyDescent="0.2">
      <c r="H9725" s="180"/>
      <c r="P9725" s="180" t="s">
        <v>257</v>
      </c>
      <c r="R9725" s="180" t="s">
        <v>257</v>
      </c>
    </row>
    <row r="9726" spans="8:18" x14ac:dyDescent="0.2">
      <c r="H9726" s="180"/>
      <c r="P9726" s="180" t="s">
        <v>257</v>
      </c>
      <c r="R9726" s="180" t="s">
        <v>257</v>
      </c>
    </row>
    <row r="9727" spans="8:18" x14ac:dyDescent="0.2">
      <c r="H9727" s="180"/>
      <c r="P9727" s="180" t="s">
        <v>257</v>
      </c>
      <c r="R9727" s="180" t="s">
        <v>257</v>
      </c>
    </row>
    <row r="9728" spans="8:18" x14ac:dyDescent="0.2">
      <c r="H9728" s="180"/>
      <c r="P9728" s="180" t="s">
        <v>257</v>
      </c>
      <c r="R9728" s="180" t="s">
        <v>257</v>
      </c>
    </row>
    <row r="9729" spans="8:18" x14ac:dyDescent="0.2">
      <c r="H9729" s="180"/>
      <c r="P9729" s="180" t="s">
        <v>257</v>
      </c>
      <c r="R9729" s="180" t="s">
        <v>257</v>
      </c>
    </row>
    <row r="9730" spans="8:18" x14ac:dyDescent="0.2">
      <c r="H9730" s="180"/>
      <c r="P9730" s="180" t="s">
        <v>257</v>
      </c>
      <c r="R9730" s="180" t="s">
        <v>257</v>
      </c>
    </row>
    <row r="9731" spans="8:18" x14ac:dyDescent="0.2">
      <c r="H9731" s="180"/>
      <c r="P9731" s="180" t="s">
        <v>257</v>
      </c>
      <c r="R9731" s="180" t="s">
        <v>257</v>
      </c>
    </row>
    <row r="9732" spans="8:18" x14ac:dyDescent="0.2">
      <c r="H9732" s="180"/>
      <c r="P9732" s="180" t="s">
        <v>257</v>
      </c>
      <c r="R9732" s="180" t="s">
        <v>257</v>
      </c>
    </row>
    <row r="9733" spans="8:18" x14ac:dyDescent="0.2">
      <c r="H9733" s="180"/>
      <c r="P9733" s="180" t="s">
        <v>257</v>
      </c>
      <c r="R9733" s="180" t="s">
        <v>257</v>
      </c>
    </row>
    <row r="9734" spans="8:18" x14ac:dyDescent="0.2">
      <c r="H9734" s="180"/>
      <c r="P9734" s="180" t="s">
        <v>257</v>
      </c>
      <c r="R9734" s="180" t="s">
        <v>257</v>
      </c>
    </row>
    <row r="9735" spans="8:18" x14ac:dyDescent="0.2">
      <c r="H9735" s="180"/>
      <c r="P9735" s="180" t="s">
        <v>257</v>
      </c>
      <c r="R9735" s="180" t="s">
        <v>257</v>
      </c>
    </row>
    <row r="9736" spans="8:18" x14ac:dyDescent="0.2">
      <c r="H9736" s="180"/>
      <c r="P9736" s="180" t="s">
        <v>257</v>
      </c>
      <c r="R9736" s="180" t="s">
        <v>257</v>
      </c>
    </row>
    <row r="9737" spans="8:18" x14ac:dyDescent="0.2">
      <c r="H9737" s="180"/>
      <c r="P9737" s="180" t="s">
        <v>257</v>
      </c>
      <c r="R9737" s="180" t="s">
        <v>257</v>
      </c>
    </row>
    <row r="9738" spans="8:18" x14ac:dyDescent="0.2">
      <c r="H9738" s="180"/>
      <c r="P9738" s="180" t="s">
        <v>257</v>
      </c>
      <c r="R9738" s="180" t="s">
        <v>257</v>
      </c>
    </row>
    <row r="9739" spans="8:18" x14ac:dyDescent="0.2">
      <c r="H9739" s="180"/>
      <c r="P9739" s="180" t="s">
        <v>257</v>
      </c>
      <c r="R9739" s="180" t="s">
        <v>257</v>
      </c>
    </row>
    <row r="9740" spans="8:18" x14ac:dyDescent="0.2">
      <c r="H9740" s="180"/>
      <c r="P9740" s="180" t="s">
        <v>257</v>
      </c>
      <c r="R9740" s="180" t="s">
        <v>257</v>
      </c>
    </row>
    <row r="9741" spans="8:18" x14ac:dyDescent="0.2">
      <c r="H9741" s="180"/>
      <c r="P9741" s="180" t="s">
        <v>257</v>
      </c>
      <c r="R9741" s="180" t="s">
        <v>257</v>
      </c>
    </row>
    <row r="9742" spans="8:18" x14ac:dyDescent="0.2">
      <c r="H9742" s="180"/>
      <c r="P9742" s="180" t="s">
        <v>257</v>
      </c>
      <c r="R9742" s="180" t="s">
        <v>257</v>
      </c>
    </row>
    <row r="9743" spans="8:18" x14ac:dyDescent="0.2">
      <c r="H9743" s="180"/>
      <c r="P9743" s="180" t="s">
        <v>257</v>
      </c>
      <c r="R9743" s="180" t="s">
        <v>257</v>
      </c>
    </row>
    <row r="9744" spans="8:18" x14ac:dyDescent="0.2">
      <c r="H9744" s="180"/>
      <c r="P9744" s="180" t="s">
        <v>257</v>
      </c>
      <c r="R9744" s="180" t="s">
        <v>257</v>
      </c>
    </row>
    <row r="9745" spans="8:18" x14ac:dyDescent="0.2">
      <c r="H9745" s="180"/>
      <c r="P9745" s="180" t="s">
        <v>257</v>
      </c>
      <c r="R9745" s="180" t="s">
        <v>257</v>
      </c>
    </row>
    <row r="9746" spans="8:18" x14ac:dyDescent="0.2">
      <c r="H9746" s="180"/>
      <c r="P9746" s="180" t="s">
        <v>257</v>
      </c>
      <c r="R9746" s="180" t="s">
        <v>257</v>
      </c>
    </row>
    <row r="9747" spans="8:18" x14ac:dyDescent="0.2">
      <c r="H9747" s="180"/>
      <c r="P9747" s="180" t="s">
        <v>257</v>
      </c>
      <c r="R9747" s="180" t="s">
        <v>257</v>
      </c>
    </row>
    <row r="9748" spans="8:18" x14ac:dyDescent="0.2">
      <c r="H9748" s="180"/>
      <c r="P9748" s="180" t="s">
        <v>257</v>
      </c>
      <c r="R9748" s="180" t="s">
        <v>257</v>
      </c>
    </row>
    <row r="9749" spans="8:18" x14ac:dyDescent="0.2">
      <c r="H9749" s="180"/>
      <c r="P9749" s="180" t="s">
        <v>257</v>
      </c>
      <c r="R9749" s="180" t="s">
        <v>257</v>
      </c>
    </row>
    <row r="9750" spans="8:18" x14ac:dyDescent="0.2">
      <c r="H9750" s="180"/>
      <c r="P9750" s="180" t="s">
        <v>257</v>
      </c>
      <c r="R9750" s="180" t="s">
        <v>257</v>
      </c>
    </row>
    <row r="9751" spans="8:18" x14ac:dyDescent="0.2">
      <c r="H9751" s="180"/>
      <c r="P9751" s="180" t="s">
        <v>257</v>
      </c>
      <c r="R9751" s="180" t="s">
        <v>257</v>
      </c>
    </row>
    <row r="9752" spans="8:18" x14ac:dyDescent="0.2">
      <c r="H9752" s="180"/>
      <c r="P9752" s="180" t="s">
        <v>257</v>
      </c>
      <c r="R9752" s="180" t="s">
        <v>257</v>
      </c>
    </row>
    <row r="9753" spans="8:18" x14ac:dyDescent="0.2">
      <c r="H9753" s="180"/>
      <c r="P9753" s="180" t="s">
        <v>257</v>
      </c>
      <c r="R9753" s="180" t="s">
        <v>257</v>
      </c>
    </row>
    <row r="9754" spans="8:18" x14ac:dyDescent="0.2">
      <c r="H9754" s="180"/>
      <c r="P9754" s="180" t="s">
        <v>257</v>
      </c>
      <c r="R9754" s="180" t="s">
        <v>257</v>
      </c>
    </row>
    <row r="9755" spans="8:18" x14ac:dyDescent="0.2">
      <c r="H9755" s="180"/>
      <c r="P9755" s="180" t="s">
        <v>257</v>
      </c>
      <c r="R9755" s="180" t="s">
        <v>257</v>
      </c>
    </row>
    <row r="9756" spans="8:18" x14ac:dyDescent="0.2">
      <c r="H9756" s="180"/>
      <c r="P9756" s="180" t="s">
        <v>257</v>
      </c>
      <c r="R9756" s="180" t="s">
        <v>257</v>
      </c>
    </row>
    <row r="9757" spans="8:18" x14ac:dyDescent="0.2">
      <c r="H9757" s="180"/>
      <c r="P9757" s="180" t="s">
        <v>257</v>
      </c>
      <c r="R9757" s="180" t="s">
        <v>257</v>
      </c>
    </row>
    <row r="9758" spans="8:18" x14ac:dyDescent="0.2">
      <c r="H9758" s="180"/>
      <c r="P9758" s="180" t="s">
        <v>257</v>
      </c>
      <c r="R9758" s="180" t="s">
        <v>257</v>
      </c>
    </row>
    <row r="9759" spans="8:18" x14ac:dyDescent="0.2">
      <c r="H9759" s="180"/>
      <c r="P9759" s="180" t="s">
        <v>257</v>
      </c>
      <c r="R9759" s="180" t="s">
        <v>257</v>
      </c>
    </row>
    <row r="9760" spans="8:18" x14ac:dyDescent="0.2">
      <c r="H9760" s="180"/>
      <c r="P9760" s="180" t="s">
        <v>257</v>
      </c>
      <c r="R9760" s="180" t="s">
        <v>257</v>
      </c>
    </row>
    <row r="9761" spans="8:18" x14ac:dyDescent="0.2">
      <c r="H9761" s="180"/>
      <c r="P9761" s="180" t="s">
        <v>257</v>
      </c>
      <c r="R9761" s="180" t="s">
        <v>257</v>
      </c>
    </row>
    <row r="9762" spans="8:18" x14ac:dyDescent="0.2">
      <c r="H9762" s="180"/>
      <c r="P9762" s="180" t="s">
        <v>257</v>
      </c>
      <c r="R9762" s="180" t="s">
        <v>257</v>
      </c>
    </row>
    <row r="9763" spans="8:18" x14ac:dyDescent="0.2">
      <c r="H9763" s="180"/>
      <c r="P9763" s="180" t="s">
        <v>257</v>
      </c>
      <c r="R9763" s="180" t="s">
        <v>257</v>
      </c>
    </row>
    <row r="9764" spans="8:18" x14ac:dyDescent="0.2">
      <c r="H9764" s="180"/>
      <c r="P9764" s="180" t="s">
        <v>257</v>
      </c>
      <c r="R9764" s="180" t="s">
        <v>257</v>
      </c>
    </row>
    <row r="9765" spans="8:18" x14ac:dyDescent="0.2">
      <c r="H9765" s="180"/>
      <c r="P9765" s="180" t="s">
        <v>257</v>
      </c>
      <c r="R9765" s="180" t="s">
        <v>257</v>
      </c>
    </row>
    <row r="9766" spans="8:18" x14ac:dyDescent="0.2">
      <c r="H9766" s="180"/>
      <c r="P9766" s="180" t="s">
        <v>257</v>
      </c>
      <c r="R9766" s="180" t="s">
        <v>257</v>
      </c>
    </row>
    <row r="9767" spans="8:18" x14ac:dyDescent="0.2">
      <c r="H9767" s="180"/>
      <c r="P9767" s="180" t="s">
        <v>257</v>
      </c>
      <c r="R9767" s="180" t="s">
        <v>257</v>
      </c>
    </row>
    <row r="9768" spans="8:18" x14ac:dyDescent="0.2">
      <c r="H9768" s="180"/>
      <c r="P9768" s="180" t="s">
        <v>257</v>
      </c>
      <c r="R9768" s="180" t="s">
        <v>257</v>
      </c>
    </row>
    <row r="9769" spans="8:18" x14ac:dyDescent="0.2">
      <c r="H9769" s="180"/>
      <c r="P9769" s="180" t="s">
        <v>257</v>
      </c>
      <c r="R9769" s="180" t="s">
        <v>257</v>
      </c>
    </row>
    <row r="9770" spans="8:18" x14ac:dyDescent="0.2">
      <c r="H9770" s="180"/>
      <c r="P9770" s="180" t="s">
        <v>257</v>
      </c>
      <c r="R9770" s="180" t="s">
        <v>257</v>
      </c>
    </row>
    <row r="9771" spans="8:18" x14ac:dyDescent="0.2">
      <c r="H9771" s="180"/>
      <c r="P9771" s="180" t="s">
        <v>257</v>
      </c>
      <c r="R9771" s="180" t="s">
        <v>257</v>
      </c>
    </row>
    <row r="9772" spans="8:18" x14ac:dyDescent="0.2">
      <c r="H9772" s="180"/>
      <c r="P9772" s="180" t="s">
        <v>257</v>
      </c>
      <c r="R9772" s="180" t="s">
        <v>257</v>
      </c>
    </row>
    <row r="9773" spans="8:18" x14ac:dyDescent="0.2">
      <c r="H9773" s="180"/>
      <c r="P9773" s="180" t="s">
        <v>257</v>
      </c>
      <c r="R9773" s="180" t="s">
        <v>257</v>
      </c>
    </row>
    <row r="9774" spans="8:18" x14ac:dyDescent="0.2">
      <c r="H9774" s="180"/>
      <c r="P9774" s="180" t="s">
        <v>257</v>
      </c>
      <c r="R9774" s="180" t="s">
        <v>257</v>
      </c>
    </row>
    <row r="9775" spans="8:18" x14ac:dyDescent="0.2">
      <c r="H9775" s="180"/>
      <c r="P9775" s="180" t="s">
        <v>257</v>
      </c>
      <c r="R9775" s="180" t="s">
        <v>257</v>
      </c>
    </row>
    <row r="9776" spans="8:18" x14ac:dyDescent="0.2">
      <c r="H9776" s="180"/>
      <c r="P9776" s="180" t="s">
        <v>257</v>
      </c>
      <c r="R9776" s="180" t="s">
        <v>257</v>
      </c>
    </row>
    <row r="9777" spans="8:18" x14ac:dyDescent="0.2">
      <c r="H9777" s="180"/>
      <c r="P9777" s="180" t="s">
        <v>257</v>
      </c>
      <c r="R9777" s="180" t="s">
        <v>257</v>
      </c>
    </row>
    <row r="9778" spans="8:18" x14ac:dyDescent="0.2">
      <c r="H9778" s="180"/>
      <c r="P9778" s="180" t="s">
        <v>257</v>
      </c>
      <c r="R9778" s="180" t="s">
        <v>257</v>
      </c>
    </row>
    <row r="9779" spans="8:18" x14ac:dyDescent="0.2">
      <c r="H9779" s="180"/>
      <c r="P9779" s="180" t="s">
        <v>257</v>
      </c>
      <c r="R9779" s="180" t="s">
        <v>257</v>
      </c>
    </row>
    <row r="9780" spans="8:18" x14ac:dyDescent="0.2">
      <c r="H9780" s="180"/>
      <c r="P9780" s="180" t="s">
        <v>257</v>
      </c>
      <c r="R9780" s="180" t="s">
        <v>257</v>
      </c>
    </row>
    <row r="9781" spans="8:18" x14ac:dyDescent="0.2">
      <c r="H9781" s="180"/>
      <c r="P9781" s="180" t="s">
        <v>257</v>
      </c>
      <c r="R9781" s="180" t="s">
        <v>257</v>
      </c>
    </row>
    <row r="9782" spans="8:18" x14ac:dyDescent="0.2">
      <c r="H9782" s="180"/>
      <c r="P9782" s="180" t="s">
        <v>257</v>
      </c>
      <c r="R9782" s="180" t="s">
        <v>257</v>
      </c>
    </row>
    <row r="9783" spans="8:18" x14ac:dyDescent="0.2">
      <c r="H9783" s="180"/>
      <c r="P9783" s="180" t="s">
        <v>257</v>
      </c>
      <c r="R9783" s="180" t="s">
        <v>257</v>
      </c>
    </row>
    <row r="9784" spans="8:18" x14ac:dyDescent="0.2">
      <c r="H9784" s="180"/>
      <c r="P9784" s="180" t="s">
        <v>257</v>
      </c>
      <c r="R9784" s="180" t="s">
        <v>257</v>
      </c>
    </row>
    <row r="9785" spans="8:18" x14ac:dyDescent="0.2">
      <c r="H9785" s="180"/>
      <c r="P9785" s="180" t="s">
        <v>257</v>
      </c>
      <c r="R9785" s="180" t="s">
        <v>257</v>
      </c>
    </row>
    <row r="9786" spans="8:18" x14ac:dyDescent="0.2">
      <c r="H9786" s="180"/>
      <c r="P9786" s="180" t="s">
        <v>257</v>
      </c>
      <c r="R9786" s="180" t="s">
        <v>257</v>
      </c>
    </row>
    <row r="9787" spans="8:18" x14ac:dyDescent="0.2">
      <c r="H9787" s="180"/>
      <c r="P9787" s="180" t="s">
        <v>257</v>
      </c>
      <c r="R9787" s="180" t="s">
        <v>257</v>
      </c>
    </row>
    <row r="9788" spans="8:18" x14ac:dyDescent="0.2">
      <c r="H9788" s="180"/>
      <c r="P9788" s="180" t="s">
        <v>257</v>
      </c>
      <c r="R9788" s="180" t="s">
        <v>257</v>
      </c>
    </row>
    <row r="9789" spans="8:18" x14ac:dyDescent="0.2">
      <c r="H9789" s="180"/>
      <c r="P9789" s="180" t="s">
        <v>257</v>
      </c>
      <c r="R9789" s="180" t="s">
        <v>257</v>
      </c>
    </row>
    <row r="9790" spans="8:18" x14ac:dyDescent="0.2">
      <c r="H9790" s="180"/>
      <c r="P9790" s="180" t="s">
        <v>257</v>
      </c>
      <c r="R9790" s="180" t="s">
        <v>257</v>
      </c>
    </row>
    <row r="9791" spans="8:18" x14ac:dyDescent="0.2">
      <c r="H9791" s="180"/>
      <c r="P9791" s="180" t="s">
        <v>257</v>
      </c>
      <c r="R9791" s="180" t="s">
        <v>257</v>
      </c>
    </row>
    <row r="9792" spans="8:18" x14ac:dyDescent="0.2">
      <c r="H9792" s="180"/>
      <c r="P9792" s="180" t="s">
        <v>257</v>
      </c>
      <c r="R9792" s="180" t="s">
        <v>257</v>
      </c>
    </row>
    <row r="9793" spans="8:18" x14ac:dyDescent="0.2">
      <c r="H9793" s="180"/>
      <c r="P9793" s="180" t="s">
        <v>257</v>
      </c>
      <c r="R9793" s="180" t="s">
        <v>257</v>
      </c>
    </row>
    <row r="9794" spans="8:18" x14ac:dyDescent="0.2">
      <c r="H9794" s="180"/>
      <c r="P9794" s="180" t="s">
        <v>257</v>
      </c>
      <c r="R9794" s="180" t="s">
        <v>257</v>
      </c>
    </row>
    <row r="9795" spans="8:18" x14ac:dyDescent="0.2">
      <c r="H9795" s="180"/>
      <c r="P9795" s="180" t="s">
        <v>257</v>
      </c>
      <c r="R9795" s="180" t="s">
        <v>257</v>
      </c>
    </row>
    <row r="9796" spans="8:18" x14ac:dyDescent="0.2">
      <c r="H9796" s="180"/>
      <c r="P9796" s="180" t="s">
        <v>257</v>
      </c>
      <c r="R9796" s="180" t="s">
        <v>257</v>
      </c>
    </row>
    <row r="9797" spans="8:18" x14ac:dyDescent="0.2">
      <c r="H9797" s="180"/>
      <c r="P9797" s="180" t="s">
        <v>257</v>
      </c>
      <c r="R9797" s="180" t="s">
        <v>257</v>
      </c>
    </row>
    <row r="9798" spans="8:18" x14ac:dyDescent="0.2">
      <c r="H9798" s="180"/>
      <c r="P9798" s="180" t="s">
        <v>257</v>
      </c>
      <c r="R9798" s="180" t="s">
        <v>257</v>
      </c>
    </row>
    <row r="9799" spans="8:18" x14ac:dyDescent="0.2">
      <c r="H9799" s="180"/>
      <c r="P9799" s="180" t="s">
        <v>257</v>
      </c>
      <c r="R9799" s="180" t="s">
        <v>257</v>
      </c>
    </row>
    <row r="9800" spans="8:18" x14ac:dyDescent="0.2">
      <c r="H9800" s="180"/>
      <c r="P9800" s="180" t="s">
        <v>257</v>
      </c>
      <c r="R9800" s="180" t="s">
        <v>257</v>
      </c>
    </row>
    <row r="9801" spans="8:18" x14ac:dyDescent="0.2">
      <c r="H9801" s="180"/>
      <c r="P9801" s="180" t="s">
        <v>257</v>
      </c>
      <c r="R9801" s="180" t="s">
        <v>257</v>
      </c>
    </row>
    <row r="9802" spans="8:18" x14ac:dyDescent="0.2">
      <c r="H9802" s="180"/>
      <c r="P9802" s="180" t="s">
        <v>257</v>
      </c>
      <c r="R9802" s="180" t="s">
        <v>257</v>
      </c>
    </row>
    <row r="9803" spans="8:18" x14ac:dyDescent="0.2">
      <c r="H9803" s="180"/>
      <c r="P9803" s="180" t="s">
        <v>257</v>
      </c>
      <c r="R9803" s="180" t="s">
        <v>257</v>
      </c>
    </row>
    <row r="9804" spans="8:18" x14ac:dyDescent="0.2">
      <c r="H9804" s="180"/>
      <c r="P9804" s="180" t="s">
        <v>257</v>
      </c>
      <c r="R9804" s="180" t="s">
        <v>257</v>
      </c>
    </row>
    <row r="9805" spans="8:18" x14ac:dyDescent="0.2">
      <c r="H9805" s="180"/>
      <c r="P9805" s="180" t="s">
        <v>257</v>
      </c>
      <c r="R9805" s="180" t="s">
        <v>257</v>
      </c>
    </row>
    <row r="9806" spans="8:18" x14ac:dyDescent="0.2">
      <c r="H9806" s="180"/>
      <c r="P9806" s="180" t="s">
        <v>257</v>
      </c>
      <c r="R9806" s="180" t="s">
        <v>257</v>
      </c>
    </row>
    <row r="9807" spans="8:18" x14ac:dyDescent="0.2">
      <c r="H9807" s="180"/>
      <c r="P9807" s="180" t="s">
        <v>257</v>
      </c>
      <c r="R9807" s="180" t="s">
        <v>257</v>
      </c>
    </row>
    <row r="9808" spans="8:18" x14ac:dyDescent="0.2">
      <c r="H9808" s="180"/>
      <c r="P9808" s="180" t="s">
        <v>257</v>
      </c>
      <c r="R9808" s="180" t="s">
        <v>257</v>
      </c>
    </row>
    <row r="9809" spans="8:18" x14ac:dyDescent="0.2">
      <c r="H9809" s="180"/>
      <c r="P9809" s="180" t="s">
        <v>257</v>
      </c>
      <c r="R9809" s="180" t="s">
        <v>257</v>
      </c>
    </row>
    <row r="9810" spans="8:18" x14ac:dyDescent="0.2">
      <c r="H9810" s="180"/>
      <c r="P9810" s="180" t="s">
        <v>257</v>
      </c>
      <c r="R9810" s="180" t="s">
        <v>257</v>
      </c>
    </row>
    <row r="9811" spans="8:18" x14ac:dyDescent="0.2">
      <c r="H9811" s="180"/>
      <c r="P9811" s="180" t="s">
        <v>257</v>
      </c>
      <c r="R9811" s="180" t="s">
        <v>257</v>
      </c>
    </row>
    <row r="9812" spans="8:18" x14ac:dyDescent="0.2">
      <c r="H9812" s="180"/>
      <c r="P9812" s="180" t="s">
        <v>257</v>
      </c>
      <c r="R9812" s="180" t="s">
        <v>257</v>
      </c>
    </row>
    <row r="9813" spans="8:18" x14ac:dyDescent="0.2">
      <c r="H9813" s="180"/>
      <c r="P9813" s="180" t="s">
        <v>257</v>
      </c>
      <c r="R9813" s="180" t="s">
        <v>257</v>
      </c>
    </row>
    <row r="9814" spans="8:18" x14ac:dyDescent="0.2">
      <c r="H9814" s="180"/>
      <c r="P9814" s="180" t="s">
        <v>257</v>
      </c>
      <c r="R9814" s="180" t="s">
        <v>257</v>
      </c>
    </row>
    <row r="9815" spans="8:18" x14ac:dyDescent="0.2">
      <c r="H9815" s="180"/>
      <c r="P9815" s="180" t="s">
        <v>257</v>
      </c>
      <c r="R9815" s="180" t="s">
        <v>257</v>
      </c>
    </row>
    <row r="9816" spans="8:18" x14ac:dyDescent="0.2">
      <c r="H9816" s="180"/>
      <c r="P9816" s="180" t="s">
        <v>257</v>
      </c>
      <c r="R9816" s="180" t="s">
        <v>257</v>
      </c>
    </row>
    <row r="9817" spans="8:18" x14ac:dyDescent="0.2">
      <c r="H9817" s="180"/>
      <c r="P9817" s="180" t="s">
        <v>257</v>
      </c>
      <c r="R9817" s="180" t="s">
        <v>257</v>
      </c>
    </row>
    <row r="9818" spans="8:18" x14ac:dyDescent="0.2">
      <c r="H9818" s="180"/>
      <c r="P9818" s="180" t="s">
        <v>257</v>
      </c>
      <c r="R9818" s="180" t="s">
        <v>257</v>
      </c>
    </row>
    <row r="9819" spans="8:18" x14ac:dyDescent="0.2">
      <c r="H9819" s="180"/>
      <c r="P9819" s="180" t="s">
        <v>257</v>
      </c>
      <c r="R9819" s="180" t="s">
        <v>257</v>
      </c>
    </row>
    <row r="9820" spans="8:18" x14ac:dyDescent="0.2">
      <c r="H9820" s="180"/>
      <c r="P9820" s="180" t="s">
        <v>257</v>
      </c>
      <c r="R9820" s="180" t="s">
        <v>257</v>
      </c>
    </row>
    <row r="9821" spans="8:18" x14ac:dyDescent="0.2">
      <c r="H9821" s="180"/>
      <c r="P9821" s="180" t="s">
        <v>257</v>
      </c>
      <c r="R9821" s="180" t="s">
        <v>257</v>
      </c>
    </row>
    <row r="9822" spans="8:18" x14ac:dyDescent="0.2">
      <c r="H9822" s="180"/>
      <c r="P9822" s="180" t="s">
        <v>257</v>
      </c>
      <c r="R9822" s="180" t="s">
        <v>257</v>
      </c>
    </row>
    <row r="9823" spans="8:18" x14ac:dyDescent="0.2">
      <c r="H9823" s="180"/>
      <c r="P9823" s="180" t="s">
        <v>257</v>
      </c>
      <c r="R9823" s="180" t="s">
        <v>257</v>
      </c>
    </row>
    <row r="9824" spans="8:18" x14ac:dyDescent="0.2">
      <c r="H9824" s="180"/>
      <c r="P9824" s="180" t="s">
        <v>257</v>
      </c>
      <c r="R9824" s="180" t="s">
        <v>257</v>
      </c>
    </row>
    <row r="9825" spans="8:18" x14ac:dyDescent="0.2">
      <c r="H9825" s="180"/>
      <c r="P9825" s="180" t="s">
        <v>257</v>
      </c>
      <c r="R9825" s="180" t="s">
        <v>257</v>
      </c>
    </row>
    <row r="9826" spans="8:18" x14ac:dyDescent="0.2">
      <c r="H9826" s="180"/>
      <c r="P9826" s="180" t="s">
        <v>257</v>
      </c>
      <c r="R9826" s="180" t="s">
        <v>257</v>
      </c>
    </row>
    <row r="9827" spans="8:18" x14ac:dyDescent="0.2">
      <c r="H9827" s="180"/>
      <c r="P9827" s="180" t="s">
        <v>257</v>
      </c>
      <c r="R9827" s="180" t="s">
        <v>257</v>
      </c>
    </row>
    <row r="9828" spans="8:18" x14ac:dyDescent="0.2">
      <c r="H9828" s="180"/>
      <c r="P9828" s="180" t="s">
        <v>257</v>
      </c>
      <c r="R9828" s="180" t="s">
        <v>257</v>
      </c>
    </row>
    <row r="9829" spans="8:18" x14ac:dyDescent="0.2">
      <c r="H9829" s="180"/>
      <c r="P9829" s="180" t="s">
        <v>257</v>
      </c>
      <c r="R9829" s="180" t="s">
        <v>257</v>
      </c>
    </row>
    <row r="9830" spans="8:18" x14ac:dyDescent="0.2">
      <c r="H9830" s="180"/>
      <c r="P9830" s="180" t="s">
        <v>257</v>
      </c>
      <c r="R9830" s="180" t="s">
        <v>257</v>
      </c>
    </row>
    <row r="9831" spans="8:18" x14ac:dyDescent="0.2">
      <c r="H9831" s="180"/>
      <c r="P9831" s="180" t="s">
        <v>257</v>
      </c>
      <c r="R9831" s="180" t="s">
        <v>257</v>
      </c>
    </row>
    <row r="9832" spans="8:18" x14ac:dyDescent="0.2">
      <c r="H9832" s="180"/>
      <c r="P9832" s="180" t="s">
        <v>257</v>
      </c>
      <c r="R9832" s="180" t="s">
        <v>257</v>
      </c>
    </row>
    <row r="9833" spans="8:18" x14ac:dyDescent="0.2">
      <c r="H9833" s="180"/>
      <c r="P9833" s="180" t="s">
        <v>257</v>
      </c>
      <c r="R9833" s="180" t="s">
        <v>257</v>
      </c>
    </row>
    <row r="9834" spans="8:18" x14ac:dyDescent="0.2">
      <c r="H9834" s="180"/>
      <c r="P9834" s="180" t="s">
        <v>257</v>
      </c>
      <c r="R9834" s="180" t="s">
        <v>257</v>
      </c>
    </row>
    <row r="9835" spans="8:18" x14ac:dyDescent="0.2">
      <c r="H9835" s="180"/>
      <c r="P9835" s="180" t="s">
        <v>257</v>
      </c>
      <c r="R9835" s="180" t="s">
        <v>257</v>
      </c>
    </row>
    <row r="9836" spans="8:18" x14ac:dyDescent="0.2">
      <c r="H9836" s="180"/>
      <c r="P9836" s="180" t="s">
        <v>257</v>
      </c>
      <c r="R9836" s="180" t="s">
        <v>257</v>
      </c>
    </row>
    <row r="9837" spans="8:18" x14ac:dyDescent="0.2">
      <c r="H9837" s="180"/>
      <c r="P9837" s="180" t="s">
        <v>257</v>
      </c>
      <c r="R9837" s="180" t="s">
        <v>257</v>
      </c>
    </row>
    <row r="9838" spans="8:18" x14ac:dyDescent="0.2">
      <c r="H9838" s="180"/>
      <c r="P9838" s="180" t="s">
        <v>257</v>
      </c>
      <c r="R9838" s="180" t="s">
        <v>257</v>
      </c>
    </row>
    <row r="9839" spans="8:18" x14ac:dyDescent="0.2">
      <c r="H9839" s="180"/>
      <c r="P9839" s="180" t="s">
        <v>257</v>
      </c>
      <c r="R9839" s="180" t="s">
        <v>257</v>
      </c>
    </row>
    <row r="9840" spans="8:18" x14ac:dyDescent="0.2">
      <c r="H9840" s="180"/>
      <c r="P9840" s="180" t="s">
        <v>257</v>
      </c>
      <c r="R9840" s="180" t="s">
        <v>257</v>
      </c>
    </row>
    <row r="9841" spans="8:18" x14ac:dyDescent="0.2">
      <c r="H9841" s="180"/>
      <c r="P9841" s="180" t="s">
        <v>257</v>
      </c>
      <c r="R9841" s="180" t="s">
        <v>257</v>
      </c>
    </row>
    <row r="9842" spans="8:18" x14ac:dyDescent="0.2">
      <c r="H9842" s="180"/>
      <c r="P9842" s="180" t="s">
        <v>257</v>
      </c>
      <c r="R9842" s="180" t="s">
        <v>257</v>
      </c>
    </row>
    <row r="9843" spans="8:18" x14ac:dyDescent="0.2">
      <c r="H9843" s="180"/>
      <c r="P9843" s="180" t="s">
        <v>257</v>
      </c>
      <c r="R9843" s="180" t="s">
        <v>257</v>
      </c>
    </row>
    <row r="9844" spans="8:18" x14ac:dyDescent="0.2">
      <c r="H9844" s="180"/>
      <c r="P9844" s="180" t="s">
        <v>257</v>
      </c>
      <c r="R9844" s="180" t="s">
        <v>257</v>
      </c>
    </row>
    <row r="9845" spans="8:18" x14ac:dyDescent="0.2">
      <c r="H9845" s="180"/>
      <c r="P9845" s="180" t="s">
        <v>257</v>
      </c>
      <c r="R9845" s="180" t="s">
        <v>257</v>
      </c>
    </row>
    <row r="9846" spans="8:18" x14ac:dyDescent="0.2">
      <c r="H9846" s="180"/>
      <c r="P9846" s="180" t="s">
        <v>257</v>
      </c>
      <c r="R9846" s="180" t="s">
        <v>257</v>
      </c>
    </row>
    <row r="9847" spans="8:18" x14ac:dyDescent="0.2">
      <c r="H9847" s="180"/>
      <c r="P9847" s="180" t="s">
        <v>257</v>
      </c>
      <c r="R9847" s="180" t="s">
        <v>257</v>
      </c>
    </row>
    <row r="9848" spans="8:18" x14ac:dyDescent="0.2">
      <c r="H9848" s="180"/>
      <c r="P9848" s="180" t="s">
        <v>257</v>
      </c>
      <c r="R9848" s="180" t="s">
        <v>257</v>
      </c>
    </row>
    <row r="9849" spans="8:18" x14ac:dyDescent="0.2">
      <c r="H9849" s="180"/>
      <c r="P9849" s="180" t="s">
        <v>257</v>
      </c>
      <c r="R9849" s="180" t="s">
        <v>257</v>
      </c>
    </row>
    <row r="9850" spans="8:18" x14ac:dyDescent="0.2">
      <c r="H9850" s="180"/>
      <c r="P9850" s="180" t="s">
        <v>257</v>
      </c>
      <c r="R9850" s="180" t="s">
        <v>257</v>
      </c>
    </row>
    <row r="9851" spans="8:18" x14ac:dyDescent="0.2">
      <c r="H9851" s="180"/>
      <c r="P9851" s="180" t="s">
        <v>257</v>
      </c>
      <c r="R9851" s="180" t="s">
        <v>257</v>
      </c>
    </row>
    <row r="9852" spans="8:18" x14ac:dyDescent="0.2">
      <c r="H9852" s="180"/>
      <c r="P9852" s="180" t="s">
        <v>257</v>
      </c>
      <c r="R9852" s="180" t="s">
        <v>257</v>
      </c>
    </row>
    <row r="9853" spans="8:18" x14ac:dyDescent="0.2">
      <c r="H9853" s="180"/>
      <c r="P9853" s="180" t="s">
        <v>257</v>
      </c>
      <c r="R9853" s="180" t="s">
        <v>257</v>
      </c>
    </row>
    <row r="9854" spans="8:18" x14ac:dyDescent="0.2">
      <c r="H9854" s="180"/>
      <c r="P9854" s="180" t="s">
        <v>257</v>
      </c>
      <c r="R9854" s="180" t="s">
        <v>257</v>
      </c>
    </row>
    <row r="9855" spans="8:18" x14ac:dyDescent="0.2">
      <c r="H9855" s="180"/>
      <c r="P9855" s="180" t="s">
        <v>257</v>
      </c>
      <c r="R9855" s="180" t="s">
        <v>257</v>
      </c>
    </row>
    <row r="9856" spans="8:18" x14ac:dyDescent="0.2">
      <c r="H9856" s="180"/>
      <c r="P9856" s="180" t="s">
        <v>257</v>
      </c>
      <c r="R9856" s="180" t="s">
        <v>257</v>
      </c>
    </row>
    <row r="9857" spans="8:18" x14ac:dyDescent="0.2">
      <c r="H9857" s="180"/>
      <c r="P9857" s="180" t="s">
        <v>257</v>
      </c>
      <c r="R9857" s="180" t="s">
        <v>257</v>
      </c>
    </row>
    <row r="9858" spans="8:18" x14ac:dyDescent="0.2">
      <c r="H9858" s="180"/>
      <c r="P9858" s="180" t="s">
        <v>257</v>
      </c>
      <c r="R9858" s="180" t="s">
        <v>257</v>
      </c>
    </row>
    <row r="9859" spans="8:18" x14ac:dyDescent="0.2">
      <c r="H9859" s="180"/>
      <c r="P9859" s="180" t="s">
        <v>257</v>
      </c>
      <c r="R9859" s="180" t="s">
        <v>257</v>
      </c>
    </row>
    <row r="9860" spans="8:18" x14ac:dyDescent="0.2">
      <c r="H9860" s="180"/>
      <c r="P9860" s="180" t="s">
        <v>257</v>
      </c>
      <c r="R9860" s="180" t="s">
        <v>257</v>
      </c>
    </row>
    <row r="9861" spans="8:18" x14ac:dyDescent="0.2">
      <c r="H9861" s="180"/>
      <c r="P9861" s="180" t="s">
        <v>257</v>
      </c>
      <c r="R9861" s="180" t="s">
        <v>257</v>
      </c>
    </row>
    <row r="9862" spans="8:18" x14ac:dyDescent="0.2">
      <c r="H9862" s="180"/>
      <c r="P9862" s="180" t="s">
        <v>257</v>
      </c>
      <c r="R9862" s="180" t="s">
        <v>257</v>
      </c>
    </row>
    <row r="9863" spans="8:18" x14ac:dyDescent="0.2">
      <c r="H9863" s="180"/>
      <c r="P9863" s="180" t="s">
        <v>257</v>
      </c>
      <c r="R9863" s="180" t="s">
        <v>257</v>
      </c>
    </row>
    <row r="9864" spans="8:18" x14ac:dyDescent="0.2">
      <c r="H9864" s="180"/>
      <c r="P9864" s="180" t="s">
        <v>257</v>
      </c>
      <c r="R9864" s="180" t="s">
        <v>257</v>
      </c>
    </row>
    <row r="9865" spans="8:18" x14ac:dyDescent="0.2">
      <c r="H9865" s="180"/>
      <c r="P9865" s="180" t="s">
        <v>257</v>
      </c>
      <c r="R9865" s="180" t="s">
        <v>257</v>
      </c>
    </row>
    <row r="9866" spans="8:18" x14ac:dyDescent="0.2">
      <c r="H9866" s="180"/>
      <c r="P9866" s="180" t="s">
        <v>257</v>
      </c>
      <c r="R9866" s="180" t="s">
        <v>257</v>
      </c>
    </row>
    <row r="9867" spans="8:18" x14ac:dyDescent="0.2">
      <c r="H9867" s="180"/>
      <c r="P9867" s="180" t="s">
        <v>257</v>
      </c>
      <c r="R9867" s="180" t="s">
        <v>257</v>
      </c>
    </row>
    <row r="9868" spans="8:18" x14ac:dyDescent="0.2">
      <c r="H9868" s="180"/>
      <c r="P9868" s="180" t="s">
        <v>257</v>
      </c>
      <c r="R9868" s="180" t="s">
        <v>257</v>
      </c>
    </row>
    <row r="9869" spans="8:18" x14ac:dyDescent="0.2">
      <c r="H9869" s="180"/>
      <c r="P9869" s="180" t="s">
        <v>257</v>
      </c>
      <c r="R9869" s="180" t="s">
        <v>257</v>
      </c>
    </row>
    <row r="9870" spans="8:18" x14ac:dyDescent="0.2">
      <c r="H9870" s="180"/>
      <c r="P9870" s="180" t="s">
        <v>257</v>
      </c>
      <c r="R9870" s="180" t="s">
        <v>257</v>
      </c>
    </row>
    <row r="9871" spans="8:18" x14ac:dyDescent="0.2">
      <c r="H9871" s="180"/>
      <c r="P9871" s="180" t="s">
        <v>257</v>
      </c>
      <c r="R9871" s="180" t="s">
        <v>257</v>
      </c>
    </row>
    <row r="9872" spans="8:18" x14ac:dyDescent="0.2">
      <c r="H9872" s="180"/>
      <c r="P9872" s="180" t="s">
        <v>257</v>
      </c>
      <c r="R9872" s="180" t="s">
        <v>257</v>
      </c>
    </row>
    <row r="9873" spans="8:18" x14ac:dyDescent="0.2">
      <c r="H9873" s="180"/>
      <c r="P9873" s="180" t="s">
        <v>257</v>
      </c>
      <c r="R9873" s="180" t="s">
        <v>257</v>
      </c>
    </row>
    <row r="9874" spans="8:18" x14ac:dyDescent="0.2">
      <c r="H9874" s="180"/>
      <c r="P9874" s="180" t="s">
        <v>257</v>
      </c>
      <c r="R9874" s="180" t="s">
        <v>257</v>
      </c>
    </row>
    <row r="9875" spans="8:18" x14ac:dyDescent="0.2">
      <c r="H9875" s="180"/>
      <c r="P9875" s="180" t="s">
        <v>257</v>
      </c>
      <c r="R9875" s="180" t="s">
        <v>257</v>
      </c>
    </row>
    <row r="9876" spans="8:18" x14ac:dyDescent="0.2">
      <c r="H9876" s="180"/>
      <c r="P9876" s="180" t="s">
        <v>257</v>
      </c>
      <c r="R9876" s="180" t="s">
        <v>257</v>
      </c>
    </row>
    <row r="9877" spans="8:18" x14ac:dyDescent="0.2">
      <c r="H9877" s="180"/>
      <c r="P9877" s="180" t="s">
        <v>257</v>
      </c>
      <c r="R9877" s="180" t="s">
        <v>257</v>
      </c>
    </row>
    <row r="9878" spans="8:18" x14ac:dyDescent="0.2">
      <c r="H9878" s="180"/>
      <c r="P9878" s="180" t="s">
        <v>257</v>
      </c>
      <c r="R9878" s="180" t="s">
        <v>257</v>
      </c>
    </row>
    <row r="9879" spans="8:18" x14ac:dyDescent="0.2">
      <c r="H9879" s="180"/>
      <c r="P9879" s="180" t="s">
        <v>257</v>
      </c>
      <c r="R9879" s="180" t="s">
        <v>257</v>
      </c>
    </row>
    <row r="9880" spans="8:18" x14ac:dyDescent="0.2">
      <c r="H9880" s="180"/>
      <c r="P9880" s="180" t="s">
        <v>257</v>
      </c>
      <c r="R9880" s="180" t="s">
        <v>257</v>
      </c>
    </row>
    <row r="9881" spans="8:18" x14ac:dyDescent="0.2">
      <c r="H9881" s="180"/>
      <c r="P9881" s="180" t="s">
        <v>257</v>
      </c>
      <c r="R9881" s="180" t="s">
        <v>257</v>
      </c>
    </row>
    <row r="9882" spans="8:18" x14ac:dyDescent="0.2">
      <c r="H9882" s="180"/>
      <c r="P9882" s="180" t="s">
        <v>257</v>
      </c>
      <c r="R9882" s="180" t="s">
        <v>257</v>
      </c>
    </row>
    <row r="9883" spans="8:18" x14ac:dyDescent="0.2">
      <c r="H9883" s="180"/>
      <c r="P9883" s="180" t="s">
        <v>257</v>
      </c>
      <c r="R9883" s="180" t="s">
        <v>257</v>
      </c>
    </row>
    <row r="9884" spans="8:18" x14ac:dyDescent="0.2">
      <c r="H9884" s="180"/>
      <c r="P9884" s="180" t="s">
        <v>257</v>
      </c>
      <c r="R9884" s="180" t="s">
        <v>257</v>
      </c>
    </row>
    <row r="9885" spans="8:18" x14ac:dyDescent="0.2">
      <c r="H9885" s="180"/>
      <c r="P9885" s="180" t="s">
        <v>257</v>
      </c>
      <c r="R9885" s="180" t="s">
        <v>257</v>
      </c>
    </row>
    <row r="9886" spans="8:18" x14ac:dyDescent="0.2">
      <c r="H9886" s="180"/>
      <c r="P9886" s="180" t="s">
        <v>257</v>
      </c>
      <c r="R9886" s="180" t="s">
        <v>257</v>
      </c>
    </row>
    <row r="9887" spans="8:18" x14ac:dyDescent="0.2">
      <c r="H9887" s="180"/>
      <c r="P9887" s="180" t="s">
        <v>257</v>
      </c>
      <c r="R9887" s="180" t="s">
        <v>257</v>
      </c>
    </row>
    <row r="9888" spans="8:18" x14ac:dyDescent="0.2">
      <c r="H9888" s="180"/>
      <c r="P9888" s="180" t="s">
        <v>257</v>
      </c>
      <c r="R9888" s="180" t="s">
        <v>257</v>
      </c>
    </row>
    <row r="9889" spans="8:18" x14ac:dyDescent="0.2">
      <c r="H9889" s="180"/>
      <c r="P9889" s="180" t="s">
        <v>257</v>
      </c>
      <c r="R9889" s="180" t="s">
        <v>257</v>
      </c>
    </row>
    <row r="9890" spans="8:18" x14ac:dyDescent="0.2">
      <c r="H9890" s="180"/>
      <c r="P9890" s="180" t="s">
        <v>257</v>
      </c>
      <c r="R9890" s="180" t="s">
        <v>257</v>
      </c>
    </row>
    <row r="9891" spans="8:18" x14ac:dyDescent="0.2">
      <c r="H9891" s="180"/>
      <c r="P9891" s="180" t="s">
        <v>257</v>
      </c>
      <c r="R9891" s="180" t="s">
        <v>257</v>
      </c>
    </row>
    <row r="9892" spans="8:18" x14ac:dyDescent="0.2">
      <c r="H9892" s="180"/>
      <c r="P9892" s="180" t="s">
        <v>257</v>
      </c>
      <c r="R9892" s="180" t="s">
        <v>257</v>
      </c>
    </row>
    <row r="9893" spans="8:18" x14ac:dyDescent="0.2">
      <c r="H9893" s="180"/>
      <c r="P9893" s="180" t="s">
        <v>257</v>
      </c>
      <c r="R9893" s="180" t="s">
        <v>257</v>
      </c>
    </row>
    <row r="9894" spans="8:18" x14ac:dyDescent="0.2">
      <c r="H9894" s="180"/>
      <c r="P9894" s="180" t="s">
        <v>257</v>
      </c>
      <c r="R9894" s="180" t="s">
        <v>257</v>
      </c>
    </row>
    <row r="9895" spans="8:18" x14ac:dyDescent="0.2">
      <c r="H9895" s="180"/>
      <c r="P9895" s="180" t="s">
        <v>257</v>
      </c>
      <c r="R9895" s="180" t="s">
        <v>257</v>
      </c>
    </row>
    <row r="9896" spans="8:18" x14ac:dyDescent="0.2">
      <c r="H9896" s="180"/>
      <c r="P9896" s="180" t="s">
        <v>257</v>
      </c>
      <c r="R9896" s="180" t="s">
        <v>257</v>
      </c>
    </row>
    <row r="9897" spans="8:18" x14ac:dyDescent="0.2">
      <c r="H9897" s="180"/>
      <c r="P9897" s="180" t="s">
        <v>257</v>
      </c>
      <c r="R9897" s="180" t="s">
        <v>257</v>
      </c>
    </row>
    <row r="9898" spans="8:18" x14ac:dyDescent="0.2">
      <c r="H9898" s="180"/>
      <c r="P9898" s="180" t="s">
        <v>257</v>
      </c>
      <c r="R9898" s="180" t="s">
        <v>257</v>
      </c>
    </row>
    <row r="9899" spans="8:18" x14ac:dyDescent="0.2">
      <c r="H9899" s="180"/>
      <c r="P9899" s="180" t="s">
        <v>257</v>
      </c>
      <c r="R9899" s="180" t="s">
        <v>257</v>
      </c>
    </row>
    <row r="9900" spans="8:18" x14ac:dyDescent="0.2">
      <c r="H9900" s="180"/>
      <c r="P9900" s="180" t="s">
        <v>257</v>
      </c>
      <c r="R9900" s="180" t="s">
        <v>257</v>
      </c>
    </row>
    <row r="9901" spans="8:18" x14ac:dyDescent="0.2">
      <c r="H9901" s="180"/>
      <c r="P9901" s="180" t="s">
        <v>257</v>
      </c>
      <c r="R9901" s="180" t="s">
        <v>257</v>
      </c>
    </row>
    <row r="9902" spans="8:18" x14ac:dyDescent="0.2">
      <c r="H9902" s="180"/>
      <c r="P9902" s="180" t="s">
        <v>257</v>
      </c>
      <c r="R9902" s="180" t="s">
        <v>257</v>
      </c>
    </row>
    <row r="9903" spans="8:18" x14ac:dyDescent="0.2">
      <c r="H9903" s="180"/>
      <c r="P9903" s="180" t="s">
        <v>257</v>
      </c>
      <c r="R9903" s="180" t="s">
        <v>257</v>
      </c>
    </row>
    <row r="9904" spans="8:18" x14ac:dyDescent="0.2">
      <c r="H9904" s="180"/>
      <c r="P9904" s="180" t="s">
        <v>257</v>
      </c>
      <c r="R9904" s="180" t="s">
        <v>257</v>
      </c>
    </row>
    <row r="9905" spans="8:18" x14ac:dyDescent="0.2">
      <c r="H9905" s="180"/>
      <c r="P9905" s="180" t="s">
        <v>257</v>
      </c>
      <c r="R9905" s="180" t="s">
        <v>257</v>
      </c>
    </row>
    <row r="9906" spans="8:18" x14ac:dyDescent="0.2">
      <c r="H9906" s="180"/>
      <c r="P9906" s="180" t="s">
        <v>257</v>
      </c>
      <c r="R9906" s="180" t="s">
        <v>257</v>
      </c>
    </row>
    <row r="9907" spans="8:18" x14ac:dyDescent="0.2">
      <c r="H9907" s="180"/>
      <c r="P9907" s="180" t="s">
        <v>257</v>
      </c>
      <c r="R9907" s="180" t="s">
        <v>257</v>
      </c>
    </row>
    <row r="9908" spans="8:18" x14ac:dyDescent="0.2">
      <c r="H9908" s="180"/>
      <c r="P9908" s="180" t="s">
        <v>257</v>
      </c>
      <c r="R9908" s="180" t="s">
        <v>257</v>
      </c>
    </row>
    <row r="9909" spans="8:18" x14ac:dyDescent="0.2">
      <c r="H9909" s="180"/>
      <c r="P9909" s="180" t="s">
        <v>257</v>
      </c>
      <c r="R9909" s="180" t="s">
        <v>257</v>
      </c>
    </row>
    <row r="9910" spans="8:18" x14ac:dyDescent="0.2">
      <c r="H9910" s="180"/>
      <c r="P9910" s="180" t="s">
        <v>257</v>
      </c>
      <c r="R9910" s="180" t="s">
        <v>257</v>
      </c>
    </row>
    <row r="9911" spans="8:18" x14ac:dyDescent="0.2">
      <c r="H9911" s="180"/>
      <c r="P9911" s="180" t="s">
        <v>257</v>
      </c>
      <c r="R9911" s="180" t="s">
        <v>257</v>
      </c>
    </row>
    <row r="9912" spans="8:18" x14ac:dyDescent="0.2">
      <c r="H9912" s="180"/>
      <c r="P9912" s="180" t="s">
        <v>257</v>
      </c>
      <c r="R9912" s="180" t="s">
        <v>257</v>
      </c>
    </row>
    <row r="9913" spans="8:18" x14ac:dyDescent="0.2">
      <c r="H9913" s="180"/>
      <c r="P9913" s="180" t="s">
        <v>257</v>
      </c>
      <c r="R9913" s="180" t="s">
        <v>257</v>
      </c>
    </row>
    <row r="9914" spans="8:18" x14ac:dyDescent="0.2">
      <c r="H9914" s="180"/>
      <c r="P9914" s="180" t="s">
        <v>257</v>
      </c>
      <c r="R9914" s="180" t="s">
        <v>257</v>
      </c>
    </row>
    <row r="9915" spans="8:18" x14ac:dyDescent="0.2">
      <c r="H9915" s="180"/>
      <c r="P9915" s="180" t="s">
        <v>257</v>
      </c>
      <c r="R9915" s="180" t="s">
        <v>257</v>
      </c>
    </row>
    <row r="9916" spans="8:18" x14ac:dyDescent="0.2">
      <c r="H9916" s="180"/>
      <c r="P9916" s="180" t="s">
        <v>257</v>
      </c>
      <c r="R9916" s="180" t="s">
        <v>257</v>
      </c>
    </row>
    <row r="9917" spans="8:18" x14ac:dyDescent="0.2">
      <c r="H9917" s="180"/>
      <c r="P9917" s="180" t="s">
        <v>257</v>
      </c>
      <c r="R9917" s="180" t="s">
        <v>257</v>
      </c>
    </row>
    <row r="9918" spans="8:18" x14ac:dyDescent="0.2">
      <c r="H9918" s="180"/>
      <c r="P9918" s="180" t="s">
        <v>257</v>
      </c>
      <c r="R9918" s="180" t="s">
        <v>257</v>
      </c>
    </row>
    <row r="9919" spans="8:18" x14ac:dyDescent="0.2">
      <c r="H9919" s="180"/>
      <c r="P9919" s="180" t="s">
        <v>257</v>
      </c>
      <c r="R9919" s="180" t="s">
        <v>257</v>
      </c>
    </row>
    <row r="9920" spans="8:18" x14ac:dyDescent="0.2">
      <c r="H9920" s="180"/>
      <c r="P9920" s="180" t="s">
        <v>257</v>
      </c>
      <c r="R9920" s="180" t="s">
        <v>257</v>
      </c>
    </row>
    <row r="9921" spans="8:18" x14ac:dyDescent="0.2">
      <c r="H9921" s="180"/>
      <c r="P9921" s="180" t="s">
        <v>257</v>
      </c>
      <c r="R9921" s="180" t="s">
        <v>257</v>
      </c>
    </row>
    <row r="9922" spans="8:18" x14ac:dyDescent="0.2">
      <c r="H9922" s="180"/>
      <c r="P9922" s="180" t="s">
        <v>257</v>
      </c>
      <c r="R9922" s="180" t="s">
        <v>257</v>
      </c>
    </row>
    <row r="9923" spans="8:18" x14ac:dyDescent="0.2">
      <c r="H9923" s="180"/>
      <c r="P9923" s="180" t="s">
        <v>257</v>
      </c>
      <c r="R9923" s="180" t="s">
        <v>257</v>
      </c>
    </row>
    <row r="9924" spans="8:18" x14ac:dyDescent="0.2">
      <c r="H9924" s="180"/>
      <c r="P9924" s="180" t="s">
        <v>257</v>
      </c>
      <c r="R9924" s="180" t="s">
        <v>257</v>
      </c>
    </row>
    <row r="9925" spans="8:18" x14ac:dyDescent="0.2">
      <c r="H9925" s="180"/>
      <c r="P9925" s="180" t="s">
        <v>257</v>
      </c>
      <c r="R9925" s="180" t="s">
        <v>257</v>
      </c>
    </row>
    <row r="9926" spans="8:18" x14ac:dyDescent="0.2">
      <c r="H9926" s="180"/>
      <c r="P9926" s="180" t="s">
        <v>257</v>
      </c>
      <c r="R9926" s="180" t="s">
        <v>257</v>
      </c>
    </row>
    <row r="9927" spans="8:18" x14ac:dyDescent="0.2">
      <c r="H9927" s="180"/>
      <c r="P9927" s="180" t="s">
        <v>257</v>
      </c>
      <c r="R9927" s="180" t="s">
        <v>257</v>
      </c>
    </row>
    <row r="9928" spans="8:18" x14ac:dyDescent="0.2">
      <c r="H9928" s="180"/>
      <c r="P9928" s="180" t="s">
        <v>257</v>
      </c>
      <c r="R9928" s="180" t="s">
        <v>257</v>
      </c>
    </row>
    <row r="9929" spans="8:18" x14ac:dyDescent="0.2">
      <c r="H9929" s="180"/>
      <c r="P9929" s="180" t="s">
        <v>257</v>
      </c>
      <c r="R9929" s="180" t="s">
        <v>257</v>
      </c>
    </row>
    <row r="9930" spans="8:18" x14ac:dyDescent="0.2">
      <c r="H9930" s="180"/>
      <c r="P9930" s="180" t="s">
        <v>257</v>
      </c>
      <c r="R9930" s="180" t="s">
        <v>257</v>
      </c>
    </row>
    <row r="9931" spans="8:18" x14ac:dyDescent="0.2">
      <c r="H9931" s="180"/>
      <c r="P9931" s="180" t="s">
        <v>257</v>
      </c>
      <c r="R9931" s="180" t="s">
        <v>257</v>
      </c>
    </row>
    <row r="9932" spans="8:18" x14ac:dyDescent="0.2">
      <c r="H9932" s="180"/>
      <c r="P9932" s="180" t="s">
        <v>257</v>
      </c>
      <c r="R9932" s="180" t="s">
        <v>257</v>
      </c>
    </row>
    <row r="9933" spans="8:18" x14ac:dyDescent="0.2">
      <c r="H9933" s="180"/>
      <c r="P9933" s="180" t="s">
        <v>257</v>
      </c>
      <c r="R9933" s="180" t="s">
        <v>257</v>
      </c>
    </row>
    <row r="9934" spans="8:18" x14ac:dyDescent="0.2">
      <c r="H9934" s="180"/>
      <c r="P9934" s="180" t="s">
        <v>257</v>
      </c>
      <c r="R9934" s="180" t="s">
        <v>257</v>
      </c>
    </row>
    <row r="9935" spans="8:18" x14ac:dyDescent="0.2">
      <c r="H9935" s="180"/>
      <c r="P9935" s="180" t="s">
        <v>257</v>
      </c>
      <c r="R9935" s="180" t="s">
        <v>257</v>
      </c>
    </row>
    <row r="9936" spans="8:18" x14ac:dyDescent="0.2">
      <c r="H9936" s="180"/>
      <c r="P9936" s="180" t="s">
        <v>257</v>
      </c>
      <c r="R9936" s="180" t="s">
        <v>257</v>
      </c>
    </row>
    <row r="9937" spans="8:18" x14ac:dyDescent="0.2">
      <c r="H9937" s="180"/>
      <c r="P9937" s="180" t="s">
        <v>257</v>
      </c>
      <c r="R9937" s="180" t="s">
        <v>257</v>
      </c>
    </row>
    <row r="9938" spans="8:18" x14ac:dyDescent="0.2">
      <c r="H9938" s="180"/>
      <c r="P9938" s="180" t="s">
        <v>257</v>
      </c>
      <c r="R9938" s="180" t="s">
        <v>257</v>
      </c>
    </row>
    <row r="9939" spans="8:18" x14ac:dyDescent="0.2">
      <c r="H9939" s="180"/>
      <c r="P9939" s="180" t="s">
        <v>257</v>
      </c>
      <c r="R9939" s="180" t="s">
        <v>257</v>
      </c>
    </row>
    <row r="9940" spans="8:18" x14ac:dyDescent="0.2">
      <c r="H9940" s="180"/>
      <c r="P9940" s="180" t="s">
        <v>257</v>
      </c>
      <c r="R9940" s="180" t="s">
        <v>257</v>
      </c>
    </row>
    <row r="9941" spans="8:18" x14ac:dyDescent="0.2">
      <c r="H9941" s="180"/>
      <c r="P9941" s="180" t="s">
        <v>257</v>
      </c>
      <c r="R9941" s="180" t="s">
        <v>257</v>
      </c>
    </row>
    <row r="9942" spans="8:18" x14ac:dyDescent="0.2">
      <c r="H9942" s="180"/>
      <c r="P9942" s="180" t="s">
        <v>257</v>
      </c>
      <c r="R9942" s="180" t="s">
        <v>257</v>
      </c>
    </row>
    <row r="9943" spans="8:18" x14ac:dyDescent="0.2">
      <c r="H9943" s="180"/>
      <c r="P9943" s="180" t="s">
        <v>257</v>
      </c>
      <c r="R9943" s="180" t="s">
        <v>257</v>
      </c>
    </row>
    <row r="9944" spans="8:18" x14ac:dyDescent="0.2">
      <c r="H9944" s="180"/>
      <c r="P9944" s="180" t="s">
        <v>257</v>
      </c>
      <c r="R9944" s="180" t="s">
        <v>257</v>
      </c>
    </row>
    <row r="9945" spans="8:18" x14ac:dyDescent="0.2">
      <c r="H9945" s="180"/>
      <c r="P9945" s="180" t="s">
        <v>257</v>
      </c>
      <c r="R9945" s="180" t="s">
        <v>257</v>
      </c>
    </row>
    <row r="9946" spans="8:18" x14ac:dyDescent="0.2">
      <c r="H9946" s="180"/>
      <c r="P9946" s="180" t="s">
        <v>257</v>
      </c>
      <c r="R9946" s="180" t="s">
        <v>257</v>
      </c>
    </row>
    <row r="9947" spans="8:18" x14ac:dyDescent="0.2">
      <c r="H9947" s="180"/>
      <c r="P9947" s="180" t="s">
        <v>257</v>
      </c>
      <c r="R9947" s="180" t="s">
        <v>257</v>
      </c>
    </row>
    <row r="9948" spans="8:18" x14ac:dyDescent="0.2">
      <c r="H9948" s="180"/>
      <c r="P9948" s="180" t="s">
        <v>257</v>
      </c>
      <c r="R9948" s="180" t="s">
        <v>257</v>
      </c>
    </row>
    <row r="9949" spans="8:18" x14ac:dyDescent="0.2">
      <c r="H9949" s="180"/>
      <c r="P9949" s="180" t="s">
        <v>257</v>
      </c>
      <c r="R9949" s="180" t="s">
        <v>257</v>
      </c>
    </row>
    <row r="9950" spans="8:18" x14ac:dyDescent="0.2">
      <c r="H9950" s="180"/>
      <c r="P9950" s="180" t="s">
        <v>257</v>
      </c>
      <c r="R9950" s="180" t="s">
        <v>257</v>
      </c>
    </row>
    <row r="9951" spans="8:18" x14ac:dyDescent="0.2">
      <c r="H9951" s="180"/>
      <c r="P9951" s="180" t="s">
        <v>257</v>
      </c>
      <c r="R9951" s="180" t="s">
        <v>257</v>
      </c>
    </row>
    <row r="9952" spans="8:18" x14ac:dyDescent="0.2">
      <c r="H9952" s="180"/>
      <c r="P9952" s="180" t="s">
        <v>257</v>
      </c>
      <c r="R9952" s="180" t="s">
        <v>257</v>
      </c>
    </row>
    <row r="9953" spans="8:18" x14ac:dyDescent="0.2">
      <c r="H9953" s="180"/>
      <c r="P9953" s="180" t="s">
        <v>257</v>
      </c>
      <c r="R9953" s="180" t="s">
        <v>257</v>
      </c>
    </row>
    <row r="9954" spans="8:18" x14ac:dyDescent="0.2">
      <c r="H9954" s="180"/>
      <c r="P9954" s="180" t="s">
        <v>257</v>
      </c>
      <c r="R9954" s="180" t="s">
        <v>257</v>
      </c>
    </row>
    <row r="9955" spans="8:18" x14ac:dyDescent="0.2">
      <c r="H9955" s="180"/>
      <c r="P9955" s="180" t="s">
        <v>257</v>
      </c>
      <c r="R9955" s="180" t="s">
        <v>257</v>
      </c>
    </row>
    <row r="9956" spans="8:18" x14ac:dyDescent="0.2">
      <c r="H9956" s="180"/>
      <c r="P9956" s="180" t="s">
        <v>257</v>
      </c>
      <c r="R9956" s="180" t="s">
        <v>257</v>
      </c>
    </row>
    <row r="9957" spans="8:18" x14ac:dyDescent="0.2">
      <c r="H9957" s="180"/>
      <c r="P9957" s="180" t="s">
        <v>257</v>
      </c>
      <c r="R9957" s="180" t="s">
        <v>257</v>
      </c>
    </row>
    <row r="9958" spans="8:18" x14ac:dyDescent="0.2">
      <c r="H9958" s="180"/>
      <c r="P9958" s="180" t="s">
        <v>257</v>
      </c>
      <c r="R9958" s="180" t="s">
        <v>257</v>
      </c>
    </row>
    <row r="9959" spans="8:18" x14ac:dyDescent="0.2">
      <c r="H9959" s="180"/>
      <c r="P9959" s="180" t="s">
        <v>257</v>
      </c>
      <c r="R9959" s="180" t="s">
        <v>257</v>
      </c>
    </row>
    <row r="9960" spans="8:18" x14ac:dyDescent="0.2">
      <c r="H9960" s="180"/>
      <c r="P9960" s="180" t="s">
        <v>257</v>
      </c>
      <c r="R9960" s="180" t="s">
        <v>257</v>
      </c>
    </row>
    <row r="9961" spans="8:18" x14ac:dyDescent="0.2">
      <c r="H9961" s="180"/>
      <c r="P9961" s="180" t="s">
        <v>257</v>
      </c>
      <c r="R9961" s="180" t="s">
        <v>257</v>
      </c>
    </row>
    <row r="9962" spans="8:18" x14ac:dyDescent="0.2">
      <c r="H9962" s="180"/>
      <c r="P9962" s="180" t="s">
        <v>257</v>
      </c>
      <c r="R9962" s="180" t="s">
        <v>257</v>
      </c>
    </row>
    <row r="9963" spans="8:18" x14ac:dyDescent="0.2">
      <c r="H9963" s="180"/>
      <c r="P9963" s="180" t="s">
        <v>257</v>
      </c>
      <c r="R9963" s="180" t="s">
        <v>257</v>
      </c>
    </row>
    <row r="9964" spans="8:18" x14ac:dyDescent="0.2">
      <c r="H9964" s="180"/>
      <c r="P9964" s="180" t="s">
        <v>257</v>
      </c>
      <c r="R9964" s="180" t="s">
        <v>257</v>
      </c>
    </row>
    <row r="9965" spans="8:18" x14ac:dyDescent="0.2">
      <c r="H9965" s="180"/>
      <c r="P9965" s="180" t="s">
        <v>257</v>
      </c>
      <c r="R9965" s="180" t="s">
        <v>257</v>
      </c>
    </row>
    <row r="9966" spans="8:18" x14ac:dyDescent="0.2">
      <c r="H9966" s="180"/>
      <c r="P9966" s="180" t="s">
        <v>257</v>
      </c>
      <c r="R9966" s="180" t="s">
        <v>257</v>
      </c>
    </row>
    <row r="9967" spans="8:18" x14ac:dyDescent="0.2">
      <c r="H9967" s="180"/>
      <c r="P9967" s="180" t="s">
        <v>257</v>
      </c>
      <c r="R9967" s="180" t="s">
        <v>257</v>
      </c>
    </row>
    <row r="9968" spans="8:18" x14ac:dyDescent="0.2">
      <c r="H9968" s="180"/>
      <c r="P9968" s="180" t="s">
        <v>257</v>
      </c>
      <c r="R9968" s="180" t="s">
        <v>257</v>
      </c>
    </row>
    <row r="9969" spans="8:18" x14ac:dyDescent="0.2">
      <c r="H9969" s="180"/>
      <c r="P9969" s="180" t="s">
        <v>257</v>
      </c>
      <c r="R9969" s="180" t="s">
        <v>257</v>
      </c>
    </row>
    <row r="9970" spans="8:18" x14ac:dyDescent="0.2">
      <c r="H9970" s="180"/>
      <c r="P9970" s="180" t="s">
        <v>257</v>
      </c>
      <c r="R9970" s="180" t="s">
        <v>257</v>
      </c>
    </row>
    <row r="9971" spans="8:18" x14ac:dyDescent="0.2">
      <c r="H9971" s="180"/>
      <c r="P9971" s="180" t="s">
        <v>257</v>
      </c>
      <c r="R9971" s="180" t="s">
        <v>257</v>
      </c>
    </row>
    <row r="9972" spans="8:18" x14ac:dyDescent="0.2">
      <c r="H9972" s="180"/>
      <c r="P9972" s="180" t="s">
        <v>257</v>
      </c>
      <c r="R9972" s="180" t="s">
        <v>257</v>
      </c>
    </row>
    <row r="9973" spans="8:18" x14ac:dyDescent="0.2">
      <c r="H9973" s="180"/>
      <c r="P9973" s="180" t="s">
        <v>257</v>
      </c>
      <c r="R9973" s="180" t="s">
        <v>257</v>
      </c>
    </row>
    <row r="9974" spans="8:18" x14ac:dyDescent="0.2">
      <c r="H9974" s="180"/>
      <c r="P9974" s="180" t="s">
        <v>257</v>
      </c>
      <c r="R9974" s="180" t="s">
        <v>257</v>
      </c>
    </row>
    <row r="9975" spans="8:18" x14ac:dyDescent="0.2">
      <c r="H9975" s="180"/>
      <c r="P9975" s="180" t="s">
        <v>257</v>
      </c>
      <c r="R9975" s="180" t="s">
        <v>257</v>
      </c>
    </row>
    <row r="9976" spans="8:18" x14ac:dyDescent="0.2">
      <c r="H9976" s="180"/>
      <c r="P9976" s="180" t="s">
        <v>257</v>
      </c>
      <c r="R9976" s="180" t="s">
        <v>257</v>
      </c>
    </row>
    <row r="9977" spans="8:18" x14ac:dyDescent="0.2">
      <c r="H9977" s="180"/>
      <c r="P9977" s="180" t="s">
        <v>257</v>
      </c>
      <c r="R9977" s="180" t="s">
        <v>257</v>
      </c>
    </row>
    <row r="9978" spans="8:18" x14ac:dyDescent="0.2">
      <c r="H9978" s="180"/>
      <c r="P9978" s="180" t="s">
        <v>257</v>
      </c>
      <c r="R9978" s="180" t="s">
        <v>257</v>
      </c>
    </row>
    <row r="9979" spans="8:18" x14ac:dyDescent="0.2">
      <c r="H9979" s="180"/>
      <c r="P9979" s="180" t="s">
        <v>257</v>
      </c>
      <c r="R9979" s="180" t="s">
        <v>257</v>
      </c>
    </row>
    <row r="9980" spans="8:18" x14ac:dyDescent="0.2">
      <c r="H9980" s="180"/>
      <c r="P9980" s="180" t="s">
        <v>257</v>
      </c>
      <c r="R9980" s="180" t="s">
        <v>257</v>
      </c>
    </row>
    <row r="9981" spans="8:18" x14ac:dyDescent="0.2">
      <c r="H9981" s="180"/>
      <c r="P9981" s="180" t="s">
        <v>257</v>
      </c>
      <c r="R9981" s="180" t="s">
        <v>257</v>
      </c>
    </row>
    <row r="9982" spans="8:18" x14ac:dyDescent="0.2">
      <c r="H9982" s="180"/>
      <c r="P9982" s="180" t="s">
        <v>257</v>
      </c>
      <c r="R9982" s="180" t="s">
        <v>257</v>
      </c>
    </row>
    <row r="9983" spans="8:18" x14ac:dyDescent="0.2">
      <c r="H9983" s="180"/>
      <c r="P9983" s="180" t="s">
        <v>257</v>
      </c>
      <c r="R9983" s="180" t="s">
        <v>257</v>
      </c>
    </row>
    <row r="9984" spans="8:18" x14ac:dyDescent="0.2">
      <c r="H9984" s="180"/>
      <c r="P9984" s="180" t="s">
        <v>257</v>
      </c>
      <c r="R9984" s="180" t="s">
        <v>257</v>
      </c>
    </row>
    <row r="9985" spans="8:18" x14ac:dyDescent="0.2">
      <c r="H9985" s="180"/>
      <c r="P9985" s="180" t="s">
        <v>257</v>
      </c>
      <c r="R9985" s="180" t="s">
        <v>257</v>
      </c>
    </row>
    <row r="9986" spans="8:18" x14ac:dyDescent="0.2">
      <c r="H9986" s="180"/>
      <c r="P9986" s="180" t="s">
        <v>257</v>
      </c>
      <c r="R9986" s="180" t="s">
        <v>257</v>
      </c>
    </row>
    <row r="9987" spans="8:18" x14ac:dyDescent="0.2">
      <c r="H9987" s="180"/>
      <c r="P9987" s="180" t="s">
        <v>257</v>
      </c>
      <c r="R9987" s="180" t="s">
        <v>257</v>
      </c>
    </row>
    <row r="9988" spans="8:18" x14ac:dyDescent="0.2">
      <c r="H9988" s="180"/>
      <c r="P9988" s="180" t="s">
        <v>257</v>
      </c>
      <c r="R9988" s="180" t="s">
        <v>257</v>
      </c>
    </row>
    <row r="9989" spans="8:18" x14ac:dyDescent="0.2">
      <c r="H9989" s="180"/>
      <c r="P9989" s="180" t="s">
        <v>257</v>
      </c>
      <c r="R9989" s="180" t="s">
        <v>257</v>
      </c>
    </row>
    <row r="9990" spans="8:18" x14ac:dyDescent="0.2">
      <c r="H9990" s="180"/>
      <c r="P9990" s="180" t="s">
        <v>257</v>
      </c>
      <c r="R9990" s="180" t="s">
        <v>257</v>
      </c>
    </row>
    <row r="9991" spans="8:18" x14ac:dyDescent="0.2">
      <c r="H9991" s="180"/>
      <c r="P9991" s="180" t="s">
        <v>257</v>
      </c>
      <c r="R9991" s="180" t="s">
        <v>257</v>
      </c>
    </row>
    <row r="9992" spans="8:18" x14ac:dyDescent="0.2">
      <c r="H9992" s="180"/>
      <c r="P9992" s="180" t="s">
        <v>257</v>
      </c>
      <c r="R9992" s="180" t="s">
        <v>257</v>
      </c>
    </row>
    <row r="9993" spans="8:18" x14ac:dyDescent="0.2">
      <c r="H9993" s="180"/>
      <c r="P9993" s="180" t="s">
        <v>257</v>
      </c>
      <c r="R9993" s="180" t="s">
        <v>257</v>
      </c>
    </row>
    <row r="9994" spans="8:18" x14ac:dyDescent="0.2">
      <c r="H9994" s="180"/>
      <c r="P9994" s="180" t="s">
        <v>257</v>
      </c>
      <c r="R9994" s="180" t="s">
        <v>257</v>
      </c>
    </row>
    <row r="9995" spans="8:18" x14ac:dyDescent="0.2">
      <c r="H9995" s="180"/>
      <c r="P9995" s="180" t="s">
        <v>257</v>
      </c>
      <c r="R9995" s="180" t="s">
        <v>257</v>
      </c>
    </row>
    <row r="9996" spans="8:18" x14ac:dyDescent="0.2">
      <c r="H9996" s="180"/>
      <c r="P9996" s="180" t="s">
        <v>257</v>
      </c>
      <c r="R9996" s="180" t="s">
        <v>257</v>
      </c>
    </row>
    <row r="9997" spans="8:18" x14ac:dyDescent="0.2">
      <c r="H9997" s="180"/>
      <c r="P9997" s="180" t="s">
        <v>257</v>
      </c>
      <c r="R9997" s="180" t="s">
        <v>257</v>
      </c>
    </row>
    <row r="9998" spans="8:18" x14ac:dyDescent="0.2">
      <c r="H9998" s="180"/>
      <c r="P9998" s="180" t="s">
        <v>257</v>
      </c>
      <c r="R9998" s="180" t="s">
        <v>257</v>
      </c>
    </row>
    <row r="9999" spans="8:18" x14ac:dyDescent="0.2">
      <c r="H9999" s="180"/>
      <c r="P9999" s="180" t="s">
        <v>257</v>
      </c>
      <c r="R9999" s="180" t="s">
        <v>257</v>
      </c>
    </row>
    <row r="10000" spans="8:18" x14ac:dyDescent="0.2">
      <c r="H10000" s="180"/>
      <c r="P10000" s="180" t="s">
        <v>257</v>
      </c>
      <c r="R10000" s="180" t="s">
        <v>257</v>
      </c>
    </row>
    <row r="10001" spans="8:18" x14ac:dyDescent="0.2">
      <c r="H10001" s="180"/>
      <c r="P10001" s="180" t="s">
        <v>257</v>
      </c>
      <c r="R10001" s="180" t="s">
        <v>257</v>
      </c>
    </row>
    <row r="10002" spans="8:18" x14ac:dyDescent="0.2">
      <c r="H10002" s="180"/>
      <c r="P10002" s="180" t="s">
        <v>257</v>
      </c>
      <c r="R10002" s="180" t="s">
        <v>257</v>
      </c>
    </row>
    <row r="10003" spans="8:18" x14ac:dyDescent="0.2">
      <c r="H10003" s="180"/>
      <c r="P10003" s="180" t="s">
        <v>257</v>
      </c>
      <c r="R10003" s="180" t="s">
        <v>257</v>
      </c>
    </row>
    <row r="10004" spans="8:18" x14ac:dyDescent="0.2">
      <c r="H10004" s="180"/>
      <c r="P10004" s="180" t="s">
        <v>257</v>
      </c>
      <c r="R10004" s="180" t="s">
        <v>257</v>
      </c>
    </row>
    <row r="10005" spans="8:18" x14ac:dyDescent="0.2">
      <c r="H10005" s="180"/>
      <c r="P10005" s="180" t="s">
        <v>257</v>
      </c>
      <c r="R10005" s="180" t="s">
        <v>257</v>
      </c>
    </row>
    <row r="10006" spans="8:18" x14ac:dyDescent="0.2">
      <c r="H10006" s="180"/>
      <c r="P10006" s="180" t="s">
        <v>257</v>
      </c>
      <c r="R10006" s="180" t="s">
        <v>257</v>
      </c>
    </row>
    <row r="10007" spans="8:18" x14ac:dyDescent="0.2">
      <c r="H10007" s="180"/>
      <c r="P10007" s="180" t="s">
        <v>257</v>
      </c>
      <c r="R10007" s="180" t="s">
        <v>257</v>
      </c>
    </row>
    <row r="10008" spans="8:18" x14ac:dyDescent="0.2">
      <c r="H10008" s="180"/>
      <c r="P10008" s="180" t="s">
        <v>257</v>
      </c>
      <c r="R10008" s="180" t="s">
        <v>257</v>
      </c>
    </row>
    <row r="10009" spans="8:18" x14ac:dyDescent="0.2">
      <c r="H10009" s="180"/>
      <c r="P10009" s="180" t="s">
        <v>257</v>
      </c>
      <c r="R10009" s="180" t="s">
        <v>257</v>
      </c>
    </row>
    <row r="10010" spans="8:18" x14ac:dyDescent="0.2">
      <c r="H10010" s="180"/>
      <c r="P10010" s="180" t="s">
        <v>257</v>
      </c>
      <c r="R10010" s="180" t="s">
        <v>257</v>
      </c>
    </row>
    <row r="10011" spans="8:18" x14ac:dyDescent="0.2">
      <c r="H10011" s="180"/>
      <c r="P10011" s="180" t="s">
        <v>257</v>
      </c>
      <c r="R10011" s="180" t="s">
        <v>257</v>
      </c>
    </row>
    <row r="10012" spans="8:18" x14ac:dyDescent="0.2">
      <c r="H10012" s="180"/>
      <c r="P10012" s="180" t="s">
        <v>257</v>
      </c>
      <c r="R10012" s="180" t="s">
        <v>257</v>
      </c>
    </row>
    <row r="10013" spans="8:18" x14ac:dyDescent="0.2">
      <c r="H10013" s="180"/>
      <c r="P10013" s="180" t="s">
        <v>257</v>
      </c>
      <c r="R10013" s="180" t="s">
        <v>257</v>
      </c>
    </row>
    <row r="10014" spans="8:18" x14ac:dyDescent="0.2">
      <c r="H10014" s="180"/>
      <c r="P10014" s="180" t="s">
        <v>257</v>
      </c>
      <c r="R10014" s="180" t="s">
        <v>257</v>
      </c>
    </row>
    <row r="10015" spans="8:18" x14ac:dyDescent="0.2">
      <c r="H10015" s="180"/>
      <c r="P10015" s="180" t="s">
        <v>257</v>
      </c>
      <c r="R10015" s="180" t="s">
        <v>257</v>
      </c>
    </row>
    <row r="10016" spans="8:18" x14ac:dyDescent="0.2">
      <c r="H10016" s="180"/>
      <c r="P10016" s="180" t="s">
        <v>257</v>
      </c>
      <c r="R10016" s="180" t="s">
        <v>257</v>
      </c>
    </row>
    <row r="10017" spans="8:18" x14ac:dyDescent="0.2">
      <c r="H10017" s="180"/>
      <c r="P10017" s="180" t="s">
        <v>257</v>
      </c>
      <c r="R10017" s="180" t="s">
        <v>257</v>
      </c>
    </row>
    <row r="10018" spans="8:18" x14ac:dyDescent="0.2">
      <c r="H10018" s="180"/>
      <c r="P10018" s="180" t="s">
        <v>257</v>
      </c>
      <c r="R10018" s="180" t="s">
        <v>257</v>
      </c>
    </row>
    <row r="10019" spans="8:18" x14ac:dyDescent="0.2">
      <c r="H10019" s="180"/>
      <c r="P10019" s="180" t="s">
        <v>257</v>
      </c>
      <c r="R10019" s="180" t="s">
        <v>257</v>
      </c>
    </row>
    <row r="10020" spans="8:18" x14ac:dyDescent="0.2">
      <c r="H10020" s="180"/>
      <c r="P10020" s="180" t="s">
        <v>257</v>
      </c>
      <c r="R10020" s="180" t="s">
        <v>257</v>
      </c>
    </row>
    <row r="10021" spans="8:18" x14ac:dyDescent="0.2">
      <c r="H10021" s="180"/>
      <c r="P10021" s="180" t="s">
        <v>257</v>
      </c>
      <c r="R10021" s="180" t="s">
        <v>257</v>
      </c>
    </row>
    <row r="10022" spans="8:18" x14ac:dyDescent="0.2">
      <c r="H10022" s="180"/>
      <c r="P10022" s="180" t="s">
        <v>257</v>
      </c>
      <c r="R10022" s="180" t="s">
        <v>257</v>
      </c>
    </row>
    <row r="10023" spans="8:18" x14ac:dyDescent="0.2">
      <c r="H10023" s="180"/>
      <c r="P10023" s="180" t="s">
        <v>257</v>
      </c>
      <c r="R10023" s="180" t="s">
        <v>257</v>
      </c>
    </row>
    <row r="10024" spans="8:18" x14ac:dyDescent="0.2">
      <c r="H10024" s="180"/>
      <c r="P10024" s="180" t="s">
        <v>257</v>
      </c>
      <c r="R10024" s="180" t="s">
        <v>257</v>
      </c>
    </row>
    <row r="10025" spans="8:18" x14ac:dyDescent="0.2">
      <c r="H10025" s="180"/>
      <c r="P10025" s="180" t="s">
        <v>257</v>
      </c>
      <c r="R10025" s="180" t="s">
        <v>257</v>
      </c>
    </row>
    <row r="10026" spans="8:18" x14ac:dyDescent="0.2">
      <c r="H10026" s="180"/>
      <c r="P10026" s="180" t="s">
        <v>257</v>
      </c>
      <c r="R10026" s="180" t="s">
        <v>257</v>
      </c>
    </row>
    <row r="10027" spans="8:18" x14ac:dyDescent="0.2">
      <c r="H10027" s="180"/>
      <c r="P10027" s="180" t="s">
        <v>257</v>
      </c>
      <c r="R10027" s="180" t="s">
        <v>257</v>
      </c>
    </row>
    <row r="10028" spans="8:18" x14ac:dyDescent="0.2">
      <c r="H10028" s="180"/>
      <c r="P10028" s="180" t="s">
        <v>257</v>
      </c>
      <c r="R10028" s="180" t="s">
        <v>257</v>
      </c>
    </row>
    <row r="10029" spans="8:18" x14ac:dyDescent="0.2">
      <c r="H10029" s="180"/>
      <c r="P10029" s="180" t="s">
        <v>257</v>
      </c>
      <c r="R10029" s="180" t="s">
        <v>257</v>
      </c>
    </row>
    <row r="10030" spans="8:18" x14ac:dyDescent="0.2">
      <c r="H10030" s="180"/>
      <c r="P10030" s="180" t="s">
        <v>257</v>
      </c>
      <c r="R10030" s="180" t="s">
        <v>257</v>
      </c>
    </row>
    <row r="10031" spans="8:18" x14ac:dyDescent="0.2">
      <c r="H10031" s="180"/>
      <c r="P10031" s="180" t="s">
        <v>257</v>
      </c>
      <c r="R10031" s="180" t="s">
        <v>257</v>
      </c>
    </row>
    <row r="10032" spans="8:18" x14ac:dyDescent="0.2">
      <c r="H10032" s="180"/>
      <c r="P10032" s="180" t="s">
        <v>257</v>
      </c>
      <c r="R10032" s="180" t="s">
        <v>257</v>
      </c>
    </row>
    <row r="10033" spans="8:18" x14ac:dyDescent="0.2">
      <c r="H10033" s="180"/>
      <c r="P10033" s="180" t="s">
        <v>257</v>
      </c>
      <c r="R10033" s="180" t="s">
        <v>257</v>
      </c>
    </row>
    <row r="10034" spans="8:18" x14ac:dyDescent="0.2">
      <c r="H10034" s="180"/>
      <c r="P10034" s="180" t="s">
        <v>257</v>
      </c>
      <c r="R10034" s="180" t="s">
        <v>257</v>
      </c>
    </row>
    <row r="10035" spans="8:18" x14ac:dyDescent="0.2">
      <c r="H10035" s="180"/>
      <c r="P10035" s="180" t="s">
        <v>257</v>
      </c>
      <c r="R10035" s="180" t="s">
        <v>257</v>
      </c>
    </row>
    <row r="10036" spans="8:18" x14ac:dyDescent="0.2">
      <c r="H10036" s="180"/>
      <c r="P10036" s="180" t="s">
        <v>257</v>
      </c>
      <c r="R10036" s="180" t="s">
        <v>257</v>
      </c>
    </row>
    <row r="10037" spans="8:18" x14ac:dyDescent="0.2">
      <c r="H10037" s="180"/>
      <c r="P10037" s="180" t="s">
        <v>257</v>
      </c>
      <c r="R10037" s="180" t="s">
        <v>257</v>
      </c>
    </row>
    <row r="10038" spans="8:18" x14ac:dyDescent="0.2">
      <c r="H10038" s="180"/>
      <c r="P10038" s="180" t="s">
        <v>257</v>
      </c>
      <c r="R10038" s="180" t="s">
        <v>257</v>
      </c>
    </row>
    <row r="10039" spans="8:18" x14ac:dyDescent="0.2">
      <c r="H10039" s="180"/>
      <c r="P10039" s="180" t="s">
        <v>257</v>
      </c>
      <c r="R10039" s="180" t="s">
        <v>257</v>
      </c>
    </row>
    <row r="10040" spans="8:18" x14ac:dyDescent="0.2">
      <c r="H10040" s="180"/>
      <c r="P10040" s="180" t="s">
        <v>257</v>
      </c>
      <c r="R10040" s="180" t="s">
        <v>257</v>
      </c>
    </row>
    <row r="10041" spans="8:18" x14ac:dyDescent="0.2">
      <c r="H10041" s="180"/>
      <c r="P10041" s="180" t="s">
        <v>257</v>
      </c>
      <c r="R10041" s="180" t="s">
        <v>257</v>
      </c>
    </row>
    <row r="10042" spans="8:18" x14ac:dyDescent="0.2">
      <c r="H10042" s="180"/>
      <c r="P10042" s="180" t="s">
        <v>257</v>
      </c>
      <c r="R10042" s="180" t="s">
        <v>257</v>
      </c>
    </row>
    <row r="10043" spans="8:18" x14ac:dyDescent="0.2">
      <c r="H10043" s="180"/>
      <c r="P10043" s="180" t="s">
        <v>257</v>
      </c>
      <c r="R10043" s="180" t="s">
        <v>257</v>
      </c>
    </row>
    <row r="10044" spans="8:18" x14ac:dyDescent="0.2">
      <c r="H10044" s="180"/>
      <c r="P10044" s="180" t="s">
        <v>257</v>
      </c>
      <c r="R10044" s="180" t="s">
        <v>257</v>
      </c>
    </row>
    <row r="10045" spans="8:18" x14ac:dyDescent="0.2">
      <c r="H10045" s="180"/>
      <c r="P10045" s="180" t="s">
        <v>257</v>
      </c>
      <c r="R10045" s="180" t="s">
        <v>257</v>
      </c>
    </row>
    <row r="10046" spans="8:18" x14ac:dyDescent="0.2">
      <c r="H10046" s="180"/>
      <c r="P10046" s="180" t="s">
        <v>257</v>
      </c>
      <c r="R10046" s="180" t="s">
        <v>257</v>
      </c>
    </row>
    <row r="10047" spans="8:18" x14ac:dyDescent="0.2">
      <c r="H10047" s="180"/>
      <c r="P10047" s="180" t="s">
        <v>257</v>
      </c>
      <c r="R10047" s="180" t="s">
        <v>257</v>
      </c>
    </row>
    <row r="10048" spans="8:18" x14ac:dyDescent="0.2">
      <c r="H10048" s="180"/>
      <c r="P10048" s="180" t="s">
        <v>257</v>
      </c>
      <c r="R10048" s="180" t="s">
        <v>257</v>
      </c>
    </row>
    <row r="10049" spans="8:18" x14ac:dyDescent="0.2">
      <c r="H10049" s="180"/>
      <c r="P10049" s="180" t="s">
        <v>257</v>
      </c>
      <c r="R10049" s="180" t="s">
        <v>257</v>
      </c>
    </row>
    <row r="10050" spans="8:18" x14ac:dyDescent="0.2">
      <c r="H10050" s="180"/>
      <c r="P10050" s="180" t="s">
        <v>257</v>
      </c>
      <c r="R10050" s="180" t="s">
        <v>257</v>
      </c>
    </row>
    <row r="10051" spans="8:18" x14ac:dyDescent="0.2">
      <c r="H10051" s="180"/>
      <c r="P10051" s="180" t="s">
        <v>257</v>
      </c>
      <c r="R10051" s="180" t="s">
        <v>257</v>
      </c>
    </row>
    <row r="10052" spans="8:18" x14ac:dyDescent="0.2">
      <c r="H10052" s="180"/>
      <c r="P10052" s="180" t="s">
        <v>257</v>
      </c>
      <c r="R10052" s="180" t="s">
        <v>257</v>
      </c>
    </row>
    <row r="10053" spans="8:18" x14ac:dyDescent="0.2">
      <c r="H10053" s="180"/>
      <c r="P10053" s="180" t="s">
        <v>257</v>
      </c>
      <c r="R10053" s="180" t="s">
        <v>257</v>
      </c>
    </row>
    <row r="10054" spans="8:18" x14ac:dyDescent="0.2">
      <c r="H10054" s="180"/>
      <c r="P10054" s="180" t="s">
        <v>257</v>
      </c>
      <c r="R10054" s="180" t="s">
        <v>257</v>
      </c>
    </row>
    <row r="10055" spans="8:18" x14ac:dyDescent="0.2">
      <c r="H10055" s="180"/>
      <c r="P10055" s="180" t="s">
        <v>257</v>
      </c>
      <c r="R10055" s="180" t="s">
        <v>257</v>
      </c>
    </row>
    <row r="10056" spans="8:18" x14ac:dyDescent="0.2">
      <c r="H10056" s="180"/>
      <c r="P10056" s="180" t="s">
        <v>257</v>
      </c>
      <c r="R10056" s="180" t="s">
        <v>257</v>
      </c>
    </row>
    <row r="10057" spans="8:18" x14ac:dyDescent="0.2">
      <c r="H10057" s="180"/>
      <c r="P10057" s="180" t="s">
        <v>257</v>
      </c>
      <c r="R10057" s="180" t="s">
        <v>257</v>
      </c>
    </row>
    <row r="10058" spans="8:18" x14ac:dyDescent="0.2">
      <c r="H10058" s="180"/>
      <c r="P10058" s="180" t="s">
        <v>257</v>
      </c>
      <c r="R10058" s="180" t="s">
        <v>257</v>
      </c>
    </row>
    <row r="10059" spans="8:18" x14ac:dyDescent="0.2">
      <c r="H10059" s="180"/>
      <c r="P10059" s="180" t="s">
        <v>257</v>
      </c>
      <c r="R10059" s="180" t="s">
        <v>257</v>
      </c>
    </row>
    <row r="10060" spans="8:18" x14ac:dyDescent="0.2">
      <c r="H10060" s="180"/>
      <c r="P10060" s="180" t="s">
        <v>257</v>
      </c>
      <c r="R10060" s="180" t="s">
        <v>257</v>
      </c>
    </row>
    <row r="10061" spans="8:18" x14ac:dyDescent="0.2">
      <c r="H10061" s="180"/>
      <c r="P10061" s="180" t="s">
        <v>257</v>
      </c>
      <c r="R10061" s="180" t="s">
        <v>257</v>
      </c>
    </row>
    <row r="10062" spans="8:18" x14ac:dyDescent="0.2">
      <c r="H10062" s="180"/>
      <c r="P10062" s="180" t="s">
        <v>257</v>
      </c>
      <c r="R10062" s="180" t="s">
        <v>257</v>
      </c>
    </row>
    <row r="10063" spans="8:18" x14ac:dyDescent="0.2">
      <c r="H10063" s="180"/>
      <c r="P10063" s="180" t="s">
        <v>257</v>
      </c>
      <c r="R10063" s="180" t="s">
        <v>257</v>
      </c>
    </row>
    <row r="10064" spans="8:18" x14ac:dyDescent="0.2">
      <c r="H10064" s="180"/>
      <c r="P10064" s="180" t="s">
        <v>257</v>
      </c>
      <c r="R10064" s="180" t="s">
        <v>257</v>
      </c>
    </row>
    <row r="10065" spans="8:18" x14ac:dyDescent="0.2">
      <c r="H10065" s="180"/>
      <c r="P10065" s="180" t="s">
        <v>257</v>
      </c>
      <c r="R10065" s="180" t="s">
        <v>257</v>
      </c>
    </row>
    <row r="10066" spans="8:18" x14ac:dyDescent="0.2">
      <c r="H10066" s="180"/>
      <c r="P10066" s="180" t="s">
        <v>257</v>
      </c>
      <c r="R10066" s="180" t="s">
        <v>257</v>
      </c>
    </row>
    <row r="10067" spans="8:18" x14ac:dyDescent="0.2">
      <c r="H10067" s="180"/>
      <c r="P10067" s="180" t="s">
        <v>257</v>
      </c>
      <c r="R10067" s="180" t="s">
        <v>257</v>
      </c>
    </row>
    <row r="10068" spans="8:18" x14ac:dyDescent="0.2">
      <c r="H10068" s="180"/>
      <c r="P10068" s="180" t="s">
        <v>257</v>
      </c>
      <c r="R10068" s="180" t="s">
        <v>257</v>
      </c>
    </row>
    <row r="10069" spans="8:18" x14ac:dyDescent="0.2">
      <c r="H10069" s="180"/>
      <c r="P10069" s="180" t="s">
        <v>257</v>
      </c>
      <c r="R10069" s="180" t="s">
        <v>257</v>
      </c>
    </row>
    <row r="10070" spans="8:18" x14ac:dyDescent="0.2">
      <c r="H10070" s="180"/>
      <c r="P10070" s="180" t="s">
        <v>257</v>
      </c>
      <c r="R10070" s="180" t="s">
        <v>257</v>
      </c>
    </row>
    <row r="10071" spans="8:18" x14ac:dyDescent="0.2">
      <c r="H10071" s="180"/>
      <c r="P10071" s="180" t="s">
        <v>257</v>
      </c>
      <c r="R10071" s="180" t="s">
        <v>257</v>
      </c>
    </row>
    <row r="10072" spans="8:18" x14ac:dyDescent="0.2">
      <c r="H10072" s="180"/>
      <c r="P10072" s="180" t="s">
        <v>257</v>
      </c>
      <c r="R10072" s="180" t="s">
        <v>257</v>
      </c>
    </row>
    <row r="10073" spans="8:18" x14ac:dyDescent="0.2">
      <c r="H10073" s="180"/>
      <c r="P10073" s="180" t="s">
        <v>257</v>
      </c>
      <c r="R10073" s="180" t="s">
        <v>257</v>
      </c>
    </row>
    <row r="10074" spans="8:18" x14ac:dyDescent="0.2">
      <c r="H10074" s="180"/>
      <c r="P10074" s="180" t="s">
        <v>257</v>
      </c>
      <c r="R10074" s="180" t="s">
        <v>257</v>
      </c>
    </row>
    <row r="10075" spans="8:18" x14ac:dyDescent="0.2">
      <c r="H10075" s="180"/>
      <c r="P10075" s="180" t="s">
        <v>257</v>
      </c>
      <c r="R10075" s="180" t="s">
        <v>257</v>
      </c>
    </row>
    <row r="10076" spans="8:18" x14ac:dyDescent="0.2">
      <c r="H10076" s="180"/>
      <c r="P10076" s="180" t="s">
        <v>257</v>
      </c>
      <c r="R10076" s="180" t="s">
        <v>257</v>
      </c>
    </row>
    <row r="10077" spans="8:18" x14ac:dyDescent="0.2">
      <c r="H10077" s="180"/>
      <c r="P10077" s="180" t="s">
        <v>257</v>
      </c>
      <c r="R10077" s="180" t="s">
        <v>257</v>
      </c>
    </row>
    <row r="10078" spans="8:18" x14ac:dyDescent="0.2">
      <c r="H10078" s="180"/>
      <c r="P10078" s="180" t="s">
        <v>257</v>
      </c>
      <c r="R10078" s="180" t="s">
        <v>257</v>
      </c>
    </row>
    <row r="10079" spans="8:18" x14ac:dyDescent="0.2">
      <c r="H10079" s="180"/>
      <c r="P10079" s="180" t="s">
        <v>257</v>
      </c>
      <c r="R10079" s="180" t="s">
        <v>257</v>
      </c>
    </row>
    <row r="10080" spans="8:18" x14ac:dyDescent="0.2">
      <c r="H10080" s="180"/>
      <c r="P10080" s="180" t="s">
        <v>257</v>
      </c>
      <c r="R10080" s="180" t="s">
        <v>257</v>
      </c>
    </row>
    <row r="10081" spans="8:18" x14ac:dyDescent="0.2">
      <c r="H10081" s="180"/>
      <c r="P10081" s="180" t="s">
        <v>257</v>
      </c>
      <c r="R10081" s="180" t="s">
        <v>257</v>
      </c>
    </row>
    <row r="10082" spans="8:18" x14ac:dyDescent="0.2">
      <c r="H10082" s="180"/>
      <c r="P10082" s="180" t="s">
        <v>257</v>
      </c>
      <c r="R10082" s="180" t="s">
        <v>257</v>
      </c>
    </row>
    <row r="10083" spans="8:18" x14ac:dyDescent="0.2">
      <c r="H10083" s="180"/>
      <c r="P10083" s="180" t="s">
        <v>257</v>
      </c>
      <c r="R10083" s="180" t="s">
        <v>257</v>
      </c>
    </row>
    <row r="10084" spans="8:18" x14ac:dyDescent="0.2">
      <c r="H10084" s="180"/>
      <c r="P10084" s="180" t="s">
        <v>257</v>
      </c>
      <c r="R10084" s="180" t="s">
        <v>257</v>
      </c>
    </row>
    <row r="10085" spans="8:18" x14ac:dyDescent="0.2">
      <c r="H10085" s="180"/>
      <c r="P10085" s="180" t="s">
        <v>257</v>
      </c>
      <c r="R10085" s="180" t="s">
        <v>257</v>
      </c>
    </row>
    <row r="10086" spans="8:18" x14ac:dyDescent="0.2">
      <c r="H10086" s="180"/>
      <c r="P10086" s="180" t="s">
        <v>257</v>
      </c>
      <c r="R10086" s="180" t="s">
        <v>257</v>
      </c>
    </row>
    <row r="10087" spans="8:18" x14ac:dyDescent="0.2">
      <c r="H10087" s="180"/>
      <c r="P10087" s="180" t="s">
        <v>257</v>
      </c>
      <c r="R10087" s="180" t="s">
        <v>257</v>
      </c>
    </row>
    <row r="10088" spans="8:18" x14ac:dyDescent="0.2">
      <c r="H10088" s="180"/>
      <c r="P10088" s="180" t="s">
        <v>257</v>
      </c>
      <c r="R10088" s="180" t="s">
        <v>257</v>
      </c>
    </row>
    <row r="10089" spans="8:18" x14ac:dyDescent="0.2">
      <c r="H10089" s="180"/>
      <c r="P10089" s="180" t="s">
        <v>257</v>
      </c>
      <c r="R10089" s="180" t="s">
        <v>257</v>
      </c>
    </row>
    <row r="10090" spans="8:18" x14ac:dyDescent="0.2">
      <c r="H10090" s="180"/>
      <c r="P10090" s="180" t="s">
        <v>257</v>
      </c>
      <c r="R10090" s="180" t="s">
        <v>257</v>
      </c>
    </row>
    <row r="10091" spans="8:18" x14ac:dyDescent="0.2">
      <c r="H10091" s="180"/>
      <c r="P10091" s="180" t="s">
        <v>257</v>
      </c>
      <c r="R10091" s="180" t="s">
        <v>257</v>
      </c>
    </row>
    <row r="10092" spans="8:18" x14ac:dyDescent="0.2">
      <c r="H10092" s="180"/>
      <c r="P10092" s="180" t="s">
        <v>257</v>
      </c>
      <c r="R10092" s="180" t="s">
        <v>257</v>
      </c>
    </row>
    <row r="10093" spans="8:18" x14ac:dyDescent="0.2">
      <c r="H10093" s="180"/>
      <c r="P10093" s="180" t="s">
        <v>257</v>
      </c>
      <c r="R10093" s="180" t="s">
        <v>257</v>
      </c>
    </row>
    <row r="10094" spans="8:18" x14ac:dyDescent="0.2">
      <c r="H10094" s="180"/>
      <c r="P10094" s="180" t="s">
        <v>257</v>
      </c>
      <c r="R10094" s="180" t="s">
        <v>257</v>
      </c>
    </row>
    <row r="10095" spans="8:18" x14ac:dyDescent="0.2">
      <c r="H10095" s="180"/>
      <c r="P10095" s="180" t="s">
        <v>257</v>
      </c>
      <c r="R10095" s="180" t="s">
        <v>257</v>
      </c>
    </row>
    <row r="10096" spans="8:18" x14ac:dyDescent="0.2">
      <c r="H10096" s="180"/>
      <c r="P10096" s="180" t="s">
        <v>257</v>
      </c>
      <c r="R10096" s="180" t="s">
        <v>257</v>
      </c>
    </row>
    <row r="10097" spans="8:18" x14ac:dyDescent="0.2">
      <c r="H10097" s="180"/>
      <c r="P10097" s="180" t="s">
        <v>257</v>
      </c>
      <c r="R10097" s="180" t="s">
        <v>257</v>
      </c>
    </row>
    <row r="10098" spans="8:18" x14ac:dyDescent="0.2">
      <c r="H10098" s="180"/>
      <c r="P10098" s="180" t="s">
        <v>257</v>
      </c>
      <c r="R10098" s="180" t="s">
        <v>257</v>
      </c>
    </row>
    <row r="10099" spans="8:18" x14ac:dyDescent="0.2">
      <c r="H10099" s="180"/>
      <c r="P10099" s="180" t="s">
        <v>257</v>
      </c>
      <c r="R10099" s="180" t="s">
        <v>257</v>
      </c>
    </row>
    <row r="10100" spans="8:18" x14ac:dyDescent="0.2">
      <c r="H10100" s="180"/>
      <c r="P10100" s="180" t="s">
        <v>257</v>
      </c>
      <c r="R10100" s="180" t="s">
        <v>257</v>
      </c>
    </row>
    <row r="10101" spans="8:18" x14ac:dyDescent="0.2">
      <c r="H10101" s="180"/>
      <c r="P10101" s="180" t="s">
        <v>257</v>
      </c>
      <c r="R10101" s="180" t="s">
        <v>257</v>
      </c>
    </row>
    <row r="10102" spans="8:18" x14ac:dyDescent="0.2">
      <c r="H10102" s="180"/>
      <c r="P10102" s="180" t="s">
        <v>257</v>
      </c>
      <c r="R10102" s="180" t="s">
        <v>257</v>
      </c>
    </row>
    <row r="10103" spans="8:18" x14ac:dyDescent="0.2">
      <c r="H10103" s="180"/>
      <c r="P10103" s="180" t="s">
        <v>257</v>
      </c>
      <c r="R10103" s="180" t="s">
        <v>257</v>
      </c>
    </row>
    <row r="10104" spans="8:18" x14ac:dyDescent="0.2">
      <c r="H10104" s="180"/>
      <c r="P10104" s="180" t="s">
        <v>257</v>
      </c>
      <c r="R10104" s="180" t="s">
        <v>257</v>
      </c>
    </row>
    <row r="10105" spans="8:18" x14ac:dyDescent="0.2">
      <c r="H10105" s="180"/>
      <c r="P10105" s="180" t="s">
        <v>257</v>
      </c>
      <c r="R10105" s="180" t="s">
        <v>257</v>
      </c>
    </row>
    <row r="10106" spans="8:18" x14ac:dyDescent="0.2">
      <c r="H10106" s="180"/>
      <c r="P10106" s="180" t="s">
        <v>257</v>
      </c>
      <c r="R10106" s="180" t="s">
        <v>257</v>
      </c>
    </row>
    <row r="10107" spans="8:18" x14ac:dyDescent="0.2">
      <c r="H10107" s="180"/>
      <c r="P10107" s="180" t="s">
        <v>257</v>
      </c>
      <c r="R10107" s="180" t="s">
        <v>257</v>
      </c>
    </row>
    <row r="10108" spans="8:18" x14ac:dyDescent="0.2">
      <c r="H10108" s="180"/>
      <c r="P10108" s="180" t="s">
        <v>257</v>
      </c>
      <c r="R10108" s="180" t="s">
        <v>257</v>
      </c>
    </row>
    <row r="10109" spans="8:18" x14ac:dyDescent="0.2">
      <c r="H10109" s="180"/>
      <c r="P10109" s="180" t="s">
        <v>257</v>
      </c>
      <c r="R10109" s="180" t="s">
        <v>257</v>
      </c>
    </row>
    <row r="10110" spans="8:18" x14ac:dyDescent="0.2">
      <c r="H10110" s="180"/>
      <c r="P10110" s="180" t="s">
        <v>257</v>
      </c>
      <c r="R10110" s="180" t="s">
        <v>257</v>
      </c>
    </row>
    <row r="10111" spans="8:18" x14ac:dyDescent="0.2">
      <c r="H10111" s="180"/>
      <c r="P10111" s="180" t="s">
        <v>257</v>
      </c>
      <c r="R10111" s="180" t="s">
        <v>257</v>
      </c>
    </row>
    <row r="10112" spans="8:18" x14ac:dyDescent="0.2">
      <c r="H10112" s="180"/>
      <c r="P10112" s="180" t="s">
        <v>257</v>
      </c>
      <c r="R10112" s="180" t="s">
        <v>257</v>
      </c>
    </row>
    <row r="10113" spans="8:18" x14ac:dyDescent="0.2">
      <c r="H10113" s="180"/>
      <c r="P10113" s="180" t="s">
        <v>257</v>
      </c>
      <c r="R10113" s="180" t="s">
        <v>257</v>
      </c>
    </row>
    <row r="10114" spans="8:18" x14ac:dyDescent="0.2">
      <c r="H10114" s="180"/>
      <c r="P10114" s="180" t="s">
        <v>257</v>
      </c>
      <c r="R10114" s="180" t="s">
        <v>257</v>
      </c>
    </row>
    <row r="10115" spans="8:18" x14ac:dyDescent="0.2">
      <c r="H10115" s="180"/>
      <c r="P10115" s="180" t="s">
        <v>257</v>
      </c>
      <c r="R10115" s="180" t="s">
        <v>257</v>
      </c>
    </row>
    <row r="10116" spans="8:18" x14ac:dyDescent="0.2">
      <c r="H10116" s="180"/>
      <c r="P10116" s="180" t="s">
        <v>257</v>
      </c>
      <c r="R10116" s="180" t="s">
        <v>257</v>
      </c>
    </row>
    <row r="10117" spans="8:18" x14ac:dyDescent="0.2">
      <c r="H10117" s="180"/>
      <c r="P10117" s="180" t="s">
        <v>257</v>
      </c>
      <c r="R10117" s="180" t="s">
        <v>257</v>
      </c>
    </row>
    <row r="10118" spans="8:18" x14ac:dyDescent="0.2">
      <c r="H10118" s="180"/>
      <c r="P10118" s="180" t="s">
        <v>257</v>
      </c>
      <c r="R10118" s="180" t="s">
        <v>257</v>
      </c>
    </row>
    <row r="10119" spans="8:18" x14ac:dyDescent="0.2">
      <c r="H10119" s="180"/>
      <c r="P10119" s="180" t="s">
        <v>257</v>
      </c>
      <c r="R10119" s="180" t="s">
        <v>257</v>
      </c>
    </row>
    <row r="10120" spans="8:18" x14ac:dyDescent="0.2">
      <c r="H10120" s="180"/>
      <c r="P10120" s="180" t="s">
        <v>257</v>
      </c>
      <c r="R10120" s="180" t="s">
        <v>257</v>
      </c>
    </row>
    <row r="10121" spans="8:18" x14ac:dyDescent="0.2">
      <c r="H10121" s="180"/>
      <c r="P10121" s="180" t="s">
        <v>257</v>
      </c>
      <c r="R10121" s="180" t="s">
        <v>257</v>
      </c>
    </row>
    <row r="10122" spans="8:18" x14ac:dyDescent="0.2">
      <c r="H10122" s="180"/>
      <c r="P10122" s="180" t="s">
        <v>257</v>
      </c>
      <c r="R10122" s="180" t="s">
        <v>257</v>
      </c>
    </row>
    <row r="10123" spans="8:18" x14ac:dyDescent="0.2">
      <c r="H10123" s="180"/>
      <c r="P10123" s="180" t="s">
        <v>257</v>
      </c>
      <c r="R10123" s="180" t="s">
        <v>257</v>
      </c>
    </row>
    <row r="10124" spans="8:18" x14ac:dyDescent="0.2">
      <c r="H10124" s="180"/>
      <c r="P10124" s="180" t="s">
        <v>257</v>
      </c>
      <c r="R10124" s="180" t="s">
        <v>257</v>
      </c>
    </row>
    <row r="10125" spans="8:18" x14ac:dyDescent="0.2">
      <c r="H10125" s="180"/>
      <c r="P10125" s="180" t="s">
        <v>257</v>
      </c>
      <c r="R10125" s="180" t="s">
        <v>257</v>
      </c>
    </row>
    <row r="10126" spans="8:18" x14ac:dyDescent="0.2">
      <c r="H10126" s="180"/>
      <c r="P10126" s="180" t="s">
        <v>257</v>
      </c>
      <c r="R10126" s="180" t="s">
        <v>257</v>
      </c>
    </row>
    <row r="10127" spans="8:18" x14ac:dyDescent="0.2">
      <c r="H10127" s="180"/>
      <c r="P10127" s="180" t="s">
        <v>257</v>
      </c>
      <c r="R10127" s="180" t="s">
        <v>257</v>
      </c>
    </row>
    <row r="10128" spans="8:18" x14ac:dyDescent="0.2">
      <c r="H10128" s="180"/>
      <c r="P10128" s="180" t="s">
        <v>257</v>
      </c>
      <c r="R10128" s="180" t="s">
        <v>257</v>
      </c>
    </row>
    <row r="10129" spans="8:18" x14ac:dyDescent="0.2">
      <c r="H10129" s="180"/>
      <c r="P10129" s="180" t="s">
        <v>257</v>
      </c>
      <c r="R10129" s="180" t="s">
        <v>257</v>
      </c>
    </row>
    <row r="10130" spans="8:18" x14ac:dyDescent="0.2">
      <c r="H10130" s="180"/>
      <c r="P10130" s="180" t="s">
        <v>257</v>
      </c>
      <c r="R10130" s="180" t="s">
        <v>257</v>
      </c>
    </row>
    <row r="10131" spans="8:18" x14ac:dyDescent="0.2">
      <c r="H10131" s="180"/>
      <c r="P10131" s="180" t="s">
        <v>257</v>
      </c>
      <c r="R10131" s="180" t="s">
        <v>257</v>
      </c>
    </row>
    <row r="10132" spans="8:18" x14ac:dyDescent="0.2">
      <c r="H10132" s="180"/>
      <c r="P10132" s="180" t="s">
        <v>257</v>
      </c>
      <c r="R10132" s="180" t="s">
        <v>257</v>
      </c>
    </row>
    <row r="10133" spans="8:18" x14ac:dyDescent="0.2">
      <c r="H10133" s="180"/>
      <c r="P10133" s="180" t="s">
        <v>257</v>
      </c>
      <c r="R10133" s="180" t="s">
        <v>257</v>
      </c>
    </row>
    <row r="10134" spans="8:18" x14ac:dyDescent="0.2">
      <c r="H10134" s="180"/>
      <c r="P10134" s="180" t="s">
        <v>257</v>
      </c>
      <c r="R10134" s="180" t="s">
        <v>257</v>
      </c>
    </row>
    <row r="10135" spans="8:18" x14ac:dyDescent="0.2">
      <c r="H10135" s="180"/>
      <c r="P10135" s="180" t="s">
        <v>257</v>
      </c>
      <c r="R10135" s="180" t="s">
        <v>257</v>
      </c>
    </row>
    <row r="10136" spans="8:18" x14ac:dyDescent="0.2">
      <c r="H10136" s="180"/>
      <c r="P10136" s="180" t="s">
        <v>257</v>
      </c>
      <c r="R10136" s="180" t="s">
        <v>257</v>
      </c>
    </row>
    <row r="10137" spans="8:18" x14ac:dyDescent="0.2">
      <c r="H10137" s="180"/>
      <c r="P10137" s="180" t="s">
        <v>257</v>
      </c>
      <c r="R10137" s="180" t="s">
        <v>257</v>
      </c>
    </row>
    <row r="10138" spans="8:18" x14ac:dyDescent="0.2">
      <c r="H10138" s="180"/>
      <c r="P10138" s="180" t="s">
        <v>257</v>
      </c>
      <c r="R10138" s="180" t="s">
        <v>257</v>
      </c>
    </row>
    <row r="10139" spans="8:18" x14ac:dyDescent="0.2">
      <c r="H10139" s="180"/>
      <c r="P10139" s="180" t="s">
        <v>257</v>
      </c>
      <c r="R10139" s="180" t="s">
        <v>257</v>
      </c>
    </row>
    <row r="10140" spans="8:18" x14ac:dyDescent="0.2">
      <c r="H10140" s="180"/>
      <c r="P10140" s="180" t="s">
        <v>257</v>
      </c>
      <c r="R10140" s="180" t="s">
        <v>257</v>
      </c>
    </row>
    <row r="10141" spans="8:18" x14ac:dyDescent="0.2">
      <c r="H10141" s="180"/>
      <c r="P10141" s="180" t="s">
        <v>257</v>
      </c>
      <c r="R10141" s="180" t="s">
        <v>257</v>
      </c>
    </row>
    <row r="10142" spans="8:18" x14ac:dyDescent="0.2">
      <c r="H10142" s="180"/>
      <c r="P10142" s="180" t="s">
        <v>257</v>
      </c>
      <c r="R10142" s="180" t="s">
        <v>257</v>
      </c>
    </row>
    <row r="10143" spans="8:18" x14ac:dyDescent="0.2">
      <c r="H10143" s="180"/>
      <c r="P10143" s="180" t="s">
        <v>257</v>
      </c>
      <c r="R10143" s="180" t="s">
        <v>257</v>
      </c>
    </row>
    <row r="10144" spans="8:18" x14ac:dyDescent="0.2">
      <c r="H10144" s="180"/>
      <c r="P10144" s="180" t="s">
        <v>257</v>
      </c>
      <c r="R10144" s="180" t="s">
        <v>257</v>
      </c>
    </row>
    <row r="10145" spans="8:18" x14ac:dyDescent="0.2">
      <c r="H10145" s="180"/>
      <c r="P10145" s="180" t="s">
        <v>257</v>
      </c>
      <c r="R10145" s="180" t="s">
        <v>257</v>
      </c>
    </row>
    <row r="10146" spans="8:18" x14ac:dyDescent="0.2">
      <c r="H10146" s="180"/>
      <c r="P10146" s="180" t="s">
        <v>257</v>
      </c>
      <c r="R10146" s="180" t="s">
        <v>257</v>
      </c>
    </row>
    <row r="10147" spans="8:18" x14ac:dyDescent="0.2">
      <c r="H10147" s="180"/>
      <c r="P10147" s="180" t="s">
        <v>257</v>
      </c>
      <c r="R10147" s="180" t="s">
        <v>257</v>
      </c>
    </row>
    <row r="10148" spans="8:18" x14ac:dyDescent="0.2">
      <c r="H10148" s="180"/>
      <c r="P10148" s="180" t="s">
        <v>257</v>
      </c>
      <c r="R10148" s="180" t="s">
        <v>257</v>
      </c>
    </row>
    <row r="10149" spans="8:18" x14ac:dyDescent="0.2">
      <c r="H10149" s="180"/>
      <c r="P10149" s="180" t="s">
        <v>257</v>
      </c>
      <c r="R10149" s="180" t="s">
        <v>257</v>
      </c>
    </row>
    <row r="10150" spans="8:18" x14ac:dyDescent="0.2">
      <c r="H10150" s="180"/>
      <c r="P10150" s="180" t="s">
        <v>257</v>
      </c>
      <c r="R10150" s="180" t="s">
        <v>257</v>
      </c>
    </row>
    <row r="10151" spans="8:18" x14ac:dyDescent="0.2">
      <c r="H10151" s="180"/>
      <c r="P10151" s="180" t="s">
        <v>257</v>
      </c>
      <c r="R10151" s="180" t="s">
        <v>257</v>
      </c>
    </row>
    <row r="10152" spans="8:18" x14ac:dyDescent="0.2">
      <c r="H10152" s="180"/>
      <c r="P10152" s="180" t="s">
        <v>257</v>
      </c>
      <c r="R10152" s="180" t="s">
        <v>257</v>
      </c>
    </row>
    <row r="10153" spans="8:18" x14ac:dyDescent="0.2">
      <c r="H10153" s="180"/>
      <c r="P10153" s="180" t="s">
        <v>257</v>
      </c>
      <c r="R10153" s="180" t="s">
        <v>257</v>
      </c>
    </row>
    <row r="10154" spans="8:18" x14ac:dyDescent="0.2">
      <c r="H10154" s="180"/>
      <c r="P10154" s="180" t="s">
        <v>257</v>
      </c>
      <c r="R10154" s="180" t="s">
        <v>257</v>
      </c>
    </row>
    <row r="10155" spans="8:18" x14ac:dyDescent="0.2">
      <c r="H10155" s="180"/>
      <c r="P10155" s="180" t="s">
        <v>257</v>
      </c>
      <c r="R10155" s="180" t="s">
        <v>257</v>
      </c>
    </row>
    <row r="10156" spans="8:18" x14ac:dyDescent="0.2">
      <c r="H10156" s="180"/>
      <c r="P10156" s="180" t="s">
        <v>257</v>
      </c>
      <c r="R10156" s="180" t="s">
        <v>257</v>
      </c>
    </row>
    <row r="10157" spans="8:18" x14ac:dyDescent="0.2">
      <c r="H10157" s="180"/>
      <c r="P10157" s="180" t="s">
        <v>257</v>
      </c>
      <c r="R10157" s="180" t="s">
        <v>257</v>
      </c>
    </row>
    <row r="10158" spans="8:18" x14ac:dyDescent="0.2">
      <c r="H10158" s="180"/>
      <c r="P10158" s="180" t="s">
        <v>257</v>
      </c>
      <c r="R10158" s="180" t="s">
        <v>257</v>
      </c>
    </row>
    <row r="10159" spans="8:18" x14ac:dyDescent="0.2">
      <c r="H10159" s="180"/>
      <c r="P10159" s="180" t="s">
        <v>257</v>
      </c>
      <c r="R10159" s="180" t="s">
        <v>257</v>
      </c>
    </row>
    <row r="10160" spans="8:18" x14ac:dyDescent="0.2">
      <c r="H10160" s="180"/>
      <c r="P10160" s="180" t="s">
        <v>257</v>
      </c>
      <c r="R10160" s="180" t="s">
        <v>257</v>
      </c>
    </row>
    <row r="10161" spans="8:18" x14ac:dyDescent="0.2">
      <c r="H10161" s="180"/>
      <c r="P10161" s="180" t="s">
        <v>257</v>
      </c>
      <c r="R10161" s="180" t="s">
        <v>257</v>
      </c>
    </row>
    <row r="10162" spans="8:18" x14ac:dyDescent="0.2">
      <c r="H10162" s="180"/>
      <c r="P10162" s="180" t="s">
        <v>257</v>
      </c>
      <c r="R10162" s="180" t="s">
        <v>257</v>
      </c>
    </row>
    <row r="10163" spans="8:18" x14ac:dyDescent="0.2">
      <c r="H10163" s="180"/>
      <c r="P10163" s="180" t="s">
        <v>257</v>
      </c>
      <c r="R10163" s="180" t="s">
        <v>257</v>
      </c>
    </row>
    <row r="10164" spans="8:18" x14ac:dyDescent="0.2">
      <c r="H10164" s="180"/>
      <c r="P10164" s="180" t="s">
        <v>257</v>
      </c>
      <c r="R10164" s="180" t="s">
        <v>257</v>
      </c>
    </row>
    <row r="10165" spans="8:18" x14ac:dyDescent="0.2">
      <c r="H10165" s="180"/>
      <c r="P10165" s="180" t="s">
        <v>257</v>
      </c>
      <c r="R10165" s="180" t="s">
        <v>257</v>
      </c>
    </row>
    <row r="10166" spans="8:18" x14ac:dyDescent="0.2">
      <c r="H10166" s="180"/>
      <c r="P10166" s="180" t="s">
        <v>257</v>
      </c>
      <c r="R10166" s="180" t="s">
        <v>257</v>
      </c>
    </row>
    <row r="10167" spans="8:18" x14ac:dyDescent="0.2">
      <c r="H10167" s="180"/>
      <c r="P10167" s="180" t="s">
        <v>257</v>
      </c>
      <c r="R10167" s="180" t="s">
        <v>257</v>
      </c>
    </row>
    <row r="10168" spans="8:18" x14ac:dyDescent="0.2">
      <c r="H10168" s="180"/>
      <c r="P10168" s="180" t="s">
        <v>257</v>
      </c>
      <c r="R10168" s="180" t="s">
        <v>257</v>
      </c>
    </row>
    <row r="10169" spans="8:18" x14ac:dyDescent="0.2">
      <c r="H10169" s="180"/>
      <c r="P10169" s="180" t="s">
        <v>257</v>
      </c>
      <c r="R10169" s="180" t="s">
        <v>257</v>
      </c>
    </row>
    <row r="10170" spans="8:18" x14ac:dyDescent="0.2">
      <c r="H10170" s="180"/>
      <c r="P10170" s="180" t="s">
        <v>257</v>
      </c>
      <c r="R10170" s="180" t="s">
        <v>257</v>
      </c>
    </row>
    <row r="10171" spans="8:18" x14ac:dyDescent="0.2">
      <c r="H10171" s="180"/>
      <c r="P10171" s="180" t="s">
        <v>257</v>
      </c>
      <c r="R10171" s="180" t="s">
        <v>257</v>
      </c>
    </row>
    <row r="10172" spans="8:18" x14ac:dyDescent="0.2">
      <c r="H10172" s="180"/>
      <c r="P10172" s="180" t="s">
        <v>257</v>
      </c>
      <c r="R10172" s="180" t="s">
        <v>257</v>
      </c>
    </row>
    <row r="10173" spans="8:18" x14ac:dyDescent="0.2">
      <c r="H10173" s="180"/>
      <c r="P10173" s="180" t="s">
        <v>257</v>
      </c>
      <c r="R10173" s="180" t="s">
        <v>257</v>
      </c>
    </row>
    <row r="10174" spans="8:18" x14ac:dyDescent="0.2">
      <c r="H10174" s="180"/>
      <c r="P10174" s="180" t="s">
        <v>257</v>
      </c>
      <c r="R10174" s="180" t="s">
        <v>257</v>
      </c>
    </row>
    <row r="10175" spans="8:18" x14ac:dyDescent="0.2">
      <c r="H10175" s="180"/>
      <c r="P10175" s="180" t="s">
        <v>257</v>
      </c>
      <c r="R10175" s="180" t="s">
        <v>257</v>
      </c>
    </row>
    <row r="10176" spans="8:18" x14ac:dyDescent="0.2">
      <c r="H10176" s="180"/>
      <c r="P10176" s="180" t="s">
        <v>257</v>
      </c>
      <c r="R10176" s="180" t="s">
        <v>257</v>
      </c>
    </row>
    <row r="10177" spans="8:18" x14ac:dyDescent="0.2">
      <c r="H10177" s="180"/>
      <c r="P10177" s="180" t="s">
        <v>257</v>
      </c>
      <c r="R10177" s="180" t="s">
        <v>257</v>
      </c>
    </row>
    <row r="10178" spans="8:18" x14ac:dyDescent="0.2">
      <c r="H10178" s="180"/>
      <c r="P10178" s="180" t="s">
        <v>257</v>
      </c>
      <c r="R10178" s="180" t="s">
        <v>257</v>
      </c>
    </row>
    <row r="10179" spans="8:18" x14ac:dyDescent="0.2">
      <c r="H10179" s="180"/>
      <c r="P10179" s="180" t="s">
        <v>257</v>
      </c>
      <c r="R10179" s="180" t="s">
        <v>257</v>
      </c>
    </row>
    <row r="10180" spans="8:18" x14ac:dyDescent="0.2">
      <c r="H10180" s="180"/>
      <c r="P10180" s="180" t="s">
        <v>257</v>
      </c>
      <c r="R10180" s="180" t="s">
        <v>257</v>
      </c>
    </row>
    <row r="10181" spans="8:18" x14ac:dyDescent="0.2">
      <c r="H10181" s="180"/>
      <c r="P10181" s="180" t="s">
        <v>257</v>
      </c>
      <c r="R10181" s="180" t="s">
        <v>257</v>
      </c>
    </row>
    <row r="10182" spans="8:18" x14ac:dyDescent="0.2">
      <c r="H10182" s="180"/>
      <c r="P10182" s="180" t="s">
        <v>257</v>
      </c>
      <c r="R10182" s="180" t="s">
        <v>257</v>
      </c>
    </row>
    <row r="10183" spans="8:18" x14ac:dyDescent="0.2">
      <c r="H10183" s="180"/>
      <c r="P10183" s="180" t="s">
        <v>257</v>
      </c>
      <c r="R10183" s="180" t="s">
        <v>257</v>
      </c>
    </row>
    <row r="10184" spans="8:18" x14ac:dyDescent="0.2">
      <c r="H10184" s="180"/>
      <c r="P10184" s="180" t="s">
        <v>257</v>
      </c>
      <c r="R10184" s="180" t="s">
        <v>257</v>
      </c>
    </row>
    <row r="10185" spans="8:18" x14ac:dyDescent="0.2">
      <c r="H10185" s="180"/>
      <c r="P10185" s="180" t="s">
        <v>257</v>
      </c>
      <c r="R10185" s="180" t="s">
        <v>257</v>
      </c>
    </row>
    <row r="10186" spans="8:18" x14ac:dyDescent="0.2">
      <c r="H10186" s="180"/>
      <c r="P10186" s="180" t="s">
        <v>257</v>
      </c>
      <c r="R10186" s="180" t="s">
        <v>257</v>
      </c>
    </row>
    <row r="10187" spans="8:18" x14ac:dyDescent="0.2">
      <c r="H10187" s="180"/>
      <c r="P10187" s="180" t="s">
        <v>257</v>
      </c>
      <c r="R10187" s="180" t="s">
        <v>257</v>
      </c>
    </row>
    <row r="10188" spans="8:18" x14ac:dyDescent="0.2">
      <c r="H10188" s="180"/>
      <c r="P10188" s="180" t="s">
        <v>257</v>
      </c>
      <c r="R10188" s="180" t="s">
        <v>257</v>
      </c>
    </row>
    <row r="10189" spans="8:18" x14ac:dyDescent="0.2">
      <c r="H10189" s="180"/>
      <c r="P10189" s="180" t="s">
        <v>257</v>
      </c>
      <c r="R10189" s="180" t="s">
        <v>257</v>
      </c>
    </row>
    <row r="10190" spans="8:18" x14ac:dyDescent="0.2">
      <c r="H10190" s="180"/>
      <c r="P10190" s="180" t="s">
        <v>257</v>
      </c>
      <c r="R10190" s="180" t="s">
        <v>257</v>
      </c>
    </row>
    <row r="10191" spans="8:18" x14ac:dyDescent="0.2">
      <c r="H10191" s="180"/>
      <c r="P10191" s="180" t="s">
        <v>257</v>
      </c>
      <c r="R10191" s="180" t="s">
        <v>257</v>
      </c>
    </row>
    <row r="10192" spans="8:18" x14ac:dyDescent="0.2">
      <c r="H10192" s="180"/>
      <c r="P10192" s="180" t="s">
        <v>257</v>
      </c>
      <c r="R10192" s="180" t="s">
        <v>257</v>
      </c>
    </row>
    <row r="10193" spans="8:18" x14ac:dyDescent="0.2">
      <c r="H10193" s="180"/>
      <c r="P10193" s="180" t="s">
        <v>257</v>
      </c>
      <c r="R10193" s="180" t="s">
        <v>257</v>
      </c>
    </row>
    <row r="10194" spans="8:18" x14ac:dyDescent="0.2">
      <c r="H10194" s="180"/>
      <c r="P10194" s="180" t="s">
        <v>257</v>
      </c>
      <c r="R10194" s="180" t="s">
        <v>257</v>
      </c>
    </row>
    <row r="10195" spans="8:18" x14ac:dyDescent="0.2">
      <c r="H10195" s="180"/>
      <c r="P10195" s="180" t="s">
        <v>257</v>
      </c>
      <c r="R10195" s="180" t="s">
        <v>257</v>
      </c>
    </row>
    <row r="10196" spans="8:18" x14ac:dyDescent="0.2">
      <c r="H10196" s="180"/>
      <c r="P10196" s="180" t="s">
        <v>257</v>
      </c>
      <c r="R10196" s="180" t="s">
        <v>257</v>
      </c>
    </row>
    <row r="10197" spans="8:18" x14ac:dyDescent="0.2">
      <c r="H10197" s="180"/>
      <c r="P10197" s="180" t="s">
        <v>257</v>
      </c>
      <c r="R10197" s="180" t="s">
        <v>257</v>
      </c>
    </row>
    <row r="10198" spans="8:18" x14ac:dyDescent="0.2">
      <c r="H10198" s="180"/>
      <c r="P10198" s="180" t="s">
        <v>257</v>
      </c>
      <c r="R10198" s="180" t="s">
        <v>257</v>
      </c>
    </row>
    <row r="10199" spans="8:18" x14ac:dyDescent="0.2">
      <c r="H10199" s="180"/>
      <c r="P10199" s="180" t="s">
        <v>257</v>
      </c>
      <c r="R10199" s="180" t="s">
        <v>257</v>
      </c>
    </row>
    <row r="10200" spans="8:18" x14ac:dyDescent="0.2">
      <c r="H10200" s="180"/>
      <c r="P10200" s="180" t="s">
        <v>257</v>
      </c>
      <c r="R10200" s="180" t="s">
        <v>257</v>
      </c>
    </row>
    <row r="10201" spans="8:18" x14ac:dyDescent="0.2">
      <c r="H10201" s="180"/>
      <c r="P10201" s="180" t="s">
        <v>257</v>
      </c>
      <c r="R10201" s="180" t="s">
        <v>257</v>
      </c>
    </row>
    <row r="10202" spans="8:18" x14ac:dyDescent="0.2">
      <c r="H10202" s="180"/>
      <c r="P10202" s="180" t="s">
        <v>257</v>
      </c>
      <c r="R10202" s="180" t="s">
        <v>257</v>
      </c>
    </row>
    <row r="10203" spans="8:18" x14ac:dyDescent="0.2">
      <c r="H10203" s="180"/>
      <c r="P10203" s="180" t="s">
        <v>257</v>
      </c>
      <c r="R10203" s="180" t="s">
        <v>257</v>
      </c>
    </row>
    <row r="10204" spans="8:18" x14ac:dyDescent="0.2">
      <c r="H10204" s="180"/>
      <c r="P10204" s="180" t="s">
        <v>257</v>
      </c>
      <c r="R10204" s="180" t="s">
        <v>257</v>
      </c>
    </row>
    <row r="10205" spans="8:18" x14ac:dyDescent="0.2">
      <c r="H10205" s="180"/>
      <c r="P10205" s="180" t="s">
        <v>257</v>
      </c>
      <c r="R10205" s="180" t="s">
        <v>257</v>
      </c>
    </row>
    <row r="10206" spans="8:18" x14ac:dyDescent="0.2">
      <c r="H10206" s="180"/>
      <c r="P10206" s="180" t="s">
        <v>257</v>
      </c>
      <c r="R10206" s="180" t="s">
        <v>257</v>
      </c>
    </row>
    <row r="10207" spans="8:18" x14ac:dyDescent="0.2">
      <c r="H10207" s="180"/>
      <c r="P10207" s="180" t="s">
        <v>257</v>
      </c>
      <c r="R10207" s="180" t="s">
        <v>257</v>
      </c>
    </row>
    <row r="10208" spans="8:18" x14ac:dyDescent="0.2">
      <c r="H10208" s="180"/>
      <c r="P10208" s="180" t="s">
        <v>257</v>
      </c>
      <c r="R10208" s="180" t="s">
        <v>257</v>
      </c>
    </row>
    <row r="10209" spans="8:18" x14ac:dyDescent="0.2">
      <c r="H10209" s="180"/>
      <c r="P10209" s="180" t="s">
        <v>257</v>
      </c>
      <c r="R10209" s="180" t="s">
        <v>257</v>
      </c>
    </row>
    <row r="10210" spans="8:18" x14ac:dyDescent="0.2">
      <c r="H10210" s="180"/>
      <c r="P10210" s="180" t="s">
        <v>257</v>
      </c>
      <c r="R10210" s="180" t="s">
        <v>257</v>
      </c>
    </row>
    <row r="10211" spans="8:18" x14ac:dyDescent="0.2">
      <c r="H10211" s="180"/>
      <c r="P10211" s="180" t="s">
        <v>257</v>
      </c>
      <c r="R10211" s="180" t="s">
        <v>257</v>
      </c>
    </row>
    <row r="10212" spans="8:18" x14ac:dyDescent="0.2">
      <c r="H10212" s="180"/>
      <c r="P10212" s="180" t="s">
        <v>257</v>
      </c>
      <c r="R10212" s="180" t="s">
        <v>257</v>
      </c>
    </row>
    <row r="10213" spans="8:18" x14ac:dyDescent="0.2">
      <c r="H10213" s="180"/>
      <c r="P10213" s="180" t="s">
        <v>257</v>
      </c>
      <c r="R10213" s="180" t="s">
        <v>257</v>
      </c>
    </row>
    <row r="10214" spans="8:18" x14ac:dyDescent="0.2">
      <c r="H10214" s="180"/>
      <c r="P10214" s="180" t="s">
        <v>257</v>
      </c>
      <c r="R10214" s="180" t="s">
        <v>257</v>
      </c>
    </row>
    <row r="10215" spans="8:18" x14ac:dyDescent="0.2">
      <c r="H10215" s="180"/>
      <c r="P10215" s="180" t="s">
        <v>257</v>
      </c>
      <c r="R10215" s="180" t="s">
        <v>257</v>
      </c>
    </row>
    <row r="10216" spans="8:18" x14ac:dyDescent="0.2">
      <c r="H10216" s="180"/>
      <c r="P10216" s="180" t="s">
        <v>257</v>
      </c>
      <c r="R10216" s="180" t="s">
        <v>257</v>
      </c>
    </row>
    <row r="10217" spans="8:18" x14ac:dyDescent="0.2">
      <c r="H10217" s="180"/>
      <c r="P10217" s="180" t="s">
        <v>257</v>
      </c>
      <c r="R10217" s="180" t="s">
        <v>257</v>
      </c>
    </row>
    <row r="10218" spans="8:18" x14ac:dyDescent="0.2">
      <c r="H10218" s="180"/>
      <c r="P10218" s="180" t="s">
        <v>257</v>
      </c>
      <c r="R10218" s="180" t="s">
        <v>257</v>
      </c>
    </row>
    <row r="10219" spans="8:18" x14ac:dyDescent="0.2">
      <c r="H10219" s="180"/>
      <c r="P10219" s="180" t="s">
        <v>257</v>
      </c>
      <c r="R10219" s="180" t="s">
        <v>257</v>
      </c>
    </row>
    <row r="10220" spans="8:18" x14ac:dyDescent="0.2">
      <c r="H10220" s="180"/>
      <c r="P10220" s="180" t="s">
        <v>257</v>
      </c>
      <c r="R10220" s="180" t="s">
        <v>257</v>
      </c>
    </row>
    <row r="10221" spans="8:18" x14ac:dyDescent="0.2">
      <c r="H10221" s="180"/>
      <c r="P10221" s="180" t="s">
        <v>257</v>
      </c>
      <c r="R10221" s="180" t="s">
        <v>257</v>
      </c>
    </row>
    <row r="10222" spans="8:18" x14ac:dyDescent="0.2">
      <c r="H10222" s="180"/>
      <c r="P10222" s="180" t="s">
        <v>257</v>
      </c>
      <c r="R10222" s="180" t="s">
        <v>257</v>
      </c>
    </row>
    <row r="10223" spans="8:18" x14ac:dyDescent="0.2">
      <c r="H10223" s="180"/>
      <c r="P10223" s="180" t="s">
        <v>257</v>
      </c>
      <c r="R10223" s="180" t="s">
        <v>257</v>
      </c>
    </row>
    <row r="10224" spans="8:18" x14ac:dyDescent="0.2">
      <c r="H10224" s="180"/>
      <c r="P10224" s="180" t="s">
        <v>257</v>
      </c>
      <c r="R10224" s="180" t="s">
        <v>257</v>
      </c>
    </row>
    <row r="10225" spans="8:18" x14ac:dyDescent="0.2">
      <c r="H10225" s="180"/>
      <c r="P10225" s="180" t="s">
        <v>257</v>
      </c>
      <c r="R10225" s="180" t="s">
        <v>257</v>
      </c>
    </row>
    <row r="10226" spans="8:18" x14ac:dyDescent="0.2">
      <c r="H10226" s="180"/>
      <c r="P10226" s="180" t="s">
        <v>257</v>
      </c>
      <c r="R10226" s="180" t="s">
        <v>257</v>
      </c>
    </row>
    <row r="10227" spans="8:18" x14ac:dyDescent="0.2">
      <c r="H10227" s="180"/>
      <c r="P10227" s="180" t="s">
        <v>257</v>
      </c>
      <c r="R10227" s="180" t="s">
        <v>257</v>
      </c>
    </row>
    <row r="10228" spans="8:18" x14ac:dyDescent="0.2">
      <c r="H10228" s="180"/>
      <c r="P10228" s="180" t="s">
        <v>257</v>
      </c>
      <c r="R10228" s="180" t="s">
        <v>257</v>
      </c>
    </row>
    <row r="10229" spans="8:18" x14ac:dyDescent="0.2">
      <c r="H10229" s="180"/>
      <c r="P10229" s="180" t="s">
        <v>257</v>
      </c>
      <c r="R10229" s="180" t="s">
        <v>257</v>
      </c>
    </row>
    <row r="10230" spans="8:18" x14ac:dyDescent="0.2">
      <c r="H10230" s="180"/>
      <c r="P10230" s="180" t="s">
        <v>257</v>
      </c>
      <c r="R10230" s="180" t="s">
        <v>257</v>
      </c>
    </row>
    <row r="10231" spans="8:18" x14ac:dyDescent="0.2">
      <c r="H10231" s="180"/>
      <c r="P10231" s="180" t="s">
        <v>257</v>
      </c>
      <c r="R10231" s="180" t="s">
        <v>257</v>
      </c>
    </row>
    <row r="10232" spans="8:18" x14ac:dyDescent="0.2">
      <c r="H10232" s="180"/>
      <c r="P10232" s="180" t="s">
        <v>257</v>
      </c>
      <c r="R10232" s="180" t="s">
        <v>257</v>
      </c>
    </row>
    <row r="10233" spans="8:18" x14ac:dyDescent="0.2">
      <c r="H10233" s="180"/>
      <c r="P10233" s="180" t="s">
        <v>257</v>
      </c>
      <c r="R10233" s="180" t="s">
        <v>257</v>
      </c>
    </row>
    <row r="10234" spans="8:18" x14ac:dyDescent="0.2">
      <c r="H10234" s="180"/>
      <c r="P10234" s="180" t="s">
        <v>257</v>
      </c>
      <c r="R10234" s="180" t="s">
        <v>257</v>
      </c>
    </row>
    <row r="10235" spans="8:18" x14ac:dyDescent="0.2">
      <c r="H10235" s="180"/>
      <c r="P10235" s="180" t="s">
        <v>257</v>
      </c>
      <c r="R10235" s="180" t="s">
        <v>257</v>
      </c>
    </row>
    <row r="10236" spans="8:18" x14ac:dyDescent="0.2">
      <c r="H10236" s="180"/>
      <c r="P10236" s="180" t="s">
        <v>257</v>
      </c>
      <c r="R10236" s="180" t="s">
        <v>257</v>
      </c>
    </row>
    <row r="10237" spans="8:18" x14ac:dyDescent="0.2">
      <c r="H10237" s="180"/>
      <c r="P10237" s="180" t="s">
        <v>257</v>
      </c>
      <c r="R10237" s="180" t="s">
        <v>257</v>
      </c>
    </row>
    <row r="10238" spans="8:18" x14ac:dyDescent="0.2">
      <c r="H10238" s="180"/>
      <c r="P10238" s="180" t="s">
        <v>257</v>
      </c>
      <c r="R10238" s="180" t="s">
        <v>257</v>
      </c>
    </row>
    <row r="10239" spans="8:18" x14ac:dyDescent="0.2">
      <c r="H10239" s="180"/>
      <c r="P10239" s="180" t="s">
        <v>257</v>
      </c>
      <c r="R10239" s="180" t="s">
        <v>257</v>
      </c>
    </row>
    <row r="10240" spans="8:18" x14ac:dyDescent="0.2">
      <c r="H10240" s="180"/>
      <c r="P10240" s="180" t="s">
        <v>257</v>
      </c>
      <c r="R10240" s="180" t="s">
        <v>257</v>
      </c>
    </row>
    <row r="10241" spans="8:18" x14ac:dyDescent="0.2">
      <c r="H10241" s="180"/>
      <c r="P10241" s="180" t="s">
        <v>257</v>
      </c>
      <c r="R10241" s="180" t="s">
        <v>257</v>
      </c>
    </row>
    <row r="10242" spans="8:18" x14ac:dyDescent="0.2">
      <c r="H10242" s="180"/>
      <c r="P10242" s="180" t="s">
        <v>257</v>
      </c>
      <c r="R10242" s="180" t="s">
        <v>257</v>
      </c>
    </row>
    <row r="10243" spans="8:18" x14ac:dyDescent="0.2">
      <c r="H10243" s="180"/>
      <c r="P10243" s="180" t="s">
        <v>257</v>
      </c>
      <c r="R10243" s="180" t="s">
        <v>257</v>
      </c>
    </row>
    <row r="10244" spans="8:18" x14ac:dyDescent="0.2">
      <c r="H10244" s="180"/>
      <c r="P10244" s="180" t="s">
        <v>257</v>
      </c>
      <c r="R10244" s="180" t="s">
        <v>257</v>
      </c>
    </row>
    <row r="10245" spans="8:18" x14ac:dyDescent="0.2">
      <c r="H10245" s="180"/>
      <c r="P10245" s="180" t="s">
        <v>257</v>
      </c>
      <c r="R10245" s="180" t="s">
        <v>257</v>
      </c>
    </row>
    <row r="10246" spans="8:18" x14ac:dyDescent="0.2">
      <c r="H10246" s="180"/>
      <c r="P10246" s="180" t="s">
        <v>257</v>
      </c>
      <c r="R10246" s="180" t="s">
        <v>257</v>
      </c>
    </row>
    <row r="10247" spans="8:18" x14ac:dyDescent="0.2">
      <c r="H10247" s="180"/>
      <c r="P10247" s="180" t="s">
        <v>257</v>
      </c>
      <c r="R10247" s="180" t="s">
        <v>257</v>
      </c>
    </row>
    <row r="10248" spans="8:18" x14ac:dyDescent="0.2">
      <c r="H10248" s="180"/>
      <c r="P10248" s="180" t="s">
        <v>257</v>
      </c>
      <c r="R10248" s="180" t="s">
        <v>257</v>
      </c>
    </row>
    <row r="10249" spans="8:18" x14ac:dyDescent="0.2">
      <c r="H10249" s="180"/>
      <c r="P10249" s="180" t="s">
        <v>257</v>
      </c>
      <c r="R10249" s="180" t="s">
        <v>257</v>
      </c>
    </row>
    <row r="10250" spans="8:18" x14ac:dyDescent="0.2">
      <c r="H10250" s="180"/>
      <c r="P10250" s="180" t="s">
        <v>257</v>
      </c>
      <c r="R10250" s="180" t="s">
        <v>257</v>
      </c>
    </row>
    <row r="10251" spans="8:18" x14ac:dyDescent="0.2">
      <c r="H10251" s="180"/>
      <c r="P10251" s="180" t="s">
        <v>257</v>
      </c>
      <c r="R10251" s="180" t="s">
        <v>257</v>
      </c>
    </row>
    <row r="10252" spans="8:18" x14ac:dyDescent="0.2">
      <c r="H10252" s="180"/>
      <c r="P10252" s="180" t="s">
        <v>257</v>
      </c>
      <c r="R10252" s="180" t="s">
        <v>257</v>
      </c>
    </row>
    <row r="10253" spans="8:18" x14ac:dyDescent="0.2">
      <c r="H10253" s="180"/>
      <c r="P10253" s="180" t="s">
        <v>257</v>
      </c>
      <c r="R10253" s="180" t="s">
        <v>257</v>
      </c>
    </row>
    <row r="10254" spans="8:18" x14ac:dyDescent="0.2">
      <c r="H10254" s="180"/>
      <c r="P10254" s="180" t="s">
        <v>257</v>
      </c>
      <c r="R10254" s="180" t="s">
        <v>257</v>
      </c>
    </row>
    <row r="10255" spans="8:18" x14ac:dyDescent="0.2">
      <c r="H10255" s="180"/>
      <c r="P10255" s="180" t="s">
        <v>257</v>
      </c>
      <c r="R10255" s="180" t="s">
        <v>257</v>
      </c>
    </row>
    <row r="10256" spans="8:18" x14ac:dyDescent="0.2">
      <c r="H10256" s="180"/>
      <c r="P10256" s="180" t="s">
        <v>257</v>
      </c>
      <c r="R10256" s="180" t="s">
        <v>257</v>
      </c>
    </row>
    <row r="10257" spans="8:18" x14ac:dyDescent="0.2">
      <c r="H10257" s="180"/>
      <c r="P10257" s="180" t="s">
        <v>257</v>
      </c>
      <c r="R10257" s="180" t="s">
        <v>257</v>
      </c>
    </row>
    <row r="10258" spans="8:18" x14ac:dyDescent="0.2">
      <c r="H10258" s="180"/>
      <c r="P10258" s="180" t="s">
        <v>257</v>
      </c>
      <c r="R10258" s="180" t="s">
        <v>257</v>
      </c>
    </row>
    <row r="10259" spans="8:18" x14ac:dyDescent="0.2">
      <c r="H10259" s="180"/>
      <c r="P10259" s="180" t="s">
        <v>257</v>
      </c>
      <c r="R10259" s="180" t="s">
        <v>257</v>
      </c>
    </row>
    <row r="10260" spans="8:18" x14ac:dyDescent="0.2">
      <c r="H10260" s="180"/>
      <c r="P10260" s="180" t="s">
        <v>257</v>
      </c>
      <c r="R10260" s="180" t="s">
        <v>257</v>
      </c>
    </row>
    <row r="10261" spans="8:18" x14ac:dyDescent="0.2">
      <c r="H10261" s="180"/>
      <c r="P10261" s="180" t="s">
        <v>257</v>
      </c>
      <c r="R10261" s="180" t="s">
        <v>257</v>
      </c>
    </row>
    <row r="10262" spans="8:18" x14ac:dyDescent="0.2">
      <c r="H10262" s="180"/>
      <c r="P10262" s="180" t="s">
        <v>257</v>
      </c>
      <c r="R10262" s="180" t="s">
        <v>257</v>
      </c>
    </row>
    <row r="10263" spans="8:18" x14ac:dyDescent="0.2">
      <c r="H10263" s="180"/>
      <c r="P10263" s="180" t="s">
        <v>257</v>
      </c>
      <c r="R10263" s="180" t="s">
        <v>257</v>
      </c>
    </row>
    <row r="10264" spans="8:18" x14ac:dyDescent="0.2">
      <c r="H10264" s="180"/>
      <c r="P10264" s="180" t="s">
        <v>257</v>
      </c>
      <c r="R10264" s="180" t="s">
        <v>257</v>
      </c>
    </row>
    <row r="10265" spans="8:18" x14ac:dyDescent="0.2">
      <c r="H10265" s="180"/>
      <c r="P10265" s="180" t="s">
        <v>257</v>
      </c>
      <c r="R10265" s="180" t="s">
        <v>257</v>
      </c>
    </row>
    <row r="10266" spans="8:18" x14ac:dyDescent="0.2">
      <c r="H10266" s="180"/>
      <c r="P10266" s="180" t="s">
        <v>257</v>
      </c>
      <c r="R10266" s="180" t="s">
        <v>257</v>
      </c>
    </row>
    <row r="10267" spans="8:18" x14ac:dyDescent="0.2">
      <c r="H10267" s="180"/>
      <c r="P10267" s="180" t="s">
        <v>257</v>
      </c>
      <c r="R10267" s="180" t="s">
        <v>257</v>
      </c>
    </row>
    <row r="10268" spans="8:18" x14ac:dyDescent="0.2">
      <c r="H10268" s="180"/>
      <c r="P10268" s="180" t="s">
        <v>257</v>
      </c>
      <c r="R10268" s="180" t="s">
        <v>257</v>
      </c>
    </row>
    <row r="10269" spans="8:18" x14ac:dyDescent="0.2">
      <c r="H10269" s="180"/>
      <c r="P10269" s="180" t="s">
        <v>257</v>
      </c>
      <c r="R10269" s="180" t="s">
        <v>257</v>
      </c>
    </row>
    <row r="10270" spans="8:18" x14ac:dyDescent="0.2">
      <c r="H10270" s="180"/>
      <c r="P10270" s="180" t="s">
        <v>257</v>
      </c>
      <c r="R10270" s="180" t="s">
        <v>257</v>
      </c>
    </row>
    <row r="10271" spans="8:18" x14ac:dyDescent="0.2">
      <c r="H10271" s="180"/>
      <c r="P10271" s="180" t="s">
        <v>257</v>
      </c>
      <c r="R10271" s="180" t="s">
        <v>257</v>
      </c>
    </row>
    <row r="10272" spans="8:18" x14ac:dyDescent="0.2">
      <c r="H10272" s="180"/>
      <c r="P10272" s="180" t="s">
        <v>257</v>
      </c>
      <c r="R10272" s="180" t="s">
        <v>257</v>
      </c>
    </row>
    <row r="10273" spans="8:18" x14ac:dyDescent="0.2">
      <c r="H10273" s="180"/>
      <c r="P10273" s="180" t="s">
        <v>257</v>
      </c>
      <c r="R10273" s="180" t="s">
        <v>257</v>
      </c>
    </row>
    <row r="10274" spans="8:18" x14ac:dyDescent="0.2">
      <c r="H10274" s="180"/>
      <c r="P10274" s="180" t="s">
        <v>257</v>
      </c>
      <c r="R10274" s="180" t="s">
        <v>257</v>
      </c>
    </row>
    <row r="10275" spans="8:18" x14ac:dyDescent="0.2">
      <c r="H10275" s="180"/>
      <c r="P10275" s="180" t="s">
        <v>257</v>
      </c>
      <c r="R10275" s="180" t="s">
        <v>257</v>
      </c>
    </row>
    <row r="10276" spans="8:18" x14ac:dyDescent="0.2">
      <c r="H10276" s="180"/>
      <c r="P10276" s="180" t="s">
        <v>257</v>
      </c>
      <c r="R10276" s="180" t="s">
        <v>257</v>
      </c>
    </row>
    <row r="10277" spans="8:18" x14ac:dyDescent="0.2">
      <c r="H10277" s="180"/>
      <c r="P10277" s="180" t="s">
        <v>257</v>
      </c>
      <c r="R10277" s="180" t="s">
        <v>257</v>
      </c>
    </row>
    <row r="10278" spans="8:18" x14ac:dyDescent="0.2">
      <c r="H10278" s="180"/>
      <c r="P10278" s="180" t="s">
        <v>257</v>
      </c>
      <c r="R10278" s="180" t="s">
        <v>257</v>
      </c>
    </row>
    <row r="10279" spans="8:18" x14ac:dyDescent="0.2">
      <c r="H10279" s="180"/>
      <c r="P10279" s="180" t="s">
        <v>257</v>
      </c>
      <c r="R10279" s="180" t="s">
        <v>257</v>
      </c>
    </row>
    <row r="10280" spans="8:18" x14ac:dyDescent="0.2">
      <c r="H10280" s="180"/>
      <c r="P10280" s="180" t="s">
        <v>257</v>
      </c>
      <c r="R10280" s="180" t="s">
        <v>257</v>
      </c>
    </row>
    <row r="10281" spans="8:18" x14ac:dyDescent="0.2">
      <c r="H10281" s="180"/>
      <c r="P10281" s="180" t="s">
        <v>257</v>
      </c>
      <c r="R10281" s="180" t="s">
        <v>257</v>
      </c>
    </row>
    <row r="10282" spans="8:18" x14ac:dyDescent="0.2">
      <c r="H10282" s="180"/>
      <c r="P10282" s="180" t="s">
        <v>257</v>
      </c>
      <c r="R10282" s="180" t="s">
        <v>257</v>
      </c>
    </row>
    <row r="10283" spans="8:18" x14ac:dyDescent="0.2">
      <c r="H10283" s="180"/>
      <c r="P10283" s="180" t="s">
        <v>257</v>
      </c>
      <c r="R10283" s="180" t="s">
        <v>257</v>
      </c>
    </row>
    <row r="10284" spans="8:18" x14ac:dyDescent="0.2">
      <c r="H10284" s="180"/>
      <c r="P10284" s="180" t="s">
        <v>257</v>
      </c>
      <c r="R10284" s="180" t="s">
        <v>257</v>
      </c>
    </row>
    <row r="10285" spans="8:18" x14ac:dyDescent="0.2">
      <c r="H10285" s="180"/>
      <c r="P10285" s="180" t="s">
        <v>257</v>
      </c>
      <c r="R10285" s="180" t="s">
        <v>257</v>
      </c>
    </row>
    <row r="10286" spans="8:18" x14ac:dyDescent="0.2">
      <c r="H10286" s="180"/>
      <c r="P10286" s="180" t="s">
        <v>257</v>
      </c>
      <c r="R10286" s="180" t="s">
        <v>257</v>
      </c>
    </row>
    <row r="10287" spans="8:18" x14ac:dyDescent="0.2">
      <c r="H10287" s="180"/>
      <c r="P10287" s="180" t="s">
        <v>257</v>
      </c>
      <c r="R10287" s="180" t="s">
        <v>257</v>
      </c>
    </row>
    <row r="10288" spans="8:18" x14ac:dyDescent="0.2">
      <c r="H10288" s="180"/>
      <c r="P10288" s="180" t="s">
        <v>257</v>
      </c>
      <c r="R10288" s="180" t="s">
        <v>257</v>
      </c>
    </row>
    <row r="10289" spans="8:18" x14ac:dyDescent="0.2">
      <c r="H10289" s="180"/>
      <c r="P10289" s="180" t="s">
        <v>257</v>
      </c>
      <c r="R10289" s="180" t="s">
        <v>257</v>
      </c>
    </row>
    <row r="10290" spans="8:18" x14ac:dyDescent="0.2">
      <c r="H10290" s="180"/>
      <c r="P10290" s="180" t="s">
        <v>257</v>
      </c>
      <c r="R10290" s="180" t="s">
        <v>257</v>
      </c>
    </row>
    <row r="10291" spans="8:18" x14ac:dyDescent="0.2">
      <c r="H10291" s="180"/>
      <c r="P10291" s="180" t="s">
        <v>257</v>
      </c>
      <c r="R10291" s="180" t="s">
        <v>257</v>
      </c>
    </row>
    <row r="10292" spans="8:18" x14ac:dyDescent="0.2">
      <c r="H10292" s="180"/>
      <c r="P10292" s="180" t="s">
        <v>257</v>
      </c>
      <c r="R10292" s="180" t="s">
        <v>257</v>
      </c>
    </row>
    <row r="10293" spans="8:18" x14ac:dyDescent="0.2">
      <c r="H10293" s="180"/>
      <c r="P10293" s="180" t="s">
        <v>257</v>
      </c>
      <c r="R10293" s="180" t="s">
        <v>257</v>
      </c>
    </row>
    <row r="10294" spans="8:18" x14ac:dyDescent="0.2">
      <c r="H10294" s="180"/>
      <c r="P10294" s="180" t="s">
        <v>257</v>
      </c>
      <c r="R10294" s="180" t="s">
        <v>257</v>
      </c>
    </row>
    <row r="10295" spans="8:18" x14ac:dyDescent="0.2">
      <c r="H10295" s="180"/>
      <c r="P10295" s="180" t="s">
        <v>257</v>
      </c>
      <c r="R10295" s="180" t="s">
        <v>257</v>
      </c>
    </row>
    <row r="10296" spans="8:18" x14ac:dyDescent="0.2">
      <c r="H10296" s="180"/>
      <c r="P10296" s="180" t="s">
        <v>257</v>
      </c>
      <c r="R10296" s="180" t="s">
        <v>257</v>
      </c>
    </row>
    <row r="10297" spans="8:18" x14ac:dyDescent="0.2">
      <c r="H10297" s="180"/>
      <c r="P10297" s="180" t="s">
        <v>257</v>
      </c>
      <c r="R10297" s="180" t="s">
        <v>257</v>
      </c>
    </row>
    <row r="10298" spans="8:18" x14ac:dyDescent="0.2">
      <c r="H10298" s="180"/>
      <c r="P10298" s="180" t="s">
        <v>257</v>
      </c>
      <c r="R10298" s="180" t="s">
        <v>257</v>
      </c>
    </row>
    <row r="10299" spans="8:18" x14ac:dyDescent="0.2">
      <c r="H10299" s="180"/>
      <c r="P10299" s="180" t="s">
        <v>257</v>
      </c>
      <c r="R10299" s="180" t="s">
        <v>257</v>
      </c>
    </row>
    <row r="10300" spans="8:18" x14ac:dyDescent="0.2">
      <c r="H10300" s="180"/>
      <c r="P10300" s="180" t="s">
        <v>257</v>
      </c>
      <c r="R10300" s="180" t="s">
        <v>257</v>
      </c>
    </row>
    <row r="10301" spans="8:18" x14ac:dyDescent="0.2">
      <c r="H10301" s="180"/>
      <c r="P10301" s="180" t="s">
        <v>257</v>
      </c>
      <c r="R10301" s="180" t="s">
        <v>257</v>
      </c>
    </row>
    <row r="10302" spans="8:18" x14ac:dyDescent="0.2">
      <c r="H10302" s="180"/>
      <c r="P10302" s="180" t="s">
        <v>257</v>
      </c>
      <c r="R10302" s="180" t="s">
        <v>257</v>
      </c>
    </row>
    <row r="10303" spans="8:18" x14ac:dyDescent="0.2">
      <c r="H10303" s="180"/>
      <c r="P10303" s="180" t="s">
        <v>257</v>
      </c>
      <c r="R10303" s="180" t="s">
        <v>257</v>
      </c>
    </row>
    <row r="10304" spans="8:18" x14ac:dyDescent="0.2">
      <c r="H10304" s="180"/>
      <c r="P10304" s="180" t="s">
        <v>257</v>
      </c>
      <c r="R10304" s="180" t="s">
        <v>257</v>
      </c>
    </row>
    <row r="10305" spans="8:18" x14ac:dyDescent="0.2">
      <c r="H10305" s="180"/>
      <c r="P10305" s="180" t="s">
        <v>257</v>
      </c>
      <c r="R10305" s="180" t="s">
        <v>257</v>
      </c>
    </row>
    <row r="10306" spans="8:18" x14ac:dyDescent="0.2">
      <c r="H10306" s="180"/>
      <c r="P10306" s="180" t="s">
        <v>257</v>
      </c>
      <c r="R10306" s="180" t="s">
        <v>257</v>
      </c>
    </row>
    <row r="10307" spans="8:18" x14ac:dyDescent="0.2">
      <c r="H10307" s="180"/>
      <c r="P10307" s="180" t="s">
        <v>257</v>
      </c>
      <c r="R10307" s="180" t="s">
        <v>257</v>
      </c>
    </row>
    <row r="10308" spans="8:18" x14ac:dyDescent="0.2">
      <c r="H10308" s="180"/>
      <c r="P10308" s="180" t="s">
        <v>257</v>
      </c>
      <c r="R10308" s="180" t="s">
        <v>257</v>
      </c>
    </row>
    <row r="10309" spans="8:18" x14ac:dyDescent="0.2">
      <c r="H10309" s="180"/>
      <c r="P10309" s="180" t="s">
        <v>257</v>
      </c>
      <c r="R10309" s="180" t="s">
        <v>257</v>
      </c>
    </row>
    <row r="10310" spans="8:18" x14ac:dyDescent="0.2">
      <c r="H10310" s="180"/>
      <c r="P10310" s="180" t="s">
        <v>257</v>
      </c>
      <c r="R10310" s="180" t="s">
        <v>257</v>
      </c>
    </row>
    <row r="10311" spans="8:18" x14ac:dyDescent="0.2">
      <c r="H10311" s="180"/>
      <c r="P10311" s="180" t="s">
        <v>257</v>
      </c>
      <c r="R10311" s="180" t="s">
        <v>257</v>
      </c>
    </row>
    <row r="10312" spans="8:18" x14ac:dyDescent="0.2">
      <c r="H10312" s="180"/>
      <c r="P10312" s="180" t="s">
        <v>257</v>
      </c>
      <c r="R10312" s="180" t="s">
        <v>257</v>
      </c>
    </row>
    <row r="10313" spans="8:18" x14ac:dyDescent="0.2">
      <c r="H10313" s="180"/>
      <c r="P10313" s="180" t="s">
        <v>257</v>
      </c>
      <c r="R10313" s="180" t="s">
        <v>257</v>
      </c>
    </row>
    <row r="10314" spans="8:18" x14ac:dyDescent="0.2">
      <c r="H10314" s="180"/>
      <c r="P10314" s="180" t="s">
        <v>257</v>
      </c>
      <c r="R10314" s="180" t="s">
        <v>257</v>
      </c>
    </row>
    <row r="10315" spans="8:18" x14ac:dyDescent="0.2">
      <c r="H10315" s="180"/>
      <c r="P10315" s="180" t="s">
        <v>257</v>
      </c>
      <c r="R10315" s="180" t="s">
        <v>257</v>
      </c>
    </row>
    <row r="10316" spans="8:18" x14ac:dyDescent="0.2">
      <c r="H10316" s="180"/>
      <c r="P10316" s="180" t="s">
        <v>257</v>
      </c>
      <c r="R10316" s="180" t="s">
        <v>257</v>
      </c>
    </row>
    <row r="10317" spans="8:18" x14ac:dyDescent="0.2">
      <c r="H10317" s="180"/>
      <c r="P10317" s="180" t="s">
        <v>257</v>
      </c>
      <c r="R10317" s="180" t="s">
        <v>257</v>
      </c>
    </row>
    <row r="10318" spans="8:18" x14ac:dyDescent="0.2">
      <c r="H10318" s="180"/>
      <c r="P10318" s="180" t="s">
        <v>257</v>
      </c>
      <c r="R10318" s="180" t="s">
        <v>257</v>
      </c>
    </row>
    <row r="10319" spans="8:18" x14ac:dyDescent="0.2">
      <c r="H10319" s="180"/>
      <c r="P10319" s="180" t="s">
        <v>257</v>
      </c>
      <c r="R10319" s="180" t="s">
        <v>257</v>
      </c>
    </row>
    <row r="10320" spans="8:18" x14ac:dyDescent="0.2">
      <c r="H10320" s="180"/>
      <c r="P10320" s="180" t="s">
        <v>257</v>
      </c>
      <c r="R10320" s="180" t="s">
        <v>257</v>
      </c>
    </row>
    <row r="10321" spans="8:18" x14ac:dyDescent="0.2">
      <c r="H10321" s="180"/>
      <c r="P10321" s="180" t="s">
        <v>257</v>
      </c>
      <c r="R10321" s="180" t="s">
        <v>257</v>
      </c>
    </row>
    <row r="10322" spans="8:18" x14ac:dyDescent="0.2">
      <c r="H10322" s="180"/>
      <c r="P10322" s="180" t="s">
        <v>257</v>
      </c>
      <c r="R10322" s="180" t="s">
        <v>257</v>
      </c>
    </row>
    <row r="10323" spans="8:18" x14ac:dyDescent="0.2">
      <c r="H10323" s="180"/>
      <c r="P10323" s="180" t="s">
        <v>257</v>
      </c>
      <c r="R10323" s="180" t="s">
        <v>257</v>
      </c>
    </row>
    <row r="10324" spans="8:18" x14ac:dyDescent="0.2">
      <c r="H10324" s="180"/>
      <c r="P10324" s="180" t="s">
        <v>257</v>
      </c>
      <c r="R10324" s="180" t="s">
        <v>257</v>
      </c>
    </row>
    <row r="10325" spans="8:18" x14ac:dyDescent="0.2">
      <c r="H10325" s="180"/>
      <c r="P10325" s="180" t="s">
        <v>257</v>
      </c>
      <c r="R10325" s="180" t="s">
        <v>257</v>
      </c>
    </row>
    <row r="10326" spans="8:18" x14ac:dyDescent="0.2">
      <c r="H10326" s="180"/>
      <c r="P10326" s="180" t="s">
        <v>257</v>
      </c>
      <c r="R10326" s="180" t="s">
        <v>257</v>
      </c>
    </row>
    <row r="10327" spans="8:18" x14ac:dyDescent="0.2">
      <c r="H10327" s="180"/>
      <c r="P10327" s="180" t="s">
        <v>257</v>
      </c>
      <c r="R10327" s="180" t="s">
        <v>257</v>
      </c>
    </row>
    <row r="10328" spans="8:18" x14ac:dyDescent="0.2">
      <c r="H10328" s="180"/>
      <c r="P10328" s="180" t="s">
        <v>257</v>
      </c>
      <c r="R10328" s="180" t="s">
        <v>257</v>
      </c>
    </row>
    <row r="10329" spans="8:18" x14ac:dyDescent="0.2">
      <c r="H10329" s="180"/>
      <c r="P10329" s="180" t="s">
        <v>257</v>
      </c>
      <c r="R10329" s="180" t="s">
        <v>257</v>
      </c>
    </row>
    <row r="10330" spans="8:18" x14ac:dyDescent="0.2">
      <c r="H10330" s="180"/>
      <c r="P10330" s="180" t="s">
        <v>257</v>
      </c>
      <c r="R10330" s="180" t="s">
        <v>257</v>
      </c>
    </row>
    <row r="10331" spans="8:18" x14ac:dyDescent="0.2">
      <c r="H10331" s="180"/>
      <c r="P10331" s="180" t="s">
        <v>257</v>
      </c>
      <c r="R10331" s="180" t="s">
        <v>257</v>
      </c>
    </row>
    <row r="10332" spans="8:18" x14ac:dyDescent="0.2">
      <c r="H10332" s="180"/>
      <c r="P10332" s="180" t="s">
        <v>257</v>
      </c>
      <c r="R10332" s="180" t="s">
        <v>257</v>
      </c>
    </row>
    <row r="10333" spans="8:18" x14ac:dyDescent="0.2">
      <c r="H10333" s="180"/>
      <c r="P10333" s="180" t="s">
        <v>257</v>
      </c>
      <c r="R10333" s="180" t="s">
        <v>257</v>
      </c>
    </row>
    <row r="10334" spans="8:18" x14ac:dyDescent="0.2">
      <c r="H10334" s="180"/>
      <c r="P10334" s="180" t="s">
        <v>257</v>
      </c>
      <c r="R10334" s="180" t="s">
        <v>257</v>
      </c>
    </row>
    <row r="10335" spans="8:18" x14ac:dyDescent="0.2">
      <c r="H10335" s="180"/>
      <c r="P10335" s="180" t="s">
        <v>257</v>
      </c>
      <c r="R10335" s="180" t="s">
        <v>257</v>
      </c>
    </row>
    <row r="10336" spans="8:18" x14ac:dyDescent="0.2">
      <c r="H10336" s="180"/>
      <c r="P10336" s="180" t="s">
        <v>257</v>
      </c>
      <c r="R10336" s="180" t="s">
        <v>257</v>
      </c>
    </row>
    <row r="10337" spans="8:18" x14ac:dyDescent="0.2">
      <c r="H10337" s="180"/>
      <c r="P10337" s="180" t="s">
        <v>257</v>
      </c>
      <c r="R10337" s="180" t="s">
        <v>257</v>
      </c>
    </row>
    <row r="10338" spans="8:18" x14ac:dyDescent="0.2">
      <c r="H10338" s="180"/>
      <c r="P10338" s="180" t="s">
        <v>257</v>
      </c>
      <c r="R10338" s="180" t="s">
        <v>257</v>
      </c>
    </row>
    <row r="10339" spans="8:18" x14ac:dyDescent="0.2">
      <c r="H10339" s="180"/>
      <c r="P10339" s="180" t="s">
        <v>257</v>
      </c>
      <c r="R10339" s="180" t="s">
        <v>257</v>
      </c>
    </row>
    <row r="10340" spans="8:18" x14ac:dyDescent="0.2">
      <c r="H10340" s="180"/>
      <c r="P10340" s="180" t="s">
        <v>257</v>
      </c>
      <c r="R10340" s="180" t="s">
        <v>257</v>
      </c>
    </row>
    <row r="10341" spans="8:18" x14ac:dyDescent="0.2">
      <c r="H10341" s="180"/>
      <c r="P10341" s="180" t="s">
        <v>257</v>
      </c>
      <c r="R10341" s="180" t="s">
        <v>257</v>
      </c>
    </row>
    <row r="10342" spans="8:18" x14ac:dyDescent="0.2">
      <c r="H10342" s="180"/>
      <c r="P10342" s="180" t="s">
        <v>257</v>
      </c>
      <c r="R10342" s="180" t="s">
        <v>257</v>
      </c>
    </row>
    <row r="10343" spans="8:18" x14ac:dyDescent="0.2">
      <c r="H10343" s="180"/>
      <c r="P10343" s="180" t="s">
        <v>257</v>
      </c>
      <c r="R10343" s="180" t="s">
        <v>257</v>
      </c>
    </row>
    <row r="10344" spans="8:18" x14ac:dyDescent="0.2">
      <c r="H10344" s="180"/>
      <c r="P10344" s="180" t="s">
        <v>257</v>
      </c>
      <c r="R10344" s="180" t="s">
        <v>257</v>
      </c>
    </row>
    <row r="10345" spans="8:18" x14ac:dyDescent="0.2">
      <c r="H10345" s="180"/>
      <c r="P10345" s="180" t="s">
        <v>257</v>
      </c>
      <c r="R10345" s="180" t="s">
        <v>257</v>
      </c>
    </row>
    <row r="10346" spans="8:18" x14ac:dyDescent="0.2">
      <c r="H10346" s="180"/>
      <c r="P10346" s="180" t="s">
        <v>257</v>
      </c>
      <c r="R10346" s="180" t="s">
        <v>257</v>
      </c>
    </row>
    <row r="10347" spans="8:18" x14ac:dyDescent="0.2">
      <c r="H10347" s="180"/>
      <c r="P10347" s="180" t="s">
        <v>257</v>
      </c>
      <c r="R10347" s="180" t="s">
        <v>257</v>
      </c>
    </row>
    <row r="10348" spans="8:18" x14ac:dyDescent="0.2">
      <c r="H10348" s="180"/>
      <c r="P10348" s="180" t="s">
        <v>257</v>
      </c>
      <c r="R10348" s="180" t="s">
        <v>257</v>
      </c>
    </row>
    <row r="10349" spans="8:18" x14ac:dyDescent="0.2">
      <c r="H10349" s="180"/>
      <c r="P10349" s="180" t="s">
        <v>257</v>
      </c>
      <c r="R10349" s="180" t="s">
        <v>257</v>
      </c>
    </row>
    <row r="10350" spans="8:18" x14ac:dyDescent="0.2">
      <c r="H10350" s="180"/>
      <c r="P10350" s="180" t="s">
        <v>257</v>
      </c>
      <c r="R10350" s="180" t="s">
        <v>257</v>
      </c>
    </row>
    <row r="10351" spans="8:18" x14ac:dyDescent="0.2">
      <c r="H10351" s="180"/>
      <c r="P10351" s="180" t="s">
        <v>257</v>
      </c>
      <c r="R10351" s="180" t="s">
        <v>257</v>
      </c>
    </row>
    <row r="10352" spans="8:18" x14ac:dyDescent="0.2">
      <c r="H10352" s="180"/>
      <c r="P10352" s="180" t="s">
        <v>257</v>
      </c>
      <c r="R10352" s="180" t="s">
        <v>257</v>
      </c>
    </row>
    <row r="10353" spans="8:18" x14ac:dyDescent="0.2">
      <c r="H10353" s="180"/>
      <c r="P10353" s="180" t="s">
        <v>257</v>
      </c>
      <c r="R10353" s="180" t="s">
        <v>257</v>
      </c>
    </row>
    <row r="10354" spans="8:18" x14ac:dyDescent="0.2">
      <c r="H10354" s="180"/>
      <c r="P10354" s="180" t="s">
        <v>257</v>
      </c>
      <c r="R10354" s="180" t="s">
        <v>257</v>
      </c>
    </row>
    <row r="10355" spans="8:18" x14ac:dyDescent="0.2">
      <c r="H10355" s="180"/>
      <c r="P10355" s="180" t="s">
        <v>257</v>
      </c>
      <c r="R10355" s="180" t="s">
        <v>257</v>
      </c>
    </row>
    <row r="10356" spans="8:18" x14ac:dyDescent="0.2">
      <c r="H10356" s="180"/>
      <c r="P10356" s="180" t="s">
        <v>257</v>
      </c>
      <c r="R10356" s="180" t="s">
        <v>257</v>
      </c>
    </row>
    <row r="10357" spans="8:18" x14ac:dyDescent="0.2">
      <c r="H10357" s="180"/>
      <c r="P10357" s="180" t="s">
        <v>257</v>
      </c>
      <c r="R10357" s="180" t="s">
        <v>257</v>
      </c>
    </row>
    <row r="10358" spans="8:18" x14ac:dyDescent="0.2">
      <c r="H10358" s="180"/>
      <c r="P10358" s="180" t="s">
        <v>257</v>
      </c>
      <c r="R10358" s="180" t="s">
        <v>257</v>
      </c>
    </row>
    <row r="10359" spans="8:18" x14ac:dyDescent="0.2">
      <c r="H10359" s="180"/>
      <c r="P10359" s="180" t="s">
        <v>257</v>
      </c>
      <c r="R10359" s="180" t="s">
        <v>257</v>
      </c>
    </row>
    <row r="10360" spans="8:18" x14ac:dyDescent="0.2">
      <c r="H10360" s="180"/>
      <c r="P10360" s="180" t="s">
        <v>257</v>
      </c>
      <c r="R10360" s="180" t="s">
        <v>257</v>
      </c>
    </row>
    <row r="10361" spans="8:18" x14ac:dyDescent="0.2">
      <c r="H10361" s="180"/>
      <c r="P10361" s="180" t="s">
        <v>257</v>
      </c>
      <c r="R10361" s="180" t="s">
        <v>257</v>
      </c>
    </row>
    <row r="10362" spans="8:18" x14ac:dyDescent="0.2">
      <c r="H10362" s="180"/>
      <c r="P10362" s="180" t="s">
        <v>257</v>
      </c>
      <c r="R10362" s="180" t="s">
        <v>257</v>
      </c>
    </row>
    <row r="10363" spans="8:18" x14ac:dyDescent="0.2">
      <c r="H10363" s="180"/>
      <c r="P10363" s="180" t="s">
        <v>257</v>
      </c>
      <c r="R10363" s="180" t="s">
        <v>257</v>
      </c>
    </row>
    <row r="10364" spans="8:18" x14ac:dyDescent="0.2">
      <c r="H10364" s="180"/>
      <c r="P10364" s="180" t="s">
        <v>257</v>
      </c>
      <c r="R10364" s="180" t="s">
        <v>257</v>
      </c>
    </row>
    <row r="10365" spans="8:18" x14ac:dyDescent="0.2">
      <c r="H10365" s="180"/>
      <c r="P10365" s="180" t="s">
        <v>257</v>
      </c>
      <c r="R10365" s="180" t="s">
        <v>257</v>
      </c>
    </row>
    <row r="10366" spans="8:18" x14ac:dyDescent="0.2">
      <c r="H10366" s="180"/>
      <c r="P10366" s="180" t="s">
        <v>257</v>
      </c>
      <c r="R10366" s="180" t="s">
        <v>257</v>
      </c>
    </row>
    <row r="10367" spans="8:18" x14ac:dyDescent="0.2">
      <c r="H10367" s="180"/>
      <c r="P10367" s="180" t="s">
        <v>257</v>
      </c>
      <c r="R10367" s="180" t="s">
        <v>257</v>
      </c>
    </row>
    <row r="10368" spans="8:18" x14ac:dyDescent="0.2">
      <c r="H10368" s="180"/>
      <c r="P10368" s="180" t="s">
        <v>257</v>
      </c>
      <c r="R10368" s="180" t="s">
        <v>257</v>
      </c>
    </row>
    <row r="10369" spans="8:18" x14ac:dyDescent="0.2">
      <c r="H10369" s="180"/>
      <c r="P10369" s="180" t="s">
        <v>257</v>
      </c>
      <c r="R10369" s="180" t="s">
        <v>257</v>
      </c>
    </row>
    <row r="10370" spans="8:18" x14ac:dyDescent="0.2">
      <c r="H10370" s="180"/>
      <c r="P10370" s="180" t="s">
        <v>257</v>
      </c>
      <c r="R10370" s="180" t="s">
        <v>257</v>
      </c>
    </row>
    <row r="10371" spans="8:18" x14ac:dyDescent="0.2">
      <c r="H10371" s="180"/>
      <c r="P10371" s="180" t="s">
        <v>257</v>
      </c>
      <c r="R10371" s="180" t="s">
        <v>257</v>
      </c>
    </row>
    <row r="10372" spans="8:18" x14ac:dyDescent="0.2">
      <c r="H10372" s="180"/>
      <c r="P10372" s="180" t="s">
        <v>257</v>
      </c>
      <c r="R10372" s="180" t="s">
        <v>257</v>
      </c>
    </row>
    <row r="10373" spans="8:18" x14ac:dyDescent="0.2">
      <c r="H10373" s="180"/>
      <c r="P10373" s="180" t="s">
        <v>257</v>
      </c>
      <c r="R10373" s="180" t="s">
        <v>257</v>
      </c>
    </row>
    <row r="10374" spans="8:18" x14ac:dyDescent="0.2">
      <c r="H10374" s="180"/>
      <c r="P10374" s="180" t="s">
        <v>257</v>
      </c>
      <c r="R10374" s="180" t="s">
        <v>257</v>
      </c>
    </row>
    <row r="10375" spans="8:18" x14ac:dyDescent="0.2">
      <c r="H10375" s="180"/>
      <c r="P10375" s="180" t="s">
        <v>257</v>
      </c>
      <c r="R10375" s="180" t="s">
        <v>257</v>
      </c>
    </row>
    <row r="10376" spans="8:18" x14ac:dyDescent="0.2">
      <c r="H10376" s="180"/>
      <c r="P10376" s="180" t="s">
        <v>257</v>
      </c>
      <c r="R10376" s="180" t="s">
        <v>257</v>
      </c>
    </row>
    <row r="10377" spans="8:18" x14ac:dyDescent="0.2">
      <c r="H10377" s="180"/>
      <c r="P10377" s="180" t="s">
        <v>257</v>
      </c>
      <c r="R10377" s="180" t="s">
        <v>257</v>
      </c>
    </row>
    <row r="10378" spans="8:18" x14ac:dyDescent="0.2">
      <c r="H10378" s="180"/>
      <c r="P10378" s="180" t="s">
        <v>257</v>
      </c>
      <c r="R10378" s="180" t="s">
        <v>257</v>
      </c>
    </row>
    <row r="10379" spans="8:18" x14ac:dyDescent="0.2">
      <c r="H10379" s="180"/>
      <c r="P10379" s="180" t="s">
        <v>257</v>
      </c>
      <c r="R10379" s="180" t="s">
        <v>257</v>
      </c>
    </row>
    <row r="10380" spans="8:18" x14ac:dyDescent="0.2">
      <c r="H10380" s="180"/>
      <c r="P10380" s="180" t="s">
        <v>257</v>
      </c>
      <c r="R10380" s="180" t="s">
        <v>257</v>
      </c>
    </row>
    <row r="10381" spans="8:18" x14ac:dyDescent="0.2">
      <c r="H10381" s="180"/>
      <c r="P10381" s="180" t="s">
        <v>257</v>
      </c>
      <c r="R10381" s="180" t="s">
        <v>257</v>
      </c>
    </row>
    <row r="10382" spans="8:18" x14ac:dyDescent="0.2">
      <c r="H10382" s="180"/>
      <c r="P10382" s="180" t="s">
        <v>257</v>
      </c>
      <c r="R10382" s="180" t="s">
        <v>257</v>
      </c>
    </row>
    <row r="10383" spans="8:18" x14ac:dyDescent="0.2">
      <c r="H10383" s="180"/>
      <c r="P10383" s="180" t="s">
        <v>257</v>
      </c>
      <c r="R10383" s="180" t="s">
        <v>257</v>
      </c>
    </row>
    <row r="10384" spans="8:18" x14ac:dyDescent="0.2">
      <c r="H10384" s="180"/>
      <c r="P10384" s="180" t="s">
        <v>257</v>
      </c>
      <c r="R10384" s="180" t="s">
        <v>257</v>
      </c>
    </row>
    <row r="10385" spans="8:18" x14ac:dyDescent="0.2">
      <c r="H10385" s="180"/>
      <c r="P10385" s="180" t="s">
        <v>257</v>
      </c>
      <c r="R10385" s="180" t="s">
        <v>257</v>
      </c>
    </row>
    <row r="10386" spans="8:18" x14ac:dyDescent="0.2">
      <c r="H10386" s="180"/>
      <c r="P10386" s="180" t="s">
        <v>257</v>
      </c>
      <c r="R10386" s="180" t="s">
        <v>257</v>
      </c>
    </row>
    <row r="10387" spans="8:18" x14ac:dyDescent="0.2">
      <c r="H10387" s="180"/>
      <c r="P10387" s="180" t="s">
        <v>257</v>
      </c>
      <c r="R10387" s="180" t="s">
        <v>257</v>
      </c>
    </row>
    <row r="10388" spans="8:18" x14ac:dyDescent="0.2">
      <c r="H10388" s="180"/>
      <c r="P10388" s="180" t="s">
        <v>257</v>
      </c>
      <c r="R10388" s="180" t="s">
        <v>257</v>
      </c>
    </row>
    <row r="10389" spans="8:18" x14ac:dyDescent="0.2">
      <c r="H10389" s="180"/>
      <c r="P10389" s="180" t="s">
        <v>257</v>
      </c>
      <c r="R10389" s="180" t="s">
        <v>257</v>
      </c>
    </row>
    <row r="10390" spans="8:18" x14ac:dyDescent="0.2">
      <c r="H10390" s="180"/>
      <c r="P10390" s="180" t="s">
        <v>257</v>
      </c>
      <c r="R10390" s="180" t="s">
        <v>257</v>
      </c>
    </row>
    <row r="10391" spans="8:18" x14ac:dyDescent="0.2">
      <c r="H10391" s="180"/>
      <c r="P10391" s="180" t="s">
        <v>257</v>
      </c>
      <c r="R10391" s="180" t="s">
        <v>257</v>
      </c>
    </row>
    <row r="10392" spans="8:18" x14ac:dyDescent="0.2">
      <c r="H10392" s="180"/>
      <c r="P10392" s="180" t="s">
        <v>257</v>
      </c>
      <c r="R10392" s="180" t="s">
        <v>257</v>
      </c>
    </row>
    <row r="10393" spans="8:18" x14ac:dyDescent="0.2">
      <c r="H10393" s="180"/>
      <c r="P10393" s="180" t="s">
        <v>257</v>
      </c>
      <c r="R10393" s="180" t="s">
        <v>257</v>
      </c>
    </row>
    <row r="10394" spans="8:18" x14ac:dyDescent="0.2">
      <c r="H10394" s="180"/>
      <c r="P10394" s="180" t="s">
        <v>257</v>
      </c>
      <c r="R10394" s="180" t="s">
        <v>257</v>
      </c>
    </row>
    <row r="10395" spans="8:18" x14ac:dyDescent="0.2">
      <c r="H10395" s="180"/>
      <c r="P10395" s="180" t="s">
        <v>257</v>
      </c>
      <c r="R10395" s="180" t="s">
        <v>257</v>
      </c>
    </row>
    <row r="10396" spans="8:18" x14ac:dyDescent="0.2">
      <c r="H10396" s="180"/>
      <c r="P10396" s="180" t="s">
        <v>257</v>
      </c>
      <c r="R10396" s="180" t="s">
        <v>257</v>
      </c>
    </row>
    <row r="10397" spans="8:18" x14ac:dyDescent="0.2">
      <c r="H10397" s="180"/>
      <c r="P10397" s="180" t="s">
        <v>257</v>
      </c>
      <c r="R10397" s="180" t="s">
        <v>257</v>
      </c>
    </row>
    <row r="10398" spans="8:18" x14ac:dyDescent="0.2">
      <c r="H10398" s="180"/>
      <c r="P10398" s="180" t="s">
        <v>257</v>
      </c>
      <c r="R10398" s="180" t="s">
        <v>257</v>
      </c>
    </row>
    <row r="10399" spans="8:18" x14ac:dyDescent="0.2">
      <c r="H10399" s="180"/>
      <c r="P10399" s="180" t="s">
        <v>257</v>
      </c>
      <c r="R10399" s="180" t="s">
        <v>257</v>
      </c>
    </row>
    <row r="10400" spans="8:18" x14ac:dyDescent="0.2">
      <c r="H10400" s="180"/>
      <c r="P10400" s="180" t="s">
        <v>257</v>
      </c>
      <c r="R10400" s="180" t="s">
        <v>257</v>
      </c>
    </row>
    <row r="10401" spans="8:18" x14ac:dyDescent="0.2">
      <c r="H10401" s="180"/>
      <c r="P10401" s="180" t="s">
        <v>257</v>
      </c>
      <c r="R10401" s="180" t="s">
        <v>257</v>
      </c>
    </row>
    <row r="10402" spans="8:18" x14ac:dyDescent="0.2">
      <c r="H10402" s="180"/>
      <c r="P10402" s="180" t="s">
        <v>257</v>
      </c>
      <c r="R10402" s="180" t="s">
        <v>257</v>
      </c>
    </row>
    <row r="10403" spans="8:18" x14ac:dyDescent="0.2">
      <c r="H10403" s="180"/>
      <c r="P10403" s="180" t="s">
        <v>257</v>
      </c>
      <c r="R10403" s="180" t="s">
        <v>257</v>
      </c>
    </row>
    <row r="10404" spans="8:18" x14ac:dyDescent="0.2">
      <c r="H10404" s="180"/>
      <c r="P10404" s="180" t="s">
        <v>257</v>
      </c>
      <c r="R10404" s="180" t="s">
        <v>257</v>
      </c>
    </row>
    <row r="10405" spans="8:18" x14ac:dyDescent="0.2">
      <c r="H10405" s="180"/>
      <c r="P10405" s="180" t="s">
        <v>257</v>
      </c>
      <c r="R10405" s="180" t="s">
        <v>257</v>
      </c>
    </row>
    <row r="10406" spans="8:18" x14ac:dyDescent="0.2">
      <c r="H10406" s="180"/>
      <c r="P10406" s="180" t="s">
        <v>257</v>
      </c>
      <c r="R10406" s="180" t="s">
        <v>257</v>
      </c>
    </row>
    <row r="10407" spans="8:18" x14ac:dyDescent="0.2">
      <c r="H10407" s="180"/>
      <c r="P10407" s="180" t="s">
        <v>257</v>
      </c>
      <c r="R10407" s="180" t="s">
        <v>257</v>
      </c>
    </row>
    <row r="10408" spans="8:18" x14ac:dyDescent="0.2">
      <c r="H10408" s="180"/>
      <c r="P10408" s="180" t="s">
        <v>257</v>
      </c>
      <c r="R10408" s="180" t="s">
        <v>257</v>
      </c>
    </row>
    <row r="10409" spans="8:18" x14ac:dyDescent="0.2">
      <c r="H10409" s="180"/>
      <c r="P10409" s="180" t="s">
        <v>257</v>
      </c>
      <c r="R10409" s="180" t="s">
        <v>257</v>
      </c>
    </row>
    <row r="10410" spans="8:18" x14ac:dyDescent="0.2">
      <c r="H10410" s="180"/>
      <c r="P10410" s="180" t="s">
        <v>257</v>
      </c>
      <c r="R10410" s="180" t="s">
        <v>257</v>
      </c>
    </row>
    <row r="10411" spans="8:18" x14ac:dyDescent="0.2">
      <c r="H10411" s="180"/>
      <c r="P10411" s="180" t="s">
        <v>257</v>
      </c>
      <c r="R10411" s="180" t="s">
        <v>257</v>
      </c>
    </row>
    <row r="10412" spans="8:18" x14ac:dyDescent="0.2">
      <c r="H10412" s="180"/>
      <c r="P10412" s="180" t="s">
        <v>257</v>
      </c>
      <c r="R10412" s="180" t="s">
        <v>257</v>
      </c>
    </row>
    <row r="10413" spans="8:18" x14ac:dyDescent="0.2">
      <c r="H10413" s="180"/>
      <c r="P10413" s="180" t="s">
        <v>257</v>
      </c>
      <c r="R10413" s="180" t="s">
        <v>257</v>
      </c>
    </row>
    <row r="10414" spans="8:18" x14ac:dyDescent="0.2">
      <c r="H10414" s="180"/>
      <c r="P10414" s="180" t="s">
        <v>257</v>
      </c>
      <c r="R10414" s="180" t="s">
        <v>257</v>
      </c>
    </row>
    <row r="10415" spans="8:18" x14ac:dyDescent="0.2">
      <c r="H10415" s="180"/>
      <c r="P10415" s="180" t="s">
        <v>257</v>
      </c>
      <c r="R10415" s="180" t="s">
        <v>257</v>
      </c>
    </row>
    <row r="10416" spans="8:18" x14ac:dyDescent="0.2">
      <c r="H10416" s="180"/>
      <c r="P10416" s="180" t="s">
        <v>257</v>
      </c>
      <c r="R10416" s="180" t="s">
        <v>257</v>
      </c>
    </row>
    <row r="10417" spans="8:18" x14ac:dyDescent="0.2">
      <c r="H10417" s="180"/>
      <c r="P10417" s="180" t="s">
        <v>257</v>
      </c>
      <c r="R10417" s="180" t="s">
        <v>257</v>
      </c>
    </row>
    <row r="10418" spans="8:18" x14ac:dyDescent="0.2">
      <c r="H10418" s="180"/>
      <c r="P10418" s="180" t="s">
        <v>257</v>
      </c>
      <c r="R10418" s="180" t="s">
        <v>257</v>
      </c>
    </row>
    <row r="10419" spans="8:18" x14ac:dyDescent="0.2">
      <c r="H10419" s="180"/>
      <c r="P10419" s="180" t="s">
        <v>257</v>
      </c>
      <c r="R10419" s="180" t="s">
        <v>257</v>
      </c>
    </row>
    <row r="10420" spans="8:18" x14ac:dyDescent="0.2">
      <c r="H10420" s="180"/>
      <c r="P10420" s="180" t="s">
        <v>257</v>
      </c>
      <c r="R10420" s="180" t="s">
        <v>257</v>
      </c>
    </row>
    <row r="10421" spans="8:18" x14ac:dyDescent="0.2">
      <c r="H10421" s="180"/>
      <c r="P10421" s="180" t="s">
        <v>257</v>
      </c>
      <c r="R10421" s="180" t="s">
        <v>257</v>
      </c>
    </row>
    <row r="10422" spans="8:18" x14ac:dyDescent="0.2">
      <c r="H10422" s="180"/>
      <c r="P10422" s="180" t="s">
        <v>257</v>
      </c>
      <c r="R10422" s="180" t="s">
        <v>257</v>
      </c>
    </row>
    <row r="10423" spans="8:18" x14ac:dyDescent="0.2">
      <c r="H10423" s="180"/>
      <c r="P10423" s="180" t="s">
        <v>257</v>
      </c>
      <c r="R10423" s="180" t="s">
        <v>257</v>
      </c>
    </row>
    <row r="10424" spans="8:18" x14ac:dyDescent="0.2">
      <c r="H10424" s="180"/>
      <c r="P10424" s="180" t="s">
        <v>257</v>
      </c>
      <c r="R10424" s="180" t="s">
        <v>257</v>
      </c>
    </row>
    <row r="10425" spans="8:18" x14ac:dyDescent="0.2">
      <c r="H10425" s="180"/>
      <c r="P10425" s="180" t="s">
        <v>257</v>
      </c>
      <c r="R10425" s="180" t="s">
        <v>257</v>
      </c>
    </row>
    <row r="10426" spans="8:18" x14ac:dyDescent="0.2">
      <c r="H10426" s="180"/>
      <c r="P10426" s="180" t="s">
        <v>257</v>
      </c>
      <c r="R10426" s="180" t="s">
        <v>257</v>
      </c>
    </row>
    <row r="10427" spans="8:18" x14ac:dyDescent="0.2">
      <c r="H10427" s="180"/>
      <c r="P10427" s="180" t="s">
        <v>257</v>
      </c>
      <c r="R10427" s="180" t="s">
        <v>257</v>
      </c>
    </row>
    <row r="10428" spans="8:18" x14ac:dyDescent="0.2">
      <c r="H10428" s="180"/>
      <c r="P10428" s="180" t="s">
        <v>257</v>
      </c>
      <c r="R10428" s="180" t="s">
        <v>257</v>
      </c>
    </row>
    <row r="10429" spans="8:18" x14ac:dyDescent="0.2">
      <c r="H10429" s="180"/>
      <c r="P10429" s="180" t="s">
        <v>257</v>
      </c>
      <c r="R10429" s="180" t="s">
        <v>257</v>
      </c>
    </row>
    <row r="10430" spans="8:18" x14ac:dyDescent="0.2">
      <c r="H10430" s="180"/>
      <c r="P10430" s="180" t="s">
        <v>257</v>
      </c>
      <c r="R10430" s="180" t="s">
        <v>257</v>
      </c>
    </row>
    <row r="10431" spans="8:18" x14ac:dyDescent="0.2">
      <c r="H10431" s="180"/>
      <c r="P10431" s="180" t="s">
        <v>257</v>
      </c>
      <c r="R10431" s="180" t="s">
        <v>257</v>
      </c>
    </row>
    <row r="10432" spans="8:18" x14ac:dyDescent="0.2">
      <c r="H10432" s="180"/>
      <c r="P10432" s="180" t="s">
        <v>257</v>
      </c>
      <c r="R10432" s="180" t="s">
        <v>257</v>
      </c>
    </row>
    <row r="10433" spans="8:18" x14ac:dyDescent="0.2">
      <c r="H10433" s="180"/>
      <c r="P10433" s="180" t="s">
        <v>257</v>
      </c>
      <c r="R10433" s="180" t="s">
        <v>257</v>
      </c>
    </row>
    <row r="10434" spans="8:18" x14ac:dyDescent="0.2">
      <c r="H10434" s="180"/>
      <c r="P10434" s="180" t="s">
        <v>257</v>
      </c>
      <c r="R10434" s="180" t="s">
        <v>257</v>
      </c>
    </row>
    <row r="10435" spans="8:18" x14ac:dyDescent="0.2">
      <c r="H10435" s="180"/>
      <c r="P10435" s="180" t="s">
        <v>257</v>
      </c>
      <c r="R10435" s="180" t="s">
        <v>257</v>
      </c>
    </row>
    <row r="10436" spans="8:18" x14ac:dyDescent="0.2">
      <c r="H10436" s="180"/>
      <c r="P10436" s="180" t="s">
        <v>257</v>
      </c>
      <c r="R10436" s="180" t="s">
        <v>257</v>
      </c>
    </row>
    <row r="10437" spans="8:18" x14ac:dyDescent="0.2">
      <c r="H10437" s="180"/>
      <c r="P10437" s="180" t="s">
        <v>257</v>
      </c>
      <c r="R10437" s="180" t="s">
        <v>257</v>
      </c>
    </row>
    <row r="10438" spans="8:18" x14ac:dyDescent="0.2">
      <c r="H10438" s="180"/>
      <c r="P10438" s="180" t="s">
        <v>257</v>
      </c>
      <c r="R10438" s="180" t="s">
        <v>257</v>
      </c>
    </row>
    <row r="10439" spans="8:18" x14ac:dyDescent="0.2">
      <c r="H10439" s="180"/>
      <c r="P10439" s="180" t="s">
        <v>257</v>
      </c>
      <c r="R10439" s="180" t="s">
        <v>257</v>
      </c>
    </row>
    <row r="10440" spans="8:18" x14ac:dyDescent="0.2">
      <c r="H10440" s="180"/>
      <c r="P10440" s="180" t="s">
        <v>257</v>
      </c>
      <c r="R10440" s="180" t="s">
        <v>257</v>
      </c>
    </row>
    <row r="10441" spans="8:18" x14ac:dyDescent="0.2">
      <c r="H10441" s="180"/>
      <c r="P10441" s="180" t="s">
        <v>257</v>
      </c>
      <c r="R10441" s="180" t="s">
        <v>257</v>
      </c>
    </row>
    <row r="10442" spans="8:18" x14ac:dyDescent="0.2">
      <c r="H10442" s="180"/>
      <c r="P10442" s="180" t="s">
        <v>257</v>
      </c>
      <c r="R10442" s="180" t="s">
        <v>257</v>
      </c>
    </row>
    <row r="10443" spans="8:18" x14ac:dyDescent="0.2">
      <c r="H10443" s="180"/>
      <c r="P10443" s="180" t="s">
        <v>257</v>
      </c>
      <c r="R10443" s="180" t="s">
        <v>257</v>
      </c>
    </row>
    <row r="10444" spans="8:18" x14ac:dyDescent="0.2">
      <c r="H10444" s="180"/>
      <c r="P10444" s="180" t="s">
        <v>257</v>
      </c>
      <c r="R10444" s="180" t="s">
        <v>257</v>
      </c>
    </row>
    <row r="10445" spans="8:18" x14ac:dyDescent="0.2">
      <c r="H10445" s="180"/>
      <c r="P10445" s="180" t="s">
        <v>257</v>
      </c>
      <c r="R10445" s="180" t="s">
        <v>257</v>
      </c>
    </row>
    <row r="10446" spans="8:18" x14ac:dyDescent="0.2">
      <c r="H10446" s="180"/>
      <c r="P10446" s="180" t="s">
        <v>257</v>
      </c>
      <c r="R10446" s="180" t="s">
        <v>257</v>
      </c>
    </row>
    <row r="10447" spans="8:18" x14ac:dyDescent="0.2">
      <c r="H10447" s="180"/>
      <c r="P10447" s="180" t="s">
        <v>257</v>
      </c>
      <c r="R10447" s="180" t="s">
        <v>257</v>
      </c>
    </row>
    <row r="10448" spans="8:18" x14ac:dyDescent="0.2">
      <c r="H10448" s="180"/>
      <c r="P10448" s="180" t="s">
        <v>257</v>
      </c>
      <c r="R10448" s="180" t="s">
        <v>257</v>
      </c>
    </row>
    <row r="10449" spans="8:18" x14ac:dyDescent="0.2">
      <c r="H10449" s="180"/>
      <c r="P10449" s="180" t="s">
        <v>257</v>
      </c>
      <c r="R10449" s="180" t="s">
        <v>257</v>
      </c>
    </row>
    <row r="10450" spans="8:18" x14ac:dyDescent="0.2">
      <c r="H10450" s="180"/>
      <c r="P10450" s="180" t="s">
        <v>257</v>
      </c>
      <c r="R10450" s="180" t="s">
        <v>257</v>
      </c>
    </row>
    <row r="10451" spans="8:18" x14ac:dyDescent="0.2">
      <c r="H10451" s="180"/>
      <c r="P10451" s="180" t="s">
        <v>257</v>
      </c>
      <c r="R10451" s="180" t="s">
        <v>257</v>
      </c>
    </row>
    <row r="10452" spans="8:18" x14ac:dyDescent="0.2">
      <c r="H10452" s="180"/>
      <c r="P10452" s="180" t="s">
        <v>257</v>
      </c>
      <c r="R10452" s="180" t="s">
        <v>257</v>
      </c>
    </row>
    <row r="10453" spans="8:18" x14ac:dyDescent="0.2">
      <c r="H10453" s="180"/>
      <c r="P10453" s="180" t="s">
        <v>257</v>
      </c>
      <c r="R10453" s="180" t="s">
        <v>257</v>
      </c>
    </row>
    <row r="10454" spans="8:18" x14ac:dyDescent="0.2">
      <c r="H10454" s="180"/>
      <c r="P10454" s="180" t="s">
        <v>257</v>
      </c>
      <c r="R10454" s="180" t="s">
        <v>257</v>
      </c>
    </row>
    <row r="10455" spans="8:18" x14ac:dyDescent="0.2">
      <c r="H10455" s="180"/>
      <c r="P10455" s="180" t="s">
        <v>257</v>
      </c>
      <c r="R10455" s="180" t="s">
        <v>257</v>
      </c>
    </row>
    <row r="10456" spans="8:18" x14ac:dyDescent="0.2">
      <c r="H10456" s="180"/>
      <c r="P10456" s="180" t="s">
        <v>257</v>
      </c>
      <c r="R10456" s="180" t="s">
        <v>257</v>
      </c>
    </row>
    <row r="10457" spans="8:18" x14ac:dyDescent="0.2">
      <c r="H10457" s="180"/>
      <c r="P10457" s="180" t="s">
        <v>257</v>
      </c>
      <c r="R10457" s="180" t="s">
        <v>257</v>
      </c>
    </row>
    <row r="10458" spans="8:18" x14ac:dyDescent="0.2">
      <c r="H10458" s="180"/>
      <c r="P10458" s="180" t="s">
        <v>257</v>
      </c>
      <c r="R10458" s="180" t="s">
        <v>257</v>
      </c>
    </row>
    <row r="10459" spans="8:18" x14ac:dyDescent="0.2">
      <c r="H10459" s="180"/>
      <c r="P10459" s="180" t="s">
        <v>257</v>
      </c>
      <c r="R10459" s="180" t="s">
        <v>257</v>
      </c>
    </row>
    <row r="10460" spans="8:18" x14ac:dyDescent="0.2">
      <c r="H10460" s="180"/>
      <c r="P10460" s="180" t="s">
        <v>257</v>
      </c>
      <c r="R10460" s="180" t="s">
        <v>257</v>
      </c>
    </row>
    <row r="10461" spans="8:18" x14ac:dyDescent="0.2">
      <c r="H10461" s="180"/>
      <c r="P10461" s="180" t="s">
        <v>257</v>
      </c>
      <c r="R10461" s="180" t="s">
        <v>257</v>
      </c>
    </row>
    <row r="10462" spans="8:18" x14ac:dyDescent="0.2">
      <c r="H10462" s="180"/>
      <c r="P10462" s="180" t="s">
        <v>257</v>
      </c>
      <c r="R10462" s="180" t="s">
        <v>257</v>
      </c>
    </row>
    <row r="10463" spans="8:18" x14ac:dyDescent="0.2">
      <c r="H10463" s="180"/>
      <c r="P10463" s="180" t="s">
        <v>257</v>
      </c>
      <c r="R10463" s="180" t="s">
        <v>257</v>
      </c>
    </row>
    <row r="10464" spans="8:18" x14ac:dyDescent="0.2">
      <c r="H10464" s="180"/>
      <c r="P10464" s="180" t="s">
        <v>257</v>
      </c>
      <c r="R10464" s="180" t="s">
        <v>257</v>
      </c>
    </row>
    <row r="10465" spans="8:18" x14ac:dyDescent="0.2">
      <c r="H10465" s="180"/>
      <c r="P10465" s="180" t="s">
        <v>257</v>
      </c>
      <c r="R10465" s="180" t="s">
        <v>257</v>
      </c>
    </row>
    <row r="10466" spans="8:18" x14ac:dyDescent="0.2">
      <c r="H10466" s="180"/>
      <c r="P10466" s="180" t="s">
        <v>257</v>
      </c>
      <c r="R10466" s="180" t="s">
        <v>257</v>
      </c>
    </row>
    <row r="10467" spans="8:18" x14ac:dyDescent="0.2">
      <c r="H10467" s="180"/>
      <c r="P10467" s="180" t="s">
        <v>257</v>
      </c>
      <c r="R10467" s="180" t="s">
        <v>257</v>
      </c>
    </row>
    <row r="10468" spans="8:18" x14ac:dyDescent="0.2">
      <c r="H10468" s="180"/>
      <c r="P10468" s="180" t="s">
        <v>257</v>
      </c>
      <c r="R10468" s="180" t="s">
        <v>257</v>
      </c>
    </row>
    <row r="10469" spans="8:18" x14ac:dyDescent="0.2">
      <c r="H10469" s="180"/>
      <c r="P10469" s="180" t="s">
        <v>257</v>
      </c>
      <c r="R10469" s="180" t="s">
        <v>257</v>
      </c>
    </row>
    <row r="10470" spans="8:18" x14ac:dyDescent="0.2">
      <c r="H10470" s="180"/>
      <c r="P10470" s="180" t="s">
        <v>257</v>
      </c>
      <c r="R10470" s="180" t="s">
        <v>257</v>
      </c>
    </row>
    <row r="10471" spans="8:18" x14ac:dyDescent="0.2">
      <c r="H10471" s="180"/>
      <c r="P10471" s="180" t="s">
        <v>257</v>
      </c>
      <c r="R10471" s="180" t="s">
        <v>257</v>
      </c>
    </row>
    <row r="10472" spans="8:18" x14ac:dyDescent="0.2">
      <c r="H10472" s="180"/>
      <c r="P10472" s="180" t="s">
        <v>257</v>
      </c>
      <c r="R10472" s="180" t="s">
        <v>257</v>
      </c>
    </row>
    <row r="10473" spans="8:18" x14ac:dyDescent="0.2">
      <c r="H10473" s="180"/>
      <c r="P10473" s="180" t="s">
        <v>257</v>
      </c>
      <c r="R10473" s="180" t="s">
        <v>257</v>
      </c>
    </row>
    <row r="10474" spans="8:18" x14ac:dyDescent="0.2">
      <c r="H10474" s="180"/>
      <c r="P10474" s="180" t="s">
        <v>257</v>
      </c>
      <c r="R10474" s="180" t="s">
        <v>257</v>
      </c>
    </row>
    <row r="10475" spans="8:18" x14ac:dyDescent="0.2">
      <c r="H10475" s="180"/>
      <c r="P10475" s="180" t="s">
        <v>257</v>
      </c>
      <c r="R10475" s="180" t="s">
        <v>257</v>
      </c>
    </row>
    <row r="10476" spans="8:18" x14ac:dyDescent="0.2">
      <c r="H10476" s="180"/>
      <c r="P10476" s="180" t="s">
        <v>257</v>
      </c>
      <c r="R10476" s="180" t="s">
        <v>257</v>
      </c>
    </row>
    <row r="10477" spans="8:18" x14ac:dyDescent="0.2">
      <c r="H10477" s="180"/>
      <c r="P10477" s="180" t="s">
        <v>257</v>
      </c>
      <c r="R10477" s="180" t="s">
        <v>257</v>
      </c>
    </row>
    <row r="10478" spans="8:18" x14ac:dyDescent="0.2">
      <c r="H10478" s="180"/>
      <c r="P10478" s="180" t="s">
        <v>257</v>
      </c>
      <c r="R10478" s="180" t="s">
        <v>257</v>
      </c>
    </row>
    <row r="10479" spans="8:18" x14ac:dyDescent="0.2">
      <c r="H10479" s="180"/>
      <c r="P10479" s="180" t="s">
        <v>257</v>
      </c>
      <c r="R10479" s="180" t="s">
        <v>257</v>
      </c>
    </row>
    <row r="10480" spans="8:18" x14ac:dyDescent="0.2">
      <c r="H10480" s="180"/>
      <c r="P10480" s="180" t="s">
        <v>257</v>
      </c>
      <c r="R10480" s="180" t="s">
        <v>257</v>
      </c>
    </row>
    <row r="10481" spans="8:18" x14ac:dyDescent="0.2">
      <c r="H10481" s="180"/>
      <c r="P10481" s="180" t="s">
        <v>257</v>
      </c>
      <c r="R10481" s="180" t="s">
        <v>257</v>
      </c>
    </row>
    <row r="10482" spans="8:18" x14ac:dyDescent="0.2">
      <c r="H10482" s="180"/>
      <c r="P10482" s="180" t="s">
        <v>257</v>
      </c>
      <c r="R10482" s="180" t="s">
        <v>257</v>
      </c>
    </row>
    <row r="10483" spans="8:18" x14ac:dyDescent="0.2">
      <c r="H10483" s="180"/>
      <c r="P10483" s="180" t="s">
        <v>257</v>
      </c>
      <c r="R10483" s="180" t="s">
        <v>257</v>
      </c>
    </row>
    <row r="10484" spans="8:18" x14ac:dyDescent="0.2">
      <c r="H10484" s="180"/>
      <c r="P10484" s="180" t="s">
        <v>257</v>
      </c>
      <c r="R10484" s="180" t="s">
        <v>257</v>
      </c>
    </row>
    <row r="10485" spans="8:18" x14ac:dyDescent="0.2">
      <c r="H10485" s="180"/>
      <c r="P10485" s="180" t="s">
        <v>257</v>
      </c>
      <c r="R10485" s="180" t="s">
        <v>257</v>
      </c>
    </row>
    <row r="10486" spans="8:18" x14ac:dyDescent="0.2">
      <c r="H10486" s="180"/>
      <c r="P10486" s="180" t="s">
        <v>257</v>
      </c>
      <c r="R10486" s="180" t="s">
        <v>257</v>
      </c>
    </row>
    <row r="10487" spans="8:18" x14ac:dyDescent="0.2">
      <c r="H10487" s="180"/>
      <c r="P10487" s="180" t="s">
        <v>257</v>
      </c>
      <c r="R10487" s="180" t="s">
        <v>257</v>
      </c>
    </row>
    <row r="10488" spans="8:18" x14ac:dyDescent="0.2">
      <c r="H10488" s="180"/>
      <c r="P10488" s="180" t="s">
        <v>257</v>
      </c>
      <c r="R10488" s="180" t="s">
        <v>257</v>
      </c>
    </row>
    <row r="10489" spans="8:18" x14ac:dyDescent="0.2">
      <c r="H10489" s="180"/>
      <c r="P10489" s="180" t="s">
        <v>257</v>
      </c>
      <c r="R10489" s="180" t="s">
        <v>257</v>
      </c>
    </row>
    <row r="10490" spans="8:18" x14ac:dyDescent="0.2">
      <c r="H10490" s="180"/>
      <c r="P10490" s="180" t="s">
        <v>257</v>
      </c>
      <c r="R10490" s="180" t="s">
        <v>257</v>
      </c>
    </row>
    <row r="10491" spans="8:18" x14ac:dyDescent="0.2">
      <c r="H10491" s="180"/>
      <c r="P10491" s="180" t="s">
        <v>257</v>
      </c>
      <c r="R10491" s="180" t="s">
        <v>257</v>
      </c>
    </row>
    <row r="10492" spans="8:18" x14ac:dyDescent="0.2">
      <c r="H10492" s="180"/>
      <c r="P10492" s="180" t="s">
        <v>257</v>
      </c>
      <c r="R10492" s="180" t="s">
        <v>257</v>
      </c>
    </row>
    <row r="10493" spans="8:18" x14ac:dyDescent="0.2">
      <c r="H10493" s="180"/>
      <c r="P10493" s="180" t="s">
        <v>257</v>
      </c>
      <c r="R10493" s="180" t="s">
        <v>257</v>
      </c>
    </row>
    <row r="10494" spans="8:18" x14ac:dyDescent="0.2">
      <c r="H10494" s="180"/>
      <c r="P10494" s="180" t="s">
        <v>257</v>
      </c>
      <c r="R10494" s="180" t="s">
        <v>257</v>
      </c>
    </row>
    <row r="10495" spans="8:18" x14ac:dyDescent="0.2">
      <c r="H10495" s="180"/>
      <c r="P10495" s="180" t="s">
        <v>257</v>
      </c>
      <c r="R10495" s="180" t="s">
        <v>257</v>
      </c>
    </row>
    <row r="10496" spans="8:18" x14ac:dyDescent="0.2">
      <c r="H10496" s="180"/>
      <c r="P10496" s="180" t="s">
        <v>257</v>
      </c>
      <c r="R10496" s="180" t="s">
        <v>257</v>
      </c>
    </row>
    <row r="10497" spans="8:18" x14ac:dyDescent="0.2">
      <c r="H10497" s="180"/>
      <c r="P10497" s="180" t="s">
        <v>257</v>
      </c>
      <c r="R10497" s="180" t="s">
        <v>257</v>
      </c>
    </row>
    <row r="10498" spans="8:18" x14ac:dyDescent="0.2">
      <c r="H10498" s="180"/>
      <c r="P10498" s="180" t="s">
        <v>257</v>
      </c>
      <c r="R10498" s="180" t="s">
        <v>257</v>
      </c>
    </row>
    <row r="10499" spans="8:18" x14ac:dyDescent="0.2">
      <c r="H10499" s="180"/>
      <c r="P10499" s="180" t="s">
        <v>257</v>
      </c>
      <c r="R10499" s="180" t="s">
        <v>257</v>
      </c>
    </row>
    <row r="10500" spans="8:18" x14ac:dyDescent="0.2">
      <c r="H10500" s="180"/>
      <c r="P10500" s="180" t="s">
        <v>257</v>
      </c>
      <c r="R10500" s="180" t="s">
        <v>257</v>
      </c>
    </row>
    <row r="10501" spans="8:18" x14ac:dyDescent="0.2">
      <c r="H10501" s="180"/>
      <c r="P10501" s="180" t="s">
        <v>257</v>
      </c>
      <c r="R10501" s="180" t="s">
        <v>257</v>
      </c>
    </row>
    <row r="10502" spans="8:18" x14ac:dyDescent="0.2">
      <c r="H10502" s="180"/>
      <c r="P10502" s="180" t="s">
        <v>257</v>
      </c>
      <c r="R10502" s="180" t="s">
        <v>257</v>
      </c>
    </row>
    <row r="10503" spans="8:18" x14ac:dyDescent="0.2">
      <c r="H10503" s="180"/>
      <c r="P10503" s="180" t="s">
        <v>257</v>
      </c>
      <c r="R10503" s="180" t="s">
        <v>257</v>
      </c>
    </row>
    <row r="10504" spans="8:18" x14ac:dyDescent="0.2">
      <c r="H10504" s="180"/>
      <c r="P10504" s="180" t="s">
        <v>257</v>
      </c>
      <c r="R10504" s="180" t="s">
        <v>257</v>
      </c>
    </row>
    <row r="10505" spans="8:18" x14ac:dyDescent="0.2">
      <c r="H10505" s="180"/>
      <c r="P10505" s="180" t="s">
        <v>257</v>
      </c>
      <c r="R10505" s="180" t="s">
        <v>257</v>
      </c>
    </row>
    <row r="10506" spans="8:18" x14ac:dyDescent="0.2">
      <c r="H10506" s="180"/>
      <c r="P10506" s="180" t="s">
        <v>257</v>
      </c>
      <c r="R10506" s="180" t="s">
        <v>257</v>
      </c>
    </row>
    <row r="10507" spans="8:18" x14ac:dyDescent="0.2">
      <c r="H10507" s="180"/>
      <c r="P10507" s="180" t="s">
        <v>257</v>
      </c>
      <c r="R10507" s="180" t="s">
        <v>257</v>
      </c>
    </row>
    <row r="10508" spans="8:18" x14ac:dyDescent="0.2">
      <c r="H10508" s="180"/>
      <c r="P10508" s="180" t="s">
        <v>257</v>
      </c>
      <c r="R10508" s="180" t="s">
        <v>257</v>
      </c>
    </row>
    <row r="10509" spans="8:18" x14ac:dyDescent="0.2">
      <c r="H10509" s="180"/>
      <c r="P10509" s="180" t="s">
        <v>257</v>
      </c>
      <c r="R10509" s="180" t="s">
        <v>257</v>
      </c>
    </row>
    <row r="10510" spans="8:18" x14ac:dyDescent="0.2">
      <c r="H10510" s="180"/>
      <c r="P10510" s="180" t="s">
        <v>257</v>
      </c>
      <c r="R10510" s="180" t="s">
        <v>257</v>
      </c>
    </row>
    <row r="10511" spans="8:18" x14ac:dyDescent="0.2">
      <c r="H10511" s="180"/>
      <c r="P10511" s="180" t="s">
        <v>257</v>
      </c>
      <c r="R10511" s="180" t="s">
        <v>257</v>
      </c>
    </row>
    <row r="10512" spans="8:18" x14ac:dyDescent="0.2">
      <c r="H10512" s="180"/>
      <c r="P10512" s="180" t="s">
        <v>257</v>
      </c>
      <c r="R10512" s="180" t="s">
        <v>257</v>
      </c>
    </row>
    <row r="10513" spans="8:18" x14ac:dyDescent="0.2">
      <c r="H10513" s="180"/>
      <c r="P10513" s="180" t="s">
        <v>257</v>
      </c>
      <c r="R10513" s="180" t="s">
        <v>257</v>
      </c>
    </row>
    <row r="10514" spans="8:18" x14ac:dyDescent="0.2">
      <c r="H10514" s="180"/>
      <c r="P10514" s="180" t="s">
        <v>257</v>
      </c>
      <c r="R10514" s="180" t="s">
        <v>257</v>
      </c>
    </row>
    <row r="10515" spans="8:18" x14ac:dyDescent="0.2">
      <c r="H10515" s="180"/>
      <c r="P10515" s="180" t="s">
        <v>257</v>
      </c>
      <c r="R10515" s="180" t="s">
        <v>257</v>
      </c>
    </row>
    <row r="10516" spans="8:18" x14ac:dyDescent="0.2">
      <c r="H10516" s="180"/>
      <c r="P10516" s="180" t="s">
        <v>257</v>
      </c>
      <c r="R10516" s="180" t="s">
        <v>257</v>
      </c>
    </row>
    <row r="10517" spans="8:18" x14ac:dyDescent="0.2">
      <c r="H10517" s="180"/>
      <c r="P10517" s="180" t="s">
        <v>257</v>
      </c>
      <c r="R10517" s="180" t="s">
        <v>257</v>
      </c>
    </row>
    <row r="10518" spans="8:18" x14ac:dyDescent="0.2">
      <c r="H10518" s="180"/>
      <c r="P10518" s="180" t="s">
        <v>257</v>
      </c>
      <c r="R10518" s="180" t="s">
        <v>257</v>
      </c>
    </row>
    <row r="10519" spans="8:18" x14ac:dyDescent="0.2">
      <c r="H10519" s="180"/>
      <c r="P10519" s="180" t="s">
        <v>257</v>
      </c>
      <c r="R10519" s="180" t="s">
        <v>257</v>
      </c>
    </row>
    <row r="10520" spans="8:18" x14ac:dyDescent="0.2">
      <c r="H10520" s="180"/>
      <c r="P10520" s="180" t="s">
        <v>257</v>
      </c>
      <c r="R10520" s="180" t="s">
        <v>257</v>
      </c>
    </row>
    <row r="10521" spans="8:18" x14ac:dyDescent="0.2">
      <c r="H10521" s="180"/>
      <c r="P10521" s="180" t="s">
        <v>257</v>
      </c>
      <c r="R10521" s="180" t="s">
        <v>257</v>
      </c>
    </row>
    <row r="10522" spans="8:18" x14ac:dyDescent="0.2">
      <c r="H10522" s="180"/>
      <c r="P10522" s="180" t="s">
        <v>257</v>
      </c>
      <c r="R10522" s="180" t="s">
        <v>257</v>
      </c>
    </row>
    <row r="10523" spans="8:18" x14ac:dyDescent="0.2">
      <c r="H10523" s="180"/>
      <c r="P10523" s="180" t="s">
        <v>257</v>
      </c>
      <c r="R10523" s="180" t="s">
        <v>257</v>
      </c>
    </row>
    <row r="10524" spans="8:18" x14ac:dyDescent="0.2">
      <c r="H10524" s="180"/>
      <c r="P10524" s="180" t="s">
        <v>257</v>
      </c>
      <c r="R10524" s="180" t="s">
        <v>257</v>
      </c>
    </row>
    <row r="10525" spans="8:18" x14ac:dyDescent="0.2">
      <c r="H10525" s="180"/>
      <c r="P10525" s="180" t="s">
        <v>257</v>
      </c>
      <c r="R10525" s="180" t="s">
        <v>257</v>
      </c>
    </row>
    <row r="10526" spans="8:18" x14ac:dyDescent="0.2">
      <c r="H10526" s="180"/>
      <c r="P10526" s="180" t="s">
        <v>257</v>
      </c>
      <c r="R10526" s="180" t="s">
        <v>257</v>
      </c>
    </row>
    <row r="10527" spans="8:18" x14ac:dyDescent="0.2">
      <c r="H10527" s="180"/>
      <c r="P10527" s="180" t="s">
        <v>257</v>
      </c>
      <c r="R10527" s="180" t="s">
        <v>257</v>
      </c>
    </row>
    <row r="10528" spans="8:18" x14ac:dyDescent="0.2">
      <c r="H10528" s="180"/>
      <c r="P10528" s="180" t="s">
        <v>257</v>
      </c>
      <c r="R10528" s="180" t="s">
        <v>257</v>
      </c>
    </row>
    <row r="10529" spans="8:18" x14ac:dyDescent="0.2">
      <c r="H10529" s="180"/>
      <c r="P10529" s="180" t="s">
        <v>257</v>
      </c>
      <c r="R10529" s="180" t="s">
        <v>257</v>
      </c>
    </row>
    <row r="10530" spans="8:18" x14ac:dyDescent="0.2">
      <c r="H10530" s="180"/>
      <c r="P10530" s="180" t="s">
        <v>257</v>
      </c>
      <c r="R10530" s="180" t="s">
        <v>257</v>
      </c>
    </row>
    <row r="10531" spans="8:18" x14ac:dyDescent="0.2">
      <c r="H10531" s="180"/>
      <c r="P10531" s="180" t="s">
        <v>257</v>
      </c>
      <c r="R10531" s="180" t="s">
        <v>257</v>
      </c>
    </row>
    <row r="10532" spans="8:18" x14ac:dyDescent="0.2">
      <c r="H10532" s="180"/>
      <c r="P10532" s="180" t="s">
        <v>257</v>
      </c>
      <c r="R10532" s="180" t="s">
        <v>257</v>
      </c>
    </row>
    <row r="10533" spans="8:18" x14ac:dyDescent="0.2">
      <c r="H10533" s="180"/>
      <c r="P10533" s="180" t="s">
        <v>257</v>
      </c>
      <c r="R10533" s="180" t="s">
        <v>257</v>
      </c>
    </row>
    <row r="10534" spans="8:18" x14ac:dyDescent="0.2">
      <c r="H10534" s="180"/>
      <c r="P10534" s="180" t="s">
        <v>257</v>
      </c>
      <c r="R10534" s="180" t="s">
        <v>257</v>
      </c>
    </row>
    <row r="10535" spans="8:18" x14ac:dyDescent="0.2">
      <c r="H10535" s="180"/>
      <c r="P10535" s="180" t="s">
        <v>257</v>
      </c>
      <c r="R10535" s="180" t="s">
        <v>257</v>
      </c>
    </row>
    <row r="10536" spans="8:18" x14ac:dyDescent="0.2">
      <c r="H10536" s="180"/>
      <c r="P10536" s="180" t="s">
        <v>257</v>
      </c>
      <c r="R10536" s="180" t="s">
        <v>257</v>
      </c>
    </row>
    <row r="10537" spans="8:18" x14ac:dyDescent="0.2">
      <c r="H10537" s="180"/>
      <c r="P10537" s="180" t="s">
        <v>257</v>
      </c>
      <c r="R10537" s="180" t="s">
        <v>257</v>
      </c>
    </row>
    <row r="10538" spans="8:18" x14ac:dyDescent="0.2">
      <c r="H10538" s="180"/>
      <c r="P10538" s="180" t="s">
        <v>257</v>
      </c>
      <c r="R10538" s="180" t="s">
        <v>257</v>
      </c>
    </row>
    <row r="10539" spans="8:18" x14ac:dyDescent="0.2">
      <c r="H10539" s="180"/>
      <c r="P10539" s="180" t="s">
        <v>257</v>
      </c>
      <c r="R10539" s="180" t="s">
        <v>257</v>
      </c>
    </row>
    <row r="10540" spans="8:18" x14ac:dyDescent="0.2">
      <c r="H10540" s="180"/>
      <c r="P10540" s="180" t="s">
        <v>257</v>
      </c>
      <c r="R10540" s="180" t="s">
        <v>257</v>
      </c>
    </row>
    <row r="10541" spans="8:18" x14ac:dyDescent="0.2">
      <c r="H10541" s="180"/>
      <c r="P10541" s="180" t="s">
        <v>257</v>
      </c>
      <c r="R10541" s="180" t="s">
        <v>257</v>
      </c>
    </row>
    <row r="10542" spans="8:18" x14ac:dyDescent="0.2">
      <c r="H10542" s="180"/>
      <c r="P10542" s="180" t="s">
        <v>257</v>
      </c>
      <c r="R10542" s="180" t="s">
        <v>257</v>
      </c>
    </row>
    <row r="10543" spans="8:18" x14ac:dyDescent="0.2">
      <c r="H10543" s="180"/>
      <c r="P10543" s="180" t="s">
        <v>257</v>
      </c>
      <c r="R10543" s="180" t="s">
        <v>257</v>
      </c>
    </row>
    <row r="10544" spans="8:18" x14ac:dyDescent="0.2">
      <c r="H10544" s="180"/>
      <c r="P10544" s="180" t="s">
        <v>257</v>
      </c>
      <c r="R10544" s="180" t="s">
        <v>257</v>
      </c>
    </row>
    <row r="10545" spans="8:18" x14ac:dyDescent="0.2">
      <c r="H10545" s="180"/>
      <c r="P10545" s="180" t="s">
        <v>257</v>
      </c>
      <c r="R10545" s="180" t="s">
        <v>257</v>
      </c>
    </row>
    <row r="10546" spans="8:18" x14ac:dyDescent="0.2">
      <c r="H10546" s="180"/>
      <c r="P10546" s="180" t="s">
        <v>257</v>
      </c>
      <c r="R10546" s="180" t="s">
        <v>257</v>
      </c>
    </row>
    <row r="10547" spans="8:18" x14ac:dyDescent="0.2">
      <c r="H10547" s="180"/>
      <c r="P10547" s="180" t="s">
        <v>257</v>
      </c>
      <c r="R10547" s="180" t="s">
        <v>257</v>
      </c>
    </row>
    <row r="10548" spans="8:18" x14ac:dyDescent="0.2">
      <c r="H10548" s="180"/>
      <c r="P10548" s="180" t="s">
        <v>257</v>
      </c>
      <c r="R10548" s="180" t="s">
        <v>257</v>
      </c>
    </row>
    <row r="10549" spans="8:18" x14ac:dyDescent="0.2">
      <c r="H10549" s="180"/>
      <c r="P10549" s="180" t="s">
        <v>257</v>
      </c>
      <c r="R10549" s="180" t="s">
        <v>257</v>
      </c>
    </row>
    <row r="10550" spans="8:18" x14ac:dyDescent="0.2">
      <c r="H10550" s="180"/>
      <c r="P10550" s="180" t="s">
        <v>257</v>
      </c>
      <c r="R10550" s="180" t="s">
        <v>257</v>
      </c>
    </row>
    <row r="10551" spans="8:18" x14ac:dyDescent="0.2">
      <c r="H10551" s="180"/>
      <c r="P10551" s="180" t="s">
        <v>257</v>
      </c>
      <c r="R10551" s="180" t="s">
        <v>257</v>
      </c>
    </row>
    <row r="10552" spans="8:18" x14ac:dyDescent="0.2">
      <c r="H10552" s="180"/>
      <c r="P10552" s="180" t="s">
        <v>257</v>
      </c>
      <c r="R10552" s="180" t="s">
        <v>257</v>
      </c>
    </row>
    <row r="10553" spans="8:18" x14ac:dyDescent="0.2">
      <c r="H10553" s="180"/>
      <c r="P10553" s="180" t="s">
        <v>257</v>
      </c>
      <c r="R10553" s="180" t="s">
        <v>257</v>
      </c>
    </row>
    <row r="10554" spans="8:18" x14ac:dyDescent="0.2">
      <c r="H10554" s="180"/>
      <c r="P10554" s="180" t="s">
        <v>257</v>
      </c>
      <c r="R10554" s="180" t="s">
        <v>257</v>
      </c>
    </row>
    <row r="10555" spans="8:18" x14ac:dyDescent="0.2">
      <c r="H10555" s="180"/>
      <c r="P10555" s="180" t="s">
        <v>257</v>
      </c>
      <c r="R10555" s="180" t="s">
        <v>257</v>
      </c>
    </row>
    <row r="10556" spans="8:18" x14ac:dyDescent="0.2">
      <c r="H10556" s="180"/>
      <c r="P10556" s="180" t="s">
        <v>257</v>
      </c>
      <c r="R10556" s="180" t="s">
        <v>257</v>
      </c>
    </row>
    <row r="10557" spans="8:18" x14ac:dyDescent="0.2">
      <c r="H10557" s="180"/>
      <c r="P10557" s="180" t="s">
        <v>257</v>
      </c>
      <c r="R10557" s="180" t="s">
        <v>257</v>
      </c>
    </row>
    <row r="10558" spans="8:18" x14ac:dyDescent="0.2">
      <c r="H10558" s="180"/>
      <c r="P10558" s="180" t="s">
        <v>257</v>
      </c>
      <c r="R10558" s="180" t="s">
        <v>257</v>
      </c>
    </row>
    <row r="10559" spans="8:18" x14ac:dyDescent="0.2">
      <c r="H10559" s="180"/>
      <c r="P10559" s="180" t="s">
        <v>257</v>
      </c>
      <c r="R10559" s="180" t="s">
        <v>257</v>
      </c>
    </row>
    <row r="10560" spans="8:18" x14ac:dyDescent="0.2">
      <c r="H10560" s="180"/>
      <c r="P10560" s="180" t="s">
        <v>257</v>
      </c>
      <c r="R10560" s="180" t="s">
        <v>257</v>
      </c>
    </row>
    <row r="10561" spans="8:18" x14ac:dyDescent="0.2">
      <c r="H10561" s="180"/>
      <c r="P10561" s="180" t="s">
        <v>257</v>
      </c>
      <c r="R10561" s="180" t="s">
        <v>257</v>
      </c>
    </row>
    <row r="10562" spans="8:18" x14ac:dyDescent="0.2">
      <c r="H10562" s="180"/>
      <c r="P10562" s="180" t="s">
        <v>257</v>
      </c>
      <c r="R10562" s="180" t="s">
        <v>257</v>
      </c>
    </row>
    <row r="10563" spans="8:18" x14ac:dyDescent="0.2">
      <c r="H10563" s="180"/>
      <c r="P10563" s="180" t="s">
        <v>257</v>
      </c>
      <c r="R10563" s="180" t="s">
        <v>257</v>
      </c>
    </row>
    <row r="10564" spans="8:18" x14ac:dyDescent="0.2">
      <c r="H10564" s="180"/>
      <c r="P10564" s="180" t="s">
        <v>257</v>
      </c>
      <c r="R10564" s="180" t="s">
        <v>257</v>
      </c>
    </row>
    <row r="10565" spans="8:18" x14ac:dyDescent="0.2">
      <c r="H10565" s="180"/>
      <c r="P10565" s="180" t="s">
        <v>257</v>
      </c>
      <c r="R10565" s="180" t="s">
        <v>257</v>
      </c>
    </row>
    <row r="10566" spans="8:18" x14ac:dyDescent="0.2">
      <c r="H10566" s="180"/>
      <c r="P10566" s="180" t="s">
        <v>257</v>
      </c>
      <c r="R10566" s="180" t="s">
        <v>257</v>
      </c>
    </row>
    <row r="10567" spans="8:18" x14ac:dyDescent="0.2">
      <c r="H10567" s="180"/>
      <c r="P10567" s="180" t="s">
        <v>257</v>
      </c>
      <c r="R10567" s="180" t="s">
        <v>257</v>
      </c>
    </row>
    <row r="10568" spans="8:18" x14ac:dyDescent="0.2">
      <c r="H10568" s="180"/>
      <c r="P10568" s="180" t="s">
        <v>257</v>
      </c>
      <c r="R10568" s="180" t="s">
        <v>257</v>
      </c>
    </row>
    <row r="10569" spans="8:18" x14ac:dyDescent="0.2">
      <c r="H10569" s="180"/>
      <c r="P10569" s="180" t="s">
        <v>257</v>
      </c>
      <c r="R10569" s="180" t="s">
        <v>257</v>
      </c>
    </row>
    <row r="10570" spans="8:18" x14ac:dyDescent="0.2">
      <c r="H10570" s="180"/>
      <c r="P10570" s="180" t="s">
        <v>257</v>
      </c>
      <c r="R10570" s="180" t="s">
        <v>257</v>
      </c>
    </row>
    <row r="10571" spans="8:18" x14ac:dyDescent="0.2">
      <c r="H10571" s="180"/>
      <c r="P10571" s="180" t="s">
        <v>257</v>
      </c>
      <c r="R10571" s="180" t="s">
        <v>257</v>
      </c>
    </row>
    <row r="10572" spans="8:18" x14ac:dyDescent="0.2">
      <c r="H10572" s="180"/>
      <c r="P10572" s="180" t="s">
        <v>257</v>
      </c>
      <c r="R10572" s="180" t="s">
        <v>257</v>
      </c>
    </row>
    <row r="10573" spans="8:18" x14ac:dyDescent="0.2">
      <c r="H10573" s="180"/>
      <c r="P10573" s="180" t="s">
        <v>257</v>
      </c>
      <c r="R10573" s="180" t="s">
        <v>257</v>
      </c>
    </row>
    <row r="10574" spans="8:18" x14ac:dyDescent="0.2">
      <c r="H10574" s="180"/>
      <c r="P10574" s="180" t="s">
        <v>257</v>
      </c>
      <c r="R10574" s="180" t="s">
        <v>257</v>
      </c>
    </row>
    <row r="10575" spans="8:18" x14ac:dyDescent="0.2">
      <c r="H10575" s="180"/>
      <c r="P10575" s="180" t="s">
        <v>257</v>
      </c>
      <c r="R10575" s="180" t="s">
        <v>257</v>
      </c>
    </row>
    <row r="10576" spans="8:18" x14ac:dyDescent="0.2">
      <c r="H10576" s="180"/>
      <c r="P10576" s="180" t="s">
        <v>257</v>
      </c>
      <c r="R10576" s="180" t="s">
        <v>257</v>
      </c>
    </row>
    <row r="10577" spans="8:18" x14ac:dyDescent="0.2">
      <c r="H10577" s="180"/>
      <c r="P10577" s="180" t="s">
        <v>257</v>
      </c>
      <c r="R10577" s="180" t="s">
        <v>257</v>
      </c>
    </row>
    <row r="10578" spans="8:18" x14ac:dyDescent="0.2">
      <c r="H10578" s="180"/>
      <c r="P10578" s="180" t="s">
        <v>257</v>
      </c>
      <c r="R10578" s="180" t="s">
        <v>257</v>
      </c>
    </row>
    <row r="10579" spans="8:18" x14ac:dyDescent="0.2">
      <c r="H10579" s="180"/>
      <c r="P10579" s="180" t="s">
        <v>257</v>
      </c>
      <c r="R10579" s="180" t="s">
        <v>257</v>
      </c>
    </row>
    <row r="10580" spans="8:18" x14ac:dyDescent="0.2">
      <c r="H10580" s="180"/>
      <c r="P10580" s="180" t="s">
        <v>257</v>
      </c>
      <c r="R10580" s="180" t="s">
        <v>257</v>
      </c>
    </row>
    <row r="10581" spans="8:18" x14ac:dyDescent="0.2">
      <c r="H10581" s="180"/>
      <c r="P10581" s="180" t="s">
        <v>257</v>
      </c>
      <c r="R10581" s="180" t="s">
        <v>257</v>
      </c>
    </row>
    <row r="10582" spans="8:18" x14ac:dyDescent="0.2">
      <c r="H10582" s="180"/>
      <c r="P10582" s="180" t="s">
        <v>257</v>
      </c>
      <c r="R10582" s="180" t="s">
        <v>257</v>
      </c>
    </row>
    <row r="10583" spans="8:18" x14ac:dyDescent="0.2">
      <c r="H10583" s="180"/>
      <c r="P10583" s="180" t="s">
        <v>257</v>
      </c>
      <c r="R10583" s="180" t="s">
        <v>257</v>
      </c>
    </row>
    <row r="10584" spans="8:18" x14ac:dyDescent="0.2">
      <c r="H10584" s="180"/>
      <c r="P10584" s="180" t="s">
        <v>257</v>
      </c>
      <c r="R10584" s="180" t="s">
        <v>257</v>
      </c>
    </row>
    <row r="10585" spans="8:18" x14ac:dyDescent="0.2">
      <c r="H10585" s="180"/>
      <c r="P10585" s="180" t="s">
        <v>257</v>
      </c>
      <c r="R10585" s="180" t="s">
        <v>257</v>
      </c>
    </row>
    <row r="10586" spans="8:18" x14ac:dyDescent="0.2">
      <c r="H10586" s="180"/>
      <c r="P10586" s="180" t="s">
        <v>257</v>
      </c>
      <c r="R10586" s="180" t="s">
        <v>257</v>
      </c>
    </row>
    <row r="10587" spans="8:18" x14ac:dyDescent="0.2">
      <c r="H10587" s="180"/>
      <c r="P10587" s="180" t="s">
        <v>257</v>
      </c>
      <c r="R10587" s="180" t="s">
        <v>257</v>
      </c>
    </row>
    <row r="10588" spans="8:18" x14ac:dyDescent="0.2">
      <c r="H10588" s="180"/>
      <c r="P10588" s="180" t="s">
        <v>257</v>
      </c>
      <c r="R10588" s="180" t="s">
        <v>257</v>
      </c>
    </row>
    <row r="10589" spans="8:18" x14ac:dyDescent="0.2">
      <c r="H10589" s="180"/>
      <c r="P10589" s="180" t="s">
        <v>257</v>
      </c>
      <c r="R10589" s="180" t="s">
        <v>257</v>
      </c>
    </row>
    <row r="10590" spans="8:18" x14ac:dyDescent="0.2">
      <c r="H10590" s="180"/>
      <c r="P10590" s="180" t="s">
        <v>257</v>
      </c>
      <c r="R10590" s="180" t="s">
        <v>257</v>
      </c>
    </row>
    <row r="10591" spans="8:18" x14ac:dyDescent="0.2">
      <c r="H10591" s="180"/>
      <c r="P10591" s="180" t="s">
        <v>257</v>
      </c>
      <c r="R10591" s="180" t="s">
        <v>257</v>
      </c>
    </row>
    <row r="10592" spans="8:18" x14ac:dyDescent="0.2">
      <c r="H10592" s="180"/>
      <c r="P10592" s="180" t="s">
        <v>257</v>
      </c>
      <c r="R10592" s="180" t="s">
        <v>257</v>
      </c>
    </row>
    <row r="10593" spans="8:18" x14ac:dyDescent="0.2">
      <c r="H10593" s="180"/>
      <c r="P10593" s="180" t="s">
        <v>257</v>
      </c>
      <c r="R10593" s="180" t="s">
        <v>257</v>
      </c>
    </row>
    <row r="10594" spans="8:18" x14ac:dyDescent="0.2">
      <c r="H10594" s="180"/>
      <c r="P10594" s="180" t="s">
        <v>257</v>
      </c>
      <c r="R10594" s="180" t="s">
        <v>257</v>
      </c>
    </row>
    <row r="10595" spans="8:18" x14ac:dyDescent="0.2">
      <c r="H10595" s="180"/>
      <c r="P10595" s="180" t="s">
        <v>257</v>
      </c>
      <c r="R10595" s="180" t="s">
        <v>257</v>
      </c>
    </row>
    <row r="10596" spans="8:18" x14ac:dyDescent="0.2">
      <c r="H10596" s="180"/>
      <c r="P10596" s="180" t="s">
        <v>257</v>
      </c>
      <c r="R10596" s="180" t="s">
        <v>257</v>
      </c>
    </row>
    <row r="10597" spans="8:18" x14ac:dyDescent="0.2">
      <c r="H10597" s="180"/>
      <c r="P10597" s="180" t="s">
        <v>257</v>
      </c>
      <c r="R10597" s="180" t="s">
        <v>257</v>
      </c>
    </row>
    <row r="10598" spans="8:18" x14ac:dyDescent="0.2">
      <c r="H10598" s="180"/>
      <c r="P10598" s="180" t="s">
        <v>257</v>
      </c>
      <c r="R10598" s="180" t="s">
        <v>257</v>
      </c>
    </row>
    <row r="10599" spans="8:18" x14ac:dyDescent="0.2">
      <c r="H10599" s="180"/>
      <c r="P10599" s="180" t="s">
        <v>257</v>
      </c>
      <c r="R10599" s="180" t="s">
        <v>257</v>
      </c>
    </row>
    <row r="10600" spans="8:18" x14ac:dyDescent="0.2">
      <c r="H10600" s="180"/>
      <c r="P10600" s="180" t="s">
        <v>257</v>
      </c>
      <c r="R10600" s="180" t="s">
        <v>257</v>
      </c>
    </row>
    <row r="10601" spans="8:18" x14ac:dyDescent="0.2">
      <c r="H10601" s="180"/>
      <c r="P10601" s="180" t="s">
        <v>257</v>
      </c>
      <c r="R10601" s="180" t="s">
        <v>257</v>
      </c>
    </row>
    <row r="10602" spans="8:18" x14ac:dyDescent="0.2">
      <c r="H10602" s="180"/>
      <c r="P10602" s="180" t="s">
        <v>257</v>
      </c>
      <c r="R10602" s="180" t="s">
        <v>257</v>
      </c>
    </row>
    <row r="10603" spans="8:18" x14ac:dyDescent="0.2">
      <c r="H10603" s="180"/>
      <c r="P10603" s="180" t="s">
        <v>257</v>
      </c>
      <c r="R10603" s="180" t="s">
        <v>257</v>
      </c>
    </row>
    <row r="10604" spans="8:18" x14ac:dyDescent="0.2">
      <c r="H10604" s="180"/>
      <c r="P10604" s="180" t="s">
        <v>257</v>
      </c>
      <c r="R10604" s="180" t="s">
        <v>257</v>
      </c>
    </row>
    <row r="10605" spans="8:18" x14ac:dyDescent="0.2">
      <c r="H10605" s="180"/>
      <c r="P10605" s="180" t="s">
        <v>257</v>
      </c>
      <c r="R10605" s="180" t="s">
        <v>257</v>
      </c>
    </row>
    <row r="10606" spans="8:18" x14ac:dyDescent="0.2">
      <c r="H10606" s="180"/>
      <c r="P10606" s="180" t="s">
        <v>257</v>
      </c>
      <c r="R10606" s="180" t="s">
        <v>257</v>
      </c>
    </row>
    <row r="10607" spans="8:18" x14ac:dyDescent="0.2">
      <c r="H10607" s="180"/>
      <c r="P10607" s="180" t="s">
        <v>257</v>
      </c>
      <c r="R10607" s="180" t="s">
        <v>257</v>
      </c>
    </row>
    <row r="10608" spans="8:18" x14ac:dyDescent="0.2">
      <c r="H10608" s="180"/>
      <c r="P10608" s="180" t="s">
        <v>257</v>
      </c>
      <c r="R10608" s="180" t="s">
        <v>257</v>
      </c>
    </row>
    <row r="10609" spans="8:18" x14ac:dyDescent="0.2">
      <c r="H10609" s="180"/>
      <c r="P10609" s="180" t="s">
        <v>257</v>
      </c>
      <c r="R10609" s="180" t="s">
        <v>257</v>
      </c>
    </row>
    <row r="10610" spans="8:18" x14ac:dyDescent="0.2">
      <c r="H10610" s="180"/>
      <c r="P10610" s="180" t="s">
        <v>257</v>
      </c>
      <c r="R10610" s="180" t="s">
        <v>257</v>
      </c>
    </row>
    <row r="10611" spans="8:18" x14ac:dyDescent="0.2">
      <c r="H10611" s="180"/>
      <c r="P10611" s="180" t="s">
        <v>257</v>
      </c>
      <c r="R10611" s="180" t="s">
        <v>257</v>
      </c>
    </row>
    <row r="10612" spans="8:18" x14ac:dyDescent="0.2">
      <c r="H10612" s="180"/>
      <c r="P10612" s="180" t="s">
        <v>257</v>
      </c>
      <c r="R10612" s="180" t="s">
        <v>257</v>
      </c>
    </row>
    <row r="10613" spans="8:18" x14ac:dyDescent="0.2">
      <c r="H10613" s="180"/>
      <c r="P10613" s="180" t="s">
        <v>257</v>
      </c>
      <c r="R10613" s="180" t="s">
        <v>257</v>
      </c>
    </row>
    <row r="10614" spans="8:18" x14ac:dyDescent="0.2">
      <c r="H10614" s="180"/>
      <c r="P10614" s="180" t="s">
        <v>257</v>
      </c>
      <c r="R10614" s="180" t="s">
        <v>257</v>
      </c>
    </row>
    <row r="10615" spans="8:18" x14ac:dyDescent="0.2">
      <c r="H10615" s="180"/>
      <c r="P10615" s="180" t="s">
        <v>257</v>
      </c>
      <c r="R10615" s="180" t="s">
        <v>257</v>
      </c>
    </row>
    <row r="10616" spans="8:18" x14ac:dyDescent="0.2">
      <c r="H10616" s="180"/>
      <c r="P10616" s="180" t="s">
        <v>257</v>
      </c>
      <c r="R10616" s="180" t="s">
        <v>257</v>
      </c>
    </row>
    <row r="10617" spans="8:18" x14ac:dyDescent="0.2">
      <c r="H10617" s="180"/>
      <c r="P10617" s="180" t="s">
        <v>257</v>
      </c>
      <c r="R10617" s="180" t="s">
        <v>257</v>
      </c>
    </row>
    <row r="10618" spans="8:18" x14ac:dyDescent="0.2">
      <c r="H10618" s="180"/>
      <c r="P10618" s="180" t="s">
        <v>257</v>
      </c>
      <c r="R10618" s="180" t="s">
        <v>257</v>
      </c>
    </row>
    <row r="10619" spans="8:18" x14ac:dyDescent="0.2">
      <c r="H10619" s="180"/>
      <c r="P10619" s="180" t="s">
        <v>257</v>
      </c>
      <c r="R10619" s="180" t="s">
        <v>257</v>
      </c>
    </row>
    <row r="10620" spans="8:18" x14ac:dyDescent="0.2">
      <c r="H10620" s="180"/>
      <c r="P10620" s="180" t="s">
        <v>257</v>
      </c>
      <c r="R10620" s="180" t="s">
        <v>257</v>
      </c>
    </row>
    <row r="10621" spans="8:18" x14ac:dyDescent="0.2">
      <c r="H10621" s="180"/>
      <c r="P10621" s="180" t="s">
        <v>257</v>
      </c>
      <c r="R10621" s="180" t="s">
        <v>257</v>
      </c>
    </row>
    <row r="10622" spans="8:18" x14ac:dyDescent="0.2">
      <c r="H10622" s="180"/>
      <c r="P10622" s="180" t="s">
        <v>257</v>
      </c>
      <c r="R10622" s="180" t="s">
        <v>257</v>
      </c>
    </row>
    <row r="10623" spans="8:18" x14ac:dyDescent="0.2">
      <c r="H10623" s="180"/>
      <c r="P10623" s="180" t="s">
        <v>257</v>
      </c>
      <c r="R10623" s="180" t="s">
        <v>257</v>
      </c>
    </row>
    <row r="10624" spans="8:18" x14ac:dyDescent="0.2">
      <c r="H10624" s="180"/>
      <c r="P10624" s="180" t="s">
        <v>257</v>
      </c>
      <c r="R10624" s="180" t="s">
        <v>257</v>
      </c>
    </row>
    <row r="10625" spans="8:18" x14ac:dyDescent="0.2">
      <c r="H10625" s="180"/>
      <c r="P10625" s="180" t="s">
        <v>257</v>
      </c>
      <c r="R10625" s="180" t="s">
        <v>257</v>
      </c>
    </row>
    <row r="10626" spans="8:18" x14ac:dyDescent="0.2">
      <c r="H10626" s="180"/>
      <c r="P10626" s="180" t="s">
        <v>257</v>
      </c>
      <c r="R10626" s="180" t="s">
        <v>257</v>
      </c>
    </row>
    <row r="10627" spans="8:18" x14ac:dyDescent="0.2">
      <c r="H10627" s="180"/>
      <c r="P10627" s="180" t="s">
        <v>257</v>
      </c>
      <c r="R10627" s="180" t="s">
        <v>257</v>
      </c>
    </row>
    <row r="10628" spans="8:18" x14ac:dyDescent="0.2">
      <c r="H10628" s="180"/>
      <c r="P10628" s="180" t="s">
        <v>257</v>
      </c>
      <c r="R10628" s="180" t="s">
        <v>257</v>
      </c>
    </row>
    <row r="10629" spans="8:18" x14ac:dyDescent="0.2">
      <c r="H10629" s="180"/>
      <c r="P10629" s="180" t="s">
        <v>257</v>
      </c>
      <c r="R10629" s="180" t="s">
        <v>257</v>
      </c>
    </row>
    <row r="10630" spans="8:18" x14ac:dyDescent="0.2">
      <c r="H10630" s="180"/>
      <c r="P10630" s="180" t="s">
        <v>257</v>
      </c>
      <c r="R10630" s="180" t="s">
        <v>257</v>
      </c>
    </row>
    <row r="10631" spans="8:18" x14ac:dyDescent="0.2">
      <c r="H10631" s="180"/>
      <c r="P10631" s="180" t="s">
        <v>257</v>
      </c>
      <c r="R10631" s="180" t="s">
        <v>257</v>
      </c>
    </row>
    <row r="10632" spans="8:18" x14ac:dyDescent="0.2">
      <c r="H10632" s="180"/>
      <c r="P10632" s="180" t="s">
        <v>257</v>
      </c>
      <c r="R10632" s="180" t="s">
        <v>257</v>
      </c>
    </row>
    <row r="10633" spans="8:18" x14ac:dyDescent="0.2">
      <c r="H10633" s="180"/>
      <c r="P10633" s="180" t="s">
        <v>257</v>
      </c>
      <c r="R10633" s="180" t="s">
        <v>257</v>
      </c>
    </row>
    <row r="10634" spans="8:18" x14ac:dyDescent="0.2">
      <c r="H10634" s="180"/>
      <c r="P10634" s="180" t="s">
        <v>257</v>
      </c>
      <c r="R10634" s="180" t="s">
        <v>257</v>
      </c>
    </row>
    <row r="10635" spans="8:18" x14ac:dyDescent="0.2">
      <c r="H10635" s="180"/>
      <c r="P10635" s="180" t="s">
        <v>257</v>
      </c>
      <c r="R10635" s="180" t="s">
        <v>257</v>
      </c>
    </row>
    <row r="10636" spans="8:18" x14ac:dyDescent="0.2">
      <c r="H10636" s="180"/>
      <c r="P10636" s="180" t="s">
        <v>257</v>
      </c>
      <c r="R10636" s="180" t="s">
        <v>257</v>
      </c>
    </row>
    <row r="10637" spans="8:18" x14ac:dyDescent="0.2">
      <c r="H10637" s="180"/>
      <c r="P10637" s="180" t="s">
        <v>257</v>
      </c>
      <c r="R10637" s="180" t="s">
        <v>257</v>
      </c>
    </row>
    <row r="10638" spans="8:18" x14ac:dyDescent="0.2">
      <c r="H10638" s="180"/>
      <c r="P10638" s="180" t="s">
        <v>257</v>
      </c>
      <c r="R10638" s="180" t="s">
        <v>257</v>
      </c>
    </row>
    <row r="10639" spans="8:18" x14ac:dyDescent="0.2">
      <c r="H10639" s="180"/>
      <c r="P10639" s="180" t="s">
        <v>257</v>
      </c>
      <c r="R10639" s="180" t="s">
        <v>257</v>
      </c>
    </row>
    <row r="10640" spans="8:18" x14ac:dyDescent="0.2">
      <c r="H10640" s="180"/>
      <c r="P10640" s="180" t="s">
        <v>257</v>
      </c>
      <c r="R10640" s="180" t="s">
        <v>257</v>
      </c>
    </row>
    <row r="10641" spans="8:18" x14ac:dyDescent="0.2">
      <c r="H10641" s="180"/>
      <c r="P10641" s="180" t="s">
        <v>257</v>
      </c>
      <c r="R10641" s="180" t="s">
        <v>257</v>
      </c>
    </row>
    <row r="10642" spans="8:18" x14ac:dyDescent="0.2">
      <c r="H10642" s="180"/>
      <c r="P10642" s="180" t="s">
        <v>257</v>
      </c>
      <c r="R10642" s="180" t="s">
        <v>257</v>
      </c>
    </row>
    <row r="10643" spans="8:18" x14ac:dyDescent="0.2">
      <c r="H10643" s="180"/>
      <c r="P10643" s="180" t="s">
        <v>257</v>
      </c>
      <c r="R10643" s="180" t="s">
        <v>257</v>
      </c>
    </row>
    <row r="10644" spans="8:18" x14ac:dyDescent="0.2">
      <c r="H10644" s="180"/>
      <c r="P10644" s="180" t="s">
        <v>257</v>
      </c>
      <c r="R10644" s="180" t="s">
        <v>257</v>
      </c>
    </row>
    <row r="10645" spans="8:18" x14ac:dyDescent="0.2">
      <c r="H10645" s="180"/>
      <c r="P10645" s="180" t="s">
        <v>257</v>
      </c>
      <c r="R10645" s="180" t="s">
        <v>257</v>
      </c>
    </row>
    <row r="10646" spans="8:18" x14ac:dyDescent="0.2">
      <c r="H10646" s="180"/>
      <c r="P10646" s="180" t="s">
        <v>257</v>
      </c>
      <c r="R10646" s="180" t="s">
        <v>257</v>
      </c>
    </row>
    <row r="10647" spans="8:18" x14ac:dyDescent="0.2">
      <c r="H10647" s="180"/>
      <c r="P10647" s="180" t="s">
        <v>257</v>
      </c>
      <c r="R10647" s="180" t="s">
        <v>257</v>
      </c>
    </row>
    <row r="10648" spans="8:18" x14ac:dyDescent="0.2">
      <c r="H10648" s="180"/>
      <c r="P10648" s="180" t="s">
        <v>257</v>
      </c>
      <c r="R10648" s="180" t="s">
        <v>257</v>
      </c>
    </row>
    <row r="10649" spans="8:18" x14ac:dyDescent="0.2">
      <c r="H10649" s="180"/>
      <c r="P10649" s="180" t="s">
        <v>257</v>
      </c>
      <c r="R10649" s="180" t="s">
        <v>257</v>
      </c>
    </row>
    <row r="10650" spans="8:18" x14ac:dyDescent="0.2">
      <c r="H10650" s="180"/>
      <c r="P10650" s="180" t="s">
        <v>257</v>
      </c>
      <c r="R10650" s="180" t="s">
        <v>257</v>
      </c>
    </row>
    <row r="10651" spans="8:18" x14ac:dyDescent="0.2">
      <c r="H10651" s="180"/>
      <c r="P10651" s="180" t="s">
        <v>257</v>
      </c>
      <c r="R10651" s="180" t="s">
        <v>257</v>
      </c>
    </row>
    <row r="10652" spans="8:18" x14ac:dyDescent="0.2">
      <c r="H10652" s="180"/>
      <c r="P10652" s="180" t="s">
        <v>257</v>
      </c>
      <c r="R10652" s="180" t="s">
        <v>257</v>
      </c>
    </row>
    <row r="10653" spans="8:18" x14ac:dyDescent="0.2">
      <c r="H10653" s="180"/>
      <c r="P10653" s="180" t="s">
        <v>257</v>
      </c>
      <c r="R10653" s="180" t="s">
        <v>257</v>
      </c>
    </row>
    <row r="10654" spans="8:18" x14ac:dyDescent="0.2">
      <c r="H10654" s="180"/>
      <c r="P10654" s="180" t="s">
        <v>257</v>
      </c>
      <c r="R10654" s="180" t="s">
        <v>257</v>
      </c>
    </row>
    <row r="10655" spans="8:18" x14ac:dyDescent="0.2">
      <c r="H10655" s="180"/>
      <c r="P10655" s="180" t="s">
        <v>257</v>
      </c>
      <c r="R10655" s="180" t="s">
        <v>257</v>
      </c>
    </row>
    <row r="10656" spans="8:18" x14ac:dyDescent="0.2">
      <c r="H10656" s="180"/>
      <c r="P10656" s="180" t="s">
        <v>257</v>
      </c>
      <c r="R10656" s="180" t="s">
        <v>257</v>
      </c>
    </row>
    <row r="10657" spans="8:18" x14ac:dyDescent="0.2">
      <c r="H10657" s="180"/>
      <c r="P10657" s="180" t="s">
        <v>257</v>
      </c>
      <c r="R10657" s="180" t="s">
        <v>257</v>
      </c>
    </row>
    <row r="10658" spans="8:18" x14ac:dyDescent="0.2">
      <c r="H10658" s="180"/>
      <c r="P10658" s="180" t="s">
        <v>257</v>
      </c>
      <c r="R10658" s="180" t="s">
        <v>257</v>
      </c>
    </row>
    <row r="10659" spans="8:18" x14ac:dyDescent="0.2">
      <c r="H10659" s="180"/>
      <c r="P10659" s="180" t="s">
        <v>257</v>
      </c>
      <c r="R10659" s="180" t="s">
        <v>257</v>
      </c>
    </row>
    <row r="10660" spans="8:18" x14ac:dyDescent="0.2">
      <c r="H10660" s="180"/>
      <c r="P10660" s="180" t="s">
        <v>257</v>
      </c>
      <c r="R10660" s="180" t="s">
        <v>257</v>
      </c>
    </row>
    <row r="10661" spans="8:18" x14ac:dyDescent="0.2">
      <c r="H10661" s="180"/>
      <c r="P10661" s="180" t="s">
        <v>257</v>
      </c>
      <c r="R10661" s="180" t="s">
        <v>257</v>
      </c>
    </row>
    <row r="10662" spans="8:18" x14ac:dyDescent="0.2">
      <c r="H10662" s="180"/>
      <c r="P10662" s="180" t="s">
        <v>257</v>
      </c>
      <c r="R10662" s="180" t="s">
        <v>257</v>
      </c>
    </row>
    <row r="10663" spans="8:18" x14ac:dyDescent="0.2">
      <c r="H10663" s="180"/>
      <c r="P10663" s="180" t="s">
        <v>257</v>
      </c>
      <c r="R10663" s="180" t="s">
        <v>257</v>
      </c>
    </row>
    <row r="10664" spans="8:18" x14ac:dyDescent="0.2">
      <c r="H10664" s="180"/>
      <c r="P10664" s="180" t="s">
        <v>257</v>
      </c>
      <c r="R10664" s="180" t="s">
        <v>257</v>
      </c>
    </row>
    <row r="10665" spans="8:18" x14ac:dyDescent="0.2">
      <c r="H10665" s="180"/>
      <c r="P10665" s="180" t="s">
        <v>257</v>
      </c>
      <c r="R10665" s="180" t="s">
        <v>257</v>
      </c>
    </row>
    <row r="10666" spans="8:18" x14ac:dyDescent="0.2">
      <c r="H10666" s="180"/>
      <c r="P10666" s="180" t="s">
        <v>257</v>
      </c>
      <c r="R10666" s="180" t="s">
        <v>257</v>
      </c>
    </row>
    <row r="10667" spans="8:18" x14ac:dyDescent="0.2">
      <c r="H10667" s="180"/>
      <c r="P10667" s="180" t="s">
        <v>257</v>
      </c>
      <c r="R10667" s="180" t="s">
        <v>257</v>
      </c>
    </row>
    <row r="10668" spans="8:18" x14ac:dyDescent="0.2">
      <c r="H10668" s="180"/>
      <c r="P10668" s="180" t="s">
        <v>257</v>
      </c>
      <c r="R10668" s="180" t="s">
        <v>257</v>
      </c>
    </row>
    <row r="10669" spans="8:18" x14ac:dyDescent="0.2">
      <c r="H10669" s="180"/>
      <c r="P10669" s="180" t="s">
        <v>257</v>
      </c>
      <c r="R10669" s="180" t="s">
        <v>257</v>
      </c>
    </row>
    <row r="10670" spans="8:18" x14ac:dyDescent="0.2">
      <c r="H10670" s="180"/>
      <c r="P10670" s="180" t="s">
        <v>257</v>
      </c>
      <c r="R10670" s="180" t="s">
        <v>257</v>
      </c>
    </row>
    <row r="10671" spans="8:18" x14ac:dyDescent="0.2">
      <c r="H10671" s="180"/>
      <c r="P10671" s="180" t="s">
        <v>257</v>
      </c>
      <c r="R10671" s="180" t="s">
        <v>257</v>
      </c>
    </row>
    <row r="10672" spans="8:18" x14ac:dyDescent="0.2">
      <c r="H10672" s="180"/>
      <c r="P10672" s="180" t="s">
        <v>257</v>
      </c>
      <c r="R10672" s="180" t="s">
        <v>257</v>
      </c>
    </row>
    <row r="10673" spans="8:18" x14ac:dyDescent="0.2">
      <c r="H10673" s="180"/>
      <c r="P10673" s="180" t="s">
        <v>257</v>
      </c>
      <c r="R10673" s="180" t="s">
        <v>257</v>
      </c>
    </row>
    <row r="10674" spans="8:18" x14ac:dyDescent="0.2">
      <c r="H10674" s="180"/>
      <c r="P10674" s="180" t="s">
        <v>257</v>
      </c>
      <c r="R10674" s="180" t="s">
        <v>257</v>
      </c>
    </row>
    <row r="10675" spans="8:18" x14ac:dyDescent="0.2">
      <c r="H10675" s="180"/>
      <c r="P10675" s="180" t="s">
        <v>257</v>
      </c>
      <c r="R10675" s="180" t="s">
        <v>257</v>
      </c>
    </row>
    <row r="10676" spans="8:18" x14ac:dyDescent="0.2">
      <c r="H10676" s="180"/>
      <c r="P10676" s="180" t="s">
        <v>257</v>
      </c>
      <c r="R10676" s="180" t="s">
        <v>257</v>
      </c>
    </row>
    <row r="10677" spans="8:18" x14ac:dyDescent="0.2">
      <c r="H10677" s="180"/>
      <c r="P10677" s="180" t="s">
        <v>257</v>
      </c>
      <c r="R10677" s="180" t="s">
        <v>257</v>
      </c>
    </row>
    <row r="10678" spans="8:18" x14ac:dyDescent="0.2">
      <c r="H10678" s="180"/>
      <c r="P10678" s="180" t="s">
        <v>257</v>
      </c>
      <c r="R10678" s="180" t="s">
        <v>257</v>
      </c>
    </row>
    <row r="10679" spans="8:18" x14ac:dyDescent="0.2">
      <c r="H10679" s="180"/>
      <c r="P10679" s="180" t="s">
        <v>257</v>
      </c>
      <c r="R10679" s="180" t="s">
        <v>257</v>
      </c>
    </row>
    <row r="10680" spans="8:18" x14ac:dyDescent="0.2">
      <c r="H10680" s="180"/>
      <c r="P10680" s="180" t="s">
        <v>257</v>
      </c>
      <c r="R10680" s="180" t="s">
        <v>257</v>
      </c>
    </row>
    <row r="10681" spans="8:18" x14ac:dyDescent="0.2">
      <c r="H10681" s="180"/>
      <c r="P10681" s="180" t="s">
        <v>257</v>
      </c>
      <c r="R10681" s="180" t="s">
        <v>257</v>
      </c>
    </row>
    <row r="10682" spans="8:18" x14ac:dyDescent="0.2">
      <c r="H10682" s="180"/>
      <c r="P10682" s="180" t="s">
        <v>257</v>
      </c>
      <c r="R10682" s="180" t="s">
        <v>257</v>
      </c>
    </row>
    <row r="10683" spans="8:18" x14ac:dyDescent="0.2">
      <c r="H10683" s="180"/>
      <c r="P10683" s="180" t="s">
        <v>257</v>
      </c>
      <c r="R10683" s="180" t="s">
        <v>257</v>
      </c>
    </row>
    <row r="10684" spans="8:18" x14ac:dyDescent="0.2">
      <c r="H10684" s="180"/>
      <c r="P10684" s="180" t="s">
        <v>257</v>
      </c>
      <c r="R10684" s="180" t="s">
        <v>257</v>
      </c>
    </row>
    <row r="10685" spans="8:18" x14ac:dyDescent="0.2">
      <c r="H10685" s="180"/>
      <c r="P10685" s="180" t="s">
        <v>257</v>
      </c>
      <c r="R10685" s="180" t="s">
        <v>257</v>
      </c>
    </row>
    <row r="10686" spans="8:18" x14ac:dyDescent="0.2">
      <c r="H10686" s="180"/>
      <c r="P10686" s="180" t="s">
        <v>257</v>
      </c>
      <c r="R10686" s="180" t="s">
        <v>257</v>
      </c>
    </row>
    <row r="10687" spans="8:18" x14ac:dyDescent="0.2">
      <c r="H10687" s="180"/>
      <c r="P10687" s="180" t="s">
        <v>257</v>
      </c>
      <c r="R10687" s="180" t="s">
        <v>257</v>
      </c>
    </row>
    <row r="10688" spans="8:18" x14ac:dyDescent="0.2">
      <c r="H10688" s="180"/>
      <c r="P10688" s="180" t="s">
        <v>257</v>
      </c>
      <c r="R10688" s="180" t="s">
        <v>257</v>
      </c>
    </row>
    <row r="10689" spans="8:18" x14ac:dyDescent="0.2">
      <c r="H10689" s="180"/>
      <c r="P10689" s="180" t="s">
        <v>257</v>
      </c>
      <c r="R10689" s="180" t="s">
        <v>257</v>
      </c>
    </row>
    <row r="10690" spans="8:18" x14ac:dyDescent="0.2">
      <c r="H10690" s="180"/>
      <c r="P10690" s="180" t="s">
        <v>257</v>
      </c>
      <c r="R10690" s="180" t="s">
        <v>257</v>
      </c>
    </row>
    <row r="10691" spans="8:18" x14ac:dyDescent="0.2">
      <c r="H10691" s="180"/>
      <c r="P10691" s="180" t="s">
        <v>257</v>
      </c>
      <c r="R10691" s="180" t="s">
        <v>257</v>
      </c>
    </row>
    <row r="10692" spans="8:18" x14ac:dyDescent="0.2">
      <c r="H10692" s="180"/>
      <c r="P10692" s="180" t="s">
        <v>257</v>
      </c>
      <c r="R10692" s="180" t="s">
        <v>257</v>
      </c>
    </row>
    <row r="10693" spans="8:18" x14ac:dyDescent="0.2">
      <c r="H10693" s="180"/>
      <c r="P10693" s="180" t="s">
        <v>257</v>
      </c>
      <c r="R10693" s="180" t="s">
        <v>257</v>
      </c>
    </row>
    <row r="10694" spans="8:18" x14ac:dyDescent="0.2">
      <c r="H10694" s="180"/>
      <c r="P10694" s="180" t="s">
        <v>257</v>
      </c>
      <c r="R10694" s="180" t="s">
        <v>257</v>
      </c>
    </row>
    <row r="10695" spans="8:18" x14ac:dyDescent="0.2">
      <c r="H10695" s="180"/>
      <c r="P10695" s="180" t="s">
        <v>257</v>
      </c>
      <c r="R10695" s="180" t="s">
        <v>257</v>
      </c>
    </row>
    <row r="10696" spans="8:18" x14ac:dyDescent="0.2">
      <c r="H10696" s="180"/>
      <c r="P10696" s="180" t="s">
        <v>257</v>
      </c>
      <c r="R10696" s="180" t="s">
        <v>257</v>
      </c>
    </row>
    <row r="10697" spans="8:18" x14ac:dyDescent="0.2">
      <c r="H10697" s="180"/>
      <c r="P10697" s="180" t="s">
        <v>257</v>
      </c>
      <c r="R10697" s="180" t="s">
        <v>257</v>
      </c>
    </row>
    <row r="10698" spans="8:18" x14ac:dyDescent="0.2">
      <c r="H10698" s="180"/>
      <c r="P10698" s="180" t="s">
        <v>257</v>
      </c>
      <c r="R10698" s="180" t="s">
        <v>257</v>
      </c>
    </row>
    <row r="10699" spans="8:18" x14ac:dyDescent="0.2">
      <c r="H10699" s="180"/>
      <c r="P10699" s="180" t="s">
        <v>257</v>
      </c>
      <c r="R10699" s="180" t="s">
        <v>257</v>
      </c>
    </row>
    <row r="10700" spans="8:18" x14ac:dyDescent="0.2">
      <c r="H10700" s="180"/>
      <c r="P10700" s="180" t="s">
        <v>257</v>
      </c>
      <c r="R10700" s="180" t="s">
        <v>257</v>
      </c>
    </row>
    <row r="10701" spans="8:18" x14ac:dyDescent="0.2">
      <c r="H10701" s="180"/>
      <c r="P10701" s="180" t="s">
        <v>257</v>
      </c>
      <c r="R10701" s="180" t="s">
        <v>257</v>
      </c>
    </row>
    <row r="10702" spans="8:18" x14ac:dyDescent="0.2">
      <c r="H10702" s="180"/>
      <c r="P10702" s="180" t="s">
        <v>257</v>
      </c>
      <c r="R10702" s="180" t="s">
        <v>257</v>
      </c>
    </row>
    <row r="10703" spans="8:18" x14ac:dyDescent="0.2">
      <c r="H10703" s="180"/>
      <c r="P10703" s="180" t="s">
        <v>257</v>
      </c>
      <c r="R10703" s="180" t="s">
        <v>257</v>
      </c>
    </row>
    <row r="10704" spans="8:18" x14ac:dyDescent="0.2">
      <c r="H10704" s="180"/>
      <c r="P10704" s="180" t="s">
        <v>257</v>
      </c>
      <c r="R10704" s="180" t="s">
        <v>257</v>
      </c>
    </row>
    <row r="10705" spans="8:18" x14ac:dyDescent="0.2">
      <c r="H10705" s="180"/>
      <c r="P10705" s="180" t="s">
        <v>257</v>
      </c>
      <c r="R10705" s="180" t="s">
        <v>257</v>
      </c>
    </row>
    <row r="10706" spans="8:18" x14ac:dyDescent="0.2">
      <c r="H10706" s="180"/>
      <c r="P10706" s="180" t="s">
        <v>257</v>
      </c>
      <c r="R10706" s="180" t="s">
        <v>257</v>
      </c>
    </row>
    <row r="10707" spans="8:18" x14ac:dyDescent="0.2">
      <c r="H10707" s="180"/>
      <c r="P10707" s="180" t="s">
        <v>257</v>
      </c>
      <c r="R10707" s="180" t="s">
        <v>257</v>
      </c>
    </row>
    <row r="10708" spans="8:18" x14ac:dyDescent="0.2">
      <c r="H10708" s="180"/>
      <c r="P10708" s="180" t="s">
        <v>257</v>
      </c>
      <c r="R10708" s="180" t="s">
        <v>257</v>
      </c>
    </row>
    <row r="10709" spans="8:18" x14ac:dyDescent="0.2">
      <c r="H10709" s="180"/>
      <c r="P10709" s="180" t="s">
        <v>257</v>
      </c>
      <c r="R10709" s="180" t="s">
        <v>257</v>
      </c>
    </row>
    <row r="10710" spans="8:18" x14ac:dyDescent="0.2">
      <c r="H10710" s="180"/>
      <c r="P10710" s="180" t="s">
        <v>257</v>
      </c>
      <c r="R10710" s="180" t="s">
        <v>257</v>
      </c>
    </row>
    <row r="10711" spans="8:18" x14ac:dyDescent="0.2">
      <c r="H10711" s="180"/>
      <c r="P10711" s="180" t="s">
        <v>257</v>
      </c>
      <c r="R10711" s="180" t="s">
        <v>257</v>
      </c>
    </row>
    <row r="10712" spans="8:18" x14ac:dyDescent="0.2">
      <c r="H10712" s="180"/>
      <c r="P10712" s="180" t="s">
        <v>257</v>
      </c>
      <c r="R10712" s="180" t="s">
        <v>257</v>
      </c>
    </row>
    <row r="10713" spans="8:18" x14ac:dyDescent="0.2">
      <c r="H10713" s="180"/>
      <c r="P10713" s="180" t="s">
        <v>257</v>
      </c>
      <c r="R10713" s="180" t="s">
        <v>257</v>
      </c>
    </row>
    <row r="10714" spans="8:18" x14ac:dyDescent="0.2">
      <c r="H10714" s="180"/>
      <c r="P10714" s="180" t="s">
        <v>257</v>
      </c>
      <c r="R10714" s="180" t="s">
        <v>257</v>
      </c>
    </row>
    <row r="10715" spans="8:18" x14ac:dyDescent="0.2">
      <c r="H10715" s="180"/>
      <c r="P10715" s="180" t="s">
        <v>257</v>
      </c>
      <c r="R10715" s="180" t="s">
        <v>257</v>
      </c>
    </row>
    <row r="10716" spans="8:18" x14ac:dyDescent="0.2">
      <c r="H10716" s="180"/>
      <c r="P10716" s="180" t="s">
        <v>257</v>
      </c>
      <c r="R10716" s="180" t="s">
        <v>257</v>
      </c>
    </row>
    <row r="10717" spans="8:18" x14ac:dyDescent="0.2">
      <c r="H10717" s="180"/>
      <c r="P10717" s="180" t="s">
        <v>257</v>
      </c>
      <c r="R10717" s="180" t="s">
        <v>257</v>
      </c>
    </row>
    <row r="10718" spans="8:18" x14ac:dyDescent="0.2">
      <c r="H10718" s="180"/>
      <c r="P10718" s="180" t="s">
        <v>257</v>
      </c>
      <c r="R10718" s="180" t="s">
        <v>257</v>
      </c>
    </row>
    <row r="10719" spans="8:18" x14ac:dyDescent="0.2">
      <c r="H10719" s="180"/>
      <c r="P10719" s="180" t="s">
        <v>257</v>
      </c>
      <c r="R10719" s="180" t="s">
        <v>257</v>
      </c>
    </row>
    <row r="10720" spans="8:18" x14ac:dyDescent="0.2">
      <c r="H10720" s="180"/>
      <c r="P10720" s="180" t="s">
        <v>257</v>
      </c>
      <c r="R10720" s="180" t="s">
        <v>257</v>
      </c>
    </row>
    <row r="10721" spans="8:18" x14ac:dyDescent="0.2">
      <c r="H10721" s="180"/>
      <c r="P10721" s="180" t="s">
        <v>257</v>
      </c>
      <c r="R10721" s="180" t="s">
        <v>257</v>
      </c>
    </row>
    <row r="10722" spans="8:18" x14ac:dyDescent="0.2">
      <c r="H10722" s="180"/>
      <c r="P10722" s="180" t="s">
        <v>257</v>
      </c>
      <c r="R10722" s="180" t="s">
        <v>257</v>
      </c>
    </row>
    <row r="10723" spans="8:18" x14ac:dyDescent="0.2">
      <c r="H10723" s="180"/>
      <c r="P10723" s="180" t="s">
        <v>257</v>
      </c>
      <c r="R10723" s="180" t="s">
        <v>257</v>
      </c>
    </row>
    <row r="10724" spans="8:18" x14ac:dyDescent="0.2">
      <c r="H10724" s="180"/>
      <c r="P10724" s="180" t="s">
        <v>257</v>
      </c>
      <c r="R10724" s="180" t="s">
        <v>257</v>
      </c>
    </row>
    <row r="10725" spans="8:18" x14ac:dyDescent="0.2">
      <c r="H10725" s="180"/>
      <c r="P10725" s="180" t="s">
        <v>257</v>
      </c>
      <c r="R10725" s="180" t="s">
        <v>257</v>
      </c>
    </row>
    <row r="10726" spans="8:18" x14ac:dyDescent="0.2">
      <c r="H10726" s="180"/>
      <c r="P10726" s="180" t="s">
        <v>257</v>
      </c>
      <c r="R10726" s="180" t="s">
        <v>257</v>
      </c>
    </row>
    <row r="10727" spans="8:18" x14ac:dyDescent="0.2">
      <c r="H10727" s="180"/>
      <c r="P10727" s="180" t="s">
        <v>257</v>
      </c>
      <c r="R10727" s="180" t="s">
        <v>257</v>
      </c>
    </row>
    <row r="10728" spans="8:18" x14ac:dyDescent="0.2">
      <c r="H10728" s="180"/>
      <c r="P10728" s="180" t="s">
        <v>257</v>
      </c>
      <c r="R10728" s="180" t="s">
        <v>257</v>
      </c>
    </row>
    <row r="10729" spans="8:18" x14ac:dyDescent="0.2">
      <c r="H10729" s="180"/>
      <c r="P10729" s="180" t="s">
        <v>257</v>
      </c>
      <c r="R10729" s="180" t="s">
        <v>257</v>
      </c>
    </row>
    <row r="10730" spans="8:18" x14ac:dyDescent="0.2">
      <c r="H10730" s="180"/>
      <c r="P10730" s="180" t="s">
        <v>257</v>
      </c>
      <c r="R10730" s="180" t="s">
        <v>257</v>
      </c>
    </row>
    <row r="10731" spans="8:18" x14ac:dyDescent="0.2">
      <c r="H10731" s="180"/>
      <c r="P10731" s="180" t="s">
        <v>257</v>
      </c>
      <c r="R10731" s="180" t="s">
        <v>257</v>
      </c>
    </row>
    <row r="10732" spans="8:18" x14ac:dyDescent="0.2">
      <c r="H10732" s="180"/>
      <c r="P10732" s="180" t="s">
        <v>257</v>
      </c>
      <c r="R10732" s="180" t="s">
        <v>257</v>
      </c>
    </row>
    <row r="10733" spans="8:18" x14ac:dyDescent="0.2">
      <c r="H10733" s="180"/>
      <c r="P10733" s="180" t="s">
        <v>257</v>
      </c>
      <c r="R10733" s="180" t="s">
        <v>257</v>
      </c>
    </row>
    <row r="10734" spans="8:18" x14ac:dyDescent="0.2">
      <c r="H10734" s="180"/>
      <c r="P10734" s="180" t="s">
        <v>257</v>
      </c>
      <c r="R10734" s="180" t="s">
        <v>257</v>
      </c>
    </row>
    <row r="10735" spans="8:18" x14ac:dyDescent="0.2">
      <c r="H10735" s="180"/>
      <c r="P10735" s="180" t="s">
        <v>257</v>
      </c>
      <c r="R10735" s="180" t="s">
        <v>257</v>
      </c>
    </row>
    <row r="10736" spans="8:18" x14ac:dyDescent="0.2">
      <c r="H10736" s="180"/>
      <c r="P10736" s="180" t="s">
        <v>257</v>
      </c>
      <c r="R10736" s="180" t="s">
        <v>257</v>
      </c>
    </row>
    <row r="10737" spans="8:18" x14ac:dyDescent="0.2">
      <c r="H10737" s="180"/>
      <c r="P10737" s="180" t="s">
        <v>257</v>
      </c>
      <c r="R10737" s="180" t="s">
        <v>257</v>
      </c>
    </row>
    <row r="10738" spans="8:18" x14ac:dyDescent="0.2">
      <c r="H10738" s="180"/>
      <c r="P10738" s="180" t="s">
        <v>257</v>
      </c>
      <c r="R10738" s="180" t="s">
        <v>257</v>
      </c>
    </row>
    <row r="10739" spans="8:18" x14ac:dyDescent="0.2">
      <c r="H10739" s="180"/>
      <c r="P10739" s="180" t="s">
        <v>257</v>
      </c>
      <c r="R10739" s="180" t="s">
        <v>257</v>
      </c>
    </row>
    <row r="10740" spans="8:18" x14ac:dyDescent="0.2">
      <c r="H10740" s="180"/>
      <c r="P10740" s="180" t="s">
        <v>257</v>
      </c>
      <c r="R10740" s="180" t="s">
        <v>257</v>
      </c>
    </row>
    <row r="10741" spans="8:18" x14ac:dyDescent="0.2">
      <c r="H10741" s="180"/>
      <c r="P10741" s="180" t="s">
        <v>257</v>
      </c>
      <c r="R10741" s="180" t="s">
        <v>257</v>
      </c>
    </row>
    <row r="10742" spans="8:18" x14ac:dyDescent="0.2">
      <c r="H10742" s="180"/>
      <c r="P10742" s="180" t="s">
        <v>257</v>
      </c>
      <c r="R10742" s="180" t="s">
        <v>257</v>
      </c>
    </row>
    <row r="10743" spans="8:18" x14ac:dyDescent="0.2">
      <c r="H10743" s="180"/>
      <c r="P10743" s="180" t="s">
        <v>257</v>
      </c>
      <c r="R10743" s="180" t="s">
        <v>257</v>
      </c>
    </row>
    <row r="10744" spans="8:18" x14ac:dyDescent="0.2">
      <c r="H10744" s="180"/>
      <c r="P10744" s="180" t="s">
        <v>257</v>
      </c>
      <c r="R10744" s="180" t="s">
        <v>257</v>
      </c>
    </row>
    <row r="10745" spans="8:18" x14ac:dyDescent="0.2">
      <c r="H10745" s="180"/>
      <c r="P10745" s="180" t="s">
        <v>257</v>
      </c>
      <c r="R10745" s="180" t="s">
        <v>257</v>
      </c>
    </row>
    <row r="10746" spans="8:18" x14ac:dyDescent="0.2">
      <c r="H10746" s="180"/>
      <c r="P10746" s="180" t="s">
        <v>257</v>
      </c>
      <c r="R10746" s="180" t="s">
        <v>257</v>
      </c>
    </row>
    <row r="10747" spans="8:18" x14ac:dyDescent="0.2">
      <c r="H10747" s="180"/>
      <c r="P10747" s="180" t="s">
        <v>257</v>
      </c>
      <c r="R10747" s="180" t="s">
        <v>257</v>
      </c>
    </row>
    <row r="10748" spans="8:18" x14ac:dyDescent="0.2">
      <c r="H10748" s="180"/>
      <c r="P10748" s="180" t="s">
        <v>257</v>
      </c>
      <c r="R10748" s="180" t="s">
        <v>257</v>
      </c>
    </row>
    <row r="10749" spans="8:18" x14ac:dyDescent="0.2">
      <c r="H10749" s="180"/>
      <c r="P10749" s="180" t="s">
        <v>257</v>
      </c>
      <c r="R10749" s="180" t="s">
        <v>257</v>
      </c>
    </row>
    <row r="10750" spans="8:18" x14ac:dyDescent="0.2">
      <c r="H10750" s="180"/>
      <c r="P10750" s="180" t="s">
        <v>257</v>
      </c>
      <c r="R10750" s="180" t="s">
        <v>257</v>
      </c>
    </row>
    <row r="10751" spans="8:18" x14ac:dyDescent="0.2">
      <c r="H10751" s="180"/>
      <c r="P10751" s="180" t="s">
        <v>257</v>
      </c>
      <c r="R10751" s="180" t="s">
        <v>257</v>
      </c>
    </row>
    <row r="10752" spans="8:18" x14ac:dyDescent="0.2">
      <c r="H10752" s="180"/>
      <c r="P10752" s="180" t="s">
        <v>257</v>
      </c>
      <c r="R10752" s="180" t="s">
        <v>257</v>
      </c>
    </row>
    <row r="10753" spans="8:18" x14ac:dyDescent="0.2">
      <c r="H10753" s="180"/>
      <c r="P10753" s="180" t="s">
        <v>257</v>
      </c>
      <c r="R10753" s="180" t="s">
        <v>257</v>
      </c>
    </row>
    <row r="10754" spans="8:18" x14ac:dyDescent="0.2">
      <c r="H10754" s="180"/>
      <c r="P10754" s="180" t="s">
        <v>257</v>
      </c>
      <c r="R10754" s="180" t="s">
        <v>257</v>
      </c>
    </row>
    <row r="10755" spans="8:18" x14ac:dyDescent="0.2">
      <c r="H10755" s="180"/>
      <c r="P10755" s="180" t="s">
        <v>257</v>
      </c>
      <c r="R10755" s="180" t="s">
        <v>257</v>
      </c>
    </row>
    <row r="10756" spans="8:18" x14ac:dyDescent="0.2">
      <c r="H10756" s="180"/>
      <c r="P10756" s="180" t="s">
        <v>257</v>
      </c>
      <c r="R10756" s="180" t="s">
        <v>257</v>
      </c>
    </row>
    <row r="10757" spans="8:18" x14ac:dyDescent="0.2">
      <c r="H10757" s="180"/>
      <c r="P10757" s="180" t="s">
        <v>257</v>
      </c>
      <c r="R10757" s="180" t="s">
        <v>257</v>
      </c>
    </row>
    <row r="10758" spans="8:18" x14ac:dyDescent="0.2">
      <c r="H10758" s="180"/>
      <c r="P10758" s="180" t="s">
        <v>257</v>
      </c>
      <c r="R10758" s="180" t="s">
        <v>257</v>
      </c>
    </row>
    <row r="10759" spans="8:18" x14ac:dyDescent="0.2">
      <c r="H10759" s="180"/>
      <c r="P10759" s="180" t="s">
        <v>257</v>
      </c>
      <c r="R10759" s="180" t="s">
        <v>257</v>
      </c>
    </row>
    <row r="10760" spans="8:18" x14ac:dyDescent="0.2">
      <c r="H10760" s="180"/>
      <c r="P10760" s="180" t="s">
        <v>257</v>
      </c>
      <c r="R10760" s="180" t="s">
        <v>257</v>
      </c>
    </row>
    <row r="10761" spans="8:18" x14ac:dyDescent="0.2">
      <c r="H10761" s="180"/>
      <c r="P10761" s="180" t="s">
        <v>257</v>
      </c>
      <c r="R10761" s="180" t="s">
        <v>257</v>
      </c>
    </row>
    <row r="10762" spans="8:18" x14ac:dyDescent="0.2">
      <c r="H10762" s="180"/>
      <c r="P10762" s="180" t="s">
        <v>257</v>
      </c>
      <c r="R10762" s="180" t="s">
        <v>257</v>
      </c>
    </row>
    <row r="10763" spans="8:18" x14ac:dyDescent="0.2">
      <c r="H10763" s="180"/>
      <c r="P10763" s="180" t="s">
        <v>257</v>
      </c>
      <c r="R10763" s="180" t="s">
        <v>257</v>
      </c>
    </row>
    <row r="10764" spans="8:18" x14ac:dyDescent="0.2">
      <c r="H10764" s="180"/>
      <c r="P10764" s="180" t="s">
        <v>257</v>
      </c>
      <c r="R10764" s="180" t="s">
        <v>257</v>
      </c>
    </row>
    <row r="10765" spans="8:18" x14ac:dyDescent="0.2">
      <c r="H10765" s="180"/>
      <c r="P10765" s="180" t="s">
        <v>257</v>
      </c>
      <c r="R10765" s="180" t="s">
        <v>257</v>
      </c>
    </row>
    <row r="10766" spans="8:18" x14ac:dyDescent="0.2">
      <c r="H10766" s="180"/>
      <c r="P10766" s="180" t="s">
        <v>257</v>
      </c>
      <c r="R10766" s="180" t="s">
        <v>257</v>
      </c>
    </row>
    <row r="10767" spans="8:18" x14ac:dyDescent="0.2">
      <c r="H10767" s="180"/>
      <c r="P10767" s="180" t="s">
        <v>257</v>
      </c>
      <c r="R10767" s="180" t="s">
        <v>257</v>
      </c>
    </row>
    <row r="10768" spans="8:18" x14ac:dyDescent="0.2">
      <c r="H10768" s="180"/>
      <c r="P10768" s="180" t="s">
        <v>257</v>
      </c>
      <c r="R10768" s="180" t="s">
        <v>257</v>
      </c>
    </row>
    <row r="10769" spans="8:18" x14ac:dyDescent="0.2">
      <c r="H10769" s="180"/>
      <c r="P10769" s="180" t="s">
        <v>257</v>
      </c>
      <c r="R10769" s="180" t="s">
        <v>257</v>
      </c>
    </row>
    <row r="10770" spans="8:18" x14ac:dyDescent="0.2">
      <c r="H10770" s="180"/>
      <c r="P10770" s="180" t="s">
        <v>257</v>
      </c>
      <c r="R10770" s="180" t="s">
        <v>257</v>
      </c>
    </row>
    <row r="10771" spans="8:18" x14ac:dyDescent="0.2">
      <c r="H10771" s="180"/>
      <c r="P10771" s="180" t="s">
        <v>257</v>
      </c>
      <c r="R10771" s="180" t="s">
        <v>257</v>
      </c>
    </row>
    <row r="10772" spans="8:18" x14ac:dyDescent="0.2">
      <c r="H10772" s="180"/>
      <c r="P10772" s="180" t="s">
        <v>257</v>
      </c>
      <c r="R10772" s="180" t="s">
        <v>257</v>
      </c>
    </row>
    <row r="10773" spans="8:18" x14ac:dyDescent="0.2">
      <c r="H10773" s="180"/>
      <c r="P10773" s="180" t="s">
        <v>257</v>
      </c>
      <c r="R10773" s="180" t="s">
        <v>257</v>
      </c>
    </row>
    <row r="10774" spans="8:18" x14ac:dyDescent="0.2">
      <c r="H10774" s="180"/>
      <c r="P10774" s="180" t="s">
        <v>257</v>
      </c>
      <c r="R10774" s="180" t="s">
        <v>257</v>
      </c>
    </row>
    <row r="10775" spans="8:18" x14ac:dyDescent="0.2">
      <c r="H10775" s="180"/>
      <c r="P10775" s="180" t="s">
        <v>257</v>
      </c>
      <c r="R10775" s="180" t="s">
        <v>257</v>
      </c>
    </row>
    <row r="10776" spans="8:18" x14ac:dyDescent="0.2">
      <c r="H10776" s="180"/>
      <c r="P10776" s="180" t="s">
        <v>257</v>
      </c>
      <c r="R10776" s="180" t="s">
        <v>257</v>
      </c>
    </row>
    <row r="10777" spans="8:18" x14ac:dyDescent="0.2">
      <c r="H10777" s="180"/>
      <c r="P10777" s="180" t="s">
        <v>257</v>
      </c>
      <c r="R10777" s="180" t="s">
        <v>257</v>
      </c>
    </row>
    <row r="10778" spans="8:18" x14ac:dyDescent="0.2">
      <c r="H10778" s="180"/>
      <c r="P10778" s="180" t="s">
        <v>257</v>
      </c>
      <c r="R10778" s="180" t="s">
        <v>257</v>
      </c>
    </row>
    <row r="10779" spans="8:18" x14ac:dyDescent="0.2">
      <c r="H10779" s="180"/>
      <c r="P10779" s="180" t="s">
        <v>257</v>
      </c>
      <c r="R10779" s="180" t="s">
        <v>257</v>
      </c>
    </row>
    <row r="10780" spans="8:18" x14ac:dyDescent="0.2">
      <c r="H10780" s="180"/>
      <c r="P10780" s="180" t="s">
        <v>257</v>
      </c>
      <c r="R10780" s="180" t="s">
        <v>257</v>
      </c>
    </row>
    <row r="10781" spans="8:18" x14ac:dyDescent="0.2">
      <c r="H10781" s="180"/>
      <c r="P10781" s="180" t="s">
        <v>257</v>
      </c>
      <c r="R10781" s="180" t="s">
        <v>257</v>
      </c>
    </row>
    <row r="10782" spans="8:18" x14ac:dyDescent="0.2">
      <c r="H10782" s="180"/>
      <c r="P10782" s="180" t="s">
        <v>257</v>
      </c>
      <c r="R10782" s="180" t="s">
        <v>257</v>
      </c>
    </row>
    <row r="10783" spans="8:18" x14ac:dyDescent="0.2">
      <c r="H10783" s="180"/>
      <c r="P10783" s="180" t="s">
        <v>257</v>
      </c>
      <c r="R10783" s="180" t="s">
        <v>257</v>
      </c>
    </row>
    <row r="10784" spans="8:18" x14ac:dyDescent="0.2">
      <c r="H10784" s="180"/>
      <c r="P10784" s="180" t="s">
        <v>257</v>
      </c>
      <c r="R10784" s="180" t="s">
        <v>257</v>
      </c>
    </row>
    <row r="10785" spans="8:18" x14ac:dyDescent="0.2">
      <c r="H10785" s="180"/>
      <c r="P10785" s="180" t="s">
        <v>257</v>
      </c>
      <c r="R10785" s="180" t="s">
        <v>257</v>
      </c>
    </row>
    <row r="10786" spans="8:18" x14ac:dyDescent="0.2">
      <c r="H10786" s="180"/>
      <c r="P10786" s="180" t="s">
        <v>257</v>
      </c>
      <c r="R10786" s="180" t="s">
        <v>257</v>
      </c>
    </row>
    <row r="10787" spans="8:18" x14ac:dyDescent="0.2">
      <c r="H10787" s="180"/>
      <c r="P10787" s="180" t="s">
        <v>257</v>
      </c>
      <c r="R10787" s="180" t="s">
        <v>257</v>
      </c>
    </row>
    <row r="10788" spans="8:18" x14ac:dyDescent="0.2">
      <c r="H10788" s="180"/>
      <c r="P10788" s="180" t="s">
        <v>257</v>
      </c>
      <c r="R10788" s="180" t="s">
        <v>257</v>
      </c>
    </row>
    <row r="10789" spans="8:18" x14ac:dyDescent="0.2">
      <c r="H10789" s="180"/>
      <c r="P10789" s="180" t="s">
        <v>257</v>
      </c>
      <c r="R10789" s="180" t="s">
        <v>257</v>
      </c>
    </row>
    <row r="10790" spans="8:18" x14ac:dyDescent="0.2">
      <c r="H10790" s="180"/>
      <c r="P10790" s="180" t="s">
        <v>257</v>
      </c>
      <c r="R10790" s="180" t="s">
        <v>257</v>
      </c>
    </row>
    <row r="10791" spans="8:18" x14ac:dyDescent="0.2">
      <c r="H10791" s="180"/>
      <c r="P10791" s="180" t="s">
        <v>257</v>
      </c>
      <c r="R10791" s="180" t="s">
        <v>257</v>
      </c>
    </row>
    <row r="10792" spans="8:18" x14ac:dyDescent="0.2">
      <c r="H10792" s="180"/>
      <c r="P10792" s="180" t="s">
        <v>257</v>
      </c>
      <c r="R10792" s="180" t="s">
        <v>257</v>
      </c>
    </row>
    <row r="10793" spans="8:18" x14ac:dyDescent="0.2">
      <c r="H10793" s="180"/>
      <c r="P10793" s="180" t="s">
        <v>257</v>
      </c>
      <c r="R10793" s="180" t="s">
        <v>257</v>
      </c>
    </row>
    <row r="10794" spans="8:18" x14ac:dyDescent="0.2">
      <c r="H10794" s="180"/>
      <c r="P10794" s="180" t="s">
        <v>257</v>
      </c>
      <c r="R10794" s="180" t="s">
        <v>257</v>
      </c>
    </row>
    <row r="10795" spans="8:18" x14ac:dyDescent="0.2">
      <c r="H10795" s="180"/>
      <c r="P10795" s="180" t="s">
        <v>257</v>
      </c>
      <c r="R10795" s="180" t="s">
        <v>257</v>
      </c>
    </row>
    <row r="10796" spans="8:18" x14ac:dyDescent="0.2">
      <c r="H10796" s="180"/>
      <c r="P10796" s="180" t="s">
        <v>257</v>
      </c>
      <c r="R10796" s="180" t="s">
        <v>257</v>
      </c>
    </row>
    <row r="10797" spans="8:18" x14ac:dyDescent="0.2">
      <c r="H10797" s="180"/>
      <c r="P10797" s="180" t="s">
        <v>257</v>
      </c>
      <c r="R10797" s="180" t="s">
        <v>257</v>
      </c>
    </row>
    <row r="10798" spans="8:18" x14ac:dyDescent="0.2">
      <c r="H10798" s="180"/>
      <c r="P10798" s="180" t="s">
        <v>257</v>
      </c>
      <c r="R10798" s="180" t="s">
        <v>257</v>
      </c>
    </row>
    <row r="10799" spans="8:18" x14ac:dyDescent="0.2">
      <c r="H10799" s="180"/>
      <c r="P10799" s="180" t="s">
        <v>257</v>
      </c>
      <c r="R10799" s="180" t="s">
        <v>257</v>
      </c>
    </row>
    <row r="10800" spans="8:18" x14ac:dyDescent="0.2">
      <c r="H10800" s="180"/>
      <c r="P10800" s="180" t="s">
        <v>257</v>
      </c>
      <c r="R10800" s="180" t="s">
        <v>257</v>
      </c>
    </row>
    <row r="10801" spans="8:18" x14ac:dyDescent="0.2">
      <c r="H10801" s="180"/>
      <c r="P10801" s="180" t="s">
        <v>257</v>
      </c>
      <c r="R10801" s="180" t="s">
        <v>257</v>
      </c>
    </row>
    <row r="10802" spans="8:18" x14ac:dyDescent="0.2">
      <c r="H10802" s="180"/>
      <c r="P10802" s="180" t="s">
        <v>257</v>
      </c>
      <c r="R10802" s="180" t="s">
        <v>257</v>
      </c>
    </row>
    <row r="10803" spans="8:18" x14ac:dyDescent="0.2">
      <c r="H10803" s="180"/>
      <c r="P10803" s="180" t="s">
        <v>257</v>
      </c>
      <c r="R10803" s="180" t="s">
        <v>257</v>
      </c>
    </row>
    <row r="10804" spans="8:18" x14ac:dyDescent="0.2">
      <c r="H10804" s="180"/>
      <c r="P10804" s="180" t="s">
        <v>257</v>
      </c>
      <c r="R10804" s="180" t="s">
        <v>257</v>
      </c>
    </row>
    <row r="10805" spans="8:18" x14ac:dyDescent="0.2">
      <c r="H10805" s="180"/>
      <c r="P10805" s="180" t="s">
        <v>257</v>
      </c>
      <c r="R10805" s="180" t="s">
        <v>257</v>
      </c>
    </row>
    <row r="10806" spans="8:18" x14ac:dyDescent="0.2">
      <c r="H10806" s="180"/>
      <c r="P10806" s="180" t="s">
        <v>257</v>
      </c>
      <c r="R10806" s="180" t="s">
        <v>257</v>
      </c>
    </row>
    <row r="10807" spans="8:18" x14ac:dyDescent="0.2">
      <c r="H10807" s="180"/>
      <c r="P10807" s="180" t="s">
        <v>257</v>
      </c>
      <c r="R10807" s="180" t="s">
        <v>257</v>
      </c>
    </row>
    <row r="10808" spans="8:18" x14ac:dyDescent="0.2">
      <c r="H10808" s="180"/>
      <c r="P10808" s="180" t="s">
        <v>257</v>
      </c>
      <c r="R10808" s="180" t="s">
        <v>257</v>
      </c>
    </row>
    <row r="10809" spans="8:18" x14ac:dyDescent="0.2">
      <c r="H10809" s="180"/>
      <c r="P10809" s="180" t="s">
        <v>257</v>
      </c>
      <c r="R10809" s="180" t="s">
        <v>257</v>
      </c>
    </row>
    <row r="10810" spans="8:18" x14ac:dyDescent="0.2">
      <c r="H10810" s="180"/>
      <c r="P10810" s="180" t="s">
        <v>257</v>
      </c>
      <c r="R10810" s="180" t="s">
        <v>257</v>
      </c>
    </row>
    <row r="10811" spans="8:18" x14ac:dyDescent="0.2">
      <c r="H10811" s="180"/>
      <c r="P10811" s="180" t="s">
        <v>257</v>
      </c>
      <c r="R10811" s="180" t="s">
        <v>257</v>
      </c>
    </row>
    <row r="10812" spans="8:18" x14ac:dyDescent="0.2">
      <c r="H10812" s="180"/>
      <c r="P10812" s="180" t="s">
        <v>257</v>
      </c>
      <c r="R10812" s="180" t="s">
        <v>257</v>
      </c>
    </row>
    <row r="10813" spans="8:18" x14ac:dyDescent="0.2">
      <c r="H10813" s="180"/>
      <c r="P10813" s="180" t="s">
        <v>257</v>
      </c>
      <c r="R10813" s="180" t="s">
        <v>257</v>
      </c>
    </row>
    <row r="10814" spans="8:18" x14ac:dyDescent="0.2">
      <c r="H10814" s="180"/>
      <c r="P10814" s="180" t="s">
        <v>257</v>
      </c>
      <c r="R10814" s="180" t="s">
        <v>257</v>
      </c>
    </row>
    <row r="10815" spans="8:18" x14ac:dyDescent="0.2">
      <c r="H10815" s="180"/>
      <c r="P10815" s="180" t="s">
        <v>257</v>
      </c>
      <c r="R10815" s="180" t="s">
        <v>257</v>
      </c>
    </row>
    <row r="10816" spans="8:18" x14ac:dyDescent="0.2">
      <c r="H10816" s="180"/>
      <c r="P10816" s="180" t="s">
        <v>257</v>
      </c>
      <c r="R10816" s="180" t="s">
        <v>257</v>
      </c>
    </row>
    <row r="10817" spans="8:18" x14ac:dyDescent="0.2">
      <c r="H10817" s="180"/>
      <c r="P10817" s="180" t="s">
        <v>257</v>
      </c>
      <c r="R10817" s="180" t="s">
        <v>257</v>
      </c>
    </row>
    <row r="10818" spans="8:18" x14ac:dyDescent="0.2">
      <c r="H10818" s="180"/>
      <c r="P10818" s="180" t="s">
        <v>257</v>
      </c>
      <c r="R10818" s="180" t="s">
        <v>257</v>
      </c>
    </row>
    <row r="10819" spans="8:18" x14ac:dyDescent="0.2">
      <c r="H10819" s="180"/>
      <c r="P10819" s="180" t="s">
        <v>257</v>
      </c>
      <c r="R10819" s="180" t="s">
        <v>257</v>
      </c>
    </row>
    <row r="10820" spans="8:18" x14ac:dyDescent="0.2">
      <c r="H10820" s="180"/>
      <c r="P10820" s="180" t="s">
        <v>257</v>
      </c>
      <c r="R10820" s="180" t="s">
        <v>257</v>
      </c>
    </row>
    <row r="10821" spans="8:18" x14ac:dyDescent="0.2">
      <c r="H10821" s="180"/>
      <c r="P10821" s="180" t="s">
        <v>257</v>
      </c>
      <c r="R10821" s="180" t="s">
        <v>257</v>
      </c>
    </row>
    <row r="10822" spans="8:18" x14ac:dyDescent="0.2">
      <c r="H10822" s="180"/>
      <c r="P10822" s="180" t="s">
        <v>257</v>
      </c>
      <c r="R10822" s="180" t="s">
        <v>257</v>
      </c>
    </row>
    <row r="10823" spans="8:18" x14ac:dyDescent="0.2">
      <c r="H10823" s="180"/>
      <c r="P10823" s="180" t="s">
        <v>257</v>
      </c>
      <c r="R10823" s="180" t="s">
        <v>257</v>
      </c>
    </row>
    <row r="10824" spans="8:18" x14ac:dyDescent="0.2">
      <c r="H10824" s="180"/>
      <c r="P10824" s="180" t="s">
        <v>257</v>
      </c>
      <c r="R10824" s="180" t="s">
        <v>257</v>
      </c>
    </row>
    <row r="10825" spans="8:18" x14ac:dyDescent="0.2">
      <c r="H10825" s="180"/>
      <c r="P10825" s="180" t="s">
        <v>257</v>
      </c>
      <c r="R10825" s="180" t="s">
        <v>257</v>
      </c>
    </row>
    <row r="10826" spans="8:18" x14ac:dyDescent="0.2">
      <c r="H10826" s="180"/>
      <c r="P10826" s="180" t="s">
        <v>257</v>
      </c>
      <c r="R10826" s="180" t="s">
        <v>257</v>
      </c>
    </row>
    <row r="10827" spans="8:18" x14ac:dyDescent="0.2">
      <c r="H10827" s="180"/>
      <c r="P10827" s="180" t="s">
        <v>257</v>
      </c>
      <c r="R10827" s="180" t="s">
        <v>257</v>
      </c>
    </row>
    <row r="10828" spans="8:18" x14ac:dyDescent="0.2">
      <c r="H10828" s="180"/>
      <c r="P10828" s="180" t="s">
        <v>257</v>
      </c>
      <c r="R10828" s="180" t="s">
        <v>257</v>
      </c>
    </row>
    <row r="10829" spans="8:18" x14ac:dyDescent="0.2">
      <c r="H10829" s="180"/>
      <c r="P10829" s="180" t="s">
        <v>257</v>
      </c>
      <c r="R10829" s="180" t="s">
        <v>257</v>
      </c>
    </row>
    <row r="10830" spans="8:18" x14ac:dyDescent="0.2">
      <c r="H10830" s="180"/>
      <c r="P10830" s="180" t="s">
        <v>257</v>
      </c>
      <c r="R10830" s="180" t="s">
        <v>257</v>
      </c>
    </row>
    <row r="10831" spans="8:18" x14ac:dyDescent="0.2">
      <c r="H10831" s="180"/>
      <c r="P10831" s="180" t="s">
        <v>257</v>
      </c>
      <c r="R10831" s="180" t="s">
        <v>257</v>
      </c>
    </row>
    <row r="10832" spans="8:18" x14ac:dyDescent="0.2">
      <c r="H10832" s="180"/>
      <c r="P10832" s="180" t="s">
        <v>257</v>
      </c>
      <c r="R10832" s="180" t="s">
        <v>257</v>
      </c>
    </row>
    <row r="10833" spans="8:18" x14ac:dyDescent="0.2">
      <c r="H10833" s="180"/>
      <c r="P10833" s="180" t="s">
        <v>257</v>
      </c>
      <c r="R10833" s="180" t="s">
        <v>257</v>
      </c>
    </row>
    <row r="10834" spans="8:18" x14ac:dyDescent="0.2">
      <c r="H10834" s="180"/>
      <c r="P10834" s="180" t="s">
        <v>257</v>
      </c>
      <c r="R10834" s="180" t="s">
        <v>257</v>
      </c>
    </row>
    <row r="10835" spans="8:18" x14ac:dyDescent="0.2">
      <c r="H10835" s="180"/>
      <c r="P10835" s="180" t="s">
        <v>257</v>
      </c>
      <c r="R10835" s="180" t="s">
        <v>257</v>
      </c>
    </row>
    <row r="10836" spans="8:18" x14ac:dyDescent="0.2">
      <c r="H10836" s="180"/>
      <c r="P10836" s="180" t="s">
        <v>257</v>
      </c>
      <c r="R10836" s="180" t="s">
        <v>257</v>
      </c>
    </row>
    <row r="10837" spans="8:18" x14ac:dyDescent="0.2">
      <c r="H10837" s="180"/>
      <c r="P10837" s="180" t="s">
        <v>257</v>
      </c>
      <c r="R10837" s="180" t="s">
        <v>257</v>
      </c>
    </row>
    <row r="10838" spans="8:18" x14ac:dyDescent="0.2">
      <c r="H10838" s="180"/>
      <c r="P10838" s="180" t="s">
        <v>257</v>
      </c>
      <c r="R10838" s="180" t="s">
        <v>257</v>
      </c>
    </row>
    <row r="10839" spans="8:18" x14ac:dyDescent="0.2">
      <c r="H10839" s="180"/>
      <c r="P10839" s="180" t="s">
        <v>257</v>
      </c>
      <c r="R10839" s="180" t="s">
        <v>257</v>
      </c>
    </row>
    <row r="10840" spans="8:18" x14ac:dyDescent="0.2">
      <c r="H10840" s="180"/>
      <c r="P10840" s="180" t="s">
        <v>257</v>
      </c>
      <c r="R10840" s="180" t="s">
        <v>257</v>
      </c>
    </row>
    <row r="10841" spans="8:18" x14ac:dyDescent="0.2">
      <c r="H10841" s="180"/>
      <c r="P10841" s="180" t="s">
        <v>257</v>
      </c>
      <c r="R10841" s="180" t="s">
        <v>257</v>
      </c>
    </row>
    <row r="10842" spans="8:18" x14ac:dyDescent="0.2">
      <c r="H10842" s="180"/>
      <c r="P10842" s="180" t="s">
        <v>257</v>
      </c>
      <c r="R10842" s="180" t="s">
        <v>257</v>
      </c>
    </row>
    <row r="10843" spans="8:18" x14ac:dyDescent="0.2">
      <c r="H10843" s="180"/>
      <c r="P10843" s="180" t="s">
        <v>257</v>
      </c>
      <c r="R10843" s="180" t="s">
        <v>257</v>
      </c>
    </row>
    <row r="10844" spans="8:18" x14ac:dyDescent="0.2">
      <c r="H10844" s="180"/>
      <c r="P10844" s="180" t="s">
        <v>257</v>
      </c>
      <c r="R10844" s="180" t="s">
        <v>257</v>
      </c>
    </row>
    <row r="10845" spans="8:18" x14ac:dyDescent="0.2">
      <c r="H10845" s="180"/>
      <c r="P10845" s="180" t="s">
        <v>257</v>
      </c>
      <c r="R10845" s="180" t="s">
        <v>257</v>
      </c>
    </row>
    <row r="10846" spans="8:18" x14ac:dyDescent="0.2">
      <c r="H10846" s="180"/>
      <c r="P10846" s="180" t="s">
        <v>257</v>
      </c>
      <c r="R10846" s="180" t="s">
        <v>257</v>
      </c>
    </row>
    <row r="10847" spans="8:18" x14ac:dyDescent="0.2">
      <c r="H10847" s="180"/>
      <c r="P10847" s="180" t="s">
        <v>257</v>
      </c>
      <c r="R10847" s="180" t="s">
        <v>257</v>
      </c>
    </row>
    <row r="10848" spans="8:18" x14ac:dyDescent="0.2">
      <c r="H10848" s="180"/>
      <c r="P10848" s="180" t="s">
        <v>257</v>
      </c>
      <c r="R10848" s="180" t="s">
        <v>257</v>
      </c>
    </row>
    <row r="10849" spans="8:18" x14ac:dyDescent="0.2">
      <c r="H10849" s="180"/>
      <c r="P10849" s="180" t="s">
        <v>257</v>
      </c>
      <c r="R10849" s="180" t="s">
        <v>257</v>
      </c>
    </row>
    <row r="10850" spans="8:18" x14ac:dyDescent="0.2">
      <c r="H10850" s="180"/>
      <c r="P10850" s="180" t="s">
        <v>257</v>
      </c>
      <c r="R10850" s="180" t="s">
        <v>257</v>
      </c>
    </row>
    <row r="10851" spans="8:18" x14ac:dyDescent="0.2">
      <c r="H10851" s="180"/>
      <c r="P10851" s="180" t="s">
        <v>257</v>
      </c>
      <c r="R10851" s="180" t="s">
        <v>257</v>
      </c>
    </row>
    <row r="10852" spans="8:18" x14ac:dyDescent="0.2">
      <c r="H10852" s="180"/>
      <c r="P10852" s="180" t="s">
        <v>257</v>
      </c>
      <c r="R10852" s="180" t="s">
        <v>257</v>
      </c>
    </row>
    <row r="10853" spans="8:18" x14ac:dyDescent="0.2">
      <c r="H10853" s="180"/>
      <c r="P10853" s="180" t="s">
        <v>257</v>
      </c>
      <c r="R10853" s="180" t="s">
        <v>257</v>
      </c>
    </row>
    <row r="10854" spans="8:18" x14ac:dyDescent="0.2">
      <c r="H10854" s="180"/>
      <c r="P10854" s="180" t="s">
        <v>257</v>
      </c>
      <c r="R10854" s="180" t="s">
        <v>257</v>
      </c>
    </row>
    <row r="10855" spans="8:18" x14ac:dyDescent="0.2">
      <c r="H10855" s="180"/>
      <c r="P10855" s="180" t="s">
        <v>257</v>
      </c>
      <c r="R10855" s="180" t="s">
        <v>257</v>
      </c>
    </row>
    <row r="10856" spans="8:18" x14ac:dyDescent="0.2">
      <c r="H10856" s="180"/>
      <c r="P10856" s="180" t="s">
        <v>257</v>
      </c>
      <c r="R10856" s="180" t="s">
        <v>257</v>
      </c>
    </row>
    <row r="10857" spans="8:18" x14ac:dyDescent="0.2">
      <c r="H10857" s="180"/>
      <c r="P10857" s="180" t="s">
        <v>257</v>
      </c>
      <c r="R10857" s="180" t="s">
        <v>257</v>
      </c>
    </row>
    <row r="10858" spans="8:18" x14ac:dyDescent="0.2">
      <c r="H10858" s="180"/>
      <c r="P10858" s="180" t="s">
        <v>257</v>
      </c>
      <c r="R10858" s="180" t="s">
        <v>257</v>
      </c>
    </row>
    <row r="10859" spans="8:18" x14ac:dyDescent="0.2">
      <c r="H10859" s="180"/>
      <c r="P10859" s="180" t="s">
        <v>257</v>
      </c>
      <c r="R10859" s="180" t="s">
        <v>257</v>
      </c>
    </row>
    <row r="10860" spans="8:18" x14ac:dyDescent="0.2">
      <c r="H10860" s="180"/>
      <c r="P10860" s="180" t="s">
        <v>257</v>
      </c>
      <c r="R10860" s="180" t="s">
        <v>257</v>
      </c>
    </row>
    <row r="10861" spans="8:18" x14ac:dyDescent="0.2">
      <c r="H10861" s="180"/>
      <c r="P10861" s="180" t="s">
        <v>257</v>
      </c>
      <c r="R10861" s="180" t="s">
        <v>257</v>
      </c>
    </row>
    <row r="10862" spans="8:18" x14ac:dyDescent="0.2">
      <c r="H10862" s="180"/>
      <c r="P10862" s="180" t="s">
        <v>257</v>
      </c>
      <c r="R10862" s="180" t="s">
        <v>257</v>
      </c>
    </row>
    <row r="10863" spans="8:18" x14ac:dyDescent="0.2">
      <c r="H10863" s="180"/>
      <c r="P10863" s="180" t="s">
        <v>257</v>
      </c>
      <c r="R10863" s="180" t="s">
        <v>257</v>
      </c>
    </row>
    <row r="10864" spans="8:18" x14ac:dyDescent="0.2">
      <c r="H10864" s="180"/>
      <c r="P10864" s="180" t="s">
        <v>257</v>
      </c>
      <c r="R10864" s="180" t="s">
        <v>257</v>
      </c>
    </row>
    <row r="10865" spans="8:18" x14ac:dyDescent="0.2">
      <c r="H10865" s="180"/>
      <c r="P10865" s="180" t="s">
        <v>257</v>
      </c>
      <c r="R10865" s="180" t="s">
        <v>257</v>
      </c>
    </row>
    <row r="10866" spans="8:18" x14ac:dyDescent="0.2">
      <c r="H10866" s="180"/>
      <c r="P10866" s="180" t="s">
        <v>257</v>
      </c>
      <c r="R10866" s="180" t="s">
        <v>257</v>
      </c>
    </row>
    <row r="10867" spans="8:18" x14ac:dyDescent="0.2">
      <c r="H10867" s="180"/>
      <c r="P10867" s="180" t="s">
        <v>257</v>
      </c>
      <c r="R10867" s="180" t="s">
        <v>257</v>
      </c>
    </row>
    <row r="10868" spans="8:18" x14ac:dyDescent="0.2">
      <c r="H10868" s="180"/>
      <c r="P10868" s="180" t="s">
        <v>257</v>
      </c>
      <c r="R10868" s="180" t="s">
        <v>257</v>
      </c>
    </row>
    <row r="10869" spans="8:18" x14ac:dyDescent="0.2">
      <c r="H10869" s="180"/>
      <c r="P10869" s="180" t="s">
        <v>257</v>
      </c>
      <c r="R10869" s="180" t="s">
        <v>257</v>
      </c>
    </row>
    <row r="10870" spans="8:18" x14ac:dyDescent="0.2">
      <c r="H10870" s="180"/>
      <c r="P10870" s="180" t="s">
        <v>257</v>
      </c>
      <c r="R10870" s="180" t="s">
        <v>257</v>
      </c>
    </row>
    <row r="10871" spans="8:18" x14ac:dyDescent="0.2">
      <c r="H10871" s="180"/>
      <c r="P10871" s="180" t="s">
        <v>257</v>
      </c>
      <c r="R10871" s="180" t="s">
        <v>257</v>
      </c>
    </row>
    <row r="10872" spans="8:18" x14ac:dyDescent="0.2">
      <c r="H10872" s="180"/>
      <c r="P10872" s="180" t="s">
        <v>257</v>
      </c>
      <c r="R10872" s="180" t="s">
        <v>257</v>
      </c>
    </row>
    <row r="10873" spans="8:18" x14ac:dyDescent="0.2">
      <c r="H10873" s="180"/>
      <c r="P10873" s="180" t="s">
        <v>257</v>
      </c>
      <c r="R10873" s="180" t="s">
        <v>257</v>
      </c>
    </row>
    <row r="10874" spans="8:18" x14ac:dyDescent="0.2">
      <c r="H10874" s="180"/>
      <c r="P10874" s="180" t="s">
        <v>257</v>
      </c>
      <c r="R10874" s="180" t="s">
        <v>257</v>
      </c>
    </row>
    <row r="10875" spans="8:18" x14ac:dyDescent="0.2">
      <c r="H10875" s="180"/>
      <c r="P10875" s="180" t="s">
        <v>257</v>
      </c>
      <c r="R10875" s="180" t="s">
        <v>257</v>
      </c>
    </row>
    <row r="10876" spans="8:18" x14ac:dyDescent="0.2">
      <c r="H10876" s="180"/>
      <c r="P10876" s="180" t="s">
        <v>257</v>
      </c>
      <c r="R10876" s="180" t="s">
        <v>257</v>
      </c>
    </row>
    <row r="10877" spans="8:18" x14ac:dyDescent="0.2">
      <c r="H10877" s="180"/>
      <c r="P10877" s="180" t="s">
        <v>257</v>
      </c>
      <c r="R10877" s="180" t="s">
        <v>257</v>
      </c>
    </row>
    <row r="10878" spans="8:18" x14ac:dyDescent="0.2">
      <c r="H10878" s="180"/>
      <c r="P10878" s="180" t="s">
        <v>257</v>
      </c>
      <c r="R10878" s="180" t="s">
        <v>257</v>
      </c>
    </row>
    <row r="10879" spans="8:18" x14ac:dyDescent="0.2">
      <c r="H10879" s="180"/>
      <c r="P10879" s="180" t="s">
        <v>257</v>
      </c>
      <c r="R10879" s="180" t="s">
        <v>257</v>
      </c>
    </row>
    <row r="10880" spans="8:18" x14ac:dyDescent="0.2">
      <c r="H10880" s="180"/>
      <c r="P10880" s="180" t="s">
        <v>257</v>
      </c>
      <c r="R10880" s="180" t="s">
        <v>257</v>
      </c>
    </row>
    <row r="10881" spans="8:18" x14ac:dyDescent="0.2">
      <c r="H10881" s="180"/>
      <c r="P10881" s="180" t="s">
        <v>257</v>
      </c>
      <c r="R10881" s="180" t="s">
        <v>257</v>
      </c>
    </row>
    <row r="10882" spans="8:18" x14ac:dyDescent="0.2">
      <c r="H10882" s="180"/>
      <c r="P10882" s="180" t="s">
        <v>257</v>
      </c>
      <c r="R10882" s="180" t="s">
        <v>257</v>
      </c>
    </row>
    <row r="10883" spans="8:18" x14ac:dyDescent="0.2">
      <c r="H10883" s="180"/>
      <c r="P10883" s="180" t="s">
        <v>257</v>
      </c>
      <c r="R10883" s="180" t="s">
        <v>257</v>
      </c>
    </row>
    <row r="10884" spans="8:18" x14ac:dyDescent="0.2">
      <c r="H10884" s="180"/>
      <c r="P10884" s="180" t="s">
        <v>257</v>
      </c>
      <c r="R10884" s="180" t="s">
        <v>257</v>
      </c>
    </row>
    <row r="10885" spans="8:18" x14ac:dyDescent="0.2">
      <c r="H10885" s="180"/>
      <c r="P10885" s="180" t="s">
        <v>257</v>
      </c>
      <c r="R10885" s="180" t="s">
        <v>257</v>
      </c>
    </row>
    <row r="10886" spans="8:18" x14ac:dyDescent="0.2">
      <c r="H10886" s="180"/>
      <c r="P10886" s="180" t="s">
        <v>257</v>
      </c>
      <c r="R10886" s="180" t="s">
        <v>257</v>
      </c>
    </row>
    <row r="10887" spans="8:18" x14ac:dyDescent="0.2">
      <c r="H10887" s="180"/>
      <c r="P10887" s="180" t="s">
        <v>257</v>
      </c>
      <c r="R10887" s="180" t="s">
        <v>257</v>
      </c>
    </row>
    <row r="10888" spans="8:18" x14ac:dyDescent="0.2">
      <c r="H10888" s="180"/>
      <c r="P10888" s="180" t="s">
        <v>257</v>
      </c>
      <c r="R10888" s="180" t="s">
        <v>257</v>
      </c>
    </row>
    <row r="10889" spans="8:18" x14ac:dyDescent="0.2">
      <c r="H10889" s="180"/>
      <c r="P10889" s="180" t="s">
        <v>257</v>
      </c>
      <c r="R10889" s="180" t="s">
        <v>257</v>
      </c>
    </row>
    <row r="10890" spans="8:18" x14ac:dyDescent="0.2">
      <c r="H10890" s="180"/>
      <c r="P10890" s="180" t="s">
        <v>257</v>
      </c>
      <c r="R10890" s="180" t="s">
        <v>257</v>
      </c>
    </row>
    <row r="10891" spans="8:18" x14ac:dyDescent="0.2">
      <c r="H10891" s="180"/>
      <c r="P10891" s="180" t="s">
        <v>257</v>
      </c>
      <c r="R10891" s="180" t="s">
        <v>257</v>
      </c>
    </row>
    <row r="10892" spans="8:18" x14ac:dyDescent="0.2">
      <c r="H10892" s="180"/>
      <c r="P10892" s="180" t="s">
        <v>257</v>
      </c>
      <c r="R10892" s="180" t="s">
        <v>257</v>
      </c>
    </row>
    <row r="10893" spans="8:18" x14ac:dyDescent="0.2">
      <c r="H10893" s="180"/>
      <c r="P10893" s="180" t="s">
        <v>257</v>
      </c>
      <c r="R10893" s="180" t="s">
        <v>257</v>
      </c>
    </row>
    <row r="10894" spans="8:18" x14ac:dyDescent="0.2">
      <c r="H10894" s="180"/>
      <c r="P10894" s="180" t="s">
        <v>257</v>
      </c>
      <c r="R10894" s="180" t="s">
        <v>257</v>
      </c>
    </row>
    <row r="10895" spans="8:18" x14ac:dyDescent="0.2">
      <c r="H10895" s="180"/>
      <c r="P10895" s="180" t="s">
        <v>257</v>
      </c>
      <c r="R10895" s="180" t="s">
        <v>257</v>
      </c>
    </row>
    <row r="10896" spans="8:18" x14ac:dyDescent="0.2">
      <c r="H10896" s="180"/>
      <c r="P10896" s="180" t="s">
        <v>257</v>
      </c>
      <c r="R10896" s="180" t="s">
        <v>257</v>
      </c>
    </row>
    <row r="10897" spans="8:18" x14ac:dyDescent="0.2">
      <c r="H10897" s="180"/>
      <c r="P10897" s="180" t="s">
        <v>257</v>
      </c>
      <c r="R10897" s="180" t="s">
        <v>257</v>
      </c>
    </row>
    <row r="10898" spans="8:18" x14ac:dyDescent="0.2">
      <c r="H10898" s="180"/>
      <c r="P10898" s="180" t="s">
        <v>257</v>
      </c>
      <c r="R10898" s="180" t="s">
        <v>257</v>
      </c>
    </row>
    <row r="10899" spans="8:18" x14ac:dyDescent="0.2">
      <c r="H10899" s="180"/>
      <c r="P10899" s="180" t="s">
        <v>257</v>
      </c>
      <c r="R10899" s="180" t="s">
        <v>257</v>
      </c>
    </row>
    <row r="10900" spans="8:18" x14ac:dyDescent="0.2">
      <c r="H10900" s="180"/>
      <c r="P10900" s="180" t="s">
        <v>257</v>
      </c>
      <c r="R10900" s="180" t="s">
        <v>257</v>
      </c>
    </row>
    <row r="10901" spans="8:18" x14ac:dyDescent="0.2">
      <c r="H10901" s="180"/>
      <c r="P10901" s="180" t="s">
        <v>257</v>
      </c>
      <c r="R10901" s="180" t="s">
        <v>257</v>
      </c>
    </row>
    <row r="10902" spans="8:18" x14ac:dyDescent="0.2">
      <c r="H10902" s="180"/>
      <c r="P10902" s="180" t="s">
        <v>257</v>
      </c>
      <c r="R10902" s="180" t="s">
        <v>257</v>
      </c>
    </row>
    <row r="10903" spans="8:18" x14ac:dyDescent="0.2">
      <c r="H10903" s="180"/>
      <c r="P10903" s="180" t="s">
        <v>257</v>
      </c>
      <c r="R10903" s="180" t="s">
        <v>257</v>
      </c>
    </row>
    <row r="10904" spans="8:18" x14ac:dyDescent="0.2">
      <c r="H10904" s="180"/>
      <c r="P10904" s="180" t="s">
        <v>257</v>
      </c>
      <c r="R10904" s="180" t="s">
        <v>257</v>
      </c>
    </row>
    <row r="10905" spans="8:18" x14ac:dyDescent="0.2">
      <c r="H10905" s="180"/>
      <c r="P10905" s="180" t="s">
        <v>257</v>
      </c>
      <c r="R10905" s="180" t="s">
        <v>257</v>
      </c>
    </row>
    <row r="10906" spans="8:18" x14ac:dyDescent="0.2">
      <c r="H10906" s="180"/>
      <c r="P10906" s="180" t="s">
        <v>257</v>
      </c>
      <c r="R10906" s="180" t="s">
        <v>257</v>
      </c>
    </row>
    <row r="10907" spans="8:18" x14ac:dyDescent="0.2">
      <c r="H10907" s="180"/>
      <c r="P10907" s="180" t="s">
        <v>257</v>
      </c>
      <c r="R10907" s="180" t="s">
        <v>257</v>
      </c>
    </row>
    <row r="10908" spans="8:18" x14ac:dyDescent="0.2">
      <c r="H10908" s="180"/>
      <c r="P10908" s="180" t="s">
        <v>257</v>
      </c>
      <c r="R10908" s="180" t="s">
        <v>257</v>
      </c>
    </row>
    <row r="10909" spans="8:18" x14ac:dyDescent="0.2">
      <c r="H10909" s="180"/>
      <c r="P10909" s="180" t="s">
        <v>257</v>
      </c>
      <c r="R10909" s="180" t="s">
        <v>257</v>
      </c>
    </row>
    <row r="10910" spans="8:18" x14ac:dyDescent="0.2">
      <c r="H10910" s="180"/>
      <c r="P10910" s="180" t="s">
        <v>257</v>
      </c>
      <c r="R10910" s="180" t="s">
        <v>257</v>
      </c>
    </row>
    <row r="10911" spans="8:18" x14ac:dyDescent="0.2">
      <c r="H10911" s="180"/>
      <c r="P10911" s="180" t="s">
        <v>257</v>
      </c>
      <c r="R10911" s="180" t="s">
        <v>257</v>
      </c>
    </row>
    <row r="10912" spans="8:18" x14ac:dyDescent="0.2">
      <c r="H10912" s="180"/>
      <c r="P10912" s="180" t="s">
        <v>257</v>
      </c>
      <c r="R10912" s="180" t="s">
        <v>257</v>
      </c>
    </row>
    <row r="10913" spans="8:18" x14ac:dyDescent="0.2">
      <c r="H10913" s="180"/>
      <c r="P10913" s="180" t="s">
        <v>257</v>
      </c>
      <c r="R10913" s="180" t="s">
        <v>257</v>
      </c>
    </row>
    <row r="10914" spans="8:18" x14ac:dyDescent="0.2">
      <c r="H10914" s="180"/>
      <c r="P10914" s="180" t="s">
        <v>257</v>
      </c>
      <c r="R10914" s="180" t="s">
        <v>257</v>
      </c>
    </row>
    <row r="10915" spans="8:18" x14ac:dyDescent="0.2">
      <c r="H10915" s="180"/>
      <c r="P10915" s="180" t="s">
        <v>257</v>
      </c>
      <c r="R10915" s="180" t="s">
        <v>257</v>
      </c>
    </row>
    <row r="10916" spans="8:18" x14ac:dyDescent="0.2">
      <c r="H10916" s="180"/>
      <c r="P10916" s="180" t="s">
        <v>257</v>
      </c>
      <c r="R10916" s="180" t="s">
        <v>257</v>
      </c>
    </row>
    <row r="10917" spans="8:18" x14ac:dyDescent="0.2">
      <c r="H10917" s="180"/>
      <c r="P10917" s="180" t="s">
        <v>257</v>
      </c>
      <c r="R10917" s="180" t="s">
        <v>257</v>
      </c>
    </row>
    <row r="10918" spans="8:18" x14ac:dyDescent="0.2">
      <c r="H10918" s="180"/>
      <c r="P10918" s="180" t="s">
        <v>257</v>
      </c>
      <c r="R10918" s="180" t="s">
        <v>257</v>
      </c>
    </row>
    <row r="10919" spans="8:18" x14ac:dyDescent="0.2">
      <c r="H10919" s="180"/>
      <c r="P10919" s="180" t="s">
        <v>257</v>
      </c>
      <c r="R10919" s="180" t="s">
        <v>257</v>
      </c>
    </row>
    <row r="10920" spans="8:18" x14ac:dyDescent="0.2">
      <c r="H10920" s="180"/>
      <c r="P10920" s="180" t="s">
        <v>257</v>
      </c>
      <c r="R10920" s="180" t="s">
        <v>257</v>
      </c>
    </row>
    <row r="10921" spans="8:18" x14ac:dyDescent="0.2">
      <c r="H10921" s="180"/>
      <c r="P10921" s="180" t="s">
        <v>257</v>
      </c>
      <c r="R10921" s="180" t="s">
        <v>257</v>
      </c>
    </row>
    <row r="10922" spans="8:18" x14ac:dyDescent="0.2">
      <c r="H10922" s="180"/>
      <c r="P10922" s="180" t="s">
        <v>257</v>
      </c>
      <c r="R10922" s="180" t="s">
        <v>257</v>
      </c>
    </row>
    <row r="10923" spans="8:18" x14ac:dyDescent="0.2">
      <c r="H10923" s="180"/>
      <c r="P10923" s="180" t="s">
        <v>257</v>
      </c>
      <c r="R10923" s="180" t="s">
        <v>257</v>
      </c>
    </row>
    <row r="10924" spans="8:18" x14ac:dyDescent="0.2">
      <c r="H10924" s="180"/>
      <c r="P10924" s="180" t="s">
        <v>257</v>
      </c>
      <c r="R10924" s="180" t="s">
        <v>257</v>
      </c>
    </row>
    <row r="10925" spans="8:18" x14ac:dyDescent="0.2">
      <c r="H10925" s="180"/>
      <c r="P10925" s="180" t="s">
        <v>257</v>
      </c>
      <c r="R10925" s="180" t="s">
        <v>257</v>
      </c>
    </row>
    <row r="10926" spans="8:18" x14ac:dyDescent="0.2">
      <c r="H10926" s="180"/>
      <c r="P10926" s="180" t="s">
        <v>257</v>
      </c>
      <c r="R10926" s="180" t="s">
        <v>257</v>
      </c>
    </row>
    <row r="10927" spans="8:18" x14ac:dyDescent="0.2">
      <c r="H10927" s="180"/>
      <c r="P10927" s="180" t="s">
        <v>257</v>
      </c>
      <c r="R10927" s="180" t="s">
        <v>257</v>
      </c>
    </row>
    <row r="10928" spans="8:18" x14ac:dyDescent="0.2">
      <c r="H10928" s="180"/>
      <c r="P10928" s="180" t="s">
        <v>257</v>
      </c>
      <c r="R10928" s="180" t="s">
        <v>257</v>
      </c>
    </row>
    <row r="10929" spans="8:18" x14ac:dyDescent="0.2">
      <c r="H10929" s="180"/>
      <c r="P10929" s="180" t="s">
        <v>257</v>
      </c>
      <c r="R10929" s="180" t="s">
        <v>257</v>
      </c>
    </row>
    <row r="10930" spans="8:18" x14ac:dyDescent="0.2">
      <c r="H10930" s="180"/>
      <c r="P10930" s="180" t="s">
        <v>257</v>
      </c>
      <c r="R10930" s="180" t="s">
        <v>257</v>
      </c>
    </row>
    <row r="10931" spans="8:18" x14ac:dyDescent="0.2">
      <c r="H10931" s="180"/>
      <c r="P10931" s="180" t="s">
        <v>257</v>
      </c>
      <c r="R10931" s="180" t="s">
        <v>257</v>
      </c>
    </row>
    <row r="10932" spans="8:18" x14ac:dyDescent="0.2">
      <c r="H10932" s="180"/>
      <c r="P10932" s="180" t="s">
        <v>257</v>
      </c>
      <c r="R10932" s="180" t="s">
        <v>257</v>
      </c>
    </row>
    <row r="10933" spans="8:18" x14ac:dyDescent="0.2">
      <c r="H10933" s="180"/>
      <c r="P10933" s="180" t="s">
        <v>257</v>
      </c>
      <c r="R10933" s="180" t="s">
        <v>257</v>
      </c>
    </row>
    <row r="10934" spans="8:18" x14ac:dyDescent="0.2">
      <c r="H10934" s="180"/>
      <c r="P10934" s="180" t="s">
        <v>257</v>
      </c>
      <c r="R10934" s="180" t="s">
        <v>257</v>
      </c>
    </row>
    <row r="10935" spans="8:18" x14ac:dyDescent="0.2">
      <c r="H10935" s="180"/>
      <c r="P10935" s="180" t="s">
        <v>257</v>
      </c>
      <c r="R10935" s="180" t="s">
        <v>257</v>
      </c>
    </row>
    <row r="10936" spans="8:18" x14ac:dyDescent="0.2">
      <c r="H10936" s="180"/>
      <c r="P10936" s="180" t="s">
        <v>257</v>
      </c>
      <c r="R10936" s="180" t="s">
        <v>257</v>
      </c>
    </row>
    <row r="10937" spans="8:18" x14ac:dyDescent="0.2">
      <c r="H10937" s="180"/>
      <c r="P10937" s="180" t="s">
        <v>257</v>
      </c>
      <c r="R10937" s="180" t="s">
        <v>257</v>
      </c>
    </row>
    <row r="10938" spans="8:18" x14ac:dyDescent="0.2">
      <c r="H10938" s="180"/>
      <c r="P10938" s="180" t="s">
        <v>257</v>
      </c>
      <c r="R10938" s="180" t="s">
        <v>257</v>
      </c>
    </row>
    <row r="10939" spans="8:18" x14ac:dyDescent="0.2">
      <c r="H10939" s="180"/>
      <c r="P10939" s="180" t="s">
        <v>257</v>
      </c>
      <c r="R10939" s="180" t="s">
        <v>257</v>
      </c>
    </row>
    <row r="10940" spans="8:18" x14ac:dyDescent="0.2">
      <c r="H10940" s="180"/>
      <c r="P10940" s="180" t="s">
        <v>257</v>
      </c>
      <c r="R10940" s="180" t="s">
        <v>257</v>
      </c>
    </row>
    <row r="10941" spans="8:18" x14ac:dyDescent="0.2">
      <c r="H10941" s="180"/>
      <c r="P10941" s="180" t="s">
        <v>257</v>
      </c>
      <c r="R10941" s="180" t="s">
        <v>257</v>
      </c>
    </row>
    <row r="10942" spans="8:18" x14ac:dyDescent="0.2">
      <c r="H10942" s="180"/>
      <c r="P10942" s="180" t="s">
        <v>257</v>
      </c>
      <c r="R10942" s="180" t="s">
        <v>257</v>
      </c>
    </row>
    <row r="10943" spans="8:18" x14ac:dyDescent="0.2">
      <c r="H10943" s="180"/>
      <c r="P10943" s="180" t="s">
        <v>257</v>
      </c>
      <c r="R10943" s="180" t="s">
        <v>257</v>
      </c>
    </row>
    <row r="10944" spans="8:18" x14ac:dyDescent="0.2">
      <c r="H10944" s="180"/>
      <c r="P10944" s="180" t="s">
        <v>257</v>
      </c>
      <c r="R10944" s="180" t="s">
        <v>257</v>
      </c>
    </row>
    <row r="10945" spans="8:18" x14ac:dyDescent="0.2">
      <c r="H10945" s="180"/>
      <c r="P10945" s="180" t="s">
        <v>257</v>
      </c>
      <c r="R10945" s="180" t="s">
        <v>257</v>
      </c>
    </row>
    <row r="10946" spans="8:18" x14ac:dyDescent="0.2">
      <c r="H10946" s="180"/>
      <c r="P10946" s="180" t="s">
        <v>257</v>
      </c>
      <c r="R10946" s="180" t="s">
        <v>257</v>
      </c>
    </row>
    <row r="10947" spans="8:18" x14ac:dyDescent="0.2">
      <c r="H10947" s="180"/>
      <c r="P10947" s="180" t="s">
        <v>257</v>
      </c>
      <c r="R10947" s="180" t="s">
        <v>257</v>
      </c>
    </row>
    <row r="10948" spans="8:18" x14ac:dyDescent="0.2">
      <c r="H10948" s="180"/>
      <c r="P10948" s="180" t="s">
        <v>257</v>
      </c>
      <c r="R10948" s="180" t="s">
        <v>257</v>
      </c>
    </row>
    <row r="10949" spans="8:18" x14ac:dyDescent="0.2">
      <c r="H10949" s="180"/>
      <c r="P10949" s="180" t="s">
        <v>257</v>
      </c>
      <c r="R10949" s="180" t="s">
        <v>257</v>
      </c>
    </row>
    <row r="10950" spans="8:18" x14ac:dyDescent="0.2">
      <c r="H10950" s="180"/>
      <c r="P10950" s="180" t="s">
        <v>257</v>
      </c>
      <c r="R10950" s="180" t="s">
        <v>257</v>
      </c>
    </row>
    <row r="10951" spans="8:18" x14ac:dyDescent="0.2">
      <c r="H10951" s="180"/>
      <c r="P10951" s="180" t="s">
        <v>257</v>
      </c>
      <c r="R10951" s="180" t="s">
        <v>257</v>
      </c>
    </row>
    <row r="10952" spans="8:18" x14ac:dyDescent="0.2">
      <c r="H10952" s="180"/>
      <c r="P10952" s="180" t="s">
        <v>257</v>
      </c>
      <c r="R10952" s="180" t="s">
        <v>257</v>
      </c>
    </row>
    <row r="10953" spans="8:18" x14ac:dyDescent="0.2">
      <c r="H10953" s="180"/>
      <c r="P10953" s="180" t="s">
        <v>257</v>
      </c>
      <c r="R10953" s="180" t="s">
        <v>257</v>
      </c>
    </row>
    <row r="10954" spans="8:18" x14ac:dyDescent="0.2">
      <c r="H10954" s="180"/>
      <c r="P10954" s="180" t="s">
        <v>257</v>
      </c>
      <c r="R10954" s="180" t="s">
        <v>257</v>
      </c>
    </row>
    <row r="10955" spans="8:18" x14ac:dyDescent="0.2">
      <c r="H10955" s="180"/>
      <c r="P10955" s="180" t="s">
        <v>257</v>
      </c>
      <c r="R10955" s="180" t="s">
        <v>257</v>
      </c>
    </row>
    <row r="10956" spans="8:18" x14ac:dyDescent="0.2">
      <c r="H10956" s="180"/>
      <c r="P10956" s="180" t="s">
        <v>257</v>
      </c>
      <c r="R10956" s="180" t="s">
        <v>257</v>
      </c>
    </row>
    <row r="10957" spans="8:18" x14ac:dyDescent="0.2">
      <c r="H10957" s="180"/>
      <c r="P10957" s="180" t="s">
        <v>257</v>
      </c>
      <c r="R10957" s="180" t="s">
        <v>257</v>
      </c>
    </row>
    <row r="10958" spans="8:18" x14ac:dyDescent="0.2">
      <c r="H10958" s="180"/>
      <c r="P10958" s="180" t="s">
        <v>257</v>
      </c>
      <c r="R10958" s="180" t="s">
        <v>257</v>
      </c>
    </row>
    <row r="10959" spans="8:18" x14ac:dyDescent="0.2">
      <c r="H10959" s="180"/>
      <c r="P10959" s="180" t="s">
        <v>257</v>
      </c>
      <c r="R10959" s="180" t="s">
        <v>257</v>
      </c>
    </row>
    <row r="10960" spans="8:18" x14ac:dyDescent="0.2">
      <c r="H10960" s="180"/>
      <c r="P10960" s="180" t="s">
        <v>257</v>
      </c>
      <c r="R10960" s="180" t="s">
        <v>257</v>
      </c>
    </row>
    <row r="10961" spans="8:18" x14ac:dyDescent="0.2">
      <c r="H10961" s="180"/>
      <c r="P10961" s="180" t="s">
        <v>257</v>
      </c>
      <c r="R10961" s="180" t="s">
        <v>257</v>
      </c>
    </row>
    <row r="10962" spans="8:18" x14ac:dyDescent="0.2">
      <c r="H10962" s="180"/>
      <c r="P10962" s="180" t="s">
        <v>257</v>
      </c>
      <c r="R10962" s="180" t="s">
        <v>257</v>
      </c>
    </row>
    <row r="10963" spans="8:18" x14ac:dyDescent="0.2">
      <c r="H10963" s="180"/>
      <c r="P10963" s="180" t="s">
        <v>257</v>
      </c>
      <c r="R10963" s="180" t="s">
        <v>257</v>
      </c>
    </row>
    <row r="10964" spans="8:18" x14ac:dyDescent="0.2">
      <c r="H10964" s="180"/>
      <c r="P10964" s="180" t="s">
        <v>257</v>
      </c>
      <c r="R10964" s="180" t="s">
        <v>257</v>
      </c>
    </row>
    <row r="10965" spans="8:18" x14ac:dyDescent="0.2">
      <c r="H10965" s="180"/>
      <c r="P10965" s="180" t="s">
        <v>257</v>
      </c>
      <c r="R10965" s="180" t="s">
        <v>257</v>
      </c>
    </row>
    <row r="10966" spans="8:18" x14ac:dyDescent="0.2">
      <c r="H10966" s="180"/>
      <c r="P10966" s="180" t="s">
        <v>257</v>
      </c>
      <c r="R10966" s="180" t="s">
        <v>257</v>
      </c>
    </row>
    <row r="10967" spans="8:18" x14ac:dyDescent="0.2">
      <c r="H10967" s="180"/>
      <c r="P10967" s="180" t="s">
        <v>257</v>
      </c>
      <c r="R10967" s="180" t="s">
        <v>257</v>
      </c>
    </row>
    <row r="10968" spans="8:18" x14ac:dyDescent="0.2">
      <c r="H10968" s="180"/>
      <c r="P10968" s="180" t="s">
        <v>257</v>
      </c>
      <c r="R10968" s="180" t="s">
        <v>257</v>
      </c>
    </row>
    <row r="10969" spans="8:18" x14ac:dyDescent="0.2">
      <c r="H10969" s="180"/>
      <c r="P10969" s="180" t="s">
        <v>257</v>
      </c>
      <c r="R10969" s="180" t="s">
        <v>257</v>
      </c>
    </row>
    <row r="10970" spans="8:18" x14ac:dyDescent="0.2">
      <c r="H10970" s="180"/>
      <c r="P10970" s="180" t="s">
        <v>257</v>
      </c>
      <c r="R10970" s="180" t="s">
        <v>257</v>
      </c>
    </row>
    <row r="10971" spans="8:18" x14ac:dyDescent="0.2">
      <c r="H10971" s="180"/>
      <c r="P10971" s="180" t="s">
        <v>257</v>
      </c>
      <c r="R10971" s="180" t="s">
        <v>257</v>
      </c>
    </row>
    <row r="10972" spans="8:18" x14ac:dyDescent="0.2">
      <c r="H10972" s="180"/>
      <c r="P10972" s="180" t="s">
        <v>257</v>
      </c>
      <c r="R10972" s="180" t="s">
        <v>257</v>
      </c>
    </row>
    <row r="10973" spans="8:18" x14ac:dyDescent="0.2">
      <c r="H10973" s="180"/>
      <c r="P10973" s="180" t="s">
        <v>257</v>
      </c>
      <c r="R10973" s="180" t="s">
        <v>257</v>
      </c>
    </row>
    <row r="10974" spans="8:18" x14ac:dyDescent="0.2">
      <c r="H10974" s="180"/>
      <c r="P10974" s="180" t="s">
        <v>257</v>
      </c>
      <c r="R10974" s="180" t="s">
        <v>257</v>
      </c>
    </row>
    <row r="10975" spans="8:18" x14ac:dyDescent="0.2">
      <c r="H10975" s="180"/>
      <c r="P10975" s="180" t="s">
        <v>257</v>
      </c>
      <c r="R10975" s="180" t="s">
        <v>257</v>
      </c>
    </row>
    <row r="10976" spans="8:18" x14ac:dyDescent="0.2">
      <c r="H10976" s="180"/>
      <c r="P10976" s="180" t="s">
        <v>257</v>
      </c>
      <c r="R10976" s="180" t="s">
        <v>257</v>
      </c>
    </row>
    <row r="10977" spans="8:18" x14ac:dyDescent="0.2">
      <c r="H10977" s="180"/>
      <c r="P10977" s="180" t="s">
        <v>257</v>
      </c>
      <c r="R10977" s="180" t="s">
        <v>257</v>
      </c>
    </row>
    <row r="10978" spans="8:18" x14ac:dyDescent="0.2">
      <c r="H10978" s="180"/>
      <c r="P10978" s="180" t="s">
        <v>257</v>
      </c>
      <c r="R10978" s="180" t="s">
        <v>257</v>
      </c>
    </row>
    <row r="10979" spans="8:18" x14ac:dyDescent="0.2">
      <c r="H10979" s="180"/>
      <c r="P10979" s="180" t="s">
        <v>257</v>
      </c>
      <c r="R10979" s="180" t="s">
        <v>257</v>
      </c>
    </row>
    <row r="10980" spans="8:18" x14ac:dyDescent="0.2">
      <c r="H10980" s="180"/>
      <c r="P10980" s="180" t="s">
        <v>257</v>
      </c>
      <c r="R10980" s="180" t="s">
        <v>257</v>
      </c>
    </row>
    <row r="10981" spans="8:18" x14ac:dyDescent="0.2">
      <c r="H10981" s="180"/>
      <c r="P10981" s="180" t="s">
        <v>257</v>
      </c>
      <c r="R10981" s="180" t="s">
        <v>257</v>
      </c>
    </row>
    <row r="10982" spans="8:18" x14ac:dyDescent="0.2">
      <c r="H10982" s="180"/>
      <c r="P10982" s="180" t="s">
        <v>257</v>
      </c>
      <c r="R10982" s="180" t="s">
        <v>257</v>
      </c>
    </row>
    <row r="10983" spans="8:18" x14ac:dyDescent="0.2">
      <c r="H10983" s="180"/>
      <c r="P10983" s="180" t="s">
        <v>257</v>
      </c>
      <c r="R10983" s="180" t="s">
        <v>257</v>
      </c>
    </row>
    <row r="10984" spans="8:18" x14ac:dyDescent="0.2">
      <c r="H10984" s="180"/>
      <c r="P10984" s="180" t="s">
        <v>257</v>
      </c>
      <c r="R10984" s="180" t="s">
        <v>257</v>
      </c>
    </row>
    <row r="10985" spans="8:18" x14ac:dyDescent="0.2">
      <c r="H10985" s="180"/>
      <c r="P10985" s="180" t="s">
        <v>257</v>
      </c>
      <c r="R10985" s="180" t="s">
        <v>257</v>
      </c>
    </row>
    <row r="10986" spans="8:18" x14ac:dyDescent="0.2">
      <c r="H10986" s="180"/>
      <c r="P10986" s="180" t="s">
        <v>257</v>
      </c>
      <c r="R10986" s="180" t="s">
        <v>257</v>
      </c>
    </row>
    <row r="10987" spans="8:18" x14ac:dyDescent="0.2">
      <c r="H10987" s="180"/>
      <c r="P10987" s="180" t="s">
        <v>257</v>
      </c>
      <c r="R10987" s="180" t="s">
        <v>257</v>
      </c>
    </row>
    <row r="10988" spans="8:18" x14ac:dyDescent="0.2">
      <c r="H10988" s="180"/>
      <c r="P10988" s="180" t="s">
        <v>257</v>
      </c>
      <c r="R10988" s="180" t="s">
        <v>257</v>
      </c>
    </row>
    <row r="10989" spans="8:18" x14ac:dyDescent="0.2">
      <c r="H10989" s="180"/>
      <c r="P10989" s="180" t="s">
        <v>257</v>
      </c>
      <c r="R10989" s="180" t="s">
        <v>257</v>
      </c>
    </row>
    <row r="10990" spans="8:18" x14ac:dyDescent="0.2">
      <c r="H10990" s="180"/>
      <c r="P10990" s="180" t="s">
        <v>257</v>
      </c>
      <c r="R10990" s="180" t="s">
        <v>257</v>
      </c>
    </row>
    <row r="10991" spans="8:18" x14ac:dyDescent="0.2">
      <c r="H10991" s="180"/>
      <c r="P10991" s="180" t="s">
        <v>257</v>
      </c>
      <c r="R10991" s="180" t="s">
        <v>257</v>
      </c>
    </row>
    <row r="10992" spans="8:18" x14ac:dyDescent="0.2">
      <c r="H10992" s="180"/>
      <c r="P10992" s="180" t="s">
        <v>257</v>
      </c>
      <c r="R10992" s="180" t="s">
        <v>257</v>
      </c>
    </row>
    <row r="10993" spans="8:18" x14ac:dyDescent="0.2">
      <c r="H10993" s="180"/>
      <c r="P10993" s="180" t="s">
        <v>257</v>
      </c>
      <c r="R10993" s="180" t="s">
        <v>257</v>
      </c>
    </row>
    <row r="10994" spans="8:18" x14ac:dyDescent="0.2">
      <c r="H10994" s="180"/>
      <c r="P10994" s="180" t="s">
        <v>257</v>
      </c>
      <c r="R10994" s="180" t="s">
        <v>257</v>
      </c>
    </row>
    <row r="10995" spans="8:18" x14ac:dyDescent="0.2">
      <c r="H10995" s="180"/>
      <c r="P10995" s="180" t="s">
        <v>257</v>
      </c>
      <c r="R10995" s="180" t="s">
        <v>257</v>
      </c>
    </row>
    <row r="10996" spans="8:18" x14ac:dyDescent="0.2">
      <c r="H10996" s="180"/>
      <c r="P10996" s="180" t="s">
        <v>257</v>
      </c>
      <c r="R10996" s="180" t="s">
        <v>257</v>
      </c>
    </row>
    <row r="10997" spans="8:18" x14ac:dyDescent="0.2">
      <c r="H10997" s="180"/>
      <c r="P10997" s="180" t="s">
        <v>257</v>
      </c>
      <c r="R10997" s="180" t="s">
        <v>257</v>
      </c>
    </row>
    <row r="10998" spans="8:18" x14ac:dyDescent="0.2">
      <c r="H10998" s="180"/>
      <c r="P10998" s="180" t="s">
        <v>257</v>
      </c>
      <c r="R10998" s="180" t="s">
        <v>257</v>
      </c>
    </row>
    <row r="10999" spans="8:18" x14ac:dyDescent="0.2">
      <c r="H10999" s="180"/>
      <c r="P10999" s="180" t="s">
        <v>257</v>
      </c>
      <c r="R10999" s="180" t="s">
        <v>257</v>
      </c>
    </row>
    <row r="11000" spans="8:18" x14ac:dyDescent="0.2">
      <c r="H11000" s="180"/>
      <c r="P11000" s="180" t="s">
        <v>257</v>
      </c>
      <c r="R11000" s="180" t="s">
        <v>257</v>
      </c>
    </row>
    <row r="11001" spans="8:18" x14ac:dyDescent="0.2">
      <c r="H11001" s="180"/>
      <c r="P11001" s="180" t="s">
        <v>257</v>
      </c>
      <c r="R11001" s="180" t="s">
        <v>257</v>
      </c>
    </row>
    <row r="11002" spans="8:18" x14ac:dyDescent="0.2">
      <c r="H11002" s="180"/>
      <c r="P11002" s="180" t="s">
        <v>257</v>
      </c>
      <c r="R11002" s="180" t="s">
        <v>257</v>
      </c>
    </row>
    <row r="11003" spans="8:18" x14ac:dyDescent="0.2">
      <c r="H11003" s="180"/>
      <c r="P11003" s="180" t="s">
        <v>257</v>
      </c>
      <c r="R11003" s="180" t="s">
        <v>257</v>
      </c>
    </row>
    <row r="11004" spans="8:18" x14ac:dyDescent="0.2">
      <c r="H11004" s="180"/>
      <c r="P11004" s="180" t="s">
        <v>257</v>
      </c>
      <c r="R11004" s="180" t="s">
        <v>257</v>
      </c>
    </row>
    <row r="11005" spans="8:18" x14ac:dyDescent="0.2">
      <c r="H11005" s="180"/>
      <c r="P11005" s="180" t="s">
        <v>257</v>
      </c>
      <c r="R11005" s="180" t="s">
        <v>257</v>
      </c>
    </row>
    <row r="11006" spans="8:18" x14ac:dyDescent="0.2">
      <c r="H11006" s="180"/>
      <c r="P11006" s="180" t="s">
        <v>257</v>
      </c>
      <c r="R11006" s="180" t="s">
        <v>257</v>
      </c>
    </row>
    <row r="11007" spans="8:18" x14ac:dyDescent="0.2">
      <c r="H11007" s="180"/>
      <c r="P11007" s="180" t="s">
        <v>257</v>
      </c>
      <c r="R11007" s="180" t="s">
        <v>257</v>
      </c>
    </row>
    <row r="11008" spans="8:18" x14ac:dyDescent="0.2">
      <c r="H11008" s="180"/>
      <c r="P11008" s="180" t="s">
        <v>257</v>
      </c>
      <c r="R11008" s="180" t="s">
        <v>257</v>
      </c>
    </row>
    <row r="11009" spans="8:18" x14ac:dyDescent="0.2">
      <c r="H11009" s="180"/>
      <c r="P11009" s="180" t="s">
        <v>257</v>
      </c>
      <c r="R11009" s="180" t="s">
        <v>257</v>
      </c>
    </row>
    <row r="11010" spans="8:18" x14ac:dyDescent="0.2">
      <c r="H11010" s="180"/>
      <c r="P11010" s="180" t="s">
        <v>257</v>
      </c>
      <c r="R11010" s="180" t="s">
        <v>257</v>
      </c>
    </row>
    <row r="11011" spans="8:18" x14ac:dyDescent="0.2">
      <c r="H11011" s="180"/>
      <c r="P11011" s="180" t="s">
        <v>257</v>
      </c>
      <c r="R11011" s="180" t="s">
        <v>257</v>
      </c>
    </row>
    <row r="11012" spans="8:18" x14ac:dyDescent="0.2">
      <c r="H11012" s="180"/>
      <c r="P11012" s="180" t="s">
        <v>257</v>
      </c>
      <c r="R11012" s="180" t="s">
        <v>257</v>
      </c>
    </row>
    <row r="11013" spans="8:18" x14ac:dyDescent="0.2">
      <c r="H11013" s="180"/>
      <c r="P11013" s="180" t="s">
        <v>257</v>
      </c>
      <c r="R11013" s="180" t="s">
        <v>257</v>
      </c>
    </row>
    <row r="11014" spans="8:18" x14ac:dyDescent="0.2">
      <c r="H11014" s="180"/>
      <c r="P11014" s="180" t="s">
        <v>257</v>
      </c>
      <c r="R11014" s="180" t="s">
        <v>257</v>
      </c>
    </row>
    <row r="11015" spans="8:18" x14ac:dyDescent="0.2">
      <c r="H11015" s="180"/>
      <c r="P11015" s="180" t="s">
        <v>257</v>
      </c>
      <c r="R11015" s="180" t="s">
        <v>257</v>
      </c>
    </row>
    <row r="11016" spans="8:18" x14ac:dyDescent="0.2">
      <c r="H11016" s="180"/>
      <c r="P11016" s="180" t="s">
        <v>257</v>
      </c>
      <c r="R11016" s="180" t="s">
        <v>257</v>
      </c>
    </row>
    <row r="11017" spans="8:18" x14ac:dyDescent="0.2">
      <c r="H11017" s="180"/>
      <c r="P11017" s="180" t="s">
        <v>257</v>
      </c>
      <c r="R11017" s="180" t="s">
        <v>257</v>
      </c>
    </row>
    <row r="11018" spans="8:18" x14ac:dyDescent="0.2">
      <c r="H11018" s="180"/>
      <c r="P11018" s="180" t="s">
        <v>257</v>
      </c>
      <c r="R11018" s="180" t="s">
        <v>257</v>
      </c>
    </row>
    <row r="11019" spans="8:18" x14ac:dyDescent="0.2">
      <c r="H11019" s="180"/>
      <c r="P11019" s="180" t="s">
        <v>257</v>
      </c>
      <c r="R11019" s="180" t="s">
        <v>257</v>
      </c>
    </row>
    <row r="11020" spans="8:18" x14ac:dyDescent="0.2">
      <c r="H11020" s="180"/>
      <c r="P11020" s="180" t="s">
        <v>257</v>
      </c>
      <c r="R11020" s="180" t="s">
        <v>257</v>
      </c>
    </row>
    <row r="11021" spans="8:18" x14ac:dyDescent="0.2">
      <c r="H11021" s="180"/>
      <c r="P11021" s="180" t="s">
        <v>257</v>
      </c>
      <c r="R11021" s="180" t="s">
        <v>257</v>
      </c>
    </row>
    <row r="11022" spans="8:18" x14ac:dyDescent="0.2">
      <c r="H11022" s="180"/>
      <c r="P11022" s="180" t="s">
        <v>257</v>
      </c>
      <c r="R11022" s="180" t="s">
        <v>257</v>
      </c>
    </row>
    <row r="11023" spans="8:18" x14ac:dyDescent="0.2">
      <c r="H11023" s="180"/>
      <c r="P11023" s="180" t="s">
        <v>257</v>
      </c>
      <c r="R11023" s="180" t="s">
        <v>257</v>
      </c>
    </row>
    <row r="11024" spans="8:18" x14ac:dyDescent="0.2">
      <c r="H11024" s="180"/>
      <c r="P11024" s="180" t="s">
        <v>257</v>
      </c>
      <c r="R11024" s="180" t="s">
        <v>257</v>
      </c>
    </row>
    <row r="11025" spans="8:18" x14ac:dyDescent="0.2">
      <c r="H11025" s="180"/>
      <c r="P11025" s="180" t="s">
        <v>257</v>
      </c>
      <c r="R11025" s="180" t="s">
        <v>257</v>
      </c>
    </row>
    <row r="11026" spans="8:18" x14ac:dyDescent="0.2">
      <c r="H11026" s="180"/>
      <c r="P11026" s="180" t="s">
        <v>257</v>
      </c>
      <c r="R11026" s="180" t="s">
        <v>257</v>
      </c>
    </row>
    <row r="11027" spans="8:18" x14ac:dyDescent="0.2">
      <c r="H11027" s="180"/>
      <c r="P11027" s="180" t="s">
        <v>257</v>
      </c>
      <c r="R11027" s="180" t="s">
        <v>257</v>
      </c>
    </row>
    <row r="11028" spans="8:18" x14ac:dyDescent="0.2">
      <c r="H11028" s="180"/>
      <c r="P11028" s="180" t="s">
        <v>257</v>
      </c>
      <c r="R11028" s="180" t="s">
        <v>257</v>
      </c>
    </row>
    <row r="11029" spans="8:18" x14ac:dyDescent="0.2">
      <c r="H11029" s="180"/>
      <c r="P11029" s="180" t="s">
        <v>257</v>
      </c>
      <c r="R11029" s="180" t="s">
        <v>257</v>
      </c>
    </row>
    <row r="11030" spans="8:18" x14ac:dyDescent="0.2">
      <c r="H11030" s="180"/>
      <c r="P11030" s="180" t="s">
        <v>257</v>
      </c>
      <c r="R11030" s="180" t="s">
        <v>257</v>
      </c>
    </row>
    <row r="11031" spans="8:18" x14ac:dyDescent="0.2">
      <c r="H11031" s="180"/>
      <c r="P11031" s="180" t="s">
        <v>257</v>
      </c>
      <c r="R11031" s="180" t="s">
        <v>257</v>
      </c>
    </row>
    <row r="11032" spans="8:18" x14ac:dyDescent="0.2">
      <c r="H11032" s="180"/>
      <c r="P11032" s="180" t="s">
        <v>257</v>
      </c>
      <c r="R11032" s="180" t="s">
        <v>257</v>
      </c>
    </row>
    <row r="11033" spans="8:18" x14ac:dyDescent="0.2">
      <c r="H11033" s="180"/>
      <c r="P11033" s="180" t="s">
        <v>257</v>
      </c>
      <c r="R11033" s="180" t="s">
        <v>257</v>
      </c>
    </row>
    <row r="11034" spans="8:18" x14ac:dyDescent="0.2">
      <c r="H11034" s="180"/>
      <c r="P11034" s="180" t="s">
        <v>257</v>
      </c>
      <c r="R11034" s="180" t="s">
        <v>257</v>
      </c>
    </row>
    <row r="11035" spans="8:18" x14ac:dyDescent="0.2">
      <c r="H11035" s="180"/>
      <c r="P11035" s="180" t="s">
        <v>257</v>
      </c>
      <c r="R11035" s="180" t="s">
        <v>257</v>
      </c>
    </row>
    <row r="11036" spans="8:18" x14ac:dyDescent="0.2">
      <c r="H11036" s="180"/>
      <c r="P11036" s="180" t="s">
        <v>257</v>
      </c>
      <c r="R11036" s="180" t="s">
        <v>257</v>
      </c>
    </row>
    <row r="11037" spans="8:18" x14ac:dyDescent="0.2">
      <c r="H11037" s="180"/>
      <c r="P11037" s="180" t="s">
        <v>257</v>
      </c>
      <c r="R11037" s="180" t="s">
        <v>257</v>
      </c>
    </row>
    <row r="11038" spans="8:18" x14ac:dyDescent="0.2">
      <c r="H11038" s="180"/>
      <c r="P11038" s="180" t="s">
        <v>257</v>
      </c>
      <c r="R11038" s="180" t="s">
        <v>257</v>
      </c>
    </row>
    <row r="11039" spans="8:18" x14ac:dyDescent="0.2">
      <c r="H11039" s="180"/>
      <c r="P11039" s="180" t="s">
        <v>257</v>
      </c>
      <c r="R11039" s="180" t="s">
        <v>257</v>
      </c>
    </row>
    <row r="11040" spans="8:18" x14ac:dyDescent="0.2">
      <c r="H11040" s="180"/>
      <c r="P11040" s="180" t="s">
        <v>257</v>
      </c>
      <c r="R11040" s="180" t="s">
        <v>257</v>
      </c>
    </row>
    <row r="11041" spans="8:18" x14ac:dyDescent="0.2">
      <c r="H11041" s="180"/>
      <c r="P11041" s="180" t="s">
        <v>257</v>
      </c>
      <c r="R11041" s="180" t="s">
        <v>257</v>
      </c>
    </row>
    <row r="11042" spans="8:18" x14ac:dyDescent="0.2">
      <c r="H11042" s="180"/>
      <c r="P11042" s="180" t="s">
        <v>257</v>
      </c>
      <c r="R11042" s="180" t="s">
        <v>257</v>
      </c>
    </row>
    <row r="11043" spans="8:18" x14ac:dyDescent="0.2">
      <c r="H11043" s="180"/>
      <c r="P11043" s="180" t="s">
        <v>257</v>
      </c>
      <c r="R11043" s="180" t="s">
        <v>257</v>
      </c>
    </row>
    <row r="11044" spans="8:18" x14ac:dyDescent="0.2">
      <c r="H11044" s="180"/>
      <c r="P11044" s="180" t="s">
        <v>257</v>
      </c>
      <c r="R11044" s="180" t="s">
        <v>257</v>
      </c>
    </row>
    <row r="11045" spans="8:18" x14ac:dyDescent="0.2">
      <c r="H11045" s="180"/>
      <c r="P11045" s="180" t="s">
        <v>257</v>
      </c>
      <c r="R11045" s="180" t="s">
        <v>257</v>
      </c>
    </row>
    <row r="11046" spans="8:18" x14ac:dyDescent="0.2">
      <c r="H11046" s="180"/>
      <c r="P11046" s="180" t="s">
        <v>257</v>
      </c>
      <c r="R11046" s="180" t="s">
        <v>257</v>
      </c>
    </row>
    <row r="11047" spans="8:18" x14ac:dyDescent="0.2">
      <c r="H11047" s="180"/>
      <c r="P11047" s="180" t="s">
        <v>257</v>
      </c>
      <c r="R11047" s="180" t="s">
        <v>257</v>
      </c>
    </row>
    <row r="11048" spans="8:18" x14ac:dyDescent="0.2">
      <c r="H11048" s="180"/>
      <c r="P11048" s="180" t="s">
        <v>257</v>
      </c>
      <c r="R11048" s="180" t="s">
        <v>257</v>
      </c>
    </row>
    <row r="11049" spans="8:18" x14ac:dyDescent="0.2">
      <c r="H11049" s="180"/>
      <c r="P11049" s="180" t="s">
        <v>257</v>
      </c>
      <c r="R11049" s="180" t="s">
        <v>257</v>
      </c>
    </row>
    <row r="11050" spans="8:18" x14ac:dyDescent="0.2">
      <c r="H11050" s="180"/>
      <c r="P11050" s="180" t="s">
        <v>257</v>
      </c>
      <c r="R11050" s="180" t="s">
        <v>257</v>
      </c>
    </row>
    <row r="11051" spans="8:18" x14ac:dyDescent="0.2">
      <c r="H11051" s="180"/>
      <c r="P11051" s="180" t="s">
        <v>257</v>
      </c>
      <c r="R11051" s="180" t="s">
        <v>257</v>
      </c>
    </row>
    <row r="11052" spans="8:18" x14ac:dyDescent="0.2">
      <c r="H11052" s="180"/>
      <c r="P11052" s="180" t="s">
        <v>257</v>
      </c>
      <c r="R11052" s="180" t="s">
        <v>257</v>
      </c>
    </row>
    <row r="11053" spans="8:18" x14ac:dyDescent="0.2">
      <c r="H11053" s="180"/>
      <c r="P11053" s="180" t="s">
        <v>257</v>
      </c>
      <c r="R11053" s="180" t="s">
        <v>257</v>
      </c>
    </row>
    <row r="11054" spans="8:18" x14ac:dyDescent="0.2">
      <c r="H11054" s="180"/>
      <c r="P11054" s="180" t="s">
        <v>257</v>
      </c>
      <c r="R11054" s="180" t="s">
        <v>257</v>
      </c>
    </row>
    <row r="11055" spans="8:18" x14ac:dyDescent="0.2">
      <c r="H11055" s="180"/>
      <c r="P11055" s="180" t="s">
        <v>257</v>
      </c>
      <c r="R11055" s="180" t="s">
        <v>257</v>
      </c>
    </row>
    <row r="11056" spans="8:18" x14ac:dyDescent="0.2">
      <c r="H11056" s="180"/>
      <c r="P11056" s="180" t="s">
        <v>257</v>
      </c>
      <c r="R11056" s="180" t="s">
        <v>257</v>
      </c>
    </row>
    <row r="11057" spans="8:18" x14ac:dyDescent="0.2">
      <c r="H11057" s="180"/>
      <c r="P11057" s="180" t="s">
        <v>257</v>
      </c>
      <c r="R11057" s="180" t="s">
        <v>257</v>
      </c>
    </row>
    <row r="11058" spans="8:18" x14ac:dyDescent="0.2">
      <c r="H11058" s="180"/>
      <c r="P11058" s="180" t="s">
        <v>257</v>
      </c>
      <c r="R11058" s="180" t="s">
        <v>257</v>
      </c>
    </row>
    <row r="11059" spans="8:18" x14ac:dyDescent="0.2">
      <c r="H11059" s="180"/>
      <c r="P11059" s="180" t="s">
        <v>257</v>
      </c>
      <c r="R11059" s="180" t="s">
        <v>257</v>
      </c>
    </row>
    <row r="11060" spans="8:18" x14ac:dyDescent="0.2">
      <c r="H11060" s="180"/>
      <c r="P11060" s="180" t="s">
        <v>257</v>
      </c>
      <c r="R11060" s="180" t="s">
        <v>257</v>
      </c>
    </row>
    <row r="11061" spans="8:18" x14ac:dyDescent="0.2">
      <c r="H11061" s="180"/>
      <c r="P11061" s="180" t="s">
        <v>257</v>
      </c>
      <c r="R11061" s="180" t="s">
        <v>257</v>
      </c>
    </row>
    <row r="11062" spans="8:18" x14ac:dyDescent="0.2">
      <c r="H11062" s="180"/>
      <c r="P11062" s="180" t="s">
        <v>257</v>
      </c>
      <c r="R11062" s="180" t="s">
        <v>257</v>
      </c>
    </row>
    <row r="11063" spans="8:18" x14ac:dyDescent="0.2">
      <c r="H11063" s="180"/>
      <c r="P11063" s="180" t="s">
        <v>257</v>
      </c>
      <c r="R11063" s="180" t="s">
        <v>257</v>
      </c>
    </row>
    <row r="11064" spans="8:18" x14ac:dyDescent="0.2">
      <c r="H11064" s="180"/>
      <c r="P11064" s="180" t="s">
        <v>257</v>
      </c>
      <c r="R11064" s="180" t="s">
        <v>257</v>
      </c>
    </row>
    <row r="11065" spans="8:18" x14ac:dyDescent="0.2">
      <c r="H11065" s="180"/>
      <c r="P11065" s="180" t="s">
        <v>257</v>
      </c>
      <c r="R11065" s="180" t="s">
        <v>257</v>
      </c>
    </row>
    <row r="11066" spans="8:18" x14ac:dyDescent="0.2">
      <c r="H11066" s="180"/>
      <c r="P11066" s="180" t="s">
        <v>257</v>
      </c>
      <c r="R11066" s="180" t="s">
        <v>257</v>
      </c>
    </row>
    <row r="11067" spans="8:18" x14ac:dyDescent="0.2">
      <c r="H11067" s="180"/>
      <c r="P11067" s="180" t="s">
        <v>257</v>
      </c>
      <c r="R11067" s="180" t="s">
        <v>257</v>
      </c>
    </row>
    <row r="11068" spans="8:18" x14ac:dyDescent="0.2">
      <c r="H11068" s="180"/>
      <c r="P11068" s="180" t="s">
        <v>257</v>
      </c>
      <c r="R11068" s="180" t="s">
        <v>257</v>
      </c>
    </row>
    <row r="11069" spans="8:18" x14ac:dyDescent="0.2">
      <c r="H11069" s="180"/>
      <c r="P11069" s="180" t="s">
        <v>257</v>
      </c>
      <c r="R11069" s="180" t="s">
        <v>257</v>
      </c>
    </row>
    <row r="11070" spans="8:18" x14ac:dyDescent="0.2">
      <c r="H11070" s="180"/>
      <c r="P11070" s="180" t="s">
        <v>257</v>
      </c>
      <c r="R11070" s="180" t="s">
        <v>257</v>
      </c>
    </row>
    <row r="11071" spans="8:18" x14ac:dyDescent="0.2">
      <c r="H11071" s="180"/>
      <c r="P11071" s="180" t="s">
        <v>257</v>
      </c>
      <c r="R11071" s="180" t="s">
        <v>257</v>
      </c>
    </row>
    <row r="11072" spans="8:18" x14ac:dyDescent="0.2">
      <c r="H11072" s="180"/>
      <c r="P11072" s="180" t="s">
        <v>257</v>
      </c>
      <c r="R11072" s="180" t="s">
        <v>257</v>
      </c>
    </row>
    <row r="11073" spans="8:18" x14ac:dyDescent="0.2">
      <c r="H11073" s="180"/>
      <c r="P11073" s="180" t="s">
        <v>257</v>
      </c>
      <c r="R11073" s="180" t="s">
        <v>257</v>
      </c>
    </row>
    <row r="11074" spans="8:18" x14ac:dyDescent="0.2">
      <c r="H11074" s="180"/>
      <c r="P11074" s="180" t="s">
        <v>257</v>
      </c>
      <c r="R11074" s="180" t="s">
        <v>257</v>
      </c>
    </row>
    <row r="11075" spans="8:18" x14ac:dyDescent="0.2">
      <c r="H11075" s="180"/>
      <c r="P11075" s="180" t="s">
        <v>257</v>
      </c>
      <c r="R11075" s="180" t="s">
        <v>257</v>
      </c>
    </row>
    <row r="11076" spans="8:18" x14ac:dyDescent="0.2">
      <c r="H11076" s="180"/>
      <c r="P11076" s="180" t="s">
        <v>257</v>
      </c>
      <c r="R11076" s="180" t="s">
        <v>257</v>
      </c>
    </row>
    <row r="11077" spans="8:18" x14ac:dyDescent="0.2">
      <c r="H11077" s="180"/>
      <c r="P11077" s="180" t="s">
        <v>257</v>
      </c>
      <c r="R11077" s="180" t="s">
        <v>257</v>
      </c>
    </row>
    <row r="11078" spans="8:18" x14ac:dyDescent="0.2">
      <c r="H11078" s="180"/>
      <c r="P11078" s="180" t="s">
        <v>257</v>
      </c>
      <c r="R11078" s="180" t="s">
        <v>257</v>
      </c>
    </row>
    <row r="11079" spans="8:18" x14ac:dyDescent="0.2">
      <c r="H11079" s="180"/>
      <c r="P11079" s="180" t="s">
        <v>257</v>
      </c>
      <c r="R11079" s="180" t="s">
        <v>257</v>
      </c>
    </row>
    <row r="11080" spans="8:18" x14ac:dyDescent="0.2">
      <c r="H11080" s="180"/>
      <c r="P11080" s="180" t="s">
        <v>257</v>
      </c>
      <c r="R11080" s="180" t="s">
        <v>257</v>
      </c>
    </row>
    <row r="11081" spans="8:18" x14ac:dyDescent="0.2">
      <c r="H11081" s="180"/>
      <c r="P11081" s="180" t="s">
        <v>257</v>
      </c>
      <c r="R11081" s="180" t="s">
        <v>257</v>
      </c>
    </row>
    <row r="11082" spans="8:18" x14ac:dyDescent="0.2">
      <c r="H11082" s="180"/>
      <c r="P11082" s="180" t="s">
        <v>257</v>
      </c>
      <c r="R11082" s="180" t="s">
        <v>257</v>
      </c>
    </row>
    <row r="11083" spans="8:18" x14ac:dyDescent="0.2">
      <c r="H11083" s="180"/>
      <c r="P11083" s="180" t="s">
        <v>257</v>
      </c>
      <c r="R11083" s="180" t="s">
        <v>257</v>
      </c>
    </row>
    <row r="11084" spans="8:18" x14ac:dyDescent="0.2">
      <c r="H11084" s="180"/>
      <c r="P11084" s="180" t="s">
        <v>257</v>
      </c>
      <c r="R11084" s="180" t="s">
        <v>257</v>
      </c>
    </row>
    <row r="11085" spans="8:18" x14ac:dyDescent="0.2">
      <c r="H11085" s="180"/>
      <c r="P11085" s="180" t="s">
        <v>257</v>
      </c>
      <c r="R11085" s="180" t="s">
        <v>257</v>
      </c>
    </row>
    <row r="11086" spans="8:18" x14ac:dyDescent="0.2">
      <c r="H11086" s="180"/>
      <c r="P11086" s="180" t="s">
        <v>257</v>
      </c>
      <c r="R11086" s="180" t="s">
        <v>257</v>
      </c>
    </row>
    <row r="11087" spans="8:18" x14ac:dyDescent="0.2">
      <c r="H11087" s="180"/>
      <c r="P11087" s="180" t="s">
        <v>257</v>
      </c>
      <c r="R11087" s="180" t="s">
        <v>257</v>
      </c>
    </row>
    <row r="11088" spans="8:18" x14ac:dyDescent="0.2">
      <c r="H11088" s="180"/>
      <c r="P11088" s="180" t="s">
        <v>257</v>
      </c>
      <c r="R11088" s="180" t="s">
        <v>257</v>
      </c>
    </row>
    <row r="11089" spans="8:18" x14ac:dyDescent="0.2">
      <c r="H11089" s="180"/>
      <c r="P11089" s="180" t="s">
        <v>257</v>
      </c>
      <c r="R11089" s="180" t="s">
        <v>257</v>
      </c>
    </row>
    <row r="11090" spans="8:18" x14ac:dyDescent="0.2">
      <c r="H11090" s="180"/>
      <c r="P11090" s="180" t="s">
        <v>257</v>
      </c>
      <c r="R11090" s="180" t="s">
        <v>257</v>
      </c>
    </row>
    <row r="11091" spans="8:18" x14ac:dyDescent="0.2">
      <c r="H11091" s="180"/>
      <c r="P11091" s="180" t="s">
        <v>257</v>
      </c>
      <c r="R11091" s="180" t="s">
        <v>257</v>
      </c>
    </row>
    <row r="11092" spans="8:18" x14ac:dyDescent="0.2">
      <c r="H11092" s="180"/>
      <c r="P11092" s="180" t="s">
        <v>257</v>
      </c>
      <c r="R11092" s="180" t="s">
        <v>257</v>
      </c>
    </row>
    <row r="11093" spans="8:18" x14ac:dyDescent="0.2">
      <c r="H11093" s="180"/>
      <c r="P11093" s="180" t="s">
        <v>257</v>
      </c>
      <c r="R11093" s="180" t="s">
        <v>257</v>
      </c>
    </row>
    <row r="11094" spans="8:18" x14ac:dyDescent="0.2">
      <c r="H11094" s="180"/>
      <c r="P11094" s="180" t="s">
        <v>257</v>
      </c>
      <c r="R11094" s="180" t="s">
        <v>257</v>
      </c>
    </row>
    <row r="11095" spans="8:18" x14ac:dyDescent="0.2">
      <c r="H11095" s="180"/>
      <c r="P11095" s="180" t="s">
        <v>257</v>
      </c>
      <c r="R11095" s="180" t="s">
        <v>257</v>
      </c>
    </row>
    <row r="11096" spans="8:18" x14ac:dyDescent="0.2">
      <c r="H11096" s="180"/>
      <c r="P11096" s="180" t="s">
        <v>257</v>
      </c>
      <c r="R11096" s="180" t="s">
        <v>257</v>
      </c>
    </row>
    <row r="11097" spans="8:18" x14ac:dyDescent="0.2">
      <c r="H11097" s="180"/>
      <c r="P11097" s="180" t="s">
        <v>257</v>
      </c>
      <c r="R11097" s="180" t="s">
        <v>257</v>
      </c>
    </row>
    <row r="11098" spans="8:18" x14ac:dyDescent="0.2">
      <c r="H11098" s="180"/>
      <c r="P11098" s="180" t="s">
        <v>257</v>
      </c>
      <c r="R11098" s="180" t="s">
        <v>257</v>
      </c>
    </row>
    <row r="11099" spans="8:18" x14ac:dyDescent="0.2">
      <c r="H11099" s="180"/>
      <c r="P11099" s="180" t="s">
        <v>257</v>
      </c>
      <c r="R11099" s="180" t="s">
        <v>257</v>
      </c>
    </row>
    <row r="11100" spans="8:18" x14ac:dyDescent="0.2">
      <c r="H11100" s="180"/>
      <c r="P11100" s="180" t="s">
        <v>257</v>
      </c>
      <c r="R11100" s="180" t="s">
        <v>257</v>
      </c>
    </row>
    <row r="11101" spans="8:18" x14ac:dyDescent="0.2">
      <c r="H11101" s="180"/>
      <c r="P11101" s="180" t="s">
        <v>257</v>
      </c>
      <c r="R11101" s="180" t="s">
        <v>257</v>
      </c>
    </row>
    <row r="11102" spans="8:18" x14ac:dyDescent="0.2">
      <c r="H11102" s="180"/>
      <c r="P11102" s="180" t="s">
        <v>257</v>
      </c>
      <c r="R11102" s="180" t="s">
        <v>257</v>
      </c>
    </row>
    <row r="11103" spans="8:18" x14ac:dyDescent="0.2">
      <c r="H11103" s="180"/>
      <c r="P11103" s="180" t="s">
        <v>257</v>
      </c>
      <c r="R11103" s="180" t="s">
        <v>257</v>
      </c>
    </row>
    <row r="11104" spans="8:18" x14ac:dyDescent="0.2">
      <c r="H11104" s="180"/>
      <c r="P11104" s="180" t="s">
        <v>257</v>
      </c>
      <c r="R11104" s="180" t="s">
        <v>257</v>
      </c>
    </row>
    <row r="11105" spans="8:18" x14ac:dyDescent="0.2">
      <c r="H11105" s="180"/>
      <c r="P11105" s="180" t="s">
        <v>257</v>
      </c>
      <c r="R11105" s="180" t="s">
        <v>257</v>
      </c>
    </row>
    <row r="11106" spans="8:18" x14ac:dyDescent="0.2">
      <c r="H11106" s="180"/>
      <c r="P11106" s="180" t="s">
        <v>257</v>
      </c>
      <c r="R11106" s="180" t="s">
        <v>257</v>
      </c>
    </row>
    <row r="11107" spans="8:18" x14ac:dyDescent="0.2">
      <c r="H11107" s="180"/>
      <c r="P11107" s="180" t="s">
        <v>257</v>
      </c>
      <c r="R11107" s="180" t="s">
        <v>257</v>
      </c>
    </row>
    <row r="11108" spans="8:18" x14ac:dyDescent="0.2">
      <c r="H11108" s="180"/>
      <c r="P11108" s="180" t="s">
        <v>257</v>
      </c>
      <c r="R11108" s="180" t="s">
        <v>257</v>
      </c>
    </row>
    <row r="11109" spans="8:18" x14ac:dyDescent="0.2">
      <c r="H11109" s="180"/>
      <c r="P11109" s="180" t="s">
        <v>257</v>
      </c>
      <c r="R11109" s="180" t="s">
        <v>257</v>
      </c>
    </row>
    <row r="11110" spans="8:18" x14ac:dyDescent="0.2">
      <c r="H11110" s="180"/>
      <c r="P11110" s="180" t="s">
        <v>257</v>
      </c>
      <c r="R11110" s="180" t="s">
        <v>257</v>
      </c>
    </row>
    <row r="11111" spans="8:18" x14ac:dyDescent="0.2">
      <c r="H11111" s="180"/>
      <c r="P11111" s="180" t="s">
        <v>257</v>
      </c>
      <c r="R11111" s="180" t="s">
        <v>257</v>
      </c>
    </row>
    <row r="11112" spans="8:18" x14ac:dyDescent="0.2">
      <c r="H11112" s="180"/>
      <c r="P11112" s="180" t="s">
        <v>257</v>
      </c>
      <c r="R11112" s="180" t="s">
        <v>257</v>
      </c>
    </row>
    <row r="11113" spans="8:18" x14ac:dyDescent="0.2">
      <c r="H11113" s="180"/>
      <c r="P11113" s="180" t="s">
        <v>257</v>
      </c>
      <c r="R11113" s="180" t="s">
        <v>257</v>
      </c>
    </row>
    <row r="11114" spans="8:18" x14ac:dyDescent="0.2">
      <c r="H11114" s="180"/>
      <c r="P11114" s="180" t="s">
        <v>257</v>
      </c>
      <c r="R11114" s="180" t="s">
        <v>257</v>
      </c>
    </row>
    <row r="11115" spans="8:18" x14ac:dyDescent="0.2">
      <c r="H11115" s="180"/>
      <c r="P11115" s="180" t="s">
        <v>257</v>
      </c>
      <c r="R11115" s="180" t="s">
        <v>257</v>
      </c>
    </row>
    <row r="11116" spans="8:18" x14ac:dyDescent="0.2">
      <c r="H11116" s="180"/>
      <c r="P11116" s="180" t="s">
        <v>257</v>
      </c>
      <c r="R11116" s="180" t="s">
        <v>257</v>
      </c>
    </row>
    <row r="11117" spans="8:18" x14ac:dyDescent="0.2">
      <c r="H11117" s="180"/>
      <c r="P11117" s="180" t="s">
        <v>257</v>
      </c>
      <c r="R11117" s="180" t="s">
        <v>257</v>
      </c>
    </row>
    <row r="11118" spans="8:18" x14ac:dyDescent="0.2">
      <c r="H11118" s="180"/>
      <c r="P11118" s="180" t="s">
        <v>257</v>
      </c>
      <c r="R11118" s="180" t="s">
        <v>257</v>
      </c>
    </row>
    <row r="11119" spans="8:18" x14ac:dyDescent="0.2">
      <c r="H11119" s="180"/>
      <c r="P11119" s="180" t="s">
        <v>257</v>
      </c>
      <c r="R11119" s="180" t="s">
        <v>257</v>
      </c>
    </row>
    <row r="11120" spans="8:18" x14ac:dyDescent="0.2">
      <c r="H11120" s="180"/>
      <c r="P11120" s="180" t="s">
        <v>257</v>
      </c>
      <c r="R11120" s="180" t="s">
        <v>257</v>
      </c>
    </row>
    <row r="11121" spans="8:18" x14ac:dyDescent="0.2">
      <c r="H11121" s="180"/>
      <c r="P11121" s="180" t="s">
        <v>257</v>
      </c>
      <c r="R11121" s="180" t="s">
        <v>257</v>
      </c>
    </row>
    <row r="11122" spans="8:18" x14ac:dyDescent="0.2">
      <c r="H11122" s="180"/>
      <c r="P11122" s="180" t="s">
        <v>257</v>
      </c>
      <c r="R11122" s="180" t="s">
        <v>257</v>
      </c>
    </row>
    <row r="11123" spans="8:18" x14ac:dyDescent="0.2">
      <c r="H11123" s="180"/>
      <c r="P11123" s="180" t="s">
        <v>257</v>
      </c>
      <c r="R11123" s="180" t="s">
        <v>257</v>
      </c>
    </row>
    <row r="11124" spans="8:18" x14ac:dyDescent="0.2">
      <c r="H11124" s="180"/>
      <c r="P11124" s="180" t="s">
        <v>257</v>
      </c>
      <c r="R11124" s="180" t="s">
        <v>257</v>
      </c>
    </row>
    <row r="11125" spans="8:18" x14ac:dyDescent="0.2">
      <c r="H11125" s="180"/>
      <c r="P11125" s="180" t="s">
        <v>257</v>
      </c>
      <c r="R11125" s="180" t="s">
        <v>257</v>
      </c>
    </row>
    <row r="11126" spans="8:18" x14ac:dyDescent="0.2">
      <c r="H11126" s="180"/>
      <c r="P11126" s="180" t="s">
        <v>257</v>
      </c>
      <c r="R11126" s="180" t="s">
        <v>257</v>
      </c>
    </row>
    <row r="11127" spans="8:18" x14ac:dyDescent="0.2">
      <c r="H11127" s="180"/>
      <c r="P11127" s="180" t="s">
        <v>257</v>
      </c>
      <c r="R11127" s="180" t="s">
        <v>257</v>
      </c>
    </row>
    <row r="11128" spans="8:18" x14ac:dyDescent="0.2">
      <c r="H11128" s="180"/>
      <c r="P11128" s="180" t="s">
        <v>257</v>
      </c>
      <c r="R11128" s="180" t="s">
        <v>257</v>
      </c>
    </row>
    <row r="11129" spans="8:18" x14ac:dyDescent="0.2">
      <c r="H11129" s="180"/>
      <c r="P11129" s="180" t="s">
        <v>257</v>
      </c>
      <c r="R11129" s="180" t="s">
        <v>257</v>
      </c>
    </row>
    <row r="11130" spans="8:18" x14ac:dyDescent="0.2">
      <c r="H11130" s="180"/>
      <c r="P11130" s="180" t="s">
        <v>257</v>
      </c>
      <c r="R11130" s="180" t="s">
        <v>257</v>
      </c>
    </row>
    <row r="11131" spans="8:18" x14ac:dyDescent="0.2">
      <c r="H11131" s="180"/>
      <c r="P11131" s="180" t="s">
        <v>257</v>
      </c>
      <c r="R11131" s="180" t="s">
        <v>257</v>
      </c>
    </row>
    <row r="11132" spans="8:18" x14ac:dyDescent="0.2">
      <c r="H11132" s="180"/>
      <c r="P11132" s="180" t="s">
        <v>257</v>
      </c>
      <c r="R11132" s="180" t="s">
        <v>257</v>
      </c>
    </row>
    <row r="11133" spans="8:18" x14ac:dyDescent="0.2">
      <c r="H11133" s="180"/>
      <c r="P11133" s="180" t="s">
        <v>257</v>
      </c>
      <c r="R11133" s="180" t="s">
        <v>257</v>
      </c>
    </row>
    <row r="11134" spans="8:18" x14ac:dyDescent="0.2">
      <c r="H11134" s="180"/>
      <c r="P11134" s="180" t="s">
        <v>257</v>
      </c>
      <c r="R11134" s="180" t="s">
        <v>257</v>
      </c>
    </row>
    <row r="11135" spans="8:18" x14ac:dyDescent="0.2">
      <c r="H11135" s="180"/>
      <c r="P11135" s="180" t="s">
        <v>257</v>
      </c>
      <c r="R11135" s="180" t="s">
        <v>257</v>
      </c>
    </row>
    <row r="11136" spans="8:18" x14ac:dyDescent="0.2">
      <c r="H11136" s="180"/>
      <c r="P11136" s="180" t="s">
        <v>257</v>
      </c>
      <c r="R11136" s="180" t="s">
        <v>257</v>
      </c>
    </row>
    <row r="11137" spans="8:18" x14ac:dyDescent="0.2">
      <c r="H11137" s="180"/>
      <c r="P11137" s="180" t="s">
        <v>257</v>
      </c>
      <c r="R11137" s="180" t="s">
        <v>257</v>
      </c>
    </row>
    <row r="11138" spans="8:18" x14ac:dyDescent="0.2">
      <c r="H11138" s="180"/>
      <c r="P11138" s="180" t="s">
        <v>257</v>
      </c>
      <c r="R11138" s="180" t="s">
        <v>257</v>
      </c>
    </row>
    <row r="11139" spans="8:18" x14ac:dyDescent="0.2">
      <c r="H11139" s="180"/>
      <c r="P11139" s="180" t="s">
        <v>257</v>
      </c>
      <c r="R11139" s="180" t="s">
        <v>257</v>
      </c>
    </row>
    <row r="11140" spans="8:18" x14ac:dyDescent="0.2">
      <c r="H11140" s="180"/>
      <c r="P11140" s="180" t="s">
        <v>257</v>
      </c>
      <c r="R11140" s="180" t="s">
        <v>257</v>
      </c>
    </row>
    <row r="11141" spans="8:18" x14ac:dyDescent="0.2">
      <c r="H11141" s="180"/>
      <c r="P11141" s="180" t="s">
        <v>257</v>
      </c>
      <c r="R11141" s="180" t="s">
        <v>257</v>
      </c>
    </row>
    <row r="11142" spans="8:18" x14ac:dyDescent="0.2">
      <c r="H11142" s="180"/>
      <c r="P11142" s="180" t="s">
        <v>257</v>
      </c>
      <c r="R11142" s="180" t="s">
        <v>257</v>
      </c>
    </row>
    <row r="11143" spans="8:18" x14ac:dyDescent="0.2">
      <c r="H11143" s="180"/>
      <c r="P11143" s="180" t="s">
        <v>257</v>
      </c>
      <c r="R11143" s="180" t="s">
        <v>257</v>
      </c>
    </row>
    <row r="11144" spans="8:18" x14ac:dyDescent="0.2">
      <c r="H11144" s="180"/>
      <c r="P11144" s="180" t="s">
        <v>257</v>
      </c>
      <c r="R11144" s="180" t="s">
        <v>257</v>
      </c>
    </row>
    <row r="11145" spans="8:18" x14ac:dyDescent="0.2">
      <c r="H11145" s="180"/>
      <c r="P11145" s="180" t="s">
        <v>257</v>
      </c>
      <c r="R11145" s="180" t="s">
        <v>257</v>
      </c>
    </row>
    <row r="11146" spans="8:18" x14ac:dyDescent="0.2">
      <c r="H11146" s="180"/>
      <c r="P11146" s="180" t="s">
        <v>257</v>
      </c>
      <c r="R11146" s="180" t="s">
        <v>257</v>
      </c>
    </row>
    <row r="11147" spans="8:18" x14ac:dyDescent="0.2">
      <c r="H11147" s="180"/>
      <c r="P11147" s="180" t="s">
        <v>257</v>
      </c>
      <c r="R11147" s="180" t="s">
        <v>257</v>
      </c>
    </row>
    <row r="11148" spans="8:18" x14ac:dyDescent="0.2">
      <c r="H11148" s="180"/>
      <c r="P11148" s="180" t="s">
        <v>257</v>
      </c>
      <c r="R11148" s="180" t="s">
        <v>257</v>
      </c>
    </row>
    <row r="11149" spans="8:18" x14ac:dyDescent="0.2">
      <c r="H11149" s="180"/>
      <c r="P11149" s="180" t="s">
        <v>257</v>
      </c>
      <c r="R11149" s="180" t="s">
        <v>257</v>
      </c>
    </row>
    <row r="11150" spans="8:18" x14ac:dyDescent="0.2">
      <c r="H11150" s="180"/>
      <c r="P11150" s="180" t="s">
        <v>257</v>
      </c>
      <c r="R11150" s="180" t="s">
        <v>257</v>
      </c>
    </row>
    <row r="11151" spans="8:18" x14ac:dyDescent="0.2">
      <c r="H11151" s="180"/>
      <c r="P11151" s="180" t="s">
        <v>257</v>
      </c>
      <c r="R11151" s="180" t="s">
        <v>257</v>
      </c>
    </row>
    <row r="11152" spans="8:18" x14ac:dyDescent="0.2">
      <c r="H11152" s="180"/>
      <c r="P11152" s="180" t="s">
        <v>257</v>
      </c>
      <c r="R11152" s="180" t="s">
        <v>257</v>
      </c>
    </row>
    <row r="11153" spans="8:18" x14ac:dyDescent="0.2">
      <c r="H11153" s="180"/>
      <c r="P11153" s="180" t="s">
        <v>257</v>
      </c>
      <c r="R11153" s="180" t="s">
        <v>257</v>
      </c>
    </row>
    <row r="11154" spans="8:18" x14ac:dyDescent="0.2">
      <c r="H11154" s="180"/>
      <c r="P11154" s="180" t="s">
        <v>257</v>
      </c>
      <c r="R11154" s="180" t="s">
        <v>257</v>
      </c>
    </row>
    <row r="11155" spans="8:18" x14ac:dyDescent="0.2">
      <c r="H11155" s="180"/>
      <c r="P11155" s="180" t="s">
        <v>257</v>
      </c>
      <c r="R11155" s="180" t="s">
        <v>257</v>
      </c>
    </row>
    <row r="11156" spans="8:18" x14ac:dyDescent="0.2">
      <c r="H11156" s="180"/>
      <c r="P11156" s="180" t="s">
        <v>257</v>
      </c>
      <c r="R11156" s="180" t="s">
        <v>257</v>
      </c>
    </row>
    <row r="11157" spans="8:18" x14ac:dyDescent="0.2">
      <c r="H11157" s="180"/>
      <c r="P11157" s="180" t="s">
        <v>257</v>
      </c>
      <c r="R11157" s="180" t="s">
        <v>257</v>
      </c>
    </row>
    <row r="11158" spans="8:18" x14ac:dyDescent="0.2">
      <c r="H11158" s="180"/>
      <c r="P11158" s="180" t="s">
        <v>257</v>
      </c>
      <c r="R11158" s="180" t="s">
        <v>257</v>
      </c>
    </row>
    <row r="11159" spans="8:18" x14ac:dyDescent="0.2">
      <c r="H11159" s="180"/>
      <c r="P11159" s="180" t="s">
        <v>257</v>
      </c>
      <c r="R11159" s="180" t="s">
        <v>257</v>
      </c>
    </row>
    <row r="11160" spans="8:18" x14ac:dyDescent="0.2">
      <c r="H11160" s="180"/>
      <c r="P11160" s="180" t="s">
        <v>257</v>
      </c>
      <c r="R11160" s="180" t="s">
        <v>257</v>
      </c>
    </row>
    <row r="11161" spans="8:18" x14ac:dyDescent="0.2">
      <c r="H11161" s="180"/>
      <c r="P11161" s="180" t="s">
        <v>257</v>
      </c>
      <c r="R11161" s="180" t="s">
        <v>257</v>
      </c>
    </row>
    <row r="11162" spans="8:18" x14ac:dyDescent="0.2">
      <c r="H11162" s="180"/>
      <c r="P11162" s="180" t="s">
        <v>257</v>
      </c>
      <c r="R11162" s="180" t="s">
        <v>257</v>
      </c>
    </row>
    <row r="11163" spans="8:18" x14ac:dyDescent="0.2">
      <c r="H11163" s="180"/>
      <c r="P11163" s="180" t="s">
        <v>257</v>
      </c>
      <c r="R11163" s="180" t="s">
        <v>257</v>
      </c>
    </row>
    <row r="11164" spans="8:18" x14ac:dyDescent="0.2">
      <c r="H11164" s="180"/>
      <c r="P11164" s="180" t="s">
        <v>257</v>
      </c>
      <c r="R11164" s="180" t="s">
        <v>257</v>
      </c>
    </row>
    <row r="11165" spans="8:18" x14ac:dyDescent="0.2">
      <c r="H11165" s="180"/>
      <c r="P11165" s="180" t="s">
        <v>257</v>
      </c>
      <c r="R11165" s="180" t="s">
        <v>257</v>
      </c>
    </row>
    <row r="11166" spans="8:18" x14ac:dyDescent="0.2">
      <c r="H11166" s="180"/>
      <c r="P11166" s="180" t="s">
        <v>257</v>
      </c>
      <c r="R11166" s="180" t="s">
        <v>257</v>
      </c>
    </row>
    <row r="11167" spans="8:18" x14ac:dyDescent="0.2">
      <c r="H11167" s="180"/>
      <c r="P11167" s="180" t="s">
        <v>257</v>
      </c>
      <c r="R11167" s="180" t="s">
        <v>257</v>
      </c>
    </row>
    <row r="11168" spans="8:18" x14ac:dyDescent="0.2">
      <c r="H11168" s="180"/>
      <c r="P11168" s="180" t="s">
        <v>257</v>
      </c>
      <c r="R11168" s="180" t="s">
        <v>257</v>
      </c>
    </row>
    <row r="11169" spans="8:18" x14ac:dyDescent="0.2">
      <c r="H11169" s="180"/>
      <c r="P11169" s="180" t="s">
        <v>257</v>
      </c>
      <c r="R11169" s="180" t="s">
        <v>257</v>
      </c>
    </row>
    <row r="11170" spans="8:18" x14ac:dyDescent="0.2">
      <c r="H11170" s="180"/>
      <c r="P11170" s="180" t="s">
        <v>257</v>
      </c>
      <c r="R11170" s="180" t="s">
        <v>257</v>
      </c>
    </row>
    <row r="11171" spans="8:18" x14ac:dyDescent="0.2">
      <c r="H11171" s="180"/>
      <c r="P11171" s="180" t="s">
        <v>257</v>
      </c>
      <c r="R11171" s="180" t="s">
        <v>257</v>
      </c>
    </row>
    <row r="11172" spans="8:18" x14ac:dyDescent="0.2">
      <c r="H11172" s="180"/>
      <c r="P11172" s="180" t="s">
        <v>257</v>
      </c>
      <c r="R11172" s="180" t="s">
        <v>257</v>
      </c>
    </row>
    <row r="11173" spans="8:18" x14ac:dyDescent="0.2">
      <c r="H11173" s="180"/>
      <c r="P11173" s="180" t="s">
        <v>257</v>
      </c>
      <c r="R11173" s="180" t="s">
        <v>257</v>
      </c>
    </row>
    <row r="11174" spans="8:18" x14ac:dyDescent="0.2">
      <c r="H11174" s="180"/>
      <c r="P11174" s="180" t="s">
        <v>257</v>
      </c>
      <c r="R11174" s="180" t="s">
        <v>257</v>
      </c>
    </row>
    <row r="11175" spans="8:18" x14ac:dyDescent="0.2">
      <c r="H11175" s="180"/>
      <c r="P11175" s="180" t="s">
        <v>257</v>
      </c>
      <c r="R11175" s="180" t="s">
        <v>257</v>
      </c>
    </row>
    <row r="11176" spans="8:18" x14ac:dyDescent="0.2">
      <c r="H11176" s="180"/>
      <c r="P11176" s="180" t="s">
        <v>257</v>
      </c>
      <c r="R11176" s="180" t="s">
        <v>257</v>
      </c>
    </row>
    <row r="11177" spans="8:18" x14ac:dyDescent="0.2">
      <c r="H11177" s="180"/>
      <c r="P11177" s="180" t="s">
        <v>257</v>
      </c>
      <c r="R11177" s="180" t="s">
        <v>257</v>
      </c>
    </row>
    <row r="11178" spans="8:18" x14ac:dyDescent="0.2">
      <c r="H11178" s="180"/>
      <c r="P11178" s="180" t="s">
        <v>257</v>
      </c>
      <c r="R11178" s="180" t="s">
        <v>257</v>
      </c>
    </row>
    <row r="11179" spans="8:18" x14ac:dyDescent="0.2">
      <c r="H11179" s="180"/>
      <c r="P11179" s="180" t="s">
        <v>257</v>
      </c>
      <c r="R11179" s="180" t="s">
        <v>257</v>
      </c>
    </row>
    <row r="11180" spans="8:18" x14ac:dyDescent="0.2">
      <c r="H11180" s="180"/>
      <c r="P11180" s="180" t="s">
        <v>257</v>
      </c>
      <c r="R11180" s="180" t="s">
        <v>257</v>
      </c>
    </row>
    <row r="11181" spans="8:18" x14ac:dyDescent="0.2">
      <c r="H11181" s="180"/>
      <c r="P11181" s="180" t="s">
        <v>257</v>
      </c>
      <c r="R11181" s="180" t="s">
        <v>257</v>
      </c>
    </row>
    <row r="11182" spans="8:18" x14ac:dyDescent="0.2">
      <c r="H11182" s="180"/>
      <c r="P11182" s="180" t="s">
        <v>257</v>
      </c>
      <c r="R11182" s="180" t="s">
        <v>257</v>
      </c>
    </row>
    <row r="11183" spans="8:18" x14ac:dyDescent="0.2">
      <c r="H11183" s="180"/>
      <c r="P11183" s="180" t="s">
        <v>257</v>
      </c>
      <c r="R11183" s="180" t="s">
        <v>257</v>
      </c>
    </row>
    <row r="11184" spans="8:18" x14ac:dyDescent="0.2">
      <c r="H11184" s="180"/>
      <c r="P11184" s="180" t="s">
        <v>257</v>
      </c>
      <c r="R11184" s="180" t="s">
        <v>257</v>
      </c>
    </row>
    <row r="11185" spans="8:18" x14ac:dyDescent="0.2">
      <c r="H11185" s="180"/>
      <c r="P11185" s="180" t="s">
        <v>257</v>
      </c>
      <c r="R11185" s="180" t="s">
        <v>257</v>
      </c>
    </row>
    <row r="11186" spans="8:18" x14ac:dyDescent="0.2">
      <c r="H11186" s="180"/>
      <c r="P11186" s="180" t="s">
        <v>257</v>
      </c>
      <c r="R11186" s="180" t="s">
        <v>257</v>
      </c>
    </row>
    <row r="11187" spans="8:18" x14ac:dyDescent="0.2">
      <c r="H11187" s="180"/>
      <c r="P11187" s="180" t="s">
        <v>257</v>
      </c>
      <c r="R11187" s="180" t="s">
        <v>257</v>
      </c>
    </row>
    <row r="11188" spans="8:18" x14ac:dyDescent="0.2">
      <c r="H11188" s="180"/>
      <c r="P11188" s="180" t="s">
        <v>257</v>
      </c>
      <c r="R11188" s="180" t="s">
        <v>257</v>
      </c>
    </row>
    <row r="11189" spans="8:18" x14ac:dyDescent="0.2">
      <c r="H11189" s="180"/>
      <c r="P11189" s="180" t="s">
        <v>257</v>
      </c>
      <c r="R11189" s="180" t="s">
        <v>257</v>
      </c>
    </row>
    <row r="11190" spans="8:18" x14ac:dyDescent="0.2">
      <c r="H11190" s="180"/>
      <c r="P11190" s="180" t="s">
        <v>257</v>
      </c>
      <c r="R11190" s="180" t="s">
        <v>257</v>
      </c>
    </row>
    <row r="11191" spans="8:18" x14ac:dyDescent="0.2">
      <c r="H11191" s="180"/>
      <c r="P11191" s="180" t="s">
        <v>257</v>
      </c>
      <c r="R11191" s="180" t="s">
        <v>257</v>
      </c>
    </row>
    <row r="11192" spans="8:18" x14ac:dyDescent="0.2">
      <c r="H11192" s="180"/>
      <c r="P11192" s="180" t="s">
        <v>257</v>
      </c>
      <c r="R11192" s="180" t="s">
        <v>257</v>
      </c>
    </row>
    <row r="11193" spans="8:18" x14ac:dyDescent="0.2">
      <c r="H11193" s="180"/>
      <c r="P11193" s="180" t="s">
        <v>257</v>
      </c>
      <c r="R11193" s="180" t="s">
        <v>257</v>
      </c>
    </row>
    <row r="11194" spans="8:18" x14ac:dyDescent="0.2">
      <c r="H11194" s="180"/>
      <c r="P11194" s="180" t="s">
        <v>257</v>
      </c>
      <c r="R11194" s="180" t="s">
        <v>257</v>
      </c>
    </row>
    <row r="11195" spans="8:18" x14ac:dyDescent="0.2">
      <c r="H11195" s="180"/>
      <c r="P11195" s="180" t="s">
        <v>257</v>
      </c>
      <c r="R11195" s="180" t="s">
        <v>257</v>
      </c>
    </row>
    <row r="11196" spans="8:18" x14ac:dyDescent="0.2">
      <c r="H11196" s="180"/>
      <c r="P11196" s="180" t="s">
        <v>257</v>
      </c>
      <c r="R11196" s="180" t="s">
        <v>257</v>
      </c>
    </row>
    <row r="11197" spans="8:18" x14ac:dyDescent="0.2">
      <c r="H11197" s="180"/>
      <c r="P11197" s="180" t="s">
        <v>257</v>
      </c>
      <c r="R11197" s="180" t="s">
        <v>257</v>
      </c>
    </row>
    <row r="11198" spans="8:18" x14ac:dyDescent="0.2">
      <c r="H11198" s="180"/>
      <c r="P11198" s="180" t="s">
        <v>257</v>
      </c>
      <c r="R11198" s="180" t="s">
        <v>257</v>
      </c>
    </row>
    <row r="11199" spans="8:18" x14ac:dyDescent="0.2">
      <c r="H11199" s="180"/>
      <c r="P11199" s="180" t="s">
        <v>257</v>
      </c>
      <c r="R11199" s="180" t="s">
        <v>257</v>
      </c>
    </row>
    <row r="11200" spans="8:18" x14ac:dyDescent="0.2">
      <c r="H11200" s="180"/>
      <c r="P11200" s="180" t="s">
        <v>257</v>
      </c>
      <c r="R11200" s="180" t="s">
        <v>257</v>
      </c>
    </row>
    <row r="11201" spans="8:18" x14ac:dyDescent="0.2">
      <c r="H11201" s="180"/>
      <c r="P11201" s="180" t="s">
        <v>257</v>
      </c>
      <c r="R11201" s="180" t="s">
        <v>257</v>
      </c>
    </row>
    <row r="11202" spans="8:18" x14ac:dyDescent="0.2">
      <c r="H11202" s="180"/>
      <c r="P11202" s="180" t="s">
        <v>257</v>
      </c>
      <c r="R11202" s="180" t="s">
        <v>257</v>
      </c>
    </row>
    <row r="11203" spans="8:18" x14ac:dyDescent="0.2">
      <c r="H11203" s="180"/>
      <c r="P11203" s="180" t="s">
        <v>257</v>
      </c>
      <c r="R11203" s="180" t="s">
        <v>257</v>
      </c>
    </row>
    <row r="11204" spans="8:18" x14ac:dyDescent="0.2">
      <c r="H11204" s="180"/>
      <c r="P11204" s="180" t="s">
        <v>257</v>
      </c>
      <c r="R11204" s="180" t="s">
        <v>257</v>
      </c>
    </row>
    <row r="11205" spans="8:18" x14ac:dyDescent="0.2">
      <c r="H11205" s="180"/>
      <c r="P11205" s="180" t="s">
        <v>257</v>
      </c>
      <c r="R11205" s="180" t="s">
        <v>257</v>
      </c>
    </row>
    <row r="11206" spans="8:18" x14ac:dyDescent="0.2">
      <c r="H11206" s="180"/>
      <c r="P11206" s="180" t="s">
        <v>257</v>
      </c>
      <c r="R11206" s="180" t="s">
        <v>257</v>
      </c>
    </row>
    <row r="11207" spans="8:18" x14ac:dyDescent="0.2">
      <c r="H11207" s="180"/>
      <c r="P11207" s="180" t="s">
        <v>257</v>
      </c>
      <c r="R11207" s="180" t="s">
        <v>257</v>
      </c>
    </row>
    <row r="11208" spans="8:18" x14ac:dyDescent="0.2">
      <c r="H11208" s="180"/>
      <c r="P11208" s="180" t="s">
        <v>257</v>
      </c>
      <c r="R11208" s="180" t="s">
        <v>257</v>
      </c>
    </row>
    <row r="11209" spans="8:18" x14ac:dyDescent="0.2">
      <c r="H11209" s="180"/>
      <c r="P11209" s="180" t="s">
        <v>257</v>
      </c>
      <c r="R11209" s="180" t="s">
        <v>257</v>
      </c>
    </row>
    <row r="11210" spans="8:18" x14ac:dyDescent="0.2">
      <c r="H11210" s="180"/>
      <c r="P11210" s="180" t="s">
        <v>257</v>
      </c>
      <c r="R11210" s="180" t="s">
        <v>257</v>
      </c>
    </row>
    <row r="11211" spans="8:18" x14ac:dyDescent="0.2">
      <c r="H11211" s="180"/>
      <c r="P11211" s="180" t="s">
        <v>257</v>
      </c>
      <c r="R11211" s="180" t="s">
        <v>257</v>
      </c>
    </row>
    <row r="11212" spans="8:18" x14ac:dyDescent="0.2">
      <c r="H11212" s="180"/>
      <c r="P11212" s="180" t="s">
        <v>257</v>
      </c>
      <c r="R11212" s="180" t="s">
        <v>257</v>
      </c>
    </row>
    <row r="11213" spans="8:18" x14ac:dyDescent="0.2">
      <c r="H11213" s="180"/>
      <c r="P11213" s="180" t="s">
        <v>257</v>
      </c>
      <c r="R11213" s="180" t="s">
        <v>257</v>
      </c>
    </row>
    <row r="11214" spans="8:18" x14ac:dyDescent="0.2">
      <c r="H11214" s="180"/>
      <c r="P11214" s="180" t="s">
        <v>257</v>
      </c>
      <c r="R11214" s="180" t="s">
        <v>257</v>
      </c>
    </row>
    <row r="11215" spans="8:18" x14ac:dyDescent="0.2">
      <c r="H11215" s="180"/>
      <c r="P11215" s="180" t="s">
        <v>257</v>
      </c>
      <c r="R11215" s="180" t="s">
        <v>257</v>
      </c>
    </row>
    <row r="11216" spans="8:18" x14ac:dyDescent="0.2">
      <c r="H11216" s="180"/>
      <c r="P11216" s="180" t="s">
        <v>257</v>
      </c>
      <c r="R11216" s="180" t="s">
        <v>257</v>
      </c>
    </row>
    <row r="11217" spans="8:18" x14ac:dyDescent="0.2">
      <c r="H11217" s="180"/>
      <c r="P11217" s="180" t="s">
        <v>257</v>
      </c>
      <c r="R11217" s="180" t="s">
        <v>257</v>
      </c>
    </row>
    <row r="11218" spans="8:18" x14ac:dyDescent="0.2">
      <c r="H11218" s="180"/>
      <c r="P11218" s="180" t="s">
        <v>257</v>
      </c>
      <c r="R11218" s="180" t="s">
        <v>257</v>
      </c>
    </row>
    <row r="11219" spans="8:18" x14ac:dyDescent="0.2">
      <c r="H11219" s="180"/>
      <c r="P11219" s="180" t="s">
        <v>257</v>
      </c>
      <c r="R11219" s="180" t="s">
        <v>257</v>
      </c>
    </row>
    <row r="11220" spans="8:18" x14ac:dyDescent="0.2">
      <c r="H11220" s="180"/>
      <c r="P11220" s="180" t="s">
        <v>257</v>
      </c>
      <c r="R11220" s="180" t="s">
        <v>257</v>
      </c>
    </row>
    <row r="11221" spans="8:18" x14ac:dyDescent="0.2">
      <c r="H11221" s="180"/>
      <c r="P11221" s="180" t="s">
        <v>257</v>
      </c>
      <c r="R11221" s="180" t="s">
        <v>257</v>
      </c>
    </row>
    <row r="11222" spans="8:18" x14ac:dyDescent="0.2">
      <c r="H11222" s="180"/>
      <c r="P11222" s="180" t="s">
        <v>257</v>
      </c>
      <c r="R11222" s="180" t="s">
        <v>257</v>
      </c>
    </row>
    <row r="11223" spans="8:18" x14ac:dyDescent="0.2">
      <c r="H11223" s="180"/>
      <c r="P11223" s="180" t="s">
        <v>257</v>
      </c>
      <c r="R11223" s="180" t="s">
        <v>257</v>
      </c>
    </row>
    <row r="11224" spans="8:18" x14ac:dyDescent="0.2">
      <c r="H11224" s="180"/>
      <c r="P11224" s="180" t="s">
        <v>257</v>
      </c>
      <c r="R11224" s="180" t="s">
        <v>257</v>
      </c>
    </row>
    <row r="11225" spans="8:18" x14ac:dyDescent="0.2">
      <c r="H11225" s="180"/>
      <c r="P11225" s="180" t="s">
        <v>257</v>
      </c>
      <c r="R11225" s="180" t="s">
        <v>257</v>
      </c>
    </row>
    <row r="11226" spans="8:18" x14ac:dyDescent="0.2">
      <c r="H11226" s="180"/>
      <c r="P11226" s="180" t="s">
        <v>257</v>
      </c>
      <c r="R11226" s="180" t="s">
        <v>257</v>
      </c>
    </row>
    <row r="11227" spans="8:18" x14ac:dyDescent="0.2">
      <c r="H11227" s="180"/>
      <c r="P11227" s="180" t="s">
        <v>257</v>
      </c>
      <c r="R11227" s="180" t="s">
        <v>257</v>
      </c>
    </row>
    <row r="11228" spans="8:18" x14ac:dyDescent="0.2">
      <c r="H11228" s="180"/>
      <c r="P11228" s="180" t="s">
        <v>257</v>
      </c>
      <c r="R11228" s="180" t="s">
        <v>257</v>
      </c>
    </row>
    <row r="11229" spans="8:18" x14ac:dyDescent="0.2">
      <c r="H11229" s="180"/>
      <c r="P11229" s="180" t="s">
        <v>257</v>
      </c>
      <c r="R11229" s="180" t="s">
        <v>257</v>
      </c>
    </row>
    <row r="11230" spans="8:18" x14ac:dyDescent="0.2">
      <c r="H11230" s="180"/>
      <c r="P11230" s="180" t="s">
        <v>257</v>
      </c>
      <c r="R11230" s="180" t="s">
        <v>257</v>
      </c>
    </row>
    <row r="11231" spans="8:18" x14ac:dyDescent="0.2">
      <c r="H11231" s="180"/>
      <c r="P11231" s="180" t="s">
        <v>257</v>
      </c>
      <c r="R11231" s="180" t="s">
        <v>257</v>
      </c>
    </row>
    <row r="11232" spans="8:18" x14ac:dyDescent="0.2">
      <c r="H11232" s="180"/>
      <c r="P11232" s="180" t="s">
        <v>257</v>
      </c>
      <c r="R11232" s="180" t="s">
        <v>257</v>
      </c>
    </row>
    <row r="11233" spans="8:18" x14ac:dyDescent="0.2">
      <c r="H11233" s="180"/>
      <c r="P11233" s="180" t="s">
        <v>257</v>
      </c>
      <c r="R11233" s="180" t="s">
        <v>257</v>
      </c>
    </row>
    <row r="11234" spans="8:18" x14ac:dyDescent="0.2">
      <c r="H11234" s="180"/>
      <c r="P11234" s="180" t="s">
        <v>257</v>
      </c>
      <c r="R11234" s="180" t="s">
        <v>257</v>
      </c>
    </row>
    <row r="11235" spans="8:18" x14ac:dyDescent="0.2">
      <c r="H11235" s="180"/>
      <c r="P11235" s="180" t="s">
        <v>257</v>
      </c>
      <c r="R11235" s="180" t="s">
        <v>257</v>
      </c>
    </row>
    <row r="11236" spans="8:18" x14ac:dyDescent="0.2">
      <c r="H11236" s="180"/>
      <c r="P11236" s="180" t="s">
        <v>257</v>
      </c>
      <c r="R11236" s="180" t="s">
        <v>257</v>
      </c>
    </row>
    <row r="11237" spans="8:18" x14ac:dyDescent="0.2">
      <c r="H11237" s="180"/>
      <c r="P11237" s="180" t="s">
        <v>257</v>
      </c>
      <c r="R11237" s="180" t="s">
        <v>257</v>
      </c>
    </row>
    <row r="11238" spans="8:18" x14ac:dyDescent="0.2">
      <c r="H11238" s="180"/>
      <c r="P11238" s="180" t="s">
        <v>257</v>
      </c>
      <c r="R11238" s="180" t="s">
        <v>257</v>
      </c>
    </row>
    <row r="11239" spans="8:18" x14ac:dyDescent="0.2">
      <c r="H11239" s="180"/>
      <c r="P11239" s="180" t="s">
        <v>257</v>
      </c>
      <c r="R11239" s="180" t="s">
        <v>257</v>
      </c>
    </row>
    <row r="11240" spans="8:18" x14ac:dyDescent="0.2">
      <c r="H11240" s="180"/>
      <c r="P11240" s="180" t="s">
        <v>257</v>
      </c>
      <c r="R11240" s="180" t="s">
        <v>257</v>
      </c>
    </row>
    <row r="11241" spans="8:18" x14ac:dyDescent="0.2">
      <c r="H11241" s="180"/>
      <c r="P11241" s="180" t="s">
        <v>257</v>
      </c>
      <c r="R11241" s="180" t="s">
        <v>257</v>
      </c>
    </row>
    <row r="11242" spans="8:18" x14ac:dyDescent="0.2">
      <c r="H11242" s="180"/>
      <c r="P11242" s="180" t="s">
        <v>257</v>
      </c>
      <c r="R11242" s="180" t="s">
        <v>257</v>
      </c>
    </row>
    <row r="11243" spans="8:18" x14ac:dyDescent="0.2">
      <c r="H11243" s="180"/>
      <c r="P11243" s="180" t="s">
        <v>257</v>
      </c>
      <c r="R11243" s="180" t="s">
        <v>257</v>
      </c>
    </row>
    <row r="11244" spans="8:18" x14ac:dyDescent="0.2">
      <c r="H11244" s="180"/>
      <c r="P11244" s="180" t="s">
        <v>257</v>
      </c>
      <c r="R11244" s="180" t="s">
        <v>257</v>
      </c>
    </row>
    <row r="11245" spans="8:18" x14ac:dyDescent="0.2">
      <c r="H11245" s="180"/>
      <c r="P11245" s="180" t="s">
        <v>257</v>
      </c>
      <c r="R11245" s="180" t="s">
        <v>257</v>
      </c>
    </row>
    <row r="11246" spans="8:18" x14ac:dyDescent="0.2">
      <c r="H11246" s="180"/>
      <c r="P11246" s="180" t="s">
        <v>257</v>
      </c>
      <c r="R11246" s="180" t="s">
        <v>257</v>
      </c>
    </row>
    <row r="11247" spans="8:18" x14ac:dyDescent="0.2">
      <c r="H11247" s="180"/>
      <c r="P11247" s="180" t="s">
        <v>257</v>
      </c>
      <c r="R11247" s="180" t="s">
        <v>257</v>
      </c>
    </row>
    <row r="11248" spans="8:18" x14ac:dyDescent="0.2">
      <c r="H11248" s="180"/>
      <c r="P11248" s="180" t="s">
        <v>257</v>
      </c>
      <c r="R11248" s="180" t="s">
        <v>257</v>
      </c>
    </row>
    <row r="11249" spans="8:18" x14ac:dyDescent="0.2">
      <c r="H11249" s="180"/>
      <c r="P11249" s="180" t="s">
        <v>257</v>
      </c>
      <c r="R11249" s="180" t="s">
        <v>257</v>
      </c>
    </row>
    <row r="11250" spans="8:18" x14ac:dyDescent="0.2">
      <c r="H11250" s="180"/>
      <c r="P11250" s="180" t="s">
        <v>257</v>
      </c>
      <c r="R11250" s="180" t="s">
        <v>257</v>
      </c>
    </row>
    <row r="11251" spans="8:18" x14ac:dyDescent="0.2">
      <c r="H11251" s="180"/>
      <c r="P11251" s="180" t="s">
        <v>257</v>
      </c>
      <c r="R11251" s="180" t="s">
        <v>257</v>
      </c>
    </row>
    <row r="11252" spans="8:18" x14ac:dyDescent="0.2">
      <c r="H11252" s="180"/>
      <c r="P11252" s="180" t="s">
        <v>257</v>
      </c>
      <c r="R11252" s="180" t="s">
        <v>257</v>
      </c>
    </row>
    <row r="11253" spans="8:18" x14ac:dyDescent="0.2">
      <c r="H11253" s="180"/>
      <c r="P11253" s="180" t="s">
        <v>257</v>
      </c>
      <c r="R11253" s="180" t="s">
        <v>257</v>
      </c>
    </row>
    <row r="11254" spans="8:18" x14ac:dyDescent="0.2">
      <c r="H11254" s="180"/>
      <c r="P11254" s="180" t="s">
        <v>257</v>
      </c>
      <c r="R11254" s="180" t="s">
        <v>257</v>
      </c>
    </row>
    <row r="11255" spans="8:18" x14ac:dyDescent="0.2">
      <c r="H11255" s="180"/>
      <c r="P11255" s="180" t="s">
        <v>257</v>
      </c>
      <c r="R11255" s="180" t="s">
        <v>257</v>
      </c>
    </row>
    <row r="11256" spans="8:18" x14ac:dyDescent="0.2">
      <c r="H11256" s="180"/>
      <c r="P11256" s="180" t="s">
        <v>257</v>
      </c>
      <c r="R11256" s="180" t="s">
        <v>257</v>
      </c>
    </row>
    <row r="11257" spans="8:18" x14ac:dyDescent="0.2">
      <c r="H11257" s="180"/>
      <c r="P11257" s="180" t="s">
        <v>257</v>
      </c>
      <c r="R11257" s="180" t="s">
        <v>257</v>
      </c>
    </row>
    <row r="11258" spans="8:18" x14ac:dyDescent="0.2">
      <c r="H11258" s="180"/>
      <c r="P11258" s="180" t="s">
        <v>257</v>
      </c>
      <c r="R11258" s="180" t="s">
        <v>257</v>
      </c>
    </row>
    <row r="11259" spans="8:18" x14ac:dyDescent="0.2">
      <c r="H11259" s="180"/>
      <c r="P11259" s="180" t="s">
        <v>257</v>
      </c>
      <c r="R11259" s="180" t="s">
        <v>257</v>
      </c>
    </row>
    <row r="11260" spans="8:18" x14ac:dyDescent="0.2">
      <c r="H11260" s="180"/>
      <c r="P11260" s="180" t="s">
        <v>257</v>
      </c>
      <c r="R11260" s="180" t="s">
        <v>257</v>
      </c>
    </row>
    <row r="11261" spans="8:18" x14ac:dyDescent="0.2">
      <c r="H11261" s="180"/>
      <c r="P11261" s="180" t="s">
        <v>257</v>
      </c>
      <c r="R11261" s="180" t="s">
        <v>257</v>
      </c>
    </row>
    <row r="11262" spans="8:18" x14ac:dyDescent="0.2">
      <c r="H11262" s="180"/>
      <c r="P11262" s="180" t="s">
        <v>257</v>
      </c>
      <c r="R11262" s="180" t="s">
        <v>257</v>
      </c>
    </row>
    <row r="11263" spans="8:18" x14ac:dyDescent="0.2">
      <c r="H11263" s="180"/>
      <c r="P11263" s="180" t="s">
        <v>257</v>
      </c>
      <c r="R11263" s="180" t="s">
        <v>257</v>
      </c>
    </row>
    <row r="11264" spans="8:18" x14ac:dyDescent="0.2">
      <c r="H11264" s="180"/>
      <c r="P11264" s="180" t="s">
        <v>257</v>
      </c>
      <c r="R11264" s="180" t="s">
        <v>257</v>
      </c>
    </row>
    <row r="11265" spans="8:18" x14ac:dyDescent="0.2">
      <c r="H11265" s="180"/>
      <c r="P11265" s="180" t="s">
        <v>257</v>
      </c>
      <c r="R11265" s="180" t="s">
        <v>257</v>
      </c>
    </row>
    <row r="11266" spans="8:18" x14ac:dyDescent="0.2">
      <c r="H11266" s="180"/>
      <c r="P11266" s="180" t="s">
        <v>257</v>
      </c>
      <c r="R11266" s="180" t="s">
        <v>257</v>
      </c>
    </row>
    <row r="11267" spans="8:18" x14ac:dyDescent="0.2">
      <c r="H11267" s="180"/>
      <c r="P11267" s="180" t="s">
        <v>257</v>
      </c>
      <c r="R11267" s="180" t="s">
        <v>257</v>
      </c>
    </row>
    <row r="11268" spans="8:18" x14ac:dyDescent="0.2">
      <c r="H11268" s="180"/>
      <c r="P11268" s="180" t="s">
        <v>257</v>
      </c>
      <c r="R11268" s="180" t="s">
        <v>257</v>
      </c>
    </row>
    <row r="11269" spans="8:18" x14ac:dyDescent="0.2">
      <c r="H11269" s="180"/>
      <c r="P11269" s="180" t="s">
        <v>257</v>
      </c>
      <c r="R11269" s="180" t="s">
        <v>257</v>
      </c>
    </row>
    <row r="11270" spans="8:18" x14ac:dyDescent="0.2">
      <c r="H11270" s="180"/>
      <c r="P11270" s="180" t="s">
        <v>257</v>
      </c>
      <c r="R11270" s="180" t="s">
        <v>257</v>
      </c>
    </row>
    <row r="11271" spans="8:18" x14ac:dyDescent="0.2">
      <c r="H11271" s="180"/>
      <c r="P11271" s="180" t="s">
        <v>257</v>
      </c>
      <c r="R11271" s="180" t="s">
        <v>257</v>
      </c>
    </row>
    <row r="11272" spans="8:18" x14ac:dyDescent="0.2">
      <c r="H11272" s="180"/>
      <c r="P11272" s="180" t="s">
        <v>257</v>
      </c>
      <c r="R11272" s="180" t="s">
        <v>257</v>
      </c>
    </row>
    <row r="11273" spans="8:18" x14ac:dyDescent="0.2">
      <c r="H11273" s="180"/>
      <c r="P11273" s="180" t="s">
        <v>257</v>
      </c>
      <c r="R11273" s="180" t="s">
        <v>257</v>
      </c>
    </row>
    <row r="11274" spans="8:18" x14ac:dyDescent="0.2">
      <c r="H11274" s="180"/>
      <c r="P11274" s="180" t="s">
        <v>257</v>
      </c>
      <c r="R11274" s="180" t="s">
        <v>257</v>
      </c>
    </row>
    <row r="11275" spans="8:18" x14ac:dyDescent="0.2">
      <c r="H11275" s="180"/>
      <c r="P11275" s="180" t="s">
        <v>257</v>
      </c>
      <c r="R11275" s="180" t="s">
        <v>257</v>
      </c>
    </row>
    <row r="11276" spans="8:18" x14ac:dyDescent="0.2">
      <c r="H11276" s="180"/>
      <c r="P11276" s="180" t="s">
        <v>257</v>
      </c>
      <c r="R11276" s="180" t="s">
        <v>257</v>
      </c>
    </row>
    <row r="11277" spans="8:18" x14ac:dyDescent="0.2">
      <c r="H11277" s="180"/>
      <c r="P11277" s="180" t="s">
        <v>257</v>
      </c>
      <c r="R11277" s="180" t="s">
        <v>257</v>
      </c>
    </row>
    <row r="11278" spans="8:18" x14ac:dyDescent="0.2">
      <c r="H11278" s="180"/>
      <c r="P11278" s="180" t="s">
        <v>257</v>
      </c>
      <c r="R11278" s="180" t="s">
        <v>257</v>
      </c>
    </row>
    <row r="11279" spans="8:18" x14ac:dyDescent="0.2">
      <c r="H11279" s="180"/>
      <c r="P11279" s="180" t="s">
        <v>257</v>
      </c>
      <c r="R11279" s="180" t="s">
        <v>257</v>
      </c>
    </row>
    <row r="11280" spans="8:18" x14ac:dyDescent="0.2">
      <c r="H11280" s="180"/>
      <c r="P11280" s="180" t="s">
        <v>257</v>
      </c>
      <c r="R11280" s="180" t="s">
        <v>257</v>
      </c>
    </row>
    <row r="11281" spans="8:18" x14ac:dyDescent="0.2">
      <c r="H11281" s="180"/>
      <c r="P11281" s="180" t="s">
        <v>257</v>
      </c>
      <c r="R11281" s="180" t="s">
        <v>257</v>
      </c>
    </row>
    <row r="11282" spans="8:18" x14ac:dyDescent="0.2">
      <c r="H11282" s="180"/>
      <c r="P11282" s="180" t="s">
        <v>257</v>
      </c>
      <c r="R11282" s="180" t="s">
        <v>257</v>
      </c>
    </row>
    <row r="11283" spans="8:18" x14ac:dyDescent="0.2">
      <c r="H11283" s="180"/>
      <c r="P11283" s="180" t="s">
        <v>257</v>
      </c>
      <c r="R11283" s="180" t="s">
        <v>257</v>
      </c>
    </row>
    <row r="11284" spans="8:18" x14ac:dyDescent="0.2">
      <c r="H11284" s="180"/>
      <c r="P11284" s="180" t="s">
        <v>257</v>
      </c>
      <c r="R11284" s="180" t="s">
        <v>257</v>
      </c>
    </row>
    <row r="11285" spans="8:18" x14ac:dyDescent="0.2">
      <c r="H11285" s="180"/>
      <c r="P11285" s="180" t="s">
        <v>257</v>
      </c>
      <c r="R11285" s="180" t="s">
        <v>257</v>
      </c>
    </row>
    <row r="11286" spans="8:18" x14ac:dyDescent="0.2">
      <c r="H11286" s="180"/>
      <c r="P11286" s="180" t="s">
        <v>257</v>
      </c>
      <c r="R11286" s="180" t="s">
        <v>257</v>
      </c>
    </row>
    <row r="11287" spans="8:18" x14ac:dyDescent="0.2">
      <c r="H11287" s="180"/>
      <c r="P11287" s="180" t="s">
        <v>257</v>
      </c>
      <c r="R11287" s="180" t="s">
        <v>257</v>
      </c>
    </row>
    <row r="11288" spans="8:18" x14ac:dyDescent="0.2">
      <c r="H11288" s="180"/>
      <c r="P11288" s="180" t="s">
        <v>257</v>
      </c>
      <c r="R11288" s="180" t="s">
        <v>257</v>
      </c>
    </row>
    <row r="11289" spans="8:18" x14ac:dyDescent="0.2">
      <c r="H11289" s="180"/>
      <c r="P11289" s="180" t="s">
        <v>257</v>
      </c>
      <c r="R11289" s="180" t="s">
        <v>257</v>
      </c>
    </row>
    <row r="11290" spans="8:18" x14ac:dyDescent="0.2">
      <c r="H11290" s="180"/>
      <c r="P11290" s="180" t="s">
        <v>257</v>
      </c>
      <c r="R11290" s="180" t="s">
        <v>257</v>
      </c>
    </row>
    <row r="11291" spans="8:18" x14ac:dyDescent="0.2">
      <c r="H11291" s="180"/>
      <c r="P11291" s="180" t="s">
        <v>257</v>
      </c>
      <c r="R11291" s="180" t="s">
        <v>257</v>
      </c>
    </row>
    <row r="11292" spans="8:18" x14ac:dyDescent="0.2">
      <c r="H11292" s="180"/>
      <c r="P11292" s="180" t="s">
        <v>257</v>
      </c>
      <c r="R11292" s="180" t="s">
        <v>257</v>
      </c>
    </row>
    <row r="11293" spans="8:18" x14ac:dyDescent="0.2">
      <c r="H11293" s="180"/>
      <c r="P11293" s="180" t="s">
        <v>257</v>
      </c>
      <c r="R11293" s="180" t="s">
        <v>257</v>
      </c>
    </row>
    <row r="11294" spans="8:18" x14ac:dyDescent="0.2">
      <c r="H11294" s="180"/>
      <c r="P11294" s="180" t="s">
        <v>257</v>
      </c>
      <c r="R11294" s="180" t="s">
        <v>257</v>
      </c>
    </row>
    <row r="11295" spans="8:18" x14ac:dyDescent="0.2">
      <c r="H11295" s="180"/>
      <c r="P11295" s="180" t="s">
        <v>257</v>
      </c>
      <c r="R11295" s="180" t="s">
        <v>257</v>
      </c>
    </row>
    <row r="11296" spans="8:18" x14ac:dyDescent="0.2">
      <c r="H11296" s="180"/>
      <c r="P11296" s="180" t="s">
        <v>257</v>
      </c>
      <c r="R11296" s="180" t="s">
        <v>257</v>
      </c>
    </row>
    <row r="11297" spans="8:18" x14ac:dyDescent="0.2">
      <c r="H11297" s="180"/>
      <c r="P11297" s="180" t="s">
        <v>257</v>
      </c>
      <c r="R11297" s="180" t="s">
        <v>257</v>
      </c>
    </row>
    <row r="11298" spans="8:18" x14ac:dyDescent="0.2">
      <c r="H11298" s="180"/>
      <c r="P11298" s="180" t="s">
        <v>257</v>
      </c>
      <c r="R11298" s="180" t="s">
        <v>257</v>
      </c>
    </row>
    <row r="11299" spans="8:18" x14ac:dyDescent="0.2">
      <c r="H11299" s="180"/>
      <c r="P11299" s="180" t="s">
        <v>257</v>
      </c>
      <c r="R11299" s="180" t="s">
        <v>257</v>
      </c>
    </row>
    <row r="11300" spans="8:18" x14ac:dyDescent="0.2">
      <c r="H11300" s="180"/>
      <c r="P11300" s="180" t="s">
        <v>257</v>
      </c>
      <c r="R11300" s="180" t="s">
        <v>257</v>
      </c>
    </row>
    <row r="11301" spans="8:18" x14ac:dyDescent="0.2">
      <c r="H11301" s="180"/>
      <c r="P11301" s="180" t="s">
        <v>257</v>
      </c>
      <c r="R11301" s="180" t="s">
        <v>257</v>
      </c>
    </row>
    <row r="11302" spans="8:18" x14ac:dyDescent="0.2">
      <c r="H11302" s="180"/>
      <c r="P11302" s="180" t="s">
        <v>257</v>
      </c>
      <c r="R11302" s="180" t="s">
        <v>257</v>
      </c>
    </row>
    <row r="11303" spans="8:18" x14ac:dyDescent="0.2">
      <c r="H11303" s="180"/>
      <c r="P11303" s="180" t="s">
        <v>257</v>
      </c>
      <c r="R11303" s="180" t="s">
        <v>257</v>
      </c>
    </row>
    <row r="11304" spans="8:18" x14ac:dyDescent="0.2">
      <c r="H11304" s="180"/>
      <c r="P11304" s="180" t="s">
        <v>257</v>
      </c>
      <c r="R11304" s="180" t="s">
        <v>257</v>
      </c>
    </row>
    <row r="11305" spans="8:18" x14ac:dyDescent="0.2">
      <c r="H11305" s="180"/>
      <c r="P11305" s="180" t="s">
        <v>257</v>
      </c>
      <c r="R11305" s="180" t="s">
        <v>257</v>
      </c>
    </row>
    <row r="11306" spans="8:18" x14ac:dyDescent="0.2">
      <c r="H11306" s="180"/>
      <c r="P11306" s="180" t="s">
        <v>257</v>
      </c>
      <c r="R11306" s="180" t="s">
        <v>257</v>
      </c>
    </row>
    <row r="11307" spans="8:18" x14ac:dyDescent="0.2">
      <c r="H11307" s="180"/>
      <c r="P11307" s="180" t="s">
        <v>257</v>
      </c>
      <c r="R11307" s="180" t="s">
        <v>257</v>
      </c>
    </row>
    <row r="11308" spans="8:18" x14ac:dyDescent="0.2">
      <c r="H11308" s="180"/>
      <c r="P11308" s="180" t="s">
        <v>257</v>
      </c>
      <c r="R11308" s="180" t="s">
        <v>257</v>
      </c>
    </row>
    <row r="11309" spans="8:18" x14ac:dyDescent="0.2">
      <c r="H11309" s="180"/>
      <c r="P11309" s="180" t="s">
        <v>257</v>
      </c>
      <c r="R11309" s="180" t="s">
        <v>257</v>
      </c>
    </row>
    <row r="11310" spans="8:18" x14ac:dyDescent="0.2">
      <c r="H11310" s="180"/>
      <c r="P11310" s="180" t="s">
        <v>257</v>
      </c>
      <c r="R11310" s="180" t="s">
        <v>257</v>
      </c>
    </row>
    <row r="11311" spans="8:18" x14ac:dyDescent="0.2">
      <c r="H11311" s="180"/>
      <c r="P11311" s="180" t="s">
        <v>257</v>
      </c>
      <c r="R11311" s="180" t="s">
        <v>257</v>
      </c>
    </row>
    <row r="11312" spans="8:18" x14ac:dyDescent="0.2">
      <c r="H11312" s="180"/>
      <c r="P11312" s="180" t="s">
        <v>257</v>
      </c>
      <c r="R11312" s="180" t="s">
        <v>257</v>
      </c>
    </row>
    <row r="11313" spans="8:18" x14ac:dyDescent="0.2">
      <c r="H11313" s="180"/>
      <c r="P11313" s="180" t="s">
        <v>257</v>
      </c>
      <c r="R11313" s="180" t="s">
        <v>257</v>
      </c>
    </row>
    <row r="11314" spans="8:18" x14ac:dyDescent="0.2">
      <c r="H11314" s="180"/>
      <c r="P11314" s="180" t="s">
        <v>257</v>
      </c>
      <c r="R11314" s="180" t="s">
        <v>257</v>
      </c>
    </row>
    <row r="11315" spans="8:18" x14ac:dyDescent="0.2">
      <c r="H11315" s="180"/>
      <c r="P11315" s="180" t="s">
        <v>257</v>
      </c>
      <c r="R11315" s="180" t="s">
        <v>257</v>
      </c>
    </row>
    <row r="11316" spans="8:18" x14ac:dyDescent="0.2">
      <c r="H11316" s="180"/>
      <c r="P11316" s="180" t="s">
        <v>257</v>
      </c>
      <c r="R11316" s="180" t="s">
        <v>257</v>
      </c>
    </row>
    <row r="11317" spans="8:18" x14ac:dyDescent="0.2">
      <c r="H11317" s="180"/>
      <c r="P11317" s="180" t="s">
        <v>257</v>
      </c>
      <c r="R11317" s="180" t="s">
        <v>257</v>
      </c>
    </row>
    <row r="11318" spans="8:18" x14ac:dyDescent="0.2">
      <c r="H11318" s="180"/>
      <c r="P11318" s="180" t="s">
        <v>257</v>
      </c>
      <c r="R11318" s="180" t="s">
        <v>257</v>
      </c>
    </row>
    <row r="11319" spans="8:18" x14ac:dyDescent="0.2">
      <c r="H11319" s="180"/>
      <c r="P11319" s="180" t="s">
        <v>257</v>
      </c>
      <c r="R11319" s="180" t="s">
        <v>257</v>
      </c>
    </row>
    <row r="11320" spans="8:18" x14ac:dyDescent="0.2">
      <c r="H11320" s="180"/>
      <c r="P11320" s="180" t="s">
        <v>257</v>
      </c>
      <c r="R11320" s="180" t="s">
        <v>257</v>
      </c>
    </row>
    <row r="11321" spans="8:18" x14ac:dyDescent="0.2">
      <c r="H11321" s="180"/>
      <c r="P11321" s="180" t="s">
        <v>257</v>
      </c>
      <c r="R11321" s="180" t="s">
        <v>257</v>
      </c>
    </row>
    <row r="11322" spans="8:18" x14ac:dyDescent="0.2">
      <c r="H11322" s="180"/>
      <c r="P11322" s="180" t="s">
        <v>257</v>
      </c>
      <c r="R11322" s="180" t="s">
        <v>257</v>
      </c>
    </row>
    <row r="11323" spans="8:18" x14ac:dyDescent="0.2">
      <c r="H11323" s="180"/>
      <c r="P11323" s="180" t="s">
        <v>257</v>
      </c>
      <c r="R11323" s="180" t="s">
        <v>257</v>
      </c>
    </row>
    <row r="11324" spans="8:18" x14ac:dyDescent="0.2">
      <c r="H11324" s="180"/>
      <c r="P11324" s="180" t="s">
        <v>257</v>
      </c>
      <c r="R11324" s="180" t="s">
        <v>257</v>
      </c>
    </row>
    <row r="11325" spans="8:18" x14ac:dyDescent="0.2">
      <c r="H11325" s="180"/>
      <c r="P11325" s="180" t="s">
        <v>257</v>
      </c>
      <c r="R11325" s="180" t="s">
        <v>257</v>
      </c>
    </row>
    <row r="11326" spans="8:18" x14ac:dyDescent="0.2">
      <c r="H11326" s="180"/>
      <c r="P11326" s="180" t="s">
        <v>257</v>
      </c>
      <c r="R11326" s="180" t="s">
        <v>257</v>
      </c>
    </row>
    <row r="11327" spans="8:18" x14ac:dyDescent="0.2">
      <c r="H11327" s="180"/>
      <c r="P11327" s="180" t="s">
        <v>257</v>
      </c>
      <c r="R11327" s="180" t="s">
        <v>257</v>
      </c>
    </row>
    <row r="11328" spans="8:18" x14ac:dyDescent="0.2">
      <c r="H11328" s="180"/>
      <c r="P11328" s="180" t="s">
        <v>257</v>
      </c>
      <c r="R11328" s="180" t="s">
        <v>257</v>
      </c>
    </row>
    <row r="11329" spans="8:18" x14ac:dyDescent="0.2">
      <c r="H11329" s="180"/>
      <c r="P11329" s="180" t="s">
        <v>257</v>
      </c>
      <c r="R11329" s="180" t="s">
        <v>257</v>
      </c>
    </row>
    <row r="11330" spans="8:18" x14ac:dyDescent="0.2">
      <c r="H11330" s="180"/>
      <c r="P11330" s="180" t="s">
        <v>257</v>
      </c>
      <c r="R11330" s="180" t="s">
        <v>257</v>
      </c>
    </row>
    <row r="11331" spans="8:18" x14ac:dyDescent="0.2">
      <c r="H11331" s="180"/>
      <c r="P11331" s="180" t="s">
        <v>257</v>
      </c>
      <c r="R11331" s="180" t="s">
        <v>257</v>
      </c>
    </row>
    <row r="11332" spans="8:18" x14ac:dyDescent="0.2">
      <c r="H11332" s="180"/>
      <c r="P11332" s="180" t="s">
        <v>257</v>
      </c>
      <c r="R11332" s="180" t="s">
        <v>257</v>
      </c>
    </row>
    <row r="11333" spans="8:18" x14ac:dyDescent="0.2">
      <c r="H11333" s="180"/>
      <c r="P11333" s="180" t="s">
        <v>257</v>
      </c>
      <c r="R11333" s="180" t="s">
        <v>257</v>
      </c>
    </row>
    <row r="11334" spans="8:18" x14ac:dyDescent="0.2">
      <c r="H11334" s="180"/>
      <c r="P11334" s="180" t="s">
        <v>257</v>
      </c>
      <c r="R11334" s="180" t="s">
        <v>257</v>
      </c>
    </row>
    <row r="11335" spans="8:18" x14ac:dyDescent="0.2">
      <c r="H11335" s="180"/>
      <c r="P11335" s="180" t="s">
        <v>257</v>
      </c>
      <c r="R11335" s="180" t="s">
        <v>257</v>
      </c>
    </row>
    <row r="11336" spans="8:18" x14ac:dyDescent="0.2">
      <c r="H11336" s="180"/>
      <c r="P11336" s="180" t="s">
        <v>257</v>
      </c>
      <c r="R11336" s="180" t="s">
        <v>257</v>
      </c>
    </row>
    <row r="11337" spans="8:18" x14ac:dyDescent="0.2">
      <c r="H11337" s="180"/>
      <c r="P11337" s="180" t="s">
        <v>257</v>
      </c>
      <c r="R11337" s="180" t="s">
        <v>257</v>
      </c>
    </row>
    <row r="11338" spans="8:18" x14ac:dyDescent="0.2">
      <c r="H11338" s="180"/>
      <c r="P11338" s="180" t="s">
        <v>257</v>
      </c>
      <c r="R11338" s="180" t="s">
        <v>257</v>
      </c>
    </row>
    <row r="11339" spans="8:18" x14ac:dyDescent="0.2">
      <c r="H11339" s="180"/>
      <c r="P11339" s="180" t="s">
        <v>257</v>
      </c>
      <c r="R11339" s="180" t="s">
        <v>257</v>
      </c>
    </row>
    <row r="11340" spans="8:18" x14ac:dyDescent="0.2">
      <c r="H11340" s="180"/>
      <c r="P11340" s="180" t="s">
        <v>257</v>
      </c>
      <c r="R11340" s="180" t="s">
        <v>257</v>
      </c>
    </row>
    <row r="11341" spans="8:18" x14ac:dyDescent="0.2">
      <c r="H11341" s="180"/>
      <c r="P11341" s="180" t="s">
        <v>257</v>
      </c>
      <c r="R11341" s="180" t="s">
        <v>257</v>
      </c>
    </row>
    <row r="11342" spans="8:18" x14ac:dyDescent="0.2">
      <c r="H11342" s="180"/>
      <c r="P11342" s="180" t="s">
        <v>257</v>
      </c>
      <c r="R11342" s="180" t="s">
        <v>257</v>
      </c>
    </row>
    <row r="11343" spans="8:18" x14ac:dyDescent="0.2">
      <c r="H11343" s="180"/>
      <c r="P11343" s="180" t="s">
        <v>257</v>
      </c>
      <c r="R11343" s="180" t="s">
        <v>257</v>
      </c>
    </row>
    <row r="11344" spans="8:18" x14ac:dyDescent="0.2">
      <c r="H11344" s="180"/>
      <c r="P11344" s="180" t="s">
        <v>257</v>
      </c>
      <c r="R11344" s="180" t="s">
        <v>257</v>
      </c>
    </row>
    <row r="11345" spans="8:18" x14ac:dyDescent="0.2">
      <c r="H11345" s="180"/>
      <c r="P11345" s="180" t="s">
        <v>257</v>
      </c>
      <c r="R11345" s="180" t="s">
        <v>257</v>
      </c>
    </row>
    <row r="11346" spans="8:18" x14ac:dyDescent="0.2">
      <c r="H11346" s="180"/>
      <c r="P11346" s="180" t="s">
        <v>257</v>
      </c>
      <c r="R11346" s="180" t="s">
        <v>257</v>
      </c>
    </row>
    <row r="11347" spans="8:18" x14ac:dyDescent="0.2">
      <c r="H11347" s="180"/>
      <c r="P11347" s="180" t="s">
        <v>257</v>
      </c>
      <c r="R11347" s="180" t="s">
        <v>257</v>
      </c>
    </row>
    <row r="11348" spans="8:18" x14ac:dyDescent="0.2">
      <c r="H11348" s="180"/>
      <c r="P11348" s="180" t="s">
        <v>257</v>
      </c>
      <c r="R11348" s="180" t="s">
        <v>257</v>
      </c>
    </row>
    <row r="11349" spans="8:18" x14ac:dyDescent="0.2">
      <c r="H11349" s="180"/>
      <c r="P11349" s="180" t="s">
        <v>257</v>
      </c>
      <c r="R11349" s="180" t="s">
        <v>257</v>
      </c>
    </row>
    <row r="11350" spans="8:18" x14ac:dyDescent="0.2">
      <c r="H11350" s="180"/>
      <c r="P11350" s="180" t="s">
        <v>257</v>
      </c>
      <c r="R11350" s="180" t="s">
        <v>257</v>
      </c>
    </row>
    <row r="11351" spans="8:18" x14ac:dyDescent="0.2">
      <c r="H11351" s="180"/>
      <c r="P11351" s="180" t="s">
        <v>257</v>
      </c>
      <c r="R11351" s="180" t="s">
        <v>257</v>
      </c>
    </row>
    <row r="11352" spans="8:18" x14ac:dyDescent="0.2">
      <c r="H11352" s="180"/>
      <c r="P11352" s="180" t="s">
        <v>257</v>
      </c>
      <c r="R11352" s="180" t="s">
        <v>257</v>
      </c>
    </row>
    <row r="11353" spans="8:18" x14ac:dyDescent="0.2">
      <c r="H11353" s="180"/>
      <c r="P11353" s="180" t="s">
        <v>257</v>
      </c>
      <c r="R11353" s="180" t="s">
        <v>257</v>
      </c>
    </row>
    <row r="11354" spans="8:18" x14ac:dyDescent="0.2">
      <c r="H11354" s="180"/>
      <c r="P11354" s="180" t="s">
        <v>257</v>
      </c>
      <c r="R11354" s="180" t="s">
        <v>257</v>
      </c>
    </row>
    <row r="11355" spans="8:18" x14ac:dyDescent="0.2">
      <c r="H11355" s="180"/>
      <c r="P11355" s="180" t="s">
        <v>257</v>
      </c>
      <c r="R11355" s="180" t="s">
        <v>257</v>
      </c>
    </row>
    <row r="11356" spans="8:18" x14ac:dyDescent="0.2">
      <c r="H11356" s="180"/>
      <c r="P11356" s="180" t="s">
        <v>257</v>
      </c>
      <c r="R11356" s="180" t="s">
        <v>257</v>
      </c>
    </row>
    <row r="11357" spans="8:18" x14ac:dyDescent="0.2">
      <c r="H11357" s="180"/>
      <c r="P11357" s="180" t="s">
        <v>257</v>
      </c>
      <c r="R11357" s="180" t="s">
        <v>257</v>
      </c>
    </row>
    <row r="11358" spans="8:18" x14ac:dyDescent="0.2">
      <c r="H11358" s="180"/>
      <c r="P11358" s="180" t="s">
        <v>257</v>
      </c>
      <c r="R11358" s="180" t="s">
        <v>257</v>
      </c>
    </row>
    <row r="11359" spans="8:18" x14ac:dyDescent="0.2">
      <c r="H11359" s="180"/>
      <c r="P11359" s="180" t="s">
        <v>257</v>
      </c>
      <c r="R11359" s="180" t="s">
        <v>257</v>
      </c>
    </row>
    <row r="11360" spans="8:18" x14ac:dyDescent="0.2">
      <c r="H11360" s="180"/>
      <c r="P11360" s="180" t="s">
        <v>257</v>
      </c>
      <c r="R11360" s="180" t="s">
        <v>257</v>
      </c>
    </row>
    <row r="11361" spans="8:18" x14ac:dyDescent="0.2">
      <c r="H11361" s="180"/>
      <c r="P11361" s="180" t="s">
        <v>257</v>
      </c>
      <c r="R11361" s="180" t="s">
        <v>257</v>
      </c>
    </row>
    <row r="11362" spans="8:18" x14ac:dyDescent="0.2">
      <c r="H11362" s="180"/>
      <c r="P11362" s="180" t="s">
        <v>257</v>
      </c>
      <c r="R11362" s="180" t="s">
        <v>257</v>
      </c>
    </row>
    <row r="11363" spans="8:18" x14ac:dyDescent="0.2">
      <c r="H11363" s="180"/>
      <c r="P11363" s="180" t="s">
        <v>257</v>
      </c>
      <c r="R11363" s="180" t="s">
        <v>257</v>
      </c>
    </row>
    <row r="11364" spans="8:18" x14ac:dyDescent="0.2">
      <c r="H11364" s="180"/>
      <c r="P11364" s="180" t="s">
        <v>257</v>
      </c>
      <c r="R11364" s="180" t="s">
        <v>257</v>
      </c>
    </row>
    <row r="11365" spans="8:18" x14ac:dyDescent="0.2">
      <c r="H11365" s="180"/>
      <c r="P11365" s="180" t="s">
        <v>257</v>
      </c>
      <c r="R11365" s="180" t="s">
        <v>257</v>
      </c>
    </row>
    <row r="11366" spans="8:18" x14ac:dyDescent="0.2">
      <c r="H11366" s="180"/>
      <c r="P11366" s="180" t="s">
        <v>257</v>
      </c>
      <c r="R11366" s="180" t="s">
        <v>257</v>
      </c>
    </row>
    <row r="11367" spans="8:18" x14ac:dyDescent="0.2">
      <c r="H11367" s="180"/>
      <c r="P11367" s="180" t="s">
        <v>257</v>
      </c>
      <c r="R11367" s="180" t="s">
        <v>257</v>
      </c>
    </row>
    <row r="11368" spans="8:18" x14ac:dyDescent="0.2">
      <c r="H11368" s="180"/>
      <c r="P11368" s="180" t="s">
        <v>257</v>
      </c>
      <c r="R11368" s="180" t="s">
        <v>257</v>
      </c>
    </row>
    <row r="11369" spans="8:18" x14ac:dyDescent="0.2">
      <c r="H11369" s="180"/>
      <c r="P11369" s="180" t="s">
        <v>257</v>
      </c>
      <c r="R11369" s="180" t="s">
        <v>257</v>
      </c>
    </row>
    <row r="11370" spans="8:18" x14ac:dyDescent="0.2">
      <c r="H11370" s="180"/>
      <c r="P11370" s="180" t="s">
        <v>257</v>
      </c>
      <c r="R11370" s="180" t="s">
        <v>257</v>
      </c>
    </row>
    <row r="11371" spans="8:18" x14ac:dyDescent="0.2">
      <c r="H11371" s="180"/>
      <c r="P11371" s="180" t="s">
        <v>257</v>
      </c>
      <c r="R11371" s="180" t="s">
        <v>257</v>
      </c>
    </row>
    <row r="11372" spans="8:18" x14ac:dyDescent="0.2">
      <c r="H11372" s="180"/>
      <c r="P11372" s="180" t="s">
        <v>257</v>
      </c>
      <c r="R11372" s="180" t="s">
        <v>257</v>
      </c>
    </row>
    <row r="11373" spans="8:18" x14ac:dyDescent="0.2">
      <c r="H11373" s="180"/>
      <c r="P11373" s="180" t="s">
        <v>257</v>
      </c>
      <c r="R11373" s="180" t="s">
        <v>257</v>
      </c>
    </row>
    <row r="11374" spans="8:18" x14ac:dyDescent="0.2">
      <c r="H11374" s="180"/>
      <c r="P11374" s="180" t="s">
        <v>257</v>
      </c>
      <c r="R11374" s="180" t="s">
        <v>257</v>
      </c>
    </row>
    <row r="11375" spans="8:18" x14ac:dyDescent="0.2">
      <c r="H11375" s="180"/>
      <c r="P11375" s="180" t="s">
        <v>257</v>
      </c>
      <c r="R11375" s="180" t="s">
        <v>257</v>
      </c>
    </row>
    <row r="11376" spans="8:18" x14ac:dyDescent="0.2">
      <c r="H11376" s="180"/>
      <c r="P11376" s="180" t="s">
        <v>257</v>
      </c>
      <c r="R11376" s="180" t="s">
        <v>257</v>
      </c>
    </row>
    <row r="11377" spans="8:18" x14ac:dyDescent="0.2">
      <c r="H11377" s="180"/>
      <c r="P11377" s="180" t="s">
        <v>257</v>
      </c>
      <c r="R11377" s="180" t="s">
        <v>257</v>
      </c>
    </row>
    <row r="11378" spans="8:18" x14ac:dyDescent="0.2">
      <c r="H11378" s="180"/>
      <c r="P11378" s="180" t="s">
        <v>257</v>
      </c>
      <c r="R11378" s="180" t="s">
        <v>257</v>
      </c>
    </row>
    <row r="11379" spans="8:18" x14ac:dyDescent="0.2">
      <c r="H11379" s="180"/>
      <c r="P11379" s="180" t="s">
        <v>257</v>
      </c>
      <c r="R11379" s="180" t="s">
        <v>257</v>
      </c>
    </row>
    <row r="11380" spans="8:18" x14ac:dyDescent="0.2">
      <c r="H11380" s="180"/>
      <c r="P11380" s="180" t="s">
        <v>257</v>
      </c>
      <c r="R11380" s="180" t="s">
        <v>257</v>
      </c>
    </row>
    <row r="11381" spans="8:18" x14ac:dyDescent="0.2">
      <c r="H11381" s="180"/>
      <c r="P11381" s="180" t="s">
        <v>257</v>
      </c>
      <c r="R11381" s="180" t="s">
        <v>257</v>
      </c>
    </row>
    <row r="11382" spans="8:18" x14ac:dyDescent="0.2">
      <c r="H11382" s="180"/>
      <c r="P11382" s="180" t="s">
        <v>257</v>
      </c>
      <c r="R11382" s="180" t="s">
        <v>257</v>
      </c>
    </row>
    <row r="11383" spans="8:18" x14ac:dyDescent="0.2">
      <c r="H11383" s="180"/>
      <c r="P11383" s="180" t="s">
        <v>257</v>
      </c>
      <c r="R11383" s="180" t="s">
        <v>257</v>
      </c>
    </row>
    <row r="11384" spans="8:18" x14ac:dyDescent="0.2">
      <c r="H11384" s="180"/>
      <c r="P11384" s="180" t="s">
        <v>257</v>
      </c>
      <c r="R11384" s="180" t="s">
        <v>257</v>
      </c>
    </row>
    <row r="11385" spans="8:18" x14ac:dyDescent="0.2">
      <c r="H11385" s="180"/>
      <c r="P11385" s="180" t="s">
        <v>257</v>
      </c>
      <c r="R11385" s="180" t="s">
        <v>257</v>
      </c>
    </row>
    <row r="11386" spans="8:18" x14ac:dyDescent="0.2">
      <c r="H11386" s="180"/>
      <c r="P11386" s="180" t="s">
        <v>257</v>
      </c>
      <c r="R11386" s="180" t="s">
        <v>257</v>
      </c>
    </row>
    <row r="11387" spans="8:18" x14ac:dyDescent="0.2">
      <c r="H11387" s="180"/>
      <c r="P11387" s="180" t="s">
        <v>257</v>
      </c>
      <c r="R11387" s="180" t="s">
        <v>257</v>
      </c>
    </row>
    <row r="11388" spans="8:18" x14ac:dyDescent="0.2">
      <c r="H11388" s="180"/>
      <c r="P11388" s="180" t="s">
        <v>257</v>
      </c>
      <c r="R11388" s="180" t="s">
        <v>257</v>
      </c>
    </row>
    <row r="11389" spans="8:18" x14ac:dyDescent="0.2">
      <c r="H11389" s="180"/>
      <c r="P11389" s="180" t="s">
        <v>257</v>
      </c>
      <c r="R11389" s="180" t="s">
        <v>257</v>
      </c>
    </row>
    <row r="11390" spans="8:18" x14ac:dyDescent="0.2">
      <c r="H11390" s="180"/>
      <c r="P11390" s="180" t="s">
        <v>257</v>
      </c>
      <c r="R11390" s="180" t="s">
        <v>257</v>
      </c>
    </row>
    <row r="11391" spans="8:18" x14ac:dyDescent="0.2">
      <c r="H11391" s="180"/>
      <c r="P11391" s="180" t="s">
        <v>257</v>
      </c>
      <c r="R11391" s="180" t="s">
        <v>257</v>
      </c>
    </row>
    <row r="11392" spans="8:18" x14ac:dyDescent="0.2">
      <c r="H11392" s="180"/>
      <c r="P11392" s="180" t="s">
        <v>257</v>
      </c>
      <c r="R11392" s="180" t="s">
        <v>257</v>
      </c>
    </row>
    <row r="11393" spans="8:18" x14ac:dyDescent="0.2">
      <c r="H11393" s="180"/>
      <c r="P11393" s="180" t="s">
        <v>257</v>
      </c>
      <c r="R11393" s="180" t="s">
        <v>257</v>
      </c>
    </row>
    <row r="11394" spans="8:18" x14ac:dyDescent="0.2">
      <c r="H11394" s="180"/>
      <c r="P11394" s="180" t="s">
        <v>257</v>
      </c>
      <c r="R11394" s="180" t="s">
        <v>257</v>
      </c>
    </row>
    <row r="11395" spans="8:18" x14ac:dyDescent="0.2">
      <c r="H11395" s="180"/>
      <c r="P11395" s="180" t="s">
        <v>257</v>
      </c>
      <c r="R11395" s="180" t="s">
        <v>257</v>
      </c>
    </row>
    <row r="11396" spans="8:18" x14ac:dyDescent="0.2">
      <c r="H11396" s="180"/>
      <c r="P11396" s="180" t="s">
        <v>257</v>
      </c>
      <c r="R11396" s="180" t="s">
        <v>257</v>
      </c>
    </row>
    <row r="11397" spans="8:18" x14ac:dyDescent="0.2">
      <c r="H11397" s="180"/>
      <c r="P11397" s="180" t="s">
        <v>257</v>
      </c>
      <c r="R11397" s="180" t="s">
        <v>257</v>
      </c>
    </row>
    <row r="11398" spans="8:18" x14ac:dyDescent="0.2">
      <c r="H11398" s="180"/>
      <c r="P11398" s="180" t="s">
        <v>257</v>
      </c>
      <c r="R11398" s="180" t="s">
        <v>257</v>
      </c>
    </row>
    <row r="11399" spans="8:18" x14ac:dyDescent="0.2">
      <c r="H11399" s="180"/>
      <c r="P11399" s="180" t="s">
        <v>257</v>
      </c>
      <c r="R11399" s="180" t="s">
        <v>257</v>
      </c>
    </row>
    <row r="11400" spans="8:18" x14ac:dyDescent="0.2">
      <c r="H11400" s="180"/>
      <c r="P11400" s="180" t="s">
        <v>257</v>
      </c>
      <c r="R11400" s="180" t="s">
        <v>257</v>
      </c>
    </row>
    <row r="11401" spans="8:18" x14ac:dyDescent="0.2">
      <c r="H11401" s="180"/>
      <c r="P11401" s="180" t="s">
        <v>257</v>
      </c>
      <c r="R11401" s="180" t="s">
        <v>257</v>
      </c>
    </row>
    <row r="11402" spans="8:18" x14ac:dyDescent="0.2">
      <c r="H11402" s="180"/>
      <c r="P11402" s="180" t="s">
        <v>257</v>
      </c>
      <c r="R11402" s="180" t="s">
        <v>257</v>
      </c>
    </row>
    <row r="11403" spans="8:18" x14ac:dyDescent="0.2">
      <c r="H11403" s="180"/>
      <c r="P11403" s="180" t="s">
        <v>257</v>
      </c>
      <c r="R11403" s="180" t="s">
        <v>257</v>
      </c>
    </row>
    <row r="11404" spans="8:18" x14ac:dyDescent="0.2">
      <c r="H11404" s="180"/>
      <c r="P11404" s="180" t="s">
        <v>257</v>
      </c>
      <c r="R11404" s="180" t="s">
        <v>257</v>
      </c>
    </row>
    <row r="11405" spans="8:18" x14ac:dyDescent="0.2">
      <c r="H11405" s="180"/>
      <c r="P11405" s="180" t="s">
        <v>257</v>
      </c>
      <c r="R11405" s="180" t="s">
        <v>257</v>
      </c>
    </row>
    <row r="11406" spans="8:18" x14ac:dyDescent="0.2">
      <c r="H11406" s="180"/>
      <c r="P11406" s="180" t="s">
        <v>257</v>
      </c>
      <c r="R11406" s="180" t="s">
        <v>257</v>
      </c>
    </row>
    <row r="11407" spans="8:18" x14ac:dyDescent="0.2">
      <c r="H11407" s="180"/>
      <c r="P11407" s="180" t="s">
        <v>257</v>
      </c>
      <c r="R11407" s="180" t="s">
        <v>257</v>
      </c>
    </row>
    <row r="11408" spans="8:18" x14ac:dyDescent="0.2">
      <c r="H11408" s="180"/>
      <c r="P11408" s="180" t="s">
        <v>257</v>
      </c>
      <c r="R11408" s="180" t="s">
        <v>257</v>
      </c>
    </row>
    <row r="11409" spans="8:18" x14ac:dyDescent="0.2">
      <c r="H11409" s="180"/>
      <c r="P11409" s="180" t="s">
        <v>257</v>
      </c>
      <c r="R11409" s="180" t="s">
        <v>257</v>
      </c>
    </row>
    <row r="11410" spans="8:18" x14ac:dyDescent="0.2">
      <c r="H11410" s="180"/>
      <c r="P11410" s="180" t="s">
        <v>257</v>
      </c>
      <c r="R11410" s="180" t="s">
        <v>257</v>
      </c>
    </row>
    <row r="11411" spans="8:18" x14ac:dyDescent="0.2">
      <c r="H11411" s="180"/>
      <c r="P11411" s="180" t="s">
        <v>257</v>
      </c>
      <c r="R11411" s="180" t="s">
        <v>257</v>
      </c>
    </row>
    <row r="11412" spans="8:18" x14ac:dyDescent="0.2">
      <c r="H11412" s="180"/>
      <c r="P11412" s="180" t="s">
        <v>257</v>
      </c>
      <c r="R11412" s="180" t="s">
        <v>257</v>
      </c>
    </row>
    <row r="11413" spans="8:18" x14ac:dyDescent="0.2">
      <c r="H11413" s="180"/>
      <c r="P11413" s="180" t="s">
        <v>257</v>
      </c>
      <c r="R11413" s="180" t="s">
        <v>257</v>
      </c>
    </row>
    <row r="11414" spans="8:18" x14ac:dyDescent="0.2">
      <c r="H11414" s="180"/>
      <c r="P11414" s="180" t="s">
        <v>257</v>
      </c>
      <c r="R11414" s="180" t="s">
        <v>257</v>
      </c>
    </row>
    <row r="11415" spans="8:18" x14ac:dyDescent="0.2">
      <c r="H11415" s="180"/>
      <c r="P11415" s="180" t="s">
        <v>257</v>
      </c>
      <c r="R11415" s="180" t="s">
        <v>257</v>
      </c>
    </row>
    <row r="11416" spans="8:18" x14ac:dyDescent="0.2">
      <c r="H11416" s="180"/>
      <c r="P11416" s="180" t="s">
        <v>257</v>
      </c>
      <c r="R11416" s="180" t="s">
        <v>257</v>
      </c>
    </row>
    <row r="11417" spans="8:18" x14ac:dyDescent="0.2">
      <c r="H11417" s="180"/>
      <c r="P11417" s="180" t="s">
        <v>257</v>
      </c>
      <c r="R11417" s="180" t="s">
        <v>257</v>
      </c>
    </row>
    <row r="11418" spans="8:18" x14ac:dyDescent="0.2">
      <c r="H11418" s="180"/>
      <c r="P11418" s="180" t="s">
        <v>257</v>
      </c>
      <c r="R11418" s="180" t="s">
        <v>257</v>
      </c>
    </row>
    <row r="11419" spans="8:18" x14ac:dyDescent="0.2">
      <c r="H11419" s="180"/>
      <c r="P11419" s="180" t="s">
        <v>257</v>
      </c>
      <c r="R11419" s="180" t="s">
        <v>257</v>
      </c>
    </row>
    <row r="11420" spans="8:18" x14ac:dyDescent="0.2">
      <c r="H11420" s="180"/>
      <c r="P11420" s="180" t="s">
        <v>257</v>
      </c>
      <c r="R11420" s="180" t="s">
        <v>257</v>
      </c>
    </row>
    <row r="11421" spans="8:18" x14ac:dyDescent="0.2">
      <c r="H11421" s="180"/>
      <c r="P11421" s="180" t="s">
        <v>257</v>
      </c>
      <c r="R11421" s="180" t="s">
        <v>257</v>
      </c>
    </row>
    <row r="11422" spans="8:18" x14ac:dyDescent="0.2">
      <c r="H11422" s="180"/>
      <c r="P11422" s="180" t="s">
        <v>257</v>
      </c>
      <c r="R11422" s="180" t="s">
        <v>257</v>
      </c>
    </row>
    <row r="11423" spans="8:18" x14ac:dyDescent="0.2">
      <c r="H11423" s="180"/>
      <c r="P11423" s="180" t="s">
        <v>257</v>
      </c>
      <c r="R11423" s="180" t="s">
        <v>257</v>
      </c>
    </row>
    <row r="11424" spans="8:18" x14ac:dyDescent="0.2">
      <c r="H11424" s="180"/>
      <c r="P11424" s="180" t="s">
        <v>257</v>
      </c>
      <c r="R11424" s="180" t="s">
        <v>257</v>
      </c>
    </row>
    <row r="11425" spans="8:18" x14ac:dyDescent="0.2">
      <c r="H11425" s="180"/>
      <c r="P11425" s="180" t="s">
        <v>257</v>
      </c>
      <c r="R11425" s="180" t="s">
        <v>257</v>
      </c>
    </row>
    <row r="11426" spans="8:18" x14ac:dyDescent="0.2">
      <c r="H11426" s="180"/>
      <c r="P11426" s="180" t="s">
        <v>257</v>
      </c>
      <c r="R11426" s="180" t="s">
        <v>257</v>
      </c>
    </row>
    <row r="11427" spans="8:18" x14ac:dyDescent="0.2">
      <c r="H11427" s="180"/>
      <c r="P11427" s="180" t="s">
        <v>257</v>
      </c>
      <c r="R11427" s="180" t="s">
        <v>257</v>
      </c>
    </row>
    <row r="11428" spans="8:18" x14ac:dyDescent="0.2">
      <c r="H11428" s="180"/>
      <c r="P11428" s="180" t="s">
        <v>257</v>
      </c>
      <c r="R11428" s="180" t="s">
        <v>257</v>
      </c>
    </row>
    <row r="11429" spans="8:18" x14ac:dyDescent="0.2">
      <c r="H11429" s="180"/>
      <c r="P11429" s="180" t="s">
        <v>257</v>
      </c>
      <c r="R11429" s="180" t="s">
        <v>257</v>
      </c>
    </row>
    <row r="11430" spans="8:18" x14ac:dyDescent="0.2">
      <c r="H11430" s="180"/>
      <c r="P11430" s="180" t="s">
        <v>257</v>
      </c>
      <c r="R11430" s="180" t="s">
        <v>257</v>
      </c>
    </row>
    <row r="11431" spans="8:18" x14ac:dyDescent="0.2">
      <c r="H11431" s="180"/>
      <c r="P11431" s="180" t="s">
        <v>257</v>
      </c>
      <c r="R11431" s="180" t="s">
        <v>257</v>
      </c>
    </row>
    <row r="11432" spans="8:18" x14ac:dyDescent="0.2">
      <c r="H11432" s="180"/>
      <c r="P11432" s="180" t="s">
        <v>257</v>
      </c>
      <c r="R11432" s="180" t="s">
        <v>257</v>
      </c>
    </row>
    <row r="11433" spans="8:18" x14ac:dyDescent="0.2">
      <c r="H11433" s="180"/>
      <c r="P11433" s="180" t="s">
        <v>257</v>
      </c>
      <c r="R11433" s="180" t="s">
        <v>257</v>
      </c>
    </row>
    <row r="11434" spans="8:18" x14ac:dyDescent="0.2">
      <c r="H11434" s="180"/>
      <c r="P11434" s="180" t="s">
        <v>257</v>
      </c>
      <c r="R11434" s="180" t="s">
        <v>257</v>
      </c>
    </row>
    <row r="11435" spans="8:18" x14ac:dyDescent="0.2">
      <c r="H11435" s="180"/>
      <c r="P11435" s="180" t="s">
        <v>257</v>
      </c>
      <c r="R11435" s="180" t="s">
        <v>257</v>
      </c>
    </row>
    <row r="11436" spans="8:18" x14ac:dyDescent="0.2">
      <c r="H11436" s="180"/>
      <c r="P11436" s="180" t="s">
        <v>257</v>
      </c>
      <c r="R11436" s="180" t="s">
        <v>257</v>
      </c>
    </row>
    <row r="11437" spans="8:18" x14ac:dyDescent="0.2">
      <c r="H11437" s="180"/>
      <c r="P11437" s="180" t="s">
        <v>257</v>
      </c>
      <c r="R11437" s="180" t="s">
        <v>257</v>
      </c>
    </row>
    <row r="11438" spans="8:18" x14ac:dyDescent="0.2">
      <c r="H11438" s="180"/>
      <c r="P11438" s="180" t="s">
        <v>257</v>
      </c>
      <c r="R11438" s="180" t="s">
        <v>257</v>
      </c>
    </row>
    <row r="11439" spans="8:18" x14ac:dyDescent="0.2">
      <c r="H11439" s="180"/>
      <c r="P11439" s="180" t="s">
        <v>257</v>
      </c>
      <c r="R11439" s="180" t="s">
        <v>257</v>
      </c>
    </row>
    <row r="11440" spans="8:18" x14ac:dyDescent="0.2">
      <c r="H11440" s="180"/>
      <c r="P11440" s="180" t="s">
        <v>257</v>
      </c>
      <c r="R11440" s="180" t="s">
        <v>257</v>
      </c>
    </row>
    <row r="11441" spans="8:18" x14ac:dyDescent="0.2">
      <c r="H11441" s="180"/>
      <c r="P11441" s="180" t="s">
        <v>257</v>
      </c>
      <c r="R11441" s="180" t="s">
        <v>257</v>
      </c>
    </row>
    <row r="11442" spans="8:18" x14ac:dyDescent="0.2">
      <c r="H11442" s="180"/>
      <c r="P11442" s="180" t="s">
        <v>257</v>
      </c>
      <c r="R11442" s="180" t="s">
        <v>257</v>
      </c>
    </row>
    <row r="11443" spans="8:18" x14ac:dyDescent="0.2">
      <c r="H11443" s="180"/>
      <c r="P11443" s="180" t="s">
        <v>257</v>
      </c>
      <c r="R11443" s="180" t="s">
        <v>257</v>
      </c>
    </row>
    <row r="11444" spans="8:18" x14ac:dyDescent="0.2">
      <c r="H11444" s="180"/>
      <c r="P11444" s="180" t="s">
        <v>257</v>
      </c>
      <c r="R11444" s="180" t="s">
        <v>257</v>
      </c>
    </row>
    <row r="11445" spans="8:18" x14ac:dyDescent="0.2">
      <c r="H11445" s="180"/>
      <c r="P11445" s="180" t="s">
        <v>257</v>
      </c>
      <c r="R11445" s="180" t="s">
        <v>257</v>
      </c>
    </row>
    <row r="11446" spans="8:18" x14ac:dyDescent="0.2">
      <c r="H11446" s="180"/>
      <c r="P11446" s="180" t="s">
        <v>257</v>
      </c>
      <c r="R11446" s="180" t="s">
        <v>257</v>
      </c>
    </row>
    <row r="11447" spans="8:18" x14ac:dyDescent="0.2">
      <c r="H11447" s="180"/>
      <c r="P11447" s="180" t="s">
        <v>257</v>
      </c>
      <c r="R11447" s="180" t="s">
        <v>257</v>
      </c>
    </row>
    <row r="11448" spans="8:18" x14ac:dyDescent="0.2">
      <c r="H11448" s="180"/>
      <c r="P11448" s="180" t="s">
        <v>257</v>
      </c>
      <c r="R11448" s="180" t="s">
        <v>257</v>
      </c>
    </row>
    <row r="11449" spans="8:18" x14ac:dyDescent="0.2">
      <c r="H11449" s="180"/>
      <c r="P11449" s="180" t="s">
        <v>257</v>
      </c>
      <c r="R11449" s="180" t="s">
        <v>257</v>
      </c>
    </row>
    <row r="11450" spans="8:18" x14ac:dyDescent="0.2">
      <c r="H11450" s="180"/>
      <c r="P11450" s="180" t="s">
        <v>257</v>
      </c>
      <c r="R11450" s="180" t="s">
        <v>257</v>
      </c>
    </row>
    <row r="11451" spans="8:18" x14ac:dyDescent="0.2">
      <c r="H11451" s="180"/>
      <c r="P11451" s="180" t="s">
        <v>257</v>
      </c>
      <c r="R11451" s="180" t="s">
        <v>257</v>
      </c>
    </row>
    <row r="11452" spans="8:18" x14ac:dyDescent="0.2">
      <c r="H11452" s="180"/>
      <c r="P11452" s="180" t="s">
        <v>257</v>
      </c>
      <c r="R11452" s="180" t="s">
        <v>257</v>
      </c>
    </row>
    <row r="11453" spans="8:18" x14ac:dyDescent="0.2">
      <c r="H11453" s="180"/>
      <c r="P11453" s="180" t="s">
        <v>257</v>
      </c>
      <c r="R11453" s="180" t="s">
        <v>257</v>
      </c>
    </row>
    <row r="11454" spans="8:18" x14ac:dyDescent="0.2">
      <c r="H11454" s="180"/>
      <c r="P11454" s="180" t="s">
        <v>257</v>
      </c>
      <c r="R11454" s="180" t="s">
        <v>257</v>
      </c>
    </row>
    <row r="11455" spans="8:18" x14ac:dyDescent="0.2">
      <c r="H11455" s="180"/>
      <c r="P11455" s="180" t="s">
        <v>257</v>
      </c>
      <c r="R11455" s="180" t="s">
        <v>257</v>
      </c>
    </row>
    <row r="11456" spans="8:18" x14ac:dyDescent="0.2">
      <c r="H11456" s="180"/>
      <c r="P11456" s="180" t="s">
        <v>257</v>
      </c>
      <c r="R11456" s="180" t="s">
        <v>257</v>
      </c>
    </row>
    <row r="11457" spans="8:18" x14ac:dyDescent="0.2">
      <c r="H11457" s="180"/>
      <c r="P11457" s="180" t="s">
        <v>257</v>
      </c>
      <c r="R11457" s="180" t="s">
        <v>257</v>
      </c>
    </row>
    <row r="11458" spans="8:18" x14ac:dyDescent="0.2">
      <c r="H11458" s="180"/>
      <c r="P11458" s="180" t="s">
        <v>257</v>
      </c>
      <c r="R11458" s="180" t="s">
        <v>257</v>
      </c>
    </row>
    <row r="11459" spans="8:18" x14ac:dyDescent="0.2">
      <c r="H11459" s="180"/>
      <c r="P11459" s="180" t="s">
        <v>257</v>
      </c>
      <c r="R11459" s="180" t="s">
        <v>257</v>
      </c>
    </row>
    <row r="11460" spans="8:18" x14ac:dyDescent="0.2">
      <c r="H11460" s="180"/>
      <c r="P11460" s="180" t="s">
        <v>257</v>
      </c>
      <c r="R11460" s="180" t="s">
        <v>257</v>
      </c>
    </row>
    <row r="11461" spans="8:18" x14ac:dyDescent="0.2">
      <c r="H11461" s="180"/>
      <c r="P11461" s="180" t="s">
        <v>257</v>
      </c>
      <c r="R11461" s="180" t="s">
        <v>257</v>
      </c>
    </row>
    <row r="11462" spans="8:18" x14ac:dyDescent="0.2">
      <c r="H11462" s="180"/>
      <c r="P11462" s="180" t="s">
        <v>257</v>
      </c>
      <c r="R11462" s="180" t="s">
        <v>257</v>
      </c>
    </row>
    <row r="11463" spans="8:18" x14ac:dyDescent="0.2">
      <c r="H11463" s="180"/>
      <c r="P11463" s="180" t="s">
        <v>257</v>
      </c>
      <c r="R11463" s="180" t="s">
        <v>257</v>
      </c>
    </row>
    <row r="11464" spans="8:18" x14ac:dyDescent="0.2">
      <c r="H11464" s="180"/>
      <c r="P11464" s="180" t="s">
        <v>257</v>
      </c>
      <c r="R11464" s="180" t="s">
        <v>257</v>
      </c>
    </row>
    <row r="11465" spans="8:18" x14ac:dyDescent="0.2">
      <c r="H11465" s="180"/>
      <c r="P11465" s="180" t="s">
        <v>257</v>
      </c>
      <c r="R11465" s="180" t="s">
        <v>257</v>
      </c>
    </row>
    <row r="11466" spans="8:18" x14ac:dyDescent="0.2">
      <c r="H11466" s="180"/>
      <c r="P11466" s="180" t="s">
        <v>257</v>
      </c>
      <c r="R11466" s="180" t="s">
        <v>257</v>
      </c>
    </row>
    <row r="11467" spans="8:18" x14ac:dyDescent="0.2">
      <c r="H11467" s="180"/>
      <c r="P11467" s="180" t="s">
        <v>257</v>
      </c>
      <c r="R11467" s="180" t="s">
        <v>257</v>
      </c>
    </row>
    <row r="11468" spans="8:18" x14ac:dyDescent="0.2">
      <c r="H11468" s="180"/>
      <c r="P11468" s="180" t="s">
        <v>257</v>
      </c>
      <c r="R11468" s="180" t="s">
        <v>257</v>
      </c>
    </row>
    <row r="11469" spans="8:18" x14ac:dyDescent="0.2">
      <c r="H11469" s="180"/>
      <c r="P11469" s="180" t="s">
        <v>257</v>
      </c>
      <c r="R11469" s="180" t="s">
        <v>257</v>
      </c>
    </row>
    <row r="11470" spans="8:18" x14ac:dyDescent="0.2">
      <c r="H11470" s="180"/>
      <c r="P11470" s="180" t="s">
        <v>257</v>
      </c>
      <c r="R11470" s="180" t="s">
        <v>257</v>
      </c>
    </row>
    <row r="11471" spans="8:18" x14ac:dyDescent="0.2">
      <c r="H11471" s="180"/>
      <c r="P11471" s="180" t="s">
        <v>257</v>
      </c>
      <c r="R11471" s="180" t="s">
        <v>257</v>
      </c>
    </row>
    <row r="11472" spans="8:18" x14ac:dyDescent="0.2">
      <c r="H11472" s="180"/>
      <c r="P11472" s="180" t="s">
        <v>257</v>
      </c>
      <c r="R11472" s="180" t="s">
        <v>257</v>
      </c>
    </row>
    <row r="11473" spans="8:18" x14ac:dyDescent="0.2">
      <c r="H11473" s="180"/>
      <c r="P11473" s="180" t="s">
        <v>257</v>
      </c>
      <c r="R11473" s="180" t="s">
        <v>257</v>
      </c>
    </row>
    <row r="11474" spans="8:18" x14ac:dyDescent="0.2">
      <c r="H11474" s="180"/>
      <c r="P11474" s="180" t="s">
        <v>257</v>
      </c>
      <c r="R11474" s="180" t="s">
        <v>257</v>
      </c>
    </row>
    <row r="11475" spans="8:18" x14ac:dyDescent="0.2">
      <c r="H11475" s="180"/>
      <c r="P11475" s="180" t="s">
        <v>257</v>
      </c>
      <c r="R11475" s="180" t="s">
        <v>257</v>
      </c>
    </row>
    <row r="11476" spans="8:18" x14ac:dyDescent="0.2">
      <c r="H11476" s="180"/>
      <c r="P11476" s="180" t="s">
        <v>257</v>
      </c>
      <c r="R11476" s="180" t="s">
        <v>257</v>
      </c>
    </row>
    <row r="11477" spans="8:18" x14ac:dyDescent="0.2">
      <c r="H11477" s="180"/>
      <c r="P11477" s="180" t="s">
        <v>257</v>
      </c>
      <c r="R11477" s="180" t="s">
        <v>257</v>
      </c>
    </row>
    <row r="11478" spans="8:18" x14ac:dyDescent="0.2">
      <c r="H11478" s="180"/>
      <c r="P11478" s="180" t="s">
        <v>257</v>
      </c>
      <c r="R11478" s="180" t="s">
        <v>257</v>
      </c>
    </row>
    <row r="11479" spans="8:18" x14ac:dyDescent="0.2">
      <c r="H11479" s="180"/>
      <c r="P11479" s="180" t="s">
        <v>257</v>
      </c>
      <c r="R11479" s="180" t="s">
        <v>257</v>
      </c>
    </row>
    <row r="11480" spans="8:18" x14ac:dyDescent="0.2">
      <c r="H11480" s="180"/>
      <c r="P11480" s="180" t="s">
        <v>257</v>
      </c>
      <c r="R11480" s="180" t="s">
        <v>257</v>
      </c>
    </row>
    <row r="11481" spans="8:18" x14ac:dyDescent="0.2">
      <c r="H11481" s="180"/>
      <c r="P11481" s="180" t="s">
        <v>257</v>
      </c>
      <c r="R11481" s="180" t="s">
        <v>257</v>
      </c>
    </row>
    <row r="11482" spans="8:18" x14ac:dyDescent="0.2">
      <c r="H11482" s="180"/>
      <c r="P11482" s="180" t="s">
        <v>257</v>
      </c>
      <c r="R11482" s="180" t="s">
        <v>257</v>
      </c>
    </row>
    <row r="11483" spans="8:18" x14ac:dyDescent="0.2">
      <c r="H11483" s="180"/>
      <c r="P11483" s="180" t="s">
        <v>257</v>
      </c>
      <c r="R11483" s="180" t="s">
        <v>257</v>
      </c>
    </row>
    <row r="11484" spans="8:18" x14ac:dyDescent="0.2">
      <c r="H11484" s="180"/>
      <c r="P11484" s="180" t="s">
        <v>257</v>
      </c>
      <c r="R11484" s="180" t="s">
        <v>257</v>
      </c>
    </row>
    <row r="11485" spans="8:18" x14ac:dyDescent="0.2">
      <c r="H11485" s="180"/>
      <c r="P11485" s="180" t="s">
        <v>257</v>
      </c>
      <c r="R11485" s="180" t="s">
        <v>257</v>
      </c>
    </row>
    <row r="11486" spans="8:18" x14ac:dyDescent="0.2">
      <c r="H11486" s="180"/>
      <c r="P11486" s="180" t="s">
        <v>257</v>
      </c>
      <c r="R11486" s="180" t="s">
        <v>257</v>
      </c>
    </row>
    <row r="11487" spans="8:18" x14ac:dyDescent="0.2">
      <c r="H11487" s="180"/>
      <c r="P11487" s="180" t="s">
        <v>257</v>
      </c>
      <c r="R11487" s="180" t="s">
        <v>257</v>
      </c>
    </row>
    <row r="11488" spans="8:18" x14ac:dyDescent="0.2">
      <c r="H11488" s="180"/>
      <c r="P11488" s="180" t="s">
        <v>257</v>
      </c>
      <c r="R11488" s="180" t="s">
        <v>257</v>
      </c>
    </row>
    <row r="11489" spans="8:18" x14ac:dyDescent="0.2">
      <c r="H11489" s="180"/>
      <c r="P11489" s="180" t="s">
        <v>257</v>
      </c>
      <c r="R11489" s="180" t="s">
        <v>257</v>
      </c>
    </row>
    <row r="11490" spans="8:18" x14ac:dyDescent="0.2">
      <c r="H11490" s="180"/>
      <c r="P11490" s="180" t="s">
        <v>257</v>
      </c>
      <c r="R11490" s="180" t="s">
        <v>257</v>
      </c>
    </row>
    <row r="11491" spans="8:18" x14ac:dyDescent="0.2">
      <c r="H11491" s="180"/>
      <c r="P11491" s="180" t="s">
        <v>257</v>
      </c>
      <c r="R11491" s="180" t="s">
        <v>257</v>
      </c>
    </row>
    <row r="11492" spans="8:18" x14ac:dyDescent="0.2">
      <c r="H11492" s="180"/>
      <c r="P11492" s="180" t="s">
        <v>257</v>
      </c>
      <c r="R11492" s="180" t="s">
        <v>257</v>
      </c>
    </row>
    <row r="11493" spans="8:18" x14ac:dyDescent="0.2">
      <c r="H11493" s="180"/>
      <c r="P11493" s="180" t="s">
        <v>257</v>
      </c>
      <c r="R11493" s="180" t="s">
        <v>257</v>
      </c>
    </row>
    <row r="11494" spans="8:18" x14ac:dyDescent="0.2">
      <c r="H11494" s="180"/>
      <c r="P11494" s="180" t="s">
        <v>257</v>
      </c>
      <c r="R11494" s="180" t="s">
        <v>257</v>
      </c>
    </row>
    <row r="11495" spans="8:18" x14ac:dyDescent="0.2">
      <c r="H11495" s="180"/>
      <c r="P11495" s="180" t="s">
        <v>257</v>
      </c>
      <c r="R11495" s="180" t="s">
        <v>257</v>
      </c>
    </row>
    <row r="11496" spans="8:18" x14ac:dyDescent="0.2">
      <c r="H11496" s="180"/>
      <c r="P11496" s="180" t="s">
        <v>257</v>
      </c>
      <c r="R11496" s="180" t="s">
        <v>257</v>
      </c>
    </row>
    <row r="11497" spans="8:18" x14ac:dyDescent="0.2">
      <c r="H11497" s="180"/>
      <c r="P11497" s="180" t="s">
        <v>257</v>
      </c>
      <c r="R11497" s="180" t="s">
        <v>257</v>
      </c>
    </row>
    <row r="11498" spans="8:18" x14ac:dyDescent="0.2">
      <c r="H11498" s="180"/>
      <c r="P11498" s="180" t="s">
        <v>257</v>
      </c>
      <c r="R11498" s="180" t="s">
        <v>257</v>
      </c>
    </row>
    <row r="11499" spans="8:18" x14ac:dyDescent="0.2">
      <c r="H11499" s="180"/>
      <c r="P11499" s="180" t="s">
        <v>257</v>
      </c>
      <c r="R11499" s="180" t="s">
        <v>257</v>
      </c>
    </row>
    <row r="11500" spans="8:18" x14ac:dyDescent="0.2">
      <c r="H11500" s="180"/>
      <c r="P11500" s="180" t="s">
        <v>257</v>
      </c>
      <c r="R11500" s="180" t="s">
        <v>257</v>
      </c>
    </row>
    <row r="11501" spans="8:18" x14ac:dyDescent="0.2">
      <c r="H11501" s="180"/>
      <c r="P11501" s="180" t="s">
        <v>257</v>
      </c>
      <c r="R11501" s="180" t="s">
        <v>257</v>
      </c>
    </row>
    <row r="11502" spans="8:18" x14ac:dyDescent="0.2">
      <c r="H11502" s="180"/>
      <c r="P11502" s="180" t="s">
        <v>257</v>
      </c>
      <c r="R11502" s="180" t="s">
        <v>257</v>
      </c>
    </row>
    <row r="11503" spans="8:18" x14ac:dyDescent="0.2">
      <c r="H11503" s="180"/>
      <c r="P11503" s="180" t="s">
        <v>257</v>
      </c>
      <c r="R11503" s="180" t="s">
        <v>257</v>
      </c>
    </row>
    <row r="11504" spans="8:18" x14ac:dyDescent="0.2">
      <c r="H11504" s="180"/>
      <c r="P11504" s="180" t="s">
        <v>257</v>
      </c>
      <c r="R11504" s="180" t="s">
        <v>257</v>
      </c>
    </row>
    <row r="11505" spans="8:18" x14ac:dyDescent="0.2">
      <c r="H11505" s="180"/>
      <c r="P11505" s="180" t="s">
        <v>257</v>
      </c>
      <c r="R11505" s="180" t="s">
        <v>257</v>
      </c>
    </row>
    <row r="11506" spans="8:18" x14ac:dyDescent="0.2">
      <c r="H11506" s="180"/>
      <c r="P11506" s="180" t="s">
        <v>257</v>
      </c>
      <c r="R11506" s="180" t="s">
        <v>257</v>
      </c>
    </row>
    <row r="11507" spans="8:18" x14ac:dyDescent="0.2">
      <c r="H11507" s="180"/>
      <c r="P11507" s="180" t="s">
        <v>257</v>
      </c>
      <c r="R11507" s="180" t="s">
        <v>257</v>
      </c>
    </row>
    <row r="11508" spans="8:18" x14ac:dyDescent="0.2">
      <c r="H11508" s="180"/>
      <c r="P11508" s="180" t="s">
        <v>257</v>
      </c>
      <c r="R11508" s="180" t="s">
        <v>257</v>
      </c>
    </row>
    <row r="11509" spans="8:18" x14ac:dyDescent="0.2">
      <c r="H11509" s="180"/>
      <c r="P11509" s="180" t="s">
        <v>257</v>
      </c>
      <c r="R11509" s="180" t="s">
        <v>257</v>
      </c>
    </row>
    <row r="11510" spans="8:18" x14ac:dyDescent="0.2">
      <c r="H11510" s="180"/>
      <c r="P11510" s="180" t="s">
        <v>257</v>
      </c>
      <c r="R11510" s="180" t="s">
        <v>257</v>
      </c>
    </row>
    <row r="11511" spans="8:18" x14ac:dyDescent="0.2">
      <c r="H11511" s="180"/>
      <c r="P11511" s="180" t="s">
        <v>257</v>
      </c>
      <c r="R11511" s="180" t="s">
        <v>257</v>
      </c>
    </row>
    <row r="11512" spans="8:18" x14ac:dyDescent="0.2">
      <c r="H11512" s="180"/>
      <c r="P11512" s="180" t="s">
        <v>257</v>
      </c>
      <c r="R11512" s="180" t="s">
        <v>257</v>
      </c>
    </row>
    <row r="11513" spans="8:18" x14ac:dyDescent="0.2">
      <c r="H11513" s="180"/>
      <c r="P11513" s="180" t="s">
        <v>257</v>
      </c>
      <c r="R11513" s="180" t="s">
        <v>257</v>
      </c>
    </row>
    <row r="11514" spans="8:18" x14ac:dyDescent="0.2">
      <c r="H11514" s="180"/>
      <c r="P11514" s="180" t="s">
        <v>257</v>
      </c>
      <c r="R11514" s="180" t="s">
        <v>257</v>
      </c>
    </row>
    <row r="11515" spans="8:18" x14ac:dyDescent="0.2">
      <c r="H11515" s="180"/>
      <c r="P11515" s="180" t="s">
        <v>257</v>
      </c>
      <c r="R11515" s="180" t="s">
        <v>257</v>
      </c>
    </row>
    <row r="11516" spans="8:18" x14ac:dyDescent="0.2">
      <c r="H11516" s="180"/>
      <c r="P11516" s="180" t="s">
        <v>257</v>
      </c>
      <c r="R11516" s="180" t="s">
        <v>257</v>
      </c>
    </row>
    <row r="11517" spans="8:18" x14ac:dyDescent="0.2">
      <c r="H11517" s="180"/>
      <c r="P11517" s="180" t="s">
        <v>257</v>
      </c>
      <c r="R11517" s="180" t="s">
        <v>257</v>
      </c>
    </row>
    <row r="11518" spans="8:18" x14ac:dyDescent="0.2">
      <c r="H11518" s="180"/>
      <c r="P11518" s="180" t="s">
        <v>257</v>
      </c>
      <c r="R11518" s="180" t="s">
        <v>257</v>
      </c>
    </row>
    <row r="11519" spans="8:18" x14ac:dyDescent="0.2">
      <c r="H11519" s="180"/>
      <c r="P11519" s="180" t="s">
        <v>257</v>
      </c>
      <c r="R11519" s="180" t="s">
        <v>257</v>
      </c>
    </row>
    <row r="11520" spans="8:18" x14ac:dyDescent="0.2">
      <c r="H11520" s="180"/>
      <c r="P11520" s="180" t="s">
        <v>257</v>
      </c>
      <c r="R11520" s="180" t="s">
        <v>257</v>
      </c>
    </row>
    <row r="11521" spans="8:18" x14ac:dyDescent="0.2">
      <c r="H11521" s="180"/>
      <c r="P11521" s="180" t="s">
        <v>257</v>
      </c>
      <c r="R11521" s="180" t="s">
        <v>257</v>
      </c>
    </row>
    <row r="11522" spans="8:18" x14ac:dyDescent="0.2">
      <c r="H11522" s="180"/>
      <c r="P11522" s="180" t="s">
        <v>257</v>
      </c>
      <c r="R11522" s="180" t="s">
        <v>257</v>
      </c>
    </row>
    <row r="11523" spans="8:18" x14ac:dyDescent="0.2">
      <c r="H11523" s="180"/>
      <c r="P11523" s="180" t="s">
        <v>257</v>
      </c>
      <c r="R11523" s="180" t="s">
        <v>257</v>
      </c>
    </row>
    <row r="11524" spans="8:18" x14ac:dyDescent="0.2">
      <c r="H11524" s="180"/>
      <c r="P11524" s="180" t="s">
        <v>257</v>
      </c>
      <c r="R11524" s="180" t="s">
        <v>257</v>
      </c>
    </row>
    <row r="11525" spans="8:18" x14ac:dyDescent="0.2">
      <c r="H11525" s="180"/>
      <c r="P11525" s="180" t="s">
        <v>257</v>
      </c>
      <c r="R11525" s="180" t="s">
        <v>257</v>
      </c>
    </row>
    <row r="11526" spans="8:18" x14ac:dyDescent="0.2">
      <c r="H11526" s="180"/>
      <c r="P11526" s="180" t="s">
        <v>257</v>
      </c>
      <c r="R11526" s="180" t="s">
        <v>257</v>
      </c>
    </row>
    <row r="11527" spans="8:18" x14ac:dyDescent="0.2">
      <c r="H11527" s="180"/>
      <c r="P11527" s="180" t="s">
        <v>257</v>
      </c>
      <c r="R11527" s="180" t="s">
        <v>257</v>
      </c>
    </row>
    <row r="11528" spans="8:18" x14ac:dyDescent="0.2">
      <c r="H11528" s="180"/>
      <c r="P11528" s="180" t="s">
        <v>257</v>
      </c>
      <c r="R11528" s="180" t="s">
        <v>257</v>
      </c>
    </row>
    <row r="11529" spans="8:18" x14ac:dyDescent="0.2">
      <c r="H11529" s="180"/>
      <c r="P11529" s="180" t="s">
        <v>257</v>
      </c>
      <c r="R11529" s="180" t="s">
        <v>257</v>
      </c>
    </row>
    <row r="11530" spans="8:18" x14ac:dyDescent="0.2">
      <c r="H11530" s="180"/>
      <c r="P11530" s="180" t="s">
        <v>257</v>
      </c>
      <c r="R11530" s="180" t="s">
        <v>257</v>
      </c>
    </row>
    <row r="11531" spans="8:18" x14ac:dyDescent="0.2">
      <c r="H11531" s="180"/>
      <c r="P11531" s="180" t="s">
        <v>257</v>
      </c>
      <c r="R11531" s="180" t="s">
        <v>257</v>
      </c>
    </row>
    <row r="11532" spans="8:18" x14ac:dyDescent="0.2">
      <c r="H11532" s="180"/>
      <c r="P11532" s="180" t="s">
        <v>257</v>
      </c>
      <c r="R11532" s="180" t="s">
        <v>257</v>
      </c>
    </row>
    <row r="11533" spans="8:18" x14ac:dyDescent="0.2">
      <c r="H11533" s="180"/>
      <c r="P11533" s="180" t="s">
        <v>257</v>
      </c>
      <c r="R11533" s="180" t="s">
        <v>257</v>
      </c>
    </row>
    <row r="11534" spans="8:18" x14ac:dyDescent="0.2">
      <c r="H11534" s="180"/>
      <c r="P11534" s="180" t="s">
        <v>257</v>
      </c>
      <c r="R11534" s="180" t="s">
        <v>257</v>
      </c>
    </row>
    <row r="11535" spans="8:18" x14ac:dyDescent="0.2">
      <c r="H11535" s="180"/>
      <c r="P11535" s="180" t="s">
        <v>257</v>
      </c>
      <c r="R11535" s="180" t="s">
        <v>257</v>
      </c>
    </row>
    <row r="11536" spans="8:18" x14ac:dyDescent="0.2">
      <c r="H11536" s="180"/>
      <c r="P11536" s="180" t="s">
        <v>257</v>
      </c>
      <c r="R11536" s="180" t="s">
        <v>257</v>
      </c>
    </row>
    <row r="11537" spans="8:18" x14ac:dyDescent="0.2">
      <c r="H11537" s="180"/>
      <c r="P11537" s="180" t="s">
        <v>257</v>
      </c>
      <c r="R11537" s="180" t="s">
        <v>257</v>
      </c>
    </row>
    <row r="11538" spans="8:18" x14ac:dyDescent="0.2">
      <c r="H11538" s="180"/>
      <c r="P11538" s="180" t="s">
        <v>257</v>
      </c>
      <c r="R11538" s="180" t="s">
        <v>257</v>
      </c>
    </row>
    <row r="11539" spans="8:18" x14ac:dyDescent="0.2">
      <c r="H11539" s="180"/>
      <c r="P11539" s="180" t="s">
        <v>257</v>
      </c>
      <c r="R11539" s="180" t="s">
        <v>257</v>
      </c>
    </row>
    <row r="11540" spans="8:18" x14ac:dyDescent="0.2">
      <c r="H11540" s="180"/>
      <c r="P11540" s="180" t="s">
        <v>257</v>
      </c>
      <c r="R11540" s="180" t="s">
        <v>257</v>
      </c>
    </row>
    <row r="11541" spans="8:18" x14ac:dyDescent="0.2">
      <c r="H11541" s="180"/>
      <c r="P11541" s="180" t="s">
        <v>257</v>
      </c>
      <c r="R11541" s="180" t="s">
        <v>257</v>
      </c>
    </row>
    <row r="11542" spans="8:18" x14ac:dyDescent="0.2">
      <c r="H11542" s="180"/>
      <c r="P11542" s="180" t="s">
        <v>257</v>
      </c>
      <c r="R11542" s="180" t="s">
        <v>257</v>
      </c>
    </row>
    <row r="11543" spans="8:18" x14ac:dyDescent="0.2">
      <c r="H11543" s="180"/>
      <c r="P11543" s="180" t="s">
        <v>257</v>
      </c>
      <c r="R11543" s="180" t="s">
        <v>257</v>
      </c>
    </row>
    <row r="11544" spans="8:18" x14ac:dyDescent="0.2">
      <c r="H11544" s="180"/>
      <c r="P11544" s="180" t="s">
        <v>257</v>
      </c>
      <c r="R11544" s="180" t="s">
        <v>257</v>
      </c>
    </row>
    <row r="11545" spans="8:18" x14ac:dyDescent="0.2">
      <c r="H11545" s="180"/>
      <c r="P11545" s="180" t="s">
        <v>257</v>
      </c>
      <c r="R11545" s="180" t="s">
        <v>257</v>
      </c>
    </row>
    <row r="11546" spans="8:18" x14ac:dyDescent="0.2">
      <c r="H11546" s="180"/>
      <c r="P11546" s="180" t="s">
        <v>257</v>
      </c>
      <c r="R11546" s="180" t="s">
        <v>257</v>
      </c>
    </row>
    <row r="11547" spans="8:18" x14ac:dyDescent="0.2">
      <c r="H11547" s="180"/>
      <c r="P11547" s="180" t="s">
        <v>257</v>
      </c>
      <c r="R11547" s="180" t="s">
        <v>257</v>
      </c>
    </row>
    <row r="11548" spans="8:18" x14ac:dyDescent="0.2">
      <c r="H11548" s="180"/>
      <c r="P11548" s="180" t="s">
        <v>257</v>
      </c>
      <c r="R11548" s="180" t="s">
        <v>257</v>
      </c>
    </row>
    <row r="11549" spans="8:18" x14ac:dyDescent="0.2">
      <c r="H11549" s="180"/>
      <c r="P11549" s="180" t="s">
        <v>257</v>
      </c>
      <c r="R11549" s="180" t="s">
        <v>257</v>
      </c>
    </row>
    <row r="11550" spans="8:18" x14ac:dyDescent="0.2">
      <c r="H11550" s="180"/>
      <c r="P11550" s="180" t="s">
        <v>257</v>
      </c>
      <c r="R11550" s="180" t="s">
        <v>257</v>
      </c>
    </row>
    <row r="11551" spans="8:18" x14ac:dyDescent="0.2">
      <c r="H11551" s="180"/>
      <c r="P11551" s="180" t="s">
        <v>257</v>
      </c>
      <c r="R11551" s="180" t="s">
        <v>257</v>
      </c>
    </row>
    <row r="11552" spans="8:18" x14ac:dyDescent="0.2">
      <c r="H11552" s="180"/>
      <c r="P11552" s="180" t="s">
        <v>257</v>
      </c>
      <c r="R11552" s="180" t="s">
        <v>257</v>
      </c>
    </row>
    <row r="11553" spans="8:18" x14ac:dyDescent="0.2">
      <c r="H11553" s="180"/>
      <c r="P11553" s="180" t="s">
        <v>257</v>
      </c>
      <c r="R11553" s="180" t="s">
        <v>257</v>
      </c>
    </row>
    <row r="11554" spans="8:18" x14ac:dyDescent="0.2">
      <c r="H11554" s="180"/>
      <c r="P11554" s="180" t="s">
        <v>257</v>
      </c>
      <c r="R11554" s="180" t="s">
        <v>257</v>
      </c>
    </row>
    <row r="11555" spans="8:18" x14ac:dyDescent="0.2">
      <c r="H11555" s="180"/>
      <c r="P11555" s="180" t="s">
        <v>257</v>
      </c>
      <c r="R11555" s="180" t="s">
        <v>257</v>
      </c>
    </row>
    <row r="11556" spans="8:18" x14ac:dyDescent="0.2">
      <c r="H11556" s="180"/>
      <c r="P11556" s="180" t="s">
        <v>257</v>
      </c>
      <c r="R11556" s="180" t="s">
        <v>257</v>
      </c>
    </row>
    <row r="11557" spans="8:18" x14ac:dyDescent="0.2">
      <c r="H11557" s="180"/>
      <c r="P11557" s="180" t="s">
        <v>257</v>
      </c>
      <c r="R11557" s="180" t="s">
        <v>257</v>
      </c>
    </row>
    <row r="11558" spans="8:18" x14ac:dyDescent="0.2">
      <c r="H11558" s="180"/>
      <c r="P11558" s="180" t="s">
        <v>257</v>
      </c>
      <c r="R11558" s="180" t="s">
        <v>257</v>
      </c>
    </row>
    <row r="11559" spans="8:18" x14ac:dyDescent="0.2">
      <c r="H11559" s="180"/>
      <c r="P11559" s="180" t="s">
        <v>257</v>
      </c>
      <c r="R11559" s="180" t="s">
        <v>257</v>
      </c>
    </row>
    <row r="11560" spans="8:18" x14ac:dyDescent="0.2">
      <c r="H11560" s="180"/>
      <c r="P11560" s="180" t="s">
        <v>257</v>
      </c>
      <c r="R11560" s="180" t="s">
        <v>257</v>
      </c>
    </row>
    <row r="11561" spans="8:18" x14ac:dyDescent="0.2">
      <c r="H11561" s="180"/>
      <c r="P11561" s="180" t="s">
        <v>257</v>
      </c>
      <c r="R11561" s="180" t="s">
        <v>257</v>
      </c>
    </row>
    <row r="11562" spans="8:18" x14ac:dyDescent="0.2">
      <c r="H11562" s="180"/>
      <c r="P11562" s="180" t="s">
        <v>257</v>
      </c>
      <c r="R11562" s="180" t="s">
        <v>257</v>
      </c>
    </row>
    <row r="11563" spans="8:18" x14ac:dyDescent="0.2">
      <c r="H11563" s="180"/>
      <c r="P11563" s="180" t="s">
        <v>257</v>
      </c>
      <c r="R11563" s="180" t="s">
        <v>257</v>
      </c>
    </row>
    <row r="11564" spans="8:18" x14ac:dyDescent="0.2">
      <c r="H11564" s="180"/>
      <c r="P11564" s="180" t="s">
        <v>257</v>
      </c>
      <c r="R11564" s="180" t="s">
        <v>257</v>
      </c>
    </row>
    <row r="11565" spans="8:18" x14ac:dyDescent="0.2">
      <c r="H11565" s="180"/>
      <c r="P11565" s="180" t="s">
        <v>257</v>
      </c>
      <c r="R11565" s="180" t="s">
        <v>257</v>
      </c>
    </row>
    <row r="11566" spans="8:18" x14ac:dyDescent="0.2">
      <c r="H11566" s="180"/>
      <c r="P11566" s="180" t="s">
        <v>257</v>
      </c>
      <c r="R11566" s="180" t="s">
        <v>257</v>
      </c>
    </row>
    <row r="11567" spans="8:18" x14ac:dyDescent="0.2">
      <c r="H11567" s="180"/>
      <c r="P11567" s="180" t="s">
        <v>257</v>
      </c>
      <c r="R11567" s="180" t="s">
        <v>257</v>
      </c>
    </row>
    <row r="11568" spans="8:18" x14ac:dyDescent="0.2">
      <c r="H11568" s="180"/>
      <c r="P11568" s="180" t="s">
        <v>257</v>
      </c>
      <c r="R11568" s="180" t="s">
        <v>257</v>
      </c>
    </row>
    <row r="11569" spans="8:18" x14ac:dyDescent="0.2">
      <c r="H11569" s="180"/>
      <c r="P11569" s="180" t="s">
        <v>257</v>
      </c>
      <c r="R11569" s="180" t="s">
        <v>257</v>
      </c>
    </row>
    <row r="11570" spans="8:18" x14ac:dyDescent="0.2">
      <c r="H11570" s="180"/>
      <c r="P11570" s="180" t="s">
        <v>257</v>
      </c>
      <c r="R11570" s="180" t="s">
        <v>257</v>
      </c>
    </row>
    <row r="11571" spans="8:18" x14ac:dyDescent="0.2">
      <c r="H11571" s="180"/>
      <c r="P11571" s="180" t="s">
        <v>257</v>
      </c>
      <c r="R11571" s="180" t="s">
        <v>257</v>
      </c>
    </row>
    <row r="11572" spans="8:18" x14ac:dyDescent="0.2">
      <c r="H11572" s="180"/>
      <c r="P11572" s="180" t="s">
        <v>257</v>
      </c>
      <c r="R11572" s="180" t="s">
        <v>257</v>
      </c>
    </row>
    <row r="11573" spans="8:18" x14ac:dyDescent="0.2">
      <c r="H11573" s="180"/>
      <c r="P11573" s="180" t="s">
        <v>257</v>
      </c>
      <c r="R11573" s="180" t="s">
        <v>257</v>
      </c>
    </row>
    <row r="11574" spans="8:18" x14ac:dyDescent="0.2">
      <c r="H11574" s="180"/>
      <c r="P11574" s="180" t="s">
        <v>257</v>
      </c>
      <c r="R11574" s="180" t="s">
        <v>257</v>
      </c>
    </row>
    <row r="11575" spans="8:18" x14ac:dyDescent="0.2">
      <c r="H11575" s="180"/>
      <c r="P11575" s="180" t="s">
        <v>257</v>
      </c>
      <c r="R11575" s="180" t="s">
        <v>257</v>
      </c>
    </row>
    <row r="11576" spans="8:18" x14ac:dyDescent="0.2">
      <c r="H11576" s="180"/>
      <c r="P11576" s="180" t="s">
        <v>257</v>
      </c>
      <c r="R11576" s="180" t="s">
        <v>257</v>
      </c>
    </row>
    <row r="11577" spans="8:18" x14ac:dyDescent="0.2">
      <c r="H11577" s="180"/>
      <c r="P11577" s="180" t="s">
        <v>257</v>
      </c>
      <c r="R11577" s="180" t="s">
        <v>257</v>
      </c>
    </row>
    <row r="11578" spans="8:18" x14ac:dyDescent="0.2">
      <c r="H11578" s="180"/>
      <c r="P11578" s="180" t="s">
        <v>257</v>
      </c>
      <c r="R11578" s="180" t="s">
        <v>257</v>
      </c>
    </row>
    <row r="11579" spans="8:18" x14ac:dyDescent="0.2">
      <c r="H11579" s="180"/>
      <c r="P11579" s="180" t="s">
        <v>257</v>
      </c>
      <c r="R11579" s="180" t="s">
        <v>257</v>
      </c>
    </row>
    <row r="11580" spans="8:18" x14ac:dyDescent="0.2">
      <c r="H11580" s="180"/>
      <c r="P11580" s="180" t="s">
        <v>257</v>
      </c>
      <c r="R11580" s="180" t="s">
        <v>257</v>
      </c>
    </row>
    <row r="11581" spans="8:18" x14ac:dyDescent="0.2">
      <c r="H11581" s="180"/>
      <c r="P11581" s="180" t="s">
        <v>257</v>
      </c>
      <c r="R11581" s="180" t="s">
        <v>257</v>
      </c>
    </row>
    <row r="11582" spans="8:18" x14ac:dyDescent="0.2">
      <c r="H11582" s="180"/>
      <c r="P11582" s="180" t="s">
        <v>257</v>
      </c>
      <c r="R11582" s="180" t="s">
        <v>257</v>
      </c>
    </row>
    <row r="11583" spans="8:18" x14ac:dyDescent="0.2">
      <c r="H11583" s="180"/>
      <c r="P11583" s="180" t="s">
        <v>257</v>
      </c>
      <c r="R11583" s="180" t="s">
        <v>257</v>
      </c>
    </row>
    <row r="11584" spans="8:18" x14ac:dyDescent="0.2">
      <c r="H11584" s="180"/>
      <c r="P11584" s="180" t="s">
        <v>257</v>
      </c>
      <c r="R11584" s="180" t="s">
        <v>257</v>
      </c>
    </row>
    <row r="11585" spans="8:18" x14ac:dyDescent="0.2">
      <c r="H11585" s="180"/>
      <c r="P11585" s="180" t="s">
        <v>257</v>
      </c>
      <c r="R11585" s="180" t="s">
        <v>257</v>
      </c>
    </row>
    <row r="11586" spans="8:18" x14ac:dyDescent="0.2">
      <c r="H11586" s="180"/>
      <c r="P11586" s="180" t="s">
        <v>257</v>
      </c>
      <c r="R11586" s="180" t="s">
        <v>257</v>
      </c>
    </row>
    <row r="11587" spans="8:18" x14ac:dyDescent="0.2">
      <c r="H11587" s="180"/>
      <c r="P11587" s="180" t="s">
        <v>257</v>
      </c>
      <c r="R11587" s="180" t="s">
        <v>257</v>
      </c>
    </row>
    <row r="11588" spans="8:18" x14ac:dyDescent="0.2">
      <c r="H11588" s="180"/>
      <c r="P11588" s="180" t="s">
        <v>257</v>
      </c>
      <c r="R11588" s="180" t="s">
        <v>257</v>
      </c>
    </row>
    <row r="11589" spans="8:18" x14ac:dyDescent="0.2">
      <c r="H11589" s="180"/>
      <c r="P11589" s="180" t="s">
        <v>257</v>
      </c>
      <c r="R11589" s="180" t="s">
        <v>257</v>
      </c>
    </row>
    <row r="11590" spans="8:18" x14ac:dyDescent="0.2">
      <c r="H11590" s="180"/>
      <c r="P11590" s="180" t="s">
        <v>257</v>
      </c>
      <c r="R11590" s="180" t="s">
        <v>257</v>
      </c>
    </row>
    <row r="11591" spans="8:18" x14ac:dyDescent="0.2">
      <c r="H11591" s="180"/>
      <c r="P11591" s="180" t="s">
        <v>257</v>
      </c>
      <c r="R11591" s="180" t="s">
        <v>257</v>
      </c>
    </row>
    <row r="11592" spans="8:18" x14ac:dyDescent="0.2">
      <c r="H11592" s="180"/>
      <c r="P11592" s="180" t="s">
        <v>257</v>
      </c>
      <c r="R11592" s="180" t="s">
        <v>257</v>
      </c>
    </row>
    <row r="11593" spans="8:18" x14ac:dyDescent="0.2">
      <c r="H11593" s="180"/>
      <c r="P11593" s="180" t="s">
        <v>257</v>
      </c>
      <c r="R11593" s="180" t="s">
        <v>257</v>
      </c>
    </row>
    <row r="11594" spans="8:18" x14ac:dyDescent="0.2">
      <c r="H11594" s="180"/>
      <c r="P11594" s="180" t="s">
        <v>257</v>
      </c>
      <c r="R11594" s="180" t="s">
        <v>257</v>
      </c>
    </row>
    <row r="11595" spans="8:18" x14ac:dyDescent="0.2">
      <c r="H11595" s="180"/>
      <c r="P11595" s="180" t="s">
        <v>257</v>
      </c>
      <c r="R11595" s="180" t="s">
        <v>257</v>
      </c>
    </row>
    <row r="11596" spans="8:18" x14ac:dyDescent="0.2">
      <c r="H11596" s="180"/>
      <c r="P11596" s="180" t="s">
        <v>257</v>
      </c>
      <c r="R11596" s="180" t="s">
        <v>257</v>
      </c>
    </row>
    <row r="11597" spans="8:18" x14ac:dyDescent="0.2">
      <c r="H11597" s="180"/>
      <c r="P11597" s="180" t="s">
        <v>257</v>
      </c>
      <c r="R11597" s="180" t="s">
        <v>257</v>
      </c>
    </row>
    <row r="11598" spans="8:18" x14ac:dyDescent="0.2">
      <c r="H11598" s="180"/>
      <c r="P11598" s="180" t="s">
        <v>257</v>
      </c>
      <c r="R11598" s="180" t="s">
        <v>257</v>
      </c>
    </row>
    <row r="11599" spans="8:18" x14ac:dyDescent="0.2">
      <c r="H11599" s="180"/>
      <c r="P11599" s="180" t="s">
        <v>257</v>
      </c>
      <c r="R11599" s="180" t="s">
        <v>257</v>
      </c>
    </row>
    <row r="11600" spans="8:18" x14ac:dyDescent="0.2">
      <c r="H11600" s="180"/>
      <c r="P11600" s="180" t="s">
        <v>257</v>
      </c>
      <c r="R11600" s="180" t="s">
        <v>257</v>
      </c>
    </row>
    <row r="11601" spans="8:18" x14ac:dyDescent="0.2">
      <c r="H11601" s="180"/>
      <c r="P11601" s="180" t="s">
        <v>257</v>
      </c>
      <c r="R11601" s="180" t="s">
        <v>257</v>
      </c>
    </row>
    <row r="11602" spans="8:18" x14ac:dyDescent="0.2">
      <c r="H11602" s="180"/>
      <c r="P11602" s="180" t="s">
        <v>257</v>
      </c>
      <c r="R11602" s="180" t="s">
        <v>257</v>
      </c>
    </row>
    <row r="11603" spans="8:18" x14ac:dyDescent="0.2">
      <c r="H11603" s="180"/>
      <c r="P11603" s="180" t="s">
        <v>257</v>
      </c>
      <c r="R11603" s="180" t="s">
        <v>257</v>
      </c>
    </row>
    <row r="11604" spans="8:18" x14ac:dyDescent="0.2">
      <c r="H11604" s="180"/>
      <c r="P11604" s="180" t="s">
        <v>257</v>
      </c>
      <c r="R11604" s="180" t="s">
        <v>257</v>
      </c>
    </row>
    <row r="11605" spans="8:18" x14ac:dyDescent="0.2">
      <c r="H11605" s="180"/>
      <c r="P11605" s="180" t="s">
        <v>257</v>
      </c>
      <c r="R11605" s="180" t="s">
        <v>257</v>
      </c>
    </row>
    <row r="11606" spans="8:18" x14ac:dyDescent="0.2">
      <c r="H11606" s="180"/>
      <c r="P11606" s="180" t="s">
        <v>257</v>
      </c>
      <c r="R11606" s="180" t="s">
        <v>257</v>
      </c>
    </row>
    <row r="11607" spans="8:18" x14ac:dyDescent="0.2">
      <c r="H11607" s="180"/>
      <c r="P11607" s="180" t="s">
        <v>257</v>
      </c>
      <c r="R11607" s="180" t="s">
        <v>257</v>
      </c>
    </row>
    <row r="11608" spans="8:18" x14ac:dyDescent="0.2">
      <c r="H11608" s="180"/>
      <c r="P11608" s="180" t="s">
        <v>257</v>
      </c>
      <c r="R11608" s="180" t="s">
        <v>257</v>
      </c>
    </row>
    <row r="11609" spans="8:18" x14ac:dyDescent="0.2">
      <c r="H11609" s="180"/>
      <c r="P11609" s="180" t="s">
        <v>257</v>
      </c>
      <c r="R11609" s="180" t="s">
        <v>257</v>
      </c>
    </row>
    <row r="11610" spans="8:18" x14ac:dyDescent="0.2">
      <c r="H11610" s="180"/>
      <c r="P11610" s="180" t="s">
        <v>257</v>
      </c>
      <c r="R11610" s="180" t="s">
        <v>257</v>
      </c>
    </row>
    <row r="11611" spans="8:18" x14ac:dyDescent="0.2">
      <c r="H11611" s="180"/>
      <c r="P11611" s="180" t="s">
        <v>257</v>
      </c>
      <c r="R11611" s="180" t="s">
        <v>257</v>
      </c>
    </row>
    <row r="11612" spans="8:18" x14ac:dyDescent="0.2">
      <c r="H11612" s="180"/>
      <c r="P11612" s="180" t="s">
        <v>257</v>
      </c>
      <c r="R11612" s="180" t="s">
        <v>257</v>
      </c>
    </row>
    <row r="11613" spans="8:18" x14ac:dyDescent="0.2">
      <c r="H11613" s="180"/>
      <c r="P11613" s="180" t="s">
        <v>257</v>
      </c>
      <c r="R11613" s="180" t="s">
        <v>257</v>
      </c>
    </row>
    <row r="11614" spans="8:18" x14ac:dyDescent="0.2">
      <c r="H11614" s="180"/>
      <c r="P11614" s="180" t="s">
        <v>257</v>
      </c>
      <c r="R11614" s="180" t="s">
        <v>257</v>
      </c>
    </row>
    <row r="11615" spans="8:18" x14ac:dyDescent="0.2">
      <c r="H11615" s="180"/>
      <c r="P11615" s="180" t="s">
        <v>257</v>
      </c>
      <c r="R11615" s="180" t="s">
        <v>257</v>
      </c>
    </row>
    <row r="11616" spans="8:18" x14ac:dyDescent="0.2">
      <c r="H11616" s="180"/>
      <c r="P11616" s="180" t="s">
        <v>257</v>
      </c>
      <c r="R11616" s="180" t="s">
        <v>257</v>
      </c>
    </row>
    <row r="11617" spans="8:18" x14ac:dyDescent="0.2">
      <c r="H11617" s="180"/>
      <c r="P11617" s="180" t="s">
        <v>257</v>
      </c>
      <c r="R11617" s="180" t="s">
        <v>257</v>
      </c>
    </row>
    <row r="11618" spans="8:18" x14ac:dyDescent="0.2">
      <c r="H11618" s="180"/>
      <c r="P11618" s="180" t="s">
        <v>257</v>
      </c>
      <c r="R11618" s="180" t="s">
        <v>257</v>
      </c>
    </row>
    <row r="11619" spans="8:18" x14ac:dyDescent="0.2">
      <c r="H11619" s="180"/>
      <c r="P11619" s="180" t="s">
        <v>257</v>
      </c>
      <c r="R11619" s="180" t="s">
        <v>257</v>
      </c>
    </row>
    <row r="11620" spans="8:18" x14ac:dyDescent="0.2">
      <c r="H11620" s="180"/>
      <c r="P11620" s="180" t="s">
        <v>257</v>
      </c>
      <c r="R11620" s="180" t="s">
        <v>257</v>
      </c>
    </row>
    <row r="11621" spans="8:18" x14ac:dyDescent="0.2">
      <c r="H11621" s="180"/>
      <c r="P11621" s="180" t="s">
        <v>257</v>
      </c>
      <c r="R11621" s="180" t="s">
        <v>257</v>
      </c>
    </row>
    <row r="11622" spans="8:18" x14ac:dyDescent="0.2">
      <c r="H11622" s="180"/>
      <c r="P11622" s="180" t="s">
        <v>257</v>
      </c>
      <c r="R11622" s="180" t="s">
        <v>257</v>
      </c>
    </row>
    <row r="11623" spans="8:18" x14ac:dyDescent="0.2">
      <c r="H11623" s="180"/>
      <c r="P11623" s="180" t="s">
        <v>257</v>
      </c>
      <c r="R11623" s="180" t="s">
        <v>257</v>
      </c>
    </row>
    <row r="11624" spans="8:18" x14ac:dyDescent="0.2">
      <c r="H11624" s="180"/>
      <c r="P11624" s="180" t="s">
        <v>257</v>
      </c>
      <c r="R11624" s="180" t="s">
        <v>257</v>
      </c>
    </row>
    <row r="11625" spans="8:18" x14ac:dyDescent="0.2">
      <c r="H11625" s="180"/>
      <c r="P11625" s="180" t="s">
        <v>257</v>
      </c>
      <c r="R11625" s="180" t="s">
        <v>257</v>
      </c>
    </row>
    <row r="11626" spans="8:18" x14ac:dyDescent="0.2">
      <c r="H11626" s="180"/>
      <c r="P11626" s="180" t="s">
        <v>257</v>
      </c>
      <c r="R11626" s="180" t="s">
        <v>257</v>
      </c>
    </row>
    <row r="11627" spans="8:18" x14ac:dyDescent="0.2">
      <c r="H11627" s="180"/>
      <c r="P11627" s="180" t="s">
        <v>257</v>
      </c>
      <c r="R11627" s="180" t="s">
        <v>257</v>
      </c>
    </row>
    <row r="11628" spans="8:18" x14ac:dyDescent="0.2">
      <c r="H11628" s="180"/>
      <c r="P11628" s="180" t="s">
        <v>257</v>
      </c>
      <c r="R11628" s="180" t="s">
        <v>257</v>
      </c>
    </row>
    <row r="11629" spans="8:18" x14ac:dyDescent="0.2">
      <c r="H11629" s="180"/>
      <c r="P11629" s="180" t="s">
        <v>257</v>
      </c>
      <c r="R11629" s="180" t="s">
        <v>257</v>
      </c>
    </row>
    <row r="11630" spans="8:18" x14ac:dyDescent="0.2">
      <c r="H11630" s="180"/>
      <c r="P11630" s="180" t="s">
        <v>257</v>
      </c>
      <c r="R11630" s="180" t="s">
        <v>257</v>
      </c>
    </row>
    <row r="11631" spans="8:18" x14ac:dyDescent="0.2">
      <c r="H11631" s="180"/>
      <c r="P11631" s="180" t="s">
        <v>257</v>
      </c>
      <c r="R11631" s="180" t="s">
        <v>257</v>
      </c>
    </row>
    <row r="11632" spans="8:18" x14ac:dyDescent="0.2">
      <c r="H11632" s="180"/>
      <c r="P11632" s="180" t="s">
        <v>257</v>
      </c>
      <c r="R11632" s="180" t="s">
        <v>257</v>
      </c>
    </row>
    <row r="11633" spans="8:18" x14ac:dyDescent="0.2">
      <c r="H11633" s="180"/>
      <c r="P11633" s="180" t="s">
        <v>257</v>
      </c>
      <c r="R11633" s="180" t="s">
        <v>257</v>
      </c>
    </row>
    <row r="11634" spans="8:18" x14ac:dyDescent="0.2">
      <c r="H11634" s="180"/>
      <c r="P11634" s="180" t="s">
        <v>257</v>
      </c>
      <c r="R11634" s="180" t="s">
        <v>257</v>
      </c>
    </row>
    <row r="11635" spans="8:18" x14ac:dyDescent="0.2">
      <c r="H11635" s="180"/>
      <c r="P11635" s="180" t="s">
        <v>257</v>
      </c>
      <c r="R11635" s="180" t="s">
        <v>257</v>
      </c>
    </row>
    <row r="11636" spans="8:18" x14ac:dyDescent="0.2">
      <c r="H11636" s="180"/>
      <c r="P11636" s="180" t="s">
        <v>257</v>
      </c>
      <c r="R11636" s="180" t="s">
        <v>257</v>
      </c>
    </row>
    <row r="11637" spans="8:18" x14ac:dyDescent="0.2">
      <c r="H11637" s="180"/>
      <c r="P11637" s="180" t="s">
        <v>257</v>
      </c>
      <c r="R11637" s="180" t="s">
        <v>257</v>
      </c>
    </row>
    <row r="11638" spans="8:18" x14ac:dyDescent="0.2">
      <c r="H11638" s="180"/>
      <c r="P11638" s="180" t="s">
        <v>257</v>
      </c>
      <c r="R11638" s="180" t="s">
        <v>257</v>
      </c>
    </row>
    <row r="11639" spans="8:18" x14ac:dyDescent="0.2">
      <c r="H11639" s="180"/>
      <c r="P11639" s="180" t="s">
        <v>257</v>
      </c>
      <c r="R11639" s="180" t="s">
        <v>257</v>
      </c>
    </row>
    <row r="11640" spans="8:18" x14ac:dyDescent="0.2">
      <c r="H11640" s="180"/>
      <c r="P11640" s="180" t="s">
        <v>257</v>
      </c>
      <c r="R11640" s="180" t="s">
        <v>257</v>
      </c>
    </row>
    <row r="11641" spans="8:18" x14ac:dyDescent="0.2">
      <c r="H11641" s="180"/>
      <c r="P11641" s="180" t="s">
        <v>257</v>
      </c>
      <c r="R11641" s="180" t="s">
        <v>257</v>
      </c>
    </row>
    <row r="11642" spans="8:18" x14ac:dyDescent="0.2">
      <c r="H11642" s="180"/>
      <c r="P11642" s="180" t="s">
        <v>257</v>
      </c>
      <c r="R11642" s="180" t="s">
        <v>257</v>
      </c>
    </row>
    <row r="11643" spans="8:18" x14ac:dyDescent="0.2">
      <c r="H11643" s="180"/>
      <c r="P11643" s="180" t="s">
        <v>257</v>
      </c>
      <c r="R11643" s="180" t="s">
        <v>257</v>
      </c>
    </row>
    <row r="11644" spans="8:18" x14ac:dyDescent="0.2">
      <c r="H11644" s="180"/>
      <c r="P11644" s="180" t="s">
        <v>257</v>
      </c>
      <c r="R11644" s="180" t="s">
        <v>257</v>
      </c>
    </row>
    <row r="11645" spans="8:18" x14ac:dyDescent="0.2">
      <c r="H11645" s="180"/>
      <c r="P11645" s="180" t="s">
        <v>257</v>
      </c>
      <c r="R11645" s="180" t="s">
        <v>257</v>
      </c>
    </row>
    <row r="11646" spans="8:18" x14ac:dyDescent="0.2">
      <c r="H11646" s="180"/>
      <c r="P11646" s="180" t="s">
        <v>257</v>
      </c>
      <c r="R11646" s="180" t="s">
        <v>257</v>
      </c>
    </row>
    <row r="11647" spans="8:18" x14ac:dyDescent="0.2">
      <c r="H11647" s="180"/>
      <c r="P11647" s="180" t="s">
        <v>257</v>
      </c>
      <c r="R11647" s="180" t="s">
        <v>257</v>
      </c>
    </row>
    <row r="11648" spans="8:18" x14ac:dyDescent="0.2">
      <c r="H11648" s="180"/>
      <c r="P11648" s="180" t="s">
        <v>257</v>
      </c>
      <c r="R11648" s="180" t="s">
        <v>257</v>
      </c>
    </row>
    <row r="11649" spans="8:18" x14ac:dyDescent="0.2">
      <c r="H11649" s="180"/>
      <c r="P11649" s="180" t="s">
        <v>257</v>
      </c>
      <c r="R11649" s="180" t="s">
        <v>257</v>
      </c>
    </row>
    <row r="11650" spans="8:18" x14ac:dyDescent="0.2">
      <c r="H11650" s="180"/>
      <c r="P11650" s="180" t="s">
        <v>257</v>
      </c>
      <c r="R11650" s="180" t="s">
        <v>257</v>
      </c>
    </row>
    <row r="11651" spans="8:18" x14ac:dyDescent="0.2">
      <c r="H11651" s="180"/>
      <c r="P11651" s="180" t="s">
        <v>257</v>
      </c>
      <c r="R11651" s="180" t="s">
        <v>257</v>
      </c>
    </row>
    <row r="11652" spans="8:18" x14ac:dyDescent="0.2">
      <c r="H11652" s="180"/>
      <c r="P11652" s="180" t="s">
        <v>257</v>
      </c>
      <c r="R11652" s="180" t="s">
        <v>257</v>
      </c>
    </row>
    <row r="11653" spans="8:18" x14ac:dyDescent="0.2">
      <c r="H11653" s="180"/>
      <c r="P11653" s="180" t="s">
        <v>257</v>
      </c>
      <c r="R11653" s="180" t="s">
        <v>257</v>
      </c>
    </row>
    <row r="11654" spans="8:18" x14ac:dyDescent="0.2">
      <c r="H11654" s="180"/>
      <c r="P11654" s="180" t="s">
        <v>257</v>
      </c>
      <c r="R11654" s="180" t="s">
        <v>257</v>
      </c>
    </row>
    <row r="11655" spans="8:18" x14ac:dyDescent="0.2">
      <c r="H11655" s="180"/>
      <c r="P11655" s="180" t="s">
        <v>257</v>
      </c>
      <c r="R11655" s="180" t="s">
        <v>257</v>
      </c>
    </row>
    <row r="11656" spans="8:18" x14ac:dyDescent="0.2">
      <c r="H11656" s="180"/>
      <c r="P11656" s="180" t="s">
        <v>257</v>
      </c>
      <c r="R11656" s="180" t="s">
        <v>257</v>
      </c>
    </row>
    <row r="11657" spans="8:18" x14ac:dyDescent="0.2">
      <c r="H11657" s="180"/>
      <c r="P11657" s="180" t="s">
        <v>257</v>
      </c>
      <c r="R11657" s="180" t="s">
        <v>257</v>
      </c>
    </row>
    <row r="11658" spans="8:18" x14ac:dyDescent="0.2">
      <c r="H11658" s="180"/>
      <c r="P11658" s="180" t="s">
        <v>257</v>
      </c>
      <c r="R11658" s="180" t="s">
        <v>257</v>
      </c>
    </row>
    <row r="11659" spans="8:18" x14ac:dyDescent="0.2">
      <c r="H11659" s="180"/>
      <c r="P11659" s="180" t="s">
        <v>257</v>
      </c>
      <c r="R11659" s="180" t="s">
        <v>257</v>
      </c>
    </row>
    <row r="11660" spans="8:18" x14ac:dyDescent="0.2">
      <c r="H11660" s="180"/>
      <c r="P11660" s="180" t="s">
        <v>257</v>
      </c>
      <c r="R11660" s="180" t="s">
        <v>257</v>
      </c>
    </row>
    <row r="11661" spans="8:18" x14ac:dyDescent="0.2">
      <c r="H11661" s="180"/>
      <c r="P11661" s="180" t="s">
        <v>257</v>
      </c>
      <c r="R11661" s="180" t="s">
        <v>257</v>
      </c>
    </row>
    <row r="11662" spans="8:18" x14ac:dyDescent="0.2">
      <c r="H11662" s="180"/>
      <c r="P11662" s="180" t="s">
        <v>257</v>
      </c>
      <c r="R11662" s="180" t="s">
        <v>257</v>
      </c>
    </row>
    <row r="11663" spans="8:18" x14ac:dyDescent="0.2">
      <c r="H11663" s="180"/>
      <c r="P11663" s="180" t="s">
        <v>257</v>
      </c>
      <c r="R11663" s="180" t="s">
        <v>257</v>
      </c>
    </row>
    <row r="11664" spans="8:18" x14ac:dyDescent="0.2">
      <c r="H11664" s="180"/>
      <c r="P11664" s="180" t="s">
        <v>257</v>
      </c>
      <c r="R11664" s="180" t="s">
        <v>257</v>
      </c>
    </row>
    <row r="11665" spans="8:18" x14ac:dyDescent="0.2">
      <c r="H11665" s="180"/>
      <c r="P11665" s="180" t="s">
        <v>257</v>
      </c>
      <c r="R11665" s="180" t="s">
        <v>257</v>
      </c>
    </row>
    <row r="11666" spans="8:18" x14ac:dyDescent="0.2">
      <c r="H11666" s="180"/>
      <c r="P11666" s="180" t="s">
        <v>257</v>
      </c>
      <c r="R11666" s="180" t="s">
        <v>257</v>
      </c>
    </row>
    <row r="11667" spans="8:18" x14ac:dyDescent="0.2">
      <c r="H11667" s="180"/>
      <c r="P11667" s="180" t="s">
        <v>257</v>
      </c>
      <c r="R11667" s="180" t="s">
        <v>257</v>
      </c>
    </row>
    <row r="11668" spans="8:18" x14ac:dyDescent="0.2">
      <c r="H11668" s="180"/>
      <c r="P11668" s="180" t="s">
        <v>257</v>
      </c>
      <c r="R11668" s="180" t="s">
        <v>257</v>
      </c>
    </row>
    <row r="11669" spans="8:18" x14ac:dyDescent="0.2">
      <c r="H11669" s="180"/>
      <c r="P11669" s="180" t="s">
        <v>257</v>
      </c>
      <c r="R11669" s="180" t="s">
        <v>257</v>
      </c>
    </row>
    <row r="11670" spans="8:18" x14ac:dyDescent="0.2">
      <c r="H11670" s="180"/>
      <c r="P11670" s="180" t="s">
        <v>257</v>
      </c>
      <c r="R11670" s="180" t="s">
        <v>257</v>
      </c>
    </row>
    <row r="11671" spans="8:18" x14ac:dyDescent="0.2">
      <c r="H11671" s="180"/>
      <c r="P11671" s="180" t="s">
        <v>257</v>
      </c>
      <c r="R11671" s="180" t="s">
        <v>257</v>
      </c>
    </row>
    <row r="11672" spans="8:18" x14ac:dyDescent="0.2">
      <c r="H11672" s="180"/>
      <c r="P11672" s="180" t="s">
        <v>257</v>
      </c>
      <c r="R11672" s="180" t="s">
        <v>257</v>
      </c>
    </row>
    <row r="11673" spans="8:18" x14ac:dyDescent="0.2">
      <c r="H11673" s="180"/>
      <c r="P11673" s="180" t="s">
        <v>257</v>
      </c>
      <c r="R11673" s="180" t="s">
        <v>257</v>
      </c>
    </row>
    <row r="11674" spans="8:18" x14ac:dyDescent="0.2">
      <c r="H11674" s="180"/>
      <c r="P11674" s="180" t="s">
        <v>257</v>
      </c>
      <c r="R11674" s="180" t="s">
        <v>257</v>
      </c>
    </row>
    <row r="11675" spans="8:18" x14ac:dyDescent="0.2">
      <c r="H11675" s="180"/>
      <c r="P11675" s="180" t="s">
        <v>257</v>
      </c>
      <c r="R11675" s="180" t="s">
        <v>257</v>
      </c>
    </row>
    <row r="11676" spans="8:18" x14ac:dyDescent="0.2">
      <c r="H11676" s="180"/>
      <c r="P11676" s="180" t="s">
        <v>257</v>
      </c>
      <c r="R11676" s="180" t="s">
        <v>257</v>
      </c>
    </row>
    <row r="11677" spans="8:18" x14ac:dyDescent="0.2">
      <c r="H11677" s="180"/>
      <c r="P11677" s="180" t="s">
        <v>257</v>
      </c>
      <c r="R11677" s="180" t="s">
        <v>257</v>
      </c>
    </row>
    <row r="11678" spans="8:18" x14ac:dyDescent="0.2">
      <c r="H11678" s="180"/>
      <c r="P11678" s="180" t="s">
        <v>257</v>
      </c>
      <c r="R11678" s="180" t="s">
        <v>257</v>
      </c>
    </row>
    <row r="11679" spans="8:18" x14ac:dyDescent="0.2">
      <c r="H11679" s="180"/>
      <c r="P11679" s="180" t="s">
        <v>257</v>
      </c>
      <c r="R11679" s="180" t="s">
        <v>257</v>
      </c>
    </row>
    <row r="11680" spans="8:18" x14ac:dyDescent="0.2">
      <c r="H11680" s="180"/>
      <c r="P11680" s="180" t="s">
        <v>257</v>
      </c>
      <c r="R11680" s="180" t="s">
        <v>257</v>
      </c>
    </row>
    <row r="11681" spans="8:18" x14ac:dyDescent="0.2">
      <c r="H11681" s="180"/>
      <c r="P11681" s="180" t="s">
        <v>257</v>
      </c>
      <c r="R11681" s="180" t="s">
        <v>257</v>
      </c>
    </row>
    <row r="11682" spans="8:18" x14ac:dyDescent="0.2">
      <c r="H11682" s="180"/>
      <c r="P11682" s="180" t="s">
        <v>257</v>
      </c>
      <c r="R11682" s="180" t="s">
        <v>257</v>
      </c>
    </row>
    <row r="11683" spans="8:18" x14ac:dyDescent="0.2">
      <c r="H11683" s="180"/>
      <c r="P11683" s="180" t="s">
        <v>257</v>
      </c>
      <c r="R11683" s="180" t="s">
        <v>257</v>
      </c>
    </row>
    <row r="11684" spans="8:18" x14ac:dyDescent="0.2">
      <c r="H11684" s="180"/>
      <c r="P11684" s="180" t="s">
        <v>257</v>
      </c>
      <c r="R11684" s="180" t="s">
        <v>257</v>
      </c>
    </row>
    <row r="11685" spans="8:18" x14ac:dyDescent="0.2">
      <c r="H11685" s="180"/>
      <c r="P11685" s="180" t="s">
        <v>257</v>
      </c>
      <c r="R11685" s="180" t="s">
        <v>257</v>
      </c>
    </row>
    <row r="11686" spans="8:18" x14ac:dyDescent="0.2">
      <c r="H11686" s="180"/>
      <c r="P11686" s="180" t="s">
        <v>257</v>
      </c>
      <c r="R11686" s="180" t="s">
        <v>257</v>
      </c>
    </row>
    <row r="11687" spans="8:18" x14ac:dyDescent="0.2">
      <c r="H11687" s="180"/>
      <c r="P11687" s="180" t="s">
        <v>257</v>
      </c>
      <c r="R11687" s="180" t="s">
        <v>257</v>
      </c>
    </row>
    <row r="11688" spans="8:18" x14ac:dyDescent="0.2">
      <c r="H11688" s="180"/>
      <c r="P11688" s="180" t="s">
        <v>257</v>
      </c>
      <c r="R11688" s="180" t="s">
        <v>257</v>
      </c>
    </row>
    <row r="11689" spans="8:18" x14ac:dyDescent="0.2">
      <c r="H11689" s="180"/>
      <c r="P11689" s="180" t="s">
        <v>257</v>
      </c>
      <c r="R11689" s="180" t="s">
        <v>257</v>
      </c>
    </row>
    <row r="11690" spans="8:18" x14ac:dyDescent="0.2">
      <c r="H11690" s="180"/>
      <c r="P11690" s="180" t="s">
        <v>257</v>
      </c>
      <c r="R11690" s="180" t="s">
        <v>257</v>
      </c>
    </row>
    <row r="11691" spans="8:18" x14ac:dyDescent="0.2">
      <c r="H11691" s="180"/>
      <c r="P11691" s="180" t="s">
        <v>257</v>
      </c>
      <c r="R11691" s="180" t="s">
        <v>257</v>
      </c>
    </row>
    <row r="11692" spans="8:18" x14ac:dyDescent="0.2">
      <c r="H11692" s="180"/>
      <c r="P11692" s="180" t="s">
        <v>257</v>
      </c>
      <c r="R11692" s="180" t="s">
        <v>257</v>
      </c>
    </row>
    <row r="11693" spans="8:18" x14ac:dyDescent="0.2">
      <c r="H11693" s="180"/>
      <c r="P11693" s="180" t="s">
        <v>257</v>
      </c>
      <c r="R11693" s="180" t="s">
        <v>257</v>
      </c>
    </row>
    <row r="11694" spans="8:18" x14ac:dyDescent="0.2">
      <c r="H11694" s="180"/>
      <c r="P11694" s="180" t="s">
        <v>257</v>
      </c>
      <c r="R11694" s="180" t="s">
        <v>257</v>
      </c>
    </row>
    <row r="11695" spans="8:18" x14ac:dyDescent="0.2">
      <c r="H11695" s="180"/>
      <c r="P11695" s="180" t="s">
        <v>257</v>
      </c>
      <c r="R11695" s="180" t="s">
        <v>257</v>
      </c>
    </row>
    <row r="11696" spans="8:18" x14ac:dyDescent="0.2">
      <c r="H11696" s="180"/>
      <c r="P11696" s="180" t="s">
        <v>257</v>
      </c>
      <c r="R11696" s="180" t="s">
        <v>257</v>
      </c>
    </row>
    <row r="11697" spans="8:18" x14ac:dyDescent="0.2">
      <c r="H11697" s="180"/>
      <c r="P11697" s="180" t="s">
        <v>257</v>
      </c>
      <c r="R11697" s="180" t="s">
        <v>257</v>
      </c>
    </row>
    <row r="11698" spans="8:18" x14ac:dyDescent="0.2">
      <c r="H11698" s="180"/>
      <c r="P11698" s="180" t="s">
        <v>257</v>
      </c>
      <c r="R11698" s="180" t="s">
        <v>257</v>
      </c>
    </row>
    <row r="11699" spans="8:18" x14ac:dyDescent="0.2">
      <c r="H11699" s="180"/>
      <c r="P11699" s="180" t="s">
        <v>257</v>
      </c>
      <c r="R11699" s="180" t="s">
        <v>257</v>
      </c>
    </row>
    <row r="11700" spans="8:18" x14ac:dyDescent="0.2">
      <c r="H11700" s="180"/>
      <c r="P11700" s="180" t="s">
        <v>257</v>
      </c>
      <c r="R11700" s="180" t="s">
        <v>257</v>
      </c>
    </row>
    <row r="11701" spans="8:18" x14ac:dyDescent="0.2">
      <c r="H11701" s="180"/>
      <c r="P11701" s="180" t="s">
        <v>257</v>
      </c>
      <c r="R11701" s="180" t="s">
        <v>257</v>
      </c>
    </row>
    <row r="11702" spans="8:18" x14ac:dyDescent="0.2">
      <c r="H11702" s="180"/>
      <c r="P11702" s="180" t="s">
        <v>257</v>
      </c>
      <c r="R11702" s="180" t="s">
        <v>257</v>
      </c>
    </row>
    <row r="11703" spans="8:18" x14ac:dyDescent="0.2">
      <c r="H11703" s="180"/>
      <c r="P11703" s="180" t="s">
        <v>257</v>
      </c>
      <c r="R11703" s="180" t="s">
        <v>257</v>
      </c>
    </row>
    <row r="11704" spans="8:18" x14ac:dyDescent="0.2">
      <c r="H11704" s="180"/>
      <c r="P11704" s="180" t="s">
        <v>257</v>
      </c>
      <c r="R11704" s="180" t="s">
        <v>257</v>
      </c>
    </row>
    <row r="11705" spans="8:18" x14ac:dyDescent="0.2">
      <c r="H11705" s="180"/>
      <c r="P11705" s="180" t="s">
        <v>257</v>
      </c>
      <c r="R11705" s="180" t="s">
        <v>257</v>
      </c>
    </row>
    <row r="11706" spans="8:18" x14ac:dyDescent="0.2">
      <c r="H11706" s="180"/>
      <c r="P11706" s="180" t="s">
        <v>257</v>
      </c>
      <c r="R11706" s="180" t="s">
        <v>257</v>
      </c>
    </row>
    <row r="11707" spans="8:18" x14ac:dyDescent="0.2">
      <c r="H11707" s="180"/>
      <c r="P11707" s="180" t="s">
        <v>257</v>
      </c>
      <c r="R11707" s="180" t="s">
        <v>257</v>
      </c>
    </row>
    <row r="11708" spans="8:18" x14ac:dyDescent="0.2">
      <c r="H11708" s="180"/>
      <c r="P11708" s="180" t="s">
        <v>257</v>
      </c>
      <c r="R11708" s="180" t="s">
        <v>257</v>
      </c>
    </row>
    <row r="11709" spans="8:18" x14ac:dyDescent="0.2">
      <c r="H11709" s="180"/>
      <c r="P11709" s="180" t="s">
        <v>257</v>
      </c>
      <c r="R11709" s="180" t="s">
        <v>257</v>
      </c>
    </row>
    <row r="11710" spans="8:18" x14ac:dyDescent="0.2">
      <c r="H11710" s="180"/>
      <c r="P11710" s="180" t="s">
        <v>257</v>
      </c>
      <c r="R11710" s="180" t="s">
        <v>257</v>
      </c>
    </row>
    <row r="11711" spans="8:18" x14ac:dyDescent="0.2">
      <c r="H11711" s="180"/>
      <c r="P11711" s="180" t="s">
        <v>257</v>
      </c>
      <c r="R11711" s="180" t="s">
        <v>257</v>
      </c>
    </row>
    <row r="11712" spans="8:18" x14ac:dyDescent="0.2">
      <c r="H11712" s="180"/>
      <c r="P11712" s="180" t="s">
        <v>257</v>
      </c>
      <c r="R11712" s="180" t="s">
        <v>257</v>
      </c>
    </row>
    <row r="11713" spans="8:18" x14ac:dyDescent="0.2">
      <c r="H11713" s="180"/>
      <c r="P11713" s="180" t="s">
        <v>257</v>
      </c>
      <c r="R11713" s="180" t="s">
        <v>257</v>
      </c>
    </row>
    <row r="11714" spans="8:18" x14ac:dyDescent="0.2">
      <c r="H11714" s="180"/>
      <c r="P11714" s="180" t="s">
        <v>257</v>
      </c>
      <c r="R11714" s="180" t="s">
        <v>257</v>
      </c>
    </row>
    <row r="11715" spans="8:18" x14ac:dyDescent="0.2">
      <c r="H11715" s="180"/>
      <c r="P11715" s="180" t="s">
        <v>257</v>
      </c>
      <c r="R11715" s="180" t="s">
        <v>257</v>
      </c>
    </row>
    <row r="11716" spans="8:18" x14ac:dyDescent="0.2">
      <c r="H11716" s="180"/>
      <c r="P11716" s="180" t="s">
        <v>257</v>
      </c>
      <c r="R11716" s="180" t="s">
        <v>257</v>
      </c>
    </row>
    <row r="11717" spans="8:18" x14ac:dyDescent="0.2">
      <c r="H11717" s="180"/>
      <c r="P11717" s="180" t="s">
        <v>257</v>
      </c>
      <c r="R11717" s="180" t="s">
        <v>257</v>
      </c>
    </row>
    <row r="11718" spans="8:18" x14ac:dyDescent="0.2">
      <c r="H11718" s="180"/>
      <c r="P11718" s="180" t="s">
        <v>257</v>
      </c>
      <c r="R11718" s="180" t="s">
        <v>257</v>
      </c>
    </row>
    <row r="11719" spans="8:18" x14ac:dyDescent="0.2">
      <c r="H11719" s="180"/>
      <c r="P11719" s="180" t="s">
        <v>257</v>
      </c>
      <c r="R11719" s="180" t="s">
        <v>257</v>
      </c>
    </row>
    <row r="11720" spans="8:18" x14ac:dyDescent="0.2">
      <c r="H11720" s="180"/>
      <c r="P11720" s="180" t="s">
        <v>257</v>
      </c>
      <c r="R11720" s="180" t="s">
        <v>257</v>
      </c>
    </row>
    <row r="11721" spans="8:18" x14ac:dyDescent="0.2">
      <c r="H11721" s="180"/>
      <c r="P11721" s="180" t="s">
        <v>257</v>
      </c>
      <c r="R11721" s="180" t="s">
        <v>257</v>
      </c>
    </row>
    <row r="11722" spans="8:18" x14ac:dyDescent="0.2">
      <c r="H11722" s="180"/>
      <c r="P11722" s="180" t="s">
        <v>257</v>
      </c>
      <c r="R11722" s="180" t="s">
        <v>257</v>
      </c>
    </row>
    <row r="11723" spans="8:18" x14ac:dyDescent="0.2">
      <c r="H11723" s="180"/>
      <c r="P11723" s="180" t="s">
        <v>257</v>
      </c>
      <c r="R11723" s="180" t="s">
        <v>257</v>
      </c>
    </row>
    <row r="11724" spans="8:18" x14ac:dyDescent="0.2">
      <c r="H11724" s="180"/>
      <c r="P11724" s="180" t="s">
        <v>257</v>
      </c>
      <c r="R11724" s="180" t="s">
        <v>257</v>
      </c>
    </row>
    <row r="11725" spans="8:18" x14ac:dyDescent="0.2">
      <c r="H11725" s="180"/>
      <c r="P11725" s="180" t="s">
        <v>257</v>
      </c>
      <c r="R11725" s="180" t="s">
        <v>257</v>
      </c>
    </row>
    <row r="11726" spans="8:18" x14ac:dyDescent="0.2">
      <c r="H11726" s="180"/>
      <c r="P11726" s="180" t="s">
        <v>257</v>
      </c>
      <c r="R11726" s="180" t="s">
        <v>257</v>
      </c>
    </row>
    <row r="11727" spans="8:18" x14ac:dyDescent="0.2">
      <c r="H11727" s="180"/>
      <c r="P11727" s="180" t="s">
        <v>257</v>
      </c>
      <c r="R11727" s="180" t="s">
        <v>257</v>
      </c>
    </row>
    <row r="11728" spans="8:18" x14ac:dyDescent="0.2">
      <c r="H11728" s="180"/>
      <c r="P11728" s="180" t="s">
        <v>257</v>
      </c>
      <c r="R11728" s="180" t="s">
        <v>257</v>
      </c>
    </row>
    <row r="11729" spans="8:18" x14ac:dyDescent="0.2">
      <c r="H11729" s="180"/>
      <c r="P11729" s="180" t="s">
        <v>257</v>
      </c>
      <c r="R11729" s="180" t="s">
        <v>257</v>
      </c>
    </row>
    <row r="11730" spans="8:18" x14ac:dyDescent="0.2">
      <c r="H11730" s="180"/>
      <c r="P11730" s="180" t="s">
        <v>257</v>
      </c>
      <c r="R11730" s="180" t="s">
        <v>257</v>
      </c>
    </row>
    <row r="11731" spans="8:18" x14ac:dyDescent="0.2">
      <c r="H11731" s="180"/>
      <c r="P11731" s="180" t="s">
        <v>257</v>
      </c>
      <c r="R11731" s="180" t="s">
        <v>257</v>
      </c>
    </row>
    <row r="11732" spans="8:18" x14ac:dyDescent="0.2">
      <c r="H11732" s="180"/>
      <c r="P11732" s="180" t="s">
        <v>257</v>
      </c>
      <c r="R11732" s="180" t="s">
        <v>257</v>
      </c>
    </row>
    <row r="11733" spans="8:18" x14ac:dyDescent="0.2">
      <c r="H11733" s="180"/>
      <c r="P11733" s="180" t="s">
        <v>257</v>
      </c>
      <c r="R11733" s="180" t="s">
        <v>257</v>
      </c>
    </row>
    <row r="11734" spans="8:18" x14ac:dyDescent="0.2">
      <c r="H11734" s="180"/>
      <c r="P11734" s="180" t="s">
        <v>257</v>
      </c>
      <c r="R11734" s="180" t="s">
        <v>257</v>
      </c>
    </row>
    <row r="11735" spans="8:18" x14ac:dyDescent="0.2">
      <c r="H11735" s="180"/>
      <c r="P11735" s="180" t="s">
        <v>257</v>
      </c>
      <c r="R11735" s="180" t="s">
        <v>257</v>
      </c>
    </row>
    <row r="11736" spans="8:18" x14ac:dyDescent="0.2">
      <c r="H11736" s="180"/>
      <c r="P11736" s="180" t="s">
        <v>257</v>
      </c>
      <c r="R11736" s="180" t="s">
        <v>257</v>
      </c>
    </row>
    <row r="11737" spans="8:18" x14ac:dyDescent="0.2">
      <c r="H11737" s="180"/>
      <c r="P11737" s="180" t="s">
        <v>257</v>
      </c>
      <c r="R11737" s="180" t="s">
        <v>257</v>
      </c>
    </row>
    <row r="11738" spans="8:18" x14ac:dyDescent="0.2">
      <c r="H11738" s="180"/>
      <c r="P11738" s="180" t="s">
        <v>257</v>
      </c>
      <c r="R11738" s="180" t="s">
        <v>257</v>
      </c>
    </row>
    <row r="11739" spans="8:18" x14ac:dyDescent="0.2">
      <c r="H11739" s="180"/>
      <c r="P11739" s="180" t="s">
        <v>257</v>
      </c>
      <c r="R11739" s="180" t="s">
        <v>257</v>
      </c>
    </row>
    <row r="11740" spans="8:18" x14ac:dyDescent="0.2">
      <c r="H11740" s="180"/>
      <c r="P11740" s="180" t="s">
        <v>257</v>
      </c>
      <c r="R11740" s="180" t="s">
        <v>257</v>
      </c>
    </row>
    <row r="11741" spans="8:18" x14ac:dyDescent="0.2">
      <c r="H11741" s="180"/>
      <c r="P11741" s="180" t="s">
        <v>257</v>
      </c>
      <c r="R11741" s="180" t="s">
        <v>257</v>
      </c>
    </row>
    <row r="11742" spans="8:18" x14ac:dyDescent="0.2">
      <c r="H11742" s="180"/>
      <c r="P11742" s="180" t="s">
        <v>257</v>
      </c>
      <c r="R11742" s="180" t="s">
        <v>257</v>
      </c>
    </row>
    <row r="11743" spans="8:18" x14ac:dyDescent="0.2">
      <c r="H11743" s="180"/>
      <c r="P11743" s="180" t="s">
        <v>257</v>
      </c>
      <c r="R11743" s="180" t="s">
        <v>257</v>
      </c>
    </row>
    <row r="11744" spans="8:18" x14ac:dyDescent="0.2">
      <c r="H11744" s="180"/>
      <c r="P11744" s="180" t="s">
        <v>257</v>
      </c>
      <c r="R11744" s="180" t="s">
        <v>257</v>
      </c>
    </row>
    <row r="11745" spans="8:18" x14ac:dyDescent="0.2">
      <c r="H11745" s="180"/>
      <c r="P11745" s="180" t="s">
        <v>257</v>
      </c>
      <c r="R11745" s="180" t="s">
        <v>257</v>
      </c>
    </row>
    <row r="11746" spans="8:18" x14ac:dyDescent="0.2">
      <c r="H11746" s="180"/>
      <c r="P11746" s="180" t="s">
        <v>257</v>
      </c>
      <c r="R11746" s="180" t="s">
        <v>257</v>
      </c>
    </row>
    <row r="11747" spans="8:18" x14ac:dyDescent="0.2">
      <c r="H11747" s="180"/>
      <c r="P11747" s="180" t="s">
        <v>257</v>
      </c>
      <c r="R11747" s="180" t="s">
        <v>257</v>
      </c>
    </row>
    <row r="11748" spans="8:18" x14ac:dyDescent="0.2">
      <c r="H11748" s="180"/>
      <c r="P11748" s="180" t="s">
        <v>257</v>
      </c>
      <c r="R11748" s="180" t="s">
        <v>257</v>
      </c>
    </row>
    <row r="11749" spans="8:18" x14ac:dyDescent="0.2">
      <c r="H11749" s="180"/>
      <c r="P11749" s="180" t="s">
        <v>257</v>
      </c>
      <c r="R11749" s="180" t="s">
        <v>257</v>
      </c>
    </row>
    <row r="11750" spans="8:18" x14ac:dyDescent="0.2">
      <c r="H11750" s="180"/>
      <c r="P11750" s="180" t="s">
        <v>257</v>
      </c>
      <c r="R11750" s="180" t="s">
        <v>257</v>
      </c>
    </row>
    <row r="11751" spans="8:18" x14ac:dyDescent="0.2">
      <c r="H11751" s="180"/>
      <c r="P11751" s="180" t="s">
        <v>257</v>
      </c>
      <c r="R11751" s="180" t="s">
        <v>257</v>
      </c>
    </row>
    <row r="11752" spans="8:18" x14ac:dyDescent="0.2">
      <c r="H11752" s="180"/>
      <c r="P11752" s="180" t="s">
        <v>257</v>
      </c>
      <c r="R11752" s="180" t="s">
        <v>257</v>
      </c>
    </row>
    <row r="11753" spans="8:18" x14ac:dyDescent="0.2">
      <c r="H11753" s="180"/>
      <c r="P11753" s="180" t="s">
        <v>257</v>
      </c>
      <c r="R11753" s="180" t="s">
        <v>257</v>
      </c>
    </row>
    <row r="11754" spans="8:18" x14ac:dyDescent="0.2">
      <c r="H11754" s="180"/>
      <c r="P11754" s="180" t="s">
        <v>257</v>
      </c>
      <c r="R11754" s="180" t="s">
        <v>257</v>
      </c>
    </row>
    <row r="11755" spans="8:18" x14ac:dyDescent="0.2">
      <c r="H11755" s="180"/>
      <c r="P11755" s="180" t="s">
        <v>257</v>
      </c>
      <c r="R11755" s="180" t="s">
        <v>257</v>
      </c>
    </row>
    <row r="11756" spans="8:18" x14ac:dyDescent="0.2">
      <c r="H11756" s="180"/>
      <c r="P11756" s="180" t="s">
        <v>257</v>
      </c>
      <c r="R11756" s="180" t="s">
        <v>257</v>
      </c>
    </row>
    <row r="11757" spans="8:18" x14ac:dyDescent="0.2">
      <c r="H11757" s="180"/>
      <c r="P11757" s="180" t="s">
        <v>257</v>
      </c>
      <c r="R11757" s="180" t="s">
        <v>257</v>
      </c>
    </row>
    <row r="11758" spans="8:18" x14ac:dyDescent="0.2">
      <c r="H11758" s="180"/>
      <c r="P11758" s="180" t="s">
        <v>257</v>
      </c>
      <c r="R11758" s="180" t="s">
        <v>257</v>
      </c>
    </row>
    <row r="11759" spans="8:18" x14ac:dyDescent="0.2">
      <c r="H11759" s="180"/>
      <c r="P11759" s="180" t="s">
        <v>257</v>
      </c>
      <c r="R11759" s="180" t="s">
        <v>257</v>
      </c>
    </row>
    <row r="11760" spans="8:18" x14ac:dyDescent="0.2">
      <c r="H11760" s="180"/>
      <c r="P11760" s="180" t="s">
        <v>257</v>
      </c>
      <c r="R11760" s="180" t="s">
        <v>257</v>
      </c>
    </row>
    <row r="11761" spans="8:18" x14ac:dyDescent="0.2">
      <c r="H11761" s="180"/>
      <c r="P11761" s="180" t="s">
        <v>257</v>
      </c>
      <c r="R11761" s="180" t="s">
        <v>257</v>
      </c>
    </row>
    <row r="11762" spans="8:18" x14ac:dyDescent="0.2">
      <c r="H11762" s="180"/>
      <c r="P11762" s="180" t="s">
        <v>257</v>
      </c>
      <c r="R11762" s="180" t="s">
        <v>257</v>
      </c>
    </row>
    <row r="11763" spans="8:18" x14ac:dyDescent="0.2">
      <c r="H11763" s="180"/>
      <c r="P11763" s="180" t="s">
        <v>257</v>
      </c>
      <c r="R11763" s="180" t="s">
        <v>257</v>
      </c>
    </row>
    <row r="11764" spans="8:18" x14ac:dyDescent="0.2">
      <c r="H11764" s="180"/>
      <c r="P11764" s="180" t="s">
        <v>257</v>
      </c>
      <c r="R11764" s="180" t="s">
        <v>257</v>
      </c>
    </row>
    <row r="11765" spans="8:18" x14ac:dyDescent="0.2">
      <c r="H11765" s="180"/>
      <c r="P11765" s="180" t="s">
        <v>257</v>
      </c>
      <c r="R11765" s="180" t="s">
        <v>257</v>
      </c>
    </row>
    <row r="11766" spans="8:18" x14ac:dyDescent="0.2">
      <c r="H11766" s="180"/>
      <c r="P11766" s="180" t="s">
        <v>257</v>
      </c>
      <c r="R11766" s="180" t="s">
        <v>257</v>
      </c>
    </row>
    <row r="11767" spans="8:18" x14ac:dyDescent="0.2">
      <c r="H11767" s="180"/>
      <c r="P11767" s="180" t="s">
        <v>257</v>
      </c>
      <c r="R11767" s="180" t="s">
        <v>257</v>
      </c>
    </row>
    <row r="11768" spans="8:18" x14ac:dyDescent="0.2">
      <c r="H11768" s="180"/>
      <c r="P11768" s="180" t="s">
        <v>257</v>
      </c>
      <c r="R11768" s="180" t="s">
        <v>257</v>
      </c>
    </row>
    <row r="11769" spans="8:18" x14ac:dyDescent="0.2">
      <c r="H11769" s="180"/>
      <c r="P11769" s="180" t="s">
        <v>257</v>
      </c>
      <c r="R11769" s="180" t="s">
        <v>257</v>
      </c>
    </row>
    <row r="11770" spans="8:18" x14ac:dyDescent="0.2">
      <c r="H11770" s="180"/>
      <c r="P11770" s="180" t="s">
        <v>257</v>
      </c>
      <c r="R11770" s="180" t="s">
        <v>257</v>
      </c>
    </row>
    <row r="11771" spans="8:18" x14ac:dyDescent="0.2">
      <c r="H11771" s="180"/>
      <c r="P11771" s="180" t="s">
        <v>257</v>
      </c>
      <c r="R11771" s="180" t="s">
        <v>257</v>
      </c>
    </row>
    <row r="11772" spans="8:18" x14ac:dyDescent="0.2">
      <c r="H11772" s="180"/>
      <c r="P11772" s="180" t="s">
        <v>257</v>
      </c>
      <c r="R11772" s="180" t="s">
        <v>257</v>
      </c>
    </row>
    <row r="11773" spans="8:18" x14ac:dyDescent="0.2">
      <c r="H11773" s="180"/>
      <c r="P11773" s="180" t="s">
        <v>257</v>
      </c>
      <c r="R11773" s="180" t="s">
        <v>257</v>
      </c>
    </row>
    <row r="11774" spans="8:18" x14ac:dyDescent="0.2">
      <c r="H11774" s="180"/>
      <c r="P11774" s="180" t="s">
        <v>257</v>
      </c>
      <c r="R11774" s="180" t="s">
        <v>257</v>
      </c>
    </row>
    <row r="11775" spans="8:18" x14ac:dyDescent="0.2">
      <c r="H11775" s="180"/>
      <c r="P11775" s="180" t="s">
        <v>257</v>
      </c>
      <c r="R11775" s="180" t="s">
        <v>257</v>
      </c>
    </row>
    <row r="11776" spans="8:18" x14ac:dyDescent="0.2">
      <c r="H11776" s="180"/>
      <c r="P11776" s="180" t="s">
        <v>257</v>
      </c>
      <c r="R11776" s="180" t="s">
        <v>257</v>
      </c>
    </row>
    <row r="11777" spans="8:18" x14ac:dyDescent="0.2">
      <c r="H11777" s="180"/>
      <c r="P11777" s="180" t="s">
        <v>257</v>
      </c>
      <c r="R11777" s="180" t="s">
        <v>257</v>
      </c>
    </row>
    <row r="11778" spans="8:18" x14ac:dyDescent="0.2">
      <c r="H11778" s="180"/>
      <c r="P11778" s="180" t="s">
        <v>257</v>
      </c>
      <c r="R11778" s="180" t="s">
        <v>257</v>
      </c>
    </row>
    <row r="11779" spans="8:18" x14ac:dyDescent="0.2">
      <c r="H11779" s="180"/>
      <c r="P11779" s="180" t="s">
        <v>257</v>
      </c>
      <c r="R11779" s="180" t="s">
        <v>257</v>
      </c>
    </row>
    <row r="11780" spans="8:18" x14ac:dyDescent="0.2">
      <c r="H11780" s="180"/>
      <c r="P11780" s="180" t="s">
        <v>257</v>
      </c>
      <c r="R11780" s="180" t="s">
        <v>257</v>
      </c>
    </row>
    <row r="11781" spans="8:18" x14ac:dyDescent="0.2">
      <c r="H11781" s="180"/>
      <c r="P11781" s="180" t="s">
        <v>257</v>
      </c>
      <c r="R11781" s="180" t="s">
        <v>257</v>
      </c>
    </row>
    <row r="11782" spans="8:18" x14ac:dyDescent="0.2">
      <c r="H11782" s="180"/>
      <c r="P11782" s="180" t="s">
        <v>257</v>
      </c>
      <c r="R11782" s="180" t="s">
        <v>257</v>
      </c>
    </row>
    <row r="11783" spans="8:18" x14ac:dyDescent="0.2">
      <c r="H11783" s="180"/>
      <c r="P11783" s="180" t="s">
        <v>257</v>
      </c>
      <c r="R11783" s="180" t="s">
        <v>257</v>
      </c>
    </row>
    <row r="11784" spans="8:18" x14ac:dyDescent="0.2">
      <c r="H11784" s="180"/>
      <c r="P11784" s="180" t="s">
        <v>257</v>
      </c>
      <c r="R11784" s="180" t="s">
        <v>257</v>
      </c>
    </row>
    <row r="11785" spans="8:18" x14ac:dyDescent="0.2">
      <c r="H11785" s="180"/>
      <c r="P11785" s="180" t="s">
        <v>257</v>
      </c>
      <c r="R11785" s="180" t="s">
        <v>257</v>
      </c>
    </row>
    <row r="11786" spans="8:18" x14ac:dyDescent="0.2">
      <c r="H11786" s="180"/>
      <c r="P11786" s="180" t="s">
        <v>257</v>
      </c>
      <c r="R11786" s="180" t="s">
        <v>257</v>
      </c>
    </row>
    <row r="11787" spans="8:18" x14ac:dyDescent="0.2">
      <c r="H11787" s="180"/>
      <c r="P11787" s="180" t="s">
        <v>257</v>
      </c>
      <c r="R11787" s="180" t="s">
        <v>257</v>
      </c>
    </row>
    <row r="11788" spans="8:18" x14ac:dyDescent="0.2">
      <c r="H11788" s="180"/>
      <c r="P11788" s="180" t="s">
        <v>257</v>
      </c>
      <c r="R11788" s="180" t="s">
        <v>257</v>
      </c>
    </row>
    <row r="11789" spans="8:18" x14ac:dyDescent="0.2">
      <c r="H11789" s="180"/>
      <c r="P11789" s="180" t="s">
        <v>257</v>
      </c>
      <c r="R11789" s="180" t="s">
        <v>257</v>
      </c>
    </row>
    <row r="11790" spans="8:18" x14ac:dyDescent="0.2">
      <c r="H11790" s="180"/>
      <c r="P11790" s="180" t="s">
        <v>257</v>
      </c>
      <c r="R11790" s="180" t="s">
        <v>257</v>
      </c>
    </row>
    <row r="11791" spans="8:18" x14ac:dyDescent="0.2">
      <c r="H11791" s="180"/>
      <c r="P11791" s="180" t="s">
        <v>257</v>
      </c>
      <c r="R11791" s="180" t="s">
        <v>257</v>
      </c>
    </row>
    <row r="11792" spans="8:18" x14ac:dyDescent="0.2">
      <c r="H11792" s="180"/>
      <c r="P11792" s="180" t="s">
        <v>257</v>
      </c>
      <c r="R11792" s="180" t="s">
        <v>257</v>
      </c>
    </row>
    <row r="11793" spans="8:18" x14ac:dyDescent="0.2">
      <c r="H11793" s="180"/>
      <c r="P11793" s="180" t="s">
        <v>257</v>
      </c>
      <c r="R11793" s="180" t="s">
        <v>257</v>
      </c>
    </row>
    <row r="11794" spans="8:18" x14ac:dyDescent="0.2">
      <c r="H11794" s="180"/>
      <c r="P11794" s="180" t="s">
        <v>257</v>
      </c>
      <c r="R11794" s="180" t="s">
        <v>257</v>
      </c>
    </row>
    <row r="11795" spans="8:18" x14ac:dyDescent="0.2">
      <c r="H11795" s="180"/>
      <c r="P11795" s="180" t="s">
        <v>257</v>
      </c>
      <c r="R11795" s="180" t="s">
        <v>257</v>
      </c>
    </row>
    <row r="11796" spans="8:18" x14ac:dyDescent="0.2">
      <c r="H11796" s="180"/>
      <c r="P11796" s="180" t="s">
        <v>257</v>
      </c>
      <c r="R11796" s="180" t="s">
        <v>257</v>
      </c>
    </row>
    <row r="11797" spans="8:18" x14ac:dyDescent="0.2">
      <c r="H11797" s="180"/>
      <c r="P11797" s="180" t="s">
        <v>257</v>
      </c>
      <c r="R11797" s="180" t="s">
        <v>257</v>
      </c>
    </row>
    <row r="11798" spans="8:18" x14ac:dyDescent="0.2">
      <c r="H11798" s="180"/>
      <c r="P11798" s="180" t="s">
        <v>257</v>
      </c>
      <c r="R11798" s="180" t="s">
        <v>257</v>
      </c>
    </row>
    <row r="11799" spans="8:18" x14ac:dyDescent="0.2">
      <c r="H11799" s="180"/>
      <c r="P11799" s="180" t="s">
        <v>257</v>
      </c>
      <c r="R11799" s="180" t="s">
        <v>257</v>
      </c>
    </row>
    <row r="11800" spans="8:18" x14ac:dyDescent="0.2">
      <c r="H11800" s="180"/>
      <c r="P11800" s="180" t="s">
        <v>257</v>
      </c>
      <c r="R11800" s="180" t="s">
        <v>257</v>
      </c>
    </row>
    <row r="11801" spans="8:18" x14ac:dyDescent="0.2">
      <c r="H11801" s="180"/>
      <c r="P11801" s="180" t="s">
        <v>257</v>
      </c>
      <c r="R11801" s="180" t="s">
        <v>257</v>
      </c>
    </row>
    <row r="11802" spans="8:18" x14ac:dyDescent="0.2">
      <c r="H11802" s="180"/>
      <c r="P11802" s="180" t="s">
        <v>257</v>
      </c>
      <c r="R11802" s="180" t="s">
        <v>257</v>
      </c>
    </row>
    <row r="11803" spans="8:18" x14ac:dyDescent="0.2">
      <c r="H11803" s="180"/>
      <c r="P11803" s="180" t="s">
        <v>257</v>
      </c>
      <c r="R11803" s="180" t="s">
        <v>257</v>
      </c>
    </row>
    <row r="11804" spans="8:18" x14ac:dyDescent="0.2">
      <c r="H11804" s="180"/>
      <c r="P11804" s="180" t="s">
        <v>257</v>
      </c>
      <c r="R11804" s="180" t="s">
        <v>257</v>
      </c>
    </row>
    <row r="11805" spans="8:18" x14ac:dyDescent="0.2">
      <c r="H11805" s="180"/>
      <c r="P11805" s="180" t="s">
        <v>257</v>
      </c>
      <c r="R11805" s="180" t="s">
        <v>257</v>
      </c>
    </row>
    <row r="11806" spans="8:18" x14ac:dyDescent="0.2">
      <c r="H11806" s="180"/>
      <c r="P11806" s="180" t="s">
        <v>257</v>
      </c>
      <c r="R11806" s="180" t="s">
        <v>257</v>
      </c>
    </row>
    <row r="11807" spans="8:18" x14ac:dyDescent="0.2">
      <c r="H11807" s="180"/>
      <c r="P11807" s="180" t="s">
        <v>257</v>
      </c>
      <c r="R11807" s="180" t="s">
        <v>257</v>
      </c>
    </row>
    <row r="11808" spans="8:18" x14ac:dyDescent="0.2">
      <c r="H11808" s="180"/>
      <c r="P11808" s="180" t="s">
        <v>257</v>
      </c>
      <c r="R11808" s="180" t="s">
        <v>257</v>
      </c>
    </row>
    <row r="11809" spans="8:18" x14ac:dyDescent="0.2">
      <c r="H11809" s="180"/>
      <c r="P11809" s="180" t="s">
        <v>257</v>
      </c>
      <c r="R11809" s="180" t="s">
        <v>257</v>
      </c>
    </row>
    <row r="11810" spans="8:18" x14ac:dyDescent="0.2">
      <c r="H11810" s="180"/>
      <c r="P11810" s="180" t="s">
        <v>257</v>
      </c>
      <c r="R11810" s="180" t="s">
        <v>257</v>
      </c>
    </row>
    <row r="11811" spans="8:18" x14ac:dyDescent="0.2">
      <c r="H11811" s="180"/>
      <c r="P11811" s="180" t="s">
        <v>257</v>
      </c>
      <c r="R11811" s="180" t="s">
        <v>257</v>
      </c>
    </row>
    <row r="11812" spans="8:18" x14ac:dyDescent="0.2">
      <c r="H11812" s="180"/>
      <c r="P11812" s="180" t="s">
        <v>257</v>
      </c>
      <c r="R11812" s="180" t="s">
        <v>257</v>
      </c>
    </row>
    <row r="11813" spans="8:18" x14ac:dyDescent="0.2">
      <c r="H11813" s="180"/>
      <c r="P11813" s="180" t="s">
        <v>257</v>
      </c>
      <c r="R11813" s="180" t="s">
        <v>257</v>
      </c>
    </row>
    <row r="11814" spans="8:18" x14ac:dyDescent="0.2">
      <c r="H11814" s="180"/>
      <c r="P11814" s="180" t="s">
        <v>257</v>
      </c>
      <c r="R11814" s="180" t="s">
        <v>257</v>
      </c>
    </row>
    <row r="11815" spans="8:18" x14ac:dyDescent="0.2">
      <c r="H11815" s="180"/>
      <c r="P11815" s="180" t="s">
        <v>257</v>
      </c>
      <c r="R11815" s="180" t="s">
        <v>257</v>
      </c>
    </row>
    <row r="11816" spans="8:18" x14ac:dyDescent="0.2">
      <c r="H11816" s="180"/>
      <c r="P11816" s="180" t="s">
        <v>257</v>
      </c>
      <c r="R11816" s="180" t="s">
        <v>257</v>
      </c>
    </row>
    <row r="11817" spans="8:18" x14ac:dyDescent="0.2">
      <c r="H11817" s="180"/>
      <c r="P11817" s="180" t="s">
        <v>257</v>
      </c>
      <c r="R11817" s="180" t="s">
        <v>257</v>
      </c>
    </row>
    <row r="11818" spans="8:18" x14ac:dyDescent="0.2">
      <c r="H11818" s="180"/>
      <c r="P11818" s="180" t="s">
        <v>257</v>
      </c>
      <c r="R11818" s="180" t="s">
        <v>257</v>
      </c>
    </row>
    <row r="11819" spans="8:18" x14ac:dyDescent="0.2">
      <c r="H11819" s="180"/>
      <c r="P11819" s="180" t="s">
        <v>257</v>
      </c>
      <c r="R11819" s="180" t="s">
        <v>257</v>
      </c>
    </row>
    <row r="11820" spans="8:18" x14ac:dyDescent="0.2">
      <c r="H11820" s="180"/>
      <c r="P11820" s="180" t="s">
        <v>257</v>
      </c>
      <c r="R11820" s="180" t="s">
        <v>257</v>
      </c>
    </row>
    <row r="11821" spans="8:18" x14ac:dyDescent="0.2">
      <c r="H11821" s="180"/>
      <c r="P11821" s="180" t="s">
        <v>257</v>
      </c>
      <c r="R11821" s="180" t="s">
        <v>257</v>
      </c>
    </row>
    <row r="11822" spans="8:18" x14ac:dyDescent="0.2">
      <c r="H11822" s="180"/>
      <c r="P11822" s="180" t="s">
        <v>257</v>
      </c>
      <c r="R11822" s="180" t="s">
        <v>257</v>
      </c>
    </row>
    <row r="11823" spans="8:18" x14ac:dyDescent="0.2">
      <c r="H11823" s="180"/>
      <c r="P11823" s="180" t="s">
        <v>257</v>
      </c>
      <c r="R11823" s="180" t="s">
        <v>257</v>
      </c>
    </row>
    <row r="11824" spans="8:18" x14ac:dyDescent="0.2">
      <c r="H11824" s="180"/>
      <c r="P11824" s="180" t="s">
        <v>257</v>
      </c>
      <c r="R11824" s="180" t="s">
        <v>257</v>
      </c>
    </row>
    <row r="11825" spans="8:18" x14ac:dyDescent="0.2">
      <c r="H11825" s="180"/>
      <c r="P11825" s="180" t="s">
        <v>257</v>
      </c>
      <c r="R11825" s="180" t="s">
        <v>257</v>
      </c>
    </row>
    <row r="11826" spans="8:18" x14ac:dyDescent="0.2">
      <c r="H11826" s="180"/>
      <c r="P11826" s="180" t="s">
        <v>257</v>
      </c>
      <c r="R11826" s="180" t="s">
        <v>257</v>
      </c>
    </row>
    <row r="11827" spans="8:18" x14ac:dyDescent="0.2">
      <c r="H11827" s="180"/>
      <c r="P11827" s="180" t="s">
        <v>257</v>
      </c>
      <c r="R11827" s="180" t="s">
        <v>257</v>
      </c>
    </row>
    <row r="11828" spans="8:18" x14ac:dyDescent="0.2">
      <c r="H11828" s="180"/>
      <c r="P11828" s="180" t="s">
        <v>257</v>
      </c>
      <c r="R11828" s="180" t="s">
        <v>257</v>
      </c>
    </row>
    <row r="11829" spans="8:18" x14ac:dyDescent="0.2">
      <c r="H11829" s="180"/>
      <c r="P11829" s="180" t="s">
        <v>257</v>
      </c>
      <c r="R11829" s="180" t="s">
        <v>257</v>
      </c>
    </row>
    <row r="11830" spans="8:18" x14ac:dyDescent="0.2">
      <c r="H11830" s="180"/>
      <c r="P11830" s="180" t="s">
        <v>257</v>
      </c>
      <c r="R11830" s="180" t="s">
        <v>257</v>
      </c>
    </row>
    <row r="11831" spans="8:18" x14ac:dyDescent="0.2">
      <c r="H11831" s="180"/>
      <c r="P11831" s="180" t="s">
        <v>257</v>
      </c>
      <c r="R11831" s="180" t="s">
        <v>257</v>
      </c>
    </row>
    <row r="11832" spans="8:18" x14ac:dyDescent="0.2">
      <c r="H11832" s="180"/>
      <c r="P11832" s="180" t="s">
        <v>257</v>
      </c>
      <c r="R11832" s="180" t="s">
        <v>257</v>
      </c>
    </row>
    <row r="11833" spans="8:18" x14ac:dyDescent="0.2">
      <c r="H11833" s="180"/>
      <c r="P11833" s="180" t="s">
        <v>257</v>
      </c>
      <c r="R11833" s="180" t="s">
        <v>257</v>
      </c>
    </row>
    <row r="11834" spans="8:18" x14ac:dyDescent="0.2">
      <c r="H11834" s="180"/>
      <c r="P11834" s="180" t="s">
        <v>257</v>
      </c>
      <c r="R11834" s="180" t="s">
        <v>257</v>
      </c>
    </row>
    <row r="11835" spans="8:18" x14ac:dyDescent="0.2">
      <c r="H11835" s="180"/>
      <c r="P11835" s="180" t="s">
        <v>257</v>
      </c>
      <c r="R11835" s="180" t="s">
        <v>257</v>
      </c>
    </row>
    <row r="11836" spans="8:18" x14ac:dyDescent="0.2">
      <c r="H11836" s="180"/>
      <c r="P11836" s="180" t="s">
        <v>257</v>
      </c>
      <c r="R11836" s="180" t="s">
        <v>257</v>
      </c>
    </row>
    <row r="11837" spans="8:18" x14ac:dyDescent="0.2">
      <c r="H11837" s="180"/>
      <c r="P11837" s="180" t="s">
        <v>257</v>
      </c>
      <c r="R11837" s="180" t="s">
        <v>257</v>
      </c>
    </row>
    <row r="11838" spans="8:18" x14ac:dyDescent="0.2">
      <c r="H11838" s="180"/>
      <c r="P11838" s="180" t="s">
        <v>257</v>
      </c>
      <c r="R11838" s="180" t="s">
        <v>257</v>
      </c>
    </row>
    <row r="11839" spans="8:18" x14ac:dyDescent="0.2">
      <c r="H11839" s="180"/>
      <c r="P11839" s="180" t="s">
        <v>257</v>
      </c>
      <c r="R11839" s="180" t="s">
        <v>257</v>
      </c>
    </row>
    <row r="11840" spans="8:18" x14ac:dyDescent="0.2">
      <c r="H11840" s="180"/>
      <c r="P11840" s="180" t="s">
        <v>257</v>
      </c>
      <c r="R11840" s="180" t="s">
        <v>257</v>
      </c>
    </row>
    <row r="11841" spans="8:18" x14ac:dyDescent="0.2">
      <c r="H11841" s="180"/>
      <c r="P11841" s="180" t="s">
        <v>257</v>
      </c>
      <c r="R11841" s="180" t="s">
        <v>257</v>
      </c>
    </row>
    <row r="11842" spans="8:18" x14ac:dyDescent="0.2">
      <c r="H11842" s="180"/>
      <c r="P11842" s="180" t="s">
        <v>257</v>
      </c>
      <c r="R11842" s="180" t="s">
        <v>257</v>
      </c>
    </row>
    <row r="11843" spans="8:18" x14ac:dyDescent="0.2">
      <c r="H11843" s="180"/>
      <c r="P11843" s="180" t="s">
        <v>257</v>
      </c>
      <c r="R11843" s="180" t="s">
        <v>257</v>
      </c>
    </row>
    <row r="11844" spans="8:18" x14ac:dyDescent="0.2">
      <c r="H11844" s="180"/>
      <c r="P11844" s="180" t="s">
        <v>257</v>
      </c>
      <c r="R11844" s="180" t="s">
        <v>257</v>
      </c>
    </row>
    <row r="11845" spans="8:18" x14ac:dyDescent="0.2">
      <c r="H11845" s="180"/>
      <c r="P11845" s="180" t="s">
        <v>257</v>
      </c>
      <c r="R11845" s="180" t="s">
        <v>257</v>
      </c>
    </row>
    <row r="11846" spans="8:18" x14ac:dyDescent="0.2">
      <c r="H11846" s="180"/>
      <c r="P11846" s="180" t="s">
        <v>257</v>
      </c>
      <c r="R11846" s="180" t="s">
        <v>257</v>
      </c>
    </row>
    <row r="11847" spans="8:18" x14ac:dyDescent="0.2">
      <c r="H11847" s="180"/>
      <c r="P11847" s="180" t="s">
        <v>257</v>
      </c>
      <c r="R11847" s="180" t="s">
        <v>257</v>
      </c>
    </row>
    <row r="11848" spans="8:18" x14ac:dyDescent="0.2">
      <c r="H11848" s="180"/>
      <c r="P11848" s="180" t="s">
        <v>257</v>
      </c>
      <c r="R11848" s="180" t="s">
        <v>257</v>
      </c>
    </row>
    <row r="11849" spans="8:18" x14ac:dyDescent="0.2">
      <c r="H11849" s="180"/>
      <c r="P11849" s="180" t="s">
        <v>257</v>
      </c>
      <c r="R11849" s="180" t="s">
        <v>257</v>
      </c>
    </row>
    <row r="11850" spans="8:18" x14ac:dyDescent="0.2">
      <c r="H11850" s="180"/>
      <c r="P11850" s="180" t="s">
        <v>257</v>
      </c>
      <c r="R11850" s="180" t="s">
        <v>257</v>
      </c>
    </row>
    <row r="11851" spans="8:18" x14ac:dyDescent="0.2">
      <c r="H11851" s="180"/>
      <c r="P11851" s="180" t="s">
        <v>257</v>
      </c>
      <c r="R11851" s="180" t="s">
        <v>257</v>
      </c>
    </row>
    <row r="11852" spans="8:18" x14ac:dyDescent="0.2">
      <c r="H11852" s="180"/>
      <c r="P11852" s="180" t="s">
        <v>257</v>
      </c>
      <c r="R11852" s="180" t="s">
        <v>257</v>
      </c>
    </row>
    <row r="11853" spans="8:18" x14ac:dyDescent="0.2">
      <c r="H11853" s="180"/>
      <c r="P11853" s="180" t="s">
        <v>257</v>
      </c>
      <c r="R11853" s="180" t="s">
        <v>257</v>
      </c>
    </row>
    <row r="11854" spans="8:18" x14ac:dyDescent="0.2">
      <c r="H11854" s="180"/>
      <c r="P11854" s="180" t="s">
        <v>257</v>
      </c>
      <c r="R11854" s="180" t="s">
        <v>257</v>
      </c>
    </row>
    <row r="11855" spans="8:18" x14ac:dyDescent="0.2">
      <c r="H11855" s="180"/>
      <c r="P11855" s="180" t="s">
        <v>257</v>
      </c>
      <c r="R11855" s="180" t="s">
        <v>257</v>
      </c>
    </row>
    <row r="11856" spans="8:18" x14ac:dyDescent="0.2">
      <c r="H11856" s="180"/>
      <c r="P11856" s="180" t="s">
        <v>257</v>
      </c>
      <c r="R11856" s="180" t="s">
        <v>257</v>
      </c>
    </row>
    <row r="11857" spans="8:18" x14ac:dyDescent="0.2">
      <c r="H11857" s="180"/>
      <c r="P11857" s="180" t="s">
        <v>257</v>
      </c>
      <c r="R11857" s="180" t="s">
        <v>257</v>
      </c>
    </row>
    <row r="11858" spans="8:18" x14ac:dyDescent="0.2">
      <c r="H11858" s="180"/>
      <c r="P11858" s="180" t="s">
        <v>257</v>
      </c>
      <c r="R11858" s="180" t="s">
        <v>257</v>
      </c>
    </row>
    <row r="11859" spans="8:18" x14ac:dyDescent="0.2">
      <c r="H11859" s="180"/>
      <c r="P11859" s="180" t="s">
        <v>257</v>
      </c>
      <c r="R11859" s="180" t="s">
        <v>257</v>
      </c>
    </row>
    <row r="11860" spans="8:18" x14ac:dyDescent="0.2">
      <c r="H11860" s="180"/>
      <c r="P11860" s="180" t="s">
        <v>257</v>
      </c>
      <c r="R11860" s="180" t="s">
        <v>257</v>
      </c>
    </row>
    <row r="11861" spans="8:18" x14ac:dyDescent="0.2">
      <c r="H11861" s="180"/>
      <c r="P11861" s="180" t="s">
        <v>257</v>
      </c>
      <c r="R11861" s="180" t="s">
        <v>257</v>
      </c>
    </row>
    <row r="11862" spans="8:18" x14ac:dyDescent="0.2">
      <c r="H11862" s="180"/>
      <c r="P11862" s="180" t="s">
        <v>257</v>
      </c>
      <c r="R11862" s="180" t="s">
        <v>257</v>
      </c>
    </row>
    <row r="11863" spans="8:18" x14ac:dyDescent="0.2">
      <c r="H11863" s="180"/>
      <c r="P11863" s="180" t="s">
        <v>257</v>
      </c>
      <c r="R11863" s="180" t="s">
        <v>257</v>
      </c>
    </row>
    <row r="11864" spans="8:18" x14ac:dyDescent="0.2">
      <c r="H11864" s="180"/>
      <c r="P11864" s="180" t="s">
        <v>257</v>
      </c>
      <c r="R11864" s="180" t="s">
        <v>257</v>
      </c>
    </row>
    <row r="11865" spans="8:18" x14ac:dyDescent="0.2">
      <c r="H11865" s="180"/>
      <c r="P11865" s="180" t="s">
        <v>257</v>
      </c>
      <c r="R11865" s="180" t="s">
        <v>257</v>
      </c>
    </row>
    <row r="11866" spans="8:18" x14ac:dyDescent="0.2">
      <c r="H11866" s="180"/>
      <c r="P11866" s="180" t="s">
        <v>257</v>
      </c>
      <c r="R11866" s="180" t="s">
        <v>257</v>
      </c>
    </row>
    <row r="11867" spans="8:18" x14ac:dyDescent="0.2">
      <c r="H11867" s="180"/>
      <c r="P11867" s="180" t="s">
        <v>257</v>
      </c>
      <c r="R11867" s="180" t="s">
        <v>257</v>
      </c>
    </row>
    <row r="11868" spans="8:18" x14ac:dyDescent="0.2">
      <c r="H11868" s="180"/>
      <c r="P11868" s="180" t="s">
        <v>257</v>
      </c>
      <c r="R11868" s="180" t="s">
        <v>257</v>
      </c>
    </row>
    <row r="11869" spans="8:18" x14ac:dyDescent="0.2">
      <c r="H11869" s="180"/>
      <c r="P11869" s="180" t="s">
        <v>257</v>
      </c>
      <c r="R11869" s="180" t="s">
        <v>257</v>
      </c>
    </row>
    <row r="11870" spans="8:18" x14ac:dyDescent="0.2">
      <c r="H11870" s="180"/>
      <c r="P11870" s="180" t="s">
        <v>257</v>
      </c>
      <c r="R11870" s="180" t="s">
        <v>257</v>
      </c>
    </row>
    <row r="11871" spans="8:18" x14ac:dyDescent="0.2">
      <c r="H11871" s="180"/>
      <c r="P11871" s="180" t="s">
        <v>257</v>
      </c>
      <c r="R11871" s="180" t="s">
        <v>257</v>
      </c>
    </row>
    <row r="11872" spans="8:18" x14ac:dyDescent="0.2">
      <c r="H11872" s="180"/>
      <c r="P11872" s="180" t="s">
        <v>257</v>
      </c>
      <c r="R11872" s="180" t="s">
        <v>257</v>
      </c>
    </row>
    <row r="11873" spans="8:18" x14ac:dyDescent="0.2">
      <c r="H11873" s="180"/>
      <c r="P11873" s="180" t="s">
        <v>257</v>
      </c>
      <c r="R11873" s="180" t="s">
        <v>257</v>
      </c>
    </row>
    <row r="11874" spans="8:18" x14ac:dyDescent="0.2">
      <c r="H11874" s="180"/>
      <c r="P11874" s="180" t="s">
        <v>257</v>
      </c>
      <c r="R11874" s="180" t="s">
        <v>257</v>
      </c>
    </row>
    <row r="11875" spans="8:18" x14ac:dyDescent="0.2">
      <c r="H11875" s="180"/>
      <c r="P11875" s="180" t="s">
        <v>257</v>
      </c>
      <c r="R11875" s="180" t="s">
        <v>257</v>
      </c>
    </row>
    <row r="11876" spans="8:18" x14ac:dyDescent="0.2">
      <c r="H11876" s="180"/>
      <c r="P11876" s="180" t="s">
        <v>257</v>
      </c>
      <c r="R11876" s="180" t="s">
        <v>257</v>
      </c>
    </row>
    <row r="11877" spans="8:18" x14ac:dyDescent="0.2">
      <c r="H11877" s="180"/>
      <c r="P11877" s="180" t="s">
        <v>257</v>
      </c>
      <c r="R11877" s="180" t="s">
        <v>257</v>
      </c>
    </row>
    <row r="11878" spans="8:18" x14ac:dyDescent="0.2">
      <c r="H11878" s="180"/>
      <c r="P11878" s="180" t="s">
        <v>257</v>
      </c>
      <c r="R11878" s="180" t="s">
        <v>257</v>
      </c>
    </row>
    <row r="11879" spans="8:18" x14ac:dyDescent="0.2">
      <c r="H11879" s="180"/>
      <c r="P11879" s="180" t="s">
        <v>257</v>
      </c>
      <c r="R11879" s="180" t="s">
        <v>257</v>
      </c>
    </row>
    <row r="11880" spans="8:18" x14ac:dyDescent="0.2">
      <c r="H11880" s="180"/>
      <c r="P11880" s="180" t="s">
        <v>257</v>
      </c>
      <c r="R11880" s="180" t="s">
        <v>257</v>
      </c>
    </row>
    <row r="11881" spans="8:18" x14ac:dyDescent="0.2">
      <c r="H11881" s="180"/>
      <c r="P11881" s="180" t="s">
        <v>257</v>
      </c>
      <c r="R11881" s="180" t="s">
        <v>257</v>
      </c>
    </row>
    <row r="11882" spans="8:18" x14ac:dyDescent="0.2">
      <c r="H11882" s="180"/>
      <c r="P11882" s="180" t="s">
        <v>257</v>
      </c>
      <c r="R11882" s="180" t="s">
        <v>257</v>
      </c>
    </row>
    <row r="11883" spans="8:18" x14ac:dyDescent="0.2">
      <c r="H11883" s="180"/>
      <c r="P11883" s="180" t="s">
        <v>257</v>
      </c>
      <c r="R11883" s="180" t="s">
        <v>257</v>
      </c>
    </row>
    <row r="11884" spans="8:18" x14ac:dyDescent="0.2">
      <c r="H11884" s="180"/>
      <c r="P11884" s="180" t="s">
        <v>257</v>
      </c>
      <c r="R11884" s="180" t="s">
        <v>257</v>
      </c>
    </row>
    <row r="11885" spans="8:18" x14ac:dyDescent="0.2">
      <c r="H11885" s="180"/>
      <c r="P11885" s="180" t="s">
        <v>257</v>
      </c>
      <c r="R11885" s="180" t="s">
        <v>257</v>
      </c>
    </row>
    <row r="11886" spans="8:18" x14ac:dyDescent="0.2">
      <c r="H11886" s="180"/>
      <c r="P11886" s="180" t="s">
        <v>257</v>
      </c>
      <c r="R11886" s="180" t="s">
        <v>257</v>
      </c>
    </row>
    <row r="11887" spans="8:18" x14ac:dyDescent="0.2">
      <c r="H11887" s="180"/>
      <c r="P11887" s="180" t="s">
        <v>257</v>
      </c>
      <c r="R11887" s="180" t="s">
        <v>257</v>
      </c>
    </row>
    <row r="11888" spans="8:18" x14ac:dyDescent="0.2">
      <c r="H11888" s="180"/>
      <c r="P11888" s="180" t="s">
        <v>257</v>
      </c>
      <c r="R11888" s="180" t="s">
        <v>257</v>
      </c>
    </row>
    <row r="11889" spans="8:18" x14ac:dyDescent="0.2">
      <c r="H11889" s="180"/>
      <c r="P11889" s="180" t="s">
        <v>257</v>
      </c>
      <c r="R11889" s="180" t="s">
        <v>257</v>
      </c>
    </row>
    <row r="11890" spans="8:18" x14ac:dyDescent="0.2">
      <c r="H11890" s="180"/>
      <c r="P11890" s="180" t="s">
        <v>257</v>
      </c>
      <c r="R11890" s="180" t="s">
        <v>257</v>
      </c>
    </row>
    <row r="11891" spans="8:18" x14ac:dyDescent="0.2">
      <c r="H11891" s="180"/>
      <c r="P11891" s="180" t="s">
        <v>257</v>
      </c>
      <c r="R11891" s="180" t="s">
        <v>257</v>
      </c>
    </row>
    <row r="11892" spans="8:18" x14ac:dyDescent="0.2">
      <c r="H11892" s="180"/>
      <c r="P11892" s="180" t="s">
        <v>257</v>
      </c>
      <c r="R11892" s="180" t="s">
        <v>257</v>
      </c>
    </row>
    <row r="11893" spans="8:18" x14ac:dyDescent="0.2">
      <c r="H11893" s="180"/>
      <c r="P11893" s="180" t="s">
        <v>257</v>
      </c>
      <c r="R11893" s="180" t="s">
        <v>257</v>
      </c>
    </row>
    <row r="11894" spans="8:18" x14ac:dyDescent="0.2">
      <c r="H11894" s="180"/>
      <c r="P11894" s="180" t="s">
        <v>257</v>
      </c>
      <c r="R11894" s="180" t="s">
        <v>257</v>
      </c>
    </row>
    <row r="11895" spans="8:18" x14ac:dyDescent="0.2">
      <c r="H11895" s="180"/>
      <c r="P11895" s="180" t="s">
        <v>257</v>
      </c>
      <c r="R11895" s="180" t="s">
        <v>257</v>
      </c>
    </row>
    <row r="11896" spans="8:18" x14ac:dyDescent="0.2">
      <c r="H11896" s="180"/>
      <c r="P11896" s="180" t="s">
        <v>257</v>
      </c>
      <c r="R11896" s="180" t="s">
        <v>257</v>
      </c>
    </row>
    <row r="11897" spans="8:18" x14ac:dyDescent="0.2">
      <c r="H11897" s="180"/>
      <c r="P11897" s="180" t="s">
        <v>257</v>
      </c>
      <c r="R11897" s="180" t="s">
        <v>257</v>
      </c>
    </row>
    <row r="11898" spans="8:18" x14ac:dyDescent="0.2">
      <c r="H11898" s="180"/>
      <c r="P11898" s="180" t="s">
        <v>257</v>
      </c>
      <c r="R11898" s="180" t="s">
        <v>257</v>
      </c>
    </row>
    <row r="11899" spans="8:18" x14ac:dyDescent="0.2">
      <c r="H11899" s="180"/>
      <c r="P11899" s="180" t="s">
        <v>257</v>
      </c>
      <c r="R11899" s="180" t="s">
        <v>257</v>
      </c>
    </row>
    <row r="11900" spans="8:18" x14ac:dyDescent="0.2">
      <c r="H11900" s="180"/>
      <c r="P11900" s="180" t="s">
        <v>257</v>
      </c>
      <c r="R11900" s="180" t="s">
        <v>257</v>
      </c>
    </row>
    <row r="11901" spans="8:18" x14ac:dyDescent="0.2">
      <c r="H11901" s="180"/>
      <c r="P11901" s="180" t="s">
        <v>257</v>
      </c>
      <c r="R11901" s="180" t="s">
        <v>257</v>
      </c>
    </row>
    <row r="11902" spans="8:18" x14ac:dyDescent="0.2">
      <c r="H11902" s="180"/>
      <c r="P11902" s="180" t="s">
        <v>257</v>
      </c>
      <c r="R11902" s="180" t="s">
        <v>257</v>
      </c>
    </row>
    <row r="11903" spans="8:18" x14ac:dyDescent="0.2">
      <c r="H11903" s="180"/>
      <c r="P11903" s="180" t="s">
        <v>257</v>
      </c>
      <c r="R11903" s="180" t="s">
        <v>257</v>
      </c>
    </row>
    <row r="11904" spans="8:18" x14ac:dyDescent="0.2">
      <c r="H11904" s="180"/>
      <c r="P11904" s="180" t="s">
        <v>257</v>
      </c>
      <c r="R11904" s="180" t="s">
        <v>257</v>
      </c>
    </row>
    <row r="11905" spans="8:18" x14ac:dyDescent="0.2">
      <c r="H11905" s="180"/>
      <c r="P11905" s="180" t="s">
        <v>257</v>
      </c>
      <c r="R11905" s="180" t="s">
        <v>257</v>
      </c>
    </row>
    <row r="11906" spans="8:18" x14ac:dyDescent="0.2">
      <c r="H11906" s="180"/>
      <c r="P11906" s="180" t="s">
        <v>257</v>
      </c>
      <c r="R11906" s="180" t="s">
        <v>257</v>
      </c>
    </row>
    <row r="11907" spans="8:18" x14ac:dyDescent="0.2">
      <c r="H11907" s="180"/>
      <c r="P11907" s="180" t="s">
        <v>257</v>
      </c>
      <c r="R11907" s="180" t="s">
        <v>257</v>
      </c>
    </row>
    <row r="11908" spans="8:18" x14ac:dyDescent="0.2">
      <c r="H11908" s="180"/>
      <c r="P11908" s="180" t="s">
        <v>257</v>
      </c>
      <c r="R11908" s="180" t="s">
        <v>257</v>
      </c>
    </row>
    <row r="11909" spans="8:18" x14ac:dyDescent="0.2">
      <c r="H11909" s="180"/>
      <c r="P11909" s="180" t="s">
        <v>257</v>
      </c>
      <c r="R11909" s="180" t="s">
        <v>257</v>
      </c>
    </row>
    <row r="11910" spans="8:18" x14ac:dyDescent="0.2">
      <c r="H11910" s="180"/>
      <c r="P11910" s="180" t="s">
        <v>257</v>
      </c>
      <c r="R11910" s="180" t="s">
        <v>257</v>
      </c>
    </row>
    <row r="11911" spans="8:18" x14ac:dyDescent="0.2">
      <c r="H11911" s="180"/>
      <c r="P11911" s="180" t="s">
        <v>257</v>
      </c>
      <c r="R11911" s="180" t="s">
        <v>257</v>
      </c>
    </row>
    <row r="11912" spans="8:18" x14ac:dyDescent="0.2">
      <c r="H11912" s="180"/>
      <c r="P11912" s="180" t="s">
        <v>257</v>
      </c>
      <c r="R11912" s="180" t="s">
        <v>257</v>
      </c>
    </row>
    <row r="11913" spans="8:18" x14ac:dyDescent="0.2">
      <c r="H11913" s="180"/>
      <c r="P11913" s="180" t="s">
        <v>257</v>
      </c>
      <c r="R11913" s="180" t="s">
        <v>257</v>
      </c>
    </row>
    <row r="11914" spans="8:18" x14ac:dyDescent="0.2">
      <c r="H11914" s="180"/>
      <c r="P11914" s="180" t="s">
        <v>257</v>
      </c>
      <c r="R11914" s="180" t="s">
        <v>257</v>
      </c>
    </row>
    <row r="11915" spans="8:18" x14ac:dyDescent="0.2">
      <c r="H11915" s="180"/>
      <c r="P11915" s="180" t="s">
        <v>257</v>
      </c>
      <c r="R11915" s="180" t="s">
        <v>257</v>
      </c>
    </row>
    <row r="11916" spans="8:18" x14ac:dyDescent="0.2">
      <c r="H11916" s="180"/>
      <c r="P11916" s="180" t="s">
        <v>257</v>
      </c>
      <c r="R11916" s="180" t="s">
        <v>257</v>
      </c>
    </row>
    <row r="11917" spans="8:18" x14ac:dyDescent="0.2">
      <c r="H11917" s="180"/>
      <c r="P11917" s="180" t="s">
        <v>257</v>
      </c>
      <c r="R11917" s="180" t="s">
        <v>257</v>
      </c>
    </row>
    <row r="11918" spans="8:18" x14ac:dyDescent="0.2">
      <c r="H11918" s="180"/>
      <c r="P11918" s="180" t="s">
        <v>257</v>
      </c>
      <c r="R11918" s="180" t="s">
        <v>257</v>
      </c>
    </row>
    <row r="11919" spans="8:18" x14ac:dyDescent="0.2">
      <c r="H11919" s="180"/>
      <c r="P11919" s="180" t="s">
        <v>257</v>
      </c>
      <c r="R11919" s="180" t="s">
        <v>257</v>
      </c>
    </row>
    <row r="11920" spans="8:18" x14ac:dyDescent="0.2">
      <c r="H11920" s="180"/>
      <c r="P11920" s="180" t="s">
        <v>257</v>
      </c>
      <c r="R11920" s="180" t="s">
        <v>257</v>
      </c>
    </row>
    <row r="11921" spans="8:18" x14ac:dyDescent="0.2">
      <c r="H11921" s="180"/>
      <c r="P11921" s="180" t="s">
        <v>257</v>
      </c>
      <c r="R11921" s="180" t="s">
        <v>257</v>
      </c>
    </row>
    <row r="11922" spans="8:18" x14ac:dyDescent="0.2">
      <c r="H11922" s="180"/>
      <c r="P11922" s="180" t="s">
        <v>257</v>
      </c>
      <c r="R11922" s="180" t="s">
        <v>257</v>
      </c>
    </row>
    <row r="11923" spans="8:18" x14ac:dyDescent="0.2">
      <c r="H11923" s="180"/>
      <c r="P11923" s="180" t="s">
        <v>257</v>
      </c>
      <c r="R11923" s="180" t="s">
        <v>257</v>
      </c>
    </row>
    <row r="11924" spans="8:18" x14ac:dyDescent="0.2">
      <c r="H11924" s="180"/>
      <c r="P11924" s="180" t="s">
        <v>257</v>
      </c>
      <c r="R11924" s="180" t="s">
        <v>257</v>
      </c>
    </row>
    <row r="11925" spans="8:18" x14ac:dyDescent="0.2">
      <c r="H11925" s="180"/>
      <c r="P11925" s="180" t="s">
        <v>257</v>
      </c>
      <c r="R11925" s="180" t="s">
        <v>257</v>
      </c>
    </row>
    <row r="11926" spans="8:18" x14ac:dyDescent="0.2">
      <c r="H11926" s="180"/>
      <c r="P11926" s="180" t="s">
        <v>257</v>
      </c>
      <c r="R11926" s="180" t="s">
        <v>257</v>
      </c>
    </row>
    <row r="11927" spans="8:18" x14ac:dyDescent="0.2">
      <c r="H11927" s="180"/>
      <c r="P11927" s="180" t="s">
        <v>257</v>
      </c>
      <c r="R11927" s="180" t="s">
        <v>257</v>
      </c>
    </row>
    <row r="11928" spans="8:18" x14ac:dyDescent="0.2">
      <c r="H11928" s="180"/>
      <c r="P11928" s="180" t="s">
        <v>257</v>
      </c>
      <c r="R11928" s="180" t="s">
        <v>257</v>
      </c>
    </row>
    <row r="11929" spans="8:18" x14ac:dyDescent="0.2">
      <c r="H11929" s="180"/>
      <c r="P11929" s="180" t="s">
        <v>257</v>
      </c>
      <c r="R11929" s="180" t="s">
        <v>257</v>
      </c>
    </row>
    <row r="11930" spans="8:18" x14ac:dyDescent="0.2">
      <c r="H11930" s="180"/>
      <c r="P11930" s="180" t="s">
        <v>257</v>
      </c>
      <c r="R11930" s="180" t="s">
        <v>257</v>
      </c>
    </row>
    <row r="11931" spans="8:18" x14ac:dyDescent="0.2">
      <c r="H11931" s="180"/>
      <c r="P11931" s="180" t="s">
        <v>257</v>
      </c>
      <c r="R11931" s="180" t="s">
        <v>257</v>
      </c>
    </row>
    <row r="11932" spans="8:18" x14ac:dyDescent="0.2">
      <c r="H11932" s="180"/>
      <c r="P11932" s="180" t="s">
        <v>257</v>
      </c>
      <c r="R11932" s="180" t="s">
        <v>257</v>
      </c>
    </row>
    <row r="11933" spans="8:18" x14ac:dyDescent="0.2">
      <c r="H11933" s="180"/>
      <c r="P11933" s="180" t="s">
        <v>257</v>
      </c>
      <c r="R11933" s="180" t="s">
        <v>257</v>
      </c>
    </row>
    <row r="11934" spans="8:18" x14ac:dyDescent="0.2">
      <c r="H11934" s="180"/>
      <c r="P11934" s="180" t="s">
        <v>257</v>
      </c>
      <c r="R11934" s="180" t="s">
        <v>257</v>
      </c>
    </row>
    <row r="11935" spans="8:18" x14ac:dyDescent="0.2">
      <c r="H11935" s="180"/>
      <c r="P11935" s="180" t="s">
        <v>257</v>
      </c>
      <c r="R11935" s="180" t="s">
        <v>257</v>
      </c>
    </row>
    <row r="11936" spans="8:18" x14ac:dyDescent="0.2">
      <c r="H11936" s="180"/>
      <c r="P11936" s="180" t="s">
        <v>257</v>
      </c>
      <c r="R11936" s="180" t="s">
        <v>257</v>
      </c>
    </row>
    <row r="11937" spans="8:18" x14ac:dyDescent="0.2">
      <c r="H11937" s="180"/>
      <c r="P11937" s="180" t="s">
        <v>257</v>
      </c>
      <c r="R11937" s="180" t="s">
        <v>257</v>
      </c>
    </row>
    <row r="11938" spans="8:18" x14ac:dyDescent="0.2">
      <c r="H11938" s="180"/>
      <c r="P11938" s="180" t="s">
        <v>257</v>
      </c>
      <c r="R11938" s="180" t="s">
        <v>257</v>
      </c>
    </row>
    <row r="11939" spans="8:18" x14ac:dyDescent="0.2">
      <c r="H11939" s="180"/>
      <c r="P11939" s="180" t="s">
        <v>257</v>
      </c>
      <c r="R11939" s="180" t="s">
        <v>257</v>
      </c>
    </row>
    <row r="11940" spans="8:18" x14ac:dyDescent="0.2">
      <c r="H11940" s="180"/>
      <c r="P11940" s="180" t="s">
        <v>257</v>
      </c>
      <c r="R11940" s="180" t="s">
        <v>257</v>
      </c>
    </row>
    <row r="11941" spans="8:18" x14ac:dyDescent="0.2">
      <c r="H11941" s="180"/>
      <c r="P11941" s="180" t="s">
        <v>257</v>
      </c>
      <c r="R11941" s="180" t="s">
        <v>257</v>
      </c>
    </row>
    <row r="11942" spans="8:18" x14ac:dyDescent="0.2">
      <c r="H11942" s="180"/>
      <c r="P11942" s="180" t="s">
        <v>257</v>
      </c>
      <c r="R11942" s="180" t="s">
        <v>257</v>
      </c>
    </row>
    <row r="11943" spans="8:18" x14ac:dyDescent="0.2">
      <c r="H11943" s="180"/>
      <c r="P11943" s="180" t="s">
        <v>257</v>
      </c>
      <c r="R11943" s="180" t="s">
        <v>257</v>
      </c>
    </row>
    <row r="11944" spans="8:18" x14ac:dyDescent="0.2">
      <c r="H11944" s="180"/>
      <c r="P11944" s="180" t="s">
        <v>257</v>
      </c>
      <c r="R11944" s="180" t="s">
        <v>257</v>
      </c>
    </row>
    <row r="11945" spans="8:18" x14ac:dyDescent="0.2">
      <c r="H11945" s="180"/>
      <c r="P11945" s="180" t="s">
        <v>257</v>
      </c>
      <c r="R11945" s="180" t="s">
        <v>257</v>
      </c>
    </row>
    <row r="11946" spans="8:18" x14ac:dyDescent="0.2">
      <c r="H11946" s="180"/>
      <c r="P11946" s="180" t="s">
        <v>257</v>
      </c>
      <c r="R11946" s="180" t="s">
        <v>257</v>
      </c>
    </row>
    <row r="11947" spans="8:18" x14ac:dyDescent="0.2">
      <c r="H11947" s="180"/>
      <c r="P11947" s="180" t="s">
        <v>257</v>
      </c>
      <c r="R11947" s="180" t="s">
        <v>257</v>
      </c>
    </row>
    <row r="11948" spans="8:18" x14ac:dyDescent="0.2">
      <c r="H11948" s="180"/>
      <c r="P11948" s="180" t="s">
        <v>257</v>
      </c>
      <c r="R11948" s="180" t="s">
        <v>257</v>
      </c>
    </row>
    <row r="11949" spans="8:18" x14ac:dyDescent="0.2">
      <c r="H11949" s="180"/>
      <c r="P11949" s="180" t="s">
        <v>257</v>
      </c>
      <c r="R11949" s="180" t="s">
        <v>257</v>
      </c>
    </row>
    <row r="11950" spans="8:18" x14ac:dyDescent="0.2">
      <c r="H11950" s="180"/>
      <c r="P11950" s="180" t="s">
        <v>257</v>
      </c>
      <c r="R11950" s="180" t="s">
        <v>257</v>
      </c>
    </row>
    <row r="11951" spans="8:18" x14ac:dyDescent="0.2">
      <c r="H11951" s="180"/>
      <c r="P11951" s="180" t="s">
        <v>257</v>
      </c>
      <c r="R11951" s="180" t="s">
        <v>257</v>
      </c>
    </row>
    <row r="11952" spans="8:18" x14ac:dyDescent="0.2">
      <c r="H11952" s="180"/>
      <c r="P11952" s="180" t="s">
        <v>257</v>
      </c>
      <c r="R11952" s="180" t="s">
        <v>257</v>
      </c>
    </row>
    <row r="11953" spans="8:18" x14ac:dyDescent="0.2">
      <c r="H11953" s="180"/>
      <c r="P11953" s="180" t="s">
        <v>257</v>
      </c>
      <c r="R11953" s="180" t="s">
        <v>257</v>
      </c>
    </row>
    <row r="11954" spans="8:18" x14ac:dyDescent="0.2">
      <c r="H11954" s="180"/>
      <c r="P11954" s="180" t="s">
        <v>257</v>
      </c>
      <c r="R11954" s="180" t="s">
        <v>257</v>
      </c>
    </row>
    <row r="11955" spans="8:18" x14ac:dyDescent="0.2">
      <c r="H11955" s="180"/>
      <c r="P11955" s="180" t="s">
        <v>257</v>
      </c>
      <c r="R11955" s="180" t="s">
        <v>257</v>
      </c>
    </row>
    <row r="11956" spans="8:18" x14ac:dyDescent="0.2">
      <c r="H11956" s="180"/>
      <c r="P11956" s="180" t="s">
        <v>257</v>
      </c>
      <c r="R11956" s="180" t="s">
        <v>257</v>
      </c>
    </row>
    <row r="11957" spans="8:18" x14ac:dyDescent="0.2">
      <c r="H11957" s="180"/>
      <c r="P11957" s="180" t="s">
        <v>257</v>
      </c>
      <c r="R11957" s="180" t="s">
        <v>257</v>
      </c>
    </row>
    <row r="11958" spans="8:18" x14ac:dyDescent="0.2">
      <c r="H11958" s="180"/>
      <c r="P11958" s="180" t="s">
        <v>257</v>
      </c>
      <c r="R11958" s="180" t="s">
        <v>257</v>
      </c>
    </row>
    <row r="11959" spans="8:18" x14ac:dyDescent="0.2">
      <c r="H11959" s="180"/>
      <c r="P11959" s="180" t="s">
        <v>257</v>
      </c>
      <c r="R11959" s="180" t="s">
        <v>257</v>
      </c>
    </row>
    <row r="11960" spans="8:18" x14ac:dyDescent="0.2">
      <c r="H11960" s="180"/>
      <c r="P11960" s="180" t="s">
        <v>257</v>
      </c>
      <c r="R11960" s="180" t="s">
        <v>257</v>
      </c>
    </row>
    <row r="11961" spans="8:18" x14ac:dyDescent="0.2">
      <c r="H11961" s="180"/>
      <c r="P11961" s="180" t="s">
        <v>257</v>
      </c>
      <c r="R11961" s="180" t="s">
        <v>257</v>
      </c>
    </row>
    <row r="11962" spans="8:18" x14ac:dyDescent="0.2">
      <c r="H11962" s="180"/>
      <c r="P11962" s="180" t="s">
        <v>257</v>
      </c>
      <c r="R11962" s="180" t="s">
        <v>257</v>
      </c>
    </row>
    <row r="11963" spans="8:18" x14ac:dyDescent="0.2">
      <c r="H11963" s="180"/>
      <c r="P11963" s="180" t="s">
        <v>257</v>
      </c>
      <c r="R11963" s="180" t="s">
        <v>257</v>
      </c>
    </row>
    <row r="11964" spans="8:18" x14ac:dyDescent="0.2">
      <c r="H11964" s="180"/>
      <c r="P11964" s="180" t="s">
        <v>257</v>
      </c>
      <c r="R11964" s="180" t="s">
        <v>257</v>
      </c>
    </row>
    <row r="11965" spans="8:18" x14ac:dyDescent="0.2">
      <c r="H11965" s="180"/>
      <c r="P11965" s="180" t="s">
        <v>257</v>
      </c>
      <c r="R11965" s="180" t="s">
        <v>257</v>
      </c>
    </row>
    <row r="11966" spans="8:18" x14ac:dyDescent="0.2">
      <c r="H11966" s="180"/>
      <c r="P11966" s="180" t="s">
        <v>257</v>
      </c>
      <c r="R11966" s="180" t="s">
        <v>257</v>
      </c>
    </row>
    <row r="11967" spans="8:18" x14ac:dyDescent="0.2">
      <c r="H11967" s="180"/>
      <c r="P11967" s="180" t="s">
        <v>257</v>
      </c>
      <c r="R11967" s="180" t="s">
        <v>257</v>
      </c>
    </row>
    <row r="11968" spans="8:18" x14ac:dyDescent="0.2">
      <c r="H11968" s="180"/>
      <c r="P11968" s="180" t="s">
        <v>257</v>
      </c>
      <c r="R11968" s="180" t="s">
        <v>257</v>
      </c>
    </row>
    <row r="11969" spans="8:18" x14ac:dyDescent="0.2">
      <c r="H11969" s="180"/>
      <c r="P11969" s="180" t="s">
        <v>257</v>
      </c>
      <c r="R11969" s="180" t="s">
        <v>257</v>
      </c>
    </row>
    <row r="11970" spans="8:18" x14ac:dyDescent="0.2">
      <c r="H11970" s="180"/>
      <c r="P11970" s="180" t="s">
        <v>257</v>
      </c>
      <c r="R11970" s="180" t="s">
        <v>257</v>
      </c>
    </row>
    <row r="11971" spans="8:18" x14ac:dyDescent="0.2">
      <c r="H11971" s="180"/>
      <c r="P11971" s="180" t="s">
        <v>257</v>
      </c>
      <c r="R11971" s="180" t="s">
        <v>257</v>
      </c>
    </row>
    <row r="11972" spans="8:18" x14ac:dyDescent="0.2">
      <c r="H11972" s="180"/>
      <c r="P11972" s="180" t="s">
        <v>257</v>
      </c>
      <c r="R11972" s="180" t="s">
        <v>257</v>
      </c>
    </row>
    <row r="11973" spans="8:18" x14ac:dyDescent="0.2">
      <c r="H11973" s="180"/>
      <c r="P11973" s="180" t="s">
        <v>257</v>
      </c>
      <c r="R11973" s="180" t="s">
        <v>257</v>
      </c>
    </row>
    <row r="11974" spans="8:18" x14ac:dyDescent="0.2">
      <c r="H11974" s="180"/>
      <c r="P11974" s="180" t="s">
        <v>257</v>
      </c>
      <c r="R11974" s="180" t="s">
        <v>257</v>
      </c>
    </row>
    <row r="11975" spans="8:18" x14ac:dyDescent="0.2">
      <c r="H11975" s="180"/>
      <c r="P11975" s="180" t="s">
        <v>257</v>
      </c>
      <c r="R11975" s="180" t="s">
        <v>257</v>
      </c>
    </row>
    <row r="11976" spans="8:18" x14ac:dyDescent="0.2">
      <c r="H11976" s="180"/>
      <c r="P11976" s="180" t="s">
        <v>257</v>
      </c>
      <c r="R11976" s="180" t="s">
        <v>257</v>
      </c>
    </row>
    <row r="11977" spans="8:18" x14ac:dyDescent="0.2">
      <c r="H11977" s="180"/>
      <c r="P11977" s="180" t="s">
        <v>257</v>
      </c>
      <c r="R11977" s="180" t="s">
        <v>257</v>
      </c>
    </row>
    <row r="11978" spans="8:18" x14ac:dyDescent="0.2">
      <c r="H11978" s="180"/>
      <c r="P11978" s="180" t="s">
        <v>257</v>
      </c>
      <c r="R11978" s="180" t="s">
        <v>257</v>
      </c>
    </row>
    <row r="11979" spans="8:18" x14ac:dyDescent="0.2">
      <c r="H11979" s="180"/>
      <c r="P11979" s="180" t="s">
        <v>257</v>
      </c>
      <c r="R11979" s="180" t="s">
        <v>257</v>
      </c>
    </row>
    <row r="11980" spans="8:18" x14ac:dyDescent="0.2">
      <c r="H11980" s="180"/>
      <c r="P11980" s="180" t="s">
        <v>257</v>
      </c>
      <c r="R11980" s="180" t="s">
        <v>257</v>
      </c>
    </row>
    <row r="11981" spans="8:18" x14ac:dyDescent="0.2">
      <c r="H11981" s="180"/>
      <c r="P11981" s="180" t="s">
        <v>257</v>
      </c>
      <c r="R11981" s="180" t="s">
        <v>257</v>
      </c>
    </row>
    <row r="11982" spans="8:18" x14ac:dyDescent="0.2">
      <c r="H11982" s="180"/>
      <c r="P11982" s="180" t="s">
        <v>257</v>
      </c>
      <c r="R11982" s="180" t="s">
        <v>257</v>
      </c>
    </row>
    <row r="11983" spans="8:18" x14ac:dyDescent="0.2">
      <c r="H11983" s="180"/>
      <c r="P11983" s="180" t="s">
        <v>257</v>
      </c>
      <c r="R11983" s="180" t="s">
        <v>257</v>
      </c>
    </row>
    <row r="11984" spans="8:18" x14ac:dyDescent="0.2">
      <c r="H11984" s="180"/>
      <c r="P11984" s="180" t="s">
        <v>257</v>
      </c>
      <c r="R11984" s="180" t="s">
        <v>257</v>
      </c>
    </row>
    <row r="11985" spans="8:18" x14ac:dyDescent="0.2">
      <c r="H11985" s="180"/>
      <c r="P11985" s="180" t="s">
        <v>257</v>
      </c>
      <c r="R11985" s="180" t="s">
        <v>257</v>
      </c>
    </row>
    <row r="11986" spans="8:18" x14ac:dyDescent="0.2">
      <c r="H11986" s="180"/>
      <c r="P11986" s="180" t="s">
        <v>257</v>
      </c>
      <c r="R11986" s="180" t="s">
        <v>257</v>
      </c>
    </row>
    <row r="11987" spans="8:18" x14ac:dyDescent="0.2">
      <c r="H11987" s="180"/>
      <c r="P11987" s="180" t="s">
        <v>257</v>
      </c>
      <c r="R11987" s="180" t="s">
        <v>257</v>
      </c>
    </row>
    <row r="11988" spans="8:18" x14ac:dyDescent="0.2">
      <c r="H11988" s="180"/>
      <c r="P11988" s="180" t="s">
        <v>257</v>
      </c>
      <c r="R11988" s="180" t="s">
        <v>257</v>
      </c>
    </row>
    <row r="11989" spans="8:18" x14ac:dyDescent="0.2">
      <c r="H11989" s="180"/>
      <c r="P11989" s="180" t="s">
        <v>257</v>
      </c>
      <c r="R11989" s="180" t="s">
        <v>257</v>
      </c>
    </row>
    <row r="11990" spans="8:18" x14ac:dyDescent="0.2">
      <c r="H11990" s="180"/>
      <c r="P11990" s="180" t="s">
        <v>257</v>
      </c>
      <c r="R11990" s="180" t="s">
        <v>257</v>
      </c>
    </row>
    <row r="11991" spans="8:18" x14ac:dyDescent="0.2">
      <c r="H11991" s="180"/>
      <c r="P11991" s="180" t="s">
        <v>257</v>
      </c>
      <c r="R11991" s="180" t="s">
        <v>257</v>
      </c>
    </row>
    <row r="11992" spans="8:18" x14ac:dyDescent="0.2">
      <c r="H11992" s="180"/>
      <c r="P11992" s="180" t="s">
        <v>257</v>
      </c>
      <c r="R11992" s="180" t="s">
        <v>257</v>
      </c>
    </row>
    <row r="11993" spans="8:18" x14ac:dyDescent="0.2">
      <c r="H11993" s="180"/>
      <c r="P11993" s="180" t="s">
        <v>257</v>
      </c>
      <c r="R11993" s="180" t="s">
        <v>257</v>
      </c>
    </row>
    <row r="11994" spans="8:18" x14ac:dyDescent="0.2">
      <c r="H11994" s="180"/>
      <c r="P11994" s="180" t="s">
        <v>257</v>
      </c>
      <c r="R11994" s="180" t="s">
        <v>257</v>
      </c>
    </row>
    <row r="11995" spans="8:18" x14ac:dyDescent="0.2">
      <c r="H11995" s="180"/>
      <c r="P11995" s="180" t="s">
        <v>257</v>
      </c>
      <c r="R11995" s="180" t="s">
        <v>257</v>
      </c>
    </row>
    <row r="11996" spans="8:18" x14ac:dyDescent="0.2">
      <c r="H11996" s="180"/>
      <c r="P11996" s="180" t="s">
        <v>257</v>
      </c>
      <c r="R11996" s="180" t="s">
        <v>257</v>
      </c>
    </row>
    <row r="11997" spans="8:18" x14ac:dyDescent="0.2">
      <c r="H11997" s="180"/>
      <c r="P11997" s="180" t="s">
        <v>257</v>
      </c>
      <c r="R11997" s="180" t="s">
        <v>257</v>
      </c>
    </row>
    <row r="11998" spans="8:18" x14ac:dyDescent="0.2">
      <c r="H11998" s="180"/>
      <c r="P11998" s="180" t="s">
        <v>257</v>
      </c>
      <c r="R11998" s="180" t="s">
        <v>257</v>
      </c>
    </row>
    <row r="11999" spans="8:18" x14ac:dyDescent="0.2">
      <c r="H11999" s="180"/>
      <c r="P11999" s="180" t="s">
        <v>257</v>
      </c>
      <c r="R11999" s="180" t="s">
        <v>257</v>
      </c>
    </row>
    <row r="12000" spans="8:18" x14ac:dyDescent="0.2">
      <c r="H12000" s="180"/>
      <c r="P12000" s="180" t="s">
        <v>257</v>
      </c>
      <c r="R12000" s="180" t="s">
        <v>257</v>
      </c>
    </row>
    <row r="12001" spans="8:18" x14ac:dyDescent="0.2">
      <c r="H12001" s="180"/>
      <c r="P12001" s="180" t="s">
        <v>257</v>
      </c>
      <c r="R12001" s="180" t="s">
        <v>257</v>
      </c>
    </row>
    <row r="12002" spans="8:18" x14ac:dyDescent="0.2">
      <c r="H12002" s="180"/>
      <c r="P12002" s="180" t="s">
        <v>257</v>
      </c>
      <c r="R12002" s="180" t="s">
        <v>257</v>
      </c>
    </row>
    <row r="12003" spans="8:18" x14ac:dyDescent="0.2">
      <c r="H12003" s="180"/>
      <c r="P12003" s="180" t="s">
        <v>257</v>
      </c>
      <c r="R12003" s="180" t="s">
        <v>257</v>
      </c>
    </row>
    <row r="12004" spans="8:18" x14ac:dyDescent="0.2">
      <c r="H12004" s="180"/>
      <c r="P12004" s="180" t="s">
        <v>257</v>
      </c>
      <c r="R12004" s="180" t="s">
        <v>257</v>
      </c>
    </row>
    <row r="12005" spans="8:18" x14ac:dyDescent="0.2">
      <c r="H12005" s="180"/>
      <c r="P12005" s="180" t="s">
        <v>257</v>
      </c>
      <c r="R12005" s="180" t="s">
        <v>257</v>
      </c>
    </row>
    <row r="12006" spans="8:18" x14ac:dyDescent="0.2">
      <c r="H12006" s="180"/>
      <c r="P12006" s="180" t="s">
        <v>257</v>
      </c>
      <c r="R12006" s="180" t="s">
        <v>257</v>
      </c>
    </row>
    <row r="12007" spans="8:18" x14ac:dyDescent="0.2">
      <c r="H12007" s="180"/>
      <c r="P12007" s="180" t="s">
        <v>257</v>
      </c>
      <c r="R12007" s="180" t="s">
        <v>257</v>
      </c>
    </row>
    <row r="12008" spans="8:18" x14ac:dyDescent="0.2">
      <c r="H12008" s="180"/>
      <c r="P12008" s="180" t="s">
        <v>257</v>
      </c>
      <c r="R12008" s="180" t="s">
        <v>257</v>
      </c>
    </row>
    <row r="12009" spans="8:18" x14ac:dyDescent="0.2">
      <c r="H12009" s="180"/>
      <c r="P12009" s="180" t="s">
        <v>257</v>
      </c>
      <c r="R12009" s="180" t="s">
        <v>257</v>
      </c>
    </row>
    <row r="12010" spans="8:18" x14ac:dyDescent="0.2">
      <c r="H12010" s="180"/>
      <c r="P12010" s="180" t="s">
        <v>257</v>
      </c>
      <c r="R12010" s="180" t="s">
        <v>257</v>
      </c>
    </row>
    <row r="12011" spans="8:18" x14ac:dyDescent="0.2">
      <c r="H12011" s="180"/>
      <c r="P12011" s="180" t="s">
        <v>257</v>
      </c>
      <c r="R12011" s="180" t="s">
        <v>257</v>
      </c>
    </row>
    <row r="12012" spans="8:18" x14ac:dyDescent="0.2">
      <c r="H12012" s="180"/>
      <c r="P12012" s="180" t="s">
        <v>257</v>
      </c>
      <c r="R12012" s="180" t="s">
        <v>257</v>
      </c>
    </row>
    <row r="12013" spans="8:18" x14ac:dyDescent="0.2">
      <c r="H12013" s="180"/>
      <c r="P12013" s="180" t="s">
        <v>257</v>
      </c>
      <c r="R12013" s="180" t="s">
        <v>257</v>
      </c>
    </row>
    <row r="12014" spans="8:18" x14ac:dyDescent="0.2">
      <c r="H12014" s="180"/>
      <c r="P12014" s="180" t="s">
        <v>257</v>
      </c>
      <c r="R12014" s="180" t="s">
        <v>257</v>
      </c>
    </row>
    <row r="12015" spans="8:18" x14ac:dyDescent="0.2">
      <c r="H12015" s="180"/>
      <c r="P12015" s="180" t="s">
        <v>257</v>
      </c>
      <c r="R12015" s="180" t="s">
        <v>257</v>
      </c>
    </row>
    <row r="12016" spans="8:18" x14ac:dyDescent="0.2">
      <c r="H12016" s="180"/>
      <c r="P12016" s="180" t="s">
        <v>257</v>
      </c>
      <c r="R12016" s="180" t="s">
        <v>257</v>
      </c>
    </row>
    <row r="12017" spans="8:18" x14ac:dyDescent="0.2">
      <c r="H12017" s="180"/>
      <c r="P12017" s="180" t="s">
        <v>257</v>
      </c>
      <c r="R12017" s="180" t="s">
        <v>257</v>
      </c>
    </row>
    <row r="12018" spans="8:18" x14ac:dyDescent="0.2">
      <c r="H12018" s="180"/>
      <c r="P12018" s="180" t="s">
        <v>257</v>
      </c>
      <c r="R12018" s="180" t="s">
        <v>257</v>
      </c>
    </row>
    <row r="12019" spans="8:18" x14ac:dyDescent="0.2">
      <c r="H12019" s="180"/>
      <c r="P12019" s="180" t="s">
        <v>257</v>
      </c>
      <c r="R12019" s="180" t="s">
        <v>257</v>
      </c>
    </row>
    <row r="12020" spans="8:18" x14ac:dyDescent="0.2">
      <c r="H12020" s="180"/>
      <c r="P12020" s="180" t="s">
        <v>257</v>
      </c>
      <c r="R12020" s="180" t="s">
        <v>257</v>
      </c>
    </row>
    <row r="12021" spans="8:18" x14ac:dyDescent="0.2">
      <c r="H12021" s="180"/>
      <c r="P12021" s="180" t="s">
        <v>257</v>
      </c>
      <c r="R12021" s="180" t="s">
        <v>257</v>
      </c>
    </row>
    <row r="12022" spans="8:18" x14ac:dyDescent="0.2">
      <c r="H12022" s="180"/>
      <c r="P12022" s="180" t="s">
        <v>257</v>
      </c>
      <c r="R12022" s="180" t="s">
        <v>257</v>
      </c>
    </row>
    <row r="12023" spans="8:18" x14ac:dyDescent="0.2">
      <c r="H12023" s="180"/>
      <c r="P12023" s="180" t="s">
        <v>257</v>
      </c>
      <c r="R12023" s="180" t="s">
        <v>257</v>
      </c>
    </row>
    <row r="12024" spans="8:18" x14ac:dyDescent="0.2">
      <c r="H12024" s="180"/>
      <c r="P12024" s="180" t="s">
        <v>257</v>
      </c>
      <c r="R12024" s="180" t="s">
        <v>257</v>
      </c>
    </row>
    <row r="12025" spans="8:18" x14ac:dyDescent="0.2">
      <c r="H12025" s="180"/>
      <c r="P12025" s="180" t="s">
        <v>257</v>
      </c>
      <c r="R12025" s="180" t="s">
        <v>257</v>
      </c>
    </row>
    <row r="12026" spans="8:18" x14ac:dyDescent="0.2">
      <c r="H12026" s="180"/>
      <c r="P12026" s="180" t="s">
        <v>257</v>
      </c>
      <c r="R12026" s="180" t="s">
        <v>257</v>
      </c>
    </row>
    <row r="12027" spans="8:18" x14ac:dyDescent="0.2">
      <c r="H12027" s="180"/>
      <c r="P12027" s="180" t="s">
        <v>257</v>
      </c>
      <c r="R12027" s="180" t="s">
        <v>257</v>
      </c>
    </row>
    <row r="12028" spans="8:18" x14ac:dyDescent="0.2">
      <c r="H12028" s="180"/>
      <c r="P12028" s="180" t="s">
        <v>257</v>
      </c>
      <c r="R12028" s="180" t="s">
        <v>257</v>
      </c>
    </row>
    <row r="12029" spans="8:18" x14ac:dyDescent="0.2">
      <c r="H12029" s="180"/>
      <c r="P12029" s="180" t="s">
        <v>257</v>
      </c>
      <c r="R12029" s="180" t="s">
        <v>257</v>
      </c>
    </row>
    <row r="12030" spans="8:18" x14ac:dyDescent="0.2">
      <c r="H12030" s="180"/>
      <c r="P12030" s="180" t="s">
        <v>257</v>
      </c>
      <c r="R12030" s="180" t="s">
        <v>257</v>
      </c>
    </row>
    <row r="12031" spans="8:18" x14ac:dyDescent="0.2">
      <c r="H12031" s="180"/>
      <c r="P12031" s="180" t="s">
        <v>257</v>
      </c>
      <c r="R12031" s="180" t="s">
        <v>257</v>
      </c>
    </row>
    <row r="12032" spans="8:18" x14ac:dyDescent="0.2">
      <c r="H12032" s="180"/>
      <c r="P12032" s="180" t="s">
        <v>257</v>
      </c>
      <c r="R12032" s="180" t="s">
        <v>257</v>
      </c>
    </row>
    <row r="12033" spans="8:18" x14ac:dyDescent="0.2">
      <c r="H12033" s="180"/>
      <c r="P12033" s="180" t="s">
        <v>257</v>
      </c>
      <c r="R12033" s="180" t="s">
        <v>257</v>
      </c>
    </row>
    <row r="12034" spans="8:18" x14ac:dyDescent="0.2">
      <c r="H12034" s="180"/>
      <c r="P12034" s="180" t="s">
        <v>257</v>
      </c>
      <c r="R12034" s="180" t="s">
        <v>257</v>
      </c>
    </row>
    <row r="12035" spans="8:18" x14ac:dyDescent="0.2">
      <c r="H12035" s="180"/>
      <c r="P12035" s="180" t="s">
        <v>257</v>
      </c>
      <c r="R12035" s="180" t="s">
        <v>257</v>
      </c>
    </row>
    <row r="12036" spans="8:18" x14ac:dyDescent="0.2">
      <c r="H12036" s="180"/>
      <c r="P12036" s="180" t="s">
        <v>257</v>
      </c>
      <c r="R12036" s="180" t="s">
        <v>257</v>
      </c>
    </row>
    <row r="12037" spans="8:18" x14ac:dyDescent="0.2">
      <c r="H12037" s="180"/>
      <c r="P12037" s="180" t="s">
        <v>257</v>
      </c>
      <c r="R12037" s="180" t="s">
        <v>257</v>
      </c>
    </row>
    <row r="12038" spans="8:18" x14ac:dyDescent="0.2">
      <c r="H12038" s="180"/>
      <c r="P12038" s="180" t="s">
        <v>257</v>
      </c>
      <c r="R12038" s="180" t="s">
        <v>257</v>
      </c>
    </row>
    <row r="12039" spans="8:18" x14ac:dyDescent="0.2">
      <c r="H12039" s="180"/>
      <c r="P12039" s="180" t="s">
        <v>257</v>
      </c>
      <c r="R12039" s="180" t="s">
        <v>257</v>
      </c>
    </row>
    <row r="12040" spans="8:18" x14ac:dyDescent="0.2">
      <c r="H12040" s="180"/>
      <c r="P12040" s="180" t="s">
        <v>257</v>
      </c>
      <c r="R12040" s="180" t="s">
        <v>257</v>
      </c>
    </row>
    <row r="12041" spans="8:18" x14ac:dyDescent="0.2">
      <c r="H12041" s="180"/>
      <c r="P12041" s="180" t="s">
        <v>257</v>
      </c>
      <c r="R12041" s="180" t="s">
        <v>257</v>
      </c>
    </row>
    <row r="12042" spans="8:18" x14ac:dyDescent="0.2">
      <c r="H12042" s="180"/>
      <c r="P12042" s="180" t="s">
        <v>257</v>
      </c>
      <c r="R12042" s="180" t="s">
        <v>257</v>
      </c>
    </row>
    <row r="12043" spans="8:18" x14ac:dyDescent="0.2">
      <c r="H12043" s="180"/>
      <c r="P12043" s="180" t="s">
        <v>257</v>
      </c>
      <c r="R12043" s="180" t="s">
        <v>257</v>
      </c>
    </row>
    <row r="12044" spans="8:18" x14ac:dyDescent="0.2">
      <c r="H12044" s="180"/>
      <c r="P12044" s="180" t="s">
        <v>257</v>
      </c>
      <c r="R12044" s="180" t="s">
        <v>257</v>
      </c>
    </row>
    <row r="12045" spans="8:18" x14ac:dyDescent="0.2">
      <c r="H12045" s="180"/>
      <c r="P12045" s="180" t="s">
        <v>257</v>
      </c>
      <c r="R12045" s="180" t="s">
        <v>257</v>
      </c>
    </row>
    <row r="12046" spans="8:18" x14ac:dyDescent="0.2">
      <c r="H12046" s="180"/>
      <c r="P12046" s="180" t="s">
        <v>257</v>
      </c>
      <c r="R12046" s="180" t="s">
        <v>257</v>
      </c>
    </row>
    <row r="12047" spans="8:18" x14ac:dyDescent="0.2">
      <c r="H12047" s="180"/>
      <c r="P12047" s="180" t="s">
        <v>257</v>
      </c>
      <c r="R12047" s="180" t="s">
        <v>257</v>
      </c>
    </row>
    <row r="12048" spans="8:18" x14ac:dyDescent="0.2">
      <c r="H12048" s="180"/>
      <c r="P12048" s="180" t="s">
        <v>257</v>
      </c>
      <c r="R12048" s="180" t="s">
        <v>257</v>
      </c>
    </row>
    <row r="12049" spans="8:18" x14ac:dyDescent="0.2">
      <c r="H12049" s="180"/>
      <c r="P12049" s="180" t="s">
        <v>257</v>
      </c>
      <c r="R12049" s="180" t="s">
        <v>257</v>
      </c>
    </row>
    <row r="12050" spans="8:18" x14ac:dyDescent="0.2">
      <c r="H12050" s="180"/>
      <c r="P12050" s="180" t="s">
        <v>257</v>
      </c>
      <c r="R12050" s="180" t="s">
        <v>257</v>
      </c>
    </row>
    <row r="12051" spans="8:18" x14ac:dyDescent="0.2">
      <c r="H12051" s="180"/>
      <c r="P12051" s="180" t="s">
        <v>257</v>
      </c>
      <c r="R12051" s="180" t="s">
        <v>257</v>
      </c>
    </row>
    <row r="12052" spans="8:18" x14ac:dyDescent="0.2">
      <c r="H12052" s="180"/>
      <c r="P12052" s="180" t="s">
        <v>257</v>
      </c>
      <c r="R12052" s="180" t="s">
        <v>257</v>
      </c>
    </row>
    <row r="12053" spans="8:18" x14ac:dyDescent="0.2">
      <c r="H12053" s="180"/>
      <c r="P12053" s="180" t="s">
        <v>257</v>
      </c>
      <c r="R12053" s="180" t="s">
        <v>257</v>
      </c>
    </row>
    <row r="12054" spans="8:18" x14ac:dyDescent="0.2">
      <c r="H12054" s="180"/>
      <c r="P12054" s="180" t="s">
        <v>257</v>
      </c>
      <c r="R12054" s="180" t="s">
        <v>257</v>
      </c>
    </row>
    <row r="12055" spans="8:18" x14ac:dyDescent="0.2">
      <c r="H12055" s="180"/>
      <c r="P12055" s="180" t="s">
        <v>257</v>
      </c>
      <c r="R12055" s="180" t="s">
        <v>257</v>
      </c>
    </row>
    <row r="12056" spans="8:18" x14ac:dyDescent="0.2">
      <c r="H12056" s="180"/>
      <c r="P12056" s="180" t="s">
        <v>257</v>
      </c>
      <c r="R12056" s="180" t="s">
        <v>257</v>
      </c>
    </row>
    <row r="12057" spans="8:18" x14ac:dyDescent="0.2">
      <c r="H12057" s="180"/>
      <c r="P12057" s="180" t="s">
        <v>257</v>
      </c>
      <c r="R12057" s="180" t="s">
        <v>257</v>
      </c>
    </row>
    <row r="12058" spans="8:18" x14ac:dyDescent="0.2">
      <c r="H12058" s="180"/>
      <c r="P12058" s="180" t="s">
        <v>257</v>
      </c>
      <c r="R12058" s="180" t="s">
        <v>257</v>
      </c>
    </row>
    <row r="12059" spans="8:18" x14ac:dyDescent="0.2">
      <c r="H12059" s="180"/>
      <c r="P12059" s="180" t="s">
        <v>257</v>
      </c>
      <c r="R12059" s="180" t="s">
        <v>257</v>
      </c>
    </row>
    <row r="12060" spans="8:18" x14ac:dyDescent="0.2">
      <c r="H12060" s="180"/>
      <c r="P12060" s="180" t="s">
        <v>257</v>
      </c>
      <c r="R12060" s="180" t="s">
        <v>257</v>
      </c>
    </row>
    <row r="12061" spans="8:18" x14ac:dyDescent="0.2">
      <c r="H12061" s="180"/>
      <c r="P12061" s="180" t="s">
        <v>257</v>
      </c>
      <c r="R12061" s="180" t="s">
        <v>257</v>
      </c>
    </row>
    <row r="12062" spans="8:18" x14ac:dyDescent="0.2">
      <c r="H12062" s="180"/>
      <c r="P12062" s="180" t="s">
        <v>257</v>
      </c>
      <c r="R12062" s="180" t="s">
        <v>257</v>
      </c>
    </row>
    <row r="12063" spans="8:18" x14ac:dyDescent="0.2">
      <c r="H12063" s="180"/>
      <c r="P12063" s="180" t="s">
        <v>257</v>
      </c>
      <c r="R12063" s="180" t="s">
        <v>257</v>
      </c>
    </row>
    <row r="12064" spans="8:18" x14ac:dyDescent="0.2">
      <c r="H12064" s="180"/>
      <c r="P12064" s="180" t="s">
        <v>257</v>
      </c>
      <c r="R12064" s="180" t="s">
        <v>257</v>
      </c>
    </row>
    <row r="12065" spans="8:18" x14ac:dyDescent="0.2">
      <c r="H12065" s="180"/>
      <c r="P12065" s="180" t="s">
        <v>257</v>
      </c>
      <c r="R12065" s="180" t="s">
        <v>257</v>
      </c>
    </row>
    <row r="12066" spans="8:18" x14ac:dyDescent="0.2">
      <c r="H12066" s="180"/>
      <c r="P12066" s="180" t="s">
        <v>257</v>
      </c>
      <c r="R12066" s="180" t="s">
        <v>257</v>
      </c>
    </row>
    <row r="12067" spans="8:18" x14ac:dyDescent="0.2">
      <c r="H12067" s="180"/>
      <c r="P12067" s="180" t="s">
        <v>257</v>
      </c>
      <c r="R12067" s="180" t="s">
        <v>257</v>
      </c>
    </row>
    <row r="12068" spans="8:18" x14ac:dyDescent="0.2">
      <c r="H12068" s="180"/>
      <c r="P12068" s="180" t="s">
        <v>257</v>
      </c>
      <c r="R12068" s="180" t="s">
        <v>257</v>
      </c>
    </row>
    <row r="12069" spans="8:18" x14ac:dyDescent="0.2">
      <c r="H12069" s="180"/>
      <c r="P12069" s="180" t="s">
        <v>257</v>
      </c>
      <c r="R12069" s="180" t="s">
        <v>257</v>
      </c>
    </row>
    <row r="12070" spans="8:18" x14ac:dyDescent="0.2">
      <c r="H12070" s="180"/>
      <c r="P12070" s="180" t="s">
        <v>257</v>
      </c>
      <c r="R12070" s="180" t="s">
        <v>257</v>
      </c>
    </row>
    <row r="12071" spans="8:18" x14ac:dyDescent="0.2">
      <c r="H12071" s="180"/>
      <c r="P12071" s="180" t="s">
        <v>257</v>
      </c>
      <c r="R12071" s="180" t="s">
        <v>257</v>
      </c>
    </row>
    <row r="12072" spans="8:18" x14ac:dyDescent="0.2">
      <c r="H12072" s="180"/>
      <c r="P12072" s="180" t="s">
        <v>257</v>
      </c>
      <c r="R12072" s="180" t="s">
        <v>257</v>
      </c>
    </row>
    <row r="12073" spans="8:18" x14ac:dyDescent="0.2">
      <c r="H12073" s="180"/>
      <c r="P12073" s="180" t="s">
        <v>257</v>
      </c>
      <c r="R12073" s="180" t="s">
        <v>257</v>
      </c>
    </row>
    <row r="12074" spans="8:18" x14ac:dyDescent="0.2">
      <c r="H12074" s="180"/>
      <c r="P12074" s="180" t="s">
        <v>257</v>
      </c>
      <c r="R12074" s="180" t="s">
        <v>257</v>
      </c>
    </row>
    <row r="12075" spans="8:18" x14ac:dyDescent="0.2">
      <c r="H12075" s="180"/>
      <c r="P12075" s="180" t="s">
        <v>257</v>
      </c>
      <c r="R12075" s="180" t="s">
        <v>257</v>
      </c>
    </row>
    <row r="12076" spans="8:18" x14ac:dyDescent="0.2">
      <c r="H12076" s="180"/>
      <c r="P12076" s="180" t="s">
        <v>257</v>
      </c>
      <c r="R12076" s="180" t="s">
        <v>257</v>
      </c>
    </row>
    <row r="12077" spans="8:18" x14ac:dyDescent="0.2">
      <c r="H12077" s="180"/>
      <c r="P12077" s="180" t="s">
        <v>257</v>
      </c>
      <c r="R12077" s="180" t="s">
        <v>257</v>
      </c>
    </row>
    <row r="12078" spans="8:18" x14ac:dyDescent="0.2">
      <c r="H12078" s="180"/>
      <c r="P12078" s="180" t="s">
        <v>257</v>
      </c>
      <c r="R12078" s="180" t="s">
        <v>257</v>
      </c>
    </row>
    <row r="12079" spans="8:18" x14ac:dyDescent="0.2">
      <c r="H12079" s="180"/>
      <c r="P12079" s="180" t="s">
        <v>257</v>
      </c>
      <c r="R12079" s="180" t="s">
        <v>257</v>
      </c>
    </row>
    <row r="12080" spans="8:18" x14ac:dyDescent="0.2">
      <c r="H12080" s="180"/>
      <c r="P12080" s="180" t="s">
        <v>257</v>
      </c>
      <c r="R12080" s="180" t="s">
        <v>257</v>
      </c>
    </row>
    <row r="12081" spans="8:18" x14ac:dyDescent="0.2">
      <c r="H12081" s="180"/>
      <c r="P12081" s="180" t="s">
        <v>257</v>
      </c>
      <c r="R12081" s="180" t="s">
        <v>257</v>
      </c>
    </row>
    <row r="12082" spans="8:18" x14ac:dyDescent="0.2">
      <c r="H12082" s="180"/>
      <c r="P12082" s="180" t="s">
        <v>257</v>
      </c>
      <c r="R12082" s="180" t="s">
        <v>257</v>
      </c>
    </row>
    <row r="12083" spans="8:18" x14ac:dyDescent="0.2">
      <c r="H12083" s="180"/>
      <c r="P12083" s="180" t="s">
        <v>257</v>
      </c>
      <c r="R12083" s="180" t="s">
        <v>257</v>
      </c>
    </row>
    <row r="12084" spans="8:18" x14ac:dyDescent="0.2">
      <c r="H12084" s="180"/>
      <c r="P12084" s="180" t="s">
        <v>257</v>
      </c>
      <c r="R12084" s="180" t="s">
        <v>257</v>
      </c>
    </row>
    <row r="12085" spans="8:18" x14ac:dyDescent="0.2">
      <c r="H12085" s="180"/>
      <c r="P12085" s="180" t="s">
        <v>257</v>
      </c>
      <c r="R12085" s="180" t="s">
        <v>257</v>
      </c>
    </row>
    <row r="12086" spans="8:18" x14ac:dyDescent="0.2">
      <c r="H12086" s="180"/>
      <c r="P12086" s="180" t="s">
        <v>257</v>
      </c>
      <c r="R12086" s="180" t="s">
        <v>257</v>
      </c>
    </row>
    <row r="12087" spans="8:18" x14ac:dyDescent="0.2">
      <c r="H12087" s="180"/>
      <c r="P12087" s="180" t="s">
        <v>257</v>
      </c>
      <c r="R12087" s="180" t="s">
        <v>257</v>
      </c>
    </row>
    <row r="12088" spans="8:18" x14ac:dyDescent="0.2">
      <c r="H12088" s="180"/>
      <c r="P12088" s="180" t="s">
        <v>257</v>
      </c>
      <c r="R12088" s="180" t="s">
        <v>257</v>
      </c>
    </row>
    <row r="12089" spans="8:18" x14ac:dyDescent="0.2">
      <c r="H12089" s="180"/>
      <c r="P12089" s="180" t="s">
        <v>257</v>
      </c>
      <c r="R12089" s="180" t="s">
        <v>257</v>
      </c>
    </row>
    <row r="12090" spans="8:18" x14ac:dyDescent="0.2">
      <c r="H12090" s="180"/>
      <c r="P12090" s="180" t="s">
        <v>257</v>
      </c>
      <c r="R12090" s="180" t="s">
        <v>257</v>
      </c>
    </row>
    <row r="12091" spans="8:18" x14ac:dyDescent="0.2">
      <c r="H12091" s="180"/>
      <c r="P12091" s="180" t="s">
        <v>257</v>
      </c>
      <c r="R12091" s="180" t="s">
        <v>257</v>
      </c>
    </row>
    <row r="12092" spans="8:18" x14ac:dyDescent="0.2">
      <c r="H12092" s="180"/>
      <c r="P12092" s="180" t="s">
        <v>257</v>
      </c>
      <c r="R12092" s="180" t="s">
        <v>257</v>
      </c>
    </row>
    <row r="12093" spans="8:18" x14ac:dyDescent="0.2">
      <c r="H12093" s="180"/>
      <c r="P12093" s="180" t="s">
        <v>257</v>
      </c>
      <c r="R12093" s="180" t="s">
        <v>257</v>
      </c>
    </row>
    <row r="12094" spans="8:18" x14ac:dyDescent="0.2">
      <c r="H12094" s="180"/>
      <c r="P12094" s="180" t="s">
        <v>257</v>
      </c>
      <c r="R12094" s="180" t="s">
        <v>257</v>
      </c>
    </row>
    <row r="12095" spans="8:18" x14ac:dyDescent="0.2">
      <c r="H12095" s="180"/>
      <c r="P12095" s="180" t="s">
        <v>257</v>
      </c>
      <c r="R12095" s="180" t="s">
        <v>257</v>
      </c>
    </row>
    <row r="12096" spans="8:18" x14ac:dyDescent="0.2">
      <c r="H12096" s="180"/>
      <c r="P12096" s="180" t="s">
        <v>257</v>
      </c>
      <c r="R12096" s="180" t="s">
        <v>257</v>
      </c>
    </row>
    <row r="12097" spans="8:18" x14ac:dyDescent="0.2">
      <c r="H12097" s="180"/>
      <c r="P12097" s="180" t="s">
        <v>257</v>
      </c>
      <c r="R12097" s="180" t="s">
        <v>257</v>
      </c>
    </row>
    <row r="12098" spans="8:18" x14ac:dyDescent="0.2">
      <c r="H12098" s="180"/>
      <c r="P12098" s="180" t="s">
        <v>257</v>
      </c>
      <c r="R12098" s="180" t="s">
        <v>257</v>
      </c>
    </row>
    <row r="12099" spans="8:18" x14ac:dyDescent="0.2">
      <c r="H12099" s="180"/>
      <c r="P12099" s="180" t="s">
        <v>257</v>
      </c>
      <c r="R12099" s="180" t="s">
        <v>257</v>
      </c>
    </row>
    <row r="12100" spans="8:18" x14ac:dyDescent="0.2">
      <c r="H12100" s="180"/>
      <c r="P12100" s="180" t="s">
        <v>257</v>
      </c>
      <c r="R12100" s="180" t="s">
        <v>257</v>
      </c>
    </row>
    <row r="12101" spans="8:18" x14ac:dyDescent="0.2">
      <c r="H12101" s="180"/>
      <c r="P12101" s="180" t="s">
        <v>257</v>
      </c>
      <c r="R12101" s="180" t="s">
        <v>257</v>
      </c>
    </row>
    <row r="12102" spans="8:18" x14ac:dyDescent="0.2">
      <c r="H12102" s="180"/>
      <c r="P12102" s="180" t="s">
        <v>257</v>
      </c>
      <c r="R12102" s="180" t="s">
        <v>257</v>
      </c>
    </row>
    <row r="12103" spans="8:18" x14ac:dyDescent="0.2">
      <c r="H12103" s="180"/>
      <c r="P12103" s="180" t="s">
        <v>257</v>
      </c>
      <c r="R12103" s="180" t="s">
        <v>257</v>
      </c>
    </row>
    <row r="12104" spans="8:18" x14ac:dyDescent="0.2">
      <c r="H12104" s="180"/>
      <c r="P12104" s="180" t="s">
        <v>257</v>
      </c>
      <c r="R12104" s="180" t="s">
        <v>257</v>
      </c>
    </row>
    <row r="12105" spans="8:18" x14ac:dyDescent="0.2">
      <c r="H12105" s="180"/>
      <c r="P12105" s="180" t="s">
        <v>257</v>
      </c>
      <c r="R12105" s="180" t="s">
        <v>257</v>
      </c>
    </row>
    <row r="12106" spans="8:18" x14ac:dyDescent="0.2">
      <c r="H12106" s="180"/>
      <c r="P12106" s="180" t="s">
        <v>257</v>
      </c>
      <c r="R12106" s="180" t="s">
        <v>257</v>
      </c>
    </row>
    <row r="12107" spans="8:18" x14ac:dyDescent="0.2">
      <c r="H12107" s="180"/>
      <c r="P12107" s="180" t="s">
        <v>257</v>
      </c>
      <c r="R12107" s="180" t="s">
        <v>257</v>
      </c>
    </row>
    <row r="12108" spans="8:18" x14ac:dyDescent="0.2">
      <c r="H12108" s="180"/>
      <c r="P12108" s="180" t="s">
        <v>257</v>
      </c>
      <c r="R12108" s="180" t="s">
        <v>257</v>
      </c>
    </row>
    <row r="12109" spans="8:18" x14ac:dyDescent="0.2">
      <c r="H12109" s="180"/>
      <c r="P12109" s="180" t="s">
        <v>257</v>
      </c>
      <c r="R12109" s="180" t="s">
        <v>257</v>
      </c>
    </row>
    <row r="12110" spans="8:18" x14ac:dyDescent="0.2">
      <c r="H12110" s="180"/>
      <c r="P12110" s="180" t="s">
        <v>257</v>
      </c>
      <c r="R12110" s="180" t="s">
        <v>257</v>
      </c>
    </row>
    <row r="12111" spans="8:18" x14ac:dyDescent="0.2">
      <c r="H12111" s="180"/>
      <c r="P12111" s="180" t="s">
        <v>257</v>
      </c>
      <c r="R12111" s="180" t="s">
        <v>257</v>
      </c>
    </row>
    <row r="12112" spans="8:18" x14ac:dyDescent="0.2">
      <c r="H12112" s="180"/>
      <c r="P12112" s="180" t="s">
        <v>257</v>
      </c>
      <c r="R12112" s="180" t="s">
        <v>257</v>
      </c>
    </row>
    <row r="12113" spans="8:18" x14ac:dyDescent="0.2">
      <c r="H12113" s="180"/>
      <c r="P12113" s="180" t="s">
        <v>257</v>
      </c>
      <c r="R12113" s="180" t="s">
        <v>257</v>
      </c>
    </row>
    <row r="12114" spans="8:18" x14ac:dyDescent="0.2">
      <c r="H12114" s="180"/>
      <c r="P12114" s="180" t="s">
        <v>257</v>
      </c>
      <c r="R12114" s="180" t="s">
        <v>257</v>
      </c>
    </row>
    <row r="12115" spans="8:18" x14ac:dyDescent="0.2">
      <c r="H12115" s="180"/>
      <c r="P12115" s="180" t="s">
        <v>257</v>
      </c>
      <c r="R12115" s="180" t="s">
        <v>257</v>
      </c>
    </row>
    <row r="12116" spans="8:18" x14ac:dyDescent="0.2">
      <c r="H12116" s="180"/>
      <c r="P12116" s="180" t="s">
        <v>257</v>
      </c>
      <c r="R12116" s="180" t="s">
        <v>257</v>
      </c>
    </row>
    <row r="12117" spans="8:18" x14ac:dyDescent="0.2">
      <c r="H12117" s="180"/>
      <c r="P12117" s="180" t="s">
        <v>257</v>
      </c>
      <c r="R12117" s="180" t="s">
        <v>257</v>
      </c>
    </row>
    <row r="12118" spans="8:18" x14ac:dyDescent="0.2">
      <c r="H12118" s="180"/>
      <c r="P12118" s="180" t="s">
        <v>257</v>
      </c>
      <c r="R12118" s="180" t="s">
        <v>257</v>
      </c>
    </row>
    <row r="12119" spans="8:18" x14ac:dyDescent="0.2">
      <c r="H12119" s="180"/>
      <c r="P12119" s="180" t="s">
        <v>257</v>
      </c>
      <c r="R12119" s="180" t="s">
        <v>257</v>
      </c>
    </row>
    <row r="12120" spans="8:18" x14ac:dyDescent="0.2">
      <c r="H12120" s="180"/>
      <c r="P12120" s="180" t="s">
        <v>257</v>
      </c>
      <c r="R12120" s="180" t="s">
        <v>257</v>
      </c>
    </row>
    <row r="12121" spans="8:18" x14ac:dyDescent="0.2">
      <c r="H12121" s="180"/>
      <c r="P12121" s="180" t="s">
        <v>257</v>
      </c>
      <c r="R12121" s="180" t="s">
        <v>257</v>
      </c>
    </row>
    <row r="12122" spans="8:18" x14ac:dyDescent="0.2">
      <c r="H12122" s="180"/>
      <c r="P12122" s="180" t="s">
        <v>257</v>
      </c>
      <c r="R12122" s="180" t="s">
        <v>257</v>
      </c>
    </row>
    <row r="12123" spans="8:18" x14ac:dyDescent="0.2">
      <c r="H12123" s="180"/>
      <c r="P12123" s="180" t="s">
        <v>257</v>
      </c>
      <c r="R12123" s="180" t="s">
        <v>257</v>
      </c>
    </row>
    <row r="12124" spans="8:18" x14ac:dyDescent="0.2">
      <c r="H12124" s="180"/>
      <c r="P12124" s="180" t="s">
        <v>257</v>
      </c>
      <c r="R12124" s="180" t="s">
        <v>257</v>
      </c>
    </row>
    <row r="12125" spans="8:18" x14ac:dyDescent="0.2">
      <c r="H12125" s="180"/>
      <c r="P12125" s="180" t="s">
        <v>257</v>
      </c>
      <c r="R12125" s="180" t="s">
        <v>257</v>
      </c>
    </row>
    <row r="12126" spans="8:18" x14ac:dyDescent="0.2">
      <c r="H12126" s="180"/>
      <c r="P12126" s="180" t="s">
        <v>257</v>
      </c>
      <c r="R12126" s="180" t="s">
        <v>257</v>
      </c>
    </row>
    <row r="12127" spans="8:18" x14ac:dyDescent="0.2">
      <c r="H12127" s="180"/>
      <c r="P12127" s="180" t="s">
        <v>257</v>
      </c>
      <c r="R12127" s="180" t="s">
        <v>257</v>
      </c>
    </row>
    <row r="12128" spans="8:18" x14ac:dyDescent="0.2">
      <c r="H12128" s="180"/>
      <c r="P12128" s="180" t="s">
        <v>257</v>
      </c>
      <c r="R12128" s="180" t="s">
        <v>257</v>
      </c>
    </row>
    <row r="12129" spans="8:18" x14ac:dyDescent="0.2">
      <c r="H12129" s="180"/>
      <c r="P12129" s="180" t="s">
        <v>257</v>
      </c>
      <c r="R12129" s="180" t="s">
        <v>257</v>
      </c>
    </row>
    <row r="12130" spans="8:18" x14ac:dyDescent="0.2">
      <c r="H12130" s="180"/>
      <c r="P12130" s="180" t="s">
        <v>257</v>
      </c>
      <c r="R12130" s="180" t="s">
        <v>257</v>
      </c>
    </row>
    <row r="12131" spans="8:18" x14ac:dyDescent="0.2">
      <c r="H12131" s="180"/>
      <c r="P12131" s="180" t="s">
        <v>257</v>
      </c>
      <c r="R12131" s="180" t="s">
        <v>257</v>
      </c>
    </row>
    <row r="12132" spans="8:18" x14ac:dyDescent="0.2">
      <c r="H12132" s="180"/>
      <c r="P12132" s="180" t="s">
        <v>257</v>
      </c>
      <c r="R12132" s="180" t="s">
        <v>257</v>
      </c>
    </row>
    <row r="12133" spans="8:18" x14ac:dyDescent="0.2">
      <c r="H12133" s="180"/>
      <c r="P12133" s="180" t="s">
        <v>257</v>
      </c>
      <c r="R12133" s="180" t="s">
        <v>257</v>
      </c>
    </row>
    <row r="12134" spans="8:18" x14ac:dyDescent="0.2">
      <c r="H12134" s="180"/>
      <c r="P12134" s="180" t="s">
        <v>257</v>
      </c>
      <c r="R12134" s="180" t="s">
        <v>257</v>
      </c>
    </row>
    <row r="12135" spans="8:18" x14ac:dyDescent="0.2">
      <c r="H12135" s="180"/>
      <c r="P12135" s="180" t="s">
        <v>257</v>
      </c>
      <c r="R12135" s="180" t="s">
        <v>257</v>
      </c>
    </row>
    <row r="12136" spans="8:18" x14ac:dyDescent="0.2">
      <c r="H12136" s="180"/>
      <c r="P12136" s="180" t="s">
        <v>257</v>
      </c>
      <c r="R12136" s="180" t="s">
        <v>257</v>
      </c>
    </row>
    <row r="12137" spans="8:18" x14ac:dyDescent="0.2">
      <c r="H12137" s="180"/>
      <c r="P12137" s="180" t="s">
        <v>257</v>
      </c>
      <c r="R12137" s="180" t="s">
        <v>257</v>
      </c>
    </row>
    <row r="12138" spans="8:18" x14ac:dyDescent="0.2">
      <c r="H12138" s="180"/>
      <c r="P12138" s="180" t="s">
        <v>257</v>
      </c>
      <c r="R12138" s="180" t="s">
        <v>257</v>
      </c>
    </row>
    <row r="12139" spans="8:18" x14ac:dyDescent="0.2">
      <c r="H12139" s="180"/>
      <c r="P12139" s="180" t="s">
        <v>257</v>
      </c>
      <c r="R12139" s="180" t="s">
        <v>257</v>
      </c>
    </row>
    <row r="12140" spans="8:18" x14ac:dyDescent="0.2">
      <c r="H12140" s="180"/>
      <c r="P12140" s="180" t="s">
        <v>257</v>
      </c>
      <c r="R12140" s="180" t="s">
        <v>257</v>
      </c>
    </row>
    <row r="12141" spans="8:18" x14ac:dyDescent="0.2">
      <c r="H12141" s="180"/>
      <c r="P12141" s="180" t="s">
        <v>257</v>
      </c>
      <c r="R12141" s="180" t="s">
        <v>257</v>
      </c>
    </row>
    <row r="12142" spans="8:18" x14ac:dyDescent="0.2">
      <c r="H12142" s="180"/>
      <c r="P12142" s="180" t="s">
        <v>257</v>
      </c>
      <c r="R12142" s="180" t="s">
        <v>257</v>
      </c>
    </row>
    <row r="12143" spans="8:18" x14ac:dyDescent="0.2">
      <c r="H12143" s="180"/>
      <c r="P12143" s="180" t="s">
        <v>257</v>
      </c>
      <c r="R12143" s="180" t="s">
        <v>257</v>
      </c>
    </row>
    <row r="12144" spans="8:18" x14ac:dyDescent="0.2">
      <c r="H12144" s="180"/>
      <c r="P12144" s="180" t="s">
        <v>257</v>
      </c>
      <c r="R12144" s="180" t="s">
        <v>257</v>
      </c>
    </row>
    <row r="12145" spans="8:18" x14ac:dyDescent="0.2">
      <c r="H12145" s="180"/>
      <c r="P12145" s="180" t="s">
        <v>257</v>
      </c>
      <c r="R12145" s="180" t="s">
        <v>257</v>
      </c>
    </row>
    <row r="12146" spans="8:18" x14ac:dyDescent="0.2">
      <c r="H12146" s="180"/>
      <c r="P12146" s="180" t="s">
        <v>257</v>
      </c>
      <c r="R12146" s="180" t="s">
        <v>257</v>
      </c>
    </row>
    <row r="12147" spans="8:18" x14ac:dyDescent="0.2">
      <c r="H12147" s="180"/>
      <c r="P12147" s="180" t="s">
        <v>257</v>
      </c>
      <c r="R12147" s="180" t="s">
        <v>257</v>
      </c>
    </row>
    <row r="12148" spans="8:18" x14ac:dyDescent="0.2">
      <c r="H12148" s="180"/>
      <c r="P12148" s="180" t="s">
        <v>257</v>
      </c>
      <c r="R12148" s="180" t="s">
        <v>257</v>
      </c>
    </row>
    <row r="12149" spans="8:18" x14ac:dyDescent="0.2">
      <c r="H12149" s="180"/>
      <c r="P12149" s="180" t="s">
        <v>257</v>
      </c>
      <c r="R12149" s="180" t="s">
        <v>257</v>
      </c>
    </row>
    <row r="12150" spans="8:18" x14ac:dyDescent="0.2">
      <c r="H12150" s="180"/>
      <c r="P12150" s="180" t="s">
        <v>257</v>
      </c>
      <c r="R12150" s="180" t="s">
        <v>257</v>
      </c>
    </row>
    <row r="12151" spans="8:18" x14ac:dyDescent="0.2">
      <c r="H12151" s="180"/>
      <c r="P12151" s="180" t="s">
        <v>257</v>
      </c>
      <c r="R12151" s="180" t="s">
        <v>257</v>
      </c>
    </row>
    <row r="12152" spans="8:18" x14ac:dyDescent="0.2">
      <c r="H12152" s="180"/>
      <c r="P12152" s="180" t="s">
        <v>257</v>
      </c>
      <c r="R12152" s="180" t="s">
        <v>257</v>
      </c>
    </row>
    <row r="12153" spans="8:18" x14ac:dyDescent="0.2">
      <c r="H12153" s="180"/>
      <c r="P12153" s="180" t="s">
        <v>257</v>
      </c>
      <c r="R12153" s="180" t="s">
        <v>257</v>
      </c>
    </row>
    <row r="12154" spans="8:18" x14ac:dyDescent="0.2">
      <c r="H12154" s="180"/>
      <c r="P12154" s="180" t="s">
        <v>257</v>
      </c>
      <c r="R12154" s="180" t="s">
        <v>257</v>
      </c>
    </row>
    <row r="12155" spans="8:18" x14ac:dyDescent="0.2">
      <c r="H12155" s="180"/>
      <c r="P12155" s="180" t="s">
        <v>257</v>
      </c>
      <c r="R12155" s="180" t="s">
        <v>257</v>
      </c>
    </row>
    <row r="12156" spans="8:18" x14ac:dyDescent="0.2">
      <c r="H12156" s="180"/>
      <c r="P12156" s="180" t="s">
        <v>257</v>
      </c>
      <c r="R12156" s="180" t="s">
        <v>257</v>
      </c>
    </row>
    <row r="12157" spans="8:18" x14ac:dyDescent="0.2">
      <c r="H12157" s="180"/>
      <c r="P12157" s="180" t="s">
        <v>257</v>
      </c>
      <c r="R12157" s="180" t="s">
        <v>257</v>
      </c>
    </row>
    <row r="12158" spans="8:18" x14ac:dyDescent="0.2">
      <c r="H12158" s="180"/>
      <c r="P12158" s="180" t="s">
        <v>257</v>
      </c>
      <c r="R12158" s="180" t="s">
        <v>257</v>
      </c>
    </row>
    <row r="12159" spans="8:18" x14ac:dyDescent="0.2">
      <c r="H12159" s="180"/>
      <c r="P12159" s="180" t="s">
        <v>257</v>
      </c>
      <c r="R12159" s="180" t="s">
        <v>257</v>
      </c>
    </row>
    <row r="12160" spans="8:18" x14ac:dyDescent="0.2">
      <c r="H12160" s="180"/>
      <c r="P12160" s="180" t="s">
        <v>257</v>
      </c>
      <c r="R12160" s="180" t="s">
        <v>257</v>
      </c>
    </row>
    <row r="12161" spans="8:18" x14ac:dyDescent="0.2">
      <c r="H12161" s="180"/>
      <c r="P12161" s="180" t="s">
        <v>257</v>
      </c>
      <c r="R12161" s="180" t="s">
        <v>257</v>
      </c>
    </row>
    <row r="12162" spans="8:18" x14ac:dyDescent="0.2">
      <c r="H12162" s="180"/>
      <c r="P12162" s="180" t="s">
        <v>257</v>
      </c>
      <c r="R12162" s="180" t="s">
        <v>257</v>
      </c>
    </row>
    <row r="12163" spans="8:18" x14ac:dyDescent="0.2">
      <c r="H12163" s="180"/>
      <c r="P12163" s="180" t="s">
        <v>257</v>
      </c>
      <c r="R12163" s="180" t="s">
        <v>257</v>
      </c>
    </row>
    <row r="12164" spans="8:18" x14ac:dyDescent="0.2">
      <c r="H12164" s="180"/>
      <c r="P12164" s="180" t="s">
        <v>257</v>
      </c>
      <c r="R12164" s="180" t="s">
        <v>257</v>
      </c>
    </row>
    <row r="12165" spans="8:18" x14ac:dyDescent="0.2">
      <c r="H12165" s="180"/>
      <c r="P12165" s="180" t="s">
        <v>257</v>
      </c>
      <c r="R12165" s="180" t="s">
        <v>257</v>
      </c>
    </row>
    <row r="12166" spans="8:18" x14ac:dyDescent="0.2">
      <c r="H12166" s="180"/>
      <c r="P12166" s="180" t="s">
        <v>257</v>
      </c>
      <c r="R12166" s="180" t="s">
        <v>257</v>
      </c>
    </row>
    <row r="12167" spans="8:18" x14ac:dyDescent="0.2">
      <c r="H12167" s="180"/>
      <c r="P12167" s="180" t="s">
        <v>257</v>
      </c>
      <c r="R12167" s="180" t="s">
        <v>257</v>
      </c>
    </row>
    <row r="12168" spans="8:18" x14ac:dyDescent="0.2">
      <c r="H12168" s="180"/>
      <c r="P12168" s="180" t="s">
        <v>257</v>
      </c>
      <c r="R12168" s="180" t="s">
        <v>257</v>
      </c>
    </row>
    <row r="12169" spans="8:18" x14ac:dyDescent="0.2">
      <c r="H12169" s="180"/>
      <c r="P12169" s="180" t="s">
        <v>257</v>
      </c>
      <c r="R12169" s="180" t="s">
        <v>257</v>
      </c>
    </row>
    <row r="12170" spans="8:18" x14ac:dyDescent="0.2">
      <c r="H12170" s="180"/>
      <c r="P12170" s="180" t="s">
        <v>257</v>
      </c>
      <c r="R12170" s="180" t="s">
        <v>257</v>
      </c>
    </row>
    <row r="12171" spans="8:18" x14ac:dyDescent="0.2">
      <c r="H12171" s="180"/>
      <c r="P12171" s="180" t="s">
        <v>257</v>
      </c>
      <c r="R12171" s="180" t="s">
        <v>257</v>
      </c>
    </row>
    <row r="12172" spans="8:18" x14ac:dyDescent="0.2">
      <c r="H12172" s="180"/>
      <c r="P12172" s="180" t="s">
        <v>257</v>
      </c>
      <c r="R12172" s="180" t="s">
        <v>257</v>
      </c>
    </row>
    <row r="12173" spans="8:18" x14ac:dyDescent="0.2">
      <c r="H12173" s="180"/>
      <c r="P12173" s="180" t="s">
        <v>257</v>
      </c>
      <c r="R12173" s="180" t="s">
        <v>257</v>
      </c>
    </row>
    <row r="12174" spans="8:18" x14ac:dyDescent="0.2">
      <c r="H12174" s="180"/>
      <c r="P12174" s="180" t="s">
        <v>257</v>
      </c>
      <c r="R12174" s="180" t="s">
        <v>257</v>
      </c>
    </row>
    <row r="12175" spans="8:18" x14ac:dyDescent="0.2">
      <c r="H12175" s="180"/>
      <c r="P12175" s="180" t="s">
        <v>257</v>
      </c>
      <c r="R12175" s="180" t="s">
        <v>257</v>
      </c>
    </row>
    <row r="12176" spans="8:18" x14ac:dyDescent="0.2">
      <c r="H12176" s="180"/>
      <c r="P12176" s="180" t="s">
        <v>257</v>
      </c>
      <c r="R12176" s="180" t="s">
        <v>257</v>
      </c>
    </row>
    <row r="12177" spans="8:18" x14ac:dyDescent="0.2">
      <c r="H12177" s="180"/>
      <c r="P12177" s="180" t="s">
        <v>257</v>
      </c>
      <c r="R12177" s="180" t="s">
        <v>257</v>
      </c>
    </row>
    <row r="12178" spans="8:18" x14ac:dyDescent="0.2">
      <c r="H12178" s="180"/>
      <c r="P12178" s="180" t="s">
        <v>257</v>
      </c>
      <c r="R12178" s="180" t="s">
        <v>257</v>
      </c>
    </row>
    <row r="12179" spans="8:18" x14ac:dyDescent="0.2">
      <c r="H12179" s="180"/>
      <c r="P12179" s="180" t="s">
        <v>257</v>
      </c>
      <c r="R12179" s="180" t="s">
        <v>257</v>
      </c>
    </row>
    <row r="12180" spans="8:18" x14ac:dyDescent="0.2">
      <c r="H12180" s="180"/>
      <c r="P12180" s="180" t="s">
        <v>257</v>
      </c>
      <c r="R12180" s="180" t="s">
        <v>257</v>
      </c>
    </row>
    <row r="12181" spans="8:18" x14ac:dyDescent="0.2">
      <c r="H12181" s="180"/>
      <c r="P12181" s="180" t="s">
        <v>257</v>
      </c>
      <c r="R12181" s="180" t="s">
        <v>257</v>
      </c>
    </row>
    <row r="12182" spans="8:18" x14ac:dyDescent="0.2">
      <c r="H12182" s="180"/>
      <c r="P12182" s="180" t="s">
        <v>257</v>
      </c>
      <c r="R12182" s="180" t="s">
        <v>257</v>
      </c>
    </row>
    <row r="12183" spans="8:18" x14ac:dyDescent="0.2">
      <c r="H12183" s="180"/>
      <c r="P12183" s="180" t="s">
        <v>257</v>
      </c>
      <c r="R12183" s="180" t="s">
        <v>257</v>
      </c>
    </row>
    <row r="12184" spans="8:18" x14ac:dyDescent="0.2">
      <c r="H12184" s="180"/>
      <c r="P12184" s="180" t="s">
        <v>257</v>
      </c>
      <c r="R12184" s="180" t="s">
        <v>257</v>
      </c>
    </row>
    <row r="12185" spans="8:18" x14ac:dyDescent="0.2">
      <c r="H12185" s="180"/>
      <c r="P12185" s="180" t="s">
        <v>257</v>
      </c>
      <c r="R12185" s="180" t="s">
        <v>257</v>
      </c>
    </row>
    <row r="12186" spans="8:18" x14ac:dyDescent="0.2">
      <c r="H12186" s="180"/>
      <c r="P12186" s="180" t="s">
        <v>257</v>
      </c>
      <c r="R12186" s="180" t="s">
        <v>257</v>
      </c>
    </row>
    <row r="12187" spans="8:18" x14ac:dyDescent="0.2">
      <c r="H12187" s="180"/>
      <c r="P12187" s="180" t="s">
        <v>257</v>
      </c>
      <c r="R12187" s="180" t="s">
        <v>257</v>
      </c>
    </row>
    <row r="12188" spans="8:18" x14ac:dyDescent="0.2">
      <c r="H12188" s="180"/>
      <c r="P12188" s="180" t="s">
        <v>257</v>
      </c>
      <c r="R12188" s="180" t="s">
        <v>257</v>
      </c>
    </row>
    <row r="12189" spans="8:18" x14ac:dyDescent="0.2">
      <c r="H12189" s="180"/>
      <c r="P12189" s="180" t="s">
        <v>257</v>
      </c>
      <c r="R12189" s="180" t="s">
        <v>257</v>
      </c>
    </row>
    <row r="12190" spans="8:18" x14ac:dyDescent="0.2">
      <c r="H12190" s="180"/>
      <c r="P12190" s="180" t="s">
        <v>257</v>
      </c>
      <c r="R12190" s="180" t="s">
        <v>257</v>
      </c>
    </row>
    <row r="12191" spans="8:18" x14ac:dyDescent="0.2">
      <c r="H12191" s="180"/>
      <c r="P12191" s="180" t="s">
        <v>257</v>
      </c>
      <c r="R12191" s="180" t="s">
        <v>257</v>
      </c>
    </row>
    <row r="12192" spans="8:18" x14ac:dyDescent="0.2">
      <c r="H12192" s="180"/>
      <c r="P12192" s="180" t="s">
        <v>257</v>
      </c>
      <c r="R12192" s="180" t="s">
        <v>257</v>
      </c>
    </row>
    <row r="12193" spans="8:18" x14ac:dyDescent="0.2">
      <c r="H12193" s="180"/>
      <c r="P12193" s="180" t="s">
        <v>257</v>
      </c>
      <c r="R12193" s="180" t="s">
        <v>257</v>
      </c>
    </row>
    <row r="12194" spans="8:18" x14ac:dyDescent="0.2">
      <c r="H12194" s="180"/>
      <c r="P12194" s="180" t="s">
        <v>257</v>
      </c>
      <c r="R12194" s="180" t="s">
        <v>257</v>
      </c>
    </row>
    <row r="12195" spans="8:18" x14ac:dyDescent="0.2">
      <c r="H12195" s="180"/>
      <c r="P12195" s="180" t="s">
        <v>257</v>
      </c>
      <c r="R12195" s="180" t="s">
        <v>257</v>
      </c>
    </row>
    <row r="12196" spans="8:18" x14ac:dyDescent="0.2">
      <c r="H12196" s="180"/>
      <c r="P12196" s="180" t="s">
        <v>257</v>
      </c>
      <c r="R12196" s="180" t="s">
        <v>257</v>
      </c>
    </row>
    <row r="12197" spans="8:18" x14ac:dyDescent="0.2">
      <c r="H12197" s="180"/>
      <c r="P12197" s="180" t="s">
        <v>257</v>
      </c>
      <c r="R12197" s="180" t="s">
        <v>257</v>
      </c>
    </row>
    <row r="12198" spans="8:18" x14ac:dyDescent="0.2">
      <c r="H12198" s="180"/>
      <c r="P12198" s="180" t="s">
        <v>257</v>
      </c>
      <c r="R12198" s="180" t="s">
        <v>257</v>
      </c>
    </row>
    <row r="12199" spans="8:18" x14ac:dyDescent="0.2">
      <c r="H12199" s="180"/>
      <c r="P12199" s="180" t="s">
        <v>257</v>
      </c>
      <c r="R12199" s="180" t="s">
        <v>257</v>
      </c>
    </row>
    <row r="12200" spans="8:18" x14ac:dyDescent="0.2">
      <c r="H12200" s="180"/>
      <c r="P12200" s="180" t="s">
        <v>257</v>
      </c>
      <c r="R12200" s="180" t="s">
        <v>257</v>
      </c>
    </row>
    <row r="12201" spans="8:18" x14ac:dyDescent="0.2">
      <c r="H12201" s="180"/>
      <c r="P12201" s="180" t="s">
        <v>257</v>
      </c>
      <c r="R12201" s="180" t="s">
        <v>257</v>
      </c>
    </row>
    <row r="12202" spans="8:18" x14ac:dyDescent="0.2">
      <c r="H12202" s="180"/>
      <c r="P12202" s="180" t="s">
        <v>257</v>
      </c>
      <c r="R12202" s="180" t="s">
        <v>257</v>
      </c>
    </row>
    <row r="12203" spans="8:18" x14ac:dyDescent="0.2">
      <c r="H12203" s="180"/>
      <c r="P12203" s="180" t="s">
        <v>257</v>
      </c>
      <c r="R12203" s="180" t="s">
        <v>257</v>
      </c>
    </row>
    <row r="12204" spans="8:18" x14ac:dyDescent="0.2">
      <c r="H12204" s="180"/>
      <c r="P12204" s="180" t="s">
        <v>257</v>
      </c>
      <c r="R12204" s="180" t="s">
        <v>257</v>
      </c>
    </row>
    <row r="12205" spans="8:18" x14ac:dyDescent="0.2">
      <c r="H12205" s="180"/>
      <c r="P12205" s="180" t="s">
        <v>257</v>
      </c>
      <c r="R12205" s="180" t="s">
        <v>257</v>
      </c>
    </row>
    <row r="12206" spans="8:18" x14ac:dyDescent="0.2">
      <c r="H12206" s="180"/>
      <c r="P12206" s="180" t="s">
        <v>257</v>
      </c>
      <c r="R12206" s="180" t="s">
        <v>257</v>
      </c>
    </row>
    <row r="12207" spans="8:18" x14ac:dyDescent="0.2">
      <c r="H12207" s="180"/>
      <c r="P12207" s="180" t="s">
        <v>257</v>
      </c>
      <c r="R12207" s="180" t="s">
        <v>257</v>
      </c>
    </row>
    <row r="12208" spans="8:18" x14ac:dyDescent="0.2">
      <c r="H12208" s="180"/>
      <c r="P12208" s="180" t="s">
        <v>257</v>
      </c>
      <c r="R12208" s="180" t="s">
        <v>257</v>
      </c>
    </row>
    <row r="12209" spans="8:18" x14ac:dyDescent="0.2">
      <c r="H12209" s="180"/>
      <c r="P12209" s="180" t="s">
        <v>257</v>
      </c>
      <c r="R12209" s="180" t="s">
        <v>257</v>
      </c>
    </row>
    <row r="12210" spans="8:18" x14ac:dyDescent="0.2">
      <c r="H12210" s="180"/>
      <c r="P12210" s="180" t="s">
        <v>257</v>
      </c>
      <c r="R12210" s="180" t="s">
        <v>257</v>
      </c>
    </row>
    <row r="12211" spans="8:18" x14ac:dyDescent="0.2">
      <c r="H12211" s="180"/>
      <c r="P12211" s="180" t="s">
        <v>257</v>
      </c>
      <c r="R12211" s="180" t="s">
        <v>257</v>
      </c>
    </row>
    <row r="12212" spans="8:18" x14ac:dyDescent="0.2">
      <c r="H12212" s="180"/>
      <c r="P12212" s="180" t="s">
        <v>257</v>
      </c>
      <c r="R12212" s="180" t="s">
        <v>257</v>
      </c>
    </row>
    <row r="12213" spans="8:18" x14ac:dyDescent="0.2">
      <c r="H12213" s="180"/>
      <c r="P12213" s="180" t="s">
        <v>257</v>
      </c>
      <c r="R12213" s="180" t="s">
        <v>257</v>
      </c>
    </row>
    <row r="12214" spans="8:18" x14ac:dyDescent="0.2">
      <c r="H12214" s="180"/>
      <c r="P12214" s="180" t="s">
        <v>257</v>
      </c>
      <c r="R12214" s="180" t="s">
        <v>257</v>
      </c>
    </row>
    <row r="12215" spans="8:18" x14ac:dyDescent="0.2">
      <c r="H12215" s="180"/>
      <c r="P12215" s="180" t="s">
        <v>257</v>
      </c>
      <c r="R12215" s="180" t="s">
        <v>257</v>
      </c>
    </row>
    <row r="12216" spans="8:18" x14ac:dyDescent="0.2">
      <c r="H12216" s="180"/>
      <c r="P12216" s="180" t="s">
        <v>257</v>
      </c>
      <c r="R12216" s="180" t="s">
        <v>257</v>
      </c>
    </row>
    <row r="12217" spans="8:18" x14ac:dyDescent="0.2">
      <c r="H12217" s="180"/>
      <c r="P12217" s="180" t="s">
        <v>257</v>
      </c>
      <c r="R12217" s="180" t="s">
        <v>257</v>
      </c>
    </row>
    <row r="12218" spans="8:18" x14ac:dyDescent="0.2">
      <c r="H12218" s="180"/>
      <c r="P12218" s="180" t="s">
        <v>257</v>
      </c>
      <c r="R12218" s="180" t="s">
        <v>257</v>
      </c>
    </row>
    <row r="12219" spans="8:18" x14ac:dyDescent="0.2">
      <c r="H12219" s="180"/>
      <c r="P12219" s="180" t="s">
        <v>257</v>
      </c>
      <c r="R12219" s="180" t="s">
        <v>257</v>
      </c>
    </row>
    <row r="12220" spans="8:18" x14ac:dyDescent="0.2">
      <c r="H12220" s="180"/>
      <c r="P12220" s="180" t="s">
        <v>257</v>
      </c>
      <c r="R12220" s="180" t="s">
        <v>257</v>
      </c>
    </row>
    <row r="12221" spans="8:18" x14ac:dyDescent="0.2">
      <c r="H12221" s="180"/>
      <c r="P12221" s="180" t="s">
        <v>257</v>
      </c>
      <c r="R12221" s="180" t="s">
        <v>257</v>
      </c>
    </row>
    <row r="12222" spans="8:18" x14ac:dyDescent="0.2">
      <c r="H12222" s="180"/>
      <c r="P12222" s="180" t="s">
        <v>257</v>
      </c>
      <c r="R12222" s="180" t="s">
        <v>257</v>
      </c>
    </row>
    <row r="12223" spans="8:18" x14ac:dyDescent="0.2">
      <c r="H12223" s="180"/>
      <c r="P12223" s="180" t="s">
        <v>257</v>
      </c>
      <c r="R12223" s="180" t="s">
        <v>257</v>
      </c>
    </row>
    <row r="12224" spans="8:18" x14ac:dyDescent="0.2">
      <c r="H12224" s="180"/>
      <c r="P12224" s="180" t="s">
        <v>257</v>
      </c>
      <c r="R12224" s="180" t="s">
        <v>257</v>
      </c>
    </row>
    <row r="12225" spans="8:18" x14ac:dyDescent="0.2">
      <c r="H12225" s="180"/>
      <c r="P12225" s="180" t="s">
        <v>257</v>
      </c>
      <c r="R12225" s="180" t="s">
        <v>257</v>
      </c>
    </row>
    <row r="12226" spans="8:18" x14ac:dyDescent="0.2">
      <c r="H12226" s="180"/>
      <c r="P12226" s="180" t="s">
        <v>257</v>
      </c>
      <c r="R12226" s="180" t="s">
        <v>257</v>
      </c>
    </row>
    <row r="12227" spans="8:18" x14ac:dyDescent="0.2">
      <c r="H12227" s="180"/>
      <c r="P12227" s="180" t="s">
        <v>257</v>
      </c>
      <c r="R12227" s="180" t="s">
        <v>257</v>
      </c>
    </row>
    <row r="12228" spans="8:18" x14ac:dyDescent="0.2">
      <c r="H12228" s="180"/>
      <c r="P12228" s="180" t="s">
        <v>257</v>
      </c>
      <c r="R12228" s="180" t="s">
        <v>257</v>
      </c>
    </row>
    <row r="12229" spans="8:18" x14ac:dyDescent="0.2">
      <c r="H12229" s="180"/>
      <c r="P12229" s="180" t="s">
        <v>257</v>
      </c>
      <c r="R12229" s="180" t="s">
        <v>257</v>
      </c>
    </row>
    <row r="12230" spans="8:18" x14ac:dyDescent="0.2">
      <c r="H12230" s="180"/>
      <c r="P12230" s="180" t="s">
        <v>257</v>
      </c>
      <c r="R12230" s="180" t="s">
        <v>257</v>
      </c>
    </row>
    <row r="12231" spans="8:18" x14ac:dyDescent="0.2">
      <c r="H12231" s="180"/>
      <c r="P12231" s="180" t="s">
        <v>257</v>
      </c>
      <c r="R12231" s="180" t="s">
        <v>257</v>
      </c>
    </row>
    <row r="12232" spans="8:18" x14ac:dyDescent="0.2">
      <c r="H12232" s="180"/>
      <c r="P12232" s="180" t="s">
        <v>257</v>
      </c>
      <c r="R12232" s="180" t="s">
        <v>257</v>
      </c>
    </row>
    <row r="12233" spans="8:18" x14ac:dyDescent="0.2">
      <c r="H12233" s="180"/>
      <c r="P12233" s="180" t="s">
        <v>257</v>
      </c>
      <c r="R12233" s="180" t="s">
        <v>257</v>
      </c>
    </row>
    <row r="12234" spans="8:18" x14ac:dyDescent="0.2">
      <c r="H12234" s="180"/>
      <c r="P12234" s="180" t="s">
        <v>257</v>
      </c>
      <c r="R12234" s="180" t="s">
        <v>257</v>
      </c>
    </row>
    <row r="12235" spans="8:18" x14ac:dyDescent="0.2">
      <c r="H12235" s="180"/>
      <c r="P12235" s="180" t="s">
        <v>257</v>
      </c>
      <c r="R12235" s="180" t="s">
        <v>257</v>
      </c>
    </row>
    <row r="12236" spans="8:18" x14ac:dyDescent="0.2">
      <c r="H12236" s="180"/>
      <c r="P12236" s="180" t="s">
        <v>257</v>
      </c>
      <c r="R12236" s="180" t="s">
        <v>257</v>
      </c>
    </row>
    <row r="12237" spans="8:18" x14ac:dyDescent="0.2">
      <c r="H12237" s="180"/>
      <c r="P12237" s="180" t="s">
        <v>257</v>
      </c>
      <c r="R12237" s="180" t="s">
        <v>257</v>
      </c>
    </row>
    <row r="12238" spans="8:18" x14ac:dyDescent="0.2">
      <c r="H12238" s="180"/>
      <c r="P12238" s="180" t="s">
        <v>257</v>
      </c>
      <c r="R12238" s="180" t="s">
        <v>257</v>
      </c>
    </row>
    <row r="12239" spans="8:18" x14ac:dyDescent="0.2">
      <c r="H12239" s="180"/>
      <c r="P12239" s="180" t="s">
        <v>257</v>
      </c>
      <c r="R12239" s="180" t="s">
        <v>257</v>
      </c>
    </row>
    <row r="12240" spans="8:18" x14ac:dyDescent="0.2">
      <c r="H12240" s="180"/>
      <c r="P12240" s="180" t="s">
        <v>257</v>
      </c>
      <c r="R12240" s="180" t="s">
        <v>257</v>
      </c>
    </row>
    <row r="12241" spans="8:18" x14ac:dyDescent="0.2">
      <c r="H12241" s="180"/>
      <c r="P12241" s="180" t="s">
        <v>257</v>
      </c>
      <c r="R12241" s="180" t="s">
        <v>257</v>
      </c>
    </row>
    <row r="12242" spans="8:18" x14ac:dyDescent="0.2">
      <c r="H12242" s="180"/>
      <c r="P12242" s="180" t="s">
        <v>257</v>
      </c>
      <c r="R12242" s="180" t="s">
        <v>257</v>
      </c>
    </row>
    <row r="12243" spans="8:18" x14ac:dyDescent="0.2">
      <c r="H12243" s="180"/>
      <c r="P12243" s="180" t="s">
        <v>257</v>
      </c>
      <c r="R12243" s="180" t="s">
        <v>257</v>
      </c>
    </row>
    <row r="12244" spans="8:18" x14ac:dyDescent="0.2">
      <c r="H12244" s="180"/>
      <c r="P12244" s="180" t="s">
        <v>257</v>
      </c>
      <c r="R12244" s="180" t="s">
        <v>257</v>
      </c>
    </row>
    <row r="12245" spans="8:18" x14ac:dyDescent="0.2">
      <c r="H12245" s="180"/>
      <c r="P12245" s="180" t="s">
        <v>257</v>
      </c>
      <c r="R12245" s="180" t="s">
        <v>257</v>
      </c>
    </row>
    <row r="12246" spans="8:18" x14ac:dyDescent="0.2">
      <c r="H12246" s="180"/>
      <c r="P12246" s="180" t="s">
        <v>257</v>
      </c>
      <c r="R12246" s="180" t="s">
        <v>257</v>
      </c>
    </row>
    <row r="12247" spans="8:18" x14ac:dyDescent="0.2">
      <c r="H12247" s="180"/>
      <c r="P12247" s="180" t="s">
        <v>257</v>
      </c>
      <c r="R12247" s="180" t="s">
        <v>257</v>
      </c>
    </row>
    <row r="12248" spans="8:18" x14ac:dyDescent="0.2">
      <c r="H12248" s="180"/>
      <c r="P12248" s="180" t="s">
        <v>257</v>
      </c>
      <c r="R12248" s="180" t="s">
        <v>257</v>
      </c>
    </row>
    <row r="12249" spans="8:18" x14ac:dyDescent="0.2">
      <c r="H12249" s="180"/>
      <c r="P12249" s="180" t="s">
        <v>257</v>
      </c>
      <c r="R12249" s="180" t="s">
        <v>257</v>
      </c>
    </row>
    <row r="12250" spans="8:18" x14ac:dyDescent="0.2">
      <c r="H12250" s="180"/>
      <c r="P12250" s="180" t="s">
        <v>257</v>
      </c>
      <c r="R12250" s="180" t="s">
        <v>257</v>
      </c>
    </row>
    <row r="12251" spans="8:18" x14ac:dyDescent="0.2">
      <c r="H12251" s="180"/>
      <c r="P12251" s="180" t="s">
        <v>257</v>
      </c>
      <c r="R12251" s="180" t="s">
        <v>257</v>
      </c>
    </row>
    <row r="12252" spans="8:18" x14ac:dyDescent="0.2">
      <c r="H12252" s="180"/>
      <c r="P12252" s="180" t="s">
        <v>257</v>
      </c>
      <c r="R12252" s="180" t="s">
        <v>257</v>
      </c>
    </row>
    <row r="12253" spans="8:18" x14ac:dyDescent="0.2">
      <c r="H12253" s="180"/>
      <c r="P12253" s="180" t="s">
        <v>257</v>
      </c>
      <c r="R12253" s="180" t="s">
        <v>257</v>
      </c>
    </row>
    <row r="12254" spans="8:18" x14ac:dyDescent="0.2">
      <c r="H12254" s="180"/>
      <c r="P12254" s="180" t="s">
        <v>257</v>
      </c>
      <c r="R12254" s="180" t="s">
        <v>257</v>
      </c>
    </row>
    <row r="12255" spans="8:18" x14ac:dyDescent="0.2">
      <c r="H12255" s="180"/>
      <c r="P12255" s="180" t="s">
        <v>257</v>
      </c>
      <c r="R12255" s="180" t="s">
        <v>257</v>
      </c>
    </row>
    <row r="12256" spans="8:18" x14ac:dyDescent="0.2">
      <c r="H12256" s="180"/>
      <c r="P12256" s="180" t="s">
        <v>257</v>
      </c>
      <c r="R12256" s="180" t="s">
        <v>257</v>
      </c>
    </row>
    <row r="12257" spans="8:18" x14ac:dyDescent="0.2">
      <c r="H12257" s="180"/>
      <c r="P12257" s="180" t="s">
        <v>257</v>
      </c>
      <c r="R12257" s="180" t="s">
        <v>257</v>
      </c>
    </row>
    <row r="12258" spans="8:18" x14ac:dyDescent="0.2">
      <c r="H12258" s="180"/>
      <c r="P12258" s="180" t="s">
        <v>257</v>
      </c>
      <c r="R12258" s="180" t="s">
        <v>257</v>
      </c>
    </row>
    <row r="12259" spans="8:18" x14ac:dyDescent="0.2">
      <c r="H12259" s="180"/>
      <c r="P12259" s="180" t="s">
        <v>257</v>
      </c>
      <c r="R12259" s="180" t="s">
        <v>257</v>
      </c>
    </row>
    <row r="12260" spans="8:18" x14ac:dyDescent="0.2">
      <c r="H12260" s="180"/>
      <c r="P12260" s="180" t="s">
        <v>257</v>
      </c>
      <c r="R12260" s="180" t="s">
        <v>257</v>
      </c>
    </row>
    <row r="12261" spans="8:18" x14ac:dyDescent="0.2">
      <c r="H12261" s="180"/>
      <c r="P12261" s="180" t="s">
        <v>257</v>
      </c>
      <c r="R12261" s="180" t="s">
        <v>257</v>
      </c>
    </row>
    <row r="12262" spans="8:18" x14ac:dyDescent="0.2">
      <c r="H12262" s="180"/>
      <c r="P12262" s="180" t="s">
        <v>257</v>
      </c>
      <c r="R12262" s="180" t="s">
        <v>257</v>
      </c>
    </row>
    <row r="12263" spans="8:18" x14ac:dyDescent="0.2">
      <c r="H12263" s="180"/>
      <c r="P12263" s="180" t="s">
        <v>257</v>
      </c>
      <c r="R12263" s="180" t="s">
        <v>257</v>
      </c>
    </row>
    <row r="12264" spans="8:18" x14ac:dyDescent="0.2">
      <c r="H12264" s="180"/>
      <c r="P12264" s="180" t="s">
        <v>257</v>
      </c>
      <c r="R12264" s="180" t="s">
        <v>257</v>
      </c>
    </row>
    <row r="12265" spans="8:18" x14ac:dyDescent="0.2">
      <c r="H12265" s="180"/>
      <c r="P12265" s="180" t="s">
        <v>257</v>
      </c>
      <c r="R12265" s="180" t="s">
        <v>257</v>
      </c>
    </row>
    <row r="12266" spans="8:18" x14ac:dyDescent="0.2">
      <c r="H12266" s="180"/>
      <c r="P12266" s="180" t="s">
        <v>257</v>
      </c>
      <c r="R12266" s="180" t="s">
        <v>257</v>
      </c>
    </row>
    <row r="12267" spans="8:18" x14ac:dyDescent="0.2">
      <c r="H12267" s="180"/>
      <c r="P12267" s="180" t="s">
        <v>257</v>
      </c>
      <c r="R12267" s="180" t="s">
        <v>257</v>
      </c>
    </row>
    <row r="12268" spans="8:18" x14ac:dyDescent="0.2">
      <c r="H12268" s="180"/>
      <c r="P12268" s="180" t="s">
        <v>257</v>
      </c>
      <c r="R12268" s="180" t="s">
        <v>257</v>
      </c>
    </row>
    <row r="12269" spans="8:18" x14ac:dyDescent="0.2">
      <c r="H12269" s="180"/>
      <c r="P12269" s="180" t="s">
        <v>257</v>
      </c>
      <c r="R12269" s="180" t="s">
        <v>257</v>
      </c>
    </row>
    <row r="12270" spans="8:18" x14ac:dyDescent="0.2">
      <c r="H12270" s="180"/>
      <c r="P12270" s="180" t="s">
        <v>257</v>
      </c>
      <c r="R12270" s="180" t="s">
        <v>257</v>
      </c>
    </row>
    <row r="12271" spans="8:18" x14ac:dyDescent="0.2">
      <c r="H12271" s="180"/>
      <c r="P12271" s="180" t="s">
        <v>257</v>
      </c>
      <c r="R12271" s="180" t="s">
        <v>257</v>
      </c>
    </row>
    <row r="12272" spans="8:18" x14ac:dyDescent="0.2">
      <c r="H12272" s="180"/>
      <c r="P12272" s="180" t="s">
        <v>257</v>
      </c>
      <c r="R12272" s="180" t="s">
        <v>257</v>
      </c>
    </row>
    <row r="12273" spans="8:18" x14ac:dyDescent="0.2">
      <c r="H12273" s="180"/>
      <c r="P12273" s="180" t="s">
        <v>257</v>
      </c>
      <c r="R12273" s="180" t="s">
        <v>257</v>
      </c>
    </row>
    <row r="12274" spans="8:18" x14ac:dyDescent="0.2">
      <c r="H12274" s="180"/>
      <c r="P12274" s="180" t="s">
        <v>257</v>
      </c>
      <c r="R12274" s="180" t="s">
        <v>257</v>
      </c>
    </row>
    <row r="12275" spans="8:18" x14ac:dyDescent="0.2">
      <c r="H12275" s="180"/>
      <c r="P12275" s="180" t="s">
        <v>257</v>
      </c>
      <c r="R12275" s="180" t="s">
        <v>257</v>
      </c>
    </row>
    <row r="12276" spans="8:18" x14ac:dyDescent="0.2">
      <c r="H12276" s="180"/>
      <c r="P12276" s="180" t="s">
        <v>257</v>
      </c>
      <c r="R12276" s="180" t="s">
        <v>257</v>
      </c>
    </row>
    <row r="12277" spans="8:18" x14ac:dyDescent="0.2">
      <c r="H12277" s="180"/>
      <c r="P12277" s="180" t="s">
        <v>257</v>
      </c>
      <c r="R12277" s="180" t="s">
        <v>257</v>
      </c>
    </row>
    <row r="12278" spans="8:18" x14ac:dyDescent="0.2">
      <c r="H12278" s="180"/>
      <c r="P12278" s="180" t="s">
        <v>257</v>
      </c>
      <c r="R12278" s="180" t="s">
        <v>257</v>
      </c>
    </row>
    <row r="12279" spans="8:18" x14ac:dyDescent="0.2">
      <c r="H12279" s="180"/>
      <c r="P12279" s="180" t="s">
        <v>257</v>
      </c>
      <c r="R12279" s="180" t="s">
        <v>257</v>
      </c>
    </row>
    <row r="12280" spans="8:18" x14ac:dyDescent="0.2">
      <c r="H12280" s="180"/>
      <c r="P12280" s="180" t="s">
        <v>257</v>
      </c>
      <c r="R12280" s="180" t="s">
        <v>257</v>
      </c>
    </row>
    <row r="12281" spans="8:18" x14ac:dyDescent="0.2">
      <c r="H12281" s="180"/>
      <c r="P12281" s="180" t="s">
        <v>257</v>
      </c>
      <c r="R12281" s="180" t="s">
        <v>257</v>
      </c>
    </row>
    <row r="12282" spans="8:18" x14ac:dyDescent="0.2">
      <c r="H12282" s="180"/>
      <c r="P12282" s="180" t="s">
        <v>257</v>
      </c>
      <c r="R12282" s="180" t="s">
        <v>257</v>
      </c>
    </row>
    <row r="12283" spans="8:18" x14ac:dyDescent="0.2">
      <c r="H12283" s="180"/>
      <c r="P12283" s="180" t="s">
        <v>257</v>
      </c>
      <c r="R12283" s="180" t="s">
        <v>257</v>
      </c>
    </row>
    <row r="12284" spans="8:18" x14ac:dyDescent="0.2">
      <c r="H12284" s="180"/>
      <c r="P12284" s="180" t="s">
        <v>257</v>
      </c>
      <c r="R12284" s="180" t="s">
        <v>257</v>
      </c>
    </row>
    <row r="12285" spans="8:18" x14ac:dyDescent="0.2">
      <c r="H12285" s="180"/>
      <c r="P12285" s="180" t="s">
        <v>257</v>
      </c>
      <c r="R12285" s="180" t="s">
        <v>257</v>
      </c>
    </row>
    <row r="12286" spans="8:18" x14ac:dyDescent="0.2">
      <c r="H12286" s="180"/>
      <c r="P12286" s="180" t="s">
        <v>257</v>
      </c>
      <c r="R12286" s="180" t="s">
        <v>257</v>
      </c>
    </row>
    <row r="12287" spans="8:18" x14ac:dyDescent="0.2">
      <c r="H12287" s="180"/>
      <c r="P12287" s="180" t="s">
        <v>257</v>
      </c>
      <c r="R12287" s="180" t="s">
        <v>257</v>
      </c>
    </row>
    <row r="12288" spans="8:18" x14ac:dyDescent="0.2">
      <c r="H12288" s="180"/>
      <c r="P12288" s="180" t="s">
        <v>257</v>
      </c>
      <c r="R12288" s="180" t="s">
        <v>257</v>
      </c>
    </row>
    <row r="12289" spans="8:18" x14ac:dyDescent="0.2">
      <c r="H12289" s="180"/>
      <c r="P12289" s="180" t="s">
        <v>257</v>
      </c>
      <c r="R12289" s="180" t="s">
        <v>257</v>
      </c>
    </row>
    <row r="12290" spans="8:18" x14ac:dyDescent="0.2">
      <c r="H12290" s="180"/>
      <c r="P12290" s="180" t="s">
        <v>257</v>
      </c>
      <c r="R12290" s="180" t="s">
        <v>257</v>
      </c>
    </row>
    <row r="12291" spans="8:18" x14ac:dyDescent="0.2">
      <c r="H12291" s="180"/>
      <c r="P12291" s="180" t="s">
        <v>257</v>
      </c>
      <c r="R12291" s="180" t="s">
        <v>257</v>
      </c>
    </row>
    <row r="12292" spans="8:18" x14ac:dyDescent="0.2">
      <c r="H12292" s="180"/>
      <c r="P12292" s="180" t="s">
        <v>257</v>
      </c>
      <c r="R12292" s="180" t="s">
        <v>257</v>
      </c>
    </row>
    <row r="12293" spans="8:18" x14ac:dyDescent="0.2">
      <c r="H12293" s="180"/>
      <c r="P12293" s="180" t="s">
        <v>257</v>
      </c>
      <c r="R12293" s="180" t="s">
        <v>257</v>
      </c>
    </row>
    <row r="12294" spans="8:18" x14ac:dyDescent="0.2">
      <c r="H12294" s="180"/>
      <c r="P12294" s="180" t="s">
        <v>257</v>
      </c>
      <c r="R12294" s="180" t="s">
        <v>257</v>
      </c>
    </row>
    <row r="12295" spans="8:18" x14ac:dyDescent="0.2">
      <c r="H12295" s="180"/>
      <c r="P12295" s="180" t="s">
        <v>257</v>
      </c>
      <c r="R12295" s="180" t="s">
        <v>257</v>
      </c>
    </row>
    <row r="12296" spans="8:18" x14ac:dyDescent="0.2">
      <c r="H12296" s="180"/>
      <c r="P12296" s="180" t="s">
        <v>257</v>
      </c>
      <c r="R12296" s="180" t="s">
        <v>257</v>
      </c>
    </row>
    <row r="12297" spans="8:18" x14ac:dyDescent="0.2">
      <c r="H12297" s="180"/>
      <c r="P12297" s="180" t="s">
        <v>257</v>
      </c>
      <c r="R12297" s="180" t="s">
        <v>257</v>
      </c>
    </row>
    <row r="12298" spans="8:18" x14ac:dyDescent="0.2">
      <c r="H12298" s="180"/>
      <c r="P12298" s="180" t="s">
        <v>257</v>
      </c>
      <c r="R12298" s="180" t="s">
        <v>257</v>
      </c>
    </row>
    <row r="12299" spans="8:18" x14ac:dyDescent="0.2">
      <c r="H12299" s="180"/>
      <c r="P12299" s="180" t="s">
        <v>257</v>
      </c>
      <c r="R12299" s="180" t="s">
        <v>257</v>
      </c>
    </row>
    <row r="12300" spans="8:18" x14ac:dyDescent="0.2">
      <c r="H12300" s="180"/>
      <c r="P12300" s="180" t="s">
        <v>257</v>
      </c>
      <c r="R12300" s="180" t="s">
        <v>257</v>
      </c>
    </row>
    <row r="12301" spans="8:18" x14ac:dyDescent="0.2">
      <c r="H12301" s="180"/>
      <c r="P12301" s="180" t="s">
        <v>257</v>
      </c>
      <c r="R12301" s="180" t="s">
        <v>257</v>
      </c>
    </row>
    <row r="12302" spans="8:18" x14ac:dyDescent="0.2">
      <c r="H12302" s="180"/>
      <c r="P12302" s="180" t="s">
        <v>257</v>
      </c>
      <c r="R12302" s="180" t="s">
        <v>257</v>
      </c>
    </row>
    <row r="12303" spans="8:18" x14ac:dyDescent="0.2">
      <c r="H12303" s="180"/>
      <c r="P12303" s="180" t="s">
        <v>257</v>
      </c>
      <c r="R12303" s="180" t="s">
        <v>257</v>
      </c>
    </row>
    <row r="12304" spans="8:18" x14ac:dyDescent="0.2">
      <c r="H12304" s="180"/>
      <c r="P12304" s="180" t="s">
        <v>257</v>
      </c>
      <c r="R12304" s="180" t="s">
        <v>257</v>
      </c>
    </row>
    <row r="12305" spans="8:18" x14ac:dyDescent="0.2">
      <c r="H12305" s="180"/>
      <c r="P12305" s="180" t="s">
        <v>257</v>
      </c>
      <c r="R12305" s="180" t="s">
        <v>257</v>
      </c>
    </row>
    <row r="12306" spans="8:18" x14ac:dyDescent="0.2">
      <c r="H12306" s="180"/>
      <c r="P12306" s="180" t="s">
        <v>257</v>
      </c>
      <c r="R12306" s="180" t="s">
        <v>257</v>
      </c>
    </row>
    <row r="12307" spans="8:18" x14ac:dyDescent="0.2">
      <c r="H12307" s="180"/>
      <c r="P12307" s="180" t="s">
        <v>257</v>
      </c>
      <c r="R12307" s="180" t="s">
        <v>257</v>
      </c>
    </row>
    <row r="12308" spans="8:18" x14ac:dyDescent="0.2">
      <c r="H12308" s="180"/>
      <c r="P12308" s="180" t="s">
        <v>257</v>
      </c>
      <c r="R12308" s="180" t="s">
        <v>257</v>
      </c>
    </row>
    <row r="12309" spans="8:18" x14ac:dyDescent="0.2">
      <c r="H12309" s="180"/>
      <c r="P12309" s="180" t="s">
        <v>257</v>
      </c>
      <c r="R12309" s="180" t="s">
        <v>257</v>
      </c>
    </row>
    <row r="12310" spans="8:18" x14ac:dyDescent="0.2">
      <c r="H12310" s="180"/>
      <c r="P12310" s="180" t="s">
        <v>257</v>
      </c>
      <c r="R12310" s="180" t="s">
        <v>257</v>
      </c>
    </row>
    <row r="12311" spans="8:18" x14ac:dyDescent="0.2">
      <c r="H12311" s="180"/>
      <c r="P12311" s="180" t="s">
        <v>257</v>
      </c>
      <c r="R12311" s="180" t="s">
        <v>257</v>
      </c>
    </row>
    <row r="12312" spans="8:18" x14ac:dyDescent="0.2">
      <c r="H12312" s="180"/>
      <c r="P12312" s="180" t="s">
        <v>257</v>
      </c>
      <c r="R12312" s="180" t="s">
        <v>257</v>
      </c>
    </row>
    <row r="12313" spans="8:18" x14ac:dyDescent="0.2">
      <c r="H12313" s="180"/>
      <c r="P12313" s="180" t="s">
        <v>257</v>
      </c>
      <c r="R12313" s="180" t="s">
        <v>257</v>
      </c>
    </row>
    <row r="12314" spans="8:18" x14ac:dyDescent="0.2">
      <c r="H12314" s="180"/>
      <c r="P12314" s="180" t="s">
        <v>257</v>
      </c>
      <c r="R12314" s="180" t="s">
        <v>257</v>
      </c>
    </row>
    <row r="12315" spans="8:18" x14ac:dyDescent="0.2">
      <c r="H12315" s="180"/>
      <c r="P12315" s="180" t="s">
        <v>257</v>
      </c>
      <c r="R12315" s="180" t="s">
        <v>257</v>
      </c>
    </row>
    <row r="12316" spans="8:18" x14ac:dyDescent="0.2">
      <c r="H12316" s="180"/>
      <c r="P12316" s="180" t="s">
        <v>257</v>
      </c>
      <c r="R12316" s="180" t="s">
        <v>257</v>
      </c>
    </row>
    <row r="12317" spans="8:18" x14ac:dyDescent="0.2">
      <c r="H12317" s="180"/>
      <c r="P12317" s="180" t="s">
        <v>257</v>
      </c>
      <c r="R12317" s="180" t="s">
        <v>257</v>
      </c>
    </row>
    <row r="12318" spans="8:18" x14ac:dyDescent="0.2">
      <c r="H12318" s="180"/>
      <c r="P12318" s="180" t="s">
        <v>257</v>
      </c>
      <c r="R12318" s="180" t="s">
        <v>257</v>
      </c>
    </row>
    <row r="12319" spans="8:18" x14ac:dyDescent="0.2">
      <c r="H12319" s="180"/>
      <c r="P12319" s="180" t="s">
        <v>257</v>
      </c>
      <c r="R12319" s="180" t="s">
        <v>257</v>
      </c>
    </row>
    <row r="12320" spans="8:18" x14ac:dyDescent="0.2">
      <c r="H12320" s="180"/>
      <c r="P12320" s="180" t="s">
        <v>257</v>
      </c>
      <c r="R12320" s="180" t="s">
        <v>257</v>
      </c>
    </row>
    <row r="12321" spans="8:18" x14ac:dyDescent="0.2">
      <c r="H12321" s="180"/>
      <c r="P12321" s="180" t="s">
        <v>257</v>
      </c>
      <c r="R12321" s="180" t="s">
        <v>257</v>
      </c>
    </row>
    <row r="12322" spans="8:18" x14ac:dyDescent="0.2">
      <c r="H12322" s="180"/>
      <c r="P12322" s="180" t="s">
        <v>257</v>
      </c>
      <c r="R12322" s="180" t="s">
        <v>257</v>
      </c>
    </row>
    <row r="12323" spans="8:18" x14ac:dyDescent="0.2">
      <c r="H12323" s="180"/>
      <c r="P12323" s="180" t="s">
        <v>257</v>
      </c>
      <c r="R12323" s="180" t="s">
        <v>257</v>
      </c>
    </row>
    <row r="12324" spans="8:18" x14ac:dyDescent="0.2">
      <c r="H12324" s="180"/>
      <c r="P12324" s="180" t="s">
        <v>257</v>
      </c>
      <c r="R12324" s="180" t="s">
        <v>257</v>
      </c>
    </row>
    <row r="12325" spans="8:18" x14ac:dyDescent="0.2">
      <c r="H12325" s="180"/>
      <c r="P12325" s="180" t="s">
        <v>257</v>
      </c>
      <c r="R12325" s="180" t="s">
        <v>257</v>
      </c>
    </row>
    <row r="12326" spans="8:18" x14ac:dyDescent="0.2">
      <c r="H12326" s="180"/>
      <c r="P12326" s="180" t="s">
        <v>257</v>
      </c>
      <c r="R12326" s="180" t="s">
        <v>257</v>
      </c>
    </row>
    <row r="12327" spans="8:18" x14ac:dyDescent="0.2">
      <c r="H12327" s="180"/>
      <c r="P12327" s="180" t="s">
        <v>257</v>
      </c>
      <c r="R12327" s="180" t="s">
        <v>257</v>
      </c>
    </row>
    <row r="12328" spans="8:18" x14ac:dyDescent="0.2">
      <c r="H12328" s="180"/>
      <c r="P12328" s="180" t="s">
        <v>257</v>
      </c>
      <c r="R12328" s="180" t="s">
        <v>257</v>
      </c>
    </row>
    <row r="12329" spans="8:18" x14ac:dyDescent="0.2">
      <c r="H12329" s="180"/>
      <c r="P12329" s="180" t="s">
        <v>257</v>
      </c>
      <c r="R12329" s="180" t="s">
        <v>257</v>
      </c>
    </row>
    <row r="12330" spans="8:18" x14ac:dyDescent="0.2">
      <c r="H12330" s="180"/>
      <c r="P12330" s="180" t="s">
        <v>257</v>
      </c>
      <c r="R12330" s="180" t="s">
        <v>257</v>
      </c>
    </row>
    <row r="12331" spans="8:18" x14ac:dyDescent="0.2">
      <c r="H12331" s="180"/>
      <c r="P12331" s="180" t="s">
        <v>257</v>
      </c>
      <c r="R12331" s="180" t="s">
        <v>257</v>
      </c>
    </row>
    <row r="12332" spans="8:18" x14ac:dyDescent="0.2">
      <c r="H12332" s="180"/>
      <c r="P12332" s="180" t="s">
        <v>257</v>
      </c>
      <c r="R12332" s="180" t="s">
        <v>257</v>
      </c>
    </row>
    <row r="12333" spans="8:18" x14ac:dyDescent="0.2">
      <c r="H12333" s="180"/>
      <c r="P12333" s="180" t="s">
        <v>257</v>
      </c>
      <c r="R12333" s="180" t="s">
        <v>257</v>
      </c>
    </row>
    <row r="12334" spans="8:18" x14ac:dyDescent="0.2">
      <c r="H12334" s="180"/>
      <c r="P12334" s="180" t="s">
        <v>257</v>
      </c>
      <c r="R12334" s="180" t="s">
        <v>257</v>
      </c>
    </row>
    <row r="12335" spans="8:18" x14ac:dyDescent="0.2">
      <c r="H12335" s="180"/>
      <c r="P12335" s="180" t="s">
        <v>257</v>
      </c>
      <c r="R12335" s="180" t="s">
        <v>257</v>
      </c>
    </row>
    <row r="12336" spans="8:18" x14ac:dyDescent="0.2">
      <c r="H12336" s="180"/>
      <c r="P12336" s="180" t="s">
        <v>257</v>
      </c>
      <c r="R12336" s="180" t="s">
        <v>257</v>
      </c>
    </row>
    <row r="12337" spans="8:18" x14ac:dyDescent="0.2">
      <c r="H12337" s="180"/>
      <c r="P12337" s="180" t="s">
        <v>257</v>
      </c>
      <c r="R12337" s="180" t="s">
        <v>257</v>
      </c>
    </row>
    <row r="12338" spans="8:18" x14ac:dyDescent="0.2">
      <c r="H12338" s="180"/>
      <c r="P12338" s="180" t="s">
        <v>257</v>
      </c>
      <c r="R12338" s="180" t="s">
        <v>257</v>
      </c>
    </row>
    <row r="12339" spans="8:18" x14ac:dyDescent="0.2">
      <c r="H12339" s="180"/>
      <c r="P12339" s="180" t="s">
        <v>257</v>
      </c>
      <c r="R12339" s="180" t="s">
        <v>257</v>
      </c>
    </row>
    <row r="12340" spans="8:18" x14ac:dyDescent="0.2">
      <c r="H12340" s="180"/>
      <c r="P12340" s="180" t="s">
        <v>257</v>
      </c>
      <c r="R12340" s="180" t="s">
        <v>257</v>
      </c>
    </row>
    <row r="12341" spans="8:18" x14ac:dyDescent="0.2">
      <c r="H12341" s="180"/>
      <c r="P12341" s="180" t="s">
        <v>257</v>
      </c>
      <c r="R12341" s="180" t="s">
        <v>257</v>
      </c>
    </row>
    <row r="12342" spans="8:18" x14ac:dyDescent="0.2">
      <c r="H12342" s="180"/>
      <c r="P12342" s="180" t="s">
        <v>257</v>
      </c>
      <c r="R12342" s="180" t="s">
        <v>257</v>
      </c>
    </row>
    <row r="12343" spans="8:18" x14ac:dyDescent="0.2">
      <c r="H12343" s="180"/>
      <c r="P12343" s="180" t="s">
        <v>257</v>
      </c>
      <c r="R12343" s="180" t="s">
        <v>257</v>
      </c>
    </row>
    <row r="12344" spans="8:18" x14ac:dyDescent="0.2">
      <c r="H12344" s="180"/>
      <c r="P12344" s="180" t="s">
        <v>257</v>
      </c>
      <c r="R12344" s="180" t="s">
        <v>257</v>
      </c>
    </row>
    <row r="12345" spans="8:18" x14ac:dyDescent="0.2">
      <c r="H12345" s="180"/>
      <c r="P12345" s="180" t="s">
        <v>257</v>
      </c>
      <c r="R12345" s="180" t="s">
        <v>257</v>
      </c>
    </row>
    <row r="12346" spans="8:18" x14ac:dyDescent="0.2">
      <c r="H12346" s="180"/>
      <c r="P12346" s="180" t="s">
        <v>257</v>
      </c>
      <c r="R12346" s="180" t="s">
        <v>257</v>
      </c>
    </row>
    <row r="12347" spans="8:18" x14ac:dyDescent="0.2">
      <c r="H12347" s="180"/>
      <c r="P12347" s="180" t="s">
        <v>257</v>
      </c>
      <c r="R12347" s="180" t="s">
        <v>257</v>
      </c>
    </row>
    <row r="12348" spans="8:18" x14ac:dyDescent="0.2">
      <c r="H12348" s="180"/>
      <c r="P12348" s="180" t="s">
        <v>257</v>
      </c>
      <c r="R12348" s="180" t="s">
        <v>257</v>
      </c>
    </row>
    <row r="12349" spans="8:18" x14ac:dyDescent="0.2">
      <c r="H12349" s="180"/>
      <c r="P12349" s="180" t="s">
        <v>257</v>
      </c>
      <c r="R12349" s="180" t="s">
        <v>257</v>
      </c>
    </row>
    <row r="12350" spans="8:18" x14ac:dyDescent="0.2">
      <c r="H12350" s="180"/>
      <c r="P12350" s="180" t="s">
        <v>257</v>
      </c>
      <c r="R12350" s="180" t="s">
        <v>257</v>
      </c>
    </row>
    <row r="12351" spans="8:18" x14ac:dyDescent="0.2">
      <c r="H12351" s="180"/>
      <c r="P12351" s="180" t="s">
        <v>257</v>
      </c>
      <c r="R12351" s="180" t="s">
        <v>257</v>
      </c>
    </row>
    <row r="12352" spans="8:18" x14ac:dyDescent="0.2">
      <c r="H12352" s="180"/>
      <c r="P12352" s="180" t="s">
        <v>257</v>
      </c>
      <c r="R12352" s="180" t="s">
        <v>257</v>
      </c>
    </row>
    <row r="12353" spans="8:18" x14ac:dyDescent="0.2">
      <c r="H12353" s="180"/>
      <c r="P12353" s="180" t="s">
        <v>257</v>
      </c>
      <c r="R12353" s="180" t="s">
        <v>257</v>
      </c>
    </row>
    <row r="12354" spans="8:18" x14ac:dyDescent="0.2">
      <c r="H12354" s="180"/>
      <c r="P12354" s="180" t="s">
        <v>257</v>
      </c>
      <c r="R12354" s="180" t="s">
        <v>257</v>
      </c>
    </row>
    <row r="12355" spans="8:18" x14ac:dyDescent="0.2">
      <c r="H12355" s="180"/>
      <c r="P12355" s="180" t="s">
        <v>257</v>
      </c>
      <c r="R12355" s="180" t="s">
        <v>257</v>
      </c>
    </row>
    <row r="12356" spans="8:18" x14ac:dyDescent="0.2">
      <c r="H12356" s="180"/>
      <c r="P12356" s="180" t="s">
        <v>257</v>
      </c>
      <c r="R12356" s="180" t="s">
        <v>257</v>
      </c>
    </row>
    <row r="12357" spans="8:18" x14ac:dyDescent="0.2">
      <c r="H12357" s="180"/>
      <c r="P12357" s="180" t="s">
        <v>257</v>
      </c>
      <c r="R12357" s="180" t="s">
        <v>257</v>
      </c>
    </row>
    <row r="12358" spans="8:18" x14ac:dyDescent="0.2">
      <c r="H12358" s="180"/>
      <c r="P12358" s="180" t="s">
        <v>257</v>
      </c>
      <c r="R12358" s="180" t="s">
        <v>257</v>
      </c>
    </row>
    <row r="12359" spans="8:18" x14ac:dyDescent="0.2">
      <c r="H12359" s="180"/>
      <c r="P12359" s="180" t="s">
        <v>257</v>
      </c>
      <c r="R12359" s="180" t="s">
        <v>257</v>
      </c>
    </row>
    <row r="12360" spans="8:18" x14ac:dyDescent="0.2">
      <c r="H12360" s="180"/>
      <c r="P12360" s="180" t="s">
        <v>257</v>
      </c>
      <c r="R12360" s="180" t="s">
        <v>257</v>
      </c>
    </row>
    <row r="12361" spans="8:18" x14ac:dyDescent="0.2">
      <c r="H12361" s="180"/>
      <c r="P12361" s="180" t="s">
        <v>257</v>
      </c>
      <c r="R12361" s="180" t="s">
        <v>257</v>
      </c>
    </row>
    <row r="12362" spans="8:18" x14ac:dyDescent="0.2">
      <c r="H12362" s="180"/>
      <c r="P12362" s="180" t="s">
        <v>257</v>
      </c>
      <c r="R12362" s="180" t="s">
        <v>257</v>
      </c>
    </row>
    <row r="12363" spans="8:18" x14ac:dyDescent="0.2">
      <c r="H12363" s="180"/>
      <c r="P12363" s="180" t="s">
        <v>257</v>
      </c>
      <c r="R12363" s="180" t="s">
        <v>257</v>
      </c>
    </row>
    <row r="12364" spans="8:18" x14ac:dyDescent="0.2">
      <c r="H12364" s="180"/>
      <c r="P12364" s="180" t="s">
        <v>257</v>
      </c>
      <c r="R12364" s="180" t="s">
        <v>257</v>
      </c>
    </row>
    <row r="12365" spans="8:18" x14ac:dyDescent="0.2">
      <c r="H12365" s="180"/>
      <c r="P12365" s="180" t="s">
        <v>257</v>
      </c>
      <c r="R12365" s="180" t="s">
        <v>257</v>
      </c>
    </row>
    <row r="12366" spans="8:18" x14ac:dyDescent="0.2">
      <c r="H12366" s="180"/>
      <c r="P12366" s="180" t="s">
        <v>257</v>
      </c>
      <c r="R12366" s="180" t="s">
        <v>257</v>
      </c>
    </row>
    <row r="12367" spans="8:18" x14ac:dyDescent="0.2">
      <c r="H12367" s="180"/>
      <c r="P12367" s="180" t="s">
        <v>257</v>
      </c>
      <c r="R12367" s="180" t="s">
        <v>257</v>
      </c>
    </row>
    <row r="12368" spans="8:18" x14ac:dyDescent="0.2">
      <c r="H12368" s="180"/>
      <c r="P12368" s="180" t="s">
        <v>257</v>
      </c>
      <c r="R12368" s="180" t="s">
        <v>257</v>
      </c>
    </row>
    <row r="12369" spans="8:18" x14ac:dyDescent="0.2">
      <c r="H12369" s="180"/>
      <c r="P12369" s="180" t="s">
        <v>257</v>
      </c>
      <c r="R12369" s="180" t="s">
        <v>257</v>
      </c>
    </row>
    <row r="12370" spans="8:18" x14ac:dyDescent="0.2">
      <c r="H12370" s="180"/>
      <c r="P12370" s="180" t="s">
        <v>257</v>
      </c>
      <c r="R12370" s="180" t="s">
        <v>257</v>
      </c>
    </row>
    <row r="12371" spans="8:18" x14ac:dyDescent="0.2">
      <c r="H12371" s="180"/>
      <c r="P12371" s="180" t="s">
        <v>257</v>
      </c>
      <c r="R12371" s="180" t="s">
        <v>257</v>
      </c>
    </row>
    <row r="12372" spans="8:18" x14ac:dyDescent="0.2">
      <c r="H12372" s="180"/>
      <c r="P12372" s="180" t="s">
        <v>257</v>
      </c>
      <c r="R12372" s="180" t="s">
        <v>257</v>
      </c>
    </row>
    <row r="12373" spans="8:18" x14ac:dyDescent="0.2">
      <c r="H12373" s="180"/>
      <c r="P12373" s="180" t="s">
        <v>257</v>
      </c>
      <c r="R12373" s="180" t="s">
        <v>257</v>
      </c>
    </row>
    <row r="12374" spans="8:18" x14ac:dyDescent="0.2">
      <c r="H12374" s="180"/>
      <c r="P12374" s="180" t="s">
        <v>257</v>
      </c>
      <c r="R12374" s="180" t="s">
        <v>257</v>
      </c>
    </row>
    <row r="12375" spans="8:18" x14ac:dyDescent="0.2">
      <c r="H12375" s="180"/>
      <c r="P12375" s="180" t="s">
        <v>257</v>
      </c>
      <c r="R12375" s="180" t="s">
        <v>257</v>
      </c>
    </row>
    <row r="12376" spans="8:18" x14ac:dyDescent="0.2">
      <c r="H12376" s="180"/>
      <c r="P12376" s="180" t="s">
        <v>257</v>
      </c>
      <c r="R12376" s="180" t="s">
        <v>257</v>
      </c>
    </row>
    <row r="12377" spans="8:18" x14ac:dyDescent="0.2">
      <c r="H12377" s="180"/>
      <c r="P12377" s="180" t="s">
        <v>257</v>
      </c>
      <c r="R12377" s="180" t="s">
        <v>257</v>
      </c>
    </row>
    <row r="12378" spans="8:18" x14ac:dyDescent="0.2">
      <c r="H12378" s="180"/>
      <c r="P12378" s="180" t="s">
        <v>257</v>
      </c>
      <c r="R12378" s="180" t="s">
        <v>257</v>
      </c>
    </row>
    <row r="12379" spans="8:18" x14ac:dyDescent="0.2">
      <c r="H12379" s="180"/>
      <c r="P12379" s="180" t="s">
        <v>257</v>
      </c>
      <c r="R12379" s="180" t="s">
        <v>257</v>
      </c>
    </row>
    <row r="12380" spans="8:18" x14ac:dyDescent="0.2">
      <c r="H12380" s="180"/>
      <c r="P12380" s="180" t="s">
        <v>257</v>
      </c>
      <c r="R12380" s="180" t="s">
        <v>257</v>
      </c>
    </row>
    <row r="12381" spans="8:18" x14ac:dyDescent="0.2">
      <c r="H12381" s="180"/>
      <c r="P12381" s="180" t="s">
        <v>257</v>
      </c>
      <c r="R12381" s="180" t="s">
        <v>257</v>
      </c>
    </row>
    <row r="12382" spans="8:18" x14ac:dyDescent="0.2">
      <c r="H12382" s="180"/>
      <c r="P12382" s="180" t="s">
        <v>257</v>
      </c>
      <c r="R12382" s="180" t="s">
        <v>257</v>
      </c>
    </row>
    <row r="12383" spans="8:18" x14ac:dyDescent="0.2">
      <c r="H12383" s="180"/>
      <c r="P12383" s="180" t="s">
        <v>257</v>
      </c>
      <c r="R12383" s="180" t="s">
        <v>257</v>
      </c>
    </row>
    <row r="12384" spans="8:18" x14ac:dyDescent="0.2">
      <c r="H12384" s="180"/>
      <c r="P12384" s="180" t="s">
        <v>257</v>
      </c>
      <c r="R12384" s="180" t="s">
        <v>257</v>
      </c>
    </row>
    <row r="12385" spans="8:18" x14ac:dyDescent="0.2">
      <c r="H12385" s="180"/>
      <c r="P12385" s="180" t="s">
        <v>257</v>
      </c>
      <c r="R12385" s="180" t="s">
        <v>257</v>
      </c>
    </row>
    <row r="12386" spans="8:18" x14ac:dyDescent="0.2">
      <c r="H12386" s="180"/>
      <c r="P12386" s="180" t="s">
        <v>257</v>
      </c>
      <c r="R12386" s="180" t="s">
        <v>257</v>
      </c>
    </row>
    <row r="12387" spans="8:18" x14ac:dyDescent="0.2">
      <c r="H12387" s="180"/>
      <c r="P12387" s="180" t="s">
        <v>257</v>
      </c>
      <c r="R12387" s="180" t="s">
        <v>257</v>
      </c>
    </row>
    <row r="12388" spans="8:18" x14ac:dyDescent="0.2">
      <c r="H12388" s="180"/>
      <c r="P12388" s="180" t="s">
        <v>257</v>
      </c>
      <c r="R12388" s="180" t="s">
        <v>257</v>
      </c>
    </row>
    <row r="12389" spans="8:18" x14ac:dyDescent="0.2">
      <c r="H12389" s="180"/>
      <c r="P12389" s="180" t="s">
        <v>257</v>
      </c>
      <c r="R12389" s="180" t="s">
        <v>257</v>
      </c>
    </row>
    <row r="12390" spans="8:18" x14ac:dyDescent="0.2">
      <c r="H12390" s="180"/>
      <c r="P12390" s="180" t="s">
        <v>257</v>
      </c>
      <c r="R12390" s="180" t="s">
        <v>257</v>
      </c>
    </row>
    <row r="12391" spans="8:18" x14ac:dyDescent="0.2">
      <c r="H12391" s="180"/>
      <c r="P12391" s="180" t="s">
        <v>257</v>
      </c>
      <c r="R12391" s="180" t="s">
        <v>257</v>
      </c>
    </row>
    <row r="12392" spans="8:18" x14ac:dyDescent="0.2">
      <c r="H12392" s="180"/>
      <c r="P12392" s="180" t="s">
        <v>257</v>
      </c>
      <c r="R12392" s="180" t="s">
        <v>257</v>
      </c>
    </row>
    <row r="12393" spans="8:18" x14ac:dyDescent="0.2">
      <c r="H12393" s="180"/>
      <c r="P12393" s="180" t="s">
        <v>257</v>
      </c>
      <c r="R12393" s="180" t="s">
        <v>257</v>
      </c>
    </row>
    <row r="12394" spans="8:18" x14ac:dyDescent="0.2">
      <c r="H12394" s="180"/>
      <c r="P12394" s="180" t="s">
        <v>257</v>
      </c>
      <c r="R12394" s="180" t="s">
        <v>257</v>
      </c>
    </row>
    <row r="12395" spans="8:18" x14ac:dyDescent="0.2">
      <c r="H12395" s="180"/>
      <c r="P12395" s="180" t="s">
        <v>257</v>
      </c>
      <c r="R12395" s="180" t="s">
        <v>257</v>
      </c>
    </row>
    <row r="12396" spans="8:18" x14ac:dyDescent="0.2">
      <c r="H12396" s="180"/>
      <c r="P12396" s="180" t="s">
        <v>257</v>
      </c>
      <c r="R12396" s="180" t="s">
        <v>257</v>
      </c>
    </row>
    <row r="12397" spans="8:18" x14ac:dyDescent="0.2">
      <c r="H12397" s="180"/>
      <c r="P12397" s="180" t="s">
        <v>257</v>
      </c>
      <c r="R12397" s="180" t="s">
        <v>257</v>
      </c>
    </row>
    <row r="12398" spans="8:18" x14ac:dyDescent="0.2">
      <c r="H12398" s="180"/>
      <c r="P12398" s="180" t="s">
        <v>257</v>
      </c>
      <c r="R12398" s="180" t="s">
        <v>257</v>
      </c>
    </row>
    <row r="12399" spans="8:18" x14ac:dyDescent="0.2">
      <c r="H12399" s="180"/>
      <c r="P12399" s="180" t="s">
        <v>257</v>
      </c>
      <c r="R12399" s="180" t="s">
        <v>257</v>
      </c>
    </row>
    <row r="12400" spans="8:18" x14ac:dyDescent="0.2">
      <c r="H12400" s="180"/>
      <c r="P12400" s="180" t="s">
        <v>257</v>
      </c>
      <c r="R12400" s="180" t="s">
        <v>257</v>
      </c>
    </row>
    <row r="12401" spans="8:18" x14ac:dyDescent="0.2">
      <c r="H12401" s="180"/>
      <c r="P12401" s="180" t="s">
        <v>257</v>
      </c>
      <c r="R12401" s="180" t="s">
        <v>257</v>
      </c>
    </row>
    <row r="12402" spans="8:18" x14ac:dyDescent="0.2">
      <c r="H12402" s="180"/>
      <c r="P12402" s="180" t="s">
        <v>257</v>
      </c>
      <c r="R12402" s="180" t="s">
        <v>257</v>
      </c>
    </row>
    <row r="12403" spans="8:18" x14ac:dyDescent="0.2">
      <c r="H12403" s="180"/>
      <c r="P12403" s="180" t="s">
        <v>257</v>
      </c>
      <c r="R12403" s="180" t="s">
        <v>257</v>
      </c>
    </row>
    <row r="12404" spans="8:18" x14ac:dyDescent="0.2">
      <c r="H12404" s="180"/>
      <c r="P12404" s="180" t="s">
        <v>257</v>
      </c>
      <c r="R12404" s="180" t="s">
        <v>257</v>
      </c>
    </row>
    <row r="12405" spans="8:18" x14ac:dyDescent="0.2">
      <c r="H12405" s="180"/>
      <c r="P12405" s="180" t="s">
        <v>257</v>
      </c>
      <c r="R12405" s="180" t="s">
        <v>257</v>
      </c>
    </row>
    <row r="12406" spans="8:18" x14ac:dyDescent="0.2">
      <c r="H12406" s="180"/>
      <c r="P12406" s="180" t="s">
        <v>257</v>
      </c>
      <c r="R12406" s="180" t="s">
        <v>257</v>
      </c>
    </row>
    <row r="12407" spans="8:18" x14ac:dyDescent="0.2">
      <c r="H12407" s="180"/>
      <c r="P12407" s="180" t="s">
        <v>257</v>
      </c>
      <c r="R12407" s="180" t="s">
        <v>257</v>
      </c>
    </row>
    <row r="12408" spans="8:18" x14ac:dyDescent="0.2">
      <c r="H12408" s="180"/>
      <c r="P12408" s="180" t="s">
        <v>257</v>
      </c>
      <c r="R12408" s="180" t="s">
        <v>257</v>
      </c>
    </row>
    <row r="12409" spans="8:18" x14ac:dyDescent="0.2">
      <c r="H12409" s="180"/>
      <c r="P12409" s="180" t="s">
        <v>257</v>
      </c>
      <c r="R12409" s="180" t="s">
        <v>257</v>
      </c>
    </row>
    <row r="12410" spans="8:18" x14ac:dyDescent="0.2">
      <c r="H12410" s="180"/>
      <c r="P12410" s="180" t="s">
        <v>257</v>
      </c>
      <c r="R12410" s="180" t="s">
        <v>257</v>
      </c>
    </row>
    <row r="12411" spans="8:18" x14ac:dyDescent="0.2">
      <c r="H12411" s="180"/>
      <c r="P12411" s="180" t="s">
        <v>257</v>
      </c>
      <c r="R12411" s="180" t="s">
        <v>257</v>
      </c>
    </row>
    <row r="12412" spans="8:18" x14ac:dyDescent="0.2">
      <c r="H12412" s="180"/>
      <c r="P12412" s="180" t="s">
        <v>257</v>
      </c>
      <c r="R12412" s="180" t="s">
        <v>257</v>
      </c>
    </row>
    <row r="12413" spans="8:18" x14ac:dyDescent="0.2">
      <c r="H12413" s="180"/>
      <c r="P12413" s="180" t="s">
        <v>257</v>
      </c>
      <c r="R12413" s="180" t="s">
        <v>257</v>
      </c>
    </row>
    <row r="12414" spans="8:18" x14ac:dyDescent="0.2">
      <c r="H12414" s="180"/>
      <c r="P12414" s="180" t="s">
        <v>257</v>
      </c>
      <c r="R12414" s="180" t="s">
        <v>257</v>
      </c>
    </row>
    <row r="12415" spans="8:18" x14ac:dyDescent="0.2">
      <c r="H12415" s="180"/>
      <c r="P12415" s="180" t="s">
        <v>257</v>
      </c>
      <c r="R12415" s="180" t="s">
        <v>257</v>
      </c>
    </row>
    <row r="12416" spans="8:18" x14ac:dyDescent="0.2">
      <c r="H12416" s="180"/>
      <c r="P12416" s="180" t="s">
        <v>257</v>
      </c>
      <c r="R12416" s="180" t="s">
        <v>257</v>
      </c>
    </row>
    <row r="12417" spans="8:18" x14ac:dyDescent="0.2">
      <c r="H12417" s="180"/>
      <c r="P12417" s="180" t="s">
        <v>257</v>
      </c>
      <c r="R12417" s="180" t="s">
        <v>257</v>
      </c>
    </row>
    <row r="12418" spans="8:18" x14ac:dyDescent="0.2">
      <c r="H12418" s="180"/>
      <c r="P12418" s="180" t="s">
        <v>257</v>
      </c>
      <c r="R12418" s="180" t="s">
        <v>257</v>
      </c>
    </row>
    <row r="12419" spans="8:18" x14ac:dyDescent="0.2">
      <c r="H12419" s="180"/>
      <c r="P12419" s="180" t="s">
        <v>257</v>
      </c>
      <c r="R12419" s="180" t="s">
        <v>257</v>
      </c>
    </row>
    <row r="12420" spans="8:18" x14ac:dyDescent="0.2">
      <c r="H12420" s="180"/>
      <c r="P12420" s="180" t="s">
        <v>257</v>
      </c>
      <c r="R12420" s="180" t="s">
        <v>257</v>
      </c>
    </row>
    <row r="12421" spans="8:18" x14ac:dyDescent="0.2">
      <c r="H12421" s="180"/>
      <c r="P12421" s="180" t="s">
        <v>257</v>
      </c>
      <c r="R12421" s="180" t="s">
        <v>257</v>
      </c>
    </row>
    <row r="12422" spans="8:18" x14ac:dyDescent="0.2">
      <c r="H12422" s="180"/>
      <c r="P12422" s="180" t="s">
        <v>257</v>
      </c>
      <c r="R12422" s="180" t="s">
        <v>257</v>
      </c>
    </row>
    <row r="12423" spans="8:18" x14ac:dyDescent="0.2">
      <c r="H12423" s="180"/>
      <c r="P12423" s="180" t="s">
        <v>257</v>
      </c>
      <c r="R12423" s="180" t="s">
        <v>257</v>
      </c>
    </row>
    <row r="12424" spans="8:18" x14ac:dyDescent="0.2">
      <c r="H12424" s="180"/>
      <c r="P12424" s="180" t="s">
        <v>257</v>
      </c>
      <c r="R12424" s="180" t="s">
        <v>257</v>
      </c>
    </row>
    <row r="12425" spans="8:18" x14ac:dyDescent="0.2">
      <c r="H12425" s="180"/>
      <c r="P12425" s="180" t="s">
        <v>257</v>
      </c>
      <c r="R12425" s="180" t="s">
        <v>257</v>
      </c>
    </row>
    <row r="12426" spans="8:18" x14ac:dyDescent="0.2">
      <c r="H12426" s="180"/>
      <c r="P12426" s="180" t="s">
        <v>257</v>
      </c>
      <c r="R12426" s="180" t="s">
        <v>257</v>
      </c>
    </row>
    <row r="12427" spans="8:18" x14ac:dyDescent="0.2">
      <c r="H12427" s="180"/>
      <c r="P12427" s="180" t="s">
        <v>257</v>
      </c>
      <c r="R12427" s="180" t="s">
        <v>257</v>
      </c>
    </row>
    <row r="12428" spans="8:18" x14ac:dyDescent="0.2">
      <c r="H12428" s="180"/>
      <c r="P12428" s="180" t="s">
        <v>257</v>
      </c>
      <c r="R12428" s="180" t="s">
        <v>257</v>
      </c>
    </row>
    <row r="12429" spans="8:18" x14ac:dyDescent="0.2">
      <c r="H12429" s="180"/>
      <c r="P12429" s="180" t="s">
        <v>257</v>
      </c>
      <c r="R12429" s="180" t="s">
        <v>257</v>
      </c>
    </row>
    <row r="12430" spans="8:18" x14ac:dyDescent="0.2">
      <c r="H12430" s="180"/>
      <c r="P12430" s="180" t="s">
        <v>257</v>
      </c>
      <c r="R12430" s="180" t="s">
        <v>257</v>
      </c>
    </row>
    <row r="12431" spans="8:18" x14ac:dyDescent="0.2">
      <c r="H12431" s="180"/>
      <c r="P12431" s="180" t="s">
        <v>257</v>
      </c>
      <c r="R12431" s="180" t="s">
        <v>257</v>
      </c>
    </row>
    <row r="12432" spans="8:18" x14ac:dyDescent="0.2">
      <c r="H12432" s="180"/>
      <c r="P12432" s="180" t="s">
        <v>257</v>
      </c>
      <c r="R12432" s="180" t="s">
        <v>257</v>
      </c>
    </row>
    <row r="12433" spans="8:18" x14ac:dyDescent="0.2">
      <c r="H12433" s="180"/>
      <c r="P12433" s="180" t="s">
        <v>257</v>
      </c>
      <c r="R12433" s="180" t="s">
        <v>257</v>
      </c>
    </row>
    <row r="12434" spans="8:18" x14ac:dyDescent="0.2">
      <c r="H12434" s="180"/>
      <c r="P12434" s="180" t="s">
        <v>257</v>
      </c>
      <c r="R12434" s="180" t="s">
        <v>257</v>
      </c>
    </row>
    <row r="12435" spans="8:18" x14ac:dyDescent="0.2">
      <c r="H12435" s="180"/>
      <c r="P12435" s="180" t="s">
        <v>257</v>
      </c>
      <c r="R12435" s="180" t="s">
        <v>257</v>
      </c>
    </row>
    <row r="12436" spans="8:18" x14ac:dyDescent="0.2">
      <c r="H12436" s="180"/>
      <c r="P12436" s="180" t="s">
        <v>257</v>
      </c>
      <c r="R12436" s="180" t="s">
        <v>257</v>
      </c>
    </row>
    <row r="12437" spans="8:18" x14ac:dyDescent="0.2">
      <c r="H12437" s="180"/>
      <c r="P12437" s="180" t="s">
        <v>257</v>
      </c>
      <c r="R12437" s="180" t="s">
        <v>257</v>
      </c>
    </row>
    <row r="12438" spans="8:18" x14ac:dyDescent="0.2">
      <c r="H12438" s="180"/>
      <c r="P12438" s="180" t="s">
        <v>257</v>
      </c>
      <c r="R12438" s="180" t="s">
        <v>257</v>
      </c>
    </row>
    <row r="12439" spans="8:18" x14ac:dyDescent="0.2">
      <c r="H12439" s="180"/>
      <c r="P12439" s="180" t="s">
        <v>257</v>
      </c>
      <c r="R12439" s="180" t="s">
        <v>257</v>
      </c>
    </row>
    <row r="12440" spans="8:18" x14ac:dyDescent="0.2">
      <c r="H12440" s="180"/>
      <c r="P12440" s="180" t="s">
        <v>257</v>
      </c>
      <c r="R12440" s="180" t="s">
        <v>257</v>
      </c>
    </row>
    <row r="12441" spans="8:18" x14ac:dyDescent="0.2">
      <c r="H12441" s="180"/>
      <c r="P12441" s="180" t="s">
        <v>257</v>
      </c>
      <c r="R12441" s="180" t="s">
        <v>257</v>
      </c>
    </row>
    <row r="12442" spans="8:18" x14ac:dyDescent="0.2">
      <c r="H12442" s="180"/>
      <c r="P12442" s="180" t="s">
        <v>257</v>
      </c>
      <c r="R12442" s="180" t="s">
        <v>257</v>
      </c>
    </row>
    <row r="12443" spans="8:18" x14ac:dyDescent="0.2">
      <c r="H12443" s="180"/>
      <c r="P12443" s="180" t="s">
        <v>257</v>
      </c>
      <c r="R12443" s="180" t="s">
        <v>257</v>
      </c>
    </row>
    <row r="12444" spans="8:18" x14ac:dyDescent="0.2">
      <c r="H12444" s="180"/>
      <c r="P12444" s="180" t="s">
        <v>257</v>
      </c>
      <c r="R12444" s="180" t="s">
        <v>257</v>
      </c>
    </row>
    <row r="12445" spans="8:18" x14ac:dyDescent="0.2">
      <c r="H12445" s="180"/>
      <c r="P12445" s="180" t="s">
        <v>257</v>
      </c>
      <c r="R12445" s="180" t="s">
        <v>257</v>
      </c>
    </row>
    <row r="12446" spans="8:18" x14ac:dyDescent="0.2">
      <c r="H12446" s="180"/>
      <c r="P12446" s="180" t="s">
        <v>257</v>
      </c>
      <c r="R12446" s="180" t="s">
        <v>257</v>
      </c>
    </row>
    <row r="12447" spans="8:18" x14ac:dyDescent="0.2">
      <c r="H12447" s="180"/>
      <c r="P12447" s="180" t="s">
        <v>257</v>
      </c>
      <c r="R12447" s="180" t="s">
        <v>257</v>
      </c>
    </row>
    <row r="12448" spans="8:18" x14ac:dyDescent="0.2">
      <c r="H12448" s="180"/>
      <c r="P12448" s="180" t="s">
        <v>257</v>
      </c>
      <c r="R12448" s="180" t="s">
        <v>257</v>
      </c>
    </row>
    <row r="12449" spans="8:18" x14ac:dyDescent="0.2">
      <c r="H12449" s="180"/>
      <c r="P12449" s="180" t="s">
        <v>257</v>
      </c>
      <c r="R12449" s="180" t="s">
        <v>257</v>
      </c>
    </row>
    <row r="12450" spans="8:18" x14ac:dyDescent="0.2">
      <c r="H12450" s="180"/>
      <c r="P12450" s="180" t="s">
        <v>257</v>
      </c>
      <c r="R12450" s="180" t="s">
        <v>257</v>
      </c>
    </row>
    <row r="12451" spans="8:18" x14ac:dyDescent="0.2">
      <c r="H12451" s="180"/>
      <c r="P12451" s="180" t="s">
        <v>257</v>
      </c>
      <c r="R12451" s="180" t="s">
        <v>257</v>
      </c>
    </row>
    <row r="12452" spans="8:18" x14ac:dyDescent="0.2">
      <c r="H12452" s="180"/>
      <c r="P12452" s="180" t="s">
        <v>257</v>
      </c>
      <c r="R12452" s="180" t="s">
        <v>257</v>
      </c>
    </row>
    <row r="12453" spans="8:18" x14ac:dyDescent="0.2">
      <c r="H12453" s="180"/>
      <c r="P12453" s="180" t="s">
        <v>257</v>
      </c>
      <c r="R12453" s="180" t="s">
        <v>257</v>
      </c>
    </row>
    <row r="12454" spans="8:18" x14ac:dyDescent="0.2">
      <c r="H12454" s="180"/>
      <c r="P12454" s="180" t="s">
        <v>257</v>
      </c>
      <c r="R12454" s="180" t="s">
        <v>257</v>
      </c>
    </row>
    <row r="12455" spans="8:18" x14ac:dyDescent="0.2">
      <c r="H12455" s="180"/>
      <c r="P12455" s="180" t="s">
        <v>257</v>
      </c>
      <c r="R12455" s="180" t="s">
        <v>257</v>
      </c>
    </row>
    <row r="12456" spans="8:18" x14ac:dyDescent="0.2">
      <c r="H12456" s="180"/>
      <c r="P12456" s="180" t="s">
        <v>257</v>
      </c>
      <c r="R12456" s="180" t="s">
        <v>257</v>
      </c>
    </row>
    <row r="12457" spans="8:18" x14ac:dyDescent="0.2">
      <c r="H12457" s="180"/>
      <c r="P12457" s="180" t="s">
        <v>257</v>
      </c>
      <c r="R12457" s="180" t="s">
        <v>257</v>
      </c>
    </row>
    <row r="12458" spans="8:18" x14ac:dyDescent="0.2">
      <c r="H12458" s="180"/>
      <c r="P12458" s="180" t="s">
        <v>257</v>
      </c>
      <c r="R12458" s="180" t="s">
        <v>257</v>
      </c>
    </row>
    <row r="12459" spans="8:18" x14ac:dyDescent="0.2">
      <c r="H12459" s="180"/>
      <c r="P12459" s="180" t="s">
        <v>257</v>
      </c>
      <c r="R12459" s="180" t="s">
        <v>257</v>
      </c>
    </row>
    <row r="12460" spans="8:18" x14ac:dyDescent="0.2">
      <c r="H12460" s="180"/>
      <c r="P12460" s="180" t="s">
        <v>257</v>
      </c>
      <c r="R12460" s="180" t="s">
        <v>257</v>
      </c>
    </row>
    <row r="12461" spans="8:18" x14ac:dyDescent="0.2">
      <c r="H12461" s="180"/>
      <c r="P12461" s="180" t="s">
        <v>257</v>
      </c>
      <c r="R12461" s="180" t="s">
        <v>257</v>
      </c>
    </row>
    <row r="12462" spans="8:18" x14ac:dyDescent="0.2">
      <c r="H12462" s="180"/>
      <c r="P12462" s="180" t="s">
        <v>257</v>
      </c>
      <c r="R12462" s="180" t="s">
        <v>257</v>
      </c>
    </row>
    <row r="12463" spans="8:18" x14ac:dyDescent="0.2">
      <c r="H12463" s="180"/>
      <c r="P12463" s="180" t="s">
        <v>257</v>
      </c>
      <c r="R12463" s="180" t="s">
        <v>257</v>
      </c>
    </row>
    <row r="12464" spans="8:18" x14ac:dyDescent="0.2">
      <c r="H12464" s="180"/>
      <c r="P12464" s="180" t="s">
        <v>257</v>
      </c>
      <c r="R12464" s="180" t="s">
        <v>257</v>
      </c>
    </row>
    <row r="12465" spans="8:18" x14ac:dyDescent="0.2">
      <c r="H12465" s="180"/>
      <c r="P12465" s="180" t="s">
        <v>257</v>
      </c>
      <c r="R12465" s="180" t="s">
        <v>257</v>
      </c>
    </row>
    <row r="12466" spans="8:18" x14ac:dyDescent="0.2">
      <c r="H12466" s="180"/>
      <c r="P12466" s="180" t="s">
        <v>257</v>
      </c>
      <c r="R12466" s="180" t="s">
        <v>257</v>
      </c>
    </row>
    <row r="12467" spans="8:18" x14ac:dyDescent="0.2">
      <c r="H12467" s="180"/>
      <c r="P12467" s="180" t="s">
        <v>257</v>
      </c>
      <c r="R12467" s="180" t="s">
        <v>257</v>
      </c>
    </row>
    <row r="12468" spans="8:18" x14ac:dyDescent="0.2">
      <c r="H12468" s="180"/>
      <c r="P12468" s="180" t="s">
        <v>257</v>
      </c>
      <c r="R12468" s="180" t="s">
        <v>257</v>
      </c>
    </row>
    <row r="12469" spans="8:18" x14ac:dyDescent="0.2">
      <c r="H12469" s="180"/>
      <c r="P12469" s="180" t="s">
        <v>257</v>
      </c>
      <c r="R12469" s="180" t="s">
        <v>257</v>
      </c>
    </row>
    <row r="12470" spans="8:18" x14ac:dyDescent="0.2">
      <c r="H12470" s="180"/>
      <c r="P12470" s="180" t="s">
        <v>257</v>
      </c>
      <c r="R12470" s="180" t="s">
        <v>257</v>
      </c>
    </row>
    <row r="12471" spans="8:18" x14ac:dyDescent="0.2">
      <c r="H12471" s="180"/>
      <c r="P12471" s="180" t="s">
        <v>257</v>
      </c>
      <c r="R12471" s="180" t="s">
        <v>257</v>
      </c>
    </row>
    <row r="12472" spans="8:18" x14ac:dyDescent="0.2">
      <c r="H12472" s="180"/>
      <c r="P12472" s="180" t="s">
        <v>257</v>
      </c>
      <c r="R12472" s="180" t="s">
        <v>257</v>
      </c>
    </row>
    <row r="12473" spans="8:18" x14ac:dyDescent="0.2">
      <c r="H12473" s="180"/>
      <c r="P12473" s="180" t="s">
        <v>257</v>
      </c>
      <c r="R12473" s="180" t="s">
        <v>257</v>
      </c>
    </row>
    <row r="12474" spans="8:18" x14ac:dyDescent="0.2">
      <c r="H12474" s="180"/>
      <c r="P12474" s="180" t="s">
        <v>257</v>
      </c>
      <c r="R12474" s="180" t="s">
        <v>257</v>
      </c>
    </row>
    <row r="12475" spans="8:18" x14ac:dyDescent="0.2">
      <c r="H12475" s="180"/>
      <c r="P12475" s="180" t="s">
        <v>257</v>
      </c>
      <c r="R12475" s="180" t="s">
        <v>257</v>
      </c>
    </row>
    <row r="12476" spans="8:18" x14ac:dyDescent="0.2">
      <c r="H12476" s="180"/>
      <c r="P12476" s="180" t="s">
        <v>257</v>
      </c>
      <c r="R12476" s="180" t="s">
        <v>257</v>
      </c>
    </row>
    <row r="12477" spans="8:18" x14ac:dyDescent="0.2">
      <c r="H12477" s="180"/>
      <c r="P12477" s="180" t="s">
        <v>257</v>
      </c>
      <c r="R12477" s="180" t="s">
        <v>257</v>
      </c>
    </row>
    <row r="12478" spans="8:18" x14ac:dyDescent="0.2">
      <c r="H12478" s="180"/>
      <c r="P12478" s="180" t="s">
        <v>257</v>
      </c>
      <c r="R12478" s="180" t="s">
        <v>257</v>
      </c>
    </row>
    <row r="12479" spans="8:18" x14ac:dyDescent="0.2">
      <c r="H12479" s="180"/>
      <c r="P12479" s="180" t="s">
        <v>257</v>
      </c>
      <c r="R12479" s="180" t="s">
        <v>257</v>
      </c>
    </row>
    <row r="12480" spans="8:18" x14ac:dyDescent="0.2">
      <c r="H12480" s="180"/>
      <c r="P12480" s="180" t="s">
        <v>257</v>
      </c>
      <c r="R12480" s="180" t="s">
        <v>257</v>
      </c>
    </row>
    <row r="12481" spans="8:18" x14ac:dyDescent="0.2">
      <c r="H12481" s="180"/>
      <c r="P12481" s="180" t="s">
        <v>257</v>
      </c>
      <c r="R12481" s="180" t="s">
        <v>257</v>
      </c>
    </row>
    <row r="12482" spans="8:18" x14ac:dyDescent="0.2">
      <c r="H12482" s="180"/>
      <c r="P12482" s="180" t="s">
        <v>257</v>
      </c>
      <c r="R12482" s="180" t="s">
        <v>257</v>
      </c>
    </row>
    <row r="12483" spans="8:18" x14ac:dyDescent="0.2">
      <c r="H12483" s="180"/>
      <c r="P12483" s="180" t="s">
        <v>257</v>
      </c>
      <c r="R12483" s="180" t="s">
        <v>257</v>
      </c>
    </row>
    <row r="12484" spans="8:18" x14ac:dyDescent="0.2">
      <c r="H12484" s="180"/>
      <c r="P12484" s="180" t="s">
        <v>257</v>
      </c>
      <c r="R12484" s="180" t="s">
        <v>257</v>
      </c>
    </row>
    <row r="12485" spans="8:18" x14ac:dyDescent="0.2">
      <c r="H12485" s="180"/>
      <c r="P12485" s="180" t="s">
        <v>257</v>
      </c>
      <c r="R12485" s="180" t="s">
        <v>257</v>
      </c>
    </row>
    <row r="12486" spans="8:18" x14ac:dyDescent="0.2">
      <c r="H12486" s="180"/>
      <c r="P12486" s="180" t="s">
        <v>257</v>
      </c>
      <c r="R12486" s="180" t="s">
        <v>257</v>
      </c>
    </row>
    <row r="12487" spans="8:18" x14ac:dyDescent="0.2">
      <c r="H12487" s="180"/>
      <c r="P12487" s="180" t="s">
        <v>257</v>
      </c>
      <c r="R12487" s="180" t="s">
        <v>257</v>
      </c>
    </row>
    <row r="12488" spans="8:18" x14ac:dyDescent="0.2">
      <c r="H12488" s="180"/>
      <c r="P12488" s="180" t="s">
        <v>257</v>
      </c>
      <c r="R12488" s="180" t="s">
        <v>257</v>
      </c>
    </row>
    <row r="12489" spans="8:18" x14ac:dyDescent="0.2">
      <c r="H12489" s="180"/>
      <c r="P12489" s="180" t="s">
        <v>257</v>
      </c>
      <c r="R12489" s="180" t="s">
        <v>257</v>
      </c>
    </row>
    <row r="12490" spans="8:18" x14ac:dyDescent="0.2">
      <c r="H12490" s="180"/>
      <c r="P12490" s="180" t="s">
        <v>257</v>
      </c>
      <c r="R12490" s="180" t="s">
        <v>257</v>
      </c>
    </row>
    <row r="12491" spans="8:18" x14ac:dyDescent="0.2">
      <c r="H12491" s="180"/>
      <c r="P12491" s="180" t="s">
        <v>257</v>
      </c>
      <c r="R12491" s="180" t="s">
        <v>257</v>
      </c>
    </row>
    <row r="12492" spans="8:18" x14ac:dyDescent="0.2">
      <c r="H12492" s="180"/>
      <c r="P12492" s="180" t="s">
        <v>257</v>
      </c>
      <c r="R12492" s="180" t="s">
        <v>257</v>
      </c>
    </row>
    <row r="12493" spans="8:18" x14ac:dyDescent="0.2">
      <c r="H12493" s="180"/>
      <c r="P12493" s="180" t="s">
        <v>257</v>
      </c>
      <c r="R12493" s="180" t="s">
        <v>257</v>
      </c>
    </row>
    <row r="12494" spans="8:18" x14ac:dyDescent="0.2">
      <c r="H12494" s="180"/>
      <c r="P12494" s="180" t="s">
        <v>257</v>
      </c>
      <c r="R12494" s="180" t="s">
        <v>257</v>
      </c>
    </row>
    <row r="12495" spans="8:18" x14ac:dyDescent="0.2">
      <c r="H12495" s="180"/>
      <c r="P12495" s="180" t="s">
        <v>257</v>
      </c>
      <c r="R12495" s="180" t="s">
        <v>257</v>
      </c>
    </row>
    <row r="12496" spans="8:18" x14ac:dyDescent="0.2">
      <c r="H12496" s="180"/>
      <c r="P12496" s="180" t="s">
        <v>257</v>
      </c>
      <c r="R12496" s="180" t="s">
        <v>257</v>
      </c>
    </row>
    <row r="12497" spans="8:18" x14ac:dyDescent="0.2">
      <c r="H12497" s="180"/>
      <c r="P12497" s="180" t="s">
        <v>257</v>
      </c>
      <c r="R12497" s="180" t="s">
        <v>257</v>
      </c>
    </row>
    <row r="12498" spans="8:18" x14ac:dyDescent="0.2">
      <c r="H12498" s="180"/>
      <c r="P12498" s="180" t="s">
        <v>257</v>
      </c>
      <c r="R12498" s="180" t="s">
        <v>257</v>
      </c>
    </row>
    <row r="12499" spans="8:18" x14ac:dyDescent="0.2">
      <c r="H12499" s="180"/>
      <c r="P12499" s="180" t="s">
        <v>257</v>
      </c>
      <c r="R12499" s="180" t="s">
        <v>257</v>
      </c>
    </row>
    <row r="12500" spans="8:18" x14ac:dyDescent="0.2">
      <c r="H12500" s="180"/>
      <c r="P12500" s="180" t="s">
        <v>257</v>
      </c>
      <c r="R12500" s="180" t="s">
        <v>257</v>
      </c>
    </row>
    <row r="12501" spans="8:18" x14ac:dyDescent="0.2">
      <c r="H12501" s="180"/>
      <c r="P12501" s="180" t="s">
        <v>257</v>
      </c>
      <c r="R12501" s="180" t="s">
        <v>257</v>
      </c>
    </row>
    <row r="12502" spans="8:18" x14ac:dyDescent="0.2">
      <c r="H12502" s="180"/>
      <c r="P12502" s="180" t="s">
        <v>257</v>
      </c>
      <c r="R12502" s="180" t="s">
        <v>257</v>
      </c>
    </row>
    <row r="12503" spans="8:18" x14ac:dyDescent="0.2">
      <c r="H12503" s="180"/>
      <c r="P12503" s="180" t="s">
        <v>257</v>
      </c>
      <c r="R12503" s="180" t="s">
        <v>257</v>
      </c>
    </row>
    <row r="12504" spans="8:18" x14ac:dyDescent="0.2">
      <c r="H12504" s="180"/>
      <c r="P12504" s="180" t="s">
        <v>257</v>
      </c>
      <c r="R12504" s="180" t="s">
        <v>257</v>
      </c>
    </row>
    <row r="12505" spans="8:18" x14ac:dyDescent="0.2">
      <c r="H12505" s="180"/>
      <c r="P12505" s="180" t="s">
        <v>257</v>
      </c>
      <c r="R12505" s="180" t="s">
        <v>257</v>
      </c>
    </row>
    <row r="12506" spans="8:18" x14ac:dyDescent="0.2">
      <c r="H12506" s="180"/>
      <c r="P12506" s="180" t="s">
        <v>257</v>
      </c>
      <c r="R12506" s="180" t="s">
        <v>257</v>
      </c>
    </row>
    <row r="12507" spans="8:18" x14ac:dyDescent="0.2">
      <c r="H12507" s="180"/>
      <c r="P12507" s="180" t="s">
        <v>257</v>
      </c>
      <c r="R12507" s="180" t="s">
        <v>257</v>
      </c>
    </row>
    <row r="12508" spans="8:18" x14ac:dyDescent="0.2">
      <c r="H12508" s="180"/>
      <c r="P12508" s="180" t="s">
        <v>257</v>
      </c>
      <c r="R12508" s="180" t="s">
        <v>257</v>
      </c>
    </row>
    <row r="12509" spans="8:18" x14ac:dyDescent="0.2">
      <c r="H12509" s="180"/>
      <c r="P12509" s="180" t="s">
        <v>257</v>
      </c>
      <c r="R12509" s="180" t="s">
        <v>257</v>
      </c>
    </row>
    <row r="12510" spans="8:18" x14ac:dyDescent="0.2">
      <c r="H12510" s="180"/>
      <c r="P12510" s="180" t="s">
        <v>257</v>
      </c>
      <c r="R12510" s="180" t="s">
        <v>257</v>
      </c>
    </row>
    <row r="12511" spans="8:18" x14ac:dyDescent="0.2">
      <c r="H12511" s="180"/>
      <c r="P12511" s="180" t="s">
        <v>257</v>
      </c>
      <c r="R12511" s="180" t="s">
        <v>257</v>
      </c>
    </row>
    <row r="12512" spans="8:18" x14ac:dyDescent="0.2">
      <c r="H12512" s="180"/>
      <c r="P12512" s="180" t="s">
        <v>257</v>
      </c>
      <c r="R12512" s="180" t="s">
        <v>257</v>
      </c>
    </row>
    <row r="12513" spans="8:18" x14ac:dyDescent="0.2">
      <c r="H12513" s="180"/>
      <c r="P12513" s="180" t="s">
        <v>257</v>
      </c>
      <c r="R12513" s="180" t="s">
        <v>257</v>
      </c>
    </row>
    <row r="12514" spans="8:18" x14ac:dyDescent="0.2">
      <c r="H12514" s="180"/>
      <c r="P12514" s="180" t="s">
        <v>257</v>
      </c>
      <c r="R12514" s="180" t="s">
        <v>257</v>
      </c>
    </row>
    <row r="12515" spans="8:18" x14ac:dyDescent="0.2">
      <c r="H12515" s="180"/>
      <c r="P12515" s="180" t="s">
        <v>257</v>
      </c>
      <c r="R12515" s="180" t="s">
        <v>257</v>
      </c>
    </row>
    <row r="12516" spans="8:18" x14ac:dyDescent="0.2">
      <c r="H12516" s="180"/>
      <c r="P12516" s="180" t="s">
        <v>257</v>
      </c>
      <c r="R12516" s="180" t="s">
        <v>257</v>
      </c>
    </row>
    <row r="12517" spans="8:18" x14ac:dyDescent="0.2">
      <c r="H12517" s="180"/>
      <c r="P12517" s="180" t="s">
        <v>257</v>
      </c>
      <c r="R12517" s="180" t="s">
        <v>257</v>
      </c>
    </row>
    <row r="12518" spans="8:18" x14ac:dyDescent="0.2">
      <c r="H12518" s="180"/>
      <c r="P12518" s="180" t="s">
        <v>257</v>
      </c>
      <c r="R12518" s="180" t="s">
        <v>257</v>
      </c>
    </row>
    <row r="12519" spans="8:18" x14ac:dyDescent="0.2">
      <c r="H12519" s="180"/>
      <c r="P12519" s="180" t="s">
        <v>257</v>
      </c>
      <c r="R12519" s="180" t="s">
        <v>257</v>
      </c>
    </row>
    <row r="12520" spans="8:18" x14ac:dyDescent="0.2">
      <c r="H12520" s="180"/>
      <c r="P12520" s="180" t="s">
        <v>257</v>
      </c>
      <c r="R12520" s="180" t="s">
        <v>257</v>
      </c>
    </row>
    <row r="12521" spans="8:18" x14ac:dyDescent="0.2">
      <c r="H12521" s="180"/>
      <c r="P12521" s="180" t="s">
        <v>257</v>
      </c>
      <c r="R12521" s="180" t="s">
        <v>257</v>
      </c>
    </row>
    <row r="12522" spans="8:18" x14ac:dyDescent="0.2">
      <c r="H12522" s="180"/>
      <c r="P12522" s="180" t="s">
        <v>257</v>
      </c>
      <c r="R12522" s="180" t="s">
        <v>257</v>
      </c>
    </row>
    <row r="12523" spans="8:18" x14ac:dyDescent="0.2">
      <c r="H12523" s="180"/>
      <c r="P12523" s="180" t="s">
        <v>257</v>
      </c>
      <c r="R12523" s="180" t="s">
        <v>257</v>
      </c>
    </row>
    <row r="12524" spans="8:18" x14ac:dyDescent="0.2">
      <c r="H12524" s="180"/>
      <c r="P12524" s="180" t="s">
        <v>257</v>
      </c>
      <c r="R12524" s="180" t="s">
        <v>257</v>
      </c>
    </row>
    <row r="12525" spans="8:18" x14ac:dyDescent="0.2">
      <c r="H12525" s="180"/>
      <c r="P12525" s="180" t="s">
        <v>257</v>
      </c>
      <c r="R12525" s="180" t="s">
        <v>257</v>
      </c>
    </row>
    <row r="12526" spans="8:18" x14ac:dyDescent="0.2">
      <c r="H12526" s="180"/>
      <c r="P12526" s="180" t="s">
        <v>257</v>
      </c>
      <c r="R12526" s="180" t="s">
        <v>257</v>
      </c>
    </row>
    <row r="12527" spans="8:18" x14ac:dyDescent="0.2">
      <c r="H12527" s="180"/>
      <c r="P12527" s="180" t="s">
        <v>257</v>
      </c>
      <c r="R12527" s="180" t="s">
        <v>257</v>
      </c>
    </row>
    <row r="12528" spans="8:18" x14ac:dyDescent="0.2">
      <c r="H12528" s="180"/>
      <c r="P12528" s="180" t="s">
        <v>257</v>
      </c>
      <c r="R12528" s="180" t="s">
        <v>257</v>
      </c>
    </row>
    <row r="12529" spans="8:18" x14ac:dyDescent="0.2">
      <c r="H12529" s="180"/>
      <c r="P12529" s="180" t="s">
        <v>257</v>
      </c>
      <c r="R12529" s="180" t="s">
        <v>257</v>
      </c>
    </row>
    <row r="12530" spans="8:18" x14ac:dyDescent="0.2">
      <c r="H12530" s="180"/>
      <c r="P12530" s="180" t="s">
        <v>257</v>
      </c>
      <c r="R12530" s="180" t="s">
        <v>257</v>
      </c>
    </row>
    <row r="12531" spans="8:18" x14ac:dyDescent="0.2">
      <c r="H12531" s="180"/>
      <c r="P12531" s="180" t="s">
        <v>257</v>
      </c>
      <c r="R12531" s="180" t="s">
        <v>257</v>
      </c>
    </row>
    <row r="12532" spans="8:18" x14ac:dyDescent="0.2">
      <c r="H12532" s="180"/>
      <c r="P12532" s="180" t="s">
        <v>257</v>
      </c>
      <c r="R12532" s="180" t="s">
        <v>257</v>
      </c>
    </row>
    <row r="12533" spans="8:18" x14ac:dyDescent="0.2">
      <c r="H12533" s="180"/>
      <c r="P12533" s="180" t="s">
        <v>257</v>
      </c>
      <c r="R12533" s="180" t="s">
        <v>257</v>
      </c>
    </row>
    <row r="12534" spans="8:18" x14ac:dyDescent="0.2">
      <c r="H12534" s="180"/>
      <c r="P12534" s="180" t="s">
        <v>257</v>
      </c>
      <c r="R12534" s="180" t="s">
        <v>257</v>
      </c>
    </row>
    <row r="12535" spans="8:18" x14ac:dyDescent="0.2">
      <c r="H12535" s="180"/>
      <c r="P12535" s="180" t="s">
        <v>257</v>
      </c>
      <c r="R12535" s="180" t="s">
        <v>257</v>
      </c>
    </row>
    <row r="12536" spans="8:18" x14ac:dyDescent="0.2">
      <c r="H12536" s="180"/>
      <c r="P12536" s="180" t="s">
        <v>257</v>
      </c>
      <c r="R12536" s="180" t="s">
        <v>257</v>
      </c>
    </row>
    <row r="12537" spans="8:18" x14ac:dyDescent="0.2">
      <c r="H12537" s="180"/>
      <c r="P12537" s="180" t="s">
        <v>257</v>
      </c>
      <c r="R12537" s="180" t="s">
        <v>257</v>
      </c>
    </row>
    <row r="12538" spans="8:18" x14ac:dyDescent="0.2">
      <c r="H12538" s="180"/>
      <c r="P12538" s="180" t="s">
        <v>257</v>
      </c>
      <c r="R12538" s="180" t="s">
        <v>257</v>
      </c>
    </row>
    <row r="12539" spans="8:18" x14ac:dyDescent="0.2">
      <c r="H12539" s="180"/>
      <c r="P12539" s="180" t="s">
        <v>257</v>
      </c>
      <c r="R12539" s="180" t="s">
        <v>257</v>
      </c>
    </row>
    <row r="12540" spans="8:18" x14ac:dyDescent="0.2">
      <c r="H12540" s="180"/>
      <c r="P12540" s="180" t="s">
        <v>257</v>
      </c>
      <c r="R12540" s="180" t="s">
        <v>257</v>
      </c>
    </row>
    <row r="12541" spans="8:18" x14ac:dyDescent="0.2">
      <c r="H12541" s="180"/>
      <c r="P12541" s="180" t="s">
        <v>257</v>
      </c>
      <c r="R12541" s="180" t="s">
        <v>257</v>
      </c>
    </row>
    <row r="12542" spans="8:18" x14ac:dyDescent="0.2">
      <c r="H12542" s="180"/>
      <c r="P12542" s="180" t="s">
        <v>257</v>
      </c>
      <c r="R12542" s="180" t="s">
        <v>257</v>
      </c>
    </row>
    <row r="12543" spans="8:18" x14ac:dyDescent="0.2">
      <c r="H12543" s="180"/>
      <c r="P12543" s="180" t="s">
        <v>257</v>
      </c>
      <c r="R12543" s="180" t="s">
        <v>257</v>
      </c>
    </row>
    <row r="12544" spans="8:18" x14ac:dyDescent="0.2">
      <c r="H12544" s="180"/>
      <c r="P12544" s="180" t="s">
        <v>257</v>
      </c>
      <c r="R12544" s="180" t="s">
        <v>257</v>
      </c>
    </row>
    <row r="12545" spans="8:18" x14ac:dyDescent="0.2">
      <c r="H12545" s="180"/>
      <c r="P12545" s="180" t="s">
        <v>257</v>
      </c>
      <c r="R12545" s="180" t="s">
        <v>257</v>
      </c>
    </row>
    <row r="12546" spans="8:18" x14ac:dyDescent="0.2">
      <c r="H12546" s="180"/>
      <c r="P12546" s="180" t="s">
        <v>257</v>
      </c>
      <c r="R12546" s="180" t="s">
        <v>257</v>
      </c>
    </row>
    <row r="12547" spans="8:18" x14ac:dyDescent="0.2">
      <c r="H12547" s="180"/>
      <c r="P12547" s="180" t="s">
        <v>257</v>
      </c>
      <c r="R12547" s="180" t="s">
        <v>257</v>
      </c>
    </row>
    <row r="12548" spans="8:18" x14ac:dyDescent="0.2">
      <c r="H12548" s="180"/>
      <c r="P12548" s="180" t="s">
        <v>257</v>
      </c>
      <c r="R12548" s="180" t="s">
        <v>257</v>
      </c>
    </row>
    <row r="12549" spans="8:18" x14ac:dyDescent="0.2">
      <c r="H12549" s="180"/>
      <c r="P12549" s="180" t="s">
        <v>257</v>
      </c>
      <c r="R12549" s="180" t="s">
        <v>257</v>
      </c>
    </row>
    <row r="12550" spans="8:18" x14ac:dyDescent="0.2">
      <c r="H12550" s="180"/>
      <c r="P12550" s="180" t="s">
        <v>257</v>
      </c>
      <c r="R12550" s="180" t="s">
        <v>257</v>
      </c>
    </row>
    <row r="12551" spans="8:18" x14ac:dyDescent="0.2">
      <c r="H12551" s="180"/>
      <c r="P12551" s="180" t="s">
        <v>257</v>
      </c>
      <c r="R12551" s="180" t="s">
        <v>257</v>
      </c>
    </row>
    <row r="12552" spans="8:18" x14ac:dyDescent="0.2">
      <c r="H12552" s="180"/>
      <c r="P12552" s="180" t="s">
        <v>257</v>
      </c>
      <c r="R12552" s="180" t="s">
        <v>257</v>
      </c>
    </row>
    <row r="12553" spans="8:18" x14ac:dyDescent="0.2">
      <c r="H12553" s="180"/>
      <c r="P12553" s="180" t="s">
        <v>257</v>
      </c>
      <c r="R12553" s="180" t="s">
        <v>257</v>
      </c>
    </row>
    <row r="12554" spans="8:18" x14ac:dyDescent="0.2">
      <c r="H12554" s="180"/>
      <c r="P12554" s="180" t="s">
        <v>257</v>
      </c>
      <c r="R12554" s="180" t="s">
        <v>257</v>
      </c>
    </row>
    <row r="12555" spans="8:18" x14ac:dyDescent="0.2">
      <c r="H12555" s="180"/>
      <c r="P12555" s="180" t="s">
        <v>257</v>
      </c>
      <c r="R12555" s="180" t="s">
        <v>257</v>
      </c>
    </row>
    <row r="12556" spans="8:18" x14ac:dyDescent="0.2">
      <c r="H12556" s="180"/>
      <c r="P12556" s="180" t="s">
        <v>257</v>
      </c>
      <c r="R12556" s="180" t="s">
        <v>257</v>
      </c>
    </row>
    <row r="12557" spans="8:18" x14ac:dyDescent="0.2">
      <c r="H12557" s="180"/>
      <c r="P12557" s="180" t="s">
        <v>257</v>
      </c>
      <c r="R12557" s="180" t="s">
        <v>257</v>
      </c>
    </row>
    <row r="12558" spans="8:18" x14ac:dyDescent="0.2">
      <c r="H12558" s="180"/>
      <c r="P12558" s="180" t="s">
        <v>257</v>
      </c>
      <c r="R12558" s="180" t="s">
        <v>257</v>
      </c>
    </row>
    <row r="12559" spans="8:18" x14ac:dyDescent="0.2">
      <c r="H12559" s="180"/>
      <c r="P12559" s="180" t="s">
        <v>257</v>
      </c>
      <c r="R12559" s="180" t="s">
        <v>257</v>
      </c>
    </row>
    <row r="12560" spans="8:18" x14ac:dyDescent="0.2">
      <c r="H12560" s="180"/>
      <c r="P12560" s="180" t="s">
        <v>257</v>
      </c>
      <c r="R12560" s="180" t="s">
        <v>257</v>
      </c>
    </row>
    <row r="12561" spans="8:18" x14ac:dyDescent="0.2">
      <c r="H12561" s="180"/>
      <c r="P12561" s="180" t="s">
        <v>257</v>
      </c>
      <c r="R12561" s="180" t="s">
        <v>257</v>
      </c>
    </row>
    <row r="12562" spans="8:18" x14ac:dyDescent="0.2">
      <c r="H12562" s="180"/>
      <c r="P12562" s="180" t="s">
        <v>257</v>
      </c>
      <c r="R12562" s="180" t="s">
        <v>257</v>
      </c>
    </row>
    <row r="12563" spans="8:18" x14ac:dyDescent="0.2">
      <c r="H12563" s="180"/>
      <c r="P12563" s="180" t="s">
        <v>257</v>
      </c>
      <c r="R12563" s="180" t="s">
        <v>257</v>
      </c>
    </row>
    <row r="12564" spans="8:18" x14ac:dyDescent="0.2">
      <c r="H12564" s="180"/>
      <c r="P12564" s="180" t="s">
        <v>257</v>
      </c>
      <c r="R12564" s="180" t="s">
        <v>257</v>
      </c>
    </row>
    <row r="12565" spans="8:18" x14ac:dyDescent="0.2">
      <c r="H12565" s="180"/>
      <c r="P12565" s="180" t="s">
        <v>257</v>
      </c>
      <c r="R12565" s="180" t="s">
        <v>257</v>
      </c>
    </row>
    <row r="12566" spans="8:18" x14ac:dyDescent="0.2">
      <c r="H12566" s="180"/>
      <c r="P12566" s="180" t="s">
        <v>257</v>
      </c>
      <c r="R12566" s="180" t="s">
        <v>257</v>
      </c>
    </row>
    <row r="12567" spans="8:18" x14ac:dyDescent="0.2">
      <c r="H12567" s="180"/>
      <c r="P12567" s="180" t="s">
        <v>257</v>
      </c>
      <c r="R12567" s="180" t="s">
        <v>257</v>
      </c>
    </row>
    <row r="12568" spans="8:18" x14ac:dyDescent="0.2">
      <c r="H12568" s="180"/>
      <c r="P12568" s="180" t="s">
        <v>257</v>
      </c>
      <c r="R12568" s="180" t="s">
        <v>257</v>
      </c>
    </row>
    <row r="12569" spans="8:18" x14ac:dyDescent="0.2">
      <c r="H12569" s="180"/>
      <c r="P12569" s="180" t="s">
        <v>257</v>
      </c>
      <c r="R12569" s="180" t="s">
        <v>257</v>
      </c>
    </row>
    <row r="12570" spans="8:18" x14ac:dyDescent="0.2">
      <c r="H12570" s="180"/>
      <c r="P12570" s="180" t="s">
        <v>257</v>
      </c>
      <c r="R12570" s="180" t="s">
        <v>257</v>
      </c>
    </row>
    <row r="12571" spans="8:18" x14ac:dyDescent="0.2">
      <c r="H12571" s="180"/>
      <c r="P12571" s="180" t="s">
        <v>257</v>
      </c>
      <c r="R12571" s="180" t="s">
        <v>257</v>
      </c>
    </row>
    <row r="12572" spans="8:18" x14ac:dyDescent="0.2">
      <c r="H12572" s="180"/>
      <c r="P12572" s="180" t="s">
        <v>257</v>
      </c>
      <c r="R12572" s="180" t="s">
        <v>257</v>
      </c>
    </row>
    <row r="12573" spans="8:18" x14ac:dyDescent="0.2">
      <c r="H12573" s="180"/>
      <c r="P12573" s="180" t="s">
        <v>257</v>
      </c>
      <c r="R12573" s="180" t="s">
        <v>257</v>
      </c>
    </row>
    <row r="12574" spans="8:18" x14ac:dyDescent="0.2">
      <c r="H12574" s="180"/>
      <c r="P12574" s="180" t="s">
        <v>257</v>
      </c>
      <c r="R12574" s="180" t="s">
        <v>257</v>
      </c>
    </row>
    <row r="12575" spans="8:18" x14ac:dyDescent="0.2">
      <c r="H12575" s="180"/>
      <c r="P12575" s="180" t="s">
        <v>257</v>
      </c>
      <c r="R12575" s="180" t="s">
        <v>257</v>
      </c>
    </row>
    <row r="12576" spans="8:18" x14ac:dyDescent="0.2">
      <c r="H12576" s="180"/>
      <c r="P12576" s="180" t="s">
        <v>257</v>
      </c>
      <c r="R12576" s="180" t="s">
        <v>257</v>
      </c>
    </row>
    <row r="12577" spans="8:18" x14ac:dyDescent="0.2">
      <c r="H12577" s="180"/>
      <c r="P12577" s="180" t="s">
        <v>257</v>
      </c>
      <c r="R12577" s="180" t="s">
        <v>257</v>
      </c>
    </row>
    <row r="12578" spans="8:18" x14ac:dyDescent="0.2">
      <c r="H12578" s="180"/>
      <c r="P12578" s="180" t="s">
        <v>257</v>
      </c>
      <c r="R12578" s="180" t="s">
        <v>257</v>
      </c>
    </row>
    <row r="12579" spans="8:18" x14ac:dyDescent="0.2">
      <c r="H12579" s="180"/>
      <c r="P12579" s="180" t="s">
        <v>257</v>
      </c>
      <c r="R12579" s="180" t="s">
        <v>257</v>
      </c>
    </row>
    <row r="12580" spans="8:18" x14ac:dyDescent="0.2">
      <c r="H12580" s="180"/>
      <c r="P12580" s="180" t="s">
        <v>257</v>
      </c>
      <c r="R12580" s="180" t="s">
        <v>257</v>
      </c>
    </row>
    <row r="12581" spans="8:18" x14ac:dyDescent="0.2">
      <c r="H12581" s="180"/>
      <c r="P12581" s="180" t="s">
        <v>257</v>
      </c>
      <c r="R12581" s="180" t="s">
        <v>257</v>
      </c>
    </row>
    <row r="12582" spans="8:18" x14ac:dyDescent="0.2">
      <c r="H12582" s="180"/>
      <c r="P12582" s="180" t="s">
        <v>257</v>
      </c>
      <c r="R12582" s="180" t="s">
        <v>257</v>
      </c>
    </row>
    <row r="12583" spans="8:18" x14ac:dyDescent="0.2">
      <c r="H12583" s="180"/>
      <c r="P12583" s="180" t="s">
        <v>257</v>
      </c>
      <c r="R12583" s="180" t="s">
        <v>257</v>
      </c>
    </row>
    <row r="12584" spans="8:18" x14ac:dyDescent="0.2">
      <c r="H12584" s="180"/>
      <c r="P12584" s="180" t="s">
        <v>257</v>
      </c>
      <c r="R12584" s="180" t="s">
        <v>257</v>
      </c>
    </row>
    <row r="12585" spans="8:18" x14ac:dyDescent="0.2">
      <c r="H12585" s="180"/>
      <c r="P12585" s="180" t="s">
        <v>257</v>
      </c>
      <c r="R12585" s="180" t="s">
        <v>257</v>
      </c>
    </row>
    <row r="12586" spans="8:18" x14ac:dyDescent="0.2">
      <c r="H12586" s="180"/>
      <c r="P12586" s="180" t="s">
        <v>257</v>
      </c>
      <c r="R12586" s="180" t="s">
        <v>257</v>
      </c>
    </row>
    <row r="12587" spans="8:18" x14ac:dyDescent="0.2">
      <c r="H12587" s="180"/>
      <c r="P12587" s="180" t="s">
        <v>257</v>
      </c>
      <c r="R12587" s="180" t="s">
        <v>257</v>
      </c>
    </row>
    <row r="12588" spans="8:18" x14ac:dyDescent="0.2">
      <c r="H12588" s="180"/>
      <c r="P12588" s="180" t="s">
        <v>257</v>
      </c>
      <c r="R12588" s="180" t="s">
        <v>257</v>
      </c>
    </row>
    <row r="12589" spans="8:18" x14ac:dyDescent="0.2">
      <c r="H12589" s="180"/>
      <c r="P12589" s="180" t="s">
        <v>257</v>
      </c>
      <c r="R12589" s="180" t="s">
        <v>257</v>
      </c>
    </row>
    <row r="12590" spans="8:18" x14ac:dyDescent="0.2">
      <c r="H12590" s="180"/>
      <c r="P12590" s="180" t="s">
        <v>257</v>
      </c>
      <c r="R12590" s="180" t="s">
        <v>257</v>
      </c>
    </row>
    <row r="12591" spans="8:18" x14ac:dyDescent="0.2">
      <c r="H12591" s="180"/>
      <c r="P12591" s="180" t="s">
        <v>257</v>
      </c>
      <c r="R12591" s="180" t="s">
        <v>257</v>
      </c>
    </row>
    <row r="12592" spans="8:18" x14ac:dyDescent="0.2">
      <c r="H12592" s="180"/>
      <c r="P12592" s="180" t="s">
        <v>257</v>
      </c>
      <c r="R12592" s="180" t="s">
        <v>257</v>
      </c>
    </row>
    <row r="12593" spans="8:18" x14ac:dyDescent="0.2">
      <c r="H12593" s="180"/>
      <c r="P12593" s="180" t="s">
        <v>257</v>
      </c>
      <c r="R12593" s="180" t="s">
        <v>257</v>
      </c>
    </row>
    <row r="12594" spans="8:18" x14ac:dyDescent="0.2">
      <c r="H12594" s="180"/>
      <c r="P12594" s="180" t="s">
        <v>257</v>
      </c>
      <c r="R12594" s="180" t="s">
        <v>257</v>
      </c>
    </row>
    <row r="12595" spans="8:18" x14ac:dyDescent="0.2">
      <c r="H12595" s="180"/>
      <c r="P12595" s="180" t="s">
        <v>257</v>
      </c>
      <c r="R12595" s="180" t="s">
        <v>257</v>
      </c>
    </row>
    <row r="12596" spans="8:18" x14ac:dyDescent="0.2">
      <c r="H12596" s="180"/>
      <c r="P12596" s="180" t="s">
        <v>257</v>
      </c>
      <c r="R12596" s="180" t="s">
        <v>257</v>
      </c>
    </row>
    <row r="12597" spans="8:18" x14ac:dyDescent="0.2">
      <c r="H12597" s="180"/>
      <c r="P12597" s="180" t="s">
        <v>257</v>
      </c>
      <c r="R12597" s="180" t="s">
        <v>257</v>
      </c>
    </row>
    <row r="12598" spans="8:18" x14ac:dyDescent="0.2">
      <c r="H12598" s="180"/>
      <c r="P12598" s="180" t="s">
        <v>257</v>
      </c>
      <c r="R12598" s="180" t="s">
        <v>257</v>
      </c>
    </row>
    <row r="12599" spans="8:18" x14ac:dyDescent="0.2">
      <c r="H12599" s="180"/>
      <c r="P12599" s="180" t="s">
        <v>257</v>
      </c>
      <c r="R12599" s="180" t="s">
        <v>257</v>
      </c>
    </row>
    <row r="12600" spans="8:18" x14ac:dyDescent="0.2">
      <c r="H12600" s="180"/>
      <c r="P12600" s="180" t="s">
        <v>257</v>
      </c>
      <c r="R12600" s="180" t="s">
        <v>257</v>
      </c>
    </row>
    <row r="12601" spans="8:18" x14ac:dyDescent="0.2">
      <c r="H12601" s="180"/>
      <c r="P12601" s="180" t="s">
        <v>257</v>
      </c>
      <c r="R12601" s="180" t="s">
        <v>257</v>
      </c>
    </row>
    <row r="12602" spans="8:18" x14ac:dyDescent="0.2">
      <c r="H12602" s="180"/>
      <c r="P12602" s="180" t="s">
        <v>257</v>
      </c>
      <c r="R12602" s="180" t="s">
        <v>257</v>
      </c>
    </row>
    <row r="12603" spans="8:18" x14ac:dyDescent="0.2">
      <c r="H12603" s="180"/>
      <c r="P12603" s="180" t="s">
        <v>257</v>
      </c>
      <c r="R12603" s="180" t="s">
        <v>257</v>
      </c>
    </row>
    <row r="12604" spans="8:18" x14ac:dyDescent="0.2">
      <c r="H12604" s="180"/>
      <c r="P12604" s="180" t="s">
        <v>257</v>
      </c>
      <c r="R12604" s="180" t="s">
        <v>257</v>
      </c>
    </row>
    <row r="12605" spans="8:18" x14ac:dyDescent="0.2">
      <c r="H12605" s="180"/>
      <c r="P12605" s="180" t="s">
        <v>257</v>
      </c>
      <c r="R12605" s="180" t="s">
        <v>257</v>
      </c>
    </row>
    <row r="12606" spans="8:18" x14ac:dyDescent="0.2">
      <c r="H12606" s="180"/>
      <c r="P12606" s="180" t="s">
        <v>257</v>
      </c>
      <c r="R12606" s="180" t="s">
        <v>257</v>
      </c>
    </row>
    <row r="12607" spans="8:18" x14ac:dyDescent="0.2">
      <c r="H12607" s="180"/>
      <c r="P12607" s="180" t="s">
        <v>257</v>
      </c>
      <c r="R12607" s="180" t="s">
        <v>257</v>
      </c>
    </row>
    <row r="12608" spans="8:18" x14ac:dyDescent="0.2">
      <c r="H12608" s="180"/>
      <c r="P12608" s="180" t="s">
        <v>257</v>
      </c>
      <c r="R12608" s="180" t="s">
        <v>257</v>
      </c>
    </row>
    <row r="12609" spans="8:18" x14ac:dyDescent="0.2">
      <c r="H12609" s="180"/>
      <c r="P12609" s="180" t="s">
        <v>257</v>
      </c>
      <c r="R12609" s="180" t="s">
        <v>257</v>
      </c>
    </row>
    <row r="12610" spans="8:18" x14ac:dyDescent="0.2">
      <c r="H12610" s="180"/>
      <c r="P12610" s="180" t="s">
        <v>257</v>
      </c>
      <c r="R12610" s="180" t="s">
        <v>257</v>
      </c>
    </row>
    <row r="12611" spans="8:18" x14ac:dyDescent="0.2">
      <c r="H12611" s="180"/>
      <c r="P12611" s="180" t="s">
        <v>257</v>
      </c>
      <c r="R12611" s="180" t="s">
        <v>257</v>
      </c>
    </row>
    <row r="12612" spans="8:18" x14ac:dyDescent="0.2">
      <c r="H12612" s="180"/>
      <c r="P12612" s="180" t="s">
        <v>257</v>
      </c>
      <c r="R12612" s="180" t="s">
        <v>257</v>
      </c>
    </row>
    <row r="12613" spans="8:18" x14ac:dyDescent="0.2">
      <c r="H12613" s="180"/>
      <c r="P12613" s="180" t="s">
        <v>257</v>
      </c>
      <c r="R12613" s="180" t="s">
        <v>257</v>
      </c>
    </row>
    <row r="12614" spans="8:18" x14ac:dyDescent="0.2">
      <c r="H12614" s="180"/>
      <c r="P12614" s="180" t="s">
        <v>257</v>
      </c>
      <c r="R12614" s="180" t="s">
        <v>257</v>
      </c>
    </row>
    <row r="12615" spans="8:18" x14ac:dyDescent="0.2">
      <c r="H12615" s="180"/>
      <c r="P12615" s="180" t="s">
        <v>257</v>
      </c>
      <c r="R12615" s="180" t="s">
        <v>257</v>
      </c>
    </row>
    <row r="12616" spans="8:18" x14ac:dyDescent="0.2">
      <c r="H12616" s="180"/>
      <c r="P12616" s="180" t="s">
        <v>257</v>
      </c>
      <c r="R12616" s="180" t="s">
        <v>257</v>
      </c>
    </row>
    <row r="12617" spans="8:18" x14ac:dyDescent="0.2">
      <c r="H12617" s="180"/>
      <c r="P12617" s="180" t="s">
        <v>257</v>
      </c>
      <c r="R12617" s="180" t="s">
        <v>257</v>
      </c>
    </row>
    <row r="12618" spans="8:18" x14ac:dyDescent="0.2">
      <c r="H12618" s="180"/>
      <c r="P12618" s="180" t="s">
        <v>257</v>
      </c>
      <c r="R12618" s="180" t="s">
        <v>257</v>
      </c>
    </row>
    <row r="12619" spans="8:18" x14ac:dyDescent="0.2">
      <c r="H12619" s="180"/>
      <c r="P12619" s="180" t="s">
        <v>257</v>
      </c>
      <c r="R12619" s="180" t="s">
        <v>257</v>
      </c>
    </row>
    <row r="12620" spans="8:18" x14ac:dyDescent="0.2">
      <c r="H12620" s="180"/>
      <c r="P12620" s="180" t="s">
        <v>257</v>
      </c>
      <c r="R12620" s="180" t="s">
        <v>257</v>
      </c>
    </row>
    <row r="12621" spans="8:18" x14ac:dyDescent="0.2">
      <c r="H12621" s="180"/>
      <c r="P12621" s="180" t="s">
        <v>257</v>
      </c>
      <c r="R12621" s="180" t="s">
        <v>257</v>
      </c>
    </row>
    <row r="12622" spans="8:18" x14ac:dyDescent="0.2">
      <c r="H12622" s="180"/>
      <c r="P12622" s="180" t="s">
        <v>257</v>
      </c>
      <c r="R12622" s="180" t="s">
        <v>257</v>
      </c>
    </row>
    <row r="12623" spans="8:18" x14ac:dyDescent="0.2">
      <c r="H12623" s="180"/>
      <c r="P12623" s="180" t="s">
        <v>257</v>
      </c>
      <c r="R12623" s="180" t="s">
        <v>257</v>
      </c>
    </row>
    <row r="12624" spans="8:18" x14ac:dyDescent="0.2">
      <c r="H12624" s="180"/>
      <c r="P12624" s="180" t="s">
        <v>257</v>
      </c>
      <c r="R12624" s="180" t="s">
        <v>257</v>
      </c>
    </row>
    <row r="12625" spans="8:18" x14ac:dyDescent="0.2">
      <c r="H12625" s="180"/>
      <c r="P12625" s="180" t="s">
        <v>257</v>
      </c>
      <c r="R12625" s="180" t="s">
        <v>257</v>
      </c>
    </row>
    <row r="12626" spans="8:18" x14ac:dyDescent="0.2">
      <c r="H12626" s="180"/>
      <c r="P12626" s="180" t="s">
        <v>257</v>
      </c>
      <c r="R12626" s="180" t="s">
        <v>257</v>
      </c>
    </row>
    <row r="12627" spans="8:18" x14ac:dyDescent="0.2">
      <c r="H12627" s="180"/>
      <c r="P12627" s="180" t="s">
        <v>257</v>
      </c>
      <c r="R12627" s="180" t="s">
        <v>257</v>
      </c>
    </row>
    <row r="12628" spans="8:18" x14ac:dyDescent="0.2">
      <c r="H12628" s="180"/>
      <c r="P12628" s="180" t="s">
        <v>257</v>
      </c>
      <c r="R12628" s="180" t="s">
        <v>257</v>
      </c>
    </row>
    <row r="12629" spans="8:18" x14ac:dyDescent="0.2">
      <c r="H12629" s="180"/>
      <c r="P12629" s="180" t="s">
        <v>257</v>
      </c>
      <c r="R12629" s="180" t="s">
        <v>257</v>
      </c>
    </row>
    <row r="12630" spans="8:18" x14ac:dyDescent="0.2">
      <c r="H12630" s="180"/>
      <c r="P12630" s="180" t="s">
        <v>257</v>
      </c>
      <c r="R12630" s="180" t="s">
        <v>257</v>
      </c>
    </row>
    <row r="12631" spans="8:18" x14ac:dyDescent="0.2">
      <c r="H12631" s="180"/>
      <c r="P12631" s="180" t="s">
        <v>257</v>
      </c>
      <c r="R12631" s="180" t="s">
        <v>257</v>
      </c>
    </row>
    <row r="12632" spans="8:18" x14ac:dyDescent="0.2">
      <c r="H12632" s="180"/>
      <c r="P12632" s="180" t="s">
        <v>257</v>
      </c>
      <c r="R12632" s="180" t="s">
        <v>257</v>
      </c>
    </row>
    <row r="12633" spans="8:18" x14ac:dyDescent="0.2">
      <c r="H12633" s="180"/>
      <c r="P12633" s="180" t="s">
        <v>257</v>
      </c>
      <c r="R12633" s="180" t="s">
        <v>257</v>
      </c>
    </row>
    <row r="12634" spans="8:18" x14ac:dyDescent="0.2">
      <c r="H12634" s="180"/>
      <c r="P12634" s="180" t="s">
        <v>257</v>
      </c>
      <c r="R12634" s="180" t="s">
        <v>257</v>
      </c>
    </row>
    <row r="12635" spans="8:18" x14ac:dyDescent="0.2">
      <c r="H12635" s="180"/>
      <c r="P12635" s="180" t="s">
        <v>257</v>
      </c>
      <c r="R12635" s="180" t="s">
        <v>257</v>
      </c>
    </row>
    <row r="12636" spans="8:18" x14ac:dyDescent="0.2">
      <c r="H12636" s="180"/>
      <c r="P12636" s="180" t="s">
        <v>257</v>
      </c>
      <c r="R12636" s="180" t="s">
        <v>257</v>
      </c>
    </row>
    <row r="12637" spans="8:18" x14ac:dyDescent="0.2">
      <c r="H12637" s="180"/>
      <c r="P12637" s="180" t="s">
        <v>257</v>
      </c>
      <c r="R12637" s="180" t="s">
        <v>257</v>
      </c>
    </row>
    <row r="12638" spans="8:18" x14ac:dyDescent="0.2">
      <c r="H12638" s="180"/>
      <c r="P12638" s="180" t="s">
        <v>257</v>
      </c>
      <c r="R12638" s="180" t="s">
        <v>257</v>
      </c>
    </row>
    <row r="12639" spans="8:18" x14ac:dyDescent="0.2">
      <c r="H12639" s="180"/>
      <c r="P12639" s="180" t="s">
        <v>257</v>
      </c>
      <c r="R12639" s="180" t="s">
        <v>257</v>
      </c>
    </row>
    <row r="12640" spans="8:18" x14ac:dyDescent="0.2">
      <c r="H12640" s="180"/>
      <c r="P12640" s="180" t="s">
        <v>257</v>
      </c>
      <c r="R12640" s="180" t="s">
        <v>257</v>
      </c>
    </row>
    <row r="12641" spans="8:18" x14ac:dyDescent="0.2">
      <c r="H12641" s="180"/>
      <c r="P12641" s="180" t="s">
        <v>257</v>
      </c>
      <c r="R12641" s="180" t="s">
        <v>257</v>
      </c>
    </row>
    <row r="12642" spans="8:18" x14ac:dyDescent="0.2">
      <c r="H12642" s="180"/>
      <c r="P12642" s="180" t="s">
        <v>257</v>
      </c>
      <c r="R12642" s="180" t="s">
        <v>257</v>
      </c>
    </row>
    <row r="12643" spans="8:18" x14ac:dyDescent="0.2">
      <c r="H12643" s="180"/>
      <c r="P12643" s="180" t="s">
        <v>257</v>
      </c>
      <c r="R12643" s="180" t="s">
        <v>257</v>
      </c>
    </row>
    <row r="12644" spans="8:18" x14ac:dyDescent="0.2">
      <c r="H12644" s="180"/>
      <c r="P12644" s="180" t="s">
        <v>257</v>
      </c>
      <c r="R12644" s="180" t="s">
        <v>257</v>
      </c>
    </row>
    <row r="12645" spans="8:18" x14ac:dyDescent="0.2">
      <c r="H12645" s="180"/>
      <c r="P12645" s="180" t="s">
        <v>257</v>
      </c>
      <c r="R12645" s="180" t="s">
        <v>257</v>
      </c>
    </row>
    <row r="12646" spans="8:18" x14ac:dyDescent="0.2">
      <c r="H12646" s="180"/>
      <c r="P12646" s="180" t="s">
        <v>257</v>
      </c>
      <c r="R12646" s="180" t="s">
        <v>257</v>
      </c>
    </row>
    <row r="12647" spans="8:18" x14ac:dyDescent="0.2">
      <c r="H12647" s="180"/>
      <c r="P12647" s="180" t="s">
        <v>257</v>
      </c>
      <c r="R12647" s="180" t="s">
        <v>257</v>
      </c>
    </row>
    <row r="12648" spans="8:18" x14ac:dyDescent="0.2">
      <c r="H12648" s="180"/>
      <c r="P12648" s="180" t="s">
        <v>257</v>
      </c>
      <c r="R12648" s="180" t="s">
        <v>257</v>
      </c>
    </row>
    <row r="12649" spans="8:18" x14ac:dyDescent="0.2">
      <c r="H12649" s="180"/>
      <c r="P12649" s="180" t="s">
        <v>257</v>
      </c>
      <c r="R12649" s="180" t="s">
        <v>257</v>
      </c>
    </row>
    <row r="12650" spans="8:18" x14ac:dyDescent="0.2">
      <c r="H12650" s="180"/>
      <c r="P12650" s="180" t="s">
        <v>257</v>
      </c>
      <c r="R12650" s="180" t="s">
        <v>257</v>
      </c>
    </row>
    <row r="12651" spans="8:18" x14ac:dyDescent="0.2">
      <c r="H12651" s="180"/>
      <c r="P12651" s="180" t="s">
        <v>257</v>
      </c>
      <c r="R12651" s="180" t="s">
        <v>257</v>
      </c>
    </row>
    <row r="12652" spans="8:18" x14ac:dyDescent="0.2">
      <c r="H12652" s="180"/>
      <c r="P12652" s="180" t="s">
        <v>257</v>
      </c>
      <c r="R12652" s="180" t="s">
        <v>257</v>
      </c>
    </row>
    <row r="12653" spans="8:18" x14ac:dyDescent="0.2">
      <c r="H12653" s="180"/>
      <c r="P12653" s="180" t="s">
        <v>257</v>
      </c>
      <c r="R12653" s="180" t="s">
        <v>257</v>
      </c>
    </row>
    <row r="12654" spans="8:18" x14ac:dyDescent="0.2">
      <c r="H12654" s="180"/>
      <c r="P12654" s="180" t="s">
        <v>257</v>
      </c>
      <c r="R12654" s="180" t="s">
        <v>257</v>
      </c>
    </row>
    <row r="12655" spans="8:18" x14ac:dyDescent="0.2">
      <c r="H12655" s="180"/>
      <c r="P12655" s="180" t="s">
        <v>257</v>
      </c>
      <c r="R12655" s="180" t="s">
        <v>257</v>
      </c>
    </row>
    <row r="12656" spans="8:18" x14ac:dyDescent="0.2">
      <c r="H12656" s="180"/>
      <c r="P12656" s="180" t="s">
        <v>257</v>
      </c>
      <c r="R12656" s="180" t="s">
        <v>257</v>
      </c>
    </row>
    <row r="12657" spans="8:18" x14ac:dyDescent="0.2">
      <c r="H12657" s="180"/>
      <c r="P12657" s="180" t="s">
        <v>257</v>
      </c>
      <c r="R12657" s="180" t="s">
        <v>257</v>
      </c>
    </row>
    <row r="12658" spans="8:18" x14ac:dyDescent="0.2">
      <c r="H12658" s="180"/>
      <c r="P12658" s="180" t="s">
        <v>257</v>
      </c>
      <c r="R12658" s="180" t="s">
        <v>257</v>
      </c>
    </row>
    <row r="12659" spans="8:18" x14ac:dyDescent="0.2">
      <c r="H12659" s="180"/>
      <c r="P12659" s="180" t="s">
        <v>257</v>
      </c>
      <c r="R12659" s="180" t="s">
        <v>257</v>
      </c>
    </row>
    <row r="12660" spans="8:18" x14ac:dyDescent="0.2">
      <c r="H12660" s="180"/>
      <c r="P12660" s="180" t="s">
        <v>257</v>
      </c>
      <c r="R12660" s="180" t="s">
        <v>257</v>
      </c>
    </row>
    <row r="12661" spans="8:18" x14ac:dyDescent="0.2">
      <c r="H12661" s="180"/>
      <c r="P12661" s="180" t="s">
        <v>257</v>
      </c>
      <c r="R12661" s="180" t="s">
        <v>257</v>
      </c>
    </row>
    <row r="12662" spans="8:18" x14ac:dyDescent="0.2">
      <c r="H12662" s="180"/>
      <c r="P12662" s="180" t="s">
        <v>257</v>
      </c>
      <c r="R12662" s="180" t="s">
        <v>257</v>
      </c>
    </row>
    <row r="12663" spans="8:18" x14ac:dyDescent="0.2">
      <c r="H12663" s="180"/>
      <c r="P12663" s="180" t="s">
        <v>257</v>
      </c>
      <c r="R12663" s="180" t="s">
        <v>257</v>
      </c>
    </row>
    <row r="12664" spans="8:18" x14ac:dyDescent="0.2">
      <c r="H12664" s="180"/>
      <c r="P12664" s="180" t="s">
        <v>257</v>
      </c>
      <c r="R12664" s="180" t="s">
        <v>257</v>
      </c>
    </row>
    <row r="12665" spans="8:18" x14ac:dyDescent="0.2">
      <c r="H12665" s="180"/>
      <c r="P12665" s="180" t="s">
        <v>257</v>
      </c>
      <c r="R12665" s="180" t="s">
        <v>257</v>
      </c>
    </row>
    <row r="12666" spans="8:18" x14ac:dyDescent="0.2">
      <c r="H12666" s="180"/>
      <c r="P12666" s="180" t="s">
        <v>257</v>
      </c>
      <c r="R12666" s="180" t="s">
        <v>257</v>
      </c>
    </row>
    <row r="12667" spans="8:18" x14ac:dyDescent="0.2">
      <c r="H12667" s="180"/>
      <c r="P12667" s="180" t="s">
        <v>257</v>
      </c>
      <c r="R12667" s="180" t="s">
        <v>257</v>
      </c>
    </row>
    <row r="12668" spans="8:18" x14ac:dyDescent="0.2">
      <c r="H12668" s="180"/>
      <c r="P12668" s="180" t="s">
        <v>257</v>
      </c>
      <c r="R12668" s="180" t="s">
        <v>257</v>
      </c>
    </row>
    <row r="12669" spans="8:18" x14ac:dyDescent="0.2">
      <c r="H12669" s="180"/>
      <c r="P12669" s="180" t="s">
        <v>257</v>
      </c>
      <c r="R12669" s="180" t="s">
        <v>257</v>
      </c>
    </row>
    <row r="12670" spans="8:18" x14ac:dyDescent="0.2">
      <c r="H12670" s="180"/>
      <c r="P12670" s="180" t="s">
        <v>257</v>
      </c>
      <c r="R12670" s="180" t="s">
        <v>257</v>
      </c>
    </row>
    <row r="12671" spans="8:18" x14ac:dyDescent="0.2">
      <c r="H12671" s="180"/>
      <c r="P12671" s="180" t="s">
        <v>257</v>
      </c>
      <c r="R12671" s="180" t="s">
        <v>257</v>
      </c>
    </row>
    <row r="12672" spans="8:18" x14ac:dyDescent="0.2">
      <c r="H12672" s="180"/>
      <c r="P12672" s="180" t="s">
        <v>257</v>
      </c>
      <c r="R12672" s="180" t="s">
        <v>257</v>
      </c>
    </row>
    <row r="12673" spans="8:18" x14ac:dyDescent="0.2">
      <c r="H12673" s="180"/>
      <c r="P12673" s="180" t="s">
        <v>257</v>
      </c>
      <c r="R12673" s="180" t="s">
        <v>257</v>
      </c>
    </row>
    <row r="12674" spans="8:18" x14ac:dyDescent="0.2">
      <c r="H12674" s="180"/>
      <c r="P12674" s="180" t="s">
        <v>257</v>
      </c>
      <c r="R12674" s="180" t="s">
        <v>257</v>
      </c>
    </row>
    <row r="12675" spans="8:18" x14ac:dyDescent="0.2">
      <c r="H12675" s="180"/>
      <c r="P12675" s="180" t="s">
        <v>257</v>
      </c>
      <c r="R12675" s="180" t="s">
        <v>257</v>
      </c>
    </row>
    <row r="12676" spans="8:18" x14ac:dyDescent="0.2">
      <c r="H12676" s="180"/>
      <c r="P12676" s="180" t="s">
        <v>257</v>
      </c>
      <c r="R12676" s="180" t="s">
        <v>257</v>
      </c>
    </row>
    <row r="12677" spans="8:18" x14ac:dyDescent="0.2">
      <c r="H12677" s="180"/>
      <c r="P12677" s="180" t="s">
        <v>257</v>
      </c>
      <c r="R12677" s="180" t="s">
        <v>257</v>
      </c>
    </row>
    <row r="12678" spans="8:18" x14ac:dyDescent="0.2">
      <c r="H12678" s="180"/>
      <c r="P12678" s="180" t="s">
        <v>257</v>
      </c>
      <c r="R12678" s="180" t="s">
        <v>257</v>
      </c>
    </row>
    <row r="12679" spans="8:18" x14ac:dyDescent="0.2">
      <c r="H12679" s="180"/>
      <c r="P12679" s="180" t="s">
        <v>257</v>
      </c>
      <c r="R12679" s="180" t="s">
        <v>257</v>
      </c>
    </row>
    <row r="12680" spans="8:18" x14ac:dyDescent="0.2">
      <c r="H12680" s="180"/>
      <c r="P12680" s="180" t="s">
        <v>257</v>
      </c>
      <c r="R12680" s="180" t="s">
        <v>257</v>
      </c>
    </row>
    <row r="12681" spans="8:18" x14ac:dyDescent="0.2">
      <c r="H12681" s="180"/>
      <c r="P12681" s="180" t="s">
        <v>257</v>
      </c>
      <c r="R12681" s="180" t="s">
        <v>257</v>
      </c>
    </row>
    <row r="12682" spans="8:18" x14ac:dyDescent="0.2">
      <c r="H12682" s="180"/>
      <c r="P12682" s="180" t="s">
        <v>257</v>
      </c>
      <c r="R12682" s="180" t="s">
        <v>257</v>
      </c>
    </row>
    <row r="12683" spans="8:18" x14ac:dyDescent="0.2">
      <c r="H12683" s="180"/>
      <c r="P12683" s="180" t="s">
        <v>257</v>
      </c>
      <c r="R12683" s="180" t="s">
        <v>257</v>
      </c>
    </row>
    <row r="12684" spans="8:18" x14ac:dyDescent="0.2">
      <c r="H12684" s="180"/>
      <c r="P12684" s="180" t="s">
        <v>257</v>
      </c>
      <c r="R12684" s="180" t="s">
        <v>257</v>
      </c>
    </row>
    <row r="12685" spans="8:18" x14ac:dyDescent="0.2">
      <c r="H12685" s="180"/>
      <c r="P12685" s="180" t="s">
        <v>257</v>
      </c>
      <c r="R12685" s="180" t="s">
        <v>257</v>
      </c>
    </row>
    <row r="12686" spans="8:18" x14ac:dyDescent="0.2">
      <c r="H12686" s="180"/>
      <c r="P12686" s="180" t="s">
        <v>257</v>
      </c>
      <c r="R12686" s="180" t="s">
        <v>257</v>
      </c>
    </row>
    <row r="12687" spans="8:18" x14ac:dyDescent="0.2">
      <c r="H12687" s="180"/>
      <c r="P12687" s="180" t="s">
        <v>257</v>
      </c>
      <c r="R12687" s="180" t="s">
        <v>257</v>
      </c>
    </row>
    <row r="12688" spans="8:18" x14ac:dyDescent="0.2">
      <c r="H12688" s="180"/>
      <c r="P12688" s="180" t="s">
        <v>257</v>
      </c>
      <c r="R12688" s="180" t="s">
        <v>257</v>
      </c>
    </row>
    <row r="12689" spans="8:18" x14ac:dyDescent="0.2">
      <c r="H12689" s="180"/>
      <c r="P12689" s="180" t="s">
        <v>257</v>
      </c>
      <c r="R12689" s="180" t="s">
        <v>257</v>
      </c>
    </row>
    <row r="12690" spans="8:18" x14ac:dyDescent="0.2">
      <c r="H12690" s="180"/>
      <c r="P12690" s="180" t="s">
        <v>257</v>
      </c>
      <c r="R12690" s="180" t="s">
        <v>257</v>
      </c>
    </row>
    <row r="12691" spans="8:18" x14ac:dyDescent="0.2">
      <c r="H12691" s="180"/>
      <c r="P12691" s="180" t="s">
        <v>257</v>
      </c>
      <c r="R12691" s="180" t="s">
        <v>257</v>
      </c>
    </row>
    <row r="12692" spans="8:18" x14ac:dyDescent="0.2">
      <c r="H12692" s="180"/>
      <c r="P12692" s="180" t="s">
        <v>257</v>
      </c>
      <c r="R12692" s="180" t="s">
        <v>257</v>
      </c>
    </row>
    <row r="12693" spans="8:18" x14ac:dyDescent="0.2">
      <c r="H12693" s="180"/>
      <c r="P12693" s="180" t="s">
        <v>257</v>
      </c>
      <c r="R12693" s="180" t="s">
        <v>257</v>
      </c>
    </row>
    <row r="12694" spans="8:18" x14ac:dyDescent="0.2">
      <c r="H12694" s="180"/>
      <c r="P12694" s="180" t="s">
        <v>257</v>
      </c>
      <c r="R12694" s="180" t="s">
        <v>257</v>
      </c>
    </row>
    <row r="12695" spans="8:18" x14ac:dyDescent="0.2">
      <c r="H12695" s="180"/>
      <c r="P12695" s="180" t="s">
        <v>257</v>
      </c>
      <c r="R12695" s="180" t="s">
        <v>257</v>
      </c>
    </row>
    <row r="12696" spans="8:18" x14ac:dyDescent="0.2">
      <c r="H12696" s="180"/>
      <c r="P12696" s="180" t="s">
        <v>257</v>
      </c>
      <c r="R12696" s="180" t="s">
        <v>257</v>
      </c>
    </row>
    <row r="12697" spans="8:18" x14ac:dyDescent="0.2">
      <c r="H12697" s="180"/>
      <c r="P12697" s="180" t="s">
        <v>257</v>
      </c>
      <c r="R12697" s="180" t="s">
        <v>257</v>
      </c>
    </row>
    <row r="12698" spans="8:18" x14ac:dyDescent="0.2">
      <c r="H12698" s="180"/>
      <c r="P12698" s="180" t="s">
        <v>257</v>
      </c>
      <c r="R12698" s="180" t="s">
        <v>257</v>
      </c>
    </row>
    <row r="12699" spans="8:18" x14ac:dyDescent="0.2">
      <c r="H12699" s="180"/>
      <c r="P12699" s="180" t="s">
        <v>257</v>
      </c>
      <c r="R12699" s="180" t="s">
        <v>257</v>
      </c>
    </row>
    <row r="12700" spans="8:18" x14ac:dyDescent="0.2">
      <c r="H12700" s="180"/>
      <c r="P12700" s="180" t="s">
        <v>257</v>
      </c>
      <c r="R12700" s="180" t="s">
        <v>257</v>
      </c>
    </row>
    <row r="12701" spans="8:18" x14ac:dyDescent="0.2">
      <c r="H12701" s="180"/>
      <c r="P12701" s="180" t="s">
        <v>257</v>
      </c>
      <c r="R12701" s="180" t="s">
        <v>257</v>
      </c>
    </row>
    <row r="12702" spans="8:18" x14ac:dyDescent="0.2">
      <c r="H12702" s="180"/>
      <c r="P12702" s="180" t="s">
        <v>257</v>
      </c>
      <c r="R12702" s="180" t="s">
        <v>257</v>
      </c>
    </row>
    <row r="12703" spans="8:18" x14ac:dyDescent="0.2">
      <c r="H12703" s="180"/>
      <c r="P12703" s="180" t="s">
        <v>257</v>
      </c>
      <c r="R12703" s="180" t="s">
        <v>257</v>
      </c>
    </row>
    <row r="12704" spans="8:18" x14ac:dyDescent="0.2">
      <c r="H12704" s="180"/>
      <c r="P12704" s="180" t="s">
        <v>257</v>
      </c>
      <c r="R12704" s="180" t="s">
        <v>257</v>
      </c>
    </row>
    <row r="12705" spans="8:18" x14ac:dyDescent="0.2">
      <c r="H12705" s="180"/>
      <c r="P12705" s="180" t="s">
        <v>257</v>
      </c>
      <c r="R12705" s="180" t="s">
        <v>257</v>
      </c>
    </row>
    <row r="12706" spans="8:18" x14ac:dyDescent="0.2">
      <c r="H12706" s="180"/>
      <c r="P12706" s="180" t="s">
        <v>257</v>
      </c>
      <c r="R12706" s="180" t="s">
        <v>257</v>
      </c>
    </row>
    <row r="12707" spans="8:18" x14ac:dyDescent="0.2">
      <c r="H12707" s="180"/>
      <c r="P12707" s="180" t="s">
        <v>257</v>
      </c>
      <c r="R12707" s="180" t="s">
        <v>257</v>
      </c>
    </row>
    <row r="12708" spans="8:18" x14ac:dyDescent="0.2">
      <c r="H12708" s="180"/>
      <c r="P12708" s="180" t="s">
        <v>257</v>
      </c>
      <c r="R12708" s="180" t="s">
        <v>257</v>
      </c>
    </row>
    <row r="12709" spans="8:18" x14ac:dyDescent="0.2">
      <c r="H12709" s="180"/>
      <c r="P12709" s="180" t="s">
        <v>257</v>
      </c>
      <c r="R12709" s="180" t="s">
        <v>257</v>
      </c>
    </row>
    <row r="12710" spans="8:18" x14ac:dyDescent="0.2">
      <c r="H12710" s="180"/>
      <c r="P12710" s="180" t="s">
        <v>257</v>
      </c>
      <c r="R12710" s="180" t="s">
        <v>257</v>
      </c>
    </row>
    <row r="12711" spans="8:18" x14ac:dyDescent="0.2">
      <c r="H12711" s="180"/>
      <c r="P12711" s="180" t="s">
        <v>257</v>
      </c>
      <c r="R12711" s="180" t="s">
        <v>257</v>
      </c>
    </row>
    <row r="12712" spans="8:18" x14ac:dyDescent="0.2">
      <c r="H12712" s="180"/>
      <c r="P12712" s="180" t="s">
        <v>257</v>
      </c>
      <c r="R12712" s="180" t="s">
        <v>257</v>
      </c>
    </row>
    <row r="12713" spans="8:18" x14ac:dyDescent="0.2">
      <c r="H12713" s="180"/>
      <c r="P12713" s="180" t="s">
        <v>257</v>
      </c>
      <c r="R12713" s="180" t="s">
        <v>257</v>
      </c>
    </row>
    <row r="12714" spans="8:18" x14ac:dyDescent="0.2">
      <c r="H12714" s="180"/>
      <c r="P12714" s="180" t="s">
        <v>257</v>
      </c>
      <c r="R12714" s="180" t="s">
        <v>257</v>
      </c>
    </row>
    <row r="12715" spans="8:18" x14ac:dyDescent="0.2">
      <c r="H12715" s="180"/>
      <c r="P12715" s="180" t="s">
        <v>257</v>
      </c>
      <c r="R12715" s="180" t="s">
        <v>257</v>
      </c>
    </row>
    <row r="12716" spans="8:18" x14ac:dyDescent="0.2">
      <c r="H12716" s="180"/>
      <c r="P12716" s="180" t="s">
        <v>257</v>
      </c>
      <c r="R12716" s="180" t="s">
        <v>257</v>
      </c>
    </row>
    <row r="12717" spans="8:18" x14ac:dyDescent="0.2">
      <c r="H12717" s="180"/>
      <c r="P12717" s="180" t="s">
        <v>257</v>
      </c>
      <c r="R12717" s="180" t="s">
        <v>257</v>
      </c>
    </row>
    <row r="12718" spans="8:18" x14ac:dyDescent="0.2">
      <c r="H12718" s="180"/>
      <c r="P12718" s="180" t="s">
        <v>257</v>
      </c>
      <c r="R12718" s="180" t="s">
        <v>257</v>
      </c>
    </row>
    <row r="12719" spans="8:18" x14ac:dyDescent="0.2">
      <c r="H12719" s="180"/>
      <c r="P12719" s="180" t="s">
        <v>257</v>
      </c>
      <c r="R12719" s="180" t="s">
        <v>257</v>
      </c>
    </row>
    <row r="12720" spans="8:18" x14ac:dyDescent="0.2">
      <c r="H12720" s="180"/>
      <c r="P12720" s="180" t="s">
        <v>257</v>
      </c>
      <c r="R12720" s="180" t="s">
        <v>257</v>
      </c>
    </row>
    <row r="12721" spans="8:18" x14ac:dyDescent="0.2">
      <c r="H12721" s="180"/>
      <c r="P12721" s="180" t="s">
        <v>257</v>
      </c>
      <c r="R12721" s="180" t="s">
        <v>257</v>
      </c>
    </row>
    <row r="12722" spans="8:18" x14ac:dyDescent="0.2">
      <c r="H12722" s="180"/>
      <c r="P12722" s="180" t="s">
        <v>257</v>
      </c>
      <c r="R12722" s="180" t="s">
        <v>257</v>
      </c>
    </row>
    <row r="12723" spans="8:18" x14ac:dyDescent="0.2">
      <c r="H12723" s="180"/>
      <c r="P12723" s="180" t="s">
        <v>257</v>
      </c>
      <c r="R12723" s="180" t="s">
        <v>257</v>
      </c>
    </row>
    <row r="12724" spans="8:18" x14ac:dyDescent="0.2">
      <c r="H12724" s="180"/>
      <c r="P12724" s="180" t="s">
        <v>257</v>
      </c>
      <c r="R12724" s="180" t="s">
        <v>257</v>
      </c>
    </row>
    <row r="12725" spans="8:18" x14ac:dyDescent="0.2">
      <c r="H12725" s="180"/>
      <c r="P12725" s="180" t="s">
        <v>257</v>
      </c>
      <c r="R12725" s="180" t="s">
        <v>257</v>
      </c>
    </row>
    <row r="12726" spans="8:18" x14ac:dyDescent="0.2">
      <c r="H12726" s="180"/>
      <c r="P12726" s="180" t="s">
        <v>257</v>
      </c>
      <c r="R12726" s="180" t="s">
        <v>257</v>
      </c>
    </row>
    <row r="12727" spans="8:18" x14ac:dyDescent="0.2">
      <c r="H12727" s="180"/>
      <c r="P12727" s="180" t="s">
        <v>257</v>
      </c>
      <c r="R12727" s="180" t="s">
        <v>257</v>
      </c>
    </row>
    <row r="12728" spans="8:18" x14ac:dyDescent="0.2">
      <c r="H12728" s="180"/>
      <c r="P12728" s="180" t="s">
        <v>257</v>
      </c>
      <c r="R12728" s="180" t="s">
        <v>257</v>
      </c>
    </row>
    <row r="12729" spans="8:18" x14ac:dyDescent="0.2">
      <c r="H12729" s="180"/>
      <c r="P12729" s="180" t="s">
        <v>257</v>
      </c>
      <c r="R12729" s="180" t="s">
        <v>257</v>
      </c>
    </row>
    <row r="12730" spans="8:18" x14ac:dyDescent="0.2">
      <c r="H12730" s="180"/>
      <c r="P12730" s="180" t="s">
        <v>257</v>
      </c>
      <c r="R12730" s="180" t="s">
        <v>257</v>
      </c>
    </row>
    <row r="12731" spans="8:18" x14ac:dyDescent="0.2">
      <c r="H12731" s="180"/>
      <c r="P12731" s="180" t="s">
        <v>257</v>
      </c>
      <c r="R12731" s="180" t="s">
        <v>257</v>
      </c>
    </row>
    <row r="12732" spans="8:18" x14ac:dyDescent="0.2">
      <c r="H12732" s="180"/>
      <c r="P12732" s="180" t="s">
        <v>257</v>
      </c>
      <c r="R12732" s="180" t="s">
        <v>257</v>
      </c>
    </row>
    <row r="12733" spans="8:18" x14ac:dyDescent="0.2">
      <c r="H12733" s="180"/>
      <c r="P12733" s="180" t="s">
        <v>257</v>
      </c>
      <c r="R12733" s="180" t="s">
        <v>257</v>
      </c>
    </row>
    <row r="12734" spans="8:18" x14ac:dyDescent="0.2">
      <c r="H12734" s="180"/>
      <c r="P12734" s="180" t="s">
        <v>257</v>
      </c>
      <c r="R12734" s="180" t="s">
        <v>257</v>
      </c>
    </row>
    <row r="12735" spans="8:18" x14ac:dyDescent="0.2">
      <c r="H12735" s="180"/>
      <c r="P12735" s="180" t="s">
        <v>257</v>
      </c>
      <c r="R12735" s="180" t="s">
        <v>257</v>
      </c>
    </row>
    <row r="12736" spans="8:18" x14ac:dyDescent="0.2">
      <c r="H12736" s="180"/>
      <c r="P12736" s="180" t="s">
        <v>257</v>
      </c>
      <c r="R12736" s="180" t="s">
        <v>257</v>
      </c>
    </row>
    <row r="12737" spans="8:18" x14ac:dyDescent="0.2">
      <c r="H12737" s="180"/>
      <c r="P12737" s="180" t="s">
        <v>257</v>
      </c>
      <c r="R12737" s="180" t="s">
        <v>257</v>
      </c>
    </row>
    <row r="12738" spans="8:18" x14ac:dyDescent="0.2">
      <c r="H12738" s="180"/>
      <c r="P12738" s="180" t="s">
        <v>257</v>
      </c>
      <c r="R12738" s="180" t="s">
        <v>257</v>
      </c>
    </row>
    <row r="12739" spans="8:18" x14ac:dyDescent="0.2">
      <c r="H12739" s="180"/>
      <c r="P12739" s="180" t="s">
        <v>257</v>
      </c>
      <c r="R12739" s="180" t="s">
        <v>257</v>
      </c>
    </row>
    <row r="12740" spans="8:18" x14ac:dyDescent="0.2">
      <c r="H12740" s="180"/>
      <c r="P12740" s="180" t="s">
        <v>257</v>
      </c>
      <c r="R12740" s="180" t="s">
        <v>257</v>
      </c>
    </row>
    <row r="12741" spans="8:18" x14ac:dyDescent="0.2">
      <c r="H12741" s="180"/>
      <c r="P12741" s="180" t="s">
        <v>257</v>
      </c>
      <c r="R12741" s="180" t="s">
        <v>257</v>
      </c>
    </row>
    <row r="12742" spans="8:18" x14ac:dyDescent="0.2">
      <c r="H12742" s="180"/>
      <c r="P12742" s="180" t="s">
        <v>257</v>
      </c>
      <c r="R12742" s="180" t="s">
        <v>257</v>
      </c>
    </row>
    <row r="12743" spans="8:18" x14ac:dyDescent="0.2">
      <c r="H12743" s="180"/>
      <c r="P12743" s="180" t="s">
        <v>257</v>
      </c>
      <c r="R12743" s="180" t="s">
        <v>257</v>
      </c>
    </row>
    <row r="12744" spans="8:18" x14ac:dyDescent="0.2">
      <c r="H12744" s="180"/>
      <c r="P12744" s="180" t="s">
        <v>257</v>
      </c>
      <c r="R12744" s="180" t="s">
        <v>257</v>
      </c>
    </row>
    <row r="12745" spans="8:18" x14ac:dyDescent="0.2">
      <c r="H12745" s="180"/>
      <c r="P12745" s="180" t="s">
        <v>257</v>
      </c>
      <c r="R12745" s="180" t="s">
        <v>257</v>
      </c>
    </row>
    <row r="12746" spans="8:18" x14ac:dyDescent="0.2">
      <c r="H12746" s="180"/>
      <c r="P12746" s="180" t="s">
        <v>257</v>
      </c>
      <c r="R12746" s="180" t="s">
        <v>257</v>
      </c>
    </row>
    <row r="12747" spans="8:18" x14ac:dyDescent="0.2">
      <c r="H12747" s="180"/>
      <c r="P12747" s="180" t="s">
        <v>257</v>
      </c>
      <c r="R12747" s="180" t="s">
        <v>257</v>
      </c>
    </row>
    <row r="12748" spans="8:18" x14ac:dyDescent="0.2">
      <c r="H12748" s="180"/>
      <c r="P12748" s="180" t="s">
        <v>257</v>
      </c>
      <c r="R12748" s="180" t="s">
        <v>257</v>
      </c>
    </row>
    <row r="12749" spans="8:18" x14ac:dyDescent="0.2">
      <c r="H12749" s="180"/>
      <c r="P12749" s="180" t="s">
        <v>257</v>
      </c>
      <c r="R12749" s="180" t="s">
        <v>257</v>
      </c>
    </row>
    <row r="12750" spans="8:18" x14ac:dyDescent="0.2">
      <c r="H12750" s="180"/>
      <c r="P12750" s="180" t="s">
        <v>257</v>
      </c>
      <c r="R12750" s="180" t="s">
        <v>257</v>
      </c>
    </row>
    <row r="12751" spans="8:18" x14ac:dyDescent="0.2">
      <c r="H12751" s="180"/>
      <c r="P12751" s="180" t="s">
        <v>257</v>
      </c>
      <c r="R12751" s="180" t="s">
        <v>257</v>
      </c>
    </row>
    <row r="12752" spans="8:18" x14ac:dyDescent="0.2">
      <c r="H12752" s="180"/>
      <c r="P12752" s="180" t="s">
        <v>257</v>
      </c>
      <c r="R12752" s="180" t="s">
        <v>257</v>
      </c>
    </row>
    <row r="12753" spans="8:18" x14ac:dyDescent="0.2">
      <c r="H12753" s="180"/>
      <c r="P12753" s="180" t="s">
        <v>257</v>
      </c>
      <c r="R12753" s="180" t="s">
        <v>257</v>
      </c>
    </row>
    <row r="12754" spans="8:18" x14ac:dyDescent="0.2">
      <c r="H12754" s="180"/>
      <c r="P12754" s="180" t="s">
        <v>257</v>
      </c>
      <c r="R12754" s="180" t="s">
        <v>257</v>
      </c>
    </row>
    <row r="12755" spans="8:18" x14ac:dyDescent="0.2">
      <c r="H12755" s="180"/>
      <c r="P12755" s="180" t="s">
        <v>257</v>
      </c>
      <c r="R12755" s="180" t="s">
        <v>257</v>
      </c>
    </row>
    <row r="12756" spans="8:18" x14ac:dyDescent="0.2">
      <c r="H12756" s="180"/>
      <c r="P12756" s="180" t="s">
        <v>257</v>
      </c>
      <c r="R12756" s="180" t="s">
        <v>257</v>
      </c>
    </row>
    <row r="12757" spans="8:18" x14ac:dyDescent="0.2">
      <c r="H12757" s="180"/>
      <c r="P12757" s="180" t="s">
        <v>257</v>
      </c>
      <c r="R12757" s="180" t="s">
        <v>257</v>
      </c>
    </row>
    <row r="12758" spans="8:18" x14ac:dyDescent="0.2">
      <c r="H12758" s="180"/>
      <c r="P12758" s="180" t="s">
        <v>257</v>
      </c>
      <c r="R12758" s="180" t="s">
        <v>257</v>
      </c>
    </row>
    <row r="12759" spans="8:18" x14ac:dyDescent="0.2">
      <c r="H12759" s="180"/>
      <c r="P12759" s="180" t="s">
        <v>257</v>
      </c>
      <c r="R12759" s="180" t="s">
        <v>257</v>
      </c>
    </row>
    <row r="12760" spans="8:18" x14ac:dyDescent="0.2">
      <c r="H12760" s="180"/>
      <c r="P12760" s="180" t="s">
        <v>257</v>
      </c>
      <c r="R12760" s="180" t="s">
        <v>257</v>
      </c>
    </row>
    <row r="12761" spans="8:18" x14ac:dyDescent="0.2">
      <c r="H12761" s="180"/>
      <c r="P12761" s="180" t="s">
        <v>257</v>
      </c>
      <c r="R12761" s="180" t="s">
        <v>257</v>
      </c>
    </row>
    <row r="12762" spans="8:18" x14ac:dyDescent="0.2">
      <c r="H12762" s="180"/>
      <c r="P12762" s="180" t="s">
        <v>257</v>
      </c>
      <c r="R12762" s="180" t="s">
        <v>257</v>
      </c>
    </row>
    <row r="12763" spans="8:18" x14ac:dyDescent="0.2">
      <c r="H12763" s="180"/>
      <c r="P12763" s="180" t="s">
        <v>257</v>
      </c>
      <c r="R12763" s="180" t="s">
        <v>257</v>
      </c>
    </row>
    <row r="12764" spans="8:18" x14ac:dyDescent="0.2">
      <c r="H12764" s="180"/>
      <c r="P12764" s="180" t="s">
        <v>257</v>
      </c>
      <c r="R12764" s="180" t="s">
        <v>257</v>
      </c>
    </row>
    <row r="12765" spans="8:18" x14ac:dyDescent="0.2">
      <c r="H12765" s="180"/>
      <c r="P12765" s="180" t="s">
        <v>257</v>
      </c>
      <c r="R12765" s="180" t="s">
        <v>257</v>
      </c>
    </row>
    <row r="12766" spans="8:18" x14ac:dyDescent="0.2">
      <c r="H12766" s="180"/>
      <c r="P12766" s="180" t="s">
        <v>257</v>
      </c>
      <c r="R12766" s="180" t="s">
        <v>257</v>
      </c>
    </row>
    <row r="12767" spans="8:18" x14ac:dyDescent="0.2">
      <c r="H12767" s="180"/>
      <c r="P12767" s="180" t="s">
        <v>257</v>
      </c>
      <c r="R12767" s="180" t="s">
        <v>257</v>
      </c>
    </row>
    <row r="12768" spans="8:18" x14ac:dyDescent="0.2">
      <c r="H12768" s="180"/>
      <c r="P12768" s="180" t="s">
        <v>257</v>
      </c>
      <c r="R12768" s="180" t="s">
        <v>257</v>
      </c>
    </row>
    <row r="12769" spans="8:18" x14ac:dyDescent="0.2">
      <c r="H12769" s="180"/>
      <c r="P12769" s="180" t="s">
        <v>257</v>
      </c>
      <c r="R12769" s="180" t="s">
        <v>257</v>
      </c>
    </row>
    <row r="12770" spans="8:18" x14ac:dyDescent="0.2">
      <c r="H12770" s="180"/>
      <c r="P12770" s="180" t="s">
        <v>257</v>
      </c>
      <c r="R12770" s="180" t="s">
        <v>257</v>
      </c>
    </row>
    <row r="12771" spans="8:18" x14ac:dyDescent="0.2">
      <c r="H12771" s="180"/>
      <c r="P12771" s="180" t="s">
        <v>257</v>
      </c>
      <c r="R12771" s="180" t="s">
        <v>257</v>
      </c>
    </row>
    <row r="12772" spans="8:18" x14ac:dyDescent="0.2">
      <c r="H12772" s="180"/>
      <c r="P12772" s="180" t="s">
        <v>257</v>
      </c>
      <c r="R12772" s="180" t="s">
        <v>257</v>
      </c>
    </row>
    <row r="12773" spans="8:18" x14ac:dyDescent="0.2">
      <c r="H12773" s="180"/>
      <c r="P12773" s="180" t="s">
        <v>257</v>
      </c>
      <c r="R12773" s="180" t="s">
        <v>257</v>
      </c>
    </row>
    <row r="12774" spans="8:18" x14ac:dyDescent="0.2">
      <c r="H12774" s="180"/>
      <c r="P12774" s="180" t="s">
        <v>257</v>
      </c>
      <c r="R12774" s="180" t="s">
        <v>257</v>
      </c>
    </row>
    <row r="12775" spans="8:18" x14ac:dyDescent="0.2">
      <c r="H12775" s="180"/>
      <c r="P12775" s="180" t="s">
        <v>257</v>
      </c>
      <c r="R12775" s="180" t="s">
        <v>257</v>
      </c>
    </row>
    <row r="12776" spans="8:18" x14ac:dyDescent="0.2">
      <c r="H12776" s="180"/>
      <c r="P12776" s="180" t="s">
        <v>257</v>
      </c>
      <c r="R12776" s="180" t="s">
        <v>257</v>
      </c>
    </row>
    <row r="12777" spans="8:18" x14ac:dyDescent="0.2">
      <c r="H12777" s="180"/>
      <c r="P12777" s="180" t="s">
        <v>257</v>
      </c>
      <c r="R12777" s="180" t="s">
        <v>257</v>
      </c>
    </row>
    <row r="12778" spans="8:18" x14ac:dyDescent="0.2">
      <c r="H12778" s="180"/>
      <c r="P12778" s="180" t="s">
        <v>257</v>
      </c>
      <c r="R12778" s="180" t="s">
        <v>257</v>
      </c>
    </row>
    <row r="12779" spans="8:18" x14ac:dyDescent="0.2">
      <c r="H12779" s="180"/>
      <c r="P12779" s="180" t="s">
        <v>257</v>
      </c>
      <c r="R12779" s="180" t="s">
        <v>257</v>
      </c>
    </row>
    <row r="12780" spans="8:18" x14ac:dyDescent="0.2">
      <c r="H12780" s="180"/>
      <c r="P12780" s="180" t="s">
        <v>257</v>
      </c>
      <c r="R12780" s="180" t="s">
        <v>257</v>
      </c>
    </row>
    <row r="12781" spans="8:18" x14ac:dyDescent="0.2">
      <c r="H12781" s="180"/>
      <c r="P12781" s="180" t="s">
        <v>257</v>
      </c>
      <c r="R12781" s="180" t="s">
        <v>257</v>
      </c>
    </row>
    <row r="12782" spans="8:18" x14ac:dyDescent="0.2">
      <c r="H12782" s="180"/>
      <c r="P12782" s="180" t="s">
        <v>257</v>
      </c>
      <c r="R12782" s="180" t="s">
        <v>257</v>
      </c>
    </row>
    <row r="12783" spans="8:18" x14ac:dyDescent="0.2">
      <c r="H12783" s="180"/>
      <c r="P12783" s="180" t="s">
        <v>257</v>
      </c>
      <c r="R12783" s="180" t="s">
        <v>257</v>
      </c>
    </row>
    <row r="12784" spans="8:18" x14ac:dyDescent="0.2">
      <c r="H12784" s="180"/>
      <c r="P12784" s="180" t="s">
        <v>257</v>
      </c>
      <c r="R12784" s="180" t="s">
        <v>257</v>
      </c>
    </row>
    <row r="12785" spans="8:18" x14ac:dyDescent="0.2">
      <c r="H12785" s="180"/>
      <c r="P12785" s="180" t="s">
        <v>257</v>
      </c>
      <c r="R12785" s="180" t="s">
        <v>257</v>
      </c>
    </row>
    <row r="12786" spans="8:18" x14ac:dyDescent="0.2">
      <c r="H12786" s="180"/>
      <c r="P12786" s="180" t="s">
        <v>257</v>
      </c>
      <c r="R12786" s="180" t="s">
        <v>257</v>
      </c>
    </row>
    <row r="12787" spans="8:18" x14ac:dyDescent="0.2">
      <c r="H12787" s="180"/>
      <c r="P12787" s="180" t="s">
        <v>257</v>
      </c>
      <c r="R12787" s="180" t="s">
        <v>257</v>
      </c>
    </row>
    <row r="12788" spans="8:18" x14ac:dyDescent="0.2">
      <c r="H12788" s="180"/>
      <c r="P12788" s="180" t="s">
        <v>257</v>
      </c>
      <c r="R12788" s="180" t="s">
        <v>257</v>
      </c>
    </row>
    <row r="12789" spans="8:18" x14ac:dyDescent="0.2">
      <c r="H12789" s="180"/>
      <c r="P12789" s="180" t="s">
        <v>257</v>
      </c>
      <c r="R12789" s="180" t="s">
        <v>257</v>
      </c>
    </row>
    <row r="12790" spans="8:18" x14ac:dyDescent="0.2">
      <c r="H12790" s="180"/>
      <c r="P12790" s="180" t="s">
        <v>257</v>
      </c>
      <c r="R12790" s="180" t="s">
        <v>257</v>
      </c>
    </row>
    <row r="12791" spans="8:18" x14ac:dyDescent="0.2">
      <c r="H12791" s="180"/>
      <c r="P12791" s="180" t="s">
        <v>257</v>
      </c>
      <c r="R12791" s="180" t="s">
        <v>257</v>
      </c>
    </row>
    <row r="12792" spans="8:18" x14ac:dyDescent="0.2">
      <c r="H12792" s="180"/>
      <c r="P12792" s="180" t="s">
        <v>257</v>
      </c>
      <c r="R12792" s="180" t="s">
        <v>257</v>
      </c>
    </row>
    <row r="12793" spans="8:18" x14ac:dyDescent="0.2">
      <c r="H12793" s="180"/>
      <c r="P12793" s="180" t="s">
        <v>257</v>
      </c>
      <c r="R12793" s="180" t="s">
        <v>257</v>
      </c>
    </row>
    <row r="12794" spans="8:18" x14ac:dyDescent="0.2">
      <c r="H12794" s="180"/>
      <c r="P12794" s="180" t="s">
        <v>257</v>
      </c>
      <c r="R12794" s="180" t="s">
        <v>257</v>
      </c>
    </row>
    <row r="12795" spans="8:18" x14ac:dyDescent="0.2">
      <c r="H12795" s="180"/>
      <c r="P12795" s="180" t="s">
        <v>257</v>
      </c>
      <c r="R12795" s="180" t="s">
        <v>257</v>
      </c>
    </row>
    <row r="12796" spans="8:18" x14ac:dyDescent="0.2">
      <c r="H12796" s="180"/>
      <c r="P12796" s="180" t="s">
        <v>257</v>
      </c>
      <c r="R12796" s="180" t="s">
        <v>257</v>
      </c>
    </row>
    <row r="12797" spans="8:18" x14ac:dyDescent="0.2">
      <c r="H12797" s="180"/>
      <c r="P12797" s="180" t="s">
        <v>257</v>
      </c>
      <c r="R12797" s="180" t="s">
        <v>257</v>
      </c>
    </row>
    <row r="12798" spans="8:18" x14ac:dyDescent="0.2">
      <c r="H12798" s="180"/>
      <c r="P12798" s="180" t="s">
        <v>257</v>
      </c>
      <c r="R12798" s="180" t="s">
        <v>257</v>
      </c>
    </row>
    <row r="12799" spans="8:18" x14ac:dyDescent="0.2">
      <c r="H12799" s="180"/>
      <c r="P12799" s="180" t="s">
        <v>257</v>
      </c>
      <c r="R12799" s="180" t="s">
        <v>257</v>
      </c>
    </row>
    <row r="12800" spans="8:18" x14ac:dyDescent="0.2">
      <c r="H12800" s="180"/>
      <c r="P12800" s="180" t="s">
        <v>257</v>
      </c>
      <c r="R12800" s="180" t="s">
        <v>257</v>
      </c>
    </row>
    <row r="12801" spans="8:18" x14ac:dyDescent="0.2">
      <c r="H12801" s="180"/>
      <c r="P12801" s="180" t="s">
        <v>257</v>
      </c>
      <c r="R12801" s="180" t="s">
        <v>257</v>
      </c>
    </row>
    <row r="12802" spans="8:18" x14ac:dyDescent="0.2">
      <c r="H12802" s="180"/>
      <c r="P12802" s="180" t="s">
        <v>257</v>
      </c>
      <c r="R12802" s="180" t="s">
        <v>257</v>
      </c>
    </row>
    <row r="12803" spans="8:18" x14ac:dyDescent="0.2">
      <c r="H12803" s="180"/>
      <c r="P12803" s="180" t="s">
        <v>257</v>
      </c>
      <c r="R12803" s="180" t="s">
        <v>257</v>
      </c>
    </row>
    <row r="12804" spans="8:18" x14ac:dyDescent="0.2">
      <c r="H12804" s="180"/>
      <c r="P12804" s="180" t="s">
        <v>257</v>
      </c>
      <c r="R12804" s="180" t="s">
        <v>257</v>
      </c>
    </row>
    <row r="12805" spans="8:18" x14ac:dyDescent="0.2">
      <c r="H12805" s="180"/>
      <c r="P12805" s="180" t="s">
        <v>257</v>
      </c>
      <c r="R12805" s="180" t="s">
        <v>257</v>
      </c>
    </row>
    <row r="12806" spans="8:18" x14ac:dyDescent="0.2">
      <c r="H12806" s="180"/>
      <c r="P12806" s="180" t="s">
        <v>257</v>
      </c>
      <c r="R12806" s="180" t="s">
        <v>257</v>
      </c>
    </row>
    <row r="12807" spans="8:18" x14ac:dyDescent="0.2">
      <c r="H12807" s="180"/>
      <c r="P12807" s="180" t="s">
        <v>257</v>
      </c>
      <c r="R12807" s="180" t="s">
        <v>257</v>
      </c>
    </row>
    <row r="12808" spans="8:18" x14ac:dyDescent="0.2">
      <c r="H12808" s="180"/>
      <c r="P12808" s="180" t="s">
        <v>257</v>
      </c>
      <c r="R12808" s="180" t="s">
        <v>257</v>
      </c>
    </row>
    <row r="12809" spans="8:18" x14ac:dyDescent="0.2">
      <c r="H12809" s="180"/>
      <c r="P12809" s="180" t="s">
        <v>257</v>
      </c>
      <c r="R12809" s="180" t="s">
        <v>257</v>
      </c>
    </row>
    <row r="12810" spans="8:18" x14ac:dyDescent="0.2">
      <c r="H12810" s="180"/>
      <c r="P12810" s="180" t="s">
        <v>257</v>
      </c>
      <c r="R12810" s="180" t="s">
        <v>257</v>
      </c>
    </row>
    <row r="12811" spans="8:18" x14ac:dyDescent="0.2">
      <c r="H12811" s="180"/>
      <c r="P12811" s="180" t="s">
        <v>257</v>
      </c>
      <c r="R12811" s="180" t="s">
        <v>257</v>
      </c>
    </row>
    <row r="12812" spans="8:18" x14ac:dyDescent="0.2">
      <c r="H12812" s="180"/>
      <c r="P12812" s="180" t="s">
        <v>257</v>
      </c>
      <c r="R12812" s="180" t="s">
        <v>257</v>
      </c>
    </row>
    <row r="12813" spans="8:18" x14ac:dyDescent="0.2">
      <c r="H12813" s="180"/>
      <c r="P12813" s="180" t="s">
        <v>257</v>
      </c>
      <c r="R12813" s="180" t="s">
        <v>257</v>
      </c>
    </row>
    <row r="12814" spans="8:18" x14ac:dyDescent="0.2">
      <c r="H12814" s="180"/>
      <c r="P12814" s="180" t="s">
        <v>257</v>
      </c>
      <c r="R12814" s="180" t="s">
        <v>257</v>
      </c>
    </row>
    <row r="12815" spans="8:18" x14ac:dyDescent="0.2">
      <c r="H12815" s="180"/>
      <c r="P12815" s="180" t="s">
        <v>257</v>
      </c>
      <c r="R12815" s="180" t="s">
        <v>257</v>
      </c>
    </row>
    <row r="12816" spans="8:18" x14ac:dyDescent="0.2">
      <c r="H12816" s="180"/>
      <c r="P12816" s="180" t="s">
        <v>257</v>
      </c>
      <c r="R12816" s="180" t="s">
        <v>257</v>
      </c>
    </row>
    <row r="12817" spans="8:18" x14ac:dyDescent="0.2">
      <c r="H12817" s="180"/>
      <c r="P12817" s="180" t="s">
        <v>257</v>
      </c>
      <c r="R12817" s="180" t="s">
        <v>257</v>
      </c>
    </row>
    <row r="12818" spans="8:18" x14ac:dyDescent="0.2">
      <c r="H12818" s="180"/>
      <c r="P12818" s="180" t="s">
        <v>257</v>
      </c>
      <c r="R12818" s="180" t="s">
        <v>257</v>
      </c>
    </row>
    <row r="12819" spans="8:18" x14ac:dyDescent="0.2">
      <c r="H12819" s="180"/>
      <c r="P12819" s="180" t="s">
        <v>257</v>
      </c>
      <c r="R12819" s="180" t="s">
        <v>257</v>
      </c>
    </row>
    <row r="12820" spans="8:18" x14ac:dyDescent="0.2">
      <c r="H12820" s="180"/>
      <c r="P12820" s="180" t="s">
        <v>257</v>
      </c>
      <c r="R12820" s="180" t="s">
        <v>257</v>
      </c>
    </row>
    <row r="12821" spans="8:18" x14ac:dyDescent="0.2">
      <c r="H12821" s="180"/>
      <c r="P12821" s="180" t="s">
        <v>257</v>
      </c>
      <c r="R12821" s="180" t="s">
        <v>257</v>
      </c>
    </row>
    <row r="12822" spans="8:18" x14ac:dyDescent="0.2">
      <c r="H12822" s="180"/>
      <c r="P12822" s="180" t="s">
        <v>257</v>
      </c>
      <c r="R12822" s="180" t="s">
        <v>257</v>
      </c>
    </row>
    <row r="12823" spans="8:18" x14ac:dyDescent="0.2">
      <c r="H12823" s="180"/>
      <c r="P12823" s="180" t="s">
        <v>257</v>
      </c>
      <c r="R12823" s="180" t="s">
        <v>257</v>
      </c>
    </row>
    <row r="12824" spans="8:18" x14ac:dyDescent="0.2">
      <c r="H12824" s="180"/>
      <c r="P12824" s="180" t="s">
        <v>257</v>
      </c>
      <c r="R12824" s="180" t="s">
        <v>257</v>
      </c>
    </row>
    <row r="12825" spans="8:18" x14ac:dyDescent="0.2">
      <c r="H12825" s="180"/>
      <c r="P12825" s="180" t="s">
        <v>257</v>
      </c>
      <c r="R12825" s="180" t="s">
        <v>257</v>
      </c>
    </row>
    <row r="12826" spans="8:18" x14ac:dyDescent="0.2">
      <c r="H12826" s="180"/>
      <c r="P12826" s="180" t="s">
        <v>257</v>
      </c>
      <c r="R12826" s="180" t="s">
        <v>257</v>
      </c>
    </row>
    <row r="12827" spans="8:18" x14ac:dyDescent="0.2">
      <c r="H12827" s="180"/>
      <c r="P12827" s="180" t="s">
        <v>257</v>
      </c>
      <c r="R12827" s="180" t="s">
        <v>257</v>
      </c>
    </row>
    <row r="12828" spans="8:18" x14ac:dyDescent="0.2">
      <c r="H12828" s="180"/>
      <c r="P12828" s="180" t="s">
        <v>257</v>
      </c>
      <c r="R12828" s="180" t="s">
        <v>257</v>
      </c>
    </row>
    <row r="12829" spans="8:18" x14ac:dyDescent="0.2">
      <c r="H12829" s="180"/>
      <c r="P12829" s="180" t="s">
        <v>257</v>
      </c>
      <c r="R12829" s="180" t="s">
        <v>257</v>
      </c>
    </row>
    <row r="12830" spans="8:18" x14ac:dyDescent="0.2">
      <c r="H12830" s="180"/>
      <c r="P12830" s="180" t="s">
        <v>257</v>
      </c>
      <c r="R12830" s="180" t="s">
        <v>257</v>
      </c>
    </row>
    <row r="12831" spans="8:18" x14ac:dyDescent="0.2">
      <c r="H12831" s="180"/>
      <c r="P12831" s="180" t="s">
        <v>257</v>
      </c>
      <c r="R12831" s="180" t="s">
        <v>257</v>
      </c>
    </row>
    <row r="12832" spans="8:18" x14ac:dyDescent="0.2">
      <c r="H12832" s="180"/>
      <c r="P12832" s="180" t="s">
        <v>257</v>
      </c>
      <c r="R12832" s="180" t="s">
        <v>257</v>
      </c>
    </row>
    <row r="12833" spans="8:18" x14ac:dyDescent="0.2">
      <c r="H12833" s="180"/>
      <c r="P12833" s="180" t="s">
        <v>257</v>
      </c>
      <c r="R12833" s="180" t="s">
        <v>257</v>
      </c>
    </row>
    <row r="12834" spans="8:18" x14ac:dyDescent="0.2">
      <c r="H12834" s="180"/>
      <c r="P12834" s="180" t="s">
        <v>257</v>
      </c>
      <c r="R12834" s="180" t="s">
        <v>257</v>
      </c>
    </row>
    <row r="12835" spans="8:18" x14ac:dyDescent="0.2">
      <c r="H12835" s="180"/>
      <c r="P12835" s="180" t="s">
        <v>257</v>
      </c>
      <c r="R12835" s="180" t="s">
        <v>257</v>
      </c>
    </row>
    <row r="12836" spans="8:18" x14ac:dyDescent="0.2">
      <c r="H12836" s="180"/>
      <c r="P12836" s="180" t="s">
        <v>257</v>
      </c>
      <c r="R12836" s="180" t="s">
        <v>257</v>
      </c>
    </row>
    <row r="12837" spans="8:18" x14ac:dyDescent="0.2">
      <c r="H12837" s="180"/>
      <c r="P12837" s="180" t="s">
        <v>257</v>
      </c>
      <c r="R12837" s="180" t="s">
        <v>257</v>
      </c>
    </row>
    <row r="12838" spans="8:18" x14ac:dyDescent="0.2">
      <c r="H12838" s="180"/>
      <c r="P12838" s="180" t="s">
        <v>257</v>
      </c>
      <c r="R12838" s="180" t="s">
        <v>257</v>
      </c>
    </row>
    <row r="12839" spans="8:18" x14ac:dyDescent="0.2">
      <c r="H12839" s="180"/>
      <c r="P12839" s="180" t="s">
        <v>257</v>
      </c>
      <c r="R12839" s="180" t="s">
        <v>257</v>
      </c>
    </row>
    <row r="12840" spans="8:18" x14ac:dyDescent="0.2">
      <c r="H12840" s="180"/>
      <c r="P12840" s="180" t="s">
        <v>257</v>
      </c>
      <c r="R12840" s="180" t="s">
        <v>257</v>
      </c>
    </row>
    <row r="12841" spans="8:18" x14ac:dyDescent="0.2">
      <c r="H12841" s="180"/>
      <c r="P12841" s="180" t="s">
        <v>257</v>
      </c>
      <c r="R12841" s="180" t="s">
        <v>257</v>
      </c>
    </row>
    <row r="12842" spans="8:18" x14ac:dyDescent="0.2">
      <c r="H12842" s="180"/>
      <c r="P12842" s="180" t="s">
        <v>257</v>
      </c>
      <c r="R12842" s="180" t="s">
        <v>257</v>
      </c>
    </row>
    <row r="12843" spans="8:18" x14ac:dyDescent="0.2">
      <c r="H12843" s="180"/>
      <c r="P12843" s="180" t="s">
        <v>257</v>
      </c>
      <c r="R12843" s="180" t="s">
        <v>257</v>
      </c>
    </row>
    <row r="12844" spans="8:18" x14ac:dyDescent="0.2">
      <c r="H12844" s="180"/>
      <c r="P12844" s="180" t="s">
        <v>257</v>
      </c>
      <c r="R12844" s="180" t="s">
        <v>257</v>
      </c>
    </row>
    <row r="12845" spans="8:18" x14ac:dyDescent="0.2">
      <c r="H12845" s="180"/>
      <c r="P12845" s="180" t="s">
        <v>257</v>
      </c>
      <c r="R12845" s="180" t="s">
        <v>257</v>
      </c>
    </row>
    <row r="12846" spans="8:18" x14ac:dyDescent="0.2">
      <c r="H12846" s="180"/>
      <c r="P12846" s="180" t="s">
        <v>257</v>
      </c>
      <c r="R12846" s="180" t="s">
        <v>257</v>
      </c>
    </row>
    <row r="12847" spans="8:18" x14ac:dyDescent="0.2">
      <c r="H12847" s="180"/>
      <c r="P12847" s="180" t="s">
        <v>257</v>
      </c>
      <c r="R12847" s="180" t="s">
        <v>257</v>
      </c>
    </row>
    <row r="12848" spans="8:18" x14ac:dyDescent="0.2">
      <c r="H12848" s="180"/>
      <c r="P12848" s="180" t="s">
        <v>257</v>
      </c>
      <c r="R12848" s="180" t="s">
        <v>257</v>
      </c>
    </row>
    <row r="12849" spans="8:18" x14ac:dyDescent="0.2">
      <c r="H12849" s="180"/>
      <c r="P12849" s="180" t="s">
        <v>257</v>
      </c>
      <c r="R12849" s="180" t="s">
        <v>257</v>
      </c>
    </row>
    <row r="12850" spans="8:18" x14ac:dyDescent="0.2">
      <c r="H12850" s="180"/>
      <c r="P12850" s="180" t="s">
        <v>257</v>
      </c>
      <c r="R12850" s="180" t="s">
        <v>257</v>
      </c>
    </row>
    <row r="12851" spans="8:18" x14ac:dyDescent="0.2">
      <c r="H12851" s="180"/>
      <c r="P12851" s="180" t="s">
        <v>257</v>
      </c>
      <c r="R12851" s="180" t="s">
        <v>257</v>
      </c>
    </row>
    <row r="12852" spans="8:18" x14ac:dyDescent="0.2">
      <c r="H12852" s="180"/>
      <c r="P12852" s="180" t="s">
        <v>257</v>
      </c>
      <c r="R12852" s="180" t="s">
        <v>257</v>
      </c>
    </row>
    <row r="12853" spans="8:18" x14ac:dyDescent="0.2">
      <c r="H12853" s="180"/>
      <c r="P12853" s="180" t="s">
        <v>257</v>
      </c>
      <c r="R12853" s="180" t="s">
        <v>257</v>
      </c>
    </row>
    <row r="12854" spans="8:18" x14ac:dyDescent="0.2">
      <c r="H12854" s="180"/>
      <c r="P12854" s="180" t="s">
        <v>257</v>
      </c>
      <c r="R12854" s="180" t="s">
        <v>257</v>
      </c>
    </row>
    <row r="12855" spans="8:18" x14ac:dyDescent="0.2">
      <c r="H12855" s="180"/>
      <c r="P12855" s="180" t="s">
        <v>257</v>
      </c>
      <c r="R12855" s="180" t="s">
        <v>257</v>
      </c>
    </row>
    <row r="12856" spans="8:18" x14ac:dyDescent="0.2">
      <c r="H12856" s="180"/>
      <c r="P12856" s="180" t="s">
        <v>257</v>
      </c>
      <c r="R12856" s="180" t="s">
        <v>257</v>
      </c>
    </row>
    <row r="12857" spans="8:18" x14ac:dyDescent="0.2">
      <c r="H12857" s="180"/>
      <c r="P12857" s="180" t="s">
        <v>257</v>
      </c>
      <c r="R12857" s="180" t="s">
        <v>257</v>
      </c>
    </row>
    <row r="12858" spans="8:18" x14ac:dyDescent="0.2">
      <c r="H12858" s="180"/>
      <c r="P12858" s="180" t="s">
        <v>257</v>
      </c>
      <c r="R12858" s="180" t="s">
        <v>257</v>
      </c>
    </row>
    <row r="12859" spans="8:18" x14ac:dyDescent="0.2">
      <c r="H12859" s="180"/>
      <c r="P12859" s="180" t="s">
        <v>257</v>
      </c>
      <c r="R12859" s="180" t="s">
        <v>257</v>
      </c>
    </row>
    <row r="12860" spans="8:18" x14ac:dyDescent="0.2">
      <c r="H12860" s="180"/>
      <c r="P12860" s="180" t="s">
        <v>257</v>
      </c>
      <c r="R12860" s="180" t="s">
        <v>257</v>
      </c>
    </row>
    <row r="12861" spans="8:18" x14ac:dyDescent="0.2">
      <c r="H12861" s="180"/>
      <c r="P12861" s="180" t="s">
        <v>257</v>
      </c>
      <c r="R12861" s="180" t="s">
        <v>257</v>
      </c>
    </row>
    <row r="12862" spans="8:18" x14ac:dyDescent="0.2">
      <c r="H12862" s="180"/>
      <c r="P12862" s="180" t="s">
        <v>257</v>
      </c>
      <c r="R12862" s="180" t="s">
        <v>257</v>
      </c>
    </row>
    <row r="12863" spans="8:18" x14ac:dyDescent="0.2">
      <c r="H12863" s="180"/>
      <c r="P12863" s="180" t="s">
        <v>257</v>
      </c>
      <c r="R12863" s="180" t="s">
        <v>257</v>
      </c>
    </row>
    <row r="12864" spans="8:18" x14ac:dyDescent="0.2">
      <c r="H12864" s="180"/>
      <c r="P12864" s="180" t="s">
        <v>257</v>
      </c>
      <c r="R12864" s="180" t="s">
        <v>257</v>
      </c>
    </row>
    <row r="12865" spans="8:18" x14ac:dyDescent="0.2">
      <c r="H12865" s="180"/>
      <c r="P12865" s="180" t="s">
        <v>257</v>
      </c>
      <c r="R12865" s="180" t="s">
        <v>257</v>
      </c>
    </row>
    <row r="12866" spans="8:18" x14ac:dyDescent="0.2">
      <c r="H12866" s="180"/>
      <c r="P12866" s="180" t="s">
        <v>257</v>
      </c>
      <c r="R12866" s="180" t="s">
        <v>257</v>
      </c>
    </row>
    <row r="12867" spans="8:18" x14ac:dyDescent="0.2">
      <c r="H12867" s="180"/>
      <c r="P12867" s="180" t="s">
        <v>257</v>
      </c>
      <c r="R12867" s="180" t="s">
        <v>257</v>
      </c>
    </row>
    <row r="12868" spans="8:18" x14ac:dyDescent="0.2">
      <c r="H12868" s="180"/>
      <c r="P12868" s="180" t="s">
        <v>257</v>
      </c>
      <c r="R12868" s="180" t="s">
        <v>257</v>
      </c>
    </row>
    <row r="12869" spans="8:18" x14ac:dyDescent="0.2">
      <c r="H12869" s="180"/>
      <c r="P12869" s="180" t="s">
        <v>257</v>
      </c>
      <c r="R12869" s="180" t="s">
        <v>257</v>
      </c>
    </row>
    <row r="12870" spans="8:18" x14ac:dyDescent="0.2">
      <c r="H12870" s="180"/>
      <c r="P12870" s="180" t="s">
        <v>257</v>
      </c>
      <c r="R12870" s="180" t="s">
        <v>257</v>
      </c>
    </row>
    <row r="12871" spans="8:18" x14ac:dyDescent="0.2">
      <c r="H12871" s="180"/>
      <c r="P12871" s="180" t="s">
        <v>257</v>
      </c>
      <c r="R12871" s="180" t="s">
        <v>257</v>
      </c>
    </row>
    <row r="12872" spans="8:18" x14ac:dyDescent="0.2">
      <c r="H12872" s="180"/>
      <c r="P12872" s="180" t="s">
        <v>257</v>
      </c>
      <c r="R12872" s="180" t="s">
        <v>257</v>
      </c>
    </row>
    <row r="12873" spans="8:18" x14ac:dyDescent="0.2">
      <c r="H12873" s="180"/>
      <c r="P12873" s="180" t="s">
        <v>257</v>
      </c>
      <c r="R12873" s="180" t="s">
        <v>257</v>
      </c>
    </row>
    <row r="12874" spans="8:18" x14ac:dyDescent="0.2">
      <c r="H12874" s="180"/>
      <c r="P12874" s="180" t="s">
        <v>257</v>
      </c>
      <c r="R12874" s="180" t="s">
        <v>257</v>
      </c>
    </row>
    <row r="12875" spans="8:18" x14ac:dyDescent="0.2">
      <c r="H12875" s="180"/>
      <c r="P12875" s="180" t="s">
        <v>257</v>
      </c>
      <c r="R12875" s="180" t="s">
        <v>257</v>
      </c>
    </row>
    <row r="12876" spans="8:18" x14ac:dyDescent="0.2">
      <c r="H12876" s="180"/>
      <c r="P12876" s="180" t="s">
        <v>257</v>
      </c>
      <c r="R12876" s="180" t="s">
        <v>257</v>
      </c>
    </row>
    <row r="12877" spans="8:18" x14ac:dyDescent="0.2">
      <c r="H12877" s="180"/>
      <c r="P12877" s="180" t="s">
        <v>257</v>
      </c>
      <c r="R12877" s="180" t="s">
        <v>257</v>
      </c>
    </row>
    <row r="12878" spans="8:18" x14ac:dyDescent="0.2">
      <c r="H12878" s="180"/>
      <c r="P12878" s="180" t="s">
        <v>257</v>
      </c>
      <c r="R12878" s="180" t="s">
        <v>257</v>
      </c>
    </row>
    <row r="12879" spans="8:18" x14ac:dyDescent="0.2">
      <c r="H12879" s="180"/>
      <c r="P12879" s="180" t="s">
        <v>257</v>
      </c>
      <c r="R12879" s="180" t="s">
        <v>257</v>
      </c>
    </row>
    <row r="12880" spans="8:18" x14ac:dyDescent="0.2">
      <c r="H12880" s="180"/>
      <c r="P12880" s="180" t="s">
        <v>257</v>
      </c>
      <c r="R12880" s="180" t="s">
        <v>257</v>
      </c>
    </row>
    <row r="12881" spans="8:18" x14ac:dyDescent="0.2">
      <c r="H12881" s="180"/>
      <c r="P12881" s="180" t="s">
        <v>257</v>
      </c>
      <c r="R12881" s="180" t="s">
        <v>257</v>
      </c>
    </row>
    <row r="12882" spans="8:18" x14ac:dyDescent="0.2">
      <c r="H12882" s="180"/>
      <c r="P12882" s="180" t="s">
        <v>257</v>
      </c>
      <c r="R12882" s="180" t="s">
        <v>257</v>
      </c>
    </row>
    <row r="12883" spans="8:18" x14ac:dyDescent="0.2">
      <c r="H12883" s="180"/>
      <c r="P12883" s="180" t="s">
        <v>257</v>
      </c>
      <c r="R12883" s="180" t="s">
        <v>257</v>
      </c>
    </row>
    <row r="12884" spans="8:18" x14ac:dyDescent="0.2">
      <c r="H12884" s="180"/>
      <c r="P12884" s="180" t="s">
        <v>257</v>
      </c>
      <c r="R12884" s="180" t="s">
        <v>257</v>
      </c>
    </row>
    <row r="12885" spans="8:18" x14ac:dyDescent="0.2">
      <c r="H12885" s="180"/>
      <c r="P12885" s="180" t="s">
        <v>257</v>
      </c>
      <c r="R12885" s="180" t="s">
        <v>257</v>
      </c>
    </row>
    <row r="12886" spans="8:18" x14ac:dyDescent="0.2">
      <c r="H12886" s="180"/>
      <c r="P12886" s="180" t="s">
        <v>257</v>
      </c>
      <c r="R12886" s="180" t="s">
        <v>257</v>
      </c>
    </row>
    <row r="12887" spans="8:18" x14ac:dyDescent="0.2">
      <c r="H12887" s="180"/>
      <c r="P12887" s="180" t="s">
        <v>257</v>
      </c>
      <c r="R12887" s="180" t="s">
        <v>257</v>
      </c>
    </row>
    <row r="12888" spans="8:18" x14ac:dyDescent="0.2">
      <c r="H12888" s="180"/>
      <c r="P12888" s="180" t="s">
        <v>257</v>
      </c>
      <c r="R12888" s="180" t="s">
        <v>257</v>
      </c>
    </row>
    <row r="12889" spans="8:18" x14ac:dyDescent="0.2">
      <c r="H12889" s="180"/>
      <c r="P12889" s="180" t="s">
        <v>257</v>
      </c>
      <c r="R12889" s="180" t="s">
        <v>257</v>
      </c>
    </row>
    <row r="12890" spans="8:18" x14ac:dyDescent="0.2">
      <c r="H12890" s="180"/>
      <c r="P12890" s="180" t="s">
        <v>257</v>
      </c>
      <c r="R12890" s="180" t="s">
        <v>257</v>
      </c>
    </row>
    <row r="12891" spans="8:18" x14ac:dyDescent="0.2">
      <c r="H12891" s="180"/>
      <c r="P12891" s="180" t="s">
        <v>257</v>
      </c>
      <c r="R12891" s="180" t="s">
        <v>257</v>
      </c>
    </row>
    <row r="12892" spans="8:18" x14ac:dyDescent="0.2">
      <c r="H12892" s="180"/>
      <c r="P12892" s="180" t="s">
        <v>257</v>
      </c>
      <c r="R12892" s="180" t="s">
        <v>257</v>
      </c>
    </row>
    <row r="12893" spans="8:18" x14ac:dyDescent="0.2">
      <c r="H12893" s="180"/>
      <c r="P12893" s="180" t="s">
        <v>257</v>
      </c>
      <c r="R12893" s="180" t="s">
        <v>257</v>
      </c>
    </row>
    <row r="12894" spans="8:18" x14ac:dyDescent="0.2">
      <c r="H12894" s="180"/>
      <c r="P12894" s="180" t="s">
        <v>257</v>
      </c>
      <c r="R12894" s="180" t="s">
        <v>257</v>
      </c>
    </row>
    <row r="12895" spans="8:18" x14ac:dyDescent="0.2">
      <c r="H12895" s="180"/>
      <c r="P12895" s="180" t="s">
        <v>257</v>
      </c>
      <c r="R12895" s="180" t="s">
        <v>257</v>
      </c>
    </row>
    <row r="12896" spans="8:18" x14ac:dyDescent="0.2">
      <c r="H12896" s="180"/>
      <c r="P12896" s="180" t="s">
        <v>257</v>
      </c>
      <c r="R12896" s="180" t="s">
        <v>257</v>
      </c>
    </row>
    <row r="12897" spans="8:18" x14ac:dyDescent="0.2">
      <c r="H12897" s="180"/>
      <c r="P12897" s="180" t="s">
        <v>257</v>
      </c>
      <c r="R12897" s="180" t="s">
        <v>257</v>
      </c>
    </row>
    <row r="12898" spans="8:18" x14ac:dyDescent="0.2">
      <c r="H12898" s="180"/>
      <c r="P12898" s="180" t="s">
        <v>257</v>
      </c>
      <c r="R12898" s="180" t="s">
        <v>257</v>
      </c>
    </row>
    <row r="12899" spans="8:18" x14ac:dyDescent="0.2">
      <c r="H12899" s="180"/>
      <c r="P12899" s="180" t="s">
        <v>257</v>
      </c>
      <c r="R12899" s="180" t="s">
        <v>257</v>
      </c>
    </row>
    <row r="12900" spans="8:18" x14ac:dyDescent="0.2">
      <c r="H12900" s="180"/>
      <c r="P12900" s="180" t="s">
        <v>257</v>
      </c>
      <c r="R12900" s="180" t="s">
        <v>257</v>
      </c>
    </row>
    <row r="12901" spans="8:18" x14ac:dyDescent="0.2">
      <c r="H12901" s="180"/>
      <c r="P12901" s="180" t="s">
        <v>257</v>
      </c>
      <c r="R12901" s="180" t="s">
        <v>257</v>
      </c>
    </row>
    <row r="12902" spans="8:18" x14ac:dyDescent="0.2">
      <c r="H12902" s="180"/>
      <c r="P12902" s="180" t="s">
        <v>257</v>
      </c>
      <c r="R12902" s="180" t="s">
        <v>257</v>
      </c>
    </row>
    <row r="12903" spans="8:18" x14ac:dyDescent="0.2">
      <c r="H12903" s="180"/>
      <c r="P12903" s="180" t="s">
        <v>257</v>
      </c>
      <c r="R12903" s="180" t="s">
        <v>257</v>
      </c>
    </row>
    <row r="12904" spans="8:18" x14ac:dyDescent="0.2">
      <c r="H12904" s="180"/>
      <c r="P12904" s="180" t="s">
        <v>257</v>
      </c>
      <c r="R12904" s="180" t="s">
        <v>257</v>
      </c>
    </row>
    <row r="12905" spans="8:18" x14ac:dyDescent="0.2">
      <c r="H12905" s="180"/>
      <c r="P12905" s="180" t="s">
        <v>257</v>
      </c>
      <c r="R12905" s="180" t="s">
        <v>257</v>
      </c>
    </row>
    <row r="12906" spans="8:18" x14ac:dyDescent="0.2">
      <c r="H12906" s="180"/>
      <c r="P12906" s="180" t="s">
        <v>257</v>
      </c>
      <c r="R12906" s="180" t="s">
        <v>257</v>
      </c>
    </row>
    <row r="12907" spans="8:18" x14ac:dyDescent="0.2">
      <c r="H12907" s="180"/>
      <c r="P12907" s="180" t="s">
        <v>257</v>
      </c>
      <c r="R12907" s="180" t="s">
        <v>257</v>
      </c>
    </row>
    <row r="12908" spans="8:18" x14ac:dyDescent="0.2">
      <c r="H12908" s="180"/>
      <c r="P12908" s="180" t="s">
        <v>257</v>
      </c>
      <c r="R12908" s="180" t="s">
        <v>257</v>
      </c>
    </row>
    <row r="12909" spans="8:18" x14ac:dyDescent="0.2">
      <c r="H12909" s="180"/>
      <c r="P12909" s="180" t="s">
        <v>257</v>
      </c>
      <c r="R12909" s="180" t="s">
        <v>257</v>
      </c>
    </row>
    <row r="12910" spans="8:18" x14ac:dyDescent="0.2">
      <c r="H12910" s="180"/>
      <c r="P12910" s="180" t="s">
        <v>257</v>
      </c>
      <c r="R12910" s="180" t="s">
        <v>257</v>
      </c>
    </row>
    <row r="12911" spans="8:18" x14ac:dyDescent="0.2">
      <c r="H12911" s="180"/>
      <c r="P12911" s="180" t="s">
        <v>257</v>
      </c>
      <c r="R12911" s="180" t="s">
        <v>257</v>
      </c>
    </row>
    <row r="12912" spans="8:18" x14ac:dyDescent="0.2">
      <c r="H12912" s="180"/>
      <c r="P12912" s="180" t="s">
        <v>257</v>
      </c>
      <c r="R12912" s="180" t="s">
        <v>257</v>
      </c>
    </row>
    <row r="12913" spans="8:18" x14ac:dyDescent="0.2">
      <c r="H12913" s="180"/>
      <c r="P12913" s="180" t="s">
        <v>257</v>
      </c>
      <c r="R12913" s="180" t="s">
        <v>257</v>
      </c>
    </row>
    <row r="12914" spans="8:18" x14ac:dyDescent="0.2">
      <c r="H12914" s="180"/>
      <c r="P12914" s="180" t="s">
        <v>257</v>
      </c>
      <c r="R12914" s="180" t="s">
        <v>257</v>
      </c>
    </row>
    <row r="12915" spans="8:18" x14ac:dyDescent="0.2">
      <c r="H12915" s="180"/>
      <c r="P12915" s="180" t="s">
        <v>257</v>
      </c>
      <c r="R12915" s="180" t="s">
        <v>257</v>
      </c>
    </row>
    <row r="12916" spans="8:18" x14ac:dyDescent="0.2">
      <c r="H12916" s="180"/>
      <c r="P12916" s="180" t="s">
        <v>257</v>
      </c>
      <c r="R12916" s="180" t="s">
        <v>257</v>
      </c>
    </row>
    <row r="12917" spans="8:18" x14ac:dyDescent="0.2">
      <c r="H12917" s="180"/>
      <c r="P12917" s="180" t="s">
        <v>257</v>
      </c>
      <c r="R12917" s="180" t="s">
        <v>257</v>
      </c>
    </row>
    <row r="12918" spans="8:18" x14ac:dyDescent="0.2">
      <c r="H12918" s="180"/>
      <c r="P12918" s="180" t="s">
        <v>257</v>
      </c>
      <c r="R12918" s="180" t="s">
        <v>257</v>
      </c>
    </row>
    <row r="12919" spans="8:18" x14ac:dyDescent="0.2">
      <c r="H12919" s="180"/>
      <c r="P12919" s="180" t="s">
        <v>257</v>
      </c>
      <c r="R12919" s="180" t="s">
        <v>257</v>
      </c>
    </row>
    <row r="12920" spans="8:18" x14ac:dyDescent="0.2">
      <c r="H12920" s="180"/>
      <c r="P12920" s="180" t="s">
        <v>257</v>
      </c>
      <c r="R12920" s="180" t="s">
        <v>257</v>
      </c>
    </row>
    <row r="12921" spans="8:18" x14ac:dyDescent="0.2">
      <c r="H12921" s="180"/>
      <c r="P12921" s="180" t="s">
        <v>257</v>
      </c>
      <c r="R12921" s="180" t="s">
        <v>257</v>
      </c>
    </row>
    <row r="12922" spans="8:18" x14ac:dyDescent="0.2">
      <c r="H12922" s="180"/>
      <c r="P12922" s="180" t="s">
        <v>257</v>
      </c>
      <c r="R12922" s="180" t="s">
        <v>257</v>
      </c>
    </row>
    <row r="12923" spans="8:18" x14ac:dyDescent="0.2">
      <c r="H12923" s="180"/>
      <c r="P12923" s="180" t="s">
        <v>257</v>
      </c>
      <c r="R12923" s="180" t="s">
        <v>257</v>
      </c>
    </row>
    <row r="12924" spans="8:18" x14ac:dyDescent="0.2">
      <c r="H12924" s="180"/>
      <c r="P12924" s="180" t="s">
        <v>257</v>
      </c>
      <c r="R12924" s="180" t="s">
        <v>257</v>
      </c>
    </row>
    <row r="12925" spans="8:18" x14ac:dyDescent="0.2">
      <c r="H12925" s="180"/>
      <c r="P12925" s="180" t="s">
        <v>257</v>
      </c>
      <c r="R12925" s="180" t="s">
        <v>257</v>
      </c>
    </row>
    <row r="12926" spans="8:18" x14ac:dyDescent="0.2">
      <c r="H12926" s="180"/>
      <c r="P12926" s="180" t="s">
        <v>257</v>
      </c>
      <c r="R12926" s="180" t="s">
        <v>257</v>
      </c>
    </row>
    <row r="12927" spans="8:18" x14ac:dyDescent="0.2">
      <c r="H12927" s="180"/>
      <c r="P12927" s="180" t="s">
        <v>257</v>
      </c>
      <c r="R12927" s="180" t="s">
        <v>257</v>
      </c>
    </row>
    <row r="12928" spans="8:18" x14ac:dyDescent="0.2">
      <c r="H12928" s="180"/>
      <c r="P12928" s="180" t="s">
        <v>257</v>
      </c>
      <c r="R12928" s="180" t="s">
        <v>257</v>
      </c>
    </row>
    <row r="12929" spans="8:18" x14ac:dyDescent="0.2">
      <c r="H12929" s="180"/>
      <c r="P12929" s="180" t="s">
        <v>257</v>
      </c>
      <c r="R12929" s="180" t="s">
        <v>257</v>
      </c>
    </row>
    <row r="12930" spans="8:18" x14ac:dyDescent="0.2">
      <c r="H12930" s="180"/>
      <c r="P12930" s="180" t="s">
        <v>257</v>
      </c>
      <c r="R12930" s="180" t="s">
        <v>257</v>
      </c>
    </row>
    <row r="12931" spans="8:18" x14ac:dyDescent="0.2">
      <c r="H12931" s="180"/>
      <c r="P12931" s="180" t="s">
        <v>257</v>
      </c>
      <c r="R12931" s="180" t="s">
        <v>257</v>
      </c>
    </row>
    <row r="12932" spans="8:18" x14ac:dyDescent="0.2">
      <c r="H12932" s="180"/>
      <c r="P12932" s="180" t="s">
        <v>257</v>
      </c>
      <c r="R12932" s="180" t="s">
        <v>257</v>
      </c>
    </row>
    <row r="12933" spans="8:18" x14ac:dyDescent="0.2">
      <c r="H12933" s="180"/>
      <c r="P12933" s="180" t="s">
        <v>257</v>
      </c>
      <c r="R12933" s="180" t="s">
        <v>257</v>
      </c>
    </row>
    <row r="12934" spans="8:18" x14ac:dyDescent="0.2">
      <c r="H12934" s="180"/>
      <c r="P12934" s="180" t="s">
        <v>257</v>
      </c>
      <c r="R12934" s="180" t="s">
        <v>257</v>
      </c>
    </row>
    <row r="12935" spans="8:18" x14ac:dyDescent="0.2">
      <c r="H12935" s="180"/>
      <c r="P12935" s="180" t="s">
        <v>257</v>
      </c>
      <c r="R12935" s="180" t="s">
        <v>257</v>
      </c>
    </row>
    <row r="12936" spans="8:18" x14ac:dyDescent="0.2">
      <c r="H12936" s="180"/>
      <c r="P12936" s="180" t="s">
        <v>257</v>
      </c>
      <c r="R12936" s="180" t="s">
        <v>257</v>
      </c>
    </row>
    <row r="12937" spans="8:18" x14ac:dyDescent="0.2">
      <c r="H12937" s="180"/>
      <c r="P12937" s="180" t="s">
        <v>257</v>
      </c>
      <c r="R12937" s="180" t="s">
        <v>257</v>
      </c>
    </row>
    <row r="12938" spans="8:18" x14ac:dyDescent="0.2">
      <c r="H12938" s="180"/>
      <c r="P12938" s="180" t="s">
        <v>257</v>
      </c>
      <c r="R12938" s="180" t="s">
        <v>257</v>
      </c>
    </row>
    <row r="12939" spans="8:18" x14ac:dyDescent="0.2">
      <c r="H12939" s="180"/>
      <c r="P12939" s="180" t="s">
        <v>257</v>
      </c>
      <c r="R12939" s="180" t="s">
        <v>257</v>
      </c>
    </row>
    <row r="12940" spans="8:18" x14ac:dyDescent="0.2">
      <c r="H12940" s="180"/>
      <c r="P12940" s="180" t="s">
        <v>257</v>
      </c>
      <c r="R12940" s="180" t="s">
        <v>257</v>
      </c>
    </row>
    <row r="12941" spans="8:18" x14ac:dyDescent="0.2">
      <c r="H12941" s="180"/>
      <c r="P12941" s="180" t="s">
        <v>257</v>
      </c>
      <c r="R12941" s="180" t="s">
        <v>257</v>
      </c>
    </row>
    <row r="12942" spans="8:18" x14ac:dyDescent="0.2">
      <c r="H12942" s="180"/>
      <c r="P12942" s="180" t="s">
        <v>257</v>
      </c>
      <c r="R12942" s="180" t="s">
        <v>257</v>
      </c>
    </row>
    <row r="12943" spans="8:18" x14ac:dyDescent="0.2">
      <c r="H12943" s="180"/>
      <c r="P12943" s="180" t="s">
        <v>257</v>
      </c>
      <c r="R12943" s="180" t="s">
        <v>257</v>
      </c>
    </row>
    <row r="12944" spans="8:18" x14ac:dyDescent="0.2">
      <c r="H12944" s="180"/>
      <c r="P12944" s="180" t="s">
        <v>257</v>
      </c>
      <c r="R12944" s="180" t="s">
        <v>257</v>
      </c>
    </row>
    <row r="12945" spans="8:18" x14ac:dyDescent="0.2">
      <c r="H12945" s="180"/>
      <c r="P12945" s="180" t="s">
        <v>257</v>
      </c>
      <c r="R12945" s="180" t="s">
        <v>257</v>
      </c>
    </row>
    <row r="12946" spans="8:18" x14ac:dyDescent="0.2">
      <c r="H12946" s="180"/>
      <c r="P12946" s="180" t="s">
        <v>257</v>
      </c>
      <c r="R12946" s="180" t="s">
        <v>257</v>
      </c>
    </row>
    <row r="12947" spans="8:18" x14ac:dyDescent="0.2">
      <c r="H12947" s="180"/>
      <c r="P12947" s="180" t="s">
        <v>257</v>
      </c>
      <c r="R12947" s="180" t="s">
        <v>257</v>
      </c>
    </row>
    <row r="12948" spans="8:18" x14ac:dyDescent="0.2">
      <c r="H12948" s="180"/>
      <c r="P12948" s="180" t="s">
        <v>257</v>
      </c>
      <c r="R12948" s="180" t="s">
        <v>257</v>
      </c>
    </row>
    <row r="12949" spans="8:18" x14ac:dyDescent="0.2">
      <c r="H12949" s="180"/>
      <c r="P12949" s="180" t="s">
        <v>257</v>
      </c>
      <c r="R12949" s="180" t="s">
        <v>257</v>
      </c>
    </row>
    <row r="12950" spans="8:18" x14ac:dyDescent="0.2">
      <c r="H12950" s="180"/>
      <c r="P12950" s="180" t="s">
        <v>257</v>
      </c>
      <c r="R12950" s="180" t="s">
        <v>257</v>
      </c>
    </row>
    <row r="12951" spans="8:18" x14ac:dyDescent="0.2">
      <c r="H12951" s="180"/>
      <c r="P12951" s="180" t="s">
        <v>257</v>
      </c>
      <c r="R12951" s="180" t="s">
        <v>257</v>
      </c>
    </row>
    <row r="12952" spans="8:18" x14ac:dyDescent="0.2">
      <c r="H12952" s="180"/>
      <c r="P12952" s="180" t="s">
        <v>257</v>
      </c>
      <c r="R12952" s="180" t="s">
        <v>257</v>
      </c>
    </row>
    <row r="12953" spans="8:18" x14ac:dyDescent="0.2">
      <c r="H12953" s="180"/>
      <c r="P12953" s="180" t="s">
        <v>257</v>
      </c>
      <c r="R12953" s="180" t="s">
        <v>257</v>
      </c>
    </row>
    <row r="12954" spans="8:18" x14ac:dyDescent="0.2">
      <c r="H12954" s="180"/>
      <c r="P12954" s="180" t="s">
        <v>257</v>
      </c>
      <c r="R12954" s="180" t="s">
        <v>257</v>
      </c>
    </row>
    <row r="12955" spans="8:18" x14ac:dyDescent="0.2">
      <c r="H12955" s="180"/>
      <c r="P12955" s="180" t="s">
        <v>257</v>
      </c>
      <c r="R12955" s="180" t="s">
        <v>257</v>
      </c>
    </row>
    <row r="12956" spans="8:18" x14ac:dyDescent="0.2">
      <c r="H12956" s="180"/>
      <c r="P12956" s="180" t="s">
        <v>257</v>
      </c>
      <c r="R12956" s="180" t="s">
        <v>257</v>
      </c>
    </row>
    <row r="12957" spans="8:18" x14ac:dyDescent="0.2">
      <c r="H12957" s="180"/>
      <c r="P12957" s="180" t="s">
        <v>257</v>
      </c>
      <c r="R12957" s="180" t="s">
        <v>257</v>
      </c>
    </row>
    <row r="12958" spans="8:18" x14ac:dyDescent="0.2">
      <c r="H12958" s="180"/>
      <c r="P12958" s="180" t="s">
        <v>257</v>
      </c>
      <c r="R12958" s="180" t="s">
        <v>257</v>
      </c>
    </row>
    <row r="12959" spans="8:18" x14ac:dyDescent="0.2">
      <c r="H12959" s="180"/>
      <c r="P12959" s="180" t="s">
        <v>257</v>
      </c>
      <c r="R12959" s="180" t="s">
        <v>257</v>
      </c>
    </row>
    <row r="12960" spans="8:18" x14ac:dyDescent="0.2">
      <c r="H12960" s="180"/>
      <c r="P12960" s="180" t="s">
        <v>257</v>
      </c>
      <c r="R12960" s="180" t="s">
        <v>257</v>
      </c>
    </row>
    <row r="12961" spans="8:18" x14ac:dyDescent="0.2">
      <c r="H12961" s="180"/>
      <c r="P12961" s="180" t="s">
        <v>257</v>
      </c>
      <c r="R12961" s="180" t="s">
        <v>257</v>
      </c>
    </row>
    <row r="12962" spans="8:18" x14ac:dyDescent="0.2">
      <c r="H12962" s="180"/>
      <c r="P12962" s="180" t="s">
        <v>257</v>
      </c>
      <c r="R12962" s="180" t="s">
        <v>257</v>
      </c>
    </row>
    <row r="12963" spans="8:18" x14ac:dyDescent="0.2">
      <c r="H12963" s="180"/>
      <c r="P12963" s="180" t="s">
        <v>257</v>
      </c>
      <c r="R12963" s="180" t="s">
        <v>257</v>
      </c>
    </row>
    <row r="12964" spans="8:18" x14ac:dyDescent="0.2">
      <c r="H12964" s="180"/>
      <c r="P12964" s="180" t="s">
        <v>257</v>
      </c>
      <c r="R12964" s="180" t="s">
        <v>257</v>
      </c>
    </row>
    <row r="12965" spans="8:18" x14ac:dyDescent="0.2">
      <c r="H12965" s="180"/>
      <c r="P12965" s="180" t="s">
        <v>257</v>
      </c>
      <c r="R12965" s="180" t="s">
        <v>257</v>
      </c>
    </row>
    <row r="12966" spans="8:18" x14ac:dyDescent="0.2">
      <c r="H12966" s="180"/>
      <c r="P12966" s="180" t="s">
        <v>257</v>
      </c>
      <c r="R12966" s="180" t="s">
        <v>257</v>
      </c>
    </row>
    <row r="12967" spans="8:18" x14ac:dyDescent="0.2">
      <c r="H12967" s="180"/>
      <c r="P12967" s="180" t="s">
        <v>257</v>
      </c>
      <c r="R12967" s="180" t="s">
        <v>257</v>
      </c>
    </row>
    <row r="12968" spans="8:18" x14ac:dyDescent="0.2">
      <c r="H12968" s="180"/>
      <c r="P12968" s="180" t="s">
        <v>257</v>
      </c>
      <c r="R12968" s="180" t="s">
        <v>257</v>
      </c>
    </row>
    <row r="12969" spans="8:18" x14ac:dyDescent="0.2">
      <c r="H12969" s="180"/>
      <c r="P12969" s="180" t="s">
        <v>257</v>
      </c>
      <c r="R12969" s="180" t="s">
        <v>257</v>
      </c>
    </row>
    <row r="12970" spans="8:18" x14ac:dyDescent="0.2">
      <c r="H12970" s="180"/>
      <c r="P12970" s="180" t="s">
        <v>257</v>
      </c>
      <c r="R12970" s="180" t="s">
        <v>257</v>
      </c>
    </row>
    <row r="12971" spans="8:18" x14ac:dyDescent="0.2">
      <c r="H12971" s="180"/>
      <c r="P12971" s="180" t="s">
        <v>257</v>
      </c>
      <c r="R12971" s="180" t="s">
        <v>257</v>
      </c>
    </row>
    <row r="12972" spans="8:18" x14ac:dyDescent="0.2">
      <c r="H12972" s="180"/>
      <c r="P12972" s="180" t="s">
        <v>257</v>
      </c>
      <c r="R12972" s="180" t="s">
        <v>257</v>
      </c>
    </row>
    <row r="12973" spans="8:18" x14ac:dyDescent="0.2">
      <c r="H12973" s="180"/>
      <c r="P12973" s="180" t="s">
        <v>257</v>
      </c>
      <c r="R12973" s="180" t="s">
        <v>257</v>
      </c>
    </row>
    <row r="12974" spans="8:18" x14ac:dyDescent="0.2">
      <c r="H12974" s="180"/>
      <c r="P12974" s="180" t="s">
        <v>257</v>
      </c>
      <c r="R12974" s="180" t="s">
        <v>257</v>
      </c>
    </row>
    <row r="12975" spans="8:18" x14ac:dyDescent="0.2">
      <c r="H12975" s="180"/>
      <c r="P12975" s="180" t="s">
        <v>257</v>
      </c>
      <c r="R12975" s="180" t="s">
        <v>257</v>
      </c>
    </row>
    <row r="12976" spans="8:18" x14ac:dyDescent="0.2">
      <c r="H12976" s="180"/>
      <c r="P12976" s="180" t="s">
        <v>257</v>
      </c>
      <c r="R12976" s="180" t="s">
        <v>257</v>
      </c>
    </row>
    <row r="12977" spans="8:18" x14ac:dyDescent="0.2">
      <c r="H12977" s="180"/>
      <c r="P12977" s="180" t="s">
        <v>257</v>
      </c>
      <c r="R12977" s="180" t="s">
        <v>257</v>
      </c>
    </row>
    <row r="12978" spans="8:18" x14ac:dyDescent="0.2">
      <c r="H12978" s="180"/>
      <c r="P12978" s="180" t="s">
        <v>257</v>
      </c>
      <c r="R12978" s="180" t="s">
        <v>257</v>
      </c>
    </row>
    <row r="12979" spans="8:18" x14ac:dyDescent="0.2">
      <c r="H12979" s="180"/>
      <c r="P12979" s="180" t="s">
        <v>257</v>
      </c>
      <c r="R12979" s="180" t="s">
        <v>257</v>
      </c>
    </row>
    <row r="12980" spans="8:18" x14ac:dyDescent="0.2">
      <c r="H12980" s="180"/>
      <c r="P12980" s="180" t="s">
        <v>257</v>
      </c>
      <c r="R12980" s="180" t="s">
        <v>257</v>
      </c>
    </row>
    <row r="12981" spans="8:18" x14ac:dyDescent="0.2">
      <c r="H12981" s="180"/>
      <c r="P12981" s="180" t="s">
        <v>257</v>
      </c>
      <c r="R12981" s="180" t="s">
        <v>257</v>
      </c>
    </row>
    <row r="12982" spans="8:18" x14ac:dyDescent="0.2">
      <c r="H12982" s="180"/>
      <c r="P12982" s="180" t="s">
        <v>257</v>
      </c>
      <c r="R12982" s="180" t="s">
        <v>257</v>
      </c>
    </row>
    <row r="12983" spans="8:18" x14ac:dyDescent="0.2">
      <c r="H12983" s="180"/>
      <c r="P12983" s="180" t="s">
        <v>257</v>
      </c>
      <c r="R12983" s="180" t="s">
        <v>257</v>
      </c>
    </row>
    <row r="12984" spans="8:18" x14ac:dyDescent="0.2">
      <c r="H12984" s="180"/>
      <c r="P12984" s="180" t="s">
        <v>257</v>
      </c>
      <c r="R12984" s="180" t="s">
        <v>257</v>
      </c>
    </row>
    <row r="12985" spans="8:18" x14ac:dyDescent="0.2">
      <c r="H12985" s="180"/>
      <c r="P12985" s="180" t="s">
        <v>257</v>
      </c>
      <c r="R12985" s="180" t="s">
        <v>257</v>
      </c>
    </row>
    <row r="12986" spans="8:18" x14ac:dyDescent="0.2">
      <c r="H12986" s="180"/>
      <c r="P12986" s="180" t="s">
        <v>257</v>
      </c>
      <c r="R12986" s="180" t="s">
        <v>257</v>
      </c>
    </row>
    <row r="12987" spans="8:18" x14ac:dyDescent="0.2">
      <c r="H12987" s="180"/>
      <c r="P12987" s="180" t="s">
        <v>257</v>
      </c>
      <c r="R12987" s="180" t="s">
        <v>257</v>
      </c>
    </row>
    <row r="12988" spans="8:18" x14ac:dyDescent="0.2">
      <c r="H12988" s="180"/>
      <c r="P12988" s="180" t="s">
        <v>257</v>
      </c>
      <c r="R12988" s="180" t="s">
        <v>257</v>
      </c>
    </row>
    <row r="12989" spans="8:18" x14ac:dyDescent="0.2">
      <c r="H12989" s="180"/>
      <c r="P12989" s="180" t="s">
        <v>257</v>
      </c>
      <c r="R12989" s="180" t="s">
        <v>257</v>
      </c>
    </row>
    <row r="12990" spans="8:18" x14ac:dyDescent="0.2">
      <c r="H12990" s="180"/>
      <c r="P12990" s="180" t="s">
        <v>257</v>
      </c>
      <c r="R12990" s="180" t="s">
        <v>257</v>
      </c>
    </row>
    <row r="12991" spans="8:18" x14ac:dyDescent="0.2">
      <c r="H12991" s="180"/>
      <c r="P12991" s="180" t="s">
        <v>257</v>
      </c>
      <c r="R12991" s="180" t="s">
        <v>257</v>
      </c>
    </row>
    <row r="12992" spans="8:18" x14ac:dyDescent="0.2">
      <c r="H12992" s="180"/>
      <c r="P12992" s="180" t="s">
        <v>257</v>
      </c>
      <c r="R12992" s="180" t="s">
        <v>257</v>
      </c>
    </row>
    <row r="12993" spans="8:18" x14ac:dyDescent="0.2">
      <c r="H12993" s="180"/>
      <c r="P12993" s="180" t="s">
        <v>257</v>
      </c>
      <c r="R12993" s="180" t="s">
        <v>257</v>
      </c>
    </row>
    <row r="12994" spans="8:18" x14ac:dyDescent="0.2">
      <c r="H12994" s="180"/>
      <c r="P12994" s="180" t="s">
        <v>257</v>
      </c>
      <c r="R12994" s="180" t="s">
        <v>257</v>
      </c>
    </row>
    <row r="12995" spans="8:18" x14ac:dyDescent="0.2">
      <c r="H12995" s="180"/>
      <c r="P12995" s="180" t="s">
        <v>257</v>
      </c>
      <c r="R12995" s="180" t="s">
        <v>257</v>
      </c>
    </row>
    <row r="12996" spans="8:18" x14ac:dyDescent="0.2">
      <c r="H12996" s="180"/>
      <c r="P12996" s="180" t="s">
        <v>257</v>
      </c>
      <c r="R12996" s="180" t="s">
        <v>257</v>
      </c>
    </row>
    <row r="12997" spans="8:18" x14ac:dyDescent="0.2">
      <c r="H12997" s="180"/>
      <c r="P12997" s="180" t="s">
        <v>257</v>
      </c>
      <c r="R12997" s="180" t="s">
        <v>257</v>
      </c>
    </row>
    <row r="12998" spans="8:18" x14ac:dyDescent="0.2">
      <c r="H12998" s="180"/>
      <c r="P12998" s="180" t="s">
        <v>257</v>
      </c>
      <c r="R12998" s="180" t="s">
        <v>257</v>
      </c>
    </row>
    <row r="12999" spans="8:18" x14ac:dyDescent="0.2">
      <c r="H12999" s="180"/>
      <c r="P12999" s="180" t="s">
        <v>257</v>
      </c>
      <c r="R12999" s="180" t="s">
        <v>257</v>
      </c>
    </row>
    <row r="13000" spans="8:18" x14ac:dyDescent="0.2">
      <c r="H13000" s="180"/>
      <c r="P13000" s="180" t="s">
        <v>257</v>
      </c>
      <c r="R13000" s="180" t="s">
        <v>257</v>
      </c>
    </row>
    <row r="13001" spans="8:18" x14ac:dyDescent="0.2">
      <c r="H13001" s="180"/>
      <c r="P13001" s="180" t="s">
        <v>257</v>
      </c>
      <c r="R13001" s="180" t="s">
        <v>257</v>
      </c>
    </row>
    <row r="13002" spans="8:18" x14ac:dyDescent="0.2">
      <c r="H13002" s="180"/>
      <c r="P13002" s="180" t="s">
        <v>257</v>
      </c>
      <c r="R13002" s="180" t="s">
        <v>257</v>
      </c>
    </row>
    <row r="13003" spans="8:18" x14ac:dyDescent="0.2">
      <c r="H13003" s="180"/>
      <c r="P13003" s="180" t="s">
        <v>257</v>
      </c>
      <c r="R13003" s="180" t="s">
        <v>257</v>
      </c>
    </row>
    <row r="13004" spans="8:18" x14ac:dyDescent="0.2">
      <c r="H13004" s="180"/>
      <c r="P13004" s="180" t="s">
        <v>257</v>
      </c>
      <c r="R13004" s="180" t="s">
        <v>257</v>
      </c>
    </row>
    <row r="13005" spans="8:18" x14ac:dyDescent="0.2">
      <c r="H13005" s="180"/>
      <c r="P13005" s="180" t="s">
        <v>257</v>
      </c>
      <c r="R13005" s="180" t="s">
        <v>257</v>
      </c>
    </row>
    <row r="13006" spans="8:18" x14ac:dyDescent="0.2">
      <c r="H13006" s="180"/>
      <c r="P13006" s="180" t="s">
        <v>257</v>
      </c>
      <c r="R13006" s="180" t="s">
        <v>257</v>
      </c>
    </row>
    <row r="13007" spans="8:18" x14ac:dyDescent="0.2">
      <c r="H13007" s="180"/>
      <c r="P13007" s="180" t="s">
        <v>257</v>
      </c>
      <c r="R13007" s="180" t="s">
        <v>257</v>
      </c>
    </row>
    <row r="13008" spans="8:18" x14ac:dyDescent="0.2">
      <c r="H13008" s="180"/>
      <c r="P13008" s="180" t="s">
        <v>257</v>
      </c>
      <c r="R13008" s="180" t="s">
        <v>257</v>
      </c>
    </row>
    <row r="13009" spans="8:18" x14ac:dyDescent="0.2">
      <c r="H13009" s="180"/>
      <c r="P13009" s="180" t="s">
        <v>257</v>
      </c>
      <c r="R13009" s="180" t="s">
        <v>257</v>
      </c>
    </row>
    <row r="13010" spans="8:18" x14ac:dyDescent="0.2">
      <c r="H13010" s="180"/>
      <c r="P13010" s="180" t="s">
        <v>257</v>
      </c>
      <c r="R13010" s="180" t="s">
        <v>257</v>
      </c>
    </row>
    <row r="13011" spans="8:18" x14ac:dyDescent="0.2">
      <c r="H13011" s="180"/>
      <c r="P13011" s="180" t="s">
        <v>257</v>
      </c>
      <c r="R13011" s="180" t="s">
        <v>257</v>
      </c>
    </row>
    <row r="13012" spans="8:18" x14ac:dyDescent="0.2">
      <c r="H13012" s="180"/>
      <c r="P13012" s="180" t="s">
        <v>257</v>
      </c>
      <c r="R13012" s="180" t="s">
        <v>257</v>
      </c>
    </row>
    <row r="13013" spans="8:18" x14ac:dyDescent="0.2">
      <c r="H13013" s="180"/>
      <c r="P13013" s="180" t="s">
        <v>257</v>
      </c>
      <c r="R13013" s="180" t="s">
        <v>257</v>
      </c>
    </row>
    <row r="13014" spans="8:18" x14ac:dyDescent="0.2">
      <c r="H13014" s="180"/>
      <c r="P13014" s="180" t="s">
        <v>257</v>
      </c>
      <c r="R13014" s="180" t="s">
        <v>257</v>
      </c>
    </row>
    <row r="13015" spans="8:18" x14ac:dyDescent="0.2">
      <c r="H13015" s="180"/>
      <c r="P13015" s="180" t="s">
        <v>257</v>
      </c>
      <c r="R13015" s="180" t="s">
        <v>257</v>
      </c>
    </row>
    <row r="13016" spans="8:18" x14ac:dyDescent="0.2">
      <c r="H13016" s="180"/>
      <c r="P13016" s="180" t="s">
        <v>257</v>
      </c>
      <c r="R13016" s="180" t="s">
        <v>257</v>
      </c>
    </row>
    <row r="13017" spans="8:18" x14ac:dyDescent="0.2">
      <c r="H13017" s="180"/>
      <c r="P13017" s="180" t="s">
        <v>257</v>
      </c>
      <c r="R13017" s="180" t="s">
        <v>257</v>
      </c>
    </row>
    <row r="13018" spans="8:18" x14ac:dyDescent="0.2">
      <c r="H13018" s="180"/>
      <c r="P13018" s="180" t="s">
        <v>257</v>
      </c>
      <c r="R13018" s="180" t="s">
        <v>257</v>
      </c>
    </row>
    <row r="13019" spans="8:18" x14ac:dyDescent="0.2">
      <c r="H13019" s="180"/>
      <c r="P13019" s="180" t="s">
        <v>257</v>
      </c>
      <c r="R13019" s="180" t="s">
        <v>257</v>
      </c>
    </row>
    <row r="13020" spans="8:18" x14ac:dyDescent="0.2">
      <c r="H13020" s="180"/>
      <c r="P13020" s="180" t="s">
        <v>257</v>
      </c>
      <c r="R13020" s="180" t="s">
        <v>257</v>
      </c>
    </row>
    <row r="13021" spans="8:18" x14ac:dyDescent="0.2">
      <c r="H13021" s="180"/>
      <c r="P13021" s="180" t="s">
        <v>257</v>
      </c>
      <c r="R13021" s="180" t="s">
        <v>257</v>
      </c>
    </row>
    <row r="13022" spans="8:18" x14ac:dyDescent="0.2">
      <c r="H13022" s="180"/>
      <c r="P13022" s="180" t="s">
        <v>257</v>
      </c>
      <c r="R13022" s="180" t="s">
        <v>257</v>
      </c>
    </row>
    <row r="13023" spans="8:18" x14ac:dyDescent="0.2">
      <c r="H13023" s="180"/>
      <c r="P13023" s="180" t="s">
        <v>257</v>
      </c>
      <c r="R13023" s="180" t="s">
        <v>257</v>
      </c>
    </row>
    <row r="13024" spans="8:18" x14ac:dyDescent="0.2">
      <c r="H13024" s="180"/>
      <c r="P13024" s="180" t="s">
        <v>257</v>
      </c>
      <c r="R13024" s="180" t="s">
        <v>257</v>
      </c>
    </row>
    <row r="13025" spans="8:18" x14ac:dyDescent="0.2">
      <c r="H13025" s="180"/>
      <c r="P13025" s="180" t="s">
        <v>257</v>
      </c>
      <c r="R13025" s="180" t="s">
        <v>257</v>
      </c>
    </row>
    <row r="13026" spans="8:18" x14ac:dyDescent="0.2">
      <c r="H13026" s="180"/>
      <c r="P13026" s="180" t="s">
        <v>257</v>
      </c>
      <c r="R13026" s="180" t="s">
        <v>257</v>
      </c>
    </row>
    <row r="13027" spans="8:18" x14ac:dyDescent="0.2">
      <c r="H13027" s="180"/>
      <c r="P13027" s="180" t="s">
        <v>257</v>
      </c>
      <c r="R13027" s="180" t="s">
        <v>257</v>
      </c>
    </row>
    <row r="13028" spans="8:18" x14ac:dyDescent="0.2">
      <c r="H13028" s="180"/>
      <c r="P13028" s="180" t="s">
        <v>257</v>
      </c>
      <c r="R13028" s="180" t="s">
        <v>257</v>
      </c>
    </row>
    <row r="13029" spans="8:18" x14ac:dyDescent="0.2">
      <c r="H13029" s="180"/>
      <c r="P13029" s="180" t="s">
        <v>257</v>
      </c>
      <c r="R13029" s="180" t="s">
        <v>257</v>
      </c>
    </row>
    <row r="13030" spans="8:18" x14ac:dyDescent="0.2">
      <c r="H13030" s="180"/>
      <c r="P13030" s="180" t="s">
        <v>257</v>
      </c>
      <c r="R13030" s="180" t="s">
        <v>257</v>
      </c>
    </row>
    <row r="13031" spans="8:18" x14ac:dyDescent="0.2">
      <c r="H13031" s="180"/>
      <c r="P13031" s="180" t="s">
        <v>257</v>
      </c>
      <c r="R13031" s="180" t="s">
        <v>257</v>
      </c>
    </row>
    <row r="13032" spans="8:18" x14ac:dyDescent="0.2">
      <c r="H13032" s="180"/>
      <c r="P13032" s="180" t="s">
        <v>257</v>
      </c>
      <c r="R13032" s="180" t="s">
        <v>257</v>
      </c>
    </row>
    <row r="13033" spans="8:18" x14ac:dyDescent="0.2">
      <c r="H13033" s="180"/>
      <c r="P13033" s="180" t="s">
        <v>257</v>
      </c>
      <c r="R13033" s="180" t="s">
        <v>257</v>
      </c>
    </row>
    <row r="13034" spans="8:18" x14ac:dyDescent="0.2">
      <c r="H13034" s="180"/>
      <c r="P13034" s="180" t="s">
        <v>257</v>
      </c>
      <c r="R13034" s="180" t="s">
        <v>257</v>
      </c>
    </row>
    <row r="13035" spans="8:18" x14ac:dyDescent="0.2">
      <c r="H13035" s="180"/>
      <c r="P13035" s="180" t="s">
        <v>257</v>
      </c>
      <c r="R13035" s="180" t="s">
        <v>257</v>
      </c>
    </row>
    <row r="13036" spans="8:18" x14ac:dyDescent="0.2">
      <c r="H13036" s="180"/>
      <c r="P13036" s="180" t="s">
        <v>257</v>
      </c>
      <c r="R13036" s="180" t="s">
        <v>257</v>
      </c>
    </row>
    <row r="13037" spans="8:18" x14ac:dyDescent="0.2">
      <c r="H13037" s="180"/>
      <c r="P13037" s="180" t="s">
        <v>257</v>
      </c>
      <c r="R13037" s="180" t="s">
        <v>257</v>
      </c>
    </row>
    <row r="13038" spans="8:18" x14ac:dyDescent="0.2">
      <c r="H13038" s="180"/>
      <c r="P13038" s="180" t="s">
        <v>257</v>
      </c>
      <c r="R13038" s="180" t="s">
        <v>257</v>
      </c>
    </row>
    <row r="13039" spans="8:18" x14ac:dyDescent="0.2">
      <c r="H13039" s="180"/>
      <c r="P13039" s="180" t="s">
        <v>257</v>
      </c>
      <c r="R13039" s="180" t="s">
        <v>257</v>
      </c>
    </row>
    <row r="13040" spans="8:18" x14ac:dyDescent="0.2">
      <c r="H13040" s="180"/>
      <c r="P13040" s="180" t="s">
        <v>257</v>
      </c>
      <c r="R13040" s="180" t="s">
        <v>257</v>
      </c>
    </row>
    <row r="13041" spans="8:18" x14ac:dyDescent="0.2">
      <c r="H13041" s="180"/>
      <c r="P13041" s="180" t="s">
        <v>257</v>
      </c>
      <c r="R13041" s="180" t="s">
        <v>257</v>
      </c>
    </row>
    <row r="13042" spans="8:18" x14ac:dyDescent="0.2">
      <c r="H13042" s="180"/>
      <c r="P13042" s="180" t="s">
        <v>257</v>
      </c>
      <c r="R13042" s="180" t="s">
        <v>257</v>
      </c>
    </row>
    <row r="13043" spans="8:18" x14ac:dyDescent="0.2">
      <c r="H13043" s="180"/>
      <c r="P13043" s="180" t="s">
        <v>257</v>
      </c>
      <c r="R13043" s="180" t="s">
        <v>257</v>
      </c>
    </row>
    <row r="13044" spans="8:18" x14ac:dyDescent="0.2">
      <c r="H13044" s="180"/>
      <c r="P13044" s="180" t="s">
        <v>257</v>
      </c>
      <c r="R13044" s="180" t="s">
        <v>257</v>
      </c>
    </row>
    <row r="13045" spans="8:18" x14ac:dyDescent="0.2">
      <c r="H13045" s="180"/>
      <c r="P13045" s="180" t="s">
        <v>257</v>
      </c>
      <c r="R13045" s="180" t="s">
        <v>257</v>
      </c>
    </row>
    <row r="13046" spans="8:18" x14ac:dyDescent="0.2">
      <c r="H13046" s="180"/>
      <c r="P13046" s="180" t="s">
        <v>257</v>
      </c>
      <c r="R13046" s="180" t="s">
        <v>257</v>
      </c>
    </row>
    <row r="13047" spans="8:18" x14ac:dyDescent="0.2">
      <c r="H13047" s="180"/>
      <c r="P13047" s="180" t="s">
        <v>257</v>
      </c>
      <c r="R13047" s="180" t="s">
        <v>257</v>
      </c>
    </row>
    <row r="13048" spans="8:18" x14ac:dyDescent="0.2">
      <c r="H13048" s="180"/>
      <c r="P13048" s="180" t="s">
        <v>257</v>
      </c>
      <c r="R13048" s="180" t="s">
        <v>257</v>
      </c>
    </row>
    <row r="13049" spans="8:18" x14ac:dyDescent="0.2">
      <c r="H13049" s="180"/>
      <c r="P13049" s="180" t="s">
        <v>257</v>
      </c>
      <c r="R13049" s="180" t="s">
        <v>257</v>
      </c>
    </row>
    <row r="13050" spans="8:18" x14ac:dyDescent="0.2">
      <c r="H13050" s="180"/>
      <c r="P13050" s="180" t="s">
        <v>257</v>
      </c>
      <c r="R13050" s="180" t="s">
        <v>257</v>
      </c>
    </row>
    <row r="13051" spans="8:18" x14ac:dyDescent="0.2">
      <c r="H13051" s="180"/>
      <c r="P13051" s="180" t="s">
        <v>257</v>
      </c>
      <c r="R13051" s="180" t="s">
        <v>257</v>
      </c>
    </row>
    <row r="13052" spans="8:18" x14ac:dyDescent="0.2">
      <c r="H13052" s="180"/>
      <c r="P13052" s="180" t="s">
        <v>257</v>
      </c>
      <c r="R13052" s="180" t="s">
        <v>257</v>
      </c>
    </row>
    <row r="13053" spans="8:18" x14ac:dyDescent="0.2">
      <c r="H13053" s="180"/>
      <c r="P13053" s="180" t="s">
        <v>257</v>
      </c>
      <c r="R13053" s="180" t="s">
        <v>257</v>
      </c>
    </row>
    <row r="13054" spans="8:18" x14ac:dyDescent="0.2">
      <c r="H13054" s="180"/>
      <c r="P13054" s="180" t="s">
        <v>257</v>
      </c>
      <c r="R13054" s="180" t="s">
        <v>257</v>
      </c>
    </row>
    <row r="13055" spans="8:18" x14ac:dyDescent="0.2">
      <c r="H13055" s="180"/>
      <c r="P13055" s="180" t="s">
        <v>257</v>
      </c>
      <c r="R13055" s="180" t="s">
        <v>257</v>
      </c>
    </row>
    <row r="13056" spans="8:18" x14ac:dyDescent="0.2">
      <c r="H13056" s="180"/>
      <c r="P13056" s="180" t="s">
        <v>257</v>
      </c>
      <c r="R13056" s="180" t="s">
        <v>257</v>
      </c>
    </row>
    <row r="13057" spans="8:18" x14ac:dyDescent="0.2">
      <c r="H13057" s="180"/>
      <c r="P13057" s="180" t="s">
        <v>257</v>
      </c>
      <c r="R13057" s="180" t="s">
        <v>257</v>
      </c>
    </row>
    <row r="13058" spans="8:18" x14ac:dyDescent="0.2">
      <c r="H13058" s="180"/>
      <c r="P13058" s="180" t="s">
        <v>257</v>
      </c>
      <c r="R13058" s="180" t="s">
        <v>257</v>
      </c>
    </row>
    <row r="13059" spans="8:18" x14ac:dyDescent="0.2">
      <c r="H13059" s="180"/>
      <c r="P13059" s="180" t="s">
        <v>257</v>
      </c>
      <c r="R13059" s="180" t="s">
        <v>257</v>
      </c>
    </row>
    <row r="13060" spans="8:18" x14ac:dyDescent="0.2">
      <c r="H13060" s="180"/>
      <c r="P13060" s="180" t="s">
        <v>257</v>
      </c>
      <c r="R13060" s="180" t="s">
        <v>257</v>
      </c>
    </row>
    <row r="13061" spans="8:18" x14ac:dyDescent="0.2">
      <c r="H13061" s="180"/>
      <c r="P13061" s="180" t="s">
        <v>257</v>
      </c>
      <c r="R13061" s="180" t="s">
        <v>257</v>
      </c>
    </row>
    <row r="13062" spans="8:18" x14ac:dyDescent="0.2">
      <c r="H13062" s="180"/>
      <c r="P13062" s="180" t="s">
        <v>257</v>
      </c>
      <c r="R13062" s="180" t="s">
        <v>257</v>
      </c>
    </row>
    <row r="13063" spans="8:18" x14ac:dyDescent="0.2">
      <c r="H13063" s="180"/>
      <c r="P13063" s="180" t="s">
        <v>257</v>
      </c>
      <c r="R13063" s="180" t="s">
        <v>257</v>
      </c>
    </row>
    <row r="13064" spans="8:18" x14ac:dyDescent="0.2">
      <c r="H13064" s="180"/>
      <c r="P13064" s="180" t="s">
        <v>257</v>
      </c>
      <c r="R13064" s="180" t="s">
        <v>257</v>
      </c>
    </row>
    <row r="13065" spans="8:18" x14ac:dyDescent="0.2">
      <c r="H13065" s="180"/>
      <c r="P13065" s="180" t="s">
        <v>257</v>
      </c>
      <c r="R13065" s="180" t="s">
        <v>257</v>
      </c>
    </row>
    <row r="13066" spans="8:18" x14ac:dyDescent="0.2">
      <c r="H13066" s="180"/>
      <c r="P13066" s="180" t="s">
        <v>257</v>
      </c>
      <c r="R13066" s="180" t="s">
        <v>257</v>
      </c>
    </row>
    <row r="13067" spans="8:18" x14ac:dyDescent="0.2">
      <c r="H13067" s="180"/>
      <c r="P13067" s="180" t="s">
        <v>257</v>
      </c>
      <c r="R13067" s="180" t="s">
        <v>257</v>
      </c>
    </row>
    <row r="13068" spans="8:18" x14ac:dyDescent="0.2">
      <c r="H13068" s="180"/>
      <c r="P13068" s="180" t="s">
        <v>257</v>
      </c>
      <c r="R13068" s="180" t="s">
        <v>257</v>
      </c>
    </row>
    <row r="13069" spans="8:18" x14ac:dyDescent="0.2">
      <c r="H13069" s="180"/>
      <c r="P13069" s="180" t="s">
        <v>257</v>
      </c>
      <c r="R13069" s="180" t="s">
        <v>257</v>
      </c>
    </row>
    <row r="13070" spans="8:18" x14ac:dyDescent="0.2">
      <c r="H13070" s="180"/>
      <c r="P13070" s="180" t="s">
        <v>257</v>
      </c>
      <c r="R13070" s="180" t="s">
        <v>257</v>
      </c>
    </row>
    <row r="13071" spans="8:18" x14ac:dyDescent="0.2">
      <c r="H13071" s="180"/>
      <c r="P13071" s="180" t="s">
        <v>257</v>
      </c>
      <c r="R13071" s="180" t="s">
        <v>257</v>
      </c>
    </row>
    <row r="13072" spans="8:18" x14ac:dyDescent="0.2">
      <c r="H13072" s="180"/>
      <c r="P13072" s="180" t="s">
        <v>257</v>
      </c>
      <c r="R13072" s="180" t="s">
        <v>257</v>
      </c>
    </row>
    <row r="13073" spans="8:18" x14ac:dyDescent="0.2">
      <c r="H13073" s="180"/>
      <c r="P13073" s="180" t="s">
        <v>257</v>
      </c>
      <c r="R13073" s="180" t="s">
        <v>257</v>
      </c>
    </row>
    <row r="13074" spans="8:18" x14ac:dyDescent="0.2">
      <c r="H13074" s="180"/>
      <c r="P13074" s="180" t="s">
        <v>257</v>
      </c>
      <c r="R13074" s="180" t="s">
        <v>257</v>
      </c>
    </row>
    <row r="13075" spans="8:18" x14ac:dyDescent="0.2">
      <c r="H13075" s="180"/>
      <c r="P13075" s="180" t="s">
        <v>257</v>
      </c>
      <c r="R13075" s="180" t="s">
        <v>257</v>
      </c>
    </row>
    <row r="13076" spans="8:18" x14ac:dyDescent="0.2">
      <c r="H13076" s="180"/>
      <c r="P13076" s="180" t="s">
        <v>257</v>
      </c>
      <c r="R13076" s="180" t="s">
        <v>257</v>
      </c>
    </row>
    <row r="13077" spans="8:18" x14ac:dyDescent="0.2">
      <c r="H13077" s="180"/>
      <c r="P13077" s="180" t="s">
        <v>257</v>
      </c>
      <c r="R13077" s="180" t="s">
        <v>257</v>
      </c>
    </row>
    <row r="13078" spans="8:18" x14ac:dyDescent="0.2">
      <c r="H13078" s="180"/>
      <c r="P13078" s="180" t="s">
        <v>257</v>
      </c>
      <c r="R13078" s="180" t="s">
        <v>257</v>
      </c>
    </row>
    <row r="13079" spans="8:18" x14ac:dyDescent="0.2">
      <c r="H13079" s="180"/>
      <c r="P13079" s="180" t="s">
        <v>257</v>
      </c>
      <c r="R13079" s="180" t="s">
        <v>257</v>
      </c>
    </row>
    <row r="13080" spans="8:18" x14ac:dyDescent="0.2">
      <c r="H13080" s="180"/>
      <c r="P13080" s="180" t="s">
        <v>257</v>
      </c>
      <c r="R13080" s="180" t="s">
        <v>257</v>
      </c>
    </row>
    <row r="13081" spans="8:18" x14ac:dyDescent="0.2">
      <c r="H13081" s="180"/>
      <c r="P13081" s="180" t="s">
        <v>257</v>
      </c>
      <c r="R13081" s="180" t="s">
        <v>257</v>
      </c>
    </row>
    <row r="13082" spans="8:18" x14ac:dyDescent="0.2">
      <c r="H13082" s="180"/>
      <c r="P13082" s="180" t="s">
        <v>257</v>
      </c>
      <c r="R13082" s="180" t="s">
        <v>257</v>
      </c>
    </row>
    <row r="13083" spans="8:18" x14ac:dyDescent="0.2">
      <c r="H13083" s="180"/>
      <c r="P13083" s="180" t="s">
        <v>257</v>
      </c>
      <c r="R13083" s="180" t="s">
        <v>257</v>
      </c>
    </row>
    <row r="13084" spans="8:18" x14ac:dyDescent="0.2">
      <c r="H13084" s="180"/>
      <c r="P13084" s="180" t="s">
        <v>257</v>
      </c>
      <c r="R13084" s="180" t="s">
        <v>257</v>
      </c>
    </row>
    <row r="13085" spans="8:18" x14ac:dyDescent="0.2">
      <c r="H13085" s="180"/>
      <c r="P13085" s="180" t="s">
        <v>257</v>
      </c>
      <c r="R13085" s="180" t="s">
        <v>257</v>
      </c>
    </row>
    <row r="13086" spans="8:18" x14ac:dyDescent="0.2">
      <c r="H13086" s="180"/>
      <c r="P13086" s="180" t="s">
        <v>257</v>
      </c>
      <c r="R13086" s="180" t="s">
        <v>257</v>
      </c>
    </row>
    <row r="13087" spans="8:18" x14ac:dyDescent="0.2">
      <c r="H13087" s="180"/>
      <c r="P13087" s="180" t="s">
        <v>257</v>
      </c>
      <c r="R13087" s="180" t="s">
        <v>257</v>
      </c>
    </row>
    <row r="13088" spans="8:18" x14ac:dyDescent="0.2">
      <c r="H13088" s="180"/>
      <c r="P13088" s="180" t="s">
        <v>257</v>
      </c>
      <c r="R13088" s="180" t="s">
        <v>257</v>
      </c>
    </row>
    <row r="13089" spans="8:18" x14ac:dyDescent="0.2">
      <c r="H13089" s="180"/>
      <c r="P13089" s="180" t="s">
        <v>257</v>
      </c>
      <c r="R13089" s="180" t="s">
        <v>257</v>
      </c>
    </row>
    <row r="13090" spans="8:18" x14ac:dyDescent="0.2">
      <c r="H13090" s="180"/>
      <c r="P13090" s="180" t="s">
        <v>257</v>
      </c>
      <c r="R13090" s="180" t="s">
        <v>257</v>
      </c>
    </row>
    <row r="13091" spans="8:18" x14ac:dyDescent="0.2">
      <c r="H13091" s="180"/>
      <c r="P13091" s="180" t="s">
        <v>257</v>
      </c>
      <c r="R13091" s="180" t="s">
        <v>257</v>
      </c>
    </row>
    <row r="13092" spans="8:18" x14ac:dyDescent="0.2">
      <c r="H13092" s="180"/>
      <c r="P13092" s="180" t="s">
        <v>257</v>
      </c>
      <c r="R13092" s="180" t="s">
        <v>257</v>
      </c>
    </row>
    <row r="13093" spans="8:18" x14ac:dyDescent="0.2">
      <c r="H13093" s="180"/>
      <c r="P13093" s="180" t="s">
        <v>257</v>
      </c>
      <c r="R13093" s="180" t="s">
        <v>257</v>
      </c>
    </row>
    <row r="13094" spans="8:18" x14ac:dyDescent="0.2">
      <c r="H13094" s="180"/>
      <c r="P13094" s="180" t="s">
        <v>257</v>
      </c>
      <c r="R13094" s="180" t="s">
        <v>257</v>
      </c>
    </row>
    <row r="13095" spans="8:18" x14ac:dyDescent="0.2">
      <c r="H13095" s="180"/>
      <c r="P13095" s="180" t="s">
        <v>257</v>
      </c>
      <c r="R13095" s="180" t="s">
        <v>257</v>
      </c>
    </row>
    <row r="13096" spans="8:18" x14ac:dyDescent="0.2">
      <c r="H13096" s="180"/>
      <c r="P13096" s="180" t="s">
        <v>257</v>
      </c>
      <c r="R13096" s="180" t="s">
        <v>257</v>
      </c>
    </row>
    <row r="13097" spans="8:18" x14ac:dyDescent="0.2">
      <c r="H13097" s="180"/>
      <c r="P13097" s="180" t="s">
        <v>257</v>
      </c>
      <c r="R13097" s="180" t="s">
        <v>257</v>
      </c>
    </row>
    <row r="13098" spans="8:18" x14ac:dyDescent="0.2">
      <c r="H13098" s="180"/>
      <c r="P13098" s="180" t="s">
        <v>257</v>
      </c>
      <c r="R13098" s="180" t="s">
        <v>257</v>
      </c>
    </row>
    <row r="13099" spans="8:18" x14ac:dyDescent="0.2">
      <c r="H13099" s="180"/>
      <c r="P13099" s="180" t="s">
        <v>257</v>
      </c>
      <c r="R13099" s="180" t="s">
        <v>257</v>
      </c>
    </row>
    <row r="13100" spans="8:18" x14ac:dyDescent="0.2">
      <c r="H13100" s="180"/>
      <c r="P13100" s="180" t="s">
        <v>257</v>
      </c>
      <c r="R13100" s="180" t="s">
        <v>257</v>
      </c>
    </row>
    <row r="13101" spans="8:18" x14ac:dyDescent="0.2">
      <c r="H13101" s="180"/>
      <c r="P13101" s="180" t="s">
        <v>257</v>
      </c>
      <c r="R13101" s="180" t="s">
        <v>257</v>
      </c>
    </row>
    <row r="13102" spans="8:18" x14ac:dyDescent="0.2">
      <c r="H13102" s="180"/>
      <c r="P13102" s="180" t="s">
        <v>257</v>
      </c>
      <c r="R13102" s="180" t="s">
        <v>257</v>
      </c>
    </row>
    <row r="13103" spans="8:18" x14ac:dyDescent="0.2">
      <c r="H13103" s="180"/>
      <c r="P13103" s="180" t="s">
        <v>257</v>
      </c>
      <c r="R13103" s="180" t="s">
        <v>257</v>
      </c>
    </row>
    <row r="13104" spans="8:18" x14ac:dyDescent="0.2">
      <c r="H13104" s="180"/>
      <c r="P13104" s="180" t="s">
        <v>257</v>
      </c>
      <c r="R13104" s="180" t="s">
        <v>257</v>
      </c>
    </row>
    <row r="13105" spans="8:18" x14ac:dyDescent="0.2">
      <c r="H13105" s="180"/>
      <c r="P13105" s="180" t="s">
        <v>257</v>
      </c>
      <c r="R13105" s="180" t="s">
        <v>257</v>
      </c>
    </row>
    <row r="13106" spans="8:18" x14ac:dyDescent="0.2">
      <c r="H13106" s="180"/>
      <c r="P13106" s="180" t="s">
        <v>257</v>
      </c>
      <c r="R13106" s="180" t="s">
        <v>257</v>
      </c>
    </row>
    <row r="13107" spans="8:18" x14ac:dyDescent="0.2">
      <c r="H13107" s="180"/>
      <c r="P13107" s="180" t="s">
        <v>257</v>
      </c>
      <c r="R13107" s="180" t="s">
        <v>257</v>
      </c>
    </row>
    <row r="13108" spans="8:18" x14ac:dyDescent="0.2">
      <c r="H13108" s="180"/>
      <c r="P13108" s="180" t="s">
        <v>257</v>
      </c>
      <c r="R13108" s="180" t="s">
        <v>257</v>
      </c>
    </row>
    <row r="13109" spans="8:18" x14ac:dyDescent="0.2">
      <c r="H13109" s="180"/>
      <c r="P13109" s="180" t="s">
        <v>257</v>
      </c>
      <c r="R13109" s="180" t="s">
        <v>257</v>
      </c>
    </row>
    <row r="13110" spans="8:18" x14ac:dyDescent="0.2">
      <c r="H13110" s="180"/>
      <c r="P13110" s="180" t="s">
        <v>257</v>
      </c>
      <c r="R13110" s="180" t="s">
        <v>257</v>
      </c>
    </row>
    <row r="13111" spans="8:18" x14ac:dyDescent="0.2">
      <c r="H13111" s="180"/>
      <c r="P13111" s="180" t="s">
        <v>257</v>
      </c>
      <c r="R13111" s="180" t="s">
        <v>257</v>
      </c>
    </row>
    <row r="13112" spans="8:18" x14ac:dyDescent="0.2">
      <c r="H13112" s="180"/>
      <c r="P13112" s="180" t="s">
        <v>257</v>
      </c>
      <c r="R13112" s="180" t="s">
        <v>257</v>
      </c>
    </row>
    <row r="13113" spans="8:18" x14ac:dyDescent="0.2">
      <c r="H13113" s="180"/>
      <c r="P13113" s="180" t="s">
        <v>257</v>
      </c>
      <c r="R13113" s="180" t="s">
        <v>257</v>
      </c>
    </row>
    <row r="13114" spans="8:18" x14ac:dyDescent="0.2">
      <c r="H13114" s="180"/>
      <c r="P13114" s="180" t="s">
        <v>257</v>
      </c>
      <c r="R13114" s="180" t="s">
        <v>257</v>
      </c>
    </row>
    <row r="13115" spans="8:18" x14ac:dyDescent="0.2">
      <c r="H13115" s="180"/>
      <c r="P13115" s="180" t="s">
        <v>257</v>
      </c>
      <c r="R13115" s="180" t="s">
        <v>257</v>
      </c>
    </row>
    <row r="13116" spans="8:18" x14ac:dyDescent="0.2">
      <c r="H13116" s="180"/>
      <c r="P13116" s="180" t="s">
        <v>257</v>
      </c>
      <c r="R13116" s="180" t="s">
        <v>257</v>
      </c>
    </row>
    <row r="13117" spans="8:18" x14ac:dyDescent="0.2">
      <c r="H13117" s="180"/>
      <c r="P13117" s="180" t="s">
        <v>257</v>
      </c>
      <c r="R13117" s="180" t="s">
        <v>257</v>
      </c>
    </row>
    <row r="13118" spans="8:18" x14ac:dyDescent="0.2">
      <c r="H13118" s="180"/>
      <c r="P13118" s="180" t="s">
        <v>257</v>
      </c>
      <c r="R13118" s="180" t="s">
        <v>257</v>
      </c>
    </row>
    <row r="13119" spans="8:18" x14ac:dyDescent="0.2">
      <c r="H13119" s="180"/>
      <c r="P13119" s="180" t="s">
        <v>257</v>
      </c>
      <c r="R13119" s="180" t="s">
        <v>257</v>
      </c>
    </row>
    <row r="13120" spans="8:18" x14ac:dyDescent="0.2">
      <c r="H13120" s="180"/>
      <c r="P13120" s="180" t="s">
        <v>257</v>
      </c>
      <c r="R13120" s="180" t="s">
        <v>257</v>
      </c>
    </row>
    <row r="13121" spans="8:18" x14ac:dyDescent="0.2">
      <c r="H13121" s="180"/>
      <c r="P13121" s="180" t="s">
        <v>257</v>
      </c>
      <c r="R13121" s="180" t="s">
        <v>257</v>
      </c>
    </row>
    <row r="13122" spans="8:18" x14ac:dyDescent="0.2">
      <c r="H13122" s="180"/>
      <c r="P13122" s="180" t="s">
        <v>257</v>
      </c>
      <c r="R13122" s="180" t="s">
        <v>257</v>
      </c>
    </row>
    <row r="13123" spans="8:18" x14ac:dyDescent="0.2">
      <c r="H13123" s="180"/>
      <c r="P13123" s="180" t="s">
        <v>257</v>
      </c>
      <c r="R13123" s="180" t="s">
        <v>257</v>
      </c>
    </row>
    <row r="13124" spans="8:18" x14ac:dyDescent="0.2">
      <c r="H13124" s="180"/>
      <c r="P13124" s="180" t="s">
        <v>257</v>
      </c>
      <c r="R13124" s="180" t="s">
        <v>257</v>
      </c>
    </row>
    <row r="13125" spans="8:18" x14ac:dyDescent="0.2">
      <c r="H13125" s="180"/>
      <c r="P13125" s="180" t="s">
        <v>257</v>
      </c>
      <c r="R13125" s="180" t="s">
        <v>257</v>
      </c>
    </row>
    <row r="13126" spans="8:18" x14ac:dyDescent="0.2">
      <c r="H13126" s="180"/>
      <c r="P13126" s="180" t="s">
        <v>257</v>
      </c>
      <c r="R13126" s="180" t="s">
        <v>257</v>
      </c>
    </row>
    <row r="13127" spans="8:18" x14ac:dyDescent="0.2">
      <c r="H13127" s="180"/>
      <c r="P13127" s="180" t="s">
        <v>257</v>
      </c>
      <c r="R13127" s="180" t="s">
        <v>257</v>
      </c>
    </row>
    <row r="13128" spans="8:18" x14ac:dyDescent="0.2">
      <c r="H13128" s="180"/>
      <c r="P13128" s="180" t="s">
        <v>257</v>
      </c>
      <c r="R13128" s="180" t="s">
        <v>257</v>
      </c>
    </row>
    <row r="13129" spans="8:18" x14ac:dyDescent="0.2">
      <c r="H13129" s="180"/>
      <c r="P13129" s="180" t="s">
        <v>257</v>
      </c>
      <c r="R13129" s="180" t="s">
        <v>257</v>
      </c>
    </row>
    <row r="13130" spans="8:18" x14ac:dyDescent="0.2">
      <c r="H13130" s="180"/>
      <c r="P13130" s="180" t="s">
        <v>257</v>
      </c>
      <c r="R13130" s="180" t="s">
        <v>257</v>
      </c>
    </row>
    <row r="13131" spans="8:18" x14ac:dyDescent="0.2">
      <c r="H13131" s="180"/>
      <c r="P13131" s="180" t="s">
        <v>257</v>
      </c>
      <c r="R13131" s="180" t="s">
        <v>257</v>
      </c>
    </row>
    <row r="13132" spans="8:18" x14ac:dyDescent="0.2">
      <c r="H13132" s="180"/>
      <c r="P13132" s="180" t="s">
        <v>257</v>
      </c>
      <c r="R13132" s="180" t="s">
        <v>257</v>
      </c>
    </row>
    <row r="13133" spans="8:18" x14ac:dyDescent="0.2">
      <c r="H13133" s="180"/>
      <c r="P13133" s="180" t="s">
        <v>257</v>
      </c>
      <c r="R13133" s="180" t="s">
        <v>257</v>
      </c>
    </row>
    <row r="13134" spans="8:18" x14ac:dyDescent="0.2">
      <c r="H13134" s="180"/>
      <c r="P13134" s="180" t="s">
        <v>257</v>
      </c>
      <c r="R13134" s="180" t="s">
        <v>257</v>
      </c>
    </row>
    <row r="13135" spans="8:18" x14ac:dyDescent="0.2">
      <c r="H13135" s="180"/>
      <c r="P13135" s="180" t="s">
        <v>257</v>
      </c>
      <c r="R13135" s="180" t="s">
        <v>257</v>
      </c>
    </row>
    <row r="13136" spans="8:18" x14ac:dyDescent="0.2">
      <c r="H13136" s="180"/>
      <c r="P13136" s="180" t="s">
        <v>257</v>
      </c>
      <c r="R13136" s="180" t="s">
        <v>257</v>
      </c>
    </row>
    <row r="13137" spans="8:18" x14ac:dyDescent="0.2">
      <c r="H13137" s="180"/>
      <c r="P13137" s="180" t="s">
        <v>257</v>
      </c>
      <c r="R13137" s="180" t="s">
        <v>257</v>
      </c>
    </row>
    <row r="13138" spans="8:18" x14ac:dyDescent="0.2">
      <c r="H13138" s="180"/>
      <c r="P13138" s="180" t="s">
        <v>257</v>
      </c>
      <c r="R13138" s="180" t="s">
        <v>257</v>
      </c>
    </row>
    <row r="13139" spans="8:18" x14ac:dyDescent="0.2">
      <c r="H13139" s="180"/>
      <c r="P13139" s="180" t="s">
        <v>257</v>
      </c>
      <c r="R13139" s="180" t="s">
        <v>257</v>
      </c>
    </row>
    <row r="13140" spans="8:18" x14ac:dyDescent="0.2">
      <c r="H13140" s="180"/>
      <c r="P13140" s="180" t="s">
        <v>257</v>
      </c>
      <c r="R13140" s="180" t="s">
        <v>257</v>
      </c>
    </row>
    <row r="13141" spans="8:18" x14ac:dyDescent="0.2">
      <c r="H13141" s="180"/>
      <c r="P13141" s="180" t="s">
        <v>257</v>
      </c>
      <c r="R13141" s="180" t="s">
        <v>257</v>
      </c>
    </row>
    <row r="13142" spans="8:18" x14ac:dyDescent="0.2">
      <c r="H13142" s="180"/>
      <c r="P13142" s="180" t="s">
        <v>257</v>
      </c>
      <c r="R13142" s="180" t="s">
        <v>257</v>
      </c>
    </row>
    <row r="13143" spans="8:18" x14ac:dyDescent="0.2">
      <c r="H13143" s="180"/>
      <c r="P13143" s="180" t="s">
        <v>257</v>
      </c>
      <c r="R13143" s="180" t="s">
        <v>257</v>
      </c>
    </row>
    <row r="13144" spans="8:18" x14ac:dyDescent="0.2">
      <c r="H13144" s="180"/>
      <c r="P13144" s="180" t="s">
        <v>257</v>
      </c>
      <c r="R13144" s="180" t="s">
        <v>257</v>
      </c>
    </row>
    <row r="13145" spans="8:18" x14ac:dyDescent="0.2">
      <c r="H13145" s="180"/>
      <c r="P13145" s="180" t="s">
        <v>257</v>
      </c>
      <c r="R13145" s="180" t="s">
        <v>257</v>
      </c>
    </row>
    <row r="13146" spans="8:18" x14ac:dyDescent="0.2">
      <c r="H13146" s="180"/>
      <c r="P13146" s="180" t="s">
        <v>257</v>
      </c>
      <c r="R13146" s="180" t="s">
        <v>257</v>
      </c>
    </row>
    <row r="13147" spans="8:18" x14ac:dyDescent="0.2">
      <c r="H13147" s="180"/>
      <c r="P13147" s="180" t="s">
        <v>257</v>
      </c>
      <c r="R13147" s="180" t="s">
        <v>257</v>
      </c>
    </row>
    <row r="13148" spans="8:18" x14ac:dyDescent="0.2">
      <c r="H13148" s="180"/>
      <c r="P13148" s="180" t="s">
        <v>257</v>
      </c>
      <c r="R13148" s="180" t="s">
        <v>257</v>
      </c>
    </row>
    <row r="13149" spans="8:18" x14ac:dyDescent="0.2">
      <c r="H13149" s="180"/>
      <c r="P13149" s="180" t="s">
        <v>257</v>
      </c>
      <c r="R13149" s="180" t="s">
        <v>257</v>
      </c>
    </row>
    <row r="13150" spans="8:18" x14ac:dyDescent="0.2">
      <c r="H13150" s="180"/>
      <c r="P13150" s="180" t="s">
        <v>257</v>
      </c>
      <c r="R13150" s="180" t="s">
        <v>257</v>
      </c>
    </row>
    <row r="13151" spans="8:18" x14ac:dyDescent="0.2">
      <c r="H13151" s="180"/>
      <c r="P13151" s="180" t="s">
        <v>257</v>
      </c>
      <c r="R13151" s="180" t="s">
        <v>257</v>
      </c>
    </row>
    <row r="13152" spans="8:18" x14ac:dyDescent="0.2">
      <c r="H13152" s="180"/>
      <c r="P13152" s="180" t="s">
        <v>257</v>
      </c>
      <c r="R13152" s="180" t="s">
        <v>257</v>
      </c>
    </row>
    <row r="13153" spans="8:18" x14ac:dyDescent="0.2">
      <c r="H13153" s="180"/>
      <c r="P13153" s="180" t="s">
        <v>257</v>
      </c>
      <c r="R13153" s="180" t="s">
        <v>257</v>
      </c>
    </row>
    <row r="13154" spans="8:18" x14ac:dyDescent="0.2">
      <c r="H13154" s="180"/>
      <c r="P13154" s="180" t="s">
        <v>257</v>
      </c>
      <c r="R13154" s="180" t="s">
        <v>257</v>
      </c>
    </row>
    <row r="13155" spans="8:18" x14ac:dyDescent="0.2">
      <c r="H13155" s="180"/>
      <c r="P13155" s="180" t="s">
        <v>257</v>
      </c>
      <c r="R13155" s="180" t="s">
        <v>257</v>
      </c>
    </row>
    <row r="13156" spans="8:18" x14ac:dyDescent="0.2">
      <c r="H13156" s="180"/>
      <c r="P13156" s="180" t="s">
        <v>257</v>
      </c>
      <c r="R13156" s="180" t="s">
        <v>257</v>
      </c>
    </row>
    <row r="13157" spans="8:18" x14ac:dyDescent="0.2">
      <c r="H13157" s="180"/>
      <c r="P13157" s="180" t="s">
        <v>257</v>
      </c>
      <c r="R13157" s="180" t="s">
        <v>257</v>
      </c>
    </row>
    <row r="13158" spans="8:18" x14ac:dyDescent="0.2">
      <c r="H13158" s="180"/>
      <c r="P13158" s="180" t="s">
        <v>257</v>
      </c>
      <c r="R13158" s="180" t="s">
        <v>257</v>
      </c>
    </row>
    <row r="13159" spans="8:18" x14ac:dyDescent="0.2">
      <c r="H13159" s="180"/>
      <c r="P13159" s="180" t="s">
        <v>257</v>
      </c>
      <c r="R13159" s="180" t="s">
        <v>257</v>
      </c>
    </row>
    <row r="13160" spans="8:18" x14ac:dyDescent="0.2">
      <c r="H13160" s="180"/>
      <c r="P13160" s="180" t="s">
        <v>257</v>
      </c>
      <c r="R13160" s="180" t="s">
        <v>257</v>
      </c>
    </row>
    <row r="13161" spans="8:18" x14ac:dyDescent="0.2">
      <c r="H13161" s="180"/>
      <c r="P13161" s="180" t="s">
        <v>257</v>
      </c>
      <c r="R13161" s="180" t="s">
        <v>257</v>
      </c>
    </row>
    <row r="13162" spans="8:18" x14ac:dyDescent="0.2">
      <c r="H13162" s="180"/>
      <c r="P13162" s="180" t="s">
        <v>257</v>
      </c>
      <c r="R13162" s="180" t="s">
        <v>257</v>
      </c>
    </row>
    <row r="13163" spans="8:18" x14ac:dyDescent="0.2">
      <c r="H13163" s="180"/>
      <c r="P13163" s="180" t="s">
        <v>257</v>
      </c>
      <c r="R13163" s="180" t="s">
        <v>257</v>
      </c>
    </row>
    <row r="13164" spans="8:18" x14ac:dyDescent="0.2">
      <c r="H13164" s="180"/>
      <c r="P13164" s="180" t="s">
        <v>257</v>
      </c>
      <c r="R13164" s="180" t="s">
        <v>257</v>
      </c>
    </row>
    <row r="13165" spans="8:18" x14ac:dyDescent="0.2">
      <c r="H13165" s="180"/>
      <c r="P13165" s="180" t="s">
        <v>257</v>
      </c>
      <c r="R13165" s="180" t="s">
        <v>257</v>
      </c>
    </row>
    <row r="13166" spans="8:18" x14ac:dyDescent="0.2">
      <c r="H13166" s="180"/>
      <c r="P13166" s="180" t="s">
        <v>257</v>
      </c>
      <c r="R13166" s="180" t="s">
        <v>257</v>
      </c>
    </row>
    <row r="13167" spans="8:18" x14ac:dyDescent="0.2">
      <c r="H13167" s="180"/>
      <c r="P13167" s="180" t="s">
        <v>257</v>
      </c>
      <c r="R13167" s="180" t="s">
        <v>257</v>
      </c>
    </row>
    <row r="13168" spans="8:18" x14ac:dyDescent="0.2">
      <c r="H13168" s="180"/>
      <c r="P13168" s="180" t="s">
        <v>257</v>
      </c>
      <c r="R13168" s="180" t="s">
        <v>257</v>
      </c>
    </row>
    <row r="13169" spans="8:18" x14ac:dyDescent="0.2">
      <c r="H13169" s="180"/>
      <c r="P13169" s="180" t="s">
        <v>257</v>
      </c>
      <c r="R13169" s="180" t="s">
        <v>257</v>
      </c>
    </row>
    <row r="13170" spans="8:18" x14ac:dyDescent="0.2">
      <c r="H13170" s="180"/>
      <c r="P13170" s="180" t="s">
        <v>257</v>
      </c>
      <c r="R13170" s="180" t="s">
        <v>257</v>
      </c>
    </row>
    <row r="13171" spans="8:18" x14ac:dyDescent="0.2">
      <c r="H13171" s="180"/>
      <c r="P13171" s="180" t="s">
        <v>257</v>
      </c>
      <c r="R13171" s="180" t="s">
        <v>257</v>
      </c>
    </row>
    <row r="13172" spans="8:18" x14ac:dyDescent="0.2">
      <c r="H13172" s="180"/>
      <c r="P13172" s="180" t="s">
        <v>257</v>
      </c>
      <c r="R13172" s="180" t="s">
        <v>257</v>
      </c>
    </row>
    <row r="13173" spans="8:18" x14ac:dyDescent="0.2">
      <c r="H13173" s="180"/>
      <c r="P13173" s="180" t="s">
        <v>257</v>
      </c>
      <c r="R13173" s="180" t="s">
        <v>257</v>
      </c>
    </row>
    <row r="13174" spans="8:18" x14ac:dyDescent="0.2">
      <c r="H13174" s="180"/>
      <c r="P13174" s="180" t="s">
        <v>257</v>
      </c>
      <c r="R13174" s="180" t="s">
        <v>257</v>
      </c>
    </row>
    <row r="13175" spans="8:18" x14ac:dyDescent="0.2">
      <c r="H13175" s="180"/>
      <c r="P13175" s="180" t="s">
        <v>257</v>
      </c>
      <c r="R13175" s="180" t="s">
        <v>257</v>
      </c>
    </row>
    <row r="13176" spans="8:18" x14ac:dyDescent="0.2">
      <c r="H13176" s="180"/>
      <c r="P13176" s="180" t="s">
        <v>257</v>
      </c>
      <c r="R13176" s="180" t="s">
        <v>257</v>
      </c>
    </row>
    <row r="13177" spans="8:18" x14ac:dyDescent="0.2">
      <c r="H13177" s="180"/>
      <c r="P13177" s="180" t="s">
        <v>257</v>
      </c>
      <c r="R13177" s="180" t="s">
        <v>257</v>
      </c>
    </row>
    <row r="13178" spans="8:18" x14ac:dyDescent="0.2">
      <c r="H13178" s="180"/>
      <c r="P13178" s="180" t="s">
        <v>257</v>
      </c>
      <c r="R13178" s="180" t="s">
        <v>257</v>
      </c>
    </row>
    <row r="13179" spans="8:18" x14ac:dyDescent="0.2">
      <c r="H13179" s="180"/>
      <c r="P13179" s="180" t="s">
        <v>257</v>
      </c>
      <c r="R13179" s="180" t="s">
        <v>257</v>
      </c>
    </row>
    <row r="13180" spans="8:18" x14ac:dyDescent="0.2">
      <c r="H13180" s="180"/>
      <c r="P13180" s="180" t="s">
        <v>257</v>
      </c>
      <c r="R13180" s="180" t="s">
        <v>257</v>
      </c>
    </row>
    <row r="13181" spans="8:18" x14ac:dyDescent="0.2">
      <c r="H13181" s="180"/>
      <c r="P13181" s="180" t="s">
        <v>257</v>
      </c>
      <c r="R13181" s="180" t="s">
        <v>257</v>
      </c>
    </row>
    <row r="13182" spans="8:18" x14ac:dyDescent="0.2">
      <c r="H13182" s="180"/>
      <c r="P13182" s="180" t="s">
        <v>257</v>
      </c>
      <c r="R13182" s="180" t="s">
        <v>257</v>
      </c>
    </row>
    <row r="13183" spans="8:18" x14ac:dyDescent="0.2">
      <c r="H13183" s="180"/>
      <c r="P13183" s="180" t="s">
        <v>257</v>
      </c>
      <c r="R13183" s="180" t="s">
        <v>257</v>
      </c>
    </row>
    <row r="13184" spans="8:18" x14ac:dyDescent="0.2">
      <c r="H13184" s="180"/>
      <c r="P13184" s="180" t="s">
        <v>257</v>
      </c>
      <c r="R13184" s="180" t="s">
        <v>257</v>
      </c>
    </row>
    <row r="13185" spans="8:18" x14ac:dyDescent="0.2">
      <c r="H13185" s="180"/>
      <c r="P13185" s="180" t="s">
        <v>257</v>
      </c>
      <c r="R13185" s="180" t="s">
        <v>257</v>
      </c>
    </row>
    <row r="13186" spans="8:18" x14ac:dyDescent="0.2">
      <c r="H13186" s="180"/>
      <c r="P13186" s="180" t="s">
        <v>257</v>
      </c>
      <c r="R13186" s="180" t="s">
        <v>257</v>
      </c>
    </row>
    <row r="13187" spans="8:18" x14ac:dyDescent="0.2">
      <c r="H13187" s="180"/>
      <c r="P13187" s="180" t="s">
        <v>257</v>
      </c>
      <c r="R13187" s="180" t="s">
        <v>257</v>
      </c>
    </row>
    <row r="13188" spans="8:18" x14ac:dyDescent="0.2">
      <c r="H13188" s="180"/>
      <c r="P13188" s="180" t="s">
        <v>257</v>
      </c>
      <c r="R13188" s="180" t="s">
        <v>257</v>
      </c>
    </row>
    <row r="13189" spans="8:18" x14ac:dyDescent="0.2">
      <c r="H13189" s="180"/>
      <c r="P13189" s="180" t="s">
        <v>257</v>
      </c>
      <c r="R13189" s="180" t="s">
        <v>257</v>
      </c>
    </row>
    <row r="13190" spans="8:18" x14ac:dyDescent="0.2">
      <c r="H13190" s="180"/>
      <c r="P13190" s="180" t="s">
        <v>257</v>
      </c>
      <c r="R13190" s="180" t="s">
        <v>257</v>
      </c>
    </row>
    <row r="13191" spans="8:18" x14ac:dyDescent="0.2">
      <c r="H13191" s="180"/>
      <c r="P13191" s="180" t="s">
        <v>257</v>
      </c>
      <c r="R13191" s="180" t="s">
        <v>257</v>
      </c>
    </row>
    <row r="13192" spans="8:18" x14ac:dyDescent="0.2">
      <c r="H13192" s="180"/>
      <c r="P13192" s="180" t="s">
        <v>257</v>
      </c>
      <c r="R13192" s="180" t="s">
        <v>257</v>
      </c>
    </row>
    <row r="13193" spans="8:18" x14ac:dyDescent="0.2">
      <c r="H13193" s="180"/>
      <c r="P13193" s="180" t="s">
        <v>257</v>
      </c>
      <c r="R13193" s="180" t="s">
        <v>257</v>
      </c>
    </row>
    <row r="13194" spans="8:18" x14ac:dyDescent="0.2">
      <c r="H13194" s="180"/>
      <c r="P13194" s="180" t="s">
        <v>257</v>
      </c>
      <c r="R13194" s="180" t="s">
        <v>257</v>
      </c>
    </row>
    <row r="13195" spans="8:18" x14ac:dyDescent="0.2">
      <c r="H13195" s="180"/>
      <c r="P13195" s="180" t="s">
        <v>257</v>
      </c>
      <c r="R13195" s="180" t="s">
        <v>257</v>
      </c>
    </row>
    <row r="13196" spans="8:18" x14ac:dyDescent="0.2">
      <c r="H13196" s="180"/>
      <c r="P13196" s="180" t="s">
        <v>257</v>
      </c>
      <c r="R13196" s="180" t="s">
        <v>257</v>
      </c>
    </row>
    <row r="13197" spans="8:18" x14ac:dyDescent="0.2">
      <c r="H13197" s="180"/>
      <c r="P13197" s="180" t="s">
        <v>257</v>
      </c>
      <c r="R13197" s="180" t="s">
        <v>257</v>
      </c>
    </row>
    <row r="13198" spans="8:18" x14ac:dyDescent="0.2">
      <c r="H13198" s="180"/>
      <c r="P13198" s="180" t="s">
        <v>257</v>
      </c>
      <c r="R13198" s="180" t="s">
        <v>257</v>
      </c>
    </row>
    <row r="13199" spans="8:18" x14ac:dyDescent="0.2">
      <c r="H13199" s="180"/>
      <c r="P13199" s="180" t="s">
        <v>257</v>
      </c>
      <c r="R13199" s="180" t="s">
        <v>257</v>
      </c>
    </row>
    <row r="13200" spans="8:18" x14ac:dyDescent="0.2">
      <c r="H13200" s="180"/>
      <c r="P13200" s="180" t="s">
        <v>257</v>
      </c>
      <c r="R13200" s="180" t="s">
        <v>257</v>
      </c>
    </row>
    <row r="13201" spans="8:18" x14ac:dyDescent="0.2">
      <c r="H13201" s="180"/>
      <c r="P13201" s="180" t="s">
        <v>257</v>
      </c>
      <c r="R13201" s="180" t="s">
        <v>257</v>
      </c>
    </row>
    <row r="13202" spans="8:18" x14ac:dyDescent="0.2">
      <c r="H13202" s="180"/>
      <c r="P13202" s="180" t="s">
        <v>257</v>
      </c>
      <c r="R13202" s="180" t="s">
        <v>257</v>
      </c>
    </row>
    <row r="13203" spans="8:18" x14ac:dyDescent="0.2">
      <c r="H13203" s="180"/>
      <c r="P13203" s="180" t="s">
        <v>257</v>
      </c>
      <c r="R13203" s="180" t="s">
        <v>257</v>
      </c>
    </row>
    <row r="13204" spans="8:18" x14ac:dyDescent="0.2">
      <c r="H13204" s="180"/>
      <c r="P13204" s="180" t="s">
        <v>257</v>
      </c>
      <c r="R13204" s="180" t="s">
        <v>257</v>
      </c>
    </row>
    <row r="13205" spans="8:18" x14ac:dyDescent="0.2">
      <c r="H13205" s="180"/>
      <c r="P13205" s="180" t="s">
        <v>257</v>
      </c>
      <c r="R13205" s="180" t="s">
        <v>257</v>
      </c>
    </row>
    <row r="13206" spans="8:18" x14ac:dyDescent="0.2">
      <c r="H13206" s="180"/>
      <c r="P13206" s="180" t="s">
        <v>257</v>
      </c>
      <c r="R13206" s="180" t="s">
        <v>257</v>
      </c>
    </row>
    <row r="13207" spans="8:18" x14ac:dyDescent="0.2">
      <c r="H13207" s="180"/>
      <c r="P13207" s="180" t="s">
        <v>257</v>
      </c>
      <c r="R13207" s="180" t="s">
        <v>257</v>
      </c>
    </row>
    <row r="13208" spans="8:18" x14ac:dyDescent="0.2">
      <c r="H13208" s="180"/>
      <c r="P13208" s="180" t="s">
        <v>257</v>
      </c>
      <c r="R13208" s="180" t="s">
        <v>257</v>
      </c>
    </row>
    <row r="13209" spans="8:18" x14ac:dyDescent="0.2">
      <c r="H13209" s="180"/>
      <c r="P13209" s="180" t="s">
        <v>257</v>
      </c>
      <c r="R13209" s="180" t="s">
        <v>257</v>
      </c>
    </row>
    <row r="13210" spans="8:18" x14ac:dyDescent="0.2">
      <c r="H13210" s="180"/>
      <c r="P13210" s="180" t="s">
        <v>257</v>
      </c>
      <c r="R13210" s="180" t="s">
        <v>257</v>
      </c>
    </row>
    <row r="13211" spans="8:18" x14ac:dyDescent="0.2">
      <c r="H13211" s="180"/>
      <c r="P13211" s="180" t="s">
        <v>257</v>
      </c>
      <c r="R13211" s="180" t="s">
        <v>257</v>
      </c>
    </row>
    <row r="13212" spans="8:18" x14ac:dyDescent="0.2">
      <c r="H13212" s="180"/>
      <c r="P13212" s="180" t="s">
        <v>257</v>
      </c>
      <c r="R13212" s="180" t="s">
        <v>257</v>
      </c>
    </row>
    <row r="13213" spans="8:18" x14ac:dyDescent="0.2">
      <c r="H13213" s="180"/>
      <c r="P13213" s="180" t="s">
        <v>257</v>
      </c>
      <c r="R13213" s="180" t="s">
        <v>257</v>
      </c>
    </row>
    <row r="13214" spans="8:18" x14ac:dyDescent="0.2">
      <c r="H13214" s="180"/>
      <c r="P13214" s="180" t="s">
        <v>257</v>
      </c>
      <c r="R13214" s="180" t="s">
        <v>257</v>
      </c>
    </row>
    <row r="13215" spans="8:18" x14ac:dyDescent="0.2">
      <c r="H13215" s="180"/>
      <c r="P13215" s="180" t="s">
        <v>257</v>
      </c>
      <c r="R13215" s="180" t="s">
        <v>257</v>
      </c>
    </row>
    <row r="13216" spans="8:18" x14ac:dyDescent="0.2">
      <c r="H13216" s="180"/>
      <c r="P13216" s="180" t="s">
        <v>257</v>
      </c>
      <c r="R13216" s="180" t="s">
        <v>257</v>
      </c>
    </row>
    <row r="13217" spans="8:18" x14ac:dyDescent="0.2">
      <c r="H13217" s="180"/>
      <c r="P13217" s="180" t="s">
        <v>257</v>
      </c>
      <c r="R13217" s="180" t="s">
        <v>257</v>
      </c>
    </row>
    <row r="13218" spans="8:18" x14ac:dyDescent="0.2">
      <c r="H13218" s="180"/>
      <c r="P13218" s="180" t="s">
        <v>257</v>
      </c>
      <c r="R13218" s="180" t="s">
        <v>257</v>
      </c>
    </row>
    <row r="13219" spans="8:18" x14ac:dyDescent="0.2">
      <c r="H13219" s="180"/>
      <c r="P13219" s="180" t="s">
        <v>257</v>
      </c>
      <c r="R13219" s="180" t="s">
        <v>257</v>
      </c>
    </row>
    <row r="13220" spans="8:18" x14ac:dyDescent="0.2">
      <c r="H13220" s="180"/>
      <c r="P13220" s="180" t="s">
        <v>257</v>
      </c>
      <c r="R13220" s="180" t="s">
        <v>257</v>
      </c>
    </row>
    <row r="13221" spans="8:18" x14ac:dyDescent="0.2">
      <c r="H13221" s="180"/>
      <c r="P13221" s="180" t="s">
        <v>257</v>
      </c>
      <c r="R13221" s="180" t="s">
        <v>257</v>
      </c>
    </row>
    <row r="13222" spans="8:18" x14ac:dyDescent="0.2">
      <c r="H13222" s="180"/>
      <c r="P13222" s="180" t="s">
        <v>257</v>
      </c>
      <c r="R13222" s="180" t="s">
        <v>257</v>
      </c>
    </row>
    <row r="13223" spans="8:18" x14ac:dyDescent="0.2">
      <c r="H13223" s="180"/>
      <c r="P13223" s="180" t="s">
        <v>257</v>
      </c>
      <c r="R13223" s="180" t="s">
        <v>257</v>
      </c>
    </row>
    <row r="13224" spans="8:18" x14ac:dyDescent="0.2">
      <c r="H13224" s="180"/>
      <c r="P13224" s="180" t="s">
        <v>257</v>
      </c>
      <c r="R13224" s="180" t="s">
        <v>257</v>
      </c>
    </row>
    <row r="13225" spans="8:18" x14ac:dyDescent="0.2">
      <c r="H13225" s="180"/>
      <c r="P13225" s="180" t="s">
        <v>257</v>
      </c>
      <c r="R13225" s="180" t="s">
        <v>257</v>
      </c>
    </row>
    <row r="13226" spans="8:18" x14ac:dyDescent="0.2">
      <c r="H13226" s="180"/>
      <c r="P13226" s="180" t="s">
        <v>257</v>
      </c>
      <c r="R13226" s="180" t="s">
        <v>257</v>
      </c>
    </row>
    <row r="13227" spans="8:18" x14ac:dyDescent="0.2">
      <c r="H13227" s="180"/>
      <c r="P13227" s="180" t="s">
        <v>257</v>
      </c>
      <c r="R13227" s="180" t="s">
        <v>257</v>
      </c>
    </row>
    <row r="13228" spans="8:18" x14ac:dyDescent="0.2">
      <c r="H13228" s="180"/>
      <c r="P13228" s="180" t="s">
        <v>257</v>
      </c>
      <c r="R13228" s="180" t="s">
        <v>257</v>
      </c>
    </row>
    <row r="13229" spans="8:18" x14ac:dyDescent="0.2">
      <c r="H13229" s="180"/>
      <c r="P13229" s="180" t="s">
        <v>257</v>
      </c>
      <c r="R13229" s="180" t="s">
        <v>257</v>
      </c>
    </row>
    <row r="13230" spans="8:18" x14ac:dyDescent="0.2">
      <c r="H13230" s="180"/>
      <c r="P13230" s="180" t="s">
        <v>257</v>
      </c>
      <c r="R13230" s="180" t="s">
        <v>257</v>
      </c>
    </row>
    <row r="13231" spans="8:18" x14ac:dyDescent="0.2">
      <c r="H13231" s="180"/>
      <c r="P13231" s="180" t="s">
        <v>257</v>
      </c>
      <c r="R13231" s="180" t="s">
        <v>257</v>
      </c>
    </row>
    <row r="13232" spans="8:18" x14ac:dyDescent="0.2">
      <c r="H13232" s="180"/>
      <c r="P13232" s="180" t="s">
        <v>257</v>
      </c>
      <c r="R13232" s="180" t="s">
        <v>257</v>
      </c>
    </row>
    <row r="13233" spans="8:18" x14ac:dyDescent="0.2">
      <c r="H13233" s="180"/>
      <c r="P13233" s="180" t="s">
        <v>257</v>
      </c>
      <c r="R13233" s="180" t="s">
        <v>257</v>
      </c>
    </row>
    <row r="13234" spans="8:18" x14ac:dyDescent="0.2">
      <c r="H13234" s="180"/>
      <c r="P13234" s="180" t="s">
        <v>257</v>
      </c>
      <c r="R13234" s="180" t="s">
        <v>257</v>
      </c>
    </row>
    <row r="13235" spans="8:18" x14ac:dyDescent="0.2">
      <c r="H13235" s="180"/>
      <c r="P13235" s="180" t="s">
        <v>257</v>
      </c>
      <c r="R13235" s="180" t="s">
        <v>257</v>
      </c>
    </row>
    <row r="13236" spans="8:18" x14ac:dyDescent="0.2">
      <c r="H13236" s="180"/>
      <c r="P13236" s="180" t="s">
        <v>257</v>
      </c>
      <c r="R13236" s="180" t="s">
        <v>257</v>
      </c>
    </row>
    <row r="13237" spans="8:18" x14ac:dyDescent="0.2">
      <c r="H13237" s="180"/>
      <c r="P13237" s="180" t="s">
        <v>257</v>
      </c>
      <c r="R13237" s="180" t="s">
        <v>257</v>
      </c>
    </row>
    <row r="13238" spans="8:18" x14ac:dyDescent="0.2">
      <c r="H13238" s="180"/>
      <c r="P13238" s="180" t="s">
        <v>257</v>
      </c>
      <c r="R13238" s="180" t="s">
        <v>257</v>
      </c>
    </row>
    <row r="13239" spans="8:18" x14ac:dyDescent="0.2">
      <c r="H13239" s="180"/>
      <c r="P13239" s="180" t="s">
        <v>257</v>
      </c>
      <c r="R13239" s="180" t="s">
        <v>257</v>
      </c>
    </row>
    <row r="13240" spans="8:18" x14ac:dyDescent="0.2">
      <c r="H13240" s="180"/>
      <c r="P13240" s="180" t="s">
        <v>257</v>
      </c>
      <c r="R13240" s="180" t="s">
        <v>257</v>
      </c>
    </row>
    <row r="13241" spans="8:18" x14ac:dyDescent="0.2">
      <c r="H13241" s="180"/>
      <c r="P13241" s="180" t="s">
        <v>257</v>
      </c>
      <c r="R13241" s="180" t="s">
        <v>257</v>
      </c>
    </row>
    <row r="13242" spans="8:18" x14ac:dyDescent="0.2">
      <c r="H13242" s="180"/>
      <c r="P13242" s="180" t="s">
        <v>257</v>
      </c>
      <c r="R13242" s="180" t="s">
        <v>257</v>
      </c>
    </row>
    <row r="13243" spans="8:18" x14ac:dyDescent="0.2">
      <c r="H13243" s="180"/>
      <c r="P13243" s="180" t="s">
        <v>257</v>
      </c>
      <c r="R13243" s="180" t="s">
        <v>257</v>
      </c>
    </row>
    <row r="13244" spans="8:18" x14ac:dyDescent="0.2">
      <c r="H13244" s="180"/>
      <c r="P13244" s="180" t="s">
        <v>257</v>
      </c>
      <c r="R13244" s="180" t="s">
        <v>257</v>
      </c>
    </row>
    <row r="13245" spans="8:18" x14ac:dyDescent="0.2">
      <c r="H13245" s="180"/>
      <c r="P13245" s="180" t="s">
        <v>257</v>
      </c>
      <c r="R13245" s="180" t="s">
        <v>257</v>
      </c>
    </row>
    <row r="13246" spans="8:18" x14ac:dyDescent="0.2">
      <c r="H13246" s="180"/>
      <c r="P13246" s="180" t="s">
        <v>257</v>
      </c>
      <c r="R13246" s="180" t="s">
        <v>257</v>
      </c>
    </row>
    <row r="13247" spans="8:18" x14ac:dyDescent="0.2">
      <c r="H13247" s="180"/>
      <c r="P13247" s="180" t="s">
        <v>257</v>
      </c>
      <c r="R13247" s="180" t="s">
        <v>257</v>
      </c>
    </row>
    <row r="13248" spans="8:18" x14ac:dyDescent="0.2">
      <c r="H13248" s="180"/>
      <c r="P13248" s="180" t="s">
        <v>257</v>
      </c>
      <c r="R13248" s="180" t="s">
        <v>257</v>
      </c>
    </row>
    <row r="13249" spans="8:18" x14ac:dyDescent="0.2">
      <c r="H13249" s="180"/>
      <c r="P13249" s="180" t="s">
        <v>257</v>
      </c>
      <c r="R13249" s="180" t="s">
        <v>257</v>
      </c>
    </row>
    <row r="13250" spans="8:18" x14ac:dyDescent="0.2">
      <c r="H13250" s="180"/>
      <c r="P13250" s="180" t="s">
        <v>257</v>
      </c>
      <c r="R13250" s="180" t="s">
        <v>257</v>
      </c>
    </row>
    <row r="13251" spans="8:18" x14ac:dyDescent="0.2">
      <c r="H13251" s="180"/>
      <c r="P13251" s="180" t="s">
        <v>257</v>
      </c>
      <c r="R13251" s="180" t="s">
        <v>257</v>
      </c>
    </row>
    <row r="13252" spans="8:18" x14ac:dyDescent="0.2">
      <c r="H13252" s="180"/>
      <c r="P13252" s="180" t="s">
        <v>257</v>
      </c>
      <c r="R13252" s="180" t="s">
        <v>257</v>
      </c>
    </row>
    <row r="13253" spans="8:18" x14ac:dyDescent="0.2">
      <c r="H13253" s="180"/>
      <c r="P13253" s="180" t="s">
        <v>257</v>
      </c>
      <c r="R13253" s="180" t="s">
        <v>257</v>
      </c>
    </row>
    <row r="13254" spans="8:18" x14ac:dyDescent="0.2">
      <c r="H13254" s="180"/>
      <c r="P13254" s="180" t="s">
        <v>257</v>
      </c>
      <c r="R13254" s="180" t="s">
        <v>257</v>
      </c>
    </row>
    <row r="13255" spans="8:18" x14ac:dyDescent="0.2">
      <c r="H13255" s="180"/>
      <c r="P13255" s="180" t="s">
        <v>257</v>
      </c>
      <c r="R13255" s="180" t="s">
        <v>257</v>
      </c>
    </row>
    <row r="13256" spans="8:18" x14ac:dyDescent="0.2">
      <c r="H13256" s="180"/>
      <c r="P13256" s="180" t="s">
        <v>257</v>
      </c>
      <c r="R13256" s="180" t="s">
        <v>257</v>
      </c>
    </row>
    <row r="13257" spans="8:18" x14ac:dyDescent="0.2">
      <c r="H13257" s="180"/>
      <c r="P13257" s="180" t="s">
        <v>257</v>
      </c>
      <c r="R13257" s="180" t="s">
        <v>257</v>
      </c>
    </row>
    <row r="13258" spans="8:18" x14ac:dyDescent="0.2">
      <c r="H13258" s="180"/>
      <c r="P13258" s="180" t="s">
        <v>257</v>
      </c>
      <c r="R13258" s="180" t="s">
        <v>257</v>
      </c>
    </row>
    <row r="13259" spans="8:18" x14ac:dyDescent="0.2">
      <c r="H13259" s="180"/>
      <c r="P13259" s="180" t="s">
        <v>257</v>
      </c>
      <c r="R13259" s="180" t="s">
        <v>257</v>
      </c>
    </row>
    <row r="13260" spans="8:18" x14ac:dyDescent="0.2">
      <c r="H13260" s="180"/>
      <c r="P13260" s="180" t="s">
        <v>257</v>
      </c>
      <c r="R13260" s="180" t="s">
        <v>257</v>
      </c>
    </row>
    <row r="13261" spans="8:18" x14ac:dyDescent="0.2">
      <c r="H13261" s="180"/>
      <c r="P13261" s="180" t="s">
        <v>257</v>
      </c>
      <c r="R13261" s="180" t="s">
        <v>257</v>
      </c>
    </row>
    <row r="13262" spans="8:18" x14ac:dyDescent="0.2">
      <c r="H13262" s="180"/>
      <c r="P13262" s="180" t="s">
        <v>257</v>
      </c>
      <c r="R13262" s="180" t="s">
        <v>257</v>
      </c>
    </row>
    <row r="13263" spans="8:18" x14ac:dyDescent="0.2">
      <c r="H13263" s="180"/>
      <c r="P13263" s="180" t="s">
        <v>257</v>
      </c>
      <c r="R13263" s="180" t="s">
        <v>257</v>
      </c>
    </row>
    <row r="13264" spans="8:18" x14ac:dyDescent="0.2">
      <c r="H13264" s="180"/>
      <c r="P13264" s="180" t="s">
        <v>257</v>
      </c>
      <c r="R13264" s="180" t="s">
        <v>257</v>
      </c>
    </row>
    <row r="13265" spans="8:18" x14ac:dyDescent="0.2">
      <c r="H13265" s="180"/>
      <c r="P13265" s="180" t="s">
        <v>257</v>
      </c>
      <c r="R13265" s="180" t="s">
        <v>257</v>
      </c>
    </row>
    <row r="13266" spans="8:18" x14ac:dyDescent="0.2">
      <c r="H13266" s="180"/>
      <c r="P13266" s="180" t="s">
        <v>257</v>
      </c>
      <c r="R13266" s="180" t="s">
        <v>257</v>
      </c>
    </row>
    <row r="13267" spans="8:18" x14ac:dyDescent="0.2">
      <c r="H13267" s="180"/>
      <c r="P13267" s="180" t="s">
        <v>257</v>
      </c>
      <c r="R13267" s="180" t="s">
        <v>257</v>
      </c>
    </row>
    <row r="13268" spans="8:18" x14ac:dyDescent="0.2">
      <c r="H13268" s="180"/>
      <c r="P13268" s="180" t="s">
        <v>257</v>
      </c>
      <c r="R13268" s="180" t="s">
        <v>257</v>
      </c>
    </row>
    <row r="13269" spans="8:18" x14ac:dyDescent="0.2">
      <c r="H13269" s="180"/>
      <c r="P13269" s="180" t="s">
        <v>257</v>
      </c>
      <c r="R13269" s="180" t="s">
        <v>257</v>
      </c>
    </row>
    <row r="13270" spans="8:18" x14ac:dyDescent="0.2">
      <c r="H13270" s="180"/>
      <c r="P13270" s="180" t="s">
        <v>257</v>
      </c>
      <c r="R13270" s="180" t="s">
        <v>257</v>
      </c>
    </row>
    <row r="13271" spans="8:18" x14ac:dyDescent="0.2">
      <c r="H13271" s="180"/>
      <c r="P13271" s="180" t="s">
        <v>257</v>
      </c>
      <c r="R13271" s="180" t="s">
        <v>257</v>
      </c>
    </row>
    <row r="13272" spans="8:18" x14ac:dyDescent="0.2">
      <c r="H13272" s="180"/>
      <c r="P13272" s="180" t="s">
        <v>257</v>
      </c>
      <c r="R13272" s="180" t="s">
        <v>257</v>
      </c>
    </row>
    <row r="13273" spans="8:18" x14ac:dyDescent="0.2">
      <c r="H13273" s="180"/>
      <c r="P13273" s="180" t="s">
        <v>257</v>
      </c>
      <c r="R13273" s="180" t="s">
        <v>257</v>
      </c>
    </row>
    <row r="13274" spans="8:18" x14ac:dyDescent="0.2">
      <c r="H13274" s="180"/>
      <c r="P13274" s="180" t="s">
        <v>257</v>
      </c>
      <c r="R13274" s="180" t="s">
        <v>257</v>
      </c>
    </row>
    <row r="13275" spans="8:18" x14ac:dyDescent="0.2">
      <c r="H13275" s="180"/>
      <c r="P13275" s="180" t="s">
        <v>257</v>
      </c>
      <c r="R13275" s="180" t="s">
        <v>257</v>
      </c>
    </row>
    <row r="13276" spans="8:18" x14ac:dyDescent="0.2">
      <c r="H13276" s="180"/>
      <c r="P13276" s="180" t="s">
        <v>257</v>
      </c>
      <c r="R13276" s="180" t="s">
        <v>257</v>
      </c>
    </row>
    <row r="13277" spans="8:18" x14ac:dyDescent="0.2">
      <c r="H13277" s="180"/>
      <c r="P13277" s="180" t="s">
        <v>257</v>
      </c>
      <c r="R13277" s="180" t="s">
        <v>257</v>
      </c>
    </row>
    <row r="13278" spans="8:18" x14ac:dyDescent="0.2">
      <c r="H13278" s="180"/>
      <c r="P13278" s="180" t="s">
        <v>257</v>
      </c>
      <c r="R13278" s="180" t="s">
        <v>257</v>
      </c>
    </row>
    <row r="13279" spans="8:18" x14ac:dyDescent="0.2">
      <c r="H13279" s="180"/>
      <c r="P13279" s="180" t="s">
        <v>257</v>
      </c>
      <c r="R13279" s="180" t="s">
        <v>257</v>
      </c>
    </row>
    <row r="13280" spans="8:18" x14ac:dyDescent="0.2">
      <c r="H13280" s="180"/>
      <c r="P13280" s="180" t="s">
        <v>257</v>
      </c>
      <c r="R13280" s="180" t="s">
        <v>257</v>
      </c>
    </row>
    <row r="13281" spans="8:18" x14ac:dyDescent="0.2">
      <c r="H13281" s="180"/>
      <c r="P13281" s="180" t="s">
        <v>257</v>
      </c>
      <c r="R13281" s="180" t="s">
        <v>257</v>
      </c>
    </row>
    <row r="13282" spans="8:18" x14ac:dyDescent="0.2">
      <c r="H13282" s="180"/>
      <c r="P13282" s="180" t="s">
        <v>257</v>
      </c>
      <c r="R13282" s="180" t="s">
        <v>257</v>
      </c>
    </row>
    <row r="13283" spans="8:18" x14ac:dyDescent="0.2">
      <c r="H13283" s="180"/>
      <c r="P13283" s="180" t="s">
        <v>257</v>
      </c>
      <c r="R13283" s="180" t="s">
        <v>257</v>
      </c>
    </row>
    <row r="13284" spans="8:18" x14ac:dyDescent="0.2">
      <c r="H13284" s="180"/>
      <c r="P13284" s="180" t="s">
        <v>257</v>
      </c>
      <c r="R13284" s="180" t="s">
        <v>257</v>
      </c>
    </row>
    <row r="13285" spans="8:18" x14ac:dyDescent="0.2">
      <c r="H13285" s="180"/>
      <c r="P13285" s="180" t="s">
        <v>257</v>
      </c>
      <c r="R13285" s="180" t="s">
        <v>257</v>
      </c>
    </row>
    <row r="13286" spans="8:18" x14ac:dyDescent="0.2">
      <c r="H13286" s="180"/>
      <c r="P13286" s="180" t="s">
        <v>257</v>
      </c>
      <c r="R13286" s="180" t="s">
        <v>257</v>
      </c>
    </row>
    <row r="13287" spans="8:18" x14ac:dyDescent="0.2">
      <c r="H13287" s="180"/>
      <c r="P13287" s="180" t="s">
        <v>257</v>
      </c>
      <c r="R13287" s="180" t="s">
        <v>257</v>
      </c>
    </row>
    <row r="13288" spans="8:18" x14ac:dyDescent="0.2">
      <c r="H13288" s="180"/>
      <c r="P13288" s="180" t="s">
        <v>257</v>
      </c>
      <c r="R13288" s="180" t="s">
        <v>257</v>
      </c>
    </row>
    <row r="13289" spans="8:18" x14ac:dyDescent="0.2">
      <c r="H13289" s="180"/>
      <c r="P13289" s="180" t="s">
        <v>257</v>
      </c>
      <c r="R13289" s="180" t="s">
        <v>257</v>
      </c>
    </row>
    <row r="13290" spans="8:18" x14ac:dyDescent="0.2">
      <c r="H13290" s="180"/>
      <c r="P13290" s="180" t="s">
        <v>257</v>
      </c>
      <c r="R13290" s="180" t="s">
        <v>257</v>
      </c>
    </row>
    <row r="13291" spans="8:18" x14ac:dyDescent="0.2">
      <c r="H13291" s="180"/>
      <c r="P13291" s="180" t="s">
        <v>257</v>
      </c>
      <c r="R13291" s="180" t="s">
        <v>257</v>
      </c>
    </row>
    <row r="13292" spans="8:18" x14ac:dyDescent="0.2">
      <c r="H13292" s="180"/>
      <c r="P13292" s="180" t="s">
        <v>257</v>
      </c>
      <c r="R13292" s="180" t="s">
        <v>257</v>
      </c>
    </row>
    <row r="13293" spans="8:18" x14ac:dyDescent="0.2">
      <c r="H13293" s="180"/>
      <c r="P13293" s="180" t="s">
        <v>257</v>
      </c>
      <c r="R13293" s="180" t="s">
        <v>257</v>
      </c>
    </row>
    <row r="13294" spans="8:18" x14ac:dyDescent="0.2">
      <c r="H13294" s="180"/>
      <c r="P13294" s="180" t="s">
        <v>257</v>
      </c>
      <c r="R13294" s="180" t="s">
        <v>257</v>
      </c>
    </row>
    <row r="13295" spans="8:18" x14ac:dyDescent="0.2">
      <c r="H13295" s="180"/>
      <c r="P13295" s="180" t="s">
        <v>257</v>
      </c>
      <c r="R13295" s="180" t="s">
        <v>257</v>
      </c>
    </row>
    <row r="13296" spans="8:18" x14ac:dyDescent="0.2">
      <c r="H13296" s="180"/>
      <c r="P13296" s="180" t="s">
        <v>257</v>
      </c>
      <c r="R13296" s="180" t="s">
        <v>257</v>
      </c>
    </row>
    <row r="13297" spans="8:18" x14ac:dyDescent="0.2">
      <c r="H13297" s="180"/>
      <c r="P13297" s="180" t="s">
        <v>257</v>
      </c>
      <c r="R13297" s="180" t="s">
        <v>257</v>
      </c>
    </row>
    <row r="13298" spans="8:18" x14ac:dyDescent="0.2">
      <c r="H13298" s="180"/>
      <c r="P13298" s="180" t="s">
        <v>257</v>
      </c>
      <c r="R13298" s="180" t="s">
        <v>257</v>
      </c>
    </row>
    <row r="13299" spans="8:18" x14ac:dyDescent="0.2">
      <c r="H13299" s="180"/>
      <c r="P13299" s="180" t="s">
        <v>257</v>
      </c>
      <c r="R13299" s="180" t="s">
        <v>257</v>
      </c>
    </row>
    <row r="13300" spans="8:18" x14ac:dyDescent="0.2">
      <c r="H13300" s="180"/>
      <c r="P13300" s="180" t="s">
        <v>257</v>
      </c>
      <c r="R13300" s="180" t="s">
        <v>257</v>
      </c>
    </row>
    <row r="13301" spans="8:18" x14ac:dyDescent="0.2">
      <c r="H13301" s="180"/>
      <c r="P13301" s="180" t="s">
        <v>257</v>
      </c>
      <c r="R13301" s="180" t="s">
        <v>257</v>
      </c>
    </row>
    <row r="13302" spans="8:18" x14ac:dyDescent="0.2">
      <c r="H13302" s="180"/>
      <c r="P13302" s="180" t="s">
        <v>257</v>
      </c>
      <c r="R13302" s="180" t="s">
        <v>257</v>
      </c>
    </row>
    <row r="13303" spans="8:18" x14ac:dyDescent="0.2">
      <c r="H13303" s="180"/>
      <c r="P13303" s="180" t="s">
        <v>257</v>
      </c>
      <c r="R13303" s="180" t="s">
        <v>257</v>
      </c>
    </row>
    <row r="13304" spans="8:18" x14ac:dyDescent="0.2">
      <c r="H13304" s="180"/>
      <c r="P13304" s="180" t="s">
        <v>257</v>
      </c>
      <c r="R13304" s="180" t="s">
        <v>257</v>
      </c>
    </row>
    <row r="13305" spans="8:18" x14ac:dyDescent="0.2">
      <c r="H13305" s="180"/>
      <c r="P13305" s="180" t="s">
        <v>257</v>
      </c>
      <c r="R13305" s="180" t="s">
        <v>257</v>
      </c>
    </row>
    <row r="13306" spans="8:18" x14ac:dyDescent="0.2">
      <c r="H13306" s="180"/>
      <c r="P13306" s="180" t="s">
        <v>257</v>
      </c>
      <c r="R13306" s="180" t="s">
        <v>257</v>
      </c>
    </row>
    <row r="13307" spans="8:18" x14ac:dyDescent="0.2">
      <c r="H13307" s="180"/>
      <c r="P13307" s="180" t="s">
        <v>257</v>
      </c>
      <c r="R13307" s="180" t="s">
        <v>257</v>
      </c>
    </row>
    <row r="13308" spans="8:18" x14ac:dyDescent="0.2">
      <c r="H13308" s="180"/>
      <c r="P13308" s="180" t="s">
        <v>257</v>
      </c>
      <c r="R13308" s="180" t="s">
        <v>257</v>
      </c>
    </row>
    <row r="13309" spans="8:18" x14ac:dyDescent="0.2">
      <c r="H13309" s="180"/>
      <c r="P13309" s="180" t="s">
        <v>257</v>
      </c>
      <c r="R13309" s="180" t="s">
        <v>257</v>
      </c>
    </row>
    <row r="13310" spans="8:18" x14ac:dyDescent="0.2">
      <c r="H13310" s="180"/>
      <c r="P13310" s="180" t="s">
        <v>257</v>
      </c>
      <c r="R13310" s="180" t="s">
        <v>257</v>
      </c>
    </row>
    <row r="13311" spans="8:18" x14ac:dyDescent="0.2">
      <c r="H13311" s="180"/>
      <c r="P13311" s="180" t="s">
        <v>257</v>
      </c>
      <c r="R13311" s="180" t="s">
        <v>257</v>
      </c>
    </row>
    <row r="13312" spans="8:18" x14ac:dyDescent="0.2">
      <c r="H13312" s="180"/>
      <c r="P13312" s="180" t="s">
        <v>257</v>
      </c>
      <c r="R13312" s="180" t="s">
        <v>257</v>
      </c>
    </row>
    <row r="13313" spans="8:18" x14ac:dyDescent="0.2">
      <c r="H13313" s="180"/>
      <c r="P13313" s="180" t="s">
        <v>257</v>
      </c>
      <c r="R13313" s="180" t="s">
        <v>257</v>
      </c>
    </row>
    <row r="13314" spans="8:18" x14ac:dyDescent="0.2">
      <c r="H13314" s="180"/>
      <c r="P13314" s="180" t="s">
        <v>257</v>
      </c>
      <c r="R13314" s="180" t="s">
        <v>257</v>
      </c>
    </row>
    <row r="13315" spans="8:18" x14ac:dyDescent="0.2">
      <c r="H13315" s="180"/>
      <c r="P13315" s="180" t="s">
        <v>257</v>
      </c>
      <c r="R13315" s="180" t="s">
        <v>257</v>
      </c>
    </row>
    <row r="13316" spans="8:18" x14ac:dyDescent="0.2">
      <c r="H13316" s="180"/>
      <c r="P13316" s="180" t="s">
        <v>257</v>
      </c>
      <c r="R13316" s="180" t="s">
        <v>257</v>
      </c>
    </row>
    <row r="13317" spans="8:18" x14ac:dyDescent="0.2">
      <c r="H13317" s="180"/>
      <c r="P13317" s="180" t="s">
        <v>257</v>
      </c>
      <c r="R13317" s="180" t="s">
        <v>257</v>
      </c>
    </row>
    <row r="13318" spans="8:18" x14ac:dyDescent="0.2">
      <c r="H13318" s="180"/>
      <c r="P13318" s="180" t="s">
        <v>257</v>
      </c>
      <c r="R13318" s="180" t="s">
        <v>257</v>
      </c>
    </row>
    <row r="13319" spans="8:18" x14ac:dyDescent="0.2">
      <c r="H13319" s="180"/>
      <c r="P13319" s="180" t="s">
        <v>257</v>
      </c>
      <c r="R13319" s="180" t="s">
        <v>257</v>
      </c>
    </row>
    <row r="13320" spans="8:18" x14ac:dyDescent="0.2">
      <c r="H13320" s="180"/>
      <c r="P13320" s="180" t="s">
        <v>257</v>
      </c>
      <c r="R13320" s="180" t="s">
        <v>257</v>
      </c>
    </row>
    <row r="13321" spans="8:18" x14ac:dyDescent="0.2">
      <c r="H13321" s="180"/>
      <c r="P13321" s="180" t="s">
        <v>257</v>
      </c>
      <c r="R13321" s="180" t="s">
        <v>257</v>
      </c>
    </row>
    <row r="13322" spans="8:18" x14ac:dyDescent="0.2">
      <c r="H13322" s="180"/>
      <c r="P13322" s="180" t="s">
        <v>257</v>
      </c>
      <c r="R13322" s="180" t="s">
        <v>257</v>
      </c>
    </row>
    <row r="13323" spans="8:18" x14ac:dyDescent="0.2">
      <c r="H13323" s="180"/>
      <c r="P13323" s="180" t="s">
        <v>257</v>
      </c>
      <c r="R13323" s="180" t="s">
        <v>257</v>
      </c>
    </row>
    <row r="13324" spans="8:18" x14ac:dyDescent="0.2">
      <c r="H13324" s="180"/>
      <c r="P13324" s="180" t="s">
        <v>257</v>
      </c>
      <c r="R13324" s="180" t="s">
        <v>257</v>
      </c>
    </row>
    <row r="13325" spans="8:18" x14ac:dyDescent="0.2">
      <c r="H13325" s="180"/>
      <c r="P13325" s="180" t="s">
        <v>257</v>
      </c>
      <c r="R13325" s="180" t="s">
        <v>257</v>
      </c>
    </row>
    <row r="13326" spans="8:18" x14ac:dyDescent="0.2">
      <c r="H13326" s="180"/>
      <c r="P13326" s="180" t="s">
        <v>257</v>
      </c>
      <c r="R13326" s="180" t="s">
        <v>257</v>
      </c>
    </row>
    <row r="13327" spans="8:18" x14ac:dyDescent="0.2">
      <c r="H13327" s="180"/>
      <c r="P13327" s="180" t="s">
        <v>257</v>
      </c>
      <c r="R13327" s="180" t="s">
        <v>257</v>
      </c>
    </row>
    <row r="13328" spans="8:18" x14ac:dyDescent="0.2">
      <c r="H13328" s="180"/>
      <c r="P13328" s="180" t="s">
        <v>257</v>
      </c>
      <c r="R13328" s="180" t="s">
        <v>257</v>
      </c>
    </row>
    <row r="13329" spans="8:18" x14ac:dyDescent="0.2">
      <c r="H13329" s="180"/>
      <c r="P13329" s="180" t="s">
        <v>257</v>
      </c>
      <c r="R13329" s="180" t="s">
        <v>257</v>
      </c>
    </row>
    <row r="13330" spans="8:18" x14ac:dyDescent="0.2">
      <c r="H13330" s="180"/>
      <c r="P13330" s="180" t="s">
        <v>257</v>
      </c>
      <c r="R13330" s="180" t="s">
        <v>257</v>
      </c>
    </row>
    <row r="13331" spans="8:18" x14ac:dyDescent="0.2">
      <c r="H13331" s="180"/>
      <c r="P13331" s="180" t="s">
        <v>257</v>
      </c>
      <c r="R13331" s="180" t="s">
        <v>257</v>
      </c>
    </row>
    <row r="13332" spans="8:18" x14ac:dyDescent="0.2">
      <c r="H13332" s="180"/>
      <c r="P13332" s="180" t="s">
        <v>257</v>
      </c>
      <c r="R13332" s="180" t="s">
        <v>257</v>
      </c>
    </row>
    <row r="13333" spans="8:18" x14ac:dyDescent="0.2">
      <c r="H13333" s="180"/>
      <c r="P13333" s="180" t="s">
        <v>257</v>
      </c>
      <c r="R13333" s="180" t="s">
        <v>257</v>
      </c>
    </row>
    <row r="13334" spans="8:18" x14ac:dyDescent="0.2">
      <c r="H13334" s="180"/>
      <c r="P13334" s="180" t="s">
        <v>257</v>
      </c>
      <c r="R13334" s="180" t="s">
        <v>257</v>
      </c>
    </row>
    <row r="13335" spans="8:18" x14ac:dyDescent="0.2">
      <c r="H13335" s="180"/>
      <c r="P13335" s="180" t="s">
        <v>257</v>
      </c>
      <c r="R13335" s="180" t="s">
        <v>257</v>
      </c>
    </row>
    <row r="13336" spans="8:18" x14ac:dyDescent="0.2">
      <c r="H13336" s="180"/>
      <c r="P13336" s="180" t="s">
        <v>257</v>
      </c>
      <c r="R13336" s="180" t="s">
        <v>257</v>
      </c>
    </row>
    <row r="13337" spans="8:18" x14ac:dyDescent="0.2">
      <c r="H13337" s="180"/>
      <c r="P13337" s="180" t="s">
        <v>257</v>
      </c>
      <c r="R13337" s="180" t="s">
        <v>257</v>
      </c>
    </row>
    <row r="13338" spans="8:18" x14ac:dyDescent="0.2">
      <c r="H13338" s="180"/>
      <c r="P13338" s="180" t="s">
        <v>257</v>
      </c>
      <c r="R13338" s="180" t="s">
        <v>257</v>
      </c>
    </row>
    <row r="13339" spans="8:18" x14ac:dyDescent="0.2">
      <c r="H13339" s="180"/>
      <c r="P13339" s="180" t="s">
        <v>257</v>
      </c>
      <c r="R13339" s="180" t="s">
        <v>257</v>
      </c>
    </row>
    <row r="13340" spans="8:18" x14ac:dyDescent="0.2">
      <c r="H13340" s="180"/>
      <c r="P13340" s="180" t="s">
        <v>257</v>
      </c>
      <c r="R13340" s="180" t="s">
        <v>257</v>
      </c>
    </row>
    <row r="13341" spans="8:18" x14ac:dyDescent="0.2">
      <c r="H13341" s="180"/>
      <c r="P13341" s="180" t="s">
        <v>257</v>
      </c>
      <c r="R13341" s="180" t="s">
        <v>257</v>
      </c>
    </row>
    <row r="13342" spans="8:18" x14ac:dyDescent="0.2">
      <c r="H13342" s="180"/>
      <c r="P13342" s="180" t="s">
        <v>257</v>
      </c>
      <c r="R13342" s="180" t="s">
        <v>257</v>
      </c>
    </row>
    <row r="13343" spans="8:18" x14ac:dyDescent="0.2">
      <c r="H13343" s="180"/>
      <c r="P13343" s="180" t="s">
        <v>257</v>
      </c>
      <c r="R13343" s="180" t="s">
        <v>257</v>
      </c>
    </row>
    <row r="13344" spans="8:18" x14ac:dyDescent="0.2">
      <c r="H13344" s="180"/>
      <c r="P13344" s="180" t="s">
        <v>257</v>
      </c>
      <c r="R13344" s="180" t="s">
        <v>257</v>
      </c>
    </row>
    <row r="13345" spans="8:18" x14ac:dyDescent="0.2">
      <c r="H13345" s="180"/>
      <c r="P13345" s="180" t="s">
        <v>257</v>
      </c>
      <c r="R13345" s="180" t="s">
        <v>257</v>
      </c>
    </row>
    <row r="13346" spans="8:18" x14ac:dyDescent="0.2">
      <c r="H13346" s="180"/>
      <c r="P13346" s="180" t="s">
        <v>257</v>
      </c>
      <c r="R13346" s="180" t="s">
        <v>257</v>
      </c>
    </row>
    <row r="13347" spans="8:18" x14ac:dyDescent="0.2">
      <c r="H13347" s="180"/>
      <c r="P13347" s="180" t="s">
        <v>257</v>
      </c>
      <c r="R13347" s="180" t="s">
        <v>257</v>
      </c>
    </row>
    <row r="13348" spans="8:18" x14ac:dyDescent="0.2">
      <c r="H13348" s="180"/>
      <c r="P13348" s="180" t="s">
        <v>257</v>
      </c>
      <c r="R13348" s="180" t="s">
        <v>257</v>
      </c>
    </row>
    <row r="13349" spans="8:18" x14ac:dyDescent="0.2">
      <c r="H13349" s="180"/>
      <c r="P13349" s="180" t="s">
        <v>257</v>
      </c>
      <c r="R13349" s="180" t="s">
        <v>257</v>
      </c>
    </row>
    <row r="13350" spans="8:18" x14ac:dyDescent="0.2">
      <c r="H13350" s="180"/>
      <c r="P13350" s="180" t="s">
        <v>257</v>
      </c>
      <c r="R13350" s="180" t="s">
        <v>257</v>
      </c>
    </row>
    <row r="13351" spans="8:18" x14ac:dyDescent="0.2">
      <c r="H13351" s="180"/>
      <c r="P13351" s="180" t="s">
        <v>257</v>
      </c>
      <c r="R13351" s="180" t="s">
        <v>257</v>
      </c>
    </row>
    <row r="13352" spans="8:18" x14ac:dyDescent="0.2">
      <c r="H13352" s="180"/>
      <c r="P13352" s="180" t="s">
        <v>257</v>
      </c>
      <c r="R13352" s="180" t="s">
        <v>257</v>
      </c>
    </row>
    <row r="13353" spans="8:18" x14ac:dyDescent="0.2">
      <c r="H13353" s="180"/>
      <c r="P13353" s="180" t="s">
        <v>257</v>
      </c>
      <c r="R13353" s="180" t="s">
        <v>257</v>
      </c>
    </row>
    <row r="13354" spans="8:18" x14ac:dyDescent="0.2">
      <c r="H13354" s="180"/>
      <c r="P13354" s="180" t="s">
        <v>257</v>
      </c>
      <c r="R13354" s="180" t="s">
        <v>257</v>
      </c>
    </row>
    <row r="13355" spans="8:18" x14ac:dyDescent="0.2">
      <c r="H13355" s="180"/>
      <c r="P13355" s="180" t="s">
        <v>257</v>
      </c>
      <c r="R13355" s="180" t="s">
        <v>257</v>
      </c>
    </row>
    <row r="13356" spans="8:18" x14ac:dyDescent="0.2">
      <c r="H13356" s="180"/>
      <c r="P13356" s="180" t="s">
        <v>257</v>
      </c>
      <c r="R13356" s="180" t="s">
        <v>257</v>
      </c>
    </row>
    <row r="13357" spans="8:18" x14ac:dyDescent="0.2">
      <c r="H13357" s="180"/>
      <c r="P13357" s="180" t="s">
        <v>257</v>
      </c>
      <c r="R13357" s="180" t="s">
        <v>257</v>
      </c>
    </row>
    <row r="13358" spans="8:18" x14ac:dyDescent="0.2">
      <c r="H13358" s="180"/>
      <c r="P13358" s="180" t="s">
        <v>257</v>
      </c>
      <c r="R13358" s="180" t="s">
        <v>257</v>
      </c>
    </row>
    <row r="13359" spans="8:18" x14ac:dyDescent="0.2">
      <c r="H13359" s="180"/>
      <c r="P13359" s="180" t="s">
        <v>257</v>
      </c>
      <c r="R13359" s="180" t="s">
        <v>257</v>
      </c>
    </row>
    <row r="13360" spans="8:18" x14ac:dyDescent="0.2">
      <c r="H13360" s="180"/>
      <c r="P13360" s="180" t="s">
        <v>257</v>
      </c>
      <c r="R13360" s="180" t="s">
        <v>257</v>
      </c>
    </row>
    <row r="13361" spans="8:18" x14ac:dyDescent="0.2">
      <c r="H13361" s="180"/>
      <c r="P13361" s="180" t="s">
        <v>257</v>
      </c>
      <c r="R13361" s="180" t="s">
        <v>257</v>
      </c>
    </row>
    <row r="13362" spans="8:18" x14ac:dyDescent="0.2">
      <c r="H13362" s="180"/>
      <c r="P13362" s="180" t="s">
        <v>257</v>
      </c>
      <c r="R13362" s="180" t="s">
        <v>257</v>
      </c>
    </row>
    <row r="13363" spans="8:18" x14ac:dyDescent="0.2">
      <c r="H13363" s="180"/>
      <c r="P13363" s="180" t="s">
        <v>257</v>
      </c>
      <c r="R13363" s="180" t="s">
        <v>257</v>
      </c>
    </row>
    <row r="13364" spans="8:18" x14ac:dyDescent="0.2">
      <c r="H13364" s="180"/>
      <c r="P13364" s="180" t="s">
        <v>257</v>
      </c>
      <c r="R13364" s="180" t="s">
        <v>257</v>
      </c>
    </row>
    <row r="13365" spans="8:18" x14ac:dyDescent="0.2">
      <c r="H13365" s="180"/>
      <c r="P13365" s="180" t="s">
        <v>257</v>
      </c>
      <c r="R13365" s="180" t="s">
        <v>257</v>
      </c>
    </row>
    <row r="13366" spans="8:18" x14ac:dyDescent="0.2">
      <c r="H13366" s="180"/>
      <c r="P13366" s="180" t="s">
        <v>257</v>
      </c>
      <c r="R13366" s="180" t="s">
        <v>257</v>
      </c>
    </row>
    <row r="13367" spans="8:18" x14ac:dyDescent="0.2">
      <c r="H13367" s="180"/>
      <c r="P13367" s="180" t="s">
        <v>257</v>
      </c>
      <c r="R13367" s="180" t="s">
        <v>257</v>
      </c>
    </row>
    <row r="13368" spans="8:18" x14ac:dyDescent="0.2">
      <c r="H13368" s="180"/>
      <c r="P13368" s="180" t="s">
        <v>257</v>
      </c>
      <c r="R13368" s="180" t="s">
        <v>257</v>
      </c>
    </row>
    <row r="13369" spans="8:18" x14ac:dyDescent="0.2">
      <c r="H13369" s="180"/>
      <c r="P13369" s="180" t="s">
        <v>257</v>
      </c>
      <c r="R13369" s="180" t="s">
        <v>257</v>
      </c>
    </row>
    <row r="13370" spans="8:18" x14ac:dyDescent="0.2">
      <c r="H13370" s="180"/>
      <c r="P13370" s="180" t="s">
        <v>257</v>
      </c>
      <c r="R13370" s="180" t="s">
        <v>257</v>
      </c>
    </row>
    <row r="13371" spans="8:18" x14ac:dyDescent="0.2">
      <c r="H13371" s="180"/>
      <c r="P13371" s="180" t="s">
        <v>257</v>
      </c>
      <c r="R13371" s="180" t="s">
        <v>257</v>
      </c>
    </row>
    <row r="13372" spans="8:18" x14ac:dyDescent="0.2">
      <c r="H13372" s="180"/>
      <c r="P13372" s="180" t="s">
        <v>257</v>
      </c>
      <c r="R13372" s="180" t="s">
        <v>257</v>
      </c>
    </row>
    <row r="13373" spans="8:18" x14ac:dyDescent="0.2">
      <c r="H13373" s="180"/>
      <c r="P13373" s="180" t="s">
        <v>257</v>
      </c>
      <c r="R13373" s="180" t="s">
        <v>257</v>
      </c>
    </row>
    <row r="13374" spans="8:18" x14ac:dyDescent="0.2">
      <c r="H13374" s="180"/>
      <c r="P13374" s="180" t="s">
        <v>257</v>
      </c>
      <c r="R13374" s="180" t="s">
        <v>257</v>
      </c>
    </row>
    <row r="13375" spans="8:18" x14ac:dyDescent="0.2">
      <c r="H13375" s="180"/>
      <c r="P13375" s="180" t="s">
        <v>257</v>
      </c>
      <c r="R13375" s="180" t="s">
        <v>257</v>
      </c>
    </row>
    <row r="13376" spans="8:18" x14ac:dyDescent="0.2">
      <c r="H13376" s="180"/>
      <c r="P13376" s="180" t="s">
        <v>257</v>
      </c>
      <c r="R13376" s="180" t="s">
        <v>257</v>
      </c>
    </row>
    <row r="13377" spans="8:18" x14ac:dyDescent="0.2">
      <c r="H13377" s="180"/>
      <c r="P13377" s="180" t="s">
        <v>257</v>
      </c>
      <c r="R13377" s="180" t="s">
        <v>257</v>
      </c>
    </row>
    <row r="13378" spans="8:18" x14ac:dyDescent="0.2">
      <c r="H13378" s="180"/>
      <c r="P13378" s="180" t="s">
        <v>257</v>
      </c>
      <c r="R13378" s="180" t="s">
        <v>257</v>
      </c>
    </row>
    <row r="13379" spans="8:18" x14ac:dyDescent="0.2">
      <c r="H13379" s="180"/>
      <c r="P13379" s="180" t="s">
        <v>257</v>
      </c>
      <c r="R13379" s="180" t="s">
        <v>257</v>
      </c>
    </row>
    <row r="13380" spans="8:18" x14ac:dyDescent="0.2">
      <c r="H13380" s="180"/>
      <c r="P13380" s="180" t="s">
        <v>257</v>
      </c>
      <c r="R13380" s="180" t="s">
        <v>257</v>
      </c>
    </row>
    <row r="13381" spans="8:18" x14ac:dyDescent="0.2">
      <c r="H13381" s="180"/>
      <c r="P13381" s="180" t="s">
        <v>257</v>
      </c>
      <c r="R13381" s="180" t="s">
        <v>257</v>
      </c>
    </row>
    <row r="13382" spans="8:18" x14ac:dyDescent="0.2">
      <c r="H13382" s="180"/>
      <c r="P13382" s="180" t="s">
        <v>257</v>
      </c>
      <c r="R13382" s="180" t="s">
        <v>257</v>
      </c>
    </row>
    <row r="13383" spans="8:18" x14ac:dyDescent="0.2">
      <c r="H13383" s="180"/>
      <c r="P13383" s="180" t="s">
        <v>257</v>
      </c>
      <c r="R13383" s="180" t="s">
        <v>257</v>
      </c>
    </row>
    <row r="13384" spans="8:18" x14ac:dyDescent="0.2">
      <c r="H13384" s="180"/>
      <c r="P13384" s="180" t="s">
        <v>257</v>
      </c>
      <c r="R13384" s="180" t="s">
        <v>257</v>
      </c>
    </row>
    <row r="13385" spans="8:18" x14ac:dyDescent="0.2">
      <c r="H13385" s="180"/>
      <c r="P13385" s="180" t="s">
        <v>257</v>
      </c>
      <c r="R13385" s="180" t="s">
        <v>257</v>
      </c>
    </row>
    <row r="13386" spans="8:18" x14ac:dyDescent="0.2">
      <c r="H13386" s="180"/>
      <c r="P13386" s="180" t="s">
        <v>257</v>
      </c>
      <c r="R13386" s="180" t="s">
        <v>257</v>
      </c>
    </row>
    <row r="13387" spans="8:18" x14ac:dyDescent="0.2">
      <c r="H13387" s="180"/>
      <c r="P13387" s="180" t="s">
        <v>257</v>
      </c>
      <c r="R13387" s="180" t="s">
        <v>257</v>
      </c>
    </row>
    <row r="13388" spans="8:18" x14ac:dyDescent="0.2">
      <c r="H13388" s="180"/>
      <c r="P13388" s="180" t="s">
        <v>257</v>
      </c>
      <c r="R13388" s="180" t="s">
        <v>257</v>
      </c>
    </row>
    <row r="13389" spans="8:18" x14ac:dyDescent="0.2">
      <c r="H13389" s="180"/>
      <c r="P13389" s="180" t="s">
        <v>257</v>
      </c>
      <c r="R13389" s="180" t="s">
        <v>257</v>
      </c>
    </row>
    <row r="13390" spans="8:18" x14ac:dyDescent="0.2">
      <c r="H13390" s="180"/>
      <c r="P13390" s="180" t="s">
        <v>257</v>
      </c>
      <c r="R13390" s="180" t="s">
        <v>257</v>
      </c>
    </row>
    <row r="13391" spans="8:18" x14ac:dyDescent="0.2">
      <c r="H13391" s="180"/>
      <c r="P13391" s="180" t="s">
        <v>257</v>
      </c>
      <c r="R13391" s="180" t="s">
        <v>257</v>
      </c>
    </row>
    <row r="13392" spans="8:18" x14ac:dyDescent="0.2">
      <c r="H13392" s="180"/>
      <c r="P13392" s="180" t="s">
        <v>257</v>
      </c>
      <c r="R13392" s="180" t="s">
        <v>257</v>
      </c>
    </row>
    <row r="13393" spans="8:18" x14ac:dyDescent="0.2">
      <c r="H13393" s="180"/>
      <c r="P13393" s="180" t="s">
        <v>257</v>
      </c>
      <c r="R13393" s="180" t="s">
        <v>257</v>
      </c>
    </row>
    <row r="13394" spans="8:18" x14ac:dyDescent="0.2">
      <c r="H13394" s="180"/>
      <c r="P13394" s="180" t="s">
        <v>257</v>
      </c>
      <c r="R13394" s="180" t="s">
        <v>257</v>
      </c>
    </row>
    <row r="13395" spans="8:18" x14ac:dyDescent="0.2">
      <c r="H13395" s="180"/>
      <c r="P13395" s="180" t="s">
        <v>257</v>
      </c>
      <c r="R13395" s="180" t="s">
        <v>257</v>
      </c>
    </row>
    <row r="13396" spans="8:18" x14ac:dyDescent="0.2">
      <c r="H13396" s="180"/>
      <c r="P13396" s="180" t="s">
        <v>257</v>
      </c>
      <c r="R13396" s="180" t="s">
        <v>257</v>
      </c>
    </row>
    <row r="13397" spans="8:18" x14ac:dyDescent="0.2">
      <c r="H13397" s="180"/>
      <c r="P13397" s="180" t="s">
        <v>257</v>
      </c>
      <c r="R13397" s="180" t="s">
        <v>257</v>
      </c>
    </row>
    <row r="13398" spans="8:18" x14ac:dyDescent="0.2">
      <c r="H13398" s="180"/>
      <c r="P13398" s="180" t="s">
        <v>257</v>
      </c>
      <c r="R13398" s="180" t="s">
        <v>257</v>
      </c>
    </row>
    <row r="13399" spans="8:18" x14ac:dyDescent="0.2">
      <c r="H13399" s="180"/>
      <c r="P13399" s="180" t="s">
        <v>257</v>
      </c>
      <c r="R13399" s="180" t="s">
        <v>257</v>
      </c>
    </row>
    <row r="13400" spans="8:18" x14ac:dyDescent="0.2">
      <c r="H13400" s="180"/>
      <c r="P13400" s="180" t="s">
        <v>257</v>
      </c>
      <c r="R13400" s="180" t="s">
        <v>257</v>
      </c>
    </row>
    <row r="13401" spans="8:18" x14ac:dyDescent="0.2">
      <c r="H13401" s="180"/>
      <c r="P13401" s="180" t="s">
        <v>257</v>
      </c>
      <c r="R13401" s="180" t="s">
        <v>257</v>
      </c>
    </row>
    <row r="13402" spans="8:18" x14ac:dyDescent="0.2">
      <c r="H13402" s="180"/>
      <c r="P13402" s="180" t="s">
        <v>257</v>
      </c>
      <c r="R13402" s="180" t="s">
        <v>257</v>
      </c>
    </row>
    <row r="13403" spans="8:18" x14ac:dyDescent="0.2">
      <c r="H13403" s="180"/>
      <c r="P13403" s="180" t="s">
        <v>257</v>
      </c>
      <c r="R13403" s="180" t="s">
        <v>257</v>
      </c>
    </row>
    <row r="13404" spans="8:18" x14ac:dyDescent="0.2">
      <c r="H13404" s="180"/>
      <c r="P13404" s="180" t="s">
        <v>257</v>
      </c>
      <c r="R13404" s="180" t="s">
        <v>257</v>
      </c>
    </row>
    <row r="13405" spans="8:18" x14ac:dyDescent="0.2">
      <c r="H13405" s="180"/>
      <c r="P13405" s="180" t="s">
        <v>257</v>
      </c>
      <c r="R13405" s="180" t="s">
        <v>257</v>
      </c>
    </row>
    <row r="13406" spans="8:18" x14ac:dyDescent="0.2">
      <c r="H13406" s="180"/>
      <c r="P13406" s="180" t="s">
        <v>257</v>
      </c>
      <c r="R13406" s="180" t="s">
        <v>257</v>
      </c>
    </row>
    <row r="13407" spans="8:18" x14ac:dyDescent="0.2">
      <c r="H13407" s="180"/>
      <c r="P13407" s="180" t="s">
        <v>257</v>
      </c>
      <c r="R13407" s="180" t="s">
        <v>257</v>
      </c>
    </row>
    <row r="13408" spans="8:18" x14ac:dyDescent="0.2">
      <c r="H13408" s="180"/>
      <c r="P13408" s="180" t="s">
        <v>257</v>
      </c>
      <c r="R13408" s="180" t="s">
        <v>257</v>
      </c>
    </row>
    <row r="13409" spans="8:18" x14ac:dyDescent="0.2">
      <c r="H13409" s="180"/>
      <c r="P13409" s="180" t="s">
        <v>257</v>
      </c>
      <c r="R13409" s="180" t="s">
        <v>257</v>
      </c>
    </row>
    <row r="13410" spans="8:18" x14ac:dyDescent="0.2">
      <c r="H13410" s="180"/>
      <c r="P13410" s="180" t="s">
        <v>257</v>
      </c>
      <c r="R13410" s="180" t="s">
        <v>257</v>
      </c>
    </row>
    <row r="13411" spans="8:18" x14ac:dyDescent="0.2">
      <c r="H13411" s="180"/>
      <c r="P13411" s="180" t="s">
        <v>257</v>
      </c>
      <c r="R13411" s="180" t="s">
        <v>257</v>
      </c>
    </row>
    <row r="13412" spans="8:18" x14ac:dyDescent="0.2">
      <c r="H13412" s="180"/>
      <c r="P13412" s="180" t="s">
        <v>257</v>
      </c>
      <c r="R13412" s="180" t="s">
        <v>257</v>
      </c>
    </row>
    <row r="13413" spans="8:18" x14ac:dyDescent="0.2">
      <c r="H13413" s="180"/>
      <c r="P13413" s="180" t="s">
        <v>257</v>
      </c>
      <c r="R13413" s="180" t="s">
        <v>257</v>
      </c>
    </row>
    <row r="13414" spans="8:18" x14ac:dyDescent="0.2">
      <c r="H13414" s="180"/>
      <c r="P13414" s="180" t="s">
        <v>257</v>
      </c>
      <c r="R13414" s="180" t="s">
        <v>257</v>
      </c>
    </row>
    <row r="13415" spans="8:18" x14ac:dyDescent="0.2">
      <c r="H13415" s="180"/>
      <c r="P13415" s="180" t="s">
        <v>257</v>
      </c>
      <c r="R13415" s="180" t="s">
        <v>257</v>
      </c>
    </row>
    <row r="13416" spans="8:18" x14ac:dyDescent="0.2">
      <c r="H13416" s="180"/>
      <c r="P13416" s="180" t="s">
        <v>257</v>
      </c>
      <c r="R13416" s="180" t="s">
        <v>257</v>
      </c>
    </row>
    <row r="13417" spans="8:18" x14ac:dyDescent="0.2">
      <c r="H13417" s="180"/>
      <c r="P13417" s="180" t="s">
        <v>257</v>
      </c>
      <c r="R13417" s="180" t="s">
        <v>257</v>
      </c>
    </row>
    <row r="13418" spans="8:18" x14ac:dyDescent="0.2">
      <c r="H13418" s="180"/>
      <c r="P13418" s="180" t="s">
        <v>257</v>
      </c>
      <c r="R13418" s="180" t="s">
        <v>257</v>
      </c>
    </row>
    <row r="13419" spans="8:18" x14ac:dyDescent="0.2">
      <c r="H13419" s="180"/>
      <c r="P13419" s="180" t="s">
        <v>257</v>
      </c>
      <c r="R13419" s="180" t="s">
        <v>257</v>
      </c>
    </row>
    <row r="13420" spans="8:18" x14ac:dyDescent="0.2">
      <c r="H13420" s="180"/>
      <c r="P13420" s="180" t="s">
        <v>257</v>
      </c>
      <c r="R13420" s="180" t="s">
        <v>257</v>
      </c>
    </row>
    <row r="13421" spans="8:18" x14ac:dyDescent="0.2">
      <c r="H13421" s="180"/>
      <c r="P13421" s="180" t="s">
        <v>257</v>
      </c>
      <c r="R13421" s="180" t="s">
        <v>257</v>
      </c>
    </row>
    <row r="13422" spans="8:18" x14ac:dyDescent="0.2">
      <c r="H13422" s="180"/>
      <c r="P13422" s="180" t="s">
        <v>257</v>
      </c>
      <c r="R13422" s="180" t="s">
        <v>257</v>
      </c>
    </row>
    <row r="13423" spans="8:18" x14ac:dyDescent="0.2">
      <c r="H13423" s="180"/>
      <c r="P13423" s="180" t="s">
        <v>257</v>
      </c>
      <c r="R13423" s="180" t="s">
        <v>257</v>
      </c>
    </row>
    <row r="13424" spans="8:18" x14ac:dyDescent="0.2">
      <c r="H13424" s="180"/>
      <c r="P13424" s="180" t="s">
        <v>257</v>
      </c>
      <c r="R13424" s="180" t="s">
        <v>257</v>
      </c>
    </row>
    <row r="13425" spans="8:18" x14ac:dyDescent="0.2">
      <c r="H13425" s="180"/>
      <c r="P13425" s="180" t="s">
        <v>257</v>
      </c>
      <c r="R13425" s="180" t="s">
        <v>257</v>
      </c>
    </row>
    <row r="13426" spans="8:18" x14ac:dyDescent="0.2">
      <c r="H13426" s="180"/>
      <c r="P13426" s="180" t="s">
        <v>257</v>
      </c>
      <c r="R13426" s="180" t="s">
        <v>257</v>
      </c>
    </row>
    <row r="13427" spans="8:18" x14ac:dyDescent="0.2">
      <c r="H13427" s="180"/>
      <c r="P13427" s="180" t="s">
        <v>257</v>
      </c>
      <c r="R13427" s="180" t="s">
        <v>257</v>
      </c>
    </row>
    <row r="13428" spans="8:18" x14ac:dyDescent="0.2">
      <c r="H13428" s="180"/>
      <c r="P13428" s="180" t="s">
        <v>257</v>
      </c>
      <c r="R13428" s="180" t="s">
        <v>257</v>
      </c>
    </row>
    <row r="13429" spans="8:18" x14ac:dyDescent="0.2">
      <c r="H13429" s="180"/>
      <c r="P13429" s="180" t="s">
        <v>257</v>
      </c>
      <c r="R13429" s="180" t="s">
        <v>257</v>
      </c>
    </row>
    <row r="13430" spans="8:18" x14ac:dyDescent="0.2">
      <c r="H13430" s="180"/>
      <c r="P13430" s="180" t="s">
        <v>257</v>
      </c>
      <c r="R13430" s="180" t="s">
        <v>257</v>
      </c>
    </row>
    <row r="13431" spans="8:18" x14ac:dyDescent="0.2">
      <c r="H13431" s="180"/>
      <c r="P13431" s="180" t="s">
        <v>257</v>
      </c>
      <c r="R13431" s="180" t="s">
        <v>257</v>
      </c>
    </row>
    <row r="13432" spans="8:18" x14ac:dyDescent="0.2">
      <c r="H13432" s="180"/>
      <c r="P13432" s="180" t="s">
        <v>257</v>
      </c>
      <c r="R13432" s="180" t="s">
        <v>257</v>
      </c>
    </row>
    <row r="13433" spans="8:18" x14ac:dyDescent="0.2">
      <c r="H13433" s="180"/>
      <c r="P13433" s="180" t="s">
        <v>257</v>
      </c>
      <c r="R13433" s="180" t="s">
        <v>257</v>
      </c>
    </row>
    <row r="13434" spans="8:18" x14ac:dyDescent="0.2">
      <c r="H13434" s="180"/>
      <c r="P13434" s="180" t="s">
        <v>257</v>
      </c>
      <c r="R13434" s="180" t="s">
        <v>257</v>
      </c>
    </row>
    <row r="13435" spans="8:18" x14ac:dyDescent="0.2">
      <c r="H13435" s="180"/>
      <c r="P13435" s="180" t="s">
        <v>257</v>
      </c>
      <c r="R13435" s="180" t="s">
        <v>257</v>
      </c>
    </row>
    <row r="13436" spans="8:18" x14ac:dyDescent="0.2">
      <c r="H13436" s="180"/>
      <c r="P13436" s="180" t="s">
        <v>257</v>
      </c>
      <c r="R13436" s="180" t="s">
        <v>257</v>
      </c>
    </row>
    <row r="13437" spans="8:18" x14ac:dyDescent="0.2">
      <c r="H13437" s="180"/>
      <c r="P13437" s="180" t="s">
        <v>257</v>
      </c>
      <c r="R13437" s="180" t="s">
        <v>257</v>
      </c>
    </row>
    <row r="13438" spans="8:18" x14ac:dyDescent="0.2">
      <c r="H13438" s="180"/>
      <c r="P13438" s="180" t="s">
        <v>257</v>
      </c>
      <c r="R13438" s="180" t="s">
        <v>257</v>
      </c>
    </row>
    <row r="13439" spans="8:18" x14ac:dyDescent="0.2">
      <c r="H13439" s="180"/>
      <c r="P13439" s="180" t="s">
        <v>257</v>
      </c>
      <c r="R13439" s="180" t="s">
        <v>257</v>
      </c>
    </row>
    <row r="13440" spans="8:18" x14ac:dyDescent="0.2">
      <c r="H13440" s="180"/>
      <c r="P13440" s="180" t="s">
        <v>257</v>
      </c>
      <c r="R13440" s="180" t="s">
        <v>257</v>
      </c>
    </row>
    <row r="13441" spans="8:18" x14ac:dyDescent="0.2">
      <c r="H13441" s="180"/>
      <c r="P13441" s="180" t="s">
        <v>257</v>
      </c>
      <c r="R13441" s="180" t="s">
        <v>257</v>
      </c>
    </row>
    <row r="13442" spans="8:18" x14ac:dyDescent="0.2">
      <c r="H13442" s="180"/>
      <c r="P13442" s="180" t="s">
        <v>257</v>
      </c>
      <c r="R13442" s="180" t="s">
        <v>257</v>
      </c>
    </row>
    <row r="13443" spans="8:18" x14ac:dyDescent="0.2">
      <c r="H13443" s="180"/>
      <c r="P13443" s="180" t="s">
        <v>257</v>
      </c>
      <c r="R13443" s="180" t="s">
        <v>257</v>
      </c>
    </row>
    <row r="13444" spans="8:18" x14ac:dyDescent="0.2">
      <c r="H13444" s="180"/>
      <c r="P13444" s="180" t="s">
        <v>257</v>
      </c>
      <c r="R13444" s="180" t="s">
        <v>257</v>
      </c>
    </row>
    <row r="13445" spans="8:18" x14ac:dyDescent="0.2">
      <c r="H13445" s="180"/>
      <c r="P13445" s="180" t="s">
        <v>257</v>
      </c>
      <c r="R13445" s="180" t="s">
        <v>257</v>
      </c>
    </row>
    <row r="13446" spans="8:18" x14ac:dyDescent="0.2">
      <c r="H13446" s="180"/>
      <c r="P13446" s="180" t="s">
        <v>257</v>
      </c>
      <c r="R13446" s="180" t="s">
        <v>257</v>
      </c>
    </row>
    <row r="13447" spans="8:18" x14ac:dyDescent="0.2">
      <c r="H13447" s="180"/>
      <c r="P13447" s="180" t="s">
        <v>257</v>
      </c>
      <c r="R13447" s="180" t="s">
        <v>257</v>
      </c>
    </row>
    <row r="13448" spans="8:18" x14ac:dyDescent="0.2">
      <c r="H13448" s="180"/>
      <c r="P13448" s="180" t="s">
        <v>257</v>
      </c>
      <c r="R13448" s="180" t="s">
        <v>257</v>
      </c>
    </row>
    <row r="13449" spans="8:18" x14ac:dyDescent="0.2">
      <c r="H13449" s="180"/>
      <c r="P13449" s="180" t="s">
        <v>257</v>
      </c>
      <c r="R13449" s="180" t="s">
        <v>257</v>
      </c>
    </row>
    <row r="13450" spans="8:18" x14ac:dyDescent="0.2">
      <c r="H13450" s="180"/>
      <c r="P13450" s="180" t="s">
        <v>257</v>
      </c>
      <c r="R13450" s="180" t="s">
        <v>257</v>
      </c>
    </row>
    <row r="13451" spans="8:18" x14ac:dyDescent="0.2">
      <c r="H13451" s="180"/>
      <c r="P13451" s="180" t="s">
        <v>257</v>
      </c>
      <c r="R13451" s="180" t="s">
        <v>257</v>
      </c>
    </row>
    <row r="13452" spans="8:18" x14ac:dyDescent="0.2">
      <c r="H13452" s="180"/>
      <c r="P13452" s="180" t="s">
        <v>257</v>
      </c>
      <c r="R13452" s="180" t="s">
        <v>257</v>
      </c>
    </row>
    <row r="13453" spans="8:18" x14ac:dyDescent="0.2">
      <c r="H13453" s="180"/>
      <c r="P13453" s="180" t="s">
        <v>257</v>
      </c>
      <c r="R13453" s="180" t="s">
        <v>257</v>
      </c>
    </row>
    <row r="13454" spans="8:18" x14ac:dyDescent="0.2">
      <c r="H13454" s="180"/>
      <c r="P13454" s="180" t="s">
        <v>257</v>
      </c>
      <c r="R13454" s="180" t="s">
        <v>257</v>
      </c>
    </row>
    <row r="13455" spans="8:18" x14ac:dyDescent="0.2">
      <c r="H13455" s="180"/>
      <c r="P13455" s="180" t="s">
        <v>257</v>
      </c>
      <c r="R13455" s="180" t="s">
        <v>257</v>
      </c>
    </row>
    <row r="13456" spans="8:18" x14ac:dyDescent="0.2">
      <c r="H13456" s="180"/>
      <c r="P13456" s="180" t="s">
        <v>257</v>
      </c>
      <c r="R13456" s="180" t="s">
        <v>257</v>
      </c>
    </row>
    <row r="13457" spans="8:18" x14ac:dyDescent="0.2">
      <c r="H13457" s="180"/>
      <c r="P13457" s="180" t="s">
        <v>257</v>
      </c>
      <c r="R13457" s="180" t="s">
        <v>257</v>
      </c>
    </row>
    <row r="13458" spans="8:18" x14ac:dyDescent="0.2">
      <c r="H13458" s="180"/>
      <c r="P13458" s="180" t="s">
        <v>257</v>
      </c>
      <c r="R13458" s="180" t="s">
        <v>257</v>
      </c>
    </row>
    <row r="13459" spans="8:18" x14ac:dyDescent="0.2">
      <c r="H13459" s="180"/>
      <c r="P13459" s="180" t="s">
        <v>257</v>
      </c>
      <c r="R13459" s="180" t="s">
        <v>257</v>
      </c>
    </row>
    <row r="13460" spans="8:18" x14ac:dyDescent="0.2">
      <c r="H13460" s="180"/>
      <c r="P13460" s="180" t="s">
        <v>257</v>
      </c>
      <c r="R13460" s="180" t="s">
        <v>257</v>
      </c>
    </row>
    <row r="13461" spans="8:18" x14ac:dyDescent="0.2">
      <c r="H13461" s="180"/>
      <c r="P13461" s="180" t="s">
        <v>257</v>
      </c>
      <c r="R13461" s="180" t="s">
        <v>257</v>
      </c>
    </row>
    <row r="13462" spans="8:18" x14ac:dyDescent="0.2">
      <c r="H13462" s="180"/>
      <c r="P13462" s="180" t="s">
        <v>257</v>
      </c>
      <c r="R13462" s="180" t="s">
        <v>257</v>
      </c>
    </row>
    <row r="13463" spans="8:18" x14ac:dyDescent="0.2">
      <c r="H13463" s="180"/>
      <c r="P13463" s="180" t="s">
        <v>257</v>
      </c>
      <c r="R13463" s="180" t="s">
        <v>257</v>
      </c>
    </row>
    <row r="13464" spans="8:18" x14ac:dyDescent="0.2">
      <c r="H13464" s="180"/>
      <c r="P13464" s="180" t="s">
        <v>257</v>
      </c>
      <c r="R13464" s="180" t="s">
        <v>257</v>
      </c>
    </row>
    <row r="13465" spans="8:18" x14ac:dyDescent="0.2">
      <c r="H13465" s="180"/>
      <c r="P13465" s="180" t="s">
        <v>257</v>
      </c>
      <c r="R13465" s="180" t="s">
        <v>257</v>
      </c>
    </row>
    <row r="13466" spans="8:18" x14ac:dyDescent="0.2">
      <c r="H13466" s="180"/>
      <c r="P13466" s="180" t="s">
        <v>257</v>
      </c>
      <c r="R13466" s="180" t="s">
        <v>257</v>
      </c>
    </row>
    <row r="13467" spans="8:18" x14ac:dyDescent="0.2">
      <c r="H13467" s="180"/>
      <c r="P13467" s="180" t="s">
        <v>257</v>
      </c>
      <c r="R13467" s="180" t="s">
        <v>257</v>
      </c>
    </row>
    <row r="13468" spans="8:18" x14ac:dyDescent="0.2">
      <c r="H13468" s="180"/>
      <c r="P13468" s="180" t="s">
        <v>257</v>
      </c>
      <c r="R13468" s="180" t="s">
        <v>257</v>
      </c>
    </row>
    <row r="13469" spans="8:18" x14ac:dyDescent="0.2">
      <c r="H13469" s="180"/>
      <c r="P13469" s="180" t="s">
        <v>257</v>
      </c>
      <c r="R13469" s="180" t="s">
        <v>257</v>
      </c>
    </row>
    <row r="13470" spans="8:18" x14ac:dyDescent="0.2">
      <c r="H13470" s="180"/>
      <c r="P13470" s="180" t="s">
        <v>257</v>
      </c>
      <c r="R13470" s="180" t="s">
        <v>257</v>
      </c>
    </row>
    <row r="13471" spans="8:18" x14ac:dyDescent="0.2">
      <c r="H13471" s="180"/>
      <c r="P13471" s="180" t="s">
        <v>257</v>
      </c>
      <c r="R13471" s="180" t="s">
        <v>257</v>
      </c>
    </row>
    <row r="13472" spans="8:18" x14ac:dyDescent="0.2">
      <c r="H13472" s="180"/>
      <c r="P13472" s="180" t="s">
        <v>257</v>
      </c>
      <c r="R13472" s="180" t="s">
        <v>257</v>
      </c>
    </row>
    <row r="13473" spans="8:18" x14ac:dyDescent="0.2">
      <c r="H13473" s="180"/>
      <c r="P13473" s="180" t="s">
        <v>257</v>
      </c>
      <c r="R13473" s="180" t="s">
        <v>257</v>
      </c>
    </row>
    <row r="13474" spans="8:18" x14ac:dyDescent="0.2">
      <c r="H13474" s="180"/>
      <c r="P13474" s="180" t="s">
        <v>257</v>
      </c>
      <c r="R13474" s="180" t="s">
        <v>257</v>
      </c>
    </row>
    <row r="13475" spans="8:18" x14ac:dyDescent="0.2">
      <c r="H13475" s="180"/>
      <c r="P13475" s="180" t="s">
        <v>257</v>
      </c>
      <c r="R13475" s="180" t="s">
        <v>257</v>
      </c>
    </row>
    <row r="13476" spans="8:18" x14ac:dyDescent="0.2">
      <c r="H13476" s="180"/>
      <c r="P13476" s="180" t="s">
        <v>257</v>
      </c>
      <c r="R13476" s="180" t="s">
        <v>257</v>
      </c>
    </row>
    <row r="13477" spans="8:18" x14ac:dyDescent="0.2">
      <c r="H13477" s="180"/>
      <c r="P13477" s="180" t="s">
        <v>257</v>
      </c>
      <c r="R13477" s="180" t="s">
        <v>257</v>
      </c>
    </row>
    <row r="13478" spans="8:18" x14ac:dyDescent="0.2">
      <c r="H13478" s="180"/>
      <c r="P13478" s="180" t="s">
        <v>257</v>
      </c>
      <c r="R13478" s="180" t="s">
        <v>257</v>
      </c>
    </row>
    <row r="13479" spans="8:18" x14ac:dyDescent="0.2">
      <c r="H13479" s="180"/>
      <c r="P13479" s="180" t="s">
        <v>257</v>
      </c>
      <c r="R13479" s="180" t="s">
        <v>257</v>
      </c>
    </row>
    <row r="13480" spans="8:18" x14ac:dyDescent="0.2">
      <c r="H13480" s="180"/>
      <c r="P13480" s="180" t="s">
        <v>257</v>
      </c>
      <c r="R13480" s="180" t="s">
        <v>257</v>
      </c>
    </row>
    <row r="13481" spans="8:18" x14ac:dyDescent="0.2">
      <c r="H13481" s="180"/>
      <c r="P13481" s="180" t="s">
        <v>257</v>
      </c>
      <c r="R13481" s="180" t="s">
        <v>257</v>
      </c>
    </row>
    <row r="13482" spans="8:18" x14ac:dyDescent="0.2">
      <c r="H13482" s="180"/>
      <c r="P13482" s="180" t="s">
        <v>257</v>
      </c>
      <c r="R13482" s="180" t="s">
        <v>257</v>
      </c>
    </row>
    <row r="13483" spans="8:18" x14ac:dyDescent="0.2">
      <c r="H13483" s="180"/>
      <c r="P13483" s="180" t="s">
        <v>257</v>
      </c>
      <c r="R13483" s="180" t="s">
        <v>257</v>
      </c>
    </row>
    <row r="13484" spans="8:18" x14ac:dyDescent="0.2">
      <c r="H13484" s="180"/>
      <c r="P13484" s="180" t="s">
        <v>257</v>
      </c>
      <c r="R13484" s="180" t="s">
        <v>257</v>
      </c>
    </row>
    <row r="13485" spans="8:18" x14ac:dyDescent="0.2">
      <c r="H13485" s="180"/>
      <c r="P13485" s="180" t="s">
        <v>257</v>
      </c>
      <c r="R13485" s="180" t="s">
        <v>257</v>
      </c>
    </row>
    <row r="13486" spans="8:18" x14ac:dyDescent="0.2">
      <c r="H13486" s="180"/>
      <c r="P13486" s="180" t="s">
        <v>257</v>
      </c>
      <c r="R13486" s="180" t="s">
        <v>257</v>
      </c>
    </row>
    <row r="13487" spans="8:18" x14ac:dyDescent="0.2">
      <c r="H13487" s="180"/>
      <c r="P13487" s="180" t="s">
        <v>257</v>
      </c>
      <c r="R13487" s="180" t="s">
        <v>257</v>
      </c>
    </row>
    <row r="13488" spans="8:18" x14ac:dyDescent="0.2">
      <c r="H13488" s="180"/>
      <c r="P13488" s="180" t="s">
        <v>257</v>
      </c>
      <c r="R13488" s="180" t="s">
        <v>257</v>
      </c>
    </row>
    <row r="13489" spans="8:18" x14ac:dyDescent="0.2">
      <c r="H13489" s="180"/>
      <c r="P13489" s="180" t="s">
        <v>257</v>
      </c>
      <c r="R13489" s="180" t="s">
        <v>257</v>
      </c>
    </row>
    <row r="13490" spans="8:18" x14ac:dyDescent="0.2">
      <c r="H13490" s="180"/>
      <c r="P13490" s="180" t="s">
        <v>257</v>
      </c>
      <c r="R13490" s="180" t="s">
        <v>257</v>
      </c>
    </row>
    <row r="13491" spans="8:18" x14ac:dyDescent="0.2">
      <c r="H13491" s="180"/>
      <c r="P13491" s="180" t="s">
        <v>257</v>
      </c>
      <c r="R13491" s="180" t="s">
        <v>257</v>
      </c>
    </row>
    <row r="13492" spans="8:18" x14ac:dyDescent="0.2">
      <c r="H13492" s="180"/>
      <c r="P13492" s="180" t="s">
        <v>257</v>
      </c>
      <c r="R13492" s="180" t="s">
        <v>257</v>
      </c>
    </row>
    <row r="13493" spans="8:18" x14ac:dyDescent="0.2">
      <c r="H13493" s="180"/>
      <c r="P13493" s="180" t="s">
        <v>257</v>
      </c>
      <c r="R13493" s="180" t="s">
        <v>257</v>
      </c>
    </row>
    <row r="13494" spans="8:18" x14ac:dyDescent="0.2">
      <c r="H13494" s="180"/>
      <c r="P13494" s="180" t="s">
        <v>257</v>
      </c>
      <c r="R13494" s="180" t="s">
        <v>257</v>
      </c>
    </row>
    <row r="13495" spans="8:18" x14ac:dyDescent="0.2">
      <c r="H13495" s="180"/>
      <c r="P13495" s="180" t="s">
        <v>257</v>
      </c>
      <c r="R13495" s="180" t="s">
        <v>257</v>
      </c>
    </row>
    <row r="13496" spans="8:18" x14ac:dyDescent="0.2">
      <c r="H13496" s="180"/>
      <c r="P13496" s="180" t="s">
        <v>257</v>
      </c>
      <c r="R13496" s="180" t="s">
        <v>257</v>
      </c>
    </row>
    <row r="13497" spans="8:18" x14ac:dyDescent="0.2">
      <c r="H13497" s="180"/>
      <c r="P13497" s="180" t="s">
        <v>257</v>
      </c>
      <c r="R13497" s="180" t="s">
        <v>257</v>
      </c>
    </row>
    <row r="13498" spans="8:18" x14ac:dyDescent="0.2">
      <c r="H13498" s="180"/>
      <c r="P13498" s="180" t="s">
        <v>257</v>
      </c>
      <c r="R13498" s="180" t="s">
        <v>257</v>
      </c>
    </row>
    <row r="13499" spans="8:18" x14ac:dyDescent="0.2">
      <c r="H13499" s="180"/>
      <c r="P13499" s="180" t="s">
        <v>257</v>
      </c>
      <c r="R13499" s="180" t="s">
        <v>257</v>
      </c>
    </row>
    <row r="13500" spans="8:18" x14ac:dyDescent="0.2">
      <c r="H13500" s="180"/>
      <c r="P13500" s="180" t="s">
        <v>257</v>
      </c>
      <c r="R13500" s="180" t="s">
        <v>257</v>
      </c>
    </row>
    <row r="13501" spans="8:18" x14ac:dyDescent="0.2">
      <c r="H13501" s="180"/>
      <c r="P13501" s="180" t="s">
        <v>257</v>
      </c>
      <c r="R13501" s="180" t="s">
        <v>257</v>
      </c>
    </row>
    <row r="13502" spans="8:18" x14ac:dyDescent="0.2">
      <c r="H13502" s="180"/>
      <c r="P13502" s="180" t="s">
        <v>257</v>
      </c>
      <c r="R13502" s="180" t="s">
        <v>257</v>
      </c>
    </row>
    <row r="13503" spans="8:18" x14ac:dyDescent="0.2">
      <c r="H13503" s="180"/>
      <c r="P13503" s="180" t="s">
        <v>257</v>
      </c>
      <c r="R13503" s="180" t="s">
        <v>257</v>
      </c>
    </row>
    <row r="13504" spans="8:18" x14ac:dyDescent="0.2">
      <c r="H13504" s="180"/>
      <c r="P13504" s="180" t="s">
        <v>257</v>
      </c>
      <c r="R13504" s="180" t="s">
        <v>257</v>
      </c>
    </row>
    <row r="13505" spans="8:18" x14ac:dyDescent="0.2">
      <c r="H13505" s="180"/>
      <c r="P13505" s="180" t="s">
        <v>257</v>
      </c>
      <c r="R13505" s="180" t="s">
        <v>257</v>
      </c>
    </row>
    <row r="13506" spans="8:18" x14ac:dyDescent="0.2">
      <c r="H13506" s="180"/>
      <c r="P13506" s="180" t="s">
        <v>257</v>
      </c>
      <c r="R13506" s="180" t="s">
        <v>257</v>
      </c>
    </row>
    <row r="13507" spans="8:18" x14ac:dyDescent="0.2">
      <c r="H13507" s="180"/>
      <c r="P13507" s="180" t="s">
        <v>257</v>
      </c>
      <c r="R13507" s="180" t="s">
        <v>257</v>
      </c>
    </row>
    <row r="13508" spans="8:18" x14ac:dyDescent="0.2">
      <c r="H13508" s="180"/>
      <c r="P13508" s="180" t="s">
        <v>257</v>
      </c>
      <c r="R13508" s="180" t="s">
        <v>257</v>
      </c>
    </row>
    <row r="13509" spans="8:18" x14ac:dyDescent="0.2">
      <c r="H13509" s="180"/>
      <c r="P13509" s="180" t="s">
        <v>257</v>
      </c>
      <c r="R13509" s="180" t="s">
        <v>257</v>
      </c>
    </row>
    <row r="13510" spans="8:18" x14ac:dyDescent="0.2">
      <c r="H13510" s="180"/>
      <c r="P13510" s="180" t="s">
        <v>257</v>
      </c>
      <c r="R13510" s="180" t="s">
        <v>257</v>
      </c>
    </row>
    <row r="13511" spans="8:18" x14ac:dyDescent="0.2">
      <c r="H13511" s="180"/>
      <c r="P13511" s="180" t="s">
        <v>257</v>
      </c>
      <c r="R13511" s="180" t="s">
        <v>257</v>
      </c>
    </row>
    <row r="13512" spans="8:18" x14ac:dyDescent="0.2">
      <c r="H13512" s="180"/>
      <c r="P13512" s="180" t="s">
        <v>257</v>
      </c>
      <c r="R13512" s="180" t="s">
        <v>257</v>
      </c>
    </row>
    <row r="13513" spans="8:18" x14ac:dyDescent="0.2">
      <c r="H13513" s="180"/>
      <c r="P13513" s="180" t="s">
        <v>257</v>
      </c>
      <c r="R13513" s="180" t="s">
        <v>257</v>
      </c>
    </row>
    <row r="13514" spans="8:18" x14ac:dyDescent="0.2">
      <c r="H13514" s="180"/>
      <c r="P13514" s="180" t="s">
        <v>257</v>
      </c>
      <c r="R13514" s="180" t="s">
        <v>257</v>
      </c>
    </row>
    <row r="13515" spans="8:18" x14ac:dyDescent="0.2">
      <c r="H13515" s="180"/>
      <c r="P13515" s="180" t="s">
        <v>257</v>
      </c>
      <c r="R13515" s="180" t="s">
        <v>257</v>
      </c>
    </row>
    <row r="13516" spans="8:18" x14ac:dyDescent="0.2">
      <c r="H13516" s="180"/>
      <c r="P13516" s="180" t="s">
        <v>257</v>
      </c>
      <c r="R13516" s="180" t="s">
        <v>257</v>
      </c>
    </row>
    <row r="13517" spans="8:18" x14ac:dyDescent="0.2">
      <c r="H13517" s="180"/>
      <c r="P13517" s="180" t="s">
        <v>257</v>
      </c>
      <c r="R13517" s="180" t="s">
        <v>257</v>
      </c>
    </row>
    <row r="13518" spans="8:18" x14ac:dyDescent="0.2">
      <c r="H13518" s="180"/>
      <c r="P13518" s="180" t="s">
        <v>257</v>
      </c>
      <c r="R13518" s="180" t="s">
        <v>257</v>
      </c>
    </row>
    <row r="13519" spans="8:18" x14ac:dyDescent="0.2">
      <c r="H13519" s="180"/>
      <c r="P13519" s="180" t="s">
        <v>257</v>
      </c>
      <c r="R13519" s="180" t="s">
        <v>257</v>
      </c>
    </row>
    <row r="13520" spans="8:18" x14ac:dyDescent="0.2">
      <c r="H13520" s="180"/>
      <c r="P13520" s="180" t="s">
        <v>257</v>
      </c>
      <c r="R13520" s="180" t="s">
        <v>257</v>
      </c>
    </row>
    <row r="13521" spans="8:18" x14ac:dyDescent="0.2">
      <c r="H13521" s="180"/>
      <c r="P13521" s="180" t="s">
        <v>257</v>
      </c>
      <c r="R13521" s="180" t="s">
        <v>257</v>
      </c>
    </row>
    <row r="13522" spans="8:18" x14ac:dyDescent="0.2">
      <c r="H13522" s="180"/>
      <c r="P13522" s="180" t="s">
        <v>257</v>
      </c>
      <c r="R13522" s="180" t="s">
        <v>257</v>
      </c>
    </row>
    <row r="13523" spans="8:18" x14ac:dyDescent="0.2">
      <c r="H13523" s="180"/>
      <c r="P13523" s="180" t="s">
        <v>257</v>
      </c>
      <c r="R13523" s="180" t="s">
        <v>257</v>
      </c>
    </row>
    <row r="13524" spans="8:18" x14ac:dyDescent="0.2">
      <c r="H13524" s="180"/>
      <c r="P13524" s="180" t="s">
        <v>257</v>
      </c>
      <c r="R13524" s="180" t="s">
        <v>257</v>
      </c>
    </row>
    <row r="13525" spans="8:18" x14ac:dyDescent="0.2">
      <c r="H13525" s="180"/>
      <c r="P13525" s="180" t="s">
        <v>257</v>
      </c>
      <c r="R13525" s="180" t="s">
        <v>257</v>
      </c>
    </row>
    <row r="13526" spans="8:18" x14ac:dyDescent="0.2">
      <c r="H13526" s="180"/>
      <c r="P13526" s="180" t="s">
        <v>257</v>
      </c>
      <c r="R13526" s="180" t="s">
        <v>257</v>
      </c>
    </row>
    <row r="13527" spans="8:18" x14ac:dyDescent="0.2">
      <c r="H13527" s="180"/>
      <c r="P13527" s="180" t="s">
        <v>257</v>
      </c>
      <c r="R13527" s="180" t="s">
        <v>257</v>
      </c>
    </row>
    <row r="13528" spans="8:18" x14ac:dyDescent="0.2">
      <c r="H13528" s="180"/>
      <c r="P13528" s="180" t="s">
        <v>257</v>
      </c>
      <c r="R13528" s="180" t="s">
        <v>257</v>
      </c>
    </row>
    <row r="13529" spans="8:18" x14ac:dyDescent="0.2">
      <c r="H13529" s="180"/>
      <c r="P13529" s="180" t="s">
        <v>257</v>
      </c>
      <c r="R13529" s="180" t="s">
        <v>257</v>
      </c>
    </row>
    <row r="13530" spans="8:18" x14ac:dyDescent="0.2">
      <c r="H13530" s="180"/>
      <c r="P13530" s="180" t="s">
        <v>257</v>
      </c>
      <c r="R13530" s="180" t="s">
        <v>257</v>
      </c>
    </row>
    <row r="13531" spans="8:18" x14ac:dyDescent="0.2">
      <c r="H13531" s="180"/>
      <c r="P13531" s="180" t="s">
        <v>257</v>
      </c>
      <c r="R13531" s="180" t="s">
        <v>257</v>
      </c>
    </row>
    <row r="13532" spans="8:18" x14ac:dyDescent="0.2">
      <c r="H13532" s="180"/>
      <c r="P13532" s="180" t="s">
        <v>257</v>
      </c>
      <c r="R13532" s="180" t="s">
        <v>257</v>
      </c>
    </row>
    <row r="13533" spans="8:18" x14ac:dyDescent="0.2">
      <c r="H13533" s="180"/>
      <c r="P13533" s="180" t="s">
        <v>257</v>
      </c>
      <c r="R13533" s="180" t="s">
        <v>257</v>
      </c>
    </row>
    <row r="13534" spans="8:18" x14ac:dyDescent="0.2">
      <c r="H13534" s="180"/>
      <c r="P13534" s="180" t="s">
        <v>257</v>
      </c>
      <c r="R13534" s="180" t="s">
        <v>257</v>
      </c>
    </row>
    <row r="13535" spans="8:18" x14ac:dyDescent="0.2">
      <c r="H13535" s="180"/>
      <c r="P13535" s="180" t="s">
        <v>257</v>
      </c>
      <c r="R13535" s="180" t="s">
        <v>257</v>
      </c>
    </row>
    <row r="13536" spans="8:18" x14ac:dyDescent="0.2">
      <c r="H13536" s="180"/>
      <c r="P13536" s="180" t="s">
        <v>257</v>
      </c>
      <c r="R13536" s="180" t="s">
        <v>257</v>
      </c>
    </row>
    <row r="13537" spans="8:18" x14ac:dyDescent="0.2">
      <c r="H13537" s="180"/>
      <c r="P13537" s="180" t="s">
        <v>257</v>
      </c>
      <c r="R13537" s="180" t="s">
        <v>257</v>
      </c>
    </row>
    <row r="13538" spans="8:18" x14ac:dyDescent="0.2">
      <c r="H13538" s="180"/>
      <c r="P13538" s="180" t="s">
        <v>257</v>
      </c>
      <c r="R13538" s="180" t="s">
        <v>257</v>
      </c>
    </row>
    <row r="13539" spans="8:18" x14ac:dyDescent="0.2">
      <c r="H13539" s="180"/>
      <c r="P13539" s="180" t="s">
        <v>257</v>
      </c>
      <c r="R13539" s="180" t="s">
        <v>257</v>
      </c>
    </row>
    <row r="13540" spans="8:18" x14ac:dyDescent="0.2">
      <c r="H13540" s="180"/>
      <c r="P13540" s="180" t="s">
        <v>257</v>
      </c>
      <c r="R13540" s="180" t="s">
        <v>257</v>
      </c>
    </row>
    <row r="13541" spans="8:18" x14ac:dyDescent="0.2">
      <c r="H13541" s="180"/>
      <c r="P13541" s="180" t="s">
        <v>257</v>
      </c>
      <c r="R13541" s="180" t="s">
        <v>257</v>
      </c>
    </row>
    <row r="13542" spans="8:18" x14ac:dyDescent="0.2">
      <c r="H13542" s="180"/>
      <c r="P13542" s="180" t="s">
        <v>257</v>
      </c>
      <c r="R13542" s="180" t="s">
        <v>257</v>
      </c>
    </row>
    <row r="13543" spans="8:18" x14ac:dyDescent="0.2">
      <c r="H13543" s="180"/>
      <c r="P13543" s="180" t="s">
        <v>257</v>
      </c>
      <c r="R13543" s="180" t="s">
        <v>257</v>
      </c>
    </row>
    <row r="13544" spans="8:18" x14ac:dyDescent="0.2">
      <c r="H13544" s="180"/>
      <c r="P13544" s="180" t="s">
        <v>257</v>
      </c>
      <c r="R13544" s="180" t="s">
        <v>257</v>
      </c>
    </row>
    <row r="13545" spans="8:18" x14ac:dyDescent="0.2">
      <c r="H13545" s="180"/>
      <c r="P13545" s="180" t="s">
        <v>257</v>
      </c>
      <c r="R13545" s="180" t="s">
        <v>257</v>
      </c>
    </row>
    <row r="13546" spans="8:18" x14ac:dyDescent="0.2">
      <c r="H13546" s="180"/>
      <c r="P13546" s="180" t="s">
        <v>257</v>
      </c>
      <c r="R13546" s="180" t="s">
        <v>257</v>
      </c>
    </row>
    <row r="13547" spans="8:18" x14ac:dyDescent="0.2">
      <c r="H13547" s="180"/>
      <c r="P13547" s="180" t="s">
        <v>257</v>
      </c>
      <c r="R13547" s="180" t="s">
        <v>257</v>
      </c>
    </row>
    <row r="13548" spans="8:18" x14ac:dyDescent="0.2">
      <c r="H13548" s="180"/>
      <c r="P13548" s="180" t="s">
        <v>257</v>
      </c>
      <c r="R13548" s="180" t="s">
        <v>257</v>
      </c>
    </row>
    <row r="13549" spans="8:18" x14ac:dyDescent="0.2">
      <c r="H13549" s="180"/>
      <c r="P13549" s="180" t="s">
        <v>257</v>
      </c>
      <c r="R13549" s="180" t="s">
        <v>257</v>
      </c>
    </row>
    <row r="13550" spans="8:18" x14ac:dyDescent="0.2">
      <c r="H13550" s="180"/>
      <c r="P13550" s="180" t="s">
        <v>257</v>
      </c>
      <c r="R13550" s="180" t="s">
        <v>257</v>
      </c>
    </row>
    <row r="13551" spans="8:18" x14ac:dyDescent="0.2">
      <c r="H13551" s="180"/>
      <c r="P13551" s="180" t="s">
        <v>257</v>
      </c>
      <c r="R13551" s="180" t="s">
        <v>257</v>
      </c>
    </row>
    <row r="13552" spans="8:18" x14ac:dyDescent="0.2">
      <c r="H13552" s="180"/>
      <c r="P13552" s="180" t="s">
        <v>257</v>
      </c>
      <c r="R13552" s="180" t="s">
        <v>257</v>
      </c>
    </row>
    <row r="13553" spans="8:18" x14ac:dyDescent="0.2">
      <c r="H13553" s="180"/>
      <c r="P13553" s="180" t="s">
        <v>257</v>
      </c>
      <c r="R13553" s="180" t="s">
        <v>257</v>
      </c>
    </row>
    <row r="13554" spans="8:18" x14ac:dyDescent="0.2">
      <c r="H13554" s="180"/>
      <c r="P13554" s="180" t="s">
        <v>257</v>
      </c>
      <c r="R13554" s="180" t="s">
        <v>257</v>
      </c>
    </row>
    <row r="13555" spans="8:18" x14ac:dyDescent="0.2">
      <c r="H13555" s="180"/>
      <c r="P13555" s="180" t="s">
        <v>257</v>
      </c>
      <c r="R13555" s="180" t="s">
        <v>257</v>
      </c>
    </row>
    <row r="13556" spans="8:18" x14ac:dyDescent="0.2">
      <c r="H13556" s="180"/>
      <c r="P13556" s="180" t="s">
        <v>257</v>
      </c>
      <c r="R13556" s="180" t="s">
        <v>257</v>
      </c>
    </row>
    <row r="13557" spans="8:18" x14ac:dyDescent="0.2">
      <c r="H13557" s="180"/>
      <c r="P13557" s="180" t="s">
        <v>257</v>
      </c>
      <c r="R13557" s="180" t="s">
        <v>257</v>
      </c>
    </row>
    <row r="13558" spans="8:18" x14ac:dyDescent="0.2">
      <c r="H13558" s="180"/>
      <c r="P13558" s="180" t="s">
        <v>257</v>
      </c>
      <c r="R13558" s="180" t="s">
        <v>257</v>
      </c>
    </row>
    <row r="13559" spans="8:18" x14ac:dyDescent="0.2">
      <c r="H13559" s="180"/>
      <c r="P13559" s="180" t="s">
        <v>257</v>
      </c>
      <c r="R13559" s="180" t="s">
        <v>257</v>
      </c>
    </row>
    <row r="13560" spans="8:18" x14ac:dyDescent="0.2">
      <c r="H13560" s="180"/>
      <c r="P13560" s="180" t="s">
        <v>257</v>
      </c>
      <c r="R13560" s="180" t="s">
        <v>257</v>
      </c>
    </row>
    <row r="13561" spans="8:18" x14ac:dyDescent="0.2">
      <c r="H13561" s="180"/>
      <c r="P13561" s="180" t="s">
        <v>257</v>
      </c>
      <c r="R13561" s="180" t="s">
        <v>257</v>
      </c>
    </row>
    <row r="13562" spans="8:18" x14ac:dyDescent="0.2">
      <c r="H13562" s="180"/>
      <c r="P13562" s="180" t="s">
        <v>257</v>
      </c>
      <c r="R13562" s="180" t="s">
        <v>257</v>
      </c>
    </row>
    <row r="13563" spans="8:18" x14ac:dyDescent="0.2">
      <c r="H13563" s="180"/>
      <c r="P13563" s="180" t="s">
        <v>257</v>
      </c>
      <c r="R13563" s="180" t="s">
        <v>257</v>
      </c>
    </row>
    <row r="13564" spans="8:18" x14ac:dyDescent="0.2">
      <c r="H13564" s="180"/>
      <c r="P13564" s="180" t="s">
        <v>257</v>
      </c>
      <c r="R13564" s="180" t="s">
        <v>257</v>
      </c>
    </row>
    <row r="13565" spans="8:18" x14ac:dyDescent="0.2">
      <c r="H13565" s="180"/>
      <c r="P13565" s="180" t="s">
        <v>257</v>
      </c>
      <c r="R13565" s="180" t="s">
        <v>257</v>
      </c>
    </row>
    <row r="13566" spans="8:18" x14ac:dyDescent="0.2">
      <c r="H13566" s="180"/>
      <c r="P13566" s="180" t="s">
        <v>257</v>
      </c>
      <c r="R13566" s="180" t="s">
        <v>257</v>
      </c>
    </row>
    <row r="13567" spans="8:18" x14ac:dyDescent="0.2">
      <c r="H13567" s="180"/>
      <c r="P13567" s="180" t="s">
        <v>257</v>
      </c>
      <c r="R13567" s="180" t="s">
        <v>257</v>
      </c>
    </row>
    <row r="13568" spans="8:18" x14ac:dyDescent="0.2">
      <c r="H13568" s="180"/>
      <c r="P13568" s="180" t="s">
        <v>257</v>
      </c>
      <c r="R13568" s="180" t="s">
        <v>257</v>
      </c>
    </row>
    <row r="13569" spans="8:18" x14ac:dyDescent="0.2">
      <c r="H13569" s="180"/>
      <c r="P13569" s="180" t="s">
        <v>257</v>
      </c>
      <c r="R13569" s="180" t="s">
        <v>257</v>
      </c>
    </row>
    <row r="13570" spans="8:18" x14ac:dyDescent="0.2">
      <c r="H13570" s="180"/>
      <c r="P13570" s="180" t="s">
        <v>257</v>
      </c>
      <c r="R13570" s="180" t="s">
        <v>257</v>
      </c>
    </row>
    <row r="13571" spans="8:18" x14ac:dyDescent="0.2">
      <c r="H13571" s="180"/>
      <c r="P13571" s="180" t="s">
        <v>257</v>
      </c>
      <c r="R13571" s="180" t="s">
        <v>257</v>
      </c>
    </row>
    <row r="13572" spans="8:18" x14ac:dyDescent="0.2">
      <c r="H13572" s="180"/>
      <c r="P13572" s="180" t="s">
        <v>257</v>
      </c>
      <c r="R13572" s="180" t="s">
        <v>257</v>
      </c>
    </row>
    <row r="13573" spans="8:18" x14ac:dyDescent="0.2">
      <c r="H13573" s="180"/>
      <c r="P13573" s="180" t="s">
        <v>257</v>
      </c>
      <c r="R13573" s="180" t="s">
        <v>257</v>
      </c>
    </row>
    <row r="13574" spans="8:18" x14ac:dyDescent="0.2">
      <c r="H13574" s="180"/>
      <c r="P13574" s="180" t="s">
        <v>257</v>
      </c>
      <c r="R13574" s="180" t="s">
        <v>257</v>
      </c>
    </row>
    <row r="13575" spans="8:18" x14ac:dyDescent="0.2">
      <c r="H13575" s="180"/>
      <c r="P13575" s="180" t="s">
        <v>257</v>
      </c>
      <c r="R13575" s="180" t="s">
        <v>257</v>
      </c>
    </row>
    <row r="13576" spans="8:18" x14ac:dyDescent="0.2">
      <c r="H13576" s="180"/>
      <c r="P13576" s="180" t="s">
        <v>257</v>
      </c>
      <c r="R13576" s="180" t="s">
        <v>257</v>
      </c>
    </row>
    <row r="13577" spans="8:18" x14ac:dyDescent="0.2">
      <c r="H13577" s="180"/>
      <c r="P13577" s="180" t="s">
        <v>257</v>
      </c>
      <c r="R13577" s="180" t="s">
        <v>257</v>
      </c>
    </row>
    <row r="13578" spans="8:18" x14ac:dyDescent="0.2">
      <c r="H13578" s="180"/>
      <c r="P13578" s="180" t="s">
        <v>257</v>
      </c>
      <c r="R13578" s="180" t="s">
        <v>257</v>
      </c>
    </row>
    <row r="13579" spans="8:18" x14ac:dyDescent="0.2">
      <c r="H13579" s="180"/>
      <c r="P13579" s="180" t="s">
        <v>257</v>
      </c>
      <c r="R13579" s="180" t="s">
        <v>257</v>
      </c>
    </row>
    <row r="13580" spans="8:18" x14ac:dyDescent="0.2">
      <c r="H13580" s="180"/>
      <c r="P13580" s="180" t="s">
        <v>257</v>
      </c>
      <c r="R13580" s="180" t="s">
        <v>257</v>
      </c>
    </row>
    <row r="13581" spans="8:18" x14ac:dyDescent="0.2">
      <c r="H13581" s="180"/>
      <c r="P13581" s="180" t="s">
        <v>257</v>
      </c>
      <c r="R13581" s="180" t="s">
        <v>257</v>
      </c>
    </row>
    <row r="13582" spans="8:18" x14ac:dyDescent="0.2">
      <c r="H13582" s="180"/>
      <c r="P13582" s="180" t="s">
        <v>257</v>
      </c>
      <c r="R13582" s="180" t="s">
        <v>257</v>
      </c>
    </row>
    <row r="13583" spans="8:18" x14ac:dyDescent="0.2">
      <c r="H13583" s="180"/>
      <c r="P13583" s="180" t="s">
        <v>257</v>
      </c>
      <c r="R13583" s="180" t="s">
        <v>257</v>
      </c>
    </row>
    <row r="13584" spans="8:18" x14ac:dyDescent="0.2">
      <c r="H13584" s="180"/>
      <c r="P13584" s="180" t="s">
        <v>257</v>
      </c>
      <c r="R13584" s="180" t="s">
        <v>257</v>
      </c>
    </row>
    <row r="13585" spans="8:18" x14ac:dyDescent="0.2">
      <c r="H13585" s="180"/>
      <c r="P13585" s="180" t="s">
        <v>257</v>
      </c>
      <c r="R13585" s="180" t="s">
        <v>257</v>
      </c>
    </row>
    <row r="13586" spans="8:18" x14ac:dyDescent="0.2">
      <c r="H13586" s="180"/>
      <c r="P13586" s="180" t="s">
        <v>257</v>
      </c>
      <c r="R13586" s="180" t="s">
        <v>257</v>
      </c>
    </row>
    <row r="13587" spans="8:18" x14ac:dyDescent="0.2">
      <c r="H13587" s="180"/>
      <c r="P13587" s="180" t="s">
        <v>257</v>
      </c>
      <c r="R13587" s="180" t="s">
        <v>257</v>
      </c>
    </row>
    <row r="13588" spans="8:18" x14ac:dyDescent="0.2">
      <c r="H13588" s="180"/>
      <c r="P13588" s="180" t="s">
        <v>257</v>
      </c>
      <c r="R13588" s="180" t="s">
        <v>257</v>
      </c>
    </row>
    <row r="13589" spans="8:18" x14ac:dyDescent="0.2">
      <c r="H13589" s="180"/>
      <c r="P13589" s="180" t="s">
        <v>257</v>
      </c>
      <c r="R13589" s="180" t="s">
        <v>257</v>
      </c>
    </row>
    <row r="13590" spans="8:18" x14ac:dyDescent="0.2">
      <c r="H13590" s="180"/>
      <c r="P13590" s="180" t="s">
        <v>257</v>
      </c>
      <c r="R13590" s="180" t="s">
        <v>257</v>
      </c>
    </row>
    <row r="13591" spans="8:18" x14ac:dyDescent="0.2">
      <c r="H13591" s="180"/>
      <c r="P13591" s="180" t="s">
        <v>257</v>
      </c>
      <c r="R13591" s="180" t="s">
        <v>257</v>
      </c>
    </row>
    <row r="13592" spans="8:18" x14ac:dyDescent="0.2">
      <c r="H13592" s="180"/>
      <c r="P13592" s="180" t="s">
        <v>257</v>
      </c>
      <c r="R13592" s="180" t="s">
        <v>257</v>
      </c>
    </row>
    <row r="13593" spans="8:18" x14ac:dyDescent="0.2">
      <c r="H13593" s="180"/>
      <c r="P13593" s="180" t="s">
        <v>257</v>
      </c>
      <c r="R13593" s="180" t="s">
        <v>257</v>
      </c>
    </row>
    <row r="13594" spans="8:18" x14ac:dyDescent="0.2">
      <c r="H13594" s="180"/>
      <c r="P13594" s="180" t="s">
        <v>257</v>
      </c>
      <c r="R13594" s="180" t="s">
        <v>257</v>
      </c>
    </row>
    <row r="13595" spans="8:18" x14ac:dyDescent="0.2">
      <c r="H13595" s="180"/>
      <c r="P13595" s="180" t="s">
        <v>257</v>
      </c>
      <c r="R13595" s="180" t="s">
        <v>257</v>
      </c>
    </row>
    <row r="13596" spans="8:18" x14ac:dyDescent="0.2">
      <c r="H13596" s="180"/>
      <c r="P13596" s="180" t="s">
        <v>257</v>
      </c>
      <c r="R13596" s="180" t="s">
        <v>257</v>
      </c>
    </row>
    <row r="13597" spans="8:18" x14ac:dyDescent="0.2">
      <c r="H13597" s="180"/>
      <c r="P13597" s="180" t="s">
        <v>257</v>
      </c>
      <c r="R13597" s="180" t="s">
        <v>257</v>
      </c>
    </row>
    <row r="13598" spans="8:18" x14ac:dyDescent="0.2">
      <c r="H13598" s="180"/>
      <c r="P13598" s="180" t="s">
        <v>257</v>
      </c>
      <c r="R13598" s="180" t="s">
        <v>257</v>
      </c>
    </row>
    <row r="13599" spans="8:18" x14ac:dyDescent="0.2">
      <c r="H13599" s="180"/>
      <c r="P13599" s="180" t="s">
        <v>257</v>
      </c>
      <c r="R13599" s="180" t="s">
        <v>257</v>
      </c>
    </row>
    <row r="13600" spans="8:18" x14ac:dyDescent="0.2">
      <c r="H13600" s="180"/>
      <c r="P13600" s="180" t="s">
        <v>257</v>
      </c>
      <c r="R13600" s="180" t="s">
        <v>257</v>
      </c>
    </row>
    <row r="13601" spans="8:18" x14ac:dyDescent="0.2">
      <c r="H13601" s="180"/>
      <c r="P13601" s="180" t="s">
        <v>257</v>
      </c>
      <c r="R13601" s="180" t="s">
        <v>257</v>
      </c>
    </row>
    <row r="13602" spans="8:18" x14ac:dyDescent="0.2">
      <c r="H13602" s="180"/>
      <c r="P13602" s="180" t="s">
        <v>257</v>
      </c>
      <c r="R13602" s="180" t="s">
        <v>257</v>
      </c>
    </row>
    <row r="13603" spans="8:18" x14ac:dyDescent="0.2">
      <c r="H13603" s="180"/>
      <c r="P13603" s="180" t="s">
        <v>257</v>
      </c>
      <c r="R13603" s="180" t="s">
        <v>257</v>
      </c>
    </row>
    <row r="13604" spans="8:18" x14ac:dyDescent="0.2">
      <c r="H13604" s="180"/>
      <c r="P13604" s="180" t="s">
        <v>257</v>
      </c>
      <c r="R13604" s="180" t="s">
        <v>257</v>
      </c>
    </row>
    <row r="13605" spans="8:18" x14ac:dyDescent="0.2">
      <c r="H13605" s="180"/>
      <c r="P13605" s="180" t="s">
        <v>257</v>
      </c>
      <c r="R13605" s="180" t="s">
        <v>257</v>
      </c>
    </row>
    <row r="13606" spans="8:18" x14ac:dyDescent="0.2">
      <c r="H13606" s="180"/>
      <c r="P13606" s="180" t="s">
        <v>257</v>
      </c>
      <c r="R13606" s="180" t="s">
        <v>257</v>
      </c>
    </row>
    <row r="13607" spans="8:18" x14ac:dyDescent="0.2">
      <c r="H13607" s="180"/>
      <c r="P13607" s="180" t="s">
        <v>257</v>
      </c>
      <c r="R13607" s="180" t="s">
        <v>257</v>
      </c>
    </row>
    <row r="13608" spans="8:18" x14ac:dyDescent="0.2">
      <c r="H13608" s="180"/>
      <c r="P13608" s="180" t="s">
        <v>257</v>
      </c>
      <c r="R13608" s="180" t="s">
        <v>257</v>
      </c>
    </row>
    <row r="13609" spans="8:18" x14ac:dyDescent="0.2">
      <c r="H13609" s="180"/>
      <c r="P13609" s="180" t="s">
        <v>257</v>
      </c>
      <c r="R13609" s="180" t="s">
        <v>257</v>
      </c>
    </row>
    <row r="13610" spans="8:18" x14ac:dyDescent="0.2">
      <c r="H13610" s="180"/>
      <c r="P13610" s="180" t="s">
        <v>257</v>
      </c>
      <c r="R13610" s="180" t="s">
        <v>257</v>
      </c>
    </row>
    <row r="13611" spans="8:18" x14ac:dyDescent="0.2">
      <c r="H13611" s="180"/>
      <c r="P13611" s="180" t="s">
        <v>257</v>
      </c>
      <c r="R13611" s="180" t="s">
        <v>257</v>
      </c>
    </row>
    <row r="13612" spans="8:18" x14ac:dyDescent="0.2">
      <c r="H13612" s="180"/>
      <c r="P13612" s="180" t="s">
        <v>257</v>
      </c>
      <c r="R13612" s="180" t="s">
        <v>257</v>
      </c>
    </row>
    <row r="13613" spans="8:18" x14ac:dyDescent="0.2">
      <c r="H13613" s="180"/>
      <c r="P13613" s="180" t="s">
        <v>257</v>
      </c>
      <c r="R13613" s="180" t="s">
        <v>257</v>
      </c>
    </row>
    <row r="13614" spans="8:18" x14ac:dyDescent="0.2">
      <c r="H13614" s="180"/>
      <c r="P13614" s="180" t="s">
        <v>257</v>
      </c>
      <c r="R13614" s="180" t="s">
        <v>257</v>
      </c>
    </row>
    <row r="13615" spans="8:18" x14ac:dyDescent="0.2">
      <c r="H13615" s="180"/>
      <c r="P13615" s="180" t="s">
        <v>257</v>
      </c>
      <c r="R13615" s="180" t="s">
        <v>257</v>
      </c>
    </row>
    <row r="13616" spans="8:18" x14ac:dyDescent="0.2">
      <c r="H13616" s="180"/>
      <c r="P13616" s="180" t="s">
        <v>257</v>
      </c>
      <c r="R13616" s="180" t="s">
        <v>257</v>
      </c>
    </row>
    <row r="13617" spans="8:18" x14ac:dyDescent="0.2">
      <c r="H13617" s="180"/>
      <c r="P13617" s="180" t="s">
        <v>257</v>
      </c>
      <c r="R13617" s="180" t="s">
        <v>257</v>
      </c>
    </row>
    <row r="13618" spans="8:18" x14ac:dyDescent="0.2">
      <c r="H13618" s="180"/>
      <c r="P13618" s="180" t="s">
        <v>257</v>
      </c>
      <c r="R13618" s="180" t="s">
        <v>257</v>
      </c>
    </row>
    <row r="13619" spans="8:18" x14ac:dyDescent="0.2">
      <c r="H13619" s="180"/>
      <c r="P13619" s="180" t="s">
        <v>257</v>
      </c>
      <c r="R13619" s="180" t="s">
        <v>257</v>
      </c>
    </row>
    <row r="13620" spans="8:18" x14ac:dyDescent="0.2">
      <c r="H13620" s="180"/>
      <c r="P13620" s="180" t="s">
        <v>257</v>
      </c>
      <c r="R13620" s="180" t="s">
        <v>257</v>
      </c>
    </row>
    <row r="13621" spans="8:18" x14ac:dyDescent="0.2">
      <c r="H13621" s="180"/>
      <c r="P13621" s="180" t="s">
        <v>257</v>
      </c>
      <c r="R13621" s="180" t="s">
        <v>257</v>
      </c>
    </row>
    <row r="13622" spans="8:18" x14ac:dyDescent="0.2">
      <c r="H13622" s="180"/>
      <c r="P13622" s="180" t="s">
        <v>257</v>
      </c>
      <c r="R13622" s="180" t="s">
        <v>257</v>
      </c>
    </row>
    <row r="13623" spans="8:18" x14ac:dyDescent="0.2">
      <c r="H13623" s="180"/>
      <c r="P13623" s="180" t="s">
        <v>257</v>
      </c>
      <c r="R13623" s="180" t="s">
        <v>257</v>
      </c>
    </row>
    <row r="13624" spans="8:18" x14ac:dyDescent="0.2">
      <c r="H13624" s="180"/>
      <c r="P13624" s="180" t="s">
        <v>257</v>
      </c>
      <c r="R13624" s="180" t="s">
        <v>257</v>
      </c>
    </row>
    <row r="13625" spans="8:18" x14ac:dyDescent="0.2">
      <c r="H13625" s="180"/>
      <c r="P13625" s="180" t="s">
        <v>257</v>
      </c>
      <c r="R13625" s="180" t="s">
        <v>257</v>
      </c>
    </row>
    <row r="13626" spans="8:18" x14ac:dyDescent="0.2">
      <c r="H13626" s="180"/>
      <c r="P13626" s="180" t="s">
        <v>257</v>
      </c>
      <c r="R13626" s="180" t="s">
        <v>257</v>
      </c>
    </row>
    <row r="13627" spans="8:18" x14ac:dyDescent="0.2">
      <c r="H13627" s="180"/>
      <c r="P13627" s="180" t="s">
        <v>257</v>
      </c>
      <c r="R13627" s="180" t="s">
        <v>257</v>
      </c>
    </row>
    <row r="13628" spans="8:18" x14ac:dyDescent="0.2">
      <c r="H13628" s="180"/>
      <c r="P13628" s="180" t="s">
        <v>257</v>
      </c>
      <c r="R13628" s="180" t="s">
        <v>257</v>
      </c>
    </row>
    <row r="13629" spans="8:18" x14ac:dyDescent="0.2">
      <c r="H13629" s="180"/>
      <c r="P13629" s="180" t="s">
        <v>257</v>
      </c>
      <c r="R13629" s="180" t="s">
        <v>257</v>
      </c>
    </row>
    <row r="13630" spans="8:18" x14ac:dyDescent="0.2">
      <c r="H13630" s="180"/>
      <c r="P13630" s="180" t="s">
        <v>257</v>
      </c>
      <c r="R13630" s="180" t="s">
        <v>257</v>
      </c>
    </row>
    <row r="13631" spans="8:18" x14ac:dyDescent="0.2">
      <c r="H13631" s="180"/>
      <c r="P13631" s="180" t="s">
        <v>257</v>
      </c>
      <c r="R13631" s="180" t="s">
        <v>257</v>
      </c>
    </row>
    <row r="13632" spans="8:18" x14ac:dyDescent="0.2">
      <c r="H13632" s="180"/>
      <c r="P13632" s="180" t="s">
        <v>257</v>
      </c>
      <c r="R13632" s="180" t="s">
        <v>257</v>
      </c>
    </row>
    <row r="13633" spans="8:18" x14ac:dyDescent="0.2">
      <c r="H13633" s="180"/>
      <c r="P13633" s="180" t="s">
        <v>257</v>
      </c>
      <c r="R13633" s="180" t="s">
        <v>257</v>
      </c>
    </row>
    <row r="13634" spans="8:18" x14ac:dyDescent="0.2">
      <c r="H13634" s="180"/>
      <c r="P13634" s="180" t="s">
        <v>257</v>
      </c>
      <c r="R13634" s="180" t="s">
        <v>257</v>
      </c>
    </row>
    <row r="13635" spans="8:18" x14ac:dyDescent="0.2">
      <c r="H13635" s="180"/>
      <c r="P13635" s="180" t="s">
        <v>257</v>
      </c>
      <c r="R13635" s="180" t="s">
        <v>257</v>
      </c>
    </row>
    <row r="13636" spans="8:18" x14ac:dyDescent="0.2">
      <c r="H13636" s="180"/>
      <c r="P13636" s="180" t="s">
        <v>257</v>
      </c>
      <c r="R13636" s="180" t="s">
        <v>257</v>
      </c>
    </row>
    <row r="13637" spans="8:18" x14ac:dyDescent="0.2">
      <c r="H13637" s="180"/>
      <c r="P13637" s="180" t="s">
        <v>257</v>
      </c>
      <c r="R13637" s="180" t="s">
        <v>257</v>
      </c>
    </row>
    <row r="13638" spans="8:18" x14ac:dyDescent="0.2">
      <c r="H13638" s="180"/>
      <c r="P13638" s="180" t="s">
        <v>257</v>
      </c>
      <c r="R13638" s="180" t="s">
        <v>257</v>
      </c>
    </row>
    <row r="13639" spans="8:18" x14ac:dyDescent="0.2">
      <c r="H13639" s="180"/>
      <c r="P13639" s="180" t="s">
        <v>257</v>
      </c>
      <c r="R13639" s="180" t="s">
        <v>257</v>
      </c>
    </row>
    <row r="13640" spans="8:18" x14ac:dyDescent="0.2">
      <c r="H13640" s="180"/>
      <c r="P13640" s="180" t="s">
        <v>257</v>
      </c>
      <c r="R13640" s="180" t="s">
        <v>257</v>
      </c>
    </row>
    <row r="13641" spans="8:18" x14ac:dyDescent="0.2">
      <c r="H13641" s="180"/>
      <c r="P13641" s="180" t="s">
        <v>257</v>
      </c>
      <c r="R13641" s="180" t="s">
        <v>257</v>
      </c>
    </row>
    <row r="13642" spans="8:18" x14ac:dyDescent="0.2">
      <c r="H13642" s="180"/>
      <c r="P13642" s="180" t="s">
        <v>257</v>
      </c>
      <c r="R13642" s="180" t="s">
        <v>257</v>
      </c>
    </row>
    <row r="13643" spans="8:18" x14ac:dyDescent="0.2">
      <c r="H13643" s="180"/>
      <c r="P13643" s="180" t="s">
        <v>257</v>
      </c>
      <c r="R13643" s="180" t="s">
        <v>257</v>
      </c>
    </row>
    <row r="13644" spans="8:18" x14ac:dyDescent="0.2">
      <c r="H13644" s="180"/>
      <c r="P13644" s="180" t="s">
        <v>257</v>
      </c>
      <c r="R13644" s="180" t="s">
        <v>257</v>
      </c>
    </row>
    <row r="13645" spans="8:18" x14ac:dyDescent="0.2">
      <c r="H13645" s="180"/>
      <c r="P13645" s="180" t="s">
        <v>257</v>
      </c>
      <c r="R13645" s="180" t="s">
        <v>257</v>
      </c>
    </row>
    <row r="13646" spans="8:18" x14ac:dyDescent="0.2">
      <c r="H13646" s="180"/>
      <c r="P13646" s="180" t="s">
        <v>257</v>
      </c>
      <c r="R13646" s="180" t="s">
        <v>257</v>
      </c>
    </row>
    <row r="13647" spans="8:18" x14ac:dyDescent="0.2">
      <c r="H13647" s="180"/>
      <c r="P13647" s="180" t="s">
        <v>257</v>
      </c>
      <c r="R13647" s="180" t="s">
        <v>257</v>
      </c>
    </row>
    <row r="13648" spans="8:18" x14ac:dyDescent="0.2">
      <c r="H13648" s="180"/>
      <c r="P13648" s="180" t="s">
        <v>257</v>
      </c>
      <c r="R13648" s="180" t="s">
        <v>257</v>
      </c>
    </row>
    <row r="13649" spans="8:18" x14ac:dyDescent="0.2">
      <c r="H13649" s="180"/>
      <c r="P13649" s="180" t="s">
        <v>257</v>
      </c>
      <c r="R13649" s="180" t="s">
        <v>257</v>
      </c>
    </row>
    <row r="13650" spans="8:18" x14ac:dyDescent="0.2">
      <c r="H13650" s="180"/>
      <c r="P13650" s="180" t="s">
        <v>257</v>
      </c>
      <c r="R13650" s="180" t="s">
        <v>257</v>
      </c>
    </row>
    <row r="13651" spans="8:18" x14ac:dyDescent="0.2">
      <c r="H13651" s="180"/>
      <c r="P13651" s="180" t="s">
        <v>257</v>
      </c>
      <c r="R13651" s="180" t="s">
        <v>257</v>
      </c>
    </row>
    <row r="13652" spans="8:18" x14ac:dyDescent="0.2">
      <c r="H13652" s="180"/>
      <c r="P13652" s="180" t="s">
        <v>257</v>
      </c>
      <c r="R13652" s="180" t="s">
        <v>257</v>
      </c>
    </row>
    <row r="13653" spans="8:18" x14ac:dyDescent="0.2">
      <c r="H13653" s="180"/>
      <c r="P13653" s="180" t="s">
        <v>257</v>
      </c>
      <c r="R13653" s="180" t="s">
        <v>257</v>
      </c>
    </row>
    <row r="13654" spans="8:18" x14ac:dyDescent="0.2">
      <c r="H13654" s="180"/>
      <c r="P13654" s="180" t="s">
        <v>257</v>
      </c>
      <c r="R13654" s="180" t="s">
        <v>257</v>
      </c>
    </row>
    <row r="13655" spans="8:18" x14ac:dyDescent="0.2">
      <c r="H13655" s="180"/>
      <c r="P13655" s="180" t="s">
        <v>257</v>
      </c>
      <c r="R13655" s="180" t="s">
        <v>257</v>
      </c>
    </row>
    <row r="13656" spans="8:18" x14ac:dyDescent="0.2">
      <c r="H13656" s="180"/>
      <c r="P13656" s="180" t="s">
        <v>257</v>
      </c>
      <c r="R13656" s="180" t="s">
        <v>257</v>
      </c>
    </row>
    <row r="13657" spans="8:18" x14ac:dyDescent="0.2">
      <c r="H13657" s="180"/>
      <c r="P13657" s="180" t="s">
        <v>257</v>
      </c>
      <c r="R13657" s="180" t="s">
        <v>257</v>
      </c>
    </row>
    <row r="13658" spans="8:18" x14ac:dyDescent="0.2">
      <c r="H13658" s="180"/>
      <c r="P13658" s="180" t="s">
        <v>257</v>
      </c>
      <c r="R13658" s="180" t="s">
        <v>257</v>
      </c>
    </row>
    <row r="13659" spans="8:18" x14ac:dyDescent="0.2">
      <c r="H13659" s="180"/>
      <c r="P13659" s="180" t="s">
        <v>257</v>
      </c>
      <c r="R13659" s="180" t="s">
        <v>257</v>
      </c>
    </row>
    <row r="13660" spans="8:18" x14ac:dyDescent="0.2">
      <c r="H13660" s="180"/>
      <c r="P13660" s="180" t="s">
        <v>257</v>
      </c>
      <c r="R13660" s="180" t="s">
        <v>257</v>
      </c>
    </row>
    <row r="13661" spans="8:18" x14ac:dyDescent="0.2">
      <c r="H13661" s="180"/>
      <c r="P13661" s="180" t="s">
        <v>257</v>
      </c>
      <c r="R13661" s="180" t="s">
        <v>257</v>
      </c>
    </row>
    <row r="13662" spans="8:18" x14ac:dyDescent="0.2">
      <c r="H13662" s="180"/>
      <c r="P13662" s="180" t="s">
        <v>257</v>
      </c>
      <c r="R13662" s="180" t="s">
        <v>257</v>
      </c>
    </row>
    <row r="13663" spans="8:18" x14ac:dyDescent="0.2">
      <c r="H13663" s="180"/>
      <c r="P13663" s="180" t="s">
        <v>257</v>
      </c>
      <c r="R13663" s="180" t="s">
        <v>257</v>
      </c>
    </row>
    <row r="13664" spans="8:18" x14ac:dyDescent="0.2">
      <c r="H13664" s="180"/>
      <c r="P13664" s="180" t="s">
        <v>257</v>
      </c>
      <c r="R13664" s="180" t="s">
        <v>257</v>
      </c>
    </row>
    <row r="13665" spans="8:18" x14ac:dyDescent="0.2">
      <c r="H13665" s="180"/>
      <c r="P13665" s="180" t="s">
        <v>257</v>
      </c>
      <c r="R13665" s="180" t="s">
        <v>257</v>
      </c>
    </row>
    <row r="13666" spans="8:18" x14ac:dyDescent="0.2">
      <c r="H13666" s="180"/>
      <c r="P13666" s="180" t="s">
        <v>257</v>
      </c>
      <c r="R13666" s="180" t="s">
        <v>257</v>
      </c>
    </row>
    <row r="13667" spans="8:18" x14ac:dyDescent="0.2">
      <c r="H13667" s="180"/>
      <c r="P13667" s="180" t="s">
        <v>257</v>
      </c>
      <c r="R13667" s="180" t="s">
        <v>257</v>
      </c>
    </row>
    <row r="13668" spans="8:18" x14ac:dyDescent="0.2">
      <c r="H13668" s="180"/>
      <c r="P13668" s="180" t="s">
        <v>257</v>
      </c>
      <c r="R13668" s="180" t="s">
        <v>257</v>
      </c>
    </row>
    <row r="13669" spans="8:18" x14ac:dyDescent="0.2">
      <c r="H13669" s="180"/>
      <c r="P13669" s="180" t="s">
        <v>257</v>
      </c>
      <c r="R13669" s="180" t="s">
        <v>257</v>
      </c>
    </row>
    <row r="13670" spans="8:18" x14ac:dyDescent="0.2">
      <c r="H13670" s="180"/>
      <c r="P13670" s="180" t="s">
        <v>257</v>
      </c>
      <c r="R13670" s="180" t="s">
        <v>257</v>
      </c>
    </row>
    <row r="13671" spans="8:18" x14ac:dyDescent="0.2">
      <c r="H13671" s="180"/>
      <c r="P13671" s="180" t="s">
        <v>257</v>
      </c>
      <c r="R13671" s="180" t="s">
        <v>257</v>
      </c>
    </row>
    <row r="13672" spans="8:18" x14ac:dyDescent="0.2">
      <c r="H13672" s="180"/>
      <c r="P13672" s="180" t="s">
        <v>257</v>
      </c>
      <c r="R13672" s="180" t="s">
        <v>257</v>
      </c>
    </row>
    <row r="13673" spans="8:18" x14ac:dyDescent="0.2">
      <c r="H13673" s="180"/>
      <c r="P13673" s="180" t="s">
        <v>257</v>
      </c>
      <c r="R13673" s="180" t="s">
        <v>257</v>
      </c>
    </row>
    <row r="13674" spans="8:18" x14ac:dyDescent="0.2">
      <c r="H13674" s="180"/>
      <c r="P13674" s="180" t="s">
        <v>257</v>
      </c>
      <c r="R13674" s="180" t="s">
        <v>257</v>
      </c>
    </row>
    <row r="13675" spans="8:18" x14ac:dyDescent="0.2">
      <c r="H13675" s="180"/>
      <c r="P13675" s="180" t="s">
        <v>257</v>
      </c>
      <c r="R13675" s="180" t="s">
        <v>257</v>
      </c>
    </row>
    <row r="13676" spans="8:18" x14ac:dyDescent="0.2">
      <c r="H13676" s="180"/>
      <c r="P13676" s="180" t="s">
        <v>257</v>
      </c>
      <c r="R13676" s="180" t="s">
        <v>257</v>
      </c>
    </row>
    <row r="13677" spans="8:18" x14ac:dyDescent="0.2">
      <c r="H13677" s="180"/>
      <c r="P13677" s="180" t="s">
        <v>257</v>
      </c>
      <c r="R13677" s="180" t="s">
        <v>257</v>
      </c>
    </row>
    <row r="13678" spans="8:18" x14ac:dyDescent="0.2">
      <c r="H13678" s="180"/>
      <c r="P13678" s="180" t="s">
        <v>257</v>
      </c>
      <c r="R13678" s="180" t="s">
        <v>257</v>
      </c>
    </row>
    <row r="13679" spans="8:18" x14ac:dyDescent="0.2">
      <c r="H13679" s="180"/>
      <c r="P13679" s="180" t="s">
        <v>257</v>
      </c>
      <c r="R13679" s="180" t="s">
        <v>257</v>
      </c>
    </row>
    <row r="13680" spans="8:18" x14ac:dyDescent="0.2">
      <c r="H13680" s="180"/>
      <c r="P13680" s="180" t="s">
        <v>257</v>
      </c>
      <c r="R13680" s="180" t="s">
        <v>257</v>
      </c>
    </row>
    <row r="13681" spans="8:18" x14ac:dyDescent="0.2">
      <c r="H13681" s="180"/>
      <c r="P13681" s="180" t="s">
        <v>257</v>
      </c>
      <c r="R13681" s="180" t="s">
        <v>257</v>
      </c>
    </row>
    <row r="13682" spans="8:18" x14ac:dyDescent="0.2">
      <c r="H13682" s="180"/>
      <c r="P13682" s="180" t="s">
        <v>257</v>
      </c>
      <c r="R13682" s="180" t="s">
        <v>257</v>
      </c>
    </row>
    <row r="13683" spans="8:18" x14ac:dyDescent="0.2">
      <c r="H13683" s="180"/>
      <c r="P13683" s="180" t="s">
        <v>257</v>
      </c>
      <c r="R13683" s="180" t="s">
        <v>257</v>
      </c>
    </row>
    <row r="13684" spans="8:18" x14ac:dyDescent="0.2">
      <c r="H13684" s="180"/>
      <c r="P13684" s="180" t="s">
        <v>257</v>
      </c>
      <c r="R13684" s="180" t="s">
        <v>257</v>
      </c>
    </row>
    <row r="13685" spans="8:18" x14ac:dyDescent="0.2">
      <c r="H13685" s="180"/>
      <c r="P13685" s="180" t="s">
        <v>257</v>
      </c>
      <c r="R13685" s="180" t="s">
        <v>257</v>
      </c>
    </row>
    <row r="13686" spans="8:18" x14ac:dyDescent="0.2">
      <c r="H13686" s="180"/>
      <c r="P13686" s="180" t="s">
        <v>257</v>
      </c>
      <c r="R13686" s="180" t="s">
        <v>257</v>
      </c>
    </row>
    <row r="13687" spans="8:18" x14ac:dyDescent="0.2">
      <c r="H13687" s="180"/>
      <c r="P13687" s="180" t="s">
        <v>257</v>
      </c>
      <c r="R13687" s="180" t="s">
        <v>257</v>
      </c>
    </row>
    <row r="13688" spans="8:18" x14ac:dyDescent="0.2">
      <c r="H13688" s="180"/>
      <c r="P13688" s="180" t="s">
        <v>257</v>
      </c>
      <c r="R13688" s="180" t="s">
        <v>257</v>
      </c>
    </row>
    <row r="13689" spans="8:18" x14ac:dyDescent="0.2">
      <c r="H13689" s="180"/>
      <c r="P13689" s="180" t="s">
        <v>257</v>
      </c>
      <c r="R13689" s="180" t="s">
        <v>257</v>
      </c>
    </row>
    <row r="13690" spans="8:18" x14ac:dyDescent="0.2">
      <c r="H13690" s="180"/>
      <c r="P13690" s="180" t="s">
        <v>257</v>
      </c>
      <c r="R13690" s="180" t="s">
        <v>257</v>
      </c>
    </row>
    <row r="13691" spans="8:18" x14ac:dyDescent="0.2">
      <c r="H13691" s="180"/>
      <c r="P13691" s="180" t="s">
        <v>257</v>
      </c>
      <c r="R13691" s="180" t="s">
        <v>257</v>
      </c>
    </row>
    <row r="13692" spans="8:18" x14ac:dyDescent="0.2">
      <c r="H13692" s="180"/>
      <c r="P13692" s="180" t="s">
        <v>257</v>
      </c>
      <c r="R13692" s="180" t="s">
        <v>257</v>
      </c>
    </row>
    <row r="13693" spans="8:18" x14ac:dyDescent="0.2">
      <c r="H13693" s="180"/>
      <c r="P13693" s="180" t="s">
        <v>257</v>
      </c>
      <c r="R13693" s="180" t="s">
        <v>257</v>
      </c>
    </row>
    <row r="13694" spans="8:18" x14ac:dyDescent="0.2">
      <c r="H13694" s="180"/>
      <c r="P13694" s="180" t="s">
        <v>257</v>
      </c>
      <c r="R13694" s="180" t="s">
        <v>257</v>
      </c>
    </row>
    <row r="13695" spans="8:18" x14ac:dyDescent="0.2">
      <c r="H13695" s="180"/>
      <c r="P13695" s="180" t="s">
        <v>257</v>
      </c>
      <c r="R13695" s="180" t="s">
        <v>257</v>
      </c>
    </row>
    <row r="13696" spans="8:18" x14ac:dyDescent="0.2">
      <c r="H13696" s="180"/>
      <c r="P13696" s="180" t="s">
        <v>257</v>
      </c>
      <c r="R13696" s="180" t="s">
        <v>257</v>
      </c>
    </row>
    <row r="13697" spans="8:18" x14ac:dyDescent="0.2">
      <c r="H13697" s="180"/>
      <c r="P13697" s="180" t="s">
        <v>257</v>
      </c>
      <c r="R13697" s="180" t="s">
        <v>257</v>
      </c>
    </row>
    <row r="13698" spans="8:18" x14ac:dyDescent="0.2">
      <c r="H13698" s="180"/>
      <c r="P13698" s="180" t="s">
        <v>257</v>
      </c>
      <c r="R13698" s="180" t="s">
        <v>257</v>
      </c>
    </row>
    <row r="13699" spans="8:18" x14ac:dyDescent="0.2">
      <c r="H13699" s="180"/>
      <c r="P13699" s="180" t="s">
        <v>257</v>
      </c>
      <c r="R13699" s="180" t="s">
        <v>257</v>
      </c>
    </row>
    <row r="13700" spans="8:18" x14ac:dyDescent="0.2">
      <c r="H13700" s="180"/>
      <c r="P13700" s="180" t="s">
        <v>257</v>
      </c>
      <c r="R13700" s="180" t="s">
        <v>257</v>
      </c>
    </row>
    <row r="13701" spans="8:18" x14ac:dyDescent="0.2">
      <c r="H13701" s="180"/>
      <c r="P13701" s="180" t="s">
        <v>257</v>
      </c>
      <c r="R13701" s="180" t="s">
        <v>257</v>
      </c>
    </row>
    <row r="13702" spans="8:18" x14ac:dyDescent="0.2">
      <c r="H13702" s="180"/>
      <c r="P13702" s="180" t="s">
        <v>257</v>
      </c>
      <c r="R13702" s="180" t="s">
        <v>257</v>
      </c>
    </row>
    <row r="13703" spans="8:18" x14ac:dyDescent="0.2">
      <c r="H13703" s="180"/>
      <c r="P13703" s="180" t="s">
        <v>257</v>
      </c>
      <c r="R13703" s="180" t="s">
        <v>257</v>
      </c>
    </row>
    <row r="13704" spans="8:18" x14ac:dyDescent="0.2">
      <c r="H13704" s="180"/>
      <c r="P13704" s="180" t="s">
        <v>257</v>
      </c>
      <c r="R13704" s="180" t="s">
        <v>257</v>
      </c>
    </row>
    <row r="13705" spans="8:18" x14ac:dyDescent="0.2">
      <c r="H13705" s="180"/>
      <c r="P13705" s="180" t="s">
        <v>257</v>
      </c>
      <c r="R13705" s="180" t="s">
        <v>257</v>
      </c>
    </row>
    <row r="13706" spans="8:18" x14ac:dyDescent="0.2">
      <c r="H13706" s="180"/>
      <c r="P13706" s="180" t="s">
        <v>257</v>
      </c>
      <c r="R13706" s="180" t="s">
        <v>257</v>
      </c>
    </row>
    <row r="13707" spans="8:18" x14ac:dyDescent="0.2">
      <c r="H13707" s="180"/>
      <c r="P13707" s="180" t="s">
        <v>257</v>
      </c>
      <c r="R13707" s="180" t="s">
        <v>257</v>
      </c>
    </row>
    <row r="13708" spans="8:18" x14ac:dyDescent="0.2">
      <c r="H13708" s="180"/>
      <c r="P13708" s="180" t="s">
        <v>257</v>
      </c>
      <c r="R13708" s="180" t="s">
        <v>257</v>
      </c>
    </row>
    <row r="13709" spans="8:18" x14ac:dyDescent="0.2">
      <c r="H13709" s="180"/>
      <c r="P13709" s="180" t="s">
        <v>257</v>
      </c>
      <c r="R13709" s="180" t="s">
        <v>257</v>
      </c>
    </row>
    <row r="13710" spans="8:18" x14ac:dyDescent="0.2">
      <c r="H13710" s="180"/>
      <c r="P13710" s="180" t="s">
        <v>257</v>
      </c>
      <c r="R13710" s="180" t="s">
        <v>257</v>
      </c>
    </row>
    <row r="13711" spans="8:18" x14ac:dyDescent="0.2">
      <c r="H13711" s="180"/>
      <c r="P13711" s="180" t="s">
        <v>257</v>
      </c>
      <c r="R13711" s="180" t="s">
        <v>257</v>
      </c>
    </row>
    <row r="13712" spans="8:18" x14ac:dyDescent="0.2">
      <c r="H13712" s="180"/>
      <c r="P13712" s="180" t="s">
        <v>257</v>
      </c>
      <c r="R13712" s="180" t="s">
        <v>257</v>
      </c>
    </row>
    <row r="13713" spans="8:18" x14ac:dyDescent="0.2">
      <c r="H13713" s="180"/>
      <c r="P13713" s="180" t="s">
        <v>257</v>
      </c>
      <c r="R13713" s="180" t="s">
        <v>257</v>
      </c>
    </row>
    <row r="13714" spans="8:18" x14ac:dyDescent="0.2">
      <c r="H13714" s="180"/>
      <c r="P13714" s="180" t="s">
        <v>257</v>
      </c>
      <c r="R13714" s="180" t="s">
        <v>257</v>
      </c>
    </row>
    <row r="13715" spans="8:18" x14ac:dyDescent="0.2">
      <c r="H13715" s="180"/>
      <c r="P13715" s="180" t="s">
        <v>257</v>
      </c>
      <c r="R13715" s="180" t="s">
        <v>257</v>
      </c>
    </row>
    <row r="13716" spans="8:18" x14ac:dyDescent="0.2">
      <c r="H13716" s="180"/>
      <c r="P13716" s="180" t="s">
        <v>257</v>
      </c>
      <c r="R13716" s="180" t="s">
        <v>257</v>
      </c>
    </row>
    <row r="13717" spans="8:18" x14ac:dyDescent="0.2">
      <c r="H13717" s="180"/>
      <c r="P13717" s="180" t="s">
        <v>257</v>
      </c>
      <c r="R13717" s="180" t="s">
        <v>257</v>
      </c>
    </row>
    <row r="13718" spans="8:18" x14ac:dyDescent="0.2">
      <c r="H13718" s="180"/>
      <c r="P13718" s="180" t="s">
        <v>257</v>
      </c>
      <c r="R13718" s="180" t="s">
        <v>257</v>
      </c>
    </row>
    <row r="13719" spans="8:18" x14ac:dyDescent="0.2">
      <c r="H13719" s="180"/>
      <c r="P13719" s="180" t="s">
        <v>257</v>
      </c>
      <c r="R13719" s="180" t="s">
        <v>257</v>
      </c>
    </row>
    <row r="13720" spans="8:18" x14ac:dyDescent="0.2">
      <c r="H13720" s="180"/>
      <c r="P13720" s="180" t="s">
        <v>257</v>
      </c>
      <c r="R13720" s="180" t="s">
        <v>257</v>
      </c>
    </row>
    <row r="13721" spans="8:18" x14ac:dyDescent="0.2">
      <c r="H13721" s="180"/>
      <c r="P13721" s="180" t="s">
        <v>257</v>
      </c>
      <c r="R13721" s="180" t="s">
        <v>257</v>
      </c>
    </row>
    <row r="13722" spans="8:18" x14ac:dyDescent="0.2">
      <c r="H13722" s="180"/>
      <c r="P13722" s="180" t="s">
        <v>257</v>
      </c>
      <c r="R13722" s="180" t="s">
        <v>257</v>
      </c>
    </row>
    <row r="13723" spans="8:18" x14ac:dyDescent="0.2">
      <c r="H13723" s="180"/>
      <c r="P13723" s="180" t="s">
        <v>257</v>
      </c>
      <c r="R13723" s="180" t="s">
        <v>257</v>
      </c>
    </row>
    <row r="13724" spans="8:18" x14ac:dyDescent="0.2">
      <c r="H13724" s="180"/>
      <c r="P13724" s="180" t="s">
        <v>257</v>
      </c>
      <c r="R13724" s="180" t="s">
        <v>257</v>
      </c>
    </row>
    <row r="13725" spans="8:18" x14ac:dyDescent="0.2">
      <c r="H13725" s="180"/>
      <c r="P13725" s="180" t="s">
        <v>257</v>
      </c>
      <c r="R13725" s="180" t="s">
        <v>257</v>
      </c>
    </row>
    <row r="13726" spans="8:18" x14ac:dyDescent="0.2">
      <c r="H13726" s="180"/>
      <c r="P13726" s="180" t="s">
        <v>257</v>
      </c>
      <c r="R13726" s="180" t="s">
        <v>257</v>
      </c>
    </row>
    <row r="13727" spans="8:18" x14ac:dyDescent="0.2">
      <c r="H13727" s="180"/>
      <c r="P13727" s="180" t="s">
        <v>257</v>
      </c>
      <c r="R13727" s="180" t="s">
        <v>257</v>
      </c>
    </row>
    <row r="13728" spans="8:18" x14ac:dyDescent="0.2">
      <c r="H13728" s="180"/>
      <c r="P13728" s="180" t="s">
        <v>257</v>
      </c>
      <c r="R13728" s="180" t="s">
        <v>257</v>
      </c>
    </row>
    <row r="13729" spans="8:18" x14ac:dyDescent="0.2">
      <c r="H13729" s="180"/>
      <c r="P13729" s="180" t="s">
        <v>257</v>
      </c>
      <c r="R13729" s="180" t="s">
        <v>257</v>
      </c>
    </row>
    <row r="13730" spans="8:18" x14ac:dyDescent="0.2">
      <c r="H13730" s="180"/>
      <c r="P13730" s="180" t="s">
        <v>257</v>
      </c>
      <c r="R13730" s="180" t="s">
        <v>257</v>
      </c>
    </row>
    <row r="13731" spans="8:18" x14ac:dyDescent="0.2">
      <c r="H13731" s="180"/>
      <c r="P13731" s="180" t="s">
        <v>257</v>
      </c>
      <c r="R13731" s="180" t="s">
        <v>257</v>
      </c>
    </row>
    <row r="13732" spans="8:18" x14ac:dyDescent="0.2">
      <c r="H13732" s="180"/>
      <c r="P13732" s="180" t="s">
        <v>257</v>
      </c>
      <c r="R13732" s="180" t="s">
        <v>257</v>
      </c>
    </row>
    <row r="13733" spans="8:18" x14ac:dyDescent="0.2">
      <c r="H13733" s="180"/>
      <c r="P13733" s="180" t="s">
        <v>257</v>
      </c>
      <c r="R13733" s="180" t="s">
        <v>257</v>
      </c>
    </row>
    <row r="13734" spans="8:18" x14ac:dyDescent="0.2">
      <c r="H13734" s="180"/>
      <c r="P13734" s="180" t="s">
        <v>257</v>
      </c>
      <c r="R13734" s="180" t="s">
        <v>257</v>
      </c>
    </row>
    <row r="13735" spans="8:18" x14ac:dyDescent="0.2">
      <c r="H13735" s="180"/>
      <c r="P13735" s="180" t="s">
        <v>257</v>
      </c>
      <c r="R13735" s="180" t="s">
        <v>257</v>
      </c>
    </row>
    <row r="13736" spans="8:18" x14ac:dyDescent="0.2">
      <c r="H13736" s="180"/>
      <c r="P13736" s="180" t="s">
        <v>257</v>
      </c>
      <c r="R13736" s="180" t="s">
        <v>257</v>
      </c>
    </row>
    <row r="13737" spans="8:18" x14ac:dyDescent="0.2">
      <c r="H13737" s="180"/>
      <c r="P13737" s="180" t="s">
        <v>257</v>
      </c>
      <c r="R13737" s="180" t="s">
        <v>257</v>
      </c>
    </row>
    <row r="13738" spans="8:18" x14ac:dyDescent="0.2">
      <c r="H13738" s="180"/>
      <c r="P13738" s="180" t="s">
        <v>257</v>
      </c>
      <c r="R13738" s="180" t="s">
        <v>257</v>
      </c>
    </row>
    <row r="13739" spans="8:18" x14ac:dyDescent="0.2">
      <c r="H13739" s="180"/>
      <c r="P13739" s="180" t="s">
        <v>257</v>
      </c>
      <c r="R13739" s="180" t="s">
        <v>257</v>
      </c>
    </row>
    <row r="13740" spans="8:18" x14ac:dyDescent="0.2">
      <c r="H13740" s="180"/>
      <c r="P13740" s="180" t="s">
        <v>257</v>
      </c>
      <c r="R13740" s="180" t="s">
        <v>257</v>
      </c>
    </row>
    <row r="13741" spans="8:18" x14ac:dyDescent="0.2">
      <c r="H13741" s="180"/>
      <c r="P13741" s="180" t="s">
        <v>257</v>
      </c>
      <c r="R13741" s="180" t="s">
        <v>257</v>
      </c>
    </row>
    <row r="13742" spans="8:18" x14ac:dyDescent="0.2">
      <c r="H13742" s="180"/>
      <c r="P13742" s="180" t="s">
        <v>257</v>
      </c>
      <c r="R13742" s="180" t="s">
        <v>257</v>
      </c>
    </row>
    <row r="13743" spans="8:18" x14ac:dyDescent="0.2">
      <c r="H13743" s="180"/>
      <c r="P13743" s="180" t="s">
        <v>257</v>
      </c>
      <c r="R13743" s="180" t="s">
        <v>257</v>
      </c>
    </row>
    <row r="13744" spans="8:18" x14ac:dyDescent="0.2">
      <c r="H13744" s="180"/>
      <c r="P13744" s="180" t="s">
        <v>257</v>
      </c>
      <c r="R13744" s="180" t="s">
        <v>257</v>
      </c>
    </row>
    <row r="13745" spans="8:18" x14ac:dyDescent="0.2">
      <c r="H13745" s="180"/>
      <c r="P13745" s="180" t="s">
        <v>257</v>
      </c>
      <c r="R13745" s="180" t="s">
        <v>257</v>
      </c>
    </row>
    <row r="13746" spans="8:18" x14ac:dyDescent="0.2">
      <c r="H13746" s="180"/>
      <c r="P13746" s="180" t="s">
        <v>257</v>
      </c>
      <c r="R13746" s="180" t="s">
        <v>257</v>
      </c>
    </row>
    <row r="13747" spans="8:18" x14ac:dyDescent="0.2">
      <c r="H13747" s="180"/>
      <c r="P13747" s="180" t="s">
        <v>257</v>
      </c>
      <c r="R13747" s="180" t="s">
        <v>257</v>
      </c>
    </row>
    <row r="13748" spans="8:18" x14ac:dyDescent="0.2">
      <c r="H13748" s="180"/>
      <c r="P13748" s="180" t="s">
        <v>257</v>
      </c>
      <c r="R13748" s="180" t="s">
        <v>257</v>
      </c>
    </row>
    <row r="13749" spans="8:18" x14ac:dyDescent="0.2">
      <c r="H13749" s="180"/>
      <c r="P13749" s="180" t="s">
        <v>257</v>
      </c>
      <c r="R13749" s="180" t="s">
        <v>257</v>
      </c>
    </row>
    <row r="13750" spans="8:18" x14ac:dyDescent="0.2">
      <c r="H13750" s="180"/>
      <c r="P13750" s="180" t="s">
        <v>257</v>
      </c>
      <c r="R13750" s="180" t="s">
        <v>257</v>
      </c>
    </row>
    <row r="13751" spans="8:18" x14ac:dyDescent="0.2">
      <c r="H13751" s="180"/>
      <c r="P13751" s="180" t="s">
        <v>257</v>
      </c>
      <c r="R13751" s="180" t="s">
        <v>257</v>
      </c>
    </row>
    <row r="13752" spans="8:18" x14ac:dyDescent="0.2">
      <c r="H13752" s="180"/>
      <c r="P13752" s="180" t="s">
        <v>257</v>
      </c>
      <c r="R13752" s="180" t="s">
        <v>257</v>
      </c>
    </row>
    <row r="13753" spans="8:18" x14ac:dyDescent="0.2">
      <c r="H13753" s="180"/>
      <c r="P13753" s="180" t="s">
        <v>257</v>
      </c>
      <c r="R13753" s="180" t="s">
        <v>257</v>
      </c>
    </row>
    <row r="13754" spans="8:18" x14ac:dyDescent="0.2">
      <c r="H13754" s="180"/>
      <c r="P13754" s="180" t="s">
        <v>257</v>
      </c>
      <c r="R13754" s="180" t="s">
        <v>257</v>
      </c>
    </row>
    <row r="13755" spans="8:18" x14ac:dyDescent="0.2">
      <c r="H13755" s="180"/>
      <c r="P13755" s="180" t="s">
        <v>257</v>
      </c>
      <c r="R13755" s="180" t="s">
        <v>257</v>
      </c>
    </row>
    <row r="13756" spans="8:18" x14ac:dyDescent="0.2">
      <c r="H13756" s="180"/>
      <c r="P13756" s="180" t="s">
        <v>257</v>
      </c>
      <c r="R13756" s="180" t="s">
        <v>257</v>
      </c>
    </row>
    <row r="13757" spans="8:18" x14ac:dyDescent="0.2">
      <c r="H13757" s="180"/>
      <c r="P13757" s="180" t="s">
        <v>257</v>
      </c>
      <c r="R13757" s="180" t="s">
        <v>257</v>
      </c>
    </row>
    <row r="13758" spans="8:18" x14ac:dyDescent="0.2">
      <c r="H13758" s="180"/>
      <c r="P13758" s="180" t="s">
        <v>257</v>
      </c>
      <c r="R13758" s="180" t="s">
        <v>257</v>
      </c>
    </row>
    <row r="13759" spans="8:18" x14ac:dyDescent="0.2">
      <c r="H13759" s="180"/>
      <c r="P13759" s="180" t="s">
        <v>257</v>
      </c>
      <c r="R13759" s="180" t="s">
        <v>257</v>
      </c>
    </row>
    <row r="13760" spans="8:18" x14ac:dyDescent="0.2">
      <c r="H13760" s="180"/>
      <c r="P13760" s="180" t="s">
        <v>257</v>
      </c>
      <c r="R13760" s="180" t="s">
        <v>257</v>
      </c>
    </row>
    <row r="13761" spans="8:18" x14ac:dyDescent="0.2">
      <c r="H13761" s="180"/>
      <c r="P13761" s="180" t="s">
        <v>257</v>
      </c>
      <c r="R13761" s="180" t="s">
        <v>257</v>
      </c>
    </row>
    <row r="13762" spans="8:18" x14ac:dyDescent="0.2">
      <c r="H13762" s="180"/>
      <c r="P13762" s="180" t="s">
        <v>257</v>
      </c>
      <c r="R13762" s="180" t="s">
        <v>257</v>
      </c>
    </row>
    <row r="13763" spans="8:18" x14ac:dyDescent="0.2">
      <c r="H13763" s="180"/>
      <c r="P13763" s="180" t="s">
        <v>257</v>
      </c>
      <c r="R13763" s="180" t="s">
        <v>257</v>
      </c>
    </row>
    <row r="13764" spans="8:18" x14ac:dyDescent="0.2">
      <c r="H13764" s="180"/>
      <c r="P13764" s="180" t="s">
        <v>257</v>
      </c>
      <c r="R13764" s="180" t="s">
        <v>257</v>
      </c>
    </row>
    <row r="13765" spans="8:18" x14ac:dyDescent="0.2">
      <c r="H13765" s="180"/>
      <c r="P13765" s="180" t="s">
        <v>257</v>
      </c>
      <c r="R13765" s="180" t="s">
        <v>257</v>
      </c>
    </row>
    <row r="13766" spans="8:18" x14ac:dyDescent="0.2">
      <c r="H13766" s="180"/>
      <c r="P13766" s="180" t="s">
        <v>257</v>
      </c>
      <c r="R13766" s="180" t="s">
        <v>257</v>
      </c>
    </row>
    <row r="13767" spans="8:18" x14ac:dyDescent="0.2">
      <c r="H13767" s="180"/>
      <c r="P13767" s="180" t="s">
        <v>257</v>
      </c>
      <c r="R13767" s="180" t="s">
        <v>257</v>
      </c>
    </row>
    <row r="13768" spans="8:18" x14ac:dyDescent="0.2">
      <c r="H13768" s="180"/>
      <c r="P13768" s="180" t="s">
        <v>257</v>
      </c>
      <c r="R13768" s="180" t="s">
        <v>257</v>
      </c>
    </row>
    <row r="13769" spans="8:18" x14ac:dyDescent="0.2">
      <c r="H13769" s="180"/>
      <c r="P13769" s="180" t="s">
        <v>257</v>
      </c>
      <c r="R13769" s="180" t="s">
        <v>257</v>
      </c>
    </row>
    <row r="13770" spans="8:18" x14ac:dyDescent="0.2">
      <c r="H13770" s="180"/>
      <c r="P13770" s="180" t="s">
        <v>257</v>
      </c>
      <c r="R13770" s="180" t="s">
        <v>257</v>
      </c>
    </row>
    <row r="13771" spans="8:18" x14ac:dyDescent="0.2">
      <c r="H13771" s="180"/>
      <c r="P13771" s="180" t="s">
        <v>257</v>
      </c>
      <c r="R13771" s="180" t="s">
        <v>257</v>
      </c>
    </row>
    <row r="13772" spans="8:18" x14ac:dyDescent="0.2">
      <c r="H13772" s="180"/>
      <c r="P13772" s="180" t="s">
        <v>257</v>
      </c>
      <c r="R13772" s="180" t="s">
        <v>257</v>
      </c>
    </row>
    <row r="13773" spans="8:18" x14ac:dyDescent="0.2">
      <c r="H13773" s="180"/>
      <c r="P13773" s="180" t="s">
        <v>257</v>
      </c>
      <c r="R13773" s="180" t="s">
        <v>257</v>
      </c>
    </row>
    <row r="13774" spans="8:18" x14ac:dyDescent="0.2">
      <c r="H13774" s="180"/>
      <c r="P13774" s="180" t="s">
        <v>257</v>
      </c>
      <c r="R13774" s="180" t="s">
        <v>257</v>
      </c>
    </row>
    <row r="13775" spans="8:18" x14ac:dyDescent="0.2">
      <c r="H13775" s="180"/>
      <c r="P13775" s="180" t="s">
        <v>257</v>
      </c>
      <c r="R13775" s="180" t="s">
        <v>257</v>
      </c>
    </row>
    <row r="13776" spans="8:18" x14ac:dyDescent="0.2">
      <c r="H13776" s="180"/>
      <c r="P13776" s="180" t="s">
        <v>257</v>
      </c>
      <c r="R13776" s="180" t="s">
        <v>257</v>
      </c>
    </row>
    <row r="13777" spans="8:18" x14ac:dyDescent="0.2">
      <c r="H13777" s="180"/>
      <c r="P13777" s="180" t="s">
        <v>257</v>
      </c>
      <c r="R13777" s="180" t="s">
        <v>257</v>
      </c>
    </row>
    <row r="13778" spans="8:18" x14ac:dyDescent="0.2">
      <c r="H13778" s="180"/>
      <c r="P13778" s="180" t="s">
        <v>257</v>
      </c>
      <c r="R13778" s="180" t="s">
        <v>257</v>
      </c>
    </row>
    <row r="13779" spans="8:18" x14ac:dyDescent="0.2">
      <c r="H13779" s="180"/>
      <c r="P13779" s="180" t="s">
        <v>257</v>
      </c>
      <c r="R13779" s="180" t="s">
        <v>257</v>
      </c>
    </row>
    <row r="13780" spans="8:18" x14ac:dyDescent="0.2">
      <c r="H13780" s="180"/>
      <c r="P13780" s="180" t="s">
        <v>257</v>
      </c>
      <c r="R13780" s="180" t="s">
        <v>257</v>
      </c>
    </row>
    <row r="13781" spans="8:18" x14ac:dyDescent="0.2">
      <c r="H13781" s="180"/>
      <c r="P13781" s="180" t="s">
        <v>257</v>
      </c>
      <c r="R13781" s="180" t="s">
        <v>257</v>
      </c>
    </row>
    <row r="13782" spans="8:18" x14ac:dyDescent="0.2">
      <c r="H13782" s="180"/>
      <c r="P13782" s="180" t="s">
        <v>257</v>
      </c>
      <c r="R13782" s="180" t="s">
        <v>257</v>
      </c>
    </row>
    <row r="13783" spans="8:18" x14ac:dyDescent="0.2">
      <c r="H13783" s="180"/>
      <c r="P13783" s="180" t="s">
        <v>257</v>
      </c>
      <c r="R13783" s="180" t="s">
        <v>257</v>
      </c>
    </row>
    <row r="13784" spans="8:18" x14ac:dyDescent="0.2">
      <c r="H13784" s="180"/>
      <c r="P13784" s="180" t="s">
        <v>257</v>
      </c>
      <c r="R13784" s="180" t="s">
        <v>257</v>
      </c>
    </row>
    <row r="13785" spans="8:18" x14ac:dyDescent="0.2">
      <c r="H13785" s="180"/>
      <c r="P13785" s="180" t="s">
        <v>257</v>
      </c>
      <c r="R13785" s="180" t="s">
        <v>257</v>
      </c>
    </row>
    <row r="13786" spans="8:18" x14ac:dyDescent="0.2">
      <c r="H13786" s="180"/>
      <c r="P13786" s="180" t="s">
        <v>257</v>
      </c>
      <c r="R13786" s="180" t="s">
        <v>257</v>
      </c>
    </row>
    <row r="13787" spans="8:18" x14ac:dyDescent="0.2">
      <c r="H13787" s="180"/>
      <c r="P13787" s="180" t="s">
        <v>257</v>
      </c>
      <c r="R13787" s="180" t="s">
        <v>257</v>
      </c>
    </row>
    <row r="13788" spans="8:18" x14ac:dyDescent="0.2">
      <c r="H13788" s="180"/>
      <c r="P13788" s="180" t="s">
        <v>257</v>
      </c>
      <c r="R13788" s="180" t="s">
        <v>257</v>
      </c>
    </row>
    <row r="13789" spans="8:18" x14ac:dyDescent="0.2">
      <c r="H13789" s="180"/>
      <c r="P13789" s="180" t="s">
        <v>257</v>
      </c>
      <c r="R13789" s="180" t="s">
        <v>257</v>
      </c>
    </row>
    <row r="13790" spans="8:18" x14ac:dyDescent="0.2">
      <c r="H13790" s="180"/>
      <c r="P13790" s="180" t="s">
        <v>257</v>
      </c>
      <c r="R13790" s="180" t="s">
        <v>257</v>
      </c>
    </row>
    <row r="13791" spans="8:18" x14ac:dyDescent="0.2">
      <c r="H13791" s="180"/>
      <c r="P13791" s="180" t="s">
        <v>257</v>
      </c>
      <c r="R13791" s="180" t="s">
        <v>257</v>
      </c>
    </row>
    <row r="13792" spans="8:18" x14ac:dyDescent="0.2">
      <c r="H13792" s="180"/>
      <c r="P13792" s="180" t="s">
        <v>257</v>
      </c>
      <c r="R13792" s="180" t="s">
        <v>257</v>
      </c>
    </row>
    <row r="13793" spans="8:18" x14ac:dyDescent="0.2">
      <c r="H13793" s="180"/>
      <c r="P13793" s="180" t="s">
        <v>257</v>
      </c>
      <c r="R13793" s="180" t="s">
        <v>257</v>
      </c>
    </row>
    <row r="13794" spans="8:18" x14ac:dyDescent="0.2">
      <c r="H13794" s="180"/>
      <c r="P13794" s="180" t="s">
        <v>257</v>
      </c>
      <c r="R13794" s="180" t="s">
        <v>257</v>
      </c>
    </row>
    <row r="13795" spans="8:18" x14ac:dyDescent="0.2">
      <c r="H13795" s="180"/>
      <c r="P13795" s="180" t="s">
        <v>257</v>
      </c>
      <c r="R13795" s="180" t="s">
        <v>257</v>
      </c>
    </row>
    <row r="13796" spans="8:18" x14ac:dyDescent="0.2">
      <c r="H13796" s="180"/>
      <c r="P13796" s="180" t="s">
        <v>257</v>
      </c>
      <c r="R13796" s="180" t="s">
        <v>257</v>
      </c>
    </row>
    <row r="13797" spans="8:18" x14ac:dyDescent="0.2">
      <c r="H13797" s="180"/>
      <c r="P13797" s="180" t="s">
        <v>257</v>
      </c>
      <c r="R13797" s="180" t="s">
        <v>257</v>
      </c>
    </row>
    <row r="13798" spans="8:18" x14ac:dyDescent="0.2">
      <c r="H13798" s="180"/>
      <c r="P13798" s="180" t="s">
        <v>257</v>
      </c>
      <c r="R13798" s="180" t="s">
        <v>257</v>
      </c>
    </row>
    <row r="13799" spans="8:18" x14ac:dyDescent="0.2">
      <c r="H13799" s="180"/>
      <c r="P13799" s="180" t="s">
        <v>257</v>
      </c>
      <c r="R13799" s="180" t="s">
        <v>257</v>
      </c>
    </row>
    <row r="13800" spans="8:18" x14ac:dyDescent="0.2">
      <c r="H13800" s="180"/>
      <c r="P13800" s="180" t="s">
        <v>257</v>
      </c>
      <c r="R13800" s="180" t="s">
        <v>257</v>
      </c>
    </row>
    <row r="13801" spans="8:18" x14ac:dyDescent="0.2">
      <c r="H13801" s="180"/>
      <c r="P13801" s="180" t="s">
        <v>257</v>
      </c>
      <c r="R13801" s="180" t="s">
        <v>257</v>
      </c>
    </row>
    <row r="13802" spans="8:18" x14ac:dyDescent="0.2">
      <c r="H13802" s="180"/>
      <c r="P13802" s="180" t="s">
        <v>257</v>
      </c>
      <c r="R13802" s="180" t="s">
        <v>257</v>
      </c>
    </row>
    <row r="13803" spans="8:18" x14ac:dyDescent="0.2">
      <c r="H13803" s="180"/>
      <c r="P13803" s="180" t="s">
        <v>257</v>
      </c>
      <c r="R13803" s="180" t="s">
        <v>257</v>
      </c>
    </row>
    <row r="13804" spans="8:18" x14ac:dyDescent="0.2">
      <c r="H13804" s="180"/>
      <c r="P13804" s="180" t="s">
        <v>257</v>
      </c>
      <c r="R13804" s="180" t="s">
        <v>257</v>
      </c>
    </row>
    <row r="13805" spans="8:18" x14ac:dyDescent="0.2">
      <c r="H13805" s="180"/>
      <c r="P13805" s="180" t="s">
        <v>257</v>
      </c>
      <c r="R13805" s="180" t="s">
        <v>257</v>
      </c>
    </row>
    <row r="13806" spans="8:18" x14ac:dyDescent="0.2">
      <c r="H13806" s="180"/>
      <c r="P13806" s="180" t="s">
        <v>257</v>
      </c>
      <c r="R13806" s="180" t="s">
        <v>257</v>
      </c>
    </row>
    <row r="13807" spans="8:18" x14ac:dyDescent="0.2">
      <c r="H13807" s="180"/>
      <c r="P13807" s="180" t="s">
        <v>257</v>
      </c>
      <c r="R13807" s="180" t="s">
        <v>257</v>
      </c>
    </row>
    <row r="13808" spans="8:18" x14ac:dyDescent="0.2">
      <c r="H13808" s="180"/>
      <c r="P13808" s="180" t="s">
        <v>257</v>
      </c>
      <c r="R13808" s="180" t="s">
        <v>257</v>
      </c>
    </row>
    <row r="13809" spans="8:18" x14ac:dyDescent="0.2">
      <c r="H13809" s="180"/>
      <c r="P13809" s="180" t="s">
        <v>257</v>
      </c>
      <c r="R13809" s="180" t="s">
        <v>257</v>
      </c>
    </row>
    <row r="13810" spans="8:18" x14ac:dyDescent="0.2">
      <c r="H13810" s="180"/>
      <c r="P13810" s="180" t="s">
        <v>257</v>
      </c>
      <c r="R13810" s="180" t="s">
        <v>257</v>
      </c>
    </row>
    <row r="13811" spans="8:18" x14ac:dyDescent="0.2">
      <c r="H13811" s="180"/>
      <c r="P13811" s="180" t="s">
        <v>257</v>
      </c>
      <c r="R13811" s="180" t="s">
        <v>257</v>
      </c>
    </row>
    <row r="13812" spans="8:18" x14ac:dyDescent="0.2">
      <c r="H13812" s="180"/>
      <c r="P13812" s="180" t="s">
        <v>257</v>
      </c>
      <c r="R13812" s="180" t="s">
        <v>257</v>
      </c>
    </row>
    <row r="13813" spans="8:18" x14ac:dyDescent="0.2">
      <c r="H13813" s="180"/>
      <c r="P13813" s="180" t="s">
        <v>257</v>
      </c>
      <c r="R13813" s="180" t="s">
        <v>257</v>
      </c>
    </row>
    <row r="13814" spans="8:18" x14ac:dyDescent="0.2">
      <c r="H13814" s="180"/>
      <c r="P13814" s="180" t="s">
        <v>257</v>
      </c>
      <c r="R13814" s="180" t="s">
        <v>257</v>
      </c>
    </row>
    <row r="13815" spans="8:18" x14ac:dyDescent="0.2">
      <c r="H13815" s="180"/>
      <c r="P13815" s="180" t="s">
        <v>257</v>
      </c>
      <c r="R13815" s="180" t="s">
        <v>257</v>
      </c>
    </row>
    <row r="13816" spans="8:18" x14ac:dyDescent="0.2">
      <c r="H13816" s="180"/>
      <c r="P13816" s="180" t="s">
        <v>257</v>
      </c>
      <c r="R13816" s="180" t="s">
        <v>257</v>
      </c>
    </row>
    <row r="13817" spans="8:18" x14ac:dyDescent="0.2">
      <c r="H13817" s="180"/>
      <c r="P13817" s="180" t="s">
        <v>257</v>
      </c>
      <c r="R13817" s="180" t="s">
        <v>257</v>
      </c>
    </row>
    <row r="13818" spans="8:18" x14ac:dyDescent="0.2">
      <c r="H13818" s="180"/>
      <c r="P13818" s="180" t="s">
        <v>257</v>
      </c>
      <c r="R13818" s="180" t="s">
        <v>257</v>
      </c>
    </row>
    <row r="13819" spans="8:18" x14ac:dyDescent="0.2">
      <c r="H13819" s="180"/>
      <c r="P13819" s="180" t="s">
        <v>257</v>
      </c>
      <c r="R13819" s="180" t="s">
        <v>257</v>
      </c>
    </row>
    <row r="13820" spans="8:18" x14ac:dyDescent="0.2">
      <c r="H13820" s="180"/>
      <c r="P13820" s="180" t="s">
        <v>257</v>
      </c>
      <c r="R13820" s="180" t="s">
        <v>257</v>
      </c>
    </row>
    <row r="13821" spans="8:18" x14ac:dyDescent="0.2">
      <c r="H13821" s="180"/>
      <c r="P13821" s="180" t="s">
        <v>257</v>
      </c>
      <c r="R13821" s="180" t="s">
        <v>257</v>
      </c>
    </row>
    <row r="13822" spans="8:18" x14ac:dyDescent="0.2">
      <c r="H13822" s="180"/>
      <c r="P13822" s="180" t="s">
        <v>257</v>
      </c>
      <c r="R13822" s="180" t="s">
        <v>257</v>
      </c>
    </row>
    <row r="13823" spans="8:18" x14ac:dyDescent="0.2">
      <c r="H13823" s="180"/>
      <c r="P13823" s="180" t="s">
        <v>257</v>
      </c>
      <c r="R13823" s="180" t="s">
        <v>257</v>
      </c>
    </row>
    <row r="13824" spans="8:18" x14ac:dyDescent="0.2">
      <c r="H13824" s="180"/>
      <c r="P13824" s="180" t="s">
        <v>257</v>
      </c>
      <c r="R13824" s="180" t="s">
        <v>257</v>
      </c>
    </row>
    <row r="13825" spans="8:18" x14ac:dyDescent="0.2">
      <c r="H13825" s="180"/>
      <c r="P13825" s="180" t="s">
        <v>257</v>
      </c>
      <c r="R13825" s="180" t="s">
        <v>257</v>
      </c>
    </row>
    <row r="13826" spans="8:18" x14ac:dyDescent="0.2">
      <c r="H13826" s="180"/>
      <c r="P13826" s="180" t="s">
        <v>257</v>
      </c>
      <c r="R13826" s="180" t="s">
        <v>257</v>
      </c>
    </row>
    <row r="13827" spans="8:18" x14ac:dyDescent="0.2">
      <c r="H13827" s="180"/>
      <c r="P13827" s="180" t="s">
        <v>257</v>
      </c>
      <c r="R13827" s="180" t="s">
        <v>257</v>
      </c>
    </row>
    <row r="13828" spans="8:18" x14ac:dyDescent="0.2">
      <c r="H13828" s="180"/>
      <c r="P13828" s="180" t="s">
        <v>257</v>
      </c>
      <c r="R13828" s="180" t="s">
        <v>257</v>
      </c>
    </row>
    <row r="13829" spans="8:18" x14ac:dyDescent="0.2">
      <c r="H13829" s="180"/>
      <c r="P13829" s="180" t="s">
        <v>257</v>
      </c>
      <c r="R13829" s="180" t="s">
        <v>257</v>
      </c>
    </row>
    <row r="13830" spans="8:18" x14ac:dyDescent="0.2">
      <c r="H13830" s="180"/>
      <c r="P13830" s="180" t="s">
        <v>257</v>
      </c>
      <c r="R13830" s="180" t="s">
        <v>257</v>
      </c>
    </row>
    <row r="13831" spans="8:18" x14ac:dyDescent="0.2">
      <c r="H13831" s="180"/>
      <c r="P13831" s="180" t="s">
        <v>257</v>
      </c>
      <c r="R13831" s="180" t="s">
        <v>257</v>
      </c>
    </row>
    <row r="13832" spans="8:18" x14ac:dyDescent="0.2">
      <c r="H13832" s="180"/>
      <c r="P13832" s="180" t="s">
        <v>257</v>
      </c>
      <c r="R13832" s="180" t="s">
        <v>257</v>
      </c>
    </row>
    <row r="13833" spans="8:18" x14ac:dyDescent="0.2">
      <c r="H13833" s="180"/>
      <c r="P13833" s="180" t="s">
        <v>257</v>
      </c>
      <c r="R13833" s="180" t="s">
        <v>257</v>
      </c>
    </row>
    <row r="13834" spans="8:18" x14ac:dyDescent="0.2">
      <c r="H13834" s="180"/>
      <c r="P13834" s="180" t="s">
        <v>257</v>
      </c>
      <c r="R13834" s="180" t="s">
        <v>257</v>
      </c>
    </row>
    <row r="13835" spans="8:18" x14ac:dyDescent="0.2">
      <c r="H13835" s="180"/>
      <c r="P13835" s="180" t="s">
        <v>257</v>
      </c>
      <c r="R13835" s="180" t="s">
        <v>257</v>
      </c>
    </row>
    <row r="13836" spans="8:18" x14ac:dyDescent="0.2">
      <c r="H13836" s="180"/>
      <c r="P13836" s="180" t="s">
        <v>257</v>
      </c>
      <c r="R13836" s="180" t="s">
        <v>257</v>
      </c>
    </row>
    <row r="13837" spans="8:18" x14ac:dyDescent="0.2">
      <c r="H13837" s="180"/>
      <c r="P13837" s="180" t="s">
        <v>257</v>
      </c>
      <c r="R13837" s="180" t="s">
        <v>257</v>
      </c>
    </row>
    <row r="13838" spans="8:18" x14ac:dyDescent="0.2">
      <c r="H13838" s="180"/>
      <c r="P13838" s="180" t="s">
        <v>257</v>
      </c>
      <c r="R13838" s="180" t="s">
        <v>257</v>
      </c>
    </row>
    <row r="13839" spans="8:18" x14ac:dyDescent="0.2">
      <c r="H13839" s="180"/>
      <c r="P13839" s="180" t="s">
        <v>257</v>
      </c>
      <c r="R13839" s="180" t="s">
        <v>257</v>
      </c>
    </row>
    <row r="13840" spans="8:18" x14ac:dyDescent="0.2">
      <c r="H13840" s="180"/>
      <c r="P13840" s="180" t="s">
        <v>257</v>
      </c>
      <c r="R13840" s="180" t="s">
        <v>257</v>
      </c>
    </row>
    <row r="13841" spans="8:18" x14ac:dyDescent="0.2">
      <c r="H13841" s="180"/>
      <c r="P13841" s="180" t="s">
        <v>257</v>
      </c>
      <c r="R13841" s="180" t="s">
        <v>257</v>
      </c>
    </row>
    <row r="13842" spans="8:18" x14ac:dyDescent="0.2">
      <c r="H13842" s="180"/>
      <c r="P13842" s="180" t="s">
        <v>257</v>
      </c>
      <c r="R13842" s="180" t="s">
        <v>257</v>
      </c>
    </row>
    <row r="13843" spans="8:18" x14ac:dyDescent="0.2">
      <c r="H13843" s="180"/>
      <c r="P13843" s="180" t="s">
        <v>257</v>
      </c>
      <c r="R13843" s="180" t="s">
        <v>257</v>
      </c>
    </row>
    <row r="13844" spans="8:18" x14ac:dyDescent="0.2">
      <c r="H13844" s="180"/>
      <c r="P13844" s="180" t="s">
        <v>257</v>
      </c>
      <c r="R13844" s="180" t="s">
        <v>257</v>
      </c>
    </row>
    <row r="13845" spans="8:18" x14ac:dyDescent="0.2">
      <c r="H13845" s="180"/>
      <c r="P13845" s="180" t="s">
        <v>257</v>
      </c>
      <c r="R13845" s="180" t="s">
        <v>257</v>
      </c>
    </row>
    <row r="13846" spans="8:18" x14ac:dyDescent="0.2">
      <c r="H13846" s="180"/>
      <c r="P13846" s="180" t="s">
        <v>257</v>
      </c>
      <c r="R13846" s="180" t="s">
        <v>257</v>
      </c>
    </row>
    <row r="13847" spans="8:18" x14ac:dyDescent="0.2">
      <c r="H13847" s="180"/>
      <c r="P13847" s="180" t="s">
        <v>257</v>
      </c>
      <c r="R13847" s="180" t="s">
        <v>257</v>
      </c>
    </row>
    <row r="13848" spans="8:18" x14ac:dyDescent="0.2">
      <c r="H13848" s="180"/>
      <c r="P13848" s="180" t="s">
        <v>257</v>
      </c>
      <c r="R13848" s="180" t="s">
        <v>257</v>
      </c>
    </row>
    <row r="13849" spans="8:18" x14ac:dyDescent="0.2">
      <c r="H13849" s="180"/>
      <c r="P13849" s="180" t="s">
        <v>257</v>
      </c>
      <c r="R13849" s="180" t="s">
        <v>257</v>
      </c>
    </row>
    <row r="13850" spans="8:18" x14ac:dyDescent="0.2">
      <c r="H13850" s="180"/>
      <c r="P13850" s="180" t="s">
        <v>257</v>
      </c>
      <c r="R13850" s="180" t="s">
        <v>257</v>
      </c>
    </row>
    <row r="13851" spans="8:18" x14ac:dyDescent="0.2">
      <c r="H13851" s="180"/>
      <c r="P13851" s="180" t="s">
        <v>257</v>
      </c>
      <c r="R13851" s="180" t="s">
        <v>257</v>
      </c>
    </row>
    <row r="13852" spans="8:18" x14ac:dyDescent="0.2">
      <c r="H13852" s="180"/>
      <c r="P13852" s="180" t="s">
        <v>257</v>
      </c>
      <c r="R13852" s="180" t="s">
        <v>257</v>
      </c>
    </row>
    <row r="13853" spans="8:18" x14ac:dyDescent="0.2">
      <c r="H13853" s="180"/>
      <c r="P13853" s="180" t="s">
        <v>257</v>
      </c>
      <c r="R13853" s="180" t="s">
        <v>257</v>
      </c>
    </row>
    <row r="13854" spans="8:18" x14ac:dyDescent="0.2">
      <c r="H13854" s="180"/>
      <c r="P13854" s="180" t="s">
        <v>257</v>
      </c>
      <c r="R13854" s="180" t="s">
        <v>257</v>
      </c>
    </row>
    <row r="13855" spans="8:18" x14ac:dyDescent="0.2">
      <c r="H13855" s="180"/>
      <c r="P13855" s="180" t="s">
        <v>257</v>
      </c>
      <c r="R13855" s="180" t="s">
        <v>257</v>
      </c>
    </row>
    <row r="13856" spans="8:18" x14ac:dyDescent="0.2">
      <c r="H13856" s="180"/>
      <c r="P13856" s="180" t="s">
        <v>257</v>
      </c>
      <c r="R13856" s="180" t="s">
        <v>257</v>
      </c>
    </row>
    <row r="13857" spans="8:18" x14ac:dyDescent="0.2">
      <c r="H13857" s="180"/>
      <c r="P13857" s="180" t="s">
        <v>257</v>
      </c>
      <c r="R13857" s="180" t="s">
        <v>257</v>
      </c>
    </row>
    <row r="13858" spans="8:18" x14ac:dyDescent="0.2">
      <c r="H13858" s="180"/>
      <c r="P13858" s="180" t="s">
        <v>257</v>
      </c>
      <c r="R13858" s="180" t="s">
        <v>257</v>
      </c>
    </row>
    <row r="13859" spans="8:18" x14ac:dyDescent="0.2">
      <c r="H13859" s="180"/>
      <c r="P13859" s="180" t="s">
        <v>257</v>
      </c>
      <c r="R13859" s="180" t="s">
        <v>257</v>
      </c>
    </row>
    <row r="13860" spans="8:18" x14ac:dyDescent="0.2">
      <c r="H13860" s="180"/>
      <c r="P13860" s="180" t="s">
        <v>257</v>
      </c>
      <c r="R13860" s="180" t="s">
        <v>257</v>
      </c>
    </row>
    <row r="13861" spans="8:18" x14ac:dyDescent="0.2">
      <c r="H13861" s="180"/>
      <c r="P13861" s="180" t="s">
        <v>257</v>
      </c>
      <c r="R13861" s="180" t="s">
        <v>257</v>
      </c>
    </row>
    <row r="13862" spans="8:18" x14ac:dyDescent="0.2">
      <c r="H13862" s="180"/>
      <c r="P13862" s="180" t="s">
        <v>257</v>
      </c>
      <c r="R13862" s="180" t="s">
        <v>257</v>
      </c>
    </row>
    <row r="13863" spans="8:18" x14ac:dyDescent="0.2">
      <c r="H13863" s="180"/>
      <c r="P13863" s="180" t="s">
        <v>257</v>
      </c>
      <c r="R13863" s="180" t="s">
        <v>257</v>
      </c>
    </row>
    <row r="13864" spans="8:18" x14ac:dyDescent="0.2">
      <c r="H13864" s="180"/>
      <c r="P13864" s="180" t="s">
        <v>257</v>
      </c>
      <c r="R13864" s="180" t="s">
        <v>257</v>
      </c>
    </row>
    <row r="13865" spans="8:18" x14ac:dyDescent="0.2">
      <c r="H13865" s="180"/>
      <c r="P13865" s="180" t="s">
        <v>257</v>
      </c>
      <c r="R13865" s="180" t="s">
        <v>257</v>
      </c>
    </row>
    <row r="13866" spans="8:18" x14ac:dyDescent="0.2">
      <c r="H13866" s="180"/>
      <c r="P13866" s="180" t="s">
        <v>257</v>
      </c>
      <c r="R13866" s="180" t="s">
        <v>257</v>
      </c>
    </row>
    <row r="13867" spans="8:18" x14ac:dyDescent="0.2">
      <c r="H13867" s="180"/>
      <c r="P13867" s="180" t="s">
        <v>257</v>
      </c>
      <c r="R13867" s="180" t="s">
        <v>257</v>
      </c>
    </row>
    <row r="13868" spans="8:18" x14ac:dyDescent="0.2">
      <c r="H13868" s="180"/>
      <c r="P13868" s="180" t="s">
        <v>257</v>
      </c>
      <c r="R13868" s="180" t="s">
        <v>257</v>
      </c>
    </row>
    <row r="13869" spans="8:18" x14ac:dyDescent="0.2">
      <c r="H13869" s="180"/>
      <c r="P13869" s="180" t="s">
        <v>257</v>
      </c>
      <c r="R13869" s="180" t="s">
        <v>257</v>
      </c>
    </row>
    <row r="13870" spans="8:18" x14ac:dyDescent="0.2">
      <c r="H13870" s="180"/>
      <c r="P13870" s="180" t="s">
        <v>257</v>
      </c>
      <c r="R13870" s="180" t="s">
        <v>257</v>
      </c>
    </row>
    <row r="13871" spans="8:18" x14ac:dyDescent="0.2">
      <c r="H13871" s="180"/>
      <c r="P13871" s="180" t="s">
        <v>257</v>
      </c>
      <c r="R13871" s="180" t="s">
        <v>257</v>
      </c>
    </row>
    <row r="13872" spans="8:18" x14ac:dyDescent="0.2">
      <c r="H13872" s="180"/>
      <c r="P13872" s="180" t="s">
        <v>257</v>
      </c>
      <c r="R13872" s="180" t="s">
        <v>257</v>
      </c>
    </row>
    <row r="13873" spans="8:18" x14ac:dyDescent="0.2">
      <c r="H13873" s="180"/>
      <c r="P13873" s="180" t="s">
        <v>257</v>
      </c>
      <c r="R13873" s="180" t="s">
        <v>257</v>
      </c>
    </row>
    <row r="13874" spans="8:18" x14ac:dyDescent="0.2">
      <c r="H13874" s="180"/>
      <c r="P13874" s="180" t="s">
        <v>257</v>
      </c>
      <c r="R13874" s="180" t="s">
        <v>257</v>
      </c>
    </row>
    <row r="13875" spans="8:18" x14ac:dyDescent="0.2">
      <c r="H13875" s="180"/>
      <c r="P13875" s="180" t="s">
        <v>257</v>
      </c>
      <c r="R13875" s="180" t="s">
        <v>257</v>
      </c>
    </row>
    <row r="13876" spans="8:18" x14ac:dyDescent="0.2">
      <c r="H13876" s="180"/>
      <c r="P13876" s="180" t="s">
        <v>257</v>
      </c>
      <c r="R13876" s="180" t="s">
        <v>257</v>
      </c>
    </row>
    <row r="13877" spans="8:18" x14ac:dyDescent="0.2">
      <c r="H13877" s="180"/>
      <c r="P13877" s="180" t="s">
        <v>257</v>
      </c>
      <c r="R13877" s="180" t="s">
        <v>257</v>
      </c>
    </row>
    <row r="13878" spans="8:18" x14ac:dyDescent="0.2">
      <c r="H13878" s="180"/>
      <c r="P13878" s="180" t="s">
        <v>257</v>
      </c>
      <c r="R13878" s="180" t="s">
        <v>257</v>
      </c>
    </row>
    <row r="13879" spans="8:18" x14ac:dyDescent="0.2">
      <c r="H13879" s="180"/>
      <c r="P13879" s="180" t="s">
        <v>257</v>
      </c>
      <c r="R13879" s="180" t="s">
        <v>257</v>
      </c>
    </row>
    <row r="13880" spans="8:18" x14ac:dyDescent="0.2">
      <c r="H13880" s="180"/>
      <c r="P13880" s="180" t="s">
        <v>257</v>
      </c>
      <c r="R13880" s="180" t="s">
        <v>257</v>
      </c>
    </row>
    <row r="13881" spans="8:18" x14ac:dyDescent="0.2">
      <c r="H13881" s="180"/>
      <c r="P13881" s="180" t="s">
        <v>257</v>
      </c>
      <c r="R13881" s="180" t="s">
        <v>257</v>
      </c>
    </row>
    <row r="13882" spans="8:18" x14ac:dyDescent="0.2">
      <c r="H13882" s="180"/>
      <c r="P13882" s="180" t="s">
        <v>257</v>
      </c>
      <c r="R13882" s="180" t="s">
        <v>257</v>
      </c>
    </row>
    <row r="13883" spans="8:18" x14ac:dyDescent="0.2">
      <c r="H13883" s="180"/>
      <c r="P13883" s="180" t="s">
        <v>257</v>
      </c>
      <c r="R13883" s="180" t="s">
        <v>257</v>
      </c>
    </row>
    <row r="13884" spans="8:18" x14ac:dyDescent="0.2">
      <c r="H13884" s="180"/>
      <c r="P13884" s="180" t="s">
        <v>257</v>
      </c>
      <c r="R13884" s="180" t="s">
        <v>257</v>
      </c>
    </row>
    <row r="13885" spans="8:18" x14ac:dyDescent="0.2">
      <c r="H13885" s="180"/>
      <c r="P13885" s="180" t="s">
        <v>257</v>
      </c>
      <c r="R13885" s="180" t="s">
        <v>257</v>
      </c>
    </row>
    <row r="13886" spans="8:18" x14ac:dyDescent="0.2">
      <c r="H13886" s="180"/>
      <c r="P13886" s="180" t="s">
        <v>257</v>
      </c>
      <c r="R13886" s="180" t="s">
        <v>257</v>
      </c>
    </row>
    <row r="13887" spans="8:18" x14ac:dyDescent="0.2">
      <c r="H13887" s="180"/>
      <c r="P13887" s="180" t="s">
        <v>257</v>
      </c>
      <c r="R13887" s="180" t="s">
        <v>257</v>
      </c>
    </row>
    <row r="13888" spans="8:18" x14ac:dyDescent="0.2">
      <c r="H13888" s="180"/>
      <c r="P13888" s="180" t="s">
        <v>257</v>
      </c>
      <c r="R13888" s="180" t="s">
        <v>257</v>
      </c>
    </row>
    <row r="13889" spans="8:18" x14ac:dyDescent="0.2">
      <c r="H13889" s="180"/>
      <c r="P13889" s="180" t="s">
        <v>257</v>
      </c>
      <c r="R13889" s="180" t="s">
        <v>257</v>
      </c>
    </row>
    <row r="13890" spans="8:18" x14ac:dyDescent="0.2">
      <c r="H13890" s="180"/>
      <c r="P13890" s="180" t="s">
        <v>257</v>
      </c>
      <c r="R13890" s="180" t="s">
        <v>257</v>
      </c>
    </row>
    <row r="13891" spans="8:18" x14ac:dyDescent="0.2">
      <c r="H13891" s="180"/>
      <c r="P13891" s="180" t="s">
        <v>257</v>
      </c>
      <c r="R13891" s="180" t="s">
        <v>257</v>
      </c>
    </row>
    <row r="13892" spans="8:18" x14ac:dyDescent="0.2">
      <c r="H13892" s="180"/>
      <c r="P13892" s="180" t="s">
        <v>257</v>
      </c>
      <c r="R13892" s="180" t="s">
        <v>257</v>
      </c>
    </row>
    <row r="13893" spans="8:18" x14ac:dyDescent="0.2">
      <c r="H13893" s="180"/>
      <c r="P13893" s="180" t="s">
        <v>257</v>
      </c>
      <c r="R13893" s="180" t="s">
        <v>257</v>
      </c>
    </row>
    <row r="13894" spans="8:18" x14ac:dyDescent="0.2">
      <c r="H13894" s="180"/>
      <c r="P13894" s="180" t="s">
        <v>257</v>
      </c>
      <c r="R13894" s="180" t="s">
        <v>257</v>
      </c>
    </row>
    <row r="13895" spans="8:18" x14ac:dyDescent="0.2">
      <c r="H13895" s="180"/>
      <c r="P13895" s="180" t="s">
        <v>257</v>
      </c>
      <c r="R13895" s="180" t="s">
        <v>257</v>
      </c>
    </row>
    <row r="13896" spans="8:18" x14ac:dyDescent="0.2">
      <c r="H13896" s="180"/>
      <c r="P13896" s="180" t="s">
        <v>257</v>
      </c>
      <c r="R13896" s="180" t="s">
        <v>257</v>
      </c>
    </row>
    <row r="13897" spans="8:18" x14ac:dyDescent="0.2">
      <c r="H13897" s="180"/>
      <c r="P13897" s="180" t="s">
        <v>257</v>
      </c>
      <c r="R13897" s="180" t="s">
        <v>257</v>
      </c>
    </row>
    <row r="13898" spans="8:18" x14ac:dyDescent="0.2">
      <c r="H13898" s="180"/>
      <c r="P13898" s="180" t="s">
        <v>257</v>
      </c>
      <c r="R13898" s="180" t="s">
        <v>257</v>
      </c>
    </row>
    <row r="13899" spans="8:18" x14ac:dyDescent="0.2">
      <c r="H13899" s="180"/>
      <c r="P13899" s="180" t="s">
        <v>257</v>
      </c>
      <c r="R13899" s="180" t="s">
        <v>257</v>
      </c>
    </row>
    <row r="13900" spans="8:18" x14ac:dyDescent="0.2">
      <c r="H13900" s="180"/>
      <c r="P13900" s="180" t="s">
        <v>257</v>
      </c>
      <c r="R13900" s="180" t="s">
        <v>257</v>
      </c>
    </row>
    <row r="13901" spans="8:18" x14ac:dyDescent="0.2">
      <c r="H13901" s="180"/>
      <c r="P13901" s="180" t="s">
        <v>257</v>
      </c>
      <c r="R13901" s="180" t="s">
        <v>257</v>
      </c>
    </row>
    <row r="13902" spans="8:18" x14ac:dyDescent="0.2">
      <c r="H13902" s="180"/>
      <c r="P13902" s="180" t="s">
        <v>257</v>
      </c>
      <c r="R13902" s="180" t="s">
        <v>257</v>
      </c>
    </row>
    <row r="13903" spans="8:18" x14ac:dyDescent="0.2">
      <c r="H13903" s="180"/>
      <c r="P13903" s="180" t="s">
        <v>257</v>
      </c>
      <c r="R13903" s="180" t="s">
        <v>257</v>
      </c>
    </row>
    <row r="13904" spans="8:18" x14ac:dyDescent="0.2">
      <c r="H13904" s="180"/>
      <c r="P13904" s="180" t="s">
        <v>257</v>
      </c>
      <c r="R13904" s="180" t="s">
        <v>257</v>
      </c>
    </row>
    <row r="13905" spans="8:18" x14ac:dyDescent="0.2">
      <c r="H13905" s="180"/>
      <c r="P13905" s="180" t="s">
        <v>257</v>
      </c>
      <c r="R13905" s="180" t="s">
        <v>257</v>
      </c>
    </row>
    <row r="13906" spans="8:18" x14ac:dyDescent="0.2">
      <c r="H13906" s="180"/>
      <c r="P13906" s="180" t="s">
        <v>257</v>
      </c>
      <c r="R13906" s="180" t="s">
        <v>257</v>
      </c>
    </row>
    <row r="13907" spans="8:18" x14ac:dyDescent="0.2">
      <c r="H13907" s="180"/>
      <c r="P13907" s="180" t="s">
        <v>257</v>
      </c>
      <c r="R13907" s="180" t="s">
        <v>257</v>
      </c>
    </row>
    <row r="13908" spans="8:18" x14ac:dyDescent="0.2">
      <c r="H13908" s="180"/>
      <c r="P13908" s="180" t="s">
        <v>257</v>
      </c>
      <c r="R13908" s="180" t="s">
        <v>257</v>
      </c>
    </row>
    <row r="13909" spans="8:18" x14ac:dyDescent="0.2">
      <c r="H13909" s="180"/>
      <c r="P13909" s="180" t="s">
        <v>257</v>
      </c>
      <c r="R13909" s="180" t="s">
        <v>257</v>
      </c>
    </row>
    <row r="13910" spans="8:18" x14ac:dyDescent="0.2">
      <c r="H13910" s="180"/>
      <c r="P13910" s="180" t="s">
        <v>257</v>
      </c>
      <c r="R13910" s="180" t="s">
        <v>257</v>
      </c>
    </row>
    <row r="13911" spans="8:18" x14ac:dyDescent="0.2">
      <c r="H13911" s="180"/>
      <c r="P13911" s="180" t="s">
        <v>257</v>
      </c>
      <c r="R13911" s="180" t="s">
        <v>257</v>
      </c>
    </row>
    <row r="13912" spans="8:18" x14ac:dyDescent="0.2">
      <c r="H13912" s="180"/>
      <c r="P13912" s="180" t="s">
        <v>257</v>
      </c>
      <c r="R13912" s="180" t="s">
        <v>257</v>
      </c>
    </row>
    <row r="13913" spans="8:18" x14ac:dyDescent="0.2">
      <c r="H13913" s="180"/>
      <c r="P13913" s="180" t="s">
        <v>257</v>
      </c>
      <c r="R13913" s="180" t="s">
        <v>257</v>
      </c>
    </row>
    <row r="13914" spans="8:18" x14ac:dyDescent="0.2">
      <c r="H13914" s="180"/>
      <c r="P13914" s="180" t="s">
        <v>257</v>
      </c>
      <c r="R13914" s="180" t="s">
        <v>257</v>
      </c>
    </row>
    <row r="13915" spans="8:18" x14ac:dyDescent="0.2">
      <c r="H13915" s="180"/>
      <c r="P13915" s="180" t="s">
        <v>257</v>
      </c>
      <c r="R13915" s="180" t="s">
        <v>257</v>
      </c>
    </row>
    <row r="13916" spans="8:18" x14ac:dyDescent="0.2">
      <c r="H13916" s="180"/>
      <c r="P13916" s="180" t="s">
        <v>257</v>
      </c>
      <c r="R13916" s="180" t="s">
        <v>257</v>
      </c>
    </row>
    <row r="13917" spans="8:18" x14ac:dyDescent="0.2">
      <c r="H13917" s="180"/>
      <c r="P13917" s="180" t="s">
        <v>257</v>
      </c>
      <c r="R13917" s="180" t="s">
        <v>257</v>
      </c>
    </row>
    <row r="13918" spans="8:18" x14ac:dyDescent="0.2">
      <c r="H13918" s="180"/>
      <c r="P13918" s="180" t="s">
        <v>257</v>
      </c>
      <c r="R13918" s="180" t="s">
        <v>257</v>
      </c>
    </row>
    <row r="13919" spans="8:18" x14ac:dyDescent="0.2">
      <c r="H13919" s="180"/>
      <c r="P13919" s="180" t="s">
        <v>257</v>
      </c>
      <c r="R13919" s="180" t="s">
        <v>257</v>
      </c>
    </row>
    <row r="13920" spans="8:18" x14ac:dyDescent="0.2">
      <c r="H13920" s="180"/>
      <c r="P13920" s="180" t="s">
        <v>257</v>
      </c>
      <c r="R13920" s="180" t="s">
        <v>257</v>
      </c>
    </row>
    <row r="13921" spans="8:18" x14ac:dyDescent="0.2">
      <c r="H13921" s="180"/>
      <c r="P13921" s="180" t="s">
        <v>257</v>
      </c>
      <c r="R13921" s="180" t="s">
        <v>257</v>
      </c>
    </row>
    <row r="13922" spans="8:18" x14ac:dyDescent="0.2">
      <c r="H13922" s="180"/>
      <c r="P13922" s="180" t="s">
        <v>257</v>
      </c>
      <c r="R13922" s="180" t="s">
        <v>257</v>
      </c>
    </row>
    <row r="13923" spans="8:18" x14ac:dyDescent="0.2">
      <c r="H13923" s="180"/>
      <c r="P13923" s="180" t="s">
        <v>257</v>
      </c>
      <c r="R13923" s="180" t="s">
        <v>257</v>
      </c>
    </row>
    <row r="13924" spans="8:18" x14ac:dyDescent="0.2">
      <c r="H13924" s="180"/>
      <c r="P13924" s="180" t="s">
        <v>257</v>
      </c>
      <c r="R13924" s="180" t="s">
        <v>257</v>
      </c>
    </row>
    <row r="13925" spans="8:18" x14ac:dyDescent="0.2">
      <c r="H13925" s="180"/>
      <c r="P13925" s="180" t="s">
        <v>257</v>
      </c>
      <c r="R13925" s="180" t="s">
        <v>257</v>
      </c>
    </row>
    <row r="13926" spans="8:18" x14ac:dyDescent="0.2">
      <c r="H13926" s="180"/>
      <c r="P13926" s="180" t="s">
        <v>257</v>
      </c>
      <c r="R13926" s="180" t="s">
        <v>257</v>
      </c>
    </row>
    <row r="13927" spans="8:18" x14ac:dyDescent="0.2">
      <c r="H13927" s="180"/>
      <c r="P13927" s="180" t="s">
        <v>257</v>
      </c>
      <c r="R13927" s="180" t="s">
        <v>257</v>
      </c>
    </row>
    <row r="13928" spans="8:18" x14ac:dyDescent="0.2">
      <c r="H13928" s="180"/>
      <c r="P13928" s="180" t="s">
        <v>257</v>
      </c>
      <c r="R13928" s="180" t="s">
        <v>257</v>
      </c>
    </row>
    <row r="13929" spans="8:18" x14ac:dyDescent="0.2">
      <c r="H13929" s="180"/>
      <c r="P13929" s="180" t="s">
        <v>257</v>
      </c>
      <c r="R13929" s="180" t="s">
        <v>257</v>
      </c>
    </row>
    <row r="13930" spans="8:18" x14ac:dyDescent="0.2">
      <c r="H13930" s="180"/>
      <c r="P13930" s="180" t="s">
        <v>257</v>
      </c>
      <c r="R13930" s="180" t="s">
        <v>257</v>
      </c>
    </row>
    <row r="13931" spans="8:18" x14ac:dyDescent="0.2">
      <c r="H13931" s="180"/>
      <c r="P13931" s="180" t="s">
        <v>257</v>
      </c>
      <c r="R13931" s="180" t="s">
        <v>257</v>
      </c>
    </row>
    <row r="13932" spans="8:18" x14ac:dyDescent="0.2">
      <c r="H13932" s="180"/>
      <c r="P13932" s="180" t="s">
        <v>257</v>
      </c>
      <c r="R13932" s="180" t="s">
        <v>257</v>
      </c>
    </row>
    <row r="13933" spans="8:18" x14ac:dyDescent="0.2">
      <c r="H13933" s="180"/>
      <c r="P13933" s="180" t="s">
        <v>257</v>
      </c>
      <c r="R13933" s="180" t="s">
        <v>257</v>
      </c>
    </row>
    <row r="13934" spans="8:18" x14ac:dyDescent="0.2">
      <c r="H13934" s="180"/>
      <c r="P13934" s="180" t="s">
        <v>257</v>
      </c>
      <c r="R13934" s="180" t="s">
        <v>257</v>
      </c>
    </row>
    <row r="13935" spans="8:18" x14ac:dyDescent="0.2">
      <c r="H13935" s="180"/>
      <c r="P13935" s="180" t="s">
        <v>257</v>
      </c>
      <c r="R13935" s="180" t="s">
        <v>257</v>
      </c>
    </row>
    <row r="13936" spans="8:18" x14ac:dyDescent="0.2">
      <c r="H13936" s="180"/>
      <c r="P13936" s="180" t="s">
        <v>257</v>
      </c>
      <c r="R13936" s="180" t="s">
        <v>257</v>
      </c>
    </row>
    <row r="13937" spans="8:18" x14ac:dyDescent="0.2">
      <c r="H13937" s="180"/>
      <c r="P13937" s="180" t="s">
        <v>257</v>
      </c>
      <c r="R13937" s="180" t="s">
        <v>257</v>
      </c>
    </row>
    <row r="13938" spans="8:18" x14ac:dyDescent="0.2">
      <c r="H13938" s="180"/>
      <c r="P13938" s="180" t="s">
        <v>257</v>
      </c>
      <c r="R13938" s="180" t="s">
        <v>257</v>
      </c>
    </row>
    <row r="13939" spans="8:18" x14ac:dyDescent="0.2">
      <c r="H13939" s="180"/>
      <c r="P13939" s="180" t="s">
        <v>257</v>
      </c>
      <c r="R13939" s="180" t="s">
        <v>257</v>
      </c>
    </row>
    <row r="13940" spans="8:18" x14ac:dyDescent="0.2">
      <c r="H13940" s="180"/>
      <c r="P13940" s="180" t="s">
        <v>257</v>
      </c>
      <c r="R13940" s="180" t="s">
        <v>257</v>
      </c>
    </row>
    <row r="13941" spans="8:18" x14ac:dyDescent="0.2">
      <c r="H13941" s="180"/>
      <c r="P13941" s="180" t="s">
        <v>257</v>
      </c>
      <c r="R13941" s="180" t="s">
        <v>257</v>
      </c>
    </row>
    <row r="13942" spans="8:18" x14ac:dyDescent="0.2">
      <c r="H13942" s="180"/>
      <c r="P13942" s="180" t="s">
        <v>257</v>
      </c>
      <c r="R13942" s="180" t="s">
        <v>257</v>
      </c>
    </row>
    <row r="13943" spans="8:18" x14ac:dyDescent="0.2">
      <c r="H13943" s="180"/>
      <c r="P13943" s="180" t="s">
        <v>257</v>
      </c>
      <c r="R13943" s="180" t="s">
        <v>257</v>
      </c>
    </row>
    <row r="13944" spans="8:18" x14ac:dyDescent="0.2">
      <c r="H13944" s="180"/>
      <c r="P13944" s="180" t="s">
        <v>257</v>
      </c>
      <c r="R13944" s="180" t="s">
        <v>257</v>
      </c>
    </row>
    <row r="13945" spans="8:18" x14ac:dyDescent="0.2">
      <c r="H13945" s="180"/>
      <c r="P13945" s="180" t="s">
        <v>257</v>
      </c>
      <c r="R13945" s="180" t="s">
        <v>257</v>
      </c>
    </row>
    <row r="13946" spans="8:18" x14ac:dyDescent="0.2">
      <c r="H13946" s="180"/>
      <c r="P13946" s="180" t="s">
        <v>257</v>
      </c>
      <c r="R13946" s="180" t="s">
        <v>257</v>
      </c>
    </row>
    <row r="13947" spans="8:18" x14ac:dyDescent="0.2">
      <c r="H13947" s="180"/>
      <c r="P13947" s="180" t="s">
        <v>257</v>
      </c>
      <c r="R13947" s="180" t="s">
        <v>257</v>
      </c>
    </row>
    <row r="13948" spans="8:18" x14ac:dyDescent="0.2">
      <c r="H13948" s="180"/>
      <c r="P13948" s="180" t="s">
        <v>257</v>
      </c>
      <c r="R13948" s="180" t="s">
        <v>257</v>
      </c>
    </row>
    <row r="13949" spans="8:18" x14ac:dyDescent="0.2">
      <c r="H13949" s="180"/>
      <c r="P13949" s="180" t="s">
        <v>257</v>
      </c>
      <c r="R13949" s="180" t="s">
        <v>257</v>
      </c>
    </row>
    <row r="13950" spans="8:18" x14ac:dyDescent="0.2">
      <c r="H13950" s="180"/>
      <c r="P13950" s="180" t="s">
        <v>257</v>
      </c>
      <c r="R13950" s="180" t="s">
        <v>257</v>
      </c>
    </row>
    <row r="13951" spans="8:18" x14ac:dyDescent="0.2">
      <c r="H13951" s="180"/>
      <c r="P13951" s="180" t="s">
        <v>257</v>
      </c>
      <c r="R13951" s="180" t="s">
        <v>257</v>
      </c>
    </row>
    <row r="13952" spans="8:18" x14ac:dyDescent="0.2">
      <c r="H13952" s="180"/>
      <c r="P13952" s="180" t="s">
        <v>257</v>
      </c>
      <c r="R13952" s="180" t="s">
        <v>257</v>
      </c>
    </row>
    <row r="13953" spans="8:18" x14ac:dyDescent="0.2">
      <c r="H13953" s="180"/>
      <c r="P13953" s="180" t="s">
        <v>257</v>
      </c>
      <c r="R13953" s="180" t="s">
        <v>257</v>
      </c>
    </row>
    <row r="13954" spans="8:18" x14ac:dyDescent="0.2">
      <c r="H13954" s="180"/>
      <c r="P13954" s="180" t="s">
        <v>257</v>
      </c>
      <c r="R13954" s="180" t="s">
        <v>257</v>
      </c>
    </row>
    <row r="13955" spans="8:18" x14ac:dyDescent="0.2">
      <c r="H13955" s="180"/>
      <c r="P13955" s="180" t="s">
        <v>257</v>
      </c>
      <c r="R13955" s="180" t="s">
        <v>257</v>
      </c>
    </row>
    <row r="13956" spans="8:18" x14ac:dyDescent="0.2">
      <c r="H13956" s="180"/>
      <c r="P13956" s="180" t="s">
        <v>257</v>
      </c>
      <c r="R13956" s="180" t="s">
        <v>257</v>
      </c>
    </row>
    <row r="13957" spans="8:18" x14ac:dyDescent="0.2">
      <c r="H13957" s="180"/>
      <c r="P13957" s="180" t="s">
        <v>257</v>
      </c>
      <c r="R13957" s="180" t="s">
        <v>257</v>
      </c>
    </row>
    <row r="13958" spans="8:18" x14ac:dyDescent="0.2">
      <c r="H13958" s="180"/>
      <c r="P13958" s="180" t="s">
        <v>257</v>
      </c>
      <c r="R13958" s="180" t="s">
        <v>257</v>
      </c>
    </row>
    <row r="13959" spans="8:18" x14ac:dyDescent="0.2">
      <c r="H13959" s="180"/>
      <c r="P13959" s="180" t="s">
        <v>257</v>
      </c>
      <c r="R13959" s="180" t="s">
        <v>257</v>
      </c>
    </row>
    <row r="13960" spans="8:18" x14ac:dyDescent="0.2">
      <c r="H13960" s="180"/>
      <c r="P13960" s="180" t="s">
        <v>257</v>
      </c>
      <c r="R13960" s="180" t="s">
        <v>257</v>
      </c>
    </row>
    <row r="13961" spans="8:18" x14ac:dyDescent="0.2">
      <c r="H13961" s="180"/>
      <c r="P13961" s="180" t="s">
        <v>257</v>
      </c>
      <c r="R13961" s="180" t="s">
        <v>257</v>
      </c>
    </row>
    <row r="13962" spans="8:18" x14ac:dyDescent="0.2">
      <c r="H13962" s="180"/>
      <c r="P13962" s="180" t="s">
        <v>257</v>
      </c>
      <c r="R13962" s="180" t="s">
        <v>257</v>
      </c>
    </row>
    <row r="13963" spans="8:18" x14ac:dyDescent="0.2">
      <c r="H13963" s="180"/>
      <c r="P13963" s="180" t="s">
        <v>257</v>
      </c>
      <c r="R13963" s="180" t="s">
        <v>257</v>
      </c>
    </row>
    <row r="13964" spans="8:18" x14ac:dyDescent="0.2">
      <c r="H13964" s="180"/>
      <c r="P13964" s="180" t="s">
        <v>257</v>
      </c>
      <c r="R13964" s="180" t="s">
        <v>257</v>
      </c>
    </row>
    <row r="13965" spans="8:18" x14ac:dyDescent="0.2">
      <c r="H13965" s="180"/>
      <c r="P13965" s="180" t="s">
        <v>257</v>
      </c>
      <c r="R13965" s="180" t="s">
        <v>257</v>
      </c>
    </row>
    <row r="13966" spans="8:18" x14ac:dyDescent="0.2">
      <c r="H13966" s="180"/>
      <c r="P13966" s="180" t="s">
        <v>257</v>
      </c>
      <c r="R13966" s="180" t="s">
        <v>257</v>
      </c>
    </row>
    <row r="13967" spans="8:18" x14ac:dyDescent="0.2">
      <c r="H13967" s="180"/>
      <c r="P13967" s="180" t="s">
        <v>257</v>
      </c>
      <c r="R13967" s="180" t="s">
        <v>257</v>
      </c>
    </row>
    <row r="13968" spans="8:18" x14ac:dyDescent="0.2">
      <c r="H13968" s="180"/>
      <c r="P13968" s="180" t="s">
        <v>257</v>
      </c>
      <c r="R13968" s="180" t="s">
        <v>257</v>
      </c>
    </row>
    <row r="13969" spans="8:18" x14ac:dyDescent="0.2">
      <c r="H13969" s="180"/>
      <c r="P13969" s="180" t="s">
        <v>257</v>
      </c>
      <c r="R13969" s="180" t="s">
        <v>257</v>
      </c>
    </row>
    <row r="13970" spans="8:18" x14ac:dyDescent="0.2">
      <c r="H13970" s="180"/>
      <c r="P13970" s="180" t="s">
        <v>257</v>
      </c>
      <c r="R13970" s="180" t="s">
        <v>257</v>
      </c>
    </row>
    <row r="13971" spans="8:18" x14ac:dyDescent="0.2">
      <c r="H13971" s="180"/>
      <c r="P13971" s="180" t="s">
        <v>257</v>
      </c>
      <c r="R13971" s="180" t="s">
        <v>257</v>
      </c>
    </row>
    <row r="13972" spans="8:18" x14ac:dyDescent="0.2">
      <c r="H13972" s="180"/>
      <c r="P13972" s="180" t="s">
        <v>257</v>
      </c>
      <c r="R13972" s="180" t="s">
        <v>257</v>
      </c>
    </row>
    <row r="13973" spans="8:18" x14ac:dyDescent="0.2">
      <c r="H13973" s="180"/>
      <c r="P13973" s="180" t="s">
        <v>257</v>
      </c>
      <c r="R13973" s="180" t="s">
        <v>257</v>
      </c>
    </row>
    <row r="13974" spans="8:18" x14ac:dyDescent="0.2">
      <c r="H13974" s="180"/>
      <c r="P13974" s="180" t="s">
        <v>257</v>
      </c>
      <c r="R13974" s="180" t="s">
        <v>257</v>
      </c>
    </row>
    <row r="13975" spans="8:18" x14ac:dyDescent="0.2">
      <c r="H13975" s="180"/>
      <c r="P13975" s="180" t="s">
        <v>257</v>
      </c>
      <c r="R13975" s="180" t="s">
        <v>257</v>
      </c>
    </row>
    <row r="13976" spans="8:18" x14ac:dyDescent="0.2">
      <c r="H13976" s="180"/>
      <c r="P13976" s="180" t="s">
        <v>257</v>
      </c>
      <c r="R13976" s="180" t="s">
        <v>257</v>
      </c>
    </row>
    <row r="13977" spans="8:18" x14ac:dyDescent="0.2">
      <c r="H13977" s="180"/>
      <c r="P13977" s="180" t="s">
        <v>257</v>
      </c>
      <c r="R13977" s="180" t="s">
        <v>257</v>
      </c>
    </row>
    <row r="13978" spans="8:18" x14ac:dyDescent="0.2">
      <c r="H13978" s="180"/>
      <c r="P13978" s="180" t="s">
        <v>257</v>
      </c>
      <c r="R13978" s="180" t="s">
        <v>257</v>
      </c>
    </row>
    <row r="13979" spans="8:18" x14ac:dyDescent="0.2">
      <c r="H13979" s="180"/>
      <c r="P13979" s="180" t="s">
        <v>257</v>
      </c>
      <c r="R13979" s="180" t="s">
        <v>257</v>
      </c>
    </row>
    <row r="13980" spans="8:18" x14ac:dyDescent="0.2">
      <c r="H13980" s="180"/>
      <c r="P13980" s="180" t="s">
        <v>257</v>
      </c>
      <c r="R13980" s="180" t="s">
        <v>257</v>
      </c>
    </row>
    <row r="13981" spans="8:18" x14ac:dyDescent="0.2">
      <c r="H13981" s="180"/>
      <c r="P13981" s="180" t="s">
        <v>257</v>
      </c>
      <c r="R13981" s="180" t="s">
        <v>257</v>
      </c>
    </row>
    <row r="13982" spans="8:18" x14ac:dyDescent="0.2">
      <c r="H13982" s="180"/>
      <c r="P13982" s="180" t="s">
        <v>257</v>
      </c>
      <c r="R13982" s="180" t="s">
        <v>257</v>
      </c>
    </row>
    <row r="13983" spans="8:18" x14ac:dyDescent="0.2">
      <c r="H13983" s="180"/>
      <c r="P13983" s="180" t="s">
        <v>257</v>
      </c>
      <c r="R13983" s="180" t="s">
        <v>257</v>
      </c>
    </row>
    <row r="13984" spans="8:18" x14ac:dyDescent="0.2">
      <c r="H13984" s="180"/>
      <c r="P13984" s="180" t="s">
        <v>257</v>
      </c>
      <c r="R13984" s="180" t="s">
        <v>257</v>
      </c>
    </row>
    <row r="13985" spans="8:18" x14ac:dyDescent="0.2">
      <c r="H13985" s="180"/>
      <c r="P13985" s="180" t="s">
        <v>257</v>
      </c>
      <c r="R13985" s="180" t="s">
        <v>257</v>
      </c>
    </row>
    <row r="13986" spans="8:18" x14ac:dyDescent="0.2">
      <c r="H13986" s="180"/>
      <c r="P13986" s="180" t="s">
        <v>257</v>
      </c>
      <c r="R13986" s="180" t="s">
        <v>257</v>
      </c>
    </row>
    <row r="13987" spans="8:18" x14ac:dyDescent="0.2">
      <c r="H13987" s="180"/>
      <c r="P13987" s="180" t="s">
        <v>257</v>
      </c>
      <c r="R13987" s="180" t="s">
        <v>257</v>
      </c>
    </row>
    <row r="13988" spans="8:18" x14ac:dyDescent="0.2">
      <c r="H13988" s="180"/>
      <c r="P13988" s="180" t="s">
        <v>257</v>
      </c>
      <c r="R13988" s="180" t="s">
        <v>257</v>
      </c>
    </row>
    <row r="13989" spans="8:18" x14ac:dyDescent="0.2">
      <c r="H13989" s="180"/>
      <c r="P13989" s="180" t="s">
        <v>257</v>
      </c>
      <c r="R13989" s="180" t="s">
        <v>257</v>
      </c>
    </row>
    <row r="13990" spans="8:18" x14ac:dyDescent="0.2">
      <c r="H13990" s="180"/>
      <c r="P13990" s="180" t="s">
        <v>257</v>
      </c>
      <c r="R13990" s="180" t="s">
        <v>257</v>
      </c>
    </row>
    <row r="13991" spans="8:18" x14ac:dyDescent="0.2">
      <c r="H13991" s="180"/>
      <c r="P13991" s="180" t="s">
        <v>257</v>
      </c>
      <c r="R13991" s="180" t="s">
        <v>257</v>
      </c>
    </row>
    <row r="13992" spans="8:18" x14ac:dyDescent="0.2">
      <c r="H13992" s="180"/>
      <c r="P13992" s="180" t="s">
        <v>257</v>
      </c>
      <c r="R13992" s="180" t="s">
        <v>257</v>
      </c>
    </row>
    <row r="13993" spans="8:18" x14ac:dyDescent="0.2">
      <c r="H13993" s="180"/>
      <c r="P13993" s="180" t="s">
        <v>257</v>
      </c>
      <c r="R13993" s="180" t="s">
        <v>257</v>
      </c>
    </row>
    <row r="13994" spans="8:18" x14ac:dyDescent="0.2">
      <c r="H13994" s="180"/>
      <c r="P13994" s="180" t="s">
        <v>257</v>
      </c>
      <c r="R13994" s="180" t="s">
        <v>257</v>
      </c>
    </row>
    <row r="13995" spans="8:18" x14ac:dyDescent="0.2">
      <c r="H13995" s="180"/>
      <c r="P13995" s="180" t="s">
        <v>257</v>
      </c>
      <c r="R13995" s="180" t="s">
        <v>257</v>
      </c>
    </row>
    <row r="13996" spans="8:18" x14ac:dyDescent="0.2">
      <c r="H13996" s="180"/>
      <c r="P13996" s="180" t="s">
        <v>257</v>
      </c>
      <c r="R13996" s="180" t="s">
        <v>257</v>
      </c>
    </row>
    <row r="13997" spans="8:18" x14ac:dyDescent="0.2">
      <c r="H13997" s="180"/>
      <c r="P13997" s="180" t="s">
        <v>257</v>
      </c>
      <c r="R13997" s="180" t="s">
        <v>257</v>
      </c>
    </row>
    <row r="13998" spans="8:18" x14ac:dyDescent="0.2">
      <c r="H13998" s="180"/>
      <c r="P13998" s="180" t="s">
        <v>257</v>
      </c>
      <c r="R13998" s="180" t="s">
        <v>257</v>
      </c>
    </row>
    <row r="13999" spans="8:18" x14ac:dyDescent="0.2">
      <c r="H13999" s="180"/>
      <c r="P13999" s="180" t="s">
        <v>257</v>
      </c>
      <c r="R13999" s="180" t="s">
        <v>257</v>
      </c>
    </row>
    <row r="14000" spans="8:18" x14ac:dyDescent="0.2">
      <c r="H14000" s="180"/>
      <c r="P14000" s="180" t="s">
        <v>257</v>
      </c>
      <c r="R14000" s="180" t="s">
        <v>257</v>
      </c>
    </row>
    <row r="14001" spans="8:18" x14ac:dyDescent="0.2">
      <c r="H14001" s="180"/>
      <c r="P14001" s="180" t="s">
        <v>257</v>
      </c>
      <c r="R14001" s="180" t="s">
        <v>257</v>
      </c>
    </row>
    <row r="14002" spans="8:18" x14ac:dyDescent="0.2">
      <c r="H14002" s="180"/>
      <c r="P14002" s="180" t="s">
        <v>257</v>
      </c>
      <c r="R14002" s="180" t="s">
        <v>257</v>
      </c>
    </row>
    <row r="14003" spans="8:18" x14ac:dyDescent="0.2">
      <c r="H14003" s="180"/>
      <c r="P14003" s="180" t="s">
        <v>257</v>
      </c>
      <c r="R14003" s="180" t="s">
        <v>257</v>
      </c>
    </row>
    <row r="14004" spans="8:18" x14ac:dyDescent="0.2">
      <c r="H14004" s="180"/>
      <c r="P14004" s="180" t="s">
        <v>257</v>
      </c>
      <c r="R14004" s="180" t="s">
        <v>257</v>
      </c>
    </row>
    <row r="14005" spans="8:18" x14ac:dyDescent="0.2">
      <c r="H14005" s="180"/>
      <c r="P14005" s="180" t="s">
        <v>257</v>
      </c>
      <c r="R14005" s="180" t="s">
        <v>257</v>
      </c>
    </row>
    <row r="14006" spans="8:18" x14ac:dyDescent="0.2">
      <c r="H14006" s="180"/>
      <c r="P14006" s="180" t="s">
        <v>257</v>
      </c>
      <c r="R14006" s="180" t="s">
        <v>257</v>
      </c>
    </row>
    <row r="14007" spans="8:18" x14ac:dyDescent="0.2">
      <c r="H14007" s="180"/>
      <c r="P14007" s="180" t="s">
        <v>257</v>
      </c>
      <c r="R14007" s="180" t="s">
        <v>257</v>
      </c>
    </row>
    <row r="14008" spans="8:18" x14ac:dyDescent="0.2">
      <c r="H14008" s="180"/>
      <c r="P14008" s="180" t="s">
        <v>257</v>
      </c>
      <c r="R14008" s="180" t="s">
        <v>257</v>
      </c>
    </row>
    <row r="14009" spans="8:18" x14ac:dyDescent="0.2">
      <c r="H14009" s="180"/>
      <c r="P14009" s="180" t="s">
        <v>257</v>
      </c>
      <c r="R14009" s="180" t="s">
        <v>257</v>
      </c>
    </row>
    <row r="14010" spans="8:18" x14ac:dyDescent="0.2">
      <c r="H14010" s="180"/>
      <c r="P14010" s="180" t="s">
        <v>257</v>
      </c>
      <c r="R14010" s="180" t="s">
        <v>257</v>
      </c>
    </row>
    <row r="14011" spans="8:18" x14ac:dyDescent="0.2">
      <c r="H14011" s="180"/>
      <c r="P14011" s="180" t="s">
        <v>257</v>
      </c>
      <c r="R14011" s="180" t="s">
        <v>257</v>
      </c>
    </row>
    <row r="14012" spans="8:18" x14ac:dyDescent="0.2">
      <c r="H14012" s="180"/>
      <c r="P14012" s="180" t="s">
        <v>257</v>
      </c>
      <c r="R14012" s="180" t="s">
        <v>257</v>
      </c>
    </row>
    <row r="14013" spans="8:18" x14ac:dyDescent="0.2">
      <c r="H14013" s="180"/>
      <c r="P14013" s="180" t="s">
        <v>257</v>
      </c>
      <c r="R14013" s="180" t="s">
        <v>257</v>
      </c>
    </row>
    <row r="14014" spans="8:18" x14ac:dyDescent="0.2">
      <c r="H14014" s="180"/>
      <c r="P14014" s="180" t="s">
        <v>257</v>
      </c>
      <c r="R14014" s="180" t="s">
        <v>257</v>
      </c>
    </row>
    <row r="14015" spans="8:18" x14ac:dyDescent="0.2">
      <c r="H14015" s="180"/>
      <c r="P14015" s="180" t="s">
        <v>257</v>
      </c>
      <c r="R14015" s="180" t="s">
        <v>257</v>
      </c>
    </row>
    <row r="14016" spans="8:18" x14ac:dyDescent="0.2">
      <c r="H14016" s="180"/>
      <c r="P14016" s="180" t="s">
        <v>257</v>
      </c>
      <c r="R14016" s="180" t="s">
        <v>257</v>
      </c>
    </row>
    <row r="14017" spans="8:18" x14ac:dyDescent="0.2">
      <c r="H14017" s="180"/>
      <c r="P14017" s="180" t="s">
        <v>257</v>
      </c>
      <c r="R14017" s="180" t="s">
        <v>257</v>
      </c>
    </row>
    <row r="14018" spans="8:18" x14ac:dyDescent="0.2">
      <c r="H14018" s="180"/>
      <c r="P14018" s="180" t="s">
        <v>257</v>
      </c>
      <c r="R14018" s="180" t="s">
        <v>257</v>
      </c>
    </row>
    <row r="14019" spans="8:18" x14ac:dyDescent="0.2">
      <c r="H14019" s="180"/>
      <c r="P14019" s="180" t="s">
        <v>257</v>
      </c>
      <c r="R14019" s="180" t="s">
        <v>257</v>
      </c>
    </row>
    <row r="14020" spans="8:18" x14ac:dyDescent="0.2">
      <c r="H14020" s="180"/>
      <c r="P14020" s="180" t="s">
        <v>257</v>
      </c>
      <c r="R14020" s="180" t="s">
        <v>257</v>
      </c>
    </row>
    <row r="14021" spans="8:18" x14ac:dyDescent="0.2">
      <c r="H14021" s="180"/>
      <c r="P14021" s="180" t="s">
        <v>257</v>
      </c>
      <c r="R14021" s="180" t="s">
        <v>257</v>
      </c>
    </row>
    <row r="14022" spans="8:18" x14ac:dyDescent="0.2">
      <c r="H14022" s="180"/>
      <c r="P14022" s="180" t="s">
        <v>257</v>
      </c>
      <c r="R14022" s="180" t="s">
        <v>257</v>
      </c>
    </row>
    <row r="14023" spans="8:18" x14ac:dyDescent="0.2">
      <c r="H14023" s="180"/>
      <c r="P14023" s="180" t="s">
        <v>257</v>
      </c>
      <c r="R14023" s="180" t="s">
        <v>257</v>
      </c>
    </row>
    <row r="14024" spans="8:18" x14ac:dyDescent="0.2">
      <c r="H14024" s="180"/>
      <c r="P14024" s="180" t="s">
        <v>257</v>
      </c>
      <c r="R14024" s="180" t="s">
        <v>257</v>
      </c>
    </row>
    <row r="14025" spans="8:18" x14ac:dyDescent="0.2">
      <c r="H14025" s="180"/>
      <c r="P14025" s="180" t="s">
        <v>257</v>
      </c>
      <c r="R14025" s="180" t="s">
        <v>257</v>
      </c>
    </row>
    <row r="14026" spans="8:18" x14ac:dyDescent="0.2">
      <c r="H14026" s="180"/>
      <c r="P14026" s="180" t="s">
        <v>257</v>
      </c>
      <c r="R14026" s="180" t="s">
        <v>257</v>
      </c>
    </row>
    <row r="14027" spans="8:18" x14ac:dyDescent="0.2">
      <c r="H14027" s="180"/>
      <c r="P14027" s="180" t="s">
        <v>257</v>
      </c>
      <c r="R14027" s="180" t="s">
        <v>257</v>
      </c>
    </row>
    <row r="14028" spans="8:18" x14ac:dyDescent="0.2">
      <c r="H14028" s="180"/>
      <c r="P14028" s="180" t="s">
        <v>257</v>
      </c>
      <c r="R14028" s="180" t="s">
        <v>257</v>
      </c>
    </row>
    <row r="14029" spans="8:18" x14ac:dyDescent="0.2">
      <c r="H14029" s="180"/>
      <c r="P14029" s="180" t="s">
        <v>257</v>
      </c>
      <c r="R14029" s="180" t="s">
        <v>257</v>
      </c>
    </row>
    <row r="14030" spans="8:18" x14ac:dyDescent="0.2">
      <c r="H14030" s="180"/>
      <c r="P14030" s="180" t="s">
        <v>257</v>
      </c>
      <c r="R14030" s="180" t="s">
        <v>257</v>
      </c>
    </row>
    <row r="14031" spans="8:18" x14ac:dyDescent="0.2">
      <c r="H14031" s="180"/>
      <c r="P14031" s="180" t="s">
        <v>257</v>
      </c>
      <c r="R14031" s="180" t="s">
        <v>257</v>
      </c>
    </row>
    <row r="14032" spans="8:18" x14ac:dyDescent="0.2">
      <c r="H14032" s="180"/>
      <c r="P14032" s="180" t="s">
        <v>257</v>
      </c>
      <c r="R14032" s="180" t="s">
        <v>257</v>
      </c>
    </row>
    <row r="14033" spans="8:18" x14ac:dyDescent="0.2">
      <c r="H14033" s="180"/>
      <c r="P14033" s="180" t="s">
        <v>257</v>
      </c>
      <c r="R14033" s="180" t="s">
        <v>257</v>
      </c>
    </row>
    <row r="14034" spans="8:18" x14ac:dyDescent="0.2">
      <c r="H14034" s="180"/>
      <c r="P14034" s="180" t="s">
        <v>257</v>
      </c>
      <c r="R14034" s="180" t="s">
        <v>257</v>
      </c>
    </row>
    <row r="14035" spans="8:18" x14ac:dyDescent="0.2">
      <c r="H14035" s="180"/>
      <c r="P14035" s="180" t="s">
        <v>257</v>
      </c>
      <c r="R14035" s="180" t="s">
        <v>257</v>
      </c>
    </row>
    <row r="14036" spans="8:18" x14ac:dyDescent="0.2">
      <c r="H14036" s="180"/>
      <c r="P14036" s="180" t="s">
        <v>257</v>
      </c>
      <c r="R14036" s="180" t="s">
        <v>257</v>
      </c>
    </row>
    <row r="14037" spans="8:18" x14ac:dyDescent="0.2">
      <c r="H14037" s="180"/>
      <c r="P14037" s="180" t="s">
        <v>257</v>
      </c>
      <c r="R14037" s="180" t="s">
        <v>257</v>
      </c>
    </row>
    <row r="14038" spans="8:18" x14ac:dyDescent="0.2">
      <c r="H14038" s="180"/>
      <c r="P14038" s="180" t="s">
        <v>257</v>
      </c>
      <c r="R14038" s="180" t="s">
        <v>257</v>
      </c>
    </row>
    <row r="14039" spans="8:18" x14ac:dyDescent="0.2">
      <c r="H14039" s="180"/>
      <c r="P14039" s="180" t="s">
        <v>257</v>
      </c>
      <c r="R14039" s="180" t="s">
        <v>257</v>
      </c>
    </row>
    <row r="14040" spans="8:18" x14ac:dyDescent="0.2">
      <c r="H14040" s="180"/>
      <c r="P14040" s="180" t="s">
        <v>257</v>
      </c>
      <c r="R14040" s="180" t="s">
        <v>257</v>
      </c>
    </row>
    <row r="14041" spans="8:18" x14ac:dyDescent="0.2">
      <c r="H14041" s="180"/>
      <c r="P14041" s="180" t="s">
        <v>257</v>
      </c>
      <c r="R14041" s="180" t="s">
        <v>257</v>
      </c>
    </row>
    <row r="14042" spans="8:18" x14ac:dyDescent="0.2">
      <c r="H14042" s="180"/>
      <c r="P14042" s="180" t="s">
        <v>257</v>
      </c>
      <c r="R14042" s="180" t="s">
        <v>257</v>
      </c>
    </row>
    <row r="14043" spans="8:18" x14ac:dyDescent="0.2">
      <c r="H14043" s="180"/>
      <c r="P14043" s="180" t="s">
        <v>257</v>
      </c>
      <c r="R14043" s="180" t="s">
        <v>257</v>
      </c>
    </row>
    <row r="14044" spans="8:18" x14ac:dyDescent="0.2">
      <c r="H14044" s="180"/>
      <c r="P14044" s="180" t="s">
        <v>257</v>
      </c>
      <c r="R14044" s="180" t="s">
        <v>257</v>
      </c>
    </row>
    <row r="14045" spans="8:18" x14ac:dyDescent="0.2">
      <c r="H14045" s="180"/>
      <c r="P14045" s="180" t="s">
        <v>257</v>
      </c>
      <c r="R14045" s="180" t="s">
        <v>257</v>
      </c>
    </row>
    <row r="14046" spans="8:18" x14ac:dyDescent="0.2">
      <c r="H14046" s="180"/>
      <c r="P14046" s="180" t="s">
        <v>257</v>
      </c>
      <c r="R14046" s="180" t="s">
        <v>257</v>
      </c>
    </row>
    <row r="14047" spans="8:18" x14ac:dyDescent="0.2">
      <c r="H14047" s="180"/>
      <c r="P14047" s="180" t="s">
        <v>257</v>
      </c>
      <c r="R14047" s="180" t="s">
        <v>257</v>
      </c>
    </row>
    <row r="14048" spans="8:18" x14ac:dyDescent="0.2">
      <c r="H14048" s="180"/>
      <c r="P14048" s="180" t="s">
        <v>257</v>
      </c>
      <c r="R14048" s="180" t="s">
        <v>257</v>
      </c>
    </row>
    <row r="14049" spans="8:18" x14ac:dyDescent="0.2">
      <c r="H14049" s="180"/>
      <c r="P14049" s="180" t="s">
        <v>257</v>
      </c>
      <c r="R14049" s="180" t="s">
        <v>257</v>
      </c>
    </row>
    <row r="14050" spans="8:18" x14ac:dyDescent="0.2">
      <c r="H14050" s="180"/>
      <c r="P14050" s="180" t="s">
        <v>257</v>
      </c>
      <c r="R14050" s="180" t="s">
        <v>257</v>
      </c>
    </row>
    <row r="14051" spans="8:18" x14ac:dyDescent="0.2">
      <c r="H14051" s="180"/>
      <c r="P14051" s="180" t="s">
        <v>257</v>
      </c>
      <c r="R14051" s="180" t="s">
        <v>257</v>
      </c>
    </row>
    <row r="14052" spans="8:18" x14ac:dyDescent="0.2">
      <c r="H14052" s="180"/>
      <c r="P14052" s="180" t="s">
        <v>257</v>
      </c>
      <c r="R14052" s="180" t="s">
        <v>257</v>
      </c>
    </row>
    <row r="14053" spans="8:18" x14ac:dyDescent="0.2">
      <c r="H14053" s="180"/>
      <c r="P14053" s="180" t="s">
        <v>257</v>
      </c>
      <c r="R14053" s="180" t="s">
        <v>257</v>
      </c>
    </row>
    <row r="14054" spans="8:18" x14ac:dyDescent="0.2">
      <c r="H14054" s="180"/>
      <c r="P14054" s="180" t="s">
        <v>257</v>
      </c>
      <c r="R14054" s="180" t="s">
        <v>257</v>
      </c>
    </row>
    <row r="14055" spans="8:18" x14ac:dyDescent="0.2">
      <c r="H14055" s="180"/>
      <c r="P14055" s="180" t="s">
        <v>257</v>
      </c>
      <c r="R14055" s="180" t="s">
        <v>257</v>
      </c>
    </row>
    <row r="14056" spans="8:18" x14ac:dyDescent="0.2">
      <c r="H14056" s="180"/>
      <c r="P14056" s="180" t="s">
        <v>257</v>
      </c>
      <c r="R14056" s="180" t="s">
        <v>257</v>
      </c>
    </row>
    <row r="14057" spans="8:18" x14ac:dyDescent="0.2">
      <c r="H14057" s="180"/>
      <c r="P14057" s="180" t="s">
        <v>257</v>
      </c>
      <c r="R14057" s="180" t="s">
        <v>257</v>
      </c>
    </row>
    <row r="14058" spans="8:18" x14ac:dyDescent="0.2">
      <c r="H14058" s="180"/>
      <c r="P14058" s="180" t="s">
        <v>257</v>
      </c>
      <c r="R14058" s="180" t="s">
        <v>257</v>
      </c>
    </row>
    <row r="14059" spans="8:18" x14ac:dyDescent="0.2">
      <c r="H14059" s="180"/>
      <c r="P14059" s="180" t="s">
        <v>257</v>
      </c>
      <c r="R14059" s="180" t="s">
        <v>257</v>
      </c>
    </row>
    <row r="14060" spans="8:18" x14ac:dyDescent="0.2">
      <c r="H14060" s="180"/>
      <c r="P14060" s="180" t="s">
        <v>257</v>
      </c>
      <c r="R14060" s="180" t="s">
        <v>257</v>
      </c>
    </row>
    <row r="14061" spans="8:18" x14ac:dyDescent="0.2">
      <c r="H14061" s="180"/>
      <c r="P14061" s="180" t="s">
        <v>257</v>
      </c>
      <c r="R14061" s="180" t="s">
        <v>257</v>
      </c>
    </row>
    <row r="14062" spans="8:18" x14ac:dyDescent="0.2">
      <c r="H14062" s="180"/>
      <c r="P14062" s="180" t="s">
        <v>257</v>
      </c>
      <c r="R14062" s="180" t="s">
        <v>257</v>
      </c>
    </row>
    <row r="14063" spans="8:18" x14ac:dyDescent="0.2">
      <c r="H14063" s="180"/>
      <c r="P14063" s="180" t="s">
        <v>257</v>
      </c>
      <c r="R14063" s="180" t="s">
        <v>257</v>
      </c>
    </row>
    <row r="14064" spans="8:18" x14ac:dyDescent="0.2">
      <c r="H14064" s="180"/>
      <c r="P14064" s="180" t="s">
        <v>257</v>
      </c>
      <c r="R14064" s="180" t="s">
        <v>257</v>
      </c>
    </row>
    <row r="14065" spans="8:18" x14ac:dyDescent="0.2">
      <c r="H14065" s="180"/>
      <c r="P14065" s="180" t="s">
        <v>257</v>
      </c>
      <c r="R14065" s="180" t="s">
        <v>257</v>
      </c>
    </row>
    <row r="14066" spans="8:18" x14ac:dyDescent="0.2">
      <c r="H14066" s="180"/>
      <c r="P14066" s="180" t="s">
        <v>257</v>
      </c>
      <c r="R14066" s="180" t="s">
        <v>257</v>
      </c>
    </row>
    <row r="14067" spans="8:18" x14ac:dyDescent="0.2">
      <c r="H14067" s="180"/>
      <c r="P14067" s="180" t="s">
        <v>257</v>
      </c>
      <c r="R14067" s="180" t="s">
        <v>257</v>
      </c>
    </row>
    <row r="14068" spans="8:18" x14ac:dyDescent="0.2">
      <c r="H14068" s="180"/>
      <c r="P14068" s="180" t="s">
        <v>257</v>
      </c>
      <c r="R14068" s="180" t="s">
        <v>257</v>
      </c>
    </row>
    <row r="14069" spans="8:18" x14ac:dyDescent="0.2">
      <c r="H14069" s="180"/>
      <c r="P14069" s="180" t="s">
        <v>257</v>
      </c>
      <c r="R14069" s="180" t="s">
        <v>257</v>
      </c>
    </row>
    <row r="14070" spans="8:18" x14ac:dyDescent="0.2">
      <c r="H14070" s="180"/>
      <c r="P14070" s="180" t="s">
        <v>257</v>
      </c>
      <c r="R14070" s="180" t="s">
        <v>257</v>
      </c>
    </row>
    <row r="14071" spans="8:18" x14ac:dyDescent="0.2">
      <c r="H14071" s="180"/>
      <c r="P14071" s="180" t="s">
        <v>257</v>
      </c>
      <c r="R14071" s="180" t="s">
        <v>257</v>
      </c>
    </row>
    <row r="14072" spans="8:18" x14ac:dyDescent="0.2">
      <c r="H14072" s="180"/>
      <c r="P14072" s="180" t="s">
        <v>257</v>
      </c>
      <c r="R14072" s="180" t="s">
        <v>257</v>
      </c>
    </row>
    <row r="14073" spans="8:18" x14ac:dyDescent="0.2">
      <c r="H14073" s="180"/>
      <c r="P14073" s="180" t="s">
        <v>257</v>
      </c>
      <c r="R14073" s="180" t="s">
        <v>257</v>
      </c>
    </row>
    <row r="14074" spans="8:18" x14ac:dyDescent="0.2">
      <c r="H14074" s="180"/>
      <c r="P14074" s="180" t="s">
        <v>257</v>
      </c>
      <c r="R14074" s="180" t="s">
        <v>257</v>
      </c>
    </row>
    <row r="14075" spans="8:18" x14ac:dyDescent="0.2">
      <c r="H14075" s="180"/>
      <c r="P14075" s="180" t="s">
        <v>257</v>
      </c>
      <c r="R14075" s="180" t="s">
        <v>257</v>
      </c>
    </row>
    <row r="14076" spans="8:18" x14ac:dyDescent="0.2">
      <c r="H14076" s="180"/>
      <c r="P14076" s="180" t="s">
        <v>257</v>
      </c>
      <c r="R14076" s="180" t="s">
        <v>257</v>
      </c>
    </row>
    <row r="14077" spans="8:18" x14ac:dyDescent="0.2">
      <c r="H14077" s="180"/>
      <c r="P14077" s="180" t="s">
        <v>257</v>
      </c>
      <c r="R14077" s="180" t="s">
        <v>257</v>
      </c>
    </row>
    <row r="14078" spans="8:18" x14ac:dyDescent="0.2">
      <c r="H14078" s="180"/>
      <c r="P14078" s="180" t="s">
        <v>257</v>
      </c>
      <c r="R14078" s="180" t="s">
        <v>257</v>
      </c>
    </row>
    <row r="14079" spans="8:18" x14ac:dyDescent="0.2">
      <c r="H14079" s="180"/>
      <c r="P14079" s="180" t="s">
        <v>257</v>
      </c>
      <c r="R14079" s="180" t="s">
        <v>257</v>
      </c>
    </row>
    <row r="14080" spans="8:18" x14ac:dyDescent="0.2">
      <c r="H14080" s="180"/>
      <c r="P14080" s="180" t="s">
        <v>257</v>
      </c>
      <c r="R14080" s="180" t="s">
        <v>257</v>
      </c>
    </row>
    <row r="14081" spans="8:18" x14ac:dyDescent="0.2">
      <c r="H14081" s="180"/>
      <c r="P14081" s="180" t="s">
        <v>257</v>
      </c>
      <c r="R14081" s="180" t="s">
        <v>257</v>
      </c>
    </row>
    <row r="14082" spans="8:18" x14ac:dyDescent="0.2">
      <c r="H14082" s="180"/>
      <c r="P14082" s="180" t="s">
        <v>257</v>
      </c>
      <c r="R14082" s="180" t="s">
        <v>257</v>
      </c>
    </row>
    <row r="14083" spans="8:18" x14ac:dyDescent="0.2">
      <c r="H14083" s="180"/>
      <c r="P14083" s="180" t="s">
        <v>257</v>
      </c>
      <c r="R14083" s="180" t="s">
        <v>257</v>
      </c>
    </row>
    <row r="14084" spans="8:18" x14ac:dyDescent="0.2">
      <c r="H14084" s="180"/>
      <c r="P14084" s="180" t="s">
        <v>257</v>
      </c>
      <c r="R14084" s="180" t="s">
        <v>257</v>
      </c>
    </row>
    <row r="14085" spans="8:18" x14ac:dyDescent="0.2">
      <c r="H14085" s="180"/>
      <c r="P14085" s="180" t="s">
        <v>257</v>
      </c>
      <c r="R14085" s="180" t="s">
        <v>257</v>
      </c>
    </row>
    <row r="14086" spans="8:18" x14ac:dyDescent="0.2">
      <c r="H14086" s="180"/>
      <c r="P14086" s="180" t="s">
        <v>257</v>
      </c>
      <c r="R14086" s="180" t="s">
        <v>257</v>
      </c>
    </row>
    <row r="14087" spans="8:18" x14ac:dyDescent="0.2">
      <c r="H14087" s="180"/>
      <c r="P14087" s="180" t="s">
        <v>257</v>
      </c>
      <c r="R14087" s="180" t="s">
        <v>257</v>
      </c>
    </row>
    <row r="14088" spans="8:18" x14ac:dyDescent="0.2">
      <c r="H14088" s="180"/>
      <c r="P14088" s="180" t="s">
        <v>257</v>
      </c>
      <c r="R14088" s="180" t="s">
        <v>257</v>
      </c>
    </row>
    <row r="14089" spans="8:18" x14ac:dyDescent="0.2">
      <c r="H14089" s="180"/>
      <c r="P14089" s="180" t="s">
        <v>257</v>
      </c>
      <c r="R14089" s="180" t="s">
        <v>257</v>
      </c>
    </row>
    <row r="14090" spans="8:18" x14ac:dyDescent="0.2">
      <c r="H14090" s="180"/>
      <c r="P14090" s="180" t="s">
        <v>257</v>
      </c>
      <c r="R14090" s="180" t="s">
        <v>257</v>
      </c>
    </row>
    <row r="14091" spans="8:18" x14ac:dyDescent="0.2">
      <c r="H14091" s="180"/>
      <c r="P14091" s="180" t="s">
        <v>257</v>
      </c>
      <c r="R14091" s="180" t="s">
        <v>257</v>
      </c>
    </row>
    <row r="14092" spans="8:18" x14ac:dyDescent="0.2">
      <c r="H14092" s="180"/>
      <c r="P14092" s="180" t="s">
        <v>257</v>
      </c>
      <c r="R14092" s="180" t="s">
        <v>257</v>
      </c>
    </row>
    <row r="14093" spans="8:18" x14ac:dyDescent="0.2">
      <c r="H14093" s="180"/>
      <c r="P14093" s="180" t="s">
        <v>257</v>
      </c>
      <c r="R14093" s="180" t="s">
        <v>257</v>
      </c>
    </row>
    <row r="14094" spans="8:18" x14ac:dyDescent="0.2">
      <c r="H14094" s="180"/>
      <c r="P14094" s="180" t="s">
        <v>257</v>
      </c>
      <c r="R14094" s="180" t="s">
        <v>257</v>
      </c>
    </row>
    <row r="14095" spans="8:18" x14ac:dyDescent="0.2">
      <c r="H14095" s="180"/>
      <c r="P14095" s="180" t="s">
        <v>257</v>
      </c>
      <c r="R14095" s="180" t="s">
        <v>257</v>
      </c>
    </row>
    <row r="14096" spans="8:18" x14ac:dyDescent="0.2">
      <c r="H14096" s="180"/>
      <c r="P14096" s="180" t="s">
        <v>257</v>
      </c>
      <c r="R14096" s="180" t="s">
        <v>257</v>
      </c>
    </row>
    <row r="14097" spans="8:18" x14ac:dyDescent="0.2">
      <c r="H14097" s="180"/>
      <c r="P14097" s="180" t="s">
        <v>257</v>
      </c>
      <c r="R14097" s="180" t="s">
        <v>257</v>
      </c>
    </row>
    <row r="14098" spans="8:18" x14ac:dyDescent="0.2">
      <c r="H14098" s="180"/>
      <c r="P14098" s="180" t="s">
        <v>257</v>
      </c>
      <c r="R14098" s="180" t="s">
        <v>257</v>
      </c>
    </row>
    <row r="14099" spans="8:18" x14ac:dyDescent="0.2">
      <c r="H14099" s="180"/>
      <c r="P14099" s="180" t="s">
        <v>257</v>
      </c>
      <c r="R14099" s="180" t="s">
        <v>257</v>
      </c>
    </row>
    <row r="14100" spans="8:18" x14ac:dyDescent="0.2">
      <c r="H14100" s="180"/>
      <c r="P14100" s="180" t="s">
        <v>257</v>
      </c>
      <c r="R14100" s="180" t="s">
        <v>257</v>
      </c>
    </row>
    <row r="14101" spans="8:18" x14ac:dyDescent="0.2">
      <c r="H14101" s="180"/>
      <c r="P14101" s="180" t="s">
        <v>257</v>
      </c>
      <c r="R14101" s="180" t="s">
        <v>257</v>
      </c>
    </row>
    <row r="14102" spans="8:18" x14ac:dyDescent="0.2">
      <c r="H14102" s="180"/>
      <c r="P14102" s="180" t="s">
        <v>257</v>
      </c>
      <c r="R14102" s="180" t="s">
        <v>257</v>
      </c>
    </row>
    <row r="14103" spans="8:18" x14ac:dyDescent="0.2">
      <c r="H14103" s="180"/>
      <c r="P14103" s="180" t="s">
        <v>257</v>
      </c>
      <c r="R14103" s="180" t="s">
        <v>257</v>
      </c>
    </row>
    <row r="14104" spans="8:18" x14ac:dyDescent="0.2">
      <c r="H14104" s="180"/>
      <c r="P14104" s="180" t="s">
        <v>257</v>
      </c>
      <c r="R14104" s="180" t="s">
        <v>257</v>
      </c>
    </row>
    <row r="14105" spans="8:18" x14ac:dyDescent="0.2">
      <c r="H14105" s="180"/>
      <c r="P14105" s="180" t="s">
        <v>257</v>
      </c>
      <c r="R14105" s="180" t="s">
        <v>257</v>
      </c>
    </row>
    <row r="14106" spans="8:18" x14ac:dyDescent="0.2">
      <c r="H14106" s="180"/>
      <c r="P14106" s="180" t="s">
        <v>257</v>
      </c>
      <c r="R14106" s="180" t="s">
        <v>257</v>
      </c>
    </row>
    <row r="14107" spans="8:18" x14ac:dyDescent="0.2">
      <c r="H14107" s="180"/>
      <c r="P14107" s="180" t="s">
        <v>257</v>
      </c>
      <c r="R14107" s="180" t="s">
        <v>257</v>
      </c>
    </row>
    <row r="14108" spans="8:18" x14ac:dyDescent="0.2">
      <c r="H14108" s="180"/>
      <c r="P14108" s="180" t="s">
        <v>257</v>
      </c>
      <c r="R14108" s="180" t="s">
        <v>257</v>
      </c>
    </row>
    <row r="14109" spans="8:18" x14ac:dyDescent="0.2">
      <c r="H14109" s="180"/>
      <c r="P14109" s="180" t="s">
        <v>257</v>
      </c>
      <c r="R14109" s="180" t="s">
        <v>257</v>
      </c>
    </row>
    <row r="14110" spans="8:18" x14ac:dyDescent="0.2">
      <c r="H14110" s="180"/>
      <c r="P14110" s="180" t="s">
        <v>257</v>
      </c>
      <c r="R14110" s="180" t="s">
        <v>257</v>
      </c>
    </row>
    <row r="14111" spans="8:18" x14ac:dyDescent="0.2">
      <c r="H14111" s="180"/>
      <c r="P14111" s="180" t="s">
        <v>257</v>
      </c>
      <c r="R14111" s="180" t="s">
        <v>257</v>
      </c>
    </row>
    <row r="14112" spans="8:18" x14ac:dyDescent="0.2">
      <c r="H14112" s="180"/>
      <c r="P14112" s="180" t="s">
        <v>257</v>
      </c>
      <c r="R14112" s="180" t="s">
        <v>257</v>
      </c>
    </row>
    <row r="14113" spans="8:18" x14ac:dyDescent="0.2">
      <c r="H14113" s="180"/>
      <c r="P14113" s="180" t="s">
        <v>257</v>
      </c>
      <c r="R14113" s="180" t="s">
        <v>257</v>
      </c>
    </row>
    <row r="14114" spans="8:18" x14ac:dyDescent="0.2">
      <c r="H14114" s="180"/>
      <c r="P14114" s="180" t="s">
        <v>257</v>
      </c>
      <c r="R14114" s="180" t="s">
        <v>257</v>
      </c>
    </row>
    <row r="14115" spans="8:18" x14ac:dyDescent="0.2">
      <c r="H14115" s="180"/>
      <c r="P14115" s="180" t="s">
        <v>257</v>
      </c>
      <c r="R14115" s="180" t="s">
        <v>257</v>
      </c>
    </row>
    <row r="14116" spans="8:18" x14ac:dyDescent="0.2">
      <c r="H14116" s="180"/>
      <c r="P14116" s="180" t="s">
        <v>257</v>
      </c>
      <c r="R14116" s="180" t="s">
        <v>257</v>
      </c>
    </row>
    <row r="14117" spans="8:18" x14ac:dyDescent="0.2">
      <c r="H14117" s="180"/>
      <c r="P14117" s="180" t="s">
        <v>257</v>
      </c>
      <c r="R14117" s="180" t="s">
        <v>257</v>
      </c>
    </row>
    <row r="14118" spans="8:18" x14ac:dyDescent="0.2">
      <c r="H14118" s="180"/>
      <c r="P14118" s="180" t="s">
        <v>257</v>
      </c>
      <c r="R14118" s="180" t="s">
        <v>257</v>
      </c>
    </row>
    <row r="14119" spans="8:18" x14ac:dyDescent="0.2">
      <c r="H14119" s="180"/>
      <c r="P14119" s="180" t="s">
        <v>257</v>
      </c>
      <c r="R14119" s="180" t="s">
        <v>257</v>
      </c>
    </row>
    <row r="14120" spans="8:18" x14ac:dyDescent="0.2">
      <c r="H14120" s="180"/>
      <c r="P14120" s="180" t="s">
        <v>257</v>
      </c>
      <c r="R14120" s="180" t="s">
        <v>257</v>
      </c>
    </row>
    <row r="14121" spans="8:18" x14ac:dyDescent="0.2">
      <c r="H14121" s="180"/>
      <c r="P14121" s="180" t="s">
        <v>257</v>
      </c>
      <c r="R14121" s="180" t="s">
        <v>257</v>
      </c>
    </row>
    <row r="14122" spans="8:18" x14ac:dyDescent="0.2">
      <c r="H14122" s="180"/>
      <c r="P14122" s="180" t="s">
        <v>257</v>
      </c>
      <c r="R14122" s="180" t="s">
        <v>257</v>
      </c>
    </row>
    <row r="14123" spans="8:18" x14ac:dyDescent="0.2">
      <c r="H14123" s="180"/>
      <c r="P14123" s="180" t="s">
        <v>257</v>
      </c>
      <c r="R14123" s="180" t="s">
        <v>257</v>
      </c>
    </row>
    <row r="14124" spans="8:18" x14ac:dyDescent="0.2">
      <c r="H14124" s="180"/>
      <c r="P14124" s="180" t="s">
        <v>257</v>
      </c>
      <c r="R14124" s="180" t="s">
        <v>257</v>
      </c>
    </row>
    <row r="14125" spans="8:18" x14ac:dyDescent="0.2">
      <c r="H14125" s="180"/>
      <c r="P14125" s="180" t="s">
        <v>257</v>
      </c>
      <c r="R14125" s="180" t="s">
        <v>257</v>
      </c>
    </row>
    <row r="14126" spans="8:18" x14ac:dyDescent="0.2">
      <c r="H14126" s="180"/>
      <c r="P14126" s="180" t="s">
        <v>257</v>
      </c>
      <c r="R14126" s="180" t="s">
        <v>257</v>
      </c>
    </row>
    <row r="14127" spans="8:18" x14ac:dyDescent="0.2">
      <c r="H14127" s="180"/>
      <c r="P14127" s="180" t="s">
        <v>257</v>
      </c>
      <c r="R14127" s="180" t="s">
        <v>257</v>
      </c>
    </row>
    <row r="14128" spans="8:18" x14ac:dyDescent="0.2">
      <c r="H14128" s="180"/>
      <c r="P14128" s="180" t="s">
        <v>257</v>
      </c>
      <c r="R14128" s="180" t="s">
        <v>257</v>
      </c>
    </row>
    <row r="14129" spans="8:18" x14ac:dyDescent="0.2">
      <c r="H14129" s="180"/>
      <c r="P14129" s="180" t="s">
        <v>257</v>
      </c>
      <c r="R14129" s="180" t="s">
        <v>257</v>
      </c>
    </row>
    <row r="14130" spans="8:18" x14ac:dyDescent="0.2">
      <c r="H14130" s="180"/>
      <c r="P14130" s="180" t="s">
        <v>257</v>
      </c>
      <c r="R14130" s="180" t="s">
        <v>257</v>
      </c>
    </row>
    <row r="14131" spans="8:18" x14ac:dyDescent="0.2">
      <c r="H14131" s="180"/>
      <c r="P14131" s="180" t="s">
        <v>257</v>
      </c>
      <c r="R14131" s="180" t="s">
        <v>257</v>
      </c>
    </row>
    <row r="14132" spans="8:18" x14ac:dyDescent="0.2">
      <c r="H14132" s="180"/>
      <c r="P14132" s="180" t="s">
        <v>257</v>
      </c>
      <c r="R14132" s="180" t="s">
        <v>257</v>
      </c>
    </row>
    <row r="14133" spans="8:18" x14ac:dyDescent="0.2">
      <c r="H14133" s="180"/>
      <c r="P14133" s="180" t="s">
        <v>257</v>
      </c>
      <c r="R14133" s="180" t="s">
        <v>257</v>
      </c>
    </row>
    <row r="14134" spans="8:18" x14ac:dyDescent="0.2">
      <c r="H14134" s="180"/>
      <c r="P14134" s="180" t="s">
        <v>257</v>
      </c>
      <c r="R14134" s="180" t="s">
        <v>257</v>
      </c>
    </row>
    <row r="14135" spans="8:18" x14ac:dyDescent="0.2">
      <c r="H14135" s="180"/>
      <c r="P14135" s="180" t="s">
        <v>257</v>
      </c>
      <c r="R14135" s="180" t="s">
        <v>257</v>
      </c>
    </row>
    <row r="14136" spans="8:18" x14ac:dyDescent="0.2">
      <c r="H14136" s="180"/>
      <c r="P14136" s="180" t="s">
        <v>257</v>
      </c>
      <c r="R14136" s="180" t="s">
        <v>257</v>
      </c>
    </row>
    <row r="14137" spans="8:18" x14ac:dyDescent="0.2">
      <c r="H14137" s="180"/>
      <c r="P14137" s="180" t="s">
        <v>257</v>
      </c>
      <c r="R14137" s="180" t="s">
        <v>257</v>
      </c>
    </row>
    <row r="14138" spans="8:18" x14ac:dyDescent="0.2">
      <c r="H14138" s="180"/>
      <c r="P14138" s="180" t="s">
        <v>257</v>
      </c>
      <c r="R14138" s="180" t="s">
        <v>257</v>
      </c>
    </row>
    <row r="14139" spans="8:18" x14ac:dyDescent="0.2">
      <c r="H14139" s="180"/>
      <c r="P14139" s="180" t="s">
        <v>257</v>
      </c>
      <c r="R14139" s="180" t="s">
        <v>257</v>
      </c>
    </row>
    <row r="14140" spans="8:18" x14ac:dyDescent="0.2">
      <c r="H14140" s="180"/>
      <c r="P14140" s="180" t="s">
        <v>257</v>
      </c>
      <c r="R14140" s="180" t="s">
        <v>257</v>
      </c>
    </row>
    <row r="14141" spans="8:18" x14ac:dyDescent="0.2">
      <c r="H14141" s="180"/>
      <c r="P14141" s="180" t="s">
        <v>257</v>
      </c>
      <c r="R14141" s="180" t="s">
        <v>257</v>
      </c>
    </row>
    <row r="14142" spans="8:18" x14ac:dyDescent="0.2">
      <c r="H14142" s="180"/>
      <c r="P14142" s="180" t="s">
        <v>257</v>
      </c>
      <c r="R14142" s="180" t="s">
        <v>257</v>
      </c>
    </row>
    <row r="14143" spans="8:18" x14ac:dyDescent="0.2">
      <c r="H14143" s="180"/>
      <c r="P14143" s="180" t="s">
        <v>257</v>
      </c>
      <c r="R14143" s="180" t="s">
        <v>257</v>
      </c>
    </row>
    <row r="14144" spans="8:18" x14ac:dyDescent="0.2">
      <c r="H14144" s="180"/>
      <c r="P14144" s="180" t="s">
        <v>257</v>
      </c>
      <c r="R14144" s="180" t="s">
        <v>257</v>
      </c>
    </row>
    <row r="14145" spans="8:18" x14ac:dyDescent="0.2">
      <c r="H14145" s="180"/>
      <c r="P14145" s="180" t="s">
        <v>257</v>
      </c>
      <c r="R14145" s="180" t="s">
        <v>257</v>
      </c>
    </row>
    <row r="14146" spans="8:18" x14ac:dyDescent="0.2">
      <c r="H14146" s="180"/>
      <c r="P14146" s="180" t="s">
        <v>257</v>
      </c>
      <c r="R14146" s="180" t="s">
        <v>257</v>
      </c>
    </row>
    <row r="14147" spans="8:18" x14ac:dyDescent="0.2">
      <c r="H14147" s="180"/>
      <c r="P14147" s="180" t="s">
        <v>257</v>
      </c>
      <c r="R14147" s="180" t="s">
        <v>257</v>
      </c>
    </row>
    <row r="14148" spans="8:18" x14ac:dyDescent="0.2">
      <c r="H14148" s="180"/>
      <c r="P14148" s="180" t="s">
        <v>257</v>
      </c>
      <c r="R14148" s="180" t="s">
        <v>257</v>
      </c>
    </row>
    <row r="14149" spans="8:18" x14ac:dyDescent="0.2">
      <c r="H14149" s="180"/>
      <c r="P14149" s="180" t="s">
        <v>257</v>
      </c>
      <c r="R14149" s="180" t="s">
        <v>257</v>
      </c>
    </row>
    <row r="14150" spans="8:18" x14ac:dyDescent="0.2">
      <c r="H14150" s="180"/>
      <c r="P14150" s="180" t="s">
        <v>257</v>
      </c>
      <c r="R14150" s="180" t="s">
        <v>257</v>
      </c>
    </row>
    <row r="14151" spans="8:18" x14ac:dyDescent="0.2">
      <c r="H14151" s="180"/>
      <c r="P14151" s="180" t="s">
        <v>257</v>
      </c>
      <c r="R14151" s="180" t="s">
        <v>257</v>
      </c>
    </row>
    <row r="14152" spans="8:18" x14ac:dyDescent="0.2">
      <c r="H14152" s="180"/>
      <c r="P14152" s="180" t="s">
        <v>257</v>
      </c>
      <c r="R14152" s="180" t="s">
        <v>257</v>
      </c>
    </row>
    <row r="14153" spans="8:18" x14ac:dyDescent="0.2">
      <c r="H14153" s="180"/>
      <c r="P14153" s="180" t="s">
        <v>257</v>
      </c>
      <c r="R14153" s="180" t="s">
        <v>257</v>
      </c>
    </row>
    <row r="14154" spans="8:18" x14ac:dyDescent="0.2">
      <c r="H14154" s="180"/>
      <c r="P14154" s="180" t="s">
        <v>257</v>
      </c>
      <c r="R14154" s="180" t="s">
        <v>257</v>
      </c>
    </row>
    <row r="14155" spans="8:18" x14ac:dyDescent="0.2">
      <c r="H14155" s="180"/>
      <c r="P14155" s="180" t="s">
        <v>257</v>
      </c>
      <c r="R14155" s="180" t="s">
        <v>257</v>
      </c>
    </row>
    <row r="14156" spans="8:18" x14ac:dyDescent="0.2">
      <c r="H14156" s="180"/>
      <c r="P14156" s="180" t="s">
        <v>257</v>
      </c>
      <c r="R14156" s="180" t="s">
        <v>257</v>
      </c>
    </row>
    <row r="14157" spans="8:18" x14ac:dyDescent="0.2">
      <c r="H14157" s="180"/>
      <c r="P14157" s="180" t="s">
        <v>257</v>
      </c>
      <c r="R14157" s="180" t="s">
        <v>257</v>
      </c>
    </row>
    <row r="14158" spans="8:18" x14ac:dyDescent="0.2">
      <c r="H14158" s="180"/>
      <c r="P14158" s="180" t="s">
        <v>257</v>
      </c>
      <c r="R14158" s="180" t="s">
        <v>257</v>
      </c>
    </row>
    <row r="14159" spans="8:18" x14ac:dyDescent="0.2">
      <c r="H14159" s="180"/>
      <c r="P14159" s="180" t="s">
        <v>257</v>
      </c>
      <c r="R14159" s="180" t="s">
        <v>257</v>
      </c>
    </row>
    <row r="14160" spans="8:18" x14ac:dyDescent="0.2">
      <c r="H14160" s="180"/>
      <c r="P14160" s="180" t="s">
        <v>257</v>
      </c>
      <c r="R14160" s="180" t="s">
        <v>257</v>
      </c>
    </row>
    <row r="14161" spans="8:18" x14ac:dyDescent="0.2">
      <c r="H14161" s="180"/>
      <c r="P14161" s="180" t="s">
        <v>257</v>
      </c>
      <c r="R14161" s="180" t="s">
        <v>257</v>
      </c>
    </row>
    <row r="14162" spans="8:18" x14ac:dyDescent="0.2">
      <c r="H14162" s="180"/>
      <c r="P14162" s="180" t="s">
        <v>257</v>
      </c>
      <c r="R14162" s="180" t="s">
        <v>257</v>
      </c>
    </row>
    <row r="14163" spans="8:18" x14ac:dyDescent="0.2">
      <c r="H14163" s="180"/>
      <c r="P14163" s="180" t="s">
        <v>257</v>
      </c>
      <c r="R14163" s="180" t="s">
        <v>257</v>
      </c>
    </row>
    <row r="14164" spans="8:18" x14ac:dyDescent="0.2">
      <c r="H14164" s="180"/>
      <c r="P14164" s="180" t="s">
        <v>257</v>
      </c>
      <c r="R14164" s="180" t="s">
        <v>257</v>
      </c>
    </row>
    <row r="14165" spans="8:18" x14ac:dyDescent="0.2">
      <c r="H14165" s="180"/>
      <c r="P14165" s="180" t="s">
        <v>257</v>
      </c>
      <c r="R14165" s="180" t="s">
        <v>257</v>
      </c>
    </row>
    <row r="14166" spans="8:18" x14ac:dyDescent="0.2">
      <c r="H14166" s="180"/>
      <c r="P14166" s="180" t="s">
        <v>257</v>
      </c>
      <c r="R14166" s="180" t="s">
        <v>257</v>
      </c>
    </row>
    <row r="14167" spans="8:18" x14ac:dyDescent="0.2">
      <c r="H14167" s="180"/>
      <c r="P14167" s="180" t="s">
        <v>257</v>
      </c>
      <c r="R14167" s="180" t="s">
        <v>257</v>
      </c>
    </row>
    <row r="14168" spans="8:18" x14ac:dyDescent="0.2">
      <c r="H14168" s="180"/>
      <c r="P14168" s="180" t="s">
        <v>257</v>
      </c>
      <c r="R14168" s="180" t="s">
        <v>257</v>
      </c>
    </row>
    <row r="14169" spans="8:18" x14ac:dyDescent="0.2">
      <c r="H14169" s="180"/>
      <c r="P14169" s="180" t="s">
        <v>257</v>
      </c>
      <c r="R14169" s="180" t="s">
        <v>257</v>
      </c>
    </row>
    <row r="14170" spans="8:18" x14ac:dyDescent="0.2">
      <c r="H14170" s="180"/>
      <c r="P14170" s="180" t="s">
        <v>257</v>
      </c>
      <c r="R14170" s="180" t="s">
        <v>257</v>
      </c>
    </row>
    <row r="14171" spans="8:18" x14ac:dyDescent="0.2">
      <c r="H14171" s="180"/>
      <c r="P14171" s="180" t="s">
        <v>257</v>
      </c>
      <c r="R14171" s="180" t="s">
        <v>257</v>
      </c>
    </row>
    <row r="14172" spans="8:18" x14ac:dyDescent="0.2">
      <c r="H14172" s="180"/>
      <c r="P14172" s="180" t="s">
        <v>257</v>
      </c>
      <c r="R14172" s="180" t="s">
        <v>257</v>
      </c>
    </row>
    <row r="14173" spans="8:18" x14ac:dyDescent="0.2">
      <c r="H14173" s="180"/>
      <c r="P14173" s="180" t="s">
        <v>257</v>
      </c>
      <c r="R14173" s="180" t="s">
        <v>257</v>
      </c>
    </row>
    <row r="14174" spans="8:18" x14ac:dyDescent="0.2">
      <c r="H14174" s="180"/>
      <c r="P14174" s="180" t="s">
        <v>257</v>
      </c>
      <c r="R14174" s="180" t="s">
        <v>257</v>
      </c>
    </row>
    <row r="14175" spans="8:18" x14ac:dyDescent="0.2">
      <c r="H14175" s="180"/>
      <c r="P14175" s="180" t="s">
        <v>257</v>
      </c>
      <c r="R14175" s="180" t="s">
        <v>257</v>
      </c>
    </row>
    <row r="14176" spans="8:18" x14ac:dyDescent="0.2">
      <c r="H14176" s="180"/>
      <c r="P14176" s="180" t="s">
        <v>257</v>
      </c>
      <c r="R14176" s="180" t="s">
        <v>257</v>
      </c>
    </row>
    <row r="14177" spans="8:18" x14ac:dyDescent="0.2">
      <c r="H14177" s="180"/>
      <c r="P14177" s="180" t="s">
        <v>257</v>
      </c>
      <c r="R14177" s="180" t="s">
        <v>257</v>
      </c>
    </row>
    <row r="14178" spans="8:18" x14ac:dyDescent="0.2">
      <c r="H14178" s="180"/>
      <c r="P14178" s="180" t="s">
        <v>257</v>
      </c>
      <c r="R14178" s="180" t="s">
        <v>257</v>
      </c>
    </row>
    <row r="14179" spans="8:18" x14ac:dyDescent="0.2">
      <c r="H14179" s="180"/>
      <c r="P14179" s="180" t="s">
        <v>257</v>
      </c>
      <c r="R14179" s="180" t="s">
        <v>257</v>
      </c>
    </row>
    <row r="14180" spans="8:18" x14ac:dyDescent="0.2">
      <c r="H14180" s="180"/>
      <c r="P14180" s="180" t="s">
        <v>257</v>
      </c>
      <c r="R14180" s="180" t="s">
        <v>257</v>
      </c>
    </row>
    <row r="14181" spans="8:18" x14ac:dyDescent="0.2">
      <c r="H14181" s="180"/>
      <c r="P14181" s="180" t="s">
        <v>257</v>
      </c>
      <c r="R14181" s="180" t="s">
        <v>257</v>
      </c>
    </row>
    <row r="14182" spans="8:18" x14ac:dyDescent="0.2">
      <c r="H14182" s="180"/>
      <c r="P14182" s="180" t="s">
        <v>257</v>
      </c>
      <c r="R14182" s="180" t="s">
        <v>257</v>
      </c>
    </row>
    <row r="14183" spans="8:18" x14ac:dyDescent="0.2">
      <c r="H14183" s="180"/>
      <c r="P14183" s="180" t="s">
        <v>257</v>
      </c>
      <c r="R14183" s="180" t="s">
        <v>257</v>
      </c>
    </row>
    <row r="14184" spans="8:18" x14ac:dyDescent="0.2">
      <c r="H14184" s="180"/>
      <c r="P14184" s="180" t="s">
        <v>257</v>
      </c>
      <c r="R14184" s="180" t="s">
        <v>257</v>
      </c>
    </row>
    <row r="14185" spans="8:18" x14ac:dyDescent="0.2">
      <c r="H14185" s="180"/>
      <c r="P14185" s="180" t="s">
        <v>257</v>
      </c>
      <c r="R14185" s="180" t="s">
        <v>257</v>
      </c>
    </row>
    <row r="14186" spans="8:18" x14ac:dyDescent="0.2">
      <c r="H14186" s="180"/>
      <c r="P14186" s="180" t="s">
        <v>257</v>
      </c>
      <c r="R14186" s="180" t="s">
        <v>257</v>
      </c>
    </row>
    <row r="14187" spans="8:18" x14ac:dyDescent="0.2">
      <c r="H14187" s="180"/>
      <c r="P14187" s="180" t="s">
        <v>257</v>
      </c>
      <c r="R14187" s="180" t="s">
        <v>257</v>
      </c>
    </row>
    <row r="14188" spans="8:18" x14ac:dyDescent="0.2">
      <c r="H14188" s="180"/>
      <c r="P14188" s="180" t="s">
        <v>257</v>
      </c>
      <c r="R14188" s="180" t="s">
        <v>257</v>
      </c>
    </row>
    <row r="14189" spans="8:18" x14ac:dyDescent="0.2">
      <c r="H14189" s="180"/>
      <c r="P14189" s="180" t="s">
        <v>257</v>
      </c>
      <c r="R14189" s="180" t="s">
        <v>257</v>
      </c>
    </row>
    <row r="14190" spans="8:18" x14ac:dyDescent="0.2">
      <c r="H14190" s="180"/>
      <c r="P14190" s="180" t="s">
        <v>257</v>
      </c>
      <c r="R14190" s="180" t="s">
        <v>257</v>
      </c>
    </row>
    <row r="14191" spans="8:18" x14ac:dyDescent="0.2">
      <c r="H14191" s="180"/>
      <c r="P14191" s="180" t="s">
        <v>257</v>
      </c>
      <c r="R14191" s="180" t="s">
        <v>257</v>
      </c>
    </row>
    <row r="14192" spans="8:18" x14ac:dyDescent="0.2">
      <c r="H14192" s="180"/>
      <c r="P14192" s="180" t="s">
        <v>257</v>
      </c>
      <c r="R14192" s="180" t="s">
        <v>257</v>
      </c>
    </row>
    <row r="14193" spans="8:18" x14ac:dyDescent="0.2">
      <c r="H14193" s="180"/>
      <c r="P14193" s="180" t="s">
        <v>257</v>
      </c>
      <c r="R14193" s="180" t="s">
        <v>257</v>
      </c>
    </row>
    <row r="14194" spans="8:18" x14ac:dyDescent="0.2">
      <c r="H14194" s="180"/>
      <c r="P14194" s="180" t="s">
        <v>257</v>
      </c>
      <c r="R14194" s="180" t="s">
        <v>257</v>
      </c>
    </row>
    <row r="14195" spans="8:18" x14ac:dyDescent="0.2">
      <c r="H14195" s="180"/>
      <c r="P14195" s="180" t="s">
        <v>257</v>
      </c>
      <c r="R14195" s="180" t="s">
        <v>257</v>
      </c>
    </row>
    <row r="14196" spans="8:18" x14ac:dyDescent="0.2">
      <c r="H14196" s="180"/>
      <c r="P14196" s="180" t="s">
        <v>257</v>
      </c>
      <c r="R14196" s="180" t="s">
        <v>257</v>
      </c>
    </row>
    <row r="14197" spans="8:18" x14ac:dyDescent="0.2">
      <c r="H14197" s="180"/>
      <c r="P14197" s="180" t="s">
        <v>257</v>
      </c>
      <c r="R14197" s="180" t="s">
        <v>257</v>
      </c>
    </row>
    <row r="14198" spans="8:18" x14ac:dyDescent="0.2">
      <c r="H14198" s="180"/>
      <c r="P14198" s="180" t="s">
        <v>257</v>
      </c>
      <c r="R14198" s="180" t="s">
        <v>257</v>
      </c>
    </row>
    <row r="14199" spans="8:18" x14ac:dyDescent="0.2">
      <c r="H14199" s="180"/>
      <c r="P14199" s="180" t="s">
        <v>257</v>
      </c>
      <c r="R14199" s="180" t="s">
        <v>257</v>
      </c>
    </row>
    <row r="14200" spans="8:18" x14ac:dyDescent="0.2">
      <c r="H14200" s="180"/>
      <c r="P14200" s="180" t="s">
        <v>257</v>
      </c>
      <c r="R14200" s="180" t="s">
        <v>257</v>
      </c>
    </row>
    <row r="14201" spans="8:18" x14ac:dyDescent="0.2">
      <c r="H14201" s="180"/>
      <c r="P14201" s="180" t="s">
        <v>257</v>
      </c>
      <c r="R14201" s="180" t="s">
        <v>257</v>
      </c>
    </row>
    <row r="14202" spans="8:18" x14ac:dyDescent="0.2">
      <c r="H14202" s="180"/>
      <c r="P14202" s="180" t="s">
        <v>257</v>
      </c>
      <c r="R14202" s="180" t="s">
        <v>257</v>
      </c>
    </row>
    <row r="14203" spans="8:18" x14ac:dyDescent="0.2">
      <c r="H14203" s="180"/>
      <c r="P14203" s="180" t="s">
        <v>257</v>
      </c>
      <c r="R14203" s="180" t="s">
        <v>257</v>
      </c>
    </row>
    <row r="14204" spans="8:18" x14ac:dyDescent="0.2">
      <c r="H14204" s="180"/>
      <c r="P14204" s="180" t="s">
        <v>257</v>
      </c>
      <c r="R14204" s="180" t="s">
        <v>257</v>
      </c>
    </row>
    <row r="14205" spans="8:18" x14ac:dyDescent="0.2">
      <c r="H14205" s="180"/>
      <c r="P14205" s="180" t="s">
        <v>257</v>
      </c>
      <c r="R14205" s="180" t="s">
        <v>257</v>
      </c>
    </row>
    <row r="14206" spans="8:18" x14ac:dyDescent="0.2">
      <c r="H14206" s="180"/>
      <c r="P14206" s="180" t="s">
        <v>257</v>
      </c>
      <c r="R14206" s="180" t="s">
        <v>257</v>
      </c>
    </row>
    <row r="14207" spans="8:18" x14ac:dyDescent="0.2">
      <c r="H14207" s="180"/>
      <c r="P14207" s="180" t="s">
        <v>257</v>
      </c>
      <c r="R14207" s="180" t="s">
        <v>257</v>
      </c>
    </row>
    <row r="14208" spans="8:18" x14ac:dyDescent="0.2">
      <c r="H14208" s="180"/>
      <c r="P14208" s="180" t="s">
        <v>257</v>
      </c>
      <c r="R14208" s="180" t="s">
        <v>257</v>
      </c>
    </row>
    <row r="14209" spans="8:18" x14ac:dyDescent="0.2">
      <c r="H14209" s="180"/>
      <c r="P14209" s="180" t="s">
        <v>257</v>
      </c>
      <c r="R14209" s="180" t="s">
        <v>257</v>
      </c>
    </row>
    <row r="14210" spans="8:18" x14ac:dyDescent="0.2">
      <c r="H14210" s="180"/>
      <c r="P14210" s="180" t="s">
        <v>257</v>
      </c>
      <c r="R14210" s="180" t="s">
        <v>257</v>
      </c>
    </row>
    <row r="14211" spans="8:18" x14ac:dyDescent="0.2">
      <c r="H14211" s="180"/>
      <c r="P14211" s="180" t="s">
        <v>257</v>
      </c>
      <c r="R14211" s="180" t="s">
        <v>257</v>
      </c>
    </row>
    <row r="14212" spans="8:18" x14ac:dyDescent="0.2">
      <c r="H14212" s="180"/>
      <c r="P14212" s="180" t="s">
        <v>257</v>
      </c>
      <c r="R14212" s="180" t="s">
        <v>257</v>
      </c>
    </row>
    <row r="14213" spans="8:18" x14ac:dyDescent="0.2">
      <c r="H14213" s="180"/>
      <c r="P14213" s="180" t="s">
        <v>257</v>
      </c>
      <c r="R14213" s="180" t="s">
        <v>257</v>
      </c>
    </row>
    <row r="14214" spans="8:18" x14ac:dyDescent="0.2">
      <c r="H14214" s="180"/>
      <c r="P14214" s="180" t="s">
        <v>257</v>
      </c>
      <c r="R14214" s="180" t="s">
        <v>257</v>
      </c>
    </row>
    <row r="14215" spans="8:18" x14ac:dyDescent="0.2">
      <c r="H14215" s="180"/>
      <c r="P14215" s="180" t="s">
        <v>257</v>
      </c>
      <c r="R14215" s="180" t="s">
        <v>257</v>
      </c>
    </row>
    <row r="14216" spans="8:18" x14ac:dyDescent="0.2">
      <c r="H14216" s="180"/>
      <c r="P14216" s="180" t="s">
        <v>257</v>
      </c>
      <c r="R14216" s="180" t="s">
        <v>257</v>
      </c>
    </row>
    <row r="14217" spans="8:18" x14ac:dyDescent="0.2">
      <c r="H14217" s="180"/>
      <c r="P14217" s="180" t="s">
        <v>257</v>
      </c>
      <c r="R14217" s="180" t="s">
        <v>257</v>
      </c>
    </row>
    <row r="14218" spans="8:18" x14ac:dyDescent="0.2">
      <c r="H14218" s="180"/>
      <c r="P14218" s="180" t="s">
        <v>257</v>
      </c>
      <c r="R14218" s="180" t="s">
        <v>257</v>
      </c>
    </row>
    <row r="14219" spans="8:18" x14ac:dyDescent="0.2">
      <c r="H14219" s="180"/>
      <c r="P14219" s="180" t="s">
        <v>257</v>
      </c>
      <c r="R14219" s="180" t="s">
        <v>257</v>
      </c>
    </row>
    <row r="14220" spans="8:18" x14ac:dyDescent="0.2">
      <c r="H14220" s="180"/>
      <c r="P14220" s="180" t="s">
        <v>257</v>
      </c>
      <c r="R14220" s="180" t="s">
        <v>257</v>
      </c>
    </row>
    <row r="14221" spans="8:18" x14ac:dyDescent="0.2">
      <c r="H14221" s="180"/>
      <c r="P14221" s="180" t="s">
        <v>257</v>
      </c>
      <c r="R14221" s="180" t="s">
        <v>257</v>
      </c>
    </row>
    <row r="14222" spans="8:18" x14ac:dyDescent="0.2">
      <c r="H14222" s="180"/>
      <c r="P14222" s="180" t="s">
        <v>257</v>
      </c>
      <c r="R14222" s="180" t="s">
        <v>257</v>
      </c>
    </row>
    <row r="14223" spans="8:18" x14ac:dyDescent="0.2">
      <c r="H14223" s="180"/>
      <c r="P14223" s="180" t="s">
        <v>257</v>
      </c>
      <c r="R14223" s="180" t="s">
        <v>257</v>
      </c>
    </row>
    <row r="14224" spans="8:18" x14ac:dyDescent="0.2">
      <c r="H14224" s="180"/>
      <c r="P14224" s="180" t="s">
        <v>257</v>
      </c>
      <c r="R14224" s="180" t="s">
        <v>257</v>
      </c>
    </row>
    <row r="14225" spans="8:18" x14ac:dyDescent="0.2">
      <c r="H14225" s="180"/>
      <c r="P14225" s="180" t="s">
        <v>257</v>
      </c>
      <c r="R14225" s="180" t="s">
        <v>257</v>
      </c>
    </row>
    <row r="14226" spans="8:18" x14ac:dyDescent="0.2">
      <c r="H14226" s="180"/>
      <c r="P14226" s="180" t="s">
        <v>257</v>
      </c>
      <c r="R14226" s="180" t="s">
        <v>257</v>
      </c>
    </row>
    <row r="14227" spans="8:18" x14ac:dyDescent="0.2">
      <c r="H14227" s="180"/>
      <c r="P14227" s="180" t="s">
        <v>257</v>
      </c>
      <c r="R14227" s="180" t="s">
        <v>257</v>
      </c>
    </row>
    <row r="14228" spans="8:18" x14ac:dyDescent="0.2">
      <c r="H14228" s="180"/>
      <c r="P14228" s="180" t="s">
        <v>257</v>
      </c>
      <c r="R14228" s="180" t="s">
        <v>257</v>
      </c>
    </row>
    <row r="14229" spans="8:18" x14ac:dyDescent="0.2">
      <c r="H14229" s="180"/>
      <c r="P14229" s="180" t="s">
        <v>257</v>
      </c>
      <c r="R14229" s="180" t="s">
        <v>257</v>
      </c>
    </row>
    <row r="14230" spans="8:18" x14ac:dyDescent="0.2">
      <c r="H14230" s="180"/>
      <c r="P14230" s="180" t="s">
        <v>257</v>
      </c>
      <c r="R14230" s="180" t="s">
        <v>257</v>
      </c>
    </row>
    <row r="14231" spans="8:18" x14ac:dyDescent="0.2">
      <c r="H14231" s="180"/>
      <c r="P14231" s="180" t="s">
        <v>257</v>
      </c>
      <c r="R14231" s="180" t="s">
        <v>257</v>
      </c>
    </row>
    <row r="14232" spans="8:18" x14ac:dyDescent="0.2">
      <c r="H14232" s="180"/>
      <c r="P14232" s="180" t="s">
        <v>257</v>
      </c>
      <c r="R14232" s="180" t="s">
        <v>257</v>
      </c>
    </row>
    <row r="14233" spans="8:18" x14ac:dyDescent="0.2">
      <c r="H14233" s="180"/>
      <c r="P14233" s="180" t="s">
        <v>257</v>
      </c>
      <c r="R14233" s="180" t="s">
        <v>257</v>
      </c>
    </row>
    <row r="14234" spans="8:18" x14ac:dyDescent="0.2">
      <c r="H14234" s="180"/>
      <c r="P14234" s="180" t="s">
        <v>257</v>
      </c>
      <c r="R14234" s="180" t="s">
        <v>257</v>
      </c>
    </row>
    <row r="14235" spans="8:18" x14ac:dyDescent="0.2">
      <c r="H14235" s="180"/>
      <c r="P14235" s="180" t="s">
        <v>257</v>
      </c>
      <c r="R14235" s="180" t="s">
        <v>257</v>
      </c>
    </row>
    <row r="14236" spans="8:18" x14ac:dyDescent="0.2">
      <c r="H14236" s="180"/>
      <c r="P14236" s="180" t="s">
        <v>257</v>
      </c>
      <c r="R14236" s="180" t="s">
        <v>257</v>
      </c>
    </row>
    <row r="14237" spans="8:18" x14ac:dyDescent="0.2">
      <c r="H14237" s="180"/>
      <c r="P14237" s="180" t="s">
        <v>257</v>
      </c>
      <c r="R14237" s="180" t="s">
        <v>257</v>
      </c>
    </row>
    <row r="14238" spans="8:18" x14ac:dyDescent="0.2">
      <c r="H14238" s="180"/>
      <c r="P14238" s="180" t="s">
        <v>257</v>
      </c>
      <c r="R14238" s="180" t="s">
        <v>257</v>
      </c>
    </row>
    <row r="14239" spans="8:18" x14ac:dyDescent="0.2">
      <c r="H14239" s="180"/>
      <c r="P14239" s="180" t="s">
        <v>257</v>
      </c>
      <c r="R14239" s="180" t="s">
        <v>257</v>
      </c>
    </row>
    <row r="14240" spans="8:18" x14ac:dyDescent="0.2">
      <c r="H14240" s="180"/>
      <c r="P14240" s="180" t="s">
        <v>257</v>
      </c>
      <c r="R14240" s="180" t="s">
        <v>257</v>
      </c>
    </row>
    <row r="14241" spans="8:18" x14ac:dyDescent="0.2">
      <c r="H14241" s="180"/>
      <c r="P14241" s="180" t="s">
        <v>257</v>
      </c>
      <c r="R14241" s="180" t="s">
        <v>257</v>
      </c>
    </row>
    <row r="14242" spans="8:18" x14ac:dyDescent="0.2">
      <c r="H14242" s="180"/>
      <c r="P14242" s="180" t="s">
        <v>257</v>
      </c>
      <c r="R14242" s="180" t="s">
        <v>257</v>
      </c>
    </row>
    <row r="14243" spans="8:18" x14ac:dyDescent="0.2">
      <c r="H14243" s="180"/>
      <c r="P14243" s="180" t="s">
        <v>257</v>
      </c>
      <c r="R14243" s="180" t="s">
        <v>257</v>
      </c>
    </row>
    <row r="14244" spans="8:18" x14ac:dyDescent="0.2">
      <c r="H14244" s="180"/>
      <c r="P14244" s="180" t="s">
        <v>257</v>
      </c>
      <c r="R14244" s="180" t="s">
        <v>257</v>
      </c>
    </row>
    <row r="14245" spans="8:18" x14ac:dyDescent="0.2">
      <c r="H14245" s="180"/>
      <c r="P14245" s="180" t="s">
        <v>257</v>
      </c>
      <c r="R14245" s="180" t="s">
        <v>257</v>
      </c>
    </row>
    <row r="14246" spans="8:18" x14ac:dyDescent="0.2">
      <c r="H14246" s="180"/>
      <c r="P14246" s="180" t="s">
        <v>257</v>
      </c>
      <c r="R14246" s="180" t="s">
        <v>257</v>
      </c>
    </row>
    <row r="14247" spans="8:18" x14ac:dyDescent="0.2">
      <c r="H14247" s="180"/>
      <c r="P14247" s="180" t="s">
        <v>257</v>
      </c>
      <c r="R14247" s="180" t="s">
        <v>257</v>
      </c>
    </row>
    <row r="14248" spans="8:18" x14ac:dyDescent="0.2">
      <c r="H14248" s="180"/>
      <c r="P14248" s="180" t="s">
        <v>257</v>
      </c>
      <c r="R14248" s="180" t="s">
        <v>257</v>
      </c>
    </row>
    <row r="14249" spans="8:18" x14ac:dyDescent="0.2">
      <c r="H14249" s="180"/>
      <c r="P14249" s="180" t="s">
        <v>257</v>
      </c>
      <c r="R14249" s="180" t="s">
        <v>257</v>
      </c>
    </row>
    <row r="14250" spans="8:18" x14ac:dyDescent="0.2">
      <c r="H14250" s="180"/>
      <c r="P14250" s="180" t="s">
        <v>257</v>
      </c>
      <c r="R14250" s="180" t="s">
        <v>257</v>
      </c>
    </row>
    <row r="14251" spans="8:18" x14ac:dyDescent="0.2">
      <c r="H14251" s="180"/>
      <c r="P14251" s="180" t="s">
        <v>257</v>
      </c>
      <c r="R14251" s="180" t="s">
        <v>257</v>
      </c>
    </row>
    <row r="14252" spans="8:18" x14ac:dyDescent="0.2">
      <c r="H14252" s="180"/>
      <c r="P14252" s="180" t="s">
        <v>257</v>
      </c>
      <c r="R14252" s="180" t="s">
        <v>257</v>
      </c>
    </row>
    <row r="14253" spans="8:18" x14ac:dyDescent="0.2">
      <c r="H14253" s="180"/>
      <c r="P14253" s="180" t="s">
        <v>257</v>
      </c>
      <c r="R14253" s="180" t="s">
        <v>257</v>
      </c>
    </row>
    <row r="14254" spans="8:18" x14ac:dyDescent="0.2">
      <c r="H14254" s="180"/>
      <c r="P14254" s="180" t="s">
        <v>257</v>
      </c>
      <c r="R14254" s="180" t="s">
        <v>257</v>
      </c>
    </row>
    <row r="14255" spans="8:18" x14ac:dyDescent="0.2">
      <c r="H14255" s="180"/>
      <c r="P14255" s="180" t="s">
        <v>257</v>
      </c>
      <c r="R14255" s="180" t="s">
        <v>257</v>
      </c>
    </row>
    <row r="14256" spans="8:18" x14ac:dyDescent="0.2">
      <c r="H14256" s="180"/>
      <c r="P14256" s="180" t="s">
        <v>257</v>
      </c>
      <c r="R14256" s="180" t="s">
        <v>257</v>
      </c>
    </row>
    <row r="14257" spans="8:18" x14ac:dyDescent="0.2">
      <c r="H14257" s="180"/>
      <c r="P14257" s="180" t="s">
        <v>257</v>
      </c>
      <c r="R14257" s="180" t="s">
        <v>257</v>
      </c>
    </row>
    <row r="14258" spans="8:18" x14ac:dyDescent="0.2">
      <c r="H14258" s="180"/>
      <c r="P14258" s="180" t="s">
        <v>257</v>
      </c>
      <c r="R14258" s="180" t="s">
        <v>257</v>
      </c>
    </row>
    <row r="14259" spans="8:18" x14ac:dyDescent="0.2">
      <c r="H14259" s="180"/>
      <c r="P14259" s="180" t="s">
        <v>257</v>
      </c>
      <c r="R14259" s="180" t="s">
        <v>257</v>
      </c>
    </row>
    <row r="14260" spans="8:18" x14ac:dyDescent="0.2">
      <c r="H14260" s="180"/>
      <c r="P14260" s="180" t="s">
        <v>257</v>
      </c>
      <c r="R14260" s="180" t="s">
        <v>257</v>
      </c>
    </row>
    <row r="14261" spans="8:18" x14ac:dyDescent="0.2">
      <c r="H14261" s="180"/>
      <c r="P14261" s="180" t="s">
        <v>257</v>
      </c>
      <c r="R14261" s="180" t="s">
        <v>257</v>
      </c>
    </row>
    <row r="14262" spans="8:18" x14ac:dyDescent="0.2">
      <c r="H14262" s="180"/>
      <c r="P14262" s="180" t="s">
        <v>257</v>
      </c>
      <c r="R14262" s="180" t="s">
        <v>257</v>
      </c>
    </row>
    <row r="14263" spans="8:18" x14ac:dyDescent="0.2">
      <c r="H14263" s="180"/>
      <c r="P14263" s="180" t="s">
        <v>257</v>
      </c>
      <c r="R14263" s="180" t="s">
        <v>257</v>
      </c>
    </row>
    <row r="14264" spans="8:18" x14ac:dyDescent="0.2">
      <c r="H14264" s="180"/>
      <c r="P14264" s="180" t="s">
        <v>257</v>
      </c>
      <c r="R14264" s="180" t="s">
        <v>257</v>
      </c>
    </row>
    <row r="14265" spans="8:18" x14ac:dyDescent="0.2">
      <c r="H14265" s="180"/>
      <c r="P14265" s="180" t="s">
        <v>257</v>
      </c>
      <c r="R14265" s="180" t="s">
        <v>257</v>
      </c>
    </row>
    <row r="14266" spans="8:18" x14ac:dyDescent="0.2">
      <c r="H14266" s="180"/>
      <c r="P14266" s="180" t="s">
        <v>257</v>
      </c>
      <c r="R14266" s="180" t="s">
        <v>257</v>
      </c>
    </row>
    <row r="14267" spans="8:18" x14ac:dyDescent="0.2">
      <c r="H14267" s="180"/>
      <c r="P14267" s="180" t="s">
        <v>257</v>
      </c>
      <c r="R14267" s="180" t="s">
        <v>257</v>
      </c>
    </row>
    <row r="14268" spans="8:18" x14ac:dyDescent="0.2">
      <c r="H14268" s="180"/>
      <c r="P14268" s="180" t="s">
        <v>257</v>
      </c>
      <c r="R14268" s="180" t="s">
        <v>257</v>
      </c>
    </row>
    <row r="14269" spans="8:18" x14ac:dyDescent="0.2">
      <c r="H14269" s="180"/>
      <c r="P14269" s="180" t="s">
        <v>257</v>
      </c>
      <c r="R14269" s="180" t="s">
        <v>257</v>
      </c>
    </row>
    <row r="14270" spans="8:18" x14ac:dyDescent="0.2">
      <c r="H14270" s="180"/>
      <c r="P14270" s="180" t="s">
        <v>257</v>
      </c>
      <c r="R14270" s="180" t="s">
        <v>257</v>
      </c>
    </row>
    <row r="14271" spans="8:18" x14ac:dyDescent="0.2">
      <c r="H14271" s="180"/>
      <c r="P14271" s="180" t="s">
        <v>257</v>
      </c>
      <c r="R14271" s="180" t="s">
        <v>257</v>
      </c>
    </row>
    <row r="14272" spans="8:18" x14ac:dyDescent="0.2">
      <c r="H14272" s="180"/>
      <c r="P14272" s="180" t="s">
        <v>257</v>
      </c>
      <c r="R14272" s="180" t="s">
        <v>257</v>
      </c>
    </row>
    <row r="14273" spans="8:18" x14ac:dyDescent="0.2">
      <c r="H14273" s="180"/>
      <c r="P14273" s="180" t="s">
        <v>257</v>
      </c>
      <c r="R14273" s="180" t="s">
        <v>257</v>
      </c>
    </row>
    <row r="14274" spans="8:18" x14ac:dyDescent="0.2">
      <c r="H14274" s="180"/>
      <c r="P14274" s="180" t="s">
        <v>257</v>
      </c>
      <c r="R14274" s="180" t="s">
        <v>257</v>
      </c>
    </row>
    <row r="14275" spans="8:18" x14ac:dyDescent="0.2">
      <c r="H14275" s="180"/>
      <c r="P14275" s="180" t="s">
        <v>257</v>
      </c>
      <c r="R14275" s="180" t="s">
        <v>257</v>
      </c>
    </row>
    <row r="14276" spans="8:18" x14ac:dyDescent="0.2">
      <c r="H14276" s="180"/>
      <c r="P14276" s="180" t="s">
        <v>257</v>
      </c>
      <c r="R14276" s="180" t="s">
        <v>257</v>
      </c>
    </row>
    <row r="14277" spans="8:18" x14ac:dyDescent="0.2">
      <c r="H14277" s="180"/>
      <c r="P14277" s="180" t="s">
        <v>257</v>
      </c>
      <c r="R14277" s="180" t="s">
        <v>257</v>
      </c>
    </row>
    <row r="14278" spans="8:18" x14ac:dyDescent="0.2">
      <c r="H14278" s="180"/>
      <c r="P14278" s="180" t="s">
        <v>257</v>
      </c>
      <c r="R14278" s="180" t="s">
        <v>257</v>
      </c>
    </row>
    <row r="14279" spans="8:18" x14ac:dyDescent="0.2">
      <c r="H14279" s="180"/>
      <c r="P14279" s="180" t="s">
        <v>257</v>
      </c>
      <c r="R14279" s="180" t="s">
        <v>257</v>
      </c>
    </row>
    <row r="14280" spans="8:18" x14ac:dyDescent="0.2">
      <c r="H14280" s="180"/>
      <c r="P14280" s="180" t="s">
        <v>257</v>
      </c>
      <c r="R14280" s="180" t="s">
        <v>257</v>
      </c>
    </row>
    <row r="14281" spans="8:18" x14ac:dyDescent="0.2">
      <c r="H14281" s="180"/>
      <c r="P14281" s="180" t="s">
        <v>257</v>
      </c>
      <c r="R14281" s="180" t="s">
        <v>257</v>
      </c>
    </row>
    <row r="14282" spans="8:18" x14ac:dyDescent="0.2">
      <c r="H14282" s="180"/>
      <c r="P14282" s="180" t="s">
        <v>257</v>
      </c>
      <c r="R14282" s="180" t="s">
        <v>257</v>
      </c>
    </row>
    <row r="14283" spans="8:18" x14ac:dyDescent="0.2">
      <c r="H14283" s="180"/>
      <c r="P14283" s="180" t="s">
        <v>257</v>
      </c>
      <c r="R14283" s="180" t="s">
        <v>257</v>
      </c>
    </row>
    <row r="14284" spans="8:18" x14ac:dyDescent="0.2">
      <c r="H14284" s="180"/>
      <c r="P14284" s="180" t="s">
        <v>257</v>
      </c>
      <c r="R14284" s="180" t="s">
        <v>257</v>
      </c>
    </row>
    <row r="14285" spans="8:18" x14ac:dyDescent="0.2">
      <c r="H14285" s="180"/>
      <c r="P14285" s="180" t="s">
        <v>257</v>
      </c>
      <c r="R14285" s="180" t="s">
        <v>257</v>
      </c>
    </row>
    <row r="14286" spans="8:18" x14ac:dyDescent="0.2">
      <c r="H14286" s="180"/>
      <c r="P14286" s="180" t="s">
        <v>257</v>
      </c>
      <c r="R14286" s="180" t="s">
        <v>257</v>
      </c>
    </row>
    <row r="14287" spans="8:18" x14ac:dyDescent="0.2">
      <c r="H14287" s="180"/>
      <c r="P14287" s="180" t="s">
        <v>257</v>
      </c>
      <c r="R14287" s="180" t="s">
        <v>257</v>
      </c>
    </row>
    <row r="14288" spans="8:18" x14ac:dyDescent="0.2">
      <c r="H14288" s="180"/>
      <c r="P14288" s="180" t="s">
        <v>257</v>
      </c>
      <c r="R14288" s="180" t="s">
        <v>257</v>
      </c>
    </row>
    <row r="14289" spans="8:18" x14ac:dyDescent="0.2">
      <c r="H14289" s="180"/>
      <c r="P14289" s="180" t="s">
        <v>257</v>
      </c>
      <c r="R14289" s="180" t="s">
        <v>257</v>
      </c>
    </row>
    <row r="14290" spans="8:18" x14ac:dyDescent="0.2">
      <c r="H14290" s="180"/>
      <c r="P14290" s="180" t="s">
        <v>257</v>
      </c>
      <c r="R14290" s="180" t="s">
        <v>257</v>
      </c>
    </row>
    <row r="14291" spans="8:18" x14ac:dyDescent="0.2">
      <c r="H14291" s="180"/>
      <c r="P14291" s="180" t="s">
        <v>257</v>
      </c>
      <c r="R14291" s="180" t="s">
        <v>257</v>
      </c>
    </row>
    <row r="14292" spans="8:18" x14ac:dyDescent="0.2">
      <c r="H14292" s="180"/>
      <c r="P14292" s="180" t="s">
        <v>257</v>
      </c>
      <c r="R14292" s="180" t="s">
        <v>257</v>
      </c>
    </row>
    <row r="14293" spans="8:18" x14ac:dyDescent="0.2">
      <c r="H14293" s="180"/>
      <c r="P14293" s="180" t="s">
        <v>257</v>
      </c>
      <c r="R14293" s="180" t="s">
        <v>257</v>
      </c>
    </row>
    <row r="14294" spans="8:18" x14ac:dyDescent="0.2">
      <c r="H14294" s="180"/>
      <c r="P14294" s="180" t="s">
        <v>257</v>
      </c>
      <c r="R14294" s="180" t="s">
        <v>257</v>
      </c>
    </row>
    <row r="14295" spans="8:18" x14ac:dyDescent="0.2">
      <c r="H14295" s="180"/>
      <c r="P14295" s="180" t="s">
        <v>257</v>
      </c>
      <c r="R14295" s="180" t="s">
        <v>257</v>
      </c>
    </row>
    <row r="14296" spans="8:18" x14ac:dyDescent="0.2">
      <c r="H14296" s="180"/>
      <c r="P14296" s="180" t="s">
        <v>257</v>
      </c>
      <c r="R14296" s="180" t="s">
        <v>257</v>
      </c>
    </row>
    <row r="14297" spans="8:18" x14ac:dyDescent="0.2">
      <c r="H14297" s="180"/>
      <c r="P14297" s="180" t="s">
        <v>257</v>
      </c>
      <c r="R14297" s="180" t="s">
        <v>257</v>
      </c>
    </row>
    <row r="14298" spans="8:18" x14ac:dyDescent="0.2">
      <c r="H14298" s="180"/>
      <c r="P14298" s="180" t="s">
        <v>257</v>
      </c>
      <c r="R14298" s="180" t="s">
        <v>257</v>
      </c>
    </row>
    <row r="14299" spans="8:18" x14ac:dyDescent="0.2">
      <c r="H14299" s="180"/>
      <c r="P14299" s="180" t="s">
        <v>257</v>
      </c>
      <c r="R14299" s="180" t="s">
        <v>257</v>
      </c>
    </row>
    <row r="14300" spans="8:18" x14ac:dyDescent="0.2">
      <c r="H14300" s="180"/>
      <c r="P14300" s="180" t="s">
        <v>257</v>
      </c>
      <c r="R14300" s="180" t="s">
        <v>257</v>
      </c>
    </row>
    <row r="14301" spans="8:18" x14ac:dyDescent="0.2">
      <c r="H14301" s="180"/>
      <c r="P14301" s="180" t="s">
        <v>257</v>
      </c>
      <c r="R14301" s="180" t="s">
        <v>257</v>
      </c>
    </row>
    <row r="14302" spans="8:18" x14ac:dyDescent="0.2">
      <c r="H14302" s="180"/>
      <c r="P14302" s="180" t="s">
        <v>257</v>
      </c>
      <c r="R14302" s="180" t="s">
        <v>257</v>
      </c>
    </row>
    <row r="14303" spans="8:18" x14ac:dyDescent="0.2">
      <c r="H14303" s="180"/>
      <c r="P14303" s="180" t="s">
        <v>257</v>
      </c>
      <c r="R14303" s="180" t="s">
        <v>257</v>
      </c>
    </row>
    <row r="14304" spans="8:18" x14ac:dyDescent="0.2">
      <c r="H14304" s="180"/>
      <c r="P14304" s="180" t="s">
        <v>257</v>
      </c>
      <c r="R14304" s="180" t="s">
        <v>257</v>
      </c>
    </row>
    <row r="14305" spans="8:18" x14ac:dyDescent="0.2">
      <c r="H14305" s="180"/>
      <c r="P14305" s="180" t="s">
        <v>257</v>
      </c>
      <c r="R14305" s="180" t="s">
        <v>257</v>
      </c>
    </row>
    <row r="14306" spans="8:18" x14ac:dyDescent="0.2">
      <c r="H14306" s="180"/>
      <c r="P14306" s="180" t="s">
        <v>257</v>
      </c>
      <c r="R14306" s="180" t="s">
        <v>257</v>
      </c>
    </row>
    <row r="14307" spans="8:18" x14ac:dyDescent="0.2">
      <c r="H14307" s="180"/>
      <c r="P14307" s="180" t="s">
        <v>257</v>
      </c>
      <c r="R14307" s="180" t="s">
        <v>257</v>
      </c>
    </row>
    <row r="14308" spans="8:18" x14ac:dyDescent="0.2">
      <c r="H14308" s="180"/>
      <c r="P14308" s="180" t="s">
        <v>257</v>
      </c>
      <c r="R14308" s="180" t="s">
        <v>257</v>
      </c>
    </row>
    <row r="14309" spans="8:18" x14ac:dyDescent="0.2">
      <c r="H14309" s="180"/>
      <c r="P14309" s="180" t="s">
        <v>257</v>
      </c>
      <c r="R14309" s="180" t="s">
        <v>257</v>
      </c>
    </row>
    <row r="14310" spans="8:18" x14ac:dyDescent="0.2">
      <c r="H14310" s="180"/>
      <c r="P14310" s="180" t="s">
        <v>257</v>
      </c>
      <c r="R14310" s="180" t="s">
        <v>257</v>
      </c>
    </row>
    <row r="14311" spans="8:18" x14ac:dyDescent="0.2">
      <c r="H14311" s="180"/>
      <c r="P14311" s="180" t="s">
        <v>257</v>
      </c>
      <c r="R14311" s="180" t="s">
        <v>257</v>
      </c>
    </row>
    <row r="14312" spans="8:18" x14ac:dyDescent="0.2">
      <c r="H14312" s="180"/>
      <c r="P14312" s="180" t="s">
        <v>257</v>
      </c>
      <c r="R14312" s="180" t="s">
        <v>257</v>
      </c>
    </row>
    <row r="14313" spans="8:18" x14ac:dyDescent="0.2">
      <c r="H14313" s="180"/>
      <c r="P14313" s="180" t="s">
        <v>257</v>
      </c>
      <c r="R14313" s="180" t="s">
        <v>257</v>
      </c>
    </row>
    <row r="14314" spans="8:18" x14ac:dyDescent="0.2">
      <c r="H14314" s="180"/>
      <c r="P14314" s="180" t="s">
        <v>257</v>
      </c>
      <c r="R14314" s="180" t="s">
        <v>257</v>
      </c>
    </row>
    <row r="14315" spans="8:18" x14ac:dyDescent="0.2">
      <c r="H14315" s="180"/>
      <c r="P14315" s="180" t="s">
        <v>257</v>
      </c>
      <c r="R14315" s="180" t="s">
        <v>257</v>
      </c>
    </row>
    <row r="14316" spans="8:18" x14ac:dyDescent="0.2">
      <c r="H14316" s="180"/>
      <c r="P14316" s="180" t="s">
        <v>257</v>
      </c>
      <c r="R14316" s="180" t="s">
        <v>257</v>
      </c>
    </row>
    <row r="14317" spans="8:18" x14ac:dyDescent="0.2">
      <c r="H14317" s="180"/>
      <c r="P14317" s="180" t="s">
        <v>257</v>
      </c>
      <c r="R14317" s="180" t="s">
        <v>257</v>
      </c>
    </row>
    <row r="14318" spans="8:18" x14ac:dyDescent="0.2">
      <c r="H14318" s="180"/>
      <c r="P14318" s="180" t="s">
        <v>257</v>
      </c>
      <c r="R14318" s="180" t="s">
        <v>257</v>
      </c>
    </row>
    <row r="14319" spans="8:18" x14ac:dyDescent="0.2">
      <c r="H14319" s="180"/>
      <c r="P14319" s="180" t="s">
        <v>257</v>
      </c>
      <c r="R14319" s="180" t="s">
        <v>257</v>
      </c>
    </row>
    <row r="14320" spans="8:18" x14ac:dyDescent="0.2">
      <c r="H14320" s="180"/>
      <c r="P14320" s="180" t="s">
        <v>257</v>
      </c>
      <c r="R14320" s="180" t="s">
        <v>257</v>
      </c>
    </row>
    <row r="14321" spans="8:18" x14ac:dyDescent="0.2">
      <c r="H14321" s="180"/>
      <c r="P14321" s="180" t="s">
        <v>257</v>
      </c>
      <c r="R14321" s="180" t="s">
        <v>257</v>
      </c>
    </row>
    <row r="14322" spans="8:18" x14ac:dyDescent="0.2">
      <c r="H14322" s="180"/>
      <c r="P14322" s="180" t="s">
        <v>257</v>
      </c>
      <c r="R14322" s="180" t="s">
        <v>257</v>
      </c>
    </row>
    <row r="14323" spans="8:18" x14ac:dyDescent="0.2">
      <c r="H14323" s="180"/>
      <c r="P14323" s="180" t="s">
        <v>257</v>
      </c>
      <c r="R14323" s="180" t="s">
        <v>257</v>
      </c>
    </row>
    <row r="14324" spans="8:18" x14ac:dyDescent="0.2">
      <c r="H14324" s="180"/>
      <c r="P14324" s="180" t="s">
        <v>257</v>
      </c>
      <c r="R14324" s="180" t="s">
        <v>257</v>
      </c>
    </row>
    <row r="14325" spans="8:18" x14ac:dyDescent="0.2">
      <c r="H14325" s="180"/>
      <c r="P14325" s="180" t="s">
        <v>257</v>
      </c>
      <c r="R14325" s="180" t="s">
        <v>257</v>
      </c>
    </row>
    <row r="14326" spans="8:18" x14ac:dyDescent="0.2">
      <c r="H14326" s="180"/>
      <c r="P14326" s="180" t="s">
        <v>257</v>
      </c>
      <c r="R14326" s="180" t="s">
        <v>257</v>
      </c>
    </row>
    <row r="14327" spans="8:18" x14ac:dyDescent="0.2">
      <c r="H14327" s="180"/>
      <c r="P14327" s="180" t="s">
        <v>257</v>
      </c>
      <c r="R14327" s="180" t="s">
        <v>257</v>
      </c>
    </row>
    <row r="14328" spans="8:18" x14ac:dyDescent="0.2">
      <c r="H14328" s="180"/>
      <c r="P14328" s="180" t="s">
        <v>257</v>
      </c>
      <c r="R14328" s="180" t="s">
        <v>257</v>
      </c>
    </row>
    <row r="14329" spans="8:18" x14ac:dyDescent="0.2">
      <c r="H14329" s="180"/>
      <c r="P14329" s="180" t="s">
        <v>257</v>
      </c>
      <c r="R14329" s="180" t="s">
        <v>257</v>
      </c>
    </row>
    <row r="14330" spans="8:18" x14ac:dyDescent="0.2">
      <c r="H14330" s="180"/>
      <c r="P14330" s="180" t="s">
        <v>257</v>
      </c>
      <c r="R14330" s="180" t="s">
        <v>257</v>
      </c>
    </row>
    <row r="14331" spans="8:18" x14ac:dyDescent="0.2">
      <c r="H14331" s="180"/>
      <c r="P14331" s="180" t="s">
        <v>257</v>
      </c>
      <c r="R14331" s="180" t="s">
        <v>257</v>
      </c>
    </row>
    <row r="14332" spans="8:18" x14ac:dyDescent="0.2">
      <c r="H14332" s="180"/>
      <c r="P14332" s="180" t="s">
        <v>257</v>
      </c>
      <c r="R14332" s="180" t="s">
        <v>257</v>
      </c>
    </row>
    <row r="14333" spans="8:18" x14ac:dyDescent="0.2">
      <c r="H14333" s="180"/>
      <c r="P14333" s="180" t="s">
        <v>257</v>
      </c>
      <c r="R14333" s="180" t="s">
        <v>257</v>
      </c>
    </row>
    <row r="14334" spans="8:18" x14ac:dyDescent="0.2">
      <c r="H14334" s="180"/>
      <c r="P14334" s="180" t="s">
        <v>257</v>
      </c>
      <c r="R14334" s="180" t="s">
        <v>257</v>
      </c>
    </row>
    <row r="14335" spans="8:18" x14ac:dyDescent="0.2">
      <c r="H14335" s="180"/>
      <c r="P14335" s="180" t="s">
        <v>257</v>
      </c>
      <c r="R14335" s="180" t="s">
        <v>257</v>
      </c>
    </row>
    <row r="14336" spans="8:18" x14ac:dyDescent="0.2">
      <c r="H14336" s="180"/>
      <c r="P14336" s="180" t="s">
        <v>257</v>
      </c>
      <c r="R14336" s="180" t="s">
        <v>257</v>
      </c>
    </row>
    <row r="14337" spans="8:18" x14ac:dyDescent="0.2">
      <c r="H14337" s="180"/>
      <c r="P14337" s="180" t="s">
        <v>257</v>
      </c>
      <c r="R14337" s="180" t="s">
        <v>257</v>
      </c>
    </row>
    <row r="14338" spans="8:18" x14ac:dyDescent="0.2">
      <c r="H14338" s="180"/>
      <c r="P14338" s="180" t="s">
        <v>257</v>
      </c>
      <c r="R14338" s="180" t="s">
        <v>257</v>
      </c>
    </row>
    <row r="14339" spans="8:18" x14ac:dyDescent="0.2">
      <c r="H14339" s="180"/>
      <c r="P14339" s="180" t="s">
        <v>257</v>
      </c>
      <c r="R14339" s="180" t="s">
        <v>257</v>
      </c>
    </row>
    <row r="14340" spans="8:18" x14ac:dyDescent="0.2">
      <c r="H14340" s="180"/>
      <c r="P14340" s="180" t="s">
        <v>257</v>
      </c>
      <c r="R14340" s="180" t="s">
        <v>257</v>
      </c>
    </row>
    <row r="14341" spans="8:18" x14ac:dyDescent="0.2">
      <c r="H14341" s="180"/>
      <c r="P14341" s="180" t="s">
        <v>257</v>
      </c>
      <c r="R14341" s="180" t="s">
        <v>257</v>
      </c>
    </row>
    <row r="14342" spans="8:18" x14ac:dyDescent="0.2">
      <c r="H14342" s="180"/>
      <c r="P14342" s="180" t="s">
        <v>257</v>
      </c>
      <c r="R14342" s="180" t="s">
        <v>257</v>
      </c>
    </row>
    <row r="14343" spans="8:18" x14ac:dyDescent="0.2">
      <c r="H14343" s="180"/>
      <c r="P14343" s="180" t="s">
        <v>257</v>
      </c>
      <c r="R14343" s="180" t="s">
        <v>257</v>
      </c>
    </row>
    <row r="14344" spans="8:18" x14ac:dyDescent="0.2">
      <c r="H14344" s="180"/>
      <c r="P14344" s="180" t="s">
        <v>257</v>
      </c>
      <c r="R14344" s="180" t="s">
        <v>257</v>
      </c>
    </row>
    <row r="14345" spans="8:18" x14ac:dyDescent="0.2">
      <c r="H14345" s="180"/>
      <c r="P14345" s="180" t="s">
        <v>257</v>
      </c>
      <c r="R14345" s="180" t="s">
        <v>257</v>
      </c>
    </row>
    <row r="14346" spans="8:18" x14ac:dyDescent="0.2">
      <c r="H14346" s="180"/>
      <c r="P14346" s="180" t="s">
        <v>257</v>
      </c>
      <c r="R14346" s="180" t="s">
        <v>257</v>
      </c>
    </row>
    <row r="14347" spans="8:18" x14ac:dyDescent="0.2">
      <c r="H14347" s="180"/>
      <c r="P14347" s="180" t="s">
        <v>257</v>
      </c>
      <c r="R14347" s="180" t="s">
        <v>257</v>
      </c>
    </row>
    <row r="14348" spans="8:18" x14ac:dyDescent="0.2">
      <c r="H14348" s="180"/>
      <c r="P14348" s="180" t="s">
        <v>257</v>
      </c>
      <c r="R14348" s="180" t="s">
        <v>257</v>
      </c>
    </row>
    <row r="14349" spans="8:18" x14ac:dyDescent="0.2">
      <c r="H14349" s="180"/>
      <c r="P14349" s="180" t="s">
        <v>257</v>
      </c>
      <c r="R14349" s="180" t="s">
        <v>257</v>
      </c>
    </row>
    <row r="14350" spans="8:18" x14ac:dyDescent="0.2">
      <c r="H14350" s="180"/>
      <c r="P14350" s="180" t="s">
        <v>257</v>
      </c>
      <c r="R14350" s="180" t="s">
        <v>257</v>
      </c>
    </row>
    <row r="14351" spans="8:18" x14ac:dyDescent="0.2">
      <c r="H14351" s="180"/>
      <c r="P14351" s="180" t="s">
        <v>257</v>
      </c>
      <c r="R14351" s="180" t="s">
        <v>257</v>
      </c>
    </row>
    <row r="14352" spans="8:18" x14ac:dyDescent="0.2">
      <c r="H14352" s="180"/>
      <c r="P14352" s="180" t="s">
        <v>257</v>
      </c>
      <c r="R14352" s="180" t="s">
        <v>257</v>
      </c>
    </row>
    <row r="14353" spans="8:18" x14ac:dyDescent="0.2">
      <c r="H14353" s="180"/>
      <c r="P14353" s="180" t="s">
        <v>257</v>
      </c>
      <c r="R14353" s="180" t="s">
        <v>257</v>
      </c>
    </row>
    <row r="14354" spans="8:18" x14ac:dyDescent="0.2">
      <c r="H14354" s="180"/>
      <c r="P14354" s="180" t="s">
        <v>257</v>
      </c>
      <c r="R14354" s="180" t="s">
        <v>257</v>
      </c>
    </row>
    <row r="14355" spans="8:18" x14ac:dyDescent="0.2">
      <c r="H14355" s="180"/>
      <c r="P14355" s="180" t="s">
        <v>257</v>
      </c>
      <c r="R14355" s="180" t="s">
        <v>257</v>
      </c>
    </row>
    <row r="14356" spans="8:18" x14ac:dyDescent="0.2">
      <c r="H14356" s="180"/>
      <c r="P14356" s="180" t="s">
        <v>257</v>
      </c>
      <c r="R14356" s="180" t="s">
        <v>257</v>
      </c>
    </row>
    <row r="14357" spans="8:18" x14ac:dyDescent="0.2">
      <c r="H14357" s="180"/>
      <c r="P14357" s="180" t="s">
        <v>257</v>
      </c>
      <c r="R14357" s="180" t="s">
        <v>257</v>
      </c>
    </row>
    <row r="14358" spans="8:18" x14ac:dyDescent="0.2">
      <c r="H14358" s="180"/>
      <c r="P14358" s="180" t="s">
        <v>257</v>
      </c>
      <c r="R14358" s="180" t="s">
        <v>257</v>
      </c>
    </row>
    <row r="14359" spans="8:18" x14ac:dyDescent="0.2">
      <c r="H14359" s="180"/>
      <c r="P14359" s="180" t="s">
        <v>257</v>
      </c>
      <c r="R14359" s="180" t="s">
        <v>257</v>
      </c>
    </row>
    <row r="14360" spans="8:18" x14ac:dyDescent="0.2">
      <c r="H14360" s="180"/>
      <c r="P14360" s="180" t="s">
        <v>257</v>
      </c>
      <c r="R14360" s="180" t="s">
        <v>257</v>
      </c>
    </row>
    <row r="14361" spans="8:18" x14ac:dyDescent="0.2">
      <c r="H14361" s="180"/>
      <c r="P14361" s="180" t="s">
        <v>257</v>
      </c>
      <c r="R14361" s="180" t="s">
        <v>257</v>
      </c>
    </row>
    <row r="14362" spans="8:18" x14ac:dyDescent="0.2">
      <c r="H14362" s="180"/>
      <c r="P14362" s="180" t="s">
        <v>257</v>
      </c>
      <c r="R14362" s="180" t="s">
        <v>257</v>
      </c>
    </row>
    <row r="14363" spans="8:18" x14ac:dyDescent="0.2">
      <c r="H14363" s="180"/>
      <c r="P14363" s="180" t="s">
        <v>257</v>
      </c>
      <c r="R14363" s="180" t="s">
        <v>257</v>
      </c>
    </row>
    <row r="14364" spans="8:18" x14ac:dyDescent="0.2">
      <c r="H14364" s="180"/>
      <c r="P14364" s="180" t="s">
        <v>257</v>
      </c>
      <c r="R14364" s="180" t="s">
        <v>257</v>
      </c>
    </row>
    <row r="14365" spans="8:18" x14ac:dyDescent="0.2">
      <c r="H14365" s="180"/>
      <c r="P14365" s="180" t="s">
        <v>257</v>
      </c>
      <c r="R14365" s="180" t="s">
        <v>257</v>
      </c>
    </row>
    <row r="14366" spans="8:18" x14ac:dyDescent="0.2">
      <c r="H14366" s="180"/>
      <c r="P14366" s="180" t="s">
        <v>257</v>
      </c>
      <c r="R14366" s="180" t="s">
        <v>257</v>
      </c>
    </row>
    <row r="14367" spans="8:18" x14ac:dyDescent="0.2">
      <c r="H14367" s="180"/>
      <c r="P14367" s="180" t="s">
        <v>257</v>
      </c>
      <c r="R14367" s="180" t="s">
        <v>257</v>
      </c>
    </row>
    <row r="14368" spans="8:18" x14ac:dyDescent="0.2">
      <c r="H14368" s="180"/>
      <c r="P14368" s="180" t="s">
        <v>257</v>
      </c>
      <c r="R14368" s="180" t="s">
        <v>257</v>
      </c>
    </row>
    <row r="14369" spans="8:18" x14ac:dyDescent="0.2">
      <c r="H14369" s="180"/>
      <c r="P14369" s="180" t="s">
        <v>257</v>
      </c>
      <c r="R14369" s="180" t="s">
        <v>257</v>
      </c>
    </row>
    <row r="14370" spans="8:18" x14ac:dyDescent="0.2">
      <c r="H14370" s="180"/>
      <c r="P14370" s="180" t="s">
        <v>257</v>
      </c>
      <c r="R14370" s="180" t="s">
        <v>257</v>
      </c>
    </row>
    <row r="14371" spans="8:18" x14ac:dyDescent="0.2">
      <c r="H14371" s="180"/>
      <c r="P14371" s="180" t="s">
        <v>257</v>
      </c>
      <c r="R14371" s="180" t="s">
        <v>257</v>
      </c>
    </row>
    <row r="14372" spans="8:18" x14ac:dyDescent="0.2">
      <c r="H14372" s="180"/>
      <c r="P14372" s="180" t="s">
        <v>257</v>
      </c>
      <c r="R14372" s="180" t="s">
        <v>257</v>
      </c>
    </row>
    <row r="14373" spans="8:18" x14ac:dyDescent="0.2">
      <c r="H14373" s="180"/>
      <c r="P14373" s="180" t="s">
        <v>257</v>
      </c>
      <c r="R14373" s="180" t="s">
        <v>257</v>
      </c>
    </row>
    <row r="14374" spans="8:18" x14ac:dyDescent="0.2">
      <c r="H14374" s="180"/>
      <c r="P14374" s="180" t="s">
        <v>257</v>
      </c>
      <c r="R14374" s="180" t="s">
        <v>257</v>
      </c>
    </row>
    <row r="14375" spans="8:18" x14ac:dyDescent="0.2">
      <c r="H14375" s="180"/>
      <c r="P14375" s="180" t="s">
        <v>257</v>
      </c>
      <c r="R14375" s="180" t="s">
        <v>257</v>
      </c>
    </row>
    <row r="14376" spans="8:18" x14ac:dyDescent="0.2">
      <c r="H14376" s="180"/>
      <c r="P14376" s="180" t="s">
        <v>257</v>
      </c>
      <c r="R14376" s="180" t="s">
        <v>257</v>
      </c>
    </row>
    <row r="14377" spans="8:18" x14ac:dyDescent="0.2">
      <c r="H14377" s="180"/>
      <c r="P14377" s="180" t="s">
        <v>257</v>
      </c>
      <c r="R14377" s="180" t="s">
        <v>257</v>
      </c>
    </row>
    <row r="14378" spans="8:18" x14ac:dyDescent="0.2">
      <c r="H14378" s="180"/>
      <c r="P14378" s="180" t="s">
        <v>257</v>
      </c>
      <c r="R14378" s="180" t="s">
        <v>257</v>
      </c>
    </row>
    <row r="14379" spans="8:18" x14ac:dyDescent="0.2">
      <c r="H14379" s="180"/>
      <c r="P14379" s="180" t="s">
        <v>257</v>
      </c>
      <c r="R14379" s="180" t="s">
        <v>257</v>
      </c>
    </row>
    <row r="14380" spans="8:18" x14ac:dyDescent="0.2">
      <c r="H14380" s="180"/>
      <c r="P14380" s="180" t="s">
        <v>257</v>
      </c>
      <c r="R14380" s="180" t="s">
        <v>257</v>
      </c>
    </row>
    <row r="14381" spans="8:18" x14ac:dyDescent="0.2">
      <c r="H14381" s="180"/>
      <c r="P14381" s="180" t="s">
        <v>257</v>
      </c>
      <c r="R14381" s="180" t="s">
        <v>257</v>
      </c>
    </row>
    <row r="14382" spans="8:18" x14ac:dyDescent="0.2">
      <c r="H14382" s="180"/>
      <c r="P14382" s="180" t="s">
        <v>257</v>
      </c>
      <c r="R14382" s="180" t="s">
        <v>257</v>
      </c>
    </row>
    <row r="14383" spans="8:18" x14ac:dyDescent="0.2">
      <c r="H14383" s="180"/>
      <c r="P14383" s="180" t="s">
        <v>257</v>
      </c>
      <c r="R14383" s="180" t="s">
        <v>257</v>
      </c>
    </row>
    <row r="14384" spans="8:18" x14ac:dyDescent="0.2">
      <c r="H14384" s="180"/>
      <c r="P14384" s="180" t="s">
        <v>257</v>
      </c>
      <c r="R14384" s="180" t="s">
        <v>257</v>
      </c>
    </row>
    <row r="14385" spans="8:18" x14ac:dyDescent="0.2">
      <c r="H14385" s="180"/>
      <c r="P14385" s="180" t="s">
        <v>257</v>
      </c>
      <c r="R14385" s="180" t="s">
        <v>257</v>
      </c>
    </row>
    <row r="14386" spans="8:18" x14ac:dyDescent="0.2">
      <c r="H14386" s="180"/>
      <c r="P14386" s="180" t="s">
        <v>257</v>
      </c>
      <c r="R14386" s="180" t="s">
        <v>257</v>
      </c>
    </row>
    <row r="14387" spans="8:18" x14ac:dyDescent="0.2">
      <c r="H14387" s="180"/>
      <c r="P14387" s="180" t="s">
        <v>257</v>
      </c>
      <c r="R14387" s="180" t="s">
        <v>257</v>
      </c>
    </row>
    <row r="14388" spans="8:18" x14ac:dyDescent="0.2">
      <c r="H14388" s="180"/>
      <c r="P14388" s="180" t="s">
        <v>257</v>
      </c>
      <c r="R14388" s="180" t="s">
        <v>257</v>
      </c>
    </row>
    <row r="14389" spans="8:18" x14ac:dyDescent="0.2">
      <c r="H14389" s="180"/>
      <c r="P14389" s="180" t="s">
        <v>257</v>
      </c>
      <c r="R14389" s="180" t="s">
        <v>257</v>
      </c>
    </row>
    <row r="14390" spans="8:18" x14ac:dyDescent="0.2">
      <c r="H14390" s="180"/>
      <c r="P14390" s="180" t="s">
        <v>257</v>
      </c>
      <c r="R14390" s="180" t="s">
        <v>257</v>
      </c>
    </row>
    <row r="14391" spans="8:18" x14ac:dyDescent="0.2">
      <c r="H14391" s="180"/>
      <c r="P14391" s="180" t="s">
        <v>257</v>
      </c>
      <c r="R14391" s="180" t="s">
        <v>257</v>
      </c>
    </row>
    <row r="14392" spans="8:18" x14ac:dyDescent="0.2">
      <c r="H14392" s="180"/>
      <c r="P14392" s="180" t="s">
        <v>257</v>
      </c>
      <c r="R14392" s="180" t="s">
        <v>257</v>
      </c>
    </row>
    <row r="14393" spans="8:18" x14ac:dyDescent="0.2">
      <c r="H14393" s="180"/>
      <c r="P14393" s="180" t="s">
        <v>257</v>
      </c>
      <c r="R14393" s="180" t="s">
        <v>257</v>
      </c>
    </row>
    <row r="14394" spans="8:18" x14ac:dyDescent="0.2">
      <c r="H14394" s="180"/>
      <c r="P14394" s="180" t="s">
        <v>257</v>
      </c>
      <c r="R14394" s="180" t="s">
        <v>257</v>
      </c>
    </row>
    <row r="14395" spans="8:18" x14ac:dyDescent="0.2">
      <c r="H14395" s="180"/>
      <c r="P14395" s="180" t="s">
        <v>257</v>
      </c>
      <c r="R14395" s="180" t="s">
        <v>257</v>
      </c>
    </row>
    <row r="14396" spans="8:18" x14ac:dyDescent="0.2">
      <c r="H14396" s="180"/>
      <c r="P14396" s="180" t="s">
        <v>257</v>
      </c>
      <c r="R14396" s="180" t="s">
        <v>257</v>
      </c>
    </row>
    <row r="14397" spans="8:18" x14ac:dyDescent="0.2">
      <c r="H14397" s="180"/>
      <c r="P14397" s="180" t="s">
        <v>257</v>
      </c>
      <c r="R14397" s="180" t="s">
        <v>257</v>
      </c>
    </row>
    <row r="14398" spans="8:18" x14ac:dyDescent="0.2">
      <c r="H14398" s="180"/>
      <c r="P14398" s="180" t="s">
        <v>257</v>
      </c>
      <c r="R14398" s="180" t="s">
        <v>257</v>
      </c>
    </row>
    <row r="14399" spans="8:18" x14ac:dyDescent="0.2">
      <c r="H14399" s="180"/>
      <c r="P14399" s="180" t="s">
        <v>257</v>
      </c>
      <c r="R14399" s="180" t="s">
        <v>257</v>
      </c>
    </row>
    <row r="14400" spans="8:18" x14ac:dyDescent="0.2">
      <c r="H14400" s="180"/>
      <c r="P14400" s="180" t="s">
        <v>257</v>
      </c>
      <c r="R14400" s="180" t="s">
        <v>257</v>
      </c>
    </row>
    <row r="14401" spans="8:18" x14ac:dyDescent="0.2">
      <c r="H14401" s="180"/>
      <c r="P14401" s="180" t="s">
        <v>257</v>
      </c>
      <c r="R14401" s="180" t="s">
        <v>257</v>
      </c>
    </row>
    <row r="14402" spans="8:18" x14ac:dyDescent="0.2">
      <c r="H14402" s="180"/>
      <c r="P14402" s="180" t="s">
        <v>257</v>
      </c>
      <c r="R14402" s="180" t="s">
        <v>257</v>
      </c>
    </row>
    <row r="14403" spans="8:18" x14ac:dyDescent="0.2">
      <c r="H14403" s="180"/>
      <c r="P14403" s="180" t="s">
        <v>257</v>
      </c>
      <c r="R14403" s="180" t="s">
        <v>257</v>
      </c>
    </row>
    <row r="14404" spans="8:18" x14ac:dyDescent="0.2">
      <c r="H14404" s="180"/>
      <c r="P14404" s="180" t="s">
        <v>257</v>
      </c>
      <c r="R14404" s="180" t="s">
        <v>257</v>
      </c>
    </row>
    <row r="14405" spans="8:18" x14ac:dyDescent="0.2">
      <c r="H14405" s="180"/>
      <c r="P14405" s="180" t="s">
        <v>257</v>
      </c>
      <c r="R14405" s="180" t="s">
        <v>257</v>
      </c>
    </row>
    <row r="14406" spans="8:18" x14ac:dyDescent="0.2">
      <c r="H14406" s="180"/>
      <c r="P14406" s="180" t="s">
        <v>257</v>
      </c>
      <c r="R14406" s="180" t="s">
        <v>257</v>
      </c>
    </row>
    <row r="14407" spans="8:18" x14ac:dyDescent="0.2">
      <c r="H14407" s="180"/>
      <c r="P14407" s="180" t="s">
        <v>257</v>
      </c>
      <c r="R14407" s="180" t="s">
        <v>257</v>
      </c>
    </row>
    <row r="14408" spans="8:18" x14ac:dyDescent="0.2">
      <c r="H14408" s="180"/>
      <c r="P14408" s="180" t="s">
        <v>257</v>
      </c>
      <c r="R14408" s="180" t="s">
        <v>257</v>
      </c>
    </row>
    <row r="14409" spans="8:18" x14ac:dyDescent="0.2">
      <c r="H14409" s="180"/>
      <c r="P14409" s="180" t="s">
        <v>257</v>
      </c>
      <c r="R14409" s="180" t="s">
        <v>257</v>
      </c>
    </row>
    <row r="14410" spans="8:18" x14ac:dyDescent="0.2">
      <c r="H14410" s="180"/>
      <c r="P14410" s="180" t="s">
        <v>257</v>
      </c>
      <c r="R14410" s="180" t="s">
        <v>257</v>
      </c>
    </row>
    <row r="14411" spans="8:18" x14ac:dyDescent="0.2">
      <c r="H14411" s="180"/>
      <c r="P14411" s="180" t="s">
        <v>257</v>
      </c>
      <c r="R14411" s="180" t="s">
        <v>257</v>
      </c>
    </row>
    <row r="14412" spans="8:18" x14ac:dyDescent="0.2">
      <c r="H14412" s="180"/>
      <c r="P14412" s="180" t="s">
        <v>257</v>
      </c>
      <c r="R14412" s="180" t="s">
        <v>257</v>
      </c>
    </row>
    <row r="14413" spans="8:18" x14ac:dyDescent="0.2">
      <c r="H14413" s="180"/>
      <c r="P14413" s="180" t="s">
        <v>257</v>
      </c>
      <c r="R14413" s="180" t="s">
        <v>257</v>
      </c>
    </row>
    <row r="14414" spans="8:18" x14ac:dyDescent="0.2">
      <c r="H14414" s="180"/>
      <c r="P14414" s="180" t="s">
        <v>257</v>
      </c>
      <c r="R14414" s="180" t="s">
        <v>257</v>
      </c>
    </row>
    <row r="14415" spans="8:18" x14ac:dyDescent="0.2">
      <c r="H14415" s="180"/>
      <c r="P14415" s="180" t="s">
        <v>257</v>
      </c>
      <c r="R14415" s="180" t="s">
        <v>257</v>
      </c>
    </row>
    <row r="14416" spans="8:18" x14ac:dyDescent="0.2">
      <c r="H14416" s="180"/>
      <c r="P14416" s="180" t="s">
        <v>257</v>
      </c>
      <c r="R14416" s="180" t="s">
        <v>257</v>
      </c>
    </row>
    <row r="14417" spans="8:18" x14ac:dyDescent="0.2">
      <c r="H14417" s="180"/>
      <c r="P14417" s="180" t="s">
        <v>257</v>
      </c>
      <c r="R14417" s="180" t="s">
        <v>257</v>
      </c>
    </row>
    <row r="14418" spans="8:18" x14ac:dyDescent="0.2">
      <c r="H14418" s="180"/>
      <c r="P14418" s="180" t="s">
        <v>257</v>
      </c>
      <c r="R14418" s="180" t="s">
        <v>257</v>
      </c>
    </row>
    <row r="14419" spans="8:18" x14ac:dyDescent="0.2">
      <c r="H14419" s="180"/>
      <c r="P14419" s="180" t="s">
        <v>257</v>
      </c>
      <c r="R14419" s="180" t="s">
        <v>257</v>
      </c>
    </row>
    <row r="14420" spans="8:18" x14ac:dyDescent="0.2">
      <c r="H14420" s="180"/>
      <c r="P14420" s="180" t="s">
        <v>257</v>
      </c>
      <c r="R14420" s="180" t="s">
        <v>257</v>
      </c>
    </row>
    <row r="14421" spans="8:18" x14ac:dyDescent="0.2">
      <c r="H14421" s="180"/>
      <c r="P14421" s="180" t="s">
        <v>257</v>
      </c>
      <c r="R14421" s="180" t="s">
        <v>257</v>
      </c>
    </row>
    <row r="14422" spans="8:18" x14ac:dyDescent="0.2">
      <c r="H14422" s="180"/>
      <c r="P14422" s="180" t="s">
        <v>257</v>
      </c>
      <c r="R14422" s="180" t="s">
        <v>257</v>
      </c>
    </row>
    <row r="14423" spans="8:18" x14ac:dyDescent="0.2">
      <c r="H14423" s="180"/>
      <c r="P14423" s="180" t="s">
        <v>257</v>
      </c>
      <c r="R14423" s="180" t="s">
        <v>257</v>
      </c>
    </row>
    <row r="14424" spans="8:18" x14ac:dyDescent="0.2">
      <c r="H14424" s="180"/>
      <c r="P14424" s="180" t="s">
        <v>257</v>
      </c>
      <c r="R14424" s="180" t="s">
        <v>257</v>
      </c>
    </row>
    <row r="14425" spans="8:18" x14ac:dyDescent="0.2">
      <c r="H14425" s="180"/>
      <c r="P14425" s="180" t="s">
        <v>257</v>
      </c>
      <c r="R14425" s="180" t="s">
        <v>257</v>
      </c>
    </row>
    <row r="14426" spans="8:18" x14ac:dyDescent="0.2">
      <c r="H14426" s="180"/>
      <c r="P14426" s="180" t="s">
        <v>257</v>
      </c>
      <c r="R14426" s="180" t="s">
        <v>257</v>
      </c>
    </row>
    <row r="14427" spans="8:18" x14ac:dyDescent="0.2">
      <c r="H14427" s="180"/>
      <c r="P14427" s="180" t="s">
        <v>257</v>
      </c>
      <c r="R14427" s="180" t="s">
        <v>257</v>
      </c>
    </row>
    <row r="14428" spans="8:18" x14ac:dyDescent="0.2">
      <c r="H14428" s="180"/>
      <c r="P14428" s="180" t="s">
        <v>257</v>
      </c>
      <c r="R14428" s="180" t="s">
        <v>257</v>
      </c>
    </row>
    <row r="14429" spans="8:18" x14ac:dyDescent="0.2">
      <c r="H14429" s="180"/>
      <c r="P14429" s="180" t="s">
        <v>257</v>
      </c>
      <c r="R14429" s="180" t="s">
        <v>257</v>
      </c>
    </row>
    <row r="14430" spans="8:18" x14ac:dyDescent="0.2">
      <c r="H14430" s="180"/>
      <c r="P14430" s="180" t="s">
        <v>257</v>
      </c>
      <c r="R14430" s="180" t="s">
        <v>257</v>
      </c>
    </row>
    <row r="14431" spans="8:18" x14ac:dyDescent="0.2">
      <c r="H14431" s="180"/>
      <c r="P14431" s="180" t="s">
        <v>257</v>
      </c>
      <c r="R14431" s="180" t="s">
        <v>257</v>
      </c>
    </row>
    <row r="14432" spans="8:18" x14ac:dyDescent="0.2">
      <c r="H14432" s="180"/>
      <c r="P14432" s="180" t="s">
        <v>257</v>
      </c>
      <c r="R14432" s="180" t="s">
        <v>257</v>
      </c>
    </row>
    <row r="14433" spans="8:18" x14ac:dyDescent="0.2">
      <c r="H14433" s="180"/>
      <c r="P14433" s="180" t="s">
        <v>257</v>
      </c>
      <c r="R14433" s="180" t="s">
        <v>257</v>
      </c>
    </row>
    <row r="14434" spans="8:18" x14ac:dyDescent="0.2">
      <c r="H14434" s="180"/>
      <c r="P14434" s="180" t="s">
        <v>257</v>
      </c>
      <c r="R14434" s="180" t="s">
        <v>257</v>
      </c>
    </row>
    <row r="14435" spans="8:18" x14ac:dyDescent="0.2">
      <c r="H14435" s="180"/>
      <c r="P14435" s="180" t="s">
        <v>257</v>
      </c>
      <c r="R14435" s="180" t="s">
        <v>257</v>
      </c>
    </row>
    <row r="14436" spans="8:18" x14ac:dyDescent="0.2">
      <c r="H14436" s="180"/>
      <c r="P14436" s="180" t="s">
        <v>257</v>
      </c>
      <c r="R14436" s="180" t="s">
        <v>257</v>
      </c>
    </row>
    <row r="14437" spans="8:18" x14ac:dyDescent="0.2">
      <c r="H14437" s="180"/>
      <c r="P14437" s="180" t="s">
        <v>257</v>
      </c>
      <c r="R14437" s="180" t="s">
        <v>257</v>
      </c>
    </row>
    <row r="14438" spans="8:18" x14ac:dyDescent="0.2">
      <c r="H14438" s="180"/>
      <c r="P14438" s="180" t="s">
        <v>257</v>
      </c>
      <c r="R14438" s="180" t="s">
        <v>257</v>
      </c>
    </row>
    <row r="14439" spans="8:18" x14ac:dyDescent="0.2">
      <c r="H14439" s="180"/>
      <c r="P14439" s="180" t="s">
        <v>257</v>
      </c>
      <c r="R14439" s="180" t="s">
        <v>257</v>
      </c>
    </row>
    <row r="14440" spans="8:18" x14ac:dyDescent="0.2">
      <c r="H14440" s="180"/>
      <c r="P14440" s="180" t="s">
        <v>257</v>
      </c>
      <c r="R14440" s="180" t="s">
        <v>257</v>
      </c>
    </row>
    <row r="14441" spans="8:18" x14ac:dyDescent="0.2">
      <c r="H14441" s="180"/>
      <c r="P14441" s="180" t="s">
        <v>257</v>
      </c>
      <c r="R14441" s="180" t="s">
        <v>257</v>
      </c>
    </row>
    <row r="14442" spans="8:18" x14ac:dyDescent="0.2">
      <c r="H14442" s="180"/>
      <c r="P14442" s="180" t="s">
        <v>257</v>
      </c>
      <c r="R14442" s="180" t="s">
        <v>257</v>
      </c>
    </row>
    <row r="14443" spans="8:18" x14ac:dyDescent="0.2">
      <c r="H14443" s="180"/>
      <c r="P14443" s="180" t="s">
        <v>257</v>
      </c>
      <c r="R14443" s="180" t="s">
        <v>257</v>
      </c>
    </row>
    <row r="14444" spans="8:18" x14ac:dyDescent="0.2">
      <c r="H14444" s="180"/>
      <c r="P14444" s="180" t="s">
        <v>257</v>
      </c>
      <c r="R14444" s="180" t="s">
        <v>257</v>
      </c>
    </row>
    <row r="14445" spans="8:18" x14ac:dyDescent="0.2">
      <c r="H14445" s="180"/>
      <c r="P14445" s="180" t="s">
        <v>257</v>
      </c>
      <c r="R14445" s="180" t="s">
        <v>257</v>
      </c>
    </row>
    <row r="14446" spans="8:18" x14ac:dyDescent="0.2">
      <c r="H14446" s="180"/>
      <c r="P14446" s="180" t="s">
        <v>257</v>
      </c>
      <c r="R14446" s="180" t="s">
        <v>257</v>
      </c>
    </row>
    <row r="14447" spans="8:18" x14ac:dyDescent="0.2">
      <c r="H14447" s="180"/>
      <c r="P14447" s="180" t="s">
        <v>257</v>
      </c>
      <c r="R14447" s="180" t="s">
        <v>257</v>
      </c>
    </row>
    <row r="14448" spans="8:18" x14ac:dyDescent="0.2">
      <c r="H14448" s="180"/>
      <c r="P14448" s="180" t="s">
        <v>257</v>
      </c>
      <c r="R14448" s="180" t="s">
        <v>257</v>
      </c>
    </row>
    <row r="14449" spans="8:18" x14ac:dyDescent="0.2">
      <c r="H14449" s="180"/>
      <c r="P14449" s="180" t="s">
        <v>257</v>
      </c>
      <c r="R14449" s="180" t="s">
        <v>257</v>
      </c>
    </row>
    <row r="14450" spans="8:18" x14ac:dyDescent="0.2">
      <c r="H14450" s="180"/>
      <c r="P14450" s="180" t="s">
        <v>257</v>
      </c>
      <c r="R14450" s="180" t="s">
        <v>257</v>
      </c>
    </row>
    <row r="14451" spans="8:18" x14ac:dyDescent="0.2">
      <c r="H14451" s="180"/>
      <c r="P14451" s="180" t="s">
        <v>257</v>
      </c>
      <c r="R14451" s="180" t="s">
        <v>257</v>
      </c>
    </row>
    <row r="14452" spans="8:18" x14ac:dyDescent="0.2">
      <c r="H14452" s="180"/>
      <c r="P14452" s="180" t="s">
        <v>257</v>
      </c>
      <c r="R14452" s="180" t="s">
        <v>257</v>
      </c>
    </row>
    <row r="14453" spans="8:18" x14ac:dyDescent="0.2">
      <c r="H14453" s="180"/>
      <c r="P14453" s="180" t="s">
        <v>257</v>
      </c>
      <c r="R14453" s="180" t="s">
        <v>257</v>
      </c>
    </row>
    <row r="14454" spans="8:18" x14ac:dyDescent="0.2">
      <c r="H14454" s="180"/>
      <c r="P14454" s="180" t="s">
        <v>257</v>
      </c>
      <c r="R14454" s="180" t="s">
        <v>257</v>
      </c>
    </row>
    <row r="14455" spans="8:18" x14ac:dyDescent="0.2">
      <c r="H14455" s="180"/>
      <c r="P14455" s="180" t="s">
        <v>257</v>
      </c>
      <c r="R14455" s="180" t="s">
        <v>257</v>
      </c>
    </row>
    <row r="14456" spans="8:18" x14ac:dyDescent="0.2">
      <c r="H14456" s="180"/>
      <c r="P14456" s="180" t="s">
        <v>257</v>
      </c>
      <c r="R14456" s="180" t="s">
        <v>257</v>
      </c>
    </row>
    <row r="14457" spans="8:18" x14ac:dyDescent="0.2">
      <c r="H14457" s="180"/>
      <c r="P14457" s="180" t="s">
        <v>257</v>
      </c>
      <c r="R14457" s="180" t="s">
        <v>257</v>
      </c>
    </row>
    <row r="14458" spans="8:18" x14ac:dyDescent="0.2">
      <c r="H14458" s="180"/>
      <c r="P14458" s="180" t="s">
        <v>257</v>
      </c>
      <c r="R14458" s="180" t="s">
        <v>257</v>
      </c>
    </row>
    <row r="14459" spans="8:18" x14ac:dyDescent="0.2">
      <c r="H14459" s="180"/>
      <c r="P14459" s="180" t="s">
        <v>257</v>
      </c>
      <c r="R14459" s="180" t="s">
        <v>257</v>
      </c>
    </row>
    <row r="14460" spans="8:18" x14ac:dyDescent="0.2">
      <c r="H14460" s="180"/>
      <c r="P14460" s="180" t="s">
        <v>257</v>
      </c>
      <c r="R14460" s="180" t="s">
        <v>257</v>
      </c>
    </row>
    <row r="14461" spans="8:18" x14ac:dyDescent="0.2">
      <c r="H14461" s="180"/>
      <c r="P14461" s="180" t="s">
        <v>257</v>
      </c>
      <c r="R14461" s="180" t="s">
        <v>257</v>
      </c>
    </row>
    <row r="14462" spans="8:18" x14ac:dyDescent="0.2">
      <c r="H14462" s="180"/>
      <c r="P14462" s="180" t="s">
        <v>257</v>
      </c>
      <c r="R14462" s="180" t="s">
        <v>257</v>
      </c>
    </row>
    <row r="14463" spans="8:18" x14ac:dyDescent="0.2">
      <c r="H14463" s="180"/>
      <c r="P14463" s="180" t="s">
        <v>257</v>
      </c>
      <c r="R14463" s="180" t="s">
        <v>257</v>
      </c>
    </row>
    <row r="14464" spans="8:18" x14ac:dyDescent="0.2">
      <c r="H14464" s="180"/>
      <c r="P14464" s="180" t="s">
        <v>257</v>
      </c>
      <c r="R14464" s="180" t="s">
        <v>257</v>
      </c>
    </row>
    <row r="14465" spans="8:18" x14ac:dyDescent="0.2">
      <c r="H14465" s="180"/>
      <c r="P14465" s="180" t="s">
        <v>257</v>
      </c>
      <c r="R14465" s="180" t="s">
        <v>257</v>
      </c>
    </row>
    <row r="14466" spans="8:18" x14ac:dyDescent="0.2">
      <c r="H14466" s="180"/>
      <c r="P14466" s="180" t="s">
        <v>257</v>
      </c>
      <c r="R14466" s="180" t="s">
        <v>257</v>
      </c>
    </row>
    <row r="14467" spans="8:18" x14ac:dyDescent="0.2">
      <c r="H14467" s="180"/>
      <c r="P14467" s="180" t="s">
        <v>257</v>
      </c>
      <c r="R14467" s="180" t="s">
        <v>257</v>
      </c>
    </row>
    <row r="14468" spans="8:18" x14ac:dyDescent="0.2">
      <c r="H14468" s="180"/>
      <c r="P14468" s="180" t="s">
        <v>257</v>
      </c>
      <c r="R14468" s="180" t="s">
        <v>257</v>
      </c>
    </row>
    <row r="14469" spans="8:18" x14ac:dyDescent="0.2">
      <c r="H14469" s="180"/>
      <c r="P14469" s="180" t="s">
        <v>257</v>
      </c>
      <c r="R14469" s="180" t="s">
        <v>257</v>
      </c>
    </row>
    <row r="14470" spans="8:18" x14ac:dyDescent="0.2">
      <c r="H14470" s="180"/>
      <c r="P14470" s="180" t="s">
        <v>257</v>
      </c>
      <c r="R14470" s="180" t="s">
        <v>257</v>
      </c>
    </row>
    <row r="14471" spans="8:18" x14ac:dyDescent="0.2">
      <c r="H14471" s="180"/>
      <c r="P14471" s="180" t="s">
        <v>257</v>
      </c>
      <c r="R14471" s="180" t="s">
        <v>257</v>
      </c>
    </row>
    <row r="14472" spans="8:18" x14ac:dyDescent="0.2">
      <c r="H14472" s="180"/>
      <c r="P14472" s="180" t="s">
        <v>257</v>
      </c>
      <c r="R14472" s="180" t="s">
        <v>257</v>
      </c>
    </row>
    <row r="14473" spans="8:18" x14ac:dyDescent="0.2">
      <c r="H14473" s="180"/>
      <c r="P14473" s="180" t="s">
        <v>257</v>
      </c>
      <c r="R14473" s="180" t="s">
        <v>257</v>
      </c>
    </row>
    <row r="14474" spans="8:18" x14ac:dyDescent="0.2">
      <c r="H14474" s="180"/>
      <c r="P14474" s="180" t="s">
        <v>257</v>
      </c>
      <c r="R14474" s="180" t="s">
        <v>257</v>
      </c>
    </row>
    <row r="14475" spans="8:18" x14ac:dyDescent="0.2">
      <c r="H14475" s="180"/>
      <c r="P14475" s="180" t="s">
        <v>257</v>
      </c>
      <c r="R14475" s="180" t="s">
        <v>257</v>
      </c>
    </row>
    <row r="14476" spans="8:18" x14ac:dyDescent="0.2">
      <c r="H14476" s="180"/>
      <c r="P14476" s="180" t="s">
        <v>257</v>
      </c>
      <c r="R14476" s="180" t="s">
        <v>257</v>
      </c>
    </row>
    <row r="14477" spans="8:18" x14ac:dyDescent="0.2">
      <c r="H14477" s="180"/>
      <c r="P14477" s="180" t="s">
        <v>257</v>
      </c>
      <c r="R14477" s="180" t="s">
        <v>257</v>
      </c>
    </row>
    <row r="14478" spans="8:18" x14ac:dyDescent="0.2">
      <c r="H14478" s="180"/>
      <c r="P14478" s="180" t="s">
        <v>257</v>
      </c>
      <c r="R14478" s="180" t="s">
        <v>257</v>
      </c>
    </row>
    <row r="14479" spans="8:18" x14ac:dyDescent="0.2">
      <c r="H14479" s="180"/>
      <c r="P14479" s="180" t="s">
        <v>257</v>
      </c>
      <c r="R14479" s="180" t="s">
        <v>257</v>
      </c>
    </row>
    <row r="14480" spans="8:18" x14ac:dyDescent="0.2">
      <c r="H14480" s="180"/>
      <c r="P14480" s="180" t="s">
        <v>257</v>
      </c>
      <c r="R14480" s="180" t="s">
        <v>257</v>
      </c>
    </row>
    <row r="14481" spans="8:18" x14ac:dyDescent="0.2">
      <c r="H14481" s="180"/>
      <c r="P14481" s="180" t="s">
        <v>257</v>
      </c>
      <c r="R14481" s="180" t="s">
        <v>257</v>
      </c>
    </row>
    <row r="14482" spans="8:18" x14ac:dyDescent="0.2">
      <c r="H14482" s="180"/>
      <c r="P14482" s="180" t="s">
        <v>257</v>
      </c>
      <c r="R14482" s="180" t="s">
        <v>257</v>
      </c>
    </row>
    <row r="14483" spans="8:18" x14ac:dyDescent="0.2">
      <c r="H14483" s="180"/>
      <c r="P14483" s="180" t="s">
        <v>257</v>
      </c>
      <c r="R14483" s="180" t="s">
        <v>257</v>
      </c>
    </row>
    <row r="14484" spans="8:18" x14ac:dyDescent="0.2">
      <c r="H14484" s="180"/>
      <c r="P14484" s="180" t="s">
        <v>257</v>
      </c>
      <c r="R14484" s="180" t="s">
        <v>257</v>
      </c>
    </row>
    <row r="14485" spans="8:18" x14ac:dyDescent="0.2">
      <c r="H14485" s="180"/>
      <c r="P14485" s="180" t="s">
        <v>257</v>
      </c>
      <c r="R14485" s="180" t="s">
        <v>257</v>
      </c>
    </row>
    <row r="14486" spans="8:18" x14ac:dyDescent="0.2">
      <c r="H14486" s="180"/>
      <c r="P14486" s="180" t="s">
        <v>257</v>
      </c>
      <c r="R14486" s="180" t="s">
        <v>257</v>
      </c>
    </row>
    <row r="14487" spans="8:18" x14ac:dyDescent="0.2">
      <c r="H14487" s="180"/>
      <c r="P14487" s="180" t="s">
        <v>257</v>
      </c>
      <c r="R14487" s="180" t="s">
        <v>257</v>
      </c>
    </row>
    <row r="14488" spans="8:18" x14ac:dyDescent="0.2">
      <c r="H14488" s="180"/>
      <c r="P14488" s="180" t="s">
        <v>257</v>
      </c>
      <c r="R14488" s="180" t="s">
        <v>257</v>
      </c>
    </row>
    <row r="14489" spans="8:18" x14ac:dyDescent="0.2">
      <c r="H14489" s="180"/>
      <c r="P14489" s="180" t="s">
        <v>257</v>
      </c>
      <c r="R14489" s="180" t="s">
        <v>257</v>
      </c>
    </row>
    <row r="14490" spans="8:18" x14ac:dyDescent="0.2">
      <c r="H14490" s="180"/>
      <c r="P14490" s="180" t="s">
        <v>257</v>
      </c>
      <c r="R14490" s="180" t="s">
        <v>257</v>
      </c>
    </row>
    <row r="14491" spans="8:18" x14ac:dyDescent="0.2">
      <c r="H14491" s="180"/>
      <c r="P14491" s="180" t="s">
        <v>257</v>
      </c>
      <c r="R14491" s="180" t="s">
        <v>257</v>
      </c>
    </row>
    <row r="14492" spans="8:18" x14ac:dyDescent="0.2">
      <c r="H14492" s="180"/>
      <c r="P14492" s="180" t="s">
        <v>257</v>
      </c>
      <c r="R14492" s="180" t="s">
        <v>257</v>
      </c>
    </row>
    <row r="14493" spans="8:18" x14ac:dyDescent="0.2">
      <c r="H14493" s="180"/>
      <c r="P14493" s="180" t="s">
        <v>257</v>
      </c>
      <c r="R14493" s="180" t="s">
        <v>257</v>
      </c>
    </row>
    <row r="14494" spans="8:18" x14ac:dyDescent="0.2">
      <c r="H14494" s="180"/>
      <c r="P14494" s="180" t="s">
        <v>257</v>
      </c>
      <c r="R14494" s="180" t="s">
        <v>257</v>
      </c>
    </row>
    <row r="14495" spans="8:18" x14ac:dyDescent="0.2">
      <c r="H14495" s="180"/>
      <c r="P14495" s="180" t="s">
        <v>257</v>
      </c>
      <c r="R14495" s="180" t="s">
        <v>257</v>
      </c>
    </row>
    <row r="14496" spans="8:18" x14ac:dyDescent="0.2">
      <c r="H14496" s="180"/>
      <c r="P14496" s="180" t="s">
        <v>257</v>
      </c>
      <c r="R14496" s="180" t="s">
        <v>257</v>
      </c>
    </row>
    <row r="14497" spans="8:18" x14ac:dyDescent="0.2">
      <c r="H14497" s="180"/>
      <c r="P14497" s="180" t="s">
        <v>257</v>
      </c>
      <c r="R14497" s="180" t="s">
        <v>257</v>
      </c>
    </row>
    <row r="14498" spans="8:18" x14ac:dyDescent="0.2">
      <c r="H14498" s="180"/>
      <c r="P14498" s="180" t="s">
        <v>257</v>
      </c>
      <c r="R14498" s="180" t="s">
        <v>257</v>
      </c>
    </row>
    <row r="14499" spans="8:18" x14ac:dyDescent="0.2">
      <c r="H14499" s="180"/>
      <c r="P14499" s="180" t="s">
        <v>257</v>
      </c>
      <c r="R14499" s="180" t="s">
        <v>257</v>
      </c>
    </row>
    <row r="14500" spans="8:18" x14ac:dyDescent="0.2">
      <c r="H14500" s="180"/>
      <c r="P14500" s="180" t="s">
        <v>257</v>
      </c>
      <c r="R14500" s="180" t="s">
        <v>257</v>
      </c>
    </row>
    <row r="14501" spans="8:18" x14ac:dyDescent="0.2">
      <c r="H14501" s="180"/>
      <c r="P14501" s="180" t="s">
        <v>257</v>
      </c>
      <c r="R14501" s="180" t="s">
        <v>257</v>
      </c>
    </row>
    <row r="14502" spans="8:18" x14ac:dyDescent="0.2">
      <c r="H14502" s="180"/>
      <c r="P14502" s="180" t="s">
        <v>257</v>
      </c>
      <c r="R14502" s="180" t="s">
        <v>257</v>
      </c>
    </row>
    <row r="14503" spans="8:18" x14ac:dyDescent="0.2">
      <c r="H14503" s="180"/>
      <c r="P14503" s="180" t="s">
        <v>257</v>
      </c>
      <c r="R14503" s="180" t="s">
        <v>257</v>
      </c>
    </row>
    <row r="14504" spans="8:18" x14ac:dyDescent="0.2">
      <c r="H14504" s="180"/>
      <c r="P14504" s="180" t="s">
        <v>257</v>
      </c>
      <c r="R14504" s="180" t="s">
        <v>257</v>
      </c>
    </row>
    <row r="14505" spans="8:18" x14ac:dyDescent="0.2">
      <c r="H14505" s="180"/>
      <c r="P14505" s="180" t="s">
        <v>257</v>
      </c>
      <c r="R14505" s="180" t="s">
        <v>257</v>
      </c>
    </row>
    <row r="14506" spans="8:18" x14ac:dyDescent="0.2">
      <c r="H14506" s="180"/>
      <c r="P14506" s="180" t="s">
        <v>257</v>
      </c>
      <c r="R14506" s="180" t="s">
        <v>257</v>
      </c>
    </row>
    <row r="14507" spans="8:18" x14ac:dyDescent="0.2">
      <c r="H14507" s="180"/>
      <c r="P14507" s="180" t="s">
        <v>257</v>
      </c>
      <c r="R14507" s="180" t="s">
        <v>257</v>
      </c>
    </row>
    <row r="14508" spans="8:18" x14ac:dyDescent="0.2">
      <c r="H14508" s="180"/>
      <c r="P14508" s="180" t="s">
        <v>257</v>
      </c>
      <c r="R14508" s="180" t="s">
        <v>257</v>
      </c>
    </row>
    <row r="14509" spans="8:18" x14ac:dyDescent="0.2">
      <c r="H14509" s="180"/>
      <c r="P14509" s="180" t="s">
        <v>257</v>
      </c>
      <c r="R14509" s="180" t="s">
        <v>257</v>
      </c>
    </row>
    <row r="14510" spans="8:18" x14ac:dyDescent="0.2">
      <c r="H14510" s="180"/>
      <c r="P14510" s="180" t="s">
        <v>257</v>
      </c>
      <c r="R14510" s="180" t="s">
        <v>257</v>
      </c>
    </row>
    <row r="14511" spans="8:18" x14ac:dyDescent="0.2">
      <c r="H14511" s="180"/>
      <c r="P14511" s="180" t="s">
        <v>257</v>
      </c>
      <c r="R14511" s="180" t="s">
        <v>257</v>
      </c>
    </row>
    <row r="14512" spans="8:18" x14ac:dyDescent="0.2">
      <c r="H14512" s="180"/>
      <c r="P14512" s="180" t="s">
        <v>257</v>
      </c>
      <c r="R14512" s="180" t="s">
        <v>257</v>
      </c>
    </row>
    <row r="14513" spans="8:18" x14ac:dyDescent="0.2">
      <c r="H14513" s="180"/>
      <c r="P14513" s="180" t="s">
        <v>257</v>
      </c>
      <c r="R14513" s="180" t="s">
        <v>257</v>
      </c>
    </row>
    <row r="14514" spans="8:18" x14ac:dyDescent="0.2">
      <c r="H14514" s="180"/>
      <c r="P14514" s="180" t="s">
        <v>257</v>
      </c>
      <c r="R14514" s="180" t="s">
        <v>257</v>
      </c>
    </row>
    <row r="14515" spans="8:18" x14ac:dyDescent="0.2">
      <c r="H14515" s="180"/>
      <c r="P14515" s="180" t="s">
        <v>257</v>
      </c>
      <c r="R14515" s="180" t="s">
        <v>257</v>
      </c>
    </row>
    <row r="14516" spans="8:18" x14ac:dyDescent="0.2">
      <c r="H14516" s="180"/>
      <c r="P14516" s="180" t="s">
        <v>257</v>
      </c>
      <c r="R14516" s="180" t="s">
        <v>257</v>
      </c>
    </row>
    <row r="14517" spans="8:18" x14ac:dyDescent="0.2">
      <c r="H14517" s="180"/>
      <c r="P14517" s="180" t="s">
        <v>257</v>
      </c>
      <c r="R14517" s="180" t="s">
        <v>257</v>
      </c>
    </row>
    <row r="14518" spans="8:18" x14ac:dyDescent="0.2">
      <c r="H14518" s="180"/>
      <c r="P14518" s="180" t="s">
        <v>257</v>
      </c>
      <c r="R14518" s="180" t="s">
        <v>257</v>
      </c>
    </row>
    <row r="14519" spans="8:18" x14ac:dyDescent="0.2">
      <c r="H14519" s="180"/>
      <c r="P14519" s="180" t="s">
        <v>257</v>
      </c>
      <c r="R14519" s="180" t="s">
        <v>257</v>
      </c>
    </row>
    <row r="14520" spans="8:18" x14ac:dyDescent="0.2">
      <c r="H14520" s="180"/>
      <c r="P14520" s="180" t="s">
        <v>257</v>
      </c>
      <c r="R14520" s="180" t="s">
        <v>257</v>
      </c>
    </row>
    <row r="14521" spans="8:18" x14ac:dyDescent="0.2">
      <c r="H14521" s="180"/>
      <c r="P14521" s="180" t="s">
        <v>257</v>
      </c>
      <c r="R14521" s="180" t="s">
        <v>257</v>
      </c>
    </row>
    <row r="14522" spans="8:18" x14ac:dyDescent="0.2">
      <c r="H14522" s="180"/>
      <c r="P14522" s="180" t="s">
        <v>257</v>
      </c>
      <c r="R14522" s="180" t="s">
        <v>257</v>
      </c>
    </row>
    <row r="14523" spans="8:18" x14ac:dyDescent="0.2">
      <c r="H14523" s="180"/>
      <c r="P14523" s="180" t="s">
        <v>257</v>
      </c>
      <c r="R14523" s="180" t="s">
        <v>257</v>
      </c>
    </row>
    <row r="14524" spans="8:18" x14ac:dyDescent="0.2">
      <c r="H14524" s="180"/>
      <c r="P14524" s="180" t="s">
        <v>257</v>
      </c>
      <c r="R14524" s="180" t="s">
        <v>257</v>
      </c>
    </row>
    <row r="14525" spans="8:18" x14ac:dyDescent="0.2">
      <c r="H14525" s="180"/>
      <c r="P14525" s="180" t="s">
        <v>257</v>
      </c>
      <c r="R14525" s="180" t="s">
        <v>257</v>
      </c>
    </row>
    <row r="14526" spans="8:18" x14ac:dyDescent="0.2">
      <c r="H14526" s="180"/>
      <c r="P14526" s="180" t="s">
        <v>257</v>
      </c>
      <c r="R14526" s="180" t="s">
        <v>257</v>
      </c>
    </row>
    <row r="14527" spans="8:18" x14ac:dyDescent="0.2">
      <c r="H14527" s="180"/>
      <c r="P14527" s="180" t="s">
        <v>257</v>
      </c>
      <c r="R14527" s="180" t="s">
        <v>257</v>
      </c>
    </row>
    <row r="14528" spans="8:18" x14ac:dyDescent="0.2">
      <c r="H14528" s="180"/>
      <c r="P14528" s="180" t="s">
        <v>257</v>
      </c>
      <c r="R14528" s="180" t="s">
        <v>257</v>
      </c>
    </row>
    <row r="14529" spans="8:18" x14ac:dyDescent="0.2">
      <c r="H14529" s="180"/>
      <c r="P14529" s="180" t="s">
        <v>257</v>
      </c>
      <c r="R14529" s="180" t="s">
        <v>257</v>
      </c>
    </row>
    <row r="14530" spans="8:18" x14ac:dyDescent="0.2">
      <c r="H14530" s="180"/>
      <c r="P14530" s="180" t="s">
        <v>257</v>
      </c>
      <c r="R14530" s="180" t="s">
        <v>257</v>
      </c>
    </row>
    <row r="14531" spans="8:18" x14ac:dyDescent="0.2">
      <c r="H14531" s="180"/>
      <c r="P14531" s="180" t="s">
        <v>257</v>
      </c>
      <c r="R14531" s="180" t="s">
        <v>257</v>
      </c>
    </row>
    <row r="14532" spans="8:18" x14ac:dyDescent="0.2">
      <c r="H14532" s="180"/>
      <c r="P14532" s="180" t="s">
        <v>257</v>
      </c>
      <c r="R14532" s="180" t="s">
        <v>257</v>
      </c>
    </row>
    <row r="14533" spans="8:18" x14ac:dyDescent="0.2">
      <c r="H14533" s="180"/>
      <c r="P14533" s="180" t="s">
        <v>257</v>
      </c>
      <c r="R14533" s="180" t="s">
        <v>257</v>
      </c>
    </row>
    <row r="14534" spans="8:18" x14ac:dyDescent="0.2">
      <c r="H14534" s="180"/>
      <c r="P14534" s="180" t="s">
        <v>257</v>
      </c>
      <c r="R14534" s="180" t="s">
        <v>257</v>
      </c>
    </row>
    <row r="14535" spans="8:18" x14ac:dyDescent="0.2">
      <c r="H14535" s="180"/>
      <c r="P14535" s="180" t="s">
        <v>257</v>
      </c>
      <c r="R14535" s="180" t="s">
        <v>257</v>
      </c>
    </row>
    <row r="14536" spans="8:18" x14ac:dyDescent="0.2">
      <c r="H14536" s="180"/>
      <c r="P14536" s="180" t="s">
        <v>257</v>
      </c>
      <c r="R14536" s="180" t="s">
        <v>257</v>
      </c>
    </row>
    <row r="14537" spans="8:18" x14ac:dyDescent="0.2">
      <c r="H14537" s="180"/>
      <c r="P14537" s="180" t="s">
        <v>257</v>
      </c>
      <c r="R14537" s="180" t="s">
        <v>257</v>
      </c>
    </row>
    <row r="14538" spans="8:18" x14ac:dyDescent="0.2">
      <c r="H14538" s="180"/>
      <c r="P14538" s="180" t="s">
        <v>257</v>
      </c>
      <c r="R14538" s="180" t="s">
        <v>257</v>
      </c>
    </row>
    <row r="14539" spans="8:18" x14ac:dyDescent="0.2">
      <c r="H14539" s="180"/>
      <c r="P14539" s="180" t="s">
        <v>257</v>
      </c>
      <c r="R14539" s="180" t="s">
        <v>257</v>
      </c>
    </row>
    <row r="14540" spans="8:18" x14ac:dyDescent="0.2">
      <c r="H14540" s="180"/>
      <c r="P14540" s="180" t="s">
        <v>257</v>
      </c>
      <c r="R14540" s="180" t="s">
        <v>257</v>
      </c>
    </row>
    <row r="14541" spans="8:18" x14ac:dyDescent="0.2">
      <c r="H14541" s="180"/>
      <c r="P14541" s="180" t="s">
        <v>257</v>
      </c>
      <c r="R14541" s="180" t="s">
        <v>257</v>
      </c>
    </row>
    <row r="14542" spans="8:18" x14ac:dyDescent="0.2">
      <c r="H14542" s="180"/>
      <c r="P14542" s="180" t="s">
        <v>257</v>
      </c>
      <c r="R14542" s="180" t="s">
        <v>257</v>
      </c>
    </row>
    <row r="14543" spans="8:18" x14ac:dyDescent="0.2">
      <c r="H14543" s="180"/>
      <c r="P14543" s="180" t="s">
        <v>257</v>
      </c>
      <c r="R14543" s="180" t="s">
        <v>257</v>
      </c>
    </row>
    <row r="14544" spans="8:18" x14ac:dyDescent="0.2">
      <c r="H14544" s="180"/>
      <c r="P14544" s="180" t="s">
        <v>257</v>
      </c>
      <c r="R14544" s="180" t="s">
        <v>257</v>
      </c>
    </row>
    <row r="14545" spans="8:18" x14ac:dyDescent="0.2">
      <c r="H14545" s="180"/>
      <c r="P14545" s="180" t="s">
        <v>257</v>
      </c>
      <c r="R14545" s="180" t="s">
        <v>257</v>
      </c>
    </row>
    <row r="14546" spans="8:18" x14ac:dyDescent="0.2">
      <c r="H14546" s="180"/>
      <c r="P14546" s="180" t="s">
        <v>257</v>
      </c>
      <c r="R14546" s="180" t="s">
        <v>257</v>
      </c>
    </row>
    <row r="14547" spans="8:18" x14ac:dyDescent="0.2">
      <c r="H14547" s="180"/>
      <c r="P14547" s="180" t="s">
        <v>257</v>
      </c>
      <c r="R14547" s="180" t="s">
        <v>257</v>
      </c>
    </row>
    <row r="14548" spans="8:18" x14ac:dyDescent="0.2">
      <c r="H14548" s="180"/>
      <c r="P14548" s="180" t="s">
        <v>257</v>
      </c>
      <c r="R14548" s="180" t="s">
        <v>257</v>
      </c>
    </row>
    <row r="14549" spans="8:18" x14ac:dyDescent="0.2">
      <c r="H14549" s="180"/>
      <c r="P14549" s="180" t="s">
        <v>257</v>
      </c>
      <c r="R14549" s="180" t="s">
        <v>257</v>
      </c>
    </row>
    <row r="14550" spans="8:18" x14ac:dyDescent="0.2">
      <c r="H14550" s="180"/>
      <c r="P14550" s="180" t="s">
        <v>257</v>
      </c>
      <c r="R14550" s="180" t="s">
        <v>257</v>
      </c>
    </row>
    <row r="14551" spans="8:18" x14ac:dyDescent="0.2">
      <c r="H14551" s="180"/>
      <c r="P14551" s="180" t="s">
        <v>257</v>
      </c>
      <c r="R14551" s="180" t="s">
        <v>257</v>
      </c>
    </row>
    <row r="14552" spans="8:18" x14ac:dyDescent="0.2">
      <c r="H14552" s="180"/>
      <c r="P14552" s="180" t="s">
        <v>257</v>
      </c>
      <c r="R14552" s="180" t="s">
        <v>257</v>
      </c>
    </row>
    <row r="14553" spans="8:18" x14ac:dyDescent="0.2">
      <c r="H14553" s="180"/>
      <c r="P14553" s="180" t="s">
        <v>257</v>
      </c>
      <c r="R14553" s="180" t="s">
        <v>257</v>
      </c>
    </row>
    <row r="14554" spans="8:18" x14ac:dyDescent="0.2">
      <c r="H14554" s="180"/>
      <c r="P14554" s="180" t="s">
        <v>257</v>
      </c>
      <c r="R14554" s="180" t="s">
        <v>257</v>
      </c>
    </row>
    <row r="14555" spans="8:18" x14ac:dyDescent="0.2">
      <c r="H14555" s="180"/>
      <c r="P14555" s="180" t="s">
        <v>257</v>
      </c>
      <c r="R14555" s="180" t="s">
        <v>257</v>
      </c>
    </row>
    <row r="14556" spans="8:18" x14ac:dyDescent="0.2">
      <c r="H14556" s="180"/>
      <c r="P14556" s="180" t="s">
        <v>257</v>
      </c>
      <c r="R14556" s="180" t="s">
        <v>257</v>
      </c>
    </row>
    <row r="14557" spans="8:18" x14ac:dyDescent="0.2">
      <c r="H14557" s="180"/>
      <c r="P14557" s="180" t="s">
        <v>257</v>
      </c>
      <c r="R14557" s="180" t="s">
        <v>257</v>
      </c>
    </row>
    <row r="14558" spans="8:18" x14ac:dyDescent="0.2">
      <c r="H14558" s="180"/>
      <c r="P14558" s="180" t="s">
        <v>257</v>
      </c>
      <c r="R14558" s="180" t="s">
        <v>257</v>
      </c>
    </row>
    <row r="14559" spans="8:18" x14ac:dyDescent="0.2">
      <c r="H14559" s="180"/>
      <c r="P14559" s="180" t="s">
        <v>257</v>
      </c>
      <c r="R14559" s="180" t="s">
        <v>257</v>
      </c>
    </row>
    <row r="14560" spans="8:18" x14ac:dyDescent="0.2">
      <c r="H14560" s="180"/>
      <c r="P14560" s="180" t="s">
        <v>257</v>
      </c>
      <c r="R14560" s="180" t="s">
        <v>257</v>
      </c>
    </row>
    <row r="14561" spans="8:18" x14ac:dyDescent="0.2">
      <c r="H14561" s="180"/>
      <c r="P14561" s="180" t="s">
        <v>257</v>
      </c>
      <c r="R14561" s="180" t="s">
        <v>257</v>
      </c>
    </row>
    <row r="14562" spans="8:18" x14ac:dyDescent="0.2">
      <c r="H14562" s="180"/>
      <c r="P14562" s="180" t="s">
        <v>257</v>
      </c>
      <c r="R14562" s="180" t="s">
        <v>257</v>
      </c>
    </row>
    <row r="14563" spans="8:18" x14ac:dyDescent="0.2">
      <c r="H14563" s="180"/>
      <c r="P14563" s="180" t="s">
        <v>257</v>
      </c>
      <c r="R14563" s="180" t="s">
        <v>257</v>
      </c>
    </row>
    <row r="14564" spans="8:18" x14ac:dyDescent="0.2">
      <c r="H14564" s="180"/>
      <c r="P14564" s="180" t="s">
        <v>257</v>
      </c>
      <c r="R14564" s="180" t="s">
        <v>257</v>
      </c>
    </row>
    <row r="14565" spans="8:18" x14ac:dyDescent="0.2">
      <c r="H14565" s="180"/>
      <c r="P14565" s="180" t="s">
        <v>257</v>
      </c>
      <c r="R14565" s="180" t="s">
        <v>257</v>
      </c>
    </row>
    <row r="14566" spans="8:18" x14ac:dyDescent="0.2">
      <c r="H14566" s="180"/>
      <c r="P14566" s="180" t="s">
        <v>257</v>
      </c>
      <c r="R14566" s="180" t="s">
        <v>257</v>
      </c>
    </row>
    <row r="14567" spans="8:18" x14ac:dyDescent="0.2">
      <c r="H14567" s="180"/>
      <c r="P14567" s="180" t="s">
        <v>257</v>
      </c>
      <c r="R14567" s="180" t="s">
        <v>257</v>
      </c>
    </row>
    <row r="14568" spans="8:18" x14ac:dyDescent="0.2">
      <c r="H14568" s="180"/>
      <c r="P14568" s="180" t="s">
        <v>257</v>
      </c>
      <c r="R14568" s="180" t="s">
        <v>257</v>
      </c>
    </row>
    <row r="14569" spans="8:18" x14ac:dyDescent="0.2">
      <c r="H14569" s="180"/>
      <c r="P14569" s="180" t="s">
        <v>257</v>
      </c>
      <c r="R14569" s="180" t="s">
        <v>257</v>
      </c>
    </row>
    <row r="14570" spans="8:18" x14ac:dyDescent="0.2">
      <c r="H14570" s="180"/>
      <c r="P14570" s="180" t="s">
        <v>257</v>
      </c>
      <c r="R14570" s="180" t="s">
        <v>257</v>
      </c>
    </row>
    <row r="14571" spans="8:18" x14ac:dyDescent="0.2">
      <c r="H14571" s="180"/>
      <c r="P14571" s="180" t="s">
        <v>257</v>
      </c>
      <c r="R14571" s="180" t="s">
        <v>257</v>
      </c>
    </row>
    <row r="14572" spans="8:18" x14ac:dyDescent="0.2">
      <c r="H14572" s="180"/>
      <c r="P14572" s="180" t="s">
        <v>257</v>
      </c>
      <c r="R14572" s="180" t="s">
        <v>257</v>
      </c>
    </row>
    <row r="14573" spans="8:18" x14ac:dyDescent="0.2">
      <c r="H14573" s="180"/>
      <c r="P14573" s="180" t="s">
        <v>257</v>
      </c>
      <c r="R14573" s="180" t="s">
        <v>257</v>
      </c>
    </row>
    <row r="14574" spans="8:18" x14ac:dyDescent="0.2">
      <c r="H14574" s="180"/>
      <c r="P14574" s="180" t="s">
        <v>257</v>
      </c>
      <c r="R14574" s="180" t="s">
        <v>257</v>
      </c>
    </row>
    <row r="14575" spans="8:18" x14ac:dyDescent="0.2">
      <c r="H14575" s="180"/>
      <c r="P14575" s="180" t="s">
        <v>257</v>
      </c>
      <c r="R14575" s="180" t="s">
        <v>257</v>
      </c>
    </row>
    <row r="14576" spans="8:18" x14ac:dyDescent="0.2">
      <c r="H14576" s="180"/>
      <c r="P14576" s="180" t="s">
        <v>257</v>
      </c>
      <c r="R14576" s="180" t="s">
        <v>257</v>
      </c>
    </row>
    <row r="14577" spans="8:18" x14ac:dyDescent="0.2">
      <c r="H14577" s="180"/>
      <c r="P14577" s="180" t="s">
        <v>257</v>
      </c>
      <c r="R14577" s="180" t="s">
        <v>257</v>
      </c>
    </row>
    <row r="14578" spans="8:18" x14ac:dyDescent="0.2">
      <c r="H14578" s="180"/>
      <c r="P14578" s="180" t="s">
        <v>257</v>
      </c>
      <c r="R14578" s="180" t="s">
        <v>257</v>
      </c>
    </row>
    <row r="14579" spans="8:18" x14ac:dyDescent="0.2">
      <c r="H14579" s="180"/>
      <c r="P14579" s="180" t="s">
        <v>257</v>
      </c>
      <c r="R14579" s="180" t="s">
        <v>257</v>
      </c>
    </row>
    <row r="14580" spans="8:18" x14ac:dyDescent="0.2">
      <c r="H14580" s="180"/>
      <c r="P14580" s="180" t="s">
        <v>257</v>
      </c>
      <c r="R14580" s="180" t="s">
        <v>257</v>
      </c>
    </row>
    <row r="14581" spans="8:18" x14ac:dyDescent="0.2">
      <c r="H14581" s="180"/>
      <c r="P14581" s="180" t="s">
        <v>257</v>
      </c>
      <c r="R14581" s="180" t="s">
        <v>257</v>
      </c>
    </row>
    <row r="14582" spans="8:18" x14ac:dyDescent="0.2">
      <c r="H14582" s="180"/>
      <c r="P14582" s="180" t="s">
        <v>257</v>
      </c>
      <c r="R14582" s="180" t="s">
        <v>257</v>
      </c>
    </row>
    <row r="14583" spans="8:18" x14ac:dyDescent="0.2">
      <c r="H14583" s="180"/>
      <c r="P14583" s="180" t="s">
        <v>257</v>
      </c>
      <c r="R14583" s="180" t="s">
        <v>257</v>
      </c>
    </row>
    <row r="14584" spans="8:18" x14ac:dyDescent="0.2">
      <c r="H14584" s="180"/>
      <c r="P14584" s="180" t="s">
        <v>257</v>
      </c>
      <c r="R14584" s="180" t="s">
        <v>257</v>
      </c>
    </row>
    <row r="14585" spans="8:18" x14ac:dyDescent="0.2">
      <c r="H14585" s="180"/>
      <c r="P14585" s="180" t="s">
        <v>257</v>
      </c>
      <c r="R14585" s="180" t="s">
        <v>257</v>
      </c>
    </row>
    <row r="14586" spans="8:18" x14ac:dyDescent="0.2">
      <c r="H14586" s="180"/>
      <c r="P14586" s="180" t="s">
        <v>257</v>
      </c>
      <c r="R14586" s="180" t="s">
        <v>257</v>
      </c>
    </row>
    <row r="14587" spans="8:18" x14ac:dyDescent="0.2">
      <c r="H14587" s="180"/>
      <c r="P14587" s="180" t="s">
        <v>257</v>
      </c>
      <c r="R14587" s="180" t="s">
        <v>257</v>
      </c>
    </row>
    <row r="14588" spans="8:18" x14ac:dyDescent="0.2">
      <c r="H14588" s="180"/>
      <c r="P14588" s="180" t="s">
        <v>257</v>
      </c>
      <c r="R14588" s="180" t="s">
        <v>257</v>
      </c>
    </row>
    <row r="14589" spans="8:18" x14ac:dyDescent="0.2">
      <c r="H14589" s="180"/>
      <c r="P14589" s="180" t="s">
        <v>257</v>
      </c>
      <c r="R14589" s="180" t="s">
        <v>257</v>
      </c>
    </row>
    <row r="14590" spans="8:18" x14ac:dyDescent="0.2">
      <c r="H14590" s="180"/>
      <c r="P14590" s="180" t="s">
        <v>257</v>
      </c>
      <c r="R14590" s="180" t="s">
        <v>257</v>
      </c>
    </row>
    <row r="14591" spans="8:18" x14ac:dyDescent="0.2">
      <c r="H14591" s="180"/>
      <c r="P14591" s="180" t="s">
        <v>257</v>
      </c>
      <c r="R14591" s="180" t="s">
        <v>257</v>
      </c>
    </row>
    <row r="14592" spans="8:18" x14ac:dyDescent="0.2">
      <c r="H14592" s="180"/>
      <c r="P14592" s="180" t="s">
        <v>257</v>
      </c>
      <c r="R14592" s="180" t="s">
        <v>257</v>
      </c>
    </row>
    <row r="14593" spans="8:18" x14ac:dyDescent="0.2">
      <c r="H14593" s="180"/>
      <c r="P14593" s="180" t="s">
        <v>257</v>
      </c>
      <c r="R14593" s="180" t="s">
        <v>257</v>
      </c>
    </row>
    <row r="14594" spans="8:18" x14ac:dyDescent="0.2">
      <c r="H14594" s="180"/>
      <c r="P14594" s="180" t="s">
        <v>257</v>
      </c>
      <c r="R14594" s="180" t="s">
        <v>257</v>
      </c>
    </row>
    <row r="14595" spans="8:18" x14ac:dyDescent="0.2">
      <c r="H14595" s="180"/>
      <c r="P14595" s="180" t="s">
        <v>257</v>
      </c>
      <c r="R14595" s="180" t="s">
        <v>257</v>
      </c>
    </row>
    <row r="14596" spans="8:18" x14ac:dyDescent="0.2">
      <c r="H14596" s="180"/>
      <c r="P14596" s="180" t="s">
        <v>257</v>
      </c>
      <c r="R14596" s="180" t="s">
        <v>257</v>
      </c>
    </row>
    <row r="14597" spans="8:18" x14ac:dyDescent="0.2">
      <c r="H14597" s="180"/>
      <c r="P14597" s="180" t="s">
        <v>257</v>
      </c>
      <c r="R14597" s="180" t="s">
        <v>257</v>
      </c>
    </row>
    <row r="14598" spans="8:18" x14ac:dyDescent="0.2">
      <c r="H14598" s="180"/>
      <c r="P14598" s="180" t="s">
        <v>257</v>
      </c>
      <c r="R14598" s="180" t="s">
        <v>257</v>
      </c>
    </row>
    <row r="14599" spans="8:18" x14ac:dyDescent="0.2">
      <c r="H14599" s="180"/>
      <c r="P14599" s="180" t="s">
        <v>257</v>
      </c>
      <c r="R14599" s="180" t="s">
        <v>257</v>
      </c>
    </row>
    <row r="14600" spans="8:18" x14ac:dyDescent="0.2">
      <c r="H14600" s="180"/>
      <c r="P14600" s="180" t="s">
        <v>257</v>
      </c>
      <c r="R14600" s="180" t="s">
        <v>257</v>
      </c>
    </row>
    <row r="14601" spans="8:18" x14ac:dyDescent="0.2">
      <c r="H14601" s="180"/>
      <c r="P14601" s="180" t="s">
        <v>257</v>
      </c>
      <c r="R14601" s="180" t="s">
        <v>257</v>
      </c>
    </row>
    <row r="14602" spans="8:18" x14ac:dyDescent="0.2">
      <c r="H14602" s="180"/>
      <c r="P14602" s="180" t="s">
        <v>257</v>
      </c>
      <c r="R14602" s="180" t="s">
        <v>257</v>
      </c>
    </row>
    <row r="14603" spans="8:18" x14ac:dyDescent="0.2">
      <c r="H14603" s="180"/>
      <c r="P14603" s="180" t="s">
        <v>257</v>
      </c>
      <c r="R14603" s="180" t="s">
        <v>257</v>
      </c>
    </row>
    <row r="14604" spans="8:18" x14ac:dyDescent="0.2">
      <c r="H14604" s="180"/>
      <c r="P14604" s="180" t="s">
        <v>257</v>
      </c>
      <c r="R14604" s="180" t="s">
        <v>257</v>
      </c>
    </row>
    <row r="14605" spans="8:18" x14ac:dyDescent="0.2">
      <c r="H14605" s="180"/>
      <c r="P14605" s="180" t="s">
        <v>257</v>
      </c>
      <c r="R14605" s="180" t="s">
        <v>257</v>
      </c>
    </row>
    <row r="14606" spans="8:18" x14ac:dyDescent="0.2">
      <c r="H14606" s="180"/>
      <c r="P14606" s="180" t="s">
        <v>257</v>
      </c>
      <c r="R14606" s="180" t="s">
        <v>257</v>
      </c>
    </row>
    <row r="14607" spans="8:18" x14ac:dyDescent="0.2">
      <c r="H14607" s="180"/>
      <c r="P14607" s="180" t="s">
        <v>257</v>
      </c>
      <c r="R14607" s="180" t="s">
        <v>257</v>
      </c>
    </row>
    <row r="14608" spans="8:18" x14ac:dyDescent="0.2">
      <c r="H14608" s="180"/>
      <c r="P14608" s="180" t="s">
        <v>257</v>
      </c>
      <c r="R14608" s="180" t="s">
        <v>257</v>
      </c>
    </row>
    <row r="14609" spans="8:18" x14ac:dyDescent="0.2">
      <c r="H14609" s="180"/>
      <c r="P14609" s="180" t="s">
        <v>257</v>
      </c>
      <c r="R14609" s="180" t="s">
        <v>257</v>
      </c>
    </row>
    <row r="14610" spans="8:18" x14ac:dyDescent="0.2">
      <c r="H14610" s="180"/>
      <c r="P14610" s="180" t="s">
        <v>257</v>
      </c>
      <c r="R14610" s="180" t="s">
        <v>257</v>
      </c>
    </row>
    <row r="14611" spans="8:18" x14ac:dyDescent="0.2">
      <c r="H14611" s="180"/>
      <c r="P14611" s="180" t="s">
        <v>257</v>
      </c>
      <c r="R14611" s="180" t="s">
        <v>257</v>
      </c>
    </row>
    <row r="14612" spans="8:18" x14ac:dyDescent="0.2">
      <c r="H14612" s="180"/>
      <c r="P14612" s="180" t="s">
        <v>257</v>
      </c>
      <c r="R14612" s="180" t="s">
        <v>257</v>
      </c>
    </row>
    <row r="14613" spans="8:18" x14ac:dyDescent="0.2">
      <c r="H14613" s="180"/>
      <c r="P14613" s="180" t="s">
        <v>257</v>
      </c>
      <c r="R14613" s="180" t="s">
        <v>257</v>
      </c>
    </row>
    <row r="14614" spans="8:18" x14ac:dyDescent="0.2">
      <c r="H14614" s="180"/>
      <c r="P14614" s="180" t="s">
        <v>257</v>
      </c>
      <c r="R14614" s="180" t="s">
        <v>257</v>
      </c>
    </row>
    <row r="14615" spans="8:18" x14ac:dyDescent="0.2">
      <c r="H14615" s="180"/>
      <c r="P14615" s="180" t="s">
        <v>257</v>
      </c>
      <c r="R14615" s="180" t="s">
        <v>257</v>
      </c>
    </row>
    <row r="14616" spans="8:18" x14ac:dyDescent="0.2">
      <c r="H14616" s="180"/>
      <c r="P14616" s="180" t="s">
        <v>257</v>
      </c>
      <c r="R14616" s="180" t="s">
        <v>257</v>
      </c>
    </row>
    <row r="14617" spans="8:18" x14ac:dyDescent="0.2">
      <c r="H14617" s="180"/>
      <c r="P14617" s="180" t="s">
        <v>257</v>
      </c>
      <c r="R14617" s="180" t="s">
        <v>257</v>
      </c>
    </row>
    <row r="14618" spans="8:18" x14ac:dyDescent="0.2">
      <c r="H14618" s="180"/>
      <c r="P14618" s="180" t="s">
        <v>257</v>
      </c>
      <c r="R14618" s="180" t="s">
        <v>257</v>
      </c>
    </row>
    <row r="14619" spans="8:18" x14ac:dyDescent="0.2">
      <c r="H14619" s="180"/>
      <c r="P14619" s="180" t="s">
        <v>257</v>
      </c>
      <c r="R14619" s="180" t="s">
        <v>257</v>
      </c>
    </row>
    <row r="14620" spans="8:18" x14ac:dyDescent="0.2">
      <c r="H14620" s="180"/>
      <c r="P14620" s="180" t="s">
        <v>257</v>
      </c>
      <c r="R14620" s="180" t="s">
        <v>257</v>
      </c>
    </row>
    <row r="14621" spans="8:18" x14ac:dyDescent="0.2">
      <c r="H14621" s="180"/>
      <c r="P14621" s="180" t="s">
        <v>257</v>
      </c>
      <c r="R14621" s="180" t="s">
        <v>257</v>
      </c>
    </row>
    <row r="14622" spans="8:18" x14ac:dyDescent="0.2">
      <c r="H14622" s="180"/>
      <c r="P14622" s="180" t="s">
        <v>257</v>
      </c>
      <c r="R14622" s="180" t="s">
        <v>257</v>
      </c>
    </row>
    <row r="14623" spans="8:18" x14ac:dyDescent="0.2">
      <c r="H14623" s="180"/>
      <c r="P14623" s="180" t="s">
        <v>257</v>
      </c>
      <c r="R14623" s="180" t="s">
        <v>257</v>
      </c>
    </row>
    <row r="14624" spans="8:18" x14ac:dyDescent="0.2">
      <c r="H14624" s="180"/>
      <c r="P14624" s="180" t="s">
        <v>257</v>
      </c>
      <c r="R14624" s="180" t="s">
        <v>257</v>
      </c>
    </row>
    <row r="14625" spans="8:18" x14ac:dyDescent="0.2">
      <c r="H14625" s="180"/>
      <c r="P14625" s="180" t="s">
        <v>257</v>
      </c>
      <c r="R14625" s="180" t="s">
        <v>257</v>
      </c>
    </row>
    <row r="14626" spans="8:18" x14ac:dyDescent="0.2">
      <c r="H14626" s="180"/>
      <c r="P14626" s="180" t="s">
        <v>257</v>
      </c>
      <c r="R14626" s="180" t="s">
        <v>257</v>
      </c>
    </row>
    <row r="14627" spans="8:18" x14ac:dyDescent="0.2">
      <c r="H14627" s="180"/>
      <c r="P14627" s="180" t="s">
        <v>257</v>
      </c>
      <c r="R14627" s="180" t="s">
        <v>257</v>
      </c>
    </row>
    <row r="14628" spans="8:18" x14ac:dyDescent="0.2">
      <c r="H14628" s="180"/>
      <c r="P14628" s="180" t="s">
        <v>257</v>
      </c>
      <c r="R14628" s="180" t="s">
        <v>257</v>
      </c>
    </row>
    <row r="14629" spans="8:18" x14ac:dyDescent="0.2">
      <c r="H14629" s="180"/>
      <c r="P14629" s="180" t="s">
        <v>257</v>
      </c>
      <c r="R14629" s="180" t="s">
        <v>257</v>
      </c>
    </row>
    <row r="14630" spans="8:18" x14ac:dyDescent="0.2">
      <c r="H14630" s="180"/>
      <c r="P14630" s="180" t="s">
        <v>257</v>
      </c>
      <c r="R14630" s="180" t="s">
        <v>257</v>
      </c>
    </row>
    <row r="14631" spans="8:18" x14ac:dyDescent="0.2">
      <c r="H14631" s="180"/>
      <c r="P14631" s="180" t="s">
        <v>257</v>
      </c>
      <c r="R14631" s="180" t="s">
        <v>257</v>
      </c>
    </row>
    <row r="14632" spans="8:18" x14ac:dyDescent="0.2">
      <c r="H14632" s="180"/>
      <c r="P14632" s="180" t="s">
        <v>257</v>
      </c>
      <c r="R14632" s="180" t="s">
        <v>257</v>
      </c>
    </row>
    <row r="14633" spans="8:18" x14ac:dyDescent="0.2">
      <c r="H14633" s="180"/>
      <c r="P14633" s="180" t="s">
        <v>257</v>
      </c>
      <c r="R14633" s="180" t="s">
        <v>257</v>
      </c>
    </row>
    <row r="14634" spans="8:18" x14ac:dyDescent="0.2">
      <c r="H14634" s="180"/>
      <c r="P14634" s="180" t="s">
        <v>257</v>
      </c>
      <c r="R14634" s="180" t="s">
        <v>257</v>
      </c>
    </row>
    <row r="14635" spans="8:18" x14ac:dyDescent="0.2">
      <c r="H14635" s="180"/>
      <c r="P14635" s="180" t="s">
        <v>257</v>
      </c>
      <c r="R14635" s="180" t="s">
        <v>257</v>
      </c>
    </row>
    <row r="14636" spans="8:18" x14ac:dyDescent="0.2">
      <c r="H14636" s="180"/>
      <c r="P14636" s="180" t="s">
        <v>257</v>
      </c>
      <c r="R14636" s="180" t="s">
        <v>257</v>
      </c>
    </row>
    <row r="14637" spans="8:18" x14ac:dyDescent="0.2">
      <c r="H14637" s="180"/>
      <c r="P14637" s="180" t="s">
        <v>257</v>
      </c>
      <c r="R14637" s="180" t="s">
        <v>257</v>
      </c>
    </row>
    <row r="14638" spans="8:18" x14ac:dyDescent="0.2">
      <c r="H14638" s="180"/>
      <c r="P14638" s="180" t="s">
        <v>257</v>
      </c>
      <c r="R14638" s="180" t="s">
        <v>257</v>
      </c>
    </row>
    <row r="14639" spans="8:18" x14ac:dyDescent="0.2">
      <c r="H14639" s="180"/>
      <c r="P14639" s="180" t="s">
        <v>257</v>
      </c>
      <c r="R14639" s="180" t="s">
        <v>257</v>
      </c>
    </row>
    <row r="14640" spans="8:18" x14ac:dyDescent="0.2">
      <c r="H14640" s="180"/>
      <c r="P14640" s="180" t="s">
        <v>257</v>
      </c>
      <c r="R14640" s="180" t="s">
        <v>257</v>
      </c>
    </row>
    <row r="14641" spans="8:18" x14ac:dyDescent="0.2">
      <c r="H14641" s="180"/>
      <c r="P14641" s="180" t="s">
        <v>257</v>
      </c>
      <c r="R14641" s="180" t="s">
        <v>257</v>
      </c>
    </row>
    <row r="14642" spans="8:18" x14ac:dyDescent="0.2">
      <c r="H14642" s="180"/>
      <c r="P14642" s="180" t="s">
        <v>257</v>
      </c>
      <c r="R14642" s="180" t="s">
        <v>257</v>
      </c>
    </row>
    <row r="14643" spans="8:18" x14ac:dyDescent="0.2">
      <c r="H14643" s="180"/>
      <c r="P14643" s="180" t="s">
        <v>257</v>
      </c>
      <c r="R14643" s="180" t="s">
        <v>257</v>
      </c>
    </row>
    <row r="14644" spans="8:18" x14ac:dyDescent="0.2">
      <c r="H14644" s="180"/>
      <c r="P14644" s="180" t="s">
        <v>257</v>
      </c>
      <c r="R14644" s="180" t="s">
        <v>257</v>
      </c>
    </row>
    <row r="14645" spans="8:18" x14ac:dyDescent="0.2">
      <c r="H14645" s="180"/>
      <c r="P14645" s="180" t="s">
        <v>257</v>
      </c>
      <c r="R14645" s="180" t="s">
        <v>257</v>
      </c>
    </row>
    <row r="14646" spans="8:18" x14ac:dyDescent="0.2">
      <c r="H14646" s="180"/>
      <c r="P14646" s="180" t="s">
        <v>257</v>
      </c>
      <c r="R14646" s="180" t="s">
        <v>257</v>
      </c>
    </row>
    <row r="14647" spans="8:18" x14ac:dyDescent="0.2">
      <c r="H14647" s="180"/>
      <c r="P14647" s="180" t="s">
        <v>257</v>
      </c>
      <c r="R14647" s="180" t="s">
        <v>257</v>
      </c>
    </row>
    <row r="14648" spans="8:18" x14ac:dyDescent="0.2">
      <c r="H14648" s="180"/>
      <c r="P14648" s="180" t="s">
        <v>257</v>
      </c>
      <c r="R14648" s="180" t="s">
        <v>257</v>
      </c>
    </row>
    <row r="14649" spans="8:18" x14ac:dyDescent="0.2">
      <c r="H14649" s="180"/>
      <c r="P14649" s="180" t="s">
        <v>257</v>
      </c>
      <c r="R14649" s="180" t="s">
        <v>257</v>
      </c>
    </row>
    <row r="14650" spans="8:18" x14ac:dyDescent="0.2">
      <c r="H14650" s="180"/>
      <c r="P14650" s="180" t="s">
        <v>257</v>
      </c>
      <c r="R14650" s="180" t="s">
        <v>257</v>
      </c>
    </row>
    <row r="14651" spans="8:18" x14ac:dyDescent="0.2">
      <c r="H14651" s="180"/>
      <c r="P14651" s="180" t="s">
        <v>257</v>
      </c>
      <c r="R14651" s="180" t="s">
        <v>257</v>
      </c>
    </row>
    <row r="14652" spans="8:18" x14ac:dyDescent="0.2">
      <c r="H14652" s="180"/>
      <c r="P14652" s="180" t="s">
        <v>257</v>
      </c>
      <c r="R14652" s="180" t="s">
        <v>257</v>
      </c>
    </row>
    <row r="14653" spans="8:18" x14ac:dyDescent="0.2">
      <c r="H14653" s="180"/>
      <c r="P14653" s="180" t="s">
        <v>257</v>
      </c>
      <c r="R14653" s="180" t="s">
        <v>257</v>
      </c>
    </row>
    <row r="14654" spans="8:18" x14ac:dyDescent="0.2">
      <c r="H14654" s="180"/>
      <c r="P14654" s="180" t="s">
        <v>257</v>
      </c>
      <c r="R14654" s="180" t="s">
        <v>257</v>
      </c>
    </row>
    <row r="14655" spans="8:18" x14ac:dyDescent="0.2">
      <c r="H14655" s="180"/>
      <c r="P14655" s="180" t="s">
        <v>257</v>
      </c>
      <c r="R14655" s="180" t="s">
        <v>257</v>
      </c>
    </row>
    <row r="14656" spans="8:18" x14ac:dyDescent="0.2">
      <c r="H14656" s="180"/>
      <c r="P14656" s="180" t="s">
        <v>257</v>
      </c>
      <c r="R14656" s="180" t="s">
        <v>257</v>
      </c>
    </row>
    <row r="14657" spans="8:18" x14ac:dyDescent="0.2">
      <c r="H14657" s="180"/>
      <c r="P14657" s="180" t="s">
        <v>257</v>
      </c>
      <c r="R14657" s="180" t="s">
        <v>257</v>
      </c>
    </row>
    <row r="14658" spans="8:18" x14ac:dyDescent="0.2">
      <c r="H14658" s="180"/>
      <c r="P14658" s="180" t="s">
        <v>257</v>
      </c>
      <c r="R14658" s="180" t="s">
        <v>257</v>
      </c>
    </row>
    <row r="14659" spans="8:18" x14ac:dyDescent="0.2">
      <c r="H14659" s="180"/>
      <c r="P14659" s="180" t="s">
        <v>257</v>
      </c>
      <c r="R14659" s="180" t="s">
        <v>257</v>
      </c>
    </row>
    <row r="14660" spans="8:18" x14ac:dyDescent="0.2">
      <c r="H14660" s="180"/>
      <c r="P14660" s="180" t="s">
        <v>257</v>
      </c>
      <c r="R14660" s="180" t="s">
        <v>257</v>
      </c>
    </row>
    <row r="14661" spans="8:18" x14ac:dyDescent="0.2">
      <c r="H14661" s="180"/>
      <c r="P14661" s="180" t="s">
        <v>257</v>
      </c>
      <c r="R14661" s="180" t="s">
        <v>257</v>
      </c>
    </row>
    <row r="14662" spans="8:18" x14ac:dyDescent="0.2">
      <c r="H14662" s="180"/>
      <c r="P14662" s="180" t="s">
        <v>257</v>
      </c>
      <c r="R14662" s="180" t="s">
        <v>257</v>
      </c>
    </row>
    <row r="14663" spans="8:18" x14ac:dyDescent="0.2">
      <c r="H14663" s="180"/>
      <c r="P14663" s="180" t="s">
        <v>257</v>
      </c>
      <c r="R14663" s="180" t="s">
        <v>257</v>
      </c>
    </row>
    <row r="14664" spans="8:18" x14ac:dyDescent="0.2">
      <c r="H14664" s="180"/>
      <c r="P14664" s="180" t="s">
        <v>257</v>
      </c>
      <c r="R14664" s="180" t="s">
        <v>257</v>
      </c>
    </row>
    <row r="14665" spans="8:18" x14ac:dyDescent="0.2">
      <c r="H14665" s="180"/>
      <c r="P14665" s="180" t="s">
        <v>257</v>
      </c>
      <c r="R14665" s="180" t="s">
        <v>257</v>
      </c>
    </row>
    <row r="14666" spans="8:18" x14ac:dyDescent="0.2">
      <c r="H14666" s="180"/>
      <c r="P14666" s="180" t="s">
        <v>257</v>
      </c>
      <c r="R14666" s="180" t="s">
        <v>257</v>
      </c>
    </row>
    <row r="14667" spans="8:18" x14ac:dyDescent="0.2">
      <c r="H14667" s="180"/>
      <c r="P14667" s="180" t="s">
        <v>257</v>
      </c>
      <c r="R14667" s="180" t="s">
        <v>257</v>
      </c>
    </row>
    <row r="14668" spans="8:18" x14ac:dyDescent="0.2">
      <c r="H14668" s="180"/>
      <c r="P14668" s="180" t="s">
        <v>257</v>
      </c>
      <c r="R14668" s="180" t="s">
        <v>257</v>
      </c>
    </row>
    <row r="14669" spans="8:18" x14ac:dyDescent="0.2">
      <c r="H14669" s="180"/>
      <c r="P14669" s="180" t="s">
        <v>257</v>
      </c>
      <c r="R14669" s="180" t="s">
        <v>257</v>
      </c>
    </row>
    <row r="14670" spans="8:18" x14ac:dyDescent="0.2">
      <c r="H14670" s="180"/>
      <c r="P14670" s="180" t="s">
        <v>257</v>
      </c>
      <c r="R14670" s="180" t="s">
        <v>257</v>
      </c>
    </row>
    <row r="14671" spans="8:18" x14ac:dyDescent="0.2">
      <c r="H14671" s="180"/>
      <c r="P14671" s="180" t="s">
        <v>257</v>
      </c>
      <c r="R14671" s="180" t="s">
        <v>257</v>
      </c>
    </row>
    <row r="14672" spans="8:18" x14ac:dyDescent="0.2">
      <c r="H14672" s="180"/>
      <c r="P14672" s="180" t="s">
        <v>257</v>
      </c>
      <c r="R14672" s="180" t="s">
        <v>257</v>
      </c>
    </row>
    <row r="14673" spans="8:18" x14ac:dyDescent="0.2">
      <c r="H14673" s="180"/>
      <c r="P14673" s="180" t="s">
        <v>257</v>
      </c>
      <c r="R14673" s="180" t="s">
        <v>257</v>
      </c>
    </row>
    <row r="14674" spans="8:18" x14ac:dyDescent="0.2">
      <c r="H14674" s="180"/>
      <c r="P14674" s="180" t="s">
        <v>257</v>
      </c>
      <c r="R14674" s="180" t="s">
        <v>257</v>
      </c>
    </row>
    <row r="14675" spans="8:18" x14ac:dyDescent="0.2">
      <c r="H14675" s="180"/>
      <c r="P14675" s="180" t="s">
        <v>257</v>
      </c>
      <c r="R14675" s="180" t="s">
        <v>257</v>
      </c>
    </row>
    <row r="14676" spans="8:18" x14ac:dyDescent="0.2">
      <c r="H14676" s="180"/>
      <c r="P14676" s="180" t="s">
        <v>257</v>
      </c>
      <c r="R14676" s="180" t="s">
        <v>257</v>
      </c>
    </row>
    <row r="14677" spans="8:18" x14ac:dyDescent="0.2">
      <c r="H14677" s="180"/>
      <c r="P14677" s="180" t="s">
        <v>257</v>
      </c>
      <c r="R14677" s="180" t="s">
        <v>257</v>
      </c>
    </row>
    <row r="14678" spans="8:18" x14ac:dyDescent="0.2">
      <c r="H14678" s="180"/>
      <c r="P14678" s="180" t="s">
        <v>257</v>
      </c>
      <c r="R14678" s="180" t="s">
        <v>257</v>
      </c>
    </row>
    <row r="14679" spans="8:18" x14ac:dyDescent="0.2">
      <c r="H14679" s="180"/>
      <c r="P14679" s="180" t="s">
        <v>257</v>
      </c>
      <c r="R14679" s="180" t="s">
        <v>257</v>
      </c>
    </row>
    <row r="14680" spans="8:18" x14ac:dyDescent="0.2">
      <c r="H14680" s="180"/>
      <c r="P14680" s="180" t="s">
        <v>257</v>
      </c>
      <c r="R14680" s="180" t="s">
        <v>257</v>
      </c>
    </row>
    <row r="14681" spans="8:18" x14ac:dyDescent="0.2">
      <c r="H14681" s="180"/>
      <c r="P14681" s="180" t="s">
        <v>257</v>
      </c>
      <c r="R14681" s="180" t="s">
        <v>257</v>
      </c>
    </row>
    <row r="14682" spans="8:18" x14ac:dyDescent="0.2">
      <c r="H14682" s="180"/>
      <c r="P14682" s="180" t="s">
        <v>257</v>
      </c>
      <c r="R14682" s="180" t="s">
        <v>257</v>
      </c>
    </row>
    <row r="14683" spans="8:18" x14ac:dyDescent="0.2">
      <c r="H14683" s="180"/>
      <c r="P14683" s="180" t="s">
        <v>257</v>
      </c>
      <c r="R14683" s="180" t="s">
        <v>257</v>
      </c>
    </row>
    <row r="14684" spans="8:18" x14ac:dyDescent="0.2">
      <c r="H14684" s="180"/>
      <c r="P14684" s="180" t="s">
        <v>257</v>
      </c>
      <c r="R14684" s="180" t="s">
        <v>257</v>
      </c>
    </row>
    <row r="14685" spans="8:18" x14ac:dyDescent="0.2">
      <c r="H14685" s="180"/>
      <c r="P14685" s="180" t="s">
        <v>257</v>
      </c>
      <c r="R14685" s="180" t="s">
        <v>257</v>
      </c>
    </row>
    <row r="14686" spans="8:18" x14ac:dyDescent="0.2">
      <c r="H14686" s="180"/>
      <c r="P14686" s="180" t="s">
        <v>257</v>
      </c>
      <c r="R14686" s="180" t="s">
        <v>257</v>
      </c>
    </row>
    <row r="14687" spans="8:18" x14ac:dyDescent="0.2">
      <c r="H14687" s="180"/>
      <c r="P14687" s="180" t="s">
        <v>257</v>
      </c>
      <c r="R14687" s="180" t="s">
        <v>257</v>
      </c>
    </row>
    <row r="14688" spans="8:18" x14ac:dyDescent="0.2">
      <c r="H14688" s="180"/>
      <c r="P14688" s="180" t="s">
        <v>257</v>
      </c>
      <c r="R14688" s="180" t="s">
        <v>257</v>
      </c>
    </row>
    <row r="14689" spans="8:18" x14ac:dyDescent="0.2">
      <c r="H14689" s="180"/>
      <c r="P14689" s="180" t="s">
        <v>257</v>
      </c>
      <c r="R14689" s="180" t="s">
        <v>257</v>
      </c>
    </row>
    <row r="14690" spans="8:18" x14ac:dyDescent="0.2">
      <c r="H14690" s="180"/>
      <c r="P14690" s="180" t="s">
        <v>257</v>
      </c>
      <c r="R14690" s="180" t="s">
        <v>257</v>
      </c>
    </row>
    <row r="14691" spans="8:18" x14ac:dyDescent="0.2">
      <c r="H14691" s="180"/>
      <c r="P14691" s="180" t="s">
        <v>257</v>
      </c>
      <c r="R14691" s="180" t="s">
        <v>257</v>
      </c>
    </row>
    <row r="14692" spans="8:18" x14ac:dyDescent="0.2">
      <c r="H14692" s="180"/>
      <c r="P14692" s="180" t="s">
        <v>257</v>
      </c>
      <c r="R14692" s="180" t="s">
        <v>257</v>
      </c>
    </row>
    <row r="14693" spans="8:18" x14ac:dyDescent="0.2">
      <c r="H14693" s="180"/>
      <c r="P14693" s="180" t="s">
        <v>257</v>
      </c>
      <c r="R14693" s="180" t="s">
        <v>257</v>
      </c>
    </row>
    <row r="14694" spans="8:18" x14ac:dyDescent="0.2">
      <c r="H14694" s="180"/>
      <c r="P14694" s="180" t="s">
        <v>257</v>
      </c>
      <c r="R14694" s="180" t="s">
        <v>257</v>
      </c>
    </row>
    <row r="14695" spans="8:18" x14ac:dyDescent="0.2">
      <c r="H14695" s="180"/>
      <c r="P14695" s="180" t="s">
        <v>257</v>
      </c>
      <c r="R14695" s="180" t="s">
        <v>257</v>
      </c>
    </row>
    <row r="14696" spans="8:18" x14ac:dyDescent="0.2">
      <c r="H14696" s="180"/>
      <c r="P14696" s="180" t="s">
        <v>257</v>
      </c>
      <c r="R14696" s="180" t="s">
        <v>257</v>
      </c>
    </row>
    <row r="14697" spans="8:18" x14ac:dyDescent="0.2">
      <c r="H14697" s="180"/>
      <c r="P14697" s="180" t="s">
        <v>257</v>
      </c>
      <c r="R14697" s="180" t="s">
        <v>257</v>
      </c>
    </row>
    <row r="14698" spans="8:18" x14ac:dyDescent="0.2">
      <c r="H14698" s="180"/>
      <c r="P14698" s="180" t="s">
        <v>257</v>
      </c>
      <c r="R14698" s="180" t="s">
        <v>257</v>
      </c>
    </row>
    <row r="14699" spans="8:18" x14ac:dyDescent="0.2">
      <c r="H14699" s="180"/>
      <c r="P14699" s="180" t="s">
        <v>257</v>
      </c>
      <c r="R14699" s="180" t="s">
        <v>257</v>
      </c>
    </row>
    <row r="14700" spans="8:18" x14ac:dyDescent="0.2">
      <c r="H14700" s="180"/>
      <c r="P14700" s="180" t="s">
        <v>257</v>
      </c>
      <c r="R14700" s="180" t="s">
        <v>257</v>
      </c>
    </row>
    <row r="14701" spans="8:18" x14ac:dyDescent="0.2">
      <c r="H14701" s="180"/>
      <c r="P14701" s="180" t="s">
        <v>257</v>
      </c>
      <c r="R14701" s="180" t="s">
        <v>257</v>
      </c>
    </row>
    <row r="14702" spans="8:18" x14ac:dyDescent="0.2">
      <c r="H14702" s="180"/>
      <c r="P14702" s="180" t="s">
        <v>257</v>
      </c>
      <c r="R14702" s="180" t="s">
        <v>257</v>
      </c>
    </row>
    <row r="14703" spans="8:18" x14ac:dyDescent="0.2">
      <c r="H14703" s="180"/>
      <c r="P14703" s="180" t="s">
        <v>257</v>
      </c>
      <c r="R14703" s="180" t="s">
        <v>257</v>
      </c>
    </row>
    <row r="14704" spans="8:18" x14ac:dyDescent="0.2">
      <c r="H14704" s="180"/>
      <c r="P14704" s="180" t="s">
        <v>257</v>
      </c>
      <c r="R14704" s="180" t="s">
        <v>257</v>
      </c>
    </row>
    <row r="14705" spans="8:18" x14ac:dyDescent="0.2">
      <c r="H14705" s="180"/>
      <c r="P14705" s="180" t="s">
        <v>257</v>
      </c>
      <c r="R14705" s="180" t="s">
        <v>257</v>
      </c>
    </row>
    <row r="14706" spans="8:18" x14ac:dyDescent="0.2">
      <c r="H14706" s="180"/>
      <c r="P14706" s="180" t="s">
        <v>257</v>
      </c>
      <c r="R14706" s="180" t="s">
        <v>257</v>
      </c>
    </row>
    <row r="14707" spans="8:18" x14ac:dyDescent="0.2">
      <c r="H14707" s="180"/>
      <c r="P14707" s="180" t="s">
        <v>257</v>
      </c>
      <c r="R14707" s="180" t="s">
        <v>257</v>
      </c>
    </row>
    <row r="14708" spans="8:18" x14ac:dyDescent="0.2">
      <c r="H14708" s="180"/>
      <c r="P14708" s="180" t="s">
        <v>257</v>
      </c>
      <c r="R14708" s="180" t="s">
        <v>257</v>
      </c>
    </row>
    <row r="14709" spans="8:18" x14ac:dyDescent="0.2">
      <c r="H14709" s="180"/>
      <c r="P14709" s="180" t="s">
        <v>257</v>
      </c>
      <c r="R14709" s="180" t="s">
        <v>257</v>
      </c>
    </row>
    <row r="14710" spans="8:18" x14ac:dyDescent="0.2">
      <c r="H14710" s="180"/>
      <c r="P14710" s="180" t="s">
        <v>257</v>
      </c>
      <c r="R14710" s="180" t="s">
        <v>257</v>
      </c>
    </row>
    <row r="14711" spans="8:18" x14ac:dyDescent="0.2">
      <c r="H14711" s="180"/>
      <c r="P14711" s="180" t="s">
        <v>257</v>
      </c>
      <c r="R14711" s="180" t="s">
        <v>257</v>
      </c>
    </row>
    <row r="14712" spans="8:18" x14ac:dyDescent="0.2">
      <c r="H14712" s="180"/>
      <c r="P14712" s="180" t="s">
        <v>257</v>
      </c>
      <c r="R14712" s="180" t="s">
        <v>257</v>
      </c>
    </row>
    <row r="14713" spans="8:18" x14ac:dyDescent="0.2">
      <c r="H14713" s="180"/>
      <c r="P14713" s="180" t="s">
        <v>257</v>
      </c>
      <c r="R14713" s="180" t="s">
        <v>257</v>
      </c>
    </row>
    <row r="14714" spans="8:18" x14ac:dyDescent="0.2">
      <c r="H14714" s="180"/>
      <c r="P14714" s="180" t="s">
        <v>257</v>
      </c>
      <c r="R14714" s="180" t="s">
        <v>257</v>
      </c>
    </row>
    <row r="14715" spans="8:18" x14ac:dyDescent="0.2">
      <c r="H14715" s="180"/>
      <c r="P14715" s="180" t="s">
        <v>257</v>
      </c>
      <c r="R14715" s="180" t="s">
        <v>257</v>
      </c>
    </row>
    <row r="14716" spans="8:18" x14ac:dyDescent="0.2">
      <c r="H14716" s="180"/>
      <c r="P14716" s="180" t="s">
        <v>257</v>
      </c>
      <c r="R14716" s="180" t="s">
        <v>257</v>
      </c>
    </row>
    <row r="14717" spans="8:18" x14ac:dyDescent="0.2">
      <c r="H14717" s="180"/>
      <c r="P14717" s="180" t="s">
        <v>257</v>
      </c>
      <c r="R14717" s="180" t="s">
        <v>257</v>
      </c>
    </row>
    <row r="14718" spans="8:18" x14ac:dyDescent="0.2">
      <c r="H14718" s="180"/>
      <c r="P14718" s="180" t="s">
        <v>257</v>
      </c>
      <c r="R14718" s="180" t="s">
        <v>257</v>
      </c>
    </row>
    <row r="14719" spans="8:18" x14ac:dyDescent="0.2">
      <c r="H14719" s="180"/>
      <c r="P14719" s="180" t="s">
        <v>257</v>
      </c>
      <c r="R14719" s="180" t="s">
        <v>257</v>
      </c>
    </row>
    <row r="14720" spans="8:18" x14ac:dyDescent="0.2">
      <c r="H14720" s="180"/>
      <c r="P14720" s="180" t="s">
        <v>257</v>
      </c>
      <c r="R14720" s="180" t="s">
        <v>257</v>
      </c>
    </row>
    <row r="14721" spans="8:18" x14ac:dyDescent="0.2">
      <c r="H14721" s="180"/>
      <c r="P14721" s="180" t="s">
        <v>257</v>
      </c>
      <c r="R14721" s="180" t="s">
        <v>257</v>
      </c>
    </row>
    <row r="14722" spans="8:18" x14ac:dyDescent="0.2">
      <c r="H14722" s="180"/>
      <c r="P14722" s="180" t="s">
        <v>257</v>
      </c>
      <c r="R14722" s="180" t="s">
        <v>257</v>
      </c>
    </row>
    <row r="14723" spans="8:18" x14ac:dyDescent="0.2">
      <c r="H14723" s="180"/>
      <c r="P14723" s="180" t="s">
        <v>257</v>
      </c>
      <c r="R14723" s="180" t="s">
        <v>257</v>
      </c>
    </row>
    <row r="14724" spans="8:18" x14ac:dyDescent="0.2">
      <c r="H14724" s="180"/>
      <c r="P14724" s="180" t="s">
        <v>257</v>
      </c>
      <c r="R14724" s="180" t="s">
        <v>257</v>
      </c>
    </row>
    <row r="14725" spans="8:18" x14ac:dyDescent="0.2">
      <c r="H14725" s="180"/>
      <c r="P14725" s="180" t="s">
        <v>257</v>
      </c>
      <c r="R14725" s="180" t="s">
        <v>257</v>
      </c>
    </row>
    <row r="14726" spans="8:18" x14ac:dyDescent="0.2">
      <c r="H14726" s="180"/>
      <c r="P14726" s="180" t="s">
        <v>257</v>
      </c>
      <c r="R14726" s="180" t="s">
        <v>257</v>
      </c>
    </row>
    <row r="14727" spans="8:18" x14ac:dyDescent="0.2">
      <c r="H14727" s="180"/>
      <c r="P14727" s="180" t="s">
        <v>257</v>
      </c>
      <c r="R14727" s="180" t="s">
        <v>257</v>
      </c>
    </row>
    <row r="14728" spans="8:18" x14ac:dyDescent="0.2">
      <c r="H14728" s="180"/>
      <c r="P14728" s="180" t="s">
        <v>257</v>
      </c>
      <c r="R14728" s="180" t="s">
        <v>257</v>
      </c>
    </row>
    <row r="14729" spans="8:18" x14ac:dyDescent="0.2">
      <c r="H14729" s="180"/>
      <c r="P14729" s="180" t="s">
        <v>257</v>
      </c>
      <c r="R14729" s="180" t="s">
        <v>257</v>
      </c>
    </row>
    <row r="14730" spans="8:18" x14ac:dyDescent="0.2">
      <c r="H14730" s="180"/>
      <c r="P14730" s="180" t="s">
        <v>257</v>
      </c>
      <c r="R14730" s="180" t="s">
        <v>257</v>
      </c>
    </row>
    <row r="14731" spans="8:18" x14ac:dyDescent="0.2">
      <c r="H14731" s="180"/>
      <c r="P14731" s="180" t="s">
        <v>257</v>
      </c>
      <c r="R14731" s="180" t="s">
        <v>257</v>
      </c>
    </row>
    <row r="14732" spans="8:18" x14ac:dyDescent="0.2">
      <c r="H14732" s="180"/>
      <c r="P14732" s="180" t="s">
        <v>257</v>
      </c>
      <c r="R14732" s="180" t="s">
        <v>257</v>
      </c>
    </row>
    <row r="14733" spans="8:18" x14ac:dyDescent="0.2">
      <c r="H14733" s="180"/>
      <c r="P14733" s="180" t="s">
        <v>257</v>
      </c>
      <c r="R14733" s="180" t="s">
        <v>257</v>
      </c>
    </row>
    <row r="14734" spans="8:18" x14ac:dyDescent="0.2">
      <c r="H14734" s="180"/>
      <c r="P14734" s="180" t="s">
        <v>257</v>
      </c>
      <c r="R14734" s="180" t="s">
        <v>257</v>
      </c>
    </row>
    <row r="14735" spans="8:18" x14ac:dyDescent="0.2">
      <c r="H14735" s="180"/>
      <c r="P14735" s="180" t="s">
        <v>257</v>
      </c>
      <c r="R14735" s="180" t="s">
        <v>257</v>
      </c>
    </row>
    <row r="14736" spans="8:18" x14ac:dyDescent="0.2">
      <c r="H14736" s="180"/>
      <c r="P14736" s="180" t="s">
        <v>257</v>
      </c>
      <c r="R14736" s="180" t="s">
        <v>257</v>
      </c>
    </row>
    <row r="14737" spans="8:18" x14ac:dyDescent="0.2">
      <c r="H14737" s="180"/>
      <c r="P14737" s="180" t="s">
        <v>257</v>
      </c>
      <c r="R14737" s="180" t="s">
        <v>257</v>
      </c>
    </row>
    <row r="14738" spans="8:18" x14ac:dyDescent="0.2">
      <c r="H14738" s="180"/>
      <c r="P14738" s="180" t="s">
        <v>257</v>
      </c>
      <c r="R14738" s="180" t="s">
        <v>257</v>
      </c>
    </row>
    <row r="14739" spans="8:18" x14ac:dyDescent="0.2">
      <c r="H14739" s="180"/>
      <c r="P14739" s="180" t="s">
        <v>257</v>
      </c>
      <c r="R14739" s="180" t="s">
        <v>257</v>
      </c>
    </row>
    <row r="14740" spans="8:18" x14ac:dyDescent="0.2">
      <c r="H14740" s="180"/>
      <c r="P14740" s="180" t="s">
        <v>257</v>
      </c>
      <c r="R14740" s="180" t="s">
        <v>257</v>
      </c>
    </row>
    <row r="14741" spans="8:18" x14ac:dyDescent="0.2">
      <c r="H14741" s="180"/>
      <c r="P14741" s="180" t="s">
        <v>257</v>
      </c>
      <c r="R14741" s="180" t="s">
        <v>257</v>
      </c>
    </row>
    <row r="14742" spans="8:18" x14ac:dyDescent="0.2">
      <c r="H14742" s="180"/>
      <c r="P14742" s="180" t="s">
        <v>257</v>
      </c>
      <c r="R14742" s="180" t="s">
        <v>257</v>
      </c>
    </row>
    <row r="14743" spans="8:18" x14ac:dyDescent="0.2">
      <c r="H14743" s="180"/>
      <c r="P14743" s="180" t="s">
        <v>257</v>
      </c>
      <c r="R14743" s="180" t="s">
        <v>257</v>
      </c>
    </row>
    <row r="14744" spans="8:18" x14ac:dyDescent="0.2">
      <c r="H14744" s="180"/>
      <c r="P14744" s="180" t="s">
        <v>257</v>
      </c>
      <c r="R14744" s="180" t="s">
        <v>257</v>
      </c>
    </row>
    <row r="14745" spans="8:18" x14ac:dyDescent="0.2">
      <c r="H14745" s="180"/>
      <c r="P14745" s="180" t="s">
        <v>257</v>
      </c>
      <c r="R14745" s="180" t="s">
        <v>257</v>
      </c>
    </row>
    <row r="14746" spans="8:18" x14ac:dyDescent="0.2">
      <c r="H14746" s="180"/>
      <c r="P14746" s="180" t="s">
        <v>257</v>
      </c>
      <c r="R14746" s="180" t="s">
        <v>257</v>
      </c>
    </row>
    <row r="14747" spans="8:18" x14ac:dyDescent="0.2">
      <c r="H14747" s="180"/>
      <c r="P14747" s="180" t="s">
        <v>257</v>
      </c>
      <c r="R14747" s="180" t="s">
        <v>257</v>
      </c>
    </row>
    <row r="14748" spans="8:18" x14ac:dyDescent="0.2">
      <c r="H14748" s="180"/>
      <c r="P14748" s="180" t="s">
        <v>257</v>
      </c>
      <c r="R14748" s="180" t="s">
        <v>257</v>
      </c>
    </row>
    <row r="14749" spans="8:18" x14ac:dyDescent="0.2">
      <c r="H14749" s="180"/>
      <c r="P14749" s="180" t="s">
        <v>257</v>
      </c>
      <c r="R14749" s="180" t="s">
        <v>257</v>
      </c>
    </row>
    <row r="14750" spans="8:18" x14ac:dyDescent="0.2">
      <c r="H14750" s="180"/>
      <c r="P14750" s="180" t="s">
        <v>257</v>
      </c>
      <c r="R14750" s="180" t="s">
        <v>257</v>
      </c>
    </row>
    <row r="14751" spans="8:18" x14ac:dyDescent="0.2">
      <c r="H14751" s="180"/>
      <c r="P14751" s="180" t="s">
        <v>257</v>
      </c>
      <c r="R14751" s="180" t="s">
        <v>257</v>
      </c>
    </row>
    <row r="14752" spans="8:18" x14ac:dyDescent="0.2">
      <c r="H14752" s="180"/>
      <c r="P14752" s="180" t="s">
        <v>257</v>
      </c>
      <c r="R14752" s="180" t="s">
        <v>257</v>
      </c>
    </row>
    <row r="14753" spans="8:18" x14ac:dyDescent="0.2">
      <c r="H14753" s="180"/>
      <c r="P14753" s="180" t="s">
        <v>257</v>
      </c>
      <c r="R14753" s="180" t="s">
        <v>257</v>
      </c>
    </row>
    <row r="14754" spans="8:18" x14ac:dyDescent="0.2">
      <c r="H14754" s="180"/>
      <c r="P14754" s="180" t="s">
        <v>257</v>
      </c>
      <c r="R14754" s="180" t="s">
        <v>257</v>
      </c>
    </row>
    <row r="14755" spans="8:18" x14ac:dyDescent="0.2">
      <c r="H14755" s="180"/>
      <c r="P14755" s="180" t="s">
        <v>257</v>
      </c>
      <c r="R14755" s="180" t="s">
        <v>257</v>
      </c>
    </row>
    <row r="14756" spans="8:18" x14ac:dyDescent="0.2">
      <c r="H14756" s="180"/>
      <c r="P14756" s="180" t="s">
        <v>257</v>
      </c>
      <c r="R14756" s="180" t="s">
        <v>257</v>
      </c>
    </row>
    <row r="14757" spans="8:18" x14ac:dyDescent="0.2">
      <c r="H14757" s="180"/>
      <c r="P14757" s="180" t="s">
        <v>257</v>
      </c>
      <c r="R14757" s="180" t="s">
        <v>257</v>
      </c>
    </row>
    <row r="14758" spans="8:18" x14ac:dyDescent="0.2">
      <c r="H14758" s="180"/>
      <c r="P14758" s="180" t="s">
        <v>257</v>
      </c>
      <c r="R14758" s="180" t="s">
        <v>257</v>
      </c>
    </row>
    <row r="14759" spans="8:18" x14ac:dyDescent="0.2">
      <c r="H14759" s="180"/>
      <c r="P14759" s="180" t="s">
        <v>257</v>
      </c>
      <c r="R14759" s="180" t="s">
        <v>257</v>
      </c>
    </row>
    <row r="14760" spans="8:18" x14ac:dyDescent="0.2">
      <c r="H14760" s="180"/>
      <c r="P14760" s="180" t="s">
        <v>257</v>
      </c>
      <c r="R14760" s="180" t="s">
        <v>257</v>
      </c>
    </row>
    <row r="14761" spans="8:18" x14ac:dyDescent="0.2">
      <c r="H14761" s="180"/>
      <c r="P14761" s="180" t="s">
        <v>257</v>
      </c>
      <c r="R14761" s="180" t="s">
        <v>257</v>
      </c>
    </row>
    <row r="14762" spans="8:18" x14ac:dyDescent="0.2">
      <c r="H14762" s="180"/>
      <c r="P14762" s="180" t="s">
        <v>257</v>
      </c>
      <c r="R14762" s="180" t="s">
        <v>257</v>
      </c>
    </row>
    <row r="14763" spans="8:18" x14ac:dyDescent="0.2">
      <c r="H14763" s="180"/>
      <c r="P14763" s="180" t="s">
        <v>257</v>
      </c>
      <c r="R14763" s="180" t="s">
        <v>257</v>
      </c>
    </row>
    <row r="14764" spans="8:18" x14ac:dyDescent="0.2">
      <c r="H14764" s="180"/>
      <c r="P14764" s="180" t="s">
        <v>257</v>
      </c>
      <c r="R14764" s="180" t="s">
        <v>257</v>
      </c>
    </row>
    <row r="14765" spans="8:18" x14ac:dyDescent="0.2">
      <c r="H14765" s="180"/>
      <c r="P14765" s="180" t="s">
        <v>257</v>
      </c>
      <c r="R14765" s="180" t="s">
        <v>257</v>
      </c>
    </row>
    <row r="14766" spans="8:18" x14ac:dyDescent="0.2">
      <c r="H14766" s="180"/>
      <c r="P14766" s="180" t="s">
        <v>257</v>
      </c>
      <c r="R14766" s="180" t="s">
        <v>257</v>
      </c>
    </row>
    <row r="14767" spans="8:18" x14ac:dyDescent="0.2">
      <c r="H14767" s="180"/>
      <c r="P14767" s="180" t="s">
        <v>257</v>
      </c>
      <c r="R14767" s="180" t="s">
        <v>257</v>
      </c>
    </row>
    <row r="14768" spans="8:18" x14ac:dyDescent="0.2">
      <c r="H14768" s="180"/>
      <c r="P14768" s="180" t="s">
        <v>257</v>
      </c>
      <c r="R14768" s="180" t="s">
        <v>257</v>
      </c>
    </row>
    <row r="14769" spans="8:18" x14ac:dyDescent="0.2">
      <c r="H14769" s="180"/>
      <c r="P14769" s="180" t="s">
        <v>257</v>
      </c>
      <c r="R14769" s="180" t="s">
        <v>257</v>
      </c>
    </row>
    <row r="14770" spans="8:18" x14ac:dyDescent="0.2">
      <c r="H14770" s="180"/>
      <c r="P14770" s="180" t="s">
        <v>257</v>
      </c>
      <c r="R14770" s="180" t="s">
        <v>257</v>
      </c>
    </row>
    <row r="14771" spans="8:18" x14ac:dyDescent="0.2">
      <c r="H14771" s="180"/>
      <c r="P14771" s="180" t="s">
        <v>257</v>
      </c>
      <c r="R14771" s="180" t="s">
        <v>257</v>
      </c>
    </row>
    <row r="14772" spans="8:18" x14ac:dyDescent="0.2">
      <c r="H14772" s="180"/>
      <c r="P14772" s="180" t="s">
        <v>257</v>
      </c>
      <c r="R14772" s="180" t="s">
        <v>257</v>
      </c>
    </row>
    <row r="14773" spans="8:18" x14ac:dyDescent="0.2">
      <c r="H14773" s="180"/>
      <c r="P14773" s="180" t="s">
        <v>257</v>
      </c>
      <c r="R14773" s="180" t="s">
        <v>257</v>
      </c>
    </row>
    <row r="14774" spans="8:18" x14ac:dyDescent="0.2">
      <c r="H14774" s="180"/>
      <c r="P14774" s="180" t="s">
        <v>257</v>
      </c>
      <c r="R14774" s="180" t="s">
        <v>257</v>
      </c>
    </row>
    <row r="14775" spans="8:18" x14ac:dyDescent="0.2">
      <c r="H14775" s="180"/>
      <c r="P14775" s="180" t="s">
        <v>257</v>
      </c>
      <c r="R14775" s="180" t="s">
        <v>257</v>
      </c>
    </row>
    <row r="14776" spans="8:18" x14ac:dyDescent="0.2">
      <c r="H14776" s="180"/>
      <c r="P14776" s="180" t="s">
        <v>257</v>
      </c>
      <c r="R14776" s="180" t="s">
        <v>257</v>
      </c>
    </row>
    <row r="14777" spans="8:18" x14ac:dyDescent="0.2">
      <c r="H14777" s="180"/>
      <c r="P14777" s="180" t="s">
        <v>257</v>
      </c>
      <c r="R14777" s="180" t="s">
        <v>257</v>
      </c>
    </row>
    <row r="14778" spans="8:18" x14ac:dyDescent="0.2">
      <c r="H14778" s="180"/>
      <c r="P14778" s="180" t="s">
        <v>257</v>
      </c>
      <c r="R14778" s="180" t="s">
        <v>257</v>
      </c>
    </row>
    <row r="14779" spans="8:18" x14ac:dyDescent="0.2">
      <c r="H14779" s="180"/>
      <c r="P14779" s="180" t="s">
        <v>257</v>
      </c>
      <c r="R14779" s="180" t="s">
        <v>257</v>
      </c>
    </row>
    <row r="14780" spans="8:18" x14ac:dyDescent="0.2">
      <c r="H14780" s="180"/>
      <c r="P14780" s="180" t="s">
        <v>257</v>
      </c>
      <c r="R14780" s="180" t="s">
        <v>257</v>
      </c>
    </row>
    <row r="14781" spans="8:18" x14ac:dyDescent="0.2">
      <c r="H14781" s="180"/>
      <c r="P14781" s="180" t="s">
        <v>257</v>
      </c>
      <c r="R14781" s="180" t="s">
        <v>257</v>
      </c>
    </row>
    <row r="14782" spans="8:18" x14ac:dyDescent="0.2">
      <c r="H14782" s="180"/>
      <c r="P14782" s="180" t="s">
        <v>257</v>
      </c>
      <c r="R14782" s="180" t="s">
        <v>257</v>
      </c>
    </row>
    <row r="14783" spans="8:18" x14ac:dyDescent="0.2">
      <c r="H14783" s="180"/>
      <c r="P14783" s="180" t="s">
        <v>257</v>
      </c>
      <c r="R14783" s="180" t="s">
        <v>257</v>
      </c>
    </row>
    <row r="14784" spans="8:18" x14ac:dyDescent="0.2">
      <c r="H14784" s="180"/>
      <c r="P14784" s="180" t="s">
        <v>257</v>
      </c>
      <c r="R14784" s="180" t="s">
        <v>257</v>
      </c>
    </row>
    <row r="14785" spans="8:18" x14ac:dyDescent="0.2">
      <c r="H14785" s="180"/>
      <c r="P14785" s="180" t="s">
        <v>257</v>
      </c>
      <c r="R14785" s="180" t="s">
        <v>257</v>
      </c>
    </row>
    <row r="14786" spans="8:18" x14ac:dyDescent="0.2">
      <c r="H14786" s="180"/>
      <c r="P14786" s="180" t="s">
        <v>257</v>
      </c>
      <c r="R14786" s="180" t="s">
        <v>257</v>
      </c>
    </row>
    <row r="14787" spans="8:18" x14ac:dyDescent="0.2">
      <c r="H14787" s="180"/>
      <c r="P14787" s="180" t="s">
        <v>257</v>
      </c>
      <c r="R14787" s="180" t="s">
        <v>257</v>
      </c>
    </row>
    <row r="14788" spans="8:18" x14ac:dyDescent="0.2">
      <c r="H14788" s="180"/>
      <c r="P14788" s="180" t="s">
        <v>257</v>
      </c>
      <c r="R14788" s="180" t="s">
        <v>257</v>
      </c>
    </row>
    <row r="14789" spans="8:18" x14ac:dyDescent="0.2">
      <c r="H14789" s="180"/>
      <c r="P14789" s="180" t="s">
        <v>257</v>
      </c>
      <c r="R14789" s="180" t="s">
        <v>257</v>
      </c>
    </row>
    <row r="14790" spans="8:18" x14ac:dyDescent="0.2">
      <c r="H14790" s="180"/>
      <c r="P14790" s="180" t="s">
        <v>257</v>
      </c>
      <c r="R14790" s="180" t="s">
        <v>257</v>
      </c>
    </row>
    <row r="14791" spans="8:18" x14ac:dyDescent="0.2">
      <c r="H14791" s="180"/>
      <c r="P14791" s="180" t="s">
        <v>257</v>
      </c>
      <c r="R14791" s="180" t="s">
        <v>257</v>
      </c>
    </row>
    <row r="14792" spans="8:18" x14ac:dyDescent="0.2">
      <c r="H14792" s="180"/>
      <c r="P14792" s="180" t="s">
        <v>257</v>
      </c>
      <c r="R14792" s="180" t="s">
        <v>257</v>
      </c>
    </row>
    <row r="14793" spans="8:18" x14ac:dyDescent="0.2">
      <c r="H14793" s="180"/>
      <c r="P14793" s="180" t="s">
        <v>257</v>
      </c>
      <c r="R14793" s="180" t="s">
        <v>257</v>
      </c>
    </row>
    <row r="14794" spans="8:18" x14ac:dyDescent="0.2">
      <c r="H14794" s="180"/>
      <c r="P14794" s="180" t="s">
        <v>257</v>
      </c>
      <c r="R14794" s="180" t="s">
        <v>257</v>
      </c>
    </row>
    <row r="14795" spans="8:18" x14ac:dyDescent="0.2">
      <c r="H14795" s="180"/>
      <c r="P14795" s="180" t="s">
        <v>257</v>
      </c>
      <c r="R14795" s="180" t="s">
        <v>257</v>
      </c>
    </row>
    <row r="14796" spans="8:18" x14ac:dyDescent="0.2">
      <c r="H14796" s="180"/>
      <c r="P14796" s="180" t="s">
        <v>257</v>
      </c>
      <c r="R14796" s="180" t="s">
        <v>257</v>
      </c>
    </row>
    <row r="14797" spans="8:18" x14ac:dyDescent="0.2">
      <c r="H14797" s="180"/>
      <c r="P14797" s="180" t="s">
        <v>257</v>
      </c>
      <c r="R14797" s="180" t="s">
        <v>257</v>
      </c>
    </row>
    <row r="14798" spans="8:18" x14ac:dyDescent="0.2">
      <c r="H14798" s="180"/>
      <c r="P14798" s="180" t="s">
        <v>257</v>
      </c>
      <c r="R14798" s="180" t="s">
        <v>257</v>
      </c>
    </row>
    <row r="14799" spans="8:18" x14ac:dyDescent="0.2">
      <c r="H14799" s="180"/>
      <c r="P14799" s="180" t="s">
        <v>257</v>
      </c>
      <c r="R14799" s="180" t="s">
        <v>257</v>
      </c>
    </row>
    <row r="14800" spans="8:18" x14ac:dyDescent="0.2">
      <c r="H14800" s="180"/>
      <c r="P14800" s="180" t="s">
        <v>257</v>
      </c>
      <c r="R14800" s="180" t="s">
        <v>257</v>
      </c>
    </row>
    <row r="14801" spans="8:18" x14ac:dyDescent="0.2">
      <c r="H14801" s="180"/>
      <c r="P14801" s="180" t="s">
        <v>257</v>
      </c>
      <c r="R14801" s="180" t="s">
        <v>257</v>
      </c>
    </row>
    <row r="14802" spans="8:18" x14ac:dyDescent="0.2">
      <c r="H14802" s="180"/>
      <c r="P14802" s="180" t="s">
        <v>257</v>
      </c>
      <c r="R14802" s="180" t="s">
        <v>257</v>
      </c>
    </row>
    <row r="14803" spans="8:18" x14ac:dyDescent="0.2">
      <c r="H14803" s="180"/>
      <c r="P14803" s="180" t="s">
        <v>257</v>
      </c>
      <c r="R14803" s="180" t="s">
        <v>257</v>
      </c>
    </row>
    <row r="14804" spans="8:18" x14ac:dyDescent="0.2">
      <c r="H14804" s="180"/>
      <c r="P14804" s="180" t="s">
        <v>257</v>
      </c>
      <c r="R14804" s="180" t="s">
        <v>257</v>
      </c>
    </row>
    <row r="14805" spans="8:18" x14ac:dyDescent="0.2">
      <c r="H14805" s="180"/>
      <c r="P14805" s="180" t="s">
        <v>257</v>
      </c>
      <c r="R14805" s="180" t="s">
        <v>257</v>
      </c>
    </row>
    <row r="14806" spans="8:18" x14ac:dyDescent="0.2">
      <c r="H14806" s="180"/>
      <c r="P14806" s="180" t="s">
        <v>257</v>
      </c>
      <c r="R14806" s="180" t="s">
        <v>257</v>
      </c>
    </row>
    <row r="14807" spans="8:18" x14ac:dyDescent="0.2">
      <c r="H14807" s="180"/>
      <c r="P14807" s="180" t="s">
        <v>257</v>
      </c>
      <c r="R14807" s="180" t="s">
        <v>257</v>
      </c>
    </row>
    <row r="14808" spans="8:18" x14ac:dyDescent="0.2">
      <c r="H14808" s="180"/>
      <c r="P14808" s="180" t="s">
        <v>257</v>
      </c>
      <c r="R14808" s="180" t="s">
        <v>257</v>
      </c>
    </row>
    <row r="14809" spans="8:18" x14ac:dyDescent="0.2">
      <c r="H14809" s="180"/>
      <c r="P14809" s="180" t="s">
        <v>257</v>
      </c>
      <c r="R14809" s="180" t="s">
        <v>257</v>
      </c>
    </row>
    <row r="14810" spans="8:18" x14ac:dyDescent="0.2">
      <c r="H14810" s="180"/>
      <c r="P14810" s="180" t="s">
        <v>257</v>
      </c>
      <c r="R14810" s="180" t="s">
        <v>257</v>
      </c>
    </row>
    <row r="14811" spans="8:18" x14ac:dyDescent="0.2">
      <c r="H14811" s="180"/>
      <c r="P14811" s="180" t="s">
        <v>257</v>
      </c>
      <c r="R14811" s="180" t="s">
        <v>257</v>
      </c>
    </row>
    <row r="14812" spans="8:18" x14ac:dyDescent="0.2">
      <c r="H14812" s="180"/>
      <c r="P14812" s="180" t="s">
        <v>257</v>
      </c>
      <c r="R14812" s="180" t="s">
        <v>257</v>
      </c>
    </row>
    <row r="14813" spans="8:18" x14ac:dyDescent="0.2">
      <c r="H14813" s="180"/>
      <c r="P14813" s="180" t="s">
        <v>257</v>
      </c>
      <c r="R14813" s="180" t="s">
        <v>257</v>
      </c>
    </row>
    <row r="14814" spans="8:18" x14ac:dyDescent="0.2">
      <c r="H14814" s="180"/>
      <c r="P14814" s="180" t="s">
        <v>257</v>
      </c>
      <c r="R14814" s="180" t="s">
        <v>257</v>
      </c>
    </row>
    <row r="14815" spans="8:18" x14ac:dyDescent="0.2">
      <c r="H14815" s="180"/>
      <c r="P14815" s="180" t="s">
        <v>257</v>
      </c>
      <c r="R14815" s="180" t="s">
        <v>257</v>
      </c>
    </row>
    <row r="14816" spans="8:18" x14ac:dyDescent="0.2">
      <c r="H14816" s="180"/>
      <c r="P14816" s="180" t="s">
        <v>257</v>
      </c>
      <c r="R14816" s="180" t="s">
        <v>257</v>
      </c>
    </row>
    <row r="14817" spans="8:18" x14ac:dyDescent="0.2">
      <c r="H14817" s="180"/>
      <c r="P14817" s="180" t="s">
        <v>257</v>
      </c>
      <c r="R14817" s="180" t="s">
        <v>257</v>
      </c>
    </row>
    <row r="14818" spans="8:18" x14ac:dyDescent="0.2">
      <c r="H14818" s="180"/>
      <c r="P14818" s="180" t="s">
        <v>257</v>
      </c>
      <c r="R14818" s="180" t="s">
        <v>257</v>
      </c>
    </row>
    <row r="14819" spans="8:18" x14ac:dyDescent="0.2">
      <c r="H14819" s="180"/>
      <c r="P14819" s="180" t="s">
        <v>257</v>
      </c>
      <c r="R14819" s="180" t="s">
        <v>257</v>
      </c>
    </row>
    <row r="14820" spans="8:18" x14ac:dyDescent="0.2">
      <c r="H14820" s="180"/>
      <c r="P14820" s="180" t="s">
        <v>257</v>
      </c>
      <c r="R14820" s="180" t="s">
        <v>257</v>
      </c>
    </row>
    <row r="14821" spans="8:18" x14ac:dyDescent="0.2">
      <c r="H14821" s="180"/>
      <c r="P14821" s="180" t="s">
        <v>257</v>
      </c>
      <c r="R14821" s="180" t="s">
        <v>257</v>
      </c>
    </row>
    <row r="14822" spans="8:18" x14ac:dyDescent="0.2">
      <c r="H14822" s="180"/>
      <c r="P14822" s="180" t="s">
        <v>257</v>
      </c>
      <c r="R14822" s="180" t="s">
        <v>257</v>
      </c>
    </row>
    <row r="14823" spans="8:18" x14ac:dyDescent="0.2">
      <c r="H14823" s="180"/>
      <c r="P14823" s="180" t="s">
        <v>257</v>
      </c>
      <c r="R14823" s="180" t="s">
        <v>257</v>
      </c>
    </row>
    <row r="14824" spans="8:18" x14ac:dyDescent="0.2">
      <c r="H14824" s="180"/>
      <c r="P14824" s="180" t="s">
        <v>257</v>
      </c>
      <c r="R14824" s="180" t="s">
        <v>257</v>
      </c>
    </row>
    <row r="14825" spans="8:18" x14ac:dyDescent="0.2">
      <c r="H14825" s="180"/>
      <c r="P14825" s="180" t="s">
        <v>257</v>
      </c>
      <c r="R14825" s="180" t="s">
        <v>257</v>
      </c>
    </row>
    <row r="14826" spans="8:18" x14ac:dyDescent="0.2">
      <c r="H14826" s="180"/>
      <c r="P14826" s="180" t="s">
        <v>257</v>
      </c>
      <c r="R14826" s="180" t="s">
        <v>257</v>
      </c>
    </row>
    <row r="14827" spans="8:18" x14ac:dyDescent="0.2">
      <c r="H14827" s="180"/>
      <c r="P14827" s="180" t="s">
        <v>257</v>
      </c>
      <c r="R14827" s="180" t="s">
        <v>257</v>
      </c>
    </row>
    <row r="14828" spans="8:18" x14ac:dyDescent="0.2">
      <c r="H14828" s="180"/>
      <c r="P14828" s="180" t="s">
        <v>257</v>
      </c>
      <c r="R14828" s="180" t="s">
        <v>257</v>
      </c>
    </row>
    <row r="14829" spans="8:18" x14ac:dyDescent="0.2">
      <c r="H14829" s="180"/>
      <c r="P14829" s="180" t="s">
        <v>257</v>
      </c>
      <c r="R14829" s="180" t="s">
        <v>257</v>
      </c>
    </row>
    <row r="14830" spans="8:18" x14ac:dyDescent="0.2">
      <c r="H14830" s="180"/>
      <c r="P14830" s="180" t="s">
        <v>257</v>
      </c>
      <c r="R14830" s="180" t="s">
        <v>257</v>
      </c>
    </row>
    <row r="14831" spans="8:18" x14ac:dyDescent="0.2">
      <c r="H14831" s="180"/>
      <c r="P14831" s="180" t="s">
        <v>257</v>
      </c>
      <c r="R14831" s="180" t="s">
        <v>257</v>
      </c>
    </row>
    <row r="14832" spans="8:18" x14ac:dyDescent="0.2">
      <c r="H14832" s="180"/>
      <c r="P14832" s="180" t="s">
        <v>257</v>
      </c>
      <c r="R14832" s="180" t="s">
        <v>257</v>
      </c>
    </row>
    <row r="14833" spans="8:18" x14ac:dyDescent="0.2">
      <c r="H14833" s="180"/>
      <c r="P14833" s="180" t="s">
        <v>257</v>
      </c>
      <c r="R14833" s="180" t="s">
        <v>257</v>
      </c>
    </row>
    <row r="14834" spans="8:18" x14ac:dyDescent="0.2">
      <c r="H14834" s="180"/>
      <c r="P14834" s="180" t="s">
        <v>257</v>
      </c>
      <c r="R14834" s="180" t="s">
        <v>257</v>
      </c>
    </row>
    <row r="14835" spans="8:18" x14ac:dyDescent="0.2">
      <c r="H14835" s="180"/>
      <c r="P14835" s="180" t="s">
        <v>257</v>
      </c>
      <c r="R14835" s="180" t="s">
        <v>257</v>
      </c>
    </row>
    <row r="14836" spans="8:18" x14ac:dyDescent="0.2">
      <c r="H14836" s="180"/>
      <c r="P14836" s="180" t="s">
        <v>257</v>
      </c>
      <c r="R14836" s="180" t="s">
        <v>257</v>
      </c>
    </row>
    <row r="14837" spans="8:18" x14ac:dyDescent="0.2">
      <c r="H14837" s="180"/>
      <c r="P14837" s="180" t="s">
        <v>257</v>
      </c>
      <c r="R14837" s="180" t="s">
        <v>257</v>
      </c>
    </row>
    <row r="14838" spans="8:18" x14ac:dyDescent="0.2">
      <c r="H14838" s="180"/>
      <c r="P14838" s="180" t="s">
        <v>257</v>
      </c>
      <c r="R14838" s="180" t="s">
        <v>257</v>
      </c>
    </row>
    <row r="14839" spans="8:18" x14ac:dyDescent="0.2">
      <c r="H14839" s="180"/>
      <c r="P14839" s="180" t="s">
        <v>257</v>
      </c>
      <c r="R14839" s="180" t="s">
        <v>257</v>
      </c>
    </row>
    <row r="14840" spans="8:18" x14ac:dyDescent="0.2">
      <c r="H14840" s="180"/>
      <c r="P14840" s="180" t="s">
        <v>257</v>
      </c>
      <c r="R14840" s="180" t="s">
        <v>257</v>
      </c>
    </row>
    <row r="14841" spans="8:18" x14ac:dyDescent="0.2">
      <c r="H14841" s="180"/>
      <c r="P14841" s="180" t="s">
        <v>257</v>
      </c>
      <c r="R14841" s="180" t="s">
        <v>257</v>
      </c>
    </row>
    <row r="14842" spans="8:18" x14ac:dyDescent="0.2">
      <c r="H14842" s="180"/>
      <c r="P14842" s="180" t="s">
        <v>257</v>
      </c>
      <c r="R14842" s="180" t="s">
        <v>257</v>
      </c>
    </row>
    <row r="14843" spans="8:18" x14ac:dyDescent="0.2">
      <c r="H14843" s="180"/>
      <c r="P14843" s="180" t="s">
        <v>257</v>
      </c>
      <c r="R14843" s="180" t="s">
        <v>257</v>
      </c>
    </row>
    <row r="14844" spans="8:18" x14ac:dyDescent="0.2">
      <c r="H14844" s="180"/>
      <c r="P14844" s="180" t="s">
        <v>257</v>
      </c>
      <c r="R14844" s="180" t="s">
        <v>257</v>
      </c>
    </row>
    <row r="14845" spans="8:18" x14ac:dyDescent="0.2">
      <c r="H14845" s="180"/>
      <c r="P14845" s="180" t="s">
        <v>257</v>
      </c>
      <c r="R14845" s="180" t="s">
        <v>257</v>
      </c>
    </row>
    <row r="14846" spans="8:18" x14ac:dyDescent="0.2">
      <c r="H14846" s="180"/>
      <c r="P14846" s="180" t="s">
        <v>257</v>
      </c>
      <c r="R14846" s="180" t="s">
        <v>257</v>
      </c>
    </row>
    <row r="14847" spans="8:18" x14ac:dyDescent="0.2">
      <c r="H14847" s="180"/>
      <c r="P14847" s="180" t="s">
        <v>257</v>
      </c>
      <c r="R14847" s="180" t="s">
        <v>257</v>
      </c>
    </row>
    <row r="14848" spans="8:18" x14ac:dyDescent="0.2">
      <c r="H14848" s="180"/>
      <c r="P14848" s="180" t="s">
        <v>257</v>
      </c>
      <c r="R14848" s="180" t="s">
        <v>257</v>
      </c>
    </row>
    <row r="14849" spans="8:18" x14ac:dyDescent="0.2">
      <c r="H14849" s="180"/>
      <c r="P14849" s="180" t="s">
        <v>257</v>
      </c>
      <c r="R14849" s="180" t="s">
        <v>257</v>
      </c>
    </row>
    <row r="14850" spans="8:18" x14ac:dyDescent="0.2">
      <c r="H14850" s="180"/>
      <c r="P14850" s="180" t="s">
        <v>257</v>
      </c>
      <c r="R14850" s="180" t="s">
        <v>257</v>
      </c>
    </row>
    <row r="14851" spans="8:18" x14ac:dyDescent="0.2">
      <c r="H14851" s="180"/>
      <c r="P14851" s="180" t="s">
        <v>257</v>
      </c>
      <c r="R14851" s="180" t="s">
        <v>257</v>
      </c>
    </row>
    <row r="14852" spans="8:18" x14ac:dyDescent="0.2">
      <c r="H14852" s="180"/>
      <c r="P14852" s="180" t="s">
        <v>257</v>
      </c>
      <c r="R14852" s="180" t="s">
        <v>257</v>
      </c>
    </row>
    <row r="14853" spans="8:18" x14ac:dyDescent="0.2">
      <c r="H14853" s="180"/>
      <c r="P14853" s="180" t="s">
        <v>257</v>
      </c>
      <c r="R14853" s="180" t="s">
        <v>257</v>
      </c>
    </row>
    <row r="14854" spans="8:18" x14ac:dyDescent="0.2">
      <c r="H14854" s="180"/>
      <c r="P14854" s="180" t="s">
        <v>257</v>
      </c>
      <c r="R14854" s="180" t="s">
        <v>257</v>
      </c>
    </row>
    <row r="14855" spans="8:18" x14ac:dyDescent="0.2">
      <c r="H14855" s="180"/>
      <c r="P14855" s="180" t="s">
        <v>257</v>
      </c>
      <c r="R14855" s="180" t="s">
        <v>257</v>
      </c>
    </row>
    <row r="14856" spans="8:18" x14ac:dyDescent="0.2">
      <c r="H14856" s="180"/>
      <c r="P14856" s="180" t="s">
        <v>257</v>
      </c>
      <c r="R14856" s="180" t="s">
        <v>257</v>
      </c>
    </row>
    <row r="14857" spans="8:18" x14ac:dyDescent="0.2">
      <c r="H14857" s="180"/>
      <c r="P14857" s="180" t="s">
        <v>257</v>
      </c>
      <c r="R14857" s="180" t="s">
        <v>257</v>
      </c>
    </row>
    <row r="14858" spans="8:18" x14ac:dyDescent="0.2">
      <c r="H14858" s="180"/>
      <c r="P14858" s="180" t="s">
        <v>257</v>
      </c>
      <c r="R14858" s="180" t="s">
        <v>257</v>
      </c>
    </row>
    <row r="14859" spans="8:18" x14ac:dyDescent="0.2">
      <c r="H14859" s="180"/>
      <c r="P14859" s="180" t="s">
        <v>257</v>
      </c>
      <c r="R14859" s="180" t="s">
        <v>257</v>
      </c>
    </row>
    <row r="14860" spans="8:18" x14ac:dyDescent="0.2">
      <c r="H14860" s="180"/>
      <c r="P14860" s="180" t="s">
        <v>257</v>
      </c>
      <c r="R14860" s="180" t="s">
        <v>257</v>
      </c>
    </row>
    <row r="14861" spans="8:18" x14ac:dyDescent="0.2">
      <c r="H14861" s="180"/>
      <c r="P14861" s="180" t="s">
        <v>257</v>
      </c>
      <c r="R14861" s="180" t="s">
        <v>257</v>
      </c>
    </row>
    <row r="14862" spans="8:18" x14ac:dyDescent="0.2">
      <c r="H14862" s="180"/>
      <c r="P14862" s="180" t="s">
        <v>257</v>
      </c>
      <c r="R14862" s="180" t="s">
        <v>257</v>
      </c>
    </row>
    <row r="14863" spans="8:18" x14ac:dyDescent="0.2">
      <c r="H14863" s="180"/>
      <c r="P14863" s="180" t="s">
        <v>257</v>
      </c>
      <c r="R14863" s="180" t="s">
        <v>257</v>
      </c>
    </row>
    <row r="14864" spans="8:18" x14ac:dyDescent="0.2">
      <c r="H14864" s="180"/>
      <c r="P14864" s="180" t="s">
        <v>257</v>
      </c>
      <c r="R14864" s="180" t="s">
        <v>257</v>
      </c>
    </row>
    <row r="14865" spans="8:18" x14ac:dyDescent="0.2">
      <c r="H14865" s="180"/>
      <c r="P14865" s="180" t="s">
        <v>257</v>
      </c>
      <c r="R14865" s="180" t="s">
        <v>257</v>
      </c>
    </row>
    <row r="14866" spans="8:18" x14ac:dyDescent="0.2">
      <c r="H14866" s="180"/>
      <c r="P14866" s="180" t="s">
        <v>257</v>
      </c>
      <c r="R14866" s="180" t="s">
        <v>257</v>
      </c>
    </row>
    <row r="14867" spans="8:18" x14ac:dyDescent="0.2">
      <c r="H14867" s="180"/>
      <c r="P14867" s="180" t="s">
        <v>257</v>
      </c>
      <c r="R14867" s="180" t="s">
        <v>257</v>
      </c>
    </row>
    <row r="14868" spans="8:18" x14ac:dyDescent="0.2">
      <c r="H14868" s="180"/>
      <c r="P14868" s="180" t="s">
        <v>257</v>
      </c>
      <c r="R14868" s="180" t="s">
        <v>257</v>
      </c>
    </row>
    <row r="14869" spans="8:18" x14ac:dyDescent="0.2">
      <c r="H14869" s="180"/>
      <c r="P14869" s="180" t="s">
        <v>257</v>
      </c>
      <c r="R14869" s="180" t="s">
        <v>257</v>
      </c>
    </row>
    <row r="14870" spans="8:18" x14ac:dyDescent="0.2">
      <c r="H14870" s="180"/>
      <c r="P14870" s="180" t="s">
        <v>257</v>
      </c>
      <c r="R14870" s="180" t="s">
        <v>257</v>
      </c>
    </row>
    <row r="14871" spans="8:18" x14ac:dyDescent="0.2">
      <c r="H14871" s="180"/>
      <c r="P14871" s="180" t="s">
        <v>257</v>
      </c>
      <c r="R14871" s="180" t="s">
        <v>257</v>
      </c>
    </row>
    <row r="14872" spans="8:18" x14ac:dyDescent="0.2">
      <c r="H14872" s="180"/>
      <c r="P14872" s="180" t="s">
        <v>257</v>
      </c>
      <c r="R14872" s="180" t="s">
        <v>257</v>
      </c>
    </row>
    <row r="14873" spans="8:18" x14ac:dyDescent="0.2">
      <c r="H14873" s="180"/>
      <c r="P14873" s="180" t="s">
        <v>257</v>
      </c>
      <c r="R14873" s="180" t="s">
        <v>257</v>
      </c>
    </row>
    <row r="14874" spans="8:18" x14ac:dyDescent="0.2">
      <c r="H14874" s="180"/>
      <c r="P14874" s="180" t="s">
        <v>257</v>
      </c>
      <c r="R14874" s="180" t="s">
        <v>257</v>
      </c>
    </row>
    <row r="14875" spans="8:18" x14ac:dyDescent="0.2">
      <c r="H14875" s="180"/>
      <c r="P14875" s="180" t="s">
        <v>257</v>
      </c>
      <c r="R14875" s="180" t="s">
        <v>257</v>
      </c>
    </row>
    <row r="14876" spans="8:18" x14ac:dyDescent="0.2">
      <c r="H14876" s="180"/>
      <c r="P14876" s="180" t="s">
        <v>257</v>
      </c>
      <c r="R14876" s="180" t="s">
        <v>257</v>
      </c>
    </row>
    <row r="14877" spans="8:18" x14ac:dyDescent="0.2">
      <c r="H14877" s="180"/>
      <c r="P14877" s="180" t="s">
        <v>257</v>
      </c>
      <c r="R14877" s="180" t="s">
        <v>257</v>
      </c>
    </row>
    <row r="14878" spans="8:18" x14ac:dyDescent="0.2">
      <c r="H14878" s="180"/>
      <c r="P14878" s="180" t="s">
        <v>257</v>
      </c>
      <c r="R14878" s="180" t="s">
        <v>257</v>
      </c>
    </row>
    <row r="14879" spans="8:18" x14ac:dyDescent="0.2">
      <c r="H14879" s="180"/>
      <c r="P14879" s="180" t="s">
        <v>257</v>
      </c>
      <c r="R14879" s="180" t="s">
        <v>257</v>
      </c>
    </row>
    <row r="14880" spans="8:18" x14ac:dyDescent="0.2">
      <c r="H14880" s="180"/>
      <c r="P14880" s="180" t="s">
        <v>257</v>
      </c>
      <c r="R14880" s="180" t="s">
        <v>257</v>
      </c>
    </row>
    <row r="14881" spans="8:18" x14ac:dyDescent="0.2">
      <c r="H14881" s="180"/>
      <c r="P14881" s="180" t="s">
        <v>257</v>
      </c>
      <c r="R14881" s="180" t="s">
        <v>257</v>
      </c>
    </row>
    <row r="14882" spans="8:18" x14ac:dyDescent="0.2">
      <c r="H14882" s="180"/>
      <c r="P14882" s="180" t="s">
        <v>257</v>
      </c>
      <c r="R14882" s="180" t="s">
        <v>257</v>
      </c>
    </row>
    <row r="14883" spans="8:18" x14ac:dyDescent="0.2">
      <c r="H14883" s="180"/>
      <c r="P14883" s="180" t="s">
        <v>257</v>
      </c>
      <c r="R14883" s="180" t="s">
        <v>257</v>
      </c>
    </row>
    <row r="14884" spans="8:18" x14ac:dyDescent="0.2">
      <c r="H14884" s="180"/>
      <c r="P14884" s="180" t="s">
        <v>257</v>
      </c>
      <c r="R14884" s="180" t="s">
        <v>257</v>
      </c>
    </row>
    <row r="14885" spans="8:18" x14ac:dyDescent="0.2">
      <c r="H14885" s="180"/>
      <c r="P14885" s="180" t="s">
        <v>257</v>
      </c>
      <c r="R14885" s="180" t="s">
        <v>257</v>
      </c>
    </row>
    <row r="14886" spans="8:18" x14ac:dyDescent="0.2">
      <c r="H14886" s="180"/>
      <c r="P14886" s="180" t="s">
        <v>257</v>
      </c>
      <c r="R14886" s="180" t="s">
        <v>257</v>
      </c>
    </row>
    <row r="14887" spans="8:18" x14ac:dyDescent="0.2">
      <c r="H14887" s="180"/>
      <c r="P14887" s="180" t="s">
        <v>257</v>
      </c>
      <c r="R14887" s="180" t="s">
        <v>257</v>
      </c>
    </row>
    <row r="14888" spans="8:18" x14ac:dyDescent="0.2">
      <c r="H14888" s="180"/>
      <c r="P14888" s="180" t="s">
        <v>257</v>
      </c>
      <c r="R14888" s="180" t="s">
        <v>257</v>
      </c>
    </row>
    <row r="14889" spans="8:18" x14ac:dyDescent="0.2">
      <c r="H14889" s="180"/>
      <c r="P14889" s="180" t="s">
        <v>257</v>
      </c>
      <c r="R14889" s="180" t="s">
        <v>257</v>
      </c>
    </row>
    <row r="14890" spans="8:18" x14ac:dyDescent="0.2">
      <c r="H14890" s="180"/>
      <c r="P14890" s="180" t="s">
        <v>257</v>
      </c>
      <c r="R14890" s="180" t="s">
        <v>257</v>
      </c>
    </row>
    <row r="14891" spans="8:18" x14ac:dyDescent="0.2">
      <c r="H14891" s="180"/>
      <c r="P14891" s="180" t="s">
        <v>257</v>
      </c>
      <c r="R14891" s="180" t="s">
        <v>257</v>
      </c>
    </row>
    <row r="14892" spans="8:18" x14ac:dyDescent="0.2">
      <c r="H14892" s="180"/>
      <c r="P14892" s="180" t="s">
        <v>257</v>
      </c>
      <c r="R14892" s="180" t="s">
        <v>257</v>
      </c>
    </row>
    <row r="14893" spans="8:18" x14ac:dyDescent="0.2">
      <c r="H14893" s="180"/>
      <c r="P14893" s="180" t="s">
        <v>257</v>
      </c>
      <c r="R14893" s="180" t="s">
        <v>257</v>
      </c>
    </row>
    <row r="14894" spans="8:18" x14ac:dyDescent="0.2">
      <c r="H14894" s="180"/>
      <c r="P14894" s="180" t="s">
        <v>257</v>
      </c>
      <c r="R14894" s="180" t="s">
        <v>257</v>
      </c>
    </row>
    <row r="14895" spans="8:18" x14ac:dyDescent="0.2">
      <c r="H14895" s="180"/>
      <c r="P14895" s="180" t="s">
        <v>257</v>
      </c>
      <c r="R14895" s="180" t="s">
        <v>257</v>
      </c>
    </row>
    <row r="14896" spans="8:18" x14ac:dyDescent="0.2">
      <c r="H14896" s="180"/>
      <c r="P14896" s="180" t="s">
        <v>257</v>
      </c>
      <c r="R14896" s="180" t="s">
        <v>257</v>
      </c>
    </row>
    <row r="14897" spans="8:18" x14ac:dyDescent="0.2">
      <c r="H14897" s="180"/>
      <c r="P14897" s="180" t="s">
        <v>257</v>
      </c>
      <c r="R14897" s="180" t="s">
        <v>257</v>
      </c>
    </row>
    <row r="14898" spans="8:18" x14ac:dyDescent="0.2">
      <c r="H14898" s="180"/>
      <c r="P14898" s="180" t="s">
        <v>257</v>
      </c>
      <c r="R14898" s="180" t="s">
        <v>257</v>
      </c>
    </row>
    <row r="14899" spans="8:18" x14ac:dyDescent="0.2">
      <c r="H14899" s="180"/>
      <c r="P14899" s="180" t="s">
        <v>257</v>
      </c>
      <c r="R14899" s="180" t="s">
        <v>257</v>
      </c>
    </row>
    <row r="14900" spans="8:18" x14ac:dyDescent="0.2">
      <c r="H14900" s="180"/>
      <c r="P14900" s="180" t="s">
        <v>257</v>
      </c>
      <c r="R14900" s="180" t="s">
        <v>257</v>
      </c>
    </row>
    <row r="14901" spans="8:18" x14ac:dyDescent="0.2">
      <c r="H14901" s="180"/>
      <c r="P14901" s="180" t="s">
        <v>257</v>
      </c>
      <c r="R14901" s="180" t="s">
        <v>257</v>
      </c>
    </row>
    <row r="14902" spans="8:18" x14ac:dyDescent="0.2">
      <c r="H14902" s="180"/>
      <c r="P14902" s="180" t="s">
        <v>257</v>
      </c>
      <c r="R14902" s="180" t="s">
        <v>257</v>
      </c>
    </row>
    <row r="14903" spans="8:18" x14ac:dyDescent="0.2">
      <c r="H14903" s="180"/>
      <c r="P14903" s="180" t="s">
        <v>257</v>
      </c>
      <c r="R14903" s="180" t="s">
        <v>257</v>
      </c>
    </row>
    <row r="14904" spans="8:18" x14ac:dyDescent="0.2">
      <c r="H14904" s="180"/>
      <c r="P14904" s="180" t="s">
        <v>257</v>
      </c>
      <c r="R14904" s="180" t="s">
        <v>257</v>
      </c>
    </row>
    <row r="14905" spans="8:18" x14ac:dyDescent="0.2">
      <c r="H14905" s="180"/>
      <c r="P14905" s="180" t="s">
        <v>257</v>
      </c>
      <c r="R14905" s="180" t="s">
        <v>257</v>
      </c>
    </row>
    <row r="14906" spans="8:18" x14ac:dyDescent="0.2">
      <c r="H14906" s="180"/>
      <c r="P14906" s="180" t="s">
        <v>257</v>
      </c>
      <c r="R14906" s="180" t="s">
        <v>257</v>
      </c>
    </row>
    <row r="14907" spans="8:18" x14ac:dyDescent="0.2">
      <c r="H14907" s="180"/>
      <c r="P14907" s="180" t="s">
        <v>257</v>
      </c>
      <c r="R14907" s="180" t="s">
        <v>257</v>
      </c>
    </row>
    <row r="14908" spans="8:18" x14ac:dyDescent="0.2">
      <c r="H14908" s="180"/>
      <c r="P14908" s="180" t="s">
        <v>257</v>
      </c>
      <c r="R14908" s="180" t="s">
        <v>257</v>
      </c>
    </row>
    <row r="14909" spans="8:18" x14ac:dyDescent="0.2">
      <c r="H14909" s="180"/>
      <c r="P14909" s="180" t="s">
        <v>257</v>
      </c>
      <c r="R14909" s="180" t="s">
        <v>257</v>
      </c>
    </row>
    <row r="14910" spans="8:18" x14ac:dyDescent="0.2">
      <c r="H14910" s="180"/>
      <c r="P14910" s="180" t="s">
        <v>257</v>
      </c>
      <c r="R14910" s="180" t="s">
        <v>257</v>
      </c>
    </row>
    <row r="14911" spans="8:18" x14ac:dyDescent="0.2">
      <c r="H14911" s="180"/>
      <c r="P14911" s="180" t="s">
        <v>257</v>
      </c>
      <c r="R14911" s="180" t="s">
        <v>257</v>
      </c>
    </row>
    <row r="14912" spans="8:18" x14ac:dyDescent="0.2">
      <c r="H14912" s="180"/>
      <c r="P14912" s="180" t="s">
        <v>257</v>
      </c>
      <c r="R14912" s="180" t="s">
        <v>257</v>
      </c>
    </row>
    <row r="14913" spans="8:18" x14ac:dyDescent="0.2">
      <c r="H14913" s="180"/>
      <c r="P14913" s="180" t="s">
        <v>257</v>
      </c>
      <c r="R14913" s="180" t="s">
        <v>257</v>
      </c>
    </row>
    <row r="14914" spans="8:18" x14ac:dyDescent="0.2">
      <c r="H14914" s="180"/>
      <c r="P14914" s="180" t="s">
        <v>257</v>
      </c>
      <c r="R14914" s="180" t="s">
        <v>257</v>
      </c>
    </row>
    <row r="14915" spans="8:18" x14ac:dyDescent="0.2">
      <c r="H14915" s="180"/>
      <c r="P14915" s="180" t="s">
        <v>257</v>
      </c>
      <c r="R14915" s="180" t="s">
        <v>257</v>
      </c>
    </row>
    <row r="14916" spans="8:18" x14ac:dyDescent="0.2">
      <c r="H14916" s="180"/>
      <c r="P14916" s="180" t="s">
        <v>257</v>
      </c>
      <c r="R14916" s="180" t="s">
        <v>257</v>
      </c>
    </row>
    <row r="14917" spans="8:18" x14ac:dyDescent="0.2">
      <c r="H14917" s="180"/>
      <c r="P14917" s="180" t="s">
        <v>257</v>
      </c>
      <c r="R14917" s="180" t="s">
        <v>257</v>
      </c>
    </row>
    <row r="14918" spans="8:18" x14ac:dyDescent="0.2">
      <c r="H14918" s="180"/>
      <c r="P14918" s="180" t="s">
        <v>257</v>
      </c>
      <c r="R14918" s="180" t="s">
        <v>257</v>
      </c>
    </row>
    <row r="14919" spans="8:18" x14ac:dyDescent="0.2">
      <c r="H14919" s="180"/>
      <c r="P14919" s="180" t="s">
        <v>257</v>
      </c>
      <c r="R14919" s="180" t="s">
        <v>257</v>
      </c>
    </row>
    <row r="14920" spans="8:18" x14ac:dyDescent="0.2">
      <c r="H14920" s="180"/>
      <c r="P14920" s="180" t="s">
        <v>257</v>
      </c>
      <c r="R14920" s="180" t="s">
        <v>257</v>
      </c>
    </row>
    <row r="14921" spans="8:18" x14ac:dyDescent="0.2">
      <c r="H14921" s="180"/>
      <c r="P14921" s="180" t="s">
        <v>257</v>
      </c>
      <c r="R14921" s="180" t="s">
        <v>257</v>
      </c>
    </row>
    <row r="14922" spans="8:18" x14ac:dyDescent="0.2">
      <c r="H14922" s="180"/>
      <c r="P14922" s="180" t="s">
        <v>257</v>
      </c>
      <c r="R14922" s="180" t="s">
        <v>257</v>
      </c>
    </row>
    <row r="14923" spans="8:18" x14ac:dyDescent="0.2">
      <c r="H14923" s="180"/>
      <c r="P14923" s="180" t="s">
        <v>257</v>
      </c>
      <c r="R14923" s="180" t="s">
        <v>257</v>
      </c>
    </row>
    <row r="14924" spans="8:18" x14ac:dyDescent="0.2">
      <c r="H14924" s="180"/>
      <c r="P14924" s="180" t="s">
        <v>257</v>
      </c>
      <c r="R14924" s="180" t="s">
        <v>257</v>
      </c>
    </row>
    <row r="14925" spans="8:18" x14ac:dyDescent="0.2">
      <c r="H14925" s="180"/>
      <c r="P14925" s="180" t="s">
        <v>257</v>
      </c>
      <c r="R14925" s="180" t="s">
        <v>257</v>
      </c>
    </row>
    <row r="14926" spans="8:18" x14ac:dyDescent="0.2">
      <c r="H14926" s="180"/>
      <c r="P14926" s="180" t="s">
        <v>257</v>
      </c>
      <c r="R14926" s="180" t="s">
        <v>257</v>
      </c>
    </row>
    <row r="14927" spans="8:18" x14ac:dyDescent="0.2">
      <c r="H14927" s="180"/>
      <c r="P14927" s="180" t="s">
        <v>257</v>
      </c>
      <c r="R14927" s="180" t="s">
        <v>257</v>
      </c>
    </row>
    <row r="14928" spans="8:18" x14ac:dyDescent="0.2">
      <c r="H14928" s="180"/>
      <c r="P14928" s="180" t="s">
        <v>257</v>
      </c>
      <c r="R14928" s="180" t="s">
        <v>257</v>
      </c>
    </row>
    <row r="14929" spans="8:18" x14ac:dyDescent="0.2">
      <c r="H14929" s="180"/>
      <c r="P14929" s="180" t="s">
        <v>257</v>
      </c>
      <c r="R14929" s="180" t="s">
        <v>257</v>
      </c>
    </row>
    <row r="14930" spans="8:18" x14ac:dyDescent="0.2">
      <c r="H14930" s="180"/>
      <c r="P14930" s="180" t="s">
        <v>257</v>
      </c>
      <c r="R14930" s="180" t="s">
        <v>257</v>
      </c>
    </row>
    <row r="14931" spans="8:18" x14ac:dyDescent="0.2">
      <c r="H14931" s="180"/>
      <c r="P14931" s="180" t="s">
        <v>257</v>
      </c>
      <c r="R14931" s="180" t="s">
        <v>257</v>
      </c>
    </row>
    <row r="14932" spans="8:18" x14ac:dyDescent="0.2">
      <c r="H14932" s="180"/>
      <c r="P14932" s="180" t="s">
        <v>257</v>
      </c>
      <c r="R14932" s="180" t="s">
        <v>257</v>
      </c>
    </row>
    <row r="14933" spans="8:18" x14ac:dyDescent="0.2">
      <c r="H14933" s="180"/>
      <c r="P14933" s="180" t="s">
        <v>257</v>
      </c>
      <c r="R14933" s="180" t="s">
        <v>257</v>
      </c>
    </row>
    <row r="14934" spans="8:18" x14ac:dyDescent="0.2">
      <c r="H14934" s="180"/>
      <c r="P14934" s="180" t="s">
        <v>257</v>
      </c>
      <c r="R14934" s="180" t="s">
        <v>257</v>
      </c>
    </row>
    <row r="14935" spans="8:18" x14ac:dyDescent="0.2">
      <c r="H14935" s="180"/>
      <c r="P14935" s="180" t="s">
        <v>257</v>
      </c>
      <c r="R14935" s="180" t="s">
        <v>257</v>
      </c>
    </row>
    <row r="14936" spans="8:18" x14ac:dyDescent="0.2">
      <c r="H14936" s="180"/>
      <c r="P14936" s="180" t="s">
        <v>257</v>
      </c>
      <c r="R14936" s="180" t="s">
        <v>257</v>
      </c>
    </row>
    <row r="14937" spans="8:18" x14ac:dyDescent="0.2">
      <c r="H14937" s="180"/>
      <c r="P14937" s="180" t="s">
        <v>257</v>
      </c>
      <c r="R14937" s="180" t="s">
        <v>257</v>
      </c>
    </row>
    <row r="14938" spans="8:18" x14ac:dyDescent="0.2">
      <c r="H14938" s="180"/>
      <c r="P14938" s="180" t="s">
        <v>257</v>
      </c>
      <c r="R14938" s="180" t="s">
        <v>257</v>
      </c>
    </row>
    <row r="14939" spans="8:18" x14ac:dyDescent="0.2">
      <c r="H14939" s="180"/>
      <c r="P14939" s="180" t="s">
        <v>257</v>
      </c>
      <c r="R14939" s="180" t="s">
        <v>257</v>
      </c>
    </row>
    <row r="14940" spans="8:18" x14ac:dyDescent="0.2">
      <c r="H14940" s="180"/>
      <c r="P14940" s="180" t="s">
        <v>257</v>
      </c>
      <c r="R14940" s="180" t="s">
        <v>257</v>
      </c>
    </row>
    <row r="14941" spans="8:18" x14ac:dyDescent="0.2">
      <c r="H14941" s="180"/>
      <c r="P14941" s="180" t="s">
        <v>257</v>
      </c>
      <c r="R14941" s="180" t="s">
        <v>257</v>
      </c>
    </row>
    <row r="14942" spans="8:18" x14ac:dyDescent="0.2">
      <c r="H14942" s="180"/>
      <c r="P14942" s="180" t="s">
        <v>257</v>
      </c>
      <c r="R14942" s="180" t="s">
        <v>257</v>
      </c>
    </row>
    <row r="14943" spans="8:18" x14ac:dyDescent="0.2">
      <c r="H14943" s="180"/>
      <c r="P14943" s="180" t="s">
        <v>257</v>
      </c>
      <c r="R14943" s="180" t="s">
        <v>257</v>
      </c>
    </row>
    <row r="14944" spans="8:18" x14ac:dyDescent="0.2">
      <c r="H14944" s="180"/>
      <c r="P14944" s="180" t="s">
        <v>257</v>
      </c>
      <c r="R14944" s="180" t="s">
        <v>257</v>
      </c>
    </row>
    <row r="14945" spans="8:18" x14ac:dyDescent="0.2">
      <c r="H14945" s="180"/>
      <c r="P14945" s="180" t="s">
        <v>257</v>
      </c>
      <c r="R14945" s="180" t="s">
        <v>257</v>
      </c>
    </row>
    <row r="14946" spans="8:18" x14ac:dyDescent="0.2">
      <c r="H14946" s="180"/>
      <c r="P14946" s="180" t="s">
        <v>257</v>
      </c>
      <c r="R14946" s="180" t="s">
        <v>257</v>
      </c>
    </row>
    <row r="14947" spans="8:18" x14ac:dyDescent="0.2">
      <c r="H14947" s="180"/>
      <c r="P14947" s="180" t="s">
        <v>257</v>
      </c>
      <c r="R14947" s="180" t="s">
        <v>257</v>
      </c>
    </row>
    <row r="14948" spans="8:18" x14ac:dyDescent="0.2">
      <c r="H14948" s="180"/>
      <c r="P14948" s="180" t="s">
        <v>257</v>
      </c>
      <c r="R14948" s="180" t="s">
        <v>257</v>
      </c>
    </row>
    <row r="14949" spans="8:18" x14ac:dyDescent="0.2">
      <c r="H14949" s="180"/>
      <c r="P14949" s="180" t="s">
        <v>257</v>
      </c>
      <c r="R14949" s="180" t="s">
        <v>257</v>
      </c>
    </row>
    <row r="14950" spans="8:18" x14ac:dyDescent="0.2">
      <c r="H14950" s="180"/>
      <c r="P14950" s="180" t="s">
        <v>257</v>
      </c>
      <c r="R14950" s="180" t="s">
        <v>257</v>
      </c>
    </row>
    <row r="14951" spans="8:18" x14ac:dyDescent="0.2">
      <c r="H14951" s="180"/>
      <c r="P14951" s="180" t="s">
        <v>257</v>
      </c>
      <c r="R14951" s="180" t="s">
        <v>257</v>
      </c>
    </row>
    <row r="14952" spans="8:18" x14ac:dyDescent="0.2">
      <c r="H14952" s="180"/>
      <c r="P14952" s="180" t="s">
        <v>257</v>
      </c>
      <c r="R14952" s="180" t="s">
        <v>257</v>
      </c>
    </row>
    <row r="14953" spans="8:18" x14ac:dyDescent="0.2">
      <c r="H14953" s="180"/>
      <c r="P14953" s="180" t="s">
        <v>257</v>
      </c>
      <c r="R14953" s="180" t="s">
        <v>257</v>
      </c>
    </row>
    <row r="14954" spans="8:18" x14ac:dyDescent="0.2">
      <c r="H14954" s="180"/>
      <c r="P14954" s="180" t="s">
        <v>257</v>
      </c>
      <c r="R14954" s="180" t="s">
        <v>257</v>
      </c>
    </row>
    <row r="14955" spans="8:18" x14ac:dyDescent="0.2">
      <c r="H14955" s="180"/>
      <c r="P14955" s="180" t="s">
        <v>257</v>
      </c>
      <c r="R14955" s="180" t="s">
        <v>257</v>
      </c>
    </row>
    <row r="14956" spans="8:18" x14ac:dyDescent="0.2">
      <c r="H14956" s="180"/>
      <c r="P14956" s="180" t="s">
        <v>257</v>
      </c>
      <c r="R14956" s="180" t="s">
        <v>257</v>
      </c>
    </row>
    <row r="14957" spans="8:18" x14ac:dyDescent="0.2">
      <c r="H14957" s="180"/>
      <c r="P14957" s="180" t="s">
        <v>257</v>
      </c>
      <c r="R14957" s="180" t="s">
        <v>257</v>
      </c>
    </row>
    <row r="14958" spans="8:18" x14ac:dyDescent="0.2">
      <c r="H14958" s="180"/>
      <c r="P14958" s="180" t="s">
        <v>257</v>
      </c>
      <c r="R14958" s="180" t="s">
        <v>257</v>
      </c>
    </row>
    <row r="14959" spans="8:18" x14ac:dyDescent="0.2">
      <c r="H14959" s="180"/>
      <c r="P14959" s="180" t="s">
        <v>257</v>
      </c>
      <c r="R14959" s="180" t="s">
        <v>257</v>
      </c>
    </row>
    <row r="14960" spans="8:18" x14ac:dyDescent="0.2">
      <c r="H14960" s="180"/>
      <c r="P14960" s="180" t="s">
        <v>257</v>
      </c>
      <c r="R14960" s="180" t="s">
        <v>257</v>
      </c>
    </row>
    <row r="14961" spans="8:18" x14ac:dyDescent="0.2">
      <c r="H14961" s="180"/>
      <c r="P14961" s="180" t="s">
        <v>257</v>
      </c>
      <c r="R14961" s="180" t="s">
        <v>257</v>
      </c>
    </row>
    <row r="14962" spans="8:18" x14ac:dyDescent="0.2">
      <c r="H14962" s="180"/>
      <c r="P14962" s="180" t="s">
        <v>257</v>
      </c>
      <c r="R14962" s="180" t="s">
        <v>257</v>
      </c>
    </row>
    <row r="14963" spans="8:18" x14ac:dyDescent="0.2">
      <c r="H14963" s="180"/>
      <c r="P14963" s="180" t="s">
        <v>257</v>
      </c>
      <c r="R14963" s="180" t="s">
        <v>257</v>
      </c>
    </row>
    <row r="14964" spans="8:18" x14ac:dyDescent="0.2">
      <c r="H14964" s="180"/>
      <c r="P14964" s="180" t="s">
        <v>257</v>
      </c>
      <c r="R14964" s="180" t="s">
        <v>257</v>
      </c>
    </row>
    <row r="14965" spans="8:18" x14ac:dyDescent="0.2">
      <c r="H14965" s="180"/>
      <c r="P14965" s="180" t="s">
        <v>257</v>
      </c>
      <c r="R14965" s="180" t="s">
        <v>257</v>
      </c>
    </row>
    <row r="14966" spans="8:18" x14ac:dyDescent="0.2">
      <c r="H14966" s="180"/>
      <c r="P14966" s="180" t="s">
        <v>257</v>
      </c>
      <c r="R14966" s="180" t="s">
        <v>257</v>
      </c>
    </row>
    <row r="14967" spans="8:18" x14ac:dyDescent="0.2">
      <c r="H14967" s="180"/>
      <c r="P14967" s="180" t="s">
        <v>257</v>
      </c>
      <c r="R14967" s="180" t="s">
        <v>257</v>
      </c>
    </row>
    <row r="14968" spans="8:18" x14ac:dyDescent="0.2">
      <c r="H14968" s="180"/>
      <c r="P14968" s="180" t="s">
        <v>257</v>
      </c>
      <c r="R14968" s="180" t="s">
        <v>257</v>
      </c>
    </row>
    <row r="14969" spans="8:18" x14ac:dyDescent="0.2">
      <c r="H14969" s="180"/>
      <c r="P14969" s="180" t="s">
        <v>257</v>
      </c>
      <c r="R14969" s="180" t="s">
        <v>257</v>
      </c>
    </row>
    <row r="14970" spans="8:18" x14ac:dyDescent="0.2">
      <c r="H14970" s="180"/>
      <c r="P14970" s="180" t="s">
        <v>257</v>
      </c>
      <c r="R14970" s="180" t="s">
        <v>257</v>
      </c>
    </row>
    <row r="14971" spans="8:18" x14ac:dyDescent="0.2">
      <c r="H14971" s="180"/>
      <c r="P14971" s="180" t="s">
        <v>257</v>
      </c>
      <c r="R14971" s="180" t="s">
        <v>257</v>
      </c>
    </row>
    <row r="14972" spans="8:18" x14ac:dyDescent="0.2">
      <c r="H14972" s="180"/>
      <c r="P14972" s="180" t="s">
        <v>257</v>
      </c>
      <c r="R14972" s="180" t="s">
        <v>257</v>
      </c>
    </row>
    <row r="14973" spans="8:18" x14ac:dyDescent="0.2">
      <c r="H14973" s="180"/>
      <c r="P14973" s="180" t="s">
        <v>257</v>
      </c>
      <c r="R14973" s="180" t="s">
        <v>257</v>
      </c>
    </row>
    <row r="14974" spans="8:18" x14ac:dyDescent="0.2">
      <c r="H14974" s="180"/>
      <c r="P14974" s="180" t="s">
        <v>257</v>
      </c>
      <c r="R14974" s="180" t="s">
        <v>257</v>
      </c>
    </row>
    <row r="14975" spans="8:18" x14ac:dyDescent="0.2">
      <c r="H14975" s="180"/>
      <c r="P14975" s="180" t="s">
        <v>257</v>
      </c>
      <c r="R14975" s="180" t="s">
        <v>257</v>
      </c>
    </row>
    <row r="14976" spans="8:18" x14ac:dyDescent="0.2">
      <c r="H14976" s="180"/>
      <c r="P14976" s="180" t="s">
        <v>257</v>
      </c>
      <c r="R14976" s="180" t="s">
        <v>257</v>
      </c>
    </row>
    <row r="14977" spans="8:18" x14ac:dyDescent="0.2">
      <c r="H14977" s="180"/>
      <c r="P14977" s="180" t="s">
        <v>257</v>
      </c>
      <c r="R14977" s="180" t="s">
        <v>257</v>
      </c>
    </row>
    <row r="14978" spans="8:18" x14ac:dyDescent="0.2">
      <c r="H14978" s="180"/>
      <c r="P14978" s="180" t="s">
        <v>257</v>
      </c>
      <c r="R14978" s="180" t="s">
        <v>257</v>
      </c>
    </row>
    <row r="14979" spans="8:18" x14ac:dyDescent="0.2">
      <c r="H14979" s="180"/>
      <c r="P14979" s="180" t="s">
        <v>257</v>
      </c>
      <c r="R14979" s="180" t="s">
        <v>257</v>
      </c>
    </row>
    <row r="14980" spans="8:18" x14ac:dyDescent="0.2">
      <c r="H14980" s="180"/>
      <c r="P14980" s="180" t="s">
        <v>257</v>
      </c>
      <c r="R14980" s="180" t="s">
        <v>257</v>
      </c>
    </row>
    <row r="14981" spans="8:18" x14ac:dyDescent="0.2">
      <c r="H14981" s="180"/>
      <c r="P14981" s="180" t="s">
        <v>257</v>
      </c>
      <c r="R14981" s="180" t="s">
        <v>257</v>
      </c>
    </row>
    <row r="14982" spans="8:18" x14ac:dyDescent="0.2">
      <c r="H14982" s="180"/>
      <c r="P14982" s="180" t="s">
        <v>257</v>
      </c>
      <c r="R14982" s="180" t="s">
        <v>257</v>
      </c>
    </row>
    <row r="14983" spans="8:18" x14ac:dyDescent="0.2">
      <c r="H14983" s="180"/>
      <c r="P14983" s="180" t="s">
        <v>257</v>
      </c>
      <c r="R14983" s="180" t="s">
        <v>257</v>
      </c>
    </row>
    <row r="14984" spans="8:18" x14ac:dyDescent="0.2">
      <c r="H14984" s="180"/>
      <c r="P14984" s="180" t="s">
        <v>257</v>
      </c>
      <c r="R14984" s="180" t="s">
        <v>257</v>
      </c>
    </row>
    <row r="14985" spans="8:18" x14ac:dyDescent="0.2">
      <c r="H14985" s="180"/>
      <c r="P14985" s="180" t="s">
        <v>257</v>
      </c>
      <c r="R14985" s="180" t="s">
        <v>257</v>
      </c>
    </row>
    <row r="14986" spans="8:18" x14ac:dyDescent="0.2">
      <c r="H14986" s="180"/>
      <c r="P14986" s="180" t="s">
        <v>257</v>
      </c>
      <c r="R14986" s="180" t="s">
        <v>257</v>
      </c>
    </row>
    <row r="14987" spans="8:18" x14ac:dyDescent="0.2">
      <c r="H14987" s="180"/>
      <c r="P14987" s="180" t="s">
        <v>257</v>
      </c>
      <c r="R14987" s="180" t="s">
        <v>257</v>
      </c>
    </row>
    <row r="14988" spans="8:18" x14ac:dyDescent="0.2">
      <c r="H14988" s="180"/>
      <c r="P14988" s="180" t="s">
        <v>257</v>
      </c>
      <c r="R14988" s="180" t="s">
        <v>257</v>
      </c>
    </row>
    <row r="14989" spans="8:18" x14ac:dyDescent="0.2">
      <c r="H14989" s="180"/>
      <c r="P14989" s="180" t="s">
        <v>257</v>
      </c>
      <c r="R14989" s="180" t="s">
        <v>257</v>
      </c>
    </row>
    <row r="14990" spans="8:18" x14ac:dyDescent="0.2">
      <c r="H14990" s="180"/>
      <c r="P14990" s="180" t="s">
        <v>257</v>
      </c>
      <c r="R14990" s="180" t="s">
        <v>257</v>
      </c>
    </row>
    <row r="14991" spans="8:18" x14ac:dyDescent="0.2">
      <c r="H14991" s="180"/>
      <c r="P14991" s="180" t="s">
        <v>257</v>
      </c>
      <c r="R14991" s="180" t="s">
        <v>257</v>
      </c>
    </row>
    <row r="14992" spans="8:18" x14ac:dyDescent="0.2">
      <c r="H14992" s="180"/>
      <c r="P14992" s="180" t="s">
        <v>257</v>
      </c>
      <c r="R14992" s="180" t="s">
        <v>257</v>
      </c>
    </row>
    <row r="14993" spans="8:18" x14ac:dyDescent="0.2">
      <c r="H14993" s="180"/>
      <c r="P14993" s="180" t="s">
        <v>257</v>
      </c>
      <c r="R14993" s="180" t="s">
        <v>257</v>
      </c>
    </row>
    <row r="14994" spans="8:18" x14ac:dyDescent="0.2">
      <c r="H14994" s="180"/>
      <c r="P14994" s="180" t="s">
        <v>257</v>
      </c>
      <c r="R14994" s="180" t="s">
        <v>257</v>
      </c>
    </row>
    <row r="14995" spans="8:18" x14ac:dyDescent="0.2">
      <c r="H14995" s="180"/>
      <c r="P14995" s="180" t="s">
        <v>257</v>
      </c>
      <c r="R14995" s="180" t="s">
        <v>257</v>
      </c>
    </row>
    <row r="14996" spans="8:18" x14ac:dyDescent="0.2">
      <c r="H14996" s="180"/>
      <c r="P14996" s="180" t="s">
        <v>257</v>
      </c>
      <c r="R14996" s="180" t="s">
        <v>257</v>
      </c>
    </row>
    <row r="14997" spans="8:18" x14ac:dyDescent="0.2">
      <c r="H14997" s="180"/>
      <c r="P14997" s="180" t="s">
        <v>257</v>
      </c>
      <c r="R14997" s="180" t="s">
        <v>257</v>
      </c>
    </row>
    <row r="14998" spans="8:18" x14ac:dyDescent="0.2">
      <c r="H14998" s="180"/>
      <c r="P14998" s="180" t="s">
        <v>257</v>
      </c>
      <c r="R14998" s="180" t="s">
        <v>257</v>
      </c>
    </row>
    <row r="14999" spans="8:18" x14ac:dyDescent="0.2">
      <c r="H14999" s="180"/>
      <c r="P14999" s="180" t="s">
        <v>257</v>
      </c>
      <c r="R14999" s="180" t="s">
        <v>257</v>
      </c>
    </row>
    <row r="15000" spans="8:18" x14ac:dyDescent="0.2">
      <c r="H15000" s="180"/>
      <c r="P15000" s="180" t="s">
        <v>257</v>
      </c>
      <c r="R15000" s="180" t="s">
        <v>257</v>
      </c>
    </row>
    <row r="15001" spans="8:18" x14ac:dyDescent="0.2">
      <c r="H15001" s="180"/>
      <c r="P15001" s="180" t="s">
        <v>257</v>
      </c>
      <c r="R15001" s="180" t="s">
        <v>257</v>
      </c>
    </row>
    <row r="15002" spans="8:18" x14ac:dyDescent="0.2">
      <c r="H15002" s="180"/>
      <c r="P15002" s="180" t="s">
        <v>257</v>
      </c>
      <c r="R15002" s="180" t="s">
        <v>257</v>
      </c>
    </row>
    <row r="15003" spans="8:18" x14ac:dyDescent="0.2">
      <c r="H15003" s="180"/>
      <c r="P15003" s="180" t="s">
        <v>257</v>
      </c>
      <c r="R15003" s="180" t="s">
        <v>257</v>
      </c>
    </row>
    <row r="15004" spans="8:18" x14ac:dyDescent="0.2">
      <c r="H15004" s="180"/>
      <c r="P15004" s="180" t="s">
        <v>257</v>
      </c>
      <c r="R15004" s="180" t="s">
        <v>257</v>
      </c>
    </row>
    <row r="15005" spans="8:18" x14ac:dyDescent="0.2">
      <c r="H15005" s="180"/>
      <c r="P15005" s="180" t="s">
        <v>257</v>
      </c>
      <c r="R15005" s="180" t="s">
        <v>257</v>
      </c>
    </row>
    <row r="15006" spans="8:18" x14ac:dyDescent="0.2">
      <c r="H15006" s="180"/>
      <c r="P15006" s="180" t="s">
        <v>257</v>
      </c>
      <c r="R15006" s="180" t="s">
        <v>257</v>
      </c>
    </row>
    <row r="15007" spans="8:18" x14ac:dyDescent="0.2">
      <c r="H15007" s="180"/>
      <c r="P15007" s="180" t="s">
        <v>257</v>
      </c>
      <c r="R15007" s="180" t="s">
        <v>257</v>
      </c>
    </row>
    <row r="15008" spans="8:18" x14ac:dyDescent="0.2">
      <c r="H15008" s="180"/>
      <c r="P15008" s="180" t="s">
        <v>257</v>
      </c>
      <c r="R15008" s="180" t="s">
        <v>257</v>
      </c>
    </row>
    <row r="15009" spans="8:18" x14ac:dyDescent="0.2">
      <c r="H15009" s="180"/>
      <c r="P15009" s="180" t="s">
        <v>257</v>
      </c>
      <c r="R15009" s="180" t="s">
        <v>257</v>
      </c>
    </row>
    <row r="15010" spans="8:18" x14ac:dyDescent="0.2">
      <c r="H15010" s="180"/>
      <c r="P15010" s="180" t="s">
        <v>257</v>
      </c>
      <c r="R15010" s="180" t="s">
        <v>257</v>
      </c>
    </row>
    <row r="15011" spans="8:18" x14ac:dyDescent="0.2">
      <c r="H15011" s="180"/>
      <c r="P15011" s="180" t="s">
        <v>257</v>
      </c>
      <c r="R15011" s="180" t="s">
        <v>257</v>
      </c>
    </row>
    <row r="15012" spans="8:18" x14ac:dyDescent="0.2">
      <c r="H15012" s="180"/>
      <c r="P15012" s="180" t="s">
        <v>257</v>
      </c>
      <c r="R15012" s="180" t="s">
        <v>257</v>
      </c>
    </row>
    <row r="15013" spans="8:18" x14ac:dyDescent="0.2">
      <c r="H15013" s="180"/>
      <c r="P15013" s="180" t="s">
        <v>257</v>
      </c>
      <c r="R15013" s="180" t="s">
        <v>257</v>
      </c>
    </row>
    <row r="15014" spans="8:18" x14ac:dyDescent="0.2">
      <c r="H15014" s="180"/>
      <c r="P15014" s="180" t="s">
        <v>257</v>
      </c>
      <c r="R15014" s="180" t="s">
        <v>257</v>
      </c>
    </row>
    <row r="15015" spans="8:18" x14ac:dyDescent="0.2">
      <c r="H15015" s="180"/>
      <c r="P15015" s="180" t="s">
        <v>257</v>
      </c>
      <c r="R15015" s="180" t="s">
        <v>257</v>
      </c>
    </row>
    <row r="15016" spans="8:18" x14ac:dyDescent="0.2">
      <c r="H15016" s="180"/>
      <c r="P15016" s="180" t="s">
        <v>257</v>
      </c>
      <c r="R15016" s="180" t="s">
        <v>257</v>
      </c>
    </row>
    <row r="15017" spans="8:18" x14ac:dyDescent="0.2">
      <c r="H15017" s="180"/>
      <c r="P15017" s="180" t="s">
        <v>257</v>
      </c>
      <c r="R15017" s="180" t="s">
        <v>257</v>
      </c>
    </row>
    <row r="15018" spans="8:18" x14ac:dyDescent="0.2">
      <c r="H15018" s="180"/>
      <c r="P15018" s="180" t="s">
        <v>257</v>
      </c>
      <c r="R15018" s="180" t="s">
        <v>257</v>
      </c>
    </row>
    <row r="15019" spans="8:18" x14ac:dyDescent="0.2">
      <c r="H15019" s="180"/>
      <c r="P15019" s="180" t="s">
        <v>257</v>
      </c>
      <c r="R15019" s="180" t="s">
        <v>257</v>
      </c>
    </row>
    <row r="15020" spans="8:18" x14ac:dyDescent="0.2">
      <c r="H15020" s="180"/>
      <c r="P15020" s="180" t="s">
        <v>257</v>
      </c>
      <c r="R15020" s="180" t="s">
        <v>257</v>
      </c>
    </row>
    <row r="15021" spans="8:18" x14ac:dyDescent="0.2">
      <c r="H15021" s="180"/>
      <c r="P15021" s="180" t="s">
        <v>257</v>
      </c>
      <c r="R15021" s="180" t="s">
        <v>257</v>
      </c>
    </row>
    <row r="15022" spans="8:18" x14ac:dyDescent="0.2">
      <c r="H15022" s="180"/>
      <c r="P15022" s="180" t="s">
        <v>257</v>
      </c>
      <c r="R15022" s="180" t="s">
        <v>257</v>
      </c>
    </row>
    <row r="15023" spans="8:18" x14ac:dyDescent="0.2">
      <c r="H15023" s="180"/>
      <c r="P15023" s="180" t="s">
        <v>257</v>
      </c>
      <c r="R15023" s="180" t="s">
        <v>257</v>
      </c>
    </row>
    <row r="15024" spans="8:18" x14ac:dyDescent="0.2">
      <c r="H15024" s="180"/>
      <c r="P15024" s="180" t="s">
        <v>257</v>
      </c>
      <c r="R15024" s="180" t="s">
        <v>257</v>
      </c>
    </row>
    <row r="15025" spans="8:18" x14ac:dyDescent="0.2">
      <c r="H15025" s="180"/>
      <c r="P15025" s="180" t="s">
        <v>257</v>
      </c>
      <c r="R15025" s="180" t="s">
        <v>257</v>
      </c>
    </row>
    <row r="15026" spans="8:18" x14ac:dyDescent="0.2">
      <c r="H15026" s="180"/>
      <c r="P15026" s="180" t="s">
        <v>257</v>
      </c>
      <c r="R15026" s="180" t="s">
        <v>257</v>
      </c>
    </row>
    <row r="15027" spans="8:18" x14ac:dyDescent="0.2">
      <c r="H15027" s="180"/>
      <c r="P15027" s="180" t="s">
        <v>257</v>
      </c>
      <c r="R15027" s="180" t="s">
        <v>257</v>
      </c>
    </row>
    <row r="15028" spans="8:18" x14ac:dyDescent="0.2">
      <c r="P15028" s="180" t="s">
        <v>257</v>
      </c>
      <c r="R15028" s="180" t="s">
        <v>257</v>
      </c>
    </row>
  </sheetData>
  <autoFilter ref="A28:S1527" xr:uid="{00000000-0009-0000-00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7" showButton="0"/>
  </autoFilter>
  <sortState xmlns:xlrd2="http://schemas.microsoft.com/office/spreadsheetml/2017/richdata2" ref="G12:J26">
    <sortCondition descending="1" ref="I12:I26"/>
  </sortState>
  <mergeCells count="6036">
    <mergeCell ref="D1:O2"/>
    <mergeCell ref="A9:F9"/>
    <mergeCell ref="G9:J9"/>
    <mergeCell ref="K9:M9"/>
    <mergeCell ref="N28:O28"/>
    <mergeCell ref="O6:O7"/>
    <mergeCell ref="G11:H11"/>
    <mergeCell ref="A22:F22"/>
    <mergeCell ref="A23:E23"/>
    <mergeCell ref="A28:G28"/>
    <mergeCell ref="H28:M28"/>
    <mergeCell ref="A16:F16"/>
    <mergeCell ref="A17:F17"/>
    <mergeCell ref="A18:F18"/>
    <mergeCell ref="A19:F19"/>
    <mergeCell ref="A20:F20"/>
    <mergeCell ref="A21:F21"/>
    <mergeCell ref="A10:F10"/>
    <mergeCell ref="A11:F11"/>
    <mergeCell ref="A12:F12"/>
    <mergeCell ref="A13:F13"/>
    <mergeCell ref="A14:F14"/>
    <mergeCell ref="A15:F15"/>
    <mergeCell ref="R28:S28"/>
    <mergeCell ref="K3:K4"/>
    <mergeCell ref="L3:L4"/>
    <mergeCell ref="M3:M4"/>
    <mergeCell ref="N3:N4"/>
    <mergeCell ref="O3:O4"/>
    <mergeCell ref="K6:K7"/>
    <mergeCell ref="L6:L7"/>
    <mergeCell ref="M6:M7"/>
    <mergeCell ref="N6:N7"/>
    <mergeCell ref="A33:G33"/>
    <mergeCell ref="H33:M33"/>
    <mergeCell ref="N33:O33"/>
    <mergeCell ref="R33:S33"/>
    <mergeCell ref="A34:G34"/>
    <mergeCell ref="H34:M34"/>
    <mergeCell ref="N34:O34"/>
    <mergeCell ref="R34:S34"/>
    <mergeCell ref="A31:G31"/>
    <mergeCell ref="H31:M31"/>
    <mergeCell ref="N31:O31"/>
    <mergeCell ref="R31:S31"/>
    <mergeCell ref="A32:G32"/>
    <mergeCell ref="H32:M32"/>
    <mergeCell ref="N32:O32"/>
    <mergeCell ref="R32:S32"/>
    <mergeCell ref="A29:G29"/>
    <mergeCell ref="H29:M29"/>
    <mergeCell ref="N29:O29"/>
    <mergeCell ref="R29:S29"/>
    <mergeCell ref="A30:G30"/>
    <mergeCell ref="H30:M30"/>
    <mergeCell ref="N30:O30"/>
    <mergeCell ref="R30:S30"/>
    <mergeCell ref="A39:G39"/>
    <mergeCell ref="H39:M39"/>
    <mergeCell ref="N39:O39"/>
    <mergeCell ref="R39:S39"/>
    <mergeCell ref="A40:G40"/>
    <mergeCell ref="H40:M40"/>
    <mergeCell ref="N40:O40"/>
    <mergeCell ref="R40:S40"/>
    <mergeCell ref="A37:G37"/>
    <mergeCell ref="H37:M37"/>
    <mergeCell ref="N37:O37"/>
    <mergeCell ref="R37:S37"/>
    <mergeCell ref="A38:G38"/>
    <mergeCell ref="H38:M38"/>
    <mergeCell ref="N38:O38"/>
    <mergeCell ref="R38:S38"/>
    <mergeCell ref="A35:G35"/>
    <mergeCell ref="H35:M35"/>
    <mergeCell ref="N35:O35"/>
    <mergeCell ref="R35:S35"/>
    <mergeCell ref="A36:G36"/>
    <mergeCell ref="H36:M36"/>
    <mergeCell ref="N36:O36"/>
    <mergeCell ref="R36:S36"/>
    <mergeCell ref="A45:G45"/>
    <mergeCell ref="H45:M45"/>
    <mergeCell ref="N45:O45"/>
    <mergeCell ref="R45:S45"/>
    <mergeCell ref="A46:G46"/>
    <mergeCell ref="H46:M46"/>
    <mergeCell ref="N46:O46"/>
    <mergeCell ref="R46:S46"/>
    <mergeCell ref="A43:G43"/>
    <mergeCell ref="H43:M43"/>
    <mergeCell ref="N43:O43"/>
    <mergeCell ref="R43:S43"/>
    <mergeCell ref="A44:G44"/>
    <mergeCell ref="H44:M44"/>
    <mergeCell ref="N44:O44"/>
    <mergeCell ref="R44:S44"/>
    <mergeCell ref="A41:G41"/>
    <mergeCell ref="H41:M41"/>
    <mergeCell ref="N41:O41"/>
    <mergeCell ref="R41:S41"/>
    <mergeCell ref="A42:G42"/>
    <mergeCell ref="H42:M42"/>
    <mergeCell ref="N42:O42"/>
    <mergeCell ref="R42:S42"/>
    <mergeCell ref="A51:G51"/>
    <mergeCell ref="H51:M51"/>
    <mergeCell ref="N51:O51"/>
    <mergeCell ref="R51:S51"/>
    <mergeCell ref="A52:G52"/>
    <mergeCell ref="H52:M52"/>
    <mergeCell ref="N52:O52"/>
    <mergeCell ref="R52:S52"/>
    <mergeCell ref="A49:G49"/>
    <mergeCell ref="H49:M49"/>
    <mergeCell ref="N49:O49"/>
    <mergeCell ref="R49:S49"/>
    <mergeCell ref="A50:G50"/>
    <mergeCell ref="H50:M50"/>
    <mergeCell ref="N50:O50"/>
    <mergeCell ref="R50:S50"/>
    <mergeCell ref="A47:G47"/>
    <mergeCell ref="H47:M47"/>
    <mergeCell ref="N47:O47"/>
    <mergeCell ref="R47:S47"/>
    <mergeCell ref="A48:G48"/>
    <mergeCell ref="H48:M48"/>
    <mergeCell ref="N48:O48"/>
    <mergeCell ref="R48:S48"/>
    <mergeCell ref="A57:G57"/>
    <mergeCell ref="H57:M57"/>
    <mergeCell ref="N57:O57"/>
    <mergeCell ref="R57:S57"/>
    <mergeCell ref="A58:G58"/>
    <mergeCell ref="H58:M58"/>
    <mergeCell ref="N58:O58"/>
    <mergeCell ref="R58:S58"/>
    <mergeCell ref="A55:G55"/>
    <mergeCell ref="H55:M55"/>
    <mergeCell ref="N55:O55"/>
    <mergeCell ref="R55:S55"/>
    <mergeCell ref="A56:G56"/>
    <mergeCell ref="H56:M56"/>
    <mergeCell ref="N56:O56"/>
    <mergeCell ref="R56:S56"/>
    <mergeCell ref="A53:G53"/>
    <mergeCell ref="H53:M53"/>
    <mergeCell ref="N53:O53"/>
    <mergeCell ref="R53:S53"/>
    <mergeCell ref="A54:G54"/>
    <mergeCell ref="H54:M54"/>
    <mergeCell ref="N54:O54"/>
    <mergeCell ref="R54:S54"/>
    <mergeCell ref="A63:G63"/>
    <mergeCell ref="H63:M63"/>
    <mergeCell ref="N63:O63"/>
    <mergeCell ref="R63:S63"/>
    <mergeCell ref="A64:G64"/>
    <mergeCell ref="H64:M64"/>
    <mergeCell ref="N64:O64"/>
    <mergeCell ref="R64:S64"/>
    <mergeCell ref="A61:G61"/>
    <mergeCell ref="H61:M61"/>
    <mergeCell ref="N61:O61"/>
    <mergeCell ref="R61:S61"/>
    <mergeCell ref="A62:G62"/>
    <mergeCell ref="H62:M62"/>
    <mergeCell ref="N62:O62"/>
    <mergeCell ref="R62:S62"/>
    <mergeCell ref="A59:G59"/>
    <mergeCell ref="H59:M59"/>
    <mergeCell ref="N59:O59"/>
    <mergeCell ref="R59:S59"/>
    <mergeCell ref="A60:G60"/>
    <mergeCell ref="H60:M60"/>
    <mergeCell ref="N60:O60"/>
    <mergeCell ref="R60:S60"/>
    <mergeCell ref="A69:G69"/>
    <mergeCell ref="H69:M69"/>
    <mergeCell ref="N69:O69"/>
    <mergeCell ref="R69:S69"/>
    <mergeCell ref="A70:G70"/>
    <mergeCell ref="H70:M70"/>
    <mergeCell ref="N70:O70"/>
    <mergeCell ref="R70:S70"/>
    <mergeCell ref="A67:G67"/>
    <mergeCell ref="H67:M67"/>
    <mergeCell ref="N67:O67"/>
    <mergeCell ref="R67:S67"/>
    <mergeCell ref="A68:G68"/>
    <mergeCell ref="H68:M68"/>
    <mergeCell ref="N68:O68"/>
    <mergeCell ref="R68:S68"/>
    <mergeCell ref="A65:G65"/>
    <mergeCell ref="H65:M65"/>
    <mergeCell ref="N65:O65"/>
    <mergeCell ref="R65:S65"/>
    <mergeCell ref="A66:G66"/>
    <mergeCell ref="H66:M66"/>
    <mergeCell ref="N66:O66"/>
    <mergeCell ref="R66:S66"/>
    <mergeCell ref="A75:G75"/>
    <mergeCell ref="H75:M75"/>
    <mergeCell ref="N75:O75"/>
    <mergeCell ref="R75:S75"/>
    <mergeCell ref="A76:G76"/>
    <mergeCell ref="H76:M76"/>
    <mergeCell ref="N76:O76"/>
    <mergeCell ref="R76:S76"/>
    <mergeCell ref="A73:G73"/>
    <mergeCell ref="H73:M73"/>
    <mergeCell ref="N73:O73"/>
    <mergeCell ref="R73:S73"/>
    <mergeCell ref="A74:G74"/>
    <mergeCell ref="H74:M74"/>
    <mergeCell ref="N74:O74"/>
    <mergeCell ref="R74:S74"/>
    <mergeCell ref="A71:G71"/>
    <mergeCell ref="H71:M71"/>
    <mergeCell ref="N71:O71"/>
    <mergeCell ref="R71:S71"/>
    <mergeCell ref="A72:G72"/>
    <mergeCell ref="H72:M72"/>
    <mergeCell ref="N72:O72"/>
    <mergeCell ref="R72:S72"/>
    <mergeCell ref="A81:G81"/>
    <mergeCell ref="H81:M81"/>
    <mergeCell ref="N81:O81"/>
    <mergeCell ref="R81:S81"/>
    <mergeCell ref="A82:G82"/>
    <mergeCell ref="H82:M82"/>
    <mergeCell ref="N82:O82"/>
    <mergeCell ref="R82:S82"/>
    <mergeCell ref="A79:G79"/>
    <mergeCell ref="H79:M79"/>
    <mergeCell ref="N79:O79"/>
    <mergeCell ref="R79:S79"/>
    <mergeCell ref="A80:G80"/>
    <mergeCell ref="H80:M80"/>
    <mergeCell ref="N80:O80"/>
    <mergeCell ref="R80:S80"/>
    <mergeCell ref="A77:G77"/>
    <mergeCell ref="H77:M77"/>
    <mergeCell ref="N77:O77"/>
    <mergeCell ref="R77:S77"/>
    <mergeCell ref="A78:G78"/>
    <mergeCell ref="H78:M78"/>
    <mergeCell ref="N78:O78"/>
    <mergeCell ref="R78:S78"/>
    <mergeCell ref="A87:G87"/>
    <mergeCell ref="H87:M87"/>
    <mergeCell ref="N87:O87"/>
    <mergeCell ref="R87:S87"/>
    <mergeCell ref="A88:G88"/>
    <mergeCell ref="H88:M88"/>
    <mergeCell ref="N88:O88"/>
    <mergeCell ref="R88:S88"/>
    <mergeCell ref="A85:G85"/>
    <mergeCell ref="H85:M85"/>
    <mergeCell ref="N85:O85"/>
    <mergeCell ref="R85:S85"/>
    <mergeCell ref="A86:G86"/>
    <mergeCell ref="H86:M86"/>
    <mergeCell ref="N86:O86"/>
    <mergeCell ref="R86:S86"/>
    <mergeCell ref="A83:G83"/>
    <mergeCell ref="H83:M83"/>
    <mergeCell ref="N83:O83"/>
    <mergeCell ref="R83:S83"/>
    <mergeCell ref="A84:G84"/>
    <mergeCell ref="H84:M84"/>
    <mergeCell ref="N84:O84"/>
    <mergeCell ref="R84:S84"/>
    <mergeCell ref="A93:G93"/>
    <mergeCell ref="H93:M93"/>
    <mergeCell ref="N93:O93"/>
    <mergeCell ref="R93:S93"/>
    <mergeCell ref="A94:G94"/>
    <mergeCell ref="H94:M94"/>
    <mergeCell ref="N94:O94"/>
    <mergeCell ref="R94:S94"/>
    <mergeCell ref="A91:G91"/>
    <mergeCell ref="H91:M91"/>
    <mergeCell ref="N91:O91"/>
    <mergeCell ref="R91:S91"/>
    <mergeCell ref="A92:G92"/>
    <mergeCell ref="H92:M92"/>
    <mergeCell ref="N92:O92"/>
    <mergeCell ref="R92:S92"/>
    <mergeCell ref="A89:G89"/>
    <mergeCell ref="H89:M89"/>
    <mergeCell ref="N89:O89"/>
    <mergeCell ref="R89:S89"/>
    <mergeCell ref="A90:G90"/>
    <mergeCell ref="H90:M90"/>
    <mergeCell ref="N90:O90"/>
    <mergeCell ref="R90:S90"/>
    <mergeCell ref="A99:G99"/>
    <mergeCell ref="H99:M99"/>
    <mergeCell ref="N99:O99"/>
    <mergeCell ref="R99:S99"/>
    <mergeCell ref="A100:G100"/>
    <mergeCell ref="H100:M100"/>
    <mergeCell ref="N100:O100"/>
    <mergeCell ref="R100:S100"/>
    <mergeCell ref="A97:G97"/>
    <mergeCell ref="H97:M97"/>
    <mergeCell ref="N97:O97"/>
    <mergeCell ref="R97:S97"/>
    <mergeCell ref="A98:G98"/>
    <mergeCell ref="H98:M98"/>
    <mergeCell ref="N98:O98"/>
    <mergeCell ref="R98:S98"/>
    <mergeCell ref="A95:G95"/>
    <mergeCell ref="H95:M95"/>
    <mergeCell ref="N95:O95"/>
    <mergeCell ref="R95:S95"/>
    <mergeCell ref="A96:G96"/>
    <mergeCell ref="H96:M96"/>
    <mergeCell ref="N96:O96"/>
    <mergeCell ref="R96:S96"/>
    <mergeCell ref="A105:G105"/>
    <mergeCell ref="H105:M105"/>
    <mergeCell ref="N105:O105"/>
    <mergeCell ref="R105:S105"/>
    <mergeCell ref="A106:G106"/>
    <mergeCell ref="H106:M106"/>
    <mergeCell ref="N106:O106"/>
    <mergeCell ref="R106:S106"/>
    <mergeCell ref="A103:G103"/>
    <mergeCell ref="H103:M103"/>
    <mergeCell ref="N103:O103"/>
    <mergeCell ref="R103:S103"/>
    <mergeCell ref="A104:G104"/>
    <mergeCell ref="H104:M104"/>
    <mergeCell ref="N104:O104"/>
    <mergeCell ref="R104:S104"/>
    <mergeCell ref="A101:G101"/>
    <mergeCell ref="H101:M101"/>
    <mergeCell ref="N101:O101"/>
    <mergeCell ref="R101:S101"/>
    <mergeCell ref="A102:G102"/>
    <mergeCell ref="H102:M102"/>
    <mergeCell ref="N102:O102"/>
    <mergeCell ref="R102:S102"/>
    <mergeCell ref="A111:G111"/>
    <mergeCell ref="H111:M111"/>
    <mergeCell ref="N111:O111"/>
    <mergeCell ref="R111:S111"/>
    <mergeCell ref="A112:G112"/>
    <mergeCell ref="H112:M112"/>
    <mergeCell ref="N112:O112"/>
    <mergeCell ref="R112:S112"/>
    <mergeCell ref="A109:G109"/>
    <mergeCell ref="H109:M109"/>
    <mergeCell ref="N109:O109"/>
    <mergeCell ref="R109:S109"/>
    <mergeCell ref="A110:G110"/>
    <mergeCell ref="H110:M110"/>
    <mergeCell ref="N110:O110"/>
    <mergeCell ref="R110:S110"/>
    <mergeCell ref="A107:G107"/>
    <mergeCell ref="H107:M107"/>
    <mergeCell ref="N107:O107"/>
    <mergeCell ref="R107:S107"/>
    <mergeCell ref="A108:G108"/>
    <mergeCell ref="H108:M108"/>
    <mergeCell ref="N108:O108"/>
    <mergeCell ref="R108:S108"/>
    <mergeCell ref="A117:G117"/>
    <mergeCell ref="H117:M117"/>
    <mergeCell ref="N117:O117"/>
    <mergeCell ref="R117:S117"/>
    <mergeCell ref="A118:G118"/>
    <mergeCell ref="H118:M118"/>
    <mergeCell ref="N118:O118"/>
    <mergeCell ref="R118:S118"/>
    <mergeCell ref="A115:G115"/>
    <mergeCell ref="H115:M115"/>
    <mergeCell ref="N115:O115"/>
    <mergeCell ref="R115:S115"/>
    <mergeCell ref="A116:G116"/>
    <mergeCell ref="H116:M116"/>
    <mergeCell ref="N116:O116"/>
    <mergeCell ref="R116:S116"/>
    <mergeCell ref="A113:G113"/>
    <mergeCell ref="H113:M113"/>
    <mergeCell ref="N113:O113"/>
    <mergeCell ref="R113:S113"/>
    <mergeCell ref="A114:G114"/>
    <mergeCell ref="H114:M114"/>
    <mergeCell ref="N114:O114"/>
    <mergeCell ref="R114:S114"/>
    <mergeCell ref="A123:G123"/>
    <mergeCell ref="H123:M123"/>
    <mergeCell ref="N123:O123"/>
    <mergeCell ref="R123:S123"/>
    <mergeCell ref="A124:G124"/>
    <mergeCell ref="H124:M124"/>
    <mergeCell ref="N124:O124"/>
    <mergeCell ref="R124:S124"/>
    <mergeCell ref="A121:G121"/>
    <mergeCell ref="H121:M121"/>
    <mergeCell ref="N121:O121"/>
    <mergeCell ref="R121:S121"/>
    <mergeCell ref="A122:G122"/>
    <mergeCell ref="H122:M122"/>
    <mergeCell ref="N122:O122"/>
    <mergeCell ref="R122:S122"/>
    <mergeCell ref="A119:G119"/>
    <mergeCell ref="H119:M119"/>
    <mergeCell ref="N119:O119"/>
    <mergeCell ref="R119:S119"/>
    <mergeCell ref="A120:G120"/>
    <mergeCell ref="H120:M120"/>
    <mergeCell ref="N120:O120"/>
    <mergeCell ref="R120:S120"/>
    <mergeCell ref="A129:G129"/>
    <mergeCell ref="H129:M129"/>
    <mergeCell ref="N129:O129"/>
    <mergeCell ref="R129:S129"/>
    <mergeCell ref="A130:G130"/>
    <mergeCell ref="H130:M130"/>
    <mergeCell ref="N130:O130"/>
    <mergeCell ref="R130:S130"/>
    <mergeCell ref="A127:G127"/>
    <mergeCell ref="H127:M127"/>
    <mergeCell ref="N127:O127"/>
    <mergeCell ref="R127:S127"/>
    <mergeCell ref="A128:G128"/>
    <mergeCell ref="H128:M128"/>
    <mergeCell ref="N128:O128"/>
    <mergeCell ref="R128:S128"/>
    <mergeCell ref="A125:G125"/>
    <mergeCell ref="H125:M125"/>
    <mergeCell ref="N125:O125"/>
    <mergeCell ref="R125:S125"/>
    <mergeCell ref="A126:G126"/>
    <mergeCell ref="H126:M126"/>
    <mergeCell ref="N126:O126"/>
    <mergeCell ref="R126:S126"/>
    <mergeCell ref="A135:G135"/>
    <mergeCell ref="H135:M135"/>
    <mergeCell ref="N135:O135"/>
    <mergeCell ref="R135:S135"/>
    <mergeCell ref="A136:G136"/>
    <mergeCell ref="H136:M136"/>
    <mergeCell ref="N136:O136"/>
    <mergeCell ref="R136:S136"/>
    <mergeCell ref="A133:G133"/>
    <mergeCell ref="H133:M133"/>
    <mergeCell ref="N133:O133"/>
    <mergeCell ref="R133:S133"/>
    <mergeCell ref="A134:G134"/>
    <mergeCell ref="H134:M134"/>
    <mergeCell ref="N134:O134"/>
    <mergeCell ref="R134:S134"/>
    <mergeCell ref="A131:G131"/>
    <mergeCell ref="H131:M131"/>
    <mergeCell ref="N131:O131"/>
    <mergeCell ref="R131:S131"/>
    <mergeCell ref="A132:G132"/>
    <mergeCell ref="H132:M132"/>
    <mergeCell ref="N132:O132"/>
    <mergeCell ref="R132:S132"/>
    <mergeCell ref="A141:G141"/>
    <mergeCell ref="H141:M141"/>
    <mergeCell ref="N141:O141"/>
    <mergeCell ref="R141:S141"/>
    <mergeCell ref="A142:G142"/>
    <mergeCell ref="H142:M142"/>
    <mergeCell ref="N142:O142"/>
    <mergeCell ref="R142:S142"/>
    <mergeCell ref="A139:G139"/>
    <mergeCell ref="H139:M139"/>
    <mergeCell ref="N139:O139"/>
    <mergeCell ref="R139:S139"/>
    <mergeCell ref="A140:G140"/>
    <mergeCell ref="H140:M140"/>
    <mergeCell ref="N140:O140"/>
    <mergeCell ref="R140:S140"/>
    <mergeCell ref="A137:G137"/>
    <mergeCell ref="H137:M137"/>
    <mergeCell ref="N137:O137"/>
    <mergeCell ref="R137:S137"/>
    <mergeCell ref="A138:G138"/>
    <mergeCell ref="H138:M138"/>
    <mergeCell ref="N138:O138"/>
    <mergeCell ref="R138:S138"/>
    <mergeCell ref="A147:G147"/>
    <mergeCell ref="H147:M147"/>
    <mergeCell ref="N147:O147"/>
    <mergeCell ref="R147:S147"/>
    <mergeCell ref="A148:G148"/>
    <mergeCell ref="H148:M148"/>
    <mergeCell ref="N148:O148"/>
    <mergeCell ref="R148:S148"/>
    <mergeCell ref="A145:G145"/>
    <mergeCell ref="H145:M145"/>
    <mergeCell ref="N145:O145"/>
    <mergeCell ref="R145:S145"/>
    <mergeCell ref="A146:G146"/>
    <mergeCell ref="H146:M146"/>
    <mergeCell ref="N146:O146"/>
    <mergeCell ref="R146:S146"/>
    <mergeCell ref="A143:G143"/>
    <mergeCell ref="H143:M143"/>
    <mergeCell ref="N143:O143"/>
    <mergeCell ref="R143:S143"/>
    <mergeCell ref="A144:G144"/>
    <mergeCell ref="H144:M144"/>
    <mergeCell ref="N144:O144"/>
    <mergeCell ref="R144:S144"/>
    <mergeCell ref="A153:G153"/>
    <mergeCell ref="H153:M153"/>
    <mergeCell ref="N153:O153"/>
    <mergeCell ref="R153:S153"/>
    <mergeCell ref="A154:G154"/>
    <mergeCell ref="H154:M154"/>
    <mergeCell ref="N154:O154"/>
    <mergeCell ref="R154:S154"/>
    <mergeCell ref="A151:G151"/>
    <mergeCell ref="H151:M151"/>
    <mergeCell ref="N151:O151"/>
    <mergeCell ref="R151:S151"/>
    <mergeCell ref="A152:G152"/>
    <mergeCell ref="H152:M152"/>
    <mergeCell ref="N152:O152"/>
    <mergeCell ref="R152:S152"/>
    <mergeCell ref="A149:G149"/>
    <mergeCell ref="H149:M149"/>
    <mergeCell ref="N149:O149"/>
    <mergeCell ref="R149:S149"/>
    <mergeCell ref="A150:G150"/>
    <mergeCell ref="H150:M150"/>
    <mergeCell ref="N150:O150"/>
    <mergeCell ref="R150:S150"/>
    <mergeCell ref="A159:G159"/>
    <mergeCell ref="H159:M159"/>
    <mergeCell ref="N159:O159"/>
    <mergeCell ref="R159:S159"/>
    <mergeCell ref="A160:G160"/>
    <mergeCell ref="H160:M160"/>
    <mergeCell ref="N160:O160"/>
    <mergeCell ref="R160:S160"/>
    <mergeCell ref="A157:G157"/>
    <mergeCell ref="H157:M157"/>
    <mergeCell ref="N157:O157"/>
    <mergeCell ref="R157:S157"/>
    <mergeCell ref="A158:G158"/>
    <mergeCell ref="H158:M158"/>
    <mergeCell ref="N158:O158"/>
    <mergeCell ref="R158:S158"/>
    <mergeCell ref="A155:G155"/>
    <mergeCell ref="H155:M155"/>
    <mergeCell ref="N155:O155"/>
    <mergeCell ref="R155:S155"/>
    <mergeCell ref="A156:G156"/>
    <mergeCell ref="H156:M156"/>
    <mergeCell ref="N156:O156"/>
    <mergeCell ref="R156:S156"/>
    <mergeCell ref="A165:G165"/>
    <mergeCell ref="H165:M165"/>
    <mergeCell ref="N165:O165"/>
    <mergeCell ref="R165:S165"/>
    <mergeCell ref="A166:G166"/>
    <mergeCell ref="H166:M166"/>
    <mergeCell ref="N166:O166"/>
    <mergeCell ref="R166:S166"/>
    <mergeCell ref="A163:G163"/>
    <mergeCell ref="H163:M163"/>
    <mergeCell ref="N163:O163"/>
    <mergeCell ref="R163:S163"/>
    <mergeCell ref="A164:G164"/>
    <mergeCell ref="H164:M164"/>
    <mergeCell ref="N164:O164"/>
    <mergeCell ref="R164:S164"/>
    <mergeCell ref="A161:G161"/>
    <mergeCell ref="H161:M161"/>
    <mergeCell ref="N161:O161"/>
    <mergeCell ref="R161:S161"/>
    <mergeCell ref="A162:G162"/>
    <mergeCell ref="H162:M162"/>
    <mergeCell ref="N162:O162"/>
    <mergeCell ref="R162:S162"/>
    <mergeCell ref="A171:G171"/>
    <mergeCell ref="H171:M171"/>
    <mergeCell ref="N171:O171"/>
    <mergeCell ref="R171:S171"/>
    <mergeCell ref="A172:G172"/>
    <mergeCell ref="H172:M172"/>
    <mergeCell ref="N172:O172"/>
    <mergeCell ref="R172:S172"/>
    <mergeCell ref="A169:G169"/>
    <mergeCell ref="H169:M169"/>
    <mergeCell ref="N169:O169"/>
    <mergeCell ref="R169:S169"/>
    <mergeCell ref="A170:G170"/>
    <mergeCell ref="H170:M170"/>
    <mergeCell ref="N170:O170"/>
    <mergeCell ref="R170:S170"/>
    <mergeCell ref="A167:G167"/>
    <mergeCell ref="H167:M167"/>
    <mergeCell ref="N167:O167"/>
    <mergeCell ref="R167:S167"/>
    <mergeCell ref="A168:G168"/>
    <mergeCell ref="H168:M168"/>
    <mergeCell ref="N168:O168"/>
    <mergeCell ref="R168:S168"/>
    <mergeCell ref="A177:G177"/>
    <mergeCell ref="H177:M177"/>
    <mergeCell ref="N177:O177"/>
    <mergeCell ref="R177:S177"/>
    <mergeCell ref="A178:G178"/>
    <mergeCell ref="H178:M178"/>
    <mergeCell ref="N178:O178"/>
    <mergeCell ref="R178:S178"/>
    <mergeCell ref="A175:G175"/>
    <mergeCell ref="H175:M175"/>
    <mergeCell ref="N175:O175"/>
    <mergeCell ref="R175:S175"/>
    <mergeCell ref="A176:G176"/>
    <mergeCell ref="H176:M176"/>
    <mergeCell ref="N176:O176"/>
    <mergeCell ref="R176:S176"/>
    <mergeCell ref="A173:G173"/>
    <mergeCell ref="H173:M173"/>
    <mergeCell ref="N173:O173"/>
    <mergeCell ref="R173:S173"/>
    <mergeCell ref="A174:G174"/>
    <mergeCell ref="H174:M174"/>
    <mergeCell ref="N174:O174"/>
    <mergeCell ref="R174:S174"/>
    <mergeCell ref="A183:G183"/>
    <mergeCell ref="H183:M183"/>
    <mergeCell ref="N183:O183"/>
    <mergeCell ref="R183:S183"/>
    <mergeCell ref="A184:G184"/>
    <mergeCell ref="H184:M184"/>
    <mergeCell ref="N184:O184"/>
    <mergeCell ref="R184:S184"/>
    <mergeCell ref="A181:G181"/>
    <mergeCell ref="H181:M181"/>
    <mergeCell ref="N181:O181"/>
    <mergeCell ref="R181:S181"/>
    <mergeCell ref="A182:G182"/>
    <mergeCell ref="H182:M182"/>
    <mergeCell ref="N182:O182"/>
    <mergeCell ref="R182:S182"/>
    <mergeCell ref="A179:G179"/>
    <mergeCell ref="H179:M179"/>
    <mergeCell ref="N179:O179"/>
    <mergeCell ref="R179:S179"/>
    <mergeCell ref="A180:G180"/>
    <mergeCell ref="H180:M180"/>
    <mergeCell ref="N180:O180"/>
    <mergeCell ref="R180:S180"/>
    <mergeCell ref="A189:G189"/>
    <mergeCell ref="H189:M189"/>
    <mergeCell ref="N189:O189"/>
    <mergeCell ref="R189:S189"/>
    <mergeCell ref="A190:G190"/>
    <mergeCell ref="H190:M190"/>
    <mergeCell ref="N190:O190"/>
    <mergeCell ref="R190:S190"/>
    <mergeCell ref="A187:G187"/>
    <mergeCell ref="H187:M187"/>
    <mergeCell ref="N187:O187"/>
    <mergeCell ref="R187:S187"/>
    <mergeCell ref="A188:G188"/>
    <mergeCell ref="H188:M188"/>
    <mergeCell ref="N188:O188"/>
    <mergeCell ref="R188:S188"/>
    <mergeCell ref="A185:G185"/>
    <mergeCell ref="H185:M185"/>
    <mergeCell ref="N185:O185"/>
    <mergeCell ref="R185:S185"/>
    <mergeCell ref="A186:G186"/>
    <mergeCell ref="H186:M186"/>
    <mergeCell ref="N186:O186"/>
    <mergeCell ref="R186:S186"/>
    <mergeCell ref="A195:G195"/>
    <mergeCell ref="H195:M195"/>
    <mergeCell ref="N195:O195"/>
    <mergeCell ref="R195:S195"/>
    <mergeCell ref="A196:G196"/>
    <mergeCell ref="H196:M196"/>
    <mergeCell ref="N196:O196"/>
    <mergeCell ref="R196:S196"/>
    <mergeCell ref="A193:G193"/>
    <mergeCell ref="H193:M193"/>
    <mergeCell ref="N193:O193"/>
    <mergeCell ref="R193:S193"/>
    <mergeCell ref="A194:G194"/>
    <mergeCell ref="H194:M194"/>
    <mergeCell ref="N194:O194"/>
    <mergeCell ref="R194:S194"/>
    <mergeCell ref="A191:G191"/>
    <mergeCell ref="H191:M191"/>
    <mergeCell ref="N191:O191"/>
    <mergeCell ref="R191:S191"/>
    <mergeCell ref="A192:G192"/>
    <mergeCell ref="H192:M192"/>
    <mergeCell ref="N192:O192"/>
    <mergeCell ref="R192:S192"/>
    <mergeCell ref="A201:G201"/>
    <mergeCell ref="H201:M201"/>
    <mergeCell ref="N201:O201"/>
    <mergeCell ref="R201:S201"/>
    <mergeCell ref="A202:G202"/>
    <mergeCell ref="H202:M202"/>
    <mergeCell ref="N202:O202"/>
    <mergeCell ref="R202:S202"/>
    <mergeCell ref="A199:G199"/>
    <mergeCell ref="H199:M199"/>
    <mergeCell ref="N199:O199"/>
    <mergeCell ref="R199:S199"/>
    <mergeCell ref="A200:G200"/>
    <mergeCell ref="H200:M200"/>
    <mergeCell ref="N200:O200"/>
    <mergeCell ref="R200:S200"/>
    <mergeCell ref="A197:G197"/>
    <mergeCell ref="H197:M197"/>
    <mergeCell ref="N197:O197"/>
    <mergeCell ref="R197:S197"/>
    <mergeCell ref="A198:G198"/>
    <mergeCell ref="H198:M198"/>
    <mergeCell ref="N198:O198"/>
    <mergeCell ref="R198:S198"/>
    <mergeCell ref="A207:G207"/>
    <mergeCell ref="H207:M207"/>
    <mergeCell ref="N207:O207"/>
    <mergeCell ref="R207:S207"/>
    <mergeCell ref="A208:G208"/>
    <mergeCell ref="H208:M208"/>
    <mergeCell ref="N208:O208"/>
    <mergeCell ref="R208:S208"/>
    <mergeCell ref="A205:G205"/>
    <mergeCell ref="H205:M205"/>
    <mergeCell ref="N205:O205"/>
    <mergeCell ref="R205:S205"/>
    <mergeCell ref="A206:G206"/>
    <mergeCell ref="H206:M206"/>
    <mergeCell ref="N206:O206"/>
    <mergeCell ref="R206:S206"/>
    <mergeCell ref="A203:G203"/>
    <mergeCell ref="H203:M203"/>
    <mergeCell ref="N203:O203"/>
    <mergeCell ref="R203:S203"/>
    <mergeCell ref="A204:G204"/>
    <mergeCell ref="H204:M204"/>
    <mergeCell ref="N204:O204"/>
    <mergeCell ref="R204:S204"/>
    <mergeCell ref="A213:G213"/>
    <mergeCell ref="H213:M213"/>
    <mergeCell ref="N213:O213"/>
    <mergeCell ref="R213:S213"/>
    <mergeCell ref="A214:G214"/>
    <mergeCell ref="H214:M214"/>
    <mergeCell ref="N214:O214"/>
    <mergeCell ref="R214:S214"/>
    <mergeCell ref="A211:G211"/>
    <mergeCell ref="H211:M211"/>
    <mergeCell ref="N211:O211"/>
    <mergeCell ref="R211:S211"/>
    <mergeCell ref="A212:G212"/>
    <mergeCell ref="H212:M212"/>
    <mergeCell ref="N212:O212"/>
    <mergeCell ref="R212:S212"/>
    <mergeCell ref="A209:G209"/>
    <mergeCell ref="H209:M209"/>
    <mergeCell ref="N209:O209"/>
    <mergeCell ref="R209:S209"/>
    <mergeCell ref="A210:G210"/>
    <mergeCell ref="H210:M210"/>
    <mergeCell ref="N210:O210"/>
    <mergeCell ref="R210:S210"/>
    <mergeCell ref="A219:G219"/>
    <mergeCell ref="H219:M219"/>
    <mergeCell ref="N219:O219"/>
    <mergeCell ref="R219:S219"/>
    <mergeCell ref="A220:G220"/>
    <mergeCell ref="H220:M220"/>
    <mergeCell ref="N220:O220"/>
    <mergeCell ref="R220:S220"/>
    <mergeCell ref="A217:G217"/>
    <mergeCell ref="H217:M217"/>
    <mergeCell ref="N217:O217"/>
    <mergeCell ref="R217:S217"/>
    <mergeCell ref="A218:G218"/>
    <mergeCell ref="H218:M218"/>
    <mergeCell ref="N218:O218"/>
    <mergeCell ref="R218:S218"/>
    <mergeCell ref="A215:G215"/>
    <mergeCell ref="H215:M215"/>
    <mergeCell ref="N215:O215"/>
    <mergeCell ref="R215:S215"/>
    <mergeCell ref="A216:G216"/>
    <mergeCell ref="H216:M216"/>
    <mergeCell ref="N216:O216"/>
    <mergeCell ref="R216:S216"/>
    <mergeCell ref="A225:G225"/>
    <mergeCell ref="H225:M225"/>
    <mergeCell ref="N225:O225"/>
    <mergeCell ref="R225:S225"/>
    <mergeCell ref="A226:G226"/>
    <mergeCell ref="H226:M226"/>
    <mergeCell ref="N226:O226"/>
    <mergeCell ref="R226:S226"/>
    <mergeCell ref="A223:G223"/>
    <mergeCell ref="H223:M223"/>
    <mergeCell ref="N223:O223"/>
    <mergeCell ref="R223:S223"/>
    <mergeCell ref="A224:G224"/>
    <mergeCell ref="H224:M224"/>
    <mergeCell ref="N224:O224"/>
    <mergeCell ref="R224:S224"/>
    <mergeCell ref="A221:G221"/>
    <mergeCell ref="H221:M221"/>
    <mergeCell ref="N221:O221"/>
    <mergeCell ref="R221:S221"/>
    <mergeCell ref="A222:G222"/>
    <mergeCell ref="H222:M222"/>
    <mergeCell ref="N222:O222"/>
    <mergeCell ref="R222:S222"/>
    <mergeCell ref="A231:G231"/>
    <mergeCell ref="H231:M231"/>
    <mergeCell ref="N231:O231"/>
    <mergeCell ref="R231:S231"/>
    <mergeCell ref="A232:G232"/>
    <mergeCell ref="H232:M232"/>
    <mergeCell ref="N232:O232"/>
    <mergeCell ref="R232:S232"/>
    <mergeCell ref="A229:G229"/>
    <mergeCell ref="H229:M229"/>
    <mergeCell ref="N229:O229"/>
    <mergeCell ref="R229:S229"/>
    <mergeCell ref="A230:G230"/>
    <mergeCell ref="H230:M230"/>
    <mergeCell ref="N230:O230"/>
    <mergeCell ref="R230:S230"/>
    <mergeCell ref="A227:G227"/>
    <mergeCell ref="H227:M227"/>
    <mergeCell ref="N227:O227"/>
    <mergeCell ref="R227:S227"/>
    <mergeCell ref="A228:G228"/>
    <mergeCell ref="H228:M228"/>
    <mergeCell ref="N228:O228"/>
    <mergeCell ref="R228:S228"/>
    <mergeCell ref="A237:G237"/>
    <mergeCell ref="H237:M237"/>
    <mergeCell ref="N237:O237"/>
    <mergeCell ref="R237:S237"/>
    <mergeCell ref="A238:G238"/>
    <mergeCell ref="H238:M238"/>
    <mergeCell ref="N238:O238"/>
    <mergeCell ref="R238:S238"/>
    <mergeCell ref="A235:G235"/>
    <mergeCell ref="H235:M235"/>
    <mergeCell ref="N235:O235"/>
    <mergeCell ref="R235:S235"/>
    <mergeCell ref="A236:G236"/>
    <mergeCell ref="H236:M236"/>
    <mergeCell ref="N236:O236"/>
    <mergeCell ref="R236:S236"/>
    <mergeCell ref="A233:G233"/>
    <mergeCell ref="H233:M233"/>
    <mergeCell ref="N233:O233"/>
    <mergeCell ref="R233:S233"/>
    <mergeCell ref="A234:G234"/>
    <mergeCell ref="H234:M234"/>
    <mergeCell ref="N234:O234"/>
    <mergeCell ref="R234:S234"/>
    <mergeCell ref="A243:G243"/>
    <mergeCell ref="H243:M243"/>
    <mergeCell ref="N243:O243"/>
    <mergeCell ref="R243:S243"/>
    <mergeCell ref="A244:G244"/>
    <mergeCell ref="H244:M244"/>
    <mergeCell ref="N244:O244"/>
    <mergeCell ref="R244:S244"/>
    <mergeCell ref="A241:G241"/>
    <mergeCell ref="H241:M241"/>
    <mergeCell ref="N241:O241"/>
    <mergeCell ref="R241:S241"/>
    <mergeCell ref="A242:G242"/>
    <mergeCell ref="H242:M242"/>
    <mergeCell ref="N242:O242"/>
    <mergeCell ref="R242:S242"/>
    <mergeCell ref="A239:G239"/>
    <mergeCell ref="H239:M239"/>
    <mergeCell ref="N239:O239"/>
    <mergeCell ref="R239:S239"/>
    <mergeCell ref="A240:G240"/>
    <mergeCell ref="H240:M240"/>
    <mergeCell ref="N240:O240"/>
    <mergeCell ref="R240:S240"/>
    <mergeCell ref="A249:G249"/>
    <mergeCell ref="H249:M249"/>
    <mergeCell ref="N249:O249"/>
    <mergeCell ref="R249:S249"/>
    <mergeCell ref="A250:G250"/>
    <mergeCell ref="H250:M250"/>
    <mergeCell ref="N250:O250"/>
    <mergeCell ref="R250:S250"/>
    <mergeCell ref="A247:G247"/>
    <mergeCell ref="H247:M247"/>
    <mergeCell ref="N247:O247"/>
    <mergeCell ref="R247:S247"/>
    <mergeCell ref="A248:G248"/>
    <mergeCell ref="H248:M248"/>
    <mergeCell ref="N248:O248"/>
    <mergeCell ref="R248:S248"/>
    <mergeCell ref="A245:G245"/>
    <mergeCell ref="H245:M245"/>
    <mergeCell ref="N245:O245"/>
    <mergeCell ref="R245:S245"/>
    <mergeCell ref="A246:G246"/>
    <mergeCell ref="H246:M246"/>
    <mergeCell ref="N246:O246"/>
    <mergeCell ref="R246:S246"/>
    <mergeCell ref="A255:G255"/>
    <mergeCell ref="H255:M255"/>
    <mergeCell ref="N255:O255"/>
    <mergeCell ref="R255:S255"/>
    <mergeCell ref="A256:G256"/>
    <mergeCell ref="H256:M256"/>
    <mergeCell ref="N256:O256"/>
    <mergeCell ref="R256:S256"/>
    <mergeCell ref="A253:G253"/>
    <mergeCell ref="H253:M253"/>
    <mergeCell ref="N253:O253"/>
    <mergeCell ref="R253:S253"/>
    <mergeCell ref="A254:G254"/>
    <mergeCell ref="H254:M254"/>
    <mergeCell ref="N254:O254"/>
    <mergeCell ref="R254:S254"/>
    <mergeCell ref="A251:G251"/>
    <mergeCell ref="H251:M251"/>
    <mergeCell ref="N251:O251"/>
    <mergeCell ref="R251:S251"/>
    <mergeCell ref="A252:G252"/>
    <mergeCell ref="H252:M252"/>
    <mergeCell ref="N252:O252"/>
    <mergeCell ref="R252:S252"/>
    <mergeCell ref="A261:G261"/>
    <mergeCell ref="H261:M261"/>
    <mergeCell ref="N261:O261"/>
    <mergeCell ref="R261:S261"/>
    <mergeCell ref="A262:G262"/>
    <mergeCell ref="H262:M262"/>
    <mergeCell ref="N262:O262"/>
    <mergeCell ref="R262:S262"/>
    <mergeCell ref="A259:G259"/>
    <mergeCell ref="H259:M259"/>
    <mergeCell ref="N259:O259"/>
    <mergeCell ref="R259:S259"/>
    <mergeCell ref="A260:G260"/>
    <mergeCell ref="H260:M260"/>
    <mergeCell ref="N260:O260"/>
    <mergeCell ref="R260:S260"/>
    <mergeCell ref="A257:G257"/>
    <mergeCell ref="H257:M257"/>
    <mergeCell ref="N257:O257"/>
    <mergeCell ref="R257:S257"/>
    <mergeCell ref="A258:G258"/>
    <mergeCell ref="H258:M258"/>
    <mergeCell ref="N258:O258"/>
    <mergeCell ref="R258:S258"/>
    <mergeCell ref="A267:G267"/>
    <mergeCell ref="H267:M267"/>
    <mergeCell ref="N267:O267"/>
    <mergeCell ref="R267:S267"/>
    <mergeCell ref="A268:G268"/>
    <mergeCell ref="H268:M268"/>
    <mergeCell ref="N268:O268"/>
    <mergeCell ref="R268:S268"/>
    <mergeCell ref="A265:G265"/>
    <mergeCell ref="H265:M265"/>
    <mergeCell ref="N265:O265"/>
    <mergeCell ref="R265:S265"/>
    <mergeCell ref="A266:G266"/>
    <mergeCell ref="H266:M266"/>
    <mergeCell ref="N266:O266"/>
    <mergeCell ref="R266:S266"/>
    <mergeCell ref="A263:G263"/>
    <mergeCell ref="H263:M263"/>
    <mergeCell ref="N263:O263"/>
    <mergeCell ref="R263:S263"/>
    <mergeCell ref="A264:G264"/>
    <mergeCell ref="H264:M264"/>
    <mergeCell ref="N264:O264"/>
    <mergeCell ref="R264:S264"/>
    <mergeCell ref="A273:G273"/>
    <mergeCell ref="H273:M273"/>
    <mergeCell ref="N273:O273"/>
    <mergeCell ref="R273:S273"/>
    <mergeCell ref="A274:G274"/>
    <mergeCell ref="H274:M274"/>
    <mergeCell ref="N274:O274"/>
    <mergeCell ref="R274:S274"/>
    <mergeCell ref="A271:G271"/>
    <mergeCell ref="H271:M271"/>
    <mergeCell ref="N271:O271"/>
    <mergeCell ref="R271:S271"/>
    <mergeCell ref="A272:G272"/>
    <mergeCell ref="H272:M272"/>
    <mergeCell ref="N272:O272"/>
    <mergeCell ref="R272:S272"/>
    <mergeCell ref="A269:G269"/>
    <mergeCell ref="H269:M269"/>
    <mergeCell ref="N269:O269"/>
    <mergeCell ref="R269:S269"/>
    <mergeCell ref="A270:G270"/>
    <mergeCell ref="H270:M270"/>
    <mergeCell ref="N270:O270"/>
    <mergeCell ref="R270:S270"/>
    <mergeCell ref="A279:G279"/>
    <mergeCell ref="H279:M279"/>
    <mergeCell ref="N279:O279"/>
    <mergeCell ref="R279:S279"/>
    <mergeCell ref="A280:G280"/>
    <mergeCell ref="H280:M280"/>
    <mergeCell ref="N280:O280"/>
    <mergeCell ref="R280:S280"/>
    <mergeCell ref="A277:G277"/>
    <mergeCell ref="H277:M277"/>
    <mergeCell ref="N277:O277"/>
    <mergeCell ref="R277:S277"/>
    <mergeCell ref="A278:G278"/>
    <mergeCell ref="H278:M278"/>
    <mergeCell ref="N278:O278"/>
    <mergeCell ref="R278:S278"/>
    <mergeCell ref="A275:G275"/>
    <mergeCell ref="H275:M275"/>
    <mergeCell ref="N275:O275"/>
    <mergeCell ref="R275:S275"/>
    <mergeCell ref="A276:G276"/>
    <mergeCell ref="H276:M276"/>
    <mergeCell ref="N276:O276"/>
    <mergeCell ref="R276:S276"/>
    <mergeCell ref="A285:G285"/>
    <mergeCell ref="H285:M285"/>
    <mergeCell ref="N285:O285"/>
    <mergeCell ref="R285:S285"/>
    <mergeCell ref="A286:G286"/>
    <mergeCell ref="H286:M286"/>
    <mergeCell ref="N286:O286"/>
    <mergeCell ref="R286:S286"/>
    <mergeCell ref="A283:G283"/>
    <mergeCell ref="H283:M283"/>
    <mergeCell ref="N283:O283"/>
    <mergeCell ref="R283:S283"/>
    <mergeCell ref="A284:G284"/>
    <mergeCell ref="H284:M284"/>
    <mergeCell ref="N284:O284"/>
    <mergeCell ref="R284:S284"/>
    <mergeCell ref="A281:G281"/>
    <mergeCell ref="H281:M281"/>
    <mergeCell ref="N281:O281"/>
    <mergeCell ref="R281:S281"/>
    <mergeCell ref="A282:G282"/>
    <mergeCell ref="H282:M282"/>
    <mergeCell ref="N282:O282"/>
    <mergeCell ref="R282:S282"/>
    <mergeCell ref="A291:G291"/>
    <mergeCell ref="H291:M291"/>
    <mergeCell ref="N291:O291"/>
    <mergeCell ref="R291:S291"/>
    <mergeCell ref="A292:G292"/>
    <mergeCell ref="H292:M292"/>
    <mergeCell ref="N292:O292"/>
    <mergeCell ref="R292:S292"/>
    <mergeCell ref="A289:G289"/>
    <mergeCell ref="H289:M289"/>
    <mergeCell ref="N289:O289"/>
    <mergeCell ref="R289:S289"/>
    <mergeCell ref="A290:G290"/>
    <mergeCell ref="H290:M290"/>
    <mergeCell ref="N290:O290"/>
    <mergeCell ref="R290:S290"/>
    <mergeCell ref="A287:G287"/>
    <mergeCell ref="H287:M287"/>
    <mergeCell ref="N287:O287"/>
    <mergeCell ref="R287:S287"/>
    <mergeCell ref="A288:G288"/>
    <mergeCell ref="H288:M288"/>
    <mergeCell ref="N288:O288"/>
    <mergeCell ref="R288:S288"/>
    <mergeCell ref="A297:G297"/>
    <mergeCell ref="H297:M297"/>
    <mergeCell ref="N297:O297"/>
    <mergeCell ref="R297:S297"/>
    <mergeCell ref="A298:G298"/>
    <mergeCell ref="H298:M298"/>
    <mergeCell ref="N298:O298"/>
    <mergeCell ref="R298:S298"/>
    <mergeCell ref="A295:G295"/>
    <mergeCell ref="H295:M295"/>
    <mergeCell ref="N295:O295"/>
    <mergeCell ref="R295:S295"/>
    <mergeCell ref="A296:G296"/>
    <mergeCell ref="H296:M296"/>
    <mergeCell ref="N296:O296"/>
    <mergeCell ref="R296:S296"/>
    <mergeCell ref="A293:G293"/>
    <mergeCell ref="H293:M293"/>
    <mergeCell ref="N293:O293"/>
    <mergeCell ref="R293:S293"/>
    <mergeCell ref="A294:G294"/>
    <mergeCell ref="H294:M294"/>
    <mergeCell ref="N294:O294"/>
    <mergeCell ref="R294:S294"/>
    <mergeCell ref="A303:G303"/>
    <mergeCell ref="H303:M303"/>
    <mergeCell ref="N303:O303"/>
    <mergeCell ref="R303:S303"/>
    <mergeCell ref="A304:G304"/>
    <mergeCell ref="H304:M304"/>
    <mergeCell ref="N304:O304"/>
    <mergeCell ref="R304:S304"/>
    <mergeCell ref="A301:G301"/>
    <mergeCell ref="H301:M301"/>
    <mergeCell ref="N301:O301"/>
    <mergeCell ref="R301:S301"/>
    <mergeCell ref="A302:G302"/>
    <mergeCell ref="H302:M302"/>
    <mergeCell ref="N302:O302"/>
    <mergeCell ref="R302:S302"/>
    <mergeCell ref="A299:G299"/>
    <mergeCell ref="H299:M299"/>
    <mergeCell ref="N299:O299"/>
    <mergeCell ref="R299:S299"/>
    <mergeCell ref="A300:G300"/>
    <mergeCell ref="H300:M300"/>
    <mergeCell ref="N300:O300"/>
    <mergeCell ref="R300:S300"/>
    <mergeCell ref="A309:G309"/>
    <mergeCell ref="H309:M309"/>
    <mergeCell ref="N309:O309"/>
    <mergeCell ref="R309:S309"/>
    <mergeCell ref="A310:G310"/>
    <mergeCell ref="H310:M310"/>
    <mergeCell ref="N310:O310"/>
    <mergeCell ref="R310:S310"/>
    <mergeCell ref="A307:G307"/>
    <mergeCell ref="H307:M307"/>
    <mergeCell ref="N307:O307"/>
    <mergeCell ref="R307:S307"/>
    <mergeCell ref="A308:G308"/>
    <mergeCell ref="H308:M308"/>
    <mergeCell ref="N308:O308"/>
    <mergeCell ref="R308:S308"/>
    <mergeCell ref="A305:G305"/>
    <mergeCell ref="H305:M305"/>
    <mergeCell ref="N305:O305"/>
    <mergeCell ref="R305:S305"/>
    <mergeCell ref="A306:G306"/>
    <mergeCell ref="H306:M306"/>
    <mergeCell ref="N306:O306"/>
    <mergeCell ref="R306:S306"/>
    <mergeCell ref="A315:G315"/>
    <mergeCell ref="H315:M315"/>
    <mergeCell ref="N315:O315"/>
    <mergeCell ref="R315:S315"/>
    <mergeCell ref="A316:G316"/>
    <mergeCell ref="H316:M316"/>
    <mergeCell ref="N316:O316"/>
    <mergeCell ref="R316:S316"/>
    <mergeCell ref="A313:G313"/>
    <mergeCell ref="H313:M313"/>
    <mergeCell ref="N313:O313"/>
    <mergeCell ref="R313:S313"/>
    <mergeCell ref="A314:G314"/>
    <mergeCell ref="H314:M314"/>
    <mergeCell ref="N314:O314"/>
    <mergeCell ref="R314:S314"/>
    <mergeCell ref="A311:G311"/>
    <mergeCell ref="H311:M311"/>
    <mergeCell ref="N311:O311"/>
    <mergeCell ref="R311:S311"/>
    <mergeCell ref="A312:G312"/>
    <mergeCell ref="H312:M312"/>
    <mergeCell ref="N312:O312"/>
    <mergeCell ref="R312:S312"/>
    <mergeCell ref="A321:G321"/>
    <mergeCell ref="H321:M321"/>
    <mergeCell ref="N321:O321"/>
    <mergeCell ref="R321:S321"/>
    <mergeCell ref="A322:G322"/>
    <mergeCell ref="H322:M322"/>
    <mergeCell ref="N322:O322"/>
    <mergeCell ref="R322:S322"/>
    <mergeCell ref="A319:G319"/>
    <mergeCell ref="H319:M319"/>
    <mergeCell ref="N319:O319"/>
    <mergeCell ref="R319:S319"/>
    <mergeCell ref="A320:G320"/>
    <mergeCell ref="H320:M320"/>
    <mergeCell ref="N320:O320"/>
    <mergeCell ref="R320:S320"/>
    <mergeCell ref="A317:G317"/>
    <mergeCell ref="H317:M317"/>
    <mergeCell ref="N317:O317"/>
    <mergeCell ref="R317:S317"/>
    <mergeCell ref="A318:G318"/>
    <mergeCell ref="H318:M318"/>
    <mergeCell ref="N318:O318"/>
    <mergeCell ref="R318:S318"/>
    <mergeCell ref="A327:G327"/>
    <mergeCell ref="H327:M327"/>
    <mergeCell ref="N327:O327"/>
    <mergeCell ref="R327:S327"/>
    <mergeCell ref="A328:G328"/>
    <mergeCell ref="H328:M328"/>
    <mergeCell ref="N328:O328"/>
    <mergeCell ref="R328:S328"/>
    <mergeCell ref="A325:G325"/>
    <mergeCell ref="H325:M325"/>
    <mergeCell ref="N325:O325"/>
    <mergeCell ref="R325:S325"/>
    <mergeCell ref="A326:G326"/>
    <mergeCell ref="H326:M326"/>
    <mergeCell ref="N326:O326"/>
    <mergeCell ref="R326:S326"/>
    <mergeCell ref="A323:G323"/>
    <mergeCell ref="H323:M323"/>
    <mergeCell ref="N323:O323"/>
    <mergeCell ref="R323:S323"/>
    <mergeCell ref="A324:G324"/>
    <mergeCell ref="H324:M324"/>
    <mergeCell ref="N324:O324"/>
    <mergeCell ref="R324:S324"/>
    <mergeCell ref="A333:G333"/>
    <mergeCell ref="H333:M333"/>
    <mergeCell ref="N333:O333"/>
    <mergeCell ref="R333:S333"/>
    <mergeCell ref="A334:G334"/>
    <mergeCell ref="H334:M334"/>
    <mergeCell ref="N334:O334"/>
    <mergeCell ref="R334:S334"/>
    <mergeCell ref="A331:G331"/>
    <mergeCell ref="H331:M331"/>
    <mergeCell ref="N331:O331"/>
    <mergeCell ref="R331:S331"/>
    <mergeCell ref="A332:G332"/>
    <mergeCell ref="H332:M332"/>
    <mergeCell ref="N332:O332"/>
    <mergeCell ref="R332:S332"/>
    <mergeCell ref="A329:G329"/>
    <mergeCell ref="H329:M329"/>
    <mergeCell ref="N329:O329"/>
    <mergeCell ref="R329:S329"/>
    <mergeCell ref="A330:G330"/>
    <mergeCell ref="H330:M330"/>
    <mergeCell ref="N330:O330"/>
    <mergeCell ref="R330:S330"/>
    <mergeCell ref="A339:G339"/>
    <mergeCell ref="H339:M339"/>
    <mergeCell ref="N339:O339"/>
    <mergeCell ref="R339:S339"/>
    <mergeCell ref="A340:G340"/>
    <mergeCell ref="H340:M340"/>
    <mergeCell ref="N340:O340"/>
    <mergeCell ref="R340:S340"/>
    <mergeCell ref="A337:G337"/>
    <mergeCell ref="H337:M337"/>
    <mergeCell ref="N337:O337"/>
    <mergeCell ref="R337:S337"/>
    <mergeCell ref="A338:G338"/>
    <mergeCell ref="H338:M338"/>
    <mergeCell ref="N338:O338"/>
    <mergeCell ref="R338:S338"/>
    <mergeCell ref="A335:G335"/>
    <mergeCell ref="H335:M335"/>
    <mergeCell ref="N335:O335"/>
    <mergeCell ref="R335:S335"/>
    <mergeCell ref="A336:G336"/>
    <mergeCell ref="H336:M336"/>
    <mergeCell ref="N336:O336"/>
    <mergeCell ref="R336:S336"/>
    <mergeCell ref="A345:G345"/>
    <mergeCell ref="H345:M345"/>
    <mergeCell ref="N345:O345"/>
    <mergeCell ref="R345:S345"/>
    <mergeCell ref="A346:G346"/>
    <mergeCell ref="H346:M346"/>
    <mergeCell ref="N346:O346"/>
    <mergeCell ref="R346:S346"/>
    <mergeCell ref="A343:G343"/>
    <mergeCell ref="H343:M343"/>
    <mergeCell ref="N343:O343"/>
    <mergeCell ref="R343:S343"/>
    <mergeCell ref="A344:G344"/>
    <mergeCell ref="H344:M344"/>
    <mergeCell ref="N344:O344"/>
    <mergeCell ref="R344:S344"/>
    <mergeCell ref="A341:G341"/>
    <mergeCell ref="H341:M341"/>
    <mergeCell ref="N341:O341"/>
    <mergeCell ref="R341:S341"/>
    <mergeCell ref="A342:G342"/>
    <mergeCell ref="H342:M342"/>
    <mergeCell ref="N342:O342"/>
    <mergeCell ref="R342:S342"/>
    <mergeCell ref="A351:G351"/>
    <mergeCell ref="H351:M351"/>
    <mergeCell ref="N351:O351"/>
    <mergeCell ref="R351:S351"/>
    <mergeCell ref="A352:G352"/>
    <mergeCell ref="H352:M352"/>
    <mergeCell ref="N352:O352"/>
    <mergeCell ref="R352:S352"/>
    <mergeCell ref="A349:G349"/>
    <mergeCell ref="H349:M349"/>
    <mergeCell ref="N349:O349"/>
    <mergeCell ref="R349:S349"/>
    <mergeCell ref="A350:G350"/>
    <mergeCell ref="H350:M350"/>
    <mergeCell ref="N350:O350"/>
    <mergeCell ref="R350:S350"/>
    <mergeCell ref="A347:G347"/>
    <mergeCell ref="H347:M347"/>
    <mergeCell ref="N347:O347"/>
    <mergeCell ref="R347:S347"/>
    <mergeCell ref="A348:G348"/>
    <mergeCell ref="H348:M348"/>
    <mergeCell ref="N348:O348"/>
    <mergeCell ref="R348:S348"/>
    <mergeCell ref="A357:G357"/>
    <mergeCell ref="H357:M357"/>
    <mergeCell ref="N357:O357"/>
    <mergeCell ref="R357:S357"/>
    <mergeCell ref="A358:G358"/>
    <mergeCell ref="H358:M358"/>
    <mergeCell ref="N358:O358"/>
    <mergeCell ref="R358:S358"/>
    <mergeCell ref="A355:G355"/>
    <mergeCell ref="H355:M355"/>
    <mergeCell ref="N355:O355"/>
    <mergeCell ref="R355:S355"/>
    <mergeCell ref="A356:G356"/>
    <mergeCell ref="H356:M356"/>
    <mergeCell ref="N356:O356"/>
    <mergeCell ref="R356:S356"/>
    <mergeCell ref="A353:G353"/>
    <mergeCell ref="H353:M353"/>
    <mergeCell ref="N353:O353"/>
    <mergeCell ref="R353:S353"/>
    <mergeCell ref="A354:G354"/>
    <mergeCell ref="H354:M354"/>
    <mergeCell ref="N354:O354"/>
    <mergeCell ref="R354:S354"/>
    <mergeCell ref="A363:G363"/>
    <mergeCell ref="H363:M363"/>
    <mergeCell ref="N363:O363"/>
    <mergeCell ref="R363:S363"/>
    <mergeCell ref="A364:G364"/>
    <mergeCell ref="H364:M364"/>
    <mergeCell ref="N364:O364"/>
    <mergeCell ref="R364:S364"/>
    <mergeCell ref="A361:G361"/>
    <mergeCell ref="H361:M361"/>
    <mergeCell ref="N361:O361"/>
    <mergeCell ref="R361:S361"/>
    <mergeCell ref="A362:G362"/>
    <mergeCell ref="H362:M362"/>
    <mergeCell ref="N362:O362"/>
    <mergeCell ref="R362:S362"/>
    <mergeCell ref="A359:G359"/>
    <mergeCell ref="H359:M359"/>
    <mergeCell ref="N359:O359"/>
    <mergeCell ref="R359:S359"/>
    <mergeCell ref="A360:G360"/>
    <mergeCell ref="H360:M360"/>
    <mergeCell ref="N360:O360"/>
    <mergeCell ref="R360:S360"/>
    <mergeCell ref="A369:G369"/>
    <mergeCell ref="H369:M369"/>
    <mergeCell ref="N369:O369"/>
    <mergeCell ref="R369:S369"/>
    <mergeCell ref="A370:G370"/>
    <mergeCell ref="H370:M370"/>
    <mergeCell ref="N370:O370"/>
    <mergeCell ref="R370:S370"/>
    <mergeCell ref="A367:G367"/>
    <mergeCell ref="H367:M367"/>
    <mergeCell ref="N367:O367"/>
    <mergeCell ref="R367:S367"/>
    <mergeCell ref="A368:G368"/>
    <mergeCell ref="H368:M368"/>
    <mergeCell ref="N368:O368"/>
    <mergeCell ref="R368:S368"/>
    <mergeCell ref="A365:G365"/>
    <mergeCell ref="H365:M365"/>
    <mergeCell ref="N365:O365"/>
    <mergeCell ref="R365:S365"/>
    <mergeCell ref="A366:G366"/>
    <mergeCell ref="H366:M366"/>
    <mergeCell ref="N366:O366"/>
    <mergeCell ref="R366:S366"/>
    <mergeCell ref="A375:G375"/>
    <mergeCell ref="H375:M375"/>
    <mergeCell ref="N375:O375"/>
    <mergeCell ref="R375:S375"/>
    <mergeCell ref="A376:G376"/>
    <mergeCell ref="H376:M376"/>
    <mergeCell ref="N376:O376"/>
    <mergeCell ref="R376:S376"/>
    <mergeCell ref="A373:G373"/>
    <mergeCell ref="H373:M373"/>
    <mergeCell ref="N373:O373"/>
    <mergeCell ref="R373:S373"/>
    <mergeCell ref="A374:G374"/>
    <mergeCell ref="H374:M374"/>
    <mergeCell ref="N374:O374"/>
    <mergeCell ref="R374:S374"/>
    <mergeCell ref="A371:G371"/>
    <mergeCell ref="H371:M371"/>
    <mergeCell ref="N371:O371"/>
    <mergeCell ref="R371:S371"/>
    <mergeCell ref="A372:G372"/>
    <mergeCell ref="H372:M372"/>
    <mergeCell ref="N372:O372"/>
    <mergeCell ref="R372:S372"/>
    <mergeCell ref="A381:G381"/>
    <mergeCell ref="H381:M381"/>
    <mergeCell ref="N381:O381"/>
    <mergeCell ref="R381:S381"/>
    <mergeCell ref="A382:G382"/>
    <mergeCell ref="H382:M382"/>
    <mergeCell ref="N382:O382"/>
    <mergeCell ref="R382:S382"/>
    <mergeCell ref="A379:G379"/>
    <mergeCell ref="H379:M379"/>
    <mergeCell ref="N379:O379"/>
    <mergeCell ref="R379:S379"/>
    <mergeCell ref="A380:G380"/>
    <mergeCell ref="H380:M380"/>
    <mergeCell ref="N380:O380"/>
    <mergeCell ref="R380:S380"/>
    <mergeCell ref="A377:G377"/>
    <mergeCell ref="H377:M377"/>
    <mergeCell ref="N377:O377"/>
    <mergeCell ref="R377:S377"/>
    <mergeCell ref="A378:G378"/>
    <mergeCell ref="H378:M378"/>
    <mergeCell ref="N378:O378"/>
    <mergeCell ref="R378:S378"/>
    <mergeCell ref="A387:G387"/>
    <mergeCell ref="H387:M387"/>
    <mergeCell ref="N387:O387"/>
    <mergeCell ref="R387:S387"/>
    <mergeCell ref="A388:G388"/>
    <mergeCell ref="H388:M388"/>
    <mergeCell ref="N388:O388"/>
    <mergeCell ref="R388:S388"/>
    <mergeCell ref="A385:G385"/>
    <mergeCell ref="H385:M385"/>
    <mergeCell ref="N385:O385"/>
    <mergeCell ref="R385:S385"/>
    <mergeCell ref="A386:G386"/>
    <mergeCell ref="H386:M386"/>
    <mergeCell ref="N386:O386"/>
    <mergeCell ref="R386:S386"/>
    <mergeCell ref="A383:G383"/>
    <mergeCell ref="H383:M383"/>
    <mergeCell ref="N383:O383"/>
    <mergeCell ref="R383:S383"/>
    <mergeCell ref="A384:G384"/>
    <mergeCell ref="H384:M384"/>
    <mergeCell ref="N384:O384"/>
    <mergeCell ref="R384:S384"/>
    <mergeCell ref="A393:G393"/>
    <mergeCell ref="H393:M393"/>
    <mergeCell ref="N393:O393"/>
    <mergeCell ref="R393:S393"/>
    <mergeCell ref="A394:G394"/>
    <mergeCell ref="H394:M394"/>
    <mergeCell ref="N394:O394"/>
    <mergeCell ref="R394:S394"/>
    <mergeCell ref="A391:G391"/>
    <mergeCell ref="H391:M391"/>
    <mergeCell ref="N391:O391"/>
    <mergeCell ref="R391:S391"/>
    <mergeCell ref="A392:G392"/>
    <mergeCell ref="H392:M392"/>
    <mergeCell ref="N392:O392"/>
    <mergeCell ref="R392:S392"/>
    <mergeCell ref="A389:G389"/>
    <mergeCell ref="H389:M389"/>
    <mergeCell ref="N389:O389"/>
    <mergeCell ref="R389:S389"/>
    <mergeCell ref="A390:G390"/>
    <mergeCell ref="H390:M390"/>
    <mergeCell ref="N390:O390"/>
    <mergeCell ref="R390:S390"/>
    <mergeCell ref="A399:G399"/>
    <mergeCell ref="H399:M399"/>
    <mergeCell ref="N399:O399"/>
    <mergeCell ref="R399:S399"/>
    <mergeCell ref="A400:G400"/>
    <mergeCell ref="H400:M400"/>
    <mergeCell ref="N400:O400"/>
    <mergeCell ref="R400:S400"/>
    <mergeCell ref="A397:G397"/>
    <mergeCell ref="H397:M397"/>
    <mergeCell ref="N397:O397"/>
    <mergeCell ref="R397:S397"/>
    <mergeCell ref="A398:G398"/>
    <mergeCell ref="H398:M398"/>
    <mergeCell ref="N398:O398"/>
    <mergeCell ref="R398:S398"/>
    <mergeCell ref="A395:G395"/>
    <mergeCell ref="H395:M395"/>
    <mergeCell ref="N395:O395"/>
    <mergeCell ref="R395:S395"/>
    <mergeCell ref="A396:G396"/>
    <mergeCell ref="H396:M396"/>
    <mergeCell ref="N396:O396"/>
    <mergeCell ref="R396:S396"/>
    <mergeCell ref="A405:G405"/>
    <mergeCell ref="H405:M405"/>
    <mergeCell ref="N405:O405"/>
    <mergeCell ref="R405:S405"/>
    <mergeCell ref="A406:G406"/>
    <mergeCell ref="H406:M406"/>
    <mergeCell ref="N406:O406"/>
    <mergeCell ref="R406:S406"/>
    <mergeCell ref="A403:G403"/>
    <mergeCell ref="H403:M403"/>
    <mergeCell ref="N403:O403"/>
    <mergeCell ref="R403:S403"/>
    <mergeCell ref="A404:G404"/>
    <mergeCell ref="H404:M404"/>
    <mergeCell ref="N404:O404"/>
    <mergeCell ref="R404:S404"/>
    <mergeCell ref="A401:G401"/>
    <mergeCell ref="H401:M401"/>
    <mergeCell ref="N401:O401"/>
    <mergeCell ref="R401:S401"/>
    <mergeCell ref="A402:G402"/>
    <mergeCell ref="H402:M402"/>
    <mergeCell ref="N402:O402"/>
    <mergeCell ref="R402:S402"/>
    <mergeCell ref="A411:G411"/>
    <mergeCell ref="H411:M411"/>
    <mergeCell ref="N411:O411"/>
    <mergeCell ref="R411:S411"/>
    <mergeCell ref="A412:G412"/>
    <mergeCell ref="H412:M412"/>
    <mergeCell ref="N412:O412"/>
    <mergeCell ref="R412:S412"/>
    <mergeCell ref="A409:G409"/>
    <mergeCell ref="H409:M409"/>
    <mergeCell ref="N409:O409"/>
    <mergeCell ref="R409:S409"/>
    <mergeCell ref="A410:G410"/>
    <mergeCell ref="H410:M410"/>
    <mergeCell ref="N410:O410"/>
    <mergeCell ref="R410:S410"/>
    <mergeCell ref="A407:G407"/>
    <mergeCell ref="H407:M407"/>
    <mergeCell ref="N407:O407"/>
    <mergeCell ref="R407:S407"/>
    <mergeCell ref="A408:G408"/>
    <mergeCell ref="H408:M408"/>
    <mergeCell ref="N408:O408"/>
    <mergeCell ref="R408:S408"/>
    <mergeCell ref="A417:G417"/>
    <mergeCell ref="H417:M417"/>
    <mergeCell ref="N417:O417"/>
    <mergeCell ref="R417:S417"/>
    <mergeCell ref="A418:G418"/>
    <mergeCell ref="H418:M418"/>
    <mergeCell ref="N418:O418"/>
    <mergeCell ref="R418:S418"/>
    <mergeCell ref="A415:G415"/>
    <mergeCell ref="H415:M415"/>
    <mergeCell ref="N415:O415"/>
    <mergeCell ref="R415:S415"/>
    <mergeCell ref="A416:G416"/>
    <mergeCell ref="H416:M416"/>
    <mergeCell ref="N416:O416"/>
    <mergeCell ref="R416:S416"/>
    <mergeCell ref="A413:G413"/>
    <mergeCell ref="H413:M413"/>
    <mergeCell ref="N413:O413"/>
    <mergeCell ref="R413:S413"/>
    <mergeCell ref="A414:G414"/>
    <mergeCell ref="H414:M414"/>
    <mergeCell ref="N414:O414"/>
    <mergeCell ref="R414:S414"/>
    <mergeCell ref="A423:G423"/>
    <mergeCell ref="H423:M423"/>
    <mergeCell ref="N423:O423"/>
    <mergeCell ref="R423:S423"/>
    <mergeCell ref="A424:G424"/>
    <mergeCell ref="H424:M424"/>
    <mergeCell ref="N424:O424"/>
    <mergeCell ref="R424:S424"/>
    <mergeCell ref="A421:G421"/>
    <mergeCell ref="H421:M421"/>
    <mergeCell ref="N421:O421"/>
    <mergeCell ref="R421:S421"/>
    <mergeCell ref="A422:G422"/>
    <mergeCell ref="H422:M422"/>
    <mergeCell ref="N422:O422"/>
    <mergeCell ref="R422:S422"/>
    <mergeCell ref="A419:G419"/>
    <mergeCell ref="H419:M419"/>
    <mergeCell ref="N419:O419"/>
    <mergeCell ref="R419:S419"/>
    <mergeCell ref="A420:G420"/>
    <mergeCell ref="H420:M420"/>
    <mergeCell ref="N420:O420"/>
    <mergeCell ref="R420:S420"/>
    <mergeCell ref="A429:G429"/>
    <mergeCell ref="H429:M429"/>
    <mergeCell ref="N429:O429"/>
    <mergeCell ref="R429:S429"/>
    <mergeCell ref="A430:G430"/>
    <mergeCell ref="H430:M430"/>
    <mergeCell ref="N430:O430"/>
    <mergeCell ref="R430:S430"/>
    <mergeCell ref="A427:G427"/>
    <mergeCell ref="H427:M427"/>
    <mergeCell ref="N427:O427"/>
    <mergeCell ref="R427:S427"/>
    <mergeCell ref="A428:G428"/>
    <mergeCell ref="H428:M428"/>
    <mergeCell ref="N428:O428"/>
    <mergeCell ref="R428:S428"/>
    <mergeCell ref="A425:G425"/>
    <mergeCell ref="H425:M425"/>
    <mergeCell ref="N425:O425"/>
    <mergeCell ref="R425:S425"/>
    <mergeCell ref="A426:G426"/>
    <mergeCell ref="H426:M426"/>
    <mergeCell ref="N426:O426"/>
    <mergeCell ref="R426:S426"/>
    <mergeCell ref="A435:G435"/>
    <mergeCell ref="H435:M435"/>
    <mergeCell ref="N435:O435"/>
    <mergeCell ref="R435:S435"/>
    <mergeCell ref="A436:G436"/>
    <mergeCell ref="H436:M436"/>
    <mergeCell ref="N436:O436"/>
    <mergeCell ref="R436:S436"/>
    <mergeCell ref="A433:G433"/>
    <mergeCell ref="H433:M433"/>
    <mergeCell ref="N433:O433"/>
    <mergeCell ref="R433:S433"/>
    <mergeCell ref="A434:G434"/>
    <mergeCell ref="H434:M434"/>
    <mergeCell ref="N434:O434"/>
    <mergeCell ref="R434:S434"/>
    <mergeCell ref="A431:G431"/>
    <mergeCell ref="H431:M431"/>
    <mergeCell ref="N431:O431"/>
    <mergeCell ref="R431:S431"/>
    <mergeCell ref="A432:G432"/>
    <mergeCell ref="H432:M432"/>
    <mergeCell ref="N432:O432"/>
    <mergeCell ref="R432:S432"/>
    <mergeCell ref="A441:G441"/>
    <mergeCell ref="H441:M441"/>
    <mergeCell ref="N441:O441"/>
    <mergeCell ref="R441:S441"/>
    <mergeCell ref="A442:G442"/>
    <mergeCell ref="H442:M442"/>
    <mergeCell ref="N442:O442"/>
    <mergeCell ref="R442:S442"/>
    <mergeCell ref="A439:G439"/>
    <mergeCell ref="H439:M439"/>
    <mergeCell ref="N439:O439"/>
    <mergeCell ref="R439:S439"/>
    <mergeCell ref="A440:G440"/>
    <mergeCell ref="H440:M440"/>
    <mergeCell ref="N440:O440"/>
    <mergeCell ref="R440:S440"/>
    <mergeCell ref="A437:G437"/>
    <mergeCell ref="H437:M437"/>
    <mergeCell ref="N437:O437"/>
    <mergeCell ref="R437:S437"/>
    <mergeCell ref="A438:G438"/>
    <mergeCell ref="H438:M438"/>
    <mergeCell ref="N438:O438"/>
    <mergeCell ref="R438:S438"/>
    <mergeCell ref="A447:G447"/>
    <mergeCell ref="H447:M447"/>
    <mergeCell ref="N447:O447"/>
    <mergeCell ref="R447:S447"/>
    <mergeCell ref="A448:G448"/>
    <mergeCell ref="H448:M448"/>
    <mergeCell ref="N448:O448"/>
    <mergeCell ref="R448:S448"/>
    <mergeCell ref="A445:G445"/>
    <mergeCell ref="H445:M445"/>
    <mergeCell ref="N445:O445"/>
    <mergeCell ref="R445:S445"/>
    <mergeCell ref="A446:G446"/>
    <mergeCell ref="H446:M446"/>
    <mergeCell ref="N446:O446"/>
    <mergeCell ref="R446:S446"/>
    <mergeCell ref="A443:G443"/>
    <mergeCell ref="H443:M443"/>
    <mergeCell ref="N443:O443"/>
    <mergeCell ref="R443:S443"/>
    <mergeCell ref="A444:G444"/>
    <mergeCell ref="H444:M444"/>
    <mergeCell ref="N444:O444"/>
    <mergeCell ref="R444:S444"/>
    <mergeCell ref="A453:G453"/>
    <mergeCell ref="H453:M453"/>
    <mergeCell ref="N453:O453"/>
    <mergeCell ref="R453:S453"/>
    <mergeCell ref="A454:G454"/>
    <mergeCell ref="H454:M454"/>
    <mergeCell ref="N454:O454"/>
    <mergeCell ref="R454:S454"/>
    <mergeCell ref="A451:G451"/>
    <mergeCell ref="H451:M451"/>
    <mergeCell ref="N451:O451"/>
    <mergeCell ref="R451:S451"/>
    <mergeCell ref="A452:G452"/>
    <mergeCell ref="H452:M452"/>
    <mergeCell ref="N452:O452"/>
    <mergeCell ref="R452:S452"/>
    <mergeCell ref="A449:G449"/>
    <mergeCell ref="H449:M449"/>
    <mergeCell ref="N449:O449"/>
    <mergeCell ref="R449:S449"/>
    <mergeCell ref="A450:G450"/>
    <mergeCell ref="H450:M450"/>
    <mergeCell ref="N450:O450"/>
    <mergeCell ref="R450:S450"/>
    <mergeCell ref="A459:G459"/>
    <mergeCell ref="H459:M459"/>
    <mergeCell ref="N459:O459"/>
    <mergeCell ref="R459:S459"/>
    <mergeCell ref="A460:G460"/>
    <mergeCell ref="H460:M460"/>
    <mergeCell ref="N460:O460"/>
    <mergeCell ref="R460:S460"/>
    <mergeCell ref="A457:G457"/>
    <mergeCell ref="H457:M457"/>
    <mergeCell ref="N457:O457"/>
    <mergeCell ref="R457:S457"/>
    <mergeCell ref="A458:G458"/>
    <mergeCell ref="H458:M458"/>
    <mergeCell ref="N458:O458"/>
    <mergeCell ref="R458:S458"/>
    <mergeCell ref="A455:G455"/>
    <mergeCell ref="H455:M455"/>
    <mergeCell ref="N455:O455"/>
    <mergeCell ref="R455:S455"/>
    <mergeCell ref="A456:G456"/>
    <mergeCell ref="H456:M456"/>
    <mergeCell ref="N456:O456"/>
    <mergeCell ref="R456:S456"/>
    <mergeCell ref="A465:G465"/>
    <mergeCell ref="H465:M465"/>
    <mergeCell ref="N465:O465"/>
    <mergeCell ref="R465:S465"/>
    <mergeCell ref="A466:G466"/>
    <mergeCell ref="H466:M466"/>
    <mergeCell ref="N466:O466"/>
    <mergeCell ref="R466:S466"/>
    <mergeCell ref="A463:G463"/>
    <mergeCell ref="H463:M463"/>
    <mergeCell ref="N463:O463"/>
    <mergeCell ref="R463:S463"/>
    <mergeCell ref="A464:G464"/>
    <mergeCell ref="H464:M464"/>
    <mergeCell ref="N464:O464"/>
    <mergeCell ref="R464:S464"/>
    <mergeCell ref="A461:G461"/>
    <mergeCell ref="H461:M461"/>
    <mergeCell ref="N461:O461"/>
    <mergeCell ref="R461:S461"/>
    <mergeCell ref="A462:G462"/>
    <mergeCell ref="H462:M462"/>
    <mergeCell ref="N462:O462"/>
    <mergeCell ref="R462:S462"/>
    <mergeCell ref="A471:G471"/>
    <mergeCell ref="H471:M471"/>
    <mergeCell ref="N471:O471"/>
    <mergeCell ref="R471:S471"/>
    <mergeCell ref="A472:G472"/>
    <mergeCell ref="H472:M472"/>
    <mergeCell ref="N472:O472"/>
    <mergeCell ref="R472:S472"/>
    <mergeCell ref="A469:G469"/>
    <mergeCell ref="H469:M469"/>
    <mergeCell ref="N469:O469"/>
    <mergeCell ref="R469:S469"/>
    <mergeCell ref="A470:G470"/>
    <mergeCell ref="H470:M470"/>
    <mergeCell ref="N470:O470"/>
    <mergeCell ref="R470:S470"/>
    <mergeCell ref="A467:G467"/>
    <mergeCell ref="H467:M467"/>
    <mergeCell ref="N467:O467"/>
    <mergeCell ref="R467:S467"/>
    <mergeCell ref="A468:G468"/>
    <mergeCell ref="H468:M468"/>
    <mergeCell ref="N468:O468"/>
    <mergeCell ref="R468:S468"/>
    <mergeCell ref="A477:G477"/>
    <mergeCell ref="H477:M477"/>
    <mergeCell ref="N477:O477"/>
    <mergeCell ref="R477:S477"/>
    <mergeCell ref="A478:G478"/>
    <mergeCell ref="H478:M478"/>
    <mergeCell ref="N478:O478"/>
    <mergeCell ref="R478:S478"/>
    <mergeCell ref="A475:G475"/>
    <mergeCell ref="H475:M475"/>
    <mergeCell ref="N475:O475"/>
    <mergeCell ref="R475:S475"/>
    <mergeCell ref="A476:G476"/>
    <mergeCell ref="H476:M476"/>
    <mergeCell ref="N476:O476"/>
    <mergeCell ref="R476:S476"/>
    <mergeCell ref="A473:G473"/>
    <mergeCell ref="H473:M473"/>
    <mergeCell ref="N473:O473"/>
    <mergeCell ref="R473:S473"/>
    <mergeCell ref="A474:G474"/>
    <mergeCell ref="H474:M474"/>
    <mergeCell ref="N474:O474"/>
    <mergeCell ref="R474:S474"/>
    <mergeCell ref="A483:G483"/>
    <mergeCell ref="H483:M483"/>
    <mergeCell ref="N483:O483"/>
    <mergeCell ref="R483:S483"/>
    <mergeCell ref="A484:G484"/>
    <mergeCell ref="H484:M484"/>
    <mergeCell ref="N484:O484"/>
    <mergeCell ref="R484:S484"/>
    <mergeCell ref="A481:G481"/>
    <mergeCell ref="H481:M481"/>
    <mergeCell ref="N481:O481"/>
    <mergeCell ref="R481:S481"/>
    <mergeCell ref="A482:G482"/>
    <mergeCell ref="H482:M482"/>
    <mergeCell ref="N482:O482"/>
    <mergeCell ref="R482:S482"/>
    <mergeCell ref="A479:G479"/>
    <mergeCell ref="H479:M479"/>
    <mergeCell ref="N479:O479"/>
    <mergeCell ref="R479:S479"/>
    <mergeCell ref="A480:G480"/>
    <mergeCell ref="H480:M480"/>
    <mergeCell ref="N480:O480"/>
    <mergeCell ref="R480:S480"/>
    <mergeCell ref="A489:G489"/>
    <mergeCell ref="H489:M489"/>
    <mergeCell ref="N489:O489"/>
    <mergeCell ref="R489:S489"/>
    <mergeCell ref="A490:G490"/>
    <mergeCell ref="H490:M490"/>
    <mergeCell ref="N490:O490"/>
    <mergeCell ref="R490:S490"/>
    <mergeCell ref="A487:G487"/>
    <mergeCell ref="H487:M487"/>
    <mergeCell ref="N487:O487"/>
    <mergeCell ref="R487:S487"/>
    <mergeCell ref="A488:G488"/>
    <mergeCell ref="H488:M488"/>
    <mergeCell ref="N488:O488"/>
    <mergeCell ref="R488:S488"/>
    <mergeCell ref="A485:G485"/>
    <mergeCell ref="H485:M485"/>
    <mergeCell ref="N485:O485"/>
    <mergeCell ref="R485:S485"/>
    <mergeCell ref="A486:G486"/>
    <mergeCell ref="H486:M486"/>
    <mergeCell ref="N486:O486"/>
    <mergeCell ref="R486:S486"/>
    <mergeCell ref="A495:G495"/>
    <mergeCell ref="H495:M495"/>
    <mergeCell ref="N495:O495"/>
    <mergeCell ref="R495:S495"/>
    <mergeCell ref="A496:G496"/>
    <mergeCell ref="H496:M496"/>
    <mergeCell ref="N496:O496"/>
    <mergeCell ref="R496:S496"/>
    <mergeCell ref="A493:G493"/>
    <mergeCell ref="H493:M493"/>
    <mergeCell ref="N493:O493"/>
    <mergeCell ref="R493:S493"/>
    <mergeCell ref="A494:G494"/>
    <mergeCell ref="H494:M494"/>
    <mergeCell ref="N494:O494"/>
    <mergeCell ref="R494:S494"/>
    <mergeCell ref="A491:G491"/>
    <mergeCell ref="H491:M491"/>
    <mergeCell ref="N491:O491"/>
    <mergeCell ref="R491:S491"/>
    <mergeCell ref="A492:G492"/>
    <mergeCell ref="H492:M492"/>
    <mergeCell ref="N492:O492"/>
    <mergeCell ref="R492:S492"/>
    <mergeCell ref="A501:G501"/>
    <mergeCell ref="H501:M501"/>
    <mergeCell ref="N501:O501"/>
    <mergeCell ref="R501:S501"/>
    <mergeCell ref="A502:G502"/>
    <mergeCell ref="H502:M502"/>
    <mergeCell ref="N502:O502"/>
    <mergeCell ref="R502:S502"/>
    <mergeCell ref="A499:G499"/>
    <mergeCell ref="H499:M499"/>
    <mergeCell ref="N499:O499"/>
    <mergeCell ref="R499:S499"/>
    <mergeCell ref="A500:G500"/>
    <mergeCell ref="H500:M500"/>
    <mergeCell ref="N500:O500"/>
    <mergeCell ref="R500:S500"/>
    <mergeCell ref="A497:G497"/>
    <mergeCell ref="H497:M497"/>
    <mergeCell ref="N497:O497"/>
    <mergeCell ref="R497:S497"/>
    <mergeCell ref="A498:G498"/>
    <mergeCell ref="H498:M498"/>
    <mergeCell ref="N498:O498"/>
    <mergeCell ref="R498:S498"/>
    <mergeCell ref="A507:G507"/>
    <mergeCell ref="H507:M507"/>
    <mergeCell ref="N507:O507"/>
    <mergeCell ref="R507:S507"/>
    <mergeCell ref="A508:G508"/>
    <mergeCell ref="H508:M508"/>
    <mergeCell ref="N508:O508"/>
    <mergeCell ref="R508:S508"/>
    <mergeCell ref="A505:G505"/>
    <mergeCell ref="H505:M505"/>
    <mergeCell ref="N505:O505"/>
    <mergeCell ref="R505:S505"/>
    <mergeCell ref="A506:G506"/>
    <mergeCell ref="H506:M506"/>
    <mergeCell ref="N506:O506"/>
    <mergeCell ref="R506:S506"/>
    <mergeCell ref="A503:G503"/>
    <mergeCell ref="H503:M503"/>
    <mergeCell ref="N503:O503"/>
    <mergeCell ref="R503:S503"/>
    <mergeCell ref="A504:G504"/>
    <mergeCell ref="H504:M504"/>
    <mergeCell ref="N504:O504"/>
    <mergeCell ref="R504:S504"/>
    <mergeCell ref="A513:G513"/>
    <mergeCell ref="H513:M513"/>
    <mergeCell ref="N513:O513"/>
    <mergeCell ref="R513:S513"/>
    <mergeCell ref="A514:G514"/>
    <mergeCell ref="H514:M514"/>
    <mergeCell ref="N514:O514"/>
    <mergeCell ref="R514:S514"/>
    <mergeCell ref="A511:G511"/>
    <mergeCell ref="H511:M511"/>
    <mergeCell ref="N511:O511"/>
    <mergeCell ref="R511:S511"/>
    <mergeCell ref="A512:G512"/>
    <mergeCell ref="H512:M512"/>
    <mergeCell ref="N512:O512"/>
    <mergeCell ref="R512:S512"/>
    <mergeCell ref="A509:G509"/>
    <mergeCell ref="H509:M509"/>
    <mergeCell ref="N509:O509"/>
    <mergeCell ref="R509:S509"/>
    <mergeCell ref="A510:G510"/>
    <mergeCell ref="H510:M510"/>
    <mergeCell ref="N510:O510"/>
    <mergeCell ref="R510:S510"/>
    <mergeCell ref="A519:G519"/>
    <mergeCell ref="H519:M519"/>
    <mergeCell ref="N519:O519"/>
    <mergeCell ref="R519:S519"/>
    <mergeCell ref="A520:G520"/>
    <mergeCell ref="H520:M520"/>
    <mergeCell ref="N520:O520"/>
    <mergeCell ref="R520:S520"/>
    <mergeCell ref="A517:G517"/>
    <mergeCell ref="H517:M517"/>
    <mergeCell ref="N517:O517"/>
    <mergeCell ref="R517:S517"/>
    <mergeCell ref="A518:G518"/>
    <mergeCell ref="H518:M518"/>
    <mergeCell ref="N518:O518"/>
    <mergeCell ref="R518:S518"/>
    <mergeCell ref="A515:G515"/>
    <mergeCell ref="H515:M515"/>
    <mergeCell ref="N515:O515"/>
    <mergeCell ref="R515:S515"/>
    <mergeCell ref="A516:G516"/>
    <mergeCell ref="H516:M516"/>
    <mergeCell ref="N516:O516"/>
    <mergeCell ref="R516:S516"/>
    <mergeCell ref="A525:G525"/>
    <mergeCell ref="H525:M525"/>
    <mergeCell ref="N525:O525"/>
    <mergeCell ref="R525:S525"/>
    <mergeCell ref="A526:G526"/>
    <mergeCell ref="H526:M526"/>
    <mergeCell ref="N526:O526"/>
    <mergeCell ref="R526:S526"/>
    <mergeCell ref="A523:G523"/>
    <mergeCell ref="H523:M523"/>
    <mergeCell ref="N523:O523"/>
    <mergeCell ref="R523:S523"/>
    <mergeCell ref="A524:G524"/>
    <mergeCell ref="H524:M524"/>
    <mergeCell ref="N524:O524"/>
    <mergeCell ref="R524:S524"/>
    <mergeCell ref="A521:G521"/>
    <mergeCell ref="H521:M521"/>
    <mergeCell ref="N521:O521"/>
    <mergeCell ref="R521:S521"/>
    <mergeCell ref="A522:G522"/>
    <mergeCell ref="H522:M522"/>
    <mergeCell ref="N522:O522"/>
    <mergeCell ref="R522:S522"/>
    <mergeCell ref="A531:G531"/>
    <mergeCell ref="H531:M531"/>
    <mergeCell ref="N531:O531"/>
    <mergeCell ref="R531:S531"/>
    <mergeCell ref="A532:G532"/>
    <mergeCell ref="H532:M532"/>
    <mergeCell ref="N532:O532"/>
    <mergeCell ref="R532:S532"/>
    <mergeCell ref="A529:G529"/>
    <mergeCell ref="H529:M529"/>
    <mergeCell ref="N529:O529"/>
    <mergeCell ref="R529:S529"/>
    <mergeCell ref="A530:G530"/>
    <mergeCell ref="H530:M530"/>
    <mergeCell ref="N530:O530"/>
    <mergeCell ref="R530:S530"/>
    <mergeCell ref="A527:G527"/>
    <mergeCell ref="H527:M527"/>
    <mergeCell ref="N527:O527"/>
    <mergeCell ref="R527:S527"/>
    <mergeCell ref="A528:G528"/>
    <mergeCell ref="H528:M528"/>
    <mergeCell ref="N528:O528"/>
    <mergeCell ref="R528:S528"/>
    <mergeCell ref="A537:G537"/>
    <mergeCell ref="H537:M537"/>
    <mergeCell ref="N537:O537"/>
    <mergeCell ref="R537:S537"/>
    <mergeCell ref="A538:G538"/>
    <mergeCell ref="H538:M538"/>
    <mergeCell ref="N538:O538"/>
    <mergeCell ref="R538:S538"/>
    <mergeCell ref="A535:G535"/>
    <mergeCell ref="H535:M535"/>
    <mergeCell ref="N535:O535"/>
    <mergeCell ref="R535:S535"/>
    <mergeCell ref="A536:G536"/>
    <mergeCell ref="H536:M536"/>
    <mergeCell ref="N536:O536"/>
    <mergeCell ref="R536:S536"/>
    <mergeCell ref="A533:G533"/>
    <mergeCell ref="H533:M533"/>
    <mergeCell ref="N533:O533"/>
    <mergeCell ref="R533:S533"/>
    <mergeCell ref="A534:G534"/>
    <mergeCell ref="H534:M534"/>
    <mergeCell ref="N534:O534"/>
    <mergeCell ref="R534:S534"/>
    <mergeCell ref="A543:G543"/>
    <mergeCell ref="H543:M543"/>
    <mergeCell ref="N543:O543"/>
    <mergeCell ref="R543:S543"/>
    <mergeCell ref="A544:G544"/>
    <mergeCell ref="H544:M544"/>
    <mergeCell ref="N544:O544"/>
    <mergeCell ref="R544:S544"/>
    <mergeCell ref="A541:G541"/>
    <mergeCell ref="H541:M541"/>
    <mergeCell ref="N541:O541"/>
    <mergeCell ref="R541:S541"/>
    <mergeCell ref="A542:G542"/>
    <mergeCell ref="H542:M542"/>
    <mergeCell ref="N542:O542"/>
    <mergeCell ref="R542:S542"/>
    <mergeCell ref="A539:G539"/>
    <mergeCell ref="H539:M539"/>
    <mergeCell ref="N539:O539"/>
    <mergeCell ref="R539:S539"/>
    <mergeCell ref="A540:G540"/>
    <mergeCell ref="H540:M540"/>
    <mergeCell ref="N540:O540"/>
    <mergeCell ref="R540:S540"/>
    <mergeCell ref="A549:G549"/>
    <mergeCell ref="H549:M549"/>
    <mergeCell ref="N549:O549"/>
    <mergeCell ref="R549:S549"/>
    <mergeCell ref="A550:G550"/>
    <mergeCell ref="H550:M550"/>
    <mergeCell ref="N550:O550"/>
    <mergeCell ref="R550:S550"/>
    <mergeCell ref="A547:G547"/>
    <mergeCell ref="H547:M547"/>
    <mergeCell ref="N547:O547"/>
    <mergeCell ref="R547:S547"/>
    <mergeCell ref="A548:G548"/>
    <mergeCell ref="H548:M548"/>
    <mergeCell ref="N548:O548"/>
    <mergeCell ref="R548:S548"/>
    <mergeCell ref="A545:G545"/>
    <mergeCell ref="H545:M545"/>
    <mergeCell ref="N545:O545"/>
    <mergeCell ref="R545:S545"/>
    <mergeCell ref="A546:G546"/>
    <mergeCell ref="H546:M546"/>
    <mergeCell ref="N546:O546"/>
    <mergeCell ref="R546:S546"/>
    <mergeCell ref="A555:G555"/>
    <mergeCell ref="H555:M555"/>
    <mergeCell ref="N555:O555"/>
    <mergeCell ref="R555:S555"/>
    <mergeCell ref="A556:G556"/>
    <mergeCell ref="H556:M556"/>
    <mergeCell ref="N556:O556"/>
    <mergeCell ref="R556:S556"/>
    <mergeCell ref="A553:G553"/>
    <mergeCell ref="H553:M553"/>
    <mergeCell ref="N553:O553"/>
    <mergeCell ref="R553:S553"/>
    <mergeCell ref="A554:G554"/>
    <mergeCell ref="H554:M554"/>
    <mergeCell ref="N554:O554"/>
    <mergeCell ref="R554:S554"/>
    <mergeCell ref="A551:G551"/>
    <mergeCell ref="H551:M551"/>
    <mergeCell ref="N551:O551"/>
    <mergeCell ref="R551:S551"/>
    <mergeCell ref="A552:G552"/>
    <mergeCell ref="H552:M552"/>
    <mergeCell ref="N552:O552"/>
    <mergeCell ref="R552:S552"/>
    <mergeCell ref="A561:G561"/>
    <mergeCell ref="H561:M561"/>
    <mergeCell ref="N561:O561"/>
    <mergeCell ref="R561:S561"/>
    <mergeCell ref="A562:G562"/>
    <mergeCell ref="H562:M562"/>
    <mergeCell ref="N562:O562"/>
    <mergeCell ref="R562:S562"/>
    <mergeCell ref="A559:G559"/>
    <mergeCell ref="H559:M559"/>
    <mergeCell ref="N559:O559"/>
    <mergeCell ref="R559:S559"/>
    <mergeCell ref="A560:G560"/>
    <mergeCell ref="H560:M560"/>
    <mergeCell ref="N560:O560"/>
    <mergeCell ref="R560:S560"/>
    <mergeCell ref="A557:G557"/>
    <mergeCell ref="H557:M557"/>
    <mergeCell ref="N557:O557"/>
    <mergeCell ref="R557:S557"/>
    <mergeCell ref="A558:G558"/>
    <mergeCell ref="H558:M558"/>
    <mergeCell ref="N558:O558"/>
    <mergeCell ref="R558:S558"/>
    <mergeCell ref="A567:G567"/>
    <mergeCell ref="H567:M567"/>
    <mergeCell ref="N567:O567"/>
    <mergeCell ref="R567:S567"/>
    <mergeCell ref="A568:G568"/>
    <mergeCell ref="H568:M568"/>
    <mergeCell ref="N568:O568"/>
    <mergeCell ref="R568:S568"/>
    <mergeCell ref="A565:G565"/>
    <mergeCell ref="H565:M565"/>
    <mergeCell ref="N565:O565"/>
    <mergeCell ref="R565:S565"/>
    <mergeCell ref="A566:G566"/>
    <mergeCell ref="H566:M566"/>
    <mergeCell ref="N566:O566"/>
    <mergeCell ref="R566:S566"/>
    <mergeCell ref="A563:G563"/>
    <mergeCell ref="H563:M563"/>
    <mergeCell ref="N563:O563"/>
    <mergeCell ref="R563:S563"/>
    <mergeCell ref="A564:G564"/>
    <mergeCell ref="H564:M564"/>
    <mergeCell ref="N564:O564"/>
    <mergeCell ref="R564:S564"/>
    <mergeCell ref="A573:G573"/>
    <mergeCell ref="H573:M573"/>
    <mergeCell ref="N573:O573"/>
    <mergeCell ref="R573:S573"/>
    <mergeCell ref="A574:G574"/>
    <mergeCell ref="H574:M574"/>
    <mergeCell ref="N574:O574"/>
    <mergeCell ref="R574:S574"/>
    <mergeCell ref="A571:G571"/>
    <mergeCell ref="H571:M571"/>
    <mergeCell ref="N571:O571"/>
    <mergeCell ref="R571:S571"/>
    <mergeCell ref="A572:G572"/>
    <mergeCell ref="H572:M572"/>
    <mergeCell ref="N572:O572"/>
    <mergeCell ref="R572:S572"/>
    <mergeCell ref="A569:G569"/>
    <mergeCell ref="H569:M569"/>
    <mergeCell ref="N569:O569"/>
    <mergeCell ref="R569:S569"/>
    <mergeCell ref="A570:G570"/>
    <mergeCell ref="H570:M570"/>
    <mergeCell ref="N570:O570"/>
    <mergeCell ref="R570:S570"/>
    <mergeCell ref="A579:G579"/>
    <mergeCell ref="H579:M579"/>
    <mergeCell ref="N579:O579"/>
    <mergeCell ref="R579:S579"/>
    <mergeCell ref="A580:G580"/>
    <mergeCell ref="H580:M580"/>
    <mergeCell ref="N580:O580"/>
    <mergeCell ref="R580:S580"/>
    <mergeCell ref="A577:G577"/>
    <mergeCell ref="H577:M577"/>
    <mergeCell ref="N577:O577"/>
    <mergeCell ref="R577:S577"/>
    <mergeCell ref="A578:G578"/>
    <mergeCell ref="H578:M578"/>
    <mergeCell ref="N578:O578"/>
    <mergeCell ref="R578:S578"/>
    <mergeCell ref="A575:G575"/>
    <mergeCell ref="H575:M575"/>
    <mergeCell ref="N575:O575"/>
    <mergeCell ref="R575:S575"/>
    <mergeCell ref="A576:G576"/>
    <mergeCell ref="H576:M576"/>
    <mergeCell ref="N576:O576"/>
    <mergeCell ref="R576:S576"/>
    <mergeCell ref="A585:G585"/>
    <mergeCell ref="H585:M585"/>
    <mergeCell ref="N585:O585"/>
    <mergeCell ref="R585:S585"/>
    <mergeCell ref="A586:G586"/>
    <mergeCell ref="H586:M586"/>
    <mergeCell ref="N586:O586"/>
    <mergeCell ref="R586:S586"/>
    <mergeCell ref="A583:G583"/>
    <mergeCell ref="H583:M583"/>
    <mergeCell ref="N583:O583"/>
    <mergeCell ref="R583:S583"/>
    <mergeCell ref="A584:G584"/>
    <mergeCell ref="H584:M584"/>
    <mergeCell ref="N584:O584"/>
    <mergeCell ref="R584:S584"/>
    <mergeCell ref="A581:G581"/>
    <mergeCell ref="H581:M581"/>
    <mergeCell ref="N581:O581"/>
    <mergeCell ref="R581:S581"/>
    <mergeCell ref="A582:G582"/>
    <mergeCell ref="H582:M582"/>
    <mergeCell ref="N582:O582"/>
    <mergeCell ref="R582:S582"/>
    <mergeCell ref="A591:G591"/>
    <mergeCell ref="H591:M591"/>
    <mergeCell ref="N591:O591"/>
    <mergeCell ref="R591:S591"/>
    <mergeCell ref="A592:G592"/>
    <mergeCell ref="H592:M592"/>
    <mergeCell ref="N592:O592"/>
    <mergeCell ref="R592:S592"/>
    <mergeCell ref="A589:G589"/>
    <mergeCell ref="H589:M589"/>
    <mergeCell ref="N589:O589"/>
    <mergeCell ref="R589:S589"/>
    <mergeCell ref="A590:G590"/>
    <mergeCell ref="H590:M590"/>
    <mergeCell ref="N590:O590"/>
    <mergeCell ref="R590:S590"/>
    <mergeCell ref="A587:G587"/>
    <mergeCell ref="H587:M587"/>
    <mergeCell ref="N587:O587"/>
    <mergeCell ref="R587:S587"/>
    <mergeCell ref="A588:G588"/>
    <mergeCell ref="H588:M588"/>
    <mergeCell ref="N588:O588"/>
    <mergeCell ref="R588:S588"/>
    <mergeCell ref="A597:G597"/>
    <mergeCell ref="H597:M597"/>
    <mergeCell ref="N597:O597"/>
    <mergeCell ref="R597:S597"/>
    <mergeCell ref="A598:G598"/>
    <mergeCell ref="H598:M598"/>
    <mergeCell ref="N598:O598"/>
    <mergeCell ref="R598:S598"/>
    <mergeCell ref="A595:G595"/>
    <mergeCell ref="H595:M595"/>
    <mergeCell ref="N595:O595"/>
    <mergeCell ref="R595:S595"/>
    <mergeCell ref="A596:G596"/>
    <mergeCell ref="H596:M596"/>
    <mergeCell ref="N596:O596"/>
    <mergeCell ref="R596:S596"/>
    <mergeCell ref="A593:G593"/>
    <mergeCell ref="H593:M593"/>
    <mergeCell ref="N593:O593"/>
    <mergeCell ref="R593:S593"/>
    <mergeCell ref="A594:G594"/>
    <mergeCell ref="H594:M594"/>
    <mergeCell ref="N594:O594"/>
    <mergeCell ref="R594:S594"/>
    <mergeCell ref="A603:G603"/>
    <mergeCell ref="H603:M603"/>
    <mergeCell ref="N603:O603"/>
    <mergeCell ref="R603:S603"/>
    <mergeCell ref="A604:G604"/>
    <mergeCell ref="H604:M604"/>
    <mergeCell ref="N604:O604"/>
    <mergeCell ref="R604:S604"/>
    <mergeCell ref="A601:G601"/>
    <mergeCell ref="H601:M601"/>
    <mergeCell ref="N601:O601"/>
    <mergeCell ref="R601:S601"/>
    <mergeCell ref="A602:G602"/>
    <mergeCell ref="H602:M602"/>
    <mergeCell ref="N602:O602"/>
    <mergeCell ref="R602:S602"/>
    <mergeCell ref="A599:G599"/>
    <mergeCell ref="H599:M599"/>
    <mergeCell ref="N599:O599"/>
    <mergeCell ref="R599:S599"/>
    <mergeCell ref="A600:G600"/>
    <mergeCell ref="H600:M600"/>
    <mergeCell ref="N600:O600"/>
    <mergeCell ref="R600:S600"/>
    <mergeCell ref="A609:G609"/>
    <mergeCell ref="H609:M609"/>
    <mergeCell ref="N609:O609"/>
    <mergeCell ref="R609:S609"/>
    <mergeCell ref="A610:G610"/>
    <mergeCell ref="H610:M610"/>
    <mergeCell ref="N610:O610"/>
    <mergeCell ref="R610:S610"/>
    <mergeCell ref="A607:G607"/>
    <mergeCell ref="H607:M607"/>
    <mergeCell ref="N607:O607"/>
    <mergeCell ref="R607:S607"/>
    <mergeCell ref="A608:G608"/>
    <mergeCell ref="H608:M608"/>
    <mergeCell ref="N608:O608"/>
    <mergeCell ref="R608:S608"/>
    <mergeCell ref="A605:G605"/>
    <mergeCell ref="H605:M605"/>
    <mergeCell ref="N605:O605"/>
    <mergeCell ref="R605:S605"/>
    <mergeCell ref="A606:G606"/>
    <mergeCell ref="H606:M606"/>
    <mergeCell ref="N606:O606"/>
    <mergeCell ref="R606:S606"/>
    <mergeCell ref="A615:G615"/>
    <mergeCell ref="H615:M615"/>
    <mergeCell ref="N615:O615"/>
    <mergeCell ref="R615:S615"/>
    <mergeCell ref="A616:G616"/>
    <mergeCell ref="H616:M616"/>
    <mergeCell ref="N616:O616"/>
    <mergeCell ref="R616:S616"/>
    <mergeCell ref="A613:G613"/>
    <mergeCell ref="H613:M613"/>
    <mergeCell ref="N613:O613"/>
    <mergeCell ref="R613:S613"/>
    <mergeCell ref="A614:G614"/>
    <mergeCell ref="H614:M614"/>
    <mergeCell ref="N614:O614"/>
    <mergeCell ref="R614:S614"/>
    <mergeCell ref="A611:G611"/>
    <mergeCell ref="H611:M611"/>
    <mergeCell ref="N611:O611"/>
    <mergeCell ref="R611:S611"/>
    <mergeCell ref="A612:G612"/>
    <mergeCell ref="H612:M612"/>
    <mergeCell ref="N612:O612"/>
    <mergeCell ref="R612:S612"/>
    <mergeCell ref="A621:G621"/>
    <mergeCell ref="H621:M621"/>
    <mergeCell ref="N621:O621"/>
    <mergeCell ref="R621:S621"/>
    <mergeCell ref="A622:G622"/>
    <mergeCell ref="H622:M622"/>
    <mergeCell ref="N622:O622"/>
    <mergeCell ref="R622:S622"/>
    <mergeCell ref="A619:G619"/>
    <mergeCell ref="H619:M619"/>
    <mergeCell ref="N619:O619"/>
    <mergeCell ref="R619:S619"/>
    <mergeCell ref="A620:G620"/>
    <mergeCell ref="H620:M620"/>
    <mergeCell ref="N620:O620"/>
    <mergeCell ref="R620:S620"/>
    <mergeCell ref="A617:G617"/>
    <mergeCell ref="H617:M617"/>
    <mergeCell ref="N617:O617"/>
    <mergeCell ref="R617:S617"/>
    <mergeCell ref="A618:G618"/>
    <mergeCell ref="H618:M618"/>
    <mergeCell ref="N618:O618"/>
    <mergeCell ref="R618:S618"/>
    <mergeCell ref="A627:G627"/>
    <mergeCell ref="H627:M627"/>
    <mergeCell ref="N627:O627"/>
    <mergeCell ref="R627:S627"/>
    <mergeCell ref="A628:G628"/>
    <mergeCell ref="H628:M628"/>
    <mergeCell ref="N628:O628"/>
    <mergeCell ref="R628:S628"/>
    <mergeCell ref="A625:G625"/>
    <mergeCell ref="H625:M625"/>
    <mergeCell ref="N625:O625"/>
    <mergeCell ref="R625:S625"/>
    <mergeCell ref="A626:G626"/>
    <mergeCell ref="H626:M626"/>
    <mergeCell ref="N626:O626"/>
    <mergeCell ref="R626:S626"/>
    <mergeCell ref="A623:G623"/>
    <mergeCell ref="H623:M623"/>
    <mergeCell ref="N623:O623"/>
    <mergeCell ref="R623:S623"/>
    <mergeCell ref="A624:G624"/>
    <mergeCell ref="H624:M624"/>
    <mergeCell ref="N624:O624"/>
    <mergeCell ref="R624:S624"/>
    <mergeCell ref="A633:G633"/>
    <mergeCell ref="H633:M633"/>
    <mergeCell ref="N633:O633"/>
    <mergeCell ref="R633:S633"/>
    <mergeCell ref="A634:G634"/>
    <mergeCell ref="H634:M634"/>
    <mergeCell ref="N634:O634"/>
    <mergeCell ref="R634:S634"/>
    <mergeCell ref="A631:G631"/>
    <mergeCell ref="H631:M631"/>
    <mergeCell ref="N631:O631"/>
    <mergeCell ref="R631:S631"/>
    <mergeCell ref="A632:G632"/>
    <mergeCell ref="H632:M632"/>
    <mergeCell ref="N632:O632"/>
    <mergeCell ref="R632:S632"/>
    <mergeCell ref="A629:G629"/>
    <mergeCell ref="H629:M629"/>
    <mergeCell ref="N629:O629"/>
    <mergeCell ref="R629:S629"/>
    <mergeCell ref="A630:G630"/>
    <mergeCell ref="H630:M630"/>
    <mergeCell ref="N630:O630"/>
    <mergeCell ref="R630:S630"/>
    <mergeCell ref="A639:G639"/>
    <mergeCell ref="H639:M639"/>
    <mergeCell ref="N639:O639"/>
    <mergeCell ref="R639:S639"/>
    <mergeCell ref="A640:G640"/>
    <mergeCell ref="H640:M640"/>
    <mergeCell ref="N640:O640"/>
    <mergeCell ref="R640:S640"/>
    <mergeCell ref="A637:G637"/>
    <mergeCell ref="H637:M637"/>
    <mergeCell ref="N637:O637"/>
    <mergeCell ref="R637:S637"/>
    <mergeCell ref="A638:G638"/>
    <mergeCell ref="H638:M638"/>
    <mergeCell ref="N638:O638"/>
    <mergeCell ref="R638:S638"/>
    <mergeCell ref="A635:G635"/>
    <mergeCell ref="H635:M635"/>
    <mergeCell ref="N635:O635"/>
    <mergeCell ref="R635:S635"/>
    <mergeCell ref="A636:G636"/>
    <mergeCell ref="H636:M636"/>
    <mergeCell ref="N636:O636"/>
    <mergeCell ref="R636:S636"/>
    <mergeCell ref="A645:G645"/>
    <mergeCell ref="H645:M645"/>
    <mergeCell ref="N645:O645"/>
    <mergeCell ref="R645:S645"/>
    <mergeCell ref="A646:G646"/>
    <mergeCell ref="H646:M646"/>
    <mergeCell ref="N646:O646"/>
    <mergeCell ref="R646:S646"/>
    <mergeCell ref="A643:G643"/>
    <mergeCell ref="H643:M643"/>
    <mergeCell ref="N643:O643"/>
    <mergeCell ref="R643:S643"/>
    <mergeCell ref="A644:G644"/>
    <mergeCell ref="H644:M644"/>
    <mergeCell ref="N644:O644"/>
    <mergeCell ref="R644:S644"/>
    <mergeCell ref="A641:G641"/>
    <mergeCell ref="H641:M641"/>
    <mergeCell ref="N641:O641"/>
    <mergeCell ref="R641:S641"/>
    <mergeCell ref="A642:G642"/>
    <mergeCell ref="H642:M642"/>
    <mergeCell ref="N642:O642"/>
    <mergeCell ref="R642:S642"/>
    <mergeCell ref="A651:G651"/>
    <mergeCell ref="H651:M651"/>
    <mergeCell ref="N651:O651"/>
    <mergeCell ref="R651:S651"/>
    <mergeCell ref="A652:G652"/>
    <mergeCell ref="H652:M652"/>
    <mergeCell ref="N652:O652"/>
    <mergeCell ref="R652:S652"/>
    <mergeCell ref="A649:G649"/>
    <mergeCell ref="H649:M649"/>
    <mergeCell ref="N649:O649"/>
    <mergeCell ref="R649:S649"/>
    <mergeCell ref="A650:G650"/>
    <mergeCell ref="H650:M650"/>
    <mergeCell ref="N650:O650"/>
    <mergeCell ref="R650:S650"/>
    <mergeCell ref="A647:G647"/>
    <mergeCell ref="H647:M647"/>
    <mergeCell ref="N647:O647"/>
    <mergeCell ref="R647:S647"/>
    <mergeCell ref="A648:G648"/>
    <mergeCell ref="H648:M648"/>
    <mergeCell ref="N648:O648"/>
    <mergeCell ref="R648:S648"/>
    <mergeCell ref="A657:G657"/>
    <mergeCell ref="H657:M657"/>
    <mergeCell ref="N657:O657"/>
    <mergeCell ref="R657:S657"/>
    <mergeCell ref="A658:G658"/>
    <mergeCell ref="H658:M658"/>
    <mergeCell ref="N658:O658"/>
    <mergeCell ref="R658:S658"/>
    <mergeCell ref="A655:G655"/>
    <mergeCell ref="H655:M655"/>
    <mergeCell ref="N655:O655"/>
    <mergeCell ref="R655:S655"/>
    <mergeCell ref="A656:G656"/>
    <mergeCell ref="H656:M656"/>
    <mergeCell ref="N656:O656"/>
    <mergeCell ref="R656:S656"/>
    <mergeCell ref="A653:G653"/>
    <mergeCell ref="H653:M653"/>
    <mergeCell ref="N653:O653"/>
    <mergeCell ref="R653:S653"/>
    <mergeCell ref="A654:G654"/>
    <mergeCell ref="H654:M654"/>
    <mergeCell ref="N654:O654"/>
    <mergeCell ref="R654:S654"/>
    <mergeCell ref="A663:G663"/>
    <mergeCell ref="H663:M663"/>
    <mergeCell ref="N663:O663"/>
    <mergeCell ref="R663:S663"/>
    <mergeCell ref="A664:G664"/>
    <mergeCell ref="H664:M664"/>
    <mergeCell ref="N664:O664"/>
    <mergeCell ref="R664:S664"/>
    <mergeCell ref="A661:G661"/>
    <mergeCell ref="H661:M661"/>
    <mergeCell ref="N661:O661"/>
    <mergeCell ref="R661:S661"/>
    <mergeCell ref="A662:G662"/>
    <mergeCell ref="H662:M662"/>
    <mergeCell ref="N662:O662"/>
    <mergeCell ref="R662:S662"/>
    <mergeCell ref="A659:G659"/>
    <mergeCell ref="H659:M659"/>
    <mergeCell ref="N659:O659"/>
    <mergeCell ref="R659:S659"/>
    <mergeCell ref="A660:G660"/>
    <mergeCell ref="H660:M660"/>
    <mergeCell ref="N660:O660"/>
    <mergeCell ref="R660:S660"/>
    <mergeCell ref="A669:G669"/>
    <mergeCell ref="H669:M669"/>
    <mergeCell ref="N669:O669"/>
    <mergeCell ref="R669:S669"/>
    <mergeCell ref="A670:G670"/>
    <mergeCell ref="H670:M670"/>
    <mergeCell ref="N670:O670"/>
    <mergeCell ref="R670:S670"/>
    <mergeCell ref="A667:G667"/>
    <mergeCell ref="H667:M667"/>
    <mergeCell ref="N667:O667"/>
    <mergeCell ref="R667:S667"/>
    <mergeCell ref="A668:G668"/>
    <mergeCell ref="H668:M668"/>
    <mergeCell ref="N668:O668"/>
    <mergeCell ref="R668:S668"/>
    <mergeCell ref="A665:G665"/>
    <mergeCell ref="H665:M665"/>
    <mergeCell ref="N665:O665"/>
    <mergeCell ref="R665:S665"/>
    <mergeCell ref="A666:G666"/>
    <mergeCell ref="H666:M666"/>
    <mergeCell ref="N666:O666"/>
    <mergeCell ref="R666:S666"/>
    <mergeCell ref="A675:G675"/>
    <mergeCell ref="H675:M675"/>
    <mergeCell ref="N675:O675"/>
    <mergeCell ref="R675:S675"/>
    <mergeCell ref="A676:G676"/>
    <mergeCell ref="H676:M676"/>
    <mergeCell ref="N676:O676"/>
    <mergeCell ref="R676:S676"/>
    <mergeCell ref="A673:G673"/>
    <mergeCell ref="H673:M673"/>
    <mergeCell ref="N673:O673"/>
    <mergeCell ref="R673:S673"/>
    <mergeCell ref="A674:G674"/>
    <mergeCell ref="H674:M674"/>
    <mergeCell ref="N674:O674"/>
    <mergeCell ref="R674:S674"/>
    <mergeCell ref="A671:G671"/>
    <mergeCell ref="H671:M671"/>
    <mergeCell ref="N671:O671"/>
    <mergeCell ref="R671:S671"/>
    <mergeCell ref="A672:G672"/>
    <mergeCell ref="H672:M672"/>
    <mergeCell ref="N672:O672"/>
    <mergeCell ref="R672:S672"/>
    <mergeCell ref="A681:G681"/>
    <mergeCell ref="H681:M681"/>
    <mergeCell ref="N681:O681"/>
    <mergeCell ref="R681:S681"/>
    <mergeCell ref="A682:G682"/>
    <mergeCell ref="H682:M682"/>
    <mergeCell ref="N682:O682"/>
    <mergeCell ref="R682:S682"/>
    <mergeCell ref="A679:G679"/>
    <mergeCell ref="H679:M679"/>
    <mergeCell ref="N679:O679"/>
    <mergeCell ref="R679:S679"/>
    <mergeCell ref="A680:G680"/>
    <mergeCell ref="H680:M680"/>
    <mergeCell ref="N680:O680"/>
    <mergeCell ref="R680:S680"/>
    <mergeCell ref="A677:G677"/>
    <mergeCell ref="H677:M677"/>
    <mergeCell ref="N677:O677"/>
    <mergeCell ref="R677:S677"/>
    <mergeCell ref="A678:G678"/>
    <mergeCell ref="H678:M678"/>
    <mergeCell ref="N678:O678"/>
    <mergeCell ref="R678:S678"/>
    <mergeCell ref="A687:G687"/>
    <mergeCell ref="H687:M687"/>
    <mergeCell ref="N687:O687"/>
    <mergeCell ref="R687:S687"/>
    <mergeCell ref="A688:G688"/>
    <mergeCell ref="H688:M688"/>
    <mergeCell ref="N688:O688"/>
    <mergeCell ref="R688:S688"/>
    <mergeCell ref="A685:G685"/>
    <mergeCell ref="H685:M685"/>
    <mergeCell ref="N685:O685"/>
    <mergeCell ref="R685:S685"/>
    <mergeCell ref="A686:G686"/>
    <mergeCell ref="H686:M686"/>
    <mergeCell ref="N686:O686"/>
    <mergeCell ref="R686:S686"/>
    <mergeCell ref="A683:G683"/>
    <mergeCell ref="H683:M683"/>
    <mergeCell ref="N683:O683"/>
    <mergeCell ref="R683:S683"/>
    <mergeCell ref="A684:G684"/>
    <mergeCell ref="H684:M684"/>
    <mergeCell ref="N684:O684"/>
    <mergeCell ref="R684:S684"/>
    <mergeCell ref="A693:G693"/>
    <mergeCell ref="H693:M693"/>
    <mergeCell ref="N693:O693"/>
    <mergeCell ref="R693:S693"/>
    <mergeCell ref="A694:G694"/>
    <mergeCell ref="H694:M694"/>
    <mergeCell ref="N694:O694"/>
    <mergeCell ref="R694:S694"/>
    <mergeCell ref="A691:G691"/>
    <mergeCell ref="H691:M691"/>
    <mergeCell ref="N691:O691"/>
    <mergeCell ref="R691:S691"/>
    <mergeCell ref="A692:G692"/>
    <mergeCell ref="H692:M692"/>
    <mergeCell ref="N692:O692"/>
    <mergeCell ref="R692:S692"/>
    <mergeCell ref="A689:G689"/>
    <mergeCell ref="H689:M689"/>
    <mergeCell ref="N689:O689"/>
    <mergeCell ref="R689:S689"/>
    <mergeCell ref="A690:G690"/>
    <mergeCell ref="H690:M690"/>
    <mergeCell ref="N690:O690"/>
    <mergeCell ref="R690:S690"/>
    <mergeCell ref="A699:G699"/>
    <mergeCell ref="H699:M699"/>
    <mergeCell ref="N699:O699"/>
    <mergeCell ref="R699:S699"/>
    <mergeCell ref="A700:G700"/>
    <mergeCell ref="H700:M700"/>
    <mergeCell ref="N700:O700"/>
    <mergeCell ref="R700:S700"/>
    <mergeCell ref="A697:G697"/>
    <mergeCell ref="H697:M697"/>
    <mergeCell ref="N697:O697"/>
    <mergeCell ref="R697:S697"/>
    <mergeCell ref="A698:G698"/>
    <mergeCell ref="H698:M698"/>
    <mergeCell ref="N698:O698"/>
    <mergeCell ref="R698:S698"/>
    <mergeCell ref="A695:G695"/>
    <mergeCell ref="H695:M695"/>
    <mergeCell ref="N695:O695"/>
    <mergeCell ref="R695:S695"/>
    <mergeCell ref="A696:G696"/>
    <mergeCell ref="H696:M696"/>
    <mergeCell ref="N696:O696"/>
    <mergeCell ref="R696:S696"/>
    <mergeCell ref="A705:G705"/>
    <mergeCell ref="H705:M705"/>
    <mergeCell ref="N705:O705"/>
    <mergeCell ref="R705:S705"/>
    <mergeCell ref="A706:G706"/>
    <mergeCell ref="H706:M706"/>
    <mergeCell ref="N706:O706"/>
    <mergeCell ref="R706:S706"/>
    <mergeCell ref="A703:G703"/>
    <mergeCell ref="H703:M703"/>
    <mergeCell ref="N703:O703"/>
    <mergeCell ref="R703:S703"/>
    <mergeCell ref="A704:G704"/>
    <mergeCell ref="H704:M704"/>
    <mergeCell ref="N704:O704"/>
    <mergeCell ref="R704:S704"/>
    <mergeCell ref="A701:G701"/>
    <mergeCell ref="H701:M701"/>
    <mergeCell ref="N701:O701"/>
    <mergeCell ref="R701:S701"/>
    <mergeCell ref="A702:G702"/>
    <mergeCell ref="H702:M702"/>
    <mergeCell ref="N702:O702"/>
    <mergeCell ref="R702:S702"/>
    <mergeCell ref="A711:G711"/>
    <mergeCell ref="H711:M711"/>
    <mergeCell ref="N711:O711"/>
    <mergeCell ref="R711:S711"/>
    <mergeCell ref="A712:G712"/>
    <mergeCell ref="H712:M712"/>
    <mergeCell ref="N712:O712"/>
    <mergeCell ref="R712:S712"/>
    <mergeCell ref="A709:G709"/>
    <mergeCell ref="H709:M709"/>
    <mergeCell ref="N709:O709"/>
    <mergeCell ref="R709:S709"/>
    <mergeCell ref="A710:G710"/>
    <mergeCell ref="H710:M710"/>
    <mergeCell ref="N710:O710"/>
    <mergeCell ref="R710:S710"/>
    <mergeCell ref="A707:G707"/>
    <mergeCell ref="H707:M707"/>
    <mergeCell ref="N707:O707"/>
    <mergeCell ref="R707:S707"/>
    <mergeCell ref="A708:G708"/>
    <mergeCell ref="H708:M708"/>
    <mergeCell ref="N708:O708"/>
    <mergeCell ref="R708:S708"/>
    <mergeCell ref="A717:G717"/>
    <mergeCell ref="H717:M717"/>
    <mergeCell ref="N717:O717"/>
    <mergeCell ref="R717:S717"/>
    <mergeCell ref="A718:G718"/>
    <mergeCell ref="H718:M718"/>
    <mergeCell ref="N718:O718"/>
    <mergeCell ref="R718:S718"/>
    <mergeCell ref="A715:G715"/>
    <mergeCell ref="H715:M715"/>
    <mergeCell ref="N715:O715"/>
    <mergeCell ref="R715:S715"/>
    <mergeCell ref="A716:G716"/>
    <mergeCell ref="H716:M716"/>
    <mergeCell ref="N716:O716"/>
    <mergeCell ref="R716:S716"/>
    <mergeCell ref="A713:G713"/>
    <mergeCell ref="H713:M713"/>
    <mergeCell ref="N713:O713"/>
    <mergeCell ref="R713:S713"/>
    <mergeCell ref="A714:G714"/>
    <mergeCell ref="H714:M714"/>
    <mergeCell ref="N714:O714"/>
    <mergeCell ref="R714:S714"/>
    <mergeCell ref="A723:G723"/>
    <mergeCell ref="H723:M723"/>
    <mergeCell ref="N723:O723"/>
    <mergeCell ref="R723:S723"/>
    <mergeCell ref="A724:G724"/>
    <mergeCell ref="H724:M724"/>
    <mergeCell ref="N724:O724"/>
    <mergeCell ref="R724:S724"/>
    <mergeCell ref="A721:G721"/>
    <mergeCell ref="H721:M721"/>
    <mergeCell ref="N721:O721"/>
    <mergeCell ref="R721:S721"/>
    <mergeCell ref="A722:G722"/>
    <mergeCell ref="H722:M722"/>
    <mergeCell ref="N722:O722"/>
    <mergeCell ref="R722:S722"/>
    <mergeCell ref="A719:G719"/>
    <mergeCell ref="H719:M719"/>
    <mergeCell ref="N719:O719"/>
    <mergeCell ref="R719:S719"/>
    <mergeCell ref="A720:G720"/>
    <mergeCell ref="H720:M720"/>
    <mergeCell ref="N720:O720"/>
    <mergeCell ref="R720:S720"/>
    <mergeCell ref="A729:G729"/>
    <mergeCell ref="H729:M729"/>
    <mergeCell ref="N729:O729"/>
    <mergeCell ref="R729:S729"/>
    <mergeCell ref="A730:G730"/>
    <mergeCell ref="H730:M730"/>
    <mergeCell ref="N730:O730"/>
    <mergeCell ref="R730:S730"/>
    <mergeCell ref="A727:G727"/>
    <mergeCell ref="H727:M727"/>
    <mergeCell ref="N727:O727"/>
    <mergeCell ref="R727:S727"/>
    <mergeCell ref="A728:G728"/>
    <mergeCell ref="H728:M728"/>
    <mergeCell ref="N728:O728"/>
    <mergeCell ref="R728:S728"/>
    <mergeCell ref="A725:G725"/>
    <mergeCell ref="H725:M725"/>
    <mergeCell ref="N725:O725"/>
    <mergeCell ref="R725:S725"/>
    <mergeCell ref="A726:G726"/>
    <mergeCell ref="H726:M726"/>
    <mergeCell ref="N726:O726"/>
    <mergeCell ref="R726:S726"/>
    <mergeCell ref="A735:G735"/>
    <mergeCell ref="H735:M735"/>
    <mergeCell ref="N735:O735"/>
    <mergeCell ref="R735:S735"/>
    <mergeCell ref="A736:G736"/>
    <mergeCell ref="H736:M736"/>
    <mergeCell ref="N736:O736"/>
    <mergeCell ref="R736:S736"/>
    <mergeCell ref="A733:G733"/>
    <mergeCell ref="H733:M733"/>
    <mergeCell ref="N733:O733"/>
    <mergeCell ref="R733:S733"/>
    <mergeCell ref="A734:G734"/>
    <mergeCell ref="H734:M734"/>
    <mergeCell ref="N734:O734"/>
    <mergeCell ref="R734:S734"/>
    <mergeCell ref="A731:G731"/>
    <mergeCell ref="H731:M731"/>
    <mergeCell ref="N731:O731"/>
    <mergeCell ref="R731:S731"/>
    <mergeCell ref="A732:G732"/>
    <mergeCell ref="H732:M732"/>
    <mergeCell ref="N732:O732"/>
    <mergeCell ref="R732:S732"/>
    <mergeCell ref="A741:G741"/>
    <mergeCell ref="H741:M741"/>
    <mergeCell ref="N741:O741"/>
    <mergeCell ref="R741:S741"/>
    <mergeCell ref="A742:G742"/>
    <mergeCell ref="H742:M742"/>
    <mergeCell ref="N742:O742"/>
    <mergeCell ref="R742:S742"/>
    <mergeCell ref="A739:G739"/>
    <mergeCell ref="H739:M739"/>
    <mergeCell ref="N739:O739"/>
    <mergeCell ref="R739:S739"/>
    <mergeCell ref="A740:G740"/>
    <mergeCell ref="H740:M740"/>
    <mergeCell ref="N740:O740"/>
    <mergeCell ref="R740:S740"/>
    <mergeCell ref="A737:G737"/>
    <mergeCell ref="H737:M737"/>
    <mergeCell ref="N737:O737"/>
    <mergeCell ref="R737:S737"/>
    <mergeCell ref="A738:G738"/>
    <mergeCell ref="H738:M738"/>
    <mergeCell ref="N738:O738"/>
    <mergeCell ref="R738:S738"/>
    <mergeCell ref="A747:G747"/>
    <mergeCell ref="H747:M747"/>
    <mergeCell ref="N747:O747"/>
    <mergeCell ref="R747:S747"/>
    <mergeCell ref="A748:G748"/>
    <mergeCell ref="H748:M748"/>
    <mergeCell ref="N748:O748"/>
    <mergeCell ref="R748:S748"/>
    <mergeCell ref="A745:G745"/>
    <mergeCell ref="H745:M745"/>
    <mergeCell ref="N745:O745"/>
    <mergeCell ref="R745:S745"/>
    <mergeCell ref="A746:G746"/>
    <mergeCell ref="H746:M746"/>
    <mergeCell ref="N746:O746"/>
    <mergeCell ref="R746:S746"/>
    <mergeCell ref="A743:G743"/>
    <mergeCell ref="H743:M743"/>
    <mergeCell ref="N743:O743"/>
    <mergeCell ref="R743:S743"/>
    <mergeCell ref="A744:G744"/>
    <mergeCell ref="H744:M744"/>
    <mergeCell ref="N744:O744"/>
    <mergeCell ref="R744:S744"/>
    <mergeCell ref="A753:G753"/>
    <mergeCell ref="H753:M753"/>
    <mergeCell ref="N753:O753"/>
    <mergeCell ref="R753:S753"/>
    <mergeCell ref="A754:G754"/>
    <mergeCell ref="H754:M754"/>
    <mergeCell ref="N754:O754"/>
    <mergeCell ref="R754:S754"/>
    <mergeCell ref="A751:G751"/>
    <mergeCell ref="H751:M751"/>
    <mergeCell ref="N751:O751"/>
    <mergeCell ref="R751:S751"/>
    <mergeCell ref="A752:G752"/>
    <mergeCell ref="H752:M752"/>
    <mergeCell ref="N752:O752"/>
    <mergeCell ref="R752:S752"/>
    <mergeCell ref="A749:G749"/>
    <mergeCell ref="H749:M749"/>
    <mergeCell ref="N749:O749"/>
    <mergeCell ref="R749:S749"/>
    <mergeCell ref="A750:G750"/>
    <mergeCell ref="H750:M750"/>
    <mergeCell ref="N750:O750"/>
    <mergeCell ref="R750:S750"/>
    <mergeCell ref="A759:G759"/>
    <mergeCell ref="H759:M759"/>
    <mergeCell ref="N759:O759"/>
    <mergeCell ref="R759:S759"/>
    <mergeCell ref="A760:G760"/>
    <mergeCell ref="H760:M760"/>
    <mergeCell ref="N760:O760"/>
    <mergeCell ref="R760:S760"/>
    <mergeCell ref="A757:G757"/>
    <mergeCell ref="H757:M757"/>
    <mergeCell ref="N757:O757"/>
    <mergeCell ref="R757:S757"/>
    <mergeCell ref="A758:G758"/>
    <mergeCell ref="H758:M758"/>
    <mergeCell ref="N758:O758"/>
    <mergeCell ref="R758:S758"/>
    <mergeCell ref="A755:G755"/>
    <mergeCell ref="H755:M755"/>
    <mergeCell ref="N755:O755"/>
    <mergeCell ref="R755:S755"/>
    <mergeCell ref="A756:G756"/>
    <mergeCell ref="H756:M756"/>
    <mergeCell ref="N756:O756"/>
    <mergeCell ref="R756:S756"/>
    <mergeCell ref="A765:G765"/>
    <mergeCell ref="H765:M765"/>
    <mergeCell ref="N765:O765"/>
    <mergeCell ref="R765:S765"/>
    <mergeCell ref="A766:G766"/>
    <mergeCell ref="H766:M766"/>
    <mergeCell ref="N766:O766"/>
    <mergeCell ref="R766:S766"/>
    <mergeCell ref="A763:G763"/>
    <mergeCell ref="H763:M763"/>
    <mergeCell ref="N763:O763"/>
    <mergeCell ref="R763:S763"/>
    <mergeCell ref="A764:G764"/>
    <mergeCell ref="H764:M764"/>
    <mergeCell ref="N764:O764"/>
    <mergeCell ref="R764:S764"/>
    <mergeCell ref="A761:G761"/>
    <mergeCell ref="H761:M761"/>
    <mergeCell ref="N761:O761"/>
    <mergeCell ref="R761:S761"/>
    <mergeCell ref="A762:G762"/>
    <mergeCell ref="H762:M762"/>
    <mergeCell ref="N762:O762"/>
    <mergeCell ref="R762:S762"/>
    <mergeCell ref="A771:G771"/>
    <mergeCell ref="H771:M771"/>
    <mergeCell ref="N771:O771"/>
    <mergeCell ref="R771:S771"/>
    <mergeCell ref="A772:G772"/>
    <mergeCell ref="H772:M772"/>
    <mergeCell ref="N772:O772"/>
    <mergeCell ref="R772:S772"/>
    <mergeCell ref="A769:G769"/>
    <mergeCell ref="H769:M769"/>
    <mergeCell ref="N769:O769"/>
    <mergeCell ref="R769:S769"/>
    <mergeCell ref="A770:G770"/>
    <mergeCell ref="H770:M770"/>
    <mergeCell ref="N770:O770"/>
    <mergeCell ref="R770:S770"/>
    <mergeCell ref="A767:G767"/>
    <mergeCell ref="H767:M767"/>
    <mergeCell ref="N767:O767"/>
    <mergeCell ref="R767:S767"/>
    <mergeCell ref="A768:G768"/>
    <mergeCell ref="H768:M768"/>
    <mergeCell ref="N768:O768"/>
    <mergeCell ref="R768:S768"/>
    <mergeCell ref="A777:G777"/>
    <mergeCell ref="H777:M777"/>
    <mergeCell ref="N777:O777"/>
    <mergeCell ref="R777:S777"/>
    <mergeCell ref="A778:G778"/>
    <mergeCell ref="H778:M778"/>
    <mergeCell ref="N778:O778"/>
    <mergeCell ref="R778:S778"/>
    <mergeCell ref="A775:G775"/>
    <mergeCell ref="H775:M775"/>
    <mergeCell ref="N775:O775"/>
    <mergeCell ref="R775:S775"/>
    <mergeCell ref="A776:G776"/>
    <mergeCell ref="H776:M776"/>
    <mergeCell ref="N776:O776"/>
    <mergeCell ref="R776:S776"/>
    <mergeCell ref="A773:G773"/>
    <mergeCell ref="H773:M773"/>
    <mergeCell ref="N773:O773"/>
    <mergeCell ref="R773:S773"/>
    <mergeCell ref="A774:G774"/>
    <mergeCell ref="H774:M774"/>
    <mergeCell ref="N774:O774"/>
    <mergeCell ref="R774:S774"/>
    <mergeCell ref="A783:G783"/>
    <mergeCell ref="H783:M783"/>
    <mergeCell ref="N783:O783"/>
    <mergeCell ref="R783:S783"/>
    <mergeCell ref="A784:G784"/>
    <mergeCell ref="H784:M784"/>
    <mergeCell ref="N784:O784"/>
    <mergeCell ref="R784:S784"/>
    <mergeCell ref="A781:G781"/>
    <mergeCell ref="H781:M781"/>
    <mergeCell ref="N781:O781"/>
    <mergeCell ref="R781:S781"/>
    <mergeCell ref="A782:G782"/>
    <mergeCell ref="H782:M782"/>
    <mergeCell ref="N782:O782"/>
    <mergeCell ref="R782:S782"/>
    <mergeCell ref="A779:G779"/>
    <mergeCell ref="H779:M779"/>
    <mergeCell ref="N779:O779"/>
    <mergeCell ref="R779:S779"/>
    <mergeCell ref="A780:G780"/>
    <mergeCell ref="H780:M780"/>
    <mergeCell ref="N780:O780"/>
    <mergeCell ref="R780:S780"/>
    <mergeCell ref="A789:G789"/>
    <mergeCell ref="H789:M789"/>
    <mergeCell ref="N789:O789"/>
    <mergeCell ref="R789:S789"/>
    <mergeCell ref="A790:G790"/>
    <mergeCell ref="H790:M790"/>
    <mergeCell ref="N790:O790"/>
    <mergeCell ref="R790:S790"/>
    <mergeCell ref="A787:G787"/>
    <mergeCell ref="H787:M787"/>
    <mergeCell ref="N787:O787"/>
    <mergeCell ref="R787:S787"/>
    <mergeCell ref="A788:G788"/>
    <mergeCell ref="H788:M788"/>
    <mergeCell ref="N788:O788"/>
    <mergeCell ref="R788:S788"/>
    <mergeCell ref="A785:G785"/>
    <mergeCell ref="H785:M785"/>
    <mergeCell ref="N785:O785"/>
    <mergeCell ref="R785:S785"/>
    <mergeCell ref="A786:G786"/>
    <mergeCell ref="H786:M786"/>
    <mergeCell ref="N786:O786"/>
    <mergeCell ref="R786:S786"/>
    <mergeCell ref="A795:G795"/>
    <mergeCell ref="H795:M795"/>
    <mergeCell ref="N795:O795"/>
    <mergeCell ref="R795:S795"/>
    <mergeCell ref="A796:G796"/>
    <mergeCell ref="H796:M796"/>
    <mergeCell ref="N796:O796"/>
    <mergeCell ref="R796:S796"/>
    <mergeCell ref="A793:G793"/>
    <mergeCell ref="H793:M793"/>
    <mergeCell ref="N793:O793"/>
    <mergeCell ref="R793:S793"/>
    <mergeCell ref="A794:G794"/>
    <mergeCell ref="H794:M794"/>
    <mergeCell ref="N794:O794"/>
    <mergeCell ref="R794:S794"/>
    <mergeCell ref="A791:G791"/>
    <mergeCell ref="H791:M791"/>
    <mergeCell ref="N791:O791"/>
    <mergeCell ref="R791:S791"/>
    <mergeCell ref="A792:G792"/>
    <mergeCell ref="H792:M792"/>
    <mergeCell ref="N792:O792"/>
    <mergeCell ref="R792:S792"/>
    <mergeCell ref="A801:G801"/>
    <mergeCell ref="H801:M801"/>
    <mergeCell ref="N801:O801"/>
    <mergeCell ref="R801:S801"/>
    <mergeCell ref="A802:G802"/>
    <mergeCell ref="H802:M802"/>
    <mergeCell ref="N802:O802"/>
    <mergeCell ref="R802:S802"/>
    <mergeCell ref="A799:G799"/>
    <mergeCell ref="H799:M799"/>
    <mergeCell ref="N799:O799"/>
    <mergeCell ref="R799:S799"/>
    <mergeCell ref="A800:G800"/>
    <mergeCell ref="H800:M800"/>
    <mergeCell ref="N800:O800"/>
    <mergeCell ref="R800:S800"/>
    <mergeCell ref="A797:G797"/>
    <mergeCell ref="H797:M797"/>
    <mergeCell ref="N797:O797"/>
    <mergeCell ref="R797:S797"/>
    <mergeCell ref="A798:G798"/>
    <mergeCell ref="H798:M798"/>
    <mergeCell ref="N798:O798"/>
    <mergeCell ref="R798:S798"/>
    <mergeCell ref="A807:G807"/>
    <mergeCell ref="H807:M807"/>
    <mergeCell ref="N807:O807"/>
    <mergeCell ref="R807:S807"/>
    <mergeCell ref="A808:G808"/>
    <mergeCell ref="H808:M808"/>
    <mergeCell ref="N808:O808"/>
    <mergeCell ref="R808:S808"/>
    <mergeCell ref="A805:G805"/>
    <mergeCell ref="H805:M805"/>
    <mergeCell ref="N805:O805"/>
    <mergeCell ref="R805:S805"/>
    <mergeCell ref="A806:G806"/>
    <mergeCell ref="H806:M806"/>
    <mergeCell ref="N806:O806"/>
    <mergeCell ref="R806:S806"/>
    <mergeCell ref="A803:G803"/>
    <mergeCell ref="H803:M803"/>
    <mergeCell ref="N803:O803"/>
    <mergeCell ref="R803:S803"/>
    <mergeCell ref="A804:G804"/>
    <mergeCell ref="H804:M804"/>
    <mergeCell ref="N804:O804"/>
    <mergeCell ref="R804:S804"/>
    <mergeCell ref="A813:G813"/>
    <mergeCell ref="H813:M813"/>
    <mergeCell ref="N813:O813"/>
    <mergeCell ref="R813:S813"/>
    <mergeCell ref="A814:G814"/>
    <mergeCell ref="H814:M814"/>
    <mergeCell ref="N814:O814"/>
    <mergeCell ref="R814:S814"/>
    <mergeCell ref="A811:G811"/>
    <mergeCell ref="H811:M811"/>
    <mergeCell ref="N811:O811"/>
    <mergeCell ref="R811:S811"/>
    <mergeCell ref="A812:G812"/>
    <mergeCell ref="H812:M812"/>
    <mergeCell ref="N812:O812"/>
    <mergeCell ref="R812:S812"/>
    <mergeCell ref="A809:G809"/>
    <mergeCell ref="H809:M809"/>
    <mergeCell ref="N809:O809"/>
    <mergeCell ref="R809:S809"/>
    <mergeCell ref="A810:G810"/>
    <mergeCell ref="H810:M810"/>
    <mergeCell ref="N810:O810"/>
    <mergeCell ref="R810:S810"/>
    <mergeCell ref="A819:G819"/>
    <mergeCell ref="H819:M819"/>
    <mergeCell ref="N819:O819"/>
    <mergeCell ref="R819:S819"/>
    <mergeCell ref="A820:G820"/>
    <mergeCell ref="H820:M820"/>
    <mergeCell ref="N820:O820"/>
    <mergeCell ref="R820:S820"/>
    <mergeCell ref="A817:G817"/>
    <mergeCell ref="H817:M817"/>
    <mergeCell ref="N817:O817"/>
    <mergeCell ref="R817:S817"/>
    <mergeCell ref="A818:G818"/>
    <mergeCell ref="H818:M818"/>
    <mergeCell ref="N818:O818"/>
    <mergeCell ref="R818:S818"/>
    <mergeCell ref="A815:G815"/>
    <mergeCell ref="H815:M815"/>
    <mergeCell ref="N815:O815"/>
    <mergeCell ref="R815:S815"/>
    <mergeCell ref="A816:G816"/>
    <mergeCell ref="H816:M816"/>
    <mergeCell ref="N816:O816"/>
    <mergeCell ref="R816:S816"/>
    <mergeCell ref="A825:G825"/>
    <mergeCell ref="H825:M825"/>
    <mergeCell ref="N825:O825"/>
    <mergeCell ref="R825:S825"/>
    <mergeCell ref="A826:G826"/>
    <mergeCell ref="H826:M826"/>
    <mergeCell ref="N826:O826"/>
    <mergeCell ref="R826:S826"/>
    <mergeCell ref="A823:G823"/>
    <mergeCell ref="H823:M823"/>
    <mergeCell ref="N823:O823"/>
    <mergeCell ref="R823:S823"/>
    <mergeCell ref="A824:G824"/>
    <mergeCell ref="H824:M824"/>
    <mergeCell ref="N824:O824"/>
    <mergeCell ref="R824:S824"/>
    <mergeCell ref="A821:G821"/>
    <mergeCell ref="H821:M821"/>
    <mergeCell ref="N821:O821"/>
    <mergeCell ref="R821:S821"/>
    <mergeCell ref="A822:G822"/>
    <mergeCell ref="H822:M822"/>
    <mergeCell ref="N822:O822"/>
    <mergeCell ref="R822:S822"/>
    <mergeCell ref="A831:G831"/>
    <mergeCell ref="H831:M831"/>
    <mergeCell ref="N831:O831"/>
    <mergeCell ref="R831:S831"/>
    <mergeCell ref="A832:G832"/>
    <mergeCell ref="H832:M832"/>
    <mergeCell ref="N832:O832"/>
    <mergeCell ref="R832:S832"/>
    <mergeCell ref="A829:G829"/>
    <mergeCell ref="H829:M829"/>
    <mergeCell ref="N829:O829"/>
    <mergeCell ref="R829:S829"/>
    <mergeCell ref="A830:G830"/>
    <mergeCell ref="H830:M830"/>
    <mergeCell ref="N830:O830"/>
    <mergeCell ref="R830:S830"/>
    <mergeCell ref="A827:G827"/>
    <mergeCell ref="H827:M827"/>
    <mergeCell ref="N827:O827"/>
    <mergeCell ref="R827:S827"/>
    <mergeCell ref="A828:G828"/>
    <mergeCell ref="H828:M828"/>
    <mergeCell ref="N828:O828"/>
    <mergeCell ref="R828:S828"/>
    <mergeCell ref="A837:G837"/>
    <mergeCell ref="H837:M837"/>
    <mergeCell ref="N837:O837"/>
    <mergeCell ref="R837:S837"/>
    <mergeCell ref="A838:G838"/>
    <mergeCell ref="H838:M838"/>
    <mergeCell ref="N838:O838"/>
    <mergeCell ref="R838:S838"/>
    <mergeCell ref="A835:G835"/>
    <mergeCell ref="H835:M835"/>
    <mergeCell ref="N835:O835"/>
    <mergeCell ref="R835:S835"/>
    <mergeCell ref="A836:G836"/>
    <mergeCell ref="H836:M836"/>
    <mergeCell ref="N836:O836"/>
    <mergeCell ref="R836:S836"/>
    <mergeCell ref="A833:G833"/>
    <mergeCell ref="H833:M833"/>
    <mergeCell ref="N833:O833"/>
    <mergeCell ref="R833:S833"/>
    <mergeCell ref="A834:G834"/>
    <mergeCell ref="H834:M834"/>
    <mergeCell ref="N834:O834"/>
    <mergeCell ref="R834:S834"/>
    <mergeCell ref="A843:G843"/>
    <mergeCell ref="H843:M843"/>
    <mergeCell ref="N843:O843"/>
    <mergeCell ref="R843:S843"/>
    <mergeCell ref="A844:G844"/>
    <mergeCell ref="H844:M844"/>
    <mergeCell ref="N844:O844"/>
    <mergeCell ref="R844:S844"/>
    <mergeCell ref="A841:G841"/>
    <mergeCell ref="H841:M841"/>
    <mergeCell ref="N841:O841"/>
    <mergeCell ref="R841:S841"/>
    <mergeCell ref="A842:G842"/>
    <mergeCell ref="H842:M842"/>
    <mergeCell ref="N842:O842"/>
    <mergeCell ref="R842:S842"/>
    <mergeCell ref="A839:G839"/>
    <mergeCell ref="H839:M839"/>
    <mergeCell ref="N839:O839"/>
    <mergeCell ref="R839:S839"/>
    <mergeCell ref="A840:G840"/>
    <mergeCell ref="H840:M840"/>
    <mergeCell ref="N840:O840"/>
    <mergeCell ref="R840:S840"/>
    <mergeCell ref="A849:G849"/>
    <mergeCell ref="H849:M849"/>
    <mergeCell ref="N849:O849"/>
    <mergeCell ref="R849:S849"/>
    <mergeCell ref="A850:G850"/>
    <mergeCell ref="H850:M850"/>
    <mergeCell ref="N850:O850"/>
    <mergeCell ref="R850:S850"/>
    <mergeCell ref="A847:G847"/>
    <mergeCell ref="H847:M847"/>
    <mergeCell ref="N847:O847"/>
    <mergeCell ref="R847:S847"/>
    <mergeCell ref="A848:G848"/>
    <mergeCell ref="H848:M848"/>
    <mergeCell ref="N848:O848"/>
    <mergeCell ref="R848:S848"/>
    <mergeCell ref="A845:G845"/>
    <mergeCell ref="H845:M845"/>
    <mergeCell ref="N845:O845"/>
    <mergeCell ref="R845:S845"/>
    <mergeCell ref="A846:G846"/>
    <mergeCell ref="H846:M846"/>
    <mergeCell ref="N846:O846"/>
    <mergeCell ref="R846:S846"/>
    <mergeCell ref="A855:G855"/>
    <mergeCell ref="H855:M855"/>
    <mergeCell ref="N855:O855"/>
    <mergeCell ref="R855:S855"/>
    <mergeCell ref="A856:G856"/>
    <mergeCell ref="H856:M856"/>
    <mergeCell ref="N856:O856"/>
    <mergeCell ref="R856:S856"/>
    <mergeCell ref="A853:G853"/>
    <mergeCell ref="H853:M853"/>
    <mergeCell ref="N853:O853"/>
    <mergeCell ref="R853:S853"/>
    <mergeCell ref="A854:G854"/>
    <mergeCell ref="H854:M854"/>
    <mergeCell ref="N854:O854"/>
    <mergeCell ref="R854:S854"/>
    <mergeCell ref="A851:G851"/>
    <mergeCell ref="H851:M851"/>
    <mergeCell ref="N851:O851"/>
    <mergeCell ref="R851:S851"/>
    <mergeCell ref="A852:G852"/>
    <mergeCell ref="H852:M852"/>
    <mergeCell ref="N852:O852"/>
    <mergeCell ref="R852:S852"/>
    <mergeCell ref="A861:G861"/>
    <mergeCell ref="H861:M861"/>
    <mergeCell ref="N861:O861"/>
    <mergeCell ref="R861:S861"/>
    <mergeCell ref="A862:G862"/>
    <mergeCell ref="H862:M862"/>
    <mergeCell ref="N862:O862"/>
    <mergeCell ref="R862:S862"/>
    <mergeCell ref="A859:G859"/>
    <mergeCell ref="H859:M859"/>
    <mergeCell ref="N859:O859"/>
    <mergeCell ref="R859:S859"/>
    <mergeCell ref="A860:G860"/>
    <mergeCell ref="H860:M860"/>
    <mergeCell ref="N860:O860"/>
    <mergeCell ref="R860:S860"/>
    <mergeCell ref="A857:G857"/>
    <mergeCell ref="H857:M857"/>
    <mergeCell ref="N857:O857"/>
    <mergeCell ref="R857:S857"/>
    <mergeCell ref="A858:G858"/>
    <mergeCell ref="H858:M858"/>
    <mergeCell ref="N858:O858"/>
    <mergeCell ref="R858:S858"/>
    <mergeCell ref="A867:G867"/>
    <mergeCell ref="H867:M867"/>
    <mergeCell ref="N867:O867"/>
    <mergeCell ref="R867:S867"/>
    <mergeCell ref="A868:G868"/>
    <mergeCell ref="H868:M868"/>
    <mergeCell ref="N868:O868"/>
    <mergeCell ref="R868:S868"/>
    <mergeCell ref="A865:G865"/>
    <mergeCell ref="H865:M865"/>
    <mergeCell ref="N865:O865"/>
    <mergeCell ref="R865:S865"/>
    <mergeCell ref="A866:G866"/>
    <mergeCell ref="H866:M866"/>
    <mergeCell ref="N866:O866"/>
    <mergeCell ref="R866:S866"/>
    <mergeCell ref="A863:G863"/>
    <mergeCell ref="H863:M863"/>
    <mergeCell ref="N863:O863"/>
    <mergeCell ref="R863:S863"/>
    <mergeCell ref="A864:G864"/>
    <mergeCell ref="H864:M864"/>
    <mergeCell ref="N864:O864"/>
    <mergeCell ref="R864:S864"/>
    <mergeCell ref="A873:G873"/>
    <mergeCell ref="H873:M873"/>
    <mergeCell ref="N873:O873"/>
    <mergeCell ref="R873:S873"/>
    <mergeCell ref="A874:G874"/>
    <mergeCell ref="H874:M874"/>
    <mergeCell ref="N874:O874"/>
    <mergeCell ref="R874:S874"/>
    <mergeCell ref="A871:G871"/>
    <mergeCell ref="H871:M871"/>
    <mergeCell ref="N871:O871"/>
    <mergeCell ref="R871:S871"/>
    <mergeCell ref="A872:G872"/>
    <mergeCell ref="H872:M872"/>
    <mergeCell ref="N872:O872"/>
    <mergeCell ref="R872:S872"/>
    <mergeCell ref="A869:G869"/>
    <mergeCell ref="H869:M869"/>
    <mergeCell ref="N869:O869"/>
    <mergeCell ref="R869:S869"/>
    <mergeCell ref="A870:G870"/>
    <mergeCell ref="H870:M870"/>
    <mergeCell ref="N870:O870"/>
    <mergeCell ref="R870:S870"/>
    <mergeCell ref="A879:G879"/>
    <mergeCell ref="H879:M879"/>
    <mergeCell ref="N879:O879"/>
    <mergeCell ref="R879:S879"/>
    <mergeCell ref="A880:G880"/>
    <mergeCell ref="H880:M880"/>
    <mergeCell ref="N880:O880"/>
    <mergeCell ref="R880:S880"/>
    <mergeCell ref="A877:G877"/>
    <mergeCell ref="H877:M877"/>
    <mergeCell ref="N877:O877"/>
    <mergeCell ref="R877:S877"/>
    <mergeCell ref="A878:G878"/>
    <mergeCell ref="H878:M878"/>
    <mergeCell ref="N878:O878"/>
    <mergeCell ref="R878:S878"/>
    <mergeCell ref="A875:G875"/>
    <mergeCell ref="H875:M875"/>
    <mergeCell ref="N875:O875"/>
    <mergeCell ref="R875:S875"/>
    <mergeCell ref="A876:G876"/>
    <mergeCell ref="H876:M876"/>
    <mergeCell ref="N876:O876"/>
    <mergeCell ref="R876:S876"/>
    <mergeCell ref="A885:G885"/>
    <mergeCell ref="H885:M885"/>
    <mergeCell ref="N885:O885"/>
    <mergeCell ref="R885:S885"/>
    <mergeCell ref="A886:G886"/>
    <mergeCell ref="H886:M886"/>
    <mergeCell ref="N886:O886"/>
    <mergeCell ref="R886:S886"/>
    <mergeCell ref="A883:G883"/>
    <mergeCell ref="H883:M883"/>
    <mergeCell ref="N883:O883"/>
    <mergeCell ref="R883:S883"/>
    <mergeCell ref="A884:G884"/>
    <mergeCell ref="H884:M884"/>
    <mergeCell ref="N884:O884"/>
    <mergeCell ref="R884:S884"/>
    <mergeCell ref="A881:G881"/>
    <mergeCell ref="H881:M881"/>
    <mergeCell ref="N881:O881"/>
    <mergeCell ref="R881:S881"/>
    <mergeCell ref="A882:G882"/>
    <mergeCell ref="H882:M882"/>
    <mergeCell ref="N882:O882"/>
    <mergeCell ref="R882:S882"/>
    <mergeCell ref="A891:G891"/>
    <mergeCell ref="H891:M891"/>
    <mergeCell ref="N891:O891"/>
    <mergeCell ref="R891:S891"/>
    <mergeCell ref="A892:G892"/>
    <mergeCell ref="H892:M892"/>
    <mergeCell ref="N892:O892"/>
    <mergeCell ref="R892:S892"/>
    <mergeCell ref="A889:G889"/>
    <mergeCell ref="H889:M889"/>
    <mergeCell ref="N889:O889"/>
    <mergeCell ref="R889:S889"/>
    <mergeCell ref="A890:G890"/>
    <mergeCell ref="H890:M890"/>
    <mergeCell ref="N890:O890"/>
    <mergeCell ref="R890:S890"/>
    <mergeCell ref="A887:G887"/>
    <mergeCell ref="H887:M887"/>
    <mergeCell ref="N887:O887"/>
    <mergeCell ref="R887:S887"/>
    <mergeCell ref="A888:G888"/>
    <mergeCell ref="H888:M888"/>
    <mergeCell ref="N888:O888"/>
    <mergeCell ref="R888:S888"/>
    <mergeCell ref="A897:G897"/>
    <mergeCell ref="H897:M897"/>
    <mergeCell ref="N897:O897"/>
    <mergeCell ref="R897:S897"/>
    <mergeCell ref="A898:G898"/>
    <mergeCell ref="H898:M898"/>
    <mergeCell ref="N898:O898"/>
    <mergeCell ref="R898:S898"/>
    <mergeCell ref="A895:G895"/>
    <mergeCell ref="H895:M895"/>
    <mergeCell ref="N895:O895"/>
    <mergeCell ref="R895:S895"/>
    <mergeCell ref="A896:G896"/>
    <mergeCell ref="H896:M896"/>
    <mergeCell ref="N896:O896"/>
    <mergeCell ref="R896:S896"/>
    <mergeCell ref="A893:G893"/>
    <mergeCell ref="H893:M893"/>
    <mergeCell ref="N893:O893"/>
    <mergeCell ref="R893:S893"/>
    <mergeCell ref="A894:G894"/>
    <mergeCell ref="H894:M894"/>
    <mergeCell ref="N894:O894"/>
    <mergeCell ref="R894:S894"/>
    <mergeCell ref="A903:G903"/>
    <mergeCell ref="H903:M903"/>
    <mergeCell ref="N903:O903"/>
    <mergeCell ref="R903:S903"/>
    <mergeCell ref="A904:G904"/>
    <mergeCell ref="H904:M904"/>
    <mergeCell ref="N904:O904"/>
    <mergeCell ref="R904:S904"/>
    <mergeCell ref="A901:G901"/>
    <mergeCell ref="H901:M901"/>
    <mergeCell ref="N901:O901"/>
    <mergeCell ref="R901:S901"/>
    <mergeCell ref="A902:G902"/>
    <mergeCell ref="H902:M902"/>
    <mergeCell ref="N902:O902"/>
    <mergeCell ref="R902:S902"/>
    <mergeCell ref="A899:G899"/>
    <mergeCell ref="H899:M899"/>
    <mergeCell ref="N899:O899"/>
    <mergeCell ref="R899:S899"/>
    <mergeCell ref="A900:G900"/>
    <mergeCell ref="H900:M900"/>
    <mergeCell ref="N900:O900"/>
    <mergeCell ref="R900:S900"/>
    <mergeCell ref="A909:G909"/>
    <mergeCell ref="H909:M909"/>
    <mergeCell ref="N909:O909"/>
    <mergeCell ref="R909:S909"/>
    <mergeCell ref="A910:G910"/>
    <mergeCell ref="H910:M910"/>
    <mergeCell ref="N910:O910"/>
    <mergeCell ref="R910:S910"/>
    <mergeCell ref="A907:G907"/>
    <mergeCell ref="H907:M907"/>
    <mergeCell ref="N907:O907"/>
    <mergeCell ref="R907:S907"/>
    <mergeCell ref="A908:G908"/>
    <mergeCell ref="H908:M908"/>
    <mergeCell ref="N908:O908"/>
    <mergeCell ref="R908:S908"/>
    <mergeCell ref="A905:G905"/>
    <mergeCell ref="H905:M905"/>
    <mergeCell ref="N905:O905"/>
    <mergeCell ref="R905:S905"/>
    <mergeCell ref="A906:G906"/>
    <mergeCell ref="H906:M906"/>
    <mergeCell ref="N906:O906"/>
    <mergeCell ref="R906:S906"/>
    <mergeCell ref="A915:G915"/>
    <mergeCell ref="H915:M915"/>
    <mergeCell ref="N915:O915"/>
    <mergeCell ref="R915:S915"/>
    <mergeCell ref="A916:G916"/>
    <mergeCell ref="H916:M916"/>
    <mergeCell ref="N916:O916"/>
    <mergeCell ref="R916:S916"/>
    <mergeCell ref="A913:G913"/>
    <mergeCell ref="H913:M913"/>
    <mergeCell ref="N913:O913"/>
    <mergeCell ref="R913:S913"/>
    <mergeCell ref="A914:G914"/>
    <mergeCell ref="H914:M914"/>
    <mergeCell ref="N914:O914"/>
    <mergeCell ref="R914:S914"/>
    <mergeCell ref="A911:G911"/>
    <mergeCell ref="H911:M911"/>
    <mergeCell ref="N911:O911"/>
    <mergeCell ref="R911:S911"/>
    <mergeCell ref="A912:G912"/>
    <mergeCell ref="H912:M912"/>
    <mergeCell ref="N912:O912"/>
    <mergeCell ref="R912:S912"/>
    <mergeCell ref="A921:G921"/>
    <mergeCell ref="H921:M921"/>
    <mergeCell ref="N921:O921"/>
    <mergeCell ref="R921:S921"/>
    <mergeCell ref="A922:G922"/>
    <mergeCell ref="H922:M922"/>
    <mergeCell ref="N922:O922"/>
    <mergeCell ref="R922:S922"/>
    <mergeCell ref="A919:G919"/>
    <mergeCell ref="H919:M919"/>
    <mergeCell ref="N919:O919"/>
    <mergeCell ref="R919:S919"/>
    <mergeCell ref="A920:G920"/>
    <mergeCell ref="H920:M920"/>
    <mergeCell ref="N920:O920"/>
    <mergeCell ref="R920:S920"/>
    <mergeCell ref="A917:G917"/>
    <mergeCell ref="H917:M917"/>
    <mergeCell ref="N917:O917"/>
    <mergeCell ref="R917:S917"/>
    <mergeCell ref="A918:G918"/>
    <mergeCell ref="H918:M918"/>
    <mergeCell ref="N918:O918"/>
    <mergeCell ref="R918:S918"/>
    <mergeCell ref="A927:G927"/>
    <mergeCell ref="H927:M927"/>
    <mergeCell ref="N927:O927"/>
    <mergeCell ref="R927:S927"/>
    <mergeCell ref="A928:G928"/>
    <mergeCell ref="H928:M928"/>
    <mergeCell ref="N928:O928"/>
    <mergeCell ref="R928:S928"/>
    <mergeCell ref="A925:G925"/>
    <mergeCell ref="H925:M925"/>
    <mergeCell ref="N925:O925"/>
    <mergeCell ref="R925:S925"/>
    <mergeCell ref="A926:G926"/>
    <mergeCell ref="H926:M926"/>
    <mergeCell ref="N926:O926"/>
    <mergeCell ref="R926:S926"/>
    <mergeCell ref="A923:G923"/>
    <mergeCell ref="H923:M923"/>
    <mergeCell ref="N923:O923"/>
    <mergeCell ref="R923:S923"/>
    <mergeCell ref="A924:G924"/>
    <mergeCell ref="H924:M924"/>
    <mergeCell ref="N924:O924"/>
    <mergeCell ref="R924:S924"/>
    <mergeCell ref="A933:G933"/>
    <mergeCell ref="H933:M933"/>
    <mergeCell ref="N933:O933"/>
    <mergeCell ref="R933:S933"/>
    <mergeCell ref="A934:G934"/>
    <mergeCell ref="H934:M934"/>
    <mergeCell ref="N934:O934"/>
    <mergeCell ref="R934:S934"/>
    <mergeCell ref="A931:G931"/>
    <mergeCell ref="H931:M931"/>
    <mergeCell ref="N931:O931"/>
    <mergeCell ref="R931:S931"/>
    <mergeCell ref="A932:G932"/>
    <mergeCell ref="H932:M932"/>
    <mergeCell ref="N932:O932"/>
    <mergeCell ref="R932:S932"/>
    <mergeCell ref="A929:G929"/>
    <mergeCell ref="H929:M929"/>
    <mergeCell ref="N929:O929"/>
    <mergeCell ref="R929:S929"/>
    <mergeCell ref="A930:G930"/>
    <mergeCell ref="H930:M930"/>
    <mergeCell ref="N930:O930"/>
    <mergeCell ref="R930:S930"/>
    <mergeCell ref="A939:G939"/>
    <mergeCell ref="H939:M939"/>
    <mergeCell ref="N939:O939"/>
    <mergeCell ref="R939:S939"/>
    <mergeCell ref="A940:G940"/>
    <mergeCell ref="H940:M940"/>
    <mergeCell ref="N940:O940"/>
    <mergeCell ref="R940:S940"/>
    <mergeCell ref="A937:G937"/>
    <mergeCell ref="H937:M937"/>
    <mergeCell ref="N937:O937"/>
    <mergeCell ref="R937:S937"/>
    <mergeCell ref="A938:G938"/>
    <mergeCell ref="H938:M938"/>
    <mergeCell ref="N938:O938"/>
    <mergeCell ref="R938:S938"/>
    <mergeCell ref="A935:G935"/>
    <mergeCell ref="H935:M935"/>
    <mergeCell ref="N935:O935"/>
    <mergeCell ref="R935:S935"/>
    <mergeCell ref="A936:G936"/>
    <mergeCell ref="H936:M936"/>
    <mergeCell ref="N936:O936"/>
    <mergeCell ref="R936:S936"/>
    <mergeCell ref="A945:G945"/>
    <mergeCell ref="H945:M945"/>
    <mergeCell ref="N945:O945"/>
    <mergeCell ref="R945:S945"/>
    <mergeCell ref="A946:G946"/>
    <mergeCell ref="H946:M946"/>
    <mergeCell ref="N946:O946"/>
    <mergeCell ref="R946:S946"/>
    <mergeCell ref="A943:G943"/>
    <mergeCell ref="H943:M943"/>
    <mergeCell ref="N943:O943"/>
    <mergeCell ref="R943:S943"/>
    <mergeCell ref="A944:G944"/>
    <mergeCell ref="H944:M944"/>
    <mergeCell ref="N944:O944"/>
    <mergeCell ref="R944:S944"/>
    <mergeCell ref="A941:G941"/>
    <mergeCell ref="H941:M941"/>
    <mergeCell ref="N941:O941"/>
    <mergeCell ref="R941:S941"/>
    <mergeCell ref="A942:G942"/>
    <mergeCell ref="H942:M942"/>
    <mergeCell ref="N942:O942"/>
    <mergeCell ref="R942:S942"/>
    <mergeCell ref="A951:G951"/>
    <mergeCell ref="H951:M951"/>
    <mergeCell ref="N951:O951"/>
    <mergeCell ref="R951:S951"/>
    <mergeCell ref="A952:G952"/>
    <mergeCell ref="H952:M952"/>
    <mergeCell ref="N952:O952"/>
    <mergeCell ref="R952:S952"/>
    <mergeCell ref="A949:G949"/>
    <mergeCell ref="H949:M949"/>
    <mergeCell ref="N949:O949"/>
    <mergeCell ref="R949:S949"/>
    <mergeCell ref="A950:G950"/>
    <mergeCell ref="H950:M950"/>
    <mergeCell ref="N950:O950"/>
    <mergeCell ref="R950:S950"/>
    <mergeCell ref="A947:G947"/>
    <mergeCell ref="H947:M947"/>
    <mergeCell ref="N947:O947"/>
    <mergeCell ref="R947:S947"/>
    <mergeCell ref="A948:G948"/>
    <mergeCell ref="H948:M948"/>
    <mergeCell ref="N948:O948"/>
    <mergeCell ref="R948:S948"/>
    <mergeCell ref="A957:G957"/>
    <mergeCell ref="H957:M957"/>
    <mergeCell ref="N957:O957"/>
    <mergeCell ref="R957:S957"/>
    <mergeCell ref="A958:G958"/>
    <mergeCell ref="H958:M958"/>
    <mergeCell ref="N958:O958"/>
    <mergeCell ref="R958:S958"/>
    <mergeCell ref="A955:G955"/>
    <mergeCell ref="H955:M955"/>
    <mergeCell ref="N955:O955"/>
    <mergeCell ref="R955:S955"/>
    <mergeCell ref="A956:G956"/>
    <mergeCell ref="H956:M956"/>
    <mergeCell ref="N956:O956"/>
    <mergeCell ref="R956:S956"/>
    <mergeCell ref="A953:G953"/>
    <mergeCell ref="H953:M953"/>
    <mergeCell ref="N953:O953"/>
    <mergeCell ref="R953:S953"/>
    <mergeCell ref="A954:G954"/>
    <mergeCell ref="H954:M954"/>
    <mergeCell ref="N954:O954"/>
    <mergeCell ref="R954:S954"/>
    <mergeCell ref="A963:G963"/>
    <mergeCell ref="H963:M963"/>
    <mergeCell ref="N963:O963"/>
    <mergeCell ref="R963:S963"/>
    <mergeCell ref="A964:G964"/>
    <mergeCell ref="H964:M964"/>
    <mergeCell ref="N964:O964"/>
    <mergeCell ref="R964:S964"/>
    <mergeCell ref="A961:G961"/>
    <mergeCell ref="H961:M961"/>
    <mergeCell ref="N961:O961"/>
    <mergeCell ref="R961:S961"/>
    <mergeCell ref="A962:G962"/>
    <mergeCell ref="H962:M962"/>
    <mergeCell ref="N962:O962"/>
    <mergeCell ref="R962:S962"/>
    <mergeCell ref="A959:G959"/>
    <mergeCell ref="H959:M959"/>
    <mergeCell ref="N959:O959"/>
    <mergeCell ref="R959:S959"/>
    <mergeCell ref="A960:G960"/>
    <mergeCell ref="H960:M960"/>
    <mergeCell ref="N960:O960"/>
    <mergeCell ref="R960:S960"/>
    <mergeCell ref="A969:G969"/>
    <mergeCell ref="H969:M969"/>
    <mergeCell ref="N969:O969"/>
    <mergeCell ref="R969:S969"/>
    <mergeCell ref="A970:G970"/>
    <mergeCell ref="H970:M970"/>
    <mergeCell ref="N970:O970"/>
    <mergeCell ref="R970:S970"/>
    <mergeCell ref="A967:G967"/>
    <mergeCell ref="H967:M967"/>
    <mergeCell ref="N967:O967"/>
    <mergeCell ref="R967:S967"/>
    <mergeCell ref="A968:G968"/>
    <mergeCell ref="H968:M968"/>
    <mergeCell ref="N968:O968"/>
    <mergeCell ref="R968:S968"/>
    <mergeCell ref="A965:G965"/>
    <mergeCell ref="H965:M965"/>
    <mergeCell ref="N965:O965"/>
    <mergeCell ref="R965:S965"/>
    <mergeCell ref="A966:G966"/>
    <mergeCell ref="H966:M966"/>
    <mergeCell ref="N966:O966"/>
    <mergeCell ref="R966:S966"/>
    <mergeCell ref="A975:G975"/>
    <mergeCell ref="H975:M975"/>
    <mergeCell ref="N975:O975"/>
    <mergeCell ref="R975:S975"/>
    <mergeCell ref="A976:G976"/>
    <mergeCell ref="H976:M976"/>
    <mergeCell ref="N976:O976"/>
    <mergeCell ref="R976:S976"/>
    <mergeCell ref="A973:G973"/>
    <mergeCell ref="H973:M973"/>
    <mergeCell ref="N973:O973"/>
    <mergeCell ref="R973:S973"/>
    <mergeCell ref="A974:G974"/>
    <mergeCell ref="H974:M974"/>
    <mergeCell ref="N974:O974"/>
    <mergeCell ref="R974:S974"/>
    <mergeCell ref="A971:G971"/>
    <mergeCell ref="H971:M971"/>
    <mergeCell ref="N971:O971"/>
    <mergeCell ref="R971:S971"/>
    <mergeCell ref="A972:G972"/>
    <mergeCell ref="H972:M972"/>
    <mergeCell ref="N972:O972"/>
    <mergeCell ref="R972:S972"/>
    <mergeCell ref="A981:G981"/>
    <mergeCell ref="H981:M981"/>
    <mergeCell ref="N981:O981"/>
    <mergeCell ref="R981:S981"/>
    <mergeCell ref="A982:G982"/>
    <mergeCell ref="H982:M982"/>
    <mergeCell ref="N982:O982"/>
    <mergeCell ref="R982:S982"/>
    <mergeCell ref="A979:G979"/>
    <mergeCell ref="H979:M979"/>
    <mergeCell ref="N979:O979"/>
    <mergeCell ref="R979:S979"/>
    <mergeCell ref="A980:G980"/>
    <mergeCell ref="H980:M980"/>
    <mergeCell ref="N980:O980"/>
    <mergeCell ref="R980:S980"/>
    <mergeCell ref="A977:G977"/>
    <mergeCell ref="H977:M977"/>
    <mergeCell ref="N977:O977"/>
    <mergeCell ref="R977:S977"/>
    <mergeCell ref="A978:G978"/>
    <mergeCell ref="H978:M978"/>
    <mergeCell ref="N978:O978"/>
    <mergeCell ref="R978:S978"/>
    <mergeCell ref="A987:G987"/>
    <mergeCell ref="H987:M987"/>
    <mergeCell ref="N987:O987"/>
    <mergeCell ref="R987:S987"/>
    <mergeCell ref="A988:G988"/>
    <mergeCell ref="H988:M988"/>
    <mergeCell ref="N988:O988"/>
    <mergeCell ref="R988:S988"/>
    <mergeCell ref="A985:G985"/>
    <mergeCell ref="H985:M985"/>
    <mergeCell ref="N985:O985"/>
    <mergeCell ref="R985:S985"/>
    <mergeCell ref="A986:G986"/>
    <mergeCell ref="H986:M986"/>
    <mergeCell ref="N986:O986"/>
    <mergeCell ref="R986:S986"/>
    <mergeCell ref="A983:G983"/>
    <mergeCell ref="H983:M983"/>
    <mergeCell ref="N983:O983"/>
    <mergeCell ref="R983:S983"/>
    <mergeCell ref="A984:G984"/>
    <mergeCell ref="H984:M984"/>
    <mergeCell ref="N984:O984"/>
    <mergeCell ref="R984:S984"/>
    <mergeCell ref="A993:G993"/>
    <mergeCell ref="H993:M993"/>
    <mergeCell ref="N993:O993"/>
    <mergeCell ref="R993:S993"/>
    <mergeCell ref="A994:G994"/>
    <mergeCell ref="H994:M994"/>
    <mergeCell ref="N994:O994"/>
    <mergeCell ref="R994:S994"/>
    <mergeCell ref="A991:G991"/>
    <mergeCell ref="H991:M991"/>
    <mergeCell ref="N991:O991"/>
    <mergeCell ref="R991:S991"/>
    <mergeCell ref="A992:G992"/>
    <mergeCell ref="H992:M992"/>
    <mergeCell ref="N992:O992"/>
    <mergeCell ref="R992:S992"/>
    <mergeCell ref="A989:G989"/>
    <mergeCell ref="H989:M989"/>
    <mergeCell ref="N989:O989"/>
    <mergeCell ref="R989:S989"/>
    <mergeCell ref="A990:G990"/>
    <mergeCell ref="H990:M990"/>
    <mergeCell ref="N990:O990"/>
    <mergeCell ref="R990:S990"/>
    <mergeCell ref="A999:G999"/>
    <mergeCell ref="H999:M999"/>
    <mergeCell ref="N999:O999"/>
    <mergeCell ref="R999:S999"/>
    <mergeCell ref="A1000:G1000"/>
    <mergeCell ref="H1000:M1000"/>
    <mergeCell ref="N1000:O1000"/>
    <mergeCell ref="R1000:S1000"/>
    <mergeCell ref="A997:G997"/>
    <mergeCell ref="H997:M997"/>
    <mergeCell ref="N997:O997"/>
    <mergeCell ref="R997:S997"/>
    <mergeCell ref="A998:G998"/>
    <mergeCell ref="H998:M998"/>
    <mergeCell ref="N998:O998"/>
    <mergeCell ref="R998:S998"/>
    <mergeCell ref="A995:G995"/>
    <mergeCell ref="H995:M995"/>
    <mergeCell ref="N995:O995"/>
    <mergeCell ref="R995:S995"/>
    <mergeCell ref="A996:G996"/>
    <mergeCell ref="H996:M996"/>
    <mergeCell ref="N996:O996"/>
    <mergeCell ref="R996:S996"/>
    <mergeCell ref="A1005:G1005"/>
    <mergeCell ref="H1005:M1005"/>
    <mergeCell ref="N1005:O1005"/>
    <mergeCell ref="R1005:S1005"/>
    <mergeCell ref="A1006:G1006"/>
    <mergeCell ref="H1006:M1006"/>
    <mergeCell ref="N1006:O1006"/>
    <mergeCell ref="R1006:S1006"/>
    <mergeCell ref="A1003:G1003"/>
    <mergeCell ref="H1003:M1003"/>
    <mergeCell ref="N1003:O1003"/>
    <mergeCell ref="R1003:S1003"/>
    <mergeCell ref="A1004:G1004"/>
    <mergeCell ref="H1004:M1004"/>
    <mergeCell ref="N1004:O1004"/>
    <mergeCell ref="R1004:S1004"/>
    <mergeCell ref="A1001:G1001"/>
    <mergeCell ref="H1001:M1001"/>
    <mergeCell ref="N1001:O1001"/>
    <mergeCell ref="R1001:S1001"/>
    <mergeCell ref="A1002:G1002"/>
    <mergeCell ref="H1002:M1002"/>
    <mergeCell ref="N1002:O1002"/>
    <mergeCell ref="R1002:S1002"/>
    <mergeCell ref="A1011:G1011"/>
    <mergeCell ref="H1011:M1011"/>
    <mergeCell ref="N1011:O1011"/>
    <mergeCell ref="R1011:S1011"/>
    <mergeCell ref="A1012:G1012"/>
    <mergeCell ref="H1012:M1012"/>
    <mergeCell ref="N1012:O1012"/>
    <mergeCell ref="R1012:S1012"/>
    <mergeCell ref="A1009:G1009"/>
    <mergeCell ref="H1009:M1009"/>
    <mergeCell ref="N1009:O1009"/>
    <mergeCell ref="R1009:S1009"/>
    <mergeCell ref="A1010:G1010"/>
    <mergeCell ref="H1010:M1010"/>
    <mergeCell ref="N1010:O1010"/>
    <mergeCell ref="R1010:S1010"/>
    <mergeCell ref="A1007:G1007"/>
    <mergeCell ref="H1007:M1007"/>
    <mergeCell ref="N1007:O1007"/>
    <mergeCell ref="R1007:S1007"/>
    <mergeCell ref="A1008:G1008"/>
    <mergeCell ref="H1008:M1008"/>
    <mergeCell ref="N1008:O1008"/>
    <mergeCell ref="R1008:S1008"/>
    <mergeCell ref="A1017:G1017"/>
    <mergeCell ref="H1017:M1017"/>
    <mergeCell ref="N1017:O1017"/>
    <mergeCell ref="R1017:S1017"/>
    <mergeCell ref="A1018:G1018"/>
    <mergeCell ref="H1018:M1018"/>
    <mergeCell ref="N1018:O1018"/>
    <mergeCell ref="R1018:S1018"/>
    <mergeCell ref="A1015:G1015"/>
    <mergeCell ref="H1015:M1015"/>
    <mergeCell ref="N1015:O1015"/>
    <mergeCell ref="R1015:S1015"/>
    <mergeCell ref="A1016:G1016"/>
    <mergeCell ref="H1016:M1016"/>
    <mergeCell ref="N1016:O1016"/>
    <mergeCell ref="R1016:S1016"/>
    <mergeCell ref="A1013:G1013"/>
    <mergeCell ref="H1013:M1013"/>
    <mergeCell ref="N1013:O1013"/>
    <mergeCell ref="R1013:S1013"/>
    <mergeCell ref="A1014:G1014"/>
    <mergeCell ref="H1014:M1014"/>
    <mergeCell ref="N1014:O1014"/>
    <mergeCell ref="R1014:S1014"/>
    <mergeCell ref="A1023:G1023"/>
    <mergeCell ref="H1023:M1023"/>
    <mergeCell ref="N1023:O1023"/>
    <mergeCell ref="R1023:S1023"/>
    <mergeCell ref="A1024:G1024"/>
    <mergeCell ref="H1024:M1024"/>
    <mergeCell ref="N1024:O1024"/>
    <mergeCell ref="R1024:S1024"/>
    <mergeCell ref="A1021:G1021"/>
    <mergeCell ref="H1021:M1021"/>
    <mergeCell ref="N1021:O1021"/>
    <mergeCell ref="R1021:S1021"/>
    <mergeCell ref="A1022:G1022"/>
    <mergeCell ref="H1022:M1022"/>
    <mergeCell ref="N1022:O1022"/>
    <mergeCell ref="R1022:S1022"/>
    <mergeCell ref="A1019:G1019"/>
    <mergeCell ref="H1019:M1019"/>
    <mergeCell ref="N1019:O1019"/>
    <mergeCell ref="R1019:S1019"/>
    <mergeCell ref="A1020:G1020"/>
    <mergeCell ref="H1020:M1020"/>
    <mergeCell ref="N1020:O1020"/>
    <mergeCell ref="R1020:S1020"/>
    <mergeCell ref="A1029:G1029"/>
    <mergeCell ref="H1029:M1029"/>
    <mergeCell ref="N1029:O1029"/>
    <mergeCell ref="R1029:S1029"/>
    <mergeCell ref="A1030:G1030"/>
    <mergeCell ref="H1030:M1030"/>
    <mergeCell ref="N1030:O1030"/>
    <mergeCell ref="R1030:S1030"/>
    <mergeCell ref="A1027:G1027"/>
    <mergeCell ref="H1027:M1027"/>
    <mergeCell ref="N1027:O1027"/>
    <mergeCell ref="R1027:S1027"/>
    <mergeCell ref="A1028:G1028"/>
    <mergeCell ref="H1028:M1028"/>
    <mergeCell ref="N1028:O1028"/>
    <mergeCell ref="R1028:S1028"/>
    <mergeCell ref="A1025:G1025"/>
    <mergeCell ref="H1025:M1025"/>
    <mergeCell ref="N1025:O1025"/>
    <mergeCell ref="R1025:S1025"/>
    <mergeCell ref="A1026:G1026"/>
    <mergeCell ref="H1026:M1026"/>
    <mergeCell ref="N1026:O1026"/>
    <mergeCell ref="R1026:S1026"/>
    <mergeCell ref="A1035:G1035"/>
    <mergeCell ref="H1035:M1035"/>
    <mergeCell ref="N1035:O1035"/>
    <mergeCell ref="R1035:S1035"/>
    <mergeCell ref="A1036:G1036"/>
    <mergeCell ref="H1036:M1036"/>
    <mergeCell ref="N1036:O1036"/>
    <mergeCell ref="R1036:S1036"/>
    <mergeCell ref="A1033:G1033"/>
    <mergeCell ref="H1033:M1033"/>
    <mergeCell ref="N1033:O1033"/>
    <mergeCell ref="R1033:S1033"/>
    <mergeCell ref="A1034:G1034"/>
    <mergeCell ref="H1034:M1034"/>
    <mergeCell ref="N1034:O1034"/>
    <mergeCell ref="R1034:S1034"/>
    <mergeCell ref="A1031:G1031"/>
    <mergeCell ref="H1031:M1031"/>
    <mergeCell ref="N1031:O1031"/>
    <mergeCell ref="R1031:S1031"/>
    <mergeCell ref="A1032:G1032"/>
    <mergeCell ref="H1032:M1032"/>
    <mergeCell ref="N1032:O1032"/>
    <mergeCell ref="R1032:S1032"/>
    <mergeCell ref="A1041:G1041"/>
    <mergeCell ref="H1041:M1041"/>
    <mergeCell ref="N1041:O1041"/>
    <mergeCell ref="R1041:S1041"/>
    <mergeCell ref="A1042:G1042"/>
    <mergeCell ref="H1042:M1042"/>
    <mergeCell ref="N1042:O1042"/>
    <mergeCell ref="R1042:S1042"/>
    <mergeCell ref="A1039:G1039"/>
    <mergeCell ref="H1039:M1039"/>
    <mergeCell ref="N1039:O1039"/>
    <mergeCell ref="R1039:S1039"/>
    <mergeCell ref="A1040:G1040"/>
    <mergeCell ref="H1040:M1040"/>
    <mergeCell ref="N1040:O1040"/>
    <mergeCell ref="R1040:S1040"/>
    <mergeCell ref="A1037:G1037"/>
    <mergeCell ref="H1037:M1037"/>
    <mergeCell ref="N1037:O1037"/>
    <mergeCell ref="R1037:S1037"/>
    <mergeCell ref="A1038:G1038"/>
    <mergeCell ref="H1038:M1038"/>
    <mergeCell ref="N1038:O1038"/>
    <mergeCell ref="R1038:S1038"/>
    <mergeCell ref="A1047:G1047"/>
    <mergeCell ref="H1047:M1047"/>
    <mergeCell ref="N1047:O1047"/>
    <mergeCell ref="R1047:S1047"/>
    <mergeCell ref="A1048:G1048"/>
    <mergeCell ref="H1048:M1048"/>
    <mergeCell ref="N1048:O1048"/>
    <mergeCell ref="R1048:S1048"/>
    <mergeCell ref="A1045:G1045"/>
    <mergeCell ref="H1045:M1045"/>
    <mergeCell ref="N1045:O1045"/>
    <mergeCell ref="R1045:S1045"/>
    <mergeCell ref="A1046:G1046"/>
    <mergeCell ref="H1046:M1046"/>
    <mergeCell ref="N1046:O1046"/>
    <mergeCell ref="R1046:S1046"/>
    <mergeCell ref="A1043:G1043"/>
    <mergeCell ref="H1043:M1043"/>
    <mergeCell ref="N1043:O1043"/>
    <mergeCell ref="R1043:S1043"/>
    <mergeCell ref="A1044:G1044"/>
    <mergeCell ref="H1044:M1044"/>
    <mergeCell ref="N1044:O1044"/>
    <mergeCell ref="R1044:S1044"/>
    <mergeCell ref="A1053:G1053"/>
    <mergeCell ref="H1053:M1053"/>
    <mergeCell ref="N1053:O1053"/>
    <mergeCell ref="R1053:S1053"/>
    <mergeCell ref="A1054:G1054"/>
    <mergeCell ref="H1054:M1054"/>
    <mergeCell ref="N1054:O1054"/>
    <mergeCell ref="R1054:S1054"/>
    <mergeCell ref="A1051:G1051"/>
    <mergeCell ref="H1051:M1051"/>
    <mergeCell ref="N1051:O1051"/>
    <mergeCell ref="R1051:S1051"/>
    <mergeCell ref="A1052:G1052"/>
    <mergeCell ref="H1052:M1052"/>
    <mergeCell ref="N1052:O1052"/>
    <mergeCell ref="R1052:S1052"/>
    <mergeCell ref="A1049:G1049"/>
    <mergeCell ref="H1049:M1049"/>
    <mergeCell ref="N1049:O1049"/>
    <mergeCell ref="R1049:S1049"/>
    <mergeCell ref="A1050:G1050"/>
    <mergeCell ref="H1050:M1050"/>
    <mergeCell ref="N1050:O1050"/>
    <mergeCell ref="R1050:S1050"/>
    <mergeCell ref="A1059:G1059"/>
    <mergeCell ref="H1059:M1059"/>
    <mergeCell ref="N1059:O1059"/>
    <mergeCell ref="R1059:S1059"/>
    <mergeCell ref="A1060:G1060"/>
    <mergeCell ref="H1060:M1060"/>
    <mergeCell ref="N1060:O1060"/>
    <mergeCell ref="R1060:S1060"/>
    <mergeCell ref="A1057:G1057"/>
    <mergeCell ref="H1057:M1057"/>
    <mergeCell ref="N1057:O1057"/>
    <mergeCell ref="R1057:S1057"/>
    <mergeCell ref="A1058:G1058"/>
    <mergeCell ref="H1058:M1058"/>
    <mergeCell ref="N1058:O1058"/>
    <mergeCell ref="R1058:S1058"/>
    <mergeCell ref="A1055:G1055"/>
    <mergeCell ref="H1055:M1055"/>
    <mergeCell ref="N1055:O1055"/>
    <mergeCell ref="R1055:S1055"/>
    <mergeCell ref="A1056:G1056"/>
    <mergeCell ref="H1056:M1056"/>
    <mergeCell ref="N1056:O1056"/>
    <mergeCell ref="R1056:S1056"/>
    <mergeCell ref="A1065:G1065"/>
    <mergeCell ref="H1065:M1065"/>
    <mergeCell ref="N1065:O1065"/>
    <mergeCell ref="R1065:S1065"/>
    <mergeCell ref="A1066:G1066"/>
    <mergeCell ref="H1066:M1066"/>
    <mergeCell ref="N1066:O1066"/>
    <mergeCell ref="R1066:S1066"/>
    <mergeCell ref="A1063:G1063"/>
    <mergeCell ref="H1063:M1063"/>
    <mergeCell ref="N1063:O1063"/>
    <mergeCell ref="R1063:S1063"/>
    <mergeCell ref="A1064:G1064"/>
    <mergeCell ref="H1064:M1064"/>
    <mergeCell ref="N1064:O1064"/>
    <mergeCell ref="R1064:S1064"/>
    <mergeCell ref="A1061:G1061"/>
    <mergeCell ref="H1061:M1061"/>
    <mergeCell ref="N1061:O1061"/>
    <mergeCell ref="R1061:S1061"/>
    <mergeCell ref="A1062:G1062"/>
    <mergeCell ref="H1062:M1062"/>
    <mergeCell ref="N1062:O1062"/>
    <mergeCell ref="R1062:S1062"/>
    <mergeCell ref="A1071:G1071"/>
    <mergeCell ref="H1071:M1071"/>
    <mergeCell ref="N1071:O1071"/>
    <mergeCell ref="R1071:S1071"/>
    <mergeCell ref="A1072:G1072"/>
    <mergeCell ref="H1072:M1072"/>
    <mergeCell ref="N1072:O1072"/>
    <mergeCell ref="R1072:S1072"/>
    <mergeCell ref="A1069:G1069"/>
    <mergeCell ref="H1069:M1069"/>
    <mergeCell ref="N1069:O1069"/>
    <mergeCell ref="R1069:S1069"/>
    <mergeCell ref="A1070:G1070"/>
    <mergeCell ref="H1070:M1070"/>
    <mergeCell ref="N1070:O1070"/>
    <mergeCell ref="R1070:S1070"/>
    <mergeCell ref="A1067:G1067"/>
    <mergeCell ref="H1067:M1067"/>
    <mergeCell ref="N1067:O1067"/>
    <mergeCell ref="R1067:S1067"/>
    <mergeCell ref="A1068:G1068"/>
    <mergeCell ref="H1068:M1068"/>
    <mergeCell ref="N1068:O1068"/>
    <mergeCell ref="R1068:S1068"/>
    <mergeCell ref="A1077:G1077"/>
    <mergeCell ref="H1077:M1077"/>
    <mergeCell ref="N1077:O1077"/>
    <mergeCell ref="R1077:S1077"/>
    <mergeCell ref="A1078:G1078"/>
    <mergeCell ref="H1078:M1078"/>
    <mergeCell ref="N1078:O1078"/>
    <mergeCell ref="R1078:S1078"/>
    <mergeCell ref="A1075:G1075"/>
    <mergeCell ref="H1075:M1075"/>
    <mergeCell ref="N1075:O1075"/>
    <mergeCell ref="R1075:S1075"/>
    <mergeCell ref="A1076:G1076"/>
    <mergeCell ref="H1076:M1076"/>
    <mergeCell ref="N1076:O1076"/>
    <mergeCell ref="R1076:S1076"/>
    <mergeCell ref="A1073:G1073"/>
    <mergeCell ref="H1073:M1073"/>
    <mergeCell ref="N1073:O1073"/>
    <mergeCell ref="R1073:S1073"/>
    <mergeCell ref="A1074:G1074"/>
    <mergeCell ref="H1074:M1074"/>
    <mergeCell ref="N1074:O1074"/>
    <mergeCell ref="R1074:S1074"/>
    <mergeCell ref="A1083:G1083"/>
    <mergeCell ref="H1083:M1083"/>
    <mergeCell ref="N1083:O1083"/>
    <mergeCell ref="R1083:S1083"/>
    <mergeCell ref="A1084:G1084"/>
    <mergeCell ref="H1084:M1084"/>
    <mergeCell ref="N1084:O1084"/>
    <mergeCell ref="R1084:S1084"/>
    <mergeCell ref="A1081:G1081"/>
    <mergeCell ref="H1081:M1081"/>
    <mergeCell ref="N1081:O1081"/>
    <mergeCell ref="R1081:S1081"/>
    <mergeCell ref="A1082:G1082"/>
    <mergeCell ref="H1082:M1082"/>
    <mergeCell ref="N1082:O1082"/>
    <mergeCell ref="R1082:S1082"/>
    <mergeCell ref="A1079:G1079"/>
    <mergeCell ref="H1079:M1079"/>
    <mergeCell ref="N1079:O1079"/>
    <mergeCell ref="R1079:S1079"/>
    <mergeCell ref="A1080:G1080"/>
    <mergeCell ref="H1080:M1080"/>
    <mergeCell ref="N1080:O1080"/>
    <mergeCell ref="R1080:S1080"/>
    <mergeCell ref="A1089:G1089"/>
    <mergeCell ref="H1089:M1089"/>
    <mergeCell ref="N1089:O1089"/>
    <mergeCell ref="R1089:S1089"/>
    <mergeCell ref="A1090:G1090"/>
    <mergeCell ref="H1090:M1090"/>
    <mergeCell ref="N1090:O1090"/>
    <mergeCell ref="R1090:S1090"/>
    <mergeCell ref="A1087:G1087"/>
    <mergeCell ref="H1087:M1087"/>
    <mergeCell ref="N1087:O1087"/>
    <mergeCell ref="R1087:S1087"/>
    <mergeCell ref="A1088:G1088"/>
    <mergeCell ref="H1088:M1088"/>
    <mergeCell ref="N1088:O1088"/>
    <mergeCell ref="R1088:S1088"/>
    <mergeCell ref="A1085:G1085"/>
    <mergeCell ref="H1085:M1085"/>
    <mergeCell ref="N1085:O1085"/>
    <mergeCell ref="R1085:S1085"/>
    <mergeCell ref="A1086:G1086"/>
    <mergeCell ref="H1086:M1086"/>
    <mergeCell ref="N1086:O1086"/>
    <mergeCell ref="R1086:S1086"/>
    <mergeCell ref="A1095:G1095"/>
    <mergeCell ref="H1095:M1095"/>
    <mergeCell ref="N1095:O1095"/>
    <mergeCell ref="R1095:S1095"/>
    <mergeCell ref="A1096:G1096"/>
    <mergeCell ref="H1096:M1096"/>
    <mergeCell ref="N1096:O1096"/>
    <mergeCell ref="R1096:S1096"/>
    <mergeCell ref="A1093:G1093"/>
    <mergeCell ref="H1093:M1093"/>
    <mergeCell ref="N1093:O1093"/>
    <mergeCell ref="R1093:S1093"/>
    <mergeCell ref="A1094:G1094"/>
    <mergeCell ref="H1094:M1094"/>
    <mergeCell ref="N1094:O1094"/>
    <mergeCell ref="R1094:S1094"/>
    <mergeCell ref="A1091:G1091"/>
    <mergeCell ref="H1091:M1091"/>
    <mergeCell ref="N1091:O1091"/>
    <mergeCell ref="R1091:S1091"/>
    <mergeCell ref="A1092:G1092"/>
    <mergeCell ref="H1092:M1092"/>
    <mergeCell ref="N1092:O1092"/>
    <mergeCell ref="R1092:S1092"/>
    <mergeCell ref="A1101:G1101"/>
    <mergeCell ref="H1101:M1101"/>
    <mergeCell ref="N1101:O1101"/>
    <mergeCell ref="R1101:S1101"/>
    <mergeCell ref="A1102:G1102"/>
    <mergeCell ref="H1102:M1102"/>
    <mergeCell ref="N1102:O1102"/>
    <mergeCell ref="R1102:S1102"/>
    <mergeCell ref="A1099:G1099"/>
    <mergeCell ref="H1099:M1099"/>
    <mergeCell ref="N1099:O1099"/>
    <mergeCell ref="R1099:S1099"/>
    <mergeCell ref="A1100:G1100"/>
    <mergeCell ref="H1100:M1100"/>
    <mergeCell ref="N1100:O1100"/>
    <mergeCell ref="R1100:S1100"/>
    <mergeCell ref="A1097:G1097"/>
    <mergeCell ref="H1097:M1097"/>
    <mergeCell ref="N1097:O1097"/>
    <mergeCell ref="R1097:S1097"/>
    <mergeCell ref="A1098:G1098"/>
    <mergeCell ref="H1098:M1098"/>
    <mergeCell ref="N1098:O1098"/>
    <mergeCell ref="R1098:S1098"/>
    <mergeCell ref="A1107:G1107"/>
    <mergeCell ref="H1107:M1107"/>
    <mergeCell ref="N1107:O1107"/>
    <mergeCell ref="R1107:S1107"/>
    <mergeCell ref="A1108:G1108"/>
    <mergeCell ref="H1108:M1108"/>
    <mergeCell ref="N1108:O1108"/>
    <mergeCell ref="R1108:S1108"/>
    <mergeCell ref="A1105:G1105"/>
    <mergeCell ref="H1105:M1105"/>
    <mergeCell ref="N1105:O1105"/>
    <mergeCell ref="R1105:S1105"/>
    <mergeCell ref="A1106:G1106"/>
    <mergeCell ref="H1106:M1106"/>
    <mergeCell ref="N1106:O1106"/>
    <mergeCell ref="R1106:S1106"/>
    <mergeCell ref="A1103:G1103"/>
    <mergeCell ref="H1103:M1103"/>
    <mergeCell ref="N1103:O1103"/>
    <mergeCell ref="R1103:S1103"/>
    <mergeCell ref="A1104:G1104"/>
    <mergeCell ref="H1104:M1104"/>
    <mergeCell ref="N1104:O1104"/>
    <mergeCell ref="R1104:S1104"/>
    <mergeCell ref="A1113:G1113"/>
    <mergeCell ref="H1113:M1113"/>
    <mergeCell ref="N1113:O1113"/>
    <mergeCell ref="R1113:S1113"/>
    <mergeCell ref="A1114:G1114"/>
    <mergeCell ref="H1114:M1114"/>
    <mergeCell ref="N1114:O1114"/>
    <mergeCell ref="R1114:S1114"/>
    <mergeCell ref="A1111:G1111"/>
    <mergeCell ref="H1111:M1111"/>
    <mergeCell ref="N1111:O1111"/>
    <mergeCell ref="R1111:S1111"/>
    <mergeCell ref="A1112:G1112"/>
    <mergeCell ref="H1112:M1112"/>
    <mergeCell ref="N1112:O1112"/>
    <mergeCell ref="R1112:S1112"/>
    <mergeCell ref="A1109:G1109"/>
    <mergeCell ref="H1109:M1109"/>
    <mergeCell ref="N1109:O1109"/>
    <mergeCell ref="R1109:S1109"/>
    <mergeCell ref="A1110:G1110"/>
    <mergeCell ref="H1110:M1110"/>
    <mergeCell ref="N1110:O1110"/>
    <mergeCell ref="R1110:S1110"/>
    <mergeCell ref="A1119:G1119"/>
    <mergeCell ref="H1119:M1119"/>
    <mergeCell ref="N1119:O1119"/>
    <mergeCell ref="R1119:S1119"/>
    <mergeCell ref="A1120:G1120"/>
    <mergeCell ref="H1120:M1120"/>
    <mergeCell ref="N1120:O1120"/>
    <mergeCell ref="R1120:S1120"/>
    <mergeCell ref="A1117:G1117"/>
    <mergeCell ref="H1117:M1117"/>
    <mergeCell ref="N1117:O1117"/>
    <mergeCell ref="R1117:S1117"/>
    <mergeCell ref="A1118:G1118"/>
    <mergeCell ref="H1118:M1118"/>
    <mergeCell ref="N1118:O1118"/>
    <mergeCell ref="R1118:S1118"/>
    <mergeCell ref="A1115:G1115"/>
    <mergeCell ref="H1115:M1115"/>
    <mergeCell ref="N1115:O1115"/>
    <mergeCell ref="R1115:S1115"/>
    <mergeCell ref="A1116:G1116"/>
    <mergeCell ref="H1116:M1116"/>
    <mergeCell ref="N1116:O1116"/>
    <mergeCell ref="R1116:S1116"/>
    <mergeCell ref="A1125:G1125"/>
    <mergeCell ref="H1125:M1125"/>
    <mergeCell ref="N1125:O1125"/>
    <mergeCell ref="R1125:S1125"/>
    <mergeCell ref="A1126:G1126"/>
    <mergeCell ref="H1126:M1126"/>
    <mergeCell ref="N1126:O1126"/>
    <mergeCell ref="R1126:S1126"/>
    <mergeCell ref="A1123:G1123"/>
    <mergeCell ref="H1123:M1123"/>
    <mergeCell ref="N1123:O1123"/>
    <mergeCell ref="R1123:S1123"/>
    <mergeCell ref="A1124:G1124"/>
    <mergeCell ref="H1124:M1124"/>
    <mergeCell ref="N1124:O1124"/>
    <mergeCell ref="R1124:S1124"/>
    <mergeCell ref="A1121:G1121"/>
    <mergeCell ref="H1121:M1121"/>
    <mergeCell ref="N1121:O1121"/>
    <mergeCell ref="R1121:S1121"/>
    <mergeCell ref="A1122:G1122"/>
    <mergeCell ref="H1122:M1122"/>
    <mergeCell ref="N1122:O1122"/>
    <mergeCell ref="R1122:S1122"/>
    <mergeCell ref="A1131:G1131"/>
    <mergeCell ref="H1131:M1131"/>
    <mergeCell ref="N1131:O1131"/>
    <mergeCell ref="R1131:S1131"/>
    <mergeCell ref="A1132:G1132"/>
    <mergeCell ref="H1132:M1132"/>
    <mergeCell ref="N1132:O1132"/>
    <mergeCell ref="R1132:S1132"/>
    <mergeCell ref="A1129:G1129"/>
    <mergeCell ref="H1129:M1129"/>
    <mergeCell ref="N1129:O1129"/>
    <mergeCell ref="R1129:S1129"/>
    <mergeCell ref="A1130:G1130"/>
    <mergeCell ref="H1130:M1130"/>
    <mergeCell ref="N1130:O1130"/>
    <mergeCell ref="R1130:S1130"/>
    <mergeCell ref="A1127:G1127"/>
    <mergeCell ref="H1127:M1127"/>
    <mergeCell ref="N1127:O1127"/>
    <mergeCell ref="R1127:S1127"/>
    <mergeCell ref="A1128:G1128"/>
    <mergeCell ref="H1128:M1128"/>
    <mergeCell ref="N1128:O1128"/>
    <mergeCell ref="R1128:S1128"/>
    <mergeCell ref="A1137:G1137"/>
    <mergeCell ref="H1137:M1137"/>
    <mergeCell ref="N1137:O1137"/>
    <mergeCell ref="R1137:S1137"/>
    <mergeCell ref="A1138:G1138"/>
    <mergeCell ref="H1138:M1138"/>
    <mergeCell ref="N1138:O1138"/>
    <mergeCell ref="R1138:S1138"/>
    <mergeCell ref="A1135:G1135"/>
    <mergeCell ref="H1135:M1135"/>
    <mergeCell ref="N1135:O1135"/>
    <mergeCell ref="R1135:S1135"/>
    <mergeCell ref="A1136:G1136"/>
    <mergeCell ref="H1136:M1136"/>
    <mergeCell ref="N1136:O1136"/>
    <mergeCell ref="R1136:S1136"/>
    <mergeCell ref="A1133:G1133"/>
    <mergeCell ref="H1133:M1133"/>
    <mergeCell ref="N1133:O1133"/>
    <mergeCell ref="R1133:S1133"/>
    <mergeCell ref="A1134:G1134"/>
    <mergeCell ref="H1134:M1134"/>
    <mergeCell ref="N1134:O1134"/>
    <mergeCell ref="R1134:S1134"/>
    <mergeCell ref="A1143:G1143"/>
    <mergeCell ref="H1143:M1143"/>
    <mergeCell ref="N1143:O1143"/>
    <mergeCell ref="R1143:S1143"/>
    <mergeCell ref="A1144:G1144"/>
    <mergeCell ref="H1144:M1144"/>
    <mergeCell ref="N1144:O1144"/>
    <mergeCell ref="R1144:S1144"/>
    <mergeCell ref="A1141:G1141"/>
    <mergeCell ref="H1141:M1141"/>
    <mergeCell ref="N1141:O1141"/>
    <mergeCell ref="R1141:S1141"/>
    <mergeCell ref="A1142:G1142"/>
    <mergeCell ref="H1142:M1142"/>
    <mergeCell ref="N1142:O1142"/>
    <mergeCell ref="R1142:S1142"/>
    <mergeCell ref="A1139:G1139"/>
    <mergeCell ref="H1139:M1139"/>
    <mergeCell ref="N1139:O1139"/>
    <mergeCell ref="R1139:S1139"/>
    <mergeCell ref="A1140:G1140"/>
    <mergeCell ref="H1140:M1140"/>
    <mergeCell ref="N1140:O1140"/>
    <mergeCell ref="R1140:S1140"/>
    <mergeCell ref="A1149:G1149"/>
    <mergeCell ref="H1149:M1149"/>
    <mergeCell ref="N1149:O1149"/>
    <mergeCell ref="R1149:S1149"/>
    <mergeCell ref="A1150:G1150"/>
    <mergeCell ref="H1150:M1150"/>
    <mergeCell ref="N1150:O1150"/>
    <mergeCell ref="R1150:S1150"/>
    <mergeCell ref="A1147:G1147"/>
    <mergeCell ref="H1147:M1147"/>
    <mergeCell ref="N1147:O1147"/>
    <mergeCell ref="R1147:S1147"/>
    <mergeCell ref="A1148:G1148"/>
    <mergeCell ref="H1148:M1148"/>
    <mergeCell ref="N1148:O1148"/>
    <mergeCell ref="R1148:S1148"/>
    <mergeCell ref="A1145:G1145"/>
    <mergeCell ref="H1145:M1145"/>
    <mergeCell ref="N1145:O1145"/>
    <mergeCell ref="R1145:S1145"/>
    <mergeCell ref="A1146:G1146"/>
    <mergeCell ref="H1146:M1146"/>
    <mergeCell ref="N1146:O1146"/>
    <mergeCell ref="R1146:S1146"/>
    <mergeCell ref="A1155:G1155"/>
    <mergeCell ref="H1155:M1155"/>
    <mergeCell ref="N1155:O1155"/>
    <mergeCell ref="R1155:S1155"/>
    <mergeCell ref="A1156:G1156"/>
    <mergeCell ref="H1156:M1156"/>
    <mergeCell ref="N1156:O1156"/>
    <mergeCell ref="R1156:S1156"/>
    <mergeCell ref="A1153:G1153"/>
    <mergeCell ref="H1153:M1153"/>
    <mergeCell ref="N1153:O1153"/>
    <mergeCell ref="R1153:S1153"/>
    <mergeCell ref="A1154:G1154"/>
    <mergeCell ref="H1154:M1154"/>
    <mergeCell ref="N1154:O1154"/>
    <mergeCell ref="R1154:S1154"/>
    <mergeCell ref="A1151:G1151"/>
    <mergeCell ref="H1151:M1151"/>
    <mergeCell ref="N1151:O1151"/>
    <mergeCell ref="R1151:S1151"/>
    <mergeCell ref="A1152:G1152"/>
    <mergeCell ref="H1152:M1152"/>
    <mergeCell ref="N1152:O1152"/>
    <mergeCell ref="R1152:S1152"/>
    <mergeCell ref="A1161:G1161"/>
    <mergeCell ref="H1161:M1161"/>
    <mergeCell ref="N1161:O1161"/>
    <mergeCell ref="R1161:S1161"/>
    <mergeCell ref="A1162:G1162"/>
    <mergeCell ref="H1162:M1162"/>
    <mergeCell ref="N1162:O1162"/>
    <mergeCell ref="R1162:S1162"/>
    <mergeCell ref="A1159:G1159"/>
    <mergeCell ref="H1159:M1159"/>
    <mergeCell ref="N1159:O1159"/>
    <mergeCell ref="R1159:S1159"/>
    <mergeCell ref="A1160:G1160"/>
    <mergeCell ref="H1160:M1160"/>
    <mergeCell ref="N1160:O1160"/>
    <mergeCell ref="R1160:S1160"/>
    <mergeCell ref="A1157:G1157"/>
    <mergeCell ref="H1157:M1157"/>
    <mergeCell ref="N1157:O1157"/>
    <mergeCell ref="R1157:S1157"/>
    <mergeCell ref="A1158:G1158"/>
    <mergeCell ref="H1158:M1158"/>
    <mergeCell ref="N1158:O1158"/>
    <mergeCell ref="R1158:S1158"/>
    <mergeCell ref="A1167:G1167"/>
    <mergeCell ref="H1167:M1167"/>
    <mergeCell ref="N1167:O1167"/>
    <mergeCell ref="R1167:S1167"/>
    <mergeCell ref="A1168:G1168"/>
    <mergeCell ref="H1168:M1168"/>
    <mergeCell ref="N1168:O1168"/>
    <mergeCell ref="R1168:S1168"/>
    <mergeCell ref="A1165:G1165"/>
    <mergeCell ref="H1165:M1165"/>
    <mergeCell ref="N1165:O1165"/>
    <mergeCell ref="R1165:S1165"/>
    <mergeCell ref="A1166:G1166"/>
    <mergeCell ref="H1166:M1166"/>
    <mergeCell ref="N1166:O1166"/>
    <mergeCell ref="R1166:S1166"/>
    <mergeCell ref="A1163:G1163"/>
    <mergeCell ref="H1163:M1163"/>
    <mergeCell ref="N1163:O1163"/>
    <mergeCell ref="R1163:S1163"/>
    <mergeCell ref="A1164:G1164"/>
    <mergeCell ref="H1164:M1164"/>
    <mergeCell ref="N1164:O1164"/>
    <mergeCell ref="R1164:S1164"/>
    <mergeCell ref="A1173:G1173"/>
    <mergeCell ref="H1173:M1173"/>
    <mergeCell ref="N1173:O1173"/>
    <mergeCell ref="R1173:S1173"/>
    <mergeCell ref="A1174:G1174"/>
    <mergeCell ref="H1174:M1174"/>
    <mergeCell ref="N1174:O1174"/>
    <mergeCell ref="R1174:S1174"/>
    <mergeCell ref="A1171:G1171"/>
    <mergeCell ref="H1171:M1171"/>
    <mergeCell ref="N1171:O1171"/>
    <mergeCell ref="R1171:S1171"/>
    <mergeCell ref="A1172:G1172"/>
    <mergeCell ref="H1172:M1172"/>
    <mergeCell ref="N1172:O1172"/>
    <mergeCell ref="R1172:S1172"/>
    <mergeCell ref="A1169:G1169"/>
    <mergeCell ref="H1169:M1169"/>
    <mergeCell ref="N1169:O1169"/>
    <mergeCell ref="R1169:S1169"/>
    <mergeCell ref="A1170:G1170"/>
    <mergeCell ref="H1170:M1170"/>
    <mergeCell ref="N1170:O1170"/>
    <mergeCell ref="R1170:S1170"/>
    <mergeCell ref="A1179:G1179"/>
    <mergeCell ref="H1179:M1179"/>
    <mergeCell ref="N1179:O1179"/>
    <mergeCell ref="R1179:S1179"/>
    <mergeCell ref="A1180:G1180"/>
    <mergeCell ref="H1180:M1180"/>
    <mergeCell ref="N1180:O1180"/>
    <mergeCell ref="R1180:S1180"/>
    <mergeCell ref="A1177:G1177"/>
    <mergeCell ref="H1177:M1177"/>
    <mergeCell ref="N1177:O1177"/>
    <mergeCell ref="R1177:S1177"/>
    <mergeCell ref="A1178:G1178"/>
    <mergeCell ref="H1178:M1178"/>
    <mergeCell ref="N1178:O1178"/>
    <mergeCell ref="R1178:S1178"/>
    <mergeCell ref="A1175:G1175"/>
    <mergeCell ref="H1175:M1175"/>
    <mergeCell ref="N1175:O1175"/>
    <mergeCell ref="R1175:S1175"/>
    <mergeCell ref="A1176:G1176"/>
    <mergeCell ref="H1176:M1176"/>
    <mergeCell ref="N1176:O1176"/>
    <mergeCell ref="R1176:S1176"/>
    <mergeCell ref="A1185:G1185"/>
    <mergeCell ref="H1185:M1185"/>
    <mergeCell ref="N1185:O1185"/>
    <mergeCell ref="R1185:S1185"/>
    <mergeCell ref="A1186:G1186"/>
    <mergeCell ref="H1186:M1186"/>
    <mergeCell ref="N1186:O1186"/>
    <mergeCell ref="R1186:S1186"/>
    <mergeCell ref="A1183:G1183"/>
    <mergeCell ref="H1183:M1183"/>
    <mergeCell ref="N1183:O1183"/>
    <mergeCell ref="R1183:S1183"/>
    <mergeCell ref="A1184:G1184"/>
    <mergeCell ref="H1184:M1184"/>
    <mergeCell ref="N1184:O1184"/>
    <mergeCell ref="R1184:S1184"/>
    <mergeCell ref="A1181:G1181"/>
    <mergeCell ref="H1181:M1181"/>
    <mergeCell ref="N1181:O1181"/>
    <mergeCell ref="R1181:S1181"/>
    <mergeCell ref="A1182:G1182"/>
    <mergeCell ref="H1182:M1182"/>
    <mergeCell ref="N1182:O1182"/>
    <mergeCell ref="R1182:S1182"/>
    <mergeCell ref="A1191:G1191"/>
    <mergeCell ref="H1191:M1191"/>
    <mergeCell ref="N1191:O1191"/>
    <mergeCell ref="R1191:S1191"/>
    <mergeCell ref="A1192:G1192"/>
    <mergeCell ref="H1192:M1192"/>
    <mergeCell ref="N1192:O1192"/>
    <mergeCell ref="R1192:S1192"/>
    <mergeCell ref="A1189:G1189"/>
    <mergeCell ref="H1189:M1189"/>
    <mergeCell ref="N1189:O1189"/>
    <mergeCell ref="R1189:S1189"/>
    <mergeCell ref="A1190:G1190"/>
    <mergeCell ref="H1190:M1190"/>
    <mergeCell ref="N1190:O1190"/>
    <mergeCell ref="R1190:S1190"/>
    <mergeCell ref="A1187:G1187"/>
    <mergeCell ref="H1187:M1187"/>
    <mergeCell ref="N1187:O1187"/>
    <mergeCell ref="R1187:S1187"/>
    <mergeCell ref="A1188:G1188"/>
    <mergeCell ref="H1188:M1188"/>
    <mergeCell ref="N1188:O1188"/>
    <mergeCell ref="R1188:S1188"/>
    <mergeCell ref="A1197:G1197"/>
    <mergeCell ref="H1197:M1197"/>
    <mergeCell ref="N1197:O1197"/>
    <mergeCell ref="R1197:S1197"/>
    <mergeCell ref="A1198:G1198"/>
    <mergeCell ref="H1198:M1198"/>
    <mergeCell ref="N1198:O1198"/>
    <mergeCell ref="R1198:S1198"/>
    <mergeCell ref="A1195:G1195"/>
    <mergeCell ref="H1195:M1195"/>
    <mergeCell ref="N1195:O1195"/>
    <mergeCell ref="R1195:S1195"/>
    <mergeCell ref="A1196:G1196"/>
    <mergeCell ref="H1196:M1196"/>
    <mergeCell ref="N1196:O1196"/>
    <mergeCell ref="R1196:S1196"/>
    <mergeCell ref="A1193:G1193"/>
    <mergeCell ref="H1193:M1193"/>
    <mergeCell ref="N1193:O1193"/>
    <mergeCell ref="R1193:S1193"/>
    <mergeCell ref="A1194:G1194"/>
    <mergeCell ref="H1194:M1194"/>
    <mergeCell ref="N1194:O1194"/>
    <mergeCell ref="R1194:S1194"/>
    <mergeCell ref="A1203:G1203"/>
    <mergeCell ref="H1203:M1203"/>
    <mergeCell ref="N1203:O1203"/>
    <mergeCell ref="R1203:S1203"/>
    <mergeCell ref="A1204:G1204"/>
    <mergeCell ref="H1204:M1204"/>
    <mergeCell ref="N1204:O1204"/>
    <mergeCell ref="R1204:S1204"/>
    <mergeCell ref="A1201:G1201"/>
    <mergeCell ref="H1201:M1201"/>
    <mergeCell ref="N1201:O1201"/>
    <mergeCell ref="R1201:S1201"/>
    <mergeCell ref="A1202:G1202"/>
    <mergeCell ref="H1202:M1202"/>
    <mergeCell ref="N1202:O1202"/>
    <mergeCell ref="R1202:S1202"/>
    <mergeCell ref="A1199:G1199"/>
    <mergeCell ref="H1199:M1199"/>
    <mergeCell ref="N1199:O1199"/>
    <mergeCell ref="R1199:S1199"/>
    <mergeCell ref="A1200:G1200"/>
    <mergeCell ref="H1200:M1200"/>
    <mergeCell ref="N1200:O1200"/>
    <mergeCell ref="R1200:S1200"/>
    <mergeCell ref="A1209:G1209"/>
    <mergeCell ref="H1209:M1209"/>
    <mergeCell ref="N1209:O1209"/>
    <mergeCell ref="R1209:S1209"/>
    <mergeCell ref="A1210:G1210"/>
    <mergeCell ref="H1210:M1210"/>
    <mergeCell ref="N1210:O1210"/>
    <mergeCell ref="R1210:S1210"/>
    <mergeCell ref="A1207:G1207"/>
    <mergeCell ref="H1207:M1207"/>
    <mergeCell ref="N1207:O1207"/>
    <mergeCell ref="R1207:S1207"/>
    <mergeCell ref="A1208:G1208"/>
    <mergeCell ref="H1208:M1208"/>
    <mergeCell ref="N1208:O1208"/>
    <mergeCell ref="R1208:S1208"/>
    <mergeCell ref="A1205:G1205"/>
    <mergeCell ref="H1205:M1205"/>
    <mergeCell ref="N1205:O1205"/>
    <mergeCell ref="R1205:S1205"/>
    <mergeCell ref="A1206:G1206"/>
    <mergeCell ref="H1206:M1206"/>
    <mergeCell ref="N1206:O1206"/>
    <mergeCell ref="R1206:S1206"/>
    <mergeCell ref="A1215:G1215"/>
    <mergeCell ref="H1215:M1215"/>
    <mergeCell ref="N1215:O1215"/>
    <mergeCell ref="R1215:S1215"/>
    <mergeCell ref="A1216:G1216"/>
    <mergeCell ref="H1216:M1216"/>
    <mergeCell ref="N1216:O1216"/>
    <mergeCell ref="R1216:S1216"/>
    <mergeCell ref="A1213:G1213"/>
    <mergeCell ref="H1213:M1213"/>
    <mergeCell ref="N1213:O1213"/>
    <mergeCell ref="R1213:S1213"/>
    <mergeCell ref="A1214:G1214"/>
    <mergeCell ref="H1214:M1214"/>
    <mergeCell ref="N1214:O1214"/>
    <mergeCell ref="R1214:S1214"/>
    <mergeCell ref="A1211:G1211"/>
    <mergeCell ref="H1211:M1211"/>
    <mergeCell ref="N1211:O1211"/>
    <mergeCell ref="R1211:S1211"/>
    <mergeCell ref="A1212:G1212"/>
    <mergeCell ref="H1212:M1212"/>
    <mergeCell ref="N1212:O1212"/>
    <mergeCell ref="R1212:S1212"/>
    <mergeCell ref="A1221:G1221"/>
    <mergeCell ref="H1221:M1221"/>
    <mergeCell ref="N1221:O1221"/>
    <mergeCell ref="R1221:S1221"/>
    <mergeCell ref="A1222:G1222"/>
    <mergeCell ref="H1222:M1222"/>
    <mergeCell ref="N1222:O1222"/>
    <mergeCell ref="R1222:S1222"/>
    <mergeCell ref="A1219:G1219"/>
    <mergeCell ref="H1219:M1219"/>
    <mergeCell ref="N1219:O1219"/>
    <mergeCell ref="R1219:S1219"/>
    <mergeCell ref="A1220:G1220"/>
    <mergeCell ref="H1220:M1220"/>
    <mergeCell ref="N1220:O1220"/>
    <mergeCell ref="R1220:S1220"/>
    <mergeCell ref="A1217:G1217"/>
    <mergeCell ref="H1217:M1217"/>
    <mergeCell ref="N1217:O1217"/>
    <mergeCell ref="R1217:S1217"/>
    <mergeCell ref="A1218:G1218"/>
    <mergeCell ref="H1218:M1218"/>
    <mergeCell ref="N1218:O1218"/>
    <mergeCell ref="R1218:S1218"/>
    <mergeCell ref="A1227:G1227"/>
    <mergeCell ref="H1227:M1227"/>
    <mergeCell ref="N1227:O1227"/>
    <mergeCell ref="R1227:S1227"/>
    <mergeCell ref="A1228:G1228"/>
    <mergeCell ref="H1228:M1228"/>
    <mergeCell ref="N1228:O1228"/>
    <mergeCell ref="R1228:S1228"/>
    <mergeCell ref="A1225:G1225"/>
    <mergeCell ref="H1225:M1225"/>
    <mergeCell ref="N1225:O1225"/>
    <mergeCell ref="R1225:S1225"/>
    <mergeCell ref="A1226:G1226"/>
    <mergeCell ref="H1226:M1226"/>
    <mergeCell ref="N1226:O1226"/>
    <mergeCell ref="R1226:S1226"/>
    <mergeCell ref="A1223:G1223"/>
    <mergeCell ref="H1223:M1223"/>
    <mergeCell ref="N1223:O1223"/>
    <mergeCell ref="R1223:S1223"/>
    <mergeCell ref="A1224:G1224"/>
    <mergeCell ref="H1224:M1224"/>
    <mergeCell ref="N1224:O1224"/>
    <mergeCell ref="R1224:S1224"/>
    <mergeCell ref="A1233:G1233"/>
    <mergeCell ref="H1233:M1233"/>
    <mergeCell ref="N1233:O1233"/>
    <mergeCell ref="R1233:S1233"/>
    <mergeCell ref="A1234:G1234"/>
    <mergeCell ref="H1234:M1234"/>
    <mergeCell ref="N1234:O1234"/>
    <mergeCell ref="R1234:S1234"/>
    <mergeCell ref="A1231:G1231"/>
    <mergeCell ref="H1231:M1231"/>
    <mergeCell ref="N1231:O1231"/>
    <mergeCell ref="R1231:S1231"/>
    <mergeCell ref="A1232:G1232"/>
    <mergeCell ref="H1232:M1232"/>
    <mergeCell ref="N1232:O1232"/>
    <mergeCell ref="R1232:S1232"/>
    <mergeCell ref="A1229:G1229"/>
    <mergeCell ref="H1229:M1229"/>
    <mergeCell ref="N1229:O1229"/>
    <mergeCell ref="R1229:S1229"/>
    <mergeCell ref="A1230:G1230"/>
    <mergeCell ref="H1230:M1230"/>
    <mergeCell ref="N1230:O1230"/>
    <mergeCell ref="R1230:S1230"/>
    <mergeCell ref="A1239:G1239"/>
    <mergeCell ref="H1239:M1239"/>
    <mergeCell ref="N1239:O1239"/>
    <mergeCell ref="R1239:S1239"/>
    <mergeCell ref="A1240:G1240"/>
    <mergeCell ref="H1240:M1240"/>
    <mergeCell ref="N1240:O1240"/>
    <mergeCell ref="R1240:S1240"/>
    <mergeCell ref="A1237:G1237"/>
    <mergeCell ref="H1237:M1237"/>
    <mergeCell ref="N1237:O1237"/>
    <mergeCell ref="R1237:S1237"/>
    <mergeCell ref="A1238:G1238"/>
    <mergeCell ref="H1238:M1238"/>
    <mergeCell ref="N1238:O1238"/>
    <mergeCell ref="R1238:S1238"/>
    <mergeCell ref="A1235:G1235"/>
    <mergeCell ref="H1235:M1235"/>
    <mergeCell ref="N1235:O1235"/>
    <mergeCell ref="R1235:S1235"/>
    <mergeCell ref="A1236:G1236"/>
    <mergeCell ref="H1236:M1236"/>
    <mergeCell ref="N1236:O1236"/>
    <mergeCell ref="R1236:S1236"/>
    <mergeCell ref="A1245:G1245"/>
    <mergeCell ref="H1245:M1245"/>
    <mergeCell ref="N1245:O1245"/>
    <mergeCell ref="R1245:S1245"/>
    <mergeCell ref="A1246:G1246"/>
    <mergeCell ref="H1246:M1246"/>
    <mergeCell ref="N1246:O1246"/>
    <mergeCell ref="R1246:S1246"/>
    <mergeCell ref="A1243:G1243"/>
    <mergeCell ref="H1243:M1243"/>
    <mergeCell ref="N1243:O1243"/>
    <mergeCell ref="R1243:S1243"/>
    <mergeCell ref="A1244:G1244"/>
    <mergeCell ref="H1244:M1244"/>
    <mergeCell ref="N1244:O1244"/>
    <mergeCell ref="R1244:S1244"/>
    <mergeCell ref="A1241:G1241"/>
    <mergeCell ref="H1241:M1241"/>
    <mergeCell ref="N1241:O1241"/>
    <mergeCell ref="R1241:S1241"/>
    <mergeCell ref="A1242:G1242"/>
    <mergeCell ref="H1242:M1242"/>
    <mergeCell ref="N1242:O1242"/>
    <mergeCell ref="R1242:S1242"/>
    <mergeCell ref="A1251:G1251"/>
    <mergeCell ref="H1251:M1251"/>
    <mergeCell ref="N1251:O1251"/>
    <mergeCell ref="R1251:S1251"/>
    <mergeCell ref="A1252:G1252"/>
    <mergeCell ref="H1252:M1252"/>
    <mergeCell ref="N1252:O1252"/>
    <mergeCell ref="R1252:S1252"/>
    <mergeCell ref="A1249:G1249"/>
    <mergeCell ref="H1249:M1249"/>
    <mergeCell ref="N1249:O1249"/>
    <mergeCell ref="R1249:S1249"/>
    <mergeCell ref="A1250:G1250"/>
    <mergeCell ref="H1250:M1250"/>
    <mergeCell ref="N1250:O1250"/>
    <mergeCell ref="R1250:S1250"/>
    <mergeCell ref="A1247:G1247"/>
    <mergeCell ref="H1247:M1247"/>
    <mergeCell ref="N1247:O1247"/>
    <mergeCell ref="R1247:S1247"/>
    <mergeCell ref="A1248:G1248"/>
    <mergeCell ref="H1248:M1248"/>
    <mergeCell ref="N1248:O1248"/>
    <mergeCell ref="R1248:S1248"/>
    <mergeCell ref="A1257:G1257"/>
    <mergeCell ref="H1257:M1257"/>
    <mergeCell ref="N1257:O1257"/>
    <mergeCell ref="R1257:S1257"/>
    <mergeCell ref="A1258:G1258"/>
    <mergeCell ref="H1258:M1258"/>
    <mergeCell ref="N1258:O1258"/>
    <mergeCell ref="R1258:S1258"/>
    <mergeCell ref="A1255:G1255"/>
    <mergeCell ref="H1255:M1255"/>
    <mergeCell ref="N1255:O1255"/>
    <mergeCell ref="R1255:S1255"/>
    <mergeCell ref="A1256:G1256"/>
    <mergeCell ref="H1256:M1256"/>
    <mergeCell ref="N1256:O1256"/>
    <mergeCell ref="R1256:S1256"/>
    <mergeCell ref="A1253:G1253"/>
    <mergeCell ref="H1253:M1253"/>
    <mergeCell ref="N1253:O1253"/>
    <mergeCell ref="R1253:S1253"/>
    <mergeCell ref="A1254:G1254"/>
    <mergeCell ref="H1254:M1254"/>
    <mergeCell ref="N1254:O1254"/>
    <mergeCell ref="R1254:S1254"/>
    <mergeCell ref="A1263:G1263"/>
    <mergeCell ref="H1263:M1263"/>
    <mergeCell ref="N1263:O1263"/>
    <mergeCell ref="R1263:S1263"/>
    <mergeCell ref="A1264:G1264"/>
    <mergeCell ref="H1264:M1264"/>
    <mergeCell ref="N1264:O1264"/>
    <mergeCell ref="R1264:S1264"/>
    <mergeCell ref="A1261:G1261"/>
    <mergeCell ref="H1261:M1261"/>
    <mergeCell ref="N1261:O1261"/>
    <mergeCell ref="R1261:S1261"/>
    <mergeCell ref="A1262:G1262"/>
    <mergeCell ref="H1262:M1262"/>
    <mergeCell ref="N1262:O1262"/>
    <mergeCell ref="R1262:S1262"/>
    <mergeCell ref="A1259:G1259"/>
    <mergeCell ref="H1259:M1259"/>
    <mergeCell ref="N1259:O1259"/>
    <mergeCell ref="R1259:S1259"/>
    <mergeCell ref="A1260:G1260"/>
    <mergeCell ref="H1260:M1260"/>
    <mergeCell ref="N1260:O1260"/>
    <mergeCell ref="R1260:S1260"/>
    <mergeCell ref="A1269:G1269"/>
    <mergeCell ref="H1269:M1269"/>
    <mergeCell ref="N1269:O1269"/>
    <mergeCell ref="R1269:S1269"/>
    <mergeCell ref="A1270:G1270"/>
    <mergeCell ref="H1270:M1270"/>
    <mergeCell ref="N1270:O1270"/>
    <mergeCell ref="R1270:S1270"/>
    <mergeCell ref="A1267:G1267"/>
    <mergeCell ref="H1267:M1267"/>
    <mergeCell ref="N1267:O1267"/>
    <mergeCell ref="R1267:S1267"/>
    <mergeCell ref="A1268:G1268"/>
    <mergeCell ref="H1268:M1268"/>
    <mergeCell ref="N1268:O1268"/>
    <mergeCell ref="R1268:S1268"/>
    <mergeCell ref="A1265:G1265"/>
    <mergeCell ref="H1265:M1265"/>
    <mergeCell ref="N1265:O1265"/>
    <mergeCell ref="R1265:S1265"/>
    <mergeCell ref="A1266:G1266"/>
    <mergeCell ref="H1266:M1266"/>
    <mergeCell ref="N1266:O1266"/>
    <mergeCell ref="R1266:S1266"/>
    <mergeCell ref="A1275:G1275"/>
    <mergeCell ref="H1275:M1275"/>
    <mergeCell ref="N1275:O1275"/>
    <mergeCell ref="R1275:S1275"/>
    <mergeCell ref="A1276:G1276"/>
    <mergeCell ref="H1276:M1276"/>
    <mergeCell ref="N1276:O1276"/>
    <mergeCell ref="R1276:S1276"/>
    <mergeCell ref="A1273:G1273"/>
    <mergeCell ref="H1273:M1273"/>
    <mergeCell ref="N1273:O1273"/>
    <mergeCell ref="R1273:S1273"/>
    <mergeCell ref="A1274:G1274"/>
    <mergeCell ref="H1274:M1274"/>
    <mergeCell ref="N1274:O1274"/>
    <mergeCell ref="R1274:S1274"/>
    <mergeCell ref="A1271:G1271"/>
    <mergeCell ref="H1271:M1271"/>
    <mergeCell ref="N1271:O1271"/>
    <mergeCell ref="R1271:S1271"/>
    <mergeCell ref="A1272:G1272"/>
    <mergeCell ref="H1272:M1272"/>
    <mergeCell ref="N1272:O1272"/>
    <mergeCell ref="R1272:S1272"/>
    <mergeCell ref="A1281:G1281"/>
    <mergeCell ref="H1281:M1281"/>
    <mergeCell ref="N1281:O1281"/>
    <mergeCell ref="R1281:S1281"/>
    <mergeCell ref="A1282:G1282"/>
    <mergeCell ref="H1282:M1282"/>
    <mergeCell ref="N1282:O1282"/>
    <mergeCell ref="R1282:S1282"/>
    <mergeCell ref="A1279:G1279"/>
    <mergeCell ref="H1279:M1279"/>
    <mergeCell ref="N1279:O1279"/>
    <mergeCell ref="R1279:S1279"/>
    <mergeCell ref="A1280:G1280"/>
    <mergeCell ref="H1280:M1280"/>
    <mergeCell ref="N1280:O1280"/>
    <mergeCell ref="R1280:S1280"/>
    <mergeCell ref="A1277:G1277"/>
    <mergeCell ref="H1277:M1277"/>
    <mergeCell ref="N1277:O1277"/>
    <mergeCell ref="R1277:S1277"/>
    <mergeCell ref="A1278:G1278"/>
    <mergeCell ref="H1278:M1278"/>
    <mergeCell ref="N1278:O1278"/>
    <mergeCell ref="R1278:S1278"/>
    <mergeCell ref="A1287:G1287"/>
    <mergeCell ref="H1287:M1287"/>
    <mergeCell ref="N1287:O1287"/>
    <mergeCell ref="R1287:S1287"/>
    <mergeCell ref="A1288:G1288"/>
    <mergeCell ref="H1288:M1288"/>
    <mergeCell ref="N1288:O1288"/>
    <mergeCell ref="R1288:S1288"/>
    <mergeCell ref="A1285:G1285"/>
    <mergeCell ref="H1285:M1285"/>
    <mergeCell ref="N1285:O1285"/>
    <mergeCell ref="R1285:S1285"/>
    <mergeCell ref="A1286:G1286"/>
    <mergeCell ref="H1286:M1286"/>
    <mergeCell ref="N1286:O1286"/>
    <mergeCell ref="R1286:S1286"/>
    <mergeCell ref="A1283:G1283"/>
    <mergeCell ref="H1283:M1283"/>
    <mergeCell ref="N1283:O1283"/>
    <mergeCell ref="R1283:S1283"/>
    <mergeCell ref="A1284:G1284"/>
    <mergeCell ref="H1284:M1284"/>
    <mergeCell ref="N1284:O1284"/>
    <mergeCell ref="R1284:S1284"/>
    <mergeCell ref="A1293:G1293"/>
    <mergeCell ref="H1293:M1293"/>
    <mergeCell ref="N1293:O1293"/>
    <mergeCell ref="R1293:S1293"/>
    <mergeCell ref="A1294:G1294"/>
    <mergeCell ref="H1294:M1294"/>
    <mergeCell ref="N1294:O1294"/>
    <mergeCell ref="R1294:S1294"/>
    <mergeCell ref="A1291:G1291"/>
    <mergeCell ref="H1291:M1291"/>
    <mergeCell ref="N1291:O1291"/>
    <mergeCell ref="R1291:S1291"/>
    <mergeCell ref="A1292:G1292"/>
    <mergeCell ref="H1292:M1292"/>
    <mergeCell ref="N1292:O1292"/>
    <mergeCell ref="R1292:S1292"/>
    <mergeCell ref="A1289:G1289"/>
    <mergeCell ref="H1289:M1289"/>
    <mergeCell ref="N1289:O1289"/>
    <mergeCell ref="R1289:S1289"/>
    <mergeCell ref="A1290:G1290"/>
    <mergeCell ref="H1290:M1290"/>
    <mergeCell ref="N1290:O1290"/>
    <mergeCell ref="R1290:S1290"/>
    <mergeCell ref="A1299:G1299"/>
    <mergeCell ref="H1299:M1299"/>
    <mergeCell ref="N1299:O1299"/>
    <mergeCell ref="R1299:S1299"/>
    <mergeCell ref="A1300:G1300"/>
    <mergeCell ref="H1300:M1300"/>
    <mergeCell ref="N1300:O1300"/>
    <mergeCell ref="R1300:S1300"/>
    <mergeCell ref="A1297:G1297"/>
    <mergeCell ref="H1297:M1297"/>
    <mergeCell ref="N1297:O1297"/>
    <mergeCell ref="R1297:S1297"/>
    <mergeCell ref="A1298:G1298"/>
    <mergeCell ref="H1298:M1298"/>
    <mergeCell ref="N1298:O1298"/>
    <mergeCell ref="R1298:S1298"/>
    <mergeCell ref="A1295:G1295"/>
    <mergeCell ref="H1295:M1295"/>
    <mergeCell ref="N1295:O1295"/>
    <mergeCell ref="R1295:S1295"/>
    <mergeCell ref="A1296:G1296"/>
    <mergeCell ref="H1296:M1296"/>
    <mergeCell ref="N1296:O1296"/>
    <mergeCell ref="R1296:S1296"/>
    <mergeCell ref="A1305:G1305"/>
    <mergeCell ref="H1305:M1305"/>
    <mergeCell ref="N1305:O1305"/>
    <mergeCell ref="R1305:S1305"/>
    <mergeCell ref="A1306:G1306"/>
    <mergeCell ref="H1306:M1306"/>
    <mergeCell ref="N1306:O1306"/>
    <mergeCell ref="R1306:S1306"/>
    <mergeCell ref="A1303:G1303"/>
    <mergeCell ref="H1303:M1303"/>
    <mergeCell ref="N1303:O1303"/>
    <mergeCell ref="R1303:S1303"/>
    <mergeCell ref="A1304:G1304"/>
    <mergeCell ref="H1304:M1304"/>
    <mergeCell ref="N1304:O1304"/>
    <mergeCell ref="R1304:S1304"/>
    <mergeCell ref="A1301:G1301"/>
    <mergeCell ref="H1301:M1301"/>
    <mergeCell ref="N1301:O1301"/>
    <mergeCell ref="R1301:S1301"/>
    <mergeCell ref="A1302:G1302"/>
    <mergeCell ref="H1302:M1302"/>
    <mergeCell ref="N1302:O1302"/>
    <mergeCell ref="R1302:S1302"/>
    <mergeCell ref="A1311:G1311"/>
    <mergeCell ref="H1311:M1311"/>
    <mergeCell ref="N1311:O1311"/>
    <mergeCell ref="R1311:S1311"/>
    <mergeCell ref="A1312:G1312"/>
    <mergeCell ref="H1312:M1312"/>
    <mergeCell ref="N1312:O1312"/>
    <mergeCell ref="R1312:S1312"/>
    <mergeCell ref="A1309:G1309"/>
    <mergeCell ref="H1309:M1309"/>
    <mergeCell ref="N1309:O1309"/>
    <mergeCell ref="R1309:S1309"/>
    <mergeCell ref="A1310:G1310"/>
    <mergeCell ref="H1310:M1310"/>
    <mergeCell ref="N1310:O1310"/>
    <mergeCell ref="R1310:S1310"/>
    <mergeCell ref="A1307:G1307"/>
    <mergeCell ref="H1307:M1307"/>
    <mergeCell ref="N1307:O1307"/>
    <mergeCell ref="R1307:S1307"/>
    <mergeCell ref="A1308:G1308"/>
    <mergeCell ref="H1308:M1308"/>
    <mergeCell ref="N1308:O1308"/>
    <mergeCell ref="R1308:S1308"/>
    <mergeCell ref="A1317:G1317"/>
    <mergeCell ref="H1317:M1317"/>
    <mergeCell ref="N1317:O1317"/>
    <mergeCell ref="R1317:S1317"/>
    <mergeCell ref="A1318:G1318"/>
    <mergeCell ref="H1318:M1318"/>
    <mergeCell ref="N1318:O1318"/>
    <mergeCell ref="R1318:S1318"/>
    <mergeCell ref="A1315:G1315"/>
    <mergeCell ref="H1315:M1315"/>
    <mergeCell ref="N1315:O1315"/>
    <mergeCell ref="R1315:S1315"/>
    <mergeCell ref="A1316:G1316"/>
    <mergeCell ref="H1316:M1316"/>
    <mergeCell ref="N1316:O1316"/>
    <mergeCell ref="R1316:S1316"/>
    <mergeCell ref="A1313:G1313"/>
    <mergeCell ref="H1313:M1313"/>
    <mergeCell ref="N1313:O1313"/>
    <mergeCell ref="R1313:S1313"/>
    <mergeCell ref="A1314:G1314"/>
    <mergeCell ref="H1314:M1314"/>
    <mergeCell ref="N1314:O1314"/>
    <mergeCell ref="R1314:S1314"/>
    <mergeCell ref="A1323:G1323"/>
    <mergeCell ref="H1323:M1323"/>
    <mergeCell ref="N1323:O1323"/>
    <mergeCell ref="R1323:S1323"/>
    <mergeCell ref="A1324:G1324"/>
    <mergeCell ref="H1324:M1324"/>
    <mergeCell ref="N1324:O1324"/>
    <mergeCell ref="R1324:S1324"/>
    <mergeCell ref="A1321:G1321"/>
    <mergeCell ref="H1321:M1321"/>
    <mergeCell ref="N1321:O1321"/>
    <mergeCell ref="R1321:S1321"/>
    <mergeCell ref="A1322:G1322"/>
    <mergeCell ref="H1322:M1322"/>
    <mergeCell ref="N1322:O1322"/>
    <mergeCell ref="R1322:S1322"/>
    <mergeCell ref="A1319:G1319"/>
    <mergeCell ref="H1319:M1319"/>
    <mergeCell ref="N1319:O1319"/>
    <mergeCell ref="R1319:S1319"/>
    <mergeCell ref="A1320:G1320"/>
    <mergeCell ref="H1320:M1320"/>
    <mergeCell ref="N1320:O1320"/>
    <mergeCell ref="R1320:S1320"/>
    <mergeCell ref="A1329:G1329"/>
    <mergeCell ref="H1329:M1329"/>
    <mergeCell ref="N1329:O1329"/>
    <mergeCell ref="R1329:S1329"/>
    <mergeCell ref="A1330:G1330"/>
    <mergeCell ref="H1330:M1330"/>
    <mergeCell ref="N1330:O1330"/>
    <mergeCell ref="R1330:S1330"/>
    <mergeCell ref="A1327:G1327"/>
    <mergeCell ref="H1327:M1327"/>
    <mergeCell ref="N1327:O1327"/>
    <mergeCell ref="R1327:S1327"/>
    <mergeCell ref="A1328:G1328"/>
    <mergeCell ref="H1328:M1328"/>
    <mergeCell ref="N1328:O1328"/>
    <mergeCell ref="R1328:S1328"/>
    <mergeCell ref="A1325:G1325"/>
    <mergeCell ref="H1325:M1325"/>
    <mergeCell ref="N1325:O1325"/>
    <mergeCell ref="R1325:S1325"/>
    <mergeCell ref="A1326:G1326"/>
    <mergeCell ref="H1326:M1326"/>
    <mergeCell ref="N1326:O1326"/>
    <mergeCell ref="R1326:S1326"/>
    <mergeCell ref="A1335:G1335"/>
    <mergeCell ref="H1335:M1335"/>
    <mergeCell ref="N1335:O1335"/>
    <mergeCell ref="R1335:S1335"/>
    <mergeCell ref="A1336:G1336"/>
    <mergeCell ref="H1336:M1336"/>
    <mergeCell ref="N1336:O1336"/>
    <mergeCell ref="R1336:S1336"/>
    <mergeCell ref="A1333:G1333"/>
    <mergeCell ref="H1333:M1333"/>
    <mergeCell ref="N1333:O1333"/>
    <mergeCell ref="R1333:S1333"/>
    <mergeCell ref="A1334:G1334"/>
    <mergeCell ref="H1334:M1334"/>
    <mergeCell ref="N1334:O1334"/>
    <mergeCell ref="R1334:S1334"/>
    <mergeCell ref="A1331:G1331"/>
    <mergeCell ref="H1331:M1331"/>
    <mergeCell ref="N1331:O1331"/>
    <mergeCell ref="R1331:S1331"/>
    <mergeCell ref="A1332:G1332"/>
    <mergeCell ref="H1332:M1332"/>
    <mergeCell ref="N1332:O1332"/>
    <mergeCell ref="R1332:S1332"/>
    <mergeCell ref="A1341:G1341"/>
    <mergeCell ref="H1341:M1341"/>
    <mergeCell ref="N1341:O1341"/>
    <mergeCell ref="R1341:S1341"/>
    <mergeCell ref="A1342:G1342"/>
    <mergeCell ref="H1342:M1342"/>
    <mergeCell ref="N1342:O1342"/>
    <mergeCell ref="R1342:S1342"/>
    <mergeCell ref="A1339:G1339"/>
    <mergeCell ref="H1339:M1339"/>
    <mergeCell ref="N1339:O1339"/>
    <mergeCell ref="R1339:S1339"/>
    <mergeCell ref="A1340:G1340"/>
    <mergeCell ref="H1340:M1340"/>
    <mergeCell ref="N1340:O1340"/>
    <mergeCell ref="R1340:S1340"/>
    <mergeCell ref="A1337:G1337"/>
    <mergeCell ref="H1337:M1337"/>
    <mergeCell ref="N1337:O1337"/>
    <mergeCell ref="R1337:S1337"/>
    <mergeCell ref="A1338:G1338"/>
    <mergeCell ref="H1338:M1338"/>
    <mergeCell ref="N1338:O1338"/>
    <mergeCell ref="R1338:S1338"/>
    <mergeCell ref="A1347:G1347"/>
    <mergeCell ref="H1347:M1347"/>
    <mergeCell ref="N1347:O1347"/>
    <mergeCell ref="R1347:S1347"/>
    <mergeCell ref="A1348:G1348"/>
    <mergeCell ref="H1348:M1348"/>
    <mergeCell ref="N1348:O1348"/>
    <mergeCell ref="R1348:S1348"/>
    <mergeCell ref="A1345:G1345"/>
    <mergeCell ref="H1345:M1345"/>
    <mergeCell ref="N1345:O1345"/>
    <mergeCell ref="R1345:S1345"/>
    <mergeCell ref="A1346:G1346"/>
    <mergeCell ref="H1346:M1346"/>
    <mergeCell ref="N1346:O1346"/>
    <mergeCell ref="R1346:S1346"/>
    <mergeCell ref="A1343:G1343"/>
    <mergeCell ref="H1343:M1343"/>
    <mergeCell ref="N1343:O1343"/>
    <mergeCell ref="R1343:S1343"/>
    <mergeCell ref="A1344:G1344"/>
    <mergeCell ref="H1344:M1344"/>
    <mergeCell ref="N1344:O1344"/>
    <mergeCell ref="R1344:S1344"/>
    <mergeCell ref="A1353:G1353"/>
    <mergeCell ref="H1353:M1353"/>
    <mergeCell ref="N1353:O1353"/>
    <mergeCell ref="R1353:S1353"/>
    <mergeCell ref="A1354:G1354"/>
    <mergeCell ref="H1354:M1354"/>
    <mergeCell ref="N1354:O1354"/>
    <mergeCell ref="R1354:S1354"/>
    <mergeCell ref="A1351:G1351"/>
    <mergeCell ref="H1351:M1351"/>
    <mergeCell ref="N1351:O1351"/>
    <mergeCell ref="R1351:S1351"/>
    <mergeCell ref="A1352:G1352"/>
    <mergeCell ref="H1352:M1352"/>
    <mergeCell ref="N1352:O1352"/>
    <mergeCell ref="R1352:S1352"/>
    <mergeCell ref="A1349:G1349"/>
    <mergeCell ref="H1349:M1349"/>
    <mergeCell ref="N1349:O1349"/>
    <mergeCell ref="R1349:S1349"/>
    <mergeCell ref="A1350:G1350"/>
    <mergeCell ref="H1350:M1350"/>
    <mergeCell ref="N1350:O1350"/>
    <mergeCell ref="R1350:S1350"/>
    <mergeCell ref="A1359:G1359"/>
    <mergeCell ref="H1359:M1359"/>
    <mergeCell ref="N1359:O1359"/>
    <mergeCell ref="R1359:S1359"/>
    <mergeCell ref="A1360:G1360"/>
    <mergeCell ref="H1360:M1360"/>
    <mergeCell ref="N1360:O1360"/>
    <mergeCell ref="R1360:S1360"/>
    <mergeCell ref="A1357:G1357"/>
    <mergeCell ref="H1357:M1357"/>
    <mergeCell ref="N1357:O1357"/>
    <mergeCell ref="R1357:S1357"/>
    <mergeCell ref="A1358:G1358"/>
    <mergeCell ref="H1358:M1358"/>
    <mergeCell ref="N1358:O1358"/>
    <mergeCell ref="R1358:S1358"/>
    <mergeCell ref="A1355:G1355"/>
    <mergeCell ref="H1355:M1355"/>
    <mergeCell ref="N1355:O1355"/>
    <mergeCell ref="R1355:S1355"/>
    <mergeCell ref="A1356:G1356"/>
    <mergeCell ref="H1356:M1356"/>
    <mergeCell ref="N1356:O1356"/>
    <mergeCell ref="R1356:S1356"/>
    <mergeCell ref="A1365:G1365"/>
    <mergeCell ref="H1365:M1365"/>
    <mergeCell ref="N1365:O1365"/>
    <mergeCell ref="R1365:S1365"/>
    <mergeCell ref="A1366:G1366"/>
    <mergeCell ref="H1366:M1366"/>
    <mergeCell ref="N1366:O1366"/>
    <mergeCell ref="R1366:S1366"/>
    <mergeCell ref="A1363:G1363"/>
    <mergeCell ref="H1363:M1363"/>
    <mergeCell ref="N1363:O1363"/>
    <mergeCell ref="R1363:S1363"/>
    <mergeCell ref="A1364:G1364"/>
    <mergeCell ref="H1364:M1364"/>
    <mergeCell ref="N1364:O1364"/>
    <mergeCell ref="R1364:S1364"/>
    <mergeCell ref="A1361:G1361"/>
    <mergeCell ref="H1361:M1361"/>
    <mergeCell ref="N1361:O1361"/>
    <mergeCell ref="R1361:S1361"/>
    <mergeCell ref="A1362:G1362"/>
    <mergeCell ref="H1362:M1362"/>
    <mergeCell ref="N1362:O1362"/>
    <mergeCell ref="R1362:S1362"/>
    <mergeCell ref="A1371:G1371"/>
    <mergeCell ref="H1371:M1371"/>
    <mergeCell ref="N1371:O1371"/>
    <mergeCell ref="R1371:S1371"/>
    <mergeCell ref="A1372:G1372"/>
    <mergeCell ref="H1372:M1372"/>
    <mergeCell ref="N1372:O1372"/>
    <mergeCell ref="R1372:S1372"/>
    <mergeCell ref="A1369:G1369"/>
    <mergeCell ref="H1369:M1369"/>
    <mergeCell ref="N1369:O1369"/>
    <mergeCell ref="R1369:S1369"/>
    <mergeCell ref="A1370:G1370"/>
    <mergeCell ref="H1370:M1370"/>
    <mergeCell ref="N1370:O1370"/>
    <mergeCell ref="R1370:S1370"/>
    <mergeCell ref="A1367:G1367"/>
    <mergeCell ref="H1367:M1367"/>
    <mergeCell ref="N1367:O1367"/>
    <mergeCell ref="R1367:S1367"/>
    <mergeCell ref="A1368:G1368"/>
    <mergeCell ref="H1368:M1368"/>
    <mergeCell ref="N1368:O1368"/>
    <mergeCell ref="R1368:S1368"/>
    <mergeCell ref="A1377:G1377"/>
    <mergeCell ref="H1377:M1377"/>
    <mergeCell ref="N1377:O1377"/>
    <mergeCell ref="R1377:S1377"/>
    <mergeCell ref="A1378:G1378"/>
    <mergeCell ref="H1378:M1378"/>
    <mergeCell ref="N1378:O1378"/>
    <mergeCell ref="R1378:S1378"/>
    <mergeCell ref="A1375:G1375"/>
    <mergeCell ref="H1375:M1375"/>
    <mergeCell ref="N1375:O1375"/>
    <mergeCell ref="R1375:S1375"/>
    <mergeCell ref="A1376:G1376"/>
    <mergeCell ref="H1376:M1376"/>
    <mergeCell ref="N1376:O1376"/>
    <mergeCell ref="R1376:S1376"/>
    <mergeCell ref="A1373:G1373"/>
    <mergeCell ref="H1373:M1373"/>
    <mergeCell ref="N1373:O1373"/>
    <mergeCell ref="R1373:S1373"/>
    <mergeCell ref="A1374:G1374"/>
    <mergeCell ref="H1374:M1374"/>
    <mergeCell ref="N1374:O1374"/>
    <mergeCell ref="R1374:S1374"/>
    <mergeCell ref="A1383:G1383"/>
    <mergeCell ref="H1383:M1383"/>
    <mergeCell ref="N1383:O1383"/>
    <mergeCell ref="R1383:S1383"/>
    <mergeCell ref="A1384:G1384"/>
    <mergeCell ref="H1384:M1384"/>
    <mergeCell ref="N1384:O1384"/>
    <mergeCell ref="R1384:S1384"/>
    <mergeCell ref="A1381:G1381"/>
    <mergeCell ref="H1381:M1381"/>
    <mergeCell ref="N1381:O1381"/>
    <mergeCell ref="R1381:S1381"/>
    <mergeCell ref="A1382:G1382"/>
    <mergeCell ref="H1382:M1382"/>
    <mergeCell ref="N1382:O1382"/>
    <mergeCell ref="R1382:S1382"/>
    <mergeCell ref="A1379:G1379"/>
    <mergeCell ref="H1379:M1379"/>
    <mergeCell ref="N1379:O1379"/>
    <mergeCell ref="R1379:S1379"/>
    <mergeCell ref="A1380:G1380"/>
    <mergeCell ref="H1380:M1380"/>
    <mergeCell ref="N1380:O1380"/>
    <mergeCell ref="R1380:S1380"/>
    <mergeCell ref="A1389:G1389"/>
    <mergeCell ref="H1389:M1389"/>
    <mergeCell ref="N1389:O1389"/>
    <mergeCell ref="R1389:S1389"/>
    <mergeCell ref="A1390:G1390"/>
    <mergeCell ref="H1390:M1390"/>
    <mergeCell ref="N1390:O1390"/>
    <mergeCell ref="R1390:S1390"/>
    <mergeCell ref="A1387:G1387"/>
    <mergeCell ref="H1387:M1387"/>
    <mergeCell ref="N1387:O1387"/>
    <mergeCell ref="R1387:S1387"/>
    <mergeCell ref="A1388:G1388"/>
    <mergeCell ref="H1388:M1388"/>
    <mergeCell ref="N1388:O1388"/>
    <mergeCell ref="R1388:S1388"/>
    <mergeCell ref="A1385:G1385"/>
    <mergeCell ref="H1385:M1385"/>
    <mergeCell ref="N1385:O1385"/>
    <mergeCell ref="R1385:S1385"/>
    <mergeCell ref="A1386:G1386"/>
    <mergeCell ref="H1386:M1386"/>
    <mergeCell ref="N1386:O1386"/>
    <mergeCell ref="R1386:S1386"/>
    <mergeCell ref="A1395:G1395"/>
    <mergeCell ref="H1395:M1395"/>
    <mergeCell ref="N1395:O1395"/>
    <mergeCell ref="R1395:S1395"/>
    <mergeCell ref="A1396:G1396"/>
    <mergeCell ref="H1396:M1396"/>
    <mergeCell ref="N1396:O1396"/>
    <mergeCell ref="R1396:S1396"/>
    <mergeCell ref="A1393:G1393"/>
    <mergeCell ref="H1393:M1393"/>
    <mergeCell ref="N1393:O1393"/>
    <mergeCell ref="R1393:S1393"/>
    <mergeCell ref="A1394:G1394"/>
    <mergeCell ref="H1394:M1394"/>
    <mergeCell ref="N1394:O1394"/>
    <mergeCell ref="R1394:S1394"/>
    <mergeCell ref="A1391:G1391"/>
    <mergeCell ref="H1391:M1391"/>
    <mergeCell ref="N1391:O1391"/>
    <mergeCell ref="R1391:S1391"/>
    <mergeCell ref="A1392:G1392"/>
    <mergeCell ref="H1392:M1392"/>
    <mergeCell ref="N1392:O1392"/>
    <mergeCell ref="R1392:S1392"/>
    <mergeCell ref="A1401:G1401"/>
    <mergeCell ref="H1401:M1401"/>
    <mergeCell ref="N1401:O1401"/>
    <mergeCell ref="R1401:S1401"/>
    <mergeCell ref="A1402:G1402"/>
    <mergeCell ref="H1402:M1402"/>
    <mergeCell ref="N1402:O1402"/>
    <mergeCell ref="R1402:S1402"/>
    <mergeCell ref="A1399:G1399"/>
    <mergeCell ref="H1399:M1399"/>
    <mergeCell ref="N1399:O1399"/>
    <mergeCell ref="R1399:S1399"/>
    <mergeCell ref="A1400:G1400"/>
    <mergeCell ref="H1400:M1400"/>
    <mergeCell ref="N1400:O1400"/>
    <mergeCell ref="R1400:S1400"/>
    <mergeCell ref="A1397:G1397"/>
    <mergeCell ref="H1397:M1397"/>
    <mergeCell ref="N1397:O1397"/>
    <mergeCell ref="R1397:S1397"/>
    <mergeCell ref="A1398:G1398"/>
    <mergeCell ref="H1398:M1398"/>
    <mergeCell ref="N1398:O1398"/>
    <mergeCell ref="R1398:S1398"/>
    <mergeCell ref="A1407:G1407"/>
    <mergeCell ref="H1407:M1407"/>
    <mergeCell ref="N1407:O1407"/>
    <mergeCell ref="R1407:S1407"/>
    <mergeCell ref="A1408:G1408"/>
    <mergeCell ref="H1408:M1408"/>
    <mergeCell ref="N1408:O1408"/>
    <mergeCell ref="R1408:S1408"/>
    <mergeCell ref="A1405:G1405"/>
    <mergeCell ref="H1405:M1405"/>
    <mergeCell ref="N1405:O1405"/>
    <mergeCell ref="R1405:S1405"/>
    <mergeCell ref="A1406:G1406"/>
    <mergeCell ref="H1406:M1406"/>
    <mergeCell ref="N1406:O1406"/>
    <mergeCell ref="R1406:S1406"/>
    <mergeCell ref="A1403:G1403"/>
    <mergeCell ref="H1403:M1403"/>
    <mergeCell ref="N1403:O1403"/>
    <mergeCell ref="R1403:S1403"/>
    <mergeCell ref="A1404:G1404"/>
    <mergeCell ref="H1404:M1404"/>
    <mergeCell ref="N1404:O1404"/>
    <mergeCell ref="R1404:S1404"/>
    <mergeCell ref="A1413:G1413"/>
    <mergeCell ref="H1413:M1413"/>
    <mergeCell ref="N1413:O1413"/>
    <mergeCell ref="R1413:S1413"/>
    <mergeCell ref="A1414:G1414"/>
    <mergeCell ref="H1414:M1414"/>
    <mergeCell ref="N1414:O1414"/>
    <mergeCell ref="R1414:S1414"/>
    <mergeCell ref="A1411:G1411"/>
    <mergeCell ref="H1411:M1411"/>
    <mergeCell ref="N1411:O1411"/>
    <mergeCell ref="R1411:S1411"/>
    <mergeCell ref="A1412:G1412"/>
    <mergeCell ref="H1412:M1412"/>
    <mergeCell ref="N1412:O1412"/>
    <mergeCell ref="R1412:S1412"/>
    <mergeCell ref="A1409:G1409"/>
    <mergeCell ref="H1409:M1409"/>
    <mergeCell ref="N1409:O1409"/>
    <mergeCell ref="R1409:S1409"/>
    <mergeCell ref="A1410:G1410"/>
    <mergeCell ref="H1410:M1410"/>
    <mergeCell ref="N1410:O1410"/>
    <mergeCell ref="R1410:S1410"/>
    <mergeCell ref="A1419:G1419"/>
    <mergeCell ref="H1419:M1419"/>
    <mergeCell ref="N1419:O1419"/>
    <mergeCell ref="R1419:S1419"/>
    <mergeCell ref="A1420:G1420"/>
    <mergeCell ref="H1420:M1420"/>
    <mergeCell ref="N1420:O1420"/>
    <mergeCell ref="R1420:S1420"/>
    <mergeCell ref="A1417:G1417"/>
    <mergeCell ref="H1417:M1417"/>
    <mergeCell ref="N1417:O1417"/>
    <mergeCell ref="R1417:S1417"/>
    <mergeCell ref="A1418:G1418"/>
    <mergeCell ref="H1418:M1418"/>
    <mergeCell ref="N1418:O1418"/>
    <mergeCell ref="R1418:S1418"/>
    <mergeCell ref="A1415:G1415"/>
    <mergeCell ref="H1415:M1415"/>
    <mergeCell ref="N1415:O1415"/>
    <mergeCell ref="R1415:S1415"/>
    <mergeCell ref="A1416:G1416"/>
    <mergeCell ref="H1416:M1416"/>
    <mergeCell ref="N1416:O1416"/>
    <mergeCell ref="R1416:S1416"/>
    <mergeCell ref="A1425:G1425"/>
    <mergeCell ref="H1425:M1425"/>
    <mergeCell ref="N1425:O1425"/>
    <mergeCell ref="R1425:S1425"/>
    <mergeCell ref="A1426:G1426"/>
    <mergeCell ref="H1426:M1426"/>
    <mergeCell ref="N1426:O1426"/>
    <mergeCell ref="R1426:S1426"/>
    <mergeCell ref="A1423:G1423"/>
    <mergeCell ref="H1423:M1423"/>
    <mergeCell ref="N1423:O1423"/>
    <mergeCell ref="R1423:S1423"/>
    <mergeCell ref="A1424:G1424"/>
    <mergeCell ref="H1424:M1424"/>
    <mergeCell ref="N1424:O1424"/>
    <mergeCell ref="R1424:S1424"/>
    <mergeCell ref="A1421:G1421"/>
    <mergeCell ref="H1421:M1421"/>
    <mergeCell ref="N1421:O1421"/>
    <mergeCell ref="R1421:S1421"/>
    <mergeCell ref="A1422:G1422"/>
    <mergeCell ref="H1422:M1422"/>
    <mergeCell ref="N1422:O1422"/>
    <mergeCell ref="R1422:S1422"/>
    <mergeCell ref="A1431:G1431"/>
    <mergeCell ref="H1431:M1431"/>
    <mergeCell ref="N1431:O1431"/>
    <mergeCell ref="R1431:S1431"/>
    <mergeCell ref="A1432:G1432"/>
    <mergeCell ref="H1432:M1432"/>
    <mergeCell ref="N1432:O1432"/>
    <mergeCell ref="R1432:S1432"/>
    <mergeCell ref="A1429:G1429"/>
    <mergeCell ref="H1429:M1429"/>
    <mergeCell ref="N1429:O1429"/>
    <mergeCell ref="R1429:S1429"/>
    <mergeCell ref="A1430:G1430"/>
    <mergeCell ref="H1430:M1430"/>
    <mergeCell ref="N1430:O1430"/>
    <mergeCell ref="R1430:S1430"/>
    <mergeCell ref="A1427:G1427"/>
    <mergeCell ref="H1427:M1427"/>
    <mergeCell ref="N1427:O1427"/>
    <mergeCell ref="R1427:S1427"/>
    <mergeCell ref="A1428:G1428"/>
    <mergeCell ref="H1428:M1428"/>
    <mergeCell ref="N1428:O1428"/>
    <mergeCell ref="R1428:S1428"/>
    <mergeCell ref="A1437:G1437"/>
    <mergeCell ref="H1437:M1437"/>
    <mergeCell ref="N1437:O1437"/>
    <mergeCell ref="R1437:S1437"/>
    <mergeCell ref="A1438:G1438"/>
    <mergeCell ref="H1438:M1438"/>
    <mergeCell ref="N1438:O1438"/>
    <mergeCell ref="R1438:S1438"/>
    <mergeCell ref="A1435:G1435"/>
    <mergeCell ref="H1435:M1435"/>
    <mergeCell ref="N1435:O1435"/>
    <mergeCell ref="R1435:S1435"/>
    <mergeCell ref="A1436:G1436"/>
    <mergeCell ref="H1436:M1436"/>
    <mergeCell ref="N1436:O1436"/>
    <mergeCell ref="R1436:S1436"/>
    <mergeCell ref="A1433:G1433"/>
    <mergeCell ref="H1433:M1433"/>
    <mergeCell ref="N1433:O1433"/>
    <mergeCell ref="R1433:S1433"/>
    <mergeCell ref="A1434:G1434"/>
    <mergeCell ref="H1434:M1434"/>
    <mergeCell ref="N1434:O1434"/>
    <mergeCell ref="R1434:S1434"/>
    <mergeCell ref="A1443:G1443"/>
    <mergeCell ref="H1443:M1443"/>
    <mergeCell ref="N1443:O1443"/>
    <mergeCell ref="R1443:S1443"/>
    <mergeCell ref="A1444:G1444"/>
    <mergeCell ref="H1444:M1444"/>
    <mergeCell ref="N1444:O1444"/>
    <mergeCell ref="R1444:S1444"/>
    <mergeCell ref="A1441:G1441"/>
    <mergeCell ref="H1441:M1441"/>
    <mergeCell ref="N1441:O1441"/>
    <mergeCell ref="R1441:S1441"/>
    <mergeCell ref="A1442:G1442"/>
    <mergeCell ref="H1442:M1442"/>
    <mergeCell ref="N1442:O1442"/>
    <mergeCell ref="R1442:S1442"/>
    <mergeCell ref="A1439:G1439"/>
    <mergeCell ref="H1439:M1439"/>
    <mergeCell ref="N1439:O1439"/>
    <mergeCell ref="R1439:S1439"/>
    <mergeCell ref="A1440:G1440"/>
    <mergeCell ref="H1440:M1440"/>
    <mergeCell ref="N1440:O1440"/>
    <mergeCell ref="R1440:S1440"/>
    <mergeCell ref="A1449:G1449"/>
    <mergeCell ref="H1449:M1449"/>
    <mergeCell ref="N1449:O1449"/>
    <mergeCell ref="R1449:S1449"/>
    <mergeCell ref="A1450:G1450"/>
    <mergeCell ref="H1450:M1450"/>
    <mergeCell ref="N1450:O1450"/>
    <mergeCell ref="R1450:S1450"/>
    <mergeCell ref="A1447:G1447"/>
    <mergeCell ref="H1447:M1447"/>
    <mergeCell ref="N1447:O1447"/>
    <mergeCell ref="R1447:S1447"/>
    <mergeCell ref="A1448:G1448"/>
    <mergeCell ref="H1448:M1448"/>
    <mergeCell ref="N1448:O1448"/>
    <mergeCell ref="R1448:S1448"/>
    <mergeCell ref="A1445:G1445"/>
    <mergeCell ref="H1445:M1445"/>
    <mergeCell ref="N1445:O1445"/>
    <mergeCell ref="R1445:S1445"/>
    <mergeCell ref="A1446:G1446"/>
    <mergeCell ref="H1446:M1446"/>
    <mergeCell ref="N1446:O1446"/>
    <mergeCell ref="R1446:S1446"/>
    <mergeCell ref="A1455:G1455"/>
    <mergeCell ref="H1455:M1455"/>
    <mergeCell ref="N1455:O1455"/>
    <mergeCell ref="R1455:S1455"/>
    <mergeCell ref="A1456:G1456"/>
    <mergeCell ref="H1456:M1456"/>
    <mergeCell ref="N1456:O1456"/>
    <mergeCell ref="R1456:S1456"/>
    <mergeCell ref="A1453:G1453"/>
    <mergeCell ref="H1453:M1453"/>
    <mergeCell ref="N1453:O1453"/>
    <mergeCell ref="R1453:S1453"/>
    <mergeCell ref="A1454:G1454"/>
    <mergeCell ref="H1454:M1454"/>
    <mergeCell ref="N1454:O1454"/>
    <mergeCell ref="R1454:S1454"/>
    <mergeCell ref="A1451:G1451"/>
    <mergeCell ref="H1451:M1451"/>
    <mergeCell ref="N1451:O1451"/>
    <mergeCell ref="R1451:S1451"/>
    <mergeCell ref="A1452:G1452"/>
    <mergeCell ref="H1452:M1452"/>
    <mergeCell ref="N1452:O1452"/>
    <mergeCell ref="R1452:S1452"/>
    <mergeCell ref="A1461:G1461"/>
    <mergeCell ref="H1461:M1461"/>
    <mergeCell ref="N1461:O1461"/>
    <mergeCell ref="R1461:S1461"/>
    <mergeCell ref="A1462:G1462"/>
    <mergeCell ref="H1462:M1462"/>
    <mergeCell ref="N1462:O1462"/>
    <mergeCell ref="R1462:S1462"/>
    <mergeCell ref="A1459:G1459"/>
    <mergeCell ref="H1459:M1459"/>
    <mergeCell ref="N1459:O1459"/>
    <mergeCell ref="R1459:S1459"/>
    <mergeCell ref="A1460:G1460"/>
    <mergeCell ref="H1460:M1460"/>
    <mergeCell ref="N1460:O1460"/>
    <mergeCell ref="R1460:S1460"/>
    <mergeCell ref="A1457:G1457"/>
    <mergeCell ref="H1457:M1457"/>
    <mergeCell ref="N1457:O1457"/>
    <mergeCell ref="R1457:S1457"/>
    <mergeCell ref="A1458:G1458"/>
    <mergeCell ref="H1458:M1458"/>
    <mergeCell ref="N1458:O1458"/>
    <mergeCell ref="R1458:S1458"/>
    <mergeCell ref="A1467:G1467"/>
    <mergeCell ref="H1467:M1467"/>
    <mergeCell ref="N1467:O1467"/>
    <mergeCell ref="R1467:S1467"/>
    <mergeCell ref="A1468:G1468"/>
    <mergeCell ref="H1468:M1468"/>
    <mergeCell ref="N1468:O1468"/>
    <mergeCell ref="R1468:S1468"/>
    <mergeCell ref="A1465:G1465"/>
    <mergeCell ref="H1465:M1465"/>
    <mergeCell ref="N1465:O1465"/>
    <mergeCell ref="R1465:S1465"/>
    <mergeCell ref="A1466:G1466"/>
    <mergeCell ref="H1466:M1466"/>
    <mergeCell ref="N1466:O1466"/>
    <mergeCell ref="R1466:S1466"/>
    <mergeCell ref="A1463:G1463"/>
    <mergeCell ref="H1463:M1463"/>
    <mergeCell ref="N1463:O1463"/>
    <mergeCell ref="R1463:S1463"/>
    <mergeCell ref="A1464:G1464"/>
    <mergeCell ref="H1464:M1464"/>
    <mergeCell ref="N1464:O1464"/>
    <mergeCell ref="R1464:S1464"/>
    <mergeCell ref="A1473:G1473"/>
    <mergeCell ref="H1473:M1473"/>
    <mergeCell ref="N1473:O1473"/>
    <mergeCell ref="R1473:S1473"/>
    <mergeCell ref="A1474:G1474"/>
    <mergeCell ref="H1474:M1474"/>
    <mergeCell ref="N1474:O1474"/>
    <mergeCell ref="R1474:S1474"/>
    <mergeCell ref="A1471:G1471"/>
    <mergeCell ref="H1471:M1471"/>
    <mergeCell ref="N1471:O1471"/>
    <mergeCell ref="R1471:S1471"/>
    <mergeCell ref="A1472:G1472"/>
    <mergeCell ref="H1472:M1472"/>
    <mergeCell ref="N1472:O1472"/>
    <mergeCell ref="R1472:S1472"/>
    <mergeCell ref="A1469:G1469"/>
    <mergeCell ref="H1469:M1469"/>
    <mergeCell ref="N1469:O1469"/>
    <mergeCell ref="R1469:S1469"/>
    <mergeCell ref="A1470:G1470"/>
    <mergeCell ref="H1470:M1470"/>
    <mergeCell ref="N1470:O1470"/>
    <mergeCell ref="R1470:S1470"/>
    <mergeCell ref="A1479:G1479"/>
    <mergeCell ref="H1479:M1479"/>
    <mergeCell ref="N1479:O1479"/>
    <mergeCell ref="R1479:S1479"/>
    <mergeCell ref="A1480:G1480"/>
    <mergeCell ref="H1480:M1480"/>
    <mergeCell ref="N1480:O1480"/>
    <mergeCell ref="R1480:S1480"/>
    <mergeCell ref="A1477:G1477"/>
    <mergeCell ref="H1477:M1477"/>
    <mergeCell ref="N1477:O1477"/>
    <mergeCell ref="R1477:S1477"/>
    <mergeCell ref="A1478:G1478"/>
    <mergeCell ref="H1478:M1478"/>
    <mergeCell ref="N1478:O1478"/>
    <mergeCell ref="R1478:S1478"/>
    <mergeCell ref="A1475:G1475"/>
    <mergeCell ref="H1475:M1475"/>
    <mergeCell ref="N1475:O1475"/>
    <mergeCell ref="R1475:S1475"/>
    <mergeCell ref="A1476:G1476"/>
    <mergeCell ref="H1476:M1476"/>
    <mergeCell ref="N1476:O1476"/>
    <mergeCell ref="R1476:S1476"/>
    <mergeCell ref="A1485:G1485"/>
    <mergeCell ref="H1485:M1485"/>
    <mergeCell ref="N1485:O1485"/>
    <mergeCell ref="R1485:S1485"/>
    <mergeCell ref="A1486:G1486"/>
    <mergeCell ref="H1486:M1486"/>
    <mergeCell ref="N1486:O1486"/>
    <mergeCell ref="R1486:S1486"/>
    <mergeCell ref="A1483:G1483"/>
    <mergeCell ref="H1483:M1483"/>
    <mergeCell ref="N1483:O1483"/>
    <mergeCell ref="R1483:S1483"/>
    <mergeCell ref="A1484:G1484"/>
    <mergeCell ref="H1484:M1484"/>
    <mergeCell ref="N1484:O1484"/>
    <mergeCell ref="R1484:S1484"/>
    <mergeCell ref="A1481:G1481"/>
    <mergeCell ref="H1481:M1481"/>
    <mergeCell ref="N1481:O1481"/>
    <mergeCell ref="R1481:S1481"/>
    <mergeCell ref="A1482:G1482"/>
    <mergeCell ref="H1482:M1482"/>
    <mergeCell ref="N1482:O1482"/>
    <mergeCell ref="R1482:S1482"/>
    <mergeCell ref="A1491:G1491"/>
    <mergeCell ref="H1491:M1491"/>
    <mergeCell ref="N1491:O1491"/>
    <mergeCell ref="R1491:S1491"/>
    <mergeCell ref="A1492:G1492"/>
    <mergeCell ref="H1492:M1492"/>
    <mergeCell ref="N1492:O1492"/>
    <mergeCell ref="R1492:S1492"/>
    <mergeCell ref="A1489:G1489"/>
    <mergeCell ref="H1489:M1489"/>
    <mergeCell ref="N1489:O1489"/>
    <mergeCell ref="R1489:S1489"/>
    <mergeCell ref="A1490:G1490"/>
    <mergeCell ref="H1490:M1490"/>
    <mergeCell ref="N1490:O1490"/>
    <mergeCell ref="R1490:S1490"/>
    <mergeCell ref="A1487:G1487"/>
    <mergeCell ref="H1487:M1487"/>
    <mergeCell ref="N1487:O1487"/>
    <mergeCell ref="R1487:S1487"/>
    <mergeCell ref="A1488:G1488"/>
    <mergeCell ref="H1488:M1488"/>
    <mergeCell ref="N1488:O1488"/>
    <mergeCell ref="R1488:S1488"/>
    <mergeCell ref="A1497:G1497"/>
    <mergeCell ref="H1497:M1497"/>
    <mergeCell ref="N1497:O1497"/>
    <mergeCell ref="R1497:S1497"/>
    <mergeCell ref="A1498:G1498"/>
    <mergeCell ref="H1498:M1498"/>
    <mergeCell ref="N1498:O1498"/>
    <mergeCell ref="R1498:S1498"/>
    <mergeCell ref="A1495:G1495"/>
    <mergeCell ref="H1495:M1495"/>
    <mergeCell ref="N1495:O1495"/>
    <mergeCell ref="R1495:S1495"/>
    <mergeCell ref="A1496:G1496"/>
    <mergeCell ref="H1496:M1496"/>
    <mergeCell ref="N1496:O1496"/>
    <mergeCell ref="R1496:S1496"/>
    <mergeCell ref="A1493:G1493"/>
    <mergeCell ref="H1493:M1493"/>
    <mergeCell ref="N1493:O1493"/>
    <mergeCell ref="R1493:S1493"/>
    <mergeCell ref="A1494:G1494"/>
    <mergeCell ref="H1494:M1494"/>
    <mergeCell ref="N1494:O1494"/>
    <mergeCell ref="R1494:S1494"/>
    <mergeCell ref="A1503:G1503"/>
    <mergeCell ref="H1503:M1503"/>
    <mergeCell ref="N1503:O1503"/>
    <mergeCell ref="R1503:S1503"/>
    <mergeCell ref="A1504:G1504"/>
    <mergeCell ref="H1504:M1504"/>
    <mergeCell ref="N1504:O1504"/>
    <mergeCell ref="R1504:S1504"/>
    <mergeCell ref="A1501:G1501"/>
    <mergeCell ref="H1501:M1501"/>
    <mergeCell ref="N1501:O1501"/>
    <mergeCell ref="R1501:S1501"/>
    <mergeCell ref="A1502:G1502"/>
    <mergeCell ref="H1502:M1502"/>
    <mergeCell ref="N1502:O1502"/>
    <mergeCell ref="R1502:S1502"/>
    <mergeCell ref="A1499:G1499"/>
    <mergeCell ref="H1499:M1499"/>
    <mergeCell ref="N1499:O1499"/>
    <mergeCell ref="R1499:S1499"/>
    <mergeCell ref="A1500:G1500"/>
    <mergeCell ref="H1500:M1500"/>
    <mergeCell ref="N1500:O1500"/>
    <mergeCell ref="R1500:S1500"/>
    <mergeCell ref="A1509:G1509"/>
    <mergeCell ref="H1509:M1509"/>
    <mergeCell ref="N1509:O1509"/>
    <mergeCell ref="R1509:S1509"/>
    <mergeCell ref="A1510:G1510"/>
    <mergeCell ref="H1510:M1510"/>
    <mergeCell ref="N1510:O1510"/>
    <mergeCell ref="R1510:S1510"/>
    <mergeCell ref="A1507:G1507"/>
    <mergeCell ref="H1507:M1507"/>
    <mergeCell ref="N1507:O1507"/>
    <mergeCell ref="R1507:S1507"/>
    <mergeCell ref="A1508:G1508"/>
    <mergeCell ref="H1508:M1508"/>
    <mergeCell ref="N1508:O1508"/>
    <mergeCell ref="R1508:S1508"/>
    <mergeCell ref="A1505:G1505"/>
    <mergeCell ref="H1505:M1505"/>
    <mergeCell ref="N1505:O1505"/>
    <mergeCell ref="R1505:S1505"/>
    <mergeCell ref="A1506:G1506"/>
    <mergeCell ref="H1506:M1506"/>
    <mergeCell ref="N1506:O1506"/>
    <mergeCell ref="R1506:S1506"/>
    <mergeCell ref="A1515:G1515"/>
    <mergeCell ref="H1515:M1515"/>
    <mergeCell ref="N1515:O1515"/>
    <mergeCell ref="R1515:S1515"/>
    <mergeCell ref="A1516:G1516"/>
    <mergeCell ref="H1516:M1516"/>
    <mergeCell ref="N1516:O1516"/>
    <mergeCell ref="R1516:S1516"/>
    <mergeCell ref="A1513:G1513"/>
    <mergeCell ref="H1513:M1513"/>
    <mergeCell ref="N1513:O1513"/>
    <mergeCell ref="R1513:S1513"/>
    <mergeCell ref="A1514:G1514"/>
    <mergeCell ref="H1514:M1514"/>
    <mergeCell ref="N1514:O1514"/>
    <mergeCell ref="R1514:S1514"/>
    <mergeCell ref="A1511:G1511"/>
    <mergeCell ref="H1511:M1511"/>
    <mergeCell ref="N1511:O1511"/>
    <mergeCell ref="R1511:S1511"/>
    <mergeCell ref="A1512:G1512"/>
    <mergeCell ref="H1512:M1512"/>
    <mergeCell ref="N1512:O1512"/>
    <mergeCell ref="R1512:S1512"/>
    <mergeCell ref="H1522:M1522"/>
    <mergeCell ref="N1522:O1522"/>
    <mergeCell ref="R1522:S1522"/>
    <mergeCell ref="A1519:G1519"/>
    <mergeCell ref="H1519:M1519"/>
    <mergeCell ref="N1519:O1519"/>
    <mergeCell ref="R1519:S1519"/>
    <mergeCell ref="A1520:G1520"/>
    <mergeCell ref="H1520:M1520"/>
    <mergeCell ref="N1520:O1520"/>
    <mergeCell ref="R1520:S1520"/>
    <mergeCell ref="A1517:G1517"/>
    <mergeCell ref="H1517:M1517"/>
    <mergeCell ref="N1517:O1517"/>
    <mergeCell ref="R1517:S1517"/>
    <mergeCell ref="A1518:G1518"/>
    <mergeCell ref="H1518:M1518"/>
    <mergeCell ref="N1518:O1518"/>
    <mergeCell ref="R1518:S1518"/>
    <mergeCell ref="T29:U29"/>
    <mergeCell ref="V29:W29"/>
    <mergeCell ref="T28:W28"/>
    <mergeCell ref="A1527:G1527"/>
    <mergeCell ref="H1527:M1527"/>
    <mergeCell ref="N1527:O1527"/>
    <mergeCell ref="R1527:S1527"/>
    <mergeCell ref="A1528:G1528"/>
    <mergeCell ref="H1528:M1528"/>
    <mergeCell ref="N1528:O1528"/>
    <mergeCell ref="R1528:S1528"/>
    <mergeCell ref="A1525:G1525"/>
    <mergeCell ref="H1525:M1525"/>
    <mergeCell ref="N1525:O1525"/>
    <mergeCell ref="R1525:S1525"/>
    <mergeCell ref="A1526:G1526"/>
    <mergeCell ref="H1526:M1526"/>
    <mergeCell ref="N1526:O1526"/>
    <mergeCell ref="R1526:S1526"/>
    <mergeCell ref="A1523:G1523"/>
    <mergeCell ref="H1523:M1523"/>
    <mergeCell ref="N1523:O1523"/>
    <mergeCell ref="R1523:S1523"/>
    <mergeCell ref="A1524:G1524"/>
    <mergeCell ref="H1524:M1524"/>
    <mergeCell ref="N1524:O1524"/>
    <mergeCell ref="R1524:S1524"/>
    <mergeCell ref="A1521:G1521"/>
    <mergeCell ref="H1521:M1521"/>
    <mergeCell ref="N1521:O1521"/>
    <mergeCell ref="R1521:S1521"/>
    <mergeCell ref="A1522:G1522"/>
  </mergeCells>
  <conditionalFormatting sqref="N29:N1528">
    <cfRule type="expression" dxfId="10" priority="6" stopIfTrue="1">
      <formula>AND($N29+14&lt;=TODAY(),$R29="Phase 3")</formula>
    </cfRule>
    <cfRule type="expression" dxfId="9" priority="7" stopIfTrue="1">
      <formula>AND($N29+7&lt;=TODAY(),OR($R29="Opportunity Data",$R29="Priming",$R29="Phase 1 MT",$R29="Phase 1 RR",$R29="Phase 2",$R29="Verbal Imitation",$R29="Momentary Time Sampling"))</formula>
    </cfRule>
    <cfRule type="expression" dxfId="8" priority="8" stopIfTrue="1">
      <formula>AND($N29+7&lt;=TODAY(),OR($R29="Step 1",$R29="Step 2",$R29="Step 3",$R29="Step 4",$R29="Step 5",$R29="Step 6"))</formula>
    </cfRule>
    <cfRule type="expression" dxfId="7" priority="9" stopIfTrue="1">
      <formula>AND($N29+7&lt;=TODAY(),OR($R29="Step 7",$R29="Step 8",$R29="Step 9",$R29="Step 10",$R29="Step 11",$R29="Step 12"))</formula>
    </cfRule>
    <cfRule type="expression" dxfId="6" priority="10" stopIfTrue="1">
      <formula>AND($N29+7&lt;=TODAY(),$R29="Weekly Maintenance")</formula>
    </cfRule>
    <cfRule type="expression" dxfId="5" priority="11" stopIfTrue="1">
      <formula>AND($N29+30&lt;=TODAY(),$R29="Monthly Maintenance")</formula>
    </cfRule>
  </conditionalFormatting>
  <conditionalFormatting sqref="Q29:Q1528">
    <cfRule type="expression" dxfId="4" priority="1" stopIfTrue="1">
      <formula>AND($R29="Phase 3",$Q29&gt;AVERAGEIF($R29:$R1529,"Phase 3",$Q29:$Q1529)+$E$27)</formula>
    </cfRule>
    <cfRule type="expression" dxfId="3" priority="2" stopIfTrue="1">
      <formula>AND($R29="Phase 2",$Q29&gt;AVERAGEIF($R29:$R1529,"Phase 2",$Q29:$Q1529)+$D$27)</formula>
    </cfRule>
    <cfRule type="expression" dxfId="2" priority="3" stopIfTrue="1">
      <formula>AND($R29="Phase 1 RR",$Q29&gt;AVERAGEIF($R29:$R1529,"Phase 1 RR",$Q29:$Q1529)+$C$27)</formula>
    </cfRule>
    <cfRule type="expression" dxfId="1" priority="4" stopIfTrue="1">
      <formula>AND($R29="Phase 1 MT",$Q29&gt;AVERAGEIF($R29:$R1529,"Phase 1 MT",$Q29:$Q1529)+$B$27)</formula>
    </cfRule>
    <cfRule type="expression" dxfId="0" priority="5" stopIfTrue="1">
      <formula>AND($R29="Priming",$Q29&gt;=10)</formula>
    </cfRule>
  </conditionalFormatting>
  <hyperlinks>
    <hyperlink ref="A22:F22" location="Chart_Generator" display="Chart Generator" xr:uid="{00000000-0004-0000-0000-000000000000}"/>
    <hyperlink ref="A10:F10" location="Lang_Samp_Type" display="Five Minute Language Sample: Types of Vocalizations Produced" xr:uid="{00000000-0004-0000-0000-000001000000}"/>
    <hyperlink ref="A11:F11" location="Lang_Samp_Quality" display="Five Minute Language Sample: Quality of Vocalizations Produced" xr:uid="{00000000-0004-0000-0000-000002000000}"/>
    <hyperlink ref="A12:F12" location="Unprompted_Play_Observation__5_min_15_sec" display="Unprompted Play Observation: 5 min/15 sec" xr:uid="{00000000-0004-0000-0000-000003000000}"/>
    <hyperlink ref="A13:F13" location="Unprompted_Play_Observation__10_min_30_sec" display="Unprompted Play Observation: 10 min/30 sec" xr:uid="{00000000-0004-0000-0000-000004000000}"/>
    <hyperlink ref="A14:F14" location="FSS_Participation" display="Facilitated Social Sessions: Participation" xr:uid="{00000000-0004-0000-0000-000005000000}"/>
    <hyperlink ref="A15:F15" location="FSS_Play_Obs_1030" display="Facilitated Social Sessions: Play Observation: 10 min/30 sec" xr:uid="{00000000-0004-0000-0000-000006000000}"/>
    <hyperlink ref="A16:F16" location="FSS_Play_Obs_515" display="Facilitated Social Sessions: Play Observation: 5 min/15 sec" xr:uid="{00000000-0004-0000-0000-000007000000}"/>
    <hyperlink ref="A17:F17" location="School_Circle_Time" display="School: Participation: Circle Time" xr:uid="{00000000-0004-0000-0000-000008000000}"/>
    <hyperlink ref="A18:F18" location="School_Centers" display="School: Participation: Centers" xr:uid="{00000000-0004-0000-0000-000009000000}"/>
    <hyperlink ref="A19:F19" location="School_Free_Time_Play_Time" display="School: Free Time/Play Time" xr:uid="{00000000-0004-0000-0000-00000A000000}"/>
    <hyperlink ref="A20:F20" location="School_Play_Obs_1030" display="School: Play Observation: 10 min/30 sec" xr:uid="{00000000-0004-0000-0000-00000B000000}"/>
    <hyperlink ref="A21:F21" location="School_Play_Obs_515" display="School: Play Observation: 5 min/15 sec" xr:uid="{00000000-0004-0000-0000-00000C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ldSkoolData">
              <controlPr defaultSize="0" print="0" autoFill="0" autoPict="0" macro="[1]!OldSkoolData">
                <anchor moveWithCells="1" siz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1</xdr:col>
                    <xdr:colOff>812800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NewSkoolData">
              <controlPr defaultSize="0" print="0" autoFill="0" autoPict="0" macro="[1]!NewSkoolData">
                <anchor moveWithCells="1" sizeWithCells="1">
                  <from>
                    <xdr:col>0</xdr:col>
                    <xdr:colOff>12700</xdr:colOff>
                    <xdr:row>2</xdr:row>
                    <xdr:rowOff>12700</xdr:rowOff>
                  </from>
                  <to>
                    <xdr:col>1</xdr:col>
                    <xdr:colOff>800100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ResetFilters">
              <controlPr defaultSize="0" print="0" autoFill="0" autoPict="0" macro="[1]!ResetTargetFilter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19</xdr:col>
                    <xdr:colOff>1485900</xdr:colOff>
                    <xdr:row>26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opyToClipboard">
              <controlPr defaultSize="0" print="0" autoFill="0" autoPict="0" macro="[1]!CopyToClipboard">
                <anchor moveWithCells="1" sizeWithCells="1">
                  <from>
                    <xdr:col>20</xdr:col>
                    <xdr:colOff>12700</xdr:colOff>
                    <xdr:row>25</xdr:row>
                    <xdr:rowOff>12700</xdr:rowOff>
                  </from>
                  <to>
                    <xdr:col>20</xdr:col>
                    <xdr:colOff>1498600</xdr:colOff>
                    <xdr:row>26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AnalyzeBTPerformance">
              <controlPr defaultSize="0" print="0" autoFill="0" autoPict="0" macro="[1]!AnalyzeBTPerformance">
                <anchor moveWithCells="1" sizeWithCells="1">
                  <from>
                    <xdr:col>0</xdr:col>
                    <xdr:colOff>12700</xdr:colOff>
                    <xdr:row>5</xdr:row>
                    <xdr:rowOff>190500</xdr:rowOff>
                  </from>
                  <to>
                    <xdr:col>1</xdr:col>
                    <xdr:colOff>800100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2"/>
  <sheetViews>
    <sheetView showGridLines="0" workbookViewId="0"/>
  </sheetViews>
  <sheetFormatPr baseColWidth="10" defaultRowHeight="16" x14ac:dyDescent="0.2"/>
  <sheetData>
    <row r="1" spans="1:17" ht="35" thickTop="1" x14ac:dyDescent="0.2">
      <c r="A1" s="4" t="s">
        <v>262</v>
      </c>
      <c r="B1" s="5" t="s">
        <v>258</v>
      </c>
      <c r="C1" s="5" t="s">
        <v>259</v>
      </c>
      <c r="D1" s="5" t="s">
        <v>260</v>
      </c>
      <c r="E1" s="5" t="s">
        <v>261</v>
      </c>
    </row>
    <row r="2" spans="1:17" ht="17" thickBot="1" x14ac:dyDescent="0.25">
      <c r="A2" s="6">
        <v>44376</v>
      </c>
      <c r="B2" s="6">
        <v>44376</v>
      </c>
      <c r="C2" s="6">
        <f>EDATE(B2,3)</f>
        <v>44468</v>
      </c>
      <c r="D2" s="6">
        <f>EDATE(B2,6)</f>
        <v>44559</v>
      </c>
      <c r="E2" s="6">
        <f>EDATE(B2,9)</f>
        <v>44649</v>
      </c>
    </row>
    <row r="3" spans="1:17" ht="36" thickTop="1" thickBot="1" x14ac:dyDescent="0.25">
      <c r="A3" s="5" t="s">
        <v>263</v>
      </c>
      <c r="B3" s="7">
        <f>IF(NETWORKDAYS(A2,B2)&lt;0, "0", NETWORKDAYS(A2,B2))</f>
        <v>1</v>
      </c>
      <c r="C3" s="7">
        <f>IF(NETWORKDAYS(A2,C2)&lt;0, "0", NETWORKDAYS(A2,C2))</f>
        <v>67</v>
      </c>
      <c r="D3" s="7">
        <f>IF(NETWORKDAYS(A2,D2)&lt;0, "0", NETWORKDAYS(A2,D2))</f>
        <v>132</v>
      </c>
      <c r="E3" s="7">
        <f>IF(NETWORKDAYS(A2,E2)&lt;0, "0", NETWORKDAYS(A2,E2))</f>
        <v>196</v>
      </c>
    </row>
    <row r="4" spans="1:17" ht="25" customHeight="1" thickTop="1" x14ac:dyDescent="0.2">
      <c r="A4" s="292" t="s">
        <v>264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4"/>
    </row>
    <row r="5" spans="1:17" ht="20" customHeight="1" thickBot="1" x14ac:dyDescent="0.25">
      <c r="A5" s="295" t="s">
        <v>265</v>
      </c>
      <c r="B5" s="296"/>
      <c r="C5" s="29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7"/>
    </row>
    <row r="6" spans="1:17" ht="25" customHeight="1" thickTop="1" thickBot="1" x14ac:dyDescent="0.3">
      <c r="A6" s="345"/>
      <c r="B6" s="346"/>
      <c r="C6" s="211" t="s">
        <v>371</v>
      </c>
      <c r="D6" s="10"/>
      <c r="E6" s="10"/>
      <c r="F6" s="10"/>
      <c r="G6" s="10"/>
      <c r="H6" s="347"/>
      <c r="I6" s="348"/>
      <c r="J6" s="10"/>
      <c r="K6" s="10"/>
      <c r="L6" s="10"/>
      <c r="M6" s="10"/>
      <c r="N6" s="10"/>
      <c r="O6" s="10"/>
      <c r="P6" s="10"/>
      <c r="Q6" s="11"/>
    </row>
    <row r="7" spans="1:17" ht="18" thickTop="1" thickBot="1" x14ac:dyDescent="0.25">
      <c r="A7" s="75"/>
      <c r="B7" s="80" t="s">
        <v>266</v>
      </c>
      <c r="C7" s="80" t="s">
        <v>267</v>
      </c>
      <c r="D7" s="80" t="s">
        <v>198</v>
      </c>
      <c r="E7" s="80" t="s">
        <v>268</v>
      </c>
      <c r="F7" s="81" t="s">
        <v>269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1"/>
    </row>
    <row r="8" spans="1:17" ht="17" thickBot="1" x14ac:dyDescent="0.25">
      <c r="A8" s="77" t="s">
        <v>270</v>
      </c>
      <c r="B8" s="140"/>
      <c r="C8" s="141"/>
      <c r="D8" s="141"/>
      <c r="E8" s="141"/>
      <c r="F8" s="142"/>
      <c r="G8" s="10"/>
      <c r="H8" s="10"/>
      <c r="I8" s="10"/>
      <c r="J8" s="10"/>
      <c r="K8" s="10"/>
      <c r="L8" s="10"/>
      <c r="M8" s="10"/>
      <c r="N8" s="10"/>
      <c r="O8" s="10"/>
      <c r="P8" s="10"/>
      <c r="Q8" s="11"/>
    </row>
    <row r="9" spans="1:17" ht="17" thickBot="1" x14ac:dyDescent="0.25">
      <c r="A9" s="78" t="s">
        <v>271</v>
      </c>
      <c r="B9" s="143"/>
      <c r="C9" s="144"/>
      <c r="D9" s="144"/>
      <c r="E9" s="144"/>
      <c r="F9" s="145"/>
      <c r="G9" s="10"/>
      <c r="H9" s="10"/>
      <c r="I9" s="10"/>
      <c r="J9" s="10"/>
      <c r="K9" s="10"/>
      <c r="L9" s="10"/>
      <c r="M9" s="10"/>
      <c r="N9" s="10"/>
      <c r="O9" s="10"/>
      <c r="P9" s="10"/>
      <c r="Q9" s="11"/>
    </row>
    <row r="10" spans="1:17" ht="17" thickBot="1" x14ac:dyDescent="0.25">
      <c r="A10" s="78" t="s">
        <v>272</v>
      </c>
      <c r="B10" s="143"/>
      <c r="C10" s="144"/>
      <c r="D10" s="144"/>
      <c r="E10" s="144"/>
      <c r="F10" s="145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1"/>
    </row>
    <row r="11" spans="1:17" ht="17" thickBot="1" x14ac:dyDescent="0.25">
      <c r="A11" s="78" t="s">
        <v>273</v>
      </c>
      <c r="B11" s="143"/>
      <c r="C11" s="144"/>
      <c r="D11" s="144"/>
      <c r="E11" s="144"/>
      <c r="F11" s="145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1"/>
    </row>
    <row r="12" spans="1:17" ht="17" thickBot="1" x14ac:dyDescent="0.25">
      <c r="A12" s="84" t="s">
        <v>274</v>
      </c>
      <c r="B12" s="146"/>
      <c r="C12" s="147"/>
      <c r="D12" s="147"/>
      <c r="E12" s="147"/>
      <c r="F12" s="148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1"/>
    </row>
    <row r="13" spans="1:17" ht="18" thickTop="1" thickBot="1" x14ac:dyDescent="0.25">
      <c r="A13" s="75"/>
      <c r="B13" s="82" t="s">
        <v>266</v>
      </c>
      <c r="C13" s="82" t="s">
        <v>267</v>
      </c>
      <c r="D13" s="82" t="s">
        <v>198</v>
      </c>
      <c r="E13" s="82" t="s">
        <v>268</v>
      </c>
      <c r="F13" s="83" t="s">
        <v>269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1"/>
    </row>
    <row r="14" spans="1:17" ht="17" thickBot="1" x14ac:dyDescent="0.25">
      <c r="A14" s="77" t="s">
        <v>270</v>
      </c>
      <c r="B14" s="140"/>
      <c r="C14" s="141"/>
      <c r="D14" s="141"/>
      <c r="E14" s="141"/>
      <c r="F14" s="142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1"/>
    </row>
    <row r="15" spans="1:17" ht="17" thickBot="1" x14ac:dyDescent="0.25">
      <c r="A15" s="78" t="s">
        <v>271</v>
      </c>
      <c r="B15" s="143"/>
      <c r="C15" s="144"/>
      <c r="D15" s="144"/>
      <c r="E15" s="144"/>
      <c r="F15" s="14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1"/>
    </row>
    <row r="16" spans="1:17" ht="17" thickBot="1" x14ac:dyDescent="0.25">
      <c r="A16" s="78" t="s">
        <v>272</v>
      </c>
      <c r="B16" s="143"/>
      <c r="C16" s="144"/>
      <c r="D16" s="144"/>
      <c r="E16" s="144"/>
      <c r="F16" s="14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1"/>
    </row>
    <row r="17" spans="1:17" ht="17" thickBot="1" x14ac:dyDescent="0.25">
      <c r="A17" s="78" t="s">
        <v>273</v>
      </c>
      <c r="B17" s="143"/>
      <c r="C17" s="144"/>
      <c r="D17" s="144"/>
      <c r="E17" s="144"/>
      <c r="F17" s="145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1"/>
    </row>
    <row r="18" spans="1:17" ht="17" thickBot="1" x14ac:dyDescent="0.25">
      <c r="A18" s="79" t="s">
        <v>274</v>
      </c>
      <c r="B18" s="146"/>
      <c r="C18" s="147"/>
      <c r="D18" s="147"/>
      <c r="E18" s="147"/>
      <c r="F18" s="148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1"/>
    </row>
    <row r="19" spans="1:17" ht="17" thickTop="1" x14ac:dyDescent="0.2">
      <c r="A19" s="1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1"/>
    </row>
    <row r="20" spans="1:17" x14ac:dyDescent="0.2">
      <c r="A20" s="1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1"/>
    </row>
    <row r="21" spans="1:17" ht="17" thickBot="1" x14ac:dyDescent="0.25">
      <c r="A21" s="1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3"/>
      <c r="P21" s="10"/>
      <c r="Q21" s="11"/>
    </row>
    <row r="22" spans="1:17" ht="20" customHeight="1" thickBot="1" x14ac:dyDescent="0.25">
      <c r="A22" s="298" t="s">
        <v>275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300"/>
    </row>
    <row r="23" spans="1:17" ht="25" customHeight="1" thickTop="1" thickBot="1" x14ac:dyDescent="0.3">
      <c r="A23" s="345"/>
      <c r="B23" s="346"/>
      <c r="C23" s="211" t="s">
        <v>371</v>
      </c>
      <c r="D23" s="10"/>
      <c r="E23" s="10"/>
      <c r="F23" s="10"/>
      <c r="G23" s="10"/>
      <c r="H23" s="347"/>
      <c r="I23" s="348"/>
      <c r="J23" s="10"/>
      <c r="K23" s="10"/>
      <c r="L23" s="10"/>
      <c r="M23" s="10"/>
      <c r="N23" s="10"/>
      <c r="O23" s="10"/>
      <c r="P23" s="10"/>
      <c r="Q23" s="11"/>
    </row>
    <row r="24" spans="1:17" ht="18" thickTop="1" thickBot="1" x14ac:dyDescent="0.25">
      <c r="A24" s="75"/>
      <c r="B24" s="80">
        <v>1</v>
      </c>
      <c r="C24" s="80">
        <v>2</v>
      </c>
      <c r="D24" s="80">
        <v>3</v>
      </c>
      <c r="E24" s="80">
        <v>4</v>
      </c>
      <c r="F24" s="81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1"/>
    </row>
    <row r="25" spans="1:17" ht="17" thickBot="1" x14ac:dyDescent="0.25">
      <c r="A25" s="77" t="s">
        <v>270</v>
      </c>
      <c r="B25" s="140"/>
      <c r="C25" s="141"/>
      <c r="D25" s="141"/>
      <c r="E25" s="141"/>
      <c r="F25" s="142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1"/>
    </row>
    <row r="26" spans="1:17" ht="17" thickBot="1" x14ac:dyDescent="0.25">
      <c r="A26" s="78" t="s">
        <v>271</v>
      </c>
      <c r="B26" s="143"/>
      <c r="C26" s="144"/>
      <c r="D26" s="144"/>
      <c r="E26" s="144"/>
      <c r="F26" s="145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1"/>
    </row>
    <row r="27" spans="1:17" ht="17" thickBot="1" x14ac:dyDescent="0.25">
      <c r="A27" s="78" t="s">
        <v>272</v>
      </c>
      <c r="B27" s="143"/>
      <c r="C27" s="144"/>
      <c r="D27" s="144"/>
      <c r="E27" s="144"/>
      <c r="F27" s="145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1"/>
    </row>
    <row r="28" spans="1:17" ht="17" thickBot="1" x14ac:dyDescent="0.25">
      <c r="A28" s="78" t="s">
        <v>273</v>
      </c>
      <c r="B28" s="143"/>
      <c r="C28" s="144"/>
      <c r="D28" s="144"/>
      <c r="E28" s="144"/>
      <c r="F28" s="145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1"/>
    </row>
    <row r="29" spans="1:17" ht="17" thickBot="1" x14ac:dyDescent="0.25">
      <c r="A29" s="79" t="s">
        <v>274</v>
      </c>
      <c r="B29" s="146"/>
      <c r="C29" s="147"/>
      <c r="D29" s="147"/>
      <c r="E29" s="147"/>
      <c r="F29" s="148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1"/>
    </row>
    <row r="30" spans="1:17" ht="18" thickTop="1" thickBot="1" x14ac:dyDescent="0.25">
      <c r="A30" s="76"/>
      <c r="B30" s="82">
        <v>1</v>
      </c>
      <c r="C30" s="82">
        <v>2</v>
      </c>
      <c r="D30" s="82">
        <v>3</v>
      </c>
      <c r="E30" s="82">
        <v>4</v>
      </c>
      <c r="F30" s="83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1"/>
    </row>
    <row r="31" spans="1:17" ht="17" thickBot="1" x14ac:dyDescent="0.25">
      <c r="A31" s="77" t="s">
        <v>270</v>
      </c>
      <c r="B31" s="140"/>
      <c r="C31" s="141"/>
      <c r="D31" s="141"/>
      <c r="E31" s="141"/>
      <c r="F31" s="142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1"/>
    </row>
    <row r="32" spans="1:17" ht="17" thickBot="1" x14ac:dyDescent="0.25">
      <c r="A32" s="78" t="s">
        <v>271</v>
      </c>
      <c r="B32" s="143"/>
      <c r="C32" s="144"/>
      <c r="D32" s="144"/>
      <c r="E32" s="144"/>
      <c r="F32" s="145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1"/>
    </row>
    <row r="33" spans="1:17" ht="17" thickBot="1" x14ac:dyDescent="0.25">
      <c r="A33" s="78" t="s">
        <v>272</v>
      </c>
      <c r="B33" s="143"/>
      <c r="C33" s="144"/>
      <c r="D33" s="144"/>
      <c r="E33" s="144"/>
      <c r="F33" s="145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1"/>
    </row>
    <row r="34" spans="1:17" ht="17" thickBot="1" x14ac:dyDescent="0.25">
      <c r="A34" s="78" t="s">
        <v>273</v>
      </c>
      <c r="B34" s="143"/>
      <c r="C34" s="144"/>
      <c r="D34" s="144"/>
      <c r="E34" s="144"/>
      <c r="F34" s="145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1"/>
    </row>
    <row r="35" spans="1:17" ht="17" thickBot="1" x14ac:dyDescent="0.25">
      <c r="A35" s="79" t="s">
        <v>274</v>
      </c>
      <c r="B35" s="146"/>
      <c r="C35" s="147"/>
      <c r="D35" s="147"/>
      <c r="E35" s="147"/>
      <c r="F35" s="148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1"/>
    </row>
    <row r="36" spans="1:17" ht="17" thickTop="1" x14ac:dyDescent="0.2">
      <c r="A36" s="12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1"/>
    </row>
    <row r="37" spans="1:17" x14ac:dyDescent="0.2">
      <c r="A37" s="12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1"/>
    </row>
    <row r="38" spans="1:17" ht="17" thickBot="1" x14ac:dyDescent="0.25">
      <c r="A38" s="12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1"/>
    </row>
    <row r="39" spans="1:17" ht="25" customHeight="1" thickTop="1" thickBot="1" x14ac:dyDescent="0.25">
      <c r="A39" s="301" t="s">
        <v>276</v>
      </c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3"/>
    </row>
    <row r="40" spans="1:17" ht="25" customHeight="1" thickTop="1" thickBot="1" x14ac:dyDescent="0.3">
      <c r="A40" s="341"/>
      <c r="B40" s="342"/>
      <c r="C40" s="212" t="s">
        <v>371</v>
      </c>
      <c r="D40" s="14"/>
      <c r="E40" s="14"/>
      <c r="F40" s="14"/>
      <c r="G40" s="14"/>
      <c r="H40" s="343"/>
      <c r="I40" s="344"/>
      <c r="J40" s="14"/>
      <c r="K40" s="14"/>
      <c r="L40" s="14"/>
      <c r="M40" s="14"/>
      <c r="N40" s="14"/>
      <c r="O40" s="14"/>
      <c r="P40" s="14"/>
      <c r="Q40" s="15"/>
    </row>
    <row r="41" spans="1:17" ht="18" thickTop="1" thickBot="1" x14ac:dyDescent="0.25">
      <c r="A41" s="65"/>
      <c r="B41" s="70" t="s">
        <v>277</v>
      </c>
      <c r="C41" s="70" t="s">
        <v>278</v>
      </c>
      <c r="D41" s="70" t="s">
        <v>279</v>
      </c>
      <c r="E41" s="70" t="s">
        <v>280</v>
      </c>
      <c r="F41" s="71" t="s">
        <v>281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5"/>
    </row>
    <row r="42" spans="1:17" ht="17" thickBot="1" x14ac:dyDescent="0.25">
      <c r="A42" s="67" t="s">
        <v>270</v>
      </c>
      <c r="B42" s="131"/>
      <c r="C42" s="132"/>
      <c r="D42" s="132"/>
      <c r="E42" s="132"/>
      <c r="F42" s="133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5"/>
    </row>
    <row r="43" spans="1:17" ht="17" thickBot="1" x14ac:dyDescent="0.25">
      <c r="A43" s="68" t="s">
        <v>271</v>
      </c>
      <c r="B43" s="134"/>
      <c r="C43" s="135"/>
      <c r="D43" s="135"/>
      <c r="E43" s="135"/>
      <c r="F43" s="13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5"/>
    </row>
    <row r="44" spans="1:17" ht="17" thickBot="1" x14ac:dyDescent="0.25">
      <c r="A44" s="68" t="s">
        <v>272</v>
      </c>
      <c r="B44" s="134"/>
      <c r="C44" s="135"/>
      <c r="D44" s="135"/>
      <c r="E44" s="135"/>
      <c r="F44" s="13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5"/>
    </row>
    <row r="45" spans="1:17" ht="17" thickBot="1" x14ac:dyDescent="0.25">
      <c r="A45" s="68" t="s">
        <v>273</v>
      </c>
      <c r="B45" s="134"/>
      <c r="C45" s="135"/>
      <c r="D45" s="135"/>
      <c r="E45" s="135"/>
      <c r="F45" s="13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5"/>
    </row>
    <row r="46" spans="1:17" ht="17" thickBot="1" x14ac:dyDescent="0.25">
      <c r="A46" s="69" t="s">
        <v>274</v>
      </c>
      <c r="B46" s="137"/>
      <c r="C46" s="138"/>
      <c r="D46" s="138"/>
      <c r="E46" s="138"/>
      <c r="F46" s="13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5"/>
    </row>
    <row r="47" spans="1:17" ht="18" thickTop="1" thickBot="1" x14ac:dyDescent="0.25">
      <c r="A47" s="66"/>
      <c r="B47" s="73" t="s">
        <v>277</v>
      </c>
      <c r="C47" s="73" t="s">
        <v>278</v>
      </c>
      <c r="D47" s="73" t="s">
        <v>279</v>
      </c>
      <c r="E47" s="73" t="s">
        <v>280</v>
      </c>
      <c r="F47" s="74" t="s">
        <v>281</v>
      </c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5"/>
    </row>
    <row r="48" spans="1:17" ht="17" thickBot="1" x14ac:dyDescent="0.25">
      <c r="A48" s="67" t="s">
        <v>270</v>
      </c>
      <c r="B48" s="131"/>
      <c r="C48" s="132"/>
      <c r="D48" s="132"/>
      <c r="E48" s="132"/>
      <c r="F48" s="133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5"/>
    </row>
    <row r="49" spans="1:17" ht="17" thickBot="1" x14ac:dyDescent="0.25">
      <c r="A49" s="68" t="s">
        <v>271</v>
      </c>
      <c r="B49" s="134"/>
      <c r="C49" s="135"/>
      <c r="D49" s="135"/>
      <c r="E49" s="135"/>
      <c r="F49" s="13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5"/>
    </row>
    <row r="50" spans="1:17" ht="17" thickBot="1" x14ac:dyDescent="0.25">
      <c r="A50" s="68" t="s">
        <v>272</v>
      </c>
      <c r="B50" s="134"/>
      <c r="C50" s="135"/>
      <c r="D50" s="135"/>
      <c r="E50" s="135"/>
      <c r="F50" s="13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5"/>
    </row>
    <row r="51" spans="1:17" ht="17" thickBot="1" x14ac:dyDescent="0.25">
      <c r="A51" s="68" t="s">
        <v>273</v>
      </c>
      <c r="B51" s="134"/>
      <c r="C51" s="135"/>
      <c r="D51" s="135"/>
      <c r="E51" s="135"/>
      <c r="F51" s="13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5"/>
    </row>
    <row r="52" spans="1:17" ht="17" thickBot="1" x14ac:dyDescent="0.25">
      <c r="A52" s="69" t="s">
        <v>274</v>
      </c>
      <c r="B52" s="137"/>
      <c r="C52" s="138"/>
      <c r="D52" s="138"/>
      <c r="E52" s="138"/>
      <c r="F52" s="139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5"/>
    </row>
    <row r="53" spans="1:17" ht="17" thickTop="1" x14ac:dyDescent="0.2">
      <c r="A53" s="16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5"/>
    </row>
    <row r="54" spans="1:17" x14ac:dyDescent="0.2">
      <c r="A54" s="16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5"/>
    </row>
    <row r="55" spans="1:17" ht="17" thickBot="1" x14ac:dyDescent="0.25">
      <c r="A55" s="16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5"/>
    </row>
    <row r="56" spans="1:17" ht="25" customHeight="1" thickTop="1" thickBot="1" x14ac:dyDescent="0.25">
      <c r="A56" s="301" t="s">
        <v>282</v>
      </c>
      <c r="B56" s="302"/>
      <c r="C56" s="302"/>
      <c r="D56" s="302"/>
      <c r="E56" s="302"/>
      <c r="F56" s="302"/>
      <c r="G56" s="302"/>
      <c r="H56" s="302"/>
      <c r="I56" s="302"/>
      <c r="J56" s="302"/>
      <c r="K56" s="302"/>
      <c r="L56" s="302"/>
      <c r="M56" s="302"/>
      <c r="N56" s="302"/>
      <c r="O56" s="302"/>
      <c r="P56" s="302"/>
      <c r="Q56" s="303"/>
    </row>
    <row r="57" spans="1:17" ht="25" customHeight="1" thickTop="1" thickBot="1" x14ac:dyDescent="0.3">
      <c r="A57" s="341"/>
      <c r="B57" s="342"/>
      <c r="C57" s="212" t="s">
        <v>371</v>
      </c>
      <c r="D57" s="14"/>
      <c r="E57" s="14"/>
      <c r="F57" s="14"/>
      <c r="G57" s="14"/>
      <c r="H57" s="343"/>
      <c r="I57" s="344"/>
      <c r="J57" s="14"/>
      <c r="K57" s="14"/>
      <c r="L57" s="14"/>
      <c r="M57" s="14"/>
      <c r="N57" s="14"/>
      <c r="O57" s="14"/>
      <c r="P57" s="14"/>
      <c r="Q57" s="15"/>
    </row>
    <row r="58" spans="1:17" ht="18" thickTop="1" thickBot="1" x14ac:dyDescent="0.25">
      <c r="A58" s="65"/>
      <c r="B58" s="70" t="s">
        <v>277</v>
      </c>
      <c r="C58" s="70" t="s">
        <v>278</v>
      </c>
      <c r="D58" s="70" t="s">
        <v>279</v>
      </c>
      <c r="E58" s="70" t="s">
        <v>280</v>
      </c>
      <c r="F58" s="71" t="s">
        <v>281</v>
      </c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5"/>
    </row>
    <row r="59" spans="1:17" ht="17" thickBot="1" x14ac:dyDescent="0.25">
      <c r="A59" s="67" t="s">
        <v>270</v>
      </c>
      <c r="B59" s="131"/>
      <c r="C59" s="132"/>
      <c r="D59" s="132"/>
      <c r="E59" s="132"/>
      <c r="F59" s="133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5"/>
    </row>
    <row r="60" spans="1:17" ht="17" thickBot="1" x14ac:dyDescent="0.25">
      <c r="A60" s="68" t="s">
        <v>271</v>
      </c>
      <c r="B60" s="134"/>
      <c r="C60" s="135"/>
      <c r="D60" s="135"/>
      <c r="E60" s="135"/>
      <c r="F60" s="13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5"/>
    </row>
    <row r="61" spans="1:17" ht="17" thickBot="1" x14ac:dyDescent="0.25">
      <c r="A61" s="68" t="s">
        <v>272</v>
      </c>
      <c r="B61" s="134"/>
      <c r="C61" s="135"/>
      <c r="D61" s="135"/>
      <c r="E61" s="135"/>
      <c r="F61" s="13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5"/>
    </row>
    <row r="62" spans="1:17" ht="17" thickBot="1" x14ac:dyDescent="0.25">
      <c r="A62" s="68" t="s">
        <v>273</v>
      </c>
      <c r="B62" s="134"/>
      <c r="C62" s="135"/>
      <c r="D62" s="135"/>
      <c r="E62" s="135"/>
      <c r="F62" s="13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5"/>
    </row>
    <row r="63" spans="1:17" ht="17" thickBot="1" x14ac:dyDescent="0.25">
      <c r="A63" s="72" t="s">
        <v>274</v>
      </c>
      <c r="B63" s="137"/>
      <c r="C63" s="138"/>
      <c r="D63" s="138"/>
      <c r="E63" s="138"/>
      <c r="F63" s="139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5"/>
    </row>
    <row r="64" spans="1:17" ht="18" thickTop="1" thickBot="1" x14ac:dyDescent="0.25">
      <c r="A64" s="65"/>
      <c r="B64" s="73" t="s">
        <v>277</v>
      </c>
      <c r="C64" s="73" t="s">
        <v>278</v>
      </c>
      <c r="D64" s="73" t="s">
        <v>279</v>
      </c>
      <c r="E64" s="73" t="s">
        <v>280</v>
      </c>
      <c r="F64" s="74" t="s">
        <v>281</v>
      </c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5"/>
    </row>
    <row r="65" spans="1:17" ht="17" thickBot="1" x14ac:dyDescent="0.25">
      <c r="A65" s="67" t="s">
        <v>270</v>
      </c>
      <c r="B65" s="131"/>
      <c r="C65" s="132"/>
      <c r="D65" s="132"/>
      <c r="E65" s="132"/>
      <c r="F65" s="133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5"/>
    </row>
    <row r="66" spans="1:17" ht="17" thickBot="1" x14ac:dyDescent="0.25">
      <c r="A66" s="68" t="s">
        <v>271</v>
      </c>
      <c r="B66" s="134"/>
      <c r="C66" s="135"/>
      <c r="D66" s="135"/>
      <c r="E66" s="135"/>
      <c r="F66" s="13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5"/>
    </row>
    <row r="67" spans="1:17" ht="17" thickBot="1" x14ac:dyDescent="0.25">
      <c r="A67" s="68" t="s">
        <v>272</v>
      </c>
      <c r="B67" s="134"/>
      <c r="C67" s="135"/>
      <c r="D67" s="135"/>
      <c r="E67" s="135"/>
      <c r="F67" s="13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5"/>
    </row>
    <row r="68" spans="1:17" ht="17" thickBot="1" x14ac:dyDescent="0.25">
      <c r="A68" s="68" t="s">
        <v>273</v>
      </c>
      <c r="B68" s="134"/>
      <c r="C68" s="135"/>
      <c r="D68" s="135"/>
      <c r="E68" s="135"/>
      <c r="F68" s="13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5"/>
    </row>
    <row r="69" spans="1:17" ht="17" thickBot="1" x14ac:dyDescent="0.25">
      <c r="A69" s="69" t="s">
        <v>274</v>
      </c>
      <c r="B69" s="137"/>
      <c r="C69" s="138"/>
      <c r="D69" s="138"/>
      <c r="E69" s="138"/>
      <c r="F69" s="139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5"/>
    </row>
    <row r="70" spans="1:17" ht="17" thickTop="1" x14ac:dyDescent="0.2">
      <c r="A70" s="16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5"/>
    </row>
    <row r="71" spans="1:17" x14ac:dyDescent="0.2">
      <c r="A71" s="16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5"/>
    </row>
    <row r="72" spans="1:17" ht="17" thickBot="1" x14ac:dyDescent="0.25">
      <c r="A72" s="16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5"/>
    </row>
    <row r="73" spans="1:17" ht="25" customHeight="1" thickTop="1" x14ac:dyDescent="0.3">
      <c r="A73" s="304" t="s">
        <v>283</v>
      </c>
      <c r="B73" s="305"/>
      <c r="C73" s="305"/>
      <c r="D73" s="305"/>
      <c r="E73" s="305"/>
      <c r="F73" s="305"/>
      <c r="G73" s="305"/>
      <c r="H73" s="305"/>
      <c r="I73" s="305"/>
      <c r="J73" s="305"/>
      <c r="K73" s="305"/>
      <c r="L73" s="305"/>
      <c r="M73" s="305"/>
      <c r="N73" s="305"/>
      <c r="O73" s="305"/>
      <c r="P73" s="305"/>
      <c r="Q73" s="306"/>
    </row>
    <row r="74" spans="1:17" ht="20" customHeight="1" thickBot="1" x14ac:dyDescent="0.35">
      <c r="A74" s="338" t="s">
        <v>284</v>
      </c>
      <c r="B74" s="339"/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40"/>
    </row>
    <row r="75" spans="1:17" ht="25" customHeight="1" thickTop="1" thickBot="1" x14ac:dyDescent="0.3">
      <c r="A75" s="317"/>
      <c r="B75" s="318"/>
      <c r="C75" s="213" t="s">
        <v>371</v>
      </c>
      <c r="D75" s="17"/>
      <c r="E75" s="17"/>
      <c r="F75" s="17"/>
      <c r="G75" s="17"/>
      <c r="H75" s="17"/>
      <c r="I75" s="17"/>
      <c r="J75" s="17"/>
      <c r="K75" s="336"/>
      <c r="L75" s="337"/>
      <c r="M75" s="17"/>
      <c r="N75" s="17"/>
      <c r="O75" s="17"/>
      <c r="P75" s="17"/>
      <c r="Q75" s="18"/>
    </row>
    <row r="76" spans="1:17" ht="18" thickTop="1" thickBot="1" x14ac:dyDescent="0.25">
      <c r="A76" s="58"/>
      <c r="B76" s="63" t="s">
        <v>285</v>
      </c>
      <c r="C76" s="63" t="s">
        <v>286</v>
      </c>
      <c r="D76" s="63" t="s">
        <v>287</v>
      </c>
      <c r="E76" s="63" t="s">
        <v>288</v>
      </c>
      <c r="F76" s="63" t="s">
        <v>289</v>
      </c>
      <c r="G76" s="63" t="s">
        <v>290</v>
      </c>
      <c r="H76" s="63" t="s">
        <v>291</v>
      </c>
      <c r="I76" s="64" t="s">
        <v>292</v>
      </c>
      <c r="J76" s="17"/>
      <c r="K76" s="17"/>
      <c r="L76" s="17"/>
      <c r="M76" s="17"/>
      <c r="N76" s="17"/>
      <c r="O76" s="17"/>
      <c r="P76" s="17"/>
      <c r="Q76" s="18"/>
    </row>
    <row r="77" spans="1:17" ht="17" thickBot="1" x14ac:dyDescent="0.25">
      <c r="A77" s="60" t="s">
        <v>270</v>
      </c>
      <c r="B77" s="118"/>
      <c r="C77" s="119"/>
      <c r="D77" s="119"/>
      <c r="E77" s="119"/>
      <c r="F77" s="119"/>
      <c r="G77" s="119"/>
      <c r="H77" s="119"/>
      <c r="I77" s="120"/>
      <c r="J77" s="17"/>
      <c r="K77" s="17"/>
      <c r="L77" s="17"/>
      <c r="M77" s="17"/>
      <c r="N77" s="17"/>
      <c r="O77" s="17"/>
      <c r="P77" s="17"/>
      <c r="Q77" s="18"/>
    </row>
    <row r="78" spans="1:17" ht="17" thickBot="1" x14ac:dyDescent="0.25">
      <c r="A78" s="61" t="s">
        <v>271</v>
      </c>
      <c r="B78" s="121"/>
      <c r="C78" s="122"/>
      <c r="D78" s="122"/>
      <c r="E78" s="122"/>
      <c r="F78" s="122"/>
      <c r="G78" s="122"/>
      <c r="H78" s="122"/>
      <c r="I78" s="123"/>
      <c r="J78" s="17"/>
      <c r="K78" s="17"/>
      <c r="L78" s="17"/>
      <c r="M78" s="17"/>
      <c r="N78" s="17"/>
      <c r="O78" s="17"/>
      <c r="P78" s="17"/>
      <c r="Q78" s="18"/>
    </row>
    <row r="79" spans="1:17" ht="17" thickBot="1" x14ac:dyDescent="0.25">
      <c r="A79" s="61" t="s">
        <v>272</v>
      </c>
      <c r="B79" s="121"/>
      <c r="C79" s="122"/>
      <c r="D79" s="122"/>
      <c r="E79" s="122"/>
      <c r="F79" s="122"/>
      <c r="G79" s="122"/>
      <c r="H79" s="122"/>
      <c r="I79" s="123"/>
      <c r="J79" s="17"/>
      <c r="K79" s="17"/>
      <c r="L79" s="17"/>
      <c r="M79" s="17"/>
      <c r="N79" s="17"/>
      <c r="O79" s="17"/>
      <c r="P79" s="17"/>
      <c r="Q79" s="18"/>
    </row>
    <row r="80" spans="1:17" ht="17" thickBot="1" x14ac:dyDescent="0.25">
      <c r="A80" s="61" t="s">
        <v>273</v>
      </c>
      <c r="B80" s="121"/>
      <c r="C80" s="122"/>
      <c r="D80" s="122"/>
      <c r="E80" s="122"/>
      <c r="F80" s="122"/>
      <c r="G80" s="122"/>
      <c r="H80" s="122"/>
      <c r="I80" s="123"/>
      <c r="J80" s="17"/>
      <c r="K80" s="17"/>
      <c r="L80" s="17"/>
      <c r="M80" s="17"/>
      <c r="N80" s="17"/>
      <c r="O80" s="17"/>
      <c r="P80" s="17"/>
      <c r="Q80" s="18"/>
    </row>
    <row r="81" spans="1:17" ht="17" thickBot="1" x14ac:dyDescent="0.25">
      <c r="A81" s="62" t="s">
        <v>274</v>
      </c>
      <c r="B81" s="124"/>
      <c r="C81" s="125"/>
      <c r="D81" s="125"/>
      <c r="E81" s="125"/>
      <c r="F81" s="125"/>
      <c r="G81" s="125"/>
      <c r="H81" s="125"/>
      <c r="I81" s="126"/>
      <c r="J81" s="17"/>
      <c r="K81" s="17"/>
      <c r="L81" s="17"/>
      <c r="M81" s="17"/>
      <c r="N81" s="17"/>
      <c r="O81" s="17"/>
      <c r="P81" s="17"/>
      <c r="Q81" s="18"/>
    </row>
    <row r="82" spans="1:17" ht="17" thickTop="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8"/>
    </row>
    <row r="83" spans="1:17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8"/>
    </row>
    <row r="84" spans="1:17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8"/>
    </row>
    <row r="85" spans="1:17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8"/>
    </row>
    <row r="86" spans="1:17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8"/>
    </row>
    <row r="87" spans="1:17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8"/>
    </row>
    <row r="88" spans="1:17" x14ac:dyDescent="0.2">
      <c r="A88" s="19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8"/>
    </row>
    <row r="89" spans="1:17" x14ac:dyDescent="0.2">
      <c r="A89" s="19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8"/>
    </row>
    <row r="90" spans="1:17" ht="17" thickBot="1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18"/>
    </row>
    <row r="91" spans="1:17" ht="20" customHeight="1" thickBot="1" x14ac:dyDescent="0.35">
      <c r="A91" s="320" t="s">
        <v>293</v>
      </c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0"/>
      <c r="P91" s="320"/>
      <c r="Q91" s="321"/>
    </row>
    <row r="92" spans="1:17" ht="25" customHeight="1" thickTop="1" thickBot="1" x14ac:dyDescent="0.3">
      <c r="A92" s="317"/>
      <c r="B92" s="318"/>
      <c r="C92" s="214" t="s">
        <v>371</v>
      </c>
      <c r="D92" s="22"/>
      <c r="E92" s="22"/>
      <c r="F92" s="22"/>
      <c r="G92" s="22"/>
      <c r="H92" s="23"/>
      <c r="I92" s="336"/>
      <c r="J92" s="337"/>
      <c r="K92" s="22"/>
      <c r="L92" s="22"/>
      <c r="M92" s="22"/>
      <c r="N92" s="22"/>
      <c r="O92" s="22"/>
      <c r="P92" s="22"/>
      <c r="Q92" s="18"/>
    </row>
    <row r="93" spans="1:17" ht="18" thickTop="1" thickBot="1" x14ac:dyDescent="0.25">
      <c r="A93" s="58"/>
      <c r="B93" s="127" t="s">
        <v>294</v>
      </c>
      <c r="C93" s="127" t="s">
        <v>295</v>
      </c>
      <c r="D93" s="127" t="s">
        <v>296</v>
      </c>
      <c r="E93" s="127" t="s">
        <v>297</v>
      </c>
      <c r="F93" s="127" t="s">
        <v>298</v>
      </c>
      <c r="G93" s="128" t="s">
        <v>281</v>
      </c>
      <c r="H93" s="22"/>
      <c r="I93" s="22"/>
      <c r="J93" s="22"/>
      <c r="K93" s="22"/>
      <c r="L93" s="22"/>
      <c r="M93" s="22"/>
      <c r="N93" s="22"/>
      <c r="O93" s="22"/>
      <c r="P93" s="22"/>
      <c r="Q93" s="18"/>
    </row>
    <row r="94" spans="1:17" ht="17" thickBot="1" x14ac:dyDescent="0.25">
      <c r="A94" s="60" t="s">
        <v>270</v>
      </c>
      <c r="B94" s="118"/>
      <c r="C94" s="119"/>
      <c r="D94" s="119"/>
      <c r="E94" s="119"/>
      <c r="F94" s="119"/>
      <c r="G94" s="120"/>
      <c r="H94" s="22"/>
      <c r="I94" s="22"/>
      <c r="J94" s="22"/>
      <c r="K94" s="22"/>
      <c r="L94" s="22"/>
      <c r="M94" s="22"/>
      <c r="N94" s="22"/>
      <c r="O94" s="22"/>
      <c r="P94" s="22"/>
      <c r="Q94" s="18"/>
    </row>
    <row r="95" spans="1:17" ht="17" thickBot="1" x14ac:dyDescent="0.25">
      <c r="A95" s="61" t="s">
        <v>271</v>
      </c>
      <c r="B95" s="121"/>
      <c r="C95" s="122"/>
      <c r="D95" s="122"/>
      <c r="E95" s="122"/>
      <c r="F95" s="122"/>
      <c r="G95" s="123"/>
      <c r="H95" s="22"/>
      <c r="I95" s="22"/>
      <c r="J95" s="22"/>
      <c r="K95" s="22"/>
      <c r="L95" s="22"/>
      <c r="M95" s="22"/>
      <c r="N95" s="22"/>
      <c r="O95" s="22"/>
      <c r="P95" s="22"/>
      <c r="Q95" s="18"/>
    </row>
    <row r="96" spans="1:17" ht="17" thickBot="1" x14ac:dyDescent="0.25">
      <c r="A96" s="61" t="s">
        <v>272</v>
      </c>
      <c r="B96" s="121"/>
      <c r="C96" s="122"/>
      <c r="D96" s="122"/>
      <c r="E96" s="122"/>
      <c r="F96" s="122"/>
      <c r="G96" s="123"/>
      <c r="H96" s="22"/>
      <c r="I96" s="22"/>
      <c r="J96" s="22"/>
      <c r="K96" s="22"/>
      <c r="L96" s="22"/>
      <c r="M96" s="22"/>
      <c r="N96" s="22"/>
      <c r="O96" s="22"/>
      <c r="P96" s="22"/>
      <c r="Q96" s="18"/>
    </row>
    <row r="97" spans="1:17" ht="17" thickBot="1" x14ac:dyDescent="0.25">
      <c r="A97" s="61" t="s">
        <v>273</v>
      </c>
      <c r="B97" s="121"/>
      <c r="C97" s="122"/>
      <c r="D97" s="122"/>
      <c r="E97" s="122"/>
      <c r="F97" s="122"/>
      <c r="G97" s="123"/>
      <c r="H97" s="22"/>
      <c r="I97" s="22"/>
      <c r="J97" s="22"/>
      <c r="K97" s="22"/>
      <c r="L97" s="22"/>
      <c r="M97" s="22"/>
      <c r="N97" s="22"/>
      <c r="O97" s="22"/>
      <c r="P97" s="22"/>
      <c r="Q97" s="18"/>
    </row>
    <row r="98" spans="1:17" ht="17" thickBot="1" x14ac:dyDescent="0.25">
      <c r="A98" s="62" t="s">
        <v>274</v>
      </c>
      <c r="B98" s="124"/>
      <c r="C98" s="125"/>
      <c r="D98" s="125"/>
      <c r="E98" s="125"/>
      <c r="F98" s="125"/>
      <c r="G98" s="126"/>
      <c r="H98" s="22"/>
      <c r="I98" s="22"/>
      <c r="J98" s="22"/>
      <c r="K98" s="22"/>
      <c r="L98" s="22"/>
      <c r="M98" s="22"/>
      <c r="N98" s="22"/>
      <c r="O98" s="22"/>
      <c r="P98" s="22"/>
      <c r="Q98" s="18"/>
    </row>
    <row r="99" spans="1:17" ht="18" thickTop="1" thickBot="1" x14ac:dyDescent="0.25">
      <c r="A99" s="59"/>
      <c r="B99" s="129" t="s">
        <v>294</v>
      </c>
      <c r="C99" s="129" t="s">
        <v>295</v>
      </c>
      <c r="D99" s="129" t="s">
        <v>296</v>
      </c>
      <c r="E99" s="129" t="s">
        <v>297</v>
      </c>
      <c r="F99" s="129" t="s">
        <v>298</v>
      </c>
      <c r="G99" s="130" t="s">
        <v>281</v>
      </c>
      <c r="H99" s="22"/>
      <c r="I99" s="22"/>
      <c r="J99" s="22"/>
      <c r="K99" s="22"/>
      <c r="L99" s="22"/>
      <c r="M99" s="22"/>
      <c r="N99" s="22"/>
      <c r="O99" s="22"/>
      <c r="P99" s="22"/>
      <c r="Q99" s="18"/>
    </row>
    <row r="100" spans="1:17" ht="17" thickBot="1" x14ac:dyDescent="0.25">
      <c r="A100" s="60" t="s">
        <v>270</v>
      </c>
      <c r="B100" s="118"/>
      <c r="C100" s="119"/>
      <c r="D100" s="119"/>
      <c r="E100" s="119"/>
      <c r="F100" s="119"/>
      <c r="G100" s="120"/>
      <c r="H100" s="22"/>
      <c r="I100" s="22"/>
      <c r="J100" s="22"/>
      <c r="K100" s="22"/>
      <c r="L100" s="22"/>
      <c r="M100" s="22"/>
      <c r="N100" s="22"/>
      <c r="O100" s="22"/>
      <c r="P100" s="22"/>
      <c r="Q100" s="18"/>
    </row>
    <row r="101" spans="1:17" ht="17" thickBot="1" x14ac:dyDescent="0.25">
      <c r="A101" s="61" t="s">
        <v>271</v>
      </c>
      <c r="B101" s="121"/>
      <c r="C101" s="122"/>
      <c r="D101" s="122"/>
      <c r="E101" s="122"/>
      <c r="F101" s="122"/>
      <c r="G101" s="123"/>
      <c r="H101" s="22"/>
      <c r="I101" s="22"/>
      <c r="J101" s="22"/>
      <c r="K101" s="22"/>
      <c r="L101" s="22"/>
      <c r="M101" s="22"/>
      <c r="N101" s="22"/>
      <c r="O101" s="22"/>
      <c r="P101" s="22"/>
      <c r="Q101" s="18"/>
    </row>
    <row r="102" spans="1:17" ht="17" thickBot="1" x14ac:dyDescent="0.25">
      <c r="A102" s="61" t="s">
        <v>272</v>
      </c>
      <c r="B102" s="121"/>
      <c r="C102" s="122"/>
      <c r="D102" s="122"/>
      <c r="E102" s="122"/>
      <c r="F102" s="122"/>
      <c r="G102" s="123"/>
      <c r="H102" s="22"/>
      <c r="I102" s="22"/>
      <c r="J102" s="22"/>
      <c r="K102" s="22"/>
      <c r="L102" s="22"/>
      <c r="M102" s="22"/>
      <c r="N102" s="22"/>
      <c r="O102" s="22"/>
      <c r="P102" s="22"/>
      <c r="Q102" s="18"/>
    </row>
    <row r="103" spans="1:17" ht="17" thickBot="1" x14ac:dyDescent="0.25">
      <c r="A103" s="61" t="s">
        <v>273</v>
      </c>
      <c r="B103" s="121"/>
      <c r="C103" s="122"/>
      <c r="D103" s="122"/>
      <c r="E103" s="122"/>
      <c r="F103" s="122"/>
      <c r="G103" s="123"/>
      <c r="H103" s="22"/>
      <c r="I103" s="22"/>
      <c r="J103" s="22"/>
      <c r="K103" s="22"/>
      <c r="L103" s="22"/>
      <c r="M103" s="22"/>
      <c r="N103" s="22"/>
      <c r="O103" s="22"/>
      <c r="P103" s="22"/>
      <c r="Q103" s="18"/>
    </row>
    <row r="104" spans="1:17" ht="17" thickBot="1" x14ac:dyDescent="0.25">
      <c r="A104" s="62" t="s">
        <v>274</v>
      </c>
      <c r="B104" s="124"/>
      <c r="C104" s="125"/>
      <c r="D104" s="125"/>
      <c r="E104" s="125"/>
      <c r="F104" s="125"/>
      <c r="G104" s="126"/>
      <c r="H104" s="22"/>
      <c r="I104" s="22"/>
      <c r="J104" s="22"/>
      <c r="K104" s="22"/>
      <c r="L104" s="22"/>
      <c r="M104" s="22"/>
      <c r="N104" s="22"/>
      <c r="O104" s="22"/>
      <c r="P104" s="22"/>
      <c r="Q104" s="18"/>
    </row>
    <row r="105" spans="1:17" ht="17" thickTop="1" x14ac:dyDescent="0.2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</row>
    <row r="106" spans="1:17" x14ac:dyDescent="0.2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18"/>
    </row>
    <row r="107" spans="1:17" ht="17" thickBot="1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4"/>
    </row>
    <row r="108" spans="1:17" s="8" customFormat="1" ht="20" customHeight="1" thickBot="1" x14ac:dyDescent="0.35">
      <c r="A108" s="319" t="s">
        <v>299</v>
      </c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1"/>
    </row>
    <row r="109" spans="1:17" s="8" customFormat="1" ht="25" customHeight="1" thickTop="1" thickBot="1" x14ac:dyDescent="0.3">
      <c r="A109" s="317"/>
      <c r="B109" s="318"/>
      <c r="C109" s="213" t="s">
        <v>371</v>
      </c>
      <c r="D109" s="23"/>
      <c r="E109" s="23"/>
      <c r="F109" s="23"/>
      <c r="G109" s="23"/>
      <c r="H109" s="23"/>
      <c r="I109" s="336"/>
      <c r="J109" s="337"/>
      <c r="K109" s="23"/>
      <c r="L109" s="23"/>
      <c r="M109" s="23"/>
      <c r="N109" s="23"/>
      <c r="O109" s="23"/>
      <c r="P109" s="23"/>
      <c r="Q109" s="25"/>
    </row>
    <row r="110" spans="1:17" s="8" customFormat="1" ht="18" thickTop="1" thickBot="1" x14ac:dyDescent="0.25">
      <c r="A110" s="58"/>
      <c r="B110" s="127" t="s">
        <v>294</v>
      </c>
      <c r="C110" s="127" t="s">
        <v>295</v>
      </c>
      <c r="D110" s="127" t="s">
        <v>296</v>
      </c>
      <c r="E110" s="127" t="s">
        <v>297</v>
      </c>
      <c r="F110" s="127" t="s">
        <v>298</v>
      </c>
      <c r="G110" s="128" t="s">
        <v>281</v>
      </c>
      <c r="H110" s="23"/>
      <c r="I110" s="23"/>
      <c r="J110" s="23"/>
      <c r="K110" s="23"/>
      <c r="L110" s="23"/>
      <c r="M110" s="23"/>
      <c r="N110" s="23"/>
      <c r="O110" s="23"/>
      <c r="P110" s="23"/>
      <c r="Q110" s="25"/>
    </row>
    <row r="111" spans="1:17" s="8" customFormat="1" ht="17" thickBot="1" x14ac:dyDescent="0.25">
      <c r="A111" s="60" t="s">
        <v>270</v>
      </c>
      <c r="B111" s="118"/>
      <c r="C111" s="119"/>
      <c r="D111" s="119"/>
      <c r="E111" s="119"/>
      <c r="F111" s="119"/>
      <c r="G111" s="120"/>
      <c r="H111" s="23"/>
      <c r="I111" s="23"/>
      <c r="J111" s="23"/>
      <c r="K111" s="23"/>
      <c r="L111" s="23"/>
      <c r="M111" s="23"/>
      <c r="N111" s="23"/>
      <c r="O111" s="23"/>
      <c r="P111" s="23"/>
      <c r="Q111" s="25"/>
    </row>
    <row r="112" spans="1:17" s="8" customFormat="1" ht="17" thickBot="1" x14ac:dyDescent="0.25">
      <c r="A112" s="61" t="s">
        <v>271</v>
      </c>
      <c r="B112" s="121"/>
      <c r="C112" s="122"/>
      <c r="D112" s="122"/>
      <c r="E112" s="122"/>
      <c r="F112" s="122"/>
      <c r="G112" s="123"/>
      <c r="H112" s="23"/>
      <c r="I112" s="23"/>
      <c r="J112" s="23"/>
      <c r="K112" s="23"/>
      <c r="L112" s="23"/>
      <c r="M112" s="23"/>
      <c r="N112" s="23"/>
      <c r="O112" s="23"/>
      <c r="P112" s="23"/>
      <c r="Q112" s="25"/>
    </row>
    <row r="113" spans="1:17" s="8" customFormat="1" ht="17" thickBot="1" x14ac:dyDescent="0.25">
      <c r="A113" s="61" t="s">
        <v>272</v>
      </c>
      <c r="B113" s="121"/>
      <c r="C113" s="122"/>
      <c r="D113" s="122"/>
      <c r="E113" s="122"/>
      <c r="F113" s="122"/>
      <c r="G113" s="123"/>
      <c r="H113" s="23"/>
      <c r="I113" s="23"/>
      <c r="J113" s="23"/>
      <c r="K113" s="23"/>
      <c r="L113" s="23"/>
      <c r="M113" s="23"/>
      <c r="N113" s="23"/>
      <c r="O113" s="23"/>
      <c r="P113" s="23"/>
      <c r="Q113" s="25"/>
    </row>
    <row r="114" spans="1:17" s="8" customFormat="1" ht="17" thickBot="1" x14ac:dyDescent="0.25">
      <c r="A114" s="61" t="s">
        <v>273</v>
      </c>
      <c r="B114" s="121"/>
      <c r="C114" s="122"/>
      <c r="D114" s="122"/>
      <c r="E114" s="122"/>
      <c r="F114" s="122"/>
      <c r="G114" s="123"/>
      <c r="H114" s="23"/>
      <c r="I114" s="23"/>
      <c r="J114" s="23"/>
      <c r="K114" s="23"/>
      <c r="L114" s="23"/>
      <c r="M114" s="23"/>
      <c r="N114" s="23"/>
      <c r="O114" s="23"/>
      <c r="P114" s="23"/>
      <c r="Q114" s="25"/>
    </row>
    <row r="115" spans="1:17" s="8" customFormat="1" ht="17" thickBot="1" x14ac:dyDescent="0.25">
      <c r="A115" s="62" t="s">
        <v>274</v>
      </c>
      <c r="B115" s="124"/>
      <c r="C115" s="125"/>
      <c r="D115" s="125"/>
      <c r="E115" s="125"/>
      <c r="F115" s="125"/>
      <c r="G115" s="126"/>
      <c r="H115" s="23"/>
      <c r="I115" s="23"/>
      <c r="J115" s="23"/>
      <c r="K115" s="23"/>
      <c r="L115" s="23"/>
      <c r="M115" s="23"/>
      <c r="N115" s="23"/>
      <c r="O115" s="23"/>
      <c r="P115" s="23"/>
      <c r="Q115" s="25"/>
    </row>
    <row r="116" spans="1:17" s="8" customFormat="1" ht="18" thickTop="1" thickBot="1" x14ac:dyDescent="0.25">
      <c r="A116" s="59"/>
      <c r="B116" s="129" t="s">
        <v>294</v>
      </c>
      <c r="C116" s="129" t="s">
        <v>295</v>
      </c>
      <c r="D116" s="129" t="s">
        <v>296</v>
      </c>
      <c r="E116" s="129" t="s">
        <v>297</v>
      </c>
      <c r="F116" s="129" t="s">
        <v>298</v>
      </c>
      <c r="G116" s="130" t="s">
        <v>281</v>
      </c>
      <c r="H116" s="23"/>
      <c r="I116" s="23"/>
      <c r="J116" s="23"/>
      <c r="K116" s="23"/>
      <c r="L116" s="23"/>
      <c r="M116" s="23"/>
      <c r="N116" s="23"/>
      <c r="O116" s="23"/>
      <c r="P116" s="23"/>
      <c r="Q116" s="25"/>
    </row>
    <row r="117" spans="1:17" s="8" customFormat="1" ht="17" thickBot="1" x14ac:dyDescent="0.25">
      <c r="A117" s="60" t="s">
        <v>270</v>
      </c>
      <c r="B117" s="118"/>
      <c r="C117" s="119"/>
      <c r="D117" s="119"/>
      <c r="E117" s="119"/>
      <c r="F117" s="119"/>
      <c r="G117" s="120"/>
      <c r="H117" s="23"/>
      <c r="I117" s="23"/>
      <c r="J117" s="23"/>
      <c r="K117" s="23"/>
      <c r="L117" s="23"/>
      <c r="M117" s="23"/>
      <c r="N117" s="23"/>
      <c r="O117" s="23"/>
      <c r="P117" s="23"/>
      <c r="Q117" s="25"/>
    </row>
    <row r="118" spans="1:17" s="8" customFormat="1" ht="17" thickBot="1" x14ac:dyDescent="0.25">
      <c r="A118" s="61" t="s">
        <v>271</v>
      </c>
      <c r="B118" s="121"/>
      <c r="C118" s="122"/>
      <c r="D118" s="122"/>
      <c r="E118" s="122"/>
      <c r="F118" s="122"/>
      <c r="G118" s="123"/>
      <c r="H118" s="23"/>
      <c r="I118" s="23"/>
      <c r="J118" s="23"/>
      <c r="K118" s="23"/>
      <c r="L118" s="23"/>
      <c r="M118" s="23"/>
      <c r="N118" s="23"/>
      <c r="O118" s="23"/>
      <c r="P118" s="23"/>
      <c r="Q118" s="25"/>
    </row>
    <row r="119" spans="1:17" s="8" customFormat="1" ht="17" thickBot="1" x14ac:dyDescent="0.25">
      <c r="A119" s="61" t="s">
        <v>272</v>
      </c>
      <c r="B119" s="121"/>
      <c r="C119" s="122"/>
      <c r="D119" s="122"/>
      <c r="E119" s="122"/>
      <c r="F119" s="122"/>
      <c r="G119" s="123"/>
      <c r="H119" s="23"/>
      <c r="I119" s="23"/>
      <c r="J119" s="23"/>
      <c r="K119" s="23"/>
      <c r="L119" s="23"/>
      <c r="M119" s="23"/>
      <c r="N119" s="23"/>
      <c r="O119" s="23"/>
      <c r="P119" s="23"/>
      <c r="Q119" s="25"/>
    </row>
    <row r="120" spans="1:17" s="8" customFormat="1" ht="17" thickBot="1" x14ac:dyDescent="0.25">
      <c r="A120" s="61" t="s">
        <v>273</v>
      </c>
      <c r="B120" s="121"/>
      <c r="C120" s="122"/>
      <c r="D120" s="122"/>
      <c r="E120" s="122"/>
      <c r="F120" s="122"/>
      <c r="G120" s="123"/>
      <c r="H120" s="23"/>
      <c r="I120" s="23"/>
      <c r="J120" s="23"/>
      <c r="K120" s="23"/>
      <c r="L120" s="23"/>
      <c r="M120" s="23"/>
      <c r="N120" s="23"/>
      <c r="O120" s="23"/>
      <c r="P120" s="23"/>
      <c r="Q120" s="25"/>
    </row>
    <row r="121" spans="1:17" s="8" customFormat="1" ht="17" thickBot="1" x14ac:dyDescent="0.25">
      <c r="A121" s="62" t="s">
        <v>274</v>
      </c>
      <c r="B121" s="124"/>
      <c r="C121" s="125"/>
      <c r="D121" s="125"/>
      <c r="E121" s="125"/>
      <c r="F121" s="125"/>
      <c r="G121" s="126"/>
      <c r="H121" s="23"/>
      <c r="I121" s="23"/>
      <c r="J121" s="23"/>
      <c r="K121" s="23"/>
      <c r="L121" s="23"/>
      <c r="M121" s="23"/>
      <c r="N121" s="23"/>
      <c r="O121" s="23"/>
      <c r="P121" s="23"/>
      <c r="Q121" s="25"/>
    </row>
    <row r="122" spans="1:17" s="8" customFormat="1" ht="17" thickTop="1" x14ac:dyDescent="0.2">
      <c r="A122" s="26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5"/>
    </row>
    <row r="123" spans="1:17" s="8" customFormat="1" x14ac:dyDescent="0.2">
      <c r="A123" s="26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5"/>
    </row>
    <row r="124" spans="1:17" s="8" customFormat="1" ht="17" thickBot="1" x14ac:dyDescent="0.25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9"/>
    </row>
    <row r="125" spans="1:17" ht="25" customHeight="1" thickTop="1" x14ac:dyDescent="0.2">
      <c r="A125" s="322" t="s">
        <v>300</v>
      </c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3"/>
    </row>
    <row r="126" spans="1:17" ht="20" customHeight="1" thickBot="1" x14ac:dyDescent="0.25">
      <c r="A126" s="324" t="s">
        <v>301</v>
      </c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5"/>
    </row>
    <row r="127" spans="1:17" ht="25" customHeight="1" thickTop="1" thickBot="1" x14ac:dyDescent="0.3">
      <c r="A127" s="330"/>
      <c r="B127" s="331"/>
      <c r="C127" s="215" t="s">
        <v>371</v>
      </c>
      <c r="D127" s="30"/>
      <c r="E127" s="30"/>
      <c r="F127" s="30"/>
      <c r="G127" s="30"/>
      <c r="H127" s="30"/>
      <c r="I127" s="32"/>
      <c r="J127" s="32"/>
      <c r="K127" s="328"/>
      <c r="L127" s="329"/>
      <c r="M127" s="30"/>
      <c r="N127" s="30"/>
      <c r="O127" s="30"/>
      <c r="P127" s="30"/>
      <c r="Q127" s="31"/>
    </row>
    <row r="128" spans="1:17" ht="18" thickTop="1" thickBot="1" x14ac:dyDescent="0.25">
      <c r="A128" s="51"/>
      <c r="B128" s="56" t="s">
        <v>302</v>
      </c>
      <c r="C128" s="56" t="s">
        <v>303</v>
      </c>
      <c r="D128" s="56" t="s">
        <v>304</v>
      </c>
      <c r="E128" s="56" t="s">
        <v>305</v>
      </c>
      <c r="F128" s="56" t="s">
        <v>306</v>
      </c>
      <c r="G128" s="56" t="s">
        <v>307</v>
      </c>
      <c r="H128" s="56" t="s">
        <v>308</v>
      </c>
      <c r="I128" s="57" t="s">
        <v>309</v>
      </c>
      <c r="J128" s="30"/>
      <c r="K128" s="30"/>
      <c r="L128" s="30"/>
      <c r="M128" s="30"/>
      <c r="N128" s="30"/>
      <c r="O128" s="30"/>
      <c r="P128" s="30"/>
      <c r="Q128" s="31"/>
    </row>
    <row r="129" spans="1:17" ht="17" thickBot="1" x14ac:dyDescent="0.25">
      <c r="A129" s="53" t="s">
        <v>270</v>
      </c>
      <c r="B129" s="105"/>
      <c r="C129" s="106"/>
      <c r="D129" s="106"/>
      <c r="E129" s="106"/>
      <c r="F129" s="106"/>
      <c r="G129" s="106"/>
      <c r="H129" s="106"/>
      <c r="I129" s="107"/>
      <c r="J129" s="30"/>
      <c r="K129" s="30"/>
      <c r="L129" s="30"/>
      <c r="M129" s="30"/>
      <c r="N129" s="30"/>
      <c r="O129" s="30"/>
      <c r="P129" s="30"/>
      <c r="Q129" s="31"/>
    </row>
    <row r="130" spans="1:17" ht="17" thickBot="1" x14ac:dyDescent="0.25">
      <c r="A130" s="54" t="s">
        <v>271</v>
      </c>
      <c r="B130" s="108"/>
      <c r="C130" s="109"/>
      <c r="D130" s="109"/>
      <c r="E130" s="109"/>
      <c r="F130" s="109"/>
      <c r="G130" s="109"/>
      <c r="H130" s="109"/>
      <c r="I130" s="110"/>
      <c r="J130" s="30"/>
      <c r="K130" s="30"/>
      <c r="L130" s="30"/>
      <c r="M130" s="30"/>
      <c r="N130" s="30"/>
      <c r="O130" s="30"/>
      <c r="P130" s="30"/>
      <c r="Q130" s="31"/>
    </row>
    <row r="131" spans="1:17" ht="17" thickBot="1" x14ac:dyDescent="0.25">
      <c r="A131" s="54" t="s">
        <v>272</v>
      </c>
      <c r="B131" s="108"/>
      <c r="C131" s="109"/>
      <c r="D131" s="109"/>
      <c r="E131" s="109"/>
      <c r="F131" s="109"/>
      <c r="G131" s="109"/>
      <c r="H131" s="109"/>
      <c r="I131" s="110"/>
      <c r="J131" s="30"/>
      <c r="K131" s="30"/>
      <c r="L131" s="30"/>
      <c r="M131" s="30"/>
      <c r="N131" s="30"/>
      <c r="O131" s="30"/>
      <c r="P131" s="30"/>
      <c r="Q131" s="31"/>
    </row>
    <row r="132" spans="1:17" ht="17" thickBot="1" x14ac:dyDescent="0.25">
      <c r="A132" s="54" t="s">
        <v>273</v>
      </c>
      <c r="B132" s="108"/>
      <c r="C132" s="109"/>
      <c r="D132" s="109"/>
      <c r="E132" s="109"/>
      <c r="F132" s="109"/>
      <c r="G132" s="109"/>
      <c r="H132" s="109"/>
      <c r="I132" s="110"/>
      <c r="J132" s="30"/>
      <c r="K132" s="30"/>
      <c r="L132" s="30"/>
      <c r="M132" s="30"/>
      <c r="N132" s="30"/>
      <c r="O132" s="30"/>
      <c r="P132" s="30"/>
      <c r="Q132" s="31"/>
    </row>
    <row r="133" spans="1:17" ht="17" thickBot="1" x14ac:dyDescent="0.25">
      <c r="A133" s="55" t="s">
        <v>274</v>
      </c>
      <c r="B133" s="111"/>
      <c r="C133" s="112"/>
      <c r="D133" s="112"/>
      <c r="E133" s="112"/>
      <c r="F133" s="112"/>
      <c r="G133" s="112"/>
      <c r="H133" s="112"/>
      <c r="I133" s="113"/>
      <c r="J133" s="30"/>
      <c r="K133" s="30"/>
      <c r="L133" s="30"/>
      <c r="M133" s="30"/>
      <c r="N133" s="30"/>
      <c r="O133" s="30"/>
      <c r="P133" s="30"/>
      <c r="Q133" s="31"/>
    </row>
    <row r="134" spans="1:17" ht="25" customHeight="1" thickTop="1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1"/>
    </row>
    <row r="135" spans="1:17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1"/>
    </row>
    <row r="136" spans="1:17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1"/>
    </row>
    <row r="137" spans="1:17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1"/>
    </row>
    <row r="138" spans="1:17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1"/>
    </row>
    <row r="139" spans="1:17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1"/>
    </row>
    <row r="140" spans="1:17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1"/>
    </row>
    <row r="141" spans="1:17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1"/>
    </row>
    <row r="142" spans="1:17" ht="17" thickBot="1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1"/>
    </row>
    <row r="143" spans="1:17" ht="19" customHeight="1" thickBot="1" x14ac:dyDescent="0.25">
      <c r="A143" s="332" t="s">
        <v>310</v>
      </c>
      <c r="B143" s="332"/>
      <c r="C143" s="332"/>
      <c r="D143" s="332"/>
      <c r="E143" s="332"/>
      <c r="F143" s="332"/>
      <c r="G143" s="332"/>
      <c r="H143" s="332"/>
      <c r="I143" s="332"/>
      <c r="J143" s="332"/>
      <c r="K143" s="332"/>
      <c r="L143" s="332"/>
      <c r="M143" s="332"/>
      <c r="N143" s="332"/>
      <c r="O143" s="332"/>
      <c r="P143" s="332"/>
      <c r="Q143" s="333"/>
    </row>
    <row r="144" spans="1:17" ht="25" customHeight="1" thickTop="1" thickBot="1" x14ac:dyDescent="0.3">
      <c r="A144" s="330"/>
      <c r="B144" s="331"/>
      <c r="C144" s="215" t="s">
        <v>371</v>
      </c>
      <c r="D144" s="30"/>
      <c r="E144" s="30"/>
      <c r="F144" s="30"/>
      <c r="G144" s="30"/>
      <c r="H144" s="30"/>
      <c r="I144" s="30"/>
      <c r="J144" s="30"/>
      <c r="K144" s="328"/>
      <c r="L144" s="329"/>
      <c r="M144" s="30"/>
      <c r="N144" s="30"/>
      <c r="O144" s="30"/>
      <c r="P144" s="30"/>
      <c r="Q144" s="31"/>
    </row>
    <row r="145" spans="1:17" ht="18" thickTop="1" thickBot="1" x14ac:dyDescent="0.25">
      <c r="A145" s="51"/>
      <c r="B145" s="56" t="s">
        <v>302</v>
      </c>
      <c r="C145" s="56" t="s">
        <v>303</v>
      </c>
      <c r="D145" s="56" t="s">
        <v>304</v>
      </c>
      <c r="E145" s="56" t="s">
        <v>305</v>
      </c>
      <c r="F145" s="56" t="s">
        <v>306</v>
      </c>
      <c r="G145" s="56" t="s">
        <v>307</v>
      </c>
      <c r="H145" s="56" t="s">
        <v>308</v>
      </c>
      <c r="I145" s="57" t="s">
        <v>309</v>
      </c>
      <c r="J145" s="30"/>
      <c r="K145" s="30"/>
      <c r="L145" s="30"/>
      <c r="M145" s="30"/>
      <c r="N145" s="30"/>
      <c r="O145" s="30"/>
      <c r="P145" s="30"/>
      <c r="Q145" s="31"/>
    </row>
    <row r="146" spans="1:17" ht="17" thickBot="1" x14ac:dyDescent="0.25">
      <c r="A146" s="53" t="s">
        <v>270</v>
      </c>
      <c r="B146" s="105"/>
      <c r="C146" s="106"/>
      <c r="D146" s="106"/>
      <c r="E146" s="106"/>
      <c r="F146" s="106"/>
      <c r="G146" s="106"/>
      <c r="H146" s="106"/>
      <c r="I146" s="107"/>
      <c r="J146" s="30"/>
      <c r="K146" s="30"/>
      <c r="L146" s="30"/>
      <c r="M146" s="30"/>
      <c r="N146" s="30"/>
      <c r="O146" s="30"/>
      <c r="P146" s="30"/>
      <c r="Q146" s="31"/>
    </row>
    <row r="147" spans="1:17" ht="17" thickBot="1" x14ac:dyDescent="0.25">
      <c r="A147" s="54" t="s">
        <v>271</v>
      </c>
      <c r="B147" s="108"/>
      <c r="C147" s="109"/>
      <c r="D147" s="109"/>
      <c r="E147" s="109"/>
      <c r="F147" s="109"/>
      <c r="G147" s="109"/>
      <c r="H147" s="109"/>
      <c r="I147" s="110"/>
      <c r="J147" s="30"/>
      <c r="K147" s="30"/>
      <c r="L147" s="30"/>
      <c r="M147" s="30"/>
      <c r="N147" s="30"/>
      <c r="O147" s="30"/>
      <c r="P147" s="30"/>
      <c r="Q147" s="31"/>
    </row>
    <row r="148" spans="1:17" ht="17" thickBot="1" x14ac:dyDescent="0.25">
      <c r="A148" s="54" t="s">
        <v>272</v>
      </c>
      <c r="B148" s="108"/>
      <c r="C148" s="109"/>
      <c r="D148" s="109"/>
      <c r="E148" s="109"/>
      <c r="F148" s="109"/>
      <c r="G148" s="109"/>
      <c r="H148" s="109"/>
      <c r="I148" s="110"/>
      <c r="J148" s="30"/>
      <c r="K148" s="30"/>
      <c r="L148" s="30"/>
      <c r="M148" s="30"/>
      <c r="N148" s="30"/>
      <c r="O148" s="30"/>
      <c r="P148" s="30"/>
      <c r="Q148" s="31"/>
    </row>
    <row r="149" spans="1:17" ht="17" thickBot="1" x14ac:dyDescent="0.25">
      <c r="A149" s="54" t="s">
        <v>273</v>
      </c>
      <c r="B149" s="108"/>
      <c r="C149" s="109"/>
      <c r="D149" s="109"/>
      <c r="E149" s="109"/>
      <c r="F149" s="109"/>
      <c r="G149" s="109"/>
      <c r="H149" s="109"/>
      <c r="I149" s="110"/>
      <c r="J149" s="30"/>
      <c r="K149" s="30"/>
      <c r="L149" s="30"/>
      <c r="M149" s="30"/>
      <c r="N149" s="30"/>
      <c r="O149" s="30"/>
      <c r="P149" s="30"/>
      <c r="Q149" s="31"/>
    </row>
    <row r="150" spans="1:17" ht="17" thickBot="1" x14ac:dyDescent="0.25">
      <c r="A150" s="55" t="s">
        <v>274</v>
      </c>
      <c r="B150" s="111"/>
      <c r="C150" s="112"/>
      <c r="D150" s="112"/>
      <c r="E150" s="112"/>
      <c r="F150" s="112"/>
      <c r="G150" s="112"/>
      <c r="H150" s="112"/>
      <c r="I150" s="113"/>
      <c r="J150" s="30"/>
      <c r="K150" s="30"/>
      <c r="L150" s="30"/>
      <c r="M150" s="30"/>
      <c r="N150" s="30"/>
      <c r="O150" s="30"/>
      <c r="P150" s="30"/>
      <c r="Q150" s="31"/>
    </row>
    <row r="151" spans="1:17" ht="17" thickTop="1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1"/>
    </row>
    <row r="152" spans="1:17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1"/>
    </row>
    <row r="153" spans="1:17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1"/>
    </row>
    <row r="154" spans="1:17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1"/>
    </row>
    <row r="155" spans="1:17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1"/>
    </row>
    <row r="156" spans="1:17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1"/>
    </row>
    <row r="157" spans="1:17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1"/>
    </row>
    <row r="158" spans="1:17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1"/>
    </row>
    <row r="159" spans="1:17" ht="17" thickBot="1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1"/>
    </row>
    <row r="160" spans="1:17" ht="20" customHeight="1" thickBot="1" x14ac:dyDescent="0.35">
      <c r="A160" s="334" t="s">
        <v>311</v>
      </c>
      <c r="B160" s="334"/>
      <c r="C160" s="334"/>
      <c r="D160" s="334"/>
      <c r="E160" s="334"/>
      <c r="F160" s="334"/>
      <c r="G160" s="334"/>
      <c r="H160" s="334"/>
      <c r="I160" s="334"/>
      <c r="J160" s="334"/>
      <c r="K160" s="334"/>
      <c r="L160" s="334"/>
      <c r="M160" s="334"/>
      <c r="N160" s="334"/>
      <c r="O160" s="334"/>
      <c r="P160" s="334"/>
      <c r="Q160" s="335"/>
    </row>
    <row r="161" spans="1:17" ht="25" customHeight="1" thickTop="1" thickBot="1" x14ac:dyDescent="0.3">
      <c r="A161" s="330"/>
      <c r="B161" s="331"/>
      <c r="C161" s="215" t="s">
        <v>371</v>
      </c>
      <c r="D161" s="30"/>
      <c r="E161" s="30"/>
      <c r="F161" s="30"/>
      <c r="G161" s="30"/>
      <c r="H161" s="30"/>
      <c r="I161" s="30"/>
      <c r="J161" s="328"/>
      <c r="K161" s="329"/>
      <c r="L161" s="30"/>
      <c r="M161" s="30"/>
      <c r="N161" s="30"/>
      <c r="O161" s="30"/>
      <c r="P161" s="30"/>
      <c r="Q161" s="31"/>
    </row>
    <row r="162" spans="1:17" ht="18" thickTop="1" thickBot="1" x14ac:dyDescent="0.25">
      <c r="A162" s="51"/>
      <c r="B162" s="116" t="s">
        <v>309</v>
      </c>
      <c r="C162" s="116" t="s">
        <v>312</v>
      </c>
      <c r="D162" s="116" t="s">
        <v>313</v>
      </c>
      <c r="E162" s="116" t="s">
        <v>314</v>
      </c>
      <c r="F162" s="116" t="s">
        <v>315</v>
      </c>
      <c r="G162" s="116" t="s">
        <v>316</v>
      </c>
      <c r="H162" s="117"/>
      <c r="I162" s="30"/>
      <c r="J162" s="30"/>
      <c r="K162" s="30"/>
      <c r="L162" s="30"/>
      <c r="M162" s="30"/>
      <c r="N162" s="30"/>
      <c r="O162" s="30"/>
      <c r="P162" s="30"/>
      <c r="Q162" s="31"/>
    </row>
    <row r="163" spans="1:17" ht="17" thickBot="1" x14ac:dyDescent="0.25">
      <c r="A163" s="53" t="s">
        <v>270</v>
      </c>
      <c r="B163" s="105"/>
      <c r="C163" s="106"/>
      <c r="D163" s="106"/>
      <c r="E163" s="106"/>
      <c r="F163" s="106"/>
      <c r="G163" s="106"/>
      <c r="H163" s="107"/>
      <c r="I163" s="30"/>
      <c r="J163" s="30"/>
      <c r="K163" s="30"/>
      <c r="L163" s="30"/>
      <c r="M163" s="30"/>
      <c r="N163" s="30"/>
      <c r="O163" s="30"/>
      <c r="P163" s="30"/>
      <c r="Q163" s="31"/>
    </row>
    <row r="164" spans="1:17" ht="17" thickBot="1" x14ac:dyDescent="0.25">
      <c r="A164" s="54" t="s">
        <v>271</v>
      </c>
      <c r="B164" s="108"/>
      <c r="C164" s="109"/>
      <c r="D164" s="109"/>
      <c r="E164" s="109"/>
      <c r="F164" s="109"/>
      <c r="G164" s="109"/>
      <c r="H164" s="110"/>
      <c r="I164" s="30"/>
      <c r="J164" s="30"/>
      <c r="K164" s="30"/>
      <c r="L164" s="30"/>
      <c r="M164" s="30"/>
      <c r="N164" s="30"/>
      <c r="O164" s="30"/>
      <c r="P164" s="30"/>
      <c r="Q164" s="31"/>
    </row>
    <row r="165" spans="1:17" ht="17" thickBot="1" x14ac:dyDescent="0.25">
      <c r="A165" s="54" t="s">
        <v>272</v>
      </c>
      <c r="B165" s="108"/>
      <c r="C165" s="109"/>
      <c r="D165" s="109"/>
      <c r="E165" s="109"/>
      <c r="F165" s="109"/>
      <c r="G165" s="109"/>
      <c r="H165" s="110"/>
      <c r="I165" s="30"/>
      <c r="J165" s="30"/>
      <c r="K165" s="30"/>
      <c r="L165" s="30"/>
      <c r="M165" s="30"/>
      <c r="N165" s="30"/>
      <c r="O165" s="30"/>
      <c r="P165" s="30"/>
      <c r="Q165" s="31"/>
    </row>
    <row r="166" spans="1:17" ht="17" thickBot="1" x14ac:dyDescent="0.25">
      <c r="A166" s="54" t="s">
        <v>273</v>
      </c>
      <c r="B166" s="108"/>
      <c r="C166" s="109"/>
      <c r="D166" s="109"/>
      <c r="E166" s="109"/>
      <c r="F166" s="109"/>
      <c r="G166" s="109"/>
      <c r="H166" s="110"/>
      <c r="I166" s="30"/>
      <c r="J166" s="30"/>
      <c r="K166" s="30"/>
      <c r="L166" s="30"/>
      <c r="M166" s="30"/>
      <c r="N166" s="30"/>
      <c r="O166" s="30"/>
      <c r="P166" s="30"/>
      <c r="Q166" s="31"/>
    </row>
    <row r="167" spans="1:17" ht="17" thickBot="1" x14ac:dyDescent="0.25">
      <c r="A167" s="55" t="s">
        <v>274</v>
      </c>
      <c r="B167" s="111"/>
      <c r="C167" s="112"/>
      <c r="D167" s="112"/>
      <c r="E167" s="112"/>
      <c r="F167" s="112"/>
      <c r="G167" s="112"/>
      <c r="H167" s="113"/>
      <c r="I167" s="30"/>
      <c r="J167" s="30"/>
      <c r="K167" s="30"/>
      <c r="L167" s="30"/>
      <c r="M167" s="30"/>
      <c r="N167" s="30"/>
      <c r="O167" s="30"/>
      <c r="P167" s="30"/>
      <c r="Q167" s="31"/>
    </row>
    <row r="168" spans="1:17" ht="17" thickTop="1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1"/>
    </row>
    <row r="169" spans="1:17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1"/>
    </row>
    <row r="170" spans="1:17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1"/>
    </row>
    <row r="171" spans="1:17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1"/>
    </row>
    <row r="172" spans="1:17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1"/>
    </row>
    <row r="173" spans="1:17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1"/>
    </row>
    <row r="174" spans="1:17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1"/>
    </row>
    <row r="175" spans="1:17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1"/>
    </row>
    <row r="176" spans="1:17" ht="17" thickBot="1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4"/>
    </row>
    <row r="177" spans="1:17" ht="20" customHeight="1" thickBot="1" x14ac:dyDescent="0.25">
      <c r="A177" s="332" t="s">
        <v>317</v>
      </c>
      <c r="B177" s="332"/>
      <c r="C177" s="332"/>
      <c r="D177" s="332"/>
      <c r="E177" s="332"/>
      <c r="F177" s="332"/>
      <c r="G177" s="332"/>
      <c r="H177" s="332"/>
      <c r="I177" s="332"/>
      <c r="J177" s="332"/>
      <c r="K177" s="332"/>
      <c r="L177" s="332"/>
      <c r="M177" s="332"/>
      <c r="N177" s="332"/>
      <c r="O177" s="332"/>
      <c r="P177" s="332"/>
      <c r="Q177" s="333"/>
    </row>
    <row r="178" spans="1:17" ht="25" customHeight="1" thickTop="1" thickBot="1" x14ac:dyDescent="0.3">
      <c r="A178" s="326"/>
      <c r="B178" s="327"/>
      <c r="C178" s="215" t="s">
        <v>371</v>
      </c>
      <c r="D178" s="30"/>
      <c r="E178" s="30"/>
      <c r="F178" s="30"/>
      <c r="G178" s="30"/>
      <c r="H178" s="30"/>
      <c r="I178" s="328"/>
      <c r="J178" s="329"/>
      <c r="K178" s="30"/>
      <c r="L178" s="30"/>
      <c r="M178" s="30"/>
      <c r="N178" s="30"/>
      <c r="O178" s="30"/>
      <c r="P178" s="30"/>
      <c r="Q178" s="31"/>
    </row>
    <row r="179" spans="1:17" ht="18" thickTop="1" thickBot="1" x14ac:dyDescent="0.25">
      <c r="A179" s="51"/>
      <c r="B179" s="103" t="s">
        <v>294</v>
      </c>
      <c r="C179" s="103" t="s">
        <v>295</v>
      </c>
      <c r="D179" s="103" t="s">
        <v>296</v>
      </c>
      <c r="E179" s="103" t="s">
        <v>297</v>
      </c>
      <c r="F179" s="103" t="s">
        <v>298</v>
      </c>
      <c r="G179" s="104" t="s">
        <v>281</v>
      </c>
      <c r="H179" s="30"/>
      <c r="I179" s="30"/>
      <c r="J179" s="30"/>
      <c r="K179" s="30"/>
      <c r="L179" s="30"/>
      <c r="M179" s="30"/>
      <c r="N179" s="30"/>
      <c r="O179" s="30"/>
      <c r="P179" s="30"/>
      <c r="Q179" s="31"/>
    </row>
    <row r="180" spans="1:17" ht="17" thickBot="1" x14ac:dyDescent="0.25">
      <c r="A180" s="53" t="s">
        <v>270</v>
      </c>
      <c r="B180" s="105"/>
      <c r="C180" s="106"/>
      <c r="D180" s="106"/>
      <c r="E180" s="106"/>
      <c r="F180" s="106"/>
      <c r="G180" s="107"/>
      <c r="H180" s="30"/>
      <c r="I180" s="30"/>
      <c r="J180" s="30"/>
      <c r="K180" s="30"/>
      <c r="L180" s="30"/>
      <c r="M180" s="30"/>
      <c r="N180" s="30"/>
      <c r="O180" s="30"/>
      <c r="P180" s="30"/>
      <c r="Q180" s="31"/>
    </row>
    <row r="181" spans="1:17" ht="17" thickBot="1" x14ac:dyDescent="0.25">
      <c r="A181" s="54" t="s">
        <v>271</v>
      </c>
      <c r="B181" s="108"/>
      <c r="C181" s="109"/>
      <c r="D181" s="109"/>
      <c r="E181" s="109"/>
      <c r="F181" s="109"/>
      <c r="G181" s="110"/>
      <c r="H181" s="30"/>
      <c r="I181" s="30"/>
      <c r="J181" s="30"/>
      <c r="K181" s="30"/>
      <c r="L181" s="30"/>
      <c r="M181" s="30"/>
      <c r="N181" s="30"/>
      <c r="O181" s="30"/>
      <c r="P181" s="30"/>
      <c r="Q181" s="31"/>
    </row>
    <row r="182" spans="1:17" ht="17" thickBot="1" x14ac:dyDescent="0.25">
      <c r="A182" s="54" t="s">
        <v>272</v>
      </c>
      <c r="B182" s="108"/>
      <c r="C182" s="109"/>
      <c r="D182" s="109"/>
      <c r="E182" s="109"/>
      <c r="F182" s="109"/>
      <c r="G182" s="110"/>
      <c r="H182" s="30"/>
      <c r="I182" s="30"/>
      <c r="J182" s="30"/>
      <c r="K182" s="30"/>
      <c r="L182" s="30"/>
      <c r="M182" s="30"/>
      <c r="N182" s="30"/>
      <c r="O182" s="30"/>
      <c r="P182" s="30"/>
      <c r="Q182" s="31"/>
    </row>
    <row r="183" spans="1:17" ht="17" thickBot="1" x14ac:dyDescent="0.25">
      <c r="A183" s="54" t="s">
        <v>273</v>
      </c>
      <c r="B183" s="108"/>
      <c r="C183" s="109"/>
      <c r="D183" s="109"/>
      <c r="E183" s="109"/>
      <c r="F183" s="109"/>
      <c r="G183" s="110"/>
      <c r="H183" s="30"/>
      <c r="I183" s="30"/>
      <c r="J183" s="30"/>
      <c r="K183" s="30"/>
      <c r="L183" s="30"/>
      <c r="M183" s="30"/>
      <c r="N183" s="30"/>
      <c r="O183" s="30"/>
      <c r="P183" s="30"/>
      <c r="Q183" s="31"/>
    </row>
    <row r="184" spans="1:17" ht="17" thickBot="1" x14ac:dyDescent="0.25">
      <c r="A184" s="55" t="s">
        <v>274</v>
      </c>
      <c r="B184" s="111"/>
      <c r="C184" s="112"/>
      <c r="D184" s="112"/>
      <c r="E184" s="112"/>
      <c r="F184" s="112"/>
      <c r="G184" s="113"/>
      <c r="H184" s="30"/>
      <c r="I184" s="30"/>
      <c r="J184" s="30"/>
      <c r="K184" s="30"/>
      <c r="L184" s="30"/>
      <c r="M184" s="30"/>
      <c r="N184" s="30"/>
      <c r="O184" s="30"/>
      <c r="P184" s="30"/>
      <c r="Q184" s="31"/>
    </row>
    <row r="185" spans="1:17" ht="18" thickTop="1" thickBot="1" x14ac:dyDescent="0.25">
      <c r="A185" s="52"/>
      <c r="B185" s="114" t="s">
        <v>294</v>
      </c>
      <c r="C185" s="114" t="s">
        <v>295</v>
      </c>
      <c r="D185" s="114" t="s">
        <v>296</v>
      </c>
      <c r="E185" s="114" t="s">
        <v>297</v>
      </c>
      <c r="F185" s="114" t="s">
        <v>298</v>
      </c>
      <c r="G185" s="115" t="s">
        <v>281</v>
      </c>
      <c r="H185" s="30"/>
      <c r="I185" s="30"/>
      <c r="J185" s="30"/>
      <c r="K185" s="30"/>
      <c r="L185" s="30"/>
      <c r="M185" s="30"/>
      <c r="N185" s="30"/>
      <c r="O185" s="30"/>
      <c r="P185" s="30"/>
      <c r="Q185" s="31"/>
    </row>
    <row r="186" spans="1:17" ht="17" thickBot="1" x14ac:dyDescent="0.25">
      <c r="A186" s="53" t="s">
        <v>270</v>
      </c>
      <c r="B186" s="105"/>
      <c r="C186" s="106"/>
      <c r="D186" s="106"/>
      <c r="E186" s="106"/>
      <c r="F186" s="106"/>
      <c r="G186" s="107"/>
      <c r="H186" s="30"/>
      <c r="I186" s="30"/>
      <c r="J186" s="30"/>
      <c r="K186" s="30"/>
      <c r="L186" s="30"/>
      <c r="M186" s="30"/>
      <c r="N186" s="30"/>
      <c r="O186" s="30"/>
      <c r="P186" s="30"/>
      <c r="Q186" s="31"/>
    </row>
    <row r="187" spans="1:17" ht="17" thickBot="1" x14ac:dyDescent="0.25">
      <c r="A187" s="54" t="s">
        <v>271</v>
      </c>
      <c r="B187" s="108"/>
      <c r="C187" s="109"/>
      <c r="D187" s="109"/>
      <c r="E187" s="109"/>
      <c r="F187" s="109"/>
      <c r="G187" s="110"/>
      <c r="H187" s="30"/>
      <c r="I187" s="30"/>
      <c r="J187" s="30"/>
      <c r="K187" s="30"/>
      <c r="L187" s="30"/>
      <c r="M187" s="30"/>
      <c r="N187" s="30"/>
      <c r="O187" s="30"/>
      <c r="P187" s="30"/>
      <c r="Q187" s="31"/>
    </row>
    <row r="188" spans="1:17" ht="17" thickBot="1" x14ac:dyDescent="0.25">
      <c r="A188" s="54" t="s">
        <v>272</v>
      </c>
      <c r="B188" s="108"/>
      <c r="C188" s="109"/>
      <c r="D188" s="109"/>
      <c r="E188" s="109"/>
      <c r="F188" s="109"/>
      <c r="G188" s="110"/>
      <c r="H188" s="30"/>
      <c r="I188" s="30"/>
      <c r="J188" s="30"/>
      <c r="K188" s="30"/>
      <c r="L188" s="30"/>
      <c r="M188" s="30"/>
      <c r="N188" s="30"/>
      <c r="O188" s="30"/>
      <c r="P188" s="30"/>
      <c r="Q188" s="31"/>
    </row>
    <row r="189" spans="1:17" ht="17" thickBot="1" x14ac:dyDescent="0.25">
      <c r="A189" s="54" t="s">
        <v>273</v>
      </c>
      <c r="B189" s="108"/>
      <c r="C189" s="109"/>
      <c r="D189" s="109"/>
      <c r="E189" s="109"/>
      <c r="F189" s="109"/>
      <c r="G189" s="110"/>
      <c r="H189" s="30"/>
      <c r="I189" s="30"/>
      <c r="J189" s="30"/>
      <c r="K189" s="30"/>
      <c r="L189" s="30"/>
      <c r="M189" s="30"/>
      <c r="N189" s="30"/>
      <c r="O189" s="30"/>
      <c r="P189" s="30"/>
      <c r="Q189" s="31"/>
    </row>
    <row r="190" spans="1:17" ht="17" thickBot="1" x14ac:dyDescent="0.25">
      <c r="A190" s="55" t="s">
        <v>274</v>
      </c>
      <c r="B190" s="111"/>
      <c r="C190" s="112"/>
      <c r="D190" s="112"/>
      <c r="E190" s="112"/>
      <c r="F190" s="112"/>
      <c r="G190" s="113"/>
      <c r="H190" s="30"/>
      <c r="I190" s="30"/>
      <c r="J190" s="30"/>
      <c r="K190" s="30"/>
      <c r="L190" s="30"/>
      <c r="M190" s="30"/>
      <c r="N190" s="30"/>
      <c r="O190" s="30"/>
      <c r="P190" s="30"/>
      <c r="Q190" s="31"/>
    </row>
    <row r="191" spans="1:17" ht="17" thickTop="1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1"/>
    </row>
    <row r="192" spans="1:17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1"/>
    </row>
    <row r="193" spans="1:17" ht="17" thickBot="1" x14ac:dyDescent="0.2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1"/>
    </row>
    <row r="194" spans="1:17" ht="20" customHeight="1" thickBot="1" x14ac:dyDescent="0.25">
      <c r="A194" s="332" t="s">
        <v>318</v>
      </c>
      <c r="B194" s="332"/>
      <c r="C194" s="332"/>
      <c r="D194" s="332"/>
      <c r="E194" s="332"/>
      <c r="F194" s="332"/>
      <c r="G194" s="332"/>
      <c r="H194" s="332"/>
      <c r="I194" s="332"/>
      <c r="J194" s="332"/>
      <c r="K194" s="332"/>
      <c r="L194" s="332"/>
      <c r="M194" s="332"/>
      <c r="N194" s="332"/>
      <c r="O194" s="332"/>
      <c r="P194" s="332"/>
      <c r="Q194" s="333"/>
    </row>
    <row r="195" spans="1:17" ht="25" customHeight="1" thickTop="1" thickBot="1" x14ac:dyDescent="0.3">
      <c r="A195" s="330"/>
      <c r="B195" s="331"/>
      <c r="C195" s="215" t="s">
        <v>371</v>
      </c>
      <c r="D195" s="30"/>
      <c r="E195" s="30"/>
      <c r="F195" s="30"/>
      <c r="G195" s="30"/>
      <c r="H195" s="30"/>
      <c r="I195" s="328"/>
      <c r="J195" s="329"/>
      <c r="K195" s="30"/>
      <c r="L195" s="30"/>
      <c r="M195" s="30"/>
      <c r="N195" s="30"/>
      <c r="O195" s="30"/>
      <c r="P195" s="30"/>
      <c r="Q195" s="31"/>
    </row>
    <row r="196" spans="1:17" ht="18" thickTop="1" thickBot="1" x14ac:dyDescent="0.25">
      <c r="A196" s="51"/>
      <c r="B196" s="103" t="s">
        <v>294</v>
      </c>
      <c r="C196" s="103" t="s">
        <v>295</v>
      </c>
      <c r="D196" s="103" t="s">
        <v>296</v>
      </c>
      <c r="E196" s="103" t="s">
        <v>297</v>
      </c>
      <c r="F196" s="103" t="s">
        <v>298</v>
      </c>
      <c r="G196" s="104" t="s">
        <v>281</v>
      </c>
      <c r="H196" s="30"/>
      <c r="I196" s="30"/>
      <c r="J196" s="30"/>
      <c r="K196" s="30"/>
      <c r="L196" s="30"/>
      <c r="M196" s="30"/>
      <c r="N196" s="30"/>
      <c r="O196" s="30"/>
      <c r="P196" s="30"/>
      <c r="Q196" s="31"/>
    </row>
    <row r="197" spans="1:17" ht="17" thickBot="1" x14ac:dyDescent="0.25">
      <c r="A197" s="53" t="s">
        <v>270</v>
      </c>
      <c r="B197" s="105"/>
      <c r="C197" s="106"/>
      <c r="D197" s="106"/>
      <c r="E197" s="106"/>
      <c r="F197" s="106"/>
      <c r="G197" s="107"/>
      <c r="H197" s="30"/>
      <c r="I197" s="30"/>
      <c r="J197" s="30"/>
      <c r="K197" s="30"/>
      <c r="L197" s="30"/>
      <c r="M197" s="30"/>
      <c r="N197" s="30"/>
      <c r="O197" s="30"/>
      <c r="P197" s="30"/>
      <c r="Q197" s="31"/>
    </row>
    <row r="198" spans="1:17" ht="17" thickBot="1" x14ac:dyDescent="0.25">
      <c r="A198" s="54" t="s">
        <v>271</v>
      </c>
      <c r="B198" s="108"/>
      <c r="C198" s="109"/>
      <c r="D198" s="109"/>
      <c r="E198" s="109"/>
      <c r="F198" s="109"/>
      <c r="G198" s="110"/>
      <c r="H198" s="30"/>
      <c r="I198" s="30"/>
      <c r="J198" s="30"/>
      <c r="K198" s="30"/>
      <c r="L198" s="30"/>
      <c r="M198" s="30"/>
      <c r="N198" s="30"/>
      <c r="O198" s="30"/>
      <c r="P198" s="30"/>
      <c r="Q198" s="31"/>
    </row>
    <row r="199" spans="1:17" ht="17" thickBot="1" x14ac:dyDescent="0.25">
      <c r="A199" s="54" t="s">
        <v>272</v>
      </c>
      <c r="B199" s="108"/>
      <c r="C199" s="109"/>
      <c r="D199" s="109"/>
      <c r="E199" s="109"/>
      <c r="F199" s="109"/>
      <c r="G199" s="110"/>
      <c r="H199" s="30"/>
      <c r="I199" s="30"/>
      <c r="J199" s="30"/>
      <c r="K199" s="30"/>
      <c r="L199" s="30"/>
      <c r="M199" s="30"/>
      <c r="N199" s="30"/>
      <c r="O199" s="30"/>
      <c r="P199" s="30"/>
      <c r="Q199" s="31"/>
    </row>
    <row r="200" spans="1:17" ht="17" thickBot="1" x14ac:dyDescent="0.25">
      <c r="A200" s="54" t="s">
        <v>273</v>
      </c>
      <c r="B200" s="108"/>
      <c r="C200" s="109"/>
      <c r="D200" s="109"/>
      <c r="E200" s="109"/>
      <c r="F200" s="109"/>
      <c r="G200" s="110"/>
      <c r="H200" s="30"/>
      <c r="I200" s="30"/>
      <c r="J200" s="30"/>
      <c r="K200" s="30"/>
      <c r="L200" s="30"/>
      <c r="M200" s="30"/>
      <c r="N200" s="30"/>
      <c r="O200" s="30"/>
      <c r="P200" s="30"/>
      <c r="Q200" s="31"/>
    </row>
    <row r="201" spans="1:17" ht="17" thickBot="1" x14ac:dyDescent="0.25">
      <c r="A201" s="55" t="s">
        <v>274</v>
      </c>
      <c r="B201" s="111"/>
      <c r="C201" s="112"/>
      <c r="D201" s="112"/>
      <c r="E201" s="112"/>
      <c r="F201" s="112"/>
      <c r="G201" s="113"/>
      <c r="H201" s="30"/>
      <c r="I201" s="30"/>
      <c r="J201" s="30"/>
      <c r="K201" s="30"/>
      <c r="L201" s="30"/>
      <c r="M201" s="30"/>
      <c r="N201" s="30"/>
      <c r="O201" s="30"/>
      <c r="P201" s="30"/>
      <c r="Q201" s="31"/>
    </row>
    <row r="202" spans="1:17" ht="18" thickTop="1" thickBot="1" x14ac:dyDescent="0.25">
      <c r="A202" s="52"/>
      <c r="B202" s="114" t="s">
        <v>294</v>
      </c>
      <c r="C202" s="114" t="s">
        <v>295</v>
      </c>
      <c r="D202" s="114" t="s">
        <v>296</v>
      </c>
      <c r="E202" s="114" t="s">
        <v>297</v>
      </c>
      <c r="F202" s="114" t="s">
        <v>298</v>
      </c>
      <c r="G202" s="115" t="s">
        <v>281</v>
      </c>
      <c r="H202" s="30"/>
      <c r="I202" s="30"/>
      <c r="J202" s="30"/>
      <c r="K202" s="30"/>
      <c r="L202" s="30"/>
      <c r="M202" s="30"/>
      <c r="N202" s="30"/>
      <c r="O202" s="30"/>
      <c r="P202" s="30"/>
      <c r="Q202" s="31"/>
    </row>
    <row r="203" spans="1:17" ht="17" thickBot="1" x14ac:dyDescent="0.25">
      <c r="A203" s="53" t="s">
        <v>270</v>
      </c>
      <c r="B203" s="105"/>
      <c r="C203" s="106"/>
      <c r="D203" s="106"/>
      <c r="E203" s="106"/>
      <c r="F203" s="106"/>
      <c r="G203" s="107"/>
      <c r="H203" s="30"/>
      <c r="I203" s="30"/>
      <c r="J203" s="30"/>
      <c r="K203" s="30"/>
      <c r="L203" s="30"/>
      <c r="M203" s="30"/>
      <c r="N203" s="30"/>
      <c r="O203" s="30"/>
      <c r="P203" s="30"/>
      <c r="Q203" s="31"/>
    </row>
    <row r="204" spans="1:17" ht="17" thickBot="1" x14ac:dyDescent="0.25">
      <c r="A204" s="54" t="s">
        <v>271</v>
      </c>
      <c r="B204" s="108"/>
      <c r="C204" s="109"/>
      <c r="D204" s="109"/>
      <c r="E204" s="109"/>
      <c r="F204" s="109"/>
      <c r="G204" s="110"/>
      <c r="H204" s="30"/>
      <c r="I204" s="30"/>
      <c r="J204" s="30"/>
      <c r="K204" s="30"/>
      <c r="L204" s="30"/>
      <c r="M204" s="30"/>
      <c r="N204" s="30"/>
      <c r="O204" s="30"/>
      <c r="P204" s="30"/>
      <c r="Q204" s="31"/>
    </row>
    <row r="205" spans="1:17" ht="17" thickBot="1" x14ac:dyDescent="0.25">
      <c r="A205" s="54" t="s">
        <v>272</v>
      </c>
      <c r="B205" s="108"/>
      <c r="C205" s="109"/>
      <c r="D205" s="109"/>
      <c r="E205" s="109"/>
      <c r="F205" s="109"/>
      <c r="G205" s="110"/>
      <c r="H205" s="30"/>
      <c r="I205" s="30"/>
      <c r="J205" s="30"/>
      <c r="K205" s="30"/>
      <c r="L205" s="30"/>
      <c r="M205" s="30"/>
      <c r="N205" s="30"/>
      <c r="O205" s="30"/>
      <c r="P205" s="30"/>
      <c r="Q205" s="31"/>
    </row>
    <row r="206" spans="1:17" ht="17" thickBot="1" x14ac:dyDescent="0.25">
      <c r="A206" s="54" t="s">
        <v>273</v>
      </c>
      <c r="B206" s="108"/>
      <c r="C206" s="109"/>
      <c r="D206" s="109"/>
      <c r="E206" s="109"/>
      <c r="F206" s="109"/>
      <c r="G206" s="110"/>
      <c r="H206" s="30"/>
      <c r="I206" s="30"/>
      <c r="J206" s="30"/>
      <c r="K206" s="30"/>
      <c r="L206" s="30"/>
      <c r="M206" s="30"/>
      <c r="N206" s="30"/>
      <c r="O206" s="30"/>
      <c r="P206" s="30"/>
      <c r="Q206" s="31"/>
    </row>
    <row r="207" spans="1:17" ht="17" thickBot="1" x14ac:dyDescent="0.25">
      <c r="A207" s="55" t="s">
        <v>274</v>
      </c>
      <c r="B207" s="111"/>
      <c r="C207" s="112"/>
      <c r="D207" s="112"/>
      <c r="E207" s="112"/>
      <c r="F207" s="112"/>
      <c r="G207" s="113"/>
      <c r="H207" s="30"/>
      <c r="I207" s="30"/>
      <c r="J207" s="30"/>
      <c r="K207" s="30"/>
      <c r="L207" s="30"/>
      <c r="M207" s="30"/>
      <c r="N207" s="30"/>
      <c r="O207" s="30"/>
      <c r="P207" s="30"/>
      <c r="Q207" s="31"/>
    </row>
    <row r="208" spans="1:17" ht="17" thickTop="1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1"/>
    </row>
    <row r="209" spans="1:17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1"/>
    </row>
    <row r="210" spans="1:17" ht="17" thickBot="1" x14ac:dyDescent="0.2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1"/>
    </row>
    <row r="211" spans="1:17" ht="25" customHeight="1" thickTop="1" x14ac:dyDescent="0.2">
      <c r="A211" s="307" t="s">
        <v>319</v>
      </c>
      <c r="B211" s="308"/>
      <c r="C211" s="308"/>
      <c r="D211" s="308"/>
      <c r="E211" s="308"/>
      <c r="F211" s="308"/>
      <c r="G211" s="308"/>
      <c r="H211" s="308"/>
      <c r="I211" s="308"/>
      <c r="J211" s="308"/>
      <c r="K211" s="308"/>
      <c r="L211" s="308"/>
      <c r="M211" s="308"/>
      <c r="N211" s="308"/>
      <c r="O211" s="308"/>
      <c r="P211" s="308"/>
      <c r="Q211" s="309"/>
    </row>
    <row r="212" spans="1:17" ht="20" customHeight="1" thickBot="1" x14ac:dyDescent="0.25">
      <c r="A212" s="314" t="s">
        <v>320</v>
      </c>
      <c r="B212" s="315"/>
      <c r="C212" s="315"/>
      <c r="D212" s="315"/>
      <c r="E212" s="315"/>
      <c r="F212" s="315"/>
      <c r="G212" s="315"/>
      <c r="H212" s="315"/>
      <c r="I212" s="315"/>
      <c r="J212" s="315"/>
      <c r="K212" s="315"/>
      <c r="L212" s="315"/>
      <c r="M212" s="315"/>
      <c r="N212" s="315"/>
      <c r="O212" s="315"/>
      <c r="P212" s="315"/>
      <c r="Q212" s="316"/>
    </row>
    <row r="213" spans="1:17" ht="25" customHeight="1" thickTop="1" thickBot="1" x14ac:dyDescent="0.3">
      <c r="A213" s="310"/>
      <c r="B213" s="311"/>
      <c r="C213" s="216" t="s">
        <v>371</v>
      </c>
      <c r="D213" s="35"/>
      <c r="E213" s="35"/>
      <c r="F213" s="35"/>
      <c r="G213" s="35"/>
      <c r="H213" s="35"/>
      <c r="I213" s="35"/>
      <c r="J213" s="35"/>
      <c r="K213" s="312"/>
      <c r="L213" s="313"/>
      <c r="M213" s="35"/>
      <c r="N213" s="35"/>
      <c r="O213" s="35"/>
      <c r="P213" s="35"/>
      <c r="Q213" s="36"/>
    </row>
    <row r="214" spans="1:17" ht="18" thickTop="1" thickBot="1" x14ac:dyDescent="0.25">
      <c r="A214" s="48"/>
      <c r="B214" s="49" t="s">
        <v>321</v>
      </c>
      <c r="C214" s="49" t="s">
        <v>321</v>
      </c>
      <c r="D214" s="49" t="s">
        <v>321</v>
      </c>
      <c r="E214" s="49" t="s">
        <v>321</v>
      </c>
      <c r="F214" s="49" t="s">
        <v>321</v>
      </c>
      <c r="G214" s="49" t="s">
        <v>321</v>
      </c>
      <c r="H214" s="49" t="s">
        <v>321</v>
      </c>
      <c r="I214" s="50" t="s">
        <v>321</v>
      </c>
      <c r="J214" s="35"/>
      <c r="K214" s="35"/>
      <c r="L214" s="35"/>
      <c r="M214" s="35"/>
      <c r="N214" s="35"/>
      <c r="O214" s="35"/>
      <c r="P214" s="35"/>
      <c r="Q214" s="36"/>
    </row>
    <row r="215" spans="1:17" ht="17" thickBot="1" x14ac:dyDescent="0.25">
      <c r="A215" s="43" t="s">
        <v>270</v>
      </c>
      <c r="B215" s="94"/>
      <c r="C215" s="95"/>
      <c r="D215" s="95"/>
      <c r="E215" s="95"/>
      <c r="F215" s="95"/>
      <c r="G215" s="95"/>
      <c r="H215" s="95"/>
      <c r="I215" s="96"/>
      <c r="J215" s="35"/>
      <c r="K215" s="35"/>
      <c r="L215" s="35"/>
      <c r="M215" s="35"/>
      <c r="N215" s="35"/>
      <c r="O215" s="35"/>
      <c r="P215" s="35"/>
      <c r="Q215" s="36"/>
    </row>
    <row r="216" spans="1:17" ht="17" thickBot="1" x14ac:dyDescent="0.25">
      <c r="A216" s="44" t="s">
        <v>271</v>
      </c>
      <c r="B216" s="97"/>
      <c r="C216" s="98"/>
      <c r="D216" s="98"/>
      <c r="E216" s="98"/>
      <c r="F216" s="98"/>
      <c r="G216" s="98"/>
      <c r="H216" s="98"/>
      <c r="I216" s="99"/>
      <c r="J216" s="35"/>
      <c r="K216" s="35"/>
      <c r="L216" s="35"/>
      <c r="M216" s="35"/>
      <c r="N216" s="35"/>
      <c r="O216" s="35"/>
      <c r="P216" s="35"/>
      <c r="Q216" s="36"/>
    </row>
    <row r="217" spans="1:17" ht="17" thickBot="1" x14ac:dyDescent="0.25">
      <c r="A217" s="44" t="s">
        <v>272</v>
      </c>
      <c r="B217" s="97"/>
      <c r="C217" s="98"/>
      <c r="D217" s="98"/>
      <c r="E217" s="98"/>
      <c r="F217" s="98"/>
      <c r="G217" s="98"/>
      <c r="H217" s="98"/>
      <c r="I217" s="99"/>
      <c r="J217" s="35"/>
      <c r="K217" s="35"/>
      <c r="L217" s="35"/>
      <c r="M217" s="35"/>
      <c r="N217" s="35"/>
      <c r="O217" s="35"/>
      <c r="P217" s="35"/>
      <c r="Q217" s="36"/>
    </row>
    <row r="218" spans="1:17" ht="17" thickBot="1" x14ac:dyDescent="0.25">
      <c r="A218" s="44" t="s">
        <v>273</v>
      </c>
      <c r="B218" s="97"/>
      <c r="C218" s="98"/>
      <c r="D218" s="98"/>
      <c r="E218" s="98"/>
      <c r="F218" s="98"/>
      <c r="G218" s="98"/>
      <c r="H218" s="98"/>
      <c r="I218" s="99"/>
      <c r="J218" s="35"/>
      <c r="K218" s="35"/>
      <c r="L218" s="35"/>
      <c r="M218" s="35"/>
      <c r="N218" s="35"/>
      <c r="O218" s="35"/>
      <c r="P218" s="35"/>
      <c r="Q218" s="36"/>
    </row>
    <row r="219" spans="1:17" ht="17" thickBot="1" x14ac:dyDescent="0.25">
      <c r="A219" s="45" t="s">
        <v>274</v>
      </c>
      <c r="B219" s="100"/>
      <c r="C219" s="101"/>
      <c r="D219" s="101"/>
      <c r="E219" s="101"/>
      <c r="F219" s="101"/>
      <c r="G219" s="101"/>
      <c r="H219" s="101"/>
      <c r="I219" s="102"/>
      <c r="J219" s="35"/>
      <c r="K219" s="35"/>
      <c r="L219" s="35"/>
      <c r="M219" s="35"/>
      <c r="N219" s="35"/>
      <c r="O219" s="35"/>
      <c r="P219" s="35"/>
      <c r="Q219" s="36"/>
    </row>
    <row r="220" spans="1:17" ht="17" thickTop="1" x14ac:dyDescent="0.2">
      <c r="A220" s="37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6"/>
    </row>
    <row r="221" spans="1:17" x14ac:dyDescent="0.2">
      <c r="A221" s="37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6"/>
    </row>
    <row r="222" spans="1:17" x14ac:dyDescent="0.2">
      <c r="A222" s="37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6"/>
    </row>
    <row r="223" spans="1:17" x14ac:dyDescent="0.2">
      <c r="A223" s="37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6"/>
    </row>
    <row r="224" spans="1:17" x14ac:dyDescent="0.2">
      <c r="A224" s="37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6"/>
    </row>
    <row r="225" spans="1:17" x14ac:dyDescent="0.2">
      <c r="A225" s="37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6"/>
    </row>
    <row r="226" spans="1:17" x14ac:dyDescent="0.2">
      <c r="A226" s="37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6"/>
    </row>
    <row r="227" spans="1:17" x14ac:dyDescent="0.2">
      <c r="A227" s="37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6"/>
    </row>
    <row r="228" spans="1:17" ht="17" thickBot="1" x14ac:dyDescent="0.25">
      <c r="A228" s="37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6"/>
    </row>
    <row r="229" spans="1:17" ht="25" thickTop="1" x14ac:dyDescent="0.3">
      <c r="A229" s="284" t="s">
        <v>319</v>
      </c>
      <c r="B229" s="285"/>
      <c r="C229" s="285"/>
      <c r="D229" s="285"/>
      <c r="E229" s="285"/>
      <c r="F229" s="285"/>
      <c r="G229" s="285"/>
      <c r="H229" s="285"/>
      <c r="I229" s="285"/>
      <c r="J229" s="285"/>
      <c r="K229" s="285"/>
      <c r="L229" s="285"/>
      <c r="M229" s="285"/>
      <c r="N229" s="285"/>
      <c r="O229" s="285"/>
      <c r="P229" s="285"/>
      <c r="Q229" s="286"/>
    </row>
    <row r="230" spans="1:17" ht="20" customHeight="1" thickBot="1" x14ac:dyDescent="0.35">
      <c r="A230" s="287" t="s">
        <v>322</v>
      </c>
      <c r="B230" s="288"/>
      <c r="C230" s="288"/>
      <c r="D230" s="288"/>
      <c r="E230" s="288"/>
      <c r="F230" s="288"/>
      <c r="G230" s="288"/>
      <c r="H230" s="288"/>
      <c r="I230" s="288"/>
      <c r="J230" s="288"/>
      <c r="K230" s="288"/>
      <c r="L230" s="288"/>
      <c r="M230" s="288"/>
      <c r="N230" s="288"/>
      <c r="O230" s="288"/>
      <c r="P230" s="288"/>
      <c r="Q230" s="289"/>
    </row>
    <row r="231" spans="1:17" ht="24" customHeight="1" thickTop="1" thickBot="1" x14ac:dyDescent="0.3">
      <c r="A231" s="290"/>
      <c r="B231" s="291"/>
      <c r="C231" s="216" t="s">
        <v>371</v>
      </c>
      <c r="D231" s="35"/>
      <c r="E231" s="35"/>
      <c r="F231" s="35"/>
      <c r="G231" s="35"/>
      <c r="H231" s="35"/>
      <c r="I231" s="35"/>
      <c r="J231" s="35"/>
      <c r="K231" s="290"/>
      <c r="L231" s="291"/>
      <c r="M231" s="35"/>
      <c r="N231" s="35"/>
      <c r="O231" s="35"/>
      <c r="P231" s="35"/>
      <c r="Q231" s="36"/>
    </row>
    <row r="232" spans="1:17" ht="21" thickTop="1" thickBot="1" x14ac:dyDescent="0.3">
      <c r="A232" s="41" t="s">
        <v>331</v>
      </c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6"/>
    </row>
    <row r="233" spans="1:17" ht="18" thickTop="1" thickBot="1" x14ac:dyDescent="0.25">
      <c r="A233" s="42"/>
      <c r="B233" s="46" t="s">
        <v>321</v>
      </c>
      <c r="C233" s="46" t="s">
        <v>321</v>
      </c>
      <c r="D233" s="46" t="s">
        <v>321</v>
      </c>
      <c r="E233" s="46" t="s">
        <v>321</v>
      </c>
      <c r="F233" s="46" t="s">
        <v>321</v>
      </c>
      <c r="G233" s="46" t="s">
        <v>321</v>
      </c>
      <c r="H233" s="46" t="s">
        <v>321</v>
      </c>
      <c r="I233" s="47" t="s">
        <v>321</v>
      </c>
      <c r="J233" s="35"/>
      <c r="K233" s="35"/>
      <c r="L233" s="35"/>
      <c r="M233" s="35"/>
      <c r="N233" s="35"/>
      <c r="O233" s="35"/>
      <c r="P233" s="35"/>
      <c r="Q233" s="36"/>
    </row>
    <row r="234" spans="1:17" ht="17" thickBot="1" x14ac:dyDescent="0.25">
      <c r="A234" s="43" t="s">
        <v>270</v>
      </c>
      <c r="B234" s="149"/>
      <c r="C234" s="150"/>
      <c r="D234" s="150"/>
      <c r="E234" s="150"/>
      <c r="F234" s="150"/>
      <c r="G234" s="150"/>
      <c r="H234" s="150"/>
      <c r="I234" s="151"/>
      <c r="J234" s="35"/>
      <c r="K234" s="35"/>
      <c r="L234" s="35"/>
      <c r="M234" s="35"/>
      <c r="N234" s="35"/>
      <c r="O234" s="35"/>
      <c r="P234" s="35"/>
      <c r="Q234" s="36"/>
    </row>
    <row r="235" spans="1:17" ht="17" thickBot="1" x14ac:dyDescent="0.25">
      <c r="A235" s="44" t="s">
        <v>323</v>
      </c>
      <c r="B235" s="155"/>
      <c r="C235" s="156"/>
      <c r="D235" s="156"/>
      <c r="E235" s="156"/>
      <c r="F235" s="156"/>
      <c r="G235" s="156"/>
      <c r="H235" s="156"/>
      <c r="I235" s="157"/>
      <c r="J235" s="35"/>
      <c r="K235" s="35"/>
      <c r="L235" s="35"/>
      <c r="M235" s="35"/>
      <c r="N235" s="35"/>
      <c r="O235" s="35"/>
      <c r="P235" s="35"/>
      <c r="Q235" s="36"/>
    </row>
    <row r="236" spans="1:17" ht="17" thickBot="1" x14ac:dyDescent="0.25">
      <c r="A236" s="44" t="s">
        <v>324</v>
      </c>
      <c r="B236" s="158"/>
      <c r="C236" s="159"/>
      <c r="D236" s="159"/>
      <c r="E236" s="159"/>
      <c r="F236" s="159"/>
      <c r="G236" s="159"/>
      <c r="H236" s="159"/>
      <c r="I236" s="160"/>
      <c r="J236" s="35"/>
      <c r="K236" s="35"/>
      <c r="L236" s="35"/>
      <c r="M236" s="35"/>
      <c r="N236" s="35"/>
      <c r="O236" s="35"/>
      <c r="P236" s="35"/>
      <c r="Q236" s="36"/>
    </row>
    <row r="237" spans="1:17" ht="17" thickBot="1" x14ac:dyDescent="0.25">
      <c r="A237" s="44" t="s">
        <v>325</v>
      </c>
      <c r="B237" s="152"/>
      <c r="C237" s="153"/>
      <c r="D237" s="153"/>
      <c r="E237" s="153"/>
      <c r="F237" s="153"/>
      <c r="G237" s="153"/>
      <c r="H237" s="153"/>
      <c r="I237" s="154"/>
      <c r="J237" s="35"/>
      <c r="K237" s="35"/>
      <c r="L237" s="35"/>
      <c r="M237" s="35"/>
      <c r="N237" s="35"/>
      <c r="O237" s="35"/>
      <c r="P237" s="35"/>
      <c r="Q237" s="36"/>
    </row>
    <row r="238" spans="1:17" ht="17" thickBot="1" x14ac:dyDescent="0.25">
      <c r="A238" s="44" t="s">
        <v>326</v>
      </c>
      <c r="B238" s="161"/>
      <c r="C238" s="162"/>
      <c r="D238" s="162"/>
      <c r="E238" s="162"/>
      <c r="F238" s="162"/>
      <c r="G238" s="162"/>
      <c r="H238" s="162"/>
      <c r="I238" s="163"/>
      <c r="J238" s="35"/>
      <c r="K238" s="35"/>
      <c r="L238" s="35"/>
      <c r="M238" s="35"/>
      <c r="N238" s="35"/>
      <c r="O238" s="35"/>
      <c r="P238" s="35"/>
      <c r="Q238" s="36"/>
    </row>
    <row r="239" spans="1:17" ht="17" thickBot="1" x14ac:dyDescent="0.25">
      <c r="A239" s="44" t="s">
        <v>327</v>
      </c>
      <c r="B239" s="155"/>
      <c r="C239" s="156"/>
      <c r="D239" s="156"/>
      <c r="E239" s="156"/>
      <c r="F239" s="156"/>
      <c r="G239" s="156"/>
      <c r="H239" s="156"/>
      <c r="I239" s="157"/>
      <c r="J239" s="35"/>
      <c r="K239" s="35"/>
      <c r="L239" s="35"/>
      <c r="M239" s="35"/>
      <c r="N239" s="35"/>
      <c r="O239" s="35"/>
      <c r="P239" s="35"/>
      <c r="Q239" s="36"/>
    </row>
    <row r="240" spans="1:17" ht="17" thickBot="1" x14ac:dyDescent="0.25">
      <c r="A240" s="44" t="s">
        <v>328</v>
      </c>
      <c r="B240" s="158"/>
      <c r="C240" s="159"/>
      <c r="D240" s="159"/>
      <c r="E240" s="159"/>
      <c r="F240" s="159"/>
      <c r="G240" s="159"/>
      <c r="H240" s="159"/>
      <c r="I240" s="160"/>
      <c r="J240" s="35"/>
      <c r="K240" s="35"/>
      <c r="L240" s="35"/>
      <c r="M240" s="35"/>
      <c r="N240" s="35"/>
      <c r="O240" s="35"/>
      <c r="P240" s="35"/>
      <c r="Q240" s="36"/>
    </row>
    <row r="241" spans="1:17" ht="17" thickBot="1" x14ac:dyDescent="0.25">
      <c r="A241" s="44" t="s">
        <v>329</v>
      </c>
      <c r="B241" s="152"/>
      <c r="C241" s="153"/>
      <c r="D241" s="153"/>
      <c r="E241" s="153"/>
      <c r="F241" s="153"/>
      <c r="G241" s="153"/>
      <c r="H241" s="153"/>
      <c r="I241" s="154"/>
      <c r="J241" s="35"/>
      <c r="K241" s="35"/>
      <c r="L241" s="35"/>
      <c r="M241" s="35"/>
      <c r="N241" s="35"/>
      <c r="O241" s="35"/>
      <c r="P241" s="35"/>
      <c r="Q241" s="36"/>
    </row>
    <row r="242" spans="1:17" ht="17" thickBot="1" x14ac:dyDescent="0.25">
      <c r="A242" s="45" t="s">
        <v>330</v>
      </c>
      <c r="B242" s="91"/>
      <c r="C242" s="92"/>
      <c r="D242" s="92"/>
      <c r="E242" s="92"/>
      <c r="F242" s="92"/>
      <c r="G242" s="92"/>
      <c r="H242" s="92"/>
      <c r="I242" s="93"/>
      <c r="J242" s="35"/>
      <c r="K242" s="35"/>
      <c r="L242" s="35"/>
      <c r="M242" s="35"/>
      <c r="N242" s="35"/>
      <c r="O242" s="35"/>
      <c r="P242" s="35"/>
      <c r="Q242" s="36"/>
    </row>
    <row r="243" spans="1:17" ht="21" thickTop="1" thickBot="1" x14ac:dyDescent="0.3">
      <c r="A243" s="41" t="s">
        <v>332</v>
      </c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6"/>
    </row>
    <row r="244" spans="1:17" ht="18" thickTop="1" thickBot="1" x14ac:dyDescent="0.25">
      <c r="A244" s="42"/>
      <c r="B244" s="46"/>
      <c r="C244" s="46"/>
      <c r="D244" s="46"/>
      <c r="E244" s="46"/>
      <c r="F244" s="46"/>
      <c r="G244" s="46"/>
      <c r="H244" s="46"/>
      <c r="I244" s="47"/>
      <c r="J244" s="35"/>
      <c r="K244" s="35"/>
      <c r="L244" s="35"/>
      <c r="M244" s="35"/>
      <c r="N244" s="35"/>
      <c r="O244" s="35"/>
      <c r="P244" s="35"/>
      <c r="Q244" s="36"/>
    </row>
    <row r="245" spans="1:17" ht="17" thickBot="1" x14ac:dyDescent="0.25">
      <c r="A245" s="43" t="s">
        <v>270</v>
      </c>
      <c r="B245" s="85"/>
      <c r="C245" s="86"/>
      <c r="D245" s="86"/>
      <c r="E245" s="86"/>
      <c r="F245" s="86"/>
      <c r="G245" s="86"/>
      <c r="H245" s="86"/>
      <c r="I245" s="87"/>
      <c r="J245" s="35"/>
      <c r="K245" s="35"/>
      <c r="L245" s="35"/>
      <c r="M245" s="35"/>
      <c r="N245" s="35"/>
      <c r="O245" s="35"/>
      <c r="P245" s="35"/>
      <c r="Q245" s="36"/>
    </row>
    <row r="246" spans="1:17" ht="17" thickBot="1" x14ac:dyDescent="0.25">
      <c r="A246" s="44" t="s">
        <v>271</v>
      </c>
      <c r="B246" s="88"/>
      <c r="C246" s="89"/>
      <c r="D246" s="89"/>
      <c r="E246" s="89"/>
      <c r="F246" s="89"/>
      <c r="G246" s="89"/>
      <c r="H246" s="89"/>
      <c r="I246" s="90"/>
      <c r="J246" s="35"/>
      <c r="K246" s="35"/>
      <c r="L246" s="35"/>
      <c r="M246" s="35"/>
      <c r="N246" s="35"/>
      <c r="O246" s="35"/>
      <c r="P246" s="35"/>
      <c r="Q246" s="36"/>
    </row>
    <row r="247" spans="1:17" ht="17" thickBot="1" x14ac:dyDescent="0.25">
      <c r="A247" s="44" t="s">
        <v>272</v>
      </c>
      <c r="B247" s="88"/>
      <c r="C247" s="89"/>
      <c r="D247" s="89"/>
      <c r="E247" s="89"/>
      <c r="F247" s="89"/>
      <c r="G247" s="89"/>
      <c r="H247" s="89"/>
      <c r="I247" s="90"/>
      <c r="J247" s="35"/>
      <c r="K247" s="35"/>
      <c r="L247" s="35"/>
      <c r="M247" s="35"/>
      <c r="N247" s="35"/>
      <c r="O247" s="35"/>
      <c r="P247" s="35"/>
      <c r="Q247" s="36"/>
    </row>
    <row r="248" spans="1:17" ht="17" thickBot="1" x14ac:dyDescent="0.25">
      <c r="A248" s="44" t="s">
        <v>273</v>
      </c>
      <c r="B248" s="88"/>
      <c r="C248" s="89"/>
      <c r="D248" s="89"/>
      <c r="E248" s="89"/>
      <c r="F248" s="89"/>
      <c r="G248" s="89"/>
      <c r="H248" s="89"/>
      <c r="I248" s="90"/>
      <c r="J248" s="35"/>
      <c r="K248" s="35"/>
      <c r="L248" s="35"/>
      <c r="M248" s="35"/>
      <c r="N248" s="35"/>
      <c r="O248" s="35"/>
      <c r="P248" s="35"/>
      <c r="Q248" s="36"/>
    </row>
    <row r="249" spans="1:17" ht="17" thickBot="1" x14ac:dyDescent="0.25">
      <c r="A249" s="45" t="s">
        <v>274</v>
      </c>
      <c r="B249" s="91"/>
      <c r="C249" s="92"/>
      <c r="D249" s="92"/>
      <c r="E249" s="92"/>
      <c r="F249" s="92"/>
      <c r="G249" s="92"/>
      <c r="H249" s="92"/>
      <c r="I249" s="93"/>
      <c r="J249" s="35"/>
      <c r="K249" s="35"/>
      <c r="L249" s="35"/>
      <c r="M249" s="35"/>
      <c r="N249" s="35"/>
      <c r="O249" s="35"/>
      <c r="P249" s="35"/>
      <c r="Q249" s="36"/>
    </row>
    <row r="250" spans="1:17" ht="17" thickTop="1" x14ac:dyDescent="0.2">
      <c r="A250" s="37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6"/>
    </row>
    <row r="251" spans="1:17" ht="17" thickBot="1" x14ac:dyDescent="0.25">
      <c r="A251" s="38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40"/>
    </row>
    <row r="252" spans="1:17" ht="17" thickTop="1" x14ac:dyDescent="0.2"/>
  </sheetData>
  <mergeCells count="47">
    <mergeCell ref="A6:B6"/>
    <mergeCell ref="H6:I6"/>
    <mergeCell ref="A23:B23"/>
    <mergeCell ref="H23:I23"/>
    <mergeCell ref="A74:Q74"/>
    <mergeCell ref="A91:Q91"/>
    <mergeCell ref="A40:B40"/>
    <mergeCell ref="H40:I40"/>
    <mergeCell ref="A57:B57"/>
    <mergeCell ref="H57:I57"/>
    <mergeCell ref="I109:J109"/>
    <mergeCell ref="A127:B127"/>
    <mergeCell ref="K127:L127"/>
    <mergeCell ref="A75:B75"/>
    <mergeCell ref="K75:L75"/>
    <mergeCell ref="A92:B92"/>
    <mergeCell ref="I92:J92"/>
    <mergeCell ref="A125:Q125"/>
    <mergeCell ref="A126:Q126"/>
    <mergeCell ref="A178:B178"/>
    <mergeCell ref="I178:J178"/>
    <mergeCell ref="A195:B195"/>
    <mergeCell ref="I195:J195"/>
    <mergeCell ref="A177:Q177"/>
    <mergeCell ref="A194:Q194"/>
    <mergeCell ref="A144:B144"/>
    <mergeCell ref="K144:L144"/>
    <mergeCell ref="A161:B161"/>
    <mergeCell ref="J161:K161"/>
    <mergeCell ref="A143:Q143"/>
    <mergeCell ref="A160:Q160"/>
    <mergeCell ref="A229:Q229"/>
    <mergeCell ref="A230:Q230"/>
    <mergeCell ref="A231:B231"/>
    <mergeCell ref="K231:L231"/>
    <mergeCell ref="A4:Q4"/>
    <mergeCell ref="A5:Q5"/>
    <mergeCell ref="A22:Q22"/>
    <mergeCell ref="A39:Q39"/>
    <mergeCell ref="A56:Q56"/>
    <mergeCell ref="A73:Q73"/>
    <mergeCell ref="A211:Q211"/>
    <mergeCell ref="A213:B213"/>
    <mergeCell ref="K213:L213"/>
    <mergeCell ref="A212:Q212"/>
    <mergeCell ref="A109:B109"/>
    <mergeCell ref="A108:Q108"/>
  </mergeCells>
  <hyperlinks>
    <hyperlink ref="C6" location="Home!A1" display="Home" xr:uid="{00000000-0004-0000-0100-000000000000}"/>
    <hyperlink ref="C23" location="Home!A1" display="Home" xr:uid="{00000000-0004-0000-0100-000001000000}"/>
    <hyperlink ref="C40" location="Home!A1" display="Home" xr:uid="{00000000-0004-0000-0100-000002000000}"/>
    <hyperlink ref="C57" location="Home!A1" display="Home" xr:uid="{00000000-0004-0000-0100-000003000000}"/>
    <hyperlink ref="C75" location="Home!A1" display="Home" xr:uid="{00000000-0004-0000-0100-000004000000}"/>
    <hyperlink ref="C92" location="Home!A1" display="Home" xr:uid="{00000000-0004-0000-0100-000005000000}"/>
    <hyperlink ref="C109" location="Home!A1" display="Home" xr:uid="{00000000-0004-0000-0100-000006000000}"/>
    <hyperlink ref="C127" location="Home!A1" display="Home" xr:uid="{00000000-0004-0000-0100-000007000000}"/>
    <hyperlink ref="C144" location="Home!A1" display="Home" xr:uid="{00000000-0004-0000-0100-000008000000}"/>
    <hyperlink ref="C161" location="Home!A1" display="Home" xr:uid="{00000000-0004-0000-0100-000009000000}"/>
    <hyperlink ref="C178" location="Home!A1" display="Home" xr:uid="{00000000-0004-0000-0100-00000A000000}"/>
    <hyperlink ref="C195" location="Home!A1" display="Home" xr:uid="{00000000-0004-0000-0100-00000B000000}"/>
    <hyperlink ref="C213" location="Home!A1" display="Home" xr:uid="{00000000-0004-0000-0100-00000C000000}"/>
    <hyperlink ref="C231" location="Home!A1" display="Home" xr:uid="{00000000-0004-0000-0100-00000D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LangSampVocalDataPull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LangSampVocalChar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PercentOfOppsDataPull">
                <anchor moveWithCells="1" siz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2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PercentOfOppsChart">
                <anchor moveWithCells="1" sizeWithCells="1">
                  <from>
                    <xdr:col>10</xdr:col>
                    <xdr:colOff>0</xdr:colOff>
                    <xdr:row>212</xdr:row>
                    <xdr:rowOff>0</xdr:rowOff>
                  </from>
                  <to>
                    <xdr:col>12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1]!LangSampQualDataPull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1]!LangSampArticChart">
                <anchor moveWithCells="1" siz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1]!UnpromptedPlayDataPull515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1]!UnprPlayObs515Chart">
                <anchor moveWithCells="1" siz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1]!FrequencyDataPull">
                <anchor moveWithCells="1" siz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2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2" name="Button 40">
              <controlPr defaultSize="0" print="0" autoFill="0" autoPict="0" macro="[1]!FrequencyChart">
                <anchor moveWithCells="1" sizeWithCells="1">
                  <from>
                    <xdr:col>10</xdr:col>
                    <xdr:colOff>0</xdr:colOff>
                    <xdr:row>230</xdr:row>
                    <xdr:rowOff>0</xdr:rowOff>
                  </from>
                  <to>
                    <xdr:col>12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3" name="Button 41">
              <controlPr defaultSize="0" print="0" autoFill="0" autoPict="0" macro="[1]!UnpromptedPlayDataPull1030">
                <anchor moveWithCells="1" siz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4" name="Button 42">
              <controlPr defaultSize="0" print="0" autoFill="0" autoPict="0" macro="[1]!UnprePlayObs1030Chart">
                <anchor moveWithCells="1" sizeWithCells="1">
                  <from>
                    <xdr:col>7</xdr:col>
                    <xdr:colOff>0</xdr:colOff>
                    <xdr:row>56</xdr:row>
                    <xdr:rowOff>0</xdr:rowOff>
                  </from>
                  <to>
                    <xdr:col>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5" name="Button 43">
              <controlPr defaultSize="0" print="0" autoFill="0" autoPict="0" macro="[1]!FSSParticipationDataPull">
                <anchor moveWithCells="1" siz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2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6" name="Button 44">
              <controlPr defaultSize="0" print="0" autoFill="0" autoPict="0" macro="[1]!FSSParticipationChart">
                <anchor moveWithCells="1" sizeWithCells="1">
                  <from>
                    <xdr:col>10</xdr:col>
                    <xdr:colOff>0</xdr:colOff>
                    <xdr:row>74</xdr:row>
                    <xdr:rowOff>0</xdr:rowOff>
                  </from>
                  <to>
                    <xdr:col>12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7" name="Button 45">
              <controlPr defaultSize="0" print="0" autoFill="0" autoPict="0" macro="[1]!FSSPlayObs1030DataPull">
                <anchor moveWithCells="1" siz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2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8" name="Button 46">
              <controlPr defaultSize="0" print="0" autoFill="0" autoPict="0" macro="[1]!FSSPlayObs1030Chart">
                <anchor moveWithCells="1" sizeWithCells="1">
                  <from>
                    <xdr:col>8</xdr:col>
                    <xdr:colOff>0</xdr:colOff>
                    <xdr:row>91</xdr:row>
                    <xdr:rowOff>0</xdr:rowOff>
                  </from>
                  <to>
                    <xdr:col>10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9" name="Button 47">
              <controlPr defaultSize="0" print="0" autoFill="0" autoPict="0" macro="[1]!FSSPlayObs515DataPull">
                <anchor moveWithCells="1" siz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2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0" name="Button 48">
              <controlPr defaultSize="0" print="0" autoFill="0" autoPict="0" macro="[1]!FSSPlayObs515Chart">
                <anchor moveWithCells="1" sizeWithCells="1">
                  <from>
                    <xdr:col>8</xdr:col>
                    <xdr:colOff>0</xdr:colOff>
                    <xdr:row>108</xdr:row>
                    <xdr:rowOff>0</xdr:rowOff>
                  </from>
                  <to>
                    <xdr:col>10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21" name="Button 49">
              <controlPr defaultSize="0" print="0" autoFill="0" autoPict="0" macro="[1]!SchoolPartCTDataPull">
                <anchor moveWithCells="1" siz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2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22" name="Button 50">
              <controlPr defaultSize="0" print="0" autoFill="0" autoPict="0" macro="[1]!SchoolPartCTChart">
                <anchor moveWithCells="1" sizeWithCells="1">
                  <from>
                    <xdr:col>10</xdr:col>
                    <xdr:colOff>0</xdr:colOff>
                    <xdr:row>126</xdr:row>
                    <xdr:rowOff>0</xdr:rowOff>
                  </from>
                  <to>
                    <xdr:col>12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23" name="Button 51">
              <controlPr defaultSize="0" print="0" autoFill="0" autoPict="0" macro="[1]!SchoolPartCENDataPull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2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24" name="Button 52">
              <controlPr defaultSize="0" print="0" autoFill="0" autoPict="0" macro="[1]!SchoolPartCENChart">
                <anchor moveWithCells="1" sizeWithCells="1">
                  <from>
                    <xdr:col>10</xdr:col>
                    <xdr:colOff>0</xdr:colOff>
                    <xdr:row>143</xdr:row>
                    <xdr:rowOff>0</xdr:rowOff>
                  </from>
                  <to>
                    <xdr:col>12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25" name="Button 53">
              <controlPr defaultSize="0" print="0" autoFill="0" autoPict="0" macro="[1]!SchoolFreePlayDataPull">
                <anchor moveWithCells="1" siz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2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26" name="Button 54">
              <controlPr defaultSize="0" print="0" autoFill="0" autoPict="0" macro="[1]!SchoolFreePlayChart">
                <anchor moveWithCells="1" sizeWithCells="1">
                  <from>
                    <xdr:col>9</xdr:col>
                    <xdr:colOff>0</xdr:colOff>
                    <xdr:row>160</xdr:row>
                    <xdr:rowOff>0</xdr:rowOff>
                  </from>
                  <to>
                    <xdr:col>11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27" name="Button 55">
              <controlPr defaultSize="0" print="0" autoFill="0" autoPict="0" macro="[1]!SchoolPlayObs1030DataPull">
                <anchor moveWithCells="1" siz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2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8" name="Button 56">
              <controlPr defaultSize="0" print="0" autoFill="0" autoPict="0" macro="[1]!SchoolPlayObs1030Chart">
                <anchor moveWithCells="1" sizeWithCells="1">
                  <from>
                    <xdr:col>8</xdr:col>
                    <xdr:colOff>0</xdr:colOff>
                    <xdr:row>177</xdr:row>
                    <xdr:rowOff>0</xdr:rowOff>
                  </from>
                  <to>
                    <xdr:col>10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9" name="Button 57">
              <controlPr defaultSize="0" print="0" autoFill="0" autoPict="0" macro="[1]!SchoolPlayObs515DataPull">
                <anchor moveWithCells="1" siz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2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30" name="Button 58">
              <controlPr defaultSize="0" print="0" autoFill="0" autoPict="0" macro="[1]!SchoolPlayObs515Chart">
                <anchor moveWithCells="1" sizeWithCells="1">
                  <from>
                    <xdr:col>8</xdr:col>
                    <xdr:colOff>0</xdr:colOff>
                    <xdr:row>194</xdr:row>
                    <xdr:rowOff>0</xdr:rowOff>
                  </from>
                  <to>
                    <xdr:col>10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M1000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6" x14ac:dyDescent="0.2"/>
  <cols>
    <col min="1" max="1" width="12.83203125" bestFit="1" customWidth="1"/>
    <col min="2" max="2" width="20.1640625" style="3" bestFit="1" customWidth="1"/>
    <col min="3" max="3" width="14" bestFit="1" customWidth="1"/>
    <col min="4" max="4" width="23.6640625" bestFit="1" customWidth="1"/>
    <col min="5" max="5" width="63.33203125" bestFit="1" customWidth="1"/>
    <col min="6" max="6" width="73.1640625" style="9" bestFit="1" customWidth="1"/>
    <col min="7" max="7" width="42.1640625" bestFit="1" customWidth="1"/>
    <col min="8" max="8" width="23.83203125" bestFit="1" customWidth="1"/>
    <col min="9" max="10" width="23.1640625" bestFit="1" customWidth="1"/>
    <col min="11" max="11" width="28.6640625" bestFit="1" customWidth="1"/>
    <col min="12" max="12" width="22.83203125" bestFit="1" customWidth="1"/>
    <col min="13" max="13" width="28.33203125" bestFit="1" customWidth="1"/>
    <col min="14" max="14" width="23.83203125" bestFit="1" customWidth="1"/>
    <col min="15" max="16" width="22.1640625" bestFit="1" customWidth="1"/>
    <col min="17" max="17" width="27.6640625" bestFit="1" customWidth="1"/>
    <col min="18" max="18" width="15.6640625" bestFit="1" customWidth="1"/>
    <col min="19" max="19" width="21.1640625" bestFit="1" customWidth="1"/>
    <col min="20" max="20" width="12.1640625" bestFit="1" customWidth="1"/>
    <col min="21" max="21" width="9.5" bestFit="1" customWidth="1"/>
    <col min="22" max="22" width="16.83203125" bestFit="1" customWidth="1"/>
    <col min="23" max="23" width="13.83203125" bestFit="1" customWidth="1"/>
    <col min="24" max="24" width="15.33203125" bestFit="1" customWidth="1"/>
    <col min="25" max="25" width="2.1640625" bestFit="1" customWidth="1"/>
    <col min="26" max="26" width="5.83203125" bestFit="1" customWidth="1"/>
    <col min="27" max="27" width="2.1640625" bestFit="1" customWidth="1"/>
    <col min="28" max="28" width="5.83203125" bestFit="1" customWidth="1"/>
    <col min="29" max="29" width="2.1640625" bestFit="1" customWidth="1"/>
    <col min="30" max="30" width="5.83203125" bestFit="1" customWidth="1"/>
    <col min="31" max="31" width="2.1640625" bestFit="1" customWidth="1"/>
    <col min="32" max="32" width="5.83203125" bestFit="1" customWidth="1"/>
    <col min="33" max="33" width="2.1640625" bestFit="1" customWidth="1"/>
    <col min="34" max="34" width="5.83203125" bestFit="1" customWidth="1"/>
    <col min="35" max="35" width="2.1640625" bestFit="1" customWidth="1"/>
    <col min="36" max="36" width="5.83203125" bestFit="1" customWidth="1"/>
    <col min="37" max="37" width="2.1640625" bestFit="1" customWidth="1"/>
    <col min="38" max="38" width="5.83203125" bestFit="1" customWidth="1"/>
    <col min="39" max="39" width="2.1640625" bestFit="1" customWidth="1"/>
    <col min="40" max="40" width="5.83203125" bestFit="1" customWidth="1"/>
    <col min="41" max="41" width="2.1640625" bestFit="1" customWidth="1"/>
    <col min="42" max="42" width="5.83203125" bestFit="1" customWidth="1"/>
    <col min="43" max="43" width="2.1640625" bestFit="1" customWidth="1"/>
    <col min="44" max="44" width="5.83203125" bestFit="1" customWidth="1"/>
    <col min="45" max="45" width="2.1640625" bestFit="1" customWidth="1"/>
    <col min="46" max="46" width="5.83203125" bestFit="1" customWidth="1"/>
    <col min="47" max="47" width="2.1640625" bestFit="1" customWidth="1"/>
    <col min="48" max="48" width="5.83203125" bestFit="1" customWidth="1"/>
    <col min="49" max="49" width="2.1640625" bestFit="1" customWidth="1"/>
    <col min="50" max="50" width="5.83203125" bestFit="1" customWidth="1"/>
    <col min="51" max="51" width="2.1640625" bestFit="1" customWidth="1"/>
    <col min="52" max="52" width="5.83203125" bestFit="1" customWidth="1"/>
    <col min="53" max="53" width="2.1640625" bestFit="1" customWidth="1"/>
    <col min="54" max="54" width="5.83203125" bestFit="1" customWidth="1"/>
    <col min="55" max="55" width="2.1640625" bestFit="1" customWidth="1"/>
    <col min="56" max="56" width="5.83203125" bestFit="1" customWidth="1"/>
    <col min="57" max="57" width="2.1640625" bestFit="1" customWidth="1"/>
    <col min="58" max="58" width="5.83203125" bestFit="1" customWidth="1"/>
    <col min="59" max="59" width="2.1640625" bestFit="1" customWidth="1"/>
    <col min="60" max="60" width="5.83203125" bestFit="1" customWidth="1"/>
    <col min="61" max="61" width="2.1640625" bestFit="1" customWidth="1"/>
    <col min="62" max="62" width="5.83203125" bestFit="1" customWidth="1"/>
    <col min="63" max="63" width="2.1640625" bestFit="1" customWidth="1"/>
    <col min="64" max="64" width="5.83203125" bestFit="1" customWidth="1"/>
    <col min="65" max="65" width="2.1640625" bestFit="1" customWidth="1"/>
  </cols>
  <sheetData>
    <row r="1" spans="1:43" x14ac:dyDescent="0.2">
      <c r="A1" t="s">
        <v>0</v>
      </c>
      <c r="B1" s="3" t="s">
        <v>1</v>
      </c>
      <c r="C1" t="s">
        <v>2</v>
      </c>
      <c r="D1" t="s">
        <v>3</v>
      </c>
      <c r="E1" t="s">
        <v>4</v>
      </c>
      <c r="F1" s="9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43" x14ac:dyDescent="0.2">
      <c r="A2" t="s">
        <v>381</v>
      </c>
      <c r="B2" s="3">
        <v>44252</v>
      </c>
      <c r="C2">
        <v>19</v>
      </c>
      <c r="D2" t="s">
        <v>382</v>
      </c>
      <c r="E2" t="s">
        <v>191</v>
      </c>
      <c r="F2" s="9" t="s">
        <v>192</v>
      </c>
      <c r="G2" t="s">
        <v>26</v>
      </c>
      <c r="H2" t="s">
        <v>51</v>
      </c>
      <c r="I2" t="s">
        <v>52</v>
      </c>
      <c r="J2" t="s">
        <v>53</v>
      </c>
      <c r="K2" t="s">
        <v>54</v>
      </c>
      <c r="L2" t="s">
        <v>53</v>
      </c>
      <c r="M2" t="s">
        <v>54</v>
      </c>
      <c r="N2" t="s">
        <v>51</v>
      </c>
      <c r="O2" t="s">
        <v>52</v>
      </c>
      <c r="P2" t="s">
        <v>53</v>
      </c>
      <c r="Q2" t="s">
        <v>54</v>
      </c>
      <c r="R2" s="1">
        <v>44252.449675925927</v>
      </c>
      <c r="S2" s="1">
        <v>44252.469826388886</v>
      </c>
      <c r="T2">
        <v>6</v>
      </c>
      <c r="U2">
        <v>6</v>
      </c>
      <c r="V2" s="2">
        <v>1</v>
      </c>
      <c r="W2">
        <v>0</v>
      </c>
      <c r="X2" t="s">
        <v>54</v>
      </c>
      <c r="Y2">
        <v>0</v>
      </c>
      <c r="Z2" t="s">
        <v>54</v>
      </c>
      <c r="AA2">
        <v>0</v>
      </c>
      <c r="AB2" t="s">
        <v>54</v>
      </c>
      <c r="AC2">
        <v>0</v>
      </c>
      <c r="AD2" t="s">
        <v>54</v>
      </c>
      <c r="AE2">
        <v>0</v>
      </c>
      <c r="AF2" t="s">
        <v>54</v>
      </c>
      <c r="AG2">
        <v>0</v>
      </c>
      <c r="AH2" t="s">
        <v>54</v>
      </c>
      <c r="AI2">
        <v>0</v>
      </c>
      <c r="AJ2" t="s">
        <v>31</v>
      </c>
      <c r="AK2">
        <v>0</v>
      </c>
      <c r="AL2" t="s">
        <v>31</v>
      </c>
      <c r="AM2">
        <v>0</v>
      </c>
      <c r="AN2" t="s">
        <v>31</v>
      </c>
      <c r="AO2">
        <v>0</v>
      </c>
      <c r="AP2" t="s">
        <v>31</v>
      </c>
      <c r="AQ2">
        <v>0</v>
      </c>
    </row>
    <row r="3" spans="1:43" x14ac:dyDescent="0.2">
      <c r="A3" t="s">
        <v>381</v>
      </c>
      <c r="B3" s="3">
        <v>44257</v>
      </c>
      <c r="C3">
        <v>23</v>
      </c>
      <c r="D3" t="s">
        <v>382</v>
      </c>
      <c r="E3" t="s">
        <v>191</v>
      </c>
      <c r="F3" s="9" t="s">
        <v>192</v>
      </c>
      <c r="G3" t="s">
        <v>26</v>
      </c>
      <c r="H3" t="s">
        <v>51</v>
      </c>
      <c r="I3" t="s">
        <v>52</v>
      </c>
      <c r="J3" t="s">
        <v>53</v>
      </c>
      <c r="K3" t="s">
        <v>54</v>
      </c>
      <c r="L3" t="s">
        <v>53</v>
      </c>
      <c r="M3" t="s">
        <v>54</v>
      </c>
      <c r="N3" t="s">
        <v>51</v>
      </c>
      <c r="O3" t="s">
        <v>52</v>
      </c>
      <c r="P3" t="s">
        <v>53</v>
      </c>
      <c r="Q3" t="s">
        <v>54</v>
      </c>
      <c r="R3" s="1">
        <v>44257.443726851852</v>
      </c>
      <c r="S3" s="1">
        <v>44257.452893518515</v>
      </c>
      <c r="T3">
        <v>5</v>
      </c>
      <c r="U3">
        <v>5</v>
      </c>
      <c r="V3" s="2">
        <v>1</v>
      </c>
      <c r="W3">
        <v>0</v>
      </c>
      <c r="X3" t="s">
        <v>54</v>
      </c>
      <c r="Y3">
        <v>0</v>
      </c>
      <c r="Z3" t="s">
        <v>54</v>
      </c>
      <c r="AA3">
        <v>0</v>
      </c>
      <c r="AB3" t="s">
        <v>54</v>
      </c>
      <c r="AC3">
        <v>0</v>
      </c>
      <c r="AD3" t="s">
        <v>54</v>
      </c>
      <c r="AE3">
        <v>0</v>
      </c>
      <c r="AF3" t="s">
        <v>54</v>
      </c>
      <c r="AG3">
        <v>0</v>
      </c>
      <c r="AH3" t="s">
        <v>31</v>
      </c>
      <c r="AI3">
        <v>0</v>
      </c>
      <c r="AJ3" t="s">
        <v>31</v>
      </c>
      <c r="AK3">
        <v>0</v>
      </c>
      <c r="AL3" t="s">
        <v>31</v>
      </c>
      <c r="AM3">
        <v>0</v>
      </c>
      <c r="AN3" t="s">
        <v>31</v>
      </c>
      <c r="AO3">
        <v>0</v>
      </c>
      <c r="AP3" t="s">
        <v>31</v>
      </c>
      <c r="AQ3">
        <v>0</v>
      </c>
    </row>
    <row r="4" spans="1:43" x14ac:dyDescent="0.2">
      <c r="A4" t="s">
        <v>381</v>
      </c>
      <c r="B4" s="3">
        <v>44315</v>
      </c>
      <c r="C4">
        <v>79</v>
      </c>
      <c r="D4" t="s">
        <v>383</v>
      </c>
      <c r="E4" t="s">
        <v>191</v>
      </c>
      <c r="F4" s="9" t="s">
        <v>192</v>
      </c>
      <c r="G4" t="s">
        <v>26</v>
      </c>
      <c r="H4" t="s">
        <v>51</v>
      </c>
      <c r="I4" t="s">
        <v>52</v>
      </c>
      <c r="J4" t="s">
        <v>53</v>
      </c>
      <c r="K4" t="s">
        <v>54</v>
      </c>
      <c r="L4" t="s">
        <v>53</v>
      </c>
      <c r="M4" t="s">
        <v>54</v>
      </c>
      <c r="N4" t="s">
        <v>51</v>
      </c>
      <c r="O4" t="s">
        <v>52</v>
      </c>
      <c r="P4" t="s">
        <v>53</v>
      </c>
      <c r="Q4" t="s">
        <v>54</v>
      </c>
      <c r="R4" s="1">
        <v>44315.488136574073</v>
      </c>
      <c r="S4" s="1">
        <v>44315.488136574073</v>
      </c>
      <c r="T4">
        <v>1</v>
      </c>
      <c r="U4">
        <v>1</v>
      </c>
      <c r="V4" s="2">
        <v>1</v>
      </c>
      <c r="W4">
        <v>0</v>
      </c>
      <c r="X4" t="s">
        <v>54</v>
      </c>
      <c r="Y4">
        <v>0</v>
      </c>
      <c r="Z4" t="s">
        <v>31</v>
      </c>
      <c r="AA4">
        <v>0</v>
      </c>
      <c r="AB4" t="s">
        <v>31</v>
      </c>
      <c r="AC4">
        <v>0</v>
      </c>
      <c r="AD4" t="s">
        <v>31</v>
      </c>
      <c r="AE4">
        <v>0</v>
      </c>
      <c r="AF4" t="s">
        <v>31</v>
      </c>
      <c r="AG4">
        <v>0</v>
      </c>
      <c r="AH4" t="s">
        <v>31</v>
      </c>
      <c r="AI4">
        <v>0</v>
      </c>
      <c r="AJ4" t="s">
        <v>31</v>
      </c>
      <c r="AK4">
        <v>0</v>
      </c>
      <c r="AL4" t="s">
        <v>31</v>
      </c>
      <c r="AM4">
        <v>0</v>
      </c>
      <c r="AN4" t="s">
        <v>31</v>
      </c>
      <c r="AO4">
        <v>0</v>
      </c>
      <c r="AP4" t="s">
        <v>31</v>
      </c>
      <c r="AQ4">
        <v>0</v>
      </c>
    </row>
    <row r="5" spans="1:43" x14ac:dyDescent="0.2">
      <c r="A5" t="s">
        <v>381</v>
      </c>
      <c r="B5" s="3">
        <v>44252</v>
      </c>
      <c r="C5">
        <v>19</v>
      </c>
      <c r="D5" t="s">
        <v>382</v>
      </c>
      <c r="E5" t="s">
        <v>191</v>
      </c>
      <c r="F5" s="9" t="s">
        <v>193</v>
      </c>
      <c r="G5" t="s">
        <v>26</v>
      </c>
      <c r="H5" t="s">
        <v>51</v>
      </c>
      <c r="I5" t="s">
        <v>52</v>
      </c>
      <c r="J5" t="s">
        <v>53</v>
      </c>
      <c r="K5" t="s">
        <v>54</v>
      </c>
      <c r="L5" t="s">
        <v>53</v>
      </c>
      <c r="M5" t="s">
        <v>54</v>
      </c>
      <c r="N5" t="s">
        <v>51</v>
      </c>
      <c r="O5" t="s">
        <v>52</v>
      </c>
      <c r="P5" t="s">
        <v>53</v>
      </c>
      <c r="Q5" t="s">
        <v>54</v>
      </c>
      <c r="R5" s="1">
        <v>44252.459108796298</v>
      </c>
      <c r="S5" s="1">
        <v>44252.459108796298</v>
      </c>
      <c r="T5">
        <v>1</v>
      </c>
      <c r="U5">
        <v>1</v>
      </c>
      <c r="V5" s="2">
        <v>1</v>
      </c>
      <c r="W5">
        <v>0</v>
      </c>
      <c r="X5" t="s">
        <v>54</v>
      </c>
      <c r="Y5">
        <v>0</v>
      </c>
      <c r="Z5" t="s">
        <v>31</v>
      </c>
      <c r="AA5">
        <v>0</v>
      </c>
      <c r="AB5" t="s">
        <v>31</v>
      </c>
      <c r="AC5">
        <v>0</v>
      </c>
      <c r="AD5" t="s">
        <v>31</v>
      </c>
      <c r="AE5">
        <v>0</v>
      </c>
      <c r="AF5" t="s">
        <v>31</v>
      </c>
      <c r="AG5">
        <v>0</v>
      </c>
      <c r="AH5" t="s">
        <v>31</v>
      </c>
      <c r="AI5">
        <v>0</v>
      </c>
      <c r="AJ5" t="s">
        <v>31</v>
      </c>
      <c r="AK5">
        <v>0</v>
      </c>
      <c r="AL5" t="s">
        <v>31</v>
      </c>
      <c r="AM5">
        <v>0</v>
      </c>
      <c r="AN5" t="s">
        <v>31</v>
      </c>
      <c r="AO5">
        <v>0</v>
      </c>
      <c r="AP5" t="s">
        <v>31</v>
      </c>
      <c r="AQ5">
        <v>0</v>
      </c>
    </row>
    <row r="6" spans="1:43" x14ac:dyDescent="0.2">
      <c r="A6" t="s">
        <v>381</v>
      </c>
      <c r="B6" s="3">
        <v>44257</v>
      </c>
      <c r="C6">
        <v>23</v>
      </c>
      <c r="D6" t="s">
        <v>382</v>
      </c>
      <c r="E6" t="s">
        <v>191</v>
      </c>
      <c r="F6" s="9" t="s">
        <v>193</v>
      </c>
      <c r="G6" t="s">
        <v>26</v>
      </c>
      <c r="H6" t="s">
        <v>51</v>
      </c>
      <c r="I6" t="s">
        <v>52</v>
      </c>
      <c r="J6" t="s">
        <v>53</v>
      </c>
      <c r="K6" t="s">
        <v>54</v>
      </c>
      <c r="L6" t="s">
        <v>53</v>
      </c>
      <c r="M6" t="s">
        <v>54</v>
      </c>
      <c r="N6" t="s">
        <v>51</v>
      </c>
      <c r="O6" t="s">
        <v>52</v>
      </c>
      <c r="P6" t="s">
        <v>53</v>
      </c>
      <c r="Q6" t="s">
        <v>54</v>
      </c>
      <c r="R6" s="1">
        <v>44257.452928240738</v>
      </c>
      <c r="S6" s="1">
        <v>44257.452928240738</v>
      </c>
      <c r="T6">
        <v>1</v>
      </c>
      <c r="U6">
        <v>1</v>
      </c>
      <c r="V6" s="2">
        <v>1</v>
      </c>
      <c r="W6">
        <v>0</v>
      </c>
      <c r="X6" t="s">
        <v>54</v>
      </c>
      <c r="Y6">
        <v>0</v>
      </c>
      <c r="Z6" t="s">
        <v>31</v>
      </c>
      <c r="AA6">
        <v>0</v>
      </c>
      <c r="AB6" t="s">
        <v>31</v>
      </c>
      <c r="AC6">
        <v>0</v>
      </c>
      <c r="AD6" t="s">
        <v>31</v>
      </c>
      <c r="AE6">
        <v>0</v>
      </c>
      <c r="AF6" t="s">
        <v>31</v>
      </c>
      <c r="AG6">
        <v>0</v>
      </c>
      <c r="AH6" t="s">
        <v>31</v>
      </c>
      <c r="AI6">
        <v>0</v>
      </c>
      <c r="AJ6" t="s">
        <v>31</v>
      </c>
      <c r="AK6">
        <v>0</v>
      </c>
      <c r="AL6" t="s">
        <v>31</v>
      </c>
      <c r="AM6">
        <v>0</v>
      </c>
      <c r="AN6" t="s">
        <v>31</v>
      </c>
      <c r="AO6">
        <v>0</v>
      </c>
      <c r="AP6" t="s">
        <v>31</v>
      </c>
      <c r="AQ6">
        <v>0</v>
      </c>
    </row>
    <row r="7" spans="1:43" x14ac:dyDescent="0.2">
      <c r="A7" t="s">
        <v>381</v>
      </c>
      <c r="B7" s="3">
        <v>44315</v>
      </c>
      <c r="C7">
        <v>79</v>
      </c>
      <c r="D7" t="s">
        <v>383</v>
      </c>
      <c r="E7" t="s">
        <v>191</v>
      </c>
      <c r="F7" s="9" t="s">
        <v>193</v>
      </c>
      <c r="G7" t="s">
        <v>26</v>
      </c>
      <c r="H7" t="s">
        <v>51</v>
      </c>
      <c r="I7" t="s">
        <v>52</v>
      </c>
      <c r="J7" t="s">
        <v>53</v>
      </c>
      <c r="K7" t="s">
        <v>54</v>
      </c>
      <c r="L7" t="s">
        <v>53</v>
      </c>
      <c r="M7" t="s">
        <v>54</v>
      </c>
      <c r="N7" t="s">
        <v>51</v>
      </c>
      <c r="O7" t="s">
        <v>52</v>
      </c>
      <c r="P7" t="s">
        <v>53</v>
      </c>
      <c r="Q7" t="s">
        <v>54</v>
      </c>
      <c r="R7" s="1">
        <v>44315.487824074073</v>
      </c>
      <c r="S7" s="1">
        <v>44315.487824074073</v>
      </c>
      <c r="T7">
        <v>1</v>
      </c>
      <c r="U7">
        <v>1</v>
      </c>
      <c r="V7" s="2">
        <v>1</v>
      </c>
      <c r="W7">
        <v>0</v>
      </c>
      <c r="X7" t="s">
        <v>54</v>
      </c>
      <c r="Y7">
        <v>0</v>
      </c>
      <c r="Z7" t="s">
        <v>31</v>
      </c>
      <c r="AA7">
        <v>0</v>
      </c>
      <c r="AB7" t="s">
        <v>31</v>
      </c>
      <c r="AC7">
        <v>0</v>
      </c>
      <c r="AD7" t="s">
        <v>31</v>
      </c>
      <c r="AE7">
        <v>0</v>
      </c>
      <c r="AF7" t="s">
        <v>31</v>
      </c>
      <c r="AG7">
        <v>0</v>
      </c>
      <c r="AH7" t="s">
        <v>31</v>
      </c>
      <c r="AI7">
        <v>0</v>
      </c>
      <c r="AJ7" t="s">
        <v>31</v>
      </c>
      <c r="AK7">
        <v>0</v>
      </c>
      <c r="AL7" t="s">
        <v>31</v>
      </c>
      <c r="AM7">
        <v>0</v>
      </c>
      <c r="AN7" t="s">
        <v>31</v>
      </c>
      <c r="AO7">
        <v>0</v>
      </c>
      <c r="AP7" t="s">
        <v>31</v>
      </c>
      <c r="AQ7">
        <v>0</v>
      </c>
    </row>
    <row r="8" spans="1:43" x14ac:dyDescent="0.2">
      <c r="A8" t="s">
        <v>381</v>
      </c>
      <c r="B8" s="3">
        <v>44356</v>
      </c>
      <c r="C8">
        <v>131</v>
      </c>
      <c r="D8" t="s">
        <v>383</v>
      </c>
      <c r="E8" t="s">
        <v>191</v>
      </c>
      <c r="F8" s="9" t="s">
        <v>193</v>
      </c>
      <c r="G8" t="s">
        <v>26</v>
      </c>
      <c r="H8" t="s">
        <v>51</v>
      </c>
      <c r="I8" t="s">
        <v>52</v>
      </c>
      <c r="J8" t="s">
        <v>53</v>
      </c>
      <c r="K8" t="s">
        <v>54</v>
      </c>
      <c r="L8" t="s">
        <v>53</v>
      </c>
      <c r="M8" t="s">
        <v>54</v>
      </c>
      <c r="N8" t="s">
        <v>51</v>
      </c>
      <c r="O8" t="s">
        <v>52</v>
      </c>
      <c r="P8" t="s">
        <v>53</v>
      </c>
      <c r="Q8" t="s">
        <v>54</v>
      </c>
      <c r="R8" s="1">
        <v>44356.548634259256</v>
      </c>
      <c r="S8" s="1">
        <v>44356.548634259256</v>
      </c>
      <c r="T8">
        <v>1</v>
      </c>
      <c r="U8">
        <v>1</v>
      </c>
      <c r="V8" s="2">
        <v>1</v>
      </c>
      <c r="W8">
        <v>0</v>
      </c>
      <c r="X8" t="s">
        <v>54</v>
      </c>
      <c r="Y8">
        <v>0</v>
      </c>
      <c r="Z8" t="s">
        <v>31</v>
      </c>
      <c r="AA8">
        <v>0</v>
      </c>
      <c r="AB8" t="s">
        <v>31</v>
      </c>
      <c r="AC8">
        <v>0</v>
      </c>
      <c r="AD8" t="s">
        <v>31</v>
      </c>
      <c r="AE8">
        <v>0</v>
      </c>
      <c r="AF8" t="s">
        <v>31</v>
      </c>
      <c r="AG8">
        <v>0</v>
      </c>
      <c r="AH8" t="s">
        <v>31</v>
      </c>
      <c r="AI8">
        <v>0</v>
      </c>
      <c r="AJ8" t="s">
        <v>31</v>
      </c>
      <c r="AK8">
        <v>0</v>
      </c>
      <c r="AL8" t="s">
        <v>31</v>
      </c>
      <c r="AM8">
        <v>0</v>
      </c>
      <c r="AN8" t="s">
        <v>31</v>
      </c>
      <c r="AO8">
        <v>0</v>
      </c>
      <c r="AP8" t="s">
        <v>31</v>
      </c>
      <c r="AQ8">
        <v>0</v>
      </c>
    </row>
    <row r="9" spans="1:43" x14ac:dyDescent="0.2">
      <c r="A9" t="s">
        <v>381</v>
      </c>
      <c r="B9" s="3">
        <v>44252</v>
      </c>
      <c r="C9">
        <v>19</v>
      </c>
      <c r="D9" t="s">
        <v>382</v>
      </c>
      <c r="E9" t="s">
        <v>191</v>
      </c>
      <c r="F9" s="9" t="s">
        <v>194</v>
      </c>
      <c r="G9" t="s">
        <v>26</v>
      </c>
      <c r="H9" t="s">
        <v>51</v>
      </c>
      <c r="I9" t="s">
        <v>52</v>
      </c>
      <c r="J9" t="s">
        <v>53</v>
      </c>
      <c r="K9" t="s">
        <v>54</v>
      </c>
      <c r="L9" t="s">
        <v>53</v>
      </c>
      <c r="M9" t="s">
        <v>54</v>
      </c>
      <c r="N9" t="s">
        <v>51</v>
      </c>
      <c r="O9" t="s">
        <v>52</v>
      </c>
      <c r="P9" t="s">
        <v>53</v>
      </c>
      <c r="Q9" t="s">
        <v>54</v>
      </c>
      <c r="R9" s="1">
        <v>44252.459085648145</v>
      </c>
      <c r="S9" s="1">
        <v>44252.459097222221</v>
      </c>
      <c r="T9">
        <v>1</v>
      </c>
      <c r="U9">
        <v>1</v>
      </c>
      <c r="V9" s="2">
        <v>1</v>
      </c>
      <c r="W9">
        <v>0</v>
      </c>
      <c r="X9" t="s">
        <v>54</v>
      </c>
      <c r="Y9">
        <v>0</v>
      </c>
      <c r="Z9" t="s">
        <v>31</v>
      </c>
      <c r="AA9">
        <v>0</v>
      </c>
      <c r="AB9" t="s">
        <v>31</v>
      </c>
      <c r="AC9">
        <v>0</v>
      </c>
      <c r="AD9" t="s">
        <v>31</v>
      </c>
      <c r="AE9">
        <v>0</v>
      </c>
      <c r="AF9" t="s">
        <v>31</v>
      </c>
      <c r="AG9">
        <v>0</v>
      </c>
      <c r="AH9" t="s">
        <v>31</v>
      </c>
      <c r="AI9">
        <v>0</v>
      </c>
      <c r="AJ9" t="s">
        <v>31</v>
      </c>
      <c r="AK9">
        <v>0</v>
      </c>
      <c r="AL9" t="s">
        <v>31</v>
      </c>
      <c r="AM9">
        <v>0</v>
      </c>
      <c r="AN9" t="s">
        <v>31</v>
      </c>
      <c r="AO9">
        <v>0</v>
      </c>
      <c r="AP9" t="s">
        <v>31</v>
      </c>
      <c r="AQ9">
        <v>0</v>
      </c>
    </row>
    <row r="10" spans="1:43" x14ac:dyDescent="0.2">
      <c r="A10" t="s">
        <v>381</v>
      </c>
      <c r="B10" s="3">
        <v>44257</v>
      </c>
      <c r="C10">
        <v>23</v>
      </c>
      <c r="D10" t="s">
        <v>382</v>
      </c>
      <c r="E10" t="s">
        <v>191</v>
      </c>
      <c r="F10" s="9" t="s">
        <v>194</v>
      </c>
      <c r="G10" t="s">
        <v>26</v>
      </c>
      <c r="H10" t="s">
        <v>51</v>
      </c>
      <c r="I10" t="s">
        <v>52</v>
      </c>
      <c r="J10" t="s">
        <v>53</v>
      </c>
      <c r="K10" t="s">
        <v>54</v>
      </c>
      <c r="L10" t="s">
        <v>53</v>
      </c>
      <c r="M10" t="s">
        <v>54</v>
      </c>
      <c r="N10" t="s">
        <v>51</v>
      </c>
      <c r="O10" t="s">
        <v>52</v>
      </c>
      <c r="P10" t="s">
        <v>53</v>
      </c>
      <c r="Q10" t="s">
        <v>54</v>
      </c>
      <c r="R10" s="1">
        <v>44257.447824074072</v>
      </c>
      <c r="S10" s="1">
        <v>44257.447824074072</v>
      </c>
      <c r="T10">
        <v>1</v>
      </c>
      <c r="U10">
        <v>1</v>
      </c>
      <c r="V10" s="2">
        <v>1</v>
      </c>
      <c r="W10">
        <v>0</v>
      </c>
      <c r="X10" t="s">
        <v>54</v>
      </c>
      <c r="Y10">
        <v>0</v>
      </c>
      <c r="Z10" t="s">
        <v>31</v>
      </c>
      <c r="AA10">
        <v>0</v>
      </c>
      <c r="AB10" t="s">
        <v>31</v>
      </c>
      <c r="AC10">
        <v>0</v>
      </c>
      <c r="AD10" t="s">
        <v>31</v>
      </c>
      <c r="AE10">
        <v>0</v>
      </c>
      <c r="AF10" t="s">
        <v>31</v>
      </c>
      <c r="AG10">
        <v>0</v>
      </c>
      <c r="AH10" t="s">
        <v>31</v>
      </c>
      <c r="AI10">
        <v>0</v>
      </c>
      <c r="AJ10" t="s">
        <v>31</v>
      </c>
      <c r="AK10">
        <v>0</v>
      </c>
      <c r="AL10" t="s">
        <v>31</v>
      </c>
      <c r="AM10">
        <v>0</v>
      </c>
      <c r="AN10" t="s">
        <v>31</v>
      </c>
      <c r="AO10">
        <v>0</v>
      </c>
      <c r="AP10" t="s">
        <v>31</v>
      </c>
      <c r="AQ10">
        <v>0</v>
      </c>
    </row>
    <row r="11" spans="1:43" x14ac:dyDescent="0.2">
      <c r="A11" t="s">
        <v>381</v>
      </c>
      <c r="B11" s="3">
        <v>44315</v>
      </c>
      <c r="C11">
        <v>79</v>
      </c>
      <c r="D11" t="s">
        <v>383</v>
      </c>
      <c r="E11" t="s">
        <v>191</v>
      </c>
      <c r="F11" s="9" t="s">
        <v>194</v>
      </c>
      <c r="G11" t="s">
        <v>26</v>
      </c>
      <c r="H11" t="s">
        <v>51</v>
      </c>
      <c r="I11" t="s">
        <v>52</v>
      </c>
      <c r="J11" t="s">
        <v>53</v>
      </c>
      <c r="K11" t="s">
        <v>54</v>
      </c>
      <c r="L11" t="s">
        <v>53</v>
      </c>
      <c r="M11" t="s">
        <v>54</v>
      </c>
      <c r="N11" t="s">
        <v>51</v>
      </c>
      <c r="O11" t="s">
        <v>52</v>
      </c>
      <c r="P11" t="s">
        <v>53</v>
      </c>
      <c r="Q11" t="s">
        <v>54</v>
      </c>
      <c r="R11" s="1">
        <v>44315.487766203703</v>
      </c>
      <c r="S11" s="1">
        <v>44315.487766203703</v>
      </c>
      <c r="T11">
        <v>1</v>
      </c>
      <c r="U11">
        <v>1</v>
      </c>
      <c r="V11" s="2">
        <v>1</v>
      </c>
      <c r="W11">
        <v>0</v>
      </c>
      <c r="X11" t="s">
        <v>54</v>
      </c>
      <c r="Y11">
        <v>0</v>
      </c>
      <c r="Z11" t="s">
        <v>31</v>
      </c>
      <c r="AA11">
        <v>0</v>
      </c>
      <c r="AB11" t="s">
        <v>31</v>
      </c>
      <c r="AC11">
        <v>0</v>
      </c>
      <c r="AD11" t="s">
        <v>31</v>
      </c>
      <c r="AE11">
        <v>0</v>
      </c>
      <c r="AF11" t="s">
        <v>31</v>
      </c>
      <c r="AG11">
        <v>0</v>
      </c>
      <c r="AH11" t="s">
        <v>31</v>
      </c>
      <c r="AI11">
        <v>0</v>
      </c>
      <c r="AJ11" t="s">
        <v>31</v>
      </c>
      <c r="AK11">
        <v>0</v>
      </c>
      <c r="AL11" t="s">
        <v>31</v>
      </c>
      <c r="AM11">
        <v>0</v>
      </c>
      <c r="AN11" t="s">
        <v>31</v>
      </c>
      <c r="AO11">
        <v>0</v>
      </c>
      <c r="AP11" t="s">
        <v>31</v>
      </c>
      <c r="AQ11">
        <v>0</v>
      </c>
    </row>
    <row r="12" spans="1:43" x14ac:dyDescent="0.2">
      <c r="A12" t="s">
        <v>381</v>
      </c>
      <c r="B12" s="3">
        <v>44207</v>
      </c>
      <c r="C12">
        <v>1</v>
      </c>
      <c r="D12" t="s">
        <v>384</v>
      </c>
      <c r="E12" t="s">
        <v>24</v>
      </c>
      <c r="F12" s="9" t="s">
        <v>25</v>
      </c>
      <c r="G12" t="s">
        <v>26</v>
      </c>
      <c r="H12" t="s">
        <v>27</v>
      </c>
      <c r="I12" t="s">
        <v>28</v>
      </c>
      <c r="J12" t="s">
        <v>29</v>
      </c>
      <c r="K12" t="s">
        <v>30</v>
      </c>
      <c r="L12" t="s">
        <v>29</v>
      </c>
      <c r="M12" t="s">
        <v>30</v>
      </c>
      <c r="N12" t="s">
        <v>27</v>
      </c>
      <c r="O12" t="s">
        <v>28</v>
      </c>
      <c r="P12" t="s">
        <v>29</v>
      </c>
      <c r="Q12" t="s">
        <v>30</v>
      </c>
      <c r="R12" s="1">
        <v>44207.459305555552</v>
      </c>
      <c r="S12" s="1">
        <v>44207.459351851852</v>
      </c>
      <c r="T12">
        <v>1</v>
      </c>
      <c r="U12">
        <v>1</v>
      </c>
      <c r="V12" s="2">
        <v>1</v>
      </c>
      <c r="W12">
        <v>0</v>
      </c>
      <c r="X12" t="s">
        <v>30</v>
      </c>
      <c r="Y12">
        <v>0</v>
      </c>
      <c r="Z12" t="s">
        <v>31</v>
      </c>
      <c r="AA12">
        <v>0</v>
      </c>
      <c r="AB12" t="s">
        <v>31</v>
      </c>
      <c r="AC12">
        <v>0</v>
      </c>
      <c r="AD12" t="s">
        <v>31</v>
      </c>
      <c r="AE12">
        <v>0</v>
      </c>
      <c r="AF12" t="s">
        <v>31</v>
      </c>
      <c r="AG12">
        <v>0</v>
      </c>
      <c r="AH12" t="s">
        <v>31</v>
      </c>
      <c r="AI12">
        <v>0</v>
      </c>
      <c r="AJ12" t="s">
        <v>31</v>
      </c>
      <c r="AK12">
        <v>0</v>
      </c>
      <c r="AL12" t="s">
        <v>31</v>
      </c>
      <c r="AM12">
        <v>0</v>
      </c>
      <c r="AN12" t="s">
        <v>31</v>
      </c>
      <c r="AO12">
        <v>0</v>
      </c>
      <c r="AP12" t="s">
        <v>31</v>
      </c>
      <c r="AQ12">
        <v>0</v>
      </c>
    </row>
    <row r="13" spans="1:43" x14ac:dyDescent="0.2">
      <c r="A13" t="s">
        <v>381</v>
      </c>
      <c r="B13" s="3">
        <v>44236</v>
      </c>
      <c r="C13">
        <v>2</v>
      </c>
      <c r="D13" t="s">
        <v>382</v>
      </c>
      <c r="E13" t="s">
        <v>24</v>
      </c>
      <c r="F13" s="9" t="s">
        <v>25</v>
      </c>
      <c r="G13" t="s">
        <v>26</v>
      </c>
      <c r="H13" t="s">
        <v>27</v>
      </c>
      <c r="I13" t="s">
        <v>28</v>
      </c>
      <c r="J13" t="s">
        <v>29</v>
      </c>
      <c r="K13" t="s">
        <v>30</v>
      </c>
      <c r="L13" t="s">
        <v>29</v>
      </c>
      <c r="M13" t="s">
        <v>30</v>
      </c>
      <c r="N13" t="s">
        <v>27</v>
      </c>
      <c r="O13" t="s">
        <v>28</v>
      </c>
      <c r="P13" t="s">
        <v>29</v>
      </c>
      <c r="Q13" t="s">
        <v>30</v>
      </c>
      <c r="R13" s="1">
        <v>44236.472118055557</v>
      </c>
      <c r="S13" s="1">
        <v>44236.472222222219</v>
      </c>
      <c r="T13">
        <v>0</v>
      </c>
      <c r="U13">
        <v>0</v>
      </c>
      <c r="V13" s="2">
        <v>0</v>
      </c>
      <c r="W13">
        <v>0</v>
      </c>
      <c r="X13" t="s">
        <v>37</v>
      </c>
      <c r="Y13">
        <v>0</v>
      </c>
      <c r="Z13" t="s">
        <v>31</v>
      </c>
      <c r="AA13">
        <v>0</v>
      </c>
      <c r="AB13" t="s">
        <v>31</v>
      </c>
      <c r="AC13">
        <v>0</v>
      </c>
      <c r="AD13" t="s">
        <v>31</v>
      </c>
      <c r="AE13">
        <v>0</v>
      </c>
      <c r="AF13" t="s">
        <v>31</v>
      </c>
      <c r="AG13">
        <v>0</v>
      </c>
      <c r="AH13" t="s">
        <v>31</v>
      </c>
      <c r="AI13">
        <v>0</v>
      </c>
      <c r="AJ13" t="s">
        <v>31</v>
      </c>
      <c r="AK13">
        <v>0</v>
      </c>
      <c r="AL13" t="s">
        <v>31</v>
      </c>
      <c r="AM13">
        <v>0</v>
      </c>
      <c r="AN13" t="s">
        <v>31</v>
      </c>
      <c r="AO13">
        <v>0</v>
      </c>
      <c r="AP13" t="s">
        <v>31</v>
      </c>
      <c r="AQ13">
        <v>0</v>
      </c>
    </row>
    <row r="14" spans="1:43" x14ac:dyDescent="0.2">
      <c r="A14" t="s">
        <v>381</v>
      </c>
      <c r="B14" s="3">
        <v>44238</v>
      </c>
      <c r="C14">
        <v>5</v>
      </c>
      <c r="D14" t="s">
        <v>382</v>
      </c>
      <c r="E14" t="s">
        <v>24</v>
      </c>
      <c r="F14" s="9" t="s">
        <v>25</v>
      </c>
      <c r="G14" t="s">
        <v>26</v>
      </c>
      <c r="H14" t="s">
        <v>27</v>
      </c>
      <c r="I14" t="s">
        <v>28</v>
      </c>
      <c r="J14" t="s">
        <v>29</v>
      </c>
      <c r="K14" t="s">
        <v>30</v>
      </c>
      <c r="L14" t="s">
        <v>29</v>
      </c>
      <c r="M14" t="s">
        <v>30</v>
      </c>
      <c r="N14" t="s">
        <v>27</v>
      </c>
      <c r="O14" t="s">
        <v>28</v>
      </c>
      <c r="P14" t="s">
        <v>29</v>
      </c>
      <c r="Q14" t="s">
        <v>30</v>
      </c>
      <c r="R14" s="1">
        <v>44238.472592592596</v>
      </c>
      <c r="S14" s="1">
        <v>44238.472592592596</v>
      </c>
      <c r="T14">
        <v>0</v>
      </c>
      <c r="U14">
        <v>0</v>
      </c>
      <c r="V14" s="2">
        <v>0</v>
      </c>
      <c r="W14">
        <v>0</v>
      </c>
      <c r="X14" t="s">
        <v>37</v>
      </c>
      <c r="Y14">
        <v>0</v>
      </c>
      <c r="Z14" t="s">
        <v>31</v>
      </c>
      <c r="AA14">
        <v>0</v>
      </c>
      <c r="AB14" t="s">
        <v>31</v>
      </c>
      <c r="AC14">
        <v>0</v>
      </c>
      <c r="AD14" t="s">
        <v>31</v>
      </c>
      <c r="AE14">
        <v>0</v>
      </c>
      <c r="AF14" t="s">
        <v>31</v>
      </c>
      <c r="AG14">
        <v>0</v>
      </c>
      <c r="AH14" t="s">
        <v>31</v>
      </c>
      <c r="AI14">
        <v>0</v>
      </c>
      <c r="AJ14" t="s">
        <v>31</v>
      </c>
      <c r="AK14">
        <v>0</v>
      </c>
      <c r="AL14" t="s">
        <v>31</v>
      </c>
      <c r="AM14">
        <v>0</v>
      </c>
      <c r="AN14" t="s">
        <v>31</v>
      </c>
      <c r="AO14">
        <v>0</v>
      </c>
      <c r="AP14" t="s">
        <v>31</v>
      </c>
      <c r="AQ14">
        <v>0</v>
      </c>
    </row>
    <row r="15" spans="1:43" x14ac:dyDescent="0.2">
      <c r="A15" t="s">
        <v>381</v>
      </c>
      <c r="B15" s="3">
        <v>44244</v>
      </c>
      <c r="C15">
        <v>11</v>
      </c>
      <c r="D15" t="s">
        <v>384</v>
      </c>
      <c r="E15" t="s">
        <v>24</v>
      </c>
      <c r="F15" s="9" t="s">
        <v>25</v>
      </c>
      <c r="G15" t="s">
        <v>26</v>
      </c>
      <c r="H15" t="s">
        <v>27</v>
      </c>
      <c r="I15" t="s">
        <v>28</v>
      </c>
      <c r="J15" t="s">
        <v>29</v>
      </c>
      <c r="K15" t="s">
        <v>30</v>
      </c>
      <c r="L15" t="s">
        <v>29</v>
      </c>
      <c r="M15" t="s">
        <v>30</v>
      </c>
      <c r="N15" t="s">
        <v>41</v>
      </c>
      <c r="O15" t="s">
        <v>42</v>
      </c>
      <c r="P15" t="s">
        <v>43</v>
      </c>
      <c r="Q15" t="s">
        <v>44</v>
      </c>
      <c r="R15" s="1">
        <v>44244.464884259258</v>
      </c>
      <c r="S15" s="1">
        <v>44244.464918981481</v>
      </c>
      <c r="T15">
        <v>1</v>
      </c>
      <c r="U15">
        <v>1</v>
      </c>
      <c r="V15" s="2">
        <v>1</v>
      </c>
      <c r="W15">
        <v>0</v>
      </c>
      <c r="X15" t="s">
        <v>37</v>
      </c>
      <c r="Y15">
        <v>0</v>
      </c>
      <c r="Z15" t="s">
        <v>37</v>
      </c>
      <c r="AA15">
        <v>0</v>
      </c>
      <c r="AB15" t="s">
        <v>30</v>
      </c>
      <c r="AC15">
        <v>0</v>
      </c>
      <c r="AD15" t="s">
        <v>31</v>
      </c>
      <c r="AE15">
        <v>0</v>
      </c>
      <c r="AF15" t="s">
        <v>31</v>
      </c>
      <c r="AG15">
        <v>0</v>
      </c>
      <c r="AH15" t="s">
        <v>31</v>
      </c>
      <c r="AI15">
        <v>0</v>
      </c>
      <c r="AJ15" t="s">
        <v>31</v>
      </c>
      <c r="AK15">
        <v>0</v>
      </c>
      <c r="AL15" t="s">
        <v>31</v>
      </c>
      <c r="AM15">
        <v>0</v>
      </c>
      <c r="AN15" t="s">
        <v>31</v>
      </c>
      <c r="AO15">
        <v>0</v>
      </c>
      <c r="AP15" t="s">
        <v>31</v>
      </c>
      <c r="AQ15">
        <v>0</v>
      </c>
    </row>
    <row r="16" spans="1:43" x14ac:dyDescent="0.2">
      <c r="A16" t="s">
        <v>381</v>
      </c>
      <c r="B16" s="3">
        <v>44245</v>
      </c>
      <c r="C16">
        <v>12</v>
      </c>
      <c r="D16" t="s">
        <v>382</v>
      </c>
      <c r="E16" t="s">
        <v>24</v>
      </c>
      <c r="F16" s="9" t="s">
        <v>25</v>
      </c>
      <c r="G16" t="s">
        <v>26</v>
      </c>
      <c r="H16" t="s">
        <v>41</v>
      </c>
      <c r="I16" t="s">
        <v>42</v>
      </c>
      <c r="J16" t="s">
        <v>43</v>
      </c>
      <c r="K16" t="s">
        <v>44</v>
      </c>
      <c r="L16" t="s">
        <v>29</v>
      </c>
      <c r="M16" t="s">
        <v>30</v>
      </c>
      <c r="N16" t="s">
        <v>41</v>
      </c>
      <c r="O16" t="s">
        <v>42</v>
      </c>
      <c r="P16" t="s">
        <v>43</v>
      </c>
      <c r="Q16" t="s">
        <v>44</v>
      </c>
      <c r="R16" s="1">
        <v>44245.459224537037</v>
      </c>
      <c r="S16" s="1">
        <v>44245.459305555552</v>
      </c>
      <c r="T16">
        <v>0</v>
      </c>
      <c r="U16">
        <v>5</v>
      </c>
      <c r="V16" s="2">
        <v>0</v>
      </c>
      <c r="W16">
        <v>0</v>
      </c>
      <c r="X16" t="s">
        <v>44</v>
      </c>
      <c r="Y16">
        <v>0</v>
      </c>
      <c r="Z16" t="s">
        <v>44</v>
      </c>
      <c r="AA16">
        <v>0</v>
      </c>
      <c r="AB16" t="s">
        <v>46</v>
      </c>
      <c r="AC16">
        <v>0</v>
      </c>
      <c r="AD16" t="s">
        <v>113</v>
      </c>
      <c r="AE16">
        <v>0</v>
      </c>
      <c r="AF16" t="s">
        <v>47</v>
      </c>
      <c r="AG16">
        <v>0</v>
      </c>
      <c r="AH16" t="s">
        <v>31</v>
      </c>
      <c r="AI16">
        <v>0</v>
      </c>
      <c r="AJ16" t="s">
        <v>31</v>
      </c>
      <c r="AK16">
        <v>0</v>
      </c>
      <c r="AL16" t="s">
        <v>31</v>
      </c>
      <c r="AM16">
        <v>0</v>
      </c>
      <c r="AN16" t="s">
        <v>31</v>
      </c>
      <c r="AO16">
        <v>0</v>
      </c>
      <c r="AP16" t="s">
        <v>31</v>
      </c>
      <c r="AQ16">
        <v>0</v>
      </c>
    </row>
    <row r="17" spans="1:43" x14ac:dyDescent="0.2">
      <c r="A17" t="s">
        <v>381</v>
      </c>
      <c r="B17" s="3">
        <v>44250</v>
      </c>
      <c r="C17">
        <v>16</v>
      </c>
      <c r="D17" t="s">
        <v>382</v>
      </c>
      <c r="E17" t="s">
        <v>24</v>
      </c>
      <c r="F17" s="9" t="s">
        <v>25</v>
      </c>
      <c r="G17" t="s">
        <v>26</v>
      </c>
      <c r="H17" t="s">
        <v>41</v>
      </c>
      <c r="I17" t="s">
        <v>42</v>
      </c>
      <c r="J17" t="s">
        <v>43</v>
      </c>
      <c r="K17" t="s">
        <v>44</v>
      </c>
      <c r="L17" t="s">
        <v>29</v>
      </c>
      <c r="M17" t="s">
        <v>30</v>
      </c>
      <c r="N17" t="s">
        <v>27</v>
      </c>
      <c r="O17" t="s">
        <v>28</v>
      </c>
      <c r="P17" t="s">
        <v>29</v>
      </c>
      <c r="Q17" t="s">
        <v>30</v>
      </c>
      <c r="R17" s="1">
        <v>44250.454571759263</v>
      </c>
      <c r="S17" s="1">
        <v>44250.454710648148</v>
      </c>
      <c r="T17">
        <v>0</v>
      </c>
      <c r="U17">
        <v>5</v>
      </c>
      <c r="V17" s="2">
        <v>0</v>
      </c>
      <c r="W17">
        <v>0</v>
      </c>
      <c r="X17" t="s">
        <v>44</v>
      </c>
      <c r="Y17">
        <v>0</v>
      </c>
      <c r="Z17" t="s">
        <v>44</v>
      </c>
      <c r="AA17">
        <v>0</v>
      </c>
      <c r="AB17" t="s">
        <v>46</v>
      </c>
      <c r="AC17">
        <v>0</v>
      </c>
      <c r="AD17" t="s">
        <v>113</v>
      </c>
      <c r="AE17">
        <v>0</v>
      </c>
      <c r="AF17" t="s">
        <v>47</v>
      </c>
      <c r="AG17">
        <v>0</v>
      </c>
      <c r="AH17" t="s">
        <v>31</v>
      </c>
      <c r="AI17">
        <v>0</v>
      </c>
      <c r="AJ17" t="s">
        <v>31</v>
      </c>
      <c r="AK17">
        <v>0</v>
      </c>
      <c r="AL17" t="s">
        <v>31</v>
      </c>
      <c r="AM17">
        <v>0</v>
      </c>
      <c r="AN17" t="s">
        <v>31</v>
      </c>
      <c r="AO17">
        <v>0</v>
      </c>
      <c r="AP17" t="s">
        <v>31</v>
      </c>
      <c r="AQ17">
        <v>0</v>
      </c>
    </row>
    <row r="18" spans="1:43" x14ac:dyDescent="0.2">
      <c r="A18" t="s">
        <v>381</v>
      </c>
      <c r="B18" s="3">
        <v>44250</v>
      </c>
      <c r="C18">
        <v>17</v>
      </c>
      <c r="D18" t="s">
        <v>385</v>
      </c>
      <c r="E18" t="s">
        <v>24</v>
      </c>
      <c r="F18" s="9" t="s">
        <v>25</v>
      </c>
      <c r="G18" t="s">
        <v>26</v>
      </c>
      <c r="H18" t="s">
        <v>27</v>
      </c>
      <c r="I18" t="s">
        <v>28</v>
      </c>
      <c r="J18" t="s">
        <v>29</v>
      </c>
      <c r="K18" t="s">
        <v>30</v>
      </c>
      <c r="L18" t="s">
        <v>29</v>
      </c>
      <c r="M18" t="s">
        <v>30</v>
      </c>
      <c r="N18" t="s">
        <v>27</v>
      </c>
      <c r="O18" t="s">
        <v>28</v>
      </c>
      <c r="P18" t="s">
        <v>29</v>
      </c>
      <c r="Q18" t="s">
        <v>30</v>
      </c>
      <c r="R18" s="1">
        <v>44250.65697916667</v>
      </c>
      <c r="S18" s="1">
        <v>44250.65697916667</v>
      </c>
      <c r="T18">
        <v>0</v>
      </c>
      <c r="U18">
        <v>0</v>
      </c>
      <c r="V18" s="2">
        <v>0</v>
      </c>
      <c r="W18">
        <v>0</v>
      </c>
      <c r="X18" t="s">
        <v>37</v>
      </c>
      <c r="Y18">
        <v>0</v>
      </c>
      <c r="Z18" t="s">
        <v>31</v>
      </c>
      <c r="AA18">
        <v>0</v>
      </c>
      <c r="AB18" t="s">
        <v>31</v>
      </c>
      <c r="AC18">
        <v>0</v>
      </c>
      <c r="AD18" t="s">
        <v>31</v>
      </c>
      <c r="AE18">
        <v>0</v>
      </c>
      <c r="AF18" t="s">
        <v>31</v>
      </c>
      <c r="AG18">
        <v>0</v>
      </c>
      <c r="AH18" t="s">
        <v>31</v>
      </c>
      <c r="AI18">
        <v>0</v>
      </c>
      <c r="AJ18" t="s">
        <v>31</v>
      </c>
      <c r="AK18">
        <v>0</v>
      </c>
      <c r="AL18" t="s">
        <v>31</v>
      </c>
      <c r="AM18">
        <v>0</v>
      </c>
      <c r="AN18" t="s">
        <v>31</v>
      </c>
      <c r="AO18">
        <v>0</v>
      </c>
      <c r="AP18" t="s">
        <v>31</v>
      </c>
      <c r="AQ18">
        <v>0</v>
      </c>
    </row>
    <row r="19" spans="1:43" x14ac:dyDescent="0.2">
      <c r="A19" t="s">
        <v>381</v>
      </c>
      <c r="B19" s="3">
        <v>44252</v>
      </c>
      <c r="C19">
        <v>19</v>
      </c>
      <c r="D19" t="s">
        <v>382</v>
      </c>
      <c r="E19" t="s">
        <v>24</v>
      </c>
      <c r="F19" s="9" t="s">
        <v>25</v>
      </c>
      <c r="G19" t="s">
        <v>26</v>
      </c>
      <c r="H19" t="s">
        <v>27</v>
      </c>
      <c r="I19" t="s">
        <v>28</v>
      </c>
      <c r="J19" t="s">
        <v>29</v>
      </c>
      <c r="K19" t="s">
        <v>30</v>
      </c>
      <c r="L19" t="s">
        <v>29</v>
      </c>
      <c r="M19" t="s">
        <v>30</v>
      </c>
      <c r="N19" t="s">
        <v>27</v>
      </c>
      <c r="O19" t="s">
        <v>28</v>
      </c>
      <c r="P19" t="s">
        <v>29</v>
      </c>
      <c r="Q19" t="s">
        <v>30</v>
      </c>
      <c r="R19" s="1">
        <v>44252.435567129629</v>
      </c>
      <c r="S19" s="1">
        <v>44252.435578703706</v>
      </c>
      <c r="T19">
        <v>0</v>
      </c>
      <c r="U19">
        <v>0</v>
      </c>
      <c r="V19" s="2">
        <v>0</v>
      </c>
      <c r="W19">
        <v>0</v>
      </c>
      <c r="X19" t="s">
        <v>37</v>
      </c>
      <c r="Y19">
        <v>0</v>
      </c>
      <c r="Z19" t="s">
        <v>37</v>
      </c>
      <c r="AA19">
        <v>0</v>
      </c>
      <c r="AB19" t="s">
        <v>37</v>
      </c>
      <c r="AC19">
        <v>0</v>
      </c>
      <c r="AD19" t="s">
        <v>31</v>
      </c>
      <c r="AE19">
        <v>0</v>
      </c>
      <c r="AF19" t="s">
        <v>31</v>
      </c>
      <c r="AG19">
        <v>0</v>
      </c>
      <c r="AH19" t="s">
        <v>31</v>
      </c>
      <c r="AI19">
        <v>0</v>
      </c>
      <c r="AJ19" t="s">
        <v>31</v>
      </c>
      <c r="AK19">
        <v>0</v>
      </c>
      <c r="AL19" t="s">
        <v>31</v>
      </c>
      <c r="AM19">
        <v>0</v>
      </c>
      <c r="AN19" t="s">
        <v>31</v>
      </c>
      <c r="AO19">
        <v>0</v>
      </c>
      <c r="AP19" t="s">
        <v>31</v>
      </c>
      <c r="AQ19">
        <v>0</v>
      </c>
    </row>
    <row r="20" spans="1:43" x14ac:dyDescent="0.2">
      <c r="A20" t="s">
        <v>381</v>
      </c>
      <c r="B20" s="3">
        <v>44252</v>
      </c>
      <c r="C20">
        <v>20</v>
      </c>
      <c r="D20" t="s">
        <v>385</v>
      </c>
      <c r="E20" t="s">
        <v>24</v>
      </c>
      <c r="F20" s="9" t="s">
        <v>25</v>
      </c>
      <c r="G20" t="s">
        <v>26</v>
      </c>
      <c r="H20" t="s">
        <v>27</v>
      </c>
      <c r="I20" t="s">
        <v>28</v>
      </c>
      <c r="J20" t="s">
        <v>29</v>
      </c>
      <c r="K20" t="s">
        <v>30</v>
      </c>
      <c r="L20" t="s">
        <v>29</v>
      </c>
      <c r="M20" t="s">
        <v>30</v>
      </c>
      <c r="N20" t="s">
        <v>27</v>
      </c>
      <c r="O20" t="s">
        <v>28</v>
      </c>
      <c r="P20" t="s">
        <v>29</v>
      </c>
      <c r="Q20" t="s">
        <v>30</v>
      </c>
      <c r="R20" s="1">
        <v>44252.607025462959</v>
      </c>
      <c r="S20" s="1">
        <v>44252.607025462959</v>
      </c>
      <c r="T20">
        <v>0</v>
      </c>
      <c r="U20">
        <v>0</v>
      </c>
      <c r="V20" s="2">
        <v>0</v>
      </c>
      <c r="W20">
        <v>0</v>
      </c>
      <c r="X20" t="s">
        <v>37</v>
      </c>
      <c r="Y20">
        <v>0</v>
      </c>
      <c r="Z20" t="s">
        <v>31</v>
      </c>
      <c r="AA20">
        <v>0</v>
      </c>
      <c r="AB20" t="s">
        <v>31</v>
      </c>
      <c r="AC20">
        <v>0</v>
      </c>
      <c r="AD20" t="s">
        <v>31</v>
      </c>
      <c r="AE20">
        <v>0</v>
      </c>
      <c r="AF20" t="s">
        <v>31</v>
      </c>
      <c r="AG20">
        <v>0</v>
      </c>
      <c r="AH20" t="s">
        <v>31</v>
      </c>
      <c r="AI20">
        <v>0</v>
      </c>
      <c r="AJ20" t="s">
        <v>31</v>
      </c>
      <c r="AK20">
        <v>0</v>
      </c>
      <c r="AL20" t="s">
        <v>31</v>
      </c>
      <c r="AM20">
        <v>0</v>
      </c>
      <c r="AN20" t="s">
        <v>31</v>
      </c>
      <c r="AO20">
        <v>0</v>
      </c>
      <c r="AP20" t="s">
        <v>31</v>
      </c>
      <c r="AQ20">
        <v>0</v>
      </c>
    </row>
    <row r="21" spans="1:43" x14ac:dyDescent="0.2">
      <c r="A21" t="s">
        <v>381</v>
      </c>
      <c r="B21" s="3">
        <v>44253</v>
      </c>
      <c r="C21">
        <v>21</v>
      </c>
      <c r="D21" t="s">
        <v>384</v>
      </c>
      <c r="E21" t="s">
        <v>24</v>
      </c>
      <c r="F21" s="9" t="s">
        <v>25</v>
      </c>
      <c r="G21" t="s">
        <v>26</v>
      </c>
      <c r="H21" t="s">
        <v>27</v>
      </c>
      <c r="I21" t="s">
        <v>28</v>
      </c>
      <c r="J21" t="s">
        <v>29</v>
      </c>
      <c r="K21" t="s">
        <v>30</v>
      </c>
      <c r="L21" t="s">
        <v>29</v>
      </c>
      <c r="M21" t="s">
        <v>30</v>
      </c>
      <c r="N21" t="s">
        <v>27</v>
      </c>
      <c r="O21" t="s">
        <v>28</v>
      </c>
      <c r="P21" t="s">
        <v>29</v>
      </c>
      <c r="Q21" t="s">
        <v>30</v>
      </c>
      <c r="R21" s="1">
        <v>44253.446458333332</v>
      </c>
      <c r="S21" s="1">
        <v>44253.446458333332</v>
      </c>
      <c r="T21">
        <v>0</v>
      </c>
      <c r="U21">
        <v>0</v>
      </c>
      <c r="V21" s="2">
        <v>0</v>
      </c>
      <c r="W21">
        <v>0</v>
      </c>
      <c r="X21" t="s">
        <v>37</v>
      </c>
      <c r="Y21">
        <v>0</v>
      </c>
      <c r="Z21" t="s">
        <v>37</v>
      </c>
      <c r="AA21">
        <v>0</v>
      </c>
      <c r="AB21" t="s">
        <v>31</v>
      </c>
      <c r="AC21">
        <v>0</v>
      </c>
      <c r="AD21" t="s">
        <v>31</v>
      </c>
      <c r="AE21">
        <v>0</v>
      </c>
      <c r="AF21" t="s">
        <v>31</v>
      </c>
      <c r="AG21">
        <v>0</v>
      </c>
      <c r="AH21" t="s">
        <v>31</v>
      </c>
      <c r="AI21">
        <v>0</v>
      </c>
      <c r="AJ21" t="s">
        <v>31</v>
      </c>
      <c r="AK21">
        <v>0</v>
      </c>
      <c r="AL21" t="s">
        <v>31</v>
      </c>
      <c r="AM21">
        <v>0</v>
      </c>
      <c r="AN21" t="s">
        <v>31</v>
      </c>
      <c r="AO21">
        <v>0</v>
      </c>
      <c r="AP21" t="s">
        <v>31</v>
      </c>
      <c r="AQ21">
        <v>0</v>
      </c>
    </row>
    <row r="22" spans="1:43" x14ac:dyDescent="0.2">
      <c r="A22" t="s">
        <v>381</v>
      </c>
      <c r="B22" s="3">
        <v>44256</v>
      </c>
      <c r="C22">
        <v>22</v>
      </c>
      <c r="D22" t="s">
        <v>384</v>
      </c>
      <c r="E22" t="s">
        <v>24</v>
      </c>
      <c r="F22" s="9" t="s">
        <v>25</v>
      </c>
      <c r="G22" t="s">
        <v>26</v>
      </c>
      <c r="H22" t="s">
        <v>27</v>
      </c>
      <c r="I22" t="s">
        <v>28</v>
      </c>
      <c r="J22" t="s">
        <v>29</v>
      </c>
      <c r="K22" t="s">
        <v>30</v>
      </c>
      <c r="L22" t="s">
        <v>29</v>
      </c>
      <c r="M22" t="s">
        <v>30</v>
      </c>
      <c r="N22" t="s">
        <v>27</v>
      </c>
      <c r="O22" t="s">
        <v>28</v>
      </c>
      <c r="P22" t="s">
        <v>29</v>
      </c>
      <c r="Q22" t="s">
        <v>30</v>
      </c>
      <c r="R22" s="1">
        <v>44256.394085648149</v>
      </c>
      <c r="S22" s="1">
        <v>44256.394375000003</v>
      </c>
      <c r="T22">
        <v>0</v>
      </c>
      <c r="U22">
        <v>0</v>
      </c>
      <c r="V22" s="2">
        <v>0</v>
      </c>
      <c r="W22">
        <v>0</v>
      </c>
      <c r="X22" t="s">
        <v>37</v>
      </c>
      <c r="Y22">
        <v>0</v>
      </c>
      <c r="Z22" t="s">
        <v>37</v>
      </c>
      <c r="AA22">
        <v>0</v>
      </c>
      <c r="AB22" t="s">
        <v>37</v>
      </c>
      <c r="AC22">
        <v>0</v>
      </c>
      <c r="AD22" t="s">
        <v>31</v>
      </c>
      <c r="AE22">
        <v>0</v>
      </c>
      <c r="AF22" t="s">
        <v>31</v>
      </c>
      <c r="AG22">
        <v>0</v>
      </c>
      <c r="AH22" t="s">
        <v>31</v>
      </c>
      <c r="AI22">
        <v>0</v>
      </c>
      <c r="AJ22" t="s">
        <v>31</v>
      </c>
      <c r="AK22">
        <v>0</v>
      </c>
      <c r="AL22" t="s">
        <v>31</v>
      </c>
      <c r="AM22">
        <v>0</v>
      </c>
      <c r="AN22" t="s">
        <v>31</v>
      </c>
      <c r="AO22">
        <v>0</v>
      </c>
      <c r="AP22" t="s">
        <v>31</v>
      </c>
      <c r="AQ22">
        <v>0</v>
      </c>
    </row>
    <row r="23" spans="1:43" x14ac:dyDescent="0.2">
      <c r="A23" t="s">
        <v>381</v>
      </c>
      <c r="B23" s="3">
        <v>44257</v>
      </c>
      <c r="C23">
        <v>24</v>
      </c>
      <c r="D23" t="s">
        <v>385</v>
      </c>
      <c r="E23" t="s">
        <v>24</v>
      </c>
      <c r="F23" s="9" t="s">
        <v>25</v>
      </c>
      <c r="G23" t="s">
        <v>26</v>
      </c>
      <c r="H23" t="s">
        <v>27</v>
      </c>
      <c r="I23" t="s">
        <v>28</v>
      </c>
      <c r="J23" t="s">
        <v>29</v>
      </c>
      <c r="K23" t="s">
        <v>30</v>
      </c>
      <c r="L23" t="s">
        <v>29</v>
      </c>
      <c r="M23" t="s">
        <v>30</v>
      </c>
      <c r="N23" t="s">
        <v>27</v>
      </c>
      <c r="O23" t="s">
        <v>28</v>
      </c>
      <c r="P23" t="s">
        <v>29</v>
      </c>
      <c r="Q23" t="s">
        <v>30</v>
      </c>
      <c r="R23" s="1">
        <v>44257.569120370368</v>
      </c>
      <c r="S23" s="1">
        <v>44257.569120370368</v>
      </c>
      <c r="T23">
        <v>0</v>
      </c>
      <c r="U23">
        <v>0</v>
      </c>
      <c r="V23" s="2">
        <v>0</v>
      </c>
      <c r="W23">
        <v>0</v>
      </c>
      <c r="X23" t="s">
        <v>37</v>
      </c>
      <c r="Y23">
        <v>0</v>
      </c>
      <c r="Z23" t="s">
        <v>31</v>
      </c>
      <c r="AA23">
        <v>0</v>
      </c>
      <c r="AB23" t="s">
        <v>31</v>
      </c>
      <c r="AC23">
        <v>0</v>
      </c>
      <c r="AD23" t="s">
        <v>31</v>
      </c>
      <c r="AE23">
        <v>0</v>
      </c>
      <c r="AF23" t="s">
        <v>31</v>
      </c>
      <c r="AG23">
        <v>0</v>
      </c>
      <c r="AH23" t="s">
        <v>31</v>
      </c>
      <c r="AI23">
        <v>0</v>
      </c>
      <c r="AJ23" t="s">
        <v>31</v>
      </c>
      <c r="AK23">
        <v>0</v>
      </c>
      <c r="AL23" t="s">
        <v>31</v>
      </c>
      <c r="AM23">
        <v>0</v>
      </c>
      <c r="AN23" t="s">
        <v>31</v>
      </c>
      <c r="AO23">
        <v>0</v>
      </c>
      <c r="AP23" t="s">
        <v>31</v>
      </c>
      <c r="AQ23">
        <v>0</v>
      </c>
    </row>
    <row r="24" spans="1:43" x14ac:dyDescent="0.2">
      <c r="A24" t="s">
        <v>381</v>
      </c>
      <c r="B24" s="3">
        <v>44259</v>
      </c>
      <c r="C24">
        <v>26</v>
      </c>
      <c r="D24" t="s">
        <v>382</v>
      </c>
      <c r="E24" t="s">
        <v>24</v>
      </c>
      <c r="F24" s="9" t="s">
        <v>25</v>
      </c>
      <c r="G24" t="s">
        <v>26</v>
      </c>
      <c r="H24" t="s">
        <v>27</v>
      </c>
      <c r="I24" t="s">
        <v>28</v>
      </c>
      <c r="J24" t="s">
        <v>29</v>
      </c>
      <c r="K24" t="s">
        <v>30</v>
      </c>
      <c r="L24" t="s">
        <v>29</v>
      </c>
      <c r="M24" t="s">
        <v>30</v>
      </c>
      <c r="N24" t="s">
        <v>27</v>
      </c>
      <c r="O24" t="s">
        <v>28</v>
      </c>
      <c r="P24" t="s">
        <v>29</v>
      </c>
      <c r="Q24" t="s">
        <v>30</v>
      </c>
      <c r="R24" s="1">
        <v>44259.421041666668</v>
      </c>
      <c r="S24" s="1">
        <v>44259.461817129632</v>
      </c>
      <c r="T24">
        <v>1</v>
      </c>
      <c r="U24">
        <v>1</v>
      </c>
      <c r="V24" s="2">
        <v>1</v>
      </c>
      <c r="W24">
        <v>0</v>
      </c>
      <c r="X24" t="s">
        <v>37</v>
      </c>
      <c r="Y24">
        <v>0</v>
      </c>
      <c r="Z24" t="s">
        <v>30</v>
      </c>
      <c r="AA24">
        <v>0</v>
      </c>
      <c r="AB24" t="s">
        <v>31</v>
      </c>
      <c r="AC24">
        <v>0</v>
      </c>
      <c r="AD24" t="s">
        <v>31</v>
      </c>
      <c r="AE24">
        <v>0</v>
      </c>
      <c r="AF24" t="s">
        <v>31</v>
      </c>
      <c r="AG24">
        <v>0</v>
      </c>
      <c r="AH24" t="s">
        <v>31</v>
      </c>
      <c r="AI24">
        <v>0</v>
      </c>
      <c r="AJ24" t="s">
        <v>31</v>
      </c>
      <c r="AK24">
        <v>0</v>
      </c>
      <c r="AL24" t="s">
        <v>31</v>
      </c>
      <c r="AM24">
        <v>0</v>
      </c>
      <c r="AN24" t="s">
        <v>31</v>
      </c>
      <c r="AO24">
        <v>0</v>
      </c>
      <c r="AP24" t="s">
        <v>31</v>
      </c>
      <c r="AQ24">
        <v>0</v>
      </c>
    </row>
    <row r="25" spans="1:43" x14ac:dyDescent="0.2">
      <c r="A25" t="s">
        <v>381</v>
      </c>
      <c r="B25" s="3">
        <v>44264</v>
      </c>
      <c r="C25">
        <v>30</v>
      </c>
      <c r="D25" t="s">
        <v>382</v>
      </c>
      <c r="E25" t="s">
        <v>24</v>
      </c>
      <c r="F25" s="9" t="s">
        <v>25</v>
      </c>
      <c r="G25" t="s">
        <v>26</v>
      </c>
      <c r="H25" t="s">
        <v>27</v>
      </c>
      <c r="I25" t="s">
        <v>28</v>
      </c>
      <c r="J25" t="s">
        <v>29</v>
      </c>
      <c r="K25" t="s">
        <v>30</v>
      </c>
      <c r="L25" t="s">
        <v>29</v>
      </c>
      <c r="M25" t="s">
        <v>30</v>
      </c>
      <c r="N25" t="s">
        <v>27</v>
      </c>
      <c r="O25" t="s">
        <v>28</v>
      </c>
      <c r="P25" t="s">
        <v>29</v>
      </c>
      <c r="Q25" t="s">
        <v>30</v>
      </c>
      <c r="R25" s="1">
        <v>44264.395729166667</v>
      </c>
      <c r="S25" s="1">
        <v>44264.455740740741</v>
      </c>
      <c r="T25">
        <v>0</v>
      </c>
      <c r="U25">
        <v>0</v>
      </c>
      <c r="V25" s="2">
        <v>0</v>
      </c>
      <c r="W25">
        <v>0</v>
      </c>
      <c r="X25" t="s">
        <v>37</v>
      </c>
      <c r="Y25">
        <v>0</v>
      </c>
      <c r="Z25" t="s">
        <v>37</v>
      </c>
      <c r="AA25">
        <v>0</v>
      </c>
      <c r="AB25" t="s">
        <v>37</v>
      </c>
      <c r="AC25">
        <v>0</v>
      </c>
      <c r="AD25" t="s">
        <v>31</v>
      </c>
      <c r="AE25">
        <v>0</v>
      </c>
      <c r="AF25" t="s">
        <v>31</v>
      </c>
      <c r="AG25">
        <v>0</v>
      </c>
      <c r="AH25" t="s">
        <v>31</v>
      </c>
      <c r="AI25">
        <v>0</v>
      </c>
      <c r="AJ25" t="s">
        <v>31</v>
      </c>
      <c r="AK25">
        <v>0</v>
      </c>
      <c r="AL25" t="s">
        <v>31</v>
      </c>
      <c r="AM25">
        <v>0</v>
      </c>
      <c r="AN25" t="s">
        <v>31</v>
      </c>
      <c r="AO25">
        <v>0</v>
      </c>
      <c r="AP25" t="s">
        <v>31</v>
      </c>
      <c r="AQ25">
        <v>0</v>
      </c>
    </row>
    <row r="26" spans="1:43" x14ac:dyDescent="0.2">
      <c r="A26" t="s">
        <v>381</v>
      </c>
      <c r="B26" s="3">
        <v>44264</v>
      </c>
      <c r="C26">
        <v>31</v>
      </c>
      <c r="D26" t="s">
        <v>385</v>
      </c>
      <c r="E26" t="s">
        <v>24</v>
      </c>
      <c r="F26" s="9" t="s">
        <v>25</v>
      </c>
      <c r="G26" t="s">
        <v>26</v>
      </c>
      <c r="H26" t="s">
        <v>27</v>
      </c>
      <c r="I26" t="s">
        <v>28</v>
      </c>
      <c r="J26" t="s">
        <v>29</v>
      </c>
      <c r="K26" t="s">
        <v>30</v>
      </c>
      <c r="L26" t="s">
        <v>29</v>
      </c>
      <c r="M26" t="s">
        <v>30</v>
      </c>
      <c r="N26" t="s">
        <v>27</v>
      </c>
      <c r="O26" t="s">
        <v>28</v>
      </c>
      <c r="P26" t="s">
        <v>29</v>
      </c>
      <c r="Q26" t="s">
        <v>30</v>
      </c>
      <c r="R26" s="1">
        <v>44264.610405092593</v>
      </c>
      <c r="S26" s="1">
        <v>44264.641701388886</v>
      </c>
      <c r="T26">
        <v>0</v>
      </c>
      <c r="U26">
        <v>0</v>
      </c>
      <c r="V26" s="2">
        <v>0</v>
      </c>
      <c r="W26">
        <v>0</v>
      </c>
      <c r="X26" t="s">
        <v>37</v>
      </c>
      <c r="Y26">
        <v>0</v>
      </c>
      <c r="Z26" t="s">
        <v>37</v>
      </c>
      <c r="AA26">
        <v>0</v>
      </c>
      <c r="AB26" t="s">
        <v>37</v>
      </c>
      <c r="AC26">
        <v>0</v>
      </c>
      <c r="AD26" t="s">
        <v>37</v>
      </c>
      <c r="AE26">
        <v>0</v>
      </c>
      <c r="AF26" t="s">
        <v>37</v>
      </c>
      <c r="AG26">
        <v>0</v>
      </c>
      <c r="AH26" t="s">
        <v>31</v>
      </c>
      <c r="AI26">
        <v>0</v>
      </c>
      <c r="AJ26" t="s">
        <v>31</v>
      </c>
      <c r="AK26">
        <v>0</v>
      </c>
      <c r="AL26" t="s">
        <v>31</v>
      </c>
      <c r="AM26">
        <v>0</v>
      </c>
      <c r="AN26" t="s">
        <v>31</v>
      </c>
      <c r="AO26">
        <v>0</v>
      </c>
      <c r="AP26" t="s">
        <v>31</v>
      </c>
      <c r="AQ26">
        <v>0</v>
      </c>
    </row>
    <row r="27" spans="1:43" x14ac:dyDescent="0.2">
      <c r="A27" t="s">
        <v>381</v>
      </c>
      <c r="B27" s="3">
        <v>44266</v>
      </c>
      <c r="C27">
        <v>33</v>
      </c>
      <c r="D27" t="s">
        <v>385</v>
      </c>
      <c r="E27" t="s">
        <v>24</v>
      </c>
      <c r="F27" s="9" t="s">
        <v>25</v>
      </c>
      <c r="G27" t="s">
        <v>26</v>
      </c>
      <c r="H27" t="s">
        <v>27</v>
      </c>
      <c r="I27" t="s">
        <v>28</v>
      </c>
      <c r="J27" t="s">
        <v>29</v>
      </c>
      <c r="K27" t="s">
        <v>30</v>
      </c>
      <c r="L27" t="s">
        <v>29</v>
      </c>
      <c r="M27" t="s">
        <v>30</v>
      </c>
      <c r="N27" t="s">
        <v>27</v>
      </c>
      <c r="O27" t="s">
        <v>28</v>
      </c>
      <c r="P27" t="s">
        <v>29</v>
      </c>
      <c r="Q27" t="s">
        <v>30</v>
      </c>
      <c r="R27" s="1">
        <v>44266.411157407405</v>
      </c>
      <c r="S27" s="1">
        <v>44266.472245370373</v>
      </c>
      <c r="T27">
        <v>0</v>
      </c>
      <c r="U27">
        <v>0</v>
      </c>
      <c r="V27" s="2">
        <v>0</v>
      </c>
      <c r="W27">
        <v>0</v>
      </c>
      <c r="X27" t="s">
        <v>37</v>
      </c>
      <c r="Y27">
        <v>0</v>
      </c>
      <c r="Z27" t="s">
        <v>37</v>
      </c>
      <c r="AA27">
        <v>0</v>
      </c>
      <c r="AB27" t="s">
        <v>37</v>
      </c>
      <c r="AC27">
        <v>0</v>
      </c>
      <c r="AD27" t="s">
        <v>37</v>
      </c>
      <c r="AE27">
        <v>0</v>
      </c>
      <c r="AF27" t="s">
        <v>31</v>
      </c>
      <c r="AG27">
        <v>0</v>
      </c>
      <c r="AH27" t="s">
        <v>31</v>
      </c>
      <c r="AI27">
        <v>0</v>
      </c>
      <c r="AJ27" t="s">
        <v>31</v>
      </c>
      <c r="AK27">
        <v>0</v>
      </c>
      <c r="AL27" t="s">
        <v>31</v>
      </c>
      <c r="AM27">
        <v>0</v>
      </c>
      <c r="AN27" t="s">
        <v>31</v>
      </c>
      <c r="AO27">
        <v>0</v>
      </c>
      <c r="AP27" t="s">
        <v>31</v>
      </c>
      <c r="AQ27">
        <v>0</v>
      </c>
    </row>
    <row r="28" spans="1:43" x14ac:dyDescent="0.2">
      <c r="A28" t="s">
        <v>381</v>
      </c>
      <c r="B28" s="3">
        <v>44266</v>
      </c>
      <c r="C28">
        <v>34</v>
      </c>
      <c r="D28" t="s">
        <v>385</v>
      </c>
      <c r="E28" t="s">
        <v>24</v>
      </c>
      <c r="F28" s="9" t="s">
        <v>25</v>
      </c>
      <c r="G28" t="s">
        <v>26</v>
      </c>
      <c r="H28" t="s">
        <v>27</v>
      </c>
      <c r="I28" t="s">
        <v>28</v>
      </c>
      <c r="J28" t="s">
        <v>29</v>
      </c>
      <c r="K28" t="s">
        <v>30</v>
      </c>
      <c r="L28" t="s">
        <v>29</v>
      </c>
      <c r="M28" t="s">
        <v>30</v>
      </c>
      <c r="N28" t="s">
        <v>27</v>
      </c>
      <c r="O28" t="s">
        <v>28</v>
      </c>
      <c r="P28" t="s">
        <v>29</v>
      </c>
      <c r="Q28" t="s">
        <v>30</v>
      </c>
      <c r="R28" s="1">
        <v>44266.561585648145</v>
      </c>
      <c r="S28" s="1">
        <v>44266.58489583333</v>
      </c>
      <c r="T28">
        <v>0</v>
      </c>
      <c r="U28">
        <v>0</v>
      </c>
      <c r="V28" s="2">
        <v>0</v>
      </c>
      <c r="W28">
        <v>0</v>
      </c>
      <c r="X28" t="s">
        <v>37</v>
      </c>
      <c r="Y28">
        <v>0</v>
      </c>
      <c r="Z28" t="s">
        <v>37</v>
      </c>
      <c r="AA28">
        <v>0</v>
      </c>
      <c r="AB28" t="s">
        <v>37</v>
      </c>
      <c r="AC28">
        <v>0</v>
      </c>
      <c r="AD28" t="s">
        <v>37</v>
      </c>
      <c r="AE28">
        <v>0</v>
      </c>
      <c r="AF28" t="s">
        <v>31</v>
      </c>
      <c r="AG28">
        <v>0</v>
      </c>
      <c r="AH28" t="s">
        <v>31</v>
      </c>
      <c r="AI28">
        <v>0</v>
      </c>
      <c r="AJ28" t="s">
        <v>31</v>
      </c>
      <c r="AK28">
        <v>0</v>
      </c>
      <c r="AL28" t="s">
        <v>31</v>
      </c>
      <c r="AM28">
        <v>0</v>
      </c>
      <c r="AN28" t="s">
        <v>31</v>
      </c>
      <c r="AO28">
        <v>0</v>
      </c>
      <c r="AP28" t="s">
        <v>31</v>
      </c>
      <c r="AQ28">
        <v>0</v>
      </c>
    </row>
    <row r="29" spans="1:43" x14ac:dyDescent="0.2">
      <c r="A29" t="s">
        <v>381</v>
      </c>
      <c r="B29" s="3">
        <v>44270</v>
      </c>
      <c r="C29">
        <v>35</v>
      </c>
      <c r="D29" t="s">
        <v>384</v>
      </c>
      <c r="E29" t="s">
        <v>24</v>
      </c>
      <c r="F29" s="9" t="s">
        <v>25</v>
      </c>
      <c r="G29" t="s">
        <v>26</v>
      </c>
      <c r="H29" t="s">
        <v>27</v>
      </c>
      <c r="I29" t="s">
        <v>28</v>
      </c>
      <c r="J29" t="s">
        <v>29</v>
      </c>
      <c r="K29" t="s">
        <v>30</v>
      </c>
      <c r="L29" t="s">
        <v>29</v>
      </c>
      <c r="M29" t="s">
        <v>30</v>
      </c>
      <c r="N29" t="s">
        <v>27</v>
      </c>
      <c r="O29" t="s">
        <v>28</v>
      </c>
      <c r="P29" t="s">
        <v>29</v>
      </c>
      <c r="Q29" t="s">
        <v>30</v>
      </c>
      <c r="R29" s="1">
        <v>44270.393622685187</v>
      </c>
      <c r="S29" s="1">
        <v>44270.393622685187</v>
      </c>
      <c r="T29">
        <v>1</v>
      </c>
      <c r="U29">
        <v>1</v>
      </c>
      <c r="V29" s="2">
        <v>1</v>
      </c>
      <c r="W29">
        <v>0</v>
      </c>
      <c r="X29" t="s">
        <v>30</v>
      </c>
      <c r="Y29">
        <v>0</v>
      </c>
      <c r="Z29" t="s">
        <v>31</v>
      </c>
      <c r="AA29">
        <v>0</v>
      </c>
      <c r="AB29" t="s">
        <v>31</v>
      </c>
      <c r="AC29">
        <v>0</v>
      </c>
      <c r="AD29" t="s">
        <v>31</v>
      </c>
      <c r="AE29">
        <v>0</v>
      </c>
      <c r="AF29" t="s">
        <v>31</v>
      </c>
      <c r="AG29">
        <v>0</v>
      </c>
      <c r="AH29" t="s">
        <v>31</v>
      </c>
      <c r="AI29">
        <v>0</v>
      </c>
      <c r="AJ29" t="s">
        <v>31</v>
      </c>
      <c r="AK29">
        <v>0</v>
      </c>
      <c r="AL29" t="s">
        <v>31</v>
      </c>
      <c r="AM29">
        <v>0</v>
      </c>
      <c r="AN29" t="s">
        <v>31</v>
      </c>
      <c r="AO29">
        <v>0</v>
      </c>
      <c r="AP29" t="s">
        <v>31</v>
      </c>
      <c r="AQ29">
        <v>0</v>
      </c>
    </row>
    <row r="30" spans="1:43" x14ac:dyDescent="0.2">
      <c r="A30" t="s">
        <v>381</v>
      </c>
      <c r="B30" s="3">
        <v>44271</v>
      </c>
      <c r="C30">
        <v>36</v>
      </c>
      <c r="D30" t="s">
        <v>385</v>
      </c>
      <c r="E30" t="s">
        <v>24</v>
      </c>
      <c r="F30" s="9" t="s">
        <v>25</v>
      </c>
      <c r="G30" t="s">
        <v>26</v>
      </c>
      <c r="H30" t="s">
        <v>27</v>
      </c>
      <c r="I30" t="s">
        <v>28</v>
      </c>
      <c r="J30" t="s">
        <v>29</v>
      </c>
      <c r="K30" t="s">
        <v>30</v>
      </c>
      <c r="L30" t="s">
        <v>29</v>
      </c>
      <c r="M30" t="s">
        <v>30</v>
      </c>
      <c r="N30" t="s">
        <v>27</v>
      </c>
      <c r="O30" t="s">
        <v>28</v>
      </c>
      <c r="P30" t="s">
        <v>29</v>
      </c>
      <c r="Q30" t="s">
        <v>30</v>
      </c>
      <c r="R30" s="1">
        <v>44271.492071759261</v>
      </c>
      <c r="S30" s="1">
        <v>44271.492106481484</v>
      </c>
      <c r="T30">
        <v>0</v>
      </c>
      <c r="U30">
        <v>0</v>
      </c>
      <c r="V30" s="2">
        <v>0</v>
      </c>
      <c r="W30">
        <v>0</v>
      </c>
      <c r="X30" t="s">
        <v>37</v>
      </c>
      <c r="Y30">
        <v>0</v>
      </c>
      <c r="Z30" t="s">
        <v>37</v>
      </c>
      <c r="AA30">
        <v>0</v>
      </c>
      <c r="AB30" t="s">
        <v>37</v>
      </c>
      <c r="AC30">
        <v>0</v>
      </c>
      <c r="AD30" t="s">
        <v>37</v>
      </c>
      <c r="AE30">
        <v>0</v>
      </c>
      <c r="AF30" t="s">
        <v>37</v>
      </c>
      <c r="AG30">
        <v>0</v>
      </c>
      <c r="AH30" t="s">
        <v>31</v>
      </c>
      <c r="AI30">
        <v>0</v>
      </c>
      <c r="AJ30" t="s">
        <v>31</v>
      </c>
      <c r="AK30">
        <v>0</v>
      </c>
      <c r="AL30" t="s">
        <v>31</v>
      </c>
      <c r="AM30">
        <v>0</v>
      </c>
      <c r="AN30" t="s">
        <v>31</v>
      </c>
      <c r="AO30">
        <v>0</v>
      </c>
      <c r="AP30" t="s">
        <v>31</v>
      </c>
      <c r="AQ30">
        <v>0</v>
      </c>
    </row>
    <row r="31" spans="1:43" x14ac:dyDescent="0.2">
      <c r="A31" t="s">
        <v>381</v>
      </c>
      <c r="B31" s="3">
        <v>44271</v>
      </c>
      <c r="C31">
        <v>37</v>
      </c>
      <c r="D31" t="s">
        <v>385</v>
      </c>
      <c r="E31" t="s">
        <v>24</v>
      </c>
      <c r="F31" s="9" t="s">
        <v>25</v>
      </c>
      <c r="G31" t="s">
        <v>26</v>
      </c>
      <c r="H31" t="s">
        <v>27</v>
      </c>
      <c r="I31" t="s">
        <v>28</v>
      </c>
      <c r="J31" t="s">
        <v>29</v>
      </c>
      <c r="K31" t="s">
        <v>30</v>
      </c>
      <c r="L31" t="s">
        <v>29</v>
      </c>
      <c r="M31" t="s">
        <v>30</v>
      </c>
      <c r="N31" t="s">
        <v>27</v>
      </c>
      <c r="O31" t="s">
        <v>28</v>
      </c>
      <c r="P31" t="s">
        <v>29</v>
      </c>
      <c r="Q31" t="s">
        <v>30</v>
      </c>
      <c r="R31" s="1">
        <v>44271.560370370367</v>
      </c>
      <c r="S31" s="1">
        <v>44271.626134259262</v>
      </c>
      <c r="T31">
        <v>0</v>
      </c>
      <c r="U31">
        <v>0</v>
      </c>
      <c r="V31" s="2">
        <v>0</v>
      </c>
      <c r="W31">
        <v>0</v>
      </c>
      <c r="X31" t="s">
        <v>37</v>
      </c>
      <c r="Y31">
        <v>0</v>
      </c>
      <c r="Z31" t="s">
        <v>37</v>
      </c>
      <c r="AA31">
        <v>0</v>
      </c>
      <c r="AB31" t="s">
        <v>37</v>
      </c>
      <c r="AC31">
        <v>0</v>
      </c>
      <c r="AD31" t="s">
        <v>37</v>
      </c>
      <c r="AE31">
        <v>0</v>
      </c>
      <c r="AF31" t="s">
        <v>37</v>
      </c>
      <c r="AG31">
        <v>0</v>
      </c>
      <c r="AH31" t="s">
        <v>31</v>
      </c>
      <c r="AI31">
        <v>0</v>
      </c>
      <c r="AJ31" t="s">
        <v>31</v>
      </c>
      <c r="AK31">
        <v>0</v>
      </c>
      <c r="AL31" t="s">
        <v>31</v>
      </c>
      <c r="AM31">
        <v>0</v>
      </c>
      <c r="AN31" t="s">
        <v>31</v>
      </c>
      <c r="AO31">
        <v>0</v>
      </c>
      <c r="AP31" t="s">
        <v>31</v>
      </c>
      <c r="AQ31">
        <v>0</v>
      </c>
    </row>
    <row r="32" spans="1:43" x14ac:dyDescent="0.2">
      <c r="A32" t="s">
        <v>381</v>
      </c>
      <c r="B32" s="3">
        <v>44273</v>
      </c>
      <c r="C32">
        <v>39</v>
      </c>
      <c r="D32" t="s">
        <v>385</v>
      </c>
      <c r="E32" t="s">
        <v>24</v>
      </c>
      <c r="F32" s="9" t="s">
        <v>25</v>
      </c>
      <c r="G32" t="s">
        <v>26</v>
      </c>
      <c r="H32" t="s">
        <v>27</v>
      </c>
      <c r="I32" t="s">
        <v>28</v>
      </c>
      <c r="J32" t="s">
        <v>29</v>
      </c>
      <c r="K32" t="s">
        <v>30</v>
      </c>
      <c r="L32" t="s">
        <v>29</v>
      </c>
      <c r="M32" t="s">
        <v>30</v>
      </c>
      <c r="N32" t="s">
        <v>27</v>
      </c>
      <c r="O32" t="s">
        <v>28</v>
      </c>
      <c r="P32" t="s">
        <v>29</v>
      </c>
      <c r="Q32" t="s">
        <v>30</v>
      </c>
      <c r="R32" s="1">
        <v>44273.384444444448</v>
      </c>
      <c r="S32" s="1">
        <v>44273.425000000003</v>
      </c>
      <c r="T32">
        <v>0</v>
      </c>
      <c r="U32">
        <v>0</v>
      </c>
      <c r="V32" s="2">
        <v>0</v>
      </c>
      <c r="W32">
        <v>0</v>
      </c>
      <c r="X32" t="s">
        <v>37</v>
      </c>
      <c r="Y32">
        <v>0</v>
      </c>
      <c r="Z32" t="s">
        <v>37</v>
      </c>
      <c r="AA32">
        <v>0</v>
      </c>
      <c r="AB32" t="s">
        <v>31</v>
      </c>
      <c r="AC32">
        <v>0</v>
      </c>
      <c r="AD32" t="s">
        <v>31</v>
      </c>
      <c r="AE32">
        <v>0</v>
      </c>
      <c r="AF32" t="s">
        <v>31</v>
      </c>
      <c r="AG32">
        <v>0</v>
      </c>
      <c r="AH32" t="s">
        <v>31</v>
      </c>
      <c r="AI32">
        <v>0</v>
      </c>
      <c r="AJ32" t="s">
        <v>31</v>
      </c>
      <c r="AK32">
        <v>0</v>
      </c>
      <c r="AL32" t="s">
        <v>31</v>
      </c>
      <c r="AM32">
        <v>0</v>
      </c>
      <c r="AN32" t="s">
        <v>31</v>
      </c>
      <c r="AO32">
        <v>0</v>
      </c>
      <c r="AP32" t="s">
        <v>31</v>
      </c>
      <c r="AQ32">
        <v>0</v>
      </c>
    </row>
    <row r="33" spans="1:43" x14ac:dyDescent="0.2">
      <c r="A33" t="s">
        <v>381</v>
      </c>
      <c r="B33" s="3">
        <v>44273</v>
      </c>
      <c r="C33">
        <v>40</v>
      </c>
      <c r="D33" t="s">
        <v>385</v>
      </c>
      <c r="E33" t="s">
        <v>24</v>
      </c>
      <c r="F33" s="9" t="s">
        <v>25</v>
      </c>
      <c r="G33" t="s">
        <v>26</v>
      </c>
      <c r="H33" t="s">
        <v>27</v>
      </c>
      <c r="I33" t="s">
        <v>28</v>
      </c>
      <c r="J33" t="s">
        <v>29</v>
      </c>
      <c r="K33" t="s">
        <v>30</v>
      </c>
      <c r="L33" t="s">
        <v>29</v>
      </c>
      <c r="M33" t="s">
        <v>30</v>
      </c>
      <c r="N33" t="s">
        <v>27</v>
      </c>
      <c r="O33" t="s">
        <v>28</v>
      </c>
      <c r="P33" t="s">
        <v>29</v>
      </c>
      <c r="Q33" t="s">
        <v>30</v>
      </c>
      <c r="R33" s="1">
        <v>44273.544456018521</v>
      </c>
      <c r="S33" s="1">
        <v>44273.616620370369</v>
      </c>
      <c r="T33">
        <v>0</v>
      </c>
      <c r="U33">
        <v>0</v>
      </c>
      <c r="V33" s="2">
        <v>0</v>
      </c>
      <c r="W33">
        <v>0</v>
      </c>
      <c r="X33" t="s">
        <v>37</v>
      </c>
      <c r="Y33">
        <v>0</v>
      </c>
      <c r="Z33" t="s">
        <v>37</v>
      </c>
      <c r="AA33">
        <v>0</v>
      </c>
      <c r="AB33" t="s">
        <v>37</v>
      </c>
      <c r="AC33">
        <v>0</v>
      </c>
      <c r="AD33" t="s">
        <v>31</v>
      </c>
      <c r="AE33">
        <v>0</v>
      </c>
      <c r="AF33" t="s">
        <v>31</v>
      </c>
      <c r="AG33">
        <v>0</v>
      </c>
      <c r="AH33" t="s">
        <v>31</v>
      </c>
      <c r="AI33">
        <v>0</v>
      </c>
      <c r="AJ33" t="s">
        <v>31</v>
      </c>
      <c r="AK33">
        <v>0</v>
      </c>
      <c r="AL33" t="s">
        <v>31</v>
      </c>
      <c r="AM33">
        <v>0</v>
      </c>
      <c r="AN33" t="s">
        <v>31</v>
      </c>
      <c r="AO33">
        <v>0</v>
      </c>
      <c r="AP33" t="s">
        <v>31</v>
      </c>
      <c r="AQ33">
        <v>0</v>
      </c>
    </row>
    <row r="34" spans="1:43" x14ac:dyDescent="0.2">
      <c r="A34" t="s">
        <v>381</v>
      </c>
      <c r="B34" s="3">
        <v>44284</v>
      </c>
      <c r="C34">
        <v>43</v>
      </c>
      <c r="D34" t="s">
        <v>384</v>
      </c>
      <c r="E34" t="s">
        <v>24</v>
      </c>
      <c r="F34" s="9" t="s">
        <v>25</v>
      </c>
      <c r="G34" t="s">
        <v>26</v>
      </c>
      <c r="H34" t="s">
        <v>27</v>
      </c>
      <c r="I34" t="s">
        <v>28</v>
      </c>
      <c r="J34" t="s">
        <v>29</v>
      </c>
      <c r="K34" t="s">
        <v>30</v>
      </c>
      <c r="L34" t="s">
        <v>29</v>
      </c>
      <c r="M34" t="s">
        <v>30</v>
      </c>
      <c r="N34" t="s">
        <v>27</v>
      </c>
      <c r="O34" t="s">
        <v>28</v>
      </c>
      <c r="P34" t="s">
        <v>29</v>
      </c>
      <c r="Q34" t="s">
        <v>30</v>
      </c>
      <c r="R34" s="1">
        <v>44284.395243055558</v>
      </c>
      <c r="S34" s="1">
        <v>44284.399317129632</v>
      </c>
      <c r="T34">
        <v>2</v>
      </c>
      <c r="U34">
        <v>2</v>
      </c>
      <c r="V34" s="2">
        <v>1</v>
      </c>
      <c r="W34">
        <v>0</v>
      </c>
      <c r="X34" t="s">
        <v>30</v>
      </c>
      <c r="Y34">
        <v>0</v>
      </c>
      <c r="Z34" t="s">
        <v>30</v>
      </c>
      <c r="AA34">
        <v>0</v>
      </c>
      <c r="AB34" t="s">
        <v>31</v>
      </c>
      <c r="AC34">
        <v>0</v>
      </c>
      <c r="AD34" t="s">
        <v>31</v>
      </c>
      <c r="AE34">
        <v>0</v>
      </c>
      <c r="AF34" t="s">
        <v>31</v>
      </c>
      <c r="AG34">
        <v>0</v>
      </c>
      <c r="AH34" t="s">
        <v>31</v>
      </c>
      <c r="AI34">
        <v>0</v>
      </c>
      <c r="AJ34" t="s">
        <v>31</v>
      </c>
      <c r="AK34">
        <v>0</v>
      </c>
      <c r="AL34" t="s">
        <v>31</v>
      </c>
      <c r="AM34">
        <v>0</v>
      </c>
      <c r="AN34" t="s">
        <v>31</v>
      </c>
      <c r="AO34">
        <v>0</v>
      </c>
      <c r="AP34" t="s">
        <v>31</v>
      </c>
      <c r="AQ34">
        <v>0</v>
      </c>
    </row>
    <row r="35" spans="1:43" x14ac:dyDescent="0.2">
      <c r="A35" t="s">
        <v>381</v>
      </c>
      <c r="B35" s="3">
        <v>44285</v>
      </c>
      <c r="C35">
        <v>44</v>
      </c>
      <c r="D35" t="s">
        <v>385</v>
      </c>
      <c r="E35" t="s">
        <v>24</v>
      </c>
      <c r="F35" s="9" t="s">
        <v>25</v>
      </c>
      <c r="G35" t="s">
        <v>26</v>
      </c>
      <c r="H35" t="s">
        <v>27</v>
      </c>
      <c r="I35" t="s">
        <v>28</v>
      </c>
      <c r="J35" t="s">
        <v>29</v>
      </c>
      <c r="K35" t="s">
        <v>30</v>
      </c>
      <c r="L35" t="s">
        <v>29</v>
      </c>
      <c r="M35" t="s">
        <v>30</v>
      </c>
      <c r="N35" t="s">
        <v>27</v>
      </c>
      <c r="O35" t="s">
        <v>28</v>
      </c>
      <c r="P35" t="s">
        <v>29</v>
      </c>
      <c r="Q35" t="s">
        <v>30</v>
      </c>
      <c r="R35" s="1">
        <v>44285.434687499997</v>
      </c>
      <c r="S35" s="1">
        <v>44285.434687499997</v>
      </c>
      <c r="T35">
        <v>0</v>
      </c>
      <c r="U35">
        <v>1</v>
      </c>
      <c r="V35" s="2">
        <v>0</v>
      </c>
      <c r="W35">
        <v>0</v>
      </c>
      <c r="X35" t="s">
        <v>47</v>
      </c>
      <c r="Y35">
        <v>0</v>
      </c>
      <c r="Z35" t="s">
        <v>31</v>
      </c>
      <c r="AA35">
        <v>0</v>
      </c>
      <c r="AB35" t="s">
        <v>31</v>
      </c>
      <c r="AC35">
        <v>0</v>
      </c>
      <c r="AD35" t="s">
        <v>31</v>
      </c>
      <c r="AE35">
        <v>0</v>
      </c>
      <c r="AF35" t="s">
        <v>31</v>
      </c>
      <c r="AG35">
        <v>0</v>
      </c>
      <c r="AH35" t="s">
        <v>31</v>
      </c>
      <c r="AI35">
        <v>0</v>
      </c>
      <c r="AJ35" t="s">
        <v>31</v>
      </c>
      <c r="AK35">
        <v>0</v>
      </c>
      <c r="AL35" t="s">
        <v>31</v>
      </c>
      <c r="AM35">
        <v>0</v>
      </c>
      <c r="AN35" t="s">
        <v>31</v>
      </c>
      <c r="AO35">
        <v>0</v>
      </c>
      <c r="AP35" t="s">
        <v>31</v>
      </c>
      <c r="AQ35">
        <v>0</v>
      </c>
    </row>
    <row r="36" spans="1:43" x14ac:dyDescent="0.2">
      <c r="A36" t="s">
        <v>381</v>
      </c>
      <c r="B36" s="3">
        <v>44285</v>
      </c>
      <c r="C36">
        <v>45</v>
      </c>
      <c r="D36" t="s">
        <v>385</v>
      </c>
      <c r="E36" t="s">
        <v>24</v>
      </c>
      <c r="F36" s="9" t="s">
        <v>25</v>
      </c>
      <c r="G36" t="s">
        <v>26</v>
      </c>
      <c r="H36" t="s">
        <v>27</v>
      </c>
      <c r="I36" t="s">
        <v>28</v>
      </c>
      <c r="J36" t="s">
        <v>29</v>
      </c>
      <c r="K36" t="s">
        <v>30</v>
      </c>
      <c r="L36" t="s">
        <v>29</v>
      </c>
      <c r="M36" t="s">
        <v>30</v>
      </c>
      <c r="N36" t="s">
        <v>27</v>
      </c>
      <c r="O36" t="s">
        <v>28</v>
      </c>
      <c r="P36" t="s">
        <v>29</v>
      </c>
      <c r="Q36" t="s">
        <v>30</v>
      </c>
      <c r="R36" s="1">
        <v>44285.53800925926</v>
      </c>
      <c r="S36" s="1">
        <v>44285.538078703707</v>
      </c>
      <c r="T36">
        <v>0</v>
      </c>
      <c r="U36">
        <v>0</v>
      </c>
      <c r="V36" s="2">
        <v>0</v>
      </c>
      <c r="W36">
        <v>0</v>
      </c>
      <c r="X36" t="s">
        <v>37</v>
      </c>
      <c r="Y36">
        <v>0</v>
      </c>
      <c r="Z36" t="s">
        <v>31</v>
      </c>
      <c r="AA36">
        <v>0</v>
      </c>
      <c r="AB36" t="s">
        <v>31</v>
      </c>
      <c r="AC36">
        <v>0</v>
      </c>
      <c r="AD36" t="s">
        <v>31</v>
      </c>
      <c r="AE36">
        <v>0</v>
      </c>
      <c r="AF36" t="s">
        <v>31</v>
      </c>
      <c r="AG36">
        <v>0</v>
      </c>
      <c r="AH36" t="s">
        <v>31</v>
      </c>
      <c r="AI36">
        <v>0</v>
      </c>
      <c r="AJ36" t="s">
        <v>31</v>
      </c>
      <c r="AK36">
        <v>0</v>
      </c>
      <c r="AL36" t="s">
        <v>31</v>
      </c>
      <c r="AM36">
        <v>0</v>
      </c>
      <c r="AN36" t="s">
        <v>31</v>
      </c>
      <c r="AO36">
        <v>0</v>
      </c>
      <c r="AP36" t="s">
        <v>31</v>
      </c>
      <c r="AQ36">
        <v>0</v>
      </c>
    </row>
    <row r="37" spans="1:43" x14ac:dyDescent="0.2">
      <c r="A37" t="s">
        <v>381</v>
      </c>
      <c r="B37" s="3">
        <v>44286</v>
      </c>
      <c r="C37">
        <v>46</v>
      </c>
      <c r="D37" t="s">
        <v>384</v>
      </c>
      <c r="E37" t="s">
        <v>24</v>
      </c>
      <c r="F37" s="9" t="s">
        <v>25</v>
      </c>
      <c r="G37" t="s">
        <v>26</v>
      </c>
      <c r="H37" t="s">
        <v>27</v>
      </c>
      <c r="I37" t="s">
        <v>28</v>
      </c>
      <c r="J37" t="s">
        <v>29</v>
      </c>
      <c r="K37" t="s">
        <v>30</v>
      </c>
      <c r="L37" t="s">
        <v>29</v>
      </c>
      <c r="M37" t="s">
        <v>30</v>
      </c>
      <c r="N37" t="s">
        <v>27</v>
      </c>
      <c r="O37" t="s">
        <v>28</v>
      </c>
      <c r="P37" t="s">
        <v>29</v>
      </c>
      <c r="Q37" t="s">
        <v>30</v>
      </c>
      <c r="R37" s="1">
        <v>44286.411469907405</v>
      </c>
      <c r="S37" s="1">
        <v>44286.411481481482</v>
      </c>
      <c r="T37">
        <v>0</v>
      </c>
      <c r="U37">
        <v>0</v>
      </c>
      <c r="V37" s="2">
        <v>0</v>
      </c>
      <c r="W37">
        <v>0</v>
      </c>
      <c r="X37" t="s">
        <v>37</v>
      </c>
      <c r="Y37">
        <v>0</v>
      </c>
      <c r="Z37" t="s">
        <v>37</v>
      </c>
      <c r="AA37">
        <v>0</v>
      </c>
      <c r="AB37" t="s">
        <v>37</v>
      </c>
      <c r="AC37">
        <v>0</v>
      </c>
      <c r="AD37" t="s">
        <v>31</v>
      </c>
      <c r="AE37">
        <v>0</v>
      </c>
      <c r="AF37" t="s">
        <v>31</v>
      </c>
      <c r="AG37">
        <v>0</v>
      </c>
      <c r="AH37" t="s">
        <v>31</v>
      </c>
      <c r="AI37">
        <v>0</v>
      </c>
      <c r="AJ37" t="s">
        <v>31</v>
      </c>
      <c r="AK37">
        <v>0</v>
      </c>
      <c r="AL37" t="s">
        <v>31</v>
      </c>
      <c r="AM37">
        <v>0</v>
      </c>
      <c r="AN37" t="s">
        <v>31</v>
      </c>
      <c r="AO37">
        <v>0</v>
      </c>
      <c r="AP37" t="s">
        <v>31</v>
      </c>
      <c r="AQ37">
        <v>0</v>
      </c>
    </row>
    <row r="38" spans="1:43" x14ac:dyDescent="0.2">
      <c r="A38" t="s">
        <v>381</v>
      </c>
      <c r="B38" s="3">
        <v>44287</v>
      </c>
      <c r="C38">
        <v>47</v>
      </c>
      <c r="D38" t="s">
        <v>385</v>
      </c>
      <c r="E38" t="s">
        <v>24</v>
      </c>
      <c r="F38" s="9" t="s">
        <v>25</v>
      </c>
      <c r="G38" t="s">
        <v>26</v>
      </c>
      <c r="H38" t="s">
        <v>27</v>
      </c>
      <c r="I38" t="s">
        <v>28</v>
      </c>
      <c r="J38" t="s">
        <v>29</v>
      </c>
      <c r="K38" t="s">
        <v>30</v>
      </c>
      <c r="L38" t="s">
        <v>29</v>
      </c>
      <c r="M38" t="s">
        <v>30</v>
      </c>
      <c r="N38" t="s">
        <v>27</v>
      </c>
      <c r="O38" t="s">
        <v>28</v>
      </c>
      <c r="P38" t="s">
        <v>29</v>
      </c>
      <c r="Q38" t="s">
        <v>30</v>
      </c>
      <c r="R38" s="1">
        <v>44287.411759259259</v>
      </c>
      <c r="S38" s="1">
        <v>44287.460312499999</v>
      </c>
      <c r="T38">
        <v>1</v>
      </c>
      <c r="U38">
        <v>1</v>
      </c>
      <c r="V38" s="2">
        <v>1</v>
      </c>
      <c r="W38">
        <v>0</v>
      </c>
      <c r="X38" t="s">
        <v>30</v>
      </c>
      <c r="Y38">
        <v>0</v>
      </c>
      <c r="Z38" t="s">
        <v>37</v>
      </c>
      <c r="AA38">
        <v>0</v>
      </c>
      <c r="AB38" t="s">
        <v>31</v>
      </c>
      <c r="AC38">
        <v>0</v>
      </c>
      <c r="AD38" t="s">
        <v>31</v>
      </c>
      <c r="AE38">
        <v>0</v>
      </c>
      <c r="AF38" t="s">
        <v>31</v>
      </c>
      <c r="AG38">
        <v>0</v>
      </c>
      <c r="AH38" t="s">
        <v>31</v>
      </c>
      <c r="AI38">
        <v>0</v>
      </c>
      <c r="AJ38" t="s">
        <v>31</v>
      </c>
      <c r="AK38">
        <v>0</v>
      </c>
      <c r="AL38" t="s">
        <v>31</v>
      </c>
      <c r="AM38">
        <v>0</v>
      </c>
      <c r="AN38" t="s">
        <v>31</v>
      </c>
      <c r="AO38">
        <v>0</v>
      </c>
      <c r="AP38" t="s">
        <v>31</v>
      </c>
      <c r="AQ38">
        <v>0</v>
      </c>
    </row>
    <row r="39" spans="1:43" x14ac:dyDescent="0.2">
      <c r="A39" t="s">
        <v>381</v>
      </c>
      <c r="B39" s="3">
        <v>44288</v>
      </c>
      <c r="C39">
        <v>49</v>
      </c>
      <c r="D39" t="s">
        <v>384</v>
      </c>
      <c r="E39" t="s">
        <v>24</v>
      </c>
      <c r="F39" s="9" t="s">
        <v>25</v>
      </c>
      <c r="G39" t="s">
        <v>26</v>
      </c>
      <c r="H39" t="s">
        <v>27</v>
      </c>
      <c r="I39" t="s">
        <v>28</v>
      </c>
      <c r="J39" t="s">
        <v>29</v>
      </c>
      <c r="K39" t="s">
        <v>30</v>
      </c>
      <c r="L39" t="s">
        <v>29</v>
      </c>
      <c r="M39" t="s">
        <v>30</v>
      </c>
      <c r="N39" t="s">
        <v>27</v>
      </c>
      <c r="O39" t="s">
        <v>28</v>
      </c>
      <c r="P39" t="s">
        <v>29</v>
      </c>
      <c r="Q39" t="s">
        <v>30</v>
      </c>
      <c r="R39" s="1">
        <v>44288.406041666669</v>
      </c>
      <c r="S39" s="1">
        <v>44288.406041666669</v>
      </c>
      <c r="T39">
        <v>0</v>
      </c>
      <c r="U39">
        <v>0</v>
      </c>
      <c r="V39" s="2">
        <v>0</v>
      </c>
      <c r="W39">
        <v>0</v>
      </c>
      <c r="X39" t="s">
        <v>37</v>
      </c>
      <c r="Y39">
        <v>0</v>
      </c>
      <c r="Z39" t="s">
        <v>37</v>
      </c>
      <c r="AA39">
        <v>0</v>
      </c>
      <c r="AB39" t="s">
        <v>31</v>
      </c>
      <c r="AC39">
        <v>0</v>
      </c>
      <c r="AD39" t="s">
        <v>31</v>
      </c>
      <c r="AE39">
        <v>0</v>
      </c>
      <c r="AF39" t="s">
        <v>31</v>
      </c>
      <c r="AG39">
        <v>0</v>
      </c>
      <c r="AH39" t="s">
        <v>31</v>
      </c>
      <c r="AI39">
        <v>0</v>
      </c>
      <c r="AJ39" t="s">
        <v>31</v>
      </c>
      <c r="AK39">
        <v>0</v>
      </c>
      <c r="AL39" t="s">
        <v>31</v>
      </c>
      <c r="AM39">
        <v>0</v>
      </c>
      <c r="AN39" t="s">
        <v>31</v>
      </c>
      <c r="AO39">
        <v>0</v>
      </c>
      <c r="AP39" t="s">
        <v>31</v>
      </c>
      <c r="AQ39">
        <v>0</v>
      </c>
    </row>
    <row r="40" spans="1:43" x14ac:dyDescent="0.2">
      <c r="A40" t="s">
        <v>381</v>
      </c>
      <c r="B40" s="3">
        <v>44292</v>
      </c>
      <c r="C40">
        <v>51</v>
      </c>
      <c r="D40" t="s">
        <v>385</v>
      </c>
      <c r="E40" t="s">
        <v>24</v>
      </c>
      <c r="F40" s="9" t="s">
        <v>25</v>
      </c>
      <c r="G40" t="s">
        <v>26</v>
      </c>
      <c r="H40" t="s">
        <v>27</v>
      </c>
      <c r="I40" t="s">
        <v>28</v>
      </c>
      <c r="J40" t="s">
        <v>29</v>
      </c>
      <c r="K40" t="s">
        <v>30</v>
      </c>
      <c r="L40" t="s">
        <v>29</v>
      </c>
      <c r="M40" t="s">
        <v>30</v>
      </c>
      <c r="N40" t="s">
        <v>27</v>
      </c>
      <c r="O40" t="s">
        <v>28</v>
      </c>
      <c r="P40" t="s">
        <v>29</v>
      </c>
      <c r="Q40" t="s">
        <v>30</v>
      </c>
      <c r="R40" s="1">
        <v>44292.436342592591</v>
      </c>
      <c r="S40" s="1">
        <v>44292.472604166665</v>
      </c>
      <c r="T40">
        <v>0</v>
      </c>
      <c r="U40">
        <v>0</v>
      </c>
      <c r="V40" s="2">
        <v>0</v>
      </c>
      <c r="W40">
        <v>0</v>
      </c>
      <c r="X40" t="s">
        <v>37</v>
      </c>
      <c r="Y40">
        <v>0</v>
      </c>
      <c r="Z40" t="s">
        <v>37</v>
      </c>
      <c r="AA40">
        <v>0</v>
      </c>
      <c r="AB40" t="s">
        <v>37</v>
      </c>
      <c r="AC40">
        <v>0</v>
      </c>
      <c r="AD40" t="s">
        <v>37</v>
      </c>
      <c r="AE40">
        <v>0</v>
      </c>
      <c r="AF40" t="s">
        <v>31</v>
      </c>
      <c r="AG40">
        <v>0</v>
      </c>
      <c r="AH40" t="s">
        <v>31</v>
      </c>
      <c r="AI40">
        <v>0</v>
      </c>
      <c r="AJ40" t="s">
        <v>31</v>
      </c>
      <c r="AK40">
        <v>0</v>
      </c>
      <c r="AL40" t="s">
        <v>31</v>
      </c>
      <c r="AM40">
        <v>0</v>
      </c>
      <c r="AN40" t="s">
        <v>31</v>
      </c>
      <c r="AO40">
        <v>0</v>
      </c>
      <c r="AP40" t="s">
        <v>31</v>
      </c>
      <c r="AQ40">
        <v>0</v>
      </c>
    </row>
    <row r="41" spans="1:43" x14ac:dyDescent="0.2">
      <c r="A41" t="s">
        <v>381</v>
      </c>
      <c r="B41" s="3">
        <v>44292</v>
      </c>
      <c r="C41">
        <v>52</v>
      </c>
      <c r="D41" t="s">
        <v>386</v>
      </c>
      <c r="E41" t="s">
        <v>24</v>
      </c>
      <c r="F41" s="9" t="s">
        <v>25</v>
      </c>
      <c r="G41" t="s">
        <v>26</v>
      </c>
      <c r="H41" t="s">
        <v>27</v>
      </c>
      <c r="I41" t="s">
        <v>28</v>
      </c>
      <c r="J41" t="s">
        <v>29</v>
      </c>
      <c r="K41" t="s">
        <v>30</v>
      </c>
      <c r="L41" t="s">
        <v>29</v>
      </c>
      <c r="M41" t="s">
        <v>30</v>
      </c>
      <c r="N41" t="s">
        <v>27</v>
      </c>
      <c r="O41" t="s">
        <v>28</v>
      </c>
      <c r="P41" t="s">
        <v>29</v>
      </c>
      <c r="Q41" t="s">
        <v>30</v>
      </c>
      <c r="R41" s="1">
        <v>44292.54446759259</v>
      </c>
      <c r="S41" s="1">
        <v>44292.54446759259</v>
      </c>
      <c r="T41">
        <v>0</v>
      </c>
      <c r="U41">
        <v>2</v>
      </c>
      <c r="V41" s="2">
        <v>0</v>
      </c>
      <c r="W41">
        <v>0</v>
      </c>
      <c r="X41" t="s">
        <v>47</v>
      </c>
      <c r="Y41">
        <v>0</v>
      </c>
      <c r="Z41" t="s">
        <v>47</v>
      </c>
      <c r="AA41">
        <v>0</v>
      </c>
      <c r="AB41" t="s">
        <v>31</v>
      </c>
      <c r="AC41">
        <v>0</v>
      </c>
      <c r="AD41" t="s">
        <v>31</v>
      </c>
      <c r="AE41">
        <v>0</v>
      </c>
      <c r="AF41" t="s">
        <v>31</v>
      </c>
      <c r="AG41">
        <v>0</v>
      </c>
      <c r="AH41" t="s">
        <v>31</v>
      </c>
      <c r="AI41">
        <v>0</v>
      </c>
      <c r="AJ41" t="s">
        <v>31</v>
      </c>
      <c r="AK41">
        <v>0</v>
      </c>
      <c r="AL41" t="s">
        <v>31</v>
      </c>
      <c r="AM41">
        <v>0</v>
      </c>
      <c r="AN41" t="s">
        <v>31</v>
      </c>
      <c r="AO41">
        <v>0</v>
      </c>
      <c r="AP41" t="s">
        <v>31</v>
      </c>
      <c r="AQ41">
        <v>0</v>
      </c>
    </row>
    <row r="42" spans="1:43" x14ac:dyDescent="0.2">
      <c r="A42" t="s">
        <v>381</v>
      </c>
      <c r="B42" s="3">
        <v>44293</v>
      </c>
      <c r="C42">
        <v>53</v>
      </c>
      <c r="D42" t="s">
        <v>384</v>
      </c>
      <c r="E42" t="s">
        <v>24</v>
      </c>
      <c r="F42" s="9" t="s">
        <v>25</v>
      </c>
      <c r="G42" t="s">
        <v>26</v>
      </c>
      <c r="H42" t="s">
        <v>27</v>
      </c>
      <c r="I42" t="s">
        <v>28</v>
      </c>
      <c r="J42" t="s">
        <v>29</v>
      </c>
      <c r="K42" t="s">
        <v>30</v>
      </c>
      <c r="L42" t="s">
        <v>29</v>
      </c>
      <c r="M42" t="s">
        <v>30</v>
      </c>
      <c r="N42" t="s">
        <v>27</v>
      </c>
      <c r="O42" t="s">
        <v>28</v>
      </c>
      <c r="P42" t="s">
        <v>29</v>
      </c>
      <c r="Q42" t="s">
        <v>30</v>
      </c>
      <c r="R42" s="1">
        <v>44293.395613425928</v>
      </c>
      <c r="S42" s="1">
        <v>44293.395624999997</v>
      </c>
      <c r="T42">
        <v>0</v>
      </c>
      <c r="U42">
        <v>0</v>
      </c>
      <c r="V42" s="2">
        <v>0</v>
      </c>
      <c r="W42">
        <v>0</v>
      </c>
      <c r="X42" t="s">
        <v>37</v>
      </c>
      <c r="Y42">
        <v>0</v>
      </c>
      <c r="Z42" t="s">
        <v>37</v>
      </c>
      <c r="AA42">
        <v>0</v>
      </c>
      <c r="AB42" t="s">
        <v>37</v>
      </c>
      <c r="AC42">
        <v>0</v>
      </c>
      <c r="AD42" t="s">
        <v>31</v>
      </c>
      <c r="AE42">
        <v>0</v>
      </c>
      <c r="AF42" t="s">
        <v>31</v>
      </c>
      <c r="AG42">
        <v>0</v>
      </c>
      <c r="AH42" t="s">
        <v>31</v>
      </c>
      <c r="AI42">
        <v>0</v>
      </c>
      <c r="AJ42" t="s">
        <v>31</v>
      </c>
      <c r="AK42">
        <v>0</v>
      </c>
      <c r="AL42" t="s">
        <v>31</v>
      </c>
      <c r="AM42">
        <v>0</v>
      </c>
      <c r="AN42" t="s">
        <v>31</v>
      </c>
      <c r="AO42">
        <v>0</v>
      </c>
      <c r="AP42" t="s">
        <v>31</v>
      </c>
      <c r="AQ42">
        <v>0</v>
      </c>
    </row>
    <row r="43" spans="1:43" x14ac:dyDescent="0.2">
      <c r="A43" t="s">
        <v>381</v>
      </c>
      <c r="B43" s="3">
        <v>44294</v>
      </c>
      <c r="C43">
        <v>55</v>
      </c>
      <c r="D43" t="s">
        <v>385</v>
      </c>
      <c r="E43" t="s">
        <v>24</v>
      </c>
      <c r="F43" s="9" t="s">
        <v>25</v>
      </c>
      <c r="G43" t="s">
        <v>26</v>
      </c>
      <c r="H43" t="s">
        <v>27</v>
      </c>
      <c r="I43" t="s">
        <v>28</v>
      </c>
      <c r="J43" t="s">
        <v>29</v>
      </c>
      <c r="K43" t="s">
        <v>30</v>
      </c>
      <c r="L43" t="s">
        <v>29</v>
      </c>
      <c r="M43" t="s">
        <v>30</v>
      </c>
      <c r="N43" t="s">
        <v>27</v>
      </c>
      <c r="O43" t="s">
        <v>28</v>
      </c>
      <c r="P43" t="s">
        <v>29</v>
      </c>
      <c r="Q43" t="s">
        <v>30</v>
      </c>
      <c r="R43" s="1">
        <v>44294.55</v>
      </c>
      <c r="S43" s="1">
        <v>44294.55</v>
      </c>
      <c r="T43">
        <v>0</v>
      </c>
      <c r="U43">
        <v>0</v>
      </c>
      <c r="V43" s="2">
        <v>0</v>
      </c>
      <c r="W43">
        <v>0</v>
      </c>
      <c r="X43" t="s">
        <v>37</v>
      </c>
      <c r="Y43">
        <v>0</v>
      </c>
      <c r="Z43" t="s">
        <v>37</v>
      </c>
      <c r="AA43">
        <v>0</v>
      </c>
      <c r="AB43" t="s">
        <v>31</v>
      </c>
      <c r="AC43">
        <v>0</v>
      </c>
      <c r="AD43" t="s">
        <v>31</v>
      </c>
      <c r="AE43">
        <v>0</v>
      </c>
      <c r="AF43" t="s">
        <v>31</v>
      </c>
      <c r="AG43">
        <v>0</v>
      </c>
      <c r="AH43" t="s">
        <v>31</v>
      </c>
      <c r="AI43">
        <v>0</v>
      </c>
      <c r="AJ43" t="s">
        <v>31</v>
      </c>
      <c r="AK43">
        <v>0</v>
      </c>
      <c r="AL43" t="s">
        <v>31</v>
      </c>
      <c r="AM43">
        <v>0</v>
      </c>
      <c r="AN43" t="s">
        <v>31</v>
      </c>
      <c r="AO43">
        <v>0</v>
      </c>
      <c r="AP43" t="s">
        <v>31</v>
      </c>
      <c r="AQ43">
        <v>0</v>
      </c>
    </row>
    <row r="44" spans="1:43" x14ac:dyDescent="0.2">
      <c r="A44" t="s">
        <v>381</v>
      </c>
      <c r="B44" s="3">
        <v>44298</v>
      </c>
      <c r="C44">
        <v>57</v>
      </c>
      <c r="D44" t="s">
        <v>387</v>
      </c>
      <c r="E44" t="s">
        <v>24</v>
      </c>
      <c r="F44" s="9" t="s">
        <v>25</v>
      </c>
      <c r="G44" t="s">
        <v>26</v>
      </c>
      <c r="H44" t="s">
        <v>27</v>
      </c>
      <c r="I44" t="s">
        <v>28</v>
      </c>
      <c r="J44" t="s">
        <v>29</v>
      </c>
      <c r="K44" t="s">
        <v>30</v>
      </c>
      <c r="L44" t="s">
        <v>29</v>
      </c>
      <c r="M44" t="s">
        <v>30</v>
      </c>
      <c r="N44" t="s">
        <v>155</v>
      </c>
      <c r="O44" t="s">
        <v>156</v>
      </c>
      <c r="P44" t="s">
        <v>29</v>
      </c>
      <c r="Q44" t="s">
        <v>30</v>
      </c>
      <c r="R44" s="1">
        <v>44298.651180555556</v>
      </c>
      <c r="S44" s="1">
        <v>44298.651701388888</v>
      </c>
      <c r="T44">
        <v>0</v>
      </c>
      <c r="U44">
        <v>2</v>
      </c>
      <c r="V44" s="2">
        <v>0</v>
      </c>
      <c r="W44">
        <v>0</v>
      </c>
      <c r="X44" t="s">
        <v>44</v>
      </c>
      <c r="Y44">
        <v>0</v>
      </c>
      <c r="Z44" t="s">
        <v>47</v>
      </c>
      <c r="AA44">
        <v>0</v>
      </c>
      <c r="AB44" t="s">
        <v>31</v>
      </c>
      <c r="AC44">
        <v>0</v>
      </c>
      <c r="AD44" t="s">
        <v>31</v>
      </c>
      <c r="AE44">
        <v>0</v>
      </c>
      <c r="AF44" t="s">
        <v>31</v>
      </c>
      <c r="AG44">
        <v>0</v>
      </c>
      <c r="AH44" t="s">
        <v>31</v>
      </c>
      <c r="AI44">
        <v>0</v>
      </c>
      <c r="AJ44" t="s">
        <v>31</v>
      </c>
      <c r="AK44">
        <v>0</v>
      </c>
      <c r="AL44" t="s">
        <v>31</v>
      </c>
      <c r="AM44">
        <v>0</v>
      </c>
      <c r="AN44" t="s">
        <v>31</v>
      </c>
      <c r="AO44">
        <v>0</v>
      </c>
      <c r="AP44" t="s">
        <v>31</v>
      </c>
      <c r="AQ44">
        <v>0</v>
      </c>
    </row>
    <row r="45" spans="1:43" x14ac:dyDescent="0.2">
      <c r="A45" t="s">
        <v>381</v>
      </c>
      <c r="B45" s="3">
        <v>44299</v>
      </c>
      <c r="C45">
        <v>58</v>
      </c>
      <c r="D45" t="s">
        <v>385</v>
      </c>
      <c r="E45" t="s">
        <v>24</v>
      </c>
      <c r="F45" s="9" t="s">
        <v>25</v>
      </c>
      <c r="G45" t="s">
        <v>26</v>
      </c>
      <c r="H45" t="s">
        <v>155</v>
      </c>
      <c r="I45" t="s">
        <v>156</v>
      </c>
      <c r="J45" t="s">
        <v>29</v>
      </c>
      <c r="K45" t="s">
        <v>30</v>
      </c>
      <c r="L45" t="s">
        <v>162</v>
      </c>
      <c r="M45" t="s">
        <v>47</v>
      </c>
      <c r="N45" t="s">
        <v>27</v>
      </c>
      <c r="O45" t="s">
        <v>28</v>
      </c>
      <c r="P45" t="s">
        <v>43</v>
      </c>
      <c r="Q45" t="s">
        <v>44</v>
      </c>
      <c r="R45" s="1">
        <v>44299.381180555552</v>
      </c>
      <c r="S45" s="1">
        <v>44299.482256944444</v>
      </c>
      <c r="T45">
        <v>3</v>
      </c>
      <c r="U45">
        <v>3</v>
      </c>
      <c r="V45" s="2">
        <v>1</v>
      </c>
      <c r="W45">
        <v>0</v>
      </c>
      <c r="X45" t="s">
        <v>47</v>
      </c>
      <c r="Y45">
        <v>0</v>
      </c>
      <c r="Z45" t="s">
        <v>47</v>
      </c>
      <c r="AA45">
        <v>0</v>
      </c>
      <c r="AB45" t="s">
        <v>47</v>
      </c>
      <c r="AC45">
        <v>0</v>
      </c>
      <c r="AD45" t="s">
        <v>31</v>
      </c>
      <c r="AE45">
        <v>0</v>
      </c>
      <c r="AF45" t="s">
        <v>31</v>
      </c>
      <c r="AG45">
        <v>0</v>
      </c>
      <c r="AH45" t="s">
        <v>31</v>
      </c>
      <c r="AI45">
        <v>0</v>
      </c>
      <c r="AJ45" t="s">
        <v>31</v>
      </c>
      <c r="AK45">
        <v>0</v>
      </c>
      <c r="AL45" t="s">
        <v>31</v>
      </c>
      <c r="AM45">
        <v>0</v>
      </c>
      <c r="AN45" t="s">
        <v>31</v>
      </c>
      <c r="AO45">
        <v>0</v>
      </c>
      <c r="AP45" t="s">
        <v>31</v>
      </c>
      <c r="AQ45">
        <v>0</v>
      </c>
    </row>
    <row r="46" spans="1:43" x14ac:dyDescent="0.2">
      <c r="A46" t="s">
        <v>381</v>
      </c>
      <c r="B46" s="3">
        <v>44299</v>
      </c>
      <c r="C46">
        <v>59</v>
      </c>
      <c r="D46" t="s">
        <v>385</v>
      </c>
      <c r="E46" t="s">
        <v>24</v>
      </c>
      <c r="F46" s="9" t="s">
        <v>25</v>
      </c>
      <c r="G46" t="s">
        <v>26</v>
      </c>
      <c r="H46" t="s">
        <v>27</v>
      </c>
      <c r="I46" t="s">
        <v>28</v>
      </c>
      <c r="J46" t="s">
        <v>43</v>
      </c>
      <c r="K46" t="s">
        <v>44</v>
      </c>
      <c r="L46" t="s">
        <v>29</v>
      </c>
      <c r="M46" t="s">
        <v>30</v>
      </c>
      <c r="N46" t="s">
        <v>27</v>
      </c>
      <c r="O46" t="s">
        <v>28</v>
      </c>
      <c r="P46" t="s">
        <v>43</v>
      </c>
      <c r="Q46" t="s">
        <v>44</v>
      </c>
      <c r="R46" s="1">
        <v>44299.553831018522</v>
      </c>
      <c r="S46" s="1">
        <v>44299.553831018522</v>
      </c>
      <c r="T46">
        <v>0</v>
      </c>
      <c r="U46">
        <v>0</v>
      </c>
      <c r="V46" s="2">
        <v>0</v>
      </c>
      <c r="W46">
        <v>0</v>
      </c>
      <c r="X46" t="s">
        <v>37</v>
      </c>
      <c r="Y46">
        <v>0</v>
      </c>
      <c r="Z46" t="s">
        <v>37</v>
      </c>
      <c r="AA46">
        <v>0</v>
      </c>
      <c r="AB46" t="s">
        <v>31</v>
      </c>
      <c r="AC46">
        <v>0</v>
      </c>
      <c r="AD46" t="s">
        <v>31</v>
      </c>
      <c r="AE46">
        <v>0</v>
      </c>
      <c r="AF46" t="s">
        <v>31</v>
      </c>
      <c r="AG46">
        <v>0</v>
      </c>
      <c r="AH46" t="s">
        <v>31</v>
      </c>
      <c r="AI46">
        <v>0</v>
      </c>
      <c r="AJ46" t="s">
        <v>31</v>
      </c>
      <c r="AK46">
        <v>0</v>
      </c>
      <c r="AL46" t="s">
        <v>31</v>
      </c>
      <c r="AM46">
        <v>0</v>
      </c>
      <c r="AN46" t="s">
        <v>31</v>
      </c>
      <c r="AO46">
        <v>0</v>
      </c>
      <c r="AP46" t="s">
        <v>31</v>
      </c>
      <c r="AQ46">
        <v>0</v>
      </c>
    </row>
    <row r="47" spans="1:43" x14ac:dyDescent="0.2">
      <c r="A47" t="s">
        <v>381</v>
      </c>
      <c r="B47" s="3">
        <v>44301</v>
      </c>
      <c r="C47">
        <v>62</v>
      </c>
      <c r="D47" t="s">
        <v>385</v>
      </c>
      <c r="E47" t="s">
        <v>24</v>
      </c>
      <c r="F47" s="9" t="s">
        <v>25</v>
      </c>
      <c r="G47" t="s">
        <v>26</v>
      </c>
      <c r="H47" t="s">
        <v>27</v>
      </c>
      <c r="I47" t="s">
        <v>28</v>
      </c>
      <c r="J47" t="s">
        <v>43</v>
      </c>
      <c r="K47" t="s">
        <v>44</v>
      </c>
      <c r="L47" t="s">
        <v>29</v>
      </c>
      <c r="M47" t="s">
        <v>30</v>
      </c>
      <c r="N47" t="s">
        <v>27</v>
      </c>
      <c r="O47" t="s">
        <v>28</v>
      </c>
      <c r="P47" t="s">
        <v>43</v>
      </c>
      <c r="Q47" t="s">
        <v>44</v>
      </c>
      <c r="R47" s="1">
        <v>44301.429189814815</v>
      </c>
      <c r="S47" s="1">
        <v>44301.429189814815</v>
      </c>
      <c r="T47">
        <v>0</v>
      </c>
      <c r="U47">
        <v>0</v>
      </c>
      <c r="V47" s="2">
        <v>0</v>
      </c>
      <c r="W47">
        <v>0</v>
      </c>
      <c r="X47" t="s">
        <v>37</v>
      </c>
      <c r="Y47">
        <v>0</v>
      </c>
      <c r="Z47" t="s">
        <v>31</v>
      </c>
      <c r="AA47">
        <v>0</v>
      </c>
      <c r="AB47" t="s">
        <v>31</v>
      </c>
      <c r="AC47">
        <v>0</v>
      </c>
      <c r="AD47" t="s">
        <v>31</v>
      </c>
      <c r="AE47">
        <v>0</v>
      </c>
      <c r="AF47" t="s">
        <v>31</v>
      </c>
      <c r="AG47">
        <v>0</v>
      </c>
      <c r="AH47" t="s">
        <v>31</v>
      </c>
      <c r="AI47">
        <v>0</v>
      </c>
      <c r="AJ47" t="s">
        <v>31</v>
      </c>
      <c r="AK47">
        <v>0</v>
      </c>
      <c r="AL47" t="s">
        <v>31</v>
      </c>
      <c r="AM47">
        <v>0</v>
      </c>
      <c r="AN47" t="s">
        <v>31</v>
      </c>
      <c r="AO47">
        <v>0</v>
      </c>
      <c r="AP47" t="s">
        <v>31</v>
      </c>
      <c r="AQ47">
        <v>0</v>
      </c>
    </row>
    <row r="48" spans="1:43" x14ac:dyDescent="0.2">
      <c r="A48" t="s">
        <v>381</v>
      </c>
      <c r="B48" s="3">
        <v>44308</v>
      </c>
      <c r="C48">
        <v>69</v>
      </c>
      <c r="D48" t="s">
        <v>385</v>
      </c>
      <c r="E48" t="s">
        <v>24</v>
      </c>
      <c r="F48" s="9" t="s">
        <v>25</v>
      </c>
      <c r="G48" t="s">
        <v>26</v>
      </c>
      <c r="H48" t="s">
        <v>27</v>
      </c>
      <c r="I48" t="s">
        <v>28</v>
      </c>
      <c r="J48" t="s">
        <v>43</v>
      </c>
      <c r="K48" t="s">
        <v>44</v>
      </c>
      <c r="L48" t="s">
        <v>29</v>
      </c>
      <c r="M48" t="s">
        <v>30</v>
      </c>
      <c r="N48" t="s">
        <v>27</v>
      </c>
      <c r="O48" t="s">
        <v>28</v>
      </c>
      <c r="P48" t="s">
        <v>43</v>
      </c>
      <c r="Q48" t="s">
        <v>44</v>
      </c>
      <c r="R48" s="1">
        <v>44308.577268518522</v>
      </c>
      <c r="S48" s="1">
        <v>44308.610138888886</v>
      </c>
      <c r="T48">
        <v>0</v>
      </c>
      <c r="U48">
        <v>0</v>
      </c>
      <c r="V48" s="2">
        <v>0</v>
      </c>
      <c r="W48">
        <v>0</v>
      </c>
      <c r="X48" t="s">
        <v>37</v>
      </c>
      <c r="Y48">
        <v>0</v>
      </c>
      <c r="Z48" t="s">
        <v>37</v>
      </c>
      <c r="AA48">
        <v>0</v>
      </c>
      <c r="AB48" t="s">
        <v>31</v>
      </c>
      <c r="AC48">
        <v>0</v>
      </c>
      <c r="AD48" t="s">
        <v>31</v>
      </c>
      <c r="AE48">
        <v>0</v>
      </c>
      <c r="AF48" t="s">
        <v>31</v>
      </c>
      <c r="AG48">
        <v>0</v>
      </c>
      <c r="AH48" t="s">
        <v>31</v>
      </c>
      <c r="AI48">
        <v>0</v>
      </c>
      <c r="AJ48" t="s">
        <v>31</v>
      </c>
      <c r="AK48">
        <v>0</v>
      </c>
      <c r="AL48" t="s">
        <v>31</v>
      </c>
      <c r="AM48">
        <v>0</v>
      </c>
      <c r="AN48" t="s">
        <v>31</v>
      </c>
      <c r="AO48">
        <v>0</v>
      </c>
      <c r="AP48" t="s">
        <v>31</v>
      </c>
      <c r="AQ48">
        <v>0</v>
      </c>
    </row>
    <row r="49" spans="1:43" x14ac:dyDescent="0.2">
      <c r="A49" t="s">
        <v>381</v>
      </c>
      <c r="B49" s="3">
        <v>44309</v>
      </c>
      <c r="C49">
        <v>70</v>
      </c>
      <c r="D49" t="s">
        <v>388</v>
      </c>
      <c r="E49" t="s">
        <v>24</v>
      </c>
      <c r="F49" s="9" t="s">
        <v>25</v>
      </c>
      <c r="G49" t="s">
        <v>26</v>
      </c>
      <c r="H49" t="s">
        <v>27</v>
      </c>
      <c r="I49" t="s">
        <v>28</v>
      </c>
      <c r="J49" t="s">
        <v>43</v>
      </c>
      <c r="K49" t="s">
        <v>44</v>
      </c>
      <c r="L49" t="s">
        <v>29</v>
      </c>
      <c r="M49" t="s">
        <v>30</v>
      </c>
      <c r="N49" t="s">
        <v>27</v>
      </c>
      <c r="O49" t="s">
        <v>28</v>
      </c>
      <c r="P49" t="s">
        <v>43</v>
      </c>
      <c r="Q49" t="s">
        <v>44</v>
      </c>
      <c r="R49" s="1">
        <v>44309.440451388888</v>
      </c>
      <c r="S49" s="1">
        <v>44309.440451388888</v>
      </c>
      <c r="T49">
        <v>0</v>
      </c>
      <c r="U49">
        <v>0</v>
      </c>
      <c r="V49" s="2">
        <v>0</v>
      </c>
      <c r="W49">
        <v>0</v>
      </c>
      <c r="X49" t="s">
        <v>37</v>
      </c>
      <c r="Y49">
        <v>0</v>
      </c>
      <c r="Z49" t="s">
        <v>31</v>
      </c>
      <c r="AA49">
        <v>0</v>
      </c>
      <c r="AB49" t="s">
        <v>31</v>
      </c>
      <c r="AC49">
        <v>0</v>
      </c>
      <c r="AD49" t="s">
        <v>31</v>
      </c>
      <c r="AE49">
        <v>0</v>
      </c>
      <c r="AF49" t="s">
        <v>31</v>
      </c>
      <c r="AG49">
        <v>0</v>
      </c>
      <c r="AH49" t="s">
        <v>31</v>
      </c>
      <c r="AI49">
        <v>0</v>
      </c>
      <c r="AJ49" t="s">
        <v>31</v>
      </c>
      <c r="AK49">
        <v>0</v>
      </c>
      <c r="AL49" t="s">
        <v>31</v>
      </c>
      <c r="AM49">
        <v>0</v>
      </c>
      <c r="AN49" t="s">
        <v>31</v>
      </c>
      <c r="AO49">
        <v>0</v>
      </c>
      <c r="AP49" t="s">
        <v>31</v>
      </c>
      <c r="AQ49">
        <v>0</v>
      </c>
    </row>
    <row r="50" spans="1:43" x14ac:dyDescent="0.2">
      <c r="A50" t="s">
        <v>381</v>
      </c>
      <c r="B50" s="3">
        <v>44313</v>
      </c>
      <c r="C50">
        <v>74</v>
      </c>
      <c r="D50" t="s">
        <v>383</v>
      </c>
      <c r="E50" t="s">
        <v>24</v>
      </c>
      <c r="F50" s="9" t="s">
        <v>25</v>
      </c>
      <c r="G50" t="s">
        <v>26</v>
      </c>
      <c r="H50" t="s">
        <v>27</v>
      </c>
      <c r="I50" t="s">
        <v>28</v>
      </c>
      <c r="J50" t="s">
        <v>43</v>
      </c>
      <c r="K50" t="s">
        <v>44</v>
      </c>
      <c r="L50" t="s">
        <v>29</v>
      </c>
      <c r="M50" t="s">
        <v>30</v>
      </c>
      <c r="N50" t="s">
        <v>27</v>
      </c>
      <c r="O50" t="s">
        <v>28</v>
      </c>
      <c r="P50" t="s">
        <v>43</v>
      </c>
      <c r="Q50" t="s">
        <v>44</v>
      </c>
      <c r="R50" s="1">
        <v>44313.489085648151</v>
      </c>
      <c r="S50" s="1">
        <v>44313.489085648151</v>
      </c>
      <c r="T50">
        <v>0</v>
      </c>
      <c r="U50">
        <v>0</v>
      </c>
      <c r="V50" s="2">
        <v>0</v>
      </c>
      <c r="W50">
        <v>0</v>
      </c>
      <c r="X50" t="s">
        <v>37</v>
      </c>
      <c r="Y50">
        <v>0</v>
      </c>
      <c r="Z50" t="s">
        <v>31</v>
      </c>
      <c r="AA50">
        <v>0</v>
      </c>
      <c r="AB50" t="s">
        <v>31</v>
      </c>
      <c r="AC50">
        <v>0</v>
      </c>
      <c r="AD50" t="s">
        <v>31</v>
      </c>
      <c r="AE50">
        <v>0</v>
      </c>
      <c r="AF50" t="s">
        <v>31</v>
      </c>
      <c r="AG50">
        <v>0</v>
      </c>
      <c r="AH50" t="s">
        <v>31</v>
      </c>
      <c r="AI50">
        <v>0</v>
      </c>
      <c r="AJ50" t="s">
        <v>31</v>
      </c>
      <c r="AK50">
        <v>0</v>
      </c>
      <c r="AL50" t="s">
        <v>31</v>
      </c>
      <c r="AM50">
        <v>0</v>
      </c>
      <c r="AN50" t="s">
        <v>31</v>
      </c>
      <c r="AO50">
        <v>0</v>
      </c>
      <c r="AP50" t="s">
        <v>31</v>
      </c>
      <c r="AQ50">
        <v>0</v>
      </c>
    </row>
    <row r="51" spans="1:43" x14ac:dyDescent="0.2">
      <c r="A51" t="s">
        <v>381</v>
      </c>
      <c r="B51" s="3">
        <v>44313</v>
      </c>
      <c r="C51">
        <v>76</v>
      </c>
      <c r="D51" t="s">
        <v>385</v>
      </c>
      <c r="E51" t="s">
        <v>24</v>
      </c>
      <c r="F51" s="9" t="s">
        <v>25</v>
      </c>
      <c r="G51" t="s">
        <v>26</v>
      </c>
      <c r="H51" t="s">
        <v>27</v>
      </c>
      <c r="I51" t="s">
        <v>28</v>
      </c>
      <c r="J51" t="s">
        <v>43</v>
      </c>
      <c r="K51" t="s">
        <v>44</v>
      </c>
      <c r="L51" t="s">
        <v>29</v>
      </c>
      <c r="M51" t="s">
        <v>30</v>
      </c>
      <c r="N51" t="s">
        <v>27</v>
      </c>
      <c r="O51" t="s">
        <v>28</v>
      </c>
      <c r="P51" t="s">
        <v>43</v>
      </c>
      <c r="Q51" t="s">
        <v>44</v>
      </c>
      <c r="R51" s="1">
        <v>44313.594166666669</v>
      </c>
      <c r="S51" s="1">
        <v>44313.598761574074</v>
      </c>
      <c r="T51">
        <v>0</v>
      </c>
      <c r="U51">
        <v>0</v>
      </c>
      <c r="V51" s="2">
        <v>0</v>
      </c>
      <c r="W51">
        <v>0</v>
      </c>
      <c r="X51" t="s">
        <v>37</v>
      </c>
      <c r="Y51">
        <v>0</v>
      </c>
      <c r="Z51" t="s">
        <v>37</v>
      </c>
      <c r="AA51">
        <v>0</v>
      </c>
      <c r="AB51" t="s">
        <v>37</v>
      </c>
      <c r="AC51">
        <v>0</v>
      </c>
      <c r="AD51" t="s">
        <v>31</v>
      </c>
      <c r="AE51">
        <v>0</v>
      </c>
      <c r="AF51" t="s">
        <v>31</v>
      </c>
      <c r="AG51">
        <v>0</v>
      </c>
      <c r="AH51" t="s">
        <v>31</v>
      </c>
      <c r="AI51">
        <v>0</v>
      </c>
      <c r="AJ51" t="s">
        <v>31</v>
      </c>
      <c r="AK51">
        <v>0</v>
      </c>
      <c r="AL51" t="s">
        <v>31</v>
      </c>
      <c r="AM51">
        <v>0</v>
      </c>
      <c r="AN51" t="s">
        <v>31</v>
      </c>
      <c r="AO51">
        <v>0</v>
      </c>
      <c r="AP51" t="s">
        <v>31</v>
      </c>
      <c r="AQ51">
        <v>0</v>
      </c>
    </row>
    <row r="52" spans="1:43" x14ac:dyDescent="0.2">
      <c r="A52" t="s">
        <v>381</v>
      </c>
      <c r="B52" s="3">
        <v>44315</v>
      </c>
      <c r="C52">
        <v>81</v>
      </c>
      <c r="D52" t="s">
        <v>385</v>
      </c>
      <c r="E52" t="s">
        <v>24</v>
      </c>
      <c r="F52" s="9" t="s">
        <v>25</v>
      </c>
      <c r="G52" t="s">
        <v>26</v>
      </c>
      <c r="H52" t="s">
        <v>27</v>
      </c>
      <c r="I52" t="s">
        <v>28</v>
      </c>
      <c r="J52" t="s">
        <v>43</v>
      </c>
      <c r="K52" t="s">
        <v>44</v>
      </c>
      <c r="L52" t="s">
        <v>29</v>
      </c>
      <c r="M52" t="s">
        <v>30</v>
      </c>
      <c r="N52" t="s">
        <v>27</v>
      </c>
      <c r="O52" t="s">
        <v>28</v>
      </c>
      <c r="P52" t="s">
        <v>43</v>
      </c>
      <c r="Q52" t="s">
        <v>44</v>
      </c>
      <c r="R52" s="1">
        <v>44315.549629629626</v>
      </c>
      <c r="S52" s="1">
        <v>44315.591782407406</v>
      </c>
      <c r="T52">
        <v>0</v>
      </c>
      <c r="U52">
        <v>0</v>
      </c>
      <c r="V52" s="2">
        <v>0</v>
      </c>
      <c r="W52">
        <v>0</v>
      </c>
      <c r="X52" t="s">
        <v>37</v>
      </c>
      <c r="Y52">
        <v>0</v>
      </c>
      <c r="Z52" t="s">
        <v>37</v>
      </c>
      <c r="AA52">
        <v>0</v>
      </c>
      <c r="AB52" t="s">
        <v>31</v>
      </c>
      <c r="AC52">
        <v>0</v>
      </c>
      <c r="AD52" t="s">
        <v>31</v>
      </c>
      <c r="AE52">
        <v>0</v>
      </c>
      <c r="AF52" t="s">
        <v>31</v>
      </c>
      <c r="AG52">
        <v>0</v>
      </c>
      <c r="AH52" t="s">
        <v>31</v>
      </c>
      <c r="AI52">
        <v>0</v>
      </c>
      <c r="AJ52" t="s">
        <v>31</v>
      </c>
      <c r="AK52">
        <v>0</v>
      </c>
      <c r="AL52" t="s">
        <v>31</v>
      </c>
      <c r="AM52">
        <v>0</v>
      </c>
      <c r="AN52" t="s">
        <v>31</v>
      </c>
      <c r="AO52">
        <v>0</v>
      </c>
      <c r="AP52" t="s">
        <v>31</v>
      </c>
      <c r="AQ52">
        <v>0</v>
      </c>
    </row>
    <row r="53" spans="1:43" x14ac:dyDescent="0.2">
      <c r="A53" t="s">
        <v>381</v>
      </c>
      <c r="B53" s="3">
        <v>44316</v>
      </c>
      <c r="C53">
        <v>82</v>
      </c>
      <c r="D53" t="s">
        <v>389</v>
      </c>
      <c r="E53" t="s">
        <v>24</v>
      </c>
      <c r="F53" s="9" t="s">
        <v>25</v>
      </c>
      <c r="G53" t="s">
        <v>26</v>
      </c>
      <c r="H53" t="s">
        <v>27</v>
      </c>
      <c r="I53" t="s">
        <v>28</v>
      </c>
      <c r="J53" t="s">
        <v>43</v>
      </c>
      <c r="K53" t="s">
        <v>44</v>
      </c>
      <c r="L53" t="s">
        <v>29</v>
      </c>
      <c r="M53" t="s">
        <v>30</v>
      </c>
      <c r="N53" t="s">
        <v>27</v>
      </c>
      <c r="O53" t="s">
        <v>28</v>
      </c>
      <c r="P53" t="s">
        <v>43</v>
      </c>
      <c r="Q53" t="s">
        <v>44</v>
      </c>
      <c r="R53" s="1">
        <v>44316.406273148146</v>
      </c>
      <c r="S53" s="1">
        <v>44316.434270833335</v>
      </c>
      <c r="T53">
        <v>0</v>
      </c>
      <c r="U53">
        <v>1</v>
      </c>
      <c r="V53" s="2">
        <v>0</v>
      </c>
      <c r="W53">
        <v>0</v>
      </c>
      <c r="X53" t="s">
        <v>37</v>
      </c>
      <c r="Y53">
        <v>0</v>
      </c>
      <c r="Z53" t="s">
        <v>37</v>
      </c>
      <c r="AA53">
        <v>0</v>
      </c>
      <c r="AB53" t="s">
        <v>37</v>
      </c>
      <c r="AC53">
        <v>0</v>
      </c>
      <c r="AD53" t="s">
        <v>44</v>
      </c>
      <c r="AE53">
        <v>0</v>
      </c>
      <c r="AF53" t="s">
        <v>31</v>
      </c>
      <c r="AG53">
        <v>0</v>
      </c>
      <c r="AH53" t="s">
        <v>31</v>
      </c>
      <c r="AI53">
        <v>0</v>
      </c>
      <c r="AJ53" t="s">
        <v>31</v>
      </c>
      <c r="AK53">
        <v>0</v>
      </c>
      <c r="AL53" t="s">
        <v>31</v>
      </c>
      <c r="AM53">
        <v>0</v>
      </c>
      <c r="AN53" t="s">
        <v>31</v>
      </c>
      <c r="AO53">
        <v>0</v>
      </c>
      <c r="AP53" t="s">
        <v>31</v>
      </c>
      <c r="AQ53">
        <v>0</v>
      </c>
    </row>
    <row r="54" spans="1:43" x14ac:dyDescent="0.2">
      <c r="A54" t="s">
        <v>381</v>
      </c>
      <c r="B54" s="3">
        <v>44316</v>
      </c>
      <c r="C54">
        <v>83</v>
      </c>
      <c r="D54" t="s">
        <v>387</v>
      </c>
      <c r="E54" t="s">
        <v>24</v>
      </c>
      <c r="F54" s="9" t="s">
        <v>25</v>
      </c>
      <c r="G54" t="s">
        <v>26</v>
      </c>
      <c r="H54" t="s">
        <v>27</v>
      </c>
      <c r="I54" t="s">
        <v>28</v>
      </c>
      <c r="J54" t="s">
        <v>43</v>
      </c>
      <c r="K54" t="s">
        <v>44</v>
      </c>
      <c r="L54" t="s">
        <v>29</v>
      </c>
      <c r="M54" t="s">
        <v>30</v>
      </c>
      <c r="N54" t="s">
        <v>27</v>
      </c>
      <c r="O54" t="s">
        <v>28</v>
      </c>
      <c r="P54" t="s">
        <v>43</v>
      </c>
      <c r="Q54" t="s">
        <v>44</v>
      </c>
      <c r="R54" s="1">
        <v>44316.627013888887</v>
      </c>
      <c r="S54" s="1">
        <v>44316.627118055556</v>
      </c>
      <c r="T54">
        <v>0</v>
      </c>
      <c r="U54">
        <v>0</v>
      </c>
      <c r="V54" s="2">
        <v>0</v>
      </c>
      <c r="W54">
        <v>0</v>
      </c>
      <c r="X54" t="s">
        <v>37</v>
      </c>
      <c r="Y54">
        <v>0</v>
      </c>
      <c r="Z54" t="s">
        <v>37</v>
      </c>
      <c r="AA54">
        <v>0</v>
      </c>
      <c r="AB54" t="s">
        <v>31</v>
      </c>
      <c r="AC54">
        <v>0</v>
      </c>
      <c r="AD54" t="s">
        <v>31</v>
      </c>
      <c r="AE54">
        <v>0</v>
      </c>
      <c r="AF54" t="s">
        <v>31</v>
      </c>
      <c r="AG54">
        <v>0</v>
      </c>
      <c r="AH54" t="s">
        <v>31</v>
      </c>
      <c r="AI54">
        <v>0</v>
      </c>
      <c r="AJ54" t="s">
        <v>31</v>
      </c>
      <c r="AK54">
        <v>0</v>
      </c>
      <c r="AL54" t="s">
        <v>31</v>
      </c>
      <c r="AM54">
        <v>0</v>
      </c>
      <c r="AN54" t="s">
        <v>31</v>
      </c>
      <c r="AO54">
        <v>0</v>
      </c>
      <c r="AP54" t="s">
        <v>31</v>
      </c>
      <c r="AQ54">
        <v>0</v>
      </c>
    </row>
    <row r="55" spans="1:43" x14ac:dyDescent="0.2">
      <c r="A55" t="s">
        <v>381</v>
      </c>
      <c r="B55" s="3">
        <v>44319</v>
      </c>
      <c r="C55">
        <v>84</v>
      </c>
      <c r="D55" t="s">
        <v>390</v>
      </c>
      <c r="E55" t="s">
        <v>24</v>
      </c>
      <c r="F55" s="9" t="s">
        <v>25</v>
      </c>
      <c r="G55" t="s">
        <v>26</v>
      </c>
      <c r="H55" t="s">
        <v>27</v>
      </c>
      <c r="I55" t="s">
        <v>28</v>
      </c>
      <c r="J55" t="s">
        <v>43</v>
      </c>
      <c r="K55" t="s">
        <v>44</v>
      </c>
      <c r="L55" t="s">
        <v>29</v>
      </c>
      <c r="M55" t="s">
        <v>30</v>
      </c>
      <c r="N55" t="s">
        <v>27</v>
      </c>
      <c r="O55" t="s">
        <v>28</v>
      </c>
      <c r="P55" t="s">
        <v>43</v>
      </c>
      <c r="Q55" t="s">
        <v>44</v>
      </c>
      <c r="R55" s="1">
        <v>44319.45045138889</v>
      </c>
      <c r="S55" s="1">
        <v>44319.45045138889</v>
      </c>
      <c r="T55">
        <v>0</v>
      </c>
      <c r="U55">
        <v>0</v>
      </c>
      <c r="V55" s="2">
        <v>0</v>
      </c>
      <c r="W55">
        <v>0</v>
      </c>
      <c r="X55" t="s">
        <v>37</v>
      </c>
      <c r="Y55">
        <v>0</v>
      </c>
      <c r="Z55" t="s">
        <v>31</v>
      </c>
      <c r="AA55">
        <v>0</v>
      </c>
      <c r="AB55" t="s">
        <v>31</v>
      </c>
      <c r="AC55">
        <v>0</v>
      </c>
      <c r="AD55" t="s">
        <v>31</v>
      </c>
      <c r="AE55">
        <v>0</v>
      </c>
      <c r="AF55" t="s">
        <v>31</v>
      </c>
      <c r="AG55">
        <v>0</v>
      </c>
      <c r="AH55" t="s">
        <v>31</v>
      </c>
      <c r="AI55">
        <v>0</v>
      </c>
      <c r="AJ55" t="s">
        <v>31</v>
      </c>
      <c r="AK55">
        <v>0</v>
      </c>
      <c r="AL55" t="s">
        <v>31</v>
      </c>
      <c r="AM55">
        <v>0</v>
      </c>
      <c r="AN55" t="s">
        <v>31</v>
      </c>
      <c r="AO55">
        <v>0</v>
      </c>
      <c r="AP55" t="s">
        <v>31</v>
      </c>
      <c r="AQ55">
        <v>0</v>
      </c>
    </row>
    <row r="56" spans="1:43" x14ac:dyDescent="0.2">
      <c r="A56" t="s">
        <v>381</v>
      </c>
      <c r="B56" s="3">
        <v>44320</v>
      </c>
      <c r="C56">
        <v>87</v>
      </c>
      <c r="D56" t="s">
        <v>385</v>
      </c>
      <c r="E56" t="s">
        <v>24</v>
      </c>
      <c r="F56" s="9" t="s">
        <v>25</v>
      </c>
      <c r="G56" t="s">
        <v>26</v>
      </c>
      <c r="H56" t="s">
        <v>27</v>
      </c>
      <c r="I56" t="s">
        <v>28</v>
      </c>
      <c r="J56" t="s">
        <v>43</v>
      </c>
      <c r="K56" t="s">
        <v>44</v>
      </c>
      <c r="L56" t="s">
        <v>29</v>
      </c>
      <c r="M56" t="s">
        <v>30</v>
      </c>
      <c r="N56" t="s">
        <v>27</v>
      </c>
      <c r="O56" t="s">
        <v>28</v>
      </c>
      <c r="P56" t="s">
        <v>43</v>
      </c>
      <c r="Q56" t="s">
        <v>44</v>
      </c>
      <c r="R56" s="1">
        <v>44320.550775462965</v>
      </c>
      <c r="S56" s="1">
        <v>44320.599247685182</v>
      </c>
      <c r="T56">
        <v>0</v>
      </c>
      <c r="U56">
        <v>0</v>
      </c>
      <c r="V56" s="2">
        <v>0</v>
      </c>
      <c r="W56">
        <v>0</v>
      </c>
      <c r="X56" t="s">
        <v>37</v>
      </c>
      <c r="Y56">
        <v>0</v>
      </c>
      <c r="Z56" t="s">
        <v>37</v>
      </c>
      <c r="AA56">
        <v>0</v>
      </c>
      <c r="AB56" t="s">
        <v>37</v>
      </c>
      <c r="AC56">
        <v>0</v>
      </c>
      <c r="AD56" t="s">
        <v>31</v>
      </c>
      <c r="AE56">
        <v>0</v>
      </c>
      <c r="AF56" t="s">
        <v>31</v>
      </c>
      <c r="AG56">
        <v>0</v>
      </c>
      <c r="AH56" t="s">
        <v>31</v>
      </c>
      <c r="AI56">
        <v>0</v>
      </c>
      <c r="AJ56" t="s">
        <v>31</v>
      </c>
      <c r="AK56">
        <v>0</v>
      </c>
      <c r="AL56" t="s">
        <v>31</v>
      </c>
      <c r="AM56">
        <v>0</v>
      </c>
      <c r="AN56" t="s">
        <v>31</v>
      </c>
      <c r="AO56">
        <v>0</v>
      </c>
      <c r="AP56" t="s">
        <v>31</v>
      </c>
      <c r="AQ56">
        <v>0</v>
      </c>
    </row>
    <row r="57" spans="1:43" x14ac:dyDescent="0.2">
      <c r="A57" t="s">
        <v>381</v>
      </c>
      <c r="B57" s="3">
        <v>44321</v>
      </c>
      <c r="C57">
        <v>89</v>
      </c>
      <c r="D57" t="s">
        <v>387</v>
      </c>
      <c r="E57" t="s">
        <v>24</v>
      </c>
      <c r="F57" s="9" t="s">
        <v>25</v>
      </c>
      <c r="G57" t="s">
        <v>26</v>
      </c>
      <c r="H57" t="s">
        <v>27</v>
      </c>
      <c r="I57" t="s">
        <v>28</v>
      </c>
      <c r="J57" t="s">
        <v>43</v>
      </c>
      <c r="K57" t="s">
        <v>44</v>
      </c>
      <c r="L57" t="s">
        <v>29</v>
      </c>
      <c r="M57" t="s">
        <v>30</v>
      </c>
      <c r="N57" t="s">
        <v>27</v>
      </c>
      <c r="O57" t="s">
        <v>28</v>
      </c>
      <c r="P57" t="s">
        <v>43</v>
      </c>
      <c r="Q57" t="s">
        <v>44</v>
      </c>
      <c r="R57" s="1">
        <v>44321.641863425924</v>
      </c>
      <c r="S57" s="1">
        <v>44321.642013888886</v>
      </c>
      <c r="T57">
        <v>0</v>
      </c>
      <c r="U57">
        <v>0</v>
      </c>
      <c r="V57" s="2">
        <v>0</v>
      </c>
      <c r="W57">
        <v>0</v>
      </c>
      <c r="X57" t="s">
        <v>37</v>
      </c>
      <c r="Y57">
        <v>0</v>
      </c>
      <c r="Z57" t="s">
        <v>37</v>
      </c>
      <c r="AA57">
        <v>0</v>
      </c>
      <c r="AB57" t="s">
        <v>37</v>
      </c>
      <c r="AC57">
        <v>0</v>
      </c>
      <c r="AD57" t="s">
        <v>37</v>
      </c>
      <c r="AE57">
        <v>0</v>
      </c>
      <c r="AF57" t="s">
        <v>31</v>
      </c>
      <c r="AG57">
        <v>0</v>
      </c>
      <c r="AH57" t="s">
        <v>31</v>
      </c>
      <c r="AI57">
        <v>0</v>
      </c>
      <c r="AJ57" t="s">
        <v>31</v>
      </c>
      <c r="AK57">
        <v>0</v>
      </c>
      <c r="AL57" t="s">
        <v>31</v>
      </c>
      <c r="AM57">
        <v>0</v>
      </c>
      <c r="AN57" t="s">
        <v>31</v>
      </c>
      <c r="AO57">
        <v>0</v>
      </c>
      <c r="AP57" t="s">
        <v>31</v>
      </c>
      <c r="AQ57">
        <v>0</v>
      </c>
    </row>
    <row r="58" spans="1:43" x14ac:dyDescent="0.2">
      <c r="A58" t="s">
        <v>381</v>
      </c>
      <c r="B58" s="3">
        <v>44323</v>
      </c>
      <c r="C58">
        <v>91</v>
      </c>
      <c r="D58" t="s">
        <v>391</v>
      </c>
      <c r="E58" t="s">
        <v>24</v>
      </c>
      <c r="F58" s="9" t="s">
        <v>25</v>
      </c>
      <c r="G58" t="s">
        <v>26</v>
      </c>
      <c r="H58" t="s">
        <v>27</v>
      </c>
      <c r="I58" t="s">
        <v>28</v>
      </c>
      <c r="J58" t="s">
        <v>43</v>
      </c>
      <c r="K58" t="s">
        <v>44</v>
      </c>
      <c r="L58" t="s">
        <v>29</v>
      </c>
      <c r="M58" t="s">
        <v>30</v>
      </c>
      <c r="N58" t="s">
        <v>27</v>
      </c>
      <c r="O58" t="s">
        <v>28</v>
      </c>
      <c r="P58" t="s">
        <v>43</v>
      </c>
      <c r="Q58" t="s">
        <v>44</v>
      </c>
      <c r="R58" s="1">
        <v>44323.564131944448</v>
      </c>
      <c r="S58" s="1">
        <v>44323.564131944448</v>
      </c>
      <c r="T58">
        <v>1</v>
      </c>
      <c r="U58">
        <v>1</v>
      </c>
      <c r="V58" s="2">
        <v>1</v>
      </c>
      <c r="W58">
        <v>0</v>
      </c>
      <c r="X58" t="s">
        <v>30</v>
      </c>
      <c r="Y58">
        <v>0</v>
      </c>
      <c r="Z58" t="s">
        <v>31</v>
      </c>
      <c r="AA58">
        <v>0</v>
      </c>
      <c r="AB58" t="s">
        <v>31</v>
      </c>
      <c r="AC58">
        <v>0</v>
      </c>
      <c r="AD58" t="s">
        <v>31</v>
      </c>
      <c r="AE58">
        <v>0</v>
      </c>
      <c r="AF58" t="s">
        <v>31</v>
      </c>
      <c r="AG58">
        <v>0</v>
      </c>
      <c r="AH58" t="s">
        <v>31</v>
      </c>
      <c r="AI58">
        <v>0</v>
      </c>
      <c r="AJ58" t="s">
        <v>31</v>
      </c>
      <c r="AK58">
        <v>0</v>
      </c>
      <c r="AL58" t="s">
        <v>31</v>
      </c>
      <c r="AM58">
        <v>0</v>
      </c>
      <c r="AN58" t="s">
        <v>31</v>
      </c>
      <c r="AO58">
        <v>0</v>
      </c>
      <c r="AP58" t="s">
        <v>31</v>
      </c>
      <c r="AQ58">
        <v>0</v>
      </c>
    </row>
    <row r="59" spans="1:43" x14ac:dyDescent="0.2">
      <c r="A59" t="s">
        <v>381</v>
      </c>
      <c r="B59" s="3">
        <v>44326</v>
      </c>
      <c r="C59">
        <v>92</v>
      </c>
      <c r="D59" t="s">
        <v>390</v>
      </c>
      <c r="E59" t="s">
        <v>24</v>
      </c>
      <c r="F59" s="9" t="s">
        <v>25</v>
      </c>
      <c r="G59" t="s">
        <v>26</v>
      </c>
      <c r="H59" t="s">
        <v>27</v>
      </c>
      <c r="I59" t="s">
        <v>28</v>
      </c>
      <c r="J59" t="s">
        <v>43</v>
      </c>
      <c r="K59" t="s">
        <v>44</v>
      </c>
      <c r="L59" t="s">
        <v>29</v>
      </c>
      <c r="M59" t="s">
        <v>30</v>
      </c>
      <c r="N59" t="s">
        <v>27</v>
      </c>
      <c r="O59" t="s">
        <v>28</v>
      </c>
      <c r="P59" t="s">
        <v>43</v>
      </c>
      <c r="Q59" t="s">
        <v>44</v>
      </c>
      <c r="R59" s="1">
        <v>44326.462581018517</v>
      </c>
      <c r="S59" s="1">
        <v>44326.462581018517</v>
      </c>
      <c r="T59">
        <v>0</v>
      </c>
      <c r="U59">
        <v>0</v>
      </c>
      <c r="V59" s="2">
        <v>0</v>
      </c>
      <c r="W59">
        <v>0</v>
      </c>
      <c r="X59" t="s">
        <v>37</v>
      </c>
      <c r="Y59">
        <v>0</v>
      </c>
      <c r="Z59" t="s">
        <v>31</v>
      </c>
      <c r="AA59">
        <v>0</v>
      </c>
      <c r="AB59" t="s">
        <v>31</v>
      </c>
      <c r="AC59">
        <v>0</v>
      </c>
      <c r="AD59" t="s">
        <v>31</v>
      </c>
      <c r="AE59">
        <v>0</v>
      </c>
      <c r="AF59" t="s">
        <v>31</v>
      </c>
      <c r="AG59">
        <v>0</v>
      </c>
      <c r="AH59" t="s">
        <v>31</v>
      </c>
      <c r="AI59">
        <v>0</v>
      </c>
      <c r="AJ59" t="s">
        <v>31</v>
      </c>
      <c r="AK59">
        <v>0</v>
      </c>
      <c r="AL59" t="s">
        <v>31</v>
      </c>
      <c r="AM59">
        <v>0</v>
      </c>
      <c r="AN59" t="s">
        <v>31</v>
      </c>
      <c r="AO59">
        <v>0</v>
      </c>
      <c r="AP59" t="s">
        <v>31</v>
      </c>
      <c r="AQ59">
        <v>0</v>
      </c>
    </row>
    <row r="60" spans="1:43" x14ac:dyDescent="0.2">
      <c r="A60" t="s">
        <v>381</v>
      </c>
      <c r="B60" s="3">
        <v>44327</v>
      </c>
      <c r="C60">
        <v>95</v>
      </c>
      <c r="D60" t="s">
        <v>384</v>
      </c>
      <c r="E60" t="s">
        <v>24</v>
      </c>
      <c r="F60" s="9" t="s">
        <v>25</v>
      </c>
      <c r="G60" t="s">
        <v>26</v>
      </c>
      <c r="H60" t="s">
        <v>27</v>
      </c>
      <c r="I60" t="s">
        <v>28</v>
      </c>
      <c r="J60" t="s">
        <v>43</v>
      </c>
      <c r="K60" t="s">
        <v>44</v>
      </c>
      <c r="L60" t="s">
        <v>29</v>
      </c>
      <c r="M60" t="s">
        <v>30</v>
      </c>
      <c r="N60" t="s">
        <v>27</v>
      </c>
      <c r="O60" t="s">
        <v>28</v>
      </c>
      <c r="P60" t="s">
        <v>43</v>
      </c>
      <c r="Q60" t="s">
        <v>44</v>
      </c>
      <c r="R60" s="1">
        <v>44327.493379629632</v>
      </c>
      <c r="S60" s="1">
        <v>44327.493391203701</v>
      </c>
      <c r="T60">
        <v>0</v>
      </c>
      <c r="U60">
        <v>0</v>
      </c>
      <c r="V60" s="2">
        <v>0</v>
      </c>
      <c r="W60">
        <v>0</v>
      </c>
      <c r="X60" t="s">
        <v>37</v>
      </c>
      <c r="Y60">
        <v>0</v>
      </c>
      <c r="Z60" t="s">
        <v>37</v>
      </c>
      <c r="AA60">
        <v>0</v>
      </c>
      <c r="AB60" t="s">
        <v>31</v>
      </c>
      <c r="AC60">
        <v>0</v>
      </c>
      <c r="AD60" t="s">
        <v>31</v>
      </c>
      <c r="AE60">
        <v>0</v>
      </c>
      <c r="AF60" t="s">
        <v>31</v>
      </c>
      <c r="AG60">
        <v>0</v>
      </c>
      <c r="AH60" t="s">
        <v>31</v>
      </c>
      <c r="AI60">
        <v>0</v>
      </c>
      <c r="AJ60" t="s">
        <v>31</v>
      </c>
      <c r="AK60">
        <v>0</v>
      </c>
      <c r="AL60" t="s">
        <v>31</v>
      </c>
      <c r="AM60">
        <v>0</v>
      </c>
      <c r="AN60" t="s">
        <v>31</v>
      </c>
      <c r="AO60">
        <v>0</v>
      </c>
      <c r="AP60" t="s">
        <v>31</v>
      </c>
      <c r="AQ60">
        <v>0</v>
      </c>
    </row>
    <row r="61" spans="1:43" x14ac:dyDescent="0.2">
      <c r="A61" t="s">
        <v>381</v>
      </c>
      <c r="B61" s="3">
        <v>44328</v>
      </c>
      <c r="C61">
        <v>97</v>
      </c>
      <c r="D61" t="s">
        <v>387</v>
      </c>
      <c r="E61" t="s">
        <v>24</v>
      </c>
      <c r="F61" s="9" t="s">
        <v>25</v>
      </c>
      <c r="G61" t="s">
        <v>26</v>
      </c>
      <c r="H61" t="s">
        <v>27</v>
      </c>
      <c r="I61" t="s">
        <v>28</v>
      </c>
      <c r="J61" t="s">
        <v>43</v>
      </c>
      <c r="K61" t="s">
        <v>44</v>
      </c>
      <c r="L61" t="s">
        <v>29</v>
      </c>
      <c r="M61" t="s">
        <v>30</v>
      </c>
      <c r="N61" t="s">
        <v>27</v>
      </c>
      <c r="O61" t="s">
        <v>28</v>
      </c>
      <c r="P61" t="s">
        <v>43</v>
      </c>
      <c r="Q61" t="s">
        <v>44</v>
      </c>
      <c r="R61" s="1">
        <v>44328.645844907405</v>
      </c>
      <c r="S61" s="1">
        <v>44328.646516203706</v>
      </c>
      <c r="T61">
        <v>0</v>
      </c>
      <c r="U61">
        <v>3</v>
      </c>
      <c r="V61" s="2">
        <v>0</v>
      </c>
      <c r="W61">
        <v>0</v>
      </c>
      <c r="X61" t="s">
        <v>47</v>
      </c>
      <c r="Y61">
        <v>0</v>
      </c>
      <c r="Z61" t="s">
        <v>47</v>
      </c>
      <c r="AA61">
        <v>0</v>
      </c>
      <c r="AB61" t="s">
        <v>47</v>
      </c>
      <c r="AC61">
        <v>0</v>
      </c>
      <c r="AD61" t="s">
        <v>31</v>
      </c>
      <c r="AE61">
        <v>0</v>
      </c>
      <c r="AF61" t="s">
        <v>31</v>
      </c>
      <c r="AG61">
        <v>0</v>
      </c>
      <c r="AH61" t="s">
        <v>31</v>
      </c>
      <c r="AI61">
        <v>0</v>
      </c>
      <c r="AJ61" t="s">
        <v>31</v>
      </c>
      <c r="AK61">
        <v>0</v>
      </c>
      <c r="AL61" t="s">
        <v>31</v>
      </c>
      <c r="AM61">
        <v>0</v>
      </c>
      <c r="AN61" t="s">
        <v>31</v>
      </c>
      <c r="AO61">
        <v>0</v>
      </c>
      <c r="AP61" t="s">
        <v>31</v>
      </c>
      <c r="AQ61">
        <v>0</v>
      </c>
    </row>
    <row r="62" spans="1:43" x14ac:dyDescent="0.2">
      <c r="A62" t="s">
        <v>381</v>
      </c>
      <c r="B62" s="3">
        <v>44334</v>
      </c>
      <c r="C62">
        <v>99</v>
      </c>
      <c r="D62" t="s">
        <v>385</v>
      </c>
      <c r="E62" t="s">
        <v>24</v>
      </c>
      <c r="F62" s="9" t="s">
        <v>25</v>
      </c>
      <c r="G62" t="s">
        <v>26</v>
      </c>
      <c r="H62" t="s">
        <v>27</v>
      </c>
      <c r="I62" t="s">
        <v>28</v>
      </c>
      <c r="J62" t="s">
        <v>43</v>
      </c>
      <c r="K62" t="s">
        <v>44</v>
      </c>
      <c r="L62" t="s">
        <v>29</v>
      </c>
      <c r="M62" t="s">
        <v>30</v>
      </c>
      <c r="N62" t="s">
        <v>27</v>
      </c>
      <c r="O62" t="s">
        <v>28</v>
      </c>
      <c r="P62" t="s">
        <v>43</v>
      </c>
      <c r="Q62" t="s">
        <v>44</v>
      </c>
      <c r="R62" s="1">
        <v>44334.594965277778</v>
      </c>
      <c r="S62" s="1">
        <v>44334.609074074076</v>
      </c>
      <c r="T62">
        <v>0</v>
      </c>
      <c r="U62">
        <v>0</v>
      </c>
      <c r="V62" s="2">
        <v>0</v>
      </c>
      <c r="W62">
        <v>0</v>
      </c>
      <c r="X62" t="s">
        <v>37</v>
      </c>
      <c r="Y62">
        <v>0</v>
      </c>
      <c r="Z62" t="s">
        <v>37</v>
      </c>
      <c r="AA62">
        <v>0</v>
      </c>
      <c r="AB62" t="s">
        <v>31</v>
      </c>
      <c r="AC62">
        <v>0</v>
      </c>
      <c r="AD62" t="s">
        <v>31</v>
      </c>
      <c r="AE62">
        <v>0</v>
      </c>
      <c r="AF62" t="s">
        <v>31</v>
      </c>
      <c r="AG62">
        <v>0</v>
      </c>
      <c r="AH62" t="s">
        <v>31</v>
      </c>
      <c r="AI62">
        <v>0</v>
      </c>
      <c r="AJ62" t="s">
        <v>31</v>
      </c>
      <c r="AK62">
        <v>0</v>
      </c>
      <c r="AL62" t="s">
        <v>31</v>
      </c>
      <c r="AM62">
        <v>0</v>
      </c>
      <c r="AN62" t="s">
        <v>31</v>
      </c>
      <c r="AO62">
        <v>0</v>
      </c>
      <c r="AP62" t="s">
        <v>31</v>
      </c>
      <c r="AQ62">
        <v>0</v>
      </c>
    </row>
    <row r="63" spans="1:43" x14ac:dyDescent="0.2">
      <c r="A63" t="s">
        <v>381</v>
      </c>
      <c r="B63" s="3">
        <v>44336</v>
      </c>
      <c r="C63">
        <v>102</v>
      </c>
      <c r="D63" t="s">
        <v>383</v>
      </c>
      <c r="E63" t="s">
        <v>24</v>
      </c>
      <c r="F63" s="9" t="s">
        <v>25</v>
      </c>
      <c r="G63" t="s">
        <v>26</v>
      </c>
      <c r="H63" t="s">
        <v>27</v>
      </c>
      <c r="I63" t="s">
        <v>28</v>
      </c>
      <c r="J63" t="s">
        <v>43</v>
      </c>
      <c r="K63" t="s">
        <v>44</v>
      </c>
      <c r="L63" t="s">
        <v>29</v>
      </c>
      <c r="M63" t="s">
        <v>30</v>
      </c>
      <c r="N63" t="s">
        <v>27</v>
      </c>
      <c r="O63" t="s">
        <v>28</v>
      </c>
      <c r="P63" t="s">
        <v>43</v>
      </c>
      <c r="Q63" t="s">
        <v>44</v>
      </c>
      <c r="R63" s="1">
        <v>44336.401064814818</v>
      </c>
      <c r="S63" s="1">
        <v>44336.484756944446</v>
      </c>
      <c r="T63">
        <v>0</v>
      </c>
      <c r="U63">
        <v>0</v>
      </c>
      <c r="V63" s="2">
        <v>0</v>
      </c>
      <c r="W63">
        <v>0</v>
      </c>
      <c r="X63" t="s">
        <v>37</v>
      </c>
      <c r="Y63">
        <v>0</v>
      </c>
      <c r="Z63" t="s">
        <v>37</v>
      </c>
      <c r="AA63">
        <v>0</v>
      </c>
      <c r="AB63" t="s">
        <v>37</v>
      </c>
      <c r="AC63">
        <v>0</v>
      </c>
      <c r="AD63" t="s">
        <v>37</v>
      </c>
      <c r="AE63">
        <v>0</v>
      </c>
      <c r="AF63" t="s">
        <v>31</v>
      </c>
      <c r="AG63">
        <v>0</v>
      </c>
      <c r="AH63" t="s">
        <v>31</v>
      </c>
      <c r="AI63">
        <v>0</v>
      </c>
      <c r="AJ63" t="s">
        <v>31</v>
      </c>
      <c r="AK63">
        <v>0</v>
      </c>
      <c r="AL63" t="s">
        <v>31</v>
      </c>
      <c r="AM63">
        <v>0</v>
      </c>
      <c r="AN63" t="s">
        <v>31</v>
      </c>
      <c r="AO63">
        <v>0</v>
      </c>
      <c r="AP63" t="s">
        <v>31</v>
      </c>
      <c r="AQ63">
        <v>0</v>
      </c>
    </row>
    <row r="64" spans="1:43" x14ac:dyDescent="0.2">
      <c r="A64" t="s">
        <v>381</v>
      </c>
      <c r="B64" s="3">
        <v>44336</v>
      </c>
      <c r="C64">
        <v>103</v>
      </c>
      <c r="D64" t="s">
        <v>385</v>
      </c>
      <c r="E64" t="s">
        <v>24</v>
      </c>
      <c r="F64" s="9" t="s">
        <v>25</v>
      </c>
      <c r="G64" t="s">
        <v>26</v>
      </c>
      <c r="H64" t="s">
        <v>27</v>
      </c>
      <c r="I64" t="s">
        <v>28</v>
      </c>
      <c r="J64" t="s">
        <v>43</v>
      </c>
      <c r="K64" t="s">
        <v>44</v>
      </c>
      <c r="L64" t="s">
        <v>29</v>
      </c>
      <c r="M64" t="s">
        <v>30</v>
      </c>
      <c r="N64" t="s">
        <v>27</v>
      </c>
      <c r="O64" t="s">
        <v>28</v>
      </c>
      <c r="P64" t="s">
        <v>43</v>
      </c>
      <c r="Q64" t="s">
        <v>44</v>
      </c>
      <c r="R64" s="1">
        <v>44336.551296296297</v>
      </c>
      <c r="S64" s="1">
        <v>44336.621527777781</v>
      </c>
      <c r="T64">
        <v>0</v>
      </c>
      <c r="U64">
        <v>0</v>
      </c>
      <c r="V64" s="2">
        <v>0</v>
      </c>
      <c r="W64">
        <v>0</v>
      </c>
      <c r="X64" t="s">
        <v>37</v>
      </c>
      <c r="Y64">
        <v>0</v>
      </c>
      <c r="Z64" t="s">
        <v>37</v>
      </c>
      <c r="AA64">
        <v>0</v>
      </c>
      <c r="AB64" t="s">
        <v>37</v>
      </c>
      <c r="AC64">
        <v>0</v>
      </c>
      <c r="AD64" t="s">
        <v>37</v>
      </c>
      <c r="AE64">
        <v>0</v>
      </c>
      <c r="AF64" t="s">
        <v>37</v>
      </c>
      <c r="AG64">
        <v>0</v>
      </c>
      <c r="AH64" t="s">
        <v>31</v>
      </c>
      <c r="AI64">
        <v>0</v>
      </c>
      <c r="AJ64" t="s">
        <v>31</v>
      </c>
      <c r="AK64">
        <v>0</v>
      </c>
      <c r="AL64" t="s">
        <v>31</v>
      </c>
      <c r="AM64">
        <v>0</v>
      </c>
      <c r="AN64" t="s">
        <v>31</v>
      </c>
      <c r="AO64">
        <v>0</v>
      </c>
      <c r="AP64" t="s">
        <v>31</v>
      </c>
      <c r="AQ64">
        <v>0</v>
      </c>
    </row>
    <row r="65" spans="1:43" x14ac:dyDescent="0.2">
      <c r="A65" t="s">
        <v>381</v>
      </c>
      <c r="B65" s="3">
        <v>44337</v>
      </c>
      <c r="C65">
        <v>104</v>
      </c>
      <c r="D65" t="s">
        <v>390</v>
      </c>
      <c r="E65" t="s">
        <v>24</v>
      </c>
      <c r="F65" s="9" t="s">
        <v>25</v>
      </c>
      <c r="G65" t="s">
        <v>26</v>
      </c>
      <c r="H65" t="s">
        <v>27</v>
      </c>
      <c r="I65" t="s">
        <v>28</v>
      </c>
      <c r="J65" t="s">
        <v>43</v>
      </c>
      <c r="K65" t="s">
        <v>44</v>
      </c>
      <c r="L65" t="s">
        <v>29</v>
      </c>
      <c r="M65" t="s">
        <v>30</v>
      </c>
      <c r="N65" t="s">
        <v>27</v>
      </c>
      <c r="O65" t="s">
        <v>28</v>
      </c>
      <c r="P65" t="s">
        <v>43</v>
      </c>
      <c r="Q65" t="s">
        <v>44</v>
      </c>
      <c r="R65" s="1">
        <v>44337.438159722224</v>
      </c>
      <c r="S65" s="1">
        <v>44337.438159722224</v>
      </c>
      <c r="T65">
        <v>0</v>
      </c>
      <c r="U65">
        <v>0</v>
      </c>
      <c r="V65" s="2">
        <v>0</v>
      </c>
      <c r="W65">
        <v>0</v>
      </c>
      <c r="X65" t="s">
        <v>37</v>
      </c>
      <c r="Y65">
        <v>0</v>
      </c>
      <c r="Z65" t="s">
        <v>31</v>
      </c>
      <c r="AA65">
        <v>0</v>
      </c>
      <c r="AB65" t="s">
        <v>31</v>
      </c>
      <c r="AC65">
        <v>0</v>
      </c>
      <c r="AD65" t="s">
        <v>31</v>
      </c>
      <c r="AE65">
        <v>0</v>
      </c>
      <c r="AF65" t="s">
        <v>31</v>
      </c>
      <c r="AG65">
        <v>0</v>
      </c>
      <c r="AH65" t="s">
        <v>31</v>
      </c>
      <c r="AI65">
        <v>0</v>
      </c>
      <c r="AJ65" t="s">
        <v>31</v>
      </c>
      <c r="AK65">
        <v>0</v>
      </c>
      <c r="AL65" t="s">
        <v>31</v>
      </c>
      <c r="AM65">
        <v>0</v>
      </c>
      <c r="AN65" t="s">
        <v>31</v>
      </c>
      <c r="AO65">
        <v>0</v>
      </c>
      <c r="AP65" t="s">
        <v>31</v>
      </c>
      <c r="AQ65">
        <v>0</v>
      </c>
    </row>
    <row r="66" spans="1:43" x14ac:dyDescent="0.2">
      <c r="A66" t="s">
        <v>381</v>
      </c>
      <c r="B66" s="3">
        <v>44338</v>
      </c>
      <c r="C66">
        <v>107</v>
      </c>
      <c r="D66" t="s">
        <v>392</v>
      </c>
      <c r="E66" t="s">
        <v>24</v>
      </c>
      <c r="F66" s="9" t="s">
        <v>25</v>
      </c>
      <c r="G66" t="s">
        <v>26</v>
      </c>
      <c r="H66" t="s">
        <v>27</v>
      </c>
      <c r="I66" t="s">
        <v>28</v>
      </c>
      <c r="J66" t="s">
        <v>43</v>
      </c>
      <c r="K66" t="s">
        <v>44</v>
      </c>
      <c r="L66" t="s">
        <v>29</v>
      </c>
      <c r="M66" t="s">
        <v>30</v>
      </c>
      <c r="N66" t="s">
        <v>27</v>
      </c>
      <c r="O66" t="s">
        <v>28</v>
      </c>
      <c r="P66" t="s">
        <v>43</v>
      </c>
      <c r="Q66" t="s">
        <v>44</v>
      </c>
      <c r="R66" s="1">
        <v>44338.623414351852</v>
      </c>
      <c r="S66" s="1">
        <v>44338.623414351852</v>
      </c>
      <c r="T66">
        <v>0</v>
      </c>
      <c r="U66">
        <v>0</v>
      </c>
      <c r="V66" s="2">
        <v>0</v>
      </c>
      <c r="W66">
        <v>0</v>
      </c>
      <c r="X66" t="s">
        <v>37</v>
      </c>
      <c r="Y66">
        <v>0</v>
      </c>
      <c r="Z66" t="s">
        <v>31</v>
      </c>
      <c r="AA66">
        <v>0</v>
      </c>
      <c r="AB66" t="s">
        <v>31</v>
      </c>
      <c r="AC66">
        <v>0</v>
      </c>
      <c r="AD66" t="s">
        <v>31</v>
      </c>
      <c r="AE66">
        <v>0</v>
      </c>
      <c r="AF66" t="s">
        <v>31</v>
      </c>
      <c r="AG66">
        <v>0</v>
      </c>
      <c r="AH66" t="s">
        <v>31</v>
      </c>
      <c r="AI66">
        <v>0</v>
      </c>
      <c r="AJ66" t="s">
        <v>31</v>
      </c>
      <c r="AK66">
        <v>0</v>
      </c>
      <c r="AL66" t="s">
        <v>31</v>
      </c>
      <c r="AM66">
        <v>0</v>
      </c>
      <c r="AN66" t="s">
        <v>31</v>
      </c>
      <c r="AO66">
        <v>0</v>
      </c>
      <c r="AP66" t="s">
        <v>31</v>
      </c>
      <c r="AQ66">
        <v>0</v>
      </c>
    </row>
    <row r="67" spans="1:43" x14ac:dyDescent="0.2">
      <c r="A67" t="s">
        <v>381</v>
      </c>
      <c r="B67" s="3">
        <v>44340</v>
      </c>
      <c r="C67">
        <v>108</v>
      </c>
      <c r="D67" t="s">
        <v>393</v>
      </c>
      <c r="E67" t="s">
        <v>24</v>
      </c>
      <c r="F67" s="9" t="s">
        <v>25</v>
      </c>
      <c r="G67" t="s">
        <v>26</v>
      </c>
      <c r="H67" t="s">
        <v>27</v>
      </c>
      <c r="I67" t="s">
        <v>28</v>
      </c>
      <c r="J67" t="s">
        <v>43</v>
      </c>
      <c r="K67" t="s">
        <v>44</v>
      </c>
      <c r="L67" t="s">
        <v>29</v>
      </c>
      <c r="M67" t="s">
        <v>30</v>
      </c>
      <c r="N67" t="s">
        <v>27</v>
      </c>
      <c r="O67" t="s">
        <v>28</v>
      </c>
      <c r="P67" t="s">
        <v>43</v>
      </c>
      <c r="Q67" t="s">
        <v>44</v>
      </c>
      <c r="R67" s="1">
        <v>44340.500717592593</v>
      </c>
      <c r="S67" s="1">
        <v>44340.500717592593</v>
      </c>
      <c r="T67">
        <v>0</v>
      </c>
      <c r="U67">
        <v>0</v>
      </c>
      <c r="V67" s="2">
        <v>0</v>
      </c>
      <c r="W67">
        <v>0</v>
      </c>
      <c r="X67" t="s">
        <v>37</v>
      </c>
      <c r="Y67">
        <v>0</v>
      </c>
      <c r="Z67" t="s">
        <v>37</v>
      </c>
      <c r="AA67">
        <v>0</v>
      </c>
      <c r="AB67" t="s">
        <v>37</v>
      </c>
      <c r="AC67">
        <v>0</v>
      </c>
      <c r="AD67" t="s">
        <v>31</v>
      </c>
      <c r="AE67">
        <v>0</v>
      </c>
      <c r="AF67" t="s">
        <v>31</v>
      </c>
      <c r="AG67">
        <v>0</v>
      </c>
      <c r="AH67" t="s">
        <v>31</v>
      </c>
      <c r="AI67">
        <v>0</v>
      </c>
      <c r="AJ67" t="s">
        <v>31</v>
      </c>
      <c r="AK67">
        <v>0</v>
      </c>
      <c r="AL67" t="s">
        <v>31</v>
      </c>
      <c r="AM67">
        <v>0</v>
      </c>
      <c r="AN67" t="s">
        <v>31</v>
      </c>
      <c r="AO67">
        <v>0</v>
      </c>
      <c r="AP67" t="s">
        <v>31</v>
      </c>
      <c r="AQ67">
        <v>0</v>
      </c>
    </row>
    <row r="68" spans="1:43" x14ac:dyDescent="0.2">
      <c r="A68" t="s">
        <v>381</v>
      </c>
      <c r="B68" s="3">
        <v>44341</v>
      </c>
      <c r="C68">
        <v>111</v>
      </c>
      <c r="D68" t="s">
        <v>385</v>
      </c>
      <c r="E68" t="s">
        <v>24</v>
      </c>
      <c r="F68" s="9" t="s">
        <v>25</v>
      </c>
      <c r="G68" t="s">
        <v>26</v>
      </c>
      <c r="H68" t="s">
        <v>27</v>
      </c>
      <c r="I68" t="s">
        <v>28</v>
      </c>
      <c r="J68" t="s">
        <v>43</v>
      </c>
      <c r="K68" t="s">
        <v>44</v>
      </c>
      <c r="L68" t="s">
        <v>29</v>
      </c>
      <c r="M68" t="s">
        <v>30</v>
      </c>
      <c r="N68" t="s">
        <v>27</v>
      </c>
      <c r="O68" t="s">
        <v>28</v>
      </c>
      <c r="P68" t="s">
        <v>43</v>
      </c>
      <c r="Q68" t="s">
        <v>44</v>
      </c>
      <c r="R68" s="1">
        <v>44341.609120370369</v>
      </c>
      <c r="S68" s="1">
        <v>44341.642638888887</v>
      </c>
      <c r="T68">
        <v>0</v>
      </c>
      <c r="U68">
        <v>0</v>
      </c>
      <c r="V68" s="2">
        <v>0</v>
      </c>
      <c r="W68">
        <v>0</v>
      </c>
      <c r="X68" t="s">
        <v>37</v>
      </c>
      <c r="Y68">
        <v>0</v>
      </c>
      <c r="Z68" t="s">
        <v>37</v>
      </c>
      <c r="AA68">
        <v>0</v>
      </c>
      <c r="AB68" t="s">
        <v>37</v>
      </c>
      <c r="AC68">
        <v>0</v>
      </c>
      <c r="AD68" t="s">
        <v>37</v>
      </c>
      <c r="AE68">
        <v>0</v>
      </c>
      <c r="AF68" t="s">
        <v>37</v>
      </c>
      <c r="AG68">
        <v>0</v>
      </c>
      <c r="AH68" t="s">
        <v>37</v>
      </c>
      <c r="AI68">
        <v>0</v>
      </c>
      <c r="AJ68" t="s">
        <v>31</v>
      </c>
      <c r="AK68">
        <v>0</v>
      </c>
      <c r="AL68" t="s">
        <v>31</v>
      </c>
      <c r="AM68">
        <v>0</v>
      </c>
      <c r="AN68" t="s">
        <v>31</v>
      </c>
      <c r="AO68">
        <v>0</v>
      </c>
      <c r="AP68" t="s">
        <v>31</v>
      </c>
      <c r="AQ68">
        <v>0</v>
      </c>
    </row>
    <row r="69" spans="1:43" x14ac:dyDescent="0.2">
      <c r="A69" t="s">
        <v>381</v>
      </c>
      <c r="B69" s="3">
        <v>44342</v>
      </c>
      <c r="C69">
        <v>112</v>
      </c>
      <c r="D69" t="s">
        <v>394</v>
      </c>
      <c r="E69" t="s">
        <v>24</v>
      </c>
      <c r="F69" s="9" t="s">
        <v>25</v>
      </c>
      <c r="G69" t="s">
        <v>26</v>
      </c>
      <c r="H69" t="s">
        <v>27</v>
      </c>
      <c r="I69" t="s">
        <v>28</v>
      </c>
      <c r="J69" t="s">
        <v>43</v>
      </c>
      <c r="K69" t="s">
        <v>44</v>
      </c>
      <c r="L69" t="s">
        <v>29</v>
      </c>
      <c r="M69" t="s">
        <v>30</v>
      </c>
      <c r="N69" t="s">
        <v>27</v>
      </c>
      <c r="O69" t="s">
        <v>28</v>
      </c>
      <c r="P69" t="s">
        <v>43</v>
      </c>
      <c r="Q69" t="s">
        <v>44</v>
      </c>
      <c r="R69" s="1">
        <v>44342.452025462961</v>
      </c>
      <c r="S69" s="1">
        <v>44342.452025462961</v>
      </c>
      <c r="T69">
        <v>0</v>
      </c>
      <c r="U69">
        <v>0</v>
      </c>
      <c r="V69" s="2">
        <v>0</v>
      </c>
      <c r="W69">
        <v>0</v>
      </c>
      <c r="X69" t="s">
        <v>37</v>
      </c>
      <c r="Y69">
        <v>0</v>
      </c>
      <c r="Z69" t="s">
        <v>31</v>
      </c>
      <c r="AA69">
        <v>0</v>
      </c>
      <c r="AB69" t="s">
        <v>31</v>
      </c>
      <c r="AC69">
        <v>0</v>
      </c>
      <c r="AD69" t="s">
        <v>31</v>
      </c>
      <c r="AE69">
        <v>0</v>
      </c>
      <c r="AF69" t="s">
        <v>31</v>
      </c>
      <c r="AG69">
        <v>0</v>
      </c>
      <c r="AH69" t="s">
        <v>31</v>
      </c>
      <c r="AI69">
        <v>0</v>
      </c>
      <c r="AJ69" t="s">
        <v>31</v>
      </c>
      <c r="AK69">
        <v>0</v>
      </c>
      <c r="AL69" t="s">
        <v>31</v>
      </c>
      <c r="AM69">
        <v>0</v>
      </c>
      <c r="AN69" t="s">
        <v>31</v>
      </c>
      <c r="AO69">
        <v>0</v>
      </c>
      <c r="AP69" t="s">
        <v>31</v>
      </c>
      <c r="AQ69">
        <v>0</v>
      </c>
    </row>
    <row r="70" spans="1:43" x14ac:dyDescent="0.2">
      <c r="A70" t="s">
        <v>381</v>
      </c>
      <c r="B70" s="3">
        <v>44342</v>
      </c>
      <c r="C70">
        <v>113</v>
      </c>
      <c r="D70" t="s">
        <v>383</v>
      </c>
      <c r="E70" t="s">
        <v>24</v>
      </c>
      <c r="F70" s="9" t="s">
        <v>25</v>
      </c>
      <c r="G70" t="s">
        <v>26</v>
      </c>
      <c r="H70" t="s">
        <v>27</v>
      </c>
      <c r="I70" t="s">
        <v>28</v>
      </c>
      <c r="J70" t="s">
        <v>43</v>
      </c>
      <c r="K70" t="s">
        <v>44</v>
      </c>
      <c r="L70" t="s">
        <v>29</v>
      </c>
      <c r="M70" t="s">
        <v>30</v>
      </c>
      <c r="N70" t="s">
        <v>27</v>
      </c>
      <c r="O70" t="s">
        <v>28</v>
      </c>
      <c r="P70" t="s">
        <v>43</v>
      </c>
      <c r="Q70" t="s">
        <v>44</v>
      </c>
      <c r="R70" s="1">
        <v>44342.543113425927</v>
      </c>
      <c r="S70" s="1">
        <v>44342.543113425927</v>
      </c>
      <c r="T70">
        <v>0</v>
      </c>
      <c r="U70">
        <v>0</v>
      </c>
      <c r="V70" s="2">
        <v>0</v>
      </c>
      <c r="W70">
        <v>0</v>
      </c>
      <c r="X70" t="s">
        <v>37</v>
      </c>
      <c r="Y70">
        <v>0</v>
      </c>
      <c r="Z70" t="s">
        <v>31</v>
      </c>
      <c r="AA70">
        <v>0</v>
      </c>
      <c r="AB70" t="s">
        <v>31</v>
      </c>
      <c r="AC70">
        <v>0</v>
      </c>
      <c r="AD70" t="s">
        <v>31</v>
      </c>
      <c r="AE70">
        <v>0</v>
      </c>
      <c r="AF70" t="s">
        <v>31</v>
      </c>
      <c r="AG70">
        <v>0</v>
      </c>
      <c r="AH70" t="s">
        <v>31</v>
      </c>
      <c r="AI70">
        <v>0</v>
      </c>
      <c r="AJ70" t="s">
        <v>31</v>
      </c>
      <c r="AK70">
        <v>0</v>
      </c>
      <c r="AL70" t="s">
        <v>31</v>
      </c>
      <c r="AM70">
        <v>0</v>
      </c>
      <c r="AN70" t="s">
        <v>31</v>
      </c>
      <c r="AO70">
        <v>0</v>
      </c>
      <c r="AP70" t="s">
        <v>31</v>
      </c>
      <c r="AQ70">
        <v>0</v>
      </c>
    </row>
    <row r="71" spans="1:43" x14ac:dyDescent="0.2">
      <c r="A71" t="s">
        <v>381</v>
      </c>
      <c r="B71" s="3">
        <v>44343</v>
      </c>
      <c r="C71">
        <v>115</v>
      </c>
      <c r="D71" t="s">
        <v>395</v>
      </c>
      <c r="E71" t="s">
        <v>24</v>
      </c>
      <c r="F71" s="9" t="s">
        <v>25</v>
      </c>
      <c r="G71" t="s">
        <v>26</v>
      </c>
      <c r="H71" t="s">
        <v>27</v>
      </c>
      <c r="I71" t="s">
        <v>28</v>
      </c>
      <c r="J71" t="s">
        <v>43</v>
      </c>
      <c r="K71" t="s">
        <v>44</v>
      </c>
      <c r="L71" t="s">
        <v>29</v>
      </c>
      <c r="M71" t="s">
        <v>30</v>
      </c>
      <c r="N71" t="s">
        <v>27</v>
      </c>
      <c r="O71" t="s">
        <v>28</v>
      </c>
      <c r="P71" t="s">
        <v>43</v>
      </c>
      <c r="Q71" t="s">
        <v>44</v>
      </c>
      <c r="R71" s="1">
        <v>44343.484826388885</v>
      </c>
      <c r="S71" s="1">
        <v>44343.484930555554</v>
      </c>
      <c r="T71">
        <v>0</v>
      </c>
      <c r="U71">
        <v>0</v>
      </c>
      <c r="V71" s="2">
        <v>0</v>
      </c>
      <c r="W71">
        <v>0</v>
      </c>
      <c r="X71" t="s">
        <v>37</v>
      </c>
      <c r="Y71">
        <v>0</v>
      </c>
      <c r="Z71" t="s">
        <v>37</v>
      </c>
      <c r="AA71">
        <v>0</v>
      </c>
      <c r="AB71" t="s">
        <v>31</v>
      </c>
      <c r="AC71">
        <v>0</v>
      </c>
      <c r="AD71" t="s">
        <v>31</v>
      </c>
      <c r="AE71">
        <v>0</v>
      </c>
      <c r="AF71" t="s">
        <v>31</v>
      </c>
      <c r="AG71">
        <v>0</v>
      </c>
      <c r="AH71" t="s">
        <v>31</v>
      </c>
      <c r="AI71">
        <v>0</v>
      </c>
      <c r="AJ71" t="s">
        <v>31</v>
      </c>
      <c r="AK71">
        <v>0</v>
      </c>
      <c r="AL71" t="s">
        <v>31</v>
      </c>
      <c r="AM71">
        <v>0</v>
      </c>
      <c r="AN71" t="s">
        <v>31</v>
      </c>
      <c r="AO71">
        <v>0</v>
      </c>
      <c r="AP71" t="s">
        <v>31</v>
      </c>
      <c r="AQ71">
        <v>0</v>
      </c>
    </row>
    <row r="72" spans="1:43" x14ac:dyDescent="0.2">
      <c r="A72" t="s">
        <v>381</v>
      </c>
      <c r="B72" s="3">
        <v>44344</v>
      </c>
      <c r="C72">
        <v>116</v>
      </c>
      <c r="D72" t="s">
        <v>390</v>
      </c>
      <c r="E72" t="s">
        <v>24</v>
      </c>
      <c r="F72" s="9" t="s">
        <v>25</v>
      </c>
      <c r="G72" t="s">
        <v>26</v>
      </c>
      <c r="H72" t="s">
        <v>27</v>
      </c>
      <c r="I72" t="s">
        <v>28</v>
      </c>
      <c r="J72" t="s">
        <v>43</v>
      </c>
      <c r="K72" t="s">
        <v>44</v>
      </c>
      <c r="L72" t="s">
        <v>29</v>
      </c>
      <c r="M72" t="s">
        <v>30</v>
      </c>
      <c r="N72" t="s">
        <v>27</v>
      </c>
      <c r="O72" t="s">
        <v>28</v>
      </c>
      <c r="P72" t="s">
        <v>43</v>
      </c>
      <c r="Q72" t="s">
        <v>44</v>
      </c>
      <c r="R72" s="1">
        <v>44344.447337962964</v>
      </c>
      <c r="S72" s="1">
        <v>44344.447337962964</v>
      </c>
      <c r="T72">
        <v>0</v>
      </c>
      <c r="U72">
        <v>0</v>
      </c>
      <c r="V72" s="2">
        <v>0</v>
      </c>
      <c r="W72">
        <v>0</v>
      </c>
      <c r="X72" t="s">
        <v>37</v>
      </c>
      <c r="Y72">
        <v>0</v>
      </c>
      <c r="Z72" t="s">
        <v>31</v>
      </c>
      <c r="AA72">
        <v>0</v>
      </c>
      <c r="AB72" t="s">
        <v>31</v>
      </c>
      <c r="AC72">
        <v>0</v>
      </c>
      <c r="AD72" t="s">
        <v>31</v>
      </c>
      <c r="AE72">
        <v>0</v>
      </c>
      <c r="AF72" t="s">
        <v>31</v>
      </c>
      <c r="AG72">
        <v>0</v>
      </c>
      <c r="AH72" t="s">
        <v>31</v>
      </c>
      <c r="AI72">
        <v>0</v>
      </c>
      <c r="AJ72" t="s">
        <v>31</v>
      </c>
      <c r="AK72">
        <v>0</v>
      </c>
      <c r="AL72" t="s">
        <v>31</v>
      </c>
      <c r="AM72">
        <v>0</v>
      </c>
      <c r="AN72" t="s">
        <v>31</v>
      </c>
      <c r="AO72">
        <v>0</v>
      </c>
      <c r="AP72" t="s">
        <v>31</v>
      </c>
      <c r="AQ72">
        <v>0</v>
      </c>
    </row>
    <row r="73" spans="1:43" x14ac:dyDescent="0.2">
      <c r="A73" t="s">
        <v>381</v>
      </c>
      <c r="B73" s="3">
        <v>44348</v>
      </c>
      <c r="C73">
        <v>118</v>
      </c>
      <c r="D73" t="s">
        <v>396</v>
      </c>
      <c r="E73" t="s">
        <v>24</v>
      </c>
      <c r="F73" s="9" t="s">
        <v>25</v>
      </c>
      <c r="G73" t="s">
        <v>26</v>
      </c>
      <c r="H73" t="s">
        <v>27</v>
      </c>
      <c r="I73" t="s">
        <v>28</v>
      </c>
      <c r="J73" t="s">
        <v>43</v>
      </c>
      <c r="K73" t="s">
        <v>44</v>
      </c>
      <c r="L73" t="s">
        <v>29</v>
      </c>
      <c r="M73" t="s">
        <v>30</v>
      </c>
      <c r="N73" t="s">
        <v>27</v>
      </c>
      <c r="O73" t="s">
        <v>28</v>
      </c>
      <c r="P73" t="s">
        <v>43</v>
      </c>
      <c r="Q73" t="s">
        <v>44</v>
      </c>
      <c r="R73" s="1">
        <v>44348.397569444445</v>
      </c>
      <c r="S73" s="1">
        <v>44348.397569444445</v>
      </c>
      <c r="T73">
        <v>0</v>
      </c>
      <c r="U73">
        <v>0</v>
      </c>
      <c r="V73" s="2">
        <v>0</v>
      </c>
      <c r="W73">
        <v>0</v>
      </c>
      <c r="X73" t="s">
        <v>37</v>
      </c>
      <c r="Y73">
        <v>0</v>
      </c>
      <c r="Z73" t="s">
        <v>31</v>
      </c>
      <c r="AA73">
        <v>0</v>
      </c>
      <c r="AB73" t="s">
        <v>31</v>
      </c>
      <c r="AC73">
        <v>0</v>
      </c>
      <c r="AD73" t="s">
        <v>31</v>
      </c>
      <c r="AE73">
        <v>0</v>
      </c>
      <c r="AF73" t="s">
        <v>31</v>
      </c>
      <c r="AG73">
        <v>0</v>
      </c>
      <c r="AH73" t="s">
        <v>31</v>
      </c>
      <c r="AI73">
        <v>0</v>
      </c>
      <c r="AJ73" t="s">
        <v>31</v>
      </c>
      <c r="AK73">
        <v>0</v>
      </c>
      <c r="AL73" t="s">
        <v>31</v>
      </c>
      <c r="AM73">
        <v>0</v>
      </c>
      <c r="AN73" t="s">
        <v>31</v>
      </c>
      <c r="AO73">
        <v>0</v>
      </c>
      <c r="AP73" t="s">
        <v>31</v>
      </c>
      <c r="AQ73">
        <v>0</v>
      </c>
    </row>
    <row r="74" spans="1:43" x14ac:dyDescent="0.2">
      <c r="A74" t="s">
        <v>381</v>
      </c>
      <c r="B74" s="3">
        <v>44348</v>
      </c>
      <c r="C74">
        <v>119</v>
      </c>
      <c r="D74" t="s">
        <v>385</v>
      </c>
      <c r="E74" t="s">
        <v>24</v>
      </c>
      <c r="F74" s="9" t="s">
        <v>25</v>
      </c>
      <c r="G74" t="s">
        <v>26</v>
      </c>
      <c r="H74" t="s">
        <v>27</v>
      </c>
      <c r="I74" t="s">
        <v>28</v>
      </c>
      <c r="J74" t="s">
        <v>43</v>
      </c>
      <c r="K74" t="s">
        <v>44</v>
      </c>
      <c r="L74" t="s">
        <v>29</v>
      </c>
      <c r="M74" t="s">
        <v>30</v>
      </c>
      <c r="N74" t="s">
        <v>27</v>
      </c>
      <c r="O74" t="s">
        <v>28</v>
      </c>
      <c r="P74" t="s">
        <v>43</v>
      </c>
      <c r="Q74" t="s">
        <v>44</v>
      </c>
      <c r="R74" s="1">
        <v>44348.627604166664</v>
      </c>
      <c r="S74" s="1">
        <v>44348.627604166664</v>
      </c>
      <c r="T74">
        <v>0</v>
      </c>
      <c r="U74">
        <v>0</v>
      </c>
      <c r="V74" s="2">
        <v>0</v>
      </c>
      <c r="W74">
        <v>0</v>
      </c>
      <c r="X74" t="s">
        <v>37</v>
      </c>
      <c r="Y74">
        <v>0</v>
      </c>
      <c r="Z74" t="s">
        <v>31</v>
      </c>
      <c r="AA74">
        <v>0</v>
      </c>
      <c r="AB74" t="s">
        <v>31</v>
      </c>
      <c r="AC74">
        <v>0</v>
      </c>
      <c r="AD74" t="s">
        <v>31</v>
      </c>
      <c r="AE74">
        <v>0</v>
      </c>
      <c r="AF74" t="s">
        <v>31</v>
      </c>
      <c r="AG74">
        <v>0</v>
      </c>
      <c r="AH74" t="s">
        <v>31</v>
      </c>
      <c r="AI74">
        <v>0</v>
      </c>
      <c r="AJ74" t="s">
        <v>31</v>
      </c>
      <c r="AK74">
        <v>0</v>
      </c>
      <c r="AL74" t="s">
        <v>31</v>
      </c>
      <c r="AM74">
        <v>0</v>
      </c>
      <c r="AN74" t="s">
        <v>31</v>
      </c>
      <c r="AO74">
        <v>0</v>
      </c>
      <c r="AP74" t="s">
        <v>31</v>
      </c>
      <c r="AQ74">
        <v>0</v>
      </c>
    </row>
    <row r="75" spans="1:43" x14ac:dyDescent="0.2">
      <c r="A75" t="s">
        <v>381</v>
      </c>
      <c r="B75" s="3">
        <v>44349</v>
      </c>
      <c r="C75">
        <v>121</v>
      </c>
      <c r="D75" t="s">
        <v>385</v>
      </c>
      <c r="E75" t="s">
        <v>24</v>
      </c>
      <c r="F75" s="9" t="s">
        <v>25</v>
      </c>
      <c r="G75" t="s">
        <v>26</v>
      </c>
      <c r="H75" t="s">
        <v>27</v>
      </c>
      <c r="I75" t="s">
        <v>28</v>
      </c>
      <c r="J75" t="s">
        <v>43</v>
      </c>
      <c r="K75" t="s">
        <v>44</v>
      </c>
      <c r="L75" t="s">
        <v>29</v>
      </c>
      <c r="M75" t="s">
        <v>30</v>
      </c>
      <c r="N75" t="s">
        <v>27</v>
      </c>
      <c r="O75" t="s">
        <v>28</v>
      </c>
      <c r="P75" t="s">
        <v>43</v>
      </c>
      <c r="Q75" t="s">
        <v>44</v>
      </c>
      <c r="R75" s="1">
        <v>44349.578622685185</v>
      </c>
      <c r="S75" s="1">
        <v>44349.591053240743</v>
      </c>
      <c r="T75">
        <v>0</v>
      </c>
      <c r="U75">
        <v>0</v>
      </c>
      <c r="V75" s="2">
        <v>0</v>
      </c>
      <c r="W75">
        <v>0</v>
      </c>
      <c r="X75" t="s">
        <v>37</v>
      </c>
      <c r="Y75">
        <v>0</v>
      </c>
      <c r="Z75" t="s">
        <v>37</v>
      </c>
      <c r="AA75">
        <v>0</v>
      </c>
      <c r="AB75" t="s">
        <v>31</v>
      </c>
      <c r="AC75">
        <v>0</v>
      </c>
      <c r="AD75" t="s">
        <v>31</v>
      </c>
      <c r="AE75">
        <v>0</v>
      </c>
      <c r="AF75" t="s">
        <v>31</v>
      </c>
      <c r="AG75">
        <v>0</v>
      </c>
      <c r="AH75" t="s">
        <v>31</v>
      </c>
      <c r="AI75">
        <v>0</v>
      </c>
      <c r="AJ75" t="s">
        <v>31</v>
      </c>
      <c r="AK75">
        <v>0</v>
      </c>
      <c r="AL75" t="s">
        <v>31</v>
      </c>
      <c r="AM75">
        <v>0</v>
      </c>
      <c r="AN75" t="s">
        <v>31</v>
      </c>
      <c r="AO75">
        <v>0</v>
      </c>
      <c r="AP75" t="s">
        <v>31</v>
      </c>
      <c r="AQ75">
        <v>0</v>
      </c>
    </row>
    <row r="76" spans="1:43" x14ac:dyDescent="0.2">
      <c r="A76" t="s">
        <v>381</v>
      </c>
      <c r="B76" s="3">
        <v>44350</v>
      </c>
      <c r="C76">
        <v>123</v>
      </c>
      <c r="D76" t="s">
        <v>382</v>
      </c>
      <c r="E76" t="s">
        <v>24</v>
      </c>
      <c r="F76" s="9" t="s">
        <v>25</v>
      </c>
      <c r="G76" t="s">
        <v>26</v>
      </c>
      <c r="H76" t="s">
        <v>27</v>
      </c>
      <c r="I76" t="s">
        <v>28</v>
      </c>
      <c r="J76" t="s">
        <v>43</v>
      </c>
      <c r="K76" t="s">
        <v>44</v>
      </c>
      <c r="L76" t="s">
        <v>29</v>
      </c>
      <c r="M76" t="s">
        <v>30</v>
      </c>
      <c r="N76" t="s">
        <v>27</v>
      </c>
      <c r="O76" t="s">
        <v>28</v>
      </c>
      <c r="P76" t="s">
        <v>43</v>
      </c>
      <c r="Q76" t="s">
        <v>44</v>
      </c>
      <c r="R76" s="1">
        <v>44350.37604166667</v>
      </c>
      <c r="S76" s="1">
        <v>44350.417696759258</v>
      </c>
      <c r="T76">
        <v>0</v>
      </c>
      <c r="U76">
        <v>0</v>
      </c>
      <c r="V76" s="2">
        <v>0</v>
      </c>
      <c r="W76">
        <v>0</v>
      </c>
      <c r="X76" t="s">
        <v>37</v>
      </c>
      <c r="Y76">
        <v>0</v>
      </c>
      <c r="Z76" t="s">
        <v>37</v>
      </c>
      <c r="AA76">
        <v>0</v>
      </c>
      <c r="AB76" t="s">
        <v>37</v>
      </c>
      <c r="AC76">
        <v>0</v>
      </c>
      <c r="AD76" t="s">
        <v>31</v>
      </c>
      <c r="AE76">
        <v>0</v>
      </c>
      <c r="AF76" t="s">
        <v>31</v>
      </c>
      <c r="AG76">
        <v>0</v>
      </c>
      <c r="AH76" t="s">
        <v>31</v>
      </c>
      <c r="AI76">
        <v>0</v>
      </c>
      <c r="AJ76" t="s">
        <v>31</v>
      </c>
      <c r="AK76">
        <v>0</v>
      </c>
      <c r="AL76" t="s">
        <v>31</v>
      </c>
      <c r="AM76">
        <v>0</v>
      </c>
      <c r="AN76" t="s">
        <v>31</v>
      </c>
      <c r="AO76">
        <v>0</v>
      </c>
      <c r="AP76" t="s">
        <v>31</v>
      </c>
      <c r="AQ76">
        <v>0</v>
      </c>
    </row>
    <row r="77" spans="1:43" x14ac:dyDescent="0.2">
      <c r="A77" t="s">
        <v>381</v>
      </c>
      <c r="B77" s="3">
        <v>44351</v>
      </c>
      <c r="C77">
        <v>124</v>
      </c>
      <c r="D77" t="s">
        <v>390</v>
      </c>
      <c r="E77" t="s">
        <v>24</v>
      </c>
      <c r="F77" s="9" t="s">
        <v>25</v>
      </c>
      <c r="G77" t="s">
        <v>26</v>
      </c>
      <c r="H77" t="s">
        <v>27</v>
      </c>
      <c r="I77" t="s">
        <v>28</v>
      </c>
      <c r="J77" t="s">
        <v>43</v>
      </c>
      <c r="K77" t="s">
        <v>44</v>
      </c>
      <c r="L77" t="s">
        <v>29</v>
      </c>
      <c r="M77" t="s">
        <v>30</v>
      </c>
      <c r="N77" t="s">
        <v>27</v>
      </c>
      <c r="O77" t="s">
        <v>28</v>
      </c>
      <c r="P77" t="s">
        <v>43</v>
      </c>
      <c r="Q77" t="s">
        <v>44</v>
      </c>
      <c r="R77" s="1">
        <v>44351.442233796297</v>
      </c>
      <c r="S77" s="1">
        <v>44351.442233796297</v>
      </c>
      <c r="T77">
        <v>1</v>
      </c>
      <c r="U77">
        <v>1</v>
      </c>
      <c r="V77" s="2">
        <v>1</v>
      </c>
      <c r="W77">
        <v>0</v>
      </c>
      <c r="X77" t="s">
        <v>30</v>
      </c>
      <c r="Y77">
        <v>0</v>
      </c>
      <c r="Z77" t="s">
        <v>31</v>
      </c>
      <c r="AA77">
        <v>0</v>
      </c>
      <c r="AB77" t="s">
        <v>31</v>
      </c>
      <c r="AC77">
        <v>0</v>
      </c>
      <c r="AD77" t="s">
        <v>31</v>
      </c>
      <c r="AE77">
        <v>0</v>
      </c>
      <c r="AF77" t="s">
        <v>31</v>
      </c>
      <c r="AG77">
        <v>0</v>
      </c>
      <c r="AH77" t="s">
        <v>31</v>
      </c>
      <c r="AI77">
        <v>0</v>
      </c>
      <c r="AJ77" t="s">
        <v>31</v>
      </c>
      <c r="AK77">
        <v>0</v>
      </c>
      <c r="AL77" t="s">
        <v>31</v>
      </c>
      <c r="AM77">
        <v>0</v>
      </c>
      <c r="AN77" t="s">
        <v>31</v>
      </c>
      <c r="AO77">
        <v>0</v>
      </c>
      <c r="AP77" t="s">
        <v>31</v>
      </c>
      <c r="AQ77">
        <v>0</v>
      </c>
    </row>
    <row r="78" spans="1:43" x14ac:dyDescent="0.2">
      <c r="A78" t="s">
        <v>381</v>
      </c>
      <c r="B78" s="3">
        <v>44351</v>
      </c>
      <c r="C78">
        <v>125</v>
      </c>
      <c r="D78" t="s">
        <v>387</v>
      </c>
      <c r="E78" t="s">
        <v>24</v>
      </c>
      <c r="F78" s="9" t="s">
        <v>25</v>
      </c>
      <c r="G78" t="s">
        <v>26</v>
      </c>
      <c r="H78" t="s">
        <v>27</v>
      </c>
      <c r="I78" t="s">
        <v>28</v>
      </c>
      <c r="J78" t="s">
        <v>43</v>
      </c>
      <c r="K78" t="s">
        <v>44</v>
      </c>
      <c r="L78" t="s">
        <v>29</v>
      </c>
      <c r="M78" t="s">
        <v>30</v>
      </c>
      <c r="N78" t="s">
        <v>27</v>
      </c>
      <c r="O78" t="s">
        <v>28</v>
      </c>
      <c r="P78" t="s">
        <v>43</v>
      </c>
      <c r="Q78" t="s">
        <v>44</v>
      </c>
      <c r="R78" s="1">
        <v>44351.547754629632</v>
      </c>
      <c r="S78" s="1">
        <v>44351.547754629632</v>
      </c>
      <c r="T78">
        <v>0</v>
      </c>
      <c r="U78">
        <v>0</v>
      </c>
      <c r="V78" s="2">
        <v>0</v>
      </c>
      <c r="W78">
        <v>0</v>
      </c>
      <c r="X78" t="s">
        <v>37</v>
      </c>
      <c r="Y78">
        <v>0</v>
      </c>
      <c r="Z78" t="s">
        <v>37</v>
      </c>
      <c r="AA78">
        <v>0</v>
      </c>
      <c r="AB78" t="s">
        <v>37</v>
      </c>
      <c r="AC78">
        <v>0</v>
      </c>
      <c r="AD78" t="s">
        <v>37</v>
      </c>
      <c r="AE78">
        <v>0</v>
      </c>
      <c r="AF78" t="s">
        <v>31</v>
      </c>
      <c r="AG78">
        <v>0</v>
      </c>
      <c r="AH78" t="s">
        <v>31</v>
      </c>
      <c r="AI78">
        <v>0</v>
      </c>
      <c r="AJ78" t="s">
        <v>31</v>
      </c>
      <c r="AK78">
        <v>0</v>
      </c>
      <c r="AL78" t="s">
        <v>31</v>
      </c>
      <c r="AM78">
        <v>0</v>
      </c>
      <c r="AN78" t="s">
        <v>31</v>
      </c>
      <c r="AO78">
        <v>0</v>
      </c>
      <c r="AP78" t="s">
        <v>31</v>
      </c>
      <c r="AQ78">
        <v>0</v>
      </c>
    </row>
    <row r="79" spans="1:43" x14ac:dyDescent="0.2">
      <c r="A79" t="s">
        <v>381</v>
      </c>
      <c r="B79" s="3">
        <v>44354</v>
      </c>
      <c r="C79">
        <v>126</v>
      </c>
      <c r="D79" t="s">
        <v>397</v>
      </c>
      <c r="E79" t="s">
        <v>24</v>
      </c>
      <c r="F79" s="9" t="s">
        <v>25</v>
      </c>
      <c r="G79" t="s">
        <v>26</v>
      </c>
      <c r="H79" t="s">
        <v>27</v>
      </c>
      <c r="I79" t="s">
        <v>28</v>
      </c>
      <c r="J79" t="s">
        <v>43</v>
      </c>
      <c r="K79" t="s">
        <v>44</v>
      </c>
      <c r="L79" t="s">
        <v>29</v>
      </c>
      <c r="M79" t="s">
        <v>30</v>
      </c>
      <c r="N79" t="s">
        <v>27</v>
      </c>
      <c r="O79" t="s">
        <v>28</v>
      </c>
      <c r="P79" t="s">
        <v>43</v>
      </c>
      <c r="Q79" t="s">
        <v>44</v>
      </c>
      <c r="R79" s="1">
        <v>44354.397314814814</v>
      </c>
      <c r="S79" s="1">
        <v>44354.397314814814</v>
      </c>
      <c r="T79">
        <v>0</v>
      </c>
      <c r="U79">
        <v>0</v>
      </c>
      <c r="V79" s="2">
        <v>0</v>
      </c>
      <c r="W79">
        <v>0</v>
      </c>
      <c r="X79" t="s">
        <v>37</v>
      </c>
      <c r="Y79">
        <v>0</v>
      </c>
      <c r="Z79" t="s">
        <v>31</v>
      </c>
      <c r="AA79">
        <v>0</v>
      </c>
      <c r="AB79" t="s">
        <v>31</v>
      </c>
      <c r="AC79">
        <v>0</v>
      </c>
      <c r="AD79" t="s">
        <v>31</v>
      </c>
      <c r="AE79">
        <v>0</v>
      </c>
      <c r="AF79" t="s">
        <v>31</v>
      </c>
      <c r="AG79">
        <v>0</v>
      </c>
      <c r="AH79" t="s">
        <v>31</v>
      </c>
      <c r="AI79">
        <v>0</v>
      </c>
      <c r="AJ79" t="s">
        <v>31</v>
      </c>
      <c r="AK79">
        <v>0</v>
      </c>
      <c r="AL79" t="s">
        <v>31</v>
      </c>
      <c r="AM79">
        <v>0</v>
      </c>
      <c r="AN79" t="s">
        <v>31</v>
      </c>
      <c r="AO79">
        <v>0</v>
      </c>
      <c r="AP79" t="s">
        <v>31</v>
      </c>
      <c r="AQ79">
        <v>0</v>
      </c>
    </row>
    <row r="80" spans="1:43" x14ac:dyDescent="0.2">
      <c r="A80" t="s">
        <v>381</v>
      </c>
      <c r="B80" s="3">
        <v>44354</v>
      </c>
      <c r="C80">
        <v>127</v>
      </c>
      <c r="D80" t="s">
        <v>383</v>
      </c>
      <c r="E80" t="s">
        <v>24</v>
      </c>
      <c r="F80" s="9" t="s">
        <v>25</v>
      </c>
      <c r="G80" t="s">
        <v>26</v>
      </c>
      <c r="H80" t="s">
        <v>27</v>
      </c>
      <c r="I80" t="s">
        <v>28</v>
      </c>
      <c r="J80" t="s">
        <v>43</v>
      </c>
      <c r="K80" t="s">
        <v>44</v>
      </c>
      <c r="L80" t="s">
        <v>29</v>
      </c>
      <c r="M80" t="s">
        <v>30</v>
      </c>
      <c r="N80" t="s">
        <v>27</v>
      </c>
      <c r="O80" t="s">
        <v>28</v>
      </c>
      <c r="P80" t="s">
        <v>43</v>
      </c>
      <c r="Q80" t="s">
        <v>44</v>
      </c>
      <c r="R80" s="1">
        <v>44354.646168981482</v>
      </c>
      <c r="S80" s="1">
        <v>44354.646168981482</v>
      </c>
      <c r="T80">
        <v>0</v>
      </c>
      <c r="U80">
        <v>0</v>
      </c>
      <c r="V80" s="2">
        <v>0</v>
      </c>
      <c r="W80">
        <v>0</v>
      </c>
      <c r="X80" t="s">
        <v>37</v>
      </c>
      <c r="Y80">
        <v>0</v>
      </c>
      <c r="Z80" t="s">
        <v>31</v>
      </c>
      <c r="AA80">
        <v>0</v>
      </c>
      <c r="AB80" t="s">
        <v>31</v>
      </c>
      <c r="AC80">
        <v>0</v>
      </c>
      <c r="AD80" t="s">
        <v>31</v>
      </c>
      <c r="AE80">
        <v>0</v>
      </c>
      <c r="AF80" t="s">
        <v>31</v>
      </c>
      <c r="AG80">
        <v>0</v>
      </c>
      <c r="AH80" t="s">
        <v>31</v>
      </c>
      <c r="AI80">
        <v>0</v>
      </c>
      <c r="AJ80" t="s">
        <v>31</v>
      </c>
      <c r="AK80">
        <v>0</v>
      </c>
      <c r="AL80" t="s">
        <v>31</v>
      </c>
      <c r="AM80">
        <v>0</v>
      </c>
      <c r="AN80" t="s">
        <v>31</v>
      </c>
      <c r="AO80">
        <v>0</v>
      </c>
      <c r="AP80" t="s">
        <v>31</v>
      </c>
      <c r="AQ80">
        <v>0</v>
      </c>
    </row>
    <row r="81" spans="1:43" x14ac:dyDescent="0.2">
      <c r="A81" t="s">
        <v>381</v>
      </c>
      <c r="B81" s="3">
        <v>44355</v>
      </c>
      <c r="C81">
        <v>129</v>
      </c>
      <c r="D81" t="s">
        <v>385</v>
      </c>
      <c r="E81" t="s">
        <v>24</v>
      </c>
      <c r="F81" s="9" t="s">
        <v>25</v>
      </c>
      <c r="G81" t="s">
        <v>26</v>
      </c>
      <c r="H81" t="s">
        <v>27</v>
      </c>
      <c r="I81" t="s">
        <v>28</v>
      </c>
      <c r="J81" t="s">
        <v>43</v>
      </c>
      <c r="K81" t="s">
        <v>44</v>
      </c>
      <c r="L81" t="s">
        <v>29</v>
      </c>
      <c r="M81" t="s">
        <v>30</v>
      </c>
      <c r="N81" t="s">
        <v>27</v>
      </c>
      <c r="O81" t="s">
        <v>28</v>
      </c>
      <c r="P81" t="s">
        <v>43</v>
      </c>
      <c r="Q81" t="s">
        <v>44</v>
      </c>
      <c r="R81" s="1">
        <v>44355.549837962964</v>
      </c>
      <c r="S81" s="1">
        <v>44355.659456018519</v>
      </c>
      <c r="T81">
        <v>0</v>
      </c>
      <c r="U81">
        <v>0</v>
      </c>
      <c r="V81" s="2">
        <v>0</v>
      </c>
      <c r="W81">
        <v>0</v>
      </c>
      <c r="X81" t="s">
        <v>37</v>
      </c>
      <c r="Y81">
        <v>0</v>
      </c>
      <c r="Z81" t="s">
        <v>37</v>
      </c>
      <c r="AA81">
        <v>0</v>
      </c>
      <c r="AB81" t="s">
        <v>37</v>
      </c>
      <c r="AC81">
        <v>0</v>
      </c>
      <c r="AD81" t="s">
        <v>37</v>
      </c>
      <c r="AE81">
        <v>0</v>
      </c>
      <c r="AF81" t="s">
        <v>37</v>
      </c>
      <c r="AG81">
        <v>0</v>
      </c>
      <c r="AH81" t="s">
        <v>31</v>
      </c>
      <c r="AI81">
        <v>0</v>
      </c>
      <c r="AJ81" t="s">
        <v>31</v>
      </c>
      <c r="AK81">
        <v>0</v>
      </c>
      <c r="AL81" t="s">
        <v>31</v>
      </c>
      <c r="AM81">
        <v>0</v>
      </c>
      <c r="AN81" t="s">
        <v>31</v>
      </c>
      <c r="AO81">
        <v>0</v>
      </c>
      <c r="AP81" t="s">
        <v>31</v>
      </c>
      <c r="AQ81">
        <v>0</v>
      </c>
    </row>
    <row r="82" spans="1:43" x14ac:dyDescent="0.2">
      <c r="A82" t="s">
        <v>381</v>
      </c>
      <c r="B82" s="3">
        <v>44356</v>
      </c>
      <c r="C82">
        <v>130</v>
      </c>
      <c r="D82" t="s">
        <v>398</v>
      </c>
      <c r="E82" t="s">
        <v>24</v>
      </c>
      <c r="F82" s="9" t="s">
        <v>25</v>
      </c>
      <c r="G82" t="s">
        <v>26</v>
      </c>
      <c r="H82" t="s">
        <v>27</v>
      </c>
      <c r="I82" t="s">
        <v>28</v>
      </c>
      <c r="J82" t="s">
        <v>43</v>
      </c>
      <c r="K82" t="s">
        <v>44</v>
      </c>
      <c r="L82" t="s">
        <v>29</v>
      </c>
      <c r="M82" t="s">
        <v>30</v>
      </c>
      <c r="N82" t="s">
        <v>27</v>
      </c>
      <c r="O82" t="s">
        <v>28</v>
      </c>
      <c r="P82" t="s">
        <v>43</v>
      </c>
      <c r="Q82" t="s">
        <v>44</v>
      </c>
      <c r="R82" s="1">
        <v>44356.486944444441</v>
      </c>
      <c r="S82" s="1">
        <v>44356.486944444441</v>
      </c>
      <c r="T82">
        <v>0</v>
      </c>
      <c r="U82">
        <v>0</v>
      </c>
      <c r="V82" s="2">
        <v>0</v>
      </c>
      <c r="W82">
        <v>0</v>
      </c>
      <c r="X82" t="s">
        <v>37</v>
      </c>
      <c r="Y82">
        <v>0</v>
      </c>
      <c r="Z82" t="s">
        <v>31</v>
      </c>
      <c r="AA82">
        <v>0</v>
      </c>
      <c r="AB82" t="s">
        <v>31</v>
      </c>
      <c r="AC82">
        <v>0</v>
      </c>
      <c r="AD82" t="s">
        <v>31</v>
      </c>
      <c r="AE82">
        <v>0</v>
      </c>
      <c r="AF82" t="s">
        <v>31</v>
      </c>
      <c r="AG82">
        <v>0</v>
      </c>
      <c r="AH82" t="s">
        <v>31</v>
      </c>
      <c r="AI82">
        <v>0</v>
      </c>
      <c r="AJ82" t="s">
        <v>31</v>
      </c>
      <c r="AK82">
        <v>0</v>
      </c>
      <c r="AL82" t="s">
        <v>31</v>
      </c>
      <c r="AM82">
        <v>0</v>
      </c>
      <c r="AN82" t="s">
        <v>31</v>
      </c>
      <c r="AO82">
        <v>0</v>
      </c>
      <c r="AP82" t="s">
        <v>31</v>
      </c>
      <c r="AQ82">
        <v>0</v>
      </c>
    </row>
    <row r="83" spans="1:43" x14ac:dyDescent="0.2">
      <c r="A83" t="s">
        <v>381</v>
      </c>
      <c r="B83" s="3">
        <v>44356</v>
      </c>
      <c r="C83">
        <v>131</v>
      </c>
      <c r="D83" t="s">
        <v>383</v>
      </c>
      <c r="E83" t="s">
        <v>24</v>
      </c>
      <c r="F83" s="9" t="s">
        <v>25</v>
      </c>
      <c r="G83" t="s">
        <v>26</v>
      </c>
      <c r="H83" t="s">
        <v>27</v>
      </c>
      <c r="I83" t="s">
        <v>28</v>
      </c>
      <c r="J83" t="s">
        <v>43</v>
      </c>
      <c r="K83" t="s">
        <v>44</v>
      </c>
      <c r="L83" t="s">
        <v>29</v>
      </c>
      <c r="M83" t="s">
        <v>30</v>
      </c>
      <c r="N83" t="s">
        <v>27</v>
      </c>
      <c r="O83" t="s">
        <v>28</v>
      </c>
      <c r="P83" t="s">
        <v>43</v>
      </c>
      <c r="Q83" t="s">
        <v>44</v>
      </c>
      <c r="R83" s="1">
        <v>44356.658587962964</v>
      </c>
      <c r="S83" s="1">
        <v>44356.658587962964</v>
      </c>
      <c r="T83">
        <v>0</v>
      </c>
      <c r="U83">
        <v>0</v>
      </c>
      <c r="V83" s="2">
        <v>0</v>
      </c>
      <c r="W83">
        <v>0</v>
      </c>
      <c r="X83" t="s">
        <v>37</v>
      </c>
      <c r="Y83">
        <v>0</v>
      </c>
      <c r="Z83" t="s">
        <v>31</v>
      </c>
      <c r="AA83">
        <v>0</v>
      </c>
      <c r="AB83" t="s">
        <v>31</v>
      </c>
      <c r="AC83">
        <v>0</v>
      </c>
      <c r="AD83" t="s">
        <v>31</v>
      </c>
      <c r="AE83">
        <v>0</v>
      </c>
      <c r="AF83" t="s">
        <v>31</v>
      </c>
      <c r="AG83">
        <v>0</v>
      </c>
      <c r="AH83" t="s">
        <v>31</v>
      </c>
      <c r="AI83">
        <v>0</v>
      </c>
      <c r="AJ83" t="s">
        <v>31</v>
      </c>
      <c r="AK83">
        <v>0</v>
      </c>
      <c r="AL83" t="s">
        <v>31</v>
      </c>
      <c r="AM83">
        <v>0</v>
      </c>
      <c r="AN83" t="s">
        <v>31</v>
      </c>
      <c r="AO83">
        <v>0</v>
      </c>
      <c r="AP83" t="s">
        <v>31</v>
      </c>
      <c r="AQ83">
        <v>0</v>
      </c>
    </row>
    <row r="84" spans="1:43" x14ac:dyDescent="0.2">
      <c r="A84" t="s">
        <v>381</v>
      </c>
      <c r="B84" s="3">
        <v>44357</v>
      </c>
      <c r="C84">
        <v>132</v>
      </c>
      <c r="D84" t="s">
        <v>399</v>
      </c>
      <c r="E84" t="s">
        <v>24</v>
      </c>
      <c r="F84" s="9" t="s">
        <v>25</v>
      </c>
      <c r="G84" t="s">
        <v>26</v>
      </c>
      <c r="H84" t="s">
        <v>27</v>
      </c>
      <c r="I84" t="s">
        <v>28</v>
      </c>
      <c r="J84" t="s">
        <v>43</v>
      </c>
      <c r="K84" t="s">
        <v>44</v>
      </c>
      <c r="L84" t="s">
        <v>29</v>
      </c>
      <c r="M84" t="s">
        <v>30</v>
      </c>
      <c r="N84" t="s">
        <v>27</v>
      </c>
      <c r="O84" t="s">
        <v>28</v>
      </c>
      <c r="P84" t="s">
        <v>43</v>
      </c>
      <c r="Q84" t="s">
        <v>44</v>
      </c>
      <c r="R84" s="1">
        <v>44357.36440972222</v>
      </c>
      <c r="S84" s="1">
        <v>44357.36440972222</v>
      </c>
      <c r="T84">
        <v>0</v>
      </c>
      <c r="U84">
        <v>0</v>
      </c>
      <c r="V84" s="2">
        <v>0</v>
      </c>
      <c r="W84">
        <v>0</v>
      </c>
      <c r="X84" t="s">
        <v>37</v>
      </c>
      <c r="Y84">
        <v>0</v>
      </c>
      <c r="Z84" t="s">
        <v>31</v>
      </c>
      <c r="AA84">
        <v>0</v>
      </c>
      <c r="AB84" t="s">
        <v>31</v>
      </c>
      <c r="AC84">
        <v>0</v>
      </c>
      <c r="AD84" t="s">
        <v>31</v>
      </c>
      <c r="AE84">
        <v>0</v>
      </c>
      <c r="AF84" t="s">
        <v>31</v>
      </c>
      <c r="AG84">
        <v>0</v>
      </c>
      <c r="AH84" t="s">
        <v>31</v>
      </c>
      <c r="AI84">
        <v>0</v>
      </c>
      <c r="AJ84" t="s">
        <v>31</v>
      </c>
      <c r="AK84">
        <v>0</v>
      </c>
      <c r="AL84" t="s">
        <v>31</v>
      </c>
      <c r="AM84">
        <v>0</v>
      </c>
      <c r="AN84" t="s">
        <v>31</v>
      </c>
      <c r="AO84">
        <v>0</v>
      </c>
      <c r="AP84" t="s">
        <v>31</v>
      </c>
      <c r="AQ84">
        <v>0</v>
      </c>
    </row>
    <row r="85" spans="1:43" x14ac:dyDescent="0.2">
      <c r="A85" t="s">
        <v>381</v>
      </c>
      <c r="B85" s="3">
        <v>44358</v>
      </c>
      <c r="C85">
        <v>133</v>
      </c>
      <c r="D85" t="s">
        <v>390</v>
      </c>
      <c r="E85" t="s">
        <v>24</v>
      </c>
      <c r="F85" s="9" t="s">
        <v>25</v>
      </c>
      <c r="G85" t="s">
        <v>26</v>
      </c>
      <c r="H85" t="s">
        <v>27</v>
      </c>
      <c r="I85" t="s">
        <v>28</v>
      </c>
      <c r="J85" t="s">
        <v>43</v>
      </c>
      <c r="K85" t="s">
        <v>44</v>
      </c>
      <c r="L85" t="s">
        <v>29</v>
      </c>
      <c r="M85" t="s">
        <v>30</v>
      </c>
      <c r="N85" t="s">
        <v>27</v>
      </c>
      <c r="O85" t="s">
        <v>28</v>
      </c>
      <c r="P85" t="s">
        <v>43</v>
      </c>
      <c r="Q85" t="s">
        <v>44</v>
      </c>
      <c r="R85" s="1">
        <v>44358.447164351855</v>
      </c>
      <c r="S85" s="1">
        <v>44358.447164351855</v>
      </c>
      <c r="T85">
        <v>0</v>
      </c>
      <c r="U85">
        <v>0</v>
      </c>
      <c r="V85" s="2">
        <v>0</v>
      </c>
      <c r="W85">
        <v>0</v>
      </c>
      <c r="X85" t="s">
        <v>37</v>
      </c>
      <c r="Y85">
        <v>0</v>
      </c>
      <c r="Z85" t="s">
        <v>31</v>
      </c>
      <c r="AA85">
        <v>0</v>
      </c>
      <c r="AB85" t="s">
        <v>31</v>
      </c>
      <c r="AC85">
        <v>0</v>
      </c>
      <c r="AD85" t="s">
        <v>31</v>
      </c>
      <c r="AE85">
        <v>0</v>
      </c>
      <c r="AF85" t="s">
        <v>31</v>
      </c>
      <c r="AG85">
        <v>0</v>
      </c>
      <c r="AH85" t="s">
        <v>31</v>
      </c>
      <c r="AI85">
        <v>0</v>
      </c>
      <c r="AJ85" t="s">
        <v>31</v>
      </c>
      <c r="AK85">
        <v>0</v>
      </c>
      <c r="AL85" t="s">
        <v>31</v>
      </c>
      <c r="AM85">
        <v>0</v>
      </c>
      <c r="AN85" t="s">
        <v>31</v>
      </c>
      <c r="AO85">
        <v>0</v>
      </c>
      <c r="AP85" t="s">
        <v>31</v>
      </c>
      <c r="AQ85">
        <v>0</v>
      </c>
    </row>
    <row r="86" spans="1:43" x14ac:dyDescent="0.2">
      <c r="A86" t="s">
        <v>381</v>
      </c>
      <c r="B86" s="3">
        <v>44361</v>
      </c>
      <c r="C86">
        <v>135</v>
      </c>
      <c r="D86" t="s">
        <v>390</v>
      </c>
      <c r="E86" t="s">
        <v>24</v>
      </c>
      <c r="F86" s="9" t="s">
        <v>25</v>
      </c>
      <c r="G86" t="s">
        <v>26</v>
      </c>
      <c r="H86" t="s">
        <v>27</v>
      </c>
      <c r="I86" t="s">
        <v>28</v>
      </c>
      <c r="J86" t="s">
        <v>43</v>
      </c>
      <c r="K86" t="s">
        <v>44</v>
      </c>
      <c r="L86" t="s">
        <v>29</v>
      </c>
      <c r="M86" t="s">
        <v>30</v>
      </c>
      <c r="N86" t="s">
        <v>27</v>
      </c>
      <c r="O86" t="s">
        <v>28</v>
      </c>
      <c r="P86" t="s">
        <v>43</v>
      </c>
      <c r="Q86" t="s">
        <v>44</v>
      </c>
      <c r="R86" s="1">
        <v>44361.420902777776</v>
      </c>
      <c r="S86" s="1">
        <v>44361.420902777776</v>
      </c>
      <c r="T86">
        <v>0</v>
      </c>
      <c r="U86">
        <v>0</v>
      </c>
      <c r="V86" s="2">
        <v>0</v>
      </c>
      <c r="W86">
        <v>0</v>
      </c>
      <c r="X86" t="s">
        <v>37</v>
      </c>
      <c r="Y86">
        <v>0</v>
      </c>
      <c r="Z86" t="s">
        <v>31</v>
      </c>
      <c r="AA86">
        <v>0</v>
      </c>
      <c r="AB86" t="s">
        <v>31</v>
      </c>
      <c r="AC86">
        <v>0</v>
      </c>
      <c r="AD86" t="s">
        <v>31</v>
      </c>
      <c r="AE86">
        <v>0</v>
      </c>
      <c r="AF86" t="s">
        <v>31</v>
      </c>
      <c r="AG86">
        <v>0</v>
      </c>
      <c r="AH86" t="s">
        <v>31</v>
      </c>
      <c r="AI86">
        <v>0</v>
      </c>
      <c r="AJ86" t="s">
        <v>31</v>
      </c>
      <c r="AK86">
        <v>0</v>
      </c>
      <c r="AL86" t="s">
        <v>31</v>
      </c>
      <c r="AM86">
        <v>0</v>
      </c>
      <c r="AN86" t="s">
        <v>31</v>
      </c>
      <c r="AO86">
        <v>0</v>
      </c>
      <c r="AP86" t="s">
        <v>31</v>
      </c>
      <c r="AQ86">
        <v>0</v>
      </c>
    </row>
    <row r="87" spans="1:43" x14ac:dyDescent="0.2">
      <c r="A87" t="s">
        <v>381</v>
      </c>
      <c r="B87" s="3">
        <v>44361</v>
      </c>
      <c r="C87">
        <v>136</v>
      </c>
      <c r="D87" t="s">
        <v>383</v>
      </c>
      <c r="E87" t="s">
        <v>24</v>
      </c>
      <c r="F87" s="9" t="s">
        <v>25</v>
      </c>
      <c r="G87" t="s">
        <v>26</v>
      </c>
      <c r="H87" t="s">
        <v>27</v>
      </c>
      <c r="I87" t="s">
        <v>28</v>
      </c>
      <c r="J87" t="s">
        <v>43</v>
      </c>
      <c r="K87" t="s">
        <v>44</v>
      </c>
      <c r="L87" t="s">
        <v>29</v>
      </c>
      <c r="M87" t="s">
        <v>30</v>
      </c>
      <c r="N87" t="s">
        <v>27</v>
      </c>
      <c r="O87" t="s">
        <v>28</v>
      </c>
      <c r="P87" t="s">
        <v>43</v>
      </c>
      <c r="Q87" t="s">
        <v>44</v>
      </c>
      <c r="R87" s="1">
        <v>44361.630983796298</v>
      </c>
      <c r="S87" s="1">
        <v>44361.630983796298</v>
      </c>
      <c r="T87">
        <v>0</v>
      </c>
      <c r="U87">
        <v>0</v>
      </c>
      <c r="V87" s="2">
        <v>0</v>
      </c>
      <c r="W87">
        <v>0</v>
      </c>
      <c r="X87" t="s">
        <v>37</v>
      </c>
      <c r="Y87">
        <v>0</v>
      </c>
      <c r="Z87" t="s">
        <v>31</v>
      </c>
      <c r="AA87">
        <v>0</v>
      </c>
      <c r="AB87" t="s">
        <v>31</v>
      </c>
      <c r="AC87">
        <v>0</v>
      </c>
      <c r="AD87" t="s">
        <v>31</v>
      </c>
      <c r="AE87">
        <v>0</v>
      </c>
      <c r="AF87" t="s">
        <v>31</v>
      </c>
      <c r="AG87">
        <v>0</v>
      </c>
      <c r="AH87" t="s">
        <v>31</v>
      </c>
      <c r="AI87">
        <v>0</v>
      </c>
      <c r="AJ87" t="s">
        <v>31</v>
      </c>
      <c r="AK87">
        <v>0</v>
      </c>
      <c r="AL87" t="s">
        <v>31</v>
      </c>
      <c r="AM87">
        <v>0</v>
      </c>
      <c r="AN87" t="s">
        <v>31</v>
      </c>
      <c r="AO87">
        <v>0</v>
      </c>
      <c r="AP87" t="s">
        <v>31</v>
      </c>
      <c r="AQ87">
        <v>0</v>
      </c>
    </row>
    <row r="88" spans="1:43" x14ac:dyDescent="0.2">
      <c r="A88" t="s">
        <v>381</v>
      </c>
      <c r="B88" s="3">
        <v>44363</v>
      </c>
      <c r="C88">
        <v>137</v>
      </c>
      <c r="D88" t="s">
        <v>383</v>
      </c>
      <c r="E88" t="s">
        <v>24</v>
      </c>
      <c r="F88" s="9" t="s">
        <v>25</v>
      </c>
      <c r="G88" t="s">
        <v>26</v>
      </c>
      <c r="H88" t="s">
        <v>27</v>
      </c>
      <c r="I88" t="s">
        <v>28</v>
      </c>
      <c r="J88" t="s">
        <v>43</v>
      </c>
      <c r="K88" t="s">
        <v>44</v>
      </c>
      <c r="L88" t="s">
        <v>29</v>
      </c>
      <c r="M88" t="s">
        <v>30</v>
      </c>
      <c r="N88" t="s">
        <v>27</v>
      </c>
      <c r="O88" t="s">
        <v>28</v>
      </c>
      <c r="P88" t="s">
        <v>43</v>
      </c>
      <c r="Q88" t="s">
        <v>44</v>
      </c>
      <c r="R88" s="1">
        <v>44363.585416666669</v>
      </c>
      <c r="S88" s="1">
        <v>44363.585416666669</v>
      </c>
      <c r="T88">
        <v>0</v>
      </c>
      <c r="U88">
        <v>0</v>
      </c>
      <c r="V88" s="2">
        <v>0</v>
      </c>
      <c r="W88">
        <v>0</v>
      </c>
      <c r="X88" t="s">
        <v>37</v>
      </c>
      <c r="Y88">
        <v>0</v>
      </c>
      <c r="Z88" t="s">
        <v>31</v>
      </c>
      <c r="AA88">
        <v>0</v>
      </c>
      <c r="AB88" t="s">
        <v>31</v>
      </c>
      <c r="AC88">
        <v>0</v>
      </c>
      <c r="AD88" t="s">
        <v>31</v>
      </c>
      <c r="AE88">
        <v>0</v>
      </c>
      <c r="AF88" t="s">
        <v>31</v>
      </c>
      <c r="AG88">
        <v>0</v>
      </c>
      <c r="AH88" t="s">
        <v>31</v>
      </c>
      <c r="AI88">
        <v>0</v>
      </c>
      <c r="AJ88" t="s">
        <v>31</v>
      </c>
      <c r="AK88">
        <v>0</v>
      </c>
      <c r="AL88" t="s">
        <v>31</v>
      </c>
      <c r="AM88">
        <v>0</v>
      </c>
      <c r="AN88" t="s">
        <v>31</v>
      </c>
      <c r="AO88">
        <v>0</v>
      </c>
      <c r="AP88" t="s">
        <v>31</v>
      </c>
      <c r="AQ88">
        <v>0</v>
      </c>
    </row>
    <row r="89" spans="1:43" x14ac:dyDescent="0.2">
      <c r="A89" t="s">
        <v>381</v>
      </c>
      <c r="B89" s="3">
        <v>44364</v>
      </c>
      <c r="C89">
        <v>138</v>
      </c>
      <c r="D89" t="s">
        <v>399</v>
      </c>
      <c r="E89" t="s">
        <v>24</v>
      </c>
      <c r="F89" s="9" t="s">
        <v>25</v>
      </c>
      <c r="G89" t="s">
        <v>26</v>
      </c>
      <c r="H89" t="s">
        <v>27</v>
      </c>
      <c r="I89" t="s">
        <v>28</v>
      </c>
      <c r="J89" t="s">
        <v>43</v>
      </c>
      <c r="K89" t="s">
        <v>44</v>
      </c>
      <c r="L89" t="s">
        <v>29</v>
      </c>
      <c r="M89" t="s">
        <v>30</v>
      </c>
      <c r="N89" t="s">
        <v>27</v>
      </c>
      <c r="O89" t="s">
        <v>28</v>
      </c>
      <c r="P89" t="s">
        <v>43</v>
      </c>
      <c r="Q89" t="s">
        <v>44</v>
      </c>
      <c r="R89" s="1">
        <v>44364.354097222225</v>
      </c>
      <c r="S89" s="1">
        <v>44364.42728009259</v>
      </c>
      <c r="T89">
        <v>0</v>
      </c>
      <c r="U89">
        <v>0</v>
      </c>
      <c r="V89" s="2">
        <v>0</v>
      </c>
      <c r="W89">
        <v>0</v>
      </c>
      <c r="X89" t="s">
        <v>37</v>
      </c>
      <c r="Y89">
        <v>0</v>
      </c>
      <c r="Z89" t="s">
        <v>37</v>
      </c>
      <c r="AA89">
        <v>0</v>
      </c>
      <c r="AB89" t="s">
        <v>31</v>
      </c>
      <c r="AC89">
        <v>0</v>
      </c>
      <c r="AD89" t="s">
        <v>31</v>
      </c>
      <c r="AE89">
        <v>0</v>
      </c>
      <c r="AF89" t="s">
        <v>31</v>
      </c>
      <c r="AG89">
        <v>0</v>
      </c>
      <c r="AH89" t="s">
        <v>31</v>
      </c>
      <c r="AI89">
        <v>0</v>
      </c>
      <c r="AJ89" t="s">
        <v>31</v>
      </c>
      <c r="AK89">
        <v>0</v>
      </c>
      <c r="AL89" t="s">
        <v>31</v>
      </c>
      <c r="AM89">
        <v>0</v>
      </c>
      <c r="AN89" t="s">
        <v>31</v>
      </c>
      <c r="AO89">
        <v>0</v>
      </c>
      <c r="AP89" t="s">
        <v>31</v>
      </c>
      <c r="AQ89">
        <v>0</v>
      </c>
    </row>
    <row r="90" spans="1:43" x14ac:dyDescent="0.2">
      <c r="A90" t="s">
        <v>381</v>
      </c>
      <c r="B90" s="3">
        <v>44365</v>
      </c>
      <c r="C90">
        <v>139</v>
      </c>
      <c r="D90" t="s">
        <v>400</v>
      </c>
      <c r="E90" t="s">
        <v>24</v>
      </c>
      <c r="F90" s="9" t="s">
        <v>25</v>
      </c>
      <c r="G90" t="s">
        <v>26</v>
      </c>
      <c r="H90" t="s">
        <v>27</v>
      </c>
      <c r="I90" t="s">
        <v>28</v>
      </c>
      <c r="J90" t="s">
        <v>43</v>
      </c>
      <c r="K90" t="s">
        <v>44</v>
      </c>
      <c r="L90" t="s">
        <v>29</v>
      </c>
      <c r="M90" t="s">
        <v>30</v>
      </c>
      <c r="N90" t="s">
        <v>27</v>
      </c>
      <c r="O90" t="s">
        <v>28</v>
      </c>
      <c r="P90" t="s">
        <v>43</v>
      </c>
      <c r="Q90" t="s">
        <v>44</v>
      </c>
      <c r="R90" s="1">
        <v>44365.487141203703</v>
      </c>
      <c r="S90" s="1">
        <v>44365.487141203703</v>
      </c>
      <c r="T90">
        <v>0</v>
      </c>
      <c r="U90">
        <v>0</v>
      </c>
      <c r="V90" s="2">
        <v>0</v>
      </c>
      <c r="W90">
        <v>0</v>
      </c>
      <c r="X90" t="s">
        <v>37</v>
      </c>
      <c r="Y90">
        <v>0</v>
      </c>
      <c r="Z90" t="s">
        <v>31</v>
      </c>
      <c r="AA90">
        <v>0</v>
      </c>
      <c r="AB90" t="s">
        <v>31</v>
      </c>
      <c r="AC90">
        <v>0</v>
      </c>
      <c r="AD90" t="s">
        <v>31</v>
      </c>
      <c r="AE90">
        <v>0</v>
      </c>
      <c r="AF90" t="s">
        <v>31</v>
      </c>
      <c r="AG90">
        <v>0</v>
      </c>
      <c r="AH90" t="s">
        <v>31</v>
      </c>
      <c r="AI90">
        <v>0</v>
      </c>
      <c r="AJ90" t="s">
        <v>31</v>
      </c>
      <c r="AK90">
        <v>0</v>
      </c>
      <c r="AL90" t="s">
        <v>31</v>
      </c>
      <c r="AM90">
        <v>0</v>
      </c>
      <c r="AN90" t="s">
        <v>31</v>
      </c>
      <c r="AO90">
        <v>0</v>
      </c>
      <c r="AP90" t="s">
        <v>31</v>
      </c>
      <c r="AQ90">
        <v>0</v>
      </c>
    </row>
    <row r="91" spans="1:43" x14ac:dyDescent="0.2">
      <c r="A91" t="s">
        <v>381</v>
      </c>
      <c r="B91" s="3">
        <v>44365</v>
      </c>
      <c r="C91">
        <v>140</v>
      </c>
      <c r="D91" t="s">
        <v>399</v>
      </c>
      <c r="E91" t="s">
        <v>24</v>
      </c>
      <c r="F91" s="9" t="s">
        <v>25</v>
      </c>
      <c r="G91" t="s">
        <v>26</v>
      </c>
      <c r="H91" t="s">
        <v>27</v>
      </c>
      <c r="I91" t="s">
        <v>28</v>
      </c>
      <c r="J91" t="s">
        <v>43</v>
      </c>
      <c r="K91" t="s">
        <v>44</v>
      </c>
      <c r="L91" t="s">
        <v>29</v>
      </c>
      <c r="M91" t="s">
        <v>30</v>
      </c>
      <c r="N91" t="s">
        <v>27</v>
      </c>
      <c r="O91" t="s">
        <v>28</v>
      </c>
      <c r="P91" t="s">
        <v>43</v>
      </c>
      <c r="Q91" t="s">
        <v>44</v>
      </c>
      <c r="R91" s="1">
        <v>44365.542314814818</v>
      </c>
      <c r="S91" s="1">
        <v>44365.542314814818</v>
      </c>
      <c r="T91">
        <v>0</v>
      </c>
      <c r="U91">
        <v>0</v>
      </c>
      <c r="V91" s="2">
        <v>0</v>
      </c>
      <c r="W91">
        <v>0</v>
      </c>
      <c r="X91" t="s">
        <v>37</v>
      </c>
      <c r="Y91">
        <v>0</v>
      </c>
      <c r="Z91" t="s">
        <v>31</v>
      </c>
      <c r="AA91">
        <v>0</v>
      </c>
      <c r="AB91" t="s">
        <v>31</v>
      </c>
      <c r="AC91">
        <v>0</v>
      </c>
      <c r="AD91" t="s">
        <v>31</v>
      </c>
      <c r="AE91">
        <v>0</v>
      </c>
      <c r="AF91" t="s">
        <v>31</v>
      </c>
      <c r="AG91">
        <v>0</v>
      </c>
      <c r="AH91" t="s">
        <v>31</v>
      </c>
      <c r="AI91">
        <v>0</v>
      </c>
      <c r="AJ91" t="s">
        <v>31</v>
      </c>
      <c r="AK91">
        <v>0</v>
      </c>
      <c r="AL91" t="s">
        <v>31</v>
      </c>
      <c r="AM91">
        <v>0</v>
      </c>
      <c r="AN91" t="s">
        <v>31</v>
      </c>
      <c r="AO91">
        <v>0</v>
      </c>
      <c r="AP91" t="s">
        <v>31</v>
      </c>
      <c r="AQ91">
        <v>0</v>
      </c>
    </row>
    <row r="92" spans="1:43" x14ac:dyDescent="0.2">
      <c r="A92" t="s">
        <v>381</v>
      </c>
      <c r="B92" s="3">
        <v>44285</v>
      </c>
      <c r="C92">
        <v>44</v>
      </c>
      <c r="D92" t="s">
        <v>385</v>
      </c>
      <c r="E92" t="s">
        <v>24</v>
      </c>
      <c r="F92" s="9" t="s">
        <v>216</v>
      </c>
      <c r="G92" t="s">
        <v>26</v>
      </c>
      <c r="H92" t="s">
        <v>200</v>
      </c>
      <c r="I92" t="s">
        <v>201</v>
      </c>
      <c r="J92" t="s">
        <v>43</v>
      </c>
      <c r="K92" t="s">
        <v>44</v>
      </c>
      <c r="L92" t="s">
        <v>29</v>
      </c>
      <c r="M92" t="s">
        <v>30</v>
      </c>
      <c r="N92" t="s">
        <v>200</v>
      </c>
      <c r="O92" t="s">
        <v>201</v>
      </c>
      <c r="P92" t="s">
        <v>43</v>
      </c>
      <c r="Q92" t="s">
        <v>44</v>
      </c>
      <c r="R92" s="1">
        <v>44285.373969907407</v>
      </c>
      <c r="S92" s="1">
        <v>44285.373969907407</v>
      </c>
      <c r="T92">
        <v>0</v>
      </c>
      <c r="U92">
        <v>1</v>
      </c>
      <c r="V92" s="2">
        <v>0</v>
      </c>
      <c r="W92">
        <v>0</v>
      </c>
      <c r="X92" t="s">
        <v>47</v>
      </c>
      <c r="Y92">
        <v>0</v>
      </c>
      <c r="Z92" t="s">
        <v>31</v>
      </c>
      <c r="AA92">
        <v>0</v>
      </c>
      <c r="AB92" t="s">
        <v>31</v>
      </c>
      <c r="AC92">
        <v>0</v>
      </c>
      <c r="AD92" t="s">
        <v>31</v>
      </c>
      <c r="AE92">
        <v>0</v>
      </c>
      <c r="AF92" t="s">
        <v>31</v>
      </c>
      <c r="AG92">
        <v>0</v>
      </c>
      <c r="AH92" t="s">
        <v>31</v>
      </c>
      <c r="AI92">
        <v>0</v>
      </c>
      <c r="AJ92" t="s">
        <v>31</v>
      </c>
      <c r="AK92">
        <v>0</v>
      </c>
      <c r="AL92" t="s">
        <v>31</v>
      </c>
      <c r="AM92">
        <v>0</v>
      </c>
      <c r="AN92" t="s">
        <v>31</v>
      </c>
      <c r="AO92">
        <v>0</v>
      </c>
      <c r="AP92" t="s">
        <v>31</v>
      </c>
      <c r="AQ92">
        <v>0</v>
      </c>
    </row>
    <row r="93" spans="1:43" x14ac:dyDescent="0.2">
      <c r="A93" t="s">
        <v>381</v>
      </c>
      <c r="B93" s="3">
        <v>44285</v>
      </c>
      <c r="C93">
        <v>45</v>
      </c>
      <c r="D93" t="s">
        <v>385</v>
      </c>
      <c r="E93" t="s">
        <v>24</v>
      </c>
      <c r="F93" s="9" t="s">
        <v>216</v>
      </c>
      <c r="G93" t="s">
        <v>26</v>
      </c>
      <c r="H93" t="s">
        <v>200</v>
      </c>
      <c r="I93" t="s">
        <v>201</v>
      </c>
      <c r="J93" t="s">
        <v>43</v>
      </c>
      <c r="K93" t="s">
        <v>44</v>
      </c>
      <c r="L93" t="s">
        <v>29</v>
      </c>
      <c r="M93" t="s">
        <v>30</v>
      </c>
      <c r="N93" t="s">
        <v>188</v>
      </c>
      <c r="O93" t="s">
        <v>189</v>
      </c>
      <c r="P93" t="s">
        <v>29</v>
      </c>
      <c r="Q93" t="s">
        <v>30</v>
      </c>
      <c r="R93" s="1">
        <v>44285.537824074076</v>
      </c>
      <c r="S93" s="1">
        <v>44285.537824074076</v>
      </c>
      <c r="T93">
        <v>0</v>
      </c>
      <c r="U93">
        <v>2</v>
      </c>
      <c r="V93" s="2">
        <v>0</v>
      </c>
      <c r="W93">
        <v>0</v>
      </c>
      <c r="X93" t="s">
        <v>47</v>
      </c>
      <c r="Y93">
        <v>0</v>
      </c>
      <c r="Z93" t="s">
        <v>47</v>
      </c>
      <c r="AA93">
        <v>0</v>
      </c>
      <c r="AB93" t="s">
        <v>31</v>
      </c>
      <c r="AC93">
        <v>0</v>
      </c>
      <c r="AD93" t="s">
        <v>31</v>
      </c>
      <c r="AE93">
        <v>0</v>
      </c>
      <c r="AF93" t="s">
        <v>31</v>
      </c>
      <c r="AG93">
        <v>0</v>
      </c>
      <c r="AH93" t="s">
        <v>31</v>
      </c>
      <c r="AI93">
        <v>0</v>
      </c>
      <c r="AJ93" t="s">
        <v>31</v>
      </c>
      <c r="AK93">
        <v>0</v>
      </c>
      <c r="AL93" t="s">
        <v>31</v>
      </c>
      <c r="AM93">
        <v>0</v>
      </c>
      <c r="AN93" t="s">
        <v>31</v>
      </c>
      <c r="AO93">
        <v>0</v>
      </c>
      <c r="AP93" t="s">
        <v>31</v>
      </c>
      <c r="AQ93">
        <v>0</v>
      </c>
    </row>
    <row r="94" spans="1:43" x14ac:dyDescent="0.2">
      <c r="A94" t="s">
        <v>381</v>
      </c>
      <c r="B94" s="3">
        <v>44286</v>
      </c>
      <c r="C94">
        <v>46</v>
      </c>
      <c r="D94" t="s">
        <v>384</v>
      </c>
      <c r="E94" t="s">
        <v>24</v>
      </c>
      <c r="F94" s="9" t="s">
        <v>216</v>
      </c>
      <c r="G94" t="s">
        <v>26</v>
      </c>
      <c r="H94" t="s">
        <v>188</v>
      </c>
      <c r="I94" t="s">
        <v>189</v>
      </c>
      <c r="J94" t="s">
        <v>29</v>
      </c>
      <c r="K94" t="s">
        <v>30</v>
      </c>
      <c r="L94" t="s">
        <v>29</v>
      </c>
      <c r="M94" t="s">
        <v>30</v>
      </c>
      <c r="N94" t="s">
        <v>188</v>
      </c>
      <c r="O94" t="s">
        <v>189</v>
      </c>
      <c r="P94" t="s">
        <v>29</v>
      </c>
      <c r="Q94" t="s">
        <v>30</v>
      </c>
      <c r="R94" s="1">
        <v>44286.413680555554</v>
      </c>
      <c r="S94" s="1">
        <v>44286.41369212963</v>
      </c>
      <c r="T94">
        <v>2</v>
      </c>
      <c r="U94">
        <v>2</v>
      </c>
      <c r="V94" s="2">
        <v>1</v>
      </c>
      <c r="W94">
        <v>0</v>
      </c>
      <c r="X94" t="s">
        <v>30</v>
      </c>
      <c r="Y94">
        <v>0</v>
      </c>
      <c r="Z94" t="s">
        <v>30</v>
      </c>
      <c r="AA94">
        <v>0</v>
      </c>
      <c r="AB94" t="s">
        <v>31</v>
      </c>
      <c r="AC94">
        <v>0</v>
      </c>
      <c r="AD94" t="s">
        <v>31</v>
      </c>
      <c r="AE94">
        <v>0</v>
      </c>
      <c r="AF94" t="s">
        <v>31</v>
      </c>
      <c r="AG94">
        <v>0</v>
      </c>
      <c r="AH94" t="s">
        <v>31</v>
      </c>
      <c r="AI94">
        <v>0</v>
      </c>
      <c r="AJ94" t="s">
        <v>31</v>
      </c>
      <c r="AK94">
        <v>0</v>
      </c>
      <c r="AL94" t="s">
        <v>31</v>
      </c>
      <c r="AM94">
        <v>0</v>
      </c>
      <c r="AN94" t="s">
        <v>31</v>
      </c>
      <c r="AO94">
        <v>0</v>
      </c>
      <c r="AP94" t="s">
        <v>31</v>
      </c>
      <c r="AQ94">
        <v>0</v>
      </c>
    </row>
    <row r="95" spans="1:43" x14ac:dyDescent="0.2">
      <c r="A95" t="s">
        <v>381</v>
      </c>
      <c r="B95" s="3">
        <v>44287</v>
      </c>
      <c r="C95">
        <v>47</v>
      </c>
      <c r="D95" t="s">
        <v>385</v>
      </c>
      <c r="E95" t="s">
        <v>24</v>
      </c>
      <c r="F95" s="9" t="s">
        <v>216</v>
      </c>
      <c r="G95" t="s">
        <v>26</v>
      </c>
      <c r="H95" t="s">
        <v>188</v>
      </c>
      <c r="I95" t="s">
        <v>189</v>
      </c>
      <c r="J95" t="s">
        <v>29</v>
      </c>
      <c r="K95" t="s">
        <v>30</v>
      </c>
      <c r="L95" t="s">
        <v>29</v>
      </c>
      <c r="M95" t="s">
        <v>30</v>
      </c>
      <c r="N95" t="s">
        <v>188</v>
      </c>
      <c r="O95" t="s">
        <v>189</v>
      </c>
      <c r="P95" t="s">
        <v>29</v>
      </c>
      <c r="Q95" t="s">
        <v>30</v>
      </c>
      <c r="R95" s="1">
        <v>44287.460381944446</v>
      </c>
      <c r="S95" s="1">
        <v>44287.461053240739</v>
      </c>
      <c r="T95">
        <v>0</v>
      </c>
      <c r="U95">
        <v>2</v>
      </c>
      <c r="V95" s="2">
        <v>0</v>
      </c>
      <c r="W95">
        <v>0</v>
      </c>
      <c r="X95" t="s">
        <v>47</v>
      </c>
      <c r="Y95">
        <v>0</v>
      </c>
      <c r="Z95" t="s">
        <v>47</v>
      </c>
      <c r="AA95">
        <v>0</v>
      </c>
      <c r="AB95" t="s">
        <v>31</v>
      </c>
      <c r="AC95">
        <v>0</v>
      </c>
      <c r="AD95" t="s">
        <v>31</v>
      </c>
      <c r="AE95">
        <v>0</v>
      </c>
      <c r="AF95" t="s">
        <v>31</v>
      </c>
      <c r="AG95">
        <v>0</v>
      </c>
      <c r="AH95" t="s">
        <v>31</v>
      </c>
      <c r="AI95">
        <v>0</v>
      </c>
      <c r="AJ95" t="s">
        <v>31</v>
      </c>
      <c r="AK95">
        <v>0</v>
      </c>
      <c r="AL95" t="s">
        <v>31</v>
      </c>
      <c r="AM95">
        <v>0</v>
      </c>
      <c r="AN95" t="s">
        <v>31</v>
      </c>
      <c r="AO95">
        <v>0</v>
      </c>
      <c r="AP95" t="s">
        <v>31</v>
      </c>
      <c r="AQ95">
        <v>0</v>
      </c>
    </row>
    <row r="96" spans="1:43" x14ac:dyDescent="0.2">
      <c r="A96" t="s">
        <v>381</v>
      </c>
      <c r="B96" s="3">
        <v>44287</v>
      </c>
      <c r="C96">
        <v>48</v>
      </c>
      <c r="D96" t="s">
        <v>385</v>
      </c>
      <c r="E96" t="s">
        <v>24</v>
      </c>
      <c r="F96" s="9" t="s">
        <v>216</v>
      </c>
      <c r="G96" t="s">
        <v>26</v>
      </c>
      <c r="H96" t="s">
        <v>188</v>
      </c>
      <c r="I96" t="s">
        <v>189</v>
      </c>
      <c r="J96" t="s">
        <v>29</v>
      </c>
      <c r="K96" t="s">
        <v>30</v>
      </c>
      <c r="L96" t="s">
        <v>29</v>
      </c>
      <c r="M96" t="s">
        <v>30</v>
      </c>
      <c r="N96" t="s">
        <v>188</v>
      </c>
      <c r="O96" t="s">
        <v>189</v>
      </c>
      <c r="P96" t="s">
        <v>29</v>
      </c>
      <c r="Q96" t="s">
        <v>30</v>
      </c>
      <c r="R96" s="1">
        <v>44287.535185185188</v>
      </c>
      <c r="S96" s="1">
        <v>44287.535185185188</v>
      </c>
      <c r="T96">
        <v>1</v>
      </c>
      <c r="U96">
        <v>1</v>
      </c>
      <c r="V96" s="2">
        <v>1</v>
      </c>
      <c r="W96">
        <v>0</v>
      </c>
      <c r="X96" t="s">
        <v>30</v>
      </c>
      <c r="Y96">
        <v>0</v>
      </c>
      <c r="Z96" t="s">
        <v>31</v>
      </c>
      <c r="AA96">
        <v>0</v>
      </c>
      <c r="AB96" t="s">
        <v>31</v>
      </c>
      <c r="AC96">
        <v>0</v>
      </c>
      <c r="AD96" t="s">
        <v>31</v>
      </c>
      <c r="AE96">
        <v>0</v>
      </c>
      <c r="AF96" t="s">
        <v>31</v>
      </c>
      <c r="AG96">
        <v>0</v>
      </c>
      <c r="AH96" t="s">
        <v>31</v>
      </c>
      <c r="AI96">
        <v>0</v>
      </c>
      <c r="AJ96" t="s">
        <v>31</v>
      </c>
      <c r="AK96">
        <v>0</v>
      </c>
      <c r="AL96" t="s">
        <v>31</v>
      </c>
      <c r="AM96">
        <v>0</v>
      </c>
      <c r="AN96" t="s">
        <v>31</v>
      </c>
      <c r="AO96">
        <v>0</v>
      </c>
      <c r="AP96" t="s">
        <v>31</v>
      </c>
      <c r="AQ96">
        <v>0</v>
      </c>
    </row>
    <row r="97" spans="1:43" x14ac:dyDescent="0.2">
      <c r="A97" t="s">
        <v>381</v>
      </c>
      <c r="B97" s="3">
        <v>44291</v>
      </c>
      <c r="C97">
        <v>50</v>
      </c>
      <c r="D97" t="s">
        <v>384</v>
      </c>
      <c r="E97" t="s">
        <v>24</v>
      </c>
      <c r="F97" s="9" t="s">
        <v>216</v>
      </c>
      <c r="G97" t="s">
        <v>26</v>
      </c>
      <c r="H97" t="s">
        <v>188</v>
      </c>
      <c r="I97" t="s">
        <v>189</v>
      </c>
      <c r="J97" t="s">
        <v>29</v>
      </c>
      <c r="K97" t="s">
        <v>30</v>
      </c>
      <c r="L97" t="s">
        <v>29</v>
      </c>
      <c r="M97" t="s">
        <v>30</v>
      </c>
      <c r="N97" t="s">
        <v>200</v>
      </c>
      <c r="O97" t="s">
        <v>201</v>
      </c>
      <c r="P97" t="s">
        <v>43</v>
      </c>
      <c r="Q97" t="s">
        <v>44</v>
      </c>
      <c r="R97" s="1">
        <v>44291.404293981483</v>
      </c>
      <c r="S97" s="1">
        <v>44291.404293981483</v>
      </c>
      <c r="T97">
        <v>1</v>
      </c>
      <c r="U97">
        <v>1</v>
      </c>
      <c r="V97" s="2">
        <v>1</v>
      </c>
      <c r="W97">
        <v>0</v>
      </c>
      <c r="X97" t="s">
        <v>30</v>
      </c>
      <c r="Y97">
        <v>0</v>
      </c>
      <c r="Z97" t="s">
        <v>31</v>
      </c>
      <c r="AA97">
        <v>0</v>
      </c>
      <c r="AB97" t="s">
        <v>31</v>
      </c>
      <c r="AC97">
        <v>0</v>
      </c>
      <c r="AD97" t="s">
        <v>31</v>
      </c>
      <c r="AE97">
        <v>0</v>
      </c>
      <c r="AF97" t="s">
        <v>31</v>
      </c>
      <c r="AG97">
        <v>0</v>
      </c>
      <c r="AH97" t="s">
        <v>31</v>
      </c>
      <c r="AI97">
        <v>0</v>
      </c>
      <c r="AJ97" t="s">
        <v>31</v>
      </c>
      <c r="AK97">
        <v>0</v>
      </c>
      <c r="AL97" t="s">
        <v>31</v>
      </c>
      <c r="AM97">
        <v>0</v>
      </c>
      <c r="AN97" t="s">
        <v>31</v>
      </c>
      <c r="AO97">
        <v>0</v>
      </c>
      <c r="AP97" t="s">
        <v>31</v>
      </c>
      <c r="AQ97">
        <v>0</v>
      </c>
    </row>
    <row r="98" spans="1:43" x14ac:dyDescent="0.2">
      <c r="A98" t="s">
        <v>381</v>
      </c>
      <c r="B98" s="3">
        <v>44292</v>
      </c>
      <c r="C98">
        <v>51</v>
      </c>
      <c r="D98" t="s">
        <v>385</v>
      </c>
      <c r="E98" t="s">
        <v>24</v>
      </c>
      <c r="F98" s="9" t="s">
        <v>216</v>
      </c>
      <c r="G98" t="s">
        <v>26</v>
      </c>
      <c r="H98" t="s">
        <v>200</v>
      </c>
      <c r="I98" t="s">
        <v>201</v>
      </c>
      <c r="J98" t="s">
        <v>43</v>
      </c>
      <c r="K98" t="s">
        <v>44</v>
      </c>
      <c r="L98" t="s">
        <v>29</v>
      </c>
      <c r="M98" t="s">
        <v>30</v>
      </c>
      <c r="N98" t="s">
        <v>200</v>
      </c>
      <c r="O98" t="s">
        <v>201</v>
      </c>
      <c r="P98" t="s">
        <v>43</v>
      </c>
      <c r="Q98" t="s">
        <v>44</v>
      </c>
      <c r="R98" s="1">
        <v>44292.376423611109</v>
      </c>
      <c r="S98" s="1">
        <v>44292.483368055553</v>
      </c>
      <c r="T98">
        <v>0</v>
      </c>
      <c r="U98">
        <v>3</v>
      </c>
      <c r="V98" s="2">
        <v>0</v>
      </c>
      <c r="W98">
        <v>0</v>
      </c>
      <c r="X98" t="s">
        <v>47</v>
      </c>
      <c r="Y98">
        <v>0</v>
      </c>
      <c r="Z98" t="s">
        <v>47</v>
      </c>
      <c r="AA98">
        <v>0</v>
      </c>
      <c r="AB98" t="s">
        <v>47</v>
      </c>
      <c r="AC98">
        <v>0</v>
      </c>
      <c r="AD98" t="s">
        <v>31</v>
      </c>
      <c r="AE98">
        <v>0</v>
      </c>
      <c r="AF98" t="s">
        <v>31</v>
      </c>
      <c r="AG98">
        <v>0</v>
      </c>
      <c r="AH98" t="s">
        <v>31</v>
      </c>
      <c r="AI98">
        <v>0</v>
      </c>
      <c r="AJ98" t="s">
        <v>31</v>
      </c>
      <c r="AK98">
        <v>0</v>
      </c>
      <c r="AL98" t="s">
        <v>31</v>
      </c>
      <c r="AM98">
        <v>0</v>
      </c>
      <c r="AN98" t="s">
        <v>31</v>
      </c>
      <c r="AO98">
        <v>0</v>
      </c>
      <c r="AP98" t="s">
        <v>31</v>
      </c>
      <c r="AQ98">
        <v>0</v>
      </c>
    </row>
    <row r="99" spans="1:43" x14ac:dyDescent="0.2">
      <c r="A99" t="s">
        <v>381</v>
      </c>
      <c r="B99" s="3">
        <v>44350</v>
      </c>
      <c r="C99">
        <v>123</v>
      </c>
      <c r="D99" t="s">
        <v>382</v>
      </c>
      <c r="E99" t="s">
        <v>24</v>
      </c>
      <c r="F99" s="9" t="s">
        <v>216</v>
      </c>
      <c r="G99" t="s">
        <v>26</v>
      </c>
      <c r="H99" t="s">
        <v>200</v>
      </c>
      <c r="I99" t="s">
        <v>201</v>
      </c>
      <c r="J99" t="s">
        <v>43</v>
      </c>
      <c r="K99" t="s">
        <v>44</v>
      </c>
      <c r="L99" t="s">
        <v>29</v>
      </c>
      <c r="M99" t="s">
        <v>30</v>
      </c>
      <c r="N99" t="s">
        <v>200</v>
      </c>
      <c r="O99" t="s">
        <v>201</v>
      </c>
      <c r="P99" t="s">
        <v>43</v>
      </c>
      <c r="Q99" t="s">
        <v>44</v>
      </c>
      <c r="R99" s="1">
        <v>44350.433252314811</v>
      </c>
      <c r="S99" s="1">
        <v>44350.433252314811</v>
      </c>
      <c r="T99">
        <v>1</v>
      </c>
      <c r="U99">
        <v>1</v>
      </c>
      <c r="V99" s="2">
        <v>1</v>
      </c>
      <c r="W99">
        <v>0</v>
      </c>
      <c r="X99" t="s">
        <v>30</v>
      </c>
      <c r="Y99">
        <v>0</v>
      </c>
      <c r="Z99" t="s">
        <v>31</v>
      </c>
      <c r="AA99">
        <v>0</v>
      </c>
      <c r="AB99" t="s">
        <v>31</v>
      </c>
      <c r="AC99">
        <v>0</v>
      </c>
      <c r="AD99" t="s">
        <v>31</v>
      </c>
      <c r="AE99">
        <v>0</v>
      </c>
      <c r="AF99" t="s">
        <v>31</v>
      </c>
      <c r="AG99">
        <v>0</v>
      </c>
      <c r="AH99" t="s">
        <v>31</v>
      </c>
      <c r="AI99">
        <v>0</v>
      </c>
      <c r="AJ99" t="s">
        <v>31</v>
      </c>
      <c r="AK99">
        <v>0</v>
      </c>
      <c r="AL99" t="s">
        <v>31</v>
      </c>
      <c r="AM99">
        <v>0</v>
      </c>
      <c r="AN99" t="s">
        <v>31</v>
      </c>
      <c r="AO99">
        <v>0</v>
      </c>
      <c r="AP99" t="s">
        <v>31</v>
      </c>
      <c r="AQ99">
        <v>0</v>
      </c>
    </row>
    <row r="100" spans="1:43" x14ac:dyDescent="0.2">
      <c r="A100" t="s">
        <v>381</v>
      </c>
      <c r="B100" s="3">
        <v>44207</v>
      </c>
      <c r="C100">
        <v>1</v>
      </c>
      <c r="D100" t="s">
        <v>384</v>
      </c>
      <c r="E100" t="s">
        <v>32</v>
      </c>
      <c r="F100" s="9" t="s">
        <v>33</v>
      </c>
      <c r="G100" t="s">
        <v>26</v>
      </c>
      <c r="H100" t="s">
        <v>34</v>
      </c>
      <c r="I100" t="s">
        <v>35</v>
      </c>
      <c r="J100" t="s">
        <v>36</v>
      </c>
      <c r="K100" t="s">
        <v>37</v>
      </c>
      <c r="L100" t="s">
        <v>29</v>
      </c>
      <c r="M100" t="s">
        <v>30</v>
      </c>
      <c r="N100" t="s">
        <v>34</v>
      </c>
      <c r="O100" t="s">
        <v>35</v>
      </c>
      <c r="P100" t="s">
        <v>36</v>
      </c>
      <c r="Q100" t="s">
        <v>37</v>
      </c>
      <c r="R100" s="1">
        <v>44207.425717592596</v>
      </c>
      <c r="S100" s="1">
        <v>44207.426168981481</v>
      </c>
      <c r="T100">
        <v>0</v>
      </c>
      <c r="U100">
        <v>0</v>
      </c>
      <c r="V100" s="2">
        <v>0</v>
      </c>
      <c r="W100">
        <v>0</v>
      </c>
      <c r="X100" t="s">
        <v>37</v>
      </c>
      <c r="Y100">
        <v>0</v>
      </c>
      <c r="Z100" t="s">
        <v>37</v>
      </c>
      <c r="AA100">
        <v>0</v>
      </c>
      <c r="AB100" t="s">
        <v>37</v>
      </c>
      <c r="AC100">
        <v>0</v>
      </c>
      <c r="AD100" t="s">
        <v>31</v>
      </c>
      <c r="AE100">
        <v>0</v>
      </c>
      <c r="AF100" t="s">
        <v>31</v>
      </c>
      <c r="AG100">
        <v>0</v>
      </c>
      <c r="AH100" t="s">
        <v>31</v>
      </c>
      <c r="AI100">
        <v>0</v>
      </c>
      <c r="AJ100" t="s">
        <v>31</v>
      </c>
      <c r="AK100">
        <v>0</v>
      </c>
      <c r="AL100" t="s">
        <v>31</v>
      </c>
      <c r="AM100">
        <v>0</v>
      </c>
      <c r="AN100" t="s">
        <v>31</v>
      </c>
      <c r="AO100">
        <v>0</v>
      </c>
      <c r="AP100" t="s">
        <v>31</v>
      </c>
      <c r="AQ100">
        <v>0</v>
      </c>
    </row>
    <row r="101" spans="1:43" x14ac:dyDescent="0.2">
      <c r="A101" t="s">
        <v>381</v>
      </c>
      <c r="B101" s="3">
        <v>44238</v>
      </c>
      <c r="C101">
        <v>5</v>
      </c>
      <c r="D101" t="s">
        <v>382</v>
      </c>
      <c r="E101" t="s">
        <v>32</v>
      </c>
      <c r="F101" s="9" t="s">
        <v>33</v>
      </c>
      <c r="G101" t="s">
        <v>26</v>
      </c>
      <c r="H101" t="s">
        <v>34</v>
      </c>
      <c r="I101" t="s">
        <v>35</v>
      </c>
      <c r="J101" t="s">
        <v>36</v>
      </c>
      <c r="K101" t="s">
        <v>37</v>
      </c>
      <c r="L101" t="s">
        <v>29</v>
      </c>
      <c r="M101" t="s">
        <v>30</v>
      </c>
      <c r="N101" t="s">
        <v>34</v>
      </c>
      <c r="O101" t="s">
        <v>35</v>
      </c>
      <c r="P101" t="s">
        <v>36</v>
      </c>
      <c r="Q101" t="s">
        <v>37</v>
      </c>
      <c r="R101" s="1">
        <v>44238.461562500001</v>
      </c>
      <c r="S101" s="1">
        <v>44238.461967592593</v>
      </c>
      <c r="T101">
        <v>0</v>
      </c>
      <c r="U101">
        <v>0</v>
      </c>
      <c r="V101" s="2">
        <v>0</v>
      </c>
      <c r="W101">
        <v>0</v>
      </c>
      <c r="X101" t="s">
        <v>37</v>
      </c>
      <c r="Y101">
        <v>0</v>
      </c>
      <c r="Z101" t="s">
        <v>37</v>
      </c>
      <c r="AA101">
        <v>0</v>
      </c>
      <c r="AB101" t="s">
        <v>31</v>
      </c>
      <c r="AC101">
        <v>0</v>
      </c>
      <c r="AD101" t="s">
        <v>31</v>
      </c>
      <c r="AE101">
        <v>0</v>
      </c>
      <c r="AF101" t="s">
        <v>31</v>
      </c>
      <c r="AG101">
        <v>0</v>
      </c>
      <c r="AH101" t="s">
        <v>31</v>
      </c>
      <c r="AI101">
        <v>0</v>
      </c>
      <c r="AJ101" t="s">
        <v>31</v>
      </c>
      <c r="AK101">
        <v>0</v>
      </c>
      <c r="AL101" t="s">
        <v>31</v>
      </c>
      <c r="AM101">
        <v>0</v>
      </c>
      <c r="AN101" t="s">
        <v>31</v>
      </c>
      <c r="AO101">
        <v>0</v>
      </c>
      <c r="AP101" t="s">
        <v>31</v>
      </c>
      <c r="AQ101">
        <v>0</v>
      </c>
    </row>
    <row r="102" spans="1:43" x14ac:dyDescent="0.2">
      <c r="A102" t="s">
        <v>381</v>
      </c>
      <c r="B102" s="3">
        <v>44242</v>
      </c>
      <c r="C102">
        <v>8</v>
      </c>
      <c r="D102" t="s">
        <v>384</v>
      </c>
      <c r="E102" t="s">
        <v>32</v>
      </c>
      <c r="F102" s="9" t="s">
        <v>33</v>
      </c>
      <c r="G102" t="s">
        <v>26</v>
      </c>
      <c r="H102" t="s">
        <v>34</v>
      </c>
      <c r="I102" t="s">
        <v>35</v>
      </c>
      <c r="J102" t="s">
        <v>36</v>
      </c>
      <c r="K102" t="s">
        <v>37</v>
      </c>
      <c r="L102" t="s">
        <v>29</v>
      </c>
      <c r="M102" t="s">
        <v>30</v>
      </c>
      <c r="N102" t="s">
        <v>34</v>
      </c>
      <c r="O102" t="s">
        <v>35</v>
      </c>
      <c r="P102" t="s">
        <v>36</v>
      </c>
      <c r="Q102" t="s">
        <v>37</v>
      </c>
      <c r="R102" s="1">
        <v>44242.41065972222</v>
      </c>
      <c r="S102" s="1">
        <v>44242.410879629628</v>
      </c>
      <c r="T102">
        <v>0</v>
      </c>
      <c r="U102">
        <v>0</v>
      </c>
      <c r="V102" s="2">
        <v>0</v>
      </c>
      <c r="W102">
        <v>0</v>
      </c>
      <c r="X102" t="s">
        <v>37</v>
      </c>
      <c r="Y102">
        <v>0</v>
      </c>
      <c r="Z102" t="s">
        <v>37</v>
      </c>
      <c r="AA102">
        <v>0</v>
      </c>
      <c r="AB102" t="s">
        <v>37</v>
      </c>
      <c r="AC102">
        <v>0</v>
      </c>
      <c r="AD102" t="s">
        <v>31</v>
      </c>
      <c r="AE102">
        <v>0</v>
      </c>
      <c r="AF102" t="s">
        <v>31</v>
      </c>
      <c r="AG102">
        <v>0</v>
      </c>
      <c r="AH102" t="s">
        <v>31</v>
      </c>
      <c r="AI102">
        <v>0</v>
      </c>
      <c r="AJ102" t="s">
        <v>31</v>
      </c>
      <c r="AK102">
        <v>0</v>
      </c>
      <c r="AL102" t="s">
        <v>31</v>
      </c>
      <c r="AM102">
        <v>0</v>
      </c>
      <c r="AN102" t="s">
        <v>31</v>
      </c>
      <c r="AO102">
        <v>0</v>
      </c>
      <c r="AP102" t="s">
        <v>31</v>
      </c>
      <c r="AQ102">
        <v>0</v>
      </c>
    </row>
    <row r="103" spans="1:43" x14ac:dyDescent="0.2">
      <c r="A103" t="s">
        <v>381</v>
      </c>
      <c r="B103" s="3">
        <v>44243</v>
      </c>
      <c r="C103">
        <v>9</v>
      </c>
      <c r="D103" t="s">
        <v>382</v>
      </c>
      <c r="E103" t="s">
        <v>32</v>
      </c>
      <c r="F103" s="9" t="s">
        <v>33</v>
      </c>
      <c r="G103" t="s">
        <v>26</v>
      </c>
      <c r="H103" t="s">
        <v>34</v>
      </c>
      <c r="I103" t="s">
        <v>35</v>
      </c>
      <c r="J103" t="s">
        <v>36</v>
      </c>
      <c r="K103" t="s">
        <v>37</v>
      </c>
      <c r="L103" t="s">
        <v>29</v>
      </c>
      <c r="M103" t="s">
        <v>30</v>
      </c>
      <c r="N103" t="s">
        <v>34</v>
      </c>
      <c r="O103" t="s">
        <v>35</v>
      </c>
      <c r="P103" t="s">
        <v>36</v>
      </c>
      <c r="Q103" t="s">
        <v>37</v>
      </c>
      <c r="R103" s="1">
        <v>44243.419108796297</v>
      </c>
      <c r="S103" s="1">
        <v>44243.450115740743</v>
      </c>
      <c r="T103">
        <v>0</v>
      </c>
      <c r="U103">
        <v>0</v>
      </c>
      <c r="V103" s="2">
        <v>0</v>
      </c>
      <c r="W103">
        <v>0</v>
      </c>
      <c r="X103" t="s">
        <v>37</v>
      </c>
      <c r="Y103">
        <v>0</v>
      </c>
      <c r="Z103" t="s">
        <v>37</v>
      </c>
      <c r="AA103">
        <v>0</v>
      </c>
      <c r="AB103" t="s">
        <v>31</v>
      </c>
      <c r="AC103">
        <v>0</v>
      </c>
      <c r="AD103" t="s">
        <v>31</v>
      </c>
      <c r="AE103">
        <v>0</v>
      </c>
      <c r="AF103" t="s">
        <v>31</v>
      </c>
      <c r="AG103">
        <v>0</v>
      </c>
      <c r="AH103" t="s">
        <v>31</v>
      </c>
      <c r="AI103">
        <v>0</v>
      </c>
      <c r="AJ103" t="s">
        <v>31</v>
      </c>
      <c r="AK103">
        <v>0</v>
      </c>
      <c r="AL103" t="s">
        <v>31</v>
      </c>
      <c r="AM103">
        <v>0</v>
      </c>
      <c r="AN103" t="s">
        <v>31</v>
      </c>
      <c r="AO103">
        <v>0</v>
      </c>
      <c r="AP103" t="s">
        <v>31</v>
      </c>
      <c r="AQ103">
        <v>0</v>
      </c>
    </row>
    <row r="104" spans="1:43" x14ac:dyDescent="0.2">
      <c r="A104" t="s">
        <v>381</v>
      </c>
      <c r="B104" s="3">
        <v>44243</v>
      </c>
      <c r="C104">
        <v>10</v>
      </c>
      <c r="D104" t="s">
        <v>385</v>
      </c>
      <c r="E104" t="s">
        <v>32</v>
      </c>
      <c r="F104" s="9" t="s">
        <v>33</v>
      </c>
      <c r="G104" t="s">
        <v>26</v>
      </c>
      <c r="H104" t="s">
        <v>34</v>
      </c>
      <c r="I104" t="s">
        <v>35</v>
      </c>
      <c r="J104" t="s">
        <v>36</v>
      </c>
      <c r="K104" t="s">
        <v>37</v>
      </c>
      <c r="L104" t="s">
        <v>29</v>
      </c>
      <c r="M104" t="s">
        <v>30</v>
      </c>
      <c r="N104" t="s">
        <v>34</v>
      </c>
      <c r="O104" t="s">
        <v>35</v>
      </c>
      <c r="P104" t="s">
        <v>36</v>
      </c>
      <c r="Q104" t="s">
        <v>37</v>
      </c>
      <c r="R104" s="1">
        <v>44243.611944444441</v>
      </c>
      <c r="S104" s="1">
        <v>44243.631493055553</v>
      </c>
      <c r="T104">
        <v>0</v>
      </c>
      <c r="U104">
        <v>0</v>
      </c>
      <c r="V104" s="2">
        <v>0</v>
      </c>
      <c r="W104">
        <v>0</v>
      </c>
      <c r="X104" t="s">
        <v>37</v>
      </c>
      <c r="Y104">
        <v>0</v>
      </c>
      <c r="Z104" t="s">
        <v>37</v>
      </c>
      <c r="AA104">
        <v>0</v>
      </c>
      <c r="AB104" t="s">
        <v>37</v>
      </c>
      <c r="AC104">
        <v>0</v>
      </c>
      <c r="AD104" t="s">
        <v>31</v>
      </c>
      <c r="AE104">
        <v>0</v>
      </c>
      <c r="AF104" t="s">
        <v>31</v>
      </c>
      <c r="AG104">
        <v>0</v>
      </c>
      <c r="AH104" t="s">
        <v>31</v>
      </c>
      <c r="AI104">
        <v>0</v>
      </c>
      <c r="AJ104" t="s">
        <v>31</v>
      </c>
      <c r="AK104">
        <v>0</v>
      </c>
      <c r="AL104" t="s">
        <v>31</v>
      </c>
      <c r="AM104">
        <v>0</v>
      </c>
      <c r="AN104" t="s">
        <v>31</v>
      </c>
      <c r="AO104">
        <v>0</v>
      </c>
      <c r="AP104" t="s">
        <v>31</v>
      </c>
      <c r="AQ104">
        <v>0</v>
      </c>
    </row>
    <row r="105" spans="1:43" x14ac:dyDescent="0.2">
      <c r="A105" t="s">
        <v>381</v>
      </c>
      <c r="B105" s="3">
        <v>44244</v>
      </c>
      <c r="C105">
        <v>11</v>
      </c>
      <c r="D105" t="s">
        <v>384</v>
      </c>
      <c r="E105" t="s">
        <v>32</v>
      </c>
      <c r="F105" s="9" t="s">
        <v>33</v>
      </c>
      <c r="G105" t="s">
        <v>26</v>
      </c>
      <c r="H105" t="s">
        <v>34</v>
      </c>
      <c r="I105" t="s">
        <v>35</v>
      </c>
      <c r="J105" t="s">
        <v>36</v>
      </c>
      <c r="K105" t="s">
        <v>37</v>
      </c>
      <c r="L105" t="s">
        <v>29</v>
      </c>
      <c r="M105" t="s">
        <v>30</v>
      </c>
      <c r="N105" t="s">
        <v>34</v>
      </c>
      <c r="O105" t="s">
        <v>35</v>
      </c>
      <c r="P105" t="s">
        <v>36</v>
      </c>
      <c r="Q105" t="s">
        <v>37</v>
      </c>
      <c r="R105" s="1">
        <v>44244.453009259261</v>
      </c>
      <c r="S105" s="1">
        <v>44244.453356481485</v>
      </c>
      <c r="T105">
        <v>0</v>
      </c>
      <c r="U105">
        <v>0</v>
      </c>
      <c r="V105" s="2">
        <v>0</v>
      </c>
      <c r="W105">
        <v>0</v>
      </c>
      <c r="X105" t="s">
        <v>37</v>
      </c>
      <c r="Y105">
        <v>0</v>
      </c>
      <c r="Z105" t="s">
        <v>37</v>
      </c>
      <c r="AA105">
        <v>0</v>
      </c>
      <c r="AB105" t="s">
        <v>37</v>
      </c>
      <c r="AC105">
        <v>0</v>
      </c>
      <c r="AD105" t="s">
        <v>31</v>
      </c>
      <c r="AE105">
        <v>0</v>
      </c>
      <c r="AF105" t="s">
        <v>31</v>
      </c>
      <c r="AG105">
        <v>0</v>
      </c>
      <c r="AH105" t="s">
        <v>31</v>
      </c>
      <c r="AI105">
        <v>0</v>
      </c>
      <c r="AJ105" t="s">
        <v>31</v>
      </c>
      <c r="AK105">
        <v>0</v>
      </c>
      <c r="AL105" t="s">
        <v>31</v>
      </c>
      <c r="AM105">
        <v>0</v>
      </c>
      <c r="AN105" t="s">
        <v>31</v>
      </c>
      <c r="AO105">
        <v>0</v>
      </c>
      <c r="AP105" t="s">
        <v>31</v>
      </c>
      <c r="AQ105">
        <v>0</v>
      </c>
    </row>
    <row r="106" spans="1:43" x14ac:dyDescent="0.2">
      <c r="A106" t="s">
        <v>381</v>
      </c>
      <c r="B106" s="3">
        <v>44245</v>
      </c>
      <c r="C106">
        <v>12</v>
      </c>
      <c r="D106" t="s">
        <v>382</v>
      </c>
      <c r="E106" t="s">
        <v>32</v>
      </c>
      <c r="F106" s="9" t="s">
        <v>33</v>
      </c>
      <c r="G106" t="s">
        <v>26</v>
      </c>
      <c r="H106" t="s">
        <v>34</v>
      </c>
      <c r="I106" t="s">
        <v>35</v>
      </c>
      <c r="J106" t="s">
        <v>36</v>
      </c>
      <c r="K106" t="s">
        <v>37</v>
      </c>
      <c r="L106" t="s">
        <v>29</v>
      </c>
      <c r="M106" t="s">
        <v>30</v>
      </c>
      <c r="N106" t="s">
        <v>34</v>
      </c>
      <c r="O106" t="s">
        <v>35</v>
      </c>
      <c r="P106" t="s">
        <v>36</v>
      </c>
      <c r="Q106" t="s">
        <v>37</v>
      </c>
      <c r="R106" s="1">
        <v>44245.379166666666</v>
      </c>
      <c r="S106" s="1">
        <v>44245.45957175926</v>
      </c>
      <c r="T106">
        <v>0</v>
      </c>
      <c r="U106">
        <v>0</v>
      </c>
      <c r="V106" s="2">
        <v>0</v>
      </c>
      <c r="W106">
        <v>0</v>
      </c>
      <c r="X106" t="s">
        <v>37</v>
      </c>
      <c r="Y106">
        <v>0</v>
      </c>
      <c r="Z106" t="s">
        <v>37</v>
      </c>
      <c r="AA106">
        <v>0</v>
      </c>
      <c r="AB106" t="s">
        <v>37</v>
      </c>
      <c r="AC106">
        <v>0</v>
      </c>
      <c r="AD106" t="s">
        <v>37</v>
      </c>
      <c r="AE106">
        <v>0</v>
      </c>
      <c r="AF106" t="s">
        <v>37</v>
      </c>
      <c r="AG106">
        <v>0</v>
      </c>
      <c r="AH106" t="s">
        <v>31</v>
      </c>
      <c r="AI106">
        <v>0</v>
      </c>
      <c r="AJ106" t="s">
        <v>31</v>
      </c>
      <c r="AK106">
        <v>0</v>
      </c>
      <c r="AL106" t="s">
        <v>31</v>
      </c>
      <c r="AM106">
        <v>0</v>
      </c>
      <c r="AN106" t="s">
        <v>31</v>
      </c>
      <c r="AO106">
        <v>0</v>
      </c>
      <c r="AP106" t="s">
        <v>31</v>
      </c>
      <c r="AQ106">
        <v>0</v>
      </c>
    </row>
    <row r="107" spans="1:43" x14ac:dyDescent="0.2">
      <c r="A107" t="s">
        <v>381</v>
      </c>
      <c r="B107" s="3">
        <v>44246</v>
      </c>
      <c r="C107">
        <v>14</v>
      </c>
      <c r="D107" t="s">
        <v>384</v>
      </c>
      <c r="E107" t="s">
        <v>32</v>
      </c>
      <c r="F107" s="9" t="s">
        <v>33</v>
      </c>
      <c r="G107" t="s">
        <v>26</v>
      </c>
      <c r="H107" t="s">
        <v>34</v>
      </c>
      <c r="I107" t="s">
        <v>35</v>
      </c>
      <c r="J107" t="s">
        <v>36</v>
      </c>
      <c r="K107" t="s">
        <v>37</v>
      </c>
      <c r="L107" t="s">
        <v>29</v>
      </c>
      <c r="M107" t="s">
        <v>30</v>
      </c>
      <c r="N107" t="s">
        <v>34</v>
      </c>
      <c r="O107" t="s">
        <v>35</v>
      </c>
      <c r="P107" t="s">
        <v>36</v>
      </c>
      <c r="Q107" t="s">
        <v>37</v>
      </c>
      <c r="R107" s="1">
        <v>44246.413402777776</v>
      </c>
      <c r="S107" s="1">
        <v>44246.414212962962</v>
      </c>
      <c r="T107">
        <v>0</v>
      </c>
      <c r="U107">
        <v>1</v>
      </c>
      <c r="V107" s="2">
        <v>0</v>
      </c>
      <c r="W107">
        <v>0</v>
      </c>
      <c r="X107" t="s">
        <v>37</v>
      </c>
      <c r="Y107">
        <v>0</v>
      </c>
      <c r="Z107" t="s">
        <v>44</v>
      </c>
      <c r="AA107">
        <v>0</v>
      </c>
      <c r="AB107" t="s">
        <v>37</v>
      </c>
      <c r="AC107">
        <v>0</v>
      </c>
      <c r="AD107" t="s">
        <v>37</v>
      </c>
      <c r="AE107">
        <v>0</v>
      </c>
      <c r="AF107" t="s">
        <v>31</v>
      </c>
      <c r="AG107">
        <v>0</v>
      </c>
      <c r="AH107" t="s">
        <v>31</v>
      </c>
      <c r="AI107">
        <v>0</v>
      </c>
      <c r="AJ107" t="s">
        <v>31</v>
      </c>
      <c r="AK107">
        <v>0</v>
      </c>
      <c r="AL107" t="s">
        <v>31</v>
      </c>
      <c r="AM107">
        <v>0</v>
      </c>
      <c r="AN107" t="s">
        <v>31</v>
      </c>
      <c r="AO107">
        <v>0</v>
      </c>
      <c r="AP107" t="s">
        <v>31</v>
      </c>
      <c r="AQ107">
        <v>0</v>
      </c>
    </row>
    <row r="108" spans="1:43" x14ac:dyDescent="0.2">
      <c r="A108" t="s">
        <v>381</v>
      </c>
      <c r="B108" s="3">
        <v>44249</v>
      </c>
      <c r="C108">
        <v>15</v>
      </c>
      <c r="D108" t="s">
        <v>384</v>
      </c>
      <c r="E108" t="s">
        <v>32</v>
      </c>
      <c r="F108" s="9" t="s">
        <v>33</v>
      </c>
      <c r="G108" t="s">
        <v>26</v>
      </c>
      <c r="H108" t="s">
        <v>34</v>
      </c>
      <c r="I108" t="s">
        <v>35</v>
      </c>
      <c r="J108" t="s">
        <v>36</v>
      </c>
      <c r="K108" t="s">
        <v>37</v>
      </c>
      <c r="L108" t="s">
        <v>29</v>
      </c>
      <c r="M108" t="s">
        <v>30</v>
      </c>
      <c r="N108" t="s">
        <v>34</v>
      </c>
      <c r="O108" t="s">
        <v>35</v>
      </c>
      <c r="P108" t="s">
        <v>36</v>
      </c>
      <c r="Q108" t="s">
        <v>37</v>
      </c>
      <c r="R108" s="1">
        <v>44249.437534722223</v>
      </c>
      <c r="S108" s="1">
        <v>44249.437800925924</v>
      </c>
      <c r="T108">
        <v>0</v>
      </c>
      <c r="U108">
        <v>1</v>
      </c>
      <c r="V108" s="2">
        <v>0</v>
      </c>
      <c r="W108">
        <v>0</v>
      </c>
      <c r="X108" t="s">
        <v>37</v>
      </c>
      <c r="Y108">
        <v>0</v>
      </c>
      <c r="Z108" t="s">
        <v>37</v>
      </c>
      <c r="AA108">
        <v>0</v>
      </c>
      <c r="AB108" t="s">
        <v>44</v>
      </c>
      <c r="AC108">
        <v>0</v>
      </c>
      <c r="AD108" t="s">
        <v>37</v>
      </c>
      <c r="AE108">
        <v>0</v>
      </c>
      <c r="AF108" t="s">
        <v>31</v>
      </c>
      <c r="AG108">
        <v>0</v>
      </c>
      <c r="AH108" t="s">
        <v>31</v>
      </c>
      <c r="AI108">
        <v>0</v>
      </c>
      <c r="AJ108" t="s">
        <v>31</v>
      </c>
      <c r="AK108">
        <v>0</v>
      </c>
      <c r="AL108" t="s">
        <v>31</v>
      </c>
      <c r="AM108">
        <v>0</v>
      </c>
      <c r="AN108" t="s">
        <v>31</v>
      </c>
      <c r="AO108">
        <v>0</v>
      </c>
      <c r="AP108" t="s">
        <v>31</v>
      </c>
      <c r="AQ108">
        <v>0</v>
      </c>
    </row>
    <row r="109" spans="1:43" x14ac:dyDescent="0.2">
      <c r="A109" t="s">
        <v>381</v>
      </c>
      <c r="B109" s="3">
        <v>44250</v>
      </c>
      <c r="C109">
        <v>16</v>
      </c>
      <c r="D109" t="s">
        <v>382</v>
      </c>
      <c r="E109" t="s">
        <v>32</v>
      </c>
      <c r="F109" s="9" t="s">
        <v>33</v>
      </c>
      <c r="G109" t="s">
        <v>26</v>
      </c>
      <c r="H109" t="s">
        <v>34</v>
      </c>
      <c r="I109" t="s">
        <v>35</v>
      </c>
      <c r="J109" t="s">
        <v>36</v>
      </c>
      <c r="K109" t="s">
        <v>37</v>
      </c>
      <c r="L109" t="s">
        <v>29</v>
      </c>
      <c r="M109" t="s">
        <v>30</v>
      </c>
      <c r="N109" t="s">
        <v>34</v>
      </c>
      <c r="O109" t="s">
        <v>35</v>
      </c>
      <c r="P109" t="s">
        <v>36</v>
      </c>
      <c r="Q109" t="s">
        <v>37</v>
      </c>
      <c r="R109" s="1">
        <v>44250.375833333332</v>
      </c>
      <c r="S109" s="1">
        <v>44250.430879629632</v>
      </c>
      <c r="T109">
        <v>0</v>
      </c>
      <c r="U109">
        <v>0</v>
      </c>
      <c r="V109" s="2">
        <v>0</v>
      </c>
      <c r="W109">
        <v>0</v>
      </c>
      <c r="X109" t="s">
        <v>37</v>
      </c>
      <c r="Y109">
        <v>0</v>
      </c>
      <c r="Z109" t="s">
        <v>37</v>
      </c>
      <c r="AA109">
        <v>0</v>
      </c>
      <c r="AB109" t="s">
        <v>37</v>
      </c>
      <c r="AC109">
        <v>0</v>
      </c>
      <c r="AD109" t="s">
        <v>31</v>
      </c>
      <c r="AE109">
        <v>0</v>
      </c>
      <c r="AF109" t="s">
        <v>31</v>
      </c>
      <c r="AG109">
        <v>0</v>
      </c>
      <c r="AH109" t="s">
        <v>31</v>
      </c>
      <c r="AI109">
        <v>0</v>
      </c>
      <c r="AJ109" t="s">
        <v>31</v>
      </c>
      <c r="AK109">
        <v>0</v>
      </c>
      <c r="AL109" t="s">
        <v>31</v>
      </c>
      <c r="AM109">
        <v>0</v>
      </c>
      <c r="AN109" t="s">
        <v>31</v>
      </c>
      <c r="AO109">
        <v>0</v>
      </c>
      <c r="AP109" t="s">
        <v>31</v>
      </c>
      <c r="AQ109">
        <v>0</v>
      </c>
    </row>
    <row r="110" spans="1:43" x14ac:dyDescent="0.2">
      <c r="A110" t="s">
        <v>381</v>
      </c>
      <c r="B110" s="3">
        <v>44250</v>
      </c>
      <c r="C110">
        <v>17</v>
      </c>
      <c r="D110" t="s">
        <v>385</v>
      </c>
      <c r="E110" t="s">
        <v>32</v>
      </c>
      <c r="F110" s="9" t="s">
        <v>33</v>
      </c>
      <c r="G110" t="s">
        <v>26</v>
      </c>
      <c r="H110" t="s">
        <v>34</v>
      </c>
      <c r="I110" t="s">
        <v>35</v>
      </c>
      <c r="J110" t="s">
        <v>36</v>
      </c>
      <c r="K110" t="s">
        <v>37</v>
      </c>
      <c r="L110" t="s">
        <v>29</v>
      </c>
      <c r="M110" t="s">
        <v>30</v>
      </c>
      <c r="N110" t="s">
        <v>34</v>
      </c>
      <c r="O110" t="s">
        <v>35</v>
      </c>
      <c r="P110" t="s">
        <v>36</v>
      </c>
      <c r="Q110" t="s">
        <v>37</v>
      </c>
      <c r="R110" s="1">
        <v>44250.596666666665</v>
      </c>
      <c r="S110" s="1">
        <v>44250.657129629632</v>
      </c>
      <c r="T110">
        <v>0</v>
      </c>
      <c r="U110">
        <v>0</v>
      </c>
      <c r="V110" s="2">
        <v>0</v>
      </c>
      <c r="W110">
        <v>0</v>
      </c>
      <c r="X110" t="s">
        <v>37</v>
      </c>
      <c r="Y110">
        <v>0</v>
      </c>
      <c r="Z110" t="s">
        <v>37</v>
      </c>
      <c r="AA110">
        <v>0</v>
      </c>
      <c r="AB110" t="s">
        <v>37</v>
      </c>
      <c r="AC110">
        <v>0</v>
      </c>
      <c r="AD110" t="s">
        <v>37</v>
      </c>
      <c r="AE110">
        <v>0</v>
      </c>
      <c r="AF110" t="s">
        <v>31</v>
      </c>
      <c r="AG110">
        <v>0</v>
      </c>
      <c r="AH110" t="s">
        <v>31</v>
      </c>
      <c r="AI110">
        <v>0</v>
      </c>
      <c r="AJ110" t="s">
        <v>31</v>
      </c>
      <c r="AK110">
        <v>0</v>
      </c>
      <c r="AL110" t="s">
        <v>31</v>
      </c>
      <c r="AM110">
        <v>0</v>
      </c>
      <c r="AN110" t="s">
        <v>31</v>
      </c>
      <c r="AO110">
        <v>0</v>
      </c>
      <c r="AP110" t="s">
        <v>31</v>
      </c>
      <c r="AQ110">
        <v>0</v>
      </c>
    </row>
    <row r="111" spans="1:43" x14ac:dyDescent="0.2">
      <c r="A111" t="s">
        <v>381</v>
      </c>
      <c r="B111" s="3">
        <v>44251</v>
      </c>
      <c r="C111">
        <v>18</v>
      </c>
      <c r="D111" t="s">
        <v>384</v>
      </c>
      <c r="E111" t="s">
        <v>32</v>
      </c>
      <c r="F111" s="9" t="s">
        <v>33</v>
      </c>
      <c r="G111" t="s">
        <v>26</v>
      </c>
      <c r="H111" t="s">
        <v>34</v>
      </c>
      <c r="I111" t="s">
        <v>35</v>
      </c>
      <c r="J111" t="s">
        <v>36</v>
      </c>
      <c r="K111" t="s">
        <v>37</v>
      </c>
      <c r="L111" t="s">
        <v>29</v>
      </c>
      <c r="M111" t="s">
        <v>30</v>
      </c>
      <c r="N111" t="s">
        <v>34</v>
      </c>
      <c r="O111" t="s">
        <v>35</v>
      </c>
      <c r="P111" t="s">
        <v>36</v>
      </c>
      <c r="Q111" t="s">
        <v>37</v>
      </c>
      <c r="R111" s="1">
        <v>44251.388067129628</v>
      </c>
      <c r="S111" s="1">
        <v>44251.388391203705</v>
      </c>
      <c r="T111">
        <v>0</v>
      </c>
      <c r="U111">
        <v>0</v>
      </c>
      <c r="V111" s="2">
        <v>0</v>
      </c>
      <c r="W111">
        <v>0</v>
      </c>
      <c r="X111" t="s">
        <v>37</v>
      </c>
      <c r="Y111">
        <v>0</v>
      </c>
      <c r="Z111" t="s">
        <v>37</v>
      </c>
      <c r="AA111">
        <v>0</v>
      </c>
      <c r="AB111" t="s">
        <v>37</v>
      </c>
      <c r="AC111">
        <v>0</v>
      </c>
      <c r="AD111" t="s">
        <v>31</v>
      </c>
      <c r="AE111">
        <v>0</v>
      </c>
      <c r="AF111" t="s">
        <v>31</v>
      </c>
      <c r="AG111">
        <v>0</v>
      </c>
      <c r="AH111" t="s">
        <v>31</v>
      </c>
      <c r="AI111">
        <v>0</v>
      </c>
      <c r="AJ111" t="s">
        <v>31</v>
      </c>
      <c r="AK111">
        <v>0</v>
      </c>
      <c r="AL111" t="s">
        <v>31</v>
      </c>
      <c r="AM111">
        <v>0</v>
      </c>
      <c r="AN111" t="s">
        <v>31</v>
      </c>
      <c r="AO111">
        <v>0</v>
      </c>
      <c r="AP111" t="s">
        <v>31</v>
      </c>
      <c r="AQ111">
        <v>0</v>
      </c>
    </row>
    <row r="112" spans="1:43" x14ac:dyDescent="0.2">
      <c r="A112" t="s">
        <v>381</v>
      </c>
      <c r="B112" s="3">
        <v>44252</v>
      </c>
      <c r="C112">
        <v>19</v>
      </c>
      <c r="D112" t="s">
        <v>382</v>
      </c>
      <c r="E112" t="s">
        <v>32</v>
      </c>
      <c r="F112" s="9" t="s">
        <v>33</v>
      </c>
      <c r="G112" t="s">
        <v>26</v>
      </c>
      <c r="H112" t="s">
        <v>34</v>
      </c>
      <c r="I112" t="s">
        <v>35</v>
      </c>
      <c r="J112" t="s">
        <v>36</v>
      </c>
      <c r="K112" t="s">
        <v>37</v>
      </c>
      <c r="L112" t="s">
        <v>29</v>
      </c>
      <c r="M112" t="s">
        <v>30</v>
      </c>
      <c r="N112" t="s">
        <v>34</v>
      </c>
      <c r="O112" t="s">
        <v>35</v>
      </c>
      <c r="P112" t="s">
        <v>36</v>
      </c>
      <c r="Q112" t="s">
        <v>37</v>
      </c>
      <c r="R112" s="1">
        <v>44252.394305555557</v>
      </c>
      <c r="S112" s="1">
        <v>44252.449155092596</v>
      </c>
      <c r="T112">
        <v>0</v>
      </c>
      <c r="U112">
        <v>0</v>
      </c>
      <c r="V112" s="2">
        <v>0</v>
      </c>
      <c r="W112">
        <v>0</v>
      </c>
      <c r="X112" t="s">
        <v>37</v>
      </c>
      <c r="Y112">
        <v>0</v>
      </c>
      <c r="Z112" t="s">
        <v>37</v>
      </c>
      <c r="AA112">
        <v>0</v>
      </c>
      <c r="AB112" t="s">
        <v>37</v>
      </c>
      <c r="AC112">
        <v>0</v>
      </c>
      <c r="AD112" t="s">
        <v>37</v>
      </c>
      <c r="AE112">
        <v>0</v>
      </c>
      <c r="AF112" t="s">
        <v>37</v>
      </c>
      <c r="AG112">
        <v>0</v>
      </c>
      <c r="AH112" t="s">
        <v>31</v>
      </c>
      <c r="AI112">
        <v>0</v>
      </c>
      <c r="AJ112" t="s">
        <v>31</v>
      </c>
      <c r="AK112">
        <v>0</v>
      </c>
      <c r="AL112" t="s">
        <v>31</v>
      </c>
      <c r="AM112">
        <v>0</v>
      </c>
      <c r="AN112" t="s">
        <v>31</v>
      </c>
      <c r="AO112">
        <v>0</v>
      </c>
      <c r="AP112" t="s">
        <v>31</v>
      </c>
      <c r="AQ112">
        <v>0</v>
      </c>
    </row>
    <row r="113" spans="1:43" x14ac:dyDescent="0.2">
      <c r="A113" t="s">
        <v>381</v>
      </c>
      <c r="B113" s="3">
        <v>44252</v>
      </c>
      <c r="C113">
        <v>20</v>
      </c>
      <c r="D113" t="s">
        <v>385</v>
      </c>
      <c r="E113" t="s">
        <v>32</v>
      </c>
      <c r="F113" s="9" t="s">
        <v>33</v>
      </c>
      <c r="G113" t="s">
        <v>26</v>
      </c>
      <c r="H113" t="s">
        <v>34</v>
      </c>
      <c r="I113" t="s">
        <v>35</v>
      </c>
      <c r="J113" t="s">
        <v>36</v>
      </c>
      <c r="K113" t="s">
        <v>37</v>
      </c>
      <c r="L113" t="s">
        <v>29</v>
      </c>
      <c r="M113" t="s">
        <v>30</v>
      </c>
      <c r="N113" t="s">
        <v>34</v>
      </c>
      <c r="O113" t="s">
        <v>35</v>
      </c>
      <c r="P113" t="s">
        <v>36</v>
      </c>
      <c r="Q113" t="s">
        <v>37</v>
      </c>
      <c r="R113" s="1">
        <v>44252.569490740738</v>
      </c>
      <c r="S113" s="1">
        <v>44252.617523148147</v>
      </c>
      <c r="T113">
        <v>0</v>
      </c>
      <c r="U113">
        <v>0</v>
      </c>
      <c r="V113" s="2">
        <v>0</v>
      </c>
      <c r="W113">
        <v>0</v>
      </c>
      <c r="X113" t="s">
        <v>37</v>
      </c>
      <c r="Y113">
        <v>0</v>
      </c>
      <c r="Z113" t="s">
        <v>37</v>
      </c>
      <c r="AA113">
        <v>0</v>
      </c>
      <c r="AB113" t="s">
        <v>37</v>
      </c>
      <c r="AC113">
        <v>0</v>
      </c>
      <c r="AD113" t="s">
        <v>37</v>
      </c>
      <c r="AE113">
        <v>0</v>
      </c>
      <c r="AF113" t="s">
        <v>37</v>
      </c>
      <c r="AG113">
        <v>0</v>
      </c>
      <c r="AH113" t="s">
        <v>37</v>
      </c>
      <c r="AI113">
        <v>0</v>
      </c>
      <c r="AJ113" t="s">
        <v>31</v>
      </c>
      <c r="AK113">
        <v>0</v>
      </c>
      <c r="AL113" t="s">
        <v>31</v>
      </c>
      <c r="AM113">
        <v>0</v>
      </c>
      <c r="AN113" t="s">
        <v>31</v>
      </c>
      <c r="AO113">
        <v>0</v>
      </c>
      <c r="AP113" t="s">
        <v>31</v>
      </c>
      <c r="AQ113">
        <v>0</v>
      </c>
    </row>
    <row r="114" spans="1:43" x14ac:dyDescent="0.2">
      <c r="A114" t="s">
        <v>381</v>
      </c>
      <c r="B114" s="3">
        <v>44253</v>
      </c>
      <c r="C114">
        <v>21</v>
      </c>
      <c r="D114" t="s">
        <v>384</v>
      </c>
      <c r="E114" t="s">
        <v>32</v>
      </c>
      <c r="F114" s="9" t="s">
        <v>33</v>
      </c>
      <c r="G114" t="s">
        <v>26</v>
      </c>
      <c r="H114" t="s">
        <v>34</v>
      </c>
      <c r="I114" t="s">
        <v>35</v>
      </c>
      <c r="J114" t="s">
        <v>36</v>
      </c>
      <c r="K114" t="s">
        <v>37</v>
      </c>
      <c r="L114" t="s">
        <v>29</v>
      </c>
      <c r="M114" t="s">
        <v>30</v>
      </c>
      <c r="N114" t="s">
        <v>34</v>
      </c>
      <c r="O114" t="s">
        <v>35</v>
      </c>
      <c r="P114" t="s">
        <v>36</v>
      </c>
      <c r="Q114" t="s">
        <v>37</v>
      </c>
      <c r="R114" s="1">
        <v>44253.386331018519</v>
      </c>
      <c r="S114" s="1">
        <v>44253.386550925927</v>
      </c>
      <c r="T114">
        <v>0</v>
      </c>
      <c r="U114">
        <v>0</v>
      </c>
      <c r="V114" s="2">
        <v>0</v>
      </c>
      <c r="W114">
        <v>0</v>
      </c>
      <c r="X114" t="s">
        <v>37</v>
      </c>
      <c r="Y114">
        <v>0</v>
      </c>
      <c r="Z114" t="s">
        <v>37</v>
      </c>
      <c r="AA114">
        <v>0</v>
      </c>
      <c r="AB114" t="s">
        <v>37</v>
      </c>
      <c r="AC114">
        <v>0</v>
      </c>
      <c r="AD114" t="s">
        <v>31</v>
      </c>
      <c r="AE114">
        <v>0</v>
      </c>
      <c r="AF114" t="s">
        <v>31</v>
      </c>
      <c r="AG114">
        <v>0</v>
      </c>
      <c r="AH114" t="s">
        <v>31</v>
      </c>
      <c r="AI114">
        <v>0</v>
      </c>
      <c r="AJ114" t="s">
        <v>31</v>
      </c>
      <c r="AK114">
        <v>0</v>
      </c>
      <c r="AL114" t="s">
        <v>31</v>
      </c>
      <c r="AM114">
        <v>0</v>
      </c>
      <c r="AN114" t="s">
        <v>31</v>
      </c>
      <c r="AO114">
        <v>0</v>
      </c>
      <c r="AP114" t="s">
        <v>31</v>
      </c>
      <c r="AQ114">
        <v>0</v>
      </c>
    </row>
    <row r="115" spans="1:43" x14ac:dyDescent="0.2">
      <c r="A115" t="s">
        <v>381</v>
      </c>
      <c r="B115" s="3">
        <v>44256</v>
      </c>
      <c r="C115">
        <v>22</v>
      </c>
      <c r="D115" t="s">
        <v>384</v>
      </c>
      <c r="E115" t="s">
        <v>32</v>
      </c>
      <c r="F115" s="9" t="s">
        <v>33</v>
      </c>
      <c r="G115" t="s">
        <v>26</v>
      </c>
      <c r="H115" t="s">
        <v>34</v>
      </c>
      <c r="I115" t="s">
        <v>35</v>
      </c>
      <c r="J115" t="s">
        <v>36</v>
      </c>
      <c r="K115" t="s">
        <v>37</v>
      </c>
      <c r="L115" t="s">
        <v>29</v>
      </c>
      <c r="M115" t="s">
        <v>30</v>
      </c>
      <c r="N115" t="s">
        <v>34</v>
      </c>
      <c r="O115" t="s">
        <v>35</v>
      </c>
      <c r="P115" t="s">
        <v>36</v>
      </c>
      <c r="Q115" t="s">
        <v>37</v>
      </c>
      <c r="R115" s="1">
        <v>44256.391064814816</v>
      </c>
      <c r="S115" s="1">
        <v>44256.391412037039</v>
      </c>
      <c r="T115">
        <v>0</v>
      </c>
      <c r="U115">
        <v>0</v>
      </c>
      <c r="V115" s="2">
        <v>0</v>
      </c>
      <c r="W115">
        <v>0</v>
      </c>
      <c r="X115" t="s">
        <v>37</v>
      </c>
      <c r="Y115">
        <v>0</v>
      </c>
      <c r="Z115" t="s">
        <v>37</v>
      </c>
      <c r="AA115">
        <v>0</v>
      </c>
      <c r="AB115" t="s">
        <v>37</v>
      </c>
      <c r="AC115">
        <v>0</v>
      </c>
      <c r="AD115" t="s">
        <v>31</v>
      </c>
      <c r="AE115">
        <v>0</v>
      </c>
      <c r="AF115" t="s">
        <v>31</v>
      </c>
      <c r="AG115">
        <v>0</v>
      </c>
      <c r="AH115" t="s">
        <v>31</v>
      </c>
      <c r="AI115">
        <v>0</v>
      </c>
      <c r="AJ115" t="s">
        <v>31</v>
      </c>
      <c r="AK115">
        <v>0</v>
      </c>
      <c r="AL115" t="s">
        <v>31</v>
      </c>
      <c r="AM115">
        <v>0</v>
      </c>
      <c r="AN115" t="s">
        <v>31</v>
      </c>
      <c r="AO115">
        <v>0</v>
      </c>
      <c r="AP115" t="s">
        <v>31</v>
      </c>
      <c r="AQ115">
        <v>0</v>
      </c>
    </row>
    <row r="116" spans="1:43" x14ac:dyDescent="0.2">
      <c r="A116" t="s">
        <v>381</v>
      </c>
      <c r="B116" s="3">
        <v>44257</v>
      </c>
      <c r="C116">
        <v>23</v>
      </c>
      <c r="D116" t="s">
        <v>382</v>
      </c>
      <c r="E116" t="s">
        <v>32</v>
      </c>
      <c r="F116" s="9" t="s">
        <v>33</v>
      </c>
      <c r="G116" t="s">
        <v>26</v>
      </c>
      <c r="H116" t="s">
        <v>34</v>
      </c>
      <c r="I116" t="s">
        <v>35</v>
      </c>
      <c r="J116" t="s">
        <v>36</v>
      </c>
      <c r="K116" t="s">
        <v>37</v>
      </c>
      <c r="L116" t="s">
        <v>29</v>
      </c>
      <c r="M116" t="s">
        <v>30</v>
      </c>
      <c r="N116" t="s">
        <v>34</v>
      </c>
      <c r="O116" t="s">
        <v>35</v>
      </c>
      <c r="P116" t="s">
        <v>36</v>
      </c>
      <c r="Q116" t="s">
        <v>37</v>
      </c>
      <c r="R116" s="1">
        <v>44257.411423611113</v>
      </c>
      <c r="S116" s="1">
        <v>44257.46502314815</v>
      </c>
      <c r="T116">
        <v>0</v>
      </c>
      <c r="U116">
        <v>0</v>
      </c>
      <c r="V116" s="2">
        <v>0</v>
      </c>
      <c r="W116">
        <v>0</v>
      </c>
      <c r="X116" t="s">
        <v>37</v>
      </c>
      <c r="Y116">
        <v>0</v>
      </c>
      <c r="Z116" t="s">
        <v>37</v>
      </c>
      <c r="AA116">
        <v>0</v>
      </c>
      <c r="AB116" t="s">
        <v>37</v>
      </c>
      <c r="AC116">
        <v>0</v>
      </c>
      <c r="AD116" t="s">
        <v>37</v>
      </c>
      <c r="AE116">
        <v>0</v>
      </c>
      <c r="AF116" t="s">
        <v>31</v>
      </c>
      <c r="AG116">
        <v>0</v>
      </c>
      <c r="AH116" t="s">
        <v>31</v>
      </c>
      <c r="AI116">
        <v>0</v>
      </c>
      <c r="AJ116" t="s">
        <v>31</v>
      </c>
      <c r="AK116">
        <v>0</v>
      </c>
      <c r="AL116" t="s">
        <v>31</v>
      </c>
      <c r="AM116">
        <v>0</v>
      </c>
      <c r="AN116" t="s">
        <v>31</v>
      </c>
      <c r="AO116">
        <v>0</v>
      </c>
      <c r="AP116" t="s">
        <v>31</v>
      </c>
      <c r="AQ116">
        <v>0</v>
      </c>
    </row>
    <row r="117" spans="1:43" x14ac:dyDescent="0.2">
      <c r="A117" t="s">
        <v>381</v>
      </c>
      <c r="B117" s="3">
        <v>44257</v>
      </c>
      <c r="C117">
        <v>24</v>
      </c>
      <c r="D117" t="s">
        <v>385</v>
      </c>
      <c r="E117" t="s">
        <v>32</v>
      </c>
      <c r="F117" s="9" t="s">
        <v>33</v>
      </c>
      <c r="G117" t="s">
        <v>26</v>
      </c>
      <c r="H117" t="s">
        <v>34</v>
      </c>
      <c r="I117" t="s">
        <v>35</v>
      </c>
      <c r="J117" t="s">
        <v>36</v>
      </c>
      <c r="K117" t="s">
        <v>37</v>
      </c>
      <c r="L117" t="s">
        <v>29</v>
      </c>
      <c r="M117" t="s">
        <v>30</v>
      </c>
      <c r="N117" t="s">
        <v>34</v>
      </c>
      <c r="O117" t="s">
        <v>35</v>
      </c>
      <c r="P117" t="s">
        <v>36</v>
      </c>
      <c r="Q117" t="s">
        <v>37</v>
      </c>
      <c r="R117" s="1">
        <v>44257.571388888886</v>
      </c>
      <c r="S117" s="1">
        <v>44257.67423611111</v>
      </c>
      <c r="T117">
        <v>0</v>
      </c>
      <c r="U117">
        <v>0</v>
      </c>
      <c r="V117" s="2">
        <v>0</v>
      </c>
      <c r="W117">
        <v>0</v>
      </c>
      <c r="X117" t="s">
        <v>37</v>
      </c>
      <c r="Y117">
        <v>0</v>
      </c>
      <c r="Z117" t="s">
        <v>37</v>
      </c>
      <c r="AA117">
        <v>0</v>
      </c>
      <c r="AB117" t="s">
        <v>37</v>
      </c>
      <c r="AC117">
        <v>0</v>
      </c>
      <c r="AD117" t="s">
        <v>37</v>
      </c>
      <c r="AE117">
        <v>0</v>
      </c>
      <c r="AF117" t="s">
        <v>37</v>
      </c>
      <c r="AG117">
        <v>0</v>
      </c>
      <c r="AH117" t="s">
        <v>37</v>
      </c>
      <c r="AI117">
        <v>0</v>
      </c>
      <c r="AJ117" t="s">
        <v>31</v>
      </c>
      <c r="AK117">
        <v>0</v>
      </c>
      <c r="AL117" t="s">
        <v>31</v>
      </c>
      <c r="AM117">
        <v>0</v>
      </c>
      <c r="AN117" t="s">
        <v>31</v>
      </c>
      <c r="AO117">
        <v>0</v>
      </c>
      <c r="AP117" t="s">
        <v>31</v>
      </c>
      <c r="AQ117">
        <v>0</v>
      </c>
    </row>
    <row r="118" spans="1:43" x14ac:dyDescent="0.2">
      <c r="A118" t="s">
        <v>381</v>
      </c>
      <c r="B118" s="3">
        <v>44258</v>
      </c>
      <c r="C118">
        <v>25</v>
      </c>
      <c r="D118" t="s">
        <v>384</v>
      </c>
      <c r="E118" t="s">
        <v>32</v>
      </c>
      <c r="F118" s="9" t="s">
        <v>33</v>
      </c>
      <c r="G118" t="s">
        <v>26</v>
      </c>
      <c r="H118" t="s">
        <v>34</v>
      </c>
      <c r="I118" t="s">
        <v>35</v>
      </c>
      <c r="J118" t="s">
        <v>36</v>
      </c>
      <c r="K118" t="s">
        <v>37</v>
      </c>
      <c r="L118" t="s">
        <v>29</v>
      </c>
      <c r="M118" t="s">
        <v>30</v>
      </c>
      <c r="N118" t="s">
        <v>34</v>
      </c>
      <c r="O118" t="s">
        <v>35</v>
      </c>
      <c r="P118" t="s">
        <v>36</v>
      </c>
      <c r="Q118" t="s">
        <v>37</v>
      </c>
      <c r="R118" s="1">
        <v>44258.387430555558</v>
      </c>
      <c r="S118" s="1">
        <v>44258.387569444443</v>
      </c>
      <c r="T118">
        <v>0</v>
      </c>
      <c r="U118">
        <v>0</v>
      </c>
      <c r="V118" s="2">
        <v>0</v>
      </c>
      <c r="W118">
        <v>0</v>
      </c>
      <c r="X118" t="s">
        <v>37</v>
      </c>
      <c r="Y118">
        <v>0</v>
      </c>
      <c r="Z118" t="s">
        <v>37</v>
      </c>
      <c r="AA118">
        <v>0</v>
      </c>
      <c r="AB118" t="s">
        <v>37</v>
      </c>
      <c r="AC118">
        <v>0</v>
      </c>
      <c r="AD118" t="s">
        <v>31</v>
      </c>
      <c r="AE118">
        <v>0</v>
      </c>
      <c r="AF118" t="s">
        <v>31</v>
      </c>
      <c r="AG118">
        <v>0</v>
      </c>
      <c r="AH118" t="s">
        <v>31</v>
      </c>
      <c r="AI118">
        <v>0</v>
      </c>
      <c r="AJ118" t="s">
        <v>31</v>
      </c>
      <c r="AK118">
        <v>0</v>
      </c>
      <c r="AL118" t="s">
        <v>31</v>
      </c>
      <c r="AM118">
        <v>0</v>
      </c>
      <c r="AN118" t="s">
        <v>31</v>
      </c>
      <c r="AO118">
        <v>0</v>
      </c>
      <c r="AP118" t="s">
        <v>31</v>
      </c>
      <c r="AQ118">
        <v>0</v>
      </c>
    </row>
    <row r="119" spans="1:43" x14ac:dyDescent="0.2">
      <c r="A119" t="s">
        <v>381</v>
      </c>
      <c r="B119" s="3">
        <v>44259</v>
      </c>
      <c r="C119">
        <v>26</v>
      </c>
      <c r="D119" t="s">
        <v>382</v>
      </c>
      <c r="E119" t="s">
        <v>32</v>
      </c>
      <c r="F119" s="9" t="s">
        <v>33</v>
      </c>
      <c r="G119" t="s">
        <v>26</v>
      </c>
      <c r="H119" t="s">
        <v>34</v>
      </c>
      <c r="I119" t="s">
        <v>35</v>
      </c>
      <c r="J119" t="s">
        <v>36</v>
      </c>
      <c r="K119" t="s">
        <v>37</v>
      </c>
      <c r="L119" t="s">
        <v>29</v>
      </c>
      <c r="M119" t="s">
        <v>30</v>
      </c>
      <c r="N119" t="s">
        <v>34</v>
      </c>
      <c r="O119" t="s">
        <v>35</v>
      </c>
      <c r="P119" t="s">
        <v>36</v>
      </c>
      <c r="Q119" t="s">
        <v>37</v>
      </c>
      <c r="R119" s="1">
        <v>44259.414756944447</v>
      </c>
      <c r="S119" s="1">
        <v>44259.461655092593</v>
      </c>
      <c r="T119">
        <v>0</v>
      </c>
      <c r="U119">
        <v>0</v>
      </c>
      <c r="V119" s="2">
        <v>0</v>
      </c>
      <c r="W119">
        <v>0</v>
      </c>
      <c r="X119" t="s">
        <v>37</v>
      </c>
      <c r="Y119">
        <v>0</v>
      </c>
      <c r="Z119" t="s">
        <v>37</v>
      </c>
      <c r="AA119">
        <v>0</v>
      </c>
      <c r="AB119" t="s">
        <v>37</v>
      </c>
      <c r="AC119">
        <v>0</v>
      </c>
      <c r="AD119" t="s">
        <v>37</v>
      </c>
      <c r="AE119">
        <v>0</v>
      </c>
      <c r="AF119" t="s">
        <v>37</v>
      </c>
      <c r="AG119">
        <v>0</v>
      </c>
      <c r="AH119" t="s">
        <v>31</v>
      </c>
      <c r="AI119">
        <v>0</v>
      </c>
      <c r="AJ119" t="s">
        <v>31</v>
      </c>
      <c r="AK119">
        <v>0</v>
      </c>
      <c r="AL119" t="s">
        <v>31</v>
      </c>
      <c r="AM119">
        <v>0</v>
      </c>
      <c r="AN119" t="s">
        <v>31</v>
      </c>
      <c r="AO119">
        <v>0</v>
      </c>
      <c r="AP119" t="s">
        <v>31</v>
      </c>
      <c r="AQ119">
        <v>0</v>
      </c>
    </row>
    <row r="120" spans="1:43" x14ac:dyDescent="0.2">
      <c r="A120" t="s">
        <v>381</v>
      </c>
      <c r="B120" s="3">
        <v>44259</v>
      </c>
      <c r="C120">
        <v>27</v>
      </c>
      <c r="D120" t="s">
        <v>385</v>
      </c>
      <c r="E120" t="s">
        <v>32</v>
      </c>
      <c r="F120" s="9" t="s">
        <v>33</v>
      </c>
      <c r="G120" t="s">
        <v>26</v>
      </c>
      <c r="H120" t="s">
        <v>34</v>
      </c>
      <c r="I120" t="s">
        <v>35</v>
      </c>
      <c r="J120" t="s">
        <v>36</v>
      </c>
      <c r="K120" t="s">
        <v>37</v>
      </c>
      <c r="L120" t="s">
        <v>29</v>
      </c>
      <c r="M120" t="s">
        <v>30</v>
      </c>
      <c r="N120" t="s">
        <v>34</v>
      </c>
      <c r="O120" t="s">
        <v>35</v>
      </c>
      <c r="P120" t="s">
        <v>36</v>
      </c>
      <c r="Q120" t="s">
        <v>37</v>
      </c>
      <c r="R120" s="1">
        <v>44259.575752314813</v>
      </c>
      <c r="S120" s="1">
        <v>44259.575752314813</v>
      </c>
      <c r="T120">
        <v>0</v>
      </c>
      <c r="U120">
        <v>0</v>
      </c>
      <c r="V120" s="2">
        <v>0</v>
      </c>
      <c r="W120">
        <v>0</v>
      </c>
      <c r="X120" t="s">
        <v>37</v>
      </c>
      <c r="Y120">
        <v>0</v>
      </c>
      <c r="Z120" t="s">
        <v>31</v>
      </c>
      <c r="AA120">
        <v>0</v>
      </c>
      <c r="AB120" t="s">
        <v>31</v>
      </c>
      <c r="AC120">
        <v>0</v>
      </c>
      <c r="AD120" t="s">
        <v>31</v>
      </c>
      <c r="AE120">
        <v>0</v>
      </c>
      <c r="AF120" t="s">
        <v>31</v>
      </c>
      <c r="AG120">
        <v>0</v>
      </c>
      <c r="AH120" t="s">
        <v>31</v>
      </c>
      <c r="AI120">
        <v>0</v>
      </c>
      <c r="AJ120" t="s">
        <v>31</v>
      </c>
      <c r="AK120">
        <v>0</v>
      </c>
      <c r="AL120" t="s">
        <v>31</v>
      </c>
      <c r="AM120">
        <v>0</v>
      </c>
      <c r="AN120" t="s">
        <v>31</v>
      </c>
      <c r="AO120">
        <v>0</v>
      </c>
      <c r="AP120" t="s">
        <v>31</v>
      </c>
      <c r="AQ120">
        <v>0</v>
      </c>
    </row>
    <row r="121" spans="1:43" x14ac:dyDescent="0.2">
      <c r="A121" t="s">
        <v>381</v>
      </c>
      <c r="B121" s="3">
        <v>44260</v>
      </c>
      <c r="C121">
        <v>28</v>
      </c>
      <c r="D121" t="s">
        <v>384</v>
      </c>
      <c r="E121" t="s">
        <v>32</v>
      </c>
      <c r="F121" s="9" t="s">
        <v>33</v>
      </c>
      <c r="G121" t="s">
        <v>26</v>
      </c>
      <c r="H121" t="s">
        <v>34</v>
      </c>
      <c r="I121" t="s">
        <v>35</v>
      </c>
      <c r="J121" t="s">
        <v>36</v>
      </c>
      <c r="K121" t="s">
        <v>37</v>
      </c>
      <c r="L121" t="s">
        <v>29</v>
      </c>
      <c r="M121" t="s">
        <v>30</v>
      </c>
      <c r="N121" t="s">
        <v>34</v>
      </c>
      <c r="O121" t="s">
        <v>35</v>
      </c>
      <c r="P121" t="s">
        <v>36</v>
      </c>
      <c r="Q121" t="s">
        <v>37</v>
      </c>
      <c r="R121" s="1">
        <v>44260.382106481484</v>
      </c>
      <c r="S121" s="1">
        <v>44260.382118055553</v>
      </c>
      <c r="T121">
        <v>0</v>
      </c>
      <c r="U121">
        <v>0</v>
      </c>
      <c r="V121" s="2">
        <v>0</v>
      </c>
      <c r="W121">
        <v>0</v>
      </c>
      <c r="X121" t="s">
        <v>37</v>
      </c>
      <c r="Y121">
        <v>0</v>
      </c>
      <c r="Z121" t="s">
        <v>37</v>
      </c>
      <c r="AA121">
        <v>0</v>
      </c>
      <c r="AB121" t="s">
        <v>37</v>
      </c>
      <c r="AC121">
        <v>0</v>
      </c>
      <c r="AD121" t="s">
        <v>31</v>
      </c>
      <c r="AE121">
        <v>0</v>
      </c>
      <c r="AF121" t="s">
        <v>31</v>
      </c>
      <c r="AG121">
        <v>0</v>
      </c>
      <c r="AH121" t="s">
        <v>31</v>
      </c>
      <c r="AI121">
        <v>0</v>
      </c>
      <c r="AJ121" t="s">
        <v>31</v>
      </c>
      <c r="AK121">
        <v>0</v>
      </c>
      <c r="AL121" t="s">
        <v>31</v>
      </c>
      <c r="AM121">
        <v>0</v>
      </c>
      <c r="AN121" t="s">
        <v>31</v>
      </c>
      <c r="AO121">
        <v>0</v>
      </c>
      <c r="AP121" t="s">
        <v>31</v>
      </c>
      <c r="AQ121">
        <v>0</v>
      </c>
    </row>
    <row r="122" spans="1:43" x14ac:dyDescent="0.2">
      <c r="A122" t="s">
        <v>381</v>
      </c>
      <c r="B122" s="3">
        <v>44263</v>
      </c>
      <c r="C122">
        <v>29</v>
      </c>
      <c r="D122" t="s">
        <v>384</v>
      </c>
      <c r="E122" t="s">
        <v>32</v>
      </c>
      <c r="F122" s="9" t="s">
        <v>33</v>
      </c>
      <c r="G122" t="s">
        <v>26</v>
      </c>
      <c r="H122" t="s">
        <v>34</v>
      </c>
      <c r="I122" t="s">
        <v>35</v>
      </c>
      <c r="J122" t="s">
        <v>36</v>
      </c>
      <c r="K122" t="s">
        <v>37</v>
      </c>
      <c r="L122" t="s">
        <v>29</v>
      </c>
      <c r="M122" t="s">
        <v>30</v>
      </c>
      <c r="N122" t="s">
        <v>34</v>
      </c>
      <c r="O122" t="s">
        <v>35</v>
      </c>
      <c r="P122" t="s">
        <v>36</v>
      </c>
      <c r="Q122" t="s">
        <v>37</v>
      </c>
      <c r="R122" s="1">
        <v>44263.393888888888</v>
      </c>
      <c r="S122" s="1">
        <v>44263.394166666665</v>
      </c>
      <c r="T122">
        <v>0</v>
      </c>
      <c r="U122">
        <v>0</v>
      </c>
      <c r="V122" s="2">
        <v>0</v>
      </c>
      <c r="W122">
        <v>0</v>
      </c>
      <c r="X122" t="s">
        <v>37</v>
      </c>
      <c r="Y122">
        <v>0</v>
      </c>
      <c r="Z122" t="s">
        <v>37</v>
      </c>
      <c r="AA122">
        <v>0</v>
      </c>
      <c r="AB122" t="s">
        <v>37</v>
      </c>
      <c r="AC122">
        <v>0</v>
      </c>
      <c r="AD122" t="s">
        <v>31</v>
      </c>
      <c r="AE122">
        <v>0</v>
      </c>
      <c r="AF122" t="s">
        <v>31</v>
      </c>
      <c r="AG122">
        <v>0</v>
      </c>
      <c r="AH122" t="s">
        <v>31</v>
      </c>
      <c r="AI122">
        <v>0</v>
      </c>
      <c r="AJ122" t="s">
        <v>31</v>
      </c>
      <c r="AK122">
        <v>0</v>
      </c>
      <c r="AL122" t="s">
        <v>31</v>
      </c>
      <c r="AM122">
        <v>0</v>
      </c>
      <c r="AN122" t="s">
        <v>31</v>
      </c>
      <c r="AO122">
        <v>0</v>
      </c>
      <c r="AP122" t="s">
        <v>31</v>
      </c>
      <c r="AQ122">
        <v>0</v>
      </c>
    </row>
    <row r="123" spans="1:43" x14ac:dyDescent="0.2">
      <c r="A123" t="s">
        <v>381</v>
      </c>
      <c r="B123" s="3">
        <v>44264</v>
      </c>
      <c r="C123">
        <v>30</v>
      </c>
      <c r="D123" t="s">
        <v>382</v>
      </c>
      <c r="E123" t="s">
        <v>32</v>
      </c>
      <c r="F123" s="9" t="s">
        <v>33</v>
      </c>
      <c r="G123" t="s">
        <v>26</v>
      </c>
      <c r="H123" t="s">
        <v>34</v>
      </c>
      <c r="I123" t="s">
        <v>35</v>
      </c>
      <c r="J123" t="s">
        <v>36</v>
      </c>
      <c r="K123" t="s">
        <v>37</v>
      </c>
      <c r="L123" t="s">
        <v>29</v>
      </c>
      <c r="M123" t="s">
        <v>30</v>
      </c>
      <c r="N123" t="s">
        <v>34</v>
      </c>
      <c r="O123" t="s">
        <v>35</v>
      </c>
      <c r="P123" t="s">
        <v>36</v>
      </c>
      <c r="Q123" t="s">
        <v>37</v>
      </c>
      <c r="R123" s="1">
        <v>44264.378668981481</v>
      </c>
      <c r="S123" s="1">
        <v>44264.434016203704</v>
      </c>
      <c r="T123">
        <v>0</v>
      </c>
      <c r="U123">
        <v>0</v>
      </c>
      <c r="V123" s="2">
        <v>0</v>
      </c>
      <c r="W123">
        <v>0</v>
      </c>
      <c r="X123" t="s">
        <v>37</v>
      </c>
      <c r="Y123">
        <v>0</v>
      </c>
      <c r="Z123" t="s">
        <v>37</v>
      </c>
      <c r="AA123">
        <v>0</v>
      </c>
      <c r="AB123" t="s">
        <v>37</v>
      </c>
      <c r="AC123">
        <v>0</v>
      </c>
      <c r="AD123" t="s">
        <v>37</v>
      </c>
      <c r="AE123">
        <v>0</v>
      </c>
      <c r="AF123" t="s">
        <v>37</v>
      </c>
      <c r="AG123">
        <v>0</v>
      </c>
      <c r="AH123" t="s">
        <v>37</v>
      </c>
      <c r="AI123">
        <v>0</v>
      </c>
      <c r="AJ123" t="s">
        <v>37</v>
      </c>
      <c r="AK123">
        <v>0</v>
      </c>
      <c r="AL123" t="s">
        <v>31</v>
      </c>
      <c r="AM123">
        <v>0</v>
      </c>
      <c r="AN123" t="s">
        <v>31</v>
      </c>
      <c r="AO123">
        <v>0</v>
      </c>
      <c r="AP123" t="s">
        <v>31</v>
      </c>
      <c r="AQ123">
        <v>0</v>
      </c>
    </row>
    <row r="124" spans="1:43" x14ac:dyDescent="0.2">
      <c r="A124" t="s">
        <v>381</v>
      </c>
      <c r="B124" s="3">
        <v>44264</v>
      </c>
      <c r="C124">
        <v>31</v>
      </c>
      <c r="D124" t="s">
        <v>385</v>
      </c>
      <c r="E124" t="s">
        <v>32</v>
      </c>
      <c r="F124" s="9" t="s">
        <v>33</v>
      </c>
      <c r="G124" t="s">
        <v>26</v>
      </c>
      <c r="H124" t="s">
        <v>34</v>
      </c>
      <c r="I124" t="s">
        <v>35</v>
      </c>
      <c r="J124" t="s">
        <v>36</v>
      </c>
      <c r="K124" t="s">
        <v>37</v>
      </c>
      <c r="L124" t="s">
        <v>29</v>
      </c>
      <c r="M124" t="s">
        <v>30</v>
      </c>
      <c r="N124" t="s">
        <v>34</v>
      </c>
      <c r="O124" t="s">
        <v>35</v>
      </c>
      <c r="P124" t="s">
        <v>36</v>
      </c>
      <c r="Q124" t="s">
        <v>37</v>
      </c>
      <c r="R124" s="1">
        <v>44264.571296296293</v>
      </c>
      <c r="S124" s="1">
        <v>44264.642546296294</v>
      </c>
      <c r="T124">
        <v>0</v>
      </c>
      <c r="U124">
        <v>0</v>
      </c>
      <c r="V124" s="2">
        <v>0</v>
      </c>
      <c r="W124">
        <v>0</v>
      </c>
      <c r="X124" t="s">
        <v>37</v>
      </c>
      <c r="Y124">
        <v>0</v>
      </c>
      <c r="Z124" t="s">
        <v>37</v>
      </c>
      <c r="AA124">
        <v>0</v>
      </c>
      <c r="AB124" t="s">
        <v>37</v>
      </c>
      <c r="AC124">
        <v>0</v>
      </c>
      <c r="AD124" t="s">
        <v>37</v>
      </c>
      <c r="AE124">
        <v>0</v>
      </c>
      <c r="AF124" t="s">
        <v>37</v>
      </c>
      <c r="AG124">
        <v>0</v>
      </c>
      <c r="AH124" t="s">
        <v>37</v>
      </c>
      <c r="AI124">
        <v>0</v>
      </c>
      <c r="AJ124" t="s">
        <v>37</v>
      </c>
      <c r="AK124">
        <v>0</v>
      </c>
      <c r="AL124" t="s">
        <v>37</v>
      </c>
      <c r="AM124">
        <v>0</v>
      </c>
      <c r="AN124" t="s">
        <v>37</v>
      </c>
      <c r="AO124">
        <v>0</v>
      </c>
      <c r="AP124" t="s">
        <v>31</v>
      </c>
      <c r="AQ124">
        <v>0</v>
      </c>
    </row>
    <row r="125" spans="1:43" x14ac:dyDescent="0.2">
      <c r="A125" t="s">
        <v>381</v>
      </c>
      <c r="B125" s="3">
        <v>44265</v>
      </c>
      <c r="C125">
        <v>32</v>
      </c>
      <c r="D125" t="s">
        <v>384</v>
      </c>
      <c r="E125" t="s">
        <v>32</v>
      </c>
      <c r="F125" s="9" t="s">
        <v>33</v>
      </c>
      <c r="G125" t="s">
        <v>26</v>
      </c>
      <c r="H125" t="s">
        <v>34</v>
      </c>
      <c r="I125" t="s">
        <v>35</v>
      </c>
      <c r="J125" t="s">
        <v>36</v>
      </c>
      <c r="K125" t="s">
        <v>37</v>
      </c>
      <c r="L125" t="s">
        <v>29</v>
      </c>
      <c r="M125" t="s">
        <v>30</v>
      </c>
      <c r="N125" t="s">
        <v>34</v>
      </c>
      <c r="O125" t="s">
        <v>35</v>
      </c>
      <c r="P125" t="s">
        <v>36</v>
      </c>
      <c r="Q125" t="s">
        <v>37</v>
      </c>
      <c r="R125" s="1">
        <v>44265.429895833331</v>
      </c>
      <c r="S125" s="1">
        <v>44265.429907407408</v>
      </c>
      <c r="T125">
        <v>0</v>
      </c>
      <c r="U125">
        <v>0</v>
      </c>
      <c r="V125" s="2">
        <v>0</v>
      </c>
      <c r="W125">
        <v>0</v>
      </c>
      <c r="X125" t="s">
        <v>37</v>
      </c>
      <c r="Y125">
        <v>0</v>
      </c>
      <c r="Z125" t="s">
        <v>37</v>
      </c>
      <c r="AA125">
        <v>0</v>
      </c>
      <c r="AB125" t="s">
        <v>37</v>
      </c>
      <c r="AC125">
        <v>0</v>
      </c>
      <c r="AD125" t="s">
        <v>31</v>
      </c>
      <c r="AE125">
        <v>0</v>
      </c>
      <c r="AF125" t="s">
        <v>31</v>
      </c>
      <c r="AG125">
        <v>0</v>
      </c>
      <c r="AH125" t="s">
        <v>31</v>
      </c>
      <c r="AI125">
        <v>0</v>
      </c>
      <c r="AJ125" t="s">
        <v>31</v>
      </c>
      <c r="AK125">
        <v>0</v>
      </c>
      <c r="AL125" t="s">
        <v>31</v>
      </c>
      <c r="AM125">
        <v>0</v>
      </c>
      <c r="AN125" t="s">
        <v>31</v>
      </c>
      <c r="AO125">
        <v>0</v>
      </c>
      <c r="AP125" t="s">
        <v>31</v>
      </c>
      <c r="AQ125">
        <v>0</v>
      </c>
    </row>
    <row r="126" spans="1:43" x14ac:dyDescent="0.2">
      <c r="A126" t="s">
        <v>381</v>
      </c>
      <c r="B126" s="3">
        <v>44266</v>
      </c>
      <c r="C126">
        <v>33</v>
      </c>
      <c r="D126" t="s">
        <v>385</v>
      </c>
      <c r="E126" t="s">
        <v>32</v>
      </c>
      <c r="F126" s="9" t="s">
        <v>33</v>
      </c>
      <c r="G126" t="s">
        <v>26</v>
      </c>
      <c r="H126" t="s">
        <v>34</v>
      </c>
      <c r="I126" t="s">
        <v>35</v>
      </c>
      <c r="J126" t="s">
        <v>36</v>
      </c>
      <c r="K126" t="s">
        <v>37</v>
      </c>
      <c r="L126" t="s">
        <v>29</v>
      </c>
      <c r="M126" t="s">
        <v>30</v>
      </c>
      <c r="N126" t="s">
        <v>34</v>
      </c>
      <c r="O126" t="s">
        <v>35</v>
      </c>
      <c r="P126" t="s">
        <v>36</v>
      </c>
      <c r="Q126" t="s">
        <v>37</v>
      </c>
      <c r="R126" s="1">
        <v>44266.390972222223</v>
      </c>
      <c r="S126" s="1">
        <v>44266.484884259262</v>
      </c>
      <c r="T126">
        <v>0</v>
      </c>
      <c r="U126">
        <v>0</v>
      </c>
      <c r="V126" s="2">
        <v>0</v>
      </c>
      <c r="W126">
        <v>0</v>
      </c>
      <c r="X126" t="s">
        <v>37</v>
      </c>
      <c r="Y126">
        <v>0</v>
      </c>
      <c r="Z126" t="s">
        <v>37</v>
      </c>
      <c r="AA126">
        <v>0</v>
      </c>
      <c r="AB126" t="s">
        <v>37</v>
      </c>
      <c r="AC126">
        <v>0</v>
      </c>
      <c r="AD126" t="s">
        <v>37</v>
      </c>
      <c r="AE126">
        <v>0</v>
      </c>
      <c r="AF126" t="s">
        <v>37</v>
      </c>
      <c r="AG126">
        <v>0</v>
      </c>
      <c r="AH126" t="s">
        <v>31</v>
      </c>
      <c r="AI126">
        <v>0</v>
      </c>
      <c r="AJ126" t="s">
        <v>31</v>
      </c>
      <c r="AK126">
        <v>0</v>
      </c>
      <c r="AL126" t="s">
        <v>31</v>
      </c>
      <c r="AM126">
        <v>0</v>
      </c>
      <c r="AN126" t="s">
        <v>31</v>
      </c>
      <c r="AO126">
        <v>0</v>
      </c>
      <c r="AP126" t="s">
        <v>31</v>
      </c>
      <c r="AQ126">
        <v>0</v>
      </c>
    </row>
    <row r="127" spans="1:43" x14ac:dyDescent="0.2">
      <c r="A127" t="s">
        <v>381</v>
      </c>
      <c r="B127" s="3">
        <v>44266</v>
      </c>
      <c r="C127">
        <v>34</v>
      </c>
      <c r="D127" t="s">
        <v>385</v>
      </c>
      <c r="E127" t="s">
        <v>32</v>
      </c>
      <c r="F127" s="9" t="s">
        <v>33</v>
      </c>
      <c r="G127" t="s">
        <v>26</v>
      </c>
      <c r="H127" t="s">
        <v>34</v>
      </c>
      <c r="I127" t="s">
        <v>35</v>
      </c>
      <c r="J127" t="s">
        <v>36</v>
      </c>
      <c r="K127" t="s">
        <v>37</v>
      </c>
      <c r="L127" t="s">
        <v>29</v>
      </c>
      <c r="M127" t="s">
        <v>30</v>
      </c>
      <c r="N127" t="s">
        <v>34</v>
      </c>
      <c r="O127" t="s">
        <v>35</v>
      </c>
      <c r="P127" t="s">
        <v>36</v>
      </c>
      <c r="Q127" t="s">
        <v>37</v>
      </c>
      <c r="R127" s="1">
        <v>44266.584780092591</v>
      </c>
      <c r="S127" s="1">
        <v>44266.647696759261</v>
      </c>
      <c r="T127">
        <v>0</v>
      </c>
      <c r="U127">
        <v>0</v>
      </c>
      <c r="V127" s="2">
        <v>0</v>
      </c>
      <c r="W127">
        <v>0</v>
      </c>
      <c r="X127" t="s">
        <v>37</v>
      </c>
      <c r="Y127">
        <v>0</v>
      </c>
      <c r="Z127" t="s">
        <v>37</v>
      </c>
      <c r="AA127">
        <v>0</v>
      </c>
      <c r="AB127" t="s">
        <v>37</v>
      </c>
      <c r="AC127">
        <v>0</v>
      </c>
      <c r="AD127" t="s">
        <v>37</v>
      </c>
      <c r="AE127">
        <v>0</v>
      </c>
      <c r="AF127" t="s">
        <v>37</v>
      </c>
      <c r="AG127">
        <v>0</v>
      </c>
      <c r="AH127" t="s">
        <v>31</v>
      </c>
      <c r="AI127">
        <v>0</v>
      </c>
      <c r="AJ127" t="s">
        <v>31</v>
      </c>
      <c r="AK127">
        <v>0</v>
      </c>
      <c r="AL127" t="s">
        <v>31</v>
      </c>
      <c r="AM127">
        <v>0</v>
      </c>
      <c r="AN127" t="s">
        <v>31</v>
      </c>
      <c r="AO127">
        <v>0</v>
      </c>
      <c r="AP127" t="s">
        <v>31</v>
      </c>
      <c r="AQ127">
        <v>0</v>
      </c>
    </row>
    <row r="128" spans="1:43" x14ac:dyDescent="0.2">
      <c r="A128" t="s">
        <v>381</v>
      </c>
      <c r="B128" s="3">
        <v>44270</v>
      </c>
      <c r="C128">
        <v>35</v>
      </c>
      <c r="D128" t="s">
        <v>384</v>
      </c>
      <c r="E128" t="s">
        <v>32</v>
      </c>
      <c r="F128" s="9" t="s">
        <v>33</v>
      </c>
      <c r="G128" t="s">
        <v>26</v>
      </c>
      <c r="H128" t="s">
        <v>34</v>
      </c>
      <c r="I128" t="s">
        <v>35</v>
      </c>
      <c r="J128" t="s">
        <v>36</v>
      </c>
      <c r="K128" t="s">
        <v>37</v>
      </c>
      <c r="L128" t="s">
        <v>29</v>
      </c>
      <c r="M128" t="s">
        <v>30</v>
      </c>
      <c r="N128" t="s">
        <v>34</v>
      </c>
      <c r="O128" t="s">
        <v>35</v>
      </c>
      <c r="P128" t="s">
        <v>36</v>
      </c>
      <c r="Q128" t="s">
        <v>37</v>
      </c>
      <c r="R128" s="1">
        <v>44270.40792824074</v>
      </c>
      <c r="S128" s="1">
        <v>44270.408252314817</v>
      </c>
      <c r="T128">
        <v>0</v>
      </c>
      <c r="U128">
        <v>0</v>
      </c>
      <c r="V128" s="2">
        <v>0</v>
      </c>
      <c r="W128">
        <v>0</v>
      </c>
      <c r="X128" t="s">
        <v>37</v>
      </c>
      <c r="Y128">
        <v>0</v>
      </c>
      <c r="Z128" t="s">
        <v>37</v>
      </c>
      <c r="AA128">
        <v>0</v>
      </c>
      <c r="AB128" t="s">
        <v>37</v>
      </c>
      <c r="AC128">
        <v>0</v>
      </c>
      <c r="AD128" t="s">
        <v>31</v>
      </c>
      <c r="AE128">
        <v>0</v>
      </c>
      <c r="AF128" t="s">
        <v>31</v>
      </c>
      <c r="AG128">
        <v>0</v>
      </c>
      <c r="AH128" t="s">
        <v>31</v>
      </c>
      <c r="AI128">
        <v>0</v>
      </c>
      <c r="AJ128" t="s">
        <v>31</v>
      </c>
      <c r="AK128">
        <v>0</v>
      </c>
      <c r="AL128" t="s">
        <v>31</v>
      </c>
      <c r="AM128">
        <v>0</v>
      </c>
      <c r="AN128" t="s">
        <v>31</v>
      </c>
      <c r="AO128">
        <v>0</v>
      </c>
      <c r="AP128" t="s">
        <v>31</v>
      </c>
      <c r="AQ128">
        <v>0</v>
      </c>
    </row>
    <row r="129" spans="1:43" x14ac:dyDescent="0.2">
      <c r="A129" t="s">
        <v>381</v>
      </c>
      <c r="B129" s="3">
        <v>44271</v>
      </c>
      <c r="C129">
        <v>36</v>
      </c>
      <c r="D129" t="s">
        <v>385</v>
      </c>
      <c r="E129" t="s">
        <v>32</v>
      </c>
      <c r="F129" s="9" t="s">
        <v>33</v>
      </c>
      <c r="G129" t="s">
        <v>26</v>
      </c>
      <c r="H129" t="s">
        <v>34</v>
      </c>
      <c r="I129" t="s">
        <v>35</v>
      </c>
      <c r="J129" t="s">
        <v>36</v>
      </c>
      <c r="K129" t="s">
        <v>37</v>
      </c>
      <c r="L129" t="s">
        <v>29</v>
      </c>
      <c r="M129" t="s">
        <v>30</v>
      </c>
      <c r="N129" t="s">
        <v>34</v>
      </c>
      <c r="O129" t="s">
        <v>35</v>
      </c>
      <c r="P129" t="s">
        <v>36</v>
      </c>
      <c r="Q129" t="s">
        <v>37</v>
      </c>
      <c r="R129" s="1">
        <v>44271.381782407407</v>
      </c>
      <c r="S129" s="1">
        <v>44271.493587962963</v>
      </c>
      <c r="T129">
        <v>1</v>
      </c>
      <c r="U129">
        <v>1</v>
      </c>
      <c r="V129" s="2">
        <v>1</v>
      </c>
      <c r="W129">
        <v>0</v>
      </c>
      <c r="X129" t="s">
        <v>37</v>
      </c>
      <c r="Y129">
        <v>0</v>
      </c>
      <c r="Z129" t="s">
        <v>37</v>
      </c>
      <c r="AA129">
        <v>0</v>
      </c>
      <c r="AB129" t="s">
        <v>30</v>
      </c>
      <c r="AC129">
        <v>0</v>
      </c>
      <c r="AD129" t="s">
        <v>37</v>
      </c>
      <c r="AE129">
        <v>0</v>
      </c>
      <c r="AF129" t="s">
        <v>37</v>
      </c>
      <c r="AG129">
        <v>0</v>
      </c>
      <c r="AH129" t="s">
        <v>37</v>
      </c>
      <c r="AI129">
        <v>0</v>
      </c>
      <c r="AJ129" t="s">
        <v>31</v>
      </c>
      <c r="AK129">
        <v>0</v>
      </c>
      <c r="AL129" t="s">
        <v>31</v>
      </c>
      <c r="AM129">
        <v>0</v>
      </c>
      <c r="AN129" t="s">
        <v>31</v>
      </c>
      <c r="AO129">
        <v>0</v>
      </c>
      <c r="AP129" t="s">
        <v>31</v>
      </c>
      <c r="AQ129">
        <v>0</v>
      </c>
    </row>
    <row r="130" spans="1:43" x14ac:dyDescent="0.2">
      <c r="A130" t="s">
        <v>381</v>
      </c>
      <c r="B130" s="3">
        <v>44271</v>
      </c>
      <c r="C130">
        <v>37</v>
      </c>
      <c r="D130" t="s">
        <v>385</v>
      </c>
      <c r="E130" t="s">
        <v>32</v>
      </c>
      <c r="F130" s="9" t="s">
        <v>33</v>
      </c>
      <c r="G130" t="s">
        <v>26</v>
      </c>
      <c r="H130" t="s">
        <v>34</v>
      </c>
      <c r="I130" t="s">
        <v>35</v>
      </c>
      <c r="J130" t="s">
        <v>36</v>
      </c>
      <c r="K130" t="s">
        <v>37</v>
      </c>
      <c r="L130" t="s">
        <v>29</v>
      </c>
      <c r="M130" t="s">
        <v>30</v>
      </c>
      <c r="N130" t="s">
        <v>34</v>
      </c>
      <c r="O130" t="s">
        <v>35</v>
      </c>
      <c r="P130" t="s">
        <v>36</v>
      </c>
      <c r="Q130" t="s">
        <v>37</v>
      </c>
      <c r="R130" s="1">
        <v>44271.539606481485</v>
      </c>
      <c r="S130" s="1">
        <v>44271.599351851852</v>
      </c>
      <c r="T130">
        <v>0</v>
      </c>
      <c r="U130">
        <v>0</v>
      </c>
      <c r="V130" s="2">
        <v>0</v>
      </c>
      <c r="W130">
        <v>0</v>
      </c>
      <c r="X130" t="s">
        <v>37</v>
      </c>
      <c r="Y130">
        <v>0</v>
      </c>
      <c r="Z130" t="s">
        <v>37</v>
      </c>
      <c r="AA130">
        <v>0</v>
      </c>
      <c r="AB130" t="s">
        <v>37</v>
      </c>
      <c r="AC130">
        <v>0</v>
      </c>
      <c r="AD130" t="s">
        <v>37</v>
      </c>
      <c r="AE130">
        <v>0</v>
      </c>
      <c r="AF130" t="s">
        <v>37</v>
      </c>
      <c r="AG130">
        <v>0</v>
      </c>
      <c r="AH130" t="s">
        <v>31</v>
      </c>
      <c r="AI130">
        <v>0</v>
      </c>
      <c r="AJ130" t="s">
        <v>31</v>
      </c>
      <c r="AK130">
        <v>0</v>
      </c>
      <c r="AL130" t="s">
        <v>31</v>
      </c>
      <c r="AM130">
        <v>0</v>
      </c>
      <c r="AN130" t="s">
        <v>31</v>
      </c>
      <c r="AO130">
        <v>0</v>
      </c>
      <c r="AP130" t="s">
        <v>31</v>
      </c>
      <c r="AQ130">
        <v>0</v>
      </c>
    </row>
    <row r="131" spans="1:43" x14ac:dyDescent="0.2">
      <c r="A131" t="s">
        <v>381</v>
      </c>
      <c r="B131" s="3">
        <v>44272</v>
      </c>
      <c r="C131">
        <v>38</v>
      </c>
      <c r="D131" t="s">
        <v>384</v>
      </c>
      <c r="E131" t="s">
        <v>32</v>
      </c>
      <c r="F131" s="9" t="s">
        <v>33</v>
      </c>
      <c r="G131" t="s">
        <v>26</v>
      </c>
      <c r="H131" t="s">
        <v>34</v>
      </c>
      <c r="I131" t="s">
        <v>35</v>
      </c>
      <c r="J131" t="s">
        <v>36</v>
      </c>
      <c r="K131" t="s">
        <v>37</v>
      </c>
      <c r="L131" t="s">
        <v>29</v>
      </c>
      <c r="M131" t="s">
        <v>30</v>
      </c>
      <c r="N131" t="s">
        <v>34</v>
      </c>
      <c r="O131" t="s">
        <v>35</v>
      </c>
      <c r="P131" t="s">
        <v>36</v>
      </c>
      <c r="Q131" t="s">
        <v>37</v>
      </c>
      <c r="R131" s="1">
        <v>44272.436215277776</v>
      </c>
      <c r="S131" s="1">
        <v>44272.436678240738</v>
      </c>
      <c r="T131">
        <v>0</v>
      </c>
      <c r="U131">
        <v>1</v>
      </c>
      <c r="V131" s="2">
        <v>0</v>
      </c>
      <c r="W131">
        <v>0</v>
      </c>
      <c r="X131" t="s">
        <v>44</v>
      </c>
      <c r="Y131">
        <v>0</v>
      </c>
      <c r="Z131" t="s">
        <v>37</v>
      </c>
      <c r="AA131">
        <v>0</v>
      </c>
      <c r="AB131" t="s">
        <v>37</v>
      </c>
      <c r="AC131">
        <v>0</v>
      </c>
      <c r="AD131" t="s">
        <v>37</v>
      </c>
      <c r="AE131">
        <v>0</v>
      </c>
      <c r="AF131" t="s">
        <v>31</v>
      </c>
      <c r="AG131">
        <v>0</v>
      </c>
      <c r="AH131" t="s">
        <v>31</v>
      </c>
      <c r="AI131">
        <v>0</v>
      </c>
      <c r="AJ131" t="s">
        <v>31</v>
      </c>
      <c r="AK131">
        <v>0</v>
      </c>
      <c r="AL131" t="s">
        <v>31</v>
      </c>
      <c r="AM131">
        <v>0</v>
      </c>
      <c r="AN131" t="s">
        <v>31</v>
      </c>
      <c r="AO131">
        <v>0</v>
      </c>
      <c r="AP131" t="s">
        <v>31</v>
      </c>
      <c r="AQ131">
        <v>0</v>
      </c>
    </row>
    <row r="132" spans="1:43" x14ac:dyDescent="0.2">
      <c r="A132" t="s">
        <v>381</v>
      </c>
      <c r="B132" s="3">
        <v>44273</v>
      </c>
      <c r="C132">
        <v>39</v>
      </c>
      <c r="D132" t="s">
        <v>385</v>
      </c>
      <c r="E132" t="s">
        <v>32</v>
      </c>
      <c r="F132" s="9" t="s">
        <v>33</v>
      </c>
      <c r="G132" t="s">
        <v>26</v>
      </c>
      <c r="H132" t="s">
        <v>34</v>
      </c>
      <c r="I132" t="s">
        <v>35</v>
      </c>
      <c r="J132" t="s">
        <v>36</v>
      </c>
      <c r="K132" t="s">
        <v>37</v>
      </c>
      <c r="L132" t="s">
        <v>29</v>
      </c>
      <c r="M132" t="s">
        <v>30</v>
      </c>
      <c r="N132" t="s">
        <v>34</v>
      </c>
      <c r="O132" t="s">
        <v>35</v>
      </c>
      <c r="P132" t="s">
        <v>36</v>
      </c>
      <c r="Q132" t="s">
        <v>37</v>
      </c>
      <c r="R132" s="1">
        <v>44273.410497685189</v>
      </c>
      <c r="S132" s="1">
        <v>44273.457962962966</v>
      </c>
      <c r="T132">
        <v>0</v>
      </c>
      <c r="U132">
        <v>0</v>
      </c>
      <c r="V132" s="2">
        <v>0</v>
      </c>
      <c r="W132">
        <v>0</v>
      </c>
      <c r="X132" t="s">
        <v>37</v>
      </c>
      <c r="Y132">
        <v>0</v>
      </c>
      <c r="Z132" t="s">
        <v>37</v>
      </c>
      <c r="AA132">
        <v>0</v>
      </c>
      <c r="AB132" t="s">
        <v>37</v>
      </c>
      <c r="AC132">
        <v>0</v>
      </c>
      <c r="AD132" t="s">
        <v>37</v>
      </c>
      <c r="AE132">
        <v>0</v>
      </c>
      <c r="AF132" t="s">
        <v>31</v>
      </c>
      <c r="AG132">
        <v>0</v>
      </c>
      <c r="AH132" t="s">
        <v>31</v>
      </c>
      <c r="AI132">
        <v>0</v>
      </c>
      <c r="AJ132" t="s">
        <v>31</v>
      </c>
      <c r="AK132">
        <v>0</v>
      </c>
      <c r="AL132" t="s">
        <v>31</v>
      </c>
      <c r="AM132">
        <v>0</v>
      </c>
      <c r="AN132" t="s">
        <v>31</v>
      </c>
      <c r="AO132">
        <v>0</v>
      </c>
      <c r="AP132" t="s">
        <v>31</v>
      </c>
      <c r="AQ132">
        <v>0</v>
      </c>
    </row>
    <row r="133" spans="1:43" x14ac:dyDescent="0.2">
      <c r="A133" t="s">
        <v>381</v>
      </c>
      <c r="B133" s="3">
        <v>44273</v>
      </c>
      <c r="C133">
        <v>40</v>
      </c>
      <c r="D133" t="s">
        <v>385</v>
      </c>
      <c r="E133" t="s">
        <v>32</v>
      </c>
      <c r="F133" s="9" t="s">
        <v>33</v>
      </c>
      <c r="G133" t="s">
        <v>26</v>
      </c>
      <c r="H133" t="s">
        <v>34</v>
      </c>
      <c r="I133" t="s">
        <v>35</v>
      </c>
      <c r="J133" t="s">
        <v>36</v>
      </c>
      <c r="K133" t="s">
        <v>37</v>
      </c>
      <c r="L133" t="s">
        <v>29</v>
      </c>
      <c r="M133" t="s">
        <v>30</v>
      </c>
      <c r="N133" t="s">
        <v>34</v>
      </c>
      <c r="O133" t="s">
        <v>35</v>
      </c>
      <c r="P133" t="s">
        <v>36</v>
      </c>
      <c r="Q133" t="s">
        <v>37</v>
      </c>
      <c r="R133" s="1">
        <v>44273.553668981483</v>
      </c>
      <c r="S133" s="1">
        <v>44273.620567129627</v>
      </c>
      <c r="T133">
        <v>0</v>
      </c>
      <c r="U133">
        <v>0</v>
      </c>
      <c r="V133" s="2">
        <v>0</v>
      </c>
      <c r="W133">
        <v>0</v>
      </c>
      <c r="X133" t="s">
        <v>37</v>
      </c>
      <c r="Y133">
        <v>0</v>
      </c>
      <c r="Z133" t="s">
        <v>37</v>
      </c>
      <c r="AA133">
        <v>0</v>
      </c>
      <c r="AB133" t="s">
        <v>31</v>
      </c>
      <c r="AC133">
        <v>0</v>
      </c>
      <c r="AD133" t="s">
        <v>31</v>
      </c>
      <c r="AE133">
        <v>0</v>
      </c>
      <c r="AF133" t="s">
        <v>31</v>
      </c>
      <c r="AG133">
        <v>0</v>
      </c>
      <c r="AH133" t="s">
        <v>31</v>
      </c>
      <c r="AI133">
        <v>0</v>
      </c>
      <c r="AJ133" t="s">
        <v>31</v>
      </c>
      <c r="AK133">
        <v>0</v>
      </c>
      <c r="AL133" t="s">
        <v>31</v>
      </c>
      <c r="AM133">
        <v>0</v>
      </c>
      <c r="AN133" t="s">
        <v>31</v>
      </c>
      <c r="AO133">
        <v>0</v>
      </c>
      <c r="AP133" t="s">
        <v>31</v>
      </c>
      <c r="AQ133">
        <v>0</v>
      </c>
    </row>
    <row r="134" spans="1:43" x14ac:dyDescent="0.2">
      <c r="A134" t="s">
        <v>381</v>
      </c>
      <c r="B134" s="3">
        <v>44279</v>
      </c>
      <c r="C134">
        <v>41</v>
      </c>
      <c r="D134" t="s">
        <v>384</v>
      </c>
      <c r="E134" t="s">
        <v>32</v>
      </c>
      <c r="F134" s="9" t="s">
        <v>33</v>
      </c>
      <c r="G134" t="s">
        <v>26</v>
      </c>
      <c r="H134" t="s">
        <v>34</v>
      </c>
      <c r="I134" t="s">
        <v>35</v>
      </c>
      <c r="J134" t="s">
        <v>36</v>
      </c>
      <c r="K134" t="s">
        <v>37</v>
      </c>
      <c r="L134" t="s">
        <v>29</v>
      </c>
      <c r="M134" t="s">
        <v>30</v>
      </c>
      <c r="N134" t="s">
        <v>34</v>
      </c>
      <c r="O134" t="s">
        <v>35</v>
      </c>
      <c r="P134" t="s">
        <v>36</v>
      </c>
      <c r="Q134" t="s">
        <v>37</v>
      </c>
      <c r="R134" s="1">
        <v>44279.395486111112</v>
      </c>
      <c r="S134" s="1">
        <v>44279.395729166667</v>
      </c>
      <c r="T134">
        <v>0</v>
      </c>
      <c r="U134">
        <v>0</v>
      </c>
      <c r="V134" s="2">
        <v>0</v>
      </c>
      <c r="W134">
        <v>0</v>
      </c>
      <c r="X134" t="s">
        <v>37</v>
      </c>
      <c r="Y134">
        <v>0</v>
      </c>
      <c r="Z134" t="s">
        <v>37</v>
      </c>
      <c r="AA134">
        <v>0</v>
      </c>
      <c r="AB134" t="s">
        <v>37</v>
      </c>
      <c r="AC134">
        <v>0</v>
      </c>
      <c r="AD134" t="s">
        <v>31</v>
      </c>
      <c r="AE134">
        <v>0</v>
      </c>
      <c r="AF134" t="s">
        <v>31</v>
      </c>
      <c r="AG134">
        <v>0</v>
      </c>
      <c r="AH134" t="s">
        <v>31</v>
      </c>
      <c r="AI134">
        <v>0</v>
      </c>
      <c r="AJ134" t="s">
        <v>31</v>
      </c>
      <c r="AK134">
        <v>0</v>
      </c>
      <c r="AL134" t="s">
        <v>31</v>
      </c>
      <c r="AM134">
        <v>0</v>
      </c>
      <c r="AN134" t="s">
        <v>31</v>
      </c>
      <c r="AO134">
        <v>0</v>
      </c>
      <c r="AP134" t="s">
        <v>31</v>
      </c>
      <c r="AQ134">
        <v>0</v>
      </c>
    </row>
    <row r="135" spans="1:43" x14ac:dyDescent="0.2">
      <c r="A135" t="s">
        <v>381</v>
      </c>
      <c r="B135" s="3">
        <v>44281</v>
      </c>
      <c r="C135">
        <v>42</v>
      </c>
      <c r="D135" t="s">
        <v>384</v>
      </c>
      <c r="E135" t="s">
        <v>32</v>
      </c>
      <c r="F135" s="9" t="s">
        <v>33</v>
      </c>
      <c r="G135" t="s">
        <v>26</v>
      </c>
      <c r="H135" t="s">
        <v>34</v>
      </c>
      <c r="I135" t="s">
        <v>35</v>
      </c>
      <c r="J135" t="s">
        <v>36</v>
      </c>
      <c r="K135" t="s">
        <v>37</v>
      </c>
      <c r="L135" t="s">
        <v>29</v>
      </c>
      <c r="M135" t="s">
        <v>30</v>
      </c>
      <c r="N135" t="s">
        <v>34</v>
      </c>
      <c r="O135" t="s">
        <v>35</v>
      </c>
      <c r="P135" t="s">
        <v>36</v>
      </c>
      <c r="Q135" t="s">
        <v>37</v>
      </c>
      <c r="R135" s="1">
        <v>44281.449212962965</v>
      </c>
      <c r="S135" s="1">
        <v>44281.449571759258</v>
      </c>
      <c r="T135">
        <v>0</v>
      </c>
      <c r="U135">
        <v>0</v>
      </c>
      <c r="V135" s="2">
        <v>0</v>
      </c>
      <c r="W135">
        <v>0</v>
      </c>
      <c r="X135" t="s">
        <v>37</v>
      </c>
      <c r="Y135">
        <v>0</v>
      </c>
      <c r="Z135" t="s">
        <v>37</v>
      </c>
      <c r="AA135">
        <v>0</v>
      </c>
      <c r="AB135" t="s">
        <v>37</v>
      </c>
      <c r="AC135">
        <v>0</v>
      </c>
      <c r="AD135" t="s">
        <v>31</v>
      </c>
      <c r="AE135">
        <v>0</v>
      </c>
      <c r="AF135" t="s">
        <v>31</v>
      </c>
      <c r="AG135">
        <v>0</v>
      </c>
      <c r="AH135" t="s">
        <v>31</v>
      </c>
      <c r="AI135">
        <v>0</v>
      </c>
      <c r="AJ135" t="s">
        <v>31</v>
      </c>
      <c r="AK135">
        <v>0</v>
      </c>
      <c r="AL135" t="s">
        <v>31</v>
      </c>
      <c r="AM135">
        <v>0</v>
      </c>
      <c r="AN135" t="s">
        <v>31</v>
      </c>
      <c r="AO135">
        <v>0</v>
      </c>
      <c r="AP135" t="s">
        <v>31</v>
      </c>
      <c r="AQ135">
        <v>0</v>
      </c>
    </row>
    <row r="136" spans="1:43" x14ac:dyDescent="0.2">
      <c r="A136" t="s">
        <v>381</v>
      </c>
      <c r="B136" s="3">
        <v>44284</v>
      </c>
      <c r="C136">
        <v>43</v>
      </c>
      <c r="D136" t="s">
        <v>384</v>
      </c>
      <c r="E136" t="s">
        <v>32</v>
      </c>
      <c r="F136" s="9" t="s">
        <v>33</v>
      </c>
      <c r="G136" t="s">
        <v>26</v>
      </c>
      <c r="H136" t="s">
        <v>34</v>
      </c>
      <c r="I136" t="s">
        <v>35</v>
      </c>
      <c r="J136" t="s">
        <v>36</v>
      </c>
      <c r="K136" t="s">
        <v>37</v>
      </c>
      <c r="L136" t="s">
        <v>29</v>
      </c>
      <c r="M136" t="s">
        <v>30</v>
      </c>
      <c r="N136" t="s">
        <v>34</v>
      </c>
      <c r="O136" t="s">
        <v>35</v>
      </c>
      <c r="P136" t="s">
        <v>36</v>
      </c>
      <c r="Q136" t="s">
        <v>37</v>
      </c>
      <c r="R136" s="1">
        <v>44284.369398148148</v>
      </c>
      <c r="S136" s="1">
        <v>44284.369768518518</v>
      </c>
      <c r="T136">
        <v>0</v>
      </c>
      <c r="U136">
        <v>0</v>
      </c>
      <c r="V136" s="2">
        <v>0</v>
      </c>
      <c r="W136">
        <v>0</v>
      </c>
      <c r="X136" t="s">
        <v>37</v>
      </c>
      <c r="Y136">
        <v>0</v>
      </c>
      <c r="Z136" t="s">
        <v>37</v>
      </c>
      <c r="AA136">
        <v>0</v>
      </c>
      <c r="AB136" t="s">
        <v>37</v>
      </c>
      <c r="AC136">
        <v>0</v>
      </c>
      <c r="AD136" t="s">
        <v>31</v>
      </c>
      <c r="AE136">
        <v>0</v>
      </c>
      <c r="AF136" t="s">
        <v>31</v>
      </c>
      <c r="AG136">
        <v>0</v>
      </c>
      <c r="AH136" t="s">
        <v>31</v>
      </c>
      <c r="AI136">
        <v>0</v>
      </c>
      <c r="AJ136" t="s">
        <v>31</v>
      </c>
      <c r="AK136">
        <v>0</v>
      </c>
      <c r="AL136" t="s">
        <v>31</v>
      </c>
      <c r="AM136">
        <v>0</v>
      </c>
      <c r="AN136" t="s">
        <v>31</v>
      </c>
      <c r="AO136">
        <v>0</v>
      </c>
      <c r="AP136" t="s">
        <v>31</v>
      </c>
      <c r="AQ136">
        <v>0</v>
      </c>
    </row>
    <row r="137" spans="1:43" x14ac:dyDescent="0.2">
      <c r="A137" t="s">
        <v>381</v>
      </c>
      <c r="B137" s="3">
        <v>44285</v>
      </c>
      <c r="C137">
        <v>44</v>
      </c>
      <c r="D137" t="s">
        <v>385</v>
      </c>
      <c r="E137" t="s">
        <v>32</v>
      </c>
      <c r="F137" s="9" t="s">
        <v>33</v>
      </c>
      <c r="G137" t="s">
        <v>26</v>
      </c>
      <c r="H137" t="s">
        <v>34</v>
      </c>
      <c r="I137" t="s">
        <v>35</v>
      </c>
      <c r="J137" t="s">
        <v>36</v>
      </c>
      <c r="K137" t="s">
        <v>37</v>
      </c>
      <c r="L137" t="s">
        <v>29</v>
      </c>
      <c r="M137" t="s">
        <v>30</v>
      </c>
      <c r="N137" t="s">
        <v>34</v>
      </c>
      <c r="O137" t="s">
        <v>35</v>
      </c>
      <c r="P137" t="s">
        <v>36</v>
      </c>
      <c r="Q137" t="s">
        <v>37</v>
      </c>
      <c r="R137" s="1">
        <v>44285.373055555552</v>
      </c>
      <c r="S137" s="1">
        <v>44285.457326388889</v>
      </c>
      <c r="T137">
        <v>0</v>
      </c>
      <c r="U137">
        <v>1</v>
      </c>
      <c r="V137" s="2">
        <v>0</v>
      </c>
      <c r="W137">
        <v>0</v>
      </c>
      <c r="X137" t="s">
        <v>37</v>
      </c>
      <c r="Y137">
        <v>0</v>
      </c>
      <c r="Z137" t="s">
        <v>44</v>
      </c>
      <c r="AA137">
        <v>0</v>
      </c>
      <c r="AB137" t="s">
        <v>37</v>
      </c>
      <c r="AC137">
        <v>0</v>
      </c>
      <c r="AD137" t="s">
        <v>37</v>
      </c>
      <c r="AE137">
        <v>0</v>
      </c>
      <c r="AF137" t="s">
        <v>37</v>
      </c>
      <c r="AG137">
        <v>0</v>
      </c>
      <c r="AH137" t="s">
        <v>31</v>
      </c>
      <c r="AI137">
        <v>0</v>
      </c>
      <c r="AJ137" t="s">
        <v>31</v>
      </c>
      <c r="AK137">
        <v>0</v>
      </c>
      <c r="AL137" t="s">
        <v>31</v>
      </c>
      <c r="AM137">
        <v>0</v>
      </c>
      <c r="AN137" t="s">
        <v>31</v>
      </c>
      <c r="AO137">
        <v>0</v>
      </c>
      <c r="AP137" t="s">
        <v>31</v>
      </c>
      <c r="AQ137">
        <v>0</v>
      </c>
    </row>
    <row r="138" spans="1:43" x14ac:dyDescent="0.2">
      <c r="A138" t="s">
        <v>381</v>
      </c>
      <c r="B138" s="3">
        <v>44285</v>
      </c>
      <c r="C138">
        <v>45</v>
      </c>
      <c r="D138" t="s">
        <v>385</v>
      </c>
      <c r="E138" t="s">
        <v>32</v>
      </c>
      <c r="F138" s="9" t="s">
        <v>33</v>
      </c>
      <c r="G138" t="s">
        <v>26</v>
      </c>
      <c r="H138" t="s">
        <v>34</v>
      </c>
      <c r="I138" t="s">
        <v>35</v>
      </c>
      <c r="J138" t="s">
        <v>36</v>
      </c>
      <c r="K138" t="s">
        <v>37</v>
      </c>
      <c r="L138" t="s">
        <v>29</v>
      </c>
      <c r="M138" t="s">
        <v>30</v>
      </c>
      <c r="N138" t="s">
        <v>34</v>
      </c>
      <c r="O138" t="s">
        <v>35</v>
      </c>
      <c r="P138" t="s">
        <v>36</v>
      </c>
      <c r="Q138" t="s">
        <v>37</v>
      </c>
      <c r="R138" s="1">
        <v>44285.568344907406</v>
      </c>
      <c r="S138" s="1">
        <v>44285.635763888888</v>
      </c>
      <c r="T138">
        <v>0</v>
      </c>
      <c r="U138">
        <v>0</v>
      </c>
      <c r="V138" s="2">
        <v>0</v>
      </c>
      <c r="W138">
        <v>0</v>
      </c>
      <c r="X138" t="s">
        <v>37</v>
      </c>
      <c r="Y138">
        <v>0</v>
      </c>
      <c r="Z138" t="s">
        <v>37</v>
      </c>
      <c r="AA138">
        <v>0</v>
      </c>
      <c r="AB138" t="s">
        <v>37</v>
      </c>
      <c r="AC138">
        <v>0</v>
      </c>
      <c r="AD138" t="s">
        <v>37</v>
      </c>
      <c r="AE138">
        <v>0</v>
      </c>
      <c r="AF138" t="s">
        <v>31</v>
      </c>
      <c r="AG138">
        <v>0</v>
      </c>
      <c r="AH138" t="s">
        <v>31</v>
      </c>
      <c r="AI138">
        <v>0</v>
      </c>
      <c r="AJ138" t="s">
        <v>31</v>
      </c>
      <c r="AK138">
        <v>0</v>
      </c>
      <c r="AL138" t="s">
        <v>31</v>
      </c>
      <c r="AM138">
        <v>0</v>
      </c>
      <c r="AN138" t="s">
        <v>31</v>
      </c>
      <c r="AO138">
        <v>0</v>
      </c>
      <c r="AP138" t="s">
        <v>31</v>
      </c>
      <c r="AQ138">
        <v>0</v>
      </c>
    </row>
    <row r="139" spans="1:43" x14ac:dyDescent="0.2">
      <c r="A139" t="s">
        <v>381</v>
      </c>
      <c r="B139" s="3">
        <v>44286</v>
      </c>
      <c r="C139">
        <v>46</v>
      </c>
      <c r="D139" t="s">
        <v>384</v>
      </c>
      <c r="E139" t="s">
        <v>32</v>
      </c>
      <c r="F139" s="9" t="s">
        <v>33</v>
      </c>
      <c r="G139" t="s">
        <v>26</v>
      </c>
      <c r="H139" t="s">
        <v>34</v>
      </c>
      <c r="I139" t="s">
        <v>35</v>
      </c>
      <c r="J139" t="s">
        <v>36</v>
      </c>
      <c r="K139" t="s">
        <v>37</v>
      </c>
      <c r="L139" t="s">
        <v>29</v>
      </c>
      <c r="M139" t="s">
        <v>30</v>
      </c>
      <c r="N139" t="s">
        <v>34</v>
      </c>
      <c r="O139" t="s">
        <v>35</v>
      </c>
      <c r="P139" t="s">
        <v>36</v>
      </c>
      <c r="Q139" t="s">
        <v>37</v>
      </c>
      <c r="R139" s="1">
        <v>44286.369641203702</v>
      </c>
      <c r="S139" s="1">
        <v>44286.369837962964</v>
      </c>
      <c r="T139">
        <v>0</v>
      </c>
      <c r="U139">
        <v>0</v>
      </c>
      <c r="V139" s="2">
        <v>0</v>
      </c>
      <c r="W139">
        <v>0</v>
      </c>
      <c r="X139" t="s">
        <v>37</v>
      </c>
      <c r="Y139">
        <v>0</v>
      </c>
      <c r="Z139" t="s">
        <v>37</v>
      </c>
      <c r="AA139">
        <v>0</v>
      </c>
      <c r="AB139" t="s">
        <v>37</v>
      </c>
      <c r="AC139">
        <v>0</v>
      </c>
      <c r="AD139" t="s">
        <v>31</v>
      </c>
      <c r="AE139">
        <v>0</v>
      </c>
      <c r="AF139" t="s">
        <v>31</v>
      </c>
      <c r="AG139">
        <v>0</v>
      </c>
      <c r="AH139" t="s">
        <v>31</v>
      </c>
      <c r="AI139">
        <v>0</v>
      </c>
      <c r="AJ139" t="s">
        <v>31</v>
      </c>
      <c r="AK139">
        <v>0</v>
      </c>
      <c r="AL139" t="s">
        <v>31</v>
      </c>
      <c r="AM139">
        <v>0</v>
      </c>
      <c r="AN139" t="s">
        <v>31</v>
      </c>
      <c r="AO139">
        <v>0</v>
      </c>
      <c r="AP139" t="s">
        <v>31</v>
      </c>
      <c r="AQ139">
        <v>0</v>
      </c>
    </row>
    <row r="140" spans="1:43" x14ac:dyDescent="0.2">
      <c r="A140" t="s">
        <v>381</v>
      </c>
      <c r="B140" s="3">
        <v>44287</v>
      </c>
      <c r="C140">
        <v>47</v>
      </c>
      <c r="D140" t="s">
        <v>385</v>
      </c>
      <c r="E140" t="s">
        <v>32</v>
      </c>
      <c r="F140" s="9" t="s">
        <v>33</v>
      </c>
      <c r="G140" t="s">
        <v>26</v>
      </c>
      <c r="H140" t="s">
        <v>34</v>
      </c>
      <c r="I140" t="s">
        <v>35</v>
      </c>
      <c r="J140" t="s">
        <v>36</v>
      </c>
      <c r="K140" t="s">
        <v>37</v>
      </c>
      <c r="L140" t="s">
        <v>29</v>
      </c>
      <c r="M140" t="s">
        <v>30</v>
      </c>
      <c r="N140" t="s">
        <v>34</v>
      </c>
      <c r="O140" t="s">
        <v>35</v>
      </c>
      <c r="P140" t="s">
        <v>36</v>
      </c>
      <c r="Q140" t="s">
        <v>37</v>
      </c>
      <c r="R140" s="1">
        <v>44287.410810185182</v>
      </c>
      <c r="S140" s="1">
        <v>44287.441041666665</v>
      </c>
      <c r="T140">
        <v>0</v>
      </c>
      <c r="U140">
        <v>1</v>
      </c>
      <c r="V140" s="2">
        <v>0</v>
      </c>
      <c r="W140">
        <v>0</v>
      </c>
      <c r="X140" t="s">
        <v>37</v>
      </c>
      <c r="Y140">
        <v>0</v>
      </c>
      <c r="Z140" t="s">
        <v>37</v>
      </c>
      <c r="AA140">
        <v>0</v>
      </c>
      <c r="AB140" t="s">
        <v>44</v>
      </c>
      <c r="AC140">
        <v>0</v>
      </c>
      <c r="AD140" t="s">
        <v>37</v>
      </c>
      <c r="AE140">
        <v>0</v>
      </c>
      <c r="AF140" t="s">
        <v>31</v>
      </c>
      <c r="AG140">
        <v>0</v>
      </c>
      <c r="AH140" t="s">
        <v>31</v>
      </c>
      <c r="AI140">
        <v>0</v>
      </c>
      <c r="AJ140" t="s">
        <v>31</v>
      </c>
      <c r="AK140">
        <v>0</v>
      </c>
      <c r="AL140" t="s">
        <v>31</v>
      </c>
      <c r="AM140">
        <v>0</v>
      </c>
      <c r="AN140" t="s">
        <v>31</v>
      </c>
      <c r="AO140">
        <v>0</v>
      </c>
      <c r="AP140" t="s">
        <v>31</v>
      </c>
      <c r="AQ140">
        <v>0</v>
      </c>
    </row>
    <row r="141" spans="1:43" x14ac:dyDescent="0.2">
      <c r="A141" t="s">
        <v>381</v>
      </c>
      <c r="B141" s="3">
        <v>44287</v>
      </c>
      <c r="C141">
        <v>48</v>
      </c>
      <c r="D141" t="s">
        <v>385</v>
      </c>
      <c r="E141" t="s">
        <v>32</v>
      </c>
      <c r="F141" s="9" t="s">
        <v>33</v>
      </c>
      <c r="G141" t="s">
        <v>26</v>
      </c>
      <c r="H141" t="s">
        <v>34</v>
      </c>
      <c r="I141" t="s">
        <v>35</v>
      </c>
      <c r="J141" t="s">
        <v>36</v>
      </c>
      <c r="K141" t="s">
        <v>37</v>
      </c>
      <c r="L141" t="s">
        <v>29</v>
      </c>
      <c r="M141" t="s">
        <v>30</v>
      </c>
      <c r="N141" t="s">
        <v>34</v>
      </c>
      <c r="O141" t="s">
        <v>35</v>
      </c>
      <c r="P141" t="s">
        <v>36</v>
      </c>
      <c r="Q141" t="s">
        <v>37</v>
      </c>
      <c r="R141" s="1">
        <v>44287.559930555559</v>
      </c>
      <c r="S141" s="1">
        <v>44287.646562499998</v>
      </c>
      <c r="T141">
        <v>0</v>
      </c>
      <c r="U141">
        <v>0</v>
      </c>
      <c r="V141" s="2">
        <v>0</v>
      </c>
      <c r="W141">
        <v>0</v>
      </c>
      <c r="X141" t="s">
        <v>37</v>
      </c>
      <c r="Y141">
        <v>0</v>
      </c>
      <c r="Z141" t="s">
        <v>37</v>
      </c>
      <c r="AA141">
        <v>0</v>
      </c>
      <c r="AB141" t="s">
        <v>37</v>
      </c>
      <c r="AC141">
        <v>0</v>
      </c>
      <c r="AD141" t="s">
        <v>31</v>
      </c>
      <c r="AE141">
        <v>0</v>
      </c>
      <c r="AF141" t="s">
        <v>31</v>
      </c>
      <c r="AG141">
        <v>0</v>
      </c>
      <c r="AH141" t="s">
        <v>31</v>
      </c>
      <c r="AI141">
        <v>0</v>
      </c>
      <c r="AJ141" t="s">
        <v>31</v>
      </c>
      <c r="AK141">
        <v>0</v>
      </c>
      <c r="AL141" t="s">
        <v>31</v>
      </c>
      <c r="AM141">
        <v>0</v>
      </c>
      <c r="AN141" t="s">
        <v>31</v>
      </c>
      <c r="AO141">
        <v>0</v>
      </c>
      <c r="AP141" t="s">
        <v>31</v>
      </c>
      <c r="AQ141">
        <v>0</v>
      </c>
    </row>
    <row r="142" spans="1:43" x14ac:dyDescent="0.2">
      <c r="A142" t="s">
        <v>381</v>
      </c>
      <c r="B142" s="3">
        <v>44288</v>
      </c>
      <c r="C142">
        <v>49</v>
      </c>
      <c r="D142" t="s">
        <v>384</v>
      </c>
      <c r="E142" t="s">
        <v>32</v>
      </c>
      <c r="F142" s="9" t="s">
        <v>33</v>
      </c>
      <c r="G142" t="s">
        <v>26</v>
      </c>
      <c r="H142" t="s">
        <v>34</v>
      </c>
      <c r="I142" t="s">
        <v>35</v>
      </c>
      <c r="J142" t="s">
        <v>36</v>
      </c>
      <c r="K142" t="s">
        <v>37</v>
      </c>
      <c r="L142" t="s">
        <v>29</v>
      </c>
      <c r="M142" t="s">
        <v>30</v>
      </c>
      <c r="N142" t="s">
        <v>34</v>
      </c>
      <c r="O142" t="s">
        <v>35</v>
      </c>
      <c r="P142" t="s">
        <v>36</v>
      </c>
      <c r="Q142" t="s">
        <v>37</v>
      </c>
      <c r="R142" s="1">
        <v>44288.464398148149</v>
      </c>
      <c r="S142" s="1">
        <v>44288.464791666665</v>
      </c>
      <c r="T142">
        <v>0</v>
      </c>
      <c r="U142">
        <v>0</v>
      </c>
      <c r="V142" s="2">
        <v>0</v>
      </c>
      <c r="W142">
        <v>0</v>
      </c>
      <c r="X142" t="s">
        <v>37</v>
      </c>
      <c r="Y142">
        <v>0</v>
      </c>
      <c r="Z142" t="s">
        <v>37</v>
      </c>
      <c r="AA142">
        <v>0</v>
      </c>
      <c r="AB142" t="s">
        <v>37</v>
      </c>
      <c r="AC142">
        <v>0</v>
      </c>
      <c r="AD142" t="s">
        <v>31</v>
      </c>
      <c r="AE142">
        <v>0</v>
      </c>
      <c r="AF142" t="s">
        <v>31</v>
      </c>
      <c r="AG142">
        <v>0</v>
      </c>
      <c r="AH142" t="s">
        <v>31</v>
      </c>
      <c r="AI142">
        <v>0</v>
      </c>
      <c r="AJ142" t="s">
        <v>31</v>
      </c>
      <c r="AK142">
        <v>0</v>
      </c>
      <c r="AL142" t="s">
        <v>31</v>
      </c>
      <c r="AM142">
        <v>0</v>
      </c>
      <c r="AN142" t="s">
        <v>31</v>
      </c>
      <c r="AO142">
        <v>0</v>
      </c>
      <c r="AP142" t="s">
        <v>31</v>
      </c>
      <c r="AQ142">
        <v>0</v>
      </c>
    </row>
    <row r="143" spans="1:43" x14ac:dyDescent="0.2">
      <c r="A143" t="s">
        <v>381</v>
      </c>
      <c r="B143" s="3">
        <v>44291</v>
      </c>
      <c r="C143">
        <v>50</v>
      </c>
      <c r="D143" t="s">
        <v>384</v>
      </c>
      <c r="E143" t="s">
        <v>32</v>
      </c>
      <c r="F143" s="9" t="s">
        <v>33</v>
      </c>
      <c r="G143" t="s">
        <v>26</v>
      </c>
      <c r="H143" t="s">
        <v>34</v>
      </c>
      <c r="I143" t="s">
        <v>35</v>
      </c>
      <c r="J143" t="s">
        <v>36</v>
      </c>
      <c r="K143" t="s">
        <v>37</v>
      </c>
      <c r="L143" t="s">
        <v>29</v>
      </c>
      <c r="M143" t="s">
        <v>30</v>
      </c>
      <c r="N143" t="s">
        <v>34</v>
      </c>
      <c r="O143" t="s">
        <v>35</v>
      </c>
      <c r="P143" t="s">
        <v>36</v>
      </c>
      <c r="Q143" t="s">
        <v>37</v>
      </c>
      <c r="R143" s="1">
        <v>44291.369571759256</v>
      </c>
      <c r="S143" s="1">
        <v>44291.369942129626</v>
      </c>
      <c r="T143">
        <v>0</v>
      </c>
      <c r="U143">
        <v>0</v>
      </c>
      <c r="V143" s="2">
        <v>0</v>
      </c>
      <c r="W143">
        <v>0</v>
      </c>
      <c r="X143" t="s">
        <v>37</v>
      </c>
      <c r="Y143">
        <v>0</v>
      </c>
      <c r="Z143" t="s">
        <v>37</v>
      </c>
      <c r="AA143">
        <v>0</v>
      </c>
      <c r="AB143" t="s">
        <v>37</v>
      </c>
      <c r="AC143">
        <v>0</v>
      </c>
      <c r="AD143" t="s">
        <v>31</v>
      </c>
      <c r="AE143">
        <v>0</v>
      </c>
      <c r="AF143" t="s">
        <v>31</v>
      </c>
      <c r="AG143">
        <v>0</v>
      </c>
      <c r="AH143" t="s">
        <v>31</v>
      </c>
      <c r="AI143">
        <v>0</v>
      </c>
      <c r="AJ143" t="s">
        <v>31</v>
      </c>
      <c r="AK143">
        <v>0</v>
      </c>
      <c r="AL143" t="s">
        <v>31</v>
      </c>
      <c r="AM143">
        <v>0</v>
      </c>
      <c r="AN143" t="s">
        <v>31</v>
      </c>
      <c r="AO143">
        <v>0</v>
      </c>
      <c r="AP143" t="s">
        <v>31</v>
      </c>
      <c r="AQ143">
        <v>0</v>
      </c>
    </row>
    <row r="144" spans="1:43" x14ac:dyDescent="0.2">
      <c r="A144" t="s">
        <v>381</v>
      </c>
      <c r="B144" s="3">
        <v>44292</v>
      </c>
      <c r="C144">
        <v>51</v>
      </c>
      <c r="D144" t="s">
        <v>385</v>
      </c>
      <c r="E144" t="s">
        <v>32</v>
      </c>
      <c r="F144" s="9" t="s">
        <v>33</v>
      </c>
      <c r="G144" t="s">
        <v>26</v>
      </c>
      <c r="H144" t="s">
        <v>34</v>
      </c>
      <c r="I144" t="s">
        <v>35</v>
      </c>
      <c r="J144" t="s">
        <v>36</v>
      </c>
      <c r="K144" t="s">
        <v>37</v>
      </c>
      <c r="L144" t="s">
        <v>29</v>
      </c>
      <c r="M144" t="s">
        <v>30</v>
      </c>
      <c r="N144" t="s">
        <v>34</v>
      </c>
      <c r="O144" t="s">
        <v>35</v>
      </c>
      <c r="P144" t="s">
        <v>36</v>
      </c>
      <c r="Q144" t="s">
        <v>37</v>
      </c>
      <c r="R144" s="1">
        <v>44292.398263888892</v>
      </c>
      <c r="S144" s="1">
        <v>44292.456331018519</v>
      </c>
      <c r="T144">
        <v>0</v>
      </c>
      <c r="U144">
        <v>0</v>
      </c>
      <c r="V144" s="2">
        <v>0</v>
      </c>
      <c r="W144">
        <v>0</v>
      </c>
      <c r="X144" t="s">
        <v>37</v>
      </c>
      <c r="Y144">
        <v>0</v>
      </c>
      <c r="Z144" t="s">
        <v>37</v>
      </c>
      <c r="AA144">
        <v>0</v>
      </c>
      <c r="AB144" t="s">
        <v>37</v>
      </c>
      <c r="AC144">
        <v>0</v>
      </c>
      <c r="AD144" t="s">
        <v>37</v>
      </c>
      <c r="AE144">
        <v>0</v>
      </c>
      <c r="AF144" t="s">
        <v>37</v>
      </c>
      <c r="AG144">
        <v>0</v>
      </c>
      <c r="AH144" t="s">
        <v>37</v>
      </c>
      <c r="AI144">
        <v>0</v>
      </c>
      <c r="AJ144" t="s">
        <v>31</v>
      </c>
      <c r="AK144">
        <v>0</v>
      </c>
      <c r="AL144" t="s">
        <v>31</v>
      </c>
      <c r="AM144">
        <v>0</v>
      </c>
      <c r="AN144" t="s">
        <v>31</v>
      </c>
      <c r="AO144">
        <v>0</v>
      </c>
      <c r="AP144" t="s">
        <v>31</v>
      </c>
      <c r="AQ144">
        <v>0</v>
      </c>
    </row>
    <row r="145" spans="1:43" x14ac:dyDescent="0.2">
      <c r="A145" t="s">
        <v>381</v>
      </c>
      <c r="B145" s="3">
        <v>44293</v>
      </c>
      <c r="C145">
        <v>53</v>
      </c>
      <c r="D145" t="s">
        <v>384</v>
      </c>
      <c r="E145" t="s">
        <v>32</v>
      </c>
      <c r="F145" s="9" t="s">
        <v>33</v>
      </c>
      <c r="G145" t="s">
        <v>26</v>
      </c>
      <c r="H145" t="s">
        <v>34</v>
      </c>
      <c r="I145" t="s">
        <v>35</v>
      </c>
      <c r="J145" t="s">
        <v>36</v>
      </c>
      <c r="K145" t="s">
        <v>37</v>
      </c>
      <c r="L145" t="s">
        <v>29</v>
      </c>
      <c r="M145" t="s">
        <v>30</v>
      </c>
      <c r="N145" t="s">
        <v>34</v>
      </c>
      <c r="O145" t="s">
        <v>35</v>
      </c>
      <c r="P145" t="s">
        <v>36</v>
      </c>
      <c r="Q145" t="s">
        <v>37</v>
      </c>
      <c r="R145" s="1">
        <v>44293.365868055553</v>
      </c>
      <c r="S145" s="1">
        <v>44293.365879629629</v>
      </c>
      <c r="T145">
        <v>2</v>
      </c>
      <c r="U145">
        <v>2</v>
      </c>
      <c r="V145" s="2">
        <v>1</v>
      </c>
      <c r="W145">
        <v>0</v>
      </c>
      <c r="X145" t="s">
        <v>37</v>
      </c>
      <c r="Y145">
        <v>0</v>
      </c>
      <c r="Z145" t="s">
        <v>37</v>
      </c>
      <c r="AA145">
        <v>0</v>
      </c>
      <c r="AB145" t="s">
        <v>37</v>
      </c>
      <c r="AC145">
        <v>0</v>
      </c>
      <c r="AD145" t="s">
        <v>37</v>
      </c>
      <c r="AE145">
        <v>0</v>
      </c>
      <c r="AF145" t="s">
        <v>37</v>
      </c>
      <c r="AG145">
        <v>0</v>
      </c>
      <c r="AH145" t="s">
        <v>30</v>
      </c>
      <c r="AI145">
        <v>0</v>
      </c>
      <c r="AJ145" t="s">
        <v>30</v>
      </c>
      <c r="AK145">
        <v>0</v>
      </c>
      <c r="AL145" t="s">
        <v>37</v>
      </c>
      <c r="AM145">
        <v>0</v>
      </c>
      <c r="AN145" t="s">
        <v>37</v>
      </c>
      <c r="AO145">
        <v>0</v>
      </c>
      <c r="AP145" t="s">
        <v>37</v>
      </c>
      <c r="AQ145">
        <v>0</v>
      </c>
    </row>
    <row r="146" spans="1:43" x14ac:dyDescent="0.2">
      <c r="A146" t="s">
        <v>381</v>
      </c>
      <c r="B146" s="3">
        <v>44294</v>
      </c>
      <c r="C146">
        <v>55</v>
      </c>
      <c r="D146" t="s">
        <v>385</v>
      </c>
      <c r="E146" t="s">
        <v>32</v>
      </c>
      <c r="F146" s="9" t="s">
        <v>33</v>
      </c>
      <c r="G146" t="s">
        <v>26</v>
      </c>
      <c r="H146" t="s">
        <v>34</v>
      </c>
      <c r="I146" t="s">
        <v>35</v>
      </c>
      <c r="J146" t="s">
        <v>36</v>
      </c>
      <c r="K146" t="s">
        <v>37</v>
      </c>
      <c r="L146" t="s">
        <v>29</v>
      </c>
      <c r="M146" t="s">
        <v>30</v>
      </c>
      <c r="N146" t="s">
        <v>34</v>
      </c>
      <c r="O146" t="s">
        <v>35</v>
      </c>
      <c r="P146" t="s">
        <v>36</v>
      </c>
      <c r="Q146" t="s">
        <v>37</v>
      </c>
      <c r="R146" s="1">
        <v>44294.545567129629</v>
      </c>
      <c r="S146" s="1">
        <v>44294.59134259259</v>
      </c>
      <c r="T146">
        <v>0</v>
      </c>
      <c r="U146">
        <v>0</v>
      </c>
      <c r="V146" s="2">
        <v>0</v>
      </c>
      <c r="W146">
        <v>0</v>
      </c>
      <c r="X146" t="s">
        <v>37</v>
      </c>
      <c r="Y146">
        <v>0</v>
      </c>
      <c r="Z146" t="s">
        <v>37</v>
      </c>
      <c r="AA146">
        <v>0</v>
      </c>
      <c r="AB146" t="s">
        <v>37</v>
      </c>
      <c r="AC146">
        <v>0</v>
      </c>
      <c r="AD146" t="s">
        <v>37</v>
      </c>
      <c r="AE146">
        <v>0</v>
      </c>
      <c r="AF146" t="s">
        <v>37</v>
      </c>
      <c r="AG146">
        <v>0</v>
      </c>
      <c r="AH146" t="s">
        <v>37</v>
      </c>
      <c r="AI146">
        <v>0</v>
      </c>
      <c r="AJ146" t="s">
        <v>31</v>
      </c>
      <c r="AK146">
        <v>0</v>
      </c>
      <c r="AL146" t="s">
        <v>31</v>
      </c>
      <c r="AM146">
        <v>0</v>
      </c>
      <c r="AN146" t="s">
        <v>31</v>
      </c>
      <c r="AO146">
        <v>0</v>
      </c>
      <c r="AP146" t="s">
        <v>31</v>
      </c>
      <c r="AQ146">
        <v>0</v>
      </c>
    </row>
    <row r="147" spans="1:43" x14ac:dyDescent="0.2">
      <c r="A147" t="s">
        <v>381</v>
      </c>
      <c r="B147" s="3">
        <v>44295</v>
      </c>
      <c r="C147">
        <v>56</v>
      </c>
      <c r="D147" t="s">
        <v>384</v>
      </c>
      <c r="E147" t="s">
        <v>32</v>
      </c>
      <c r="F147" s="9" t="s">
        <v>33</v>
      </c>
      <c r="G147" t="s">
        <v>26</v>
      </c>
      <c r="H147" t="s">
        <v>34</v>
      </c>
      <c r="I147" t="s">
        <v>35</v>
      </c>
      <c r="J147" t="s">
        <v>36</v>
      </c>
      <c r="K147" t="s">
        <v>37</v>
      </c>
      <c r="L147" t="s">
        <v>29</v>
      </c>
      <c r="M147" t="s">
        <v>30</v>
      </c>
      <c r="N147" t="s">
        <v>34</v>
      </c>
      <c r="O147" t="s">
        <v>35</v>
      </c>
      <c r="P147" t="s">
        <v>36</v>
      </c>
      <c r="Q147" t="s">
        <v>37</v>
      </c>
      <c r="R147" s="1">
        <v>44295.366759259261</v>
      </c>
      <c r="S147" s="1">
        <v>44295.367083333331</v>
      </c>
      <c r="T147">
        <v>2</v>
      </c>
      <c r="U147">
        <v>2</v>
      </c>
      <c r="V147" s="2">
        <v>1</v>
      </c>
      <c r="W147">
        <v>0</v>
      </c>
      <c r="X147" t="s">
        <v>37</v>
      </c>
      <c r="Y147">
        <v>0</v>
      </c>
      <c r="Z147" t="s">
        <v>37</v>
      </c>
      <c r="AA147">
        <v>0</v>
      </c>
      <c r="AB147" t="s">
        <v>37</v>
      </c>
      <c r="AC147">
        <v>0</v>
      </c>
      <c r="AD147" t="s">
        <v>37</v>
      </c>
      <c r="AE147">
        <v>0</v>
      </c>
      <c r="AF147" t="s">
        <v>37</v>
      </c>
      <c r="AG147">
        <v>0</v>
      </c>
      <c r="AH147" t="s">
        <v>37</v>
      </c>
      <c r="AI147">
        <v>0</v>
      </c>
      <c r="AJ147" t="s">
        <v>30</v>
      </c>
      <c r="AK147">
        <v>0</v>
      </c>
      <c r="AL147" t="s">
        <v>30</v>
      </c>
      <c r="AM147">
        <v>0</v>
      </c>
      <c r="AN147" t="s">
        <v>31</v>
      </c>
      <c r="AO147">
        <v>0</v>
      </c>
      <c r="AP147" t="s">
        <v>31</v>
      </c>
      <c r="AQ147">
        <v>0</v>
      </c>
    </row>
    <row r="148" spans="1:43" x14ac:dyDescent="0.2">
      <c r="A148" t="s">
        <v>381</v>
      </c>
      <c r="B148" s="3">
        <v>44298</v>
      </c>
      <c r="C148">
        <v>57</v>
      </c>
      <c r="D148" t="s">
        <v>387</v>
      </c>
      <c r="E148" t="s">
        <v>32</v>
      </c>
      <c r="F148" s="9" t="s">
        <v>33</v>
      </c>
      <c r="G148" t="s">
        <v>26</v>
      </c>
      <c r="H148" t="s">
        <v>34</v>
      </c>
      <c r="I148" t="s">
        <v>35</v>
      </c>
      <c r="J148" t="s">
        <v>36</v>
      </c>
      <c r="K148" t="s">
        <v>37</v>
      </c>
      <c r="L148" t="s">
        <v>29</v>
      </c>
      <c r="M148" t="s">
        <v>30</v>
      </c>
      <c r="N148" t="s">
        <v>34</v>
      </c>
      <c r="O148" t="s">
        <v>35</v>
      </c>
      <c r="P148" t="s">
        <v>36</v>
      </c>
      <c r="Q148" t="s">
        <v>37</v>
      </c>
      <c r="R148" s="1">
        <v>44298.595937500002</v>
      </c>
      <c r="S148" s="1">
        <v>44298.596006944441</v>
      </c>
      <c r="T148">
        <v>0</v>
      </c>
      <c r="U148">
        <v>1</v>
      </c>
      <c r="V148" s="2">
        <v>0</v>
      </c>
      <c r="W148">
        <v>0</v>
      </c>
      <c r="X148" t="s">
        <v>113</v>
      </c>
      <c r="Y148">
        <v>0</v>
      </c>
      <c r="Z148" t="s">
        <v>31</v>
      </c>
      <c r="AA148">
        <v>0</v>
      </c>
      <c r="AB148" t="s">
        <v>31</v>
      </c>
      <c r="AC148">
        <v>0</v>
      </c>
      <c r="AD148" t="s">
        <v>31</v>
      </c>
      <c r="AE148">
        <v>0</v>
      </c>
      <c r="AF148" t="s">
        <v>31</v>
      </c>
      <c r="AG148">
        <v>0</v>
      </c>
      <c r="AH148" t="s">
        <v>31</v>
      </c>
      <c r="AI148">
        <v>0</v>
      </c>
      <c r="AJ148" t="s">
        <v>31</v>
      </c>
      <c r="AK148">
        <v>0</v>
      </c>
      <c r="AL148" t="s">
        <v>31</v>
      </c>
      <c r="AM148">
        <v>0</v>
      </c>
      <c r="AN148" t="s">
        <v>31</v>
      </c>
      <c r="AO148">
        <v>0</v>
      </c>
      <c r="AP148" t="s">
        <v>31</v>
      </c>
      <c r="AQ148">
        <v>0</v>
      </c>
    </row>
    <row r="149" spans="1:43" x14ac:dyDescent="0.2">
      <c r="A149" t="s">
        <v>381</v>
      </c>
      <c r="B149" s="3">
        <v>44299</v>
      </c>
      <c r="C149">
        <v>58</v>
      </c>
      <c r="D149" t="s">
        <v>385</v>
      </c>
      <c r="E149" t="s">
        <v>32</v>
      </c>
      <c r="F149" s="9" t="s">
        <v>33</v>
      </c>
      <c r="G149" t="s">
        <v>26</v>
      </c>
      <c r="H149" t="s">
        <v>34</v>
      </c>
      <c r="I149" t="s">
        <v>35</v>
      </c>
      <c r="J149" t="s">
        <v>36</v>
      </c>
      <c r="K149" t="s">
        <v>37</v>
      </c>
      <c r="L149" t="s">
        <v>29</v>
      </c>
      <c r="M149" t="s">
        <v>30</v>
      </c>
      <c r="N149" t="s">
        <v>34</v>
      </c>
      <c r="O149" t="s">
        <v>35</v>
      </c>
      <c r="P149" t="s">
        <v>36</v>
      </c>
      <c r="Q149" t="s">
        <v>37</v>
      </c>
      <c r="R149" s="1">
        <v>44299.379733796297</v>
      </c>
      <c r="S149" s="1">
        <v>44299.468298611115</v>
      </c>
      <c r="T149">
        <v>0</v>
      </c>
      <c r="U149">
        <v>0</v>
      </c>
      <c r="V149" s="2">
        <v>0</v>
      </c>
      <c r="W149">
        <v>0</v>
      </c>
      <c r="X149" t="s">
        <v>37</v>
      </c>
      <c r="Y149">
        <v>0</v>
      </c>
      <c r="Z149" t="s">
        <v>37</v>
      </c>
      <c r="AA149">
        <v>0</v>
      </c>
      <c r="AB149" t="s">
        <v>37</v>
      </c>
      <c r="AC149">
        <v>0</v>
      </c>
      <c r="AD149" t="s">
        <v>37</v>
      </c>
      <c r="AE149">
        <v>0</v>
      </c>
      <c r="AF149" t="s">
        <v>37</v>
      </c>
      <c r="AG149">
        <v>0</v>
      </c>
      <c r="AH149" t="s">
        <v>37</v>
      </c>
      <c r="AI149">
        <v>0</v>
      </c>
      <c r="AJ149" t="s">
        <v>37</v>
      </c>
      <c r="AK149">
        <v>0</v>
      </c>
      <c r="AL149" t="s">
        <v>37</v>
      </c>
      <c r="AM149">
        <v>0</v>
      </c>
      <c r="AN149" t="s">
        <v>37</v>
      </c>
      <c r="AO149">
        <v>0</v>
      </c>
      <c r="AP149" t="s">
        <v>31</v>
      </c>
      <c r="AQ149">
        <v>0</v>
      </c>
    </row>
    <row r="150" spans="1:43" x14ac:dyDescent="0.2">
      <c r="A150" t="s">
        <v>381</v>
      </c>
      <c r="B150" s="3">
        <v>44299</v>
      </c>
      <c r="C150">
        <v>59</v>
      </c>
      <c r="D150" t="s">
        <v>385</v>
      </c>
      <c r="E150" t="s">
        <v>32</v>
      </c>
      <c r="F150" s="9" t="s">
        <v>33</v>
      </c>
      <c r="G150" t="s">
        <v>26</v>
      </c>
      <c r="H150" t="s">
        <v>34</v>
      </c>
      <c r="I150" t="s">
        <v>35</v>
      </c>
      <c r="J150" t="s">
        <v>36</v>
      </c>
      <c r="K150" t="s">
        <v>37</v>
      </c>
      <c r="L150" t="s">
        <v>29</v>
      </c>
      <c r="M150" t="s">
        <v>30</v>
      </c>
      <c r="N150" t="s">
        <v>34</v>
      </c>
      <c r="O150" t="s">
        <v>35</v>
      </c>
      <c r="P150" t="s">
        <v>36</v>
      </c>
      <c r="Q150" t="s">
        <v>37</v>
      </c>
      <c r="R150" s="1">
        <v>44299.546030092592</v>
      </c>
      <c r="S150" s="1">
        <v>44299.595648148148</v>
      </c>
      <c r="T150">
        <v>0</v>
      </c>
      <c r="U150">
        <v>0</v>
      </c>
      <c r="V150" s="2">
        <v>0</v>
      </c>
      <c r="W150">
        <v>0</v>
      </c>
      <c r="X150" t="s">
        <v>37</v>
      </c>
      <c r="Y150">
        <v>0</v>
      </c>
      <c r="Z150" t="s">
        <v>37</v>
      </c>
      <c r="AA150">
        <v>0</v>
      </c>
      <c r="AB150" t="s">
        <v>37</v>
      </c>
      <c r="AC150">
        <v>0</v>
      </c>
      <c r="AD150" t="s">
        <v>37</v>
      </c>
      <c r="AE150">
        <v>0</v>
      </c>
      <c r="AF150" t="s">
        <v>31</v>
      </c>
      <c r="AG150">
        <v>0</v>
      </c>
      <c r="AH150" t="s">
        <v>31</v>
      </c>
      <c r="AI150">
        <v>0</v>
      </c>
      <c r="AJ150" t="s">
        <v>31</v>
      </c>
      <c r="AK150">
        <v>0</v>
      </c>
      <c r="AL150" t="s">
        <v>31</v>
      </c>
      <c r="AM150">
        <v>0</v>
      </c>
      <c r="AN150" t="s">
        <v>31</v>
      </c>
      <c r="AO150">
        <v>0</v>
      </c>
      <c r="AP150" t="s">
        <v>31</v>
      </c>
      <c r="AQ150">
        <v>0</v>
      </c>
    </row>
    <row r="151" spans="1:43" x14ac:dyDescent="0.2">
      <c r="A151" t="s">
        <v>381</v>
      </c>
      <c r="B151" s="3">
        <v>44300</v>
      </c>
      <c r="C151">
        <v>60</v>
      </c>
      <c r="D151" t="s">
        <v>398</v>
      </c>
      <c r="E151" t="s">
        <v>32</v>
      </c>
      <c r="F151" s="9" t="s">
        <v>33</v>
      </c>
      <c r="G151" t="s">
        <v>26</v>
      </c>
      <c r="H151" t="s">
        <v>34</v>
      </c>
      <c r="I151" t="s">
        <v>35</v>
      </c>
      <c r="J151" t="s">
        <v>36</v>
      </c>
      <c r="K151" t="s">
        <v>37</v>
      </c>
      <c r="L151" t="s">
        <v>29</v>
      </c>
      <c r="M151" t="s">
        <v>30</v>
      </c>
      <c r="N151" t="s">
        <v>34</v>
      </c>
      <c r="O151" t="s">
        <v>35</v>
      </c>
      <c r="P151" t="s">
        <v>36</v>
      </c>
      <c r="Q151" t="s">
        <v>37</v>
      </c>
      <c r="R151" s="1">
        <v>44300.401388888888</v>
      </c>
      <c r="S151" s="1">
        <v>44300.401400462964</v>
      </c>
      <c r="T151">
        <v>0</v>
      </c>
      <c r="U151">
        <v>0</v>
      </c>
      <c r="V151" s="2">
        <v>0</v>
      </c>
      <c r="W151">
        <v>0</v>
      </c>
      <c r="X151" t="s">
        <v>37</v>
      </c>
      <c r="Y151">
        <v>0</v>
      </c>
      <c r="Z151" t="s">
        <v>37</v>
      </c>
      <c r="AA151">
        <v>0</v>
      </c>
      <c r="AB151" t="s">
        <v>37</v>
      </c>
      <c r="AC151">
        <v>0</v>
      </c>
      <c r="AD151" t="s">
        <v>31</v>
      </c>
      <c r="AE151">
        <v>0</v>
      </c>
      <c r="AF151" t="s">
        <v>31</v>
      </c>
      <c r="AG151">
        <v>0</v>
      </c>
      <c r="AH151" t="s">
        <v>31</v>
      </c>
      <c r="AI151">
        <v>0</v>
      </c>
      <c r="AJ151" t="s">
        <v>31</v>
      </c>
      <c r="AK151">
        <v>0</v>
      </c>
      <c r="AL151" t="s">
        <v>31</v>
      </c>
      <c r="AM151">
        <v>0</v>
      </c>
      <c r="AN151" t="s">
        <v>31</v>
      </c>
      <c r="AO151">
        <v>0</v>
      </c>
      <c r="AP151" t="s">
        <v>31</v>
      </c>
      <c r="AQ151">
        <v>0</v>
      </c>
    </row>
    <row r="152" spans="1:43" x14ac:dyDescent="0.2">
      <c r="A152" t="s">
        <v>381</v>
      </c>
      <c r="B152" s="3">
        <v>44300</v>
      </c>
      <c r="C152">
        <v>61</v>
      </c>
      <c r="D152" t="s">
        <v>401</v>
      </c>
      <c r="E152" t="s">
        <v>32</v>
      </c>
      <c r="F152" s="9" t="s">
        <v>33</v>
      </c>
      <c r="G152" t="s">
        <v>26</v>
      </c>
      <c r="H152" t="s">
        <v>34</v>
      </c>
      <c r="I152" t="s">
        <v>35</v>
      </c>
      <c r="J152" t="s">
        <v>36</v>
      </c>
      <c r="K152" t="s">
        <v>37</v>
      </c>
      <c r="L152" t="s">
        <v>29</v>
      </c>
      <c r="M152" t="s">
        <v>30</v>
      </c>
      <c r="N152" t="s">
        <v>34</v>
      </c>
      <c r="O152" t="s">
        <v>35</v>
      </c>
      <c r="P152" t="s">
        <v>36</v>
      </c>
      <c r="Q152" t="s">
        <v>37</v>
      </c>
      <c r="R152" s="1">
        <v>44300.623101851852</v>
      </c>
      <c r="S152" s="1">
        <v>44300.628923611112</v>
      </c>
      <c r="T152">
        <v>0</v>
      </c>
      <c r="U152">
        <v>0</v>
      </c>
      <c r="V152" s="2">
        <v>0</v>
      </c>
      <c r="W152">
        <v>0</v>
      </c>
      <c r="X152" t="s">
        <v>37</v>
      </c>
      <c r="Y152">
        <v>0</v>
      </c>
      <c r="Z152" t="s">
        <v>37</v>
      </c>
      <c r="AA152">
        <v>0</v>
      </c>
      <c r="AB152" t="s">
        <v>31</v>
      </c>
      <c r="AC152">
        <v>0</v>
      </c>
      <c r="AD152" t="s">
        <v>31</v>
      </c>
      <c r="AE152">
        <v>0</v>
      </c>
      <c r="AF152" t="s">
        <v>31</v>
      </c>
      <c r="AG152">
        <v>0</v>
      </c>
      <c r="AH152" t="s">
        <v>31</v>
      </c>
      <c r="AI152">
        <v>0</v>
      </c>
      <c r="AJ152" t="s">
        <v>31</v>
      </c>
      <c r="AK152">
        <v>0</v>
      </c>
      <c r="AL152" t="s">
        <v>31</v>
      </c>
      <c r="AM152">
        <v>0</v>
      </c>
      <c r="AN152" t="s">
        <v>31</v>
      </c>
      <c r="AO152">
        <v>0</v>
      </c>
      <c r="AP152" t="s">
        <v>31</v>
      </c>
      <c r="AQ152">
        <v>0</v>
      </c>
    </row>
    <row r="153" spans="1:43" x14ac:dyDescent="0.2">
      <c r="A153" t="s">
        <v>381</v>
      </c>
      <c r="B153" s="3">
        <v>44301</v>
      </c>
      <c r="C153">
        <v>62</v>
      </c>
      <c r="D153" t="s">
        <v>385</v>
      </c>
      <c r="E153" t="s">
        <v>32</v>
      </c>
      <c r="F153" s="9" t="s">
        <v>33</v>
      </c>
      <c r="G153" t="s">
        <v>26</v>
      </c>
      <c r="H153" t="s">
        <v>34</v>
      </c>
      <c r="I153" t="s">
        <v>35</v>
      </c>
      <c r="J153" t="s">
        <v>36</v>
      </c>
      <c r="K153" t="s">
        <v>37</v>
      </c>
      <c r="L153" t="s">
        <v>29</v>
      </c>
      <c r="M153" t="s">
        <v>30</v>
      </c>
      <c r="N153" t="s">
        <v>34</v>
      </c>
      <c r="O153" t="s">
        <v>35</v>
      </c>
      <c r="P153" t="s">
        <v>36</v>
      </c>
      <c r="Q153" t="s">
        <v>37</v>
      </c>
      <c r="R153" s="1">
        <v>44301.383402777778</v>
      </c>
      <c r="S153" s="1">
        <v>44301.443854166668</v>
      </c>
      <c r="T153">
        <v>0</v>
      </c>
      <c r="U153">
        <v>0</v>
      </c>
      <c r="V153" s="2">
        <v>0</v>
      </c>
      <c r="W153">
        <v>0</v>
      </c>
      <c r="X153" t="s">
        <v>37</v>
      </c>
      <c r="Y153">
        <v>0</v>
      </c>
      <c r="Z153" t="s">
        <v>37</v>
      </c>
      <c r="AA153">
        <v>0</v>
      </c>
      <c r="AB153" t="s">
        <v>37</v>
      </c>
      <c r="AC153">
        <v>0</v>
      </c>
      <c r="AD153" t="s">
        <v>37</v>
      </c>
      <c r="AE153">
        <v>0</v>
      </c>
      <c r="AF153" t="s">
        <v>37</v>
      </c>
      <c r="AG153">
        <v>0</v>
      </c>
      <c r="AH153" t="s">
        <v>31</v>
      </c>
      <c r="AI153">
        <v>0</v>
      </c>
      <c r="AJ153" t="s">
        <v>31</v>
      </c>
      <c r="AK153">
        <v>0</v>
      </c>
      <c r="AL153" t="s">
        <v>31</v>
      </c>
      <c r="AM153">
        <v>0</v>
      </c>
      <c r="AN153" t="s">
        <v>31</v>
      </c>
      <c r="AO153">
        <v>0</v>
      </c>
      <c r="AP153" t="s">
        <v>31</v>
      </c>
      <c r="AQ153">
        <v>0</v>
      </c>
    </row>
    <row r="154" spans="1:43" x14ac:dyDescent="0.2">
      <c r="A154" t="s">
        <v>381</v>
      </c>
      <c r="B154" s="3">
        <v>44301</v>
      </c>
      <c r="C154">
        <v>63</v>
      </c>
      <c r="D154" t="s">
        <v>385</v>
      </c>
      <c r="E154" t="s">
        <v>32</v>
      </c>
      <c r="F154" s="9" t="s">
        <v>33</v>
      </c>
      <c r="G154" t="s">
        <v>26</v>
      </c>
      <c r="H154" t="s">
        <v>34</v>
      </c>
      <c r="I154" t="s">
        <v>35</v>
      </c>
      <c r="J154" t="s">
        <v>36</v>
      </c>
      <c r="K154" t="s">
        <v>37</v>
      </c>
      <c r="L154" t="s">
        <v>29</v>
      </c>
      <c r="M154" t="s">
        <v>30</v>
      </c>
      <c r="N154" t="s">
        <v>34</v>
      </c>
      <c r="O154" t="s">
        <v>35</v>
      </c>
      <c r="P154" t="s">
        <v>36</v>
      </c>
      <c r="Q154" t="s">
        <v>37</v>
      </c>
      <c r="R154" s="1">
        <v>44301.537534722222</v>
      </c>
      <c r="S154" s="1">
        <v>44301.640543981484</v>
      </c>
      <c r="T154">
        <v>2</v>
      </c>
      <c r="U154">
        <v>3</v>
      </c>
      <c r="V154" s="2">
        <v>0.66</v>
      </c>
      <c r="W154">
        <v>0</v>
      </c>
      <c r="X154" t="s">
        <v>37</v>
      </c>
      <c r="Y154">
        <v>0</v>
      </c>
      <c r="Z154" t="s">
        <v>44</v>
      </c>
      <c r="AA154">
        <v>0</v>
      </c>
      <c r="AB154" t="s">
        <v>37</v>
      </c>
      <c r="AC154">
        <v>0</v>
      </c>
      <c r="AD154" t="s">
        <v>37</v>
      </c>
      <c r="AE154">
        <v>0</v>
      </c>
      <c r="AF154" t="s">
        <v>37</v>
      </c>
      <c r="AG154">
        <v>0</v>
      </c>
      <c r="AH154" t="s">
        <v>30</v>
      </c>
      <c r="AI154">
        <v>0</v>
      </c>
      <c r="AJ154" t="s">
        <v>37</v>
      </c>
      <c r="AK154">
        <v>0</v>
      </c>
      <c r="AL154" t="s">
        <v>30</v>
      </c>
      <c r="AM154">
        <v>0</v>
      </c>
      <c r="AN154" t="s">
        <v>37</v>
      </c>
      <c r="AO154">
        <v>0</v>
      </c>
      <c r="AP154" t="s">
        <v>37</v>
      </c>
      <c r="AQ154">
        <v>0</v>
      </c>
    </row>
    <row r="155" spans="1:43" x14ac:dyDescent="0.2">
      <c r="A155" t="s">
        <v>381</v>
      </c>
      <c r="B155" s="3">
        <v>44302</v>
      </c>
      <c r="C155">
        <v>65</v>
      </c>
      <c r="D155" t="s">
        <v>387</v>
      </c>
      <c r="E155" t="s">
        <v>32</v>
      </c>
      <c r="F155" s="9" t="s">
        <v>33</v>
      </c>
      <c r="G155" t="s">
        <v>26</v>
      </c>
      <c r="H155" t="s">
        <v>34</v>
      </c>
      <c r="I155" t="s">
        <v>35</v>
      </c>
      <c r="J155" t="s">
        <v>36</v>
      </c>
      <c r="K155" t="s">
        <v>37</v>
      </c>
      <c r="L155" t="s">
        <v>29</v>
      </c>
      <c r="M155" t="s">
        <v>30</v>
      </c>
      <c r="N155" t="s">
        <v>34</v>
      </c>
      <c r="O155" t="s">
        <v>35</v>
      </c>
      <c r="P155" t="s">
        <v>36</v>
      </c>
      <c r="Q155" t="s">
        <v>37</v>
      </c>
      <c r="R155" s="1">
        <v>44302.56318287037</v>
      </c>
      <c r="S155" s="1">
        <v>44302.56318287037</v>
      </c>
      <c r="T155">
        <v>1</v>
      </c>
      <c r="U155">
        <v>1</v>
      </c>
      <c r="V155" s="2">
        <v>1</v>
      </c>
      <c r="W155">
        <v>0</v>
      </c>
      <c r="X155" t="s">
        <v>30</v>
      </c>
      <c r="Y155">
        <v>0</v>
      </c>
      <c r="Z155" t="s">
        <v>31</v>
      </c>
      <c r="AA155">
        <v>0</v>
      </c>
      <c r="AB155" t="s">
        <v>31</v>
      </c>
      <c r="AC155">
        <v>0</v>
      </c>
      <c r="AD155" t="s">
        <v>31</v>
      </c>
      <c r="AE155">
        <v>0</v>
      </c>
      <c r="AF155" t="s">
        <v>31</v>
      </c>
      <c r="AG155">
        <v>0</v>
      </c>
      <c r="AH155" t="s">
        <v>31</v>
      </c>
      <c r="AI155">
        <v>0</v>
      </c>
      <c r="AJ155" t="s">
        <v>31</v>
      </c>
      <c r="AK155">
        <v>0</v>
      </c>
      <c r="AL155" t="s">
        <v>31</v>
      </c>
      <c r="AM155">
        <v>0</v>
      </c>
      <c r="AN155" t="s">
        <v>31</v>
      </c>
      <c r="AO155">
        <v>0</v>
      </c>
      <c r="AP155" t="s">
        <v>31</v>
      </c>
      <c r="AQ155">
        <v>0</v>
      </c>
    </row>
    <row r="156" spans="1:43" x14ac:dyDescent="0.2">
      <c r="A156" t="s">
        <v>381</v>
      </c>
      <c r="B156" s="3">
        <v>44307</v>
      </c>
      <c r="C156">
        <v>67</v>
      </c>
      <c r="D156" t="s">
        <v>387</v>
      </c>
      <c r="E156" t="s">
        <v>32</v>
      </c>
      <c r="F156" s="9" t="s">
        <v>33</v>
      </c>
      <c r="G156" t="s">
        <v>26</v>
      </c>
      <c r="H156" t="s">
        <v>34</v>
      </c>
      <c r="I156" t="s">
        <v>35</v>
      </c>
      <c r="J156" t="s">
        <v>36</v>
      </c>
      <c r="K156" t="s">
        <v>37</v>
      </c>
      <c r="L156" t="s">
        <v>29</v>
      </c>
      <c r="M156" t="s">
        <v>30</v>
      </c>
      <c r="N156" t="s">
        <v>34</v>
      </c>
      <c r="O156" t="s">
        <v>35</v>
      </c>
      <c r="P156" t="s">
        <v>36</v>
      </c>
      <c r="Q156" t="s">
        <v>37</v>
      </c>
      <c r="R156" s="1">
        <v>44307.540706018517</v>
      </c>
      <c r="S156" s="1">
        <v>44307.542442129627</v>
      </c>
      <c r="T156">
        <v>1</v>
      </c>
      <c r="U156">
        <v>1</v>
      </c>
      <c r="V156" s="2">
        <v>1</v>
      </c>
      <c r="W156">
        <v>0</v>
      </c>
      <c r="X156" t="s">
        <v>37</v>
      </c>
      <c r="Y156">
        <v>0</v>
      </c>
      <c r="Z156" t="s">
        <v>37</v>
      </c>
      <c r="AA156">
        <v>0</v>
      </c>
      <c r="AB156" t="s">
        <v>30</v>
      </c>
      <c r="AC156">
        <v>0</v>
      </c>
      <c r="AD156" t="s">
        <v>37</v>
      </c>
      <c r="AE156">
        <v>0</v>
      </c>
      <c r="AF156" t="s">
        <v>37</v>
      </c>
      <c r="AG156">
        <v>0</v>
      </c>
      <c r="AH156" t="s">
        <v>37</v>
      </c>
      <c r="AI156">
        <v>0</v>
      </c>
      <c r="AJ156" t="s">
        <v>31</v>
      </c>
      <c r="AK156">
        <v>0</v>
      </c>
      <c r="AL156" t="s">
        <v>31</v>
      </c>
      <c r="AM156">
        <v>0</v>
      </c>
      <c r="AN156" t="s">
        <v>31</v>
      </c>
      <c r="AO156">
        <v>0</v>
      </c>
      <c r="AP156" t="s">
        <v>31</v>
      </c>
      <c r="AQ156">
        <v>0</v>
      </c>
    </row>
    <row r="157" spans="1:43" x14ac:dyDescent="0.2">
      <c r="A157" t="s">
        <v>381</v>
      </c>
      <c r="B157" s="3">
        <v>44308</v>
      </c>
      <c r="C157">
        <v>69</v>
      </c>
      <c r="D157" t="s">
        <v>385</v>
      </c>
      <c r="E157" t="s">
        <v>32</v>
      </c>
      <c r="F157" s="9" t="s">
        <v>33</v>
      </c>
      <c r="G157" t="s">
        <v>26</v>
      </c>
      <c r="H157" t="s">
        <v>34</v>
      </c>
      <c r="I157" t="s">
        <v>35</v>
      </c>
      <c r="J157" t="s">
        <v>36</v>
      </c>
      <c r="K157" t="s">
        <v>37</v>
      </c>
      <c r="L157" t="s">
        <v>29</v>
      </c>
      <c r="M157" t="s">
        <v>30</v>
      </c>
      <c r="N157" t="s">
        <v>34</v>
      </c>
      <c r="O157" t="s">
        <v>35</v>
      </c>
      <c r="P157" t="s">
        <v>36</v>
      </c>
      <c r="Q157" t="s">
        <v>37</v>
      </c>
      <c r="R157" s="1">
        <v>44308.559224537035</v>
      </c>
      <c r="S157" s="1">
        <v>44308.64571759259</v>
      </c>
      <c r="T157">
        <v>2</v>
      </c>
      <c r="U157">
        <v>2</v>
      </c>
      <c r="V157" s="2">
        <v>1</v>
      </c>
      <c r="W157">
        <v>0</v>
      </c>
      <c r="X157" t="s">
        <v>37</v>
      </c>
      <c r="Y157">
        <v>0</v>
      </c>
      <c r="Z157" t="s">
        <v>37</v>
      </c>
      <c r="AA157">
        <v>0</v>
      </c>
      <c r="AB157" t="s">
        <v>37</v>
      </c>
      <c r="AC157">
        <v>0</v>
      </c>
      <c r="AD157" t="s">
        <v>37</v>
      </c>
      <c r="AE157">
        <v>0</v>
      </c>
      <c r="AF157" t="s">
        <v>37</v>
      </c>
      <c r="AG157">
        <v>0</v>
      </c>
      <c r="AH157" t="s">
        <v>30</v>
      </c>
      <c r="AI157">
        <v>0</v>
      </c>
      <c r="AJ157" t="s">
        <v>30</v>
      </c>
      <c r="AK157">
        <v>0</v>
      </c>
      <c r="AL157" t="s">
        <v>37</v>
      </c>
      <c r="AM157">
        <v>0</v>
      </c>
      <c r="AN157" t="s">
        <v>37</v>
      </c>
      <c r="AO157">
        <v>0</v>
      </c>
      <c r="AP157" t="s">
        <v>31</v>
      </c>
      <c r="AQ157">
        <v>0</v>
      </c>
    </row>
    <row r="158" spans="1:43" x14ac:dyDescent="0.2">
      <c r="A158" t="s">
        <v>381</v>
      </c>
      <c r="B158" s="3">
        <v>44312</v>
      </c>
      <c r="C158">
        <v>72</v>
      </c>
      <c r="D158" t="s">
        <v>402</v>
      </c>
      <c r="E158" t="s">
        <v>32</v>
      </c>
      <c r="F158" s="9" t="s">
        <v>33</v>
      </c>
      <c r="G158" t="s">
        <v>26</v>
      </c>
      <c r="H158" t="s">
        <v>34</v>
      </c>
      <c r="I158" t="s">
        <v>35</v>
      </c>
      <c r="J158" t="s">
        <v>36</v>
      </c>
      <c r="K158" t="s">
        <v>37</v>
      </c>
      <c r="L158" t="s">
        <v>29</v>
      </c>
      <c r="M158" t="s">
        <v>30</v>
      </c>
      <c r="N158" t="s">
        <v>34</v>
      </c>
      <c r="O158" t="s">
        <v>35</v>
      </c>
      <c r="P158" t="s">
        <v>36</v>
      </c>
      <c r="Q158" t="s">
        <v>37</v>
      </c>
      <c r="R158" s="1">
        <v>44312.457766203705</v>
      </c>
      <c r="S158" s="1">
        <v>44312.458229166667</v>
      </c>
      <c r="T158">
        <v>1</v>
      </c>
      <c r="U158">
        <v>1</v>
      </c>
      <c r="V158" s="2">
        <v>1</v>
      </c>
      <c r="W158">
        <v>0</v>
      </c>
      <c r="X158" t="s">
        <v>30</v>
      </c>
      <c r="Y158">
        <v>0</v>
      </c>
      <c r="Z158" t="s">
        <v>31</v>
      </c>
      <c r="AA158">
        <v>0</v>
      </c>
      <c r="AB158" t="s">
        <v>31</v>
      </c>
      <c r="AC158">
        <v>0</v>
      </c>
      <c r="AD158" t="s">
        <v>31</v>
      </c>
      <c r="AE158">
        <v>0</v>
      </c>
      <c r="AF158" t="s">
        <v>31</v>
      </c>
      <c r="AG158">
        <v>0</v>
      </c>
      <c r="AH158" t="s">
        <v>31</v>
      </c>
      <c r="AI158">
        <v>0</v>
      </c>
      <c r="AJ158" t="s">
        <v>31</v>
      </c>
      <c r="AK158">
        <v>0</v>
      </c>
      <c r="AL158" t="s">
        <v>31</v>
      </c>
      <c r="AM158">
        <v>0</v>
      </c>
      <c r="AN158" t="s">
        <v>31</v>
      </c>
      <c r="AO158">
        <v>0</v>
      </c>
      <c r="AP158" t="s">
        <v>31</v>
      </c>
      <c r="AQ158">
        <v>0</v>
      </c>
    </row>
    <row r="159" spans="1:43" x14ac:dyDescent="0.2">
      <c r="A159" t="s">
        <v>381</v>
      </c>
      <c r="B159" s="3">
        <v>44312</v>
      </c>
      <c r="C159">
        <v>73</v>
      </c>
      <c r="D159" t="s">
        <v>387</v>
      </c>
      <c r="E159" t="s">
        <v>32</v>
      </c>
      <c r="F159" s="9" t="s">
        <v>33</v>
      </c>
      <c r="G159" t="s">
        <v>26</v>
      </c>
      <c r="H159" t="s">
        <v>34</v>
      </c>
      <c r="I159" t="s">
        <v>35</v>
      </c>
      <c r="J159" t="s">
        <v>36</v>
      </c>
      <c r="K159" t="s">
        <v>37</v>
      </c>
      <c r="L159" t="s">
        <v>29</v>
      </c>
      <c r="M159" t="s">
        <v>30</v>
      </c>
      <c r="N159" t="s">
        <v>34</v>
      </c>
      <c r="O159" t="s">
        <v>35</v>
      </c>
      <c r="P159" t="s">
        <v>36</v>
      </c>
      <c r="Q159" t="s">
        <v>37</v>
      </c>
      <c r="R159" s="1">
        <v>44312.549351851849</v>
      </c>
      <c r="S159" s="1">
        <v>44312.551400462966</v>
      </c>
      <c r="T159">
        <v>0</v>
      </c>
      <c r="U159">
        <v>5</v>
      </c>
      <c r="V159" s="2">
        <v>0</v>
      </c>
      <c r="W159">
        <v>0</v>
      </c>
      <c r="X159" t="s">
        <v>37</v>
      </c>
      <c r="Y159">
        <v>0</v>
      </c>
      <c r="Z159" t="s">
        <v>37</v>
      </c>
      <c r="AA159">
        <v>0</v>
      </c>
      <c r="AB159" t="s">
        <v>44</v>
      </c>
      <c r="AC159">
        <v>0</v>
      </c>
      <c r="AD159" t="s">
        <v>44</v>
      </c>
      <c r="AE159">
        <v>0</v>
      </c>
      <c r="AF159" t="s">
        <v>61</v>
      </c>
      <c r="AG159">
        <v>0</v>
      </c>
      <c r="AH159" t="s">
        <v>113</v>
      </c>
      <c r="AI159">
        <v>0</v>
      </c>
      <c r="AJ159" t="s">
        <v>47</v>
      </c>
      <c r="AK159">
        <v>0</v>
      </c>
      <c r="AL159" t="s">
        <v>31</v>
      </c>
      <c r="AM159">
        <v>0</v>
      </c>
      <c r="AN159" t="s">
        <v>31</v>
      </c>
      <c r="AO159">
        <v>0</v>
      </c>
      <c r="AP159" t="s">
        <v>31</v>
      </c>
      <c r="AQ159">
        <v>0</v>
      </c>
    </row>
    <row r="160" spans="1:43" x14ac:dyDescent="0.2">
      <c r="A160" t="s">
        <v>381</v>
      </c>
      <c r="B160" s="3">
        <v>44313</v>
      </c>
      <c r="C160">
        <v>74</v>
      </c>
      <c r="D160" t="s">
        <v>383</v>
      </c>
      <c r="E160" t="s">
        <v>32</v>
      </c>
      <c r="F160" s="9" t="s">
        <v>33</v>
      </c>
      <c r="G160" t="s">
        <v>26</v>
      </c>
      <c r="H160" t="s">
        <v>34</v>
      </c>
      <c r="I160" t="s">
        <v>35</v>
      </c>
      <c r="J160" t="s">
        <v>36</v>
      </c>
      <c r="K160" t="s">
        <v>37</v>
      </c>
      <c r="L160" t="s">
        <v>29</v>
      </c>
      <c r="M160" t="s">
        <v>30</v>
      </c>
      <c r="N160" t="s">
        <v>34</v>
      </c>
      <c r="O160" t="s">
        <v>35</v>
      </c>
      <c r="P160" t="s">
        <v>36</v>
      </c>
      <c r="Q160" t="s">
        <v>37</v>
      </c>
      <c r="R160" s="1">
        <v>44313.474780092591</v>
      </c>
      <c r="S160" s="1">
        <v>44313.48196759259</v>
      </c>
      <c r="T160">
        <v>1</v>
      </c>
      <c r="U160">
        <v>2</v>
      </c>
      <c r="V160" s="2">
        <v>0.5</v>
      </c>
      <c r="W160">
        <v>0</v>
      </c>
      <c r="X160" t="s">
        <v>30</v>
      </c>
      <c r="Y160">
        <v>0</v>
      </c>
      <c r="Z160" t="s">
        <v>61</v>
      </c>
      <c r="AA160">
        <v>0</v>
      </c>
      <c r="AB160" t="s">
        <v>37</v>
      </c>
      <c r="AC160">
        <v>0</v>
      </c>
      <c r="AD160" t="s">
        <v>31</v>
      </c>
      <c r="AE160">
        <v>0</v>
      </c>
      <c r="AF160" t="s">
        <v>31</v>
      </c>
      <c r="AG160">
        <v>0</v>
      </c>
      <c r="AH160" t="s">
        <v>31</v>
      </c>
      <c r="AI160">
        <v>0</v>
      </c>
      <c r="AJ160" t="s">
        <v>31</v>
      </c>
      <c r="AK160">
        <v>0</v>
      </c>
      <c r="AL160" t="s">
        <v>31</v>
      </c>
      <c r="AM160">
        <v>0</v>
      </c>
      <c r="AN160" t="s">
        <v>31</v>
      </c>
      <c r="AO160">
        <v>0</v>
      </c>
      <c r="AP160" t="s">
        <v>31</v>
      </c>
      <c r="AQ160">
        <v>0</v>
      </c>
    </row>
    <row r="161" spans="1:51" x14ac:dyDescent="0.2">
      <c r="A161" t="s">
        <v>381</v>
      </c>
      <c r="B161" s="3">
        <v>44313</v>
      </c>
      <c r="C161">
        <v>76</v>
      </c>
      <c r="D161" t="s">
        <v>385</v>
      </c>
      <c r="E161" t="s">
        <v>32</v>
      </c>
      <c r="F161" s="9" t="s">
        <v>33</v>
      </c>
      <c r="G161" t="s">
        <v>26</v>
      </c>
      <c r="H161" t="s">
        <v>34</v>
      </c>
      <c r="I161" t="s">
        <v>35</v>
      </c>
      <c r="J161" t="s">
        <v>36</v>
      </c>
      <c r="K161" t="s">
        <v>37</v>
      </c>
      <c r="L161" t="s">
        <v>29</v>
      </c>
      <c r="M161" t="s">
        <v>30</v>
      </c>
      <c r="N161" t="s">
        <v>34</v>
      </c>
      <c r="O161" t="s">
        <v>35</v>
      </c>
      <c r="P161" t="s">
        <v>36</v>
      </c>
      <c r="Q161" t="s">
        <v>37</v>
      </c>
      <c r="R161" s="1">
        <v>44313.557291666664</v>
      </c>
      <c r="S161" s="1">
        <v>44313.625405092593</v>
      </c>
      <c r="T161">
        <v>1</v>
      </c>
      <c r="U161">
        <v>3</v>
      </c>
      <c r="V161" s="2">
        <v>0.33</v>
      </c>
      <c r="W161">
        <v>0</v>
      </c>
      <c r="X161" t="s">
        <v>37</v>
      </c>
      <c r="Y161">
        <v>0</v>
      </c>
      <c r="Z161" t="s">
        <v>44</v>
      </c>
      <c r="AA161">
        <v>0</v>
      </c>
      <c r="AB161" t="s">
        <v>47</v>
      </c>
      <c r="AC161">
        <v>0</v>
      </c>
      <c r="AD161" t="s">
        <v>37</v>
      </c>
      <c r="AE161">
        <v>0</v>
      </c>
      <c r="AF161" t="s">
        <v>37</v>
      </c>
      <c r="AG161">
        <v>0</v>
      </c>
      <c r="AH161" t="s">
        <v>37</v>
      </c>
      <c r="AI161">
        <v>0</v>
      </c>
      <c r="AJ161" t="s">
        <v>37</v>
      </c>
      <c r="AK161">
        <v>0</v>
      </c>
      <c r="AL161" t="s">
        <v>37</v>
      </c>
      <c r="AM161">
        <v>0</v>
      </c>
      <c r="AN161" t="s">
        <v>37</v>
      </c>
      <c r="AO161">
        <v>0</v>
      </c>
      <c r="AP161" t="s">
        <v>37</v>
      </c>
      <c r="AQ161">
        <v>0</v>
      </c>
      <c r="AR161" t="s">
        <v>37</v>
      </c>
      <c r="AS161">
        <v>0</v>
      </c>
      <c r="AT161" t="s">
        <v>37</v>
      </c>
      <c r="AU161">
        <v>0</v>
      </c>
      <c r="AV161" t="s">
        <v>37</v>
      </c>
      <c r="AW161">
        <v>0</v>
      </c>
      <c r="AX161" t="s">
        <v>30</v>
      </c>
      <c r="AY161">
        <v>0</v>
      </c>
    </row>
    <row r="162" spans="1:51" x14ac:dyDescent="0.2">
      <c r="A162" t="s">
        <v>381</v>
      </c>
      <c r="B162" s="3">
        <v>44314</v>
      </c>
      <c r="C162">
        <v>77</v>
      </c>
      <c r="D162" t="s">
        <v>403</v>
      </c>
      <c r="E162" t="s">
        <v>32</v>
      </c>
      <c r="F162" s="9" t="s">
        <v>33</v>
      </c>
      <c r="G162" t="s">
        <v>26</v>
      </c>
      <c r="H162" t="s">
        <v>34</v>
      </c>
      <c r="I162" t="s">
        <v>35</v>
      </c>
      <c r="J162" t="s">
        <v>36</v>
      </c>
      <c r="K162" t="s">
        <v>37</v>
      </c>
      <c r="L162" t="s">
        <v>29</v>
      </c>
      <c r="M162" t="s">
        <v>30</v>
      </c>
      <c r="N162" t="s">
        <v>34</v>
      </c>
      <c r="O162" t="s">
        <v>35</v>
      </c>
      <c r="P162" t="s">
        <v>36</v>
      </c>
      <c r="Q162" t="s">
        <v>37</v>
      </c>
      <c r="R162" s="1">
        <v>44314.461608796293</v>
      </c>
      <c r="S162" s="1">
        <v>44314.46162037037</v>
      </c>
      <c r="T162">
        <v>0</v>
      </c>
      <c r="U162">
        <v>1</v>
      </c>
      <c r="V162" s="2">
        <v>0</v>
      </c>
      <c r="W162">
        <v>0</v>
      </c>
      <c r="X162" t="s">
        <v>44</v>
      </c>
      <c r="Y162">
        <v>0</v>
      </c>
      <c r="Z162" t="s">
        <v>37</v>
      </c>
      <c r="AA162">
        <v>0</v>
      </c>
      <c r="AB162" t="s">
        <v>31</v>
      </c>
      <c r="AC162">
        <v>0</v>
      </c>
      <c r="AD162" t="s">
        <v>31</v>
      </c>
      <c r="AE162">
        <v>0</v>
      </c>
      <c r="AF162" t="s">
        <v>31</v>
      </c>
      <c r="AG162">
        <v>0</v>
      </c>
      <c r="AH162" t="s">
        <v>31</v>
      </c>
      <c r="AI162">
        <v>0</v>
      </c>
      <c r="AJ162" t="s">
        <v>31</v>
      </c>
      <c r="AK162">
        <v>0</v>
      </c>
      <c r="AL162" t="s">
        <v>31</v>
      </c>
      <c r="AM162">
        <v>0</v>
      </c>
      <c r="AN162" t="s">
        <v>31</v>
      </c>
      <c r="AO162">
        <v>0</v>
      </c>
      <c r="AP162" t="s">
        <v>31</v>
      </c>
      <c r="AQ162">
        <v>0</v>
      </c>
    </row>
    <row r="163" spans="1:51" x14ac:dyDescent="0.2">
      <c r="A163" t="s">
        <v>381</v>
      </c>
      <c r="B163" s="3">
        <v>44315</v>
      </c>
      <c r="C163">
        <v>79</v>
      </c>
      <c r="D163" t="s">
        <v>383</v>
      </c>
      <c r="E163" t="s">
        <v>32</v>
      </c>
      <c r="F163" s="9" t="s">
        <v>33</v>
      </c>
      <c r="G163" t="s">
        <v>26</v>
      </c>
      <c r="H163" t="s">
        <v>34</v>
      </c>
      <c r="I163" t="s">
        <v>35</v>
      </c>
      <c r="J163" t="s">
        <v>36</v>
      </c>
      <c r="K163" t="s">
        <v>37</v>
      </c>
      <c r="L163" t="s">
        <v>29</v>
      </c>
      <c r="M163" t="s">
        <v>30</v>
      </c>
      <c r="N163" t="s">
        <v>34</v>
      </c>
      <c r="O163" t="s">
        <v>35</v>
      </c>
      <c r="P163" t="s">
        <v>36</v>
      </c>
      <c r="Q163" t="s">
        <v>37</v>
      </c>
      <c r="R163" s="1">
        <v>44315.399375000001</v>
      </c>
      <c r="S163" s="1">
        <v>44315.41746527778</v>
      </c>
      <c r="T163">
        <v>0</v>
      </c>
      <c r="U163">
        <v>1</v>
      </c>
      <c r="V163" s="2">
        <v>0</v>
      </c>
      <c r="W163">
        <v>0</v>
      </c>
      <c r="X163" t="s">
        <v>37</v>
      </c>
      <c r="Y163">
        <v>0</v>
      </c>
      <c r="Z163" t="s">
        <v>44</v>
      </c>
      <c r="AA163">
        <v>0</v>
      </c>
      <c r="AB163" t="s">
        <v>37</v>
      </c>
      <c r="AC163">
        <v>0</v>
      </c>
      <c r="AD163" t="s">
        <v>37</v>
      </c>
      <c r="AE163">
        <v>0</v>
      </c>
      <c r="AF163" t="s">
        <v>31</v>
      </c>
      <c r="AG163">
        <v>0</v>
      </c>
      <c r="AH163" t="s">
        <v>31</v>
      </c>
      <c r="AI163">
        <v>0</v>
      </c>
      <c r="AJ163" t="s">
        <v>31</v>
      </c>
      <c r="AK163">
        <v>0</v>
      </c>
      <c r="AL163" t="s">
        <v>31</v>
      </c>
      <c r="AM163">
        <v>0</v>
      </c>
      <c r="AN163" t="s">
        <v>31</v>
      </c>
      <c r="AO163">
        <v>0</v>
      </c>
      <c r="AP163" t="s">
        <v>31</v>
      </c>
      <c r="AQ163">
        <v>0</v>
      </c>
    </row>
    <row r="164" spans="1:51" x14ac:dyDescent="0.2">
      <c r="A164" t="s">
        <v>381</v>
      </c>
      <c r="B164" s="3">
        <v>44315</v>
      </c>
      <c r="C164">
        <v>81</v>
      </c>
      <c r="D164" t="s">
        <v>385</v>
      </c>
      <c r="E164" t="s">
        <v>32</v>
      </c>
      <c r="F164" s="9" t="s">
        <v>33</v>
      </c>
      <c r="G164" t="s">
        <v>26</v>
      </c>
      <c r="H164" t="s">
        <v>34</v>
      </c>
      <c r="I164" t="s">
        <v>35</v>
      </c>
      <c r="J164" t="s">
        <v>36</v>
      </c>
      <c r="K164" t="s">
        <v>37</v>
      </c>
      <c r="L164" t="s">
        <v>29</v>
      </c>
      <c r="M164" t="s">
        <v>30</v>
      </c>
      <c r="N164" t="s">
        <v>34</v>
      </c>
      <c r="O164" t="s">
        <v>35</v>
      </c>
      <c r="P164" t="s">
        <v>36</v>
      </c>
      <c r="Q164" t="s">
        <v>37</v>
      </c>
      <c r="R164" s="1">
        <v>44315.55059027778</v>
      </c>
      <c r="S164" s="1">
        <v>44315.639247685183</v>
      </c>
      <c r="T164">
        <v>6</v>
      </c>
      <c r="U164">
        <v>6</v>
      </c>
      <c r="V164" s="2">
        <v>1</v>
      </c>
      <c r="W164">
        <v>0</v>
      </c>
      <c r="X164" t="s">
        <v>37</v>
      </c>
      <c r="Y164">
        <v>0</v>
      </c>
      <c r="Z164" t="s">
        <v>37</v>
      </c>
      <c r="AA164">
        <v>0</v>
      </c>
      <c r="AB164" t="s">
        <v>37</v>
      </c>
      <c r="AC164">
        <v>0</v>
      </c>
      <c r="AD164" t="s">
        <v>37</v>
      </c>
      <c r="AE164">
        <v>0</v>
      </c>
      <c r="AF164" t="s">
        <v>37</v>
      </c>
      <c r="AG164">
        <v>0</v>
      </c>
      <c r="AH164" t="s">
        <v>37</v>
      </c>
      <c r="AI164">
        <v>0</v>
      </c>
      <c r="AJ164" t="s">
        <v>30</v>
      </c>
      <c r="AK164">
        <v>0</v>
      </c>
      <c r="AL164" t="s">
        <v>30</v>
      </c>
      <c r="AM164">
        <v>0</v>
      </c>
      <c r="AN164" t="s">
        <v>30</v>
      </c>
      <c r="AO164">
        <v>0</v>
      </c>
      <c r="AP164" t="s">
        <v>30</v>
      </c>
      <c r="AQ164">
        <v>0</v>
      </c>
      <c r="AR164" t="s">
        <v>30</v>
      </c>
      <c r="AS164">
        <v>0</v>
      </c>
      <c r="AT164" t="s">
        <v>30</v>
      </c>
      <c r="AU164">
        <v>0</v>
      </c>
    </row>
    <row r="165" spans="1:51" x14ac:dyDescent="0.2">
      <c r="A165" t="s">
        <v>381</v>
      </c>
      <c r="B165" s="3">
        <v>44316</v>
      </c>
      <c r="C165">
        <v>82</v>
      </c>
      <c r="D165" t="s">
        <v>389</v>
      </c>
      <c r="E165" t="s">
        <v>32</v>
      </c>
      <c r="F165" s="9" t="s">
        <v>33</v>
      </c>
      <c r="G165" t="s">
        <v>26</v>
      </c>
      <c r="H165" t="s">
        <v>34</v>
      </c>
      <c r="I165" t="s">
        <v>35</v>
      </c>
      <c r="J165" t="s">
        <v>36</v>
      </c>
      <c r="K165" t="s">
        <v>37</v>
      </c>
      <c r="L165" t="s">
        <v>29</v>
      </c>
      <c r="M165" t="s">
        <v>30</v>
      </c>
      <c r="N165" t="s">
        <v>34</v>
      </c>
      <c r="O165" t="s">
        <v>35</v>
      </c>
      <c r="P165" t="s">
        <v>36</v>
      </c>
      <c r="Q165" t="s">
        <v>37</v>
      </c>
      <c r="R165" s="1">
        <v>44316.425092592595</v>
      </c>
      <c r="S165" s="1">
        <v>44316.432708333334</v>
      </c>
      <c r="T165">
        <v>1</v>
      </c>
      <c r="U165">
        <v>1</v>
      </c>
      <c r="V165" s="2">
        <v>1</v>
      </c>
      <c r="W165">
        <v>0</v>
      </c>
      <c r="X165" t="s">
        <v>37</v>
      </c>
      <c r="Y165">
        <v>0</v>
      </c>
      <c r="Z165" t="s">
        <v>37</v>
      </c>
      <c r="AA165">
        <v>0</v>
      </c>
      <c r="AB165" t="s">
        <v>30</v>
      </c>
      <c r="AC165">
        <v>0</v>
      </c>
      <c r="AD165" t="s">
        <v>31</v>
      </c>
      <c r="AE165">
        <v>0</v>
      </c>
      <c r="AF165" t="s">
        <v>31</v>
      </c>
      <c r="AG165">
        <v>0</v>
      </c>
      <c r="AH165" t="s">
        <v>31</v>
      </c>
      <c r="AI165">
        <v>0</v>
      </c>
      <c r="AJ165" t="s">
        <v>31</v>
      </c>
      <c r="AK165">
        <v>0</v>
      </c>
      <c r="AL165" t="s">
        <v>31</v>
      </c>
      <c r="AM165">
        <v>0</v>
      </c>
      <c r="AN165" t="s">
        <v>31</v>
      </c>
      <c r="AO165">
        <v>0</v>
      </c>
      <c r="AP165" t="s">
        <v>31</v>
      </c>
      <c r="AQ165">
        <v>0</v>
      </c>
    </row>
    <row r="166" spans="1:51" x14ac:dyDescent="0.2">
      <c r="A166" t="s">
        <v>381</v>
      </c>
      <c r="B166" s="3">
        <v>44316</v>
      </c>
      <c r="C166">
        <v>83</v>
      </c>
      <c r="D166" t="s">
        <v>387</v>
      </c>
      <c r="E166" t="s">
        <v>32</v>
      </c>
      <c r="F166" s="9" t="s">
        <v>33</v>
      </c>
      <c r="G166" t="s">
        <v>26</v>
      </c>
      <c r="H166" t="s">
        <v>34</v>
      </c>
      <c r="I166" t="s">
        <v>35</v>
      </c>
      <c r="J166" t="s">
        <v>36</v>
      </c>
      <c r="K166" t="s">
        <v>37</v>
      </c>
      <c r="L166" t="s">
        <v>29</v>
      </c>
      <c r="M166" t="s">
        <v>30</v>
      </c>
      <c r="N166" t="s">
        <v>34</v>
      </c>
      <c r="O166" t="s">
        <v>35</v>
      </c>
      <c r="P166" t="s">
        <v>36</v>
      </c>
      <c r="Q166" t="s">
        <v>37</v>
      </c>
      <c r="R166" s="1">
        <v>44316.534560185188</v>
      </c>
      <c r="S166" s="1">
        <v>44316.534560185188</v>
      </c>
      <c r="T166">
        <v>1</v>
      </c>
      <c r="U166">
        <v>1</v>
      </c>
      <c r="V166" s="2">
        <v>1</v>
      </c>
      <c r="W166">
        <v>0</v>
      </c>
      <c r="X166" t="s">
        <v>37</v>
      </c>
      <c r="Y166">
        <v>0</v>
      </c>
      <c r="Z166" t="s">
        <v>30</v>
      </c>
      <c r="AA166">
        <v>0</v>
      </c>
      <c r="AB166" t="s">
        <v>31</v>
      </c>
      <c r="AC166">
        <v>0</v>
      </c>
      <c r="AD166" t="s">
        <v>31</v>
      </c>
      <c r="AE166">
        <v>0</v>
      </c>
      <c r="AF166" t="s">
        <v>31</v>
      </c>
      <c r="AG166">
        <v>0</v>
      </c>
      <c r="AH166" t="s">
        <v>31</v>
      </c>
      <c r="AI166">
        <v>0</v>
      </c>
      <c r="AJ166" t="s">
        <v>31</v>
      </c>
      <c r="AK166">
        <v>0</v>
      </c>
      <c r="AL166" t="s">
        <v>31</v>
      </c>
      <c r="AM166">
        <v>0</v>
      </c>
      <c r="AN166" t="s">
        <v>31</v>
      </c>
      <c r="AO166">
        <v>0</v>
      </c>
      <c r="AP166" t="s">
        <v>31</v>
      </c>
      <c r="AQ166">
        <v>0</v>
      </c>
    </row>
    <row r="167" spans="1:51" x14ac:dyDescent="0.2">
      <c r="A167" t="s">
        <v>381</v>
      </c>
      <c r="B167" s="3">
        <v>44319</v>
      </c>
      <c r="C167">
        <v>84</v>
      </c>
      <c r="D167" t="s">
        <v>390</v>
      </c>
      <c r="E167" t="s">
        <v>32</v>
      </c>
      <c r="F167" s="9" t="s">
        <v>33</v>
      </c>
      <c r="G167" t="s">
        <v>26</v>
      </c>
      <c r="H167" t="s">
        <v>34</v>
      </c>
      <c r="I167" t="s">
        <v>35</v>
      </c>
      <c r="J167" t="s">
        <v>36</v>
      </c>
      <c r="K167" t="s">
        <v>37</v>
      </c>
      <c r="L167" t="s">
        <v>29</v>
      </c>
      <c r="M167" t="s">
        <v>30</v>
      </c>
      <c r="N167" t="s">
        <v>34</v>
      </c>
      <c r="O167" t="s">
        <v>35</v>
      </c>
      <c r="P167" t="s">
        <v>36</v>
      </c>
      <c r="Q167" t="s">
        <v>37</v>
      </c>
      <c r="R167" s="1">
        <v>44319.401932870373</v>
      </c>
      <c r="S167" s="1">
        <v>44319.48164351852</v>
      </c>
      <c r="T167">
        <v>0</v>
      </c>
      <c r="U167">
        <v>0</v>
      </c>
      <c r="V167" s="2">
        <v>0</v>
      </c>
      <c r="W167">
        <v>0</v>
      </c>
      <c r="X167" t="s">
        <v>37</v>
      </c>
      <c r="Y167">
        <v>0</v>
      </c>
      <c r="Z167" t="s">
        <v>37</v>
      </c>
      <c r="AA167">
        <v>0</v>
      </c>
      <c r="AB167" t="s">
        <v>37</v>
      </c>
      <c r="AC167">
        <v>0</v>
      </c>
      <c r="AD167" t="s">
        <v>31</v>
      </c>
      <c r="AE167">
        <v>0</v>
      </c>
      <c r="AF167" t="s">
        <v>31</v>
      </c>
      <c r="AG167">
        <v>0</v>
      </c>
      <c r="AH167" t="s">
        <v>31</v>
      </c>
      <c r="AI167">
        <v>0</v>
      </c>
      <c r="AJ167" t="s">
        <v>31</v>
      </c>
      <c r="AK167">
        <v>0</v>
      </c>
      <c r="AL167" t="s">
        <v>31</v>
      </c>
      <c r="AM167">
        <v>0</v>
      </c>
      <c r="AN167" t="s">
        <v>31</v>
      </c>
      <c r="AO167">
        <v>0</v>
      </c>
      <c r="AP167" t="s">
        <v>31</v>
      </c>
      <c r="AQ167">
        <v>0</v>
      </c>
    </row>
    <row r="168" spans="1:51" x14ac:dyDescent="0.2">
      <c r="A168" t="s">
        <v>381</v>
      </c>
      <c r="B168" s="3">
        <v>44319</v>
      </c>
      <c r="C168">
        <v>85</v>
      </c>
      <c r="D168" t="s">
        <v>387</v>
      </c>
      <c r="E168" t="s">
        <v>32</v>
      </c>
      <c r="F168" s="9" t="s">
        <v>33</v>
      </c>
      <c r="G168" t="s">
        <v>26</v>
      </c>
      <c r="H168" t="s">
        <v>34</v>
      </c>
      <c r="I168" t="s">
        <v>35</v>
      </c>
      <c r="J168" t="s">
        <v>36</v>
      </c>
      <c r="K168" t="s">
        <v>37</v>
      </c>
      <c r="L168" t="s">
        <v>29</v>
      </c>
      <c r="M168" t="s">
        <v>30</v>
      </c>
      <c r="N168" t="s">
        <v>34</v>
      </c>
      <c r="O168" t="s">
        <v>35</v>
      </c>
      <c r="P168" t="s">
        <v>36</v>
      </c>
      <c r="Q168" t="s">
        <v>37</v>
      </c>
      <c r="R168" s="1">
        <v>44319.642893518518</v>
      </c>
      <c r="S168" s="1">
        <v>44319.642893518518</v>
      </c>
      <c r="T168">
        <v>1</v>
      </c>
      <c r="U168">
        <v>1</v>
      </c>
      <c r="V168" s="2">
        <v>1</v>
      </c>
      <c r="W168">
        <v>0</v>
      </c>
      <c r="X168" t="s">
        <v>30</v>
      </c>
      <c r="Y168">
        <v>0</v>
      </c>
      <c r="Z168" t="s">
        <v>31</v>
      </c>
      <c r="AA168">
        <v>0</v>
      </c>
      <c r="AB168" t="s">
        <v>31</v>
      </c>
      <c r="AC168">
        <v>0</v>
      </c>
      <c r="AD168" t="s">
        <v>31</v>
      </c>
      <c r="AE168">
        <v>0</v>
      </c>
      <c r="AF168" t="s">
        <v>31</v>
      </c>
      <c r="AG168">
        <v>0</v>
      </c>
      <c r="AH168" t="s">
        <v>31</v>
      </c>
      <c r="AI168">
        <v>0</v>
      </c>
      <c r="AJ168" t="s">
        <v>31</v>
      </c>
      <c r="AK168">
        <v>0</v>
      </c>
      <c r="AL168" t="s">
        <v>31</v>
      </c>
      <c r="AM168">
        <v>0</v>
      </c>
      <c r="AN168" t="s">
        <v>31</v>
      </c>
      <c r="AO168">
        <v>0</v>
      </c>
      <c r="AP168" t="s">
        <v>31</v>
      </c>
      <c r="AQ168">
        <v>0</v>
      </c>
    </row>
    <row r="169" spans="1:51" x14ac:dyDescent="0.2">
      <c r="A169" t="s">
        <v>381</v>
      </c>
      <c r="B169" s="3">
        <v>44320</v>
      </c>
      <c r="C169">
        <v>87</v>
      </c>
      <c r="D169" t="s">
        <v>385</v>
      </c>
      <c r="E169" t="s">
        <v>32</v>
      </c>
      <c r="F169" s="9" t="s">
        <v>33</v>
      </c>
      <c r="G169" t="s">
        <v>26</v>
      </c>
      <c r="H169" t="s">
        <v>34</v>
      </c>
      <c r="I169" t="s">
        <v>35</v>
      </c>
      <c r="J169" t="s">
        <v>36</v>
      </c>
      <c r="K169" t="s">
        <v>37</v>
      </c>
      <c r="L169" t="s">
        <v>29</v>
      </c>
      <c r="M169" t="s">
        <v>30</v>
      </c>
      <c r="N169" t="s">
        <v>34</v>
      </c>
      <c r="O169" t="s">
        <v>35</v>
      </c>
      <c r="P169" t="s">
        <v>36</v>
      </c>
      <c r="Q169" t="s">
        <v>37</v>
      </c>
      <c r="R169" s="1">
        <v>44320.560520833336</v>
      </c>
      <c r="S169" s="1">
        <v>44320.637928240743</v>
      </c>
      <c r="T169">
        <v>6</v>
      </c>
      <c r="U169">
        <v>8</v>
      </c>
      <c r="V169" s="2">
        <v>0.75</v>
      </c>
      <c r="W169">
        <v>0</v>
      </c>
      <c r="X169" t="s">
        <v>44</v>
      </c>
      <c r="Y169">
        <v>0</v>
      </c>
      <c r="Z169" t="s">
        <v>47</v>
      </c>
      <c r="AA169">
        <v>0</v>
      </c>
      <c r="AB169" t="s">
        <v>30</v>
      </c>
      <c r="AC169">
        <v>0</v>
      </c>
      <c r="AD169" t="s">
        <v>30</v>
      </c>
      <c r="AE169">
        <v>0</v>
      </c>
      <c r="AF169" t="s">
        <v>30</v>
      </c>
      <c r="AG169">
        <v>0</v>
      </c>
      <c r="AH169" t="s">
        <v>30</v>
      </c>
      <c r="AI169">
        <v>0</v>
      </c>
      <c r="AJ169" t="s">
        <v>30</v>
      </c>
      <c r="AK169">
        <v>0</v>
      </c>
      <c r="AL169" t="s">
        <v>30</v>
      </c>
      <c r="AM169">
        <v>0</v>
      </c>
      <c r="AN169" t="s">
        <v>31</v>
      </c>
      <c r="AO169">
        <v>0</v>
      </c>
      <c r="AP169" t="s">
        <v>31</v>
      </c>
      <c r="AQ169">
        <v>0</v>
      </c>
    </row>
    <row r="170" spans="1:51" x14ac:dyDescent="0.2">
      <c r="A170" t="s">
        <v>381</v>
      </c>
      <c r="B170" s="3">
        <v>44321</v>
      </c>
      <c r="C170">
        <v>89</v>
      </c>
      <c r="D170" t="s">
        <v>387</v>
      </c>
      <c r="E170" t="s">
        <v>32</v>
      </c>
      <c r="F170" s="9" t="s">
        <v>33</v>
      </c>
      <c r="G170" t="s">
        <v>26</v>
      </c>
      <c r="H170" t="s">
        <v>34</v>
      </c>
      <c r="I170" t="s">
        <v>35</v>
      </c>
      <c r="J170" t="s">
        <v>36</v>
      </c>
      <c r="K170" t="s">
        <v>37</v>
      </c>
      <c r="L170" t="s">
        <v>29</v>
      </c>
      <c r="M170" t="s">
        <v>30</v>
      </c>
      <c r="N170" t="s">
        <v>34</v>
      </c>
      <c r="O170" t="s">
        <v>35</v>
      </c>
      <c r="P170" t="s">
        <v>36</v>
      </c>
      <c r="Q170" t="s">
        <v>37</v>
      </c>
      <c r="R170" s="1">
        <v>44321.534629629627</v>
      </c>
      <c r="S170" s="1">
        <v>44321.53465277778</v>
      </c>
      <c r="T170">
        <v>1</v>
      </c>
      <c r="U170">
        <v>1</v>
      </c>
      <c r="V170" s="2">
        <v>1</v>
      </c>
      <c r="W170">
        <v>0</v>
      </c>
      <c r="X170" t="s">
        <v>37</v>
      </c>
      <c r="Y170">
        <v>0</v>
      </c>
      <c r="Z170" t="s">
        <v>37</v>
      </c>
      <c r="AA170">
        <v>0</v>
      </c>
      <c r="AB170" t="s">
        <v>30</v>
      </c>
      <c r="AC170">
        <v>0</v>
      </c>
      <c r="AD170" t="s">
        <v>31</v>
      </c>
      <c r="AE170">
        <v>0</v>
      </c>
      <c r="AF170" t="s">
        <v>31</v>
      </c>
      <c r="AG170">
        <v>0</v>
      </c>
      <c r="AH170" t="s">
        <v>31</v>
      </c>
      <c r="AI170">
        <v>0</v>
      </c>
      <c r="AJ170" t="s">
        <v>31</v>
      </c>
      <c r="AK170">
        <v>0</v>
      </c>
      <c r="AL170" t="s">
        <v>31</v>
      </c>
      <c r="AM170">
        <v>0</v>
      </c>
      <c r="AN170" t="s">
        <v>31</v>
      </c>
      <c r="AO170">
        <v>0</v>
      </c>
      <c r="AP170" t="s">
        <v>31</v>
      </c>
      <c r="AQ170">
        <v>0</v>
      </c>
    </row>
    <row r="171" spans="1:51" x14ac:dyDescent="0.2">
      <c r="A171" t="s">
        <v>381</v>
      </c>
      <c r="B171" s="3">
        <v>44323</v>
      </c>
      <c r="C171">
        <v>90</v>
      </c>
      <c r="D171" t="s">
        <v>404</v>
      </c>
      <c r="E171" t="s">
        <v>32</v>
      </c>
      <c r="F171" s="9" t="s">
        <v>33</v>
      </c>
      <c r="G171" t="s">
        <v>26</v>
      </c>
      <c r="H171" t="s">
        <v>34</v>
      </c>
      <c r="I171" t="s">
        <v>35</v>
      </c>
      <c r="J171" t="s">
        <v>36</v>
      </c>
      <c r="K171" t="s">
        <v>37</v>
      </c>
      <c r="L171" t="s">
        <v>29</v>
      </c>
      <c r="M171" t="s">
        <v>30</v>
      </c>
      <c r="N171" t="s">
        <v>34</v>
      </c>
      <c r="O171" t="s">
        <v>35</v>
      </c>
      <c r="P171" t="s">
        <v>36</v>
      </c>
      <c r="Q171" t="s">
        <v>37</v>
      </c>
      <c r="R171" s="1">
        <v>44323.450486111113</v>
      </c>
      <c r="S171" s="1">
        <v>44323.450497685182</v>
      </c>
      <c r="T171">
        <v>2</v>
      </c>
      <c r="U171">
        <v>2</v>
      </c>
      <c r="V171" s="2">
        <v>1</v>
      </c>
      <c r="W171">
        <v>0</v>
      </c>
      <c r="X171" t="s">
        <v>30</v>
      </c>
      <c r="Y171">
        <v>0</v>
      </c>
      <c r="Z171" t="s">
        <v>30</v>
      </c>
      <c r="AA171">
        <v>0</v>
      </c>
      <c r="AB171" t="s">
        <v>31</v>
      </c>
      <c r="AC171">
        <v>0</v>
      </c>
      <c r="AD171" t="s">
        <v>31</v>
      </c>
      <c r="AE171">
        <v>0</v>
      </c>
      <c r="AF171" t="s">
        <v>31</v>
      </c>
      <c r="AG171">
        <v>0</v>
      </c>
      <c r="AH171" t="s">
        <v>31</v>
      </c>
      <c r="AI171">
        <v>0</v>
      </c>
      <c r="AJ171" t="s">
        <v>31</v>
      </c>
      <c r="AK171">
        <v>0</v>
      </c>
      <c r="AL171" t="s">
        <v>31</v>
      </c>
      <c r="AM171">
        <v>0</v>
      </c>
      <c r="AN171" t="s">
        <v>31</v>
      </c>
      <c r="AO171">
        <v>0</v>
      </c>
      <c r="AP171" t="s">
        <v>31</v>
      </c>
      <c r="AQ171">
        <v>0</v>
      </c>
    </row>
    <row r="172" spans="1:51" x14ac:dyDescent="0.2">
      <c r="A172" t="s">
        <v>381</v>
      </c>
      <c r="B172" s="3">
        <v>44326</v>
      </c>
      <c r="C172">
        <v>92</v>
      </c>
      <c r="D172" t="s">
        <v>390</v>
      </c>
      <c r="E172" t="s">
        <v>32</v>
      </c>
      <c r="F172" s="9" t="s">
        <v>33</v>
      </c>
      <c r="G172" t="s">
        <v>26</v>
      </c>
      <c r="H172" t="s">
        <v>34</v>
      </c>
      <c r="I172" t="s">
        <v>35</v>
      </c>
      <c r="J172" t="s">
        <v>36</v>
      </c>
      <c r="K172" t="s">
        <v>37</v>
      </c>
      <c r="L172" t="s">
        <v>29</v>
      </c>
      <c r="M172" t="s">
        <v>30</v>
      </c>
      <c r="N172" t="s">
        <v>34</v>
      </c>
      <c r="O172" t="s">
        <v>35</v>
      </c>
      <c r="P172" t="s">
        <v>36</v>
      </c>
      <c r="Q172" t="s">
        <v>37</v>
      </c>
      <c r="R172" s="1">
        <v>44326.42491898148</v>
      </c>
      <c r="S172" s="1">
        <v>44326.42491898148</v>
      </c>
      <c r="T172">
        <v>0</v>
      </c>
      <c r="U172">
        <v>0</v>
      </c>
      <c r="V172" s="2">
        <v>0</v>
      </c>
      <c r="W172">
        <v>0</v>
      </c>
      <c r="X172" t="s">
        <v>37</v>
      </c>
      <c r="Y172">
        <v>0</v>
      </c>
      <c r="Z172" t="s">
        <v>31</v>
      </c>
      <c r="AA172">
        <v>0</v>
      </c>
      <c r="AB172" t="s">
        <v>31</v>
      </c>
      <c r="AC172">
        <v>0</v>
      </c>
      <c r="AD172" t="s">
        <v>31</v>
      </c>
      <c r="AE172">
        <v>0</v>
      </c>
      <c r="AF172" t="s">
        <v>31</v>
      </c>
      <c r="AG172">
        <v>0</v>
      </c>
      <c r="AH172" t="s">
        <v>31</v>
      </c>
      <c r="AI172">
        <v>0</v>
      </c>
      <c r="AJ172" t="s">
        <v>31</v>
      </c>
      <c r="AK172">
        <v>0</v>
      </c>
      <c r="AL172" t="s">
        <v>31</v>
      </c>
      <c r="AM172">
        <v>0</v>
      </c>
      <c r="AN172" t="s">
        <v>31</v>
      </c>
      <c r="AO172">
        <v>0</v>
      </c>
      <c r="AP172" t="s">
        <v>31</v>
      </c>
      <c r="AQ172">
        <v>0</v>
      </c>
    </row>
    <row r="173" spans="1:51" x14ac:dyDescent="0.2">
      <c r="A173" t="s">
        <v>381</v>
      </c>
      <c r="B173" s="3">
        <v>44326</v>
      </c>
      <c r="C173">
        <v>93</v>
      </c>
      <c r="D173" t="s">
        <v>387</v>
      </c>
      <c r="E173" t="s">
        <v>32</v>
      </c>
      <c r="F173" s="9" t="s">
        <v>33</v>
      </c>
      <c r="G173" t="s">
        <v>26</v>
      </c>
      <c r="H173" t="s">
        <v>34</v>
      </c>
      <c r="I173" t="s">
        <v>35</v>
      </c>
      <c r="J173" t="s">
        <v>36</v>
      </c>
      <c r="K173" t="s">
        <v>37</v>
      </c>
      <c r="L173" t="s">
        <v>29</v>
      </c>
      <c r="M173" t="s">
        <v>30</v>
      </c>
      <c r="N173" t="s">
        <v>34</v>
      </c>
      <c r="O173" t="s">
        <v>35</v>
      </c>
      <c r="P173" t="s">
        <v>36</v>
      </c>
      <c r="Q173" t="s">
        <v>37</v>
      </c>
      <c r="R173" s="1">
        <v>44326.63003472222</v>
      </c>
      <c r="S173" s="1">
        <v>44326.660081018519</v>
      </c>
      <c r="T173">
        <v>2</v>
      </c>
      <c r="U173">
        <v>2</v>
      </c>
      <c r="V173" s="2">
        <v>1</v>
      </c>
      <c r="W173">
        <v>0</v>
      </c>
      <c r="X173" t="s">
        <v>30</v>
      </c>
      <c r="Y173">
        <v>0</v>
      </c>
      <c r="Z173" t="s">
        <v>30</v>
      </c>
      <c r="AA173">
        <v>0</v>
      </c>
      <c r="AB173" t="s">
        <v>31</v>
      </c>
      <c r="AC173">
        <v>0</v>
      </c>
      <c r="AD173" t="s">
        <v>31</v>
      </c>
      <c r="AE173">
        <v>0</v>
      </c>
      <c r="AF173" t="s">
        <v>31</v>
      </c>
      <c r="AG173">
        <v>0</v>
      </c>
      <c r="AH173" t="s">
        <v>31</v>
      </c>
      <c r="AI173">
        <v>0</v>
      </c>
      <c r="AJ173" t="s">
        <v>31</v>
      </c>
      <c r="AK173">
        <v>0</v>
      </c>
      <c r="AL173" t="s">
        <v>31</v>
      </c>
      <c r="AM173">
        <v>0</v>
      </c>
      <c r="AN173" t="s">
        <v>31</v>
      </c>
      <c r="AO173">
        <v>0</v>
      </c>
      <c r="AP173" t="s">
        <v>31</v>
      </c>
      <c r="AQ173">
        <v>0</v>
      </c>
    </row>
    <row r="174" spans="1:51" x14ac:dyDescent="0.2">
      <c r="A174" t="s">
        <v>381</v>
      </c>
      <c r="B174" s="3">
        <v>44327</v>
      </c>
      <c r="C174">
        <v>94</v>
      </c>
      <c r="D174" t="s">
        <v>384</v>
      </c>
      <c r="E174" t="s">
        <v>32</v>
      </c>
      <c r="F174" s="9" t="s">
        <v>33</v>
      </c>
      <c r="G174" t="s">
        <v>26</v>
      </c>
      <c r="H174" t="s">
        <v>34</v>
      </c>
      <c r="I174" t="s">
        <v>35</v>
      </c>
      <c r="J174" t="s">
        <v>36</v>
      </c>
      <c r="K174" t="s">
        <v>37</v>
      </c>
      <c r="L174" t="s">
        <v>29</v>
      </c>
      <c r="M174" t="s">
        <v>30</v>
      </c>
      <c r="N174" t="s">
        <v>34</v>
      </c>
      <c r="O174" t="s">
        <v>35</v>
      </c>
      <c r="P174" t="s">
        <v>36</v>
      </c>
      <c r="Q174" t="s">
        <v>37</v>
      </c>
      <c r="R174" s="1">
        <v>44327.417256944442</v>
      </c>
      <c r="S174" s="1">
        <v>44327.487013888887</v>
      </c>
      <c r="T174">
        <v>2</v>
      </c>
      <c r="U174">
        <v>4</v>
      </c>
      <c r="V174" s="2">
        <v>0.5</v>
      </c>
      <c r="W174">
        <v>0</v>
      </c>
      <c r="X174" t="s">
        <v>30</v>
      </c>
      <c r="Y174">
        <v>0</v>
      </c>
      <c r="Z174" t="s">
        <v>44</v>
      </c>
      <c r="AA174">
        <v>0</v>
      </c>
      <c r="AB174" t="s">
        <v>61</v>
      </c>
      <c r="AC174">
        <v>0</v>
      </c>
      <c r="AD174" t="s">
        <v>37</v>
      </c>
      <c r="AE174">
        <v>0</v>
      </c>
      <c r="AF174" t="s">
        <v>37</v>
      </c>
      <c r="AG174">
        <v>0</v>
      </c>
      <c r="AH174" t="s">
        <v>37</v>
      </c>
      <c r="AI174">
        <v>0</v>
      </c>
      <c r="AJ174" t="s">
        <v>30</v>
      </c>
      <c r="AK174">
        <v>0</v>
      </c>
      <c r="AL174" t="s">
        <v>31</v>
      </c>
      <c r="AM174">
        <v>0</v>
      </c>
      <c r="AN174" t="s">
        <v>31</v>
      </c>
      <c r="AO174">
        <v>0</v>
      </c>
      <c r="AP174" t="s">
        <v>31</v>
      </c>
      <c r="AQ174">
        <v>0</v>
      </c>
    </row>
    <row r="175" spans="1:51" x14ac:dyDescent="0.2">
      <c r="A175" t="s">
        <v>381</v>
      </c>
      <c r="B175" s="3">
        <v>44327</v>
      </c>
      <c r="C175">
        <v>95</v>
      </c>
      <c r="D175" t="s">
        <v>384</v>
      </c>
      <c r="E175" t="s">
        <v>32</v>
      </c>
      <c r="F175" s="9" t="s">
        <v>33</v>
      </c>
      <c r="G175" t="s">
        <v>26</v>
      </c>
      <c r="H175" t="s">
        <v>34</v>
      </c>
      <c r="I175" t="s">
        <v>35</v>
      </c>
      <c r="J175" t="s">
        <v>36</v>
      </c>
      <c r="K175" t="s">
        <v>37</v>
      </c>
      <c r="L175" t="s">
        <v>29</v>
      </c>
      <c r="M175" t="s">
        <v>30</v>
      </c>
      <c r="N175" t="s">
        <v>34</v>
      </c>
      <c r="O175" t="s">
        <v>35</v>
      </c>
      <c r="P175" t="s">
        <v>36</v>
      </c>
      <c r="Q175" t="s">
        <v>37</v>
      </c>
      <c r="R175" s="1">
        <v>44327.499513888892</v>
      </c>
      <c r="S175" s="1">
        <v>44327.499513888892</v>
      </c>
      <c r="T175">
        <v>0</v>
      </c>
      <c r="U175">
        <v>0</v>
      </c>
      <c r="V175" s="2">
        <v>0</v>
      </c>
      <c r="W175">
        <v>0</v>
      </c>
      <c r="X175" t="s">
        <v>37</v>
      </c>
      <c r="Y175">
        <v>0</v>
      </c>
      <c r="Z175" t="s">
        <v>31</v>
      </c>
      <c r="AA175">
        <v>0</v>
      </c>
      <c r="AB175" t="s">
        <v>31</v>
      </c>
      <c r="AC175">
        <v>0</v>
      </c>
      <c r="AD175" t="s">
        <v>31</v>
      </c>
      <c r="AE175">
        <v>0</v>
      </c>
      <c r="AF175" t="s">
        <v>31</v>
      </c>
      <c r="AG175">
        <v>0</v>
      </c>
      <c r="AH175" t="s">
        <v>31</v>
      </c>
      <c r="AI175">
        <v>0</v>
      </c>
      <c r="AJ175" t="s">
        <v>31</v>
      </c>
      <c r="AK175">
        <v>0</v>
      </c>
      <c r="AL175" t="s">
        <v>31</v>
      </c>
      <c r="AM175">
        <v>0</v>
      </c>
      <c r="AN175" t="s">
        <v>31</v>
      </c>
      <c r="AO175">
        <v>0</v>
      </c>
      <c r="AP175" t="s">
        <v>31</v>
      </c>
      <c r="AQ175">
        <v>0</v>
      </c>
    </row>
    <row r="176" spans="1:51" x14ac:dyDescent="0.2">
      <c r="A176" t="s">
        <v>381</v>
      </c>
      <c r="B176" s="3">
        <v>44327</v>
      </c>
      <c r="C176">
        <v>96</v>
      </c>
      <c r="D176" t="s">
        <v>385</v>
      </c>
      <c r="E176" t="s">
        <v>32</v>
      </c>
      <c r="F176" s="9" t="s">
        <v>33</v>
      </c>
      <c r="G176" t="s">
        <v>26</v>
      </c>
      <c r="H176" t="s">
        <v>34</v>
      </c>
      <c r="I176" t="s">
        <v>35</v>
      </c>
      <c r="J176" t="s">
        <v>36</v>
      </c>
      <c r="K176" t="s">
        <v>37</v>
      </c>
      <c r="L176" t="s">
        <v>29</v>
      </c>
      <c r="M176" t="s">
        <v>30</v>
      </c>
      <c r="N176" t="s">
        <v>34</v>
      </c>
      <c r="O176" t="s">
        <v>35</v>
      </c>
      <c r="P176" t="s">
        <v>36</v>
      </c>
      <c r="Q176" t="s">
        <v>37</v>
      </c>
      <c r="R176" s="1">
        <v>44327.573275462964</v>
      </c>
      <c r="S176" s="1">
        <v>44327.588773148149</v>
      </c>
      <c r="T176">
        <v>4</v>
      </c>
      <c r="U176">
        <v>4</v>
      </c>
      <c r="V176" s="2">
        <v>1</v>
      </c>
      <c r="W176">
        <v>0</v>
      </c>
      <c r="X176" t="s">
        <v>30</v>
      </c>
      <c r="Y176">
        <v>0</v>
      </c>
      <c r="Z176" t="s">
        <v>30</v>
      </c>
      <c r="AA176">
        <v>0</v>
      </c>
      <c r="AB176" t="s">
        <v>30</v>
      </c>
      <c r="AC176">
        <v>0</v>
      </c>
      <c r="AD176" t="s">
        <v>30</v>
      </c>
      <c r="AE176">
        <v>0</v>
      </c>
      <c r="AF176" t="s">
        <v>31</v>
      </c>
      <c r="AG176">
        <v>0</v>
      </c>
      <c r="AH176" t="s">
        <v>31</v>
      </c>
      <c r="AI176">
        <v>0</v>
      </c>
      <c r="AJ176" t="s">
        <v>31</v>
      </c>
      <c r="AK176">
        <v>0</v>
      </c>
      <c r="AL176" t="s">
        <v>31</v>
      </c>
      <c r="AM176">
        <v>0</v>
      </c>
      <c r="AN176" t="s">
        <v>31</v>
      </c>
      <c r="AO176">
        <v>0</v>
      </c>
      <c r="AP176" t="s">
        <v>31</v>
      </c>
      <c r="AQ176">
        <v>0</v>
      </c>
    </row>
    <row r="177" spans="1:57" x14ac:dyDescent="0.2">
      <c r="A177" t="s">
        <v>381</v>
      </c>
      <c r="B177" s="3">
        <v>44328</v>
      </c>
      <c r="C177">
        <v>97</v>
      </c>
      <c r="D177" t="s">
        <v>387</v>
      </c>
      <c r="E177" t="s">
        <v>32</v>
      </c>
      <c r="F177" s="9" t="s">
        <v>33</v>
      </c>
      <c r="G177" t="s">
        <v>26</v>
      </c>
      <c r="H177" t="s">
        <v>34</v>
      </c>
      <c r="I177" t="s">
        <v>35</v>
      </c>
      <c r="J177" t="s">
        <v>36</v>
      </c>
      <c r="K177" t="s">
        <v>37</v>
      </c>
      <c r="L177" t="s">
        <v>29</v>
      </c>
      <c r="M177" t="s">
        <v>30</v>
      </c>
      <c r="N177" t="s">
        <v>34</v>
      </c>
      <c r="O177" t="s">
        <v>35</v>
      </c>
      <c r="P177" t="s">
        <v>36</v>
      </c>
      <c r="Q177" t="s">
        <v>37</v>
      </c>
      <c r="R177" s="1">
        <v>44328.54241898148</v>
      </c>
      <c r="S177" s="1">
        <v>44328.54241898148</v>
      </c>
      <c r="T177">
        <v>3</v>
      </c>
      <c r="U177">
        <v>3</v>
      </c>
      <c r="V177" s="2">
        <v>1</v>
      </c>
      <c r="W177">
        <v>0</v>
      </c>
      <c r="X177" t="s">
        <v>30</v>
      </c>
      <c r="Y177">
        <v>0</v>
      </c>
      <c r="Z177" t="s">
        <v>37</v>
      </c>
      <c r="AA177">
        <v>0</v>
      </c>
      <c r="AB177" t="s">
        <v>30</v>
      </c>
      <c r="AC177">
        <v>0</v>
      </c>
      <c r="AD177" t="s">
        <v>30</v>
      </c>
      <c r="AE177">
        <v>0</v>
      </c>
      <c r="AF177" t="s">
        <v>31</v>
      </c>
      <c r="AG177">
        <v>0</v>
      </c>
      <c r="AH177" t="s">
        <v>31</v>
      </c>
      <c r="AI177">
        <v>0</v>
      </c>
      <c r="AJ177" t="s">
        <v>31</v>
      </c>
      <c r="AK177">
        <v>0</v>
      </c>
      <c r="AL177" t="s">
        <v>31</v>
      </c>
      <c r="AM177">
        <v>0</v>
      </c>
      <c r="AN177" t="s">
        <v>31</v>
      </c>
      <c r="AO177">
        <v>0</v>
      </c>
      <c r="AP177" t="s">
        <v>31</v>
      </c>
      <c r="AQ177">
        <v>0</v>
      </c>
    </row>
    <row r="178" spans="1:57" x14ac:dyDescent="0.2">
      <c r="A178" t="s">
        <v>381</v>
      </c>
      <c r="B178" s="3">
        <v>44334</v>
      </c>
      <c r="C178">
        <v>99</v>
      </c>
      <c r="D178" t="s">
        <v>385</v>
      </c>
      <c r="E178" t="s">
        <v>32</v>
      </c>
      <c r="F178" s="9" t="s">
        <v>33</v>
      </c>
      <c r="G178" t="s">
        <v>26</v>
      </c>
      <c r="H178" t="s">
        <v>34</v>
      </c>
      <c r="I178" t="s">
        <v>35</v>
      </c>
      <c r="J178" t="s">
        <v>36</v>
      </c>
      <c r="K178" t="s">
        <v>37</v>
      </c>
      <c r="L178" t="s">
        <v>29</v>
      </c>
      <c r="M178" t="s">
        <v>30</v>
      </c>
      <c r="N178" t="s">
        <v>34</v>
      </c>
      <c r="O178" t="s">
        <v>35</v>
      </c>
      <c r="P178" t="s">
        <v>36</v>
      </c>
      <c r="Q178" t="s">
        <v>37</v>
      </c>
      <c r="R178" s="1">
        <v>44334.552465277775</v>
      </c>
      <c r="S178" s="1">
        <v>44334.633773148147</v>
      </c>
      <c r="T178">
        <v>5</v>
      </c>
      <c r="U178">
        <v>6</v>
      </c>
      <c r="V178" s="2">
        <v>0.83</v>
      </c>
      <c r="W178">
        <v>0</v>
      </c>
      <c r="X178" t="s">
        <v>37</v>
      </c>
      <c r="Y178">
        <v>0</v>
      </c>
      <c r="Z178" t="s">
        <v>37</v>
      </c>
      <c r="AA178">
        <v>0</v>
      </c>
      <c r="AB178" t="s">
        <v>37</v>
      </c>
      <c r="AC178">
        <v>0</v>
      </c>
      <c r="AD178" t="s">
        <v>44</v>
      </c>
      <c r="AE178">
        <v>0</v>
      </c>
      <c r="AF178" t="s">
        <v>37</v>
      </c>
      <c r="AG178">
        <v>0</v>
      </c>
      <c r="AH178" t="s">
        <v>37</v>
      </c>
      <c r="AI178">
        <v>0</v>
      </c>
      <c r="AJ178" t="s">
        <v>37</v>
      </c>
      <c r="AK178">
        <v>0</v>
      </c>
      <c r="AL178" t="s">
        <v>37</v>
      </c>
      <c r="AM178">
        <v>0</v>
      </c>
      <c r="AN178" t="s">
        <v>30</v>
      </c>
      <c r="AO178">
        <v>0</v>
      </c>
      <c r="AP178" t="s">
        <v>30</v>
      </c>
      <c r="AQ178">
        <v>0</v>
      </c>
      <c r="AR178" t="s">
        <v>30</v>
      </c>
      <c r="AS178">
        <v>0</v>
      </c>
      <c r="AT178" t="s">
        <v>30</v>
      </c>
      <c r="AU178">
        <v>0</v>
      </c>
      <c r="AV178" t="s">
        <v>30</v>
      </c>
      <c r="AW178">
        <v>0</v>
      </c>
    </row>
    <row r="179" spans="1:57" x14ac:dyDescent="0.2">
      <c r="A179" t="s">
        <v>381</v>
      </c>
      <c r="B179" s="3">
        <v>44335</v>
      </c>
      <c r="C179">
        <v>100</v>
      </c>
      <c r="D179" t="s">
        <v>398</v>
      </c>
      <c r="E179" t="s">
        <v>32</v>
      </c>
      <c r="F179" s="9" t="s">
        <v>33</v>
      </c>
      <c r="G179" t="s">
        <v>26</v>
      </c>
      <c r="H179" t="s">
        <v>34</v>
      </c>
      <c r="I179" t="s">
        <v>35</v>
      </c>
      <c r="J179" t="s">
        <v>36</v>
      </c>
      <c r="K179" t="s">
        <v>37</v>
      </c>
      <c r="L179" t="s">
        <v>29</v>
      </c>
      <c r="M179" t="s">
        <v>30</v>
      </c>
      <c r="N179" t="s">
        <v>34</v>
      </c>
      <c r="O179" t="s">
        <v>35</v>
      </c>
      <c r="P179" t="s">
        <v>36</v>
      </c>
      <c r="Q179" t="s">
        <v>37</v>
      </c>
      <c r="R179" s="1">
        <v>44335.416261574072</v>
      </c>
      <c r="S179" s="1">
        <v>44335.416261574072</v>
      </c>
      <c r="T179">
        <v>1</v>
      </c>
      <c r="U179">
        <v>1</v>
      </c>
      <c r="V179" s="2">
        <v>1</v>
      </c>
      <c r="W179">
        <v>0</v>
      </c>
      <c r="X179" t="s">
        <v>30</v>
      </c>
      <c r="Y179">
        <v>0</v>
      </c>
      <c r="Z179" t="s">
        <v>31</v>
      </c>
      <c r="AA179">
        <v>0</v>
      </c>
      <c r="AB179" t="s">
        <v>31</v>
      </c>
      <c r="AC179">
        <v>0</v>
      </c>
      <c r="AD179" t="s">
        <v>31</v>
      </c>
      <c r="AE179">
        <v>0</v>
      </c>
      <c r="AF179" t="s">
        <v>31</v>
      </c>
      <c r="AG179">
        <v>0</v>
      </c>
      <c r="AH179" t="s">
        <v>31</v>
      </c>
      <c r="AI179">
        <v>0</v>
      </c>
      <c r="AJ179" t="s">
        <v>31</v>
      </c>
      <c r="AK179">
        <v>0</v>
      </c>
      <c r="AL179" t="s">
        <v>31</v>
      </c>
      <c r="AM179">
        <v>0</v>
      </c>
      <c r="AN179" t="s">
        <v>31</v>
      </c>
      <c r="AO179">
        <v>0</v>
      </c>
      <c r="AP179" t="s">
        <v>31</v>
      </c>
      <c r="AQ179">
        <v>0</v>
      </c>
    </row>
    <row r="180" spans="1:57" x14ac:dyDescent="0.2">
      <c r="A180" t="s">
        <v>381</v>
      </c>
      <c r="B180" s="3">
        <v>44335</v>
      </c>
      <c r="C180">
        <v>101</v>
      </c>
      <c r="D180" t="s">
        <v>383</v>
      </c>
      <c r="E180" t="s">
        <v>32</v>
      </c>
      <c r="F180" s="9" t="s">
        <v>33</v>
      </c>
      <c r="G180" t="s">
        <v>26</v>
      </c>
      <c r="H180" t="s">
        <v>34</v>
      </c>
      <c r="I180" t="s">
        <v>35</v>
      </c>
      <c r="J180" t="s">
        <v>36</v>
      </c>
      <c r="K180" t="s">
        <v>37</v>
      </c>
      <c r="L180" t="s">
        <v>29</v>
      </c>
      <c r="M180" t="s">
        <v>30</v>
      </c>
      <c r="N180" t="s">
        <v>34</v>
      </c>
      <c r="O180" t="s">
        <v>35</v>
      </c>
      <c r="P180" t="s">
        <v>36</v>
      </c>
      <c r="Q180" t="s">
        <v>37</v>
      </c>
      <c r="R180" s="1">
        <v>44335.55027777778</v>
      </c>
      <c r="S180" s="1">
        <v>44335.59269675926</v>
      </c>
      <c r="T180">
        <v>0</v>
      </c>
      <c r="U180">
        <v>0</v>
      </c>
      <c r="V180" s="2">
        <v>0</v>
      </c>
      <c r="W180">
        <v>0</v>
      </c>
      <c r="X180" t="s">
        <v>37</v>
      </c>
      <c r="Y180">
        <v>0</v>
      </c>
      <c r="Z180" t="s">
        <v>37</v>
      </c>
      <c r="AA180">
        <v>0</v>
      </c>
      <c r="AB180" t="s">
        <v>31</v>
      </c>
      <c r="AC180">
        <v>0</v>
      </c>
      <c r="AD180" t="s">
        <v>31</v>
      </c>
      <c r="AE180">
        <v>0</v>
      </c>
      <c r="AF180" t="s">
        <v>31</v>
      </c>
      <c r="AG180">
        <v>0</v>
      </c>
      <c r="AH180" t="s">
        <v>31</v>
      </c>
      <c r="AI180">
        <v>0</v>
      </c>
      <c r="AJ180" t="s">
        <v>31</v>
      </c>
      <c r="AK180">
        <v>0</v>
      </c>
      <c r="AL180" t="s">
        <v>31</v>
      </c>
      <c r="AM180">
        <v>0</v>
      </c>
      <c r="AN180" t="s">
        <v>31</v>
      </c>
      <c r="AO180">
        <v>0</v>
      </c>
      <c r="AP180" t="s">
        <v>31</v>
      </c>
      <c r="AQ180">
        <v>0</v>
      </c>
    </row>
    <row r="181" spans="1:57" x14ac:dyDescent="0.2">
      <c r="A181" t="s">
        <v>381</v>
      </c>
      <c r="B181" s="3">
        <v>44336</v>
      </c>
      <c r="C181">
        <v>102</v>
      </c>
      <c r="D181" t="s">
        <v>383</v>
      </c>
      <c r="E181" t="s">
        <v>32</v>
      </c>
      <c r="F181" s="9" t="s">
        <v>33</v>
      </c>
      <c r="G181" t="s">
        <v>26</v>
      </c>
      <c r="H181" t="s">
        <v>34</v>
      </c>
      <c r="I181" t="s">
        <v>35</v>
      </c>
      <c r="J181" t="s">
        <v>36</v>
      </c>
      <c r="K181" t="s">
        <v>37</v>
      </c>
      <c r="L181" t="s">
        <v>29</v>
      </c>
      <c r="M181" t="s">
        <v>30</v>
      </c>
      <c r="N181" t="s">
        <v>34</v>
      </c>
      <c r="O181" t="s">
        <v>35</v>
      </c>
      <c r="P181" t="s">
        <v>36</v>
      </c>
      <c r="Q181" t="s">
        <v>37</v>
      </c>
      <c r="R181" s="1">
        <v>44336.416307870371</v>
      </c>
      <c r="S181" s="1">
        <v>44336.480509259258</v>
      </c>
      <c r="T181">
        <v>0</v>
      </c>
      <c r="U181">
        <v>0</v>
      </c>
      <c r="V181" s="2">
        <v>0</v>
      </c>
      <c r="W181">
        <v>0</v>
      </c>
      <c r="X181" t="s">
        <v>37</v>
      </c>
      <c r="Y181">
        <v>0</v>
      </c>
      <c r="Z181" t="s">
        <v>37</v>
      </c>
      <c r="AA181">
        <v>0</v>
      </c>
      <c r="AB181" t="s">
        <v>37</v>
      </c>
      <c r="AC181">
        <v>0</v>
      </c>
      <c r="AD181" t="s">
        <v>37</v>
      </c>
      <c r="AE181">
        <v>0</v>
      </c>
      <c r="AF181" t="s">
        <v>37</v>
      </c>
      <c r="AG181">
        <v>0</v>
      </c>
      <c r="AH181" t="s">
        <v>37</v>
      </c>
      <c r="AI181">
        <v>0</v>
      </c>
      <c r="AJ181" t="s">
        <v>31</v>
      </c>
      <c r="AK181">
        <v>0</v>
      </c>
      <c r="AL181" t="s">
        <v>31</v>
      </c>
      <c r="AM181">
        <v>0</v>
      </c>
      <c r="AN181" t="s">
        <v>31</v>
      </c>
      <c r="AO181">
        <v>0</v>
      </c>
      <c r="AP181" t="s">
        <v>31</v>
      </c>
      <c r="AQ181">
        <v>0</v>
      </c>
    </row>
    <row r="182" spans="1:57" x14ac:dyDescent="0.2">
      <c r="A182" t="s">
        <v>381</v>
      </c>
      <c r="B182" s="3">
        <v>44336</v>
      </c>
      <c r="C182">
        <v>103</v>
      </c>
      <c r="D182" t="s">
        <v>385</v>
      </c>
      <c r="E182" t="s">
        <v>32</v>
      </c>
      <c r="F182" s="9" t="s">
        <v>33</v>
      </c>
      <c r="G182" t="s">
        <v>26</v>
      </c>
      <c r="H182" t="s">
        <v>34</v>
      </c>
      <c r="I182" t="s">
        <v>35</v>
      </c>
      <c r="J182" t="s">
        <v>36</v>
      </c>
      <c r="K182" t="s">
        <v>37</v>
      </c>
      <c r="L182" t="s">
        <v>29</v>
      </c>
      <c r="M182" t="s">
        <v>30</v>
      </c>
      <c r="N182" t="s">
        <v>34</v>
      </c>
      <c r="O182" t="s">
        <v>35</v>
      </c>
      <c r="P182" t="s">
        <v>36</v>
      </c>
      <c r="Q182" t="s">
        <v>37</v>
      </c>
      <c r="R182" s="1">
        <v>44336.547349537039</v>
      </c>
      <c r="S182" s="1">
        <v>44336.627245370371</v>
      </c>
      <c r="T182">
        <v>14</v>
      </c>
      <c r="U182">
        <v>16</v>
      </c>
      <c r="V182" s="2">
        <v>0.87</v>
      </c>
      <c r="W182">
        <v>0</v>
      </c>
      <c r="X182" t="s">
        <v>37</v>
      </c>
      <c r="Y182">
        <v>0</v>
      </c>
      <c r="Z182" t="s">
        <v>30</v>
      </c>
      <c r="AA182">
        <v>0</v>
      </c>
      <c r="AB182" t="s">
        <v>30</v>
      </c>
      <c r="AC182">
        <v>0</v>
      </c>
      <c r="AD182" t="s">
        <v>30</v>
      </c>
      <c r="AE182">
        <v>0</v>
      </c>
      <c r="AF182" t="s">
        <v>30</v>
      </c>
      <c r="AG182">
        <v>0</v>
      </c>
      <c r="AH182" t="s">
        <v>30</v>
      </c>
      <c r="AI182">
        <v>0</v>
      </c>
      <c r="AJ182" t="s">
        <v>30</v>
      </c>
      <c r="AK182">
        <v>0</v>
      </c>
      <c r="AL182" t="s">
        <v>30</v>
      </c>
      <c r="AM182">
        <v>0</v>
      </c>
      <c r="AN182" t="s">
        <v>30</v>
      </c>
      <c r="AO182">
        <v>0</v>
      </c>
      <c r="AP182" t="s">
        <v>30</v>
      </c>
      <c r="AQ182">
        <v>0</v>
      </c>
      <c r="AR182" t="s">
        <v>30</v>
      </c>
      <c r="AS182">
        <v>0</v>
      </c>
      <c r="AT182" t="s">
        <v>30</v>
      </c>
      <c r="AU182">
        <v>0</v>
      </c>
      <c r="AV182" t="s">
        <v>30</v>
      </c>
      <c r="AW182">
        <v>0</v>
      </c>
      <c r="AX182" t="s">
        <v>30</v>
      </c>
      <c r="AY182">
        <v>0</v>
      </c>
      <c r="AZ182" t="s">
        <v>44</v>
      </c>
      <c r="BA182">
        <v>0</v>
      </c>
      <c r="BB182" t="s">
        <v>44</v>
      </c>
      <c r="BC182">
        <v>0</v>
      </c>
      <c r="BD182" t="s">
        <v>30</v>
      </c>
      <c r="BE182">
        <v>0</v>
      </c>
    </row>
    <row r="183" spans="1:57" x14ac:dyDescent="0.2">
      <c r="A183" t="s">
        <v>381</v>
      </c>
      <c r="B183" s="3">
        <v>44337</v>
      </c>
      <c r="C183">
        <v>104</v>
      </c>
      <c r="D183" t="s">
        <v>390</v>
      </c>
      <c r="E183" t="s">
        <v>32</v>
      </c>
      <c r="F183" s="9" t="s">
        <v>33</v>
      </c>
      <c r="G183" t="s">
        <v>26</v>
      </c>
      <c r="H183" t="s">
        <v>34</v>
      </c>
      <c r="I183" t="s">
        <v>35</v>
      </c>
      <c r="J183" t="s">
        <v>36</v>
      </c>
      <c r="K183" t="s">
        <v>37</v>
      </c>
      <c r="L183" t="s">
        <v>29</v>
      </c>
      <c r="M183" t="s">
        <v>30</v>
      </c>
      <c r="N183" t="s">
        <v>34</v>
      </c>
      <c r="O183" t="s">
        <v>35</v>
      </c>
      <c r="P183" t="s">
        <v>36</v>
      </c>
      <c r="Q183" t="s">
        <v>37</v>
      </c>
      <c r="R183" s="1">
        <v>44337.386284722219</v>
      </c>
      <c r="S183" s="1">
        <v>44337.437939814816</v>
      </c>
      <c r="T183">
        <v>1</v>
      </c>
      <c r="U183">
        <v>1</v>
      </c>
      <c r="V183" s="2">
        <v>1</v>
      </c>
      <c r="W183">
        <v>0</v>
      </c>
      <c r="X183" t="s">
        <v>37</v>
      </c>
      <c r="Y183">
        <v>0</v>
      </c>
      <c r="Z183" t="s">
        <v>37</v>
      </c>
      <c r="AA183">
        <v>0</v>
      </c>
      <c r="AB183" t="s">
        <v>30</v>
      </c>
      <c r="AC183">
        <v>0</v>
      </c>
      <c r="AD183" t="s">
        <v>31</v>
      </c>
      <c r="AE183">
        <v>0</v>
      </c>
      <c r="AF183" t="s">
        <v>31</v>
      </c>
      <c r="AG183">
        <v>0</v>
      </c>
      <c r="AH183" t="s">
        <v>31</v>
      </c>
      <c r="AI183">
        <v>0</v>
      </c>
      <c r="AJ183" t="s">
        <v>31</v>
      </c>
      <c r="AK183">
        <v>0</v>
      </c>
      <c r="AL183" t="s">
        <v>31</v>
      </c>
      <c r="AM183">
        <v>0</v>
      </c>
      <c r="AN183" t="s">
        <v>31</v>
      </c>
      <c r="AO183">
        <v>0</v>
      </c>
      <c r="AP183" t="s">
        <v>31</v>
      </c>
      <c r="AQ183">
        <v>0</v>
      </c>
    </row>
    <row r="184" spans="1:57" x14ac:dyDescent="0.2">
      <c r="A184" t="s">
        <v>381</v>
      </c>
      <c r="B184" s="3">
        <v>44337</v>
      </c>
      <c r="C184">
        <v>105</v>
      </c>
      <c r="D184" t="s">
        <v>405</v>
      </c>
      <c r="E184" t="s">
        <v>32</v>
      </c>
      <c r="F184" s="9" t="s">
        <v>33</v>
      </c>
      <c r="G184" t="s">
        <v>26</v>
      </c>
      <c r="H184" t="s">
        <v>34</v>
      </c>
      <c r="I184" t="s">
        <v>35</v>
      </c>
      <c r="J184" t="s">
        <v>36</v>
      </c>
      <c r="K184" t="s">
        <v>37</v>
      </c>
      <c r="L184" t="s">
        <v>29</v>
      </c>
      <c r="M184" t="s">
        <v>30</v>
      </c>
      <c r="N184" t="s">
        <v>34</v>
      </c>
      <c r="O184" t="s">
        <v>35</v>
      </c>
      <c r="P184" t="s">
        <v>36</v>
      </c>
      <c r="Q184" t="s">
        <v>37</v>
      </c>
      <c r="R184" s="1">
        <v>44337.546932870369</v>
      </c>
      <c r="S184" s="1">
        <v>44337.641458333332</v>
      </c>
      <c r="T184">
        <v>1</v>
      </c>
      <c r="U184">
        <v>1</v>
      </c>
      <c r="V184" s="2">
        <v>1</v>
      </c>
      <c r="W184">
        <v>0</v>
      </c>
      <c r="X184" t="s">
        <v>37</v>
      </c>
      <c r="Y184">
        <v>0</v>
      </c>
      <c r="Z184" t="s">
        <v>30</v>
      </c>
      <c r="AA184">
        <v>0</v>
      </c>
      <c r="AB184" t="s">
        <v>37</v>
      </c>
      <c r="AC184">
        <v>0</v>
      </c>
      <c r="AD184" t="s">
        <v>37</v>
      </c>
      <c r="AE184">
        <v>0</v>
      </c>
      <c r="AF184" t="s">
        <v>37</v>
      </c>
      <c r="AG184">
        <v>0</v>
      </c>
      <c r="AH184" t="s">
        <v>37</v>
      </c>
      <c r="AI184">
        <v>0</v>
      </c>
      <c r="AJ184" t="s">
        <v>37</v>
      </c>
      <c r="AK184">
        <v>0</v>
      </c>
      <c r="AL184" t="s">
        <v>31</v>
      </c>
      <c r="AM184">
        <v>0</v>
      </c>
      <c r="AN184" t="s">
        <v>31</v>
      </c>
      <c r="AO184">
        <v>0</v>
      </c>
      <c r="AP184" t="s">
        <v>31</v>
      </c>
      <c r="AQ184">
        <v>0</v>
      </c>
    </row>
    <row r="185" spans="1:57" x14ac:dyDescent="0.2">
      <c r="A185" t="s">
        <v>381</v>
      </c>
      <c r="B185" s="3">
        <v>44338</v>
      </c>
      <c r="C185">
        <v>107</v>
      </c>
      <c r="D185" t="s">
        <v>392</v>
      </c>
      <c r="E185" t="s">
        <v>32</v>
      </c>
      <c r="F185" s="9" t="s">
        <v>33</v>
      </c>
      <c r="G185" t="s">
        <v>26</v>
      </c>
      <c r="H185" t="s">
        <v>34</v>
      </c>
      <c r="I185" t="s">
        <v>35</v>
      </c>
      <c r="J185" t="s">
        <v>36</v>
      </c>
      <c r="K185" t="s">
        <v>37</v>
      </c>
      <c r="L185" t="s">
        <v>29</v>
      </c>
      <c r="M185" t="s">
        <v>30</v>
      </c>
      <c r="N185" t="s">
        <v>34</v>
      </c>
      <c r="O185" t="s">
        <v>35</v>
      </c>
      <c r="P185" t="s">
        <v>36</v>
      </c>
      <c r="Q185" t="s">
        <v>37</v>
      </c>
      <c r="R185" s="1">
        <v>44338.545358796298</v>
      </c>
      <c r="S185" s="1">
        <v>44338.62023148148</v>
      </c>
      <c r="T185">
        <v>7</v>
      </c>
      <c r="U185">
        <v>9</v>
      </c>
      <c r="V185" s="2">
        <v>0.77</v>
      </c>
      <c r="W185">
        <v>0</v>
      </c>
      <c r="X185" t="s">
        <v>47</v>
      </c>
      <c r="Y185">
        <v>0</v>
      </c>
      <c r="Z185" t="s">
        <v>47</v>
      </c>
      <c r="AA185">
        <v>0</v>
      </c>
      <c r="AB185" t="s">
        <v>37</v>
      </c>
      <c r="AC185">
        <v>0</v>
      </c>
      <c r="AD185" t="s">
        <v>30</v>
      </c>
      <c r="AE185">
        <v>0</v>
      </c>
      <c r="AF185" t="s">
        <v>30</v>
      </c>
      <c r="AG185">
        <v>0</v>
      </c>
      <c r="AH185" t="s">
        <v>30</v>
      </c>
      <c r="AI185">
        <v>0</v>
      </c>
      <c r="AJ185" t="s">
        <v>30</v>
      </c>
      <c r="AK185">
        <v>0</v>
      </c>
      <c r="AL185" t="s">
        <v>30</v>
      </c>
      <c r="AM185">
        <v>0</v>
      </c>
      <c r="AN185" t="s">
        <v>30</v>
      </c>
      <c r="AO185">
        <v>0</v>
      </c>
      <c r="AP185" t="s">
        <v>37</v>
      </c>
      <c r="AQ185">
        <v>0</v>
      </c>
      <c r="AR185" t="s">
        <v>37</v>
      </c>
      <c r="AS185">
        <v>0</v>
      </c>
      <c r="AT185" t="s">
        <v>37</v>
      </c>
      <c r="AU185">
        <v>0</v>
      </c>
      <c r="AV185" t="s">
        <v>30</v>
      </c>
      <c r="AW185">
        <v>0</v>
      </c>
      <c r="AX185" t="s">
        <v>37</v>
      </c>
      <c r="AY185">
        <v>0</v>
      </c>
      <c r="AZ185" t="s">
        <v>37</v>
      </c>
      <c r="BA185">
        <v>0</v>
      </c>
      <c r="BB185" t="s">
        <v>37</v>
      </c>
      <c r="BC185">
        <v>0</v>
      </c>
    </row>
    <row r="186" spans="1:57" x14ac:dyDescent="0.2">
      <c r="A186" t="s">
        <v>381</v>
      </c>
      <c r="B186" s="3">
        <v>44340</v>
      </c>
      <c r="C186">
        <v>108</v>
      </c>
      <c r="D186" t="s">
        <v>393</v>
      </c>
      <c r="E186" t="s">
        <v>32</v>
      </c>
      <c r="F186" s="9" t="s">
        <v>33</v>
      </c>
      <c r="G186" t="s">
        <v>26</v>
      </c>
      <c r="H186" t="s">
        <v>34</v>
      </c>
      <c r="I186" t="s">
        <v>35</v>
      </c>
      <c r="J186" t="s">
        <v>36</v>
      </c>
      <c r="K186" t="s">
        <v>37</v>
      </c>
      <c r="L186" t="s">
        <v>29</v>
      </c>
      <c r="M186" t="s">
        <v>30</v>
      </c>
      <c r="N186" t="s">
        <v>34</v>
      </c>
      <c r="O186" t="s">
        <v>35</v>
      </c>
      <c r="P186" t="s">
        <v>36</v>
      </c>
      <c r="Q186" t="s">
        <v>37</v>
      </c>
      <c r="R186" s="1">
        <v>44340.479583333334</v>
      </c>
      <c r="S186" s="1">
        <v>44340.485069444447</v>
      </c>
      <c r="T186">
        <v>1</v>
      </c>
      <c r="U186">
        <v>1</v>
      </c>
      <c r="V186" s="2">
        <v>1</v>
      </c>
      <c r="W186">
        <v>0</v>
      </c>
      <c r="X186" t="s">
        <v>37</v>
      </c>
      <c r="Y186">
        <v>0</v>
      </c>
      <c r="Z186" t="s">
        <v>37</v>
      </c>
      <c r="AA186">
        <v>0</v>
      </c>
      <c r="AB186" t="s">
        <v>37</v>
      </c>
      <c r="AC186">
        <v>0</v>
      </c>
      <c r="AD186" t="s">
        <v>37</v>
      </c>
      <c r="AE186">
        <v>0</v>
      </c>
      <c r="AF186" t="s">
        <v>37</v>
      </c>
      <c r="AG186">
        <v>0</v>
      </c>
      <c r="AH186" t="s">
        <v>30</v>
      </c>
      <c r="AI186">
        <v>0</v>
      </c>
      <c r="AJ186" t="s">
        <v>31</v>
      </c>
      <c r="AK186">
        <v>0</v>
      </c>
      <c r="AL186" t="s">
        <v>31</v>
      </c>
      <c r="AM186">
        <v>0</v>
      </c>
      <c r="AN186" t="s">
        <v>31</v>
      </c>
      <c r="AO186">
        <v>0</v>
      </c>
      <c r="AP186" t="s">
        <v>31</v>
      </c>
      <c r="AQ186">
        <v>0</v>
      </c>
    </row>
    <row r="187" spans="1:57" x14ac:dyDescent="0.2">
      <c r="A187" t="s">
        <v>381</v>
      </c>
      <c r="B187" s="3">
        <v>44340</v>
      </c>
      <c r="C187">
        <v>109</v>
      </c>
      <c r="D187" t="s">
        <v>383</v>
      </c>
      <c r="E187" t="s">
        <v>32</v>
      </c>
      <c r="F187" s="9" t="s">
        <v>33</v>
      </c>
      <c r="G187" t="s">
        <v>26</v>
      </c>
      <c r="H187" t="s">
        <v>34</v>
      </c>
      <c r="I187" t="s">
        <v>35</v>
      </c>
      <c r="J187" t="s">
        <v>36</v>
      </c>
      <c r="K187" t="s">
        <v>37</v>
      </c>
      <c r="L187" t="s">
        <v>29</v>
      </c>
      <c r="M187" t="s">
        <v>30</v>
      </c>
      <c r="N187" t="s">
        <v>34</v>
      </c>
      <c r="O187" t="s">
        <v>35</v>
      </c>
      <c r="P187" t="s">
        <v>36</v>
      </c>
      <c r="Q187" t="s">
        <v>37</v>
      </c>
      <c r="R187" s="1">
        <v>44340.565474537034</v>
      </c>
      <c r="S187" s="1">
        <v>44340.630324074074</v>
      </c>
      <c r="T187">
        <v>2</v>
      </c>
      <c r="U187">
        <v>2</v>
      </c>
      <c r="V187" s="2">
        <v>1</v>
      </c>
      <c r="W187">
        <v>0</v>
      </c>
      <c r="X187" t="s">
        <v>37</v>
      </c>
      <c r="Y187">
        <v>0</v>
      </c>
      <c r="Z187" t="s">
        <v>37</v>
      </c>
      <c r="AA187">
        <v>0</v>
      </c>
      <c r="AB187" t="s">
        <v>30</v>
      </c>
      <c r="AC187">
        <v>0</v>
      </c>
      <c r="AD187" t="s">
        <v>30</v>
      </c>
      <c r="AE187">
        <v>0</v>
      </c>
      <c r="AF187" t="s">
        <v>31</v>
      </c>
      <c r="AG187">
        <v>0</v>
      </c>
      <c r="AH187" t="s">
        <v>31</v>
      </c>
      <c r="AI187">
        <v>0</v>
      </c>
      <c r="AJ187" t="s">
        <v>31</v>
      </c>
      <c r="AK187">
        <v>0</v>
      </c>
      <c r="AL187" t="s">
        <v>31</v>
      </c>
      <c r="AM187">
        <v>0</v>
      </c>
      <c r="AN187" t="s">
        <v>31</v>
      </c>
      <c r="AO187">
        <v>0</v>
      </c>
      <c r="AP187" t="s">
        <v>31</v>
      </c>
      <c r="AQ187">
        <v>0</v>
      </c>
    </row>
    <row r="188" spans="1:57" x14ac:dyDescent="0.2">
      <c r="A188" t="s">
        <v>381</v>
      </c>
      <c r="B188" s="3">
        <v>44341</v>
      </c>
      <c r="C188">
        <v>110</v>
      </c>
      <c r="D188" t="s">
        <v>383</v>
      </c>
      <c r="E188" t="s">
        <v>32</v>
      </c>
      <c r="F188" s="9" t="s">
        <v>33</v>
      </c>
      <c r="G188" t="s">
        <v>26</v>
      </c>
      <c r="H188" t="s">
        <v>34</v>
      </c>
      <c r="I188" t="s">
        <v>35</v>
      </c>
      <c r="J188" t="s">
        <v>36</v>
      </c>
      <c r="K188" t="s">
        <v>37</v>
      </c>
      <c r="L188" t="s">
        <v>29</v>
      </c>
      <c r="M188" t="s">
        <v>30</v>
      </c>
      <c r="N188" t="s">
        <v>34</v>
      </c>
      <c r="O188" t="s">
        <v>35</v>
      </c>
      <c r="P188" t="s">
        <v>36</v>
      </c>
      <c r="Q188" t="s">
        <v>37</v>
      </c>
      <c r="R188" s="1">
        <v>44341.401203703703</v>
      </c>
      <c r="S188" s="1">
        <v>44341.401203703703</v>
      </c>
      <c r="T188">
        <v>0</v>
      </c>
      <c r="U188">
        <v>0</v>
      </c>
      <c r="V188" s="2">
        <v>0</v>
      </c>
      <c r="W188">
        <v>0</v>
      </c>
      <c r="X188" t="s">
        <v>37</v>
      </c>
      <c r="Y188">
        <v>0</v>
      </c>
      <c r="Z188" t="s">
        <v>31</v>
      </c>
      <c r="AA188">
        <v>0</v>
      </c>
      <c r="AB188" t="s">
        <v>31</v>
      </c>
      <c r="AC188">
        <v>0</v>
      </c>
      <c r="AD188" t="s">
        <v>31</v>
      </c>
      <c r="AE188">
        <v>0</v>
      </c>
      <c r="AF188" t="s">
        <v>31</v>
      </c>
      <c r="AG188">
        <v>0</v>
      </c>
      <c r="AH188" t="s">
        <v>31</v>
      </c>
      <c r="AI188">
        <v>0</v>
      </c>
      <c r="AJ188" t="s">
        <v>31</v>
      </c>
      <c r="AK188">
        <v>0</v>
      </c>
      <c r="AL188" t="s">
        <v>31</v>
      </c>
      <c r="AM188">
        <v>0</v>
      </c>
      <c r="AN188" t="s">
        <v>31</v>
      </c>
      <c r="AO188">
        <v>0</v>
      </c>
      <c r="AP188" t="s">
        <v>31</v>
      </c>
      <c r="AQ188">
        <v>0</v>
      </c>
    </row>
    <row r="189" spans="1:57" x14ac:dyDescent="0.2">
      <c r="A189" t="s">
        <v>381</v>
      </c>
      <c r="B189" s="3">
        <v>44341</v>
      </c>
      <c r="C189">
        <v>111</v>
      </c>
      <c r="D189" t="s">
        <v>385</v>
      </c>
      <c r="E189" t="s">
        <v>32</v>
      </c>
      <c r="F189" s="9" t="s">
        <v>33</v>
      </c>
      <c r="G189" t="s">
        <v>26</v>
      </c>
      <c r="H189" t="s">
        <v>34</v>
      </c>
      <c r="I189" t="s">
        <v>35</v>
      </c>
      <c r="J189" t="s">
        <v>36</v>
      </c>
      <c r="K189" t="s">
        <v>37</v>
      </c>
      <c r="L189" t="s">
        <v>29</v>
      </c>
      <c r="M189" t="s">
        <v>30</v>
      </c>
      <c r="N189" t="s">
        <v>34</v>
      </c>
      <c r="O189" t="s">
        <v>35</v>
      </c>
      <c r="P189" t="s">
        <v>36</v>
      </c>
      <c r="Q189" t="s">
        <v>37</v>
      </c>
      <c r="R189" s="1">
        <v>44341.556331018517</v>
      </c>
      <c r="S189" s="1">
        <v>44341.643599537034</v>
      </c>
      <c r="T189">
        <v>6</v>
      </c>
      <c r="U189">
        <v>6</v>
      </c>
      <c r="V189" s="2">
        <v>1</v>
      </c>
      <c r="W189">
        <v>0</v>
      </c>
      <c r="X189" t="s">
        <v>37</v>
      </c>
      <c r="Y189">
        <v>0</v>
      </c>
      <c r="Z189" t="s">
        <v>37</v>
      </c>
      <c r="AA189">
        <v>0</v>
      </c>
      <c r="AB189" t="s">
        <v>37</v>
      </c>
      <c r="AC189">
        <v>0</v>
      </c>
      <c r="AD189" t="s">
        <v>30</v>
      </c>
      <c r="AE189">
        <v>0</v>
      </c>
      <c r="AF189" t="s">
        <v>30</v>
      </c>
      <c r="AG189">
        <v>0</v>
      </c>
      <c r="AH189" t="s">
        <v>30</v>
      </c>
      <c r="AI189">
        <v>0</v>
      </c>
      <c r="AJ189" t="s">
        <v>30</v>
      </c>
      <c r="AK189">
        <v>0</v>
      </c>
      <c r="AL189" t="s">
        <v>37</v>
      </c>
      <c r="AM189">
        <v>0</v>
      </c>
      <c r="AN189" t="s">
        <v>30</v>
      </c>
      <c r="AO189">
        <v>0</v>
      </c>
      <c r="AP189" t="s">
        <v>30</v>
      </c>
      <c r="AQ189">
        <v>0</v>
      </c>
      <c r="AR189" t="s">
        <v>37</v>
      </c>
      <c r="AS189">
        <v>0</v>
      </c>
    </row>
    <row r="190" spans="1:57" x14ac:dyDescent="0.2">
      <c r="A190" t="s">
        <v>381</v>
      </c>
      <c r="B190" s="3">
        <v>44342</v>
      </c>
      <c r="C190">
        <v>112</v>
      </c>
      <c r="D190" t="s">
        <v>394</v>
      </c>
      <c r="E190" t="s">
        <v>32</v>
      </c>
      <c r="F190" s="9" t="s">
        <v>33</v>
      </c>
      <c r="G190" t="s">
        <v>26</v>
      </c>
      <c r="H190" t="s">
        <v>34</v>
      </c>
      <c r="I190" t="s">
        <v>35</v>
      </c>
      <c r="J190" t="s">
        <v>36</v>
      </c>
      <c r="K190" t="s">
        <v>37</v>
      </c>
      <c r="L190" t="s">
        <v>29</v>
      </c>
      <c r="M190" t="s">
        <v>30</v>
      </c>
      <c r="N190" t="s">
        <v>34</v>
      </c>
      <c r="O190" t="s">
        <v>35</v>
      </c>
      <c r="P190" t="s">
        <v>36</v>
      </c>
      <c r="Q190" t="s">
        <v>37</v>
      </c>
      <c r="R190" s="1">
        <v>44342.448877314811</v>
      </c>
      <c r="S190" s="1">
        <v>44342.46671296296</v>
      </c>
      <c r="T190">
        <v>0</v>
      </c>
      <c r="U190">
        <v>0</v>
      </c>
      <c r="V190" s="2">
        <v>0</v>
      </c>
      <c r="W190">
        <v>0</v>
      </c>
      <c r="X190" t="s">
        <v>37</v>
      </c>
      <c r="Y190">
        <v>0</v>
      </c>
      <c r="Z190" t="s">
        <v>37</v>
      </c>
      <c r="AA190">
        <v>0</v>
      </c>
      <c r="AB190" t="s">
        <v>37</v>
      </c>
      <c r="AC190">
        <v>0</v>
      </c>
      <c r="AD190" t="s">
        <v>37</v>
      </c>
      <c r="AE190">
        <v>0</v>
      </c>
      <c r="AF190" t="s">
        <v>37</v>
      </c>
      <c r="AG190">
        <v>0</v>
      </c>
      <c r="AH190" t="s">
        <v>37</v>
      </c>
      <c r="AI190">
        <v>0</v>
      </c>
      <c r="AJ190" t="s">
        <v>37</v>
      </c>
      <c r="AK190">
        <v>0</v>
      </c>
      <c r="AL190" t="s">
        <v>31</v>
      </c>
      <c r="AM190">
        <v>0</v>
      </c>
      <c r="AN190" t="s">
        <v>31</v>
      </c>
      <c r="AO190">
        <v>0</v>
      </c>
      <c r="AP190" t="s">
        <v>31</v>
      </c>
      <c r="AQ190">
        <v>0</v>
      </c>
    </row>
    <row r="191" spans="1:57" x14ac:dyDescent="0.2">
      <c r="A191" t="s">
        <v>381</v>
      </c>
      <c r="B191" s="3">
        <v>44342</v>
      </c>
      <c r="C191">
        <v>113</v>
      </c>
      <c r="D191" t="s">
        <v>383</v>
      </c>
      <c r="E191" t="s">
        <v>32</v>
      </c>
      <c r="F191" s="9" t="s">
        <v>33</v>
      </c>
      <c r="G191" t="s">
        <v>26</v>
      </c>
      <c r="H191" t="s">
        <v>34</v>
      </c>
      <c r="I191" t="s">
        <v>35</v>
      </c>
      <c r="J191" t="s">
        <v>36</v>
      </c>
      <c r="K191" t="s">
        <v>37</v>
      </c>
      <c r="L191" t="s">
        <v>29</v>
      </c>
      <c r="M191" t="s">
        <v>30</v>
      </c>
      <c r="N191" t="s">
        <v>34</v>
      </c>
      <c r="O191" t="s">
        <v>35</v>
      </c>
      <c r="P191" t="s">
        <v>36</v>
      </c>
      <c r="Q191" t="s">
        <v>37</v>
      </c>
      <c r="R191" s="1">
        <v>44342.544293981482</v>
      </c>
      <c r="S191" s="1">
        <v>44342.544293981482</v>
      </c>
      <c r="T191">
        <v>1</v>
      </c>
      <c r="U191">
        <v>1</v>
      </c>
      <c r="V191" s="2">
        <v>1</v>
      </c>
      <c r="W191">
        <v>0</v>
      </c>
      <c r="X191" t="s">
        <v>30</v>
      </c>
      <c r="Y191">
        <v>0</v>
      </c>
      <c r="Z191" t="s">
        <v>31</v>
      </c>
      <c r="AA191">
        <v>0</v>
      </c>
      <c r="AB191" t="s">
        <v>31</v>
      </c>
      <c r="AC191">
        <v>0</v>
      </c>
      <c r="AD191" t="s">
        <v>31</v>
      </c>
      <c r="AE191">
        <v>0</v>
      </c>
      <c r="AF191" t="s">
        <v>31</v>
      </c>
      <c r="AG191">
        <v>0</v>
      </c>
      <c r="AH191" t="s">
        <v>31</v>
      </c>
      <c r="AI191">
        <v>0</v>
      </c>
      <c r="AJ191" t="s">
        <v>31</v>
      </c>
      <c r="AK191">
        <v>0</v>
      </c>
      <c r="AL191" t="s">
        <v>31</v>
      </c>
      <c r="AM191">
        <v>0</v>
      </c>
      <c r="AN191" t="s">
        <v>31</v>
      </c>
      <c r="AO191">
        <v>0</v>
      </c>
      <c r="AP191" t="s">
        <v>31</v>
      </c>
      <c r="AQ191">
        <v>0</v>
      </c>
    </row>
    <row r="192" spans="1:57" x14ac:dyDescent="0.2">
      <c r="A192" t="s">
        <v>381</v>
      </c>
      <c r="B192" s="3">
        <v>44343</v>
      </c>
      <c r="C192">
        <v>115</v>
      </c>
      <c r="D192" t="s">
        <v>395</v>
      </c>
      <c r="E192" t="s">
        <v>32</v>
      </c>
      <c r="F192" s="9" t="s">
        <v>33</v>
      </c>
      <c r="G192" t="s">
        <v>26</v>
      </c>
      <c r="H192" t="s">
        <v>34</v>
      </c>
      <c r="I192" t="s">
        <v>35</v>
      </c>
      <c r="J192" t="s">
        <v>36</v>
      </c>
      <c r="K192" t="s">
        <v>37</v>
      </c>
      <c r="L192" t="s">
        <v>29</v>
      </c>
      <c r="M192" t="s">
        <v>30</v>
      </c>
      <c r="N192" t="s">
        <v>34</v>
      </c>
      <c r="O192" t="s">
        <v>35</v>
      </c>
      <c r="P192" t="s">
        <v>36</v>
      </c>
      <c r="Q192" t="s">
        <v>37</v>
      </c>
      <c r="R192" s="1">
        <v>44343.484907407408</v>
      </c>
      <c r="S192" s="1">
        <v>44343.484907407408</v>
      </c>
      <c r="T192">
        <v>0</v>
      </c>
      <c r="U192">
        <v>0</v>
      </c>
      <c r="V192" s="2">
        <v>0</v>
      </c>
      <c r="W192">
        <v>0</v>
      </c>
      <c r="X192" t="s">
        <v>37</v>
      </c>
      <c r="Y192">
        <v>0</v>
      </c>
      <c r="Z192" t="s">
        <v>37</v>
      </c>
      <c r="AA192">
        <v>0</v>
      </c>
      <c r="AB192" t="s">
        <v>31</v>
      </c>
      <c r="AC192">
        <v>0</v>
      </c>
      <c r="AD192" t="s">
        <v>31</v>
      </c>
      <c r="AE192">
        <v>0</v>
      </c>
      <c r="AF192" t="s">
        <v>31</v>
      </c>
      <c r="AG192">
        <v>0</v>
      </c>
      <c r="AH192" t="s">
        <v>31</v>
      </c>
      <c r="AI192">
        <v>0</v>
      </c>
      <c r="AJ192" t="s">
        <v>31</v>
      </c>
      <c r="AK192">
        <v>0</v>
      </c>
      <c r="AL192" t="s">
        <v>31</v>
      </c>
      <c r="AM192">
        <v>0</v>
      </c>
      <c r="AN192" t="s">
        <v>31</v>
      </c>
      <c r="AO192">
        <v>0</v>
      </c>
      <c r="AP192" t="s">
        <v>31</v>
      </c>
      <c r="AQ192">
        <v>0</v>
      </c>
    </row>
    <row r="193" spans="1:55" x14ac:dyDescent="0.2">
      <c r="A193" t="s">
        <v>381</v>
      </c>
      <c r="B193" s="3">
        <v>44344</v>
      </c>
      <c r="C193">
        <v>116</v>
      </c>
      <c r="D193" t="s">
        <v>390</v>
      </c>
      <c r="E193" t="s">
        <v>32</v>
      </c>
      <c r="F193" s="9" t="s">
        <v>33</v>
      </c>
      <c r="G193" t="s">
        <v>26</v>
      </c>
      <c r="H193" t="s">
        <v>34</v>
      </c>
      <c r="I193" t="s">
        <v>35</v>
      </c>
      <c r="J193" t="s">
        <v>36</v>
      </c>
      <c r="K193" t="s">
        <v>37</v>
      </c>
      <c r="L193" t="s">
        <v>29</v>
      </c>
      <c r="M193" t="s">
        <v>30</v>
      </c>
      <c r="N193" t="s">
        <v>34</v>
      </c>
      <c r="O193" t="s">
        <v>35</v>
      </c>
      <c r="P193" t="s">
        <v>36</v>
      </c>
      <c r="Q193" t="s">
        <v>37</v>
      </c>
      <c r="R193" s="1">
        <v>44344.398333333331</v>
      </c>
      <c r="S193" s="1">
        <v>44344.463622685187</v>
      </c>
      <c r="T193">
        <v>1</v>
      </c>
      <c r="U193">
        <v>2</v>
      </c>
      <c r="V193" s="2">
        <v>0.5</v>
      </c>
      <c r="W193">
        <v>0</v>
      </c>
      <c r="X193" t="s">
        <v>37</v>
      </c>
      <c r="Y193">
        <v>0</v>
      </c>
      <c r="Z193" t="s">
        <v>30</v>
      </c>
      <c r="AA193">
        <v>0</v>
      </c>
      <c r="AB193" t="s">
        <v>47</v>
      </c>
      <c r="AC193">
        <v>0</v>
      </c>
      <c r="AD193" t="s">
        <v>37</v>
      </c>
      <c r="AE193">
        <v>0</v>
      </c>
      <c r="AF193" t="s">
        <v>37</v>
      </c>
      <c r="AG193">
        <v>0</v>
      </c>
      <c r="AH193" t="s">
        <v>31</v>
      </c>
      <c r="AI193">
        <v>0</v>
      </c>
      <c r="AJ193" t="s">
        <v>31</v>
      </c>
      <c r="AK193">
        <v>0</v>
      </c>
      <c r="AL193" t="s">
        <v>31</v>
      </c>
      <c r="AM193">
        <v>0</v>
      </c>
      <c r="AN193" t="s">
        <v>31</v>
      </c>
      <c r="AO193">
        <v>0</v>
      </c>
      <c r="AP193" t="s">
        <v>31</v>
      </c>
      <c r="AQ193">
        <v>0</v>
      </c>
    </row>
    <row r="194" spans="1:55" x14ac:dyDescent="0.2">
      <c r="A194" t="s">
        <v>381</v>
      </c>
      <c r="B194" s="3">
        <v>44348</v>
      </c>
      <c r="C194">
        <v>118</v>
      </c>
      <c r="D194" t="s">
        <v>396</v>
      </c>
      <c r="E194" t="s">
        <v>32</v>
      </c>
      <c r="F194" s="9" t="s">
        <v>33</v>
      </c>
      <c r="G194" t="s">
        <v>26</v>
      </c>
      <c r="H194" t="s">
        <v>34</v>
      </c>
      <c r="I194" t="s">
        <v>35</v>
      </c>
      <c r="J194" t="s">
        <v>36</v>
      </c>
      <c r="K194" t="s">
        <v>37</v>
      </c>
      <c r="L194" t="s">
        <v>29</v>
      </c>
      <c r="M194" t="s">
        <v>30</v>
      </c>
      <c r="N194" t="s">
        <v>34</v>
      </c>
      <c r="O194" t="s">
        <v>35</v>
      </c>
      <c r="P194" t="s">
        <v>36</v>
      </c>
      <c r="Q194" t="s">
        <v>37</v>
      </c>
      <c r="R194" s="1">
        <v>44348.404317129629</v>
      </c>
      <c r="S194" s="1">
        <v>44348.488425925927</v>
      </c>
      <c r="T194">
        <v>0</v>
      </c>
      <c r="U194">
        <v>0</v>
      </c>
      <c r="V194" s="2">
        <v>0</v>
      </c>
      <c r="W194">
        <v>0</v>
      </c>
      <c r="X194" t="s">
        <v>37</v>
      </c>
      <c r="Y194">
        <v>0</v>
      </c>
      <c r="Z194" t="s">
        <v>37</v>
      </c>
      <c r="AA194">
        <v>0</v>
      </c>
      <c r="AB194" t="s">
        <v>37</v>
      </c>
      <c r="AC194">
        <v>0</v>
      </c>
      <c r="AD194" t="s">
        <v>37</v>
      </c>
      <c r="AE194">
        <v>0</v>
      </c>
      <c r="AF194" t="s">
        <v>37</v>
      </c>
      <c r="AG194">
        <v>0</v>
      </c>
      <c r="AH194" t="s">
        <v>31</v>
      </c>
      <c r="AI194">
        <v>0</v>
      </c>
      <c r="AJ194" t="s">
        <v>31</v>
      </c>
      <c r="AK194">
        <v>0</v>
      </c>
      <c r="AL194" t="s">
        <v>31</v>
      </c>
      <c r="AM194">
        <v>0</v>
      </c>
      <c r="AN194" t="s">
        <v>31</v>
      </c>
      <c r="AO194">
        <v>0</v>
      </c>
      <c r="AP194" t="s">
        <v>31</v>
      </c>
      <c r="AQ194">
        <v>0</v>
      </c>
    </row>
    <row r="195" spans="1:55" x14ac:dyDescent="0.2">
      <c r="A195" t="s">
        <v>381</v>
      </c>
      <c r="B195" s="3">
        <v>44348</v>
      </c>
      <c r="C195">
        <v>119</v>
      </c>
      <c r="D195" t="s">
        <v>385</v>
      </c>
      <c r="E195" t="s">
        <v>32</v>
      </c>
      <c r="F195" s="9" t="s">
        <v>33</v>
      </c>
      <c r="G195" t="s">
        <v>26</v>
      </c>
      <c r="H195" t="s">
        <v>34</v>
      </c>
      <c r="I195" t="s">
        <v>35</v>
      </c>
      <c r="J195" t="s">
        <v>36</v>
      </c>
      <c r="K195" t="s">
        <v>37</v>
      </c>
      <c r="L195" t="s">
        <v>29</v>
      </c>
      <c r="M195" t="s">
        <v>30</v>
      </c>
      <c r="N195" t="s">
        <v>34</v>
      </c>
      <c r="O195" t="s">
        <v>35</v>
      </c>
      <c r="P195" t="s">
        <v>36</v>
      </c>
      <c r="Q195" t="s">
        <v>37</v>
      </c>
      <c r="R195" s="1">
        <v>44348.581678240742</v>
      </c>
      <c r="S195" s="1">
        <v>44348.639560185184</v>
      </c>
      <c r="T195">
        <v>0</v>
      </c>
      <c r="U195">
        <v>0</v>
      </c>
      <c r="V195" s="2">
        <v>0</v>
      </c>
      <c r="W195">
        <v>0</v>
      </c>
      <c r="X195" t="s">
        <v>37</v>
      </c>
      <c r="Y195">
        <v>0</v>
      </c>
      <c r="Z195" t="s">
        <v>37</v>
      </c>
      <c r="AA195">
        <v>0</v>
      </c>
      <c r="AB195" t="s">
        <v>37</v>
      </c>
      <c r="AC195">
        <v>0</v>
      </c>
      <c r="AD195" t="s">
        <v>37</v>
      </c>
      <c r="AE195">
        <v>0</v>
      </c>
      <c r="AF195" t="s">
        <v>37</v>
      </c>
      <c r="AG195">
        <v>0</v>
      </c>
      <c r="AH195" t="s">
        <v>37</v>
      </c>
      <c r="AI195">
        <v>0</v>
      </c>
      <c r="AJ195" t="s">
        <v>37</v>
      </c>
      <c r="AK195">
        <v>0</v>
      </c>
      <c r="AL195" t="s">
        <v>31</v>
      </c>
      <c r="AM195">
        <v>0</v>
      </c>
      <c r="AN195" t="s">
        <v>31</v>
      </c>
      <c r="AO195">
        <v>0</v>
      </c>
      <c r="AP195" t="s">
        <v>31</v>
      </c>
      <c r="AQ195">
        <v>0</v>
      </c>
    </row>
    <row r="196" spans="1:55" x14ac:dyDescent="0.2">
      <c r="A196" t="s">
        <v>381</v>
      </c>
      <c r="B196" s="3">
        <v>44349</v>
      </c>
      <c r="C196">
        <v>121</v>
      </c>
      <c r="D196" t="s">
        <v>385</v>
      </c>
      <c r="E196" t="s">
        <v>32</v>
      </c>
      <c r="F196" s="9" t="s">
        <v>33</v>
      </c>
      <c r="G196" t="s">
        <v>26</v>
      </c>
      <c r="H196" t="s">
        <v>34</v>
      </c>
      <c r="I196" t="s">
        <v>35</v>
      </c>
      <c r="J196" t="s">
        <v>36</v>
      </c>
      <c r="K196" t="s">
        <v>37</v>
      </c>
      <c r="L196" t="s">
        <v>29</v>
      </c>
      <c r="M196" t="s">
        <v>30</v>
      </c>
      <c r="N196" t="s">
        <v>34</v>
      </c>
      <c r="O196" t="s">
        <v>35</v>
      </c>
      <c r="P196" t="s">
        <v>36</v>
      </c>
      <c r="Q196" t="s">
        <v>37</v>
      </c>
      <c r="R196" s="1">
        <v>44349.566793981481</v>
      </c>
      <c r="S196" s="1">
        <v>44349.632847222223</v>
      </c>
      <c r="T196">
        <v>6</v>
      </c>
      <c r="U196">
        <v>6</v>
      </c>
      <c r="V196" s="2">
        <v>1</v>
      </c>
      <c r="W196">
        <v>0</v>
      </c>
      <c r="X196" t="s">
        <v>37</v>
      </c>
      <c r="Y196">
        <v>0</v>
      </c>
      <c r="Z196" t="s">
        <v>37</v>
      </c>
      <c r="AA196">
        <v>0</v>
      </c>
      <c r="AB196" t="s">
        <v>30</v>
      </c>
      <c r="AC196">
        <v>0</v>
      </c>
      <c r="AD196" t="s">
        <v>30</v>
      </c>
      <c r="AE196">
        <v>0</v>
      </c>
      <c r="AF196" t="s">
        <v>30</v>
      </c>
      <c r="AG196">
        <v>0</v>
      </c>
      <c r="AH196" t="s">
        <v>37</v>
      </c>
      <c r="AI196">
        <v>0</v>
      </c>
      <c r="AJ196" t="s">
        <v>30</v>
      </c>
      <c r="AK196">
        <v>0</v>
      </c>
      <c r="AL196" t="s">
        <v>30</v>
      </c>
      <c r="AM196">
        <v>0</v>
      </c>
      <c r="AN196" t="s">
        <v>30</v>
      </c>
      <c r="AO196">
        <v>0</v>
      </c>
      <c r="AP196" t="s">
        <v>31</v>
      </c>
      <c r="AQ196">
        <v>0</v>
      </c>
    </row>
    <row r="197" spans="1:55" x14ac:dyDescent="0.2">
      <c r="A197" t="s">
        <v>381</v>
      </c>
      <c r="B197" s="3">
        <v>44350</v>
      </c>
      <c r="C197">
        <v>123</v>
      </c>
      <c r="D197" t="s">
        <v>382</v>
      </c>
      <c r="E197" t="s">
        <v>32</v>
      </c>
      <c r="F197" s="9" t="s">
        <v>33</v>
      </c>
      <c r="G197" t="s">
        <v>26</v>
      </c>
      <c r="H197" t="s">
        <v>34</v>
      </c>
      <c r="I197" t="s">
        <v>35</v>
      </c>
      <c r="J197" t="s">
        <v>36</v>
      </c>
      <c r="K197" t="s">
        <v>37</v>
      </c>
      <c r="L197" t="s">
        <v>29</v>
      </c>
      <c r="M197" t="s">
        <v>30</v>
      </c>
      <c r="N197" t="s">
        <v>34</v>
      </c>
      <c r="O197" t="s">
        <v>35</v>
      </c>
      <c r="P197" t="s">
        <v>36</v>
      </c>
      <c r="Q197" t="s">
        <v>37</v>
      </c>
      <c r="R197" s="1">
        <v>44350.396921296298</v>
      </c>
      <c r="S197" s="1">
        <v>44350.417627314811</v>
      </c>
      <c r="T197">
        <v>0</v>
      </c>
      <c r="U197">
        <v>0</v>
      </c>
      <c r="V197" s="2">
        <v>0</v>
      </c>
      <c r="W197">
        <v>0</v>
      </c>
      <c r="X197" t="s">
        <v>37</v>
      </c>
      <c r="Y197">
        <v>0</v>
      </c>
      <c r="Z197" t="s">
        <v>37</v>
      </c>
      <c r="AA197">
        <v>0</v>
      </c>
      <c r="AB197" t="s">
        <v>37</v>
      </c>
      <c r="AC197">
        <v>0</v>
      </c>
      <c r="AD197" t="s">
        <v>37</v>
      </c>
      <c r="AE197">
        <v>0</v>
      </c>
      <c r="AF197" t="s">
        <v>31</v>
      </c>
      <c r="AG197">
        <v>0</v>
      </c>
      <c r="AH197" t="s">
        <v>31</v>
      </c>
      <c r="AI197">
        <v>0</v>
      </c>
      <c r="AJ197" t="s">
        <v>31</v>
      </c>
      <c r="AK197">
        <v>0</v>
      </c>
      <c r="AL197" t="s">
        <v>31</v>
      </c>
      <c r="AM197">
        <v>0</v>
      </c>
      <c r="AN197" t="s">
        <v>31</v>
      </c>
      <c r="AO197">
        <v>0</v>
      </c>
      <c r="AP197" t="s">
        <v>31</v>
      </c>
      <c r="AQ197">
        <v>0</v>
      </c>
    </row>
    <row r="198" spans="1:55" x14ac:dyDescent="0.2">
      <c r="A198" t="s">
        <v>381</v>
      </c>
      <c r="B198" s="3">
        <v>44351</v>
      </c>
      <c r="C198">
        <v>124</v>
      </c>
      <c r="D198" t="s">
        <v>390</v>
      </c>
      <c r="E198" t="s">
        <v>32</v>
      </c>
      <c r="F198" s="9" t="s">
        <v>33</v>
      </c>
      <c r="G198" t="s">
        <v>26</v>
      </c>
      <c r="H198" t="s">
        <v>34</v>
      </c>
      <c r="I198" t="s">
        <v>35</v>
      </c>
      <c r="J198" t="s">
        <v>36</v>
      </c>
      <c r="K198" t="s">
        <v>37</v>
      </c>
      <c r="L198" t="s">
        <v>29</v>
      </c>
      <c r="M198" t="s">
        <v>30</v>
      </c>
      <c r="N198" t="s">
        <v>34</v>
      </c>
      <c r="O198" t="s">
        <v>35</v>
      </c>
      <c r="P198" t="s">
        <v>36</v>
      </c>
      <c r="Q198" t="s">
        <v>37</v>
      </c>
      <c r="R198" s="1">
        <v>44351.414872685185</v>
      </c>
      <c r="S198" s="1">
        <v>44351.466273148151</v>
      </c>
      <c r="T198">
        <v>7</v>
      </c>
      <c r="U198">
        <v>7</v>
      </c>
      <c r="V198" s="2">
        <v>1</v>
      </c>
      <c r="W198">
        <v>0</v>
      </c>
      <c r="X198" t="s">
        <v>30</v>
      </c>
      <c r="Y198">
        <v>0</v>
      </c>
      <c r="Z198" t="s">
        <v>30</v>
      </c>
      <c r="AA198">
        <v>0</v>
      </c>
      <c r="AB198" t="s">
        <v>30</v>
      </c>
      <c r="AC198">
        <v>0</v>
      </c>
      <c r="AD198" t="s">
        <v>30</v>
      </c>
      <c r="AE198">
        <v>0</v>
      </c>
      <c r="AF198" t="s">
        <v>30</v>
      </c>
      <c r="AG198">
        <v>0</v>
      </c>
      <c r="AH198" t="s">
        <v>37</v>
      </c>
      <c r="AI198">
        <v>0</v>
      </c>
      <c r="AJ198" t="s">
        <v>37</v>
      </c>
      <c r="AK198">
        <v>0</v>
      </c>
      <c r="AL198" t="s">
        <v>30</v>
      </c>
      <c r="AM198">
        <v>0</v>
      </c>
      <c r="AN198" t="s">
        <v>30</v>
      </c>
      <c r="AO198">
        <v>0</v>
      </c>
      <c r="AP198" t="s">
        <v>31</v>
      </c>
      <c r="AQ198">
        <v>0</v>
      </c>
    </row>
    <row r="199" spans="1:55" x14ac:dyDescent="0.2">
      <c r="A199" t="s">
        <v>381</v>
      </c>
      <c r="B199" s="3">
        <v>44351</v>
      </c>
      <c r="C199">
        <v>125</v>
      </c>
      <c r="D199" t="s">
        <v>387</v>
      </c>
      <c r="E199" t="s">
        <v>32</v>
      </c>
      <c r="F199" s="9" t="s">
        <v>33</v>
      </c>
      <c r="G199" t="s">
        <v>26</v>
      </c>
      <c r="H199" t="s">
        <v>34</v>
      </c>
      <c r="I199" t="s">
        <v>35</v>
      </c>
      <c r="J199" t="s">
        <v>36</v>
      </c>
      <c r="K199" t="s">
        <v>37</v>
      </c>
      <c r="L199" t="s">
        <v>29</v>
      </c>
      <c r="M199" t="s">
        <v>30</v>
      </c>
      <c r="N199" t="s">
        <v>34</v>
      </c>
      <c r="O199" t="s">
        <v>35</v>
      </c>
      <c r="P199" t="s">
        <v>36</v>
      </c>
      <c r="Q199" t="s">
        <v>37</v>
      </c>
      <c r="R199" s="1">
        <v>44351.548078703701</v>
      </c>
      <c r="S199" s="1">
        <v>44351.548078703701</v>
      </c>
      <c r="T199">
        <v>3</v>
      </c>
      <c r="U199">
        <v>3</v>
      </c>
      <c r="V199" s="2">
        <v>1</v>
      </c>
      <c r="W199">
        <v>0</v>
      </c>
      <c r="X199" t="s">
        <v>30</v>
      </c>
      <c r="Y199">
        <v>0</v>
      </c>
      <c r="Z199" t="s">
        <v>37</v>
      </c>
      <c r="AA199">
        <v>0</v>
      </c>
      <c r="AB199" t="s">
        <v>37</v>
      </c>
      <c r="AC199">
        <v>0</v>
      </c>
      <c r="AD199" t="s">
        <v>37</v>
      </c>
      <c r="AE199">
        <v>0</v>
      </c>
      <c r="AF199" t="s">
        <v>30</v>
      </c>
      <c r="AG199">
        <v>0</v>
      </c>
      <c r="AH199" t="s">
        <v>30</v>
      </c>
      <c r="AI199">
        <v>0</v>
      </c>
      <c r="AJ199" t="s">
        <v>31</v>
      </c>
      <c r="AK199">
        <v>0</v>
      </c>
      <c r="AL199" t="s">
        <v>31</v>
      </c>
      <c r="AM199">
        <v>0</v>
      </c>
      <c r="AN199" t="s">
        <v>31</v>
      </c>
      <c r="AO199">
        <v>0</v>
      </c>
      <c r="AP199" t="s">
        <v>31</v>
      </c>
      <c r="AQ199">
        <v>0</v>
      </c>
    </row>
    <row r="200" spans="1:55" x14ac:dyDescent="0.2">
      <c r="A200" t="s">
        <v>381</v>
      </c>
      <c r="B200" s="3">
        <v>44354</v>
      </c>
      <c r="C200">
        <v>126</v>
      </c>
      <c r="D200" t="s">
        <v>397</v>
      </c>
      <c r="E200" t="s">
        <v>32</v>
      </c>
      <c r="F200" s="9" t="s">
        <v>33</v>
      </c>
      <c r="G200" t="s">
        <v>26</v>
      </c>
      <c r="H200" t="s">
        <v>34</v>
      </c>
      <c r="I200" t="s">
        <v>35</v>
      </c>
      <c r="J200" t="s">
        <v>36</v>
      </c>
      <c r="K200" t="s">
        <v>37</v>
      </c>
      <c r="L200" t="s">
        <v>29</v>
      </c>
      <c r="M200" t="s">
        <v>30</v>
      </c>
      <c r="N200" t="s">
        <v>34</v>
      </c>
      <c r="O200" t="s">
        <v>35</v>
      </c>
      <c r="P200" t="s">
        <v>36</v>
      </c>
      <c r="Q200" t="s">
        <v>37</v>
      </c>
      <c r="R200" s="1">
        <v>44354.397407407407</v>
      </c>
      <c r="S200" s="1">
        <v>44354.456550925926</v>
      </c>
      <c r="T200">
        <v>4</v>
      </c>
      <c r="U200">
        <v>4</v>
      </c>
      <c r="V200" s="2">
        <v>1</v>
      </c>
      <c r="W200">
        <v>0</v>
      </c>
      <c r="X200" t="s">
        <v>37</v>
      </c>
      <c r="Y200">
        <v>0</v>
      </c>
      <c r="Z200" t="s">
        <v>37</v>
      </c>
      <c r="AA200">
        <v>0</v>
      </c>
      <c r="AB200" t="s">
        <v>30</v>
      </c>
      <c r="AC200">
        <v>0</v>
      </c>
      <c r="AD200" t="s">
        <v>30</v>
      </c>
      <c r="AE200">
        <v>0</v>
      </c>
      <c r="AF200" t="s">
        <v>30</v>
      </c>
      <c r="AG200">
        <v>0</v>
      </c>
      <c r="AH200" t="s">
        <v>30</v>
      </c>
      <c r="AI200">
        <v>0</v>
      </c>
      <c r="AJ200" t="s">
        <v>31</v>
      </c>
      <c r="AK200">
        <v>0</v>
      </c>
      <c r="AL200" t="s">
        <v>31</v>
      </c>
      <c r="AM200">
        <v>0</v>
      </c>
      <c r="AN200" t="s">
        <v>31</v>
      </c>
      <c r="AO200">
        <v>0</v>
      </c>
      <c r="AP200" t="s">
        <v>31</v>
      </c>
      <c r="AQ200">
        <v>0</v>
      </c>
    </row>
    <row r="201" spans="1:55" x14ac:dyDescent="0.2">
      <c r="A201" t="s">
        <v>381</v>
      </c>
      <c r="B201" s="3">
        <v>44354</v>
      </c>
      <c r="C201">
        <v>127</v>
      </c>
      <c r="D201" t="s">
        <v>383</v>
      </c>
      <c r="E201" t="s">
        <v>32</v>
      </c>
      <c r="F201" s="9" t="s">
        <v>33</v>
      </c>
      <c r="G201" t="s">
        <v>26</v>
      </c>
      <c r="H201" t="s">
        <v>34</v>
      </c>
      <c r="I201" t="s">
        <v>35</v>
      </c>
      <c r="J201" t="s">
        <v>36</v>
      </c>
      <c r="K201" t="s">
        <v>37</v>
      </c>
      <c r="L201" t="s">
        <v>29</v>
      </c>
      <c r="M201" t="s">
        <v>30</v>
      </c>
      <c r="N201" t="s">
        <v>34</v>
      </c>
      <c r="O201" t="s">
        <v>35</v>
      </c>
      <c r="P201" t="s">
        <v>36</v>
      </c>
      <c r="Q201" t="s">
        <v>37</v>
      </c>
      <c r="R201" s="1">
        <v>44354.539953703701</v>
      </c>
      <c r="S201" s="1">
        <v>44354.553912037038</v>
      </c>
      <c r="T201">
        <v>2</v>
      </c>
      <c r="U201">
        <v>2</v>
      </c>
      <c r="V201" s="2">
        <v>1</v>
      </c>
      <c r="W201">
        <v>0</v>
      </c>
      <c r="X201" t="s">
        <v>30</v>
      </c>
      <c r="Y201">
        <v>0</v>
      </c>
      <c r="Z201" t="s">
        <v>37</v>
      </c>
      <c r="AA201">
        <v>0</v>
      </c>
      <c r="AB201" t="s">
        <v>30</v>
      </c>
      <c r="AC201">
        <v>0</v>
      </c>
      <c r="AD201" t="s">
        <v>31</v>
      </c>
      <c r="AE201">
        <v>0</v>
      </c>
      <c r="AF201" t="s">
        <v>31</v>
      </c>
      <c r="AG201">
        <v>0</v>
      </c>
      <c r="AH201" t="s">
        <v>31</v>
      </c>
      <c r="AI201">
        <v>0</v>
      </c>
      <c r="AJ201" t="s">
        <v>31</v>
      </c>
      <c r="AK201">
        <v>0</v>
      </c>
      <c r="AL201" t="s">
        <v>31</v>
      </c>
      <c r="AM201">
        <v>0</v>
      </c>
      <c r="AN201" t="s">
        <v>31</v>
      </c>
      <c r="AO201">
        <v>0</v>
      </c>
      <c r="AP201" t="s">
        <v>31</v>
      </c>
      <c r="AQ201">
        <v>0</v>
      </c>
    </row>
    <row r="202" spans="1:55" x14ac:dyDescent="0.2">
      <c r="A202" t="s">
        <v>381</v>
      </c>
      <c r="B202" s="3">
        <v>44355</v>
      </c>
      <c r="C202">
        <v>128</v>
      </c>
      <c r="D202" t="s">
        <v>406</v>
      </c>
      <c r="E202" t="s">
        <v>32</v>
      </c>
      <c r="F202" s="9" t="s">
        <v>33</v>
      </c>
      <c r="G202" t="s">
        <v>26</v>
      </c>
      <c r="H202" t="s">
        <v>34</v>
      </c>
      <c r="I202" t="s">
        <v>35</v>
      </c>
      <c r="J202" t="s">
        <v>36</v>
      </c>
      <c r="K202" t="s">
        <v>37</v>
      </c>
      <c r="L202" t="s">
        <v>29</v>
      </c>
      <c r="M202" t="s">
        <v>30</v>
      </c>
      <c r="N202" t="s">
        <v>34</v>
      </c>
      <c r="O202" t="s">
        <v>35</v>
      </c>
      <c r="P202" t="s">
        <v>36</v>
      </c>
      <c r="Q202" t="s">
        <v>37</v>
      </c>
      <c r="R202" s="1">
        <v>44355.414247685185</v>
      </c>
      <c r="S202" s="1">
        <v>44355.416898148149</v>
      </c>
      <c r="T202">
        <v>2</v>
      </c>
      <c r="U202">
        <v>2</v>
      </c>
      <c r="V202" s="2">
        <v>1</v>
      </c>
      <c r="W202">
        <v>0</v>
      </c>
      <c r="X202" t="s">
        <v>30</v>
      </c>
      <c r="Y202">
        <v>0</v>
      </c>
      <c r="Z202" t="s">
        <v>30</v>
      </c>
      <c r="AA202">
        <v>0</v>
      </c>
      <c r="AB202" t="s">
        <v>31</v>
      </c>
      <c r="AC202">
        <v>0</v>
      </c>
      <c r="AD202" t="s">
        <v>31</v>
      </c>
      <c r="AE202">
        <v>0</v>
      </c>
      <c r="AF202" t="s">
        <v>31</v>
      </c>
      <c r="AG202">
        <v>0</v>
      </c>
      <c r="AH202" t="s">
        <v>31</v>
      </c>
      <c r="AI202">
        <v>0</v>
      </c>
      <c r="AJ202" t="s">
        <v>31</v>
      </c>
      <c r="AK202">
        <v>0</v>
      </c>
      <c r="AL202" t="s">
        <v>31</v>
      </c>
      <c r="AM202">
        <v>0</v>
      </c>
      <c r="AN202" t="s">
        <v>31</v>
      </c>
      <c r="AO202">
        <v>0</v>
      </c>
      <c r="AP202" t="s">
        <v>31</v>
      </c>
      <c r="AQ202">
        <v>0</v>
      </c>
    </row>
    <row r="203" spans="1:55" x14ac:dyDescent="0.2">
      <c r="A203" t="s">
        <v>381</v>
      </c>
      <c r="B203" s="3">
        <v>44355</v>
      </c>
      <c r="C203">
        <v>129</v>
      </c>
      <c r="D203" t="s">
        <v>385</v>
      </c>
      <c r="E203" t="s">
        <v>32</v>
      </c>
      <c r="F203" s="9" t="s">
        <v>33</v>
      </c>
      <c r="G203" t="s">
        <v>26</v>
      </c>
      <c r="H203" t="s">
        <v>34</v>
      </c>
      <c r="I203" t="s">
        <v>35</v>
      </c>
      <c r="J203" t="s">
        <v>36</v>
      </c>
      <c r="K203" t="s">
        <v>37</v>
      </c>
      <c r="L203" t="s">
        <v>29</v>
      </c>
      <c r="M203" t="s">
        <v>30</v>
      </c>
      <c r="N203" t="s">
        <v>34</v>
      </c>
      <c r="O203" t="s">
        <v>35</v>
      </c>
      <c r="P203" t="s">
        <v>36</v>
      </c>
      <c r="Q203" t="s">
        <v>37</v>
      </c>
      <c r="R203" s="1">
        <v>44355.551817129628</v>
      </c>
      <c r="S203" s="1">
        <v>44355.620810185188</v>
      </c>
      <c r="T203">
        <v>5</v>
      </c>
      <c r="U203">
        <v>6</v>
      </c>
      <c r="V203" s="2">
        <v>0.83</v>
      </c>
      <c r="W203">
        <v>0</v>
      </c>
      <c r="X203" t="s">
        <v>44</v>
      </c>
      <c r="Y203">
        <v>0</v>
      </c>
      <c r="Z203" t="s">
        <v>37</v>
      </c>
      <c r="AA203">
        <v>0</v>
      </c>
      <c r="AB203" t="s">
        <v>37</v>
      </c>
      <c r="AC203">
        <v>0</v>
      </c>
      <c r="AD203" t="s">
        <v>37</v>
      </c>
      <c r="AE203">
        <v>0</v>
      </c>
      <c r="AF203" t="s">
        <v>37</v>
      </c>
      <c r="AG203">
        <v>0</v>
      </c>
      <c r="AH203" t="s">
        <v>37</v>
      </c>
      <c r="AI203">
        <v>0</v>
      </c>
      <c r="AJ203" t="s">
        <v>37</v>
      </c>
      <c r="AK203">
        <v>0</v>
      </c>
      <c r="AL203" t="s">
        <v>37</v>
      </c>
      <c r="AM203">
        <v>0</v>
      </c>
      <c r="AN203" t="s">
        <v>37</v>
      </c>
      <c r="AO203">
        <v>0</v>
      </c>
      <c r="AP203" t="s">
        <v>37</v>
      </c>
      <c r="AQ203">
        <v>0</v>
      </c>
      <c r="AR203" t="s">
        <v>37</v>
      </c>
      <c r="AS203">
        <v>0</v>
      </c>
      <c r="AT203" t="s">
        <v>30</v>
      </c>
      <c r="AU203">
        <v>0</v>
      </c>
      <c r="AV203" t="s">
        <v>30</v>
      </c>
      <c r="AW203">
        <v>0</v>
      </c>
      <c r="AX203" t="s">
        <v>30</v>
      </c>
      <c r="AY203">
        <v>0</v>
      </c>
      <c r="AZ203" t="s">
        <v>30</v>
      </c>
      <c r="BA203">
        <v>0</v>
      </c>
      <c r="BB203" t="s">
        <v>30</v>
      </c>
      <c r="BC203">
        <v>0</v>
      </c>
    </row>
    <row r="204" spans="1:55" x14ac:dyDescent="0.2">
      <c r="A204" t="s">
        <v>381</v>
      </c>
      <c r="B204" s="3">
        <v>44356</v>
      </c>
      <c r="C204">
        <v>130</v>
      </c>
      <c r="D204" t="s">
        <v>398</v>
      </c>
      <c r="E204" t="s">
        <v>32</v>
      </c>
      <c r="F204" s="9" t="s">
        <v>33</v>
      </c>
      <c r="G204" t="s">
        <v>26</v>
      </c>
      <c r="H204" t="s">
        <v>34</v>
      </c>
      <c r="I204" t="s">
        <v>35</v>
      </c>
      <c r="J204" t="s">
        <v>36</v>
      </c>
      <c r="K204" t="s">
        <v>37</v>
      </c>
      <c r="L204" t="s">
        <v>29</v>
      </c>
      <c r="M204" t="s">
        <v>30</v>
      </c>
      <c r="N204" t="s">
        <v>34</v>
      </c>
      <c r="O204" t="s">
        <v>35</v>
      </c>
      <c r="P204" t="s">
        <v>36</v>
      </c>
      <c r="Q204" t="s">
        <v>37</v>
      </c>
      <c r="R204" s="1">
        <v>44356.405011574076</v>
      </c>
      <c r="S204" s="1">
        <v>44356.420034722221</v>
      </c>
      <c r="T204">
        <v>2</v>
      </c>
      <c r="U204">
        <v>2</v>
      </c>
      <c r="V204" s="2">
        <v>1</v>
      </c>
      <c r="W204">
        <v>0</v>
      </c>
      <c r="X204" t="s">
        <v>37</v>
      </c>
      <c r="Y204">
        <v>0</v>
      </c>
      <c r="Z204" t="s">
        <v>30</v>
      </c>
      <c r="AA204">
        <v>0</v>
      </c>
      <c r="AB204" t="s">
        <v>30</v>
      </c>
      <c r="AC204">
        <v>0</v>
      </c>
      <c r="AD204" t="s">
        <v>31</v>
      </c>
      <c r="AE204">
        <v>0</v>
      </c>
      <c r="AF204" t="s">
        <v>31</v>
      </c>
      <c r="AG204">
        <v>0</v>
      </c>
      <c r="AH204" t="s">
        <v>31</v>
      </c>
      <c r="AI204">
        <v>0</v>
      </c>
      <c r="AJ204" t="s">
        <v>31</v>
      </c>
      <c r="AK204">
        <v>0</v>
      </c>
      <c r="AL204" t="s">
        <v>31</v>
      </c>
      <c r="AM204">
        <v>0</v>
      </c>
      <c r="AN204" t="s">
        <v>31</v>
      </c>
      <c r="AO204">
        <v>0</v>
      </c>
      <c r="AP204" t="s">
        <v>31</v>
      </c>
      <c r="AQ204">
        <v>0</v>
      </c>
    </row>
    <row r="205" spans="1:55" x14ac:dyDescent="0.2">
      <c r="A205" t="s">
        <v>381</v>
      </c>
      <c r="B205" s="3">
        <v>44356</v>
      </c>
      <c r="C205">
        <v>131</v>
      </c>
      <c r="D205" t="s">
        <v>383</v>
      </c>
      <c r="E205" t="s">
        <v>32</v>
      </c>
      <c r="F205" s="9" t="s">
        <v>33</v>
      </c>
      <c r="G205" t="s">
        <v>26</v>
      </c>
      <c r="H205" t="s">
        <v>34</v>
      </c>
      <c r="I205" t="s">
        <v>35</v>
      </c>
      <c r="J205" t="s">
        <v>36</v>
      </c>
      <c r="K205" t="s">
        <v>37</v>
      </c>
      <c r="L205" t="s">
        <v>29</v>
      </c>
      <c r="M205" t="s">
        <v>30</v>
      </c>
      <c r="N205" t="s">
        <v>34</v>
      </c>
      <c r="O205" t="s">
        <v>35</v>
      </c>
      <c r="P205" t="s">
        <v>36</v>
      </c>
      <c r="Q205" t="s">
        <v>37</v>
      </c>
      <c r="R205" s="1">
        <v>44356.54886574074</v>
      </c>
      <c r="S205" s="1">
        <v>44356.658530092594</v>
      </c>
      <c r="T205">
        <v>3</v>
      </c>
      <c r="U205">
        <v>4</v>
      </c>
      <c r="V205" s="2">
        <v>0.75</v>
      </c>
      <c r="W205">
        <v>0</v>
      </c>
      <c r="X205" t="s">
        <v>37</v>
      </c>
      <c r="Y205">
        <v>0</v>
      </c>
      <c r="Z205" t="s">
        <v>30</v>
      </c>
      <c r="AA205">
        <v>0</v>
      </c>
      <c r="AB205" t="s">
        <v>44</v>
      </c>
      <c r="AC205">
        <v>0</v>
      </c>
      <c r="AD205" t="s">
        <v>37</v>
      </c>
      <c r="AE205">
        <v>0</v>
      </c>
      <c r="AF205" t="s">
        <v>30</v>
      </c>
      <c r="AG205">
        <v>0</v>
      </c>
      <c r="AH205" t="s">
        <v>37</v>
      </c>
      <c r="AI205">
        <v>0</v>
      </c>
      <c r="AJ205" t="s">
        <v>30</v>
      </c>
      <c r="AK205">
        <v>0</v>
      </c>
      <c r="AL205" t="s">
        <v>31</v>
      </c>
      <c r="AM205">
        <v>0</v>
      </c>
      <c r="AN205" t="s">
        <v>31</v>
      </c>
      <c r="AO205">
        <v>0</v>
      </c>
      <c r="AP205" t="s">
        <v>31</v>
      </c>
      <c r="AQ205">
        <v>0</v>
      </c>
    </row>
    <row r="206" spans="1:55" x14ac:dyDescent="0.2">
      <c r="A206" t="s">
        <v>381</v>
      </c>
      <c r="B206" s="3">
        <v>44357</v>
      </c>
      <c r="C206">
        <v>132</v>
      </c>
      <c r="D206" t="s">
        <v>399</v>
      </c>
      <c r="E206" t="s">
        <v>32</v>
      </c>
      <c r="F206" s="9" t="s">
        <v>33</v>
      </c>
      <c r="G206" t="s">
        <v>26</v>
      </c>
      <c r="H206" t="s">
        <v>34</v>
      </c>
      <c r="I206" t="s">
        <v>35</v>
      </c>
      <c r="J206" t="s">
        <v>36</v>
      </c>
      <c r="K206" t="s">
        <v>37</v>
      </c>
      <c r="L206" t="s">
        <v>29</v>
      </c>
      <c r="M206" t="s">
        <v>30</v>
      </c>
      <c r="N206" t="s">
        <v>34</v>
      </c>
      <c r="O206" t="s">
        <v>35</v>
      </c>
      <c r="P206" t="s">
        <v>36</v>
      </c>
      <c r="Q206" t="s">
        <v>37</v>
      </c>
      <c r="R206" s="1">
        <v>44357.357662037037</v>
      </c>
      <c r="S206" s="1">
        <v>44357.447766203702</v>
      </c>
      <c r="T206">
        <v>3</v>
      </c>
      <c r="U206">
        <v>3</v>
      </c>
      <c r="V206" s="2">
        <v>1</v>
      </c>
      <c r="W206">
        <v>0</v>
      </c>
      <c r="X206" t="s">
        <v>30</v>
      </c>
      <c r="Y206">
        <v>0</v>
      </c>
      <c r="Z206" t="s">
        <v>30</v>
      </c>
      <c r="AA206">
        <v>0</v>
      </c>
      <c r="AB206" t="s">
        <v>30</v>
      </c>
      <c r="AC206">
        <v>0</v>
      </c>
      <c r="AD206" t="s">
        <v>31</v>
      </c>
      <c r="AE206">
        <v>0</v>
      </c>
      <c r="AF206" t="s">
        <v>31</v>
      </c>
      <c r="AG206">
        <v>0</v>
      </c>
      <c r="AH206" t="s">
        <v>31</v>
      </c>
      <c r="AI206">
        <v>0</v>
      </c>
      <c r="AJ206" t="s">
        <v>31</v>
      </c>
      <c r="AK206">
        <v>0</v>
      </c>
      <c r="AL206" t="s">
        <v>31</v>
      </c>
      <c r="AM206">
        <v>0</v>
      </c>
      <c r="AN206" t="s">
        <v>31</v>
      </c>
      <c r="AO206">
        <v>0</v>
      </c>
      <c r="AP206" t="s">
        <v>31</v>
      </c>
      <c r="AQ206">
        <v>0</v>
      </c>
    </row>
    <row r="207" spans="1:55" x14ac:dyDescent="0.2">
      <c r="A207" t="s">
        <v>381</v>
      </c>
      <c r="B207" s="3">
        <v>44358</v>
      </c>
      <c r="C207">
        <v>133</v>
      </c>
      <c r="D207" t="s">
        <v>390</v>
      </c>
      <c r="E207" t="s">
        <v>32</v>
      </c>
      <c r="F207" s="9" t="s">
        <v>33</v>
      </c>
      <c r="G207" t="s">
        <v>26</v>
      </c>
      <c r="H207" t="s">
        <v>34</v>
      </c>
      <c r="I207" t="s">
        <v>35</v>
      </c>
      <c r="J207" t="s">
        <v>36</v>
      </c>
      <c r="K207" t="s">
        <v>37</v>
      </c>
      <c r="L207" t="s">
        <v>29</v>
      </c>
      <c r="M207" t="s">
        <v>30</v>
      </c>
      <c r="N207" t="s">
        <v>34</v>
      </c>
      <c r="O207" t="s">
        <v>35</v>
      </c>
      <c r="P207" t="s">
        <v>36</v>
      </c>
      <c r="Q207" t="s">
        <v>37</v>
      </c>
      <c r="R207" s="1">
        <v>44358.396435185183</v>
      </c>
      <c r="S207" s="1">
        <v>44358.467361111114</v>
      </c>
      <c r="T207">
        <v>6</v>
      </c>
      <c r="U207">
        <v>6</v>
      </c>
      <c r="V207" s="2">
        <v>1</v>
      </c>
      <c r="W207">
        <v>0</v>
      </c>
      <c r="X207" t="s">
        <v>30</v>
      </c>
      <c r="Y207">
        <v>0</v>
      </c>
      <c r="Z207" t="s">
        <v>37</v>
      </c>
      <c r="AA207">
        <v>0</v>
      </c>
      <c r="AB207" t="s">
        <v>30</v>
      </c>
      <c r="AC207">
        <v>0</v>
      </c>
      <c r="AD207" t="s">
        <v>30</v>
      </c>
      <c r="AE207">
        <v>0</v>
      </c>
      <c r="AF207" t="s">
        <v>30</v>
      </c>
      <c r="AG207">
        <v>0</v>
      </c>
      <c r="AH207" t="s">
        <v>30</v>
      </c>
      <c r="AI207">
        <v>0</v>
      </c>
      <c r="AJ207" t="s">
        <v>30</v>
      </c>
      <c r="AK207">
        <v>0</v>
      </c>
      <c r="AL207" t="s">
        <v>31</v>
      </c>
      <c r="AM207">
        <v>0</v>
      </c>
      <c r="AN207" t="s">
        <v>31</v>
      </c>
      <c r="AO207">
        <v>0</v>
      </c>
      <c r="AP207" t="s">
        <v>31</v>
      </c>
      <c r="AQ207">
        <v>0</v>
      </c>
    </row>
    <row r="208" spans="1:55" x14ac:dyDescent="0.2">
      <c r="A208" t="s">
        <v>381</v>
      </c>
      <c r="B208" s="3">
        <v>44361</v>
      </c>
      <c r="C208">
        <v>135</v>
      </c>
      <c r="D208" t="s">
        <v>390</v>
      </c>
      <c r="E208" t="s">
        <v>32</v>
      </c>
      <c r="F208" s="9" t="s">
        <v>33</v>
      </c>
      <c r="G208" t="s">
        <v>26</v>
      </c>
      <c r="H208" t="s">
        <v>34</v>
      </c>
      <c r="I208" t="s">
        <v>35</v>
      </c>
      <c r="J208" t="s">
        <v>36</v>
      </c>
      <c r="K208" t="s">
        <v>37</v>
      </c>
      <c r="L208" t="s">
        <v>29</v>
      </c>
      <c r="M208" t="s">
        <v>30</v>
      </c>
      <c r="N208" t="s">
        <v>34</v>
      </c>
      <c r="O208" t="s">
        <v>35</v>
      </c>
      <c r="P208" t="s">
        <v>36</v>
      </c>
      <c r="Q208" t="s">
        <v>37</v>
      </c>
      <c r="R208" s="1">
        <v>44361.385520833333</v>
      </c>
      <c r="S208" s="1">
        <v>44361.436840277776</v>
      </c>
      <c r="T208">
        <v>3</v>
      </c>
      <c r="U208">
        <v>3</v>
      </c>
      <c r="V208" s="2">
        <v>1</v>
      </c>
      <c r="W208">
        <v>0</v>
      </c>
      <c r="X208" t="s">
        <v>30</v>
      </c>
      <c r="Y208">
        <v>0</v>
      </c>
      <c r="Z208" t="s">
        <v>30</v>
      </c>
      <c r="AA208">
        <v>0</v>
      </c>
      <c r="AB208" t="s">
        <v>30</v>
      </c>
      <c r="AC208">
        <v>0</v>
      </c>
      <c r="AD208" t="s">
        <v>31</v>
      </c>
      <c r="AE208">
        <v>0</v>
      </c>
      <c r="AF208" t="s">
        <v>31</v>
      </c>
      <c r="AG208">
        <v>0</v>
      </c>
      <c r="AH208" t="s">
        <v>31</v>
      </c>
      <c r="AI208">
        <v>0</v>
      </c>
      <c r="AJ208" t="s">
        <v>31</v>
      </c>
      <c r="AK208">
        <v>0</v>
      </c>
      <c r="AL208" t="s">
        <v>31</v>
      </c>
      <c r="AM208">
        <v>0</v>
      </c>
      <c r="AN208" t="s">
        <v>31</v>
      </c>
      <c r="AO208">
        <v>0</v>
      </c>
      <c r="AP208" t="s">
        <v>31</v>
      </c>
      <c r="AQ208">
        <v>0</v>
      </c>
    </row>
    <row r="209" spans="1:47" x14ac:dyDescent="0.2">
      <c r="A209" t="s">
        <v>381</v>
      </c>
      <c r="B209" s="3">
        <v>44361</v>
      </c>
      <c r="C209">
        <v>136</v>
      </c>
      <c r="D209" t="s">
        <v>383</v>
      </c>
      <c r="E209" t="s">
        <v>32</v>
      </c>
      <c r="F209" s="9" t="s">
        <v>33</v>
      </c>
      <c r="G209" t="s">
        <v>26</v>
      </c>
      <c r="H209" t="s">
        <v>34</v>
      </c>
      <c r="I209" t="s">
        <v>35</v>
      </c>
      <c r="J209" t="s">
        <v>36</v>
      </c>
      <c r="K209" t="s">
        <v>37</v>
      </c>
      <c r="L209" t="s">
        <v>29</v>
      </c>
      <c r="M209" t="s">
        <v>30</v>
      </c>
      <c r="N209" t="s">
        <v>34</v>
      </c>
      <c r="O209" t="s">
        <v>35</v>
      </c>
      <c r="P209" t="s">
        <v>36</v>
      </c>
      <c r="Q209" t="s">
        <v>37</v>
      </c>
      <c r="R209" s="1">
        <v>44361.589143518519</v>
      </c>
      <c r="S209" s="1">
        <v>44361.634826388887</v>
      </c>
      <c r="T209">
        <v>1</v>
      </c>
      <c r="U209">
        <v>2</v>
      </c>
      <c r="V209" s="2">
        <v>0.5</v>
      </c>
      <c r="W209">
        <v>0</v>
      </c>
      <c r="X209" t="s">
        <v>44</v>
      </c>
      <c r="Y209">
        <v>0</v>
      </c>
      <c r="Z209" t="s">
        <v>37</v>
      </c>
      <c r="AA209">
        <v>0</v>
      </c>
      <c r="AB209" t="s">
        <v>37</v>
      </c>
      <c r="AC209">
        <v>0</v>
      </c>
      <c r="AD209" t="s">
        <v>30</v>
      </c>
      <c r="AE209">
        <v>0</v>
      </c>
      <c r="AF209" t="s">
        <v>37</v>
      </c>
      <c r="AG209">
        <v>0</v>
      </c>
      <c r="AH209" t="s">
        <v>37</v>
      </c>
      <c r="AI209">
        <v>0</v>
      </c>
      <c r="AJ209" t="s">
        <v>31</v>
      </c>
      <c r="AK209">
        <v>0</v>
      </c>
      <c r="AL209" t="s">
        <v>31</v>
      </c>
      <c r="AM209">
        <v>0</v>
      </c>
      <c r="AN209" t="s">
        <v>31</v>
      </c>
      <c r="AO209">
        <v>0</v>
      </c>
      <c r="AP209" t="s">
        <v>31</v>
      </c>
      <c r="AQ209">
        <v>0</v>
      </c>
    </row>
    <row r="210" spans="1:47" x14ac:dyDescent="0.2">
      <c r="A210" t="s">
        <v>381</v>
      </c>
      <c r="B210" s="3">
        <v>44363</v>
      </c>
      <c r="C210">
        <v>137</v>
      </c>
      <c r="D210" t="s">
        <v>383</v>
      </c>
      <c r="E210" t="s">
        <v>32</v>
      </c>
      <c r="F210" s="9" t="s">
        <v>33</v>
      </c>
      <c r="G210" t="s">
        <v>26</v>
      </c>
      <c r="H210" t="s">
        <v>34</v>
      </c>
      <c r="I210" t="s">
        <v>35</v>
      </c>
      <c r="J210" t="s">
        <v>36</v>
      </c>
      <c r="K210" t="s">
        <v>37</v>
      </c>
      <c r="L210" t="s">
        <v>29</v>
      </c>
      <c r="M210" t="s">
        <v>30</v>
      </c>
      <c r="N210" t="s">
        <v>34</v>
      </c>
      <c r="O210" t="s">
        <v>35</v>
      </c>
      <c r="P210" t="s">
        <v>36</v>
      </c>
      <c r="Q210" t="s">
        <v>37</v>
      </c>
      <c r="R210" s="1">
        <v>44363.570486111108</v>
      </c>
      <c r="S210" s="1">
        <v>44363.570486111108</v>
      </c>
      <c r="T210">
        <v>1</v>
      </c>
      <c r="U210">
        <v>1</v>
      </c>
      <c r="V210" s="2">
        <v>1</v>
      </c>
      <c r="W210">
        <v>0</v>
      </c>
      <c r="X210" t="s">
        <v>30</v>
      </c>
      <c r="Y210">
        <v>0</v>
      </c>
      <c r="Z210" t="s">
        <v>31</v>
      </c>
      <c r="AA210">
        <v>0</v>
      </c>
      <c r="AB210" t="s">
        <v>31</v>
      </c>
      <c r="AC210">
        <v>0</v>
      </c>
      <c r="AD210" t="s">
        <v>31</v>
      </c>
      <c r="AE210">
        <v>0</v>
      </c>
      <c r="AF210" t="s">
        <v>31</v>
      </c>
      <c r="AG210">
        <v>0</v>
      </c>
      <c r="AH210" t="s">
        <v>31</v>
      </c>
      <c r="AI210">
        <v>0</v>
      </c>
      <c r="AJ210" t="s">
        <v>31</v>
      </c>
      <c r="AK210">
        <v>0</v>
      </c>
      <c r="AL210" t="s">
        <v>31</v>
      </c>
      <c r="AM210">
        <v>0</v>
      </c>
      <c r="AN210" t="s">
        <v>31</v>
      </c>
      <c r="AO210">
        <v>0</v>
      </c>
      <c r="AP210" t="s">
        <v>31</v>
      </c>
      <c r="AQ210">
        <v>0</v>
      </c>
    </row>
    <row r="211" spans="1:47" x14ac:dyDescent="0.2">
      <c r="A211" t="s">
        <v>381</v>
      </c>
      <c r="B211" s="3">
        <v>44364</v>
      </c>
      <c r="C211">
        <v>138</v>
      </c>
      <c r="D211" t="s">
        <v>399</v>
      </c>
      <c r="E211" t="s">
        <v>32</v>
      </c>
      <c r="F211" s="9" t="s">
        <v>33</v>
      </c>
      <c r="G211" t="s">
        <v>26</v>
      </c>
      <c r="H211" t="s">
        <v>34</v>
      </c>
      <c r="I211" t="s">
        <v>35</v>
      </c>
      <c r="J211" t="s">
        <v>36</v>
      </c>
      <c r="K211" t="s">
        <v>37</v>
      </c>
      <c r="L211" t="s">
        <v>29</v>
      </c>
      <c r="M211" t="s">
        <v>30</v>
      </c>
      <c r="N211" t="s">
        <v>34</v>
      </c>
      <c r="O211" t="s">
        <v>35</v>
      </c>
      <c r="P211" t="s">
        <v>36</v>
      </c>
      <c r="Q211" t="s">
        <v>37</v>
      </c>
      <c r="R211" s="1">
        <v>44364.350682870368</v>
      </c>
      <c r="S211" s="1">
        <v>44364.437071759261</v>
      </c>
      <c r="T211">
        <v>0</v>
      </c>
      <c r="U211">
        <v>0</v>
      </c>
      <c r="V211" s="2">
        <v>0</v>
      </c>
      <c r="W211">
        <v>0</v>
      </c>
      <c r="X211" t="s">
        <v>37</v>
      </c>
      <c r="Y211">
        <v>0</v>
      </c>
      <c r="Z211" t="s">
        <v>37</v>
      </c>
      <c r="AA211">
        <v>0</v>
      </c>
      <c r="AB211" t="s">
        <v>31</v>
      </c>
      <c r="AC211">
        <v>0</v>
      </c>
      <c r="AD211" t="s">
        <v>31</v>
      </c>
      <c r="AE211">
        <v>0</v>
      </c>
      <c r="AF211" t="s">
        <v>31</v>
      </c>
      <c r="AG211">
        <v>0</v>
      </c>
      <c r="AH211" t="s">
        <v>31</v>
      </c>
      <c r="AI211">
        <v>0</v>
      </c>
      <c r="AJ211" t="s">
        <v>31</v>
      </c>
      <c r="AK211">
        <v>0</v>
      </c>
      <c r="AL211" t="s">
        <v>31</v>
      </c>
      <c r="AM211">
        <v>0</v>
      </c>
      <c r="AN211" t="s">
        <v>31</v>
      </c>
      <c r="AO211">
        <v>0</v>
      </c>
      <c r="AP211" t="s">
        <v>31</v>
      </c>
      <c r="AQ211">
        <v>0</v>
      </c>
    </row>
    <row r="212" spans="1:47" x14ac:dyDescent="0.2">
      <c r="A212" t="s">
        <v>381</v>
      </c>
      <c r="B212" s="3">
        <v>44365</v>
      </c>
      <c r="C212">
        <v>139</v>
      </c>
      <c r="D212" t="s">
        <v>400</v>
      </c>
      <c r="E212" t="s">
        <v>32</v>
      </c>
      <c r="F212" s="9" t="s">
        <v>33</v>
      </c>
      <c r="G212" t="s">
        <v>26</v>
      </c>
      <c r="H212" t="s">
        <v>34</v>
      </c>
      <c r="I212" t="s">
        <v>35</v>
      </c>
      <c r="J212" t="s">
        <v>36</v>
      </c>
      <c r="K212" t="s">
        <v>37</v>
      </c>
      <c r="L212" t="s">
        <v>29</v>
      </c>
      <c r="M212" t="s">
        <v>30</v>
      </c>
      <c r="N212" t="s">
        <v>34</v>
      </c>
      <c r="O212" t="s">
        <v>35</v>
      </c>
      <c r="P212" t="s">
        <v>36</v>
      </c>
      <c r="Q212" t="s">
        <v>37</v>
      </c>
      <c r="R212" s="1">
        <v>44365.400358796294</v>
      </c>
      <c r="S212" s="1">
        <v>44365.468657407408</v>
      </c>
      <c r="T212">
        <v>0</v>
      </c>
      <c r="U212">
        <v>0</v>
      </c>
      <c r="V212" s="2">
        <v>0</v>
      </c>
      <c r="W212">
        <v>0</v>
      </c>
      <c r="X212" t="s">
        <v>37</v>
      </c>
      <c r="Y212">
        <v>0</v>
      </c>
      <c r="Z212" t="s">
        <v>37</v>
      </c>
      <c r="AA212">
        <v>0</v>
      </c>
      <c r="AB212" t="s">
        <v>37</v>
      </c>
      <c r="AC212">
        <v>0</v>
      </c>
      <c r="AD212" t="s">
        <v>31</v>
      </c>
      <c r="AE212">
        <v>0</v>
      </c>
      <c r="AF212" t="s">
        <v>31</v>
      </c>
      <c r="AG212">
        <v>0</v>
      </c>
      <c r="AH212" t="s">
        <v>31</v>
      </c>
      <c r="AI212">
        <v>0</v>
      </c>
      <c r="AJ212" t="s">
        <v>31</v>
      </c>
      <c r="AK212">
        <v>0</v>
      </c>
      <c r="AL212" t="s">
        <v>31</v>
      </c>
      <c r="AM212">
        <v>0</v>
      </c>
      <c r="AN212" t="s">
        <v>31</v>
      </c>
      <c r="AO212">
        <v>0</v>
      </c>
      <c r="AP212" t="s">
        <v>31</v>
      </c>
      <c r="AQ212">
        <v>0</v>
      </c>
    </row>
    <row r="213" spans="1:47" x14ac:dyDescent="0.2">
      <c r="A213" t="s">
        <v>381</v>
      </c>
      <c r="B213" s="3">
        <v>44365</v>
      </c>
      <c r="C213">
        <v>140</v>
      </c>
      <c r="D213" t="s">
        <v>399</v>
      </c>
      <c r="E213" t="s">
        <v>32</v>
      </c>
      <c r="F213" s="9" t="s">
        <v>33</v>
      </c>
      <c r="G213" t="s">
        <v>26</v>
      </c>
      <c r="H213" t="s">
        <v>34</v>
      </c>
      <c r="I213" t="s">
        <v>35</v>
      </c>
      <c r="J213" t="s">
        <v>36</v>
      </c>
      <c r="K213" t="s">
        <v>37</v>
      </c>
      <c r="L213" t="s">
        <v>29</v>
      </c>
      <c r="M213" t="s">
        <v>30</v>
      </c>
      <c r="N213" t="s">
        <v>34</v>
      </c>
      <c r="O213" t="s">
        <v>35</v>
      </c>
      <c r="P213" t="s">
        <v>36</v>
      </c>
      <c r="Q213" t="s">
        <v>37</v>
      </c>
      <c r="R213" s="1">
        <v>44365.542754629627</v>
      </c>
      <c r="S213" s="1">
        <v>44365.618483796294</v>
      </c>
      <c r="T213">
        <v>0</v>
      </c>
      <c r="U213">
        <v>0</v>
      </c>
      <c r="V213" s="2">
        <v>0</v>
      </c>
      <c r="W213">
        <v>0</v>
      </c>
      <c r="X213" t="s">
        <v>37</v>
      </c>
      <c r="Y213">
        <v>0</v>
      </c>
      <c r="Z213" t="s">
        <v>37</v>
      </c>
      <c r="AA213">
        <v>0</v>
      </c>
      <c r="AB213" t="s">
        <v>37</v>
      </c>
      <c r="AC213">
        <v>0</v>
      </c>
      <c r="AD213" t="s">
        <v>37</v>
      </c>
      <c r="AE213">
        <v>0</v>
      </c>
      <c r="AF213" t="s">
        <v>37</v>
      </c>
      <c r="AG213">
        <v>0</v>
      </c>
      <c r="AH213" t="s">
        <v>37</v>
      </c>
      <c r="AI213">
        <v>0</v>
      </c>
      <c r="AJ213" t="s">
        <v>31</v>
      </c>
      <c r="AK213">
        <v>0</v>
      </c>
      <c r="AL213" t="s">
        <v>31</v>
      </c>
      <c r="AM213">
        <v>0</v>
      </c>
      <c r="AN213" t="s">
        <v>31</v>
      </c>
      <c r="AO213">
        <v>0</v>
      </c>
      <c r="AP213" t="s">
        <v>31</v>
      </c>
      <c r="AQ213">
        <v>0</v>
      </c>
    </row>
    <row r="214" spans="1:47" x14ac:dyDescent="0.2">
      <c r="A214" t="s">
        <v>381</v>
      </c>
      <c r="B214" s="3">
        <v>44375</v>
      </c>
      <c r="C214">
        <v>141</v>
      </c>
      <c r="D214" t="s">
        <v>396</v>
      </c>
      <c r="E214" t="s">
        <v>32</v>
      </c>
      <c r="F214" s="9" t="s">
        <v>33</v>
      </c>
      <c r="G214" t="s">
        <v>26</v>
      </c>
      <c r="H214" t="s">
        <v>34</v>
      </c>
      <c r="I214" t="s">
        <v>35</v>
      </c>
      <c r="J214" t="s">
        <v>36</v>
      </c>
      <c r="K214" t="s">
        <v>37</v>
      </c>
      <c r="L214" t="s">
        <v>29</v>
      </c>
      <c r="M214" t="s">
        <v>30</v>
      </c>
      <c r="N214" t="s">
        <v>34</v>
      </c>
      <c r="O214" t="s">
        <v>35</v>
      </c>
      <c r="P214" t="s">
        <v>36</v>
      </c>
      <c r="Q214" t="s">
        <v>37</v>
      </c>
      <c r="R214" s="1">
        <v>44375.546770833331</v>
      </c>
      <c r="S214" s="1">
        <v>44375.546770833331</v>
      </c>
      <c r="T214">
        <v>0</v>
      </c>
      <c r="U214">
        <v>0</v>
      </c>
      <c r="V214" s="2">
        <v>0</v>
      </c>
      <c r="W214">
        <v>0</v>
      </c>
      <c r="X214" t="s">
        <v>37</v>
      </c>
      <c r="Y214">
        <v>0</v>
      </c>
      <c r="Z214" t="s">
        <v>31</v>
      </c>
      <c r="AA214">
        <v>0</v>
      </c>
      <c r="AB214" t="s">
        <v>31</v>
      </c>
      <c r="AC214">
        <v>0</v>
      </c>
      <c r="AD214" t="s">
        <v>31</v>
      </c>
      <c r="AE214">
        <v>0</v>
      </c>
      <c r="AF214" t="s">
        <v>31</v>
      </c>
      <c r="AG214">
        <v>0</v>
      </c>
      <c r="AH214" t="s">
        <v>31</v>
      </c>
      <c r="AI214">
        <v>0</v>
      </c>
      <c r="AJ214" t="s">
        <v>31</v>
      </c>
      <c r="AK214">
        <v>0</v>
      </c>
      <c r="AL214" t="s">
        <v>31</v>
      </c>
      <c r="AM214">
        <v>0</v>
      </c>
      <c r="AN214" t="s">
        <v>31</v>
      </c>
      <c r="AO214">
        <v>0</v>
      </c>
      <c r="AP214" t="s">
        <v>31</v>
      </c>
      <c r="AQ214">
        <v>0</v>
      </c>
    </row>
    <row r="215" spans="1:47" x14ac:dyDescent="0.2">
      <c r="A215" t="s">
        <v>381</v>
      </c>
      <c r="B215" s="3">
        <v>44279</v>
      </c>
      <c r="C215">
        <v>41</v>
      </c>
      <c r="D215" t="s">
        <v>384</v>
      </c>
      <c r="E215" t="s">
        <v>130</v>
      </c>
      <c r="F215" s="9" t="s">
        <v>207</v>
      </c>
      <c r="G215" t="s">
        <v>26</v>
      </c>
      <c r="H215" t="s">
        <v>132</v>
      </c>
      <c r="I215" t="s">
        <v>133</v>
      </c>
      <c r="J215" t="s">
        <v>29</v>
      </c>
      <c r="K215" t="s">
        <v>30</v>
      </c>
      <c r="L215" t="s">
        <v>29</v>
      </c>
      <c r="M215" t="s">
        <v>30</v>
      </c>
      <c r="N215" t="s">
        <v>132</v>
      </c>
      <c r="O215" t="s">
        <v>133</v>
      </c>
      <c r="P215" t="s">
        <v>29</v>
      </c>
      <c r="Q215" t="s">
        <v>30</v>
      </c>
      <c r="R215" s="1">
        <v>44279.407210648147</v>
      </c>
      <c r="S215" s="1">
        <v>44279.436851851853</v>
      </c>
      <c r="T215">
        <v>0</v>
      </c>
      <c r="U215">
        <v>2</v>
      </c>
      <c r="V215" s="2">
        <v>0</v>
      </c>
      <c r="W215">
        <v>0</v>
      </c>
      <c r="X215" t="s">
        <v>47</v>
      </c>
      <c r="Y215">
        <v>0</v>
      </c>
      <c r="Z215" t="s">
        <v>45</v>
      </c>
      <c r="AA215">
        <v>0</v>
      </c>
      <c r="AB215" t="s">
        <v>31</v>
      </c>
      <c r="AC215">
        <v>0</v>
      </c>
      <c r="AD215" t="s">
        <v>31</v>
      </c>
      <c r="AE215">
        <v>0</v>
      </c>
      <c r="AF215" t="s">
        <v>31</v>
      </c>
      <c r="AG215">
        <v>0</v>
      </c>
      <c r="AH215" t="s">
        <v>31</v>
      </c>
      <c r="AI215">
        <v>0</v>
      </c>
      <c r="AJ215" t="s">
        <v>31</v>
      </c>
      <c r="AK215">
        <v>0</v>
      </c>
      <c r="AL215" t="s">
        <v>31</v>
      </c>
      <c r="AM215">
        <v>0</v>
      </c>
      <c r="AN215" t="s">
        <v>31</v>
      </c>
      <c r="AO215">
        <v>0</v>
      </c>
      <c r="AP215" t="s">
        <v>31</v>
      </c>
      <c r="AQ215">
        <v>0</v>
      </c>
    </row>
    <row r="216" spans="1:47" x14ac:dyDescent="0.2">
      <c r="A216" t="s">
        <v>381</v>
      </c>
      <c r="B216" s="3">
        <v>44284</v>
      </c>
      <c r="C216">
        <v>43</v>
      </c>
      <c r="D216" t="s">
        <v>384</v>
      </c>
      <c r="E216" t="s">
        <v>130</v>
      </c>
      <c r="F216" s="9" t="s">
        <v>207</v>
      </c>
      <c r="G216" t="s">
        <v>26</v>
      </c>
      <c r="H216" t="s">
        <v>132</v>
      </c>
      <c r="I216" t="s">
        <v>133</v>
      </c>
      <c r="J216" t="s">
        <v>29</v>
      </c>
      <c r="K216" t="s">
        <v>30</v>
      </c>
      <c r="L216" t="s">
        <v>29</v>
      </c>
      <c r="M216" t="s">
        <v>30</v>
      </c>
      <c r="N216" t="s">
        <v>64</v>
      </c>
      <c r="O216" t="s">
        <v>65</v>
      </c>
      <c r="P216" t="s">
        <v>29</v>
      </c>
      <c r="Q216" t="s">
        <v>30</v>
      </c>
      <c r="R216" s="1">
        <v>44284.372152777774</v>
      </c>
      <c r="S216" s="1">
        <v>44284.380983796298</v>
      </c>
      <c r="T216">
        <v>0</v>
      </c>
      <c r="U216">
        <v>2</v>
      </c>
      <c r="V216" s="2">
        <v>0</v>
      </c>
      <c r="W216">
        <v>0</v>
      </c>
      <c r="X216" t="s">
        <v>45</v>
      </c>
      <c r="Y216">
        <v>0</v>
      </c>
      <c r="Z216" t="s">
        <v>47</v>
      </c>
      <c r="AA216">
        <v>0</v>
      </c>
      <c r="AB216" t="s">
        <v>31</v>
      </c>
      <c r="AC216">
        <v>0</v>
      </c>
      <c r="AD216" t="s">
        <v>31</v>
      </c>
      <c r="AE216">
        <v>0</v>
      </c>
      <c r="AF216" t="s">
        <v>31</v>
      </c>
      <c r="AG216">
        <v>0</v>
      </c>
      <c r="AH216" t="s">
        <v>31</v>
      </c>
      <c r="AI216">
        <v>0</v>
      </c>
      <c r="AJ216" t="s">
        <v>31</v>
      </c>
      <c r="AK216">
        <v>0</v>
      </c>
      <c r="AL216" t="s">
        <v>31</v>
      </c>
      <c r="AM216">
        <v>0</v>
      </c>
      <c r="AN216" t="s">
        <v>31</v>
      </c>
      <c r="AO216">
        <v>0</v>
      </c>
      <c r="AP216" t="s">
        <v>31</v>
      </c>
      <c r="AQ216">
        <v>0</v>
      </c>
    </row>
    <row r="217" spans="1:47" x14ac:dyDescent="0.2">
      <c r="A217" t="s">
        <v>381</v>
      </c>
      <c r="B217" s="3">
        <v>44291</v>
      </c>
      <c r="C217">
        <v>50</v>
      </c>
      <c r="D217" t="s">
        <v>384</v>
      </c>
      <c r="E217" t="s">
        <v>130</v>
      </c>
      <c r="F217" s="9" t="s">
        <v>207</v>
      </c>
      <c r="G217" t="s">
        <v>26</v>
      </c>
      <c r="H217" t="s">
        <v>64</v>
      </c>
      <c r="I217" t="s">
        <v>65</v>
      </c>
      <c r="J217" t="s">
        <v>29</v>
      </c>
      <c r="K217" t="s">
        <v>30</v>
      </c>
      <c r="L217" t="s">
        <v>29</v>
      </c>
      <c r="M217" t="s">
        <v>30</v>
      </c>
      <c r="N217" t="s">
        <v>64</v>
      </c>
      <c r="O217" t="s">
        <v>65</v>
      </c>
      <c r="P217" t="s">
        <v>29</v>
      </c>
      <c r="Q217" t="s">
        <v>30</v>
      </c>
      <c r="R217" s="1">
        <v>44291.384513888886</v>
      </c>
      <c r="S217" s="1">
        <v>44291.384513888886</v>
      </c>
      <c r="T217">
        <v>0</v>
      </c>
      <c r="U217">
        <v>1</v>
      </c>
      <c r="V217" s="2">
        <v>0</v>
      </c>
      <c r="W217">
        <v>0</v>
      </c>
      <c r="X217" t="s">
        <v>47</v>
      </c>
      <c r="Y217">
        <v>0</v>
      </c>
      <c r="Z217" t="s">
        <v>31</v>
      </c>
      <c r="AA217">
        <v>0</v>
      </c>
      <c r="AB217" t="s">
        <v>31</v>
      </c>
      <c r="AC217">
        <v>0</v>
      </c>
      <c r="AD217" t="s">
        <v>31</v>
      </c>
      <c r="AE217">
        <v>0</v>
      </c>
      <c r="AF217" t="s">
        <v>31</v>
      </c>
      <c r="AG217">
        <v>0</v>
      </c>
      <c r="AH217" t="s">
        <v>31</v>
      </c>
      <c r="AI217">
        <v>0</v>
      </c>
      <c r="AJ217" t="s">
        <v>31</v>
      </c>
      <c r="AK217">
        <v>0</v>
      </c>
      <c r="AL217" t="s">
        <v>31</v>
      </c>
      <c r="AM217">
        <v>0</v>
      </c>
      <c r="AN217" t="s">
        <v>31</v>
      </c>
      <c r="AO217">
        <v>0</v>
      </c>
      <c r="AP217" t="s">
        <v>31</v>
      </c>
      <c r="AQ217">
        <v>0</v>
      </c>
    </row>
    <row r="218" spans="1:47" x14ac:dyDescent="0.2">
      <c r="A218" t="s">
        <v>381</v>
      </c>
      <c r="B218" s="3">
        <v>44294</v>
      </c>
      <c r="C218">
        <v>54</v>
      </c>
      <c r="D218" t="s">
        <v>407</v>
      </c>
      <c r="E218" t="s">
        <v>130</v>
      </c>
      <c r="F218" s="9" t="s">
        <v>207</v>
      </c>
      <c r="G218" t="s">
        <v>26</v>
      </c>
      <c r="H218" t="s">
        <v>185</v>
      </c>
      <c r="I218" t="s">
        <v>186</v>
      </c>
      <c r="J218" t="s">
        <v>29</v>
      </c>
      <c r="K218" t="s">
        <v>30</v>
      </c>
      <c r="L218" t="s">
        <v>29</v>
      </c>
      <c r="M218" t="s">
        <v>30</v>
      </c>
      <c r="N218" t="s">
        <v>185</v>
      </c>
      <c r="O218" t="s">
        <v>186</v>
      </c>
      <c r="P218" t="s">
        <v>29</v>
      </c>
      <c r="Q218" t="s">
        <v>30</v>
      </c>
      <c r="R218" s="1">
        <v>44294.449340277781</v>
      </c>
      <c r="S218" s="1">
        <v>44294.458078703705</v>
      </c>
      <c r="T218">
        <v>0</v>
      </c>
      <c r="U218">
        <v>4</v>
      </c>
      <c r="V218" s="2">
        <v>0</v>
      </c>
      <c r="W218">
        <v>0</v>
      </c>
      <c r="X218" t="s">
        <v>47</v>
      </c>
      <c r="Y218">
        <v>0</v>
      </c>
      <c r="Z218" t="s">
        <v>47</v>
      </c>
      <c r="AA218">
        <v>0</v>
      </c>
      <c r="AB218" t="s">
        <v>47</v>
      </c>
      <c r="AC218">
        <v>0</v>
      </c>
      <c r="AD218" t="s">
        <v>47</v>
      </c>
      <c r="AE218">
        <v>0</v>
      </c>
      <c r="AF218" t="s">
        <v>31</v>
      </c>
      <c r="AG218">
        <v>0</v>
      </c>
      <c r="AH218" t="s">
        <v>31</v>
      </c>
      <c r="AI218">
        <v>0</v>
      </c>
      <c r="AJ218" t="s">
        <v>31</v>
      </c>
      <c r="AK218">
        <v>0</v>
      </c>
      <c r="AL218" t="s">
        <v>31</v>
      </c>
      <c r="AM218">
        <v>0</v>
      </c>
      <c r="AN218" t="s">
        <v>31</v>
      </c>
      <c r="AO218">
        <v>0</v>
      </c>
      <c r="AP218" t="s">
        <v>31</v>
      </c>
      <c r="AQ218">
        <v>0</v>
      </c>
    </row>
    <row r="219" spans="1:47" x14ac:dyDescent="0.2">
      <c r="A219" t="s">
        <v>381</v>
      </c>
      <c r="B219" s="3">
        <v>44294</v>
      </c>
      <c r="C219">
        <v>55</v>
      </c>
      <c r="D219" t="s">
        <v>385</v>
      </c>
      <c r="E219" t="s">
        <v>130</v>
      </c>
      <c r="F219" s="9" t="s">
        <v>207</v>
      </c>
      <c r="G219" t="s">
        <v>26</v>
      </c>
      <c r="H219" t="s">
        <v>185</v>
      </c>
      <c r="I219" t="s">
        <v>186</v>
      </c>
      <c r="J219" t="s">
        <v>29</v>
      </c>
      <c r="K219" t="s">
        <v>30</v>
      </c>
      <c r="L219" t="s">
        <v>29</v>
      </c>
      <c r="M219" t="s">
        <v>30</v>
      </c>
      <c r="N219" t="s">
        <v>185</v>
      </c>
      <c r="O219" t="s">
        <v>186</v>
      </c>
      <c r="P219" t="s">
        <v>217</v>
      </c>
      <c r="Q219" t="s">
        <v>45</v>
      </c>
      <c r="R219" s="1">
        <v>44294.552361111113</v>
      </c>
      <c r="S219" s="1">
        <v>44294.586967592593</v>
      </c>
      <c r="T219">
        <v>0</v>
      </c>
      <c r="U219">
        <v>7</v>
      </c>
      <c r="V219" s="2">
        <v>0</v>
      </c>
      <c r="W219">
        <v>0</v>
      </c>
      <c r="X219" t="s">
        <v>45</v>
      </c>
      <c r="Y219">
        <v>0</v>
      </c>
      <c r="Z219" t="s">
        <v>47</v>
      </c>
      <c r="AA219">
        <v>0</v>
      </c>
      <c r="AB219" t="s">
        <v>45</v>
      </c>
      <c r="AC219">
        <v>0</v>
      </c>
      <c r="AD219" t="s">
        <v>47</v>
      </c>
      <c r="AE219">
        <v>0</v>
      </c>
      <c r="AF219" t="s">
        <v>45</v>
      </c>
      <c r="AG219">
        <v>0</v>
      </c>
      <c r="AH219" t="s">
        <v>45</v>
      </c>
      <c r="AI219">
        <v>0</v>
      </c>
      <c r="AJ219" t="s">
        <v>47</v>
      </c>
      <c r="AK219">
        <v>0</v>
      </c>
      <c r="AL219" t="s">
        <v>31</v>
      </c>
      <c r="AM219">
        <v>0</v>
      </c>
      <c r="AN219" t="s">
        <v>31</v>
      </c>
      <c r="AO219">
        <v>0</v>
      </c>
      <c r="AP219" t="s">
        <v>31</v>
      </c>
      <c r="AQ219">
        <v>0</v>
      </c>
    </row>
    <row r="220" spans="1:47" x14ac:dyDescent="0.2">
      <c r="A220" t="s">
        <v>381</v>
      </c>
      <c r="B220" s="3">
        <v>44295</v>
      </c>
      <c r="C220">
        <v>56</v>
      </c>
      <c r="D220" t="s">
        <v>384</v>
      </c>
      <c r="E220" t="s">
        <v>130</v>
      </c>
      <c r="F220" s="9" t="s">
        <v>207</v>
      </c>
      <c r="G220" t="s">
        <v>26</v>
      </c>
      <c r="H220" t="s">
        <v>185</v>
      </c>
      <c r="I220" t="s">
        <v>186</v>
      </c>
      <c r="J220" t="s">
        <v>217</v>
      </c>
      <c r="K220" t="s">
        <v>45</v>
      </c>
      <c r="L220" t="s">
        <v>29</v>
      </c>
      <c r="M220" t="s">
        <v>30</v>
      </c>
      <c r="N220" t="s">
        <v>185</v>
      </c>
      <c r="O220" t="s">
        <v>186</v>
      </c>
      <c r="P220" t="s">
        <v>217</v>
      </c>
      <c r="Q220" t="s">
        <v>45</v>
      </c>
      <c r="R220" s="1">
        <v>44295.376747685186</v>
      </c>
      <c r="S220" s="1">
        <v>44295.46980324074</v>
      </c>
      <c r="T220">
        <v>1</v>
      </c>
      <c r="U220">
        <v>5</v>
      </c>
      <c r="V220" s="2">
        <v>0.2</v>
      </c>
      <c r="W220">
        <v>0</v>
      </c>
      <c r="X220" t="s">
        <v>47</v>
      </c>
      <c r="Y220">
        <v>0</v>
      </c>
      <c r="Z220" t="s">
        <v>30</v>
      </c>
      <c r="AA220">
        <v>0</v>
      </c>
      <c r="AB220" t="s">
        <v>47</v>
      </c>
      <c r="AC220">
        <v>0</v>
      </c>
      <c r="AD220" t="s">
        <v>47</v>
      </c>
      <c r="AE220">
        <v>0</v>
      </c>
      <c r="AF220" t="s">
        <v>47</v>
      </c>
      <c r="AG220">
        <v>0</v>
      </c>
      <c r="AH220" t="s">
        <v>31</v>
      </c>
      <c r="AI220">
        <v>0</v>
      </c>
      <c r="AJ220" t="s">
        <v>31</v>
      </c>
      <c r="AK220">
        <v>0</v>
      </c>
      <c r="AL220" t="s">
        <v>31</v>
      </c>
      <c r="AM220">
        <v>0</v>
      </c>
      <c r="AN220" t="s">
        <v>31</v>
      </c>
      <c r="AO220">
        <v>0</v>
      </c>
      <c r="AP220" t="s">
        <v>31</v>
      </c>
      <c r="AQ220">
        <v>0</v>
      </c>
    </row>
    <row r="221" spans="1:47" x14ac:dyDescent="0.2">
      <c r="A221" t="s">
        <v>381</v>
      </c>
      <c r="B221" s="3">
        <v>44298</v>
      </c>
      <c r="C221">
        <v>57</v>
      </c>
      <c r="D221" t="s">
        <v>387</v>
      </c>
      <c r="E221" t="s">
        <v>130</v>
      </c>
      <c r="F221" s="9" t="s">
        <v>207</v>
      </c>
      <c r="G221" t="s">
        <v>26</v>
      </c>
      <c r="H221" t="s">
        <v>185</v>
      </c>
      <c r="I221" t="s">
        <v>186</v>
      </c>
      <c r="J221" t="s">
        <v>217</v>
      </c>
      <c r="K221" t="s">
        <v>45</v>
      </c>
      <c r="L221" t="s">
        <v>29</v>
      </c>
      <c r="M221" t="s">
        <v>30</v>
      </c>
      <c r="N221" t="s">
        <v>185</v>
      </c>
      <c r="O221" t="s">
        <v>186</v>
      </c>
      <c r="P221" t="s">
        <v>220</v>
      </c>
      <c r="Q221" t="s">
        <v>61</v>
      </c>
      <c r="R221" s="1">
        <v>44298.592812499999</v>
      </c>
      <c r="S221" s="1">
        <v>44298.593923611108</v>
      </c>
      <c r="T221">
        <v>3</v>
      </c>
      <c r="U221">
        <v>12</v>
      </c>
      <c r="V221" s="2">
        <v>0.25</v>
      </c>
      <c r="W221">
        <v>0</v>
      </c>
      <c r="X221" t="s">
        <v>44</v>
      </c>
      <c r="Y221">
        <v>0</v>
      </c>
      <c r="Z221" t="s">
        <v>44</v>
      </c>
      <c r="AA221">
        <v>0</v>
      </c>
      <c r="AB221" t="s">
        <v>45</v>
      </c>
      <c r="AC221">
        <v>0</v>
      </c>
      <c r="AD221" t="s">
        <v>61</v>
      </c>
      <c r="AE221">
        <v>0</v>
      </c>
      <c r="AF221" t="s">
        <v>30</v>
      </c>
      <c r="AG221">
        <v>0</v>
      </c>
      <c r="AH221" t="s">
        <v>44</v>
      </c>
      <c r="AI221">
        <v>0</v>
      </c>
      <c r="AJ221" t="s">
        <v>44</v>
      </c>
      <c r="AK221">
        <v>0</v>
      </c>
      <c r="AL221" t="s">
        <v>45</v>
      </c>
      <c r="AM221">
        <v>0</v>
      </c>
      <c r="AN221" t="s">
        <v>61</v>
      </c>
      <c r="AO221">
        <v>0</v>
      </c>
      <c r="AP221" t="s">
        <v>30</v>
      </c>
      <c r="AQ221">
        <v>0</v>
      </c>
      <c r="AR221" t="s">
        <v>44</v>
      </c>
      <c r="AS221">
        <v>0</v>
      </c>
      <c r="AT221" t="s">
        <v>30</v>
      </c>
      <c r="AU221">
        <v>0</v>
      </c>
    </row>
    <row r="222" spans="1:47" x14ac:dyDescent="0.2">
      <c r="A222" t="s">
        <v>381</v>
      </c>
      <c r="B222" s="3">
        <v>44299</v>
      </c>
      <c r="C222">
        <v>58</v>
      </c>
      <c r="D222" t="s">
        <v>385</v>
      </c>
      <c r="E222" t="s">
        <v>130</v>
      </c>
      <c r="F222" s="9" t="s">
        <v>207</v>
      </c>
      <c r="G222" t="s">
        <v>26</v>
      </c>
      <c r="H222" t="s">
        <v>185</v>
      </c>
      <c r="I222" t="s">
        <v>186</v>
      </c>
      <c r="J222" t="s">
        <v>220</v>
      </c>
      <c r="K222" t="s">
        <v>61</v>
      </c>
      <c r="L222" t="s">
        <v>29</v>
      </c>
      <c r="M222" t="s">
        <v>30</v>
      </c>
      <c r="N222" t="s">
        <v>185</v>
      </c>
      <c r="O222" t="s">
        <v>186</v>
      </c>
      <c r="P222" t="s">
        <v>220</v>
      </c>
      <c r="Q222" t="s">
        <v>61</v>
      </c>
      <c r="R222" s="1">
        <v>44299.384016203701</v>
      </c>
      <c r="S222" s="1">
        <v>44299.407789351855</v>
      </c>
      <c r="T222">
        <v>0</v>
      </c>
      <c r="U222">
        <v>4</v>
      </c>
      <c r="V222" s="2">
        <v>0</v>
      </c>
      <c r="W222">
        <v>0</v>
      </c>
      <c r="X222" t="s">
        <v>44</v>
      </c>
      <c r="Y222">
        <v>0</v>
      </c>
      <c r="Z222" t="s">
        <v>45</v>
      </c>
      <c r="AA222">
        <v>0</v>
      </c>
      <c r="AB222" t="s">
        <v>47</v>
      </c>
      <c r="AC222">
        <v>0</v>
      </c>
      <c r="AD222" t="s">
        <v>47</v>
      </c>
      <c r="AE222">
        <v>0</v>
      </c>
      <c r="AF222" t="s">
        <v>31</v>
      </c>
      <c r="AG222">
        <v>0</v>
      </c>
      <c r="AH222" t="s">
        <v>31</v>
      </c>
      <c r="AI222">
        <v>0</v>
      </c>
      <c r="AJ222" t="s">
        <v>31</v>
      </c>
      <c r="AK222">
        <v>0</v>
      </c>
      <c r="AL222" t="s">
        <v>31</v>
      </c>
      <c r="AM222">
        <v>0</v>
      </c>
      <c r="AN222" t="s">
        <v>31</v>
      </c>
      <c r="AO222">
        <v>0</v>
      </c>
      <c r="AP222" t="s">
        <v>31</v>
      </c>
      <c r="AQ222">
        <v>0</v>
      </c>
    </row>
    <row r="223" spans="1:47" x14ac:dyDescent="0.2">
      <c r="A223" t="s">
        <v>381</v>
      </c>
      <c r="B223" s="3">
        <v>44299</v>
      </c>
      <c r="C223">
        <v>59</v>
      </c>
      <c r="D223" t="s">
        <v>385</v>
      </c>
      <c r="E223" t="s">
        <v>130</v>
      </c>
      <c r="F223" s="9" t="s">
        <v>207</v>
      </c>
      <c r="G223" t="s">
        <v>26</v>
      </c>
      <c r="H223" t="s">
        <v>185</v>
      </c>
      <c r="I223" t="s">
        <v>186</v>
      </c>
      <c r="J223" t="s">
        <v>220</v>
      </c>
      <c r="K223" t="s">
        <v>61</v>
      </c>
      <c r="L223" t="s">
        <v>29</v>
      </c>
      <c r="M223" t="s">
        <v>30</v>
      </c>
      <c r="N223" t="s">
        <v>185</v>
      </c>
      <c r="O223" t="s">
        <v>186</v>
      </c>
      <c r="P223" t="s">
        <v>162</v>
      </c>
      <c r="Q223" t="s">
        <v>47</v>
      </c>
      <c r="R223" s="1">
        <v>44299.551655092589</v>
      </c>
      <c r="S223" s="1">
        <v>44299.568206018521</v>
      </c>
      <c r="T223">
        <v>3</v>
      </c>
      <c r="U223">
        <v>11</v>
      </c>
      <c r="V223" s="2">
        <v>0.27</v>
      </c>
      <c r="W223">
        <v>0</v>
      </c>
      <c r="X223" t="s">
        <v>30</v>
      </c>
      <c r="Y223">
        <v>0</v>
      </c>
      <c r="Z223" t="s">
        <v>30</v>
      </c>
      <c r="AA223">
        <v>0</v>
      </c>
      <c r="AB223" t="s">
        <v>30</v>
      </c>
      <c r="AC223">
        <v>0</v>
      </c>
      <c r="AD223" t="s">
        <v>44</v>
      </c>
      <c r="AE223">
        <v>0</v>
      </c>
      <c r="AF223" t="s">
        <v>44</v>
      </c>
      <c r="AG223">
        <v>0</v>
      </c>
      <c r="AH223" t="s">
        <v>45</v>
      </c>
      <c r="AI223">
        <v>0</v>
      </c>
      <c r="AJ223" t="s">
        <v>44</v>
      </c>
      <c r="AK223">
        <v>0</v>
      </c>
      <c r="AL223" t="s">
        <v>44</v>
      </c>
      <c r="AM223">
        <v>0</v>
      </c>
      <c r="AN223" t="s">
        <v>45</v>
      </c>
      <c r="AO223">
        <v>0</v>
      </c>
      <c r="AP223" t="s">
        <v>47</v>
      </c>
      <c r="AQ223">
        <v>0</v>
      </c>
      <c r="AR223" t="s">
        <v>45</v>
      </c>
      <c r="AS223">
        <v>0</v>
      </c>
    </row>
    <row r="224" spans="1:47" x14ac:dyDescent="0.2">
      <c r="A224" t="s">
        <v>381</v>
      </c>
      <c r="B224" s="3">
        <v>44300</v>
      </c>
      <c r="C224">
        <v>60</v>
      </c>
      <c r="D224" t="s">
        <v>398</v>
      </c>
      <c r="E224" t="s">
        <v>130</v>
      </c>
      <c r="F224" s="9" t="s">
        <v>207</v>
      </c>
      <c r="G224" t="s">
        <v>26</v>
      </c>
      <c r="H224" t="s">
        <v>185</v>
      </c>
      <c r="I224" t="s">
        <v>186</v>
      </c>
      <c r="J224" t="s">
        <v>162</v>
      </c>
      <c r="K224" t="s">
        <v>47</v>
      </c>
      <c r="L224" t="s">
        <v>29</v>
      </c>
      <c r="M224" t="s">
        <v>30</v>
      </c>
      <c r="N224" t="s">
        <v>185</v>
      </c>
      <c r="O224" t="s">
        <v>186</v>
      </c>
      <c r="P224" t="s">
        <v>162</v>
      </c>
      <c r="Q224" t="s">
        <v>47</v>
      </c>
      <c r="R224" s="1">
        <v>44300.398217592592</v>
      </c>
      <c r="S224" s="1">
        <v>44300.421307870369</v>
      </c>
      <c r="T224">
        <v>3</v>
      </c>
      <c r="U224">
        <v>3</v>
      </c>
      <c r="V224" s="2">
        <v>1</v>
      </c>
      <c r="W224">
        <v>0</v>
      </c>
      <c r="X224" t="s">
        <v>30</v>
      </c>
      <c r="Y224">
        <v>0</v>
      </c>
      <c r="Z224" t="s">
        <v>30</v>
      </c>
      <c r="AA224">
        <v>0</v>
      </c>
      <c r="AB224" t="s">
        <v>30</v>
      </c>
      <c r="AC224">
        <v>0</v>
      </c>
      <c r="AD224" t="s">
        <v>31</v>
      </c>
      <c r="AE224">
        <v>0</v>
      </c>
      <c r="AF224" t="s">
        <v>31</v>
      </c>
      <c r="AG224">
        <v>0</v>
      </c>
      <c r="AH224" t="s">
        <v>31</v>
      </c>
      <c r="AI224">
        <v>0</v>
      </c>
      <c r="AJ224" t="s">
        <v>31</v>
      </c>
      <c r="AK224">
        <v>0</v>
      </c>
      <c r="AL224" t="s">
        <v>31</v>
      </c>
      <c r="AM224">
        <v>0</v>
      </c>
      <c r="AN224" t="s">
        <v>31</v>
      </c>
      <c r="AO224">
        <v>0</v>
      </c>
      <c r="AP224" t="s">
        <v>31</v>
      </c>
      <c r="AQ224">
        <v>0</v>
      </c>
    </row>
    <row r="225" spans="1:43" x14ac:dyDescent="0.2">
      <c r="A225" t="s">
        <v>381</v>
      </c>
      <c r="B225" s="3">
        <v>44300</v>
      </c>
      <c r="C225">
        <v>61</v>
      </c>
      <c r="D225" t="s">
        <v>401</v>
      </c>
      <c r="E225" t="s">
        <v>130</v>
      </c>
      <c r="F225" s="9" t="s">
        <v>207</v>
      </c>
      <c r="G225" t="s">
        <v>26</v>
      </c>
      <c r="H225" t="s">
        <v>185</v>
      </c>
      <c r="I225" t="s">
        <v>186</v>
      </c>
      <c r="J225" t="s">
        <v>162</v>
      </c>
      <c r="K225" t="s">
        <v>47</v>
      </c>
      <c r="L225" t="s">
        <v>29</v>
      </c>
      <c r="M225" t="s">
        <v>30</v>
      </c>
      <c r="N225" t="s">
        <v>185</v>
      </c>
      <c r="O225" t="s">
        <v>186</v>
      </c>
      <c r="P225" t="s">
        <v>162</v>
      </c>
      <c r="Q225" t="s">
        <v>47</v>
      </c>
      <c r="R225" s="1">
        <v>44300.622835648152</v>
      </c>
      <c r="S225" s="1">
        <v>44300.622847222221</v>
      </c>
      <c r="T225">
        <v>1</v>
      </c>
      <c r="U225">
        <v>2</v>
      </c>
      <c r="V225" s="2">
        <v>0.5</v>
      </c>
      <c r="W225">
        <v>0</v>
      </c>
      <c r="X225" t="s">
        <v>44</v>
      </c>
      <c r="Y225">
        <v>0</v>
      </c>
      <c r="Z225" t="s">
        <v>30</v>
      </c>
      <c r="AA225">
        <v>0</v>
      </c>
      <c r="AB225" t="s">
        <v>31</v>
      </c>
      <c r="AC225">
        <v>0</v>
      </c>
      <c r="AD225" t="s">
        <v>31</v>
      </c>
      <c r="AE225">
        <v>0</v>
      </c>
      <c r="AF225" t="s">
        <v>31</v>
      </c>
      <c r="AG225">
        <v>0</v>
      </c>
      <c r="AH225" t="s">
        <v>31</v>
      </c>
      <c r="AI225">
        <v>0</v>
      </c>
      <c r="AJ225" t="s">
        <v>31</v>
      </c>
      <c r="AK225">
        <v>0</v>
      </c>
      <c r="AL225" t="s">
        <v>31</v>
      </c>
      <c r="AM225">
        <v>0</v>
      </c>
      <c r="AN225" t="s">
        <v>31</v>
      </c>
      <c r="AO225">
        <v>0</v>
      </c>
      <c r="AP225" t="s">
        <v>31</v>
      </c>
      <c r="AQ225">
        <v>0</v>
      </c>
    </row>
    <row r="226" spans="1:43" x14ac:dyDescent="0.2">
      <c r="A226" t="s">
        <v>381</v>
      </c>
      <c r="B226" s="3">
        <v>44301</v>
      </c>
      <c r="C226">
        <v>62</v>
      </c>
      <c r="D226" t="s">
        <v>385</v>
      </c>
      <c r="E226" t="s">
        <v>130</v>
      </c>
      <c r="F226" s="9" t="s">
        <v>207</v>
      </c>
      <c r="G226" t="s">
        <v>26</v>
      </c>
      <c r="H226" t="s">
        <v>185</v>
      </c>
      <c r="I226" t="s">
        <v>186</v>
      </c>
      <c r="J226" t="s">
        <v>162</v>
      </c>
      <c r="K226" t="s">
        <v>47</v>
      </c>
      <c r="L226" t="s">
        <v>29</v>
      </c>
      <c r="M226" t="s">
        <v>30</v>
      </c>
      <c r="N226" t="s">
        <v>185</v>
      </c>
      <c r="O226" t="s">
        <v>186</v>
      </c>
      <c r="P226" t="s">
        <v>162</v>
      </c>
      <c r="Q226" t="s">
        <v>47</v>
      </c>
      <c r="R226" s="1">
        <v>44301.399270833332</v>
      </c>
      <c r="S226" s="1">
        <v>44301.41611111111</v>
      </c>
      <c r="T226">
        <v>2</v>
      </c>
      <c r="U226">
        <v>4</v>
      </c>
      <c r="V226" s="2">
        <v>0.5</v>
      </c>
      <c r="W226">
        <v>0</v>
      </c>
      <c r="X226" t="s">
        <v>30</v>
      </c>
      <c r="Y226">
        <v>0</v>
      </c>
      <c r="Z226" t="s">
        <v>45</v>
      </c>
      <c r="AA226">
        <v>0</v>
      </c>
      <c r="AB226" t="s">
        <v>47</v>
      </c>
      <c r="AC226">
        <v>0</v>
      </c>
      <c r="AD226" t="s">
        <v>30</v>
      </c>
      <c r="AE226">
        <v>0</v>
      </c>
      <c r="AF226" t="s">
        <v>31</v>
      </c>
      <c r="AG226">
        <v>0</v>
      </c>
      <c r="AH226" t="s">
        <v>31</v>
      </c>
      <c r="AI226">
        <v>0</v>
      </c>
      <c r="AJ226" t="s">
        <v>31</v>
      </c>
      <c r="AK226">
        <v>0</v>
      </c>
      <c r="AL226" t="s">
        <v>31</v>
      </c>
      <c r="AM226">
        <v>0</v>
      </c>
      <c r="AN226" t="s">
        <v>31</v>
      </c>
      <c r="AO226">
        <v>0</v>
      </c>
      <c r="AP226" t="s">
        <v>31</v>
      </c>
      <c r="AQ226">
        <v>0</v>
      </c>
    </row>
    <row r="227" spans="1:43" x14ac:dyDescent="0.2">
      <c r="A227" t="s">
        <v>381</v>
      </c>
      <c r="B227" s="3">
        <v>44301</v>
      </c>
      <c r="C227">
        <v>63</v>
      </c>
      <c r="D227" t="s">
        <v>385</v>
      </c>
      <c r="E227" t="s">
        <v>130</v>
      </c>
      <c r="F227" s="9" t="s">
        <v>207</v>
      </c>
      <c r="G227" t="s">
        <v>26</v>
      </c>
      <c r="H227" t="s">
        <v>185</v>
      </c>
      <c r="I227" t="s">
        <v>186</v>
      </c>
      <c r="J227" t="s">
        <v>162</v>
      </c>
      <c r="K227" t="s">
        <v>47</v>
      </c>
      <c r="L227" t="s">
        <v>29</v>
      </c>
      <c r="M227" t="s">
        <v>30</v>
      </c>
      <c r="N227" t="s">
        <v>185</v>
      </c>
      <c r="O227" t="s">
        <v>186</v>
      </c>
      <c r="P227" t="s">
        <v>162</v>
      </c>
      <c r="Q227" t="s">
        <v>47</v>
      </c>
      <c r="R227" s="1">
        <v>44301.591458333336</v>
      </c>
      <c r="S227" s="1">
        <v>44301.640682870369</v>
      </c>
      <c r="T227">
        <v>4</v>
      </c>
      <c r="U227">
        <v>5</v>
      </c>
      <c r="V227" s="2">
        <v>0.8</v>
      </c>
      <c r="W227">
        <v>0</v>
      </c>
      <c r="X227" t="s">
        <v>30</v>
      </c>
      <c r="Y227">
        <v>0</v>
      </c>
      <c r="Z227" t="s">
        <v>30</v>
      </c>
      <c r="AA227">
        <v>0</v>
      </c>
      <c r="AB227" t="s">
        <v>30</v>
      </c>
      <c r="AC227">
        <v>0</v>
      </c>
      <c r="AD227" t="s">
        <v>30</v>
      </c>
      <c r="AE227">
        <v>0</v>
      </c>
      <c r="AF227" t="s">
        <v>45</v>
      </c>
      <c r="AG227">
        <v>0</v>
      </c>
      <c r="AH227" t="s">
        <v>31</v>
      </c>
      <c r="AI227">
        <v>0</v>
      </c>
      <c r="AJ227" t="s">
        <v>31</v>
      </c>
      <c r="AK227">
        <v>0</v>
      </c>
      <c r="AL227" t="s">
        <v>31</v>
      </c>
      <c r="AM227">
        <v>0</v>
      </c>
      <c r="AN227" t="s">
        <v>31</v>
      </c>
      <c r="AO227">
        <v>0</v>
      </c>
      <c r="AP227" t="s">
        <v>31</v>
      </c>
      <c r="AQ227">
        <v>0</v>
      </c>
    </row>
    <row r="228" spans="1:43" x14ac:dyDescent="0.2">
      <c r="A228" t="s">
        <v>381</v>
      </c>
      <c r="B228" s="3">
        <v>44302</v>
      </c>
      <c r="C228">
        <v>65</v>
      </c>
      <c r="D228" t="s">
        <v>387</v>
      </c>
      <c r="E228" t="s">
        <v>130</v>
      </c>
      <c r="F228" s="9" t="s">
        <v>207</v>
      </c>
      <c r="G228" t="s">
        <v>26</v>
      </c>
      <c r="H228" t="s">
        <v>185</v>
      </c>
      <c r="I228" t="s">
        <v>186</v>
      </c>
      <c r="J228" t="s">
        <v>162</v>
      </c>
      <c r="K228" t="s">
        <v>47</v>
      </c>
      <c r="L228" t="s">
        <v>29</v>
      </c>
      <c r="M228" t="s">
        <v>30</v>
      </c>
      <c r="N228" t="s">
        <v>185</v>
      </c>
      <c r="O228" t="s">
        <v>186</v>
      </c>
      <c r="P228" t="s">
        <v>162</v>
      </c>
      <c r="Q228" t="s">
        <v>47</v>
      </c>
      <c r="R228" s="1">
        <v>44302.631921296299</v>
      </c>
      <c r="S228" s="1">
        <v>44302.631921296299</v>
      </c>
      <c r="T228">
        <v>0</v>
      </c>
      <c r="U228">
        <v>1</v>
      </c>
      <c r="V228" s="2">
        <v>0</v>
      </c>
      <c r="W228">
        <v>0</v>
      </c>
      <c r="X228" t="s">
        <v>45</v>
      </c>
      <c r="Y228">
        <v>0</v>
      </c>
      <c r="Z228" t="s">
        <v>31</v>
      </c>
      <c r="AA228">
        <v>0</v>
      </c>
      <c r="AB228" t="s">
        <v>31</v>
      </c>
      <c r="AC228">
        <v>0</v>
      </c>
      <c r="AD228" t="s">
        <v>31</v>
      </c>
      <c r="AE228">
        <v>0</v>
      </c>
      <c r="AF228" t="s">
        <v>31</v>
      </c>
      <c r="AG228">
        <v>0</v>
      </c>
      <c r="AH228" t="s">
        <v>31</v>
      </c>
      <c r="AI228">
        <v>0</v>
      </c>
      <c r="AJ228" t="s">
        <v>31</v>
      </c>
      <c r="AK228">
        <v>0</v>
      </c>
      <c r="AL228" t="s">
        <v>31</v>
      </c>
      <c r="AM228">
        <v>0</v>
      </c>
      <c r="AN228" t="s">
        <v>31</v>
      </c>
      <c r="AO228">
        <v>0</v>
      </c>
      <c r="AP228" t="s">
        <v>31</v>
      </c>
      <c r="AQ228">
        <v>0</v>
      </c>
    </row>
    <row r="229" spans="1:43" x14ac:dyDescent="0.2">
      <c r="A229" t="s">
        <v>381</v>
      </c>
      <c r="B229" s="3">
        <v>44307</v>
      </c>
      <c r="C229">
        <v>67</v>
      </c>
      <c r="D229" t="s">
        <v>387</v>
      </c>
      <c r="E229" t="s">
        <v>130</v>
      </c>
      <c r="F229" s="9" t="s">
        <v>207</v>
      </c>
      <c r="G229" t="s">
        <v>26</v>
      </c>
      <c r="H229" t="s">
        <v>185</v>
      </c>
      <c r="I229" t="s">
        <v>186</v>
      </c>
      <c r="J229" t="s">
        <v>162</v>
      </c>
      <c r="K229" t="s">
        <v>47</v>
      </c>
      <c r="L229" t="s">
        <v>29</v>
      </c>
      <c r="M229" t="s">
        <v>30</v>
      </c>
      <c r="N229" t="s">
        <v>185</v>
      </c>
      <c r="O229" t="s">
        <v>186</v>
      </c>
      <c r="P229" t="s">
        <v>43</v>
      </c>
      <c r="Q229" t="s">
        <v>44</v>
      </c>
      <c r="R229" s="1">
        <v>44307.632743055554</v>
      </c>
      <c r="S229" s="1">
        <v>44307.632743055554</v>
      </c>
      <c r="T229">
        <v>0</v>
      </c>
      <c r="U229">
        <v>3</v>
      </c>
      <c r="V229" s="2">
        <v>0</v>
      </c>
      <c r="W229">
        <v>0</v>
      </c>
      <c r="X229" t="s">
        <v>45</v>
      </c>
      <c r="Y229">
        <v>0</v>
      </c>
      <c r="Z229" t="s">
        <v>61</v>
      </c>
      <c r="AA229">
        <v>0</v>
      </c>
      <c r="AB229" t="s">
        <v>47</v>
      </c>
      <c r="AC229">
        <v>0</v>
      </c>
      <c r="AD229" t="s">
        <v>31</v>
      </c>
      <c r="AE229">
        <v>0</v>
      </c>
      <c r="AF229" t="s">
        <v>31</v>
      </c>
      <c r="AG229">
        <v>0</v>
      </c>
      <c r="AH229" t="s">
        <v>31</v>
      </c>
      <c r="AI229">
        <v>0</v>
      </c>
      <c r="AJ229" t="s">
        <v>31</v>
      </c>
      <c r="AK229">
        <v>0</v>
      </c>
      <c r="AL229" t="s">
        <v>31</v>
      </c>
      <c r="AM229">
        <v>0</v>
      </c>
      <c r="AN229" t="s">
        <v>31</v>
      </c>
      <c r="AO229">
        <v>0</v>
      </c>
      <c r="AP229" t="s">
        <v>31</v>
      </c>
      <c r="AQ229">
        <v>0</v>
      </c>
    </row>
    <row r="230" spans="1:43" x14ac:dyDescent="0.2">
      <c r="A230" t="s">
        <v>381</v>
      </c>
      <c r="B230" s="3">
        <v>44308</v>
      </c>
      <c r="C230">
        <v>68</v>
      </c>
      <c r="D230" t="s">
        <v>383</v>
      </c>
      <c r="E230" t="s">
        <v>130</v>
      </c>
      <c r="F230" s="9" t="s">
        <v>207</v>
      </c>
      <c r="G230" t="s">
        <v>26</v>
      </c>
      <c r="H230" t="s">
        <v>185</v>
      </c>
      <c r="I230" t="s">
        <v>186</v>
      </c>
      <c r="J230" t="s">
        <v>43</v>
      </c>
      <c r="K230" t="s">
        <v>44</v>
      </c>
      <c r="L230" t="s">
        <v>29</v>
      </c>
      <c r="M230" t="s">
        <v>30</v>
      </c>
      <c r="N230" t="s">
        <v>185</v>
      </c>
      <c r="O230" t="s">
        <v>186</v>
      </c>
      <c r="P230" t="s">
        <v>43</v>
      </c>
      <c r="Q230" t="s">
        <v>44</v>
      </c>
      <c r="R230" s="1">
        <v>44308.410081018519</v>
      </c>
      <c r="S230" s="1">
        <v>44308.461331018516</v>
      </c>
      <c r="T230">
        <v>0</v>
      </c>
      <c r="U230">
        <v>2</v>
      </c>
      <c r="V230" s="2">
        <v>0</v>
      </c>
      <c r="W230">
        <v>0</v>
      </c>
      <c r="X230" t="s">
        <v>47</v>
      </c>
      <c r="Y230">
        <v>0</v>
      </c>
      <c r="Z230" t="s">
        <v>47</v>
      </c>
      <c r="AA230">
        <v>0</v>
      </c>
      <c r="AB230" t="s">
        <v>31</v>
      </c>
      <c r="AC230">
        <v>0</v>
      </c>
      <c r="AD230" t="s">
        <v>31</v>
      </c>
      <c r="AE230">
        <v>0</v>
      </c>
      <c r="AF230" t="s">
        <v>31</v>
      </c>
      <c r="AG230">
        <v>0</v>
      </c>
      <c r="AH230" t="s">
        <v>31</v>
      </c>
      <c r="AI230">
        <v>0</v>
      </c>
      <c r="AJ230" t="s">
        <v>31</v>
      </c>
      <c r="AK230">
        <v>0</v>
      </c>
      <c r="AL230" t="s">
        <v>31</v>
      </c>
      <c r="AM230">
        <v>0</v>
      </c>
      <c r="AN230" t="s">
        <v>31</v>
      </c>
      <c r="AO230">
        <v>0</v>
      </c>
      <c r="AP230" t="s">
        <v>31</v>
      </c>
      <c r="AQ230">
        <v>0</v>
      </c>
    </row>
    <row r="231" spans="1:43" x14ac:dyDescent="0.2">
      <c r="A231" t="s">
        <v>381</v>
      </c>
      <c r="B231" s="3">
        <v>44308</v>
      </c>
      <c r="C231">
        <v>69</v>
      </c>
      <c r="D231" t="s">
        <v>385</v>
      </c>
      <c r="E231" t="s">
        <v>130</v>
      </c>
      <c r="F231" s="9" t="s">
        <v>207</v>
      </c>
      <c r="G231" t="s">
        <v>26</v>
      </c>
      <c r="H231" t="s">
        <v>185</v>
      </c>
      <c r="I231" t="s">
        <v>186</v>
      </c>
      <c r="J231" t="s">
        <v>43</v>
      </c>
      <c r="K231" t="s">
        <v>44</v>
      </c>
      <c r="L231" t="s">
        <v>29</v>
      </c>
      <c r="M231" t="s">
        <v>30</v>
      </c>
      <c r="N231" t="s">
        <v>185</v>
      </c>
      <c r="O231" t="s">
        <v>186</v>
      </c>
      <c r="P231" t="s">
        <v>43</v>
      </c>
      <c r="Q231" t="s">
        <v>44</v>
      </c>
      <c r="R231" s="1">
        <v>44308.560983796298</v>
      </c>
      <c r="S231" s="1">
        <v>44308.636377314811</v>
      </c>
      <c r="T231">
        <v>3</v>
      </c>
      <c r="U231">
        <v>5</v>
      </c>
      <c r="V231" s="2">
        <v>0.6</v>
      </c>
      <c r="W231">
        <v>0</v>
      </c>
      <c r="X231" t="s">
        <v>30</v>
      </c>
      <c r="Y231">
        <v>0</v>
      </c>
      <c r="Z231" t="s">
        <v>30</v>
      </c>
      <c r="AA231">
        <v>0</v>
      </c>
      <c r="AB231" t="s">
        <v>44</v>
      </c>
      <c r="AC231">
        <v>0</v>
      </c>
      <c r="AD231" t="s">
        <v>44</v>
      </c>
      <c r="AE231">
        <v>0</v>
      </c>
      <c r="AF231" t="s">
        <v>30</v>
      </c>
      <c r="AG231">
        <v>0</v>
      </c>
      <c r="AH231" t="s">
        <v>31</v>
      </c>
      <c r="AI231">
        <v>0</v>
      </c>
      <c r="AJ231" t="s">
        <v>31</v>
      </c>
      <c r="AK231">
        <v>0</v>
      </c>
      <c r="AL231" t="s">
        <v>31</v>
      </c>
      <c r="AM231">
        <v>0</v>
      </c>
      <c r="AN231" t="s">
        <v>31</v>
      </c>
      <c r="AO231">
        <v>0</v>
      </c>
      <c r="AP231" t="s">
        <v>31</v>
      </c>
      <c r="AQ231">
        <v>0</v>
      </c>
    </row>
    <row r="232" spans="1:43" x14ac:dyDescent="0.2">
      <c r="A232" t="s">
        <v>381</v>
      </c>
      <c r="B232" s="3">
        <v>44309</v>
      </c>
      <c r="C232">
        <v>71</v>
      </c>
      <c r="D232" t="s">
        <v>391</v>
      </c>
      <c r="E232" t="s">
        <v>130</v>
      </c>
      <c r="F232" s="9" t="s">
        <v>207</v>
      </c>
      <c r="G232" t="s">
        <v>26</v>
      </c>
      <c r="H232" t="s">
        <v>185</v>
      </c>
      <c r="I232" t="s">
        <v>186</v>
      </c>
      <c r="J232" t="s">
        <v>43</v>
      </c>
      <c r="K232" t="s">
        <v>44</v>
      </c>
      <c r="L232" t="s">
        <v>29</v>
      </c>
      <c r="M232" t="s">
        <v>30</v>
      </c>
      <c r="N232" t="s">
        <v>185</v>
      </c>
      <c r="O232" t="s">
        <v>186</v>
      </c>
      <c r="P232" t="s">
        <v>43</v>
      </c>
      <c r="Q232" t="s">
        <v>44</v>
      </c>
      <c r="R232" s="1">
        <v>44309.564918981479</v>
      </c>
      <c r="S232" s="1">
        <v>44309.564930555556</v>
      </c>
      <c r="T232">
        <v>2</v>
      </c>
      <c r="U232">
        <v>2</v>
      </c>
      <c r="V232" s="2">
        <v>1</v>
      </c>
      <c r="W232">
        <v>0</v>
      </c>
      <c r="X232" t="s">
        <v>30</v>
      </c>
      <c r="Y232">
        <v>0</v>
      </c>
      <c r="Z232" t="s">
        <v>30</v>
      </c>
      <c r="AA232">
        <v>0</v>
      </c>
      <c r="AB232" t="s">
        <v>31</v>
      </c>
      <c r="AC232">
        <v>0</v>
      </c>
      <c r="AD232" t="s">
        <v>31</v>
      </c>
      <c r="AE232">
        <v>0</v>
      </c>
      <c r="AF232" t="s">
        <v>31</v>
      </c>
      <c r="AG232">
        <v>0</v>
      </c>
      <c r="AH232" t="s">
        <v>31</v>
      </c>
      <c r="AI232">
        <v>0</v>
      </c>
      <c r="AJ232" t="s">
        <v>31</v>
      </c>
      <c r="AK232">
        <v>0</v>
      </c>
      <c r="AL232" t="s">
        <v>31</v>
      </c>
      <c r="AM232">
        <v>0</v>
      </c>
      <c r="AN232" t="s">
        <v>31</v>
      </c>
      <c r="AO232">
        <v>0</v>
      </c>
      <c r="AP232" t="s">
        <v>31</v>
      </c>
      <c r="AQ232">
        <v>0</v>
      </c>
    </row>
    <row r="233" spans="1:43" x14ac:dyDescent="0.2">
      <c r="A233" t="s">
        <v>381</v>
      </c>
      <c r="B233" s="3">
        <v>44312</v>
      </c>
      <c r="C233">
        <v>73</v>
      </c>
      <c r="D233" t="s">
        <v>387</v>
      </c>
      <c r="E233" t="s">
        <v>130</v>
      </c>
      <c r="F233" s="9" t="s">
        <v>207</v>
      </c>
      <c r="G233" t="s">
        <v>26</v>
      </c>
      <c r="H233" t="s">
        <v>185</v>
      </c>
      <c r="I233" t="s">
        <v>186</v>
      </c>
      <c r="J233" t="s">
        <v>43</v>
      </c>
      <c r="K233" t="s">
        <v>44</v>
      </c>
      <c r="L233" t="s">
        <v>29</v>
      </c>
      <c r="M233" t="s">
        <v>30</v>
      </c>
      <c r="N233" t="s">
        <v>64</v>
      </c>
      <c r="O233" t="s">
        <v>65</v>
      </c>
      <c r="P233" t="s">
        <v>43</v>
      </c>
      <c r="Q233" t="s">
        <v>44</v>
      </c>
      <c r="R233" s="1">
        <v>44312.563599537039</v>
      </c>
      <c r="S233" s="1">
        <v>44312.563599537039</v>
      </c>
      <c r="T233">
        <v>2</v>
      </c>
      <c r="U233">
        <v>2</v>
      </c>
      <c r="V233" s="2">
        <v>1</v>
      </c>
      <c r="W233">
        <v>0</v>
      </c>
      <c r="X233" t="s">
        <v>30</v>
      </c>
      <c r="Y233">
        <v>0</v>
      </c>
      <c r="Z233" t="s">
        <v>30</v>
      </c>
      <c r="AA233">
        <v>0</v>
      </c>
      <c r="AB233" t="s">
        <v>31</v>
      </c>
      <c r="AC233">
        <v>0</v>
      </c>
      <c r="AD233" t="s">
        <v>31</v>
      </c>
      <c r="AE233">
        <v>0</v>
      </c>
      <c r="AF233" t="s">
        <v>31</v>
      </c>
      <c r="AG233">
        <v>0</v>
      </c>
      <c r="AH233" t="s">
        <v>31</v>
      </c>
      <c r="AI233">
        <v>0</v>
      </c>
      <c r="AJ233" t="s">
        <v>31</v>
      </c>
      <c r="AK233">
        <v>0</v>
      </c>
      <c r="AL233" t="s">
        <v>31</v>
      </c>
      <c r="AM233">
        <v>0</v>
      </c>
      <c r="AN233" t="s">
        <v>31</v>
      </c>
      <c r="AO233">
        <v>0</v>
      </c>
      <c r="AP233" t="s">
        <v>31</v>
      </c>
      <c r="AQ233">
        <v>0</v>
      </c>
    </row>
    <row r="234" spans="1:43" x14ac:dyDescent="0.2">
      <c r="A234" t="s">
        <v>381</v>
      </c>
      <c r="B234" s="3">
        <v>44313</v>
      </c>
      <c r="C234">
        <v>74</v>
      </c>
      <c r="D234" t="s">
        <v>383</v>
      </c>
      <c r="E234" t="s">
        <v>130</v>
      </c>
      <c r="F234" s="9" t="s">
        <v>207</v>
      </c>
      <c r="G234" t="s">
        <v>26</v>
      </c>
      <c r="H234" t="s">
        <v>64</v>
      </c>
      <c r="I234" t="s">
        <v>65</v>
      </c>
      <c r="J234" t="s">
        <v>43</v>
      </c>
      <c r="K234" t="s">
        <v>44</v>
      </c>
      <c r="L234" t="s">
        <v>29</v>
      </c>
      <c r="M234" t="s">
        <v>30</v>
      </c>
      <c r="N234" t="s">
        <v>64</v>
      </c>
      <c r="O234" t="s">
        <v>65</v>
      </c>
      <c r="P234" t="s">
        <v>43</v>
      </c>
      <c r="Q234" t="s">
        <v>44</v>
      </c>
      <c r="R234" s="1">
        <v>44313.396331018521</v>
      </c>
      <c r="S234" s="1">
        <v>44313.459907407407</v>
      </c>
      <c r="T234">
        <v>1</v>
      </c>
      <c r="U234">
        <v>2</v>
      </c>
      <c r="V234" s="2">
        <v>0.5</v>
      </c>
      <c r="W234">
        <v>0</v>
      </c>
      <c r="X234" t="s">
        <v>30</v>
      </c>
      <c r="Y234">
        <v>0</v>
      </c>
      <c r="Z234" t="s">
        <v>45</v>
      </c>
      <c r="AA234">
        <v>0</v>
      </c>
      <c r="AB234" t="s">
        <v>31</v>
      </c>
      <c r="AC234">
        <v>0</v>
      </c>
      <c r="AD234" t="s">
        <v>31</v>
      </c>
      <c r="AE234">
        <v>0</v>
      </c>
      <c r="AF234" t="s">
        <v>31</v>
      </c>
      <c r="AG234">
        <v>0</v>
      </c>
      <c r="AH234" t="s">
        <v>31</v>
      </c>
      <c r="AI234">
        <v>0</v>
      </c>
      <c r="AJ234" t="s">
        <v>31</v>
      </c>
      <c r="AK234">
        <v>0</v>
      </c>
      <c r="AL234" t="s">
        <v>31</v>
      </c>
      <c r="AM234">
        <v>0</v>
      </c>
      <c r="AN234" t="s">
        <v>31</v>
      </c>
      <c r="AO234">
        <v>0</v>
      </c>
      <c r="AP234" t="s">
        <v>31</v>
      </c>
      <c r="AQ234">
        <v>0</v>
      </c>
    </row>
    <row r="235" spans="1:43" x14ac:dyDescent="0.2">
      <c r="A235" t="s">
        <v>381</v>
      </c>
      <c r="B235" s="3">
        <v>44313</v>
      </c>
      <c r="C235">
        <v>76</v>
      </c>
      <c r="D235" t="s">
        <v>385</v>
      </c>
      <c r="E235" t="s">
        <v>130</v>
      </c>
      <c r="F235" s="9" t="s">
        <v>207</v>
      </c>
      <c r="G235" t="s">
        <v>26</v>
      </c>
      <c r="H235" t="s">
        <v>64</v>
      </c>
      <c r="I235" t="s">
        <v>65</v>
      </c>
      <c r="J235" t="s">
        <v>43</v>
      </c>
      <c r="K235" t="s">
        <v>44</v>
      </c>
      <c r="L235" t="s">
        <v>29</v>
      </c>
      <c r="M235" t="s">
        <v>30</v>
      </c>
      <c r="N235" t="s">
        <v>64</v>
      </c>
      <c r="O235" t="s">
        <v>65</v>
      </c>
      <c r="P235" t="s">
        <v>43</v>
      </c>
      <c r="Q235" t="s">
        <v>44</v>
      </c>
      <c r="R235" s="1">
        <v>44313.566932870373</v>
      </c>
      <c r="S235" s="1">
        <v>44313.644513888888</v>
      </c>
      <c r="T235">
        <v>4</v>
      </c>
      <c r="U235">
        <v>4</v>
      </c>
      <c r="V235" s="2">
        <v>1</v>
      </c>
      <c r="W235">
        <v>0</v>
      </c>
      <c r="X235" t="s">
        <v>30</v>
      </c>
      <c r="Y235">
        <v>0</v>
      </c>
      <c r="Z235" t="s">
        <v>30</v>
      </c>
      <c r="AA235">
        <v>0</v>
      </c>
      <c r="AB235" t="s">
        <v>30</v>
      </c>
      <c r="AC235">
        <v>0</v>
      </c>
      <c r="AD235" t="s">
        <v>30</v>
      </c>
      <c r="AE235">
        <v>0</v>
      </c>
      <c r="AF235" t="s">
        <v>31</v>
      </c>
      <c r="AG235">
        <v>0</v>
      </c>
      <c r="AH235" t="s">
        <v>31</v>
      </c>
      <c r="AI235">
        <v>0</v>
      </c>
      <c r="AJ235" t="s">
        <v>31</v>
      </c>
      <c r="AK235">
        <v>0</v>
      </c>
      <c r="AL235" t="s">
        <v>31</v>
      </c>
      <c r="AM235">
        <v>0</v>
      </c>
      <c r="AN235" t="s">
        <v>31</v>
      </c>
      <c r="AO235">
        <v>0</v>
      </c>
      <c r="AP235" t="s">
        <v>31</v>
      </c>
      <c r="AQ235">
        <v>0</v>
      </c>
    </row>
    <row r="236" spans="1:43" x14ac:dyDescent="0.2">
      <c r="A236" t="s">
        <v>381</v>
      </c>
      <c r="B236" s="3">
        <v>44314</v>
      </c>
      <c r="C236">
        <v>77</v>
      </c>
      <c r="D236" t="s">
        <v>403</v>
      </c>
      <c r="E236" t="s">
        <v>130</v>
      </c>
      <c r="F236" s="9" t="s">
        <v>207</v>
      </c>
      <c r="G236" t="s">
        <v>26</v>
      </c>
      <c r="H236" t="s">
        <v>64</v>
      </c>
      <c r="I236" t="s">
        <v>65</v>
      </c>
      <c r="J236" t="s">
        <v>43</v>
      </c>
      <c r="K236" t="s">
        <v>44</v>
      </c>
      <c r="L236" t="s">
        <v>29</v>
      </c>
      <c r="M236" t="s">
        <v>30</v>
      </c>
      <c r="N236" t="s">
        <v>132</v>
      </c>
      <c r="O236" t="s">
        <v>133</v>
      </c>
      <c r="P236" t="s">
        <v>43</v>
      </c>
      <c r="Q236" t="s">
        <v>44</v>
      </c>
      <c r="R236" s="1">
        <v>44314.428310185183</v>
      </c>
      <c r="S236" s="1">
        <v>44314.429236111115</v>
      </c>
      <c r="T236">
        <v>1</v>
      </c>
      <c r="U236">
        <v>1</v>
      </c>
      <c r="V236" s="2">
        <v>1</v>
      </c>
      <c r="W236">
        <v>0</v>
      </c>
      <c r="X236" t="s">
        <v>30</v>
      </c>
      <c r="Y236">
        <v>0</v>
      </c>
      <c r="Z236" t="s">
        <v>31</v>
      </c>
      <c r="AA236">
        <v>0</v>
      </c>
      <c r="AB236" t="s">
        <v>31</v>
      </c>
      <c r="AC236">
        <v>0</v>
      </c>
      <c r="AD236" t="s">
        <v>31</v>
      </c>
      <c r="AE236">
        <v>0</v>
      </c>
      <c r="AF236" t="s">
        <v>31</v>
      </c>
      <c r="AG236">
        <v>0</v>
      </c>
      <c r="AH236" t="s">
        <v>31</v>
      </c>
      <c r="AI236">
        <v>0</v>
      </c>
      <c r="AJ236" t="s">
        <v>31</v>
      </c>
      <c r="AK236">
        <v>0</v>
      </c>
      <c r="AL236" t="s">
        <v>31</v>
      </c>
      <c r="AM236">
        <v>0</v>
      </c>
      <c r="AN236" t="s">
        <v>31</v>
      </c>
      <c r="AO236">
        <v>0</v>
      </c>
      <c r="AP236" t="s">
        <v>31</v>
      </c>
      <c r="AQ236">
        <v>0</v>
      </c>
    </row>
    <row r="237" spans="1:43" x14ac:dyDescent="0.2">
      <c r="A237" t="s">
        <v>381</v>
      </c>
      <c r="B237" s="3">
        <v>44314</v>
      </c>
      <c r="C237">
        <v>78</v>
      </c>
      <c r="D237" t="s">
        <v>387</v>
      </c>
      <c r="E237" t="s">
        <v>130</v>
      </c>
      <c r="F237" s="9" t="s">
        <v>207</v>
      </c>
      <c r="G237" t="s">
        <v>26</v>
      </c>
      <c r="H237" t="s">
        <v>132</v>
      </c>
      <c r="I237" t="s">
        <v>133</v>
      </c>
      <c r="J237" t="s">
        <v>43</v>
      </c>
      <c r="K237" t="s">
        <v>44</v>
      </c>
      <c r="L237" t="s">
        <v>29</v>
      </c>
      <c r="M237" t="s">
        <v>30</v>
      </c>
      <c r="N237" t="s">
        <v>132</v>
      </c>
      <c r="O237" t="s">
        <v>133</v>
      </c>
      <c r="P237" t="s">
        <v>43</v>
      </c>
      <c r="Q237" t="s">
        <v>44</v>
      </c>
      <c r="R237" s="1">
        <v>44314.551377314812</v>
      </c>
      <c r="S237" s="1">
        <v>44314.551377314812</v>
      </c>
      <c r="T237">
        <v>2</v>
      </c>
      <c r="U237">
        <v>2</v>
      </c>
      <c r="V237" s="2">
        <v>1</v>
      </c>
      <c r="W237">
        <v>0</v>
      </c>
      <c r="X237" t="s">
        <v>30</v>
      </c>
      <c r="Y237">
        <v>0</v>
      </c>
      <c r="Z237" t="s">
        <v>30</v>
      </c>
      <c r="AA237">
        <v>0</v>
      </c>
      <c r="AB237" t="s">
        <v>31</v>
      </c>
      <c r="AC237">
        <v>0</v>
      </c>
      <c r="AD237" t="s">
        <v>31</v>
      </c>
      <c r="AE237">
        <v>0</v>
      </c>
      <c r="AF237" t="s">
        <v>31</v>
      </c>
      <c r="AG237">
        <v>0</v>
      </c>
      <c r="AH237" t="s">
        <v>31</v>
      </c>
      <c r="AI237">
        <v>0</v>
      </c>
      <c r="AJ237" t="s">
        <v>31</v>
      </c>
      <c r="AK237">
        <v>0</v>
      </c>
      <c r="AL237" t="s">
        <v>31</v>
      </c>
      <c r="AM237">
        <v>0</v>
      </c>
      <c r="AN237" t="s">
        <v>31</v>
      </c>
      <c r="AO237">
        <v>0</v>
      </c>
      <c r="AP237" t="s">
        <v>31</v>
      </c>
      <c r="AQ237">
        <v>0</v>
      </c>
    </row>
    <row r="238" spans="1:43" x14ac:dyDescent="0.2">
      <c r="A238" t="s">
        <v>381</v>
      </c>
      <c r="B238" s="3">
        <v>44315</v>
      </c>
      <c r="C238">
        <v>79</v>
      </c>
      <c r="D238" t="s">
        <v>383</v>
      </c>
      <c r="E238" t="s">
        <v>130</v>
      </c>
      <c r="F238" s="9" t="s">
        <v>207</v>
      </c>
      <c r="G238" t="s">
        <v>26</v>
      </c>
      <c r="H238" t="s">
        <v>132</v>
      </c>
      <c r="I238" t="s">
        <v>133</v>
      </c>
      <c r="J238" t="s">
        <v>43</v>
      </c>
      <c r="K238" t="s">
        <v>44</v>
      </c>
      <c r="L238" t="s">
        <v>29</v>
      </c>
      <c r="M238" t="s">
        <v>30</v>
      </c>
      <c r="N238" t="s">
        <v>132</v>
      </c>
      <c r="O238" t="s">
        <v>133</v>
      </c>
      <c r="P238" t="s">
        <v>43</v>
      </c>
      <c r="Q238" t="s">
        <v>44</v>
      </c>
      <c r="R238" s="1">
        <v>44315.397928240738</v>
      </c>
      <c r="S238" s="1">
        <v>44315.482870370368</v>
      </c>
      <c r="T238">
        <v>1</v>
      </c>
      <c r="U238">
        <v>3</v>
      </c>
      <c r="V238" s="2">
        <v>0.33</v>
      </c>
      <c r="W238">
        <v>0</v>
      </c>
      <c r="X238" t="s">
        <v>45</v>
      </c>
      <c r="Y238">
        <v>0</v>
      </c>
      <c r="Z238" t="s">
        <v>30</v>
      </c>
      <c r="AA238">
        <v>0</v>
      </c>
      <c r="AB238" t="s">
        <v>47</v>
      </c>
      <c r="AC238">
        <v>0</v>
      </c>
      <c r="AD238" t="s">
        <v>31</v>
      </c>
      <c r="AE238">
        <v>0</v>
      </c>
      <c r="AF238" t="s">
        <v>31</v>
      </c>
      <c r="AG238">
        <v>0</v>
      </c>
      <c r="AH238" t="s">
        <v>31</v>
      </c>
      <c r="AI238">
        <v>0</v>
      </c>
      <c r="AJ238" t="s">
        <v>31</v>
      </c>
      <c r="AK238">
        <v>0</v>
      </c>
      <c r="AL238" t="s">
        <v>31</v>
      </c>
      <c r="AM238">
        <v>0</v>
      </c>
      <c r="AN238" t="s">
        <v>31</v>
      </c>
      <c r="AO238">
        <v>0</v>
      </c>
      <c r="AP238" t="s">
        <v>31</v>
      </c>
      <c r="AQ238">
        <v>0</v>
      </c>
    </row>
    <row r="239" spans="1:43" x14ac:dyDescent="0.2">
      <c r="A239" t="s">
        <v>381</v>
      </c>
      <c r="B239" s="3">
        <v>44316</v>
      </c>
      <c r="C239">
        <v>82</v>
      </c>
      <c r="D239" t="s">
        <v>389</v>
      </c>
      <c r="E239" t="s">
        <v>130</v>
      </c>
      <c r="F239" s="9" t="s">
        <v>207</v>
      </c>
      <c r="G239" t="s">
        <v>26</v>
      </c>
      <c r="H239" t="s">
        <v>132</v>
      </c>
      <c r="I239" t="s">
        <v>133</v>
      </c>
      <c r="J239" t="s">
        <v>43</v>
      </c>
      <c r="K239" t="s">
        <v>44</v>
      </c>
      <c r="L239" t="s">
        <v>29</v>
      </c>
      <c r="M239" t="s">
        <v>30</v>
      </c>
      <c r="N239" t="s">
        <v>132</v>
      </c>
      <c r="O239" t="s">
        <v>133</v>
      </c>
      <c r="P239" t="s">
        <v>43</v>
      </c>
      <c r="Q239" t="s">
        <v>44</v>
      </c>
      <c r="R239" s="1">
        <v>44316.411990740744</v>
      </c>
      <c r="S239" s="1">
        <v>44316.455775462964</v>
      </c>
      <c r="T239">
        <v>4</v>
      </c>
      <c r="U239">
        <v>4</v>
      </c>
      <c r="V239" s="2">
        <v>1</v>
      </c>
      <c r="W239">
        <v>0</v>
      </c>
      <c r="X239" t="s">
        <v>30</v>
      </c>
      <c r="Y239">
        <v>0</v>
      </c>
      <c r="Z239" t="s">
        <v>30</v>
      </c>
      <c r="AA239">
        <v>0</v>
      </c>
      <c r="AB239" t="s">
        <v>30</v>
      </c>
      <c r="AC239">
        <v>0</v>
      </c>
      <c r="AD239" t="s">
        <v>30</v>
      </c>
      <c r="AE239">
        <v>0</v>
      </c>
      <c r="AF239" t="s">
        <v>31</v>
      </c>
      <c r="AG239">
        <v>0</v>
      </c>
      <c r="AH239" t="s">
        <v>31</v>
      </c>
      <c r="AI239">
        <v>0</v>
      </c>
      <c r="AJ239" t="s">
        <v>31</v>
      </c>
      <c r="AK239">
        <v>0</v>
      </c>
      <c r="AL239" t="s">
        <v>31</v>
      </c>
      <c r="AM239">
        <v>0</v>
      </c>
      <c r="AN239" t="s">
        <v>31</v>
      </c>
      <c r="AO239">
        <v>0</v>
      </c>
      <c r="AP239" t="s">
        <v>31</v>
      </c>
      <c r="AQ239">
        <v>0</v>
      </c>
    </row>
    <row r="240" spans="1:43" x14ac:dyDescent="0.2">
      <c r="A240" t="s">
        <v>381</v>
      </c>
      <c r="B240" s="3">
        <v>44316</v>
      </c>
      <c r="C240">
        <v>83</v>
      </c>
      <c r="D240" t="s">
        <v>387</v>
      </c>
      <c r="E240" t="s">
        <v>130</v>
      </c>
      <c r="F240" s="9" t="s">
        <v>207</v>
      </c>
      <c r="G240" t="s">
        <v>26</v>
      </c>
      <c r="H240" t="s">
        <v>132</v>
      </c>
      <c r="I240" t="s">
        <v>133</v>
      </c>
      <c r="J240" t="s">
        <v>43</v>
      </c>
      <c r="K240" t="s">
        <v>44</v>
      </c>
      <c r="L240" t="s">
        <v>29</v>
      </c>
      <c r="M240" t="s">
        <v>30</v>
      </c>
      <c r="N240" t="s">
        <v>116</v>
      </c>
      <c r="O240" t="s">
        <v>117</v>
      </c>
      <c r="P240" t="s">
        <v>43</v>
      </c>
      <c r="Q240" t="s">
        <v>44</v>
      </c>
      <c r="R240" s="1">
        <v>44316.539456018516</v>
      </c>
      <c r="S240" s="1">
        <v>44316.539456018516</v>
      </c>
      <c r="T240">
        <v>5</v>
      </c>
      <c r="U240">
        <v>5</v>
      </c>
      <c r="V240" s="2">
        <v>1</v>
      </c>
      <c r="W240">
        <v>0</v>
      </c>
      <c r="X240" t="s">
        <v>30</v>
      </c>
      <c r="Y240">
        <v>0</v>
      </c>
      <c r="Z240" t="s">
        <v>30</v>
      </c>
      <c r="AA240">
        <v>0</v>
      </c>
      <c r="AB240" t="s">
        <v>30</v>
      </c>
      <c r="AC240">
        <v>0</v>
      </c>
      <c r="AD240" t="s">
        <v>30</v>
      </c>
      <c r="AE240">
        <v>0</v>
      </c>
      <c r="AF240" t="s">
        <v>30</v>
      </c>
      <c r="AG240">
        <v>0</v>
      </c>
      <c r="AH240" t="s">
        <v>31</v>
      </c>
      <c r="AI240">
        <v>0</v>
      </c>
      <c r="AJ240" t="s">
        <v>31</v>
      </c>
      <c r="AK240">
        <v>0</v>
      </c>
      <c r="AL240" t="s">
        <v>31</v>
      </c>
      <c r="AM240">
        <v>0</v>
      </c>
      <c r="AN240" t="s">
        <v>31</v>
      </c>
      <c r="AO240">
        <v>0</v>
      </c>
      <c r="AP240" t="s">
        <v>31</v>
      </c>
      <c r="AQ240">
        <v>0</v>
      </c>
    </row>
    <row r="241" spans="1:57" x14ac:dyDescent="0.2">
      <c r="A241" t="s">
        <v>381</v>
      </c>
      <c r="B241" s="3">
        <v>44320</v>
      </c>
      <c r="C241">
        <v>87</v>
      </c>
      <c r="D241" t="s">
        <v>385</v>
      </c>
      <c r="E241" t="s">
        <v>130</v>
      </c>
      <c r="F241" s="9" t="s">
        <v>207</v>
      </c>
      <c r="G241" t="s">
        <v>26</v>
      </c>
      <c r="H241" t="s">
        <v>132</v>
      </c>
      <c r="I241" t="s">
        <v>133</v>
      </c>
      <c r="J241" t="s">
        <v>29</v>
      </c>
      <c r="K241" t="s">
        <v>30</v>
      </c>
      <c r="L241" t="s">
        <v>29</v>
      </c>
      <c r="M241" t="s">
        <v>30</v>
      </c>
      <c r="N241" t="s">
        <v>132</v>
      </c>
      <c r="O241" t="s">
        <v>133</v>
      </c>
      <c r="P241" t="s">
        <v>29</v>
      </c>
      <c r="Q241" t="s">
        <v>30</v>
      </c>
      <c r="R241" s="1">
        <v>44320.570347222223</v>
      </c>
      <c r="S241" s="1">
        <v>44320.637962962966</v>
      </c>
      <c r="T241">
        <v>3</v>
      </c>
      <c r="U241">
        <v>4</v>
      </c>
      <c r="V241" s="2">
        <v>0.75</v>
      </c>
      <c r="W241">
        <v>0</v>
      </c>
      <c r="X241" t="s">
        <v>47</v>
      </c>
      <c r="Y241">
        <v>0</v>
      </c>
      <c r="Z241" t="s">
        <v>30</v>
      </c>
      <c r="AA241">
        <v>0</v>
      </c>
      <c r="AB241" t="s">
        <v>30</v>
      </c>
      <c r="AC241">
        <v>0</v>
      </c>
      <c r="AD241" t="s">
        <v>30</v>
      </c>
      <c r="AE241">
        <v>0</v>
      </c>
      <c r="AF241" t="s">
        <v>31</v>
      </c>
      <c r="AG241">
        <v>0</v>
      </c>
      <c r="AH241" t="s">
        <v>31</v>
      </c>
      <c r="AI241">
        <v>0</v>
      </c>
      <c r="AJ241" t="s">
        <v>31</v>
      </c>
      <c r="AK241">
        <v>0</v>
      </c>
      <c r="AL241" t="s">
        <v>31</v>
      </c>
      <c r="AM241">
        <v>0</v>
      </c>
      <c r="AN241" t="s">
        <v>31</v>
      </c>
      <c r="AO241">
        <v>0</v>
      </c>
      <c r="AP241" t="s">
        <v>31</v>
      </c>
      <c r="AQ241">
        <v>0</v>
      </c>
    </row>
    <row r="242" spans="1:57" x14ac:dyDescent="0.2">
      <c r="A242" t="s">
        <v>381</v>
      </c>
      <c r="B242" s="3">
        <v>44321</v>
      </c>
      <c r="C242">
        <v>89</v>
      </c>
      <c r="D242" t="s">
        <v>387</v>
      </c>
      <c r="E242" t="s">
        <v>130</v>
      </c>
      <c r="F242" s="9" t="s">
        <v>207</v>
      </c>
      <c r="G242" t="s">
        <v>26</v>
      </c>
      <c r="H242" t="s">
        <v>132</v>
      </c>
      <c r="I242" t="s">
        <v>133</v>
      </c>
      <c r="J242" t="s">
        <v>29</v>
      </c>
      <c r="K242" t="s">
        <v>30</v>
      </c>
      <c r="L242" t="s">
        <v>29</v>
      </c>
      <c r="M242" t="s">
        <v>30</v>
      </c>
      <c r="N242" t="s">
        <v>132</v>
      </c>
      <c r="O242" t="s">
        <v>133</v>
      </c>
      <c r="P242" t="s">
        <v>29</v>
      </c>
      <c r="Q242" t="s">
        <v>30</v>
      </c>
      <c r="R242" s="1">
        <v>44321.534756944442</v>
      </c>
      <c r="S242" s="1">
        <v>44321.585787037038</v>
      </c>
      <c r="T242">
        <v>7</v>
      </c>
      <c r="U242">
        <v>7</v>
      </c>
      <c r="V242" s="2">
        <v>1</v>
      </c>
      <c r="W242">
        <v>0</v>
      </c>
      <c r="X242" t="s">
        <v>30</v>
      </c>
      <c r="Y242">
        <v>0</v>
      </c>
      <c r="Z242" t="s">
        <v>30</v>
      </c>
      <c r="AA242">
        <v>0</v>
      </c>
      <c r="AB242" t="s">
        <v>30</v>
      </c>
      <c r="AC242">
        <v>0</v>
      </c>
      <c r="AD242" t="s">
        <v>30</v>
      </c>
      <c r="AE242">
        <v>0</v>
      </c>
      <c r="AF242" t="s">
        <v>30</v>
      </c>
      <c r="AG242">
        <v>0</v>
      </c>
      <c r="AH242" t="s">
        <v>30</v>
      </c>
      <c r="AI242">
        <v>0</v>
      </c>
      <c r="AJ242" t="s">
        <v>30</v>
      </c>
      <c r="AK242">
        <v>0</v>
      </c>
      <c r="AL242" t="s">
        <v>31</v>
      </c>
      <c r="AM242">
        <v>0</v>
      </c>
      <c r="AN242" t="s">
        <v>31</v>
      </c>
      <c r="AO242">
        <v>0</v>
      </c>
      <c r="AP242" t="s">
        <v>31</v>
      </c>
      <c r="AQ242">
        <v>0</v>
      </c>
    </row>
    <row r="243" spans="1:57" x14ac:dyDescent="0.2">
      <c r="A243" t="s">
        <v>381</v>
      </c>
      <c r="B243" s="3">
        <v>44323</v>
      </c>
      <c r="C243">
        <v>90</v>
      </c>
      <c r="D243" t="s">
        <v>404</v>
      </c>
      <c r="E243" t="s">
        <v>130</v>
      </c>
      <c r="F243" s="9" t="s">
        <v>207</v>
      </c>
      <c r="G243" t="s">
        <v>26</v>
      </c>
      <c r="H243" t="s">
        <v>132</v>
      </c>
      <c r="I243" t="s">
        <v>133</v>
      </c>
      <c r="J243" t="s">
        <v>29</v>
      </c>
      <c r="K243" t="s">
        <v>30</v>
      </c>
      <c r="L243" t="s">
        <v>29</v>
      </c>
      <c r="M243" t="s">
        <v>30</v>
      </c>
      <c r="N243" t="s">
        <v>132</v>
      </c>
      <c r="O243" t="s">
        <v>133</v>
      </c>
      <c r="P243" t="s">
        <v>29</v>
      </c>
      <c r="Q243" t="s">
        <v>30</v>
      </c>
      <c r="R243" s="1">
        <v>44323.38480324074</v>
      </c>
      <c r="S243" s="1">
        <v>44323.384837962964</v>
      </c>
      <c r="T243">
        <v>1</v>
      </c>
      <c r="U243">
        <v>4</v>
      </c>
      <c r="V243" s="2">
        <v>0.25</v>
      </c>
      <c r="W243">
        <v>0</v>
      </c>
      <c r="X243" t="s">
        <v>44</v>
      </c>
      <c r="Y243">
        <v>0</v>
      </c>
      <c r="Z243" t="s">
        <v>44</v>
      </c>
      <c r="AA243">
        <v>0</v>
      </c>
      <c r="AB243" t="s">
        <v>45</v>
      </c>
      <c r="AC243">
        <v>0</v>
      </c>
      <c r="AD243" t="s">
        <v>30</v>
      </c>
      <c r="AE243">
        <v>0</v>
      </c>
      <c r="AF243" t="s">
        <v>31</v>
      </c>
      <c r="AG243">
        <v>0</v>
      </c>
      <c r="AH243" t="s">
        <v>31</v>
      </c>
      <c r="AI243">
        <v>0</v>
      </c>
      <c r="AJ243" t="s">
        <v>31</v>
      </c>
      <c r="AK243">
        <v>0</v>
      </c>
      <c r="AL243" t="s">
        <v>31</v>
      </c>
      <c r="AM243">
        <v>0</v>
      </c>
      <c r="AN243" t="s">
        <v>31</v>
      </c>
      <c r="AO243">
        <v>0</v>
      </c>
      <c r="AP243" t="s">
        <v>31</v>
      </c>
      <c r="AQ243">
        <v>0</v>
      </c>
    </row>
    <row r="244" spans="1:57" x14ac:dyDescent="0.2">
      <c r="A244" t="s">
        <v>381</v>
      </c>
      <c r="B244" s="3">
        <v>44326</v>
      </c>
      <c r="C244">
        <v>92</v>
      </c>
      <c r="D244" t="s">
        <v>390</v>
      </c>
      <c r="E244" t="s">
        <v>130</v>
      </c>
      <c r="F244" s="9" t="s">
        <v>207</v>
      </c>
      <c r="G244" t="s">
        <v>26</v>
      </c>
      <c r="H244" t="s">
        <v>132</v>
      </c>
      <c r="I244" t="s">
        <v>133</v>
      </c>
      <c r="J244" t="s">
        <v>29</v>
      </c>
      <c r="K244" t="s">
        <v>30</v>
      </c>
      <c r="L244" t="s">
        <v>29</v>
      </c>
      <c r="M244" t="s">
        <v>30</v>
      </c>
      <c r="N244" t="s">
        <v>64</v>
      </c>
      <c r="O244" t="s">
        <v>65</v>
      </c>
      <c r="P244" t="s">
        <v>29</v>
      </c>
      <c r="Q244" t="s">
        <v>30</v>
      </c>
      <c r="R244" s="1">
        <v>44326.426087962966</v>
      </c>
      <c r="S244" s="1">
        <v>44326.426099537035</v>
      </c>
      <c r="T244">
        <v>0</v>
      </c>
      <c r="U244">
        <v>1</v>
      </c>
      <c r="V244" s="2">
        <v>0</v>
      </c>
      <c r="W244">
        <v>0</v>
      </c>
      <c r="X244" t="s">
        <v>47</v>
      </c>
      <c r="Y244">
        <v>0</v>
      </c>
      <c r="Z244" t="s">
        <v>31</v>
      </c>
      <c r="AA244">
        <v>0</v>
      </c>
      <c r="AB244" t="s">
        <v>31</v>
      </c>
      <c r="AC244">
        <v>0</v>
      </c>
      <c r="AD244" t="s">
        <v>31</v>
      </c>
      <c r="AE244">
        <v>0</v>
      </c>
      <c r="AF244" t="s">
        <v>31</v>
      </c>
      <c r="AG244">
        <v>0</v>
      </c>
      <c r="AH244" t="s">
        <v>31</v>
      </c>
      <c r="AI244">
        <v>0</v>
      </c>
      <c r="AJ244" t="s">
        <v>31</v>
      </c>
      <c r="AK244">
        <v>0</v>
      </c>
      <c r="AL244" t="s">
        <v>31</v>
      </c>
      <c r="AM244">
        <v>0</v>
      </c>
      <c r="AN244" t="s">
        <v>31</v>
      </c>
      <c r="AO244">
        <v>0</v>
      </c>
      <c r="AP244" t="s">
        <v>31</v>
      </c>
      <c r="AQ244">
        <v>0</v>
      </c>
    </row>
    <row r="245" spans="1:57" x14ac:dyDescent="0.2">
      <c r="A245" t="s">
        <v>381</v>
      </c>
      <c r="B245" s="3">
        <v>44326</v>
      </c>
      <c r="C245">
        <v>93</v>
      </c>
      <c r="D245" t="s">
        <v>387</v>
      </c>
      <c r="E245" t="s">
        <v>130</v>
      </c>
      <c r="F245" s="9" t="s">
        <v>207</v>
      </c>
      <c r="G245" t="s">
        <v>26</v>
      </c>
      <c r="H245" t="s">
        <v>64</v>
      </c>
      <c r="I245" t="s">
        <v>65</v>
      </c>
      <c r="J245" t="s">
        <v>29</v>
      </c>
      <c r="K245" t="s">
        <v>30</v>
      </c>
      <c r="L245" t="s">
        <v>29</v>
      </c>
      <c r="M245" t="s">
        <v>30</v>
      </c>
      <c r="N245" t="s">
        <v>64</v>
      </c>
      <c r="O245" t="s">
        <v>65</v>
      </c>
      <c r="P245" t="s">
        <v>29</v>
      </c>
      <c r="Q245" t="s">
        <v>30</v>
      </c>
      <c r="R245" s="1">
        <v>44326.628275462965</v>
      </c>
      <c r="S245" s="1">
        <v>44326.660185185188</v>
      </c>
      <c r="T245">
        <v>3</v>
      </c>
      <c r="U245">
        <v>3</v>
      </c>
      <c r="V245" s="2">
        <v>1</v>
      </c>
      <c r="W245">
        <v>0</v>
      </c>
      <c r="X245" t="s">
        <v>30</v>
      </c>
      <c r="Y245">
        <v>0</v>
      </c>
      <c r="Z245" t="s">
        <v>30</v>
      </c>
      <c r="AA245">
        <v>0</v>
      </c>
      <c r="AB245" t="s">
        <v>30</v>
      </c>
      <c r="AC245">
        <v>0</v>
      </c>
      <c r="AD245" t="s">
        <v>31</v>
      </c>
      <c r="AE245">
        <v>0</v>
      </c>
      <c r="AF245" t="s">
        <v>31</v>
      </c>
      <c r="AG245">
        <v>0</v>
      </c>
      <c r="AH245" t="s">
        <v>31</v>
      </c>
      <c r="AI245">
        <v>0</v>
      </c>
      <c r="AJ245" t="s">
        <v>31</v>
      </c>
      <c r="AK245">
        <v>0</v>
      </c>
      <c r="AL245" t="s">
        <v>31</v>
      </c>
      <c r="AM245">
        <v>0</v>
      </c>
      <c r="AN245" t="s">
        <v>31</v>
      </c>
      <c r="AO245">
        <v>0</v>
      </c>
      <c r="AP245" t="s">
        <v>31</v>
      </c>
      <c r="AQ245">
        <v>0</v>
      </c>
    </row>
    <row r="246" spans="1:57" x14ac:dyDescent="0.2">
      <c r="A246" t="s">
        <v>381</v>
      </c>
      <c r="B246" s="3">
        <v>44327</v>
      </c>
      <c r="C246">
        <v>94</v>
      </c>
      <c r="D246" t="s">
        <v>384</v>
      </c>
      <c r="E246" t="s">
        <v>130</v>
      </c>
      <c r="F246" s="9" t="s">
        <v>207</v>
      </c>
      <c r="G246" t="s">
        <v>26</v>
      </c>
      <c r="H246" t="s">
        <v>64</v>
      </c>
      <c r="I246" t="s">
        <v>65</v>
      </c>
      <c r="J246" t="s">
        <v>29</v>
      </c>
      <c r="K246" t="s">
        <v>30</v>
      </c>
      <c r="L246" t="s">
        <v>29</v>
      </c>
      <c r="M246" t="s">
        <v>30</v>
      </c>
      <c r="N246" t="s">
        <v>64</v>
      </c>
      <c r="O246" t="s">
        <v>65</v>
      </c>
      <c r="P246" t="s">
        <v>29</v>
      </c>
      <c r="Q246" t="s">
        <v>30</v>
      </c>
      <c r="R246" s="1">
        <v>44327.40829861111</v>
      </c>
      <c r="S246" s="1">
        <v>44327.462442129632</v>
      </c>
      <c r="T246">
        <v>0</v>
      </c>
      <c r="U246">
        <v>2</v>
      </c>
      <c r="V246" s="2">
        <v>0</v>
      </c>
      <c r="W246">
        <v>0</v>
      </c>
      <c r="X246" t="s">
        <v>45</v>
      </c>
      <c r="Y246">
        <v>0</v>
      </c>
      <c r="Z246" t="s">
        <v>47</v>
      </c>
      <c r="AA246">
        <v>0</v>
      </c>
      <c r="AB246" t="s">
        <v>31</v>
      </c>
      <c r="AC246">
        <v>0</v>
      </c>
      <c r="AD246" t="s">
        <v>31</v>
      </c>
      <c r="AE246">
        <v>0</v>
      </c>
      <c r="AF246" t="s">
        <v>31</v>
      </c>
      <c r="AG246">
        <v>0</v>
      </c>
      <c r="AH246" t="s">
        <v>31</v>
      </c>
      <c r="AI246">
        <v>0</v>
      </c>
      <c r="AJ246" t="s">
        <v>31</v>
      </c>
      <c r="AK246">
        <v>0</v>
      </c>
      <c r="AL246" t="s">
        <v>31</v>
      </c>
      <c r="AM246">
        <v>0</v>
      </c>
      <c r="AN246" t="s">
        <v>31</v>
      </c>
      <c r="AO246">
        <v>0</v>
      </c>
      <c r="AP246" t="s">
        <v>31</v>
      </c>
      <c r="AQ246">
        <v>0</v>
      </c>
    </row>
    <row r="247" spans="1:57" x14ac:dyDescent="0.2">
      <c r="A247" t="s">
        <v>381</v>
      </c>
      <c r="B247" s="3">
        <v>44328</v>
      </c>
      <c r="C247">
        <v>97</v>
      </c>
      <c r="D247" t="s">
        <v>387</v>
      </c>
      <c r="E247" t="s">
        <v>130</v>
      </c>
      <c r="F247" s="9" t="s">
        <v>207</v>
      </c>
      <c r="G247" t="s">
        <v>26</v>
      </c>
      <c r="H247" t="s">
        <v>64</v>
      </c>
      <c r="I247" t="s">
        <v>65</v>
      </c>
      <c r="J247" t="s">
        <v>29</v>
      </c>
      <c r="K247" t="s">
        <v>30</v>
      </c>
      <c r="L247" t="s">
        <v>29</v>
      </c>
      <c r="M247" t="s">
        <v>30</v>
      </c>
      <c r="N247" t="s">
        <v>64</v>
      </c>
      <c r="O247" t="s">
        <v>65</v>
      </c>
      <c r="P247" t="s">
        <v>29</v>
      </c>
      <c r="Q247" t="s">
        <v>30</v>
      </c>
      <c r="R247" s="1">
        <v>44328.542094907411</v>
      </c>
      <c r="S247" s="1">
        <v>44328.542094907411</v>
      </c>
      <c r="T247">
        <v>6</v>
      </c>
      <c r="U247">
        <v>6</v>
      </c>
      <c r="V247" s="2">
        <v>1</v>
      </c>
      <c r="W247">
        <v>0</v>
      </c>
      <c r="X247" t="s">
        <v>30</v>
      </c>
      <c r="Y247">
        <v>0</v>
      </c>
      <c r="Z247" t="s">
        <v>30</v>
      </c>
      <c r="AA247">
        <v>0</v>
      </c>
      <c r="AB247" t="s">
        <v>30</v>
      </c>
      <c r="AC247">
        <v>0</v>
      </c>
      <c r="AD247" t="s">
        <v>30</v>
      </c>
      <c r="AE247">
        <v>0</v>
      </c>
      <c r="AF247" t="s">
        <v>30</v>
      </c>
      <c r="AG247">
        <v>0</v>
      </c>
      <c r="AH247" t="s">
        <v>30</v>
      </c>
      <c r="AI247">
        <v>0</v>
      </c>
      <c r="AJ247" t="s">
        <v>31</v>
      </c>
      <c r="AK247">
        <v>0</v>
      </c>
      <c r="AL247" t="s">
        <v>31</v>
      </c>
      <c r="AM247">
        <v>0</v>
      </c>
      <c r="AN247" t="s">
        <v>31</v>
      </c>
      <c r="AO247">
        <v>0</v>
      </c>
      <c r="AP247" t="s">
        <v>31</v>
      </c>
      <c r="AQ247">
        <v>0</v>
      </c>
    </row>
    <row r="248" spans="1:57" x14ac:dyDescent="0.2">
      <c r="A248" t="s">
        <v>381</v>
      </c>
      <c r="B248" s="3">
        <v>44334</v>
      </c>
      <c r="C248">
        <v>98</v>
      </c>
      <c r="D248" t="s">
        <v>383</v>
      </c>
      <c r="E248" t="s">
        <v>130</v>
      </c>
      <c r="F248" s="9" t="s">
        <v>207</v>
      </c>
      <c r="G248" t="s">
        <v>26</v>
      </c>
      <c r="H248" t="s">
        <v>64</v>
      </c>
      <c r="I248" t="s">
        <v>65</v>
      </c>
      <c r="J248" t="s">
        <v>29</v>
      </c>
      <c r="K248" t="s">
        <v>30</v>
      </c>
      <c r="L248" t="s">
        <v>29</v>
      </c>
      <c r="M248" t="s">
        <v>30</v>
      </c>
      <c r="N248" t="s">
        <v>64</v>
      </c>
      <c r="O248" t="s">
        <v>65</v>
      </c>
      <c r="P248" t="s">
        <v>29</v>
      </c>
      <c r="Q248" t="s">
        <v>30</v>
      </c>
      <c r="R248" s="1">
        <v>44334.424328703702</v>
      </c>
      <c r="S248" s="1">
        <v>44334.485219907408</v>
      </c>
      <c r="T248">
        <v>0</v>
      </c>
      <c r="U248">
        <v>3</v>
      </c>
      <c r="V248" s="2">
        <v>0</v>
      </c>
      <c r="W248">
        <v>0</v>
      </c>
      <c r="X248" t="s">
        <v>47</v>
      </c>
      <c r="Y248">
        <v>0</v>
      </c>
      <c r="Z248" t="s">
        <v>47</v>
      </c>
      <c r="AA248">
        <v>0</v>
      </c>
      <c r="AB248" t="s">
        <v>47</v>
      </c>
      <c r="AC248">
        <v>0</v>
      </c>
      <c r="AD248" t="s">
        <v>31</v>
      </c>
      <c r="AE248">
        <v>0</v>
      </c>
      <c r="AF248" t="s">
        <v>31</v>
      </c>
      <c r="AG248">
        <v>0</v>
      </c>
      <c r="AH248" t="s">
        <v>31</v>
      </c>
      <c r="AI248">
        <v>0</v>
      </c>
      <c r="AJ248" t="s">
        <v>31</v>
      </c>
      <c r="AK248">
        <v>0</v>
      </c>
      <c r="AL248" t="s">
        <v>31</v>
      </c>
      <c r="AM248">
        <v>0</v>
      </c>
      <c r="AN248" t="s">
        <v>31</v>
      </c>
      <c r="AO248">
        <v>0</v>
      </c>
      <c r="AP248" t="s">
        <v>31</v>
      </c>
      <c r="AQ248">
        <v>0</v>
      </c>
    </row>
    <row r="249" spans="1:57" x14ac:dyDescent="0.2">
      <c r="A249" t="s">
        <v>381</v>
      </c>
      <c r="B249" s="3">
        <v>44334</v>
      </c>
      <c r="C249">
        <v>99</v>
      </c>
      <c r="D249" t="s">
        <v>385</v>
      </c>
      <c r="E249" t="s">
        <v>130</v>
      </c>
      <c r="F249" s="9" t="s">
        <v>207</v>
      </c>
      <c r="G249" t="s">
        <v>26</v>
      </c>
      <c r="H249" t="s">
        <v>64</v>
      </c>
      <c r="I249" t="s">
        <v>65</v>
      </c>
      <c r="J249" t="s">
        <v>29</v>
      </c>
      <c r="K249" t="s">
        <v>30</v>
      </c>
      <c r="L249" t="s">
        <v>29</v>
      </c>
      <c r="M249" t="s">
        <v>30</v>
      </c>
      <c r="N249" t="s">
        <v>185</v>
      </c>
      <c r="O249" t="s">
        <v>186</v>
      </c>
      <c r="P249" t="s">
        <v>29</v>
      </c>
      <c r="Q249" t="s">
        <v>30</v>
      </c>
      <c r="R249" s="1">
        <v>44334.557060185187</v>
      </c>
      <c r="S249" s="1">
        <v>44334.640173611115</v>
      </c>
      <c r="T249">
        <v>5</v>
      </c>
      <c r="U249">
        <v>17</v>
      </c>
      <c r="V249" s="2">
        <v>0.28999999999999998</v>
      </c>
      <c r="W249">
        <v>0</v>
      </c>
      <c r="X249" t="s">
        <v>44</v>
      </c>
      <c r="Y249">
        <v>0</v>
      </c>
      <c r="Z249" t="s">
        <v>44</v>
      </c>
      <c r="AA249">
        <v>0</v>
      </c>
      <c r="AB249" t="s">
        <v>45</v>
      </c>
      <c r="AC249">
        <v>0</v>
      </c>
      <c r="AD249" t="s">
        <v>47</v>
      </c>
      <c r="AE249">
        <v>0</v>
      </c>
      <c r="AF249" t="s">
        <v>30</v>
      </c>
      <c r="AG249">
        <v>0</v>
      </c>
      <c r="AH249" t="s">
        <v>30</v>
      </c>
      <c r="AI249">
        <v>0</v>
      </c>
      <c r="AJ249" t="s">
        <v>30</v>
      </c>
      <c r="AK249">
        <v>0</v>
      </c>
      <c r="AL249" t="s">
        <v>44</v>
      </c>
      <c r="AM249">
        <v>0</v>
      </c>
      <c r="AN249" t="s">
        <v>30</v>
      </c>
      <c r="AO249">
        <v>0</v>
      </c>
      <c r="AP249" t="s">
        <v>45</v>
      </c>
      <c r="AQ249">
        <v>0</v>
      </c>
      <c r="AR249" t="s">
        <v>45</v>
      </c>
      <c r="AS249">
        <v>0</v>
      </c>
      <c r="AT249" t="s">
        <v>30</v>
      </c>
      <c r="AU249">
        <v>0</v>
      </c>
      <c r="AV249" t="s">
        <v>44</v>
      </c>
      <c r="AW249">
        <v>0</v>
      </c>
      <c r="AX249" t="s">
        <v>44</v>
      </c>
      <c r="AY249">
        <v>0</v>
      </c>
      <c r="AZ249" t="s">
        <v>45</v>
      </c>
      <c r="BA249">
        <v>0</v>
      </c>
      <c r="BB249" t="s">
        <v>61</v>
      </c>
      <c r="BC249">
        <v>0</v>
      </c>
      <c r="BD249" t="s">
        <v>47</v>
      </c>
      <c r="BE249">
        <v>0</v>
      </c>
    </row>
    <row r="250" spans="1:57" x14ac:dyDescent="0.2">
      <c r="A250" t="s">
        <v>381</v>
      </c>
      <c r="B250" s="3">
        <v>44335</v>
      </c>
      <c r="C250">
        <v>100</v>
      </c>
      <c r="D250" t="s">
        <v>398</v>
      </c>
      <c r="E250" t="s">
        <v>130</v>
      </c>
      <c r="F250" s="9" t="s">
        <v>207</v>
      </c>
      <c r="G250" t="s">
        <v>26</v>
      </c>
      <c r="H250" t="s">
        <v>185</v>
      </c>
      <c r="I250" t="s">
        <v>186</v>
      </c>
      <c r="J250" t="s">
        <v>29</v>
      </c>
      <c r="K250" t="s">
        <v>30</v>
      </c>
      <c r="L250" t="s">
        <v>29</v>
      </c>
      <c r="M250" t="s">
        <v>30</v>
      </c>
      <c r="N250" t="s">
        <v>185</v>
      </c>
      <c r="O250" t="s">
        <v>186</v>
      </c>
      <c r="P250" t="s">
        <v>29</v>
      </c>
      <c r="Q250" t="s">
        <v>30</v>
      </c>
      <c r="R250" s="1">
        <v>44335.410231481481</v>
      </c>
      <c r="S250" s="1">
        <v>44335.464409722219</v>
      </c>
      <c r="T250">
        <v>2</v>
      </c>
      <c r="U250">
        <v>2</v>
      </c>
      <c r="V250" s="2">
        <v>1</v>
      </c>
      <c r="W250">
        <v>0</v>
      </c>
      <c r="X250" t="s">
        <v>30</v>
      </c>
      <c r="Y250">
        <v>0</v>
      </c>
      <c r="Z250" t="s">
        <v>30</v>
      </c>
      <c r="AA250">
        <v>0</v>
      </c>
      <c r="AB250" t="s">
        <v>31</v>
      </c>
      <c r="AC250">
        <v>0</v>
      </c>
      <c r="AD250" t="s">
        <v>31</v>
      </c>
      <c r="AE250">
        <v>0</v>
      </c>
      <c r="AF250" t="s">
        <v>31</v>
      </c>
      <c r="AG250">
        <v>0</v>
      </c>
      <c r="AH250" t="s">
        <v>31</v>
      </c>
      <c r="AI250">
        <v>0</v>
      </c>
      <c r="AJ250" t="s">
        <v>31</v>
      </c>
      <c r="AK250">
        <v>0</v>
      </c>
      <c r="AL250" t="s">
        <v>31</v>
      </c>
      <c r="AM250">
        <v>0</v>
      </c>
      <c r="AN250" t="s">
        <v>31</v>
      </c>
      <c r="AO250">
        <v>0</v>
      </c>
      <c r="AP250" t="s">
        <v>31</v>
      </c>
      <c r="AQ250">
        <v>0</v>
      </c>
    </row>
    <row r="251" spans="1:57" x14ac:dyDescent="0.2">
      <c r="A251" t="s">
        <v>381</v>
      </c>
      <c r="B251" s="3">
        <v>44335</v>
      </c>
      <c r="C251">
        <v>101</v>
      </c>
      <c r="D251" t="s">
        <v>383</v>
      </c>
      <c r="E251" t="s">
        <v>130</v>
      </c>
      <c r="F251" s="9" t="s">
        <v>207</v>
      </c>
      <c r="G251" t="s">
        <v>26</v>
      </c>
      <c r="H251" t="s">
        <v>185</v>
      </c>
      <c r="I251" t="s">
        <v>186</v>
      </c>
      <c r="J251" t="s">
        <v>29</v>
      </c>
      <c r="K251" t="s">
        <v>30</v>
      </c>
      <c r="L251" t="s">
        <v>29</v>
      </c>
      <c r="M251" t="s">
        <v>30</v>
      </c>
      <c r="N251" t="s">
        <v>185</v>
      </c>
      <c r="O251" t="s">
        <v>186</v>
      </c>
      <c r="P251" t="s">
        <v>29</v>
      </c>
      <c r="Q251" t="s">
        <v>30</v>
      </c>
      <c r="R251" s="1">
        <v>44335.632511574076</v>
      </c>
      <c r="S251" s="1">
        <v>44335.634236111109</v>
      </c>
      <c r="T251">
        <v>0</v>
      </c>
      <c r="U251">
        <v>3</v>
      </c>
      <c r="V251" s="2">
        <v>0</v>
      </c>
      <c r="W251">
        <v>0</v>
      </c>
      <c r="X251" t="s">
        <v>45</v>
      </c>
      <c r="Y251">
        <v>0</v>
      </c>
      <c r="Z251" t="s">
        <v>45</v>
      </c>
      <c r="AA251">
        <v>0</v>
      </c>
      <c r="AB251" t="s">
        <v>45</v>
      </c>
      <c r="AC251">
        <v>0</v>
      </c>
      <c r="AD251" t="s">
        <v>31</v>
      </c>
      <c r="AE251">
        <v>0</v>
      </c>
      <c r="AF251" t="s">
        <v>31</v>
      </c>
      <c r="AG251">
        <v>0</v>
      </c>
      <c r="AH251" t="s">
        <v>31</v>
      </c>
      <c r="AI251">
        <v>0</v>
      </c>
      <c r="AJ251" t="s">
        <v>31</v>
      </c>
      <c r="AK251">
        <v>0</v>
      </c>
      <c r="AL251" t="s">
        <v>31</v>
      </c>
      <c r="AM251">
        <v>0</v>
      </c>
      <c r="AN251" t="s">
        <v>31</v>
      </c>
      <c r="AO251">
        <v>0</v>
      </c>
      <c r="AP251" t="s">
        <v>31</v>
      </c>
      <c r="AQ251">
        <v>0</v>
      </c>
    </row>
    <row r="252" spans="1:57" x14ac:dyDescent="0.2">
      <c r="A252" t="s">
        <v>381</v>
      </c>
      <c r="B252" s="3">
        <v>44336</v>
      </c>
      <c r="C252">
        <v>102</v>
      </c>
      <c r="D252" t="s">
        <v>383</v>
      </c>
      <c r="E252" t="s">
        <v>130</v>
      </c>
      <c r="F252" s="9" t="s">
        <v>207</v>
      </c>
      <c r="G252" t="s">
        <v>26</v>
      </c>
      <c r="H252" t="s">
        <v>185</v>
      </c>
      <c r="I252" t="s">
        <v>186</v>
      </c>
      <c r="J252" t="s">
        <v>29</v>
      </c>
      <c r="K252" t="s">
        <v>30</v>
      </c>
      <c r="L252" t="s">
        <v>29</v>
      </c>
      <c r="M252" t="s">
        <v>30</v>
      </c>
      <c r="N252" t="s">
        <v>185</v>
      </c>
      <c r="O252" t="s">
        <v>186</v>
      </c>
      <c r="P252" t="s">
        <v>217</v>
      </c>
      <c r="Q252" t="s">
        <v>45</v>
      </c>
      <c r="R252" s="1">
        <v>44336.404710648145</v>
      </c>
      <c r="S252" s="1">
        <v>44336.407800925925</v>
      </c>
      <c r="T252">
        <v>0</v>
      </c>
      <c r="U252">
        <v>3</v>
      </c>
      <c r="V252" s="2">
        <v>0</v>
      </c>
      <c r="W252">
        <v>0</v>
      </c>
      <c r="X252" t="s">
        <v>45</v>
      </c>
      <c r="Y252">
        <v>0</v>
      </c>
      <c r="Z252" t="s">
        <v>45</v>
      </c>
      <c r="AA252">
        <v>0</v>
      </c>
      <c r="AB252" t="s">
        <v>45</v>
      </c>
      <c r="AC252">
        <v>0</v>
      </c>
      <c r="AD252" t="s">
        <v>31</v>
      </c>
      <c r="AE252">
        <v>0</v>
      </c>
      <c r="AF252" t="s">
        <v>31</v>
      </c>
      <c r="AG252">
        <v>0</v>
      </c>
      <c r="AH252" t="s">
        <v>31</v>
      </c>
      <c r="AI252">
        <v>0</v>
      </c>
      <c r="AJ252" t="s">
        <v>31</v>
      </c>
      <c r="AK252">
        <v>0</v>
      </c>
      <c r="AL252" t="s">
        <v>31</v>
      </c>
      <c r="AM252">
        <v>0</v>
      </c>
      <c r="AN252" t="s">
        <v>31</v>
      </c>
      <c r="AO252">
        <v>0</v>
      </c>
      <c r="AP252" t="s">
        <v>31</v>
      </c>
      <c r="AQ252">
        <v>0</v>
      </c>
    </row>
    <row r="253" spans="1:57" x14ac:dyDescent="0.2">
      <c r="A253" t="s">
        <v>381</v>
      </c>
      <c r="B253" s="3">
        <v>44336</v>
      </c>
      <c r="C253">
        <v>103</v>
      </c>
      <c r="D253" t="s">
        <v>385</v>
      </c>
      <c r="E253" t="s">
        <v>130</v>
      </c>
      <c r="F253" s="9" t="s">
        <v>207</v>
      </c>
      <c r="G253" t="s">
        <v>26</v>
      </c>
      <c r="H253" t="s">
        <v>185</v>
      </c>
      <c r="I253" t="s">
        <v>186</v>
      </c>
      <c r="J253" t="s">
        <v>217</v>
      </c>
      <c r="K253" t="s">
        <v>45</v>
      </c>
      <c r="L253" t="s">
        <v>29</v>
      </c>
      <c r="M253" t="s">
        <v>30</v>
      </c>
      <c r="N253" t="s">
        <v>185</v>
      </c>
      <c r="O253" t="s">
        <v>186</v>
      </c>
      <c r="P253" t="s">
        <v>217</v>
      </c>
      <c r="Q253" t="s">
        <v>45</v>
      </c>
      <c r="R253" s="1">
        <v>44336.56318287037</v>
      </c>
      <c r="S253" s="1">
        <v>44336.627280092594</v>
      </c>
      <c r="T253">
        <v>3</v>
      </c>
      <c r="U253">
        <v>8</v>
      </c>
      <c r="V253" s="2">
        <v>0.37</v>
      </c>
      <c r="W253">
        <v>0</v>
      </c>
      <c r="X253" t="s">
        <v>44</v>
      </c>
      <c r="Y253">
        <v>0</v>
      </c>
      <c r="Z253" t="s">
        <v>44</v>
      </c>
      <c r="AA253">
        <v>0</v>
      </c>
      <c r="AB253" t="s">
        <v>45</v>
      </c>
      <c r="AC253">
        <v>0</v>
      </c>
      <c r="AD253" t="s">
        <v>44</v>
      </c>
      <c r="AE253">
        <v>0</v>
      </c>
      <c r="AF253" t="s">
        <v>44</v>
      </c>
      <c r="AG253">
        <v>0</v>
      </c>
      <c r="AH253" t="s">
        <v>30</v>
      </c>
      <c r="AI253">
        <v>0</v>
      </c>
      <c r="AJ253" t="s">
        <v>30</v>
      </c>
      <c r="AK253">
        <v>0</v>
      </c>
      <c r="AL253" t="s">
        <v>30</v>
      </c>
      <c r="AM253">
        <v>0</v>
      </c>
      <c r="AN253" t="s">
        <v>31</v>
      </c>
      <c r="AO253">
        <v>0</v>
      </c>
      <c r="AP253" t="s">
        <v>31</v>
      </c>
      <c r="AQ253">
        <v>0</v>
      </c>
    </row>
    <row r="254" spans="1:57" x14ac:dyDescent="0.2">
      <c r="A254" t="s">
        <v>381</v>
      </c>
      <c r="B254" s="3">
        <v>44337</v>
      </c>
      <c r="C254">
        <v>104</v>
      </c>
      <c r="D254" t="s">
        <v>390</v>
      </c>
      <c r="E254" t="s">
        <v>130</v>
      </c>
      <c r="F254" s="9" t="s">
        <v>207</v>
      </c>
      <c r="G254" t="s">
        <v>26</v>
      </c>
      <c r="H254" t="s">
        <v>185</v>
      </c>
      <c r="I254" t="s">
        <v>186</v>
      </c>
      <c r="J254" t="s">
        <v>217</v>
      </c>
      <c r="K254" t="s">
        <v>45</v>
      </c>
      <c r="L254" t="s">
        <v>29</v>
      </c>
      <c r="M254" t="s">
        <v>30</v>
      </c>
      <c r="N254" t="s">
        <v>185</v>
      </c>
      <c r="O254" t="s">
        <v>186</v>
      </c>
      <c r="P254" t="s">
        <v>217</v>
      </c>
      <c r="Q254" t="s">
        <v>45</v>
      </c>
      <c r="R254" s="1">
        <v>44337.39607638889</v>
      </c>
      <c r="S254" s="1">
        <v>44337.39607638889</v>
      </c>
      <c r="T254">
        <v>1</v>
      </c>
      <c r="U254">
        <v>1</v>
      </c>
      <c r="V254" s="2">
        <v>1</v>
      </c>
      <c r="W254">
        <v>0</v>
      </c>
      <c r="X254" t="s">
        <v>30</v>
      </c>
      <c r="Y254">
        <v>0</v>
      </c>
      <c r="Z254" t="s">
        <v>31</v>
      </c>
      <c r="AA254">
        <v>0</v>
      </c>
      <c r="AB254" t="s">
        <v>31</v>
      </c>
      <c r="AC254">
        <v>0</v>
      </c>
      <c r="AD254" t="s">
        <v>31</v>
      </c>
      <c r="AE254">
        <v>0</v>
      </c>
      <c r="AF254" t="s">
        <v>31</v>
      </c>
      <c r="AG254">
        <v>0</v>
      </c>
      <c r="AH254" t="s">
        <v>31</v>
      </c>
      <c r="AI254">
        <v>0</v>
      </c>
      <c r="AJ254" t="s">
        <v>31</v>
      </c>
      <c r="AK254">
        <v>0</v>
      </c>
      <c r="AL254" t="s">
        <v>31</v>
      </c>
      <c r="AM254">
        <v>0</v>
      </c>
      <c r="AN254" t="s">
        <v>31</v>
      </c>
      <c r="AO254">
        <v>0</v>
      </c>
      <c r="AP254" t="s">
        <v>31</v>
      </c>
      <c r="AQ254">
        <v>0</v>
      </c>
    </row>
    <row r="255" spans="1:57" x14ac:dyDescent="0.2">
      <c r="A255" t="s">
        <v>381</v>
      </c>
      <c r="B255" s="3">
        <v>44337</v>
      </c>
      <c r="C255">
        <v>105</v>
      </c>
      <c r="D255" t="s">
        <v>405</v>
      </c>
      <c r="E255" t="s">
        <v>130</v>
      </c>
      <c r="F255" s="9" t="s">
        <v>207</v>
      </c>
      <c r="G255" t="s">
        <v>26</v>
      </c>
      <c r="H255" t="s">
        <v>185</v>
      </c>
      <c r="I255" t="s">
        <v>186</v>
      </c>
      <c r="J255" t="s">
        <v>217</v>
      </c>
      <c r="K255" t="s">
        <v>45</v>
      </c>
      <c r="L255" t="s">
        <v>29</v>
      </c>
      <c r="M255" t="s">
        <v>30</v>
      </c>
      <c r="N255" t="s">
        <v>185</v>
      </c>
      <c r="O255" t="s">
        <v>186</v>
      </c>
      <c r="P255" t="s">
        <v>217</v>
      </c>
      <c r="Q255" t="s">
        <v>45</v>
      </c>
      <c r="R255" s="1">
        <v>44337.545381944445</v>
      </c>
      <c r="S255" s="1">
        <v>44337.624421296299</v>
      </c>
      <c r="T255">
        <v>4</v>
      </c>
      <c r="U255">
        <v>8</v>
      </c>
      <c r="V255" s="2">
        <v>0.5</v>
      </c>
      <c r="W255">
        <v>0</v>
      </c>
      <c r="X255" t="s">
        <v>44</v>
      </c>
      <c r="Y255">
        <v>0</v>
      </c>
      <c r="Z255" t="s">
        <v>30</v>
      </c>
      <c r="AA255">
        <v>0</v>
      </c>
      <c r="AB255" t="s">
        <v>44</v>
      </c>
      <c r="AC255">
        <v>0</v>
      </c>
      <c r="AD255" t="s">
        <v>30</v>
      </c>
      <c r="AE255">
        <v>0</v>
      </c>
      <c r="AF255" t="s">
        <v>30</v>
      </c>
      <c r="AG255">
        <v>0</v>
      </c>
      <c r="AH255" t="s">
        <v>44</v>
      </c>
      <c r="AI255">
        <v>0</v>
      </c>
      <c r="AJ255" t="s">
        <v>45</v>
      </c>
      <c r="AK255">
        <v>0</v>
      </c>
      <c r="AL255" t="s">
        <v>30</v>
      </c>
      <c r="AM255">
        <v>0</v>
      </c>
      <c r="AN255" t="s">
        <v>31</v>
      </c>
      <c r="AO255">
        <v>0</v>
      </c>
      <c r="AP255" t="s">
        <v>31</v>
      </c>
      <c r="AQ255">
        <v>0</v>
      </c>
    </row>
    <row r="256" spans="1:57" x14ac:dyDescent="0.2">
      <c r="A256" t="s">
        <v>381</v>
      </c>
      <c r="B256" s="3">
        <v>44338</v>
      </c>
      <c r="C256">
        <v>106</v>
      </c>
      <c r="D256" t="s">
        <v>408</v>
      </c>
      <c r="E256" t="s">
        <v>130</v>
      </c>
      <c r="F256" s="9" t="s">
        <v>207</v>
      </c>
      <c r="G256" t="s">
        <v>26</v>
      </c>
      <c r="H256" t="s">
        <v>185</v>
      </c>
      <c r="I256" t="s">
        <v>186</v>
      </c>
      <c r="J256" t="s">
        <v>217</v>
      </c>
      <c r="K256" t="s">
        <v>45</v>
      </c>
      <c r="L256" t="s">
        <v>29</v>
      </c>
      <c r="M256" t="s">
        <v>30</v>
      </c>
      <c r="N256" t="s">
        <v>185</v>
      </c>
      <c r="O256" t="s">
        <v>186</v>
      </c>
      <c r="P256" t="s">
        <v>217</v>
      </c>
      <c r="Q256" t="s">
        <v>45</v>
      </c>
      <c r="R256" s="1">
        <v>44338.444386574076</v>
      </c>
      <c r="S256" s="1">
        <v>44338.48641203704</v>
      </c>
      <c r="T256">
        <v>0</v>
      </c>
      <c r="U256">
        <v>6</v>
      </c>
      <c r="V256" s="2">
        <v>0</v>
      </c>
      <c r="W256">
        <v>0</v>
      </c>
      <c r="X256" t="s">
        <v>47</v>
      </c>
      <c r="Y256">
        <v>0</v>
      </c>
      <c r="Z256" t="s">
        <v>47</v>
      </c>
      <c r="AA256">
        <v>0</v>
      </c>
      <c r="AB256" t="s">
        <v>47</v>
      </c>
      <c r="AC256">
        <v>0</v>
      </c>
      <c r="AD256" t="s">
        <v>45</v>
      </c>
      <c r="AE256">
        <v>0</v>
      </c>
      <c r="AF256" t="s">
        <v>61</v>
      </c>
      <c r="AG256">
        <v>0</v>
      </c>
      <c r="AH256" t="s">
        <v>47</v>
      </c>
      <c r="AI256">
        <v>0</v>
      </c>
      <c r="AJ256" t="s">
        <v>31</v>
      </c>
      <c r="AK256">
        <v>0</v>
      </c>
      <c r="AL256" t="s">
        <v>31</v>
      </c>
      <c r="AM256">
        <v>0</v>
      </c>
      <c r="AN256" t="s">
        <v>31</v>
      </c>
      <c r="AO256">
        <v>0</v>
      </c>
      <c r="AP256" t="s">
        <v>31</v>
      </c>
      <c r="AQ256">
        <v>0</v>
      </c>
    </row>
    <row r="257" spans="1:49" x14ac:dyDescent="0.2">
      <c r="A257" t="s">
        <v>381</v>
      </c>
      <c r="B257" s="3">
        <v>44338</v>
      </c>
      <c r="C257">
        <v>107</v>
      </c>
      <c r="D257" t="s">
        <v>392</v>
      </c>
      <c r="E257" t="s">
        <v>130</v>
      </c>
      <c r="F257" s="9" t="s">
        <v>207</v>
      </c>
      <c r="G257" t="s">
        <v>26</v>
      </c>
      <c r="H257" t="s">
        <v>185</v>
      </c>
      <c r="I257" t="s">
        <v>186</v>
      </c>
      <c r="J257" t="s">
        <v>217</v>
      </c>
      <c r="K257" t="s">
        <v>45</v>
      </c>
      <c r="L257" t="s">
        <v>29</v>
      </c>
      <c r="M257" t="s">
        <v>30</v>
      </c>
      <c r="N257" t="s">
        <v>185</v>
      </c>
      <c r="O257" t="s">
        <v>186</v>
      </c>
      <c r="P257" t="s">
        <v>220</v>
      </c>
      <c r="Q257" t="s">
        <v>61</v>
      </c>
      <c r="R257" s="1">
        <v>44338.545208333337</v>
      </c>
      <c r="S257" s="1">
        <v>44338.623611111114</v>
      </c>
      <c r="T257">
        <v>3</v>
      </c>
      <c r="U257">
        <v>12</v>
      </c>
      <c r="V257" s="2">
        <v>0.25</v>
      </c>
      <c r="W257">
        <v>0</v>
      </c>
      <c r="X257" t="s">
        <v>47</v>
      </c>
      <c r="Y257">
        <v>0</v>
      </c>
      <c r="Z257" t="s">
        <v>47</v>
      </c>
      <c r="AA257">
        <v>0</v>
      </c>
      <c r="AB257" t="s">
        <v>47</v>
      </c>
      <c r="AC257">
        <v>0</v>
      </c>
      <c r="AD257" t="s">
        <v>30</v>
      </c>
      <c r="AE257">
        <v>0</v>
      </c>
      <c r="AF257" t="s">
        <v>30</v>
      </c>
      <c r="AG257">
        <v>0</v>
      </c>
      <c r="AH257" t="s">
        <v>45</v>
      </c>
      <c r="AI257">
        <v>0</v>
      </c>
      <c r="AJ257" t="s">
        <v>47</v>
      </c>
      <c r="AK257">
        <v>0</v>
      </c>
      <c r="AL257" t="s">
        <v>47</v>
      </c>
      <c r="AM257">
        <v>0</v>
      </c>
      <c r="AN257" t="s">
        <v>47</v>
      </c>
      <c r="AO257">
        <v>0</v>
      </c>
      <c r="AP257" t="s">
        <v>47</v>
      </c>
      <c r="AQ257">
        <v>0</v>
      </c>
      <c r="AR257" t="s">
        <v>30</v>
      </c>
      <c r="AS257">
        <v>0</v>
      </c>
      <c r="AT257" t="s">
        <v>47</v>
      </c>
      <c r="AU257">
        <v>0</v>
      </c>
    </row>
    <row r="258" spans="1:49" x14ac:dyDescent="0.2">
      <c r="A258" t="s">
        <v>381</v>
      </c>
      <c r="B258" s="3">
        <v>44340</v>
      </c>
      <c r="C258">
        <v>108</v>
      </c>
      <c r="D258" t="s">
        <v>393</v>
      </c>
      <c r="E258" t="s">
        <v>130</v>
      </c>
      <c r="F258" s="9" t="s">
        <v>207</v>
      </c>
      <c r="G258" t="s">
        <v>26</v>
      </c>
      <c r="H258" t="s">
        <v>185</v>
      </c>
      <c r="I258" t="s">
        <v>186</v>
      </c>
      <c r="J258" t="s">
        <v>220</v>
      </c>
      <c r="K258" t="s">
        <v>61</v>
      </c>
      <c r="L258" t="s">
        <v>29</v>
      </c>
      <c r="M258" t="s">
        <v>30</v>
      </c>
      <c r="N258" t="s">
        <v>185</v>
      </c>
      <c r="O258" t="s">
        <v>186</v>
      </c>
      <c r="P258" t="s">
        <v>220</v>
      </c>
      <c r="Q258" t="s">
        <v>61</v>
      </c>
      <c r="R258" s="1">
        <v>44340.415555555555</v>
      </c>
      <c r="S258" s="1">
        <v>44340.490219907406</v>
      </c>
      <c r="T258">
        <v>2</v>
      </c>
      <c r="U258">
        <v>5</v>
      </c>
      <c r="V258" s="2">
        <v>0.4</v>
      </c>
      <c r="W258">
        <v>0</v>
      </c>
      <c r="X258" t="s">
        <v>47</v>
      </c>
      <c r="Y258">
        <v>0</v>
      </c>
      <c r="Z258" t="s">
        <v>30</v>
      </c>
      <c r="AA258">
        <v>0</v>
      </c>
      <c r="AB258" t="s">
        <v>44</v>
      </c>
      <c r="AC258">
        <v>0</v>
      </c>
      <c r="AD258" t="s">
        <v>47</v>
      </c>
      <c r="AE258">
        <v>0</v>
      </c>
      <c r="AF258" t="s">
        <v>30</v>
      </c>
      <c r="AG258">
        <v>0</v>
      </c>
      <c r="AH258" t="s">
        <v>31</v>
      </c>
      <c r="AI258">
        <v>0</v>
      </c>
      <c r="AJ258" t="s">
        <v>31</v>
      </c>
      <c r="AK258">
        <v>0</v>
      </c>
      <c r="AL258" t="s">
        <v>31</v>
      </c>
      <c r="AM258">
        <v>0</v>
      </c>
      <c r="AN258" t="s">
        <v>31</v>
      </c>
      <c r="AO258">
        <v>0</v>
      </c>
      <c r="AP258" t="s">
        <v>31</v>
      </c>
      <c r="AQ258">
        <v>0</v>
      </c>
    </row>
    <row r="259" spans="1:49" x14ac:dyDescent="0.2">
      <c r="A259" t="s">
        <v>381</v>
      </c>
      <c r="B259" s="3">
        <v>44340</v>
      </c>
      <c r="C259">
        <v>109</v>
      </c>
      <c r="D259" t="s">
        <v>383</v>
      </c>
      <c r="E259" t="s">
        <v>130</v>
      </c>
      <c r="F259" s="9" t="s">
        <v>207</v>
      </c>
      <c r="G259" t="s">
        <v>26</v>
      </c>
      <c r="H259" t="s">
        <v>185</v>
      </c>
      <c r="I259" t="s">
        <v>186</v>
      </c>
      <c r="J259" t="s">
        <v>220</v>
      </c>
      <c r="K259" t="s">
        <v>61</v>
      </c>
      <c r="L259" t="s">
        <v>29</v>
      </c>
      <c r="M259" t="s">
        <v>30</v>
      </c>
      <c r="N259" t="s">
        <v>185</v>
      </c>
      <c r="O259" t="s">
        <v>186</v>
      </c>
      <c r="P259" t="s">
        <v>162</v>
      </c>
      <c r="Q259" t="s">
        <v>47</v>
      </c>
      <c r="R259" s="1">
        <v>44340.564236111109</v>
      </c>
      <c r="S259" s="1">
        <v>44340.564236111109</v>
      </c>
      <c r="T259">
        <v>0</v>
      </c>
      <c r="U259">
        <v>1</v>
      </c>
      <c r="V259" s="2">
        <v>0</v>
      </c>
      <c r="W259">
        <v>0</v>
      </c>
      <c r="X259" t="s">
        <v>47</v>
      </c>
      <c r="Y259">
        <v>0</v>
      </c>
      <c r="Z259" t="s">
        <v>31</v>
      </c>
      <c r="AA259">
        <v>0</v>
      </c>
      <c r="AB259" t="s">
        <v>31</v>
      </c>
      <c r="AC259">
        <v>0</v>
      </c>
      <c r="AD259" t="s">
        <v>31</v>
      </c>
      <c r="AE259">
        <v>0</v>
      </c>
      <c r="AF259" t="s">
        <v>31</v>
      </c>
      <c r="AG259">
        <v>0</v>
      </c>
      <c r="AH259" t="s">
        <v>31</v>
      </c>
      <c r="AI259">
        <v>0</v>
      </c>
      <c r="AJ259" t="s">
        <v>31</v>
      </c>
      <c r="AK259">
        <v>0</v>
      </c>
      <c r="AL259" t="s">
        <v>31</v>
      </c>
      <c r="AM259">
        <v>0</v>
      </c>
      <c r="AN259" t="s">
        <v>31</v>
      </c>
      <c r="AO259">
        <v>0</v>
      </c>
      <c r="AP259" t="s">
        <v>31</v>
      </c>
      <c r="AQ259">
        <v>0</v>
      </c>
    </row>
    <row r="260" spans="1:49" x14ac:dyDescent="0.2">
      <c r="A260" t="s">
        <v>381</v>
      </c>
      <c r="B260" s="3">
        <v>44341</v>
      </c>
      <c r="C260">
        <v>110</v>
      </c>
      <c r="D260" t="s">
        <v>383</v>
      </c>
      <c r="E260" t="s">
        <v>130</v>
      </c>
      <c r="F260" s="9" t="s">
        <v>207</v>
      </c>
      <c r="G260" t="s">
        <v>26</v>
      </c>
      <c r="H260" t="s">
        <v>185</v>
      </c>
      <c r="I260" t="s">
        <v>186</v>
      </c>
      <c r="J260" t="s">
        <v>162</v>
      </c>
      <c r="K260" t="s">
        <v>47</v>
      </c>
      <c r="L260" t="s">
        <v>29</v>
      </c>
      <c r="M260" t="s">
        <v>30</v>
      </c>
      <c r="N260" t="s">
        <v>185</v>
      </c>
      <c r="O260" t="s">
        <v>186</v>
      </c>
      <c r="P260" t="s">
        <v>162</v>
      </c>
      <c r="Q260" t="s">
        <v>47</v>
      </c>
      <c r="R260" s="1">
        <v>44341.401018518518</v>
      </c>
      <c r="S260" s="1">
        <v>44341.425856481481</v>
      </c>
      <c r="T260">
        <v>2</v>
      </c>
      <c r="U260">
        <v>3</v>
      </c>
      <c r="V260" s="2">
        <v>0.66</v>
      </c>
      <c r="W260">
        <v>0</v>
      </c>
      <c r="X260" t="s">
        <v>30</v>
      </c>
      <c r="Y260">
        <v>0</v>
      </c>
      <c r="Z260" t="s">
        <v>44</v>
      </c>
      <c r="AA260">
        <v>0</v>
      </c>
      <c r="AB260" t="s">
        <v>30</v>
      </c>
      <c r="AC260">
        <v>0</v>
      </c>
      <c r="AD260" t="s">
        <v>31</v>
      </c>
      <c r="AE260">
        <v>0</v>
      </c>
      <c r="AF260" t="s">
        <v>31</v>
      </c>
      <c r="AG260">
        <v>0</v>
      </c>
      <c r="AH260" t="s">
        <v>31</v>
      </c>
      <c r="AI260">
        <v>0</v>
      </c>
      <c r="AJ260" t="s">
        <v>31</v>
      </c>
      <c r="AK260">
        <v>0</v>
      </c>
      <c r="AL260" t="s">
        <v>31</v>
      </c>
      <c r="AM260">
        <v>0</v>
      </c>
      <c r="AN260" t="s">
        <v>31</v>
      </c>
      <c r="AO260">
        <v>0</v>
      </c>
      <c r="AP260" t="s">
        <v>31</v>
      </c>
      <c r="AQ260">
        <v>0</v>
      </c>
    </row>
    <row r="261" spans="1:49" x14ac:dyDescent="0.2">
      <c r="A261" t="s">
        <v>381</v>
      </c>
      <c r="B261" s="3">
        <v>44341</v>
      </c>
      <c r="C261">
        <v>111</v>
      </c>
      <c r="D261" t="s">
        <v>385</v>
      </c>
      <c r="E261" t="s">
        <v>130</v>
      </c>
      <c r="F261" s="9" t="s">
        <v>207</v>
      </c>
      <c r="G261" t="s">
        <v>26</v>
      </c>
      <c r="H261" t="s">
        <v>185</v>
      </c>
      <c r="I261" t="s">
        <v>186</v>
      </c>
      <c r="J261" t="s">
        <v>162</v>
      </c>
      <c r="K261" t="s">
        <v>47</v>
      </c>
      <c r="L261" t="s">
        <v>29</v>
      </c>
      <c r="M261" t="s">
        <v>30</v>
      </c>
      <c r="N261" t="s">
        <v>185</v>
      </c>
      <c r="O261" t="s">
        <v>186</v>
      </c>
      <c r="P261" t="s">
        <v>162</v>
      </c>
      <c r="Q261" t="s">
        <v>47</v>
      </c>
      <c r="R261" s="1">
        <v>44341.572245370371</v>
      </c>
      <c r="S261" s="1">
        <v>44341.605740740742</v>
      </c>
      <c r="T261">
        <v>1</v>
      </c>
      <c r="U261">
        <v>8</v>
      </c>
      <c r="V261" s="2">
        <v>0.12</v>
      </c>
      <c r="W261">
        <v>0</v>
      </c>
      <c r="X261" t="s">
        <v>44</v>
      </c>
      <c r="Y261">
        <v>0</v>
      </c>
      <c r="Z261" t="s">
        <v>44</v>
      </c>
      <c r="AA261">
        <v>0</v>
      </c>
      <c r="AB261" t="s">
        <v>45</v>
      </c>
      <c r="AC261">
        <v>0</v>
      </c>
      <c r="AD261" t="s">
        <v>61</v>
      </c>
      <c r="AE261">
        <v>0</v>
      </c>
      <c r="AF261" t="s">
        <v>47</v>
      </c>
      <c r="AG261">
        <v>0</v>
      </c>
      <c r="AH261" t="s">
        <v>44</v>
      </c>
      <c r="AI261">
        <v>0</v>
      </c>
      <c r="AJ261" t="s">
        <v>47</v>
      </c>
      <c r="AK261">
        <v>0</v>
      </c>
      <c r="AL261" t="s">
        <v>30</v>
      </c>
      <c r="AM261">
        <v>0</v>
      </c>
      <c r="AN261" t="s">
        <v>31</v>
      </c>
      <c r="AO261">
        <v>0</v>
      </c>
      <c r="AP261" t="s">
        <v>31</v>
      </c>
      <c r="AQ261">
        <v>0</v>
      </c>
    </row>
    <row r="262" spans="1:49" x14ac:dyDescent="0.2">
      <c r="A262" t="s">
        <v>381</v>
      </c>
      <c r="B262" s="3">
        <v>44342</v>
      </c>
      <c r="C262">
        <v>112</v>
      </c>
      <c r="D262" t="s">
        <v>394</v>
      </c>
      <c r="E262" t="s">
        <v>130</v>
      </c>
      <c r="F262" s="9" t="s">
        <v>207</v>
      </c>
      <c r="G262" t="s">
        <v>26</v>
      </c>
      <c r="H262" t="s">
        <v>185</v>
      </c>
      <c r="I262" t="s">
        <v>186</v>
      </c>
      <c r="J262" t="s">
        <v>162</v>
      </c>
      <c r="K262" t="s">
        <v>47</v>
      </c>
      <c r="L262" t="s">
        <v>29</v>
      </c>
      <c r="M262" t="s">
        <v>30</v>
      </c>
      <c r="N262" t="s">
        <v>185</v>
      </c>
      <c r="O262" t="s">
        <v>186</v>
      </c>
      <c r="P262" t="s">
        <v>162</v>
      </c>
      <c r="Q262" t="s">
        <v>47</v>
      </c>
      <c r="R262" s="1">
        <v>44342.412662037037</v>
      </c>
      <c r="S262" s="1">
        <v>44342.453032407408</v>
      </c>
      <c r="T262">
        <v>4</v>
      </c>
      <c r="U262">
        <v>8</v>
      </c>
      <c r="V262" s="2">
        <v>0.5</v>
      </c>
      <c r="W262">
        <v>0</v>
      </c>
      <c r="X262" t="s">
        <v>47</v>
      </c>
      <c r="Y262">
        <v>0</v>
      </c>
      <c r="Z262" t="s">
        <v>47</v>
      </c>
      <c r="AA262">
        <v>0</v>
      </c>
      <c r="AB262" t="s">
        <v>47</v>
      </c>
      <c r="AC262">
        <v>0</v>
      </c>
      <c r="AD262" t="s">
        <v>30</v>
      </c>
      <c r="AE262">
        <v>0</v>
      </c>
      <c r="AF262" t="s">
        <v>30</v>
      </c>
      <c r="AG262">
        <v>0</v>
      </c>
      <c r="AH262" t="s">
        <v>30</v>
      </c>
      <c r="AI262">
        <v>0</v>
      </c>
      <c r="AJ262" t="s">
        <v>47</v>
      </c>
      <c r="AK262">
        <v>0</v>
      </c>
      <c r="AL262" t="s">
        <v>30</v>
      </c>
      <c r="AM262">
        <v>0</v>
      </c>
      <c r="AN262" t="s">
        <v>31</v>
      </c>
      <c r="AO262">
        <v>0</v>
      </c>
      <c r="AP262" t="s">
        <v>31</v>
      </c>
      <c r="AQ262">
        <v>0</v>
      </c>
    </row>
    <row r="263" spans="1:49" x14ac:dyDescent="0.2">
      <c r="A263" t="s">
        <v>381</v>
      </c>
      <c r="B263" s="3">
        <v>44342</v>
      </c>
      <c r="C263">
        <v>113</v>
      </c>
      <c r="D263" t="s">
        <v>383</v>
      </c>
      <c r="E263" t="s">
        <v>130</v>
      </c>
      <c r="F263" s="9" t="s">
        <v>207</v>
      </c>
      <c r="G263" t="s">
        <v>26</v>
      </c>
      <c r="H263" t="s">
        <v>185</v>
      </c>
      <c r="I263" t="s">
        <v>186</v>
      </c>
      <c r="J263" t="s">
        <v>162</v>
      </c>
      <c r="K263" t="s">
        <v>47</v>
      </c>
      <c r="L263" t="s">
        <v>29</v>
      </c>
      <c r="M263" t="s">
        <v>30</v>
      </c>
      <c r="N263" t="s">
        <v>185</v>
      </c>
      <c r="O263" t="s">
        <v>186</v>
      </c>
      <c r="P263" t="s">
        <v>162</v>
      </c>
      <c r="Q263" t="s">
        <v>47</v>
      </c>
      <c r="R263" s="1">
        <v>44342.548831018517</v>
      </c>
      <c r="S263" s="1">
        <v>44342.591238425928</v>
      </c>
      <c r="T263">
        <v>1</v>
      </c>
      <c r="U263">
        <v>5</v>
      </c>
      <c r="V263" s="2">
        <v>0.2</v>
      </c>
      <c r="W263">
        <v>0</v>
      </c>
      <c r="X263" t="s">
        <v>30</v>
      </c>
      <c r="Y263">
        <v>0</v>
      </c>
      <c r="Z263" t="s">
        <v>45</v>
      </c>
      <c r="AA263">
        <v>0</v>
      </c>
      <c r="AB263" t="s">
        <v>44</v>
      </c>
      <c r="AC263">
        <v>0</v>
      </c>
      <c r="AD263" t="s">
        <v>44</v>
      </c>
      <c r="AE263">
        <v>0</v>
      </c>
      <c r="AF263" t="s">
        <v>45</v>
      </c>
      <c r="AG263">
        <v>0</v>
      </c>
      <c r="AH263" t="s">
        <v>31</v>
      </c>
      <c r="AI263">
        <v>0</v>
      </c>
      <c r="AJ263" t="s">
        <v>31</v>
      </c>
      <c r="AK263">
        <v>0</v>
      </c>
      <c r="AL263" t="s">
        <v>31</v>
      </c>
      <c r="AM263">
        <v>0</v>
      </c>
      <c r="AN263" t="s">
        <v>31</v>
      </c>
      <c r="AO263">
        <v>0</v>
      </c>
      <c r="AP263" t="s">
        <v>31</v>
      </c>
      <c r="AQ263">
        <v>0</v>
      </c>
    </row>
    <row r="264" spans="1:49" x14ac:dyDescent="0.2">
      <c r="A264" t="s">
        <v>381</v>
      </c>
      <c r="B264" s="3">
        <v>44343</v>
      </c>
      <c r="C264">
        <v>115</v>
      </c>
      <c r="D264" t="s">
        <v>395</v>
      </c>
      <c r="E264" t="s">
        <v>130</v>
      </c>
      <c r="F264" s="9" t="s">
        <v>207</v>
      </c>
      <c r="G264" t="s">
        <v>26</v>
      </c>
      <c r="H264" t="s">
        <v>185</v>
      </c>
      <c r="I264" t="s">
        <v>186</v>
      </c>
      <c r="J264" t="s">
        <v>162</v>
      </c>
      <c r="K264" t="s">
        <v>47</v>
      </c>
      <c r="L264" t="s">
        <v>29</v>
      </c>
      <c r="M264" t="s">
        <v>30</v>
      </c>
      <c r="N264" t="s">
        <v>185</v>
      </c>
      <c r="O264" t="s">
        <v>186</v>
      </c>
      <c r="P264" t="s">
        <v>162</v>
      </c>
      <c r="Q264" t="s">
        <v>47</v>
      </c>
      <c r="R264" s="1">
        <v>44343.426226851851</v>
      </c>
      <c r="S264" s="1">
        <v>44343.485011574077</v>
      </c>
      <c r="T264">
        <v>4</v>
      </c>
      <c r="U264">
        <v>4</v>
      </c>
      <c r="V264" s="2">
        <v>1</v>
      </c>
      <c r="W264">
        <v>0</v>
      </c>
      <c r="X264" t="s">
        <v>30</v>
      </c>
      <c r="Y264">
        <v>0</v>
      </c>
      <c r="Z264" t="s">
        <v>30</v>
      </c>
      <c r="AA264">
        <v>0</v>
      </c>
      <c r="AB264" t="s">
        <v>30</v>
      </c>
      <c r="AC264">
        <v>0</v>
      </c>
      <c r="AD264" t="s">
        <v>30</v>
      </c>
      <c r="AE264">
        <v>0</v>
      </c>
      <c r="AF264" t="s">
        <v>31</v>
      </c>
      <c r="AG264">
        <v>0</v>
      </c>
      <c r="AH264" t="s">
        <v>31</v>
      </c>
      <c r="AI264">
        <v>0</v>
      </c>
      <c r="AJ264" t="s">
        <v>31</v>
      </c>
      <c r="AK264">
        <v>0</v>
      </c>
      <c r="AL264" t="s">
        <v>31</v>
      </c>
      <c r="AM264">
        <v>0</v>
      </c>
      <c r="AN264" t="s">
        <v>31</v>
      </c>
      <c r="AO264">
        <v>0</v>
      </c>
      <c r="AP264" t="s">
        <v>31</v>
      </c>
      <c r="AQ264">
        <v>0</v>
      </c>
    </row>
    <row r="265" spans="1:49" x14ac:dyDescent="0.2">
      <c r="A265" t="s">
        <v>381</v>
      </c>
      <c r="B265" s="3">
        <v>44344</v>
      </c>
      <c r="C265">
        <v>116</v>
      </c>
      <c r="D265" t="s">
        <v>390</v>
      </c>
      <c r="E265" t="s">
        <v>130</v>
      </c>
      <c r="F265" s="9" t="s">
        <v>207</v>
      </c>
      <c r="G265" t="s">
        <v>26</v>
      </c>
      <c r="H265" t="s">
        <v>185</v>
      </c>
      <c r="I265" t="s">
        <v>186</v>
      </c>
      <c r="J265" t="s">
        <v>162</v>
      </c>
      <c r="K265" t="s">
        <v>47</v>
      </c>
      <c r="L265" t="s">
        <v>29</v>
      </c>
      <c r="M265" t="s">
        <v>30</v>
      </c>
      <c r="N265" t="s">
        <v>185</v>
      </c>
      <c r="O265" t="s">
        <v>186</v>
      </c>
      <c r="P265" t="s">
        <v>162</v>
      </c>
      <c r="Q265" t="s">
        <v>47</v>
      </c>
      <c r="R265" s="1">
        <v>44344.40016203704</v>
      </c>
      <c r="S265" s="1">
        <v>44344.464421296296</v>
      </c>
      <c r="T265">
        <v>1</v>
      </c>
      <c r="U265">
        <v>2</v>
      </c>
      <c r="V265" s="2">
        <v>0.5</v>
      </c>
      <c r="W265">
        <v>0</v>
      </c>
      <c r="X265" t="s">
        <v>61</v>
      </c>
      <c r="Y265">
        <v>0</v>
      </c>
      <c r="Z265" t="s">
        <v>30</v>
      </c>
      <c r="AA265">
        <v>0</v>
      </c>
      <c r="AB265" t="s">
        <v>31</v>
      </c>
      <c r="AC265">
        <v>0</v>
      </c>
      <c r="AD265" t="s">
        <v>31</v>
      </c>
      <c r="AE265">
        <v>0</v>
      </c>
      <c r="AF265" t="s">
        <v>31</v>
      </c>
      <c r="AG265">
        <v>0</v>
      </c>
      <c r="AH265" t="s">
        <v>31</v>
      </c>
      <c r="AI265">
        <v>0</v>
      </c>
      <c r="AJ265" t="s">
        <v>31</v>
      </c>
      <c r="AK265">
        <v>0</v>
      </c>
      <c r="AL265" t="s">
        <v>31</v>
      </c>
      <c r="AM265">
        <v>0</v>
      </c>
      <c r="AN265" t="s">
        <v>31</v>
      </c>
      <c r="AO265">
        <v>0</v>
      </c>
      <c r="AP265" t="s">
        <v>31</v>
      </c>
      <c r="AQ265">
        <v>0</v>
      </c>
    </row>
    <row r="266" spans="1:49" x14ac:dyDescent="0.2">
      <c r="A266" t="s">
        <v>381</v>
      </c>
      <c r="B266" s="3">
        <v>44348</v>
      </c>
      <c r="C266">
        <v>118</v>
      </c>
      <c r="D266" t="s">
        <v>396</v>
      </c>
      <c r="E266" t="s">
        <v>130</v>
      </c>
      <c r="F266" s="9" t="s">
        <v>207</v>
      </c>
      <c r="G266" t="s">
        <v>26</v>
      </c>
      <c r="H266" t="s">
        <v>185</v>
      </c>
      <c r="I266" t="s">
        <v>186</v>
      </c>
      <c r="J266" t="s">
        <v>162</v>
      </c>
      <c r="K266" t="s">
        <v>47</v>
      </c>
      <c r="L266" t="s">
        <v>29</v>
      </c>
      <c r="M266" t="s">
        <v>30</v>
      </c>
      <c r="N266" t="s">
        <v>185</v>
      </c>
      <c r="O266" t="s">
        <v>186</v>
      </c>
      <c r="P266" t="s">
        <v>162</v>
      </c>
      <c r="Q266" t="s">
        <v>47</v>
      </c>
      <c r="R266" s="1">
        <v>44348.406388888892</v>
      </c>
      <c r="S266" s="1">
        <v>44348.488541666666</v>
      </c>
      <c r="T266">
        <v>4</v>
      </c>
      <c r="U266">
        <v>13</v>
      </c>
      <c r="V266" s="2">
        <v>0.3</v>
      </c>
      <c r="W266">
        <v>0</v>
      </c>
      <c r="X266" t="s">
        <v>44</v>
      </c>
      <c r="Y266">
        <v>0</v>
      </c>
      <c r="Z266" t="s">
        <v>44</v>
      </c>
      <c r="AA266">
        <v>0</v>
      </c>
      <c r="AB266" t="s">
        <v>45</v>
      </c>
      <c r="AC266">
        <v>0</v>
      </c>
      <c r="AD266" t="s">
        <v>45</v>
      </c>
      <c r="AE266">
        <v>0</v>
      </c>
      <c r="AF266" t="s">
        <v>30</v>
      </c>
      <c r="AG266">
        <v>0</v>
      </c>
      <c r="AH266" t="s">
        <v>30</v>
      </c>
      <c r="AI266">
        <v>0</v>
      </c>
      <c r="AJ266" t="s">
        <v>45</v>
      </c>
      <c r="AK266">
        <v>0</v>
      </c>
      <c r="AL266" t="s">
        <v>45</v>
      </c>
      <c r="AM266">
        <v>0</v>
      </c>
      <c r="AN266" t="s">
        <v>30</v>
      </c>
      <c r="AO266">
        <v>0</v>
      </c>
      <c r="AP266" t="s">
        <v>45</v>
      </c>
      <c r="AQ266">
        <v>0</v>
      </c>
      <c r="AR266" t="s">
        <v>45</v>
      </c>
      <c r="AS266">
        <v>0</v>
      </c>
      <c r="AT266" t="s">
        <v>61</v>
      </c>
      <c r="AU266">
        <v>0</v>
      </c>
      <c r="AV266" t="s">
        <v>30</v>
      </c>
      <c r="AW266">
        <v>0</v>
      </c>
    </row>
    <row r="267" spans="1:49" x14ac:dyDescent="0.2">
      <c r="A267" t="s">
        <v>381</v>
      </c>
      <c r="B267" s="3">
        <v>44349</v>
      </c>
      <c r="C267">
        <v>120</v>
      </c>
      <c r="D267" t="s">
        <v>398</v>
      </c>
      <c r="E267" t="s">
        <v>130</v>
      </c>
      <c r="F267" s="9" t="s">
        <v>207</v>
      </c>
      <c r="G267" t="s">
        <v>26</v>
      </c>
      <c r="H267" t="s">
        <v>185</v>
      </c>
      <c r="I267" t="s">
        <v>186</v>
      </c>
      <c r="J267" t="s">
        <v>162</v>
      </c>
      <c r="K267" t="s">
        <v>47</v>
      </c>
      <c r="L267" t="s">
        <v>29</v>
      </c>
      <c r="M267" t="s">
        <v>30</v>
      </c>
      <c r="N267" t="s">
        <v>185</v>
      </c>
      <c r="O267" t="s">
        <v>186</v>
      </c>
      <c r="P267" t="s">
        <v>162</v>
      </c>
      <c r="Q267" t="s">
        <v>47</v>
      </c>
      <c r="R267" s="1">
        <v>44349.447175925925</v>
      </c>
      <c r="S267" s="1">
        <v>44349.447175925925</v>
      </c>
      <c r="T267">
        <v>1</v>
      </c>
      <c r="U267">
        <v>1</v>
      </c>
      <c r="V267" s="2">
        <v>1</v>
      </c>
      <c r="W267">
        <v>0</v>
      </c>
      <c r="X267" t="s">
        <v>30</v>
      </c>
      <c r="Y267">
        <v>0</v>
      </c>
      <c r="Z267" t="s">
        <v>31</v>
      </c>
      <c r="AA267">
        <v>0</v>
      </c>
      <c r="AB267" t="s">
        <v>31</v>
      </c>
      <c r="AC267">
        <v>0</v>
      </c>
      <c r="AD267" t="s">
        <v>31</v>
      </c>
      <c r="AE267">
        <v>0</v>
      </c>
      <c r="AF267" t="s">
        <v>31</v>
      </c>
      <c r="AG267">
        <v>0</v>
      </c>
      <c r="AH267" t="s">
        <v>31</v>
      </c>
      <c r="AI267">
        <v>0</v>
      </c>
      <c r="AJ267" t="s">
        <v>31</v>
      </c>
      <c r="AK267">
        <v>0</v>
      </c>
      <c r="AL267" t="s">
        <v>31</v>
      </c>
      <c r="AM267">
        <v>0</v>
      </c>
      <c r="AN267" t="s">
        <v>31</v>
      </c>
      <c r="AO267">
        <v>0</v>
      </c>
      <c r="AP267" t="s">
        <v>31</v>
      </c>
      <c r="AQ267">
        <v>0</v>
      </c>
    </row>
    <row r="268" spans="1:49" x14ac:dyDescent="0.2">
      <c r="A268" t="s">
        <v>381</v>
      </c>
      <c r="B268" s="3">
        <v>44349</v>
      </c>
      <c r="C268">
        <v>121</v>
      </c>
      <c r="D268" t="s">
        <v>385</v>
      </c>
      <c r="E268" t="s">
        <v>130</v>
      </c>
      <c r="F268" s="9" t="s">
        <v>207</v>
      </c>
      <c r="G268" t="s">
        <v>26</v>
      </c>
      <c r="H268" t="s">
        <v>185</v>
      </c>
      <c r="I268" t="s">
        <v>186</v>
      </c>
      <c r="J268" t="s">
        <v>162</v>
      </c>
      <c r="K268" t="s">
        <v>47</v>
      </c>
      <c r="L268" t="s">
        <v>29</v>
      </c>
      <c r="M268" t="s">
        <v>30</v>
      </c>
      <c r="N268" t="s">
        <v>64</v>
      </c>
      <c r="O268" t="s">
        <v>65</v>
      </c>
      <c r="P268" t="s">
        <v>43</v>
      </c>
      <c r="Q268" t="s">
        <v>44</v>
      </c>
      <c r="R268" s="1">
        <v>44349.593553240738</v>
      </c>
      <c r="S268" s="1">
        <v>44349.637106481481</v>
      </c>
      <c r="T268">
        <v>2</v>
      </c>
      <c r="U268">
        <v>2</v>
      </c>
      <c r="V268" s="2">
        <v>1</v>
      </c>
      <c r="W268">
        <v>0</v>
      </c>
      <c r="X268" t="s">
        <v>30</v>
      </c>
      <c r="Y268">
        <v>0</v>
      </c>
      <c r="Z268" t="s">
        <v>30</v>
      </c>
      <c r="AA268">
        <v>0</v>
      </c>
      <c r="AB268" t="s">
        <v>31</v>
      </c>
      <c r="AC268">
        <v>0</v>
      </c>
      <c r="AD268" t="s">
        <v>31</v>
      </c>
      <c r="AE268">
        <v>0</v>
      </c>
      <c r="AF268" t="s">
        <v>31</v>
      </c>
      <c r="AG268">
        <v>0</v>
      </c>
      <c r="AH268" t="s">
        <v>31</v>
      </c>
      <c r="AI268">
        <v>0</v>
      </c>
      <c r="AJ268" t="s">
        <v>31</v>
      </c>
      <c r="AK268">
        <v>0</v>
      </c>
      <c r="AL268" t="s">
        <v>31</v>
      </c>
      <c r="AM268">
        <v>0</v>
      </c>
      <c r="AN268" t="s">
        <v>31</v>
      </c>
      <c r="AO268">
        <v>0</v>
      </c>
      <c r="AP268" t="s">
        <v>31</v>
      </c>
      <c r="AQ268">
        <v>0</v>
      </c>
    </row>
    <row r="269" spans="1:49" x14ac:dyDescent="0.2">
      <c r="A269" t="s">
        <v>381</v>
      </c>
      <c r="B269" s="3">
        <v>44350</v>
      </c>
      <c r="C269">
        <v>123</v>
      </c>
      <c r="D269" t="s">
        <v>382</v>
      </c>
      <c r="E269" t="s">
        <v>130</v>
      </c>
      <c r="F269" s="9" t="s">
        <v>207</v>
      </c>
      <c r="G269" t="s">
        <v>26</v>
      </c>
      <c r="H269" t="s">
        <v>64</v>
      </c>
      <c r="I269" t="s">
        <v>65</v>
      </c>
      <c r="J269" t="s">
        <v>43</v>
      </c>
      <c r="K269" t="s">
        <v>44</v>
      </c>
      <c r="L269" t="s">
        <v>29</v>
      </c>
      <c r="M269" t="s">
        <v>30</v>
      </c>
      <c r="N269" t="s">
        <v>64</v>
      </c>
      <c r="O269" t="s">
        <v>65</v>
      </c>
      <c r="P269" t="s">
        <v>43</v>
      </c>
      <c r="Q269" t="s">
        <v>44</v>
      </c>
      <c r="R269" s="1">
        <v>44350.389421296299</v>
      </c>
      <c r="S269" s="1">
        <v>44350.389421296299</v>
      </c>
      <c r="T269">
        <v>2</v>
      </c>
      <c r="U269">
        <v>2</v>
      </c>
      <c r="V269" s="2">
        <v>1</v>
      </c>
      <c r="W269">
        <v>0</v>
      </c>
      <c r="X269" t="s">
        <v>30</v>
      </c>
      <c r="Y269">
        <v>0</v>
      </c>
      <c r="Z269" t="s">
        <v>30</v>
      </c>
      <c r="AA269">
        <v>0</v>
      </c>
      <c r="AB269" t="s">
        <v>31</v>
      </c>
      <c r="AC269">
        <v>0</v>
      </c>
      <c r="AD269" t="s">
        <v>31</v>
      </c>
      <c r="AE269">
        <v>0</v>
      </c>
      <c r="AF269" t="s">
        <v>31</v>
      </c>
      <c r="AG269">
        <v>0</v>
      </c>
      <c r="AH269" t="s">
        <v>31</v>
      </c>
      <c r="AI269">
        <v>0</v>
      </c>
      <c r="AJ269" t="s">
        <v>31</v>
      </c>
      <c r="AK269">
        <v>0</v>
      </c>
      <c r="AL269" t="s">
        <v>31</v>
      </c>
      <c r="AM269">
        <v>0</v>
      </c>
      <c r="AN269" t="s">
        <v>31</v>
      </c>
      <c r="AO269">
        <v>0</v>
      </c>
      <c r="AP269" t="s">
        <v>31</v>
      </c>
      <c r="AQ269">
        <v>0</v>
      </c>
    </row>
    <row r="270" spans="1:49" x14ac:dyDescent="0.2">
      <c r="A270" t="s">
        <v>381</v>
      </c>
      <c r="B270" s="3">
        <v>44351</v>
      </c>
      <c r="C270">
        <v>124</v>
      </c>
      <c r="D270" t="s">
        <v>390</v>
      </c>
      <c r="E270" t="s">
        <v>130</v>
      </c>
      <c r="F270" s="9" t="s">
        <v>207</v>
      </c>
      <c r="G270" t="s">
        <v>26</v>
      </c>
      <c r="H270" t="s">
        <v>64</v>
      </c>
      <c r="I270" t="s">
        <v>65</v>
      </c>
      <c r="J270" t="s">
        <v>43</v>
      </c>
      <c r="K270" t="s">
        <v>44</v>
      </c>
      <c r="L270" t="s">
        <v>29</v>
      </c>
      <c r="M270" t="s">
        <v>30</v>
      </c>
      <c r="N270" t="s">
        <v>132</v>
      </c>
      <c r="O270" t="s">
        <v>133</v>
      </c>
      <c r="P270" t="s">
        <v>43</v>
      </c>
      <c r="Q270" t="s">
        <v>44</v>
      </c>
      <c r="R270" s="1">
        <v>44351.399108796293</v>
      </c>
      <c r="S270" s="1">
        <v>44351.399108796293</v>
      </c>
      <c r="T270">
        <v>1</v>
      </c>
      <c r="U270">
        <v>1</v>
      </c>
      <c r="V270" s="2">
        <v>1</v>
      </c>
      <c r="W270">
        <v>0</v>
      </c>
      <c r="X270" t="s">
        <v>30</v>
      </c>
      <c r="Y270">
        <v>0</v>
      </c>
      <c r="Z270" t="s">
        <v>31</v>
      </c>
      <c r="AA270">
        <v>0</v>
      </c>
      <c r="AB270" t="s">
        <v>31</v>
      </c>
      <c r="AC270">
        <v>0</v>
      </c>
      <c r="AD270" t="s">
        <v>31</v>
      </c>
      <c r="AE270">
        <v>0</v>
      </c>
      <c r="AF270" t="s">
        <v>31</v>
      </c>
      <c r="AG270">
        <v>0</v>
      </c>
      <c r="AH270" t="s">
        <v>31</v>
      </c>
      <c r="AI270">
        <v>0</v>
      </c>
      <c r="AJ270" t="s">
        <v>31</v>
      </c>
      <c r="AK270">
        <v>0</v>
      </c>
      <c r="AL270" t="s">
        <v>31</v>
      </c>
      <c r="AM270">
        <v>0</v>
      </c>
      <c r="AN270" t="s">
        <v>31</v>
      </c>
      <c r="AO270">
        <v>0</v>
      </c>
      <c r="AP270" t="s">
        <v>31</v>
      </c>
      <c r="AQ270">
        <v>0</v>
      </c>
    </row>
    <row r="271" spans="1:49" x14ac:dyDescent="0.2">
      <c r="A271" t="s">
        <v>381</v>
      </c>
      <c r="B271" s="3">
        <v>44351</v>
      </c>
      <c r="C271">
        <v>125</v>
      </c>
      <c r="D271" t="s">
        <v>387</v>
      </c>
      <c r="E271" t="s">
        <v>130</v>
      </c>
      <c r="F271" s="9" t="s">
        <v>207</v>
      </c>
      <c r="G271" t="s">
        <v>26</v>
      </c>
      <c r="H271" t="s">
        <v>132</v>
      </c>
      <c r="I271" t="s">
        <v>133</v>
      </c>
      <c r="J271" t="s">
        <v>43</v>
      </c>
      <c r="K271" t="s">
        <v>44</v>
      </c>
      <c r="L271" t="s">
        <v>29</v>
      </c>
      <c r="M271" t="s">
        <v>30</v>
      </c>
      <c r="N271" t="s">
        <v>132</v>
      </c>
      <c r="O271" t="s">
        <v>133</v>
      </c>
      <c r="P271" t="s">
        <v>43</v>
      </c>
      <c r="Q271" t="s">
        <v>44</v>
      </c>
      <c r="R271" s="1">
        <v>44351.550011574072</v>
      </c>
      <c r="S271" s="1">
        <v>44351.550011574072</v>
      </c>
      <c r="T271">
        <v>3</v>
      </c>
      <c r="U271">
        <v>3</v>
      </c>
      <c r="V271" s="2">
        <v>1</v>
      </c>
      <c r="W271">
        <v>0</v>
      </c>
      <c r="X271" t="s">
        <v>30</v>
      </c>
      <c r="Y271">
        <v>0</v>
      </c>
      <c r="Z271" t="s">
        <v>30</v>
      </c>
      <c r="AA271">
        <v>0</v>
      </c>
      <c r="AB271" t="s">
        <v>30</v>
      </c>
      <c r="AC271">
        <v>0</v>
      </c>
      <c r="AD271" t="s">
        <v>31</v>
      </c>
      <c r="AE271">
        <v>0</v>
      </c>
      <c r="AF271" t="s">
        <v>31</v>
      </c>
      <c r="AG271">
        <v>0</v>
      </c>
      <c r="AH271" t="s">
        <v>31</v>
      </c>
      <c r="AI271">
        <v>0</v>
      </c>
      <c r="AJ271" t="s">
        <v>31</v>
      </c>
      <c r="AK271">
        <v>0</v>
      </c>
      <c r="AL271" t="s">
        <v>31</v>
      </c>
      <c r="AM271">
        <v>0</v>
      </c>
      <c r="AN271" t="s">
        <v>31</v>
      </c>
      <c r="AO271">
        <v>0</v>
      </c>
      <c r="AP271" t="s">
        <v>31</v>
      </c>
      <c r="AQ271">
        <v>0</v>
      </c>
    </row>
    <row r="272" spans="1:49" x14ac:dyDescent="0.2">
      <c r="A272" t="s">
        <v>381</v>
      </c>
      <c r="B272" s="3">
        <v>44354</v>
      </c>
      <c r="C272">
        <v>126</v>
      </c>
      <c r="D272" t="s">
        <v>397</v>
      </c>
      <c r="E272" t="s">
        <v>130</v>
      </c>
      <c r="F272" s="9" t="s">
        <v>207</v>
      </c>
      <c r="G272" t="s">
        <v>26</v>
      </c>
      <c r="H272" t="s">
        <v>132</v>
      </c>
      <c r="I272" t="s">
        <v>133</v>
      </c>
      <c r="J272" t="s">
        <v>43</v>
      </c>
      <c r="K272" t="s">
        <v>44</v>
      </c>
      <c r="L272" t="s">
        <v>29</v>
      </c>
      <c r="M272" t="s">
        <v>30</v>
      </c>
      <c r="N272" t="s">
        <v>116</v>
      </c>
      <c r="O272" t="s">
        <v>117</v>
      </c>
      <c r="P272" t="s">
        <v>43</v>
      </c>
      <c r="Q272" t="s">
        <v>44</v>
      </c>
      <c r="R272" s="1">
        <v>44354.403981481482</v>
      </c>
      <c r="S272" s="1">
        <v>44354.480381944442</v>
      </c>
      <c r="T272">
        <v>4</v>
      </c>
      <c r="U272">
        <v>5</v>
      </c>
      <c r="V272" s="2">
        <v>0.8</v>
      </c>
      <c r="W272">
        <v>0</v>
      </c>
      <c r="X272" t="s">
        <v>30</v>
      </c>
      <c r="Y272">
        <v>0</v>
      </c>
      <c r="Z272" t="s">
        <v>30</v>
      </c>
      <c r="AA272">
        <v>0</v>
      </c>
      <c r="AB272" t="s">
        <v>30</v>
      </c>
      <c r="AC272">
        <v>0</v>
      </c>
      <c r="AD272" t="s">
        <v>45</v>
      </c>
      <c r="AE272">
        <v>0</v>
      </c>
      <c r="AF272" t="s">
        <v>30</v>
      </c>
      <c r="AG272">
        <v>0</v>
      </c>
      <c r="AH272" t="s">
        <v>31</v>
      </c>
      <c r="AI272">
        <v>0</v>
      </c>
      <c r="AJ272" t="s">
        <v>31</v>
      </c>
      <c r="AK272">
        <v>0</v>
      </c>
      <c r="AL272" t="s">
        <v>31</v>
      </c>
      <c r="AM272">
        <v>0</v>
      </c>
      <c r="AN272" t="s">
        <v>31</v>
      </c>
      <c r="AO272">
        <v>0</v>
      </c>
      <c r="AP272" t="s">
        <v>31</v>
      </c>
      <c r="AQ272">
        <v>0</v>
      </c>
    </row>
    <row r="273" spans="1:43" x14ac:dyDescent="0.2">
      <c r="A273" t="s">
        <v>381</v>
      </c>
      <c r="B273" s="3">
        <v>44355</v>
      </c>
      <c r="C273">
        <v>128</v>
      </c>
      <c r="D273" t="s">
        <v>406</v>
      </c>
      <c r="E273" t="s">
        <v>130</v>
      </c>
      <c r="F273" s="9" t="s">
        <v>207</v>
      </c>
      <c r="G273" t="s">
        <v>26</v>
      </c>
      <c r="H273" t="s">
        <v>116</v>
      </c>
      <c r="I273" t="s">
        <v>117</v>
      </c>
      <c r="J273" t="s">
        <v>43</v>
      </c>
      <c r="K273" t="s">
        <v>44</v>
      </c>
      <c r="L273" t="s">
        <v>29</v>
      </c>
      <c r="M273" t="s">
        <v>30</v>
      </c>
      <c r="N273" t="s">
        <v>116</v>
      </c>
      <c r="O273" t="s">
        <v>117</v>
      </c>
      <c r="P273" t="s">
        <v>43</v>
      </c>
      <c r="Q273" t="s">
        <v>44</v>
      </c>
      <c r="R273" s="1">
        <v>44355.398657407408</v>
      </c>
      <c r="S273" s="1">
        <v>44355.425949074073</v>
      </c>
      <c r="T273">
        <v>0</v>
      </c>
      <c r="U273">
        <v>3</v>
      </c>
      <c r="V273" s="2">
        <v>0</v>
      </c>
      <c r="W273">
        <v>0</v>
      </c>
      <c r="X273" t="s">
        <v>47</v>
      </c>
      <c r="Y273">
        <v>0</v>
      </c>
      <c r="Z273" t="s">
        <v>47</v>
      </c>
      <c r="AA273">
        <v>0</v>
      </c>
      <c r="AB273" t="s">
        <v>47</v>
      </c>
      <c r="AC273">
        <v>0</v>
      </c>
      <c r="AD273" t="s">
        <v>31</v>
      </c>
      <c r="AE273">
        <v>0</v>
      </c>
      <c r="AF273" t="s">
        <v>31</v>
      </c>
      <c r="AG273">
        <v>0</v>
      </c>
      <c r="AH273" t="s">
        <v>31</v>
      </c>
      <c r="AI273">
        <v>0</v>
      </c>
      <c r="AJ273" t="s">
        <v>31</v>
      </c>
      <c r="AK273">
        <v>0</v>
      </c>
      <c r="AL273" t="s">
        <v>31</v>
      </c>
      <c r="AM273">
        <v>0</v>
      </c>
      <c r="AN273" t="s">
        <v>31</v>
      </c>
      <c r="AO273">
        <v>0</v>
      </c>
      <c r="AP273" t="s">
        <v>31</v>
      </c>
      <c r="AQ273">
        <v>0</v>
      </c>
    </row>
    <row r="274" spans="1:43" x14ac:dyDescent="0.2">
      <c r="A274" t="s">
        <v>381</v>
      </c>
      <c r="B274" s="3">
        <v>44355</v>
      </c>
      <c r="C274">
        <v>129</v>
      </c>
      <c r="D274" t="s">
        <v>385</v>
      </c>
      <c r="E274" t="s">
        <v>130</v>
      </c>
      <c r="F274" s="9" t="s">
        <v>207</v>
      </c>
      <c r="G274" t="s">
        <v>26</v>
      </c>
      <c r="H274" t="s">
        <v>116</v>
      </c>
      <c r="I274" t="s">
        <v>117</v>
      </c>
      <c r="J274" t="s">
        <v>43</v>
      </c>
      <c r="K274" t="s">
        <v>44</v>
      </c>
      <c r="L274" t="s">
        <v>29</v>
      </c>
      <c r="M274" t="s">
        <v>30</v>
      </c>
      <c r="N274" t="s">
        <v>116</v>
      </c>
      <c r="O274" t="s">
        <v>117</v>
      </c>
      <c r="P274" t="s">
        <v>43</v>
      </c>
      <c r="Q274" t="s">
        <v>44</v>
      </c>
      <c r="R274" s="1">
        <v>44355.554826388892</v>
      </c>
      <c r="S274" s="1">
        <v>44355.640150462961</v>
      </c>
      <c r="T274">
        <v>8</v>
      </c>
      <c r="U274">
        <v>8</v>
      </c>
      <c r="V274" s="2">
        <v>1</v>
      </c>
      <c r="W274">
        <v>0</v>
      </c>
      <c r="X274" t="s">
        <v>30</v>
      </c>
      <c r="Y274">
        <v>0</v>
      </c>
      <c r="Z274" t="s">
        <v>30</v>
      </c>
      <c r="AA274">
        <v>0</v>
      </c>
      <c r="AB274" t="s">
        <v>30</v>
      </c>
      <c r="AC274">
        <v>0</v>
      </c>
      <c r="AD274" t="s">
        <v>30</v>
      </c>
      <c r="AE274">
        <v>0</v>
      </c>
      <c r="AF274" t="s">
        <v>30</v>
      </c>
      <c r="AG274">
        <v>0</v>
      </c>
      <c r="AH274" t="s">
        <v>30</v>
      </c>
      <c r="AI274">
        <v>0</v>
      </c>
      <c r="AJ274" t="s">
        <v>30</v>
      </c>
      <c r="AK274">
        <v>0</v>
      </c>
      <c r="AL274" t="s">
        <v>30</v>
      </c>
      <c r="AM274">
        <v>0</v>
      </c>
      <c r="AN274" t="s">
        <v>31</v>
      </c>
      <c r="AO274">
        <v>0</v>
      </c>
      <c r="AP274" t="s">
        <v>31</v>
      </c>
      <c r="AQ274">
        <v>0</v>
      </c>
    </row>
    <row r="275" spans="1:43" x14ac:dyDescent="0.2">
      <c r="A275" t="s">
        <v>381</v>
      </c>
      <c r="B275" s="3">
        <v>44356</v>
      </c>
      <c r="C275">
        <v>130</v>
      </c>
      <c r="D275" t="s">
        <v>398</v>
      </c>
      <c r="E275" t="s">
        <v>130</v>
      </c>
      <c r="F275" s="9" t="s">
        <v>207</v>
      </c>
      <c r="G275" t="s">
        <v>26</v>
      </c>
      <c r="H275" t="s">
        <v>116</v>
      </c>
      <c r="I275" t="s">
        <v>117</v>
      </c>
      <c r="J275" t="s">
        <v>43</v>
      </c>
      <c r="K275" t="s">
        <v>44</v>
      </c>
      <c r="L275" t="s">
        <v>29</v>
      </c>
      <c r="M275" t="s">
        <v>30</v>
      </c>
      <c r="N275" t="s">
        <v>116</v>
      </c>
      <c r="O275" t="s">
        <v>117</v>
      </c>
      <c r="P275" t="s">
        <v>43</v>
      </c>
      <c r="Q275" t="s">
        <v>44</v>
      </c>
      <c r="R275" s="1">
        <v>44356.41170138889</v>
      </c>
      <c r="S275" s="1">
        <v>44356.41170138889</v>
      </c>
      <c r="T275">
        <v>1</v>
      </c>
      <c r="U275">
        <v>1</v>
      </c>
      <c r="V275" s="2">
        <v>1</v>
      </c>
      <c r="W275">
        <v>0</v>
      </c>
      <c r="X275" t="s">
        <v>30</v>
      </c>
      <c r="Y275">
        <v>0</v>
      </c>
      <c r="Z275" t="s">
        <v>31</v>
      </c>
      <c r="AA275">
        <v>0</v>
      </c>
      <c r="AB275" t="s">
        <v>31</v>
      </c>
      <c r="AC275">
        <v>0</v>
      </c>
      <c r="AD275" t="s">
        <v>31</v>
      </c>
      <c r="AE275">
        <v>0</v>
      </c>
      <c r="AF275" t="s">
        <v>31</v>
      </c>
      <c r="AG275">
        <v>0</v>
      </c>
      <c r="AH275" t="s">
        <v>31</v>
      </c>
      <c r="AI275">
        <v>0</v>
      </c>
      <c r="AJ275" t="s">
        <v>31</v>
      </c>
      <c r="AK275">
        <v>0</v>
      </c>
      <c r="AL275" t="s">
        <v>31</v>
      </c>
      <c r="AM275">
        <v>0</v>
      </c>
      <c r="AN275" t="s">
        <v>31</v>
      </c>
      <c r="AO275">
        <v>0</v>
      </c>
      <c r="AP275" t="s">
        <v>31</v>
      </c>
      <c r="AQ275">
        <v>0</v>
      </c>
    </row>
    <row r="276" spans="1:43" x14ac:dyDescent="0.2">
      <c r="A276" t="s">
        <v>381</v>
      </c>
      <c r="B276" s="3">
        <v>44358</v>
      </c>
      <c r="C276">
        <v>133</v>
      </c>
      <c r="D276" t="s">
        <v>390</v>
      </c>
      <c r="E276" t="s">
        <v>130</v>
      </c>
      <c r="F276" s="9" t="s">
        <v>207</v>
      </c>
      <c r="G276" t="s">
        <v>26</v>
      </c>
      <c r="H276" t="s">
        <v>116</v>
      </c>
      <c r="I276" t="s">
        <v>117</v>
      </c>
      <c r="J276" t="s">
        <v>43</v>
      </c>
      <c r="K276" t="s">
        <v>44</v>
      </c>
      <c r="L276" t="s">
        <v>29</v>
      </c>
      <c r="M276" t="s">
        <v>30</v>
      </c>
      <c r="N276" t="s">
        <v>116</v>
      </c>
      <c r="O276" t="s">
        <v>117</v>
      </c>
      <c r="P276" t="s">
        <v>43</v>
      </c>
      <c r="Q276" t="s">
        <v>44</v>
      </c>
      <c r="R276" s="1">
        <v>44358.397685185184</v>
      </c>
      <c r="S276" s="1">
        <v>44358.462488425925</v>
      </c>
      <c r="T276">
        <v>2</v>
      </c>
      <c r="U276">
        <v>3</v>
      </c>
      <c r="V276" s="2">
        <v>0.66</v>
      </c>
      <c r="W276">
        <v>0</v>
      </c>
      <c r="X276" t="s">
        <v>30</v>
      </c>
      <c r="Y276">
        <v>0</v>
      </c>
      <c r="Z276" t="s">
        <v>45</v>
      </c>
      <c r="AA276">
        <v>0</v>
      </c>
      <c r="AB276" t="s">
        <v>30</v>
      </c>
      <c r="AC276">
        <v>0</v>
      </c>
      <c r="AD276" t="s">
        <v>31</v>
      </c>
      <c r="AE276">
        <v>0</v>
      </c>
      <c r="AF276" t="s">
        <v>31</v>
      </c>
      <c r="AG276">
        <v>0</v>
      </c>
      <c r="AH276" t="s">
        <v>31</v>
      </c>
      <c r="AI276">
        <v>0</v>
      </c>
      <c r="AJ276" t="s">
        <v>31</v>
      </c>
      <c r="AK276">
        <v>0</v>
      </c>
      <c r="AL276" t="s">
        <v>31</v>
      </c>
      <c r="AM276">
        <v>0</v>
      </c>
      <c r="AN276" t="s">
        <v>31</v>
      </c>
      <c r="AO276">
        <v>0</v>
      </c>
      <c r="AP276" t="s">
        <v>31</v>
      </c>
      <c r="AQ276">
        <v>0</v>
      </c>
    </row>
    <row r="277" spans="1:43" x14ac:dyDescent="0.2">
      <c r="A277" t="s">
        <v>381</v>
      </c>
      <c r="B277" s="3">
        <v>44361</v>
      </c>
      <c r="C277">
        <v>135</v>
      </c>
      <c r="D277" t="s">
        <v>390</v>
      </c>
      <c r="E277" t="s">
        <v>130</v>
      </c>
      <c r="F277" s="9" t="s">
        <v>207</v>
      </c>
      <c r="G277" t="s">
        <v>26</v>
      </c>
      <c r="H277" t="s">
        <v>132</v>
      </c>
      <c r="I277" t="s">
        <v>133</v>
      </c>
      <c r="J277" t="s">
        <v>29</v>
      </c>
      <c r="K277" t="s">
        <v>30</v>
      </c>
      <c r="L277" t="s">
        <v>29</v>
      </c>
      <c r="M277" t="s">
        <v>30</v>
      </c>
      <c r="N277" t="s">
        <v>132</v>
      </c>
      <c r="O277" t="s">
        <v>133</v>
      </c>
      <c r="P277" t="s">
        <v>29</v>
      </c>
      <c r="Q277" t="s">
        <v>30</v>
      </c>
      <c r="R277" s="1">
        <v>44361.456967592596</v>
      </c>
      <c r="S277" s="1">
        <v>44361.457465277781</v>
      </c>
      <c r="T277">
        <v>0</v>
      </c>
      <c r="U277">
        <v>1</v>
      </c>
      <c r="V277" s="2">
        <v>0</v>
      </c>
      <c r="W277">
        <v>0</v>
      </c>
      <c r="X277" t="s">
        <v>61</v>
      </c>
      <c r="Y277">
        <v>0</v>
      </c>
      <c r="Z277" t="s">
        <v>31</v>
      </c>
      <c r="AA277">
        <v>0</v>
      </c>
      <c r="AB277" t="s">
        <v>31</v>
      </c>
      <c r="AC277">
        <v>0</v>
      </c>
      <c r="AD277" t="s">
        <v>31</v>
      </c>
      <c r="AE277">
        <v>0</v>
      </c>
      <c r="AF277" t="s">
        <v>31</v>
      </c>
      <c r="AG277">
        <v>0</v>
      </c>
      <c r="AH277" t="s">
        <v>31</v>
      </c>
      <c r="AI277">
        <v>0</v>
      </c>
      <c r="AJ277" t="s">
        <v>31</v>
      </c>
      <c r="AK277">
        <v>0</v>
      </c>
      <c r="AL277" t="s">
        <v>31</v>
      </c>
      <c r="AM277">
        <v>0</v>
      </c>
      <c r="AN277" t="s">
        <v>31</v>
      </c>
      <c r="AO277">
        <v>0</v>
      </c>
      <c r="AP277" t="s">
        <v>31</v>
      </c>
      <c r="AQ277">
        <v>0</v>
      </c>
    </row>
    <row r="278" spans="1:43" x14ac:dyDescent="0.2">
      <c r="A278" t="s">
        <v>381</v>
      </c>
      <c r="B278" s="3">
        <v>44361</v>
      </c>
      <c r="C278">
        <v>136</v>
      </c>
      <c r="D278" t="s">
        <v>383</v>
      </c>
      <c r="E278" t="s">
        <v>130</v>
      </c>
      <c r="F278" s="9" t="s">
        <v>207</v>
      </c>
      <c r="G278" t="s">
        <v>26</v>
      </c>
      <c r="H278" t="s">
        <v>132</v>
      </c>
      <c r="I278" t="s">
        <v>133</v>
      </c>
      <c r="J278" t="s">
        <v>29</v>
      </c>
      <c r="K278" t="s">
        <v>30</v>
      </c>
      <c r="L278" t="s">
        <v>29</v>
      </c>
      <c r="M278" t="s">
        <v>30</v>
      </c>
      <c r="N278" t="s">
        <v>64</v>
      </c>
      <c r="O278" t="s">
        <v>65</v>
      </c>
      <c r="P278" t="s">
        <v>29</v>
      </c>
      <c r="Q278" t="s">
        <v>30</v>
      </c>
      <c r="R278" s="1">
        <v>44361.57172453704</v>
      </c>
      <c r="S278" s="1">
        <v>44361.637453703705</v>
      </c>
      <c r="T278">
        <v>1</v>
      </c>
      <c r="U278">
        <v>3</v>
      </c>
      <c r="V278" s="2">
        <v>0.33</v>
      </c>
      <c r="W278">
        <v>0</v>
      </c>
      <c r="X278" t="s">
        <v>47</v>
      </c>
      <c r="Y278">
        <v>0</v>
      </c>
      <c r="Z278" t="s">
        <v>30</v>
      </c>
      <c r="AA278">
        <v>0</v>
      </c>
      <c r="AB278" t="s">
        <v>47</v>
      </c>
      <c r="AC278">
        <v>0</v>
      </c>
      <c r="AD278" t="s">
        <v>31</v>
      </c>
      <c r="AE278">
        <v>0</v>
      </c>
      <c r="AF278" t="s">
        <v>31</v>
      </c>
      <c r="AG278">
        <v>0</v>
      </c>
      <c r="AH278" t="s">
        <v>31</v>
      </c>
      <c r="AI278">
        <v>0</v>
      </c>
      <c r="AJ278" t="s">
        <v>31</v>
      </c>
      <c r="AK278">
        <v>0</v>
      </c>
      <c r="AL278" t="s">
        <v>31</v>
      </c>
      <c r="AM278">
        <v>0</v>
      </c>
      <c r="AN278" t="s">
        <v>31</v>
      </c>
      <c r="AO278">
        <v>0</v>
      </c>
      <c r="AP278" t="s">
        <v>31</v>
      </c>
      <c r="AQ278">
        <v>0</v>
      </c>
    </row>
    <row r="279" spans="1:43" x14ac:dyDescent="0.2">
      <c r="A279" t="s">
        <v>381</v>
      </c>
      <c r="B279" s="3">
        <v>44363</v>
      </c>
      <c r="C279">
        <v>137</v>
      </c>
      <c r="D279" t="s">
        <v>383</v>
      </c>
      <c r="E279" t="s">
        <v>130</v>
      </c>
      <c r="F279" s="9" t="s">
        <v>207</v>
      </c>
      <c r="G279" t="s">
        <v>26</v>
      </c>
      <c r="H279" t="s">
        <v>64</v>
      </c>
      <c r="I279" t="s">
        <v>65</v>
      </c>
      <c r="J279" t="s">
        <v>29</v>
      </c>
      <c r="K279" t="s">
        <v>30</v>
      </c>
      <c r="L279" t="s">
        <v>29</v>
      </c>
      <c r="M279" t="s">
        <v>30</v>
      </c>
      <c r="N279" t="s">
        <v>64</v>
      </c>
      <c r="O279" t="s">
        <v>65</v>
      </c>
      <c r="P279" t="s">
        <v>29</v>
      </c>
      <c r="Q279" t="s">
        <v>30</v>
      </c>
      <c r="R279" s="1">
        <v>44363.557500000003</v>
      </c>
      <c r="S279" s="1">
        <v>44363.634270833332</v>
      </c>
      <c r="T279">
        <v>4</v>
      </c>
      <c r="U279">
        <v>10</v>
      </c>
      <c r="V279" s="2">
        <v>0.4</v>
      </c>
      <c r="W279">
        <v>0</v>
      </c>
      <c r="X279" t="s">
        <v>61</v>
      </c>
      <c r="Y279">
        <v>0</v>
      </c>
      <c r="Z279" t="s">
        <v>44</v>
      </c>
      <c r="AA279">
        <v>0</v>
      </c>
      <c r="AB279" t="s">
        <v>45</v>
      </c>
      <c r="AC279">
        <v>0</v>
      </c>
      <c r="AD279" t="s">
        <v>61</v>
      </c>
      <c r="AE279">
        <v>0</v>
      </c>
      <c r="AF279" t="s">
        <v>30</v>
      </c>
      <c r="AG279">
        <v>0</v>
      </c>
      <c r="AH279" t="s">
        <v>44</v>
      </c>
      <c r="AI279">
        <v>0</v>
      </c>
      <c r="AJ279" t="s">
        <v>45</v>
      </c>
      <c r="AK279">
        <v>0</v>
      </c>
      <c r="AL279" t="s">
        <v>30</v>
      </c>
      <c r="AM279">
        <v>0</v>
      </c>
      <c r="AN279" t="s">
        <v>30</v>
      </c>
      <c r="AO279">
        <v>0</v>
      </c>
      <c r="AP279" t="s">
        <v>30</v>
      </c>
      <c r="AQ279">
        <v>0</v>
      </c>
    </row>
    <row r="280" spans="1:43" x14ac:dyDescent="0.2">
      <c r="A280" t="s">
        <v>381</v>
      </c>
      <c r="B280" s="3">
        <v>44365</v>
      </c>
      <c r="C280">
        <v>139</v>
      </c>
      <c r="D280" t="s">
        <v>400</v>
      </c>
      <c r="E280" t="s">
        <v>130</v>
      </c>
      <c r="F280" s="9" t="s">
        <v>207</v>
      </c>
      <c r="G280" t="s">
        <v>26</v>
      </c>
      <c r="H280" t="s">
        <v>64</v>
      </c>
      <c r="I280" t="s">
        <v>65</v>
      </c>
      <c r="J280" t="s">
        <v>29</v>
      </c>
      <c r="K280" t="s">
        <v>30</v>
      </c>
      <c r="L280" t="s">
        <v>29</v>
      </c>
      <c r="M280" t="s">
        <v>30</v>
      </c>
      <c r="N280" t="s">
        <v>64</v>
      </c>
      <c r="O280" t="s">
        <v>65</v>
      </c>
      <c r="P280" t="s">
        <v>29</v>
      </c>
      <c r="Q280" t="s">
        <v>30</v>
      </c>
      <c r="R280" s="1">
        <v>44365.446666666663</v>
      </c>
      <c r="S280" s="1">
        <v>44365.446666666663</v>
      </c>
      <c r="T280">
        <v>2</v>
      </c>
      <c r="U280">
        <v>2</v>
      </c>
      <c r="V280" s="2">
        <v>1</v>
      </c>
      <c r="W280">
        <v>0</v>
      </c>
      <c r="X280" t="s">
        <v>30</v>
      </c>
      <c r="Y280">
        <v>0</v>
      </c>
      <c r="Z280" t="s">
        <v>30</v>
      </c>
      <c r="AA280">
        <v>0</v>
      </c>
      <c r="AB280" t="s">
        <v>31</v>
      </c>
      <c r="AC280">
        <v>0</v>
      </c>
      <c r="AD280" t="s">
        <v>31</v>
      </c>
      <c r="AE280">
        <v>0</v>
      </c>
      <c r="AF280" t="s">
        <v>31</v>
      </c>
      <c r="AG280">
        <v>0</v>
      </c>
      <c r="AH280" t="s">
        <v>31</v>
      </c>
      <c r="AI280">
        <v>0</v>
      </c>
      <c r="AJ280" t="s">
        <v>31</v>
      </c>
      <c r="AK280">
        <v>0</v>
      </c>
      <c r="AL280" t="s">
        <v>31</v>
      </c>
      <c r="AM280">
        <v>0</v>
      </c>
      <c r="AN280" t="s">
        <v>31</v>
      </c>
      <c r="AO280">
        <v>0</v>
      </c>
      <c r="AP280" t="s">
        <v>31</v>
      </c>
      <c r="AQ280">
        <v>0</v>
      </c>
    </row>
    <row r="281" spans="1:43" x14ac:dyDescent="0.2">
      <c r="A281" t="s">
        <v>381</v>
      </c>
      <c r="B281" s="3">
        <v>44365</v>
      </c>
      <c r="C281">
        <v>140</v>
      </c>
      <c r="D281" t="s">
        <v>399</v>
      </c>
      <c r="E281" t="s">
        <v>130</v>
      </c>
      <c r="F281" s="9" t="s">
        <v>207</v>
      </c>
      <c r="G281" t="s">
        <v>26</v>
      </c>
      <c r="H281" t="s">
        <v>64</v>
      </c>
      <c r="I281" t="s">
        <v>65</v>
      </c>
      <c r="J281" t="s">
        <v>29</v>
      </c>
      <c r="K281" t="s">
        <v>30</v>
      </c>
      <c r="L281" t="s">
        <v>29</v>
      </c>
      <c r="M281" t="s">
        <v>30</v>
      </c>
      <c r="N281" t="s">
        <v>64</v>
      </c>
      <c r="O281" t="s">
        <v>65</v>
      </c>
      <c r="P281" t="s">
        <v>29</v>
      </c>
      <c r="Q281" t="s">
        <v>30</v>
      </c>
      <c r="R281" s="1">
        <v>44365.544120370374</v>
      </c>
      <c r="S281" s="1">
        <v>44365.618587962963</v>
      </c>
      <c r="T281">
        <v>1</v>
      </c>
      <c r="U281">
        <v>10</v>
      </c>
      <c r="V281" s="2">
        <v>0.1</v>
      </c>
      <c r="W281">
        <v>0</v>
      </c>
      <c r="X281" t="s">
        <v>44</v>
      </c>
      <c r="Y281">
        <v>0</v>
      </c>
      <c r="Z281" t="s">
        <v>45</v>
      </c>
      <c r="AA281">
        <v>0</v>
      </c>
      <c r="AB281" t="s">
        <v>30</v>
      </c>
      <c r="AC281">
        <v>0</v>
      </c>
      <c r="AD281" t="s">
        <v>44</v>
      </c>
      <c r="AE281">
        <v>0</v>
      </c>
      <c r="AF281" t="s">
        <v>44</v>
      </c>
      <c r="AG281">
        <v>0</v>
      </c>
      <c r="AH281" t="s">
        <v>44</v>
      </c>
      <c r="AI281">
        <v>0</v>
      </c>
      <c r="AJ281" t="s">
        <v>47</v>
      </c>
      <c r="AK281">
        <v>0</v>
      </c>
      <c r="AL281" t="s">
        <v>44</v>
      </c>
      <c r="AM281">
        <v>0</v>
      </c>
      <c r="AN281" t="s">
        <v>44</v>
      </c>
      <c r="AO281">
        <v>0</v>
      </c>
      <c r="AP281" t="s">
        <v>44</v>
      </c>
      <c r="AQ281">
        <v>0</v>
      </c>
    </row>
    <row r="282" spans="1:43" x14ac:dyDescent="0.2">
      <c r="A282" t="s">
        <v>381</v>
      </c>
      <c r="B282" s="3">
        <v>44238</v>
      </c>
      <c r="C282">
        <v>5</v>
      </c>
      <c r="D282" t="s">
        <v>382</v>
      </c>
      <c r="E282" t="s">
        <v>130</v>
      </c>
      <c r="F282" s="9" t="s">
        <v>131</v>
      </c>
      <c r="G282" t="s">
        <v>26</v>
      </c>
      <c r="H282" t="s">
        <v>132</v>
      </c>
      <c r="I282" t="s">
        <v>133</v>
      </c>
      <c r="J282" t="s">
        <v>43</v>
      </c>
      <c r="K282" t="s">
        <v>44</v>
      </c>
      <c r="L282" t="s">
        <v>29</v>
      </c>
      <c r="M282" t="s">
        <v>30</v>
      </c>
      <c r="N282" t="s">
        <v>132</v>
      </c>
      <c r="O282" t="s">
        <v>133</v>
      </c>
      <c r="P282" t="s">
        <v>43</v>
      </c>
      <c r="Q282" t="s">
        <v>44</v>
      </c>
      <c r="R282" s="1">
        <v>44238.386145833334</v>
      </c>
      <c r="S282" s="1">
        <v>44238.386145833334</v>
      </c>
      <c r="T282">
        <v>0</v>
      </c>
      <c r="U282">
        <v>1</v>
      </c>
      <c r="V282" s="2">
        <v>0</v>
      </c>
      <c r="W282">
        <v>0</v>
      </c>
      <c r="X282" t="s">
        <v>47</v>
      </c>
      <c r="Y282">
        <v>0</v>
      </c>
      <c r="Z282" t="s">
        <v>31</v>
      </c>
      <c r="AA282">
        <v>0</v>
      </c>
      <c r="AB282" t="s">
        <v>31</v>
      </c>
      <c r="AC282">
        <v>0</v>
      </c>
      <c r="AD282" t="s">
        <v>31</v>
      </c>
      <c r="AE282">
        <v>0</v>
      </c>
      <c r="AF282" t="s">
        <v>31</v>
      </c>
      <c r="AG282">
        <v>0</v>
      </c>
      <c r="AH282" t="s">
        <v>31</v>
      </c>
      <c r="AI282">
        <v>0</v>
      </c>
      <c r="AJ282" t="s">
        <v>31</v>
      </c>
      <c r="AK282">
        <v>0</v>
      </c>
      <c r="AL282" t="s">
        <v>31</v>
      </c>
      <c r="AM282">
        <v>0</v>
      </c>
      <c r="AN282" t="s">
        <v>31</v>
      </c>
      <c r="AO282">
        <v>0</v>
      </c>
      <c r="AP282" t="s">
        <v>31</v>
      </c>
      <c r="AQ282">
        <v>0</v>
      </c>
    </row>
    <row r="283" spans="1:43" x14ac:dyDescent="0.2">
      <c r="A283" t="s">
        <v>381</v>
      </c>
      <c r="B283" s="3">
        <v>44243</v>
      </c>
      <c r="C283">
        <v>9</v>
      </c>
      <c r="D283" t="s">
        <v>382</v>
      </c>
      <c r="E283" t="s">
        <v>130</v>
      </c>
      <c r="F283" s="9" t="s">
        <v>131</v>
      </c>
      <c r="G283" t="s">
        <v>26</v>
      </c>
      <c r="H283" t="s">
        <v>132</v>
      </c>
      <c r="I283" t="s">
        <v>133</v>
      </c>
      <c r="J283" t="s">
        <v>43</v>
      </c>
      <c r="K283" t="s">
        <v>44</v>
      </c>
      <c r="L283" t="s">
        <v>29</v>
      </c>
      <c r="M283" t="s">
        <v>30</v>
      </c>
      <c r="N283" t="s">
        <v>64</v>
      </c>
      <c r="O283" t="s">
        <v>65</v>
      </c>
      <c r="P283" t="s">
        <v>29</v>
      </c>
      <c r="Q283" t="s">
        <v>30</v>
      </c>
      <c r="R283" s="1">
        <v>44243.38486111111</v>
      </c>
      <c r="S283" s="1">
        <v>44243.435381944444</v>
      </c>
      <c r="T283">
        <v>0</v>
      </c>
      <c r="U283">
        <v>3</v>
      </c>
      <c r="V283" s="2">
        <v>0</v>
      </c>
      <c r="W283">
        <v>0</v>
      </c>
      <c r="X283" t="s">
        <v>45</v>
      </c>
      <c r="Y283">
        <v>0</v>
      </c>
      <c r="Z283" t="s">
        <v>45</v>
      </c>
      <c r="AA283">
        <v>0</v>
      </c>
      <c r="AB283" t="s">
        <v>45</v>
      </c>
      <c r="AC283">
        <v>0</v>
      </c>
      <c r="AD283" t="s">
        <v>31</v>
      </c>
      <c r="AE283">
        <v>0</v>
      </c>
      <c r="AF283" t="s">
        <v>31</v>
      </c>
      <c r="AG283">
        <v>0</v>
      </c>
      <c r="AH283" t="s">
        <v>31</v>
      </c>
      <c r="AI283">
        <v>0</v>
      </c>
      <c r="AJ283" t="s">
        <v>31</v>
      </c>
      <c r="AK283">
        <v>0</v>
      </c>
      <c r="AL283" t="s">
        <v>31</v>
      </c>
      <c r="AM283">
        <v>0</v>
      </c>
      <c r="AN283" t="s">
        <v>31</v>
      </c>
      <c r="AO283">
        <v>0</v>
      </c>
      <c r="AP283" t="s">
        <v>31</v>
      </c>
      <c r="AQ283">
        <v>0</v>
      </c>
    </row>
    <row r="284" spans="1:43" x14ac:dyDescent="0.2">
      <c r="A284" t="s">
        <v>381</v>
      </c>
      <c r="B284" s="3">
        <v>44252</v>
      </c>
      <c r="C284">
        <v>19</v>
      </c>
      <c r="D284" t="s">
        <v>382</v>
      </c>
      <c r="E284" t="s">
        <v>130</v>
      </c>
      <c r="F284" s="9" t="s">
        <v>131</v>
      </c>
      <c r="G284" t="s">
        <v>26</v>
      </c>
      <c r="H284" t="s">
        <v>64</v>
      </c>
      <c r="I284" t="s">
        <v>65</v>
      </c>
      <c r="J284" t="s">
        <v>29</v>
      </c>
      <c r="K284" t="s">
        <v>30</v>
      </c>
      <c r="L284" t="s">
        <v>29</v>
      </c>
      <c r="M284" t="s">
        <v>30</v>
      </c>
      <c r="N284" t="s">
        <v>64</v>
      </c>
      <c r="O284" t="s">
        <v>65</v>
      </c>
      <c r="P284" t="s">
        <v>29</v>
      </c>
      <c r="Q284" t="s">
        <v>30</v>
      </c>
      <c r="R284" s="1">
        <v>44252.392743055556</v>
      </c>
      <c r="S284" s="1">
        <v>44252.392743055556</v>
      </c>
      <c r="T284">
        <v>0</v>
      </c>
      <c r="U284">
        <v>1</v>
      </c>
      <c r="V284" s="2">
        <v>0</v>
      </c>
      <c r="W284">
        <v>0</v>
      </c>
      <c r="X284" t="s">
        <v>47</v>
      </c>
      <c r="Y284">
        <v>0</v>
      </c>
      <c r="Z284" t="s">
        <v>31</v>
      </c>
      <c r="AA284">
        <v>0</v>
      </c>
      <c r="AB284" t="s">
        <v>31</v>
      </c>
      <c r="AC284">
        <v>0</v>
      </c>
      <c r="AD284" t="s">
        <v>31</v>
      </c>
      <c r="AE284">
        <v>0</v>
      </c>
      <c r="AF284" t="s">
        <v>31</v>
      </c>
      <c r="AG284">
        <v>0</v>
      </c>
      <c r="AH284" t="s">
        <v>31</v>
      </c>
      <c r="AI284">
        <v>0</v>
      </c>
      <c r="AJ284" t="s">
        <v>31</v>
      </c>
      <c r="AK284">
        <v>0</v>
      </c>
      <c r="AL284" t="s">
        <v>31</v>
      </c>
      <c r="AM284">
        <v>0</v>
      </c>
      <c r="AN284" t="s">
        <v>31</v>
      </c>
      <c r="AO284">
        <v>0</v>
      </c>
      <c r="AP284" t="s">
        <v>31</v>
      </c>
      <c r="AQ284">
        <v>0</v>
      </c>
    </row>
    <row r="285" spans="1:43" x14ac:dyDescent="0.2">
      <c r="A285" t="s">
        <v>381</v>
      </c>
      <c r="B285" s="3">
        <v>44257</v>
      </c>
      <c r="C285">
        <v>23</v>
      </c>
      <c r="D285" t="s">
        <v>382</v>
      </c>
      <c r="E285" t="s">
        <v>130</v>
      </c>
      <c r="F285" s="9" t="s">
        <v>131</v>
      </c>
      <c r="G285" t="s">
        <v>26</v>
      </c>
      <c r="H285" t="s">
        <v>64</v>
      </c>
      <c r="I285" t="s">
        <v>65</v>
      </c>
      <c r="J285" t="s">
        <v>29</v>
      </c>
      <c r="K285" t="s">
        <v>30</v>
      </c>
      <c r="L285" t="s">
        <v>29</v>
      </c>
      <c r="M285" t="s">
        <v>30</v>
      </c>
      <c r="N285" t="s">
        <v>64</v>
      </c>
      <c r="O285" t="s">
        <v>65</v>
      </c>
      <c r="P285" t="s">
        <v>29</v>
      </c>
      <c r="Q285" t="s">
        <v>30</v>
      </c>
      <c r="R285" s="1">
        <v>44257.461076388892</v>
      </c>
      <c r="S285" s="1">
        <v>44257.461099537039</v>
      </c>
      <c r="T285">
        <v>3</v>
      </c>
      <c r="U285">
        <v>3</v>
      </c>
      <c r="V285" s="2">
        <v>1</v>
      </c>
      <c r="W285">
        <v>0</v>
      </c>
      <c r="X285" t="s">
        <v>30</v>
      </c>
      <c r="Y285">
        <v>0</v>
      </c>
      <c r="Z285" t="s">
        <v>30</v>
      </c>
      <c r="AA285">
        <v>0</v>
      </c>
      <c r="AB285" t="s">
        <v>30</v>
      </c>
      <c r="AC285">
        <v>0</v>
      </c>
      <c r="AD285" t="s">
        <v>31</v>
      </c>
      <c r="AE285">
        <v>0</v>
      </c>
      <c r="AF285" t="s">
        <v>31</v>
      </c>
      <c r="AG285">
        <v>0</v>
      </c>
      <c r="AH285" t="s">
        <v>31</v>
      </c>
      <c r="AI285">
        <v>0</v>
      </c>
      <c r="AJ285" t="s">
        <v>31</v>
      </c>
      <c r="AK285">
        <v>0</v>
      </c>
      <c r="AL285" t="s">
        <v>31</v>
      </c>
      <c r="AM285">
        <v>0</v>
      </c>
      <c r="AN285" t="s">
        <v>31</v>
      </c>
      <c r="AO285">
        <v>0</v>
      </c>
      <c r="AP285" t="s">
        <v>31</v>
      </c>
      <c r="AQ285">
        <v>0</v>
      </c>
    </row>
    <row r="286" spans="1:43" x14ac:dyDescent="0.2">
      <c r="A286" t="s">
        <v>381</v>
      </c>
      <c r="B286" s="3">
        <v>44260</v>
      </c>
      <c r="C286">
        <v>28</v>
      </c>
      <c r="D286" t="s">
        <v>384</v>
      </c>
      <c r="E286" t="s">
        <v>130</v>
      </c>
      <c r="F286" s="9" t="s">
        <v>131</v>
      </c>
      <c r="G286" t="s">
        <v>26</v>
      </c>
      <c r="H286" t="s">
        <v>64</v>
      </c>
      <c r="I286" t="s">
        <v>65</v>
      </c>
      <c r="J286" t="s">
        <v>29</v>
      </c>
      <c r="K286" t="s">
        <v>30</v>
      </c>
      <c r="L286" t="s">
        <v>29</v>
      </c>
      <c r="M286" t="s">
        <v>30</v>
      </c>
      <c r="N286" t="s">
        <v>64</v>
      </c>
      <c r="O286" t="s">
        <v>65</v>
      </c>
      <c r="P286" t="s">
        <v>29</v>
      </c>
      <c r="Q286" t="s">
        <v>30</v>
      </c>
      <c r="R286" s="1">
        <v>44260.459201388891</v>
      </c>
      <c r="S286" s="1">
        <v>44260.459224537037</v>
      </c>
      <c r="T286">
        <v>1</v>
      </c>
      <c r="U286">
        <v>2</v>
      </c>
      <c r="V286" s="2">
        <v>0.5</v>
      </c>
      <c r="W286">
        <v>0</v>
      </c>
      <c r="X286" t="s">
        <v>45</v>
      </c>
      <c r="Y286">
        <v>0</v>
      </c>
      <c r="Z286" t="s">
        <v>30</v>
      </c>
      <c r="AA286">
        <v>0</v>
      </c>
      <c r="AB286" t="s">
        <v>31</v>
      </c>
      <c r="AC286">
        <v>0</v>
      </c>
      <c r="AD286" t="s">
        <v>31</v>
      </c>
      <c r="AE286">
        <v>0</v>
      </c>
      <c r="AF286" t="s">
        <v>31</v>
      </c>
      <c r="AG286">
        <v>0</v>
      </c>
      <c r="AH286" t="s">
        <v>31</v>
      </c>
      <c r="AI286">
        <v>0</v>
      </c>
      <c r="AJ286" t="s">
        <v>31</v>
      </c>
      <c r="AK286">
        <v>0</v>
      </c>
      <c r="AL286" t="s">
        <v>31</v>
      </c>
      <c r="AM286">
        <v>0</v>
      </c>
      <c r="AN286" t="s">
        <v>31</v>
      </c>
      <c r="AO286">
        <v>0</v>
      </c>
      <c r="AP286" t="s">
        <v>31</v>
      </c>
      <c r="AQ286">
        <v>0</v>
      </c>
    </row>
    <row r="287" spans="1:43" x14ac:dyDescent="0.2">
      <c r="A287" t="s">
        <v>381</v>
      </c>
      <c r="B287" s="3">
        <v>44354</v>
      </c>
      <c r="C287">
        <v>127</v>
      </c>
      <c r="D287" t="s">
        <v>383</v>
      </c>
      <c r="E287" t="s">
        <v>130</v>
      </c>
      <c r="F287" s="9" t="s">
        <v>131</v>
      </c>
      <c r="G287" t="s">
        <v>26</v>
      </c>
      <c r="H287" t="s">
        <v>64</v>
      </c>
      <c r="I287" t="s">
        <v>65</v>
      </c>
      <c r="J287" t="s">
        <v>29</v>
      </c>
      <c r="K287" t="s">
        <v>30</v>
      </c>
      <c r="L287" t="s">
        <v>29</v>
      </c>
      <c r="M287" t="s">
        <v>30</v>
      </c>
      <c r="N287" t="s">
        <v>64</v>
      </c>
      <c r="O287" t="s">
        <v>65</v>
      </c>
      <c r="P287" t="s">
        <v>29</v>
      </c>
      <c r="Q287" t="s">
        <v>30</v>
      </c>
      <c r="R287" s="1">
        <v>44354.590624999997</v>
      </c>
      <c r="S287" s="1">
        <v>44354.617291666669</v>
      </c>
      <c r="T287">
        <v>0</v>
      </c>
      <c r="U287">
        <v>2</v>
      </c>
      <c r="V287" s="2">
        <v>0</v>
      </c>
      <c r="W287">
        <v>0</v>
      </c>
      <c r="X287" t="s">
        <v>45</v>
      </c>
      <c r="Y287">
        <v>0</v>
      </c>
      <c r="Z287" t="s">
        <v>45</v>
      </c>
      <c r="AA287">
        <v>0</v>
      </c>
      <c r="AB287" t="s">
        <v>31</v>
      </c>
      <c r="AC287">
        <v>0</v>
      </c>
      <c r="AD287" t="s">
        <v>31</v>
      </c>
      <c r="AE287">
        <v>0</v>
      </c>
      <c r="AF287" t="s">
        <v>31</v>
      </c>
      <c r="AG287">
        <v>0</v>
      </c>
      <c r="AH287" t="s">
        <v>31</v>
      </c>
      <c r="AI287">
        <v>0</v>
      </c>
      <c r="AJ287" t="s">
        <v>31</v>
      </c>
      <c r="AK287">
        <v>0</v>
      </c>
      <c r="AL287" t="s">
        <v>31</v>
      </c>
      <c r="AM287">
        <v>0</v>
      </c>
      <c r="AN287" t="s">
        <v>31</v>
      </c>
      <c r="AO287">
        <v>0</v>
      </c>
      <c r="AP287" t="s">
        <v>31</v>
      </c>
      <c r="AQ287">
        <v>0</v>
      </c>
    </row>
    <row r="288" spans="1:43" x14ac:dyDescent="0.2">
      <c r="A288" t="s">
        <v>381</v>
      </c>
      <c r="B288" s="3">
        <v>44356</v>
      </c>
      <c r="C288">
        <v>131</v>
      </c>
      <c r="D288" t="s">
        <v>383</v>
      </c>
      <c r="E288" t="s">
        <v>130</v>
      </c>
      <c r="F288" s="9" t="s">
        <v>131</v>
      </c>
      <c r="G288" t="s">
        <v>26</v>
      </c>
      <c r="H288" t="s">
        <v>64</v>
      </c>
      <c r="I288" t="s">
        <v>65</v>
      </c>
      <c r="J288" t="s">
        <v>29</v>
      </c>
      <c r="K288" t="s">
        <v>30</v>
      </c>
      <c r="L288" t="s">
        <v>29</v>
      </c>
      <c r="M288" t="s">
        <v>30</v>
      </c>
      <c r="N288" t="s">
        <v>185</v>
      </c>
      <c r="O288" t="s">
        <v>186</v>
      </c>
      <c r="P288" t="s">
        <v>29</v>
      </c>
      <c r="Q288" t="s">
        <v>30</v>
      </c>
      <c r="R288" s="1">
        <v>44356.557349537034</v>
      </c>
      <c r="S288" s="1">
        <v>44356.63853009259</v>
      </c>
      <c r="T288">
        <v>0</v>
      </c>
      <c r="U288">
        <v>4</v>
      </c>
      <c r="V288" s="2">
        <v>0</v>
      </c>
      <c r="W288">
        <v>0</v>
      </c>
      <c r="X288" t="s">
        <v>47</v>
      </c>
      <c r="Y288">
        <v>0</v>
      </c>
      <c r="Z288" t="s">
        <v>47</v>
      </c>
      <c r="AA288">
        <v>0</v>
      </c>
      <c r="AB288" t="s">
        <v>47</v>
      </c>
      <c r="AC288">
        <v>0</v>
      </c>
      <c r="AD288" t="s">
        <v>61</v>
      </c>
      <c r="AE288">
        <v>0</v>
      </c>
      <c r="AF288" t="s">
        <v>31</v>
      </c>
      <c r="AG288">
        <v>0</v>
      </c>
      <c r="AH288" t="s">
        <v>31</v>
      </c>
      <c r="AI288">
        <v>0</v>
      </c>
      <c r="AJ288" t="s">
        <v>31</v>
      </c>
      <c r="AK288">
        <v>0</v>
      </c>
      <c r="AL288" t="s">
        <v>31</v>
      </c>
      <c r="AM288">
        <v>0</v>
      </c>
      <c r="AN288" t="s">
        <v>31</v>
      </c>
      <c r="AO288">
        <v>0</v>
      </c>
      <c r="AP288" t="s">
        <v>31</v>
      </c>
      <c r="AQ288">
        <v>0</v>
      </c>
    </row>
    <row r="289" spans="1:33" x14ac:dyDescent="0.2">
      <c r="A289" t="s">
        <v>381</v>
      </c>
      <c r="B289" s="3">
        <v>44253</v>
      </c>
      <c r="C289">
        <v>21</v>
      </c>
      <c r="D289" t="s">
        <v>384</v>
      </c>
      <c r="E289" t="s">
        <v>195</v>
      </c>
      <c r="F289" s="9" t="s">
        <v>196</v>
      </c>
      <c r="G289" t="s">
        <v>197</v>
      </c>
      <c r="H289" t="s">
        <v>155</v>
      </c>
      <c r="I289" t="s">
        <v>156</v>
      </c>
      <c r="J289" t="s">
        <v>198</v>
      </c>
      <c r="K289" t="s">
        <v>183</v>
      </c>
      <c r="L289" t="s">
        <v>198</v>
      </c>
      <c r="M289" t="s">
        <v>183</v>
      </c>
      <c r="N289" t="s">
        <v>41</v>
      </c>
      <c r="O289" t="s">
        <v>42</v>
      </c>
      <c r="P289" t="s">
        <v>43</v>
      </c>
      <c r="Q289" t="s">
        <v>44</v>
      </c>
      <c r="R289" s="1">
        <v>44253.410254629627</v>
      </c>
      <c r="S289" s="1">
        <v>44253.41134259259</v>
      </c>
      <c r="T289">
        <v>3</v>
      </c>
      <c r="U289">
        <v>3</v>
      </c>
      <c r="V289" s="2">
        <v>1</v>
      </c>
      <c r="W289">
        <v>0</v>
      </c>
      <c r="X289" t="s">
        <v>183</v>
      </c>
      <c r="Y289">
        <v>0</v>
      </c>
      <c r="Z289" t="s">
        <v>183</v>
      </c>
      <c r="AA289">
        <v>0</v>
      </c>
      <c r="AB289" t="s">
        <v>183</v>
      </c>
      <c r="AC289">
        <v>0</v>
      </c>
      <c r="AD289" t="s">
        <v>31</v>
      </c>
      <c r="AE289">
        <v>0</v>
      </c>
      <c r="AF289" t="s">
        <v>31</v>
      </c>
      <c r="AG289">
        <v>0</v>
      </c>
    </row>
    <row r="290" spans="1:33" x14ac:dyDescent="0.2">
      <c r="A290" t="s">
        <v>381</v>
      </c>
      <c r="B290" s="3">
        <v>44266</v>
      </c>
      <c r="C290">
        <v>34</v>
      </c>
      <c r="D290" t="s">
        <v>385</v>
      </c>
      <c r="E290" t="s">
        <v>195</v>
      </c>
      <c r="F290" s="9" t="s">
        <v>196</v>
      </c>
      <c r="G290" t="s">
        <v>197</v>
      </c>
      <c r="H290" t="s">
        <v>41</v>
      </c>
      <c r="I290" t="s">
        <v>42</v>
      </c>
      <c r="J290" t="s">
        <v>43</v>
      </c>
      <c r="K290" t="s">
        <v>44</v>
      </c>
      <c r="L290" t="s">
        <v>53</v>
      </c>
      <c r="M290" t="s">
        <v>54</v>
      </c>
      <c r="N290" t="s">
        <v>41</v>
      </c>
      <c r="O290" t="s">
        <v>42</v>
      </c>
      <c r="P290" t="s">
        <v>43</v>
      </c>
      <c r="Q290" t="s">
        <v>44</v>
      </c>
      <c r="R290" s="1">
        <v>44266.609988425924</v>
      </c>
      <c r="S290" s="1">
        <v>44266.609988425924</v>
      </c>
      <c r="T290">
        <v>1</v>
      </c>
      <c r="U290">
        <v>1</v>
      </c>
      <c r="V290" s="2">
        <v>1</v>
      </c>
      <c r="W290">
        <v>1</v>
      </c>
      <c r="X290" t="s">
        <v>54</v>
      </c>
      <c r="Y290">
        <v>1</v>
      </c>
      <c r="Z290" t="s">
        <v>31</v>
      </c>
      <c r="AA290">
        <v>0</v>
      </c>
      <c r="AB290" t="s">
        <v>31</v>
      </c>
      <c r="AC290">
        <v>0</v>
      </c>
      <c r="AD290" t="s">
        <v>31</v>
      </c>
      <c r="AE290">
        <v>0</v>
      </c>
      <c r="AF290" t="s">
        <v>31</v>
      </c>
      <c r="AG290">
        <v>0</v>
      </c>
    </row>
    <row r="291" spans="1:33" x14ac:dyDescent="0.2">
      <c r="A291" t="s">
        <v>381</v>
      </c>
      <c r="B291" s="3">
        <v>44321</v>
      </c>
      <c r="C291">
        <v>89</v>
      </c>
      <c r="D291" t="s">
        <v>387</v>
      </c>
      <c r="E291" t="s">
        <v>195</v>
      </c>
      <c r="F291" s="9" t="s">
        <v>196</v>
      </c>
      <c r="G291" t="s">
        <v>197</v>
      </c>
      <c r="H291" t="s">
        <v>41</v>
      </c>
      <c r="I291" t="s">
        <v>42</v>
      </c>
      <c r="J291" t="s">
        <v>43</v>
      </c>
      <c r="K291" t="s">
        <v>44</v>
      </c>
      <c r="L291" t="s">
        <v>53</v>
      </c>
      <c r="M291" t="s">
        <v>54</v>
      </c>
      <c r="N291" t="s">
        <v>200</v>
      </c>
      <c r="O291" t="s">
        <v>201</v>
      </c>
      <c r="P291" t="s">
        <v>43</v>
      </c>
      <c r="Q291" t="s">
        <v>44</v>
      </c>
      <c r="R291" s="1">
        <v>44321.6409375</v>
      </c>
      <c r="S291" s="1">
        <v>44321.6409375</v>
      </c>
      <c r="T291">
        <v>1</v>
      </c>
      <c r="U291">
        <v>1</v>
      </c>
      <c r="V291" s="2">
        <v>1</v>
      </c>
      <c r="W291">
        <v>1</v>
      </c>
      <c r="X291" t="s">
        <v>54</v>
      </c>
      <c r="Y291">
        <v>1</v>
      </c>
      <c r="Z291" t="s">
        <v>31</v>
      </c>
      <c r="AA291">
        <v>0</v>
      </c>
      <c r="AB291" t="s">
        <v>31</v>
      </c>
      <c r="AC291">
        <v>0</v>
      </c>
      <c r="AD291" t="s">
        <v>31</v>
      </c>
      <c r="AE291">
        <v>0</v>
      </c>
      <c r="AF291" t="s">
        <v>31</v>
      </c>
      <c r="AG291">
        <v>0</v>
      </c>
    </row>
    <row r="292" spans="1:33" x14ac:dyDescent="0.2">
      <c r="A292" t="s">
        <v>381</v>
      </c>
      <c r="B292" s="3">
        <v>44350</v>
      </c>
      <c r="C292">
        <v>123</v>
      </c>
      <c r="D292" t="s">
        <v>382</v>
      </c>
      <c r="E292" t="s">
        <v>195</v>
      </c>
      <c r="F292" s="9" t="s">
        <v>196</v>
      </c>
      <c r="G292" t="s">
        <v>197</v>
      </c>
      <c r="H292" t="s">
        <v>200</v>
      </c>
      <c r="I292" t="s">
        <v>201</v>
      </c>
      <c r="J292" t="s">
        <v>43</v>
      </c>
      <c r="K292" t="s">
        <v>44</v>
      </c>
      <c r="L292" t="s">
        <v>53</v>
      </c>
      <c r="M292" t="s">
        <v>54</v>
      </c>
      <c r="N292" t="s">
        <v>200</v>
      </c>
      <c r="O292" t="s">
        <v>201</v>
      </c>
      <c r="P292" t="s">
        <v>43</v>
      </c>
      <c r="Q292" t="s">
        <v>44</v>
      </c>
      <c r="R292" s="1">
        <v>44350.434849537036</v>
      </c>
      <c r="S292" s="1">
        <v>44350.434849537036</v>
      </c>
      <c r="T292">
        <v>1</v>
      </c>
      <c r="U292">
        <v>1</v>
      </c>
      <c r="V292" s="2">
        <v>1</v>
      </c>
      <c r="W292">
        <v>1</v>
      </c>
      <c r="X292" t="s">
        <v>54</v>
      </c>
      <c r="Y292">
        <v>1</v>
      </c>
      <c r="Z292" t="s">
        <v>31</v>
      </c>
      <c r="AA292">
        <v>0</v>
      </c>
      <c r="AB292" t="s">
        <v>31</v>
      </c>
      <c r="AC292">
        <v>0</v>
      </c>
      <c r="AD292" t="s">
        <v>31</v>
      </c>
      <c r="AE292">
        <v>0</v>
      </c>
      <c r="AF292" t="s">
        <v>31</v>
      </c>
      <c r="AG292">
        <v>0</v>
      </c>
    </row>
    <row r="293" spans="1:33" x14ac:dyDescent="0.2">
      <c r="A293" t="s">
        <v>381</v>
      </c>
      <c r="B293" s="3">
        <v>44253</v>
      </c>
      <c r="C293">
        <v>21</v>
      </c>
      <c r="D293" t="s">
        <v>384</v>
      </c>
      <c r="E293" t="s">
        <v>195</v>
      </c>
      <c r="F293" s="9" t="s">
        <v>199</v>
      </c>
      <c r="G293" t="s">
        <v>197</v>
      </c>
      <c r="H293" t="s">
        <v>155</v>
      </c>
      <c r="I293" t="s">
        <v>156</v>
      </c>
      <c r="J293" t="s">
        <v>198</v>
      </c>
      <c r="K293" t="s">
        <v>183</v>
      </c>
      <c r="L293" t="s">
        <v>198</v>
      </c>
      <c r="M293" t="s">
        <v>183</v>
      </c>
      <c r="N293" t="s">
        <v>41</v>
      </c>
      <c r="O293" t="s">
        <v>42</v>
      </c>
      <c r="P293" t="s">
        <v>43</v>
      </c>
      <c r="Q293" t="s">
        <v>44</v>
      </c>
      <c r="R293" s="1">
        <v>44253.410636574074</v>
      </c>
      <c r="S293" s="1">
        <v>44253.411851851852</v>
      </c>
      <c r="T293">
        <v>3</v>
      </c>
      <c r="U293">
        <v>3</v>
      </c>
      <c r="V293" s="2">
        <v>1</v>
      </c>
      <c r="W293">
        <v>0</v>
      </c>
      <c r="X293" t="s">
        <v>183</v>
      </c>
      <c r="Y293">
        <v>0</v>
      </c>
      <c r="Z293" t="s">
        <v>183</v>
      </c>
      <c r="AA293">
        <v>0</v>
      </c>
      <c r="AB293" t="s">
        <v>183</v>
      </c>
      <c r="AC293">
        <v>0</v>
      </c>
      <c r="AD293" t="s">
        <v>31</v>
      </c>
      <c r="AE293">
        <v>0</v>
      </c>
      <c r="AF293" t="s">
        <v>31</v>
      </c>
      <c r="AG293">
        <v>0</v>
      </c>
    </row>
    <row r="294" spans="1:33" x14ac:dyDescent="0.2">
      <c r="A294" t="s">
        <v>381</v>
      </c>
      <c r="B294" s="3">
        <v>44266</v>
      </c>
      <c r="C294">
        <v>34</v>
      </c>
      <c r="D294" t="s">
        <v>385</v>
      </c>
      <c r="E294" t="s">
        <v>195</v>
      </c>
      <c r="F294" s="9" t="s">
        <v>199</v>
      </c>
      <c r="G294" t="s">
        <v>197</v>
      </c>
      <c r="H294" t="s">
        <v>41</v>
      </c>
      <c r="I294" t="s">
        <v>42</v>
      </c>
      <c r="J294" t="s">
        <v>43</v>
      </c>
      <c r="K294" t="s">
        <v>44</v>
      </c>
      <c r="L294" t="s">
        <v>53</v>
      </c>
      <c r="M294" t="s">
        <v>54</v>
      </c>
      <c r="N294" t="s">
        <v>41</v>
      </c>
      <c r="O294" t="s">
        <v>42</v>
      </c>
      <c r="P294" t="s">
        <v>43</v>
      </c>
      <c r="Q294" t="s">
        <v>44</v>
      </c>
      <c r="R294" s="1">
        <v>44266.61</v>
      </c>
      <c r="S294" s="1">
        <v>44266.61</v>
      </c>
      <c r="T294">
        <v>1</v>
      </c>
      <c r="U294">
        <v>1</v>
      </c>
      <c r="V294" s="2">
        <v>1</v>
      </c>
      <c r="W294">
        <v>1</v>
      </c>
      <c r="X294" t="s">
        <v>54</v>
      </c>
      <c r="Y294">
        <v>1</v>
      </c>
      <c r="Z294" t="s">
        <v>31</v>
      </c>
      <c r="AA294">
        <v>0</v>
      </c>
      <c r="AB294" t="s">
        <v>31</v>
      </c>
      <c r="AC294">
        <v>0</v>
      </c>
      <c r="AD294" t="s">
        <v>31</v>
      </c>
      <c r="AE294">
        <v>0</v>
      </c>
      <c r="AF294" t="s">
        <v>31</v>
      </c>
      <c r="AG294">
        <v>0</v>
      </c>
    </row>
    <row r="295" spans="1:33" x14ac:dyDescent="0.2">
      <c r="A295" t="s">
        <v>381</v>
      </c>
      <c r="B295" s="3">
        <v>44321</v>
      </c>
      <c r="C295">
        <v>89</v>
      </c>
      <c r="D295" t="s">
        <v>387</v>
      </c>
      <c r="E295" t="s">
        <v>195</v>
      </c>
      <c r="F295" s="9" t="s">
        <v>199</v>
      </c>
      <c r="G295" t="s">
        <v>197</v>
      </c>
      <c r="H295" t="s">
        <v>41</v>
      </c>
      <c r="I295" t="s">
        <v>42</v>
      </c>
      <c r="J295" t="s">
        <v>43</v>
      </c>
      <c r="K295" t="s">
        <v>44</v>
      </c>
      <c r="L295" t="s">
        <v>53</v>
      </c>
      <c r="M295" t="s">
        <v>54</v>
      </c>
      <c r="N295" t="s">
        <v>200</v>
      </c>
      <c r="O295" t="s">
        <v>201</v>
      </c>
      <c r="P295" t="s">
        <v>43</v>
      </c>
      <c r="Q295" t="s">
        <v>44</v>
      </c>
      <c r="R295" s="1">
        <v>44321.640949074077</v>
      </c>
      <c r="S295" s="1">
        <v>44321.640949074077</v>
      </c>
      <c r="T295">
        <v>1</v>
      </c>
      <c r="U295">
        <v>1</v>
      </c>
      <c r="V295" s="2">
        <v>1</v>
      </c>
      <c r="W295">
        <v>1</v>
      </c>
      <c r="X295" t="s">
        <v>54</v>
      </c>
      <c r="Y295">
        <v>1</v>
      </c>
      <c r="Z295" t="s">
        <v>31</v>
      </c>
      <c r="AA295">
        <v>0</v>
      </c>
      <c r="AB295" t="s">
        <v>31</v>
      </c>
      <c r="AC295">
        <v>0</v>
      </c>
      <c r="AD295" t="s">
        <v>31</v>
      </c>
      <c r="AE295">
        <v>0</v>
      </c>
      <c r="AF295" t="s">
        <v>31</v>
      </c>
      <c r="AG295">
        <v>0</v>
      </c>
    </row>
    <row r="296" spans="1:33" x14ac:dyDescent="0.2">
      <c r="A296" t="s">
        <v>381</v>
      </c>
      <c r="B296" s="3">
        <v>44350</v>
      </c>
      <c r="C296">
        <v>123</v>
      </c>
      <c r="D296" t="s">
        <v>382</v>
      </c>
      <c r="E296" t="s">
        <v>195</v>
      </c>
      <c r="F296" s="9" t="s">
        <v>199</v>
      </c>
      <c r="G296" t="s">
        <v>197</v>
      </c>
      <c r="H296" t="s">
        <v>200</v>
      </c>
      <c r="I296" t="s">
        <v>201</v>
      </c>
      <c r="J296" t="s">
        <v>43</v>
      </c>
      <c r="K296" t="s">
        <v>44</v>
      </c>
      <c r="L296" t="s">
        <v>53</v>
      </c>
      <c r="M296" t="s">
        <v>54</v>
      </c>
      <c r="N296" t="s">
        <v>200</v>
      </c>
      <c r="O296" t="s">
        <v>201</v>
      </c>
      <c r="P296" t="s">
        <v>43</v>
      </c>
      <c r="Q296" t="s">
        <v>44</v>
      </c>
      <c r="R296" s="1">
        <v>44350.434861111113</v>
      </c>
      <c r="S296" s="1">
        <v>44350.434861111113</v>
      </c>
      <c r="T296">
        <v>1</v>
      </c>
      <c r="U296">
        <v>1</v>
      </c>
      <c r="V296" s="2">
        <v>1</v>
      </c>
      <c r="W296">
        <v>1</v>
      </c>
      <c r="X296" t="s">
        <v>54</v>
      </c>
      <c r="Y296">
        <v>1</v>
      </c>
      <c r="Z296" t="s">
        <v>31</v>
      </c>
      <c r="AA296">
        <v>0</v>
      </c>
      <c r="AB296" t="s">
        <v>31</v>
      </c>
      <c r="AC296">
        <v>0</v>
      </c>
      <c r="AD296" t="s">
        <v>31</v>
      </c>
      <c r="AE296">
        <v>0</v>
      </c>
      <c r="AF296" t="s">
        <v>31</v>
      </c>
      <c r="AG296">
        <v>0</v>
      </c>
    </row>
    <row r="297" spans="1:33" x14ac:dyDescent="0.2">
      <c r="A297" t="s">
        <v>381</v>
      </c>
      <c r="B297" s="3">
        <v>44321</v>
      </c>
      <c r="C297">
        <v>89</v>
      </c>
      <c r="D297" t="s">
        <v>387</v>
      </c>
      <c r="E297" t="s">
        <v>195</v>
      </c>
      <c r="F297" s="9" t="s">
        <v>233</v>
      </c>
      <c r="G297" t="s">
        <v>197</v>
      </c>
      <c r="H297" t="s">
        <v>155</v>
      </c>
      <c r="I297" t="s">
        <v>156</v>
      </c>
      <c r="J297" t="s">
        <v>198</v>
      </c>
      <c r="K297" t="s">
        <v>183</v>
      </c>
      <c r="L297" t="s">
        <v>198</v>
      </c>
      <c r="M297" t="s">
        <v>183</v>
      </c>
      <c r="N297" t="s">
        <v>41</v>
      </c>
      <c r="O297" t="s">
        <v>42</v>
      </c>
      <c r="P297" t="s">
        <v>43</v>
      </c>
      <c r="Q297" t="s">
        <v>44</v>
      </c>
      <c r="R297" s="1">
        <v>44321.640960648147</v>
      </c>
      <c r="S297" s="1">
        <v>44321.640960648147</v>
      </c>
      <c r="T297">
        <v>1</v>
      </c>
      <c r="U297">
        <v>1</v>
      </c>
      <c r="V297" s="2">
        <v>1</v>
      </c>
      <c r="W297">
        <v>1</v>
      </c>
      <c r="X297" t="s">
        <v>54</v>
      </c>
      <c r="Y297">
        <v>1</v>
      </c>
      <c r="Z297" t="s">
        <v>31</v>
      </c>
      <c r="AA297">
        <v>0</v>
      </c>
      <c r="AB297" t="s">
        <v>31</v>
      </c>
      <c r="AC297">
        <v>0</v>
      </c>
      <c r="AD297" t="s">
        <v>31</v>
      </c>
      <c r="AE297">
        <v>0</v>
      </c>
      <c r="AF297" t="s">
        <v>31</v>
      </c>
      <c r="AG297">
        <v>0</v>
      </c>
    </row>
    <row r="298" spans="1:33" x14ac:dyDescent="0.2">
      <c r="A298" t="s">
        <v>381</v>
      </c>
      <c r="B298" s="3">
        <v>44321</v>
      </c>
      <c r="C298">
        <v>89</v>
      </c>
      <c r="D298" t="s">
        <v>387</v>
      </c>
      <c r="E298" t="s">
        <v>195</v>
      </c>
      <c r="F298" s="9" t="s">
        <v>234</v>
      </c>
      <c r="G298" t="s">
        <v>197</v>
      </c>
      <c r="H298" t="s">
        <v>155</v>
      </c>
      <c r="I298" t="s">
        <v>156</v>
      </c>
      <c r="J298" t="s">
        <v>198</v>
      </c>
      <c r="K298" t="s">
        <v>183</v>
      </c>
      <c r="L298" t="s">
        <v>198</v>
      </c>
      <c r="M298" t="s">
        <v>183</v>
      </c>
      <c r="N298" t="s">
        <v>41</v>
      </c>
      <c r="O298" t="s">
        <v>42</v>
      </c>
      <c r="P298" t="s">
        <v>43</v>
      </c>
      <c r="Q298" t="s">
        <v>44</v>
      </c>
      <c r="R298" s="1">
        <v>44321.640972222223</v>
      </c>
      <c r="S298" s="1">
        <v>44321.640972222223</v>
      </c>
      <c r="T298">
        <v>1</v>
      </c>
      <c r="U298">
        <v>1</v>
      </c>
      <c r="V298" s="2">
        <v>1</v>
      </c>
      <c r="W298">
        <v>1</v>
      </c>
      <c r="X298" t="s">
        <v>54</v>
      </c>
      <c r="Y298">
        <v>1</v>
      </c>
      <c r="Z298" t="s">
        <v>31</v>
      </c>
      <c r="AA298">
        <v>0</v>
      </c>
      <c r="AB298" t="s">
        <v>31</v>
      </c>
      <c r="AC298">
        <v>0</v>
      </c>
      <c r="AD298" t="s">
        <v>31</v>
      </c>
      <c r="AE298">
        <v>0</v>
      </c>
      <c r="AF298" t="s">
        <v>31</v>
      </c>
      <c r="AG298">
        <v>0</v>
      </c>
    </row>
    <row r="299" spans="1:33" x14ac:dyDescent="0.2">
      <c r="A299" t="s">
        <v>381</v>
      </c>
      <c r="B299" s="3">
        <v>44338</v>
      </c>
      <c r="C299">
        <v>107</v>
      </c>
      <c r="D299" t="s">
        <v>392</v>
      </c>
      <c r="E299" t="s">
        <v>195</v>
      </c>
      <c r="F299" s="9" t="s">
        <v>234</v>
      </c>
      <c r="G299" t="s">
        <v>197</v>
      </c>
      <c r="H299" t="s">
        <v>41</v>
      </c>
      <c r="I299" t="s">
        <v>42</v>
      </c>
      <c r="J299" t="s">
        <v>43</v>
      </c>
      <c r="K299" t="s">
        <v>44</v>
      </c>
      <c r="L299" t="s">
        <v>53</v>
      </c>
      <c r="M299" t="s">
        <v>54</v>
      </c>
      <c r="N299" t="s">
        <v>41</v>
      </c>
      <c r="O299" t="s">
        <v>42</v>
      </c>
      <c r="P299" t="s">
        <v>43</v>
      </c>
      <c r="Q299" t="s">
        <v>44</v>
      </c>
      <c r="R299" s="1">
        <v>44338.624722222223</v>
      </c>
      <c r="S299" s="1">
        <v>44338.624745370369</v>
      </c>
      <c r="T299">
        <v>0</v>
      </c>
      <c r="U299">
        <v>2</v>
      </c>
      <c r="V299" s="2">
        <v>0</v>
      </c>
      <c r="W299">
        <v>0</v>
      </c>
      <c r="X299" t="s">
        <v>183</v>
      </c>
      <c r="Y299">
        <v>0</v>
      </c>
      <c r="Z299" t="s">
        <v>183</v>
      </c>
      <c r="AA299">
        <v>0</v>
      </c>
      <c r="AB299" t="s">
        <v>31</v>
      </c>
      <c r="AC299">
        <v>0</v>
      </c>
      <c r="AD299" t="s">
        <v>31</v>
      </c>
      <c r="AE299">
        <v>0</v>
      </c>
      <c r="AF299" t="s">
        <v>31</v>
      </c>
      <c r="AG299">
        <v>0</v>
      </c>
    </row>
    <row r="300" spans="1:33" x14ac:dyDescent="0.2">
      <c r="A300" t="s">
        <v>381</v>
      </c>
      <c r="B300" s="3">
        <v>44340</v>
      </c>
      <c r="C300">
        <v>108</v>
      </c>
      <c r="D300" t="s">
        <v>393</v>
      </c>
      <c r="E300" t="s">
        <v>195</v>
      </c>
      <c r="F300" s="9" t="s">
        <v>234</v>
      </c>
      <c r="G300" t="s">
        <v>197</v>
      </c>
      <c r="H300" t="s">
        <v>41</v>
      </c>
      <c r="I300" t="s">
        <v>42</v>
      </c>
      <c r="J300" t="s">
        <v>43</v>
      </c>
      <c r="K300" t="s">
        <v>44</v>
      </c>
      <c r="L300" t="s">
        <v>53</v>
      </c>
      <c r="M300" t="s">
        <v>54</v>
      </c>
      <c r="N300" t="s">
        <v>41</v>
      </c>
      <c r="O300" t="s">
        <v>42</v>
      </c>
      <c r="P300" t="s">
        <v>43</v>
      </c>
      <c r="Q300" t="s">
        <v>44</v>
      </c>
      <c r="R300" s="1">
        <v>44340.494699074072</v>
      </c>
      <c r="S300" s="1">
        <v>44340.498553240737</v>
      </c>
      <c r="T300">
        <v>0</v>
      </c>
      <c r="U300">
        <v>2</v>
      </c>
      <c r="V300" s="2">
        <v>0</v>
      </c>
      <c r="W300">
        <v>0</v>
      </c>
      <c r="X300" t="s">
        <v>183</v>
      </c>
      <c r="Y300">
        <v>0</v>
      </c>
      <c r="Z300" t="s">
        <v>183</v>
      </c>
      <c r="AA300">
        <v>0</v>
      </c>
      <c r="AB300" t="s">
        <v>31</v>
      </c>
      <c r="AC300">
        <v>0</v>
      </c>
      <c r="AD300" t="s">
        <v>31</v>
      </c>
      <c r="AE300">
        <v>0</v>
      </c>
      <c r="AF300" t="s">
        <v>31</v>
      </c>
      <c r="AG300">
        <v>0</v>
      </c>
    </row>
    <row r="301" spans="1:33" x14ac:dyDescent="0.2">
      <c r="A301" t="s">
        <v>381</v>
      </c>
      <c r="B301" s="3">
        <v>44341</v>
      </c>
      <c r="C301">
        <v>111</v>
      </c>
      <c r="D301" t="s">
        <v>385</v>
      </c>
      <c r="E301" t="s">
        <v>195</v>
      </c>
      <c r="F301" s="9" t="s">
        <v>234</v>
      </c>
      <c r="G301" t="s">
        <v>197</v>
      </c>
      <c r="H301" t="s">
        <v>41</v>
      </c>
      <c r="I301" t="s">
        <v>42</v>
      </c>
      <c r="J301" t="s">
        <v>43</v>
      </c>
      <c r="K301" t="s">
        <v>44</v>
      </c>
      <c r="L301" t="s">
        <v>53</v>
      </c>
      <c r="M301" t="s">
        <v>54</v>
      </c>
      <c r="N301" t="s">
        <v>41</v>
      </c>
      <c r="O301" t="s">
        <v>42</v>
      </c>
      <c r="P301" t="s">
        <v>43</v>
      </c>
      <c r="Q301" t="s">
        <v>44</v>
      </c>
      <c r="R301" s="1">
        <v>44341.634733796294</v>
      </c>
      <c r="S301" s="1">
        <v>44341.634733796294</v>
      </c>
      <c r="T301">
        <v>1</v>
      </c>
      <c r="U301">
        <v>1</v>
      </c>
      <c r="V301" s="2">
        <v>1</v>
      </c>
      <c r="W301">
        <v>1</v>
      </c>
      <c r="X301" t="s">
        <v>54</v>
      </c>
      <c r="Y301">
        <v>1</v>
      </c>
      <c r="Z301" t="s">
        <v>31</v>
      </c>
      <c r="AA301">
        <v>0</v>
      </c>
      <c r="AB301" t="s">
        <v>31</v>
      </c>
      <c r="AC301">
        <v>0</v>
      </c>
      <c r="AD301" t="s">
        <v>31</v>
      </c>
      <c r="AE301">
        <v>0</v>
      </c>
      <c r="AF301" t="s">
        <v>31</v>
      </c>
      <c r="AG301">
        <v>0</v>
      </c>
    </row>
    <row r="302" spans="1:33" x14ac:dyDescent="0.2">
      <c r="A302" t="s">
        <v>381</v>
      </c>
      <c r="B302" s="3">
        <v>44342</v>
      </c>
      <c r="C302">
        <v>112</v>
      </c>
      <c r="D302" t="s">
        <v>394</v>
      </c>
      <c r="E302" t="s">
        <v>195</v>
      </c>
      <c r="F302" s="9" t="s">
        <v>234</v>
      </c>
      <c r="G302" t="s">
        <v>197</v>
      </c>
      <c r="H302" t="s">
        <v>41</v>
      </c>
      <c r="I302" t="s">
        <v>42</v>
      </c>
      <c r="J302" t="s">
        <v>43</v>
      </c>
      <c r="K302" t="s">
        <v>44</v>
      </c>
      <c r="L302" t="s">
        <v>53</v>
      </c>
      <c r="M302" t="s">
        <v>54</v>
      </c>
      <c r="N302" t="s">
        <v>200</v>
      </c>
      <c r="O302" t="s">
        <v>201</v>
      </c>
      <c r="P302" t="s">
        <v>43</v>
      </c>
      <c r="Q302" t="s">
        <v>44</v>
      </c>
      <c r="R302" s="1">
        <v>44342.44059027778</v>
      </c>
      <c r="S302" s="1">
        <v>44342.44059027778</v>
      </c>
      <c r="T302">
        <v>1</v>
      </c>
      <c r="U302">
        <v>1</v>
      </c>
      <c r="V302" s="2">
        <v>1</v>
      </c>
      <c r="W302">
        <v>1</v>
      </c>
      <c r="X302" t="s">
        <v>54</v>
      </c>
      <c r="Y302">
        <v>1</v>
      </c>
      <c r="Z302" t="s">
        <v>31</v>
      </c>
      <c r="AA302">
        <v>0</v>
      </c>
      <c r="AB302" t="s">
        <v>31</v>
      </c>
      <c r="AC302">
        <v>0</v>
      </c>
      <c r="AD302" t="s">
        <v>31</v>
      </c>
      <c r="AE302">
        <v>0</v>
      </c>
      <c r="AF302" t="s">
        <v>31</v>
      </c>
      <c r="AG302">
        <v>0</v>
      </c>
    </row>
    <row r="303" spans="1:33" x14ac:dyDescent="0.2">
      <c r="A303" t="s">
        <v>381</v>
      </c>
      <c r="B303" s="3">
        <v>44350</v>
      </c>
      <c r="C303">
        <v>123</v>
      </c>
      <c r="D303" t="s">
        <v>382</v>
      </c>
      <c r="E303" t="s">
        <v>195</v>
      </c>
      <c r="F303" s="9" t="s">
        <v>234</v>
      </c>
      <c r="G303" t="s">
        <v>197</v>
      </c>
      <c r="H303" t="s">
        <v>200</v>
      </c>
      <c r="I303" t="s">
        <v>201</v>
      </c>
      <c r="J303" t="s">
        <v>43</v>
      </c>
      <c r="K303" t="s">
        <v>44</v>
      </c>
      <c r="L303" t="s">
        <v>53</v>
      </c>
      <c r="M303" t="s">
        <v>54</v>
      </c>
      <c r="N303" t="s">
        <v>200</v>
      </c>
      <c r="O303" t="s">
        <v>201</v>
      </c>
      <c r="P303" t="s">
        <v>43</v>
      </c>
      <c r="Q303" t="s">
        <v>44</v>
      </c>
      <c r="R303" s="1">
        <v>44350.434872685182</v>
      </c>
      <c r="S303" s="1">
        <v>44350.434872685182</v>
      </c>
      <c r="T303">
        <v>1</v>
      </c>
      <c r="U303">
        <v>1</v>
      </c>
      <c r="V303" s="2">
        <v>1</v>
      </c>
      <c r="W303">
        <v>1</v>
      </c>
      <c r="X303" t="s">
        <v>54</v>
      </c>
      <c r="Y303">
        <v>1</v>
      </c>
      <c r="Z303" t="s">
        <v>31</v>
      </c>
      <c r="AA303">
        <v>0</v>
      </c>
      <c r="AB303" t="s">
        <v>31</v>
      </c>
      <c r="AC303">
        <v>0</v>
      </c>
      <c r="AD303" t="s">
        <v>31</v>
      </c>
      <c r="AE303">
        <v>0</v>
      </c>
      <c r="AF303" t="s">
        <v>31</v>
      </c>
      <c r="AG303">
        <v>0</v>
      </c>
    </row>
    <row r="304" spans="1:33" x14ac:dyDescent="0.2">
      <c r="A304" t="s">
        <v>381</v>
      </c>
      <c r="B304" s="3">
        <v>44321</v>
      </c>
      <c r="C304">
        <v>89</v>
      </c>
      <c r="D304" t="s">
        <v>387</v>
      </c>
      <c r="E304" t="s">
        <v>195</v>
      </c>
      <c r="F304" s="9" t="s">
        <v>235</v>
      </c>
      <c r="G304" t="s">
        <v>197</v>
      </c>
      <c r="H304" t="s">
        <v>155</v>
      </c>
      <c r="I304" t="s">
        <v>156</v>
      </c>
      <c r="J304" t="s">
        <v>198</v>
      </c>
      <c r="K304" t="s">
        <v>183</v>
      </c>
      <c r="L304" t="s">
        <v>198</v>
      </c>
      <c r="M304" t="s">
        <v>183</v>
      </c>
      <c r="N304" t="s">
        <v>41</v>
      </c>
      <c r="O304" t="s">
        <v>42</v>
      </c>
      <c r="P304" t="s">
        <v>43</v>
      </c>
      <c r="Q304" t="s">
        <v>44</v>
      </c>
      <c r="R304" s="1">
        <v>44321.640983796293</v>
      </c>
      <c r="S304" s="1">
        <v>44321.640983796293</v>
      </c>
      <c r="T304">
        <v>1</v>
      </c>
      <c r="U304">
        <v>1</v>
      </c>
      <c r="V304" s="2">
        <v>1</v>
      </c>
      <c r="W304">
        <v>1</v>
      </c>
      <c r="X304" t="s">
        <v>54</v>
      </c>
      <c r="Y304">
        <v>1</v>
      </c>
      <c r="Z304" t="s">
        <v>31</v>
      </c>
      <c r="AA304">
        <v>0</v>
      </c>
      <c r="AB304" t="s">
        <v>31</v>
      </c>
      <c r="AC304">
        <v>0</v>
      </c>
      <c r="AD304" t="s">
        <v>31</v>
      </c>
      <c r="AE304">
        <v>0</v>
      </c>
      <c r="AF304" t="s">
        <v>31</v>
      </c>
      <c r="AG304">
        <v>0</v>
      </c>
    </row>
    <row r="305" spans="1:33" x14ac:dyDescent="0.2">
      <c r="A305" t="s">
        <v>381</v>
      </c>
      <c r="B305" s="3">
        <v>44338</v>
      </c>
      <c r="C305">
        <v>107</v>
      </c>
      <c r="D305" t="s">
        <v>392</v>
      </c>
      <c r="E305" t="s">
        <v>195</v>
      </c>
      <c r="F305" s="9" t="s">
        <v>235</v>
      </c>
      <c r="G305" t="s">
        <v>197</v>
      </c>
      <c r="H305" t="s">
        <v>41</v>
      </c>
      <c r="I305" t="s">
        <v>42</v>
      </c>
      <c r="J305" t="s">
        <v>43</v>
      </c>
      <c r="K305" t="s">
        <v>44</v>
      </c>
      <c r="L305" t="s">
        <v>53</v>
      </c>
      <c r="M305" t="s">
        <v>54</v>
      </c>
      <c r="N305" t="s">
        <v>41</v>
      </c>
      <c r="O305" t="s">
        <v>42</v>
      </c>
      <c r="P305" t="s">
        <v>43</v>
      </c>
      <c r="Q305" t="s">
        <v>44</v>
      </c>
      <c r="R305" s="1">
        <v>44338.6247337963</v>
      </c>
      <c r="S305" s="1">
        <v>44338.624745370369</v>
      </c>
      <c r="T305">
        <v>0</v>
      </c>
      <c r="U305">
        <v>2</v>
      </c>
      <c r="V305" s="2">
        <v>0</v>
      </c>
      <c r="W305">
        <v>0</v>
      </c>
      <c r="X305" t="s">
        <v>183</v>
      </c>
      <c r="Y305">
        <v>0</v>
      </c>
      <c r="Z305" t="s">
        <v>183</v>
      </c>
      <c r="AA305">
        <v>0</v>
      </c>
      <c r="AB305" t="s">
        <v>31</v>
      </c>
      <c r="AC305">
        <v>0</v>
      </c>
      <c r="AD305" t="s">
        <v>31</v>
      </c>
      <c r="AE305">
        <v>0</v>
      </c>
      <c r="AF305" t="s">
        <v>31</v>
      </c>
      <c r="AG305">
        <v>0</v>
      </c>
    </row>
    <row r="306" spans="1:33" x14ac:dyDescent="0.2">
      <c r="A306" t="s">
        <v>381</v>
      </c>
      <c r="B306" s="3">
        <v>44340</v>
      </c>
      <c r="C306">
        <v>108</v>
      </c>
      <c r="D306" t="s">
        <v>393</v>
      </c>
      <c r="E306" t="s">
        <v>195</v>
      </c>
      <c r="F306" s="9" t="s">
        <v>235</v>
      </c>
      <c r="G306" t="s">
        <v>197</v>
      </c>
      <c r="H306" t="s">
        <v>41</v>
      </c>
      <c r="I306" t="s">
        <v>42</v>
      </c>
      <c r="J306" t="s">
        <v>43</v>
      </c>
      <c r="K306" t="s">
        <v>44</v>
      </c>
      <c r="L306" t="s">
        <v>53</v>
      </c>
      <c r="M306" t="s">
        <v>54</v>
      </c>
      <c r="N306" t="s">
        <v>41</v>
      </c>
      <c r="O306" t="s">
        <v>42</v>
      </c>
      <c r="P306" t="s">
        <v>43</v>
      </c>
      <c r="Q306" t="s">
        <v>44</v>
      </c>
      <c r="R306" s="1">
        <v>44340.494710648149</v>
      </c>
      <c r="S306" s="1">
        <v>44340.498356481483</v>
      </c>
      <c r="T306">
        <v>1</v>
      </c>
      <c r="U306">
        <v>2</v>
      </c>
      <c r="V306" s="2">
        <v>0.5</v>
      </c>
      <c r="W306">
        <v>1</v>
      </c>
      <c r="X306" t="s">
        <v>54</v>
      </c>
      <c r="Y306">
        <v>1</v>
      </c>
      <c r="Z306" t="s">
        <v>44</v>
      </c>
      <c r="AA306">
        <v>0</v>
      </c>
      <c r="AB306" t="s">
        <v>31</v>
      </c>
      <c r="AC306">
        <v>0</v>
      </c>
      <c r="AD306" t="s">
        <v>31</v>
      </c>
      <c r="AE306">
        <v>0</v>
      </c>
      <c r="AF306" t="s">
        <v>31</v>
      </c>
      <c r="AG306">
        <v>0</v>
      </c>
    </row>
    <row r="307" spans="1:33" x14ac:dyDescent="0.2">
      <c r="A307" t="s">
        <v>381</v>
      </c>
      <c r="B307" s="3">
        <v>44341</v>
      </c>
      <c r="C307">
        <v>111</v>
      </c>
      <c r="D307" t="s">
        <v>385</v>
      </c>
      <c r="E307" t="s">
        <v>195</v>
      </c>
      <c r="F307" s="9" t="s">
        <v>235</v>
      </c>
      <c r="G307" t="s">
        <v>197</v>
      </c>
      <c r="H307" t="s">
        <v>41</v>
      </c>
      <c r="I307" t="s">
        <v>42</v>
      </c>
      <c r="J307" t="s">
        <v>43</v>
      </c>
      <c r="K307" t="s">
        <v>44</v>
      </c>
      <c r="L307" t="s">
        <v>53</v>
      </c>
      <c r="M307" t="s">
        <v>54</v>
      </c>
      <c r="N307" t="s">
        <v>41</v>
      </c>
      <c r="O307" t="s">
        <v>42</v>
      </c>
      <c r="P307" t="s">
        <v>43</v>
      </c>
      <c r="Q307" t="s">
        <v>44</v>
      </c>
      <c r="R307" s="1">
        <v>44341.634745370371</v>
      </c>
      <c r="S307" s="1">
        <v>44341.634745370371</v>
      </c>
      <c r="T307">
        <v>1</v>
      </c>
      <c r="U307">
        <v>1</v>
      </c>
      <c r="V307" s="2">
        <v>1</v>
      </c>
      <c r="W307">
        <v>1</v>
      </c>
      <c r="X307" t="s">
        <v>54</v>
      </c>
      <c r="Y307">
        <v>1</v>
      </c>
      <c r="Z307" t="s">
        <v>31</v>
      </c>
      <c r="AA307">
        <v>0</v>
      </c>
      <c r="AB307" t="s">
        <v>31</v>
      </c>
      <c r="AC307">
        <v>0</v>
      </c>
      <c r="AD307" t="s">
        <v>31</v>
      </c>
      <c r="AE307">
        <v>0</v>
      </c>
      <c r="AF307" t="s">
        <v>31</v>
      </c>
      <c r="AG307">
        <v>0</v>
      </c>
    </row>
    <row r="308" spans="1:33" x14ac:dyDescent="0.2">
      <c r="A308" t="s">
        <v>381</v>
      </c>
      <c r="B308" s="3">
        <v>44342</v>
      </c>
      <c r="C308">
        <v>112</v>
      </c>
      <c r="D308" t="s">
        <v>394</v>
      </c>
      <c r="E308" t="s">
        <v>195</v>
      </c>
      <c r="F308" s="9" t="s">
        <v>235</v>
      </c>
      <c r="G308" t="s">
        <v>197</v>
      </c>
      <c r="H308" t="s">
        <v>41</v>
      </c>
      <c r="I308" t="s">
        <v>42</v>
      </c>
      <c r="J308" t="s">
        <v>43</v>
      </c>
      <c r="K308" t="s">
        <v>44</v>
      </c>
      <c r="L308" t="s">
        <v>53</v>
      </c>
      <c r="M308" t="s">
        <v>54</v>
      </c>
      <c r="N308" t="s">
        <v>41</v>
      </c>
      <c r="O308" t="s">
        <v>42</v>
      </c>
      <c r="P308" t="s">
        <v>43</v>
      </c>
      <c r="Q308" t="s">
        <v>44</v>
      </c>
      <c r="R308" s="1">
        <v>44342.440601851849</v>
      </c>
      <c r="S308" s="1">
        <v>44342.440625000003</v>
      </c>
      <c r="T308">
        <v>0</v>
      </c>
      <c r="U308">
        <v>1</v>
      </c>
      <c r="V308" s="2">
        <v>0</v>
      </c>
      <c r="W308">
        <v>0</v>
      </c>
      <c r="X308" t="s">
        <v>44</v>
      </c>
      <c r="Y308">
        <v>0</v>
      </c>
      <c r="Z308" t="s">
        <v>31</v>
      </c>
      <c r="AA308">
        <v>0</v>
      </c>
      <c r="AB308" t="s">
        <v>31</v>
      </c>
      <c r="AC308">
        <v>0</v>
      </c>
      <c r="AD308" t="s">
        <v>31</v>
      </c>
      <c r="AE308">
        <v>0</v>
      </c>
      <c r="AF308" t="s">
        <v>31</v>
      </c>
      <c r="AG308">
        <v>0</v>
      </c>
    </row>
    <row r="309" spans="1:33" x14ac:dyDescent="0.2">
      <c r="A309" t="s">
        <v>381</v>
      </c>
      <c r="B309" s="3">
        <v>44343</v>
      </c>
      <c r="C309">
        <v>115</v>
      </c>
      <c r="D309" t="s">
        <v>395</v>
      </c>
      <c r="E309" t="s">
        <v>195</v>
      </c>
      <c r="F309" s="9" t="s">
        <v>235</v>
      </c>
      <c r="G309" t="s">
        <v>197</v>
      </c>
      <c r="H309" t="s">
        <v>41</v>
      </c>
      <c r="I309" t="s">
        <v>42</v>
      </c>
      <c r="J309" t="s">
        <v>43</v>
      </c>
      <c r="K309" t="s">
        <v>44</v>
      </c>
      <c r="L309" t="s">
        <v>53</v>
      </c>
      <c r="M309" t="s">
        <v>54</v>
      </c>
      <c r="N309" t="s">
        <v>41</v>
      </c>
      <c r="O309" t="s">
        <v>42</v>
      </c>
      <c r="P309" t="s">
        <v>43</v>
      </c>
      <c r="Q309" t="s">
        <v>44</v>
      </c>
      <c r="R309" s="1">
        <v>44343.444201388891</v>
      </c>
      <c r="S309" s="1">
        <v>44343.444201388891</v>
      </c>
      <c r="T309">
        <v>0</v>
      </c>
      <c r="U309">
        <v>1</v>
      </c>
      <c r="V309" s="2">
        <v>0</v>
      </c>
      <c r="W309">
        <v>0</v>
      </c>
      <c r="X309" t="s">
        <v>44</v>
      </c>
      <c r="Y309">
        <v>0</v>
      </c>
      <c r="Z309" t="s">
        <v>31</v>
      </c>
      <c r="AA309">
        <v>0</v>
      </c>
      <c r="AB309" t="s">
        <v>31</v>
      </c>
      <c r="AC309">
        <v>0</v>
      </c>
      <c r="AD309" t="s">
        <v>31</v>
      </c>
      <c r="AE309">
        <v>0</v>
      </c>
      <c r="AF309" t="s">
        <v>31</v>
      </c>
      <c r="AG309">
        <v>0</v>
      </c>
    </row>
    <row r="310" spans="1:33" x14ac:dyDescent="0.2">
      <c r="A310" t="s">
        <v>381</v>
      </c>
      <c r="B310" s="3">
        <v>44344</v>
      </c>
      <c r="C310">
        <v>116</v>
      </c>
      <c r="D310" t="s">
        <v>390</v>
      </c>
      <c r="E310" t="s">
        <v>195</v>
      </c>
      <c r="F310" s="9" t="s">
        <v>235</v>
      </c>
      <c r="G310" t="s">
        <v>197</v>
      </c>
      <c r="H310" t="s">
        <v>41</v>
      </c>
      <c r="I310" t="s">
        <v>42</v>
      </c>
      <c r="J310" t="s">
        <v>43</v>
      </c>
      <c r="K310" t="s">
        <v>44</v>
      </c>
      <c r="L310" t="s">
        <v>53</v>
      </c>
      <c r="M310" t="s">
        <v>54</v>
      </c>
      <c r="N310" t="s">
        <v>41</v>
      </c>
      <c r="O310" t="s">
        <v>42</v>
      </c>
      <c r="P310" t="s">
        <v>43</v>
      </c>
      <c r="Q310" t="s">
        <v>44</v>
      </c>
      <c r="R310" s="1">
        <v>44344.437384259261</v>
      </c>
      <c r="S310" s="1">
        <v>44344.437384259261</v>
      </c>
      <c r="T310">
        <v>1</v>
      </c>
      <c r="U310">
        <v>1</v>
      </c>
      <c r="V310" s="2">
        <v>1</v>
      </c>
      <c r="W310">
        <v>1</v>
      </c>
      <c r="X310" t="s">
        <v>54</v>
      </c>
      <c r="Y310">
        <v>1</v>
      </c>
      <c r="Z310" t="s">
        <v>31</v>
      </c>
      <c r="AA310">
        <v>0</v>
      </c>
      <c r="AB310" t="s">
        <v>31</v>
      </c>
      <c r="AC310">
        <v>0</v>
      </c>
      <c r="AD310" t="s">
        <v>31</v>
      </c>
      <c r="AE310">
        <v>0</v>
      </c>
      <c r="AF310" t="s">
        <v>31</v>
      </c>
      <c r="AG310">
        <v>0</v>
      </c>
    </row>
    <row r="311" spans="1:33" x14ac:dyDescent="0.2">
      <c r="A311" t="s">
        <v>381</v>
      </c>
      <c r="B311" s="3">
        <v>44348</v>
      </c>
      <c r="C311">
        <v>118</v>
      </c>
      <c r="D311" t="s">
        <v>396</v>
      </c>
      <c r="E311" t="s">
        <v>195</v>
      </c>
      <c r="F311" s="9" t="s">
        <v>235</v>
      </c>
      <c r="G311" t="s">
        <v>197</v>
      </c>
      <c r="H311" t="s">
        <v>41</v>
      </c>
      <c r="I311" t="s">
        <v>42</v>
      </c>
      <c r="J311" t="s">
        <v>43</v>
      </c>
      <c r="K311" t="s">
        <v>44</v>
      </c>
      <c r="L311" t="s">
        <v>53</v>
      </c>
      <c r="M311" t="s">
        <v>54</v>
      </c>
      <c r="N311" t="s">
        <v>41</v>
      </c>
      <c r="O311" t="s">
        <v>42</v>
      </c>
      <c r="P311" t="s">
        <v>43</v>
      </c>
      <c r="Q311" t="s">
        <v>44</v>
      </c>
      <c r="R311" s="1">
        <v>44348.462210648147</v>
      </c>
      <c r="S311" s="1">
        <v>44348.462256944447</v>
      </c>
      <c r="T311">
        <v>1</v>
      </c>
      <c r="U311">
        <v>2</v>
      </c>
      <c r="V311" s="2">
        <v>0.5</v>
      </c>
      <c r="W311">
        <v>1</v>
      </c>
      <c r="X311" t="s">
        <v>183</v>
      </c>
      <c r="Y311">
        <v>0</v>
      </c>
      <c r="Z311" t="s">
        <v>54</v>
      </c>
      <c r="AA311">
        <v>1</v>
      </c>
      <c r="AB311" t="s">
        <v>31</v>
      </c>
      <c r="AC311">
        <v>0</v>
      </c>
      <c r="AD311" t="s">
        <v>31</v>
      </c>
      <c r="AE311">
        <v>0</v>
      </c>
      <c r="AF311" t="s">
        <v>31</v>
      </c>
      <c r="AG311">
        <v>0</v>
      </c>
    </row>
    <row r="312" spans="1:33" x14ac:dyDescent="0.2">
      <c r="A312" t="s">
        <v>381</v>
      </c>
      <c r="B312" s="3">
        <v>44351</v>
      </c>
      <c r="C312">
        <v>124</v>
      </c>
      <c r="D312" t="s">
        <v>390</v>
      </c>
      <c r="E312" t="s">
        <v>195</v>
      </c>
      <c r="F312" s="9" t="s">
        <v>235</v>
      </c>
      <c r="G312" t="s">
        <v>197</v>
      </c>
      <c r="H312" t="s">
        <v>41</v>
      </c>
      <c r="I312" t="s">
        <v>42</v>
      </c>
      <c r="J312" t="s">
        <v>43</v>
      </c>
      <c r="K312" t="s">
        <v>44</v>
      </c>
      <c r="L312" t="s">
        <v>53</v>
      </c>
      <c r="M312" t="s">
        <v>54</v>
      </c>
      <c r="N312" t="s">
        <v>41</v>
      </c>
      <c r="O312" t="s">
        <v>42</v>
      </c>
      <c r="P312" t="s">
        <v>43</v>
      </c>
      <c r="Q312" t="s">
        <v>44</v>
      </c>
      <c r="R312" s="1">
        <v>44351.438032407408</v>
      </c>
      <c r="S312" s="1">
        <v>44351.438032407408</v>
      </c>
      <c r="T312">
        <v>0</v>
      </c>
      <c r="U312">
        <v>1</v>
      </c>
      <c r="V312" s="2">
        <v>0</v>
      </c>
      <c r="W312">
        <v>0</v>
      </c>
      <c r="X312" t="s">
        <v>44</v>
      </c>
      <c r="Y312">
        <v>0</v>
      </c>
      <c r="Z312" t="s">
        <v>31</v>
      </c>
      <c r="AA312">
        <v>0</v>
      </c>
      <c r="AB312" t="s">
        <v>31</v>
      </c>
      <c r="AC312">
        <v>0</v>
      </c>
      <c r="AD312" t="s">
        <v>31</v>
      </c>
      <c r="AE312">
        <v>0</v>
      </c>
      <c r="AF312" t="s">
        <v>31</v>
      </c>
      <c r="AG312">
        <v>0</v>
      </c>
    </row>
    <row r="313" spans="1:33" x14ac:dyDescent="0.2">
      <c r="A313" t="s">
        <v>381</v>
      </c>
      <c r="B313" s="3">
        <v>44351</v>
      </c>
      <c r="C313">
        <v>125</v>
      </c>
      <c r="D313" t="s">
        <v>387</v>
      </c>
      <c r="E313" t="s">
        <v>195</v>
      </c>
      <c r="F313" s="9" t="s">
        <v>235</v>
      </c>
      <c r="G313" t="s">
        <v>197</v>
      </c>
      <c r="H313" t="s">
        <v>41</v>
      </c>
      <c r="I313" t="s">
        <v>42</v>
      </c>
      <c r="J313" t="s">
        <v>43</v>
      </c>
      <c r="K313" t="s">
        <v>44</v>
      </c>
      <c r="L313" t="s">
        <v>53</v>
      </c>
      <c r="M313" t="s">
        <v>54</v>
      </c>
      <c r="N313" t="s">
        <v>41</v>
      </c>
      <c r="O313" t="s">
        <v>42</v>
      </c>
      <c r="P313" t="s">
        <v>43</v>
      </c>
      <c r="Q313" t="s">
        <v>44</v>
      </c>
      <c r="R313" s="1">
        <v>44351.551666666666</v>
      </c>
      <c r="S313" s="1">
        <v>44351.551666666666</v>
      </c>
      <c r="T313">
        <v>1</v>
      </c>
      <c r="U313">
        <v>1</v>
      </c>
      <c r="V313" s="2">
        <v>1</v>
      </c>
      <c r="W313">
        <v>1</v>
      </c>
      <c r="X313" t="s">
        <v>54</v>
      </c>
      <c r="Y313">
        <v>1</v>
      </c>
      <c r="Z313" t="s">
        <v>31</v>
      </c>
      <c r="AA313">
        <v>0</v>
      </c>
      <c r="AB313" t="s">
        <v>31</v>
      </c>
      <c r="AC313">
        <v>0</v>
      </c>
      <c r="AD313" t="s">
        <v>31</v>
      </c>
      <c r="AE313">
        <v>0</v>
      </c>
      <c r="AF313" t="s">
        <v>31</v>
      </c>
      <c r="AG313">
        <v>0</v>
      </c>
    </row>
    <row r="314" spans="1:33" x14ac:dyDescent="0.2">
      <c r="A314" t="s">
        <v>381</v>
      </c>
      <c r="B314" s="3">
        <v>44355</v>
      </c>
      <c r="C314">
        <v>128</v>
      </c>
      <c r="D314" t="s">
        <v>406</v>
      </c>
      <c r="E314" t="s">
        <v>195</v>
      </c>
      <c r="F314" s="9" t="s">
        <v>235</v>
      </c>
      <c r="G314" t="s">
        <v>197</v>
      </c>
      <c r="H314" t="s">
        <v>41</v>
      </c>
      <c r="I314" t="s">
        <v>42</v>
      </c>
      <c r="J314" t="s">
        <v>43</v>
      </c>
      <c r="K314" t="s">
        <v>44</v>
      </c>
      <c r="L314" t="s">
        <v>53</v>
      </c>
      <c r="M314" t="s">
        <v>54</v>
      </c>
      <c r="N314" t="s">
        <v>41</v>
      </c>
      <c r="O314" t="s">
        <v>42</v>
      </c>
      <c r="P314" t="s">
        <v>43</v>
      </c>
      <c r="Q314" t="s">
        <v>44</v>
      </c>
      <c r="R314" s="1">
        <v>44355.464282407411</v>
      </c>
      <c r="S314" s="1">
        <v>44355.464282407411</v>
      </c>
      <c r="T314">
        <v>0</v>
      </c>
      <c r="U314">
        <v>1</v>
      </c>
      <c r="V314" s="2">
        <v>0</v>
      </c>
      <c r="W314">
        <v>0</v>
      </c>
      <c r="X314" t="s">
        <v>44</v>
      </c>
      <c r="Y314">
        <v>0</v>
      </c>
      <c r="Z314" t="s">
        <v>31</v>
      </c>
      <c r="AA314">
        <v>0</v>
      </c>
      <c r="AB314" t="s">
        <v>31</v>
      </c>
      <c r="AC314">
        <v>0</v>
      </c>
      <c r="AD314" t="s">
        <v>31</v>
      </c>
      <c r="AE314">
        <v>0</v>
      </c>
      <c r="AF314" t="s">
        <v>31</v>
      </c>
      <c r="AG314">
        <v>0</v>
      </c>
    </row>
    <row r="315" spans="1:33" x14ac:dyDescent="0.2">
      <c r="A315" t="s">
        <v>381</v>
      </c>
      <c r="B315" s="3">
        <v>44356</v>
      </c>
      <c r="C315">
        <v>130</v>
      </c>
      <c r="D315" t="s">
        <v>398</v>
      </c>
      <c r="E315" t="s">
        <v>195</v>
      </c>
      <c r="F315" s="9" t="s">
        <v>235</v>
      </c>
      <c r="G315" t="s">
        <v>197</v>
      </c>
      <c r="H315" t="s">
        <v>41</v>
      </c>
      <c r="I315" t="s">
        <v>42</v>
      </c>
      <c r="J315" t="s">
        <v>43</v>
      </c>
      <c r="K315" t="s">
        <v>44</v>
      </c>
      <c r="L315" t="s">
        <v>53</v>
      </c>
      <c r="M315" t="s">
        <v>54</v>
      </c>
      <c r="N315" t="s">
        <v>41</v>
      </c>
      <c r="O315" t="s">
        <v>42</v>
      </c>
      <c r="P315" t="s">
        <v>43</v>
      </c>
      <c r="Q315" t="s">
        <v>44</v>
      </c>
      <c r="R315" s="1">
        <v>44356.408483796295</v>
      </c>
      <c r="S315" s="1">
        <v>44356.409155092595</v>
      </c>
      <c r="T315">
        <v>0</v>
      </c>
      <c r="U315">
        <v>1</v>
      </c>
      <c r="V315" s="2">
        <v>0</v>
      </c>
      <c r="W315">
        <v>0</v>
      </c>
      <c r="X315" t="s">
        <v>44</v>
      </c>
      <c r="Y315">
        <v>0</v>
      </c>
      <c r="Z315" t="s">
        <v>31</v>
      </c>
      <c r="AA315">
        <v>0</v>
      </c>
      <c r="AB315" t="s">
        <v>31</v>
      </c>
      <c r="AC315">
        <v>0</v>
      </c>
      <c r="AD315" t="s">
        <v>31</v>
      </c>
      <c r="AE315">
        <v>0</v>
      </c>
      <c r="AF315" t="s">
        <v>31</v>
      </c>
      <c r="AG315">
        <v>0</v>
      </c>
    </row>
    <row r="316" spans="1:33" x14ac:dyDescent="0.2">
      <c r="A316" t="s">
        <v>381</v>
      </c>
      <c r="B316" s="3">
        <v>44356</v>
      </c>
      <c r="C316">
        <v>131</v>
      </c>
      <c r="D316" t="s">
        <v>383</v>
      </c>
      <c r="E316" t="s">
        <v>195</v>
      </c>
      <c r="F316" s="9" t="s">
        <v>235</v>
      </c>
      <c r="G316" t="s">
        <v>197</v>
      </c>
      <c r="H316" t="s">
        <v>41</v>
      </c>
      <c r="I316" t="s">
        <v>42</v>
      </c>
      <c r="J316" t="s">
        <v>43</v>
      </c>
      <c r="K316" t="s">
        <v>44</v>
      </c>
      <c r="L316" t="s">
        <v>53</v>
      </c>
      <c r="M316" t="s">
        <v>54</v>
      </c>
      <c r="N316" t="s">
        <v>41</v>
      </c>
      <c r="O316" t="s">
        <v>42</v>
      </c>
      <c r="P316" t="s">
        <v>43</v>
      </c>
      <c r="Q316" t="s">
        <v>44</v>
      </c>
      <c r="R316" s="1">
        <v>44356.56890046296</v>
      </c>
      <c r="S316" s="1">
        <v>44356.568923611114</v>
      </c>
      <c r="T316">
        <v>0</v>
      </c>
      <c r="U316">
        <v>1</v>
      </c>
      <c r="V316" s="2">
        <v>0</v>
      </c>
      <c r="W316">
        <v>0</v>
      </c>
      <c r="X316" t="s">
        <v>183</v>
      </c>
      <c r="Y316">
        <v>0</v>
      </c>
      <c r="Z316" t="s">
        <v>31</v>
      </c>
      <c r="AA316">
        <v>0</v>
      </c>
      <c r="AB316" t="s">
        <v>31</v>
      </c>
      <c r="AC316">
        <v>0</v>
      </c>
      <c r="AD316" t="s">
        <v>31</v>
      </c>
      <c r="AE316">
        <v>0</v>
      </c>
      <c r="AF316" t="s">
        <v>31</v>
      </c>
      <c r="AG316">
        <v>0</v>
      </c>
    </row>
    <row r="317" spans="1:33" x14ac:dyDescent="0.2">
      <c r="A317" t="s">
        <v>381</v>
      </c>
      <c r="B317" s="3">
        <v>44358</v>
      </c>
      <c r="C317">
        <v>133</v>
      </c>
      <c r="D317" t="s">
        <v>390</v>
      </c>
      <c r="E317" t="s">
        <v>195</v>
      </c>
      <c r="F317" s="9" t="s">
        <v>235</v>
      </c>
      <c r="G317" t="s">
        <v>197</v>
      </c>
      <c r="H317" t="s">
        <v>41</v>
      </c>
      <c r="I317" t="s">
        <v>42</v>
      </c>
      <c r="J317" t="s">
        <v>43</v>
      </c>
      <c r="K317" t="s">
        <v>44</v>
      </c>
      <c r="L317" t="s">
        <v>53</v>
      </c>
      <c r="M317" t="s">
        <v>54</v>
      </c>
      <c r="N317" t="s">
        <v>41</v>
      </c>
      <c r="O317" t="s">
        <v>42</v>
      </c>
      <c r="P317" t="s">
        <v>43</v>
      </c>
      <c r="Q317" t="s">
        <v>44</v>
      </c>
      <c r="R317" s="1">
        <v>44358.438946759263</v>
      </c>
      <c r="S317" s="1">
        <v>44358.438946759263</v>
      </c>
      <c r="T317">
        <v>0</v>
      </c>
      <c r="U317">
        <v>1</v>
      </c>
      <c r="V317" s="2">
        <v>0</v>
      </c>
      <c r="W317">
        <v>0</v>
      </c>
      <c r="X317" t="s">
        <v>44</v>
      </c>
      <c r="Y317">
        <v>0</v>
      </c>
      <c r="Z317" t="s">
        <v>31</v>
      </c>
      <c r="AA317">
        <v>0</v>
      </c>
      <c r="AB317" t="s">
        <v>31</v>
      </c>
      <c r="AC317">
        <v>0</v>
      </c>
      <c r="AD317" t="s">
        <v>31</v>
      </c>
      <c r="AE317">
        <v>0</v>
      </c>
      <c r="AF317" t="s">
        <v>31</v>
      </c>
      <c r="AG317">
        <v>0</v>
      </c>
    </row>
    <row r="318" spans="1:33" x14ac:dyDescent="0.2">
      <c r="A318" t="s">
        <v>381</v>
      </c>
      <c r="B318" s="3">
        <v>44361</v>
      </c>
      <c r="C318">
        <v>135</v>
      </c>
      <c r="D318" t="s">
        <v>390</v>
      </c>
      <c r="E318" t="s">
        <v>195</v>
      </c>
      <c r="F318" s="9" t="s">
        <v>235</v>
      </c>
      <c r="G318" t="s">
        <v>197</v>
      </c>
      <c r="H318" t="s">
        <v>41</v>
      </c>
      <c r="I318" t="s">
        <v>42</v>
      </c>
      <c r="J318" t="s">
        <v>43</v>
      </c>
      <c r="K318" t="s">
        <v>44</v>
      </c>
      <c r="L318" t="s">
        <v>53</v>
      </c>
      <c r="M318" t="s">
        <v>54</v>
      </c>
      <c r="N318" t="s">
        <v>41</v>
      </c>
      <c r="O318" t="s">
        <v>42</v>
      </c>
      <c r="P318" t="s">
        <v>43</v>
      </c>
      <c r="Q318" t="s">
        <v>44</v>
      </c>
      <c r="R318" s="1">
        <v>44361.388344907406</v>
      </c>
      <c r="S318" s="1">
        <v>44361.388344907406</v>
      </c>
      <c r="T318">
        <v>0</v>
      </c>
      <c r="U318">
        <v>1</v>
      </c>
      <c r="V318" s="2">
        <v>0</v>
      </c>
      <c r="W318">
        <v>0</v>
      </c>
      <c r="X318" t="s">
        <v>44</v>
      </c>
      <c r="Y318">
        <v>0</v>
      </c>
      <c r="Z318" t="s">
        <v>31</v>
      </c>
      <c r="AA318">
        <v>0</v>
      </c>
      <c r="AB318" t="s">
        <v>31</v>
      </c>
      <c r="AC318">
        <v>0</v>
      </c>
      <c r="AD318" t="s">
        <v>31</v>
      </c>
      <c r="AE318">
        <v>0</v>
      </c>
      <c r="AF318" t="s">
        <v>31</v>
      </c>
      <c r="AG318">
        <v>0</v>
      </c>
    </row>
    <row r="319" spans="1:33" x14ac:dyDescent="0.2">
      <c r="A319" t="s">
        <v>381</v>
      </c>
      <c r="B319" s="3">
        <v>44365</v>
      </c>
      <c r="C319">
        <v>140</v>
      </c>
      <c r="D319" t="s">
        <v>399</v>
      </c>
      <c r="E319" t="s">
        <v>195</v>
      </c>
      <c r="F319" s="9" t="s">
        <v>235</v>
      </c>
      <c r="G319" t="s">
        <v>197</v>
      </c>
      <c r="H319" t="s">
        <v>41</v>
      </c>
      <c r="I319" t="s">
        <v>42</v>
      </c>
      <c r="J319" t="s">
        <v>43</v>
      </c>
      <c r="K319" t="s">
        <v>44</v>
      </c>
      <c r="L319" t="s">
        <v>53</v>
      </c>
      <c r="M319" t="s">
        <v>54</v>
      </c>
      <c r="N319" t="s">
        <v>41</v>
      </c>
      <c r="O319" t="s">
        <v>42</v>
      </c>
      <c r="P319" t="s">
        <v>43</v>
      </c>
      <c r="Q319" t="s">
        <v>44</v>
      </c>
      <c r="R319" s="1">
        <v>44365.549953703703</v>
      </c>
      <c r="S319" s="1">
        <v>44365.551076388889</v>
      </c>
      <c r="T319">
        <v>0</v>
      </c>
      <c r="U319">
        <v>2</v>
      </c>
      <c r="V319" s="2">
        <v>0</v>
      </c>
      <c r="W319">
        <v>0</v>
      </c>
      <c r="X319" t="s">
        <v>44</v>
      </c>
      <c r="Y319">
        <v>0</v>
      </c>
      <c r="Z319" t="s">
        <v>183</v>
      </c>
      <c r="AA319">
        <v>0</v>
      </c>
      <c r="AB319" t="s">
        <v>31</v>
      </c>
      <c r="AC319">
        <v>0</v>
      </c>
      <c r="AD319" t="s">
        <v>31</v>
      </c>
      <c r="AE319">
        <v>0</v>
      </c>
      <c r="AF319" t="s">
        <v>31</v>
      </c>
      <c r="AG319">
        <v>0</v>
      </c>
    </row>
    <row r="320" spans="1:33" x14ac:dyDescent="0.2">
      <c r="A320" t="s">
        <v>381</v>
      </c>
      <c r="B320" s="3">
        <v>44321</v>
      </c>
      <c r="C320">
        <v>89</v>
      </c>
      <c r="D320" t="s">
        <v>387</v>
      </c>
      <c r="E320" t="s">
        <v>195</v>
      </c>
      <c r="F320" s="9" t="s">
        <v>236</v>
      </c>
      <c r="G320" t="s">
        <v>197</v>
      </c>
      <c r="H320" t="s">
        <v>155</v>
      </c>
      <c r="I320" t="s">
        <v>156</v>
      </c>
      <c r="J320" t="s">
        <v>198</v>
      </c>
      <c r="K320" t="s">
        <v>183</v>
      </c>
      <c r="L320" t="s">
        <v>198</v>
      </c>
      <c r="M320" t="s">
        <v>183</v>
      </c>
      <c r="N320" t="s">
        <v>41</v>
      </c>
      <c r="O320" t="s">
        <v>42</v>
      </c>
      <c r="P320" t="s">
        <v>43</v>
      </c>
      <c r="Q320" t="s">
        <v>44</v>
      </c>
      <c r="R320" s="1">
        <v>44321.64099537037</v>
      </c>
      <c r="S320" s="1">
        <v>44321.64099537037</v>
      </c>
      <c r="T320">
        <v>1</v>
      </c>
      <c r="U320">
        <v>1</v>
      </c>
      <c r="V320" s="2">
        <v>1</v>
      </c>
      <c r="W320">
        <v>1</v>
      </c>
      <c r="X320" t="s">
        <v>54</v>
      </c>
      <c r="Y320">
        <v>1</v>
      </c>
      <c r="Z320" t="s">
        <v>31</v>
      </c>
      <c r="AA320">
        <v>0</v>
      </c>
      <c r="AB320" t="s">
        <v>31</v>
      </c>
      <c r="AC320">
        <v>0</v>
      </c>
      <c r="AD320" t="s">
        <v>31</v>
      </c>
      <c r="AE320">
        <v>0</v>
      </c>
      <c r="AF320" t="s">
        <v>31</v>
      </c>
      <c r="AG320">
        <v>0</v>
      </c>
    </row>
    <row r="321" spans="1:33" x14ac:dyDescent="0.2">
      <c r="A321" t="s">
        <v>381</v>
      </c>
      <c r="B321" s="3">
        <v>44338</v>
      </c>
      <c r="C321">
        <v>107</v>
      </c>
      <c r="D321" t="s">
        <v>392</v>
      </c>
      <c r="E321" t="s">
        <v>195</v>
      </c>
      <c r="F321" s="9" t="s">
        <v>236</v>
      </c>
      <c r="G321" t="s">
        <v>197</v>
      </c>
      <c r="H321" t="s">
        <v>41</v>
      </c>
      <c r="I321" t="s">
        <v>42</v>
      </c>
      <c r="J321" t="s">
        <v>43</v>
      </c>
      <c r="K321" t="s">
        <v>44</v>
      </c>
      <c r="L321" t="s">
        <v>53</v>
      </c>
      <c r="M321" t="s">
        <v>54</v>
      </c>
      <c r="N321" t="s">
        <v>41</v>
      </c>
      <c r="O321" t="s">
        <v>42</v>
      </c>
      <c r="P321" t="s">
        <v>43</v>
      </c>
      <c r="Q321" t="s">
        <v>44</v>
      </c>
      <c r="R321" s="1">
        <v>44338.6247337963</v>
      </c>
      <c r="S321" s="1">
        <v>44338.624780092592</v>
      </c>
      <c r="T321">
        <v>0</v>
      </c>
      <c r="U321">
        <v>2</v>
      </c>
      <c r="V321" s="2">
        <v>0</v>
      </c>
      <c r="W321">
        <v>0</v>
      </c>
      <c r="X321" t="s">
        <v>183</v>
      </c>
      <c r="Y321">
        <v>0</v>
      </c>
      <c r="Z321" t="s">
        <v>183</v>
      </c>
      <c r="AA321">
        <v>0</v>
      </c>
      <c r="AB321" t="s">
        <v>31</v>
      </c>
      <c r="AC321">
        <v>0</v>
      </c>
      <c r="AD321" t="s">
        <v>31</v>
      </c>
      <c r="AE321">
        <v>0</v>
      </c>
      <c r="AF321" t="s">
        <v>31</v>
      </c>
      <c r="AG321">
        <v>0</v>
      </c>
    </row>
    <row r="322" spans="1:33" x14ac:dyDescent="0.2">
      <c r="A322" t="s">
        <v>381</v>
      </c>
      <c r="B322" s="3">
        <v>44340</v>
      </c>
      <c r="C322">
        <v>108</v>
      </c>
      <c r="D322" t="s">
        <v>393</v>
      </c>
      <c r="E322" t="s">
        <v>195</v>
      </c>
      <c r="F322" s="9" t="s">
        <v>236</v>
      </c>
      <c r="G322" t="s">
        <v>197</v>
      </c>
      <c r="H322" t="s">
        <v>41</v>
      </c>
      <c r="I322" t="s">
        <v>42</v>
      </c>
      <c r="J322" t="s">
        <v>43</v>
      </c>
      <c r="K322" t="s">
        <v>44</v>
      </c>
      <c r="L322" t="s">
        <v>53</v>
      </c>
      <c r="M322" t="s">
        <v>54</v>
      </c>
      <c r="N322" t="s">
        <v>41</v>
      </c>
      <c r="O322" t="s">
        <v>42</v>
      </c>
      <c r="P322" t="s">
        <v>43</v>
      </c>
      <c r="Q322" t="s">
        <v>44</v>
      </c>
      <c r="R322" s="1">
        <v>44340.494756944441</v>
      </c>
      <c r="S322" s="1">
        <v>44340.496539351851</v>
      </c>
      <c r="T322">
        <v>0</v>
      </c>
      <c r="U322">
        <v>2</v>
      </c>
      <c r="V322" s="2">
        <v>0</v>
      </c>
      <c r="W322">
        <v>0</v>
      </c>
      <c r="X322" t="s">
        <v>183</v>
      </c>
      <c r="Y322">
        <v>0</v>
      </c>
      <c r="Z322" t="s">
        <v>183</v>
      </c>
      <c r="AA322">
        <v>0</v>
      </c>
      <c r="AB322" t="s">
        <v>31</v>
      </c>
      <c r="AC322">
        <v>0</v>
      </c>
      <c r="AD322" t="s">
        <v>31</v>
      </c>
      <c r="AE322">
        <v>0</v>
      </c>
      <c r="AF322" t="s">
        <v>31</v>
      </c>
      <c r="AG322">
        <v>0</v>
      </c>
    </row>
    <row r="323" spans="1:33" x14ac:dyDescent="0.2">
      <c r="A323" t="s">
        <v>381</v>
      </c>
      <c r="B323" s="3">
        <v>44341</v>
      </c>
      <c r="C323">
        <v>111</v>
      </c>
      <c r="D323" t="s">
        <v>385</v>
      </c>
      <c r="E323" t="s">
        <v>195</v>
      </c>
      <c r="F323" s="9" t="s">
        <v>236</v>
      </c>
      <c r="G323" t="s">
        <v>197</v>
      </c>
      <c r="H323" t="s">
        <v>41</v>
      </c>
      <c r="I323" t="s">
        <v>42</v>
      </c>
      <c r="J323" t="s">
        <v>43</v>
      </c>
      <c r="K323" t="s">
        <v>44</v>
      </c>
      <c r="L323" t="s">
        <v>53</v>
      </c>
      <c r="M323" t="s">
        <v>54</v>
      </c>
      <c r="N323" t="s">
        <v>41</v>
      </c>
      <c r="O323" t="s">
        <v>42</v>
      </c>
      <c r="P323" t="s">
        <v>43</v>
      </c>
      <c r="Q323" t="s">
        <v>44</v>
      </c>
      <c r="R323" s="1">
        <v>44341.634756944448</v>
      </c>
      <c r="S323" s="1">
        <v>44341.634791666664</v>
      </c>
      <c r="T323">
        <v>0</v>
      </c>
      <c r="U323">
        <v>1</v>
      </c>
      <c r="V323" s="2">
        <v>0</v>
      </c>
      <c r="W323">
        <v>0</v>
      </c>
      <c r="X323" t="s">
        <v>183</v>
      </c>
      <c r="Y323">
        <v>0</v>
      </c>
      <c r="Z323" t="s">
        <v>31</v>
      </c>
      <c r="AA323">
        <v>0</v>
      </c>
      <c r="AB323" t="s">
        <v>31</v>
      </c>
      <c r="AC323">
        <v>0</v>
      </c>
      <c r="AD323" t="s">
        <v>31</v>
      </c>
      <c r="AE323">
        <v>0</v>
      </c>
      <c r="AF323" t="s">
        <v>31</v>
      </c>
      <c r="AG323">
        <v>0</v>
      </c>
    </row>
    <row r="324" spans="1:33" x14ac:dyDescent="0.2">
      <c r="A324" t="s">
        <v>381</v>
      </c>
      <c r="B324" s="3">
        <v>44342</v>
      </c>
      <c r="C324">
        <v>112</v>
      </c>
      <c r="D324" t="s">
        <v>394</v>
      </c>
      <c r="E324" t="s">
        <v>195</v>
      </c>
      <c r="F324" s="9" t="s">
        <v>236</v>
      </c>
      <c r="G324" t="s">
        <v>197</v>
      </c>
      <c r="H324" t="s">
        <v>41</v>
      </c>
      <c r="I324" t="s">
        <v>42</v>
      </c>
      <c r="J324" t="s">
        <v>43</v>
      </c>
      <c r="K324" t="s">
        <v>44</v>
      </c>
      <c r="L324" t="s">
        <v>53</v>
      </c>
      <c r="M324" t="s">
        <v>54</v>
      </c>
      <c r="N324" t="s">
        <v>41</v>
      </c>
      <c r="O324" t="s">
        <v>42</v>
      </c>
      <c r="P324" t="s">
        <v>43</v>
      </c>
      <c r="Q324" t="s">
        <v>44</v>
      </c>
      <c r="R324" s="1">
        <v>44342.440648148149</v>
      </c>
      <c r="S324" s="1">
        <v>44342.440648148149</v>
      </c>
      <c r="T324">
        <v>0</v>
      </c>
      <c r="U324">
        <v>1</v>
      </c>
      <c r="V324" s="2">
        <v>0</v>
      </c>
      <c r="W324">
        <v>0</v>
      </c>
      <c r="X324" t="s">
        <v>44</v>
      </c>
      <c r="Y324">
        <v>0</v>
      </c>
      <c r="Z324" t="s">
        <v>31</v>
      </c>
      <c r="AA324">
        <v>0</v>
      </c>
      <c r="AB324" t="s">
        <v>31</v>
      </c>
      <c r="AC324">
        <v>0</v>
      </c>
      <c r="AD324" t="s">
        <v>31</v>
      </c>
      <c r="AE324">
        <v>0</v>
      </c>
      <c r="AF324" t="s">
        <v>31</v>
      </c>
      <c r="AG324">
        <v>0</v>
      </c>
    </row>
    <row r="325" spans="1:33" x14ac:dyDescent="0.2">
      <c r="A325" t="s">
        <v>381</v>
      </c>
      <c r="B325" s="3">
        <v>44343</v>
      </c>
      <c r="C325">
        <v>115</v>
      </c>
      <c r="D325" t="s">
        <v>395</v>
      </c>
      <c r="E325" t="s">
        <v>195</v>
      </c>
      <c r="F325" s="9" t="s">
        <v>236</v>
      </c>
      <c r="G325" t="s">
        <v>197</v>
      </c>
      <c r="H325" t="s">
        <v>41</v>
      </c>
      <c r="I325" t="s">
        <v>42</v>
      </c>
      <c r="J325" t="s">
        <v>43</v>
      </c>
      <c r="K325" t="s">
        <v>44</v>
      </c>
      <c r="L325" t="s">
        <v>53</v>
      </c>
      <c r="M325" t="s">
        <v>54</v>
      </c>
      <c r="N325" t="s">
        <v>41</v>
      </c>
      <c r="O325" t="s">
        <v>42</v>
      </c>
      <c r="P325" t="s">
        <v>43</v>
      </c>
      <c r="Q325" t="s">
        <v>44</v>
      </c>
      <c r="R325" s="1">
        <v>44343.444224537037</v>
      </c>
      <c r="S325" s="1">
        <v>44343.444224537037</v>
      </c>
      <c r="T325">
        <v>0</v>
      </c>
      <c r="U325">
        <v>1</v>
      </c>
      <c r="V325" s="2">
        <v>0</v>
      </c>
      <c r="W325">
        <v>0</v>
      </c>
      <c r="X325" t="s">
        <v>44</v>
      </c>
      <c r="Y325">
        <v>0</v>
      </c>
      <c r="Z325" t="s">
        <v>31</v>
      </c>
      <c r="AA325">
        <v>0</v>
      </c>
      <c r="AB325" t="s">
        <v>31</v>
      </c>
      <c r="AC325">
        <v>0</v>
      </c>
      <c r="AD325" t="s">
        <v>31</v>
      </c>
      <c r="AE325">
        <v>0</v>
      </c>
      <c r="AF325" t="s">
        <v>31</v>
      </c>
      <c r="AG325">
        <v>0</v>
      </c>
    </row>
    <row r="326" spans="1:33" x14ac:dyDescent="0.2">
      <c r="A326" t="s">
        <v>381</v>
      </c>
      <c r="B326" s="3">
        <v>44344</v>
      </c>
      <c r="C326">
        <v>116</v>
      </c>
      <c r="D326" t="s">
        <v>390</v>
      </c>
      <c r="E326" t="s">
        <v>195</v>
      </c>
      <c r="F326" s="9" t="s">
        <v>236</v>
      </c>
      <c r="G326" t="s">
        <v>197</v>
      </c>
      <c r="H326" t="s">
        <v>41</v>
      </c>
      <c r="I326" t="s">
        <v>42</v>
      </c>
      <c r="J326" t="s">
        <v>43</v>
      </c>
      <c r="K326" t="s">
        <v>44</v>
      </c>
      <c r="L326" t="s">
        <v>53</v>
      </c>
      <c r="M326" t="s">
        <v>54</v>
      </c>
      <c r="N326" t="s">
        <v>41</v>
      </c>
      <c r="O326" t="s">
        <v>42</v>
      </c>
      <c r="P326" t="s">
        <v>43</v>
      </c>
      <c r="Q326" t="s">
        <v>44</v>
      </c>
      <c r="R326" s="1">
        <v>44344.437395833331</v>
      </c>
      <c r="S326" s="1">
        <v>44344.437395833331</v>
      </c>
      <c r="T326">
        <v>1</v>
      </c>
      <c r="U326">
        <v>1</v>
      </c>
      <c r="V326" s="2">
        <v>1</v>
      </c>
      <c r="W326">
        <v>1</v>
      </c>
      <c r="X326" t="s">
        <v>54</v>
      </c>
      <c r="Y326">
        <v>1</v>
      </c>
      <c r="Z326" t="s">
        <v>31</v>
      </c>
      <c r="AA326">
        <v>0</v>
      </c>
      <c r="AB326" t="s">
        <v>31</v>
      </c>
      <c r="AC326">
        <v>0</v>
      </c>
      <c r="AD326" t="s">
        <v>31</v>
      </c>
      <c r="AE326">
        <v>0</v>
      </c>
      <c r="AF326" t="s">
        <v>31</v>
      </c>
      <c r="AG326">
        <v>0</v>
      </c>
    </row>
    <row r="327" spans="1:33" x14ac:dyDescent="0.2">
      <c r="A327" t="s">
        <v>381</v>
      </c>
      <c r="B327" s="3">
        <v>44348</v>
      </c>
      <c r="C327">
        <v>118</v>
      </c>
      <c r="D327" t="s">
        <v>396</v>
      </c>
      <c r="E327" t="s">
        <v>195</v>
      </c>
      <c r="F327" s="9" t="s">
        <v>236</v>
      </c>
      <c r="G327" t="s">
        <v>197</v>
      </c>
      <c r="H327" t="s">
        <v>41</v>
      </c>
      <c r="I327" t="s">
        <v>42</v>
      </c>
      <c r="J327" t="s">
        <v>43</v>
      </c>
      <c r="K327" t="s">
        <v>44</v>
      </c>
      <c r="L327" t="s">
        <v>53</v>
      </c>
      <c r="M327" t="s">
        <v>54</v>
      </c>
      <c r="N327" t="s">
        <v>41</v>
      </c>
      <c r="O327" t="s">
        <v>42</v>
      </c>
      <c r="P327" t="s">
        <v>43</v>
      </c>
      <c r="Q327" t="s">
        <v>44</v>
      </c>
      <c r="R327" s="1">
        <v>44348.462187500001</v>
      </c>
      <c r="S327" s="1">
        <v>44348.462210648147</v>
      </c>
      <c r="T327">
        <v>1</v>
      </c>
      <c r="U327">
        <v>2</v>
      </c>
      <c r="V327" s="2">
        <v>0.5</v>
      </c>
      <c r="W327">
        <v>1</v>
      </c>
      <c r="X327" t="s">
        <v>183</v>
      </c>
      <c r="Y327">
        <v>0</v>
      </c>
      <c r="Z327" t="s">
        <v>54</v>
      </c>
      <c r="AA327">
        <v>1</v>
      </c>
      <c r="AB327" t="s">
        <v>31</v>
      </c>
      <c r="AC327">
        <v>0</v>
      </c>
      <c r="AD327" t="s">
        <v>31</v>
      </c>
      <c r="AE327">
        <v>0</v>
      </c>
      <c r="AF327" t="s">
        <v>31</v>
      </c>
      <c r="AG327">
        <v>0</v>
      </c>
    </row>
    <row r="328" spans="1:33" x14ac:dyDescent="0.2">
      <c r="A328" t="s">
        <v>381</v>
      </c>
      <c r="B328" s="3">
        <v>44351</v>
      </c>
      <c r="C328">
        <v>124</v>
      </c>
      <c r="D328" t="s">
        <v>390</v>
      </c>
      <c r="E328" t="s">
        <v>195</v>
      </c>
      <c r="F328" s="9" t="s">
        <v>236</v>
      </c>
      <c r="G328" t="s">
        <v>197</v>
      </c>
      <c r="H328" t="s">
        <v>41</v>
      </c>
      <c r="I328" t="s">
        <v>42</v>
      </c>
      <c r="J328" t="s">
        <v>43</v>
      </c>
      <c r="K328" t="s">
        <v>44</v>
      </c>
      <c r="L328" t="s">
        <v>53</v>
      </c>
      <c r="M328" t="s">
        <v>54</v>
      </c>
      <c r="N328" t="s">
        <v>41</v>
      </c>
      <c r="O328" t="s">
        <v>42</v>
      </c>
      <c r="P328" t="s">
        <v>43</v>
      </c>
      <c r="Q328" t="s">
        <v>44</v>
      </c>
      <c r="R328" s="1">
        <v>44351.438055555554</v>
      </c>
      <c r="S328" s="1">
        <v>44351.438055555554</v>
      </c>
      <c r="T328">
        <v>1</v>
      </c>
      <c r="U328">
        <v>1</v>
      </c>
      <c r="V328" s="2">
        <v>1</v>
      </c>
      <c r="W328">
        <v>1</v>
      </c>
      <c r="X328" t="s">
        <v>54</v>
      </c>
      <c r="Y328">
        <v>1</v>
      </c>
      <c r="Z328" t="s">
        <v>31</v>
      </c>
      <c r="AA328">
        <v>0</v>
      </c>
      <c r="AB328" t="s">
        <v>31</v>
      </c>
      <c r="AC328">
        <v>0</v>
      </c>
      <c r="AD328" t="s">
        <v>31</v>
      </c>
      <c r="AE328">
        <v>0</v>
      </c>
      <c r="AF328" t="s">
        <v>31</v>
      </c>
      <c r="AG328">
        <v>0</v>
      </c>
    </row>
    <row r="329" spans="1:33" x14ac:dyDescent="0.2">
      <c r="A329" t="s">
        <v>381</v>
      </c>
      <c r="B329" s="3">
        <v>44355</v>
      </c>
      <c r="C329">
        <v>128</v>
      </c>
      <c r="D329" t="s">
        <v>406</v>
      </c>
      <c r="E329" t="s">
        <v>195</v>
      </c>
      <c r="F329" s="9" t="s">
        <v>236</v>
      </c>
      <c r="G329" t="s">
        <v>197</v>
      </c>
      <c r="H329" t="s">
        <v>41</v>
      </c>
      <c r="I329" t="s">
        <v>42</v>
      </c>
      <c r="J329" t="s">
        <v>43</v>
      </c>
      <c r="K329" t="s">
        <v>44</v>
      </c>
      <c r="L329" t="s">
        <v>53</v>
      </c>
      <c r="M329" t="s">
        <v>54</v>
      </c>
      <c r="N329" t="s">
        <v>41</v>
      </c>
      <c r="O329" t="s">
        <v>42</v>
      </c>
      <c r="P329" t="s">
        <v>43</v>
      </c>
      <c r="Q329" t="s">
        <v>44</v>
      </c>
      <c r="R329" s="1">
        <v>44355.46429398148</v>
      </c>
      <c r="S329" s="1">
        <v>44355.46429398148</v>
      </c>
      <c r="T329">
        <v>0</v>
      </c>
      <c r="U329">
        <v>1</v>
      </c>
      <c r="V329" s="2">
        <v>0</v>
      </c>
      <c r="W329">
        <v>0</v>
      </c>
      <c r="X329" t="s">
        <v>44</v>
      </c>
      <c r="Y329">
        <v>0</v>
      </c>
      <c r="Z329" t="s">
        <v>31</v>
      </c>
      <c r="AA329">
        <v>0</v>
      </c>
      <c r="AB329" t="s">
        <v>31</v>
      </c>
      <c r="AC329">
        <v>0</v>
      </c>
      <c r="AD329" t="s">
        <v>31</v>
      </c>
      <c r="AE329">
        <v>0</v>
      </c>
      <c r="AF329" t="s">
        <v>31</v>
      </c>
      <c r="AG329">
        <v>0</v>
      </c>
    </row>
    <row r="330" spans="1:33" x14ac:dyDescent="0.2">
      <c r="A330" t="s">
        <v>381</v>
      </c>
      <c r="B330" s="3">
        <v>44356</v>
      </c>
      <c r="C330">
        <v>130</v>
      </c>
      <c r="D330" t="s">
        <v>398</v>
      </c>
      <c r="E330" t="s">
        <v>195</v>
      </c>
      <c r="F330" s="9" t="s">
        <v>236</v>
      </c>
      <c r="G330" t="s">
        <v>197</v>
      </c>
      <c r="H330" t="s">
        <v>41</v>
      </c>
      <c r="I330" t="s">
        <v>42</v>
      </c>
      <c r="J330" t="s">
        <v>43</v>
      </c>
      <c r="K330" t="s">
        <v>44</v>
      </c>
      <c r="L330" t="s">
        <v>53</v>
      </c>
      <c r="M330" t="s">
        <v>54</v>
      </c>
      <c r="N330" t="s">
        <v>41</v>
      </c>
      <c r="O330" t="s">
        <v>42</v>
      </c>
      <c r="P330" t="s">
        <v>43</v>
      </c>
      <c r="Q330" t="s">
        <v>44</v>
      </c>
      <c r="R330" s="1">
        <v>44356.40898148148</v>
      </c>
      <c r="S330" s="1">
        <v>44356.40898148148</v>
      </c>
      <c r="T330">
        <v>1</v>
      </c>
      <c r="U330">
        <v>1</v>
      </c>
      <c r="V330" s="2">
        <v>1</v>
      </c>
      <c r="W330">
        <v>1</v>
      </c>
      <c r="X330" t="s">
        <v>54</v>
      </c>
      <c r="Y330">
        <v>1</v>
      </c>
      <c r="Z330" t="s">
        <v>31</v>
      </c>
      <c r="AA330">
        <v>0</v>
      </c>
      <c r="AB330" t="s">
        <v>31</v>
      </c>
      <c r="AC330">
        <v>0</v>
      </c>
      <c r="AD330" t="s">
        <v>31</v>
      </c>
      <c r="AE330">
        <v>0</v>
      </c>
      <c r="AF330" t="s">
        <v>31</v>
      </c>
      <c r="AG330">
        <v>0</v>
      </c>
    </row>
    <row r="331" spans="1:33" x14ac:dyDescent="0.2">
      <c r="A331" t="s">
        <v>381</v>
      </c>
      <c r="B331" s="3">
        <v>44356</v>
      </c>
      <c r="C331">
        <v>131</v>
      </c>
      <c r="D331" t="s">
        <v>383</v>
      </c>
      <c r="E331" t="s">
        <v>195</v>
      </c>
      <c r="F331" s="9" t="s">
        <v>236</v>
      </c>
      <c r="G331" t="s">
        <v>197</v>
      </c>
      <c r="H331" t="s">
        <v>41</v>
      </c>
      <c r="I331" t="s">
        <v>42</v>
      </c>
      <c r="J331" t="s">
        <v>43</v>
      </c>
      <c r="K331" t="s">
        <v>44</v>
      </c>
      <c r="L331" t="s">
        <v>53</v>
      </c>
      <c r="M331" t="s">
        <v>54</v>
      </c>
      <c r="N331" t="s">
        <v>41</v>
      </c>
      <c r="O331" t="s">
        <v>42</v>
      </c>
      <c r="P331" t="s">
        <v>43</v>
      </c>
      <c r="Q331" t="s">
        <v>44</v>
      </c>
      <c r="R331" s="1">
        <v>44356.56890046296</v>
      </c>
      <c r="S331" s="1">
        <v>44356.568923611114</v>
      </c>
      <c r="T331">
        <v>0</v>
      </c>
      <c r="U331">
        <v>1</v>
      </c>
      <c r="V331" s="2">
        <v>0</v>
      </c>
      <c r="W331">
        <v>0</v>
      </c>
      <c r="X331" t="s">
        <v>183</v>
      </c>
      <c r="Y331">
        <v>0</v>
      </c>
      <c r="Z331" t="s">
        <v>31</v>
      </c>
      <c r="AA331">
        <v>0</v>
      </c>
      <c r="AB331" t="s">
        <v>31</v>
      </c>
      <c r="AC331">
        <v>0</v>
      </c>
      <c r="AD331" t="s">
        <v>31</v>
      </c>
      <c r="AE331">
        <v>0</v>
      </c>
      <c r="AF331" t="s">
        <v>31</v>
      </c>
      <c r="AG331">
        <v>0</v>
      </c>
    </row>
    <row r="332" spans="1:33" x14ac:dyDescent="0.2">
      <c r="A332" t="s">
        <v>381</v>
      </c>
      <c r="B332" s="3">
        <v>44358</v>
      </c>
      <c r="C332">
        <v>133</v>
      </c>
      <c r="D332" t="s">
        <v>390</v>
      </c>
      <c r="E332" t="s">
        <v>195</v>
      </c>
      <c r="F332" s="9" t="s">
        <v>236</v>
      </c>
      <c r="G332" t="s">
        <v>197</v>
      </c>
      <c r="H332" t="s">
        <v>41</v>
      </c>
      <c r="I332" t="s">
        <v>42</v>
      </c>
      <c r="J332" t="s">
        <v>43</v>
      </c>
      <c r="K332" t="s">
        <v>44</v>
      </c>
      <c r="L332" t="s">
        <v>53</v>
      </c>
      <c r="M332" t="s">
        <v>54</v>
      </c>
      <c r="N332" t="s">
        <v>41</v>
      </c>
      <c r="O332" t="s">
        <v>42</v>
      </c>
      <c r="P332" t="s">
        <v>43</v>
      </c>
      <c r="Q332" t="s">
        <v>44</v>
      </c>
      <c r="R332" s="1">
        <v>44358.438946759263</v>
      </c>
      <c r="S332" s="1">
        <v>44358.438946759263</v>
      </c>
      <c r="T332">
        <v>0</v>
      </c>
      <c r="U332">
        <v>1</v>
      </c>
      <c r="V332" s="2">
        <v>0</v>
      </c>
      <c r="W332">
        <v>0</v>
      </c>
      <c r="X332" t="s">
        <v>44</v>
      </c>
      <c r="Y332">
        <v>0</v>
      </c>
      <c r="Z332" t="s">
        <v>31</v>
      </c>
      <c r="AA332">
        <v>0</v>
      </c>
      <c r="AB332" t="s">
        <v>31</v>
      </c>
      <c r="AC332">
        <v>0</v>
      </c>
      <c r="AD332" t="s">
        <v>31</v>
      </c>
      <c r="AE332">
        <v>0</v>
      </c>
      <c r="AF332" t="s">
        <v>31</v>
      </c>
      <c r="AG332">
        <v>0</v>
      </c>
    </row>
    <row r="333" spans="1:33" x14ac:dyDescent="0.2">
      <c r="A333" t="s">
        <v>381</v>
      </c>
      <c r="B333" s="3">
        <v>44361</v>
      </c>
      <c r="C333">
        <v>135</v>
      </c>
      <c r="D333" t="s">
        <v>390</v>
      </c>
      <c r="E333" t="s">
        <v>195</v>
      </c>
      <c r="F333" s="9" t="s">
        <v>236</v>
      </c>
      <c r="G333" t="s">
        <v>197</v>
      </c>
      <c r="H333" t="s">
        <v>41</v>
      </c>
      <c r="I333" t="s">
        <v>42</v>
      </c>
      <c r="J333" t="s">
        <v>43</v>
      </c>
      <c r="K333" t="s">
        <v>44</v>
      </c>
      <c r="L333" t="s">
        <v>53</v>
      </c>
      <c r="M333" t="s">
        <v>54</v>
      </c>
      <c r="N333" t="s">
        <v>41</v>
      </c>
      <c r="O333" t="s">
        <v>42</v>
      </c>
      <c r="P333" t="s">
        <v>43</v>
      </c>
      <c r="Q333" t="s">
        <v>44</v>
      </c>
      <c r="R333" s="1">
        <v>44361.388333333336</v>
      </c>
      <c r="S333" s="1">
        <v>44361.388333333336</v>
      </c>
      <c r="T333">
        <v>0</v>
      </c>
      <c r="U333">
        <v>1</v>
      </c>
      <c r="V333" s="2">
        <v>0</v>
      </c>
      <c r="W333">
        <v>0</v>
      </c>
      <c r="X333" t="s">
        <v>183</v>
      </c>
      <c r="Y333">
        <v>0</v>
      </c>
      <c r="Z333" t="s">
        <v>31</v>
      </c>
      <c r="AA333">
        <v>0</v>
      </c>
      <c r="AB333" t="s">
        <v>31</v>
      </c>
      <c r="AC333">
        <v>0</v>
      </c>
      <c r="AD333" t="s">
        <v>31</v>
      </c>
      <c r="AE333">
        <v>0</v>
      </c>
      <c r="AF333" t="s">
        <v>31</v>
      </c>
      <c r="AG333">
        <v>0</v>
      </c>
    </row>
    <row r="334" spans="1:33" x14ac:dyDescent="0.2">
      <c r="A334" t="s">
        <v>381</v>
      </c>
      <c r="B334" s="3">
        <v>44365</v>
      </c>
      <c r="C334">
        <v>140</v>
      </c>
      <c r="D334" t="s">
        <v>399</v>
      </c>
      <c r="E334" t="s">
        <v>195</v>
      </c>
      <c r="F334" s="9" t="s">
        <v>236</v>
      </c>
      <c r="G334" t="s">
        <v>197</v>
      </c>
      <c r="H334" t="s">
        <v>41</v>
      </c>
      <c r="I334" t="s">
        <v>42</v>
      </c>
      <c r="J334" t="s">
        <v>43</v>
      </c>
      <c r="K334" t="s">
        <v>44</v>
      </c>
      <c r="L334" t="s">
        <v>53</v>
      </c>
      <c r="M334" t="s">
        <v>54</v>
      </c>
      <c r="N334" t="s">
        <v>41</v>
      </c>
      <c r="O334" t="s">
        <v>42</v>
      </c>
      <c r="P334" t="s">
        <v>43</v>
      </c>
      <c r="Q334" t="s">
        <v>44</v>
      </c>
      <c r="R334" s="1">
        <v>44365.54996527778</v>
      </c>
      <c r="S334" s="1">
        <v>44365.550821759258</v>
      </c>
      <c r="T334">
        <v>0</v>
      </c>
      <c r="U334">
        <v>2</v>
      </c>
      <c r="V334" s="2">
        <v>0</v>
      </c>
      <c r="W334">
        <v>0</v>
      </c>
      <c r="X334" t="s">
        <v>44</v>
      </c>
      <c r="Y334">
        <v>0</v>
      </c>
      <c r="Z334" t="s">
        <v>183</v>
      </c>
      <c r="AA334">
        <v>0</v>
      </c>
      <c r="AB334" t="s">
        <v>31</v>
      </c>
      <c r="AC334">
        <v>0</v>
      </c>
      <c r="AD334" t="s">
        <v>31</v>
      </c>
      <c r="AE334">
        <v>0</v>
      </c>
      <c r="AF334" t="s">
        <v>31</v>
      </c>
      <c r="AG334">
        <v>0</v>
      </c>
    </row>
    <row r="335" spans="1:33" x14ac:dyDescent="0.2">
      <c r="A335" t="s">
        <v>381</v>
      </c>
      <c r="B335" s="3">
        <v>44342</v>
      </c>
      <c r="C335">
        <v>112</v>
      </c>
      <c r="D335" t="s">
        <v>394</v>
      </c>
      <c r="E335" t="s">
        <v>239</v>
      </c>
      <c r="F335" s="9" t="s">
        <v>240</v>
      </c>
      <c r="G335" t="s">
        <v>197</v>
      </c>
      <c r="H335" t="s">
        <v>155</v>
      </c>
      <c r="I335" t="s">
        <v>156</v>
      </c>
      <c r="J335" t="s">
        <v>198</v>
      </c>
      <c r="K335" t="s">
        <v>183</v>
      </c>
      <c r="L335" t="s">
        <v>198</v>
      </c>
      <c r="M335" t="s">
        <v>183</v>
      </c>
      <c r="N335" t="s">
        <v>41</v>
      </c>
      <c r="O335" t="s">
        <v>42</v>
      </c>
      <c r="P335" t="s">
        <v>43</v>
      </c>
      <c r="Q335" t="s">
        <v>44</v>
      </c>
      <c r="R335" s="1">
        <v>44342.438240740739</v>
      </c>
      <c r="S335" s="1">
        <v>44342.439467592594</v>
      </c>
      <c r="T335">
        <v>1</v>
      </c>
      <c r="U335">
        <v>1</v>
      </c>
      <c r="V335" s="2">
        <v>1</v>
      </c>
      <c r="W335">
        <v>0</v>
      </c>
      <c r="X335" t="s">
        <v>183</v>
      </c>
      <c r="Y335">
        <v>0</v>
      </c>
      <c r="Z335" t="s">
        <v>31</v>
      </c>
      <c r="AA335">
        <v>0</v>
      </c>
      <c r="AB335" t="s">
        <v>31</v>
      </c>
      <c r="AC335">
        <v>0</v>
      </c>
      <c r="AD335" t="s">
        <v>31</v>
      </c>
      <c r="AE335">
        <v>0</v>
      </c>
      <c r="AF335" t="s">
        <v>31</v>
      </c>
      <c r="AG335">
        <v>0</v>
      </c>
    </row>
    <row r="336" spans="1:33" x14ac:dyDescent="0.2">
      <c r="A336" t="s">
        <v>381</v>
      </c>
      <c r="B336" s="3">
        <v>44342</v>
      </c>
      <c r="C336">
        <v>112</v>
      </c>
      <c r="D336" t="s">
        <v>394</v>
      </c>
      <c r="E336" t="s">
        <v>239</v>
      </c>
      <c r="F336" s="9" t="s">
        <v>241</v>
      </c>
      <c r="G336" t="s">
        <v>197</v>
      </c>
      <c r="H336" t="s">
        <v>155</v>
      </c>
      <c r="I336" t="s">
        <v>156</v>
      </c>
      <c r="J336" t="s">
        <v>198</v>
      </c>
      <c r="K336" t="s">
        <v>183</v>
      </c>
      <c r="L336" t="s">
        <v>198</v>
      </c>
      <c r="M336" t="s">
        <v>183</v>
      </c>
      <c r="N336" t="s">
        <v>41</v>
      </c>
      <c r="O336" t="s">
        <v>42</v>
      </c>
      <c r="P336" t="s">
        <v>43</v>
      </c>
      <c r="Q336" t="s">
        <v>44</v>
      </c>
      <c r="R336" s="1">
        <v>44342.438252314816</v>
      </c>
      <c r="S336" s="1">
        <v>44342.43959490741</v>
      </c>
      <c r="T336">
        <v>1</v>
      </c>
      <c r="U336">
        <v>1</v>
      </c>
      <c r="V336" s="2">
        <v>1</v>
      </c>
      <c r="W336">
        <v>0</v>
      </c>
      <c r="X336" t="s">
        <v>183</v>
      </c>
      <c r="Y336">
        <v>0</v>
      </c>
      <c r="Z336" t="s">
        <v>31</v>
      </c>
      <c r="AA336">
        <v>0</v>
      </c>
      <c r="AB336" t="s">
        <v>31</v>
      </c>
      <c r="AC336">
        <v>0</v>
      </c>
      <c r="AD336" t="s">
        <v>31</v>
      </c>
      <c r="AE336">
        <v>0</v>
      </c>
      <c r="AF336" t="s">
        <v>31</v>
      </c>
      <c r="AG336">
        <v>0</v>
      </c>
    </row>
    <row r="337" spans="1:33" x14ac:dyDescent="0.2">
      <c r="A337" t="s">
        <v>381</v>
      </c>
      <c r="B337" s="3">
        <v>44342</v>
      </c>
      <c r="C337">
        <v>112</v>
      </c>
      <c r="D337" t="s">
        <v>394</v>
      </c>
      <c r="E337" t="s">
        <v>239</v>
      </c>
      <c r="F337" s="9" t="s">
        <v>233</v>
      </c>
      <c r="G337" t="s">
        <v>197</v>
      </c>
      <c r="H337" t="s">
        <v>155</v>
      </c>
      <c r="I337" t="s">
        <v>156</v>
      </c>
      <c r="J337" t="s">
        <v>198</v>
      </c>
      <c r="K337" t="s">
        <v>183</v>
      </c>
      <c r="L337" t="s">
        <v>198</v>
      </c>
      <c r="M337" t="s">
        <v>183</v>
      </c>
      <c r="N337" t="s">
        <v>41</v>
      </c>
      <c r="O337" t="s">
        <v>42</v>
      </c>
      <c r="P337" t="s">
        <v>43</v>
      </c>
      <c r="Q337" t="s">
        <v>44</v>
      </c>
      <c r="R337" s="1">
        <v>44342.438252314816</v>
      </c>
      <c r="S337" s="1">
        <v>44342.439641203702</v>
      </c>
      <c r="T337">
        <v>1</v>
      </c>
      <c r="U337">
        <v>1</v>
      </c>
      <c r="V337" s="2">
        <v>1</v>
      </c>
      <c r="W337">
        <v>0</v>
      </c>
      <c r="X337" t="s">
        <v>183</v>
      </c>
      <c r="Y337">
        <v>0</v>
      </c>
      <c r="Z337" t="s">
        <v>31</v>
      </c>
      <c r="AA337">
        <v>0</v>
      </c>
      <c r="AB337" t="s">
        <v>31</v>
      </c>
      <c r="AC337">
        <v>0</v>
      </c>
      <c r="AD337" t="s">
        <v>31</v>
      </c>
      <c r="AE337">
        <v>0</v>
      </c>
      <c r="AF337" t="s">
        <v>31</v>
      </c>
      <c r="AG337">
        <v>0</v>
      </c>
    </row>
    <row r="338" spans="1:33" x14ac:dyDescent="0.2">
      <c r="A338" t="s">
        <v>381</v>
      </c>
      <c r="B338" s="3">
        <v>44342</v>
      </c>
      <c r="C338">
        <v>112</v>
      </c>
      <c r="D338" t="s">
        <v>394</v>
      </c>
      <c r="E338" t="s">
        <v>239</v>
      </c>
      <c r="F338" s="9" t="s">
        <v>242</v>
      </c>
      <c r="G338" t="s">
        <v>197</v>
      </c>
      <c r="H338" t="s">
        <v>155</v>
      </c>
      <c r="I338" t="s">
        <v>156</v>
      </c>
      <c r="J338" t="s">
        <v>198</v>
      </c>
      <c r="K338" t="s">
        <v>183</v>
      </c>
      <c r="L338" t="s">
        <v>198</v>
      </c>
      <c r="M338" t="s">
        <v>183</v>
      </c>
      <c r="N338" t="s">
        <v>41</v>
      </c>
      <c r="O338" t="s">
        <v>42</v>
      </c>
      <c r="P338" t="s">
        <v>43</v>
      </c>
      <c r="Q338" t="s">
        <v>44</v>
      </c>
      <c r="R338" s="1">
        <v>44342.438263888886</v>
      </c>
      <c r="S338" s="1">
        <v>44342.439675925925</v>
      </c>
      <c r="T338">
        <v>1</v>
      </c>
      <c r="U338">
        <v>1</v>
      </c>
      <c r="V338" s="2">
        <v>1</v>
      </c>
      <c r="W338">
        <v>0</v>
      </c>
      <c r="X338" t="s">
        <v>183</v>
      </c>
      <c r="Y338">
        <v>0</v>
      </c>
      <c r="Z338" t="s">
        <v>31</v>
      </c>
      <c r="AA338">
        <v>0</v>
      </c>
      <c r="AB338" t="s">
        <v>31</v>
      </c>
      <c r="AC338">
        <v>0</v>
      </c>
      <c r="AD338" t="s">
        <v>31</v>
      </c>
      <c r="AE338">
        <v>0</v>
      </c>
      <c r="AF338" t="s">
        <v>31</v>
      </c>
      <c r="AG338">
        <v>0</v>
      </c>
    </row>
    <row r="339" spans="1:33" x14ac:dyDescent="0.2">
      <c r="A339" t="s">
        <v>381</v>
      </c>
      <c r="B339" s="3">
        <v>44342</v>
      </c>
      <c r="C339">
        <v>112</v>
      </c>
      <c r="D339" t="s">
        <v>394</v>
      </c>
      <c r="E339" t="s">
        <v>239</v>
      </c>
      <c r="F339" s="9" t="s">
        <v>243</v>
      </c>
      <c r="G339" t="s">
        <v>197</v>
      </c>
      <c r="H339" t="s">
        <v>155</v>
      </c>
      <c r="I339" t="s">
        <v>156</v>
      </c>
      <c r="J339" t="s">
        <v>198</v>
      </c>
      <c r="K339" t="s">
        <v>183</v>
      </c>
      <c r="L339" t="s">
        <v>198</v>
      </c>
      <c r="M339" t="s">
        <v>183</v>
      </c>
      <c r="N339" t="s">
        <v>41</v>
      </c>
      <c r="O339" t="s">
        <v>42</v>
      </c>
      <c r="P339" t="s">
        <v>43</v>
      </c>
      <c r="Q339" t="s">
        <v>44</v>
      </c>
      <c r="R339" s="1">
        <v>44342.438275462962</v>
      </c>
      <c r="S339" s="1">
        <v>44342.439722222225</v>
      </c>
      <c r="T339">
        <v>1</v>
      </c>
      <c r="U339">
        <v>1</v>
      </c>
      <c r="V339" s="2">
        <v>1</v>
      </c>
      <c r="W339">
        <v>0</v>
      </c>
      <c r="X339" t="s">
        <v>183</v>
      </c>
      <c r="Y339">
        <v>0</v>
      </c>
      <c r="Z339" t="s">
        <v>31</v>
      </c>
      <c r="AA339">
        <v>0</v>
      </c>
      <c r="AB339" t="s">
        <v>31</v>
      </c>
      <c r="AC339">
        <v>0</v>
      </c>
      <c r="AD339" t="s">
        <v>31</v>
      </c>
      <c r="AE339">
        <v>0</v>
      </c>
      <c r="AF339" t="s">
        <v>31</v>
      </c>
      <c r="AG339">
        <v>0</v>
      </c>
    </row>
    <row r="340" spans="1:33" x14ac:dyDescent="0.2">
      <c r="A340" t="s">
        <v>381</v>
      </c>
      <c r="B340" s="3">
        <v>44342</v>
      </c>
      <c r="C340">
        <v>112</v>
      </c>
      <c r="D340" t="s">
        <v>394</v>
      </c>
      <c r="E340" t="s">
        <v>239</v>
      </c>
      <c r="F340" s="9" t="s">
        <v>244</v>
      </c>
      <c r="G340" t="s">
        <v>197</v>
      </c>
      <c r="H340" t="s">
        <v>155</v>
      </c>
      <c r="I340" t="s">
        <v>156</v>
      </c>
      <c r="J340" t="s">
        <v>198</v>
      </c>
      <c r="K340" t="s">
        <v>183</v>
      </c>
      <c r="L340" t="s">
        <v>198</v>
      </c>
      <c r="M340" t="s">
        <v>183</v>
      </c>
      <c r="N340" t="s">
        <v>41</v>
      </c>
      <c r="O340" t="s">
        <v>42</v>
      </c>
      <c r="P340" t="s">
        <v>43</v>
      </c>
      <c r="Q340" t="s">
        <v>44</v>
      </c>
      <c r="R340" s="1">
        <v>44342.438287037039</v>
      </c>
      <c r="S340" s="1">
        <v>44342.439756944441</v>
      </c>
      <c r="T340">
        <v>1</v>
      </c>
      <c r="U340">
        <v>1</v>
      </c>
      <c r="V340" s="2">
        <v>1</v>
      </c>
      <c r="W340">
        <v>0</v>
      </c>
      <c r="X340" t="s">
        <v>183</v>
      </c>
      <c r="Y340">
        <v>0</v>
      </c>
      <c r="Z340" t="s">
        <v>31</v>
      </c>
      <c r="AA340">
        <v>0</v>
      </c>
      <c r="AB340" t="s">
        <v>31</v>
      </c>
      <c r="AC340">
        <v>0</v>
      </c>
      <c r="AD340" t="s">
        <v>31</v>
      </c>
      <c r="AE340">
        <v>0</v>
      </c>
      <c r="AF340" t="s">
        <v>31</v>
      </c>
      <c r="AG340">
        <v>0</v>
      </c>
    </row>
    <row r="341" spans="1:33" x14ac:dyDescent="0.2">
      <c r="A341" t="s">
        <v>381</v>
      </c>
      <c r="B341" s="3">
        <v>44342</v>
      </c>
      <c r="C341">
        <v>112</v>
      </c>
      <c r="D341" t="s">
        <v>394</v>
      </c>
      <c r="E341" t="s">
        <v>239</v>
      </c>
      <c r="F341" s="9" t="s">
        <v>245</v>
      </c>
      <c r="G341" t="s">
        <v>197</v>
      </c>
      <c r="H341" t="s">
        <v>155</v>
      </c>
      <c r="I341" t="s">
        <v>156</v>
      </c>
      <c r="J341" t="s">
        <v>198</v>
      </c>
      <c r="K341" t="s">
        <v>183</v>
      </c>
      <c r="L341" t="s">
        <v>198</v>
      </c>
      <c r="M341" t="s">
        <v>183</v>
      </c>
      <c r="N341" t="s">
        <v>41</v>
      </c>
      <c r="O341" t="s">
        <v>42</v>
      </c>
      <c r="P341" t="s">
        <v>43</v>
      </c>
      <c r="Q341" t="s">
        <v>44</v>
      </c>
      <c r="R341" s="1">
        <v>44342.438298611109</v>
      </c>
      <c r="S341" s="1">
        <v>44342.439791666664</v>
      </c>
      <c r="T341">
        <v>1</v>
      </c>
      <c r="U341">
        <v>1</v>
      </c>
      <c r="V341" s="2">
        <v>1</v>
      </c>
      <c r="W341">
        <v>0</v>
      </c>
      <c r="X341" t="s">
        <v>183</v>
      </c>
      <c r="Y341">
        <v>0</v>
      </c>
      <c r="Z341" t="s">
        <v>31</v>
      </c>
      <c r="AA341">
        <v>0</v>
      </c>
      <c r="AB341" t="s">
        <v>31</v>
      </c>
      <c r="AC341">
        <v>0</v>
      </c>
      <c r="AD341" t="s">
        <v>31</v>
      </c>
      <c r="AE341">
        <v>0</v>
      </c>
      <c r="AF341" t="s">
        <v>31</v>
      </c>
      <c r="AG341">
        <v>0</v>
      </c>
    </row>
    <row r="342" spans="1:33" x14ac:dyDescent="0.2">
      <c r="A342" t="s">
        <v>381</v>
      </c>
      <c r="B342" s="3">
        <v>44342</v>
      </c>
      <c r="C342">
        <v>112</v>
      </c>
      <c r="D342" t="s">
        <v>394</v>
      </c>
      <c r="E342" t="s">
        <v>239</v>
      </c>
      <c r="F342" s="9" t="s">
        <v>246</v>
      </c>
      <c r="G342" t="s">
        <v>197</v>
      </c>
      <c r="H342" t="s">
        <v>155</v>
      </c>
      <c r="I342" t="s">
        <v>156</v>
      </c>
      <c r="J342" t="s">
        <v>198</v>
      </c>
      <c r="K342" t="s">
        <v>183</v>
      </c>
      <c r="L342" t="s">
        <v>198</v>
      </c>
      <c r="M342" t="s">
        <v>183</v>
      </c>
      <c r="N342" t="s">
        <v>41</v>
      </c>
      <c r="O342" t="s">
        <v>42</v>
      </c>
      <c r="P342" t="s">
        <v>43</v>
      </c>
      <c r="Q342" t="s">
        <v>44</v>
      </c>
      <c r="R342" s="1">
        <v>44342.439386574071</v>
      </c>
      <c r="S342" s="1">
        <v>44342.439837962964</v>
      </c>
      <c r="T342">
        <v>1</v>
      </c>
      <c r="U342">
        <v>1</v>
      </c>
      <c r="V342" s="2">
        <v>1</v>
      </c>
      <c r="W342">
        <v>0</v>
      </c>
      <c r="X342" t="s">
        <v>183</v>
      </c>
      <c r="Y342">
        <v>0</v>
      </c>
      <c r="Z342" t="s">
        <v>31</v>
      </c>
      <c r="AA342">
        <v>0</v>
      </c>
      <c r="AB342" t="s">
        <v>31</v>
      </c>
      <c r="AC342">
        <v>0</v>
      </c>
      <c r="AD342" t="s">
        <v>31</v>
      </c>
      <c r="AE342">
        <v>0</v>
      </c>
      <c r="AF342" t="s">
        <v>31</v>
      </c>
      <c r="AG342">
        <v>0</v>
      </c>
    </row>
    <row r="343" spans="1:33" x14ac:dyDescent="0.2">
      <c r="A343" t="s">
        <v>381</v>
      </c>
      <c r="B343" s="3">
        <v>44342</v>
      </c>
      <c r="C343">
        <v>112</v>
      </c>
      <c r="D343" t="s">
        <v>394</v>
      </c>
      <c r="E343" t="s">
        <v>239</v>
      </c>
      <c r="F343" s="9" t="s">
        <v>247</v>
      </c>
      <c r="G343" t="s">
        <v>197</v>
      </c>
      <c r="H343" t="s">
        <v>155</v>
      </c>
      <c r="I343" t="s">
        <v>156</v>
      </c>
      <c r="J343" t="s">
        <v>198</v>
      </c>
      <c r="K343" t="s">
        <v>183</v>
      </c>
      <c r="L343" t="s">
        <v>198</v>
      </c>
      <c r="M343" t="s">
        <v>183</v>
      </c>
      <c r="N343" t="s">
        <v>41</v>
      </c>
      <c r="O343" t="s">
        <v>42</v>
      </c>
      <c r="P343" t="s">
        <v>43</v>
      </c>
      <c r="Q343" t="s">
        <v>44</v>
      </c>
      <c r="R343" s="1">
        <v>44342.439398148148</v>
      </c>
      <c r="S343" s="1">
        <v>44342.439884259256</v>
      </c>
      <c r="T343">
        <v>1</v>
      </c>
      <c r="U343">
        <v>1</v>
      </c>
      <c r="V343" s="2">
        <v>1</v>
      </c>
      <c r="W343">
        <v>0</v>
      </c>
      <c r="X343" t="s">
        <v>183</v>
      </c>
      <c r="Y343">
        <v>0</v>
      </c>
      <c r="Z343" t="s">
        <v>31</v>
      </c>
      <c r="AA343">
        <v>0</v>
      </c>
      <c r="AB343" t="s">
        <v>31</v>
      </c>
      <c r="AC343">
        <v>0</v>
      </c>
      <c r="AD343" t="s">
        <v>31</v>
      </c>
      <c r="AE343">
        <v>0</v>
      </c>
      <c r="AF343" t="s">
        <v>31</v>
      </c>
      <c r="AG343">
        <v>0</v>
      </c>
    </row>
    <row r="344" spans="1:33" x14ac:dyDescent="0.2">
      <c r="A344" t="s">
        <v>381</v>
      </c>
      <c r="B344" s="3">
        <v>44302</v>
      </c>
      <c r="C344">
        <v>64</v>
      </c>
      <c r="D344" t="s">
        <v>390</v>
      </c>
      <c r="E344" t="s">
        <v>222</v>
      </c>
      <c r="F344" s="9" t="s">
        <v>223</v>
      </c>
      <c r="G344" t="s">
        <v>197</v>
      </c>
      <c r="H344" t="s">
        <v>155</v>
      </c>
      <c r="I344" t="s">
        <v>156</v>
      </c>
      <c r="J344" t="s">
        <v>198</v>
      </c>
      <c r="K344" t="s">
        <v>183</v>
      </c>
      <c r="L344" t="s">
        <v>198</v>
      </c>
      <c r="M344" t="s">
        <v>183</v>
      </c>
      <c r="N344" t="s">
        <v>41</v>
      </c>
      <c r="O344" t="s">
        <v>42</v>
      </c>
      <c r="P344" t="s">
        <v>43</v>
      </c>
      <c r="Q344" t="s">
        <v>44</v>
      </c>
      <c r="R344" s="1">
        <v>44302.446932870371</v>
      </c>
      <c r="S344" s="1">
        <v>44302.446932870371</v>
      </c>
      <c r="T344">
        <v>1</v>
      </c>
      <c r="U344">
        <v>1</v>
      </c>
      <c r="V344" s="2">
        <v>1</v>
      </c>
      <c r="W344">
        <v>0</v>
      </c>
      <c r="X344" t="s">
        <v>183</v>
      </c>
      <c r="Y344">
        <v>0</v>
      </c>
      <c r="Z344" t="s">
        <v>31</v>
      </c>
      <c r="AA344">
        <v>0</v>
      </c>
      <c r="AB344" t="s">
        <v>31</v>
      </c>
      <c r="AC344">
        <v>0</v>
      </c>
      <c r="AD344" t="s">
        <v>31</v>
      </c>
      <c r="AE344">
        <v>0</v>
      </c>
      <c r="AF344" t="s">
        <v>31</v>
      </c>
      <c r="AG344">
        <v>0</v>
      </c>
    </row>
    <row r="345" spans="1:33" x14ac:dyDescent="0.2">
      <c r="A345" t="s">
        <v>381</v>
      </c>
      <c r="B345" s="3">
        <v>44319</v>
      </c>
      <c r="C345">
        <v>84</v>
      </c>
      <c r="D345" t="s">
        <v>390</v>
      </c>
      <c r="E345" t="s">
        <v>222</v>
      </c>
      <c r="F345" s="9" t="s">
        <v>223</v>
      </c>
      <c r="G345" t="s">
        <v>197</v>
      </c>
      <c r="H345" t="s">
        <v>41</v>
      </c>
      <c r="I345" t="s">
        <v>42</v>
      </c>
      <c r="J345" t="s">
        <v>43</v>
      </c>
      <c r="K345" t="s">
        <v>44</v>
      </c>
      <c r="L345" t="s">
        <v>53</v>
      </c>
      <c r="M345" t="s">
        <v>54</v>
      </c>
      <c r="N345" t="s">
        <v>41</v>
      </c>
      <c r="O345" t="s">
        <v>42</v>
      </c>
      <c r="P345" t="s">
        <v>43</v>
      </c>
      <c r="Q345" t="s">
        <v>44</v>
      </c>
      <c r="R345" s="1">
        <v>44319.438055555554</v>
      </c>
      <c r="S345" s="1">
        <v>44319.438055555554</v>
      </c>
      <c r="T345">
        <v>0</v>
      </c>
      <c r="U345">
        <v>1</v>
      </c>
      <c r="V345" s="2">
        <v>0</v>
      </c>
      <c r="W345">
        <v>0</v>
      </c>
      <c r="X345" t="s">
        <v>183</v>
      </c>
      <c r="Y345">
        <v>0</v>
      </c>
      <c r="Z345" t="s">
        <v>31</v>
      </c>
      <c r="AA345">
        <v>0</v>
      </c>
      <c r="AB345" t="s">
        <v>31</v>
      </c>
      <c r="AC345">
        <v>0</v>
      </c>
      <c r="AD345" t="s">
        <v>31</v>
      </c>
      <c r="AE345">
        <v>0</v>
      </c>
      <c r="AF345" t="s">
        <v>31</v>
      </c>
      <c r="AG345">
        <v>0</v>
      </c>
    </row>
    <row r="346" spans="1:33" x14ac:dyDescent="0.2">
      <c r="A346" t="s">
        <v>381</v>
      </c>
      <c r="B346" s="3">
        <v>44320</v>
      </c>
      <c r="C346">
        <v>87</v>
      </c>
      <c r="D346" t="s">
        <v>385</v>
      </c>
      <c r="E346" t="s">
        <v>222</v>
      </c>
      <c r="F346" s="9" t="s">
        <v>223</v>
      </c>
      <c r="G346" t="s">
        <v>197</v>
      </c>
      <c r="H346" t="s">
        <v>41</v>
      </c>
      <c r="I346" t="s">
        <v>42</v>
      </c>
      <c r="J346" t="s">
        <v>43</v>
      </c>
      <c r="K346" t="s">
        <v>44</v>
      </c>
      <c r="L346" t="s">
        <v>53</v>
      </c>
      <c r="M346" t="s">
        <v>54</v>
      </c>
      <c r="N346" t="s">
        <v>41</v>
      </c>
      <c r="O346" t="s">
        <v>42</v>
      </c>
      <c r="P346" t="s">
        <v>43</v>
      </c>
      <c r="Q346" t="s">
        <v>44</v>
      </c>
      <c r="R346" s="1">
        <v>44320.623483796298</v>
      </c>
      <c r="S346" s="1">
        <v>44320.623483796298</v>
      </c>
      <c r="T346">
        <v>0</v>
      </c>
      <c r="U346">
        <v>1</v>
      </c>
      <c r="V346" s="2">
        <v>0</v>
      </c>
      <c r="W346">
        <v>0</v>
      </c>
      <c r="X346" t="s">
        <v>183</v>
      </c>
      <c r="Y346">
        <v>0</v>
      </c>
      <c r="Z346" t="s">
        <v>31</v>
      </c>
      <c r="AA346">
        <v>0</v>
      </c>
      <c r="AB346" t="s">
        <v>31</v>
      </c>
      <c r="AC346">
        <v>0</v>
      </c>
      <c r="AD346" t="s">
        <v>31</v>
      </c>
      <c r="AE346">
        <v>0</v>
      </c>
      <c r="AF346" t="s">
        <v>31</v>
      </c>
      <c r="AG346">
        <v>0</v>
      </c>
    </row>
    <row r="347" spans="1:33" x14ac:dyDescent="0.2">
      <c r="A347" t="s">
        <v>381</v>
      </c>
      <c r="B347" s="3">
        <v>44334</v>
      </c>
      <c r="C347">
        <v>99</v>
      </c>
      <c r="D347" t="s">
        <v>385</v>
      </c>
      <c r="E347" t="s">
        <v>222</v>
      </c>
      <c r="F347" s="9" t="s">
        <v>223</v>
      </c>
      <c r="G347" t="s">
        <v>197</v>
      </c>
      <c r="H347" t="s">
        <v>41</v>
      </c>
      <c r="I347" t="s">
        <v>42</v>
      </c>
      <c r="J347" t="s">
        <v>43</v>
      </c>
      <c r="K347" t="s">
        <v>44</v>
      </c>
      <c r="L347" t="s">
        <v>53</v>
      </c>
      <c r="M347" t="s">
        <v>54</v>
      </c>
      <c r="N347" t="s">
        <v>41</v>
      </c>
      <c r="O347" t="s">
        <v>42</v>
      </c>
      <c r="P347" t="s">
        <v>43</v>
      </c>
      <c r="Q347" t="s">
        <v>44</v>
      </c>
      <c r="R347" s="1">
        <v>44334.629826388889</v>
      </c>
      <c r="S347" s="1">
        <v>44334.629826388889</v>
      </c>
      <c r="T347">
        <v>0</v>
      </c>
      <c r="U347">
        <v>1</v>
      </c>
      <c r="V347" s="2">
        <v>0</v>
      </c>
      <c r="W347">
        <v>0</v>
      </c>
      <c r="X347" t="s">
        <v>183</v>
      </c>
      <c r="Y347">
        <v>0</v>
      </c>
      <c r="Z347" t="s">
        <v>31</v>
      </c>
      <c r="AA347">
        <v>0</v>
      </c>
      <c r="AB347" t="s">
        <v>31</v>
      </c>
      <c r="AC347">
        <v>0</v>
      </c>
      <c r="AD347" t="s">
        <v>31</v>
      </c>
      <c r="AE347">
        <v>0</v>
      </c>
      <c r="AF347" t="s">
        <v>31</v>
      </c>
      <c r="AG347">
        <v>0</v>
      </c>
    </row>
    <row r="348" spans="1:33" x14ac:dyDescent="0.2">
      <c r="A348" t="s">
        <v>381</v>
      </c>
      <c r="B348" s="3">
        <v>44335</v>
      </c>
      <c r="C348">
        <v>100</v>
      </c>
      <c r="D348" t="s">
        <v>398</v>
      </c>
      <c r="E348" t="s">
        <v>222</v>
      </c>
      <c r="F348" s="9" t="s">
        <v>223</v>
      </c>
      <c r="G348" t="s">
        <v>197</v>
      </c>
      <c r="H348" t="s">
        <v>41</v>
      </c>
      <c r="I348" t="s">
        <v>42</v>
      </c>
      <c r="J348" t="s">
        <v>43</v>
      </c>
      <c r="K348" t="s">
        <v>44</v>
      </c>
      <c r="L348" t="s">
        <v>53</v>
      </c>
      <c r="M348" t="s">
        <v>54</v>
      </c>
      <c r="N348" t="s">
        <v>41</v>
      </c>
      <c r="O348" t="s">
        <v>42</v>
      </c>
      <c r="P348" t="s">
        <v>43</v>
      </c>
      <c r="Q348" t="s">
        <v>44</v>
      </c>
      <c r="R348" s="1">
        <v>44335.478726851848</v>
      </c>
      <c r="S348" s="1">
        <v>44335.478726851848</v>
      </c>
      <c r="T348">
        <v>0</v>
      </c>
      <c r="U348">
        <v>1</v>
      </c>
      <c r="V348" s="2">
        <v>0</v>
      </c>
      <c r="W348">
        <v>0</v>
      </c>
      <c r="X348" t="s">
        <v>183</v>
      </c>
      <c r="Y348">
        <v>0</v>
      </c>
      <c r="Z348" t="s">
        <v>31</v>
      </c>
      <c r="AA348">
        <v>0</v>
      </c>
      <c r="AB348" t="s">
        <v>31</v>
      </c>
      <c r="AC348">
        <v>0</v>
      </c>
      <c r="AD348" t="s">
        <v>31</v>
      </c>
      <c r="AE348">
        <v>0</v>
      </c>
      <c r="AF348" t="s">
        <v>31</v>
      </c>
      <c r="AG348">
        <v>0</v>
      </c>
    </row>
    <row r="349" spans="1:33" x14ac:dyDescent="0.2">
      <c r="A349" t="s">
        <v>381</v>
      </c>
      <c r="B349" s="3">
        <v>44338</v>
      </c>
      <c r="C349">
        <v>107</v>
      </c>
      <c r="D349" t="s">
        <v>392</v>
      </c>
      <c r="E349" t="s">
        <v>222</v>
      </c>
      <c r="F349" s="9" t="s">
        <v>223</v>
      </c>
      <c r="G349" t="s">
        <v>197</v>
      </c>
      <c r="H349" t="s">
        <v>41</v>
      </c>
      <c r="I349" t="s">
        <v>42</v>
      </c>
      <c r="J349" t="s">
        <v>43</v>
      </c>
      <c r="K349" t="s">
        <v>44</v>
      </c>
      <c r="L349" t="s">
        <v>53</v>
      </c>
      <c r="M349" t="s">
        <v>54</v>
      </c>
      <c r="N349" t="s">
        <v>41</v>
      </c>
      <c r="O349" t="s">
        <v>42</v>
      </c>
      <c r="P349" t="s">
        <v>43</v>
      </c>
      <c r="Q349" t="s">
        <v>44</v>
      </c>
      <c r="R349" s="1">
        <v>44338.641747685186</v>
      </c>
      <c r="S349" s="1">
        <v>44338.641747685186</v>
      </c>
      <c r="T349">
        <v>0</v>
      </c>
      <c r="U349">
        <v>1</v>
      </c>
      <c r="V349" s="2">
        <v>0</v>
      </c>
      <c r="W349">
        <v>0</v>
      </c>
      <c r="X349" t="s">
        <v>183</v>
      </c>
      <c r="Y349">
        <v>0</v>
      </c>
      <c r="Z349" t="s">
        <v>31</v>
      </c>
      <c r="AA349">
        <v>0</v>
      </c>
      <c r="AB349" t="s">
        <v>31</v>
      </c>
      <c r="AC349">
        <v>0</v>
      </c>
      <c r="AD349" t="s">
        <v>31</v>
      </c>
      <c r="AE349">
        <v>0</v>
      </c>
      <c r="AF349" t="s">
        <v>31</v>
      </c>
      <c r="AG349">
        <v>0</v>
      </c>
    </row>
    <row r="350" spans="1:33" x14ac:dyDescent="0.2">
      <c r="A350" t="s">
        <v>381</v>
      </c>
      <c r="B350" s="3">
        <v>44340</v>
      </c>
      <c r="C350">
        <v>109</v>
      </c>
      <c r="D350" t="s">
        <v>383</v>
      </c>
      <c r="E350" t="s">
        <v>222</v>
      </c>
      <c r="F350" s="9" t="s">
        <v>223</v>
      </c>
      <c r="G350" t="s">
        <v>197</v>
      </c>
      <c r="H350" t="s">
        <v>41</v>
      </c>
      <c r="I350" t="s">
        <v>42</v>
      </c>
      <c r="J350" t="s">
        <v>43</v>
      </c>
      <c r="K350" t="s">
        <v>44</v>
      </c>
      <c r="L350" t="s">
        <v>53</v>
      </c>
      <c r="M350" t="s">
        <v>54</v>
      </c>
      <c r="N350" t="s">
        <v>41</v>
      </c>
      <c r="O350" t="s">
        <v>42</v>
      </c>
      <c r="P350" t="s">
        <v>43</v>
      </c>
      <c r="Q350" t="s">
        <v>44</v>
      </c>
      <c r="R350" s="1">
        <v>44340.643078703702</v>
      </c>
      <c r="S350" s="1">
        <v>44340.643078703702</v>
      </c>
      <c r="T350">
        <v>0</v>
      </c>
      <c r="U350">
        <v>1</v>
      </c>
      <c r="V350" s="2">
        <v>0</v>
      </c>
      <c r="W350">
        <v>0</v>
      </c>
      <c r="X350" t="s">
        <v>183</v>
      </c>
      <c r="Y350">
        <v>0</v>
      </c>
      <c r="Z350" t="s">
        <v>31</v>
      </c>
      <c r="AA350">
        <v>0</v>
      </c>
      <c r="AB350" t="s">
        <v>31</v>
      </c>
      <c r="AC350">
        <v>0</v>
      </c>
      <c r="AD350" t="s">
        <v>31</v>
      </c>
      <c r="AE350">
        <v>0</v>
      </c>
      <c r="AF350" t="s">
        <v>31</v>
      </c>
      <c r="AG350">
        <v>0</v>
      </c>
    </row>
    <row r="351" spans="1:33" x14ac:dyDescent="0.2">
      <c r="A351" t="s">
        <v>381</v>
      </c>
      <c r="B351" s="3">
        <v>44341</v>
      </c>
      <c r="C351">
        <v>110</v>
      </c>
      <c r="D351" t="s">
        <v>383</v>
      </c>
      <c r="E351" t="s">
        <v>222</v>
      </c>
      <c r="F351" s="9" t="s">
        <v>223</v>
      </c>
      <c r="G351" t="s">
        <v>197</v>
      </c>
      <c r="H351" t="s">
        <v>41</v>
      </c>
      <c r="I351" t="s">
        <v>42</v>
      </c>
      <c r="J351" t="s">
        <v>43</v>
      </c>
      <c r="K351" t="s">
        <v>44</v>
      </c>
      <c r="L351" t="s">
        <v>53</v>
      </c>
      <c r="M351" t="s">
        <v>54</v>
      </c>
      <c r="N351" t="s">
        <v>41</v>
      </c>
      <c r="O351" t="s">
        <v>42</v>
      </c>
      <c r="P351" t="s">
        <v>43</v>
      </c>
      <c r="Q351" t="s">
        <v>44</v>
      </c>
      <c r="R351" s="1">
        <v>44341.457986111112</v>
      </c>
      <c r="S351" s="1">
        <v>44341.457986111112</v>
      </c>
      <c r="T351">
        <v>0</v>
      </c>
      <c r="U351">
        <v>1</v>
      </c>
      <c r="V351" s="2">
        <v>0</v>
      </c>
      <c r="W351">
        <v>0</v>
      </c>
      <c r="X351" t="s">
        <v>183</v>
      </c>
      <c r="Y351">
        <v>0</v>
      </c>
      <c r="Z351" t="s">
        <v>31</v>
      </c>
      <c r="AA351">
        <v>0</v>
      </c>
      <c r="AB351" t="s">
        <v>31</v>
      </c>
      <c r="AC351">
        <v>0</v>
      </c>
      <c r="AD351" t="s">
        <v>31</v>
      </c>
      <c r="AE351">
        <v>0</v>
      </c>
      <c r="AF351" t="s">
        <v>31</v>
      </c>
      <c r="AG351">
        <v>0</v>
      </c>
    </row>
    <row r="352" spans="1:33" x14ac:dyDescent="0.2">
      <c r="A352" t="s">
        <v>381</v>
      </c>
      <c r="B352" s="3">
        <v>44342</v>
      </c>
      <c r="C352">
        <v>112</v>
      </c>
      <c r="D352" t="s">
        <v>394</v>
      </c>
      <c r="E352" t="s">
        <v>222</v>
      </c>
      <c r="F352" s="9" t="s">
        <v>223</v>
      </c>
      <c r="G352" t="s">
        <v>197</v>
      </c>
      <c r="H352" t="s">
        <v>41</v>
      </c>
      <c r="I352" t="s">
        <v>42</v>
      </c>
      <c r="J352" t="s">
        <v>43</v>
      </c>
      <c r="K352" t="s">
        <v>44</v>
      </c>
      <c r="L352" t="s">
        <v>53</v>
      </c>
      <c r="M352" t="s">
        <v>54</v>
      </c>
      <c r="N352" t="s">
        <v>41</v>
      </c>
      <c r="O352" t="s">
        <v>42</v>
      </c>
      <c r="P352" t="s">
        <v>43</v>
      </c>
      <c r="Q352" t="s">
        <v>44</v>
      </c>
      <c r="R352" s="1">
        <v>44342.469421296293</v>
      </c>
      <c r="S352" s="1">
        <v>44342.469421296293</v>
      </c>
      <c r="T352">
        <v>0</v>
      </c>
      <c r="U352">
        <v>1</v>
      </c>
      <c r="V352" s="2">
        <v>0</v>
      </c>
      <c r="W352">
        <v>0</v>
      </c>
      <c r="X352" t="s">
        <v>183</v>
      </c>
      <c r="Y352">
        <v>0</v>
      </c>
      <c r="Z352" t="s">
        <v>31</v>
      </c>
      <c r="AA352">
        <v>0</v>
      </c>
      <c r="AB352" t="s">
        <v>31</v>
      </c>
      <c r="AC352">
        <v>0</v>
      </c>
      <c r="AD352" t="s">
        <v>31</v>
      </c>
      <c r="AE352">
        <v>0</v>
      </c>
      <c r="AF352" t="s">
        <v>31</v>
      </c>
      <c r="AG352">
        <v>0</v>
      </c>
    </row>
    <row r="353" spans="1:33" x14ac:dyDescent="0.2">
      <c r="A353" t="s">
        <v>381</v>
      </c>
      <c r="B353" s="3">
        <v>44342</v>
      </c>
      <c r="C353">
        <v>113</v>
      </c>
      <c r="D353" t="s">
        <v>383</v>
      </c>
      <c r="E353" t="s">
        <v>222</v>
      </c>
      <c r="F353" s="9" t="s">
        <v>223</v>
      </c>
      <c r="G353" t="s">
        <v>197</v>
      </c>
      <c r="H353" t="s">
        <v>41</v>
      </c>
      <c r="I353" t="s">
        <v>42</v>
      </c>
      <c r="J353" t="s">
        <v>43</v>
      </c>
      <c r="K353" t="s">
        <v>44</v>
      </c>
      <c r="L353" t="s">
        <v>53</v>
      </c>
      <c r="M353" t="s">
        <v>54</v>
      </c>
      <c r="N353" t="s">
        <v>41</v>
      </c>
      <c r="O353" t="s">
        <v>42</v>
      </c>
      <c r="P353" t="s">
        <v>43</v>
      </c>
      <c r="Q353" t="s">
        <v>44</v>
      </c>
      <c r="R353" s="1">
        <v>44342.587314814817</v>
      </c>
      <c r="S353" s="1">
        <v>44342.587314814817</v>
      </c>
      <c r="T353">
        <v>0</v>
      </c>
      <c r="U353">
        <v>1</v>
      </c>
      <c r="V353" s="2">
        <v>0</v>
      </c>
      <c r="W353">
        <v>0</v>
      </c>
      <c r="X353" t="s">
        <v>183</v>
      </c>
      <c r="Y353">
        <v>0</v>
      </c>
      <c r="Z353" t="s">
        <v>31</v>
      </c>
      <c r="AA353">
        <v>0</v>
      </c>
      <c r="AB353" t="s">
        <v>31</v>
      </c>
      <c r="AC353">
        <v>0</v>
      </c>
      <c r="AD353" t="s">
        <v>31</v>
      </c>
      <c r="AE353">
        <v>0</v>
      </c>
      <c r="AF353" t="s">
        <v>31</v>
      </c>
      <c r="AG353">
        <v>0</v>
      </c>
    </row>
    <row r="354" spans="1:33" x14ac:dyDescent="0.2">
      <c r="A354" t="s">
        <v>381</v>
      </c>
      <c r="B354" s="3">
        <v>44344</v>
      </c>
      <c r="C354">
        <v>116</v>
      </c>
      <c r="D354" t="s">
        <v>390</v>
      </c>
      <c r="E354" t="s">
        <v>222</v>
      </c>
      <c r="F354" s="9" t="s">
        <v>223</v>
      </c>
      <c r="G354" t="s">
        <v>197</v>
      </c>
      <c r="H354" t="s">
        <v>41</v>
      </c>
      <c r="I354" t="s">
        <v>42</v>
      </c>
      <c r="J354" t="s">
        <v>43</v>
      </c>
      <c r="K354" t="s">
        <v>44</v>
      </c>
      <c r="L354" t="s">
        <v>53</v>
      </c>
      <c r="M354" t="s">
        <v>54</v>
      </c>
      <c r="N354" t="s">
        <v>41</v>
      </c>
      <c r="O354" t="s">
        <v>42</v>
      </c>
      <c r="P354" t="s">
        <v>43</v>
      </c>
      <c r="Q354" t="s">
        <v>44</v>
      </c>
      <c r="R354" s="1">
        <v>44344.477430555555</v>
      </c>
      <c r="S354" s="1">
        <v>44344.477430555555</v>
      </c>
      <c r="T354">
        <v>0</v>
      </c>
      <c r="U354">
        <v>1</v>
      </c>
      <c r="V354" s="2">
        <v>0</v>
      </c>
      <c r="W354">
        <v>0</v>
      </c>
      <c r="X354" t="s">
        <v>183</v>
      </c>
      <c r="Y354">
        <v>0</v>
      </c>
      <c r="Z354" t="s">
        <v>31</v>
      </c>
      <c r="AA354">
        <v>0</v>
      </c>
      <c r="AB354" t="s">
        <v>31</v>
      </c>
      <c r="AC354">
        <v>0</v>
      </c>
      <c r="AD354" t="s">
        <v>31</v>
      </c>
      <c r="AE354">
        <v>0</v>
      </c>
      <c r="AF354" t="s">
        <v>31</v>
      </c>
      <c r="AG354">
        <v>0</v>
      </c>
    </row>
    <row r="355" spans="1:33" x14ac:dyDescent="0.2">
      <c r="A355" t="s">
        <v>381</v>
      </c>
      <c r="B355" s="3">
        <v>44349</v>
      </c>
      <c r="C355">
        <v>120</v>
      </c>
      <c r="D355" t="s">
        <v>398</v>
      </c>
      <c r="E355" t="s">
        <v>222</v>
      </c>
      <c r="F355" s="9" t="s">
        <v>223</v>
      </c>
      <c r="G355" t="s">
        <v>197</v>
      </c>
      <c r="H355" t="s">
        <v>41</v>
      </c>
      <c r="I355" t="s">
        <v>42</v>
      </c>
      <c r="J355" t="s">
        <v>43</v>
      </c>
      <c r="K355" t="s">
        <v>44</v>
      </c>
      <c r="L355" t="s">
        <v>53</v>
      </c>
      <c r="M355" t="s">
        <v>54</v>
      </c>
      <c r="N355" t="s">
        <v>41</v>
      </c>
      <c r="O355" t="s">
        <v>42</v>
      </c>
      <c r="P355" t="s">
        <v>43</v>
      </c>
      <c r="Q355" t="s">
        <v>44</v>
      </c>
      <c r="R355" s="1">
        <v>44349.483020833337</v>
      </c>
      <c r="S355" s="1">
        <v>44349.483032407406</v>
      </c>
      <c r="T355">
        <v>0</v>
      </c>
      <c r="U355">
        <v>2</v>
      </c>
      <c r="V355" s="2">
        <v>0</v>
      </c>
      <c r="W355">
        <v>0</v>
      </c>
      <c r="X355" t="s">
        <v>44</v>
      </c>
      <c r="Y355">
        <v>0</v>
      </c>
      <c r="Z355" t="s">
        <v>183</v>
      </c>
      <c r="AA355">
        <v>0</v>
      </c>
      <c r="AB355" t="s">
        <v>31</v>
      </c>
      <c r="AC355">
        <v>0</v>
      </c>
      <c r="AD355" t="s">
        <v>31</v>
      </c>
      <c r="AE355">
        <v>0</v>
      </c>
      <c r="AF355" t="s">
        <v>31</v>
      </c>
      <c r="AG355">
        <v>0</v>
      </c>
    </row>
    <row r="356" spans="1:33" x14ac:dyDescent="0.2">
      <c r="A356" t="s">
        <v>381</v>
      </c>
      <c r="B356" s="3">
        <v>44351</v>
      </c>
      <c r="C356">
        <v>124</v>
      </c>
      <c r="D356" t="s">
        <v>390</v>
      </c>
      <c r="E356" t="s">
        <v>222</v>
      </c>
      <c r="F356" s="9" t="s">
        <v>223</v>
      </c>
      <c r="G356" t="s">
        <v>197</v>
      </c>
      <c r="H356" t="s">
        <v>41</v>
      </c>
      <c r="I356" t="s">
        <v>42</v>
      </c>
      <c r="J356" t="s">
        <v>43</v>
      </c>
      <c r="K356" t="s">
        <v>44</v>
      </c>
      <c r="L356" t="s">
        <v>53</v>
      </c>
      <c r="M356" t="s">
        <v>54</v>
      </c>
      <c r="N356" t="s">
        <v>41</v>
      </c>
      <c r="O356" t="s">
        <v>42</v>
      </c>
      <c r="P356" t="s">
        <v>43</v>
      </c>
      <c r="Q356" t="s">
        <v>44</v>
      </c>
      <c r="R356" s="1">
        <v>44351.477048611108</v>
      </c>
      <c r="S356" s="1">
        <v>44351.477048611108</v>
      </c>
      <c r="T356">
        <v>0</v>
      </c>
      <c r="U356">
        <v>1</v>
      </c>
      <c r="V356" s="2">
        <v>0</v>
      </c>
      <c r="W356">
        <v>0</v>
      </c>
      <c r="X356" t="s">
        <v>183</v>
      </c>
      <c r="Y356">
        <v>0</v>
      </c>
      <c r="Z356" t="s">
        <v>31</v>
      </c>
      <c r="AA356">
        <v>0</v>
      </c>
      <c r="AB356" t="s">
        <v>31</v>
      </c>
      <c r="AC356">
        <v>0</v>
      </c>
      <c r="AD356" t="s">
        <v>31</v>
      </c>
      <c r="AE356">
        <v>0</v>
      </c>
      <c r="AF356" t="s">
        <v>31</v>
      </c>
      <c r="AG356">
        <v>0</v>
      </c>
    </row>
    <row r="357" spans="1:33" x14ac:dyDescent="0.2">
      <c r="A357" t="s">
        <v>381</v>
      </c>
      <c r="B357" s="3">
        <v>44354</v>
      </c>
      <c r="C357">
        <v>127</v>
      </c>
      <c r="D357" t="s">
        <v>383</v>
      </c>
      <c r="E357" t="s">
        <v>222</v>
      </c>
      <c r="F357" s="9" t="s">
        <v>223</v>
      </c>
      <c r="G357" t="s">
        <v>197</v>
      </c>
      <c r="H357" t="s">
        <v>41</v>
      </c>
      <c r="I357" t="s">
        <v>42</v>
      </c>
      <c r="J357" t="s">
        <v>43</v>
      </c>
      <c r="K357" t="s">
        <v>44</v>
      </c>
      <c r="L357" t="s">
        <v>53</v>
      </c>
      <c r="M357" t="s">
        <v>54</v>
      </c>
      <c r="N357" t="s">
        <v>41</v>
      </c>
      <c r="O357" t="s">
        <v>42</v>
      </c>
      <c r="P357" t="s">
        <v>43</v>
      </c>
      <c r="Q357" t="s">
        <v>44</v>
      </c>
      <c r="R357" s="1">
        <v>44354.535254629627</v>
      </c>
      <c r="S357" s="1">
        <v>44354.535254629627</v>
      </c>
      <c r="T357">
        <v>0</v>
      </c>
      <c r="U357">
        <v>1</v>
      </c>
      <c r="V357" s="2">
        <v>0</v>
      </c>
      <c r="W357">
        <v>0</v>
      </c>
      <c r="X357" t="s">
        <v>183</v>
      </c>
      <c r="Y357">
        <v>0</v>
      </c>
      <c r="Z357" t="s">
        <v>31</v>
      </c>
      <c r="AA357">
        <v>0</v>
      </c>
      <c r="AB357" t="s">
        <v>31</v>
      </c>
      <c r="AC357">
        <v>0</v>
      </c>
      <c r="AD357" t="s">
        <v>31</v>
      </c>
      <c r="AE357">
        <v>0</v>
      </c>
      <c r="AF357" t="s">
        <v>31</v>
      </c>
      <c r="AG357">
        <v>0</v>
      </c>
    </row>
    <row r="358" spans="1:33" x14ac:dyDescent="0.2">
      <c r="A358" t="s">
        <v>381</v>
      </c>
      <c r="B358" s="3">
        <v>44355</v>
      </c>
      <c r="C358">
        <v>128</v>
      </c>
      <c r="D358" t="s">
        <v>406</v>
      </c>
      <c r="E358" t="s">
        <v>222</v>
      </c>
      <c r="F358" s="9" t="s">
        <v>223</v>
      </c>
      <c r="G358" t="s">
        <v>197</v>
      </c>
      <c r="H358" t="s">
        <v>41</v>
      </c>
      <c r="I358" t="s">
        <v>42</v>
      </c>
      <c r="J358" t="s">
        <v>43</v>
      </c>
      <c r="K358" t="s">
        <v>44</v>
      </c>
      <c r="L358" t="s">
        <v>53</v>
      </c>
      <c r="M358" t="s">
        <v>54</v>
      </c>
      <c r="N358" t="s">
        <v>41</v>
      </c>
      <c r="O358" t="s">
        <v>42</v>
      </c>
      <c r="P358" t="s">
        <v>43</v>
      </c>
      <c r="Q358" t="s">
        <v>44</v>
      </c>
      <c r="R358" s="1">
        <v>44355.469328703701</v>
      </c>
      <c r="S358" s="1">
        <v>44355.469907407409</v>
      </c>
      <c r="T358">
        <v>0</v>
      </c>
      <c r="U358">
        <v>1</v>
      </c>
      <c r="V358" s="2">
        <v>0</v>
      </c>
      <c r="W358">
        <v>0</v>
      </c>
      <c r="X358" t="s">
        <v>183</v>
      </c>
      <c r="Y358">
        <v>0</v>
      </c>
      <c r="Z358" t="s">
        <v>31</v>
      </c>
      <c r="AA358">
        <v>0</v>
      </c>
      <c r="AB358" t="s">
        <v>31</v>
      </c>
      <c r="AC358">
        <v>0</v>
      </c>
      <c r="AD358" t="s">
        <v>31</v>
      </c>
      <c r="AE358">
        <v>0</v>
      </c>
      <c r="AF358" t="s">
        <v>31</v>
      </c>
      <c r="AG358">
        <v>0</v>
      </c>
    </row>
    <row r="359" spans="1:33" x14ac:dyDescent="0.2">
      <c r="A359" t="s">
        <v>381</v>
      </c>
      <c r="B359" s="3">
        <v>44356</v>
      </c>
      <c r="C359">
        <v>130</v>
      </c>
      <c r="D359" t="s">
        <v>398</v>
      </c>
      <c r="E359" t="s">
        <v>222</v>
      </c>
      <c r="F359" s="9" t="s">
        <v>223</v>
      </c>
      <c r="G359" t="s">
        <v>197</v>
      </c>
      <c r="H359" t="s">
        <v>41</v>
      </c>
      <c r="I359" t="s">
        <v>42</v>
      </c>
      <c r="J359" t="s">
        <v>43</v>
      </c>
      <c r="K359" t="s">
        <v>44</v>
      </c>
      <c r="L359" t="s">
        <v>53</v>
      </c>
      <c r="M359" t="s">
        <v>54</v>
      </c>
      <c r="N359" t="s">
        <v>41</v>
      </c>
      <c r="O359" t="s">
        <v>42</v>
      </c>
      <c r="P359" t="s">
        <v>43</v>
      </c>
      <c r="Q359" t="s">
        <v>44</v>
      </c>
      <c r="R359" s="1">
        <v>44356.402372685188</v>
      </c>
      <c r="S359" s="1">
        <v>44356.402372685188</v>
      </c>
      <c r="T359">
        <v>0</v>
      </c>
      <c r="U359">
        <v>1</v>
      </c>
      <c r="V359" s="2">
        <v>0</v>
      </c>
      <c r="W359">
        <v>0</v>
      </c>
      <c r="X359" t="s">
        <v>183</v>
      </c>
      <c r="Y359">
        <v>0</v>
      </c>
      <c r="Z359" t="s">
        <v>31</v>
      </c>
      <c r="AA359">
        <v>0</v>
      </c>
      <c r="AB359" t="s">
        <v>31</v>
      </c>
      <c r="AC359">
        <v>0</v>
      </c>
      <c r="AD359" t="s">
        <v>31</v>
      </c>
      <c r="AE359">
        <v>0</v>
      </c>
      <c r="AF359" t="s">
        <v>31</v>
      </c>
      <c r="AG359">
        <v>0</v>
      </c>
    </row>
    <row r="360" spans="1:33" x14ac:dyDescent="0.2">
      <c r="A360" t="s">
        <v>381</v>
      </c>
      <c r="B360" s="3">
        <v>44356</v>
      </c>
      <c r="C360">
        <v>131</v>
      </c>
      <c r="D360" t="s">
        <v>383</v>
      </c>
      <c r="E360" t="s">
        <v>222</v>
      </c>
      <c r="F360" s="9" t="s">
        <v>223</v>
      </c>
      <c r="G360" t="s">
        <v>197</v>
      </c>
      <c r="H360" t="s">
        <v>41</v>
      </c>
      <c r="I360" t="s">
        <v>42</v>
      </c>
      <c r="J360" t="s">
        <v>43</v>
      </c>
      <c r="K360" t="s">
        <v>44</v>
      </c>
      <c r="L360" t="s">
        <v>53</v>
      </c>
      <c r="M360" t="s">
        <v>54</v>
      </c>
      <c r="N360" t="s">
        <v>41</v>
      </c>
      <c r="O360" t="s">
        <v>42</v>
      </c>
      <c r="P360" t="s">
        <v>43</v>
      </c>
      <c r="Q360" t="s">
        <v>44</v>
      </c>
      <c r="R360" s="1">
        <v>44356.586111111108</v>
      </c>
      <c r="S360" s="1">
        <v>44356.586111111108</v>
      </c>
      <c r="T360">
        <v>0</v>
      </c>
      <c r="U360">
        <v>1</v>
      </c>
      <c r="V360" s="2">
        <v>0</v>
      </c>
      <c r="W360">
        <v>0</v>
      </c>
      <c r="X360" t="s">
        <v>183</v>
      </c>
      <c r="Y360">
        <v>0</v>
      </c>
      <c r="Z360" t="s">
        <v>31</v>
      </c>
      <c r="AA360">
        <v>0</v>
      </c>
      <c r="AB360" t="s">
        <v>31</v>
      </c>
      <c r="AC360">
        <v>0</v>
      </c>
      <c r="AD360" t="s">
        <v>31</v>
      </c>
      <c r="AE360">
        <v>0</v>
      </c>
      <c r="AF360" t="s">
        <v>31</v>
      </c>
      <c r="AG360">
        <v>0</v>
      </c>
    </row>
    <row r="361" spans="1:33" x14ac:dyDescent="0.2">
      <c r="A361" t="s">
        <v>381</v>
      </c>
      <c r="B361" s="3">
        <v>44358</v>
      </c>
      <c r="C361">
        <v>133</v>
      </c>
      <c r="D361" t="s">
        <v>390</v>
      </c>
      <c r="E361" t="s">
        <v>222</v>
      </c>
      <c r="F361" s="9" t="s">
        <v>223</v>
      </c>
      <c r="G361" t="s">
        <v>197</v>
      </c>
      <c r="H361" t="s">
        <v>41</v>
      </c>
      <c r="I361" t="s">
        <v>42</v>
      </c>
      <c r="J361" t="s">
        <v>43</v>
      </c>
      <c r="K361" t="s">
        <v>44</v>
      </c>
      <c r="L361" t="s">
        <v>53</v>
      </c>
      <c r="M361" t="s">
        <v>54</v>
      </c>
      <c r="N361" t="s">
        <v>41</v>
      </c>
      <c r="O361" t="s">
        <v>42</v>
      </c>
      <c r="P361" t="s">
        <v>43</v>
      </c>
      <c r="Q361" t="s">
        <v>44</v>
      </c>
      <c r="R361" s="1">
        <v>44358.478888888887</v>
      </c>
      <c r="S361" s="1">
        <v>44358.478888888887</v>
      </c>
      <c r="T361">
        <v>0</v>
      </c>
      <c r="U361">
        <v>1</v>
      </c>
      <c r="V361" s="2">
        <v>0</v>
      </c>
      <c r="W361">
        <v>0</v>
      </c>
      <c r="X361" t="s">
        <v>183</v>
      </c>
      <c r="Y361">
        <v>0</v>
      </c>
      <c r="Z361" t="s">
        <v>31</v>
      </c>
      <c r="AA361">
        <v>0</v>
      </c>
      <c r="AB361" t="s">
        <v>31</v>
      </c>
      <c r="AC361">
        <v>0</v>
      </c>
      <c r="AD361" t="s">
        <v>31</v>
      </c>
      <c r="AE361">
        <v>0</v>
      </c>
      <c r="AF361" t="s">
        <v>31</v>
      </c>
      <c r="AG361">
        <v>0</v>
      </c>
    </row>
    <row r="362" spans="1:33" x14ac:dyDescent="0.2">
      <c r="A362" t="s">
        <v>381</v>
      </c>
      <c r="B362" s="3">
        <v>44361</v>
      </c>
      <c r="C362">
        <v>135</v>
      </c>
      <c r="D362" t="s">
        <v>390</v>
      </c>
      <c r="E362" t="s">
        <v>222</v>
      </c>
      <c r="F362" s="9" t="s">
        <v>223</v>
      </c>
      <c r="G362" t="s">
        <v>197</v>
      </c>
      <c r="H362" t="s">
        <v>41</v>
      </c>
      <c r="I362" t="s">
        <v>42</v>
      </c>
      <c r="J362" t="s">
        <v>43</v>
      </c>
      <c r="K362" t="s">
        <v>44</v>
      </c>
      <c r="L362" t="s">
        <v>53</v>
      </c>
      <c r="M362" t="s">
        <v>54</v>
      </c>
      <c r="N362" t="s">
        <v>41</v>
      </c>
      <c r="O362" t="s">
        <v>42</v>
      </c>
      <c r="P362" t="s">
        <v>43</v>
      </c>
      <c r="Q362" t="s">
        <v>44</v>
      </c>
      <c r="R362" s="1">
        <v>44361.477314814816</v>
      </c>
      <c r="S362" s="1">
        <v>44361.477314814816</v>
      </c>
      <c r="T362">
        <v>0</v>
      </c>
      <c r="U362">
        <v>1</v>
      </c>
      <c r="V362" s="2">
        <v>0</v>
      </c>
      <c r="W362">
        <v>0</v>
      </c>
      <c r="X362" t="s">
        <v>183</v>
      </c>
      <c r="Y362">
        <v>0</v>
      </c>
      <c r="Z362" t="s">
        <v>31</v>
      </c>
      <c r="AA362">
        <v>0</v>
      </c>
      <c r="AB362" t="s">
        <v>31</v>
      </c>
      <c r="AC362">
        <v>0</v>
      </c>
      <c r="AD362" t="s">
        <v>31</v>
      </c>
      <c r="AE362">
        <v>0</v>
      </c>
      <c r="AF362" t="s">
        <v>31</v>
      </c>
      <c r="AG362">
        <v>0</v>
      </c>
    </row>
    <row r="363" spans="1:33" x14ac:dyDescent="0.2">
      <c r="A363" t="s">
        <v>381</v>
      </c>
      <c r="B363" s="3">
        <v>44302</v>
      </c>
      <c r="C363">
        <v>64</v>
      </c>
      <c r="D363" t="s">
        <v>390</v>
      </c>
      <c r="E363" t="s">
        <v>222</v>
      </c>
      <c r="F363" s="9" t="s">
        <v>224</v>
      </c>
      <c r="G363" t="s">
        <v>197</v>
      </c>
      <c r="H363" t="s">
        <v>155</v>
      </c>
      <c r="I363" t="s">
        <v>156</v>
      </c>
      <c r="J363" t="s">
        <v>198</v>
      </c>
      <c r="K363" t="s">
        <v>183</v>
      </c>
      <c r="L363" t="s">
        <v>198</v>
      </c>
      <c r="M363" t="s">
        <v>183</v>
      </c>
      <c r="N363" t="s">
        <v>41</v>
      </c>
      <c r="O363" t="s">
        <v>42</v>
      </c>
      <c r="P363" t="s">
        <v>43</v>
      </c>
      <c r="Q363" t="s">
        <v>44</v>
      </c>
      <c r="R363" s="1">
        <v>44302.446932870371</v>
      </c>
      <c r="S363" s="1">
        <v>44302.446932870371</v>
      </c>
      <c r="T363">
        <v>1</v>
      </c>
      <c r="U363">
        <v>1</v>
      </c>
      <c r="V363" s="2">
        <v>1</v>
      </c>
      <c r="W363">
        <v>0</v>
      </c>
      <c r="X363" t="s">
        <v>183</v>
      </c>
      <c r="Y363">
        <v>0</v>
      </c>
      <c r="Z363" t="s">
        <v>31</v>
      </c>
      <c r="AA363">
        <v>0</v>
      </c>
      <c r="AB363" t="s">
        <v>31</v>
      </c>
      <c r="AC363">
        <v>0</v>
      </c>
      <c r="AD363" t="s">
        <v>31</v>
      </c>
      <c r="AE363">
        <v>0</v>
      </c>
      <c r="AF363" t="s">
        <v>31</v>
      </c>
      <c r="AG363">
        <v>0</v>
      </c>
    </row>
    <row r="364" spans="1:33" x14ac:dyDescent="0.2">
      <c r="A364" t="s">
        <v>381</v>
      </c>
      <c r="B364" s="3">
        <v>44319</v>
      </c>
      <c r="C364">
        <v>84</v>
      </c>
      <c r="D364" t="s">
        <v>390</v>
      </c>
      <c r="E364" t="s">
        <v>222</v>
      </c>
      <c r="F364" s="9" t="s">
        <v>224</v>
      </c>
      <c r="G364" t="s">
        <v>197</v>
      </c>
      <c r="H364" t="s">
        <v>41</v>
      </c>
      <c r="I364" t="s">
        <v>42</v>
      </c>
      <c r="J364" t="s">
        <v>43</v>
      </c>
      <c r="K364" t="s">
        <v>44</v>
      </c>
      <c r="L364" t="s">
        <v>53</v>
      </c>
      <c r="M364" t="s">
        <v>54</v>
      </c>
      <c r="N364" t="s">
        <v>41</v>
      </c>
      <c r="O364" t="s">
        <v>42</v>
      </c>
      <c r="P364" t="s">
        <v>43</v>
      </c>
      <c r="Q364" t="s">
        <v>44</v>
      </c>
      <c r="R364" s="1">
        <v>44319.438055555554</v>
      </c>
      <c r="S364" s="1">
        <v>44319.438055555554</v>
      </c>
      <c r="T364">
        <v>0</v>
      </c>
      <c r="U364">
        <v>1</v>
      </c>
      <c r="V364" s="2">
        <v>0</v>
      </c>
      <c r="W364">
        <v>0</v>
      </c>
      <c r="X364" t="s">
        <v>183</v>
      </c>
      <c r="Y364">
        <v>0</v>
      </c>
      <c r="Z364" t="s">
        <v>31</v>
      </c>
      <c r="AA364">
        <v>0</v>
      </c>
      <c r="AB364" t="s">
        <v>31</v>
      </c>
      <c r="AC364">
        <v>0</v>
      </c>
      <c r="AD364" t="s">
        <v>31</v>
      </c>
      <c r="AE364">
        <v>0</v>
      </c>
      <c r="AF364" t="s">
        <v>31</v>
      </c>
      <c r="AG364">
        <v>0</v>
      </c>
    </row>
    <row r="365" spans="1:33" x14ac:dyDescent="0.2">
      <c r="A365" t="s">
        <v>381</v>
      </c>
      <c r="B365" s="3">
        <v>44320</v>
      </c>
      <c r="C365">
        <v>87</v>
      </c>
      <c r="D365" t="s">
        <v>385</v>
      </c>
      <c r="E365" t="s">
        <v>222</v>
      </c>
      <c r="F365" s="9" t="s">
        <v>224</v>
      </c>
      <c r="G365" t="s">
        <v>197</v>
      </c>
      <c r="H365" t="s">
        <v>41</v>
      </c>
      <c r="I365" t="s">
        <v>42</v>
      </c>
      <c r="J365" t="s">
        <v>43</v>
      </c>
      <c r="K365" t="s">
        <v>44</v>
      </c>
      <c r="L365" t="s">
        <v>53</v>
      </c>
      <c r="M365" t="s">
        <v>54</v>
      </c>
      <c r="N365" t="s">
        <v>41</v>
      </c>
      <c r="O365" t="s">
        <v>42</v>
      </c>
      <c r="P365" t="s">
        <v>43</v>
      </c>
      <c r="Q365" t="s">
        <v>44</v>
      </c>
      <c r="R365" s="1">
        <v>44320.623483796298</v>
      </c>
      <c r="S365" s="1">
        <v>44320.623483796298</v>
      </c>
      <c r="T365">
        <v>0</v>
      </c>
      <c r="U365">
        <v>1</v>
      </c>
      <c r="V365" s="2">
        <v>0</v>
      </c>
      <c r="W365">
        <v>0</v>
      </c>
      <c r="X365" t="s">
        <v>183</v>
      </c>
      <c r="Y365">
        <v>0</v>
      </c>
      <c r="Z365" t="s">
        <v>31</v>
      </c>
      <c r="AA365">
        <v>0</v>
      </c>
      <c r="AB365" t="s">
        <v>31</v>
      </c>
      <c r="AC365">
        <v>0</v>
      </c>
      <c r="AD365" t="s">
        <v>31</v>
      </c>
      <c r="AE365">
        <v>0</v>
      </c>
      <c r="AF365" t="s">
        <v>31</v>
      </c>
      <c r="AG365">
        <v>0</v>
      </c>
    </row>
    <row r="366" spans="1:33" x14ac:dyDescent="0.2">
      <c r="A366" t="s">
        <v>381</v>
      </c>
      <c r="B366" s="3">
        <v>44334</v>
      </c>
      <c r="C366">
        <v>99</v>
      </c>
      <c r="D366" t="s">
        <v>385</v>
      </c>
      <c r="E366" t="s">
        <v>222</v>
      </c>
      <c r="F366" s="9" t="s">
        <v>224</v>
      </c>
      <c r="G366" t="s">
        <v>197</v>
      </c>
      <c r="H366" t="s">
        <v>41</v>
      </c>
      <c r="I366" t="s">
        <v>42</v>
      </c>
      <c r="J366" t="s">
        <v>43</v>
      </c>
      <c r="K366" t="s">
        <v>44</v>
      </c>
      <c r="L366" t="s">
        <v>53</v>
      </c>
      <c r="M366" t="s">
        <v>54</v>
      </c>
      <c r="N366" t="s">
        <v>41</v>
      </c>
      <c r="O366" t="s">
        <v>42</v>
      </c>
      <c r="P366" t="s">
        <v>43</v>
      </c>
      <c r="Q366" t="s">
        <v>44</v>
      </c>
      <c r="R366" s="1">
        <v>44334.629826388889</v>
      </c>
      <c r="S366" s="1">
        <v>44334.629826388889</v>
      </c>
      <c r="T366">
        <v>0</v>
      </c>
      <c r="U366">
        <v>1</v>
      </c>
      <c r="V366" s="2">
        <v>0</v>
      </c>
      <c r="W366">
        <v>0</v>
      </c>
      <c r="X366" t="s">
        <v>183</v>
      </c>
      <c r="Y366">
        <v>0</v>
      </c>
      <c r="Z366" t="s">
        <v>31</v>
      </c>
      <c r="AA366">
        <v>0</v>
      </c>
      <c r="AB366" t="s">
        <v>31</v>
      </c>
      <c r="AC366">
        <v>0</v>
      </c>
      <c r="AD366" t="s">
        <v>31</v>
      </c>
      <c r="AE366">
        <v>0</v>
      </c>
      <c r="AF366" t="s">
        <v>31</v>
      </c>
      <c r="AG366">
        <v>0</v>
      </c>
    </row>
    <row r="367" spans="1:33" x14ac:dyDescent="0.2">
      <c r="A367" t="s">
        <v>381</v>
      </c>
      <c r="B367" s="3">
        <v>44335</v>
      </c>
      <c r="C367">
        <v>100</v>
      </c>
      <c r="D367" t="s">
        <v>398</v>
      </c>
      <c r="E367" t="s">
        <v>222</v>
      </c>
      <c r="F367" s="9" t="s">
        <v>224</v>
      </c>
      <c r="G367" t="s">
        <v>197</v>
      </c>
      <c r="H367" t="s">
        <v>41</v>
      </c>
      <c r="I367" t="s">
        <v>42</v>
      </c>
      <c r="J367" t="s">
        <v>43</v>
      </c>
      <c r="K367" t="s">
        <v>44</v>
      </c>
      <c r="L367" t="s">
        <v>53</v>
      </c>
      <c r="M367" t="s">
        <v>54</v>
      </c>
      <c r="N367" t="s">
        <v>41</v>
      </c>
      <c r="O367" t="s">
        <v>42</v>
      </c>
      <c r="P367" t="s">
        <v>43</v>
      </c>
      <c r="Q367" t="s">
        <v>44</v>
      </c>
      <c r="R367" s="1">
        <v>44335.478888888887</v>
      </c>
      <c r="S367" s="1">
        <v>44335.478888888887</v>
      </c>
      <c r="T367">
        <v>0</v>
      </c>
      <c r="U367">
        <v>1</v>
      </c>
      <c r="V367" s="2">
        <v>0</v>
      </c>
      <c r="W367">
        <v>0</v>
      </c>
      <c r="X367" t="s">
        <v>183</v>
      </c>
      <c r="Y367">
        <v>0</v>
      </c>
      <c r="Z367" t="s">
        <v>31</v>
      </c>
      <c r="AA367">
        <v>0</v>
      </c>
      <c r="AB367" t="s">
        <v>31</v>
      </c>
      <c r="AC367">
        <v>0</v>
      </c>
      <c r="AD367" t="s">
        <v>31</v>
      </c>
      <c r="AE367">
        <v>0</v>
      </c>
      <c r="AF367" t="s">
        <v>31</v>
      </c>
      <c r="AG367">
        <v>0</v>
      </c>
    </row>
    <row r="368" spans="1:33" x14ac:dyDescent="0.2">
      <c r="A368" t="s">
        <v>381</v>
      </c>
      <c r="B368" s="3">
        <v>44338</v>
      </c>
      <c r="C368">
        <v>107</v>
      </c>
      <c r="D368" t="s">
        <v>392</v>
      </c>
      <c r="E368" t="s">
        <v>222</v>
      </c>
      <c r="F368" s="9" t="s">
        <v>224</v>
      </c>
      <c r="G368" t="s">
        <v>197</v>
      </c>
      <c r="H368" t="s">
        <v>41</v>
      </c>
      <c r="I368" t="s">
        <v>42</v>
      </c>
      <c r="J368" t="s">
        <v>43</v>
      </c>
      <c r="K368" t="s">
        <v>44</v>
      </c>
      <c r="L368" t="s">
        <v>53</v>
      </c>
      <c r="M368" t="s">
        <v>54</v>
      </c>
      <c r="N368" t="s">
        <v>41</v>
      </c>
      <c r="O368" t="s">
        <v>42</v>
      </c>
      <c r="P368" t="s">
        <v>43</v>
      </c>
      <c r="Q368" t="s">
        <v>44</v>
      </c>
      <c r="R368" s="1">
        <v>44338.641747685186</v>
      </c>
      <c r="S368" s="1">
        <v>44338.641747685186</v>
      </c>
      <c r="T368">
        <v>0</v>
      </c>
      <c r="U368">
        <v>1</v>
      </c>
      <c r="V368" s="2">
        <v>0</v>
      </c>
      <c r="W368">
        <v>0</v>
      </c>
      <c r="X368" t="s">
        <v>183</v>
      </c>
      <c r="Y368">
        <v>0</v>
      </c>
      <c r="Z368" t="s">
        <v>31</v>
      </c>
      <c r="AA368">
        <v>0</v>
      </c>
      <c r="AB368" t="s">
        <v>31</v>
      </c>
      <c r="AC368">
        <v>0</v>
      </c>
      <c r="AD368" t="s">
        <v>31</v>
      </c>
      <c r="AE368">
        <v>0</v>
      </c>
      <c r="AF368" t="s">
        <v>31</v>
      </c>
      <c r="AG368">
        <v>0</v>
      </c>
    </row>
    <row r="369" spans="1:33" x14ac:dyDescent="0.2">
      <c r="A369" t="s">
        <v>381</v>
      </c>
      <c r="B369" s="3">
        <v>44340</v>
      </c>
      <c r="C369">
        <v>109</v>
      </c>
      <c r="D369" t="s">
        <v>383</v>
      </c>
      <c r="E369" t="s">
        <v>222</v>
      </c>
      <c r="F369" s="9" t="s">
        <v>224</v>
      </c>
      <c r="G369" t="s">
        <v>197</v>
      </c>
      <c r="H369" t="s">
        <v>41</v>
      </c>
      <c r="I369" t="s">
        <v>42</v>
      </c>
      <c r="J369" t="s">
        <v>43</v>
      </c>
      <c r="K369" t="s">
        <v>44</v>
      </c>
      <c r="L369" t="s">
        <v>53</v>
      </c>
      <c r="M369" t="s">
        <v>54</v>
      </c>
      <c r="N369" t="s">
        <v>41</v>
      </c>
      <c r="O369" t="s">
        <v>42</v>
      </c>
      <c r="P369" t="s">
        <v>43</v>
      </c>
      <c r="Q369" t="s">
        <v>44</v>
      </c>
      <c r="R369" s="1">
        <v>44340.643148148149</v>
      </c>
      <c r="S369" s="1">
        <v>44340.643148148149</v>
      </c>
      <c r="T369">
        <v>0</v>
      </c>
      <c r="U369">
        <v>1</v>
      </c>
      <c r="V369" s="2">
        <v>0</v>
      </c>
      <c r="W369">
        <v>0</v>
      </c>
      <c r="X369" t="s">
        <v>183</v>
      </c>
      <c r="Y369">
        <v>0</v>
      </c>
      <c r="Z369" t="s">
        <v>31</v>
      </c>
      <c r="AA369">
        <v>0</v>
      </c>
      <c r="AB369" t="s">
        <v>31</v>
      </c>
      <c r="AC369">
        <v>0</v>
      </c>
      <c r="AD369" t="s">
        <v>31</v>
      </c>
      <c r="AE369">
        <v>0</v>
      </c>
      <c r="AF369" t="s">
        <v>31</v>
      </c>
      <c r="AG369">
        <v>0</v>
      </c>
    </row>
    <row r="370" spans="1:33" x14ac:dyDescent="0.2">
      <c r="A370" t="s">
        <v>381</v>
      </c>
      <c r="B370" s="3">
        <v>44341</v>
      </c>
      <c r="C370">
        <v>110</v>
      </c>
      <c r="D370" t="s">
        <v>383</v>
      </c>
      <c r="E370" t="s">
        <v>222</v>
      </c>
      <c r="F370" s="9" t="s">
        <v>224</v>
      </c>
      <c r="G370" t="s">
        <v>197</v>
      </c>
      <c r="H370" t="s">
        <v>41</v>
      </c>
      <c r="I370" t="s">
        <v>42</v>
      </c>
      <c r="J370" t="s">
        <v>43</v>
      </c>
      <c r="K370" t="s">
        <v>44</v>
      </c>
      <c r="L370" t="s">
        <v>53</v>
      </c>
      <c r="M370" t="s">
        <v>54</v>
      </c>
      <c r="N370" t="s">
        <v>41</v>
      </c>
      <c r="O370" t="s">
        <v>42</v>
      </c>
      <c r="P370" t="s">
        <v>43</v>
      </c>
      <c r="Q370" t="s">
        <v>44</v>
      </c>
      <c r="R370" s="1">
        <v>44341.458009259259</v>
      </c>
      <c r="S370" s="1">
        <v>44341.458009259259</v>
      </c>
      <c r="T370">
        <v>0</v>
      </c>
      <c r="U370">
        <v>1</v>
      </c>
      <c r="V370" s="2">
        <v>0</v>
      </c>
      <c r="W370">
        <v>0</v>
      </c>
      <c r="X370" t="s">
        <v>183</v>
      </c>
      <c r="Y370">
        <v>0</v>
      </c>
      <c r="Z370" t="s">
        <v>31</v>
      </c>
      <c r="AA370">
        <v>0</v>
      </c>
      <c r="AB370" t="s">
        <v>31</v>
      </c>
      <c r="AC370">
        <v>0</v>
      </c>
      <c r="AD370" t="s">
        <v>31</v>
      </c>
      <c r="AE370">
        <v>0</v>
      </c>
      <c r="AF370" t="s">
        <v>31</v>
      </c>
      <c r="AG370">
        <v>0</v>
      </c>
    </row>
    <row r="371" spans="1:33" x14ac:dyDescent="0.2">
      <c r="A371" t="s">
        <v>381</v>
      </c>
      <c r="B371" s="3">
        <v>44342</v>
      </c>
      <c r="C371">
        <v>112</v>
      </c>
      <c r="D371" t="s">
        <v>394</v>
      </c>
      <c r="E371" t="s">
        <v>222</v>
      </c>
      <c r="F371" s="9" t="s">
        <v>224</v>
      </c>
      <c r="G371" t="s">
        <v>197</v>
      </c>
      <c r="H371" t="s">
        <v>41</v>
      </c>
      <c r="I371" t="s">
        <v>42</v>
      </c>
      <c r="J371" t="s">
        <v>43</v>
      </c>
      <c r="K371" t="s">
        <v>44</v>
      </c>
      <c r="L371" t="s">
        <v>53</v>
      </c>
      <c r="M371" t="s">
        <v>54</v>
      </c>
      <c r="N371" t="s">
        <v>41</v>
      </c>
      <c r="O371" t="s">
        <v>42</v>
      </c>
      <c r="P371" t="s">
        <v>43</v>
      </c>
      <c r="Q371" t="s">
        <v>44</v>
      </c>
      <c r="R371" s="1">
        <v>44342.469444444447</v>
      </c>
      <c r="S371" s="1">
        <v>44342.469444444447</v>
      </c>
      <c r="T371">
        <v>0</v>
      </c>
      <c r="U371">
        <v>1</v>
      </c>
      <c r="V371" s="2">
        <v>0</v>
      </c>
      <c r="W371">
        <v>0</v>
      </c>
      <c r="X371" t="s">
        <v>183</v>
      </c>
      <c r="Y371">
        <v>0</v>
      </c>
      <c r="Z371" t="s">
        <v>31</v>
      </c>
      <c r="AA371">
        <v>0</v>
      </c>
      <c r="AB371" t="s">
        <v>31</v>
      </c>
      <c r="AC371">
        <v>0</v>
      </c>
      <c r="AD371" t="s">
        <v>31</v>
      </c>
      <c r="AE371">
        <v>0</v>
      </c>
      <c r="AF371" t="s">
        <v>31</v>
      </c>
      <c r="AG371">
        <v>0</v>
      </c>
    </row>
    <row r="372" spans="1:33" x14ac:dyDescent="0.2">
      <c r="A372" t="s">
        <v>381</v>
      </c>
      <c r="B372" s="3">
        <v>44342</v>
      </c>
      <c r="C372">
        <v>113</v>
      </c>
      <c r="D372" t="s">
        <v>383</v>
      </c>
      <c r="E372" t="s">
        <v>222</v>
      </c>
      <c r="F372" s="9" t="s">
        <v>224</v>
      </c>
      <c r="G372" t="s">
        <v>197</v>
      </c>
      <c r="H372" t="s">
        <v>41</v>
      </c>
      <c r="I372" t="s">
        <v>42</v>
      </c>
      <c r="J372" t="s">
        <v>43</v>
      </c>
      <c r="K372" t="s">
        <v>44</v>
      </c>
      <c r="L372" t="s">
        <v>53</v>
      </c>
      <c r="M372" t="s">
        <v>54</v>
      </c>
      <c r="N372" t="s">
        <v>41</v>
      </c>
      <c r="O372" t="s">
        <v>42</v>
      </c>
      <c r="P372" t="s">
        <v>43</v>
      </c>
      <c r="Q372" t="s">
        <v>44</v>
      </c>
      <c r="R372" s="1">
        <v>44342.588333333333</v>
      </c>
      <c r="S372" s="1">
        <v>44342.588333333333</v>
      </c>
      <c r="T372">
        <v>0</v>
      </c>
      <c r="U372">
        <v>1</v>
      </c>
      <c r="V372" s="2">
        <v>0</v>
      </c>
      <c r="W372">
        <v>0</v>
      </c>
      <c r="X372" t="s">
        <v>183</v>
      </c>
      <c r="Y372">
        <v>0</v>
      </c>
      <c r="Z372" t="s">
        <v>31</v>
      </c>
      <c r="AA372">
        <v>0</v>
      </c>
      <c r="AB372" t="s">
        <v>31</v>
      </c>
      <c r="AC372">
        <v>0</v>
      </c>
      <c r="AD372" t="s">
        <v>31</v>
      </c>
      <c r="AE372">
        <v>0</v>
      </c>
      <c r="AF372" t="s">
        <v>31</v>
      </c>
      <c r="AG372">
        <v>0</v>
      </c>
    </row>
    <row r="373" spans="1:33" x14ac:dyDescent="0.2">
      <c r="A373" t="s">
        <v>381</v>
      </c>
      <c r="B373" s="3">
        <v>44344</v>
      </c>
      <c r="C373">
        <v>116</v>
      </c>
      <c r="D373" t="s">
        <v>390</v>
      </c>
      <c r="E373" t="s">
        <v>222</v>
      </c>
      <c r="F373" s="9" t="s">
        <v>224</v>
      </c>
      <c r="G373" t="s">
        <v>197</v>
      </c>
      <c r="H373" t="s">
        <v>41</v>
      </c>
      <c r="I373" t="s">
        <v>42</v>
      </c>
      <c r="J373" t="s">
        <v>43</v>
      </c>
      <c r="K373" t="s">
        <v>44</v>
      </c>
      <c r="L373" t="s">
        <v>53</v>
      </c>
      <c r="M373" t="s">
        <v>54</v>
      </c>
      <c r="N373" t="s">
        <v>41</v>
      </c>
      <c r="O373" t="s">
        <v>42</v>
      </c>
      <c r="P373" t="s">
        <v>43</v>
      </c>
      <c r="Q373" t="s">
        <v>44</v>
      </c>
      <c r="R373" s="1">
        <v>44344.477430555555</v>
      </c>
      <c r="S373" s="1">
        <v>44344.477430555555</v>
      </c>
      <c r="T373">
        <v>0</v>
      </c>
      <c r="U373">
        <v>1</v>
      </c>
      <c r="V373" s="2">
        <v>0</v>
      </c>
      <c r="W373">
        <v>0</v>
      </c>
      <c r="X373" t="s">
        <v>183</v>
      </c>
      <c r="Y373">
        <v>0</v>
      </c>
      <c r="Z373" t="s">
        <v>31</v>
      </c>
      <c r="AA373">
        <v>0</v>
      </c>
      <c r="AB373" t="s">
        <v>31</v>
      </c>
      <c r="AC373">
        <v>0</v>
      </c>
      <c r="AD373" t="s">
        <v>31</v>
      </c>
      <c r="AE373">
        <v>0</v>
      </c>
      <c r="AF373" t="s">
        <v>31</v>
      </c>
      <c r="AG373">
        <v>0</v>
      </c>
    </row>
    <row r="374" spans="1:33" x14ac:dyDescent="0.2">
      <c r="A374" t="s">
        <v>381</v>
      </c>
      <c r="B374" s="3">
        <v>44349</v>
      </c>
      <c r="C374">
        <v>120</v>
      </c>
      <c r="D374" t="s">
        <v>398</v>
      </c>
      <c r="E374" t="s">
        <v>222</v>
      </c>
      <c r="F374" s="9" t="s">
        <v>224</v>
      </c>
      <c r="G374" t="s">
        <v>197</v>
      </c>
      <c r="H374" t="s">
        <v>41</v>
      </c>
      <c r="I374" t="s">
        <v>42</v>
      </c>
      <c r="J374" t="s">
        <v>43</v>
      </c>
      <c r="K374" t="s">
        <v>44</v>
      </c>
      <c r="L374" t="s">
        <v>53</v>
      </c>
      <c r="M374" t="s">
        <v>54</v>
      </c>
      <c r="N374" t="s">
        <v>41</v>
      </c>
      <c r="O374" t="s">
        <v>42</v>
      </c>
      <c r="P374" t="s">
        <v>43</v>
      </c>
      <c r="Q374" t="s">
        <v>44</v>
      </c>
      <c r="R374" s="1">
        <v>44349.483020833337</v>
      </c>
      <c r="S374" s="1">
        <v>44349.483078703706</v>
      </c>
      <c r="T374">
        <v>0</v>
      </c>
      <c r="U374">
        <v>2</v>
      </c>
      <c r="V374" s="2">
        <v>0</v>
      </c>
      <c r="W374">
        <v>0</v>
      </c>
      <c r="X374" t="s">
        <v>44</v>
      </c>
      <c r="Y374">
        <v>0</v>
      </c>
      <c r="Z374" t="s">
        <v>183</v>
      </c>
      <c r="AA374">
        <v>0</v>
      </c>
      <c r="AB374" t="s">
        <v>31</v>
      </c>
      <c r="AC374">
        <v>0</v>
      </c>
      <c r="AD374" t="s">
        <v>31</v>
      </c>
      <c r="AE374">
        <v>0</v>
      </c>
      <c r="AF374" t="s">
        <v>31</v>
      </c>
      <c r="AG374">
        <v>0</v>
      </c>
    </row>
    <row r="375" spans="1:33" x14ac:dyDescent="0.2">
      <c r="A375" t="s">
        <v>381</v>
      </c>
      <c r="B375" s="3">
        <v>44351</v>
      </c>
      <c r="C375">
        <v>124</v>
      </c>
      <c r="D375" t="s">
        <v>390</v>
      </c>
      <c r="E375" t="s">
        <v>222</v>
      </c>
      <c r="F375" s="9" t="s">
        <v>224</v>
      </c>
      <c r="G375" t="s">
        <v>197</v>
      </c>
      <c r="H375" t="s">
        <v>41</v>
      </c>
      <c r="I375" t="s">
        <v>42</v>
      </c>
      <c r="J375" t="s">
        <v>43</v>
      </c>
      <c r="K375" t="s">
        <v>44</v>
      </c>
      <c r="L375" t="s">
        <v>53</v>
      </c>
      <c r="M375" t="s">
        <v>54</v>
      </c>
      <c r="N375" t="s">
        <v>41</v>
      </c>
      <c r="O375" t="s">
        <v>42</v>
      </c>
      <c r="P375" t="s">
        <v>43</v>
      </c>
      <c r="Q375" t="s">
        <v>44</v>
      </c>
      <c r="R375" s="1">
        <v>44351.479027777779</v>
      </c>
      <c r="S375" s="1">
        <v>44351.479027777779</v>
      </c>
      <c r="T375">
        <v>0</v>
      </c>
      <c r="U375">
        <v>1</v>
      </c>
      <c r="V375" s="2">
        <v>0</v>
      </c>
      <c r="W375">
        <v>0</v>
      </c>
      <c r="X375" t="s">
        <v>183</v>
      </c>
      <c r="Y375">
        <v>0</v>
      </c>
      <c r="Z375" t="s">
        <v>31</v>
      </c>
      <c r="AA375">
        <v>0</v>
      </c>
      <c r="AB375" t="s">
        <v>31</v>
      </c>
      <c r="AC375">
        <v>0</v>
      </c>
      <c r="AD375" t="s">
        <v>31</v>
      </c>
      <c r="AE375">
        <v>0</v>
      </c>
      <c r="AF375" t="s">
        <v>31</v>
      </c>
      <c r="AG375">
        <v>0</v>
      </c>
    </row>
    <row r="376" spans="1:33" x14ac:dyDescent="0.2">
      <c r="A376" t="s">
        <v>381</v>
      </c>
      <c r="B376" s="3">
        <v>44354</v>
      </c>
      <c r="C376">
        <v>127</v>
      </c>
      <c r="D376" t="s">
        <v>383</v>
      </c>
      <c r="E376" t="s">
        <v>222</v>
      </c>
      <c r="F376" s="9" t="s">
        <v>224</v>
      </c>
      <c r="G376" t="s">
        <v>197</v>
      </c>
      <c r="H376" t="s">
        <v>41</v>
      </c>
      <c r="I376" t="s">
        <v>42</v>
      </c>
      <c r="J376" t="s">
        <v>43</v>
      </c>
      <c r="K376" t="s">
        <v>44</v>
      </c>
      <c r="L376" t="s">
        <v>53</v>
      </c>
      <c r="M376" t="s">
        <v>54</v>
      </c>
      <c r="N376" t="s">
        <v>41</v>
      </c>
      <c r="O376" t="s">
        <v>42</v>
      </c>
      <c r="P376" t="s">
        <v>43</v>
      </c>
      <c r="Q376" t="s">
        <v>44</v>
      </c>
      <c r="R376" s="1">
        <v>44354.535266203704</v>
      </c>
      <c r="S376" s="1">
        <v>44354.535266203704</v>
      </c>
      <c r="T376">
        <v>0</v>
      </c>
      <c r="U376">
        <v>1</v>
      </c>
      <c r="V376" s="2">
        <v>0</v>
      </c>
      <c r="W376">
        <v>0</v>
      </c>
      <c r="X376" t="s">
        <v>183</v>
      </c>
      <c r="Y376">
        <v>0</v>
      </c>
      <c r="Z376" t="s">
        <v>31</v>
      </c>
      <c r="AA376">
        <v>0</v>
      </c>
      <c r="AB376" t="s">
        <v>31</v>
      </c>
      <c r="AC376">
        <v>0</v>
      </c>
      <c r="AD376" t="s">
        <v>31</v>
      </c>
      <c r="AE376">
        <v>0</v>
      </c>
      <c r="AF376" t="s">
        <v>31</v>
      </c>
      <c r="AG376">
        <v>0</v>
      </c>
    </row>
    <row r="377" spans="1:33" x14ac:dyDescent="0.2">
      <c r="A377" t="s">
        <v>381</v>
      </c>
      <c r="B377" s="3">
        <v>44355</v>
      </c>
      <c r="C377">
        <v>128</v>
      </c>
      <c r="D377" t="s">
        <v>406</v>
      </c>
      <c r="E377" t="s">
        <v>222</v>
      </c>
      <c r="F377" s="9" t="s">
        <v>224</v>
      </c>
      <c r="G377" t="s">
        <v>197</v>
      </c>
      <c r="H377" t="s">
        <v>41</v>
      </c>
      <c r="I377" t="s">
        <v>42</v>
      </c>
      <c r="J377" t="s">
        <v>43</v>
      </c>
      <c r="K377" t="s">
        <v>44</v>
      </c>
      <c r="L377" t="s">
        <v>53</v>
      </c>
      <c r="M377" t="s">
        <v>54</v>
      </c>
      <c r="N377" t="s">
        <v>41</v>
      </c>
      <c r="O377" t="s">
        <v>42</v>
      </c>
      <c r="P377" t="s">
        <v>43</v>
      </c>
      <c r="Q377" t="s">
        <v>44</v>
      </c>
      <c r="R377" s="1">
        <v>44355.469687500001</v>
      </c>
      <c r="S377" s="1">
        <v>44355.469687500001</v>
      </c>
      <c r="T377">
        <v>0</v>
      </c>
      <c r="U377">
        <v>1</v>
      </c>
      <c r="V377" s="2">
        <v>0</v>
      </c>
      <c r="W377">
        <v>0</v>
      </c>
      <c r="X377" t="s">
        <v>183</v>
      </c>
      <c r="Y377">
        <v>0</v>
      </c>
      <c r="Z377" t="s">
        <v>31</v>
      </c>
      <c r="AA377">
        <v>0</v>
      </c>
      <c r="AB377" t="s">
        <v>31</v>
      </c>
      <c r="AC377">
        <v>0</v>
      </c>
      <c r="AD377" t="s">
        <v>31</v>
      </c>
      <c r="AE377">
        <v>0</v>
      </c>
      <c r="AF377" t="s">
        <v>31</v>
      </c>
      <c r="AG377">
        <v>0</v>
      </c>
    </row>
    <row r="378" spans="1:33" x14ac:dyDescent="0.2">
      <c r="A378" t="s">
        <v>381</v>
      </c>
      <c r="B378" s="3">
        <v>44356</v>
      </c>
      <c r="C378">
        <v>130</v>
      </c>
      <c r="D378" t="s">
        <v>398</v>
      </c>
      <c r="E378" t="s">
        <v>222</v>
      </c>
      <c r="F378" s="9" t="s">
        <v>224</v>
      </c>
      <c r="G378" t="s">
        <v>197</v>
      </c>
      <c r="H378" t="s">
        <v>41</v>
      </c>
      <c r="I378" t="s">
        <v>42</v>
      </c>
      <c r="J378" t="s">
        <v>43</v>
      </c>
      <c r="K378" t="s">
        <v>44</v>
      </c>
      <c r="L378" t="s">
        <v>53</v>
      </c>
      <c r="M378" t="s">
        <v>54</v>
      </c>
      <c r="N378" t="s">
        <v>41</v>
      </c>
      <c r="O378" t="s">
        <v>42</v>
      </c>
      <c r="P378" t="s">
        <v>43</v>
      </c>
      <c r="Q378" t="s">
        <v>44</v>
      </c>
      <c r="R378" s="1">
        <v>44356.402384259258</v>
      </c>
      <c r="S378" s="1">
        <v>44356.48940972222</v>
      </c>
      <c r="T378">
        <v>0</v>
      </c>
      <c r="U378">
        <v>1</v>
      </c>
      <c r="V378" s="2">
        <v>0</v>
      </c>
      <c r="W378">
        <v>0</v>
      </c>
      <c r="X378" t="s">
        <v>183</v>
      </c>
      <c r="Y378">
        <v>0</v>
      </c>
      <c r="Z378" t="s">
        <v>31</v>
      </c>
      <c r="AA378">
        <v>0</v>
      </c>
      <c r="AB378" t="s">
        <v>31</v>
      </c>
      <c r="AC378">
        <v>0</v>
      </c>
      <c r="AD378" t="s">
        <v>31</v>
      </c>
      <c r="AE378">
        <v>0</v>
      </c>
      <c r="AF378" t="s">
        <v>31</v>
      </c>
      <c r="AG378">
        <v>0</v>
      </c>
    </row>
    <row r="379" spans="1:33" x14ac:dyDescent="0.2">
      <c r="A379" t="s">
        <v>381</v>
      </c>
      <c r="B379" s="3">
        <v>44356</v>
      </c>
      <c r="C379">
        <v>131</v>
      </c>
      <c r="D379" t="s">
        <v>383</v>
      </c>
      <c r="E379" t="s">
        <v>222</v>
      </c>
      <c r="F379" s="9" t="s">
        <v>224</v>
      </c>
      <c r="G379" t="s">
        <v>197</v>
      </c>
      <c r="H379" t="s">
        <v>41</v>
      </c>
      <c r="I379" t="s">
        <v>42</v>
      </c>
      <c r="J379" t="s">
        <v>43</v>
      </c>
      <c r="K379" t="s">
        <v>44</v>
      </c>
      <c r="L379" t="s">
        <v>53</v>
      </c>
      <c r="M379" t="s">
        <v>54</v>
      </c>
      <c r="N379" t="s">
        <v>41</v>
      </c>
      <c r="O379" t="s">
        <v>42</v>
      </c>
      <c r="P379" t="s">
        <v>43</v>
      </c>
      <c r="Q379" t="s">
        <v>44</v>
      </c>
      <c r="R379" s="1">
        <v>44356.586111111108</v>
      </c>
      <c r="S379" s="1">
        <v>44356.586111111108</v>
      </c>
      <c r="T379">
        <v>0</v>
      </c>
      <c r="U379">
        <v>1</v>
      </c>
      <c r="V379" s="2">
        <v>0</v>
      </c>
      <c r="W379">
        <v>0</v>
      </c>
      <c r="X379" t="s">
        <v>183</v>
      </c>
      <c r="Y379">
        <v>0</v>
      </c>
      <c r="Z379" t="s">
        <v>31</v>
      </c>
      <c r="AA379">
        <v>0</v>
      </c>
      <c r="AB379" t="s">
        <v>31</v>
      </c>
      <c r="AC379">
        <v>0</v>
      </c>
      <c r="AD379" t="s">
        <v>31</v>
      </c>
      <c r="AE379">
        <v>0</v>
      </c>
      <c r="AF379" t="s">
        <v>31</v>
      </c>
      <c r="AG379">
        <v>0</v>
      </c>
    </row>
    <row r="380" spans="1:33" x14ac:dyDescent="0.2">
      <c r="A380" t="s">
        <v>381</v>
      </c>
      <c r="B380" s="3">
        <v>44358</v>
      </c>
      <c r="C380">
        <v>133</v>
      </c>
      <c r="D380" t="s">
        <v>390</v>
      </c>
      <c r="E380" t="s">
        <v>222</v>
      </c>
      <c r="F380" s="9" t="s">
        <v>224</v>
      </c>
      <c r="G380" t="s">
        <v>197</v>
      </c>
      <c r="H380" t="s">
        <v>41</v>
      </c>
      <c r="I380" t="s">
        <v>42</v>
      </c>
      <c r="J380" t="s">
        <v>43</v>
      </c>
      <c r="K380" t="s">
        <v>44</v>
      </c>
      <c r="L380" t="s">
        <v>53</v>
      </c>
      <c r="M380" t="s">
        <v>54</v>
      </c>
      <c r="N380" t="s">
        <v>41</v>
      </c>
      <c r="O380" t="s">
        <v>42</v>
      </c>
      <c r="P380" t="s">
        <v>43</v>
      </c>
      <c r="Q380" t="s">
        <v>44</v>
      </c>
      <c r="R380" s="1">
        <v>44358.478888888887</v>
      </c>
      <c r="S380" s="1">
        <v>44358.478888888887</v>
      </c>
      <c r="T380">
        <v>0</v>
      </c>
      <c r="U380">
        <v>1</v>
      </c>
      <c r="V380" s="2">
        <v>0</v>
      </c>
      <c r="W380">
        <v>0</v>
      </c>
      <c r="X380" t="s">
        <v>183</v>
      </c>
      <c r="Y380">
        <v>0</v>
      </c>
      <c r="Z380" t="s">
        <v>31</v>
      </c>
      <c r="AA380">
        <v>0</v>
      </c>
      <c r="AB380" t="s">
        <v>31</v>
      </c>
      <c r="AC380">
        <v>0</v>
      </c>
      <c r="AD380" t="s">
        <v>31</v>
      </c>
      <c r="AE380">
        <v>0</v>
      </c>
      <c r="AF380" t="s">
        <v>31</v>
      </c>
      <c r="AG380">
        <v>0</v>
      </c>
    </row>
    <row r="381" spans="1:33" x14ac:dyDescent="0.2">
      <c r="A381" t="s">
        <v>381</v>
      </c>
      <c r="B381" s="3">
        <v>44361</v>
      </c>
      <c r="C381">
        <v>135</v>
      </c>
      <c r="D381" t="s">
        <v>390</v>
      </c>
      <c r="E381" t="s">
        <v>222</v>
      </c>
      <c r="F381" s="9" t="s">
        <v>224</v>
      </c>
      <c r="G381" t="s">
        <v>197</v>
      </c>
      <c r="H381" t="s">
        <v>41</v>
      </c>
      <c r="I381" t="s">
        <v>42</v>
      </c>
      <c r="J381" t="s">
        <v>43</v>
      </c>
      <c r="K381" t="s">
        <v>44</v>
      </c>
      <c r="L381" t="s">
        <v>53</v>
      </c>
      <c r="M381" t="s">
        <v>54</v>
      </c>
      <c r="N381" t="s">
        <v>41</v>
      </c>
      <c r="O381" t="s">
        <v>42</v>
      </c>
      <c r="P381" t="s">
        <v>43</v>
      </c>
      <c r="Q381" t="s">
        <v>44</v>
      </c>
      <c r="R381" s="1">
        <v>44361.477962962963</v>
      </c>
      <c r="S381" s="1">
        <v>44361.477962962963</v>
      </c>
      <c r="T381">
        <v>0</v>
      </c>
      <c r="U381">
        <v>1</v>
      </c>
      <c r="V381" s="2">
        <v>0</v>
      </c>
      <c r="W381">
        <v>0</v>
      </c>
      <c r="X381" t="s">
        <v>183</v>
      </c>
      <c r="Y381">
        <v>0</v>
      </c>
      <c r="Z381" t="s">
        <v>31</v>
      </c>
      <c r="AA381">
        <v>0</v>
      </c>
      <c r="AB381" t="s">
        <v>31</v>
      </c>
      <c r="AC381">
        <v>0</v>
      </c>
      <c r="AD381" t="s">
        <v>31</v>
      </c>
      <c r="AE381">
        <v>0</v>
      </c>
      <c r="AF381" t="s">
        <v>31</v>
      </c>
      <c r="AG381">
        <v>0</v>
      </c>
    </row>
    <row r="382" spans="1:33" x14ac:dyDescent="0.2">
      <c r="A382" t="s">
        <v>381</v>
      </c>
      <c r="B382" s="3">
        <v>44302</v>
      </c>
      <c r="C382">
        <v>64</v>
      </c>
      <c r="D382" t="s">
        <v>390</v>
      </c>
      <c r="E382" t="s">
        <v>222</v>
      </c>
      <c r="F382" s="9" t="s">
        <v>225</v>
      </c>
      <c r="G382" t="s">
        <v>197</v>
      </c>
      <c r="H382" t="s">
        <v>155</v>
      </c>
      <c r="I382" t="s">
        <v>156</v>
      </c>
      <c r="J382" t="s">
        <v>198</v>
      </c>
      <c r="K382" t="s">
        <v>183</v>
      </c>
      <c r="L382" t="s">
        <v>198</v>
      </c>
      <c r="M382" t="s">
        <v>183</v>
      </c>
      <c r="N382" t="s">
        <v>41</v>
      </c>
      <c r="O382" t="s">
        <v>42</v>
      </c>
      <c r="P382" t="s">
        <v>43</v>
      </c>
      <c r="Q382" t="s">
        <v>44</v>
      </c>
      <c r="R382" s="1">
        <v>44302.446944444448</v>
      </c>
      <c r="S382" s="1">
        <v>44302.446944444448</v>
      </c>
      <c r="T382">
        <v>1</v>
      </c>
      <c r="U382">
        <v>1</v>
      </c>
      <c r="V382" s="2">
        <v>1</v>
      </c>
      <c r="W382">
        <v>0</v>
      </c>
      <c r="X382" t="s">
        <v>183</v>
      </c>
      <c r="Y382">
        <v>0</v>
      </c>
      <c r="Z382" t="s">
        <v>31</v>
      </c>
      <c r="AA382">
        <v>0</v>
      </c>
      <c r="AB382" t="s">
        <v>31</v>
      </c>
      <c r="AC382">
        <v>0</v>
      </c>
      <c r="AD382" t="s">
        <v>31</v>
      </c>
      <c r="AE382">
        <v>0</v>
      </c>
      <c r="AF382" t="s">
        <v>31</v>
      </c>
      <c r="AG382">
        <v>0</v>
      </c>
    </row>
    <row r="383" spans="1:33" x14ac:dyDescent="0.2">
      <c r="A383" t="s">
        <v>381</v>
      </c>
      <c r="B383" s="3">
        <v>44319</v>
      </c>
      <c r="C383">
        <v>84</v>
      </c>
      <c r="D383" t="s">
        <v>390</v>
      </c>
      <c r="E383" t="s">
        <v>222</v>
      </c>
      <c r="F383" s="9" t="s">
        <v>225</v>
      </c>
      <c r="G383" t="s">
        <v>197</v>
      </c>
      <c r="H383" t="s">
        <v>41</v>
      </c>
      <c r="I383" t="s">
        <v>42</v>
      </c>
      <c r="J383" t="s">
        <v>43</v>
      </c>
      <c r="K383" t="s">
        <v>44</v>
      </c>
      <c r="L383" t="s">
        <v>53</v>
      </c>
      <c r="M383" t="s">
        <v>54</v>
      </c>
      <c r="N383" t="s">
        <v>41</v>
      </c>
      <c r="O383" t="s">
        <v>42</v>
      </c>
      <c r="P383" t="s">
        <v>43</v>
      </c>
      <c r="Q383" t="s">
        <v>44</v>
      </c>
      <c r="R383" s="1">
        <v>44319.438055555554</v>
      </c>
      <c r="S383" s="1">
        <v>44319.438055555554</v>
      </c>
      <c r="T383">
        <v>0</v>
      </c>
      <c r="U383">
        <v>1</v>
      </c>
      <c r="V383" s="2">
        <v>0</v>
      </c>
      <c r="W383">
        <v>0</v>
      </c>
      <c r="X383" t="s">
        <v>183</v>
      </c>
      <c r="Y383">
        <v>0</v>
      </c>
      <c r="Z383" t="s">
        <v>31</v>
      </c>
      <c r="AA383">
        <v>0</v>
      </c>
      <c r="AB383" t="s">
        <v>31</v>
      </c>
      <c r="AC383">
        <v>0</v>
      </c>
      <c r="AD383" t="s">
        <v>31</v>
      </c>
      <c r="AE383">
        <v>0</v>
      </c>
      <c r="AF383" t="s">
        <v>31</v>
      </c>
      <c r="AG383">
        <v>0</v>
      </c>
    </row>
    <row r="384" spans="1:33" x14ac:dyDescent="0.2">
      <c r="A384" t="s">
        <v>381</v>
      </c>
      <c r="B384" s="3">
        <v>44320</v>
      </c>
      <c r="C384">
        <v>87</v>
      </c>
      <c r="D384" t="s">
        <v>385</v>
      </c>
      <c r="E384" t="s">
        <v>222</v>
      </c>
      <c r="F384" s="9" t="s">
        <v>225</v>
      </c>
      <c r="G384" t="s">
        <v>197</v>
      </c>
      <c r="H384" t="s">
        <v>41</v>
      </c>
      <c r="I384" t="s">
        <v>42</v>
      </c>
      <c r="J384" t="s">
        <v>43</v>
      </c>
      <c r="K384" t="s">
        <v>44</v>
      </c>
      <c r="L384" t="s">
        <v>53</v>
      </c>
      <c r="M384" t="s">
        <v>54</v>
      </c>
      <c r="N384" t="s">
        <v>41</v>
      </c>
      <c r="O384" t="s">
        <v>42</v>
      </c>
      <c r="P384" t="s">
        <v>43</v>
      </c>
      <c r="Q384" t="s">
        <v>44</v>
      </c>
      <c r="R384" s="1">
        <v>44320.623495370368</v>
      </c>
      <c r="S384" s="1">
        <v>44320.623495370368</v>
      </c>
      <c r="T384">
        <v>0</v>
      </c>
      <c r="U384">
        <v>1</v>
      </c>
      <c r="V384" s="2">
        <v>0</v>
      </c>
      <c r="W384">
        <v>0</v>
      </c>
      <c r="X384" t="s">
        <v>183</v>
      </c>
      <c r="Y384">
        <v>0</v>
      </c>
      <c r="Z384" t="s">
        <v>31</v>
      </c>
      <c r="AA384">
        <v>0</v>
      </c>
      <c r="AB384" t="s">
        <v>31</v>
      </c>
      <c r="AC384">
        <v>0</v>
      </c>
      <c r="AD384" t="s">
        <v>31</v>
      </c>
      <c r="AE384">
        <v>0</v>
      </c>
      <c r="AF384" t="s">
        <v>31</v>
      </c>
      <c r="AG384">
        <v>0</v>
      </c>
    </row>
    <row r="385" spans="1:33" x14ac:dyDescent="0.2">
      <c r="A385" t="s">
        <v>381</v>
      </c>
      <c r="B385" s="3">
        <v>44334</v>
      </c>
      <c r="C385">
        <v>99</v>
      </c>
      <c r="D385" t="s">
        <v>385</v>
      </c>
      <c r="E385" t="s">
        <v>222</v>
      </c>
      <c r="F385" s="9" t="s">
        <v>225</v>
      </c>
      <c r="G385" t="s">
        <v>197</v>
      </c>
      <c r="H385" t="s">
        <v>41</v>
      </c>
      <c r="I385" t="s">
        <v>42</v>
      </c>
      <c r="J385" t="s">
        <v>43</v>
      </c>
      <c r="K385" t="s">
        <v>44</v>
      </c>
      <c r="L385" t="s">
        <v>53</v>
      </c>
      <c r="M385" t="s">
        <v>54</v>
      </c>
      <c r="N385" t="s">
        <v>41</v>
      </c>
      <c r="O385" t="s">
        <v>42</v>
      </c>
      <c r="P385" t="s">
        <v>43</v>
      </c>
      <c r="Q385" t="s">
        <v>44</v>
      </c>
      <c r="R385" s="1">
        <v>44334.629826388889</v>
      </c>
      <c r="S385" s="1">
        <v>44334.629826388889</v>
      </c>
      <c r="T385">
        <v>0</v>
      </c>
      <c r="U385">
        <v>1</v>
      </c>
      <c r="V385" s="2">
        <v>0</v>
      </c>
      <c r="W385">
        <v>0</v>
      </c>
      <c r="X385" t="s">
        <v>183</v>
      </c>
      <c r="Y385">
        <v>0</v>
      </c>
      <c r="Z385" t="s">
        <v>31</v>
      </c>
      <c r="AA385">
        <v>0</v>
      </c>
      <c r="AB385" t="s">
        <v>31</v>
      </c>
      <c r="AC385">
        <v>0</v>
      </c>
      <c r="AD385" t="s">
        <v>31</v>
      </c>
      <c r="AE385">
        <v>0</v>
      </c>
      <c r="AF385" t="s">
        <v>31</v>
      </c>
      <c r="AG385">
        <v>0</v>
      </c>
    </row>
    <row r="386" spans="1:33" x14ac:dyDescent="0.2">
      <c r="A386" t="s">
        <v>381</v>
      </c>
      <c r="B386" s="3">
        <v>44335</v>
      </c>
      <c r="C386">
        <v>100</v>
      </c>
      <c r="D386" t="s">
        <v>398</v>
      </c>
      <c r="E386" t="s">
        <v>222</v>
      </c>
      <c r="F386" s="9" t="s">
        <v>225</v>
      </c>
      <c r="G386" t="s">
        <v>197</v>
      </c>
      <c r="H386" t="s">
        <v>41</v>
      </c>
      <c r="I386" t="s">
        <v>42</v>
      </c>
      <c r="J386" t="s">
        <v>43</v>
      </c>
      <c r="K386" t="s">
        <v>44</v>
      </c>
      <c r="L386" t="s">
        <v>53</v>
      </c>
      <c r="M386" t="s">
        <v>54</v>
      </c>
      <c r="N386" t="s">
        <v>41</v>
      </c>
      <c r="O386" t="s">
        <v>42</v>
      </c>
      <c r="P386" t="s">
        <v>43</v>
      </c>
      <c r="Q386" t="s">
        <v>44</v>
      </c>
      <c r="R386" s="1">
        <v>44335.478935185187</v>
      </c>
      <c r="S386" s="1">
        <v>44335.478935185187</v>
      </c>
      <c r="T386">
        <v>0</v>
      </c>
      <c r="U386">
        <v>1</v>
      </c>
      <c r="V386" s="2">
        <v>0</v>
      </c>
      <c r="W386">
        <v>0</v>
      </c>
      <c r="X386" t="s">
        <v>183</v>
      </c>
      <c r="Y386">
        <v>0</v>
      </c>
      <c r="Z386" t="s">
        <v>31</v>
      </c>
      <c r="AA386">
        <v>0</v>
      </c>
      <c r="AB386" t="s">
        <v>31</v>
      </c>
      <c r="AC386">
        <v>0</v>
      </c>
      <c r="AD386" t="s">
        <v>31</v>
      </c>
      <c r="AE386">
        <v>0</v>
      </c>
      <c r="AF386" t="s">
        <v>31</v>
      </c>
      <c r="AG386">
        <v>0</v>
      </c>
    </row>
    <row r="387" spans="1:33" x14ac:dyDescent="0.2">
      <c r="A387" t="s">
        <v>381</v>
      </c>
      <c r="B387" s="3">
        <v>44338</v>
      </c>
      <c r="C387">
        <v>107</v>
      </c>
      <c r="D387" t="s">
        <v>392</v>
      </c>
      <c r="E387" t="s">
        <v>222</v>
      </c>
      <c r="F387" s="9" t="s">
        <v>225</v>
      </c>
      <c r="G387" t="s">
        <v>197</v>
      </c>
      <c r="H387" t="s">
        <v>41</v>
      </c>
      <c r="I387" t="s">
        <v>42</v>
      </c>
      <c r="J387" t="s">
        <v>43</v>
      </c>
      <c r="K387" t="s">
        <v>44</v>
      </c>
      <c r="L387" t="s">
        <v>53</v>
      </c>
      <c r="M387" t="s">
        <v>54</v>
      </c>
      <c r="N387" t="s">
        <v>41</v>
      </c>
      <c r="O387" t="s">
        <v>42</v>
      </c>
      <c r="P387" t="s">
        <v>43</v>
      </c>
      <c r="Q387" t="s">
        <v>44</v>
      </c>
      <c r="R387" s="1">
        <v>44338.641759259262</v>
      </c>
      <c r="S387" s="1">
        <v>44338.641759259262</v>
      </c>
      <c r="T387">
        <v>0</v>
      </c>
      <c r="U387">
        <v>1</v>
      </c>
      <c r="V387" s="2">
        <v>0</v>
      </c>
      <c r="W387">
        <v>0</v>
      </c>
      <c r="X387" t="s">
        <v>183</v>
      </c>
      <c r="Y387">
        <v>0</v>
      </c>
      <c r="Z387" t="s">
        <v>31</v>
      </c>
      <c r="AA387">
        <v>0</v>
      </c>
      <c r="AB387" t="s">
        <v>31</v>
      </c>
      <c r="AC387">
        <v>0</v>
      </c>
      <c r="AD387" t="s">
        <v>31</v>
      </c>
      <c r="AE387">
        <v>0</v>
      </c>
      <c r="AF387" t="s">
        <v>31</v>
      </c>
      <c r="AG387">
        <v>0</v>
      </c>
    </row>
    <row r="388" spans="1:33" x14ac:dyDescent="0.2">
      <c r="A388" t="s">
        <v>381</v>
      </c>
      <c r="B388" s="3">
        <v>44340</v>
      </c>
      <c r="C388">
        <v>109</v>
      </c>
      <c r="D388" t="s">
        <v>383</v>
      </c>
      <c r="E388" t="s">
        <v>222</v>
      </c>
      <c r="F388" s="9" t="s">
        <v>225</v>
      </c>
      <c r="G388" t="s">
        <v>197</v>
      </c>
      <c r="H388" t="s">
        <v>41</v>
      </c>
      <c r="I388" t="s">
        <v>42</v>
      </c>
      <c r="J388" t="s">
        <v>43</v>
      </c>
      <c r="K388" t="s">
        <v>44</v>
      </c>
      <c r="L388" t="s">
        <v>53</v>
      </c>
      <c r="M388" t="s">
        <v>54</v>
      </c>
      <c r="N388" t="s">
        <v>41</v>
      </c>
      <c r="O388" t="s">
        <v>42</v>
      </c>
      <c r="P388" t="s">
        <v>43</v>
      </c>
      <c r="Q388" t="s">
        <v>44</v>
      </c>
      <c r="R388" s="1">
        <v>44340.643159722225</v>
      </c>
      <c r="S388" s="1">
        <v>44340.643159722225</v>
      </c>
      <c r="T388">
        <v>0</v>
      </c>
      <c r="U388">
        <v>1</v>
      </c>
      <c r="V388" s="2">
        <v>0</v>
      </c>
      <c r="W388">
        <v>0</v>
      </c>
      <c r="X388" t="s">
        <v>183</v>
      </c>
      <c r="Y388">
        <v>0</v>
      </c>
      <c r="Z388" t="s">
        <v>31</v>
      </c>
      <c r="AA388">
        <v>0</v>
      </c>
      <c r="AB388" t="s">
        <v>31</v>
      </c>
      <c r="AC388">
        <v>0</v>
      </c>
      <c r="AD388" t="s">
        <v>31</v>
      </c>
      <c r="AE388">
        <v>0</v>
      </c>
      <c r="AF388" t="s">
        <v>31</v>
      </c>
      <c r="AG388">
        <v>0</v>
      </c>
    </row>
    <row r="389" spans="1:33" x14ac:dyDescent="0.2">
      <c r="A389" t="s">
        <v>381</v>
      </c>
      <c r="B389" s="3">
        <v>44341</v>
      </c>
      <c r="C389">
        <v>110</v>
      </c>
      <c r="D389" t="s">
        <v>383</v>
      </c>
      <c r="E389" t="s">
        <v>222</v>
      </c>
      <c r="F389" s="9" t="s">
        <v>225</v>
      </c>
      <c r="G389" t="s">
        <v>197</v>
      </c>
      <c r="H389" t="s">
        <v>41</v>
      </c>
      <c r="I389" t="s">
        <v>42</v>
      </c>
      <c r="J389" t="s">
        <v>43</v>
      </c>
      <c r="K389" t="s">
        <v>44</v>
      </c>
      <c r="L389" t="s">
        <v>53</v>
      </c>
      <c r="M389" t="s">
        <v>54</v>
      </c>
      <c r="N389" t="s">
        <v>41</v>
      </c>
      <c r="O389" t="s">
        <v>42</v>
      </c>
      <c r="P389" t="s">
        <v>43</v>
      </c>
      <c r="Q389" t="s">
        <v>44</v>
      </c>
      <c r="R389" s="1">
        <v>44341.458032407405</v>
      </c>
      <c r="S389" s="1">
        <v>44341.458032407405</v>
      </c>
      <c r="T389">
        <v>0</v>
      </c>
      <c r="U389">
        <v>1</v>
      </c>
      <c r="V389" s="2">
        <v>0</v>
      </c>
      <c r="W389">
        <v>0</v>
      </c>
      <c r="X389" t="s">
        <v>183</v>
      </c>
      <c r="Y389">
        <v>0</v>
      </c>
      <c r="Z389" t="s">
        <v>31</v>
      </c>
      <c r="AA389">
        <v>0</v>
      </c>
      <c r="AB389" t="s">
        <v>31</v>
      </c>
      <c r="AC389">
        <v>0</v>
      </c>
      <c r="AD389" t="s">
        <v>31</v>
      </c>
      <c r="AE389">
        <v>0</v>
      </c>
      <c r="AF389" t="s">
        <v>31</v>
      </c>
      <c r="AG389">
        <v>0</v>
      </c>
    </row>
    <row r="390" spans="1:33" x14ac:dyDescent="0.2">
      <c r="A390" t="s">
        <v>381</v>
      </c>
      <c r="B390" s="3">
        <v>44342</v>
      </c>
      <c r="C390">
        <v>112</v>
      </c>
      <c r="D390" t="s">
        <v>394</v>
      </c>
      <c r="E390" t="s">
        <v>222</v>
      </c>
      <c r="F390" s="9" t="s">
        <v>225</v>
      </c>
      <c r="G390" t="s">
        <v>197</v>
      </c>
      <c r="H390" t="s">
        <v>41</v>
      </c>
      <c r="I390" t="s">
        <v>42</v>
      </c>
      <c r="J390" t="s">
        <v>43</v>
      </c>
      <c r="K390" t="s">
        <v>44</v>
      </c>
      <c r="L390" t="s">
        <v>53</v>
      </c>
      <c r="M390" t="s">
        <v>54</v>
      </c>
      <c r="N390" t="s">
        <v>41</v>
      </c>
      <c r="O390" t="s">
        <v>42</v>
      </c>
      <c r="P390" t="s">
        <v>43</v>
      </c>
      <c r="Q390" t="s">
        <v>44</v>
      </c>
      <c r="R390" s="1">
        <v>44342.469571759262</v>
      </c>
      <c r="S390" s="1">
        <v>44342.469571759262</v>
      </c>
      <c r="T390">
        <v>0</v>
      </c>
      <c r="U390">
        <v>1</v>
      </c>
      <c r="V390" s="2">
        <v>0</v>
      </c>
      <c r="W390">
        <v>0</v>
      </c>
      <c r="X390" t="s">
        <v>183</v>
      </c>
      <c r="Y390">
        <v>0</v>
      </c>
      <c r="Z390" t="s">
        <v>31</v>
      </c>
      <c r="AA390">
        <v>0</v>
      </c>
      <c r="AB390" t="s">
        <v>31</v>
      </c>
      <c r="AC390">
        <v>0</v>
      </c>
      <c r="AD390" t="s">
        <v>31</v>
      </c>
      <c r="AE390">
        <v>0</v>
      </c>
      <c r="AF390" t="s">
        <v>31</v>
      </c>
      <c r="AG390">
        <v>0</v>
      </c>
    </row>
    <row r="391" spans="1:33" x14ac:dyDescent="0.2">
      <c r="A391" t="s">
        <v>381</v>
      </c>
      <c r="B391" s="3">
        <v>44342</v>
      </c>
      <c r="C391">
        <v>113</v>
      </c>
      <c r="D391" t="s">
        <v>383</v>
      </c>
      <c r="E391" t="s">
        <v>222</v>
      </c>
      <c r="F391" s="9" t="s">
        <v>225</v>
      </c>
      <c r="G391" t="s">
        <v>197</v>
      </c>
      <c r="H391" t="s">
        <v>41</v>
      </c>
      <c r="I391" t="s">
        <v>42</v>
      </c>
      <c r="J391" t="s">
        <v>43</v>
      </c>
      <c r="K391" t="s">
        <v>44</v>
      </c>
      <c r="L391" t="s">
        <v>53</v>
      </c>
      <c r="M391" t="s">
        <v>54</v>
      </c>
      <c r="N391" t="s">
        <v>41</v>
      </c>
      <c r="O391" t="s">
        <v>42</v>
      </c>
      <c r="P391" t="s">
        <v>43</v>
      </c>
      <c r="Q391" t="s">
        <v>44</v>
      </c>
      <c r="R391" s="1">
        <v>44342.58834490741</v>
      </c>
      <c r="S391" s="1">
        <v>44342.58834490741</v>
      </c>
      <c r="T391">
        <v>0</v>
      </c>
      <c r="U391">
        <v>1</v>
      </c>
      <c r="V391" s="2">
        <v>0</v>
      </c>
      <c r="W391">
        <v>0</v>
      </c>
      <c r="X391" t="s">
        <v>183</v>
      </c>
      <c r="Y391">
        <v>0</v>
      </c>
      <c r="Z391" t="s">
        <v>31</v>
      </c>
      <c r="AA391">
        <v>0</v>
      </c>
      <c r="AB391" t="s">
        <v>31</v>
      </c>
      <c r="AC391">
        <v>0</v>
      </c>
      <c r="AD391" t="s">
        <v>31</v>
      </c>
      <c r="AE391">
        <v>0</v>
      </c>
      <c r="AF391" t="s">
        <v>31</v>
      </c>
      <c r="AG391">
        <v>0</v>
      </c>
    </row>
    <row r="392" spans="1:33" x14ac:dyDescent="0.2">
      <c r="A392" t="s">
        <v>381</v>
      </c>
      <c r="B392" s="3">
        <v>44344</v>
      </c>
      <c r="C392">
        <v>116</v>
      </c>
      <c r="D392" t="s">
        <v>390</v>
      </c>
      <c r="E392" t="s">
        <v>222</v>
      </c>
      <c r="F392" s="9" t="s">
        <v>225</v>
      </c>
      <c r="G392" t="s">
        <v>197</v>
      </c>
      <c r="H392" t="s">
        <v>41</v>
      </c>
      <c r="I392" t="s">
        <v>42</v>
      </c>
      <c r="J392" t="s">
        <v>43</v>
      </c>
      <c r="K392" t="s">
        <v>44</v>
      </c>
      <c r="L392" t="s">
        <v>53</v>
      </c>
      <c r="M392" t="s">
        <v>54</v>
      </c>
      <c r="N392" t="s">
        <v>41</v>
      </c>
      <c r="O392" t="s">
        <v>42</v>
      </c>
      <c r="P392" t="s">
        <v>43</v>
      </c>
      <c r="Q392" t="s">
        <v>44</v>
      </c>
      <c r="R392" s="1">
        <v>44344.477430555555</v>
      </c>
      <c r="S392" s="1">
        <v>44344.477430555555</v>
      </c>
      <c r="T392">
        <v>0</v>
      </c>
      <c r="U392">
        <v>1</v>
      </c>
      <c r="V392" s="2">
        <v>0</v>
      </c>
      <c r="W392">
        <v>0</v>
      </c>
      <c r="X392" t="s">
        <v>183</v>
      </c>
      <c r="Y392">
        <v>0</v>
      </c>
      <c r="Z392" t="s">
        <v>31</v>
      </c>
      <c r="AA392">
        <v>0</v>
      </c>
      <c r="AB392" t="s">
        <v>31</v>
      </c>
      <c r="AC392">
        <v>0</v>
      </c>
      <c r="AD392" t="s">
        <v>31</v>
      </c>
      <c r="AE392">
        <v>0</v>
      </c>
      <c r="AF392" t="s">
        <v>31</v>
      </c>
      <c r="AG392">
        <v>0</v>
      </c>
    </row>
    <row r="393" spans="1:33" x14ac:dyDescent="0.2">
      <c r="A393" t="s">
        <v>381</v>
      </c>
      <c r="B393" s="3">
        <v>44349</v>
      </c>
      <c r="C393">
        <v>120</v>
      </c>
      <c r="D393" t="s">
        <v>398</v>
      </c>
      <c r="E393" t="s">
        <v>222</v>
      </c>
      <c r="F393" s="9" t="s">
        <v>225</v>
      </c>
      <c r="G393" t="s">
        <v>197</v>
      </c>
      <c r="H393" t="s">
        <v>41</v>
      </c>
      <c r="I393" t="s">
        <v>42</v>
      </c>
      <c r="J393" t="s">
        <v>43</v>
      </c>
      <c r="K393" t="s">
        <v>44</v>
      </c>
      <c r="L393" t="s">
        <v>53</v>
      </c>
      <c r="M393" t="s">
        <v>54</v>
      </c>
      <c r="N393" t="s">
        <v>41</v>
      </c>
      <c r="O393" t="s">
        <v>42</v>
      </c>
      <c r="P393" t="s">
        <v>43</v>
      </c>
      <c r="Q393" t="s">
        <v>44</v>
      </c>
      <c r="R393" s="1">
        <v>44349.483101851853</v>
      </c>
      <c r="S393" s="1">
        <v>44349.483113425929</v>
      </c>
      <c r="T393">
        <v>0</v>
      </c>
      <c r="U393">
        <v>2</v>
      </c>
      <c r="V393" s="2">
        <v>0</v>
      </c>
      <c r="W393">
        <v>0</v>
      </c>
      <c r="X393" t="s">
        <v>44</v>
      </c>
      <c r="Y393">
        <v>0</v>
      </c>
      <c r="Z393" t="s">
        <v>183</v>
      </c>
      <c r="AA393">
        <v>0</v>
      </c>
      <c r="AB393" t="s">
        <v>31</v>
      </c>
      <c r="AC393">
        <v>0</v>
      </c>
      <c r="AD393" t="s">
        <v>31</v>
      </c>
      <c r="AE393">
        <v>0</v>
      </c>
      <c r="AF393" t="s">
        <v>31</v>
      </c>
      <c r="AG393">
        <v>0</v>
      </c>
    </row>
    <row r="394" spans="1:33" x14ac:dyDescent="0.2">
      <c r="A394" t="s">
        <v>381</v>
      </c>
      <c r="B394" s="3">
        <v>44351</v>
      </c>
      <c r="C394">
        <v>124</v>
      </c>
      <c r="D394" t="s">
        <v>390</v>
      </c>
      <c r="E394" t="s">
        <v>222</v>
      </c>
      <c r="F394" s="9" t="s">
        <v>225</v>
      </c>
      <c r="G394" t="s">
        <v>197</v>
      </c>
      <c r="H394" t="s">
        <v>41</v>
      </c>
      <c r="I394" t="s">
        <v>42</v>
      </c>
      <c r="J394" t="s">
        <v>43</v>
      </c>
      <c r="K394" t="s">
        <v>44</v>
      </c>
      <c r="L394" t="s">
        <v>53</v>
      </c>
      <c r="M394" t="s">
        <v>54</v>
      </c>
      <c r="N394" t="s">
        <v>41</v>
      </c>
      <c r="O394" t="s">
        <v>42</v>
      </c>
      <c r="P394" t="s">
        <v>43</v>
      </c>
      <c r="Q394" t="s">
        <v>44</v>
      </c>
      <c r="R394" s="1">
        <v>44351.479027777779</v>
      </c>
      <c r="S394" s="1">
        <v>44351.479027777779</v>
      </c>
      <c r="T394">
        <v>0</v>
      </c>
      <c r="U394">
        <v>1</v>
      </c>
      <c r="V394" s="2">
        <v>0</v>
      </c>
      <c r="W394">
        <v>0</v>
      </c>
      <c r="X394" t="s">
        <v>183</v>
      </c>
      <c r="Y394">
        <v>0</v>
      </c>
      <c r="Z394" t="s">
        <v>31</v>
      </c>
      <c r="AA394">
        <v>0</v>
      </c>
      <c r="AB394" t="s">
        <v>31</v>
      </c>
      <c r="AC394">
        <v>0</v>
      </c>
      <c r="AD394" t="s">
        <v>31</v>
      </c>
      <c r="AE394">
        <v>0</v>
      </c>
      <c r="AF394" t="s">
        <v>31</v>
      </c>
      <c r="AG394">
        <v>0</v>
      </c>
    </row>
    <row r="395" spans="1:33" x14ac:dyDescent="0.2">
      <c r="A395" t="s">
        <v>381</v>
      </c>
      <c r="B395" s="3">
        <v>44354</v>
      </c>
      <c r="C395">
        <v>127</v>
      </c>
      <c r="D395" t="s">
        <v>383</v>
      </c>
      <c r="E395" t="s">
        <v>222</v>
      </c>
      <c r="F395" s="9" t="s">
        <v>225</v>
      </c>
      <c r="G395" t="s">
        <v>197</v>
      </c>
      <c r="H395" t="s">
        <v>41</v>
      </c>
      <c r="I395" t="s">
        <v>42</v>
      </c>
      <c r="J395" t="s">
        <v>43</v>
      </c>
      <c r="K395" t="s">
        <v>44</v>
      </c>
      <c r="L395" t="s">
        <v>53</v>
      </c>
      <c r="M395" t="s">
        <v>54</v>
      </c>
      <c r="N395" t="s">
        <v>41</v>
      </c>
      <c r="O395" t="s">
        <v>42</v>
      </c>
      <c r="P395" t="s">
        <v>43</v>
      </c>
      <c r="Q395" t="s">
        <v>44</v>
      </c>
      <c r="R395" s="1">
        <v>44354.535277777781</v>
      </c>
      <c r="S395" s="1">
        <v>44354.535277777781</v>
      </c>
      <c r="T395">
        <v>0</v>
      </c>
      <c r="U395">
        <v>1</v>
      </c>
      <c r="V395" s="2">
        <v>0</v>
      </c>
      <c r="W395">
        <v>0</v>
      </c>
      <c r="X395" t="s">
        <v>183</v>
      </c>
      <c r="Y395">
        <v>0</v>
      </c>
      <c r="Z395" t="s">
        <v>31</v>
      </c>
      <c r="AA395">
        <v>0</v>
      </c>
      <c r="AB395" t="s">
        <v>31</v>
      </c>
      <c r="AC395">
        <v>0</v>
      </c>
      <c r="AD395" t="s">
        <v>31</v>
      </c>
      <c r="AE395">
        <v>0</v>
      </c>
      <c r="AF395" t="s">
        <v>31</v>
      </c>
      <c r="AG395">
        <v>0</v>
      </c>
    </row>
    <row r="396" spans="1:33" x14ac:dyDescent="0.2">
      <c r="A396" t="s">
        <v>381</v>
      </c>
      <c r="B396" s="3">
        <v>44355</v>
      </c>
      <c r="C396">
        <v>128</v>
      </c>
      <c r="D396" t="s">
        <v>406</v>
      </c>
      <c r="E396" t="s">
        <v>222</v>
      </c>
      <c r="F396" s="9" t="s">
        <v>225</v>
      </c>
      <c r="G396" t="s">
        <v>197</v>
      </c>
      <c r="H396" t="s">
        <v>41</v>
      </c>
      <c r="I396" t="s">
        <v>42</v>
      </c>
      <c r="J396" t="s">
        <v>43</v>
      </c>
      <c r="K396" t="s">
        <v>44</v>
      </c>
      <c r="L396" t="s">
        <v>53</v>
      </c>
      <c r="M396" t="s">
        <v>54</v>
      </c>
      <c r="N396" t="s">
        <v>41</v>
      </c>
      <c r="O396" t="s">
        <v>42</v>
      </c>
      <c r="P396" t="s">
        <v>43</v>
      </c>
      <c r="Q396" t="s">
        <v>44</v>
      </c>
      <c r="R396" s="1">
        <v>44355.469710648147</v>
      </c>
      <c r="S396" s="1">
        <v>44355.469710648147</v>
      </c>
      <c r="T396">
        <v>0</v>
      </c>
      <c r="U396">
        <v>1</v>
      </c>
      <c r="V396" s="2">
        <v>0</v>
      </c>
      <c r="W396">
        <v>0</v>
      </c>
      <c r="X396" t="s">
        <v>183</v>
      </c>
      <c r="Y396">
        <v>0</v>
      </c>
      <c r="Z396" t="s">
        <v>31</v>
      </c>
      <c r="AA396">
        <v>0</v>
      </c>
      <c r="AB396" t="s">
        <v>31</v>
      </c>
      <c r="AC396">
        <v>0</v>
      </c>
      <c r="AD396" t="s">
        <v>31</v>
      </c>
      <c r="AE396">
        <v>0</v>
      </c>
      <c r="AF396" t="s">
        <v>31</v>
      </c>
      <c r="AG396">
        <v>0</v>
      </c>
    </row>
    <row r="397" spans="1:33" x14ac:dyDescent="0.2">
      <c r="A397" t="s">
        <v>381</v>
      </c>
      <c r="B397" s="3">
        <v>44356</v>
      </c>
      <c r="C397">
        <v>130</v>
      </c>
      <c r="D397" t="s">
        <v>398</v>
      </c>
      <c r="E397" t="s">
        <v>222</v>
      </c>
      <c r="F397" s="9" t="s">
        <v>225</v>
      </c>
      <c r="G397" t="s">
        <v>197</v>
      </c>
      <c r="H397" t="s">
        <v>41</v>
      </c>
      <c r="I397" t="s">
        <v>42</v>
      </c>
      <c r="J397" t="s">
        <v>43</v>
      </c>
      <c r="K397" t="s">
        <v>44</v>
      </c>
      <c r="L397" t="s">
        <v>53</v>
      </c>
      <c r="M397" t="s">
        <v>54</v>
      </c>
      <c r="N397" t="s">
        <v>41</v>
      </c>
      <c r="O397" t="s">
        <v>42</v>
      </c>
      <c r="P397" t="s">
        <v>43</v>
      </c>
      <c r="Q397" t="s">
        <v>44</v>
      </c>
      <c r="R397" s="1">
        <v>44356.402395833335</v>
      </c>
      <c r="S397" s="1">
        <v>44356.402395833335</v>
      </c>
      <c r="T397">
        <v>1</v>
      </c>
      <c r="U397">
        <v>1</v>
      </c>
      <c r="V397" s="2">
        <v>1</v>
      </c>
      <c r="W397">
        <v>1</v>
      </c>
      <c r="X397" t="s">
        <v>54</v>
      </c>
      <c r="Y397">
        <v>1</v>
      </c>
      <c r="Z397" t="s">
        <v>31</v>
      </c>
      <c r="AA397">
        <v>0</v>
      </c>
      <c r="AB397" t="s">
        <v>31</v>
      </c>
      <c r="AC397">
        <v>0</v>
      </c>
      <c r="AD397" t="s">
        <v>31</v>
      </c>
      <c r="AE397">
        <v>0</v>
      </c>
      <c r="AF397" t="s">
        <v>31</v>
      </c>
      <c r="AG397">
        <v>0</v>
      </c>
    </row>
    <row r="398" spans="1:33" x14ac:dyDescent="0.2">
      <c r="A398" t="s">
        <v>381</v>
      </c>
      <c r="B398" s="3">
        <v>44356</v>
      </c>
      <c r="C398">
        <v>131</v>
      </c>
      <c r="D398" t="s">
        <v>383</v>
      </c>
      <c r="E398" t="s">
        <v>222</v>
      </c>
      <c r="F398" s="9" t="s">
        <v>225</v>
      </c>
      <c r="G398" t="s">
        <v>197</v>
      </c>
      <c r="H398" t="s">
        <v>41</v>
      </c>
      <c r="I398" t="s">
        <v>42</v>
      </c>
      <c r="J398" t="s">
        <v>43</v>
      </c>
      <c r="K398" t="s">
        <v>44</v>
      </c>
      <c r="L398" t="s">
        <v>53</v>
      </c>
      <c r="M398" t="s">
        <v>54</v>
      </c>
      <c r="N398" t="s">
        <v>41</v>
      </c>
      <c r="O398" t="s">
        <v>42</v>
      </c>
      <c r="P398" t="s">
        <v>43</v>
      </c>
      <c r="Q398" t="s">
        <v>44</v>
      </c>
      <c r="R398" s="1">
        <v>44356.586122685185</v>
      </c>
      <c r="S398" s="1">
        <v>44356.586122685185</v>
      </c>
      <c r="T398">
        <v>0</v>
      </c>
      <c r="U398">
        <v>1</v>
      </c>
      <c r="V398" s="2">
        <v>0</v>
      </c>
      <c r="W398">
        <v>0</v>
      </c>
      <c r="X398" t="s">
        <v>183</v>
      </c>
      <c r="Y398">
        <v>0</v>
      </c>
      <c r="Z398" t="s">
        <v>31</v>
      </c>
      <c r="AA398">
        <v>0</v>
      </c>
      <c r="AB398" t="s">
        <v>31</v>
      </c>
      <c r="AC398">
        <v>0</v>
      </c>
      <c r="AD398" t="s">
        <v>31</v>
      </c>
      <c r="AE398">
        <v>0</v>
      </c>
      <c r="AF398" t="s">
        <v>31</v>
      </c>
      <c r="AG398">
        <v>0</v>
      </c>
    </row>
    <row r="399" spans="1:33" x14ac:dyDescent="0.2">
      <c r="A399" t="s">
        <v>381</v>
      </c>
      <c r="B399" s="3">
        <v>44358</v>
      </c>
      <c r="C399">
        <v>133</v>
      </c>
      <c r="D399" t="s">
        <v>390</v>
      </c>
      <c r="E399" t="s">
        <v>222</v>
      </c>
      <c r="F399" s="9" t="s">
        <v>225</v>
      </c>
      <c r="G399" t="s">
        <v>197</v>
      </c>
      <c r="H399" t="s">
        <v>41</v>
      </c>
      <c r="I399" t="s">
        <v>42</v>
      </c>
      <c r="J399" t="s">
        <v>43</v>
      </c>
      <c r="K399" t="s">
        <v>44</v>
      </c>
      <c r="L399" t="s">
        <v>53</v>
      </c>
      <c r="M399" t="s">
        <v>54</v>
      </c>
      <c r="N399" t="s">
        <v>41</v>
      </c>
      <c r="O399" t="s">
        <v>42</v>
      </c>
      <c r="P399" t="s">
        <v>43</v>
      </c>
      <c r="Q399" t="s">
        <v>44</v>
      </c>
      <c r="R399" s="1">
        <v>44358.478888888887</v>
      </c>
      <c r="S399" s="1">
        <v>44358.478888888887</v>
      </c>
      <c r="T399">
        <v>0</v>
      </c>
      <c r="U399">
        <v>1</v>
      </c>
      <c r="V399" s="2">
        <v>0</v>
      </c>
      <c r="W399">
        <v>0</v>
      </c>
      <c r="X399" t="s">
        <v>183</v>
      </c>
      <c r="Y399">
        <v>0</v>
      </c>
      <c r="Z399" t="s">
        <v>31</v>
      </c>
      <c r="AA399">
        <v>0</v>
      </c>
      <c r="AB399" t="s">
        <v>31</v>
      </c>
      <c r="AC399">
        <v>0</v>
      </c>
      <c r="AD399" t="s">
        <v>31</v>
      </c>
      <c r="AE399">
        <v>0</v>
      </c>
      <c r="AF399" t="s">
        <v>31</v>
      </c>
      <c r="AG399">
        <v>0</v>
      </c>
    </row>
    <row r="400" spans="1:33" x14ac:dyDescent="0.2">
      <c r="A400" t="s">
        <v>381</v>
      </c>
      <c r="B400" s="3">
        <v>44361</v>
      </c>
      <c r="C400">
        <v>135</v>
      </c>
      <c r="D400" t="s">
        <v>390</v>
      </c>
      <c r="E400" t="s">
        <v>222</v>
      </c>
      <c r="F400" s="9" t="s">
        <v>225</v>
      </c>
      <c r="G400" t="s">
        <v>197</v>
      </c>
      <c r="H400" t="s">
        <v>41</v>
      </c>
      <c r="I400" t="s">
        <v>42</v>
      </c>
      <c r="J400" t="s">
        <v>43</v>
      </c>
      <c r="K400" t="s">
        <v>44</v>
      </c>
      <c r="L400" t="s">
        <v>53</v>
      </c>
      <c r="M400" t="s">
        <v>54</v>
      </c>
      <c r="N400" t="s">
        <v>41</v>
      </c>
      <c r="O400" t="s">
        <v>42</v>
      </c>
      <c r="P400" t="s">
        <v>43</v>
      </c>
      <c r="Q400" t="s">
        <v>44</v>
      </c>
      <c r="R400" s="1">
        <v>44361.477962962963</v>
      </c>
      <c r="S400" s="1">
        <v>44361.477962962963</v>
      </c>
      <c r="T400">
        <v>0</v>
      </c>
      <c r="U400">
        <v>1</v>
      </c>
      <c r="V400" s="2">
        <v>0</v>
      </c>
      <c r="W400">
        <v>0</v>
      </c>
      <c r="X400" t="s">
        <v>183</v>
      </c>
      <c r="Y400">
        <v>0</v>
      </c>
      <c r="Z400" t="s">
        <v>31</v>
      </c>
      <c r="AA400">
        <v>0</v>
      </c>
      <c r="AB400" t="s">
        <v>31</v>
      </c>
      <c r="AC400">
        <v>0</v>
      </c>
      <c r="AD400" t="s">
        <v>31</v>
      </c>
      <c r="AE400">
        <v>0</v>
      </c>
      <c r="AF400" t="s">
        <v>31</v>
      </c>
      <c r="AG400">
        <v>0</v>
      </c>
    </row>
    <row r="401" spans="1:33" x14ac:dyDescent="0.2">
      <c r="A401" t="s">
        <v>381</v>
      </c>
      <c r="B401" s="3">
        <v>44302</v>
      </c>
      <c r="C401">
        <v>64</v>
      </c>
      <c r="D401" t="s">
        <v>390</v>
      </c>
      <c r="E401" t="s">
        <v>222</v>
      </c>
      <c r="F401" s="9" t="s">
        <v>226</v>
      </c>
      <c r="G401" t="s">
        <v>197</v>
      </c>
      <c r="H401" t="s">
        <v>155</v>
      </c>
      <c r="I401" t="s">
        <v>156</v>
      </c>
      <c r="J401" t="s">
        <v>198</v>
      </c>
      <c r="K401" t="s">
        <v>183</v>
      </c>
      <c r="L401" t="s">
        <v>198</v>
      </c>
      <c r="M401" t="s">
        <v>183</v>
      </c>
      <c r="N401" t="s">
        <v>41</v>
      </c>
      <c r="O401" t="s">
        <v>42</v>
      </c>
      <c r="P401" t="s">
        <v>43</v>
      </c>
      <c r="Q401" t="s">
        <v>44</v>
      </c>
      <c r="R401" s="1">
        <v>44302.446944444448</v>
      </c>
      <c r="S401" s="1">
        <v>44302.446944444448</v>
      </c>
      <c r="T401">
        <v>1</v>
      </c>
      <c r="U401">
        <v>1</v>
      </c>
      <c r="V401" s="2">
        <v>1</v>
      </c>
      <c r="W401">
        <v>0</v>
      </c>
      <c r="X401" t="s">
        <v>183</v>
      </c>
      <c r="Y401">
        <v>0</v>
      </c>
      <c r="Z401" t="s">
        <v>31</v>
      </c>
      <c r="AA401">
        <v>0</v>
      </c>
      <c r="AB401" t="s">
        <v>31</v>
      </c>
      <c r="AC401">
        <v>0</v>
      </c>
      <c r="AD401" t="s">
        <v>31</v>
      </c>
      <c r="AE401">
        <v>0</v>
      </c>
      <c r="AF401" t="s">
        <v>31</v>
      </c>
      <c r="AG401">
        <v>0</v>
      </c>
    </row>
    <row r="402" spans="1:33" x14ac:dyDescent="0.2">
      <c r="A402" t="s">
        <v>381</v>
      </c>
      <c r="B402" s="3">
        <v>44319</v>
      </c>
      <c r="C402">
        <v>84</v>
      </c>
      <c r="D402" t="s">
        <v>390</v>
      </c>
      <c r="E402" t="s">
        <v>222</v>
      </c>
      <c r="F402" s="9" t="s">
        <v>226</v>
      </c>
      <c r="G402" t="s">
        <v>197</v>
      </c>
      <c r="H402" t="s">
        <v>41</v>
      </c>
      <c r="I402" t="s">
        <v>42</v>
      </c>
      <c r="J402" t="s">
        <v>43</v>
      </c>
      <c r="K402" t="s">
        <v>44</v>
      </c>
      <c r="L402" t="s">
        <v>53</v>
      </c>
      <c r="M402" t="s">
        <v>54</v>
      </c>
      <c r="N402" t="s">
        <v>41</v>
      </c>
      <c r="O402" t="s">
        <v>42</v>
      </c>
      <c r="P402" t="s">
        <v>43</v>
      </c>
      <c r="Q402" t="s">
        <v>44</v>
      </c>
      <c r="R402" s="1">
        <v>44319.438055555554</v>
      </c>
      <c r="S402" s="1">
        <v>44319.438055555554</v>
      </c>
      <c r="T402">
        <v>0</v>
      </c>
      <c r="U402">
        <v>1</v>
      </c>
      <c r="V402" s="2">
        <v>0</v>
      </c>
      <c r="W402">
        <v>0</v>
      </c>
      <c r="X402" t="s">
        <v>183</v>
      </c>
      <c r="Y402">
        <v>0</v>
      </c>
      <c r="Z402" t="s">
        <v>31</v>
      </c>
      <c r="AA402">
        <v>0</v>
      </c>
      <c r="AB402" t="s">
        <v>31</v>
      </c>
      <c r="AC402">
        <v>0</v>
      </c>
      <c r="AD402" t="s">
        <v>31</v>
      </c>
      <c r="AE402">
        <v>0</v>
      </c>
      <c r="AF402" t="s">
        <v>31</v>
      </c>
      <c r="AG402">
        <v>0</v>
      </c>
    </row>
    <row r="403" spans="1:33" x14ac:dyDescent="0.2">
      <c r="A403" t="s">
        <v>381</v>
      </c>
      <c r="B403" s="3">
        <v>44320</v>
      </c>
      <c r="C403">
        <v>87</v>
      </c>
      <c r="D403" t="s">
        <v>385</v>
      </c>
      <c r="E403" t="s">
        <v>222</v>
      </c>
      <c r="F403" s="9" t="s">
        <v>226</v>
      </c>
      <c r="G403" t="s">
        <v>197</v>
      </c>
      <c r="H403" t="s">
        <v>41</v>
      </c>
      <c r="I403" t="s">
        <v>42</v>
      </c>
      <c r="J403" t="s">
        <v>43</v>
      </c>
      <c r="K403" t="s">
        <v>44</v>
      </c>
      <c r="L403" t="s">
        <v>53</v>
      </c>
      <c r="M403" t="s">
        <v>54</v>
      </c>
      <c r="N403" t="s">
        <v>41</v>
      </c>
      <c r="O403" t="s">
        <v>42</v>
      </c>
      <c r="P403" t="s">
        <v>43</v>
      </c>
      <c r="Q403" t="s">
        <v>44</v>
      </c>
      <c r="R403" s="1">
        <v>44320.623506944445</v>
      </c>
      <c r="S403" s="1">
        <v>44320.623506944445</v>
      </c>
      <c r="T403">
        <v>0</v>
      </c>
      <c r="U403">
        <v>1</v>
      </c>
      <c r="V403" s="2">
        <v>0</v>
      </c>
      <c r="W403">
        <v>0</v>
      </c>
      <c r="X403" t="s">
        <v>183</v>
      </c>
      <c r="Y403">
        <v>0</v>
      </c>
      <c r="Z403" t="s">
        <v>31</v>
      </c>
      <c r="AA403">
        <v>0</v>
      </c>
      <c r="AB403" t="s">
        <v>31</v>
      </c>
      <c r="AC403">
        <v>0</v>
      </c>
      <c r="AD403" t="s">
        <v>31</v>
      </c>
      <c r="AE403">
        <v>0</v>
      </c>
      <c r="AF403" t="s">
        <v>31</v>
      </c>
      <c r="AG403">
        <v>0</v>
      </c>
    </row>
    <row r="404" spans="1:33" x14ac:dyDescent="0.2">
      <c r="A404" t="s">
        <v>381</v>
      </c>
      <c r="B404" s="3">
        <v>44334</v>
      </c>
      <c r="C404">
        <v>99</v>
      </c>
      <c r="D404" t="s">
        <v>385</v>
      </c>
      <c r="E404" t="s">
        <v>222</v>
      </c>
      <c r="F404" s="9" t="s">
        <v>226</v>
      </c>
      <c r="G404" t="s">
        <v>197</v>
      </c>
      <c r="H404" t="s">
        <v>41</v>
      </c>
      <c r="I404" t="s">
        <v>42</v>
      </c>
      <c r="J404" t="s">
        <v>43</v>
      </c>
      <c r="K404" t="s">
        <v>44</v>
      </c>
      <c r="L404" t="s">
        <v>53</v>
      </c>
      <c r="M404" t="s">
        <v>54</v>
      </c>
      <c r="N404" t="s">
        <v>41</v>
      </c>
      <c r="O404" t="s">
        <v>42</v>
      </c>
      <c r="P404" t="s">
        <v>43</v>
      </c>
      <c r="Q404" t="s">
        <v>44</v>
      </c>
      <c r="R404" s="1">
        <v>44334.629837962966</v>
      </c>
      <c r="S404" s="1">
        <v>44334.629837962966</v>
      </c>
      <c r="T404">
        <v>0</v>
      </c>
      <c r="U404">
        <v>1</v>
      </c>
      <c r="V404" s="2">
        <v>0</v>
      </c>
      <c r="W404">
        <v>0</v>
      </c>
      <c r="X404" t="s">
        <v>183</v>
      </c>
      <c r="Y404">
        <v>0</v>
      </c>
      <c r="Z404" t="s">
        <v>31</v>
      </c>
      <c r="AA404">
        <v>0</v>
      </c>
      <c r="AB404" t="s">
        <v>31</v>
      </c>
      <c r="AC404">
        <v>0</v>
      </c>
      <c r="AD404" t="s">
        <v>31</v>
      </c>
      <c r="AE404">
        <v>0</v>
      </c>
      <c r="AF404" t="s">
        <v>31</v>
      </c>
      <c r="AG404">
        <v>0</v>
      </c>
    </row>
    <row r="405" spans="1:33" x14ac:dyDescent="0.2">
      <c r="A405" t="s">
        <v>381</v>
      </c>
      <c r="B405" s="3">
        <v>44335</v>
      </c>
      <c r="C405">
        <v>100</v>
      </c>
      <c r="D405" t="s">
        <v>398</v>
      </c>
      <c r="E405" t="s">
        <v>222</v>
      </c>
      <c r="F405" s="9" t="s">
        <v>226</v>
      </c>
      <c r="G405" t="s">
        <v>197</v>
      </c>
      <c r="H405" t="s">
        <v>41</v>
      </c>
      <c r="I405" t="s">
        <v>42</v>
      </c>
      <c r="J405" t="s">
        <v>43</v>
      </c>
      <c r="K405" t="s">
        <v>44</v>
      </c>
      <c r="L405" t="s">
        <v>53</v>
      </c>
      <c r="M405" t="s">
        <v>54</v>
      </c>
      <c r="N405" t="s">
        <v>41</v>
      </c>
      <c r="O405" t="s">
        <v>42</v>
      </c>
      <c r="P405" t="s">
        <v>43</v>
      </c>
      <c r="Q405" t="s">
        <v>44</v>
      </c>
      <c r="R405" s="1">
        <v>44335.47896990741</v>
      </c>
      <c r="S405" s="1">
        <v>44335.47896990741</v>
      </c>
      <c r="T405">
        <v>1</v>
      </c>
      <c r="U405">
        <v>1</v>
      </c>
      <c r="V405" s="2">
        <v>1</v>
      </c>
      <c r="W405">
        <v>1</v>
      </c>
      <c r="X405" t="s">
        <v>54</v>
      </c>
      <c r="Y405">
        <v>1</v>
      </c>
      <c r="Z405" t="s">
        <v>31</v>
      </c>
      <c r="AA405">
        <v>0</v>
      </c>
      <c r="AB405" t="s">
        <v>31</v>
      </c>
      <c r="AC405">
        <v>0</v>
      </c>
      <c r="AD405" t="s">
        <v>31</v>
      </c>
      <c r="AE405">
        <v>0</v>
      </c>
      <c r="AF405" t="s">
        <v>31</v>
      </c>
      <c r="AG405">
        <v>0</v>
      </c>
    </row>
    <row r="406" spans="1:33" x14ac:dyDescent="0.2">
      <c r="A406" t="s">
        <v>381</v>
      </c>
      <c r="B406" s="3">
        <v>44338</v>
      </c>
      <c r="C406">
        <v>107</v>
      </c>
      <c r="D406" t="s">
        <v>392</v>
      </c>
      <c r="E406" t="s">
        <v>222</v>
      </c>
      <c r="F406" s="9" t="s">
        <v>226</v>
      </c>
      <c r="G406" t="s">
        <v>197</v>
      </c>
      <c r="H406" t="s">
        <v>41</v>
      </c>
      <c r="I406" t="s">
        <v>42</v>
      </c>
      <c r="J406" t="s">
        <v>43</v>
      </c>
      <c r="K406" t="s">
        <v>44</v>
      </c>
      <c r="L406" t="s">
        <v>53</v>
      </c>
      <c r="M406" t="s">
        <v>54</v>
      </c>
      <c r="N406" t="s">
        <v>41</v>
      </c>
      <c r="O406" t="s">
        <v>42</v>
      </c>
      <c r="P406" t="s">
        <v>43</v>
      </c>
      <c r="Q406" t="s">
        <v>44</v>
      </c>
      <c r="R406" s="1">
        <v>44338.641759259262</v>
      </c>
      <c r="S406" s="1">
        <v>44338.641759259262</v>
      </c>
      <c r="T406">
        <v>0</v>
      </c>
      <c r="U406">
        <v>1</v>
      </c>
      <c r="V406" s="2">
        <v>0</v>
      </c>
      <c r="W406">
        <v>0</v>
      </c>
      <c r="X406" t="s">
        <v>183</v>
      </c>
      <c r="Y406">
        <v>0</v>
      </c>
      <c r="Z406" t="s">
        <v>31</v>
      </c>
      <c r="AA406">
        <v>0</v>
      </c>
      <c r="AB406" t="s">
        <v>31</v>
      </c>
      <c r="AC406">
        <v>0</v>
      </c>
      <c r="AD406" t="s">
        <v>31</v>
      </c>
      <c r="AE406">
        <v>0</v>
      </c>
      <c r="AF406" t="s">
        <v>31</v>
      </c>
      <c r="AG406">
        <v>0</v>
      </c>
    </row>
    <row r="407" spans="1:33" x14ac:dyDescent="0.2">
      <c r="A407" t="s">
        <v>381</v>
      </c>
      <c r="B407" s="3">
        <v>44340</v>
      </c>
      <c r="C407">
        <v>109</v>
      </c>
      <c r="D407" t="s">
        <v>383</v>
      </c>
      <c r="E407" t="s">
        <v>222</v>
      </c>
      <c r="F407" s="9" t="s">
        <v>226</v>
      </c>
      <c r="G407" t="s">
        <v>197</v>
      </c>
      <c r="H407" t="s">
        <v>41</v>
      </c>
      <c r="I407" t="s">
        <v>42</v>
      </c>
      <c r="J407" t="s">
        <v>43</v>
      </c>
      <c r="K407" t="s">
        <v>44</v>
      </c>
      <c r="L407" t="s">
        <v>53</v>
      </c>
      <c r="M407" t="s">
        <v>54</v>
      </c>
      <c r="N407" t="s">
        <v>41</v>
      </c>
      <c r="O407" t="s">
        <v>42</v>
      </c>
      <c r="P407" t="s">
        <v>43</v>
      </c>
      <c r="Q407" t="s">
        <v>44</v>
      </c>
      <c r="R407" s="1">
        <v>44340.643171296295</v>
      </c>
      <c r="S407" s="1">
        <v>44340.643171296295</v>
      </c>
      <c r="T407">
        <v>0</v>
      </c>
      <c r="U407">
        <v>1</v>
      </c>
      <c r="V407" s="2">
        <v>0</v>
      </c>
      <c r="W407">
        <v>0</v>
      </c>
      <c r="X407" t="s">
        <v>183</v>
      </c>
      <c r="Y407">
        <v>0</v>
      </c>
      <c r="Z407" t="s">
        <v>31</v>
      </c>
      <c r="AA407">
        <v>0</v>
      </c>
      <c r="AB407" t="s">
        <v>31</v>
      </c>
      <c r="AC407">
        <v>0</v>
      </c>
      <c r="AD407" t="s">
        <v>31</v>
      </c>
      <c r="AE407">
        <v>0</v>
      </c>
      <c r="AF407" t="s">
        <v>31</v>
      </c>
      <c r="AG407">
        <v>0</v>
      </c>
    </row>
    <row r="408" spans="1:33" x14ac:dyDescent="0.2">
      <c r="A408" t="s">
        <v>381</v>
      </c>
      <c r="B408" s="3">
        <v>44341</v>
      </c>
      <c r="C408">
        <v>110</v>
      </c>
      <c r="D408" t="s">
        <v>383</v>
      </c>
      <c r="E408" t="s">
        <v>222</v>
      </c>
      <c r="F408" s="9" t="s">
        <v>226</v>
      </c>
      <c r="G408" t="s">
        <v>197</v>
      </c>
      <c r="H408" t="s">
        <v>41</v>
      </c>
      <c r="I408" t="s">
        <v>42</v>
      </c>
      <c r="J408" t="s">
        <v>43</v>
      </c>
      <c r="K408" t="s">
        <v>44</v>
      </c>
      <c r="L408" t="s">
        <v>53</v>
      </c>
      <c r="M408" t="s">
        <v>54</v>
      </c>
      <c r="N408" t="s">
        <v>41</v>
      </c>
      <c r="O408" t="s">
        <v>42</v>
      </c>
      <c r="P408" t="s">
        <v>43</v>
      </c>
      <c r="Q408" t="s">
        <v>44</v>
      </c>
      <c r="R408" s="1">
        <v>44341.458043981482</v>
      </c>
      <c r="S408" s="1">
        <v>44341.458043981482</v>
      </c>
      <c r="T408">
        <v>0</v>
      </c>
      <c r="U408">
        <v>1</v>
      </c>
      <c r="V408" s="2">
        <v>0</v>
      </c>
      <c r="W408">
        <v>0</v>
      </c>
      <c r="X408" t="s">
        <v>183</v>
      </c>
      <c r="Y408">
        <v>0</v>
      </c>
      <c r="Z408" t="s">
        <v>31</v>
      </c>
      <c r="AA408">
        <v>0</v>
      </c>
      <c r="AB408" t="s">
        <v>31</v>
      </c>
      <c r="AC408">
        <v>0</v>
      </c>
      <c r="AD408" t="s">
        <v>31</v>
      </c>
      <c r="AE408">
        <v>0</v>
      </c>
      <c r="AF408" t="s">
        <v>31</v>
      </c>
      <c r="AG408">
        <v>0</v>
      </c>
    </row>
    <row r="409" spans="1:33" x14ac:dyDescent="0.2">
      <c r="A409" t="s">
        <v>381</v>
      </c>
      <c r="B409" s="3">
        <v>44342</v>
      </c>
      <c r="C409">
        <v>112</v>
      </c>
      <c r="D409" t="s">
        <v>394</v>
      </c>
      <c r="E409" t="s">
        <v>222</v>
      </c>
      <c r="F409" s="9" t="s">
        <v>226</v>
      </c>
      <c r="G409" t="s">
        <v>197</v>
      </c>
      <c r="H409" t="s">
        <v>41</v>
      </c>
      <c r="I409" t="s">
        <v>42</v>
      </c>
      <c r="J409" t="s">
        <v>43</v>
      </c>
      <c r="K409" t="s">
        <v>44</v>
      </c>
      <c r="L409" t="s">
        <v>53</v>
      </c>
      <c r="M409" t="s">
        <v>54</v>
      </c>
      <c r="N409" t="s">
        <v>41</v>
      </c>
      <c r="O409" t="s">
        <v>42</v>
      </c>
      <c r="P409" t="s">
        <v>43</v>
      </c>
      <c r="Q409" t="s">
        <v>44</v>
      </c>
      <c r="R409" s="1">
        <v>44342.469884259262</v>
      </c>
      <c r="S409" s="1">
        <v>44342.469884259262</v>
      </c>
      <c r="T409">
        <v>0</v>
      </c>
      <c r="U409">
        <v>1</v>
      </c>
      <c r="V409" s="2">
        <v>0</v>
      </c>
      <c r="W409">
        <v>0</v>
      </c>
      <c r="X409" t="s">
        <v>183</v>
      </c>
      <c r="Y409">
        <v>0</v>
      </c>
      <c r="Z409" t="s">
        <v>31</v>
      </c>
      <c r="AA409">
        <v>0</v>
      </c>
      <c r="AB409" t="s">
        <v>31</v>
      </c>
      <c r="AC409">
        <v>0</v>
      </c>
      <c r="AD409" t="s">
        <v>31</v>
      </c>
      <c r="AE409">
        <v>0</v>
      </c>
      <c r="AF409" t="s">
        <v>31</v>
      </c>
      <c r="AG409">
        <v>0</v>
      </c>
    </row>
    <row r="410" spans="1:33" x14ac:dyDescent="0.2">
      <c r="A410" t="s">
        <v>381</v>
      </c>
      <c r="B410" s="3">
        <v>44342</v>
      </c>
      <c r="C410">
        <v>113</v>
      </c>
      <c r="D410" t="s">
        <v>383</v>
      </c>
      <c r="E410" t="s">
        <v>222</v>
      </c>
      <c r="F410" s="9" t="s">
        <v>226</v>
      </c>
      <c r="G410" t="s">
        <v>197</v>
      </c>
      <c r="H410" t="s">
        <v>41</v>
      </c>
      <c r="I410" t="s">
        <v>42</v>
      </c>
      <c r="J410" t="s">
        <v>43</v>
      </c>
      <c r="K410" t="s">
        <v>44</v>
      </c>
      <c r="L410" t="s">
        <v>53</v>
      </c>
      <c r="M410" t="s">
        <v>54</v>
      </c>
      <c r="N410" t="s">
        <v>41</v>
      </c>
      <c r="O410" t="s">
        <v>42</v>
      </c>
      <c r="P410" t="s">
        <v>43</v>
      </c>
      <c r="Q410" t="s">
        <v>44</v>
      </c>
      <c r="R410" s="1">
        <v>44342.58834490741</v>
      </c>
      <c r="S410" s="1">
        <v>44342.58834490741</v>
      </c>
      <c r="T410">
        <v>0</v>
      </c>
      <c r="U410">
        <v>1</v>
      </c>
      <c r="V410" s="2">
        <v>0</v>
      </c>
      <c r="W410">
        <v>0</v>
      </c>
      <c r="X410" t="s">
        <v>183</v>
      </c>
      <c r="Y410">
        <v>0</v>
      </c>
      <c r="Z410" t="s">
        <v>31</v>
      </c>
      <c r="AA410">
        <v>0</v>
      </c>
      <c r="AB410" t="s">
        <v>31</v>
      </c>
      <c r="AC410">
        <v>0</v>
      </c>
      <c r="AD410" t="s">
        <v>31</v>
      </c>
      <c r="AE410">
        <v>0</v>
      </c>
      <c r="AF410" t="s">
        <v>31</v>
      </c>
      <c r="AG410">
        <v>0</v>
      </c>
    </row>
    <row r="411" spans="1:33" x14ac:dyDescent="0.2">
      <c r="A411" t="s">
        <v>381</v>
      </c>
      <c r="B411" s="3">
        <v>44344</v>
      </c>
      <c r="C411">
        <v>116</v>
      </c>
      <c r="D411" t="s">
        <v>390</v>
      </c>
      <c r="E411" t="s">
        <v>222</v>
      </c>
      <c r="F411" s="9" t="s">
        <v>226</v>
      </c>
      <c r="G411" t="s">
        <v>197</v>
      </c>
      <c r="H411" t="s">
        <v>41</v>
      </c>
      <c r="I411" t="s">
        <v>42</v>
      </c>
      <c r="J411" t="s">
        <v>43</v>
      </c>
      <c r="K411" t="s">
        <v>44</v>
      </c>
      <c r="L411" t="s">
        <v>53</v>
      </c>
      <c r="M411" t="s">
        <v>54</v>
      </c>
      <c r="N411" t="s">
        <v>41</v>
      </c>
      <c r="O411" t="s">
        <v>42</v>
      </c>
      <c r="P411" t="s">
        <v>43</v>
      </c>
      <c r="Q411" t="s">
        <v>44</v>
      </c>
      <c r="R411" s="1">
        <v>44344.477430555555</v>
      </c>
      <c r="S411" s="1">
        <v>44344.477430555555</v>
      </c>
      <c r="T411">
        <v>0</v>
      </c>
      <c r="U411">
        <v>1</v>
      </c>
      <c r="V411" s="2">
        <v>0</v>
      </c>
      <c r="W411">
        <v>0</v>
      </c>
      <c r="X411" t="s">
        <v>183</v>
      </c>
      <c r="Y411">
        <v>0</v>
      </c>
      <c r="Z411" t="s">
        <v>31</v>
      </c>
      <c r="AA411">
        <v>0</v>
      </c>
      <c r="AB411" t="s">
        <v>31</v>
      </c>
      <c r="AC411">
        <v>0</v>
      </c>
      <c r="AD411" t="s">
        <v>31</v>
      </c>
      <c r="AE411">
        <v>0</v>
      </c>
      <c r="AF411" t="s">
        <v>31</v>
      </c>
      <c r="AG411">
        <v>0</v>
      </c>
    </row>
    <row r="412" spans="1:33" x14ac:dyDescent="0.2">
      <c r="A412" t="s">
        <v>381</v>
      </c>
      <c r="B412" s="3">
        <v>44349</v>
      </c>
      <c r="C412">
        <v>120</v>
      </c>
      <c r="D412" t="s">
        <v>398</v>
      </c>
      <c r="E412" t="s">
        <v>222</v>
      </c>
      <c r="F412" s="9" t="s">
        <v>226</v>
      </c>
      <c r="G412" t="s">
        <v>197</v>
      </c>
      <c r="H412" t="s">
        <v>41</v>
      </c>
      <c r="I412" t="s">
        <v>42</v>
      </c>
      <c r="J412" t="s">
        <v>43</v>
      </c>
      <c r="K412" t="s">
        <v>44</v>
      </c>
      <c r="L412" t="s">
        <v>53</v>
      </c>
      <c r="M412" t="s">
        <v>54</v>
      </c>
      <c r="N412" t="s">
        <v>41</v>
      </c>
      <c r="O412" t="s">
        <v>42</v>
      </c>
      <c r="P412" t="s">
        <v>43</v>
      </c>
      <c r="Q412" t="s">
        <v>44</v>
      </c>
      <c r="R412" s="1">
        <v>44349.483136574076</v>
      </c>
      <c r="S412" s="1">
        <v>44349.483148148145</v>
      </c>
      <c r="T412">
        <v>0</v>
      </c>
      <c r="U412">
        <v>2</v>
      </c>
      <c r="V412" s="2">
        <v>0</v>
      </c>
      <c r="W412">
        <v>0</v>
      </c>
      <c r="X412" t="s">
        <v>44</v>
      </c>
      <c r="Y412">
        <v>0</v>
      </c>
      <c r="Z412" t="s">
        <v>183</v>
      </c>
      <c r="AA412">
        <v>0</v>
      </c>
      <c r="AB412" t="s">
        <v>31</v>
      </c>
      <c r="AC412">
        <v>0</v>
      </c>
      <c r="AD412" t="s">
        <v>31</v>
      </c>
      <c r="AE412">
        <v>0</v>
      </c>
      <c r="AF412" t="s">
        <v>31</v>
      </c>
      <c r="AG412">
        <v>0</v>
      </c>
    </row>
    <row r="413" spans="1:33" x14ac:dyDescent="0.2">
      <c r="A413" t="s">
        <v>381</v>
      </c>
      <c r="B413" s="3">
        <v>44351</v>
      </c>
      <c r="C413">
        <v>124</v>
      </c>
      <c r="D413" t="s">
        <v>390</v>
      </c>
      <c r="E413" t="s">
        <v>222</v>
      </c>
      <c r="F413" s="9" t="s">
        <v>226</v>
      </c>
      <c r="G413" t="s">
        <v>197</v>
      </c>
      <c r="H413" t="s">
        <v>41</v>
      </c>
      <c r="I413" t="s">
        <v>42</v>
      </c>
      <c r="J413" t="s">
        <v>43</v>
      </c>
      <c r="K413" t="s">
        <v>44</v>
      </c>
      <c r="L413" t="s">
        <v>53</v>
      </c>
      <c r="M413" t="s">
        <v>54</v>
      </c>
      <c r="N413" t="s">
        <v>41</v>
      </c>
      <c r="O413" t="s">
        <v>42</v>
      </c>
      <c r="P413" t="s">
        <v>43</v>
      </c>
      <c r="Q413" t="s">
        <v>44</v>
      </c>
      <c r="R413" s="1">
        <v>44351.479027777779</v>
      </c>
      <c r="S413" s="1">
        <v>44351.479027777779</v>
      </c>
      <c r="T413">
        <v>0</v>
      </c>
      <c r="U413">
        <v>1</v>
      </c>
      <c r="V413" s="2">
        <v>0</v>
      </c>
      <c r="W413">
        <v>0</v>
      </c>
      <c r="X413" t="s">
        <v>183</v>
      </c>
      <c r="Y413">
        <v>0</v>
      </c>
      <c r="Z413" t="s">
        <v>31</v>
      </c>
      <c r="AA413">
        <v>0</v>
      </c>
      <c r="AB413" t="s">
        <v>31</v>
      </c>
      <c r="AC413">
        <v>0</v>
      </c>
      <c r="AD413" t="s">
        <v>31</v>
      </c>
      <c r="AE413">
        <v>0</v>
      </c>
      <c r="AF413" t="s">
        <v>31</v>
      </c>
      <c r="AG413">
        <v>0</v>
      </c>
    </row>
    <row r="414" spans="1:33" x14ac:dyDescent="0.2">
      <c r="A414" t="s">
        <v>381</v>
      </c>
      <c r="B414" s="3">
        <v>44354</v>
      </c>
      <c r="C414">
        <v>127</v>
      </c>
      <c r="D414" t="s">
        <v>383</v>
      </c>
      <c r="E414" t="s">
        <v>222</v>
      </c>
      <c r="F414" s="9" t="s">
        <v>226</v>
      </c>
      <c r="G414" t="s">
        <v>197</v>
      </c>
      <c r="H414" t="s">
        <v>41</v>
      </c>
      <c r="I414" t="s">
        <v>42</v>
      </c>
      <c r="J414" t="s">
        <v>43</v>
      </c>
      <c r="K414" t="s">
        <v>44</v>
      </c>
      <c r="L414" t="s">
        <v>53</v>
      </c>
      <c r="M414" t="s">
        <v>54</v>
      </c>
      <c r="N414" t="s">
        <v>41</v>
      </c>
      <c r="O414" t="s">
        <v>42</v>
      </c>
      <c r="P414" t="s">
        <v>43</v>
      </c>
      <c r="Q414" t="s">
        <v>44</v>
      </c>
      <c r="R414" s="1">
        <v>44354.53528935185</v>
      </c>
      <c r="S414" s="1">
        <v>44354.53528935185</v>
      </c>
      <c r="T414">
        <v>0</v>
      </c>
      <c r="U414">
        <v>1</v>
      </c>
      <c r="V414" s="2">
        <v>0</v>
      </c>
      <c r="W414">
        <v>0</v>
      </c>
      <c r="X414" t="s">
        <v>183</v>
      </c>
      <c r="Y414">
        <v>0</v>
      </c>
      <c r="Z414" t="s">
        <v>31</v>
      </c>
      <c r="AA414">
        <v>0</v>
      </c>
      <c r="AB414" t="s">
        <v>31</v>
      </c>
      <c r="AC414">
        <v>0</v>
      </c>
      <c r="AD414" t="s">
        <v>31</v>
      </c>
      <c r="AE414">
        <v>0</v>
      </c>
      <c r="AF414" t="s">
        <v>31</v>
      </c>
      <c r="AG414">
        <v>0</v>
      </c>
    </row>
    <row r="415" spans="1:33" x14ac:dyDescent="0.2">
      <c r="A415" t="s">
        <v>381</v>
      </c>
      <c r="B415" s="3">
        <v>44355</v>
      </c>
      <c r="C415">
        <v>128</v>
      </c>
      <c r="D415" t="s">
        <v>406</v>
      </c>
      <c r="E415" t="s">
        <v>222</v>
      </c>
      <c r="F415" s="9" t="s">
        <v>226</v>
      </c>
      <c r="G415" t="s">
        <v>197</v>
      </c>
      <c r="H415" t="s">
        <v>41</v>
      </c>
      <c r="I415" t="s">
        <v>42</v>
      </c>
      <c r="J415" t="s">
        <v>43</v>
      </c>
      <c r="K415" t="s">
        <v>44</v>
      </c>
      <c r="L415" t="s">
        <v>53</v>
      </c>
      <c r="M415" t="s">
        <v>54</v>
      </c>
      <c r="N415" t="s">
        <v>41</v>
      </c>
      <c r="O415" t="s">
        <v>42</v>
      </c>
      <c r="P415" t="s">
        <v>43</v>
      </c>
      <c r="Q415" t="s">
        <v>44</v>
      </c>
      <c r="R415" s="1">
        <v>44355.469722222224</v>
      </c>
      <c r="S415" s="1">
        <v>44355.469722222224</v>
      </c>
      <c r="T415">
        <v>0</v>
      </c>
      <c r="U415">
        <v>1</v>
      </c>
      <c r="V415" s="2">
        <v>0</v>
      </c>
      <c r="W415">
        <v>0</v>
      </c>
      <c r="X415" t="s">
        <v>183</v>
      </c>
      <c r="Y415">
        <v>0</v>
      </c>
      <c r="Z415" t="s">
        <v>31</v>
      </c>
      <c r="AA415">
        <v>0</v>
      </c>
      <c r="AB415" t="s">
        <v>31</v>
      </c>
      <c r="AC415">
        <v>0</v>
      </c>
      <c r="AD415" t="s">
        <v>31</v>
      </c>
      <c r="AE415">
        <v>0</v>
      </c>
      <c r="AF415" t="s">
        <v>31</v>
      </c>
      <c r="AG415">
        <v>0</v>
      </c>
    </row>
    <row r="416" spans="1:33" x14ac:dyDescent="0.2">
      <c r="A416" t="s">
        <v>381</v>
      </c>
      <c r="B416" s="3">
        <v>44356</v>
      </c>
      <c r="C416">
        <v>130</v>
      </c>
      <c r="D416" t="s">
        <v>398</v>
      </c>
      <c r="E416" t="s">
        <v>222</v>
      </c>
      <c r="F416" s="9" t="s">
        <v>226</v>
      </c>
      <c r="G416" t="s">
        <v>197</v>
      </c>
      <c r="H416" t="s">
        <v>41</v>
      </c>
      <c r="I416" t="s">
        <v>42</v>
      </c>
      <c r="J416" t="s">
        <v>43</v>
      </c>
      <c r="K416" t="s">
        <v>44</v>
      </c>
      <c r="L416" t="s">
        <v>53</v>
      </c>
      <c r="M416" t="s">
        <v>54</v>
      </c>
      <c r="N416" t="s">
        <v>41</v>
      </c>
      <c r="O416" t="s">
        <v>42</v>
      </c>
      <c r="P416" t="s">
        <v>43</v>
      </c>
      <c r="Q416" t="s">
        <v>44</v>
      </c>
      <c r="R416" s="1">
        <v>44356.402418981481</v>
      </c>
      <c r="S416" s="1">
        <v>44356.402418981481</v>
      </c>
      <c r="T416">
        <v>1</v>
      </c>
      <c r="U416">
        <v>1</v>
      </c>
      <c r="V416" s="2">
        <v>1</v>
      </c>
      <c r="W416">
        <v>1</v>
      </c>
      <c r="X416" t="s">
        <v>54</v>
      </c>
      <c r="Y416">
        <v>1</v>
      </c>
      <c r="Z416" t="s">
        <v>31</v>
      </c>
      <c r="AA416">
        <v>0</v>
      </c>
      <c r="AB416" t="s">
        <v>31</v>
      </c>
      <c r="AC416">
        <v>0</v>
      </c>
      <c r="AD416" t="s">
        <v>31</v>
      </c>
      <c r="AE416">
        <v>0</v>
      </c>
      <c r="AF416" t="s">
        <v>31</v>
      </c>
      <c r="AG416">
        <v>0</v>
      </c>
    </row>
    <row r="417" spans="1:33" x14ac:dyDescent="0.2">
      <c r="A417" t="s">
        <v>381</v>
      </c>
      <c r="B417" s="3">
        <v>44356</v>
      </c>
      <c r="C417">
        <v>131</v>
      </c>
      <c r="D417" t="s">
        <v>383</v>
      </c>
      <c r="E417" t="s">
        <v>222</v>
      </c>
      <c r="F417" s="9" t="s">
        <v>226</v>
      </c>
      <c r="G417" t="s">
        <v>197</v>
      </c>
      <c r="H417" t="s">
        <v>41</v>
      </c>
      <c r="I417" t="s">
        <v>42</v>
      </c>
      <c r="J417" t="s">
        <v>43</v>
      </c>
      <c r="K417" t="s">
        <v>44</v>
      </c>
      <c r="L417" t="s">
        <v>53</v>
      </c>
      <c r="M417" t="s">
        <v>54</v>
      </c>
      <c r="N417" t="s">
        <v>41</v>
      </c>
      <c r="O417" t="s">
        <v>42</v>
      </c>
      <c r="P417" t="s">
        <v>43</v>
      </c>
      <c r="Q417" t="s">
        <v>44</v>
      </c>
      <c r="R417" s="1">
        <v>44356.586134259262</v>
      </c>
      <c r="S417" s="1">
        <v>44356.586134259262</v>
      </c>
      <c r="T417">
        <v>0</v>
      </c>
      <c r="U417">
        <v>1</v>
      </c>
      <c r="V417" s="2">
        <v>0</v>
      </c>
      <c r="W417">
        <v>0</v>
      </c>
      <c r="X417" t="s">
        <v>183</v>
      </c>
      <c r="Y417">
        <v>0</v>
      </c>
      <c r="Z417" t="s">
        <v>31</v>
      </c>
      <c r="AA417">
        <v>0</v>
      </c>
      <c r="AB417" t="s">
        <v>31</v>
      </c>
      <c r="AC417">
        <v>0</v>
      </c>
      <c r="AD417" t="s">
        <v>31</v>
      </c>
      <c r="AE417">
        <v>0</v>
      </c>
      <c r="AF417" t="s">
        <v>31</v>
      </c>
      <c r="AG417">
        <v>0</v>
      </c>
    </row>
    <row r="418" spans="1:33" x14ac:dyDescent="0.2">
      <c r="A418" t="s">
        <v>381</v>
      </c>
      <c r="B418" s="3">
        <v>44358</v>
      </c>
      <c r="C418">
        <v>133</v>
      </c>
      <c r="D418" t="s">
        <v>390</v>
      </c>
      <c r="E418" t="s">
        <v>222</v>
      </c>
      <c r="F418" s="9" t="s">
        <v>226</v>
      </c>
      <c r="G418" t="s">
        <v>197</v>
      </c>
      <c r="H418" t="s">
        <v>41</v>
      </c>
      <c r="I418" t="s">
        <v>42</v>
      </c>
      <c r="J418" t="s">
        <v>43</v>
      </c>
      <c r="K418" t="s">
        <v>44</v>
      </c>
      <c r="L418" t="s">
        <v>53</v>
      </c>
      <c r="M418" t="s">
        <v>54</v>
      </c>
      <c r="N418" t="s">
        <v>41</v>
      </c>
      <c r="O418" t="s">
        <v>42</v>
      </c>
      <c r="P418" t="s">
        <v>43</v>
      </c>
      <c r="Q418" t="s">
        <v>44</v>
      </c>
      <c r="R418" s="1">
        <v>44358.478888888887</v>
      </c>
      <c r="S418" s="1">
        <v>44358.478888888887</v>
      </c>
      <c r="T418">
        <v>0</v>
      </c>
      <c r="U418">
        <v>1</v>
      </c>
      <c r="V418" s="2">
        <v>0</v>
      </c>
      <c r="W418">
        <v>0</v>
      </c>
      <c r="X418" t="s">
        <v>183</v>
      </c>
      <c r="Y418">
        <v>0</v>
      </c>
      <c r="Z418" t="s">
        <v>31</v>
      </c>
      <c r="AA418">
        <v>0</v>
      </c>
      <c r="AB418" t="s">
        <v>31</v>
      </c>
      <c r="AC418">
        <v>0</v>
      </c>
      <c r="AD418" t="s">
        <v>31</v>
      </c>
      <c r="AE418">
        <v>0</v>
      </c>
      <c r="AF418" t="s">
        <v>31</v>
      </c>
      <c r="AG418">
        <v>0</v>
      </c>
    </row>
    <row r="419" spans="1:33" x14ac:dyDescent="0.2">
      <c r="A419" t="s">
        <v>381</v>
      </c>
      <c r="B419" s="3">
        <v>44361</v>
      </c>
      <c r="C419">
        <v>135</v>
      </c>
      <c r="D419" t="s">
        <v>390</v>
      </c>
      <c r="E419" t="s">
        <v>222</v>
      </c>
      <c r="F419" s="9" t="s">
        <v>226</v>
      </c>
      <c r="G419" t="s">
        <v>197</v>
      </c>
      <c r="H419" t="s">
        <v>41</v>
      </c>
      <c r="I419" t="s">
        <v>42</v>
      </c>
      <c r="J419" t="s">
        <v>43</v>
      </c>
      <c r="K419" t="s">
        <v>44</v>
      </c>
      <c r="L419" t="s">
        <v>53</v>
      </c>
      <c r="M419" t="s">
        <v>54</v>
      </c>
      <c r="N419" t="s">
        <v>41</v>
      </c>
      <c r="O419" t="s">
        <v>42</v>
      </c>
      <c r="P419" t="s">
        <v>43</v>
      </c>
      <c r="Q419" t="s">
        <v>44</v>
      </c>
      <c r="R419" s="1">
        <v>44361.47797453704</v>
      </c>
      <c r="S419" s="1">
        <v>44361.47797453704</v>
      </c>
      <c r="T419">
        <v>0</v>
      </c>
      <c r="U419">
        <v>1</v>
      </c>
      <c r="V419" s="2">
        <v>0</v>
      </c>
      <c r="W419">
        <v>0</v>
      </c>
      <c r="X419" t="s">
        <v>183</v>
      </c>
      <c r="Y419">
        <v>0</v>
      </c>
      <c r="Z419" t="s">
        <v>31</v>
      </c>
      <c r="AA419">
        <v>0</v>
      </c>
      <c r="AB419" t="s">
        <v>31</v>
      </c>
      <c r="AC419">
        <v>0</v>
      </c>
      <c r="AD419" t="s">
        <v>31</v>
      </c>
      <c r="AE419">
        <v>0</v>
      </c>
      <c r="AF419" t="s">
        <v>31</v>
      </c>
      <c r="AG419">
        <v>0</v>
      </c>
    </row>
    <row r="420" spans="1:33" x14ac:dyDescent="0.2">
      <c r="A420" t="s">
        <v>381</v>
      </c>
      <c r="B420" s="3">
        <v>44302</v>
      </c>
      <c r="C420">
        <v>64</v>
      </c>
      <c r="D420" t="s">
        <v>390</v>
      </c>
      <c r="E420" t="s">
        <v>222</v>
      </c>
      <c r="F420" s="9" t="s">
        <v>227</v>
      </c>
      <c r="G420" t="s">
        <v>197</v>
      </c>
      <c r="H420" t="s">
        <v>155</v>
      </c>
      <c r="I420" t="s">
        <v>156</v>
      </c>
      <c r="J420" t="s">
        <v>198</v>
      </c>
      <c r="K420" t="s">
        <v>183</v>
      </c>
      <c r="L420" t="s">
        <v>198</v>
      </c>
      <c r="M420" t="s">
        <v>183</v>
      </c>
      <c r="N420" t="s">
        <v>41</v>
      </c>
      <c r="O420" t="s">
        <v>42</v>
      </c>
      <c r="P420" t="s">
        <v>43</v>
      </c>
      <c r="Q420" t="s">
        <v>44</v>
      </c>
      <c r="R420" s="1">
        <v>44302.446944444448</v>
      </c>
      <c r="S420" s="1">
        <v>44302.446944444448</v>
      </c>
      <c r="T420">
        <v>1</v>
      </c>
      <c r="U420">
        <v>1</v>
      </c>
      <c r="V420" s="2">
        <v>1</v>
      </c>
      <c r="W420">
        <v>0</v>
      </c>
      <c r="X420" t="s">
        <v>183</v>
      </c>
      <c r="Y420">
        <v>0</v>
      </c>
      <c r="Z420" t="s">
        <v>31</v>
      </c>
      <c r="AA420">
        <v>0</v>
      </c>
      <c r="AB420" t="s">
        <v>31</v>
      </c>
      <c r="AC420">
        <v>0</v>
      </c>
      <c r="AD420" t="s">
        <v>31</v>
      </c>
      <c r="AE420">
        <v>0</v>
      </c>
      <c r="AF420" t="s">
        <v>31</v>
      </c>
      <c r="AG420">
        <v>0</v>
      </c>
    </row>
    <row r="421" spans="1:33" x14ac:dyDescent="0.2">
      <c r="A421" t="s">
        <v>381</v>
      </c>
      <c r="B421" s="3">
        <v>44319</v>
      </c>
      <c r="C421">
        <v>84</v>
      </c>
      <c r="D421" t="s">
        <v>390</v>
      </c>
      <c r="E421" t="s">
        <v>222</v>
      </c>
      <c r="F421" s="9" t="s">
        <v>227</v>
      </c>
      <c r="G421" t="s">
        <v>197</v>
      </c>
      <c r="H421" t="s">
        <v>41</v>
      </c>
      <c r="I421" t="s">
        <v>42</v>
      </c>
      <c r="J421" t="s">
        <v>43</v>
      </c>
      <c r="K421" t="s">
        <v>44</v>
      </c>
      <c r="L421" t="s">
        <v>53</v>
      </c>
      <c r="M421" t="s">
        <v>54</v>
      </c>
      <c r="N421" t="s">
        <v>41</v>
      </c>
      <c r="O421" t="s">
        <v>42</v>
      </c>
      <c r="P421" t="s">
        <v>43</v>
      </c>
      <c r="Q421" t="s">
        <v>44</v>
      </c>
      <c r="R421" s="1">
        <v>44319.438067129631</v>
      </c>
      <c r="S421" s="1">
        <v>44319.438067129631</v>
      </c>
      <c r="T421">
        <v>0</v>
      </c>
      <c r="U421">
        <v>1</v>
      </c>
      <c r="V421" s="2">
        <v>0</v>
      </c>
      <c r="W421">
        <v>0</v>
      </c>
      <c r="X421" t="s">
        <v>183</v>
      </c>
      <c r="Y421">
        <v>0</v>
      </c>
      <c r="Z421" t="s">
        <v>31</v>
      </c>
      <c r="AA421">
        <v>0</v>
      </c>
      <c r="AB421" t="s">
        <v>31</v>
      </c>
      <c r="AC421">
        <v>0</v>
      </c>
      <c r="AD421" t="s">
        <v>31</v>
      </c>
      <c r="AE421">
        <v>0</v>
      </c>
      <c r="AF421" t="s">
        <v>31</v>
      </c>
      <c r="AG421">
        <v>0</v>
      </c>
    </row>
    <row r="422" spans="1:33" x14ac:dyDescent="0.2">
      <c r="A422" t="s">
        <v>381</v>
      </c>
      <c r="B422" s="3">
        <v>44320</v>
      </c>
      <c r="C422">
        <v>87</v>
      </c>
      <c r="D422" t="s">
        <v>385</v>
      </c>
      <c r="E422" t="s">
        <v>222</v>
      </c>
      <c r="F422" s="9" t="s">
        <v>227</v>
      </c>
      <c r="G422" t="s">
        <v>197</v>
      </c>
      <c r="H422" t="s">
        <v>41</v>
      </c>
      <c r="I422" t="s">
        <v>42</v>
      </c>
      <c r="J422" t="s">
        <v>43</v>
      </c>
      <c r="K422" t="s">
        <v>44</v>
      </c>
      <c r="L422" t="s">
        <v>53</v>
      </c>
      <c r="M422" t="s">
        <v>54</v>
      </c>
      <c r="N422" t="s">
        <v>41</v>
      </c>
      <c r="O422" t="s">
        <v>42</v>
      </c>
      <c r="P422" t="s">
        <v>43</v>
      </c>
      <c r="Q422" t="s">
        <v>44</v>
      </c>
      <c r="R422" s="1">
        <v>44320.623518518521</v>
      </c>
      <c r="S422" s="1">
        <v>44320.623518518521</v>
      </c>
      <c r="T422">
        <v>0</v>
      </c>
      <c r="U422">
        <v>1</v>
      </c>
      <c r="V422" s="2">
        <v>0</v>
      </c>
      <c r="W422">
        <v>0</v>
      </c>
      <c r="X422" t="s">
        <v>183</v>
      </c>
      <c r="Y422">
        <v>0</v>
      </c>
      <c r="Z422" t="s">
        <v>31</v>
      </c>
      <c r="AA422">
        <v>0</v>
      </c>
      <c r="AB422" t="s">
        <v>31</v>
      </c>
      <c r="AC422">
        <v>0</v>
      </c>
      <c r="AD422" t="s">
        <v>31</v>
      </c>
      <c r="AE422">
        <v>0</v>
      </c>
      <c r="AF422" t="s">
        <v>31</v>
      </c>
      <c r="AG422">
        <v>0</v>
      </c>
    </row>
    <row r="423" spans="1:33" x14ac:dyDescent="0.2">
      <c r="A423" t="s">
        <v>381</v>
      </c>
      <c r="B423" s="3">
        <v>44334</v>
      </c>
      <c r="C423">
        <v>99</v>
      </c>
      <c r="D423" t="s">
        <v>385</v>
      </c>
      <c r="E423" t="s">
        <v>222</v>
      </c>
      <c r="F423" s="9" t="s">
        <v>227</v>
      </c>
      <c r="G423" t="s">
        <v>197</v>
      </c>
      <c r="H423" t="s">
        <v>41</v>
      </c>
      <c r="I423" t="s">
        <v>42</v>
      </c>
      <c r="J423" t="s">
        <v>43</v>
      </c>
      <c r="K423" t="s">
        <v>44</v>
      </c>
      <c r="L423" t="s">
        <v>53</v>
      </c>
      <c r="M423" t="s">
        <v>54</v>
      </c>
      <c r="N423" t="s">
        <v>41</v>
      </c>
      <c r="O423" t="s">
        <v>42</v>
      </c>
      <c r="P423" t="s">
        <v>43</v>
      </c>
      <c r="Q423" t="s">
        <v>44</v>
      </c>
      <c r="R423" s="1">
        <v>44334.629849537036</v>
      </c>
      <c r="S423" s="1">
        <v>44334.629849537036</v>
      </c>
      <c r="T423">
        <v>0</v>
      </c>
      <c r="U423">
        <v>1</v>
      </c>
      <c r="V423" s="2">
        <v>0</v>
      </c>
      <c r="W423">
        <v>0</v>
      </c>
      <c r="X423" t="s">
        <v>183</v>
      </c>
      <c r="Y423">
        <v>0</v>
      </c>
      <c r="Z423" t="s">
        <v>31</v>
      </c>
      <c r="AA423">
        <v>0</v>
      </c>
      <c r="AB423" t="s">
        <v>31</v>
      </c>
      <c r="AC423">
        <v>0</v>
      </c>
      <c r="AD423" t="s">
        <v>31</v>
      </c>
      <c r="AE423">
        <v>0</v>
      </c>
      <c r="AF423" t="s">
        <v>31</v>
      </c>
      <c r="AG423">
        <v>0</v>
      </c>
    </row>
    <row r="424" spans="1:33" x14ac:dyDescent="0.2">
      <c r="A424" t="s">
        <v>381</v>
      </c>
      <c r="B424" s="3">
        <v>44335</v>
      </c>
      <c r="C424">
        <v>100</v>
      </c>
      <c r="D424" t="s">
        <v>398</v>
      </c>
      <c r="E424" t="s">
        <v>222</v>
      </c>
      <c r="F424" s="9" t="s">
        <v>227</v>
      </c>
      <c r="G424" t="s">
        <v>197</v>
      </c>
      <c r="H424" t="s">
        <v>41</v>
      </c>
      <c r="I424" t="s">
        <v>42</v>
      </c>
      <c r="J424" t="s">
        <v>43</v>
      </c>
      <c r="K424" t="s">
        <v>44</v>
      </c>
      <c r="L424" t="s">
        <v>53</v>
      </c>
      <c r="M424" t="s">
        <v>54</v>
      </c>
      <c r="N424" t="s">
        <v>41</v>
      </c>
      <c r="O424" t="s">
        <v>42</v>
      </c>
      <c r="P424" t="s">
        <v>43</v>
      </c>
      <c r="Q424" t="s">
        <v>44</v>
      </c>
      <c r="R424" s="1">
        <v>44335.479166666664</v>
      </c>
      <c r="S424" s="1">
        <v>44335.479166666664</v>
      </c>
      <c r="T424">
        <v>0</v>
      </c>
      <c r="U424">
        <v>1</v>
      </c>
      <c r="V424" s="2">
        <v>0</v>
      </c>
      <c r="W424">
        <v>0</v>
      </c>
      <c r="X424" t="s">
        <v>183</v>
      </c>
      <c r="Y424">
        <v>0</v>
      </c>
      <c r="Z424" t="s">
        <v>31</v>
      </c>
      <c r="AA424">
        <v>0</v>
      </c>
      <c r="AB424" t="s">
        <v>31</v>
      </c>
      <c r="AC424">
        <v>0</v>
      </c>
      <c r="AD424" t="s">
        <v>31</v>
      </c>
      <c r="AE424">
        <v>0</v>
      </c>
      <c r="AF424" t="s">
        <v>31</v>
      </c>
      <c r="AG424">
        <v>0</v>
      </c>
    </row>
    <row r="425" spans="1:33" x14ac:dyDescent="0.2">
      <c r="A425" t="s">
        <v>381</v>
      </c>
      <c r="B425" s="3">
        <v>44338</v>
      </c>
      <c r="C425">
        <v>107</v>
      </c>
      <c r="D425" t="s">
        <v>392</v>
      </c>
      <c r="E425" t="s">
        <v>222</v>
      </c>
      <c r="F425" s="9" t="s">
        <v>227</v>
      </c>
      <c r="G425" t="s">
        <v>197</v>
      </c>
      <c r="H425" t="s">
        <v>41</v>
      </c>
      <c r="I425" t="s">
        <v>42</v>
      </c>
      <c r="J425" t="s">
        <v>43</v>
      </c>
      <c r="K425" t="s">
        <v>44</v>
      </c>
      <c r="L425" t="s">
        <v>53</v>
      </c>
      <c r="M425" t="s">
        <v>54</v>
      </c>
      <c r="N425" t="s">
        <v>41</v>
      </c>
      <c r="O425" t="s">
        <v>42</v>
      </c>
      <c r="P425" t="s">
        <v>43</v>
      </c>
      <c r="Q425" t="s">
        <v>44</v>
      </c>
      <c r="R425" s="1">
        <v>44338.641782407409</v>
      </c>
      <c r="S425" s="1">
        <v>44338.641782407409</v>
      </c>
      <c r="T425">
        <v>0</v>
      </c>
      <c r="U425">
        <v>1</v>
      </c>
      <c r="V425" s="2">
        <v>0</v>
      </c>
      <c r="W425">
        <v>0</v>
      </c>
      <c r="X425" t="s">
        <v>183</v>
      </c>
      <c r="Y425">
        <v>0</v>
      </c>
      <c r="Z425" t="s">
        <v>31</v>
      </c>
      <c r="AA425">
        <v>0</v>
      </c>
      <c r="AB425" t="s">
        <v>31</v>
      </c>
      <c r="AC425">
        <v>0</v>
      </c>
      <c r="AD425" t="s">
        <v>31</v>
      </c>
      <c r="AE425">
        <v>0</v>
      </c>
      <c r="AF425" t="s">
        <v>31</v>
      </c>
      <c r="AG425">
        <v>0</v>
      </c>
    </row>
    <row r="426" spans="1:33" x14ac:dyDescent="0.2">
      <c r="A426" t="s">
        <v>381</v>
      </c>
      <c r="B426" s="3">
        <v>44340</v>
      </c>
      <c r="C426">
        <v>109</v>
      </c>
      <c r="D426" t="s">
        <v>383</v>
      </c>
      <c r="E426" t="s">
        <v>222</v>
      </c>
      <c r="F426" s="9" t="s">
        <v>227</v>
      </c>
      <c r="G426" t="s">
        <v>197</v>
      </c>
      <c r="H426" t="s">
        <v>41</v>
      </c>
      <c r="I426" t="s">
        <v>42</v>
      </c>
      <c r="J426" t="s">
        <v>43</v>
      </c>
      <c r="K426" t="s">
        <v>44</v>
      </c>
      <c r="L426" t="s">
        <v>53</v>
      </c>
      <c r="M426" t="s">
        <v>54</v>
      </c>
      <c r="N426" t="s">
        <v>41</v>
      </c>
      <c r="O426" t="s">
        <v>42</v>
      </c>
      <c r="P426" t="s">
        <v>43</v>
      </c>
      <c r="Q426" t="s">
        <v>44</v>
      </c>
      <c r="R426" s="1">
        <v>44340.643217592595</v>
      </c>
      <c r="S426" s="1">
        <v>44340.643217592595</v>
      </c>
      <c r="T426">
        <v>0</v>
      </c>
      <c r="U426">
        <v>1</v>
      </c>
      <c r="V426" s="2">
        <v>0</v>
      </c>
      <c r="W426">
        <v>0</v>
      </c>
      <c r="X426" t="s">
        <v>183</v>
      </c>
      <c r="Y426">
        <v>0</v>
      </c>
      <c r="Z426" t="s">
        <v>31</v>
      </c>
      <c r="AA426">
        <v>0</v>
      </c>
      <c r="AB426" t="s">
        <v>31</v>
      </c>
      <c r="AC426">
        <v>0</v>
      </c>
      <c r="AD426" t="s">
        <v>31</v>
      </c>
      <c r="AE426">
        <v>0</v>
      </c>
      <c r="AF426" t="s">
        <v>31</v>
      </c>
      <c r="AG426">
        <v>0</v>
      </c>
    </row>
    <row r="427" spans="1:33" x14ac:dyDescent="0.2">
      <c r="A427" t="s">
        <v>381</v>
      </c>
      <c r="B427" s="3">
        <v>44341</v>
      </c>
      <c r="C427">
        <v>110</v>
      </c>
      <c r="D427" t="s">
        <v>383</v>
      </c>
      <c r="E427" t="s">
        <v>222</v>
      </c>
      <c r="F427" s="9" t="s">
        <v>227</v>
      </c>
      <c r="G427" t="s">
        <v>197</v>
      </c>
      <c r="H427" t="s">
        <v>41</v>
      </c>
      <c r="I427" t="s">
        <v>42</v>
      </c>
      <c r="J427" t="s">
        <v>43</v>
      </c>
      <c r="K427" t="s">
        <v>44</v>
      </c>
      <c r="L427" t="s">
        <v>53</v>
      </c>
      <c r="M427" t="s">
        <v>54</v>
      </c>
      <c r="N427" t="s">
        <v>41</v>
      </c>
      <c r="O427" t="s">
        <v>42</v>
      </c>
      <c r="P427" t="s">
        <v>43</v>
      </c>
      <c r="Q427" t="s">
        <v>44</v>
      </c>
      <c r="R427" s="1">
        <v>44341.458078703705</v>
      </c>
      <c r="S427" s="1">
        <v>44341.458078703705</v>
      </c>
      <c r="T427">
        <v>0</v>
      </c>
      <c r="U427">
        <v>1</v>
      </c>
      <c r="V427" s="2">
        <v>0</v>
      </c>
      <c r="W427">
        <v>0</v>
      </c>
      <c r="X427" t="s">
        <v>183</v>
      </c>
      <c r="Y427">
        <v>0</v>
      </c>
      <c r="Z427" t="s">
        <v>31</v>
      </c>
      <c r="AA427">
        <v>0</v>
      </c>
      <c r="AB427" t="s">
        <v>31</v>
      </c>
      <c r="AC427">
        <v>0</v>
      </c>
      <c r="AD427" t="s">
        <v>31</v>
      </c>
      <c r="AE427">
        <v>0</v>
      </c>
      <c r="AF427" t="s">
        <v>31</v>
      </c>
      <c r="AG427">
        <v>0</v>
      </c>
    </row>
    <row r="428" spans="1:33" x14ac:dyDescent="0.2">
      <c r="A428" t="s">
        <v>381</v>
      </c>
      <c r="B428" s="3">
        <v>44342</v>
      </c>
      <c r="C428">
        <v>112</v>
      </c>
      <c r="D428" t="s">
        <v>394</v>
      </c>
      <c r="E428" t="s">
        <v>222</v>
      </c>
      <c r="F428" s="9" t="s">
        <v>227</v>
      </c>
      <c r="G428" t="s">
        <v>197</v>
      </c>
      <c r="H428" t="s">
        <v>41</v>
      </c>
      <c r="I428" t="s">
        <v>42</v>
      </c>
      <c r="J428" t="s">
        <v>43</v>
      </c>
      <c r="K428" t="s">
        <v>44</v>
      </c>
      <c r="L428" t="s">
        <v>53</v>
      </c>
      <c r="M428" t="s">
        <v>54</v>
      </c>
      <c r="N428" t="s">
        <v>41</v>
      </c>
      <c r="O428" t="s">
        <v>42</v>
      </c>
      <c r="P428" t="s">
        <v>43</v>
      </c>
      <c r="Q428" t="s">
        <v>44</v>
      </c>
      <c r="R428" s="1">
        <v>44342.469895833332</v>
      </c>
      <c r="S428" s="1">
        <v>44342.469895833332</v>
      </c>
      <c r="T428">
        <v>0</v>
      </c>
      <c r="U428">
        <v>1</v>
      </c>
      <c r="V428" s="2">
        <v>0</v>
      </c>
      <c r="W428">
        <v>0</v>
      </c>
      <c r="X428" t="s">
        <v>183</v>
      </c>
      <c r="Y428">
        <v>0</v>
      </c>
      <c r="Z428" t="s">
        <v>31</v>
      </c>
      <c r="AA428">
        <v>0</v>
      </c>
      <c r="AB428" t="s">
        <v>31</v>
      </c>
      <c r="AC428">
        <v>0</v>
      </c>
      <c r="AD428" t="s">
        <v>31</v>
      </c>
      <c r="AE428">
        <v>0</v>
      </c>
      <c r="AF428" t="s">
        <v>31</v>
      </c>
      <c r="AG428">
        <v>0</v>
      </c>
    </row>
    <row r="429" spans="1:33" x14ac:dyDescent="0.2">
      <c r="A429" t="s">
        <v>381</v>
      </c>
      <c r="B429" s="3">
        <v>44342</v>
      </c>
      <c r="C429">
        <v>113</v>
      </c>
      <c r="D429" t="s">
        <v>383</v>
      </c>
      <c r="E429" t="s">
        <v>222</v>
      </c>
      <c r="F429" s="9" t="s">
        <v>227</v>
      </c>
      <c r="G429" t="s">
        <v>197</v>
      </c>
      <c r="H429" t="s">
        <v>41</v>
      </c>
      <c r="I429" t="s">
        <v>42</v>
      </c>
      <c r="J429" t="s">
        <v>43</v>
      </c>
      <c r="K429" t="s">
        <v>44</v>
      </c>
      <c r="L429" t="s">
        <v>53</v>
      </c>
      <c r="M429" t="s">
        <v>54</v>
      </c>
      <c r="N429" t="s">
        <v>41</v>
      </c>
      <c r="O429" t="s">
        <v>42</v>
      </c>
      <c r="P429" t="s">
        <v>43</v>
      </c>
      <c r="Q429" t="s">
        <v>44</v>
      </c>
      <c r="R429" s="1">
        <v>44342.588356481479</v>
      </c>
      <c r="S429" s="1">
        <v>44342.588356481479</v>
      </c>
      <c r="T429">
        <v>0</v>
      </c>
      <c r="U429">
        <v>1</v>
      </c>
      <c r="V429" s="2">
        <v>0</v>
      </c>
      <c r="W429">
        <v>0</v>
      </c>
      <c r="X429" t="s">
        <v>183</v>
      </c>
      <c r="Y429">
        <v>0</v>
      </c>
      <c r="Z429" t="s">
        <v>31</v>
      </c>
      <c r="AA429">
        <v>0</v>
      </c>
      <c r="AB429" t="s">
        <v>31</v>
      </c>
      <c r="AC429">
        <v>0</v>
      </c>
      <c r="AD429" t="s">
        <v>31</v>
      </c>
      <c r="AE429">
        <v>0</v>
      </c>
      <c r="AF429" t="s">
        <v>31</v>
      </c>
      <c r="AG429">
        <v>0</v>
      </c>
    </row>
    <row r="430" spans="1:33" x14ac:dyDescent="0.2">
      <c r="A430" t="s">
        <v>381</v>
      </c>
      <c r="B430" s="3">
        <v>44344</v>
      </c>
      <c r="C430">
        <v>116</v>
      </c>
      <c r="D430" t="s">
        <v>390</v>
      </c>
      <c r="E430" t="s">
        <v>222</v>
      </c>
      <c r="F430" s="9" t="s">
        <v>227</v>
      </c>
      <c r="G430" t="s">
        <v>197</v>
      </c>
      <c r="H430" t="s">
        <v>41</v>
      </c>
      <c r="I430" t="s">
        <v>42</v>
      </c>
      <c r="J430" t="s">
        <v>43</v>
      </c>
      <c r="K430" t="s">
        <v>44</v>
      </c>
      <c r="L430" t="s">
        <v>53</v>
      </c>
      <c r="M430" t="s">
        <v>54</v>
      </c>
      <c r="N430" t="s">
        <v>41</v>
      </c>
      <c r="O430" t="s">
        <v>42</v>
      </c>
      <c r="P430" t="s">
        <v>43</v>
      </c>
      <c r="Q430" t="s">
        <v>44</v>
      </c>
      <c r="R430" s="1">
        <v>44344.477442129632</v>
      </c>
      <c r="S430" s="1">
        <v>44344.477442129632</v>
      </c>
      <c r="T430">
        <v>0</v>
      </c>
      <c r="U430">
        <v>1</v>
      </c>
      <c r="V430" s="2">
        <v>0</v>
      </c>
      <c r="W430">
        <v>0</v>
      </c>
      <c r="X430" t="s">
        <v>183</v>
      </c>
      <c r="Y430">
        <v>0</v>
      </c>
      <c r="Z430" t="s">
        <v>31</v>
      </c>
      <c r="AA430">
        <v>0</v>
      </c>
      <c r="AB430" t="s">
        <v>31</v>
      </c>
      <c r="AC430">
        <v>0</v>
      </c>
      <c r="AD430" t="s">
        <v>31</v>
      </c>
      <c r="AE430">
        <v>0</v>
      </c>
      <c r="AF430" t="s">
        <v>31</v>
      </c>
      <c r="AG430">
        <v>0</v>
      </c>
    </row>
    <row r="431" spans="1:33" x14ac:dyDescent="0.2">
      <c r="A431" t="s">
        <v>381</v>
      </c>
      <c r="B431" s="3">
        <v>44349</v>
      </c>
      <c r="C431">
        <v>120</v>
      </c>
      <c r="D431" t="s">
        <v>398</v>
      </c>
      <c r="E431" t="s">
        <v>222</v>
      </c>
      <c r="F431" s="9" t="s">
        <v>227</v>
      </c>
      <c r="G431" t="s">
        <v>197</v>
      </c>
      <c r="H431" t="s">
        <v>41</v>
      </c>
      <c r="I431" t="s">
        <v>42</v>
      </c>
      <c r="J431" t="s">
        <v>43</v>
      </c>
      <c r="K431" t="s">
        <v>44</v>
      </c>
      <c r="L431" t="s">
        <v>53</v>
      </c>
      <c r="M431" t="s">
        <v>54</v>
      </c>
      <c r="N431" t="s">
        <v>41</v>
      </c>
      <c r="O431" t="s">
        <v>42</v>
      </c>
      <c r="P431" t="s">
        <v>43</v>
      </c>
      <c r="Q431" t="s">
        <v>44</v>
      </c>
      <c r="R431" s="1">
        <v>44349.483194444445</v>
      </c>
      <c r="S431" s="1">
        <v>44349.483206018522</v>
      </c>
      <c r="T431">
        <v>0</v>
      </c>
      <c r="U431">
        <v>2</v>
      </c>
      <c r="V431" s="2">
        <v>0</v>
      </c>
      <c r="W431">
        <v>0</v>
      </c>
      <c r="X431" t="s">
        <v>44</v>
      </c>
      <c r="Y431">
        <v>0</v>
      </c>
      <c r="Z431" t="s">
        <v>183</v>
      </c>
      <c r="AA431">
        <v>0</v>
      </c>
      <c r="AB431" t="s">
        <v>31</v>
      </c>
      <c r="AC431">
        <v>0</v>
      </c>
      <c r="AD431" t="s">
        <v>31</v>
      </c>
      <c r="AE431">
        <v>0</v>
      </c>
      <c r="AF431" t="s">
        <v>31</v>
      </c>
      <c r="AG431">
        <v>0</v>
      </c>
    </row>
    <row r="432" spans="1:33" x14ac:dyDescent="0.2">
      <c r="A432" t="s">
        <v>381</v>
      </c>
      <c r="B432" s="3">
        <v>44351</v>
      </c>
      <c r="C432">
        <v>124</v>
      </c>
      <c r="D432" t="s">
        <v>390</v>
      </c>
      <c r="E432" t="s">
        <v>222</v>
      </c>
      <c r="F432" s="9" t="s">
        <v>227</v>
      </c>
      <c r="G432" t="s">
        <v>197</v>
      </c>
      <c r="H432" t="s">
        <v>41</v>
      </c>
      <c r="I432" t="s">
        <v>42</v>
      </c>
      <c r="J432" t="s">
        <v>43</v>
      </c>
      <c r="K432" t="s">
        <v>44</v>
      </c>
      <c r="L432" t="s">
        <v>53</v>
      </c>
      <c r="M432" t="s">
        <v>54</v>
      </c>
      <c r="N432" t="s">
        <v>41</v>
      </c>
      <c r="O432" t="s">
        <v>42</v>
      </c>
      <c r="P432" t="s">
        <v>43</v>
      </c>
      <c r="Q432" t="s">
        <v>44</v>
      </c>
      <c r="R432" s="1">
        <v>44351.479039351849</v>
      </c>
      <c r="S432" s="1">
        <v>44351.479039351849</v>
      </c>
      <c r="T432">
        <v>0</v>
      </c>
      <c r="U432">
        <v>1</v>
      </c>
      <c r="V432" s="2">
        <v>0</v>
      </c>
      <c r="W432">
        <v>0</v>
      </c>
      <c r="X432" t="s">
        <v>183</v>
      </c>
      <c r="Y432">
        <v>0</v>
      </c>
      <c r="Z432" t="s">
        <v>31</v>
      </c>
      <c r="AA432">
        <v>0</v>
      </c>
      <c r="AB432" t="s">
        <v>31</v>
      </c>
      <c r="AC432">
        <v>0</v>
      </c>
      <c r="AD432" t="s">
        <v>31</v>
      </c>
      <c r="AE432">
        <v>0</v>
      </c>
      <c r="AF432" t="s">
        <v>31</v>
      </c>
      <c r="AG432">
        <v>0</v>
      </c>
    </row>
    <row r="433" spans="1:33" x14ac:dyDescent="0.2">
      <c r="A433" t="s">
        <v>381</v>
      </c>
      <c r="B433" s="3">
        <v>44354</v>
      </c>
      <c r="C433">
        <v>127</v>
      </c>
      <c r="D433" t="s">
        <v>383</v>
      </c>
      <c r="E433" t="s">
        <v>222</v>
      </c>
      <c r="F433" s="9" t="s">
        <v>227</v>
      </c>
      <c r="G433" t="s">
        <v>197</v>
      </c>
      <c r="H433" t="s">
        <v>41</v>
      </c>
      <c r="I433" t="s">
        <v>42</v>
      </c>
      <c r="J433" t="s">
        <v>43</v>
      </c>
      <c r="K433" t="s">
        <v>44</v>
      </c>
      <c r="L433" t="s">
        <v>53</v>
      </c>
      <c r="M433" t="s">
        <v>54</v>
      </c>
      <c r="N433" t="s">
        <v>41</v>
      </c>
      <c r="O433" t="s">
        <v>42</v>
      </c>
      <c r="P433" t="s">
        <v>43</v>
      </c>
      <c r="Q433" t="s">
        <v>44</v>
      </c>
      <c r="R433" s="1">
        <v>44354.535300925927</v>
      </c>
      <c r="S433" s="1">
        <v>44354.535300925927</v>
      </c>
      <c r="T433">
        <v>0</v>
      </c>
      <c r="U433">
        <v>1</v>
      </c>
      <c r="V433" s="2">
        <v>0</v>
      </c>
      <c r="W433">
        <v>0</v>
      </c>
      <c r="X433" t="s">
        <v>183</v>
      </c>
      <c r="Y433">
        <v>0</v>
      </c>
      <c r="Z433" t="s">
        <v>31</v>
      </c>
      <c r="AA433">
        <v>0</v>
      </c>
      <c r="AB433" t="s">
        <v>31</v>
      </c>
      <c r="AC433">
        <v>0</v>
      </c>
      <c r="AD433" t="s">
        <v>31</v>
      </c>
      <c r="AE433">
        <v>0</v>
      </c>
      <c r="AF433" t="s">
        <v>31</v>
      </c>
      <c r="AG433">
        <v>0</v>
      </c>
    </row>
    <row r="434" spans="1:33" x14ac:dyDescent="0.2">
      <c r="A434" t="s">
        <v>381</v>
      </c>
      <c r="B434" s="3">
        <v>44355</v>
      </c>
      <c r="C434">
        <v>128</v>
      </c>
      <c r="D434" t="s">
        <v>406</v>
      </c>
      <c r="E434" t="s">
        <v>222</v>
      </c>
      <c r="F434" s="9" t="s">
        <v>227</v>
      </c>
      <c r="G434" t="s">
        <v>197</v>
      </c>
      <c r="H434" t="s">
        <v>41</v>
      </c>
      <c r="I434" t="s">
        <v>42</v>
      </c>
      <c r="J434" t="s">
        <v>43</v>
      </c>
      <c r="K434" t="s">
        <v>44</v>
      </c>
      <c r="L434" t="s">
        <v>53</v>
      </c>
      <c r="M434" t="s">
        <v>54</v>
      </c>
      <c r="N434" t="s">
        <v>41</v>
      </c>
      <c r="O434" t="s">
        <v>42</v>
      </c>
      <c r="P434" t="s">
        <v>43</v>
      </c>
      <c r="Q434" t="s">
        <v>44</v>
      </c>
      <c r="R434" s="1">
        <v>44355.46974537037</v>
      </c>
      <c r="S434" s="1">
        <v>44355.46974537037</v>
      </c>
      <c r="T434">
        <v>0</v>
      </c>
      <c r="U434">
        <v>1</v>
      </c>
      <c r="V434" s="2">
        <v>0</v>
      </c>
      <c r="W434">
        <v>0</v>
      </c>
      <c r="X434" t="s">
        <v>183</v>
      </c>
      <c r="Y434">
        <v>0</v>
      </c>
      <c r="Z434" t="s">
        <v>31</v>
      </c>
      <c r="AA434">
        <v>0</v>
      </c>
      <c r="AB434" t="s">
        <v>31</v>
      </c>
      <c r="AC434">
        <v>0</v>
      </c>
      <c r="AD434" t="s">
        <v>31</v>
      </c>
      <c r="AE434">
        <v>0</v>
      </c>
      <c r="AF434" t="s">
        <v>31</v>
      </c>
      <c r="AG434">
        <v>0</v>
      </c>
    </row>
    <row r="435" spans="1:33" x14ac:dyDescent="0.2">
      <c r="A435" t="s">
        <v>381</v>
      </c>
      <c r="B435" s="3">
        <v>44356</v>
      </c>
      <c r="C435">
        <v>130</v>
      </c>
      <c r="D435" t="s">
        <v>398</v>
      </c>
      <c r="E435" t="s">
        <v>222</v>
      </c>
      <c r="F435" s="9" t="s">
        <v>227</v>
      </c>
      <c r="G435" t="s">
        <v>197</v>
      </c>
      <c r="H435" t="s">
        <v>41</v>
      </c>
      <c r="I435" t="s">
        <v>42</v>
      </c>
      <c r="J435" t="s">
        <v>43</v>
      </c>
      <c r="K435" t="s">
        <v>44</v>
      </c>
      <c r="L435" t="s">
        <v>53</v>
      </c>
      <c r="M435" t="s">
        <v>54</v>
      </c>
      <c r="N435" t="s">
        <v>41</v>
      </c>
      <c r="O435" t="s">
        <v>42</v>
      </c>
      <c r="P435" t="s">
        <v>43</v>
      </c>
      <c r="Q435" t="s">
        <v>44</v>
      </c>
      <c r="R435" s="1">
        <v>44356.402442129627</v>
      </c>
      <c r="S435" s="1">
        <v>44356.402442129627</v>
      </c>
      <c r="T435">
        <v>0</v>
      </c>
      <c r="U435">
        <v>1</v>
      </c>
      <c r="V435" s="2">
        <v>0</v>
      </c>
      <c r="W435">
        <v>0</v>
      </c>
      <c r="X435" t="s">
        <v>183</v>
      </c>
      <c r="Y435">
        <v>0</v>
      </c>
      <c r="Z435" t="s">
        <v>31</v>
      </c>
      <c r="AA435">
        <v>0</v>
      </c>
      <c r="AB435" t="s">
        <v>31</v>
      </c>
      <c r="AC435">
        <v>0</v>
      </c>
      <c r="AD435" t="s">
        <v>31</v>
      </c>
      <c r="AE435">
        <v>0</v>
      </c>
      <c r="AF435" t="s">
        <v>31</v>
      </c>
      <c r="AG435">
        <v>0</v>
      </c>
    </row>
    <row r="436" spans="1:33" x14ac:dyDescent="0.2">
      <c r="A436" t="s">
        <v>381</v>
      </c>
      <c r="B436" s="3">
        <v>44356</v>
      </c>
      <c r="C436">
        <v>131</v>
      </c>
      <c r="D436" t="s">
        <v>383</v>
      </c>
      <c r="E436" t="s">
        <v>222</v>
      </c>
      <c r="F436" s="9" t="s">
        <v>227</v>
      </c>
      <c r="G436" t="s">
        <v>197</v>
      </c>
      <c r="H436" t="s">
        <v>41</v>
      </c>
      <c r="I436" t="s">
        <v>42</v>
      </c>
      <c r="J436" t="s">
        <v>43</v>
      </c>
      <c r="K436" t="s">
        <v>44</v>
      </c>
      <c r="L436" t="s">
        <v>53</v>
      </c>
      <c r="M436" t="s">
        <v>54</v>
      </c>
      <c r="N436" t="s">
        <v>41</v>
      </c>
      <c r="O436" t="s">
        <v>42</v>
      </c>
      <c r="P436" t="s">
        <v>43</v>
      </c>
      <c r="Q436" t="s">
        <v>44</v>
      </c>
      <c r="R436" s="1">
        <v>44356.586145833331</v>
      </c>
      <c r="S436" s="1">
        <v>44356.586145833331</v>
      </c>
      <c r="T436">
        <v>0</v>
      </c>
      <c r="U436">
        <v>1</v>
      </c>
      <c r="V436" s="2">
        <v>0</v>
      </c>
      <c r="W436">
        <v>0</v>
      </c>
      <c r="X436" t="s">
        <v>183</v>
      </c>
      <c r="Y436">
        <v>0</v>
      </c>
      <c r="Z436" t="s">
        <v>31</v>
      </c>
      <c r="AA436">
        <v>0</v>
      </c>
      <c r="AB436" t="s">
        <v>31</v>
      </c>
      <c r="AC436">
        <v>0</v>
      </c>
      <c r="AD436" t="s">
        <v>31</v>
      </c>
      <c r="AE436">
        <v>0</v>
      </c>
      <c r="AF436" t="s">
        <v>31</v>
      </c>
      <c r="AG436">
        <v>0</v>
      </c>
    </row>
    <row r="437" spans="1:33" x14ac:dyDescent="0.2">
      <c r="A437" t="s">
        <v>381</v>
      </c>
      <c r="B437" s="3">
        <v>44358</v>
      </c>
      <c r="C437">
        <v>133</v>
      </c>
      <c r="D437" t="s">
        <v>390</v>
      </c>
      <c r="E437" t="s">
        <v>222</v>
      </c>
      <c r="F437" s="9" t="s">
        <v>227</v>
      </c>
      <c r="G437" t="s">
        <v>197</v>
      </c>
      <c r="H437" t="s">
        <v>41</v>
      </c>
      <c r="I437" t="s">
        <v>42</v>
      </c>
      <c r="J437" t="s">
        <v>43</v>
      </c>
      <c r="K437" t="s">
        <v>44</v>
      </c>
      <c r="L437" t="s">
        <v>53</v>
      </c>
      <c r="M437" t="s">
        <v>54</v>
      </c>
      <c r="N437" t="s">
        <v>41</v>
      </c>
      <c r="O437" t="s">
        <v>42</v>
      </c>
      <c r="P437" t="s">
        <v>43</v>
      </c>
      <c r="Q437" t="s">
        <v>44</v>
      </c>
      <c r="R437" s="1">
        <v>44358.478912037041</v>
      </c>
      <c r="S437" s="1">
        <v>44358.478912037041</v>
      </c>
      <c r="T437">
        <v>0</v>
      </c>
      <c r="U437">
        <v>1</v>
      </c>
      <c r="V437" s="2">
        <v>0</v>
      </c>
      <c r="W437">
        <v>0</v>
      </c>
      <c r="X437" t="s">
        <v>183</v>
      </c>
      <c r="Y437">
        <v>0</v>
      </c>
      <c r="Z437" t="s">
        <v>31</v>
      </c>
      <c r="AA437">
        <v>0</v>
      </c>
      <c r="AB437" t="s">
        <v>31</v>
      </c>
      <c r="AC437">
        <v>0</v>
      </c>
      <c r="AD437" t="s">
        <v>31</v>
      </c>
      <c r="AE437">
        <v>0</v>
      </c>
      <c r="AF437" t="s">
        <v>31</v>
      </c>
      <c r="AG437">
        <v>0</v>
      </c>
    </row>
    <row r="438" spans="1:33" x14ac:dyDescent="0.2">
      <c r="A438" t="s">
        <v>381</v>
      </c>
      <c r="B438" s="3">
        <v>44361</v>
      </c>
      <c r="C438">
        <v>135</v>
      </c>
      <c r="D438" t="s">
        <v>390</v>
      </c>
      <c r="E438" t="s">
        <v>222</v>
      </c>
      <c r="F438" s="9" t="s">
        <v>227</v>
      </c>
      <c r="G438" t="s">
        <v>197</v>
      </c>
      <c r="H438" t="s">
        <v>41</v>
      </c>
      <c r="I438" t="s">
        <v>42</v>
      </c>
      <c r="J438" t="s">
        <v>43</v>
      </c>
      <c r="K438" t="s">
        <v>44</v>
      </c>
      <c r="L438" t="s">
        <v>53</v>
      </c>
      <c r="M438" t="s">
        <v>54</v>
      </c>
      <c r="N438" t="s">
        <v>41</v>
      </c>
      <c r="O438" t="s">
        <v>42</v>
      </c>
      <c r="P438" t="s">
        <v>43</v>
      </c>
      <c r="Q438" t="s">
        <v>44</v>
      </c>
      <c r="R438" s="1">
        <v>44361.47797453704</v>
      </c>
      <c r="S438" s="1">
        <v>44361.47797453704</v>
      </c>
      <c r="T438">
        <v>0</v>
      </c>
      <c r="U438">
        <v>1</v>
      </c>
      <c r="V438" s="2">
        <v>0</v>
      </c>
      <c r="W438">
        <v>0</v>
      </c>
      <c r="X438" t="s">
        <v>183</v>
      </c>
      <c r="Y438">
        <v>0</v>
      </c>
      <c r="Z438" t="s">
        <v>31</v>
      </c>
      <c r="AA438">
        <v>0</v>
      </c>
      <c r="AB438" t="s">
        <v>31</v>
      </c>
      <c r="AC438">
        <v>0</v>
      </c>
      <c r="AD438" t="s">
        <v>31</v>
      </c>
      <c r="AE438">
        <v>0</v>
      </c>
      <c r="AF438" t="s">
        <v>31</v>
      </c>
      <c r="AG438">
        <v>0</v>
      </c>
    </row>
    <row r="439" spans="1:33" x14ac:dyDescent="0.2">
      <c r="A439" t="s">
        <v>381</v>
      </c>
      <c r="B439" s="3">
        <v>44302</v>
      </c>
      <c r="C439">
        <v>64</v>
      </c>
      <c r="D439" t="s">
        <v>390</v>
      </c>
      <c r="E439" t="s">
        <v>222</v>
      </c>
      <c r="F439" s="9" t="s">
        <v>228</v>
      </c>
      <c r="G439" t="s">
        <v>197</v>
      </c>
      <c r="H439" t="s">
        <v>155</v>
      </c>
      <c r="I439" t="s">
        <v>156</v>
      </c>
      <c r="J439" t="s">
        <v>198</v>
      </c>
      <c r="K439" t="s">
        <v>183</v>
      </c>
      <c r="L439" t="s">
        <v>198</v>
      </c>
      <c r="M439" t="s">
        <v>183</v>
      </c>
      <c r="N439" t="s">
        <v>41</v>
      </c>
      <c r="O439" t="s">
        <v>42</v>
      </c>
      <c r="P439" t="s">
        <v>43</v>
      </c>
      <c r="Q439" t="s">
        <v>44</v>
      </c>
      <c r="R439" s="1">
        <v>44302.446944444448</v>
      </c>
      <c r="S439" s="1">
        <v>44302.446944444448</v>
      </c>
      <c r="T439">
        <v>1</v>
      </c>
      <c r="U439">
        <v>1</v>
      </c>
      <c r="V439" s="2">
        <v>1</v>
      </c>
      <c r="W439">
        <v>0</v>
      </c>
      <c r="X439" t="s">
        <v>183</v>
      </c>
      <c r="Y439">
        <v>0</v>
      </c>
      <c r="Z439" t="s">
        <v>31</v>
      </c>
      <c r="AA439">
        <v>0</v>
      </c>
      <c r="AB439" t="s">
        <v>31</v>
      </c>
      <c r="AC439">
        <v>0</v>
      </c>
      <c r="AD439" t="s">
        <v>31</v>
      </c>
      <c r="AE439">
        <v>0</v>
      </c>
      <c r="AF439" t="s">
        <v>31</v>
      </c>
      <c r="AG439">
        <v>0</v>
      </c>
    </row>
    <row r="440" spans="1:33" x14ac:dyDescent="0.2">
      <c r="A440" t="s">
        <v>381</v>
      </c>
      <c r="B440" s="3">
        <v>44319</v>
      </c>
      <c r="C440">
        <v>84</v>
      </c>
      <c r="D440" t="s">
        <v>390</v>
      </c>
      <c r="E440" t="s">
        <v>222</v>
      </c>
      <c r="F440" s="9" t="s">
        <v>228</v>
      </c>
      <c r="G440" t="s">
        <v>197</v>
      </c>
      <c r="H440" t="s">
        <v>41</v>
      </c>
      <c r="I440" t="s">
        <v>42</v>
      </c>
      <c r="J440" t="s">
        <v>43</v>
      </c>
      <c r="K440" t="s">
        <v>44</v>
      </c>
      <c r="L440" t="s">
        <v>53</v>
      </c>
      <c r="M440" t="s">
        <v>54</v>
      </c>
      <c r="N440" t="s">
        <v>41</v>
      </c>
      <c r="O440" t="s">
        <v>42</v>
      </c>
      <c r="P440" t="s">
        <v>43</v>
      </c>
      <c r="Q440" t="s">
        <v>44</v>
      </c>
      <c r="R440" s="1">
        <v>44319.438067129631</v>
      </c>
      <c r="S440" s="1">
        <v>44319.438067129631</v>
      </c>
      <c r="T440">
        <v>0</v>
      </c>
      <c r="U440">
        <v>1</v>
      </c>
      <c r="V440" s="2">
        <v>0</v>
      </c>
      <c r="W440">
        <v>0</v>
      </c>
      <c r="X440" t="s">
        <v>183</v>
      </c>
      <c r="Y440">
        <v>0</v>
      </c>
      <c r="Z440" t="s">
        <v>31</v>
      </c>
      <c r="AA440">
        <v>0</v>
      </c>
      <c r="AB440" t="s">
        <v>31</v>
      </c>
      <c r="AC440">
        <v>0</v>
      </c>
      <c r="AD440" t="s">
        <v>31</v>
      </c>
      <c r="AE440">
        <v>0</v>
      </c>
      <c r="AF440" t="s">
        <v>31</v>
      </c>
      <c r="AG440">
        <v>0</v>
      </c>
    </row>
    <row r="441" spans="1:33" x14ac:dyDescent="0.2">
      <c r="A441" t="s">
        <v>381</v>
      </c>
      <c r="B441" s="3">
        <v>44320</v>
      </c>
      <c r="C441">
        <v>87</v>
      </c>
      <c r="D441" t="s">
        <v>385</v>
      </c>
      <c r="E441" t="s">
        <v>222</v>
      </c>
      <c r="F441" s="9" t="s">
        <v>228</v>
      </c>
      <c r="G441" t="s">
        <v>197</v>
      </c>
      <c r="H441" t="s">
        <v>41</v>
      </c>
      <c r="I441" t="s">
        <v>42</v>
      </c>
      <c r="J441" t="s">
        <v>43</v>
      </c>
      <c r="K441" t="s">
        <v>44</v>
      </c>
      <c r="L441" t="s">
        <v>53</v>
      </c>
      <c r="M441" t="s">
        <v>54</v>
      </c>
      <c r="N441" t="s">
        <v>41</v>
      </c>
      <c r="O441" t="s">
        <v>42</v>
      </c>
      <c r="P441" t="s">
        <v>43</v>
      </c>
      <c r="Q441" t="s">
        <v>44</v>
      </c>
      <c r="R441" s="1">
        <v>44320.623518518521</v>
      </c>
      <c r="S441" s="1">
        <v>44320.623518518521</v>
      </c>
      <c r="T441">
        <v>0</v>
      </c>
      <c r="U441">
        <v>1</v>
      </c>
      <c r="V441" s="2">
        <v>0</v>
      </c>
      <c r="W441">
        <v>0</v>
      </c>
      <c r="X441" t="s">
        <v>183</v>
      </c>
      <c r="Y441">
        <v>0</v>
      </c>
      <c r="Z441" t="s">
        <v>31</v>
      </c>
      <c r="AA441">
        <v>0</v>
      </c>
      <c r="AB441" t="s">
        <v>31</v>
      </c>
      <c r="AC441">
        <v>0</v>
      </c>
      <c r="AD441" t="s">
        <v>31</v>
      </c>
      <c r="AE441">
        <v>0</v>
      </c>
      <c r="AF441" t="s">
        <v>31</v>
      </c>
      <c r="AG441">
        <v>0</v>
      </c>
    </row>
    <row r="442" spans="1:33" x14ac:dyDescent="0.2">
      <c r="A442" t="s">
        <v>381</v>
      </c>
      <c r="B442" s="3">
        <v>44334</v>
      </c>
      <c r="C442">
        <v>99</v>
      </c>
      <c r="D442" t="s">
        <v>385</v>
      </c>
      <c r="E442" t="s">
        <v>222</v>
      </c>
      <c r="F442" s="9" t="s">
        <v>228</v>
      </c>
      <c r="G442" t="s">
        <v>197</v>
      </c>
      <c r="H442" t="s">
        <v>41</v>
      </c>
      <c r="I442" t="s">
        <v>42</v>
      </c>
      <c r="J442" t="s">
        <v>43</v>
      </c>
      <c r="K442" t="s">
        <v>44</v>
      </c>
      <c r="L442" t="s">
        <v>53</v>
      </c>
      <c r="M442" t="s">
        <v>54</v>
      </c>
      <c r="N442" t="s">
        <v>41</v>
      </c>
      <c r="O442" t="s">
        <v>42</v>
      </c>
      <c r="P442" t="s">
        <v>43</v>
      </c>
      <c r="Q442" t="s">
        <v>44</v>
      </c>
      <c r="R442" s="1">
        <v>44334.629861111112</v>
      </c>
      <c r="S442" s="1">
        <v>44334.629861111112</v>
      </c>
      <c r="T442">
        <v>0</v>
      </c>
      <c r="U442">
        <v>1</v>
      </c>
      <c r="V442" s="2">
        <v>0</v>
      </c>
      <c r="W442">
        <v>0</v>
      </c>
      <c r="X442" t="s">
        <v>183</v>
      </c>
      <c r="Y442">
        <v>0</v>
      </c>
      <c r="Z442" t="s">
        <v>31</v>
      </c>
      <c r="AA442">
        <v>0</v>
      </c>
      <c r="AB442" t="s">
        <v>31</v>
      </c>
      <c r="AC442">
        <v>0</v>
      </c>
      <c r="AD442" t="s">
        <v>31</v>
      </c>
      <c r="AE442">
        <v>0</v>
      </c>
      <c r="AF442" t="s">
        <v>31</v>
      </c>
      <c r="AG442">
        <v>0</v>
      </c>
    </row>
    <row r="443" spans="1:33" x14ac:dyDescent="0.2">
      <c r="A443" t="s">
        <v>381</v>
      </c>
      <c r="B443" s="3">
        <v>44335</v>
      </c>
      <c r="C443">
        <v>100</v>
      </c>
      <c r="D443" t="s">
        <v>398</v>
      </c>
      <c r="E443" t="s">
        <v>222</v>
      </c>
      <c r="F443" s="9" t="s">
        <v>228</v>
      </c>
      <c r="G443" t="s">
        <v>197</v>
      </c>
      <c r="H443" t="s">
        <v>41</v>
      </c>
      <c r="I443" t="s">
        <v>42</v>
      </c>
      <c r="J443" t="s">
        <v>43</v>
      </c>
      <c r="K443" t="s">
        <v>44</v>
      </c>
      <c r="L443" t="s">
        <v>53</v>
      </c>
      <c r="M443" t="s">
        <v>54</v>
      </c>
      <c r="N443" t="s">
        <v>41</v>
      </c>
      <c r="O443" t="s">
        <v>42</v>
      </c>
      <c r="P443" t="s">
        <v>43</v>
      </c>
      <c r="Q443" t="s">
        <v>44</v>
      </c>
      <c r="R443" s="1">
        <v>44335.479305555556</v>
      </c>
      <c r="S443" s="1">
        <v>44335.479305555556</v>
      </c>
      <c r="T443">
        <v>0</v>
      </c>
      <c r="U443">
        <v>1</v>
      </c>
      <c r="V443" s="2">
        <v>0</v>
      </c>
      <c r="W443">
        <v>0</v>
      </c>
      <c r="X443" t="s">
        <v>183</v>
      </c>
      <c r="Y443">
        <v>0</v>
      </c>
      <c r="Z443" t="s">
        <v>31</v>
      </c>
      <c r="AA443">
        <v>0</v>
      </c>
      <c r="AB443" t="s">
        <v>31</v>
      </c>
      <c r="AC443">
        <v>0</v>
      </c>
      <c r="AD443" t="s">
        <v>31</v>
      </c>
      <c r="AE443">
        <v>0</v>
      </c>
      <c r="AF443" t="s">
        <v>31</v>
      </c>
      <c r="AG443">
        <v>0</v>
      </c>
    </row>
    <row r="444" spans="1:33" x14ac:dyDescent="0.2">
      <c r="A444" t="s">
        <v>381</v>
      </c>
      <c r="B444" s="3">
        <v>44338</v>
      </c>
      <c r="C444">
        <v>107</v>
      </c>
      <c r="D444" t="s">
        <v>392</v>
      </c>
      <c r="E444" t="s">
        <v>222</v>
      </c>
      <c r="F444" s="9" t="s">
        <v>228</v>
      </c>
      <c r="G444" t="s">
        <v>197</v>
      </c>
      <c r="H444" t="s">
        <v>41</v>
      </c>
      <c r="I444" t="s">
        <v>42</v>
      </c>
      <c r="J444" t="s">
        <v>43</v>
      </c>
      <c r="K444" t="s">
        <v>44</v>
      </c>
      <c r="L444" t="s">
        <v>53</v>
      </c>
      <c r="M444" t="s">
        <v>54</v>
      </c>
      <c r="N444" t="s">
        <v>41</v>
      </c>
      <c r="O444" t="s">
        <v>42</v>
      </c>
      <c r="P444" t="s">
        <v>43</v>
      </c>
      <c r="Q444" t="s">
        <v>44</v>
      </c>
      <c r="R444" s="1">
        <v>44338.641782407409</v>
      </c>
      <c r="S444" s="1">
        <v>44338.641782407409</v>
      </c>
      <c r="T444">
        <v>0</v>
      </c>
      <c r="U444">
        <v>1</v>
      </c>
      <c r="V444" s="2">
        <v>0</v>
      </c>
      <c r="W444">
        <v>0</v>
      </c>
      <c r="X444" t="s">
        <v>183</v>
      </c>
      <c r="Y444">
        <v>0</v>
      </c>
      <c r="Z444" t="s">
        <v>31</v>
      </c>
      <c r="AA444">
        <v>0</v>
      </c>
      <c r="AB444" t="s">
        <v>31</v>
      </c>
      <c r="AC444">
        <v>0</v>
      </c>
      <c r="AD444" t="s">
        <v>31</v>
      </c>
      <c r="AE444">
        <v>0</v>
      </c>
      <c r="AF444" t="s">
        <v>31</v>
      </c>
      <c r="AG444">
        <v>0</v>
      </c>
    </row>
    <row r="445" spans="1:33" x14ac:dyDescent="0.2">
      <c r="A445" t="s">
        <v>381</v>
      </c>
      <c r="B445" s="3">
        <v>44340</v>
      </c>
      <c r="C445">
        <v>109</v>
      </c>
      <c r="D445" t="s">
        <v>383</v>
      </c>
      <c r="E445" t="s">
        <v>222</v>
      </c>
      <c r="F445" s="9" t="s">
        <v>228</v>
      </c>
      <c r="G445" t="s">
        <v>197</v>
      </c>
      <c r="H445" t="s">
        <v>41</v>
      </c>
      <c r="I445" t="s">
        <v>42</v>
      </c>
      <c r="J445" t="s">
        <v>43</v>
      </c>
      <c r="K445" t="s">
        <v>44</v>
      </c>
      <c r="L445" t="s">
        <v>53</v>
      </c>
      <c r="M445" t="s">
        <v>54</v>
      </c>
      <c r="N445" t="s">
        <v>41</v>
      </c>
      <c r="O445" t="s">
        <v>42</v>
      </c>
      <c r="P445" t="s">
        <v>43</v>
      </c>
      <c r="Q445" t="s">
        <v>44</v>
      </c>
      <c r="R445" s="1">
        <v>44340.643449074072</v>
      </c>
      <c r="S445" s="1">
        <v>44340.643449074072</v>
      </c>
      <c r="T445">
        <v>0</v>
      </c>
      <c r="U445">
        <v>1</v>
      </c>
      <c r="V445" s="2">
        <v>0</v>
      </c>
      <c r="W445">
        <v>0</v>
      </c>
      <c r="X445" t="s">
        <v>183</v>
      </c>
      <c r="Y445">
        <v>0</v>
      </c>
      <c r="Z445" t="s">
        <v>31</v>
      </c>
      <c r="AA445">
        <v>0</v>
      </c>
      <c r="AB445" t="s">
        <v>31</v>
      </c>
      <c r="AC445">
        <v>0</v>
      </c>
      <c r="AD445" t="s">
        <v>31</v>
      </c>
      <c r="AE445">
        <v>0</v>
      </c>
      <c r="AF445" t="s">
        <v>31</v>
      </c>
      <c r="AG445">
        <v>0</v>
      </c>
    </row>
    <row r="446" spans="1:33" x14ac:dyDescent="0.2">
      <c r="A446" t="s">
        <v>381</v>
      </c>
      <c r="B446" s="3">
        <v>44341</v>
      </c>
      <c r="C446">
        <v>110</v>
      </c>
      <c r="D446" t="s">
        <v>383</v>
      </c>
      <c r="E446" t="s">
        <v>222</v>
      </c>
      <c r="F446" s="9" t="s">
        <v>228</v>
      </c>
      <c r="G446" t="s">
        <v>197</v>
      </c>
      <c r="H446" t="s">
        <v>41</v>
      </c>
      <c r="I446" t="s">
        <v>42</v>
      </c>
      <c r="J446" t="s">
        <v>43</v>
      </c>
      <c r="K446" t="s">
        <v>44</v>
      </c>
      <c r="L446" t="s">
        <v>53</v>
      </c>
      <c r="M446" t="s">
        <v>54</v>
      </c>
      <c r="N446" t="s">
        <v>41</v>
      </c>
      <c r="O446" t="s">
        <v>42</v>
      </c>
      <c r="P446" t="s">
        <v>43</v>
      </c>
      <c r="Q446" t="s">
        <v>44</v>
      </c>
      <c r="R446" s="1">
        <v>44341.458101851851</v>
      </c>
      <c r="S446" s="1">
        <v>44341.458101851851</v>
      </c>
      <c r="T446">
        <v>0</v>
      </c>
      <c r="U446">
        <v>1</v>
      </c>
      <c r="V446" s="2">
        <v>0</v>
      </c>
      <c r="W446">
        <v>0</v>
      </c>
      <c r="X446" t="s">
        <v>183</v>
      </c>
      <c r="Y446">
        <v>0</v>
      </c>
      <c r="Z446" t="s">
        <v>31</v>
      </c>
      <c r="AA446">
        <v>0</v>
      </c>
      <c r="AB446" t="s">
        <v>31</v>
      </c>
      <c r="AC446">
        <v>0</v>
      </c>
      <c r="AD446" t="s">
        <v>31</v>
      </c>
      <c r="AE446">
        <v>0</v>
      </c>
      <c r="AF446" t="s">
        <v>31</v>
      </c>
      <c r="AG446">
        <v>0</v>
      </c>
    </row>
    <row r="447" spans="1:33" x14ac:dyDescent="0.2">
      <c r="A447" t="s">
        <v>381</v>
      </c>
      <c r="B447" s="3">
        <v>44342</v>
      </c>
      <c r="C447">
        <v>112</v>
      </c>
      <c r="D447" t="s">
        <v>394</v>
      </c>
      <c r="E447" t="s">
        <v>222</v>
      </c>
      <c r="F447" s="9" t="s">
        <v>228</v>
      </c>
      <c r="G447" t="s">
        <v>197</v>
      </c>
      <c r="H447" t="s">
        <v>41</v>
      </c>
      <c r="I447" t="s">
        <v>42</v>
      </c>
      <c r="J447" t="s">
        <v>43</v>
      </c>
      <c r="K447" t="s">
        <v>44</v>
      </c>
      <c r="L447" t="s">
        <v>53</v>
      </c>
      <c r="M447" t="s">
        <v>54</v>
      </c>
      <c r="N447" t="s">
        <v>41</v>
      </c>
      <c r="O447" t="s">
        <v>42</v>
      </c>
      <c r="P447" t="s">
        <v>43</v>
      </c>
      <c r="Q447" t="s">
        <v>44</v>
      </c>
      <c r="R447" s="1">
        <v>44342.469907407409</v>
      </c>
      <c r="S447" s="1">
        <v>44342.469907407409</v>
      </c>
      <c r="T447">
        <v>0</v>
      </c>
      <c r="U447">
        <v>1</v>
      </c>
      <c r="V447" s="2">
        <v>0</v>
      </c>
      <c r="W447">
        <v>0</v>
      </c>
      <c r="X447" t="s">
        <v>183</v>
      </c>
      <c r="Y447">
        <v>0</v>
      </c>
      <c r="Z447" t="s">
        <v>31</v>
      </c>
      <c r="AA447">
        <v>0</v>
      </c>
      <c r="AB447" t="s">
        <v>31</v>
      </c>
      <c r="AC447">
        <v>0</v>
      </c>
      <c r="AD447" t="s">
        <v>31</v>
      </c>
      <c r="AE447">
        <v>0</v>
      </c>
      <c r="AF447" t="s">
        <v>31</v>
      </c>
      <c r="AG447">
        <v>0</v>
      </c>
    </row>
    <row r="448" spans="1:33" x14ac:dyDescent="0.2">
      <c r="A448" t="s">
        <v>381</v>
      </c>
      <c r="B448" s="3">
        <v>44342</v>
      </c>
      <c r="C448">
        <v>113</v>
      </c>
      <c r="D448" t="s">
        <v>383</v>
      </c>
      <c r="E448" t="s">
        <v>222</v>
      </c>
      <c r="F448" s="9" t="s">
        <v>228</v>
      </c>
      <c r="G448" t="s">
        <v>197</v>
      </c>
      <c r="H448" t="s">
        <v>41</v>
      </c>
      <c r="I448" t="s">
        <v>42</v>
      </c>
      <c r="J448" t="s">
        <v>43</v>
      </c>
      <c r="K448" t="s">
        <v>44</v>
      </c>
      <c r="L448" t="s">
        <v>53</v>
      </c>
      <c r="M448" t="s">
        <v>54</v>
      </c>
      <c r="N448" t="s">
        <v>41</v>
      </c>
      <c r="O448" t="s">
        <v>42</v>
      </c>
      <c r="P448" t="s">
        <v>43</v>
      </c>
      <c r="Q448" t="s">
        <v>44</v>
      </c>
      <c r="R448" s="1">
        <v>44342.588356481479</v>
      </c>
      <c r="S448" s="1">
        <v>44342.588356481479</v>
      </c>
      <c r="T448">
        <v>0</v>
      </c>
      <c r="U448">
        <v>1</v>
      </c>
      <c r="V448" s="2">
        <v>0</v>
      </c>
      <c r="W448">
        <v>0</v>
      </c>
      <c r="X448" t="s">
        <v>183</v>
      </c>
      <c r="Y448">
        <v>0</v>
      </c>
      <c r="Z448" t="s">
        <v>31</v>
      </c>
      <c r="AA448">
        <v>0</v>
      </c>
      <c r="AB448" t="s">
        <v>31</v>
      </c>
      <c r="AC448">
        <v>0</v>
      </c>
      <c r="AD448" t="s">
        <v>31</v>
      </c>
      <c r="AE448">
        <v>0</v>
      </c>
      <c r="AF448" t="s">
        <v>31</v>
      </c>
      <c r="AG448">
        <v>0</v>
      </c>
    </row>
    <row r="449" spans="1:43" x14ac:dyDescent="0.2">
      <c r="A449" t="s">
        <v>381</v>
      </c>
      <c r="B449" s="3">
        <v>44344</v>
      </c>
      <c r="C449">
        <v>116</v>
      </c>
      <c r="D449" t="s">
        <v>390</v>
      </c>
      <c r="E449" t="s">
        <v>222</v>
      </c>
      <c r="F449" s="9" t="s">
        <v>228</v>
      </c>
      <c r="G449" t="s">
        <v>197</v>
      </c>
      <c r="H449" t="s">
        <v>41</v>
      </c>
      <c r="I449" t="s">
        <v>42</v>
      </c>
      <c r="J449" t="s">
        <v>43</v>
      </c>
      <c r="K449" t="s">
        <v>44</v>
      </c>
      <c r="L449" t="s">
        <v>53</v>
      </c>
      <c r="M449" t="s">
        <v>54</v>
      </c>
      <c r="N449" t="s">
        <v>41</v>
      </c>
      <c r="O449" t="s">
        <v>42</v>
      </c>
      <c r="P449" t="s">
        <v>43</v>
      </c>
      <c r="Q449" t="s">
        <v>44</v>
      </c>
      <c r="R449" s="1">
        <v>44344.477442129632</v>
      </c>
      <c r="S449" s="1">
        <v>44344.477442129632</v>
      </c>
      <c r="T449">
        <v>0</v>
      </c>
      <c r="U449">
        <v>1</v>
      </c>
      <c r="V449" s="2">
        <v>0</v>
      </c>
      <c r="W449">
        <v>0</v>
      </c>
      <c r="X449" t="s">
        <v>183</v>
      </c>
      <c r="Y449">
        <v>0</v>
      </c>
      <c r="Z449" t="s">
        <v>31</v>
      </c>
      <c r="AA449">
        <v>0</v>
      </c>
      <c r="AB449" t="s">
        <v>31</v>
      </c>
      <c r="AC449">
        <v>0</v>
      </c>
      <c r="AD449" t="s">
        <v>31</v>
      </c>
      <c r="AE449">
        <v>0</v>
      </c>
      <c r="AF449" t="s">
        <v>31</v>
      </c>
      <c r="AG449">
        <v>0</v>
      </c>
    </row>
    <row r="450" spans="1:43" x14ac:dyDescent="0.2">
      <c r="A450" t="s">
        <v>381</v>
      </c>
      <c r="B450" s="3">
        <v>44349</v>
      </c>
      <c r="C450">
        <v>120</v>
      </c>
      <c r="D450" t="s">
        <v>398</v>
      </c>
      <c r="E450" t="s">
        <v>222</v>
      </c>
      <c r="F450" s="9" t="s">
        <v>228</v>
      </c>
      <c r="G450" t="s">
        <v>197</v>
      </c>
      <c r="H450" t="s">
        <v>41</v>
      </c>
      <c r="I450" t="s">
        <v>42</v>
      </c>
      <c r="J450" t="s">
        <v>43</v>
      </c>
      <c r="K450" t="s">
        <v>44</v>
      </c>
      <c r="L450" t="s">
        <v>53</v>
      </c>
      <c r="M450" t="s">
        <v>54</v>
      </c>
      <c r="N450" t="s">
        <v>41</v>
      </c>
      <c r="O450" t="s">
        <v>42</v>
      </c>
      <c r="P450" t="s">
        <v>43</v>
      </c>
      <c r="Q450" t="s">
        <v>44</v>
      </c>
      <c r="R450" s="1">
        <v>44349.483217592591</v>
      </c>
      <c r="S450" s="1">
        <v>44349.483217592591</v>
      </c>
      <c r="T450">
        <v>1</v>
      </c>
      <c r="U450">
        <v>1</v>
      </c>
      <c r="V450" s="2">
        <v>1</v>
      </c>
      <c r="W450">
        <v>1</v>
      </c>
      <c r="X450" t="s">
        <v>54</v>
      </c>
      <c r="Y450">
        <v>1</v>
      </c>
      <c r="Z450" t="s">
        <v>31</v>
      </c>
      <c r="AA450">
        <v>0</v>
      </c>
      <c r="AB450" t="s">
        <v>31</v>
      </c>
      <c r="AC450">
        <v>0</v>
      </c>
      <c r="AD450" t="s">
        <v>31</v>
      </c>
      <c r="AE450">
        <v>0</v>
      </c>
      <c r="AF450" t="s">
        <v>31</v>
      </c>
      <c r="AG450">
        <v>0</v>
      </c>
    </row>
    <row r="451" spans="1:43" x14ac:dyDescent="0.2">
      <c r="A451" t="s">
        <v>381</v>
      </c>
      <c r="B451" s="3">
        <v>44351</v>
      </c>
      <c r="C451">
        <v>124</v>
      </c>
      <c r="D451" t="s">
        <v>390</v>
      </c>
      <c r="E451" t="s">
        <v>222</v>
      </c>
      <c r="F451" s="9" t="s">
        <v>228</v>
      </c>
      <c r="G451" t="s">
        <v>197</v>
      </c>
      <c r="H451" t="s">
        <v>41</v>
      </c>
      <c r="I451" t="s">
        <v>42</v>
      </c>
      <c r="J451" t="s">
        <v>43</v>
      </c>
      <c r="K451" t="s">
        <v>44</v>
      </c>
      <c r="L451" t="s">
        <v>53</v>
      </c>
      <c r="M451" t="s">
        <v>54</v>
      </c>
      <c r="N451" t="s">
        <v>41</v>
      </c>
      <c r="O451" t="s">
        <v>42</v>
      </c>
      <c r="P451" t="s">
        <v>43</v>
      </c>
      <c r="Q451" t="s">
        <v>44</v>
      </c>
      <c r="R451" s="1">
        <v>44351.479050925926</v>
      </c>
      <c r="S451" s="1">
        <v>44351.479050925926</v>
      </c>
      <c r="T451">
        <v>0</v>
      </c>
      <c r="U451">
        <v>1</v>
      </c>
      <c r="V451" s="2">
        <v>0</v>
      </c>
      <c r="W451">
        <v>0</v>
      </c>
      <c r="X451" t="s">
        <v>183</v>
      </c>
      <c r="Y451">
        <v>0</v>
      </c>
      <c r="Z451" t="s">
        <v>31</v>
      </c>
      <c r="AA451">
        <v>0</v>
      </c>
      <c r="AB451" t="s">
        <v>31</v>
      </c>
      <c r="AC451">
        <v>0</v>
      </c>
      <c r="AD451" t="s">
        <v>31</v>
      </c>
      <c r="AE451">
        <v>0</v>
      </c>
      <c r="AF451" t="s">
        <v>31</v>
      </c>
      <c r="AG451">
        <v>0</v>
      </c>
    </row>
    <row r="452" spans="1:43" x14ac:dyDescent="0.2">
      <c r="A452" t="s">
        <v>381</v>
      </c>
      <c r="B452" s="3">
        <v>44354</v>
      </c>
      <c r="C452">
        <v>127</v>
      </c>
      <c r="D452" t="s">
        <v>383</v>
      </c>
      <c r="E452" t="s">
        <v>222</v>
      </c>
      <c r="F452" s="9" t="s">
        <v>228</v>
      </c>
      <c r="G452" t="s">
        <v>197</v>
      </c>
      <c r="H452" t="s">
        <v>41</v>
      </c>
      <c r="I452" t="s">
        <v>42</v>
      </c>
      <c r="J452" t="s">
        <v>43</v>
      </c>
      <c r="K452" t="s">
        <v>44</v>
      </c>
      <c r="L452" t="s">
        <v>53</v>
      </c>
      <c r="M452" t="s">
        <v>54</v>
      </c>
      <c r="N452" t="s">
        <v>41</v>
      </c>
      <c r="O452" t="s">
        <v>42</v>
      </c>
      <c r="P452" t="s">
        <v>43</v>
      </c>
      <c r="Q452" t="s">
        <v>44</v>
      </c>
      <c r="R452" s="1">
        <v>44354.535312499997</v>
      </c>
      <c r="S452" s="1">
        <v>44354.535312499997</v>
      </c>
      <c r="T452">
        <v>0</v>
      </c>
      <c r="U452">
        <v>1</v>
      </c>
      <c r="V452" s="2">
        <v>0</v>
      </c>
      <c r="W452">
        <v>0</v>
      </c>
      <c r="X452" t="s">
        <v>183</v>
      </c>
      <c r="Y452">
        <v>0</v>
      </c>
      <c r="Z452" t="s">
        <v>31</v>
      </c>
      <c r="AA452">
        <v>0</v>
      </c>
      <c r="AB452" t="s">
        <v>31</v>
      </c>
      <c r="AC452">
        <v>0</v>
      </c>
      <c r="AD452" t="s">
        <v>31</v>
      </c>
      <c r="AE452">
        <v>0</v>
      </c>
      <c r="AF452" t="s">
        <v>31</v>
      </c>
      <c r="AG452">
        <v>0</v>
      </c>
    </row>
    <row r="453" spans="1:43" x14ac:dyDescent="0.2">
      <c r="A453" t="s">
        <v>381</v>
      </c>
      <c r="B453" s="3">
        <v>44355</v>
      </c>
      <c r="C453">
        <v>128</v>
      </c>
      <c r="D453" t="s">
        <v>406</v>
      </c>
      <c r="E453" t="s">
        <v>222</v>
      </c>
      <c r="F453" s="9" t="s">
        <v>228</v>
      </c>
      <c r="G453" t="s">
        <v>197</v>
      </c>
      <c r="H453" t="s">
        <v>41</v>
      </c>
      <c r="I453" t="s">
        <v>42</v>
      </c>
      <c r="J453" t="s">
        <v>43</v>
      </c>
      <c r="K453" t="s">
        <v>44</v>
      </c>
      <c r="L453" t="s">
        <v>53</v>
      </c>
      <c r="M453" t="s">
        <v>54</v>
      </c>
      <c r="N453" t="s">
        <v>41</v>
      </c>
      <c r="O453" t="s">
        <v>42</v>
      </c>
      <c r="P453" t="s">
        <v>43</v>
      </c>
      <c r="Q453" t="s">
        <v>44</v>
      </c>
      <c r="R453" s="1">
        <v>44355.46980324074</v>
      </c>
      <c r="S453" s="1">
        <v>44355.46980324074</v>
      </c>
      <c r="T453">
        <v>0</v>
      </c>
      <c r="U453">
        <v>1</v>
      </c>
      <c r="V453" s="2">
        <v>0</v>
      </c>
      <c r="W453">
        <v>0</v>
      </c>
      <c r="X453" t="s">
        <v>183</v>
      </c>
      <c r="Y453">
        <v>0</v>
      </c>
      <c r="Z453" t="s">
        <v>31</v>
      </c>
      <c r="AA453">
        <v>0</v>
      </c>
      <c r="AB453" t="s">
        <v>31</v>
      </c>
      <c r="AC453">
        <v>0</v>
      </c>
      <c r="AD453" t="s">
        <v>31</v>
      </c>
      <c r="AE453">
        <v>0</v>
      </c>
      <c r="AF453" t="s">
        <v>31</v>
      </c>
      <c r="AG453">
        <v>0</v>
      </c>
    </row>
    <row r="454" spans="1:43" x14ac:dyDescent="0.2">
      <c r="A454" t="s">
        <v>381</v>
      </c>
      <c r="B454" s="3">
        <v>44356</v>
      </c>
      <c r="C454">
        <v>130</v>
      </c>
      <c r="D454" t="s">
        <v>398</v>
      </c>
      <c r="E454" t="s">
        <v>222</v>
      </c>
      <c r="F454" s="9" t="s">
        <v>228</v>
      </c>
      <c r="G454" t="s">
        <v>197</v>
      </c>
      <c r="H454" t="s">
        <v>41</v>
      </c>
      <c r="I454" t="s">
        <v>42</v>
      </c>
      <c r="J454" t="s">
        <v>43</v>
      </c>
      <c r="K454" t="s">
        <v>44</v>
      </c>
      <c r="L454" t="s">
        <v>53</v>
      </c>
      <c r="M454" t="s">
        <v>54</v>
      </c>
      <c r="N454" t="s">
        <v>41</v>
      </c>
      <c r="O454" t="s">
        <v>42</v>
      </c>
      <c r="P454" t="s">
        <v>43</v>
      </c>
      <c r="Q454" t="s">
        <v>44</v>
      </c>
      <c r="R454" s="1">
        <v>44356.402465277781</v>
      </c>
      <c r="S454" s="1">
        <v>44356.402465277781</v>
      </c>
      <c r="T454">
        <v>0</v>
      </c>
      <c r="U454">
        <v>1</v>
      </c>
      <c r="V454" s="2">
        <v>0</v>
      </c>
      <c r="W454">
        <v>0</v>
      </c>
      <c r="X454" t="s">
        <v>183</v>
      </c>
      <c r="Y454">
        <v>0</v>
      </c>
      <c r="Z454" t="s">
        <v>31</v>
      </c>
      <c r="AA454">
        <v>0</v>
      </c>
      <c r="AB454" t="s">
        <v>31</v>
      </c>
      <c r="AC454">
        <v>0</v>
      </c>
      <c r="AD454" t="s">
        <v>31</v>
      </c>
      <c r="AE454">
        <v>0</v>
      </c>
      <c r="AF454" t="s">
        <v>31</v>
      </c>
      <c r="AG454">
        <v>0</v>
      </c>
    </row>
    <row r="455" spans="1:43" x14ac:dyDescent="0.2">
      <c r="A455" t="s">
        <v>381</v>
      </c>
      <c r="B455" s="3">
        <v>44356</v>
      </c>
      <c r="C455">
        <v>131</v>
      </c>
      <c r="D455" t="s">
        <v>383</v>
      </c>
      <c r="E455" t="s">
        <v>222</v>
      </c>
      <c r="F455" s="9" t="s">
        <v>228</v>
      </c>
      <c r="G455" t="s">
        <v>197</v>
      </c>
      <c r="H455" t="s">
        <v>41</v>
      </c>
      <c r="I455" t="s">
        <v>42</v>
      </c>
      <c r="J455" t="s">
        <v>43</v>
      </c>
      <c r="K455" t="s">
        <v>44</v>
      </c>
      <c r="L455" t="s">
        <v>53</v>
      </c>
      <c r="M455" t="s">
        <v>54</v>
      </c>
      <c r="N455" t="s">
        <v>41</v>
      </c>
      <c r="O455" t="s">
        <v>42</v>
      </c>
      <c r="P455" t="s">
        <v>43</v>
      </c>
      <c r="Q455" t="s">
        <v>44</v>
      </c>
      <c r="R455" s="1">
        <v>44356.586157407408</v>
      </c>
      <c r="S455" s="1">
        <v>44356.586157407408</v>
      </c>
      <c r="T455">
        <v>0</v>
      </c>
      <c r="U455">
        <v>1</v>
      </c>
      <c r="V455" s="2">
        <v>0</v>
      </c>
      <c r="W455">
        <v>0</v>
      </c>
      <c r="X455" t="s">
        <v>183</v>
      </c>
      <c r="Y455">
        <v>0</v>
      </c>
      <c r="Z455" t="s">
        <v>31</v>
      </c>
      <c r="AA455">
        <v>0</v>
      </c>
      <c r="AB455" t="s">
        <v>31</v>
      </c>
      <c r="AC455">
        <v>0</v>
      </c>
      <c r="AD455" t="s">
        <v>31</v>
      </c>
      <c r="AE455">
        <v>0</v>
      </c>
      <c r="AF455" t="s">
        <v>31</v>
      </c>
      <c r="AG455">
        <v>0</v>
      </c>
    </row>
    <row r="456" spans="1:43" x14ac:dyDescent="0.2">
      <c r="A456" t="s">
        <v>381</v>
      </c>
      <c r="B456" s="3">
        <v>44358</v>
      </c>
      <c r="C456">
        <v>133</v>
      </c>
      <c r="D456" t="s">
        <v>390</v>
      </c>
      <c r="E456" t="s">
        <v>222</v>
      </c>
      <c r="F456" s="9" t="s">
        <v>228</v>
      </c>
      <c r="G456" t="s">
        <v>197</v>
      </c>
      <c r="H456" t="s">
        <v>41</v>
      </c>
      <c r="I456" t="s">
        <v>42</v>
      </c>
      <c r="J456" t="s">
        <v>43</v>
      </c>
      <c r="K456" t="s">
        <v>44</v>
      </c>
      <c r="L456" t="s">
        <v>53</v>
      </c>
      <c r="M456" t="s">
        <v>54</v>
      </c>
      <c r="N456" t="s">
        <v>41</v>
      </c>
      <c r="O456" t="s">
        <v>42</v>
      </c>
      <c r="P456" t="s">
        <v>43</v>
      </c>
      <c r="Q456" t="s">
        <v>44</v>
      </c>
      <c r="R456" s="1">
        <v>44358.478912037041</v>
      </c>
      <c r="S456" s="1">
        <v>44358.478912037041</v>
      </c>
      <c r="T456">
        <v>0</v>
      </c>
      <c r="U456">
        <v>1</v>
      </c>
      <c r="V456" s="2">
        <v>0</v>
      </c>
      <c r="W456">
        <v>0</v>
      </c>
      <c r="X456" t="s">
        <v>183</v>
      </c>
      <c r="Y456">
        <v>0</v>
      </c>
      <c r="Z456" t="s">
        <v>31</v>
      </c>
      <c r="AA456">
        <v>0</v>
      </c>
      <c r="AB456" t="s">
        <v>31</v>
      </c>
      <c r="AC456">
        <v>0</v>
      </c>
      <c r="AD456" t="s">
        <v>31</v>
      </c>
      <c r="AE456">
        <v>0</v>
      </c>
      <c r="AF456" t="s">
        <v>31</v>
      </c>
      <c r="AG456">
        <v>0</v>
      </c>
    </row>
    <row r="457" spans="1:43" x14ac:dyDescent="0.2">
      <c r="A457" t="s">
        <v>381</v>
      </c>
      <c r="B457" s="3">
        <v>44361</v>
      </c>
      <c r="C457">
        <v>135</v>
      </c>
      <c r="D457" t="s">
        <v>390</v>
      </c>
      <c r="E457" t="s">
        <v>222</v>
      </c>
      <c r="F457" s="9" t="s">
        <v>228</v>
      </c>
      <c r="G457" t="s">
        <v>197</v>
      </c>
      <c r="H457" t="s">
        <v>41</v>
      </c>
      <c r="I457" t="s">
        <v>42</v>
      </c>
      <c r="J457" t="s">
        <v>43</v>
      </c>
      <c r="K457" t="s">
        <v>44</v>
      </c>
      <c r="L457" t="s">
        <v>53</v>
      </c>
      <c r="M457" t="s">
        <v>54</v>
      </c>
      <c r="N457" t="s">
        <v>41</v>
      </c>
      <c r="O457" t="s">
        <v>42</v>
      </c>
      <c r="P457" t="s">
        <v>43</v>
      </c>
      <c r="Q457" t="s">
        <v>44</v>
      </c>
      <c r="R457" s="1">
        <v>44361.477986111109</v>
      </c>
      <c r="S457" s="1">
        <v>44361.477986111109</v>
      </c>
      <c r="T457">
        <v>0</v>
      </c>
      <c r="U457">
        <v>1</v>
      </c>
      <c r="V457" s="2">
        <v>0</v>
      </c>
      <c r="W457">
        <v>0</v>
      </c>
      <c r="X457" t="s">
        <v>183</v>
      </c>
      <c r="Y457">
        <v>0</v>
      </c>
      <c r="Z457" t="s">
        <v>31</v>
      </c>
      <c r="AA457">
        <v>0</v>
      </c>
      <c r="AB457" t="s">
        <v>31</v>
      </c>
      <c r="AC457">
        <v>0</v>
      </c>
      <c r="AD457" t="s">
        <v>31</v>
      </c>
      <c r="AE457">
        <v>0</v>
      </c>
      <c r="AF457" t="s">
        <v>31</v>
      </c>
      <c r="AG457">
        <v>0</v>
      </c>
    </row>
    <row r="458" spans="1:43" x14ac:dyDescent="0.2">
      <c r="A458" t="s">
        <v>381</v>
      </c>
      <c r="B458" s="3">
        <v>44207</v>
      </c>
      <c r="C458">
        <v>1</v>
      </c>
      <c r="D458" t="s">
        <v>384</v>
      </c>
      <c r="E458" t="s">
        <v>38</v>
      </c>
      <c r="F458" s="9" t="s">
        <v>39</v>
      </c>
      <c r="G458" t="s">
        <v>26</v>
      </c>
      <c r="H458" t="s">
        <v>27</v>
      </c>
      <c r="I458" t="s">
        <v>28</v>
      </c>
      <c r="J458" t="s">
        <v>29</v>
      </c>
      <c r="K458" t="s">
        <v>30</v>
      </c>
      <c r="L458" t="s">
        <v>29</v>
      </c>
      <c r="M458" t="s">
        <v>30</v>
      </c>
      <c r="N458" t="s">
        <v>27</v>
      </c>
      <c r="O458" t="s">
        <v>28</v>
      </c>
      <c r="P458" t="s">
        <v>29</v>
      </c>
      <c r="Q458" t="s">
        <v>30</v>
      </c>
      <c r="R458" s="1">
        <v>44207.46398148148</v>
      </c>
      <c r="S458" s="1">
        <v>44207.46434027778</v>
      </c>
      <c r="T458">
        <v>0</v>
      </c>
      <c r="U458">
        <v>0</v>
      </c>
      <c r="V458" s="2">
        <v>0</v>
      </c>
      <c r="W458">
        <v>0</v>
      </c>
      <c r="X458" t="s">
        <v>37</v>
      </c>
      <c r="Y458">
        <v>0</v>
      </c>
      <c r="Z458" t="s">
        <v>37</v>
      </c>
      <c r="AA458">
        <v>0</v>
      </c>
      <c r="AB458" t="s">
        <v>37</v>
      </c>
      <c r="AC458">
        <v>0</v>
      </c>
      <c r="AD458" t="s">
        <v>31</v>
      </c>
      <c r="AE458">
        <v>0</v>
      </c>
      <c r="AF458" t="s">
        <v>31</v>
      </c>
      <c r="AG458">
        <v>0</v>
      </c>
      <c r="AH458" t="s">
        <v>31</v>
      </c>
      <c r="AI458">
        <v>0</v>
      </c>
      <c r="AJ458" t="s">
        <v>31</v>
      </c>
      <c r="AK458">
        <v>0</v>
      </c>
      <c r="AL458" t="s">
        <v>31</v>
      </c>
      <c r="AM458">
        <v>0</v>
      </c>
      <c r="AN458" t="s">
        <v>31</v>
      </c>
      <c r="AO458">
        <v>0</v>
      </c>
      <c r="AP458" t="s">
        <v>31</v>
      </c>
      <c r="AQ458">
        <v>0</v>
      </c>
    </row>
    <row r="459" spans="1:43" x14ac:dyDescent="0.2">
      <c r="A459" t="s">
        <v>381</v>
      </c>
      <c r="B459" s="3">
        <v>44236</v>
      </c>
      <c r="C459">
        <v>2</v>
      </c>
      <c r="D459" t="s">
        <v>382</v>
      </c>
      <c r="E459" t="s">
        <v>38</v>
      </c>
      <c r="F459" s="9" t="s">
        <v>39</v>
      </c>
      <c r="G459" t="s">
        <v>26</v>
      </c>
      <c r="H459" t="s">
        <v>27</v>
      </c>
      <c r="I459" t="s">
        <v>28</v>
      </c>
      <c r="J459" t="s">
        <v>29</v>
      </c>
      <c r="K459" t="s">
        <v>30</v>
      </c>
      <c r="L459" t="s">
        <v>29</v>
      </c>
      <c r="M459" t="s">
        <v>30</v>
      </c>
      <c r="N459" t="s">
        <v>27</v>
      </c>
      <c r="O459" t="s">
        <v>28</v>
      </c>
      <c r="P459" t="s">
        <v>29</v>
      </c>
      <c r="Q459" t="s">
        <v>30</v>
      </c>
      <c r="R459" s="1">
        <v>44236.463518518518</v>
      </c>
      <c r="S459" s="1">
        <v>44236.463541666664</v>
      </c>
      <c r="T459">
        <v>0</v>
      </c>
      <c r="U459">
        <v>0</v>
      </c>
      <c r="V459" s="2">
        <v>0</v>
      </c>
      <c r="W459">
        <v>0</v>
      </c>
      <c r="X459" t="s">
        <v>37</v>
      </c>
      <c r="Y459">
        <v>0</v>
      </c>
      <c r="Z459" t="s">
        <v>37</v>
      </c>
      <c r="AA459">
        <v>0</v>
      </c>
      <c r="AB459" t="s">
        <v>37</v>
      </c>
      <c r="AC459">
        <v>0</v>
      </c>
      <c r="AD459" t="s">
        <v>37</v>
      </c>
      <c r="AE459">
        <v>0</v>
      </c>
      <c r="AF459" t="s">
        <v>37</v>
      </c>
      <c r="AG459">
        <v>0</v>
      </c>
      <c r="AH459" t="s">
        <v>37</v>
      </c>
      <c r="AI459">
        <v>0</v>
      </c>
      <c r="AJ459" t="s">
        <v>37</v>
      </c>
      <c r="AK459">
        <v>0</v>
      </c>
      <c r="AL459" t="s">
        <v>37</v>
      </c>
      <c r="AM459">
        <v>0</v>
      </c>
      <c r="AN459" t="s">
        <v>31</v>
      </c>
      <c r="AO459">
        <v>0</v>
      </c>
      <c r="AP459" t="s">
        <v>31</v>
      </c>
      <c r="AQ459">
        <v>0</v>
      </c>
    </row>
    <row r="460" spans="1:43" x14ac:dyDescent="0.2">
      <c r="A460" t="s">
        <v>381</v>
      </c>
      <c r="B460" s="3">
        <v>44238</v>
      </c>
      <c r="C460">
        <v>5</v>
      </c>
      <c r="D460" t="s">
        <v>382</v>
      </c>
      <c r="E460" t="s">
        <v>38</v>
      </c>
      <c r="F460" s="9" t="s">
        <v>39</v>
      </c>
      <c r="G460" t="s">
        <v>26</v>
      </c>
      <c r="H460" t="s">
        <v>27</v>
      </c>
      <c r="I460" t="s">
        <v>28</v>
      </c>
      <c r="J460" t="s">
        <v>29</v>
      </c>
      <c r="K460" t="s">
        <v>30</v>
      </c>
      <c r="L460" t="s">
        <v>29</v>
      </c>
      <c r="M460" t="s">
        <v>30</v>
      </c>
      <c r="N460" t="s">
        <v>27</v>
      </c>
      <c r="O460" t="s">
        <v>28</v>
      </c>
      <c r="P460" t="s">
        <v>29</v>
      </c>
      <c r="Q460" t="s">
        <v>30</v>
      </c>
      <c r="R460" s="1">
        <v>44238.469699074078</v>
      </c>
      <c r="S460" s="1">
        <v>44238.469768518517</v>
      </c>
      <c r="T460">
        <v>0</v>
      </c>
      <c r="U460">
        <v>0</v>
      </c>
      <c r="V460" s="2">
        <v>0</v>
      </c>
      <c r="W460">
        <v>0</v>
      </c>
      <c r="X460" t="s">
        <v>37</v>
      </c>
      <c r="Y460">
        <v>0</v>
      </c>
      <c r="Z460" t="s">
        <v>37</v>
      </c>
      <c r="AA460">
        <v>0</v>
      </c>
      <c r="AB460" t="s">
        <v>37</v>
      </c>
      <c r="AC460">
        <v>0</v>
      </c>
      <c r="AD460" t="s">
        <v>31</v>
      </c>
      <c r="AE460">
        <v>0</v>
      </c>
      <c r="AF460" t="s">
        <v>31</v>
      </c>
      <c r="AG460">
        <v>0</v>
      </c>
      <c r="AH460" t="s">
        <v>31</v>
      </c>
      <c r="AI460">
        <v>0</v>
      </c>
      <c r="AJ460" t="s">
        <v>31</v>
      </c>
      <c r="AK460">
        <v>0</v>
      </c>
      <c r="AL460" t="s">
        <v>31</v>
      </c>
      <c r="AM460">
        <v>0</v>
      </c>
      <c r="AN460" t="s">
        <v>31</v>
      </c>
      <c r="AO460">
        <v>0</v>
      </c>
      <c r="AP460" t="s">
        <v>31</v>
      </c>
      <c r="AQ460">
        <v>0</v>
      </c>
    </row>
    <row r="461" spans="1:43" x14ac:dyDescent="0.2">
      <c r="A461" t="s">
        <v>381</v>
      </c>
      <c r="B461" s="3">
        <v>44239</v>
      </c>
      <c r="C461">
        <v>7</v>
      </c>
      <c r="D461" t="s">
        <v>384</v>
      </c>
      <c r="E461" t="s">
        <v>38</v>
      </c>
      <c r="F461" s="9" t="s">
        <v>39</v>
      </c>
      <c r="G461" t="s">
        <v>26</v>
      </c>
      <c r="H461" t="s">
        <v>27</v>
      </c>
      <c r="I461" t="s">
        <v>28</v>
      </c>
      <c r="J461" t="s">
        <v>29</v>
      </c>
      <c r="K461" t="s">
        <v>30</v>
      </c>
      <c r="L461" t="s">
        <v>29</v>
      </c>
      <c r="M461" t="s">
        <v>30</v>
      </c>
      <c r="N461" t="s">
        <v>27</v>
      </c>
      <c r="O461" t="s">
        <v>28</v>
      </c>
      <c r="P461" t="s">
        <v>29</v>
      </c>
      <c r="Q461" t="s">
        <v>30</v>
      </c>
      <c r="R461" s="1">
        <v>44239.41337962963</v>
      </c>
      <c r="S461" s="1">
        <v>44239.413865740738</v>
      </c>
      <c r="T461">
        <v>0</v>
      </c>
      <c r="U461">
        <v>0</v>
      </c>
      <c r="V461" s="2">
        <v>0</v>
      </c>
      <c r="W461">
        <v>0</v>
      </c>
      <c r="X461" t="s">
        <v>37</v>
      </c>
      <c r="Y461">
        <v>0</v>
      </c>
      <c r="Z461" t="s">
        <v>37</v>
      </c>
      <c r="AA461">
        <v>0</v>
      </c>
      <c r="AB461" t="s">
        <v>37</v>
      </c>
      <c r="AC461">
        <v>0</v>
      </c>
      <c r="AD461" t="s">
        <v>37</v>
      </c>
      <c r="AE461">
        <v>0</v>
      </c>
      <c r="AF461" t="s">
        <v>31</v>
      </c>
      <c r="AG461">
        <v>0</v>
      </c>
      <c r="AH461" t="s">
        <v>31</v>
      </c>
      <c r="AI461">
        <v>0</v>
      </c>
      <c r="AJ461" t="s">
        <v>31</v>
      </c>
      <c r="AK461">
        <v>0</v>
      </c>
      <c r="AL461" t="s">
        <v>31</v>
      </c>
      <c r="AM461">
        <v>0</v>
      </c>
      <c r="AN461" t="s">
        <v>31</v>
      </c>
      <c r="AO461">
        <v>0</v>
      </c>
      <c r="AP461" t="s">
        <v>31</v>
      </c>
      <c r="AQ461">
        <v>0</v>
      </c>
    </row>
    <row r="462" spans="1:43" x14ac:dyDescent="0.2">
      <c r="A462" t="s">
        <v>381</v>
      </c>
      <c r="B462" s="3">
        <v>44242</v>
      </c>
      <c r="C462">
        <v>8</v>
      </c>
      <c r="D462" t="s">
        <v>384</v>
      </c>
      <c r="E462" t="s">
        <v>38</v>
      </c>
      <c r="F462" s="9" t="s">
        <v>39</v>
      </c>
      <c r="G462" t="s">
        <v>26</v>
      </c>
      <c r="H462" t="s">
        <v>27</v>
      </c>
      <c r="I462" t="s">
        <v>28</v>
      </c>
      <c r="J462" t="s">
        <v>29</v>
      </c>
      <c r="K462" t="s">
        <v>30</v>
      </c>
      <c r="L462" t="s">
        <v>29</v>
      </c>
      <c r="M462" t="s">
        <v>30</v>
      </c>
      <c r="N462" t="s">
        <v>27</v>
      </c>
      <c r="O462" t="s">
        <v>28</v>
      </c>
      <c r="P462" t="s">
        <v>29</v>
      </c>
      <c r="Q462" t="s">
        <v>30</v>
      </c>
      <c r="R462" s="1">
        <v>44242.453298611108</v>
      </c>
      <c r="S462" s="1">
        <v>44242.453472222223</v>
      </c>
      <c r="T462">
        <v>0</v>
      </c>
      <c r="U462">
        <v>0</v>
      </c>
      <c r="V462" s="2">
        <v>0</v>
      </c>
      <c r="W462">
        <v>0</v>
      </c>
      <c r="X462" t="s">
        <v>37</v>
      </c>
      <c r="Y462">
        <v>0</v>
      </c>
      <c r="Z462" t="s">
        <v>37</v>
      </c>
      <c r="AA462">
        <v>0</v>
      </c>
      <c r="AB462" t="s">
        <v>37</v>
      </c>
      <c r="AC462">
        <v>0</v>
      </c>
      <c r="AD462" t="s">
        <v>31</v>
      </c>
      <c r="AE462">
        <v>0</v>
      </c>
      <c r="AF462" t="s">
        <v>31</v>
      </c>
      <c r="AG462">
        <v>0</v>
      </c>
      <c r="AH462" t="s">
        <v>31</v>
      </c>
      <c r="AI462">
        <v>0</v>
      </c>
      <c r="AJ462" t="s">
        <v>31</v>
      </c>
      <c r="AK462">
        <v>0</v>
      </c>
      <c r="AL462" t="s">
        <v>31</v>
      </c>
      <c r="AM462">
        <v>0</v>
      </c>
      <c r="AN462" t="s">
        <v>31</v>
      </c>
      <c r="AO462">
        <v>0</v>
      </c>
      <c r="AP462" t="s">
        <v>31</v>
      </c>
      <c r="AQ462">
        <v>0</v>
      </c>
    </row>
    <row r="463" spans="1:43" x14ac:dyDescent="0.2">
      <c r="A463" t="s">
        <v>381</v>
      </c>
      <c r="B463" s="3">
        <v>44243</v>
      </c>
      <c r="C463">
        <v>9</v>
      </c>
      <c r="D463" t="s">
        <v>382</v>
      </c>
      <c r="E463" t="s">
        <v>38</v>
      </c>
      <c r="F463" s="9" t="s">
        <v>39</v>
      </c>
      <c r="G463" t="s">
        <v>26</v>
      </c>
      <c r="H463" t="s">
        <v>27</v>
      </c>
      <c r="I463" t="s">
        <v>28</v>
      </c>
      <c r="J463" t="s">
        <v>29</v>
      </c>
      <c r="K463" t="s">
        <v>30</v>
      </c>
      <c r="L463" t="s">
        <v>29</v>
      </c>
      <c r="M463" t="s">
        <v>30</v>
      </c>
      <c r="N463" t="s">
        <v>27</v>
      </c>
      <c r="O463" t="s">
        <v>28</v>
      </c>
      <c r="P463" t="s">
        <v>29</v>
      </c>
      <c r="Q463" t="s">
        <v>30</v>
      </c>
      <c r="R463" s="1">
        <v>44243.422743055555</v>
      </c>
      <c r="S463" s="1">
        <v>44243.422754629632</v>
      </c>
      <c r="T463">
        <v>0</v>
      </c>
      <c r="U463">
        <v>0</v>
      </c>
      <c r="V463" s="2">
        <v>0</v>
      </c>
      <c r="W463">
        <v>0</v>
      </c>
      <c r="X463" t="s">
        <v>37</v>
      </c>
      <c r="Y463">
        <v>0</v>
      </c>
      <c r="Z463" t="s">
        <v>37</v>
      </c>
      <c r="AA463">
        <v>0</v>
      </c>
      <c r="AB463" t="s">
        <v>37</v>
      </c>
      <c r="AC463">
        <v>0</v>
      </c>
      <c r="AD463" t="s">
        <v>31</v>
      </c>
      <c r="AE463">
        <v>0</v>
      </c>
      <c r="AF463" t="s">
        <v>31</v>
      </c>
      <c r="AG463">
        <v>0</v>
      </c>
      <c r="AH463" t="s">
        <v>31</v>
      </c>
      <c r="AI463">
        <v>0</v>
      </c>
      <c r="AJ463" t="s">
        <v>31</v>
      </c>
      <c r="AK463">
        <v>0</v>
      </c>
      <c r="AL463" t="s">
        <v>31</v>
      </c>
      <c r="AM463">
        <v>0</v>
      </c>
      <c r="AN463" t="s">
        <v>31</v>
      </c>
      <c r="AO463">
        <v>0</v>
      </c>
      <c r="AP463" t="s">
        <v>31</v>
      </c>
      <c r="AQ463">
        <v>0</v>
      </c>
    </row>
    <row r="464" spans="1:43" x14ac:dyDescent="0.2">
      <c r="A464" t="s">
        <v>381</v>
      </c>
      <c r="B464" s="3">
        <v>44243</v>
      </c>
      <c r="C464">
        <v>10</v>
      </c>
      <c r="D464" t="s">
        <v>385</v>
      </c>
      <c r="E464" t="s">
        <v>38</v>
      </c>
      <c r="F464" s="9" t="s">
        <v>39</v>
      </c>
      <c r="G464" t="s">
        <v>26</v>
      </c>
      <c r="H464" t="s">
        <v>27</v>
      </c>
      <c r="I464" t="s">
        <v>28</v>
      </c>
      <c r="J464" t="s">
        <v>29</v>
      </c>
      <c r="K464" t="s">
        <v>30</v>
      </c>
      <c r="L464" t="s">
        <v>29</v>
      </c>
      <c r="M464" t="s">
        <v>30</v>
      </c>
      <c r="N464" t="s">
        <v>27</v>
      </c>
      <c r="O464" t="s">
        <v>28</v>
      </c>
      <c r="P464" t="s">
        <v>29</v>
      </c>
      <c r="Q464" t="s">
        <v>30</v>
      </c>
      <c r="R464" s="1">
        <v>44243.660405092596</v>
      </c>
      <c r="S464" s="1">
        <v>44243.662083333336</v>
      </c>
      <c r="T464">
        <v>0</v>
      </c>
      <c r="U464">
        <v>0</v>
      </c>
      <c r="V464" s="2">
        <v>0</v>
      </c>
      <c r="W464">
        <v>0</v>
      </c>
      <c r="X464" t="s">
        <v>37</v>
      </c>
      <c r="Y464">
        <v>0</v>
      </c>
      <c r="Z464" t="s">
        <v>37</v>
      </c>
      <c r="AA464">
        <v>0</v>
      </c>
      <c r="AB464" t="s">
        <v>37</v>
      </c>
      <c r="AC464">
        <v>0</v>
      </c>
      <c r="AD464" t="s">
        <v>37</v>
      </c>
      <c r="AE464">
        <v>0</v>
      </c>
      <c r="AF464" t="s">
        <v>31</v>
      </c>
      <c r="AG464">
        <v>0</v>
      </c>
      <c r="AH464" t="s">
        <v>31</v>
      </c>
      <c r="AI464">
        <v>0</v>
      </c>
      <c r="AJ464" t="s">
        <v>31</v>
      </c>
      <c r="AK464">
        <v>0</v>
      </c>
      <c r="AL464" t="s">
        <v>31</v>
      </c>
      <c r="AM464">
        <v>0</v>
      </c>
      <c r="AN464" t="s">
        <v>31</v>
      </c>
      <c r="AO464">
        <v>0</v>
      </c>
      <c r="AP464" t="s">
        <v>31</v>
      </c>
      <c r="AQ464">
        <v>0</v>
      </c>
    </row>
    <row r="465" spans="1:43" x14ac:dyDescent="0.2">
      <c r="A465" t="s">
        <v>381</v>
      </c>
      <c r="B465" s="3">
        <v>44244</v>
      </c>
      <c r="C465">
        <v>11</v>
      </c>
      <c r="D465" t="s">
        <v>384</v>
      </c>
      <c r="E465" t="s">
        <v>38</v>
      </c>
      <c r="F465" s="9" t="s">
        <v>39</v>
      </c>
      <c r="G465" t="s">
        <v>26</v>
      </c>
      <c r="H465" t="s">
        <v>27</v>
      </c>
      <c r="I465" t="s">
        <v>28</v>
      </c>
      <c r="J465" t="s">
        <v>29</v>
      </c>
      <c r="K465" t="s">
        <v>30</v>
      </c>
      <c r="L465" t="s">
        <v>29</v>
      </c>
      <c r="M465" t="s">
        <v>30</v>
      </c>
      <c r="N465" t="s">
        <v>27</v>
      </c>
      <c r="O465" t="s">
        <v>28</v>
      </c>
      <c r="P465" t="s">
        <v>29</v>
      </c>
      <c r="Q465" t="s">
        <v>30</v>
      </c>
      <c r="R465" s="1">
        <v>44244.469027777777</v>
      </c>
      <c r="S465" s="1">
        <v>44244.469537037039</v>
      </c>
      <c r="T465">
        <v>0</v>
      </c>
      <c r="U465">
        <v>0</v>
      </c>
      <c r="V465" s="2">
        <v>0</v>
      </c>
      <c r="W465">
        <v>0</v>
      </c>
      <c r="X465" t="s">
        <v>37</v>
      </c>
      <c r="Y465">
        <v>0</v>
      </c>
      <c r="Z465" t="s">
        <v>37</v>
      </c>
      <c r="AA465">
        <v>0</v>
      </c>
      <c r="AB465" t="s">
        <v>37</v>
      </c>
      <c r="AC465">
        <v>0</v>
      </c>
      <c r="AD465" t="s">
        <v>37</v>
      </c>
      <c r="AE465">
        <v>0</v>
      </c>
      <c r="AF465" t="s">
        <v>31</v>
      </c>
      <c r="AG465">
        <v>0</v>
      </c>
      <c r="AH465" t="s">
        <v>31</v>
      </c>
      <c r="AI465">
        <v>0</v>
      </c>
      <c r="AJ465" t="s">
        <v>31</v>
      </c>
      <c r="AK465">
        <v>0</v>
      </c>
      <c r="AL465" t="s">
        <v>31</v>
      </c>
      <c r="AM465">
        <v>0</v>
      </c>
      <c r="AN465" t="s">
        <v>31</v>
      </c>
      <c r="AO465">
        <v>0</v>
      </c>
      <c r="AP465" t="s">
        <v>31</v>
      </c>
      <c r="AQ465">
        <v>0</v>
      </c>
    </row>
    <row r="466" spans="1:43" x14ac:dyDescent="0.2">
      <c r="A466" t="s">
        <v>381</v>
      </c>
      <c r="B466" s="3">
        <v>44245</v>
      </c>
      <c r="C466">
        <v>12</v>
      </c>
      <c r="D466" t="s">
        <v>382</v>
      </c>
      <c r="E466" t="s">
        <v>38</v>
      </c>
      <c r="F466" s="9" t="s">
        <v>39</v>
      </c>
      <c r="G466" t="s">
        <v>26</v>
      </c>
      <c r="H466" t="s">
        <v>27</v>
      </c>
      <c r="I466" t="s">
        <v>28</v>
      </c>
      <c r="J466" t="s">
        <v>29</v>
      </c>
      <c r="K466" t="s">
        <v>30</v>
      </c>
      <c r="L466" t="s">
        <v>29</v>
      </c>
      <c r="M466" t="s">
        <v>30</v>
      </c>
      <c r="N466" t="s">
        <v>27</v>
      </c>
      <c r="O466" t="s">
        <v>28</v>
      </c>
      <c r="P466" t="s">
        <v>29</v>
      </c>
      <c r="Q466" t="s">
        <v>30</v>
      </c>
      <c r="R466" s="1">
        <v>44245.432962962965</v>
      </c>
      <c r="S466" s="1">
        <v>44245.432974537034</v>
      </c>
      <c r="T466">
        <v>0</v>
      </c>
      <c r="U466">
        <v>0</v>
      </c>
      <c r="V466" s="2">
        <v>0</v>
      </c>
      <c r="W466">
        <v>0</v>
      </c>
      <c r="X466" t="s">
        <v>37</v>
      </c>
      <c r="Y466">
        <v>0</v>
      </c>
      <c r="Z466" t="s">
        <v>37</v>
      </c>
      <c r="AA466">
        <v>0</v>
      </c>
      <c r="AB466" t="s">
        <v>37</v>
      </c>
      <c r="AC466">
        <v>0</v>
      </c>
      <c r="AD466" t="s">
        <v>31</v>
      </c>
      <c r="AE466">
        <v>0</v>
      </c>
      <c r="AF466" t="s">
        <v>31</v>
      </c>
      <c r="AG466">
        <v>0</v>
      </c>
      <c r="AH466" t="s">
        <v>31</v>
      </c>
      <c r="AI466">
        <v>0</v>
      </c>
      <c r="AJ466" t="s">
        <v>31</v>
      </c>
      <c r="AK466">
        <v>0</v>
      </c>
      <c r="AL466" t="s">
        <v>31</v>
      </c>
      <c r="AM466">
        <v>0</v>
      </c>
      <c r="AN466" t="s">
        <v>31</v>
      </c>
      <c r="AO466">
        <v>0</v>
      </c>
      <c r="AP466" t="s">
        <v>31</v>
      </c>
      <c r="AQ466">
        <v>0</v>
      </c>
    </row>
    <row r="467" spans="1:43" x14ac:dyDescent="0.2">
      <c r="A467" t="s">
        <v>381</v>
      </c>
      <c r="B467" s="3">
        <v>44246</v>
      </c>
      <c r="C467">
        <v>14</v>
      </c>
      <c r="D467" t="s">
        <v>384</v>
      </c>
      <c r="E467" t="s">
        <v>38</v>
      </c>
      <c r="F467" s="9" t="s">
        <v>39</v>
      </c>
      <c r="G467" t="s">
        <v>26</v>
      </c>
      <c r="H467" t="s">
        <v>27</v>
      </c>
      <c r="I467" t="s">
        <v>28</v>
      </c>
      <c r="J467" t="s">
        <v>29</v>
      </c>
      <c r="K467" t="s">
        <v>30</v>
      </c>
      <c r="L467" t="s">
        <v>29</v>
      </c>
      <c r="M467" t="s">
        <v>30</v>
      </c>
      <c r="N467" t="s">
        <v>27</v>
      </c>
      <c r="O467" t="s">
        <v>28</v>
      </c>
      <c r="P467" t="s">
        <v>29</v>
      </c>
      <c r="Q467" t="s">
        <v>30</v>
      </c>
      <c r="R467" s="1">
        <v>44246.456238425926</v>
      </c>
      <c r="S467" s="1">
        <v>44246.456759259258</v>
      </c>
      <c r="T467">
        <v>0</v>
      </c>
      <c r="U467">
        <v>0</v>
      </c>
      <c r="V467" s="2">
        <v>0</v>
      </c>
      <c r="W467">
        <v>0</v>
      </c>
      <c r="X467" t="s">
        <v>37</v>
      </c>
      <c r="Y467">
        <v>0</v>
      </c>
      <c r="Z467" t="s">
        <v>37</v>
      </c>
      <c r="AA467">
        <v>0</v>
      </c>
      <c r="AB467" t="s">
        <v>37</v>
      </c>
      <c r="AC467">
        <v>0</v>
      </c>
      <c r="AD467" t="s">
        <v>37</v>
      </c>
      <c r="AE467">
        <v>0</v>
      </c>
      <c r="AF467" t="s">
        <v>31</v>
      </c>
      <c r="AG467">
        <v>0</v>
      </c>
      <c r="AH467" t="s">
        <v>31</v>
      </c>
      <c r="AI467">
        <v>0</v>
      </c>
      <c r="AJ467" t="s">
        <v>31</v>
      </c>
      <c r="AK467">
        <v>0</v>
      </c>
      <c r="AL467" t="s">
        <v>31</v>
      </c>
      <c r="AM467">
        <v>0</v>
      </c>
      <c r="AN467" t="s">
        <v>31</v>
      </c>
      <c r="AO467">
        <v>0</v>
      </c>
      <c r="AP467" t="s">
        <v>31</v>
      </c>
      <c r="AQ467">
        <v>0</v>
      </c>
    </row>
    <row r="468" spans="1:43" x14ac:dyDescent="0.2">
      <c r="A468" t="s">
        <v>381</v>
      </c>
      <c r="B468" s="3">
        <v>44250</v>
      </c>
      <c r="C468">
        <v>16</v>
      </c>
      <c r="D468" t="s">
        <v>382</v>
      </c>
      <c r="E468" t="s">
        <v>38</v>
      </c>
      <c r="F468" s="9" t="s">
        <v>39</v>
      </c>
      <c r="G468" t="s">
        <v>26</v>
      </c>
      <c r="H468" t="s">
        <v>27</v>
      </c>
      <c r="I468" t="s">
        <v>28</v>
      </c>
      <c r="J468" t="s">
        <v>29</v>
      </c>
      <c r="K468" t="s">
        <v>30</v>
      </c>
      <c r="L468" t="s">
        <v>29</v>
      </c>
      <c r="M468" t="s">
        <v>30</v>
      </c>
      <c r="N468" t="s">
        <v>27</v>
      </c>
      <c r="O468" t="s">
        <v>28</v>
      </c>
      <c r="P468" t="s">
        <v>29</v>
      </c>
      <c r="Q468" t="s">
        <v>30</v>
      </c>
      <c r="R468" s="1">
        <v>44250.428819444445</v>
      </c>
      <c r="S468" s="1">
        <v>44250.428819444445</v>
      </c>
      <c r="T468">
        <v>0</v>
      </c>
      <c r="U468">
        <v>0</v>
      </c>
      <c r="V468" s="2">
        <v>0</v>
      </c>
      <c r="W468">
        <v>0</v>
      </c>
      <c r="X468" t="s">
        <v>37</v>
      </c>
      <c r="Y468">
        <v>0</v>
      </c>
      <c r="Z468" t="s">
        <v>37</v>
      </c>
      <c r="AA468">
        <v>0</v>
      </c>
      <c r="AB468" t="s">
        <v>37</v>
      </c>
      <c r="AC468">
        <v>0</v>
      </c>
      <c r="AD468" t="s">
        <v>31</v>
      </c>
      <c r="AE468">
        <v>0</v>
      </c>
      <c r="AF468" t="s">
        <v>31</v>
      </c>
      <c r="AG468">
        <v>0</v>
      </c>
      <c r="AH468" t="s">
        <v>31</v>
      </c>
      <c r="AI468">
        <v>0</v>
      </c>
      <c r="AJ468" t="s">
        <v>31</v>
      </c>
      <c r="AK468">
        <v>0</v>
      </c>
      <c r="AL468" t="s">
        <v>31</v>
      </c>
      <c r="AM468">
        <v>0</v>
      </c>
      <c r="AN468" t="s">
        <v>31</v>
      </c>
      <c r="AO468">
        <v>0</v>
      </c>
      <c r="AP468" t="s">
        <v>31</v>
      </c>
      <c r="AQ468">
        <v>0</v>
      </c>
    </row>
    <row r="469" spans="1:43" x14ac:dyDescent="0.2">
      <c r="A469" t="s">
        <v>381</v>
      </c>
      <c r="B469" s="3">
        <v>44250</v>
      </c>
      <c r="C469">
        <v>17</v>
      </c>
      <c r="D469" t="s">
        <v>385</v>
      </c>
      <c r="E469" t="s">
        <v>38</v>
      </c>
      <c r="F469" s="9" t="s">
        <v>39</v>
      </c>
      <c r="G469" t="s">
        <v>26</v>
      </c>
      <c r="H469" t="s">
        <v>27</v>
      </c>
      <c r="I469" t="s">
        <v>28</v>
      </c>
      <c r="J469" t="s">
        <v>29</v>
      </c>
      <c r="K469" t="s">
        <v>30</v>
      </c>
      <c r="L469" t="s">
        <v>29</v>
      </c>
      <c r="M469" t="s">
        <v>30</v>
      </c>
      <c r="N469" t="s">
        <v>27</v>
      </c>
      <c r="O469" t="s">
        <v>28</v>
      </c>
      <c r="P469" t="s">
        <v>29</v>
      </c>
      <c r="Q469" t="s">
        <v>30</v>
      </c>
      <c r="R469" s="1">
        <v>44250.624710648146</v>
      </c>
      <c r="S469" s="1">
        <v>44250.62709490741</v>
      </c>
      <c r="T469">
        <v>0</v>
      </c>
      <c r="U469">
        <v>0</v>
      </c>
      <c r="V469" s="2">
        <v>0</v>
      </c>
      <c r="W469">
        <v>0</v>
      </c>
      <c r="X469" t="s">
        <v>37</v>
      </c>
      <c r="Y469">
        <v>0</v>
      </c>
      <c r="Z469" t="s">
        <v>37</v>
      </c>
      <c r="AA469">
        <v>0</v>
      </c>
      <c r="AB469" t="s">
        <v>37</v>
      </c>
      <c r="AC469">
        <v>0</v>
      </c>
      <c r="AD469" t="s">
        <v>37</v>
      </c>
      <c r="AE469">
        <v>0</v>
      </c>
      <c r="AF469" t="s">
        <v>31</v>
      </c>
      <c r="AG469">
        <v>0</v>
      </c>
      <c r="AH469" t="s">
        <v>31</v>
      </c>
      <c r="AI469">
        <v>0</v>
      </c>
      <c r="AJ469" t="s">
        <v>31</v>
      </c>
      <c r="AK469">
        <v>0</v>
      </c>
      <c r="AL469" t="s">
        <v>31</v>
      </c>
      <c r="AM469">
        <v>0</v>
      </c>
      <c r="AN469" t="s">
        <v>31</v>
      </c>
      <c r="AO469">
        <v>0</v>
      </c>
      <c r="AP469" t="s">
        <v>31</v>
      </c>
      <c r="AQ469">
        <v>0</v>
      </c>
    </row>
    <row r="470" spans="1:43" x14ac:dyDescent="0.2">
      <c r="A470" t="s">
        <v>381</v>
      </c>
      <c r="B470" s="3">
        <v>44251</v>
      </c>
      <c r="C470">
        <v>18</v>
      </c>
      <c r="D470" t="s">
        <v>384</v>
      </c>
      <c r="E470" t="s">
        <v>38</v>
      </c>
      <c r="F470" s="9" t="s">
        <v>39</v>
      </c>
      <c r="G470" t="s">
        <v>26</v>
      </c>
      <c r="H470" t="s">
        <v>27</v>
      </c>
      <c r="I470" t="s">
        <v>28</v>
      </c>
      <c r="J470" t="s">
        <v>29</v>
      </c>
      <c r="K470" t="s">
        <v>30</v>
      </c>
      <c r="L470" t="s">
        <v>29</v>
      </c>
      <c r="M470" t="s">
        <v>30</v>
      </c>
      <c r="N470" t="s">
        <v>27</v>
      </c>
      <c r="O470" t="s">
        <v>28</v>
      </c>
      <c r="P470" t="s">
        <v>29</v>
      </c>
      <c r="Q470" t="s">
        <v>30</v>
      </c>
      <c r="R470" s="1">
        <v>44251.434884259259</v>
      </c>
      <c r="S470" s="1">
        <v>44251.435347222221</v>
      </c>
      <c r="T470">
        <v>0</v>
      </c>
      <c r="U470">
        <v>0</v>
      </c>
      <c r="V470" s="2">
        <v>0</v>
      </c>
      <c r="W470">
        <v>0</v>
      </c>
      <c r="X470" t="s">
        <v>37</v>
      </c>
      <c r="Y470">
        <v>0</v>
      </c>
      <c r="Z470" t="s">
        <v>37</v>
      </c>
      <c r="AA470">
        <v>0</v>
      </c>
      <c r="AB470" t="s">
        <v>37</v>
      </c>
      <c r="AC470">
        <v>0</v>
      </c>
      <c r="AD470" t="s">
        <v>37</v>
      </c>
      <c r="AE470">
        <v>0</v>
      </c>
      <c r="AF470" t="s">
        <v>31</v>
      </c>
      <c r="AG470">
        <v>0</v>
      </c>
      <c r="AH470" t="s">
        <v>31</v>
      </c>
      <c r="AI470">
        <v>0</v>
      </c>
      <c r="AJ470" t="s">
        <v>31</v>
      </c>
      <c r="AK470">
        <v>0</v>
      </c>
      <c r="AL470" t="s">
        <v>31</v>
      </c>
      <c r="AM470">
        <v>0</v>
      </c>
      <c r="AN470" t="s">
        <v>31</v>
      </c>
      <c r="AO470">
        <v>0</v>
      </c>
      <c r="AP470" t="s">
        <v>31</v>
      </c>
      <c r="AQ470">
        <v>0</v>
      </c>
    </row>
    <row r="471" spans="1:43" x14ac:dyDescent="0.2">
      <c r="A471" t="s">
        <v>381</v>
      </c>
      <c r="B471" s="3">
        <v>44252</v>
      </c>
      <c r="C471">
        <v>19</v>
      </c>
      <c r="D471" t="s">
        <v>382</v>
      </c>
      <c r="E471" t="s">
        <v>38</v>
      </c>
      <c r="F471" s="9" t="s">
        <v>39</v>
      </c>
      <c r="G471" t="s">
        <v>26</v>
      </c>
      <c r="H471" t="s">
        <v>27</v>
      </c>
      <c r="I471" t="s">
        <v>28</v>
      </c>
      <c r="J471" t="s">
        <v>29</v>
      </c>
      <c r="K471" t="s">
        <v>30</v>
      </c>
      <c r="L471" t="s">
        <v>29</v>
      </c>
      <c r="M471" t="s">
        <v>30</v>
      </c>
      <c r="N471" t="s">
        <v>27</v>
      </c>
      <c r="O471" t="s">
        <v>28</v>
      </c>
      <c r="P471" t="s">
        <v>29</v>
      </c>
      <c r="Q471" t="s">
        <v>30</v>
      </c>
      <c r="R471" s="1">
        <v>44252.429097222222</v>
      </c>
      <c r="S471" s="1">
        <v>44252.429108796299</v>
      </c>
      <c r="T471">
        <v>0</v>
      </c>
      <c r="U471">
        <v>0</v>
      </c>
      <c r="V471" s="2">
        <v>0</v>
      </c>
      <c r="W471">
        <v>0</v>
      </c>
      <c r="X471" t="s">
        <v>37</v>
      </c>
      <c r="Y471">
        <v>0</v>
      </c>
      <c r="Z471" t="s">
        <v>37</v>
      </c>
      <c r="AA471">
        <v>0</v>
      </c>
      <c r="AB471" t="s">
        <v>37</v>
      </c>
      <c r="AC471">
        <v>0</v>
      </c>
      <c r="AD471" t="s">
        <v>31</v>
      </c>
      <c r="AE471">
        <v>0</v>
      </c>
      <c r="AF471" t="s">
        <v>31</v>
      </c>
      <c r="AG471">
        <v>0</v>
      </c>
      <c r="AH471" t="s">
        <v>31</v>
      </c>
      <c r="AI471">
        <v>0</v>
      </c>
      <c r="AJ471" t="s">
        <v>31</v>
      </c>
      <c r="AK471">
        <v>0</v>
      </c>
      <c r="AL471" t="s">
        <v>31</v>
      </c>
      <c r="AM471">
        <v>0</v>
      </c>
      <c r="AN471" t="s">
        <v>31</v>
      </c>
      <c r="AO471">
        <v>0</v>
      </c>
      <c r="AP471" t="s">
        <v>31</v>
      </c>
      <c r="AQ471">
        <v>0</v>
      </c>
    </row>
    <row r="472" spans="1:43" x14ac:dyDescent="0.2">
      <c r="A472" t="s">
        <v>381</v>
      </c>
      <c r="B472" s="3">
        <v>44252</v>
      </c>
      <c r="C472">
        <v>20</v>
      </c>
      <c r="D472" t="s">
        <v>385</v>
      </c>
      <c r="E472" t="s">
        <v>38</v>
      </c>
      <c r="F472" s="9" t="s">
        <v>39</v>
      </c>
      <c r="G472" t="s">
        <v>26</v>
      </c>
      <c r="H472" t="s">
        <v>27</v>
      </c>
      <c r="I472" t="s">
        <v>28</v>
      </c>
      <c r="J472" t="s">
        <v>29</v>
      </c>
      <c r="K472" t="s">
        <v>30</v>
      </c>
      <c r="L472" t="s">
        <v>29</v>
      </c>
      <c r="M472" t="s">
        <v>30</v>
      </c>
      <c r="N472" t="s">
        <v>27</v>
      </c>
      <c r="O472" t="s">
        <v>28</v>
      </c>
      <c r="P472" t="s">
        <v>29</v>
      </c>
      <c r="Q472" t="s">
        <v>30</v>
      </c>
      <c r="R472" s="1">
        <v>44252.578599537039</v>
      </c>
      <c r="S472" s="1">
        <v>44252.578611111108</v>
      </c>
      <c r="T472">
        <v>0</v>
      </c>
      <c r="U472">
        <v>0</v>
      </c>
      <c r="V472" s="2">
        <v>0</v>
      </c>
      <c r="W472">
        <v>0</v>
      </c>
      <c r="X472" t="s">
        <v>37</v>
      </c>
      <c r="Y472">
        <v>0</v>
      </c>
      <c r="Z472" t="s">
        <v>37</v>
      </c>
      <c r="AA472">
        <v>0</v>
      </c>
      <c r="AB472" t="s">
        <v>37</v>
      </c>
      <c r="AC472">
        <v>0</v>
      </c>
      <c r="AD472" t="s">
        <v>31</v>
      </c>
      <c r="AE472">
        <v>0</v>
      </c>
      <c r="AF472" t="s">
        <v>31</v>
      </c>
      <c r="AG472">
        <v>0</v>
      </c>
      <c r="AH472" t="s">
        <v>31</v>
      </c>
      <c r="AI472">
        <v>0</v>
      </c>
      <c r="AJ472" t="s">
        <v>31</v>
      </c>
      <c r="AK472">
        <v>0</v>
      </c>
      <c r="AL472" t="s">
        <v>31</v>
      </c>
      <c r="AM472">
        <v>0</v>
      </c>
      <c r="AN472" t="s">
        <v>31</v>
      </c>
      <c r="AO472">
        <v>0</v>
      </c>
      <c r="AP472" t="s">
        <v>31</v>
      </c>
      <c r="AQ472">
        <v>0</v>
      </c>
    </row>
    <row r="473" spans="1:43" x14ac:dyDescent="0.2">
      <c r="A473" t="s">
        <v>381</v>
      </c>
      <c r="B473" s="3">
        <v>44253</v>
      </c>
      <c r="C473">
        <v>21</v>
      </c>
      <c r="D473" t="s">
        <v>384</v>
      </c>
      <c r="E473" t="s">
        <v>38</v>
      </c>
      <c r="F473" s="9" t="s">
        <v>39</v>
      </c>
      <c r="G473" t="s">
        <v>26</v>
      </c>
      <c r="H473" t="s">
        <v>27</v>
      </c>
      <c r="I473" t="s">
        <v>28</v>
      </c>
      <c r="J473" t="s">
        <v>29</v>
      </c>
      <c r="K473" t="s">
        <v>30</v>
      </c>
      <c r="L473" t="s">
        <v>29</v>
      </c>
      <c r="M473" t="s">
        <v>30</v>
      </c>
      <c r="N473" t="s">
        <v>27</v>
      </c>
      <c r="O473" t="s">
        <v>28</v>
      </c>
      <c r="P473" t="s">
        <v>29</v>
      </c>
      <c r="Q473" t="s">
        <v>30</v>
      </c>
      <c r="R473" s="1">
        <v>44253.432256944441</v>
      </c>
      <c r="S473" s="1">
        <v>44253.432696759257</v>
      </c>
      <c r="T473">
        <v>0</v>
      </c>
      <c r="U473">
        <v>0</v>
      </c>
      <c r="V473" s="2">
        <v>0</v>
      </c>
      <c r="W473">
        <v>0</v>
      </c>
      <c r="X473" t="s">
        <v>37</v>
      </c>
      <c r="Y473">
        <v>0</v>
      </c>
      <c r="Z473" t="s">
        <v>37</v>
      </c>
      <c r="AA473">
        <v>0</v>
      </c>
      <c r="AB473" t="s">
        <v>37</v>
      </c>
      <c r="AC473">
        <v>0</v>
      </c>
      <c r="AD473" t="s">
        <v>37</v>
      </c>
      <c r="AE473">
        <v>0</v>
      </c>
      <c r="AF473" t="s">
        <v>31</v>
      </c>
      <c r="AG473">
        <v>0</v>
      </c>
      <c r="AH473" t="s">
        <v>31</v>
      </c>
      <c r="AI473">
        <v>0</v>
      </c>
      <c r="AJ473" t="s">
        <v>31</v>
      </c>
      <c r="AK473">
        <v>0</v>
      </c>
      <c r="AL473" t="s">
        <v>31</v>
      </c>
      <c r="AM473">
        <v>0</v>
      </c>
      <c r="AN473" t="s">
        <v>31</v>
      </c>
      <c r="AO473">
        <v>0</v>
      </c>
      <c r="AP473" t="s">
        <v>31</v>
      </c>
      <c r="AQ473">
        <v>0</v>
      </c>
    </row>
    <row r="474" spans="1:43" x14ac:dyDescent="0.2">
      <c r="A474" t="s">
        <v>381</v>
      </c>
      <c r="B474" s="3">
        <v>44256</v>
      </c>
      <c r="C474">
        <v>22</v>
      </c>
      <c r="D474" t="s">
        <v>384</v>
      </c>
      <c r="E474" t="s">
        <v>38</v>
      </c>
      <c r="F474" s="9" t="s">
        <v>39</v>
      </c>
      <c r="G474" t="s">
        <v>26</v>
      </c>
      <c r="H474" t="s">
        <v>27</v>
      </c>
      <c r="I474" t="s">
        <v>28</v>
      </c>
      <c r="J474" t="s">
        <v>29</v>
      </c>
      <c r="K474" t="s">
        <v>30</v>
      </c>
      <c r="L474" t="s">
        <v>29</v>
      </c>
      <c r="M474" t="s">
        <v>30</v>
      </c>
      <c r="N474" t="s">
        <v>27</v>
      </c>
      <c r="O474" t="s">
        <v>28</v>
      </c>
      <c r="P474" t="s">
        <v>29</v>
      </c>
      <c r="Q474" t="s">
        <v>30</v>
      </c>
      <c r="R474" s="1">
        <v>44256.436435185184</v>
      </c>
      <c r="S474" s="1">
        <v>44256.436678240738</v>
      </c>
      <c r="T474">
        <v>0</v>
      </c>
      <c r="U474">
        <v>0</v>
      </c>
      <c r="V474" s="2">
        <v>0</v>
      </c>
      <c r="W474">
        <v>0</v>
      </c>
      <c r="X474" t="s">
        <v>37</v>
      </c>
      <c r="Y474">
        <v>0</v>
      </c>
      <c r="Z474" t="s">
        <v>37</v>
      </c>
      <c r="AA474">
        <v>0</v>
      </c>
      <c r="AB474" t="s">
        <v>37</v>
      </c>
      <c r="AC474">
        <v>0</v>
      </c>
      <c r="AD474" t="s">
        <v>37</v>
      </c>
      <c r="AE474">
        <v>0</v>
      </c>
      <c r="AF474" t="s">
        <v>31</v>
      </c>
      <c r="AG474">
        <v>0</v>
      </c>
      <c r="AH474" t="s">
        <v>31</v>
      </c>
      <c r="AI474">
        <v>0</v>
      </c>
      <c r="AJ474" t="s">
        <v>31</v>
      </c>
      <c r="AK474">
        <v>0</v>
      </c>
      <c r="AL474" t="s">
        <v>31</v>
      </c>
      <c r="AM474">
        <v>0</v>
      </c>
      <c r="AN474" t="s">
        <v>31</v>
      </c>
      <c r="AO474">
        <v>0</v>
      </c>
      <c r="AP474" t="s">
        <v>31</v>
      </c>
      <c r="AQ474">
        <v>0</v>
      </c>
    </row>
    <row r="475" spans="1:43" x14ac:dyDescent="0.2">
      <c r="A475" t="s">
        <v>381</v>
      </c>
      <c r="B475" s="3">
        <v>44257</v>
      </c>
      <c r="C475">
        <v>23</v>
      </c>
      <c r="D475" t="s">
        <v>382</v>
      </c>
      <c r="E475" t="s">
        <v>38</v>
      </c>
      <c r="F475" s="9" t="s">
        <v>39</v>
      </c>
      <c r="G475" t="s">
        <v>26</v>
      </c>
      <c r="H475" t="s">
        <v>27</v>
      </c>
      <c r="I475" t="s">
        <v>28</v>
      </c>
      <c r="J475" t="s">
        <v>29</v>
      </c>
      <c r="K475" t="s">
        <v>30</v>
      </c>
      <c r="L475" t="s">
        <v>29</v>
      </c>
      <c r="M475" t="s">
        <v>30</v>
      </c>
      <c r="N475" t="s">
        <v>27</v>
      </c>
      <c r="O475" t="s">
        <v>28</v>
      </c>
      <c r="P475" t="s">
        <v>29</v>
      </c>
      <c r="Q475" t="s">
        <v>30</v>
      </c>
      <c r="R475" s="1">
        <v>44257.41133101852</v>
      </c>
      <c r="S475" s="1">
        <v>44257.41134259259</v>
      </c>
      <c r="T475">
        <v>0</v>
      </c>
      <c r="U475">
        <v>0</v>
      </c>
      <c r="V475" s="2">
        <v>0</v>
      </c>
      <c r="W475">
        <v>0</v>
      </c>
      <c r="X475" t="s">
        <v>37</v>
      </c>
      <c r="Y475">
        <v>0</v>
      </c>
      <c r="Z475" t="s">
        <v>37</v>
      </c>
      <c r="AA475">
        <v>0</v>
      </c>
      <c r="AB475" t="s">
        <v>37</v>
      </c>
      <c r="AC475">
        <v>0</v>
      </c>
      <c r="AD475" t="s">
        <v>31</v>
      </c>
      <c r="AE475">
        <v>0</v>
      </c>
      <c r="AF475" t="s">
        <v>31</v>
      </c>
      <c r="AG475">
        <v>0</v>
      </c>
      <c r="AH475" t="s">
        <v>31</v>
      </c>
      <c r="AI475">
        <v>0</v>
      </c>
      <c r="AJ475" t="s">
        <v>31</v>
      </c>
      <c r="AK475">
        <v>0</v>
      </c>
      <c r="AL475" t="s">
        <v>31</v>
      </c>
      <c r="AM475">
        <v>0</v>
      </c>
      <c r="AN475" t="s">
        <v>31</v>
      </c>
      <c r="AO475">
        <v>0</v>
      </c>
      <c r="AP475" t="s">
        <v>31</v>
      </c>
      <c r="AQ475">
        <v>0</v>
      </c>
    </row>
    <row r="476" spans="1:43" x14ac:dyDescent="0.2">
      <c r="A476" t="s">
        <v>381</v>
      </c>
      <c r="B476" s="3">
        <v>44257</v>
      </c>
      <c r="C476">
        <v>24</v>
      </c>
      <c r="D476" t="s">
        <v>385</v>
      </c>
      <c r="E476" t="s">
        <v>38</v>
      </c>
      <c r="F476" s="9" t="s">
        <v>39</v>
      </c>
      <c r="G476" t="s">
        <v>26</v>
      </c>
      <c r="H476" t="s">
        <v>27</v>
      </c>
      <c r="I476" t="s">
        <v>28</v>
      </c>
      <c r="J476" t="s">
        <v>29</v>
      </c>
      <c r="K476" t="s">
        <v>30</v>
      </c>
      <c r="L476" t="s">
        <v>29</v>
      </c>
      <c r="M476" t="s">
        <v>30</v>
      </c>
      <c r="N476" t="s">
        <v>27</v>
      </c>
      <c r="O476" t="s">
        <v>28</v>
      </c>
      <c r="P476" t="s">
        <v>29</v>
      </c>
      <c r="Q476" t="s">
        <v>30</v>
      </c>
      <c r="R476" s="1">
        <v>44257.664710648147</v>
      </c>
      <c r="S476" s="1">
        <v>44257.664710648147</v>
      </c>
      <c r="T476">
        <v>0</v>
      </c>
      <c r="U476">
        <v>0</v>
      </c>
      <c r="V476" s="2">
        <v>0</v>
      </c>
      <c r="W476">
        <v>0</v>
      </c>
      <c r="X476" t="s">
        <v>37</v>
      </c>
      <c r="Y476">
        <v>0</v>
      </c>
      <c r="Z476" t="s">
        <v>37</v>
      </c>
      <c r="AA476">
        <v>0</v>
      </c>
      <c r="AB476" t="s">
        <v>31</v>
      </c>
      <c r="AC476">
        <v>0</v>
      </c>
      <c r="AD476" t="s">
        <v>31</v>
      </c>
      <c r="AE476">
        <v>0</v>
      </c>
      <c r="AF476" t="s">
        <v>31</v>
      </c>
      <c r="AG476">
        <v>0</v>
      </c>
      <c r="AH476" t="s">
        <v>31</v>
      </c>
      <c r="AI476">
        <v>0</v>
      </c>
      <c r="AJ476" t="s">
        <v>31</v>
      </c>
      <c r="AK476">
        <v>0</v>
      </c>
      <c r="AL476" t="s">
        <v>31</v>
      </c>
      <c r="AM476">
        <v>0</v>
      </c>
      <c r="AN476" t="s">
        <v>31</v>
      </c>
      <c r="AO476">
        <v>0</v>
      </c>
      <c r="AP476" t="s">
        <v>31</v>
      </c>
      <c r="AQ476">
        <v>0</v>
      </c>
    </row>
    <row r="477" spans="1:43" x14ac:dyDescent="0.2">
      <c r="A477" t="s">
        <v>381</v>
      </c>
      <c r="B477" s="3">
        <v>44258</v>
      </c>
      <c r="C477">
        <v>25</v>
      </c>
      <c r="D477" t="s">
        <v>384</v>
      </c>
      <c r="E477" t="s">
        <v>38</v>
      </c>
      <c r="F477" s="9" t="s">
        <v>39</v>
      </c>
      <c r="G477" t="s">
        <v>26</v>
      </c>
      <c r="H477" t="s">
        <v>27</v>
      </c>
      <c r="I477" t="s">
        <v>28</v>
      </c>
      <c r="J477" t="s">
        <v>29</v>
      </c>
      <c r="K477" t="s">
        <v>30</v>
      </c>
      <c r="L477" t="s">
        <v>29</v>
      </c>
      <c r="M477" t="s">
        <v>30</v>
      </c>
      <c r="N477" t="s">
        <v>27</v>
      </c>
      <c r="O477" t="s">
        <v>28</v>
      </c>
      <c r="P477" t="s">
        <v>29</v>
      </c>
      <c r="Q477" t="s">
        <v>30</v>
      </c>
      <c r="R477" s="1">
        <v>44258.43476851852</v>
      </c>
      <c r="S477" s="1">
        <v>44258.435613425929</v>
      </c>
      <c r="T477">
        <v>0</v>
      </c>
      <c r="U477">
        <v>1</v>
      </c>
      <c r="V477" s="2">
        <v>0</v>
      </c>
      <c r="W477">
        <v>0</v>
      </c>
      <c r="X477" t="s">
        <v>37</v>
      </c>
      <c r="Y477">
        <v>0</v>
      </c>
      <c r="Z477" t="s">
        <v>37</v>
      </c>
      <c r="AA477">
        <v>0</v>
      </c>
      <c r="AB477" t="s">
        <v>44</v>
      </c>
      <c r="AC477">
        <v>0</v>
      </c>
      <c r="AD477" t="s">
        <v>37</v>
      </c>
      <c r="AE477">
        <v>0</v>
      </c>
      <c r="AF477" t="s">
        <v>31</v>
      </c>
      <c r="AG477">
        <v>0</v>
      </c>
      <c r="AH477" t="s">
        <v>31</v>
      </c>
      <c r="AI477">
        <v>0</v>
      </c>
      <c r="AJ477" t="s">
        <v>31</v>
      </c>
      <c r="AK477">
        <v>0</v>
      </c>
      <c r="AL477" t="s">
        <v>31</v>
      </c>
      <c r="AM477">
        <v>0</v>
      </c>
      <c r="AN477" t="s">
        <v>31</v>
      </c>
      <c r="AO477">
        <v>0</v>
      </c>
      <c r="AP477" t="s">
        <v>31</v>
      </c>
      <c r="AQ477">
        <v>0</v>
      </c>
    </row>
    <row r="478" spans="1:43" x14ac:dyDescent="0.2">
      <c r="A478" t="s">
        <v>381</v>
      </c>
      <c r="B478" s="3">
        <v>44259</v>
      </c>
      <c r="C478">
        <v>26</v>
      </c>
      <c r="D478" t="s">
        <v>382</v>
      </c>
      <c r="E478" t="s">
        <v>38</v>
      </c>
      <c r="F478" s="9" t="s">
        <v>39</v>
      </c>
      <c r="G478" t="s">
        <v>26</v>
      </c>
      <c r="H478" t="s">
        <v>27</v>
      </c>
      <c r="I478" t="s">
        <v>28</v>
      </c>
      <c r="J478" t="s">
        <v>29</v>
      </c>
      <c r="K478" t="s">
        <v>30</v>
      </c>
      <c r="L478" t="s">
        <v>29</v>
      </c>
      <c r="M478" t="s">
        <v>30</v>
      </c>
      <c r="N478" t="s">
        <v>27</v>
      </c>
      <c r="O478" t="s">
        <v>28</v>
      </c>
      <c r="P478" t="s">
        <v>29</v>
      </c>
      <c r="Q478" t="s">
        <v>30</v>
      </c>
      <c r="R478" s="1">
        <v>44259.426828703705</v>
      </c>
      <c r="S478" s="1">
        <v>44259.426840277774</v>
      </c>
      <c r="T478">
        <v>0</v>
      </c>
      <c r="U478">
        <v>0</v>
      </c>
      <c r="V478" s="2">
        <v>0</v>
      </c>
      <c r="W478">
        <v>0</v>
      </c>
      <c r="X478" t="s">
        <v>37</v>
      </c>
      <c r="Y478">
        <v>0</v>
      </c>
      <c r="Z478" t="s">
        <v>37</v>
      </c>
      <c r="AA478">
        <v>0</v>
      </c>
      <c r="AB478" t="s">
        <v>37</v>
      </c>
      <c r="AC478">
        <v>0</v>
      </c>
      <c r="AD478" t="s">
        <v>31</v>
      </c>
      <c r="AE478">
        <v>0</v>
      </c>
      <c r="AF478" t="s">
        <v>31</v>
      </c>
      <c r="AG478">
        <v>0</v>
      </c>
      <c r="AH478" t="s">
        <v>31</v>
      </c>
      <c r="AI478">
        <v>0</v>
      </c>
      <c r="AJ478" t="s">
        <v>31</v>
      </c>
      <c r="AK478">
        <v>0</v>
      </c>
      <c r="AL478" t="s">
        <v>31</v>
      </c>
      <c r="AM478">
        <v>0</v>
      </c>
      <c r="AN478" t="s">
        <v>31</v>
      </c>
      <c r="AO478">
        <v>0</v>
      </c>
      <c r="AP478" t="s">
        <v>31</v>
      </c>
      <c r="AQ478">
        <v>0</v>
      </c>
    </row>
    <row r="479" spans="1:43" x14ac:dyDescent="0.2">
      <c r="A479" t="s">
        <v>381</v>
      </c>
      <c r="B479" s="3">
        <v>44260</v>
      </c>
      <c r="C479">
        <v>28</v>
      </c>
      <c r="D479" t="s">
        <v>384</v>
      </c>
      <c r="E479" t="s">
        <v>38</v>
      </c>
      <c r="F479" s="9" t="s">
        <v>39</v>
      </c>
      <c r="G479" t="s">
        <v>26</v>
      </c>
      <c r="H479" t="s">
        <v>27</v>
      </c>
      <c r="I479" t="s">
        <v>28</v>
      </c>
      <c r="J479" t="s">
        <v>29</v>
      </c>
      <c r="K479" t="s">
        <v>30</v>
      </c>
      <c r="L479" t="s">
        <v>29</v>
      </c>
      <c r="M479" t="s">
        <v>30</v>
      </c>
      <c r="N479" t="s">
        <v>27</v>
      </c>
      <c r="O479" t="s">
        <v>28</v>
      </c>
      <c r="P479" t="s">
        <v>29</v>
      </c>
      <c r="Q479" t="s">
        <v>30</v>
      </c>
      <c r="R479" s="1">
        <v>44260.427337962959</v>
      </c>
      <c r="S479" s="1">
        <v>44260.427743055552</v>
      </c>
      <c r="T479">
        <v>1</v>
      </c>
      <c r="U479">
        <v>1</v>
      </c>
      <c r="V479" s="2">
        <v>1</v>
      </c>
      <c r="W479">
        <v>0</v>
      </c>
      <c r="X479" t="s">
        <v>37</v>
      </c>
      <c r="Y479">
        <v>0</v>
      </c>
      <c r="Z479" t="s">
        <v>37</v>
      </c>
      <c r="AA479">
        <v>0</v>
      </c>
      <c r="AB479" t="s">
        <v>37</v>
      </c>
      <c r="AC479">
        <v>0</v>
      </c>
      <c r="AD479" t="s">
        <v>30</v>
      </c>
      <c r="AE479">
        <v>0</v>
      </c>
      <c r="AF479" t="s">
        <v>31</v>
      </c>
      <c r="AG479">
        <v>0</v>
      </c>
      <c r="AH479" t="s">
        <v>31</v>
      </c>
      <c r="AI479">
        <v>0</v>
      </c>
      <c r="AJ479" t="s">
        <v>31</v>
      </c>
      <c r="AK479">
        <v>0</v>
      </c>
      <c r="AL479" t="s">
        <v>31</v>
      </c>
      <c r="AM479">
        <v>0</v>
      </c>
      <c r="AN479" t="s">
        <v>31</v>
      </c>
      <c r="AO479">
        <v>0</v>
      </c>
      <c r="AP479" t="s">
        <v>31</v>
      </c>
      <c r="AQ479">
        <v>0</v>
      </c>
    </row>
    <row r="480" spans="1:43" x14ac:dyDescent="0.2">
      <c r="A480" t="s">
        <v>381</v>
      </c>
      <c r="B480" s="3">
        <v>44263</v>
      </c>
      <c r="C480">
        <v>29</v>
      </c>
      <c r="D480" t="s">
        <v>384</v>
      </c>
      <c r="E480" t="s">
        <v>38</v>
      </c>
      <c r="F480" s="9" t="s">
        <v>39</v>
      </c>
      <c r="G480" t="s">
        <v>26</v>
      </c>
      <c r="H480" t="s">
        <v>27</v>
      </c>
      <c r="I480" t="s">
        <v>28</v>
      </c>
      <c r="J480" t="s">
        <v>29</v>
      </c>
      <c r="K480" t="s">
        <v>30</v>
      </c>
      <c r="L480" t="s">
        <v>29</v>
      </c>
      <c r="M480" t="s">
        <v>30</v>
      </c>
      <c r="N480" t="s">
        <v>27</v>
      </c>
      <c r="O480" t="s">
        <v>28</v>
      </c>
      <c r="P480" t="s">
        <v>29</v>
      </c>
      <c r="Q480" t="s">
        <v>30</v>
      </c>
      <c r="R480" s="1">
        <v>44263.433125000003</v>
      </c>
      <c r="S480" s="1">
        <v>44263.433171296296</v>
      </c>
      <c r="T480">
        <v>1</v>
      </c>
      <c r="U480">
        <v>1</v>
      </c>
      <c r="V480" s="2">
        <v>1</v>
      </c>
      <c r="W480">
        <v>0</v>
      </c>
      <c r="X480" t="s">
        <v>37</v>
      </c>
      <c r="Y480">
        <v>0</v>
      </c>
      <c r="Z480" t="s">
        <v>37</v>
      </c>
      <c r="AA480">
        <v>0</v>
      </c>
      <c r="AB480" t="s">
        <v>37</v>
      </c>
      <c r="AC480">
        <v>0</v>
      </c>
      <c r="AD480" t="s">
        <v>37</v>
      </c>
      <c r="AE480">
        <v>0</v>
      </c>
      <c r="AF480" t="s">
        <v>30</v>
      </c>
      <c r="AG480">
        <v>0</v>
      </c>
      <c r="AH480" t="s">
        <v>31</v>
      </c>
      <c r="AI480">
        <v>0</v>
      </c>
      <c r="AJ480" t="s">
        <v>31</v>
      </c>
      <c r="AK480">
        <v>0</v>
      </c>
      <c r="AL480" t="s">
        <v>31</v>
      </c>
      <c r="AM480">
        <v>0</v>
      </c>
      <c r="AN480" t="s">
        <v>31</v>
      </c>
      <c r="AO480">
        <v>0</v>
      </c>
      <c r="AP480" t="s">
        <v>31</v>
      </c>
      <c r="AQ480">
        <v>0</v>
      </c>
    </row>
    <row r="481" spans="1:43" x14ac:dyDescent="0.2">
      <c r="A481" t="s">
        <v>381</v>
      </c>
      <c r="B481" s="3">
        <v>44264</v>
      </c>
      <c r="C481">
        <v>30</v>
      </c>
      <c r="D481" t="s">
        <v>382</v>
      </c>
      <c r="E481" t="s">
        <v>38</v>
      </c>
      <c r="F481" s="9" t="s">
        <v>39</v>
      </c>
      <c r="G481" t="s">
        <v>26</v>
      </c>
      <c r="H481" t="s">
        <v>27</v>
      </c>
      <c r="I481" t="s">
        <v>28</v>
      </c>
      <c r="J481" t="s">
        <v>29</v>
      </c>
      <c r="K481" t="s">
        <v>30</v>
      </c>
      <c r="L481" t="s">
        <v>29</v>
      </c>
      <c r="M481" t="s">
        <v>30</v>
      </c>
      <c r="N481" t="s">
        <v>27</v>
      </c>
      <c r="O481" t="s">
        <v>28</v>
      </c>
      <c r="P481" t="s">
        <v>29</v>
      </c>
      <c r="Q481" t="s">
        <v>30</v>
      </c>
      <c r="R481" s="1">
        <v>44264.459016203706</v>
      </c>
      <c r="S481" s="1">
        <v>44264.459027777775</v>
      </c>
      <c r="T481">
        <v>0</v>
      </c>
      <c r="U481">
        <v>0</v>
      </c>
      <c r="V481" s="2">
        <v>0</v>
      </c>
      <c r="W481">
        <v>0</v>
      </c>
      <c r="X481" t="s">
        <v>37</v>
      </c>
      <c r="Y481">
        <v>0</v>
      </c>
      <c r="Z481" t="s">
        <v>37</v>
      </c>
      <c r="AA481">
        <v>0</v>
      </c>
      <c r="AB481" t="s">
        <v>37</v>
      </c>
      <c r="AC481">
        <v>0</v>
      </c>
      <c r="AD481" t="s">
        <v>31</v>
      </c>
      <c r="AE481">
        <v>0</v>
      </c>
      <c r="AF481" t="s">
        <v>31</v>
      </c>
      <c r="AG481">
        <v>0</v>
      </c>
      <c r="AH481" t="s">
        <v>31</v>
      </c>
      <c r="AI481">
        <v>0</v>
      </c>
      <c r="AJ481" t="s">
        <v>31</v>
      </c>
      <c r="AK481">
        <v>0</v>
      </c>
      <c r="AL481" t="s">
        <v>31</v>
      </c>
      <c r="AM481">
        <v>0</v>
      </c>
      <c r="AN481" t="s">
        <v>31</v>
      </c>
      <c r="AO481">
        <v>0</v>
      </c>
      <c r="AP481" t="s">
        <v>31</v>
      </c>
      <c r="AQ481">
        <v>0</v>
      </c>
    </row>
    <row r="482" spans="1:43" x14ac:dyDescent="0.2">
      <c r="A482" t="s">
        <v>381</v>
      </c>
      <c r="B482" s="3">
        <v>44265</v>
      </c>
      <c r="C482">
        <v>32</v>
      </c>
      <c r="D482" t="s">
        <v>384</v>
      </c>
      <c r="E482" t="s">
        <v>38</v>
      </c>
      <c r="F482" s="9" t="s">
        <v>39</v>
      </c>
      <c r="G482" t="s">
        <v>26</v>
      </c>
      <c r="H482" t="s">
        <v>27</v>
      </c>
      <c r="I482" t="s">
        <v>28</v>
      </c>
      <c r="J482" t="s">
        <v>29</v>
      </c>
      <c r="K482" t="s">
        <v>30</v>
      </c>
      <c r="L482" t="s">
        <v>29</v>
      </c>
      <c r="M482" t="s">
        <v>30</v>
      </c>
      <c r="N482" t="s">
        <v>27</v>
      </c>
      <c r="O482" t="s">
        <v>28</v>
      </c>
      <c r="P482" t="s">
        <v>29</v>
      </c>
      <c r="Q482" t="s">
        <v>30</v>
      </c>
      <c r="R482" s="1">
        <v>44265.465219907404</v>
      </c>
      <c r="S482" s="1">
        <v>44265.465578703705</v>
      </c>
      <c r="T482">
        <v>0</v>
      </c>
      <c r="U482">
        <v>0</v>
      </c>
      <c r="V482" s="2">
        <v>0</v>
      </c>
      <c r="W482">
        <v>0</v>
      </c>
      <c r="X482" t="s">
        <v>37</v>
      </c>
      <c r="Y482">
        <v>0</v>
      </c>
      <c r="Z482" t="s">
        <v>37</v>
      </c>
      <c r="AA482">
        <v>0</v>
      </c>
      <c r="AB482" t="s">
        <v>37</v>
      </c>
      <c r="AC482">
        <v>0</v>
      </c>
      <c r="AD482" t="s">
        <v>37</v>
      </c>
      <c r="AE482">
        <v>0</v>
      </c>
      <c r="AF482" t="s">
        <v>31</v>
      </c>
      <c r="AG482">
        <v>0</v>
      </c>
      <c r="AH482" t="s">
        <v>31</v>
      </c>
      <c r="AI482">
        <v>0</v>
      </c>
      <c r="AJ482" t="s">
        <v>31</v>
      </c>
      <c r="AK482">
        <v>0</v>
      </c>
      <c r="AL482" t="s">
        <v>31</v>
      </c>
      <c r="AM482">
        <v>0</v>
      </c>
      <c r="AN482" t="s">
        <v>31</v>
      </c>
      <c r="AO482">
        <v>0</v>
      </c>
      <c r="AP482" t="s">
        <v>31</v>
      </c>
      <c r="AQ482">
        <v>0</v>
      </c>
    </row>
    <row r="483" spans="1:43" x14ac:dyDescent="0.2">
      <c r="A483" t="s">
        <v>381</v>
      </c>
      <c r="B483" s="3">
        <v>44266</v>
      </c>
      <c r="C483">
        <v>33</v>
      </c>
      <c r="D483" t="s">
        <v>385</v>
      </c>
      <c r="E483" t="s">
        <v>38</v>
      </c>
      <c r="F483" s="9" t="s">
        <v>39</v>
      </c>
      <c r="G483" t="s">
        <v>26</v>
      </c>
      <c r="H483" t="s">
        <v>27</v>
      </c>
      <c r="I483" t="s">
        <v>28</v>
      </c>
      <c r="J483" t="s">
        <v>29</v>
      </c>
      <c r="K483" t="s">
        <v>30</v>
      </c>
      <c r="L483" t="s">
        <v>29</v>
      </c>
      <c r="M483" t="s">
        <v>30</v>
      </c>
      <c r="N483" t="s">
        <v>27</v>
      </c>
      <c r="O483" t="s">
        <v>28</v>
      </c>
      <c r="P483" t="s">
        <v>29</v>
      </c>
      <c r="Q483" t="s">
        <v>30</v>
      </c>
      <c r="R483" s="1">
        <v>44266.486296296294</v>
      </c>
      <c r="S483" s="1">
        <v>44266.486296296294</v>
      </c>
      <c r="T483">
        <v>0</v>
      </c>
      <c r="U483">
        <v>0</v>
      </c>
      <c r="V483" s="2">
        <v>0</v>
      </c>
      <c r="W483">
        <v>0</v>
      </c>
      <c r="X483" t="s">
        <v>37</v>
      </c>
      <c r="Y483">
        <v>0</v>
      </c>
      <c r="Z483" t="s">
        <v>37</v>
      </c>
      <c r="AA483">
        <v>0</v>
      </c>
      <c r="AB483" t="s">
        <v>31</v>
      </c>
      <c r="AC483">
        <v>0</v>
      </c>
      <c r="AD483" t="s">
        <v>31</v>
      </c>
      <c r="AE483">
        <v>0</v>
      </c>
      <c r="AF483" t="s">
        <v>31</v>
      </c>
      <c r="AG483">
        <v>0</v>
      </c>
      <c r="AH483" t="s">
        <v>31</v>
      </c>
      <c r="AI483">
        <v>0</v>
      </c>
      <c r="AJ483" t="s">
        <v>31</v>
      </c>
      <c r="AK483">
        <v>0</v>
      </c>
      <c r="AL483" t="s">
        <v>31</v>
      </c>
      <c r="AM483">
        <v>0</v>
      </c>
      <c r="AN483" t="s">
        <v>31</v>
      </c>
      <c r="AO483">
        <v>0</v>
      </c>
      <c r="AP483" t="s">
        <v>31</v>
      </c>
      <c r="AQ483">
        <v>0</v>
      </c>
    </row>
    <row r="484" spans="1:43" x14ac:dyDescent="0.2">
      <c r="A484" t="s">
        <v>381</v>
      </c>
      <c r="B484" s="3">
        <v>44266</v>
      </c>
      <c r="C484">
        <v>34</v>
      </c>
      <c r="D484" t="s">
        <v>385</v>
      </c>
      <c r="E484" t="s">
        <v>38</v>
      </c>
      <c r="F484" s="9" t="s">
        <v>39</v>
      </c>
      <c r="G484" t="s">
        <v>26</v>
      </c>
      <c r="H484" t="s">
        <v>27</v>
      </c>
      <c r="I484" t="s">
        <v>28</v>
      </c>
      <c r="J484" t="s">
        <v>29</v>
      </c>
      <c r="K484" t="s">
        <v>30</v>
      </c>
      <c r="L484" t="s">
        <v>29</v>
      </c>
      <c r="M484" t="s">
        <v>30</v>
      </c>
      <c r="N484" t="s">
        <v>27</v>
      </c>
      <c r="O484" t="s">
        <v>28</v>
      </c>
      <c r="P484" t="s">
        <v>29</v>
      </c>
      <c r="Q484" t="s">
        <v>30</v>
      </c>
      <c r="R484" s="1">
        <v>44266.65488425926</v>
      </c>
      <c r="S484" s="1">
        <v>44266.65488425926</v>
      </c>
      <c r="T484">
        <v>0</v>
      </c>
      <c r="U484">
        <v>0</v>
      </c>
      <c r="V484" s="2">
        <v>0</v>
      </c>
      <c r="W484">
        <v>0</v>
      </c>
      <c r="X484" t="s">
        <v>37</v>
      </c>
      <c r="Y484">
        <v>0</v>
      </c>
      <c r="Z484" t="s">
        <v>37</v>
      </c>
      <c r="AA484">
        <v>0</v>
      </c>
      <c r="AB484" t="s">
        <v>31</v>
      </c>
      <c r="AC484">
        <v>0</v>
      </c>
      <c r="AD484" t="s">
        <v>31</v>
      </c>
      <c r="AE484">
        <v>0</v>
      </c>
      <c r="AF484" t="s">
        <v>31</v>
      </c>
      <c r="AG484">
        <v>0</v>
      </c>
      <c r="AH484" t="s">
        <v>31</v>
      </c>
      <c r="AI484">
        <v>0</v>
      </c>
      <c r="AJ484" t="s">
        <v>31</v>
      </c>
      <c r="AK484">
        <v>0</v>
      </c>
      <c r="AL484" t="s">
        <v>31</v>
      </c>
      <c r="AM484">
        <v>0</v>
      </c>
      <c r="AN484" t="s">
        <v>31</v>
      </c>
      <c r="AO484">
        <v>0</v>
      </c>
      <c r="AP484" t="s">
        <v>31</v>
      </c>
      <c r="AQ484">
        <v>0</v>
      </c>
    </row>
    <row r="485" spans="1:43" x14ac:dyDescent="0.2">
      <c r="A485" t="s">
        <v>381</v>
      </c>
      <c r="B485" s="3">
        <v>44270</v>
      </c>
      <c r="C485">
        <v>35</v>
      </c>
      <c r="D485" t="s">
        <v>384</v>
      </c>
      <c r="E485" t="s">
        <v>38</v>
      </c>
      <c r="F485" s="9" t="s">
        <v>39</v>
      </c>
      <c r="G485" t="s">
        <v>26</v>
      </c>
      <c r="H485" t="s">
        <v>27</v>
      </c>
      <c r="I485" t="s">
        <v>28</v>
      </c>
      <c r="J485" t="s">
        <v>29</v>
      </c>
      <c r="K485" t="s">
        <v>30</v>
      </c>
      <c r="L485" t="s">
        <v>29</v>
      </c>
      <c r="M485" t="s">
        <v>30</v>
      </c>
      <c r="N485" t="s">
        <v>27</v>
      </c>
      <c r="O485" t="s">
        <v>28</v>
      </c>
      <c r="P485" t="s">
        <v>29</v>
      </c>
      <c r="Q485" t="s">
        <v>30</v>
      </c>
      <c r="R485" s="1">
        <v>44270.455474537041</v>
      </c>
      <c r="S485" s="1">
        <v>44270.45548611111</v>
      </c>
      <c r="T485">
        <v>0</v>
      </c>
      <c r="U485">
        <v>0</v>
      </c>
      <c r="V485" s="2">
        <v>0</v>
      </c>
      <c r="W485">
        <v>0</v>
      </c>
      <c r="X485" t="s">
        <v>37</v>
      </c>
      <c r="Y485">
        <v>0</v>
      </c>
      <c r="Z485" t="s">
        <v>37</v>
      </c>
      <c r="AA485">
        <v>0</v>
      </c>
      <c r="AB485" t="s">
        <v>37</v>
      </c>
      <c r="AC485">
        <v>0</v>
      </c>
      <c r="AD485" t="s">
        <v>31</v>
      </c>
      <c r="AE485">
        <v>0</v>
      </c>
      <c r="AF485" t="s">
        <v>31</v>
      </c>
      <c r="AG485">
        <v>0</v>
      </c>
      <c r="AH485" t="s">
        <v>31</v>
      </c>
      <c r="AI485">
        <v>0</v>
      </c>
      <c r="AJ485" t="s">
        <v>31</v>
      </c>
      <c r="AK485">
        <v>0</v>
      </c>
      <c r="AL485" t="s">
        <v>31</v>
      </c>
      <c r="AM485">
        <v>0</v>
      </c>
      <c r="AN485" t="s">
        <v>31</v>
      </c>
      <c r="AO485">
        <v>0</v>
      </c>
      <c r="AP485" t="s">
        <v>31</v>
      </c>
      <c r="AQ485">
        <v>0</v>
      </c>
    </row>
    <row r="486" spans="1:43" x14ac:dyDescent="0.2">
      <c r="A486" t="s">
        <v>381</v>
      </c>
      <c r="B486" s="3">
        <v>44271</v>
      </c>
      <c r="C486">
        <v>36</v>
      </c>
      <c r="D486" t="s">
        <v>385</v>
      </c>
      <c r="E486" t="s">
        <v>38</v>
      </c>
      <c r="F486" s="9" t="s">
        <v>39</v>
      </c>
      <c r="G486" t="s">
        <v>26</v>
      </c>
      <c r="H486" t="s">
        <v>27</v>
      </c>
      <c r="I486" t="s">
        <v>28</v>
      </c>
      <c r="J486" t="s">
        <v>29</v>
      </c>
      <c r="K486" t="s">
        <v>30</v>
      </c>
      <c r="L486" t="s">
        <v>29</v>
      </c>
      <c r="M486" t="s">
        <v>30</v>
      </c>
      <c r="N486" t="s">
        <v>27</v>
      </c>
      <c r="O486" t="s">
        <v>28</v>
      </c>
      <c r="P486" t="s">
        <v>29</v>
      </c>
      <c r="Q486" t="s">
        <v>30</v>
      </c>
      <c r="R486" s="1">
        <v>44271.457546296297</v>
      </c>
      <c r="S486" s="1">
        <v>44271.458067129628</v>
      </c>
      <c r="T486">
        <v>0</v>
      </c>
      <c r="U486">
        <v>0</v>
      </c>
      <c r="V486" s="2">
        <v>0</v>
      </c>
      <c r="W486">
        <v>0</v>
      </c>
      <c r="X486" t="s">
        <v>37</v>
      </c>
      <c r="Y486">
        <v>0</v>
      </c>
      <c r="Z486" t="s">
        <v>37</v>
      </c>
      <c r="AA486">
        <v>0</v>
      </c>
      <c r="AB486" t="s">
        <v>37</v>
      </c>
      <c r="AC486">
        <v>0</v>
      </c>
      <c r="AD486" t="s">
        <v>37</v>
      </c>
      <c r="AE486">
        <v>0</v>
      </c>
      <c r="AF486" t="s">
        <v>31</v>
      </c>
      <c r="AG486">
        <v>0</v>
      </c>
      <c r="AH486" t="s">
        <v>31</v>
      </c>
      <c r="AI486">
        <v>0</v>
      </c>
      <c r="AJ486" t="s">
        <v>31</v>
      </c>
      <c r="AK486">
        <v>0</v>
      </c>
      <c r="AL486" t="s">
        <v>31</v>
      </c>
      <c r="AM486">
        <v>0</v>
      </c>
      <c r="AN486" t="s">
        <v>31</v>
      </c>
      <c r="AO486">
        <v>0</v>
      </c>
      <c r="AP486" t="s">
        <v>31</v>
      </c>
      <c r="AQ486">
        <v>0</v>
      </c>
    </row>
    <row r="487" spans="1:43" x14ac:dyDescent="0.2">
      <c r="A487" t="s">
        <v>381</v>
      </c>
      <c r="B487" s="3">
        <v>44271</v>
      </c>
      <c r="C487">
        <v>37</v>
      </c>
      <c r="D487" t="s">
        <v>385</v>
      </c>
      <c r="E487" t="s">
        <v>38</v>
      </c>
      <c r="F487" s="9" t="s">
        <v>39</v>
      </c>
      <c r="G487" t="s">
        <v>26</v>
      </c>
      <c r="H487" t="s">
        <v>27</v>
      </c>
      <c r="I487" t="s">
        <v>28</v>
      </c>
      <c r="J487" t="s">
        <v>29</v>
      </c>
      <c r="K487" t="s">
        <v>30</v>
      </c>
      <c r="L487" t="s">
        <v>29</v>
      </c>
      <c r="M487" t="s">
        <v>30</v>
      </c>
      <c r="N487" t="s">
        <v>27</v>
      </c>
      <c r="O487" t="s">
        <v>28</v>
      </c>
      <c r="P487" t="s">
        <v>29</v>
      </c>
      <c r="Q487" t="s">
        <v>30</v>
      </c>
      <c r="R487" s="1">
        <v>44271.623518518521</v>
      </c>
      <c r="S487" s="1">
        <v>44271.624236111114</v>
      </c>
      <c r="T487">
        <v>0</v>
      </c>
      <c r="U487">
        <v>0</v>
      </c>
      <c r="V487" s="2">
        <v>0</v>
      </c>
      <c r="W487">
        <v>0</v>
      </c>
      <c r="X487" t="s">
        <v>37</v>
      </c>
      <c r="Y487">
        <v>0</v>
      </c>
      <c r="Z487" t="s">
        <v>37</v>
      </c>
      <c r="AA487">
        <v>0</v>
      </c>
      <c r="AB487" t="s">
        <v>37</v>
      </c>
      <c r="AC487">
        <v>0</v>
      </c>
      <c r="AD487" t="s">
        <v>37</v>
      </c>
      <c r="AE487">
        <v>0</v>
      </c>
      <c r="AF487" t="s">
        <v>31</v>
      </c>
      <c r="AG487">
        <v>0</v>
      </c>
      <c r="AH487" t="s">
        <v>31</v>
      </c>
      <c r="AI487">
        <v>0</v>
      </c>
      <c r="AJ487" t="s">
        <v>31</v>
      </c>
      <c r="AK487">
        <v>0</v>
      </c>
      <c r="AL487" t="s">
        <v>31</v>
      </c>
      <c r="AM487">
        <v>0</v>
      </c>
      <c r="AN487" t="s">
        <v>31</v>
      </c>
      <c r="AO487">
        <v>0</v>
      </c>
      <c r="AP487" t="s">
        <v>31</v>
      </c>
      <c r="AQ487">
        <v>0</v>
      </c>
    </row>
    <row r="488" spans="1:43" x14ac:dyDescent="0.2">
      <c r="A488" t="s">
        <v>381</v>
      </c>
      <c r="B488" s="3">
        <v>44273</v>
      </c>
      <c r="C488">
        <v>39</v>
      </c>
      <c r="D488" t="s">
        <v>385</v>
      </c>
      <c r="E488" t="s">
        <v>38</v>
      </c>
      <c r="F488" s="9" t="s">
        <v>39</v>
      </c>
      <c r="G488" t="s">
        <v>26</v>
      </c>
      <c r="H488" t="s">
        <v>27</v>
      </c>
      <c r="I488" t="s">
        <v>28</v>
      </c>
      <c r="J488" t="s">
        <v>29</v>
      </c>
      <c r="K488" t="s">
        <v>30</v>
      </c>
      <c r="L488" t="s">
        <v>29</v>
      </c>
      <c r="M488" t="s">
        <v>30</v>
      </c>
      <c r="N488" t="s">
        <v>27</v>
      </c>
      <c r="O488" t="s">
        <v>28</v>
      </c>
      <c r="P488" t="s">
        <v>29</v>
      </c>
      <c r="Q488" t="s">
        <v>30</v>
      </c>
      <c r="R488" s="1">
        <v>44273.488981481481</v>
      </c>
      <c r="S488" s="1">
        <v>44273.488981481481</v>
      </c>
      <c r="T488">
        <v>0</v>
      </c>
      <c r="U488">
        <v>0</v>
      </c>
      <c r="V488" s="2">
        <v>0</v>
      </c>
      <c r="W488">
        <v>0</v>
      </c>
      <c r="X488" t="s">
        <v>37</v>
      </c>
      <c r="Y488">
        <v>0</v>
      </c>
      <c r="Z488" t="s">
        <v>37</v>
      </c>
      <c r="AA488">
        <v>0</v>
      </c>
      <c r="AB488" t="s">
        <v>37</v>
      </c>
      <c r="AC488">
        <v>0</v>
      </c>
      <c r="AD488" t="s">
        <v>31</v>
      </c>
      <c r="AE488">
        <v>0</v>
      </c>
      <c r="AF488" t="s">
        <v>31</v>
      </c>
      <c r="AG488">
        <v>0</v>
      </c>
      <c r="AH488" t="s">
        <v>31</v>
      </c>
      <c r="AI488">
        <v>0</v>
      </c>
      <c r="AJ488" t="s">
        <v>31</v>
      </c>
      <c r="AK488">
        <v>0</v>
      </c>
      <c r="AL488" t="s">
        <v>31</v>
      </c>
      <c r="AM488">
        <v>0</v>
      </c>
      <c r="AN488" t="s">
        <v>31</v>
      </c>
      <c r="AO488">
        <v>0</v>
      </c>
      <c r="AP488" t="s">
        <v>31</v>
      </c>
      <c r="AQ488">
        <v>0</v>
      </c>
    </row>
    <row r="489" spans="1:43" x14ac:dyDescent="0.2">
      <c r="A489" t="s">
        <v>381</v>
      </c>
      <c r="B489" s="3">
        <v>44273</v>
      </c>
      <c r="C489">
        <v>40</v>
      </c>
      <c r="D489" t="s">
        <v>385</v>
      </c>
      <c r="E489" t="s">
        <v>38</v>
      </c>
      <c r="F489" s="9" t="s">
        <v>39</v>
      </c>
      <c r="G489" t="s">
        <v>26</v>
      </c>
      <c r="H489" t="s">
        <v>27</v>
      </c>
      <c r="I489" t="s">
        <v>28</v>
      </c>
      <c r="J489" t="s">
        <v>29</v>
      </c>
      <c r="K489" t="s">
        <v>30</v>
      </c>
      <c r="L489" t="s">
        <v>29</v>
      </c>
      <c r="M489" t="s">
        <v>30</v>
      </c>
      <c r="N489" t="s">
        <v>27</v>
      </c>
      <c r="O489" t="s">
        <v>28</v>
      </c>
      <c r="P489" t="s">
        <v>29</v>
      </c>
      <c r="Q489" t="s">
        <v>30</v>
      </c>
      <c r="R489" s="1">
        <v>44273.655902777777</v>
      </c>
      <c r="S489" s="1">
        <v>44273.655914351853</v>
      </c>
      <c r="T489">
        <v>0</v>
      </c>
      <c r="U489">
        <v>0</v>
      </c>
      <c r="V489" s="2">
        <v>0</v>
      </c>
      <c r="W489">
        <v>0</v>
      </c>
      <c r="X489" t="s">
        <v>37</v>
      </c>
      <c r="Y489">
        <v>0</v>
      </c>
      <c r="Z489" t="s">
        <v>37</v>
      </c>
      <c r="AA489">
        <v>0</v>
      </c>
      <c r="AB489" t="s">
        <v>37</v>
      </c>
      <c r="AC489">
        <v>0</v>
      </c>
      <c r="AD489" t="s">
        <v>31</v>
      </c>
      <c r="AE489">
        <v>0</v>
      </c>
      <c r="AF489" t="s">
        <v>31</v>
      </c>
      <c r="AG489">
        <v>0</v>
      </c>
      <c r="AH489" t="s">
        <v>31</v>
      </c>
      <c r="AI489">
        <v>0</v>
      </c>
      <c r="AJ489" t="s">
        <v>31</v>
      </c>
      <c r="AK489">
        <v>0</v>
      </c>
      <c r="AL489" t="s">
        <v>31</v>
      </c>
      <c r="AM489">
        <v>0</v>
      </c>
      <c r="AN489" t="s">
        <v>31</v>
      </c>
      <c r="AO489">
        <v>0</v>
      </c>
      <c r="AP489" t="s">
        <v>31</v>
      </c>
      <c r="AQ489">
        <v>0</v>
      </c>
    </row>
    <row r="490" spans="1:43" x14ac:dyDescent="0.2">
      <c r="A490" t="s">
        <v>381</v>
      </c>
      <c r="B490" s="3">
        <v>44279</v>
      </c>
      <c r="C490">
        <v>41</v>
      </c>
      <c r="D490" t="s">
        <v>384</v>
      </c>
      <c r="E490" t="s">
        <v>38</v>
      </c>
      <c r="F490" s="9" t="s">
        <v>39</v>
      </c>
      <c r="G490" t="s">
        <v>26</v>
      </c>
      <c r="H490" t="s">
        <v>27</v>
      </c>
      <c r="I490" t="s">
        <v>28</v>
      </c>
      <c r="J490" t="s">
        <v>29</v>
      </c>
      <c r="K490" t="s">
        <v>30</v>
      </c>
      <c r="L490" t="s">
        <v>29</v>
      </c>
      <c r="M490" t="s">
        <v>30</v>
      </c>
      <c r="N490" t="s">
        <v>27</v>
      </c>
      <c r="O490" t="s">
        <v>28</v>
      </c>
      <c r="P490" t="s">
        <v>29</v>
      </c>
      <c r="Q490" t="s">
        <v>30</v>
      </c>
      <c r="R490" s="1">
        <v>44279.449363425927</v>
      </c>
      <c r="S490" s="1">
        <v>44279.449687499997</v>
      </c>
      <c r="T490">
        <v>0</v>
      </c>
      <c r="U490">
        <v>0</v>
      </c>
      <c r="V490" s="2">
        <v>0</v>
      </c>
      <c r="W490">
        <v>0</v>
      </c>
      <c r="X490" t="s">
        <v>37</v>
      </c>
      <c r="Y490">
        <v>0</v>
      </c>
      <c r="Z490" t="s">
        <v>37</v>
      </c>
      <c r="AA490">
        <v>0</v>
      </c>
      <c r="AB490" t="s">
        <v>37</v>
      </c>
      <c r="AC490">
        <v>0</v>
      </c>
      <c r="AD490" t="s">
        <v>31</v>
      </c>
      <c r="AE490">
        <v>0</v>
      </c>
      <c r="AF490" t="s">
        <v>31</v>
      </c>
      <c r="AG490">
        <v>0</v>
      </c>
      <c r="AH490" t="s">
        <v>31</v>
      </c>
      <c r="AI490">
        <v>0</v>
      </c>
      <c r="AJ490" t="s">
        <v>31</v>
      </c>
      <c r="AK490">
        <v>0</v>
      </c>
      <c r="AL490" t="s">
        <v>31</v>
      </c>
      <c r="AM490">
        <v>0</v>
      </c>
      <c r="AN490" t="s">
        <v>31</v>
      </c>
      <c r="AO490">
        <v>0</v>
      </c>
      <c r="AP490" t="s">
        <v>31</v>
      </c>
      <c r="AQ490">
        <v>0</v>
      </c>
    </row>
    <row r="491" spans="1:43" x14ac:dyDescent="0.2">
      <c r="A491" t="s">
        <v>381</v>
      </c>
      <c r="B491" s="3">
        <v>44281</v>
      </c>
      <c r="C491">
        <v>42</v>
      </c>
      <c r="D491" t="s">
        <v>384</v>
      </c>
      <c r="E491" t="s">
        <v>38</v>
      </c>
      <c r="F491" s="9" t="s">
        <v>39</v>
      </c>
      <c r="G491" t="s">
        <v>26</v>
      </c>
      <c r="H491" t="s">
        <v>27</v>
      </c>
      <c r="I491" t="s">
        <v>28</v>
      </c>
      <c r="J491" t="s">
        <v>29</v>
      </c>
      <c r="K491" t="s">
        <v>30</v>
      </c>
      <c r="L491" t="s">
        <v>29</v>
      </c>
      <c r="M491" t="s">
        <v>30</v>
      </c>
      <c r="N491" t="s">
        <v>27</v>
      </c>
      <c r="O491" t="s">
        <v>28</v>
      </c>
      <c r="P491" t="s">
        <v>29</v>
      </c>
      <c r="Q491" t="s">
        <v>30</v>
      </c>
      <c r="R491" s="1">
        <v>44281.452453703707</v>
      </c>
      <c r="S491" s="1">
        <v>44281.454479166663</v>
      </c>
      <c r="T491">
        <v>0</v>
      </c>
      <c r="U491">
        <v>0</v>
      </c>
      <c r="V491" s="2">
        <v>0</v>
      </c>
      <c r="W491">
        <v>0</v>
      </c>
      <c r="X491" t="s">
        <v>37</v>
      </c>
      <c r="Y491">
        <v>0</v>
      </c>
      <c r="Z491" t="s">
        <v>37</v>
      </c>
      <c r="AA491">
        <v>0</v>
      </c>
      <c r="AB491" t="s">
        <v>37</v>
      </c>
      <c r="AC491">
        <v>0</v>
      </c>
      <c r="AD491" t="s">
        <v>37</v>
      </c>
      <c r="AE491">
        <v>0</v>
      </c>
      <c r="AF491" t="s">
        <v>31</v>
      </c>
      <c r="AG491">
        <v>0</v>
      </c>
      <c r="AH491" t="s">
        <v>31</v>
      </c>
      <c r="AI491">
        <v>0</v>
      </c>
      <c r="AJ491" t="s">
        <v>31</v>
      </c>
      <c r="AK491">
        <v>0</v>
      </c>
      <c r="AL491" t="s">
        <v>31</v>
      </c>
      <c r="AM491">
        <v>0</v>
      </c>
      <c r="AN491" t="s">
        <v>31</v>
      </c>
      <c r="AO491">
        <v>0</v>
      </c>
      <c r="AP491" t="s">
        <v>31</v>
      </c>
      <c r="AQ491">
        <v>0</v>
      </c>
    </row>
    <row r="492" spans="1:43" x14ac:dyDescent="0.2">
      <c r="A492" t="s">
        <v>381</v>
      </c>
      <c r="B492" s="3">
        <v>44284</v>
      </c>
      <c r="C492">
        <v>43</v>
      </c>
      <c r="D492" t="s">
        <v>384</v>
      </c>
      <c r="E492" t="s">
        <v>38</v>
      </c>
      <c r="F492" s="9" t="s">
        <v>39</v>
      </c>
      <c r="G492" t="s">
        <v>26</v>
      </c>
      <c r="H492" t="s">
        <v>27</v>
      </c>
      <c r="I492" t="s">
        <v>28</v>
      </c>
      <c r="J492" t="s">
        <v>29</v>
      </c>
      <c r="K492" t="s">
        <v>30</v>
      </c>
      <c r="L492" t="s">
        <v>29</v>
      </c>
      <c r="M492" t="s">
        <v>30</v>
      </c>
      <c r="N492" t="s">
        <v>27</v>
      </c>
      <c r="O492" t="s">
        <v>28</v>
      </c>
      <c r="P492" t="s">
        <v>29</v>
      </c>
      <c r="Q492" t="s">
        <v>30</v>
      </c>
      <c r="R492" s="1">
        <v>44284.373865740738</v>
      </c>
      <c r="S492" s="1">
        <v>44284.37427083333</v>
      </c>
      <c r="T492">
        <v>0</v>
      </c>
      <c r="U492">
        <v>0</v>
      </c>
      <c r="V492" s="2">
        <v>0</v>
      </c>
      <c r="W492">
        <v>0</v>
      </c>
      <c r="X492" t="s">
        <v>37</v>
      </c>
      <c r="Y492">
        <v>0</v>
      </c>
      <c r="Z492" t="s">
        <v>37</v>
      </c>
      <c r="AA492">
        <v>0</v>
      </c>
      <c r="AB492" t="s">
        <v>37</v>
      </c>
      <c r="AC492">
        <v>0</v>
      </c>
      <c r="AD492" t="s">
        <v>31</v>
      </c>
      <c r="AE492">
        <v>0</v>
      </c>
      <c r="AF492" t="s">
        <v>31</v>
      </c>
      <c r="AG492">
        <v>0</v>
      </c>
      <c r="AH492" t="s">
        <v>31</v>
      </c>
      <c r="AI492">
        <v>0</v>
      </c>
      <c r="AJ492" t="s">
        <v>31</v>
      </c>
      <c r="AK492">
        <v>0</v>
      </c>
      <c r="AL492" t="s">
        <v>31</v>
      </c>
      <c r="AM492">
        <v>0</v>
      </c>
      <c r="AN492" t="s">
        <v>31</v>
      </c>
      <c r="AO492">
        <v>0</v>
      </c>
      <c r="AP492" t="s">
        <v>31</v>
      </c>
      <c r="AQ492">
        <v>0</v>
      </c>
    </row>
    <row r="493" spans="1:43" x14ac:dyDescent="0.2">
      <c r="A493" t="s">
        <v>381</v>
      </c>
      <c r="B493" s="3">
        <v>44285</v>
      </c>
      <c r="C493">
        <v>44</v>
      </c>
      <c r="D493" t="s">
        <v>385</v>
      </c>
      <c r="E493" t="s">
        <v>38</v>
      </c>
      <c r="F493" s="9" t="s">
        <v>39</v>
      </c>
      <c r="G493" t="s">
        <v>26</v>
      </c>
      <c r="H493" t="s">
        <v>27</v>
      </c>
      <c r="I493" t="s">
        <v>28</v>
      </c>
      <c r="J493" t="s">
        <v>29</v>
      </c>
      <c r="K493" t="s">
        <v>30</v>
      </c>
      <c r="L493" t="s">
        <v>29</v>
      </c>
      <c r="M493" t="s">
        <v>30</v>
      </c>
      <c r="N493" t="s">
        <v>27</v>
      </c>
      <c r="O493" t="s">
        <v>28</v>
      </c>
      <c r="P493" t="s">
        <v>29</v>
      </c>
      <c r="Q493" t="s">
        <v>30</v>
      </c>
      <c r="R493" s="1">
        <v>44285.398761574077</v>
      </c>
      <c r="S493" s="1">
        <v>44285.40047453704</v>
      </c>
      <c r="T493">
        <v>0</v>
      </c>
      <c r="U493">
        <v>0</v>
      </c>
      <c r="V493" s="2">
        <v>0</v>
      </c>
      <c r="W493">
        <v>0</v>
      </c>
      <c r="X493" t="s">
        <v>37</v>
      </c>
      <c r="Y493">
        <v>0</v>
      </c>
      <c r="Z493" t="s">
        <v>37</v>
      </c>
      <c r="AA493">
        <v>0</v>
      </c>
      <c r="AB493" t="s">
        <v>37</v>
      </c>
      <c r="AC493">
        <v>0</v>
      </c>
      <c r="AD493" t="s">
        <v>37</v>
      </c>
      <c r="AE493">
        <v>0</v>
      </c>
      <c r="AF493" t="s">
        <v>31</v>
      </c>
      <c r="AG493">
        <v>0</v>
      </c>
      <c r="AH493" t="s">
        <v>31</v>
      </c>
      <c r="AI493">
        <v>0</v>
      </c>
      <c r="AJ493" t="s">
        <v>31</v>
      </c>
      <c r="AK493">
        <v>0</v>
      </c>
      <c r="AL493" t="s">
        <v>31</v>
      </c>
      <c r="AM493">
        <v>0</v>
      </c>
      <c r="AN493" t="s">
        <v>31</v>
      </c>
      <c r="AO493">
        <v>0</v>
      </c>
      <c r="AP493" t="s">
        <v>31</v>
      </c>
      <c r="AQ493">
        <v>0</v>
      </c>
    </row>
    <row r="494" spans="1:43" x14ac:dyDescent="0.2">
      <c r="A494" t="s">
        <v>381</v>
      </c>
      <c r="B494" s="3">
        <v>44285</v>
      </c>
      <c r="C494">
        <v>45</v>
      </c>
      <c r="D494" t="s">
        <v>385</v>
      </c>
      <c r="E494" t="s">
        <v>38</v>
      </c>
      <c r="F494" s="9" t="s">
        <v>39</v>
      </c>
      <c r="G494" t="s">
        <v>26</v>
      </c>
      <c r="H494" t="s">
        <v>27</v>
      </c>
      <c r="I494" t="s">
        <v>28</v>
      </c>
      <c r="J494" t="s">
        <v>29</v>
      </c>
      <c r="K494" t="s">
        <v>30</v>
      </c>
      <c r="L494" t="s">
        <v>29</v>
      </c>
      <c r="M494" t="s">
        <v>30</v>
      </c>
      <c r="N494" t="s">
        <v>27</v>
      </c>
      <c r="O494" t="s">
        <v>28</v>
      </c>
      <c r="P494" t="s">
        <v>29</v>
      </c>
      <c r="Q494" t="s">
        <v>30</v>
      </c>
      <c r="R494" s="1">
        <v>44285.648622685185</v>
      </c>
      <c r="S494" s="1">
        <v>44285.648634259262</v>
      </c>
      <c r="T494">
        <v>1</v>
      </c>
      <c r="U494">
        <v>1</v>
      </c>
      <c r="V494" s="2">
        <v>1</v>
      </c>
      <c r="W494">
        <v>0</v>
      </c>
      <c r="X494" t="s">
        <v>37</v>
      </c>
      <c r="Y494">
        <v>0</v>
      </c>
      <c r="Z494" t="s">
        <v>37</v>
      </c>
      <c r="AA494">
        <v>0</v>
      </c>
      <c r="AB494" t="s">
        <v>30</v>
      </c>
      <c r="AC494">
        <v>0</v>
      </c>
      <c r="AD494" t="s">
        <v>31</v>
      </c>
      <c r="AE494">
        <v>0</v>
      </c>
      <c r="AF494" t="s">
        <v>31</v>
      </c>
      <c r="AG494">
        <v>0</v>
      </c>
      <c r="AH494" t="s">
        <v>31</v>
      </c>
      <c r="AI494">
        <v>0</v>
      </c>
      <c r="AJ494" t="s">
        <v>31</v>
      </c>
      <c r="AK494">
        <v>0</v>
      </c>
      <c r="AL494" t="s">
        <v>31</v>
      </c>
      <c r="AM494">
        <v>0</v>
      </c>
      <c r="AN494" t="s">
        <v>31</v>
      </c>
      <c r="AO494">
        <v>0</v>
      </c>
      <c r="AP494" t="s">
        <v>31</v>
      </c>
      <c r="AQ494">
        <v>0</v>
      </c>
    </row>
    <row r="495" spans="1:43" x14ac:dyDescent="0.2">
      <c r="A495" t="s">
        <v>381</v>
      </c>
      <c r="B495" s="3">
        <v>44286</v>
      </c>
      <c r="C495">
        <v>46</v>
      </c>
      <c r="D495" t="s">
        <v>384</v>
      </c>
      <c r="E495" t="s">
        <v>38</v>
      </c>
      <c r="F495" s="9" t="s">
        <v>39</v>
      </c>
      <c r="G495" t="s">
        <v>26</v>
      </c>
      <c r="H495" t="s">
        <v>27</v>
      </c>
      <c r="I495" t="s">
        <v>28</v>
      </c>
      <c r="J495" t="s">
        <v>29</v>
      </c>
      <c r="K495" t="s">
        <v>30</v>
      </c>
      <c r="L495" t="s">
        <v>29</v>
      </c>
      <c r="M495" t="s">
        <v>30</v>
      </c>
      <c r="N495" t="s">
        <v>27</v>
      </c>
      <c r="O495" t="s">
        <v>28</v>
      </c>
      <c r="P495" t="s">
        <v>29</v>
      </c>
      <c r="Q495" t="s">
        <v>30</v>
      </c>
      <c r="R495" s="1">
        <v>44286.374050925922</v>
      </c>
      <c r="S495" s="1">
        <v>44286.374675925923</v>
      </c>
      <c r="T495">
        <v>0</v>
      </c>
      <c r="U495">
        <v>0</v>
      </c>
      <c r="V495" s="2">
        <v>0</v>
      </c>
      <c r="W495">
        <v>0</v>
      </c>
      <c r="X495" t="s">
        <v>37</v>
      </c>
      <c r="Y495">
        <v>0</v>
      </c>
      <c r="Z495" t="s">
        <v>37</v>
      </c>
      <c r="AA495">
        <v>0</v>
      </c>
      <c r="AB495" t="s">
        <v>37</v>
      </c>
      <c r="AC495">
        <v>0</v>
      </c>
      <c r="AD495" t="s">
        <v>37</v>
      </c>
      <c r="AE495">
        <v>0</v>
      </c>
      <c r="AF495" t="s">
        <v>31</v>
      </c>
      <c r="AG495">
        <v>0</v>
      </c>
      <c r="AH495" t="s">
        <v>31</v>
      </c>
      <c r="AI495">
        <v>0</v>
      </c>
      <c r="AJ495" t="s">
        <v>31</v>
      </c>
      <c r="AK495">
        <v>0</v>
      </c>
      <c r="AL495" t="s">
        <v>31</v>
      </c>
      <c r="AM495">
        <v>0</v>
      </c>
      <c r="AN495" t="s">
        <v>31</v>
      </c>
      <c r="AO495">
        <v>0</v>
      </c>
      <c r="AP495" t="s">
        <v>31</v>
      </c>
      <c r="AQ495">
        <v>0</v>
      </c>
    </row>
    <row r="496" spans="1:43" x14ac:dyDescent="0.2">
      <c r="A496" t="s">
        <v>381</v>
      </c>
      <c r="B496" s="3">
        <v>44287</v>
      </c>
      <c r="C496">
        <v>47</v>
      </c>
      <c r="D496" t="s">
        <v>385</v>
      </c>
      <c r="E496" t="s">
        <v>38</v>
      </c>
      <c r="F496" s="9" t="s">
        <v>39</v>
      </c>
      <c r="G496" t="s">
        <v>26</v>
      </c>
      <c r="H496" t="s">
        <v>27</v>
      </c>
      <c r="I496" t="s">
        <v>28</v>
      </c>
      <c r="J496" t="s">
        <v>29</v>
      </c>
      <c r="K496" t="s">
        <v>30</v>
      </c>
      <c r="L496" t="s">
        <v>29</v>
      </c>
      <c r="M496" t="s">
        <v>30</v>
      </c>
      <c r="N496" t="s">
        <v>27</v>
      </c>
      <c r="O496" t="s">
        <v>28</v>
      </c>
      <c r="P496" t="s">
        <v>29</v>
      </c>
      <c r="Q496" t="s">
        <v>30</v>
      </c>
      <c r="R496" s="1">
        <v>44287.414780092593</v>
      </c>
      <c r="S496" s="1">
        <v>44287.415648148148</v>
      </c>
      <c r="T496">
        <v>0</v>
      </c>
      <c r="U496">
        <v>1</v>
      </c>
      <c r="V496" s="2">
        <v>0</v>
      </c>
      <c r="W496">
        <v>0</v>
      </c>
      <c r="X496" t="s">
        <v>37</v>
      </c>
      <c r="Y496">
        <v>0</v>
      </c>
      <c r="Z496" t="s">
        <v>44</v>
      </c>
      <c r="AA496">
        <v>0</v>
      </c>
      <c r="AB496" t="s">
        <v>37</v>
      </c>
      <c r="AC496">
        <v>0</v>
      </c>
      <c r="AD496" t="s">
        <v>37</v>
      </c>
      <c r="AE496">
        <v>0</v>
      </c>
      <c r="AF496" t="s">
        <v>31</v>
      </c>
      <c r="AG496">
        <v>0</v>
      </c>
      <c r="AH496" t="s">
        <v>31</v>
      </c>
      <c r="AI496">
        <v>0</v>
      </c>
      <c r="AJ496" t="s">
        <v>31</v>
      </c>
      <c r="AK496">
        <v>0</v>
      </c>
      <c r="AL496" t="s">
        <v>31</v>
      </c>
      <c r="AM496">
        <v>0</v>
      </c>
      <c r="AN496" t="s">
        <v>31</v>
      </c>
      <c r="AO496">
        <v>0</v>
      </c>
      <c r="AP496" t="s">
        <v>31</v>
      </c>
      <c r="AQ496">
        <v>0</v>
      </c>
    </row>
    <row r="497" spans="1:43" x14ac:dyDescent="0.2">
      <c r="A497" t="s">
        <v>381</v>
      </c>
      <c r="B497" s="3">
        <v>44287</v>
      </c>
      <c r="C497">
        <v>48</v>
      </c>
      <c r="D497" t="s">
        <v>385</v>
      </c>
      <c r="E497" t="s">
        <v>38</v>
      </c>
      <c r="F497" s="9" t="s">
        <v>39</v>
      </c>
      <c r="G497" t="s">
        <v>26</v>
      </c>
      <c r="H497" t="s">
        <v>27</v>
      </c>
      <c r="I497" t="s">
        <v>28</v>
      </c>
      <c r="J497" t="s">
        <v>29</v>
      </c>
      <c r="K497" t="s">
        <v>30</v>
      </c>
      <c r="L497" t="s">
        <v>29</v>
      </c>
      <c r="M497" t="s">
        <v>30</v>
      </c>
      <c r="N497" t="s">
        <v>155</v>
      </c>
      <c r="O497" t="s">
        <v>156</v>
      </c>
      <c r="P497" t="s">
        <v>29</v>
      </c>
      <c r="Q497" t="s">
        <v>30</v>
      </c>
      <c r="R497" s="1">
        <v>44287.647928240738</v>
      </c>
      <c r="S497" s="1">
        <v>44287.648425925923</v>
      </c>
      <c r="T497">
        <v>0</v>
      </c>
      <c r="U497">
        <v>2</v>
      </c>
      <c r="V497" s="2">
        <v>0</v>
      </c>
      <c r="W497">
        <v>0</v>
      </c>
      <c r="X497" t="s">
        <v>44</v>
      </c>
      <c r="Y497">
        <v>0</v>
      </c>
      <c r="Z497" t="s">
        <v>44</v>
      </c>
      <c r="AA497">
        <v>0</v>
      </c>
      <c r="AB497" t="s">
        <v>37</v>
      </c>
      <c r="AC497">
        <v>0</v>
      </c>
      <c r="AD497" t="s">
        <v>37</v>
      </c>
      <c r="AE497">
        <v>0</v>
      </c>
      <c r="AF497" t="s">
        <v>37</v>
      </c>
      <c r="AG497">
        <v>0</v>
      </c>
      <c r="AH497" t="s">
        <v>31</v>
      </c>
      <c r="AI497">
        <v>0</v>
      </c>
      <c r="AJ497" t="s">
        <v>31</v>
      </c>
      <c r="AK497">
        <v>0</v>
      </c>
      <c r="AL497" t="s">
        <v>31</v>
      </c>
      <c r="AM497">
        <v>0</v>
      </c>
      <c r="AN497" t="s">
        <v>31</v>
      </c>
      <c r="AO497">
        <v>0</v>
      </c>
      <c r="AP497" t="s">
        <v>31</v>
      </c>
      <c r="AQ497">
        <v>0</v>
      </c>
    </row>
    <row r="498" spans="1:43" x14ac:dyDescent="0.2">
      <c r="A498" t="s">
        <v>381</v>
      </c>
      <c r="B498" s="3">
        <v>44288</v>
      </c>
      <c r="C498">
        <v>49</v>
      </c>
      <c r="D498" t="s">
        <v>384</v>
      </c>
      <c r="E498" t="s">
        <v>38</v>
      </c>
      <c r="F498" s="9" t="s">
        <v>39</v>
      </c>
      <c r="G498" t="s">
        <v>26</v>
      </c>
      <c r="H498" t="s">
        <v>155</v>
      </c>
      <c r="I498" t="s">
        <v>156</v>
      </c>
      <c r="J498" t="s">
        <v>29</v>
      </c>
      <c r="K498" t="s">
        <v>30</v>
      </c>
      <c r="L498" t="s">
        <v>162</v>
      </c>
      <c r="M498" t="s">
        <v>47</v>
      </c>
      <c r="N498" t="s">
        <v>27</v>
      </c>
      <c r="O498" t="s">
        <v>28</v>
      </c>
      <c r="P498" t="s">
        <v>43</v>
      </c>
      <c r="Q498" t="s">
        <v>44</v>
      </c>
      <c r="R498" s="1">
        <v>44288.46733796296</v>
      </c>
      <c r="S498" s="1">
        <v>44288.468344907407</v>
      </c>
      <c r="T498">
        <v>10</v>
      </c>
      <c r="U498">
        <v>10</v>
      </c>
      <c r="V498" s="2">
        <v>1</v>
      </c>
      <c r="W498">
        <v>0</v>
      </c>
      <c r="X498" t="s">
        <v>47</v>
      </c>
      <c r="Y498">
        <v>0</v>
      </c>
      <c r="Z498" t="s">
        <v>45</v>
      </c>
      <c r="AA498">
        <v>0</v>
      </c>
      <c r="AB498" t="s">
        <v>45</v>
      </c>
      <c r="AC498">
        <v>0</v>
      </c>
      <c r="AD498" t="s">
        <v>47</v>
      </c>
      <c r="AE498">
        <v>0</v>
      </c>
      <c r="AF498" t="s">
        <v>45</v>
      </c>
      <c r="AG498">
        <v>0</v>
      </c>
      <c r="AH498" t="s">
        <v>47</v>
      </c>
      <c r="AI498">
        <v>0</v>
      </c>
      <c r="AJ498" t="s">
        <v>47</v>
      </c>
      <c r="AK498">
        <v>0</v>
      </c>
      <c r="AL498" t="s">
        <v>47</v>
      </c>
      <c r="AM498">
        <v>0</v>
      </c>
      <c r="AN498" t="s">
        <v>45</v>
      </c>
      <c r="AO498">
        <v>0</v>
      </c>
      <c r="AP498" t="s">
        <v>47</v>
      </c>
      <c r="AQ498">
        <v>0</v>
      </c>
    </row>
    <row r="499" spans="1:43" x14ac:dyDescent="0.2">
      <c r="A499" t="s">
        <v>381</v>
      </c>
      <c r="B499" s="3">
        <v>44291</v>
      </c>
      <c r="C499">
        <v>50</v>
      </c>
      <c r="D499" t="s">
        <v>384</v>
      </c>
      <c r="E499" t="s">
        <v>38</v>
      </c>
      <c r="F499" s="9" t="s">
        <v>39</v>
      </c>
      <c r="G499" t="s">
        <v>26</v>
      </c>
      <c r="H499" t="s">
        <v>27</v>
      </c>
      <c r="I499" t="s">
        <v>28</v>
      </c>
      <c r="J499" t="s">
        <v>43</v>
      </c>
      <c r="K499" t="s">
        <v>44</v>
      </c>
      <c r="L499" t="s">
        <v>29</v>
      </c>
      <c r="M499" t="s">
        <v>30</v>
      </c>
      <c r="N499" t="s">
        <v>27</v>
      </c>
      <c r="O499" t="s">
        <v>28</v>
      </c>
      <c r="P499" t="s">
        <v>43</v>
      </c>
      <c r="Q499" t="s">
        <v>44</v>
      </c>
      <c r="R499" s="1">
        <v>44291.372835648152</v>
      </c>
      <c r="S499" s="1">
        <v>44291.373101851852</v>
      </c>
      <c r="T499">
        <v>0</v>
      </c>
      <c r="U499">
        <v>0</v>
      </c>
      <c r="V499" s="2">
        <v>0</v>
      </c>
      <c r="W499">
        <v>0</v>
      </c>
      <c r="X499" t="s">
        <v>37</v>
      </c>
      <c r="Y499">
        <v>0</v>
      </c>
      <c r="Z499" t="s">
        <v>37</v>
      </c>
      <c r="AA499">
        <v>0</v>
      </c>
      <c r="AB499" t="s">
        <v>37</v>
      </c>
      <c r="AC499">
        <v>0</v>
      </c>
      <c r="AD499" t="s">
        <v>31</v>
      </c>
      <c r="AE499">
        <v>0</v>
      </c>
      <c r="AF499" t="s">
        <v>31</v>
      </c>
      <c r="AG499">
        <v>0</v>
      </c>
      <c r="AH499" t="s">
        <v>31</v>
      </c>
      <c r="AI499">
        <v>0</v>
      </c>
      <c r="AJ499" t="s">
        <v>31</v>
      </c>
      <c r="AK499">
        <v>0</v>
      </c>
      <c r="AL499" t="s">
        <v>31</v>
      </c>
      <c r="AM499">
        <v>0</v>
      </c>
      <c r="AN499" t="s">
        <v>31</v>
      </c>
      <c r="AO499">
        <v>0</v>
      </c>
      <c r="AP499" t="s">
        <v>31</v>
      </c>
      <c r="AQ499">
        <v>0</v>
      </c>
    </row>
    <row r="500" spans="1:43" x14ac:dyDescent="0.2">
      <c r="A500" t="s">
        <v>381</v>
      </c>
      <c r="B500" s="3">
        <v>44292</v>
      </c>
      <c r="C500">
        <v>52</v>
      </c>
      <c r="D500" t="s">
        <v>386</v>
      </c>
      <c r="E500" t="s">
        <v>38</v>
      </c>
      <c r="F500" s="9" t="s">
        <v>39</v>
      </c>
      <c r="G500" t="s">
        <v>26</v>
      </c>
      <c r="H500" t="s">
        <v>27</v>
      </c>
      <c r="I500" t="s">
        <v>28</v>
      </c>
      <c r="J500" t="s">
        <v>43</v>
      </c>
      <c r="K500" t="s">
        <v>44</v>
      </c>
      <c r="L500" t="s">
        <v>29</v>
      </c>
      <c r="M500" t="s">
        <v>30</v>
      </c>
      <c r="N500" t="s">
        <v>27</v>
      </c>
      <c r="O500" t="s">
        <v>28</v>
      </c>
      <c r="P500" t="s">
        <v>43</v>
      </c>
      <c r="Q500" t="s">
        <v>44</v>
      </c>
      <c r="R500" s="1">
        <v>44292.620833333334</v>
      </c>
      <c r="S500" s="1">
        <v>44292.623749999999</v>
      </c>
      <c r="T500">
        <v>0</v>
      </c>
      <c r="U500">
        <v>1</v>
      </c>
      <c r="V500" s="2">
        <v>0</v>
      </c>
      <c r="W500">
        <v>0</v>
      </c>
      <c r="X500" t="s">
        <v>44</v>
      </c>
      <c r="Y500">
        <v>0</v>
      </c>
      <c r="Z500" t="s">
        <v>37</v>
      </c>
      <c r="AA500">
        <v>0</v>
      </c>
      <c r="AB500" t="s">
        <v>37</v>
      </c>
      <c r="AC500">
        <v>0</v>
      </c>
      <c r="AD500" t="s">
        <v>31</v>
      </c>
      <c r="AE500">
        <v>0</v>
      </c>
      <c r="AF500" t="s">
        <v>31</v>
      </c>
      <c r="AG500">
        <v>0</v>
      </c>
      <c r="AH500" t="s">
        <v>31</v>
      </c>
      <c r="AI500">
        <v>0</v>
      </c>
      <c r="AJ500" t="s">
        <v>31</v>
      </c>
      <c r="AK500">
        <v>0</v>
      </c>
      <c r="AL500" t="s">
        <v>31</v>
      </c>
      <c r="AM500">
        <v>0</v>
      </c>
      <c r="AN500" t="s">
        <v>31</v>
      </c>
      <c r="AO500">
        <v>0</v>
      </c>
      <c r="AP500" t="s">
        <v>31</v>
      </c>
      <c r="AQ500">
        <v>0</v>
      </c>
    </row>
    <row r="501" spans="1:43" x14ac:dyDescent="0.2">
      <c r="A501" t="s">
        <v>381</v>
      </c>
      <c r="B501" s="3">
        <v>44293</v>
      </c>
      <c r="C501">
        <v>53</v>
      </c>
      <c r="D501" t="s">
        <v>384</v>
      </c>
      <c r="E501" t="s">
        <v>38</v>
      </c>
      <c r="F501" s="9" t="s">
        <v>39</v>
      </c>
      <c r="G501" t="s">
        <v>26</v>
      </c>
      <c r="H501" t="s">
        <v>27</v>
      </c>
      <c r="I501" t="s">
        <v>28</v>
      </c>
      <c r="J501" t="s">
        <v>43</v>
      </c>
      <c r="K501" t="s">
        <v>44</v>
      </c>
      <c r="L501" t="s">
        <v>29</v>
      </c>
      <c r="M501" t="s">
        <v>30</v>
      </c>
      <c r="N501" t="s">
        <v>27</v>
      </c>
      <c r="O501" t="s">
        <v>28</v>
      </c>
      <c r="P501" t="s">
        <v>43</v>
      </c>
      <c r="Q501" t="s">
        <v>44</v>
      </c>
      <c r="R501" s="1">
        <v>44293.369432870371</v>
      </c>
      <c r="S501" s="1">
        <v>44293.369687500002</v>
      </c>
      <c r="T501">
        <v>0</v>
      </c>
      <c r="U501">
        <v>0</v>
      </c>
      <c r="V501" s="2">
        <v>0</v>
      </c>
      <c r="W501">
        <v>0</v>
      </c>
      <c r="X501" t="s">
        <v>37</v>
      </c>
      <c r="Y501">
        <v>0</v>
      </c>
      <c r="Z501" t="s">
        <v>37</v>
      </c>
      <c r="AA501">
        <v>0</v>
      </c>
      <c r="AB501" t="s">
        <v>37</v>
      </c>
      <c r="AC501">
        <v>0</v>
      </c>
      <c r="AD501" t="s">
        <v>37</v>
      </c>
      <c r="AE501">
        <v>0</v>
      </c>
      <c r="AF501" t="s">
        <v>31</v>
      </c>
      <c r="AG501">
        <v>0</v>
      </c>
      <c r="AH501" t="s">
        <v>31</v>
      </c>
      <c r="AI501">
        <v>0</v>
      </c>
      <c r="AJ501" t="s">
        <v>31</v>
      </c>
      <c r="AK501">
        <v>0</v>
      </c>
      <c r="AL501" t="s">
        <v>31</v>
      </c>
      <c r="AM501">
        <v>0</v>
      </c>
      <c r="AN501" t="s">
        <v>31</v>
      </c>
      <c r="AO501">
        <v>0</v>
      </c>
      <c r="AP501" t="s">
        <v>31</v>
      </c>
      <c r="AQ501">
        <v>0</v>
      </c>
    </row>
    <row r="502" spans="1:43" x14ac:dyDescent="0.2">
      <c r="A502" t="s">
        <v>381</v>
      </c>
      <c r="B502" s="3">
        <v>44294</v>
      </c>
      <c r="C502">
        <v>55</v>
      </c>
      <c r="D502" t="s">
        <v>385</v>
      </c>
      <c r="E502" t="s">
        <v>38</v>
      </c>
      <c r="F502" s="9" t="s">
        <v>39</v>
      </c>
      <c r="G502" t="s">
        <v>26</v>
      </c>
      <c r="H502" t="s">
        <v>27</v>
      </c>
      <c r="I502" t="s">
        <v>28</v>
      </c>
      <c r="J502" t="s">
        <v>43</v>
      </c>
      <c r="K502" t="s">
        <v>44</v>
      </c>
      <c r="L502" t="s">
        <v>29</v>
      </c>
      <c r="M502" t="s">
        <v>30</v>
      </c>
      <c r="N502" t="s">
        <v>27</v>
      </c>
      <c r="O502" t="s">
        <v>28</v>
      </c>
      <c r="P502" t="s">
        <v>43</v>
      </c>
      <c r="Q502" t="s">
        <v>44</v>
      </c>
      <c r="R502" s="1">
        <v>44294.548645833333</v>
      </c>
      <c r="S502" s="1">
        <v>44294.548668981479</v>
      </c>
      <c r="T502">
        <v>0</v>
      </c>
      <c r="U502">
        <v>0</v>
      </c>
      <c r="V502" s="2">
        <v>0</v>
      </c>
      <c r="W502">
        <v>0</v>
      </c>
      <c r="X502" t="s">
        <v>37</v>
      </c>
      <c r="Y502">
        <v>0</v>
      </c>
      <c r="Z502" t="s">
        <v>37</v>
      </c>
      <c r="AA502">
        <v>0</v>
      </c>
      <c r="AB502" t="s">
        <v>37</v>
      </c>
      <c r="AC502">
        <v>0</v>
      </c>
      <c r="AD502" t="s">
        <v>37</v>
      </c>
      <c r="AE502">
        <v>0</v>
      </c>
      <c r="AF502" t="s">
        <v>31</v>
      </c>
      <c r="AG502">
        <v>0</v>
      </c>
      <c r="AH502" t="s">
        <v>31</v>
      </c>
      <c r="AI502">
        <v>0</v>
      </c>
      <c r="AJ502" t="s">
        <v>31</v>
      </c>
      <c r="AK502">
        <v>0</v>
      </c>
      <c r="AL502" t="s">
        <v>31</v>
      </c>
      <c r="AM502">
        <v>0</v>
      </c>
      <c r="AN502" t="s">
        <v>31</v>
      </c>
      <c r="AO502">
        <v>0</v>
      </c>
      <c r="AP502" t="s">
        <v>31</v>
      </c>
      <c r="AQ502">
        <v>0</v>
      </c>
    </row>
    <row r="503" spans="1:43" x14ac:dyDescent="0.2">
      <c r="A503" t="s">
        <v>381</v>
      </c>
      <c r="B503" s="3">
        <v>44295</v>
      </c>
      <c r="C503">
        <v>56</v>
      </c>
      <c r="D503" t="s">
        <v>384</v>
      </c>
      <c r="E503" t="s">
        <v>38</v>
      </c>
      <c r="F503" s="9" t="s">
        <v>39</v>
      </c>
      <c r="G503" t="s">
        <v>26</v>
      </c>
      <c r="H503" t="s">
        <v>27</v>
      </c>
      <c r="I503" t="s">
        <v>28</v>
      </c>
      <c r="J503" t="s">
        <v>43</v>
      </c>
      <c r="K503" t="s">
        <v>44</v>
      </c>
      <c r="L503" t="s">
        <v>29</v>
      </c>
      <c r="M503" t="s">
        <v>30</v>
      </c>
      <c r="N503" t="s">
        <v>155</v>
      </c>
      <c r="O503" t="s">
        <v>156</v>
      </c>
      <c r="P503" t="s">
        <v>29</v>
      </c>
      <c r="Q503" t="s">
        <v>30</v>
      </c>
      <c r="R503" s="1">
        <v>44295.370312500003</v>
      </c>
      <c r="S503" s="1">
        <v>44295.370856481481</v>
      </c>
      <c r="T503">
        <v>0</v>
      </c>
      <c r="U503">
        <v>1</v>
      </c>
      <c r="V503" s="2">
        <v>0</v>
      </c>
      <c r="W503">
        <v>0</v>
      </c>
      <c r="X503" t="s">
        <v>37</v>
      </c>
      <c r="Y503">
        <v>0</v>
      </c>
      <c r="Z503" t="s">
        <v>37</v>
      </c>
      <c r="AA503">
        <v>0</v>
      </c>
      <c r="AB503" t="s">
        <v>44</v>
      </c>
      <c r="AC503">
        <v>0</v>
      </c>
      <c r="AD503" t="s">
        <v>37</v>
      </c>
      <c r="AE503">
        <v>0</v>
      </c>
      <c r="AF503" t="s">
        <v>37</v>
      </c>
      <c r="AG503">
        <v>0</v>
      </c>
      <c r="AH503" t="s">
        <v>31</v>
      </c>
      <c r="AI503">
        <v>0</v>
      </c>
      <c r="AJ503" t="s">
        <v>31</v>
      </c>
      <c r="AK503">
        <v>0</v>
      </c>
      <c r="AL503" t="s">
        <v>31</v>
      </c>
      <c r="AM503">
        <v>0</v>
      </c>
      <c r="AN503" t="s">
        <v>31</v>
      </c>
      <c r="AO503">
        <v>0</v>
      </c>
      <c r="AP503" t="s">
        <v>31</v>
      </c>
      <c r="AQ503">
        <v>0</v>
      </c>
    </row>
    <row r="504" spans="1:43" x14ac:dyDescent="0.2">
      <c r="A504" t="s">
        <v>381</v>
      </c>
      <c r="B504" s="3">
        <v>44298</v>
      </c>
      <c r="C504">
        <v>57</v>
      </c>
      <c r="D504" t="s">
        <v>387</v>
      </c>
      <c r="E504" t="s">
        <v>38</v>
      </c>
      <c r="F504" s="9" t="s">
        <v>39</v>
      </c>
      <c r="G504" t="s">
        <v>26</v>
      </c>
      <c r="H504" t="s">
        <v>155</v>
      </c>
      <c r="I504" t="s">
        <v>156</v>
      </c>
      <c r="J504" t="s">
        <v>29</v>
      </c>
      <c r="K504" t="s">
        <v>30</v>
      </c>
      <c r="L504" t="s">
        <v>162</v>
      </c>
      <c r="M504" t="s">
        <v>47</v>
      </c>
      <c r="N504" t="s">
        <v>27</v>
      </c>
      <c r="O504" t="s">
        <v>28</v>
      </c>
      <c r="P504" t="s">
        <v>43</v>
      </c>
      <c r="Q504" t="s">
        <v>44</v>
      </c>
      <c r="R504" s="1">
        <v>44298.551770833335</v>
      </c>
      <c r="S504" s="1">
        <v>44298.552106481482</v>
      </c>
      <c r="T504">
        <v>5</v>
      </c>
      <c r="U504">
        <v>5</v>
      </c>
      <c r="V504" s="2">
        <v>1</v>
      </c>
      <c r="W504">
        <v>0</v>
      </c>
      <c r="X504" t="s">
        <v>47</v>
      </c>
      <c r="Y504">
        <v>0</v>
      </c>
      <c r="Z504" t="s">
        <v>47</v>
      </c>
      <c r="AA504">
        <v>0</v>
      </c>
      <c r="AB504" t="s">
        <v>45</v>
      </c>
      <c r="AC504">
        <v>0</v>
      </c>
      <c r="AD504" t="s">
        <v>46</v>
      </c>
      <c r="AE504">
        <v>0</v>
      </c>
      <c r="AF504" t="s">
        <v>47</v>
      </c>
      <c r="AG504">
        <v>0</v>
      </c>
      <c r="AH504" t="s">
        <v>31</v>
      </c>
      <c r="AI504">
        <v>0</v>
      </c>
      <c r="AJ504" t="s">
        <v>31</v>
      </c>
      <c r="AK504">
        <v>0</v>
      </c>
      <c r="AL504" t="s">
        <v>31</v>
      </c>
      <c r="AM504">
        <v>0</v>
      </c>
      <c r="AN504" t="s">
        <v>31</v>
      </c>
      <c r="AO504">
        <v>0</v>
      </c>
      <c r="AP504" t="s">
        <v>31</v>
      </c>
      <c r="AQ504">
        <v>0</v>
      </c>
    </row>
    <row r="505" spans="1:43" x14ac:dyDescent="0.2">
      <c r="A505" t="s">
        <v>381</v>
      </c>
      <c r="B505" s="3">
        <v>44299</v>
      </c>
      <c r="C505">
        <v>58</v>
      </c>
      <c r="D505" t="s">
        <v>385</v>
      </c>
      <c r="E505" t="s">
        <v>38</v>
      </c>
      <c r="F505" s="9" t="s">
        <v>39</v>
      </c>
      <c r="G505" t="s">
        <v>26</v>
      </c>
      <c r="H505" t="s">
        <v>27</v>
      </c>
      <c r="I505" t="s">
        <v>28</v>
      </c>
      <c r="J505" t="s">
        <v>43</v>
      </c>
      <c r="K505" t="s">
        <v>44</v>
      </c>
      <c r="L505" t="s">
        <v>29</v>
      </c>
      <c r="M505" t="s">
        <v>30</v>
      </c>
      <c r="N505" t="s">
        <v>27</v>
      </c>
      <c r="O505" t="s">
        <v>28</v>
      </c>
      <c r="P505" t="s">
        <v>43</v>
      </c>
      <c r="Q505" t="s">
        <v>44</v>
      </c>
      <c r="R505" s="1">
        <v>44299.402326388888</v>
      </c>
      <c r="S505" s="1">
        <v>44299.402337962965</v>
      </c>
      <c r="T505">
        <v>0</v>
      </c>
      <c r="U505">
        <v>0</v>
      </c>
      <c r="V505" s="2">
        <v>0</v>
      </c>
      <c r="W505">
        <v>0</v>
      </c>
      <c r="X505" t="s">
        <v>37</v>
      </c>
      <c r="Y505">
        <v>0</v>
      </c>
      <c r="Z505" t="s">
        <v>37</v>
      </c>
      <c r="AA505">
        <v>0</v>
      </c>
      <c r="AB505" t="s">
        <v>37</v>
      </c>
      <c r="AC505">
        <v>0</v>
      </c>
      <c r="AD505" t="s">
        <v>37</v>
      </c>
      <c r="AE505">
        <v>0</v>
      </c>
      <c r="AF505" t="s">
        <v>31</v>
      </c>
      <c r="AG505">
        <v>0</v>
      </c>
      <c r="AH505" t="s">
        <v>31</v>
      </c>
      <c r="AI505">
        <v>0</v>
      </c>
      <c r="AJ505" t="s">
        <v>31</v>
      </c>
      <c r="AK505">
        <v>0</v>
      </c>
      <c r="AL505" t="s">
        <v>31</v>
      </c>
      <c r="AM505">
        <v>0</v>
      </c>
      <c r="AN505" t="s">
        <v>31</v>
      </c>
      <c r="AO505">
        <v>0</v>
      </c>
      <c r="AP505" t="s">
        <v>31</v>
      </c>
      <c r="AQ505">
        <v>0</v>
      </c>
    </row>
    <row r="506" spans="1:43" x14ac:dyDescent="0.2">
      <c r="A506" t="s">
        <v>381</v>
      </c>
      <c r="B506" s="3">
        <v>44299</v>
      </c>
      <c r="C506">
        <v>59</v>
      </c>
      <c r="D506" t="s">
        <v>385</v>
      </c>
      <c r="E506" t="s">
        <v>38</v>
      </c>
      <c r="F506" s="9" t="s">
        <v>39</v>
      </c>
      <c r="G506" t="s">
        <v>26</v>
      </c>
      <c r="H506" t="s">
        <v>27</v>
      </c>
      <c r="I506" t="s">
        <v>28</v>
      </c>
      <c r="J506" t="s">
        <v>43</v>
      </c>
      <c r="K506" t="s">
        <v>44</v>
      </c>
      <c r="L506" t="s">
        <v>29</v>
      </c>
      <c r="M506" t="s">
        <v>30</v>
      </c>
      <c r="N506" t="s">
        <v>27</v>
      </c>
      <c r="O506" t="s">
        <v>28</v>
      </c>
      <c r="P506" t="s">
        <v>43</v>
      </c>
      <c r="Q506" t="s">
        <v>44</v>
      </c>
      <c r="R506" s="1">
        <v>44299.54954861111</v>
      </c>
      <c r="S506" s="1">
        <v>44299.549560185187</v>
      </c>
      <c r="T506">
        <v>0</v>
      </c>
      <c r="U506">
        <v>0</v>
      </c>
      <c r="V506" s="2">
        <v>0</v>
      </c>
      <c r="W506">
        <v>0</v>
      </c>
      <c r="X506" t="s">
        <v>37</v>
      </c>
      <c r="Y506">
        <v>0</v>
      </c>
      <c r="Z506" t="s">
        <v>37</v>
      </c>
      <c r="AA506">
        <v>0</v>
      </c>
      <c r="AB506" t="s">
        <v>31</v>
      </c>
      <c r="AC506">
        <v>0</v>
      </c>
      <c r="AD506" t="s">
        <v>31</v>
      </c>
      <c r="AE506">
        <v>0</v>
      </c>
      <c r="AF506" t="s">
        <v>31</v>
      </c>
      <c r="AG506">
        <v>0</v>
      </c>
      <c r="AH506" t="s">
        <v>31</v>
      </c>
      <c r="AI506">
        <v>0</v>
      </c>
      <c r="AJ506" t="s">
        <v>31</v>
      </c>
      <c r="AK506">
        <v>0</v>
      </c>
      <c r="AL506" t="s">
        <v>31</v>
      </c>
      <c r="AM506">
        <v>0</v>
      </c>
      <c r="AN506" t="s">
        <v>31</v>
      </c>
      <c r="AO506">
        <v>0</v>
      </c>
      <c r="AP506" t="s">
        <v>31</v>
      </c>
      <c r="AQ506">
        <v>0</v>
      </c>
    </row>
    <row r="507" spans="1:43" x14ac:dyDescent="0.2">
      <c r="A507" t="s">
        <v>381</v>
      </c>
      <c r="B507" s="3">
        <v>44300</v>
      </c>
      <c r="C507">
        <v>60</v>
      </c>
      <c r="D507" t="s">
        <v>398</v>
      </c>
      <c r="E507" t="s">
        <v>38</v>
      </c>
      <c r="F507" s="9" t="s">
        <v>39</v>
      </c>
      <c r="G507" t="s">
        <v>26</v>
      </c>
      <c r="H507" t="s">
        <v>27</v>
      </c>
      <c r="I507" t="s">
        <v>28</v>
      </c>
      <c r="J507" t="s">
        <v>43</v>
      </c>
      <c r="K507" t="s">
        <v>44</v>
      </c>
      <c r="L507" t="s">
        <v>29</v>
      </c>
      <c r="M507" t="s">
        <v>30</v>
      </c>
      <c r="N507" t="s">
        <v>27</v>
      </c>
      <c r="O507" t="s">
        <v>28</v>
      </c>
      <c r="P507" t="s">
        <v>43</v>
      </c>
      <c r="Q507" t="s">
        <v>44</v>
      </c>
      <c r="R507" s="1">
        <v>44300.407754629632</v>
      </c>
      <c r="S507" s="1">
        <v>44300.408067129632</v>
      </c>
      <c r="T507">
        <v>0</v>
      </c>
      <c r="U507">
        <v>0</v>
      </c>
      <c r="V507" s="2">
        <v>0</v>
      </c>
      <c r="W507">
        <v>0</v>
      </c>
      <c r="X507" t="s">
        <v>37</v>
      </c>
      <c r="Y507">
        <v>0</v>
      </c>
      <c r="Z507" t="s">
        <v>37</v>
      </c>
      <c r="AA507">
        <v>0</v>
      </c>
      <c r="AB507" t="s">
        <v>37</v>
      </c>
      <c r="AC507">
        <v>0</v>
      </c>
      <c r="AD507" t="s">
        <v>37</v>
      </c>
      <c r="AE507">
        <v>0</v>
      </c>
      <c r="AF507" t="s">
        <v>31</v>
      </c>
      <c r="AG507">
        <v>0</v>
      </c>
      <c r="AH507" t="s">
        <v>31</v>
      </c>
      <c r="AI507">
        <v>0</v>
      </c>
      <c r="AJ507" t="s">
        <v>31</v>
      </c>
      <c r="AK507">
        <v>0</v>
      </c>
      <c r="AL507" t="s">
        <v>31</v>
      </c>
      <c r="AM507">
        <v>0</v>
      </c>
      <c r="AN507" t="s">
        <v>31</v>
      </c>
      <c r="AO507">
        <v>0</v>
      </c>
      <c r="AP507" t="s">
        <v>31</v>
      </c>
      <c r="AQ507">
        <v>0</v>
      </c>
    </row>
    <row r="508" spans="1:43" x14ac:dyDescent="0.2">
      <c r="A508" t="s">
        <v>381</v>
      </c>
      <c r="B508" s="3">
        <v>44300</v>
      </c>
      <c r="C508">
        <v>61</v>
      </c>
      <c r="D508" t="s">
        <v>401</v>
      </c>
      <c r="E508" t="s">
        <v>38</v>
      </c>
      <c r="F508" s="9" t="s">
        <v>39</v>
      </c>
      <c r="G508" t="s">
        <v>26</v>
      </c>
      <c r="H508" t="s">
        <v>27</v>
      </c>
      <c r="I508" t="s">
        <v>28</v>
      </c>
      <c r="J508" t="s">
        <v>43</v>
      </c>
      <c r="K508" t="s">
        <v>44</v>
      </c>
      <c r="L508" t="s">
        <v>29</v>
      </c>
      <c r="M508" t="s">
        <v>30</v>
      </c>
      <c r="N508" t="s">
        <v>27</v>
      </c>
      <c r="O508" t="s">
        <v>28</v>
      </c>
      <c r="P508" t="s">
        <v>43</v>
      </c>
      <c r="Q508" t="s">
        <v>44</v>
      </c>
      <c r="R508" s="1">
        <v>44300.570659722223</v>
      </c>
      <c r="S508" s="1">
        <v>44300.623796296299</v>
      </c>
      <c r="T508">
        <v>0</v>
      </c>
      <c r="U508">
        <v>2</v>
      </c>
      <c r="V508" s="2">
        <v>0</v>
      </c>
      <c r="W508">
        <v>0</v>
      </c>
      <c r="X508" t="s">
        <v>44</v>
      </c>
      <c r="Y508">
        <v>0</v>
      </c>
      <c r="Z508" t="s">
        <v>47</v>
      </c>
      <c r="AA508">
        <v>0</v>
      </c>
      <c r="AB508" t="s">
        <v>31</v>
      </c>
      <c r="AC508">
        <v>0</v>
      </c>
      <c r="AD508" t="s">
        <v>31</v>
      </c>
      <c r="AE508">
        <v>0</v>
      </c>
      <c r="AF508" t="s">
        <v>31</v>
      </c>
      <c r="AG508">
        <v>0</v>
      </c>
      <c r="AH508" t="s">
        <v>31</v>
      </c>
      <c r="AI508">
        <v>0</v>
      </c>
      <c r="AJ508" t="s">
        <v>31</v>
      </c>
      <c r="AK508">
        <v>0</v>
      </c>
      <c r="AL508" t="s">
        <v>31</v>
      </c>
      <c r="AM508">
        <v>0</v>
      </c>
      <c r="AN508" t="s">
        <v>31</v>
      </c>
      <c r="AO508">
        <v>0</v>
      </c>
      <c r="AP508" t="s">
        <v>31</v>
      </c>
      <c r="AQ508">
        <v>0</v>
      </c>
    </row>
    <row r="509" spans="1:43" x14ac:dyDescent="0.2">
      <c r="A509" t="s">
        <v>381</v>
      </c>
      <c r="B509" s="3">
        <v>44301</v>
      </c>
      <c r="C509">
        <v>62</v>
      </c>
      <c r="D509" t="s">
        <v>385</v>
      </c>
      <c r="E509" t="s">
        <v>38</v>
      </c>
      <c r="F509" s="9" t="s">
        <v>39</v>
      </c>
      <c r="G509" t="s">
        <v>26</v>
      </c>
      <c r="H509" t="s">
        <v>27</v>
      </c>
      <c r="I509" t="s">
        <v>28</v>
      </c>
      <c r="J509" t="s">
        <v>43</v>
      </c>
      <c r="K509" t="s">
        <v>44</v>
      </c>
      <c r="L509" t="s">
        <v>29</v>
      </c>
      <c r="M509" t="s">
        <v>30</v>
      </c>
      <c r="N509" t="s">
        <v>27</v>
      </c>
      <c r="O509" t="s">
        <v>28</v>
      </c>
      <c r="P509" t="s">
        <v>43</v>
      </c>
      <c r="Q509" t="s">
        <v>44</v>
      </c>
      <c r="R509" s="1">
        <v>44301.398263888892</v>
      </c>
      <c r="S509" s="1">
        <v>44301.398645833331</v>
      </c>
      <c r="T509">
        <v>0</v>
      </c>
      <c r="U509">
        <v>0</v>
      </c>
      <c r="V509" s="2">
        <v>0</v>
      </c>
      <c r="W509">
        <v>0</v>
      </c>
      <c r="X509" t="s">
        <v>37</v>
      </c>
      <c r="Y509">
        <v>0</v>
      </c>
      <c r="Z509" t="s">
        <v>37</v>
      </c>
      <c r="AA509">
        <v>0</v>
      </c>
      <c r="AB509" t="s">
        <v>37</v>
      </c>
      <c r="AC509">
        <v>0</v>
      </c>
      <c r="AD509" t="s">
        <v>37</v>
      </c>
      <c r="AE509">
        <v>0</v>
      </c>
      <c r="AF509" t="s">
        <v>31</v>
      </c>
      <c r="AG509">
        <v>0</v>
      </c>
      <c r="AH509" t="s">
        <v>31</v>
      </c>
      <c r="AI509">
        <v>0</v>
      </c>
      <c r="AJ509" t="s">
        <v>31</v>
      </c>
      <c r="AK509">
        <v>0</v>
      </c>
      <c r="AL509" t="s">
        <v>31</v>
      </c>
      <c r="AM509">
        <v>0</v>
      </c>
      <c r="AN509" t="s">
        <v>31</v>
      </c>
      <c r="AO509">
        <v>0</v>
      </c>
      <c r="AP509" t="s">
        <v>31</v>
      </c>
      <c r="AQ509">
        <v>0</v>
      </c>
    </row>
    <row r="510" spans="1:43" x14ac:dyDescent="0.2">
      <c r="A510" t="s">
        <v>381</v>
      </c>
      <c r="B510" s="3">
        <v>44301</v>
      </c>
      <c r="C510">
        <v>63</v>
      </c>
      <c r="D510" t="s">
        <v>385</v>
      </c>
      <c r="E510" t="s">
        <v>38</v>
      </c>
      <c r="F510" s="9" t="s">
        <v>39</v>
      </c>
      <c r="G510" t="s">
        <v>26</v>
      </c>
      <c r="H510" t="s">
        <v>27</v>
      </c>
      <c r="I510" t="s">
        <v>28</v>
      </c>
      <c r="J510" t="s">
        <v>43</v>
      </c>
      <c r="K510" t="s">
        <v>44</v>
      </c>
      <c r="L510" t="s">
        <v>29</v>
      </c>
      <c r="M510" t="s">
        <v>30</v>
      </c>
      <c r="N510" t="s">
        <v>27</v>
      </c>
      <c r="O510" t="s">
        <v>28</v>
      </c>
      <c r="P510" t="s">
        <v>43</v>
      </c>
      <c r="Q510" t="s">
        <v>44</v>
      </c>
      <c r="R510" s="1">
        <v>44301.548819444448</v>
      </c>
      <c r="S510" s="1">
        <v>44301.548819444448</v>
      </c>
      <c r="T510">
        <v>0</v>
      </c>
      <c r="U510">
        <v>0</v>
      </c>
      <c r="V510" s="2">
        <v>0</v>
      </c>
      <c r="W510">
        <v>0</v>
      </c>
      <c r="X510" t="s">
        <v>37</v>
      </c>
      <c r="Y510">
        <v>0</v>
      </c>
      <c r="Z510" t="s">
        <v>37</v>
      </c>
      <c r="AA510">
        <v>0</v>
      </c>
      <c r="AB510" t="s">
        <v>37</v>
      </c>
      <c r="AC510">
        <v>0</v>
      </c>
      <c r="AD510" t="s">
        <v>37</v>
      </c>
      <c r="AE510">
        <v>0</v>
      </c>
      <c r="AF510" t="s">
        <v>31</v>
      </c>
      <c r="AG510">
        <v>0</v>
      </c>
      <c r="AH510" t="s">
        <v>31</v>
      </c>
      <c r="AI510">
        <v>0</v>
      </c>
      <c r="AJ510" t="s">
        <v>31</v>
      </c>
      <c r="AK510">
        <v>0</v>
      </c>
      <c r="AL510" t="s">
        <v>31</v>
      </c>
      <c r="AM510">
        <v>0</v>
      </c>
      <c r="AN510" t="s">
        <v>31</v>
      </c>
      <c r="AO510">
        <v>0</v>
      </c>
      <c r="AP510" t="s">
        <v>31</v>
      </c>
      <c r="AQ510">
        <v>0</v>
      </c>
    </row>
    <row r="511" spans="1:43" x14ac:dyDescent="0.2">
      <c r="A511" t="s">
        <v>381</v>
      </c>
      <c r="B511" s="3">
        <v>44302</v>
      </c>
      <c r="C511">
        <v>64</v>
      </c>
      <c r="D511" t="s">
        <v>390</v>
      </c>
      <c r="E511" t="s">
        <v>38</v>
      </c>
      <c r="F511" s="9" t="s">
        <v>39</v>
      </c>
      <c r="G511" t="s">
        <v>26</v>
      </c>
      <c r="H511" t="s">
        <v>27</v>
      </c>
      <c r="I511" t="s">
        <v>28</v>
      </c>
      <c r="J511" t="s">
        <v>43</v>
      </c>
      <c r="K511" t="s">
        <v>44</v>
      </c>
      <c r="L511" t="s">
        <v>29</v>
      </c>
      <c r="M511" t="s">
        <v>30</v>
      </c>
      <c r="N511" t="s">
        <v>27</v>
      </c>
      <c r="O511" t="s">
        <v>28</v>
      </c>
      <c r="P511" t="s">
        <v>43</v>
      </c>
      <c r="Q511" t="s">
        <v>44</v>
      </c>
      <c r="R511" s="1">
        <v>44302.420844907407</v>
      </c>
      <c r="S511" s="1">
        <v>44302.420856481483</v>
      </c>
      <c r="T511">
        <v>1</v>
      </c>
      <c r="U511">
        <v>1</v>
      </c>
      <c r="V511" s="2">
        <v>1</v>
      </c>
      <c r="W511">
        <v>0</v>
      </c>
      <c r="X511" t="s">
        <v>37</v>
      </c>
      <c r="Y511">
        <v>0</v>
      </c>
      <c r="Z511" t="s">
        <v>37</v>
      </c>
      <c r="AA511">
        <v>0</v>
      </c>
      <c r="AB511" t="s">
        <v>37</v>
      </c>
      <c r="AC511">
        <v>0</v>
      </c>
      <c r="AD511" t="s">
        <v>30</v>
      </c>
      <c r="AE511">
        <v>0</v>
      </c>
      <c r="AF511" t="s">
        <v>31</v>
      </c>
      <c r="AG511">
        <v>0</v>
      </c>
      <c r="AH511" t="s">
        <v>31</v>
      </c>
      <c r="AI511">
        <v>0</v>
      </c>
      <c r="AJ511" t="s">
        <v>31</v>
      </c>
      <c r="AK511">
        <v>0</v>
      </c>
      <c r="AL511" t="s">
        <v>31</v>
      </c>
      <c r="AM511">
        <v>0</v>
      </c>
      <c r="AN511" t="s">
        <v>31</v>
      </c>
      <c r="AO511">
        <v>0</v>
      </c>
      <c r="AP511" t="s">
        <v>31</v>
      </c>
      <c r="AQ511">
        <v>0</v>
      </c>
    </row>
    <row r="512" spans="1:43" x14ac:dyDescent="0.2">
      <c r="A512" t="s">
        <v>381</v>
      </c>
      <c r="B512" s="3">
        <v>44302</v>
      </c>
      <c r="C512">
        <v>65</v>
      </c>
      <c r="D512" t="s">
        <v>387</v>
      </c>
      <c r="E512" t="s">
        <v>38</v>
      </c>
      <c r="F512" s="9" t="s">
        <v>39</v>
      </c>
      <c r="G512" t="s">
        <v>26</v>
      </c>
      <c r="H512" t="s">
        <v>27</v>
      </c>
      <c r="I512" t="s">
        <v>28</v>
      </c>
      <c r="J512" t="s">
        <v>43</v>
      </c>
      <c r="K512" t="s">
        <v>44</v>
      </c>
      <c r="L512" t="s">
        <v>29</v>
      </c>
      <c r="M512" t="s">
        <v>30</v>
      </c>
      <c r="N512" t="s">
        <v>27</v>
      </c>
      <c r="O512" t="s">
        <v>28</v>
      </c>
      <c r="P512" t="s">
        <v>43</v>
      </c>
      <c r="Q512" t="s">
        <v>44</v>
      </c>
      <c r="R512" s="1">
        <v>44302.565000000002</v>
      </c>
      <c r="S512" s="1">
        <v>44302.573472222219</v>
      </c>
      <c r="T512">
        <v>0</v>
      </c>
      <c r="U512">
        <v>0</v>
      </c>
      <c r="V512" s="2">
        <v>0</v>
      </c>
      <c r="W512">
        <v>0</v>
      </c>
      <c r="X512" t="s">
        <v>37</v>
      </c>
      <c r="Y512">
        <v>0</v>
      </c>
      <c r="Z512" t="s">
        <v>37</v>
      </c>
      <c r="AA512">
        <v>0</v>
      </c>
      <c r="AB512" t="s">
        <v>37</v>
      </c>
      <c r="AC512">
        <v>0</v>
      </c>
      <c r="AD512" t="s">
        <v>37</v>
      </c>
      <c r="AE512">
        <v>0</v>
      </c>
      <c r="AF512" t="s">
        <v>31</v>
      </c>
      <c r="AG512">
        <v>0</v>
      </c>
      <c r="AH512" t="s">
        <v>31</v>
      </c>
      <c r="AI512">
        <v>0</v>
      </c>
      <c r="AJ512" t="s">
        <v>31</v>
      </c>
      <c r="AK512">
        <v>0</v>
      </c>
      <c r="AL512" t="s">
        <v>31</v>
      </c>
      <c r="AM512">
        <v>0</v>
      </c>
      <c r="AN512" t="s">
        <v>31</v>
      </c>
      <c r="AO512">
        <v>0</v>
      </c>
      <c r="AP512" t="s">
        <v>31</v>
      </c>
      <c r="AQ512">
        <v>0</v>
      </c>
    </row>
    <row r="513" spans="1:43" x14ac:dyDescent="0.2">
      <c r="A513" t="s">
        <v>381</v>
      </c>
      <c r="B513" s="3">
        <v>44307</v>
      </c>
      <c r="C513">
        <v>66</v>
      </c>
      <c r="D513" t="s">
        <v>398</v>
      </c>
      <c r="E513" t="s">
        <v>38</v>
      </c>
      <c r="F513" s="9" t="s">
        <v>39</v>
      </c>
      <c r="G513" t="s">
        <v>26</v>
      </c>
      <c r="H513" t="s">
        <v>27</v>
      </c>
      <c r="I513" t="s">
        <v>28</v>
      </c>
      <c r="J513" t="s">
        <v>43</v>
      </c>
      <c r="K513" t="s">
        <v>44</v>
      </c>
      <c r="L513" t="s">
        <v>29</v>
      </c>
      <c r="M513" t="s">
        <v>30</v>
      </c>
      <c r="N513" t="s">
        <v>27</v>
      </c>
      <c r="O513" t="s">
        <v>28</v>
      </c>
      <c r="P513" t="s">
        <v>43</v>
      </c>
      <c r="Q513" t="s">
        <v>44</v>
      </c>
      <c r="R513" s="1">
        <v>44307.457812499997</v>
      </c>
      <c r="S513" s="1">
        <v>44307.458657407406</v>
      </c>
      <c r="T513">
        <v>0</v>
      </c>
      <c r="U513">
        <v>0</v>
      </c>
      <c r="V513" s="2">
        <v>0</v>
      </c>
      <c r="W513">
        <v>0</v>
      </c>
      <c r="X513" t="s">
        <v>37</v>
      </c>
      <c r="Y513">
        <v>0</v>
      </c>
      <c r="Z513" t="s">
        <v>37</v>
      </c>
      <c r="AA513">
        <v>0</v>
      </c>
      <c r="AB513" t="s">
        <v>37</v>
      </c>
      <c r="AC513">
        <v>0</v>
      </c>
      <c r="AD513" t="s">
        <v>37</v>
      </c>
      <c r="AE513">
        <v>0</v>
      </c>
      <c r="AF513" t="s">
        <v>31</v>
      </c>
      <c r="AG513">
        <v>0</v>
      </c>
      <c r="AH513" t="s">
        <v>31</v>
      </c>
      <c r="AI513">
        <v>0</v>
      </c>
      <c r="AJ513" t="s">
        <v>31</v>
      </c>
      <c r="AK513">
        <v>0</v>
      </c>
      <c r="AL513" t="s">
        <v>31</v>
      </c>
      <c r="AM513">
        <v>0</v>
      </c>
      <c r="AN513" t="s">
        <v>31</v>
      </c>
      <c r="AO513">
        <v>0</v>
      </c>
      <c r="AP513" t="s">
        <v>31</v>
      </c>
      <c r="AQ513">
        <v>0</v>
      </c>
    </row>
    <row r="514" spans="1:43" x14ac:dyDescent="0.2">
      <c r="A514" t="s">
        <v>381</v>
      </c>
      <c r="B514" s="3">
        <v>44307</v>
      </c>
      <c r="C514">
        <v>67</v>
      </c>
      <c r="D514" t="s">
        <v>387</v>
      </c>
      <c r="E514" t="s">
        <v>38</v>
      </c>
      <c r="F514" s="9" t="s">
        <v>39</v>
      </c>
      <c r="G514" t="s">
        <v>26</v>
      </c>
      <c r="H514" t="s">
        <v>27</v>
      </c>
      <c r="I514" t="s">
        <v>28</v>
      </c>
      <c r="J514" t="s">
        <v>43</v>
      </c>
      <c r="K514" t="s">
        <v>44</v>
      </c>
      <c r="L514" t="s">
        <v>29</v>
      </c>
      <c r="M514" t="s">
        <v>30</v>
      </c>
      <c r="N514" t="s">
        <v>27</v>
      </c>
      <c r="O514" t="s">
        <v>28</v>
      </c>
      <c r="P514" t="s">
        <v>43</v>
      </c>
      <c r="Q514" t="s">
        <v>44</v>
      </c>
      <c r="R514" s="1">
        <v>44307.546574074076</v>
      </c>
      <c r="S514" s="1">
        <v>44307.547268518516</v>
      </c>
      <c r="T514">
        <v>0</v>
      </c>
      <c r="U514">
        <v>2</v>
      </c>
      <c r="V514" s="2">
        <v>0</v>
      </c>
      <c r="W514">
        <v>0</v>
      </c>
      <c r="X514" t="s">
        <v>37</v>
      </c>
      <c r="Y514">
        <v>0</v>
      </c>
      <c r="Z514" t="s">
        <v>37</v>
      </c>
      <c r="AA514">
        <v>0</v>
      </c>
      <c r="AB514" t="s">
        <v>37</v>
      </c>
      <c r="AC514">
        <v>0</v>
      </c>
      <c r="AD514" t="s">
        <v>44</v>
      </c>
      <c r="AE514">
        <v>0</v>
      </c>
      <c r="AF514" t="s">
        <v>44</v>
      </c>
      <c r="AG514">
        <v>0</v>
      </c>
      <c r="AH514" t="s">
        <v>37</v>
      </c>
      <c r="AI514">
        <v>0</v>
      </c>
      <c r="AJ514" t="s">
        <v>31</v>
      </c>
      <c r="AK514">
        <v>0</v>
      </c>
      <c r="AL514" t="s">
        <v>31</v>
      </c>
      <c r="AM514">
        <v>0</v>
      </c>
      <c r="AN514" t="s">
        <v>31</v>
      </c>
      <c r="AO514">
        <v>0</v>
      </c>
      <c r="AP514" t="s">
        <v>31</v>
      </c>
      <c r="AQ514">
        <v>0</v>
      </c>
    </row>
    <row r="515" spans="1:43" x14ac:dyDescent="0.2">
      <c r="A515" t="s">
        <v>381</v>
      </c>
      <c r="B515" s="3">
        <v>44308</v>
      </c>
      <c r="C515">
        <v>68</v>
      </c>
      <c r="D515" t="s">
        <v>383</v>
      </c>
      <c r="E515" t="s">
        <v>38</v>
      </c>
      <c r="F515" s="9" t="s">
        <v>39</v>
      </c>
      <c r="G515" t="s">
        <v>26</v>
      </c>
      <c r="H515" t="s">
        <v>27</v>
      </c>
      <c r="I515" t="s">
        <v>28</v>
      </c>
      <c r="J515" t="s">
        <v>43</v>
      </c>
      <c r="K515" t="s">
        <v>44</v>
      </c>
      <c r="L515" t="s">
        <v>29</v>
      </c>
      <c r="M515" t="s">
        <v>30</v>
      </c>
      <c r="N515" t="s">
        <v>27</v>
      </c>
      <c r="O515" t="s">
        <v>28</v>
      </c>
      <c r="P515" t="s">
        <v>43</v>
      </c>
      <c r="Q515" t="s">
        <v>44</v>
      </c>
      <c r="R515" s="1">
        <v>44308.399143518516</v>
      </c>
      <c r="S515" s="1">
        <v>44308.399456018517</v>
      </c>
      <c r="T515">
        <v>0</v>
      </c>
      <c r="U515">
        <v>0</v>
      </c>
      <c r="V515" s="2">
        <v>0</v>
      </c>
      <c r="W515">
        <v>0</v>
      </c>
      <c r="X515" t="s">
        <v>37</v>
      </c>
      <c r="Y515">
        <v>0</v>
      </c>
      <c r="Z515" t="s">
        <v>37</v>
      </c>
      <c r="AA515">
        <v>0</v>
      </c>
      <c r="AB515" t="s">
        <v>37</v>
      </c>
      <c r="AC515">
        <v>0</v>
      </c>
      <c r="AD515" t="s">
        <v>31</v>
      </c>
      <c r="AE515">
        <v>0</v>
      </c>
      <c r="AF515" t="s">
        <v>31</v>
      </c>
      <c r="AG515">
        <v>0</v>
      </c>
      <c r="AH515" t="s">
        <v>31</v>
      </c>
      <c r="AI515">
        <v>0</v>
      </c>
      <c r="AJ515" t="s">
        <v>31</v>
      </c>
      <c r="AK515">
        <v>0</v>
      </c>
      <c r="AL515" t="s">
        <v>31</v>
      </c>
      <c r="AM515">
        <v>0</v>
      </c>
      <c r="AN515" t="s">
        <v>31</v>
      </c>
      <c r="AO515">
        <v>0</v>
      </c>
      <c r="AP515" t="s">
        <v>31</v>
      </c>
      <c r="AQ515">
        <v>0</v>
      </c>
    </row>
    <row r="516" spans="1:43" x14ac:dyDescent="0.2">
      <c r="A516" t="s">
        <v>381</v>
      </c>
      <c r="B516" s="3">
        <v>44308</v>
      </c>
      <c r="C516">
        <v>69</v>
      </c>
      <c r="D516" t="s">
        <v>385</v>
      </c>
      <c r="E516" t="s">
        <v>38</v>
      </c>
      <c r="F516" s="9" t="s">
        <v>39</v>
      </c>
      <c r="G516" t="s">
        <v>26</v>
      </c>
      <c r="H516" t="s">
        <v>27</v>
      </c>
      <c r="I516" t="s">
        <v>28</v>
      </c>
      <c r="J516" t="s">
        <v>43</v>
      </c>
      <c r="K516" t="s">
        <v>44</v>
      </c>
      <c r="L516" t="s">
        <v>29</v>
      </c>
      <c r="M516" t="s">
        <v>30</v>
      </c>
      <c r="N516" t="s">
        <v>27</v>
      </c>
      <c r="O516" t="s">
        <v>28</v>
      </c>
      <c r="P516" t="s">
        <v>43</v>
      </c>
      <c r="Q516" t="s">
        <v>44</v>
      </c>
      <c r="R516" s="1">
        <v>44308.55841435185</v>
      </c>
      <c r="S516" s="1">
        <v>44308.55841435185</v>
      </c>
      <c r="T516">
        <v>0</v>
      </c>
      <c r="U516">
        <v>0</v>
      </c>
      <c r="V516" s="2">
        <v>0</v>
      </c>
      <c r="W516">
        <v>0</v>
      </c>
      <c r="X516" t="s">
        <v>37</v>
      </c>
      <c r="Y516">
        <v>0</v>
      </c>
      <c r="Z516" t="s">
        <v>31</v>
      </c>
      <c r="AA516">
        <v>0</v>
      </c>
      <c r="AB516" t="s">
        <v>31</v>
      </c>
      <c r="AC516">
        <v>0</v>
      </c>
      <c r="AD516" t="s">
        <v>31</v>
      </c>
      <c r="AE516">
        <v>0</v>
      </c>
      <c r="AF516" t="s">
        <v>31</v>
      </c>
      <c r="AG516">
        <v>0</v>
      </c>
      <c r="AH516" t="s">
        <v>31</v>
      </c>
      <c r="AI516">
        <v>0</v>
      </c>
      <c r="AJ516" t="s">
        <v>31</v>
      </c>
      <c r="AK516">
        <v>0</v>
      </c>
      <c r="AL516" t="s">
        <v>31</v>
      </c>
      <c r="AM516">
        <v>0</v>
      </c>
      <c r="AN516" t="s">
        <v>31</v>
      </c>
      <c r="AO516">
        <v>0</v>
      </c>
      <c r="AP516" t="s">
        <v>31</v>
      </c>
      <c r="AQ516">
        <v>0</v>
      </c>
    </row>
    <row r="517" spans="1:43" x14ac:dyDescent="0.2">
      <c r="A517" t="s">
        <v>381</v>
      </c>
      <c r="B517" s="3">
        <v>44309</v>
      </c>
      <c r="C517">
        <v>70</v>
      </c>
      <c r="D517" t="s">
        <v>388</v>
      </c>
      <c r="E517" t="s">
        <v>38</v>
      </c>
      <c r="F517" s="9" t="s">
        <v>39</v>
      </c>
      <c r="G517" t="s">
        <v>26</v>
      </c>
      <c r="H517" t="s">
        <v>27</v>
      </c>
      <c r="I517" t="s">
        <v>28</v>
      </c>
      <c r="J517" t="s">
        <v>43</v>
      </c>
      <c r="K517" t="s">
        <v>44</v>
      </c>
      <c r="L517" t="s">
        <v>29</v>
      </c>
      <c r="M517" t="s">
        <v>30</v>
      </c>
      <c r="N517" t="s">
        <v>27</v>
      </c>
      <c r="O517" t="s">
        <v>28</v>
      </c>
      <c r="P517" t="s">
        <v>43</v>
      </c>
      <c r="Q517" t="s">
        <v>44</v>
      </c>
      <c r="R517" s="1">
        <v>44309.408472222225</v>
      </c>
      <c r="S517" s="1">
        <v>44309.408472222225</v>
      </c>
      <c r="T517">
        <v>0</v>
      </c>
      <c r="U517">
        <v>0</v>
      </c>
      <c r="V517" s="2">
        <v>0</v>
      </c>
      <c r="W517">
        <v>0</v>
      </c>
      <c r="X517" t="s">
        <v>37</v>
      </c>
      <c r="Y517">
        <v>0</v>
      </c>
      <c r="Z517" t="s">
        <v>31</v>
      </c>
      <c r="AA517">
        <v>0</v>
      </c>
      <c r="AB517" t="s">
        <v>31</v>
      </c>
      <c r="AC517">
        <v>0</v>
      </c>
      <c r="AD517" t="s">
        <v>31</v>
      </c>
      <c r="AE517">
        <v>0</v>
      </c>
      <c r="AF517" t="s">
        <v>31</v>
      </c>
      <c r="AG517">
        <v>0</v>
      </c>
      <c r="AH517" t="s">
        <v>31</v>
      </c>
      <c r="AI517">
        <v>0</v>
      </c>
      <c r="AJ517" t="s">
        <v>31</v>
      </c>
      <c r="AK517">
        <v>0</v>
      </c>
      <c r="AL517" t="s">
        <v>31</v>
      </c>
      <c r="AM517">
        <v>0</v>
      </c>
      <c r="AN517" t="s">
        <v>31</v>
      </c>
      <c r="AO517">
        <v>0</v>
      </c>
      <c r="AP517" t="s">
        <v>31</v>
      </c>
      <c r="AQ517">
        <v>0</v>
      </c>
    </row>
    <row r="518" spans="1:43" x14ac:dyDescent="0.2">
      <c r="A518" t="s">
        <v>381</v>
      </c>
      <c r="B518" s="3">
        <v>44309</v>
      </c>
      <c r="C518">
        <v>71</v>
      </c>
      <c r="D518" t="s">
        <v>391</v>
      </c>
      <c r="E518" t="s">
        <v>38</v>
      </c>
      <c r="F518" s="9" t="s">
        <v>39</v>
      </c>
      <c r="G518" t="s">
        <v>26</v>
      </c>
      <c r="H518" t="s">
        <v>27</v>
      </c>
      <c r="I518" t="s">
        <v>28</v>
      </c>
      <c r="J518" t="s">
        <v>43</v>
      </c>
      <c r="K518" t="s">
        <v>44</v>
      </c>
      <c r="L518" t="s">
        <v>29</v>
      </c>
      <c r="M518" t="s">
        <v>30</v>
      </c>
      <c r="N518" t="s">
        <v>155</v>
      </c>
      <c r="O518" t="s">
        <v>156</v>
      </c>
      <c r="P518" t="s">
        <v>29</v>
      </c>
      <c r="Q518" t="s">
        <v>30</v>
      </c>
      <c r="R518" s="1">
        <v>44309.539826388886</v>
      </c>
      <c r="S518" s="1">
        <v>44309.540590277778</v>
      </c>
      <c r="T518">
        <v>0</v>
      </c>
      <c r="U518">
        <v>3</v>
      </c>
      <c r="V518" s="2">
        <v>0</v>
      </c>
      <c r="W518">
        <v>0</v>
      </c>
      <c r="X518" t="s">
        <v>37</v>
      </c>
      <c r="Y518">
        <v>0</v>
      </c>
      <c r="Z518" t="s">
        <v>44</v>
      </c>
      <c r="AA518">
        <v>0</v>
      </c>
      <c r="AB518" t="s">
        <v>44</v>
      </c>
      <c r="AC518">
        <v>0</v>
      </c>
      <c r="AD518" t="s">
        <v>47</v>
      </c>
      <c r="AE518">
        <v>0</v>
      </c>
      <c r="AF518" t="s">
        <v>31</v>
      </c>
      <c r="AG518">
        <v>0</v>
      </c>
      <c r="AH518" t="s">
        <v>31</v>
      </c>
      <c r="AI518">
        <v>0</v>
      </c>
      <c r="AJ518" t="s">
        <v>31</v>
      </c>
      <c r="AK518">
        <v>0</v>
      </c>
      <c r="AL518" t="s">
        <v>31</v>
      </c>
      <c r="AM518">
        <v>0</v>
      </c>
      <c r="AN518" t="s">
        <v>31</v>
      </c>
      <c r="AO518">
        <v>0</v>
      </c>
      <c r="AP518" t="s">
        <v>31</v>
      </c>
      <c r="AQ518">
        <v>0</v>
      </c>
    </row>
    <row r="519" spans="1:43" x14ac:dyDescent="0.2">
      <c r="A519" t="s">
        <v>381</v>
      </c>
      <c r="B519" s="3">
        <v>44312</v>
      </c>
      <c r="C519">
        <v>73</v>
      </c>
      <c r="D519" t="s">
        <v>387</v>
      </c>
      <c r="E519" t="s">
        <v>38</v>
      </c>
      <c r="F519" s="9" t="s">
        <v>39</v>
      </c>
      <c r="G519" t="s">
        <v>26</v>
      </c>
      <c r="H519" t="s">
        <v>155</v>
      </c>
      <c r="I519" t="s">
        <v>156</v>
      </c>
      <c r="J519" t="s">
        <v>29</v>
      </c>
      <c r="K519" t="s">
        <v>30</v>
      </c>
      <c r="L519" t="s">
        <v>162</v>
      </c>
      <c r="M519" t="s">
        <v>47</v>
      </c>
      <c r="N519" t="s">
        <v>27</v>
      </c>
      <c r="O519" t="s">
        <v>28</v>
      </c>
      <c r="P519" t="s">
        <v>43</v>
      </c>
      <c r="Q519" t="s">
        <v>44</v>
      </c>
      <c r="R519" s="1">
        <v>44312.551712962966</v>
      </c>
      <c r="S519" s="1">
        <v>44312.552488425928</v>
      </c>
      <c r="T519">
        <v>6</v>
      </c>
      <c r="U519">
        <v>6</v>
      </c>
      <c r="V519" s="2">
        <v>1</v>
      </c>
      <c r="W519">
        <v>0</v>
      </c>
      <c r="X519" t="s">
        <v>47</v>
      </c>
      <c r="Y519">
        <v>0</v>
      </c>
      <c r="Z519" t="s">
        <v>47</v>
      </c>
      <c r="AA519">
        <v>0</v>
      </c>
      <c r="AB519" t="s">
        <v>47</v>
      </c>
      <c r="AC519">
        <v>0</v>
      </c>
      <c r="AD519" t="s">
        <v>47</v>
      </c>
      <c r="AE519">
        <v>0</v>
      </c>
      <c r="AF519" t="s">
        <v>47</v>
      </c>
      <c r="AG519">
        <v>0</v>
      </c>
      <c r="AH519" t="s">
        <v>47</v>
      </c>
      <c r="AI519">
        <v>0</v>
      </c>
      <c r="AJ519" t="s">
        <v>31</v>
      </c>
      <c r="AK519">
        <v>0</v>
      </c>
      <c r="AL519" t="s">
        <v>31</v>
      </c>
      <c r="AM519">
        <v>0</v>
      </c>
      <c r="AN519" t="s">
        <v>31</v>
      </c>
      <c r="AO519">
        <v>0</v>
      </c>
      <c r="AP519" t="s">
        <v>31</v>
      </c>
      <c r="AQ519">
        <v>0</v>
      </c>
    </row>
    <row r="520" spans="1:43" x14ac:dyDescent="0.2">
      <c r="A520" t="s">
        <v>381</v>
      </c>
      <c r="B520" s="3">
        <v>44313</v>
      </c>
      <c r="C520">
        <v>76</v>
      </c>
      <c r="D520" t="s">
        <v>385</v>
      </c>
      <c r="E520" t="s">
        <v>38</v>
      </c>
      <c r="F520" s="9" t="s">
        <v>39</v>
      </c>
      <c r="G520" t="s">
        <v>26</v>
      </c>
      <c r="H520" t="s">
        <v>27</v>
      </c>
      <c r="I520" t="s">
        <v>28</v>
      </c>
      <c r="J520" t="s">
        <v>43</v>
      </c>
      <c r="K520" t="s">
        <v>44</v>
      </c>
      <c r="L520" t="s">
        <v>29</v>
      </c>
      <c r="M520" t="s">
        <v>30</v>
      </c>
      <c r="N520" t="s">
        <v>27</v>
      </c>
      <c r="O520" t="s">
        <v>28</v>
      </c>
      <c r="P520" t="s">
        <v>43</v>
      </c>
      <c r="Q520" t="s">
        <v>44</v>
      </c>
      <c r="R520" s="1">
        <v>44313.570590277777</v>
      </c>
      <c r="S520" s="1">
        <v>44313.570601851854</v>
      </c>
      <c r="T520">
        <v>0</v>
      </c>
      <c r="U520">
        <v>0</v>
      </c>
      <c r="V520" s="2">
        <v>0</v>
      </c>
      <c r="W520">
        <v>0</v>
      </c>
      <c r="X520" t="s">
        <v>37</v>
      </c>
      <c r="Y520">
        <v>0</v>
      </c>
      <c r="Z520" t="s">
        <v>37</v>
      </c>
      <c r="AA520">
        <v>0</v>
      </c>
      <c r="AB520" t="s">
        <v>37</v>
      </c>
      <c r="AC520">
        <v>0</v>
      </c>
      <c r="AD520" t="s">
        <v>31</v>
      </c>
      <c r="AE520">
        <v>0</v>
      </c>
      <c r="AF520" t="s">
        <v>31</v>
      </c>
      <c r="AG520">
        <v>0</v>
      </c>
      <c r="AH520" t="s">
        <v>31</v>
      </c>
      <c r="AI520">
        <v>0</v>
      </c>
      <c r="AJ520" t="s">
        <v>31</v>
      </c>
      <c r="AK520">
        <v>0</v>
      </c>
      <c r="AL520" t="s">
        <v>31</v>
      </c>
      <c r="AM520">
        <v>0</v>
      </c>
      <c r="AN520" t="s">
        <v>31</v>
      </c>
      <c r="AO520">
        <v>0</v>
      </c>
      <c r="AP520" t="s">
        <v>31</v>
      </c>
      <c r="AQ520">
        <v>0</v>
      </c>
    </row>
    <row r="521" spans="1:43" x14ac:dyDescent="0.2">
      <c r="A521" t="s">
        <v>381</v>
      </c>
      <c r="B521" s="3">
        <v>44314</v>
      </c>
      <c r="C521">
        <v>77</v>
      </c>
      <c r="D521" t="s">
        <v>403</v>
      </c>
      <c r="E521" t="s">
        <v>38</v>
      </c>
      <c r="F521" s="9" t="s">
        <v>39</v>
      </c>
      <c r="G521" t="s">
        <v>26</v>
      </c>
      <c r="H521" t="s">
        <v>27</v>
      </c>
      <c r="I521" t="s">
        <v>28</v>
      </c>
      <c r="J521" t="s">
        <v>43</v>
      </c>
      <c r="K521" t="s">
        <v>44</v>
      </c>
      <c r="L521" t="s">
        <v>29</v>
      </c>
      <c r="M521" t="s">
        <v>30</v>
      </c>
      <c r="N521" t="s">
        <v>27</v>
      </c>
      <c r="O521" t="s">
        <v>28</v>
      </c>
      <c r="P521" t="s">
        <v>43</v>
      </c>
      <c r="Q521" t="s">
        <v>44</v>
      </c>
      <c r="R521" s="1">
        <v>44314.406261574077</v>
      </c>
      <c r="S521" s="1">
        <v>44314.406261574077</v>
      </c>
      <c r="T521">
        <v>0</v>
      </c>
      <c r="U521">
        <v>0</v>
      </c>
      <c r="V521" s="2">
        <v>0</v>
      </c>
      <c r="W521">
        <v>0</v>
      </c>
      <c r="X521" t="s">
        <v>37</v>
      </c>
      <c r="Y521">
        <v>0</v>
      </c>
      <c r="Z521" t="s">
        <v>31</v>
      </c>
      <c r="AA521">
        <v>0</v>
      </c>
      <c r="AB521" t="s">
        <v>31</v>
      </c>
      <c r="AC521">
        <v>0</v>
      </c>
      <c r="AD521" t="s">
        <v>31</v>
      </c>
      <c r="AE521">
        <v>0</v>
      </c>
      <c r="AF521" t="s">
        <v>31</v>
      </c>
      <c r="AG521">
        <v>0</v>
      </c>
      <c r="AH521" t="s">
        <v>31</v>
      </c>
      <c r="AI521">
        <v>0</v>
      </c>
      <c r="AJ521" t="s">
        <v>31</v>
      </c>
      <c r="AK521">
        <v>0</v>
      </c>
      <c r="AL521" t="s">
        <v>31</v>
      </c>
      <c r="AM521">
        <v>0</v>
      </c>
      <c r="AN521" t="s">
        <v>31</v>
      </c>
      <c r="AO521">
        <v>0</v>
      </c>
      <c r="AP521" t="s">
        <v>31</v>
      </c>
      <c r="AQ521">
        <v>0</v>
      </c>
    </row>
    <row r="522" spans="1:43" x14ac:dyDescent="0.2">
      <c r="A522" t="s">
        <v>381</v>
      </c>
      <c r="B522" s="3">
        <v>44314</v>
      </c>
      <c r="C522">
        <v>78</v>
      </c>
      <c r="D522" t="s">
        <v>387</v>
      </c>
      <c r="E522" t="s">
        <v>38</v>
      </c>
      <c r="F522" s="9" t="s">
        <v>39</v>
      </c>
      <c r="G522" t="s">
        <v>26</v>
      </c>
      <c r="H522" t="s">
        <v>27</v>
      </c>
      <c r="I522" t="s">
        <v>28</v>
      </c>
      <c r="J522" t="s">
        <v>43</v>
      </c>
      <c r="K522" t="s">
        <v>44</v>
      </c>
      <c r="L522" t="s">
        <v>29</v>
      </c>
      <c r="M522" t="s">
        <v>30</v>
      </c>
      <c r="N522" t="s">
        <v>27</v>
      </c>
      <c r="O522" t="s">
        <v>28</v>
      </c>
      <c r="P522" t="s">
        <v>43</v>
      </c>
      <c r="Q522" t="s">
        <v>44</v>
      </c>
      <c r="R522" s="1">
        <v>44314.562696759262</v>
      </c>
      <c r="S522" s="1">
        <v>44314.562708333331</v>
      </c>
      <c r="T522">
        <v>0</v>
      </c>
      <c r="U522">
        <v>0</v>
      </c>
      <c r="V522" s="2">
        <v>0</v>
      </c>
      <c r="W522">
        <v>0</v>
      </c>
      <c r="X522" t="s">
        <v>37</v>
      </c>
      <c r="Y522">
        <v>0</v>
      </c>
      <c r="Z522" t="s">
        <v>37</v>
      </c>
      <c r="AA522">
        <v>0</v>
      </c>
      <c r="AB522" t="s">
        <v>37</v>
      </c>
      <c r="AC522">
        <v>0</v>
      </c>
      <c r="AD522" t="s">
        <v>37</v>
      </c>
      <c r="AE522">
        <v>0</v>
      </c>
      <c r="AF522" t="s">
        <v>37</v>
      </c>
      <c r="AG522">
        <v>0</v>
      </c>
      <c r="AH522" t="s">
        <v>31</v>
      </c>
      <c r="AI522">
        <v>0</v>
      </c>
      <c r="AJ522" t="s">
        <v>31</v>
      </c>
      <c r="AK522">
        <v>0</v>
      </c>
      <c r="AL522" t="s">
        <v>31</v>
      </c>
      <c r="AM522">
        <v>0</v>
      </c>
      <c r="AN522" t="s">
        <v>31</v>
      </c>
      <c r="AO522">
        <v>0</v>
      </c>
      <c r="AP522" t="s">
        <v>31</v>
      </c>
      <c r="AQ522">
        <v>0</v>
      </c>
    </row>
    <row r="523" spans="1:43" x14ac:dyDescent="0.2">
      <c r="A523" t="s">
        <v>381</v>
      </c>
      <c r="B523" s="3">
        <v>44315</v>
      </c>
      <c r="C523">
        <v>79</v>
      </c>
      <c r="D523" t="s">
        <v>383</v>
      </c>
      <c r="E523" t="s">
        <v>38</v>
      </c>
      <c r="F523" s="9" t="s">
        <v>39</v>
      </c>
      <c r="G523" t="s">
        <v>26</v>
      </c>
      <c r="H523" t="s">
        <v>27</v>
      </c>
      <c r="I523" t="s">
        <v>28</v>
      </c>
      <c r="J523" t="s">
        <v>43</v>
      </c>
      <c r="K523" t="s">
        <v>44</v>
      </c>
      <c r="L523" t="s">
        <v>29</v>
      </c>
      <c r="M523" t="s">
        <v>30</v>
      </c>
      <c r="N523" t="s">
        <v>27</v>
      </c>
      <c r="O523" t="s">
        <v>28</v>
      </c>
      <c r="P523" t="s">
        <v>43</v>
      </c>
      <c r="Q523" t="s">
        <v>44</v>
      </c>
      <c r="R523" s="1">
        <v>44315.402789351851</v>
      </c>
      <c r="S523" s="1">
        <v>44315.403981481482</v>
      </c>
      <c r="T523">
        <v>1</v>
      </c>
      <c r="U523">
        <v>3</v>
      </c>
      <c r="V523" s="2">
        <v>0.33</v>
      </c>
      <c r="W523">
        <v>0</v>
      </c>
      <c r="X523" t="s">
        <v>44</v>
      </c>
      <c r="Y523">
        <v>0</v>
      </c>
      <c r="Z523" t="s">
        <v>44</v>
      </c>
      <c r="AA523">
        <v>0</v>
      </c>
      <c r="AB523" t="s">
        <v>30</v>
      </c>
      <c r="AC523">
        <v>0</v>
      </c>
      <c r="AD523" t="s">
        <v>31</v>
      </c>
      <c r="AE523">
        <v>0</v>
      </c>
      <c r="AF523" t="s">
        <v>31</v>
      </c>
      <c r="AG523">
        <v>0</v>
      </c>
      <c r="AH523" t="s">
        <v>31</v>
      </c>
      <c r="AI523">
        <v>0</v>
      </c>
      <c r="AJ523" t="s">
        <v>31</v>
      </c>
      <c r="AK523">
        <v>0</v>
      </c>
      <c r="AL523" t="s">
        <v>31</v>
      </c>
      <c r="AM523">
        <v>0</v>
      </c>
      <c r="AN523" t="s">
        <v>31</v>
      </c>
      <c r="AO523">
        <v>0</v>
      </c>
      <c r="AP523" t="s">
        <v>31</v>
      </c>
      <c r="AQ523">
        <v>0</v>
      </c>
    </row>
    <row r="524" spans="1:43" x14ac:dyDescent="0.2">
      <c r="A524" t="s">
        <v>381</v>
      </c>
      <c r="B524" s="3">
        <v>44315</v>
      </c>
      <c r="C524">
        <v>81</v>
      </c>
      <c r="D524" t="s">
        <v>385</v>
      </c>
      <c r="E524" t="s">
        <v>38</v>
      </c>
      <c r="F524" s="9" t="s">
        <v>39</v>
      </c>
      <c r="G524" t="s">
        <v>26</v>
      </c>
      <c r="H524" t="s">
        <v>27</v>
      </c>
      <c r="I524" t="s">
        <v>28</v>
      </c>
      <c r="J524" t="s">
        <v>43</v>
      </c>
      <c r="K524" t="s">
        <v>44</v>
      </c>
      <c r="L524" t="s">
        <v>29</v>
      </c>
      <c r="M524" t="s">
        <v>30</v>
      </c>
      <c r="N524" t="s">
        <v>27</v>
      </c>
      <c r="O524" t="s">
        <v>28</v>
      </c>
      <c r="P524" t="s">
        <v>43</v>
      </c>
      <c r="Q524" t="s">
        <v>44</v>
      </c>
      <c r="R524" s="1">
        <v>44315.560624999998</v>
      </c>
      <c r="S524" s="1">
        <v>44315.561307870368</v>
      </c>
      <c r="T524">
        <v>0</v>
      </c>
      <c r="U524">
        <v>0</v>
      </c>
      <c r="V524" s="2">
        <v>0</v>
      </c>
      <c r="W524">
        <v>0</v>
      </c>
      <c r="X524" t="s">
        <v>37</v>
      </c>
      <c r="Y524">
        <v>0</v>
      </c>
      <c r="Z524" t="s">
        <v>37</v>
      </c>
      <c r="AA524">
        <v>0</v>
      </c>
      <c r="AB524" t="s">
        <v>37</v>
      </c>
      <c r="AC524">
        <v>0</v>
      </c>
      <c r="AD524" t="s">
        <v>37</v>
      </c>
      <c r="AE524">
        <v>0</v>
      </c>
      <c r="AF524" t="s">
        <v>31</v>
      </c>
      <c r="AG524">
        <v>0</v>
      </c>
      <c r="AH524" t="s">
        <v>31</v>
      </c>
      <c r="AI524">
        <v>0</v>
      </c>
      <c r="AJ524" t="s">
        <v>31</v>
      </c>
      <c r="AK524">
        <v>0</v>
      </c>
      <c r="AL524" t="s">
        <v>31</v>
      </c>
      <c r="AM524">
        <v>0</v>
      </c>
      <c r="AN524" t="s">
        <v>31</v>
      </c>
      <c r="AO524">
        <v>0</v>
      </c>
      <c r="AP524" t="s">
        <v>31</v>
      </c>
      <c r="AQ524">
        <v>0</v>
      </c>
    </row>
    <row r="525" spans="1:43" x14ac:dyDescent="0.2">
      <c r="A525" t="s">
        <v>381</v>
      </c>
      <c r="B525" s="3">
        <v>44316</v>
      </c>
      <c r="C525">
        <v>82</v>
      </c>
      <c r="D525" t="s">
        <v>389</v>
      </c>
      <c r="E525" t="s">
        <v>38</v>
      </c>
      <c r="F525" s="9" t="s">
        <v>39</v>
      </c>
      <c r="G525" t="s">
        <v>26</v>
      </c>
      <c r="H525" t="s">
        <v>27</v>
      </c>
      <c r="I525" t="s">
        <v>28</v>
      </c>
      <c r="J525" t="s">
        <v>43</v>
      </c>
      <c r="K525" t="s">
        <v>44</v>
      </c>
      <c r="L525" t="s">
        <v>29</v>
      </c>
      <c r="M525" t="s">
        <v>30</v>
      </c>
      <c r="N525" t="s">
        <v>155</v>
      </c>
      <c r="O525" t="s">
        <v>156</v>
      </c>
      <c r="P525" t="s">
        <v>29</v>
      </c>
      <c r="Q525" t="s">
        <v>30</v>
      </c>
      <c r="R525" s="1">
        <v>44316.420891203707</v>
      </c>
      <c r="S525" s="1">
        <v>44316.42114583333</v>
      </c>
      <c r="T525">
        <v>0</v>
      </c>
      <c r="U525">
        <v>2</v>
      </c>
      <c r="V525" s="2">
        <v>0</v>
      </c>
      <c r="W525">
        <v>0</v>
      </c>
      <c r="X525" t="s">
        <v>44</v>
      </c>
      <c r="Y525">
        <v>0</v>
      </c>
      <c r="Z525" t="s">
        <v>44</v>
      </c>
      <c r="AA525">
        <v>0</v>
      </c>
      <c r="AB525" t="s">
        <v>37</v>
      </c>
      <c r="AC525">
        <v>0</v>
      </c>
      <c r="AD525" t="s">
        <v>31</v>
      </c>
      <c r="AE525">
        <v>0</v>
      </c>
      <c r="AF525" t="s">
        <v>31</v>
      </c>
      <c r="AG525">
        <v>0</v>
      </c>
      <c r="AH525" t="s">
        <v>31</v>
      </c>
      <c r="AI525">
        <v>0</v>
      </c>
      <c r="AJ525" t="s">
        <v>31</v>
      </c>
      <c r="AK525">
        <v>0</v>
      </c>
      <c r="AL525" t="s">
        <v>31</v>
      </c>
      <c r="AM525">
        <v>0</v>
      </c>
      <c r="AN525" t="s">
        <v>31</v>
      </c>
      <c r="AO525">
        <v>0</v>
      </c>
      <c r="AP525" t="s">
        <v>31</v>
      </c>
      <c r="AQ525">
        <v>0</v>
      </c>
    </row>
    <row r="526" spans="1:43" x14ac:dyDescent="0.2">
      <c r="A526" t="s">
        <v>381</v>
      </c>
      <c r="B526" s="3">
        <v>44316</v>
      </c>
      <c r="C526">
        <v>83</v>
      </c>
      <c r="D526" t="s">
        <v>387</v>
      </c>
      <c r="E526" t="s">
        <v>38</v>
      </c>
      <c r="F526" s="9" t="s">
        <v>39</v>
      </c>
      <c r="G526" t="s">
        <v>26</v>
      </c>
      <c r="H526" t="s">
        <v>27</v>
      </c>
      <c r="I526" t="s">
        <v>28</v>
      </c>
      <c r="J526" t="s">
        <v>29</v>
      </c>
      <c r="K526" t="s">
        <v>30</v>
      </c>
      <c r="L526" t="s">
        <v>29</v>
      </c>
      <c r="M526" t="s">
        <v>30</v>
      </c>
      <c r="N526" t="s">
        <v>27</v>
      </c>
      <c r="O526" t="s">
        <v>28</v>
      </c>
      <c r="P526" t="s">
        <v>29</v>
      </c>
      <c r="Q526" t="s">
        <v>30</v>
      </c>
      <c r="R526" s="1">
        <v>44316.543090277781</v>
      </c>
      <c r="S526" s="1">
        <v>44316.54310185185</v>
      </c>
      <c r="T526">
        <v>0</v>
      </c>
      <c r="U526">
        <v>0</v>
      </c>
      <c r="V526" s="2">
        <v>0</v>
      </c>
      <c r="W526">
        <v>0</v>
      </c>
      <c r="X526" t="s">
        <v>37</v>
      </c>
      <c r="Y526">
        <v>0</v>
      </c>
      <c r="Z526" t="s">
        <v>37</v>
      </c>
      <c r="AA526">
        <v>0</v>
      </c>
      <c r="AB526" t="s">
        <v>37</v>
      </c>
      <c r="AC526">
        <v>0</v>
      </c>
      <c r="AD526" t="s">
        <v>37</v>
      </c>
      <c r="AE526">
        <v>0</v>
      </c>
      <c r="AF526" t="s">
        <v>31</v>
      </c>
      <c r="AG526">
        <v>0</v>
      </c>
      <c r="AH526" t="s">
        <v>31</v>
      </c>
      <c r="AI526">
        <v>0</v>
      </c>
      <c r="AJ526" t="s">
        <v>31</v>
      </c>
      <c r="AK526">
        <v>0</v>
      </c>
      <c r="AL526" t="s">
        <v>31</v>
      </c>
      <c r="AM526">
        <v>0</v>
      </c>
      <c r="AN526" t="s">
        <v>31</v>
      </c>
      <c r="AO526">
        <v>0</v>
      </c>
      <c r="AP526" t="s">
        <v>31</v>
      </c>
      <c r="AQ526">
        <v>0</v>
      </c>
    </row>
    <row r="527" spans="1:43" x14ac:dyDescent="0.2">
      <c r="A527" t="s">
        <v>381</v>
      </c>
      <c r="B527" s="3">
        <v>44319</v>
      </c>
      <c r="C527">
        <v>84</v>
      </c>
      <c r="D527" t="s">
        <v>390</v>
      </c>
      <c r="E527" t="s">
        <v>38</v>
      </c>
      <c r="F527" s="9" t="s">
        <v>39</v>
      </c>
      <c r="G527" t="s">
        <v>26</v>
      </c>
      <c r="H527" t="s">
        <v>27</v>
      </c>
      <c r="I527" t="s">
        <v>28</v>
      </c>
      <c r="J527" t="s">
        <v>29</v>
      </c>
      <c r="K527" t="s">
        <v>30</v>
      </c>
      <c r="L527" t="s">
        <v>29</v>
      </c>
      <c r="M527" t="s">
        <v>30</v>
      </c>
      <c r="N527" t="s">
        <v>27</v>
      </c>
      <c r="O527" t="s">
        <v>28</v>
      </c>
      <c r="P527" t="s">
        <v>29</v>
      </c>
      <c r="Q527" t="s">
        <v>30</v>
      </c>
      <c r="R527" s="1">
        <v>44319.398981481485</v>
      </c>
      <c r="S527" s="1">
        <v>44319.399155092593</v>
      </c>
      <c r="T527">
        <v>1</v>
      </c>
      <c r="U527">
        <v>1</v>
      </c>
      <c r="V527" s="2">
        <v>1</v>
      </c>
      <c r="W527">
        <v>0</v>
      </c>
      <c r="X527" t="s">
        <v>37</v>
      </c>
      <c r="Y527">
        <v>0</v>
      </c>
      <c r="Z527" t="s">
        <v>30</v>
      </c>
      <c r="AA527">
        <v>0</v>
      </c>
      <c r="AB527" t="s">
        <v>31</v>
      </c>
      <c r="AC527">
        <v>0</v>
      </c>
      <c r="AD527" t="s">
        <v>31</v>
      </c>
      <c r="AE527">
        <v>0</v>
      </c>
      <c r="AF527" t="s">
        <v>31</v>
      </c>
      <c r="AG527">
        <v>0</v>
      </c>
      <c r="AH527" t="s">
        <v>31</v>
      </c>
      <c r="AI527">
        <v>0</v>
      </c>
      <c r="AJ527" t="s">
        <v>31</v>
      </c>
      <c r="AK527">
        <v>0</v>
      </c>
      <c r="AL527" t="s">
        <v>31</v>
      </c>
      <c r="AM527">
        <v>0</v>
      </c>
      <c r="AN527" t="s">
        <v>31</v>
      </c>
      <c r="AO527">
        <v>0</v>
      </c>
      <c r="AP527" t="s">
        <v>31</v>
      </c>
      <c r="AQ527">
        <v>0</v>
      </c>
    </row>
    <row r="528" spans="1:43" x14ac:dyDescent="0.2">
      <c r="A528" t="s">
        <v>381</v>
      </c>
      <c r="B528" s="3">
        <v>44320</v>
      </c>
      <c r="C528">
        <v>87</v>
      </c>
      <c r="D528" t="s">
        <v>385</v>
      </c>
      <c r="E528" t="s">
        <v>38</v>
      </c>
      <c r="F528" s="9" t="s">
        <v>39</v>
      </c>
      <c r="G528" t="s">
        <v>26</v>
      </c>
      <c r="H528" t="s">
        <v>27</v>
      </c>
      <c r="I528" t="s">
        <v>28</v>
      </c>
      <c r="J528" t="s">
        <v>29</v>
      </c>
      <c r="K528" t="s">
        <v>30</v>
      </c>
      <c r="L528" t="s">
        <v>29</v>
      </c>
      <c r="M528" t="s">
        <v>30</v>
      </c>
      <c r="N528" t="s">
        <v>27</v>
      </c>
      <c r="O528" t="s">
        <v>28</v>
      </c>
      <c r="P528" t="s">
        <v>29</v>
      </c>
      <c r="Q528" t="s">
        <v>30</v>
      </c>
      <c r="R528" s="1">
        <v>44320.5621875</v>
      </c>
      <c r="S528" s="1">
        <v>44320.562824074077</v>
      </c>
      <c r="T528">
        <v>1</v>
      </c>
      <c r="U528">
        <v>1</v>
      </c>
      <c r="V528" s="2">
        <v>1</v>
      </c>
      <c r="W528">
        <v>0</v>
      </c>
      <c r="X528" t="s">
        <v>30</v>
      </c>
      <c r="Y528">
        <v>0</v>
      </c>
      <c r="Z528" t="s">
        <v>31</v>
      </c>
      <c r="AA528">
        <v>0</v>
      </c>
      <c r="AB528" t="s">
        <v>31</v>
      </c>
      <c r="AC528">
        <v>0</v>
      </c>
      <c r="AD528" t="s">
        <v>31</v>
      </c>
      <c r="AE528">
        <v>0</v>
      </c>
      <c r="AF528" t="s">
        <v>31</v>
      </c>
      <c r="AG528">
        <v>0</v>
      </c>
      <c r="AH528" t="s">
        <v>31</v>
      </c>
      <c r="AI528">
        <v>0</v>
      </c>
      <c r="AJ528" t="s">
        <v>31</v>
      </c>
      <c r="AK528">
        <v>0</v>
      </c>
      <c r="AL528" t="s">
        <v>31</v>
      </c>
      <c r="AM528">
        <v>0</v>
      </c>
      <c r="AN528" t="s">
        <v>31</v>
      </c>
      <c r="AO528">
        <v>0</v>
      </c>
      <c r="AP528" t="s">
        <v>31</v>
      </c>
      <c r="AQ528">
        <v>0</v>
      </c>
    </row>
    <row r="529" spans="1:43" x14ac:dyDescent="0.2">
      <c r="A529" t="s">
        <v>381</v>
      </c>
      <c r="B529" s="3">
        <v>44321</v>
      </c>
      <c r="C529">
        <v>89</v>
      </c>
      <c r="D529" t="s">
        <v>387</v>
      </c>
      <c r="E529" t="s">
        <v>38</v>
      </c>
      <c r="F529" s="9" t="s">
        <v>39</v>
      </c>
      <c r="G529" t="s">
        <v>26</v>
      </c>
      <c r="H529" t="s">
        <v>27</v>
      </c>
      <c r="I529" t="s">
        <v>28</v>
      </c>
      <c r="J529" t="s">
        <v>29</v>
      </c>
      <c r="K529" t="s">
        <v>30</v>
      </c>
      <c r="L529" t="s">
        <v>29</v>
      </c>
      <c r="M529" t="s">
        <v>30</v>
      </c>
      <c r="N529" t="s">
        <v>27</v>
      </c>
      <c r="O529" t="s">
        <v>28</v>
      </c>
      <c r="P529" t="s">
        <v>29</v>
      </c>
      <c r="Q529" t="s">
        <v>30</v>
      </c>
      <c r="R529" s="1">
        <v>44321.538923611108</v>
      </c>
      <c r="S529" s="1">
        <v>44321.538935185185</v>
      </c>
      <c r="T529">
        <v>1</v>
      </c>
      <c r="U529">
        <v>1</v>
      </c>
      <c r="V529" s="2">
        <v>1</v>
      </c>
      <c r="W529">
        <v>0</v>
      </c>
      <c r="X529" t="s">
        <v>37</v>
      </c>
      <c r="Y529">
        <v>0</v>
      </c>
      <c r="Z529" t="s">
        <v>37</v>
      </c>
      <c r="AA529">
        <v>0</v>
      </c>
      <c r="AB529" t="s">
        <v>30</v>
      </c>
      <c r="AC529">
        <v>0</v>
      </c>
      <c r="AD529" t="s">
        <v>31</v>
      </c>
      <c r="AE529">
        <v>0</v>
      </c>
      <c r="AF529" t="s">
        <v>31</v>
      </c>
      <c r="AG529">
        <v>0</v>
      </c>
      <c r="AH529" t="s">
        <v>31</v>
      </c>
      <c r="AI529">
        <v>0</v>
      </c>
      <c r="AJ529" t="s">
        <v>31</v>
      </c>
      <c r="AK529">
        <v>0</v>
      </c>
      <c r="AL529" t="s">
        <v>31</v>
      </c>
      <c r="AM529">
        <v>0</v>
      </c>
      <c r="AN529" t="s">
        <v>31</v>
      </c>
      <c r="AO529">
        <v>0</v>
      </c>
      <c r="AP529" t="s">
        <v>31</v>
      </c>
      <c r="AQ529">
        <v>0</v>
      </c>
    </row>
    <row r="530" spans="1:43" x14ac:dyDescent="0.2">
      <c r="A530" t="s">
        <v>381</v>
      </c>
      <c r="B530" s="3">
        <v>44323</v>
      </c>
      <c r="C530">
        <v>90</v>
      </c>
      <c r="D530" t="s">
        <v>404</v>
      </c>
      <c r="E530" t="s">
        <v>38</v>
      </c>
      <c r="F530" s="9" t="s">
        <v>39</v>
      </c>
      <c r="G530" t="s">
        <v>26</v>
      </c>
      <c r="H530" t="s">
        <v>27</v>
      </c>
      <c r="I530" t="s">
        <v>28</v>
      </c>
      <c r="J530" t="s">
        <v>29</v>
      </c>
      <c r="K530" t="s">
        <v>30</v>
      </c>
      <c r="L530" t="s">
        <v>29</v>
      </c>
      <c r="M530" t="s">
        <v>30</v>
      </c>
      <c r="N530" t="s">
        <v>27</v>
      </c>
      <c r="O530" t="s">
        <v>28</v>
      </c>
      <c r="P530" t="s">
        <v>29</v>
      </c>
      <c r="Q530" t="s">
        <v>30</v>
      </c>
      <c r="R530" s="1">
        <v>44323.453344907408</v>
      </c>
      <c r="S530" s="1">
        <v>44323.453344907408</v>
      </c>
      <c r="T530">
        <v>0</v>
      </c>
      <c r="U530">
        <v>0</v>
      </c>
      <c r="V530" s="2">
        <v>0</v>
      </c>
      <c r="W530">
        <v>0</v>
      </c>
      <c r="X530" t="s">
        <v>37</v>
      </c>
      <c r="Y530">
        <v>0</v>
      </c>
      <c r="Z530" t="s">
        <v>37</v>
      </c>
      <c r="AA530">
        <v>0</v>
      </c>
      <c r="AB530" t="s">
        <v>37</v>
      </c>
      <c r="AC530">
        <v>0</v>
      </c>
      <c r="AD530" t="s">
        <v>37</v>
      </c>
      <c r="AE530">
        <v>0</v>
      </c>
      <c r="AF530" t="s">
        <v>31</v>
      </c>
      <c r="AG530">
        <v>0</v>
      </c>
      <c r="AH530" t="s">
        <v>31</v>
      </c>
      <c r="AI530">
        <v>0</v>
      </c>
      <c r="AJ530" t="s">
        <v>31</v>
      </c>
      <c r="AK530">
        <v>0</v>
      </c>
      <c r="AL530" t="s">
        <v>31</v>
      </c>
      <c r="AM530">
        <v>0</v>
      </c>
      <c r="AN530" t="s">
        <v>31</v>
      </c>
      <c r="AO530">
        <v>0</v>
      </c>
      <c r="AP530" t="s">
        <v>31</v>
      </c>
      <c r="AQ530">
        <v>0</v>
      </c>
    </row>
    <row r="531" spans="1:43" x14ac:dyDescent="0.2">
      <c r="A531" t="s">
        <v>381</v>
      </c>
      <c r="B531" s="3">
        <v>44323</v>
      </c>
      <c r="C531">
        <v>91</v>
      </c>
      <c r="D531" t="s">
        <v>391</v>
      </c>
      <c r="E531" t="s">
        <v>38</v>
      </c>
      <c r="F531" s="9" t="s">
        <v>39</v>
      </c>
      <c r="G531" t="s">
        <v>26</v>
      </c>
      <c r="H531" t="s">
        <v>27</v>
      </c>
      <c r="I531" t="s">
        <v>28</v>
      </c>
      <c r="J531" t="s">
        <v>29</v>
      </c>
      <c r="K531" t="s">
        <v>30</v>
      </c>
      <c r="L531" t="s">
        <v>29</v>
      </c>
      <c r="M531" t="s">
        <v>30</v>
      </c>
      <c r="N531" t="s">
        <v>27</v>
      </c>
      <c r="O531" t="s">
        <v>28</v>
      </c>
      <c r="P531" t="s">
        <v>29</v>
      </c>
      <c r="Q531" t="s">
        <v>30</v>
      </c>
      <c r="R531" s="1">
        <v>44323.52244212963</v>
      </c>
      <c r="S531" s="1">
        <v>44323.522476851853</v>
      </c>
      <c r="T531">
        <v>0</v>
      </c>
      <c r="U531">
        <v>0</v>
      </c>
      <c r="V531" s="2">
        <v>0</v>
      </c>
      <c r="W531">
        <v>0</v>
      </c>
      <c r="X531" t="s">
        <v>37</v>
      </c>
      <c r="Y531">
        <v>0</v>
      </c>
      <c r="Z531" t="s">
        <v>37</v>
      </c>
      <c r="AA531">
        <v>0</v>
      </c>
      <c r="AB531" t="s">
        <v>37</v>
      </c>
      <c r="AC531">
        <v>0</v>
      </c>
      <c r="AD531" t="s">
        <v>31</v>
      </c>
      <c r="AE531">
        <v>0</v>
      </c>
      <c r="AF531" t="s">
        <v>31</v>
      </c>
      <c r="AG531">
        <v>0</v>
      </c>
      <c r="AH531" t="s">
        <v>31</v>
      </c>
      <c r="AI531">
        <v>0</v>
      </c>
      <c r="AJ531" t="s">
        <v>31</v>
      </c>
      <c r="AK531">
        <v>0</v>
      </c>
      <c r="AL531" t="s">
        <v>31</v>
      </c>
      <c r="AM531">
        <v>0</v>
      </c>
      <c r="AN531" t="s">
        <v>31</v>
      </c>
      <c r="AO531">
        <v>0</v>
      </c>
      <c r="AP531" t="s">
        <v>31</v>
      </c>
      <c r="AQ531">
        <v>0</v>
      </c>
    </row>
    <row r="532" spans="1:43" x14ac:dyDescent="0.2">
      <c r="A532" t="s">
        <v>381</v>
      </c>
      <c r="B532" s="3">
        <v>44326</v>
      </c>
      <c r="C532">
        <v>92</v>
      </c>
      <c r="D532" t="s">
        <v>390</v>
      </c>
      <c r="E532" t="s">
        <v>38</v>
      </c>
      <c r="F532" s="9" t="s">
        <v>39</v>
      </c>
      <c r="G532" t="s">
        <v>26</v>
      </c>
      <c r="H532" t="s">
        <v>27</v>
      </c>
      <c r="I532" t="s">
        <v>28</v>
      </c>
      <c r="J532" t="s">
        <v>29</v>
      </c>
      <c r="K532" t="s">
        <v>30</v>
      </c>
      <c r="L532" t="s">
        <v>29</v>
      </c>
      <c r="M532" t="s">
        <v>30</v>
      </c>
      <c r="N532" t="s">
        <v>27</v>
      </c>
      <c r="O532" t="s">
        <v>28</v>
      </c>
      <c r="P532" t="s">
        <v>29</v>
      </c>
      <c r="Q532" t="s">
        <v>30</v>
      </c>
      <c r="R532" s="1">
        <v>44326.421018518522</v>
      </c>
      <c r="S532" s="1">
        <v>44326.421087962961</v>
      </c>
      <c r="T532">
        <v>1</v>
      </c>
      <c r="U532">
        <v>1</v>
      </c>
      <c r="V532" s="2">
        <v>1</v>
      </c>
      <c r="W532">
        <v>0</v>
      </c>
      <c r="X532" t="s">
        <v>37</v>
      </c>
      <c r="Y532">
        <v>0</v>
      </c>
      <c r="Z532" t="s">
        <v>30</v>
      </c>
      <c r="AA532">
        <v>0</v>
      </c>
      <c r="AB532" t="s">
        <v>31</v>
      </c>
      <c r="AC532">
        <v>0</v>
      </c>
      <c r="AD532" t="s">
        <v>31</v>
      </c>
      <c r="AE532">
        <v>0</v>
      </c>
      <c r="AF532" t="s">
        <v>31</v>
      </c>
      <c r="AG532">
        <v>0</v>
      </c>
      <c r="AH532" t="s">
        <v>31</v>
      </c>
      <c r="AI532">
        <v>0</v>
      </c>
      <c r="AJ532" t="s">
        <v>31</v>
      </c>
      <c r="AK532">
        <v>0</v>
      </c>
      <c r="AL532" t="s">
        <v>31</v>
      </c>
      <c r="AM532">
        <v>0</v>
      </c>
      <c r="AN532" t="s">
        <v>31</v>
      </c>
      <c r="AO532">
        <v>0</v>
      </c>
      <c r="AP532" t="s">
        <v>31</v>
      </c>
      <c r="AQ532">
        <v>0</v>
      </c>
    </row>
    <row r="533" spans="1:43" x14ac:dyDescent="0.2">
      <c r="A533" t="s">
        <v>381</v>
      </c>
      <c r="B533" s="3">
        <v>44327</v>
      </c>
      <c r="C533">
        <v>96</v>
      </c>
      <c r="D533" t="s">
        <v>385</v>
      </c>
      <c r="E533" t="s">
        <v>38</v>
      </c>
      <c r="F533" s="9" t="s">
        <v>39</v>
      </c>
      <c r="G533" t="s">
        <v>26</v>
      </c>
      <c r="H533" t="s">
        <v>27</v>
      </c>
      <c r="I533" t="s">
        <v>28</v>
      </c>
      <c r="J533" t="s">
        <v>29</v>
      </c>
      <c r="K533" t="s">
        <v>30</v>
      </c>
      <c r="L533" t="s">
        <v>29</v>
      </c>
      <c r="M533" t="s">
        <v>30</v>
      </c>
      <c r="N533" t="s">
        <v>27</v>
      </c>
      <c r="O533" t="s">
        <v>28</v>
      </c>
      <c r="P533" t="s">
        <v>29</v>
      </c>
      <c r="Q533" t="s">
        <v>30</v>
      </c>
      <c r="R533" s="1">
        <v>44327.589618055557</v>
      </c>
      <c r="S533" s="1">
        <v>44327.58965277778</v>
      </c>
      <c r="T533">
        <v>0</v>
      </c>
      <c r="U533">
        <v>0</v>
      </c>
      <c r="V533" s="2">
        <v>0</v>
      </c>
      <c r="W533">
        <v>0</v>
      </c>
      <c r="X533" t="s">
        <v>37</v>
      </c>
      <c r="Y533">
        <v>0</v>
      </c>
      <c r="Z533" t="s">
        <v>37</v>
      </c>
      <c r="AA533">
        <v>0</v>
      </c>
      <c r="AB533" t="s">
        <v>31</v>
      </c>
      <c r="AC533">
        <v>0</v>
      </c>
      <c r="AD533" t="s">
        <v>31</v>
      </c>
      <c r="AE533">
        <v>0</v>
      </c>
      <c r="AF533" t="s">
        <v>31</v>
      </c>
      <c r="AG533">
        <v>0</v>
      </c>
      <c r="AH533" t="s">
        <v>31</v>
      </c>
      <c r="AI533">
        <v>0</v>
      </c>
      <c r="AJ533" t="s">
        <v>31</v>
      </c>
      <c r="AK533">
        <v>0</v>
      </c>
      <c r="AL533" t="s">
        <v>31</v>
      </c>
      <c r="AM533">
        <v>0</v>
      </c>
      <c r="AN533" t="s">
        <v>31</v>
      </c>
      <c r="AO533">
        <v>0</v>
      </c>
      <c r="AP533" t="s">
        <v>31</v>
      </c>
      <c r="AQ533">
        <v>0</v>
      </c>
    </row>
    <row r="534" spans="1:43" x14ac:dyDescent="0.2">
      <c r="A534" t="s">
        <v>381</v>
      </c>
      <c r="B534" s="3">
        <v>44328</v>
      </c>
      <c r="C534">
        <v>97</v>
      </c>
      <c r="D534" t="s">
        <v>387</v>
      </c>
      <c r="E534" t="s">
        <v>38</v>
      </c>
      <c r="F534" s="9" t="s">
        <v>39</v>
      </c>
      <c r="G534" t="s">
        <v>26</v>
      </c>
      <c r="H534" t="s">
        <v>27</v>
      </c>
      <c r="I534" t="s">
        <v>28</v>
      </c>
      <c r="J534" t="s">
        <v>29</v>
      </c>
      <c r="K534" t="s">
        <v>30</v>
      </c>
      <c r="L534" t="s">
        <v>29</v>
      </c>
      <c r="M534" t="s">
        <v>30</v>
      </c>
      <c r="N534" t="s">
        <v>27</v>
      </c>
      <c r="O534" t="s">
        <v>28</v>
      </c>
      <c r="P534" t="s">
        <v>29</v>
      </c>
      <c r="Q534" t="s">
        <v>30</v>
      </c>
      <c r="R534" s="1">
        <v>44328.553032407406</v>
      </c>
      <c r="S534" s="1">
        <v>44328.553182870368</v>
      </c>
      <c r="T534">
        <v>0</v>
      </c>
      <c r="U534">
        <v>2</v>
      </c>
      <c r="V534" s="2">
        <v>0</v>
      </c>
      <c r="W534">
        <v>0</v>
      </c>
      <c r="X534" t="s">
        <v>37</v>
      </c>
      <c r="Y534">
        <v>0</v>
      </c>
      <c r="Z534" t="s">
        <v>37</v>
      </c>
      <c r="AA534">
        <v>0</v>
      </c>
      <c r="AB534" t="s">
        <v>44</v>
      </c>
      <c r="AC534">
        <v>0</v>
      </c>
      <c r="AD534" t="s">
        <v>44</v>
      </c>
      <c r="AE534">
        <v>0</v>
      </c>
      <c r="AF534" t="s">
        <v>37</v>
      </c>
      <c r="AG534">
        <v>0</v>
      </c>
      <c r="AH534" t="s">
        <v>31</v>
      </c>
      <c r="AI534">
        <v>0</v>
      </c>
      <c r="AJ534" t="s">
        <v>31</v>
      </c>
      <c r="AK534">
        <v>0</v>
      </c>
      <c r="AL534" t="s">
        <v>31</v>
      </c>
      <c r="AM534">
        <v>0</v>
      </c>
      <c r="AN534" t="s">
        <v>31</v>
      </c>
      <c r="AO534">
        <v>0</v>
      </c>
      <c r="AP534" t="s">
        <v>31</v>
      </c>
      <c r="AQ534">
        <v>0</v>
      </c>
    </row>
    <row r="535" spans="1:43" x14ac:dyDescent="0.2">
      <c r="A535" t="s">
        <v>381</v>
      </c>
      <c r="B535" s="3">
        <v>44334</v>
      </c>
      <c r="C535">
        <v>99</v>
      </c>
      <c r="D535" t="s">
        <v>385</v>
      </c>
      <c r="E535" t="s">
        <v>38</v>
      </c>
      <c r="F535" s="9" t="s">
        <v>39</v>
      </c>
      <c r="G535" t="s">
        <v>26</v>
      </c>
      <c r="H535" t="s">
        <v>27</v>
      </c>
      <c r="I535" t="s">
        <v>28</v>
      </c>
      <c r="J535" t="s">
        <v>29</v>
      </c>
      <c r="K535" t="s">
        <v>30</v>
      </c>
      <c r="L535" t="s">
        <v>29</v>
      </c>
      <c r="M535" t="s">
        <v>30</v>
      </c>
      <c r="N535" t="s">
        <v>27</v>
      </c>
      <c r="O535" t="s">
        <v>28</v>
      </c>
      <c r="P535" t="s">
        <v>29</v>
      </c>
      <c r="Q535" t="s">
        <v>30</v>
      </c>
      <c r="R535" s="1">
        <v>44334.554212962961</v>
      </c>
      <c r="S535" s="1">
        <v>44334.554236111115</v>
      </c>
      <c r="T535">
        <v>0</v>
      </c>
      <c r="U535">
        <v>0</v>
      </c>
      <c r="V535" s="2">
        <v>0</v>
      </c>
      <c r="W535">
        <v>0</v>
      </c>
      <c r="X535" t="s">
        <v>37</v>
      </c>
      <c r="Y535">
        <v>0</v>
      </c>
      <c r="Z535" t="s">
        <v>37</v>
      </c>
      <c r="AA535">
        <v>0</v>
      </c>
      <c r="AB535" t="s">
        <v>37</v>
      </c>
      <c r="AC535">
        <v>0</v>
      </c>
      <c r="AD535" t="s">
        <v>37</v>
      </c>
      <c r="AE535">
        <v>0</v>
      </c>
      <c r="AF535" t="s">
        <v>31</v>
      </c>
      <c r="AG535">
        <v>0</v>
      </c>
      <c r="AH535" t="s">
        <v>31</v>
      </c>
      <c r="AI535">
        <v>0</v>
      </c>
      <c r="AJ535" t="s">
        <v>31</v>
      </c>
      <c r="AK535">
        <v>0</v>
      </c>
      <c r="AL535" t="s">
        <v>31</v>
      </c>
      <c r="AM535">
        <v>0</v>
      </c>
      <c r="AN535" t="s">
        <v>31</v>
      </c>
      <c r="AO535">
        <v>0</v>
      </c>
      <c r="AP535" t="s">
        <v>31</v>
      </c>
      <c r="AQ535">
        <v>0</v>
      </c>
    </row>
    <row r="536" spans="1:43" x14ac:dyDescent="0.2">
      <c r="A536" t="s">
        <v>381</v>
      </c>
      <c r="B536" s="3">
        <v>44335</v>
      </c>
      <c r="C536">
        <v>100</v>
      </c>
      <c r="D536" t="s">
        <v>398</v>
      </c>
      <c r="E536" t="s">
        <v>38</v>
      </c>
      <c r="F536" s="9" t="s">
        <v>39</v>
      </c>
      <c r="G536" t="s">
        <v>26</v>
      </c>
      <c r="H536" t="s">
        <v>27</v>
      </c>
      <c r="I536" t="s">
        <v>28</v>
      </c>
      <c r="J536" t="s">
        <v>29</v>
      </c>
      <c r="K536" t="s">
        <v>30</v>
      </c>
      <c r="L536" t="s">
        <v>29</v>
      </c>
      <c r="M536" t="s">
        <v>30</v>
      </c>
      <c r="N536" t="s">
        <v>155</v>
      </c>
      <c r="O536" t="s">
        <v>156</v>
      </c>
      <c r="P536" t="s">
        <v>29</v>
      </c>
      <c r="Q536" t="s">
        <v>30</v>
      </c>
      <c r="R536" s="1">
        <v>44335.4140625</v>
      </c>
      <c r="S536" s="1">
        <v>44335.415000000001</v>
      </c>
      <c r="T536">
        <v>0</v>
      </c>
      <c r="U536">
        <v>3</v>
      </c>
      <c r="V536" s="2">
        <v>0</v>
      </c>
      <c r="W536">
        <v>0</v>
      </c>
      <c r="X536" t="s">
        <v>44</v>
      </c>
      <c r="Y536">
        <v>0</v>
      </c>
      <c r="Z536" t="s">
        <v>37</v>
      </c>
      <c r="AA536">
        <v>0</v>
      </c>
      <c r="AB536" t="s">
        <v>37</v>
      </c>
      <c r="AC536">
        <v>0</v>
      </c>
      <c r="AD536" t="s">
        <v>37</v>
      </c>
      <c r="AE536">
        <v>0</v>
      </c>
      <c r="AF536" t="s">
        <v>44</v>
      </c>
      <c r="AG536">
        <v>0</v>
      </c>
      <c r="AH536" t="s">
        <v>44</v>
      </c>
      <c r="AI536">
        <v>0</v>
      </c>
      <c r="AJ536" t="s">
        <v>37</v>
      </c>
      <c r="AK536">
        <v>0</v>
      </c>
      <c r="AL536" t="s">
        <v>31</v>
      </c>
      <c r="AM536">
        <v>0</v>
      </c>
      <c r="AN536" t="s">
        <v>31</v>
      </c>
      <c r="AO536">
        <v>0</v>
      </c>
      <c r="AP536" t="s">
        <v>31</v>
      </c>
      <c r="AQ536">
        <v>0</v>
      </c>
    </row>
    <row r="537" spans="1:43" x14ac:dyDescent="0.2">
      <c r="A537" t="s">
        <v>381</v>
      </c>
      <c r="B537" s="3">
        <v>44336</v>
      </c>
      <c r="C537">
        <v>103</v>
      </c>
      <c r="D537" t="s">
        <v>385</v>
      </c>
      <c r="E537" t="s">
        <v>38</v>
      </c>
      <c r="F537" s="9" t="s">
        <v>39</v>
      </c>
      <c r="G537" t="s">
        <v>26</v>
      </c>
      <c r="H537" t="s">
        <v>155</v>
      </c>
      <c r="I537" t="s">
        <v>156</v>
      </c>
      <c r="J537" t="s">
        <v>29</v>
      </c>
      <c r="K537" t="s">
        <v>30</v>
      </c>
      <c r="L537" t="s">
        <v>162</v>
      </c>
      <c r="M537" t="s">
        <v>47</v>
      </c>
      <c r="N537" t="s">
        <v>27</v>
      </c>
      <c r="O537" t="s">
        <v>28</v>
      </c>
      <c r="P537" t="s">
        <v>43</v>
      </c>
      <c r="Q537" t="s">
        <v>44</v>
      </c>
      <c r="R537" s="1">
        <v>44336.545370370368</v>
      </c>
      <c r="S537" s="1">
        <v>44336.545578703706</v>
      </c>
      <c r="T537">
        <v>1</v>
      </c>
      <c r="U537">
        <v>1</v>
      </c>
      <c r="V537" s="2">
        <v>1</v>
      </c>
      <c r="W537">
        <v>0</v>
      </c>
      <c r="X537" t="s">
        <v>30</v>
      </c>
      <c r="Y537">
        <v>0</v>
      </c>
      <c r="Z537" t="s">
        <v>31</v>
      </c>
      <c r="AA537">
        <v>0</v>
      </c>
      <c r="AB537" t="s">
        <v>31</v>
      </c>
      <c r="AC537">
        <v>0</v>
      </c>
      <c r="AD537" t="s">
        <v>31</v>
      </c>
      <c r="AE537">
        <v>0</v>
      </c>
      <c r="AF537" t="s">
        <v>31</v>
      </c>
      <c r="AG537">
        <v>0</v>
      </c>
      <c r="AH537" t="s">
        <v>31</v>
      </c>
      <c r="AI537">
        <v>0</v>
      </c>
      <c r="AJ537" t="s">
        <v>31</v>
      </c>
      <c r="AK537">
        <v>0</v>
      </c>
      <c r="AL537" t="s">
        <v>31</v>
      </c>
      <c r="AM537">
        <v>0</v>
      </c>
      <c r="AN537" t="s">
        <v>31</v>
      </c>
      <c r="AO537">
        <v>0</v>
      </c>
      <c r="AP537" t="s">
        <v>31</v>
      </c>
      <c r="AQ537">
        <v>0</v>
      </c>
    </row>
    <row r="538" spans="1:43" x14ac:dyDescent="0.2">
      <c r="A538" t="s">
        <v>381</v>
      </c>
      <c r="B538" s="3">
        <v>44337</v>
      </c>
      <c r="C538">
        <v>104</v>
      </c>
      <c r="D538" t="s">
        <v>390</v>
      </c>
      <c r="E538" t="s">
        <v>38</v>
      </c>
      <c r="F538" s="9" t="s">
        <v>39</v>
      </c>
      <c r="G538" t="s">
        <v>26</v>
      </c>
      <c r="H538" t="s">
        <v>27</v>
      </c>
      <c r="I538" t="s">
        <v>28</v>
      </c>
      <c r="J538" t="s">
        <v>43</v>
      </c>
      <c r="K538" t="s">
        <v>44</v>
      </c>
      <c r="L538" t="s">
        <v>29</v>
      </c>
      <c r="M538" t="s">
        <v>30</v>
      </c>
      <c r="N538" t="s">
        <v>27</v>
      </c>
      <c r="O538" t="s">
        <v>28</v>
      </c>
      <c r="P538" t="s">
        <v>43</v>
      </c>
      <c r="Q538" t="s">
        <v>44</v>
      </c>
      <c r="R538" s="1">
        <v>44337.40179398148</v>
      </c>
      <c r="S538" s="1">
        <v>44337.40185185185</v>
      </c>
      <c r="T538">
        <v>0</v>
      </c>
      <c r="U538">
        <v>1</v>
      </c>
      <c r="V538" s="2">
        <v>0</v>
      </c>
      <c r="W538">
        <v>0</v>
      </c>
      <c r="X538" t="s">
        <v>44</v>
      </c>
      <c r="Y538">
        <v>0</v>
      </c>
      <c r="Z538" t="s">
        <v>37</v>
      </c>
      <c r="AA538">
        <v>0</v>
      </c>
      <c r="AB538" t="s">
        <v>37</v>
      </c>
      <c r="AC538">
        <v>0</v>
      </c>
      <c r="AD538" t="s">
        <v>37</v>
      </c>
      <c r="AE538">
        <v>0</v>
      </c>
      <c r="AF538" t="s">
        <v>31</v>
      </c>
      <c r="AG538">
        <v>0</v>
      </c>
      <c r="AH538" t="s">
        <v>31</v>
      </c>
      <c r="AI538">
        <v>0</v>
      </c>
      <c r="AJ538" t="s">
        <v>31</v>
      </c>
      <c r="AK538">
        <v>0</v>
      </c>
      <c r="AL538" t="s">
        <v>31</v>
      </c>
      <c r="AM538">
        <v>0</v>
      </c>
      <c r="AN538" t="s">
        <v>31</v>
      </c>
      <c r="AO538">
        <v>0</v>
      </c>
      <c r="AP538" t="s">
        <v>31</v>
      </c>
      <c r="AQ538">
        <v>0</v>
      </c>
    </row>
    <row r="539" spans="1:43" x14ac:dyDescent="0.2">
      <c r="A539" t="s">
        <v>381</v>
      </c>
      <c r="B539" s="3">
        <v>44337</v>
      </c>
      <c r="C539">
        <v>105</v>
      </c>
      <c r="D539" t="s">
        <v>405</v>
      </c>
      <c r="E539" t="s">
        <v>38</v>
      </c>
      <c r="F539" s="9" t="s">
        <v>39</v>
      </c>
      <c r="G539" t="s">
        <v>26</v>
      </c>
      <c r="H539" t="s">
        <v>27</v>
      </c>
      <c r="I539" t="s">
        <v>28</v>
      </c>
      <c r="J539" t="s">
        <v>43</v>
      </c>
      <c r="K539" t="s">
        <v>44</v>
      </c>
      <c r="L539" t="s">
        <v>29</v>
      </c>
      <c r="M539" t="s">
        <v>30</v>
      </c>
      <c r="N539" t="s">
        <v>27</v>
      </c>
      <c r="O539" t="s">
        <v>28</v>
      </c>
      <c r="P539" t="s">
        <v>43</v>
      </c>
      <c r="Q539" t="s">
        <v>44</v>
      </c>
      <c r="R539" s="1">
        <v>44337.62159722222</v>
      </c>
      <c r="S539" s="1">
        <v>44337.621840277781</v>
      </c>
      <c r="T539">
        <v>0</v>
      </c>
      <c r="U539">
        <v>0</v>
      </c>
      <c r="V539" s="2">
        <v>0</v>
      </c>
      <c r="W539">
        <v>0</v>
      </c>
      <c r="X539" t="s">
        <v>37</v>
      </c>
      <c r="Y539">
        <v>0</v>
      </c>
      <c r="Z539" t="s">
        <v>37</v>
      </c>
      <c r="AA539">
        <v>0</v>
      </c>
      <c r="AB539" t="s">
        <v>37</v>
      </c>
      <c r="AC539">
        <v>0</v>
      </c>
      <c r="AD539" t="s">
        <v>31</v>
      </c>
      <c r="AE539">
        <v>0</v>
      </c>
      <c r="AF539" t="s">
        <v>31</v>
      </c>
      <c r="AG539">
        <v>0</v>
      </c>
      <c r="AH539" t="s">
        <v>31</v>
      </c>
      <c r="AI539">
        <v>0</v>
      </c>
      <c r="AJ539" t="s">
        <v>31</v>
      </c>
      <c r="AK539">
        <v>0</v>
      </c>
      <c r="AL539" t="s">
        <v>31</v>
      </c>
      <c r="AM539">
        <v>0</v>
      </c>
      <c r="AN539" t="s">
        <v>31</v>
      </c>
      <c r="AO539">
        <v>0</v>
      </c>
      <c r="AP539" t="s">
        <v>31</v>
      </c>
      <c r="AQ539">
        <v>0</v>
      </c>
    </row>
    <row r="540" spans="1:43" x14ac:dyDescent="0.2">
      <c r="A540" t="s">
        <v>381</v>
      </c>
      <c r="B540" s="3">
        <v>44338</v>
      </c>
      <c r="C540">
        <v>106</v>
      </c>
      <c r="D540" t="s">
        <v>408</v>
      </c>
      <c r="E540" t="s">
        <v>38</v>
      </c>
      <c r="F540" s="9" t="s">
        <v>39</v>
      </c>
      <c r="G540" t="s">
        <v>26</v>
      </c>
      <c r="H540" t="s">
        <v>27</v>
      </c>
      <c r="I540" t="s">
        <v>28</v>
      </c>
      <c r="J540" t="s">
        <v>43</v>
      </c>
      <c r="K540" t="s">
        <v>44</v>
      </c>
      <c r="L540" t="s">
        <v>29</v>
      </c>
      <c r="M540" t="s">
        <v>30</v>
      </c>
      <c r="N540" t="s">
        <v>27</v>
      </c>
      <c r="O540" t="s">
        <v>28</v>
      </c>
      <c r="P540" t="s">
        <v>43</v>
      </c>
      <c r="Q540" t="s">
        <v>44</v>
      </c>
      <c r="R540" s="1">
        <v>44338.39607638889</v>
      </c>
      <c r="S540" s="1">
        <v>44338.39607638889</v>
      </c>
      <c r="T540">
        <v>0</v>
      </c>
      <c r="U540">
        <v>0</v>
      </c>
      <c r="V540" s="2">
        <v>0</v>
      </c>
      <c r="W540">
        <v>0</v>
      </c>
      <c r="X540" t="s">
        <v>37</v>
      </c>
      <c r="Y540">
        <v>0</v>
      </c>
      <c r="Z540" t="s">
        <v>31</v>
      </c>
      <c r="AA540">
        <v>0</v>
      </c>
      <c r="AB540" t="s">
        <v>31</v>
      </c>
      <c r="AC540">
        <v>0</v>
      </c>
      <c r="AD540" t="s">
        <v>31</v>
      </c>
      <c r="AE540">
        <v>0</v>
      </c>
      <c r="AF540" t="s">
        <v>31</v>
      </c>
      <c r="AG540">
        <v>0</v>
      </c>
      <c r="AH540" t="s">
        <v>31</v>
      </c>
      <c r="AI540">
        <v>0</v>
      </c>
      <c r="AJ540" t="s">
        <v>31</v>
      </c>
      <c r="AK540">
        <v>0</v>
      </c>
      <c r="AL540" t="s">
        <v>31</v>
      </c>
      <c r="AM540">
        <v>0</v>
      </c>
      <c r="AN540" t="s">
        <v>31</v>
      </c>
      <c r="AO540">
        <v>0</v>
      </c>
      <c r="AP540" t="s">
        <v>31</v>
      </c>
      <c r="AQ540">
        <v>0</v>
      </c>
    </row>
    <row r="541" spans="1:43" x14ac:dyDescent="0.2">
      <c r="A541" t="s">
        <v>381</v>
      </c>
      <c r="B541" s="3">
        <v>44338</v>
      </c>
      <c r="C541">
        <v>107</v>
      </c>
      <c r="D541" t="s">
        <v>392</v>
      </c>
      <c r="E541" t="s">
        <v>38</v>
      </c>
      <c r="F541" s="9" t="s">
        <v>39</v>
      </c>
      <c r="G541" t="s">
        <v>26</v>
      </c>
      <c r="H541" t="s">
        <v>27</v>
      </c>
      <c r="I541" t="s">
        <v>28</v>
      </c>
      <c r="J541" t="s">
        <v>43</v>
      </c>
      <c r="K541" t="s">
        <v>44</v>
      </c>
      <c r="L541" t="s">
        <v>29</v>
      </c>
      <c r="M541" t="s">
        <v>30</v>
      </c>
      <c r="N541" t="s">
        <v>155</v>
      </c>
      <c r="O541" t="s">
        <v>156</v>
      </c>
      <c r="P541" t="s">
        <v>29</v>
      </c>
      <c r="Q541" t="s">
        <v>30</v>
      </c>
      <c r="R541" s="1">
        <v>44338.542766203704</v>
      </c>
      <c r="S541" s="1">
        <v>44338.543807870374</v>
      </c>
      <c r="T541">
        <v>0</v>
      </c>
      <c r="U541">
        <v>1</v>
      </c>
      <c r="V541" s="2">
        <v>0</v>
      </c>
      <c r="W541">
        <v>0</v>
      </c>
      <c r="X541" t="s">
        <v>37</v>
      </c>
      <c r="Y541">
        <v>0</v>
      </c>
      <c r="Z541" t="s">
        <v>44</v>
      </c>
      <c r="AA541">
        <v>0</v>
      </c>
      <c r="AB541" t="s">
        <v>37</v>
      </c>
      <c r="AC541">
        <v>0</v>
      </c>
      <c r="AD541" t="s">
        <v>31</v>
      </c>
      <c r="AE541">
        <v>0</v>
      </c>
      <c r="AF541" t="s">
        <v>31</v>
      </c>
      <c r="AG541">
        <v>0</v>
      </c>
      <c r="AH541" t="s">
        <v>31</v>
      </c>
      <c r="AI541">
        <v>0</v>
      </c>
      <c r="AJ541" t="s">
        <v>31</v>
      </c>
      <c r="AK541">
        <v>0</v>
      </c>
      <c r="AL541" t="s">
        <v>31</v>
      </c>
      <c r="AM541">
        <v>0</v>
      </c>
      <c r="AN541" t="s">
        <v>31</v>
      </c>
      <c r="AO541">
        <v>0</v>
      </c>
      <c r="AP541" t="s">
        <v>31</v>
      </c>
      <c r="AQ541">
        <v>0</v>
      </c>
    </row>
    <row r="542" spans="1:43" x14ac:dyDescent="0.2">
      <c r="A542" t="s">
        <v>381</v>
      </c>
      <c r="B542" s="3">
        <v>44340</v>
      </c>
      <c r="C542">
        <v>108</v>
      </c>
      <c r="D542" t="s">
        <v>393</v>
      </c>
      <c r="E542" t="s">
        <v>38</v>
      </c>
      <c r="F542" s="9" t="s">
        <v>39</v>
      </c>
      <c r="G542" t="s">
        <v>26</v>
      </c>
      <c r="H542" t="s">
        <v>155</v>
      </c>
      <c r="I542" t="s">
        <v>156</v>
      </c>
      <c r="J542" t="s">
        <v>29</v>
      </c>
      <c r="K542" t="s">
        <v>30</v>
      </c>
      <c r="L542" t="s">
        <v>162</v>
      </c>
      <c r="M542" t="s">
        <v>47</v>
      </c>
      <c r="N542" t="s">
        <v>27</v>
      </c>
      <c r="O542" t="s">
        <v>28</v>
      </c>
      <c r="P542" t="s">
        <v>43</v>
      </c>
      <c r="Q542" t="s">
        <v>44</v>
      </c>
      <c r="R542" s="1">
        <v>44340.415902777779</v>
      </c>
      <c r="S542" s="1">
        <v>44340.416724537034</v>
      </c>
      <c r="T542">
        <v>6</v>
      </c>
      <c r="U542">
        <v>6</v>
      </c>
      <c r="V542" s="2">
        <v>1</v>
      </c>
      <c r="W542">
        <v>0</v>
      </c>
      <c r="X542" t="s">
        <v>47</v>
      </c>
      <c r="Y542">
        <v>0</v>
      </c>
      <c r="Z542" t="s">
        <v>47</v>
      </c>
      <c r="AA542">
        <v>0</v>
      </c>
      <c r="AB542" t="s">
        <v>47</v>
      </c>
      <c r="AC542">
        <v>0</v>
      </c>
      <c r="AD542" t="s">
        <v>47</v>
      </c>
      <c r="AE542">
        <v>0</v>
      </c>
      <c r="AF542" t="s">
        <v>47</v>
      </c>
      <c r="AG542">
        <v>0</v>
      </c>
      <c r="AH542" t="s">
        <v>47</v>
      </c>
      <c r="AI542">
        <v>0</v>
      </c>
      <c r="AJ542" t="s">
        <v>31</v>
      </c>
      <c r="AK542">
        <v>0</v>
      </c>
      <c r="AL542" t="s">
        <v>31</v>
      </c>
      <c r="AM542">
        <v>0</v>
      </c>
      <c r="AN542" t="s">
        <v>31</v>
      </c>
      <c r="AO542">
        <v>0</v>
      </c>
      <c r="AP542" t="s">
        <v>31</v>
      </c>
      <c r="AQ542">
        <v>0</v>
      </c>
    </row>
    <row r="543" spans="1:43" x14ac:dyDescent="0.2">
      <c r="A543" t="s">
        <v>381</v>
      </c>
      <c r="B543" s="3">
        <v>44340</v>
      </c>
      <c r="C543">
        <v>109</v>
      </c>
      <c r="D543" t="s">
        <v>383</v>
      </c>
      <c r="E543" t="s">
        <v>38</v>
      </c>
      <c r="F543" s="9" t="s">
        <v>39</v>
      </c>
      <c r="G543" t="s">
        <v>26</v>
      </c>
      <c r="H543" t="s">
        <v>27</v>
      </c>
      <c r="I543" t="s">
        <v>28</v>
      </c>
      <c r="J543" t="s">
        <v>43</v>
      </c>
      <c r="K543" t="s">
        <v>44</v>
      </c>
      <c r="L543" t="s">
        <v>29</v>
      </c>
      <c r="M543" t="s">
        <v>30</v>
      </c>
      <c r="N543" t="s">
        <v>27</v>
      </c>
      <c r="O543" t="s">
        <v>28</v>
      </c>
      <c r="P543" t="s">
        <v>43</v>
      </c>
      <c r="Q543" t="s">
        <v>44</v>
      </c>
      <c r="R543" s="1">
        <v>44340.557650462964</v>
      </c>
      <c r="S543" s="1">
        <v>44340.557812500003</v>
      </c>
      <c r="T543">
        <v>0</v>
      </c>
      <c r="U543">
        <v>2</v>
      </c>
      <c r="V543" s="2">
        <v>0</v>
      </c>
      <c r="W543">
        <v>0</v>
      </c>
      <c r="X543" t="s">
        <v>44</v>
      </c>
      <c r="Y543">
        <v>0</v>
      </c>
      <c r="Z543" t="s">
        <v>44</v>
      </c>
      <c r="AA543">
        <v>0</v>
      </c>
      <c r="AB543" t="s">
        <v>37</v>
      </c>
      <c r="AC543">
        <v>0</v>
      </c>
      <c r="AD543" t="s">
        <v>31</v>
      </c>
      <c r="AE543">
        <v>0</v>
      </c>
      <c r="AF543" t="s">
        <v>31</v>
      </c>
      <c r="AG543">
        <v>0</v>
      </c>
      <c r="AH543" t="s">
        <v>31</v>
      </c>
      <c r="AI543">
        <v>0</v>
      </c>
      <c r="AJ543" t="s">
        <v>31</v>
      </c>
      <c r="AK543">
        <v>0</v>
      </c>
      <c r="AL543" t="s">
        <v>31</v>
      </c>
      <c r="AM543">
        <v>0</v>
      </c>
      <c r="AN543" t="s">
        <v>31</v>
      </c>
      <c r="AO543">
        <v>0</v>
      </c>
      <c r="AP543" t="s">
        <v>31</v>
      </c>
      <c r="AQ543">
        <v>0</v>
      </c>
    </row>
    <row r="544" spans="1:43" x14ac:dyDescent="0.2">
      <c r="A544" t="s">
        <v>381</v>
      </c>
      <c r="B544" s="3">
        <v>44341</v>
      </c>
      <c r="C544">
        <v>110</v>
      </c>
      <c r="D544" t="s">
        <v>383</v>
      </c>
      <c r="E544" t="s">
        <v>38</v>
      </c>
      <c r="F544" s="9" t="s">
        <v>39</v>
      </c>
      <c r="G544" t="s">
        <v>26</v>
      </c>
      <c r="H544" t="s">
        <v>27</v>
      </c>
      <c r="I544" t="s">
        <v>28</v>
      </c>
      <c r="J544" t="s">
        <v>43</v>
      </c>
      <c r="K544" t="s">
        <v>44</v>
      </c>
      <c r="L544" t="s">
        <v>29</v>
      </c>
      <c r="M544" t="s">
        <v>30</v>
      </c>
      <c r="N544" t="s">
        <v>27</v>
      </c>
      <c r="O544" t="s">
        <v>28</v>
      </c>
      <c r="P544" t="s">
        <v>43</v>
      </c>
      <c r="Q544" t="s">
        <v>44</v>
      </c>
      <c r="R544" s="1">
        <v>44341.406493055554</v>
      </c>
      <c r="S544" s="1">
        <v>44341.406678240739</v>
      </c>
      <c r="T544">
        <v>1</v>
      </c>
      <c r="U544">
        <v>1</v>
      </c>
      <c r="V544" s="2">
        <v>1</v>
      </c>
      <c r="W544">
        <v>0</v>
      </c>
      <c r="X544" t="s">
        <v>37</v>
      </c>
      <c r="Y544">
        <v>0</v>
      </c>
      <c r="Z544" t="s">
        <v>30</v>
      </c>
      <c r="AA544">
        <v>0</v>
      </c>
      <c r="AB544" t="s">
        <v>31</v>
      </c>
      <c r="AC544">
        <v>0</v>
      </c>
      <c r="AD544" t="s">
        <v>31</v>
      </c>
      <c r="AE544">
        <v>0</v>
      </c>
      <c r="AF544" t="s">
        <v>31</v>
      </c>
      <c r="AG544">
        <v>0</v>
      </c>
      <c r="AH544" t="s">
        <v>31</v>
      </c>
      <c r="AI544">
        <v>0</v>
      </c>
      <c r="AJ544" t="s">
        <v>31</v>
      </c>
      <c r="AK544">
        <v>0</v>
      </c>
      <c r="AL544" t="s">
        <v>31</v>
      </c>
      <c r="AM544">
        <v>0</v>
      </c>
      <c r="AN544" t="s">
        <v>31</v>
      </c>
      <c r="AO544">
        <v>0</v>
      </c>
      <c r="AP544" t="s">
        <v>31</v>
      </c>
      <c r="AQ544">
        <v>0</v>
      </c>
    </row>
    <row r="545" spans="1:43" x14ac:dyDescent="0.2">
      <c r="A545" t="s">
        <v>381</v>
      </c>
      <c r="B545" s="3">
        <v>44341</v>
      </c>
      <c r="C545">
        <v>111</v>
      </c>
      <c r="D545" t="s">
        <v>385</v>
      </c>
      <c r="E545" t="s">
        <v>38</v>
      </c>
      <c r="F545" s="9" t="s">
        <v>39</v>
      </c>
      <c r="G545" t="s">
        <v>26</v>
      </c>
      <c r="H545" t="s">
        <v>27</v>
      </c>
      <c r="I545" t="s">
        <v>28</v>
      </c>
      <c r="J545" t="s">
        <v>43</v>
      </c>
      <c r="K545" t="s">
        <v>44</v>
      </c>
      <c r="L545" t="s">
        <v>29</v>
      </c>
      <c r="M545" t="s">
        <v>30</v>
      </c>
      <c r="N545" t="s">
        <v>27</v>
      </c>
      <c r="O545" t="s">
        <v>28</v>
      </c>
      <c r="P545" t="s">
        <v>43</v>
      </c>
      <c r="Q545" t="s">
        <v>44</v>
      </c>
      <c r="R545" s="1">
        <v>44341.563483796293</v>
      </c>
      <c r="S545" s="1">
        <v>44341.564131944448</v>
      </c>
      <c r="T545">
        <v>1</v>
      </c>
      <c r="U545">
        <v>3</v>
      </c>
      <c r="V545" s="2">
        <v>0.33</v>
      </c>
      <c r="W545">
        <v>0</v>
      </c>
      <c r="X545" t="s">
        <v>44</v>
      </c>
      <c r="Y545">
        <v>0</v>
      </c>
      <c r="Z545" t="s">
        <v>44</v>
      </c>
      <c r="AA545">
        <v>0</v>
      </c>
      <c r="AB545" t="s">
        <v>30</v>
      </c>
      <c r="AC545">
        <v>0</v>
      </c>
      <c r="AD545" t="s">
        <v>31</v>
      </c>
      <c r="AE545">
        <v>0</v>
      </c>
      <c r="AF545" t="s">
        <v>31</v>
      </c>
      <c r="AG545">
        <v>0</v>
      </c>
      <c r="AH545" t="s">
        <v>31</v>
      </c>
      <c r="AI545">
        <v>0</v>
      </c>
      <c r="AJ545" t="s">
        <v>31</v>
      </c>
      <c r="AK545">
        <v>0</v>
      </c>
      <c r="AL545" t="s">
        <v>31</v>
      </c>
      <c r="AM545">
        <v>0</v>
      </c>
      <c r="AN545" t="s">
        <v>31</v>
      </c>
      <c r="AO545">
        <v>0</v>
      </c>
      <c r="AP545" t="s">
        <v>31</v>
      </c>
      <c r="AQ545">
        <v>0</v>
      </c>
    </row>
    <row r="546" spans="1:43" x14ac:dyDescent="0.2">
      <c r="A546" t="s">
        <v>381</v>
      </c>
      <c r="B546" s="3">
        <v>44342</v>
      </c>
      <c r="C546">
        <v>112</v>
      </c>
      <c r="D546" t="s">
        <v>394</v>
      </c>
      <c r="E546" t="s">
        <v>38</v>
      </c>
      <c r="F546" s="9" t="s">
        <v>39</v>
      </c>
      <c r="G546" t="s">
        <v>26</v>
      </c>
      <c r="H546" t="s">
        <v>27</v>
      </c>
      <c r="I546" t="s">
        <v>28</v>
      </c>
      <c r="J546" t="s">
        <v>43</v>
      </c>
      <c r="K546" t="s">
        <v>44</v>
      </c>
      <c r="L546" t="s">
        <v>29</v>
      </c>
      <c r="M546" t="s">
        <v>30</v>
      </c>
      <c r="N546" t="s">
        <v>27</v>
      </c>
      <c r="O546" t="s">
        <v>28</v>
      </c>
      <c r="P546" t="s">
        <v>43</v>
      </c>
      <c r="Q546" t="s">
        <v>44</v>
      </c>
      <c r="R546" s="1">
        <v>44342.401805555557</v>
      </c>
      <c r="S546" s="1">
        <v>44342.401805555557</v>
      </c>
      <c r="T546">
        <v>0</v>
      </c>
      <c r="U546">
        <v>0</v>
      </c>
      <c r="V546" s="2">
        <v>0</v>
      </c>
      <c r="W546">
        <v>0</v>
      </c>
      <c r="X546" t="s">
        <v>37</v>
      </c>
      <c r="Y546">
        <v>0</v>
      </c>
      <c r="Z546" t="s">
        <v>31</v>
      </c>
      <c r="AA546">
        <v>0</v>
      </c>
      <c r="AB546" t="s">
        <v>31</v>
      </c>
      <c r="AC546">
        <v>0</v>
      </c>
      <c r="AD546" t="s">
        <v>31</v>
      </c>
      <c r="AE546">
        <v>0</v>
      </c>
      <c r="AF546" t="s">
        <v>31</v>
      </c>
      <c r="AG546">
        <v>0</v>
      </c>
      <c r="AH546" t="s">
        <v>31</v>
      </c>
      <c r="AI546">
        <v>0</v>
      </c>
      <c r="AJ546" t="s">
        <v>31</v>
      </c>
      <c r="AK546">
        <v>0</v>
      </c>
      <c r="AL546" t="s">
        <v>31</v>
      </c>
      <c r="AM546">
        <v>0</v>
      </c>
      <c r="AN546" t="s">
        <v>31</v>
      </c>
      <c r="AO546">
        <v>0</v>
      </c>
      <c r="AP546" t="s">
        <v>31</v>
      </c>
      <c r="AQ546">
        <v>0</v>
      </c>
    </row>
    <row r="547" spans="1:43" x14ac:dyDescent="0.2">
      <c r="A547" t="s">
        <v>381</v>
      </c>
      <c r="B547" s="3">
        <v>44342</v>
      </c>
      <c r="C547">
        <v>113</v>
      </c>
      <c r="D547" t="s">
        <v>383</v>
      </c>
      <c r="E547" t="s">
        <v>38</v>
      </c>
      <c r="F547" s="9" t="s">
        <v>39</v>
      </c>
      <c r="G547" t="s">
        <v>26</v>
      </c>
      <c r="H547" t="s">
        <v>27</v>
      </c>
      <c r="I547" t="s">
        <v>28</v>
      </c>
      <c r="J547" t="s">
        <v>43</v>
      </c>
      <c r="K547" t="s">
        <v>44</v>
      </c>
      <c r="L547" t="s">
        <v>29</v>
      </c>
      <c r="M547" t="s">
        <v>30</v>
      </c>
      <c r="N547" t="s">
        <v>155</v>
      </c>
      <c r="O547" t="s">
        <v>156</v>
      </c>
      <c r="P547" t="s">
        <v>29</v>
      </c>
      <c r="Q547" t="s">
        <v>30</v>
      </c>
      <c r="R547" s="1">
        <v>44342.555902777778</v>
      </c>
      <c r="S547" s="1">
        <v>44342.557650462964</v>
      </c>
      <c r="T547">
        <v>0</v>
      </c>
      <c r="U547">
        <v>5</v>
      </c>
      <c r="V547" s="2">
        <v>0</v>
      </c>
      <c r="W547">
        <v>0</v>
      </c>
      <c r="X547" t="s">
        <v>44</v>
      </c>
      <c r="Y547">
        <v>0</v>
      </c>
      <c r="Z547" t="s">
        <v>44</v>
      </c>
      <c r="AA547">
        <v>0</v>
      </c>
      <c r="AB547" t="s">
        <v>44</v>
      </c>
      <c r="AC547">
        <v>0</v>
      </c>
      <c r="AD547" t="s">
        <v>44</v>
      </c>
      <c r="AE547">
        <v>0</v>
      </c>
      <c r="AF547" t="s">
        <v>47</v>
      </c>
      <c r="AG547">
        <v>0</v>
      </c>
      <c r="AH547" t="s">
        <v>31</v>
      </c>
      <c r="AI547">
        <v>0</v>
      </c>
      <c r="AJ547" t="s">
        <v>31</v>
      </c>
      <c r="AK547">
        <v>0</v>
      </c>
      <c r="AL547" t="s">
        <v>31</v>
      </c>
      <c r="AM547">
        <v>0</v>
      </c>
      <c r="AN547" t="s">
        <v>31</v>
      </c>
      <c r="AO547">
        <v>0</v>
      </c>
      <c r="AP547" t="s">
        <v>31</v>
      </c>
      <c r="AQ547">
        <v>0</v>
      </c>
    </row>
    <row r="548" spans="1:43" x14ac:dyDescent="0.2">
      <c r="A548" t="s">
        <v>381</v>
      </c>
      <c r="B548" s="3">
        <v>44344</v>
      </c>
      <c r="C548">
        <v>116</v>
      </c>
      <c r="D548" t="s">
        <v>390</v>
      </c>
      <c r="E548" t="s">
        <v>38</v>
      </c>
      <c r="F548" s="9" t="s">
        <v>39</v>
      </c>
      <c r="G548" t="s">
        <v>26</v>
      </c>
      <c r="H548" t="s">
        <v>155</v>
      </c>
      <c r="I548" t="s">
        <v>156</v>
      </c>
      <c r="J548" t="s">
        <v>29</v>
      </c>
      <c r="K548" t="s">
        <v>30</v>
      </c>
      <c r="L548" t="s">
        <v>162</v>
      </c>
      <c r="M548" t="s">
        <v>47</v>
      </c>
      <c r="N548" t="s">
        <v>27</v>
      </c>
      <c r="O548" t="s">
        <v>28</v>
      </c>
      <c r="P548" t="s">
        <v>43</v>
      </c>
      <c r="Q548" t="s">
        <v>44</v>
      </c>
      <c r="R548" s="1">
        <v>44344.412812499999</v>
      </c>
      <c r="S548" s="1">
        <v>44344.413344907407</v>
      </c>
      <c r="T548">
        <v>10</v>
      </c>
      <c r="U548">
        <v>10</v>
      </c>
      <c r="V548" s="2">
        <v>1</v>
      </c>
      <c r="W548">
        <v>0</v>
      </c>
      <c r="X548" t="s">
        <v>47</v>
      </c>
      <c r="Y548">
        <v>0</v>
      </c>
      <c r="Z548" t="s">
        <v>47</v>
      </c>
      <c r="AA548">
        <v>0</v>
      </c>
      <c r="AB548" t="s">
        <v>47</v>
      </c>
      <c r="AC548">
        <v>0</v>
      </c>
      <c r="AD548" t="s">
        <v>47</v>
      </c>
      <c r="AE548">
        <v>0</v>
      </c>
      <c r="AF548" t="s">
        <v>47</v>
      </c>
      <c r="AG548">
        <v>0</v>
      </c>
      <c r="AH548" t="s">
        <v>47</v>
      </c>
      <c r="AI548">
        <v>0</v>
      </c>
      <c r="AJ548" t="s">
        <v>47</v>
      </c>
      <c r="AK548">
        <v>0</v>
      </c>
      <c r="AL548" t="s">
        <v>47</v>
      </c>
      <c r="AM548">
        <v>0</v>
      </c>
      <c r="AN548" t="s">
        <v>47</v>
      </c>
      <c r="AO548">
        <v>0</v>
      </c>
      <c r="AP548" t="s">
        <v>47</v>
      </c>
      <c r="AQ548">
        <v>0</v>
      </c>
    </row>
    <row r="549" spans="1:43" x14ac:dyDescent="0.2">
      <c r="A549" t="s">
        <v>381</v>
      </c>
      <c r="B549" s="3">
        <v>44344</v>
      </c>
      <c r="C549">
        <v>117</v>
      </c>
      <c r="D549" t="s">
        <v>409</v>
      </c>
      <c r="E549" t="s">
        <v>38</v>
      </c>
      <c r="F549" s="9" t="s">
        <v>39</v>
      </c>
      <c r="G549" t="s">
        <v>26</v>
      </c>
      <c r="H549" t="s">
        <v>27</v>
      </c>
      <c r="I549" t="s">
        <v>28</v>
      </c>
      <c r="J549" t="s">
        <v>43</v>
      </c>
      <c r="K549" t="s">
        <v>44</v>
      </c>
      <c r="L549" t="s">
        <v>29</v>
      </c>
      <c r="M549" t="s">
        <v>30</v>
      </c>
      <c r="N549" t="s">
        <v>27</v>
      </c>
      <c r="O549" t="s">
        <v>28</v>
      </c>
      <c r="P549" t="s">
        <v>43</v>
      </c>
      <c r="Q549" t="s">
        <v>44</v>
      </c>
      <c r="R549" s="1">
        <v>44344.594560185185</v>
      </c>
      <c r="S549" s="1">
        <v>44344.596145833333</v>
      </c>
      <c r="T549">
        <v>1</v>
      </c>
      <c r="U549">
        <v>2</v>
      </c>
      <c r="V549" s="2">
        <v>0.5</v>
      </c>
      <c r="W549">
        <v>0</v>
      </c>
      <c r="X549" t="s">
        <v>44</v>
      </c>
      <c r="Y549">
        <v>0</v>
      </c>
      <c r="Z549" t="s">
        <v>30</v>
      </c>
      <c r="AA549">
        <v>0</v>
      </c>
      <c r="AB549" t="s">
        <v>31</v>
      </c>
      <c r="AC549">
        <v>0</v>
      </c>
      <c r="AD549" t="s">
        <v>31</v>
      </c>
      <c r="AE549">
        <v>0</v>
      </c>
      <c r="AF549" t="s">
        <v>31</v>
      </c>
      <c r="AG549">
        <v>0</v>
      </c>
      <c r="AH549" t="s">
        <v>31</v>
      </c>
      <c r="AI549">
        <v>0</v>
      </c>
      <c r="AJ549" t="s">
        <v>31</v>
      </c>
      <c r="AK549">
        <v>0</v>
      </c>
      <c r="AL549" t="s">
        <v>31</v>
      </c>
      <c r="AM549">
        <v>0</v>
      </c>
      <c r="AN549" t="s">
        <v>31</v>
      </c>
      <c r="AO549">
        <v>0</v>
      </c>
      <c r="AP549" t="s">
        <v>31</v>
      </c>
      <c r="AQ549">
        <v>0</v>
      </c>
    </row>
    <row r="550" spans="1:43" x14ac:dyDescent="0.2">
      <c r="A550" t="s">
        <v>381</v>
      </c>
      <c r="B550" s="3">
        <v>44348</v>
      </c>
      <c r="C550">
        <v>118</v>
      </c>
      <c r="D550" t="s">
        <v>396</v>
      </c>
      <c r="E550" t="s">
        <v>38</v>
      </c>
      <c r="F550" s="9" t="s">
        <v>39</v>
      </c>
      <c r="G550" t="s">
        <v>26</v>
      </c>
      <c r="H550" t="s">
        <v>27</v>
      </c>
      <c r="I550" t="s">
        <v>28</v>
      </c>
      <c r="J550" t="s">
        <v>43</v>
      </c>
      <c r="K550" t="s">
        <v>44</v>
      </c>
      <c r="L550" t="s">
        <v>29</v>
      </c>
      <c r="M550" t="s">
        <v>30</v>
      </c>
      <c r="N550" t="s">
        <v>27</v>
      </c>
      <c r="O550" t="s">
        <v>28</v>
      </c>
      <c r="P550" t="s">
        <v>43</v>
      </c>
      <c r="Q550" t="s">
        <v>44</v>
      </c>
      <c r="R550" s="1">
        <v>44348.425196759257</v>
      </c>
      <c r="S550" s="1">
        <v>44348.425219907411</v>
      </c>
      <c r="T550">
        <v>1</v>
      </c>
      <c r="U550">
        <v>1</v>
      </c>
      <c r="V550" s="2">
        <v>1</v>
      </c>
      <c r="W550">
        <v>0</v>
      </c>
      <c r="X550" t="s">
        <v>37</v>
      </c>
      <c r="Y550">
        <v>0</v>
      </c>
      <c r="Z550" t="s">
        <v>30</v>
      </c>
      <c r="AA550">
        <v>0</v>
      </c>
      <c r="AB550" t="s">
        <v>31</v>
      </c>
      <c r="AC550">
        <v>0</v>
      </c>
      <c r="AD550" t="s">
        <v>31</v>
      </c>
      <c r="AE550">
        <v>0</v>
      </c>
      <c r="AF550" t="s">
        <v>31</v>
      </c>
      <c r="AG550">
        <v>0</v>
      </c>
      <c r="AH550" t="s">
        <v>31</v>
      </c>
      <c r="AI550">
        <v>0</v>
      </c>
      <c r="AJ550" t="s">
        <v>31</v>
      </c>
      <c r="AK550">
        <v>0</v>
      </c>
      <c r="AL550" t="s">
        <v>31</v>
      </c>
      <c r="AM550">
        <v>0</v>
      </c>
      <c r="AN550" t="s">
        <v>31</v>
      </c>
      <c r="AO550">
        <v>0</v>
      </c>
      <c r="AP550" t="s">
        <v>31</v>
      </c>
      <c r="AQ550">
        <v>0</v>
      </c>
    </row>
    <row r="551" spans="1:43" x14ac:dyDescent="0.2">
      <c r="A551" t="s">
        <v>381</v>
      </c>
      <c r="B551" s="3">
        <v>44348</v>
      </c>
      <c r="C551">
        <v>119</v>
      </c>
      <c r="D551" t="s">
        <v>385</v>
      </c>
      <c r="E551" t="s">
        <v>38</v>
      </c>
      <c r="F551" s="9" t="s">
        <v>39</v>
      </c>
      <c r="G551" t="s">
        <v>26</v>
      </c>
      <c r="H551" t="s">
        <v>27</v>
      </c>
      <c r="I551" t="s">
        <v>28</v>
      </c>
      <c r="J551" t="s">
        <v>43</v>
      </c>
      <c r="K551" t="s">
        <v>44</v>
      </c>
      <c r="L551" t="s">
        <v>29</v>
      </c>
      <c r="M551" t="s">
        <v>30</v>
      </c>
      <c r="N551" t="s">
        <v>27</v>
      </c>
      <c r="O551" t="s">
        <v>28</v>
      </c>
      <c r="P551" t="s">
        <v>43</v>
      </c>
      <c r="Q551" t="s">
        <v>44</v>
      </c>
      <c r="R551" s="1">
        <v>44348.63003472222</v>
      </c>
      <c r="S551" s="1">
        <v>44348.630150462966</v>
      </c>
      <c r="T551">
        <v>1</v>
      </c>
      <c r="U551">
        <v>1</v>
      </c>
      <c r="V551" s="2">
        <v>1</v>
      </c>
      <c r="W551">
        <v>0</v>
      </c>
      <c r="X551" t="s">
        <v>37</v>
      </c>
      <c r="Y551">
        <v>0</v>
      </c>
      <c r="Z551" t="s">
        <v>30</v>
      </c>
      <c r="AA551">
        <v>0</v>
      </c>
      <c r="AB551" t="s">
        <v>31</v>
      </c>
      <c r="AC551">
        <v>0</v>
      </c>
      <c r="AD551" t="s">
        <v>31</v>
      </c>
      <c r="AE551">
        <v>0</v>
      </c>
      <c r="AF551" t="s">
        <v>31</v>
      </c>
      <c r="AG551">
        <v>0</v>
      </c>
      <c r="AH551" t="s">
        <v>31</v>
      </c>
      <c r="AI551">
        <v>0</v>
      </c>
      <c r="AJ551" t="s">
        <v>31</v>
      </c>
      <c r="AK551">
        <v>0</v>
      </c>
      <c r="AL551" t="s">
        <v>31</v>
      </c>
      <c r="AM551">
        <v>0</v>
      </c>
      <c r="AN551" t="s">
        <v>31</v>
      </c>
      <c r="AO551">
        <v>0</v>
      </c>
      <c r="AP551" t="s">
        <v>31</v>
      </c>
      <c r="AQ551">
        <v>0</v>
      </c>
    </row>
    <row r="552" spans="1:43" x14ac:dyDescent="0.2">
      <c r="A552" t="s">
        <v>381</v>
      </c>
      <c r="B552" s="3">
        <v>44349</v>
      </c>
      <c r="C552">
        <v>120</v>
      </c>
      <c r="D552" t="s">
        <v>398</v>
      </c>
      <c r="E552" t="s">
        <v>38</v>
      </c>
      <c r="F552" s="9" t="s">
        <v>39</v>
      </c>
      <c r="G552" t="s">
        <v>26</v>
      </c>
      <c r="H552" t="s">
        <v>27</v>
      </c>
      <c r="I552" t="s">
        <v>28</v>
      </c>
      <c r="J552" t="s">
        <v>43</v>
      </c>
      <c r="K552" t="s">
        <v>44</v>
      </c>
      <c r="L552" t="s">
        <v>29</v>
      </c>
      <c r="M552" t="s">
        <v>30</v>
      </c>
      <c r="N552" t="s">
        <v>27</v>
      </c>
      <c r="O552" t="s">
        <v>28</v>
      </c>
      <c r="P552" t="s">
        <v>43</v>
      </c>
      <c r="Q552" t="s">
        <v>44</v>
      </c>
      <c r="R552" s="1">
        <v>44349.449664351851</v>
      </c>
      <c r="S552" s="1">
        <v>44349.449664351851</v>
      </c>
      <c r="T552">
        <v>1</v>
      </c>
      <c r="U552">
        <v>1</v>
      </c>
      <c r="V552" s="2">
        <v>1</v>
      </c>
      <c r="W552">
        <v>0</v>
      </c>
      <c r="X552" t="s">
        <v>30</v>
      </c>
      <c r="Y552">
        <v>0</v>
      </c>
      <c r="Z552" t="s">
        <v>31</v>
      </c>
      <c r="AA552">
        <v>0</v>
      </c>
      <c r="AB552" t="s">
        <v>31</v>
      </c>
      <c r="AC552">
        <v>0</v>
      </c>
      <c r="AD552" t="s">
        <v>31</v>
      </c>
      <c r="AE552">
        <v>0</v>
      </c>
      <c r="AF552" t="s">
        <v>31</v>
      </c>
      <c r="AG552">
        <v>0</v>
      </c>
      <c r="AH552" t="s">
        <v>31</v>
      </c>
      <c r="AI552">
        <v>0</v>
      </c>
      <c r="AJ552" t="s">
        <v>31</v>
      </c>
      <c r="AK552">
        <v>0</v>
      </c>
      <c r="AL552" t="s">
        <v>31</v>
      </c>
      <c r="AM552">
        <v>0</v>
      </c>
      <c r="AN552" t="s">
        <v>31</v>
      </c>
      <c r="AO552">
        <v>0</v>
      </c>
      <c r="AP552" t="s">
        <v>31</v>
      </c>
      <c r="AQ552">
        <v>0</v>
      </c>
    </row>
    <row r="553" spans="1:43" x14ac:dyDescent="0.2">
      <c r="A553" t="s">
        <v>381</v>
      </c>
      <c r="B553" s="3">
        <v>44349</v>
      </c>
      <c r="C553">
        <v>121</v>
      </c>
      <c r="D553" t="s">
        <v>385</v>
      </c>
      <c r="E553" t="s">
        <v>38</v>
      </c>
      <c r="F553" s="9" t="s">
        <v>39</v>
      </c>
      <c r="G553" t="s">
        <v>26</v>
      </c>
      <c r="H553" t="s">
        <v>27</v>
      </c>
      <c r="I553" t="s">
        <v>28</v>
      </c>
      <c r="J553" t="s">
        <v>43</v>
      </c>
      <c r="K553" t="s">
        <v>44</v>
      </c>
      <c r="L553" t="s">
        <v>29</v>
      </c>
      <c r="M553" t="s">
        <v>30</v>
      </c>
      <c r="N553" t="s">
        <v>27</v>
      </c>
      <c r="O553" t="s">
        <v>28</v>
      </c>
      <c r="P553" t="s">
        <v>43</v>
      </c>
      <c r="Q553" t="s">
        <v>44</v>
      </c>
      <c r="R553" s="1">
        <v>44349.591157407405</v>
      </c>
      <c r="S553" s="1">
        <v>44349.591168981482</v>
      </c>
      <c r="T553">
        <v>1</v>
      </c>
      <c r="U553">
        <v>1</v>
      </c>
      <c r="V553" s="2">
        <v>1</v>
      </c>
      <c r="W553">
        <v>0</v>
      </c>
      <c r="X553" t="s">
        <v>30</v>
      </c>
      <c r="Y553">
        <v>0</v>
      </c>
      <c r="Z553" t="s">
        <v>31</v>
      </c>
      <c r="AA553">
        <v>0</v>
      </c>
      <c r="AB553" t="s">
        <v>31</v>
      </c>
      <c r="AC553">
        <v>0</v>
      </c>
      <c r="AD553" t="s">
        <v>31</v>
      </c>
      <c r="AE553">
        <v>0</v>
      </c>
      <c r="AF553" t="s">
        <v>31</v>
      </c>
      <c r="AG553">
        <v>0</v>
      </c>
      <c r="AH553" t="s">
        <v>31</v>
      </c>
      <c r="AI553">
        <v>0</v>
      </c>
      <c r="AJ553" t="s">
        <v>31</v>
      </c>
      <c r="AK553">
        <v>0</v>
      </c>
      <c r="AL553" t="s">
        <v>31</v>
      </c>
      <c r="AM553">
        <v>0</v>
      </c>
      <c r="AN553" t="s">
        <v>31</v>
      </c>
      <c r="AO553">
        <v>0</v>
      </c>
      <c r="AP553" t="s">
        <v>31</v>
      </c>
      <c r="AQ553">
        <v>0</v>
      </c>
    </row>
    <row r="554" spans="1:43" x14ac:dyDescent="0.2">
      <c r="A554" t="s">
        <v>381</v>
      </c>
      <c r="B554" s="3">
        <v>44350</v>
      </c>
      <c r="C554">
        <v>123</v>
      </c>
      <c r="D554" t="s">
        <v>382</v>
      </c>
      <c r="E554" t="s">
        <v>38</v>
      </c>
      <c r="F554" s="9" t="s">
        <v>39</v>
      </c>
      <c r="G554" t="s">
        <v>26</v>
      </c>
      <c r="H554" t="s">
        <v>27</v>
      </c>
      <c r="I554" t="s">
        <v>28</v>
      </c>
      <c r="J554" t="s">
        <v>43</v>
      </c>
      <c r="K554" t="s">
        <v>44</v>
      </c>
      <c r="L554" t="s">
        <v>29</v>
      </c>
      <c r="M554" t="s">
        <v>30</v>
      </c>
      <c r="N554" t="s">
        <v>27</v>
      </c>
      <c r="O554" t="s">
        <v>28</v>
      </c>
      <c r="P554" t="s">
        <v>43</v>
      </c>
      <c r="Q554" t="s">
        <v>44</v>
      </c>
      <c r="R554" s="1">
        <v>44350.392997685187</v>
      </c>
      <c r="S554" s="1">
        <v>44350.393020833333</v>
      </c>
      <c r="T554">
        <v>0</v>
      </c>
      <c r="U554">
        <v>0</v>
      </c>
      <c r="V554" s="2">
        <v>0</v>
      </c>
      <c r="W554">
        <v>0</v>
      </c>
      <c r="X554" t="s">
        <v>37</v>
      </c>
      <c r="Y554">
        <v>0</v>
      </c>
      <c r="Z554" t="s">
        <v>37</v>
      </c>
      <c r="AA554">
        <v>0</v>
      </c>
      <c r="AB554" t="s">
        <v>37</v>
      </c>
      <c r="AC554">
        <v>0</v>
      </c>
      <c r="AD554" t="s">
        <v>31</v>
      </c>
      <c r="AE554">
        <v>0</v>
      </c>
      <c r="AF554" t="s">
        <v>31</v>
      </c>
      <c r="AG554">
        <v>0</v>
      </c>
      <c r="AH554" t="s">
        <v>31</v>
      </c>
      <c r="AI554">
        <v>0</v>
      </c>
      <c r="AJ554" t="s">
        <v>31</v>
      </c>
      <c r="AK554">
        <v>0</v>
      </c>
      <c r="AL554" t="s">
        <v>31</v>
      </c>
      <c r="AM554">
        <v>0</v>
      </c>
      <c r="AN554" t="s">
        <v>31</v>
      </c>
      <c r="AO554">
        <v>0</v>
      </c>
      <c r="AP554" t="s">
        <v>31</v>
      </c>
      <c r="AQ554">
        <v>0</v>
      </c>
    </row>
    <row r="555" spans="1:43" x14ac:dyDescent="0.2">
      <c r="A555" t="s">
        <v>381</v>
      </c>
      <c r="B555" s="3">
        <v>44351</v>
      </c>
      <c r="C555">
        <v>124</v>
      </c>
      <c r="D555" t="s">
        <v>390</v>
      </c>
      <c r="E555" t="s">
        <v>38</v>
      </c>
      <c r="F555" s="9" t="s">
        <v>39</v>
      </c>
      <c r="G555" t="s">
        <v>26</v>
      </c>
      <c r="H555" t="s">
        <v>27</v>
      </c>
      <c r="I555" t="s">
        <v>28</v>
      </c>
      <c r="J555" t="s">
        <v>43</v>
      </c>
      <c r="K555" t="s">
        <v>44</v>
      </c>
      <c r="L555" t="s">
        <v>29</v>
      </c>
      <c r="M555" t="s">
        <v>30</v>
      </c>
      <c r="N555" t="s">
        <v>27</v>
      </c>
      <c r="O555" t="s">
        <v>28</v>
      </c>
      <c r="P555" t="s">
        <v>43</v>
      </c>
      <c r="Q555" t="s">
        <v>44</v>
      </c>
      <c r="R555" s="1">
        <v>44351.398379629631</v>
      </c>
      <c r="S555" s="1">
        <v>44351.398425925923</v>
      </c>
      <c r="T555">
        <v>1</v>
      </c>
      <c r="U555">
        <v>1</v>
      </c>
      <c r="V555" s="2">
        <v>1</v>
      </c>
      <c r="W555">
        <v>0</v>
      </c>
      <c r="X555" t="s">
        <v>30</v>
      </c>
      <c r="Y555">
        <v>0</v>
      </c>
      <c r="Z555" t="s">
        <v>31</v>
      </c>
      <c r="AA555">
        <v>0</v>
      </c>
      <c r="AB555" t="s">
        <v>31</v>
      </c>
      <c r="AC555">
        <v>0</v>
      </c>
      <c r="AD555" t="s">
        <v>31</v>
      </c>
      <c r="AE555">
        <v>0</v>
      </c>
      <c r="AF555" t="s">
        <v>31</v>
      </c>
      <c r="AG555">
        <v>0</v>
      </c>
      <c r="AH555" t="s">
        <v>31</v>
      </c>
      <c r="AI555">
        <v>0</v>
      </c>
      <c r="AJ555" t="s">
        <v>31</v>
      </c>
      <c r="AK555">
        <v>0</v>
      </c>
      <c r="AL555" t="s">
        <v>31</v>
      </c>
      <c r="AM555">
        <v>0</v>
      </c>
      <c r="AN555" t="s">
        <v>31</v>
      </c>
      <c r="AO555">
        <v>0</v>
      </c>
      <c r="AP555" t="s">
        <v>31</v>
      </c>
      <c r="AQ555">
        <v>0</v>
      </c>
    </row>
    <row r="556" spans="1:43" x14ac:dyDescent="0.2">
      <c r="A556" t="s">
        <v>381</v>
      </c>
      <c r="B556" s="3">
        <v>44351</v>
      </c>
      <c r="C556">
        <v>125</v>
      </c>
      <c r="D556" t="s">
        <v>387</v>
      </c>
      <c r="E556" t="s">
        <v>38</v>
      </c>
      <c r="F556" s="9" t="s">
        <v>39</v>
      </c>
      <c r="G556" t="s">
        <v>26</v>
      </c>
      <c r="H556" t="s">
        <v>27</v>
      </c>
      <c r="I556" t="s">
        <v>28</v>
      </c>
      <c r="J556" t="s">
        <v>43</v>
      </c>
      <c r="K556" t="s">
        <v>44</v>
      </c>
      <c r="L556" t="s">
        <v>29</v>
      </c>
      <c r="M556" t="s">
        <v>30</v>
      </c>
      <c r="N556" t="s">
        <v>27</v>
      </c>
      <c r="O556" t="s">
        <v>28</v>
      </c>
      <c r="P556" t="s">
        <v>43</v>
      </c>
      <c r="Q556" t="s">
        <v>44</v>
      </c>
      <c r="R556" s="1">
        <v>44351.553136574075</v>
      </c>
      <c r="S556" s="1">
        <v>44351.553206018521</v>
      </c>
      <c r="T556">
        <v>1</v>
      </c>
      <c r="U556">
        <v>1</v>
      </c>
      <c r="V556" s="2">
        <v>1</v>
      </c>
      <c r="W556">
        <v>0</v>
      </c>
      <c r="X556" t="s">
        <v>37</v>
      </c>
      <c r="Y556">
        <v>0</v>
      </c>
      <c r="Z556" t="s">
        <v>37</v>
      </c>
      <c r="AA556">
        <v>0</v>
      </c>
      <c r="AB556" t="s">
        <v>37</v>
      </c>
      <c r="AC556">
        <v>0</v>
      </c>
      <c r="AD556" t="s">
        <v>30</v>
      </c>
      <c r="AE556">
        <v>0</v>
      </c>
      <c r="AF556" t="s">
        <v>31</v>
      </c>
      <c r="AG556">
        <v>0</v>
      </c>
      <c r="AH556" t="s">
        <v>31</v>
      </c>
      <c r="AI556">
        <v>0</v>
      </c>
      <c r="AJ556" t="s">
        <v>31</v>
      </c>
      <c r="AK556">
        <v>0</v>
      </c>
      <c r="AL556" t="s">
        <v>31</v>
      </c>
      <c r="AM556">
        <v>0</v>
      </c>
      <c r="AN556" t="s">
        <v>31</v>
      </c>
      <c r="AO556">
        <v>0</v>
      </c>
      <c r="AP556" t="s">
        <v>31</v>
      </c>
      <c r="AQ556">
        <v>0</v>
      </c>
    </row>
    <row r="557" spans="1:43" x14ac:dyDescent="0.2">
      <c r="A557" t="s">
        <v>381</v>
      </c>
      <c r="B557" s="3">
        <v>44354</v>
      </c>
      <c r="C557">
        <v>127</v>
      </c>
      <c r="D557" t="s">
        <v>383</v>
      </c>
      <c r="E557" t="s">
        <v>38</v>
      </c>
      <c r="F557" s="9" t="s">
        <v>39</v>
      </c>
      <c r="G557" t="s">
        <v>26</v>
      </c>
      <c r="H557" t="s">
        <v>27</v>
      </c>
      <c r="I557" t="s">
        <v>28</v>
      </c>
      <c r="J557" t="s">
        <v>43</v>
      </c>
      <c r="K557" t="s">
        <v>44</v>
      </c>
      <c r="L557" t="s">
        <v>29</v>
      </c>
      <c r="M557" t="s">
        <v>30</v>
      </c>
      <c r="N557" t="s">
        <v>27</v>
      </c>
      <c r="O557" t="s">
        <v>28</v>
      </c>
      <c r="P557" t="s">
        <v>43</v>
      </c>
      <c r="Q557" t="s">
        <v>44</v>
      </c>
      <c r="R557" s="1">
        <v>44354.623310185183</v>
      </c>
      <c r="S557" s="1">
        <v>44354.623310185183</v>
      </c>
      <c r="T557">
        <v>1</v>
      </c>
      <c r="U557">
        <v>1</v>
      </c>
      <c r="V557" s="2">
        <v>1</v>
      </c>
      <c r="W557">
        <v>0</v>
      </c>
      <c r="X557" t="s">
        <v>30</v>
      </c>
      <c r="Y557">
        <v>0</v>
      </c>
      <c r="Z557" t="s">
        <v>31</v>
      </c>
      <c r="AA557">
        <v>0</v>
      </c>
      <c r="AB557" t="s">
        <v>31</v>
      </c>
      <c r="AC557">
        <v>0</v>
      </c>
      <c r="AD557" t="s">
        <v>31</v>
      </c>
      <c r="AE557">
        <v>0</v>
      </c>
      <c r="AF557" t="s">
        <v>31</v>
      </c>
      <c r="AG557">
        <v>0</v>
      </c>
      <c r="AH557" t="s">
        <v>31</v>
      </c>
      <c r="AI557">
        <v>0</v>
      </c>
      <c r="AJ557" t="s">
        <v>31</v>
      </c>
      <c r="AK557">
        <v>0</v>
      </c>
      <c r="AL557" t="s">
        <v>31</v>
      </c>
      <c r="AM557">
        <v>0</v>
      </c>
      <c r="AN557" t="s">
        <v>31</v>
      </c>
      <c r="AO557">
        <v>0</v>
      </c>
      <c r="AP557" t="s">
        <v>31</v>
      </c>
      <c r="AQ557">
        <v>0</v>
      </c>
    </row>
    <row r="558" spans="1:43" x14ac:dyDescent="0.2">
      <c r="A558" t="s">
        <v>381</v>
      </c>
      <c r="B558" s="3">
        <v>44355</v>
      </c>
      <c r="C558">
        <v>129</v>
      </c>
      <c r="D558" t="s">
        <v>385</v>
      </c>
      <c r="E558" t="s">
        <v>38</v>
      </c>
      <c r="F558" s="9" t="s">
        <v>39</v>
      </c>
      <c r="G558" t="s">
        <v>26</v>
      </c>
      <c r="H558" t="s">
        <v>27</v>
      </c>
      <c r="I558" t="s">
        <v>28</v>
      </c>
      <c r="J558" t="s">
        <v>43</v>
      </c>
      <c r="K558" t="s">
        <v>44</v>
      </c>
      <c r="L558" t="s">
        <v>29</v>
      </c>
      <c r="M558" t="s">
        <v>30</v>
      </c>
      <c r="N558" t="s">
        <v>27</v>
      </c>
      <c r="O558" t="s">
        <v>28</v>
      </c>
      <c r="P558" t="s">
        <v>43</v>
      </c>
      <c r="Q558" t="s">
        <v>44</v>
      </c>
      <c r="R558" s="1">
        <v>44355.553506944445</v>
      </c>
      <c r="S558" s="1">
        <v>44355.63653935185</v>
      </c>
      <c r="T558">
        <v>0</v>
      </c>
      <c r="U558">
        <v>2</v>
      </c>
      <c r="V558" s="2">
        <v>0</v>
      </c>
      <c r="W558">
        <v>0</v>
      </c>
      <c r="X558" t="s">
        <v>37</v>
      </c>
      <c r="Y558">
        <v>0</v>
      </c>
      <c r="Z558" t="s">
        <v>37</v>
      </c>
      <c r="AA558">
        <v>0</v>
      </c>
      <c r="AB558" t="s">
        <v>44</v>
      </c>
      <c r="AC558">
        <v>0</v>
      </c>
      <c r="AD558" t="s">
        <v>44</v>
      </c>
      <c r="AE558">
        <v>0</v>
      </c>
      <c r="AF558" t="s">
        <v>31</v>
      </c>
      <c r="AG558">
        <v>0</v>
      </c>
      <c r="AH558" t="s">
        <v>31</v>
      </c>
      <c r="AI558">
        <v>0</v>
      </c>
      <c r="AJ558" t="s">
        <v>31</v>
      </c>
      <c r="AK558">
        <v>0</v>
      </c>
      <c r="AL558" t="s">
        <v>31</v>
      </c>
      <c r="AM558">
        <v>0</v>
      </c>
      <c r="AN558" t="s">
        <v>31</v>
      </c>
      <c r="AO558">
        <v>0</v>
      </c>
      <c r="AP558" t="s">
        <v>31</v>
      </c>
      <c r="AQ558">
        <v>0</v>
      </c>
    </row>
    <row r="559" spans="1:43" x14ac:dyDescent="0.2">
      <c r="A559" t="s">
        <v>381</v>
      </c>
      <c r="B559" s="3">
        <v>44356</v>
      </c>
      <c r="C559">
        <v>130</v>
      </c>
      <c r="D559" t="s">
        <v>398</v>
      </c>
      <c r="E559" t="s">
        <v>38</v>
      </c>
      <c r="F559" s="9" t="s">
        <v>39</v>
      </c>
      <c r="G559" t="s">
        <v>26</v>
      </c>
      <c r="H559" t="s">
        <v>27</v>
      </c>
      <c r="I559" t="s">
        <v>28</v>
      </c>
      <c r="J559" t="s">
        <v>43</v>
      </c>
      <c r="K559" t="s">
        <v>44</v>
      </c>
      <c r="L559" t="s">
        <v>29</v>
      </c>
      <c r="M559" t="s">
        <v>30</v>
      </c>
      <c r="N559" t="s">
        <v>27</v>
      </c>
      <c r="O559" t="s">
        <v>28</v>
      </c>
      <c r="P559" t="s">
        <v>43</v>
      </c>
      <c r="Q559" t="s">
        <v>44</v>
      </c>
      <c r="R559" s="1">
        <v>44356.404652777775</v>
      </c>
      <c r="S559" s="1">
        <v>44356.404733796298</v>
      </c>
      <c r="T559">
        <v>1</v>
      </c>
      <c r="U559">
        <v>1</v>
      </c>
      <c r="V559" s="2">
        <v>1</v>
      </c>
      <c r="W559">
        <v>0</v>
      </c>
      <c r="X559" t="s">
        <v>30</v>
      </c>
      <c r="Y559">
        <v>0</v>
      </c>
      <c r="Z559" t="s">
        <v>31</v>
      </c>
      <c r="AA559">
        <v>0</v>
      </c>
      <c r="AB559" t="s">
        <v>31</v>
      </c>
      <c r="AC559">
        <v>0</v>
      </c>
      <c r="AD559" t="s">
        <v>31</v>
      </c>
      <c r="AE559">
        <v>0</v>
      </c>
      <c r="AF559" t="s">
        <v>31</v>
      </c>
      <c r="AG559">
        <v>0</v>
      </c>
      <c r="AH559" t="s">
        <v>31</v>
      </c>
      <c r="AI559">
        <v>0</v>
      </c>
      <c r="AJ559" t="s">
        <v>31</v>
      </c>
      <c r="AK559">
        <v>0</v>
      </c>
      <c r="AL559" t="s">
        <v>31</v>
      </c>
      <c r="AM559">
        <v>0</v>
      </c>
      <c r="AN559" t="s">
        <v>31</v>
      </c>
      <c r="AO559">
        <v>0</v>
      </c>
      <c r="AP559" t="s">
        <v>31</v>
      </c>
      <c r="AQ559">
        <v>0</v>
      </c>
    </row>
    <row r="560" spans="1:43" x14ac:dyDescent="0.2">
      <c r="A560" t="s">
        <v>381</v>
      </c>
      <c r="B560" s="3">
        <v>44356</v>
      </c>
      <c r="C560">
        <v>131</v>
      </c>
      <c r="D560" t="s">
        <v>383</v>
      </c>
      <c r="E560" t="s">
        <v>38</v>
      </c>
      <c r="F560" s="9" t="s">
        <v>39</v>
      </c>
      <c r="G560" t="s">
        <v>26</v>
      </c>
      <c r="H560" t="s">
        <v>27</v>
      </c>
      <c r="I560" t="s">
        <v>28</v>
      </c>
      <c r="J560" t="s">
        <v>43</v>
      </c>
      <c r="K560" t="s">
        <v>44</v>
      </c>
      <c r="L560" t="s">
        <v>29</v>
      </c>
      <c r="M560" t="s">
        <v>30</v>
      </c>
      <c r="N560" t="s">
        <v>27</v>
      </c>
      <c r="O560" t="s">
        <v>28</v>
      </c>
      <c r="P560" t="s">
        <v>43</v>
      </c>
      <c r="Q560" t="s">
        <v>44</v>
      </c>
      <c r="R560" s="1">
        <v>44356.559675925928</v>
      </c>
      <c r="S560" s="1">
        <v>44356.625081018516</v>
      </c>
      <c r="T560">
        <v>1</v>
      </c>
      <c r="U560">
        <v>1</v>
      </c>
      <c r="V560" s="2">
        <v>1</v>
      </c>
      <c r="W560">
        <v>0</v>
      </c>
      <c r="X560" t="s">
        <v>30</v>
      </c>
      <c r="Y560">
        <v>0</v>
      </c>
      <c r="Z560" t="s">
        <v>31</v>
      </c>
      <c r="AA560">
        <v>0</v>
      </c>
      <c r="AB560" t="s">
        <v>31</v>
      </c>
      <c r="AC560">
        <v>0</v>
      </c>
      <c r="AD560" t="s">
        <v>31</v>
      </c>
      <c r="AE560">
        <v>0</v>
      </c>
      <c r="AF560" t="s">
        <v>31</v>
      </c>
      <c r="AG560">
        <v>0</v>
      </c>
      <c r="AH560" t="s">
        <v>31</v>
      </c>
      <c r="AI560">
        <v>0</v>
      </c>
      <c r="AJ560" t="s">
        <v>31</v>
      </c>
      <c r="AK560">
        <v>0</v>
      </c>
      <c r="AL560" t="s">
        <v>31</v>
      </c>
      <c r="AM560">
        <v>0</v>
      </c>
      <c r="AN560" t="s">
        <v>31</v>
      </c>
      <c r="AO560">
        <v>0</v>
      </c>
      <c r="AP560" t="s">
        <v>31</v>
      </c>
      <c r="AQ560">
        <v>0</v>
      </c>
    </row>
    <row r="561" spans="1:43" x14ac:dyDescent="0.2">
      <c r="A561" t="s">
        <v>381</v>
      </c>
      <c r="B561" s="3">
        <v>44357</v>
      </c>
      <c r="C561">
        <v>132</v>
      </c>
      <c r="D561" t="s">
        <v>399</v>
      </c>
      <c r="E561" t="s">
        <v>38</v>
      </c>
      <c r="F561" s="9" t="s">
        <v>39</v>
      </c>
      <c r="G561" t="s">
        <v>26</v>
      </c>
      <c r="H561" t="s">
        <v>27</v>
      </c>
      <c r="I561" t="s">
        <v>28</v>
      </c>
      <c r="J561" t="s">
        <v>43</v>
      </c>
      <c r="K561" t="s">
        <v>44</v>
      </c>
      <c r="L561" t="s">
        <v>29</v>
      </c>
      <c r="M561" t="s">
        <v>30</v>
      </c>
      <c r="N561" t="s">
        <v>27</v>
      </c>
      <c r="O561" t="s">
        <v>28</v>
      </c>
      <c r="P561" t="s">
        <v>43</v>
      </c>
      <c r="Q561" t="s">
        <v>44</v>
      </c>
      <c r="R561" s="1">
        <v>44357.3675</v>
      </c>
      <c r="S561" s="1">
        <v>44357.371527777781</v>
      </c>
      <c r="T561">
        <v>0</v>
      </c>
      <c r="U561">
        <v>0</v>
      </c>
      <c r="V561" s="2">
        <v>0</v>
      </c>
      <c r="W561">
        <v>0</v>
      </c>
      <c r="X561" t="s">
        <v>37</v>
      </c>
      <c r="Y561">
        <v>0</v>
      </c>
      <c r="Z561" t="s">
        <v>37</v>
      </c>
      <c r="AA561">
        <v>0</v>
      </c>
      <c r="AB561" t="s">
        <v>37</v>
      </c>
      <c r="AC561">
        <v>0</v>
      </c>
      <c r="AD561" t="s">
        <v>37</v>
      </c>
      <c r="AE561">
        <v>0</v>
      </c>
      <c r="AF561" t="s">
        <v>31</v>
      </c>
      <c r="AG561">
        <v>0</v>
      </c>
      <c r="AH561" t="s">
        <v>31</v>
      </c>
      <c r="AI561">
        <v>0</v>
      </c>
      <c r="AJ561" t="s">
        <v>31</v>
      </c>
      <c r="AK561">
        <v>0</v>
      </c>
      <c r="AL561" t="s">
        <v>31</v>
      </c>
      <c r="AM561">
        <v>0</v>
      </c>
      <c r="AN561" t="s">
        <v>31</v>
      </c>
      <c r="AO561">
        <v>0</v>
      </c>
      <c r="AP561" t="s">
        <v>31</v>
      </c>
      <c r="AQ561">
        <v>0</v>
      </c>
    </row>
    <row r="562" spans="1:43" x14ac:dyDescent="0.2">
      <c r="A562" t="s">
        <v>381</v>
      </c>
      <c r="B562" s="3">
        <v>44358</v>
      </c>
      <c r="C562">
        <v>133</v>
      </c>
      <c r="D562" t="s">
        <v>390</v>
      </c>
      <c r="E562" t="s">
        <v>38</v>
      </c>
      <c r="F562" s="9" t="s">
        <v>39</v>
      </c>
      <c r="G562" t="s">
        <v>26</v>
      </c>
      <c r="H562" t="s">
        <v>27</v>
      </c>
      <c r="I562" t="s">
        <v>28</v>
      </c>
      <c r="J562" t="s">
        <v>43</v>
      </c>
      <c r="K562" t="s">
        <v>44</v>
      </c>
      <c r="L562" t="s">
        <v>29</v>
      </c>
      <c r="M562" t="s">
        <v>30</v>
      </c>
      <c r="N562" t="s">
        <v>27</v>
      </c>
      <c r="O562" t="s">
        <v>28</v>
      </c>
      <c r="P562" t="s">
        <v>43</v>
      </c>
      <c r="Q562" t="s">
        <v>44</v>
      </c>
      <c r="R562" s="1">
        <v>44358.400196759256</v>
      </c>
      <c r="S562" s="1">
        <v>44358.400219907409</v>
      </c>
      <c r="T562">
        <v>1</v>
      </c>
      <c r="U562">
        <v>1</v>
      </c>
      <c r="V562" s="2">
        <v>1</v>
      </c>
      <c r="W562">
        <v>0</v>
      </c>
      <c r="X562" t="s">
        <v>37</v>
      </c>
      <c r="Y562">
        <v>0</v>
      </c>
      <c r="Z562" t="s">
        <v>37</v>
      </c>
      <c r="AA562">
        <v>0</v>
      </c>
      <c r="AB562" t="s">
        <v>30</v>
      </c>
      <c r="AC562">
        <v>0</v>
      </c>
      <c r="AD562" t="s">
        <v>31</v>
      </c>
      <c r="AE562">
        <v>0</v>
      </c>
      <c r="AF562" t="s">
        <v>31</v>
      </c>
      <c r="AG562">
        <v>0</v>
      </c>
      <c r="AH562" t="s">
        <v>31</v>
      </c>
      <c r="AI562">
        <v>0</v>
      </c>
      <c r="AJ562" t="s">
        <v>31</v>
      </c>
      <c r="AK562">
        <v>0</v>
      </c>
      <c r="AL562" t="s">
        <v>31</v>
      </c>
      <c r="AM562">
        <v>0</v>
      </c>
      <c r="AN562" t="s">
        <v>31</v>
      </c>
      <c r="AO562">
        <v>0</v>
      </c>
      <c r="AP562" t="s">
        <v>31</v>
      </c>
      <c r="AQ562">
        <v>0</v>
      </c>
    </row>
    <row r="563" spans="1:43" x14ac:dyDescent="0.2">
      <c r="A563" t="s">
        <v>381</v>
      </c>
      <c r="B563" s="3">
        <v>44358</v>
      </c>
      <c r="C563">
        <v>134</v>
      </c>
      <c r="D563" t="s">
        <v>383</v>
      </c>
      <c r="E563" t="s">
        <v>38</v>
      </c>
      <c r="F563" s="9" t="s">
        <v>39</v>
      </c>
      <c r="G563" t="s">
        <v>26</v>
      </c>
      <c r="H563" t="s">
        <v>27</v>
      </c>
      <c r="I563" t="s">
        <v>28</v>
      </c>
      <c r="J563" t="s">
        <v>43</v>
      </c>
      <c r="K563" t="s">
        <v>44</v>
      </c>
      <c r="L563" t="s">
        <v>29</v>
      </c>
      <c r="M563" t="s">
        <v>30</v>
      </c>
      <c r="N563" t="s">
        <v>27</v>
      </c>
      <c r="O563" t="s">
        <v>28</v>
      </c>
      <c r="P563" t="s">
        <v>43</v>
      </c>
      <c r="Q563" t="s">
        <v>44</v>
      </c>
      <c r="R563" s="1">
        <v>44358.557951388888</v>
      </c>
      <c r="S563" s="1">
        <v>44358.558668981481</v>
      </c>
      <c r="T563">
        <v>0</v>
      </c>
      <c r="U563">
        <v>0</v>
      </c>
      <c r="V563" s="2">
        <v>0</v>
      </c>
      <c r="W563">
        <v>0</v>
      </c>
      <c r="X563" t="s">
        <v>37</v>
      </c>
      <c r="Y563">
        <v>0</v>
      </c>
      <c r="Z563" t="s">
        <v>37</v>
      </c>
      <c r="AA563">
        <v>0</v>
      </c>
      <c r="AB563" t="s">
        <v>37</v>
      </c>
      <c r="AC563">
        <v>0</v>
      </c>
      <c r="AD563" t="s">
        <v>31</v>
      </c>
      <c r="AE563">
        <v>0</v>
      </c>
      <c r="AF563" t="s">
        <v>31</v>
      </c>
      <c r="AG563">
        <v>0</v>
      </c>
      <c r="AH563" t="s">
        <v>31</v>
      </c>
      <c r="AI563">
        <v>0</v>
      </c>
      <c r="AJ563" t="s">
        <v>31</v>
      </c>
      <c r="AK563">
        <v>0</v>
      </c>
      <c r="AL563" t="s">
        <v>31</v>
      </c>
      <c r="AM563">
        <v>0</v>
      </c>
      <c r="AN563" t="s">
        <v>31</v>
      </c>
      <c r="AO563">
        <v>0</v>
      </c>
      <c r="AP563" t="s">
        <v>31</v>
      </c>
      <c r="AQ563">
        <v>0</v>
      </c>
    </row>
    <row r="564" spans="1:43" x14ac:dyDescent="0.2">
      <c r="A564" t="s">
        <v>381</v>
      </c>
      <c r="B564" s="3">
        <v>44361</v>
      </c>
      <c r="C564">
        <v>135</v>
      </c>
      <c r="D564" t="s">
        <v>390</v>
      </c>
      <c r="E564" t="s">
        <v>38</v>
      </c>
      <c r="F564" s="9" t="s">
        <v>39</v>
      </c>
      <c r="G564" t="s">
        <v>26</v>
      </c>
      <c r="H564" t="s">
        <v>27</v>
      </c>
      <c r="I564" t="s">
        <v>28</v>
      </c>
      <c r="J564" t="s">
        <v>43</v>
      </c>
      <c r="K564" t="s">
        <v>44</v>
      </c>
      <c r="L564" t="s">
        <v>29</v>
      </c>
      <c r="M564" t="s">
        <v>30</v>
      </c>
      <c r="N564" t="s">
        <v>27</v>
      </c>
      <c r="O564" t="s">
        <v>28</v>
      </c>
      <c r="P564" t="s">
        <v>43</v>
      </c>
      <c r="Q564" t="s">
        <v>44</v>
      </c>
      <c r="R564" s="1">
        <v>44361.405844907407</v>
      </c>
      <c r="S564" s="1">
        <v>44361.407175925924</v>
      </c>
      <c r="T564">
        <v>1</v>
      </c>
      <c r="U564">
        <v>1</v>
      </c>
      <c r="V564" s="2">
        <v>1</v>
      </c>
      <c r="W564">
        <v>0</v>
      </c>
      <c r="X564" t="s">
        <v>30</v>
      </c>
      <c r="Y564">
        <v>0</v>
      </c>
      <c r="Z564" t="s">
        <v>31</v>
      </c>
      <c r="AA564">
        <v>0</v>
      </c>
      <c r="AB564" t="s">
        <v>31</v>
      </c>
      <c r="AC564">
        <v>0</v>
      </c>
      <c r="AD564" t="s">
        <v>31</v>
      </c>
      <c r="AE564">
        <v>0</v>
      </c>
      <c r="AF564" t="s">
        <v>31</v>
      </c>
      <c r="AG564">
        <v>0</v>
      </c>
      <c r="AH564" t="s">
        <v>31</v>
      </c>
      <c r="AI564">
        <v>0</v>
      </c>
      <c r="AJ564" t="s">
        <v>31</v>
      </c>
      <c r="AK564">
        <v>0</v>
      </c>
      <c r="AL564" t="s">
        <v>31</v>
      </c>
      <c r="AM564">
        <v>0</v>
      </c>
      <c r="AN564" t="s">
        <v>31</v>
      </c>
      <c r="AO564">
        <v>0</v>
      </c>
      <c r="AP564" t="s">
        <v>31</v>
      </c>
      <c r="AQ564">
        <v>0</v>
      </c>
    </row>
    <row r="565" spans="1:43" x14ac:dyDescent="0.2">
      <c r="A565" t="s">
        <v>381</v>
      </c>
      <c r="B565" s="3">
        <v>44361</v>
      </c>
      <c r="C565">
        <v>136</v>
      </c>
      <c r="D565" t="s">
        <v>383</v>
      </c>
      <c r="E565" t="s">
        <v>38</v>
      </c>
      <c r="F565" s="9" t="s">
        <v>39</v>
      </c>
      <c r="G565" t="s">
        <v>26</v>
      </c>
      <c r="H565" t="s">
        <v>27</v>
      </c>
      <c r="I565" t="s">
        <v>28</v>
      </c>
      <c r="J565" t="s">
        <v>43</v>
      </c>
      <c r="K565" t="s">
        <v>44</v>
      </c>
      <c r="L565" t="s">
        <v>29</v>
      </c>
      <c r="M565" t="s">
        <v>30</v>
      </c>
      <c r="N565" t="s">
        <v>27</v>
      </c>
      <c r="O565" t="s">
        <v>28</v>
      </c>
      <c r="P565" t="s">
        <v>43</v>
      </c>
      <c r="Q565" t="s">
        <v>44</v>
      </c>
      <c r="R565" s="1">
        <v>44361.631145833337</v>
      </c>
      <c r="S565" s="1">
        <v>44361.631157407406</v>
      </c>
      <c r="T565">
        <v>1</v>
      </c>
      <c r="U565">
        <v>1</v>
      </c>
      <c r="V565" s="2">
        <v>1</v>
      </c>
      <c r="W565">
        <v>0</v>
      </c>
      <c r="X565" t="s">
        <v>37</v>
      </c>
      <c r="Y565">
        <v>0</v>
      </c>
      <c r="Z565" t="s">
        <v>30</v>
      </c>
      <c r="AA565">
        <v>0</v>
      </c>
      <c r="AB565" t="s">
        <v>31</v>
      </c>
      <c r="AC565">
        <v>0</v>
      </c>
      <c r="AD565" t="s">
        <v>31</v>
      </c>
      <c r="AE565">
        <v>0</v>
      </c>
      <c r="AF565" t="s">
        <v>31</v>
      </c>
      <c r="AG565">
        <v>0</v>
      </c>
      <c r="AH565" t="s">
        <v>31</v>
      </c>
      <c r="AI565">
        <v>0</v>
      </c>
      <c r="AJ565" t="s">
        <v>31</v>
      </c>
      <c r="AK565">
        <v>0</v>
      </c>
      <c r="AL565" t="s">
        <v>31</v>
      </c>
      <c r="AM565">
        <v>0</v>
      </c>
      <c r="AN565" t="s">
        <v>31</v>
      </c>
      <c r="AO565">
        <v>0</v>
      </c>
      <c r="AP565" t="s">
        <v>31</v>
      </c>
      <c r="AQ565">
        <v>0</v>
      </c>
    </row>
    <row r="566" spans="1:43" x14ac:dyDescent="0.2">
      <c r="A566" t="s">
        <v>381</v>
      </c>
      <c r="B566" s="3">
        <v>44363</v>
      </c>
      <c r="C566">
        <v>137</v>
      </c>
      <c r="D566" t="s">
        <v>383</v>
      </c>
      <c r="E566" t="s">
        <v>38</v>
      </c>
      <c r="F566" s="9" t="s">
        <v>39</v>
      </c>
      <c r="G566" t="s">
        <v>26</v>
      </c>
      <c r="H566" t="s">
        <v>27</v>
      </c>
      <c r="I566" t="s">
        <v>28</v>
      </c>
      <c r="J566" t="s">
        <v>43</v>
      </c>
      <c r="K566" t="s">
        <v>44</v>
      </c>
      <c r="L566" t="s">
        <v>29</v>
      </c>
      <c r="M566" t="s">
        <v>30</v>
      </c>
      <c r="N566" t="s">
        <v>27</v>
      </c>
      <c r="O566" t="s">
        <v>28</v>
      </c>
      <c r="P566" t="s">
        <v>43</v>
      </c>
      <c r="Q566" t="s">
        <v>44</v>
      </c>
      <c r="R566" s="1">
        <v>44363.560590277775</v>
      </c>
      <c r="S566" s="1">
        <v>44363.561550925922</v>
      </c>
      <c r="T566">
        <v>2</v>
      </c>
      <c r="U566">
        <v>2</v>
      </c>
      <c r="V566" s="2">
        <v>1</v>
      </c>
      <c r="W566">
        <v>0</v>
      </c>
      <c r="X566" t="s">
        <v>37</v>
      </c>
      <c r="Y566">
        <v>0</v>
      </c>
      <c r="Z566" t="s">
        <v>37</v>
      </c>
      <c r="AA566">
        <v>0</v>
      </c>
      <c r="AB566" t="s">
        <v>30</v>
      </c>
      <c r="AC566">
        <v>0</v>
      </c>
      <c r="AD566" t="s">
        <v>30</v>
      </c>
      <c r="AE566">
        <v>0</v>
      </c>
      <c r="AF566" t="s">
        <v>31</v>
      </c>
      <c r="AG566">
        <v>0</v>
      </c>
      <c r="AH566" t="s">
        <v>31</v>
      </c>
      <c r="AI566">
        <v>0</v>
      </c>
      <c r="AJ566" t="s">
        <v>31</v>
      </c>
      <c r="AK566">
        <v>0</v>
      </c>
      <c r="AL566" t="s">
        <v>31</v>
      </c>
      <c r="AM566">
        <v>0</v>
      </c>
      <c r="AN566" t="s">
        <v>31</v>
      </c>
      <c r="AO566">
        <v>0</v>
      </c>
      <c r="AP566" t="s">
        <v>31</v>
      </c>
      <c r="AQ566">
        <v>0</v>
      </c>
    </row>
    <row r="567" spans="1:43" x14ac:dyDescent="0.2">
      <c r="A567" t="s">
        <v>381</v>
      </c>
      <c r="B567" s="3">
        <v>44364</v>
      </c>
      <c r="C567">
        <v>138</v>
      </c>
      <c r="D567" t="s">
        <v>399</v>
      </c>
      <c r="E567" t="s">
        <v>38</v>
      </c>
      <c r="F567" s="9" t="s">
        <v>39</v>
      </c>
      <c r="G567" t="s">
        <v>26</v>
      </c>
      <c r="H567" t="s">
        <v>27</v>
      </c>
      <c r="I567" t="s">
        <v>28</v>
      </c>
      <c r="J567" t="s">
        <v>43</v>
      </c>
      <c r="K567" t="s">
        <v>44</v>
      </c>
      <c r="L567" t="s">
        <v>29</v>
      </c>
      <c r="M567" t="s">
        <v>30</v>
      </c>
      <c r="N567" t="s">
        <v>27</v>
      </c>
      <c r="O567" t="s">
        <v>28</v>
      </c>
      <c r="P567" t="s">
        <v>43</v>
      </c>
      <c r="Q567" t="s">
        <v>44</v>
      </c>
      <c r="R567" s="1">
        <v>44364.359386574077</v>
      </c>
      <c r="S567" s="1">
        <v>44364.359386574077</v>
      </c>
      <c r="T567">
        <v>1</v>
      </c>
      <c r="U567">
        <v>1</v>
      </c>
      <c r="V567" s="2">
        <v>1</v>
      </c>
      <c r="W567">
        <v>0</v>
      </c>
      <c r="X567" t="s">
        <v>30</v>
      </c>
      <c r="Y567">
        <v>0</v>
      </c>
      <c r="Z567" t="s">
        <v>31</v>
      </c>
      <c r="AA567">
        <v>0</v>
      </c>
      <c r="AB567" t="s">
        <v>31</v>
      </c>
      <c r="AC567">
        <v>0</v>
      </c>
      <c r="AD567" t="s">
        <v>31</v>
      </c>
      <c r="AE567">
        <v>0</v>
      </c>
      <c r="AF567" t="s">
        <v>31</v>
      </c>
      <c r="AG567">
        <v>0</v>
      </c>
      <c r="AH567" t="s">
        <v>31</v>
      </c>
      <c r="AI567">
        <v>0</v>
      </c>
      <c r="AJ567" t="s">
        <v>31</v>
      </c>
      <c r="AK567">
        <v>0</v>
      </c>
      <c r="AL567" t="s">
        <v>31</v>
      </c>
      <c r="AM567">
        <v>0</v>
      </c>
      <c r="AN567" t="s">
        <v>31</v>
      </c>
      <c r="AO567">
        <v>0</v>
      </c>
      <c r="AP567" t="s">
        <v>31</v>
      </c>
      <c r="AQ567">
        <v>0</v>
      </c>
    </row>
    <row r="568" spans="1:43" x14ac:dyDescent="0.2">
      <c r="A568" t="s">
        <v>381</v>
      </c>
      <c r="B568" s="3">
        <v>44365</v>
      </c>
      <c r="C568">
        <v>139</v>
      </c>
      <c r="D568" t="s">
        <v>400</v>
      </c>
      <c r="E568" t="s">
        <v>38</v>
      </c>
      <c r="F568" s="9" t="s">
        <v>39</v>
      </c>
      <c r="G568" t="s">
        <v>26</v>
      </c>
      <c r="H568" t="s">
        <v>27</v>
      </c>
      <c r="I568" t="s">
        <v>28</v>
      </c>
      <c r="J568" t="s">
        <v>43</v>
      </c>
      <c r="K568" t="s">
        <v>44</v>
      </c>
      <c r="L568" t="s">
        <v>29</v>
      </c>
      <c r="M568" t="s">
        <v>30</v>
      </c>
      <c r="N568" t="s">
        <v>27</v>
      </c>
      <c r="O568" t="s">
        <v>28</v>
      </c>
      <c r="P568" t="s">
        <v>43</v>
      </c>
      <c r="Q568" t="s">
        <v>44</v>
      </c>
      <c r="R568" s="1">
        <v>44365.408159722225</v>
      </c>
      <c r="S568" s="1">
        <v>44365.408159722225</v>
      </c>
      <c r="T568">
        <v>1</v>
      </c>
      <c r="U568">
        <v>1</v>
      </c>
      <c r="V568" s="2">
        <v>1</v>
      </c>
      <c r="W568">
        <v>0</v>
      </c>
      <c r="X568" t="s">
        <v>30</v>
      </c>
      <c r="Y568">
        <v>0</v>
      </c>
      <c r="Z568" t="s">
        <v>31</v>
      </c>
      <c r="AA568">
        <v>0</v>
      </c>
      <c r="AB568" t="s">
        <v>31</v>
      </c>
      <c r="AC568">
        <v>0</v>
      </c>
      <c r="AD568" t="s">
        <v>31</v>
      </c>
      <c r="AE568">
        <v>0</v>
      </c>
      <c r="AF568" t="s">
        <v>31</v>
      </c>
      <c r="AG568">
        <v>0</v>
      </c>
      <c r="AH568" t="s">
        <v>31</v>
      </c>
      <c r="AI568">
        <v>0</v>
      </c>
      <c r="AJ568" t="s">
        <v>31</v>
      </c>
      <c r="AK568">
        <v>0</v>
      </c>
      <c r="AL568" t="s">
        <v>31</v>
      </c>
      <c r="AM568">
        <v>0</v>
      </c>
      <c r="AN568" t="s">
        <v>31</v>
      </c>
      <c r="AO568">
        <v>0</v>
      </c>
      <c r="AP568" t="s">
        <v>31</v>
      </c>
      <c r="AQ568">
        <v>0</v>
      </c>
    </row>
    <row r="569" spans="1:43" x14ac:dyDescent="0.2">
      <c r="A569" t="s">
        <v>381</v>
      </c>
      <c r="B569" s="3">
        <v>44365</v>
      </c>
      <c r="C569">
        <v>140</v>
      </c>
      <c r="D569" t="s">
        <v>399</v>
      </c>
      <c r="E569" t="s">
        <v>38</v>
      </c>
      <c r="F569" s="9" t="s">
        <v>39</v>
      </c>
      <c r="G569" t="s">
        <v>26</v>
      </c>
      <c r="H569" t="s">
        <v>27</v>
      </c>
      <c r="I569" t="s">
        <v>28</v>
      </c>
      <c r="J569" t="s">
        <v>43</v>
      </c>
      <c r="K569" t="s">
        <v>44</v>
      </c>
      <c r="L569" t="s">
        <v>29</v>
      </c>
      <c r="M569" t="s">
        <v>30</v>
      </c>
      <c r="N569" t="s">
        <v>27</v>
      </c>
      <c r="O569" t="s">
        <v>28</v>
      </c>
      <c r="P569" t="s">
        <v>43</v>
      </c>
      <c r="Q569" t="s">
        <v>44</v>
      </c>
      <c r="R569" s="1">
        <v>44365.534108796295</v>
      </c>
      <c r="S569" s="1">
        <v>44365.534143518518</v>
      </c>
      <c r="T569">
        <v>1</v>
      </c>
      <c r="U569">
        <v>1</v>
      </c>
      <c r="V569" s="2">
        <v>1</v>
      </c>
      <c r="W569">
        <v>0</v>
      </c>
      <c r="X569" t="s">
        <v>37</v>
      </c>
      <c r="Y569">
        <v>0</v>
      </c>
      <c r="Z569" t="s">
        <v>30</v>
      </c>
      <c r="AA569">
        <v>0</v>
      </c>
      <c r="AB569" t="s">
        <v>31</v>
      </c>
      <c r="AC569">
        <v>0</v>
      </c>
      <c r="AD569" t="s">
        <v>31</v>
      </c>
      <c r="AE569">
        <v>0</v>
      </c>
      <c r="AF569" t="s">
        <v>31</v>
      </c>
      <c r="AG569">
        <v>0</v>
      </c>
      <c r="AH569" t="s">
        <v>31</v>
      </c>
      <c r="AI569">
        <v>0</v>
      </c>
      <c r="AJ569" t="s">
        <v>31</v>
      </c>
      <c r="AK569">
        <v>0</v>
      </c>
      <c r="AL569" t="s">
        <v>31</v>
      </c>
      <c r="AM569">
        <v>0</v>
      </c>
      <c r="AN569" t="s">
        <v>31</v>
      </c>
      <c r="AO569">
        <v>0</v>
      </c>
      <c r="AP569" t="s">
        <v>31</v>
      </c>
      <c r="AQ569">
        <v>0</v>
      </c>
    </row>
    <row r="570" spans="1:43" x14ac:dyDescent="0.2">
      <c r="A570" t="s">
        <v>381</v>
      </c>
      <c r="B570" s="3">
        <v>44375</v>
      </c>
      <c r="C570">
        <v>141</v>
      </c>
      <c r="D570" t="s">
        <v>396</v>
      </c>
      <c r="E570" t="s">
        <v>38</v>
      </c>
      <c r="F570" s="9" t="s">
        <v>39</v>
      </c>
      <c r="G570" t="s">
        <v>26</v>
      </c>
      <c r="H570" t="s">
        <v>27</v>
      </c>
      <c r="I570" t="s">
        <v>28</v>
      </c>
      <c r="J570" t="s">
        <v>43</v>
      </c>
      <c r="K570" t="s">
        <v>44</v>
      </c>
      <c r="L570" t="s">
        <v>29</v>
      </c>
      <c r="M570" t="s">
        <v>30</v>
      </c>
      <c r="N570" t="s">
        <v>27</v>
      </c>
      <c r="O570" t="s">
        <v>28</v>
      </c>
      <c r="P570" t="s">
        <v>43</v>
      </c>
      <c r="Q570" t="s">
        <v>44</v>
      </c>
      <c r="R570" s="1">
        <v>44375.547581018516</v>
      </c>
      <c r="S570" s="1">
        <v>44375.547581018516</v>
      </c>
      <c r="T570">
        <v>0</v>
      </c>
      <c r="U570">
        <v>0</v>
      </c>
      <c r="V570" s="2">
        <v>0</v>
      </c>
      <c r="W570">
        <v>0</v>
      </c>
      <c r="X570" t="s">
        <v>37</v>
      </c>
      <c r="Y570">
        <v>0</v>
      </c>
      <c r="Z570" t="s">
        <v>31</v>
      </c>
      <c r="AA570">
        <v>0</v>
      </c>
      <c r="AB570" t="s">
        <v>31</v>
      </c>
      <c r="AC570">
        <v>0</v>
      </c>
      <c r="AD570" t="s">
        <v>31</v>
      </c>
      <c r="AE570">
        <v>0</v>
      </c>
      <c r="AF570" t="s">
        <v>31</v>
      </c>
      <c r="AG570">
        <v>0</v>
      </c>
      <c r="AH570" t="s">
        <v>31</v>
      </c>
      <c r="AI570">
        <v>0</v>
      </c>
      <c r="AJ570" t="s">
        <v>31</v>
      </c>
      <c r="AK570">
        <v>0</v>
      </c>
      <c r="AL570" t="s">
        <v>31</v>
      </c>
      <c r="AM570">
        <v>0</v>
      </c>
      <c r="AN570" t="s">
        <v>31</v>
      </c>
      <c r="AO570">
        <v>0</v>
      </c>
      <c r="AP570" t="s">
        <v>31</v>
      </c>
      <c r="AQ570">
        <v>0</v>
      </c>
    </row>
    <row r="571" spans="1:43" x14ac:dyDescent="0.2">
      <c r="A571" t="s">
        <v>381</v>
      </c>
      <c r="B571" s="3">
        <v>44207</v>
      </c>
      <c r="C571">
        <v>1</v>
      </c>
      <c r="D571" t="s">
        <v>384</v>
      </c>
      <c r="E571" t="s">
        <v>38</v>
      </c>
      <c r="F571" s="9" t="s">
        <v>40</v>
      </c>
      <c r="G571" t="s">
        <v>26</v>
      </c>
      <c r="H571" t="s">
        <v>41</v>
      </c>
      <c r="I571" t="s">
        <v>42</v>
      </c>
      <c r="J571" t="s">
        <v>43</v>
      </c>
      <c r="K571" t="s">
        <v>44</v>
      </c>
      <c r="L571" t="s">
        <v>29</v>
      </c>
      <c r="M571" t="s">
        <v>30</v>
      </c>
      <c r="N571" t="s">
        <v>41</v>
      </c>
      <c r="O571" t="s">
        <v>42</v>
      </c>
      <c r="P571" t="s">
        <v>43</v>
      </c>
      <c r="Q571" t="s">
        <v>44</v>
      </c>
      <c r="R571" s="1">
        <v>44207.469756944447</v>
      </c>
      <c r="S571" s="1">
        <v>44207.471956018519</v>
      </c>
      <c r="T571">
        <v>0</v>
      </c>
      <c r="U571">
        <v>5</v>
      </c>
      <c r="V571" s="2">
        <v>0</v>
      </c>
      <c r="W571">
        <v>0</v>
      </c>
      <c r="X571" t="s">
        <v>44</v>
      </c>
      <c r="Y571">
        <v>0</v>
      </c>
      <c r="Z571" t="s">
        <v>44</v>
      </c>
      <c r="AA571">
        <v>0</v>
      </c>
      <c r="AB571" t="s">
        <v>45</v>
      </c>
      <c r="AC571">
        <v>0</v>
      </c>
      <c r="AD571" t="s">
        <v>46</v>
      </c>
      <c r="AE571">
        <v>0</v>
      </c>
      <c r="AF571" t="s">
        <v>47</v>
      </c>
      <c r="AG571">
        <v>0</v>
      </c>
      <c r="AH571" t="s">
        <v>31</v>
      </c>
      <c r="AI571">
        <v>0</v>
      </c>
      <c r="AJ571" t="s">
        <v>31</v>
      </c>
      <c r="AK571">
        <v>0</v>
      </c>
      <c r="AL571" t="s">
        <v>31</v>
      </c>
      <c r="AM571">
        <v>0</v>
      </c>
      <c r="AN571" t="s">
        <v>31</v>
      </c>
      <c r="AO571">
        <v>0</v>
      </c>
      <c r="AP571" t="s">
        <v>31</v>
      </c>
      <c r="AQ571">
        <v>0</v>
      </c>
    </row>
    <row r="572" spans="1:43" x14ac:dyDescent="0.2">
      <c r="A572" t="s">
        <v>381</v>
      </c>
      <c r="B572" s="3">
        <v>44236</v>
      </c>
      <c r="C572">
        <v>3</v>
      </c>
      <c r="D572" t="s">
        <v>385</v>
      </c>
      <c r="E572" t="s">
        <v>38</v>
      </c>
      <c r="F572" s="9" t="s">
        <v>40</v>
      </c>
      <c r="G572" t="s">
        <v>26</v>
      </c>
      <c r="H572" t="s">
        <v>41</v>
      </c>
      <c r="I572" t="s">
        <v>42</v>
      </c>
      <c r="J572" t="s">
        <v>43</v>
      </c>
      <c r="K572" t="s">
        <v>44</v>
      </c>
      <c r="L572" t="s">
        <v>29</v>
      </c>
      <c r="M572" t="s">
        <v>30</v>
      </c>
      <c r="N572" t="s">
        <v>27</v>
      </c>
      <c r="O572" t="s">
        <v>28</v>
      </c>
      <c r="P572" t="s">
        <v>29</v>
      </c>
      <c r="Q572" t="s">
        <v>30</v>
      </c>
      <c r="R572" s="1">
        <v>44236.639988425923</v>
      </c>
      <c r="S572" s="1">
        <v>44236.642071759263</v>
      </c>
      <c r="T572">
        <v>0</v>
      </c>
      <c r="U572">
        <v>5</v>
      </c>
      <c r="V572" s="2">
        <v>0</v>
      </c>
      <c r="W572">
        <v>0</v>
      </c>
      <c r="X572" t="s">
        <v>44</v>
      </c>
      <c r="Y572">
        <v>0</v>
      </c>
      <c r="Z572" t="s">
        <v>44</v>
      </c>
      <c r="AA572">
        <v>0</v>
      </c>
      <c r="AB572" t="s">
        <v>45</v>
      </c>
      <c r="AC572">
        <v>0</v>
      </c>
      <c r="AD572" t="s">
        <v>46</v>
      </c>
      <c r="AE572">
        <v>0</v>
      </c>
      <c r="AF572" t="s">
        <v>47</v>
      </c>
      <c r="AG572">
        <v>0</v>
      </c>
      <c r="AH572" t="s">
        <v>31</v>
      </c>
      <c r="AI572">
        <v>0</v>
      </c>
      <c r="AJ572" t="s">
        <v>31</v>
      </c>
      <c r="AK572">
        <v>0</v>
      </c>
      <c r="AL572" t="s">
        <v>31</v>
      </c>
      <c r="AM572">
        <v>0</v>
      </c>
      <c r="AN572" t="s">
        <v>31</v>
      </c>
      <c r="AO572">
        <v>0</v>
      </c>
      <c r="AP572" t="s">
        <v>31</v>
      </c>
      <c r="AQ572">
        <v>0</v>
      </c>
    </row>
    <row r="573" spans="1:43" x14ac:dyDescent="0.2">
      <c r="A573" t="s">
        <v>381</v>
      </c>
      <c r="B573" s="3">
        <v>44239</v>
      </c>
      <c r="C573">
        <v>7</v>
      </c>
      <c r="D573" t="s">
        <v>384</v>
      </c>
      <c r="E573" t="s">
        <v>38</v>
      </c>
      <c r="F573" s="9" t="s">
        <v>40</v>
      </c>
      <c r="G573" t="s">
        <v>26</v>
      </c>
      <c r="H573" t="s">
        <v>27</v>
      </c>
      <c r="I573" t="s">
        <v>28</v>
      </c>
      <c r="J573" t="s">
        <v>29</v>
      </c>
      <c r="K573" t="s">
        <v>30</v>
      </c>
      <c r="L573" t="s">
        <v>29</v>
      </c>
      <c r="M573" t="s">
        <v>30</v>
      </c>
      <c r="N573" t="s">
        <v>27</v>
      </c>
      <c r="O573" t="s">
        <v>28</v>
      </c>
      <c r="P573" t="s">
        <v>29</v>
      </c>
      <c r="Q573" t="s">
        <v>30</v>
      </c>
      <c r="R573" s="1">
        <v>44239.42260416667</v>
      </c>
      <c r="S573" s="1">
        <v>44239.423807870371</v>
      </c>
      <c r="T573">
        <v>4</v>
      </c>
      <c r="U573">
        <v>4</v>
      </c>
      <c r="V573" s="2">
        <v>1</v>
      </c>
      <c r="W573">
        <v>0</v>
      </c>
      <c r="X573" t="s">
        <v>37</v>
      </c>
      <c r="Y573">
        <v>0</v>
      </c>
      <c r="Z573" t="s">
        <v>30</v>
      </c>
      <c r="AA573">
        <v>0</v>
      </c>
      <c r="AB573" t="s">
        <v>30</v>
      </c>
      <c r="AC573">
        <v>0</v>
      </c>
      <c r="AD573" t="s">
        <v>37</v>
      </c>
      <c r="AE573">
        <v>0</v>
      </c>
      <c r="AF573" t="s">
        <v>37</v>
      </c>
      <c r="AG573">
        <v>0</v>
      </c>
      <c r="AH573" t="s">
        <v>30</v>
      </c>
      <c r="AI573">
        <v>0</v>
      </c>
      <c r="AJ573" t="s">
        <v>30</v>
      </c>
      <c r="AK573">
        <v>0</v>
      </c>
      <c r="AL573" t="s">
        <v>31</v>
      </c>
      <c r="AM573">
        <v>0</v>
      </c>
      <c r="AN573" t="s">
        <v>31</v>
      </c>
      <c r="AO573">
        <v>0</v>
      </c>
      <c r="AP573" t="s">
        <v>31</v>
      </c>
      <c r="AQ573">
        <v>0</v>
      </c>
    </row>
    <row r="574" spans="1:43" x14ac:dyDescent="0.2">
      <c r="A574" t="s">
        <v>381</v>
      </c>
      <c r="B574" s="3">
        <v>44242</v>
      </c>
      <c r="C574">
        <v>8</v>
      </c>
      <c r="D574" t="s">
        <v>384</v>
      </c>
      <c r="E574" t="s">
        <v>38</v>
      </c>
      <c r="F574" s="9" t="s">
        <v>40</v>
      </c>
      <c r="G574" t="s">
        <v>26</v>
      </c>
      <c r="H574" t="s">
        <v>27</v>
      </c>
      <c r="I574" t="s">
        <v>28</v>
      </c>
      <c r="J574" t="s">
        <v>29</v>
      </c>
      <c r="K574" t="s">
        <v>30</v>
      </c>
      <c r="L574" t="s">
        <v>29</v>
      </c>
      <c r="M574" t="s">
        <v>30</v>
      </c>
      <c r="N574" t="s">
        <v>27</v>
      </c>
      <c r="O574" t="s">
        <v>28</v>
      </c>
      <c r="P574" t="s">
        <v>29</v>
      </c>
      <c r="Q574" t="s">
        <v>30</v>
      </c>
      <c r="R574" s="1">
        <v>44242.45815972222</v>
      </c>
      <c r="S574" s="1">
        <v>44242.458495370367</v>
      </c>
      <c r="T574">
        <v>1</v>
      </c>
      <c r="U574">
        <v>1</v>
      </c>
      <c r="V574" s="2">
        <v>1</v>
      </c>
      <c r="W574">
        <v>0</v>
      </c>
      <c r="X574" t="s">
        <v>37</v>
      </c>
      <c r="Y574">
        <v>0</v>
      </c>
      <c r="Z574" t="s">
        <v>37</v>
      </c>
      <c r="AA574">
        <v>0</v>
      </c>
      <c r="AB574" t="s">
        <v>37</v>
      </c>
      <c r="AC574">
        <v>0</v>
      </c>
      <c r="AD574" t="s">
        <v>30</v>
      </c>
      <c r="AE574">
        <v>0</v>
      </c>
      <c r="AF574" t="s">
        <v>31</v>
      </c>
      <c r="AG574">
        <v>0</v>
      </c>
      <c r="AH574" t="s">
        <v>31</v>
      </c>
      <c r="AI574">
        <v>0</v>
      </c>
      <c r="AJ574" t="s">
        <v>31</v>
      </c>
      <c r="AK574">
        <v>0</v>
      </c>
      <c r="AL574" t="s">
        <v>31</v>
      </c>
      <c r="AM574">
        <v>0</v>
      </c>
      <c r="AN574" t="s">
        <v>31</v>
      </c>
      <c r="AO574">
        <v>0</v>
      </c>
      <c r="AP574" t="s">
        <v>31</v>
      </c>
      <c r="AQ574">
        <v>0</v>
      </c>
    </row>
    <row r="575" spans="1:43" x14ac:dyDescent="0.2">
      <c r="A575" t="s">
        <v>381</v>
      </c>
      <c r="B575" s="3">
        <v>44243</v>
      </c>
      <c r="C575">
        <v>9</v>
      </c>
      <c r="D575" t="s">
        <v>382</v>
      </c>
      <c r="E575" t="s">
        <v>38</v>
      </c>
      <c r="F575" s="9" t="s">
        <v>40</v>
      </c>
      <c r="G575" t="s">
        <v>26</v>
      </c>
      <c r="H575" t="s">
        <v>27</v>
      </c>
      <c r="I575" t="s">
        <v>28</v>
      </c>
      <c r="J575" t="s">
        <v>29</v>
      </c>
      <c r="K575" t="s">
        <v>30</v>
      </c>
      <c r="L575" t="s">
        <v>29</v>
      </c>
      <c r="M575" t="s">
        <v>30</v>
      </c>
      <c r="N575" t="s">
        <v>27</v>
      </c>
      <c r="O575" t="s">
        <v>28</v>
      </c>
      <c r="P575" t="s">
        <v>29</v>
      </c>
      <c r="Q575" t="s">
        <v>30</v>
      </c>
      <c r="R575" s="1">
        <v>44243.436793981484</v>
      </c>
      <c r="S575" s="1">
        <v>44243.436805555553</v>
      </c>
      <c r="T575">
        <v>0</v>
      </c>
      <c r="U575">
        <v>0</v>
      </c>
      <c r="V575" s="2">
        <v>0</v>
      </c>
      <c r="W575">
        <v>0</v>
      </c>
      <c r="X575" t="s">
        <v>37</v>
      </c>
      <c r="Y575">
        <v>0</v>
      </c>
      <c r="Z575" t="s">
        <v>37</v>
      </c>
      <c r="AA575">
        <v>0</v>
      </c>
      <c r="AB575" t="s">
        <v>37</v>
      </c>
      <c r="AC575">
        <v>0</v>
      </c>
      <c r="AD575" t="s">
        <v>31</v>
      </c>
      <c r="AE575">
        <v>0</v>
      </c>
      <c r="AF575" t="s">
        <v>31</v>
      </c>
      <c r="AG575">
        <v>0</v>
      </c>
      <c r="AH575" t="s">
        <v>31</v>
      </c>
      <c r="AI575">
        <v>0</v>
      </c>
      <c r="AJ575" t="s">
        <v>31</v>
      </c>
      <c r="AK575">
        <v>0</v>
      </c>
      <c r="AL575" t="s">
        <v>31</v>
      </c>
      <c r="AM575">
        <v>0</v>
      </c>
      <c r="AN575" t="s">
        <v>31</v>
      </c>
      <c r="AO575">
        <v>0</v>
      </c>
      <c r="AP575" t="s">
        <v>31</v>
      </c>
      <c r="AQ575">
        <v>0</v>
      </c>
    </row>
    <row r="576" spans="1:43" x14ac:dyDescent="0.2">
      <c r="A576" t="s">
        <v>381</v>
      </c>
      <c r="B576" s="3">
        <v>44243</v>
      </c>
      <c r="C576">
        <v>10</v>
      </c>
      <c r="D576" t="s">
        <v>385</v>
      </c>
      <c r="E576" t="s">
        <v>38</v>
      </c>
      <c r="F576" s="9" t="s">
        <v>40</v>
      </c>
      <c r="G576" t="s">
        <v>26</v>
      </c>
      <c r="H576" t="s">
        <v>27</v>
      </c>
      <c r="I576" t="s">
        <v>28</v>
      </c>
      <c r="J576" t="s">
        <v>29</v>
      </c>
      <c r="K576" t="s">
        <v>30</v>
      </c>
      <c r="L576" t="s">
        <v>29</v>
      </c>
      <c r="M576" t="s">
        <v>30</v>
      </c>
      <c r="N576" t="s">
        <v>27</v>
      </c>
      <c r="O576" t="s">
        <v>28</v>
      </c>
      <c r="P576" t="s">
        <v>29</v>
      </c>
      <c r="Q576" t="s">
        <v>30</v>
      </c>
      <c r="R576" s="1">
        <v>44243.664537037039</v>
      </c>
      <c r="S576" s="1">
        <v>44243.665312500001</v>
      </c>
      <c r="T576">
        <v>0</v>
      </c>
      <c r="U576">
        <v>0</v>
      </c>
      <c r="V576" s="2">
        <v>0</v>
      </c>
      <c r="W576">
        <v>0</v>
      </c>
      <c r="X576" t="s">
        <v>37</v>
      </c>
      <c r="Y576">
        <v>0</v>
      </c>
      <c r="Z576" t="s">
        <v>37</v>
      </c>
      <c r="AA576">
        <v>0</v>
      </c>
      <c r="AB576" t="s">
        <v>37</v>
      </c>
      <c r="AC576">
        <v>0</v>
      </c>
      <c r="AD576" t="s">
        <v>37</v>
      </c>
      <c r="AE576">
        <v>0</v>
      </c>
      <c r="AF576" t="s">
        <v>31</v>
      </c>
      <c r="AG576">
        <v>0</v>
      </c>
      <c r="AH576" t="s">
        <v>31</v>
      </c>
      <c r="AI576">
        <v>0</v>
      </c>
      <c r="AJ576" t="s">
        <v>31</v>
      </c>
      <c r="AK576">
        <v>0</v>
      </c>
      <c r="AL576" t="s">
        <v>31</v>
      </c>
      <c r="AM576">
        <v>0</v>
      </c>
      <c r="AN576" t="s">
        <v>31</v>
      </c>
      <c r="AO576">
        <v>0</v>
      </c>
      <c r="AP576" t="s">
        <v>31</v>
      </c>
      <c r="AQ576">
        <v>0</v>
      </c>
    </row>
    <row r="577" spans="1:43" x14ac:dyDescent="0.2">
      <c r="A577" t="s">
        <v>381</v>
      </c>
      <c r="B577" s="3">
        <v>44244</v>
      </c>
      <c r="C577">
        <v>11</v>
      </c>
      <c r="D577" t="s">
        <v>384</v>
      </c>
      <c r="E577" t="s">
        <v>38</v>
      </c>
      <c r="F577" s="9" t="s">
        <v>40</v>
      </c>
      <c r="G577" t="s">
        <v>26</v>
      </c>
      <c r="H577" t="s">
        <v>27</v>
      </c>
      <c r="I577" t="s">
        <v>28</v>
      </c>
      <c r="J577" t="s">
        <v>29</v>
      </c>
      <c r="K577" t="s">
        <v>30</v>
      </c>
      <c r="L577" t="s">
        <v>29</v>
      </c>
      <c r="M577" t="s">
        <v>30</v>
      </c>
      <c r="N577" t="s">
        <v>27</v>
      </c>
      <c r="O577" t="s">
        <v>28</v>
      </c>
      <c r="P577" t="s">
        <v>29</v>
      </c>
      <c r="Q577" t="s">
        <v>30</v>
      </c>
      <c r="R577" s="1">
        <v>44244.470891203702</v>
      </c>
      <c r="S577" s="1">
        <v>44244.470983796295</v>
      </c>
      <c r="T577">
        <v>3</v>
      </c>
      <c r="U577">
        <v>3</v>
      </c>
      <c r="V577" s="2">
        <v>1</v>
      </c>
      <c r="W577">
        <v>0</v>
      </c>
      <c r="X577" t="s">
        <v>30</v>
      </c>
      <c r="Y577">
        <v>0</v>
      </c>
      <c r="Z577" t="s">
        <v>30</v>
      </c>
      <c r="AA577">
        <v>0</v>
      </c>
      <c r="AB577" t="s">
        <v>30</v>
      </c>
      <c r="AC577">
        <v>0</v>
      </c>
      <c r="AD577" t="s">
        <v>31</v>
      </c>
      <c r="AE577">
        <v>0</v>
      </c>
      <c r="AF577" t="s">
        <v>31</v>
      </c>
      <c r="AG577">
        <v>0</v>
      </c>
      <c r="AH577" t="s">
        <v>31</v>
      </c>
      <c r="AI577">
        <v>0</v>
      </c>
      <c r="AJ577" t="s">
        <v>31</v>
      </c>
      <c r="AK577">
        <v>0</v>
      </c>
      <c r="AL577" t="s">
        <v>31</v>
      </c>
      <c r="AM577">
        <v>0</v>
      </c>
      <c r="AN577" t="s">
        <v>31</v>
      </c>
      <c r="AO577">
        <v>0</v>
      </c>
      <c r="AP577" t="s">
        <v>31</v>
      </c>
      <c r="AQ577">
        <v>0</v>
      </c>
    </row>
    <row r="578" spans="1:43" x14ac:dyDescent="0.2">
      <c r="A578" t="s">
        <v>381</v>
      </c>
      <c r="B578" s="3">
        <v>44245</v>
      </c>
      <c r="C578">
        <v>12</v>
      </c>
      <c r="D578" t="s">
        <v>382</v>
      </c>
      <c r="E578" t="s">
        <v>38</v>
      </c>
      <c r="F578" s="9" t="s">
        <v>40</v>
      </c>
      <c r="G578" t="s">
        <v>26</v>
      </c>
      <c r="H578" t="s">
        <v>27</v>
      </c>
      <c r="I578" t="s">
        <v>28</v>
      </c>
      <c r="J578" t="s">
        <v>29</v>
      </c>
      <c r="K578" t="s">
        <v>30</v>
      </c>
      <c r="L578" t="s">
        <v>29</v>
      </c>
      <c r="M578" t="s">
        <v>30</v>
      </c>
      <c r="N578" t="s">
        <v>27</v>
      </c>
      <c r="O578" t="s">
        <v>28</v>
      </c>
      <c r="P578" t="s">
        <v>29</v>
      </c>
      <c r="Q578" t="s">
        <v>30</v>
      </c>
      <c r="R578" s="1">
        <v>44245.429351851853</v>
      </c>
      <c r="S578" s="1">
        <v>44245.429363425923</v>
      </c>
      <c r="T578">
        <v>0</v>
      </c>
      <c r="U578">
        <v>0</v>
      </c>
      <c r="V578" s="2">
        <v>0</v>
      </c>
      <c r="W578">
        <v>0</v>
      </c>
      <c r="X578" t="s">
        <v>37</v>
      </c>
      <c r="Y578">
        <v>0</v>
      </c>
      <c r="Z578" t="s">
        <v>37</v>
      </c>
      <c r="AA578">
        <v>0</v>
      </c>
      <c r="AB578" t="s">
        <v>37</v>
      </c>
      <c r="AC578">
        <v>0</v>
      </c>
      <c r="AD578" t="s">
        <v>31</v>
      </c>
      <c r="AE578">
        <v>0</v>
      </c>
      <c r="AF578" t="s">
        <v>31</v>
      </c>
      <c r="AG578">
        <v>0</v>
      </c>
      <c r="AH578" t="s">
        <v>31</v>
      </c>
      <c r="AI578">
        <v>0</v>
      </c>
      <c r="AJ578" t="s">
        <v>31</v>
      </c>
      <c r="AK578">
        <v>0</v>
      </c>
      <c r="AL578" t="s">
        <v>31</v>
      </c>
      <c r="AM578">
        <v>0</v>
      </c>
      <c r="AN578" t="s">
        <v>31</v>
      </c>
      <c r="AO578">
        <v>0</v>
      </c>
      <c r="AP578" t="s">
        <v>31</v>
      </c>
      <c r="AQ578">
        <v>0</v>
      </c>
    </row>
    <row r="579" spans="1:43" x14ac:dyDescent="0.2">
      <c r="A579" t="s">
        <v>381</v>
      </c>
      <c r="B579" s="3">
        <v>44246</v>
      </c>
      <c r="C579">
        <v>14</v>
      </c>
      <c r="D579" t="s">
        <v>384</v>
      </c>
      <c r="E579" t="s">
        <v>38</v>
      </c>
      <c r="F579" s="9" t="s">
        <v>40</v>
      </c>
      <c r="G579" t="s">
        <v>26</v>
      </c>
      <c r="H579" t="s">
        <v>27</v>
      </c>
      <c r="I579" t="s">
        <v>28</v>
      </c>
      <c r="J579" t="s">
        <v>29</v>
      </c>
      <c r="K579" t="s">
        <v>30</v>
      </c>
      <c r="L579" t="s">
        <v>29</v>
      </c>
      <c r="M579" t="s">
        <v>30</v>
      </c>
      <c r="N579" t="s">
        <v>41</v>
      </c>
      <c r="O579" t="s">
        <v>42</v>
      </c>
      <c r="P579" t="s">
        <v>43</v>
      </c>
      <c r="Q579" t="s">
        <v>44</v>
      </c>
      <c r="R579" s="1">
        <v>44246.462523148148</v>
      </c>
      <c r="S579" s="1">
        <v>44246.46298611111</v>
      </c>
      <c r="T579">
        <v>1</v>
      </c>
      <c r="U579">
        <v>1</v>
      </c>
      <c r="V579" s="2">
        <v>1</v>
      </c>
      <c r="W579">
        <v>0</v>
      </c>
      <c r="X579" t="s">
        <v>37</v>
      </c>
      <c r="Y579">
        <v>0</v>
      </c>
      <c r="Z579" t="s">
        <v>37</v>
      </c>
      <c r="AA579">
        <v>0</v>
      </c>
      <c r="AB579" t="s">
        <v>37</v>
      </c>
      <c r="AC579">
        <v>0</v>
      </c>
      <c r="AD579" t="s">
        <v>30</v>
      </c>
      <c r="AE579">
        <v>0</v>
      </c>
      <c r="AF579" t="s">
        <v>31</v>
      </c>
      <c r="AG579">
        <v>0</v>
      </c>
      <c r="AH579" t="s">
        <v>31</v>
      </c>
      <c r="AI579">
        <v>0</v>
      </c>
      <c r="AJ579" t="s">
        <v>31</v>
      </c>
      <c r="AK579">
        <v>0</v>
      </c>
      <c r="AL579" t="s">
        <v>31</v>
      </c>
      <c r="AM579">
        <v>0</v>
      </c>
      <c r="AN579" t="s">
        <v>31</v>
      </c>
      <c r="AO579">
        <v>0</v>
      </c>
      <c r="AP579" t="s">
        <v>31</v>
      </c>
      <c r="AQ579">
        <v>0</v>
      </c>
    </row>
    <row r="580" spans="1:43" x14ac:dyDescent="0.2">
      <c r="A580" t="s">
        <v>381</v>
      </c>
      <c r="B580" s="3">
        <v>44250</v>
      </c>
      <c r="C580">
        <v>16</v>
      </c>
      <c r="D580" t="s">
        <v>382</v>
      </c>
      <c r="E580" t="s">
        <v>38</v>
      </c>
      <c r="F580" s="9" t="s">
        <v>40</v>
      </c>
      <c r="G580" t="s">
        <v>26</v>
      </c>
      <c r="H580" t="s">
        <v>41</v>
      </c>
      <c r="I580" t="s">
        <v>42</v>
      </c>
      <c r="J580" t="s">
        <v>43</v>
      </c>
      <c r="K580" t="s">
        <v>44</v>
      </c>
      <c r="L580" t="s">
        <v>29</v>
      </c>
      <c r="M580" t="s">
        <v>30</v>
      </c>
      <c r="N580" t="s">
        <v>41</v>
      </c>
      <c r="O580" t="s">
        <v>42</v>
      </c>
      <c r="P580" t="s">
        <v>43</v>
      </c>
      <c r="Q580" t="s">
        <v>44</v>
      </c>
      <c r="R580" s="1">
        <v>44250.38957175926</v>
      </c>
      <c r="S580" s="1">
        <v>44250.390150462961</v>
      </c>
      <c r="T580">
        <v>0</v>
      </c>
      <c r="U580">
        <v>5</v>
      </c>
      <c r="V580" s="2">
        <v>0</v>
      </c>
      <c r="W580">
        <v>0</v>
      </c>
      <c r="X580" t="s">
        <v>44</v>
      </c>
      <c r="Y580">
        <v>0</v>
      </c>
      <c r="Z580" t="s">
        <v>44</v>
      </c>
      <c r="AA580">
        <v>0</v>
      </c>
      <c r="AB580" t="s">
        <v>45</v>
      </c>
      <c r="AC580">
        <v>0</v>
      </c>
      <c r="AD580" t="s">
        <v>46</v>
      </c>
      <c r="AE580">
        <v>0</v>
      </c>
      <c r="AF580" t="s">
        <v>47</v>
      </c>
      <c r="AG580">
        <v>0</v>
      </c>
      <c r="AH580" t="s">
        <v>31</v>
      </c>
      <c r="AI580">
        <v>0</v>
      </c>
      <c r="AJ580" t="s">
        <v>31</v>
      </c>
      <c r="AK580">
        <v>0</v>
      </c>
      <c r="AL580" t="s">
        <v>31</v>
      </c>
      <c r="AM580">
        <v>0</v>
      </c>
      <c r="AN580" t="s">
        <v>31</v>
      </c>
      <c r="AO580">
        <v>0</v>
      </c>
      <c r="AP580" t="s">
        <v>31</v>
      </c>
      <c r="AQ580">
        <v>0</v>
      </c>
    </row>
    <row r="581" spans="1:43" x14ac:dyDescent="0.2">
      <c r="A581" t="s">
        <v>381</v>
      </c>
      <c r="B581" s="3">
        <v>44250</v>
      </c>
      <c r="C581">
        <v>17</v>
      </c>
      <c r="D581" t="s">
        <v>385</v>
      </c>
      <c r="E581" t="s">
        <v>38</v>
      </c>
      <c r="F581" s="9" t="s">
        <v>40</v>
      </c>
      <c r="G581" t="s">
        <v>26</v>
      </c>
      <c r="H581" t="s">
        <v>41</v>
      </c>
      <c r="I581" t="s">
        <v>42</v>
      </c>
      <c r="J581" t="s">
        <v>43</v>
      </c>
      <c r="K581" t="s">
        <v>44</v>
      </c>
      <c r="L581" t="s">
        <v>29</v>
      </c>
      <c r="M581" t="s">
        <v>30</v>
      </c>
      <c r="N581" t="s">
        <v>27</v>
      </c>
      <c r="O581" t="s">
        <v>28</v>
      </c>
      <c r="P581" t="s">
        <v>29</v>
      </c>
      <c r="Q581" t="s">
        <v>30</v>
      </c>
      <c r="R581" s="1">
        <v>44250.632141203707</v>
      </c>
      <c r="S581" s="1">
        <v>44250.632974537039</v>
      </c>
      <c r="T581">
        <v>1</v>
      </c>
      <c r="U581">
        <v>6</v>
      </c>
      <c r="V581" s="2">
        <v>0.16</v>
      </c>
      <c r="W581">
        <v>0</v>
      </c>
      <c r="X581" t="s">
        <v>30</v>
      </c>
      <c r="Y581">
        <v>0</v>
      </c>
      <c r="Z581" t="s">
        <v>44</v>
      </c>
      <c r="AA581">
        <v>0</v>
      </c>
      <c r="AB581" t="s">
        <v>44</v>
      </c>
      <c r="AC581">
        <v>0</v>
      </c>
      <c r="AD581" t="s">
        <v>45</v>
      </c>
      <c r="AE581">
        <v>0</v>
      </c>
      <c r="AF581" t="s">
        <v>46</v>
      </c>
      <c r="AG581">
        <v>0</v>
      </c>
      <c r="AH581" t="s">
        <v>47</v>
      </c>
      <c r="AI581">
        <v>0</v>
      </c>
      <c r="AJ581" t="s">
        <v>31</v>
      </c>
      <c r="AK581">
        <v>0</v>
      </c>
      <c r="AL581" t="s">
        <v>31</v>
      </c>
      <c r="AM581">
        <v>0</v>
      </c>
      <c r="AN581" t="s">
        <v>31</v>
      </c>
      <c r="AO581">
        <v>0</v>
      </c>
      <c r="AP581" t="s">
        <v>31</v>
      </c>
      <c r="AQ581">
        <v>0</v>
      </c>
    </row>
    <row r="582" spans="1:43" x14ac:dyDescent="0.2">
      <c r="A582" t="s">
        <v>381</v>
      </c>
      <c r="B582" s="3">
        <v>44251</v>
      </c>
      <c r="C582">
        <v>18</v>
      </c>
      <c r="D582" t="s">
        <v>384</v>
      </c>
      <c r="E582" t="s">
        <v>38</v>
      </c>
      <c r="F582" s="9" t="s">
        <v>40</v>
      </c>
      <c r="G582" t="s">
        <v>26</v>
      </c>
      <c r="H582" t="s">
        <v>27</v>
      </c>
      <c r="I582" t="s">
        <v>28</v>
      </c>
      <c r="J582" t="s">
        <v>29</v>
      </c>
      <c r="K582" t="s">
        <v>30</v>
      </c>
      <c r="L582" t="s">
        <v>29</v>
      </c>
      <c r="M582" t="s">
        <v>30</v>
      </c>
      <c r="N582" t="s">
        <v>27</v>
      </c>
      <c r="O582" t="s">
        <v>28</v>
      </c>
      <c r="P582" t="s">
        <v>29</v>
      </c>
      <c r="Q582" t="s">
        <v>30</v>
      </c>
      <c r="R582" s="1">
        <v>44251.449004629627</v>
      </c>
      <c r="S582" s="1">
        <v>44251.449062500003</v>
      </c>
      <c r="T582">
        <v>1</v>
      </c>
      <c r="U582">
        <v>1</v>
      </c>
      <c r="V582" s="2">
        <v>1</v>
      </c>
      <c r="W582">
        <v>0</v>
      </c>
      <c r="X582" t="s">
        <v>37</v>
      </c>
      <c r="Y582">
        <v>0</v>
      </c>
      <c r="Z582" t="s">
        <v>30</v>
      </c>
      <c r="AA582">
        <v>0</v>
      </c>
      <c r="AB582" t="s">
        <v>31</v>
      </c>
      <c r="AC582">
        <v>0</v>
      </c>
      <c r="AD582" t="s">
        <v>31</v>
      </c>
      <c r="AE582">
        <v>0</v>
      </c>
      <c r="AF582" t="s">
        <v>31</v>
      </c>
      <c r="AG582">
        <v>0</v>
      </c>
      <c r="AH582" t="s">
        <v>31</v>
      </c>
      <c r="AI582">
        <v>0</v>
      </c>
      <c r="AJ582" t="s">
        <v>31</v>
      </c>
      <c r="AK582">
        <v>0</v>
      </c>
      <c r="AL582" t="s">
        <v>31</v>
      </c>
      <c r="AM582">
        <v>0</v>
      </c>
      <c r="AN582" t="s">
        <v>31</v>
      </c>
      <c r="AO582">
        <v>0</v>
      </c>
      <c r="AP582" t="s">
        <v>31</v>
      </c>
      <c r="AQ582">
        <v>0</v>
      </c>
    </row>
    <row r="583" spans="1:43" x14ac:dyDescent="0.2">
      <c r="A583" t="s">
        <v>381</v>
      </c>
      <c r="B583" s="3">
        <v>44252</v>
      </c>
      <c r="C583">
        <v>19</v>
      </c>
      <c r="D583" t="s">
        <v>382</v>
      </c>
      <c r="E583" t="s">
        <v>38</v>
      </c>
      <c r="F583" s="9" t="s">
        <v>40</v>
      </c>
      <c r="G583" t="s">
        <v>26</v>
      </c>
      <c r="H583" t="s">
        <v>27</v>
      </c>
      <c r="I583" t="s">
        <v>28</v>
      </c>
      <c r="J583" t="s">
        <v>29</v>
      </c>
      <c r="K583" t="s">
        <v>30</v>
      </c>
      <c r="L583" t="s">
        <v>29</v>
      </c>
      <c r="M583" t="s">
        <v>30</v>
      </c>
      <c r="N583" t="s">
        <v>27</v>
      </c>
      <c r="O583" t="s">
        <v>28</v>
      </c>
      <c r="P583" t="s">
        <v>29</v>
      </c>
      <c r="Q583" t="s">
        <v>30</v>
      </c>
      <c r="R583" s="1">
        <v>44252.431585648148</v>
      </c>
      <c r="S583" s="1">
        <v>44252.431608796294</v>
      </c>
      <c r="T583">
        <v>0</v>
      </c>
      <c r="U583">
        <v>0</v>
      </c>
      <c r="V583" s="2">
        <v>0</v>
      </c>
      <c r="W583">
        <v>0</v>
      </c>
      <c r="X583" t="s">
        <v>37</v>
      </c>
      <c r="Y583">
        <v>0</v>
      </c>
      <c r="Z583" t="s">
        <v>37</v>
      </c>
      <c r="AA583">
        <v>0</v>
      </c>
      <c r="AB583" t="s">
        <v>37</v>
      </c>
      <c r="AC583">
        <v>0</v>
      </c>
      <c r="AD583" t="s">
        <v>31</v>
      </c>
      <c r="AE583">
        <v>0</v>
      </c>
      <c r="AF583" t="s">
        <v>31</v>
      </c>
      <c r="AG583">
        <v>0</v>
      </c>
      <c r="AH583" t="s">
        <v>31</v>
      </c>
      <c r="AI583">
        <v>0</v>
      </c>
      <c r="AJ583" t="s">
        <v>31</v>
      </c>
      <c r="AK583">
        <v>0</v>
      </c>
      <c r="AL583" t="s">
        <v>31</v>
      </c>
      <c r="AM583">
        <v>0</v>
      </c>
      <c r="AN583" t="s">
        <v>31</v>
      </c>
      <c r="AO583">
        <v>0</v>
      </c>
      <c r="AP583" t="s">
        <v>31</v>
      </c>
      <c r="AQ583">
        <v>0</v>
      </c>
    </row>
    <row r="584" spans="1:43" x14ac:dyDescent="0.2">
      <c r="A584" t="s">
        <v>381</v>
      </c>
      <c r="B584" s="3">
        <v>44252</v>
      </c>
      <c r="C584">
        <v>20</v>
      </c>
      <c r="D584" t="s">
        <v>385</v>
      </c>
      <c r="E584" t="s">
        <v>38</v>
      </c>
      <c r="F584" s="9" t="s">
        <v>40</v>
      </c>
      <c r="G584" t="s">
        <v>26</v>
      </c>
      <c r="H584" t="s">
        <v>27</v>
      </c>
      <c r="I584" t="s">
        <v>28</v>
      </c>
      <c r="J584" t="s">
        <v>29</v>
      </c>
      <c r="K584" t="s">
        <v>30</v>
      </c>
      <c r="L584" t="s">
        <v>29</v>
      </c>
      <c r="M584" t="s">
        <v>30</v>
      </c>
      <c r="N584" t="s">
        <v>27</v>
      </c>
      <c r="O584" t="s">
        <v>28</v>
      </c>
      <c r="P584" t="s">
        <v>29</v>
      </c>
      <c r="Q584" t="s">
        <v>30</v>
      </c>
      <c r="R584" s="1">
        <v>44252.584131944444</v>
      </c>
      <c r="S584" s="1">
        <v>44252.584143518521</v>
      </c>
      <c r="T584">
        <v>0</v>
      </c>
      <c r="U584">
        <v>0</v>
      </c>
      <c r="V584" s="2">
        <v>0</v>
      </c>
      <c r="W584">
        <v>0</v>
      </c>
      <c r="X584" t="s">
        <v>37</v>
      </c>
      <c r="Y584">
        <v>0</v>
      </c>
      <c r="Z584" t="s">
        <v>37</v>
      </c>
      <c r="AA584">
        <v>0</v>
      </c>
      <c r="AB584" t="s">
        <v>37</v>
      </c>
      <c r="AC584">
        <v>0</v>
      </c>
      <c r="AD584" t="s">
        <v>37</v>
      </c>
      <c r="AE584">
        <v>0</v>
      </c>
      <c r="AF584" t="s">
        <v>31</v>
      </c>
      <c r="AG584">
        <v>0</v>
      </c>
      <c r="AH584" t="s">
        <v>31</v>
      </c>
      <c r="AI584">
        <v>0</v>
      </c>
      <c r="AJ584" t="s">
        <v>31</v>
      </c>
      <c r="AK584">
        <v>0</v>
      </c>
      <c r="AL584" t="s">
        <v>31</v>
      </c>
      <c r="AM584">
        <v>0</v>
      </c>
      <c r="AN584" t="s">
        <v>31</v>
      </c>
      <c r="AO584">
        <v>0</v>
      </c>
      <c r="AP584" t="s">
        <v>31</v>
      </c>
      <c r="AQ584">
        <v>0</v>
      </c>
    </row>
    <row r="585" spans="1:43" x14ac:dyDescent="0.2">
      <c r="A585" t="s">
        <v>381</v>
      </c>
      <c r="B585" s="3">
        <v>44253</v>
      </c>
      <c r="C585">
        <v>21</v>
      </c>
      <c r="D585" t="s">
        <v>384</v>
      </c>
      <c r="E585" t="s">
        <v>38</v>
      </c>
      <c r="F585" s="9" t="s">
        <v>40</v>
      </c>
      <c r="G585" t="s">
        <v>26</v>
      </c>
      <c r="H585" t="s">
        <v>27</v>
      </c>
      <c r="I585" t="s">
        <v>28</v>
      </c>
      <c r="J585" t="s">
        <v>29</v>
      </c>
      <c r="K585" t="s">
        <v>30</v>
      </c>
      <c r="L585" t="s">
        <v>29</v>
      </c>
      <c r="M585" t="s">
        <v>30</v>
      </c>
      <c r="N585" t="s">
        <v>27</v>
      </c>
      <c r="O585" t="s">
        <v>28</v>
      </c>
      <c r="P585" t="s">
        <v>29</v>
      </c>
      <c r="Q585" t="s">
        <v>30</v>
      </c>
      <c r="R585" s="1">
        <v>44253.435902777775</v>
      </c>
      <c r="S585" s="1">
        <v>44253.435937499999</v>
      </c>
      <c r="T585">
        <v>0</v>
      </c>
      <c r="U585">
        <v>0</v>
      </c>
      <c r="V585" s="2">
        <v>0</v>
      </c>
      <c r="W585">
        <v>0</v>
      </c>
      <c r="X585" t="s">
        <v>37</v>
      </c>
      <c r="Y585">
        <v>0</v>
      </c>
      <c r="Z585" t="s">
        <v>37</v>
      </c>
      <c r="AA585">
        <v>0</v>
      </c>
      <c r="AB585" t="s">
        <v>37</v>
      </c>
      <c r="AC585">
        <v>0</v>
      </c>
      <c r="AD585" t="s">
        <v>37</v>
      </c>
      <c r="AE585">
        <v>0</v>
      </c>
      <c r="AF585" t="s">
        <v>31</v>
      </c>
      <c r="AG585">
        <v>0</v>
      </c>
      <c r="AH585" t="s">
        <v>31</v>
      </c>
      <c r="AI585">
        <v>0</v>
      </c>
      <c r="AJ585" t="s">
        <v>31</v>
      </c>
      <c r="AK585">
        <v>0</v>
      </c>
      <c r="AL585" t="s">
        <v>31</v>
      </c>
      <c r="AM585">
        <v>0</v>
      </c>
      <c r="AN585" t="s">
        <v>31</v>
      </c>
      <c r="AO585">
        <v>0</v>
      </c>
      <c r="AP585" t="s">
        <v>31</v>
      </c>
      <c r="AQ585">
        <v>0</v>
      </c>
    </row>
    <row r="586" spans="1:43" x14ac:dyDescent="0.2">
      <c r="A586" t="s">
        <v>381</v>
      </c>
      <c r="B586" s="3">
        <v>44256</v>
      </c>
      <c r="C586">
        <v>22</v>
      </c>
      <c r="D586" t="s">
        <v>384</v>
      </c>
      <c r="E586" t="s">
        <v>38</v>
      </c>
      <c r="F586" s="9" t="s">
        <v>40</v>
      </c>
      <c r="G586" t="s">
        <v>26</v>
      </c>
      <c r="H586" t="s">
        <v>27</v>
      </c>
      <c r="I586" t="s">
        <v>28</v>
      </c>
      <c r="J586" t="s">
        <v>29</v>
      </c>
      <c r="K586" t="s">
        <v>30</v>
      </c>
      <c r="L586" t="s">
        <v>29</v>
      </c>
      <c r="M586" t="s">
        <v>30</v>
      </c>
      <c r="N586" t="s">
        <v>27</v>
      </c>
      <c r="O586" t="s">
        <v>28</v>
      </c>
      <c r="P586" t="s">
        <v>29</v>
      </c>
      <c r="Q586" t="s">
        <v>30</v>
      </c>
      <c r="R586" s="1">
        <v>44256.46943287037</v>
      </c>
      <c r="S586" s="1">
        <v>44256.469606481478</v>
      </c>
      <c r="T586">
        <v>0</v>
      </c>
      <c r="U586">
        <v>0</v>
      </c>
      <c r="V586" s="2">
        <v>0</v>
      </c>
      <c r="W586">
        <v>0</v>
      </c>
      <c r="X586" t="s">
        <v>37</v>
      </c>
      <c r="Y586">
        <v>0</v>
      </c>
      <c r="Z586" t="s">
        <v>37</v>
      </c>
      <c r="AA586">
        <v>0</v>
      </c>
      <c r="AB586" t="s">
        <v>37</v>
      </c>
      <c r="AC586">
        <v>0</v>
      </c>
      <c r="AD586" t="s">
        <v>31</v>
      </c>
      <c r="AE586">
        <v>0</v>
      </c>
      <c r="AF586" t="s">
        <v>31</v>
      </c>
      <c r="AG586">
        <v>0</v>
      </c>
      <c r="AH586" t="s">
        <v>31</v>
      </c>
      <c r="AI586">
        <v>0</v>
      </c>
      <c r="AJ586" t="s">
        <v>31</v>
      </c>
      <c r="AK586">
        <v>0</v>
      </c>
      <c r="AL586" t="s">
        <v>31</v>
      </c>
      <c r="AM586">
        <v>0</v>
      </c>
      <c r="AN586" t="s">
        <v>31</v>
      </c>
      <c r="AO586">
        <v>0</v>
      </c>
      <c r="AP586" t="s">
        <v>31</v>
      </c>
      <c r="AQ586">
        <v>0</v>
      </c>
    </row>
    <row r="587" spans="1:43" x14ac:dyDescent="0.2">
      <c r="A587" t="s">
        <v>381</v>
      </c>
      <c r="B587" s="3">
        <v>44257</v>
      </c>
      <c r="C587">
        <v>23</v>
      </c>
      <c r="D587" t="s">
        <v>382</v>
      </c>
      <c r="E587" t="s">
        <v>38</v>
      </c>
      <c r="F587" s="9" t="s">
        <v>40</v>
      </c>
      <c r="G587" t="s">
        <v>26</v>
      </c>
      <c r="H587" t="s">
        <v>27</v>
      </c>
      <c r="I587" t="s">
        <v>28</v>
      </c>
      <c r="J587" t="s">
        <v>29</v>
      </c>
      <c r="K587" t="s">
        <v>30</v>
      </c>
      <c r="L587" t="s">
        <v>29</v>
      </c>
      <c r="M587" t="s">
        <v>30</v>
      </c>
      <c r="N587" t="s">
        <v>27</v>
      </c>
      <c r="O587" t="s">
        <v>28</v>
      </c>
      <c r="P587" t="s">
        <v>29</v>
      </c>
      <c r="Q587" t="s">
        <v>30</v>
      </c>
      <c r="R587" s="1">
        <v>44257.427083333336</v>
      </c>
      <c r="S587" s="1">
        <v>44257.427094907405</v>
      </c>
      <c r="T587">
        <v>0</v>
      </c>
      <c r="U587">
        <v>0</v>
      </c>
      <c r="V587" s="2">
        <v>0</v>
      </c>
      <c r="W587">
        <v>0</v>
      </c>
      <c r="X587" t="s">
        <v>37</v>
      </c>
      <c r="Y587">
        <v>0</v>
      </c>
      <c r="Z587" t="s">
        <v>37</v>
      </c>
      <c r="AA587">
        <v>0</v>
      </c>
      <c r="AB587" t="s">
        <v>37</v>
      </c>
      <c r="AC587">
        <v>0</v>
      </c>
      <c r="AD587" t="s">
        <v>31</v>
      </c>
      <c r="AE587">
        <v>0</v>
      </c>
      <c r="AF587" t="s">
        <v>31</v>
      </c>
      <c r="AG587">
        <v>0</v>
      </c>
      <c r="AH587" t="s">
        <v>31</v>
      </c>
      <c r="AI587">
        <v>0</v>
      </c>
      <c r="AJ587" t="s">
        <v>31</v>
      </c>
      <c r="AK587">
        <v>0</v>
      </c>
      <c r="AL587" t="s">
        <v>31</v>
      </c>
      <c r="AM587">
        <v>0</v>
      </c>
      <c r="AN587" t="s">
        <v>31</v>
      </c>
      <c r="AO587">
        <v>0</v>
      </c>
      <c r="AP587" t="s">
        <v>31</v>
      </c>
      <c r="AQ587">
        <v>0</v>
      </c>
    </row>
    <row r="588" spans="1:43" x14ac:dyDescent="0.2">
      <c r="A588" t="s">
        <v>381</v>
      </c>
      <c r="B588" s="3">
        <v>44258</v>
      </c>
      <c r="C588">
        <v>25</v>
      </c>
      <c r="D588" t="s">
        <v>384</v>
      </c>
      <c r="E588" t="s">
        <v>38</v>
      </c>
      <c r="F588" s="9" t="s">
        <v>40</v>
      </c>
      <c r="G588" t="s">
        <v>26</v>
      </c>
      <c r="H588" t="s">
        <v>27</v>
      </c>
      <c r="I588" t="s">
        <v>28</v>
      </c>
      <c r="J588" t="s">
        <v>29</v>
      </c>
      <c r="K588" t="s">
        <v>30</v>
      </c>
      <c r="L588" t="s">
        <v>29</v>
      </c>
      <c r="M588" t="s">
        <v>30</v>
      </c>
      <c r="N588" t="s">
        <v>27</v>
      </c>
      <c r="O588" t="s">
        <v>28</v>
      </c>
      <c r="P588" t="s">
        <v>29</v>
      </c>
      <c r="Q588" t="s">
        <v>30</v>
      </c>
      <c r="R588" s="1">
        <v>44258.428981481484</v>
      </c>
      <c r="S588" s="1">
        <v>44258.429108796299</v>
      </c>
      <c r="T588">
        <v>2</v>
      </c>
      <c r="U588">
        <v>2</v>
      </c>
      <c r="V588" s="2">
        <v>1</v>
      </c>
      <c r="W588">
        <v>0</v>
      </c>
      <c r="X588" t="s">
        <v>30</v>
      </c>
      <c r="Y588">
        <v>0</v>
      </c>
      <c r="Z588" t="s">
        <v>37</v>
      </c>
      <c r="AA588">
        <v>0</v>
      </c>
      <c r="AB588" t="s">
        <v>30</v>
      </c>
      <c r="AC588">
        <v>0</v>
      </c>
      <c r="AD588" t="s">
        <v>31</v>
      </c>
      <c r="AE588">
        <v>0</v>
      </c>
      <c r="AF588" t="s">
        <v>31</v>
      </c>
      <c r="AG588">
        <v>0</v>
      </c>
      <c r="AH588" t="s">
        <v>31</v>
      </c>
      <c r="AI588">
        <v>0</v>
      </c>
      <c r="AJ588" t="s">
        <v>31</v>
      </c>
      <c r="AK588">
        <v>0</v>
      </c>
      <c r="AL588" t="s">
        <v>31</v>
      </c>
      <c r="AM588">
        <v>0</v>
      </c>
      <c r="AN588" t="s">
        <v>31</v>
      </c>
      <c r="AO588">
        <v>0</v>
      </c>
      <c r="AP588" t="s">
        <v>31</v>
      </c>
      <c r="AQ588">
        <v>0</v>
      </c>
    </row>
    <row r="589" spans="1:43" x14ac:dyDescent="0.2">
      <c r="A589" t="s">
        <v>381</v>
      </c>
      <c r="B589" s="3">
        <v>44259</v>
      </c>
      <c r="C589">
        <v>26</v>
      </c>
      <c r="D589" t="s">
        <v>382</v>
      </c>
      <c r="E589" t="s">
        <v>38</v>
      </c>
      <c r="F589" s="9" t="s">
        <v>40</v>
      </c>
      <c r="G589" t="s">
        <v>26</v>
      </c>
      <c r="H589" t="s">
        <v>27</v>
      </c>
      <c r="I589" t="s">
        <v>28</v>
      </c>
      <c r="J589" t="s">
        <v>29</v>
      </c>
      <c r="K589" t="s">
        <v>30</v>
      </c>
      <c r="L589" t="s">
        <v>29</v>
      </c>
      <c r="M589" t="s">
        <v>30</v>
      </c>
      <c r="N589" t="s">
        <v>27</v>
      </c>
      <c r="O589" t="s">
        <v>28</v>
      </c>
      <c r="P589" t="s">
        <v>29</v>
      </c>
      <c r="Q589" t="s">
        <v>30</v>
      </c>
      <c r="R589" s="1">
        <v>44259.390706018516</v>
      </c>
      <c r="S589" s="1">
        <v>44259.390717592592</v>
      </c>
      <c r="T589">
        <v>0</v>
      </c>
      <c r="U589">
        <v>0</v>
      </c>
      <c r="V589" s="2">
        <v>0</v>
      </c>
      <c r="W589">
        <v>0</v>
      </c>
      <c r="X589" t="s">
        <v>37</v>
      </c>
      <c r="Y589">
        <v>0</v>
      </c>
      <c r="Z589" t="s">
        <v>37</v>
      </c>
      <c r="AA589">
        <v>0</v>
      </c>
      <c r="AB589" t="s">
        <v>37</v>
      </c>
      <c r="AC589">
        <v>0</v>
      </c>
      <c r="AD589" t="s">
        <v>31</v>
      </c>
      <c r="AE589">
        <v>0</v>
      </c>
      <c r="AF589" t="s">
        <v>31</v>
      </c>
      <c r="AG589">
        <v>0</v>
      </c>
      <c r="AH589" t="s">
        <v>31</v>
      </c>
      <c r="AI589">
        <v>0</v>
      </c>
      <c r="AJ589" t="s">
        <v>31</v>
      </c>
      <c r="AK589">
        <v>0</v>
      </c>
      <c r="AL589" t="s">
        <v>31</v>
      </c>
      <c r="AM589">
        <v>0</v>
      </c>
      <c r="AN589" t="s">
        <v>31</v>
      </c>
      <c r="AO589">
        <v>0</v>
      </c>
      <c r="AP589" t="s">
        <v>31</v>
      </c>
      <c r="AQ589">
        <v>0</v>
      </c>
    </row>
    <row r="590" spans="1:43" x14ac:dyDescent="0.2">
      <c r="A590" t="s">
        <v>381</v>
      </c>
      <c r="B590" s="3">
        <v>44263</v>
      </c>
      <c r="C590">
        <v>29</v>
      </c>
      <c r="D590" t="s">
        <v>384</v>
      </c>
      <c r="E590" t="s">
        <v>38</v>
      </c>
      <c r="F590" s="9" t="s">
        <v>40</v>
      </c>
      <c r="G590" t="s">
        <v>26</v>
      </c>
      <c r="H590" t="s">
        <v>27</v>
      </c>
      <c r="I590" t="s">
        <v>28</v>
      </c>
      <c r="J590" t="s">
        <v>29</v>
      </c>
      <c r="K590" t="s">
        <v>30</v>
      </c>
      <c r="L590" t="s">
        <v>29</v>
      </c>
      <c r="M590" t="s">
        <v>30</v>
      </c>
      <c r="N590" t="s">
        <v>27</v>
      </c>
      <c r="O590" t="s">
        <v>28</v>
      </c>
      <c r="P590" t="s">
        <v>29</v>
      </c>
      <c r="Q590" t="s">
        <v>30</v>
      </c>
      <c r="R590" s="1">
        <v>44263.436423611114</v>
      </c>
      <c r="S590" s="1">
        <v>44263.436874999999</v>
      </c>
      <c r="T590">
        <v>0</v>
      </c>
      <c r="U590">
        <v>0</v>
      </c>
      <c r="V590" s="2">
        <v>0</v>
      </c>
      <c r="W590">
        <v>0</v>
      </c>
      <c r="X590" t="s">
        <v>37</v>
      </c>
      <c r="Y590">
        <v>0</v>
      </c>
      <c r="Z590" t="s">
        <v>37</v>
      </c>
      <c r="AA590">
        <v>0</v>
      </c>
      <c r="AB590" t="s">
        <v>37</v>
      </c>
      <c r="AC590">
        <v>0</v>
      </c>
      <c r="AD590" t="s">
        <v>37</v>
      </c>
      <c r="AE590">
        <v>0</v>
      </c>
      <c r="AF590" t="s">
        <v>31</v>
      </c>
      <c r="AG590">
        <v>0</v>
      </c>
      <c r="AH590" t="s">
        <v>31</v>
      </c>
      <c r="AI590">
        <v>0</v>
      </c>
      <c r="AJ590" t="s">
        <v>31</v>
      </c>
      <c r="AK590">
        <v>0</v>
      </c>
      <c r="AL590" t="s">
        <v>31</v>
      </c>
      <c r="AM590">
        <v>0</v>
      </c>
      <c r="AN590" t="s">
        <v>31</v>
      </c>
      <c r="AO590">
        <v>0</v>
      </c>
      <c r="AP590" t="s">
        <v>31</v>
      </c>
      <c r="AQ590">
        <v>0</v>
      </c>
    </row>
    <row r="591" spans="1:43" x14ac:dyDescent="0.2">
      <c r="A591" t="s">
        <v>381</v>
      </c>
      <c r="B591" s="3">
        <v>44264</v>
      </c>
      <c r="C591">
        <v>30</v>
      </c>
      <c r="D591" t="s">
        <v>382</v>
      </c>
      <c r="E591" t="s">
        <v>38</v>
      </c>
      <c r="F591" s="9" t="s">
        <v>40</v>
      </c>
      <c r="G591" t="s">
        <v>26</v>
      </c>
      <c r="H591" t="s">
        <v>27</v>
      </c>
      <c r="I591" t="s">
        <v>28</v>
      </c>
      <c r="J591" t="s">
        <v>29</v>
      </c>
      <c r="K591" t="s">
        <v>30</v>
      </c>
      <c r="L591" t="s">
        <v>29</v>
      </c>
      <c r="M591" t="s">
        <v>30</v>
      </c>
      <c r="N591" t="s">
        <v>27</v>
      </c>
      <c r="O591" t="s">
        <v>28</v>
      </c>
      <c r="P591" t="s">
        <v>29</v>
      </c>
      <c r="Q591" t="s">
        <v>30</v>
      </c>
      <c r="R591" s="1">
        <v>44264.376886574071</v>
      </c>
      <c r="S591" s="1">
        <v>44264.376898148148</v>
      </c>
      <c r="T591">
        <v>0</v>
      </c>
      <c r="U591">
        <v>0</v>
      </c>
      <c r="V591" s="2">
        <v>0</v>
      </c>
      <c r="W591">
        <v>0</v>
      </c>
      <c r="X591" t="s">
        <v>37</v>
      </c>
      <c r="Y591">
        <v>0</v>
      </c>
      <c r="Z591" t="s">
        <v>37</v>
      </c>
      <c r="AA591">
        <v>0</v>
      </c>
      <c r="AB591" t="s">
        <v>37</v>
      </c>
      <c r="AC591">
        <v>0</v>
      </c>
      <c r="AD591" t="s">
        <v>31</v>
      </c>
      <c r="AE591">
        <v>0</v>
      </c>
      <c r="AF591" t="s">
        <v>31</v>
      </c>
      <c r="AG591">
        <v>0</v>
      </c>
      <c r="AH591" t="s">
        <v>31</v>
      </c>
      <c r="AI591">
        <v>0</v>
      </c>
      <c r="AJ591" t="s">
        <v>31</v>
      </c>
      <c r="AK591">
        <v>0</v>
      </c>
      <c r="AL591" t="s">
        <v>31</v>
      </c>
      <c r="AM591">
        <v>0</v>
      </c>
      <c r="AN591" t="s">
        <v>31</v>
      </c>
      <c r="AO591">
        <v>0</v>
      </c>
      <c r="AP591" t="s">
        <v>31</v>
      </c>
      <c r="AQ591">
        <v>0</v>
      </c>
    </row>
    <row r="592" spans="1:43" x14ac:dyDescent="0.2">
      <c r="A592" t="s">
        <v>381</v>
      </c>
      <c r="B592" s="3">
        <v>44266</v>
      </c>
      <c r="C592">
        <v>33</v>
      </c>
      <c r="D592" t="s">
        <v>385</v>
      </c>
      <c r="E592" t="s">
        <v>38</v>
      </c>
      <c r="F592" s="9" t="s">
        <v>40</v>
      </c>
      <c r="G592" t="s">
        <v>26</v>
      </c>
      <c r="H592" t="s">
        <v>27</v>
      </c>
      <c r="I592" t="s">
        <v>28</v>
      </c>
      <c r="J592" t="s">
        <v>29</v>
      </c>
      <c r="K592" t="s">
        <v>30</v>
      </c>
      <c r="L592" t="s">
        <v>29</v>
      </c>
      <c r="M592" t="s">
        <v>30</v>
      </c>
      <c r="N592" t="s">
        <v>27</v>
      </c>
      <c r="O592" t="s">
        <v>28</v>
      </c>
      <c r="P592" t="s">
        <v>29</v>
      </c>
      <c r="Q592" t="s">
        <v>30</v>
      </c>
      <c r="R592" s="1">
        <v>44266.395879629628</v>
      </c>
      <c r="S592" s="1">
        <v>44266.395902777775</v>
      </c>
      <c r="T592">
        <v>0</v>
      </c>
      <c r="U592">
        <v>0</v>
      </c>
      <c r="V592" s="2">
        <v>0</v>
      </c>
      <c r="W592">
        <v>0</v>
      </c>
      <c r="X592" t="s">
        <v>37</v>
      </c>
      <c r="Y592">
        <v>0</v>
      </c>
      <c r="Z592" t="s">
        <v>37</v>
      </c>
      <c r="AA592">
        <v>0</v>
      </c>
      <c r="AB592" t="s">
        <v>37</v>
      </c>
      <c r="AC592">
        <v>0</v>
      </c>
      <c r="AD592" t="s">
        <v>31</v>
      </c>
      <c r="AE592">
        <v>0</v>
      </c>
      <c r="AF592" t="s">
        <v>31</v>
      </c>
      <c r="AG592">
        <v>0</v>
      </c>
      <c r="AH592" t="s">
        <v>31</v>
      </c>
      <c r="AI592">
        <v>0</v>
      </c>
      <c r="AJ592" t="s">
        <v>31</v>
      </c>
      <c r="AK592">
        <v>0</v>
      </c>
      <c r="AL592" t="s">
        <v>31</v>
      </c>
      <c r="AM592">
        <v>0</v>
      </c>
      <c r="AN592" t="s">
        <v>31</v>
      </c>
      <c r="AO592">
        <v>0</v>
      </c>
      <c r="AP592" t="s">
        <v>31</v>
      </c>
      <c r="AQ592">
        <v>0</v>
      </c>
    </row>
    <row r="593" spans="1:43" x14ac:dyDescent="0.2">
      <c r="A593" t="s">
        <v>381</v>
      </c>
      <c r="B593" s="3">
        <v>44266</v>
      </c>
      <c r="C593">
        <v>34</v>
      </c>
      <c r="D593" t="s">
        <v>385</v>
      </c>
      <c r="E593" t="s">
        <v>38</v>
      </c>
      <c r="F593" s="9" t="s">
        <v>40</v>
      </c>
      <c r="G593" t="s">
        <v>26</v>
      </c>
      <c r="H593" t="s">
        <v>27</v>
      </c>
      <c r="I593" t="s">
        <v>28</v>
      </c>
      <c r="J593" t="s">
        <v>29</v>
      </c>
      <c r="K593" t="s">
        <v>30</v>
      </c>
      <c r="L593" t="s">
        <v>29</v>
      </c>
      <c r="M593" t="s">
        <v>30</v>
      </c>
      <c r="N593" t="s">
        <v>27</v>
      </c>
      <c r="O593" t="s">
        <v>28</v>
      </c>
      <c r="P593" t="s">
        <v>29</v>
      </c>
      <c r="Q593" t="s">
        <v>30</v>
      </c>
      <c r="R593" s="1">
        <v>44266.649097222224</v>
      </c>
      <c r="S593" s="1">
        <v>44266.649189814816</v>
      </c>
      <c r="T593">
        <v>1</v>
      </c>
      <c r="U593">
        <v>1</v>
      </c>
      <c r="V593" s="2">
        <v>1</v>
      </c>
      <c r="W593">
        <v>0</v>
      </c>
      <c r="X593" t="s">
        <v>37</v>
      </c>
      <c r="Y593">
        <v>0</v>
      </c>
      <c r="Z593" t="s">
        <v>37</v>
      </c>
      <c r="AA593">
        <v>0</v>
      </c>
      <c r="AB593" t="s">
        <v>37</v>
      </c>
      <c r="AC593">
        <v>0</v>
      </c>
      <c r="AD593" t="s">
        <v>30</v>
      </c>
      <c r="AE593">
        <v>0</v>
      </c>
      <c r="AF593" t="s">
        <v>37</v>
      </c>
      <c r="AG593">
        <v>0</v>
      </c>
      <c r="AH593" t="s">
        <v>31</v>
      </c>
      <c r="AI593">
        <v>0</v>
      </c>
      <c r="AJ593" t="s">
        <v>31</v>
      </c>
      <c r="AK593">
        <v>0</v>
      </c>
      <c r="AL593" t="s">
        <v>31</v>
      </c>
      <c r="AM593">
        <v>0</v>
      </c>
      <c r="AN593" t="s">
        <v>31</v>
      </c>
      <c r="AO593">
        <v>0</v>
      </c>
      <c r="AP593" t="s">
        <v>31</v>
      </c>
      <c r="AQ593">
        <v>0</v>
      </c>
    </row>
    <row r="594" spans="1:43" x14ac:dyDescent="0.2">
      <c r="A594" t="s">
        <v>381</v>
      </c>
      <c r="B594" s="3">
        <v>44270</v>
      </c>
      <c r="C594">
        <v>35</v>
      </c>
      <c r="D594" t="s">
        <v>384</v>
      </c>
      <c r="E594" t="s">
        <v>38</v>
      </c>
      <c r="F594" s="9" t="s">
        <v>40</v>
      </c>
      <c r="G594" t="s">
        <v>26</v>
      </c>
      <c r="H594" t="s">
        <v>27</v>
      </c>
      <c r="I594" t="s">
        <v>28</v>
      </c>
      <c r="J594" t="s">
        <v>29</v>
      </c>
      <c r="K594" t="s">
        <v>30</v>
      </c>
      <c r="L594" t="s">
        <v>29</v>
      </c>
      <c r="M594" t="s">
        <v>30</v>
      </c>
      <c r="N594" t="s">
        <v>41</v>
      </c>
      <c r="O594" t="s">
        <v>42</v>
      </c>
      <c r="P594" t="s">
        <v>43</v>
      </c>
      <c r="Q594" t="s">
        <v>44</v>
      </c>
      <c r="R594" s="1">
        <v>44270.45820601852</v>
      </c>
      <c r="S594" s="1">
        <v>44270.458229166667</v>
      </c>
      <c r="T594">
        <v>1</v>
      </c>
      <c r="U594">
        <v>1</v>
      </c>
      <c r="V594" s="2">
        <v>1</v>
      </c>
      <c r="W594">
        <v>0</v>
      </c>
      <c r="X594" t="s">
        <v>37</v>
      </c>
      <c r="Y594">
        <v>0</v>
      </c>
      <c r="Z594" t="s">
        <v>37</v>
      </c>
      <c r="AA594">
        <v>0</v>
      </c>
      <c r="AB594" t="s">
        <v>30</v>
      </c>
      <c r="AC594">
        <v>0</v>
      </c>
      <c r="AD594" t="s">
        <v>31</v>
      </c>
      <c r="AE594">
        <v>0</v>
      </c>
      <c r="AF594" t="s">
        <v>31</v>
      </c>
      <c r="AG594">
        <v>0</v>
      </c>
      <c r="AH594" t="s">
        <v>31</v>
      </c>
      <c r="AI594">
        <v>0</v>
      </c>
      <c r="AJ594" t="s">
        <v>31</v>
      </c>
      <c r="AK594">
        <v>0</v>
      </c>
      <c r="AL594" t="s">
        <v>31</v>
      </c>
      <c r="AM594">
        <v>0</v>
      </c>
      <c r="AN594" t="s">
        <v>31</v>
      </c>
      <c r="AO594">
        <v>0</v>
      </c>
      <c r="AP594" t="s">
        <v>31</v>
      </c>
      <c r="AQ594">
        <v>0</v>
      </c>
    </row>
    <row r="595" spans="1:43" x14ac:dyDescent="0.2">
      <c r="A595" t="s">
        <v>381</v>
      </c>
      <c r="B595" s="3">
        <v>44273</v>
      </c>
      <c r="C595">
        <v>39</v>
      </c>
      <c r="D595" t="s">
        <v>385</v>
      </c>
      <c r="E595" t="s">
        <v>38</v>
      </c>
      <c r="F595" s="9" t="s">
        <v>40</v>
      </c>
      <c r="G595" t="s">
        <v>26</v>
      </c>
      <c r="H595" t="s">
        <v>41</v>
      </c>
      <c r="I595" t="s">
        <v>42</v>
      </c>
      <c r="J595" t="s">
        <v>43</v>
      </c>
      <c r="K595" t="s">
        <v>44</v>
      </c>
      <c r="L595" t="s">
        <v>29</v>
      </c>
      <c r="M595" t="s">
        <v>30</v>
      </c>
      <c r="N595" t="s">
        <v>41</v>
      </c>
      <c r="O595" t="s">
        <v>42</v>
      </c>
      <c r="P595" t="s">
        <v>43</v>
      </c>
      <c r="Q595" t="s">
        <v>44</v>
      </c>
      <c r="R595" s="1">
        <v>44273.486550925925</v>
      </c>
      <c r="S595" s="1">
        <v>44273.486724537041</v>
      </c>
      <c r="T595">
        <v>0</v>
      </c>
      <c r="U595">
        <v>5</v>
      </c>
      <c r="V595" s="2">
        <v>0</v>
      </c>
      <c r="W595">
        <v>0</v>
      </c>
      <c r="X595" t="s">
        <v>44</v>
      </c>
      <c r="Y595">
        <v>0</v>
      </c>
      <c r="Z595" t="s">
        <v>44</v>
      </c>
      <c r="AA595">
        <v>0</v>
      </c>
      <c r="AB595" t="s">
        <v>45</v>
      </c>
      <c r="AC595">
        <v>0</v>
      </c>
      <c r="AD595" t="s">
        <v>46</v>
      </c>
      <c r="AE595">
        <v>0</v>
      </c>
      <c r="AF595" t="s">
        <v>47</v>
      </c>
      <c r="AG595">
        <v>0</v>
      </c>
      <c r="AH595" t="s">
        <v>31</v>
      </c>
      <c r="AI595">
        <v>0</v>
      </c>
      <c r="AJ595" t="s">
        <v>31</v>
      </c>
      <c r="AK595">
        <v>0</v>
      </c>
      <c r="AL595" t="s">
        <v>31</v>
      </c>
      <c r="AM595">
        <v>0</v>
      </c>
      <c r="AN595" t="s">
        <v>31</v>
      </c>
      <c r="AO595">
        <v>0</v>
      </c>
      <c r="AP595" t="s">
        <v>31</v>
      </c>
      <c r="AQ595">
        <v>0</v>
      </c>
    </row>
    <row r="596" spans="1:43" x14ac:dyDescent="0.2">
      <c r="A596" t="s">
        <v>381</v>
      </c>
      <c r="B596" s="3">
        <v>44273</v>
      </c>
      <c r="C596">
        <v>40</v>
      </c>
      <c r="D596" t="s">
        <v>385</v>
      </c>
      <c r="E596" t="s">
        <v>38</v>
      </c>
      <c r="F596" s="9" t="s">
        <v>40</v>
      </c>
      <c r="G596" t="s">
        <v>26</v>
      </c>
      <c r="H596" t="s">
        <v>41</v>
      </c>
      <c r="I596" t="s">
        <v>42</v>
      </c>
      <c r="J596" t="s">
        <v>43</v>
      </c>
      <c r="K596" t="s">
        <v>44</v>
      </c>
      <c r="L596" t="s">
        <v>29</v>
      </c>
      <c r="M596" t="s">
        <v>30</v>
      </c>
      <c r="N596" t="s">
        <v>27</v>
      </c>
      <c r="O596" t="s">
        <v>28</v>
      </c>
      <c r="P596" t="s">
        <v>29</v>
      </c>
      <c r="Q596" t="s">
        <v>30</v>
      </c>
      <c r="R596" s="1">
        <v>44273.56659722222</v>
      </c>
      <c r="S596" s="1">
        <v>44273.56795138889</v>
      </c>
      <c r="T596">
        <v>0</v>
      </c>
      <c r="U596">
        <v>5</v>
      </c>
      <c r="V596" s="2">
        <v>0</v>
      </c>
      <c r="W596">
        <v>0</v>
      </c>
      <c r="X596" t="s">
        <v>44</v>
      </c>
      <c r="Y596">
        <v>0</v>
      </c>
      <c r="Z596" t="s">
        <v>44</v>
      </c>
      <c r="AA596">
        <v>0</v>
      </c>
      <c r="AB596" t="s">
        <v>45</v>
      </c>
      <c r="AC596">
        <v>0</v>
      </c>
      <c r="AD596" t="s">
        <v>46</v>
      </c>
      <c r="AE596">
        <v>0</v>
      </c>
      <c r="AF596" t="s">
        <v>47</v>
      </c>
      <c r="AG596">
        <v>0</v>
      </c>
      <c r="AH596" t="s">
        <v>31</v>
      </c>
      <c r="AI596">
        <v>0</v>
      </c>
      <c r="AJ596" t="s">
        <v>31</v>
      </c>
      <c r="AK596">
        <v>0</v>
      </c>
      <c r="AL596" t="s">
        <v>31</v>
      </c>
      <c r="AM596">
        <v>0</v>
      </c>
      <c r="AN596" t="s">
        <v>31</v>
      </c>
      <c r="AO596">
        <v>0</v>
      </c>
      <c r="AP596" t="s">
        <v>31</v>
      </c>
      <c r="AQ596">
        <v>0</v>
      </c>
    </row>
    <row r="597" spans="1:43" x14ac:dyDescent="0.2">
      <c r="A597" t="s">
        <v>381</v>
      </c>
      <c r="B597" s="3">
        <v>44279</v>
      </c>
      <c r="C597">
        <v>41</v>
      </c>
      <c r="D597" t="s">
        <v>384</v>
      </c>
      <c r="E597" t="s">
        <v>38</v>
      </c>
      <c r="F597" s="9" t="s">
        <v>40</v>
      </c>
      <c r="G597" t="s">
        <v>26</v>
      </c>
      <c r="H597" t="s">
        <v>27</v>
      </c>
      <c r="I597" t="s">
        <v>28</v>
      </c>
      <c r="J597" t="s">
        <v>29</v>
      </c>
      <c r="K597" t="s">
        <v>30</v>
      </c>
      <c r="L597" t="s">
        <v>29</v>
      </c>
      <c r="M597" t="s">
        <v>30</v>
      </c>
      <c r="N597" t="s">
        <v>27</v>
      </c>
      <c r="O597" t="s">
        <v>28</v>
      </c>
      <c r="P597" t="s">
        <v>29</v>
      </c>
      <c r="Q597" t="s">
        <v>30</v>
      </c>
      <c r="R597" s="1">
        <v>44279.452615740738</v>
      </c>
      <c r="S597" s="1">
        <v>44279.4528125</v>
      </c>
      <c r="T597">
        <v>0</v>
      </c>
      <c r="U597">
        <v>0</v>
      </c>
      <c r="V597" s="2">
        <v>0</v>
      </c>
      <c r="W597">
        <v>0</v>
      </c>
      <c r="X597" t="s">
        <v>37</v>
      </c>
      <c r="Y597">
        <v>0</v>
      </c>
      <c r="Z597" t="s">
        <v>37</v>
      </c>
      <c r="AA597">
        <v>0</v>
      </c>
      <c r="AB597" t="s">
        <v>37</v>
      </c>
      <c r="AC597">
        <v>0</v>
      </c>
      <c r="AD597" t="s">
        <v>31</v>
      </c>
      <c r="AE597">
        <v>0</v>
      </c>
      <c r="AF597" t="s">
        <v>31</v>
      </c>
      <c r="AG597">
        <v>0</v>
      </c>
      <c r="AH597" t="s">
        <v>31</v>
      </c>
      <c r="AI597">
        <v>0</v>
      </c>
      <c r="AJ597" t="s">
        <v>31</v>
      </c>
      <c r="AK597">
        <v>0</v>
      </c>
      <c r="AL597" t="s">
        <v>31</v>
      </c>
      <c r="AM597">
        <v>0</v>
      </c>
      <c r="AN597" t="s">
        <v>31</v>
      </c>
      <c r="AO597">
        <v>0</v>
      </c>
      <c r="AP597" t="s">
        <v>31</v>
      </c>
      <c r="AQ597">
        <v>0</v>
      </c>
    </row>
    <row r="598" spans="1:43" x14ac:dyDescent="0.2">
      <c r="A598" t="s">
        <v>381</v>
      </c>
      <c r="B598" s="3">
        <v>44284</v>
      </c>
      <c r="C598">
        <v>43</v>
      </c>
      <c r="D598" t="s">
        <v>384</v>
      </c>
      <c r="E598" t="s">
        <v>38</v>
      </c>
      <c r="F598" s="9" t="s">
        <v>40</v>
      </c>
      <c r="G598" t="s">
        <v>26</v>
      </c>
      <c r="H598" t="s">
        <v>27</v>
      </c>
      <c r="I598" t="s">
        <v>28</v>
      </c>
      <c r="J598" t="s">
        <v>29</v>
      </c>
      <c r="K598" t="s">
        <v>30</v>
      </c>
      <c r="L598" t="s">
        <v>29</v>
      </c>
      <c r="M598" t="s">
        <v>30</v>
      </c>
      <c r="N598" t="s">
        <v>27</v>
      </c>
      <c r="O598" t="s">
        <v>28</v>
      </c>
      <c r="P598" t="s">
        <v>29</v>
      </c>
      <c r="Q598" t="s">
        <v>30</v>
      </c>
      <c r="R598" s="1">
        <v>44284.377905092595</v>
      </c>
      <c r="S598" s="1">
        <v>44284.37840277778</v>
      </c>
      <c r="T598">
        <v>0</v>
      </c>
      <c r="U598">
        <v>0</v>
      </c>
      <c r="V598" s="2">
        <v>0</v>
      </c>
      <c r="W598">
        <v>0</v>
      </c>
      <c r="X598" t="s">
        <v>37</v>
      </c>
      <c r="Y598">
        <v>0</v>
      </c>
      <c r="Z598" t="s">
        <v>37</v>
      </c>
      <c r="AA598">
        <v>0</v>
      </c>
      <c r="AB598" t="s">
        <v>37</v>
      </c>
      <c r="AC598">
        <v>0</v>
      </c>
      <c r="AD598" t="s">
        <v>31</v>
      </c>
      <c r="AE598">
        <v>0</v>
      </c>
      <c r="AF598" t="s">
        <v>31</v>
      </c>
      <c r="AG598">
        <v>0</v>
      </c>
      <c r="AH598" t="s">
        <v>31</v>
      </c>
      <c r="AI598">
        <v>0</v>
      </c>
      <c r="AJ598" t="s">
        <v>31</v>
      </c>
      <c r="AK598">
        <v>0</v>
      </c>
      <c r="AL598" t="s">
        <v>31</v>
      </c>
      <c r="AM598">
        <v>0</v>
      </c>
      <c r="AN598" t="s">
        <v>31</v>
      </c>
      <c r="AO598">
        <v>0</v>
      </c>
      <c r="AP598" t="s">
        <v>31</v>
      </c>
      <c r="AQ598">
        <v>0</v>
      </c>
    </row>
    <row r="599" spans="1:43" x14ac:dyDescent="0.2">
      <c r="A599" t="s">
        <v>381</v>
      </c>
      <c r="B599" s="3">
        <v>44285</v>
      </c>
      <c r="C599">
        <v>44</v>
      </c>
      <c r="D599" t="s">
        <v>385</v>
      </c>
      <c r="E599" t="s">
        <v>38</v>
      </c>
      <c r="F599" s="9" t="s">
        <v>40</v>
      </c>
      <c r="G599" t="s">
        <v>26</v>
      </c>
      <c r="H599" t="s">
        <v>27</v>
      </c>
      <c r="I599" t="s">
        <v>28</v>
      </c>
      <c r="J599" t="s">
        <v>29</v>
      </c>
      <c r="K599" t="s">
        <v>30</v>
      </c>
      <c r="L599" t="s">
        <v>29</v>
      </c>
      <c r="M599" t="s">
        <v>30</v>
      </c>
      <c r="N599" t="s">
        <v>27</v>
      </c>
      <c r="O599" t="s">
        <v>28</v>
      </c>
      <c r="P599" t="s">
        <v>29</v>
      </c>
      <c r="Q599" t="s">
        <v>30</v>
      </c>
      <c r="R599" s="1">
        <v>44285.413055555553</v>
      </c>
      <c r="S599" s="1">
        <v>44285.413078703707</v>
      </c>
      <c r="T599">
        <v>0</v>
      </c>
      <c r="U599">
        <v>0</v>
      </c>
      <c r="V599" s="2">
        <v>0</v>
      </c>
      <c r="W599">
        <v>0</v>
      </c>
      <c r="X599" t="s">
        <v>37</v>
      </c>
      <c r="Y599">
        <v>0</v>
      </c>
      <c r="Z599" t="s">
        <v>37</v>
      </c>
      <c r="AA599">
        <v>0</v>
      </c>
      <c r="AB599" t="s">
        <v>37</v>
      </c>
      <c r="AC599">
        <v>0</v>
      </c>
      <c r="AD599" t="s">
        <v>37</v>
      </c>
      <c r="AE599">
        <v>0</v>
      </c>
      <c r="AF599" t="s">
        <v>31</v>
      </c>
      <c r="AG599">
        <v>0</v>
      </c>
      <c r="AH599" t="s">
        <v>31</v>
      </c>
      <c r="AI599">
        <v>0</v>
      </c>
      <c r="AJ599" t="s">
        <v>31</v>
      </c>
      <c r="AK599">
        <v>0</v>
      </c>
      <c r="AL599" t="s">
        <v>31</v>
      </c>
      <c r="AM599">
        <v>0</v>
      </c>
      <c r="AN599" t="s">
        <v>31</v>
      </c>
      <c r="AO599">
        <v>0</v>
      </c>
      <c r="AP599" t="s">
        <v>31</v>
      </c>
      <c r="AQ599">
        <v>0</v>
      </c>
    </row>
    <row r="600" spans="1:43" x14ac:dyDescent="0.2">
      <c r="A600" t="s">
        <v>381</v>
      </c>
      <c r="B600" s="3">
        <v>44285</v>
      </c>
      <c r="C600">
        <v>45</v>
      </c>
      <c r="D600" t="s">
        <v>385</v>
      </c>
      <c r="E600" t="s">
        <v>38</v>
      </c>
      <c r="F600" s="9" t="s">
        <v>40</v>
      </c>
      <c r="G600" t="s">
        <v>26</v>
      </c>
      <c r="H600" t="s">
        <v>27</v>
      </c>
      <c r="I600" t="s">
        <v>28</v>
      </c>
      <c r="J600" t="s">
        <v>29</v>
      </c>
      <c r="K600" t="s">
        <v>30</v>
      </c>
      <c r="L600" t="s">
        <v>29</v>
      </c>
      <c r="M600" t="s">
        <v>30</v>
      </c>
      <c r="N600" t="s">
        <v>27</v>
      </c>
      <c r="O600" t="s">
        <v>28</v>
      </c>
      <c r="P600" t="s">
        <v>29</v>
      </c>
      <c r="Q600" t="s">
        <v>30</v>
      </c>
      <c r="R600" s="1">
        <v>44285.649675925924</v>
      </c>
      <c r="S600" s="1">
        <v>44285.649675925924</v>
      </c>
      <c r="T600">
        <v>0</v>
      </c>
      <c r="U600">
        <v>0</v>
      </c>
      <c r="V600" s="2">
        <v>0</v>
      </c>
      <c r="W600">
        <v>0</v>
      </c>
      <c r="X600" t="s">
        <v>37</v>
      </c>
      <c r="Y600">
        <v>0</v>
      </c>
      <c r="Z600" t="s">
        <v>37</v>
      </c>
      <c r="AA600">
        <v>0</v>
      </c>
      <c r="AB600" t="s">
        <v>37</v>
      </c>
      <c r="AC600">
        <v>0</v>
      </c>
      <c r="AD600" t="s">
        <v>37</v>
      </c>
      <c r="AE600">
        <v>0</v>
      </c>
      <c r="AF600" t="s">
        <v>31</v>
      </c>
      <c r="AG600">
        <v>0</v>
      </c>
      <c r="AH600" t="s">
        <v>31</v>
      </c>
      <c r="AI600">
        <v>0</v>
      </c>
      <c r="AJ600" t="s">
        <v>31</v>
      </c>
      <c r="AK600">
        <v>0</v>
      </c>
      <c r="AL600" t="s">
        <v>31</v>
      </c>
      <c r="AM600">
        <v>0</v>
      </c>
      <c r="AN600" t="s">
        <v>31</v>
      </c>
      <c r="AO600">
        <v>0</v>
      </c>
      <c r="AP600" t="s">
        <v>31</v>
      </c>
      <c r="AQ600">
        <v>0</v>
      </c>
    </row>
    <row r="601" spans="1:43" x14ac:dyDescent="0.2">
      <c r="A601" t="s">
        <v>381</v>
      </c>
      <c r="B601" s="3">
        <v>44286</v>
      </c>
      <c r="C601">
        <v>46</v>
      </c>
      <c r="D601" t="s">
        <v>384</v>
      </c>
      <c r="E601" t="s">
        <v>38</v>
      </c>
      <c r="F601" s="9" t="s">
        <v>40</v>
      </c>
      <c r="G601" t="s">
        <v>26</v>
      </c>
      <c r="H601" t="s">
        <v>27</v>
      </c>
      <c r="I601" t="s">
        <v>28</v>
      </c>
      <c r="J601" t="s">
        <v>29</v>
      </c>
      <c r="K601" t="s">
        <v>30</v>
      </c>
      <c r="L601" t="s">
        <v>29</v>
      </c>
      <c r="M601" t="s">
        <v>30</v>
      </c>
      <c r="N601" t="s">
        <v>27</v>
      </c>
      <c r="O601" t="s">
        <v>28</v>
      </c>
      <c r="P601" t="s">
        <v>29</v>
      </c>
      <c r="Q601" t="s">
        <v>30</v>
      </c>
      <c r="R601" s="1">
        <v>44286.38003472222</v>
      </c>
      <c r="S601" s="1">
        <v>44286.380335648151</v>
      </c>
      <c r="T601">
        <v>1</v>
      </c>
      <c r="U601">
        <v>1</v>
      </c>
      <c r="V601" s="2">
        <v>1</v>
      </c>
      <c r="W601">
        <v>0</v>
      </c>
      <c r="X601" t="s">
        <v>37</v>
      </c>
      <c r="Y601">
        <v>0</v>
      </c>
      <c r="Z601" t="s">
        <v>37</v>
      </c>
      <c r="AA601">
        <v>0</v>
      </c>
      <c r="AB601" t="s">
        <v>37</v>
      </c>
      <c r="AC601">
        <v>0</v>
      </c>
      <c r="AD601" t="s">
        <v>30</v>
      </c>
      <c r="AE601">
        <v>0</v>
      </c>
      <c r="AF601" t="s">
        <v>31</v>
      </c>
      <c r="AG601">
        <v>0</v>
      </c>
      <c r="AH601" t="s">
        <v>31</v>
      </c>
      <c r="AI601">
        <v>0</v>
      </c>
      <c r="AJ601" t="s">
        <v>31</v>
      </c>
      <c r="AK601">
        <v>0</v>
      </c>
      <c r="AL601" t="s">
        <v>31</v>
      </c>
      <c r="AM601">
        <v>0</v>
      </c>
      <c r="AN601" t="s">
        <v>31</v>
      </c>
      <c r="AO601">
        <v>0</v>
      </c>
      <c r="AP601" t="s">
        <v>31</v>
      </c>
      <c r="AQ601">
        <v>0</v>
      </c>
    </row>
    <row r="602" spans="1:43" x14ac:dyDescent="0.2">
      <c r="A602" t="s">
        <v>381</v>
      </c>
      <c r="B602" s="3">
        <v>44287</v>
      </c>
      <c r="C602">
        <v>47</v>
      </c>
      <c r="D602" t="s">
        <v>385</v>
      </c>
      <c r="E602" t="s">
        <v>38</v>
      </c>
      <c r="F602" s="9" t="s">
        <v>40</v>
      </c>
      <c r="G602" t="s">
        <v>26</v>
      </c>
      <c r="H602" t="s">
        <v>27</v>
      </c>
      <c r="I602" t="s">
        <v>28</v>
      </c>
      <c r="J602" t="s">
        <v>29</v>
      </c>
      <c r="K602" t="s">
        <v>30</v>
      </c>
      <c r="L602" t="s">
        <v>29</v>
      </c>
      <c r="M602" t="s">
        <v>30</v>
      </c>
      <c r="N602" t="s">
        <v>27</v>
      </c>
      <c r="O602" t="s">
        <v>28</v>
      </c>
      <c r="P602" t="s">
        <v>29</v>
      </c>
      <c r="Q602" t="s">
        <v>30</v>
      </c>
      <c r="R602" s="1">
        <v>44287.417291666665</v>
      </c>
      <c r="S602" s="1">
        <v>44287.417337962965</v>
      </c>
      <c r="T602">
        <v>0</v>
      </c>
      <c r="U602">
        <v>0</v>
      </c>
      <c r="V602" s="2">
        <v>0</v>
      </c>
      <c r="W602">
        <v>0</v>
      </c>
      <c r="X602" t="s">
        <v>37</v>
      </c>
      <c r="Y602">
        <v>0</v>
      </c>
      <c r="Z602" t="s">
        <v>37</v>
      </c>
      <c r="AA602">
        <v>0</v>
      </c>
      <c r="AB602" t="s">
        <v>37</v>
      </c>
      <c r="AC602">
        <v>0</v>
      </c>
      <c r="AD602" t="s">
        <v>37</v>
      </c>
      <c r="AE602">
        <v>0</v>
      </c>
      <c r="AF602" t="s">
        <v>31</v>
      </c>
      <c r="AG602">
        <v>0</v>
      </c>
      <c r="AH602" t="s">
        <v>31</v>
      </c>
      <c r="AI602">
        <v>0</v>
      </c>
      <c r="AJ602" t="s">
        <v>31</v>
      </c>
      <c r="AK602">
        <v>0</v>
      </c>
      <c r="AL602" t="s">
        <v>31</v>
      </c>
      <c r="AM602">
        <v>0</v>
      </c>
      <c r="AN602" t="s">
        <v>31</v>
      </c>
      <c r="AO602">
        <v>0</v>
      </c>
      <c r="AP602" t="s">
        <v>31</v>
      </c>
      <c r="AQ602">
        <v>0</v>
      </c>
    </row>
    <row r="603" spans="1:43" x14ac:dyDescent="0.2">
      <c r="A603" t="s">
        <v>381</v>
      </c>
      <c r="B603" s="3">
        <v>44287</v>
      </c>
      <c r="C603">
        <v>48</v>
      </c>
      <c r="D603" t="s">
        <v>385</v>
      </c>
      <c r="E603" t="s">
        <v>38</v>
      </c>
      <c r="F603" s="9" t="s">
        <v>40</v>
      </c>
      <c r="G603" t="s">
        <v>26</v>
      </c>
      <c r="H603" t="s">
        <v>27</v>
      </c>
      <c r="I603" t="s">
        <v>28</v>
      </c>
      <c r="J603" t="s">
        <v>29</v>
      </c>
      <c r="K603" t="s">
        <v>30</v>
      </c>
      <c r="L603" t="s">
        <v>29</v>
      </c>
      <c r="M603" t="s">
        <v>30</v>
      </c>
      <c r="N603" t="s">
        <v>27</v>
      </c>
      <c r="O603" t="s">
        <v>28</v>
      </c>
      <c r="P603" t="s">
        <v>29</v>
      </c>
      <c r="Q603" t="s">
        <v>30</v>
      </c>
      <c r="R603" s="1">
        <v>44287.648634259262</v>
      </c>
      <c r="S603" s="1">
        <v>44287.648958333331</v>
      </c>
      <c r="T603">
        <v>0</v>
      </c>
      <c r="U603">
        <v>0</v>
      </c>
      <c r="V603" s="2">
        <v>0</v>
      </c>
      <c r="W603">
        <v>0</v>
      </c>
      <c r="X603" t="s">
        <v>37</v>
      </c>
      <c r="Y603">
        <v>0</v>
      </c>
      <c r="Z603" t="s">
        <v>37</v>
      </c>
      <c r="AA603">
        <v>0</v>
      </c>
      <c r="AB603" t="s">
        <v>37</v>
      </c>
      <c r="AC603">
        <v>0</v>
      </c>
      <c r="AD603" t="s">
        <v>37</v>
      </c>
      <c r="AE603">
        <v>0</v>
      </c>
      <c r="AF603" t="s">
        <v>31</v>
      </c>
      <c r="AG603">
        <v>0</v>
      </c>
      <c r="AH603" t="s">
        <v>31</v>
      </c>
      <c r="AI603">
        <v>0</v>
      </c>
      <c r="AJ603" t="s">
        <v>31</v>
      </c>
      <c r="AK603">
        <v>0</v>
      </c>
      <c r="AL603" t="s">
        <v>31</v>
      </c>
      <c r="AM603">
        <v>0</v>
      </c>
      <c r="AN603" t="s">
        <v>31</v>
      </c>
      <c r="AO603">
        <v>0</v>
      </c>
      <c r="AP603" t="s">
        <v>31</v>
      </c>
      <c r="AQ603">
        <v>0</v>
      </c>
    </row>
    <row r="604" spans="1:43" x14ac:dyDescent="0.2">
      <c r="A604" t="s">
        <v>381</v>
      </c>
      <c r="B604" s="3">
        <v>44288</v>
      </c>
      <c r="C604">
        <v>49</v>
      </c>
      <c r="D604" t="s">
        <v>384</v>
      </c>
      <c r="E604" t="s">
        <v>38</v>
      </c>
      <c r="F604" s="9" t="s">
        <v>40</v>
      </c>
      <c r="G604" t="s">
        <v>26</v>
      </c>
      <c r="H604" t="s">
        <v>27</v>
      </c>
      <c r="I604" t="s">
        <v>28</v>
      </c>
      <c r="J604" t="s">
        <v>29</v>
      </c>
      <c r="K604" t="s">
        <v>30</v>
      </c>
      <c r="L604" t="s">
        <v>29</v>
      </c>
      <c r="M604" t="s">
        <v>30</v>
      </c>
      <c r="N604" t="s">
        <v>27</v>
      </c>
      <c r="O604" t="s">
        <v>28</v>
      </c>
      <c r="P604" t="s">
        <v>29</v>
      </c>
      <c r="Q604" t="s">
        <v>30</v>
      </c>
      <c r="R604" s="1">
        <v>44288.471701388888</v>
      </c>
      <c r="S604" s="1">
        <v>44288.471759259257</v>
      </c>
      <c r="T604">
        <v>0</v>
      </c>
      <c r="U604">
        <v>0</v>
      </c>
      <c r="V604" s="2">
        <v>0</v>
      </c>
      <c r="W604">
        <v>0</v>
      </c>
      <c r="X604" t="s">
        <v>37</v>
      </c>
      <c r="Y604">
        <v>0</v>
      </c>
      <c r="Z604" t="s">
        <v>37</v>
      </c>
      <c r="AA604">
        <v>0</v>
      </c>
      <c r="AB604" t="s">
        <v>37</v>
      </c>
      <c r="AC604">
        <v>0</v>
      </c>
      <c r="AD604" t="s">
        <v>37</v>
      </c>
      <c r="AE604">
        <v>0</v>
      </c>
      <c r="AF604" t="s">
        <v>31</v>
      </c>
      <c r="AG604">
        <v>0</v>
      </c>
      <c r="AH604" t="s">
        <v>31</v>
      </c>
      <c r="AI604">
        <v>0</v>
      </c>
      <c r="AJ604" t="s">
        <v>31</v>
      </c>
      <c r="AK604">
        <v>0</v>
      </c>
      <c r="AL604" t="s">
        <v>31</v>
      </c>
      <c r="AM604">
        <v>0</v>
      </c>
      <c r="AN604" t="s">
        <v>31</v>
      </c>
      <c r="AO604">
        <v>0</v>
      </c>
      <c r="AP604" t="s">
        <v>31</v>
      </c>
      <c r="AQ604">
        <v>0</v>
      </c>
    </row>
    <row r="605" spans="1:43" x14ac:dyDescent="0.2">
      <c r="A605" t="s">
        <v>381</v>
      </c>
      <c r="B605" s="3">
        <v>44291</v>
      </c>
      <c r="C605">
        <v>50</v>
      </c>
      <c r="D605" t="s">
        <v>384</v>
      </c>
      <c r="E605" t="s">
        <v>38</v>
      </c>
      <c r="F605" s="9" t="s">
        <v>40</v>
      </c>
      <c r="G605" t="s">
        <v>26</v>
      </c>
      <c r="H605" t="s">
        <v>27</v>
      </c>
      <c r="I605" t="s">
        <v>28</v>
      </c>
      <c r="J605" t="s">
        <v>29</v>
      </c>
      <c r="K605" t="s">
        <v>30</v>
      </c>
      <c r="L605" t="s">
        <v>29</v>
      </c>
      <c r="M605" t="s">
        <v>30</v>
      </c>
      <c r="N605" t="s">
        <v>27</v>
      </c>
      <c r="O605" t="s">
        <v>28</v>
      </c>
      <c r="P605" t="s">
        <v>29</v>
      </c>
      <c r="Q605" t="s">
        <v>30</v>
      </c>
      <c r="R605" s="1">
        <v>44291.377384259256</v>
      </c>
      <c r="S605" s="1">
        <v>44291.377557870372</v>
      </c>
      <c r="T605">
        <v>1</v>
      </c>
      <c r="U605">
        <v>1</v>
      </c>
      <c r="V605" s="2">
        <v>1</v>
      </c>
      <c r="W605">
        <v>0</v>
      </c>
      <c r="X605" t="s">
        <v>37</v>
      </c>
      <c r="Y605">
        <v>0</v>
      </c>
      <c r="Z605" t="s">
        <v>30</v>
      </c>
      <c r="AA605">
        <v>0</v>
      </c>
      <c r="AB605" t="s">
        <v>31</v>
      </c>
      <c r="AC605">
        <v>0</v>
      </c>
      <c r="AD605" t="s">
        <v>31</v>
      </c>
      <c r="AE605">
        <v>0</v>
      </c>
      <c r="AF605" t="s">
        <v>31</v>
      </c>
      <c r="AG605">
        <v>0</v>
      </c>
      <c r="AH605" t="s">
        <v>31</v>
      </c>
      <c r="AI605">
        <v>0</v>
      </c>
      <c r="AJ605" t="s">
        <v>31</v>
      </c>
      <c r="AK605">
        <v>0</v>
      </c>
      <c r="AL605" t="s">
        <v>31</v>
      </c>
      <c r="AM605">
        <v>0</v>
      </c>
      <c r="AN605" t="s">
        <v>31</v>
      </c>
      <c r="AO605">
        <v>0</v>
      </c>
      <c r="AP605" t="s">
        <v>31</v>
      </c>
      <c r="AQ605">
        <v>0</v>
      </c>
    </row>
    <row r="606" spans="1:43" x14ac:dyDescent="0.2">
      <c r="A606" t="s">
        <v>381</v>
      </c>
      <c r="B606" s="3">
        <v>44292</v>
      </c>
      <c r="C606">
        <v>51</v>
      </c>
      <c r="D606" t="s">
        <v>385</v>
      </c>
      <c r="E606" t="s">
        <v>38</v>
      </c>
      <c r="F606" s="9" t="s">
        <v>40</v>
      </c>
      <c r="G606" t="s">
        <v>26</v>
      </c>
      <c r="H606" t="s">
        <v>27</v>
      </c>
      <c r="I606" t="s">
        <v>28</v>
      </c>
      <c r="J606" t="s">
        <v>29</v>
      </c>
      <c r="K606" t="s">
        <v>30</v>
      </c>
      <c r="L606" t="s">
        <v>29</v>
      </c>
      <c r="M606" t="s">
        <v>30</v>
      </c>
      <c r="N606" t="s">
        <v>27</v>
      </c>
      <c r="O606" t="s">
        <v>28</v>
      </c>
      <c r="P606" t="s">
        <v>29</v>
      </c>
      <c r="Q606" t="s">
        <v>30</v>
      </c>
      <c r="R606" s="1">
        <v>44292.381666666668</v>
      </c>
      <c r="S606" s="1">
        <v>44292.381689814814</v>
      </c>
      <c r="T606">
        <v>0</v>
      </c>
      <c r="U606">
        <v>0</v>
      </c>
      <c r="V606" s="2">
        <v>0</v>
      </c>
      <c r="W606">
        <v>0</v>
      </c>
      <c r="X606" t="s">
        <v>37</v>
      </c>
      <c r="Y606">
        <v>0</v>
      </c>
      <c r="Z606" t="s">
        <v>37</v>
      </c>
      <c r="AA606">
        <v>0</v>
      </c>
      <c r="AB606" t="s">
        <v>37</v>
      </c>
      <c r="AC606">
        <v>0</v>
      </c>
      <c r="AD606" t="s">
        <v>31</v>
      </c>
      <c r="AE606">
        <v>0</v>
      </c>
      <c r="AF606" t="s">
        <v>31</v>
      </c>
      <c r="AG606">
        <v>0</v>
      </c>
      <c r="AH606" t="s">
        <v>31</v>
      </c>
      <c r="AI606">
        <v>0</v>
      </c>
      <c r="AJ606" t="s">
        <v>31</v>
      </c>
      <c r="AK606">
        <v>0</v>
      </c>
      <c r="AL606" t="s">
        <v>31</v>
      </c>
      <c r="AM606">
        <v>0</v>
      </c>
      <c r="AN606" t="s">
        <v>31</v>
      </c>
      <c r="AO606">
        <v>0</v>
      </c>
      <c r="AP606" t="s">
        <v>31</v>
      </c>
      <c r="AQ606">
        <v>0</v>
      </c>
    </row>
    <row r="607" spans="1:43" x14ac:dyDescent="0.2">
      <c r="A607" t="s">
        <v>381</v>
      </c>
      <c r="B607" s="3">
        <v>44293</v>
      </c>
      <c r="C607">
        <v>53</v>
      </c>
      <c r="D607" t="s">
        <v>384</v>
      </c>
      <c r="E607" t="s">
        <v>38</v>
      </c>
      <c r="F607" s="9" t="s">
        <v>40</v>
      </c>
      <c r="G607" t="s">
        <v>26</v>
      </c>
      <c r="H607" t="s">
        <v>27</v>
      </c>
      <c r="I607" t="s">
        <v>28</v>
      </c>
      <c r="J607" t="s">
        <v>29</v>
      </c>
      <c r="K607" t="s">
        <v>30</v>
      </c>
      <c r="L607" t="s">
        <v>29</v>
      </c>
      <c r="M607" t="s">
        <v>30</v>
      </c>
      <c r="N607" t="s">
        <v>27</v>
      </c>
      <c r="O607" t="s">
        <v>28</v>
      </c>
      <c r="P607" t="s">
        <v>29</v>
      </c>
      <c r="Q607" t="s">
        <v>30</v>
      </c>
      <c r="R607" s="1">
        <v>44293.371851851851</v>
      </c>
      <c r="S607" s="1">
        <v>44293.373067129629</v>
      </c>
      <c r="T607">
        <v>0</v>
      </c>
      <c r="U607">
        <v>0</v>
      </c>
      <c r="V607" s="2">
        <v>0</v>
      </c>
      <c r="W607">
        <v>0</v>
      </c>
      <c r="X607" t="s">
        <v>37</v>
      </c>
      <c r="Y607">
        <v>0</v>
      </c>
      <c r="Z607" t="s">
        <v>37</v>
      </c>
      <c r="AA607">
        <v>0</v>
      </c>
      <c r="AB607" t="s">
        <v>37</v>
      </c>
      <c r="AC607">
        <v>0</v>
      </c>
      <c r="AD607" t="s">
        <v>31</v>
      </c>
      <c r="AE607">
        <v>0</v>
      </c>
      <c r="AF607" t="s">
        <v>31</v>
      </c>
      <c r="AG607">
        <v>0</v>
      </c>
      <c r="AH607" t="s">
        <v>31</v>
      </c>
      <c r="AI607">
        <v>0</v>
      </c>
      <c r="AJ607" t="s">
        <v>31</v>
      </c>
      <c r="AK607">
        <v>0</v>
      </c>
      <c r="AL607" t="s">
        <v>31</v>
      </c>
      <c r="AM607">
        <v>0</v>
      </c>
      <c r="AN607" t="s">
        <v>31</v>
      </c>
      <c r="AO607">
        <v>0</v>
      </c>
      <c r="AP607" t="s">
        <v>31</v>
      </c>
      <c r="AQ607">
        <v>0</v>
      </c>
    </row>
    <row r="608" spans="1:43" x14ac:dyDescent="0.2">
      <c r="A608" t="s">
        <v>381</v>
      </c>
      <c r="B608" s="3">
        <v>44294</v>
      </c>
      <c r="C608">
        <v>55</v>
      </c>
      <c r="D608" t="s">
        <v>385</v>
      </c>
      <c r="E608" t="s">
        <v>38</v>
      </c>
      <c r="F608" s="9" t="s">
        <v>40</v>
      </c>
      <c r="G608" t="s">
        <v>26</v>
      </c>
      <c r="H608" t="s">
        <v>27</v>
      </c>
      <c r="I608" t="s">
        <v>28</v>
      </c>
      <c r="J608" t="s">
        <v>29</v>
      </c>
      <c r="K608" t="s">
        <v>30</v>
      </c>
      <c r="L608" t="s">
        <v>29</v>
      </c>
      <c r="M608" t="s">
        <v>30</v>
      </c>
      <c r="N608" t="s">
        <v>27</v>
      </c>
      <c r="O608" t="s">
        <v>28</v>
      </c>
      <c r="P608" t="s">
        <v>29</v>
      </c>
      <c r="Q608" t="s">
        <v>30</v>
      </c>
      <c r="R608" s="1">
        <v>44294.556828703702</v>
      </c>
      <c r="S608" s="1">
        <v>44294.556840277779</v>
      </c>
      <c r="T608">
        <v>0</v>
      </c>
      <c r="U608">
        <v>0</v>
      </c>
      <c r="V608" s="2">
        <v>0</v>
      </c>
      <c r="W608">
        <v>0</v>
      </c>
      <c r="X608" t="s">
        <v>37</v>
      </c>
      <c r="Y608">
        <v>0</v>
      </c>
      <c r="Z608" t="s">
        <v>37</v>
      </c>
      <c r="AA608">
        <v>0</v>
      </c>
      <c r="AB608" t="s">
        <v>37</v>
      </c>
      <c r="AC608">
        <v>0</v>
      </c>
      <c r="AD608" t="s">
        <v>37</v>
      </c>
      <c r="AE608">
        <v>0</v>
      </c>
      <c r="AF608" t="s">
        <v>31</v>
      </c>
      <c r="AG608">
        <v>0</v>
      </c>
      <c r="AH608" t="s">
        <v>31</v>
      </c>
      <c r="AI608">
        <v>0</v>
      </c>
      <c r="AJ608" t="s">
        <v>31</v>
      </c>
      <c r="AK608">
        <v>0</v>
      </c>
      <c r="AL608" t="s">
        <v>31</v>
      </c>
      <c r="AM608">
        <v>0</v>
      </c>
      <c r="AN608" t="s">
        <v>31</v>
      </c>
      <c r="AO608">
        <v>0</v>
      </c>
      <c r="AP608" t="s">
        <v>31</v>
      </c>
      <c r="AQ608">
        <v>0</v>
      </c>
    </row>
    <row r="609" spans="1:43" x14ac:dyDescent="0.2">
      <c r="A609" t="s">
        <v>381</v>
      </c>
      <c r="B609" s="3">
        <v>44295</v>
      </c>
      <c r="C609">
        <v>56</v>
      </c>
      <c r="D609" t="s">
        <v>384</v>
      </c>
      <c r="E609" t="s">
        <v>38</v>
      </c>
      <c r="F609" s="9" t="s">
        <v>40</v>
      </c>
      <c r="G609" t="s">
        <v>26</v>
      </c>
      <c r="H609" t="s">
        <v>27</v>
      </c>
      <c r="I609" t="s">
        <v>28</v>
      </c>
      <c r="J609" t="s">
        <v>29</v>
      </c>
      <c r="K609" t="s">
        <v>30</v>
      </c>
      <c r="L609" t="s">
        <v>29</v>
      </c>
      <c r="M609" t="s">
        <v>30</v>
      </c>
      <c r="N609" t="s">
        <v>27</v>
      </c>
      <c r="O609" t="s">
        <v>28</v>
      </c>
      <c r="P609" t="s">
        <v>29</v>
      </c>
      <c r="Q609" t="s">
        <v>30</v>
      </c>
      <c r="R609" s="1">
        <v>44295.374398148146</v>
      </c>
      <c r="S609" s="1">
        <v>44295.374525462961</v>
      </c>
      <c r="T609">
        <v>1</v>
      </c>
      <c r="U609">
        <v>1</v>
      </c>
      <c r="V609" s="2">
        <v>1</v>
      </c>
      <c r="W609">
        <v>0</v>
      </c>
      <c r="X609" t="s">
        <v>37</v>
      </c>
      <c r="Y609">
        <v>0</v>
      </c>
      <c r="Z609" t="s">
        <v>30</v>
      </c>
      <c r="AA609">
        <v>0</v>
      </c>
      <c r="AB609" t="s">
        <v>31</v>
      </c>
      <c r="AC609">
        <v>0</v>
      </c>
      <c r="AD609" t="s">
        <v>31</v>
      </c>
      <c r="AE609">
        <v>0</v>
      </c>
      <c r="AF609" t="s">
        <v>31</v>
      </c>
      <c r="AG609">
        <v>0</v>
      </c>
      <c r="AH609" t="s">
        <v>31</v>
      </c>
      <c r="AI609">
        <v>0</v>
      </c>
      <c r="AJ609" t="s">
        <v>31</v>
      </c>
      <c r="AK609">
        <v>0</v>
      </c>
      <c r="AL609" t="s">
        <v>31</v>
      </c>
      <c r="AM609">
        <v>0</v>
      </c>
      <c r="AN609" t="s">
        <v>31</v>
      </c>
      <c r="AO609">
        <v>0</v>
      </c>
      <c r="AP609" t="s">
        <v>31</v>
      </c>
      <c r="AQ609">
        <v>0</v>
      </c>
    </row>
    <row r="610" spans="1:43" x14ac:dyDescent="0.2">
      <c r="A610" t="s">
        <v>381</v>
      </c>
      <c r="B610" s="3">
        <v>44298</v>
      </c>
      <c r="C610">
        <v>57</v>
      </c>
      <c r="D610" t="s">
        <v>387</v>
      </c>
      <c r="E610" t="s">
        <v>38</v>
      </c>
      <c r="F610" s="9" t="s">
        <v>40</v>
      </c>
      <c r="G610" t="s">
        <v>26</v>
      </c>
      <c r="H610" t="s">
        <v>27</v>
      </c>
      <c r="I610" t="s">
        <v>28</v>
      </c>
      <c r="J610" t="s">
        <v>29</v>
      </c>
      <c r="K610" t="s">
        <v>30</v>
      </c>
      <c r="L610" t="s">
        <v>29</v>
      </c>
      <c r="M610" t="s">
        <v>30</v>
      </c>
      <c r="N610" t="s">
        <v>27</v>
      </c>
      <c r="O610" t="s">
        <v>28</v>
      </c>
      <c r="P610" t="s">
        <v>29</v>
      </c>
      <c r="Q610" t="s">
        <v>30</v>
      </c>
      <c r="R610" s="1">
        <v>44298.583090277774</v>
      </c>
      <c r="S610" s="1">
        <v>44298.584594907406</v>
      </c>
      <c r="T610">
        <v>1</v>
      </c>
      <c r="U610">
        <v>2</v>
      </c>
      <c r="V610" s="2">
        <v>0.5</v>
      </c>
      <c r="W610">
        <v>0</v>
      </c>
      <c r="X610" t="s">
        <v>44</v>
      </c>
      <c r="Y610">
        <v>0</v>
      </c>
      <c r="Z610" t="s">
        <v>37</v>
      </c>
      <c r="AA610">
        <v>0</v>
      </c>
      <c r="AB610" t="s">
        <v>30</v>
      </c>
      <c r="AC610">
        <v>0</v>
      </c>
      <c r="AD610" t="s">
        <v>31</v>
      </c>
      <c r="AE610">
        <v>0</v>
      </c>
      <c r="AF610" t="s">
        <v>31</v>
      </c>
      <c r="AG610">
        <v>0</v>
      </c>
      <c r="AH610" t="s">
        <v>31</v>
      </c>
      <c r="AI610">
        <v>0</v>
      </c>
      <c r="AJ610" t="s">
        <v>31</v>
      </c>
      <c r="AK610">
        <v>0</v>
      </c>
      <c r="AL610" t="s">
        <v>31</v>
      </c>
      <c r="AM610">
        <v>0</v>
      </c>
      <c r="AN610" t="s">
        <v>31</v>
      </c>
      <c r="AO610">
        <v>0</v>
      </c>
      <c r="AP610" t="s">
        <v>31</v>
      </c>
      <c r="AQ610">
        <v>0</v>
      </c>
    </row>
    <row r="611" spans="1:43" x14ac:dyDescent="0.2">
      <c r="A611" t="s">
        <v>381</v>
      </c>
      <c r="B611" s="3">
        <v>44299</v>
      </c>
      <c r="C611">
        <v>58</v>
      </c>
      <c r="D611" t="s">
        <v>385</v>
      </c>
      <c r="E611" t="s">
        <v>38</v>
      </c>
      <c r="F611" s="9" t="s">
        <v>40</v>
      </c>
      <c r="G611" t="s">
        <v>26</v>
      </c>
      <c r="H611" t="s">
        <v>27</v>
      </c>
      <c r="I611" t="s">
        <v>28</v>
      </c>
      <c r="J611" t="s">
        <v>29</v>
      </c>
      <c r="K611" t="s">
        <v>30</v>
      </c>
      <c r="L611" t="s">
        <v>29</v>
      </c>
      <c r="M611" t="s">
        <v>30</v>
      </c>
      <c r="N611" t="s">
        <v>27</v>
      </c>
      <c r="O611" t="s">
        <v>28</v>
      </c>
      <c r="P611" t="s">
        <v>29</v>
      </c>
      <c r="Q611" t="s">
        <v>30</v>
      </c>
      <c r="R611" s="1">
        <v>44299.411145833335</v>
      </c>
      <c r="S611" s="1">
        <v>44299.411157407405</v>
      </c>
      <c r="T611">
        <v>0</v>
      </c>
      <c r="U611">
        <v>0</v>
      </c>
      <c r="V611" s="2">
        <v>0</v>
      </c>
      <c r="W611">
        <v>0</v>
      </c>
      <c r="X611" t="s">
        <v>37</v>
      </c>
      <c r="Y611">
        <v>0</v>
      </c>
      <c r="Z611" t="s">
        <v>37</v>
      </c>
      <c r="AA611">
        <v>0</v>
      </c>
      <c r="AB611" t="s">
        <v>37</v>
      </c>
      <c r="AC611">
        <v>0</v>
      </c>
      <c r="AD611" t="s">
        <v>37</v>
      </c>
      <c r="AE611">
        <v>0</v>
      </c>
      <c r="AF611" t="s">
        <v>31</v>
      </c>
      <c r="AG611">
        <v>0</v>
      </c>
      <c r="AH611" t="s">
        <v>31</v>
      </c>
      <c r="AI611">
        <v>0</v>
      </c>
      <c r="AJ611" t="s">
        <v>31</v>
      </c>
      <c r="AK611">
        <v>0</v>
      </c>
      <c r="AL611" t="s">
        <v>31</v>
      </c>
      <c r="AM611">
        <v>0</v>
      </c>
      <c r="AN611" t="s">
        <v>31</v>
      </c>
      <c r="AO611">
        <v>0</v>
      </c>
      <c r="AP611" t="s">
        <v>31</v>
      </c>
      <c r="AQ611">
        <v>0</v>
      </c>
    </row>
    <row r="612" spans="1:43" x14ac:dyDescent="0.2">
      <c r="A612" t="s">
        <v>381</v>
      </c>
      <c r="B612" s="3">
        <v>44299</v>
      </c>
      <c r="C612">
        <v>59</v>
      </c>
      <c r="D612" t="s">
        <v>385</v>
      </c>
      <c r="E612" t="s">
        <v>38</v>
      </c>
      <c r="F612" s="9" t="s">
        <v>40</v>
      </c>
      <c r="G612" t="s">
        <v>26</v>
      </c>
      <c r="H612" t="s">
        <v>27</v>
      </c>
      <c r="I612" t="s">
        <v>28</v>
      </c>
      <c r="J612" t="s">
        <v>29</v>
      </c>
      <c r="K612" t="s">
        <v>30</v>
      </c>
      <c r="L612" t="s">
        <v>29</v>
      </c>
      <c r="M612" t="s">
        <v>30</v>
      </c>
      <c r="N612" t="s">
        <v>27</v>
      </c>
      <c r="O612" t="s">
        <v>28</v>
      </c>
      <c r="P612" t="s">
        <v>29</v>
      </c>
      <c r="Q612" t="s">
        <v>30</v>
      </c>
      <c r="R612" s="1">
        <v>44299.546053240738</v>
      </c>
      <c r="S612" s="1">
        <v>44299.546076388891</v>
      </c>
      <c r="T612">
        <v>0</v>
      </c>
      <c r="U612">
        <v>0</v>
      </c>
      <c r="V612" s="2">
        <v>0</v>
      </c>
      <c r="W612">
        <v>0</v>
      </c>
      <c r="X612" t="s">
        <v>37</v>
      </c>
      <c r="Y612">
        <v>0</v>
      </c>
      <c r="Z612" t="s">
        <v>37</v>
      </c>
      <c r="AA612">
        <v>0</v>
      </c>
      <c r="AB612" t="s">
        <v>37</v>
      </c>
      <c r="AC612">
        <v>0</v>
      </c>
      <c r="AD612" t="s">
        <v>31</v>
      </c>
      <c r="AE612">
        <v>0</v>
      </c>
      <c r="AF612" t="s">
        <v>31</v>
      </c>
      <c r="AG612">
        <v>0</v>
      </c>
      <c r="AH612" t="s">
        <v>31</v>
      </c>
      <c r="AI612">
        <v>0</v>
      </c>
      <c r="AJ612" t="s">
        <v>31</v>
      </c>
      <c r="AK612">
        <v>0</v>
      </c>
      <c r="AL612" t="s">
        <v>31</v>
      </c>
      <c r="AM612">
        <v>0</v>
      </c>
      <c r="AN612" t="s">
        <v>31</v>
      </c>
      <c r="AO612">
        <v>0</v>
      </c>
      <c r="AP612" t="s">
        <v>31</v>
      </c>
      <c r="AQ612">
        <v>0</v>
      </c>
    </row>
    <row r="613" spans="1:43" x14ac:dyDescent="0.2">
      <c r="A613" t="s">
        <v>381</v>
      </c>
      <c r="B613" s="3">
        <v>44300</v>
      </c>
      <c r="C613">
        <v>60</v>
      </c>
      <c r="D613" t="s">
        <v>398</v>
      </c>
      <c r="E613" t="s">
        <v>38</v>
      </c>
      <c r="F613" s="9" t="s">
        <v>40</v>
      </c>
      <c r="G613" t="s">
        <v>26</v>
      </c>
      <c r="H613" t="s">
        <v>27</v>
      </c>
      <c r="I613" t="s">
        <v>28</v>
      </c>
      <c r="J613" t="s">
        <v>29</v>
      </c>
      <c r="K613" t="s">
        <v>30</v>
      </c>
      <c r="L613" t="s">
        <v>29</v>
      </c>
      <c r="M613" t="s">
        <v>30</v>
      </c>
      <c r="N613" t="s">
        <v>27</v>
      </c>
      <c r="O613" t="s">
        <v>28</v>
      </c>
      <c r="P613" t="s">
        <v>29</v>
      </c>
      <c r="Q613" t="s">
        <v>30</v>
      </c>
      <c r="R613" s="1">
        <v>44300.404386574075</v>
      </c>
      <c r="S613" s="1">
        <v>44300.404907407406</v>
      </c>
      <c r="T613">
        <v>0</v>
      </c>
      <c r="U613">
        <v>0</v>
      </c>
      <c r="V613" s="2">
        <v>0</v>
      </c>
      <c r="W613">
        <v>0</v>
      </c>
      <c r="X613" t="s">
        <v>37</v>
      </c>
      <c r="Y613">
        <v>0</v>
      </c>
      <c r="Z613" t="s">
        <v>37</v>
      </c>
      <c r="AA613">
        <v>0</v>
      </c>
      <c r="AB613" t="s">
        <v>37</v>
      </c>
      <c r="AC613">
        <v>0</v>
      </c>
      <c r="AD613" t="s">
        <v>37</v>
      </c>
      <c r="AE613">
        <v>0</v>
      </c>
      <c r="AF613" t="s">
        <v>31</v>
      </c>
      <c r="AG613">
        <v>0</v>
      </c>
      <c r="AH613" t="s">
        <v>31</v>
      </c>
      <c r="AI613">
        <v>0</v>
      </c>
      <c r="AJ613" t="s">
        <v>31</v>
      </c>
      <c r="AK613">
        <v>0</v>
      </c>
      <c r="AL613" t="s">
        <v>31</v>
      </c>
      <c r="AM613">
        <v>0</v>
      </c>
      <c r="AN613" t="s">
        <v>31</v>
      </c>
      <c r="AO613">
        <v>0</v>
      </c>
      <c r="AP613" t="s">
        <v>31</v>
      </c>
      <c r="AQ613">
        <v>0</v>
      </c>
    </row>
    <row r="614" spans="1:43" x14ac:dyDescent="0.2">
      <c r="A614" t="s">
        <v>381</v>
      </c>
      <c r="B614" s="3">
        <v>44300</v>
      </c>
      <c r="C614">
        <v>61</v>
      </c>
      <c r="D614" t="s">
        <v>401</v>
      </c>
      <c r="E614" t="s">
        <v>38</v>
      </c>
      <c r="F614" s="9" t="s">
        <v>40</v>
      </c>
      <c r="G614" t="s">
        <v>26</v>
      </c>
      <c r="H614" t="s">
        <v>27</v>
      </c>
      <c r="I614" t="s">
        <v>28</v>
      </c>
      <c r="J614" t="s">
        <v>29</v>
      </c>
      <c r="K614" t="s">
        <v>30</v>
      </c>
      <c r="L614" t="s">
        <v>29</v>
      </c>
      <c r="M614" t="s">
        <v>30</v>
      </c>
      <c r="N614" t="s">
        <v>27</v>
      </c>
      <c r="O614" t="s">
        <v>28</v>
      </c>
      <c r="P614" t="s">
        <v>29</v>
      </c>
      <c r="Q614" t="s">
        <v>30</v>
      </c>
      <c r="R614" s="1">
        <v>44300.627615740741</v>
      </c>
      <c r="S614" s="1">
        <v>44300.62809027778</v>
      </c>
      <c r="T614">
        <v>0</v>
      </c>
      <c r="U614">
        <v>0</v>
      </c>
      <c r="V614" s="2">
        <v>0</v>
      </c>
      <c r="W614">
        <v>0</v>
      </c>
      <c r="X614" t="s">
        <v>37</v>
      </c>
      <c r="Y614">
        <v>0</v>
      </c>
      <c r="Z614" t="s">
        <v>37</v>
      </c>
      <c r="AA614">
        <v>0</v>
      </c>
      <c r="AB614" t="s">
        <v>31</v>
      </c>
      <c r="AC614">
        <v>0</v>
      </c>
      <c r="AD614" t="s">
        <v>31</v>
      </c>
      <c r="AE614">
        <v>0</v>
      </c>
      <c r="AF614" t="s">
        <v>31</v>
      </c>
      <c r="AG614">
        <v>0</v>
      </c>
      <c r="AH614" t="s">
        <v>31</v>
      </c>
      <c r="AI614">
        <v>0</v>
      </c>
      <c r="AJ614" t="s">
        <v>31</v>
      </c>
      <c r="AK614">
        <v>0</v>
      </c>
      <c r="AL614" t="s">
        <v>31</v>
      </c>
      <c r="AM614">
        <v>0</v>
      </c>
      <c r="AN614" t="s">
        <v>31</v>
      </c>
      <c r="AO614">
        <v>0</v>
      </c>
      <c r="AP614" t="s">
        <v>31</v>
      </c>
      <c r="AQ614">
        <v>0</v>
      </c>
    </row>
    <row r="615" spans="1:43" x14ac:dyDescent="0.2">
      <c r="A615" t="s">
        <v>381</v>
      </c>
      <c r="B615" s="3">
        <v>44301</v>
      </c>
      <c r="C615">
        <v>62</v>
      </c>
      <c r="D615" t="s">
        <v>385</v>
      </c>
      <c r="E615" t="s">
        <v>38</v>
      </c>
      <c r="F615" s="9" t="s">
        <v>40</v>
      </c>
      <c r="G615" t="s">
        <v>26</v>
      </c>
      <c r="H615" t="s">
        <v>27</v>
      </c>
      <c r="I615" t="s">
        <v>28</v>
      </c>
      <c r="J615" t="s">
        <v>29</v>
      </c>
      <c r="K615" t="s">
        <v>30</v>
      </c>
      <c r="L615" t="s">
        <v>29</v>
      </c>
      <c r="M615" t="s">
        <v>30</v>
      </c>
      <c r="N615" t="s">
        <v>155</v>
      </c>
      <c r="O615" t="s">
        <v>156</v>
      </c>
      <c r="P615" t="s">
        <v>29</v>
      </c>
      <c r="Q615" t="s">
        <v>30</v>
      </c>
      <c r="R615" s="1">
        <v>44301.405787037038</v>
      </c>
      <c r="S615" s="1">
        <v>44301.406782407408</v>
      </c>
      <c r="T615">
        <v>0</v>
      </c>
      <c r="U615">
        <v>3</v>
      </c>
      <c r="V615" s="2">
        <v>0</v>
      </c>
      <c r="W615">
        <v>0</v>
      </c>
      <c r="X615" t="s">
        <v>37</v>
      </c>
      <c r="Y615">
        <v>0</v>
      </c>
      <c r="Z615" t="s">
        <v>37</v>
      </c>
      <c r="AA615">
        <v>0</v>
      </c>
      <c r="AB615" t="s">
        <v>44</v>
      </c>
      <c r="AC615">
        <v>0</v>
      </c>
      <c r="AD615" t="s">
        <v>44</v>
      </c>
      <c r="AE615">
        <v>0</v>
      </c>
      <c r="AF615" t="s">
        <v>47</v>
      </c>
      <c r="AG615">
        <v>0</v>
      </c>
      <c r="AH615" t="s">
        <v>37</v>
      </c>
      <c r="AI615">
        <v>0</v>
      </c>
      <c r="AJ615" t="s">
        <v>31</v>
      </c>
      <c r="AK615">
        <v>0</v>
      </c>
      <c r="AL615" t="s">
        <v>31</v>
      </c>
      <c r="AM615">
        <v>0</v>
      </c>
      <c r="AN615" t="s">
        <v>31</v>
      </c>
      <c r="AO615">
        <v>0</v>
      </c>
      <c r="AP615" t="s">
        <v>31</v>
      </c>
      <c r="AQ615">
        <v>0</v>
      </c>
    </row>
    <row r="616" spans="1:43" x14ac:dyDescent="0.2">
      <c r="A616" t="s">
        <v>381</v>
      </c>
      <c r="B616" s="3">
        <v>44302</v>
      </c>
      <c r="C616">
        <v>64</v>
      </c>
      <c r="D616" t="s">
        <v>390</v>
      </c>
      <c r="E616" t="s">
        <v>38</v>
      </c>
      <c r="F616" s="9" t="s">
        <v>40</v>
      </c>
      <c r="G616" t="s">
        <v>26</v>
      </c>
      <c r="H616" t="s">
        <v>155</v>
      </c>
      <c r="I616" t="s">
        <v>156</v>
      </c>
      <c r="J616" t="s">
        <v>29</v>
      </c>
      <c r="K616" t="s">
        <v>30</v>
      </c>
      <c r="L616" t="s">
        <v>162</v>
      </c>
      <c r="M616" t="s">
        <v>47</v>
      </c>
      <c r="N616" t="s">
        <v>27</v>
      </c>
      <c r="O616" t="s">
        <v>28</v>
      </c>
      <c r="P616" t="s">
        <v>43</v>
      </c>
      <c r="Q616" t="s">
        <v>44</v>
      </c>
      <c r="R616" s="1">
        <v>44302.416678240741</v>
      </c>
      <c r="S616" s="1">
        <v>44302.41747685185</v>
      </c>
      <c r="T616">
        <v>10</v>
      </c>
      <c r="U616">
        <v>10</v>
      </c>
      <c r="V616" s="2">
        <v>1</v>
      </c>
      <c r="W616">
        <v>0</v>
      </c>
      <c r="X616" t="s">
        <v>47</v>
      </c>
      <c r="Y616">
        <v>0</v>
      </c>
      <c r="Z616" t="s">
        <v>47</v>
      </c>
      <c r="AA616">
        <v>0</v>
      </c>
      <c r="AB616" t="s">
        <v>47</v>
      </c>
      <c r="AC616">
        <v>0</v>
      </c>
      <c r="AD616" t="s">
        <v>47</v>
      </c>
      <c r="AE616">
        <v>0</v>
      </c>
      <c r="AF616" t="s">
        <v>47</v>
      </c>
      <c r="AG616">
        <v>0</v>
      </c>
      <c r="AH616" t="s">
        <v>47</v>
      </c>
      <c r="AI616">
        <v>0</v>
      </c>
      <c r="AJ616" t="s">
        <v>47</v>
      </c>
      <c r="AK616">
        <v>0</v>
      </c>
      <c r="AL616" t="s">
        <v>47</v>
      </c>
      <c r="AM616">
        <v>0</v>
      </c>
      <c r="AN616" t="s">
        <v>47</v>
      </c>
      <c r="AO616">
        <v>0</v>
      </c>
      <c r="AP616" t="s">
        <v>47</v>
      </c>
      <c r="AQ616">
        <v>0</v>
      </c>
    </row>
    <row r="617" spans="1:43" x14ac:dyDescent="0.2">
      <c r="A617" t="s">
        <v>381</v>
      </c>
      <c r="B617" s="3">
        <v>44302</v>
      </c>
      <c r="C617">
        <v>65</v>
      </c>
      <c r="D617" t="s">
        <v>387</v>
      </c>
      <c r="E617" t="s">
        <v>38</v>
      </c>
      <c r="F617" s="9" t="s">
        <v>40</v>
      </c>
      <c r="G617" t="s">
        <v>26</v>
      </c>
      <c r="H617" t="s">
        <v>27</v>
      </c>
      <c r="I617" t="s">
        <v>28</v>
      </c>
      <c r="J617" t="s">
        <v>43</v>
      </c>
      <c r="K617" t="s">
        <v>44</v>
      </c>
      <c r="L617" t="s">
        <v>29</v>
      </c>
      <c r="M617" t="s">
        <v>30</v>
      </c>
      <c r="N617" t="s">
        <v>27</v>
      </c>
      <c r="O617" t="s">
        <v>28</v>
      </c>
      <c r="P617" t="s">
        <v>43</v>
      </c>
      <c r="Q617" t="s">
        <v>44</v>
      </c>
      <c r="R617" s="1">
        <v>44302.570370370369</v>
      </c>
      <c r="S617" s="1">
        <v>44302.57340277778</v>
      </c>
      <c r="T617">
        <v>0</v>
      </c>
      <c r="U617">
        <v>0</v>
      </c>
      <c r="V617" s="2">
        <v>0</v>
      </c>
      <c r="W617">
        <v>0</v>
      </c>
      <c r="X617" t="s">
        <v>37</v>
      </c>
      <c r="Y617">
        <v>0</v>
      </c>
      <c r="Z617" t="s">
        <v>37</v>
      </c>
      <c r="AA617">
        <v>0</v>
      </c>
      <c r="AB617" t="s">
        <v>37</v>
      </c>
      <c r="AC617">
        <v>0</v>
      </c>
      <c r="AD617" t="s">
        <v>37</v>
      </c>
      <c r="AE617">
        <v>0</v>
      </c>
      <c r="AF617" t="s">
        <v>31</v>
      </c>
      <c r="AG617">
        <v>0</v>
      </c>
      <c r="AH617" t="s">
        <v>31</v>
      </c>
      <c r="AI617">
        <v>0</v>
      </c>
      <c r="AJ617" t="s">
        <v>31</v>
      </c>
      <c r="AK617">
        <v>0</v>
      </c>
      <c r="AL617" t="s">
        <v>31</v>
      </c>
      <c r="AM617">
        <v>0</v>
      </c>
      <c r="AN617" t="s">
        <v>31</v>
      </c>
      <c r="AO617">
        <v>0</v>
      </c>
      <c r="AP617" t="s">
        <v>31</v>
      </c>
      <c r="AQ617">
        <v>0</v>
      </c>
    </row>
    <row r="618" spans="1:43" x14ac:dyDescent="0.2">
      <c r="A618" t="s">
        <v>381</v>
      </c>
      <c r="B618" s="3">
        <v>44307</v>
      </c>
      <c r="C618">
        <v>66</v>
      </c>
      <c r="D618" t="s">
        <v>398</v>
      </c>
      <c r="E618" t="s">
        <v>38</v>
      </c>
      <c r="F618" s="9" t="s">
        <v>40</v>
      </c>
      <c r="G618" t="s">
        <v>26</v>
      </c>
      <c r="H618" t="s">
        <v>27</v>
      </c>
      <c r="I618" t="s">
        <v>28</v>
      </c>
      <c r="J618" t="s">
        <v>43</v>
      </c>
      <c r="K618" t="s">
        <v>44</v>
      </c>
      <c r="L618" t="s">
        <v>29</v>
      </c>
      <c r="M618" t="s">
        <v>30</v>
      </c>
      <c r="N618" t="s">
        <v>27</v>
      </c>
      <c r="O618" t="s">
        <v>28</v>
      </c>
      <c r="P618" t="s">
        <v>43</v>
      </c>
      <c r="Q618" t="s">
        <v>44</v>
      </c>
      <c r="R618" s="1">
        <v>44307.463402777779</v>
      </c>
      <c r="S618" s="1">
        <v>44307.463819444441</v>
      </c>
      <c r="T618">
        <v>0</v>
      </c>
      <c r="U618">
        <v>0</v>
      </c>
      <c r="V618" s="2">
        <v>0</v>
      </c>
      <c r="W618">
        <v>0</v>
      </c>
      <c r="X618" t="s">
        <v>37</v>
      </c>
      <c r="Y618">
        <v>0</v>
      </c>
      <c r="Z618" t="s">
        <v>37</v>
      </c>
      <c r="AA618">
        <v>0</v>
      </c>
      <c r="AB618" t="s">
        <v>37</v>
      </c>
      <c r="AC618">
        <v>0</v>
      </c>
      <c r="AD618" t="s">
        <v>37</v>
      </c>
      <c r="AE618">
        <v>0</v>
      </c>
      <c r="AF618" t="s">
        <v>31</v>
      </c>
      <c r="AG618">
        <v>0</v>
      </c>
      <c r="AH618" t="s">
        <v>31</v>
      </c>
      <c r="AI618">
        <v>0</v>
      </c>
      <c r="AJ618" t="s">
        <v>31</v>
      </c>
      <c r="AK618">
        <v>0</v>
      </c>
      <c r="AL618" t="s">
        <v>31</v>
      </c>
      <c r="AM618">
        <v>0</v>
      </c>
      <c r="AN618" t="s">
        <v>31</v>
      </c>
      <c r="AO618">
        <v>0</v>
      </c>
      <c r="AP618" t="s">
        <v>31</v>
      </c>
      <c r="AQ618">
        <v>0</v>
      </c>
    </row>
    <row r="619" spans="1:43" x14ac:dyDescent="0.2">
      <c r="A619" t="s">
        <v>381</v>
      </c>
      <c r="B619" s="3">
        <v>44307</v>
      </c>
      <c r="C619">
        <v>67</v>
      </c>
      <c r="D619" t="s">
        <v>387</v>
      </c>
      <c r="E619" t="s">
        <v>38</v>
      </c>
      <c r="F619" s="9" t="s">
        <v>40</v>
      </c>
      <c r="G619" t="s">
        <v>26</v>
      </c>
      <c r="H619" t="s">
        <v>27</v>
      </c>
      <c r="I619" t="s">
        <v>28</v>
      </c>
      <c r="J619" t="s">
        <v>43</v>
      </c>
      <c r="K619" t="s">
        <v>44</v>
      </c>
      <c r="L619" t="s">
        <v>29</v>
      </c>
      <c r="M619" t="s">
        <v>30</v>
      </c>
      <c r="N619" t="s">
        <v>27</v>
      </c>
      <c r="O619" t="s">
        <v>28</v>
      </c>
      <c r="P619" t="s">
        <v>43</v>
      </c>
      <c r="Q619" t="s">
        <v>44</v>
      </c>
      <c r="R619" s="1">
        <v>44307.554791666669</v>
      </c>
      <c r="S619" s="1">
        <v>44307.555775462963</v>
      </c>
      <c r="T619">
        <v>0</v>
      </c>
      <c r="U619">
        <v>0</v>
      </c>
      <c r="V619" s="2">
        <v>0</v>
      </c>
      <c r="W619">
        <v>0</v>
      </c>
      <c r="X619" t="s">
        <v>37</v>
      </c>
      <c r="Y619">
        <v>0</v>
      </c>
      <c r="Z619" t="s">
        <v>37</v>
      </c>
      <c r="AA619">
        <v>0</v>
      </c>
      <c r="AB619" t="s">
        <v>37</v>
      </c>
      <c r="AC619">
        <v>0</v>
      </c>
      <c r="AD619" t="s">
        <v>31</v>
      </c>
      <c r="AE619">
        <v>0</v>
      </c>
      <c r="AF619" t="s">
        <v>31</v>
      </c>
      <c r="AG619">
        <v>0</v>
      </c>
      <c r="AH619" t="s">
        <v>31</v>
      </c>
      <c r="AI619">
        <v>0</v>
      </c>
      <c r="AJ619" t="s">
        <v>31</v>
      </c>
      <c r="AK619">
        <v>0</v>
      </c>
      <c r="AL619" t="s">
        <v>31</v>
      </c>
      <c r="AM619">
        <v>0</v>
      </c>
      <c r="AN619" t="s">
        <v>31</v>
      </c>
      <c r="AO619">
        <v>0</v>
      </c>
      <c r="AP619" t="s">
        <v>31</v>
      </c>
      <c r="AQ619">
        <v>0</v>
      </c>
    </row>
    <row r="620" spans="1:43" x14ac:dyDescent="0.2">
      <c r="A620" t="s">
        <v>381</v>
      </c>
      <c r="B620" s="3">
        <v>44308</v>
      </c>
      <c r="C620">
        <v>68</v>
      </c>
      <c r="D620" t="s">
        <v>383</v>
      </c>
      <c r="E620" t="s">
        <v>38</v>
      </c>
      <c r="F620" s="9" t="s">
        <v>40</v>
      </c>
      <c r="G620" t="s">
        <v>26</v>
      </c>
      <c r="H620" t="s">
        <v>27</v>
      </c>
      <c r="I620" t="s">
        <v>28</v>
      </c>
      <c r="J620" t="s">
        <v>43</v>
      </c>
      <c r="K620" t="s">
        <v>44</v>
      </c>
      <c r="L620" t="s">
        <v>29</v>
      </c>
      <c r="M620" t="s">
        <v>30</v>
      </c>
      <c r="N620" t="s">
        <v>27</v>
      </c>
      <c r="O620" t="s">
        <v>28</v>
      </c>
      <c r="P620" t="s">
        <v>43</v>
      </c>
      <c r="Q620" t="s">
        <v>44</v>
      </c>
      <c r="R620" s="1">
        <v>44308.448692129627</v>
      </c>
      <c r="S620" s="1">
        <v>44308.448807870373</v>
      </c>
      <c r="T620">
        <v>0</v>
      </c>
      <c r="U620">
        <v>0</v>
      </c>
      <c r="V620" s="2">
        <v>0</v>
      </c>
      <c r="W620">
        <v>0</v>
      </c>
      <c r="X620" t="s">
        <v>37</v>
      </c>
      <c r="Y620">
        <v>0</v>
      </c>
      <c r="Z620" t="s">
        <v>37</v>
      </c>
      <c r="AA620">
        <v>0</v>
      </c>
      <c r="AB620" t="s">
        <v>37</v>
      </c>
      <c r="AC620">
        <v>0</v>
      </c>
      <c r="AD620" t="s">
        <v>31</v>
      </c>
      <c r="AE620">
        <v>0</v>
      </c>
      <c r="AF620" t="s">
        <v>31</v>
      </c>
      <c r="AG620">
        <v>0</v>
      </c>
      <c r="AH620" t="s">
        <v>31</v>
      </c>
      <c r="AI620">
        <v>0</v>
      </c>
      <c r="AJ620" t="s">
        <v>31</v>
      </c>
      <c r="AK620">
        <v>0</v>
      </c>
      <c r="AL620" t="s">
        <v>31</v>
      </c>
      <c r="AM620">
        <v>0</v>
      </c>
      <c r="AN620" t="s">
        <v>31</v>
      </c>
      <c r="AO620">
        <v>0</v>
      </c>
      <c r="AP620" t="s">
        <v>31</v>
      </c>
      <c r="AQ620">
        <v>0</v>
      </c>
    </row>
    <row r="621" spans="1:43" x14ac:dyDescent="0.2">
      <c r="A621" t="s">
        <v>381</v>
      </c>
      <c r="B621" s="3">
        <v>44308</v>
      </c>
      <c r="C621">
        <v>69</v>
      </c>
      <c r="D621" t="s">
        <v>385</v>
      </c>
      <c r="E621" t="s">
        <v>38</v>
      </c>
      <c r="F621" s="9" t="s">
        <v>40</v>
      </c>
      <c r="G621" t="s">
        <v>26</v>
      </c>
      <c r="H621" t="s">
        <v>27</v>
      </c>
      <c r="I621" t="s">
        <v>28</v>
      </c>
      <c r="J621" t="s">
        <v>43</v>
      </c>
      <c r="K621" t="s">
        <v>44</v>
      </c>
      <c r="L621" t="s">
        <v>29</v>
      </c>
      <c r="M621" t="s">
        <v>30</v>
      </c>
      <c r="N621" t="s">
        <v>27</v>
      </c>
      <c r="O621" t="s">
        <v>28</v>
      </c>
      <c r="P621" t="s">
        <v>43</v>
      </c>
      <c r="Q621" t="s">
        <v>44</v>
      </c>
      <c r="R621" s="1">
        <v>44308.562245370369</v>
      </c>
      <c r="S621" s="1">
        <v>44308.562743055554</v>
      </c>
      <c r="T621">
        <v>0</v>
      </c>
      <c r="U621">
        <v>2</v>
      </c>
      <c r="V621" s="2">
        <v>0</v>
      </c>
      <c r="W621">
        <v>0</v>
      </c>
      <c r="X621" t="s">
        <v>37</v>
      </c>
      <c r="Y621">
        <v>0</v>
      </c>
      <c r="Z621" t="s">
        <v>44</v>
      </c>
      <c r="AA621">
        <v>0</v>
      </c>
      <c r="AB621" t="s">
        <v>37</v>
      </c>
      <c r="AC621">
        <v>0</v>
      </c>
      <c r="AD621" t="s">
        <v>44</v>
      </c>
      <c r="AE621">
        <v>0</v>
      </c>
      <c r="AF621" t="s">
        <v>37</v>
      </c>
      <c r="AG621">
        <v>0</v>
      </c>
      <c r="AH621" t="s">
        <v>31</v>
      </c>
      <c r="AI621">
        <v>0</v>
      </c>
      <c r="AJ621" t="s">
        <v>31</v>
      </c>
      <c r="AK621">
        <v>0</v>
      </c>
      <c r="AL621" t="s">
        <v>31</v>
      </c>
      <c r="AM621">
        <v>0</v>
      </c>
      <c r="AN621" t="s">
        <v>31</v>
      </c>
      <c r="AO621">
        <v>0</v>
      </c>
      <c r="AP621" t="s">
        <v>31</v>
      </c>
      <c r="AQ621">
        <v>0</v>
      </c>
    </row>
    <row r="622" spans="1:43" x14ac:dyDescent="0.2">
      <c r="A622" t="s">
        <v>381</v>
      </c>
      <c r="B622" s="3">
        <v>44309</v>
      </c>
      <c r="C622">
        <v>70</v>
      </c>
      <c r="D622" t="s">
        <v>388</v>
      </c>
      <c r="E622" t="s">
        <v>38</v>
      </c>
      <c r="F622" s="9" t="s">
        <v>40</v>
      </c>
      <c r="G622" t="s">
        <v>26</v>
      </c>
      <c r="H622" t="s">
        <v>27</v>
      </c>
      <c r="I622" t="s">
        <v>28</v>
      </c>
      <c r="J622" t="s">
        <v>43</v>
      </c>
      <c r="K622" t="s">
        <v>44</v>
      </c>
      <c r="L622" t="s">
        <v>29</v>
      </c>
      <c r="M622" t="s">
        <v>30</v>
      </c>
      <c r="N622" t="s">
        <v>27</v>
      </c>
      <c r="O622" t="s">
        <v>28</v>
      </c>
      <c r="P622" t="s">
        <v>43</v>
      </c>
      <c r="Q622" t="s">
        <v>44</v>
      </c>
      <c r="R622" s="1">
        <v>44309.412175925929</v>
      </c>
      <c r="S622" s="1">
        <v>44309.412175925929</v>
      </c>
      <c r="T622">
        <v>0</v>
      </c>
      <c r="U622">
        <v>0</v>
      </c>
      <c r="V622" s="2">
        <v>0</v>
      </c>
      <c r="W622">
        <v>0</v>
      </c>
      <c r="X622" t="s">
        <v>37</v>
      </c>
      <c r="Y622">
        <v>0</v>
      </c>
      <c r="Z622" t="s">
        <v>31</v>
      </c>
      <c r="AA622">
        <v>0</v>
      </c>
      <c r="AB622" t="s">
        <v>31</v>
      </c>
      <c r="AC622">
        <v>0</v>
      </c>
      <c r="AD622" t="s">
        <v>31</v>
      </c>
      <c r="AE622">
        <v>0</v>
      </c>
      <c r="AF622" t="s">
        <v>31</v>
      </c>
      <c r="AG622">
        <v>0</v>
      </c>
      <c r="AH622" t="s">
        <v>31</v>
      </c>
      <c r="AI622">
        <v>0</v>
      </c>
      <c r="AJ622" t="s">
        <v>31</v>
      </c>
      <c r="AK622">
        <v>0</v>
      </c>
      <c r="AL622" t="s">
        <v>31</v>
      </c>
      <c r="AM622">
        <v>0</v>
      </c>
      <c r="AN622" t="s">
        <v>31</v>
      </c>
      <c r="AO622">
        <v>0</v>
      </c>
      <c r="AP622" t="s">
        <v>31</v>
      </c>
      <c r="AQ622">
        <v>0</v>
      </c>
    </row>
    <row r="623" spans="1:43" x14ac:dyDescent="0.2">
      <c r="A623" t="s">
        <v>381</v>
      </c>
      <c r="B623" s="3">
        <v>44312</v>
      </c>
      <c r="C623">
        <v>72</v>
      </c>
      <c r="D623" t="s">
        <v>402</v>
      </c>
      <c r="E623" t="s">
        <v>38</v>
      </c>
      <c r="F623" s="9" t="s">
        <v>40</v>
      </c>
      <c r="G623" t="s">
        <v>26</v>
      </c>
      <c r="H623" t="s">
        <v>27</v>
      </c>
      <c r="I623" t="s">
        <v>28</v>
      </c>
      <c r="J623" t="s">
        <v>43</v>
      </c>
      <c r="K623" t="s">
        <v>44</v>
      </c>
      <c r="L623" t="s">
        <v>29</v>
      </c>
      <c r="M623" t="s">
        <v>30</v>
      </c>
      <c r="N623" t="s">
        <v>27</v>
      </c>
      <c r="O623" t="s">
        <v>28</v>
      </c>
      <c r="P623" t="s">
        <v>43</v>
      </c>
      <c r="Q623" t="s">
        <v>44</v>
      </c>
      <c r="R623" s="1">
        <v>44312.46162037037</v>
      </c>
      <c r="S623" s="1">
        <v>44312.46162037037</v>
      </c>
      <c r="T623">
        <v>0</v>
      </c>
      <c r="U623">
        <v>0</v>
      </c>
      <c r="V623" s="2">
        <v>0</v>
      </c>
      <c r="W623">
        <v>0</v>
      </c>
      <c r="X623" t="s">
        <v>37</v>
      </c>
      <c r="Y623">
        <v>0</v>
      </c>
      <c r="Z623" t="s">
        <v>31</v>
      </c>
      <c r="AA623">
        <v>0</v>
      </c>
      <c r="AB623" t="s">
        <v>31</v>
      </c>
      <c r="AC623">
        <v>0</v>
      </c>
      <c r="AD623" t="s">
        <v>31</v>
      </c>
      <c r="AE623">
        <v>0</v>
      </c>
      <c r="AF623" t="s">
        <v>31</v>
      </c>
      <c r="AG623">
        <v>0</v>
      </c>
      <c r="AH623" t="s">
        <v>31</v>
      </c>
      <c r="AI623">
        <v>0</v>
      </c>
      <c r="AJ623" t="s">
        <v>31</v>
      </c>
      <c r="AK623">
        <v>0</v>
      </c>
      <c r="AL623" t="s">
        <v>31</v>
      </c>
      <c r="AM623">
        <v>0</v>
      </c>
      <c r="AN623" t="s">
        <v>31</v>
      </c>
      <c r="AO623">
        <v>0</v>
      </c>
      <c r="AP623" t="s">
        <v>31</v>
      </c>
      <c r="AQ623">
        <v>0</v>
      </c>
    </row>
    <row r="624" spans="1:43" x14ac:dyDescent="0.2">
      <c r="A624" t="s">
        <v>381</v>
      </c>
      <c r="B624" s="3">
        <v>44312</v>
      </c>
      <c r="C624">
        <v>73</v>
      </c>
      <c r="D624" t="s">
        <v>387</v>
      </c>
      <c r="E624" t="s">
        <v>38</v>
      </c>
      <c r="F624" s="9" t="s">
        <v>40</v>
      </c>
      <c r="G624" t="s">
        <v>26</v>
      </c>
      <c r="H624" t="s">
        <v>27</v>
      </c>
      <c r="I624" t="s">
        <v>28</v>
      </c>
      <c r="J624" t="s">
        <v>43</v>
      </c>
      <c r="K624" t="s">
        <v>44</v>
      </c>
      <c r="L624" t="s">
        <v>29</v>
      </c>
      <c r="M624" t="s">
        <v>30</v>
      </c>
      <c r="N624" t="s">
        <v>27</v>
      </c>
      <c r="O624" t="s">
        <v>28</v>
      </c>
      <c r="P624" t="s">
        <v>43</v>
      </c>
      <c r="Q624" t="s">
        <v>44</v>
      </c>
      <c r="R624" s="1">
        <v>44312.561701388891</v>
      </c>
      <c r="S624" s="1">
        <v>44312.5627662037</v>
      </c>
      <c r="T624">
        <v>0</v>
      </c>
      <c r="U624">
        <v>0</v>
      </c>
      <c r="V624" s="2">
        <v>0</v>
      </c>
      <c r="W624">
        <v>0</v>
      </c>
      <c r="X624" t="s">
        <v>37</v>
      </c>
      <c r="Y624">
        <v>0</v>
      </c>
      <c r="Z624" t="s">
        <v>37</v>
      </c>
      <c r="AA624">
        <v>0</v>
      </c>
      <c r="AB624" t="s">
        <v>37</v>
      </c>
      <c r="AC624">
        <v>0</v>
      </c>
      <c r="AD624" t="s">
        <v>37</v>
      </c>
      <c r="AE624">
        <v>0</v>
      </c>
      <c r="AF624" t="s">
        <v>31</v>
      </c>
      <c r="AG624">
        <v>0</v>
      </c>
      <c r="AH624" t="s">
        <v>31</v>
      </c>
      <c r="AI624">
        <v>0</v>
      </c>
      <c r="AJ624" t="s">
        <v>31</v>
      </c>
      <c r="AK624">
        <v>0</v>
      </c>
      <c r="AL624" t="s">
        <v>31</v>
      </c>
      <c r="AM624">
        <v>0</v>
      </c>
      <c r="AN624" t="s">
        <v>31</v>
      </c>
      <c r="AO624">
        <v>0</v>
      </c>
      <c r="AP624" t="s">
        <v>31</v>
      </c>
      <c r="AQ624">
        <v>0</v>
      </c>
    </row>
    <row r="625" spans="1:43" x14ac:dyDescent="0.2">
      <c r="A625" t="s">
        <v>381</v>
      </c>
      <c r="B625" s="3">
        <v>44313</v>
      </c>
      <c r="C625">
        <v>76</v>
      </c>
      <c r="D625" t="s">
        <v>385</v>
      </c>
      <c r="E625" t="s">
        <v>38</v>
      </c>
      <c r="F625" s="9" t="s">
        <v>40</v>
      </c>
      <c r="G625" t="s">
        <v>26</v>
      </c>
      <c r="H625" t="s">
        <v>27</v>
      </c>
      <c r="I625" t="s">
        <v>28</v>
      </c>
      <c r="J625" t="s">
        <v>43</v>
      </c>
      <c r="K625" t="s">
        <v>44</v>
      </c>
      <c r="L625" t="s">
        <v>29</v>
      </c>
      <c r="M625" t="s">
        <v>30</v>
      </c>
      <c r="N625" t="s">
        <v>155</v>
      </c>
      <c r="O625" t="s">
        <v>156</v>
      </c>
      <c r="P625" t="s">
        <v>29</v>
      </c>
      <c r="Q625" t="s">
        <v>30</v>
      </c>
      <c r="R625" s="1">
        <v>44313.585439814815</v>
      </c>
      <c r="S625" s="1">
        <v>44313.586180555554</v>
      </c>
      <c r="T625">
        <v>0</v>
      </c>
      <c r="U625">
        <v>1</v>
      </c>
      <c r="V625" s="2">
        <v>0</v>
      </c>
      <c r="W625">
        <v>0</v>
      </c>
      <c r="X625" t="s">
        <v>37</v>
      </c>
      <c r="Y625">
        <v>0</v>
      </c>
      <c r="Z625" t="s">
        <v>44</v>
      </c>
      <c r="AA625">
        <v>0</v>
      </c>
      <c r="AB625" t="s">
        <v>37</v>
      </c>
      <c r="AC625">
        <v>0</v>
      </c>
      <c r="AD625" t="s">
        <v>37</v>
      </c>
      <c r="AE625">
        <v>0</v>
      </c>
      <c r="AF625" t="s">
        <v>31</v>
      </c>
      <c r="AG625">
        <v>0</v>
      </c>
      <c r="AH625" t="s">
        <v>31</v>
      </c>
      <c r="AI625">
        <v>0</v>
      </c>
      <c r="AJ625" t="s">
        <v>31</v>
      </c>
      <c r="AK625">
        <v>0</v>
      </c>
      <c r="AL625" t="s">
        <v>31</v>
      </c>
      <c r="AM625">
        <v>0</v>
      </c>
      <c r="AN625" t="s">
        <v>31</v>
      </c>
      <c r="AO625">
        <v>0</v>
      </c>
      <c r="AP625" t="s">
        <v>31</v>
      </c>
      <c r="AQ625">
        <v>0</v>
      </c>
    </row>
    <row r="626" spans="1:43" x14ac:dyDescent="0.2">
      <c r="A626" t="s">
        <v>381</v>
      </c>
      <c r="B626" s="3">
        <v>44314</v>
      </c>
      <c r="C626">
        <v>77</v>
      </c>
      <c r="D626" t="s">
        <v>403</v>
      </c>
      <c r="E626" t="s">
        <v>38</v>
      </c>
      <c r="F626" s="9" t="s">
        <v>40</v>
      </c>
      <c r="G626" t="s">
        <v>26</v>
      </c>
      <c r="H626" t="s">
        <v>27</v>
      </c>
      <c r="I626" t="s">
        <v>28</v>
      </c>
      <c r="J626" t="s">
        <v>29</v>
      </c>
      <c r="K626" t="s">
        <v>30</v>
      </c>
      <c r="L626" t="s">
        <v>29</v>
      </c>
      <c r="M626" t="s">
        <v>30</v>
      </c>
      <c r="N626" t="s">
        <v>27</v>
      </c>
      <c r="O626" t="s">
        <v>28</v>
      </c>
      <c r="P626" t="s">
        <v>29</v>
      </c>
      <c r="Q626" t="s">
        <v>30</v>
      </c>
      <c r="R626" s="1">
        <v>44314.465497685182</v>
      </c>
      <c r="S626" s="1">
        <v>44314.466585648152</v>
      </c>
      <c r="T626">
        <v>0</v>
      </c>
      <c r="U626">
        <v>2</v>
      </c>
      <c r="V626" s="2">
        <v>0</v>
      </c>
      <c r="W626">
        <v>0</v>
      </c>
      <c r="X626" t="s">
        <v>44</v>
      </c>
      <c r="Y626">
        <v>0</v>
      </c>
      <c r="Z626" t="s">
        <v>44</v>
      </c>
      <c r="AA626">
        <v>0</v>
      </c>
      <c r="AB626" t="s">
        <v>37</v>
      </c>
      <c r="AC626">
        <v>0</v>
      </c>
      <c r="AD626" t="s">
        <v>31</v>
      </c>
      <c r="AE626">
        <v>0</v>
      </c>
      <c r="AF626" t="s">
        <v>31</v>
      </c>
      <c r="AG626">
        <v>0</v>
      </c>
      <c r="AH626" t="s">
        <v>31</v>
      </c>
      <c r="AI626">
        <v>0</v>
      </c>
      <c r="AJ626" t="s">
        <v>31</v>
      </c>
      <c r="AK626">
        <v>0</v>
      </c>
      <c r="AL626" t="s">
        <v>31</v>
      </c>
      <c r="AM626">
        <v>0</v>
      </c>
      <c r="AN626" t="s">
        <v>31</v>
      </c>
      <c r="AO626">
        <v>0</v>
      </c>
      <c r="AP626" t="s">
        <v>31</v>
      </c>
      <c r="AQ626">
        <v>0</v>
      </c>
    </row>
    <row r="627" spans="1:43" x14ac:dyDescent="0.2">
      <c r="A627" t="s">
        <v>381</v>
      </c>
      <c r="B627" s="3">
        <v>44314</v>
      </c>
      <c r="C627">
        <v>78</v>
      </c>
      <c r="D627" t="s">
        <v>387</v>
      </c>
      <c r="E627" t="s">
        <v>38</v>
      </c>
      <c r="F627" s="9" t="s">
        <v>40</v>
      </c>
      <c r="G627" t="s">
        <v>26</v>
      </c>
      <c r="H627" t="s">
        <v>27</v>
      </c>
      <c r="I627" t="s">
        <v>28</v>
      </c>
      <c r="J627" t="s">
        <v>29</v>
      </c>
      <c r="K627" t="s">
        <v>30</v>
      </c>
      <c r="L627" t="s">
        <v>29</v>
      </c>
      <c r="M627" t="s">
        <v>30</v>
      </c>
      <c r="N627" t="s">
        <v>27</v>
      </c>
      <c r="O627" t="s">
        <v>28</v>
      </c>
      <c r="P627" t="s">
        <v>29</v>
      </c>
      <c r="Q627" t="s">
        <v>30</v>
      </c>
      <c r="R627" s="1">
        <v>44314.603750000002</v>
      </c>
      <c r="S627" s="1">
        <v>44314.604201388887</v>
      </c>
      <c r="T627">
        <v>0</v>
      </c>
      <c r="U627">
        <v>0</v>
      </c>
      <c r="V627" s="2">
        <v>0</v>
      </c>
      <c r="W627">
        <v>0</v>
      </c>
      <c r="X627" t="s">
        <v>37</v>
      </c>
      <c r="Y627">
        <v>0</v>
      </c>
      <c r="Z627" t="s">
        <v>37</v>
      </c>
      <c r="AA627">
        <v>0</v>
      </c>
      <c r="AB627" t="s">
        <v>37</v>
      </c>
      <c r="AC627">
        <v>0</v>
      </c>
      <c r="AD627" t="s">
        <v>37</v>
      </c>
      <c r="AE627">
        <v>0</v>
      </c>
      <c r="AF627" t="s">
        <v>31</v>
      </c>
      <c r="AG627">
        <v>0</v>
      </c>
      <c r="AH627" t="s">
        <v>31</v>
      </c>
      <c r="AI627">
        <v>0</v>
      </c>
      <c r="AJ627" t="s">
        <v>31</v>
      </c>
      <c r="AK627">
        <v>0</v>
      </c>
      <c r="AL627" t="s">
        <v>31</v>
      </c>
      <c r="AM627">
        <v>0</v>
      </c>
      <c r="AN627" t="s">
        <v>31</v>
      </c>
      <c r="AO627">
        <v>0</v>
      </c>
      <c r="AP627" t="s">
        <v>31</v>
      </c>
      <c r="AQ627">
        <v>0</v>
      </c>
    </row>
    <row r="628" spans="1:43" x14ac:dyDescent="0.2">
      <c r="A628" t="s">
        <v>381</v>
      </c>
      <c r="B628" s="3">
        <v>44315</v>
      </c>
      <c r="C628">
        <v>79</v>
      </c>
      <c r="D628" t="s">
        <v>383</v>
      </c>
      <c r="E628" t="s">
        <v>38</v>
      </c>
      <c r="F628" s="9" t="s">
        <v>40</v>
      </c>
      <c r="G628" t="s">
        <v>26</v>
      </c>
      <c r="H628" t="s">
        <v>27</v>
      </c>
      <c r="I628" t="s">
        <v>28</v>
      </c>
      <c r="J628" t="s">
        <v>29</v>
      </c>
      <c r="K628" t="s">
        <v>30</v>
      </c>
      <c r="L628" t="s">
        <v>29</v>
      </c>
      <c r="M628" t="s">
        <v>30</v>
      </c>
      <c r="N628" t="s">
        <v>155</v>
      </c>
      <c r="O628" t="s">
        <v>156</v>
      </c>
      <c r="P628" t="s">
        <v>29</v>
      </c>
      <c r="Q628" t="s">
        <v>30</v>
      </c>
      <c r="R628" s="1">
        <v>44315.416574074072</v>
      </c>
      <c r="S628" s="1">
        <v>44315.417430555557</v>
      </c>
      <c r="T628">
        <v>0</v>
      </c>
      <c r="U628">
        <v>1</v>
      </c>
      <c r="V628" s="2">
        <v>0</v>
      </c>
      <c r="W628">
        <v>0</v>
      </c>
      <c r="X628" t="s">
        <v>44</v>
      </c>
      <c r="Y628">
        <v>0</v>
      </c>
      <c r="Z628" t="s">
        <v>37</v>
      </c>
      <c r="AA628">
        <v>0</v>
      </c>
      <c r="AB628" t="s">
        <v>37</v>
      </c>
      <c r="AC628">
        <v>0</v>
      </c>
      <c r="AD628" t="s">
        <v>37</v>
      </c>
      <c r="AE628">
        <v>0</v>
      </c>
      <c r="AF628" t="s">
        <v>37</v>
      </c>
      <c r="AG628">
        <v>0</v>
      </c>
      <c r="AH628" t="s">
        <v>31</v>
      </c>
      <c r="AI628">
        <v>0</v>
      </c>
      <c r="AJ628" t="s">
        <v>31</v>
      </c>
      <c r="AK628">
        <v>0</v>
      </c>
      <c r="AL628" t="s">
        <v>31</v>
      </c>
      <c r="AM628">
        <v>0</v>
      </c>
      <c r="AN628" t="s">
        <v>31</v>
      </c>
      <c r="AO628">
        <v>0</v>
      </c>
      <c r="AP628" t="s">
        <v>31</v>
      </c>
      <c r="AQ628">
        <v>0</v>
      </c>
    </row>
    <row r="629" spans="1:43" x14ac:dyDescent="0.2">
      <c r="A629" t="s">
        <v>381</v>
      </c>
      <c r="B629" s="3">
        <v>44315</v>
      </c>
      <c r="C629">
        <v>81</v>
      </c>
      <c r="D629" t="s">
        <v>385</v>
      </c>
      <c r="E629" t="s">
        <v>38</v>
      </c>
      <c r="F629" s="9" t="s">
        <v>40</v>
      </c>
      <c r="G629" t="s">
        <v>26</v>
      </c>
      <c r="H629" t="s">
        <v>155</v>
      </c>
      <c r="I629" t="s">
        <v>156</v>
      </c>
      <c r="J629" t="s">
        <v>29</v>
      </c>
      <c r="K629" t="s">
        <v>30</v>
      </c>
      <c r="L629" t="s">
        <v>162</v>
      </c>
      <c r="M629" t="s">
        <v>47</v>
      </c>
      <c r="N629" t="s">
        <v>27</v>
      </c>
      <c r="O629" t="s">
        <v>28</v>
      </c>
      <c r="P629" t="s">
        <v>43</v>
      </c>
      <c r="Q629" t="s">
        <v>44</v>
      </c>
      <c r="R629" s="1">
        <v>44315.591180555559</v>
      </c>
      <c r="S629" s="1">
        <v>44315.591203703705</v>
      </c>
      <c r="T629">
        <v>5</v>
      </c>
      <c r="U629">
        <v>5</v>
      </c>
      <c r="V629" s="2">
        <v>1</v>
      </c>
      <c r="W629">
        <v>0</v>
      </c>
      <c r="X629" t="s">
        <v>47</v>
      </c>
      <c r="Y629">
        <v>0</v>
      </c>
      <c r="Z629" t="s">
        <v>47</v>
      </c>
      <c r="AA629">
        <v>0</v>
      </c>
      <c r="AB629" t="s">
        <v>47</v>
      </c>
      <c r="AC629">
        <v>0</v>
      </c>
      <c r="AD629" t="s">
        <v>47</v>
      </c>
      <c r="AE629">
        <v>0</v>
      </c>
      <c r="AF629" t="s">
        <v>47</v>
      </c>
      <c r="AG629">
        <v>0</v>
      </c>
      <c r="AH629" t="s">
        <v>31</v>
      </c>
      <c r="AI629">
        <v>0</v>
      </c>
      <c r="AJ629" t="s">
        <v>31</v>
      </c>
      <c r="AK629">
        <v>0</v>
      </c>
      <c r="AL629" t="s">
        <v>31</v>
      </c>
      <c r="AM629">
        <v>0</v>
      </c>
      <c r="AN629" t="s">
        <v>31</v>
      </c>
      <c r="AO629">
        <v>0</v>
      </c>
      <c r="AP629" t="s">
        <v>31</v>
      </c>
      <c r="AQ629">
        <v>0</v>
      </c>
    </row>
    <row r="630" spans="1:43" x14ac:dyDescent="0.2">
      <c r="A630" t="s">
        <v>381</v>
      </c>
      <c r="B630" s="3">
        <v>44316</v>
      </c>
      <c r="C630">
        <v>82</v>
      </c>
      <c r="D630" t="s">
        <v>389</v>
      </c>
      <c r="E630" t="s">
        <v>38</v>
      </c>
      <c r="F630" s="9" t="s">
        <v>40</v>
      </c>
      <c r="G630" t="s">
        <v>26</v>
      </c>
      <c r="H630" t="s">
        <v>27</v>
      </c>
      <c r="I630" t="s">
        <v>28</v>
      </c>
      <c r="J630" t="s">
        <v>43</v>
      </c>
      <c r="K630" t="s">
        <v>44</v>
      </c>
      <c r="L630" t="s">
        <v>29</v>
      </c>
      <c r="M630" t="s">
        <v>30</v>
      </c>
      <c r="N630" t="s">
        <v>27</v>
      </c>
      <c r="O630" t="s">
        <v>28</v>
      </c>
      <c r="P630" t="s">
        <v>43</v>
      </c>
      <c r="Q630" t="s">
        <v>44</v>
      </c>
      <c r="R630" s="1">
        <v>44316.414618055554</v>
      </c>
      <c r="S630" s="1">
        <v>44316.498784722222</v>
      </c>
      <c r="T630">
        <v>0</v>
      </c>
      <c r="U630">
        <v>3</v>
      </c>
      <c r="V630" s="2">
        <v>0</v>
      </c>
      <c r="W630">
        <v>0</v>
      </c>
      <c r="X630" t="s">
        <v>44</v>
      </c>
      <c r="Y630">
        <v>0</v>
      </c>
      <c r="Z630" t="s">
        <v>44</v>
      </c>
      <c r="AA630">
        <v>0</v>
      </c>
      <c r="AB630" t="s">
        <v>47</v>
      </c>
      <c r="AC630">
        <v>0</v>
      </c>
      <c r="AD630" t="s">
        <v>31</v>
      </c>
      <c r="AE630">
        <v>0</v>
      </c>
      <c r="AF630" t="s">
        <v>31</v>
      </c>
      <c r="AG630">
        <v>0</v>
      </c>
      <c r="AH630" t="s">
        <v>31</v>
      </c>
      <c r="AI630">
        <v>0</v>
      </c>
      <c r="AJ630" t="s">
        <v>31</v>
      </c>
      <c r="AK630">
        <v>0</v>
      </c>
      <c r="AL630" t="s">
        <v>31</v>
      </c>
      <c r="AM630">
        <v>0</v>
      </c>
      <c r="AN630" t="s">
        <v>31</v>
      </c>
      <c r="AO630">
        <v>0</v>
      </c>
      <c r="AP630" t="s">
        <v>31</v>
      </c>
      <c r="AQ630">
        <v>0</v>
      </c>
    </row>
    <row r="631" spans="1:43" x14ac:dyDescent="0.2">
      <c r="A631" t="s">
        <v>381</v>
      </c>
      <c r="B631" s="3">
        <v>44316</v>
      </c>
      <c r="C631">
        <v>83</v>
      </c>
      <c r="D631" t="s">
        <v>387</v>
      </c>
      <c r="E631" t="s">
        <v>38</v>
      </c>
      <c r="F631" s="9" t="s">
        <v>40</v>
      </c>
      <c r="G631" t="s">
        <v>26</v>
      </c>
      <c r="H631" t="s">
        <v>27</v>
      </c>
      <c r="I631" t="s">
        <v>28</v>
      </c>
      <c r="J631" t="s">
        <v>43</v>
      </c>
      <c r="K631" t="s">
        <v>44</v>
      </c>
      <c r="L631" t="s">
        <v>29</v>
      </c>
      <c r="M631" t="s">
        <v>30</v>
      </c>
      <c r="N631" t="s">
        <v>155</v>
      </c>
      <c r="O631" t="s">
        <v>156</v>
      </c>
      <c r="P631" t="s">
        <v>29</v>
      </c>
      <c r="Q631" t="s">
        <v>30</v>
      </c>
      <c r="R631" s="1">
        <v>44316.547719907408</v>
      </c>
      <c r="S631" s="1">
        <v>44316.547951388886</v>
      </c>
      <c r="T631">
        <v>0</v>
      </c>
      <c r="U631">
        <v>1</v>
      </c>
      <c r="V631" s="2">
        <v>0</v>
      </c>
      <c r="W631">
        <v>0</v>
      </c>
      <c r="X631" t="s">
        <v>37</v>
      </c>
      <c r="Y631">
        <v>0</v>
      </c>
      <c r="Z631" t="s">
        <v>37</v>
      </c>
      <c r="AA631">
        <v>0</v>
      </c>
      <c r="AB631" t="s">
        <v>37</v>
      </c>
      <c r="AC631">
        <v>0</v>
      </c>
      <c r="AD631" t="s">
        <v>44</v>
      </c>
      <c r="AE631">
        <v>0</v>
      </c>
      <c r="AF631" t="s">
        <v>37</v>
      </c>
      <c r="AG631">
        <v>0</v>
      </c>
      <c r="AH631" t="s">
        <v>37</v>
      </c>
      <c r="AI631">
        <v>0</v>
      </c>
      <c r="AJ631" t="s">
        <v>31</v>
      </c>
      <c r="AK631">
        <v>0</v>
      </c>
      <c r="AL631" t="s">
        <v>31</v>
      </c>
      <c r="AM631">
        <v>0</v>
      </c>
      <c r="AN631" t="s">
        <v>31</v>
      </c>
      <c r="AO631">
        <v>0</v>
      </c>
      <c r="AP631" t="s">
        <v>31</v>
      </c>
      <c r="AQ631">
        <v>0</v>
      </c>
    </row>
    <row r="632" spans="1:43" x14ac:dyDescent="0.2">
      <c r="A632" t="s">
        <v>381</v>
      </c>
      <c r="B632" s="3">
        <v>44319</v>
      </c>
      <c r="C632">
        <v>84</v>
      </c>
      <c r="D632" t="s">
        <v>390</v>
      </c>
      <c r="E632" t="s">
        <v>38</v>
      </c>
      <c r="F632" s="9" t="s">
        <v>40</v>
      </c>
      <c r="G632" t="s">
        <v>26</v>
      </c>
      <c r="H632" t="s">
        <v>155</v>
      </c>
      <c r="I632" t="s">
        <v>156</v>
      </c>
      <c r="J632" t="s">
        <v>29</v>
      </c>
      <c r="K632" t="s">
        <v>30</v>
      </c>
      <c r="L632" t="s">
        <v>162</v>
      </c>
      <c r="M632" t="s">
        <v>47</v>
      </c>
      <c r="N632" t="s">
        <v>27</v>
      </c>
      <c r="O632" t="s">
        <v>28</v>
      </c>
      <c r="P632" t="s">
        <v>43</v>
      </c>
      <c r="Q632" t="s">
        <v>44</v>
      </c>
      <c r="R632" s="1">
        <v>44319.401331018518</v>
      </c>
      <c r="S632" s="1">
        <v>44319.401620370372</v>
      </c>
      <c r="T632">
        <v>10</v>
      </c>
      <c r="U632">
        <v>10</v>
      </c>
      <c r="V632" s="2">
        <v>1</v>
      </c>
      <c r="W632">
        <v>0</v>
      </c>
      <c r="X632" t="s">
        <v>47</v>
      </c>
      <c r="Y632">
        <v>0</v>
      </c>
      <c r="Z632" t="s">
        <v>47</v>
      </c>
      <c r="AA632">
        <v>0</v>
      </c>
      <c r="AB632" t="s">
        <v>47</v>
      </c>
      <c r="AC632">
        <v>0</v>
      </c>
      <c r="AD632" t="s">
        <v>47</v>
      </c>
      <c r="AE632">
        <v>0</v>
      </c>
      <c r="AF632" t="s">
        <v>47</v>
      </c>
      <c r="AG632">
        <v>0</v>
      </c>
      <c r="AH632" t="s">
        <v>47</v>
      </c>
      <c r="AI632">
        <v>0</v>
      </c>
      <c r="AJ632" t="s">
        <v>47</v>
      </c>
      <c r="AK632">
        <v>0</v>
      </c>
      <c r="AL632" t="s">
        <v>47</v>
      </c>
      <c r="AM632">
        <v>0</v>
      </c>
      <c r="AN632" t="s">
        <v>47</v>
      </c>
      <c r="AO632">
        <v>0</v>
      </c>
      <c r="AP632" t="s">
        <v>47</v>
      </c>
      <c r="AQ632">
        <v>0</v>
      </c>
    </row>
    <row r="633" spans="1:43" x14ac:dyDescent="0.2">
      <c r="A633" t="s">
        <v>381</v>
      </c>
      <c r="B633" s="3">
        <v>44320</v>
      </c>
      <c r="C633">
        <v>87</v>
      </c>
      <c r="D633" t="s">
        <v>385</v>
      </c>
      <c r="E633" t="s">
        <v>38</v>
      </c>
      <c r="F633" s="9" t="s">
        <v>40</v>
      </c>
      <c r="G633" t="s">
        <v>26</v>
      </c>
      <c r="H633" t="s">
        <v>27</v>
      </c>
      <c r="I633" t="s">
        <v>28</v>
      </c>
      <c r="J633" t="s">
        <v>43</v>
      </c>
      <c r="K633" t="s">
        <v>44</v>
      </c>
      <c r="L633" t="s">
        <v>29</v>
      </c>
      <c r="M633" t="s">
        <v>30</v>
      </c>
      <c r="N633" t="s">
        <v>27</v>
      </c>
      <c r="O633" t="s">
        <v>28</v>
      </c>
      <c r="P633" t="s">
        <v>43</v>
      </c>
      <c r="Q633" t="s">
        <v>44</v>
      </c>
      <c r="R633" s="1">
        <v>44320.571180555555</v>
      </c>
      <c r="S633" s="1">
        <v>44320.571539351855</v>
      </c>
      <c r="T633">
        <v>1</v>
      </c>
      <c r="U633">
        <v>1</v>
      </c>
      <c r="V633" s="2">
        <v>1</v>
      </c>
      <c r="W633">
        <v>0</v>
      </c>
      <c r="X633" t="s">
        <v>37</v>
      </c>
      <c r="Y633">
        <v>0</v>
      </c>
      <c r="Z633" t="s">
        <v>37</v>
      </c>
      <c r="AA633">
        <v>0</v>
      </c>
      <c r="AB633" t="s">
        <v>30</v>
      </c>
      <c r="AC633">
        <v>0</v>
      </c>
      <c r="AD633" t="s">
        <v>31</v>
      </c>
      <c r="AE633">
        <v>0</v>
      </c>
      <c r="AF633" t="s">
        <v>31</v>
      </c>
      <c r="AG633">
        <v>0</v>
      </c>
      <c r="AH633" t="s">
        <v>31</v>
      </c>
      <c r="AI633">
        <v>0</v>
      </c>
      <c r="AJ633" t="s">
        <v>31</v>
      </c>
      <c r="AK633">
        <v>0</v>
      </c>
      <c r="AL633" t="s">
        <v>31</v>
      </c>
      <c r="AM633">
        <v>0</v>
      </c>
      <c r="AN633" t="s">
        <v>31</v>
      </c>
      <c r="AO633">
        <v>0</v>
      </c>
      <c r="AP633" t="s">
        <v>31</v>
      </c>
      <c r="AQ633">
        <v>0</v>
      </c>
    </row>
    <row r="634" spans="1:43" x14ac:dyDescent="0.2">
      <c r="A634" t="s">
        <v>381</v>
      </c>
      <c r="B634" s="3">
        <v>44321</v>
      </c>
      <c r="C634">
        <v>89</v>
      </c>
      <c r="D634" t="s">
        <v>387</v>
      </c>
      <c r="E634" t="s">
        <v>38</v>
      </c>
      <c r="F634" s="9" t="s">
        <v>40</v>
      </c>
      <c r="G634" t="s">
        <v>26</v>
      </c>
      <c r="H634" t="s">
        <v>27</v>
      </c>
      <c r="I634" t="s">
        <v>28</v>
      </c>
      <c r="J634" t="s">
        <v>43</v>
      </c>
      <c r="K634" t="s">
        <v>44</v>
      </c>
      <c r="L634" t="s">
        <v>29</v>
      </c>
      <c r="M634" t="s">
        <v>30</v>
      </c>
      <c r="N634" t="s">
        <v>27</v>
      </c>
      <c r="O634" t="s">
        <v>28</v>
      </c>
      <c r="P634" t="s">
        <v>43</v>
      </c>
      <c r="Q634" t="s">
        <v>44</v>
      </c>
      <c r="R634" s="1">
        <v>44321.54650462963</v>
      </c>
      <c r="S634" s="1">
        <v>44321.546527777777</v>
      </c>
      <c r="T634">
        <v>0</v>
      </c>
      <c r="U634">
        <v>0</v>
      </c>
      <c r="V634" s="2">
        <v>0</v>
      </c>
      <c r="W634">
        <v>0</v>
      </c>
      <c r="X634" t="s">
        <v>37</v>
      </c>
      <c r="Y634">
        <v>0</v>
      </c>
      <c r="Z634" t="s">
        <v>37</v>
      </c>
      <c r="AA634">
        <v>0</v>
      </c>
      <c r="AB634" t="s">
        <v>37</v>
      </c>
      <c r="AC634">
        <v>0</v>
      </c>
      <c r="AD634" t="s">
        <v>37</v>
      </c>
      <c r="AE634">
        <v>0</v>
      </c>
      <c r="AF634" t="s">
        <v>31</v>
      </c>
      <c r="AG634">
        <v>0</v>
      </c>
      <c r="AH634" t="s">
        <v>31</v>
      </c>
      <c r="AI634">
        <v>0</v>
      </c>
      <c r="AJ634" t="s">
        <v>31</v>
      </c>
      <c r="AK634">
        <v>0</v>
      </c>
      <c r="AL634" t="s">
        <v>31</v>
      </c>
      <c r="AM634">
        <v>0</v>
      </c>
      <c r="AN634" t="s">
        <v>31</v>
      </c>
      <c r="AO634">
        <v>0</v>
      </c>
      <c r="AP634" t="s">
        <v>31</v>
      </c>
      <c r="AQ634">
        <v>0</v>
      </c>
    </row>
    <row r="635" spans="1:43" x14ac:dyDescent="0.2">
      <c r="A635" t="s">
        <v>381</v>
      </c>
      <c r="B635" s="3">
        <v>44323</v>
      </c>
      <c r="C635">
        <v>91</v>
      </c>
      <c r="D635" t="s">
        <v>391</v>
      </c>
      <c r="E635" t="s">
        <v>38</v>
      </c>
      <c r="F635" s="9" t="s">
        <v>40</v>
      </c>
      <c r="G635" t="s">
        <v>26</v>
      </c>
      <c r="H635" t="s">
        <v>27</v>
      </c>
      <c r="I635" t="s">
        <v>28</v>
      </c>
      <c r="J635" t="s">
        <v>43</v>
      </c>
      <c r="K635" t="s">
        <v>44</v>
      </c>
      <c r="L635" t="s">
        <v>29</v>
      </c>
      <c r="M635" t="s">
        <v>30</v>
      </c>
      <c r="N635" t="s">
        <v>27</v>
      </c>
      <c r="O635" t="s">
        <v>28</v>
      </c>
      <c r="P635" t="s">
        <v>43</v>
      </c>
      <c r="Q635" t="s">
        <v>44</v>
      </c>
      <c r="R635" s="1">
        <v>44323.524872685186</v>
      </c>
      <c r="S635" s="1">
        <v>44323.524930555555</v>
      </c>
      <c r="T635">
        <v>0</v>
      </c>
      <c r="U635">
        <v>0</v>
      </c>
      <c r="V635" s="2">
        <v>0</v>
      </c>
      <c r="W635">
        <v>0</v>
      </c>
      <c r="X635" t="s">
        <v>37</v>
      </c>
      <c r="Y635">
        <v>0</v>
      </c>
      <c r="Z635" t="s">
        <v>37</v>
      </c>
      <c r="AA635">
        <v>0</v>
      </c>
      <c r="AB635" t="s">
        <v>37</v>
      </c>
      <c r="AC635">
        <v>0</v>
      </c>
      <c r="AD635" t="s">
        <v>31</v>
      </c>
      <c r="AE635">
        <v>0</v>
      </c>
      <c r="AF635" t="s">
        <v>31</v>
      </c>
      <c r="AG635">
        <v>0</v>
      </c>
      <c r="AH635" t="s">
        <v>31</v>
      </c>
      <c r="AI635">
        <v>0</v>
      </c>
      <c r="AJ635" t="s">
        <v>31</v>
      </c>
      <c r="AK635">
        <v>0</v>
      </c>
      <c r="AL635" t="s">
        <v>31</v>
      </c>
      <c r="AM635">
        <v>0</v>
      </c>
      <c r="AN635" t="s">
        <v>31</v>
      </c>
      <c r="AO635">
        <v>0</v>
      </c>
      <c r="AP635" t="s">
        <v>31</v>
      </c>
      <c r="AQ635">
        <v>0</v>
      </c>
    </row>
    <row r="636" spans="1:43" x14ac:dyDescent="0.2">
      <c r="A636" t="s">
        <v>381</v>
      </c>
      <c r="B636" s="3">
        <v>44326</v>
      </c>
      <c r="C636">
        <v>92</v>
      </c>
      <c r="D636" t="s">
        <v>390</v>
      </c>
      <c r="E636" t="s">
        <v>38</v>
      </c>
      <c r="F636" s="9" t="s">
        <v>40</v>
      </c>
      <c r="G636" t="s">
        <v>26</v>
      </c>
      <c r="H636" t="s">
        <v>27</v>
      </c>
      <c r="I636" t="s">
        <v>28</v>
      </c>
      <c r="J636" t="s">
        <v>43</v>
      </c>
      <c r="K636" t="s">
        <v>44</v>
      </c>
      <c r="L636" t="s">
        <v>29</v>
      </c>
      <c r="M636" t="s">
        <v>30</v>
      </c>
      <c r="N636" t="s">
        <v>27</v>
      </c>
      <c r="O636" t="s">
        <v>28</v>
      </c>
      <c r="P636" t="s">
        <v>43</v>
      </c>
      <c r="Q636" t="s">
        <v>44</v>
      </c>
      <c r="R636" s="1">
        <v>44326.423541666663</v>
      </c>
      <c r="S636" s="1">
        <v>44326.423657407409</v>
      </c>
      <c r="T636">
        <v>0</v>
      </c>
      <c r="U636">
        <v>0</v>
      </c>
      <c r="V636" s="2">
        <v>0</v>
      </c>
      <c r="W636">
        <v>0</v>
      </c>
      <c r="X636" t="s">
        <v>37</v>
      </c>
      <c r="Y636">
        <v>0</v>
      </c>
      <c r="Z636" t="s">
        <v>37</v>
      </c>
      <c r="AA636">
        <v>0</v>
      </c>
      <c r="AB636" t="s">
        <v>37</v>
      </c>
      <c r="AC636">
        <v>0</v>
      </c>
      <c r="AD636" t="s">
        <v>31</v>
      </c>
      <c r="AE636">
        <v>0</v>
      </c>
      <c r="AF636" t="s">
        <v>31</v>
      </c>
      <c r="AG636">
        <v>0</v>
      </c>
      <c r="AH636" t="s">
        <v>31</v>
      </c>
      <c r="AI636">
        <v>0</v>
      </c>
      <c r="AJ636" t="s">
        <v>31</v>
      </c>
      <c r="AK636">
        <v>0</v>
      </c>
      <c r="AL636" t="s">
        <v>31</v>
      </c>
      <c r="AM636">
        <v>0</v>
      </c>
      <c r="AN636" t="s">
        <v>31</v>
      </c>
      <c r="AO636">
        <v>0</v>
      </c>
      <c r="AP636" t="s">
        <v>31</v>
      </c>
      <c r="AQ636">
        <v>0</v>
      </c>
    </row>
    <row r="637" spans="1:43" x14ac:dyDescent="0.2">
      <c r="A637" t="s">
        <v>381</v>
      </c>
      <c r="B637" s="3">
        <v>44334</v>
      </c>
      <c r="C637">
        <v>99</v>
      </c>
      <c r="D637" t="s">
        <v>385</v>
      </c>
      <c r="E637" t="s">
        <v>38</v>
      </c>
      <c r="F637" s="9" t="s">
        <v>40</v>
      </c>
      <c r="G637" t="s">
        <v>26</v>
      </c>
      <c r="H637" t="s">
        <v>27</v>
      </c>
      <c r="I637" t="s">
        <v>28</v>
      </c>
      <c r="J637" t="s">
        <v>43</v>
      </c>
      <c r="K637" t="s">
        <v>44</v>
      </c>
      <c r="L637" t="s">
        <v>29</v>
      </c>
      <c r="M637" t="s">
        <v>30</v>
      </c>
      <c r="N637" t="s">
        <v>27</v>
      </c>
      <c r="O637" t="s">
        <v>28</v>
      </c>
      <c r="P637" t="s">
        <v>43</v>
      </c>
      <c r="Q637" t="s">
        <v>44</v>
      </c>
      <c r="R637" s="1">
        <v>44334.556307870371</v>
      </c>
      <c r="S637" s="1">
        <v>44334.556331018517</v>
      </c>
      <c r="T637">
        <v>0</v>
      </c>
      <c r="U637">
        <v>1</v>
      </c>
      <c r="V637" s="2">
        <v>0</v>
      </c>
      <c r="W637">
        <v>0</v>
      </c>
      <c r="X637" t="s">
        <v>37</v>
      </c>
      <c r="Y637">
        <v>0</v>
      </c>
      <c r="Z637" t="s">
        <v>37</v>
      </c>
      <c r="AA637">
        <v>0</v>
      </c>
      <c r="AB637" t="s">
        <v>44</v>
      </c>
      <c r="AC637">
        <v>0</v>
      </c>
      <c r="AD637" t="s">
        <v>37</v>
      </c>
      <c r="AE637">
        <v>0</v>
      </c>
      <c r="AF637" t="s">
        <v>31</v>
      </c>
      <c r="AG637">
        <v>0</v>
      </c>
      <c r="AH637" t="s">
        <v>31</v>
      </c>
      <c r="AI637">
        <v>0</v>
      </c>
      <c r="AJ637" t="s">
        <v>31</v>
      </c>
      <c r="AK637">
        <v>0</v>
      </c>
      <c r="AL637" t="s">
        <v>31</v>
      </c>
      <c r="AM637">
        <v>0</v>
      </c>
      <c r="AN637" t="s">
        <v>31</v>
      </c>
      <c r="AO637">
        <v>0</v>
      </c>
      <c r="AP637" t="s">
        <v>31</v>
      </c>
      <c r="AQ637">
        <v>0</v>
      </c>
    </row>
    <row r="638" spans="1:43" x14ac:dyDescent="0.2">
      <c r="A638" t="s">
        <v>381</v>
      </c>
      <c r="B638" s="3">
        <v>44335</v>
      </c>
      <c r="C638">
        <v>100</v>
      </c>
      <c r="D638" t="s">
        <v>398</v>
      </c>
      <c r="E638" t="s">
        <v>38</v>
      </c>
      <c r="F638" s="9" t="s">
        <v>40</v>
      </c>
      <c r="G638" t="s">
        <v>26</v>
      </c>
      <c r="H638" t="s">
        <v>27</v>
      </c>
      <c r="I638" t="s">
        <v>28</v>
      </c>
      <c r="J638" t="s">
        <v>43</v>
      </c>
      <c r="K638" t="s">
        <v>44</v>
      </c>
      <c r="L638" t="s">
        <v>29</v>
      </c>
      <c r="M638" t="s">
        <v>30</v>
      </c>
      <c r="N638" t="s">
        <v>27</v>
      </c>
      <c r="O638" t="s">
        <v>28</v>
      </c>
      <c r="P638" t="s">
        <v>43</v>
      </c>
      <c r="Q638" t="s">
        <v>44</v>
      </c>
      <c r="R638" s="1">
        <v>44335.419988425929</v>
      </c>
      <c r="S638" s="1">
        <v>44335.420173611114</v>
      </c>
      <c r="T638">
        <v>0</v>
      </c>
      <c r="U638">
        <v>0</v>
      </c>
      <c r="V638" s="2">
        <v>0</v>
      </c>
      <c r="W638">
        <v>0</v>
      </c>
      <c r="X638" t="s">
        <v>37</v>
      </c>
      <c r="Y638">
        <v>0</v>
      </c>
      <c r="Z638" t="s">
        <v>37</v>
      </c>
      <c r="AA638">
        <v>0</v>
      </c>
      <c r="AB638" t="s">
        <v>37</v>
      </c>
      <c r="AC638">
        <v>0</v>
      </c>
      <c r="AD638" t="s">
        <v>31</v>
      </c>
      <c r="AE638">
        <v>0</v>
      </c>
      <c r="AF638" t="s">
        <v>31</v>
      </c>
      <c r="AG638">
        <v>0</v>
      </c>
      <c r="AH638" t="s">
        <v>31</v>
      </c>
      <c r="AI638">
        <v>0</v>
      </c>
      <c r="AJ638" t="s">
        <v>31</v>
      </c>
      <c r="AK638">
        <v>0</v>
      </c>
      <c r="AL638" t="s">
        <v>31</v>
      </c>
      <c r="AM638">
        <v>0</v>
      </c>
      <c r="AN638" t="s">
        <v>31</v>
      </c>
      <c r="AO638">
        <v>0</v>
      </c>
      <c r="AP638" t="s">
        <v>31</v>
      </c>
      <c r="AQ638">
        <v>0</v>
      </c>
    </row>
    <row r="639" spans="1:43" x14ac:dyDescent="0.2">
      <c r="A639" t="s">
        <v>381</v>
      </c>
      <c r="B639" s="3">
        <v>44336</v>
      </c>
      <c r="C639">
        <v>102</v>
      </c>
      <c r="D639" t="s">
        <v>383</v>
      </c>
      <c r="E639" t="s">
        <v>38</v>
      </c>
      <c r="F639" s="9" t="s">
        <v>40</v>
      </c>
      <c r="G639" t="s">
        <v>26</v>
      </c>
      <c r="H639" t="s">
        <v>27</v>
      </c>
      <c r="I639" t="s">
        <v>28</v>
      </c>
      <c r="J639" t="s">
        <v>43</v>
      </c>
      <c r="K639" t="s">
        <v>44</v>
      </c>
      <c r="L639" t="s">
        <v>29</v>
      </c>
      <c r="M639" t="s">
        <v>30</v>
      </c>
      <c r="N639" t="s">
        <v>155</v>
      </c>
      <c r="O639" t="s">
        <v>156</v>
      </c>
      <c r="P639" t="s">
        <v>29</v>
      </c>
      <c r="Q639" t="s">
        <v>30</v>
      </c>
      <c r="R639" s="1">
        <v>44336.41265046296</v>
      </c>
      <c r="S639" s="1">
        <v>44336.447060185186</v>
      </c>
      <c r="T639">
        <v>0</v>
      </c>
      <c r="U639">
        <v>5</v>
      </c>
      <c r="V639" s="2">
        <v>0</v>
      </c>
      <c r="W639">
        <v>0</v>
      </c>
      <c r="X639" t="s">
        <v>44</v>
      </c>
      <c r="Y639">
        <v>0</v>
      </c>
      <c r="Z639" t="s">
        <v>44</v>
      </c>
      <c r="AA639">
        <v>0</v>
      </c>
      <c r="AB639" t="s">
        <v>47</v>
      </c>
      <c r="AC639">
        <v>0</v>
      </c>
      <c r="AD639" t="s">
        <v>47</v>
      </c>
      <c r="AE639">
        <v>0</v>
      </c>
      <c r="AF639" t="s">
        <v>47</v>
      </c>
      <c r="AG639">
        <v>0</v>
      </c>
      <c r="AH639" t="s">
        <v>31</v>
      </c>
      <c r="AI639">
        <v>0</v>
      </c>
      <c r="AJ639" t="s">
        <v>31</v>
      </c>
      <c r="AK639">
        <v>0</v>
      </c>
      <c r="AL639" t="s">
        <v>31</v>
      </c>
      <c r="AM639">
        <v>0</v>
      </c>
      <c r="AN639" t="s">
        <v>31</v>
      </c>
      <c r="AO639">
        <v>0</v>
      </c>
      <c r="AP639" t="s">
        <v>31</v>
      </c>
      <c r="AQ639">
        <v>0</v>
      </c>
    </row>
    <row r="640" spans="1:43" x14ac:dyDescent="0.2">
      <c r="A640" t="s">
        <v>381</v>
      </c>
      <c r="B640" s="3">
        <v>44336</v>
      </c>
      <c r="C640">
        <v>103</v>
      </c>
      <c r="D640" t="s">
        <v>385</v>
      </c>
      <c r="E640" t="s">
        <v>38</v>
      </c>
      <c r="F640" s="9" t="s">
        <v>40</v>
      </c>
      <c r="G640" t="s">
        <v>26</v>
      </c>
      <c r="H640" t="s">
        <v>155</v>
      </c>
      <c r="I640" t="s">
        <v>156</v>
      </c>
      <c r="J640" t="s">
        <v>29</v>
      </c>
      <c r="K640" t="s">
        <v>30</v>
      </c>
      <c r="L640" t="s">
        <v>162</v>
      </c>
      <c r="M640" t="s">
        <v>47</v>
      </c>
      <c r="N640" t="s">
        <v>27</v>
      </c>
      <c r="O640" t="s">
        <v>28</v>
      </c>
      <c r="P640" t="s">
        <v>43</v>
      </c>
      <c r="Q640" t="s">
        <v>44</v>
      </c>
      <c r="R640" s="1">
        <v>44336.549317129633</v>
      </c>
      <c r="S640" s="1">
        <v>44336.549432870372</v>
      </c>
      <c r="T640">
        <v>3</v>
      </c>
      <c r="U640">
        <v>3</v>
      </c>
      <c r="V640" s="2">
        <v>1</v>
      </c>
      <c r="W640">
        <v>0</v>
      </c>
      <c r="X640" t="s">
        <v>47</v>
      </c>
      <c r="Y640">
        <v>0</v>
      </c>
      <c r="Z640" t="s">
        <v>46</v>
      </c>
      <c r="AA640">
        <v>0</v>
      </c>
      <c r="AB640" t="s">
        <v>45</v>
      </c>
      <c r="AC640">
        <v>0</v>
      </c>
      <c r="AD640" t="s">
        <v>31</v>
      </c>
      <c r="AE640">
        <v>0</v>
      </c>
      <c r="AF640" t="s">
        <v>31</v>
      </c>
      <c r="AG640">
        <v>0</v>
      </c>
      <c r="AH640" t="s">
        <v>31</v>
      </c>
      <c r="AI640">
        <v>0</v>
      </c>
      <c r="AJ640" t="s">
        <v>31</v>
      </c>
      <c r="AK640">
        <v>0</v>
      </c>
      <c r="AL640" t="s">
        <v>31</v>
      </c>
      <c r="AM640">
        <v>0</v>
      </c>
      <c r="AN640" t="s">
        <v>31</v>
      </c>
      <c r="AO640">
        <v>0</v>
      </c>
      <c r="AP640" t="s">
        <v>31</v>
      </c>
      <c r="AQ640">
        <v>0</v>
      </c>
    </row>
    <row r="641" spans="1:43" x14ac:dyDescent="0.2">
      <c r="A641" t="s">
        <v>381</v>
      </c>
      <c r="B641" s="3">
        <v>44337</v>
      </c>
      <c r="C641">
        <v>104</v>
      </c>
      <c r="D641" t="s">
        <v>390</v>
      </c>
      <c r="E641" t="s">
        <v>38</v>
      </c>
      <c r="F641" s="9" t="s">
        <v>40</v>
      </c>
      <c r="G641" t="s">
        <v>26</v>
      </c>
      <c r="H641" t="s">
        <v>27</v>
      </c>
      <c r="I641" t="s">
        <v>28</v>
      </c>
      <c r="J641" t="s">
        <v>43</v>
      </c>
      <c r="K641" t="s">
        <v>44</v>
      </c>
      <c r="L641" t="s">
        <v>29</v>
      </c>
      <c r="M641" t="s">
        <v>30</v>
      </c>
      <c r="N641" t="s">
        <v>27</v>
      </c>
      <c r="O641" t="s">
        <v>28</v>
      </c>
      <c r="P641" t="s">
        <v>43</v>
      </c>
      <c r="Q641" t="s">
        <v>44</v>
      </c>
      <c r="R641" s="1">
        <v>44337.403993055559</v>
      </c>
      <c r="S641" s="1">
        <v>44337.403993055559</v>
      </c>
      <c r="T641">
        <v>0</v>
      </c>
      <c r="U641">
        <v>0</v>
      </c>
      <c r="V641" s="2">
        <v>0</v>
      </c>
      <c r="W641">
        <v>0</v>
      </c>
      <c r="X641" t="s">
        <v>37</v>
      </c>
      <c r="Y641">
        <v>0</v>
      </c>
      <c r="Z641" t="s">
        <v>37</v>
      </c>
      <c r="AA641">
        <v>0</v>
      </c>
      <c r="AB641" t="s">
        <v>37</v>
      </c>
      <c r="AC641">
        <v>0</v>
      </c>
      <c r="AD641" t="s">
        <v>31</v>
      </c>
      <c r="AE641">
        <v>0</v>
      </c>
      <c r="AF641" t="s">
        <v>31</v>
      </c>
      <c r="AG641">
        <v>0</v>
      </c>
      <c r="AH641" t="s">
        <v>31</v>
      </c>
      <c r="AI641">
        <v>0</v>
      </c>
      <c r="AJ641" t="s">
        <v>31</v>
      </c>
      <c r="AK641">
        <v>0</v>
      </c>
      <c r="AL641" t="s">
        <v>31</v>
      </c>
      <c r="AM641">
        <v>0</v>
      </c>
      <c r="AN641" t="s">
        <v>31</v>
      </c>
      <c r="AO641">
        <v>0</v>
      </c>
      <c r="AP641" t="s">
        <v>31</v>
      </c>
      <c r="AQ641">
        <v>0</v>
      </c>
    </row>
    <row r="642" spans="1:43" x14ac:dyDescent="0.2">
      <c r="A642" t="s">
        <v>381</v>
      </c>
      <c r="B642" s="3">
        <v>44337</v>
      </c>
      <c r="C642">
        <v>105</v>
      </c>
      <c r="D642" t="s">
        <v>405</v>
      </c>
      <c r="E642" t="s">
        <v>38</v>
      </c>
      <c r="F642" s="9" t="s">
        <v>40</v>
      </c>
      <c r="G642" t="s">
        <v>26</v>
      </c>
      <c r="H642" t="s">
        <v>27</v>
      </c>
      <c r="I642" t="s">
        <v>28</v>
      </c>
      <c r="J642" t="s">
        <v>43</v>
      </c>
      <c r="K642" t="s">
        <v>44</v>
      </c>
      <c r="L642" t="s">
        <v>29</v>
      </c>
      <c r="M642" t="s">
        <v>30</v>
      </c>
      <c r="N642" t="s">
        <v>27</v>
      </c>
      <c r="O642" t="s">
        <v>28</v>
      </c>
      <c r="P642" t="s">
        <v>43</v>
      </c>
      <c r="Q642" t="s">
        <v>44</v>
      </c>
      <c r="R642" s="1">
        <v>44337.626377314817</v>
      </c>
      <c r="S642" s="1">
        <v>44337.626562500001</v>
      </c>
      <c r="T642">
        <v>0</v>
      </c>
      <c r="U642">
        <v>0</v>
      </c>
      <c r="V642" s="2">
        <v>0</v>
      </c>
      <c r="W642">
        <v>0</v>
      </c>
      <c r="X642" t="s">
        <v>37</v>
      </c>
      <c r="Y642">
        <v>0</v>
      </c>
      <c r="Z642" t="s">
        <v>37</v>
      </c>
      <c r="AA642">
        <v>0</v>
      </c>
      <c r="AB642" t="s">
        <v>37</v>
      </c>
      <c r="AC642">
        <v>0</v>
      </c>
      <c r="AD642" t="s">
        <v>31</v>
      </c>
      <c r="AE642">
        <v>0</v>
      </c>
      <c r="AF642" t="s">
        <v>31</v>
      </c>
      <c r="AG642">
        <v>0</v>
      </c>
      <c r="AH642" t="s">
        <v>31</v>
      </c>
      <c r="AI642">
        <v>0</v>
      </c>
      <c r="AJ642" t="s">
        <v>31</v>
      </c>
      <c r="AK642">
        <v>0</v>
      </c>
      <c r="AL642" t="s">
        <v>31</v>
      </c>
      <c r="AM642">
        <v>0</v>
      </c>
      <c r="AN642" t="s">
        <v>31</v>
      </c>
      <c r="AO642">
        <v>0</v>
      </c>
      <c r="AP642" t="s">
        <v>31</v>
      </c>
      <c r="AQ642">
        <v>0</v>
      </c>
    </row>
    <row r="643" spans="1:43" x14ac:dyDescent="0.2">
      <c r="A643" t="s">
        <v>381</v>
      </c>
      <c r="B643" s="3">
        <v>44338</v>
      </c>
      <c r="C643">
        <v>106</v>
      </c>
      <c r="D643" t="s">
        <v>408</v>
      </c>
      <c r="E643" t="s">
        <v>38</v>
      </c>
      <c r="F643" s="9" t="s">
        <v>40</v>
      </c>
      <c r="G643" t="s">
        <v>26</v>
      </c>
      <c r="H643" t="s">
        <v>27</v>
      </c>
      <c r="I643" t="s">
        <v>28</v>
      </c>
      <c r="J643" t="s">
        <v>43</v>
      </c>
      <c r="K643" t="s">
        <v>44</v>
      </c>
      <c r="L643" t="s">
        <v>29</v>
      </c>
      <c r="M643" t="s">
        <v>30</v>
      </c>
      <c r="N643" t="s">
        <v>27</v>
      </c>
      <c r="O643" t="s">
        <v>28</v>
      </c>
      <c r="P643" t="s">
        <v>43</v>
      </c>
      <c r="Q643" t="s">
        <v>44</v>
      </c>
      <c r="R643" s="1">
        <v>44338.399537037039</v>
      </c>
      <c r="S643" s="1">
        <v>44338.399537037039</v>
      </c>
      <c r="T643">
        <v>0</v>
      </c>
      <c r="U643">
        <v>0</v>
      </c>
      <c r="V643" s="2">
        <v>0</v>
      </c>
      <c r="W643">
        <v>0</v>
      </c>
      <c r="X643" t="s">
        <v>37</v>
      </c>
      <c r="Y643">
        <v>0</v>
      </c>
      <c r="Z643" t="s">
        <v>31</v>
      </c>
      <c r="AA643">
        <v>0</v>
      </c>
      <c r="AB643" t="s">
        <v>31</v>
      </c>
      <c r="AC643">
        <v>0</v>
      </c>
      <c r="AD643" t="s">
        <v>31</v>
      </c>
      <c r="AE643">
        <v>0</v>
      </c>
      <c r="AF643" t="s">
        <v>31</v>
      </c>
      <c r="AG643">
        <v>0</v>
      </c>
      <c r="AH643" t="s">
        <v>31</v>
      </c>
      <c r="AI643">
        <v>0</v>
      </c>
      <c r="AJ643" t="s">
        <v>31</v>
      </c>
      <c r="AK643">
        <v>0</v>
      </c>
      <c r="AL643" t="s">
        <v>31</v>
      </c>
      <c r="AM643">
        <v>0</v>
      </c>
      <c r="AN643" t="s">
        <v>31</v>
      </c>
      <c r="AO643">
        <v>0</v>
      </c>
      <c r="AP643" t="s">
        <v>31</v>
      </c>
      <c r="AQ643">
        <v>0</v>
      </c>
    </row>
    <row r="644" spans="1:43" x14ac:dyDescent="0.2">
      <c r="A644" t="s">
        <v>381</v>
      </c>
      <c r="B644" s="3">
        <v>44338</v>
      </c>
      <c r="C644">
        <v>107</v>
      </c>
      <c r="D644" t="s">
        <v>392</v>
      </c>
      <c r="E644" t="s">
        <v>38</v>
      </c>
      <c r="F644" s="9" t="s">
        <v>40</v>
      </c>
      <c r="G644" t="s">
        <v>26</v>
      </c>
      <c r="H644" t="s">
        <v>27</v>
      </c>
      <c r="I644" t="s">
        <v>28</v>
      </c>
      <c r="J644" t="s">
        <v>43</v>
      </c>
      <c r="K644" t="s">
        <v>44</v>
      </c>
      <c r="L644" t="s">
        <v>29</v>
      </c>
      <c r="M644" t="s">
        <v>30</v>
      </c>
      <c r="N644" t="s">
        <v>27</v>
      </c>
      <c r="O644" t="s">
        <v>28</v>
      </c>
      <c r="P644" t="s">
        <v>43</v>
      </c>
      <c r="Q644" t="s">
        <v>44</v>
      </c>
      <c r="R644" s="1">
        <v>44338.627465277779</v>
      </c>
      <c r="S644" s="1">
        <v>44338.627476851849</v>
      </c>
      <c r="T644">
        <v>0</v>
      </c>
      <c r="U644">
        <v>0</v>
      </c>
      <c r="V644" s="2">
        <v>0</v>
      </c>
      <c r="W644">
        <v>0</v>
      </c>
      <c r="X644" t="s">
        <v>37</v>
      </c>
      <c r="Y644">
        <v>0</v>
      </c>
      <c r="Z644" t="s">
        <v>37</v>
      </c>
      <c r="AA644">
        <v>0</v>
      </c>
      <c r="AB644" t="s">
        <v>31</v>
      </c>
      <c r="AC644">
        <v>0</v>
      </c>
      <c r="AD644" t="s">
        <v>31</v>
      </c>
      <c r="AE644">
        <v>0</v>
      </c>
      <c r="AF644" t="s">
        <v>31</v>
      </c>
      <c r="AG644">
        <v>0</v>
      </c>
      <c r="AH644" t="s">
        <v>31</v>
      </c>
      <c r="AI644">
        <v>0</v>
      </c>
      <c r="AJ644" t="s">
        <v>31</v>
      </c>
      <c r="AK644">
        <v>0</v>
      </c>
      <c r="AL644" t="s">
        <v>31</v>
      </c>
      <c r="AM644">
        <v>0</v>
      </c>
      <c r="AN644" t="s">
        <v>31</v>
      </c>
      <c r="AO644">
        <v>0</v>
      </c>
      <c r="AP644" t="s">
        <v>31</v>
      </c>
      <c r="AQ644">
        <v>0</v>
      </c>
    </row>
    <row r="645" spans="1:43" x14ac:dyDescent="0.2">
      <c r="A645" t="s">
        <v>381</v>
      </c>
      <c r="B645" s="3">
        <v>44340</v>
      </c>
      <c r="C645">
        <v>108</v>
      </c>
      <c r="D645" t="s">
        <v>393</v>
      </c>
      <c r="E645" t="s">
        <v>38</v>
      </c>
      <c r="F645" s="9" t="s">
        <v>40</v>
      </c>
      <c r="G645" t="s">
        <v>26</v>
      </c>
      <c r="H645" t="s">
        <v>27</v>
      </c>
      <c r="I645" t="s">
        <v>28</v>
      </c>
      <c r="J645" t="s">
        <v>43</v>
      </c>
      <c r="K645" t="s">
        <v>44</v>
      </c>
      <c r="L645" t="s">
        <v>29</v>
      </c>
      <c r="M645" t="s">
        <v>30</v>
      </c>
      <c r="N645" t="s">
        <v>27</v>
      </c>
      <c r="O645" t="s">
        <v>28</v>
      </c>
      <c r="P645" t="s">
        <v>43</v>
      </c>
      <c r="Q645" t="s">
        <v>44</v>
      </c>
      <c r="R645" s="1">
        <v>44340.401365740741</v>
      </c>
      <c r="S645" s="1">
        <v>44340.401377314818</v>
      </c>
      <c r="T645">
        <v>0</v>
      </c>
      <c r="U645">
        <v>1</v>
      </c>
      <c r="V645" s="2">
        <v>0</v>
      </c>
      <c r="W645">
        <v>0</v>
      </c>
      <c r="X645" t="s">
        <v>44</v>
      </c>
      <c r="Y645">
        <v>0</v>
      </c>
      <c r="Z645" t="s">
        <v>37</v>
      </c>
      <c r="AA645">
        <v>0</v>
      </c>
      <c r="AB645" t="s">
        <v>37</v>
      </c>
      <c r="AC645">
        <v>0</v>
      </c>
      <c r="AD645" t="s">
        <v>37</v>
      </c>
      <c r="AE645">
        <v>0</v>
      </c>
      <c r="AF645" t="s">
        <v>37</v>
      </c>
      <c r="AG645">
        <v>0</v>
      </c>
      <c r="AH645" t="s">
        <v>31</v>
      </c>
      <c r="AI645">
        <v>0</v>
      </c>
      <c r="AJ645" t="s">
        <v>31</v>
      </c>
      <c r="AK645">
        <v>0</v>
      </c>
      <c r="AL645" t="s">
        <v>31</v>
      </c>
      <c r="AM645">
        <v>0</v>
      </c>
      <c r="AN645" t="s">
        <v>31</v>
      </c>
      <c r="AO645">
        <v>0</v>
      </c>
      <c r="AP645" t="s">
        <v>31</v>
      </c>
      <c r="AQ645">
        <v>0</v>
      </c>
    </row>
    <row r="646" spans="1:43" x14ac:dyDescent="0.2">
      <c r="A646" t="s">
        <v>381</v>
      </c>
      <c r="B646" s="3">
        <v>44340</v>
      </c>
      <c r="C646">
        <v>109</v>
      </c>
      <c r="D646" t="s">
        <v>383</v>
      </c>
      <c r="E646" t="s">
        <v>38</v>
      </c>
      <c r="F646" s="9" t="s">
        <v>40</v>
      </c>
      <c r="G646" t="s">
        <v>26</v>
      </c>
      <c r="H646" t="s">
        <v>27</v>
      </c>
      <c r="I646" t="s">
        <v>28</v>
      </c>
      <c r="J646" t="s">
        <v>43</v>
      </c>
      <c r="K646" t="s">
        <v>44</v>
      </c>
      <c r="L646" t="s">
        <v>29</v>
      </c>
      <c r="M646" t="s">
        <v>30</v>
      </c>
      <c r="N646" t="s">
        <v>155</v>
      </c>
      <c r="O646" t="s">
        <v>156</v>
      </c>
      <c r="P646" t="s">
        <v>29</v>
      </c>
      <c r="Q646" t="s">
        <v>30</v>
      </c>
      <c r="R646" s="1">
        <v>44340.560717592591</v>
      </c>
      <c r="S646" s="1">
        <v>44340.561574074076</v>
      </c>
      <c r="T646">
        <v>0</v>
      </c>
      <c r="U646">
        <v>4</v>
      </c>
      <c r="V646" s="2">
        <v>0</v>
      </c>
      <c r="W646">
        <v>0</v>
      </c>
      <c r="X646" t="s">
        <v>44</v>
      </c>
      <c r="Y646">
        <v>0</v>
      </c>
      <c r="Z646" t="s">
        <v>44</v>
      </c>
      <c r="AA646">
        <v>0</v>
      </c>
      <c r="AB646" t="s">
        <v>47</v>
      </c>
      <c r="AC646">
        <v>0</v>
      </c>
      <c r="AD646" t="s">
        <v>47</v>
      </c>
      <c r="AE646">
        <v>0</v>
      </c>
      <c r="AF646" t="s">
        <v>31</v>
      </c>
      <c r="AG646">
        <v>0</v>
      </c>
      <c r="AH646" t="s">
        <v>31</v>
      </c>
      <c r="AI646">
        <v>0</v>
      </c>
      <c r="AJ646" t="s">
        <v>31</v>
      </c>
      <c r="AK646">
        <v>0</v>
      </c>
      <c r="AL646" t="s">
        <v>31</v>
      </c>
      <c r="AM646">
        <v>0</v>
      </c>
      <c r="AN646" t="s">
        <v>31</v>
      </c>
      <c r="AO646">
        <v>0</v>
      </c>
      <c r="AP646" t="s">
        <v>31</v>
      </c>
      <c r="AQ646">
        <v>0</v>
      </c>
    </row>
    <row r="647" spans="1:43" x14ac:dyDescent="0.2">
      <c r="A647" t="s">
        <v>381</v>
      </c>
      <c r="B647" s="3">
        <v>44341</v>
      </c>
      <c r="C647">
        <v>110</v>
      </c>
      <c r="D647" t="s">
        <v>383</v>
      </c>
      <c r="E647" t="s">
        <v>38</v>
      </c>
      <c r="F647" s="9" t="s">
        <v>40</v>
      </c>
      <c r="G647" t="s">
        <v>26</v>
      </c>
      <c r="H647" t="s">
        <v>155</v>
      </c>
      <c r="I647" t="s">
        <v>156</v>
      </c>
      <c r="J647" t="s">
        <v>29</v>
      </c>
      <c r="K647" t="s">
        <v>30</v>
      </c>
      <c r="L647" t="s">
        <v>162</v>
      </c>
      <c r="M647" t="s">
        <v>47</v>
      </c>
      <c r="N647" t="s">
        <v>27</v>
      </c>
      <c r="O647" t="s">
        <v>28</v>
      </c>
      <c r="P647" t="s">
        <v>43</v>
      </c>
      <c r="Q647" t="s">
        <v>44</v>
      </c>
      <c r="R647" s="1">
        <v>44341.398136574076</v>
      </c>
      <c r="S647" s="1">
        <v>44341.398472222223</v>
      </c>
      <c r="T647">
        <v>5</v>
      </c>
      <c r="U647">
        <v>5</v>
      </c>
      <c r="V647" s="2">
        <v>1</v>
      </c>
      <c r="W647">
        <v>0</v>
      </c>
      <c r="X647" t="s">
        <v>47</v>
      </c>
      <c r="Y647">
        <v>0</v>
      </c>
      <c r="Z647" t="s">
        <v>47</v>
      </c>
      <c r="AA647">
        <v>0</v>
      </c>
      <c r="AB647" t="s">
        <v>47</v>
      </c>
      <c r="AC647">
        <v>0</v>
      </c>
      <c r="AD647" t="s">
        <v>47</v>
      </c>
      <c r="AE647">
        <v>0</v>
      </c>
      <c r="AF647" t="s">
        <v>47</v>
      </c>
      <c r="AG647">
        <v>0</v>
      </c>
      <c r="AH647" t="s">
        <v>31</v>
      </c>
      <c r="AI647">
        <v>0</v>
      </c>
      <c r="AJ647" t="s">
        <v>31</v>
      </c>
      <c r="AK647">
        <v>0</v>
      </c>
      <c r="AL647" t="s">
        <v>31</v>
      </c>
      <c r="AM647">
        <v>0</v>
      </c>
      <c r="AN647" t="s">
        <v>31</v>
      </c>
      <c r="AO647">
        <v>0</v>
      </c>
      <c r="AP647" t="s">
        <v>31</v>
      </c>
      <c r="AQ647">
        <v>0</v>
      </c>
    </row>
    <row r="648" spans="1:43" x14ac:dyDescent="0.2">
      <c r="A648" t="s">
        <v>381</v>
      </c>
      <c r="B648" s="3">
        <v>44341</v>
      </c>
      <c r="C648">
        <v>111</v>
      </c>
      <c r="D648" t="s">
        <v>385</v>
      </c>
      <c r="E648" t="s">
        <v>38</v>
      </c>
      <c r="F648" s="9" t="s">
        <v>40</v>
      </c>
      <c r="G648" t="s">
        <v>26</v>
      </c>
      <c r="H648" t="s">
        <v>27</v>
      </c>
      <c r="I648" t="s">
        <v>28</v>
      </c>
      <c r="J648" t="s">
        <v>43</v>
      </c>
      <c r="K648" t="s">
        <v>44</v>
      </c>
      <c r="L648" t="s">
        <v>29</v>
      </c>
      <c r="M648" t="s">
        <v>30</v>
      </c>
      <c r="N648" t="s">
        <v>27</v>
      </c>
      <c r="O648" t="s">
        <v>28</v>
      </c>
      <c r="P648" t="s">
        <v>43</v>
      </c>
      <c r="Q648" t="s">
        <v>44</v>
      </c>
      <c r="R648" s="1">
        <v>44341.56925925926</v>
      </c>
      <c r="S648" s="1">
        <v>44341.569652777776</v>
      </c>
      <c r="T648">
        <v>0</v>
      </c>
      <c r="U648">
        <v>0</v>
      </c>
      <c r="V648" s="2">
        <v>0</v>
      </c>
      <c r="W648">
        <v>0</v>
      </c>
      <c r="X648" t="s">
        <v>37</v>
      </c>
      <c r="Y648">
        <v>0</v>
      </c>
      <c r="Z648" t="s">
        <v>37</v>
      </c>
      <c r="AA648">
        <v>0</v>
      </c>
      <c r="AB648" t="s">
        <v>37</v>
      </c>
      <c r="AC648">
        <v>0</v>
      </c>
      <c r="AD648" t="s">
        <v>37</v>
      </c>
      <c r="AE648">
        <v>0</v>
      </c>
      <c r="AF648" t="s">
        <v>31</v>
      </c>
      <c r="AG648">
        <v>0</v>
      </c>
      <c r="AH648" t="s">
        <v>31</v>
      </c>
      <c r="AI648">
        <v>0</v>
      </c>
      <c r="AJ648" t="s">
        <v>31</v>
      </c>
      <c r="AK648">
        <v>0</v>
      </c>
      <c r="AL648" t="s">
        <v>31</v>
      </c>
      <c r="AM648">
        <v>0</v>
      </c>
      <c r="AN648" t="s">
        <v>31</v>
      </c>
      <c r="AO648">
        <v>0</v>
      </c>
      <c r="AP648" t="s">
        <v>31</v>
      </c>
      <c r="AQ648">
        <v>0</v>
      </c>
    </row>
    <row r="649" spans="1:43" x14ac:dyDescent="0.2">
      <c r="A649" t="s">
        <v>381</v>
      </c>
      <c r="B649" s="3">
        <v>44342</v>
      </c>
      <c r="C649">
        <v>112</v>
      </c>
      <c r="D649" t="s">
        <v>394</v>
      </c>
      <c r="E649" t="s">
        <v>38</v>
      </c>
      <c r="F649" s="9" t="s">
        <v>40</v>
      </c>
      <c r="G649" t="s">
        <v>26</v>
      </c>
      <c r="H649" t="s">
        <v>27</v>
      </c>
      <c r="I649" t="s">
        <v>28</v>
      </c>
      <c r="J649" t="s">
        <v>43</v>
      </c>
      <c r="K649" t="s">
        <v>44</v>
      </c>
      <c r="L649" t="s">
        <v>29</v>
      </c>
      <c r="M649" t="s">
        <v>30</v>
      </c>
      <c r="N649" t="s">
        <v>27</v>
      </c>
      <c r="O649" t="s">
        <v>28</v>
      </c>
      <c r="P649" t="s">
        <v>43</v>
      </c>
      <c r="Q649" t="s">
        <v>44</v>
      </c>
      <c r="R649" s="1">
        <v>44342.403182870374</v>
      </c>
      <c r="S649" s="1">
        <v>44342.403182870374</v>
      </c>
      <c r="T649">
        <v>0</v>
      </c>
      <c r="U649">
        <v>0</v>
      </c>
      <c r="V649" s="2">
        <v>0</v>
      </c>
      <c r="W649">
        <v>0</v>
      </c>
      <c r="X649" t="s">
        <v>37</v>
      </c>
      <c r="Y649">
        <v>0</v>
      </c>
      <c r="Z649" t="s">
        <v>31</v>
      </c>
      <c r="AA649">
        <v>0</v>
      </c>
      <c r="AB649" t="s">
        <v>31</v>
      </c>
      <c r="AC649">
        <v>0</v>
      </c>
      <c r="AD649" t="s">
        <v>31</v>
      </c>
      <c r="AE649">
        <v>0</v>
      </c>
      <c r="AF649" t="s">
        <v>31</v>
      </c>
      <c r="AG649">
        <v>0</v>
      </c>
      <c r="AH649" t="s">
        <v>31</v>
      </c>
      <c r="AI649">
        <v>0</v>
      </c>
      <c r="AJ649" t="s">
        <v>31</v>
      </c>
      <c r="AK649">
        <v>0</v>
      </c>
      <c r="AL649" t="s">
        <v>31</v>
      </c>
      <c r="AM649">
        <v>0</v>
      </c>
      <c r="AN649" t="s">
        <v>31</v>
      </c>
      <c r="AO649">
        <v>0</v>
      </c>
      <c r="AP649" t="s">
        <v>31</v>
      </c>
      <c r="AQ649">
        <v>0</v>
      </c>
    </row>
    <row r="650" spans="1:43" x14ac:dyDescent="0.2">
      <c r="A650" t="s">
        <v>381</v>
      </c>
      <c r="B650" s="3">
        <v>44344</v>
      </c>
      <c r="C650">
        <v>116</v>
      </c>
      <c r="D650" t="s">
        <v>390</v>
      </c>
      <c r="E650" t="s">
        <v>38</v>
      </c>
      <c r="F650" s="9" t="s">
        <v>40</v>
      </c>
      <c r="G650" t="s">
        <v>26</v>
      </c>
      <c r="H650" t="s">
        <v>27</v>
      </c>
      <c r="I650" t="s">
        <v>28</v>
      </c>
      <c r="J650" t="s">
        <v>43</v>
      </c>
      <c r="K650" t="s">
        <v>44</v>
      </c>
      <c r="L650" t="s">
        <v>29</v>
      </c>
      <c r="M650" t="s">
        <v>30</v>
      </c>
      <c r="N650" t="s">
        <v>27</v>
      </c>
      <c r="O650" t="s">
        <v>28</v>
      </c>
      <c r="P650" t="s">
        <v>43</v>
      </c>
      <c r="Q650" t="s">
        <v>44</v>
      </c>
      <c r="R650" s="1">
        <v>44344.419421296298</v>
      </c>
      <c r="S650" s="1">
        <v>44344.419432870367</v>
      </c>
      <c r="T650">
        <v>0</v>
      </c>
      <c r="U650">
        <v>0</v>
      </c>
      <c r="V650" s="2">
        <v>0</v>
      </c>
      <c r="W650">
        <v>0</v>
      </c>
      <c r="X650" t="s">
        <v>37</v>
      </c>
      <c r="Y650">
        <v>0</v>
      </c>
      <c r="Z650" t="s">
        <v>37</v>
      </c>
      <c r="AA650">
        <v>0</v>
      </c>
      <c r="AB650" t="s">
        <v>37</v>
      </c>
      <c r="AC650">
        <v>0</v>
      </c>
      <c r="AD650" t="s">
        <v>37</v>
      </c>
      <c r="AE650">
        <v>0</v>
      </c>
      <c r="AF650" t="s">
        <v>37</v>
      </c>
      <c r="AG650">
        <v>0</v>
      </c>
      <c r="AH650" t="s">
        <v>31</v>
      </c>
      <c r="AI650">
        <v>0</v>
      </c>
      <c r="AJ650" t="s">
        <v>31</v>
      </c>
      <c r="AK650">
        <v>0</v>
      </c>
      <c r="AL650" t="s">
        <v>31</v>
      </c>
      <c r="AM650">
        <v>0</v>
      </c>
      <c r="AN650" t="s">
        <v>31</v>
      </c>
      <c r="AO650">
        <v>0</v>
      </c>
      <c r="AP650" t="s">
        <v>31</v>
      </c>
      <c r="AQ650">
        <v>0</v>
      </c>
    </row>
    <row r="651" spans="1:43" x14ac:dyDescent="0.2">
      <c r="A651" t="s">
        <v>381</v>
      </c>
      <c r="B651" s="3">
        <v>44344</v>
      </c>
      <c r="C651">
        <v>117</v>
      </c>
      <c r="D651" t="s">
        <v>409</v>
      </c>
      <c r="E651" t="s">
        <v>38</v>
      </c>
      <c r="F651" s="9" t="s">
        <v>40</v>
      </c>
      <c r="G651" t="s">
        <v>26</v>
      </c>
      <c r="H651" t="s">
        <v>27</v>
      </c>
      <c r="I651" t="s">
        <v>28</v>
      </c>
      <c r="J651" t="s">
        <v>43</v>
      </c>
      <c r="K651" t="s">
        <v>44</v>
      </c>
      <c r="L651" t="s">
        <v>29</v>
      </c>
      <c r="M651" t="s">
        <v>30</v>
      </c>
      <c r="N651" t="s">
        <v>27</v>
      </c>
      <c r="O651" t="s">
        <v>28</v>
      </c>
      <c r="P651" t="s">
        <v>43</v>
      </c>
      <c r="Q651" t="s">
        <v>44</v>
      </c>
      <c r="R651" s="1">
        <v>44344.615300925929</v>
      </c>
      <c r="S651" s="1">
        <v>44344.663368055553</v>
      </c>
      <c r="T651">
        <v>1</v>
      </c>
      <c r="U651">
        <v>3</v>
      </c>
      <c r="V651" s="2">
        <v>0.33</v>
      </c>
      <c r="W651">
        <v>0</v>
      </c>
      <c r="X651" t="s">
        <v>44</v>
      </c>
      <c r="Y651">
        <v>0</v>
      </c>
      <c r="Z651" t="s">
        <v>44</v>
      </c>
      <c r="AA651">
        <v>0</v>
      </c>
      <c r="AB651" t="s">
        <v>30</v>
      </c>
      <c r="AC651">
        <v>0</v>
      </c>
      <c r="AD651" t="s">
        <v>31</v>
      </c>
      <c r="AE651">
        <v>0</v>
      </c>
      <c r="AF651" t="s">
        <v>31</v>
      </c>
      <c r="AG651">
        <v>0</v>
      </c>
      <c r="AH651" t="s">
        <v>31</v>
      </c>
      <c r="AI651">
        <v>0</v>
      </c>
      <c r="AJ651" t="s">
        <v>31</v>
      </c>
      <c r="AK651">
        <v>0</v>
      </c>
      <c r="AL651" t="s">
        <v>31</v>
      </c>
      <c r="AM651">
        <v>0</v>
      </c>
      <c r="AN651" t="s">
        <v>31</v>
      </c>
      <c r="AO651">
        <v>0</v>
      </c>
      <c r="AP651" t="s">
        <v>31</v>
      </c>
      <c r="AQ651">
        <v>0</v>
      </c>
    </row>
    <row r="652" spans="1:43" x14ac:dyDescent="0.2">
      <c r="A652" t="s">
        <v>381</v>
      </c>
      <c r="B652" s="3">
        <v>44348</v>
      </c>
      <c r="C652">
        <v>118</v>
      </c>
      <c r="D652" t="s">
        <v>396</v>
      </c>
      <c r="E652" t="s">
        <v>38</v>
      </c>
      <c r="F652" s="9" t="s">
        <v>40</v>
      </c>
      <c r="G652" t="s">
        <v>26</v>
      </c>
      <c r="H652" t="s">
        <v>27</v>
      </c>
      <c r="I652" t="s">
        <v>28</v>
      </c>
      <c r="J652" t="s">
        <v>43</v>
      </c>
      <c r="K652" t="s">
        <v>44</v>
      </c>
      <c r="L652" t="s">
        <v>29</v>
      </c>
      <c r="M652" t="s">
        <v>30</v>
      </c>
      <c r="N652" t="s">
        <v>27</v>
      </c>
      <c r="O652" t="s">
        <v>28</v>
      </c>
      <c r="P652" t="s">
        <v>43</v>
      </c>
      <c r="Q652" t="s">
        <v>44</v>
      </c>
      <c r="R652" s="1">
        <v>44348.401354166665</v>
      </c>
      <c r="S652" s="1">
        <v>44348.401354166665</v>
      </c>
      <c r="T652">
        <v>0</v>
      </c>
      <c r="U652">
        <v>0</v>
      </c>
      <c r="V652" s="2">
        <v>0</v>
      </c>
      <c r="W652">
        <v>0</v>
      </c>
      <c r="X652" t="s">
        <v>37</v>
      </c>
      <c r="Y652">
        <v>0</v>
      </c>
      <c r="Z652" t="s">
        <v>31</v>
      </c>
      <c r="AA652">
        <v>0</v>
      </c>
      <c r="AB652" t="s">
        <v>31</v>
      </c>
      <c r="AC652">
        <v>0</v>
      </c>
      <c r="AD652" t="s">
        <v>31</v>
      </c>
      <c r="AE652">
        <v>0</v>
      </c>
      <c r="AF652" t="s">
        <v>31</v>
      </c>
      <c r="AG652">
        <v>0</v>
      </c>
      <c r="AH652" t="s">
        <v>31</v>
      </c>
      <c r="AI652">
        <v>0</v>
      </c>
      <c r="AJ652" t="s">
        <v>31</v>
      </c>
      <c r="AK652">
        <v>0</v>
      </c>
      <c r="AL652" t="s">
        <v>31</v>
      </c>
      <c r="AM652">
        <v>0</v>
      </c>
      <c r="AN652" t="s">
        <v>31</v>
      </c>
      <c r="AO652">
        <v>0</v>
      </c>
      <c r="AP652" t="s">
        <v>31</v>
      </c>
      <c r="AQ652">
        <v>0</v>
      </c>
    </row>
    <row r="653" spans="1:43" x14ac:dyDescent="0.2">
      <c r="A653" t="s">
        <v>381</v>
      </c>
      <c r="B653" s="3">
        <v>44348</v>
      </c>
      <c r="C653">
        <v>119</v>
      </c>
      <c r="D653" t="s">
        <v>385</v>
      </c>
      <c r="E653" t="s">
        <v>38</v>
      </c>
      <c r="F653" s="9" t="s">
        <v>40</v>
      </c>
      <c r="G653" t="s">
        <v>26</v>
      </c>
      <c r="H653" t="s">
        <v>27</v>
      </c>
      <c r="I653" t="s">
        <v>28</v>
      </c>
      <c r="J653" t="s">
        <v>43</v>
      </c>
      <c r="K653" t="s">
        <v>44</v>
      </c>
      <c r="L653" t="s">
        <v>29</v>
      </c>
      <c r="M653" t="s">
        <v>30</v>
      </c>
      <c r="N653" t="s">
        <v>27</v>
      </c>
      <c r="O653" t="s">
        <v>28</v>
      </c>
      <c r="P653" t="s">
        <v>43</v>
      </c>
      <c r="Q653" t="s">
        <v>44</v>
      </c>
      <c r="R653" s="1">
        <v>44348.634722222225</v>
      </c>
      <c r="S653" s="1">
        <v>44348.634733796294</v>
      </c>
      <c r="T653">
        <v>1</v>
      </c>
      <c r="U653">
        <v>1</v>
      </c>
      <c r="V653" s="2">
        <v>1</v>
      </c>
      <c r="W653">
        <v>0</v>
      </c>
      <c r="X653" t="s">
        <v>37</v>
      </c>
      <c r="Y653">
        <v>0</v>
      </c>
      <c r="Z653" t="s">
        <v>30</v>
      </c>
      <c r="AA653">
        <v>0</v>
      </c>
      <c r="AB653" t="s">
        <v>31</v>
      </c>
      <c r="AC653">
        <v>0</v>
      </c>
      <c r="AD653" t="s">
        <v>31</v>
      </c>
      <c r="AE653">
        <v>0</v>
      </c>
      <c r="AF653" t="s">
        <v>31</v>
      </c>
      <c r="AG653">
        <v>0</v>
      </c>
      <c r="AH653" t="s">
        <v>31</v>
      </c>
      <c r="AI653">
        <v>0</v>
      </c>
      <c r="AJ653" t="s">
        <v>31</v>
      </c>
      <c r="AK653">
        <v>0</v>
      </c>
      <c r="AL653" t="s">
        <v>31</v>
      </c>
      <c r="AM653">
        <v>0</v>
      </c>
      <c r="AN653" t="s">
        <v>31</v>
      </c>
      <c r="AO653">
        <v>0</v>
      </c>
      <c r="AP653" t="s">
        <v>31</v>
      </c>
      <c r="AQ653">
        <v>0</v>
      </c>
    </row>
    <row r="654" spans="1:43" x14ac:dyDescent="0.2">
      <c r="A654" t="s">
        <v>381</v>
      </c>
      <c r="B654" s="3">
        <v>44349</v>
      </c>
      <c r="C654">
        <v>120</v>
      </c>
      <c r="D654" t="s">
        <v>398</v>
      </c>
      <c r="E654" t="s">
        <v>38</v>
      </c>
      <c r="F654" s="9" t="s">
        <v>40</v>
      </c>
      <c r="G654" t="s">
        <v>26</v>
      </c>
      <c r="H654" t="s">
        <v>27</v>
      </c>
      <c r="I654" t="s">
        <v>28</v>
      </c>
      <c r="J654" t="s">
        <v>43</v>
      </c>
      <c r="K654" t="s">
        <v>44</v>
      </c>
      <c r="L654" t="s">
        <v>29</v>
      </c>
      <c r="M654" t="s">
        <v>30</v>
      </c>
      <c r="N654" t="s">
        <v>27</v>
      </c>
      <c r="O654" t="s">
        <v>28</v>
      </c>
      <c r="P654" t="s">
        <v>43</v>
      </c>
      <c r="Q654" t="s">
        <v>44</v>
      </c>
      <c r="R654" s="1">
        <v>44349.455092592594</v>
      </c>
      <c r="S654" s="1">
        <v>44349.455092592594</v>
      </c>
      <c r="T654">
        <v>1</v>
      </c>
      <c r="U654">
        <v>1</v>
      </c>
      <c r="V654" s="2">
        <v>1</v>
      </c>
      <c r="W654">
        <v>0</v>
      </c>
      <c r="X654" t="s">
        <v>30</v>
      </c>
      <c r="Y654">
        <v>0</v>
      </c>
      <c r="Z654" t="s">
        <v>31</v>
      </c>
      <c r="AA654">
        <v>0</v>
      </c>
      <c r="AB654" t="s">
        <v>31</v>
      </c>
      <c r="AC654">
        <v>0</v>
      </c>
      <c r="AD654" t="s">
        <v>31</v>
      </c>
      <c r="AE654">
        <v>0</v>
      </c>
      <c r="AF654" t="s">
        <v>31</v>
      </c>
      <c r="AG654">
        <v>0</v>
      </c>
      <c r="AH654" t="s">
        <v>31</v>
      </c>
      <c r="AI654">
        <v>0</v>
      </c>
      <c r="AJ654" t="s">
        <v>31</v>
      </c>
      <c r="AK654">
        <v>0</v>
      </c>
      <c r="AL654" t="s">
        <v>31</v>
      </c>
      <c r="AM654">
        <v>0</v>
      </c>
      <c r="AN654" t="s">
        <v>31</v>
      </c>
      <c r="AO654">
        <v>0</v>
      </c>
      <c r="AP654" t="s">
        <v>31</v>
      </c>
      <c r="AQ654">
        <v>0</v>
      </c>
    </row>
    <row r="655" spans="1:43" x14ac:dyDescent="0.2">
      <c r="A655" t="s">
        <v>381</v>
      </c>
      <c r="B655" s="3">
        <v>44349</v>
      </c>
      <c r="C655">
        <v>121</v>
      </c>
      <c r="D655" t="s">
        <v>385</v>
      </c>
      <c r="E655" t="s">
        <v>38</v>
      </c>
      <c r="F655" s="9" t="s">
        <v>40</v>
      </c>
      <c r="G655" t="s">
        <v>26</v>
      </c>
      <c r="H655" t="s">
        <v>27</v>
      </c>
      <c r="I655" t="s">
        <v>28</v>
      </c>
      <c r="J655" t="s">
        <v>43</v>
      </c>
      <c r="K655" t="s">
        <v>44</v>
      </c>
      <c r="L655" t="s">
        <v>29</v>
      </c>
      <c r="M655" t="s">
        <v>30</v>
      </c>
      <c r="N655" t="s">
        <v>27</v>
      </c>
      <c r="O655" t="s">
        <v>28</v>
      </c>
      <c r="P655" t="s">
        <v>43</v>
      </c>
      <c r="Q655" t="s">
        <v>44</v>
      </c>
      <c r="R655" s="1">
        <v>44349.594409722224</v>
      </c>
      <c r="S655" s="1">
        <v>44349.594629629632</v>
      </c>
      <c r="T655">
        <v>0</v>
      </c>
      <c r="U655">
        <v>0</v>
      </c>
      <c r="V655" s="2">
        <v>0</v>
      </c>
      <c r="W655">
        <v>0</v>
      </c>
      <c r="X655" t="s">
        <v>37</v>
      </c>
      <c r="Y655">
        <v>0</v>
      </c>
      <c r="Z655" t="s">
        <v>37</v>
      </c>
      <c r="AA655">
        <v>0</v>
      </c>
      <c r="AB655" t="s">
        <v>31</v>
      </c>
      <c r="AC655">
        <v>0</v>
      </c>
      <c r="AD655" t="s">
        <v>31</v>
      </c>
      <c r="AE655">
        <v>0</v>
      </c>
      <c r="AF655" t="s">
        <v>31</v>
      </c>
      <c r="AG655">
        <v>0</v>
      </c>
      <c r="AH655" t="s">
        <v>31</v>
      </c>
      <c r="AI655">
        <v>0</v>
      </c>
      <c r="AJ655" t="s">
        <v>31</v>
      </c>
      <c r="AK655">
        <v>0</v>
      </c>
      <c r="AL655" t="s">
        <v>31</v>
      </c>
      <c r="AM655">
        <v>0</v>
      </c>
      <c r="AN655" t="s">
        <v>31</v>
      </c>
      <c r="AO655">
        <v>0</v>
      </c>
      <c r="AP655" t="s">
        <v>31</v>
      </c>
      <c r="AQ655">
        <v>0</v>
      </c>
    </row>
    <row r="656" spans="1:43" x14ac:dyDescent="0.2">
      <c r="A656" t="s">
        <v>381</v>
      </c>
      <c r="B656" s="3">
        <v>44350</v>
      </c>
      <c r="C656">
        <v>123</v>
      </c>
      <c r="D656" t="s">
        <v>382</v>
      </c>
      <c r="E656" t="s">
        <v>38</v>
      </c>
      <c r="F656" s="9" t="s">
        <v>40</v>
      </c>
      <c r="G656" t="s">
        <v>26</v>
      </c>
      <c r="H656" t="s">
        <v>27</v>
      </c>
      <c r="I656" t="s">
        <v>28</v>
      </c>
      <c r="J656" t="s">
        <v>43</v>
      </c>
      <c r="K656" t="s">
        <v>44</v>
      </c>
      <c r="L656" t="s">
        <v>29</v>
      </c>
      <c r="M656" t="s">
        <v>30</v>
      </c>
      <c r="N656" t="s">
        <v>27</v>
      </c>
      <c r="O656" t="s">
        <v>28</v>
      </c>
      <c r="P656" t="s">
        <v>43</v>
      </c>
      <c r="Q656" t="s">
        <v>44</v>
      </c>
      <c r="R656" s="1">
        <v>44350.397997685184</v>
      </c>
      <c r="S656" s="1">
        <v>44350.398009259261</v>
      </c>
      <c r="T656">
        <v>0</v>
      </c>
      <c r="U656">
        <v>0</v>
      </c>
      <c r="V656" s="2">
        <v>0</v>
      </c>
      <c r="W656">
        <v>0</v>
      </c>
      <c r="X656" t="s">
        <v>37</v>
      </c>
      <c r="Y656">
        <v>0</v>
      </c>
      <c r="Z656" t="s">
        <v>37</v>
      </c>
      <c r="AA656">
        <v>0</v>
      </c>
      <c r="AB656" t="s">
        <v>37</v>
      </c>
      <c r="AC656">
        <v>0</v>
      </c>
      <c r="AD656" t="s">
        <v>31</v>
      </c>
      <c r="AE656">
        <v>0</v>
      </c>
      <c r="AF656" t="s">
        <v>31</v>
      </c>
      <c r="AG656">
        <v>0</v>
      </c>
      <c r="AH656" t="s">
        <v>31</v>
      </c>
      <c r="AI656">
        <v>0</v>
      </c>
      <c r="AJ656" t="s">
        <v>31</v>
      </c>
      <c r="AK656">
        <v>0</v>
      </c>
      <c r="AL656" t="s">
        <v>31</v>
      </c>
      <c r="AM656">
        <v>0</v>
      </c>
      <c r="AN656" t="s">
        <v>31</v>
      </c>
      <c r="AO656">
        <v>0</v>
      </c>
      <c r="AP656" t="s">
        <v>31</v>
      </c>
      <c r="AQ656">
        <v>0</v>
      </c>
    </row>
    <row r="657" spans="1:43" x14ac:dyDescent="0.2">
      <c r="A657" t="s">
        <v>381</v>
      </c>
      <c r="B657" s="3">
        <v>44351</v>
      </c>
      <c r="C657">
        <v>124</v>
      </c>
      <c r="D657" t="s">
        <v>390</v>
      </c>
      <c r="E657" t="s">
        <v>38</v>
      </c>
      <c r="F657" s="9" t="s">
        <v>40</v>
      </c>
      <c r="G657" t="s">
        <v>26</v>
      </c>
      <c r="H657" t="s">
        <v>27</v>
      </c>
      <c r="I657" t="s">
        <v>28</v>
      </c>
      <c r="J657" t="s">
        <v>43</v>
      </c>
      <c r="K657" t="s">
        <v>44</v>
      </c>
      <c r="L657" t="s">
        <v>29</v>
      </c>
      <c r="M657" t="s">
        <v>30</v>
      </c>
      <c r="N657" t="s">
        <v>27</v>
      </c>
      <c r="O657" t="s">
        <v>28</v>
      </c>
      <c r="P657" t="s">
        <v>43</v>
      </c>
      <c r="Q657" t="s">
        <v>44</v>
      </c>
      <c r="R657" s="1">
        <v>44351.403784722221</v>
      </c>
      <c r="S657" s="1">
        <v>44351.403796296298</v>
      </c>
      <c r="T657">
        <v>1</v>
      </c>
      <c r="U657">
        <v>1</v>
      </c>
      <c r="V657" s="2">
        <v>1</v>
      </c>
      <c r="W657">
        <v>0</v>
      </c>
      <c r="X657" t="s">
        <v>37</v>
      </c>
      <c r="Y657">
        <v>0</v>
      </c>
      <c r="Z657" t="s">
        <v>37</v>
      </c>
      <c r="AA657">
        <v>0</v>
      </c>
      <c r="AB657" t="s">
        <v>30</v>
      </c>
      <c r="AC657">
        <v>0</v>
      </c>
      <c r="AD657" t="s">
        <v>31</v>
      </c>
      <c r="AE657">
        <v>0</v>
      </c>
      <c r="AF657" t="s">
        <v>31</v>
      </c>
      <c r="AG657">
        <v>0</v>
      </c>
      <c r="AH657" t="s">
        <v>31</v>
      </c>
      <c r="AI657">
        <v>0</v>
      </c>
      <c r="AJ657" t="s">
        <v>31</v>
      </c>
      <c r="AK657">
        <v>0</v>
      </c>
      <c r="AL657" t="s">
        <v>31</v>
      </c>
      <c r="AM657">
        <v>0</v>
      </c>
      <c r="AN657" t="s">
        <v>31</v>
      </c>
      <c r="AO657">
        <v>0</v>
      </c>
      <c r="AP657" t="s">
        <v>31</v>
      </c>
      <c r="AQ657">
        <v>0</v>
      </c>
    </row>
    <row r="658" spans="1:43" x14ac:dyDescent="0.2">
      <c r="A658" t="s">
        <v>381</v>
      </c>
      <c r="B658" s="3">
        <v>44351</v>
      </c>
      <c r="C658">
        <v>125</v>
      </c>
      <c r="D658" t="s">
        <v>387</v>
      </c>
      <c r="E658" t="s">
        <v>38</v>
      </c>
      <c r="F658" s="9" t="s">
        <v>40</v>
      </c>
      <c r="G658" t="s">
        <v>26</v>
      </c>
      <c r="H658" t="s">
        <v>27</v>
      </c>
      <c r="I658" t="s">
        <v>28</v>
      </c>
      <c r="J658" t="s">
        <v>43</v>
      </c>
      <c r="K658" t="s">
        <v>44</v>
      </c>
      <c r="L658" t="s">
        <v>29</v>
      </c>
      <c r="M658" t="s">
        <v>30</v>
      </c>
      <c r="N658" t="s">
        <v>27</v>
      </c>
      <c r="O658" t="s">
        <v>28</v>
      </c>
      <c r="P658" t="s">
        <v>43</v>
      </c>
      <c r="Q658" t="s">
        <v>44</v>
      </c>
      <c r="R658" s="1">
        <v>44351.618877314817</v>
      </c>
      <c r="S658" s="1">
        <v>44351.618900462963</v>
      </c>
      <c r="T658">
        <v>0</v>
      </c>
      <c r="U658">
        <v>2</v>
      </c>
      <c r="V658" s="2">
        <v>0</v>
      </c>
      <c r="W658">
        <v>0</v>
      </c>
      <c r="X658" t="s">
        <v>37</v>
      </c>
      <c r="Y658">
        <v>0</v>
      </c>
      <c r="Z658" t="s">
        <v>37</v>
      </c>
      <c r="AA658">
        <v>0</v>
      </c>
      <c r="AB658" t="s">
        <v>37</v>
      </c>
      <c r="AC658">
        <v>0</v>
      </c>
      <c r="AD658" t="s">
        <v>44</v>
      </c>
      <c r="AE658">
        <v>0</v>
      </c>
      <c r="AF658" t="s">
        <v>44</v>
      </c>
      <c r="AG658">
        <v>0</v>
      </c>
      <c r="AH658" t="s">
        <v>37</v>
      </c>
      <c r="AI658">
        <v>0</v>
      </c>
      <c r="AJ658" t="s">
        <v>31</v>
      </c>
      <c r="AK658">
        <v>0</v>
      </c>
      <c r="AL658" t="s">
        <v>31</v>
      </c>
      <c r="AM658">
        <v>0</v>
      </c>
      <c r="AN658" t="s">
        <v>31</v>
      </c>
      <c r="AO658">
        <v>0</v>
      </c>
      <c r="AP658" t="s">
        <v>31</v>
      </c>
      <c r="AQ658">
        <v>0</v>
      </c>
    </row>
    <row r="659" spans="1:43" x14ac:dyDescent="0.2">
      <c r="A659" t="s">
        <v>381</v>
      </c>
      <c r="B659" s="3">
        <v>44354</v>
      </c>
      <c r="C659">
        <v>127</v>
      </c>
      <c r="D659" t="s">
        <v>383</v>
      </c>
      <c r="E659" t="s">
        <v>38</v>
      </c>
      <c r="F659" s="9" t="s">
        <v>40</v>
      </c>
      <c r="G659" t="s">
        <v>26</v>
      </c>
      <c r="H659" t="s">
        <v>27</v>
      </c>
      <c r="I659" t="s">
        <v>28</v>
      </c>
      <c r="J659" t="s">
        <v>43</v>
      </c>
      <c r="K659" t="s">
        <v>44</v>
      </c>
      <c r="L659" t="s">
        <v>29</v>
      </c>
      <c r="M659" t="s">
        <v>30</v>
      </c>
      <c r="N659" t="s">
        <v>27</v>
      </c>
      <c r="O659" t="s">
        <v>28</v>
      </c>
      <c r="P659" t="s">
        <v>43</v>
      </c>
      <c r="Q659" t="s">
        <v>44</v>
      </c>
      <c r="R659" s="1">
        <v>44354.628449074073</v>
      </c>
      <c r="S659" s="1">
        <v>44354.628449074073</v>
      </c>
      <c r="T659">
        <v>0</v>
      </c>
      <c r="U659">
        <v>0</v>
      </c>
      <c r="V659" s="2">
        <v>0</v>
      </c>
      <c r="W659">
        <v>0</v>
      </c>
      <c r="X659" t="s">
        <v>37</v>
      </c>
      <c r="Y659">
        <v>0</v>
      </c>
      <c r="Z659" t="s">
        <v>37</v>
      </c>
      <c r="AA659">
        <v>0</v>
      </c>
      <c r="AB659" t="s">
        <v>31</v>
      </c>
      <c r="AC659">
        <v>0</v>
      </c>
      <c r="AD659" t="s">
        <v>31</v>
      </c>
      <c r="AE659">
        <v>0</v>
      </c>
      <c r="AF659" t="s">
        <v>31</v>
      </c>
      <c r="AG659">
        <v>0</v>
      </c>
      <c r="AH659" t="s">
        <v>31</v>
      </c>
      <c r="AI659">
        <v>0</v>
      </c>
      <c r="AJ659" t="s">
        <v>31</v>
      </c>
      <c r="AK659">
        <v>0</v>
      </c>
      <c r="AL659" t="s">
        <v>31</v>
      </c>
      <c r="AM659">
        <v>0</v>
      </c>
      <c r="AN659" t="s">
        <v>31</v>
      </c>
      <c r="AO659">
        <v>0</v>
      </c>
      <c r="AP659" t="s">
        <v>31</v>
      </c>
      <c r="AQ659">
        <v>0</v>
      </c>
    </row>
    <row r="660" spans="1:43" x14ac:dyDescent="0.2">
      <c r="A660" t="s">
        <v>381</v>
      </c>
      <c r="B660" s="3">
        <v>44355</v>
      </c>
      <c r="C660">
        <v>129</v>
      </c>
      <c r="D660" t="s">
        <v>385</v>
      </c>
      <c r="E660" t="s">
        <v>38</v>
      </c>
      <c r="F660" s="9" t="s">
        <v>40</v>
      </c>
      <c r="G660" t="s">
        <v>26</v>
      </c>
      <c r="H660" t="s">
        <v>27</v>
      </c>
      <c r="I660" t="s">
        <v>28</v>
      </c>
      <c r="J660" t="s">
        <v>43</v>
      </c>
      <c r="K660" t="s">
        <v>44</v>
      </c>
      <c r="L660" t="s">
        <v>29</v>
      </c>
      <c r="M660" t="s">
        <v>30</v>
      </c>
      <c r="N660" t="s">
        <v>27</v>
      </c>
      <c r="O660" t="s">
        <v>28</v>
      </c>
      <c r="P660" t="s">
        <v>43</v>
      </c>
      <c r="Q660" t="s">
        <v>44</v>
      </c>
      <c r="R660" s="1">
        <v>44355.558310185188</v>
      </c>
      <c r="S660" s="1">
        <v>44355.558321759258</v>
      </c>
      <c r="T660">
        <v>1</v>
      </c>
      <c r="U660">
        <v>1</v>
      </c>
      <c r="V660" s="2">
        <v>1</v>
      </c>
      <c r="W660">
        <v>0</v>
      </c>
      <c r="X660" t="s">
        <v>37</v>
      </c>
      <c r="Y660">
        <v>0</v>
      </c>
      <c r="Z660" t="s">
        <v>37</v>
      </c>
      <c r="AA660">
        <v>0</v>
      </c>
      <c r="AB660" t="s">
        <v>30</v>
      </c>
      <c r="AC660">
        <v>0</v>
      </c>
      <c r="AD660" t="s">
        <v>31</v>
      </c>
      <c r="AE660">
        <v>0</v>
      </c>
      <c r="AF660" t="s">
        <v>31</v>
      </c>
      <c r="AG660">
        <v>0</v>
      </c>
      <c r="AH660" t="s">
        <v>31</v>
      </c>
      <c r="AI660">
        <v>0</v>
      </c>
      <c r="AJ660" t="s">
        <v>31</v>
      </c>
      <c r="AK660">
        <v>0</v>
      </c>
      <c r="AL660" t="s">
        <v>31</v>
      </c>
      <c r="AM660">
        <v>0</v>
      </c>
      <c r="AN660" t="s">
        <v>31</v>
      </c>
      <c r="AO660">
        <v>0</v>
      </c>
      <c r="AP660" t="s">
        <v>31</v>
      </c>
      <c r="AQ660">
        <v>0</v>
      </c>
    </row>
    <row r="661" spans="1:43" x14ac:dyDescent="0.2">
      <c r="A661" t="s">
        <v>381</v>
      </c>
      <c r="B661" s="3">
        <v>44356</v>
      </c>
      <c r="C661">
        <v>130</v>
      </c>
      <c r="D661" t="s">
        <v>398</v>
      </c>
      <c r="E661" t="s">
        <v>38</v>
      </c>
      <c r="F661" s="9" t="s">
        <v>40</v>
      </c>
      <c r="G661" t="s">
        <v>26</v>
      </c>
      <c r="H661" t="s">
        <v>27</v>
      </c>
      <c r="I661" t="s">
        <v>28</v>
      </c>
      <c r="J661" t="s">
        <v>43</v>
      </c>
      <c r="K661" t="s">
        <v>44</v>
      </c>
      <c r="L661" t="s">
        <v>29</v>
      </c>
      <c r="M661" t="s">
        <v>30</v>
      </c>
      <c r="N661" t="s">
        <v>27</v>
      </c>
      <c r="O661" t="s">
        <v>28</v>
      </c>
      <c r="P661" t="s">
        <v>43</v>
      </c>
      <c r="Q661" t="s">
        <v>44</v>
      </c>
      <c r="R661" s="1">
        <v>44356.413668981484</v>
      </c>
      <c r="S661" s="1">
        <v>44356.413969907408</v>
      </c>
      <c r="T661">
        <v>1</v>
      </c>
      <c r="U661">
        <v>1</v>
      </c>
      <c r="V661" s="2">
        <v>1</v>
      </c>
      <c r="W661">
        <v>0</v>
      </c>
      <c r="X661" t="s">
        <v>37</v>
      </c>
      <c r="Y661">
        <v>0</v>
      </c>
      <c r="Z661" t="s">
        <v>30</v>
      </c>
      <c r="AA661">
        <v>0</v>
      </c>
      <c r="AB661" t="s">
        <v>31</v>
      </c>
      <c r="AC661">
        <v>0</v>
      </c>
      <c r="AD661" t="s">
        <v>31</v>
      </c>
      <c r="AE661">
        <v>0</v>
      </c>
      <c r="AF661" t="s">
        <v>31</v>
      </c>
      <c r="AG661">
        <v>0</v>
      </c>
      <c r="AH661" t="s">
        <v>31</v>
      </c>
      <c r="AI661">
        <v>0</v>
      </c>
      <c r="AJ661" t="s">
        <v>31</v>
      </c>
      <c r="AK661">
        <v>0</v>
      </c>
      <c r="AL661" t="s">
        <v>31</v>
      </c>
      <c r="AM661">
        <v>0</v>
      </c>
      <c r="AN661" t="s">
        <v>31</v>
      </c>
      <c r="AO661">
        <v>0</v>
      </c>
      <c r="AP661" t="s">
        <v>31</v>
      </c>
      <c r="AQ661">
        <v>0</v>
      </c>
    </row>
    <row r="662" spans="1:43" x14ac:dyDescent="0.2">
      <c r="A662" t="s">
        <v>381</v>
      </c>
      <c r="B662" s="3">
        <v>44356</v>
      </c>
      <c r="C662">
        <v>131</v>
      </c>
      <c r="D662" t="s">
        <v>383</v>
      </c>
      <c r="E662" t="s">
        <v>38</v>
      </c>
      <c r="F662" s="9" t="s">
        <v>40</v>
      </c>
      <c r="G662" t="s">
        <v>26</v>
      </c>
      <c r="H662" t="s">
        <v>27</v>
      </c>
      <c r="I662" t="s">
        <v>28</v>
      </c>
      <c r="J662" t="s">
        <v>43</v>
      </c>
      <c r="K662" t="s">
        <v>44</v>
      </c>
      <c r="L662" t="s">
        <v>29</v>
      </c>
      <c r="M662" t="s">
        <v>30</v>
      </c>
      <c r="N662" t="s">
        <v>27</v>
      </c>
      <c r="O662" t="s">
        <v>28</v>
      </c>
      <c r="P662" t="s">
        <v>43</v>
      </c>
      <c r="Q662" t="s">
        <v>44</v>
      </c>
      <c r="R662" s="1">
        <v>44356.624965277777</v>
      </c>
      <c r="S662" s="1">
        <v>44356.624976851854</v>
      </c>
      <c r="T662">
        <v>0</v>
      </c>
      <c r="U662">
        <v>0</v>
      </c>
      <c r="V662" s="2">
        <v>0</v>
      </c>
      <c r="W662">
        <v>0</v>
      </c>
      <c r="X662" t="s">
        <v>37</v>
      </c>
      <c r="Y662">
        <v>0</v>
      </c>
      <c r="Z662" t="s">
        <v>37</v>
      </c>
      <c r="AA662">
        <v>0</v>
      </c>
      <c r="AB662" t="s">
        <v>31</v>
      </c>
      <c r="AC662">
        <v>0</v>
      </c>
      <c r="AD662" t="s">
        <v>31</v>
      </c>
      <c r="AE662">
        <v>0</v>
      </c>
      <c r="AF662" t="s">
        <v>31</v>
      </c>
      <c r="AG662">
        <v>0</v>
      </c>
      <c r="AH662" t="s">
        <v>31</v>
      </c>
      <c r="AI662">
        <v>0</v>
      </c>
      <c r="AJ662" t="s">
        <v>31</v>
      </c>
      <c r="AK662">
        <v>0</v>
      </c>
      <c r="AL662" t="s">
        <v>31</v>
      </c>
      <c r="AM662">
        <v>0</v>
      </c>
      <c r="AN662" t="s">
        <v>31</v>
      </c>
      <c r="AO662">
        <v>0</v>
      </c>
      <c r="AP662" t="s">
        <v>31</v>
      </c>
      <c r="AQ662">
        <v>0</v>
      </c>
    </row>
    <row r="663" spans="1:43" x14ac:dyDescent="0.2">
      <c r="A663" t="s">
        <v>381</v>
      </c>
      <c r="B663" s="3">
        <v>44357</v>
      </c>
      <c r="C663">
        <v>132</v>
      </c>
      <c r="D663" t="s">
        <v>399</v>
      </c>
      <c r="E663" t="s">
        <v>38</v>
      </c>
      <c r="F663" s="9" t="s">
        <v>40</v>
      </c>
      <c r="G663" t="s">
        <v>26</v>
      </c>
      <c r="H663" t="s">
        <v>27</v>
      </c>
      <c r="I663" t="s">
        <v>28</v>
      </c>
      <c r="J663" t="s">
        <v>43</v>
      </c>
      <c r="K663" t="s">
        <v>44</v>
      </c>
      <c r="L663" t="s">
        <v>29</v>
      </c>
      <c r="M663" t="s">
        <v>30</v>
      </c>
      <c r="N663" t="s">
        <v>27</v>
      </c>
      <c r="O663" t="s">
        <v>28</v>
      </c>
      <c r="P663" t="s">
        <v>43</v>
      </c>
      <c r="Q663" t="s">
        <v>44</v>
      </c>
      <c r="R663" s="1">
        <v>44357.371504629627</v>
      </c>
      <c r="S663" s="1">
        <v>44357.371516203704</v>
      </c>
      <c r="T663">
        <v>0</v>
      </c>
      <c r="U663">
        <v>0</v>
      </c>
      <c r="V663" s="2">
        <v>0</v>
      </c>
      <c r="W663">
        <v>0</v>
      </c>
      <c r="X663" t="s">
        <v>37</v>
      </c>
      <c r="Y663">
        <v>0</v>
      </c>
      <c r="Z663" t="s">
        <v>37</v>
      </c>
      <c r="AA663">
        <v>0</v>
      </c>
      <c r="AB663" t="s">
        <v>37</v>
      </c>
      <c r="AC663">
        <v>0</v>
      </c>
      <c r="AD663" t="s">
        <v>37</v>
      </c>
      <c r="AE663">
        <v>0</v>
      </c>
      <c r="AF663" t="s">
        <v>31</v>
      </c>
      <c r="AG663">
        <v>0</v>
      </c>
      <c r="AH663" t="s">
        <v>31</v>
      </c>
      <c r="AI663">
        <v>0</v>
      </c>
      <c r="AJ663" t="s">
        <v>31</v>
      </c>
      <c r="AK663">
        <v>0</v>
      </c>
      <c r="AL663" t="s">
        <v>31</v>
      </c>
      <c r="AM663">
        <v>0</v>
      </c>
      <c r="AN663" t="s">
        <v>31</v>
      </c>
      <c r="AO663">
        <v>0</v>
      </c>
      <c r="AP663" t="s">
        <v>31</v>
      </c>
      <c r="AQ663">
        <v>0</v>
      </c>
    </row>
    <row r="664" spans="1:43" x14ac:dyDescent="0.2">
      <c r="A664" t="s">
        <v>381</v>
      </c>
      <c r="B664" s="3">
        <v>44358</v>
      </c>
      <c r="C664">
        <v>133</v>
      </c>
      <c r="D664" t="s">
        <v>390</v>
      </c>
      <c r="E664" t="s">
        <v>38</v>
      </c>
      <c r="F664" s="9" t="s">
        <v>40</v>
      </c>
      <c r="G664" t="s">
        <v>26</v>
      </c>
      <c r="H664" t="s">
        <v>27</v>
      </c>
      <c r="I664" t="s">
        <v>28</v>
      </c>
      <c r="J664" t="s">
        <v>43</v>
      </c>
      <c r="K664" t="s">
        <v>44</v>
      </c>
      <c r="L664" t="s">
        <v>29</v>
      </c>
      <c r="M664" t="s">
        <v>30</v>
      </c>
      <c r="N664" t="s">
        <v>27</v>
      </c>
      <c r="O664" t="s">
        <v>28</v>
      </c>
      <c r="P664" t="s">
        <v>43</v>
      </c>
      <c r="Q664" t="s">
        <v>44</v>
      </c>
      <c r="R664" s="1">
        <v>44358.403449074074</v>
      </c>
      <c r="S664" s="1">
        <v>44358.403460648151</v>
      </c>
      <c r="T664">
        <v>1</v>
      </c>
      <c r="U664">
        <v>1</v>
      </c>
      <c r="V664" s="2">
        <v>1</v>
      </c>
      <c r="W664">
        <v>0</v>
      </c>
      <c r="X664" t="s">
        <v>37</v>
      </c>
      <c r="Y664">
        <v>0</v>
      </c>
      <c r="Z664" t="s">
        <v>37</v>
      </c>
      <c r="AA664">
        <v>0</v>
      </c>
      <c r="AB664" t="s">
        <v>30</v>
      </c>
      <c r="AC664">
        <v>0</v>
      </c>
      <c r="AD664" t="s">
        <v>31</v>
      </c>
      <c r="AE664">
        <v>0</v>
      </c>
      <c r="AF664" t="s">
        <v>31</v>
      </c>
      <c r="AG664">
        <v>0</v>
      </c>
      <c r="AH664" t="s">
        <v>31</v>
      </c>
      <c r="AI664">
        <v>0</v>
      </c>
      <c r="AJ664" t="s">
        <v>31</v>
      </c>
      <c r="AK664">
        <v>0</v>
      </c>
      <c r="AL664" t="s">
        <v>31</v>
      </c>
      <c r="AM664">
        <v>0</v>
      </c>
      <c r="AN664" t="s">
        <v>31</v>
      </c>
      <c r="AO664">
        <v>0</v>
      </c>
      <c r="AP664" t="s">
        <v>31</v>
      </c>
      <c r="AQ664">
        <v>0</v>
      </c>
    </row>
    <row r="665" spans="1:43" x14ac:dyDescent="0.2">
      <c r="A665" t="s">
        <v>381</v>
      </c>
      <c r="B665" s="3">
        <v>44358</v>
      </c>
      <c r="C665">
        <v>134</v>
      </c>
      <c r="D665" t="s">
        <v>383</v>
      </c>
      <c r="E665" t="s">
        <v>38</v>
      </c>
      <c r="F665" s="9" t="s">
        <v>40</v>
      </c>
      <c r="G665" t="s">
        <v>26</v>
      </c>
      <c r="H665" t="s">
        <v>27</v>
      </c>
      <c r="I665" t="s">
        <v>28</v>
      </c>
      <c r="J665" t="s">
        <v>43</v>
      </c>
      <c r="K665" t="s">
        <v>44</v>
      </c>
      <c r="L665" t="s">
        <v>29</v>
      </c>
      <c r="M665" t="s">
        <v>30</v>
      </c>
      <c r="N665" t="s">
        <v>27</v>
      </c>
      <c r="O665" t="s">
        <v>28</v>
      </c>
      <c r="P665" t="s">
        <v>43</v>
      </c>
      <c r="Q665" t="s">
        <v>44</v>
      </c>
      <c r="R665" s="1">
        <v>44358.564062500001</v>
      </c>
      <c r="S665" s="1">
        <v>44358.578125</v>
      </c>
      <c r="T665">
        <v>1</v>
      </c>
      <c r="U665">
        <v>1</v>
      </c>
      <c r="V665" s="2">
        <v>1</v>
      </c>
      <c r="W665">
        <v>0</v>
      </c>
      <c r="X665" t="s">
        <v>37</v>
      </c>
      <c r="Y665">
        <v>0</v>
      </c>
      <c r="Z665" t="s">
        <v>37</v>
      </c>
      <c r="AA665">
        <v>0</v>
      </c>
      <c r="AB665" t="s">
        <v>30</v>
      </c>
      <c r="AC665">
        <v>0</v>
      </c>
      <c r="AD665" t="s">
        <v>31</v>
      </c>
      <c r="AE665">
        <v>0</v>
      </c>
      <c r="AF665" t="s">
        <v>31</v>
      </c>
      <c r="AG665">
        <v>0</v>
      </c>
      <c r="AH665" t="s">
        <v>31</v>
      </c>
      <c r="AI665">
        <v>0</v>
      </c>
      <c r="AJ665" t="s">
        <v>31</v>
      </c>
      <c r="AK665">
        <v>0</v>
      </c>
      <c r="AL665" t="s">
        <v>31</v>
      </c>
      <c r="AM665">
        <v>0</v>
      </c>
      <c r="AN665" t="s">
        <v>31</v>
      </c>
      <c r="AO665">
        <v>0</v>
      </c>
      <c r="AP665" t="s">
        <v>31</v>
      </c>
      <c r="AQ665">
        <v>0</v>
      </c>
    </row>
    <row r="666" spans="1:43" x14ac:dyDescent="0.2">
      <c r="A666" t="s">
        <v>381</v>
      </c>
      <c r="B666" s="3">
        <v>44361</v>
      </c>
      <c r="C666">
        <v>135</v>
      </c>
      <c r="D666" t="s">
        <v>390</v>
      </c>
      <c r="E666" t="s">
        <v>38</v>
      </c>
      <c r="F666" s="9" t="s">
        <v>40</v>
      </c>
      <c r="G666" t="s">
        <v>26</v>
      </c>
      <c r="H666" t="s">
        <v>27</v>
      </c>
      <c r="I666" t="s">
        <v>28</v>
      </c>
      <c r="J666" t="s">
        <v>43</v>
      </c>
      <c r="K666" t="s">
        <v>44</v>
      </c>
      <c r="L666" t="s">
        <v>29</v>
      </c>
      <c r="M666" t="s">
        <v>30</v>
      </c>
      <c r="N666" t="s">
        <v>27</v>
      </c>
      <c r="O666" t="s">
        <v>28</v>
      </c>
      <c r="P666" t="s">
        <v>43</v>
      </c>
      <c r="Q666" t="s">
        <v>44</v>
      </c>
      <c r="R666" s="1">
        <v>44361.410497685189</v>
      </c>
      <c r="S666" s="1">
        <v>44361.410509259258</v>
      </c>
      <c r="T666">
        <v>1</v>
      </c>
      <c r="U666">
        <v>1</v>
      </c>
      <c r="V666" s="2">
        <v>1</v>
      </c>
      <c r="W666">
        <v>0</v>
      </c>
      <c r="X666" t="s">
        <v>37</v>
      </c>
      <c r="Y666">
        <v>0</v>
      </c>
      <c r="Z666" t="s">
        <v>37</v>
      </c>
      <c r="AA666">
        <v>0</v>
      </c>
      <c r="AB666" t="s">
        <v>37</v>
      </c>
      <c r="AC666">
        <v>0</v>
      </c>
      <c r="AD666" t="s">
        <v>30</v>
      </c>
      <c r="AE666">
        <v>0</v>
      </c>
      <c r="AF666" t="s">
        <v>31</v>
      </c>
      <c r="AG666">
        <v>0</v>
      </c>
      <c r="AH666" t="s">
        <v>31</v>
      </c>
      <c r="AI666">
        <v>0</v>
      </c>
      <c r="AJ666" t="s">
        <v>31</v>
      </c>
      <c r="AK666">
        <v>0</v>
      </c>
      <c r="AL666" t="s">
        <v>31</v>
      </c>
      <c r="AM666">
        <v>0</v>
      </c>
      <c r="AN666" t="s">
        <v>31</v>
      </c>
      <c r="AO666">
        <v>0</v>
      </c>
      <c r="AP666" t="s">
        <v>31</v>
      </c>
      <c r="AQ666">
        <v>0</v>
      </c>
    </row>
    <row r="667" spans="1:43" x14ac:dyDescent="0.2">
      <c r="A667" t="s">
        <v>381</v>
      </c>
      <c r="B667" s="3">
        <v>44361</v>
      </c>
      <c r="C667">
        <v>136</v>
      </c>
      <c r="D667" t="s">
        <v>383</v>
      </c>
      <c r="E667" t="s">
        <v>38</v>
      </c>
      <c r="F667" s="9" t="s">
        <v>40</v>
      </c>
      <c r="G667" t="s">
        <v>26</v>
      </c>
      <c r="H667" t="s">
        <v>27</v>
      </c>
      <c r="I667" t="s">
        <v>28</v>
      </c>
      <c r="J667" t="s">
        <v>43</v>
      </c>
      <c r="K667" t="s">
        <v>44</v>
      </c>
      <c r="L667" t="s">
        <v>29</v>
      </c>
      <c r="M667" t="s">
        <v>30</v>
      </c>
      <c r="N667" t="s">
        <v>27</v>
      </c>
      <c r="O667" t="s">
        <v>28</v>
      </c>
      <c r="P667" t="s">
        <v>43</v>
      </c>
      <c r="Q667" t="s">
        <v>44</v>
      </c>
      <c r="R667" s="1">
        <v>44361.56459490741</v>
      </c>
      <c r="S667" s="1">
        <v>44361.564942129633</v>
      </c>
      <c r="T667">
        <v>0</v>
      </c>
      <c r="U667">
        <v>0</v>
      </c>
      <c r="V667" s="2">
        <v>0</v>
      </c>
      <c r="W667">
        <v>0</v>
      </c>
      <c r="X667" t="s">
        <v>37</v>
      </c>
      <c r="Y667">
        <v>0</v>
      </c>
      <c r="Z667" t="s">
        <v>37</v>
      </c>
      <c r="AA667">
        <v>0</v>
      </c>
      <c r="AB667" t="s">
        <v>37</v>
      </c>
      <c r="AC667">
        <v>0</v>
      </c>
      <c r="AD667" t="s">
        <v>31</v>
      </c>
      <c r="AE667">
        <v>0</v>
      </c>
      <c r="AF667" t="s">
        <v>31</v>
      </c>
      <c r="AG667">
        <v>0</v>
      </c>
      <c r="AH667" t="s">
        <v>31</v>
      </c>
      <c r="AI667">
        <v>0</v>
      </c>
      <c r="AJ667" t="s">
        <v>31</v>
      </c>
      <c r="AK667">
        <v>0</v>
      </c>
      <c r="AL667" t="s">
        <v>31</v>
      </c>
      <c r="AM667">
        <v>0</v>
      </c>
      <c r="AN667" t="s">
        <v>31</v>
      </c>
      <c r="AO667">
        <v>0</v>
      </c>
      <c r="AP667" t="s">
        <v>31</v>
      </c>
      <c r="AQ667">
        <v>0</v>
      </c>
    </row>
    <row r="668" spans="1:43" x14ac:dyDescent="0.2">
      <c r="A668" t="s">
        <v>381</v>
      </c>
      <c r="B668" s="3">
        <v>44363</v>
      </c>
      <c r="C668">
        <v>137</v>
      </c>
      <c r="D668" t="s">
        <v>383</v>
      </c>
      <c r="E668" t="s">
        <v>38</v>
      </c>
      <c r="F668" s="9" t="s">
        <v>40</v>
      </c>
      <c r="G668" t="s">
        <v>26</v>
      </c>
      <c r="H668" t="s">
        <v>27</v>
      </c>
      <c r="I668" t="s">
        <v>28</v>
      </c>
      <c r="J668" t="s">
        <v>43</v>
      </c>
      <c r="K668" t="s">
        <v>44</v>
      </c>
      <c r="L668" t="s">
        <v>29</v>
      </c>
      <c r="M668" t="s">
        <v>30</v>
      </c>
      <c r="N668" t="s">
        <v>27</v>
      </c>
      <c r="O668" t="s">
        <v>28</v>
      </c>
      <c r="P668" t="s">
        <v>43</v>
      </c>
      <c r="Q668" t="s">
        <v>44</v>
      </c>
      <c r="R668" s="1">
        <v>44363.58798611111</v>
      </c>
      <c r="S668" s="1">
        <v>44363.59233796296</v>
      </c>
      <c r="T668">
        <v>6</v>
      </c>
      <c r="U668">
        <v>8</v>
      </c>
      <c r="V668" s="2">
        <v>0.75</v>
      </c>
      <c r="W668">
        <v>0</v>
      </c>
      <c r="X668" t="s">
        <v>37</v>
      </c>
      <c r="Y668">
        <v>0</v>
      </c>
      <c r="Z668" t="s">
        <v>30</v>
      </c>
      <c r="AA668">
        <v>0</v>
      </c>
      <c r="AB668" t="s">
        <v>44</v>
      </c>
      <c r="AC668">
        <v>0</v>
      </c>
      <c r="AD668" t="s">
        <v>44</v>
      </c>
      <c r="AE668">
        <v>0</v>
      </c>
      <c r="AF668" t="s">
        <v>30</v>
      </c>
      <c r="AG668">
        <v>0</v>
      </c>
      <c r="AH668" t="s">
        <v>30</v>
      </c>
      <c r="AI668">
        <v>0</v>
      </c>
      <c r="AJ668" t="s">
        <v>30</v>
      </c>
      <c r="AK668">
        <v>0</v>
      </c>
      <c r="AL668" t="s">
        <v>30</v>
      </c>
      <c r="AM668">
        <v>0</v>
      </c>
      <c r="AN668" t="s">
        <v>30</v>
      </c>
      <c r="AO668">
        <v>0</v>
      </c>
      <c r="AP668" t="s">
        <v>31</v>
      </c>
      <c r="AQ668">
        <v>0</v>
      </c>
    </row>
    <row r="669" spans="1:43" x14ac:dyDescent="0.2">
      <c r="A669" t="s">
        <v>381</v>
      </c>
      <c r="B669" s="3">
        <v>44364</v>
      </c>
      <c r="C669">
        <v>138</v>
      </c>
      <c r="D669" t="s">
        <v>399</v>
      </c>
      <c r="E669" t="s">
        <v>38</v>
      </c>
      <c r="F669" s="9" t="s">
        <v>40</v>
      </c>
      <c r="G669" t="s">
        <v>26</v>
      </c>
      <c r="H669" t="s">
        <v>27</v>
      </c>
      <c r="I669" t="s">
        <v>28</v>
      </c>
      <c r="J669" t="s">
        <v>43</v>
      </c>
      <c r="K669" t="s">
        <v>44</v>
      </c>
      <c r="L669" t="s">
        <v>29</v>
      </c>
      <c r="M669" t="s">
        <v>30</v>
      </c>
      <c r="N669" t="s">
        <v>27</v>
      </c>
      <c r="O669" t="s">
        <v>28</v>
      </c>
      <c r="P669" t="s">
        <v>43</v>
      </c>
      <c r="Q669" t="s">
        <v>44</v>
      </c>
      <c r="R669" s="1">
        <v>44364.362569444442</v>
      </c>
      <c r="S669" s="1">
        <v>44364.362581018519</v>
      </c>
      <c r="T669">
        <v>1</v>
      </c>
      <c r="U669">
        <v>1</v>
      </c>
      <c r="V669" s="2">
        <v>1</v>
      </c>
      <c r="W669">
        <v>0</v>
      </c>
      <c r="X669" t="s">
        <v>37</v>
      </c>
      <c r="Y669">
        <v>0</v>
      </c>
      <c r="Z669" t="s">
        <v>30</v>
      </c>
      <c r="AA669">
        <v>0</v>
      </c>
      <c r="AB669" t="s">
        <v>31</v>
      </c>
      <c r="AC669">
        <v>0</v>
      </c>
      <c r="AD669" t="s">
        <v>31</v>
      </c>
      <c r="AE669">
        <v>0</v>
      </c>
      <c r="AF669" t="s">
        <v>31</v>
      </c>
      <c r="AG669">
        <v>0</v>
      </c>
      <c r="AH669" t="s">
        <v>31</v>
      </c>
      <c r="AI669">
        <v>0</v>
      </c>
      <c r="AJ669" t="s">
        <v>31</v>
      </c>
      <c r="AK669">
        <v>0</v>
      </c>
      <c r="AL669" t="s">
        <v>31</v>
      </c>
      <c r="AM669">
        <v>0</v>
      </c>
      <c r="AN669" t="s">
        <v>31</v>
      </c>
      <c r="AO669">
        <v>0</v>
      </c>
      <c r="AP669" t="s">
        <v>31</v>
      </c>
      <c r="AQ669">
        <v>0</v>
      </c>
    </row>
    <row r="670" spans="1:43" x14ac:dyDescent="0.2">
      <c r="A670" t="s">
        <v>381</v>
      </c>
      <c r="B670" s="3">
        <v>44365</v>
      </c>
      <c r="C670">
        <v>139</v>
      </c>
      <c r="D670" t="s">
        <v>400</v>
      </c>
      <c r="E670" t="s">
        <v>38</v>
      </c>
      <c r="F670" s="9" t="s">
        <v>40</v>
      </c>
      <c r="G670" t="s">
        <v>26</v>
      </c>
      <c r="H670" t="s">
        <v>27</v>
      </c>
      <c r="I670" t="s">
        <v>28</v>
      </c>
      <c r="J670" t="s">
        <v>43</v>
      </c>
      <c r="K670" t="s">
        <v>44</v>
      </c>
      <c r="L670" t="s">
        <v>29</v>
      </c>
      <c r="M670" t="s">
        <v>30</v>
      </c>
      <c r="N670" t="s">
        <v>27</v>
      </c>
      <c r="O670" t="s">
        <v>28</v>
      </c>
      <c r="P670" t="s">
        <v>43</v>
      </c>
      <c r="Q670" t="s">
        <v>44</v>
      </c>
      <c r="R670" s="1">
        <v>44365.416817129626</v>
      </c>
      <c r="S670" s="1">
        <v>44365.416817129626</v>
      </c>
      <c r="T670">
        <v>0</v>
      </c>
      <c r="U670">
        <v>0</v>
      </c>
      <c r="V670" s="2">
        <v>0</v>
      </c>
      <c r="W670">
        <v>0</v>
      </c>
      <c r="X670" t="s">
        <v>37</v>
      </c>
      <c r="Y670">
        <v>0</v>
      </c>
      <c r="Z670" t="s">
        <v>31</v>
      </c>
      <c r="AA670">
        <v>0</v>
      </c>
      <c r="AB670" t="s">
        <v>31</v>
      </c>
      <c r="AC670">
        <v>0</v>
      </c>
      <c r="AD670" t="s">
        <v>31</v>
      </c>
      <c r="AE670">
        <v>0</v>
      </c>
      <c r="AF670" t="s">
        <v>31</v>
      </c>
      <c r="AG670">
        <v>0</v>
      </c>
      <c r="AH670" t="s">
        <v>31</v>
      </c>
      <c r="AI670">
        <v>0</v>
      </c>
      <c r="AJ670" t="s">
        <v>31</v>
      </c>
      <c r="AK670">
        <v>0</v>
      </c>
      <c r="AL670" t="s">
        <v>31</v>
      </c>
      <c r="AM670">
        <v>0</v>
      </c>
      <c r="AN670" t="s">
        <v>31</v>
      </c>
      <c r="AO670">
        <v>0</v>
      </c>
      <c r="AP670" t="s">
        <v>31</v>
      </c>
      <c r="AQ670">
        <v>0</v>
      </c>
    </row>
    <row r="671" spans="1:43" x14ac:dyDescent="0.2">
      <c r="A671" t="s">
        <v>381</v>
      </c>
      <c r="B671" s="3">
        <v>44365</v>
      </c>
      <c r="C671">
        <v>140</v>
      </c>
      <c r="D671" t="s">
        <v>399</v>
      </c>
      <c r="E671" t="s">
        <v>38</v>
      </c>
      <c r="F671" s="9" t="s">
        <v>40</v>
      </c>
      <c r="G671" t="s">
        <v>26</v>
      </c>
      <c r="H671" t="s">
        <v>27</v>
      </c>
      <c r="I671" t="s">
        <v>28</v>
      </c>
      <c r="J671" t="s">
        <v>43</v>
      </c>
      <c r="K671" t="s">
        <v>44</v>
      </c>
      <c r="L671" t="s">
        <v>29</v>
      </c>
      <c r="M671" t="s">
        <v>30</v>
      </c>
      <c r="N671" t="s">
        <v>27</v>
      </c>
      <c r="O671" t="s">
        <v>28</v>
      </c>
      <c r="P671" t="s">
        <v>43</v>
      </c>
      <c r="Q671" t="s">
        <v>44</v>
      </c>
      <c r="R671" s="1">
        <v>44365.554895833331</v>
      </c>
      <c r="S671" s="1">
        <v>44365.555451388886</v>
      </c>
      <c r="T671">
        <v>0</v>
      </c>
      <c r="U671">
        <v>0</v>
      </c>
      <c r="V671" s="2">
        <v>0</v>
      </c>
      <c r="W671">
        <v>0</v>
      </c>
      <c r="X671" t="s">
        <v>37</v>
      </c>
      <c r="Y671">
        <v>0</v>
      </c>
      <c r="Z671" t="s">
        <v>37</v>
      </c>
      <c r="AA671">
        <v>0</v>
      </c>
      <c r="AB671" t="s">
        <v>37</v>
      </c>
      <c r="AC671">
        <v>0</v>
      </c>
      <c r="AD671" t="s">
        <v>31</v>
      </c>
      <c r="AE671">
        <v>0</v>
      </c>
      <c r="AF671" t="s">
        <v>31</v>
      </c>
      <c r="AG671">
        <v>0</v>
      </c>
      <c r="AH671" t="s">
        <v>31</v>
      </c>
      <c r="AI671">
        <v>0</v>
      </c>
      <c r="AJ671" t="s">
        <v>31</v>
      </c>
      <c r="AK671">
        <v>0</v>
      </c>
      <c r="AL671" t="s">
        <v>31</v>
      </c>
      <c r="AM671">
        <v>0</v>
      </c>
      <c r="AN671" t="s">
        <v>31</v>
      </c>
      <c r="AO671">
        <v>0</v>
      </c>
      <c r="AP671" t="s">
        <v>31</v>
      </c>
      <c r="AQ671">
        <v>0</v>
      </c>
    </row>
    <row r="672" spans="1:43" x14ac:dyDescent="0.2">
      <c r="A672" t="s">
        <v>381</v>
      </c>
      <c r="B672" s="3">
        <v>44375</v>
      </c>
      <c r="C672">
        <v>141</v>
      </c>
      <c r="D672" t="s">
        <v>396</v>
      </c>
      <c r="E672" t="s">
        <v>38</v>
      </c>
      <c r="F672" s="9" t="s">
        <v>40</v>
      </c>
      <c r="G672" t="s">
        <v>26</v>
      </c>
      <c r="H672" t="s">
        <v>27</v>
      </c>
      <c r="I672" t="s">
        <v>28</v>
      </c>
      <c r="J672" t="s">
        <v>43</v>
      </c>
      <c r="K672" t="s">
        <v>44</v>
      </c>
      <c r="L672" t="s">
        <v>29</v>
      </c>
      <c r="M672" t="s">
        <v>30</v>
      </c>
      <c r="N672" t="s">
        <v>27</v>
      </c>
      <c r="O672" t="s">
        <v>28</v>
      </c>
      <c r="P672" t="s">
        <v>43</v>
      </c>
      <c r="Q672" t="s">
        <v>44</v>
      </c>
      <c r="R672" s="1">
        <v>44375.594664351855</v>
      </c>
      <c r="S672" s="1">
        <v>44375.594664351855</v>
      </c>
      <c r="T672">
        <v>0</v>
      </c>
      <c r="U672">
        <v>0</v>
      </c>
      <c r="V672" s="2">
        <v>0</v>
      </c>
      <c r="W672">
        <v>0</v>
      </c>
      <c r="X672" t="s">
        <v>37</v>
      </c>
      <c r="Y672">
        <v>0</v>
      </c>
      <c r="Z672" t="s">
        <v>31</v>
      </c>
      <c r="AA672">
        <v>0</v>
      </c>
      <c r="AB672" t="s">
        <v>31</v>
      </c>
      <c r="AC672">
        <v>0</v>
      </c>
      <c r="AD672" t="s">
        <v>31</v>
      </c>
      <c r="AE672">
        <v>0</v>
      </c>
      <c r="AF672" t="s">
        <v>31</v>
      </c>
      <c r="AG672">
        <v>0</v>
      </c>
      <c r="AH672" t="s">
        <v>31</v>
      </c>
      <c r="AI672">
        <v>0</v>
      </c>
      <c r="AJ672" t="s">
        <v>31</v>
      </c>
      <c r="AK672">
        <v>0</v>
      </c>
      <c r="AL672" t="s">
        <v>31</v>
      </c>
      <c r="AM672">
        <v>0</v>
      </c>
      <c r="AN672" t="s">
        <v>31</v>
      </c>
      <c r="AO672">
        <v>0</v>
      </c>
      <c r="AP672" t="s">
        <v>31</v>
      </c>
      <c r="AQ672">
        <v>0</v>
      </c>
    </row>
    <row r="673" spans="1:43" x14ac:dyDescent="0.2">
      <c r="A673" t="s">
        <v>381</v>
      </c>
      <c r="B673" s="3">
        <v>44236</v>
      </c>
      <c r="C673">
        <v>2</v>
      </c>
      <c r="D673" t="s">
        <v>382</v>
      </c>
      <c r="E673" t="s">
        <v>93</v>
      </c>
      <c r="F673" s="9" t="s">
        <v>94</v>
      </c>
      <c r="G673" t="s">
        <v>26</v>
      </c>
      <c r="H673" t="s">
        <v>27</v>
      </c>
      <c r="I673" t="s">
        <v>28</v>
      </c>
      <c r="J673" t="s">
        <v>29</v>
      </c>
      <c r="K673" t="s">
        <v>30</v>
      </c>
      <c r="L673" t="s">
        <v>29</v>
      </c>
      <c r="M673" t="s">
        <v>30</v>
      </c>
      <c r="N673" t="s">
        <v>27</v>
      </c>
      <c r="O673" t="s">
        <v>28</v>
      </c>
      <c r="P673" t="s">
        <v>29</v>
      </c>
      <c r="Q673" t="s">
        <v>30</v>
      </c>
      <c r="R673" s="1">
        <v>44236.455740740741</v>
      </c>
      <c r="S673" s="1">
        <v>44236.45585648148</v>
      </c>
      <c r="T673">
        <v>0</v>
      </c>
      <c r="U673">
        <v>8</v>
      </c>
      <c r="V673" s="2">
        <v>0</v>
      </c>
      <c r="W673">
        <v>0</v>
      </c>
      <c r="X673" t="s">
        <v>47</v>
      </c>
      <c r="Y673">
        <v>0</v>
      </c>
      <c r="Z673" t="s">
        <v>47</v>
      </c>
      <c r="AA673">
        <v>0</v>
      </c>
      <c r="AB673" t="s">
        <v>47</v>
      </c>
      <c r="AC673">
        <v>0</v>
      </c>
      <c r="AD673" t="s">
        <v>47</v>
      </c>
      <c r="AE673">
        <v>0</v>
      </c>
      <c r="AF673" t="s">
        <v>47</v>
      </c>
      <c r="AG673">
        <v>0</v>
      </c>
      <c r="AH673" t="s">
        <v>47</v>
      </c>
      <c r="AI673">
        <v>0</v>
      </c>
      <c r="AJ673" t="s">
        <v>47</v>
      </c>
      <c r="AK673">
        <v>0</v>
      </c>
      <c r="AL673" t="s">
        <v>47</v>
      </c>
      <c r="AM673">
        <v>0</v>
      </c>
      <c r="AN673" t="s">
        <v>31</v>
      </c>
      <c r="AO673">
        <v>0</v>
      </c>
      <c r="AP673" t="s">
        <v>31</v>
      </c>
      <c r="AQ673">
        <v>0</v>
      </c>
    </row>
    <row r="674" spans="1:43" x14ac:dyDescent="0.2">
      <c r="A674" t="s">
        <v>381</v>
      </c>
      <c r="B674" s="3">
        <v>44242</v>
      </c>
      <c r="C674">
        <v>8</v>
      </c>
      <c r="D674" t="s">
        <v>384</v>
      </c>
      <c r="E674" t="s">
        <v>93</v>
      </c>
      <c r="F674" s="9" t="s">
        <v>94</v>
      </c>
      <c r="G674" t="s">
        <v>26</v>
      </c>
      <c r="H674" t="s">
        <v>27</v>
      </c>
      <c r="I674" t="s">
        <v>28</v>
      </c>
      <c r="J674" t="s">
        <v>29</v>
      </c>
      <c r="K674" t="s">
        <v>30</v>
      </c>
      <c r="L674" t="s">
        <v>29</v>
      </c>
      <c r="M674" t="s">
        <v>30</v>
      </c>
      <c r="N674" t="s">
        <v>27</v>
      </c>
      <c r="O674" t="s">
        <v>28</v>
      </c>
      <c r="P674" t="s">
        <v>29</v>
      </c>
      <c r="Q674" t="s">
        <v>30</v>
      </c>
      <c r="R674" s="1">
        <v>44242.463206018518</v>
      </c>
      <c r="S674" s="1">
        <v>44242.463437500002</v>
      </c>
      <c r="T674">
        <v>0</v>
      </c>
      <c r="U674">
        <v>0</v>
      </c>
      <c r="V674" s="2">
        <v>0</v>
      </c>
      <c r="W674">
        <v>0</v>
      </c>
      <c r="X674" t="s">
        <v>37</v>
      </c>
      <c r="Y674">
        <v>0</v>
      </c>
      <c r="Z674" t="s">
        <v>37</v>
      </c>
      <c r="AA674">
        <v>0</v>
      </c>
      <c r="AB674" t="s">
        <v>37</v>
      </c>
      <c r="AC674">
        <v>0</v>
      </c>
      <c r="AD674" t="s">
        <v>31</v>
      </c>
      <c r="AE674">
        <v>0</v>
      </c>
      <c r="AF674" t="s">
        <v>31</v>
      </c>
      <c r="AG674">
        <v>0</v>
      </c>
      <c r="AH674" t="s">
        <v>31</v>
      </c>
      <c r="AI674">
        <v>0</v>
      </c>
      <c r="AJ674" t="s">
        <v>31</v>
      </c>
      <c r="AK674">
        <v>0</v>
      </c>
      <c r="AL674" t="s">
        <v>31</v>
      </c>
      <c r="AM674">
        <v>0</v>
      </c>
      <c r="AN674" t="s">
        <v>31</v>
      </c>
      <c r="AO674">
        <v>0</v>
      </c>
      <c r="AP674" t="s">
        <v>31</v>
      </c>
      <c r="AQ674">
        <v>0</v>
      </c>
    </row>
    <row r="675" spans="1:43" x14ac:dyDescent="0.2">
      <c r="A675" t="s">
        <v>381</v>
      </c>
      <c r="B675" s="3">
        <v>44243</v>
      </c>
      <c r="C675">
        <v>9</v>
      </c>
      <c r="D675" t="s">
        <v>382</v>
      </c>
      <c r="E675" t="s">
        <v>93</v>
      </c>
      <c r="F675" s="9" t="s">
        <v>94</v>
      </c>
      <c r="G675" t="s">
        <v>26</v>
      </c>
      <c r="H675" t="s">
        <v>27</v>
      </c>
      <c r="I675" t="s">
        <v>28</v>
      </c>
      <c r="J675" t="s">
        <v>29</v>
      </c>
      <c r="K675" t="s">
        <v>30</v>
      </c>
      <c r="L675" t="s">
        <v>29</v>
      </c>
      <c r="M675" t="s">
        <v>30</v>
      </c>
      <c r="N675" t="s">
        <v>27</v>
      </c>
      <c r="O675" t="s">
        <v>28</v>
      </c>
      <c r="P675" t="s">
        <v>29</v>
      </c>
      <c r="Q675" t="s">
        <v>30</v>
      </c>
      <c r="R675" s="1">
        <v>44243.388506944444</v>
      </c>
      <c r="S675" s="1">
        <v>44243.388692129629</v>
      </c>
      <c r="T675">
        <v>1</v>
      </c>
      <c r="U675">
        <v>1</v>
      </c>
      <c r="V675" s="2">
        <v>1</v>
      </c>
      <c r="W675">
        <v>0</v>
      </c>
      <c r="X675" t="s">
        <v>37</v>
      </c>
      <c r="Y675">
        <v>0</v>
      </c>
      <c r="Z675" t="s">
        <v>37</v>
      </c>
      <c r="AA675">
        <v>0</v>
      </c>
      <c r="AB675" t="s">
        <v>30</v>
      </c>
      <c r="AC675">
        <v>0</v>
      </c>
      <c r="AD675" t="s">
        <v>31</v>
      </c>
      <c r="AE675">
        <v>0</v>
      </c>
      <c r="AF675" t="s">
        <v>31</v>
      </c>
      <c r="AG675">
        <v>0</v>
      </c>
      <c r="AH675" t="s">
        <v>31</v>
      </c>
      <c r="AI675">
        <v>0</v>
      </c>
      <c r="AJ675" t="s">
        <v>31</v>
      </c>
      <c r="AK675">
        <v>0</v>
      </c>
      <c r="AL675" t="s">
        <v>31</v>
      </c>
      <c r="AM675">
        <v>0</v>
      </c>
      <c r="AN675" t="s">
        <v>31</v>
      </c>
      <c r="AO675">
        <v>0</v>
      </c>
      <c r="AP675" t="s">
        <v>31</v>
      </c>
      <c r="AQ675">
        <v>0</v>
      </c>
    </row>
    <row r="676" spans="1:43" x14ac:dyDescent="0.2">
      <c r="A676" t="s">
        <v>381</v>
      </c>
      <c r="B676" s="3">
        <v>44245</v>
      </c>
      <c r="C676">
        <v>12</v>
      </c>
      <c r="D676" t="s">
        <v>382</v>
      </c>
      <c r="E676" t="s">
        <v>93</v>
      </c>
      <c r="F676" s="9" t="s">
        <v>94</v>
      </c>
      <c r="G676" t="s">
        <v>26</v>
      </c>
      <c r="H676" t="s">
        <v>27</v>
      </c>
      <c r="I676" t="s">
        <v>28</v>
      </c>
      <c r="J676" t="s">
        <v>29</v>
      </c>
      <c r="K676" t="s">
        <v>30</v>
      </c>
      <c r="L676" t="s">
        <v>29</v>
      </c>
      <c r="M676" t="s">
        <v>30</v>
      </c>
      <c r="N676" t="s">
        <v>27</v>
      </c>
      <c r="O676" t="s">
        <v>28</v>
      </c>
      <c r="P676" t="s">
        <v>29</v>
      </c>
      <c r="Q676" t="s">
        <v>30</v>
      </c>
      <c r="R676" s="1">
        <v>44245.388935185183</v>
      </c>
      <c r="S676" s="1">
        <v>44245.388935185183</v>
      </c>
      <c r="T676">
        <v>0</v>
      </c>
      <c r="U676">
        <v>0</v>
      </c>
      <c r="V676" s="2">
        <v>0</v>
      </c>
      <c r="W676">
        <v>0</v>
      </c>
      <c r="X676" t="s">
        <v>37</v>
      </c>
      <c r="Y676">
        <v>0</v>
      </c>
      <c r="Z676" t="s">
        <v>37</v>
      </c>
      <c r="AA676">
        <v>0</v>
      </c>
      <c r="AB676" t="s">
        <v>37</v>
      </c>
      <c r="AC676">
        <v>0</v>
      </c>
      <c r="AD676" t="s">
        <v>31</v>
      </c>
      <c r="AE676">
        <v>0</v>
      </c>
      <c r="AF676" t="s">
        <v>31</v>
      </c>
      <c r="AG676">
        <v>0</v>
      </c>
      <c r="AH676" t="s">
        <v>31</v>
      </c>
      <c r="AI676">
        <v>0</v>
      </c>
      <c r="AJ676" t="s">
        <v>31</v>
      </c>
      <c r="AK676">
        <v>0</v>
      </c>
      <c r="AL676" t="s">
        <v>31</v>
      </c>
      <c r="AM676">
        <v>0</v>
      </c>
      <c r="AN676" t="s">
        <v>31</v>
      </c>
      <c r="AO676">
        <v>0</v>
      </c>
      <c r="AP676" t="s">
        <v>31</v>
      </c>
      <c r="AQ676">
        <v>0</v>
      </c>
    </row>
    <row r="677" spans="1:43" x14ac:dyDescent="0.2">
      <c r="A677" t="s">
        <v>381</v>
      </c>
      <c r="B677" s="3">
        <v>44246</v>
      </c>
      <c r="C677">
        <v>14</v>
      </c>
      <c r="D677" t="s">
        <v>384</v>
      </c>
      <c r="E677" t="s">
        <v>93</v>
      </c>
      <c r="F677" s="9" t="s">
        <v>94</v>
      </c>
      <c r="G677" t="s">
        <v>26</v>
      </c>
      <c r="H677" t="s">
        <v>27</v>
      </c>
      <c r="I677" t="s">
        <v>28</v>
      </c>
      <c r="J677" t="s">
        <v>29</v>
      </c>
      <c r="K677" t="s">
        <v>30</v>
      </c>
      <c r="L677" t="s">
        <v>29</v>
      </c>
      <c r="M677" t="s">
        <v>30</v>
      </c>
      <c r="N677" t="s">
        <v>27</v>
      </c>
      <c r="O677" t="s">
        <v>28</v>
      </c>
      <c r="P677" t="s">
        <v>29</v>
      </c>
      <c r="Q677" t="s">
        <v>30</v>
      </c>
      <c r="R677" s="1">
        <v>44246.4684375</v>
      </c>
      <c r="S677" s="1">
        <v>44246.46875</v>
      </c>
      <c r="T677">
        <v>0</v>
      </c>
      <c r="U677">
        <v>0</v>
      </c>
      <c r="V677" s="2">
        <v>0</v>
      </c>
      <c r="W677">
        <v>0</v>
      </c>
      <c r="X677" t="s">
        <v>37</v>
      </c>
      <c r="Y677">
        <v>0</v>
      </c>
      <c r="Z677" t="s">
        <v>37</v>
      </c>
      <c r="AA677">
        <v>0</v>
      </c>
      <c r="AB677" t="s">
        <v>37</v>
      </c>
      <c r="AC677">
        <v>0</v>
      </c>
      <c r="AD677" t="s">
        <v>37</v>
      </c>
      <c r="AE677">
        <v>0</v>
      </c>
      <c r="AF677" t="s">
        <v>31</v>
      </c>
      <c r="AG677">
        <v>0</v>
      </c>
      <c r="AH677" t="s">
        <v>31</v>
      </c>
      <c r="AI677">
        <v>0</v>
      </c>
      <c r="AJ677" t="s">
        <v>31</v>
      </c>
      <c r="AK677">
        <v>0</v>
      </c>
      <c r="AL677" t="s">
        <v>31</v>
      </c>
      <c r="AM677">
        <v>0</v>
      </c>
      <c r="AN677" t="s">
        <v>31</v>
      </c>
      <c r="AO677">
        <v>0</v>
      </c>
      <c r="AP677" t="s">
        <v>31</v>
      </c>
      <c r="AQ677">
        <v>0</v>
      </c>
    </row>
    <row r="678" spans="1:43" x14ac:dyDescent="0.2">
      <c r="A678" t="s">
        <v>381</v>
      </c>
      <c r="B678" s="3">
        <v>44250</v>
      </c>
      <c r="C678">
        <v>16</v>
      </c>
      <c r="D678" t="s">
        <v>382</v>
      </c>
      <c r="E678" t="s">
        <v>93</v>
      </c>
      <c r="F678" s="9" t="s">
        <v>94</v>
      </c>
      <c r="G678" t="s">
        <v>26</v>
      </c>
      <c r="H678" t="s">
        <v>27</v>
      </c>
      <c r="I678" t="s">
        <v>28</v>
      </c>
      <c r="J678" t="s">
        <v>29</v>
      </c>
      <c r="K678" t="s">
        <v>30</v>
      </c>
      <c r="L678" t="s">
        <v>29</v>
      </c>
      <c r="M678" t="s">
        <v>30</v>
      </c>
      <c r="N678" t="s">
        <v>27</v>
      </c>
      <c r="O678" t="s">
        <v>28</v>
      </c>
      <c r="P678" t="s">
        <v>29</v>
      </c>
      <c r="Q678" t="s">
        <v>30</v>
      </c>
      <c r="R678" s="1">
        <v>44250.424618055556</v>
      </c>
      <c r="S678" s="1">
        <v>44250.424618055556</v>
      </c>
      <c r="T678">
        <v>0</v>
      </c>
      <c r="U678">
        <v>0</v>
      </c>
      <c r="V678" s="2">
        <v>0</v>
      </c>
      <c r="W678">
        <v>0</v>
      </c>
      <c r="X678" t="s">
        <v>37</v>
      </c>
      <c r="Y678">
        <v>0</v>
      </c>
      <c r="Z678" t="s">
        <v>37</v>
      </c>
      <c r="AA678">
        <v>0</v>
      </c>
      <c r="AB678" t="s">
        <v>37</v>
      </c>
      <c r="AC678">
        <v>0</v>
      </c>
      <c r="AD678" t="s">
        <v>31</v>
      </c>
      <c r="AE678">
        <v>0</v>
      </c>
      <c r="AF678" t="s">
        <v>31</v>
      </c>
      <c r="AG678">
        <v>0</v>
      </c>
      <c r="AH678" t="s">
        <v>31</v>
      </c>
      <c r="AI678">
        <v>0</v>
      </c>
      <c r="AJ678" t="s">
        <v>31</v>
      </c>
      <c r="AK678">
        <v>0</v>
      </c>
      <c r="AL678" t="s">
        <v>31</v>
      </c>
      <c r="AM678">
        <v>0</v>
      </c>
      <c r="AN678" t="s">
        <v>31</v>
      </c>
      <c r="AO678">
        <v>0</v>
      </c>
      <c r="AP678" t="s">
        <v>31</v>
      </c>
      <c r="AQ678">
        <v>0</v>
      </c>
    </row>
    <row r="679" spans="1:43" x14ac:dyDescent="0.2">
      <c r="A679" t="s">
        <v>381</v>
      </c>
      <c r="B679" s="3">
        <v>44251</v>
      </c>
      <c r="C679">
        <v>18</v>
      </c>
      <c r="D679" t="s">
        <v>384</v>
      </c>
      <c r="E679" t="s">
        <v>93</v>
      </c>
      <c r="F679" s="9" t="s">
        <v>94</v>
      </c>
      <c r="G679" t="s">
        <v>26</v>
      </c>
      <c r="H679" t="s">
        <v>27</v>
      </c>
      <c r="I679" t="s">
        <v>28</v>
      </c>
      <c r="J679" t="s">
        <v>29</v>
      </c>
      <c r="K679" t="s">
        <v>30</v>
      </c>
      <c r="L679" t="s">
        <v>29</v>
      </c>
      <c r="M679" t="s">
        <v>30</v>
      </c>
      <c r="N679" t="s">
        <v>27</v>
      </c>
      <c r="O679" t="s">
        <v>28</v>
      </c>
      <c r="P679" t="s">
        <v>29</v>
      </c>
      <c r="Q679" t="s">
        <v>30</v>
      </c>
      <c r="R679" s="1">
        <v>44251.453599537039</v>
      </c>
      <c r="S679" s="1">
        <v>44251.453900462962</v>
      </c>
      <c r="T679">
        <v>0</v>
      </c>
      <c r="U679">
        <v>0</v>
      </c>
      <c r="V679" s="2">
        <v>0</v>
      </c>
      <c r="W679">
        <v>0</v>
      </c>
      <c r="X679" t="s">
        <v>37</v>
      </c>
      <c r="Y679">
        <v>0</v>
      </c>
      <c r="Z679" t="s">
        <v>37</v>
      </c>
      <c r="AA679">
        <v>0</v>
      </c>
      <c r="AB679" t="s">
        <v>37</v>
      </c>
      <c r="AC679">
        <v>0</v>
      </c>
      <c r="AD679" t="s">
        <v>31</v>
      </c>
      <c r="AE679">
        <v>0</v>
      </c>
      <c r="AF679" t="s">
        <v>31</v>
      </c>
      <c r="AG679">
        <v>0</v>
      </c>
      <c r="AH679" t="s">
        <v>31</v>
      </c>
      <c r="AI679">
        <v>0</v>
      </c>
      <c r="AJ679" t="s">
        <v>31</v>
      </c>
      <c r="AK679">
        <v>0</v>
      </c>
      <c r="AL679" t="s">
        <v>31</v>
      </c>
      <c r="AM679">
        <v>0</v>
      </c>
      <c r="AN679" t="s">
        <v>31</v>
      </c>
      <c r="AO679">
        <v>0</v>
      </c>
      <c r="AP679" t="s">
        <v>31</v>
      </c>
      <c r="AQ679">
        <v>0</v>
      </c>
    </row>
    <row r="680" spans="1:43" x14ac:dyDescent="0.2">
      <c r="A680" t="s">
        <v>381</v>
      </c>
      <c r="B680" s="3">
        <v>44252</v>
      </c>
      <c r="C680">
        <v>19</v>
      </c>
      <c r="D680" t="s">
        <v>382</v>
      </c>
      <c r="E680" t="s">
        <v>93</v>
      </c>
      <c r="F680" s="9" t="s">
        <v>94</v>
      </c>
      <c r="G680" t="s">
        <v>26</v>
      </c>
      <c r="H680" t="s">
        <v>27</v>
      </c>
      <c r="I680" t="s">
        <v>28</v>
      </c>
      <c r="J680" t="s">
        <v>29</v>
      </c>
      <c r="K680" t="s">
        <v>30</v>
      </c>
      <c r="L680" t="s">
        <v>29</v>
      </c>
      <c r="M680" t="s">
        <v>30</v>
      </c>
      <c r="N680" t="s">
        <v>27</v>
      </c>
      <c r="O680" t="s">
        <v>28</v>
      </c>
      <c r="P680" t="s">
        <v>29</v>
      </c>
      <c r="Q680" t="s">
        <v>30</v>
      </c>
      <c r="R680" s="1">
        <v>44252.437696759262</v>
      </c>
      <c r="S680" s="1">
        <v>44252.437708333331</v>
      </c>
      <c r="T680">
        <v>0</v>
      </c>
      <c r="U680">
        <v>0</v>
      </c>
      <c r="V680" s="2">
        <v>0</v>
      </c>
      <c r="W680">
        <v>0</v>
      </c>
      <c r="X680" t="s">
        <v>37</v>
      </c>
      <c r="Y680">
        <v>0</v>
      </c>
      <c r="Z680" t="s">
        <v>37</v>
      </c>
      <c r="AA680">
        <v>0</v>
      </c>
      <c r="AB680" t="s">
        <v>37</v>
      </c>
      <c r="AC680">
        <v>0</v>
      </c>
      <c r="AD680" t="s">
        <v>31</v>
      </c>
      <c r="AE680">
        <v>0</v>
      </c>
      <c r="AF680" t="s">
        <v>31</v>
      </c>
      <c r="AG680">
        <v>0</v>
      </c>
      <c r="AH680" t="s">
        <v>31</v>
      </c>
      <c r="AI680">
        <v>0</v>
      </c>
      <c r="AJ680" t="s">
        <v>31</v>
      </c>
      <c r="AK680">
        <v>0</v>
      </c>
      <c r="AL680" t="s">
        <v>31</v>
      </c>
      <c r="AM680">
        <v>0</v>
      </c>
      <c r="AN680" t="s">
        <v>31</v>
      </c>
      <c r="AO680">
        <v>0</v>
      </c>
      <c r="AP680" t="s">
        <v>31</v>
      </c>
      <c r="AQ680">
        <v>0</v>
      </c>
    </row>
    <row r="681" spans="1:43" x14ac:dyDescent="0.2">
      <c r="A681" t="s">
        <v>381</v>
      </c>
      <c r="B681" s="3">
        <v>44253</v>
      </c>
      <c r="C681">
        <v>21</v>
      </c>
      <c r="D681" t="s">
        <v>384</v>
      </c>
      <c r="E681" t="s">
        <v>93</v>
      </c>
      <c r="F681" s="9" t="s">
        <v>94</v>
      </c>
      <c r="G681" t="s">
        <v>26</v>
      </c>
      <c r="H681" t="s">
        <v>27</v>
      </c>
      <c r="I681" t="s">
        <v>28</v>
      </c>
      <c r="J681" t="s">
        <v>29</v>
      </c>
      <c r="K681" t="s">
        <v>30</v>
      </c>
      <c r="L681" t="s">
        <v>29</v>
      </c>
      <c r="M681" t="s">
        <v>30</v>
      </c>
      <c r="N681" t="s">
        <v>27</v>
      </c>
      <c r="O681" t="s">
        <v>28</v>
      </c>
      <c r="P681" t="s">
        <v>29</v>
      </c>
      <c r="Q681" t="s">
        <v>30</v>
      </c>
      <c r="R681" s="1">
        <v>44253.449201388888</v>
      </c>
      <c r="S681" s="1">
        <v>44253.449537037035</v>
      </c>
      <c r="T681">
        <v>0</v>
      </c>
      <c r="U681">
        <v>0</v>
      </c>
      <c r="V681" s="2">
        <v>0</v>
      </c>
      <c r="W681">
        <v>0</v>
      </c>
      <c r="X681" t="s">
        <v>37</v>
      </c>
      <c r="Y681">
        <v>0</v>
      </c>
      <c r="Z681" t="s">
        <v>37</v>
      </c>
      <c r="AA681">
        <v>0</v>
      </c>
      <c r="AB681" t="s">
        <v>37</v>
      </c>
      <c r="AC681">
        <v>0</v>
      </c>
      <c r="AD681" t="s">
        <v>37</v>
      </c>
      <c r="AE681">
        <v>0</v>
      </c>
      <c r="AF681" t="s">
        <v>31</v>
      </c>
      <c r="AG681">
        <v>0</v>
      </c>
      <c r="AH681" t="s">
        <v>31</v>
      </c>
      <c r="AI681">
        <v>0</v>
      </c>
      <c r="AJ681" t="s">
        <v>31</v>
      </c>
      <c r="AK681">
        <v>0</v>
      </c>
      <c r="AL681" t="s">
        <v>31</v>
      </c>
      <c r="AM681">
        <v>0</v>
      </c>
      <c r="AN681" t="s">
        <v>31</v>
      </c>
      <c r="AO681">
        <v>0</v>
      </c>
      <c r="AP681" t="s">
        <v>31</v>
      </c>
      <c r="AQ681">
        <v>0</v>
      </c>
    </row>
    <row r="682" spans="1:43" x14ac:dyDescent="0.2">
      <c r="A682" t="s">
        <v>381</v>
      </c>
      <c r="B682" s="3">
        <v>44256</v>
      </c>
      <c r="C682">
        <v>22</v>
      </c>
      <c r="D682" t="s">
        <v>384</v>
      </c>
      <c r="E682" t="s">
        <v>93</v>
      </c>
      <c r="F682" s="9" t="s">
        <v>94</v>
      </c>
      <c r="G682" t="s">
        <v>26</v>
      </c>
      <c r="H682" t="s">
        <v>27</v>
      </c>
      <c r="I682" t="s">
        <v>28</v>
      </c>
      <c r="J682" t="s">
        <v>29</v>
      </c>
      <c r="K682" t="s">
        <v>30</v>
      </c>
      <c r="L682" t="s">
        <v>29</v>
      </c>
      <c r="M682" t="s">
        <v>30</v>
      </c>
      <c r="N682" t="s">
        <v>27</v>
      </c>
      <c r="O682" t="s">
        <v>28</v>
      </c>
      <c r="P682" t="s">
        <v>29</v>
      </c>
      <c r="Q682" t="s">
        <v>30</v>
      </c>
      <c r="R682" s="1">
        <v>44256.467604166668</v>
      </c>
      <c r="S682" s="1">
        <v>44256.467615740738</v>
      </c>
      <c r="T682">
        <v>0</v>
      </c>
      <c r="U682">
        <v>0</v>
      </c>
      <c r="V682" s="2">
        <v>0</v>
      </c>
      <c r="W682">
        <v>0</v>
      </c>
      <c r="X682" t="s">
        <v>37</v>
      </c>
      <c r="Y682">
        <v>0</v>
      </c>
      <c r="Z682" t="s">
        <v>37</v>
      </c>
      <c r="AA682">
        <v>0</v>
      </c>
      <c r="AB682" t="s">
        <v>37</v>
      </c>
      <c r="AC682">
        <v>0</v>
      </c>
      <c r="AD682" t="s">
        <v>31</v>
      </c>
      <c r="AE682">
        <v>0</v>
      </c>
      <c r="AF682" t="s">
        <v>31</v>
      </c>
      <c r="AG682">
        <v>0</v>
      </c>
      <c r="AH682" t="s">
        <v>31</v>
      </c>
      <c r="AI682">
        <v>0</v>
      </c>
      <c r="AJ682" t="s">
        <v>31</v>
      </c>
      <c r="AK682">
        <v>0</v>
      </c>
      <c r="AL682" t="s">
        <v>31</v>
      </c>
      <c r="AM682">
        <v>0</v>
      </c>
      <c r="AN682" t="s">
        <v>31</v>
      </c>
      <c r="AO682">
        <v>0</v>
      </c>
      <c r="AP682" t="s">
        <v>31</v>
      </c>
      <c r="AQ682">
        <v>0</v>
      </c>
    </row>
    <row r="683" spans="1:43" x14ac:dyDescent="0.2">
      <c r="A683" t="s">
        <v>381</v>
      </c>
      <c r="B683" s="3">
        <v>44257</v>
      </c>
      <c r="C683">
        <v>23</v>
      </c>
      <c r="D683" t="s">
        <v>382</v>
      </c>
      <c r="E683" t="s">
        <v>93</v>
      </c>
      <c r="F683" s="9" t="s">
        <v>94</v>
      </c>
      <c r="G683" t="s">
        <v>26</v>
      </c>
      <c r="H683" t="s">
        <v>27</v>
      </c>
      <c r="I683" t="s">
        <v>28</v>
      </c>
      <c r="J683" t="s">
        <v>29</v>
      </c>
      <c r="K683" t="s">
        <v>30</v>
      </c>
      <c r="L683" t="s">
        <v>29</v>
      </c>
      <c r="M683" t="s">
        <v>30</v>
      </c>
      <c r="N683" t="s">
        <v>27</v>
      </c>
      <c r="O683" t="s">
        <v>28</v>
      </c>
      <c r="P683" t="s">
        <v>29</v>
      </c>
      <c r="Q683" t="s">
        <v>30</v>
      </c>
      <c r="R683" s="1">
        <v>44257.459768518522</v>
      </c>
      <c r="S683" s="1">
        <v>44257.459953703707</v>
      </c>
      <c r="T683">
        <v>1</v>
      </c>
      <c r="U683">
        <v>1</v>
      </c>
      <c r="V683" s="2">
        <v>1</v>
      </c>
      <c r="W683">
        <v>0</v>
      </c>
      <c r="X683" t="s">
        <v>30</v>
      </c>
      <c r="Y683">
        <v>0</v>
      </c>
      <c r="Z683" t="s">
        <v>31</v>
      </c>
      <c r="AA683">
        <v>0</v>
      </c>
      <c r="AB683" t="s">
        <v>31</v>
      </c>
      <c r="AC683">
        <v>0</v>
      </c>
      <c r="AD683" t="s">
        <v>31</v>
      </c>
      <c r="AE683">
        <v>0</v>
      </c>
      <c r="AF683" t="s">
        <v>31</v>
      </c>
      <c r="AG683">
        <v>0</v>
      </c>
      <c r="AH683" t="s">
        <v>31</v>
      </c>
      <c r="AI683">
        <v>0</v>
      </c>
      <c r="AJ683" t="s">
        <v>31</v>
      </c>
      <c r="AK683">
        <v>0</v>
      </c>
      <c r="AL683" t="s">
        <v>31</v>
      </c>
      <c r="AM683">
        <v>0</v>
      </c>
      <c r="AN683" t="s">
        <v>31</v>
      </c>
      <c r="AO683">
        <v>0</v>
      </c>
      <c r="AP683" t="s">
        <v>31</v>
      </c>
      <c r="AQ683">
        <v>0</v>
      </c>
    </row>
    <row r="684" spans="1:43" x14ac:dyDescent="0.2">
      <c r="A684" t="s">
        <v>381</v>
      </c>
      <c r="B684" s="3">
        <v>44258</v>
      </c>
      <c r="C684">
        <v>25</v>
      </c>
      <c r="D684" t="s">
        <v>384</v>
      </c>
      <c r="E684" t="s">
        <v>93</v>
      </c>
      <c r="F684" s="9" t="s">
        <v>94</v>
      </c>
      <c r="G684" t="s">
        <v>26</v>
      </c>
      <c r="H684" t="s">
        <v>27</v>
      </c>
      <c r="I684" t="s">
        <v>28</v>
      </c>
      <c r="J684" t="s">
        <v>29</v>
      </c>
      <c r="K684" t="s">
        <v>30</v>
      </c>
      <c r="L684" t="s">
        <v>29</v>
      </c>
      <c r="M684" t="s">
        <v>30</v>
      </c>
      <c r="N684" t="s">
        <v>27</v>
      </c>
      <c r="O684" t="s">
        <v>28</v>
      </c>
      <c r="P684" t="s">
        <v>29</v>
      </c>
      <c r="Q684" t="s">
        <v>30</v>
      </c>
      <c r="R684" s="1">
        <v>44258.453692129631</v>
      </c>
      <c r="S684" s="1">
        <v>44258.453900462962</v>
      </c>
      <c r="T684">
        <v>0</v>
      </c>
      <c r="U684">
        <v>0</v>
      </c>
      <c r="V684" s="2">
        <v>0</v>
      </c>
      <c r="W684">
        <v>0</v>
      </c>
      <c r="X684" t="s">
        <v>37</v>
      </c>
      <c r="Y684">
        <v>0</v>
      </c>
      <c r="Z684" t="s">
        <v>37</v>
      </c>
      <c r="AA684">
        <v>0</v>
      </c>
      <c r="AB684" t="s">
        <v>37</v>
      </c>
      <c r="AC684">
        <v>0</v>
      </c>
      <c r="AD684" t="s">
        <v>37</v>
      </c>
      <c r="AE684">
        <v>0</v>
      </c>
      <c r="AF684" t="s">
        <v>31</v>
      </c>
      <c r="AG684">
        <v>0</v>
      </c>
      <c r="AH684" t="s">
        <v>31</v>
      </c>
      <c r="AI684">
        <v>0</v>
      </c>
      <c r="AJ684" t="s">
        <v>31</v>
      </c>
      <c r="AK684">
        <v>0</v>
      </c>
      <c r="AL684" t="s">
        <v>31</v>
      </c>
      <c r="AM684">
        <v>0</v>
      </c>
      <c r="AN684" t="s">
        <v>31</v>
      </c>
      <c r="AO684">
        <v>0</v>
      </c>
      <c r="AP684" t="s">
        <v>31</v>
      </c>
      <c r="AQ684">
        <v>0</v>
      </c>
    </row>
    <row r="685" spans="1:43" x14ac:dyDescent="0.2">
      <c r="A685" t="s">
        <v>381</v>
      </c>
      <c r="B685" s="3">
        <v>44259</v>
      </c>
      <c r="C685">
        <v>26</v>
      </c>
      <c r="D685" t="s">
        <v>382</v>
      </c>
      <c r="E685" t="s">
        <v>93</v>
      </c>
      <c r="F685" s="9" t="s">
        <v>94</v>
      </c>
      <c r="G685" t="s">
        <v>26</v>
      </c>
      <c r="H685" t="s">
        <v>27</v>
      </c>
      <c r="I685" t="s">
        <v>28</v>
      </c>
      <c r="J685" t="s">
        <v>29</v>
      </c>
      <c r="K685" t="s">
        <v>30</v>
      </c>
      <c r="L685" t="s">
        <v>29</v>
      </c>
      <c r="M685" t="s">
        <v>30</v>
      </c>
      <c r="N685" t="s">
        <v>41</v>
      </c>
      <c r="O685" t="s">
        <v>42</v>
      </c>
      <c r="P685" t="s">
        <v>43</v>
      </c>
      <c r="Q685" t="s">
        <v>44</v>
      </c>
      <c r="R685" s="1">
        <v>44259.434282407405</v>
      </c>
      <c r="S685" s="1">
        <v>44259.434467592589</v>
      </c>
      <c r="T685">
        <v>1</v>
      </c>
      <c r="U685">
        <v>1</v>
      </c>
      <c r="V685" s="2">
        <v>1</v>
      </c>
      <c r="W685">
        <v>0</v>
      </c>
      <c r="X685" t="s">
        <v>37</v>
      </c>
      <c r="Y685">
        <v>0</v>
      </c>
      <c r="Z685" t="s">
        <v>30</v>
      </c>
      <c r="AA685">
        <v>0</v>
      </c>
      <c r="AB685" t="s">
        <v>31</v>
      </c>
      <c r="AC685">
        <v>0</v>
      </c>
      <c r="AD685" t="s">
        <v>31</v>
      </c>
      <c r="AE685">
        <v>0</v>
      </c>
      <c r="AF685" t="s">
        <v>31</v>
      </c>
      <c r="AG685">
        <v>0</v>
      </c>
      <c r="AH685" t="s">
        <v>31</v>
      </c>
      <c r="AI685">
        <v>0</v>
      </c>
      <c r="AJ685" t="s">
        <v>31</v>
      </c>
      <c r="AK685">
        <v>0</v>
      </c>
      <c r="AL685" t="s">
        <v>31</v>
      </c>
      <c r="AM685">
        <v>0</v>
      </c>
      <c r="AN685" t="s">
        <v>31</v>
      </c>
      <c r="AO685">
        <v>0</v>
      </c>
      <c r="AP685" t="s">
        <v>31</v>
      </c>
      <c r="AQ685">
        <v>0</v>
      </c>
    </row>
    <row r="686" spans="1:43" x14ac:dyDescent="0.2">
      <c r="A686" t="s">
        <v>381</v>
      </c>
      <c r="B686" s="3">
        <v>44263</v>
      </c>
      <c r="C686">
        <v>29</v>
      </c>
      <c r="D686" t="s">
        <v>384</v>
      </c>
      <c r="E686" t="s">
        <v>93</v>
      </c>
      <c r="F686" s="9" t="s">
        <v>94</v>
      </c>
      <c r="G686" t="s">
        <v>26</v>
      </c>
      <c r="H686" t="s">
        <v>41</v>
      </c>
      <c r="I686" t="s">
        <v>42</v>
      </c>
      <c r="J686" t="s">
        <v>43</v>
      </c>
      <c r="K686" t="s">
        <v>44</v>
      </c>
      <c r="L686" t="s">
        <v>29</v>
      </c>
      <c r="M686" t="s">
        <v>30</v>
      </c>
      <c r="N686" t="s">
        <v>41</v>
      </c>
      <c r="O686" t="s">
        <v>42</v>
      </c>
      <c r="P686" t="s">
        <v>43</v>
      </c>
      <c r="Q686" t="s">
        <v>44</v>
      </c>
      <c r="R686" s="1">
        <v>44263.453402777777</v>
      </c>
      <c r="S686" s="1">
        <v>44263.453715277778</v>
      </c>
      <c r="T686">
        <v>1</v>
      </c>
      <c r="U686">
        <v>2</v>
      </c>
      <c r="V686" s="2">
        <v>0.5</v>
      </c>
      <c r="W686">
        <v>0</v>
      </c>
      <c r="X686" t="s">
        <v>44</v>
      </c>
      <c r="Y686">
        <v>0</v>
      </c>
      <c r="Z686" t="s">
        <v>30</v>
      </c>
      <c r="AA686">
        <v>0</v>
      </c>
      <c r="AB686" t="s">
        <v>31</v>
      </c>
      <c r="AC686">
        <v>0</v>
      </c>
      <c r="AD686" t="s">
        <v>31</v>
      </c>
      <c r="AE686">
        <v>0</v>
      </c>
      <c r="AF686" t="s">
        <v>31</v>
      </c>
      <c r="AG686">
        <v>0</v>
      </c>
      <c r="AH686" t="s">
        <v>31</v>
      </c>
      <c r="AI686">
        <v>0</v>
      </c>
      <c r="AJ686" t="s">
        <v>31</v>
      </c>
      <c r="AK686">
        <v>0</v>
      </c>
      <c r="AL686" t="s">
        <v>31</v>
      </c>
      <c r="AM686">
        <v>0</v>
      </c>
      <c r="AN686" t="s">
        <v>31</v>
      </c>
      <c r="AO686">
        <v>0</v>
      </c>
      <c r="AP686" t="s">
        <v>31</v>
      </c>
      <c r="AQ686">
        <v>0</v>
      </c>
    </row>
    <row r="687" spans="1:43" x14ac:dyDescent="0.2">
      <c r="A687" t="s">
        <v>381</v>
      </c>
      <c r="B687" s="3">
        <v>44264</v>
      </c>
      <c r="C687">
        <v>30</v>
      </c>
      <c r="D687" t="s">
        <v>382</v>
      </c>
      <c r="E687" t="s">
        <v>93</v>
      </c>
      <c r="F687" s="9" t="s">
        <v>94</v>
      </c>
      <c r="G687" t="s">
        <v>26</v>
      </c>
      <c r="H687" t="s">
        <v>41</v>
      </c>
      <c r="I687" t="s">
        <v>42</v>
      </c>
      <c r="J687" t="s">
        <v>43</v>
      </c>
      <c r="K687" t="s">
        <v>44</v>
      </c>
      <c r="L687" t="s">
        <v>29</v>
      </c>
      <c r="M687" t="s">
        <v>30</v>
      </c>
      <c r="N687" t="s">
        <v>34</v>
      </c>
      <c r="O687" t="s">
        <v>35</v>
      </c>
      <c r="P687" t="s">
        <v>29</v>
      </c>
      <c r="Q687" t="s">
        <v>30</v>
      </c>
      <c r="R687" s="1">
        <v>44264.434872685182</v>
      </c>
      <c r="S687" s="1">
        <v>44264.436666666668</v>
      </c>
      <c r="T687">
        <v>0</v>
      </c>
      <c r="U687">
        <v>5</v>
      </c>
      <c r="V687" s="2">
        <v>0</v>
      </c>
      <c r="W687">
        <v>0</v>
      </c>
      <c r="X687" t="s">
        <v>44</v>
      </c>
      <c r="Y687">
        <v>0</v>
      </c>
      <c r="Z687" t="s">
        <v>44</v>
      </c>
      <c r="AA687">
        <v>0</v>
      </c>
      <c r="AB687" t="s">
        <v>81</v>
      </c>
      <c r="AC687">
        <v>0</v>
      </c>
      <c r="AD687" t="s">
        <v>45</v>
      </c>
      <c r="AE687">
        <v>0</v>
      </c>
      <c r="AF687" t="s">
        <v>47</v>
      </c>
      <c r="AG687">
        <v>0</v>
      </c>
      <c r="AH687" t="s">
        <v>31</v>
      </c>
      <c r="AI687">
        <v>0</v>
      </c>
      <c r="AJ687" t="s">
        <v>31</v>
      </c>
      <c r="AK687">
        <v>0</v>
      </c>
      <c r="AL687" t="s">
        <v>31</v>
      </c>
      <c r="AM687">
        <v>0</v>
      </c>
      <c r="AN687" t="s">
        <v>31</v>
      </c>
      <c r="AO687">
        <v>0</v>
      </c>
      <c r="AP687" t="s">
        <v>31</v>
      </c>
      <c r="AQ687">
        <v>0</v>
      </c>
    </row>
    <row r="688" spans="1:43" x14ac:dyDescent="0.2">
      <c r="A688" t="s">
        <v>381</v>
      </c>
      <c r="B688" s="3">
        <v>44270</v>
      </c>
      <c r="C688">
        <v>35</v>
      </c>
      <c r="D688" t="s">
        <v>384</v>
      </c>
      <c r="E688" t="s">
        <v>93</v>
      </c>
      <c r="F688" s="9" t="s">
        <v>94</v>
      </c>
      <c r="G688" t="s">
        <v>26</v>
      </c>
      <c r="H688" t="s">
        <v>34</v>
      </c>
      <c r="I688" t="s">
        <v>35</v>
      </c>
      <c r="J688" t="s">
        <v>29</v>
      </c>
      <c r="K688" t="s">
        <v>30</v>
      </c>
      <c r="L688" t="s">
        <v>29</v>
      </c>
      <c r="M688" t="s">
        <v>30</v>
      </c>
      <c r="N688" t="s">
        <v>34</v>
      </c>
      <c r="O688" t="s">
        <v>35</v>
      </c>
      <c r="P688" t="s">
        <v>29</v>
      </c>
      <c r="Q688" t="s">
        <v>30</v>
      </c>
      <c r="R688" s="1">
        <v>44270.469328703701</v>
      </c>
      <c r="S688" s="1">
        <v>44270.470451388886</v>
      </c>
      <c r="T688">
        <v>0</v>
      </c>
      <c r="U688">
        <v>5</v>
      </c>
      <c r="V688" s="2">
        <v>0</v>
      </c>
      <c r="W688">
        <v>0</v>
      </c>
      <c r="X688" t="s">
        <v>44</v>
      </c>
      <c r="Y688">
        <v>0</v>
      </c>
      <c r="Z688" t="s">
        <v>44</v>
      </c>
      <c r="AA688">
        <v>0</v>
      </c>
      <c r="AB688" t="s">
        <v>45</v>
      </c>
      <c r="AC688">
        <v>0</v>
      </c>
      <c r="AD688" t="s">
        <v>113</v>
      </c>
      <c r="AE688">
        <v>0</v>
      </c>
      <c r="AF688" t="s">
        <v>47</v>
      </c>
      <c r="AG688">
        <v>0</v>
      </c>
      <c r="AH688" t="s">
        <v>31</v>
      </c>
      <c r="AI688">
        <v>0</v>
      </c>
      <c r="AJ688" t="s">
        <v>31</v>
      </c>
      <c r="AK688">
        <v>0</v>
      </c>
      <c r="AL688" t="s">
        <v>31</v>
      </c>
      <c r="AM688">
        <v>0</v>
      </c>
      <c r="AN688" t="s">
        <v>31</v>
      </c>
      <c r="AO688">
        <v>0</v>
      </c>
      <c r="AP688" t="s">
        <v>31</v>
      </c>
      <c r="AQ688">
        <v>0</v>
      </c>
    </row>
    <row r="689" spans="1:43" x14ac:dyDescent="0.2">
      <c r="A689" t="s">
        <v>381</v>
      </c>
      <c r="B689" s="3">
        <v>44271</v>
      </c>
      <c r="C689">
        <v>37</v>
      </c>
      <c r="D689" t="s">
        <v>385</v>
      </c>
      <c r="E689" t="s">
        <v>93</v>
      </c>
      <c r="F689" s="9" t="s">
        <v>94</v>
      </c>
      <c r="G689" t="s">
        <v>26</v>
      </c>
      <c r="H689" t="s">
        <v>34</v>
      </c>
      <c r="I689" t="s">
        <v>35</v>
      </c>
      <c r="J689" t="s">
        <v>29</v>
      </c>
      <c r="K689" t="s">
        <v>30</v>
      </c>
      <c r="L689" t="s">
        <v>29</v>
      </c>
      <c r="M689" t="s">
        <v>30</v>
      </c>
      <c r="N689" t="s">
        <v>34</v>
      </c>
      <c r="O689" t="s">
        <v>35</v>
      </c>
      <c r="P689" t="s">
        <v>29</v>
      </c>
      <c r="Q689" t="s">
        <v>30</v>
      </c>
      <c r="R689" s="1">
        <v>44271.557581018518</v>
      </c>
      <c r="S689" s="1">
        <v>44271.559293981481</v>
      </c>
      <c r="T689">
        <v>0</v>
      </c>
      <c r="U689">
        <v>5</v>
      </c>
      <c r="V689" s="2">
        <v>0</v>
      </c>
      <c r="W689">
        <v>0</v>
      </c>
      <c r="X689" t="s">
        <v>37</v>
      </c>
      <c r="Y689">
        <v>0</v>
      </c>
      <c r="Z689" t="s">
        <v>37</v>
      </c>
      <c r="AA689">
        <v>0</v>
      </c>
      <c r="AB689" t="s">
        <v>44</v>
      </c>
      <c r="AC689">
        <v>0</v>
      </c>
      <c r="AD689" t="s">
        <v>44</v>
      </c>
      <c r="AE689">
        <v>0</v>
      </c>
      <c r="AF689" t="s">
        <v>45</v>
      </c>
      <c r="AG689">
        <v>0</v>
      </c>
      <c r="AH689" t="s">
        <v>113</v>
      </c>
      <c r="AI689">
        <v>0</v>
      </c>
      <c r="AJ689" t="s">
        <v>47</v>
      </c>
      <c r="AK689">
        <v>0</v>
      </c>
      <c r="AL689" t="s">
        <v>31</v>
      </c>
      <c r="AM689">
        <v>0</v>
      </c>
      <c r="AN689" t="s">
        <v>31</v>
      </c>
      <c r="AO689">
        <v>0</v>
      </c>
      <c r="AP689" t="s">
        <v>31</v>
      </c>
      <c r="AQ689">
        <v>0</v>
      </c>
    </row>
    <row r="690" spans="1:43" x14ac:dyDescent="0.2">
      <c r="A690" t="s">
        <v>381</v>
      </c>
      <c r="B690" s="3">
        <v>44273</v>
      </c>
      <c r="C690">
        <v>40</v>
      </c>
      <c r="D690" t="s">
        <v>385</v>
      </c>
      <c r="E690" t="s">
        <v>93</v>
      </c>
      <c r="F690" s="9" t="s">
        <v>94</v>
      </c>
      <c r="G690" t="s">
        <v>26</v>
      </c>
      <c r="H690" t="s">
        <v>34</v>
      </c>
      <c r="I690" t="s">
        <v>35</v>
      </c>
      <c r="J690" t="s">
        <v>29</v>
      </c>
      <c r="K690" t="s">
        <v>30</v>
      </c>
      <c r="L690" t="s">
        <v>29</v>
      </c>
      <c r="M690" t="s">
        <v>30</v>
      </c>
      <c r="N690" t="s">
        <v>34</v>
      </c>
      <c r="O690" t="s">
        <v>35</v>
      </c>
      <c r="P690" t="s">
        <v>29</v>
      </c>
      <c r="Q690" t="s">
        <v>30</v>
      </c>
      <c r="R690" s="1">
        <v>44273.631782407407</v>
      </c>
      <c r="S690" s="1">
        <v>44273.633831018517</v>
      </c>
      <c r="T690">
        <v>0</v>
      </c>
      <c r="U690">
        <v>5</v>
      </c>
      <c r="V690" s="2">
        <v>0</v>
      </c>
      <c r="W690">
        <v>0</v>
      </c>
      <c r="X690" t="s">
        <v>37</v>
      </c>
      <c r="Y690">
        <v>0</v>
      </c>
      <c r="Z690" t="s">
        <v>37</v>
      </c>
      <c r="AA690">
        <v>0</v>
      </c>
      <c r="AB690" t="s">
        <v>44</v>
      </c>
      <c r="AC690">
        <v>0</v>
      </c>
      <c r="AD690" t="s">
        <v>44</v>
      </c>
      <c r="AE690">
        <v>0</v>
      </c>
      <c r="AF690" t="s">
        <v>45</v>
      </c>
      <c r="AG690">
        <v>0</v>
      </c>
      <c r="AH690" t="s">
        <v>113</v>
      </c>
      <c r="AI690">
        <v>0</v>
      </c>
      <c r="AJ690" t="s">
        <v>47</v>
      </c>
      <c r="AK690">
        <v>0</v>
      </c>
      <c r="AL690" t="s">
        <v>31</v>
      </c>
      <c r="AM690">
        <v>0</v>
      </c>
      <c r="AN690" t="s">
        <v>31</v>
      </c>
      <c r="AO690">
        <v>0</v>
      </c>
      <c r="AP690" t="s">
        <v>31</v>
      </c>
      <c r="AQ690">
        <v>0</v>
      </c>
    </row>
    <row r="691" spans="1:43" x14ac:dyDescent="0.2">
      <c r="A691" t="s">
        <v>381</v>
      </c>
      <c r="B691" s="3">
        <v>44284</v>
      </c>
      <c r="C691">
        <v>43</v>
      </c>
      <c r="D691" t="s">
        <v>384</v>
      </c>
      <c r="E691" t="s">
        <v>93</v>
      </c>
      <c r="F691" s="9" t="s">
        <v>94</v>
      </c>
      <c r="G691" t="s">
        <v>26</v>
      </c>
      <c r="H691" t="s">
        <v>34</v>
      </c>
      <c r="I691" t="s">
        <v>35</v>
      </c>
      <c r="J691" t="s">
        <v>29</v>
      </c>
      <c r="K691" t="s">
        <v>30</v>
      </c>
      <c r="L691" t="s">
        <v>29</v>
      </c>
      <c r="M691" t="s">
        <v>30</v>
      </c>
      <c r="N691" t="s">
        <v>34</v>
      </c>
      <c r="O691" t="s">
        <v>35</v>
      </c>
      <c r="P691" t="s">
        <v>29</v>
      </c>
      <c r="Q691" t="s">
        <v>30</v>
      </c>
      <c r="R691" s="1">
        <v>44284.382997685185</v>
      </c>
      <c r="S691" s="1">
        <v>44284.383449074077</v>
      </c>
      <c r="T691">
        <v>0</v>
      </c>
      <c r="U691">
        <v>0</v>
      </c>
      <c r="V691" s="2">
        <v>0</v>
      </c>
      <c r="W691">
        <v>0</v>
      </c>
      <c r="X691" t="s">
        <v>37</v>
      </c>
      <c r="Y691">
        <v>0</v>
      </c>
      <c r="Z691" t="s">
        <v>37</v>
      </c>
      <c r="AA691">
        <v>0</v>
      </c>
      <c r="AB691" t="s">
        <v>37</v>
      </c>
      <c r="AC691">
        <v>0</v>
      </c>
      <c r="AD691" t="s">
        <v>31</v>
      </c>
      <c r="AE691">
        <v>0</v>
      </c>
      <c r="AF691" t="s">
        <v>31</v>
      </c>
      <c r="AG691">
        <v>0</v>
      </c>
      <c r="AH691" t="s">
        <v>31</v>
      </c>
      <c r="AI691">
        <v>0</v>
      </c>
      <c r="AJ691" t="s">
        <v>31</v>
      </c>
      <c r="AK691">
        <v>0</v>
      </c>
      <c r="AL691" t="s">
        <v>31</v>
      </c>
      <c r="AM691">
        <v>0</v>
      </c>
      <c r="AN691" t="s">
        <v>31</v>
      </c>
      <c r="AO691">
        <v>0</v>
      </c>
      <c r="AP691" t="s">
        <v>31</v>
      </c>
      <c r="AQ691">
        <v>0</v>
      </c>
    </row>
    <row r="692" spans="1:43" x14ac:dyDescent="0.2">
      <c r="A692" t="s">
        <v>381</v>
      </c>
      <c r="B692" s="3">
        <v>44285</v>
      </c>
      <c r="C692">
        <v>44</v>
      </c>
      <c r="D692" t="s">
        <v>385</v>
      </c>
      <c r="E692" t="s">
        <v>93</v>
      </c>
      <c r="F692" s="9" t="s">
        <v>94</v>
      </c>
      <c r="G692" t="s">
        <v>26</v>
      </c>
      <c r="H692" t="s">
        <v>34</v>
      </c>
      <c r="I692" t="s">
        <v>35</v>
      </c>
      <c r="J692" t="s">
        <v>29</v>
      </c>
      <c r="K692" t="s">
        <v>30</v>
      </c>
      <c r="L692" t="s">
        <v>29</v>
      </c>
      <c r="M692" t="s">
        <v>30</v>
      </c>
      <c r="N692" t="s">
        <v>34</v>
      </c>
      <c r="O692" t="s">
        <v>35</v>
      </c>
      <c r="P692" t="s">
        <v>29</v>
      </c>
      <c r="Q692" t="s">
        <v>30</v>
      </c>
      <c r="R692" s="1">
        <v>44285.46702546296</v>
      </c>
      <c r="S692" s="1">
        <v>44285.467650462961</v>
      </c>
      <c r="T692">
        <v>0</v>
      </c>
      <c r="U692">
        <v>1</v>
      </c>
      <c r="V692" s="2">
        <v>0</v>
      </c>
      <c r="W692">
        <v>0</v>
      </c>
      <c r="X692" t="s">
        <v>44</v>
      </c>
      <c r="Y692">
        <v>0</v>
      </c>
      <c r="Z692" t="s">
        <v>37</v>
      </c>
      <c r="AA692">
        <v>0</v>
      </c>
      <c r="AB692" t="s">
        <v>37</v>
      </c>
      <c r="AC692">
        <v>0</v>
      </c>
      <c r="AD692" t="s">
        <v>31</v>
      </c>
      <c r="AE692">
        <v>0</v>
      </c>
      <c r="AF692" t="s">
        <v>31</v>
      </c>
      <c r="AG692">
        <v>0</v>
      </c>
      <c r="AH692" t="s">
        <v>31</v>
      </c>
      <c r="AI692">
        <v>0</v>
      </c>
      <c r="AJ692" t="s">
        <v>31</v>
      </c>
      <c r="AK692">
        <v>0</v>
      </c>
      <c r="AL692" t="s">
        <v>31</v>
      </c>
      <c r="AM692">
        <v>0</v>
      </c>
      <c r="AN692" t="s">
        <v>31</v>
      </c>
      <c r="AO692">
        <v>0</v>
      </c>
      <c r="AP692" t="s">
        <v>31</v>
      </c>
      <c r="AQ692">
        <v>0</v>
      </c>
    </row>
    <row r="693" spans="1:43" x14ac:dyDescent="0.2">
      <c r="A693" t="s">
        <v>381</v>
      </c>
      <c r="B693" s="3">
        <v>44286</v>
      </c>
      <c r="C693">
        <v>46</v>
      </c>
      <c r="D693" t="s">
        <v>384</v>
      </c>
      <c r="E693" t="s">
        <v>93</v>
      </c>
      <c r="F693" s="9" t="s">
        <v>94</v>
      </c>
      <c r="G693" t="s">
        <v>26</v>
      </c>
      <c r="H693" t="s">
        <v>34</v>
      </c>
      <c r="I693" t="s">
        <v>35</v>
      </c>
      <c r="J693" t="s">
        <v>29</v>
      </c>
      <c r="K693" t="s">
        <v>30</v>
      </c>
      <c r="L693" t="s">
        <v>29</v>
      </c>
      <c r="M693" t="s">
        <v>30</v>
      </c>
      <c r="N693" t="s">
        <v>34</v>
      </c>
      <c r="O693" t="s">
        <v>35</v>
      </c>
      <c r="P693" t="s">
        <v>29</v>
      </c>
      <c r="Q693" t="s">
        <v>30</v>
      </c>
      <c r="R693" s="1">
        <v>44286.384502314817</v>
      </c>
      <c r="S693" s="1">
        <v>44286.386597222219</v>
      </c>
      <c r="T693">
        <v>0</v>
      </c>
      <c r="U693">
        <v>3</v>
      </c>
      <c r="V693" s="2">
        <v>0</v>
      </c>
      <c r="W693">
        <v>0</v>
      </c>
      <c r="X693" t="s">
        <v>44</v>
      </c>
      <c r="Y693">
        <v>0</v>
      </c>
      <c r="Z693" t="s">
        <v>44</v>
      </c>
      <c r="AA693">
        <v>0</v>
      </c>
      <c r="AB693" t="s">
        <v>45</v>
      </c>
      <c r="AC693">
        <v>0</v>
      </c>
      <c r="AD693" t="s">
        <v>37</v>
      </c>
      <c r="AE693">
        <v>0</v>
      </c>
      <c r="AF693" t="s">
        <v>37</v>
      </c>
      <c r="AG693">
        <v>0</v>
      </c>
      <c r="AH693" t="s">
        <v>31</v>
      </c>
      <c r="AI693">
        <v>0</v>
      </c>
      <c r="AJ693" t="s">
        <v>31</v>
      </c>
      <c r="AK693">
        <v>0</v>
      </c>
      <c r="AL693" t="s">
        <v>31</v>
      </c>
      <c r="AM693">
        <v>0</v>
      </c>
      <c r="AN693" t="s">
        <v>31</v>
      </c>
      <c r="AO693">
        <v>0</v>
      </c>
      <c r="AP693" t="s">
        <v>31</v>
      </c>
      <c r="AQ693">
        <v>0</v>
      </c>
    </row>
    <row r="694" spans="1:43" x14ac:dyDescent="0.2">
      <c r="A694" t="s">
        <v>381</v>
      </c>
      <c r="B694" s="3">
        <v>44287</v>
      </c>
      <c r="C694">
        <v>47</v>
      </c>
      <c r="D694" t="s">
        <v>385</v>
      </c>
      <c r="E694" t="s">
        <v>93</v>
      </c>
      <c r="F694" s="9" t="s">
        <v>94</v>
      </c>
      <c r="G694" t="s">
        <v>26</v>
      </c>
      <c r="H694" t="s">
        <v>34</v>
      </c>
      <c r="I694" t="s">
        <v>35</v>
      </c>
      <c r="J694" t="s">
        <v>29</v>
      </c>
      <c r="K694" t="s">
        <v>30</v>
      </c>
      <c r="L694" t="s">
        <v>29</v>
      </c>
      <c r="M694" t="s">
        <v>30</v>
      </c>
      <c r="N694" t="s">
        <v>34</v>
      </c>
      <c r="O694" t="s">
        <v>35</v>
      </c>
      <c r="P694" t="s">
        <v>29</v>
      </c>
      <c r="Q694" t="s">
        <v>30</v>
      </c>
      <c r="R694" s="1">
        <v>44287.425393518519</v>
      </c>
      <c r="S694" s="1">
        <v>44287.425428240742</v>
      </c>
      <c r="T694">
        <v>0</v>
      </c>
      <c r="U694">
        <v>1</v>
      </c>
      <c r="V694" s="2">
        <v>0</v>
      </c>
      <c r="W694">
        <v>0</v>
      </c>
      <c r="X694" t="s">
        <v>37</v>
      </c>
      <c r="Y694">
        <v>0</v>
      </c>
      <c r="Z694" t="s">
        <v>44</v>
      </c>
      <c r="AA694">
        <v>0</v>
      </c>
      <c r="AB694" t="s">
        <v>37</v>
      </c>
      <c r="AC694">
        <v>0</v>
      </c>
      <c r="AD694" t="s">
        <v>37</v>
      </c>
      <c r="AE694">
        <v>0</v>
      </c>
      <c r="AF694" t="s">
        <v>37</v>
      </c>
      <c r="AG694">
        <v>0</v>
      </c>
      <c r="AH694" t="s">
        <v>31</v>
      </c>
      <c r="AI694">
        <v>0</v>
      </c>
      <c r="AJ694" t="s">
        <v>31</v>
      </c>
      <c r="AK694">
        <v>0</v>
      </c>
      <c r="AL694" t="s">
        <v>31</v>
      </c>
      <c r="AM694">
        <v>0</v>
      </c>
      <c r="AN694" t="s">
        <v>31</v>
      </c>
      <c r="AO694">
        <v>0</v>
      </c>
      <c r="AP694" t="s">
        <v>31</v>
      </c>
      <c r="AQ694">
        <v>0</v>
      </c>
    </row>
    <row r="695" spans="1:43" x14ac:dyDescent="0.2">
      <c r="A695" t="s">
        <v>381</v>
      </c>
      <c r="B695" s="3">
        <v>44291</v>
      </c>
      <c r="C695">
        <v>50</v>
      </c>
      <c r="D695" t="s">
        <v>384</v>
      </c>
      <c r="E695" t="s">
        <v>93</v>
      </c>
      <c r="F695" s="9" t="s">
        <v>94</v>
      </c>
      <c r="G695" t="s">
        <v>26</v>
      </c>
      <c r="H695" t="s">
        <v>34</v>
      </c>
      <c r="I695" t="s">
        <v>35</v>
      </c>
      <c r="J695" t="s">
        <v>29</v>
      </c>
      <c r="K695" t="s">
        <v>30</v>
      </c>
      <c r="L695" t="s">
        <v>29</v>
      </c>
      <c r="M695" t="s">
        <v>30</v>
      </c>
      <c r="N695" t="s">
        <v>34</v>
      </c>
      <c r="O695" t="s">
        <v>35</v>
      </c>
      <c r="P695" t="s">
        <v>29</v>
      </c>
      <c r="Q695" t="s">
        <v>30</v>
      </c>
      <c r="R695" s="1">
        <v>44291.381030092591</v>
      </c>
      <c r="S695" s="1">
        <v>44291.383206018516</v>
      </c>
      <c r="T695">
        <v>0</v>
      </c>
      <c r="U695">
        <v>5</v>
      </c>
      <c r="V695" s="2">
        <v>0</v>
      </c>
      <c r="W695">
        <v>0</v>
      </c>
      <c r="X695" t="s">
        <v>37</v>
      </c>
      <c r="Y695">
        <v>0</v>
      </c>
      <c r="Z695" t="s">
        <v>37</v>
      </c>
      <c r="AA695">
        <v>0</v>
      </c>
      <c r="AB695" t="s">
        <v>44</v>
      </c>
      <c r="AC695">
        <v>0</v>
      </c>
      <c r="AD695" t="s">
        <v>44</v>
      </c>
      <c r="AE695">
        <v>0</v>
      </c>
      <c r="AF695" t="s">
        <v>45</v>
      </c>
      <c r="AG695">
        <v>0</v>
      </c>
      <c r="AH695" t="s">
        <v>113</v>
      </c>
      <c r="AI695">
        <v>0</v>
      </c>
      <c r="AJ695" t="s">
        <v>47</v>
      </c>
      <c r="AK695">
        <v>0</v>
      </c>
      <c r="AL695" t="s">
        <v>31</v>
      </c>
      <c r="AM695">
        <v>0</v>
      </c>
      <c r="AN695" t="s">
        <v>31</v>
      </c>
      <c r="AO695">
        <v>0</v>
      </c>
      <c r="AP695" t="s">
        <v>31</v>
      </c>
      <c r="AQ695">
        <v>0</v>
      </c>
    </row>
    <row r="696" spans="1:43" x14ac:dyDescent="0.2">
      <c r="A696" t="s">
        <v>381</v>
      </c>
      <c r="B696" s="3">
        <v>44292</v>
      </c>
      <c r="C696">
        <v>51</v>
      </c>
      <c r="D696" t="s">
        <v>385</v>
      </c>
      <c r="E696" t="s">
        <v>93</v>
      </c>
      <c r="F696" s="9" t="s">
        <v>94</v>
      </c>
      <c r="G696" t="s">
        <v>26</v>
      </c>
      <c r="H696" t="s">
        <v>34</v>
      </c>
      <c r="I696" t="s">
        <v>35</v>
      </c>
      <c r="J696" t="s">
        <v>29</v>
      </c>
      <c r="K696" t="s">
        <v>30</v>
      </c>
      <c r="L696" t="s">
        <v>29</v>
      </c>
      <c r="M696" t="s">
        <v>30</v>
      </c>
      <c r="N696" t="s">
        <v>34</v>
      </c>
      <c r="O696" t="s">
        <v>35</v>
      </c>
      <c r="P696" t="s">
        <v>29</v>
      </c>
      <c r="Q696" t="s">
        <v>30</v>
      </c>
      <c r="R696" s="1">
        <v>44292.405289351853</v>
      </c>
      <c r="S696" s="1">
        <v>44292.407777777778</v>
      </c>
      <c r="T696">
        <v>0</v>
      </c>
      <c r="U696">
        <v>4</v>
      </c>
      <c r="V696" s="2">
        <v>0</v>
      </c>
      <c r="W696">
        <v>0</v>
      </c>
      <c r="X696" t="s">
        <v>44</v>
      </c>
      <c r="Y696">
        <v>0</v>
      </c>
      <c r="Z696" t="s">
        <v>37</v>
      </c>
      <c r="AA696">
        <v>0</v>
      </c>
      <c r="AB696" t="s">
        <v>37</v>
      </c>
      <c r="AC696">
        <v>0</v>
      </c>
      <c r="AD696" t="s">
        <v>44</v>
      </c>
      <c r="AE696">
        <v>0</v>
      </c>
      <c r="AF696" t="s">
        <v>44</v>
      </c>
      <c r="AG696">
        <v>0</v>
      </c>
      <c r="AH696" t="s">
        <v>45</v>
      </c>
      <c r="AI696">
        <v>0</v>
      </c>
      <c r="AJ696" t="s">
        <v>31</v>
      </c>
      <c r="AK696">
        <v>0</v>
      </c>
      <c r="AL696" t="s">
        <v>31</v>
      </c>
      <c r="AM696">
        <v>0</v>
      </c>
      <c r="AN696" t="s">
        <v>31</v>
      </c>
      <c r="AO696">
        <v>0</v>
      </c>
      <c r="AP696" t="s">
        <v>31</v>
      </c>
      <c r="AQ696">
        <v>0</v>
      </c>
    </row>
    <row r="697" spans="1:43" x14ac:dyDescent="0.2">
      <c r="A697" t="s">
        <v>381</v>
      </c>
      <c r="B697" s="3">
        <v>44293</v>
      </c>
      <c r="C697">
        <v>53</v>
      </c>
      <c r="D697" t="s">
        <v>384</v>
      </c>
      <c r="E697" t="s">
        <v>93</v>
      </c>
      <c r="F697" s="9" t="s">
        <v>94</v>
      </c>
      <c r="G697" t="s">
        <v>26</v>
      </c>
      <c r="H697" t="s">
        <v>34</v>
      </c>
      <c r="I697" t="s">
        <v>35</v>
      </c>
      <c r="J697" t="s">
        <v>29</v>
      </c>
      <c r="K697" t="s">
        <v>30</v>
      </c>
      <c r="L697" t="s">
        <v>29</v>
      </c>
      <c r="M697" t="s">
        <v>30</v>
      </c>
      <c r="N697" t="s">
        <v>34</v>
      </c>
      <c r="O697" t="s">
        <v>35</v>
      </c>
      <c r="P697" t="s">
        <v>29</v>
      </c>
      <c r="Q697" t="s">
        <v>30</v>
      </c>
      <c r="R697" s="1">
        <v>44293.374444444446</v>
      </c>
      <c r="S697" s="1">
        <v>44293.3750462963</v>
      </c>
      <c r="T697">
        <v>0</v>
      </c>
      <c r="U697">
        <v>0</v>
      </c>
      <c r="V697" s="2">
        <v>0</v>
      </c>
      <c r="W697">
        <v>0</v>
      </c>
      <c r="X697" t="s">
        <v>37</v>
      </c>
      <c r="Y697">
        <v>0</v>
      </c>
      <c r="Z697" t="s">
        <v>37</v>
      </c>
      <c r="AA697">
        <v>0</v>
      </c>
      <c r="AB697" t="s">
        <v>37</v>
      </c>
      <c r="AC697">
        <v>0</v>
      </c>
      <c r="AD697" t="s">
        <v>31</v>
      </c>
      <c r="AE697">
        <v>0</v>
      </c>
      <c r="AF697" t="s">
        <v>31</v>
      </c>
      <c r="AG697">
        <v>0</v>
      </c>
      <c r="AH697" t="s">
        <v>31</v>
      </c>
      <c r="AI697">
        <v>0</v>
      </c>
      <c r="AJ697" t="s">
        <v>31</v>
      </c>
      <c r="AK697">
        <v>0</v>
      </c>
      <c r="AL697" t="s">
        <v>31</v>
      </c>
      <c r="AM697">
        <v>0</v>
      </c>
      <c r="AN697" t="s">
        <v>31</v>
      </c>
      <c r="AO697">
        <v>0</v>
      </c>
      <c r="AP697" t="s">
        <v>31</v>
      </c>
      <c r="AQ697">
        <v>0</v>
      </c>
    </row>
    <row r="698" spans="1:43" x14ac:dyDescent="0.2">
      <c r="A698" t="s">
        <v>381</v>
      </c>
      <c r="B698" s="3">
        <v>44294</v>
      </c>
      <c r="C698">
        <v>55</v>
      </c>
      <c r="D698" t="s">
        <v>385</v>
      </c>
      <c r="E698" t="s">
        <v>93</v>
      </c>
      <c r="F698" s="9" t="s">
        <v>94</v>
      </c>
      <c r="G698" t="s">
        <v>26</v>
      </c>
      <c r="H698" t="s">
        <v>34</v>
      </c>
      <c r="I698" t="s">
        <v>35</v>
      </c>
      <c r="J698" t="s">
        <v>29</v>
      </c>
      <c r="K698" t="s">
        <v>30</v>
      </c>
      <c r="L698" t="s">
        <v>29</v>
      </c>
      <c r="M698" t="s">
        <v>30</v>
      </c>
      <c r="N698" t="s">
        <v>34</v>
      </c>
      <c r="O698" t="s">
        <v>35</v>
      </c>
      <c r="P698" t="s">
        <v>29</v>
      </c>
      <c r="Q698" t="s">
        <v>30</v>
      </c>
      <c r="R698" s="1">
        <v>44294.5703125</v>
      </c>
      <c r="S698" s="1">
        <v>44294.571736111109</v>
      </c>
      <c r="T698">
        <v>0</v>
      </c>
      <c r="U698">
        <v>1</v>
      </c>
      <c r="V698" s="2">
        <v>0</v>
      </c>
      <c r="W698">
        <v>0</v>
      </c>
      <c r="X698" t="s">
        <v>37</v>
      </c>
      <c r="Y698">
        <v>0</v>
      </c>
      <c r="Z698" t="s">
        <v>44</v>
      </c>
      <c r="AA698">
        <v>0</v>
      </c>
      <c r="AB698" t="s">
        <v>37</v>
      </c>
      <c r="AC698">
        <v>0</v>
      </c>
      <c r="AD698" t="s">
        <v>37</v>
      </c>
      <c r="AE698">
        <v>0</v>
      </c>
      <c r="AF698" t="s">
        <v>31</v>
      </c>
      <c r="AG698">
        <v>0</v>
      </c>
      <c r="AH698" t="s">
        <v>31</v>
      </c>
      <c r="AI698">
        <v>0</v>
      </c>
      <c r="AJ698" t="s">
        <v>31</v>
      </c>
      <c r="AK698">
        <v>0</v>
      </c>
      <c r="AL698" t="s">
        <v>31</v>
      </c>
      <c r="AM698">
        <v>0</v>
      </c>
      <c r="AN698" t="s">
        <v>31</v>
      </c>
      <c r="AO698">
        <v>0</v>
      </c>
      <c r="AP698" t="s">
        <v>31</v>
      </c>
      <c r="AQ698">
        <v>0</v>
      </c>
    </row>
    <row r="699" spans="1:43" x14ac:dyDescent="0.2">
      <c r="A699" t="s">
        <v>381</v>
      </c>
      <c r="B699" s="3">
        <v>44295</v>
      </c>
      <c r="C699">
        <v>56</v>
      </c>
      <c r="D699" t="s">
        <v>384</v>
      </c>
      <c r="E699" t="s">
        <v>93</v>
      </c>
      <c r="F699" s="9" t="s">
        <v>94</v>
      </c>
      <c r="G699" t="s">
        <v>26</v>
      </c>
      <c r="H699" t="s">
        <v>34</v>
      </c>
      <c r="I699" t="s">
        <v>35</v>
      </c>
      <c r="J699" t="s">
        <v>29</v>
      </c>
      <c r="K699" t="s">
        <v>30</v>
      </c>
      <c r="L699" t="s">
        <v>29</v>
      </c>
      <c r="M699" t="s">
        <v>30</v>
      </c>
      <c r="N699" t="s">
        <v>34</v>
      </c>
      <c r="O699" t="s">
        <v>35</v>
      </c>
      <c r="P699" t="s">
        <v>29</v>
      </c>
      <c r="Q699" t="s">
        <v>30</v>
      </c>
      <c r="R699" s="1">
        <v>44295.379421296297</v>
      </c>
      <c r="S699" s="1">
        <v>44295.381041666667</v>
      </c>
      <c r="T699">
        <v>0</v>
      </c>
      <c r="U699">
        <v>0</v>
      </c>
      <c r="V699" s="2">
        <v>0</v>
      </c>
      <c r="W699">
        <v>0</v>
      </c>
      <c r="X699" t="s">
        <v>37</v>
      </c>
      <c r="Y699">
        <v>0</v>
      </c>
      <c r="Z699" t="s">
        <v>31</v>
      </c>
      <c r="AA699">
        <v>0</v>
      </c>
      <c r="AB699" t="s">
        <v>31</v>
      </c>
      <c r="AC699">
        <v>0</v>
      </c>
      <c r="AD699" t="s">
        <v>31</v>
      </c>
      <c r="AE699">
        <v>0</v>
      </c>
      <c r="AF699" t="s">
        <v>31</v>
      </c>
      <c r="AG699">
        <v>0</v>
      </c>
      <c r="AH699" t="s">
        <v>31</v>
      </c>
      <c r="AI699">
        <v>0</v>
      </c>
      <c r="AJ699" t="s">
        <v>31</v>
      </c>
      <c r="AK699">
        <v>0</v>
      </c>
      <c r="AL699" t="s">
        <v>31</v>
      </c>
      <c r="AM699">
        <v>0</v>
      </c>
      <c r="AN699" t="s">
        <v>31</v>
      </c>
      <c r="AO699">
        <v>0</v>
      </c>
      <c r="AP699" t="s">
        <v>31</v>
      </c>
      <c r="AQ699">
        <v>0</v>
      </c>
    </row>
    <row r="700" spans="1:43" x14ac:dyDescent="0.2">
      <c r="A700" t="s">
        <v>381</v>
      </c>
      <c r="B700" s="3">
        <v>44298</v>
      </c>
      <c r="C700">
        <v>57</v>
      </c>
      <c r="D700" t="s">
        <v>387</v>
      </c>
      <c r="E700" t="s">
        <v>93</v>
      </c>
      <c r="F700" s="9" t="s">
        <v>94</v>
      </c>
      <c r="G700" t="s">
        <v>26</v>
      </c>
      <c r="H700" t="s">
        <v>34</v>
      </c>
      <c r="I700" t="s">
        <v>35</v>
      </c>
      <c r="J700" t="s">
        <v>29</v>
      </c>
      <c r="K700" t="s">
        <v>30</v>
      </c>
      <c r="L700" t="s">
        <v>29</v>
      </c>
      <c r="M700" t="s">
        <v>30</v>
      </c>
      <c r="N700" t="s">
        <v>34</v>
      </c>
      <c r="O700" t="s">
        <v>35</v>
      </c>
      <c r="P700" t="s">
        <v>29</v>
      </c>
      <c r="Q700" t="s">
        <v>30</v>
      </c>
      <c r="R700" s="1">
        <v>44298.589016203703</v>
      </c>
      <c r="S700" s="1">
        <v>44298.59039351852</v>
      </c>
      <c r="T700">
        <v>0</v>
      </c>
      <c r="U700">
        <v>5</v>
      </c>
      <c r="V700" s="2">
        <v>0</v>
      </c>
      <c r="W700">
        <v>0</v>
      </c>
      <c r="X700" t="s">
        <v>37</v>
      </c>
      <c r="Y700">
        <v>0</v>
      </c>
      <c r="Z700" t="s">
        <v>37</v>
      </c>
      <c r="AA700">
        <v>0</v>
      </c>
      <c r="AB700" t="s">
        <v>44</v>
      </c>
      <c r="AC700">
        <v>0</v>
      </c>
      <c r="AD700" t="s">
        <v>44</v>
      </c>
      <c r="AE700">
        <v>0</v>
      </c>
      <c r="AF700" t="s">
        <v>45</v>
      </c>
      <c r="AG700">
        <v>0</v>
      </c>
      <c r="AH700" t="s">
        <v>113</v>
      </c>
      <c r="AI700">
        <v>0</v>
      </c>
      <c r="AJ700" t="s">
        <v>47</v>
      </c>
      <c r="AK700">
        <v>0</v>
      </c>
      <c r="AL700" t="s">
        <v>31</v>
      </c>
      <c r="AM700">
        <v>0</v>
      </c>
      <c r="AN700" t="s">
        <v>31</v>
      </c>
      <c r="AO700">
        <v>0</v>
      </c>
      <c r="AP700" t="s">
        <v>31</v>
      </c>
      <c r="AQ700">
        <v>0</v>
      </c>
    </row>
    <row r="701" spans="1:43" x14ac:dyDescent="0.2">
      <c r="A701" t="s">
        <v>381</v>
      </c>
      <c r="B701" s="3">
        <v>44299</v>
      </c>
      <c r="C701">
        <v>58</v>
      </c>
      <c r="D701" t="s">
        <v>385</v>
      </c>
      <c r="E701" t="s">
        <v>93</v>
      </c>
      <c r="F701" s="9" t="s">
        <v>94</v>
      </c>
      <c r="G701" t="s">
        <v>26</v>
      </c>
      <c r="H701" t="s">
        <v>34</v>
      </c>
      <c r="I701" t="s">
        <v>35</v>
      </c>
      <c r="J701" t="s">
        <v>29</v>
      </c>
      <c r="K701" t="s">
        <v>30</v>
      </c>
      <c r="L701" t="s">
        <v>29</v>
      </c>
      <c r="M701" t="s">
        <v>30</v>
      </c>
      <c r="N701" t="s">
        <v>34</v>
      </c>
      <c r="O701" t="s">
        <v>35</v>
      </c>
      <c r="P701" t="s">
        <v>29</v>
      </c>
      <c r="Q701" t="s">
        <v>30</v>
      </c>
      <c r="R701" s="1">
        <v>44299.420370370368</v>
      </c>
      <c r="S701" s="1">
        <v>44299.422511574077</v>
      </c>
      <c r="T701">
        <v>0</v>
      </c>
      <c r="U701">
        <v>2</v>
      </c>
      <c r="V701" s="2">
        <v>0</v>
      </c>
      <c r="W701">
        <v>0</v>
      </c>
      <c r="X701" t="s">
        <v>44</v>
      </c>
      <c r="Y701">
        <v>0</v>
      </c>
      <c r="Z701" t="s">
        <v>44</v>
      </c>
      <c r="AA701">
        <v>0</v>
      </c>
      <c r="AB701" t="s">
        <v>37</v>
      </c>
      <c r="AC701">
        <v>0</v>
      </c>
      <c r="AD701" t="s">
        <v>31</v>
      </c>
      <c r="AE701">
        <v>0</v>
      </c>
      <c r="AF701" t="s">
        <v>31</v>
      </c>
      <c r="AG701">
        <v>0</v>
      </c>
      <c r="AH701" t="s">
        <v>31</v>
      </c>
      <c r="AI701">
        <v>0</v>
      </c>
      <c r="AJ701" t="s">
        <v>31</v>
      </c>
      <c r="AK701">
        <v>0</v>
      </c>
      <c r="AL701" t="s">
        <v>31</v>
      </c>
      <c r="AM701">
        <v>0</v>
      </c>
      <c r="AN701" t="s">
        <v>31</v>
      </c>
      <c r="AO701">
        <v>0</v>
      </c>
      <c r="AP701" t="s">
        <v>31</v>
      </c>
      <c r="AQ701">
        <v>0</v>
      </c>
    </row>
    <row r="702" spans="1:43" x14ac:dyDescent="0.2">
      <c r="A702" t="s">
        <v>381</v>
      </c>
      <c r="B702" s="3">
        <v>44300</v>
      </c>
      <c r="C702">
        <v>60</v>
      </c>
      <c r="D702" t="s">
        <v>398</v>
      </c>
      <c r="E702" t="s">
        <v>93</v>
      </c>
      <c r="F702" s="9" t="s">
        <v>94</v>
      </c>
      <c r="G702" t="s">
        <v>26</v>
      </c>
      <c r="H702" t="s">
        <v>34</v>
      </c>
      <c r="I702" t="s">
        <v>35</v>
      </c>
      <c r="J702" t="s">
        <v>29</v>
      </c>
      <c r="K702" t="s">
        <v>30</v>
      </c>
      <c r="L702" t="s">
        <v>29</v>
      </c>
      <c r="M702" t="s">
        <v>30</v>
      </c>
      <c r="N702" t="s">
        <v>34</v>
      </c>
      <c r="O702" t="s">
        <v>35</v>
      </c>
      <c r="P702" t="s">
        <v>29</v>
      </c>
      <c r="Q702" t="s">
        <v>30</v>
      </c>
      <c r="R702" s="1">
        <v>44300.418506944443</v>
      </c>
      <c r="S702" s="1">
        <v>44300.419548611113</v>
      </c>
      <c r="T702">
        <v>0</v>
      </c>
      <c r="U702">
        <v>5</v>
      </c>
      <c r="V702" s="2">
        <v>0</v>
      </c>
      <c r="W702">
        <v>0</v>
      </c>
      <c r="X702" t="s">
        <v>37</v>
      </c>
      <c r="Y702">
        <v>0</v>
      </c>
      <c r="Z702" t="s">
        <v>37</v>
      </c>
      <c r="AA702">
        <v>0</v>
      </c>
      <c r="AB702" t="s">
        <v>44</v>
      </c>
      <c r="AC702">
        <v>0</v>
      </c>
      <c r="AD702" t="s">
        <v>44</v>
      </c>
      <c r="AE702">
        <v>0</v>
      </c>
      <c r="AF702" t="s">
        <v>45</v>
      </c>
      <c r="AG702">
        <v>0</v>
      </c>
      <c r="AH702" t="s">
        <v>113</v>
      </c>
      <c r="AI702">
        <v>0</v>
      </c>
      <c r="AJ702" t="s">
        <v>47</v>
      </c>
      <c r="AK702">
        <v>0</v>
      </c>
      <c r="AL702" t="s">
        <v>31</v>
      </c>
      <c r="AM702">
        <v>0</v>
      </c>
      <c r="AN702" t="s">
        <v>31</v>
      </c>
      <c r="AO702">
        <v>0</v>
      </c>
      <c r="AP702" t="s">
        <v>31</v>
      </c>
      <c r="AQ702">
        <v>0</v>
      </c>
    </row>
    <row r="703" spans="1:43" x14ac:dyDescent="0.2">
      <c r="A703" t="s">
        <v>381</v>
      </c>
      <c r="B703" s="3">
        <v>44300</v>
      </c>
      <c r="C703">
        <v>61</v>
      </c>
      <c r="D703" t="s">
        <v>401</v>
      </c>
      <c r="E703" t="s">
        <v>93</v>
      </c>
      <c r="F703" s="9" t="s">
        <v>94</v>
      </c>
      <c r="G703" t="s">
        <v>26</v>
      </c>
      <c r="H703" t="s">
        <v>34</v>
      </c>
      <c r="I703" t="s">
        <v>35</v>
      </c>
      <c r="J703" t="s">
        <v>29</v>
      </c>
      <c r="K703" t="s">
        <v>30</v>
      </c>
      <c r="L703" t="s">
        <v>29</v>
      </c>
      <c r="M703" t="s">
        <v>30</v>
      </c>
      <c r="N703" t="s">
        <v>34</v>
      </c>
      <c r="O703" t="s">
        <v>35</v>
      </c>
      <c r="P703" t="s">
        <v>29</v>
      </c>
      <c r="Q703" t="s">
        <v>30</v>
      </c>
      <c r="R703" s="1">
        <v>44300.622881944444</v>
      </c>
      <c r="S703" s="1">
        <v>44300.622881944444</v>
      </c>
      <c r="T703">
        <v>1</v>
      </c>
      <c r="U703">
        <v>1</v>
      </c>
      <c r="V703" s="2">
        <v>1</v>
      </c>
      <c r="W703">
        <v>0</v>
      </c>
      <c r="X703" t="s">
        <v>37</v>
      </c>
      <c r="Y703">
        <v>0</v>
      </c>
      <c r="Z703" t="s">
        <v>37</v>
      </c>
      <c r="AA703">
        <v>0</v>
      </c>
      <c r="AB703" t="s">
        <v>30</v>
      </c>
      <c r="AC703">
        <v>0</v>
      </c>
      <c r="AD703" t="s">
        <v>31</v>
      </c>
      <c r="AE703">
        <v>0</v>
      </c>
      <c r="AF703" t="s">
        <v>31</v>
      </c>
      <c r="AG703">
        <v>0</v>
      </c>
      <c r="AH703" t="s">
        <v>31</v>
      </c>
      <c r="AI703">
        <v>0</v>
      </c>
      <c r="AJ703" t="s">
        <v>31</v>
      </c>
      <c r="AK703">
        <v>0</v>
      </c>
      <c r="AL703" t="s">
        <v>31</v>
      </c>
      <c r="AM703">
        <v>0</v>
      </c>
      <c r="AN703" t="s">
        <v>31</v>
      </c>
      <c r="AO703">
        <v>0</v>
      </c>
      <c r="AP703" t="s">
        <v>31</v>
      </c>
      <c r="AQ703">
        <v>0</v>
      </c>
    </row>
    <row r="704" spans="1:43" x14ac:dyDescent="0.2">
      <c r="A704" t="s">
        <v>381</v>
      </c>
      <c r="B704" s="3">
        <v>44301</v>
      </c>
      <c r="C704">
        <v>62</v>
      </c>
      <c r="D704" t="s">
        <v>385</v>
      </c>
      <c r="E704" t="s">
        <v>93</v>
      </c>
      <c r="F704" s="9" t="s">
        <v>94</v>
      </c>
      <c r="G704" t="s">
        <v>26</v>
      </c>
      <c r="H704" t="s">
        <v>34</v>
      </c>
      <c r="I704" t="s">
        <v>35</v>
      </c>
      <c r="J704" t="s">
        <v>29</v>
      </c>
      <c r="K704" t="s">
        <v>30</v>
      </c>
      <c r="L704" t="s">
        <v>29</v>
      </c>
      <c r="M704" t="s">
        <v>30</v>
      </c>
      <c r="N704" t="s">
        <v>34</v>
      </c>
      <c r="O704" t="s">
        <v>35</v>
      </c>
      <c r="P704" t="s">
        <v>29</v>
      </c>
      <c r="Q704" t="s">
        <v>30</v>
      </c>
      <c r="R704" s="1">
        <v>44301.411921296298</v>
      </c>
      <c r="S704" s="1">
        <v>44301.413993055554</v>
      </c>
      <c r="T704">
        <v>0</v>
      </c>
      <c r="U704">
        <v>2</v>
      </c>
      <c r="V704" s="2">
        <v>0</v>
      </c>
      <c r="W704">
        <v>0</v>
      </c>
      <c r="X704" t="s">
        <v>37</v>
      </c>
      <c r="Y704">
        <v>0</v>
      </c>
      <c r="Z704" t="s">
        <v>44</v>
      </c>
      <c r="AA704">
        <v>0</v>
      </c>
      <c r="AB704" t="s">
        <v>44</v>
      </c>
      <c r="AC704">
        <v>0</v>
      </c>
      <c r="AD704" t="s">
        <v>37</v>
      </c>
      <c r="AE704">
        <v>0</v>
      </c>
      <c r="AF704" t="s">
        <v>37</v>
      </c>
      <c r="AG704">
        <v>0</v>
      </c>
      <c r="AH704" t="s">
        <v>31</v>
      </c>
      <c r="AI704">
        <v>0</v>
      </c>
      <c r="AJ704" t="s">
        <v>31</v>
      </c>
      <c r="AK704">
        <v>0</v>
      </c>
      <c r="AL704" t="s">
        <v>31</v>
      </c>
      <c r="AM704">
        <v>0</v>
      </c>
      <c r="AN704" t="s">
        <v>31</v>
      </c>
      <c r="AO704">
        <v>0</v>
      </c>
      <c r="AP704" t="s">
        <v>31</v>
      </c>
      <c r="AQ704">
        <v>0</v>
      </c>
    </row>
    <row r="705" spans="1:43" x14ac:dyDescent="0.2">
      <c r="A705" t="s">
        <v>381</v>
      </c>
      <c r="B705" s="3">
        <v>44301</v>
      </c>
      <c r="C705">
        <v>63</v>
      </c>
      <c r="D705" t="s">
        <v>385</v>
      </c>
      <c r="E705" t="s">
        <v>93</v>
      </c>
      <c r="F705" s="9" t="s">
        <v>94</v>
      </c>
      <c r="G705" t="s">
        <v>26</v>
      </c>
      <c r="H705" t="s">
        <v>34</v>
      </c>
      <c r="I705" t="s">
        <v>35</v>
      </c>
      <c r="J705" t="s">
        <v>29</v>
      </c>
      <c r="K705" t="s">
        <v>30</v>
      </c>
      <c r="L705" t="s">
        <v>29</v>
      </c>
      <c r="M705" t="s">
        <v>30</v>
      </c>
      <c r="N705" t="s">
        <v>34</v>
      </c>
      <c r="O705" t="s">
        <v>35</v>
      </c>
      <c r="P705" t="s">
        <v>29</v>
      </c>
      <c r="Q705" t="s">
        <v>30</v>
      </c>
      <c r="R705" s="1">
        <v>44301.618159722224</v>
      </c>
      <c r="S705" s="1">
        <v>44301.620034722226</v>
      </c>
      <c r="T705">
        <v>0</v>
      </c>
      <c r="U705">
        <v>4</v>
      </c>
      <c r="V705" s="2">
        <v>0</v>
      </c>
      <c r="W705">
        <v>0</v>
      </c>
      <c r="X705" t="s">
        <v>44</v>
      </c>
      <c r="Y705">
        <v>0</v>
      </c>
      <c r="Z705" t="s">
        <v>37</v>
      </c>
      <c r="AA705">
        <v>0</v>
      </c>
      <c r="AB705" t="s">
        <v>44</v>
      </c>
      <c r="AC705">
        <v>0</v>
      </c>
      <c r="AD705" t="s">
        <v>44</v>
      </c>
      <c r="AE705">
        <v>0</v>
      </c>
      <c r="AF705" t="s">
        <v>45</v>
      </c>
      <c r="AG705">
        <v>0</v>
      </c>
      <c r="AH705" t="s">
        <v>37</v>
      </c>
      <c r="AI705">
        <v>0</v>
      </c>
      <c r="AJ705" t="s">
        <v>31</v>
      </c>
      <c r="AK705">
        <v>0</v>
      </c>
      <c r="AL705" t="s">
        <v>31</v>
      </c>
      <c r="AM705">
        <v>0</v>
      </c>
      <c r="AN705" t="s">
        <v>31</v>
      </c>
      <c r="AO705">
        <v>0</v>
      </c>
      <c r="AP705" t="s">
        <v>31</v>
      </c>
      <c r="AQ705">
        <v>0</v>
      </c>
    </row>
    <row r="706" spans="1:43" x14ac:dyDescent="0.2">
      <c r="A706" t="s">
        <v>381</v>
      </c>
      <c r="B706" s="3">
        <v>44302</v>
      </c>
      <c r="C706">
        <v>64</v>
      </c>
      <c r="D706" t="s">
        <v>390</v>
      </c>
      <c r="E706" t="s">
        <v>93</v>
      </c>
      <c r="F706" s="9" t="s">
        <v>94</v>
      </c>
      <c r="G706" t="s">
        <v>26</v>
      </c>
      <c r="H706" t="s">
        <v>34</v>
      </c>
      <c r="I706" t="s">
        <v>35</v>
      </c>
      <c r="J706" t="s">
        <v>29</v>
      </c>
      <c r="K706" t="s">
        <v>30</v>
      </c>
      <c r="L706" t="s">
        <v>29</v>
      </c>
      <c r="M706" t="s">
        <v>30</v>
      </c>
      <c r="N706" t="s">
        <v>34</v>
      </c>
      <c r="O706" t="s">
        <v>35</v>
      </c>
      <c r="P706" t="s">
        <v>29</v>
      </c>
      <c r="Q706" t="s">
        <v>30</v>
      </c>
      <c r="R706" s="1">
        <v>44302.424837962964</v>
      </c>
      <c r="S706" s="1">
        <v>44302.425798611112</v>
      </c>
      <c r="T706">
        <v>1</v>
      </c>
      <c r="U706">
        <v>1</v>
      </c>
      <c r="V706" s="2">
        <v>1</v>
      </c>
      <c r="W706">
        <v>0</v>
      </c>
      <c r="X706" t="s">
        <v>30</v>
      </c>
      <c r="Y706">
        <v>0</v>
      </c>
      <c r="Z706" t="s">
        <v>31</v>
      </c>
      <c r="AA706">
        <v>0</v>
      </c>
      <c r="AB706" t="s">
        <v>31</v>
      </c>
      <c r="AC706">
        <v>0</v>
      </c>
      <c r="AD706" t="s">
        <v>31</v>
      </c>
      <c r="AE706">
        <v>0</v>
      </c>
      <c r="AF706" t="s">
        <v>31</v>
      </c>
      <c r="AG706">
        <v>0</v>
      </c>
      <c r="AH706" t="s">
        <v>31</v>
      </c>
      <c r="AI706">
        <v>0</v>
      </c>
      <c r="AJ706" t="s">
        <v>31</v>
      </c>
      <c r="AK706">
        <v>0</v>
      </c>
      <c r="AL706" t="s">
        <v>31</v>
      </c>
      <c r="AM706">
        <v>0</v>
      </c>
      <c r="AN706" t="s">
        <v>31</v>
      </c>
      <c r="AO706">
        <v>0</v>
      </c>
      <c r="AP706" t="s">
        <v>31</v>
      </c>
      <c r="AQ706">
        <v>0</v>
      </c>
    </row>
    <row r="707" spans="1:43" x14ac:dyDescent="0.2">
      <c r="A707" t="s">
        <v>381</v>
      </c>
      <c r="B707" s="3">
        <v>44302</v>
      </c>
      <c r="C707">
        <v>65</v>
      </c>
      <c r="D707" t="s">
        <v>387</v>
      </c>
      <c r="E707" t="s">
        <v>93</v>
      </c>
      <c r="F707" s="9" t="s">
        <v>94</v>
      </c>
      <c r="G707" t="s">
        <v>26</v>
      </c>
      <c r="H707" t="s">
        <v>34</v>
      </c>
      <c r="I707" t="s">
        <v>35</v>
      </c>
      <c r="J707" t="s">
        <v>29</v>
      </c>
      <c r="K707" t="s">
        <v>30</v>
      </c>
      <c r="L707" t="s">
        <v>29</v>
      </c>
      <c r="M707" t="s">
        <v>30</v>
      </c>
      <c r="N707" t="s">
        <v>34</v>
      </c>
      <c r="O707" t="s">
        <v>35</v>
      </c>
      <c r="P707" t="s">
        <v>29</v>
      </c>
      <c r="Q707" t="s">
        <v>30</v>
      </c>
      <c r="R707" s="1">
        <v>44302.585312499999</v>
      </c>
      <c r="S707" s="1">
        <v>44302.585972222223</v>
      </c>
      <c r="T707">
        <v>0</v>
      </c>
      <c r="U707">
        <v>1</v>
      </c>
      <c r="V707" s="2">
        <v>0</v>
      </c>
      <c r="W707">
        <v>0</v>
      </c>
      <c r="X707" t="s">
        <v>37</v>
      </c>
      <c r="Y707">
        <v>0</v>
      </c>
      <c r="Z707" t="s">
        <v>37</v>
      </c>
      <c r="AA707">
        <v>0</v>
      </c>
      <c r="AB707" t="s">
        <v>37</v>
      </c>
      <c r="AC707">
        <v>0</v>
      </c>
      <c r="AD707" t="s">
        <v>47</v>
      </c>
      <c r="AE707">
        <v>0</v>
      </c>
      <c r="AF707" t="s">
        <v>31</v>
      </c>
      <c r="AG707">
        <v>0</v>
      </c>
      <c r="AH707" t="s">
        <v>31</v>
      </c>
      <c r="AI707">
        <v>0</v>
      </c>
      <c r="AJ707" t="s">
        <v>31</v>
      </c>
      <c r="AK707">
        <v>0</v>
      </c>
      <c r="AL707" t="s">
        <v>31</v>
      </c>
      <c r="AM707">
        <v>0</v>
      </c>
      <c r="AN707" t="s">
        <v>31</v>
      </c>
      <c r="AO707">
        <v>0</v>
      </c>
      <c r="AP707" t="s">
        <v>31</v>
      </c>
      <c r="AQ707">
        <v>0</v>
      </c>
    </row>
    <row r="708" spans="1:43" x14ac:dyDescent="0.2">
      <c r="A708" t="s">
        <v>381</v>
      </c>
      <c r="B708" s="3">
        <v>44307</v>
      </c>
      <c r="C708">
        <v>67</v>
      </c>
      <c r="D708" t="s">
        <v>387</v>
      </c>
      <c r="E708" t="s">
        <v>93</v>
      </c>
      <c r="F708" s="9" t="s">
        <v>94</v>
      </c>
      <c r="G708" t="s">
        <v>26</v>
      </c>
      <c r="H708" t="s">
        <v>34</v>
      </c>
      <c r="I708" t="s">
        <v>35</v>
      </c>
      <c r="J708" t="s">
        <v>29</v>
      </c>
      <c r="K708" t="s">
        <v>30</v>
      </c>
      <c r="L708" t="s">
        <v>29</v>
      </c>
      <c r="M708" t="s">
        <v>30</v>
      </c>
      <c r="N708" t="s">
        <v>34</v>
      </c>
      <c r="O708" t="s">
        <v>35</v>
      </c>
      <c r="P708" t="s">
        <v>29</v>
      </c>
      <c r="Q708" t="s">
        <v>30</v>
      </c>
      <c r="R708" s="1">
        <v>44307.565532407411</v>
      </c>
      <c r="S708" s="1">
        <v>44307.566805555558</v>
      </c>
      <c r="T708">
        <v>0</v>
      </c>
      <c r="U708">
        <v>3</v>
      </c>
      <c r="V708" s="2">
        <v>0</v>
      </c>
      <c r="W708">
        <v>0</v>
      </c>
      <c r="X708" t="s">
        <v>44</v>
      </c>
      <c r="Y708">
        <v>0</v>
      </c>
      <c r="Z708" t="s">
        <v>37</v>
      </c>
      <c r="AA708">
        <v>0</v>
      </c>
      <c r="AB708" t="s">
        <v>37</v>
      </c>
      <c r="AC708">
        <v>0</v>
      </c>
      <c r="AD708" t="s">
        <v>44</v>
      </c>
      <c r="AE708">
        <v>0</v>
      </c>
      <c r="AF708" t="s">
        <v>44</v>
      </c>
      <c r="AG708">
        <v>0</v>
      </c>
      <c r="AH708" t="s">
        <v>37</v>
      </c>
      <c r="AI708">
        <v>0</v>
      </c>
      <c r="AJ708" t="s">
        <v>31</v>
      </c>
      <c r="AK708">
        <v>0</v>
      </c>
      <c r="AL708" t="s">
        <v>31</v>
      </c>
      <c r="AM708">
        <v>0</v>
      </c>
      <c r="AN708" t="s">
        <v>31</v>
      </c>
      <c r="AO708">
        <v>0</v>
      </c>
      <c r="AP708" t="s">
        <v>31</v>
      </c>
      <c r="AQ708">
        <v>0</v>
      </c>
    </row>
    <row r="709" spans="1:43" x14ac:dyDescent="0.2">
      <c r="A709" t="s">
        <v>381</v>
      </c>
      <c r="B709" s="3">
        <v>44308</v>
      </c>
      <c r="C709">
        <v>68</v>
      </c>
      <c r="D709" t="s">
        <v>383</v>
      </c>
      <c r="E709" t="s">
        <v>93</v>
      </c>
      <c r="F709" s="9" t="s">
        <v>94</v>
      </c>
      <c r="G709" t="s">
        <v>26</v>
      </c>
      <c r="H709" t="s">
        <v>34</v>
      </c>
      <c r="I709" t="s">
        <v>35</v>
      </c>
      <c r="J709" t="s">
        <v>29</v>
      </c>
      <c r="K709" t="s">
        <v>30</v>
      </c>
      <c r="L709" t="s">
        <v>29</v>
      </c>
      <c r="M709" t="s">
        <v>30</v>
      </c>
      <c r="N709" t="s">
        <v>34</v>
      </c>
      <c r="O709" t="s">
        <v>35</v>
      </c>
      <c r="P709" t="s">
        <v>29</v>
      </c>
      <c r="Q709" t="s">
        <v>30</v>
      </c>
      <c r="R709" s="1">
        <v>44308.425555555557</v>
      </c>
      <c r="S709" s="1">
        <v>44308.445740740739</v>
      </c>
      <c r="T709">
        <v>0</v>
      </c>
      <c r="U709">
        <v>4</v>
      </c>
      <c r="V709" s="2">
        <v>0</v>
      </c>
      <c r="W709">
        <v>0</v>
      </c>
      <c r="X709" t="s">
        <v>37</v>
      </c>
      <c r="Y709">
        <v>0</v>
      </c>
      <c r="Z709" t="s">
        <v>37</v>
      </c>
      <c r="AA709">
        <v>0</v>
      </c>
      <c r="AB709" t="s">
        <v>44</v>
      </c>
      <c r="AC709">
        <v>0</v>
      </c>
      <c r="AD709" t="s">
        <v>44</v>
      </c>
      <c r="AE709">
        <v>0</v>
      </c>
      <c r="AF709" t="s">
        <v>45</v>
      </c>
      <c r="AG709">
        <v>0</v>
      </c>
      <c r="AH709" t="s">
        <v>113</v>
      </c>
      <c r="AI709">
        <v>0</v>
      </c>
      <c r="AJ709" t="s">
        <v>31</v>
      </c>
      <c r="AK709">
        <v>0</v>
      </c>
      <c r="AL709" t="s">
        <v>31</v>
      </c>
      <c r="AM709">
        <v>0</v>
      </c>
      <c r="AN709" t="s">
        <v>31</v>
      </c>
      <c r="AO709">
        <v>0</v>
      </c>
      <c r="AP709" t="s">
        <v>31</v>
      </c>
      <c r="AQ709">
        <v>0</v>
      </c>
    </row>
    <row r="710" spans="1:43" x14ac:dyDescent="0.2">
      <c r="A710" t="s">
        <v>381</v>
      </c>
      <c r="B710" s="3">
        <v>44308</v>
      </c>
      <c r="C710">
        <v>69</v>
      </c>
      <c r="D710" t="s">
        <v>385</v>
      </c>
      <c r="E710" t="s">
        <v>93</v>
      </c>
      <c r="F710" s="9" t="s">
        <v>94</v>
      </c>
      <c r="G710" t="s">
        <v>26</v>
      </c>
      <c r="H710" t="s">
        <v>34</v>
      </c>
      <c r="I710" t="s">
        <v>35</v>
      </c>
      <c r="J710" t="s">
        <v>29</v>
      </c>
      <c r="K710" t="s">
        <v>30</v>
      </c>
      <c r="L710" t="s">
        <v>29</v>
      </c>
      <c r="M710" t="s">
        <v>30</v>
      </c>
      <c r="N710" t="s">
        <v>34</v>
      </c>
      <c r="O710" t="s">
        <v>35</v>
      </c>
      <c r="P710" t="s">
        <v>29</v>
      </c>
      <c r="Q710" t="s">
        <v>30</v>
      </c>
      <c r="R710" s="1">
        <v>44308.627800925926</v>
      </c>
      <c r="S710" s="1">
        <v>44308.627974537034</v>
      </c>
      <c r="T710">
        <v>0</v>
      </c>
      <c r="U710">
        <v>5</v>
      </c>
      <c r="V710" s="2">
        <v>0</v>
      </c>
      <c r="W710">
        <v>0</v>
      </c>
      <c r="X710" t="s">
        <v>37</v>
      </c>
      <c r="Y710">
        <v>0</v>
      </c>
      <c r="Z710" t="s">
        <v>37</v>
      </c>
      <c r="AA710">
        <v>0</v>
      </c>
      <c r="AB710" t="s">
        <v>44</v>
      </c>
      <c r="AC710">
        <v>0</v>
      </c>
      <c r="AD710" t="s">
        <v>44</v>
      </c>
      <c r="AE710">
        <v>0</v>
      </c>
      <c r="AF710" t="s">
        <v>45</v>
      </c>
      <c r="AG710">
        <v>0</v>
      </c>
      <c r="AH710" t="s">
        <v>113</v>
      </c>
      <c r="AI710">
        <v>0</v>
      </c>
      <c r="AJ710" t="s">
        <v>47</v>
      </c>
      <c r="AK710">
        <v>0</v>
      </c>
      <c r="AL710" t="s">
        <v>31</v>
      </c>
      <c r="AM710">
        <v>0</v>
      </c>
      <c r="AN710" t="s">
        <v>31</v>
      </c>
      <c r="AO710">
        <v>0</v>
      </c>
      <c r="AP710" t="s">
        <v>31</v>
      </c>
      <c r="AQ710">
        <v>0</v>
      </c>
    </row>
    <row r="711" spans="1:43" x14ac:dyDescent="0.2">
      <c r="A711" t="s">
        <v>381</v>
      </c>
      <c r="B711" s="3">
        <v>44309</v>
      </c>
      <c r="C711">
        <v>70</v>
      </c>
      <c r="D711" t="s">
        <v>388</v>
      </c>
      <c r="E711" t="s">
        <v>93</v>
      </c>
      <c r="F711" s="9" t="s">
        <v>94</v>
      </c>
      <c r="G711" t="s">
        <v>26</v>
      </c>
      <c r="H711" t="s">
        <v>34</v>
      </c>
      <c r="I711" t="s">
        <v>35</v>
      </c>
      <c r="J711" t="s">
        <v>29</v>
      </c>
      <c r="K711" t="s">
        <v>30</v>
      </c>
      <c r="L711" t="s">
        <v>29</v>
      </c>
      <c r="M711" t="s">
        <v>30</v>
      </c>
      <c r="N711" t="s">
        <v>34</v>
      </c>
      <c r="O711" t="s">
        <v>35</v>
      </c>
      <c r="P711" t="s">
        <v>29</v>
      </c>
      <c r="Q711" t="s">
        <v>30</v>
      </c>
      <c r="R711" s="1">
        <v>44309.415671296294</v>
      </c>
      <c r="S711" s="1">
        <v>44309.415671296294</v>
      </c>
      <c r="T711">
        <v>0</v>
      </c>
      <c r="U711">
        <v>0</v>
      </c>
      <c r="V711" s="2">
        <v>0</v>
      </c>
      <c r="W711">
        <v>0</v>
      </c>
      <c r="X711" t="s">
        <v>37</v>
      </c>
      <c r="Y711">
        <v>0</v>
      </c>
      <c r="Z711" t="s">
        <v>31</v>
      </c>
      <c r="AA711">
        <v>0</v>
      </c>
      <c r="AB711" t="s">
        <v>31</v>
      </c>
      <c r="AC711">
        <v>0</v>
      </c>
      <c r="AD711" t="s">
        <v>31</v>
      </c>
      <c r="AE711">
        <v>0</v>
      </c>
      <c r="AF711" t="s">
        <v>31</v>
      </c>
      <c r="AG711">
        <v>0</v>
      </c>
      <c r="AH711" t="s">
        <v>31</v>
      </c>
      <c r="AI711">
        <v>0</v>
      </c>
      <c r="AJ711" t="s">
        <v>31</v>
      </c>
      <c r="AK711">
        <v>0</v>
      </c>
      <c r="AL711" t="s">
        <v>31</v>
      </c>
      <c r="AM711">
        <v>0</v>
      </c>
      <c r="AN711" t="s">
        <v>31</v>
      </c>
      <c r="AO711">
        <v>0</v>
      </c>
      <c r="AP711" t="s">
        <v>31</v>
      </c>
      <c r="AQ711">
        <v>0</v>
      </c>
    </row>
    <row r="712" spans="1:43" x14ac:dyDescent="0.2">
      <c r="A712" t="s">
        <v>381</v>
      </c>
      <c r="B712" s="3">
        <v>44309</v>
      </c>
      <c r="C712">
        <v>71</v>
      </c>
      <c r="D712" t="s">
        <v>391</v>
      </c>
      <c r="E712" t="s">
        <v>93</v>
      </c>
      <c r="F712" s="9" t="s">
        <v>94</v>
      </c>
      <c r="G712" t="s">
        <v>26</v>
      </c>
      <c r="H712" t="s">
        <v>34</v>
      </c>
      <c r="I712" t="s">
        <v>35</v>
      </c>
      <c r="J712" t="s">
        <v>29</v>
      </c>
      <c r="K712" t="s">
        <v>30</v>
      </c>
      <c r="L712" t="s">
        <v>29</v>
      </c>
      <c r="M712" t="s">
        <v>30</v>
      </c>
      <c r="N712" t="s">
        <v>34</v>
      </c>
      <c r="O712" t="s">
        <v>35</v>
      </c>
      <c r="P712" t="s">
        <v>29</v>
      </c>
      <c r="Q712" t="s">
        <v>30</v>
      </c>
      <c r="R712" s="1">
        <v>44309.555046296293</v>
      </c>
      <c r="S712" s="1">
        <v>44309.557824074072</v>
      </c>
      <c r="T712">
        <v>0</v>
      </c>
      <c r="U712">
        <v>5</v>
      </c>
      <c r="V712" s="2">
        <v>0</v>
      </c>
      <c r="W712">
        <v>0</v>
      </c>
      <c r="X712" t="s">
        <v>37</v>
      </c>
      <c r="Y712">
        <v>0</v>
      </c>
      <c r="Z712" t="s">
        <v>44</v>
      </c>
      <c r="AA712">
        <v>0</v>
      </c>
      <c r="AB712" t="s">
        <v>44</v>
      </c>
      <c r="AC712">
        <v>0</v>
      </c>
      <c r="AD712" t="s">
        <v>45</v>
      </c>
      <c r="AE712">
        <v>0</v>
      </c>
      <c r="AF712" t="s">
        <v>113</v>
      </c>
      <c r="AG712">
        <v>0</v>
      </c>
      <c r="AH712" t="s">
        <v>47</v>
      </c>
      <c r="AI712">
        <v>0</v>
      </c>
      <c r="AJ712" t="s">
        <v>31</v>
      </c>
      <c r="AK712">
        <v>0</v>
      </c>
      <c r="AL712" t="s">
        <v>31</v>
      </c>
      <c r="AM712">
        <v>0</v>
      </c>
      <c r="AN712" t="s">
        <v>31</v>
      </c>
      <c r="AO712">
        <v>0</v>
      </c>
      <c r="AP712" t="s">
        <v>31</v>
      </c>
      <c r="AQ712">
        <v>0</v>
      </c>
    </row>
    <row r="713" spans="1:43" x14ac:dyDescent="0.2">
      <c r="A713" t="s">
        <v>381</v>
      </c>
      <c r="B713" s="3">
        <v>44312</v>
      </c>
      <c r="C713">
        <v>73</v>
      </c>
      <c r="D713" t="s">
        <v>387</v>
      </c>
      <c r="E713" t="s">
        <v>93</v>
      </c>
      <c r="F713" s="9" t="s">
        <v>94</v>
      </c>
      <c r="G713" t="s">
        <v>26</v>
      </c>
      <c r="H713" t="s">
        <v>34</v>
      </c>
      <c r="I713" t="s">
        <v>35</v>
      </c>
      <c r="J713" t="s">
        <v>29</v>
      </c>
      <c r="K713" t="s">
        <v>30</v>
      </c>
      <c r="L713" t="s">
        <v>29</v>
      </c>
      <c r="M713" t="s">
        <v>30</v>
      </c>
      <c r="N713" t="s">
        <v>34</v>
      </c>
      <c r="O713" t="s">
        <v>35</v>
      </c>
      <c r="P713" t="s">
        <v>29</v>
      </c>
      <c r="Q713" t="s">
        <v>30</v>
      </c>
      <c r="R713" s="1">
        <v>44312.566134259258</v>
      </c>
      <c r="S713" s="1">
        <v>44312.566354166665</v>
      </c>
      <c r="T713">
        <v>1</v>
      </c>
      <c r="U713">
        <v>1</v>
      </c>
      <c r="V713" s="2">
        <v>1</v>
      </c>
      <c r="W713">
        <v>0</v>
      </c>
      <c r="X713" t="s">
        <v>37</v>
      </c>
      <c r="Y713">
        <v>0</v>
      </c>
      <c r="Z713" t="s">
        <v>37</v>
      </c>
      <c r="AA713">
        <v>0</v>
      </c>
      <c r="AB713" t="s">
        <v>30</v>
      </c>
      <c r="AC713">
        <v>0</v>
      </c>
      <c r="AD713" t="s">
        <v>31</v>
      </c>
      <c r="AE713">
        <v>0</v>
      </c>
      <c r="AF713" t="s">
        <v>31</v>
      </c>
      <c r="AG713">
        <v>0</v>
      </c>
      <c r="AH713" t="s">
        <v>31</v>
      </c>
      <c r="AI713">
        <v>0</v>
      </c>
      <c r="AJ713" t="s">
        <v>31</v>
      </c>
      <c r="AK713">
        <v>0</v>
      </c>
      <c r="AL713" t="s">
        <v>31</v>
      </c>
      <c r="AM713">
        <v>0</v>
      </c>
      <c r="AN713" t="s">
        <v>31</v>
      </c>
      <c r="AO713">
        <v>0</v>
      </c>
      <c r="AP713" t="s">
        <v>31</v>
      </c>
      <c r="AQ713">
        <v>0</v>
      </c>
    </row>
    <row r="714" spans="1:43" x14ac:dyDescent="0.2">
      <c r="A714" t="s">
        <v>381</v>
      </c>
      <c r="B714" s="3">
        <v>44313</v>
      </c>
      <c r="C714">
        <v>76</v>
      </c>
      <c r="D714" t="s">
        <v>385</v>
      </c>
      <c r="E714" t="s">
        <v>93</v>
      </c>
      <c r="F714" s="9" t="s">
        <v>94</v>
      </c>
      <c r="G714" t="s">
        <v>26</v>
      </c>
      <c r="H714" t="s">
        <v>34</v>
      </c>
      <c r="I714" t="s">
        <v>35</v>
      </c>
      <c r="J714" t="s">
        <v>29</v>
      </c>
      <c r="K714" t="s">
        <v>30</v>
      </c>
      <c r="L714" t="s">
        <v>29</v>
      </c>
      <c r="M714" t="s">
        <v>30</v>
      </c>
      <c r="N714" t="s">
        <v>34</v>
      </c>
      <c r="O714" t="s">
        <v>35</v>
      </c>
      <c r="P714" t="s">
        <v>29</v>
      </c>
      <c r="Q714" t="s">
        <v>30</v>
      </c>
      <c r="R714" s="1">
        <v>44313.626111111109</v>
      </c>
      <c r="S714" s="1">
        <v>44313.627175925925</v>
      </c>
      <c r="T714">
        <v>0</v>
      </c>
      <c r="U714">
        <v>1</v>
      </c>
      <c r="V714" s="2">
        <v>0</v>
      </c>
      <c r="W714">
        <v>0</v>
      </c>
      <c r="X714" t="s">
        <v>37</v>
      </c>
      <c r="Y714">
        <v>0</v>
      </c>
      <c r="Z714" t="s">
        <v>44</v>
      </c>
      <c r="AA714">
        <v>0</v>
      </c>
      <c r="AB714" t="s">
        <v>37</v>
      </c>
      <c r="AC714">
        <v>0</v>
      </c>
      <c r="AD714" t="s">
        <v>37</v>
      </c>
      <c r="AE714">
        <v>0</v>
      </c>
      <c r="AF714" t="s">
        <v>31</v>
      </c>
      <c r="AG714">
        <v>0</v>
      </c>
      <c r="AH714" t="s">
        <v>31</v>
      </c>
      <c r="AI714">
        <v>0</v>
      </c>
      <c r="AJ714" t="s">
        <v>31</v>
      </c>
      <c r="AK714">
        <v>0</v>
      </c>
      <c r="AL714" t="s">
        <v>31</v>
      </c>
      <c r="AM714">
        <v>0</v>
      </c>
      <c r="AN714" t="s">
        <v>31</v>
      </c>
      <c r="AO714">
        <v>0</v>
      </c>
      <c r="AP714" t="s">
        <v>31</v>
      </c>
      <c r="AQ714">
        <v>0</v>
      </c>
    </row>
    <row r="715" spans="1:43" x14ac:dyDescent="0.2">
      <c r="A715" t="s">
        <v>381</v>
      </c>
      <c r="B715" s="3">
        <v>44314</v>
      </c>
      <c r="C715">
        <v>78</v>
      </c>
      <c r="D715" t="s">
        <v>387</v>
      </c>
      <c r="E715" t="s">
        <v>93</v>
      </c>
      <c r="F715" s="9" t="s">
        <v>94</v>
      </c>
      <c r="G715" t="s">
        <v>26</v>
      </c>
      <c r="H715" t="s">
        <v>34</v>
      </c>
      <c r="I715" t="s">
        <v>35</v>
      </c>
      <c r="J715" t="s">
        <v>29</v>
      </c>
      <c r="K715" t="s">
        <v>30</v>
      </c>
      <c r="L715" t="s">
        <v>29</v>
      </c>
      <c r="M715" t="s">
        <v>30</v>
      </c>
      <c r="N715" t="s">
        <v>34</v>
      </c>
      <c r="O715" t="s">
        <v>35</v>
      </c>
      <c r="P715" t="s">
        <v>29</v>
      </c>
      <c r="Q715" t="s">
        <v>30</v>
      </c>
      <c r="R715" s="1">
        <v>44314.615798611114</v>
      </c>
      <c r="S715" s="1">
        <v>44314.616226851853</v>
      </c>
      <c r="T715">
        <v>0</v>
      </c>
      <c r="U715">
        <v>2</v>
      </c>
      <c r="V715" s="2">
        <v>0</v>
      </c>
      <c r="W715">
        <v>0</v>
      </c>
      <c r="X715" t="s">
        <v>37</v>
      </c>
      <c r="Y715">
        <v>0</v>
      </c>
      <c r="Z715" t="s">
        <v>37</v>
      </c>
      <c r="AA715">
        <v>0</v>
      </c>
      <c r="AB715" t="s">
        <v>44</v>
      </c>
      <c r="AC715">
        <v>0</v>
      </c>
      <c r="AD715" t="s">
        <v>44</v>
      </c>
      <c r="AE715">
        <v>0</v>
      </c>
      <c r="AF715" t="s">
        <v>37</v>
      </c>
      <c r="AG715">
        <v>0</v>
      </c>
      <c r="AH715" t="s">
        <v>31</v>
      </c>
      <c r="AI715">
        <v>0</v>
      </c>
      <c r="AJ715" t="s">
        <v>31</v>
      </c>
      <c r="AK715">
        <v>0</v>
      </c>
      <c r="AL715" t="s">
        <v>31</v>
      </c>
      <c r="AM715">
        <v>0</v>
      </c>
      <c r="AN715" t="s">
        <v>31</v>
      </c>
      <c r="AO715">
        <v>0</v>
      </c>
      <c r="AP715" t="s">
        <v>31</v>
      </c>
      <c r="AQ715">
        <v>0</v>
      </c>
    </row>
    <row r="716" spans="1:43" x14ac:dyDescent="0.2">
      <c r="A716" t="s">
        <v>381</v>
      </c>
      <c r="B716" s="3">
        <v>44315</v>
      </c>
      <c r="C716">
        <v>79</v>
      </c>
      <c r="D716" t="s">
        <v>383</v>
      </c>
      <c r="E716" t="s">
        <v>93</v>
      </c>
      <c r="F716" s="9" t="s">
        <v>94</v>
      </c>
      <c r="G716" t="s">
        <v>26</v>
      </c>
      <c r="H716" t="s">
        <v>34</v>
      </c>
      <c r="I716" t="s">
        <v>35</v>
      </c>
      <c r="J716" t="s">
        <v>29</v>
      </c>
      <c r="K716" t="s">
        <v>30</v>
      </c>
      <c r="L716" t="s">
        <v>29</v>
      </c>
      <c r="M716" t="s">
        <v>30</v>
      </c>
      <c r="N716" t="s">
        <v>34</v>
      </c>
      <c r="O716" t="s">
        <v>35</v>
      </c>
      <c r="P716" t="s">
        <v>29</v>
      </c>
      <c r="Q716" t="s">
        <v>30</v>
      </c>
      <c r="R716" s="1">
        <v>44315.41951388889</v>
      </c>
      <c r="S716" s="1">
        <v>44315.426562499997</v>
      </c>
      <c r="T716">
        <v>0</v>
      </c>
      <c r="U716">
        <v>5</v>
      </c>
      <c r="V716" s="2">
        <v>0</v>
      </c>
      <c r="W716">
        <v>0</v>
      </c>
      <c r="X716" t="s">
        <v>37</v>
      </c>
      <c r="Y716">
        <v>0</v>
      </c>
      <c r="Z716" t="s">
        <v>37</v>
      </c>
      <c r="AA716">
        <v>0</v>
      </c>
      <c r="AB716" t="s">
        <v>44</v>
      </c>
      <c r="AC716">
        <v>0</v>
      </c>
      <c r="AD716" t="s">
        <v>44</v>
      </c>
      <c r="AE716">
        <v>0</v>
      </c>
      <c r="AF716" t="s">
        <v>45</v>
      </c>
      <c r="AG716">
        <v>0</v>
      </c>
      <c r="AH716" t="s">
        <v>113</v>
      </c>
      <c r="AI716">
        <v>0</v>
      </c>
      <c r="AJ716" t="s">
        <v>47</v>
      </c>
      <c r="AK716">
        <v>0</v>
      </c>
      <c r="AL716" t="s">
        <v>31</v>
      </c>
      <c r="AM716">
        <v>0</v>
      </c>
      <c r="AN716" t="s">
        <v>31</v>
      </c>
      <c r="AO716">
        <v>0</v>
      </c>
      <c r="AP716" t="s">
        <v>31</v>
      </c>
      <c r="AQ716">
        <v>0</v>
      </c>
    </row>
    <row r="717" spans="1:43" x14ac:dyDescent="0.2">
      <c r="A717" t="s">
        <v>381</v>
      </c>
      <c r="B717" s="3">
        <v>44315</v>
      </c>
      <c r="C717">
        <v>81</v>
      </c>
      <c r="D717" t="s">
        <v>385</v>
      </c>
      <c r="E717" t="s">
        <v>93</v>
      </c>
      <c r="F717" s="9" t="s">
        <v>94</v>
      </c>
      <c r="G717" t="s">
        <v>26</v>
      </c>
      <c r="H717" t="s">
        <v>34</v>
      </c>
      <c r="I717" t="s">
        <v>35</v>
      </c>
      <c r="J717" t="s">
        <v>29</v>
      </c>
      <c r="K717" t="s">
        <v>30</v>
      </c>
      <c r="L717" t="s">
        <v>29</v>
      </c>
      <c r="M717" t="s">
        <v>30</v>
      </c>
      <c r="N717" t="s">
        <v>34</v>
      </c>
      <c r="O717" t="s">
        <v>35</v>
      </c>
      <c r="P717" t="s">
        <v>29</v>
      </c>
      <c r="Q717" t="s">
        <v>30</v>
      </c>
      <c r="R717" s="1">
        <v>44315.618576388886</v>
      </c>
      <c r="S717" s="1">
        <v>44315.619976851849</v>
      </c>
      <c r="T717">
        <v>0</v>
      </c>
      <c r="U717">
        <v>0</v>
      </c>
      <c r="V717" s="2">
        <v>0</v>
      </c>
      <c r="W717">
        <v>0</v>
      </c>
      <c r="X717" t="s">
        <v>37</v>
      </c>
      <c r="Y717">
        <v>0</v>
      </c>
      <c r="Z717" t="s">
        <v>37</v>
      </c>
      <c r="AA717">
        <v>0</v>
      </c>
      <c r="AB717" t="s">
        <v>37</v>
      </c>
      <c r="AC717">
        <v>0</v>
      </c>
      <c r="AD717" t="s">
        <v>31</v>
      </c>
      <c r="AE717">
        <v>0</v>
      </c>
      <c r="AF717" t="s">
        <v>31</v>
      </c>
      <c r="AG717">
        <v>0</v>
      </c>
      <c r="AH717" t="s">
        <v>31</v>
      </c>
      <c r="AI717">
        <v>0</v>
      </c>
      <c r="AJ717" t="s">
        <v>31</v>
      </c>
      <c r="AK717">
        <v>0</v>
      </c>
      <c r="AL717" t="s">
        <v>31</v>
      </c>
      <c r="AM717">
        <v>0</v>
      </c>
      <c r="AN717" t="s">
        <v>31</v>
      </c>
      <c r="AO717">
        <v>0</v>
      </c>
      <c r="AP717" t="s">
        <v>31</v>
      </c>
      <c r="AQ717">
        <v>0</v>
      </c>
    </row>
    <row r="718" spans="1:43" x14ac:dyDescent="0.2">
      <c r="A718" t="s">
        <v>381</v>
      </c>
      <c r="B718" s="3">
        <v>44316</v>
      </c>
      <c r="C718">
        <v>82</v>
      </c>
      <c r="D718" t="s">
        <v>389</v>
      </c>
      <c r="E718" t="s">
        <v>93</v>
      </c>
      <c r="F718" s="9" t="s">
        <v>94</v>
      </c>
      <c r="G718" t="s">
        <v>26</v>
      </c>
      <c r="H718" t="s">
        <v>34</v>
      </c>
      <c r="I718" t="s">
        <v>35</v>
      </c>
      <c r="J718" t="s">
        <v>29</v>
      </c>
      <c r="K718" t="s">
        <v>30</v>
      </c>
      <c r="L718" t="s">
        <v>29</v>
      </c>
      <c r="M718" t="s">
        <v>30</v>
      </c>
      <c r="N718" t="s">
        <v>34</v>
      </c>
      <c r="O718" t="s">
        <v>35</v>
      </c>
      <c r="P718" t="s">
        <v>29</v>
      </c>
      <c r="Q718" t="s">
        <v>30</v>
      </c>
      <c r="R718" s="1">
        <v>44316.452164351853</v>
      </c>
      <c r="S718" s="1">
        <v>44316.454710648148</v>
      </c>
      <c r="T718">
        <v>0</v>
      </c>
      <c r="U718">
        <v>5</v>
      </c>
      <c r="V718" s="2">
        <v>0</v>
      </c>
      <c r="W718">
        <v>0</v>
      </c>
      <c r="X718" t="s">
        <v>37</v>
      </c>
      <c r="Y718">
        <v>0</v>
      </c>
      <c r="Z718" t="s">
        <v>37</v>
      </c>
      <c r="AA718">
        <v>0</v>
      </c>
      <c r="AB718" t="s">
        <v>44</v>
      </c>
      <c r="AC718">
        <v>0</v>
      </c>
      <c r="AD718" t="s">
        <v>44</v>
      </c>
      <c r="AE718">
        <v>0</v>
      </c>
      <c r="AF718" t="s">
        <v>45</v>
      </c>
      <c r="AG718">
        <v>0</v>
      </c>
      <c r="AH718" t="s">
        <v>113</v>
      </c>
      <c r="AI718">
        <v>0</v>
      </c>
      <c r="AJ718" t="s">
        <v>47</v>
      </c>
      <c r="AK718">
        <v>0</v>
      </c>
      <c r="AL718" t="s">
        <v>31</v>
      </c>
      <c r="AM718">
        <v>0</v>
      </c>
      <c r="AN718" t="s">
        <v>31</v>
      </c>
      <c r="AO718">
        <v>0</v>
      </c>
      <c r="AP718" t="s">
        <v>31</v>
      </c>
      <c r="AQ718">
        <v>0</v>
      </c>
    </row>
    <row r="719" spans="1:43" x14ac:dyDescent="0.2">
      <c r="A719" t="s">
        <v>381</v>
      </c>
      <c r="B719" s="3">
        <v>44316</v>
      </c>
      <c r="C719">
        <v>83</v>
      </c>
      <c r="D719" t="s">
        <v>387</v>
      </c>
      <c r="E719" t="s">
        <v>93</v>
      </c>
      <c r="F719" s="9" t="s">
        <v>94</v>
      </c>
      <c r="G719" t="s">
        <v>26</v>
      </c>
      <c r="H719" t="s">
        <v>34</v>
      </c>
      <c r="I719" t="s">
        <v>35</v>
      </c>
      <c r="J719" t="s">
        <v>29</v>
      </c>
      <c r="K719" t="s">
        <v>30</v>
      </c>
      <c r="L719" t="s">
        <v>29</v>
      </c>
      <c r="M719" t="s">
        <v>30</v>
      </c>
      <c r="N719" t="s">
        <v>34</v>
      </c>
      <c r="O719" t="s">
        <v>35</v>
      </c>
      <c r="P719" t="s">
        <v>29</v>
      </c>
      <c r="Q719" t="s">
        <v>30</v>
      </c>
      <c r="R719" s="1">
        <v>44316.554444444446</v>
      </c>
      <c r="S719" s="1">
        <v>44316.554722222223</v>
      </c>
      <c r="T719">
        <v>0</v>
      </c>
      <c r="U719">
        <v>2</v>
      </c>
      <c r="V719" s="2">
        <v>0</v>
      </c>
      <c r="W719">
        <v>0</v>
      </c>
      <c r="X719" t="s">
        <v>37</v>
      </c>
      <c r="Y719">
        <v>0</v>
      </c>
      <c r="Z719" t="s">
        <v>37</v>
      </c>
      <c r="AA719">
        <v>0</v>
      </c>
      <c r="AB719" t="s">
        <v>44</v>
      </c>
      <c r="AC719">
        <v>0</v>
      </c>
      <c r="AD719" t="s">
        <v>44</v>
      </c>
      <c r="AE719">
        <v>0</v>
      </c>
      <c r="AF719" t="s">
        <v>37</v>
      </c>
      <c r="AG719">
        <v>0</v>
      </c>
      <c r="AH719" t="s">
        <v>31</v>
      </c>
      <c r="AI719">
        <v>0</v>
      </c>
      <c r="AJ719" t="s">
        <v>31</v>
      </c>
      <c r="AK719">
        <v>0</v>
      </c>
      <c r="AL719" t="s">
        <v>31</v>
      </c>
      <c r="AM719">
        <v>0</v>
      </c>
      <c r="AN719" t="s">
        <v>31</v>
      </c>
      <c r="AO719">
        <v>0</v>
      </c>
      <c r="AP719" t="s">
        <v>31</v>
      </c>
      <c r="AQ719">
        <v>0</v>
      </c>
    </row>
    <row r="720" spans="1:43" x14ac:dyDescent="0.2">
      <c r="A720" t="s">
        <v>381</v>
      </c>
      <c r="B720" s="3">
        <v>44319</v>
      </c>
      <c r="C720">
        <v>84</v>
      </c>
      <c r="D720" t="s">
        <v>390</v>
      </c>
      <c r="E720" t="s">
        <v>93</v>
      </c>
      <c r="F720" s="9" t="s">
        <v>94</v>
      </c>
      <c r="G720" t="s">
        <v>26</v>
      </c>
      <c r="H720" t="s">
        <v>34</v>
      </c>
      <c r="I720" t="s">
        <v>35</v>
      </c>
      <c r="J720" t="s">
        <v>29</v>
      </c>
      <c r="K720" t="s">
        <v>30</v>
      </c>
      <c r="L720" t="s">
        <v>29</v>
      </c>
      <c r="M720" t="s">
        <v>30</v>
      </c>
      <c r="N720" t="s">
        <v>34</v>
      </c>
      <c r="O720" t="s">
        <v>35</v>
      </c>
      <c r="P720" t="s">
        <v>29</v>
      </c>
      <c r="Q720" t="s">
        <v>30</v>
      </c>
      <c r="R720" s="1">
        <v>44319.405740740738</v>
      </c>
      <c r="S720" s="1">
        <v>44319.406076388892</v>
      </c>
      <c r="T720">
        <v>1</v>
      </c>
      <c r="U720">
        <v>1</v>
      </c>
      <c r="V720" s="2">
        <v>1</v>
      </c>
      <c r="W720">
        <v>0</v>
      </c>
      <c r="X720" t="s">
        <v>30</v>
      </c>
      <c r="Y720">
        <v>0</v>
      </c>
      <c r="Z720" t="s">
        <v>31</v>
      </c>
      <c r="AA720">
        <v>0</v>
      </c>
      <c r="AB720" t="s">
        <v>31</v>
      </c>
      <c r="AC720">
        <v>0</v>
      </c>
      <c r="AD720" t="s">
        <v>31</v>
      </c>
      <c r="AE720">
        <v>0</v>
      </c>
      <c r="AF720" t="s">
        <v>31</v>
      </c>
      <c r="AG720">
        <v>0</v>
      </c>
      <c r="AH720" t="s">
        <v>31</v>
      </c>
      <c r="AI720">
        <v>0</v>
      </c>
      <c r="AJ720" t="s">
        <v>31</v>
      </c>
      <c r="AK720">
        <v>0</v>
      </c>
      <c r="AL720" t="s">
        <v>31</v>
      </c>
      <c r="AM720">
        <v>0</v>
      </c>
      <c r="AN720" t="s">
        <v>31</v>
      </c>
      <c r="AO720">
        <v>0</v>
      </c>
      <c r="AP720" t="s">
        <v>31</v>
      </c>
      <c r="AQ720">
        <v>0</v>
      </c>
    </row>
    <row r="721" spans="1:43" x14ac:dyDescent="0.2">
      <c r="A721" t="s">
        <v>381</v>
      </c>
      <c r="B721" s="3">
        <v>44321</v>
      </c>
      <c r="C721">
        <v>89</v>
      </c>
      <c r="D721" t="s">
        <v>387</v>
      </c>
      <c r="E721" t="s">
        <v>93</v>
      </c>
      <c r="F721" s="9" t="s">
        <v>94</v>
      </c>
      <c r="G721" t="s">
        <v>26</v>
      </c>
      <c r="H721" t="s">
        <v>34</v>
      </c>
      <c r="I721" t="s">
        <v>35</v>
      </c>
      <c r="J721" t="s">
        <v>29</v>
      </c>
      <c r="K721" t="s">
        <v>30</v>
      </c>
      <c r="L721" t="s">
        <v>29</v>
      </c>
      <c r="M721" t="s">
        <v>30</v>
      </c>
      <c r="N721" t="s">
        <v>34</v>
      </c>
      <c r="O721" t="s">
        <v>35</v>
      </c>
      <c r="P721" t="s">
        <v>29</v>
      </c>
      <c r="Q721" t="s">
        <v>30</v>
      </c>
      <c r="R721" s="1">
        <v>44321.552465277775</v>
      </c>
      <c r="S721" s="1">
        <v>44321.552604166667</v>
      </c>
      <c r="T721">
        <v>0</v>
      </c>
      <c r="U721">
        <v>2</v>
      </c>
      <c r="V721" s="2">
        <v>0</v>
      </c>
      <c r="W721">
        <v>0</v>
      </c>
      <c r="X721" t="s">
        <v>37</v>
      </c>
      <c r="Y721">
        <v>0</v>
      </c>
      <c r="Z721" t="s">
        <v>37</v>
      </c>
      <c r="AA721">
        <v>0</v>
      </c>
      <c r="AB721" t="s">
        <v>44</v>
      </c>
      <c r="AC721">
        <v>0</v>
      </c>
      <c r="AD721" t="s">
        <v>44</v>
      </c>
      <c r="AE721">
        <v>0</v>
      </c>
      <c r="AF721" t="s">
        <v>37</v>
      </c>
      <c r="AG721">
        <v>0</v>
      </c>
      <c r="AH721" t="s">
        <v>31</v>
      </c>
      <c r="AI721">
        <v>0</v>
      </c>
      <c r="AJ721" t="s">
        <v>31</v>
      </c>
      <c r="AK721">
        <v>0</v>
      </c>
      <c r="AL721" t="s">
        <v>31</v>
      </c>
      <c r="AM721">
        <v>0</v>
      </c>
      <c r="AN721" t="s">
        <v>31</v>
      </c>
      <c r="AO721">
        <v>0</v>
      </c>
      <c r="AP721" t="s">
        <v>31</v>
      </c>
      <c r="AQ721">
        <v>0</v>
      </c>
    </row>
    <row r="722" spans="1:43" x14ac:dyDescent="0.2">
      <c r="A722" t="s">
        <v>381</v>
      </c>
      <c r="B722" s="3">
        <v>44323</v>
      </c>
      <c r="C722">
        <v>91</v>
      </c>
      <c r="D722" t="s">
        <v>391</v>
      </c>
      <c r="E722" t="s">
        <v>93</v>
      </c>
      <c r="F722" s="9" t="s">
        <v>94</v>
      </c>
      <c r="G722" t="s">
        <v>26</v>
      </c>
      <c r="H722" t="s">
        <v>34</v>
      </c>
      <c r="I722" t="s">
        <v>35</v>
      </c>
      <c r="J722" t="s">
        <v>29</v>
      </c>
      <c r="K722" t="s">
        <v>30</v>
      </c>
      <c r="L722" t="s">
        <v>29</v>
      </c>
      <c r="M722" t="s">
        <v>30</v>
      </c>
      <c r="N722" t="s">
        <v>34</v>
      </c>
      <c r="O722" t="s">
        <v>35</v>
      </c>
      <c r="P722" t="s">
        <v>29</v>
      </c>
      <c r="Q722" t="s">
        <v>30</v>
      </c>
      <c r="R722" s="1">
        <v>44323.576828703706</v>
      </c>
      <c r="S722" s="1">
        <v>44323.577106481483</v>
      </c>
      <c r="T722">
        <v>0</v>
      </c>
      <c r="U722">
        <v>0</v>
      </c>
      <c r="V722" s="2">
        <v>0</v>
      </c>
      <c r="W722">
        <v>0</v>
      </c>
      <c r="X722" t="s">
        <v>37</v>
      </c>
      <c r="Y722">
        <v>0</v>
      </c>
      <c r="Z722" t="s">
        <v>37</v>
      </c>
      <c r="AA722">
        <v>0</v>
      </c>
      <c r="AB722" t="s">
        <v>37</v>
      </c>
      <c r="AC722">
        <v>0</v>
      </c>
      <c r="AD722" t="s">
        <v>31</v>
      </c>
      <c r="AE722">
        <v>0</v>
      </c>
      <c r="AF722" t="s">
        <v>31</v>
      </c>
      <c r="AG722">
        <v>0</v>
      </c>
      <c r="AH722" t="s">
        <v>31</v>
      </c>
      <c r="AI722">
        <v>0</v>
      </c>
      <c r="AJ722" t="s">
        <v>31</v>
      </c>
      <c r="AK722">
        <v>0</v>
      </c>
      <c r="AL722" t="s">
        <v>31</v>
      </c>
      <c r="AM722">
        <v>0</v>
      </c>
      <c r="AN722" t="s">
        <v>31</v>
      </c>
      <c r="AO722">
        <v>0</v>
      </c>
      <c r="AP722" t="s">
        <v>31</v>
      </c>
      <c r="AQ722">
        <v>0</v>
      </c>
    </row>
    <row r="723" spans="1:43" x14ac:dyDescent="0.2">
      <c r="A723" t="s">
        <v>381</v>
      </c>
      <c r="B723" s="3">
        <v>44326</v>
      </c>
      <c r="C723">
        <v>92</v>
      </c>
      <c r="D723" t="s">
        <v>390</v>
      </c>
      <c r="E723" t="s">
        <v>93</v>
      </c>
      <c r="F723" s="9" t="s">
        <v>94</v>
      </c>
      <c r="G723" t="s">
        <v>26</v>
      </c>
      <c r="H723" t="s">
        <v>34</v>
      </c>
      <c r="I723" t="s">
        <v>35</v>
      </c>
      <c r="J723" t="s">
        <v>29</v>
      </c>
      <c r="K723" t="s">
        <v>30</v>
      </c>
      <c r="L723" t="s">
        <v>29</v>
      </c>
      <c r="M723" t="s">
        <v>30</v>
      </c>
      <c r="N723" t="s">
        <v>34</v>
      </c>
      <c r="O723" t="s">
        <v>35</v>
      </c>
      <c r="P723" t="s">
        <v>29</v>
      </c>
      <c r="Q723" t="s">
        <v>30</v>
      </c>
      <c r="R723" s="1">
        <v>44326.447384259256</v>
      </c>
      <c r="S723" s="1">
        <v>44326.447395833333</v>
      </c>
      <c r="T723">
        <v>1</v>
      </c>
      <c r="U723">
        <v>1</v>
      </c>
      <c r="V723" s="2">
        <v>1</v>
      </c>
      <c r="W723">
        <v>0</v>
      </c>
      <c r="X723" t="s">
        <v>30</v>
      </c>
      <c r="Y723">
        <v>0</v>
      </c>
      <c r="Z723" t="s">
        <v>31</v>
      </c>
      <c r="AA723">
        <v>0</v>
      </c>
      <c r="AB723" t="s">
        <v>31</v>
      </c>
      <c r="AC723">
        <v>0</v>
      </c>
      <c r="AD723" t="s">
        <v>31</v>
      </c>
      <c r="AE723">
        <v>0</v>
      </c>
      <c r="AF723" t="s">
        <v>31</v>
      </c>
      <c r="AG723">
        <v>0</v>
      </c>
      <c r="AH723" t="s">
        <v>31</v>
      </c>
      <c r="AI723">
        <v>0</v>
      </c>
      <c r="AJ723" t="s">
        <v>31</v>
      </c>
      <c r="AK723">
        <v>0</v>
      </c>
      <c r="AL723" t="s">
        <v>31</v>
      </c>
      <c r="AM723">
        <v>0</v>
      </c>
      <c r="AN723" t="s">
        <v>31</v>
      </c>
      <c r="AO723">
        <v>0</v>
      </c>
      <c r="AP723" t="s">
        <v>31</v>
      </c>
      <c r="AQ723">
        <v>0</v>
      </c>
    </row>
    <row r="724" spans="1:43" x14ac:dyDescent="0.2">
      <c r="A724" t="s">
        <v>381</v>
      </c>
      <c r="B724" s="3">
        <v>44328</v>
      </c>
      <c r="C724">
        <v>97</v>
      </c>
      <c r="D724" t="s">
        <v>387</v>
      </c>
      <c r="E724" t="s">
        <v>93</v>
      </c>
      <c r="F724" s="9" t="s">
        <v>94</v>
      </c>
      <c r="G724" t="s">
        <v>26</v>
      </c>
      <c r="H724" t="s">
        <v>34</v>
      </c>
      <c r="I724" t="s">
        <v>35</v>
      </c>
      <c r="J724" t="s">
        <v>29</v>
      </c>
      <c r="K724" t="s">
        <v>30</v>
      </c>
      <c r="L724" t="s">
        <v>29</v>
      </c>
      <c r="M724" t="s">
        <v>30</v>
      </c>
      <c r="N724" t="s">
        <v>34</v>
      </c>
      <c r="O724" t="s">
        <v>35</v>
      </c>
      <c r="P724" t="s">
        <v>29</v>
      </c>
      <c r="Q724" t="s">
        <v>30</v>
      </c>
      <c r="R724" s="1">
        <v>44328.564004629632</v>
      </c>
      <c r="S724" s="1">
        <v>44328.564143518517</v>
      </c>
      <c r="T724">
        <v>0</v>
      </c>
      <c r="U724">
        <v>2</v>
      </c>
      <c r="V724" s="2">
        <v>0</v>
      </c>
      <c r="W724">
        <v>0</v>
      </c>
      <c r="X724" t="s">
        <v>37</v>
      </c>
      <c r="Y724">
        <v>0</v>
      </c>
      <c r="Z724" t="s">
        <v>37</v>
      </c>
      <c r="AA724">
        <v>0</v>
      </c>
      <c r="AB724" t="s">
        <v>44</v>
      </c>
      <c r="AC724">
        <v>0</v>
      </c>
      <c r="AD724" t="s">
        <v>44</v>
      </c>
      <c r="AE724">
        <v>0</v>
      </c>
      <c r="AF724" t="s">
        <v>37</v>
      </c>
      <c r="AG724">
        <v>0</v>
      </c>
      <c r="AH724" t="s">
        <v>31</v>
      </c>
      <c r="AI724">
        <v>0</v>
      </c>
      <c r="AJ724" t="s">
        <v>31</v>
      </c>
      <c r="AK724">
        <v>0</v>
      </c>
      <c r="AL724" t="s">
        <v>31</v>
      </c>
      <c r="AM724">
        <v>0</v>
      </c>
      <c r="AN724" t="s">
        <v>31</v>
      </c>
      <c r="AO724">
        <v>0</v>
      </c>
      <c r="AP724" t="s">
        <v>31</v>
      </c>
      <c r="AQ724">
        <v>0</v>
      </c>
    </row>
    <row r="725" spans="1:43" x14ac:dyDescent="0.2">
      <c r="A725" t="s">
        <v>381</v>
      </c>
      <c r="B725" s="3">
        <v>44334</v>
      </c>
      <c r="C725">
        <v>98</v>
      </c>
      <c r="D725" t="s">
        <v>383</v>
      </c>
      <c r="E725" t="s">
        <v>93</v>
      </c>
      <c r="F725" s="9" t="s">
        <v>94</v>
      </c>
      <c r="G725" t="s">
        <v>26</v>
      </c>
      <c r="H725" t="s">
        <v>34</v>
      </c>
      <c r="I725" t="s">
        <v>35</v>
      </c>
      <c r="J725" t="s">
        <v>29</v>
      </c>
      <c r="K725" t="s">
        <v>30</v>
      </c>
      <c r="L725" t="s">
        <v>29</v>
      </c>
      <c r="M725" t="s">
        <v>30</v>
      </c>
      <c r="N725" t="s">
        <v>34</v>
      </c>
      <c r="O725" t="s">
        <v>35</v>
      </c>
      <c r="P725" t="s">
        <v>29</v>
      </c>
      <c r="Q725" t="s">
        <v>30</v>
      </c>
      <c r="R725" s="1">
        <v>44334.409861111111</v>
      </c>
      <c r="S725" s="1">
        <v>44334.411226851851</v>
      </c>
      <c r="T725">
        <v>0</v>
      </c>
      <c r="U725">
        <v>3</v>
      </c>
      <c r="V725" s="2">
        <v>0</v>
      </c>
      <c r="W725">
        <v>0</v>
      </c>
      <c r="X725" t="s">
        <v>37</v>
      </c>
      <c r="Y725">
        <v>0</v>
      </c>
      <c r="Z725" t="s">
        <v>37</v>
      </c>
      <c r="AA725">
        <v>0</v>
      </c>
      <c r="AB725" t="s">
        <v>45</v>
      </c>
      <c r="AC725">
        <v>0</v>
      </c>
      <c r="AD725" t="s">
        <v>113</v>
      </c>
      <c r="AE725">
        <v>0</v>
      </c>
      <c r="AF725" t="s">
        <v>47</v>
      </c>
      <c r="AG725">
        <v>0</v>
      </c>
      <c r="AH725" t="s">
        <v>31</v>
      </c>
      <c r="AI725">
        <v>0</v>
      </c>
      <c r="AJ725" t="s">
        <v>31</v>
      </c>
      <c r="AK725">
        <v>0</v>
      </c>
      <c r="AL725" t="s">
        <v>31</v>
      </c>
      <c r="AM725">
        <v>0</v>
      </c>
      <c r="AN725" t="s">
        <v>31</v>
      </c>
      <c r="AO725">
        <v>0</v>
      </c>
      <c r="AP725" t="s">
        <v>31</v>
      </c>
      <c r="AQ725">
        <v>0</v>
      </c>
    </row>
    <row r="726" spans="1:43" x14ac:dyDescent="0.2">
      <c r="A726" t="s">
        <v>381</v>
      </c>
      <c r="B726" s="3">
        <v>44334</v>
      </c>
      <c r="C726">
        <v>99</v>
      </c>
      <c r="D726" t="s">
        <v>385</v>
      </c>
      <c r="E726" t="s">
        <v>93</v>
      </c>
      <c r="F726" s="9" t="s">
        <v>94</v>
      </c>
      <c r="G726" t="s">
        <v>26</v>
      </c>
      <c r="H726" t="s">
        <v>34</v>
      </c>
      <c r="I726" t="s">
        <v>35</v>
      </c>
      <c r="J726" t="s">
        <v>29</v>
      </c>
      <c r="K726" t="s">
        <v>30</v>
      </c>
      <c r="L726" t="s">
        <v>29</v>
      </c>
      <c r="M726" t="s">
        <v>30</v>
      </c>
      <c r="N726" t="s">
        <v>34</v>
      </c>
      <c r="O726" t="s">
        <v>35</v>
      </c>
      <c r="P726" t="s">
        <v>29</v>
      </c>
      <c r="Q726" t="s">
        <v>30</v>
      </c>
      <c r="R726" s="1">
        <v>44334.564675925925</v>
      </c>
      <c r="S726" s="1">
        <v>44334.565358796295</v>
      </c>
      <c r="T726">
        <v>0</v>
      </c>
      <c r="U726">
        <v>2</v>
      </c>
      <c r="V726" s="2">
        <v>0</v>
      </c>
      <c r="W726">
        <v>0</v>
      </c>
      <c r="X726" t="s">
        <v>44</v>
      </c>
      <c r="Y726">
        <v>0</v>
      </c>
      <c r="Z726" t="s">
        <v>44</v>
      </c>
      <c r="AA726">
        <v>0</v>
      </c>
      <c r="AB726" t="s">
        <v>37</v>
      </c>
      <c r="AC726">
        <v>0</v>
      </c>
      <c r="AD726" t="s">
        <v>37</v>
      </c>
      <c r="AE726">
        <v>0</v>
      </c>
      <c r="AF726" t="s">
        <v>37</v>
      </c>
      <c r="AG726">
        <v>0</v>
      </c>
      <c r="AH726" t="s">
        <v>31</v>
      </c>
      <c r="AI726">
        <v>0</v>
      </c>
      <c r="AJ726" t="s">
        <v>31</v>
      </c>
      <c r="AK726">
        <v>0</v>
      </c>
      <c r="AL726" t="s">
        <v>31</v>
      </c>
      <c r="AM726">
        <v>0</v>
      </c>
      <c r="AN726" t="s">
        <v>31</v>
      </c>
      <c r="AO726">
        <v>0</v>
      </c>
      <c r="AP726" t="s">
        <v>31</v>
      </c>
      <c r="AQ726">
        <v>0</v>
      </c>
    </row>
    <row r="727" spans="1:43" x14ac:dyDescent="0.2">
      <c r="A727" t="s">
        <v>381</v>
      </c>
      <c r="B727" s="3">
        <v>44335</v>
      </c>
      <c r="C727">
        <v>101</v>
      </c>
      <c r="D727" t="s">
        <v>383</v>
      </c>
      <c r="E727" t="s">
        <v>93</v>
      </c>
      <c r="F727" s="9" t="s">
        <v>94</v>
      </c>
      <c r="G727" t="s">
        <v>26</v>
      </c>
      <c r="H727" t="s">
        <v>34</v>
      </c>
      <c r="I727" t="s">
        <v>35</v>
      </c>
      <c r="J727" t="s">
        <v>29</v>
      </c>
      <c r="K727" t="s">
        <v>30</v>
      </c>
      <c r="L727" t="s">
        <v>29</v>
      </c>
      <c r="M727" t="s">
        <v>30</v>
      </c>
      <c r="N727" t="s">
        <v>34</v>
      </c>
      <c r="O727" t="s">
        <v>35</v>
      </c>
      <c r="P727" t="s">
        <v>29</v>
      </c>
      <c r="Q727" t="s">
        <v>30</v>
      </c>
      <c r="R727" s="1">
        <v>44335.626747685186</v>
      </c>
      <c r="S727" s="1">
        <v>44335.626747685186</v>
      </c>
      <c r="T727">
        <v>1</v>
      </c>
      <c r="U727">
        <v>1</v>
      </c>
      <c r="V727" s="2">
        <v>1</v>
      </c>
      <c r="W727">
        <v>0</v>
      </c>
      <c r="X727" t="s">
        <v>30</v>
      </c>
      <c r="Y727">
        <v>0</v>
      </c>
      <c r="Z727" t="s">
        <v>31</v>
      </c>
      <c r="AA727">
        <v>0</v>
      </c>
      <c r="AB727" t="s">
        <v>31</v>
      </c>
      <c r="AC727">
        <v>0</v>
      </c>
      <c r="AD727" t="s">
        <v>31</v>
      </c>
      <c r="AE727">
        <v>0</v>
      </c>
      <c r="AF727" t="s">
        <v>31</v>
      </c>
      <c r="AG727">
        <v>0</v>
      </c>
      <c r="AH727" t="s">
        <v>31</v>
      </c>
      <c r="AI727">
        <v>0</v>
      </c>
      <c r="AJ727" t="s">
        <v>31</v>
      </c>
      <c r="AK727">
        <v>0</v>
      </c>
      <c r="AL727" t="s">
        <v>31</v>
      </c>
      <c r="AM727">
        <v>0</v>
      </c>
      <c r="AN727" t="s">
        <v>31</v>
      </c>
      <c r="AO727">
        <v>0</v>
      </c>
      <c r="AP727" t="s">
        <v>31</v>
      </c>
      <c r="AQ727">
        <v>0</v>
      </c>
    </row>
    <row r="728" spans="1:43" x14ac:dyDescent="0.2">
      <c r="A728" t="s">
        <v>381</v>
      </c>
      <c r="B728" s="3">
        <v>44336</v>
      </c>
      <c r="C728">
        <v>103</v>
      </c>
      <c r="D728" t="s">
        <v>385</v>
      </c>
      <c r="E728" t="s">
        <v>93</v>
      </c>
      <c r="F728" s="9" t="s">
        <v>94</v>
      </c>
      <c r="G728" t="s">
        <v>26</v>
      </c>
      <c r="H728" t="s">
        <v>34</v>
      </c>
      <c r="I728" t="s">
        <v>35</v>
      </c>
      <c r="J728" t="s">
        <v>29</v>
      </c>
      <c r="K728" t="s">
        <v>30</v>
      </c>
      <c r="L728" t="s">
        <v>29</v>
      </c>
      <c r="M728" t="s">
        <v>30</v>
      </c>
      <c r="N728" t="s">
        <v>34</v>
      </c>
      <c r="O728" t="s">
        <v>35</v>
      </c>
      <c r="P728" t="s">
        <v>29</v>
      </c>
      <c r="Q728" t="s">
        <v>30</v>
      </c>
      <c r="R728" s="1">
        <v>44336.564282407409</v>
      </c>
      <c r="S728" s="1">
        <v>44336.565532407411</v>
      </c>
      <c r="T728">
        <v>0</v>
      </c>
      <c r="U728">
        <v>1</v>
      </c>
      <c r="V728" s="2">
        <v>0</v>
      </c>
      <c r="W728">
        <v>0</v>
      </c>
      <c r="X728" t="s">
        <v>44</v>
      </c>
      <c r="Y728">
        <v>0</v>
      </c>
      <c r="Z728" t="s">
        <v>37</v>
      </c>
      <c r="AA728">
        <v>0</v>
      </c>
      <c r="AB728" t="s">
        <v>37</v>
      </c>
      <c r="AC728">
        <v>0</v>
      </c>
      <c r="AD728" t="s">
        <v>37</v>
      </c>
      <c r="AE728">
        <v>0</v>
      </c>
      <c r="AF728" t="s">
        <v>31</v>
      </c>
      <c r="AG728">
        <v>0</v>
      </c>
      <c r="AH728" t="s">
        <v>31</v>
      </c>
      <c r="AI728">
        <v>0</v>
      </c>
      <c r="AJ728" t="s">
        <v>31</v>
      </c>
      <c r="AK728">
        <v>0</v>
      </c>
      <c r="AL728" t="s">
        <v>31</v>
      </c>
      <c r="AM728">
        <v>0</v>
      </c>
      <c r="AN728" t="s">
        <v>31</v>
      </c>
      <c r="AO728">
        <v>0</v>
      </c>
      <c r="AP728" t="s">
        <v>31</v>
      </c>
      <c r="AQ728">
        <v>0</v>
      </c>
    </row>
    <row r="729" spans="1:43" x14ac:dyDescent="0.2">
      <c r="A729" t="s">
        <v>381</v>
      </c>
      <c r="B729" s="3">
        <v>44337</v>
      </c>
      <c r="C729">
        <v>104</v>
      </c>
      <c r="D729" t="s">
        <v>390</v>
      </c>
      <c r="E729" t="s">
        <v>93</v>
      </c>
      <c r="F729" s="9" t="s">
        <v>94</v>
      </c>
      <c r="G729" t="s">
        <v>26</v>
      </c>
      <c r="H729" t="s">
        <v>34</v>
      </c>
      <c r="I729" t="s">
        <v>35</v>
      </c>
      <c r="J729" t="s">
        <v>29</v>
      </c>
      <c r="K729" t="s">
        <v>30</v>
      </c>
      <c r="L729" t="s">
        <v>29</v>
      </c>
      <c r="M729" t="s">
        <v>30</v>
      </c>
      <c r="N729" t="s">
        <v>34</v>
      </c>
      <c r="O729" t="s">
        <v>35</v>
      </c>
      <c r="P729" t="s">
        <v>29</v>
      </c>
      <c r="Q729" t="s">
        <v>30</v>
      </c>
      <c r="R729" s="1">
        <v>44337.407604166663</v>
      </c>
      <c r="S729" s="1">
        <v>44337.415497685186</v>
      </c>
      <c r="T729">
        <v>0</v>
      </c>
      <c r="U729">
        <v>6</v>
      </c>
      <c r="V729" s="2">
        <v>0</v>
      </c>
      <c r="W729">
        <v>0</v>
      </c>
      <c r="X729" t="s">
        <v>37</v>
      </c>
      <c r="Y729">
        <v>0</v>
      </c>
      <c r="Z729" t="s">
        <v>37</v>
      </c>
      <c r="AA729">
        <v>0</v>
      </c>
      <c r="AB729" t="s">
        <v>44</v>
      </c>
      <c r="AC729">
        <v>0</v>
      </c>
      <c r="AD729" t="s">
        <v>44</v>
      </c>
      <c r="AE729">
        <v>0</v>
      </c>
      <c r="AF729" t="s">
        <v>45</v>
      </c>
      <c r="AG729">
        <v>0</v>
      </c>
      <c r="AH729" t="s">
        <v>113</v>
      </c>
      <c r="AI729">
        <v>0</v>
      </c>
      <c r="AJ729" t="s">
        <v>47</v>
      </c>
      <c r="AK729">
        <v>0</v>
      </c>
      <c r="AL729" t="s">
        <v>44</v>
      </c>
      <c r="AM729">
        <v>0</v>
      </c>
      <c r="AN729" t="s">
        <v>31</v>
      </c>
      <c r="AO729">
        <v>0</v>
      </c>
      <c r="AP729" t="s">
        <v>31</v>
      </c>
      <c r="AQ729">
        <v>0</v>
      </c>
    </row>
    <row r="730" spans="1:43" x14ac:dyDescent="0.2">
      <c r="A730" t="s">
        <v>381</v>
      </c>
      <c r="B730" s="3">
        <v>44337</v>
      </c>
      <c r="C730">
        <v>105</v>
      </c>
      <c r="D730" t="s">
        <v>405</v>
      </c>
      <c r="E730" t="s">
        <v>93</v>
      </c>
      <c r="F730" s="9" t="s">
        <v>94</v>
      </c>
      <c r="G730" t="s">
        <v>26</v>
      </c>
      <c r="H730" t="s">
        <v>34</v>
      </c>
      <c r="I730" t="s">
        <v>35</v>
      </c>
      <c r="J730" t="s">
        <v>29</v>
      </c>
      <c r="K730" t="s">
        <v>30</v>
      </c>
      <c r="L730" t="s">
        <v>29</v>
      </c>
      <c r="M730" t="s">
        <v>30</v>
      </c>
      <c r="N730" t="s">
        <v>34</v>
      </c>
      <c r="O730" t="s">
        <v>35</v>
      </c>
      <c r="P730" t="s">
        <v>29</v>
      </c>
      <c r="Q730" t="s">
        <v>30</v>
      </c>
      <c r="R730" s="1">
        <v>44337.633437500001</v>
      </c>
      <c r="S730" s="1">
        <v>44337.638437499998</v>
      </c>
      <c r="T730">
        <v>0</v>
      </c>
      <c r="U730">
        <v>1</v>
      </c>
      <c r="V730" s="2">
        <v>0</v>
      </c>
      <c r="W730">
        <v>0</v>
      </c>
      <c r="X730" t="s">
        <v>44</v>
      </c>
      <c r="Y730">
        <v>0</v>
      </c>
      <c r="Z730" t="s">
        <v>37</v>
      </c>
      <c r="AA730">
        <v>0</v>
      </c>
      <c r="AB730" t="s">
        <v>37</v>
      </c>
      <c r="AC730">
        <v>0</v>
      </c>
      <c r="AD730" t="s">
        <v>31</v>
      </c>
      <c r="AE730">
        <v>0</v>
      </c>
      <c r="AF730" t="s">
        <v>31</v>
      </c>
      <c r="AG730">
        <v>0</v>
      </c>
      <c r="AH730" t="s">
        <v>31</v>
      </c>
      <c r="AI730">
        <v>0</v>
      </c>
      <c r="AJ730" t="s">
        <v>31</v>
      </c>
      <c r="AK730">
        <v>0</v>
      </c>
      <c r="AL730" t="s">
        <v>31</v>
      </c>
      <c r="AM730">
        <v>0</v>
      </c>
      <c r="AN730" t="s">
        <v>31</v>
      </c>
      <c r="AO730">
        <v>0</v>
      </c>
      <c r="AP730" t="s">
        <v>31</v>
      </c>
      <c r="AQ730">
        <v>0</v>
      </c>
    </row>
    <row r="731" spans="1:43" x14ac:dyDescent="0.2">
      <c r="A731" t="s">
        <v>381</v>
      </c>
      <c r="B731" s="3">
        <v>44338</v>
      </c>
      <c r="C731">
        <v>106</v>
      </c>
      <c r="D731" t="s">
        <v>408</v>
      </c>
      <c r="E731" t="s">
        <v>93</v>
      </c>
      <c r="F731" s="9" t="s">
        <v>94</v>
      </c>
      <c r="G731" t="s">
        <v>26</v>
      </c>
      <c r="H731" t="s">
        <v>34</v>
      </c>
      <c r="I731" t="s">
        <v>35</v>
      </c>
      <c r="J731" t="s">
        <v>29</v>
      </c>
      <c r="K731" t="s">
        <v>30</v>
      </c>
      <c r="L731" t="s">
        <v>29</v>
      </c>
      <c r="M731" t="s">
        <v>30</v>
      </c>
      <c r="N731" t="s">
        <v>34</v>
      </c>
      <c r="O731" t="s">
        <v>35</v>
      </c>
      <c r="P731" t="s">
        <v>29</v>
      </c>
      <c r="Q731" t="s">
        <v>30</v>
      </c>
      <c r="R731" s="1">
        <v>44338.418124999997</v>
      </c>
      <c r="S731" s="1">
        <v>44338.420185185183</v>
      </c>
      <c r="T731">
        <v>0</v>
      </c>
      <c r="U731">
        <v>5</v>
      </c>
      <c r="V731" s="2">
        <v>0</v>
      </c>
      <c r="W731">
        <v>0</v>
      </c>
      <c r="X731" t="s">
        <v>37</v>
      </c>
      <c r="Y731">
        <v>0</v>
      </c>
      <c r="Z731" t="s">
        <v>37</v>
      </c>
      <c r="AA731">
        <v>0</v>
      </c>
      <c r="AB731" t="s">
        <v>44</v>
      </c>
      <c r="AC731">
        <v>0</v>
      </c>
      <c r="AD731" t="s">
        <v>44</v>
      </c>
      <c r="AE731">
        <v>0</v>
      </c>
      <c r="AF731" t="s">
        <v>45</v>
      </c>
      <c r="AG731">
        <v>0</v>
      </c>
      <c r="AH731" t="s">
        <v>113</v>
      </c>
      <c r="AI731">
        <v>0</v>
      </c>
      <c r="AJ731" t="s">
        <v>47</v>
      </c>
      <c r="AK731">
        <v>0</v>
      </c>
      <c r="AL731" t="s">
        <v>31</v>
      </c>
      <c r="AM731">
        <v>0</v>
      </c>
      <c r="AN731" t="s">
        <v>31</v>
      </c>
      <c r="AO731">
        <v>0</v>
      </c>
      <c r="AP731" t="s">
        <v>31</v>
      </c>
      <c r="AQ731">
        <v>0</v>
      </c>
    </row>
    <row r="732" spans="1:43" x14ac:dyDescent="0.2">
      <c r="A732" t="s">
        <v>381</v>
      </c>
      <c r="B732" s="3">
        <v>44338</v>
      </c>
      <c r="C732">
        <v>107</v>
      </c>
      <c r="D732" t="s">
        <v>392</v>
      </c>
      <c r="E732" t="s">
        <v>93</v>
      </c>
      <c r="F732" s="9" t="s">
        <v>94</v>
      </c>
      <c r="G732" t="s">
        <v>26</v>
      </c>
      <c r="H732" t="s">
        <v>34</v>
      </c>
      <c r="I732" t="s">
        <v>35</v>
      </c>
      <c r="J732" t="s">
        <v>29</v>
      </c>
      <c r="K732" t="s">
        <v>30</v>
      </c>
      <c r="L732" t="s">
        <v>29</v>
      </c>
      <c r="M732" t="s">
        <v>30</v>
      </c>
      <c r="N732" t="s">
        <v>34</v>
      </c>
      <c r="O732" t="s">
        <v>35</v>
      </c>
      <c r="P732" t="s">
        <v>29</v>
      </c>
      <c r="Q732" t="s">
        <v>30</v>
      </c>
      <c r="R732" s="1">
        <v>44338.62226851852</v>
      </c>
      <c r="S732" s="1">
        <v>44338.622569444444</v>
      </c>
      <c r="T732">
        <v>0</v>
      </c>
      <c r="U732">
        <v>4</v>
      </c>
      <c r="V732" s="2">
        <v>0</v>
      </c>
      <c r="W732">
        <v>0</v>
      </c>
      <c r="X732" t="s">
        <v>37</v>
      </c>
      <c r="Y732">
        <v>0</v>
      </c>
      <c r="Z732" t="s">
        <v>37</v>
      </c>
      <c r="AA732">
        <v>0</v>
      </c>
      <c r="AB732" t="s">
        <v>44</v>
      </c>
      <c r="AC732">
        <v>0</v>
      </c>
      <c r="AD732" t="s">
        <v>44</v>
      </c>
      <c r="AE732">
        <v>0</v>
      </c>
      <c r="AF732" t="s">
        <v>45</v>
      </c>
      <c r="AG732">
        <v>0</v>
      </c>
      <c r="AH732" t="s">
        <v>113</v>
      </c>
      <c r="AI732">
        <v>0</v>
      </c>
      <c r="AJ732" t="s">
        <v>37</v>
      </c>
      <c r="AK732">
        <v>0</v>
      </c>
      <c r="AL732" t="s">
        <v>31</v>
      </c>
      <c r="AM732">
        <v>0</v>
      </c>
      <c r="AN732" t="s">
        <v>31</v>
      </c>
      <c r="AO732">
        <v>0</v>
      </c>
      <c r="AP732" t="s">
        <v>31</v>
      </c>
      <c r="AQ732">
        <v>0</v>
      </c>
    </row>
    <row r="733" spans="1:43" x14ac:dyDescent="0.2">
      <c r="A733" t="s">
        <v>381</v>
      </c>
      <c r="B733" s="3">
        <v>44340</v>
      </c>
      <c r="C733">
        <v>108</v>
      </c>
      <c r="D733" t="s">
        <v>393</v>
      </c>
      <c r="E733" t="s">
        <v>93</v>
      </c>
      <c r="F733" s="9" t="s">
        <v>94</v>
      </c>
      <c r="G733" t="s">
        <v>26</v>
      </c>
      <c r="H733" t="s">
        <v>34</v>
      </c>
      <c r="I733" t="s">
        <v>35</v>
      </c>
      <c r="J733" t="s">
        <v>29</v>
      </c>
      <c r="K733" t="s">
        <v>30</v>
      </c>
      <c r="L733" t="s">
        <v>29</v>
      </c>
      <c r="M733" t="s">
        <v>30</v>
      </c>
      <c r="N733" t="s">
        <v>34</v>
      </c>
      <c r="O733" t="s">
        <v>35</v>
      </c>
      <c r="P733" t="s">
        <v>29</v>
      </c>
      <c r="Q733" t="s">
        <v>30</v>
      </c>
      <c r="R733" s="1">
        <v>44340.474340277775</v>
      </c>
      <c r="S733" s="1">
        <v>44340.475162037037</v>
      </c>
      <c r="T733">
        <v>1</v>
      </c>
      <c r="U733">
        <v>2</v>
      </c>
      <c r="V733" s="2">
        <v>0.5</v>
      </c>
      <c r="W733">
        <v>0</v>
      </c>
      <c r="X733" t="s">
        <v>37</v>
      </c>
      <c r="Y733">
        <v>0</v>
      </c>
      <c r="Z733" t="s">
        <v>37</v>
      </c>
      <c r="AA733">
        <v>0</v>
      </c>
      <c r="AB733" t="s">
        <v>44</v>
      </c>
      <c r="AC733">
        <v>0</v>
      </c>
      <c r="AD733" t="s">
        <v>30</v>
      </c>
      <c r="AE733">
        <v>0</v>
      </c>
      <c r="AF733" t="s">
        <v>31</v>
      </c>
      <c r="AG733">
        <v>0</v>
      </c>
      <c r="AH733" t="s">
        <v>31</v>
      </c>
      <c r="AI733">
        <v>0</v>
      </c>
      <c r="AJ733" t="s">
        <v>31</v>
      </c>
      <c r="AK733">
        <v>0</v>
      </c>
      <c r="AL733" t="s">
        <v>31</v>
      </c>
      <c r="AM733">
        <v>0</v>
      </c>
      <c r="AN733" t="s">
        <v>31</v>
      </c>
      <c r="AO733">
        <v>0</v>
      </c>
      <c r="AP733" t="s">
        <v>31</v>
      </c>
      <c r="AQ733">
        <v>0</v>
      </c>
    </row>
    <row r="734" spans="1:43" x14ac:dyDescent="0.2">
      <c r="A734" t="s">
        <v>381</v>
      </c>
      <c r="B734" s="3">
        <v>44340</v>
      </c>
      <c r="C734">
        <v>109</v>
      </c>
      <c r="D734" t="s">
        <v>383</v>
      </c>
      <c r="E734" t="s">
        <v>93</v>
      </c>
      <c r="F734" s="9" t="s">
        <v>94</v>
      </c>
      <c r="G734" t="s">
        <v>26</v>
      </c>
      <c r="H734" t="s">
        <v>34</v>
      </c>
      <c r="I734" t="s">
        <v>35</v>
      </c>
      <c r="J734" t="s">
        <v>29</v>
      </c>
      <c r="K734" t="s">
        <v>30</v>
      </c>
      <c r="L734" t="s">
        <v>29</v>
      </c>
      <c r="M734" t="s">
        <v>30</v>
      </c>
      <c r="N734" t="s">
        <v>34</v>
      </c>
      <c r="O734" t="s">
        <v>35</v>
      </c>
      <c r="P734" t="s">
        <v>29</v>
      </c>
      <c r="Q734" t="s">
        <v>30</v>
      </c>
      <c r="R734" s="1">
        <v>44340.569872685184</v>
      </c>
      <c r="S734" s="1">
        <v>44340.574791666666</v>
      </c>
      <c r="T734">
        <v>0</v>
      </c>
      <c r="U734">
        <v>5</v>
      </c>
      <c r="V734" s="2">
        <v>0</v>
      </c>
      <c r="W734">
        <v>0</v>
      </c>
      <c r="X734" t="s">
        <v>44</v>
      </c>
      <c r="Y734">
        <v>0</v>
      </c>
      <c r="Z734" t="s">
        <v>44</v>
      </c>
      <c r="AA734">
        <v>0</v>
      </c>
      <c r="AB734" t="s">
        <v>45</v>
      </c>
      <c r="AC734">
        <v>0</v>
      </c>
      <c r="AD734" t="s">
        <v>113</v>
      </c>
      <c r="AE734">
        <v>0</v>
      </c>
      <c r="AF734" t="s">
        <v>47</v>
      </c>
      <c r="AG734">
        <v>0</v>
      </c>
      <c r="AH734" t="s">
        <v>31</v>
      </c>
      <c r="AI734">
        <v>0</v>
      </c>
      <c r="AJ734" t="s">
        <v>31</v>
      </c>
      <c r="AK734">
        <v>0</v>
      </c>
      <c r="AL734" t="s">
        <v>31</v>
      </c>
      <c r="AM734">
        <v>0</v>
      </c>
      <c r="AN734" t="s">
        <v>31</v>
      </c>
      <c r="AO734">
        <v>0</v>
      </c>
      <c r="AP734" t="s">
        <v>31</v>
      </c>
      <c r="AQ734">
        <v>0</v>
      </c>
    </row>
    <row r="735" spans="1:43" x14ac:dyDescent="0.2">
      <c r="A735" t="s">
        <v>381</v>
      </c>
      <c r="B735" s="3">
        <v>44341</v>
      </c>
      <c r="C735">
        <v>110</v>
      </c>
      <c r="D735" t="s">
        <v>383</v>
      </c>
      <c r="E735" t="s">
        <v>93</v>
      </c>
      <c r="F735" s="9" t="s">
        <v>94</v>
      </c>
      <c r="G735" t="s">
        <v>26</v>
      </c>
      <c r="H735" t="s">
        <v>34</v>
      </c>
      <c r="I735" t="s">
        <v>35</v>
      </c>
      <c r="J735" t="s">
        <v>29</v>
      </c>
      <c r="K735" t="s">
        <v>30</v>
      </c>
      <c r="L735" t="s">
        <v>29</v>
      </c>
      <c r="M735" t="s">
        <v>30</v>
      </c>
      <c r="N735" t="s">
        <v>34</v>
      </c>
      <c r="O735" t="s">
        <v>35</v>
      </c>
      <c r="P735" t="s">
        <v>29</v>
      </c>
      <c r="Q735" t="s">
        <v>30</v>
      </c>
      <c r="R735" s="1">
        <v>44341.414872685185</v>
      </c>
      <c r="S735" s="1">
        <v>44341.414976851855</v>
      </c>
      <c r="T735">
        <v>0</v>
      </c>
      <c r="U735">
        <v>5</v>
      </c>
      <c r="V735" s="2">
        <v>0</v>
      </c>
      <c r="W735">
        <v>0</v>
      </c>
      <c r="X735" t="s">
        <v>37</v>
      </c>
      <c r="Y735">
        <v>0</v>
      </c>
      <c r="Z735" t="s">
        <v>44</v>
      </c>
      <c r="AA735">
        <v>0</v>
      </c>
      <c r="AB735" t="s">
        <v>44</v>
      </c>
      <c r="AC735">
        <v>0</v>
      </c>
      <c r="AD735" t="s">
        <v>45</v>
      </c>
      <c r="AE735">
        <v>0</v>
      </c>
      <c r="AF735" t="s">
        <v>113</v>
      </c>
      <c r="AG735">
        <v>0</v>
      </c>
      <c r="AH735" t="s">
        <v>47</v>
      </c>
      <c r="AI735">
        <v>0</v>
      </c>
      <c r="AJ735" t="s">
        <v>31</v>
      </c>
      <c r="AK735">
        <v>0</v>
      </c>
      <c r="AL735" t="s">
        <v>31</v>
      </c>
      <c r="AM735">
        <v>0</v>
      </c>
      <c r="AN735" t="s">
        <v>31</v>
      </c>
      <c r="AO735">
        <v>0</v>
      </c>
      <c r="AP735" t="s">
        <v>31</v>
      </c>
      <c r="AQ735">
        <v>0</v>
      </c>
    </row>
    <row r="736" spans="1:43" x14ac:dyDescent="0.2">
      <c r="A736" t="s">
        <v>381</v>
      </c>
      <c r="B736" s="3">
        <v>44341</v>
      </c>
      <c r="C736">
        <v>111</v>
      </c>
      <c r="D736" t="s">
        <v>385</v>
      </c>
      <c r="E736" t="s">
        <v>93</v>
      </c>
      <c r="F736" s="9" t="s">
        <v>94</v>
      </c>
      <c r="G736" t="s">
        <v>26</v>
      </c>
      <c r="H736" t="s">
        <v>34</v>
      </c>
      <c r="I736" t="s">
        <v>35</v>
      </c>
      <c r="J736" t="s">
        <v>29</v>
      </c>
      <c r="K736" t="s">
        <v>30</v>
      </c>
      <c r="L736" t="s">
        <v>29</v>
      </c>
      <c r="M736" t="s">
        <v>30</v>
      </c>
      <c r="N736" t="s">
        <v>34</v>
      </c>
      <c r="O736" t="s">
        <v>35</v>
      </c>
      <c r="P736" t="s">
        <v>29</v>
      </c>
      <c r="Q736" t="s">
        <v>30</v>
      </c>
      <c r="R736" s="1">
        <v>44341.624143518522</v>
      </c>
      <c r="S736" s="1">
        <v>44341.625173611108</v>
      </c>
      <c r="T736">
        <v>0</v>
      </c>
      <c r="U736">
        <v>6</v>
      </c>
      <c r="V736" s="2">
        <v>0</v>
      </c>
      <c r="W736">
        <v>0</v>
      </c>
      <c r="X736" t="s">
        <v>44</v>
      </c>
      <c r="Y736">
        <v>0</v>
      </c>
      <c r="Z736" t="s">
        <v>44</v>
      </c>
      <c r="AA736">
        <v>0</v>
      </c>
      <c r="AB736" t="s">
        <v>45</v>
      </c>
      <c r="AC736">
        <v>0</v>
      </c>
      <c r="AD736" t="s">
        <v>113</v>
      </c>
      <c r="AE736">
        <v>0</v>
      </c>
      <c r="AF736" t="s">
        <v>44</v>
      </c>
      <c r="AG736">
        <v>0</v>
      </c>
      <c r="AH736" t="s">
        <v>44</v>
      </c>
      <c r="AI736">
        <v>0</v>
      </c>
      <c r="AJ736" t="s">
        <v>37</v>
      </c>
      <c r="AK736">
        <v>0</v>
      </c>
      <c r="AL736" t="s">
        <v>31</v>
      </c>
      <c r="AM736">
        <v>0</v>
      </c>
      <c r="AN736" t="s">
        <v>31</v>
      </c>
      <c r="AO736">
        <v>0</v>
      </c>
      <c r="AP736" t="s">
        <v>31</v>
      </c>
      <c r="AQ736">
        <v>0</v>
      </c>
    </row>
    <row r="737" spans="1:43" x14ac:dyDescent="0.2">
      <c r="A737" t="s">
        <v>381</v>
      </c>
      <c r="B737" s="3">
        <v>44342</v>
      </c>
      <c r="C737">
        <v>112</v>
      </c>
      <c r="D737" t="s">
        <v>394</v>
      </c>
      <c r="E737" t="s">
        <v>93</v>
      </c>
      <c r="F737" s="9" t="s">
        <v>94</v>
      </c>
      <c r="G737" t="s">
        <v>26</v>
      </c>
      <c r="H737" t="s">
        <v>34</v>
      </c>
      <c r="I737" t="s">
        <v>35</v>
      </c>
      <c r="J737" t="s">
        <v>29</v>
      </c>
      <c r="K737" t="s">
        <v>30</v>
      </c>
      <c r="L737" t="s">
        <v>29</v>
      </c>
      <c r="M737" t="s">
        <v>30</v>
      </c>
      <c r="N737" t="s">
        <v>34</v>
      </c>
      <c r="O737" t="s">
        <v>35</v>
      </c>
      <c r="P737" t="s">
        <v>29</v>
      </c>
      <c r="Q737" t="s">
        <v>30</v>
      </c>
      <c r="R737" s="1">
        <v>44342.405590277776</v>
      </c>
      <c r="S737" s="1">
        <v>44342.405590277776</v>
      </c>
      <c r="T737">
        <v>1</v>
      </c>
      <c r="U737">
        <v>1</v>
      </c>
      <c r="V737" s="2">
        <v>1</v>
      </c>
      <c r="W737">
        <v>0</v>
      </c>
      <c r="X737" t="s">
        <v>37</v>
      </c>
      <c r="Y737">
        <v>0</v>
      </c>
      <c r="Z737" t="s">
        <v>30</v>
      </c>
      <c r="AA737">
        <v>0</v>
      </c>
      <c r="AB737" t="s">
        <v>31</v>
      </c>
      <c r="AC737">
        <v>0</v>
      </c>
      <c r="AD737" t="s">
        <v>31</v>
      </c>
      <c r="AE737">
        <v>0</v>
      </c>
      <c r="AF737" t="s">
        <v>31</v>
      </c>
      <c r="AG737">
        <v>0</v>
      </c>
      <c r="AH737" t="s">
        <v>31</v>
      </c>
      <c r="AI737">
        <v>0</v>
      </c>
      <c r="AJ737" t="s">
        <v>31</v>
      </c>
      <c r="AK737">
        <v>0</v>
      </c>
      <c r="AL737" t="s">
        <v>31</v>
      </c>
      <c r="AM737">
        <v>0</v>
      </c>
      <c r="AN737" t="s">
        <v>31</v>
      </c>
      <c r="AO737">
        <v>0</v>
      </c>
      <c r="AP737" t="s">
        <v>31</v>
      </c>
      <c r="AQ737">
        <v>0</v>
      </c>
    </row>
    <row r="738" spans="1:43" x14ac:dyDescent="0.2">
      <c r="A738" t="s">
        <v>381</v>
      </c>
      <c r="B738" s="3">
        <v>44342</v>
      </c>
      <c r="C738">
        <v>113</v>
      </c>
      <c r="D738" t="s">
        <v>383</v>
      </c>
      <c r="E738" t="s">
        <v>93</v>
      </c>
      <c r="F738" s="9" t="s">
        <v>94</v>
      </c>
      <c r="G738" t="s">
        <v>26</v>
      </c>
      <c r="H738" t="s">
        <v>34</v>
      </c>
      <c r="I738" t="s">
        <v>35</v>
      </c>
      <c r="J738" t="s">
        <v>29</v>
      </c>
      <c r="K738" t="s">
        <v>30</v>
      </c>
      <c r="L738" t="s">
        <v>29</v>
      </c>
      <c r="M738" t="s">
        <v>30</v>
      </c>
      <c r="N738" t="s">
        <v>34</v>
      </c>
      <c r="O738" t="s">
        <v>35</v>
      </c>
      <c r="P738" t="s">
        <v>29</v>
      </c>
      <c r="Q738" t="s">
        <v>30</v>
      </c>
      <c r="R738" s="1">
        <v>44342.64298611111</v>
      </c>
      <c r="S738" s="1">
        <v>44342.652430555558</v>
      </c>
      <c r="T738">
        <v>0</v>
      </c>
      <c r="U738">
        <v>4</v>
      </c>
      <c r="V738" s="2">
        <v>0</v>
      </c>
      <c r="W738">
        <v>0</v>
      </c>
      <c r="X738" t="s">
        <v>37</v>
      </c>
      <c r="Y738">
        <v>0</v>
      </c>
      <c r="Z738" t="s">
        <v>37</v>
      </c>
      <c r="AA738">
        <v>0</v>
      </c>
      <c r="AB738" t="s">
        <v>44</v>
      </c>
      <c r="AC738">
        <v>0</v>
      </c>
      <c r="AD738" t="s">
        <v>44</v>
      </c>
      <c r="AE738">
        <v>0</v>
      </c>
      <c r="AF738" t="s">
        <v>45</v>
      </c>
      <c r="AG738">
        <v>0</v>
      </c>
      <c r="AH738" t="s">
        <v>47</v>
      </c>
      <c r="AI738">
        <v>0</v>
      </c>
      <c r="AJ738" t="s">
        <v>31</v>
      </c>
      <c r="AK738">
        <v>0</v>
      </c>
      <c r="AL738" t="s">
        <v>31</v>
      </c>
      <c r="AM738">
        <v>0</v>
      </c>
      <c r="AN738" t="s">
        <v>31</v>
      </c>
      <c r="AO738">
        <v>0</v>
      </c>
      <c r="AP738" t="s">
        <v>31</v>
      </c>
      <c r="AQ738">
        <v>0</v>
      </c>
    </row>
    <row r="739" spans="1:43" x14ac:dyDescent="0.2">
      <c r="A739" t="s">
        <v>381</v>
      </c>
      <c r="B739" s="3">
        <v>44344</v>
      </c>
      <c r="C739">
        <v>116</v>
      </c>
      <c r="D739" t="s">
        <v>390</v>
      </c>
      <c r="E739" t="s">
        <v>93</v>
      </c>
      <c r="F739" s="9" t="s">
        <v>94</v>
      </c>
      <c r="G739" t="s">
        <v>26</v>
      </c>
      <c r="H739" t="s">
        <v>34</v>
      </c>
      <c r="I739" t="s">
        <v>35</v>
      </c>
      <c r="J739" t="s">
        <v>29</v>
      </c>
      <c r="K739" t="s">
        <v>30</v>
      </c>
      <c r="L739" t="s">
        <v>29</v>
      </c>
      <c r="M739" t="s">
        <v>30</v>
      </c>
      <c r="N739" t="s">
        <v>185</v>
      </c>
      <c r="O739" t="s">
        <v>186</v>
      </c>
      <c r="P739" t="s">
        <v>43</v>
      </c>
      <c r="Q739" t="s">
        <v>44</v>
      </c>
      <c r="R739" s="1">
        <v>44344.457141203704</v>
      </c>
      <c r="S739" s="1">
        <v>44344.457256944443</v>
      </c>
      <c r="T739">
        <v>0</v>
      </c>
      <c r="U739">
        <v>0</v>
      </c>
      <c r="V739" s="2">
        <v>0</v>
      </c>
      <c r="W739">
        <v>0</v>
      </c>
      <c r="X739" t="s">
        <v>37</v>
      </c>
      <c r="Y739">
        <v>0</v>
      </c>
      <c r="Z739" t="s">
        <v>37</v>
      </c>
      <c r="AA739">
        <v>0</v>
      </c>
      <c r="AB739" t="s">
        <v>37</v>
      </c>
      <c r="AC739">
        <v>0</v>
      </c>
      <c r="AD739" t="s">
        <v>31</v>
      </c>
      <c r="AE739">
        <v>0</v>
      </c>
      <c r="AF739" t="s">
        <v>31</v>
      </c>
      <c r="AG739">
        <v>0</v>
      </c>
      <c r="AH739" t="s">
        <v>31</v>
      </c>
      <c r="AI739">
        <v>0</v>
      </c>
      <c r="AJ739" t="s">
        <v>31</v>
      </c>
      <c r="AK739">
        <v>0</v>
      </c>
      <c r="AL739" t="s">
        <v>31</v>
      </c>
      <c r="AM739">
        <v>0</v>
      </c>
      <c r="AN739" t="s">
        <v>31</v>
      </c>
      <c r="AO739">
        <v>0</v>
      </c>
      <c r="AP739" t="s">
        <v>31</v>
      </c>
      <c r="AQ739">
        <v>0</v>
      </c>
    </row>
    <row r="740" spans="1:43" x14ac:dyDescent="0.2">
      <c r="A740" t="s">
        <v>381</v>
      </c>
      <c r="B740" s="3">
        <v>44344</v>
      </c>
      <c r="C740">
        <v>117</v>
      </c>
      <c r="D740" t="s">
        <v>409</v>
      </c>
      <c r="E740" t="s">
        <v>93</v>
      </c>
      <c r="F740" s="9" t="s">
        <v>94</v>
      </c>
      <c r="G740" t="s">
        <v>26</v>
      </c>
      <c r="H740" t="s">
        <v>185</v>
      </c>
      <c r="I740" t="s">
        <v>186</v>
      </c>
      <c r="J740" t="s">
        <v>43</v>
      </c>
      <c r="K740" t="s">
        <v>44</v>
      </c>
      <c r="L740" t="s">
        <v>29</v>
      </c>
      <c r="M740" t="s">
        <v>30</v>
      </c>
      <c r="N740" t="s">
        <v>185</v>
      </c>
      <c r="O740" t="s">
        <v>186</v>
      </c>
      <c r="P740" t="s">
        <v>43</v>
      </c>
      <c r="Q740" t="s">
        <v>44</v>
      </c>
      <c r="R740" s="1">
        <v>44344.640046296299</v>
      </c>
      <c r="S740" s="1">
        <v>44344.663275462961</v>
      </c>
      <c r="T740">
        <v>0</v>
      </c>
      <c r="U740">
        <v>5</v>
      </c>
      <c r="V740" s="2">
        <v>0</v>
      </c>
      <c r="W740">
        <v>0</v>
      </c>
      <c r="X740" t="s">
        <v>44</v>
      </c>
      <c r="Y740">
        <v>0</v>
      </c>
      <c r="Z740" t="s">
        <v>44</v>
      </c>
      <c r="AA740">
        <v>0</v>
      </c>
      <c r="AB740" t="s">
        <v>45</v>
      </c>
      <c r="AC740">
        <v>0</v>
      </c>
      <c r="AD740" t="s">
        <v>113</v>
      </c>
      <c r="AE740">
        <v>0</v>
      </c>
      <c r="AF740" t="s">
        <v>47</v>
      </c>
      <c r="AG740">
        <v>0</v>
      </c>
      <c r="AH740" t="s">
        <v>31</v>
      </c>
      <c r="AI740">
        <v>0</v>
      </c>
      <c r="AJ740" t="s">
        <v>31</v>
      </c>
      <c r="AK740">
        <v>0</v>
      </c>
      <c r="AL740" t="s">
        <v>31</v>
      </c>
      <c r="AM740">
        <v>0</v>
      </c>
      <c r="AN740" t="s">
        <v>31</v>
      </c>
      <c r="AO740">
        <v>0</v>
      </c>
      <c r="AP740" t="s">
        <v>31</v>
      </c>
      <c r="AQ740">
        <v>0</v>
      </c>
    </row>
    <row r="741" spans="1:43" x14ac:dyDescent="0.2">
      <c r="A741" t="s">
        <v>381</v>
      </c>
      <c r="B741" s="3">
        <v>44348</v>
      </c>
      <c r="C741">
        <v>118</v>
      </c>
      <c r="D741" t="s">
        <v>396</v>
      </c>
      <c r="E741" t="s">
        <v>93</v>
      </c>
      <c r="F741" s="9" t="s">
        <v>94</v>
      </c>
      <c r="G741" t="s">
        <v>26</v>
      </c>
      <c r="H741" t="s">
        <v>185</v>
      </c>
      <c r="I741" t="s">
        <v>186</v>
      </c>
      <c r="J741" t="s">
        <v>43</v>
      </c>
      <c r="K741" t="s">
        <v>44</v>
      </c>
      <c r="L741" t="s">
        <v>29</v>
      </c>
      <c r="M741" t="s">
        <v>30</v>
      </c>
      <c r="N741" t="s">
        <v>185</v>
      </c>
      <c r="O741" t="s">
        <v>186</v>
      </c>
      <c r="P741" t="s">
        <v>43</v>
      </c>
      <c r="Q741" t="s">
        <v>44</v>
      </c>
      <c r="R741" s="1">
        <v>44348.461064814815</v>
      </c>
      <c r="S741" s="1">
        <v>44348.461076388892</v>
      </c>
      <c r="T741">
        <v>1</v>
      </c>
      <c r="U741">
        <v>4</v>
      </c>
      <c r="V741" s="2">
        <v>0.25</v>
      </c>
      <c r="W741">
        <v>0</v>
      </c>
      <c r="X741" t="s">
        <v>44</v>
      </c>
      <c r="Y741">
        <v>0</v>
      </c>
      <c r="Z741" t="s">
        <v>44</v>
      </c>
      <c r="AA741">
        <v>0</v>
      </c>
      <c r="AB741" t="s">
        <v>45</v>
      </c>
      <c r="AC741">
        <v>0</v>
      </c>
      <c r="AD741" t="s">
        <v>30</v>
      </c>
      <c r="AE741">
        <v>0</v>
      </c>
      <c r="AF741" t="s">
        <v>31</v>
      </c>
      <c r="AG741">
        <v>0</v>
      </c>
      <c r="AH741" t="s">
        <v>31</v>
      </c>
      <c r="AI741">
        <v>0</v>
      </c>
      <c r="AJ741" t="s">
        <v>31</v>
      </c>
      <c r="AK741">
        <v>0</v>
      </c>
      <c r="AL741" t="s">
        <v>31</v>
      </c>
      <c r="AM741">
        <v>0</v>
      </c>
      <c r="AN741" t="s">
        <v>31</v>
      </c>
      <c r="AO741">
        <v>0</v>
      </c>
      <c r="AP741" t="s">
        <v>31</v>
      </c>
      <c r="AQ741">
        <v>0</v>
      </c>
    </row>
    <row r="742" spans="1:43" x14ac:dyDescent="0.2">
      <c r="A742" t="s">
        <v>381</v>
      </c>
      <c r="B742" s="3">
        <v>44348</v>
      </c>
      <c r="C742">
        <v>119</v>
      </c>
      <c r="D742" t="s">
        <v>385</v>
      </c>
      <c r="E742" t="s">
        <v>93</v>
      </c>
      <c r="F742" s="9" t="s">
        <v>94</v>
      </c>
      <c r="G742" t="s">
        <v>26</v>
      </c>
      <c r="H742" t="s">
        <v>185</v>
      </c>
      <c r="I742" t="s">
        <v>186</v>
      </c>
      <c r="J742" t="s">
        <v>43</v>
      </c>
      <c r="K742" t="s">
        <v>44</v>
      </c>
      <c r="L742" t="s">
        <v>29</v>
      </c>
      <c r="M742" t="s">
        <v>30</v>
      </c>
      <c r="N742" t="s">
        <v>185</v>
      </c>
      <c r="O742" t="s">
        <v>186</v>
      </c>
      <c r="P742" t="s">
        <v>43</v>
      </c>
      <c r="Q742" t="s">
        <v>44</v>
      </c>
      <c r="R742" s="1">
        <v>44348.642858796295</v>
      </c>
      <c r="S742" s="1">
        <v>44348.643043981479</v>
      </c>
      <c r="T742">
        <v>1</v>
      </c>
      <c r="U742">
        <v>3</v>
      </c>
      <c r="V742" s="2">
        <v>0.33</v>
      </c>
      <c r="W742">
        <v>0</v>
      </c>
      <c r="X742" t="s">
        <v>44</v>
      </c>
      <c r="Y742">
        <v>0</v>
      </c>
      <c r="Z742" t="s">
        <v>44</v>
      </c>
      <c r="AA742">
        <v>0</v>
      </c>
      <c r="AB742" t="s">
        <v>30</v>
      </c>
      <c r="AC742">
        <v>0</v>
      </c>
      <c r="AD742" t="s">
        <v>31</v>
      </c>
      <c r="AE742">
        <v>0</v>
      </c>
      <c r="AF742" t="s">
        <v>31</v>
      </c>
      <c r="AG742">
        <v>0</v>
      </c>
      <c r="AH742" t="s">
        <v>31</v>
      </c>
      <c r="AI742">
        <v>0</v>
      </c>
      <c r="AJ742" t="s">
        <v>31</v>
      </c>
      <c r="AK742">
        <v>0</v>
      </c>
      <c r="AL742" t="s">
        <v>31</v>
      </c>
      <c r="AM742">
        <v>0</v>
      </c>
      <c r="AN742" t="s">
        <v>31</v>
      </c>
      <c r="AO742">
        <v>0</v>
      </c>
      <c r="AP742" t="s">
        <v>31</v>
      </c>
      <c r="AQ742">
        <v>0</v>
      </c>
    </row>
    <row r="743" spans="1:43" x14ac:dyDescent="0.2">
      <c r="A743" t="s">
        <v>381</v>
      </c>
      <c r="B743" s="3">
        <v>44349</v>
      </c>
      <c r="C743">
        <v>120</v>
      </c>
      <c r="D743" t="s">
        <v>398</v>
      </c>
      <c r="E743" t="s">
        <v>93</v>
      </c>
      <c r="F743" s="9" t="s">
        <v>94</v>
      </c>
      <c r="G743" t="s">
        <v>26</v>
      </c>
      <c r="H743" t="s">
        <v>185</v>
      </c>
      <c r="I743" t="s">
        <v>186</v>
      </c>
      <c r="J743" t="s">
        <v>43</v>
      </c>
      <c r="K743" t="s">
        <v>44</v>
      </c>
      <c r="L743" t="s">
        <v>29</v>
      </c>
      <c r="M743" t="s">
        <v>30</v>
      </c>
      <c r="N743" t="s">
        <v>185</v>
      </c>
      <c r="O743" t="s">
        <v>186</v>
      </c>
      <c r="P743" t="s">
        <v>43</v>
      </c>
      <c r="Q743" t="s">
        <v>44</v>
      </c>
      <c r="R743" s="1">
        <v>44349.458645833336</v>
      </c>
      <c r="S743" s="1">
        <v>44349.462997685187</v>
      </c>
      <c r="T743">
        <v>0</v>
      </c>
      <c r="U743">
        <v>5</v>
      </c>
      <c r="V743" s="2">
        <v>0</v>
      </c>
      <c r="W743">
        <v>0</v>
      </c>
      <c r="X743" t="s">
        <v>44</v>
      </c>
      <c r="Y743">
        <v>0</v>
      </c>
      <c r="Z743" t="s">
        <v>44</v>
      </c>
      <c r="AA743">
        <v>0</v>
      </c>
      <c r="AB743" t="s">
        <v>45</v>
      </c>
      <c r="AC743">
        <v>0</v>
      </c>
      <c r="AD743" t="s">
        <v>113</v>
      </c>
      <c r="AE743">
        <v>0</v>
      </c>
      <c r="AF743" t="s">
        <v>47</v>
      </c>
      <c r="AG743">
        <v>0</v>
      </c>
      <c r="AH743" t="s">
        <v>31</v>
      </c>
      <c r="AI743">
        <v>0</v>
      </c>
      <c r="AJ743" t="s">
        <v>31</v>
      </c>
      <c r="AK743">
        <v>0</v>
      </c>
      <c r="AL743" t="s">
        <v>31</v>
      </c>
      <c r="AM743">
        <v>0</v>
      </c>
      <c r="AN743" t="s">
        <v>31</v>
      </c>
      <c r="AO743">
        <v>0</v>
      </c>
      <c r="AP743" t="s">
        <v>31</v>
      </c>
      <c r="AQ743">
        <v>0</v>
      </c>
    </row>
    <row r="744" spans="1:43" x14ac:dyDescent="0.2">
      <c r="A744" t="s">
        <v>381</v>
      </c>
      <c r="B744" s="3">
        <v>44349</v>
      </c>
      <c r="C744">
        <v>121</v>
      </c>
      <c r="D744" t="s">
        <v>385</v>
      </c>
      <c r="E744" t="s">
        <v>93</v>
      </c>
      <c r="F744" s="9" t="s">
        <v>94</v>
      </c>
      <c r="G744" t="s">
        <v>26</v>
      </c>
      <c r="H744" t="s">
        <v>185</v>
      </c>
      <c r="I744" t="s">
        <v>186</v>
      </c>
      <c r="J744" t="s">
        <v>43</v>
      </c>
      <c r="K744" t="s">
        <v>44</v>
      </c>
      <c r="L744" t="s">
        <v>29</v>
      </c>
      <c r="M744" t="s">
        <v>30</v>
      </c>
      <c r="N744" t="s">
        <v>185</v>
      </c>
      <c r="O744" t="s">
        <v>186</v>
      </c>
      <c r="P744" t="s">
        <v>43</v>
      </c>
      <c r="Q744" t="s">
        <v>44</v>
      </c>
      <c r="R744" s="1">
        <v>44349.617928240739</v>
      </c>
      <c r="S744" s="1">
        <v>44349.61954861111</v>
      </c>
      <c r="T744">
        <v>0</v>
      </c>
      <c r="U744">
        <v>9</v>
      </c>
      <c r="V744" s="2">
        <v>0</v>
      </c>
      <c r="W744">
        <v>0</v>
      </c>
      <c r="X744" t="s">
        <v>44</v>
      </c>
      <c r="Y744">
        <v>0</v>
      </c>
      <c r="Z744" t="s">
        <v>44</v>
      </c>
      <c r="AA744">
        <v>0</v>
      </c>
      <c r="AB744" t="s">
        <v>45</v>
      </c>
      <c r="AC744">
        <v>0</v>
      </c>
      <c r="AD744" t="s">
        <v>113</v>
      </c>
      <c r="AE744">
        <v>0</v>
      </c>
      <c r="AF744" t="s">
        <v>44</v>
      </c>
      <c r="AG744">
        <v>0</v>
      </c>
      <c r="AH744" t="s">
        <v>44</v>
      </c>
      <c r="AI744">
        <v>0</v>
      </c>
      <c r="AJ744" t="s">
        <v>45</v>
      </c>
      <c r="AK744">
        <v>0</v>
      </c>
      <c r="AL744" t="s">
        <v>113</v>
      </c>
      <c r="AM744">
        <v>0</v>
      </c>
      <c r="AN744" t="s">
        <v>47</v>
      </c>
      <c r="AO744">
        <v>0</v>
      </c>
      <c r="AP744" t="s">
        <v>31</v>
      </c>
      <c r="AQ744">
        <v>0</v>
      </c>
    </row>
    <row r="745" spans="1:43" x14ac:dyDescent="0.2">
      <c r="A745" t="s">
        <v>381</v>
      </c>
      <c r="B745" s="3">
        <v>44351</v>
      </c>
      <c r="C745">
        <v>124</v>
      </c>
      <c r="D745" t="s">
        <v>390</v>
      </c>
      <c r="E745" t="s">
        <v>93</v>
      </c>
      <c r="F745" s="9" t="s">
        <v>94</v>
      </c>
      <c r="G745" t="s">
        <v>26</v>
      </c>
      <c r="H745" t="s">
        <v>185</v>
      </c>
      <c r="I745" t="s">
        <v>186</v>
      </c>
      <c r="J745" t="s">
        <v>43</v>
      </c>
      <c r="K745" t="s">
        <v>44</v>
      </c>
      <c r="L745" t="s">
        <v>29</v>
      </c>
      <c r="M745" t="s">
        <v>30</v>
      </c>
      <c r="N745" t="s">
        <v>64</v>
      </c>
      <c r="O745" t="s">
        <v>65</v>
      </c>
      <c r="P745" t="s">
        <v>43</v>
      </c>
      <c r="Q745" t="s">
        <v>44</v>
      </c>
      <c r="R745" s="1">
        <v>44351.408310185187</v>
      </c>
      <c r="S745" s="1">
        <v>44351.408310185187</v>
      </c>
      <c r="T745">
        <v>1</v>
      </c>
      <c r="U745">
        <v>1</v>
      </c>
      <c r="V745" s="2">
        <v>1</v>
      </c>
      <c r="W745">
        <v>0</v>
      </c>
      <c r="X745" t="s">
        <v>30</v>
      </c>
      <c r="Y745">
        <v>0</v>
      </c>
      <c r="Z745" t="s">
        <v>31</v>
      </c>
      <c r="AA745">
        <v>0</v>
      </c>
      <c r="AB745" t="s">
        <v>31</v>
      </c>
      <c r="AC745">
        <v>0</v>
      </c>
      <c r="AD745" t="s">
        <v>31</v>
      </c>
      <c r="AE745">
        <v>0</v>
      </c>
      <c r="AF745" t="s">
        <v>31</v>
      </c>
      <c r="AG745">
        <v>0</v>
      </c>
      <c r="AH745" t="s">
        <v>31</v>
      </c>
      <c r="AI745">
        <v>0</v>
      </c>
      <c r="AJ745" t="s">
        <v>31</v>
      </c>
      <c r="AK745">
        <v>0</v>
      </c>
      <c r="AL745" t="s">
        <v>31</v>
      </c>
      <c r="AM745">
        <v>0</v>
      </c>
      <c r="AN745" t="s">
        <v>31</v>
      </c>
      <c r="AO745">
        <v>0</v>
      </c>
      <c r="AP745" t="s">
        <v>31</v>
      </c>
      <c r="AQ745">
        <v>0</v>
      </c>
    </row>
    <row r="746" spans="1:43" x14ac:dyDescent="0.2">
      <c r="A746" t="s">
        <v>381</v>
      </c>
      <c r="B746" s="3">
        <v>44351</v>
      </c>
      <c r="C746">
        <v>125</v>
      </c>
      <c r="D746" t="s">
        <v>387</v>
      </c>
      <c r="E746" t="s">
        <v>93</v>
      </c>
      <c r="F746" s="9" t="s">
        <v>94</v>
      </c>
      <c r="G746" t="s">
        <v>26</v>
      </c>
      <c r="H746" t="s">
        <v>64</v>
      </c>
      <c r="I746" t="s">
        <v>65</v>
      </c>
      <c r="J746" t="s">
        <v>43</v>
      </c>
      <c r="K746" t="s">
        <v>44</v>
      </c>
      <c r="L746" t="s">
        <v>29</v>
      </c>
      <c r="M746" t="s">
        <v>30</v>
      </c>
      <c r="N746" t="s">
        <v>64</v>
      </c>
      <c r="O746" t="s">
        <v>65</v>
      </c>
      <c r="P746" t="s">
        <v>43</v>
      </c>
      <c r="Q746" t="s">
        <v>44</v>
      </c>
      <c r="R746" s="1">
        <v>44351.624537037038</v>
      </c>
      <c r="S746" s="1">
        <v>44351.624537037038</v>
      </c>
      <c r="T746">
        <v>1</v>
      </c>
      <c r="U746">
        <v>2</v>
      </c>
      <c r="V746" s="2">
        <v>0.5</v>
      </c>
      <c r="W746">
        <v>0</v>
      </c>
      <c r="X746" t="s">
        <v>44</v>
      </c>
      <c r="Y746">
        <v>0</v>
      </c>
      <c r="Z746" t="s">
        <v>30</v>
      </c>
      <c r="AA746">
        <v>0</v>
      </c>
      <c r="AB746" t="s">
        <v>31</v>
      </c>
      <c r="AC746">
        <v>0</v>
      </c>
      <c r="AD746" t="s">
        <v>31</v>
      </c>
      <c r="AE746">
        <v>0</v>
      </c>
      <c r="AF746" t="s">
        <v>31</v>
      </c>
      <c r="AG746">
        <v>0</v>
      </c>
      <c r="AH746" t="s">
        <v>31</v>
      </c>
      <c r="AI746">
        <v>0</v>
      </c>
      <c r="AJ746" t="s">
        <v>31</v>
      </c>
      <c r="AK746">
        <v>0</v>
      </c>
      <c r="AL746" t="s">
        <v>31</v>
      </c>
      <c r="AM746">
        <v>0</v>
      </c>
      <c r="AN746" t="s">
        <v>31</v>
      </c>
      <c r="AO746">
        <v>0</v>
      </c>
      <c r="AP746" t="s">
        <v>31</v>
      </c>
      <c r="AQ746">
        <v>0</v>
      </c>
    </row>
    <row r="747" spans="1:43" x14ac:dyDescent="0.2">
      <c r="A747" t="s">
        <v>381</v>
      </c>
      <c r="B747" s="3">
        <v>44355</v>
      </c>
      <c r="C747">
        <v>129</v>
      </c>
      <c r="D747" t="s">
        <v>385</v>
      </c>
      <c r="E747" t="s">
        <v>93</v>
      </c>
      <c r="F747" s="9" t="s">
        <v>94</v>
      </c>
      <c r="G747" t="s">
        <v>26</v>
      </c>
      <c r="H747" t="s">
        <v>64</v>
      </c>
      <c r="I747" t="s">
        <v>65</v>
      </c>
      <c r="J747" t="s">
        <v>43</v>
      </c>
      <c r="K747" t="s">
        <v>44</v>
      </c>
      <c r="L747" t="s">
        <v>29</v>
      </c>
      <c r="M747" t="s">
        <v>30</v>
      </c>
      <c r="N747" t="s">
        <v>64</v>
      </c>
      <c r="O747" t="s">
        <v>65</v>
      </c>
      <c r="P747" t="s">
        <v>43</v>
      </c>
      <c r="Q747" t="s">
        <v>44</v>
      </c>
      <c r="R747" s="1">
        <v>44355.563611111109</v>
      </c>
      <c r="S747" s="1">
        <v>44355.564456018517</v>
      </c>
      <c r="T747">
        <v>0</v>
      </c>
      <c r="U747">
        <v>5</v>
      </c>
      <c r="V747" s="2">
        <v>0</v>
      </c>
      <c r="W747">
        <v>0</v>
      </c>
      <c r="X747" t="s">
        <v>44</v>
      </c>
      <c r="Y747">
        <v>0</v>
      </c>
      <c r="Z747" t="s">
        <v>44</v>
      </c>
      <c r="AA747">
        <v>0</v>
      </c>
      <c r="AB747" t="s">
        <v>45</v>
      </c>
      <c r="AC747">
        <v>0</v>
      </c>
      <c r="AD747" t="s">
        <v>113</v>
      </c>
      <c r="AE747">
        <v>0</v>
      </c>
      <c r="AF747" t="s">
        <v>47</v>
      </c>
      <c r="AG747">
        <v>0</v>
      </c>
      <c r="AH747" t="s">
        <v>31</v>
      </c>
      <c r="AI747">
        <v>0</v>
      </c>
      <c r="AJ747" t="s">
        <v>31</v>
      </c>
      <c r="AK747">
        <v>0</v>
      </c>
      <c r="AL747" t="s">
        <v>31</v>
      </c>
      <c r="AM747">
        <v>0</v>
      </c>
      <c r="AN747" t="s">
        <v>31</v>
      </c>
      <c r="AO747">
        <v>0</v>
      </c>
      <c r="AP747" t="s">
        <v>31</v>
      </c>
      <c r="AQ747">
        <v>0</v>
      </c>
    </row>
    <row r="748" spans="1:43" x14ac:dyDescent="0.2">
      <c r="A748" t="s">
        <v>381</v>
      </c>
      <c r="B748" s="3">
        <v>44356</v>
      </c>
      <c r="C748">
        <v>130</v>
      </c>
      <c r="D748" t="s">
        <v>398</v>
      </c>
      <c r="E748" t="s">
        <v>93</v>
      </c>
      <c r="F748" s="9" t="s">
        <v>94</v>
      </c>
      <c r="G748" t="s">
        <v>26</v>
      </c>
      <c r="H748" t="s">
        <v>64</v>
      </c>
      <c r="I748" t="s">
        <v>65</v>
      </c>
      <c r="J748" t="s">
        <v>43</v>
      </c>
      <c r="K748" t="s">
        <v>44</v>
      </c>
      <c r="L748" t="s">
        <v>29</v>
      </c>
      <c r="M748" t="s">
        <v>30</v>
      </c>
      <c r="N748" t="s">
        <v>64</v>
      </c>
      <c r="O748" t="s">
        <v>65</v>
      </c>
      <c r="P748" t="s">
        <v>43</v>
      </c>
      <c r="Q748" t="s">
        <v>44</v>
      </c>
      <c r="R748" s="1">
        <v>44356.41915509259</v>
      </c>
      <c r="S748" s="1">
        <v>44356.419756944444</v>
      </c>
      <c r="T748">
        <v>4</v>
      </c>
      <c r="U748">
        <v>5</v>
      </c>
      <c r="V748" s="2">
        <v>0.8</v>
      </c>
      <c r="W748">
        <v>0</v>
      </c>
      <c r="X748" t="s">
        <v>44</v>
      </c>
      <c r="Y748">
        <v>0</v>
      </c>
      <c r="Z748" t="s">
        <v>30</v>
      </c>
      <c r="AA748">
        <v>0</v>
      </c>
      <c r="AB748" t="s">
        <v>30</v>
      </c>
      <c r="AC748">
        <v>0</v>
      </c>
      <c r="AD748" t="s">
        <v>30</v>
      </c>
      <c r="AE748">
        <v>0</v>
      </c>
      <c r="AF748" t="s">
        <v>30</v>
      </c>
      <c r="AG748">
        <v>0</v>
      </c>
      <c r="AH748" t="s">
        <v>31</v>
      </c>
      <c r="AI748">
        <v>0</v>
      </c>
      <c r="AJ748" t="s">
        <v>31</v>
      </c>
      <c r="AK748">
        <v>0</v>
      </c>
      <c r="AL748" t="s">
        <v>31</v>
      </c>
      <c r="AM748">
        <v>0</v>
      </c>
      <c r="AN748" t="s">
        <v>31</v>
      </c>
      <c r="AO748">
        <v>0</v>
      </c>
      <c r="AP748" t="s">
        <v>31</v>
      </c>
      <c r="AQ748">
        <v>0</v>
      </c>
    </row>
    <row r="749" spans="1:43" x14ac:dyDescent="0.2">
      <c r="A749" t="s">
        <v>381</v>
      </c>
      <c r="B749" s="3">
        <v>44356</v>
      </c>
      <c r="C749">
        <v>131</v>
      </c>
      <c r="D749" t="s">
        <v>383</v>
      </c>
      <c r="E749" t="s">
        <v>93</v>
      </c>
      <c r="F749" s="9" t="s">
        <v>94</v>
      </c>
      <c r="G749" t="s">
        <v>26</v>
      </c>
      <c r="H749" t="s">
        <v>64</v>
      </c>
      <c r="I749" t="s">
        <v>65</v>
      </c>
      <c r="J749" t="s">
        <v>43</v>
      </c>
      <c r="K749" t="s">
        <v>44</v>
      </c>
      <c r="L749" t="s">
        <v>29</v>
      </c>
      <c r="M749" t="s">
        <v>30</v>
      </c>
      <c r="N749" t="s">
        <v>132</v>
      </c>
      <c r="O749" t="s">
        <v>133</v>
      </c>
      <c r="P749" t="s">
        <v>43</v>
      </c>
      <c r="Q749" t="s">
        <v>44</v>
      </c>
      <c r="R749" s="1">
        <v>44356.618483796294</v>
      </c>
      <c r="S749" s="1">
        <v>44356.618483796294</v>
      </c>
      <c r="T749">
        <v>1</v>
      </c>
      <c r="U749">
        <v>1</v>
      </c>
      <c r="V749" s="2">
        <v>1</v>
      </c>
      <c r="W749">
        <v>0</v>
      </c>
      <c r="X749" t="s">
        <v>30</v>
      </c>
      <c r="Y749">
        <v>0</v>
      </c>
      <c r="Z749" t="s">
        <v>31</v>
      </c>
      <c r="AA749">
        <v>0</v>
      </c>
      <c r="AB749" t="s">
        <v>31</v>
      </c>
      <c r="AC749">
        <v>0</v>
      </c>
      <c r="AD749" t="s">
        <v>31</v>
      </c>
      <c r="AE749">
        <v>0</v>
      </c>
      <c r="AF749" t="s">
        <v>31</v>
      </c>
      <c r="AG749">
        <v>0</v>
      </c>
      <c r="AH749" t="s">
        <v>31</v>
      </c>
      <c r="AI749">
        <v>0</v>
      </c>
      <c r="AJ749" t="s">
        <v>31</v>
      </c>
      <c r="AK749">
        <v>0</v>
      </c>
      <c r="AL749" t="s">
        <v>31</v>
      </c>
      <c r="AM749">
        <v>0</v>
      </c>
      <c r="AN749" t="s">
        <v>31</v>
      </c>
      <c r="AO749">
        <v>0</v>
      </c>
      <c r="AP749" t="s">
        <v>31</v>
      </c>
      <c r="AQ749">
        <v>0</v>
      </c>
    </row>
    <row r="750" spans="1:43" x14ac:dyDescent="0.2">
      <c r="A750" t="s">
        <v>381</v>
      </c>
      <c r="B750" s="3">
        <v>44357</v>
      </c>
      <c r="C750">
        <v>132</v>
      </c>
      <c r="D750" t="s">
        <v>399</v>
      </c>
      <c r="E750" t="s">
        <v>93</v>
      </c>
      <c r="F750" s="9" t="s">
        <v>94</v>
      </c>
      <c r="G750" t="s">
        <v>26</v>
      </c>
      <c r="H750" t="s">
        <v>132</v>
      </c>
      <c r="I750" t="s">
        <v>133</v>
      </c>
      <c r="J750" t="s">
        <v>43</v>
      </c>
      <c r="K750" t="s">
        <v>44</v>
      </c>
      <c r="L750" t="s">
        <v>29</v>
      </c>
      <c r="M750" t="s">
        <v>30</v>
      </c>
      <c r="N750" t="s">
        <v>64</v>
      </c>
      <c r="O750" t="s">
        <v>65</v>
      </c>
      <c r="P750" t="s">
        <v>29</v>
      </c>
      <c r="Q750" t="s">
        <v>30</v>
      </c>
      <c r="R750" s="1">
        <v>44357.387291666666</v>
      </c>
      <c r="S750" s="1">
        <v>44357.387766203705</v>
      </c>
      <c r="T750">
        <v>0</v>
      </c>
      <c r="U750">
        <v>5</v>
      </c>
      <c r="V750" s="2">
        <v>0</v>
      </c>
      <c r="W750">
        <v>0</v>
      </c>
      <c r="X750" t="s">
        <v>44</v>
      </c>
      <c r="Y750">
        <v>0</v>
      </c>
      <c r="Z750" t="s">
        <v>44</v>
      </c>
      <c r="AA750">
        <v>0</v>
      </c>
      <c r="AB750" t="s">
        <v>45</v>
      </c>
      <c r="AC750">
        <v>0</v>
      </c>
      <c r="AD750" t="s">
        <v>113</v>
      </c>
      <c r="AE750">
        <v>0</v>
      </c>
      <c r="AF750" t="s">
        <v>47</v>
      </c>
      <c r="AG750">
        <v>0</v>
      </c>
      <c r="AH750" t="s">
        <v>31</v>
      </c>
      <c r="AI750">
        <v>0</v>
      </c>
      <c r="AJ750" t="s">
        <v>31</v>
      </c>
      <c r="AK750">
        <v>0</v>
      </c>
      <c r="AL750" t="s">
        <v>31</v>
      </c>
      <c r="AM750">
        <v>0</v>
      </c>
      <c r="AN750" t="s">
        <v>31</v>
      </c>
      <c r="AO750">
        <v>0</v>
      </c>
      <c r="AP750" t="s">
        <v>31</v>
      </c>
      <c r="AQ750">
        <v>0</v>
      </c>
    </row>
    <row r="751" spans="1:43" x14ac:dyDescent="0.2">
      <c r="A751" t="s">
        <v>381</v>
      </c>
      <c r="B751" s="3">
        <v>44358</v>
      </c>
      <c r="C751">
        <v>133</v>
      </c>
      <c r="D751" t="s">
        <v>390</v>
      </c>
      <c r="E751" t="s">
        <v>93</v>
      </c>
      <c r="F751" s="9" t="s">
        <v>94</v>
      </c>
      <c r="G751" t="s">
        <v>26</v>
      </c>
      <c r="H751" t="s">
        <v>64</v>
      </c>
      <c r="I751" t="s">
        <v>65</v>
      </c>
      <c r="J751" t="s">
        <v>29</v>
      </c>
      <c r="K751" t="s">
        <v>30</v>
      </c>
      <c r="L751" t="s">
        <v>29</v>
      </c>
      <c r="M751" t="s">
        <v>30</v>
      </c>
      <c r="N751" t="s">
        <v>64</v>
      </c>
      <c r="O751" t="s">
        <v>65</v>
      </c>
      <c r="P751" t="s">
        <v>29</v>
      </c>
      <c r="Q751" t="s">
        <v>30</v>
      </c>
      <c r="R751" s="1">
        <v>44358.408113425925</v>
      </c>
      <c r="S751" s="1">
        <v>44358.408252314817</v>
      </c>
      <c r="T751">
        <v>1</v>
      </c>
      <c r="U751">
        <v>4</v>
      </c>
      <c r="V751" s="2">
        <v>0.25</v>
      </c>
      <c r="W751">
        <v>0</v>
      </c>
      <c r="X751" t="s">
        <v>44</v>
      </c>
      <c r="Y751">
        <v>0</v>
      </c>
      <c r="Z751" t="s">
        <v>44</v>
      </c>
      <c r="AA751">
        <v>0</v>
      </c>
      <c r="AB751" t="s">
        <v>45</v>
      </c>
      <c r="AC751">
        <v>0</v>
      </c>
      <c r="AD751" t="s">
        <v>30</v>
      </c>
      <c r="AE751">
        <v>0</v>
      </c>
      <c r="AF751" t="s">
        <v>31</v>
      </c>
      <c r="AG751">
        <v>0</v>
      </c>
      <c r="AH751" t="s">
        <v>31</v>
      </c>
      <c r="AI751">
        <v>0</v>
      </c>
      <c r="AJ751" t="s">
        <v>31</v>
      </c>
      <c r="AK751">
        <v>0</v>
      </c>
      <c r="AL751" t="s">
        <v>31</v>
      </c>
      <c r="AM751">
        <v>0</v>
      </c>
      <c r="AN751" t="s">
        <v>31</v>
      </c>
      <c r="AO751">
        <v>0</v>
      </c>
      <c r="AP751" t="s">
        <v>31</v>
      </c>
      <c r="AQ751">
        <v>0</v>
      </c>
    </row>
    <row r="752" spans="1:43" x14ac:dyDescent="0.2">
      <c r="A752" t="s">
        <v>381</v>
      </c>
      <c r="B752" s="3">
        <v>44361</v>
      </c>
      <c r="C752">
        <v>135</v>
      </c>
      <c r="D752" t="s">
        <v>390</v>
      </c>
      <c r="E752" t="s">
        <v>93</v>
      </c>
      <c r="F752" s="9" t="s">
        <v>94</v>
      </c>
      <c r="G752" t="s">
        <v>26</v>
      </c>
      <c r="H752" t="s">
        <v>64</v>
      </c>
      <c r="I752" t="s">
        <v>65</v>
      </c>
      <c r="J752" t="s">
        <v>29</v>
      </c>
      <c r="K752" t="s">
        <v>30</v>
      </c>
      <c r="L752" t="s">
        <v>29</v>
      </c>
      <c r="M752" t="s">
        <v>30</v>
      </c>
      <c r="N752" t="s">
        <v>64</v>
      </c>
      <c r="O752" t="s">
        <v>65</v>
      </c>
      <c r="P752" t="s">
        <v>29</v>
      </c>
      <c r="Q752" t="s">
        <v>30</v>
      </c>
      <c r="R752" s="1">
        <v>44361.423506944448</v>
      </c>
      <c r="S752" s="1">
        <v>44361.423506944448</v>
      </c>
      <c r="T752">
        <v>1</v>
      </c>
      <c r="U752">
        <v>1</v>
      </c>
      <c r="V752" s="2">
        <v>1</v>
      </c>
      <c r="W752">
        <v>0</v>
      </c>
      <c r="X752" t="s">
        <v>30</v>
      </c>
      <c r="Y752">
        <v>0</v>
      </c>
      <c r="Z752" t="s">
        <v>31</v>
      </c>
      <c r="AA752">
        <v>0</v>
      </c>
      <c r="AB752" t="s">
        <v>31</v>
      </c>
      <c r="AC752">
        <v>0</v>
      </c>
      <c r="AD752" t="s">
        <v>31</v>
      </c>
      <c r="AE752">
        <v>0</v>
      </c>
      <c r="AF752" t="s">
        <v>31</v>
      </c>
      <c r="AG752">
        <v>0</v>
      </c>
      <c r="AH752" t="s">
        <v>31</v>
      </c>
      <c r="AI752">
        <v>0</v>
      </c>
      <c r="AJ752" t="s">
        <v>31</v>
      </c>
      <c r="AK752">
        <v>0</v>
      </c>
      <c r="AL752" t="s">
        <v>31</v>
      </c>
      <c r="AM752">
        <v>0</v>
      </c>
      <c r="AN752" t="s">
        <v>31</v>
      </c>
      <c r="AO752">
        <v>0</v>
      </c>
      <c r="AP752" t="s">
        <v>31</v>
      </c>
      <c r="AQ752">
        <v>0</v>
      </c>
    </row>
    <row r="753" spans="1:43" x14ac:dyDescent="0.2">
      <c r="A753" t="s">
        <v>381</v>
      </c>
      <c r="B753" s="3">
        <v>44361</v>
      </c>
      <c r="C753">
        <v>136</v>
      </c>
      <c r="D753" t="s">
        <v>383</v>
      </c>
      <c r="E753" t="s">
        <v>93</v>
      </c>
      <c r="F753" s="9" t="s">
        <v>94</v>
      </c>
      <c r="G753" t="s">
        <v>26</v>
      </c>
      <c r="H753" t="s">
        <v>64</v>
      </c>
      <c r="I753" t="s">
        <v>65</v>
      </c>
      <c r="J753" t="s">
        <v>29</v>
      </c>
      <c r="K753" t="s">
        <v>30</v>
      </c>
      <c r="L753" t="s">
        <v>29</v>
      </c>
      <c r="M753" t="s">
        <v>30</v>
      </c>
      <c r="N753" t="s">
        <v>132</v>
      </c>
      <c r="O753" t="s">
        <v>133</v>
      </c>
      <c r="P753" t="s">
        <v>43</v>
      </c>
      <c r="Q753" t="s">
        <v>44</v>
      </c>
      <c r="R753" s="1">
        <v>44361.63380787037</v>
      </c>
      <c r="S753" s="1">
        <v>44361.63380787037</v>
      </c>
      <c r="T753">
        <v>1</v>
      </c>
      <c r="U753">
        <v>1</v>
      </c>
      <c r="V753" s="2">
        <v>1</v>
      </c>
      <c r="W753">
        <v>0</v>
      </c>
      <c r="X753" t="s">
        <v>30</v>
      </c>
      <c r="Y753">
        <v>0</v>
      </c>
      <c r="Z753" t="s">
        <v>31</v>
      </c>
      <c r="AA753">
        <v>0</v>
      </c>
      <c r="AB753" t="s">
        <v>31</v>
      </c>
      <c r="AC753">
        <v>0</v>
      </c>
      <c r="AD753" t="s">
        <v>31</v>
      </c>
      <c r="AE753">
        <v>0</v>
      </c>
      <c r="AF753" t="s">
        <v>31</v>
      </c>
      <c r="AG753">
        <v>0</v>
      </c>
      <c r="AH753" t="s">
        <v>31</v>
      </c>
      <c r="AI753">
        <v>0</v>
      </c>
      <c r="AJ753" t="s">
        <v>31</v>
      </c>
      <c r="AK753">
        <v>0</v>
      </c>
      <c r="AL753" t="s">
        <v>31</v>
      </c>
      <c r="AM753">
        <v>0</v>
      </c>
      <c r="AN753" t="s">
        <v>31</v>
      </c>
      <c r="AO753">
        <v>0</v>
      </c>
      <c r="AP753" t="s">
        <v>31</v>
      </c>
      <c r="AQ753">
        <v>0</v>
      </c>
    </row>
    <row r="754" spans="1:43" x14ac:dyDescent="0.2">
      <c r="A754" t="s">
        <v>381</v>
      </c>
      <c r="B754" s="3">
        <v>44363</v>
      </c>
      <c r="C754">
        <v>137</v>
      </c>
      <c r="D754" t="s">
        <v>383</v>
      </c>
      <c r="E754" t="s">
        <v>93</v>
      </c>
      <c r="F754" s="9" t="s">
        <v>94</v>
      </c>
      <c r="G754" t="s">
        <v>26</v>
      </c>
      <c r="H754" t="s">
        <v>132</v>
      </c>
      <c r="I754" t="s">
        <v>133</v>
      </c>
      <c r="J754" t="s">
        <v>43</v>
      </c>
      <c r="K754" t="s">
        <v>44</v>
      </c>
      <c r="L754" t="s">
        <v>29</v>
      </c>
      <c r="M754" t="s">
        <v>30</v>
      </c>
      <c r="N754" t="s">
        <v>41</v>
      </c>
      <c r="O754" t="s">
        <v>42</v>
      </c>
      <c r="P754" t="s">
        <v>43</v>
      </c>
      <c r="Q754" t="s">
        <v>44</v>
      </c>
      <c r="R754" s="1">
        <v>44363.626319444447</v>
      </c>
      <c r="S754" s="1">
        <v>44363.626597222225</v>
      </c>
      <c r="T754">
        <v>3</v>
      </c>
      <c r="U754">
        <v>3</v>
      </c>
      <c r="V754" s="2">
        <v>1</v>
      </c>
      <c r="W754">
        <v>0</v>
      </c>
      <c r="X754" t="s">
        <v>30</v>
      </c>
      <c r="Y754">
        <v>0</v>
      </c>
      <c r="Z754" t="s">
        <v>30</v>
      </c>
      <c r="AA754">
        <v>0</v>
      </c>
      <c r="AB754" t="s">
        <v>30</v>
      </c>
      <c r="AC754">
        <v>0</v>
      </c>
      <c r="AD754" t="s">
        <v>31</v>
      </c>
      <c r="AE754">
        <v>0</v>
      </c>
      <c r="AF754" t="s">
        <v>31</v>
      </c>
      <c r="AG754">
        <v>0</v>
      </c>
      <c r="AH754" t="s">
        <v>31</v>
      </c>
      <c r="AI754">
        <v>0</v>
      </c>
      <c r="AJ754" t="s">
        <v>31</v>
      </c>
      <c r="AK754">
        <v>0</v>
      </c>
      <c r="AL754" t="s">
        <v>31</v>
      </c>
      <c r="AM754">
        <v>0</v>
      </c>
      <c r="AN754" t="s">
        <v>31</v>
      </c>
      <c r="AO754">
        <v>0</v>
      </c>
      <c r="AP754" t="s">
        <v>31</v>
      </c>
      <c r="AQ754">
        <v>0</v>
      </c>
    </row>
    <row r="755" spans="1:43" x14ac:dyDescent="0.2">
      <c r="A755" t="s">
        <v>381</v>
      </c>
      <c r="B755" s="3">
        <v>44364</v>
      </c>
      <c r="C755">
        <v>138</v>
      </c>
      <c r="D755" t="s">
        <v>399</v>
      </c>
      <c r="E755" t="s">
        <v>93</v>
      </c>
      <c r="F755" s="9" t="s">
        <v>94</v>
      </c>
      <c r="G755" t="s">
        <v>26</v>
      </c>
      <c r="H755" t="s">
        <v>41</v>
      </c>
      <c r="I755" t="s">
        <v>42</v>
      </c>
      <c r="J755" t="s">
        <v>43</v>
      </c>
      <c r="K755" t="s">
        <v>44</v>
      </c>
      <c r="L755" t="s">
        <v>29</v>
      </c>
      <c r="M755" t="s">
        <v>30</v>
      </c>
      <c r="N755" t="s">
        <v>41</v>
      </c>
      <c r="O755" t="s">
        <v>42</v>
      </c>
      <c r="P755" t="s">
        <v>43</v>
      </c>
      <c r="Q755" t="s">
        <v>44</v>
      </c>
      <c r="R755" s="1">
        <v>44364.368009259262</v>
      </c>
      <c r="S755" s="1">
        <v>44364.368009259262</v>
      </c>
      <c r="T755">
        <v>1</v>
      </c>
      <c r="U755">
        <v>1</v>
      </c>
      <c r="V755" s="2">
        <v>1</v>
      </c>
      <c r="W755">
        <v>0</v>
      </c>
      <c r="X755" t="s">
        <v>30</v>
      </c>
      <c r="Y755">
        <v>0</v>
      </c>
      <c r="Z755" t="s">
        <v>31</v>
      </c>
      <c r="AA755">
        <v>0</v>
      </c>
      <c r="AB755" t="s">
        <v>31</v>
      </c>
      <c r="AC755">
        <v>0</v>
      </c>
      <c r="AD755" t="s">
        <v>31</v>
      </c>
      <c r="AE755">
        <v>0</v>
      </c>
      <c r="AF755" t="s">
        <v>31</v>
      </c>
      <c r="AG755">
        <v>0</v>
      </c>
      <c r="AH755" t="s">
        <v>31</v>
      </c>
      <c r="AI755">
        <v>0</v>
      </c>
      <c r="AJ755" t="s">
        <v>31</v>
      </c>
      <c r="AK755">
        <v>0</v>
      </c>
      <c r="AL755" t="s">
        <v>31</v>
      </c>
      <c r="AM755">
        <v>0</v>
      </c>
      <c r="AN755" t="s">
        <v>31</v>
      </c>
      <c r="AO755">
        <v>0</v>
      </c>
      <c r="AP755" t="s">
        <v>31</v>
      </c>
      <c r="AQ755">
        <v>0</v>
      </c>
    </row>
    <row r="756" spans="1:43" x14ac:dyDescent="0.2">
      <c r="A756" t="s">
        <v>381</v>
      </c>
      <c r="B756" s="3">
        <v>44365</v>
      </c>
      <c r="C756">
        <v>139</v>
      </c>
      <c r="D756" t="s">
        <v>400</v>
      </c>
      <c r="E756" t="s">
        <v>93</v>
      </c>
      <c r="F756" s="9" t="s">
        <v>94</v>
      </c>
      <c r="G756" t="s">
        <v>26</v>
      </c>
      <c r="H756" t="s">
        <v>41</v>
      </c>
      <c r="I756" t="s">
        <v>42</v>
      </c>
      <c r="J756" t="s">
        <v>43</v>
      </c>
      <c r="K756" t="s">
        <v>44</v>
      </c>
      <c r="L756" t="s">
        <v>29</v>
      </c>
      <c r="M756" t="s">
        <v>30</v>
      </c>
      <c r="N756" t="s">
        <v>41</v>
      </c>
      <c r="O756" t="s">
        <v>42</v>
      </c>
      <c r="P756" t="s">
        <v>43</v>
      </c>
      <c r="Q756" t="s">
        <v>44</v>
      </c>
      <c r="R756" s="1">
        <v>44365.421099537038</v>
      </c>
      <c r="S756" s="1">
        <v>44365.421481481484</v>
      </c>
      <c r="T756">
        <v>2</v>
      </c>
      <c r="U756">
        <v>3</v>
      </c>
      <c r="V756" s="2">
        <v>0.66</v>
      </c>
      <c r="W756">
        <v>0</v>
      </c>
      <c r="X756" t="s">
        <v>44</v>
      </c>
      <c r="Y756">
        <v>0</v>
      </c>
      <c r="Z756" t="s">
        <v>30</v>
      </c>
      <c r="AA756">
        <v>0</v>
      </c>
      <c r="AB756" t="s">
        <v>30</v>
      </c>
      <c r="AC756">
        <v>0</v>
      </c>
      <c r="AD756" t="s">
        <v>31</v>
      </c>
      <c r="AE756">
        <v>0</v>
      </c>
      <c r="AF756" t="s">
        <v>31</v>
      </c>
      <c r="AG756">
        <v>0</v>
      </c>
      <c r="AH756" t="s">
        <v>31</v>
      </c>
      <c r="AI756">
        <v>0</v>
      </c>
      <c r="AJ756" t="s">
        <v>31</v>
      </c>
      <c r="AK756">
        <v>0</v>
      </c>
      <c r="AL756" t="s">
        <v>31</v>
      </c>
      <c r="AM756">
        <v>0</v>
      </c>
      <c r="AN756" t="s">
        <v>31</v>
      </c>
      <c r="AO756">
        <v>0</v>
      </c>
      <c r="AP756" t="s">
        <v>31</v>
      </c>
      <c r="AQ756">
        <v>0</v>
      </c>
    </row>
    <row r="757" spans="1:43" x14ac:dyDescent="0.2">
      <c r="A757" t="s">
        <v>381</v>
      </c>
      <c r="B757" s="3">
        <v>44365</v>
      </c>
      <c r="C757">
        <v>140</v>
      </c>
      <c r="D757" t="s">
        <v>399</v>
      </c>
      <c r="E757" t="s">
        <v>93</v>
      </c>
      <c r="F757" s="9" t="s">
        <v>94</v>
      </c>
      <c r="G757" t="s">
        <v>26</v>
      </c>
      <c r="H757" t="s">
        <v>41</v>
      </c>
      <c r="I757" t="s">
        <v>42</v>
      </c>
      <c r="J757" t="s">
        <v>43</v>
      </c>
      <c r="K757" t="s">
        <v>44</v>
      </c>
      <c r="L757" t="s">
        <v>29</v>
      </c>
      <c r="M757" t="s">
        <v>30</v>
      </c>
      <c r="N757" t="s">
        <v>41</v>
      </c>
      <c r="O757" t="s">
        <v>42</v>
      </c>
      <c r="P757" t="s">
        <v>43</v>
      </c>
      <c r="Q757" t="s">
        <v>44</v>
      </c>
      <c r="R757" s="1">
        <v>44365.557939814818</v>
      </c>
      <c r="S757" s="1">
        <v>44365.557951388888</v>
      </c>
      <c r="T757">
        <v>1</v>
      </c>
      <c r="U757">
        <v>2</v>
      </c>
      <c r="V757" s="2">
        <v>0.5</v>
      </c>
      <c r="W757">
        <v>0</v>
      </c>
      <c r="X757" t="s">
        <v>44</v>
      </c>
      <c r="Y757">
        <v>0</v>
      </c>
      <c r="Z757" t="s">
        <v>30</v>
      </c>
      <c r="AA757">
        <v>0</v>
      </c>
      <c r="AB757" t="s">
        <v>31</v>
      </c>
      <c r="AC757">
        <v>0</v>
      </c>
      <c r="AD757" t="s">
        <v>31</v>
      </c>
      <c r="AE757">
        <v>0</v>
      </c>
      <c r="AF757" t="s">
        <v>31</v>
      </c>
      <c r="AG757">
        <v>0</v>
      </c>
      <c r="AH757" t="s">
        <v>31</v>
      </c>
      <c r="AI757">
        <v>0</v>
      </c>
      <c r="AJ757" t="s">
        <v>31</v>
      </c>
      <c r="AK757">
        <v>0</v>
      </c>
      <c r="AL757" t="s">
        <v>31</v>
      </c>
      <c r="AM757">
        <v>0</v>
      </c>
      <c r="AN757" t="s">
        <v>31</v>
      </c>
      <c r="AO757">
        <v>0</v>
      </c>
      <c r="AP757" t="s">
        <v>31</v>
      </c>
      <c r="AQ757">
        <v>0</v>
      </c>
    </row>
    <row r="758" spans="1:43" x14ac:dyDescent="0.2">
      <c r="A758" t="s">
        <v>381</v>
      </c>
      <c r="B758" s="3">
        <v>44260</v>
      </c>
      <c r="C758">
        <v>28</v>
      </c>
      <c r="D758" t="s">
        <v>384</v>
      </c>
      <c r="E758" t="s">
        <v>93</v>
      </c>
      <c r="F758" s="9" t="s">
        <v>202</v>
      </c>
      <c r="G758" t="s">
        <v>26</v>
      </c>
      <c r="H758" t="s">
        <v>200</v>
      </c>
      <c r="I758" t="s">
        <v>201</v>
      </c>
      <c r="J758" t="s">
        <v>43</v>
      </c>
      <c r="K758" t="s">
        <v>44</v>
      </c>
      <c r="L758" t="s">
        <v>29</v>
      </c>
      <c r="M758" t="s">
        <v>30</v>
      </c>
      <c r="N758" t="s">
        <v>200</v>
      </c>
      <c r="O758" t="s">
        <v>201</v>
      </c>
      <c r="P758" t="s">
        <v>43</v>
      </c>
      <c r="Q758" t="s">
        <v>44</v>
      </c>
      <c r="R758" s="1">
        <v>44260.452673611115</v>
      </c>
      <c r="S758" s="1">
        <v>44260.453819444447</v>
      </c>
      <c r="T758">
        <v>0</v>
      </c>
      <c r="U758">
        <v>3</v>
      </c>
      <c r="V758" s="2">
        <v>0</v>
      </c>
      <c r="W758">
        <v>0</v>
      </c>
      <c r="X758" t="s">
        <v>44</v>
      </c>
      <c r="Y758">
        <v>0</v>
      </c>
      <c r="Z758" t="s">
        <v>44</v>
      </c>
      <c r="AA758">
        <v>0</v>
      </c>
      <c r="AB758" t="s">
        <v>81</v>
      </c>
      <c r="AC758">
        <v>0</v>
      </c>
      <c r="AD758" t="s">
        <v>31</v>
      </c>
      <c r="AE758">
        <v>0</v>
      </c>
      <c r="AF758" t="s">
        <v>31</v>
      </c>
      <c r="AG758">
        <v>0</v>
      </c>
      <c r="AH758" t="s">
        <v>31</v>
      </c>
      <c r="AI758">
        <v>0</v>
      </c>
      <c r="AJ758" t="s">
        <v>31</v>
      </c>
      <c r="AK758">
        <v>0</v>
      </c>
      <c r="AL758" t="s">
        <v>31</v>
      </c>
      <c r="AM758">
        <v>0</v>
      </c>
      <c r="AN758" t="s">
        <v>31</v>
      </c>
      <c r="AO758">
        <v>0</v>
      </c>
      <c r="AP758" t="s">
        <v>31</v>
      </c>
      <c r="AQ758">
        <v>0</v>
      </c>
    </row>
    <row r="759" spans="1:43" x14ac:dyDescent="0.2">
      <c r="A759" t="s">
        <v>381</v>
      </c>
      <c r="B759" s="3">
        <v>44358</v>
      </c>
      <c r="C759">
        <v>134</v>
      </c>
      <c r="D759" t="s">
        <v>383</v>
      </c>
      <c r="E759" t="s">
        <v>93</v>
      </c>
      <c r="F759" s="9" t="s">
        <v>202</v>
      </c>
      <c r="G759" t="s">
        <v>26</v>
      </c>
      <c r="H759" t="s">
        <v>200</v>
      </c>
      <c r="I759" t="s">
        <v>201</v>
      </c>
      <c r="J759" t="s">
        <v>43</v>
      </c>
      <c r="K759" t="s">
        <v>44</v>
      </c>
      <c r="L759" t="s">
        <v>29</v>
      </c>
      <c r="M759" t="s">
        <v>30</v>
      </c>
      <c r="N759" t="s">
        <v>188</v>
      </c>
      <c r="O759" t="s">
        <v>189</v>
      </c>
      <c r="P759" t="s">
        <v>29</v>
      </c>
      <c r="Q759" t="s">
        <v>30</v>
      </c>
      <c r="R759" s="1">
        <v>44358.637118055558</v>
      </c>
      <c r="S759" s="1">
        <v>44358.639074074075</v>
      </c>
      <c r="T759">
        <v>0</v>
      </c>
      <c r="U759">
        <v>5</v>
      </c>
      <c r="V759" s="2">
        <v>0</v>
      </c>
      <c r="W759">
        <v>0</v>
      </c>
      <c r="X759" t="s">
        <v>44</v>
      </c>
      <c r="Y759">
        <v>0</v>
      </c>
      <c r="Z759" t="s">
        <v>44</v>
      </c>
      <c r="AA759">
        <v>0</v>
      </c>
      <c r="AB759" t="s">
        <v>45</v>
      </c>
      <c r="AC759">
        <v>0</v>
      </c>
      <c r="AD759" t="s">
        <v>81</v>
      </c>
      <c r="AE759">
        <v>0</v>
      </c>
      <c r="AF759" t="s">
        <v>47</v>
      </c>
      <c r="AG759">
        <v>0</v>
      </c>
      <c r="AH759" t="s">
        <v>31</v>
      </c>
      <c r="AI759">
        <v>0</v>
      </c>
      <c r="AJ759" t="s">
        <v>31</v>
      </c>
      <c r="AK759">
        <v>0</v>
      </c>
      <c r="AL759" t="s">
        <v>31</v>
      </c>
      <c r="AM759">
        <v>0</v>
      </c>
      <c r="AN759" t="s">
        <v>31</v>
      </c>
      <c r="AO759">
        <v>0</v>
      </c>
      <c r="AP759" t="s">
        <v>31</v>
      </c>
      <c r="AQ759">
        <v>0</v>
      </c>
    </row>
    <row r="760" spans="1:43" x14ac:dyDescent="0.2">
      <c r="A760" t="s">
        <v>381</v>
      </c>
      <c r="B760" s="3">
        <v>44361</v>
      </c>
      <c r="C760">
        <v>135</v>
      </c>
      <c r="D760" t="s">
        <v>390</v>
      </c>
      <c r="E760" t="s">
        <v>93</v>
      </c>
      <c r="F760" s="9" t="s">
        <v>202</v>
      </c>
      <c r="G760" t="s">
        <v>26</v>
      </c>
      <c r="H760" t="s">
        <v>188</v>
      </c>
      <c r="I760" t="s">
        <v>189</v>
      </c>
      <c r="J760" t="s">
        <v>29</v>
      </c>
      <c r="K760" t="s">
        <v>30</v>
      </c>
      <c r="L760" t="s">
        <v>29</v>
      </c>
      <c r="M760" t="s">
        <v>30</v>
      </c>
      <c r="N760" t="s">
        <v>188</v>
      </c>
      <c r="O760" t="s">
        <v>189</v>
      </c>
      <c r="P760" t="s">
        <v>29</v>
      </c>
      <c r="Q760" t="s">
        <v>30</v>
      </c>
      <c r="R760" s="1">
        <v>44361.445752314816</v>
      </c>
      <c r="S760" s="1">
        <v>44361.446423611109</v>
      </c>
      <c r="T760">
        <v>2</v>
      </c>
      <c r="U760">
        <v>4</v>
      </c>
      <c r="V760" s="2">
        <v>0.5</v>
      </c>
      <c r="W760">
        <v>0</v>
      </c>
      <c r="X760" t="s">
        <v>44</v>
      </c>
      <c r="Y760">
        <v>0</v>
      </c>
      <c r="Z760" t="s">
        <v>30</v>
      </c>
      <c r="AA760">
        <v>0</v>
      </c>
      <c r="AB760" t="s">
        <v>44</v>
      </c>
      <c r="AC760">
        <v>0</v>
      </c>
      <c r="AD760" t="s">
        <v>30</v>
      </c>
      <c r="AE760">
        <v>0</v>
      </c>
      <c r="AF760" t="s">
        <v>31</v>
      </c>
      <c r="AG760">
        <v>0</v>
      </c>
      <c r="AH760" t="s">
        <v>31</v>
      </c>
      <c r="AI760">
        <v>0</v>
      </c>
      <c r="AJ760" t="s">
        <v>31</v>
      </c>
      <c r="AK760">
        <v>0</v>
      </c>
      <c r="AL760" t="s">
        <v>31</v>
      </c>
      <c r="AM760">
        <v>0</v>
      </c>
      <c r="AN760" t="s">
        <v>31</v>
      </c>
      <c r="AO760">
        <v>0</v>
      </c>
      <c r="AP760" t="s">
        <v>31</v>
      </c>
      <c r="AQ760">
        <v>0</v>
      </c>
    </row>
    <row r="761" spans="1:43" x14ac:dyDescent="0.2">
      <c r="A761" t="s">
        <v>381</v>
      </c>
      <c r="B761" s="3">
        <v>44364</v>
      </c>
      <c r="C761">
        <v>138</v>
      </c>
      <c r="D761" t="s">
        <v>399</v>
      </c>
      <c r="E761" t="s">
        <v>93</v>
      </c>
      <c r="F761" s="9" t="s">
        <v>202</v>
      </c>
      <c r="G761" t="s">
        <v>26</v>
      </c>
      <c r="H761" t="s">
        <v>188</v>
      </c>
      <c r="I761" t="s">
        <v>189</v>
      </c>
      <c r="J761" t="s">
        <v>29</v>
      </c>
      <c r="K761" t="s">
        <v>30</v>
      </c>
      <c r="L761" t="s">
        <v>29</v>
      </c>
      <c r="M761" t="s">
        <v>30</v>
      </c>
      <c r="N761" t="s">
        <v>188</v>
      </c>
      <c r="O761" t="s">
        <v>189</v>
      </c>
      <c r="P761" t="s">
        <v>29</v>
      </c>
      <c r="Q761" t="s">
        <v>30</v>
      </c>
      <c r="R761" s="1">
        <v>44364.373148148145</v>
      </c>
      <c r="S761" s="1">
        <v>44364.373206018521</v>
      </c>
      <c r="T761">
        <v>1</v>
      </c>
      <c r="U761">
        <v>2</v>
      </c>
      <c r="V761" s="2">
        <v>0.5</v>
      </c>
      <c r="W761">
        <v>0</v>
      </c>
      <c r="X761" t="s">
        <v>44</v>
      </c>
      <c r="Y761">
        <v>0</v>
      </c>
      <c r="Z761" t="s">
        <v>30</v>
      </c>
      <c r="AA761">
        <v>0</v>
      </c>
      <c r="AB761" t="s">
        <v>31</v>
      </c>
      <c r="AC761">
        <v>0</v>
      </c>
      <c r="AD761" t="s">
        <v>31</v>
      </c>
      <c r="AE761">
        <v>0</v>
      </c>
      <c r="AF761" t="s">
        <v>31</v>
      </c>
      <c r="AG761">
        <v>0</v>
      </c>
      <c r="AH761" t="s">
        <v>31</v>
      </c>
      <c r="AI761">
        <v>0</v>
      </c>
      <c r="AJ761" t="s">
        <v>31</v>
      </c>
      <c r="AK761">
        <v>0</v>
      </c>
      <c r="AL761" t="s">
        <v>31</v>
      </c>
      <c r="AM761">
        <v>0</v>
      </c>
      <c r="AN761" t="s">
        <v>31</v>
      </c>
      <c r="AO761">
        <v>0</v>
      </c>
      <c r="AP761" t="s">
        <v>31</v>
      </c>
      <c r="AQ761">
        <v>0</v>
      </c>
    </row>
    <row r="762" spans="1:43" x14ac:dyDescent="0.2">
      <c r="A762" t="s">
        <v>381</v>
      </c>
      <c r="B762" s="3">
        <v>44375</v>
      </c>
      <c r="C762">
        <v>141</v>
      </c>
      <c r="D762" t="s">
        <v>396</v>
      </c>
      <c r="E762" t="s">
        <v>93</v>
      </c>
      <c r="F762" s="9" t="s">
        <v>202</v>
      </c>
      <c r="G762" t="s">
        <v>26</v>
      </c>
      <c r="H762" t="s">
        <v>188</v>
      </c>
      <c r="I762" t="s">
        <v>189</v>
      </c>
      <c r="J762" t="s">
        <v>29</v>
      </c>
      <c r="K762" t="s">
        <v>30</v>
      </c>
      <c r="L762" t="s">
        <v>29</v>
      </c>
      <c r="M762" t="s">
        <v>30</v>
      </c>
      <c r="N762" t="s">
        <v>188</v>
      </c>
      <c r="O762" t="s">
        <v>189</v>
      </c>
      <c r="P762" t="s">
        <v>29</v>
      </c>
      <c r="Q762" t="s">
        <v>30</v>
      </c>
      <c r="R762" s="1">
        <v>44375.572442129633</v>
      </c>
      <c r="S762" s="1">
        <v>44375.572870370372</v>
      </c>
      <c r="T762">
        <v>1</v>
      </c>
      <c r="U762">
        <v>3</v>
      </c>
      <c r="V762" s="2">
        <v>0.33</v>
      </c>
      <c r="W762">
        <v>0</v>
      </c>
      <c r="X762" t="s">
        <v>44</v>
      </c>
      <c r="Y762">
        <v>0</v>
      </c>
      <c r="Z762" t="s">
        <v>44</v>
      </c>
      <c r="AA762">
        <v>0</v>
      </c>
      <c r="AB762" t="s">
        <v>30</v>
      </c>
      <c r="AC762">
        <v>0</v>
      </c>
      <c r="AD762" t="s">
        <v>31</v>
      </c>
      <c r="AE762">
        <v>0</v>
      </c>
      <c r="AF762" t="s">
        <v>31</v>
      </c>
      <c r="AG762">
        <v>0</v>
      </c>
      <c r="AH762" t="s">
        <v>31</v>
      </c>
      <c r="AI762">
        <v>0</v>
      </c>
      <c r="AJ762" t="s">
        <v>31</v>
      </c>
      <c r="AK762">
        <v>0</v>
      </c>
      <c r="AL762" t="s">
        <v>31</v>
      </c>
      <c r="AM762">
        <v>0</v>
      </c>
      <c r="AN762" t="s">
        <v>31</v>
      </c>
      <c r="AO762">
        <v>0</v>
      </c>
      <c r="AP762" t="s">
        <v>31</v>
      </c>
      <c r="AQ762">
        <v>0</v>
      </c>
    </row>
    <row r="763" spans="1:43" x14ac:dyDescent="0.2">
      <c r="A763" t="s">
        <v>381</v>
      </c>
      <c r="B763" s="3">
        <v>44250</v>
      </c>
      <c r="C763">
        <v>16</v>
      </c>
      <c r="D763" t="s">
        <v>382</v>
      </c>
      <c r="E763" t="s">
        <v>93</v>
      </c>
      <c r="F763" s="9" t="s">
        <v>184</v>
      </c>
      <c r="G763" t="s">
        <v>26</v>
      </c>
      <c r="H763" t="s">
        <v>155</v>
      </c>
      <c r="I763" t="s">
        <v>156</v>
      </c>
      <c r="J763" t="s">
        <v>162</v>
      </c>
      <c r="K763" t="s">
        <v>47</v>
      </c>
      <c r="L763" t="s">
        <v>162</v>
      </c>
      <c r="M763" t="s">
        <v>47</v>
      </c>
      <c r="N763" t="s">
        <v>41</v>
      </c>
      <c r="O763" t="s">
        <v>42</v>
      </c>
      <c r="P763" t="s">
        <v>29</v>
      </c>
      <c r="Q763" t="s">
        <v>30</v>
      </c>
      <c r="R763" s="1">
        <v>44250.393101851849</v>
      </c>
      <c r="S763" s="1">
        <v>44250.393136574072</v>
      </c>
      <c r="T763">
        <v>9</v>
      </c>
      <c r="U763">
        <v>9</v>
      </c>
      <c r="V763" s="2">
        <v>1</v>
      </c>
      <c r="W763">
        <v>0</v>
      </c>
      <c r="X763" t="s">
        <v>47</v>
      </c>
      <c r="Y763">
        <v>0</v>
      </c>
      <c r="Z763" t="s">
        <v>47</v>
      </c>
      <c r="AA763">
        <v>0</v>
      </c>
      <c r="AB763" t="s">
        <v>47</v>
      </c>
      <c r="AC763">
        <v>0</v>
      </c>
      <c r="AD763" t="s">
        <v>47</v>
      </c>
      <c r="AE763">
        <v>0</v>
      </c>
      <c r="AF763" t="s">
        <v>47</v>
      </c>
      <c r="AG763">
        <v>0</v>
      </c>
      <c r="AH763" t="s">
        <v>47</v>
      </c>
      <c r="AI763">
        <v>0</v>
      </c>
      <c r="AJ763" t="s">
        <v>47</v>
      </c>
      <c r="AK763">
        <v>0</v>
      </c>
      <c r="AL763" t="s">
        <v>81</v>
      </c>
      <c r="AM763">
        <v>0</v>
      </c>
      <c r="AN763" t="s">
        <v>30</v>
      </c>
      <c r="AO763">
        <v>0</v>
      </c>
      <c r="AP763" t="s">
        <v>31</v>
      </c>
      <c r="AQ763">
        <v>0</v>
      </c>
    </row>
    <row r="764" spans="1:43" x14ac:dyDescent="0.2">
      <c r="A764" t="s">
        <v>381</v>
      </c>
      <c r="B764" s="3">
        <v>44256</v>
      </c>
      <c r="C764">
        <v>22</v>
      </c>
      <c r="D764" t="s">
        <v>384</v>
      </c>
      <c r="E764" t="s">
        <v>93</v>
      </c>
      <c r="F764" s="9" t="s">
        <v>184</v>
      </c>
      <c r="G764" t="s">
        <v>26</v>
      </c>
      <c r="H764" t="s">
        <v>41</v>
      </c>
      <c r="I764" t="s">
        <v>42</v>
      </c>
      <c r="J764" t="s">
        <v>29</v>
      </c>
      <c r="K764" t="s">
        <v>30</v>
      </c>
      <c r="L764" t="s">
        <v>29</v>
      </c>
      <c r="M764" t="s">
        <v>30</v>
      </c>
      <c r="N764" t="s">
        <v>41</v>
      </c>
      <c r="O764" t="s">
        <v>42</v>
      </c>
      <c r="P764" t="s">
        <v>29</v>
      </c>
      <c r="Q764" t="s">
        <v>30</v>
      </c>
      <c r="R764" s="1">
        <v>44256.466006944444</v>
      </c>
      <c r="S764" s="1">
        <v>44256.466006944444</v>
      </c>
      <c r="T764">
        <v>1</v>
      </c>
      <c r="U764">
        <v>1</v>
      </c>
      <c r="V764" s="2">
        <v>1</v>
      </c>
      <c r="W764">
        <v>0</v>
      </c>
      <c r="X764" t="s">
        <v>30</v>
      </c>
      <c r="Y764">
        <v>0</v>
      </c>
      <c r="Z764" t="s">
        <v>31</v>
      </c>
      <c r="AA764">
        <v>0</v>
      </c>
      <c r="AB764" t="s">
        <v>31</v>
      </c>
      <c r="AC764">
        <v>0</v>
      </c>
      <c r="AD764" t="s">
        <v>31</v>
      </c>
      <c r="AE764">
        <v>0</v>
      </c>
      <c r="AF764" t="s">
        <v>31</v>
      </c>
      <c r="AG764">
        <v>0</v>
      </c>
      <c r="AH764" t="s">
        <v>31</v>
      </c>
      <c r="AI764">
        <v>0</v>
      </c>
      <c r="AJ764" t="s">
        <v>31</v>
      </c>
      <c r="AK764">
        <v>0</v>
      </c>
      <c r="AL764" t="s">
        <v>31</v>
      </c>
      <c r="AM764">
        <v>0</v>
      </c>
      <c r="AN764" t="s">
        <v>31</v>
      </c>
      <c r="AO764">
        <v>0</v>
      </c>
      <c r="AP764" t="s">
        <v>31</v>
      </c>
      <c r="AQ764">
        <v>0</v>
      </c>
    </row>
    <row r="765" spans="1:43" x14ac:dyDescent="0.2">
      <c r="A765" t="s">
        <v>381</v>
      </c>
      <c r="B765" s="3">
        <v>44258</v>
      </c>
      <c r="C765">
        <v>25</v>
      </c>
      <c r="D765" t="s">
        <v>384</v>
      </c>
      <c r="E765" t="s">
        <v>93</v>
      </c>
      <c r="F765" s="9" t="s">
        <v>184</v>
      </c>
      <c r="G765" t="s">
        <v>26</v>
      </c>
      <c r="H765" t="s">
        <v>41</v>
      </c>
      <c r="I765" t="s">
        <v>42</v>
      </c>
      <c r="J765" t="s">
        <v>29</v>
      </c>
      <c r="K765" t="s">
        <v>30</v>
      </c>
      <c r="L765" t="s">
        <v>29</v>
      </c>
      <c r="M765" t="s">
        <v>30</v>
      </c>
      <c r="N765" t="s">
        <v>79</v>
      </c>
      <c r="O765" t="s">
        <v>80</v>
      </c>
      <c r="P765" t="s">
        <v>43</v>
      </c>
      <c r="Q765" t="s">
        <v>44</v>
      </c>
      <c r="R765" s="1">
        <v>44258.449930555558</v>
      </c>
      <c r="S765" s="1">
        <v>44258.449930555558</v>
      </c>
      <c r="T765">
        <v>1</v>
      </c>
      <c r="U765">
        <v>1</v>
      </c>
      <c r="V765" s="2">
        <v>1</v>
      </c>
      <c r="W765">
        <v>0</v>
      </c>
      <c r="X765" t="s">
        <v>30</v>
      </c>
      <c r="Y765">
        <v>0</v>
      </c>
      <c r="Z765" t="s">
        <v>31</v>
      </c>
      <c r="AA765">
        <v>0</v>
      </c>
      <c r="AB765" t="s">
        <v>31</v>
      </c>
      <c r="AC765">
        <v>0</v>
      </c>
      <c r="AD765" t="s">
        <v>31</v>
      </c>
      <c r="AE765">
        <v>0</v>
      </c>
      <c r="AF765" t="s">
        <v>31</v>
      </c>
      <c r="AG765">
        <v>0</v>
      </c>
      <c r="AH765" t="s">
        <v>31</v>
      </c>
      <c r="AI765">
        <v>0</v>
      </c>
      <c r="AJ765" t="s">
        <v>31</v>
      </c>
      <c r="AK765">
        <v>0</v>
      </c>
      <c r="AL765" t="s">
        <v>31</v>
      </c>
      <c r="AM765">
        <v>0</v>
      </c>
      <c r="AN765" t="s">
        <v>31</v>
      </c>
      <c r="AO765">
        <v>0</v>
      </c>
      <c r="AP765" t="s">
        <v>31</v>
      </c>
      <c r="AQ765">
        <v>0</v>
      </c>
    </row>
    <row r="766" spans="1:43" x14ac:dyDescent="0.2">
      <c r="A766" t="s">
        <v>381</v>
      </c>
      <c r="B766" s="3">
        <v>44259</v>
      </c>
      <c r="C766">
        <v>26</v>
      </c>
      <c r="D766" t="s">
        <v>382</v>
      </c>
      <c r="E766" t="s">
        <v>93</v>
      </c>
      <c r="F766" s="9" t="s">
        <v>184</v>
      </c>
      <c r="G766" t="s">
        <v>26</v>
      </c>
      <c r="H766" t="s">
        <v>41</v>
      </c>
      <c r="I766" t="s">
        <v>42</v>
      </c>
      <c r="J766" t="s">
        <v>29</v>
      </c>
      <c r="K766" t="s">
        <v>30</v>
      </c>
      <c r="L766" t="s">
        <v>29</v>
      </c>
      <c r="M766" t="s">
        <v>30</v>
      </c>
      <c r="N766" t="s">
        <v>79</v>
      </c>
      <c r="O766" t="s">
        <v>80</v>
      </c>
      <c r="P766" t="s">
        <v>43</v>
      </c>
      <c r="Q766" t="s">
        <v>44</v>
      </c>
      <c r="R766" s="1">
        <v>44259.435706018521</v>
      </c>
      <c r="S766" s="1">
        <v>44259.435706018521</v>
      </c>
      <c r="T766">
        <v>1</v>
      </c>
      <c r="U766">
        <v>1</v>
      </c>
      <c r="V766" s="2">
        <v>1</v>
      </c>
      <c r="W766">
        <v>0</v>
      </c>
      <c r="X766" t="s">
        <v>30</v>
      </c>
      <c r="Y766">
        <v>0</v>
      </c>
      <c r="Z766" t="s">
        <v>31</v>
      </c>
      <c r="AA766">
        <v>0</v>
      </c>
      <c r="AB766" t="s">
        <v>31</v>
      </c>
      <c r="AC766">
        <v>0</v>
      </c>
      <c r="AD766" t="s">
        <v>31</v>
      </c>
      <c r="AE766">
        <v>0</v>
      </c>
      <c r="AF766" t="s">
        <v>31</v>
      </c>
      <c r="AG766">
        <v>0</v>
      </c>
      <c r="AH766" t="s">
        <v>31</v>
      </c>
      <c r="AI766">
        <v>0</v>
      </c>
      <c r="AJ766" t="s">
        <v>31</v>
      </c>
      <c r="AK766">
        <v>0</v>
      </c>
      <c r="AL766" t="s">
        <v>31</v>
      </c>
      <c r="AM766">
        <v>0</v>
      </c>
      <c r="AN766" t="s">
        <v>31</v>
      </c>
      <c r="AO766">
        <v>0</v>
      </c>
      <c r="AP766" t="s">
        <v>31</v>
      </c>
      <c r="AQ766">
        <v>0</v>
      </c>
    </row>
    <row r="767" spans="1:43" x14ac:dyDescent="0.2">
      <c r="A767" t="s">
        <v>381</v>
      </c>
      <c r="B767" s="3">
        <v>44260</v>
      </c>
      <c r="C767">
        <v>28</v>
      </c>
      <c r="D767" t="s">
        <v>384</v>
      </c>
      <c r="E767" t="s">
        <v>93</v>
      </c>
      <c r="F767" s="9" t="s">
        <v>184</v>
      </c>
      <c r="G767" t="s">
        <v>26</v>
      </c>
      <c r="H767" t="s">
        <v>79</v>
      </c>
      <c r="I767" t="s">
        <v>80</v>
      </c>
      <c r="J767" t="s">
        <v>43</v>
      </c>
      <c r="K767" t="s">
        <v>44</v>
      </c>
      <c r="L767" t="s">
        <v>29</v>
      </c>
      <c r="M767" t="s">
        <v>30</v>
      </c>
      <c r="N767" t="s">
        <v>79</v>
      </c>
      <c r="O767" t="s">
        <v>80</v>
      </c>
      <c r="P767" t="s">
        <v>43</v>
      </c>
      <c r="Q767" t="s">
        <v>44</v>
      </c>
      <c r="R767" s="1">
        <v>44260.466331018521</v>
      </c>
      <c r="S767" s="1">
        <v>44260.467268518521</v>
      </c>
      <c r="T767">
        <v>2</v>
      </c>
      <c r="U767">
        <v>2</v>
      </c>
      <c r="V767" s="2">
        <v>1</v>
      </c>
      <c r="W767">
        <v>0</v>
      </c>
      <c r="X767" t="s">
        <v>30</v>
      </c>
      <c r="Y767">
        <v>0</v>
      </c>
      <c r="Z767" t="s">
        <v>30</v>
      </c>
      <c r="AA767">
        <v>0</v>
      </c>
      <c r="AB767" t="s">
        <v>31</v>
      </c>
      <c r="AC767">
        <v>0</v>
      </c>
      <c r="AD767" t="s">
        <v>31</v>
      </c>
      <c r="AE767">
        <v>0</v>
      </c>
      <c r="AF767" t="s">
        <v>31</v>
      </c>
      <c r="AG767">
        <v>0</v>
      </c>
      <c r="AH767" t="s">
        <v>31</v>
      </c>
      <c r="AI767">
        <v>0</v>
      </c>
      <c r="AJ767" t="s">
        <v>31</v>
      </c>
      <c r="AK767">
        <v>0</v>
      </c>
      <c r="AL767" t="s">
        <v>31</v>
      </c>
      <c r="AM767">
        <v>0</v>
      </c>
      <c r="AN767" t="s">
        <v>31</v>
      </c>
      <c r="AO767">
        <v>0</v>
      </c>
      <c r="AP767" t="s">
        <v>31</v>
      </c>
      <c r="AQ767">
        <v>0</v>
      </c>
    </row>
    <row r="768" spans="1:43" x14ac:dyDescent="0.2">
      <c r="A768" t="s">
        <v>381</v>
      </c>
      <c r="B768" s="3">
        <v>44263</v>
      </c>
      <c r="C768">
        <v>29</v>
      </c>
      <c r="D768" t="s">
        <v>384</v>
      </c>
      <c r="E768" t="s">
        <v>93</v>
      </c>
      <c r="F768" s="9" t="s">
        <v>184</v>
      </c>
      <c r="G768" t="s">
        <v>26</v>
      </c>
      <c r="H768" t="s">
        <v>79</v>
      </c>
      <c r="I768" t="s">
        <v>80</v>
      </c>
      <c r="J768" t="s">
        <v>43</v>
      </c>
      <c r="K768" t="s">
        <v>44</v>
      </c>
      <c r="L768" t="s">
        <v>29</v>
      </c>
      <c r="M768" t="s">
        <v>30</v>
      </c>
      <c r="N768" t="s">
        <v>79</v>
      </c>
      <c r="O768" t="s">
        <v>80</v>
      </c>
      <c r="P768" t="s">
        <v>43</v>
      </c>
      <c r="Q768" t="s">
        <v>44</v>
      </c>
      <c r="R768" s="1">
        <v>44263.457777777781</v>
      </c>
      <c r="S768" s="1">
        <v>44263.458391203705</v>
      </c>
      <c r="T768">
        <v>2</v>
      </c>
      <c r="U768">
        <v>3</v>
      </c>
      <c r="V768" s="2">
        <v>0.66</v>
      </c>
      <c r="W768">
        <v>0</v>
      </c>
      <c r="X768" t="s">
        <v>30</v>
      </c>
      <c r="Y768">
        <v>0</v>
      </c>
      <c r="Z768" t="s">
        <v>44</v>
      </c>
      <c r="AA768">
        <v>0</v>
      </c>
      <c r="AB768" t="s">
        <v>30</v>
      </c>
      <c r="AC768">
        <v>0</v>
      </c>
      <c r="AD768" t="s">
        <v>31</v>
      </c>
      <c r="AE768">
        <v>0</v>
      </c>
      <c r="AF768" t="s">
        <v>31</v>
      </c>
      <c r="AG768">
        <v>0</v>
      </c>
      <c r="AH768" t="s">
        <v>31</v>
      </c>
      <c r="AI768">
        <v>0</v>
      </c>
      <c r="AJ768" t="s">
        <v>31</v>
      </c>
      <c r="AK768">
        <v>0</v>
      </c>
      <c r="AL768" t="s">
        <v>31</v>
      </c>
      <c r="AM768">
        <v>0</v>
      </c>
      <c r="AN768" t="s">
        <v>31</v>
      </c>
      <c r="AO768">
        <v>0</v>
      </c>
      <c r="AP768" t="s">
        <v>31</v>
      </c>
      <c r="AQ768">
        <v>0</v>
      </c>
    </row>
    <row r="769" spans="1:43" x14ac:dyDescent="0.2">
      <c r="A769" t="s">
        <v>381</v>
      </c>
      <c r="B769" s="3">
        <v>44264</v>
      </c>
      <c r="C769">
        <v>30</v>
      </c>
      <c r="D769" t="s">
        <v>382</v>
      </c>
      <c r="E769" t="s">
        <v>93</v>
      </c>
      <c r="F769" s="9" t="s">
        <v>184</v>
      </c>
      <c r="G769" t="s">
        <v>26</v>
      </c>
      <c r="H769" t="s">
        <v>79</v>
      </c>
      <c r="I769" t="s">
        <v>80</v>
      </c>
      <c r="J769" t="s">
        <v>43</v>
      </c>
      <c r="K769" t="s">
        <v>44</v>
      </c>
      <c r="L769" t="s">
        <v>29</v>
      </c>
      <c r="M769" t="s">
        <v>30</v>
      </c>
      <c r="N769" t="s">
        <v>79</v>
      </c>
      <c r="O769" t="s">
        <v>80</v>
      </c>
      <c r="P769" t="s">
        <v>43</v>
      </c>
      <c r="Q769" t="s">
        <v>44</v>
      </c>
      <c r="R769" s="1">
        <v>44264.431284722225</v>
      </c>
      <c r="S769" s="1">
        <v>44264.431921296295</v>
      </c>
      <c r="T769">
        <v>1</v>
      </c>
      <c r="U769">
        <v>4</v>
      </c>
      <c r="V769" s="2">
        <v>0.25</v>
      </c>
      <c r="W769">
        <v>0</v>
      </c>
      <c r="X769" t="s">
        <v>44</v>
      </c>
      <c r="Y769">
        <v>0</v>
      </c>
      <c r="Z769" t="s">
        <v>44</v>
      </c>
      <c r="AA769">
        <v>0</v>
      </c>
      <c r="AB769" t="s">
        <v>81</v>
      </c>
      <c r="AC769">
        <v>0</v>
      </c>
      <c r="AD769" t="s">
        <v>30</v>
      </c>
      <c r="AE769">
        <v>0</v>
      </c>
      <c r="AF769" t="s">
        <v>31</v>
      </c>
      <c r="AG769">
        <v>0</v>
      </c>
      <c r="AH769" t="s">
        <v>31</v>
      </c>
      <c r="AI769">
        <v>0</v>
      </c>
      <c r="AJ769" t="s">
        <v>31</v>
      </c>
      <c r="AK769">
        <v>0</v>
      </c>
      <c r="AL769" t="s">
        <v>31</v>
      </c>
      <c r="AM769">
        <v>0</v>
      </c>
      <c r="AN769" t="s">
        <v>31</v>
      </c>
      <c r="AO769">
        <v>0</v>
      </c>
      <c r="AP769" t="s">
        <v>31</v>
      </c>
      <c r="AQ769">
        <v>0</v>
      </c>
    </row>
    <row r="770" spans="1:43" x14ac:dyDescent="0.2">
      <c r="A770" t="s">
        <v>381</v>
      </c>
      <c r="B770" s="3">
        <v>44270</v>
      </c>
      <c r="C770">
        <v>35</v>
      </c>
      <c r="D770" t="s">
        <v>384</v>
      </c>
      <c r="E770" t="s">
        <v>93</v>
      </c>
      <c r="F770" s="9" t="s">
        <v>184</v>
      </c>
      <c r="G770" t="s">
        <v>26</v>
      </c>
      <c r="H770" t="s">
        <v>79</v>
      </c>
      <c r="I770" t="s">
        <v>80</v>
      </c>
      <c r="J770" t="s">
        <v>43</v>
      </c>
      <c r="K770" t="s">
        <v>44</v>
      </c>
      <c r="L770" t="s">
        <v>29</v>
      </c>
      <c r="M770" t="s">
        <v>30</v>
      </c>
      <c r="N770" t="s">
        <v>79</v>
      </c>
      <c r="O770" t="s">
        <v>80</v>
      </c>
      <c r="P770" t="s">
        <v>43</v>
      </c>
      <c r="Q770" t="s">
        <v>44</v>
      </c>
      <c r="R770" s="1">
        <v>44270.466747685183</v>
      </c>
      <c r="S770" s="1">
        <v>44270.466851851852</v>
      </c>
      <c r="T770">
        <v>2</v>
      </c>
      <c r="U770">
        <v>2</v>
      </c>
      <c r="V770" s="2">
        <v>1</v>
      </c>
      <c r="W770">
        <v>0</v>
      </c>
      <c r="X770" t="s">
        <v>30</v>
      </c>
      <c r="Y770">
        <v>0</v>
      </c>
      <c r="Z770" t="s">
        <v>30</v>
      </c>
      <c r="AA770">
        <v>0</v>
      </c>
      <c r="AB770" t="s">
        <v>31</v>
      </c>
      <c r="AC770">
        <v>0</v>
      </c>
      <c r="AD770" t="s">
        <v>31</v>
      </c>
      <c r="AE770">
        <v>0</v>
      </c>
      <c r="AF770" t="s">
        <v>31</v>
      </c>
      <c r="AG770">
        <v>0</v>
      </c>
      <c r="AH770" t="s">
        <v>31</v>
      </c>
      <c r="AI770">
        <v>0</v>
      </c>
      <c r="AJ770" t="s">
        <v>31</v>
      </c>
      <c r="AK770">
        <v>0</v>
      </c>
      <c r="AL770" t="s">
        <v>31</v>
      </c>
      <c r="AM770">
        <v>0</v>
      </c>
      <c r="AN770" t="s">
        <v>31</v>
      </c>
      <c r="AO770">
        <v>0</v>
      </c>
      <c r="AP770" t="s">
        <v>31</v>
      </c>
      <c r="AQ770">
        <v>0</v>
      </c>
    </row>
    <row r="771" spans="1:43" x14ac:dyDescent="0.2">
      <c r="A771" t="s">
        <v>381</v>
      </c>
      <c r="B771" s="3">
        <v>44279</v>
      </c>
      <c r="C771">
        <v>41</v>
      </c>
      <c r="D771" t="s">
        <v>384</v>
      </c>
      <c r="E771" t="s">
        <v>93</v>
      </c>
      <c r="F771" s="9" t="s">
        <v>184</v>
      </c>
      <c r="G771" t="s">
        <v>26</v>
      </c>
      <c r="H771" t="s">
        <v>79</v>
      </c>
      <c r="I771" t="s">
        <v>80</v>
      </c>
      <c r="J771" t="s">
        <v>43</v>
      </c>
      <c r="K771" t="s">
        <v>44</v>
      </c>
      <c r="L771" t="s">
        <v>29</v>
      </c>
      <c r="M771" t="s">
        <v>30</v>
      </c>
      <c r="N771" t="s">
        <v>79</v>
      </c>
      <c r="O771" t="s">
        <v>80</v>
      </c>
      <c r="P771" t="s">
        <v>43</v>
      </c>
      <c r="Q771" t="s">
        <v>44</v>
      </c>
      <c r="R771" s="1">
        <v>44279.456550925926</v>
      </c>
      <c r="S771" s="1">
        <v>44279.458067129628</v>
      </c>
      <c r="T771">
        <v>2</v>
      </c>
      <c r="U771">
        <v>6</v>
      </c>
      <c r="V771" s="2">
        <v>0.33</v>
      </c>
      <c r="W771">
        <v>0</v>
      </c>
      <c r="X771" t="s">
        <v>44</v>
      </c>
      <c r="Y771">
        <v>0</v>
      </c>
      <c r="Z771" t="s">
        <v>30</v>
      </c>
      <c r="AA771">
        <v>0</v>
      </c>
      <c r="AB771" t="s">
        <v>44</v>
      </c>
      <c r="AC771">
        <v>0</v>
      </c>
      <c r="AD771" t="s">
        <v>44</v>
      </c>
      <c r="AE771">
        <v>0</v>
      </c>
      <c r="AF771" t="s">
        <v>81</v>
      </c>
      <c r="AG771">
        <v>0</v>
      </c>
      <c r="AH771" t="s">
        <v>30</v>
      </c>
      <c r="AI771">
        <v>0</v>
      </c>
      <c r="AJ771" t="s">
        <v>31</v>
      </c>
      <c r="AK771">
        <v>0</v>
      </c>
      <c r="AL771" t="s">
        <v>31</v>
      </c>
      <c r="AM771">
        <v>0</v>
      </c>
      <c r="AN771" t="s">
        <v>31</v>
      </c>
      <c r="AO771">
        <v>0</v>
      </c>
      <c r="AP771" t="s">
        <v>31</v>
      </c>
      <c r="AQ771">
        <v>0</v>
      </c>
    </row>
    <row r="772" spans="1:43" x14ac:dyDescent="0.2">
      <c r="A772" t="s">
        <v>381</v>
      </c>
      <c r="B772" s="3">
        <v>44284</v>
      </c>
      <c r="C772">
        <v>43</v>
      </c>
      <c r="D772" t="s">
        <v>384</v>
      </c>
      <c r="E772" t="s">
        <v>93</v>
      </c>
      <c r="F772" s="9" t="s">
        <v>184</v>
      </c>
      <c r="G772" t="s">
        <v>26</v>
      </c>
      <c r="H772" t="s">
        <v>79</v>
      </c>
      <c r="I772" t="s">
        <v>80</v>
      </c>
      <c r="J772" t="s">
        <v>43</v>
      </c>
      <c r="K772" t="s">
        <v>44</v>
      </c>
      <c r="L772" t="s">
        <v>29</v>
      </c>
      <c r="M772" t="s">
        <v>30</v>
      </c>
      <c r="N772" t="s">
        <v>79</v>
      </c>
      <c r="O772" t="s">
        <v>80</v>
      </c>
      <c r="P772" t="s">
        <v>43</v>
      </c>
      <c r="Q772" t="s">
        <v>44</v>
      </c>
      <c r="R772" s="1">
        <v>44284.387731481482</v>
      </c>
      <c r="S772" s="1">
        <v>44284.388124999998</v>
      </c>
      <c r="T772">
        <v>2</v>
      </c>
      <c r="U772">
        <v>3</v>
      </c>
      <c r="V772" s="2">
        <v>0.66</v>
      </c>
      <c r="W772">
        <v>0</v>
      </c>
      <c r="X772" t="s">
        <v>44</v>
      </c>
      <c r="Y772">
        <v>0</v>
      </c>
      <c r="Z772" t="s">
        <v>30</v>
      </c>
      <c r="AA772">
        <v>0</v>
      </c>
      <c r="AB772" t="s">
        <v>30</v>
      </c>
      <c r="AC772">
        <v>0</v>
      </c>
      <c r="AD772" t="s">
        <v>31</v>
      </c>
      <c r="AE772">
        <v>0</v>
      </c>
      <c r="AF772" t="s">
        <v>31</v>
      </c>
      <c r="AG772">
        <v>0</v>
      </c>
      <c r="AH772" t="s">
        <v>31</v>
      </c>
      <c r="AI772">
        <v>0</v>
      </c>
      <c r="AJ772" t="s">
        <v>31</v>
      </c>
      <c r="AK772">
        <v>0</v>
      </c>
      <c r="AL772" t="s">
        <v>31</v>
      </c>
      <c r="AM772">
        <v>0</v>
      </c>
      <c r="AN772" t="s">
        <v>31</v>
      </c>
      <c r="AO772">
        <v>0</v>
      </c>
      <c r="AP772" t="s">
        <v>31</v>
      </c>
      <c r="AQ772">
        <v>0</v>
      </c>
    </row>
    <row r="773" spans="1:43" x14ac:dyDescent="0.2">
      <c r="A773" t="s">
        <v>381</v>
      </c>
      <c r="B773" s="3">
        <v>44285</v>
      </c>
      <c r="C773">
        <v>44</v>
      </c>
      <c r="D773" t="s">
        <v>385</v>
      </c>
      <c r="E773" t="s">
        <v>93</v>
      </c>
      <c r="F773" s="9" t="s">
        <v>184</v>
      </c>
      <c r="G773" t="s">
        <v>26</v>
      </c>
      <c r="H773" t="s">
        <v>79</v>
      </c>
      <c r="I773" t="s">
        <v>80</v>
      </c>
      <c r="J773" t="s">
        <v>43</v>
      </c>
      <c r="K773" t="s">
        <v>44</v>
      </c>
      <c r="L773" t="s">
        <v>29</v>
      </c>
      <c r="M773" t="s">
        <v>30</v>
      </c>
      <c r="N773" t="s">
        <v>79</v>
      </c>
      <c r="O773" t="s">
        <v>80</v>
      </c>
      <c r="P773" t="s">
        <v>43</v>
      </c>
      <c r="Q773" t="s">
        <v>44</v>
      </c>
      <c r="R773" s="1">
        <v>44285.483194444445</v>
      </c>
      <c r="S773" s="1">
        <v>44285.485960648148</v>
      </c>
      <c r="T773">
        <v>1</v>
      </c>
      <c r="U773">
        <v>2</v>
      </c>
      <c r="V773" s="2">
        <v>0.5</v>
      </c>
      <c r="W773">
        <v>0</v>
      </c>
      <c r="X773" t="s">
        <v>44</v>
      </c>
      <c r="Y773">
        <v>0</v>
      </c>
      <c r="Z773" t="s">
        <v>30</v>
      </c>
      <c r="AA773">
        <v>0</v>
      </c>
      <c r="AB773" t="s">
        <v>31</v>
      </c>
      <c r="AC773">
        <v>0</v>
      </c>
      <c r="AD773" t="s">
        <v>31</v>
      </c>
      <c r="AE773">
        <v>0</v>
      </c>
      <c r="AF773" t="s">
        <v>31</v>
      </c>
      <c r="AG773">
        <v>0</v>
      </c>
      <c r="AH773" t="s">
        <v>31</v>
      </c>
      <c r="AI773">
        <v>0</v>
      </c>
      <c r="AJ773" t="s">
        <v>31</v>
      </c>
      <c r="AK773">
        <v>0</v>
      </c>
      <c r="AL773" t="s">
        <v>31</v>
      </c>
      <c r="AM773">
        <v>0</v>
      </c>
      <c r="AN773" t="s">
        <v>31</v>
      </c>
      <c r="AO773">
        <v>0</v>
      </c>
      <c r="AP773" t="s">
        <v>31</v>
      </c>
      <c r="AQ773">
        <v>0</v>
      </c>
    </row>
    <row r="774" spans="1:43" x14ac:dyDescent="0.2">
      <c r="A774" t="s">
        <v>381</v>
      </c>
      <c r="B774" s="3">
        <v>44286</v>
      </c>
      <c r="C774">
        <v>46</v>
      </c>
      <c r="D774" t="s">
        <v>384</v>
      </c>
      <c r="E774" t="s">
        <v>93</v>
      </c>
      <c r="F774" s="9" t="s">
        <v>184</v>
      </c>
      <c r="G774" t="s">
        <v>26</v>
      </c>
      <c r="H774" t="s">
        <v>79</v>
      </c>
      <c r="I774" t="s">
        <v>80</v>
      </c>
      <c r="J774" t="s">
        <v>43</v>
      </c>
      <c r="K774" t="s">
        <v>44</v>
      </c>
      <c r="L774" t="s">
        <v>29</v>
      </c>
      <c r="M774" t="s">
        <v>30</v>
      </c>
      <c r="N774" t="s">
        <v>79</v>
      </c>
      <c r="O774" t="s">
        <v>80</v>
      </c>
      <c r="P774" t="s">
        <v>43</v>
      </c>
      <c r="Q774" t="s">
        <v>44</v>
      </c>
      <c r="R774" s="1">
        <v>44286.395092592589</v>
      </c>
      <c r="S774" s="1">
        <v>44286.395844907405</v>
      </c>
      <c r="T774">
        <v>2</v>
      </c>
      <c r="U774">
        <v>3</v>
      </c>
      <c r="V774" s="2">
        <v>0.66</v>
      </c>
      <c r="W774">
        <v>0</v>
      </c>
      <c r="X774" t="s">
        <v>30</v>
      </c>
      <c r="Y774">
        <v>0</v>
      </c>
      <c r="Z774" t="s">
        <v>44</v>
      </c>
      <c r="AA774">
        <v>0</v>
      </c>
      <c r="AB774" t="s">
        <v>30</v>
      </c>
      <c r="AC774">
        <v>0</v>
      </c>
      <c r="AD774" t="s">
        <v>31</v>
      </c>
      <c r="AE774">
        <v>0</v>
      </c>
      <c r="AF774" t="s">
        <v>31</v>
      </c>
      <c r="AG774">
        <v>0</v>
      </c>
      <c r="AH774" t="s">
        <v>31</v>
      </c>
      <c r="AI774">
        <v>0</v>
      </c>
      <c r="AJ774" t="s">
        <v>31</v>
      </c>
      <c r="AK774">
        <v>0</v>
      </c>
      <c r="AL774" t="s">
        <v>31</v>
      </c>
      <c r="AM774">
        <v>0</v>
      </c>
      <c r="AN774" t="s">
        <v>31</v>
      </c>
      <c r="AO774">
        <v>0</v>
      </c>
      <c r="AP774" t="s">
        <v>31</v>
      </c>
      <c r="AQ774">
        <v>0</v>
      </c>
    </row>
    <row r="775" spans="1:43" x14ac:dyDescent="0.2">
      <c r="A775" t="s">
        <v>381</v>
      </c>
      <c r="B775" s="3">
        <v>44287</v>
      </c>
      <c r="C775">
        <v>47</v>
      </c>
      <c r="D775" t="s">
        <v>385</v>
      </c>
      <c r="E775" t="s">
        <v>93</v>
      </c>
      <c r="F775" s="9" t="s">
        <v>184</v>
      </c>
      <c r="G775" t="s">
        <v>26</v>
      </c>
      <c r="H775" t="s">
        <v>79</v>
      </c>
      <c r="I775" t="s">
        <v>80</v>
      </c>
      <c r="J775" t="s">
        <v>43</v>
      </c>
      <c r="K775" t="s">
        <v>44</v>
      </c>
      <c r="L775" t="s">
        <v>29</v>
      </c>
      <c r="M775" t="s">
        <v>30</v>
      </c>
      <c r="N775" t="s">
        <v>79</v>
      </c>
      <c r="O775" t="s">
        <v>80</v>
      </c>
      <c r="P775" t="s">
        <v>43</v>
      </c>
      <c r="Q775" t="s">
        <v>44</v>
      </c>
      <c r="R775" s="1">
        <v>44287.447430555556</v>
      </c>
      <c r="S775" s="1">
        <v>44287.448923611111</v>
      </c>
      <c r="T775">
        <v>0</v>
      </c>
      <c r="U775">
        <v>5</v>
      </c>
      <c r="V775" s="2">
        <v>0</v>
      </c>
      <c r="W775">
        <v>0</v>
      </c>
      <c r="X775" t="s">
        <v>44</v>
      </c>
      <c r="Y775">
        <v>0</v>
      </c>
      <c r="Z775" t="s">
        <v>44</v>
      </c>
      <c r="AA775">
        <v>0</v>
      </c>
      <c r="AB775" t="s">
        <v>81</v>
      </c>
      <c r="AC775">
        <v>0</v>
      </c>
      <c r="AD775" t="s">
        <v>45</v>
      </c>
      <c r="AE775">
        <v>0</v>
      </c>
      <c r="AF775" t="s">
        <v>47</v>
      </c>
      <c r="AG775">
        <v>0</v>
      </c>
      <c r="AH775" t="s">
        <v>31</v>
      </c>
      <c r="AI775">
        <v>0</v>
      </c>
      <c r="AJ775" t="s">
        <v>31</v>
      </c>
      <c r="AK775">
        <v>0</v>
      </c>
      <c r="AL775" t="s">
        <v>31</v>
      </c>
      <c r="AM775">
        <v>0</v>
      </c>
      <c r="AN775" t="s">
        <v>31</v>
      </c>
      <c r="AO775">
        <v>0</v>
      </c>
      <c r="AP775" t="s">
        <v>31</v>
      </c>
      <c r="AQ775">
        <v>0</v>
      </c>
    </row>
    <row r="776" spans="1:43" x14ac:dyDescent="0.2">
      <c r="A776" t="s">
        <v>381</v>
      </c>
      <c r="B776" s="3">
        <v>44291</v>
      </c>
      <c r="C776">
        <v>50</v>
      </c>
      <c r="D776" t="s">
        <v>384</v>
      </c>
      <c r="E776" t="s">
        <v>93</v>
      </c>
      <c r="F776" s="9" t="s">
        <v>184</v>
      </c>
      <c r="G776" t="s">
        <v>26</v>
      </c>
      <c r="H776" t="s">
        <v>79</v>
      </c>
      <c r="I776" t="s">
        <v>80</v>
      </c>
      <c r="J776" t="s">
        <v>43</v>
      </c>
      <c r="K776" t="s">
        <v>44</v>
      </c>
      <c r="L776" t="s">
        <v>29</v>
      </c>
      <c r="M776" t="s">
        <v>30</v>
      </c>
      <c r="N776" t="s">
        <v>79</v>
      </c>
      <c r="O776" t="s">
        <v>80</v>
      </c>
      <c r="P776" t="s">
        <v>43</v>
      </c>
      <c r="Q776" t="s">
        <v>44</v>
      </c>
      <c r="R776" s="1">
        <v>44291.386967592596</v>
      </c>
      <c r="S776" s="1">
        <v>44291.387430555558</v>
      </c>
      <c r="T776">
        <v>2</v>
      </c>
      <c r="U776">
        <v>3</v>
      </c>
      <c r="V776" s="2">
        <v>0.66</v>
      </c>
      <c r="W776">
        <v>0</v>
      </c>
      <c r="X776" t="s">
        <v>30</v>
      </c>
      <c r="Y776">
        <v>0</v>
      </c>
      <c r="Z776" t="s">
        <v>44</v>
      </c>
      <c r="AA776">
        <v>0</v>
      </c>
      <c r="AB776" t="s">
        <v>30</v>
      </c>
      <c r="AC776">
        <v>0</v>
      </c>
      <c r="AD776" t="s">
        <v>31</v>
      </c>
      <c r="AE776">
        <v>0</v>
      </c>
      <c r="AF776" t="s">
        <v>31</v>
      </c>
      <c r="AG776">
        <v>0</v>
      </c>
      <c r="AH776" t="s">
        <v>31</v>
      </c>
      <c r="AI776">
        <v>0</v>
      </c>
      <c r="AJ776" t="s">
        <v>31</v>
      </c>
      <c r="AK776">
        <v>0</v>
      </c>
      <c r="AL776" t="s">
        <v>31</v>
      </c>
      <c r="AM776">
        <v>0</v>
      </c>
      <c r="AN776" t="s">
        <v>31</v>
      </c>
      <c r="AO776">
        <v>0</v>
      </c>
      <c r="AP776" t="s">
        <v>31</v>
      </c>
      <c r="AQ776">
        <v>0</v>
      </c>
    </row>
    <row r="777" spans="1:43" x14ac:dyDescent="0.2">
      <c r="A777" t="s">
        <v>381</v>
      </c>
      <c r="B777" s="3">
        <v>44292</v>
      </c>
      <c r="C777">
        <v>51</v>
      </c>
      <c r="D777" t="s">
        <v>385</v>
      </c>
      <c r="E777" t="s">
        <v>93</v>
      </c>
      <c r="F777" s="9" t="s">
        <v>184</v>
      </c>
      <c r="G777" t="s">
        <v>26</v>
      </c>
      <c r="H777" t="s">
        <v>79</v>
      </c>
      <c r="I777" t="s">
        <v>80</v>
      </c>
      <c r="J777" t="s">
        <v>43</v>
      </c>
      <c r="K777" t="s">
        <v>44</v>
      </c>
      <c r="L777" t="s">
        <v>29</v>
      </c>
      <c r="M777" t="s">
        <v>30</v>
      </c>
      <c r="N777" t="s">
        <v>79</v>
      </c>
      <c r="O777" t="s">
        <v>80</v>
      </c>
      <c r="P777" t="s">
        <v>43</v>
      </c>
      <c r="Q777" t="s">
        <v>44</v>
      </c>
      <c r="R777" s="1">
        <v>44292.412962962961</v>
      </c>
      <c r="S777" s="1">
        <v>44292.414340277777</v>
      </c>
      <c r="T777">
        <v>1</v>
      </c>
      <c r="U777">
        <v>2</v>
      </c>
      <c r="V777" s="2">
        <v>0.5</v>
      </c>
      <c r="W777">
        <v>0</v>
      </c>
      <c r="X777" t="s">
        <v>44</v>
      </c>
      <c r="Y777">
        <v>0</v>
      </c>
      <c r="Z777" t="s">
        <v>30</v>
      </c>
      <c r="AA777">
        <v>0</v>
      </c>
      <c r="AB777" t="s">
        <v>31</v>
      </c>
      <c r="AC777">
        <v>0</v>
      </c>
      <c r="AD777" t="s">
        <v>31</v>
      </c>
      <c r="AE777">
        <v>0</v>
      </c>
      <c r="AF777" t="s">
        <v>31</v>
      </c>
      <c r="AG777">
        <v>0</v>
      </c>
      <c r="AH777" t="s">
        <v>31</v>
      </c>
      <c r="AI777">
        <v>0</v>
      </c>
      <c r="AJ777" t="s">
        <v>31</v>
      </c>
      <c r="AK777">
        <v>0</v>
      </c>
      <c r="AL777" t="s">
        <v>31</v>
      </c>
      <c r="AM777">
        <v>0</v>
      </c>
      <c r="AN777" t="s">
        <v>31</v>
      </c>
      <c r="AO777">
        <v>0</v>
      </c>
      <c r="AP777" t="s">
        <v>31</v>
      </c>
      <c r="AQ777">
        <v>0</v>
      </c>
    </row>
    <row r="778" spans="1:43" x14ac:dyDescent="0.2">
      <c r="A778" t="s">
        <v>381</v>
      </c>
      <c r="B778" s="3">
        <v>44293</v>
      </c>
      <c r="C778">
        <v>53</v>
      </c>
      <c r="D778" t="s">
        <v>384</v>
      </c>
      <c r="E778" t="s">
        <v>93</v>
      </c>
      <c r="F778" s="9" t="s">
        <v>184</v>
      </c>
      <c r="G778" t="s">
        <v>26</v>
      </c>
      <c r="H778" t="s">
        <v>79</v>
      </c>
      <c r="I778" t="s">
        <v>80</v>
      </c>
      <c r="J778" t="s">
        <v>43</v>
      </c>
      <c r="K778" t="s">
        <v>44</v>
      </c>
      <c r="L778" t="s">
        <v>29</v>
      </c>
      <c r="M778" t="s">
        <v>30</v>
      </c>
      <c r="N778" t="s">
        <v>79</v>
      </c>
      <c r="O778" t="s">
        <v>80</v>
      </c>
      <c r="P778" t="s">
        <v>43</v>
      </c>
      <c r="Q778" t="s">
        <v>44</v>
      </c>
      <c r="R778" s="1">
        <v>44293.377847222226</v>
      </c>
      <c r="S778" s="1">
        <v>44293.378229166665</v>
      </c>
      <c r="T778">
        <v>2</v>
      </c>
      <c r="U778">
        <v>2</v>
      </c>
      <c r="V778" s="2">
        <v>1</v>
      </c>
      <c r="W778">
        <v>0</v>
      </c>
      <c r="X778" t="s">
        <v>30</v>
      </c>
      <c r="Y778">
        <v>0</v>
      </c>
      <c r="Z778" t="s">
        <v>30</v>
      </c>
      <c r="AA778">
        <v>0</v>
      </c>
      <c r="AB778" t="s">
        <v>31</v>
      </c>
      <c r="AC778">
        <v>0</v>
      </c>
      <c r="AD778" t="s">
        <v>31</v>
      </c>
      <c r="AE778">
        <v>0</v>
      </c>
      <c r="AF778" t="s">
        <v>31</v>
      </c>
      <c r="AG778">
        <v>0</v>
      </c>
      <c r="AH778" t="s">
        <v>31</v>
      </c>
      <c r="AI778">
        <v>0</v>
      </c>
      <c r="AJ778" t="s">
        <v>31</v>
      </c>
      <c r="AK778">
        <v>0</v>
      </c>
      <c r="AL778" t="s">
        <v>31</v>
      </c>
      <c r="AM778">
        <v>0</v>
      </c>
      <c r="AN778" t="s">
        <v>31</v>
      </c>
      <c r="AO778">
        <v>0</v>
      </c>
      <c r="AP778" t="s">
        <v>31</v>
      </c>
      <c r="AQ778">
        <v>0</v>
      </c>
    </row>
    <row r="779" spans="1:43" x14ac:dyDescent="0.2">
      <c r="A779" t="s">
        <v>381</v>
      </c>
      <c r="B779" s="3">
        <v>44294</v>
      </c>
      <c r="C779">
        <v>55</v>
      </c>
      <c r="D779" t="s">
        <v>385</v>
      </c>
      <c r="E779" t="s">
        <v>93</v>
      </c>
      <c r="F779" s="9" t="s">
        <v>184</v>
      </c>
      <c r="G779" t="s">
        <v>26</v>
      </c>
      <c r="H779" t="s">
        <v>79</v>
      </c>
      <c r="I779" t="s">
        <v>80</v>
      </c>
      <c r="J779" t="s">
        <v>43</v>
      </c>
      <c r="K779" t="s">
        <v>44</v>
      </c>
      <c r="L779" t="s">
        <v>29</v>
      </c>
      <c r="M779" t="s">
        <v>30</v>
      </c>
      <c r="N779" t="s">
        <v>79</v>
      </c>
      <c r="O779" t="s">
        <v>80</v>
      </c>
      <c r="P779" t="s">
        <v>43</v>
      </c>
      <c r="Q779" t="s">
        <v>44</v>
      </c>
      <c r="R779" s="1">
        <v>44294.565115740741</v>
      </c>
      <c r="S779" s="1">
        <v>44294.566192129627</v>
      </c>
      <c r="T779">
        <v>2</v>
      </c>
      <c r="U779">
        <v>3</v>
      </c>
      <c r="V779" s="2">
        <v>0.66</v>
      </c>
      <c r="W779">
        <v>0</v>
      </c>
      <c r="X779" t="s">
        <v>44</v>
      </c>
      <c r="Y779">
        <v>0</v>
      </c>
      <c r="Z779" t="s">
        <v>30</v>
      </c>
      <c r="AA779">
        <v>0</v>
      </c>
      <c r="AB779" t="s">
        <v>30</v>
      </c>
      <c r="AC779">
        <v>0</v>
      </c>
      <c r="AD779" t="s">
        <v>31</v>
      </c>
      <c r="AE779">
        <v>0</v>
      </c>
      <c r="AF779" t="s">
        <v>31</v>
      </c>
      <c r="AG779">
        <v>0</v>
      </c>
      <c r="AH779" t="s">
        <v>31</v>
      </c>
      <c r="AI779">
        <v>0</v>
      </c>
      <c r="AJ779" t="s">
        <v>31</v>
      </c>
      <c r="AK779">
        <v>0</v>
      </c>
      <c r="AL779" t="s">
        <v>31</v>
      </c>
      <c r="AM779">
        <v>0</v>
      </c>
      <c r="AN779" t="s">
        <v>31</v>
      </c>
      <c r="AO779">
        <v>0</v>
      </c>
      <c r="AP779" t="s">
        <v>31</v>
      </c>
      <c r="AQ779">
        <v>0</v>
      </c>
    </row>
    <row r="780" spans="1:43" x14ac:dyDescent="0.2">
      <c r="A780" t="s">
        <v>381</v>
      </c>
      <c r="B780" s="3">
        <v>44295</v>
      </c>
      <c r="C780">
        <v>56</v>
      </c>
      <c r="D780" t="s">
        <v>384</v>
      </c>
      <c r="E780" t="s">
        <v>93</v>
      </c>
      <c r="F780" s="9" t="s">
        <v>184</v>
      </c>
      <c r="G780" t="s">
        <v>26</v>
      </c>
      <c r="H780" t="s">
        <v>79</v>
      </c>
      <c r="I780" t="s">
        <v>80</v>
      </c>
      <c r="J780" t="s">
        <v>43</v>
      </c>
      <c r="K780" t="s">
        <v>44</v>
      </c>
      <c r="L780" t="s">
        <v>29</v>
      </c>
      <c r="M780" t="s">
        <v>30</v>
      </c>
      <c r="N780" t="s">
        <v>79</v>
      </c>
      <c r="O780" t="s">
        <v>80</v>
      </c>
      <c r="P780" t="s">
        <v>43</v>
      </c>
      <c r="Q780" t="s">
        <v>44</v>
      </c>
      <c r="R780" s="1">
        <v>44295.384062500001</v>
      </c>
      <c r="S780" s="1">
        <v>44295.387835648151</v>
      </c>
      <c r="T780">
        <v>2</v>
      </c>
      <c r="U780">
        <v>7</v>
      </c>
      <c r="V780" s="2">
        <v>0.28000000000000003</v>
      </c>
      <c r="W780">
        <v>0</v>
      </c>
      <c r="X780" t="s">
        <v>44</v>
      </c>
      <c r="Y780">
        <v>0</v>
      </c>
      <c r="Z780" t="s">
        <v>44</v>
      </c>
      <c r="AA780">
        <v>0</v>
      </c>
      <c r="AB780" t="s">
        <v>81</v>
      </c>
      <c r="AC780">
        <v>0</v>
      </c>
      <c r="AD780" t="s">
        <v>45</v>
      </c>
      <c r="AE780">
        <v>0</v>
      </c>
      <c r="AF780" t="s">
        <v>30</v>
      </c>
      <c r="AG780">
        <v>0</v>
      </c>
      <c r="AH780" t="s">
        <v>44</v>
      </c>
      <c r="AI780">
        <v>0</v>
      </c>
      <c r="AJ780" t="s">
        <v>30</v>
      </c>
      <c r="AK780">
        <v>0</v>
      </c>
      <c r="AL780" t="s">
        <v>31</v>
      </c>
      <c r="AM780">
        <v>0</v>
      </c>
      <c r="AN780" t="s">
        <v>31</v>
      </c>
      <c r="AO780">
        <v>0</v>
      </c>
      <c r="AP780" t="s">
        <v>31</v>
      </c>
      <c r="AQ780">
        <v>0</v>
      </c>
    </row>
    <row r="781" spans="1:43" x14ac:dyDescent="0.2">
      <c r="A781" t="s">
        <v>381</v>
      </c>
      <c r="B781" s="3">
        <v>44299</v>
      </c>
      <c r="C781">
        <v>58</v>
      </c>
      <c r="D781" t="s">
        <v>385</v>
      </c>
      <c r="E781" t="s">
        <v>93</v>
      </c>
      <c r="F781" s="9" t="s">
        <v>184</v>
      </c>
      <c r="G781" t="s">
        <v>26</v>
      </c>
      <c r="H781" t="s">
        <v>79</v>
      </c>
      <c r="I781" t="s">
        <v>80</v>
      </c>
      <c r="J781" t="s">
        <v>43</v>
      </c>
      <c r="K781" t="s">
        <v>44</v>
      </c>
      <c r="L781" t="s">
        <v>29</v>
      </c>
      <c r="M781" t="s">
        <v>30</v>
      </c>
      <c r="N781" t="s">
        <v>79</v>
      </c>
      <c r="O781" t="s">
        <v>80</v>
      </c>
      <c r="P781" t="s">
        <v>43</v>
      </c>
      <c r="Q781" t="s">
        <v>44</v>
      </c>
      <c r="R781" s="1">
        <v>44299.448784722219</v>
      </c>
      <c r="S781" s="1">
        <v>44299.449155092596</v>
      </c>
      <c r="T781">
        <v>2</v>
      </c>
      <c r="U781">
        <v>3</v>
      </c>
      <c r="V781" s="2">
        <v>0.66</v>
      </c>
      <c r="W781">
        <v>0</v>
      </c>
      <c r="X781" t="s">
        <v>44</v>
      </c>
      <c r="Y781">
        <v>0</v>
      </c>
      <c r="Z781" t="s">
        <v>30</v>
      </c>
      <c r="AA781">
        <v>0</v>
      </c>
      <c r="AB781" t="s">
        <v>30</v>
      </c>
      <c r="AC781">
        <v>0</v>
      </c>
      <c r="AD781" t="s">
        <v>31</v>
      </c>
      <c r="AE781">
        <v>0</v>
      </c>
      <c r="AF781" t="s">
        <v>31</v>
      </c>
      <c r="AG781">
        <v>0</v>
      </c>
      <c r="AH781" t="s">
        <v>31</v>
      </c>
      <c r="AI781">
        <v>0</v>
      </c>
      <c r="AJ781" t="s">
        <v>31</v>
      </c>
      <c r="AK781">
        <v>0</v>
      </c>
      <c r="AL781" t="s">
        <v>31</v>
      </c>
      <c r="AM781">
        <v>0</v>
      </c>
      <c r="AN781" t="s">
        <v>31</v>
      </c>
      <c r="AO781">
        <v>0</v>
      </c>
      <c r="AP781" t="s">
        <v>31</v>
      </c>
      <c r="AQ781">
        <v>0</v>
      </c>
    </row>
    <row r="782" spans="1:43" x14ac:dyDescent="0.2">
      <c r="A782" t="s">
        <v>381</v>
      </c>
      <c r="B782" s="3">
        <v>44300</v>
      </c>
      <c r="C782">
        <v>60</v>
      </c>
      <c r="D782" t="s">
        <v>398</v>
      </c>
      <c r="E782" t="s">
        <v>93</v>
      </c>
      <c r="F782" s="9" t="s">
        <v>184</v>
      </c>
      <c r="G782" t="s">
        <v>26</v>
      </c>
      <c r="H782" t="s">
        <v>79</v>
      </c>
      <c r="I782" t="s">
        <v>80</v>
      </c>
      <c r="J782" t="s">
        <v>43</v>
      </c>
      <c r="K782" t="s">
        <v>44</v>
      </c>
      <c r="L782" t="s">
        <v>29</v>
      </c>
      <c r="M782" t="s">
        <v>30</v>
      </c>
      <c r="N782" t="s">
        <v>79</v>
      </c>
      <c r="O782" t="s">
        <v>80</v>
      </c>
      <c r="P782" t="s">
        <v>43</v>
      </c>
      <c r="Q782" t="s">
        <v>44</v>
      </c>
      <c r="R782" s="1">
        <v>44300.423564814817</v>
      </c>
      <c r="S782" s="1">
        <v>44300.485925925925</v>
      </c>
      <c r="T782">
        <v>1</v>
      </c>
      <c r="U782">
        <v>2</v>
      </c>
      <c r="V782" s="2">
        <v>0.5</v>
      </c>
      <c r="W782">
        <v>0</v>
      </c>
      <c r="X782" t="s">
        <v>44</v>
      </c>
      <c r="Y782">
        <v>0</v>
      </c>
      <c r="Z782" t="s">
        <v>30</v>
      </c>
      <c r="AA782">
        <v>0</v>
      </c>
      <c r="AB782" t="s">
        <v>31</v>
      </c>
      <c r="AC782">
        <v>0</v>
      </c>
      <c r="AD782" t="s">
        <v>31</v>
      </c>
      <c r="AE782">
        <v>0</v>
      </c>
      <c r="AF782" t="s">
        <v>31</v>
      </c>
      <c r="AG782">
        <v>0</v>
      </c>
      <c r="AH782" t="s">
        <v>31</v>
      </c>
      <c r="AI782">
        <v>0</v>
      </c>
      <c r="AJ782" t="s">
        <v>31</v>
      </c>
      <c r="AK782">
        <v>0</v>
      </c>
      <c r="AL782" t="s">
        <v>31</v>
      </c>
      <c r="AM782">
        <v>0</v>
      </c>
      <c r="AN782" t="s">
        <v>31</v>
      </c>
      <c r="AO782">
        <v>0</v>
      </c>
      <c r="AP782" t="s">
        <v>31</v>
      </c>
      <c r="AQ782">
        <v>0</v>
      </c>
    </row>
    <row r="783" spans="1:43" x14ac:dyDescent="0.2">
      <c r="A783" t="s">
        <v>381</v>
      </c>
      <c r="B783" s="3">
        <v>44300</v>
      </c>
      <c r="C783">
        <v>61</v>
      </c>
      <c r="D783" t="s">
        <v>401</v>
      </c>
      <c r="E783" t="s">
        <v>93</v>
      </c>
      <c r="F783" s="9" t="s">
        <v>184</v>
      </c>
      <c r="G783" t="s">
        <v>26</v>
      </c>
      <c r="H783" t="s">
        <v>79</v>
      </c>
      <c r="I783" t="s">
        <v>80</v>
      </c>
      <c r="J783" t="s">
        <v>43</v>
      </c>
      <c r="K783" t="s">
        <v>44</v>
      </c>
      <c r="L783" t="s">
        <v>29</v>
      </c>
      <c r="M783" t="s">
        <v>30</v>
      </c>
      <c r="N783" t="s">
        <v>79</v>
      </c>
      <c r="O783" t="s">
        <v>80</v>
      </c>
      <c r="P783" t="s">
        <v>43</v>
      </c>
      <c r="Q783" t="s">
        <v>44</v>
      </c>
      <c r="R783" s="1">
        <v>44300.634571759256</v>
      </c>
      <c r="S783" s="1">
        <v>44300.637662037036</v>
      </c>
      <c r="T783">
        <v>0</v>
      </c>
      <c r="U783">
        <v>6</v>
      </c>
      <c r="V783" s="2">
        <v>0</v>
      </c>
      <c r="W783">
        <v>0</v>
      </c>
      <c r="X783" t="s">
        <v>44</v>
      </c>
      <c r="Y783">
        <v>0</v>
      </c>
      <c r="Z783" t="s">
        <v>44</v>
      </c>
      <c r="AA783">
        <v>0</v>
      </c>
      <c r="AB783" t="s">
        <v>81</v>
      </c>
      <c r="AC783">
        <v>0</v>
      </c>
      <c r="AD783" t="s">
        <v>44</v>
      </c>
      <c r="AE783">
        <v>0</v>
      </c>
      <c r="AF783" t="s">
        <v>44</v>
      </c>
      <c r="AG783">
        <v>0</v>
      </c>
      <c r="AH783" t="s">
        <v>81</v>
      </c>
      <c r="AI783">
        <v>0</v>
      </c>
      <c r="AJ783" t="s">
        <v>31</v>
      </c>
      <c r="AK783">
        <v>0</v>
      </c>
      <c r="AL783" t="s">
        <v>31</v>
      </c>
      <c r="AM783">
        <v>0</v>
      </c>
      <c r="AN783" t="s">
        <v>31</v>
      </c>
      <c r="AO783">
        <v>0</v>
      </c>
      <c r="AP783" t="s">
        <v>31</v>
      </c>
      <c r="AQ783">
        <v>0</v>
      </c>
    </row>
    <row r="784" spans="1:43" x14ac:dyDescent="0.2">
      <c r="A784" t="s">
        <v>381</v>
      </c>
      <c r="B784" s="3">
        <v>44301</v>
      </c>
      <c r="C784">
        <v>62</v>
      </c>
      <c r="D784" t="s">
        <v>385</v>
      </c>
      <c r="E784" t="s">
        <v>93</v>
      </c>
      <c r="F784" s="9" t="s">
        <v>184</v>
      </c>
      <c r="G784" t="s">
        <v>26</v>
      </c>
      <c r="H784" t="s">
        <v>79</v>
      </c>
      <c r="I784" t="s">
        <v>80</v>
      </c>
      <c r="J784" t="s">
        <v>43</v>
      </c>
      <c r="K784" t="s">
        <v>44</v>
      </c>
      <c r="L784" t="s">
        <v>29</v>
      </c>
      <c r="M784" t="s">
        <v>30</v>
      </c>
      <c r="N784" t="s">
        <v>41</v>
      </c>
      <c r="O784" t="s">
        <v>42</v>
      </c>
      <c r="P784" t="s">
        <v>29</v>
      </c>
      <c r="Q784" t="s">
        <v>30</v>
      </c>
      <c r="R784" s="1">
        <v>44301.416921296295</v>
      </c>
      <c r="S784" s="1">
        <v>44301.419710648152</v>
      </c>
      <c r="T784">
        <v>0</v>
      </c>
      <c r="U784">
        <v>5</v>
      </c>
      <c r="V784" s="2">
        <v>0</v>
      </c>
      <c r="W784">
        <v>0</v>
      </c>
      <c r="X784" t="s">
        <v>44</v>
      </c>
      <c r="Y784">
        <v>0</v>
      </c>
      <c r="Z784" t="s">
        <v>44</v>
      </c>
      <c r="AA784">
        <v>0</v>
      </c>
      <c r="AB784" t="s">
        <v>81</v>
      </c>
      <c r="AC784">
        <v>0</v>
      </c>
      <c r="AD784" t="s">
        <v>45</v>
      </c>
      <c r="AE784">
        <v>0</v>
      </c>
      <c r="AF784" t="s">
        <v>47</v>
      </c>
      <c r="AG784">
        <v>0</v>
      </c>
      <c r="AH784" t="s">
        <v>31</v>
      </c>
      <c r="AI784">
        <v>0</v>
      </c>
      <c r="AJ784" t="s">
        <v>31</v>
      </c>
      <c r="AK784">
        <v>0</v>
      </c>
      <c r="AL784" t="s">
        <v>31</v>
      </c>
      <c r="AM784">
        <v>0</v>
      </c>
      <c r="AN784" t="s">
        <v>31</v>
      </c>
      <c r="AO784">
        <v>0</v>
      </c>
      <c r="AP784" t="s">
        <v>31</v>
      </c>
      <c r="AQ784">
        <v>0</v>
      </c>
    </row>
    <row r="785" spans="1:43" x14ac:dyDescent="0.2">
      <c r="A785" t="s">
        <v>381</v>
      </c>
      <c r="B785" s="3">
        <v>44301</v>
      </c>
      <c r="C785">
        <v>63</v>
      </c>
      <c r="D785" t="s">
        <v>385</v>
      </c>
      <c r="E785" t="s">
        <v>93</v>
      </c>
      <c r="F785" s="9" t="s">
        <v>184</v>
      </c>
      <c r="G785" t="s">
        <v>26</v>
      </c>
      <c r="H785" t="s">
        <v>41</v>
      </c>
      <c r="I785" t="s">
        <v>42</v>
      </c>
      <c r="J785" t="s">
        <v>29</v>
      </c>
      <c r="K785" t="s">
        <v>30</v>
      </c>
      <c r="L785" t="s">
        <v>29</v>
      </c>
      <c r="M785" t="s">
        <v>30</v>
      </c>
      <c r="N785" t="s">
        <v>41</v>
      </c>
      <c r="O785" t="s">
        <v>42</v>
      </c>
      <c r="P785" t="s">
        <v>29</v>
      </c>
      <c r="Q785" t="s">
        <v>30</v>
      </c>
      <c r="R785" s="1">
        <v>44301.601030092592</v>
      </c>
      <c r="S785" s="1">
        <v>44301.603414351855</v>
      </c>
      <c r="T785">
        <v>0</v>
      </c>
      <c r="U785">
        <v>5</v>
      </c>
      <c r="V785" s="2">
        <v>0</v>
      </c>
      <c r="W785">
        <v>0</v>
      </c>
      <c r="X785" t="s">
        <v>44</v>
      </c>
      <c r="Y785">
        <v>0</v>
      </c>
      <c r="Z785" t="s">
        <v>44</v>
      </c>
      <c r="AA785">
        <v>0</v>
      </c>
      <c r="AB785" t="s">
        <v>81</v>
      </c>
      <c r="AC785">
        <v>0</v>
      </c>
      <c r="AD785" t="s">
        <v>45</v>
      </c>
      <c r="AE785">
        <v>0</v>
      </c>
      <c r="AF785" t="s">
        <v>47</v>
      </c>
      <c r="AG785">
        <v>0</v>
      </c>
      <c r="AH785" t="s">
        <v>31</v>
      </c>
      <c r="AI785">
        <v>0</v>
      </c>
      <c r="AJ785" t="s">
        <v>31</v>
      </c>
      <c r="AK785">
        <v>0</v>
      </c>
      <c r="AL785" t="s">
        <v>31</v>
      </c>
      <c r="AM785">
        <v>0</v>
      </c>
      <c r="AN785" t="s">
        <v>31</v>
      </c>
      <c r="AO785">
        <v>0</v>
      </c>
      <c r="AP785" t="s">
        <v>31</v>
      </c>
      <c r="AQ785">
        <v>0</v>
      </c>
    </row>
    <row r="786" spans="1:43" x14ac:dyDescent="0.2">
      <c r="A786" t="s">
        <v>381</v>
      </c>
      <c r="B786" s="3">
        <v>44302</v>
      </c>
      <c r="C786">
        <v>64</v>
      </c>
      <c r="D786" t="s">
        <v>390</v>
      </c>
      <c r="E786" t="s">
        <v>93</v>
      </c>
      <c r="F786" s="9" t="s">
        <v>184</v>
      </c>
      <c r="G786" t="s">
        <v>26</v>
      </c>
      <c r="H786" t="s">
        <v>41</v>
      </c>
      <c r="I786" t="s">
        <v>42</v>
      </c>
      <c r="J786" t="s">
        <v>29</v>
      </c>
      <c r="K786" t="s">
        <v>30</v>
      </c>
      <c r="L786" t="s">
        <v>29</v>
      </c>
      <c r="M786" t="s">
        <v>30</v>
      </c>
      <c r="N786" t="s">
        <v>132</v>
      </c>
      <c r="O786" t="s">
        <v>133</v>
      </c>
      <c r="P786" t="s">
        <v>29</v>
      </c>
      <c r="Q786" t="s">
        <v>30</v>
      </c>
      <c r="R786" s="1">
        <v>44302.453206018516</v>
      </c>
      <c r="S786" s="1">
        <v>44302.454467592594</v>
      </c>
      <c r="T786">
        <v>1</v>
      </c>
      <c r="U786">
        <v>6</v>
      </c>
      <c r="V786" s="2">
        <v>0.16</v>
      </c>
      <c r="W786">
        <v>0</v>
      </c>
      <c r="X786" t="s">
        <v>44</v>
      </c>
      <c r="Y786">
        <v>0</v>
      </c>
      <c r="Z786" t="s">
        <v>44</v>
      </c>
      <c r="AA786">
        <v>0</v>
      </c>
      <c r="AB786" t="s">
        <v>81</v>
      </c>
      <c r="AC786">
        <v>0</v>
      </c>
      <c r="AD786" t="s">
        <v>45</v>
      </c>
      <c r="AE786">
        <v>0</v>
      </c>
      <c r="AF786" t="s">
        <v>47</v>
      </c>
      <c r="AG786">
        <v>0</v>
      </c>
      <c r="AH786" t="s">
        <v>30</v>
      </c>
      <c r="AI786">
        <v>0</v>
      </c>
      <c r="AJ786" t="s">
        <v>31</v>
      </c>
      <c r="AK786">
        <v>0</v>
      </c>
      <c r="AL786" t="s">
        <v>31</v>
      </c>
      <c r="AM786">
        <v>0</v>
      </c>
      <c r="AN786" t="s">
        <v>31</v>
      </c>
      <c r="AO786">
        <v>0</v>
      </c>
      <c r="AP786" t="s">
        <v>31</v>
      </c>
      <c r="AQ786">
        <v>0</v>
      </c>
    </row>
    <row r="787" spans="1:43" x14ac:dyDescent="0.2">
      <c r="A787" t="s">
        <v>381</v>
      </c>
      <c r="B787" s="3">
        <v>44302</v>
      </c>
      <c r="C787">
        <v>65</v>
      </c>
      <c r="D787" t="s">
        <v>387</v>
      </c>
      <c r="E787" t="s">
        <v>93</v>
      </c>
      <c r="F787" s="9" t="s">
        <v>184</v>
      </c>
      <c r="G787" t="s">
        <v>26</v>
      </c>
      <c r="H787" t="s">
        <v>132</v>
      </c>
      <c r="I787" t="s">
        <v>133</v>
      </c>
      <c r="J787" t="s">
        <v>29</v>
      </c>
      <c r="K787" t="s">
        <v>30</v>
      </c>
      <c r="L787" t="s">
        <v>29</v>
      </c>
      <c r="M787" t="s">
        <v>30</v>
      </c>
      <c r="N787" t="s">
        <v>64</v>
      </c>
      <c r="O787" t="s">
        <v>65</v>
      </c>
      <c r="P787" t="s">
        <v>29</v>
      </c>
      <c r="Q787" t="s">
        <v>30</v>
      </c>
      <c r="R787" s="1">
        <v>44302.624583333331</v>
      </c>
      <c r="S787" s="1">
        <v>44302.625902777778</v>
      </c>
      <c r="T787">
        <v>0</v>
      </c>
      <c r="U787">
        <v>5</v>
      </c>
      <c r="V787" s="2">
        <v>0</v>
      </c>
      <c r="W787">
        <v>0</v>
      </c>
      <c r="X787" t="s">
        <v>44</v>
      </c>
      <c r="Y787">
        <v>0</v>
      </c>
      <c r="Z787" t="s">
        <v>44</v>
      </c>
      <c r="AA787">
        <v>0</v>
      </c>
      <c r="AB787" t="s">
        <v>45</v>
      </c>
      <c r="AC787">
        <v>0</v>
      </c>
      <c r="AD787" t="s">
        <v>113</v>
      </c>
      <c r="AE787">
        <v>0</v>
      </c>
      <c r="AF787" t="s">
        <v>47</v>
      </c>
      <c r="AG787">
        <v>0</v>
      </c>
      <c r="AH787" t="s">
        <v>31</v>
      </c>
      <c r="AI787">
        <v>0</v>
      </c>
      <c r="AJ787" t="s">
        <v>31</v>
      </c>
      <c r="AK787">
        <v>0</v>
      </c>
      <c r="AL787" t="s">
        <v>31</v>
      </c>
      <c r="AM787">
        <v>0</v>
      </c>
      <c r="AN787" t="s">
        <v>31</v>
      </c>
      <c r="AO787">
        <v>0</v>
      </c>
      <c r="AP787" t="s">
        <v>31</v>
      </c>
      <c r="AQ787">
        <v>0</v>
      </c>
    </row>
    <row r="788" spans="1:43" x14ac:dyDescent="0.2">
      <c r="A788" t="s">
        <v>381</v>
      </c>
      <c r="B788" s="3">
        <v>44308</v>
      </c>
      <c r="C788">
        <v>69</v>
      </c>
      <c r="D788" t="s">
        <v>385</v>
      </c>
      <c r="E788" t="s">
        <v>93</v>
      </c>
      <c r="F788" s="9" t="s">
        <v>184</v>
      </c>
      <c r="G788" t="s">
        <v>26</v>
      </c>
      <c r="H788" t="s">
        <v>64</v>
      </c>
      <c r="I788" t="s">
        <v>65</v>
      </c>
      <c r="J788" t="s">
        <v>29</v>
      </c>
      <c r="K788" t="s">
        <v>30</v>
      </c>
      <c r="L788" t="s">
        <v>29</v>
      </c>
      <c r="M788" t="s">
        <v>30</v>
      </c>
      <c r="N788" t="s">
        <v>64</v>
      </c>
      <c r="O788" t="s">
        <v>65</v>
      </c>
      <c r="P788" t="s">
        <v>29</v>
      </c>
      <c r="Q788" t="s">
        <v>30</v>
      </c>
      <c r="R788" s="1">
        <v>44308.593217592592</v>
      </c>
      <c r="S788" s="1">
        <v>44308.595289351855</v>
      </c>
      <c r="T788">
        <v>1</v>
      </c>
      <c r="U788">
        <v>9</v>
      </c>
      <c r="V788" s="2">
        <v>0.11</v>
      </c>
      <c r="W788">
        <v>0</v>
      </c>
      <c r="X788" t="s">
        <v>30</v>
      </c>
      <c r="Y788">
        <v>0</v>
      </c>
      <c r="Z788" t="s">
        <v>44</v>
      </c>
      <c r="AA788">
        <v>0</v>
      </c>
      <c r="AB788" t="s">
        <v>44</v>
      </c>
      <c r="AC788">
        <v>0</v>
      </c>
      <c r="AD788" t="s">
        <v>45</v>
      </c>
      <c r="AE788">
        <v>0</v>
      </c>
      <c r="AF788" t="s">
        <v>113</v>
      </c>
      <c r="AG788">
        <v>0</v>
      </c>
      <c r="AH788" t="s">
        <v>44</v>
      </c>
      <c r="AI788">
        <v>0</v>
      </c>
      <c r="AJ788" t="s">
        <v>44</v>
      </c>
      <c r="AK788">
        <v>0</v>
      </c>
      <c r="AL788" t="s">
        <v>45</v>
      </c>
      <c r="AM788">
        <v>0</v>
      </c>
      <c r="AN788" t="s">
        <v>113</v>
      </c>
      <c r="AO788">
        <v>0</v>
      </c>
      <c r="AP788" t="s">
        <v>31</v>
      </c>
      <c r="AQ788">
        <v>0</v>
      </c>
    </row>
    <row r="789" spans="1:43" x14ac:dyDescent="0.2">
      <c r="A789" t="s">
        <v>381</v>
      </c>
      <c r="B789" s="3">
        <v>44309</v>
      </c>
      <c r="C789">
        <v>70</v>
      </c>
      <c r="D789" t="s">
        <v>388</v>
      </c>
      <c r="E789" t="s">
        <v>93</v>
      </c>
      <c r="F789" s="9" t="s">
        <v>184</v>
      </c>
      <c r="G789" t="s">
        <v>26</v>
      </c>
      <c r="H789" t="s">
        <v>64</v>
      </c>
      <c r="I789" t="s">
        <v>65</v>
      </c>
      <c r="J789" t="s">
        <v>29</v>
      </c>
      <c r="K789" t="s">
        <v>30</v>
      </c>
      <c r="L789" t="s">
        <v>29</v>
      </c>
      <c r="M789" t="s">
        <v>30</v>
      </c>
      <c r="N789" t="s">
        <v>64</v>
      </c>
      <c r="O789" t="s">
        <v>65</v>
      </c>
      <c r="P789" t="s">
        <v>29</v>
      </c>
      <c r="Q789" t="s">
        <v>30</v>
      </c>
      <c r="R789" s="1">
        <v>44309.418368055558</v>
      </c>
      <c r="S789" s="1">
        <v>44309.418368055558</v>
      </c>
      <c r="T789">
        <v>1</v>
      </c>
      <c r="U789">
        <v>1</v>
      </c>
      <c r="V789" s="2">
        <v>1</v>
      </c>
      <c r="W789">
        <v>0</v>
      </c>
      <c r="X789" t="s">
        <v>30</v>
      </c>
      <c r="Y789">
        <v>0</v>
      </c>
      <c r="Z789" t="s">
        <v>31</v>
      </c>
      <c r="AA789">
        <v>0</v>
      </c>
      <c r="AB789" t="s">
        <v>31</v>
      </c>
      <c r="AC789">
        <v>0</v>
      </c>
      <c r="AD789" t="s">
        <v>31</v>
      </c>
      <c r="AE789">
        <v>0</v>
      </c>
      <c r="AF789" t="s">
        <v>31</v>
      </c>
      <c r="AG789">
        <v>0</v>
      </c>
      <c r="AH789" t="s">
        <v>31</v>
      </c>
      <c r="AI789">
        <v>0</v>
      </c>
      <c r="AJ789" t="s">
        <v>31</v>
      </c>
      <c r="AK789">
        <v>0</v>
      </c>
      <c r="AL789" t="s">
        <v>31</v>
      </c>
      <c r="AM789">
        <v>0</v>
      </c>
      <c r="AN789" t="s">
        <v>31</v>
      </c>
      <c r="AO789">
        <v>0</v>
      </c>
      <c r="AP789" t="s">
        <v>31</v>
      </c>
      <c r="AQ789">
        <v>0</v>
      </c>
    </row>
    <row r="790" spans="1:43" x14ac:dyDescent="0.2">
      <c r="A790" t="s">
        <v>381</v>
      </c>
      <c r="B790" s="3">
        <v>44312</v>
      </c>
      <c r="C790">
        <v>73</v>
      </c>
      <c r="D790" t="s">
        <v>387</v>
      </c>
      <c r="E790" t="s">
        <v>93</v>
      </c>
      <c r="F790" s="9" t="s">
        <v>184</v>
      </c>
      <c r="G790" t="s">
        <v>26</v>
      </c>
      <c r="H790" t="s">
        <v>64</v>
      </c>
      <c r="I790" t="s">
        <v>65</v>
      </c>
      <c r="J790" t="s">
        <v>29</v>
      </c>
      <c r="K790" t="s">
        <v>30</v>
      </c>
      <c r="L790" t="s">
        <v>29</v>
      </c>
      <c r="M790" t="s">
        <v>30</v>
      </c>
      <c r="N790" t="s">
        <v>64</v>
      </c>
      <c r="O790" t="s">
        <v>65</v>
      </c>
      <c r="P790" t="s">
        <v>29</v>
      </c>
      <c r="Q790" t="s">
        <v>30</v>
      </c>
      <c r="R790" s="1">
        <v>44312.627592592595</v>
      </c>
      <c r="S790" s="1">
        <v>44312.63144675926</v>
      </c>
      <c r="T790">
        <v>2</v>
      </c>
      <c r="U790">
        <v>3</v>
      </c>
      <c r="V790" s="2">
        <v>0.66</v>
      </c>
      <c r="W790">
        <v>0</v>
      </c>
      <c r="X790" t="s">
        <v>44</v>
      </c>
      <c r="Y790">
        <v>0</v>
      </c>
      <c r="Z790" t="s">
        <v>30</v>
      </c>
      <c r="AA790">
        <v>0</v>
      </c>
      <c r="AB790" t="s">
        <v>30</v>
      </c>
      <c r="AC790">
        <v>0</v>
      </c>
      <c r="AD790" t="s">
        <v>31</v>
      </c>
      <c r="AE790">
        <v>0</v>
      </c>
      <c r="AF790" t="s">
        <v>31</v>
      </c>
      <c r="AG790">
        <v>0</v>
      </c>
      <c r="AH790" t="s">
        <v>31</v>
      </c>
      <c r="AI790">
        <v>0</v>
      </c>
      <c r="AJ790" t="s">
        <v>31</v>
      </c>
      <c r="AK790">
        <v>0</v>
      </c>
      <c r="AL790" t="s">
        <v>31</v>
      </c>
      <c r="AM790">
        <v>0</v>
      </c>
      <c r="AN790" t="s">
        <v>31</v>
      </c>
      <c r="AO790">
        <v>0</v>
      </c>
      <c r="AP790" t="s">
        <v>31</v>
      </c>
      <c r="AQ790">
        <v>0</v>
      </c>
    </row>
    <row r="791" spans="1:43" x14ac:dyDescent="0.2">
      <c r="A791" t="s">
        <v>381</v>
      </c>
      <c r="B791" s="3">
        <v>44313</v>
      </c>
      <c r="C791">
        <v>76</v>
      </c>
      <c r="D791" t="s">
        <v>385</v>
      </c>
      <c r="E791" t="s">
        <v>93</v>
      </c>
      <c r="F791" s="9" t="s">
        <v>184</v>
      </c>
      <c r="G791" t="s">
        <v>26</v>
      </c>
      <c r="H791" t="s">
        <v>64</v>
      </c>
      <c r="I791" t="s">
        <v>65</v>
      </c>
      <c r="J791" t="s">
        <v>29</v>
      </c>
      <c r="K791" t="s">
        <v>30</v>
      </c>
      <c r="L791" t="s">
        <v>29</v>
      </c>
      <c r="M791" t="s">
        <v>30</v>
      </c>
      <c r="N791" t="s">
        <v>64</v>
      </c>
      <c r="O791" t="s">
        <v>65</v>
      </c>
      <c r="P791" t="s">
        <v>29</v>
      </c>
      <c r="Q791" t="s">
        <v>30</v>
      </c>
      <c r="R791" s="1">
        <v>44313.621990740743</v>
      </c>
      <c r="S791" s="1">
        <v>44313.623194444444</v>
      </c>
      <c r="T791">
        <v>1</v>
      </c>
      <c r="U791">
        <v>5</v>
      </c>
      <c r="V791" s="2">
        <v>0.2</v>
      </c>
      <c r="W791">
        <v>0</v>
      </c>
      <c r="X791" t="s">
        <v>44</v>
      </c>
      <c r="Y791">
        <v>0</v>
      </c>
      <c r="Z791" t="s">
        <v>44</v>
      </c>
      <c r="AA791">
        <v>0</v>
      </c>
      <c r="AB791" t="s">
        <v>44</v>
      </c>
      <c r="AC791">
        <v>0</v>
      </c>
      <c r="AD791" t="s">
        <v>45</v>
      </c>
      <c r="AE791">
        <v>0</v>
      </c>
      <c r="AF791" t="s">
        <v>30</v>
      </c>
      <c r="AG791">
        <v>0</v>
      </c>
      <c r="AH791" t="s">
        <v>31</v>
      </c>
      <c r="AI791">
        <v>0</v>
      </c>
      <c r="AJ791" t="s">
        <v>31</v>
      </c>
      <c r="AK791">
        <v>0</v>
      </c>
      <c r="AL791" t="s">
        <v>31</v>
      </c>
      <c r="AM791">
        <v>0</v>
      </c>
      <c r="AN791" t="s">
        <v>31</v>
      </c>
      <c r="AO791">
        <v>0</v>
      </c>
      <c r="AP791" t="s">
        <v>31</v>
      </c>
      <c r="AQ791">
        <v>0</v>
      </c>
    </row>
    <row r="792" spans="1:43" x14ac:dyDescent="0.2">
      <c r="A792" t="s">
        <v>381</v>
      </c>
      <c r="B792" s="3">
        <v>44314</v>
      </c>
      <c r="C792">
        <v>78</v>
      </c>
      <c r="D792" t="s">
        <v>387</v>
      </c>
      <c r="E792" t="s">
        <v>93</v>
      </c>
      <c r="F792" s="9" t="s">
        <v>184</v>
      </c>
      <c r="G792" t="s">
        <v>26</v>
      </c>
      <c r="H792" t="s">
        <v>64</v>
      </c>
      <c r="I792" t="s">
        <v>65</v>
      </c>
      <c r="J792" t="s">
        <v>29</v>
      </c>
      <c r="K792" t="s">
        <v>30</v>
      </c>
      <c r="L792" t="s">
        <v>29</v>
      </c>
      <c r="M792" t="s">
        <v>30</v>
      </c>
      <c r="N792" t="s">
        <v>185</v>
      </c>
      <c r="O792" t="s">
        <v>186</v>
      </c>
      <c r="P792" t="s">
        <v>29</v>
      </c>
      <c r="Q792" t="s">
        <v>30</v>
      </c>
      <c r="R792" s="1">
        <v>44314.618506944447</v>
      </c>
      <c r="S792" s="1">
        <v>44314.618576388886</v>
      </c>
      <c r="T792">
        <v>0</v>
      </c>
      <c r="U792">
        <v>5</v>
      </c>
      <c r="V792" s="2">
        <v>0</v>
      </c>
      <c r="W792">
        <v>0</v>
      </c>
      <c r="X792" t="s">
        <v>44</v>
      </c>
      <c r="Y792">
        <v>0</v>
      </c>
      <c r="Z792" t="s">
        <v>44</v>
      </c>
      <c r="AA792">
        <v>0</v>
      </c>
      <c r="AB792" t="s">
        <v>45</v>
      </c>
      <c r="AC792">
        <v>0</v>
      </c>
      <c r="AD792" t="s">
        <v>113</v>
      </c>
      <c r="AE792">
        <v>0</v>
      </c>
      <c r="AF792" t="s">
        <v>47</v>
      </c>
      <c r="AG792">
        <v>0</v>
      </c>
      <c r="AH792" t="s">
        <v>31</v>
      </c>
      <c r="AI792">
        <v>0</v>
      </c>
      <c r="AJ792" t="s">
        <v>31</v>
      </c>
      <c r="AK792">
        <v>0</v>
      </c>
      <c r="AL792" t="s">
        <v>31</v>
      </c>
      <c r="AM792">
        <v>0</v>
      </c>
      <c r="AN792" t="s">
        <v>31</v>
      </c>
      <c r="AO792">
        <v>0</v>
      </c>
      <c r="AP792" t="s">
        <v>31</v>
      </c>
      <c r="AQ792">
        <v>0</v>
      </c>
    </row>
    <row r="793" spans="1:43" x14ac:dyDescent="0.2">
      <c r="A793" t="s">
        <v>381</v>
      </c>
      <c r="B793" s="3">
        <v>44315</v>
      </c>
      <c r="C793">
        <v>81</v>
      </c>
      <c r="D793" t="s">
        <v>385</v>
      </c>
      <c r="E793" t="s">
        <v>93</v>
      </c>
      <c r="F793" s="9" t="s">
        <v>184</v>
      </c>
      <c r="G793" t="s">
        <v>26</v>
      </c>
      <c r="H793" t="s">
        <v>185</v>
      </c>
      <c r="I793" t="s">
        <v>186</v>
      </c>
      <c r="J793" t="s">
        <v>29</v>
      </c>
      <c r="K793" t="s">
        <v>30</v>
      </c>
      <c r="L793" t="s">
        <v>29</v>
      </c>
      <c r="M793" t="s">
        <v>30</v>
      </c>
      <c r="N793" t="s">
        <v>64</v>
      </c>
      <c r="O793" t="s">
        <v>65</v>
      </c>
      <c r="P793" t="s">
        <v>43</v>
      </c>
      <c r="Q793" t="s">
        <v>44</v>
      </c>
      <c r="R793" s="1">
        <v>44315.627754629626</v>
      </c>
      <c r="S793" s="1">
        <v>44315.627754629626</v>
      </c>
      <c r="T793">
        <v>1</v>
      </c>
      <c r="U793">
        <v>1</v>
      </c>
      <c r="V793" s="2">
        <v>1</v>
      </c>
      <c r="W793">
        <v>0</v>
      </c>
      <c r="X793" t="s">
        <v>30</v>
      </c>
      <c r="Y793">
        <v>0</v>
      </c>
      <c r="Z793" t="s">
        <v>31</v>
      </c>
      <c r="AA793">
        <v>0</v>
      </c>
      <c r="AB793" t="s">
        <v>31</v>
      </c>
      <c r="AC793">
        <v>0</v>
      </c>
      <c r="AD793" t="s">
        <v>31</v>
      </c>
      <c r="AE793">
        <v>0</v>
      </c>
      <c r="AF793" t="s">
        <v>31</v>
      </c>
      <c r="AG793">
        <v>0</v>
      </c>
      <c r="AH793" t="s">
        <v>31</v>
      </c>
      <c r="AI793">
        <v>0</v>
      </c>
      <c r="AJ793" t="s">
        <v>31</v>
      </c>
      <c r="AK793">
        <v>0</v>
      </c>
      <c r="AL793" t="s">
        <v>31</v>
      </c>
      <c r="AM793">
        <v>0</v>
      </c>
      <c r="AN793" t="s">
        <v>31</v>
      </c>
      <c r="AO793">
        <v>0</v>
      </c>
      <c r="AP793" t="s">
        <v>31</v>
      </c>
      <c r="AQ793">
        <v>0</v>
      </c>
    </row>
    <row r="794" spans="1:43" x14ac:dyDescent="0.2">
      <c r="A794" t="s">
        <v>381</v>
      </c>
      <c r="B794" s="3">
        <v>44316</v>
      </c>
      <c r="C794">
        <v>82</v>
      </c>
      <c r="D794" t="s">
        <v>389</v>
      </c>
      <c r="E794" t="s">
        <v>93</v>
      </c>
      <c r="F794" s="9" t="s">
        <v>184</v>
      </c>
      <c r="G794" t="s">
        <v>26</v>
      </c>
      <c r="H794" t="s">
        <v>64</v>
      </c>
      <c r="I794" t="s">
        <v>65</v>
      </c>
      <c r="J794" t="s">
        <v>43</v>
      </c>
      <c r="K794" t="s">
        <v>44</v>
      </c>
      <c r="L794" t="s">
        <v>29</v>
      </c>
      <c r="M794" t="s">
        <v>30</v>
      </c>
      <c r="N794" t="s">
        <v>64</v>
      </c>
      <c r="O794" t="s">
        <v>65</v>
      </c>
      <c r="P794" t="s">
        <v>43</v>
      </c>
      <c r="Q794" t="s">
        <v>44</v>
      </c>
      <c r="R794" s="1">
        <v>44316.462939814817</v>
      </c>
      <c r="S794" s="1">
        <v>44316.465104166666</v>
      </c>
      <c r="T794">
        <v>1</v>
      </c>
      <c r="U794">
        <v>6</v>
      </c>
      <c r="V794" s="2">
        <v>0.16</v>
      </c>
      <c r="W794">
        <v>0</v>
      </c>
      <c r="X794" t="s">
        <v>44</v>
      </c>
      <c r="Y794">
        <v>0</v>
      </c>
      <c r="Z794" t="s">
        <v>44</v>
      </c>
      <c r="AA794">
        <v>0</v>
      </c>
      <c r="AB794" t="s">
        <v>45</v>
      </c>
      <c r="AC794">
        <v>0</v>
      </c>
      <c r="AD794" t="s">
        <v>113</v>
      </c>
      <c r="AE794">
        <v>0</v>
      </c>
      <c r="AF794" t="s">
        <v>47</v>
      </c>
      <c r="AG794">
        <v>0</v>
      </c>
      <c r="AH794" t="s">
        <v>30</v>
      </c>
      <c r="AI794">
        <v>0</v>
      </c>
      <c r="AJ794" t="s">
        <v>31</v>
      </c>
      <c r="AK794">
        <v>0</v>
      </c>
      <c r="AL794" t="s">
        <v>31</v>
      </c>
      <c r="AM794">
        <v>0</v>
      </c>
      <c r="AN794" t="s">
        <v>31</v>
      </c>
      <c r="AO794">
        <v>0</v>
      </c>
      <c r="AP794" t="s">
        <v>31</v>
      </c>
      <c r="AQ794">
        <v>0</v>
      </c>
    </row>
    <row r="795" spans="1:43" x14ac:dyDescent="0.2">
      <c r="A795" t="s">
        <v>381</v>
      </c>
      <c r="B795" s="3">
        <v>44316</v>
      </c>
      <c r="C795">
        <v>83</v>
      </c>
      <c r="D795" t="s">
        <v>387</v>
      </c>
      <c r="E795" t="s">
        <v>93</v>
      </c>
      <c r="F795" s="9" t="s">
        <v>184</v>
      </c>
      <c r="G795" t="s">
        <v>26</v>
      </c>
      <c r="H795" t="s">
        <v>64</v>
      </c>
      <c r="I795" t="s">
        <v>65</v>
      </c>
      <c r="J795" t="s">
        <v>43</v>
      </c>
      <c r="K795" t="s">
        <v>44</v>
      </c>
      <c r="L795" t="s">
        <v>29</v>
      </c>
      <c r="M795" t="s">
        <v>30</v>
      </c>
      <c r="N795" t="s">
        <v>64</v>
      </c>
      <c r="O795" t="s">
        <v>65</v>
      </c>
      <c r="P795" t="s">
        <v>43</v>
      </c>
      <c r="Q795" t="s">
        <v>44</v>
      </c>
      <c r="R795" s="1">
        <v>44316.571828703702</v>
      </c>
      <c r="S795" s="1">
        <v>44316.571851851855</v>
      </c>
      <c r="T795">
        <v>1</v>
      </c>
      <c r="U795">
        <v>1</v>
      </c>
      <c r="V795" s="2">
        <v>1</v>
      </c>
      <c r="W795">
        <v>0</v>
      </c>
      <c r="X795" t="s">
        <v>30</v>
      </c>
      <c r="Y795">
        <v>0</v>
      </c>
      <c r="Z795" t="s">
        <v>31</v>
      </c>
      <c r="AA795">
        <v>0</v>
      </c>
      <c r="AB795" t="s">
        <v>31</v>
      </c>
      <c r="AC795">
        <v>0</v>
      </c>
      <c r="AD795" t="s">
        <v>31</v>
      </c>
      <c r="AE795">
        <v>0</v>
      </c>
      <c r="AF795" t="s">
        <v>31</v>
      </c>
      <c r="AG795">
        <v>0</v>
      </c>
      <c r="AH795" t="s">
        <v>31</v>
      </c>
      <c r="AI795">
        <v>0</v>
      </c>
      <c r="AJ795" t="s">
        <v>31</v>
      </c>
      <c r="AK795">
        <v>0</v>
      </c>
      <c r="AL795" t="s">
        <v>31</v>
      </c>
      <c r="AM795">
        <v>0</v>
      </c>
      <c r="AN795" t="s">
        <v>31</v>
      </c>
      <c r="AO795">
        <v>0</v>
      </c>
      <c r="AP795" t="s">
        <v>31</v>
      </c>
      <c r="AQ795">
        <v>0</v>
      </c>
    </row>
    <row r="796" spans="1:43" x14ac:dyDescent="0.2">
      <c r="A796" t="s">
        <v>381</v>
      </c>
      <c r="B796" s="3">
        <v>44319</v>
      </c>
      <c r="C796">
        <v>84</v>
      </c>
      <c r="D796" t="s">
        <v>390</v>
      </c>
      <c r="E796" t="s">
        <v>93</v>
      </c>
      <c r="F796" s="9" t="s">
        <v>184</v>
      </c>
      <c r="G796" t="s">
        <v>26</v>
      </c>
      <c r="H796" t="s">
        <v>64</v>
      </c>
      <c r="I796" t="s">
        <v>65</v>
      </c>
      <c r="J796" t="s">
        <v>43</v>
      </c>
      <c r="K796" t="s">
        <v>44</v>
      </c>
      <c r="L796" t="s">
        <v>29</v>
      </c>
      <c r="M796" t="s">
        <v>30</v>
      </c>
      <c r="N796" t="s">
        <v>64</v>
      </c>
      <c r="O796" t="s">
        <v>65</v>
      </c>
      <c r="P796" t="s">
        <v>43</v>
      </c>
      <c r="Q796" t="s">
        <v>44</v>
      </c>
      <c r="R796" s="1">
        <v>44319.412847222222</v>
      </c>
      <c r="S796" s="1">
        <v>44319.414097222223</v>
      </c>
      <c r="T796">
        <v>0</v>
      </c>
      <c r="U796">
        <v>10</v>
      </c>
      <c r="V796" s="2">
        <v>0</v>
      </c>
      <c r="W796">
        <v>0</v>
      </c>
      <c r="X796" t="s">
        <v>44</v>
      </c>
      <c r="Y796">
        <v>0</v>
      </c>
      <c r="Z796" t="s">
        <v>44</v>
      </c>
      <c r="AA796">
        <v>0</v>
      </c>
      <c r="AB796" t="s">
        <v>45</v>
      </c>
      <c r="AC796">
        <v>0</v>
      </c>
      <c r="AD796" t="s">
        <v>113</v>
      </c>
      <c r="AE796">
        <v>0</v>
      </c>
      <c r="AF796" t="s">
        <v>47</v>
      </c>
      <c r="AG796">
        <v>0</v>
      </c>
      <c r="AH796" t="s">
        <v>44</v>
      </c>
      <c r="AI796">
        <v>0</v>
      </c>
      <c r="AJ796" t="s">
        <v>44</v>
      </c>
      <c r="AK796">
        <v>0</v>
      </c>
      <c r="AL796" t="s">
        <v>45</v>
      </c>
      <c r="AM796">
        <v>0</v>
      </c>
      <c r="AN796" t="s">
        <v>113</v>
      </c>
      <c r="AO796">
        <v>0</v>
      </c>
      <c r="AP796" t="s">
        <v>47</v>
      </c>
      <c r="AQ796">
        <v>0</v>
      </c>
    </row>
    <row r="797" spans="1:43" x14ac:dyDescent="0.2">
      <c r="A797" t="s">
        <v>381</v>
      </c>
      <c r="B797" s="3">
        <v>44320</v>
      </c>
      <c r="C797">
        <v>87</v>
      </c>
      <c r="D797" t="s">
        <v>385</v>
      </c>
      <c r="E797" t="s">
        <v>93</v>
      </c>
      <c r="F797" s="9" t="s">
        <v>184</v>
      </c>
      <c r="G797" t="s">
        <v>26</v>
      </c>
      <c r="H797" t="s">
        <v>64</v>
      </c>
      <c r="I797" t="s">
        <v>65</v>
      </c>
      <c r="J797" t="s">
        <v>43</v>
      </c>
      <c r="K797" t="s">
        <v>44</v>
      </c>
      <c r="L797" t="s">
        <v>29</v>
      </c>
      <c r="M797" t="s">
        <v>30</v>
      </c>
      <c r="N797" t="s">
        <v>185</v>
      </c>
      <c r="O797" t="s">
        <v>186</v>
      </c>
      <c r="P797" t="s">
        <v>29</v>
      </c>
      <c r="Q797" t="s">
        <v>30</v>
      </c>
      <c r="R797" s="1">
        <v>44320.590787037036</v>
      </c>
      <c r="S797" s="1">
        <v>44320.590833333335</v>
      </c>
      <c r="T797">
        <v>1</v>
      </c>
      <c r="U797">
        <v>4</v>
      </c>
      <c r="V797" s="2">
        <v>0.25</v>
      </c>
      <c r="W797">
        <v>0</v>
      </c>
      <c r="X797" t="s">
        <v>44</v>
      </c>
      <c r="Y797">
        <v>0</v>
      </c>
      <c r="Z797" t="s">
        <v>44</v>
      </c>
      <c r="AA797">
        <v>0</v>
      </c>
      <c r="AB797" t="s">
        <v>45</v>
      </c>
      <c r="AC797">
        <v>0</v>
      </c>
      <c r="AD797" t="s">
        <v>30</v>
      </c>
      <c r="AE797">
        <v>0</v>
      </c>
      <c r="AF797" t="s">
        <v>31</v>
      </c>
      <c r="AG797">
        <v>0</v>
      </c>
      <c r="AH797" t="s">
        <v>31</v>
      </c>
      <c r="AI797">
        <v>0</v>
      </c>
      <c r="AJ797" t="s">
        <v>31</v>
      </c>
      <c r="AK797">
        <v>0</v>
      </c>
      <c r="AL797" t="s">
        <v>31</v>
      </c>
      <c r="AM797">
        <v>0</v>
      </c>
      <c r="AN797" t="s">
        <v>31</v>
      </c>
      <c r="AO797">
        <v>0</v>
      </c>
      <c r="AP797" t="s">
        <v>31</v>
      </c>
      <c r="AQ797">
        <v>0</v>
      </c>
    </row>
    <row r="798" spans="1:43" x14ac:dyDescent="0.2">
      <c r="A798" t="s">
        <v>381</v>
      </c>
      <c r="B798" s="3">
        <v>44321</v>
      </c>
      <c r="C798">
        <v>89</v>
      </c>
      <c r="D798" t="s">
        <v>387</v>
      </c>
      <c r="E798" t="s">
        <v>93</v>
      </c>
      <c r="F798" s="9" t="s">
        <v>184</v>
      </c>
      <c r="G798" t="s">
        <v>26</v>
      </c>
      <c r="H798" t="s">
        <v>185</v>
      </c>
      <c r="I798" t="s">
        <v>186</v>
      </c>
      <c r="J798" t="s">
        <v>29</v>
      </c>
      <c r="K798" t="s">
        <v>30</v>
      </c>
      <c r="L798" t="s">
        <v>29</v>
      </c>
      <c r="M798" t="s">
        <v>30</v>
      </c>
      <c r="N798" t="s">
        <v>64</v>
      </c>
      <c r="O798" t="s">
        <v>65</v>
      </c>
      <c r="P798" t="s">
        <v>43</v>
      </c>
      <c r="Q798" t="s">
        <v>44</v>
      </c>
      <c r="R798" s="1">
        <v>44321.570057870369</v>
      </c>
      <c r="S798" s="1">
        <v>44321.570057870369</v>
      </c>
      <c r="T798">
        <v>1</v>
      </c>
      <c r="U798">
        <v>1</v>
      </c>
      <c r="V798" s="2">
        <v>1</v>
      </c>
      <c r="W798">
        <v>0</v>
      </c>
      <c r="X798" t="s">
        <v>30</v>
      </c>
      <c r="Y798">
        <v>0</v>
      </c>
      <c r="Z798" t="s">
        <v>31</v>
      </c>
      <c r="AA798">
        <v>0</v>
      </c>
      <c r="AB798" t="s">
        <v>31</v>
      </c>
      <c r="AC798">
        <v>0</v>
      </c>
      <c r="AD798" t="s">
        <v>31</v>
      </c>
      <c r="AE798">
        <v>0</v>
      </c>
      <c r="AF798" t="s">
        <v>31</v>
      </c>
      <c r="AG798">
        <v>0</v>
      </c>
      <c r="AH798" t="s">
        <v>31</v>
      </c>
      <c r="AI798">
        <v>0</v>
      </c>
      <c r="AJ798" t="s">
        <v>31</v>
      </c>
      <c r="AK798">
        <v>0</v>
      </c>
      <c r="AL798" t="s">
        <v>31</v>
      </c>
      <c r="AM798">
        <v>0</v>
      </c>
      <c r="AN798" t="s">
        <v>31</v>
      </c>
      <c r="AO798">
        <v>0</v>
      </c>
      <c r="AP798" t="s">
        <v>31</v>
      </c>
      <c r="AQ798">
        <v>0</v>
      </c>
    </row>
    <row r="799" spans="1:43" x14ac:dyDescent="0.2">
      <c r="A799" t="s">
        <v>381</v>
      </c>
      <c r="B799" s="3">
        <v>44326</v>
      </c>
      <c r="C799">
        <v>92</v>
      </c>
      <c r="D799" t="s">
        <v>390</v>
      </c>
      <c r="E799" t="s">
        <v>93</v>
      </c>
      <c r="F799" s="9" t="s">
        <v>184</v>
      </c>
      <c r="G799" t="s">
        <v>26</v>
      </c>
      <c r="H799" t="s">
        <v>64</v>
      </c>
      <c r="I799" t="s">
        <v>65</v>
      </c>
      <c r="J799" t="s">
        <v>43</v>
      </c>
      <c r="K799" t="s">
        <v>44</v>
      </c>
      <c r="L799" t="s">
        <v>29</v>
      </c>
      <c r="M799" t="s">
        <v>30</v>
      </c>
      <c r="N799" t="s">
        <v>64</v>
      </c>
      <c r="O799" t="s">
        <v>65</v>
      </c>
      <c r="P799" t="s">
        <v>43</v>
      </c>
      <c r="Q799" t="s">
        <v>44</v>
      </c>
      <c r="R799" s="1">
        <v>44326.461122685185</v>
      </c>
      <c r="S799" s="1">
        <v>44326.461122685185</v>
      </c>
      <c r="T799">
        <v>1</v>
      </c>
      <c r="U799">
        <v>1</v>
      </c>
      <c r="V799" s="2">
        <v>1</v>
      </c>
      <c r="W799">
        <v>0</v>
      </c>
      <c r="X799" t="s">
        <v>30</v>
      </c>
      <c r="Y799">
        <v>0</v>
      </c>
      <c r="Z799" t="s">
        <v>31</v>
      </c>
      <c r="AA799">
        <v>0</v>
      </c>
      <c r="AB799" t="s">
        <v>31</v>
      </c>
      <c r="AC799">
        <v>0</v>
      </c>
      <c r="AD799" t="s">
        <v>31</v>
      </c>
      <c r="AE799">
        <v>0</v>
      </c>
      <c r="AF799" t="s">
        <v>31</v>
      </c>
      <c r="AG799">
        <v>0</v>
      </c>
      <c r="AH799" t="s">
        <v>31</v>
      </c>
      <c r="AI799">
        <v>0</v>
      </c>
      <c r="AJ799" t="s">
        <v>31</v>
      </c>
      <c r="AK799">
        <v>0</v>
      </c>
      <c r="AL799" t="s">
        <v>31</v>
      </c>
      <c r="AM799">
        <v>0</v>
      </c>
      <c r="AN799" t="s">
        <v>31</v>
      </c>
      <c r="AO799">
        <v>0</v>
      </c>
      <c r="AP799" t="s">
        <v>31</v>
      </c>
      <c r="AQ799">
        <v>0</v>
      </c>
    </row>
    <row r="800" spans="1:43" x14ac:dyDescent="0.2">
      <c r="A800" t="s">
        <v>381</v>
      </c>
      <c r="B800" s="3">
        <v>44328</v>
      </c>
      <c r="C800">
        <v>97</v>
      </c>
      <c r="D800" t="s">
        <v>387</v>
      </c>
      <c r="E800" t="s">
        <v>93</v>
      </c>
      <c r="F800" s="9" t="s">
        <v>184</v>
      </c>
      <c r="G800" t="s">
        <v>26</v>
      </c>
      <c r="H800" t="s">
        <v>64</v>
      </c>
      <c r="I800" t="s">
        <v>65</v>
      </c>
      <c r="J800" t="s">
        <v>43</v>
      </c>
      <c r="K800" t="s">
        <v>44</v>
      </c>
      <c r="L800" t="s">
        <v>29</v>
      </c>
      <c r="M800" t="s">
        <v>30</v>
      </c>
      <c r="N800" t="s">
        <v>64</v>
      </c>
      <c r="O800" t="s">
        <v>65</v>
      </c>
      <c r="P800" t="s">
        <v>43</v>
      </c>
      <c r="Q800" t="s">
        <v>44</v>
      </c>
      <c r="R800" s="1">
        <v>44328.565370370372</v>
      </c>
      <c r="S800" s="1">
        <v>44328.565381944441</v>
      </c>
      <c r="T800">
        <v>1</v>
      </c>
      <c r="U800">
        <v>2</v>
      </c>
      <c r="V800" s="2">
        <v>0.5</v>
      </c>
      <c r="W800">
        <v>0</v>
      </c>
      <c r="X800" t="s">
        <v>44</v>
      </c>
      <c r="Y800">
        <v>0</v>
      </c>
      <c r="Z800" t="s">
        <v>30</v>
      </c>
      <c r="AA800">
        <v>0</v>
      </c>
      <c r="AB800" t="s">
        <v>31</v>
      </c>
      <c r="AC800">
        <v>0</v>
      </c>
      <c r="AD800" t="s">
        <v>31</v>
      </c>
      <c r="AE800">
        <v>0</v>
      </c>
      <c r="AF800" t="s">
        <v>31</v>
      </c>
      <c r="AG800">
        <v>0</v>
      </c>
      <c r="AH800" t="s">
        <v>31</v>
      </c>
      <c r="AI800">
        <v>0</v>
      </c>
      <c r="AJ800" t="s">
        <v>31</v>
      </c>
      <c r="AK800">
        <v>0</v>
      </c>
      <c r="AL800" t="s">
        <v>31</v>
      </c>
      <c r="AM800">
        <v>0</v>
      </c>
      <c r="AN800" t="s">
        <v>31</v>
      </c>
      <c r="AO800">
        <v>0</v>
      </c>
      <c r="AP800" t="s">
        <v>31</v>
      </c>
      <c r="AQ800">
        <v>0</v>
      </c>
    </row>
    <row r="801" spans="1:43" x14ac:dyDescent="0.2">
      <c r="A801" t="s">
        <v>381</v>
      </c>
      <c r="B801" s="3">
        <v>44334</v>
      </c>
      <c r="C801">
        <v>99</v>
      </c>
      <c r="D801" t="s">
        <v>385</v>
      </c>
      <c r="E801" t="s">
        <v>93</v>
      </c>
      <c r="F801" s="9" t="s">
        <v>184</v>
      </c>
      <c r="G801" t="s">
        <v>26</v>
      </c>
      <c r="H801" t="s">
        <v>64</v>
      </c>
      <c r="I801" t="s">
        <v>65</v>
      </c>
      <c r="J801" t="s">
        <v>43</v>
      </c>
      <c r="K801" t="s">
        <v>44</v>
      </c>
      <c r="L801" t="s">
        <v>29</v>
      </c>
      <c r="M801" t="s">
        <v>30</v>
      </c>
      <c r="N801" t="s">
        <v>64</v>
      </c>
      <c r="O801" t="s">
        <v>65</v>
      </c>
      <c r="P801" t="s">
        <v>43</v>
      </c>
      <c r="Q801" t="s">
        <v>44</v>
      </c>
      <c r="R801" s="1">
        <v>44334.570150462961</v>
      </c>
      <c r="S801" s="1">
        <v>44334.570162037038</v>
      </c>
      <c r="T801">
        <v>2</v>
      </c>
      <c r="U801">
        <v>2</v>
      </c>
      <c r="V801" s="2">
        <v>1</v>
      </c>
      <c r="W801">
        <v>0</v>
      </c>
      <c r="X801" t="s">
        <v>30</v>
      </c>
      <c r="Y801">
        <v>0</v>
      </c>
      <c r="Z801" t="s">
        <v>30</v>
      </c>
      <c r="AA801">
        <v>0</v>
      </c>
      <c r="AB801" t="s">
        <v>31</v>
      </c>
      <c r="AC801">
        <v>0</v>
      </c>
      <c r="AD801" t="s">
        <v>31</v>
      </c>
      <c r="AE801">
        <v>0</v>
      </c>
      <c r="AF801" t="s">
        <v>31</v>
      </c>
      <c r="AG801">
        <v>0</v>
      </c>
      <c r="AH801" t="s">
        <v>31</v>
      </c>
      <c r="AI801">
        <v>0</v>
      </c>
      <c r="AJ801" t="s">
        <v>31</v>
      </c>
      <c r="AK801">
        <v>0</v>
      </c>
      <c r="AL801" t="s">
        <v>31</v>
      </c>
      <c r="AM801">
        <v>0</v>
      </c>
      <c r="AN801" t="s">
        <v>31</v>
      </c>
      <c r="AO801">
        <v>0</v>
      </c>
      <c r="AP801" t="s">
        <v>31</v>
      </c>
      <c r="AQ801">
        <v>0</v>
      </c>
    </row>
    <row r="802" spans="1:43" x14ac:dyDescent="0.2">
      <c r="A802" t="s">
        <v>381</v>
      </c>
      <c r="B802" s="3">
        <v>44336</v>
      </c>
      <c r="C802">
        <v>102</v>
      </c>
      <c r="D802" t="s">
        <v>383</v>
      </c>
      <c r="E802" t="s">
        <v>93</v>
      </c>
      <c r="F802" s="9" t="s">
        <v>184</v>
      </c>
      <c r="G802" t="s">
        <v>26</v>
      </c>
      <c r="H802" t="s">
        <v>64</v>
      </c>
      <c r="I802" t="s">
        <v>65</v>
      </c>
      <c r="J802" t="s">
        <v>43</v>
      </c>
      <c r="K802" t="s">
        <v>44</v>
      </c>
      <c r="L802" t="s">
        <v>29</v>
      </c>
      <c r="M802" t="s">
        <v>30</v>
      </c>
      <c r="N802" t="s">
        <v>64</v>
      </c>
      <c r="O802" t="s">
        <v>65</v>
      </c>
      <c r="P802" t="s">
        <v>43</v>
      </c>
      <c r="Q802" t="s">
        <v>44</v>
      </c>
      <c r="R802" s="1">
        <v>44336.421296296299</v>
      </c>
      <c r="S802" s="1">
        <v>44336.423726851855</v>
      </c>
      <c r="T802">
        <v>0</v>
      </c>
      <c r="U802">
        <v>5</v>
      </c>
      <c r="V802" s="2">
        <v>0</v>
      </c>
      <c r="W802">
        <v>0</v>
      </c>
      <c r="X802" t="s">
        <v>44</v>
      </c>
      <c r="Y802">
        <v>0</v>
      </c>
      <c r="Z802" t="s">
        <v>44</v>
      </c>
      <c r="AA802">
        <v>0</v>
      </c>
      <c r="AB802" t="s">
        <v>45</v>
      </c>
      <c r="AC802">
        <v>0</v>
      </c>
      <c r="AD802" t="s">
        <v>113</v>
      </c>
      <c r="AE802">
        <v>0</v>
      </c>
      <c r="AF802" t="s">
        <v>47</v>
      </c>
      <c r="AG802">
        <v>0</v>
      </c>
      <c r="AH802" t="s">
        <v>31</v>
      </c>
      <c r="AI802">
        <v>0</v>
      </c>
      <c r="AJ802" t="s">
        <v>31</v>
      </c>
      <c r="AK802">
        <v>0</v>
      </c>
      <c r="AL802" t="s">
        <v>31</v>
      </c>
      <c r="AM802">
        <v>0</v>
      </c>
      <c r="AN802" t="s">
        <v>31</v>
      </c>
      <c r="AO802">
        <v>0</v>
      </c>
      <c r="AP802" t="s">
        <v>31</v>
      </c>
      <c r="AQ802">
        <v>0</v>
      </c>
    </row>
    <row r="803" spans="1:43" x14ac:dyDescent="0.2">
      <c r="A803" t="s">
        <v>381</v>
      </c>
      <c r="B803" s="3">
        <v>44336</v>
      </c>
      <c r="C803">
        <v>103</v>
      </c>
      <c r="D803" t="s">
        <v>385</v>
      </c>
      <c r="E803" t="s">
        <v>93</v>
      </c>
      <c r="F803" s="9" t="s">
        <v>184</v>
      </c>
      <c r="G803" t="s">
        <v>26</v>
      </c>
      <c r="H803" t="s">
        <v>64</v>
      </c>
      <c r="I803" t="s">
        <v>65</v>
      </c>
      <c r="J803" t="s">
        <v>43</v>
      </c>
      <c r="K803" t="s">
        <v>44</v>
      </c>
      <c r="L803" t="s">
        <v>29</v>
      </c>
      <c r="M803" t="s">
        <v>30</v>
      </c>
      <c r="N803" t="s">
        <v>185</v>
      </c>
      <c r="O803" t="s">
        <v>186</v>
      </c>
      <c r="P803" t="s">
        <v>29</v>
      </c>
      <c r="Q803" t="s">
        <v>30</v>
      </c>
      <c r="R803" s="1">
        <v>44336.553553240738</v>
      </c>
      <c r="S803" s="1">
        <v>44336.555335648147</v>
      </c>
      <c r="T803">
        <v>1</v>
      </c>
      <c r="U803">
        <v>9</v>
      </c>
      <c r="V803" s="2">
        <v>0.11</v>
      </c>
      <c r="W803">
        <v>0</v>
      </c>
      <c r="X803" t="s">
        <v>30</v>
      </c>
      <c r="Y803">
        <v>0</v>
      </c>
      <c r="Z803" t="s">
        <v>44</v>
      </c>
      <c r="AA803">
        <v>0</v>
      </c>
      <c r="AB803" t="s">
        <v>44</v>
      </c>
      <c r="AC803">
        <v>0</v>
      </c>
      <c r="AD803" t="s">
        <v>45</v>
      </c>
      <c r="AE803">
        <v>0</v>
      </c>
      <c r="AF803" t="s">
        <v>113</v>
      </c>
      <c r="AG803">
        <v>0</v>
      </c>
      <c r="AH803" t="s">
        <v>44</v>
      </c>
      <c r="AI803">
        <v>0</v>
      </c>
      <c r="AJ803" t="s">
        <v>44</v>
      </c>
      <c r="AK803">
        <v>0</v>
      </c>
      <c r="AL803" t="s">
        <v>45</v>
      </c>
      <c r="AM803">
        <v>0</v>
      </c>
      <c r="AN803" t="s">
        <v>113</v>
      </c>
      <c r="AO803">
        <v>0</v>
      </c>
      <c r="AP803" t="s">
        <v>31</v>
      </c>
      <c r="AQ803">
        <v>0</v>
      </c>
    </row>
    <row r="804" spans="1:43" x14ac:dyDescent="0.2">
      <c r="A804" t="s">
        <v>381</v>
      </c>
      <c r="B804" s="3">
        <v>44337</v>
      </c>
      <c r="C804">
        <v>104</v>
      </c>
      <c r="D804" t="s">
        <v>390</v>
      </c>
      <c r="E804" t="s">
        <v>93</v>
      </c>
      <c r="F804" s="9" t="s">
        <v>184</v>
      </c>
      <c r="G804" t="s">
        <v>26</v>
      </c>
      <c r="H804" t="s">
        <v>185</v>
      </c>
      <c r="I804" t="s">
        <v>186</v>
      </c>
      <c r="J804" t="s">
        <v>29</v>
      </c>
      <c r="K804" t="s">
        <v>30</v>
      </c>
      <c r="L804" t="s">
        <v>29</v>
      </c>
      <c r="M804" t="s">
        <v>30</v>
      </c>
      <c r="N804" t="s">
        <v>185</v>
      </c>
      <c r="O804" t="s">
        <v>186</v>
      </c>
      <c r="P804" t="s">
        <v>29</v>
      </c>
      <c r="Q804" t="s">
        <v>30</v>
      </c>
      <c r="R804" s="1">
        <v>44337.414733796293</v>
      </c>
      <c r="S804" s="1">
        <v>44337.415416666663</v>
      </c>
      <c r="T804">
        <v>1</v>
      </c>
      <c r="U804">
        <v>5</v>
      </c>
      <c r="V804" s="2">
        <v>0.2</v>
      </c>
      <c r="W804">
        <v>0</v>
      </c>
      <c r="X804" t="s">
        <v>44</v>
      </c>
      <c r="Y804">
        <v>0</v>
      </c>
      <c r="Z804" t="s">
        <v>44</v>
      </c>
      <c r="AA804">
        <v>0</v>
      </c>
      <c r="AB804" t="s">
        <v>45</v>
      </c>
      <c r="AC804">
        <v>0</v>
      </c>
      <c r="AD804" t="s">
        <v>113</v>
      </c>
      <c r="AE804">
        <v>0</v>
      </c>
      <c r="AF804" t="s">
        <v>30</v>
      </c>
      <c r="AG804">
        <v>0</v>
      </c>
      <c r="AH804" t="s">
        <v>31</v>
      </c>
      <c r="AI804">
        <v>0</v>
      </c>
      <c r="AJ804" t="s">
        <v>31</v>
      </c>
      <c r="AK804">
        <v>0</v>
      </c>
      <c r="AL804" t="s">
        <v>31</v>
      </c>
      <c r="AM804">
        <v>0</v>
      </c>
      <c r="AN804" t="s">
        <v>31</v>
      </c>
      <c r="AO804">
        <v>0</v>
      </c>
      <c r="AP804" t="s">
        <v>31</v>
      </c>
      <c r="AQ804">
        <v>0</v>
      </c>
    </row>
    <row r="805" spans="1:43" x14ac:dyDescent="0.2">
      <c r="A805" t="s">
        <v>381</v>
      </c>
      <c r="B805" s="3">
        <v>44337</v>
      </c>
      <c r="C805">
        <v>105</v>
      </c>
      <c r="D805" t="s">
        <v>405</v>
      </c>
      <c r="E805" t="s">
        <v>93</v>
      </c>
      <c r="F805" s="9" t="s">
        <v>184</v>
      </c>
      <c r="G805" t="s">
        <v>26</v>
      </c>
      <c r="H805" t="s">
        <v>185</v>
      </c>
      <c r="I805" t="s">
        <v>186</v>
      </c>
      <c r="J805" t="s">
        <v>29</v>
      </c>
      <c r="K805" t="s">
        <v>30</v>
      </c>
      <c r="L805" t="s">
        <v>29</v>
      </c>
      <c r="M805" t="s">
        <v>30</v>
      </c>
      <c r="N805" t="s">
        <v>185</v>
      </c>
      <c r="O805" t="s">
        <v>186</v>
      </c>
      <c r="P805" t="s">
        <v>29</v>
      </c>
      <c r="Q805" t="s">
        <v>30</v>
      </c>
      <c r="R805" s="1">
        <v>44337.640868055554</v>
      </c>
      <c r="S805" s="1">
        <v>44337.641134259262</v>
      </c>
      <c r="T805">
        <v>1</v>
      </c>
      <c r="U805">
        <v>2</v>
      </c>
      <c r="V805" s="2">
        <v>0.5</v>
      </c>
      <c r="W805">
        <v>0</v>
      </c>
      <c r="X805" t="s">
        <v>44</v>
      </c>
      <c r="Y805">
        <v>0</v>
      </c>
      <c r="Z805" t="s">
        <v>30</v>
      </c>
      <c r="AA805">
        <v>0</v>
      </c>
      <c r="AB805" t="s">
        <v>31</v>
      </c>
      <c r="AC805">
        <v>0</v>
      </c>
      <c r="AD805" t="s">
        <v>31</v>
      </c>
      <c r="AE805">
        <v>0</v>
      </c>
      <c r="AF805" t="s">
        <v>31</v>
      </c>
      <c r="AG805">
        <v>0</v>
      </c>
      <c r="AH805" t="s">
        <v>31</v>
      </c>
      <c r="AI805">
        <v>0</v>
      </c>
      <c r="AJ805" t="s">
        <v>31</v>
      </c>
      <c r="AK805">
        <v>0</v>
      </c>
      <c r="AL805" t="s">
        <v>31</v>
      </c>
      <c r="AM805">
        <v>0</v>
      </c>
      <c r="AN805" t="s">
        <v>31</v>
      </c>
      <c r="AO805">
        <v>0</v>
      </c>
      <c r="AP805" t="s">
        <v>31</v>
      </c>
      <c r="AQ805">
        <v>0</v>
      </c>
    </row>
    <row r="806" spans="1:43" x14ac:dyDescent="0.2">
      <c r="A806" t="s">
        <v>381</v>
      </c>
      <c r="B806" s="3">
        <v>44338</v>
      </c>
      <c r="C806">
        <v>106</v>
      </c>
      <c r="D806" t="s">
        <v>408</v>
      </c>
      <c r="E806" t="s">
        <v>93</v>
      </c>
      <c r="F806" s="9" t="s">
        <v>184</v>
      </c>
      <c r="G806" t="s">
        <v>26</v>
      </c>
      <c r="H806" t="s">
        <v>185</v>
      </c>
      <c r="I806" t="s">
        <v>186</v>
      </c>
      <c r="J806" t="s">
        <v>29</v>
      </c>
      <c r="K806" t="s">
        <v>30</v>
      </c>
      <c r="L806" t="s">
        <v>29</v>
      </c>
      <c r="M806" t="s">
        <v>30</v>
      </c>
      <c r="N806" t="s">
        <v>64</v>
      </c>
      <c r="O806" t="s">
        <v>65</v>
      </c>
      <c r="P806" t="s">
        <v>43</v>
      </c>
      <c r="Q806" t="s">
        <v>44</v>
      </c>
      <c r="R806" s="1">
        <v>44338.48165509259</v>
      </c>
      <c r="S806" s="1">
        <v>44338.48165509259</v>
      </c>
      <c r="T806">
        <v>1</v>
      </c>
      <c r="U806">
        <v>1</v>
      </c>
      <c r="V806" s="2">
        <v>1</v>
      </c>
      <c r="W806">
        <v>0</v>
      </c>
      <c r="X806" t="s">
        <v>30</v>
      </c>
      <c r="Y806">
        <v>0</v>
      </c>
      <c r="Z806" t="s">
        <v>31</v>
      </c>
      <c r="AA806">
        <v>0</v>
      </c>
      <c r="AB806" t="s">
        <v>31</v>
      </c>
      <c r="AC806">
        <v>0</v>
      </c>
      <c r="AD806" t="s">
        <v>31</v>
      </c>
      <c r="AE806">
        <v>0</v>
      </c>
      <c r="AF806" t="s">
        <v>31</v>
      </c>
      <c r="AG806">
        <v>0</v>
      </c>
      <c r="AH806" t="s">
        <v>31</v>
      </c>
      <c r="AI806">
        <v>0</v>
      </c>
      <c r="AJ806" t="s">
        <v>31</v>
      </c>
      <c r="AK806">
        <v>0</v>
      </c>
      <c r="AL806" t="s">
        <v>31</v>
      </c>
      <c r="AM806">
        <v>0</v>
      </c>
      <c r="AN806" t="s">
        <v>31</v>
      </c>
      <c r="AO806">
        <v>0</v>
      </c>
      <c r="AP806" t="s">
        <v>31</v>
      </c>
      <c r="AQ806">
        <v>0</v>
      </c>
    </row>
    <row r="807" spans="1:43" x14ac:dyDescent="0.2">
      <c r="A807" t="s">
        <v>381</v>
      </c>
      <c r="B807" s="3">
        <v>44340</v>
      </c>
      <c r="C807">
        <v>108</v>
      </c>
      <c r="D807" t="s">
        <v>393</v>
      </c>
      <c r="E807" t="s">
        <v>93</v>
      </c>
      <c r="F807" s="9" t="s">
        <v>184</v>
      </c>
      <c r="G807" t="s">
        <v>26</v>
      </c>
      <c r="H807" t="s">
        <v>64</v>
      </c>
      <c r="I807" t="s">
        <v>65</v>
      </c>
      <c r="J807" t="s">
        <v>43</v>
      </c>
      <c r="K807" t="s">
        <v>44</v>
      </c>
      <c r="L807" t="s">
        <v>29</v>
      </c>
      <c r="M807" t="s">
        <v>30</v>
      </c>
      <c r="N807" t="s">
        <v>64</v>
      </c>
      <c r="O807" t="s">
        <v>65</v>
      </c>
      <c r="P807" t="s">
        <v>43</v>
      </c>
      <c r="Q807" t="s">
        <v>44</v>
      </c>
      <c r="R807" s="1">
        <v>44340.473379629628</v>
      </c>
      <c r="S807" s="1">
        <v>44340.474143518521</v>
      </c>
      <c r="T807">
        <v>3</v>
      </c>
      <c r="U807">
        <v>6</v>
      </c>
      <c r="V807" s="2">
        <v>0.5</v>
      </c>
      <c r="W807">
        <v>0</v>
      </c>
      <c r="X807" t="s">
        <v>44</v>
      </c>
      <c r="Y807">
        <v>0</v>
      </c>
      <c r="Z807" t="s">
        <v>44</v>
      </c>
      <c r="AA807">
        <v>0</v>
      </c>
      <c r="AB807" t="s">
        <v>45</v>
      </c>
      <c r="AC807">
        <v>0</v>
      </c>
      <c r="AD807" t="s">
        <v>30</v>
      </c>
      <c r="AE807">
        <v>0</v>
      </c>
      <c r="AF807" t="s">
        <v>30</v>
      </c>
      <c r="AG807">
        <v>0</v>
      </c>
      <c r="AH807" t="s">
        <v>30</v>
      </c>
      <c r="AI807">
        <v>0</v>
      </c>
      <c r="AJ807" t="s">
        <v>31</v>
      </c>
      <c r="AK807">
        <v>0</v>
      </c>
      <c r="AL807" t="s">
        <v>31</v>
      </c>
      <c r="AM807">
        <v>0</v>
      </c>
      <c r="AN807" t="s">
        <v>31</v>
      </c>
      <c r="AO807">
        <v>0</v>
      </c>
      <c r="AP807" t="s">
        <v>31</v>
      </c>
      <c r="AQ807">
        <v>0</v>
      </c>
    </row>
    <row r="808" spans="1:43" x14ac:dyDescent="0.2">
      <c r="A808" t="s">
        <v>381</v>
      </c>
      <c r="B808" s="3">
        <v>44340</v>
      </c>
      <c r="C808">
        <v>109</v>
      </c>
      <c r="D808" t="s">
        <v>383</v>
      </c>
      <c r="E808" t="s">
        <v>93</v>
      </c>
      <c r="F808" s="9" t="s">
        <v>184</v>
      </c>
      <c r="G808" t="s">
        <v>26</v>
      </c>
      <c r="H808" t="s">
        <v>64</v>
      </c>
      <c r="I808" t="s">
        <v>65</v>
      </c>
      <c r="J808" t="s">
        <v>43</v>
      </c>
      <c r="K808" t="s">
        <v>44</v>
      </c>
      <c r="L808" t="s">
        <v>29</v>
      </c>
      <c r="M808" t="s">
        <v>30</v>
      </c>
      <c r="N808" t="s">
        <v>64</v>
      </c>
      <c r="O808" t="s">
        <v>65</v>
      </c>
      <c r="P808" t="s">
        <v>43</v>
      </c>
      <c r="Q808" t="s">
        <v>44</v>
      </c>
      <c r="R808" s="1">
        <v>44340.58865740741</v>
      </c>
      <c r="S808" s="1">
        <v>44340.58865740741</v>
      </c>
      <c r="T808">
        <v>1</v>
      </c>
      <c r="U808">
        <v>1</v>
      </c>
      <c r="V808" s="2">
        <v>1</v>
      </c>
      <c r="W808">
        <v>0</v>
      </c>
      <c r="X808" t="s">
        <v>30</v>
      </c>
      <c r="Y808">
        <v>0</v>
      </c>
      <c r="Z808" t="s">
        <v>31</v>
      </c>
      <c r="AA808">
        <v>0</v>
      </c>
      <c r="AB808" t="s">
        <v>31</v>
      </c>
      <c r="AC808">
        <v>0</v>
      </c>
      <c r="AD808" t="s">
        <v>31</v>
      </c>
      <c r="AE808">
        <v>0</v>
      </c>
      <c r="AF808" t="s">
        <v>31</v>
      </c>
      <c r="AG808">
        <v>0</v>
      </c>
      <c r="AH808" t="s">
        <v>31</v>
      </c>
      <c r="AI808">
        <v>0</v>
      </c>
      <c r="AJ808" t="s">
        <v>31</v>
      </c>
      <c r="AK808">
        <v>0</v>
      </c>
      <c r="AL808" t="s">
        <v>31</v>
      </c>
      <c r="AM808">
        <v>0</v>
      </c>
      <c r="AN808" t="s">
        <v>31</v>
      </c>
      <c r="AO808">
        <v>0</v>
      </c>
      <c r="AP808" t="s">
        <v>31</v>
      </c>
      <c r="AQ808">
        <v>0</v>
      </c>
    </row>
    <row r="809" spans="1:43" x14ac:dyDescent="0.2">
      <c r="A809" t="s">
        <v>381</v>
      </c>
      <c r="B809" s="3">
        <v>44341</v>
      </c>
      <c r="C809">
        <v>110</v>
      </c>
      <c r="D809" t="s">
        <v>383</v>
      </c>
      <c r="E809" t="s">
        <v>93</v>
      </c>
      <c r="F809" s="9" t="s">
        <v>184</v>
      </c>
      <c r="G809" t="s">
        <v>26</v>
      </c>
      <c r="H809" t="s">
        <v>64</v>
      </c>
      <c r="I809" t="s">
        <v>65</v>
      </c>
      <c r="J809" t="s">
        <v>43</v>
      </c>
      <c r="K809" t="s">
        <v>44</v>
      </c>
      <c r="L809" t="s">
        <v>29</v>
      </c>
      <c r="M809" t="s">
        <v>30</v>
      </c>
      <c r="N809" t="s">
        <v>132</v>
      </c>
      <c r="O809" t="s">
        <v>133</v>
      </c>
      <c r="P809" t="s">
        <v>43</v>
      </c>
      <c r="Q809" t="s">
        <v>44</v>
      </c>
      <c r="R809" s="1">
        <v>44341.421932870369</v>
      </c>
      <c r="S809" s="1">
        <v>44341.421932870369</v>
      </c>
      <c r="T809">
        <v>1</v>
      </c>
      <c r="U809">
        <v>1</v>
      </c>
      <c r="V809" s="2">
        <v>1</v>
      </c>
      <c r="W809">
        <v>0</v>
      </c>
      <c r="X809" t="s">
        <v>30</v>
      </c>
      <c r="Y809">
        <v>0</v>
      </c>
      <c r="Z809" t="s">
        <v>31</v>
      </c>
      <c r="AA809">
        <v>0</v>
      </c>
      <c r="AB809" t="s">
        <v>31</v>
      </c>
      <c r="AC809">
        <v>0</v>
      </c>
      <c r="AD809" t="s">
        <v>31</v>
      </c>
      <c r="AE809">
        <v>0</v>
      </c>
      <c r="AF809" t="s">
        <v>31</v>
      </c>
      <c r="AG809">
        <v>0</v>
      </c>
      <c r="AH809" t="s">
        <v>31</v>
      </c>
      <c r="AI809">
        <v>0</v>
      </c>
      <c r="AJ809" t="s">
        <v>31</v>
      </c>
      <c r="AK809">
        <v>0</v>
      </c>
      <c r="AL809" t="s">
        <v>31</v>
      </c>
      <c r="AM809">
        <v>0</v>
      </c>
      <c r="AN809" t="s">
        <v>31</v>
      </c>
      <c r="AO809">
        <v>0</v>
      </c>
      <c r="AP809" t="s">
        <v>31</v>
      </c>
      <c r="AQ809">
        <v>0</v>
      </c>
    </row>
    <row r="810" spans="1:43" x14ac:dyDescent="0.2">
      <c r="A810" t="s">
        <v>381</v>
      </c>
      <c r="B810" s="3">
        <v>44341</v>
      </c>
      <c r="C810">
        <v>111</v>
      </c>
      <c r="D810" t="s">
        <v>385</v>
      </c>
      <c r="E810" t="s">
        <v>93</v>
      </c>
      <c r="F810" s="9" t="s">
        <v>184</v>
      </c>
      <c r="G810" t="s">
        <v>26</v>
      </c>
      <c r="H810" t="s">
        <v>132</v>
      </c>
      <c r="I810" t="s">
        <v>133</v>
      </c>
      <c r="J810" t="s">
        <v>43</v>
      </c>
      <c r="K810" t="s">
        <v>44</v>
      </c>
      <c r="L810" t="s">
        <v>29</v>
      </c>
      <c r="M810" t="s">
        <v>30</v>
      </c>
      <c r="N810" t="s">
        <v>41</v>
      </c>
      <c r="O810" t="s">
        <v>42</v>
      </c>
      <c r="P810" t="s">
        <v>43</v>
      </c>
      <c r="Q810" t="s">
        <v>44</v>
      </c>
      <c r="R810" s="1">
        <v>44341.631631944445</v>
      </c>
      <c r="S810" s="1">
        <v>44341.631631944445</v>
      </c>
      <c r="T810">
        <v>1</v>
      </c>
      <c r="U810">
        <v>1</v>
      </c>
      <c r="V810" s="2">
        <v>1</v>
      </c>
      <c r="W810">
        <v>0</v>
      </c>
      <c r="X810" t="s">
        <v>30</v>
      </c>
      <c r="Y810">
        <v>0</v>
      </c>
      <c r="Z810" t="s">
        <v>31</v>
      </c>
      <c r="AA810">
        <v>0</v>
      </c>
      <c r="AB810" t="s">
        <v>31</v>
      </c>
      <c r="AC810">
        <v>0</v>
      </c>
      <c r="AD810" t="s">
        <v>31</v>
      </c>
      <c r="AE810">
        <v>0</v>
      </c>
      <c r="AF810" t="s">
        <v>31</v>
      </c>
      <c r="AG810">
        <v>0</v>
      </c>
      <c r="AH810" t="s">
        <v>31</v>
      </c>
      <c r="AI810">
        <v>0</v>
      </c>
      <c r="AJ810" t="s">
        <v>31</v>
      </c>
      <c r="AK810">
        <v>0</v>
      </c>
      <c r="AL810" t="s">
        <v>31</v>
      </c>
      <c r="AM810">
        <v>0</v>
      </c>
      <c r="AN810" t="s">
        <v>31</v>
      </c>
      <c r="AO810">
        <v>0</v>
      </c>
      <c r="AP810" t="s">
        <v>31</v>
      </c>
      <c r="AQ810">
        <v>0</v>
      </c>
    </row>
    <row r="811" spans="1:43" x14ac:dyDescent="0.2">
      <c r="A811" t="s">
        <v>381</v>
      </c>
      <c r="B811" s="3">
        <v>44342</v>
      </c>
      <c r="C811">
        <v>112</v>
      </c>
      <c r="D811" t="s">
        <v>394</v>
      </c>
      <c r="E811" t="s">
        <v>93</v>
      </c>
      <c r="F811" s="9" t="s">
        <v>184</v>
      </c>
      <c r="G811" t="s">
        <v>26</v>
      </c>
      <c r="H811" t="s">
        <v>41</v>
      </c>
      <c r="I811" t="s">
        <v>42</v>
      </c>
      <c r="J811" t="s">
        <v>43</v>
      </c>
      <c r="K811" t="s">
        <v>44</v>
      </c>
      <c r="L811" t="s">
        <v>29</v>
      </c>
      <c r="M811" t="s">
        <v>30</v>
      </c>
      <c r="N811" t="s">
        <v>41</v>
      </c>
      <c r="O811" t="s">
        <v>42</v>
      </c>
      <c r="P811" t="s">
        <v>43</v>
      </c>
      <c r="Q811" t="s">
        <v>44</v>
      </c>
      <c r="R811" s="1">
        <v>44342.413842592592</v>
      </c>
      <c r="S811" s="1">
        <v>44342.413842592592</v>
      </c>
      <c r="T811">
        <v>1</v>
      </c>
      <c r="U811">
        <v>1</v>
      </c>
      <c r="V811" s="2">
        <v>1</v>
      </c>
      <c r="W811">
        <v>0</v>
      </c>
      <c r="X811" t="s">
        <v>30</v>
      </c>
      <c r="Y811">
        <v>0</v>
      </c>
      <c r="Z811" t="s">
        <v>31</v>
      </c>
      <c r="AA811">
        <v>0</v>
      </c>
      <c r="AB811" t="s">
        <v>31</v>
      </c>
      <c r="AC811">
        <v>0</v>
      </c>
      <c r="AD811" t="s">
        <v>31</v>
      </c>
      <c r="AE811">
        <v>0</v>
      </c>
      <c r="AF811" t="s">
        <v>31</v>
      </c>
      <c r="AG811">
        <v>0</v>
      </c>
      <c r="AH811" t="s">
        <v>31</v>
      </c>
      <c r="AI811">
        <v>0</v>
      </c>
      <c r="AJ811" t="s">
        <v>31</v>
      </c>
      <c r="AK811">
        <v>0</v>
      </c>
      <c r="AL811" t="s">
        <v>31</v>
      </c>
      <c r="AM811">
        <v>0</v>
      </c>
      <c r="AN811" t="s">
        <v>31</v>
      </c>
      <c r="AO811">
        <v>0</v>
      </c>
      <c r="AP811" t="s">
        <v>31</v>
      </c>
      <c r="AQ811">
        <v>0</v>
      </c>
    </row>
    <row r="812" spans="1:43" x14ac:dyDescent="0.2">
      <c r="A812" t="s">
        <v>381</v>
      </c>
      <c r="B812" s="3">
        <v>44344</v>
      </c>
      <c r="C812">
        <v>116</v>
      </c>
      <c r="D812" t="s">
        <v>390</v>
      </c>
      <c r="E812" t="s">
        <v>93</v>
      </c>
      <c r="F812" s="9" t="s">
        <v>184</v>
      </c>
      <c r="G812" t="s">
        <v>26</v>
      </c>
      <c r="H812" t="s">
        <v>41</v>
      </c>
      <c r="I812" t="s">
        <v>42</v>
      </c>
      <c r="J812" t="s">
        <v>43</v>
      </c>
      <c r="K812" t="s">
        <v>44</v>
      </c>
      <c r="L812" t="s">
        <v>29</v>
      </c>
      <c r="M812" t="s">
        <v>30</v>
      </c>
      <c r="N812" t="s">
        <v>79</v>
      </c>
      <c r="O812" t="s">
        <v>80</v>
      </c>
      <c r="P812" t="s">
        <v>43</v>
      </c>
      <c r="Q812" t="s">
        <v>44</v>
      </c>
      <c r="R812" s="1">
        <v>44344.423854166664</v>
      </c>
      <c r="S812" s="1">
        <v>44344.423854166664</v>
      </c>
      <c r="T812">
        <v>1</v>
      </c>
      <c r="U812">
        <v>1</v>
      </c>
      <c r="V812" s="2">
        <v>1</v>
      </c>
      <c r="W812">
        <v>0</v>
      </c>
      <c r="X812" t="s">
        <v>30</v>
      </c>
      <c r="Y812">
        <v>0</v>
      </c>
      <c r="Z812" t="s">
        <v>31</v>
      </c>
      <c r="AA812">
        <v>0</v>
      </c>
      <c r="AB812" t="s">
        <v>31</v>
      </c>
      <c r="AC812">
        <v>0</v>
      </c>
      <c r="AD812" t="s">
        <v>31</v>
      </c>
      <c r="AE812">
        <v>0</v>
      </c>
      <c r="AF812" t="s">
        <v>31</v>
      </c>
      <c r="AG812">
        <v>0</v>
      </c>
      <c r="AH812" t="s">
        <v>31</v>
      </c>
      <c r="AI812">
        <v>0</v>
      </c>
      <c r="AJ812" t="s">
        <v>31</v>
      </c>
      <c r="AK812">
        <v>0</v>
      </c>
      <c r="AL812" t="s">
        <v>31</v>
      </c>
      <c r="AM812">
        <v>0</v>
      </c>
      <c r="AN812" t="s">
        <v>31</v>
      </c>
      <c r="AO812">
        <v>0</v>
      </c>
      <c r="AP812" t="s">
        <v>31</v>
      </c>
      <c r="AQ812">
        <v>0</v>
      </c>
    </row>
    <row r="813" spans="1:43" x14ac:dyDescent="0.2">
      <c r="A813" t="s">
        <v>381</v>
      </c>
      <c r="B813" s="3">
        <v>44348</v>
      </c>
      <c r="C813">
        <v>118</v>
      </c>
      <c r="D813" t="s">
        <v>396</v>
      </c>
      <c r="E813" t="s">
        <v>93</v>
      </c>
      <c r="F813" s="9" t="s">
        <v>184</v>
      </c>
      <c r="G813" t="s">
        <v>26</v>
      </c>
      <c r="H813" t="s">
        <v>79</v>
      </c>
      <c r="I813" t="s">
        <v>80</v>
      </c>
      <c r="J813" t="s">
        <v>43</v>
      </c>
      <c r="K813" t="s">
        <v>44</v>
      </c>
      <c r="L813" t="s">
        <v>29</v>
      </c>
      <c r="M813" t="s">
        <v>30</v>
      </c>
      <c r="N813" t="s">
        <v>79</v>
      </c>
      <c r="O813" t="s">
        <v>80</v>
      </c>
      <c r="P813" t="s">
        <v>43</v>
      </c>
      <c r="Q813" t="s">
        <v>44</v>
      </c>
      <c r="R813" s="1">
        <v>44348.461736111109</v>
      </c>
      <c r="S813" s="1">
        <v>44348.461956018517</v>
      </c>
      <c r="T813">
        <v>1</v>
      </c>
      <c r="U813">
        <v>6</v>
      </c>
      <c r="V813" s="2">
        <v>0.16</v>
      </c>
      <c r="W813">
        <v>0</v>
      </c>
      <c r="X813" t="s">
        <v>44</v>
      </c>
      <c r="Y813">
        <v>0</v>
      </c>
      <c r="Z813" t="s">
        <v>44</v>
      </c>
      <c r="AA813">
        <v>0</v>
      </c>
      <c r="AB813" t="s">
        <v>81</v>
      </c>
      <c r="AC813">
        <v>0</v>
      </c>
      <c r="AD813" t="s">
        <v>45</v>
      </c>
      <c r="AE813">
        <v>0</v>
      </c>
      <c r="AF813" t="s">
        <v>30</v>
      </c>
      <c r="AG813">
        <v>0</v>
      </c>
      <c r="AH813" t="s">
        <v>44</v>
      </c>
      <c r="AI813">
        <v>0</v>
      </c>
      <c r="AJ813" t="s">
        <v>31</v>
      </c>
      <c r="AK813">
        <v>0</v>
      </c>
      <c r="AL813" t="s">
        <v>31</v>
      </c>
      <c r="AM813">
        <v>0</v>
      </c>
      <c r="AN813" t="s">
        <v>31</v>
      </c>
      <c r="AO813">
        <v>0</v>
      </c>
      <c r="AP813" t="s">
        <v>31</v>
      </c>
      <c r="AQ813">
        <v>0</v>
      </c>
    </row>
    <row r="814" spans="1:43" x14ac:dyDescent="0.2">
      <c r="A814" t="s">
        <v>381</v>
      </c>
      <c r="B814" s="3">
        <v>44349</v>
      </c>
      <c r="C814">
        <v>120</v>
      </c>
      <c r="D814" t="s">
        <v>398</v>
      </c>
      <c r="E814" t="s">
        <v>93</v>
      </c>
      <c r="F814" s="9" t="s">
        <v>184</v>
      </c>
      <c r="G814" t="s">
        <v>26</v>
      </c>
      <c r="H814" t="s">
        <v>79</v>
      </c>
      <c r="I814" t="s">
        <v>80</v>
      </c>
      <c r="J814" t="s">
        <v>43</v>
      </c>
      <c r="K814" t="s">
        <v>44</v>
      </c>
      <c r="L814" t="s">
        <v>29</v>
      </c>
      <c r="M814" t="s">
        <v>30</v>
      </c>
      <c r="N814" t="s">
        <v>41</v>
      </c>
      <c r="O814" t="s">
        <v>42</v>
      </c>
      <c r="P814" t="s">
        <v>29</v>
      </c>
      <c r="Q814" t="s">
        <v>30</v>
      </c>
      <c r="R814" s="1">
        <v>44349.467129629629</v>
      </c>
      <c r="S814" s="1">
        <v>44349.468368055554</v>
      </c>
      <c r="T814">
        <v>1</v>
      </c>
      <c r="U814">
        <v>3</v>
      </c>
      <c r="V814" s="2">
        <v>0.33</v>
      </c>
      <c r="W814">
        <v>0</v>
      </c>
      <c r="X814" t="s">
        <v>44</v>
      </c>
      <c r="Y814">
        <v>0</v>
      </c>
      <c r="Z814" t="s">
        <v>44</v>
      </c>
      <c r="AA814">
        <v>0</v>
      </c>
      <c r="AB814" t="s">
        <v>30</v>
      </c>
      <c r="AC814">
        <v>0</v>
      </c>
      <c r="AD814" t="s">
        <v>31</v>
      </c>
      <c r="AE814">
        <v>0</v>
      </c>
      <c r="AF814" t="s">
        <v>31</v>
      </c>
      <c r="AG814">
        <v>0</v>
      </c>
      <c r="AH814" t="s">
        <v>31</v>
      </c>
      <c r="AI814">
        <v>0</v>
      </c>
      <c r="AJ814" t="s">
        <v>31</v>
      </c>
      <c r="AK814">
        <v>0</v>
      </c>
      <c r="AL814" t="s">
        <v>31</v>
      </c>
      <c r="AM814">
        <v>0</v>
      </c>
      <c r="AN814" t="s">
        <v>31</v>
      </c>
      <c r="AO814">
        <v>0</v>
      </c>
      <c r="AP814" t="s">
        <v>31</v>
      </c>
      <c r="AQ814">
        <v>0</v>
      </c>
    </row>
    <row r="815" spans="1:43" x14ac:dyDescent="0.2">
      <c r="A815" t="s">
        <v>381</v>
      </c>
      <c r="B815" s="3">
        <v>44351</v>
      </c>
      <c r="C815">
        <v>124</v>
      </c>
      <c r="D815" t="s">
        <v>390</v>
      </c>
      <c r="E815" t="s">
        <v>93</v>
      </c>
      <c r="F815" s="9" t="s">
        <v>184</v>
      </c>
      <c r="G815" t="s">
        <v>26</v>
      </c>
      <c r="H815" t="s">
        <v>41</v>
      </c>
      <c r="I815" t="s">
        <v>42</v>
      </c>
      <c r="J815" t="s">
        <v>29</v>
      </c>
      <c r="K815" t="s">
        <v>30</v>
      </c>
      <c r="L815" t="s">
        <v>29</v>
      </c>
      <c r="M815" t="s">
        <v>30</v>
      </c>
      <c r="N815" t="s">
        <v>41</v>
      </c>
      <c r="O815" t="s">
        <v>42</v>
      </c>
      <c r="P815" t="s">
        <v>29</v>
      </c>
      <c r="Q815" t="s">
        <v>30</v>
      </c>
      <c r="R815" s="1">
        <v>44351.412812499999</v>
      </c>
      <c r="S815" s="1">
        <v>44351.412893518522</v>
      </c>
      <c r="T815">
        <v>1</v>
      </c>
      <c r="U815">
        <v>2</v>
      </c>
      <c r="V815" s="2">
        <v>0.5</v>
      </c>
      <c r="W815">
        <v>0</v>
      </c>
      <c r="X815" t="s">
        <v>44</v>
      </c>
      <c r="Y815">
        <v>0</v>
      </c>
      <c r="Z815" t="s">
        <v>30</v>
      </c>
      <c r="AA815">
        <v>0</v>
      </c>
      <c r="AB815" t="s">
        <v>31</v>
      </c>
      <c r="AC815">
        <v>0</v>
      </c>
      <c r="AD815" t="s">
        <v>31</v>
      </c>
      <c r="AE815">
        <v>0</v>
      </c>
      <c r="AF815" t="s">
        <v>31</v>
      </c>
      <c r="AG815">
        <v>0</v>
      </c>
      <c r="AH815" t="s">
        <v>31</v>
      </c>
      <c r="AI815">
        <v>0</v>
      </c>
      <c r="AJ815" t="s">
        <v>31</v>
      </c>
      <c r="AK815">
        <v>0</v>
      </c>
      <c r="AL815" t="s">
        <v>31</v>
      </c>
      <c r="AM815">
        <v>0</v>
      </c>
      <c r="AN815" t="s">
        <v>31</v>
      </c>
      <c r="AO815">
        <v>0</v>
      </c>
      <c r="AP815" t="s">
        <v>31</v>
      </c>
      <c r="AQ815">
        <v>0</v>
      </c>
    </row>
    <row r="816" spans="1:43" x14ac:dyDescent="0.2">
      <c r="A816" t="s">
        <v>381</v>
      </c>
      <c r="B816" s="3">
        <v>44351</v>
      </c>
      <c r="C816">
        <v>125</v>
      </c>
      <c r="D816" t="s">
        <v>387</v>
      </c>
      <c r="E816" t="s">
        <v>93</v>
      </c>
      <c r="F816" s="9" t="s">
        <v>184</v>
      </c>
      <c r="G816" t="s">
        <v>26</v>
      </c>
      <c r="H816" t="s">
        <v>41</v>
      </c>
      <c r="I816" t="s">
        <v>42</v>
      </c>
      <c r="J816" t="s">
        <v>29</v>
      </c>
      <c r="K816" t="s">
        <v>30</v>
      </c>
      <c r="L816" t="s">
        <v>29</v>
      </c>
      <c r="M816" t="s">
        <v>30</v>
      </c>
      <c r="N816" t="s">
        <v>41</v>
      </c>
      <c r="O816" t="s">
        <v>42</v>
      </c>
      <c r="P816" t="s">
        <v>29</v>
      </c>
      <c r="Q816" t="s">
        <v>30</v>
      </c>
      <c r="R816" s="1">
        <v>44351.63071759259</v>
      </c>
      <c r="S816" s="1">
        <v>44351.63071759259</v>
      </c>
      <c r="T816">
        <v>1</v>
      </c>
      <c r="U816">
        <v>1</v>
      </c>
      <c r="V816" s="2">
        <v>1</v>
      </c>
      <c r="W816">
        <v>0</v>
      </c>
      <c r="X816" t="s">
        <v>30</v>
      </c>
      <c r="Y816">
        <v>0</v>
      </c>
      <c r="Z816" t="s">
        <v>31</v>
      </c>
      <c r="AA816">
        <v>0</v>
      </c>
      <c r="AB816" t="s">
        <v>31</v>
      </c>
      <c r="AC816">
        <v>0</v>
      </c>
      <c r="AD816" t="s">
        <v>31</v>
      </c>
      <c r="AE816">
        <v>0</v>
      </c>
      <c r="AF816" t="s">
        <v>31</v>
      </c>
      <c r="AG816">
        <v>0</v>
      </c>
      <c r="AH816" t="s">
        <v>31</v>
      </c>
      <c r="AI816">
        <v>0</v>
      </c>
      <c r="AJ816" t="s">
        <v>31</v>
      </c>
      <c r="AK816">
        <v>0</v>
      </c>
      <c r="AL816" t="s">
        <v>31</v>
      </c>
      <c r="AM816">
        <v>0</v>
      </c>
      <c r="AN816" t="s">
        <v>31</v>
      </c>
      <c r="AO816">
        <v>0</v>
      </c>
      <c r="AP816" t="s">
        <v>31</v>
      </c>
      <c r="AQ816">
        <v>0</v>
      </c>
    </row>
    <row r="817" spans="1:43" x14ac:dyDescent="0.2">
      <c r="A817" t="s">
        <v>381</v>
      </c>
      <c r="B817" s="3">
        <v>44355</v>
      </c>
      <c r="C817">
        <v>129</v>
      </c>
      <c r="D817" t="s">
        <v>385</v>
      </c>
      <c r="E817" t="s">
        <v>93</v>
      </c>
      <c r="F817" s="9" t="s">
        <v>184</v>
      </c>
      <c r="G817" t="s">
        <v>26</v>
      </c>
      <c r="H817" t="s">
        <v>41</v>
      </c>
      <c r="I817" t="s">
        <v>42</v>
      </c>
      <c r="J817" t="s">
        <v>29</v>
      </c>
      <c r="K817" t="s">
        <v>30</v>
      </c>
      <c r="L817" t="s">
        <v>29</v>
      </c>
      <c r="M817" t="s">
        <v>30</v>
      </c>
      <c r="N817" t="s">
        <v>79</v>
      </c>
      <c r="O817" t="s">
        <v>80</v>
      </c>
      <c r="P817" t="s">
        <v>43</v>
      </c>
      <c r="Q817" t="s">
        <v>44</v>
      </c>
      <c r="R817" s="1">
        <v>44355.568958333337</v>
      </c>
      <c r="S817" s="1">
        <v>44355.568958333337</v>
      </c>
      <c r="T817">
        <v>1</v>
      </c>
      <c r="U817">
        <v>1</v>
      </c>
      <c r="V817" s="2">
        <v>1</v>
      </c>
      <c r="W817">
        <v>0</v>
      </c>
      <c r="X817" t="s">
        <v>30</v>
      </c>
      <c r="Y817">
        <v>0</v>
      </c>
      <c r="Z817" t="s">
        <v>31</v>
      </c>
      <c r="AA817">
        <v>0</v>
      </c>
      <c r="AB817" t="s">
        <v>31</v>
      </c>
      <c r="AC817">
        <v>0</v>
      </c>
      <c r="AD817" t="s">
        <v>31</v>
      </c>
      <c r="AE817">
        <v>0</v>
      </c>
      <c r="AF817" t="s">
        <v>31</v>
      </c>
      <c r="AG817">
        <v>0</v>
      </c>
      <c r="AH817" t="s">
        <v>31</v>
      </c>
      <c r="AI817">
        <v>0</v>
      </c>
      <c r="AJ817" t="s">
        <v>31</v>
      </c>
      <c r="AK817">
        <v>0</v>
      </c>
      <c r="AL817" t="s">
        <v>31</v>
      </c>
      <c r="AM817">
        <v>0</v>
      </c>
      <c r="AN817" t="s">
        <v>31</v>
      </c>
      <c r="AO817">
        <v>0</v>
      </c>
      <c r="AP817" t="s">
        <v>31</v>
      </c>
      <c r="AQ817">
        <v>0</v>
      </c>
    </row>
    <row r="818" spans="1:43" x14ac:dyDescent="0.2">
      <c r="A818" t="s">
        <v>381</v>
      </c>
      <c r="B818" s="3">
        <v>44356</v>
      </c>
      <c r="C818">
        <v>130</v>
      </c>
      <c r="D818" t="s">
        <v>398</v>
      </c>
      <c r="E818" t="s">
        <v>93</v>
      </c>
      <c r="F818" s="9" t="s">
        <v>184</v>
      </c>
      <c r="G818" t="s">
        <v>26</v>
      </c>
      <c r="H818" t="s">
        <v>79</v>
      </c>
      <c r="I818" t="s">
        <v>80</v>
      </c>
      <c r="J818" t="s">
        <v>43</v>
      </c>
      <c r="K818" t="s">
        <v>44</v>
      </c>
      <c r="L818" t="s">
        <v>29</v>
      </c>
      <c r="M818" t="s">
        <v>30</v>
      </c>
      <c r="N818" t="s">
        <v>79</v>
      </c>
      <c r="O818" t="s">
        <v>80</v>
      </c>
      <c r="P818" t="s">
        <v>43</v>
      </c>
      <c r="Q818" t="s">
        <v>44</v>
      </c>
      <c r="R818" s="1">
        <v>44356.42528935185</v>
      </c>
      <c r="S818" s="1">
        <v>44356.425636574073</v>
      </c>
      <c r="T818">
        <v>2</v>
      </c>
      <c r="U818">
        <v>2</v>
      </c>
      <c r="V818" s="2">
        <v>1</v>
      </c>
      <c r="W818">
        <v>0</v>
      </c>
      <c r="X818" t="s">
        <v>30</v>
      </c>
      <c r="Y818">
        <v>0</v>
      </c>
      <c r="Z818" t="s">
        <v>30</v>
      </c>
      <c r="AA818">
        <v>0</v>
      </c>
      <c r="AB818" t="s">
        <v>31</v>
      </c>
      <c r="AC818">
        <v>0</v>
      </c>
      <c r="AD818" t="s">
        <v>31</v>
      </c>
      <c r="AE818">
        <v>0</v>
      </c>
      <c r="AF818" t="s">
        <v>31</v>
      </c>
      <c r="AG818">
        <v>0</v>
      </c>
      <c r="AH818" t="s">
        <v>31</v>
      </c>
      <c r="AI818">
        <v>0</v>
      </c>
      <c r="AJ818" t="s">
        <v>31</v>
      </c>
      <c r="AK818">
        <v>0</v>
      </c>
      <c r="AL818" t="s">
        <v>31</v>
      </c>
      <c r="AM818">
        <v>0</v>
      </c>
      <c r="AN818" t="s">
        <v>31</v>
      </c>
      <c r="AO818">
        <v>0</v>
      </c>
      <c r="AP818" t="s">
        <v>31</v>
      </c>
      <c r="AQ818">
        <v>0</v>
      </c>
    </row>
    <row r="819" spans="1:43" x14ac:dyDescent="0.2">
      <c r="A819" t="s">
        <v>381</v>
      </c>
      <c r="B819" s="3">
        <v>44356</v>
      </c>
      <c r="C819">
        <v>131</v>
      </c>
      <c r="D819" t="s">
        <v>383</v>
      </c>
      <c r="E819" t="s">
        <v>93</v>
      </c>
      <c r="F819" s="9" t="s">
        <v>184</v>
      </c>
      <c r="G819" t="s">
        <v>26</v>
      </c>
      <c r="H819" t="s">
        <v>79</v>
      </c>
      <c r="I819" t="s">
        <v>80</v>
      </c>
      <c r="J819" t="s">
        <v>43</v>
      </c>
      <c r="K819" t="s">
        <v>44</v>
      </c>
      <c r="L819" t="s">
        <v>29</v>
      </c>
      <c r="M819" t="s">
        <v>30</v>
      </c>
      <c r="N819" t="s">
        <v>188</v>
      </c>
      <c r="O819" t="s">
        <v>189</v>
      </c>
      <c r="P819" t="s">
        <v>43</v>
      </c>
      <c r="Q819" t="s">
        <v>44</v>
      </c>
      <c r="R819" s="1">
        <v>44356.635000000002</v>
      </c>
      <c r="S819" s="1">
        <v>44356.635162037041</v>
      </c>
      <c r="T819">
        <v>1</v>
      </c>
      <c r="U819">
        <v>1</v>
      </c>
      <c r="V819" s="2">
        <v>1</v>
      </c>
      <c r="W819">
        <v>0</v>
      </c>
      <c r="X819" t="s">
        <v>30</v>
      </c>
      <c r="Y819">
        <v>0</v>
      </c>
      <c r="Z819" t="s">
        <v>31</v>
      </c>
      <c r="AA819">
        <v>0</v>
      </c>
      <c r="AB819" t="s">
        <v>31</v>
      </c>
      <c r="AC819">
        <v>0</v>
      </c>
      <c r="AD819" t="s">
        <v>31</v>
      </c>
      <c r="AE819">
        <v>0</v>
      </c>
      <c r="AF819" t="s">
        <v>31</v>
      </c>
      <c r="AG819">
        <v>0</v>
      </c>
      <c r="AH819" t="s">
        <v>31</v>
      </c>
      <c r="AI819">
        <v>0</v>
      </c>
      <c r="AJ819" t="s">
        <v>31</v>
      </c>
      <c r="AK819">
        <v>0</v>
      </c>
      <c r="AL819" t="s">
        <v>31</v>
      </c>
      <c r="AM819">
        <v>0</v>
      </c>
      <c r="AN819" t="s">
        <v>31</v>
      </c>
      <c r="AO819">
        <v>0</v>
      </c>
      <c r="AP819" t="s">
        <v>31</v>
      </c>
      <c r="AQ819">
        <v>0</v>
      </c>
    </row>
    <row r="820" spans="1:43" x14ac:dyDescent="0.2">
      <c r="A820" t="s">
        <v>381</v>
      </c>
      <c r="B820" s="3">
        <v>44357</v>
      </c>
      <c r="C820">
        <v>132</v>
      </c>
      <c r="D820" t="s">
        <v>399</v>
      </c>
      <c r="E820" t="s">
        <v>93</v>
      </c>
      <c r="F820" s="9" t="s">
        <v>184</v>
      </c>
      <c r="G820" t="s">
        <v>26</v>
      </c>
      <c r="H820" t="s">
        <v>188</v>
      </c>
      <c r="I820" t="s">
        <v>189</v>
      </c>
      <c r="J820" t="s">
        <v>43</v>
      </c>
      <c r="K820" t="s">
        <v>44</v>
      </c>
      <c r="L820" t="s">
        <v>29</v>
      </c>
      <c r="M820" t="s">
        <v>30</v>
      </c>
      <c r="N820" t="s">
        <v>188</v>
      </c>
      <c r="O820" t="s">
        <v>189</v>
      </c>
      <c r="P820" t="s">
        <v>43</v>
      </c>
      <c r="Q820" t="s">
        <v>44</v>
      </c>
      <c r="R820" s="1">
        <v>44357.438043981485</v>
      </c>
      <c r="S820" s="1">
        <v>44357.438078703701</v>
      </c>
      <c r="T820">
        <v>0</v>
      </c>
      <c r="U820">
        <v>5</v>
      </c>
      <c r="V820" s="2">
        <v>0</v>
      </c>
      <c r="W820">
        <v>0</v>
      </c>
      <c r="X820" t="s">
        <v>44</v>
      </c>
      <c r="Y820">
        <v>0</v>
      </c>
      <c r="Z820" t="s">
        <v>44</v>
      </c>
      <c r="AA820">
        <v>0</v>
      </c>
      <c r="AB820" t="s">
        <v>81</v>
      </c>
      <c r="AC820">
        <v>0</v>
      </c>
      <c r="AD820" t="s">
        <v>45</v>
      </c>
      <c r="AE820">
        <v>0</v>
      </c>
      <c r="AF820" t="s">
        <v>47</v>
      </c>
      <c r="AG820">
        <v>0</v>
      </c>
      <c r="AH820" t="s">
        <v>31</v>
      </c>
      <c r="AI820">
        <v>0</v>
      </c>
      <c r="AJ820" t="s">
        <v>31</v>
      </c>
      <c r="AK820">
        <v>0</v>
      </c>
      <c r="AL820" t="s">
        <v>31</v>
      </c>
      <c r="AM820">
        <v>0</v>
      </c>
      <c r="AN820" t="s">
        <v>31</v>
      </c>
      <c r="AO820">
        <v>0</v>
      </c>
      <c r="AP820" t="s">
        <v>31</v>
      </c>
      <c r="AQ820">
        <v>0</v>
      </c>
    </row>
    <row r="821" spans="1:43" x14ac:dyDescent="0.2">
      <c r="A821" t="s">
        <v>381</v>
      </c>
      <c r="B821" s="3">
        <v>44358</v>
      </c>
      <c r="C821">
        <v>133</v>
      </c>
      <c r="D821" t="s">
        <v>390</v>
      </c>
      <c r="E821" t="s">
        <v>93</v>
      </c>
      <c r="F821" s="9" t="s">
        <v>184</v>
      </c>
      <c r="G821" t="s">
        <v>26</v>
      </c>
      <c r="H821" t="s">
        <v>188</v>
      </c>
      <c r="I821" t="s">
        <v>189</v>
      </c>
      <c r="J821" t="s">
        <v>43</v>
      </c>
      <c r="K821" t="s">
        <v>44</v>
      </c>
      <c r="L821" t="s">
        <v>29</v>
      </c>
      <c r="M821" t="s">
        <v>30</v>
      </c>
      <c r="N821" t="s">
        <v>79</v>
      </c>
      <c r="O821" t="s">
        <v>80</v>
      </c>
      <c r="P821" t="s">
        <v>29</v>
      </c>
      <c r="Q821" t="s">
        <v>30</v>
      </c>
      <c r="R821" s="1">
        <v>44358.413090277776</v>
      </c>
      <c r="S821" s="1">
        <v>44358.413726851853</v>
      </c>
      <c r="T821">
        <v>1</v>
      </c>
      <c r="U821">
        <v>5</v>
      </c>
      <c r="V821" s="2">
        <v>0.2</v>
      </c>
      <c r="W821">
        <v>0</v>
      </c>
      <c r="X821" t="s">
        <v>44</v>
      </c>
      <c r="Y821">
        <v>0</v>
      </c>
      <c r="Z821" t="s">
        <v>44</v>
      </c>
      <c r="AA821">
        <v>0</v>
      </c>
      <c r="AB821" t="s">
        <v>81</v>
      </c>
      <c r="AC821">
        <v>0</v>
      </c>
      <c r="AD821" t="s">
        <v>45</v>
      </c>
      <c r="AE821">
        <v>0</v>
      </c>
      <c r="AF821" t="s">
        <v>30</v>
      </c>
      <c r="AG821">
        <v>0</v>
      </c>
      <c r="AH821" t="s">
        <v>31</v>
      </c>
      <c r="AI821">
        <v>0</v>
      </c>
      <c r="AJ821" t="s">
        <v>31</v>
      </c>
      <c r="AK821">
        <v>0</v>
      </c>
      <c r="AL821" t="s">
        <v>31</v>
      </c>
      <c r="AM821">
        <v>0</v>
      </c>
      <c r="AN821" t="s">
        <v>31</v>
      </c>
      <c r="AO821">
        <v>0</v>
      </c>
      <c r="AP821" t="s">
        <v>31</v>
      </c>
      <c r="AQ821">
        <v>0</v>
      </c>
    </row>
    <row r="822" spans="1:43" x14ac:dyDescent="0.2">
      <c r="A822" t="s">
        <v>381</v>
      </c>
      <c r="B822" s="3">
        <v>44358</v>
      </c>
      <c r="C822">
        <v>134</v>
      </c>
      <c r="D822" t="s">
        <v>383</v>
      </c>
      <c r="E822" t="s">
        <v>93</v>
      </c>
      <c r="F822" s="9" t="s">
        <v>184</v>
      </c>
      <c r="G822" t="s">
        <v>26</v>
      </c>
      <c r="H822" t="s">
        <v>79</v>
      </c>
      <c r="I822" t="s">
        <v>80</v>
      </c>
      <c r="J822" t="s">
        <v>29</v>
      </c>
      <c r="K822" t="s">
        <v>30</v>
      </c>
      <c r="L822" t="s">
        <v>29</v>
      </c>
      <c r="M822" t="s">
        <v>30</v>
      </c>
      <c r="N822" t="s">
        <v>79</v>
      </c>
      <c r="O822" t="s">
        <v>80</v>
      </c>
      <c r="P822" t="s">
        <v>29</v>
      </c>
      <c r="Q822" t="s">
        <v>30</v>
      </c>
      <c r="R822" s="1">
        <v>44358.636840277781</v>
      </c>
      <c r="S822" s="1">
        <v>44358.639432870368</v>
      </c>
      <c r="T822">
        <v>2</v>
      </c>
      <c r="U822">
        <v>2</v>
      </c>
      <c r="V822" s="2">
        <v>1</v>
      </c>
      <c r="W822">
        <v>0</v>
      </c>
      <c r="X822" t="s">
        <v>30</v>
      </c>
      <c r="Y822">
        <v>0</v>
      </c>
      <c r="Z822" t="s">
        <v>30</v>
      </c>
      <c r="AA822">
        <v>0</v>
      </c>
      <c r="AB822" t="s">
        <v>31</v>
      </c>
      <c r="AC822">
        <v>0</v>
      </c>
      <c r="AD822" t="s">
        <v>31</v>
      </c>
      <c r="AE822">
        <v>0</v>
      </c>
      <c r="AF822" t="s">
        <v>31</v>
      </c>
      <c r="AG822">
        <v>0</v>
      </c>
      <c r="AH822" t="s">
        <v>31</v>
      </c>
      <c r="AI822">
        <v>0</v>
      </c>
      <c r="AJ822" t="s">
        <v>31</v>
      </c>
      <c r="AK822">
        <v>0</v>
      </c>
      <c r="AL822" t="s">
        <v>31</v>
      </c>
      <c r="AM822">
        <v>0</v>
      </c>
      <c r="AN822" t="s">
        <v>31</v>
      </c>
      <c r="AO822">
        <v>0</v>
      </c>
      <c r="AP822" t="s">
        <v>31</v>
      </c>
      <c r="AQ822">
        <v>0</v>
      </c>
    </row>
    <row r="823" spans="1:43" x14ac:dyDescent="0.2">
      <c r="A823" t="s">
        <v>381</v>
      </c>
      <c r="B823" s="3">
        <v>44361</v>
      </c>
      <c r="C823">
        <v>135</v>
      </c>
      <c r="D823" t="s">
        <v>390</v>
      </c>
      <c r="E823" t="s">
        <v>93</v>
      </c>
      <c r="F823" s="9" t="s">
        <v>184</v>
      </c>
      <c r="G823" t="s">
        <v>26</v>
      </c>
      <c r="H823" t="s">
        <v>79</v>
      </c>
      <c r="I823" t="s">
        <v>80</v>
      </c>
      <c r="J823" t="s">
        <v>29</v>
      </c>
      <c r="K823" t="s">
        <v>30</v>
      </c>
      <c r="L823" t="s">
        <v>29</v>
      </c>
      <c r="M823" t="s">
        <v>30</v>
      </c>
      <c r="N823" t="s">
        <v>79</v>
      </c>
      <c r="O823" t="s">
        <v>80</v>
      </c>
      <c r="P823" t="s">
        <v>29</v>
      </c>
      <c r="Q823" t="s">
        <v>30</v>
      </c>
      <c r="R823" s="1">
        <v>44361.455034722225</v>
      </c>
      <c r="S823" s="1">
        <v>44361.455960648149</v>
      </c>
      <c r="T823">
        <v>2</v>
      </c>
      <c r="U823">
        <v>6</v>
      </c>
      <c r="V823" s="2">
        <v>0.33</v>
      </c>
      <c r="W823">
        <v>0</v>
      </c>
      <c r="X823" t="s">
        <v>44</v>
      </c>
      <c r="Y823">
        <v>0</v>
      </c>
      <c r="Z823" t="s">
        <v>44</v>
      </c>
      <c r="AA823">
        <v>0</v>
      </c>
      <c r="AB823" t="s">
        <v>81</v>
      </c>
      <c r="AC823">
        <v>0</v>
      </c>
      <c r="AD823" t="s">
        <v>45</v>
      </c>
      <c r="AE823">
        <v>0</v>
      </c>
      <c r="AF823" t="s">
        <v>30</v>
      </c>
      <c r="AG823">
        <v>0</v>
      </c>
      <c r="AH823" t="s">
        <v>30</v>
      </c>
      <c r="AI823">
        <v>0</v>
      </c>
      <c r="AJ823" t="s">
        <v>31</v>
      </c>
      <c r="AK823">
        <v>0</v>
      </c>
      <c r="AL823" t="s">
        <v>31</v>
      </c>
      <c r="AM823">
        <v>0</v>
      </c>
      <c r="AN823" t="s">
        <v>31</v>
      </c>
      <c r="AO823">
        <v>0</v>
      </c>
      <c r="AP823" t="s">
        <v>31</v>
      </c>
      <c r="AQ823">
        <v>0</v>
      </c>
    </row>
    <row r="824" spans="1:43" x14ac:dyDescent="0.2">
      <c r="A824" t="s">
        <v>381</v>
      </c>
      <c r="B824" s="3">
        <v>44361</v>
      </c>
      <c r="C824">
        <v>136</v>
      </c>
      <c r="D824" t="s">
        <v>383</v>
      </c>
      <c r="E824" t="s">
        <v>93</v>
      </c>
      <c r="F824" s="9" t="s">
        <v>184</v>
      </c>
      <c r="G824" t="s">
        <v>26</v>
      </c>
      <c r="H824" t="s">
        <v>79</v>
      </c>
      <c r="I824" t="s">
        <v>80</v>
      </c>
      <c r="J824" t="s">
        <v>29</v>
      </c>
      <c r="K824" t="s">
        <v>30</v>
      </c>
      <c r="L824" t="s">
        <v>29</v>
      </c>
      <c r="M824" t="s">
        <v>30</v>
      </c>
      <c r="N824" t="s">
        <v>41</v>
      </c>
      <c r="O824" t="s">
        <v>42</v>
      </c>
      <c r="P824" t="s">
        <v>29</v>
      </c>
      <c r="Q824" t="s">
        <v>30</v>
      </c>
      <c r="R824" s="1">
        <v>44361.632719907408</v>
      </c>
      <c r="S824" s="1">
        <v>44361.632893518516</v>
      </c>
      <c r="T824">
        <v>2</v>
      </c>
      <c r="U824">
        <v>7</v>
      </c>
      <c r="V824" s="2">
        <v>0.28000000000000003</v>
      </c>
      <c r="W824">
        <v>0</v>
      </c>
      <c r="X824" t="s">
        <v>44</v>
      </c>
      <c r="Y824">
        <v>0</v>
      </c>
      <c r="Z824" t="s">
        <v>44</v>
      </c>
      <c r="AA824">
        <v>0</v>
      </c>
      <c r="AB824" t="s">
        <v>45</v>
      </c>
      <c r="AC824">
        <v>0</v>
      </c>
      <c r="AD824" t="s">
        <v>81</v>
      </c>
      <c r="AE824">
        <v>0</v>
      </c>
      <c r="AF824" t="s">
        <v>30</v>
      </c>
      <c r="AG824">
        <v>0</v>
      </c>
      <c r="AH824" t="s">
        <v>44</v>
      </c>
      <c r="AI824">
        <v>0</v>
      </c>
      <c r="AJ824" t="s">
        <v>30</v>
      </c>
      <c r="AK824">
        <v>0</v>
      </c>
      <c r="AL824" t="s">
        <v>31</v>
      </c>
      <c r="AM824">
        <v>0</v>
      </c>
      <c r="AN824" t="s">
        <v>31</v>
      </c>
      <c r="AO824">
        <v>0</v>
      </c>
      <c r="AP824" t="s">
        <v>31</v>
      </c>
      <c r="AQ824">
        <v>0</v>
      </c>
    </row>
    <row r="825" spans="1:43" x14ac:dyDescent="0.2">
      <c r="A825" t="s">
        <v>381</v>
      </c>
      <c r="B825" s="3">
        <v>44363</v>
      </c>
      <c r="C825">
        <v>137</v>
      </c>
      <c r="D825" t="s">
        <v>383</v>
      </c>
      <c r="E825" t="s">
        <v>93</v>
      </c>
      <c r="F825" s="9" t="s">
        <v>184</v>
      </c>
      <c r="G825" t="s">
        <v>26</v>
      </c>
      <c r="H825" t="s">
        <v>41</v>
      </c>
      <c r="I825" t="s">
        <v>42</v>
      </c>
      <c r="J825" t="s">
        <v>29</v>
      </c>
      <c r="K825" t="s">
        <v>30</v>
      </c>
      <c r="L825" t="s">
        <v>29</v>
      </c>
      <c r="M825" t="s">
        <v>30</v>
      </c>
      <c r="N825" t="s">
        <v>41</v>
      </c>
      <c r="O825" t="s">
        <v>42</v>
      </c>
      <c r="P825" t="s">
        <v>29</v>
      </c>
      <c r="Q825" t="s">
        <v>30</v>
      </c>
      <c r="R825" s="1">
        <v>44363.632199074076</v>
      </c>
      <c r="S825" s="1">
        <v>44363.632199074076</v>
      </c>
      <c r="T825">
        <v>3</v>
      </c>
      <c r="U825">
        <v>3</v>
      </c>
      <c r="V825" s="2">
        <v>1</v>
      </c>
      <c r="W825">
        <v>0</v>
      </c>
      <c r="X825" t="s">
        <v>30</v>
      </c>
      <c r="Y825">
        <v>0</v>
      </c>
      <c r="Z825" t="s">
        <v>30</v>
      </c>
      <c r="AA825">
        <v>0</v>
      </c>
      <c r="AB825" t="s">
        <v>30</v>
      </c>
      <c r="AC825">
        <v>0</v>
      </c>
      <c r="AD825" t="s">
        <v>31</v>
      </c>
      <c r="AE825">
        <v>0</v>
      </c>
      <c r="AF825" t="s">
        <v>31</v>
      </c>
      <c r="AG825">
        <v>0</v>
      </c>
      <c r="AH825" t="s">
        <v>31</v>
      </c>
      <c r="AI825">
        <v>0</v>
      </c>
      <c r="AJ825" t="s">
        <v>31</v>
      </c>
      <c r="AK825">
        <v>0</v>
      </c>
      <c r="AL825" t="s">
        <v>31</v>
      </c>
      <c r="AM825">
        <v>0</v>
      </c>
      <c r="AN825" t="s">
        <v>31</v>
      </c>
      <c r="AO825">
        <v>0</v>
      </c>
      <c r="AP825" t="s">
        <v>31</v>
      </c>
      <c r="AQ825">
        <v>0</v>
      </c>
    </row>
    <row r="826" spans="1:43" x14ac:dyDescent="0.2">
      <c r="A826" t="s">
        <v>381</v>
      </c>
      <c r="B826" s="3">
        <v>44364</v>
      </c>
      <c r="C826">
        <v>138</v>
      </c>
      <c r="D826" t="s">
        <v>399</v>
      </c>
      <c r="E826" t="s">
        <v>93</v>
      </c>
      <c r="F826" s="9" t="s">
        <v>184</v>
      </c>
      <c r="G826" t="s">
        <v>26</v>
      </c>
      <c r="H826" t="s">
        <v>41</v>
      </c>
      <c r="I826" t="s">
        <v>42</v>
      </c>
      <c r="J826" t="s">
        <v>29</v>
      </c>
      <c r="K826" t="s">
        <v>30</v>
      </c>
      <c r="L826" t="s">
        <v>29</v>
      </c>
      <c r="M826" t="s">
        <v>30</v>
      </c>
      <c r="N826" t="s">
        <v>79</v>
      </c>
      <c r="O826" t="s">
        <v>80</v>
      </c>
      <c r="P826" t="s">
        <v>43</v>
      </c>
      <c r="Q826" t="s">
        <v>44</v>
      </c>
      <c r="R826" s="1">
        <v>44364.386990740742</v>
      </c>
      <c r="S826" s="1">
        <v>44364.386990740742</v>
      </c>
      <c r="T826">
        <v>1</v>
      </c>
      <c r="U826">
        <v>1</v>
      </c>
      <c r="V826" s="2">
        <v>1</v>
      </c>
      <c r="W826">
        <v>0</v>
      </c>
      <c r="X826" t="s">
        <v>30</v>
      </c>
      <c r="Y826">
        <v>0</v>
      </c>
      <c r="Z826" t="s">
        <v>31</v>
      </c>
      <c r="AA826">
        <v>0</v>
      </c>
      <c r="AB826" t="s">
        <v>31</v>
      </c>
      <c r="AC826">
        <v>0</v>
      </c>
      <c r="AD826" t="s">
        <v>31</v>
      </c>
      <c r="AE826">
        <v>0</v>
      </c>
      <c r="AF826" t="s">
        <v>31</v>
      </c>
      <c r="AG826">
        <v>0</v>
      </c>
      <c r="AH826" t="s">
        <v>31</v>
      </c>
      <c r="AI826">
        <v>0</v>
      </c>
      <c r="AJ826" t="s">
        <v>31</v>
      </c>
      <c r="AK826">
        <v>0</v>
      </c>
      <c r="AL826" t="s">
        <v>31</v>
      </c>
      <c r="AM826">
        <v>0</v>
      </c>
      <c r="AN826" t="s">
        <v>31</v>
      </c>
      <c r="AO826">
        <v>0</v>
      </c>
      <c r="AP826" t="s">
        <v>31</v>
      </c>
      <c r="AQ826">
        <v>0</v>
      </c>
    </row>
    <row r="827" spans="1:43" x14ac:dyDescent="0.2">
      <c r="A827" t="s">
        <v>381</v>
      </c>
      <c r="B827" s="3">
        <v>44365</v>
      </c>
      <c r="C827">
        <v>140</v>
      </c>
      <c r="D827" t="s">
        <v>399</v>
      </c>
      <c r="E827" t="s">
        <v>93</v>
      </c>
      <c r="F827" s="9" t="s">
        <v>184</v>
      </c>
      <c r="G827" t="s">
        <v>26</v>
      </c>
      <c r="H827" t="s">
        <v>79</v>
      </c>
      <c r="I827" t="s">
        <v>80</v>
      </c>
      <c r="J827" t="s">
        <v>43</v>
      </c>
      <c r="K827" t="s">
        <v>44</v>
      </c>
      <c r="L827" t="s">
        <v>29</v>
      </c>
      <c r="M827" t="s">
        <v>30</v>
      </c>
      <c r="N827" t="s">
        <v>79</v>
      </c>
      <c r="O827" t="s">
        <v>80</v>
      </c>
      <c r="P827" t="s">
        <v>43</v>
      </c>
      <c r="Q827" t="s">
        <v>44</v>
      </c>
      <c r="R827" s="1">
        <v>44365.566435185188</v>
      </c>
      <c r="S827" s="1">
        <v>44365.586180555554</v>
      </c>
      <c r="T827">
        <v>1</v>
      </c>
      <c r="U827">
        <v>2</v>
      </c>
      <c r="V827" s="2">
        <v>0.5</v>
      </c>
      <c r="W827">
        <v>0</v>
      </c>
      <c r="X827" t="s">
        <v>44</v>
      </c>
      <c r="Y827">
        <v>0</v>
      </c>
      <c r="Z827" t="s">
        <v>30</v>
      </c>
      <c r="AA827">
        <v>0</v>
      </c>
      <c r="AB827" t="s">
        <v>31</v>
      </c>
      <c r="AC827">
        <v>0</v>
      </c>
      <c r="AD827" t="s">
        <v>31</v>
      </c>
      <c r="AE827">
        <v>0</v>
      </c>
      <c r="AF827" t="s">
        <v>31</v>
      </c>
      <c r="AG827">
        <v>0</v>
      </c>
      <c r="AH827" t="s">
        <v>31</v>
      </c>
      <c r="AI827">
        <v>0</v>
      </c>
      <c r="AJ827" t="s">
        <v>31</v>
      </c>
      <c r="AK827">
        <v>0</v>
      </c>
      <c r="AL827" t="s">
        <v>31</v>
      </c>
      <c r="AM827">
        <v>0</v>
      </c>
      <c r="AN827" t="s">
        <v>31</v>
      </c>
      <c r="AO827">
        <v>0</v>
      </c>
      <c r="AP827" t="s">
        <v>31</v>
      </c>
      <c r="AQ827">
        <v>0</v>
      </c>
    </row>
    <row r="828" spans="1:43" x14ac:dyDescent="0.2">
      <c r="A828" t="s">
        <v>381</v>
      </c>
      <c r="B828" s="3">
        <v>44207</v>
      </c>
      <c r="C828">
        <v>1</v>
      </c>
      <c r="D828" t="s">
        <v>384</v>
      </c>
      <c r="E828" t="s">
        <v>48</v>
      </c>
      <c r="F828" s="9" t="s">
        <v>49</v>
      </c>
      <c r="G828" t="s">
        <v>50</v>
      </c>
      <c r="H828" t="s">
        <v>51</v>
      </c>
      <c r="I828" t="s">
        <v>52</v>
      </c>
      <c r="J828" t="s">
        <v>43</v>
      </c>
      <c r="K828" t="s">
        <v>44</v>
      </c>
      <c r="L828" t="s">
        <v>53</v>
      </c>
      <c r="M828" t="s">
        <v>54</v>
      </c>
      <c r="N828" t="s">
        <v>51</v>
      </c>
      <c r="O828" t="s">
        <v>52</v>
      </c>
      <c r="P828" t="s">
        <v>43</v>
      </c>
      <c r="Q828" t="s">
        <v>44</v>
      </c>
      <c r="R828" s="1">
        <v>44207.444861111115</v>
      </c>
      <c r="S828" s="1">
        <v>44207.444861111115</v>
      </c>
      <c r="T828">
        <v>1</v>
      </c>
      <c r="U828">
        <v>1</v>
      </c>
      <c r="V828" s="2">
        <v>1</v>
      </c>
      <c r="W828">
        <v>0</v>
      </c>
      <c r="X828" t="s">
        <v>54</v>
      </c>
      <c r="Y828">
        <v>0</v>
      </c>
    </row>
    <row r="829" spans="1:43" x14ac:dyDescent="0.2">
      <c r="A829" t="s">
        <v>381</v>
      </c>
      <c r="B829" s="3">
        <v>44236</v>
      </c>
      <c r="C829">
        <v>3</v>
      </c>
      <c r="D829" t="s">
        <v>385</v>
      </c>
      <c r="E829" t="s">
        <v>48</v>
      </c>
      <c r="F829" s="9" t="s">
        <v>49</v>
      </c>
      <c r="G829" t="s">
        <v>50</v>
      </c>
      <c r="H829" t="s">
        <v>51</v>
      </c>
      <c r="I829" t="s">
        <v>52</v>
      </c>
      <c r="J829" t="s">
        <v>43</v>
      </c>
      <c r="K829" t="s">
        <v>44</v>
      </c>
      <c r="L829" t="s">
        <v>53</v>
      </c>
      <c r="M829" t="s">
        <v>54</v>
      </c>
      <c r="N829" t="s">
        <v>51</v>
      </c>
      <c r="O829" t="s">
        <v>52</v>
      </c>
      <c r="P829" t="s">
        <v>43</v>
      </c>
      <c r="Q829" t="s">
        <v>44</v>
      </c>
      <c r="R829" s="1">
        <v>44236.609363425923</v>
      </c>
      <c r="S829" s="1">
        <v>44236.609363425923</v>
      </c>
      <c r="T829">
        <v>1</v>
      </c>
      <c r="U829">
        <v>1</v>
      </c>
      <c r="V829" s="2">
        <v>1</v>
      </c>
      <c r="W829">
        <v>0</v>
      </c>
      <c r="X829" t="s">
        <v>54</v>
      </c>
      <c r="Y829">
        <v>0</v>
      </c>
    </row>
    <row r="830" spans="1:43" x14ac:dyDescent="0.2">
      <c r="A830" t="s">
        <v>381</v>
      </c>
      <c r="B830" s="3">
        <v>44238</v>
      </c>
      <c r="C830">
        <v>6</v>
      </c>
      <c r="D830" t="s">
        <v>385</v>
      </c>
      <c r="E830" t="s">
        <v>48</v>
      </c>
      <c r="F830" s="9" t="s">
        <v>49</v>
      </c>
      <c r="G830" t="s">
        <v>50</v>
      </c>
      <c r="H830" t="s">
        <v>51</v>
      </c>
      <c r="I830" t="s">
        <v>52</v>
      </c>
      <c r="J830" t="s">
        <v>43</v>
      </c>
      <c r="K830" t="s">
        <v>44</v>
      </c>
      <c r="L830" t="s">
        <v>53</v>
      </c>
      <c r="M830" t="s">
        <v>54</v>
      </c>
      <c r="N830" t="s">
        <v>51</v>
      </c>
      <c r="O830" t="s">
        <v>52</v>
      </c>
      <c r="P830" t="s">
        <v>43</v>
      </c>
      <c r="Q830" t="s">
        <v>44</v>
      </c>
      <c r="R830" s="1">
        <v>44238.60696759259</v>
      </c>
      <c r="S830" s="1">
        <v>44238.60696759259</v>
      </c>
      <c r="T830">
        <v>1</v>
      </c>
      <c r="U830">
        <v>1</v>
      </c>
      <c r="V830" s="2">
        <v>1</v>
      </c>
      <c r="W830">
        <v>0</v>
      </c>
      <c r="X830" t="s">
        <v>54</v>
      </c>
      <c r="Y830">
        <v>0</v>
      </c>
    </row>
    <row r="831" spans="1:43" x14ac:dyDescent="0.2">
      <c r="A831" t="s">
        <v>381</v>
      </c>
      <c r="B831" s="3">
        <v>44243</v>
      </c>
      <c r="C831">
        <v>9</v>
      </c>
      <c r="D831" t="s">
        <v>382</v>
      </c>
      <c r="E831" t="s">
        <v>48</v>
      </c>
      <c r="F831" s="9" t="s">
        <v>49</v>
      </c>
      <c r="G831" t="s">
        <v>50</v>
      </c>
      <c r="H831" t="s">
        <v>51</v>
      </c>
      <c r="I831" t="s">
        <v>52</v>
      </c>
      <c r="J831" t="s">
        <v>43</v>
      </c>
      <c r="K831" t="s">
        <v>44</v>
      </c>
      <c r="L831" t="s">
        <v>53</v>
      </c>
      <c r="M831" t="s">
        <v>54</v>
      </c>
      <c r="N831" t="s">
        <v>51</v>
      </c>
      <c r="O831" t="s">
        <v>52</v>
      </c>
      <c r="P831" t="s">
        <v>43</v>
      </c>
      <c r="Q831" t="s">
        <v>44</v>
      </c>
      <c r="R831" s="1">
        <v>44243.36041666667</v>
      </c>
      <c r="S831" s="1">
        <v>44243.36041666667</v>
      </c>
      <c r="T831">
        <v>1</v>
      </c>
      <c r="U831">
        <v>1</v>
      </c>
      <c r="V831" s="2">
        <v>1</v>
      </c>
      <c r="W831">
        <v>0</v>
      </c>
      <c r="X831" t="s">
        <v>54</v>
      </c>
      <c r="Y831">
        <v>0</v>
      </c>
    </row>
    <row r="832" spans="1:43" x14ac:dyDescent="0.2">
      <c r="A832" t="s">
        <v>381</v>
      </c>
      <c r="B832" s="3">
        <v>44243</v>
      </c>
      <c r="C832">
        <v>10</v>
      </c>
      <c r="D832" t="s">
        <v>385</v>
      </c>
      <c r="E832" t="s">
        <v>48</v>
      </c>
      <c r="F832" s="9" t="s">
        <v>49</v>
      </c>
      <c r="G832" t="s">
        <v>50</v>
      </c>
      <c r="H832" t="s">
        <v>51</v>
      </c>
      <c r="I832" t="s">
        <v>52</v>
      </c>
      <c r="J832" t="s">
        <v>43</v>
      </c>
      <c r="K832" t="s">
        <v>44</v>
      </c>
      <c r="L832" t="s">
        <v>53</v>
      </c>
      <c r="M832" t="s">
        <v>54</v>
      </c>
      <c r="N832" t="s">
        <v>51</v>
      </c>
      <c r="O832" t="s">
        <v>52</v>
      </c>
      <c r="P832" t="s">
        <v>43</v>
      </c>
      <c r="Q832" t="s">
        <v>44</v>
      </c>
      <c r="R832" s="1">
        <v>44243.683796296296</v>
      </c>
      <c r="S832" s="1">
        <v>44243.683796296296</v>
      </c>
      <c r="T832">
        <v>1</v>
      </c>
      <c r="U832">
        <v>1</v>
      </c>
      <c r="V832" s="2">
        <v>1</v>
      </c>
      <c r="W832">
        <v>0</v>
      </c>
      <c r="X832" t="s">
        <v>54</v>
      </c>
      <c r="Y832">
        <v>0</v>
      </c>
    </row>
    <row r="833" spans="1:25" x14ac:dyDescent="0.2">
      <c r="A833" t="s">
        <v>381</v>
      </c>
      <c r="B833" s="3">
        <v>44244</v>
      </c>
      <c r="C833">
        <v>11</v>
      </c>
      <c r="D833" t="s">
        <v>384</v>
      </c>
      <c r="E833" t="s">
        <v>48</v>
      </c>
      <c r="F833" s="9" t="s">
        <v>49</v>
      </c>
      <c r="G833" t="s">
        <v>50</v>
      </c>
      <c r="H833" t="s">
        <v>51</v>
      </c>
      <c r="I833" t="s">
        <v>52</v>
      </c>
      <c r="J833" t="s">
        <v>43</v>
      </c>
      <c r="K833" t="s">
        <v>44</v>
      </c>
      <c r="L833" t="s">
        <v>53</v>
      </c>
      <c r="M833" t="s">
        <v>54</v>
      </c>
      <c r="N833" t="s">
        <v>51</v>
      </c>
      <c r="O833" t="s">
        <v>52</v>
      </c>
      <c r="P833" t="s">
        <v>43</v>
      </c>
      <c r="Q833" t="s">
        <v>44</v>
      </c>
      <c r="R833" s="1">
        <v>44244.470231481479</v>
      </c>
      <c r="S833" s="1">
        <v>44244.470231481479</v>
      </c>
      <c r="T833">
        <v>1</v>
      </c>
      <c r="U833">
        <v>1</v>
      </c>
      <c r="V833" s="2">
        <v>1</v>
      </c>
      <c r="W833">
        <v>0</v>
      </c>
      <c r="X833" t="s">
        <v>54</v>
      </c>
      <c r="Y833">
        <v>0</v>
      </c>
    </row>
    <row r="834" spans="1:25" x14ac:dyDescent="0.2">
      <c r="A834" t="s">
        <v>381</v>
      </c>
      <c r="B834" s="3">
        <v>44245</v>
      </c>
      <c r="C834">
        <v>12</v>
      </c>
      <c r="D834" t="s">
        <v>382</v>
      </c>
      <c r="E834" t="s">
        <v>48</v>
      </c>
      <c r="F834" s="9" t="s">
        <v>49</v>
      </c>
      <c r="G834" t="s">
        <v>50</v>
      </c>
      <c r="H834" t="s">
        <v>51</v>
      </c>
      <c r="I834" t="s">
        <v>52</v>
      </c>
      <c r="J834" t="s">
        <v>43</v>
      </c>
      <c r="K834" t="s">
        <v>44</v>
      </c>
      <c r="L834" t="s">
        <v>53</v>
      </c>
      <c r="M834" t="s">
        <v>54</v>
      </c>
      <c r="N834" t="s">
        <v>51</v>
      </c>
      <c r="O834" t="s">
        <v>52</v>
      </c>
      <c r="P834" t="s">
        <v>43</v>
      </c>
      <c r="Q834" t="s">
        <v>44</v>
      </c>
      <c r="R834" s="1">
        <v>44245.359849537039</v>
      </c>
      <c r="S834" s="1">
        <v>44245.359849537039</v>
      </c>
      <c r="T834">
        <v>1</v>
      </c>
      <c r="U834">
        <v>1</v>
      </c>
      <c r="V834" s="2">
        <v>1</v>
      </c>
      <c r="W834">
        <v>0</v>
      </c>
      <c r="X834" t="s">
        <v>54</v>
      </c>
      <c r="Y834">
        <v>0</v>
      </c>
    </row>
    <row r="835" spans="1:25" x14ac:dyDescent="0.2">
      <c r="A835" t="s">
        <v>381</v>
      </c>
      <c r="B835" s="3">
        <v>44249</v>
      </c>
      <c r="C835">
        <v>15</v>
      </c>
      <c r="D835" t="s">
        <v>384</v>
      </c>
      <c r="E835" t="s">
        <v>48</v>
      </c>
      <c r="F835" s="9" t="s">
        <v>49</v>
      </c>
      <c r="G835" t="s">
        <v>50</v>
      </c>
      <c r="H835" t="s">
        <v>51</v>
      </c>
      <c r="I835" t="s">
        <v>52</v>
      </c>
      <c r="J835" t="s">
        <v>43</v>
      </c>
      <c r="K835" t="s">
        <v>44</v>
      </c>
      <c r="L835" t="s">
        <v>53</v>
      </c>
      <c r="M835" t="s">
        <v>54</v>
      </c>
      <c r="N835" t="s">
        <v>51</v>
      </c>
      <c r="O835" t="s">
        <v>52</v>
      </c>
      <c r="P835" t="s">
        <v>43</v>
      </c>
      <c r="Q835" t="s">
        <v>44</v>
      </c>
      <c r="R835" s="1">
        <v>44249.47729166667</v>
      </c>
      <c r="S835" s="1">
        <v>44249.47729166667</v>
      </c>
      <c r="T835">
        <v>1</v>
      </c>
      <c r="U835">
        <v>1</v>
      </c>
      <c r="V835" s="2">
        <v>1</v>
      </c>
      <c r="W835">
        <v>0</v>
      </c>
      <c r="X835" t="s">
        <v>54</v>
      </c>
      <c r="Y835">
        <v>0</v>
      </c>
    </row>
    <row r="836" spans="1:25" x14ac:dyDescent="0.2">
      <c r="A836" t="s">
        <v>381</v>
      </c>
      <c r="B836" s="3">
        <v>44250</v>
      </c>
      <c r="C836">
        <v>16</v>
      </c>
      <c r="D836" t="s">
        <v>382</v>
      </c>
      <c r="E836" t="s">
        <v>48</v>
      </c>
      <c r="F836" s="9" t="s">
        <v>49</v>
      </c>
      <c r="G836" t="s">
        <v>50</v>
      </c>
      <c r="H836" t="s">
        <v>51</v>
      </c>
      <c r="I836" t="s">
        <v>52</v>
      </c>
      <c r="J836" t="s">
        <v>43</v>
      </c>
      <c r="K836" t="s">
        <v>44</v>
      </c>
      <c r="L836" t="s">
        <v>53</v>
      </c>
      <c r="M836" t="s">
        <v>54</v>
      </c>
      <c r="N836" t="s">
        <v>51</v>
      </c>
      <c r="O836" t="s">
        <v>52</v>
      </c>
      <c r="P836" t="s">
        <v>43</v>
      </c>
      <c r="Q836" t="s">
        <v>44</v>
      </c>
      <c r="R836" s="1">
        <v>44250.365034722221</v>
      </c>
      <c r="S836" s="1">
        <v>44250.365034722221</v>
      </c>
      <c r="T836">
        <v>1</v>
      </c>
      <c r="U836">
        <v>1</v>
      </c>
      <c r="V836" s="2">
        <v>1</v>
      </c>
      <c r="W836">
        <v>0</v>
      </c>
      <c r="X836" t="s">
        <v>54</v>
      </c>
      <c r="Y836">
        <v>0</v>
      </c>
    </row>
    <row r="837" spans="1:25" x14ac:dyDescent="0.2">
      <c r="A837" t="s">
        <v>381</v>
      </c>
      <c r="B837" s="3">
        <v>44250</v>
      </c>
      <c r="C837">
        <v>17</v>
      </c>
      <c r="D837" t="s">
        <v>385</v>
      </c>
      <c r="E837" t="s">
        <v>48</v>
      </c>
      <c r="F837" s="9" t="s">
        <v>49</v>
      </c>
      <c r="G837" t="s">
        <v>50</v>
      </c>
      <c r="H837" t="s">
        <v>51</v>
      </c>
      <c r="I837" t="s">
        <v>52</v>
      </c>
      <c r="J837" t="s">
        <v>43</v>
      </c>
      <c r="K837" t="s">
        <v>44</v>
      </c>
      <c r="L837" t="s">
        <v>53</v>
      </c>
      <c r="M837" t="s">
        <v>54</v>
      </c>
      <c r="N837" t="s">
        <v>51</v>
      </c>
      <c r="O837" t="s">
        <v>52</v>
      </c>
      <c r="P837" t="s">
        <v>43</v>
      </c>
      <c r="Q837" t="s">
        <v>44</v>
      </c>
      <c r="R837" s="1">
        <v>44250.634351851855</v>
      </c>
      <c r="S837" s="1">
        <v>44250.634351851855</v>
      </c>
      <c r="T837">
        <v>1</v>
      </c>
      <c r="U837">
        <v>1</v>
      </c>
      <c r="V837" s="2">
        <v>1</v>
      </c>
      <c r="W837">
        <v>0</v>
      </c>
      <c r="X837" t="s">
        <v>54</v>
      </c>
      <c r="Y837">
        <v>0</v>
      </c>
    </row>
    <row r="838" spans="1:25" x14ac:dyDescent="0.2">
      <c r="A838" t="s">
        <v>381</v>
      </c>
      <c r="B838" s="3">
        <v>44252</v>
      </c>
      <c r="C838">
        <v>19</v>
      </c>
      <c r="D838" t="s">
        <v>382</v>
      </c>
      <c r="E838" t="s">
        <v>48</v>
      </c>
      <c r="F838" s="9" t="s">
        <v>49</v>
      </c>
      <c r="G838" t="s">
        <v>50</v>
      </c>
      <c r="H838" t="s">
        <v>51</v>
      </c>
      <c r="I838" t="s">
        <v>52</v>
      </c>
      <c r="J838" t="s">
        <v>43</v>
      </c>
      <c r="K838" t="s">
        <v>44</v>
      </c>
      <c r="L838" t="s">
        <v>53</v>
      </c>
      <c r="M838" t="s">
        <v>54</v>
      </c>
      <c r="N838" t="s">
        <v>51</v>
      </c>
      <c r="O838" t="s">
        <v>52</v>
      </c>
      <c r="P838" t="s">
        <v>43</v>
      </c>
      <c r="Q838" t="s">
        <v>44</v>
      </c>
      <c r="R838" s="1">
        <v>44252.360659722224</v>
      </c>
      <c r="S838" s="1">
        <v>44252.360659722224</v>
      </c>
      <c r="T838">
        <v>1</v>
      </c>
      <c r="U838">
        <v>1</v>
      </c>
      <c r="V838" s="2">
        <v>1</v>
      </c>
      <c r="W838">
        <v>0</v>
      </c>
      <c r="X838" t="s">
        <v>54</v>
      </c>
      <c r="Y838">
        <v>0</v>
      </c>
    </row>
    <row r="839" spans="1:25" x14ac:dyDescent="0.2">
      <c r="A839" t="s">
        <v>381</v>
      </c>
      <c r="B839" s="3">
        <v>44252</v>
      </c>
      <c r="C839">
        <v>20</v>
      </c>
      <c r="D839" t="s">
        <v>385</v>
      </c>
      <c r="E839" t="s">
        <v>48</v>
      </c>
      <c r="F839" s="9" t="s">
        <v>49</v>
      </c>
      <c r="G839" t="s">
        <v>50</v>
      </c>
      <c r="H839" t="s">
        <v>51</v>
      </c>
      <c r="I839" t="s">
        <v>52</v>
      </c>
      <c r="J839" t="s">
        <v>43</v>
      </c>
      <c r="K839" t="s">
        <v>44</v>
      </c>
      <c r="L839" t="s">
        <v>53</v>
      </c>
      <c r="M839" t="s">
        <v>54</v>
      </c>
      <c r="N839" t="s">
        <v>51</v>
      </c>
      <c r="O839" t="s">
        <v>52</v>
      </c>
      <c r="P839" t="s">
        <v>43</v>
      </c>
      <c r="Q839" t="s">
        <v>44</v>
      </c>
      <c r="R839" s="1">
        <v>44252.607395833336</v>
      </c>
      <c r="S839" s="1">
        <v>44252.607395833336</v>
      </c>
      <c r="T839">
        <v>1</v>
      </c>
      <c r="U839">
        <v>1</v>
      </c>
      <c r="V839" s="2">
        <v>1</v>
      </c>
      <c r="W839">
        <v>0</v>
      </c>
      <c r="X839" t="s">
        <v>54</v>
      </c>
      <c r="Y839">
        <v>0</v>
      </c>
    </row>
    <row r="840" spans="1:25" x14ac:dyDescent="0.2">
      <c r="A840" t="s">
        <v>381</v>
      </c>
      <c r="B840" s="3">
        <v>44256</v>
      </c>
      <c r="C840">
        <v>22</v>
      </c>
      <c r="D840" t="s">
        <v>384</v>
      </c>
      <c r="E840" t="s">
        <v>48</v>
      </c>
      <c r="F840" s="9" t="s">
        <v>49</v>
      </c>
      <c r="G840" t="s">
        <v>50</v>
      </c>
      <c r="H840" t="s">
        <v>51</v>
      </c>
      <c r="I840" t="s">
        <v>52</v>
      </c>
      <c r="J840" t="s">
        <v>43</v>
      </c>
      <c r="K840" t="s">
        <v>44</v>
      </c>
      <c r="L840" t="s">
        <v>53</v>
      </c>
      <c r="M840" t="s">
        <v>54</v>
      </c>
      <c r="N840" t="s">
        <v>51</v>
      </c>
      <c r="O840" t="s">
        <v>52</v>
      </c>
      <c r="P840" t="s">
        <v>43</v>
      </c>
      <c r="Q840" t="s">
        <v>44</v>
      </c>
      <c r="R840" s="1">
        <v>44256.47383101852</v>
      </c>
      <c r="S840" s="1">
        <v>44256.47383101852</v>
      </c>
      <c r="T840">
        <v>1</v>
      </c>
      <c r="U840">
        <v>1</v>
      </c>
      <c r="V840" s="2">
        <v>1</v>
      </c>
      <c r="W840">
        <v>0</v>
      </c>
      <c r="X840" t="s">
        <v>54</v>
      </c>
      <c r="Y840">
        <v>0</v>
      </c>
    </row>
    <row r="841" spans="1:25" x14ac:dyDescent="0.2">
      <c r="A841" t="s">
        <v>381</v>
      </c>
      <c r="B841" s="3">
        <v>44257</v>
      </c>
      <c r="C841">
        <v>23</v>
      </c>
      <c r="D841" t="s">
        <v>382</v>
      </c>
      <c r="E841" t="s">
        <v>48</v>
      </c>
      <c r="F841" s="9" t="s">
        <v>49</v>
      </c>
      <c r="G841" t="s">
        <v>50</v>
      </c>
      <c r="H841" t="s">
        <v>51</v>
      </c>
      <c r="I841" t="s">
        <v>52</v>
      </c>
      <c r="J841" t="s">
        <v>43</v>
      </c>
      <c r="K841" t="s">
        <v>44</v>
      </c>
      <c r="L841" t="s">
        <v>53</v>
      </c>
      <c r="M841" t="s">
        <v>54</v>
      </c>
      <c r="N841" t="s">
        <v>51</v>
      </c>
      <c r="O841" t="s">
        <v>52</v>
      </c>
      <c r="P841" t="s">
        <v>43</v>
      </c>
      <c r="Q841" t="s">
        <v>44</v>
      </c>
      <c r="R841" s="1">
        <v>44257.361967592595</v>
      </c>
      <c r="S841" s="1">
        <v>44257.361967592595</v>
      </c>
      <c r="T841">
        <v>1</v>
      </c>
      <c r="U841">
        <v>1</v>
      </c>
      <c r="V841" s="2">
        <v>1</v>
      </c>
      <c r="W841">
        <v>0</v>
      </c>
      <c r="X841" t="s">
        <v>54</v>
      </c>
      <c r="Y841">
        <v>0</v>
      </c>
    </row>
    <row r="842" spans="1:25" x14ac:dyDescent="0.2">
      <c r="A842" t="s">
        <v>381</v>
      </c>
      <c r="B842" s="3">
        <v>44257</v>
      </c>
      <c r="C842">
        <v>24</v>
      </c>
      <c r="D842" t="s">
        <v>385</v>
      </c>
      <c r="E842" t="s">
        <v>48</v>
      </c>
      <c r="F842" s="9" t="s">
        <v>49</v>
      </c>
      <c r="G842" t="s">
        <v>50</v>
      </c>
      <c r="H842" t="s">
        <v>51</v>
      </c>
      <c r="I842" t="s">
        <v>52</v>
      </c>
      <c r="J842" t="s">
        <v>43</v>
      </c>
      <c r="K842" t="s">
        <v>44</v>
      </c>
      <c r="L842" t="s">
        <v>53</v>
      </c>
      <c r="M842" t="s">
        <v>54</v>
      </c>
      <c r="N842" t="s">
        <v>51</v>
      </c>
      <c r="O842" t="s">
        <v>52</v>
      </c>
      <c r="P842" t="s">
        <v>43</v>
      </c>
      <c r="Q842" t="s">
        <v>44</v>
      </c>
      <c r="R842" s="1">
        <v>44257.603414351855</v>
      </c>
      <c r="S842" s="1">
        <v>44257.603414351855</v>
      </c>
      <c r="T842">
        <v>1</v>
      </c>
      <c r="U842">
        <v>1</v>
      </c>
      <c r="V842" s="2">
        <v>1</v>
      </c>
      <c r="W842">
        <v>0</v>
      </c>
      <c r="X842" t="s">
        <v>54</v>
      </c>
      <c r="Y842">
        <v>0</v>
      </c>
    </row>
    <row r="843" spans="1:25" x14ac:dyDescent="0.2">
      <c r="A843" t="s">
        <v>381</v>
      </c>
      <c r="B843" s="3">
        <v>44259</v>
      </c>
      <c r="C843">
        <v>26</v>
      </c>
      <c r="D843" t="s">
        <v>382</v>
      </c>
      <c r="E843" t="s">
        <v>48</v>
      </c>
      <c r="F843" s="9" t="s">
        <v>49</v>
      </c>
      <c r="G843" t="s">
        <v>50</v>
      </c>
      <c r="H843" t="s">
        <v>51</v>
      </c>
      <c r="I843" t="s">
        <v>52</v>
      </c>
      <c r="J843" t="s">
        <v>43</v>
      </c>
      <c r="K843" t="s">
        <v>44</v>
      </c>
      <c r="L843" t="s">
        <v>53</v>
      </c>
      <c r="M843" t="s">
        <v>54</v>
      </c>
      <c r="N843" t="s">
        <v>51</v>
      </c>
      <c r="O843" t="s">
        <v>52</v>
      </c>
      <c r="P843" t="s">
        <v>43</v>
      </c>
      <c r="Q843" t="s">
        <v>44</v>
      </c>
      <c r="R843" s="1">
        <v>44259.361296296294</v>
      </c>
      <c r="S843" s="1">
        <v>44259.361296296294</v>
      </c>
      <c r="T843">
        <v>1</v>
      </c>
      <c r="U843">
        <v>1</v>
      </c>
      <c r="V843" s="2">
        <v>1</v>
      </c>
      <c r="W843">
        <v>0</v>
      </c>
      <c r="X843" t="s">
        <v>54</v>
      </c>
      <c r="Y843">
        <v>0</v>
      </c>
    </row>
    <row r="844" spans="1:25" x14ac:dyDescent="0.2">
      <c r="A844" t="s">
        <v>381</v>
      </c>
      <c r="B844" s="3">
        <v>44263</v>
      </c>
      <c r="C844">
        <v>29</v>
      </c>
      <c r="D844" t="s">
        <v>384</v>
      </c>
      <c r="E844" t="s">
        <v>48</v>
      </c>
      <c r="F844" s="9" t="s">
        <v>49</v>
      </c>
      <c r="G844" t="s">
        <v>50</v>
      </c>
      <c r="H844" t="s">
        <v>51</v>
      </c>
      <c r="I844" t="s">
        <v>52</v>
      </c>
      <c r="J844" t="s">
        <v>43</v>
      </c>
      <c r="K844" t="s">
        <v>44</v>
      </c>
      <c r="L844" t="s">
        <v>53</v>
      </c>
      <c r="M844" t="s">
        <v>54</v>
      </c>
      <c r="N844" t="s">
        <v>51</v>
      </c>
      <c r="O844" t="s">
        <v>52</v>
      </c>
      <c r="P844" t="s">
        <v>43</v>
      </c>
      <c r="Q844" t="s">
        <v>44</v>
      </c>
      <c r="R844" s="1">
        <v>44263.441157407404</v>
      </c>
      <c r="S844" s="1">
        <v>44263.441157407404</v>
      </c>
      <c r="T844">
        <v>1</v>
      </c>
      <c r="U844">
        <v>1</v>
      </c>
      <c r="V844" s="2">
        <v>1</v>
      </c>
      <c r="W844">
        <v>0</v>
      </c>
      <c r="X844" t="s">
        <v>54</v>
      </c>
      <c r="Y844">
        <v>0</v>
      </c>
    </row>
    <row r="845" spans="1:25" x14ac:dyDescent="0.2">
      <c r="A845" t="s">
        <v>381</v>
      </c>
      <c r="B845" s="3">
        <v>44264</v>
      </c>
      <c r="C845">
        <v>30</v>
      </c>
      <c r="D845" t="s">
        <v>382</v>
      </c>
      <c r="E845" t="s">
        <v>48</v>
      </c>
      <c r="F845" s="9" t="s">
        <v>49</v>
      </c>
      <c r="G845" t="s">
        <v>50</v>
      </c>
      <c r="H845" t="s">
        <v>51</v>
      </c>
      <c r="I845" t="s">
        <v>52</v>
      </c>
      <c r="J845" t="s">
        <v>43</v>
      </c>
      <c r="K845" t="s">
        <v>44</v>
      </c>
      <c r="L845" t="s">
        <v>53</v>
      </c>
      <c r="M845" t="s">
        <v>54</v>
      </c>
      <c r="N845" t="s">
        <v>51</v>
      </c>
      <c r="O845" t="s">
        <v>52</v>
      </c>
      <c r="P845" t="s">
        <v>43</v>
      </c>
      <c r="Q845" t="s">
        <v>44</v>
      </c>
      <c r="R845" s="1">
        <v>44264.370196759257</v>
      </c>
      <c r="S845" s="1">
        <v>44264.370196759257</v>
      </c>
      <c r="T845">
        <v>1</v>
      </c>
      <c r="U845">
        <v>1</v>
      </c>
      <c r="V845" s="2">
        <v>1</v>
      </c>
      <c r="W845">
        <v>0</v>
      </c>
      <c r="X845" t="s">
        <v>54</v>
      </c>
      <c r="Y845">
        <v>0</v>
      </c>
    </row>
    <row r="846" spans="1:25" x14ac:dyDescent="0.2">
      <c r="A846" t="s">
        <v>381</v>
      </c>
      <c r="B846" s="3">
        <v>44264</v>
      </c>
      <c r="C846">
        <v>31</v>
      </c>
      <c r="D846" t="s">
        <v>385</v>
      </c>
      <c r="E846" t="s">
        <v>48</v>
      </c>
      <c r="F846" s="9" t="s">
        <v>49</v>
      </c>
      <c r="G846" t="s">
        <v>50</v>
      </c>
      <c r="H846" t="s">
        <v>51</v>
      </c>
      <c r="I846" t="s">
        <v>52</v>
      </c>
      <c r="J846" t="s">
        <v>43</v>
      </c>
      <c r="K846" t="s">
        <v>44</v>
      </c>
      <c r="L846" t="s">
        <v>53</v>
      </c>
      <c r="M846" t="s">
        <v>54</v>
      </c>
      <c r="N846" t="s">
        <v>51</v>
      </c>
      <c r="O846" t="s">
        <v>52</v>
      </c>
      <c r="P846" t="s">
        <v>43</v>
      </c>
      <c r="Q846" t="s">
        <v>44</v>
      </c>
      <c r="R846" s="1">
        <v>44264.609074074076</v>
      </c>
      <c r="S846" s="1">
        <v>44264.609074074076</v>
      </c>
      <c r="T846">
        <v>1</v>
      </c>
      <c r="U846">
        <v>1</v>
      </c>
      <c r="V846" s="2">
        <v>1</v>
      </c>
      <c r="W846">
        <v>0</v>
      </c>
      <c r="X846" t="s">
        <v>54</v>
      </c>
      <c r="Y846">
        <v>0</v>
      </c>
    </row>
    <row r="847" spans="1:25" x14ac:dyDescent="0.2">
      <c r="A847" t="s">
        <v>381</v>
      </c>
      <c r="B847" s="3">
        <v>44271</v>
      </c>
      <c r="C847">
        <v>37</v>
      </c>
      <c r="D847" t="s">
        <v>385</v>
      </c>
      <c r="E847" t="s">
        <v>48</v>
      </c>
      <c r="F847" s="9" t="s">
        <v>49</v>
      </c>
      <c r="G847" t="s">
        <v>50</v>
      </c>
      <c r="H847" t="s">
        <v>51</v>
      </c>
      <c r="I847" t="s">
        <v>52</v>
      </c>
      <c r="J847" t="s">
        <v>43</v>
      </c>
      <c r="K847" t="s">
        <v>44</v>
      </c>
      <c r="L847" t="s">
        <v>53</v>
      </c>
      <c r="M847" t="s">
        <v>54</v>
      </c>
      <c r="N847" t="s">
        <v>51</v>
      </c>
      <c r="O847" t="s">
        <v>52</v>
      </c>
      <c r="P847" t="s">
        <v>43</v>
      </c>
      <c r="Q847" t="s">
        <v>44</v>
      </c>
      <c r="R847" s="1">
        <v>44271.536111111112</v>
      </c>
      <c r="S847" s="1">
        <v>44271.536111111112</v>
      </c>
      <c r="T847">
        <v>1</v>
      </c>
      <c r="U847">
        <v>1</v>
      </c>
      <c r="V847" s="2">
        <v>1</v>
      </c>
      <c r="W847">
        <v>0</v>
      </c>
      <c r="X847" t="s">
        <v>54</v>
      </c>
      <c r="Y847">
        <v>0</v>
      </c>
    </row>
    <row r="848" spans="1:25" x14ac:dyDescent="0.2">
      <c r="A848" t="s">
        <v>381</v>
      </c>
      <c r="B848" s="3">
        <v>44272</v>
      </c>
      <c r="C848">
        <v>38</v>
      </c>
      <c r="D848" t="s">
        <v>384</v>
      </c>
      <c r="E848" t="s">
        <v>48</v>
      </c>
      <c r="F848" s="9" t="s">
        <v>49</v>
      </c>
      <c r="G848" t="s">
        <v>50</v>
      </c>
      <c r="H848" t="s">
        <v>51</v>
      </c>
      <c r="I848" t="s">
        <v>52</v>
      </c>
      <c r="J848" t="s">
        <v>43</v>
      </c>
      <c r="K848" t="s">
        <v>44</v>
      </c>
      <c r="L848" t="s">
        <v>53</v>
      </c>
      <c r="M848" t="s">
        <v>54</v>
      </c>
      <c r="N848" t="s">
        <v>51</v>
      </c>
      <c r="O848" t="s">
        <v>52</v>
      </c>
      <c r="P848" t="s">
        <v>43</v>
      </c>
      <c r="Q848" t="s">
        <v>44</v>
      </c>
      <c r="R848" s="1">
        <v>44272.440416666665</v>
      </c>
      <c r="S848" s="1">
        <v>44272.440416666665</v>
      </c>
      <c r="T848">
        <v>1</v>
      </c>
      <c r="U848">
        <v>1</v>
      </c>
      <c r="V848" s="2">
        <v>1</v>
      </c>
      <c r="W848">
        <v>0</v>
      </c>
      <c r="X848" t="s">
        <v>54</v>
      </c>
      <c r="Y848">
        <v>0</v>
      </c>
    </row>
    <row r="849" spans="1:25" x14ac:dyDescent="0.2">
      <c r="A849" t="s">
        <v>381</v>
      </c>
      <c r="B849" s="3">
        <v>44273</v>
      </c>
      <c r="C849">
        <v>40</v>
      </c>
      <c r="D849" t="s">
        <v>385</v>
      </c>
      <c r="E849" t="s">
        <v>48</v>
      </c>
      <c r="F849" s="9" t="s">
        <v>49</v>
      </c>
      <c r="G849" t="s">
        <v>50</v>
      </c>
      <c r="H849" t="s">
        <v>51</v>
      </c>
      <c r="I849" t="s">
        <v>52</v>
      </c>
      <c r="J849" t="s">
        <v>43</v>
      </c>
      <c r="K849" t="s">
        <v>44</v>
      </c>
      <c r="L849" t="s">
        <v>53</v>
      </c>
      <c r="M849" t="s">
        <v>54</v>
      </c>
      <c r="N849" t="s">
        <v>51</v>
      </c>
      <c r="O849" t="s">
        <v>52</v>
      </c>
      <c r="P849" t="s">
        <v>43</v>
      </c>
      <c r="Q849" t="s">
        <v>44</v>
      </c>
      <c r="R849" s="1">
        <v>44273.581273148149</v>
      </c>
      <c r="S849" s="1">
        <v>44273.581273148149</v>
      </c>
      <c r="T849">
        <v>1</v>
      </c>
      <c r="U849">
        <v>1</v>
      </c>
      <c r="V849" s="2">
        <v>1</v>
      </c>
      <c r="W849">
        <v>0</v>
      </c>
      <c r="X849" t="s">
        <v>54</v>
      </c>
      <c r="Y849">
        <v>0</v>
      </c>
    </row>
    <row r="850" spans="1:25" x14ac:dyDescent="0.2">
      <c r="A850" t="s">
        <v>381</v>
      </c>
      <c r="B850" s="3">
        <v>44285</v>
      </c>
      <c r="C850">
        <v>44</v>
      </c>
      <c r="D850" t="s">
        <v>385</v>
      </c>
      <c r="E850" t="s">
        <v>48</v>
      </c>
      <c r="F850" s="9" t="s">
        <v>49</v>
      </c>
      <c r="G850" t="s">
        <v>50</v>
      </c>
      <c r="H850" t="s">
        <v>51</v>
      </c>
      <c r="I850" t="s">
        <v>52</v>
      </c>
      <c r="J850" t="s">
        <v>43</v>
      </c>
      <c r="K850" t="s">
        <v>44</v>
      </c>
      <c r="L850" t="s">
        <v>53</v>
      </c>
      <c r="M850" t="s">
        <v>54</v>
      </c>
      <c r="N850" t="s">
        <v>51</v>
      </c>
      <c r="O850" t="s">
        <v>52</v>
      </c>
      <c r="P850" t="s">
        <v>43</v>
      </c>
      <c r="Q850" t="s">
        <v>44</v>
      </c>
      <c r="R850" s="1">
        <v>44285.433483796296</v>
      </c>
      <c r="S850" s="1">
        <v>44285.433483796296</v>
      </c>
      <c r="T850">
        <v>1</v>
      </c>
      <c r="U850">
        <v>1</v>
      </c>
      <c r="V850" s="2">
        <v>1</v>
      </c>
      <c r="W850">
        <v>0</v>
      </c>
      <c r="X850" t="s">
        <v>54</v>
      </c>
      <c r="Y850">
        <v>0</v>
      </c>
    </row>
    <row r="851" spans="1:25" x14ac:dyDescent="0.2">
      <c r="A851" t="s">
        <v>381</v>
      </c>
      <c r="B851" s="3">
        <v>44286</v>
      </c>
      <c r="C851">
        <v>46</v>
      </c>
      <c r="D851" t="s">
        <v>384</v>
      </c>
      <c r="E851" t="s">
        <v>48</v>
      </c>
      <c r="F851" s="9" t="s">
        <v>49</v>
      </c>
      <c r="G851" t="s">
        <v>50</v>
      </c>
      <c r="H851" t="s">
        <v>51</v>
      </c>
      <c r="I851" t="s">
        <v>52</v>
      </c>
      <c r="J851" t="s">
        <v>43</v>
      </c>
      <c r="K851" t="s">
        <v>44</v>
      </c>
      <c r="L851" t="s">
        <v>53</v>
      </c>
      <c r="M851" t="s">
        <v>54</v>
      </c>
      <c r="N851" t="s">
        <v>51</v>
      </c>
      <c r="O851" t="s">
        <v>52</v>
      </c>
      <c r="P851" t="s">
        <v>43</v>
      </c>
      <c r="Q851" t="s">
        <v>44</v>
      </c>
      <c r="R851" s="1">
        <v>44286.440960648149</v>
      </c>
      <c r="S851" s="1">
        <v>44286.440960648149</v>
      </c>
      <c r="T851">
        <v>1</v>
      </c>
      <c r="U851">
        <v>1</v>
      </c>
      <c r="V851" s="2">
        <v>1</v>
      </c>
      <c r="W851">
        <v>0</v>
      </c>
      <c r="X851" t="s">
        <v>54</v>
      </c>
      <c r="Y851">
        <v>0</v>
      </c>
    </row>
    <row r="852" spans="1:25" x14ac:dyDescent="0.2">
      <c r="A852" t="s">
        <v>381</v>
      </c>
      <c r="B852" s="3">
        <v>44288</v>
      </c>
      <c r="C852">
        <v>49</v>
      </c>
      <c r="D852" t="s">
        <v>384</v>
      </c>
      <c r="E852" t="s">
        <v>48</v>
      </c>
      <c r="F852" s="9" t="s">
        <v>49</v>
      </c>
      <c r="G852" t="s">
        <v>50</v>
      </c>
      <c r="H852" t="s">
        <v>51</v>
      </c>
      <c r="I852" t="s">
        <v>52</v>
      </c>
      <c r="J852" t="s">
        <v>43</v>
      </c>
      <c r="K852" t="s">
        <v>44</v>
      </c>
      <c r="L852" t="s">
        <v>53</v>
      </c>
      <c r="M852" t="s">
        <v>54</v>
      </c>
      <c r="N852" t="s">
        <v>51</v>
      </c>
      <c r="O852" t="s">
        <v>52</v>
      </c>
      <c r="P852" t="s">
        <v>43</v>
      </c>
      <c r="Q852" t="s">
        <v>44</v>
      </c>
      <c r="R852" s="1">
        <v>44288.474386574075</v>
      </c>
      <c r="S852" s="1">
        <v>44288.474386574075</v>
      </c>
      <c r="T852">
        <v>1</v>
      </c>
      <c r="U852">
        <v>1</v>
      </c>
      <c r="V852" s="2">
        <v>1</v>
      </c>
      <c r="W852">
        <v>0</v>
      </c>
      <c r="X852" t="s">
        <v>54</v>
      </c>
      <c r="Y852">
        <v>0</v>
      </c>
    </row>
    <row r="853" spans="1:25" x14ac:dyDescent="0.2">
      <c r="A853" t="s">
        <v>381</v>
      </c>
      <c r="B853" s="3">
        <v>44291</v>
      </c>
      <c r="C853">
        <v>50</v>
      </c>
      <c r="D853" t="s">
        <v>384</v>
      </c>
      <c r="E853" t="s">
        <v>48</v>
      </c>
      <c r="F853" s="9" t="s">
        <v>49</v>
      </c>
      <c r="G853" t="s">
        <v>50</v>
      </c>
      <c r="H853" t="s">
        <v>51</v>
      </c>
      <c r="I853" t="s">
        <v>52</v>
      </c>
      <c r="J853" t="s">
        <v>43</v>
      </c>
      <c r="K853" t="s">
        <v>44</v>
      </c>
      <c r="L853" t="s">
        <v>53</v>
      </c>
      <c r="M853" t="s">
        <v>54</v>
      </c>
      <c r="N853" t="s">
        <v>51</v>
      </c>
      <c r="O853" t="s">
        <v>52</v>
      </c>
      <c r="P853" t="s">
        <v>43</v>
      </c>
      <c r="Q853" t="s">
        <v>44</v>
      </c>
      <c r="R853" s="1">
        <v>44291.440011574072</v>
      </c>
      <c r="S853" s="1">
        <v>44291.440011574072</v>
      </c>
      <c r="T853">
        <v>1</v>
      </c>
      <c r="U853">
        <v>1</v>
      </c>
      <c r="V853" s="2">
        <v>1</v>
      </c>
      <c r="W853">
        <v>0</v>
      </c>
      <c r="X853" t="s">
        <v>54</v>
      </c>
      <c r="Y853">
        <v>0</v>
      </c>
    </row>
    <row r="854" spans="1:25" x14ac:dyDescent="0.2">
      <c r="A854" t="s">
        <v>381</v>
      </c>
      <c r="B854" s="3">
        <v>44293</v>
      </c>
      <c r="C854">
        <v>53</v>
      </c>
      <c r="D854" t="s">
        <v>384</v>
      </c>
      <c r="E854" t="s">
        <v>48</v>
      </c>
      <c r="F854" s="9" t="s">
        <v>49</v>
      </c>
      <c r="G854" t="s">
        <v>50</v>
      </c>
      <c r="H854" t="s">
        <v>51</v>
      </c>
      <c r="I854" t="s">
        <v>52</v>
      </c>
      <c r="J854" t="s">
        <v>43</v>
      </c>
      <c r="K854" t="s">
        <v>44</v>
      </c>
      <c r="L854" t="s">
        <v>53</v>
      </c>
      <c r="M854" t="s">
        <v>54</v>
      </c>
      <c r="N854" t="s">
        <v>51</v>
      </c>
      <c r="O854" t="s">
        <v>52</v>
      </c>
      <c r="P854" t="s">
        <v>43</v>
      </c>
      <c r="Q854" t="s">
        <v>44</v>
      </c>
      <c r="R854" s="1">
        <v>44293.450011574074</v>
      </c>
      <c r="S854" s="1">
        <v>44293.450011574074</v>
      </c>
      <c r="T854">
        <v>1</v>
      </c>
      <c r="U854">
        <v>1</v>
      </c>
      <c r="V854" s="2">
        <v>1</v>
      </c>
      <c r="W854">
        <v>0</v>
      </c>
      <c r="X854" t="s">
        <v>54</v>
      </c>
      <c r="Y854">
        <v>0</v>
      </c>
    </row>
    <row r="855" spans="1:25" x14ac:dyDescent="0.2">
      <c r="A855" t="s">
        <v>381</v>
      </c>
      <c r="B855" s="3">
        <v>44295</v>
      </c>
      <c r="C855">
        <v>56</v>
      </c>
      <c r="D855" t="s">
        <v>384</v>
      </c>
      <c r="E855" t="s">
        <v>48</v>
      </c>
      <c r="F855" s="9" t="s">
        <v>49</v>
      </c>
      <c r="G855" t="s">
        <v>50</v>
      </c>
      <c r="H855" t="s">
        <v>51</v>
      </c>
      <c r="I855" t="s">
        <v>52</v>
      </c>
      <c r="J855" t="s">
        <v>43</v>
      </c>
      <c r="K855" t="s">
        <v>44</v>
      </c>
      <c r="L855" t="s">
        <v>53</v>
      </c>
      <c r="M855" t="s">
        <v>54</v>
      </c>
      <c r="N855" t="s">
        <v>51</v>
      </c>
      <c r="O855" t="s">
        <v>52</v>
      </c>
      <c r="P855" t="s">
        <v>43</v>
      </c>
      <c r="Q855" t="s">
        <v>44</v>
      </c>
      <c r="R855" s="1">
        <v>44295.441666666666</v>
      </c>
      <c r="S855" s="1">
        <v>44295.441666666666</v>
      </c>
      <c r="T855">
        <v>1</v>
      </c>
      <c r="U855">
        <v>1</v>
      </c>
      <c r="V855" s="2">
        <v>1</v>
      </c>
      <c r="W855">
        <v>0</v>
      </c>
      <c r="X855" t="s">
        <v>54</v>
      </c>
      <c r="Y855">
        <v>0</v>
      </c>
    </row>
    <row r="856" spans="1:25" x14ac:dyDescent="0.2">
      <c r="A856" t="s">
        <v>381</v>
      </c>
      <c r="B856" s="3">
        <v>44298</v>
      </c>
      <c r="C856">
        <v>57</v>
      </c>
      <c r="D856" t="s">
        <v>387</v>
      </c>
      <c r="E856" t="s">
        <v>48</v>
      </c>
      <c r="F856" s="9" t="s">
        <v>49</v>
      </c>
      <c r="G856" t="s">
        <v>50</v>
      </c>
      <c r="H856" t="s">
        <v>51</v>
      </c>
      <c r="I856" t="s">
        <v>52</v>
      </c>
      <c r="J856" t="s">
        <v>43</v>
      </c>
      <c r="K856" t="s">
        <v>44</v>
      </c>
      <c r="L856" t="s">
        <v>53</v>
      </c>
      <c r="M856" t="s">
        <v>54</v>
      </c>
      <c r="N856" t="s">
        <v>51</v>
      </c>
      <c r="O856" t="s">
        <v>52</v>
      </c>
      <c r="P856" t="s">
        <v>43</v>
      </c>
      <c r="Q856" t="s">
        <v>44</v>
      </c>
      <c r="R856" s="1">
        <v>44298.543310185189</v>
      </c>
      <c r="S856" s="1">
        <v>44298.543310185189</v>
      </c>
      <c r="T856">
        <v>1</v>
      </c>
      <c r="U856">
        <v>1</v>
      </c>
      <c r="V856" s="2">
        <v>1</v>
      </c>
      <c r="W856">
        <v>0</v>
      </c>
      <c r="X856" t="s">
        <v>54</v>
      </c>
      <c r="Y856">
        <v>0</v>
      </c>
    </row>
    <row r="857" spans="1:25" x14ac:dyDescent="0.2">
      <c r="A857" t="s">
        <v>381</v>
      </c>
      <c r="B857" s="3">
        <v>44299</v>
      </c>
      <c r="C857">
        <v>59</v>
      </c>
      <c r="D857" t="s">
        <v>385</v>
      </c>
      <c r="E857" t="s">
        <v>48</v>
      </c>
      <c r="F857" s="9" t="s">
        <v>49</v>
      </c>
      <c r="G857" t="s">
        <v>50</v>
      </c>
      <c r="H857" t="s">
        <v>51</v>
      </c>
      <c r="I857" t="s">
        <v>52</v>
      </c>
      <c r="J857" t="s">
        <v>43</v>
      </c>
      <c r="K857" t="s">
        <v>44</v>
      </c>
      <c r="L857" t="s">
        <v>53</v>
      </c>
      <c r="M857" t="s">
        <v>54</v>
      </c>
      <c r="N857" t="s">
        <v>51</v>
      </c>
      <c r="O857" t="s">
        <v>52</v>
      </c>
      <c r="P857" t="s">
        <v>43</v>
      </c>
      <c r="Q857" t="s">
        <v>44</v>
      </c>
      <c r="R857" s="1">
        <v>44299.596863425926</v>
      </c>
      <c r="S857" s="1">
        <v>44299.596863425926</v>
      </c>
      <c r="T857">
        <v>1</v>
      </c>
      <c r="U857">
        <v>1</v>
      </c>
      <c r="V857" s="2">
        <v>1</v>
      </c>
      <c r="W857">
        <v>0</v>
      </c>
      <c r="X857" t="s">
        <v>54</v>
      </c>
      <c r="Y857">
        <v>0</v>
      </c>
    </row>
    <row r="858" spans="1:25" x14ac:dyDescent="0.2">
      <c r="A858" t="s">
        <v>381</v>
      </c>
      <c r="B858" s="3">
        <v>44302</v>
      </c>
      <c r="C858">
        <v>64</v>
      </c>
      <c r="D858" t="s">
        <v>390</v>
      </c>
      <c r="E858" t="s">
        <v>48</v>
      </c>
      <c r="F858" s="9" t="s">
        <v>49</v>
      </c>
      <c r="G858" t="s">
        <v>50</v>
      </c>
      <c r="H858" t="s">
        <v>51</v>
      </c>
      <c r="I858" t="s">
        <v>52</v>
      </c>
      <c r="J858" t="s">
        <v>43</v>
      </c>
      <c r="K858" t="s">
        <v>44</v>
      </c>
      <c r="L858" t="s">
        <v>53</v>
      </c>
      <c r="M858" t="s">
        <v>54</v>
      </c>
      <c r="N858" t="s">
        <v>51</v>
      </c>
      <c r="O858" t="s">
        <v>52</v>
      </c>
      <c r="P858" t="s">
        <v>43</v>
      </c>
      <c r="Q858" t="s">
        <v>44</v>
      </c>
      <c r="R858" s="1">
        <v>44302.380428240744</v>
      </c>
      <c r="S858" s="1">
        <v>44302.380428240744</v>
      </c>
      <c r="T858">
        <v>1</v>
      </c>
      <c r="U858">
        <v>1</v>
      </c>
      <c r="V858" s="2">
        <v>1</v>
      </c>
      <c r="W858">
        <v>0</v>
      </c>
      <c r="X858" t="s">
        <v>54</v>
      </c>
      <c r="Y858">
        <v>0</v>
      </c>
    </row>
    <row r="859" spans="1:25" x14ac:dyDescent="0.2">
      <c r="A859" t="s">
        <v>381</v>
      </c>
      <c r="B859" s="3">
        <v>44302</v>
      </c>
      <c r="C859">
        <v>65</v>
      </c>
      <c r="D859" t="s">
        <v>387</v>
      </c>
      <c r="E859" t="s">
        <v>48</v>
      </c>
      <c r="F859" s="9" t="s">
        <v>49</v>
      </c>
      <c r="G859" t="s">
        <v>50</v>
      </c>
      <c r="H859" t="s">
        <v>51</v>
      </c>
      <c r="I859" t="s">
        <v>52</v>
      </c>
      <c r="J859" t="s">
        <v>43</v>
      </c>
      <c r="K859" t="s">
        <v>44</v>
      </c>
      <c r="L859" t="s">
        <v>53</v>
      </c>
      <c r="M859" t="s">
        <v>54</v>
      </c>
      <c r="N859" t="s">
        <v>51</v>
      </c>
      <c r="O859" t="s">
        <v>52</v>
      </c>
      <c r="P859" t="s">
        <v>43</v>
      </c>
      <c r="Q859" t="s">
        <v>44</v>
      </c>
      <c r="R859" s="1">
        <v>44302.555914351855</v>
      </c>
      <c r="S859" s="1">
        <v>44302.555914351855</v>
      </c>
      <c r="T859">
        <v>1</v>
      </c>
      <c r="U859">
        <v>1</v>
      </c>
      <c r="V859" s="2">
        <v>1</v>
      </c>
      <c r="W859">
        <v>0</v>
      </c>
      <c r="X859" t="s">
        <v>54</v>
      </c>
      <c r="Y859">
        <v>0</v>
      </c>
    </row>
    <row r="860" spans="1:25" x14ac:dyDescent="0.2">
      <c r="A860" t="s">
        <v>381</v>
      </c>
      <c r="B860" s="3">
        <v>44308</v>
      </c>
      <c r="C860">
        <v>69</v>
      </c>
      <c r="D860" t="s">
        <v>385</v>
      </c>
      <c r="E860" t="s">
        <v>48</v>
      </c>
      <c r="F860" s="9" t="s">
        <v>49</v>
      </c>
      <c r="G860" t="s">
        <v>50</v>
      </c>
      <c r="H860" t="s">
        <v>51</v>
      </c>
      <c r="I860" t="s">
        <v>52</v>
      </c>
      <c r="J860" t="s">
        <v>43</v>
      </c>
      <c r="K860" t="s">
        <v>44</v>
      </c>
      <c r="L860" t="s">
        <v>53</v>
      </c>
      <c r="M860" t="s">
        <v>54</v>
      </c>
      <c r="N860" t="s">
        <v>51</v>
      </c>
      <c r="O860" t="s">
        <v>52</v>
      </c>
      <c r="P860" t="s">
        <v>43</v>
      </c>
      <c r="Q860" t="s">
        <v>44</v>
      </c>
      <c r="R860" s="1">
        <v>44308.588159722225</v>
      </c>
      <c r="S860" s="1">
        <v>44308.588159722225</v>
      </c>
      <c r="T860">
        <v>1</v>
      </c>
      <c r="U860">
        <v>1</v>
      </c>
      <c r="V860" s="2">
        <v>1</v>
      </c>
      <c r="W860">
        <v>0</v>
      </c>
      <c r="X860" t="s">
        <v>54</v>
      </c>
      <c r="Y860">
        <v>0</v>
      </c>
    </row>
    <row r="861" spans="1:25" x14ac:dyDescent="0.2">
      <c r="A861" t="s">
        <v>381</v>
      </c>
      <c r="B861" s="3">
        <v>44309</v>
      </c>
      <c r="C861">
        <v>70</v>
      </c>
      <c r="D861" t="s">
        <v>388</v>
      </c>
      <c r="E861" t="s">
        <v>48</v>
      </c>
      <c r="F861" s="9" t="s">
        <v>49</v>
      </c>
      <c r="G861" t="s">
        <v>50</v>
      </c>
      <c r="H861" t="s">
        <v>51</v>
      </c>
      <c r="I861" t="s">
        <v>52</v>
      </c>
      <c r="J861" t="s">
        <v>43</v>
      </c>
      <c r="K861" t="s">
        <v>44</v>
      </c>
      <c r="L861" t="s">
        <v>53</v>
      </c>
      <c r="M861" t="s">
        <v>54</v>
      </c>
      <c r="N861" t="s">
        <v>51</v>
      </c>
      <c r="O861" t="s">
        <v>52</v>
      </c>
      <c r="P861" t="s">
        <v>43</v>
      </c>
      <c r="Q861" t="s">
        <v>44</v>
      </c>
      <c r="R861" s="1">
        <v>44309.398506944446</v>
      </c>
      <c r="S861" s="1">
        <v>44309.398506944446</v>
      </c>
      <c r="T861">
        <v>1</v>
      </c>
      <c r="U861">
        <v>1</v>
      </c>
      <c r="V861" s="2">
        <v>1</v>
      </c>
      <c r="W861">
        <v>0</v>
      </c>
      <c r="X861" t="s">
        <v>54</v>
      </c>
      <c r="Y861">
        <v>0</v>
      </c>
    </row>
    <row r="862" spans="1:25" x14ac:dyDescent="0.2">
      <c r="A862" t="s">
        <v>381</v>
      </c>
      <c r="B862" s="3">
        <v>44312</v>
      </c>
      <c r="C862">
        <v>73</v>
      </c>
      <c r="D862" t="s">
        <v>387</v>
      </c>
      <c r="E862" t="s">
        <v>48</v>
      </c>
      <c r="F862" s="9" t="s">
        <v>49</v>
      </c>
      <c r="G862" t="s">
        <v>50</v>
      </c>
      <c r="H862" t="s">
        <v>51</v>
      </c>
      <c r="I862" t="s">
        <v>52</v>
      </c>
      <c r="J862" t="s">
        <v>43</v>
      </c>
      <c r="K862" t="s">
        <v>44</v>
      </c>
      <c r="L862" t="s">
        <v>53</v>
      </c>
      <c r="M862" t="s">
        <v>54</v>
      </c>
      <c r="N862" t="s">
        <v>51</v>
      </c>
      <c r="O862" t="s">
        <v>52</v>
      </c>
      <c r="P862" t="s">
        <v>43</v>
      </c>
      <c r="Q862" t="s">
        <v>44</v>
      </c>
      <c r="R862" s="1">
        <v>44312.575937499998</v>
      </c>
      <c r="S862" s="1">
        <v>44312.575937499998</v>
      </c>
      <c r="T862">
        <v>1</v>
      </c>
      <c r="U862">
        <v>1</v>
      </c>
      <c r="V862" s="2">
        <v>1</v>
      </c>
      <c r="W862">
        <v>0</v>
      </c>
      <c r="X862" t="s">
        <v>54</v>
      </c>
      <c r="Y862">
        <v>0</v>
      </c>
    </row>
    <row r="863" spans="1:25" x14ac:dyDescent="0.2">
      <c r="A863" t="s">
        <v>381</v>
      </c>
      <c r="B863" s="3">
        <v>44313</v>
      </c>
      <c r="C863">
        <v>74</v>
      </c>
      <c r="D863" t="s">
        <v>383</v>
      </c>
      <c r="E863" t="s">
        <v>48</v>
      </c>
      <c r="F863" s="9" t="s">
        <v>49</v>
      </c>
      <c r="G863" t="s">
        <v>50</v>
      </c>
      <c r="H863" t="s">
        <v>51</v>
      </c>
      <c r="I863" t="s">
        <v>52</v>
      </c>
      <c r="J863" t="s">
        <v>43</v>
      </c>
      <c r="K863" t="s">
        <v>44</v>
      </c>
      <c r="L863" t="s">
        <v>53</v>
      </c>
      <c r="M863" t="s">
        <v>54</v>
      </c>
      <c r="N863" t="s">
        <v>51</v>
      </c>
      <c r="O863" t="s">
        <v>52</v>
      </c>
      <c r="P863" t="s">
        <v>43</v>
      </c>
      <c r="Q863" t="s">
        <v>44</v>
      </c>
      <c r="R863" s="1">
        <v>44313.488645833335</v>
      </c>
      <c r="S863" s="1">
        <v>44313.488645833335</v>
      </c>
      <c r="T863">
        <v>1</v>
      </c>
      <c r="U863">
        <v>1</v>
      </c>
      <c r="V863" s="2">
        <v>1</v>
      </c>
      <c r="W863">
        <v>0</v>
      </c>
      <c r="X863" t="s">
        <v>54</v>
      </c>
      <c r="Y863">
        <v>0</v>
      </c>
    </row>
    <row r="864" spans="1:25" x14ac:dyDescent="0.2">
      <c r="A864" t="s">
        <v>381</v>
      </c>
      <c r="B864" s="3">
        <v>44314</v>
      </c>
      <c r="C864">
        <v>78</v>
      </c>
      <c r="D864" t="s">
        <v>387</v>
      </c>
      <c r="E864" t="s">
        <v>48</v>
      </c>
      <c r="F864" s="9" t="s">
        <v>49</v>
      </c>
      <c r="G864" t="s">
        <v>50</v>
      </c>
      <c r="H864" t="s">
        <v>51</v>
      </c>
      <c r="I864" t="s">
        <v>52</v>
      </c>
      <c r="J864" t="s">
        <v>43</v>
      </c>
      <c r="K864" t="s">
        <v>44</v>
      </c>
      <c r="L864" t="s">
        <v>53</v>
      </c>
      <c r="M864" t="s">
        <v>54</v>
      </c>
      <c r="N864" t="s">
        <v>51</v>
      </c>
      <c r="O864" t="s">
        <v>52</v>
      </c>
      <c r="P864" t="s">
        <v>43</v>
      </c>
      <c r="Q864" t="s">
        <v>44</v>
      </c>
      <c r="R864" s="1">
        <v>44314.619733796295</v>
      </c>
      <c r="S864" s="1">
        <v>44314.619733796295</v>
      </c>
      <c r="T864">
        <v>1</v>
      </c>
      <c r="U864">
        <v>1</v>
      </c>
      <c r="V864" s="2">
        <v>1</v>
      </c>
      <c r="W864">
        <v>0</v>
      </c>
      <c r="X864" t="s">
        <v>54</v>
      </c>
      <c r="Y864">
        <v>0</v>
      </c>
    </row>
    <row r="865" spans="1:25" x14ac:dyDescent="0.2">
      <c r="A865" t="s">
        <v>381</v>
      </c>
      <c r="B865" s="3">
        <v>44315</v>
      </c>
      <c r="C865">
        <v>81</v>
      </c>
      <c r="D865" t="s">
        <v>385</v>
      </c>
      <c r="E865" t="s">
        <v>48</v>
      </c>
      <c r="F865" s="9" t="s">
        <v>49</v>
      </c>
      <c r="G865" t="s">
        <v>50</v>
      </c>
      <c r="H865" t="s">
        <v>51</v>
      </c>
      <c r="I865" t="s">
        <v>52</v>
      </c>
      <c r="J865" t="s">
        <v>43</v>
      </c>
      <c r="K865" t="s">
        <v>44</v>
      </c>
      <c r="L865" t="s">
        <v>53</v>
      </c>
      <c r="M865" t="s">
        <v>54</v>
      </c>
      <c r="N865" t="s">
        <v>51</v>
      </c>
      <c r="O865" t="s">
        <v>52</v>
      </c>
      <c r="P865" t="s">
        <v>43</v>
      </c>
      <c r="Q865" t="s">
        <v>44</v>
      </c>
      <c r="R865" s="1">
        <v>44315.67083333333</v>
      </c>
      <c r="S865" s="1">
        <v>44315.67083333333</v>
      </c>
      <c r="T865">
        <v>1</v>
      </c>
      <c r="U865">
        <v>1</v>
      </c>
      <c r="V865" s="2">
        <v>1</v>
      </c>
      <c r="W865">
        <v>0</v>
      </c>
      <c r="X865" t="s">
        <v>54</v>
      </c>
      <c r="Y865">
        <v>0</v>
      </c>
    </row>
    <row r="866" spans="1:25" x14ac:dyDescent="0.2">
      <c r="A866" t="s">
        <v>381</v>
      </c>
      <c r="B866" s="3">
        <v>44316</v>
      </c>
      <c r="C866">
        <v>83</v>
      </c>
      <c r="D866" t="s">
        <v>387</v>
      </c>
      <c r="E866" t="s">
        <v>48</v>
      </c>
      <c r="F866" s="9" t="s">
        <v>49</v>
      </c>
      <c r="G866" t="s">
        <v>50</v>
      </c>
      <c r="H866" t="s">
        <v>51</v>
      </c>
      <c r="I866" t="s">
        <v>52</v>
      </c>
      <c r="J866" t="s">
        <v>43</v>
      </c>
      <c r="K866" t="s">
        <v>44</v>
      </c>
      <c r="L866" t="s">
        <v>53</v>
      </c>
      <c r="M866" t="s">
        <v>54</v>
      </c>
      <c r="N866" t="s">
        <v>51</v>
      </c>
      <c r="O866" t="s">
        <v>52</v>
      </c>
      <c r="P866" t="s">
        <v>43</v>
      </c>
      <c r="Q866" t="s">
        <v>44</v>
      </c>
      <c r="R866" s="1">
        <v>44316.540347222224</v>
      </c>
      <c r="S866" s="1">
        <v>44316.540347222224</v>
      </c>
      <c r="T866">
        <v>1</v>
      </c>
      <c r="U866">
        <v>1</v>
      </c>
      <c r="V866" s="2">
        <v>1</v>
      </c>
      <c r="W866">
        <v>0</v>
      </c>
      <c r="X866" t="s">
        <v>54</v>
      </c>
      <c r="Y866">
        <v>0</v>
      </c>
    </row>
    <row r="867" spans="1:25" x14ac:dyDescent="0.2">
      <c r="A867" t="s">
        <v>381</v>
      </c>
      <c r="B867" s="3">
        <v>44319</v>
      </c>
      <c r="C867">
        <v>84</v>
      </c>
      <c r="D867" t="s">
        <v>390</v>
      </c>
      <c r="E867" t="s">
        <v>48</v>
      </c>
      <c r="F867" s="9" t="s">
        <v>49</v>
      </c>
      <c r="G867" t="s">
        <v>50</v>
      </c>
      <c r="H867" t="s">
        <v>51</v>
      </c>
      <c r="I867" t="s">
        <v>52</v>
      </c>
      <c r="J867" t="s">
        <v>43</v>
      </c>
      <c r="K867" t="s">
        <v>44</v>
      </c>
      <c r="L867" t="s">
        <v>53</v>
      </c>
      <c r="M867" t="s">
        <v>54</v>
      </c>
      <c r="N867" t="s">
        <v>51</v>
      </c>
      <c r="O867" t="s">
        <v>52</v>
      </c>
      <c r="P867" t="s">
        <v>43</v>
      </c>
      <c r="Q867" t="s">
        <v>44</v>
      </c>
      <c r="R867" s="1">
        <v>44319.37704861111</v>
      </c>
      <c r="S867" s="1">
        <v>44319.37704861111</v>
      </c>
      <c r="T867">
        <v>1</v>
      </c>
      <c r="U867">
        <v>1</v>
      </c>
      <c r="V867" s="2">
        <v>1</v>
      </c>
      <c r="W867">
        <v>0</v>
      </c>
      <c r="X867" t="s">
        <v>54</v>
      </c>
      <c r="Y867">
        <v>0</v>
      </c>
    </row>
    <row r="868" spans="1:25" x14ac:dyDescent="0.2">
      <c r="A868" t="s">
        <v>381</v>
      </c>
      <c r="B868" s="3">
        <v>44319</v>
      </c>
      <c r="C868">
        <v>85</v>
      </c>
      <c r="D868" t="s">
        <v>387</v>
      </c>
      <c r="E868" t="s">
        <v>48</v>
      </c>
      <c r="F868" s="9" t="s">
        <v>49</v>
      </c>
      <c r="G868" t="s">
        <v>50</v>
      </c>
      <c r="H868" t="s">
        <v>51</v>
      </c>
      <c r="I868" t="s">
        <v>52</v>
      </c>
      <c r="J868" t="s">
        <v>43</v>
      </c>
      <c r="K868" t="s">
        <v>44</v>
      </c>
      <c r="L868" t="s">
        <v>53</v>
      </c>
      <c r="M868" t="s">
        <v>54</v>
      </c>
      <c r="N868" t="s">
        <v>51</v>
      </c>
      <c r="O868" t="s">
        <v>52</v>
      </c>
      <c r="P868" t="s">
        <v>43</v>
      </c>
      <c r="Q868" t="s">
        <v>44</v>
      </c>
      <c r="R868" s="1">
        <v>44319.537939814814</v>
      </c>
      <c r="S868" s="1">
        <v>44319.537939814814</v>
      </c>
      <c r="T868">
        <v>1</v>
      </c>
      <c r="U868">
        <v>1</v>
      </c>
      <c r="V868" s="2">
        <v>1</v>
      </c>
      <c r="W868">
        <v>0</v>
      </c>
      <c r="X868" t="s">
        <v>54</v>
      </c>
      <c r="Y868">
        <v>0</v>
      </c>
    </row>
    <row r="869" spans="1:25" x14ac:dyDescent="0.2">
      <c r="A869" t="s">
        <v>381</v>
      </c>
      <c r="B869" s="3">
        <v>44320</v>
      </c>
      <c r="C869">
        <v>86</v>
      </c>
      <c r="D869" t="s">
        <v>412</v>
      </c>
      <c r="E869" t="s">
        <v>48</v>
      </c>
      <c r="F869" s="9" t="s">
        <v>49</v>
      </c>
      <c r="G869" t="s">
        <v>50</v>
      </c>
      <c r="H869" t="s">
        <v>51</v>
      </c>
      <c r="I869" t="s">
        <v>52</v>
      </c>
      <c r="J869" t="s">
        <v>43</v>
      </c>
      <c r="K869" t="s">
        <v>44</v>
      </c>
      <c r="L869" t="s">
        <v>53</v>
      </c>
      <c r="M869" t="s">
        <v>54</v>
      </c>
      <c r="N869" t="s">
        <v>51</v>
      </c>
      <c r="O869" t="s">
        <v>52</v>
      </c>
      <c r="P869" t="s">
        <v>43</v>
      </c>
      <c r="Q869" t="s">
        <v>44</v>
      </c>
      <c r="R869" s="1">
        <v>44320.487361111111</v>
      </c>
      <c r="S869" s="1">
        <v>44320.487361111111</v>
      </c>
      <c r="T869">
        <v>1</v>
      </c>
      <c r="U869">
        <v>1</v>
      </c>
      <c r="V869" s="2">
        <v>1</v>
      </c>
      <c r="W869">
        <v>0</v>
      </c>
      <c r="X869" t="s">
        <v>54</v>
      </c>
      <c r="Y869">
        <v>0</v>
      </c>
    </row>
    <row r="870" spans="1:25" x14ac:dyDescent="0.2">
      <c r="A870" t="s">
        <v>381</v>
      </c>
      <c r="B870" s="3">
        <v>44321</v>
      </c>
      <c r="C870">
        <v>88</v>
      </c>
      <c r="D870" t="s">
        <v>404</v>
      </c>
      <c r="E870" t="s">
        <v>48</v>
      </c>
      <c r="F870" s="9" t="s">
        <v>49</v>
      </c>
      <c r="G870" t="s">
        <v>50</v>
      </c>
      <c r="H870" t="s">
        <v>51</v>
      </c>
      <c r="I870" t="s">
        <v>52</v>
      </c>
      <c r="J870" t="s">
        <v>43</v>
      </c>
      <c r="K870" t="s">
        <v>44</v>
      </c>
      <c r="L870" t="s">
        <v>53</v>
      </c>
      <c r="M870" t="s">
        <v>54</v>
      </c>
      <c r="N870" t="s">
        <v>51</v>
      </c>
      <c r="O870" t="s">
        <v>52</v>
      </c>
      <c r="P870" t="s">
        <v>43</v>
      </c>
      <c r="Q870" t="s">
        <v>44</v>
      </c>
      <c r="R870" s="1">
        <v>44321.440613425926</v>
      </c>
      <c r="S870" s="1">
        <v>44321.440613425926</v>
      </c>
      <c r="T870">
        <v>1</v>
      </c>
      <c r="U870">
        <v>1</v>
      </c>
      <c r="V870" s="2">
        <v>1</v>
      </c>
      <c r="W870">
        <v>0</v>
      </c>
      <c r="X870" t="s">
        <v>54</v>
      </c>
      <c r="Y870">
        <v>0</v>
      </c>
    </row>
    <row r="871" spans="1:25" x14ac:dyDescent="0.2">
      <c r="A871" t="s">
        <v>381</v>
      </c>
      <c r="B871" s="3">
        <v>44321</v>
      </c>
      <c r="C871">
        <v>89</v>
      </c>
      <c r="D871" t="s">
        <v>387</v>
      </c>
      <c r="E871" t="s">
        <v>48</v>
      </c>
      <c r="F871" s="9" t="s">
        <v>49</v>
      </c>
      <c r="G871" t="s">
        <v>50</v>
      </c>
      <c r="H871" t="s">
        <v>51</v>
      </c>
      <c r="I871" t="s">
        <v>52</v>
      </c>
      <c r="J871" t="s">
        <v>43</v>
      </c>
      <c r="K871" t="s">
        <v>44</v>
      </c>
      <c r="L871" t="s">
        <v>53</v>
      </c>
      <c r="M871" t="s">
        <v>54</v>
      </c>
      <c r="N871" t="s">
        <v>51</v>
      </c>
      <c r="O871" t="s">
        <v>52</v>
      </c>
      <c r="P871" t="s">
        <v>43</v>
      </c>
      <c r="Q871" t="s">
        <v>44</v>
      </c>
      <c r="R871" s="1">
        <v>44321.534918981481</v>
      </c>
      <c r="S871" s="1">
        <v>44321.534918981481</v>
      </c>
      <c r="T871">
        <v>1</v>
      </c>
      <c r="U871">
        <v>1</v>
      </c>
      <c r="V871" s="2">
        <v>1</v>
      </c>
      <c r="W871">
        <v>0</v>
      </c>
      <c r="X871" t="s">
        <v>54</v>
      </c>
      <c r="Y871">
        <v>0</v>
      </c>
    </row>
    <row r="872" spans="1:25" x14ac:dyDescent="0.2">
      <c r="A872" t="s">
        <v>381</v>
      </c>
      <c r="B872" s="3">
        <v>44323</v>
      </c>
      <c r="C872">
        <v>91</v>
      </c>
      <c r="D872" t="s">
        <v>391</v>
      </c>
      <c r="E872" t="s">
        <v>48</v>
      </c>
      <c r="F872" s="9" t="s">
        <v>49</v>
      </c>
      <c r="G872" t="s">
        <v>50</v>
      </c>
      <c r="H872" t="s">
        <v>51</v>
      </c>
      <c r="I872" t="s">
        <v>52</v>
      </c>
      <c r="J872" t="s">
        <v>43</v>
      </c>
      <c r="K872" t="s">
        <v>44</v>
      </c>
      <c r="L872" t="s">
        <v>53</v>
      </c>
      <c r="M872" t="s">
        <v>54</v>
      </c>
      <c r="N872" t="s">
        <v>51</v>
      </c>
      <c r="O872" t="s">
        <v>52</v>
      </c>
      <c r="P872" t="s">
        <v>43</v>
      </c>
      <c r="Q872" t="s">
        <v>44</v>
      </c>
      <c r="R872" s="1">
        <v>44323.559398148151</v>
      </c>
      <c r="S872" s="1">
        <v>44323.559398148151</v>
      </c>
      <c r="T872">
        <v>1</v>
      </c>
      <c r="U872">
        <v>1</v>
      </c>
      <c r="V872" s="2">
        <v>1</v>
      </c>
      <c r="W872">
        <v>0</v>
      </c>
      <c r="X872" t="s">
        <v>54</v>
      </c>
      <c r="Y872">
        <v>0</v>
      </c>
    </row>
    <row r="873" spans="1:25" x14ac:dyDescent="0.2">
      <c r="A873" t="s">
        <v>381</v>
      </c>
      <c r="B873" s="3">
        <v>44326</v>
      </c>
      <c r="C873">
        <v>92</v>
      </c>
      <c r="D873" t="s">
        <v>390</v>
      </c>
      <c r="E873" t="s">
        <v>48</v>
      </c>
      <c r="F873" s="9" t="s">
        <v>49</v>
      </c>
      <c r="G873" t="s">
        <v>50</v>
      </c>
      <c r="H873" t="s">
        <v>51</v>
      </c>
      <c r="I873" t="s">
        <v>52</v>
      </c>
      <c r="J873" t="s">
        <v>43</v>
      </c>
      <c r="K873" t="s">
        <v>44</v>
      </c>
      <c r="L873" t="s">
        <v>53</v>
      </c>
      <c r="M873" t="s">
        <v>54</v>
      </c>
      <c r="N873" t="s">
        <v>51</v>
      </c>
      <c r="O873" t="s">
        <v>52</v>
      </c>
      <c r="P873" t="s">
        <v>43</v>
      </c>
      <c r="Q873" t="s">
        <v>44</v>
      </c>
      <c r="R873" s="1">
        <v>44326.379293981481</v>
      </c>
      <c r="S873" s="1">
        <v>44326.379293981481</v>
      </c>
      <c r="T873">
        <v>1</v>
      </c>
      <c r="U873">
        <v>1</v>
      </c>
      <c r="V873" s="2">
        <v>1</v>
      </c>
      <c r="W873">
        <v>0</v>
      </c>
      <c r="X873" t="s">
        <v>54</v>
      </c>
      <c r="Y873">
        <v>0</v>
      </c>
    </row>
    <row r="874" spans="1:25" x14ac:dyDescent="0.2">
      <c r="A874" t="s">
        <v>381</v>
      </c>
      <c r="B874" s="3">
        <v>44328</v>
      </c>
      <c r="C874">
        <v>97</v>
      </c>
      <c r="D874" t="s">
        <v>387</v>
      </c>
      <c r="E874" t="s">
        <v>48</v>
      </c>
      <c r="F874" s="9" t="s">
        <v>49</v>
      </c>
      <c r="G874" t="s">
        <v>50</v>
      </c>
      <c r="H874" t="s">
        <v>51</v>
      </c>
      <c r="I874" t="s">
        <v>52</v>
      </c>
      <c r="J874" t="s">
        <v>43</v>
      </c>
      <c r="K874" t="s">
        <v>44</v>
      </c>
      <c r="L874" t="s">
        <v>53</v>
      </c>
      <c r="M874" t="s">
        <v>54</v>
      </c>
      <c r="N874" t="s">
        <v>51</v>
      </c>
      <c r="O874" t="s">
        <v>52</v>
      </c>
      <c r="P874" t="s">
        <v>43</v>
      </c>
      <c r="Q874" t="s">
        <v>44</v>
      </c>
      <c r="R874" s="1">
        <v>44328.541319444441</v>
      </c>
      <c r="S874" s="1">
        <v>44328.541319444441</v>
      </c>
      <c r="T874">
        <v>1</v>
      </c>
      <c r="U874">
        <v>1</v>
      </c>
      <c r="V874" s="2">
        <v>1</v>
      </c>
      <c r="W874">
        <v>0</v>
      </c>
      <c r="X874" t="s">
        <v>54</v>
      </c>
      <c r="Y874">
        <v>0</v>
      </c>
    </row>
    <row r="875" spans="1:25" x14ac:dyDescent="0.2">
      <c r="A875" t="s">
        <v>381</v>
      </c>
      <c r="B875" s="3">
        <v>44334</v>
      </c>
      <c r="C875">
        <v>99</v>
      </c>
      <c r="D875" t="s">
        <v>385</v>
      </c>
      <c r="E875" t="s">
        <v>48</v>
      </c>
      <c r="F875" s="9" t="s">
        <v>49</v>
      </c>
      <c r="G875" t="s">
        <v>50</v>
      </c>
      <c r="H875" t="s">
        <v>51</v>
      </c>
      <c r="I875" t="s">
        <v>52</v>
      </c>
      <c r="J875" t="s">
        <v>43</v>
      </c>
      <c r="K875" t="s">
        <v>44</v>
      </c>
      <c r="L875" t="s">
        <v>53</v>
      </c>
      <c r="M875" t="s">
        <v>54</v>
      </c>
      <c r="N875" t="s">
        <v>51</v>
      </c>
      <c r="O875" t="s">
        <v>52</v>
      </c>
      <c r="P875" t="s">
        <v>43</v>
      </c>
      <c r="Q875" t="s">
        <v>44</v>
      </c>
      <c r="R875" s="1">
        <v>44334.5703587963</v>
      </c>
      <c r="S875" s="1">
        <v>44334.5703587963</v>
      </c>
      <c r="T875">
        <v>1</v>
      </c>
      <c r="U875">
        <v>1</v>
      </c>
      <c r="V875" s="2">
        <v>1</v>
      </c>
      <c r="W875">
        <v>0</v>
      </c>
      <c r="X875" t="s">
        <v>54</v>
      </c>
      <c r="Y875">
        <v>0</v>
      </c>
    </row>
    <row r="876" spans="1:25" x14ac:dyDescent="0.2">
      <c r="A876" t="s">
        <v>381</v>
      </c>
      <c r="B876" s="3">
        <v>44335</v>
      </c>
      <c r="C876">
        <v>100</v>
      </c>
      <c r="D876" t="s">
        <v>398</v>
      </c>
      <c r="E876" t="s">
        <v>48</v>
      </c>
      <c r="F876" s="9" t="s">
        <v>49</v>
      </c>
      <c r="G876" t="s">
        <v>50</v>
      </c>
      <c r="H876" t="s">
        <v>51</v>
      </c>
      <c r="I876" t="s">
        <v>52</v>
      </c>
      <c r="J876" t="s">
        <v>43</v>
      </c>
      <c r="K876" t="s">
        <v>44</v>
      </c>
      <c r="L876" t="s">
        <v>53</v>
      </c>
      <c r="M876" t="s">
        <v>54</v>
      </c>
      <c r="N876" t="s">
        <v>51</v>
      </c>
      <c r="O876" t="s">
        <v>52</v>
      </c>
      <c r="P876" t="s">
        <v>43</v>
      </c>
      <c r="Q876" t="s">
        <v>44</v>
      </c>
      <c r="R876" s="1">
        <v>44335.485879629632</v>
      </c>
      <c r="S876" s="1">
        <v>44335.485879629632</v>
      </c>
      <c r="T876">
        <v>1</v>
      </c>
      <c r="U876">
        <v>1</v>
      </c>
      <c r="V876" s="2">
        <v>1</v>
      </c>
      <c r="W876">
        <v>0</v>
      </c>
      <c r="X876" t="s">
        <v>54</v>
      </c>
      <c r="Y876">
        <v>0</v>
      </c>
    </row>
    <row r="877" spans="1:25" x14ac:dyDescent="0.2">
      <c r="A877" t="s">
        <v>381</v>
      </c>
      <c r="B877" s="3">
        <v>44336</v>
      </c>
      <c r="C877">
        <v>102</v>
      </c>
      <c r="D877" t="s">
        <v>383</v>
      </c>
      <c r="E877" t="s">
        <v>48</v>
      </c>
      <c r="F877" s="9" t="s">
        <v>49</v>
      </c>
      <c r="G877" t="s">
        <v>50</v>
      </c>
      <c r="H877" t="s">
        <v>51</v>
      </c>
      <c r="I877" t="s">
        <v>52</v>
      </c>
      <c r="J877" t="s">
        <v>43</v>
      </c>
      <c r="K877" t="s">
        <v>44</v>
      </c>
      <c r="L877" t="s">
        <v>53</v>
      </c>
      <c r="M877" t="s">
        <v>54</v>
      </c>
      <c r="N877" t="s">
        <v>51</v>
      </c>
      <c r="O877" t="s">
        <v>52</v>
      </c>
      <c r="P877" t="s">
        <v>43</v>
      </c>
      <c r="Q877" t="s">
        <v>44</v>
      </c>
      <c r="R877" s="1">
        <v>44336.489351851851</v>
      </c>
      <c r="S877" s="1">
        <v>44336.489351851851</v>
      </c>
      <c r="T877">
        <v>1</v>
      </c>
      <c r="U877">
        <v>1</v>
      </c>
      <c r="V877" s="2">
        <v>1</v>
      </c>
      <c r="W877">
        <v>0</v>
      </c>
      <c r="X877" t="s">
        <v>54</v>
      </c>
      <c r="Y877">
        <v>0</v>
      </c>
    </row>
    <row r="878" spans="1:25" x14ac:dyDescent="0.2">
      <c r="A878" t="s">
        <v>381</v>
      </c>
      <c r="B878" s="3">
        <v>44337</v>
      </c>
      <c r="C878">
        <v>104</v>
      </c>
      <c r="D878" t="s">
        <v>390</v>
      </c>
      <c r="E878" t="s">
        <v>48</v>
      </c>
      <c r="F878" s="9" t="s">
        <v>49</v>
      </c>
      <c r="G878" t="s">
        <v>50</v>
      </c>
      <c r="H878" t="s">
        <v>51</v>
      </c>
      <c r="I878" t="s">
        <v>52</v>
      </c>
      <c r="J878" t="s">
        <v>43</v>
      </c>
      <c r="K878" t="s">
        <v>44</v>
      </c>
      <c r="L878" t="s">
        <v>53</v>
      </c>
      <c r="M878" t="s">
        <v>54</v>
      </c>
      <c r="N878" t="s">
        <v>51</v>
      </c>
      <c r="O878" t="s">
        <v>52</v>
      </c>
      <c r="P878" t="s">
        <v>43</v>
      </c>
      <c r="Q878" t="s">
        <v>44</v>
      </c>
      <c r="R878" s="1">
        <v>44337.376400462963</v>
      </c>
      <c r="S878" s="1">
        <v>44337.376400462963</v>
      </c>
      <c r="T878">
        <v>1</v>
      </c>
      <c r="U878">
        <v>1</v>
      </c>
      <c r="V878" s="2">
        <v>1</v>
      </c>
      <c r="W878">
        <v>0</v>
      </c>
      <c r="X878" t="s">
        <v>54</v>
      </c>
      <c r="Y878">
        <v>0</v>
      </c>
    </row>
    <row r="879" spans="1:25" x14ac:dyDescent="0.2">
      <c r="A879" t="s">
        <v>381</v>
      </c>
      <c r="B879" s="3">
        <v>44337</v>
      </c>
      <c r="C879">
        <v>105</v>
      </c>
      <c r="D879" t="s">
        <v>405</v>
      </c>
      <c r="E879" t="s">
        <v>48</v>
      </c>
      <c r="F879" s="9" t="s">
        <v>49</v>
      </c>
      <c r="G879" t="s">
        <v>50</v>
      </c>
      <c r="H879" t="s">
        <v>51</v>
      </c>
      <c r="I879" t="s">
        <v>52</v>
      </c>
      <c r="J879" t="s">
        <v>43</v>
      </c>
      <c r="K879" t="s">
        <v>44</v>
      </c>
      <c r="L879" t="s">
        <v>53</v>
      </c>
      <c r="M879" t="s">
        <v>54</v>
      </c>
      <c r="N879" t="s">
        <v>51</v>
      </c>
      <c r="O879" t="s">
        <v>52</v>
      </c>
      <c r="P879" t="s">
        <v>43</v>
      </c>
      <c r="Q879" t="s">
        <v>44</v>
      </c>
      <c r="R879" s="1">
        <v>44337.662210648145</v>
      </c>
      <c r="S879" s="1">
        <v>44337.662210648145</v>
      </c>
      <c r="T879">
        <v>1</v>
      </c>
      <c r="U879">
        <v>1</v>
      </c>
      <c r="V879" s="2">
        <v>1</v>
      </c>
      <c r="W879">
        <v>0</v>
      </c>
      <c r="X879" t="s">
        <v>54</v>
      </c>
      <c r="Y879">
        <v>0</v>
      </c>
    </row>
    <row r="880" spans="1:25" x14ac:dyDescent="0.2">
      <c r="A880" t="s">
        <v>381</v>
      </c>
      <c r="B880" s="3">
        <v>44338</v>
      </c>
      <c r="C880">
        <v>107</v>
      </c>
      <c r="D880" t="s">
        <v>392</v>
      </c>
      <c r="E880" t="s">
        <v>48</v>
      </c>
      <c r="F880" s="9" t="s">
        <v>49</v>
      </c>
      <c r="G880" t="s">
        <v>50</v>
      </c>
      <c r="H880" t="s">
        <v>51</v>
      </c>
      <c r="I880" t="s">
        <v>52</v>
      </c>
      <c r="J880" t="s">
        <v>43</v>
      </c>
      <c r="K880" t="s">
        <v>44</v>
      </c>
      <c r="L880" t="s">
        <v>53</v>
      </c>
      <c r="M880" t="s">
        <v>54</v>
      </c>
      <c r="N880" t="s">
        <v>51</v>
      </c>
      <c r="O880" t="s">
        <v>52</v>
      </c>
      <c r="P880" t="s">
        <v>43</v>
      </c>
      <c r="Q880" t="s">
        <v>44</v>
      </c>
      <c r="R880" s="1">
        <v>44338.622824074075</v>
      </c>
      <c r="S880" s="1">
        <v>44338.622824074075</v>
      </c>
      <c r="T880">
        <v>1</v>
      </c>
      <c r="U880">
        <v>1</v>
      </c>
      <c r="V880" s="2">
        <v>1</v>
      </c>
      <c r="W880">
        <v>0</v>
      </c>
      <c r="X880" t="s">
        <v>54</v>
      </c>
      <c r="Y880">
        <v>0</v>
      </c>
    </row>
    <row r="881" spans="1:25" x14ac:dyDescent="0.2">
      <c r="A881" t="s">
        <v>381</v>
      </c>
      <c r="B881" s="3">
        <v>44342</v>
      </c>
      <c r="C881">
        <v>112</v>
      </c>
      <c r="D881" t="s">
        <v>394</v>
      </c>
      <c r="E881" t="s">
        <v>48</v>
      </c>
      <c r="F881" s="9" t="s">
        <v>49</v>
      </c>
      <c r="G881" t="s">
        <v>50</v>
      </c>
      <c r="H881" t="s">
        <v>51</v>
      </c>
      <c r="I881" t="s">
        <v>52</v>
      </c>
      <c r="J881" t="s">
        <v>43</v>
      </c>
      <c r="K881" t="s">
        <v>44</v>
      </c>
      <c r="L881" t="s">
        <v>53</v>
      </c>
      <c r="M881" t="s">
        <v>54</v>
      </c>
      <c r="N881" t="s">
        <v>51</v>
      </c>
      <c r="O881" t="s">
        <v>52</v>
      </c>
      <c r="P881" t="s">
        <v>43</v>
      </c>
      <c r="Q881" t="s">
        <v>44</v>
      </c>
      <c r="R881" s="1">
        <v>44342.494490740741</v>
      </c>
      <c r="S881" s="1">
        <v>44342.494490740741</v>
      </c>
      <c r="T881">
        <v>1</v>
      </c>
      <c r="U881">
        <v>1</v>
      </c>
      <c r="V881" s="2">
        <v>1</v>
      </c>
      <c r="W881">
        <v>0</v>
      </c>
      <c r="X881" t="s">
        <v>54</v>
      </c>
      <c r="Y881">
        <v>0</v>
      </c>
    </row>
    <row r="882" spans="1:25" x14ac:dyDescent="0.2">
      <c r="A882" t="s">
        <v>381</v>
      </c>
      <c r="B882" s="3">
        <v>44343</v>
      </c>
      <c r="C882">
        <v>115</v>
      </c>
      <c r="D882" t="s">
        <v>395</v>
      </c>
      <c r="E882" t="s">
        <v>48</v>
      </c>
      <c r="F882" s="9" t="s">
        <v>49</v>
      </c>
      <c r="G882" t="s">
        <v>50</v>
      </c>
      <c r="H882" t="s">
        <v>51</v>
      </c>
      <c r="I882" t="s">
        <v>52</v>
      </c>
      <c r="J882" t="s">
        <v>43</v>
      </c>
      <c r="K882" t="s">
        <v>44</v>
      </c>
      <c r="L882" t="s">
        <v>53</v>
      </c>
      <c r="M882" t="s">
        <v>54</v>
      </c>
      <c r="N882" t="s">
        <v>51</v>
      </c>
      <c r="O882" t="s">
        <v>52</v>
      </c>
      <c r="P882" t="s">
        <v>43</v>
      </c>
      <c r="Q882" t="s">
        <v>44</v>
      </c>
      <c r="R882" s="1">
        <v>44343.485254629632</v>
      </c>
      <c r="S882" s="1">
        <v>44343.485254629632</v>
      </c>
      <c r="T882">
        <v>1</v>
      </c>
      <c r="U882">
        <v>1</v>
      </c>
      <c r="V882" s="2">
        <v>1</v>
      </c>
      <c r="W882">
        <v>0</v>
      </c>
      <c r="X882" t="s">
        <v>54</v>
      </c>
      <c r="Y882">
        <v>0</v>
      </c>
    </row>
    <row r="883" spans="1:25" x14ac:dyDescent="0.2">
      <c r="A883" t="s">
        <v>381</v>
      </c>
      <c r="B883" s="3">
        <v>44344</v>
      </c>
      <c r="C883">
        <v>116</v>
      </c>
      <c r="D883" t="s">
        <v>390</v>
      </c>
      <c r="E883" t="s">
        <v>48</v>
      </c>
      <c r="F883" s="9" t="s">
        <v>49</v>
      </c>
      <c r="G883" t="s">
        <v>50</v>
      </c>
      <c r="H883" t="s">
        <v>51</v>
      </c>
      <c r="I883" t="s">
        <v>52</v>
      </c>
      <c r="J883" t="s">
        <v>43</v>
      </c>
      <c r="K883" t="s">
        <v>44</v>
      </c>
      <c r="L883" t="s">
        <v>53</v>
      </c>
      <c r="M883" t="s">
        <v>54</v>
      </c>
      <c r="N883" t="s">
        <v>51</v>
      </c>
      <c r="O883" t="s">
        <v>52</v>
      </c>
      <c r="P883" t="s">
        <v>43</v>
      </c>
      <c r="Q883" t="s">
        <v>44</v>
      </c>
      <c r="R883" s="1">
        <v>44344.380648148152</v>
      </c>
      <c r="S883" s="1">
        <v>44344.380648148152</v>
      </c>
      <c r="T883">
        <v>1</v>
      </c>
      <c r="U883">
        <v>1</v>
      </c>
      <c r="V883" s="2">
        <v>1</v>
      </c>
      <c r="W883">
        <v>0</v>
      </c>
      <c r="X883" t="s">
        <v>54</v>
      </c>
      <c r="Y883">
        <v>0</v>
      </c>
    </row>
    <row r="884" spans="1:25" x14ac:dyDescent="0.2">
      <c r="A884" t="s">
        <v>381</v>
      </c>
      <c r="B884" s="3">
        <v>44344</v>
      </c>
      <c r="C884">
        <v>117</v>
      </c>
      <c r="D884" t="s">
        <v>409</v>
      </c>
      <c r="E884" t="s">
        <v>48</v>
      </c>
      <c r="F884" s="9" t="s">
        <v>49</v>
      </c>
      <c r="G884" t="s">
        <v>50</v>
      </c>
      <c r="H884" t="s">
        <v>51</v>
      </c>
      <c r="I884" t="s">
        <v>52</v>
      </c>
      <c r="J884" t="s">
        <v>43</v>
      </c>
      <c r="K884" t="s">
        <v>44</v>
      </c>
      <c r="L884" t="s">
        <v>53</v>
      </c>
      <c r="M884" t="s">
        <v>54</v>
      </c>
      <c r="N884" t="s">
        <v>51</v>
      </c>
      <c r="O884" t="s">
        <v>52</v>
      </c>
      <c r="P884" t="s">
        <v>43</v>
      </c>
      <c r="Q884" t="s">
        <v>44</v>
      </c>
      <c r="R884" s="1">
        <v>44344.664293981485</v>
      </c>
      <c r="S884" s="1">
        <v>44344.664293981485</v>
      </c>
      <c r="T884">
        <v>1</v>
      </c>
      <c r="U884">
        <v>1</v>
      </c>
      <c r="V884" s="2">
        <v>1</v>
      </c>
      <c r="W884">
        <v>0</v>
      </c>
      <c r="X884" t="s">
        <v>54</v>
      </c>
      <c r="Y884">
        <v>0</v>
      </c>
    </row>
    <row r="885" spans="1:25" x14ac:dyDescent="0.2">
      <c r="A885" t="s">
        <v>381</v>
      </c>
      <c r="B885" s="3">
        <v>44350</v>
      </c>
      <c r="C885">
        <v>123</v>
      </c>
      <c r="D885" t="s">
        <v>382</v>
      </c>
      <c r="E885" t="s">
        <v>48</v>
      </c>
      <c r="F885" s="9" t="s">
        <v>49</v>
      </c>
      <c r="G885" t="s">
        <v>50</v>
      </c>
      <c r="H885" t="s">
        <v>51</v>
      </c>
      <c r="I885" t="s">
        <v>52</v>
      </c>
      <c r="J885" t="s">
        <v>43</v>
      </c>
      <c r="K885" t="s">
        <v>44</v>
      </c>
      <c r="L885" t="s">
        <v>53</v>
      </c>
      <c r="M885" t="s">
        <v>54</v>
      </c>
      <c r="N885" t="s">
        <v>51</v>
      </c>
      <c r="O885" t="s">
        <v>52</v>
      </c>
      <c r="P885" t="s">
        <v>43</v>
      </c>
      <c r="Q885" t="s">
        <v>44</v>
      </c>
      <c r="R885" s="1">
        <v>44350.368402777778</v>
      </c>
      <c r="S885" s="1">
        <v>44350.368402777778</v>
      </c>
      <c r="T885">
        <v>1</v>
      </c>
      <c r="U885">
        <v>1</v>
      </c>
      <c r="V885" s="2">
        <v>1</v>
      </c>
      <c r="W885">
        <v>0</v>
      </c>
      <c r="X885" t="s">
        <v>54</v>
      </c>
      <c r="Y885">
        <v>0</v>
      </c>
    </row>
    <row r="886" spans="1:25" x14ac:dyDescent="0.2">
      <c r="A886" t="s">
        <v>381</v>
      </c>
      <c r="B886" s="3">
        <v>44351</v>
      </c>
      <c r="C886">
        <v>124</v>
      </c>
      <c r="D886" t="s">
        <v>390</v>
      </c>
      <c r="E886" t="s">
        <v>48</v>
      </c>
      <c r="F886" s="9" t="s">
        <v>49</v>
      </c>
      <c r="G886" t="s">
        <v>50</v>
      </c>
      <c r="H886" t="s">
        <v>51</v>
      </c>
      <c r="I886" t="s">
        <v>52</v>
      </c>
      <c r="J886" t="s">
        <v>43</v>
      </c>
      <c r="K886" t="s">
        <v>44</v>
      </c>
      <c r="L886" t="s">
        <v>53</v>
      </c>
      <c r="M886" t="s">
        <v>54</v>
      </c>
      <c r="N886" t="s">
        <v>51</v>
      </c>
      <c r="O886" t="s">
        <v>52</v>
      </c>
      <c r="P886" t="s">
        <v>43</v>
      </c>
      <c r="Q886" t="s">
        <v>44</v>
      </c>
      <c r="R886" s="1">
        <v>44351.377164351848</v>
      </c>
      <c r="S886" s="1">
        <v>44351.377164351848</v>
      </c>
      <c r="T886">
        <v>1</v>
      </c>
      <c r="U886">
        <v>1</v>
      </c>
      <c r="V886" s="2">
        <v>1</v>
      </c>
      <c r="W886">
        <v>0</v>
      </c>
      <c r="X886" t="s">
        <v>54</v>
      </c>
      <c r="Y886">
        <v>0</v>
      </c>
    </row>
    <row r="887" spans="1:25" x14ac:dyDescent="0.2">
      <c r="A887" t="s">
        <v>381</v>
      </c>
      <c r="B887" s="3">
        <v>44351</v>
      </c>
      <c r="C887">
        <v>125</v>
      </c>
      <c r="D887" t="s">
        <v>387</v>
      </c>
      <c r="E887" t="s">
        <v>48</v>
      </c>
      <c r="F887" s="9" t="s">
        <v>49</v>
      </c>
      <c r="G887" t="s">
        <v>50</v>
      </c>
      <c r="H887" t="s">
        <v>51</v>
      </c>
      <c r="I887" t="s">
        <v>52</v>
      </c>
      <c r="J887" t="s">
        <v>43</v>
      </c>
      <c r="K887" t="s">
        <v>44</v>
      </c>
      <c r="L887" t="s">
        <v>53</v>
      </c>
      <c r="M887" t="s">
        <v>54</v>
      </c>
      <c r="N887" t="s">
        <v>51</v>
      </c>
      <c r="O887" t="s">
        <v>52</v>
      </c>
      <c r="P887" t="s">
        <v>43</v>
      </c>
      <c r="Q887" t="s">
        <v>44</v>
      </c>
      <c r="R887" s="1">
        <v>44351.53833333333</v>
      </c>
      <c r="S887" s="1">
        <v>44351.53833333333</v>
      </c>
      <c r="T887">
        <v>1</v>
      </c>
      <c r="U887">
        <v>1</v>
      </c>
      <c r="V887" s="2">
        <v>1</v>
      </c>
      <c r="W887">
        <v>0</v>
      </c>
      <c r="X887" t="s">
        <v>54</v>
      </c>
      <c r="Y887">
        <v>0</v>
      </c>
    </row>
    <row r="888" spans="1:25" x14ac:dyDescent="0.2">
      <c r="A888" t="s">
        <v>381</v>
      </c>
      <c r="B888" s="3">
        <v>44356</v>
      </c>
      <c r="C888">
        <v>130</v>
      </c>
      <c r="D888" t="s">
        <v>398</v>
      </c>
      <c r="E888" t="s">
        <v>48</v>
      </c>
      <c r="F888" s="9" t="s">
        <v>49</v>
      </c>
      <c r="G888" t="s">
        <v>50</v>
      </c>
      <c r="H888" t="s">
        <v>51</v>
      </c>
      <c r="I888" t="s">
        <v>52</v>
      </c>
      <c r="J888" t="s">
        <v>43</v>
      </c>
      <c r="K888" t="s">
        <v>44</v>
      </c>
      <c r="L888" t="s">
        <v>53</v>
      </c>
      <c r="M888" t="s">
        <v>54</v>
      </c>
      <c r="N888" t="s">
        <v>51</v>
      </c>
      <c r="O888" t="s">
        <v>52</v>
      </c>
      <c r="P888" t="s">
        <v>43</v>
      </c>
      <c r="Q888" t="s">
        <v>44</v>
      </c>
      <c r="R888" s="1">
        <v>44356.487291666665</v>
      </c>
      <c r="S888" s="1">
        <v>44356.487291666665</v>
      </c>
      <c r="T888">
        <v>1</v>
      </c>
      <c r="U888">
        <v>1</v>
      </c>
      <c r="V888" s="2">
        <v>1</v>
      </c>
      <c r="W888">
        <v>0</v>
      </c>
      <c r="X888" t="s">
        <v>54</v>
      </c>
      <c r="Y888">
        <v>0</v>
      </c>
    </row>
    <row r="889" spans="1:25" x14ac:dyDescent="0.2">
      <c r="A889" t="s">
        <v>381</v>
      </c>
      <c r="B889" s="3">
        <v>44357</v>
      </c>
      <c r="C889">
        <v>132</v>
      </c>
      <c r="D889" t="s">
        <v>399</v>
      </c>
      <c r="E889" t="s">
        <v>48</v>
      </c>
      <c r="F889" s="9" t="s">
        <v>49</v>
      </c>
      <c r="G889" t="s">
        <v>50</v>
      </c>
      <c r="H889" t="s">
        <v>51</v>
      </c>
      <c r="I889" t="s">
        <v>52</v>
      </c>
      <c r="J889" t="s">
        <v>43</v>
      </c>
      <c r="K889" t="s">
        <v>44</v>
      </c>
      <c r="L889" t="s">
        <v>53</v>
      </c>
      <c r="M889" t="s">
        <v>54</v>
      </c>
      <c r="N889" t="s">
        <v>51</v>
      </c>
      <c r="O889" t="s">
        <v>52</v>
      </c>
      <c r="P889" t="s">
        <v>43</v>
      </c>
      <c r="Q889" t="s">
        <v>44</v>
      </c>
      <c r="R889" s="1">
        <v>44357.41207175926</v>
      </c>
      <c r="S889" s="1">
        <v>44357.41207175926</v>
      </c>
      <c r="T889">
        <v>1</v>
      </c>
      <c r="U889">
        <v>1</v>
      </c>
      <c r="V889" s="2">
        <v>1</v>
      </c>
      <c r="W889">
        <v>0</v>
      </c>
      <c r="X889" t="s">
        <v>54</v>
      </c>
      <c r="Y889">
        <v>0</v>
      </c>
    </row>
    <row r="890" spans="1:25" x14ac:dyDescent="0.2">
      <c r="A890" t="s">
        <v>381</v>
      </c>
      <c r="B890" s="3">
        <v>44358</v>
      </c>
      <c r="C890">
        <v>133</v>
      </c>
      <c r="D890" t="s">
        <v>390</v>
      </c>
      <c r="E890" t="s">
        <v>48</v>
      </c>
      <c r="F890" s="9" t="s">
        <v>49</v>
      </c>
      <c r="G890" t="s">
        <v>50</v>
      </c>
      <c r="H890" t="s">
        <v>51</v>
      </c>
      <c r="I890" t="s">
        <v>52</v>
      </c>
      <c r="J890" t="s">
        <v>43</v>
      </c>
      <c r="K890" t="s">
        <v>44</v>
      </c>
      <c r="L890" t="s">
        <v>53</v>
      </c>
      <c r="M890" t="s">
        <v>54</v>
      </c>
      <c r="N890" t="s">
        <v>51</v>
      </c>
      <c r="O890" t="s">
        <v>52</v>
      </c>
      <c r="P890" t="s">
        <v>43</v>
      </c>
      <c r="Q890" t="s">
        <v>44</v>
      </c>
      <c r="R890" s="1">
        <v>44358.388807870368</v>
      </c>
      <c r="S890" s="1">
        <v>44358.388807870368</v>
      </c>
      <c r="T890">
        <v>1</v>
      </c>
      <c r="U890">
        <v>1</v>
      </c>
      <c r="V890" s="2">
        <v>1</v>
      </c>
      <c r="W890">
        <v>0</v>
      </c>
      <c r="X890" t="s">
        <v>54</v>
      </c>
      <c r="Y890">
        <v>0</v>
      </c>
    </row>
    <row r="891" spans="1:25" x14ac:dyDescent="0.2">
      <c r="A891" t="s">
        <v>381</v>
      </c>
      <c r="B891" s="3">
        <v>44361</v>
      </c>
      <c r="C891">
        <v>135</v>
      </c>
      <c r="D891" t="s">
        <v>390</v>
      </c>
      <c r="E891" t="s">
        <v>48</v>
      </c>
      <c r="F891" s="9" t="s">
        <v>49</v>
      </c>
      <c r="G891" t="s">
        <v>50</v>
      </c>
      <c r="H891" t="s">
        <v>51</v>
      </c>
      <c r="I891" t="s">
        <v>52</v>
      </c>
      <c r="J891" t="s">
        <v>43</v>
      </c>
      <c r="K891" t="s">
        <v>44</v>
      </c>
      <c r="L891" t="s">
        <v>53</v>
      </c>
      <c r="M891" t="s">
        <v>54</v>
      </c>
      <c r="N891" t="s">
        <v>51</v>
      </c>
      <c r="O891" t="s">
        <v>52</v>
      </c>
      <c r="P891" t="s">
        <v>43</v>
      </c>
      <c r="Q891" t="s">
        <v>44</v>
      </c>
      <c r="R891" s="1">
        <v>44361.37840277778</v>
      </c>
      <c r="S891" s="1">
        <v>44361.37840277778</v>
      </c>
      <c r="T891">
        <v>1</v>
      </c>
      <c r="U891">
        <v>1</v>
      </c>
      <c r="V891" s="2">
        <v>1</v>
      </c>
      <c r="W891">
        <v>0</v>
      </c>
      <c r="X891" t="s">
        <v>54</v>
      </c>
      <c r="Y891">
        <v>0</v>
      </c>
    </row>
    <row r="892" spans="1:25" x14ac:dyDescent="0.2">
      <c r="A892" t="s">
        <v>381</v>
      </c>
      <c r="B892" s="3">
        <v>44361</v>
      </c>
      <c r="C892">
        <v>136</v>
      </c>
      <c r="D892" t="s">
        <v>383</v>
      </c>
      <c r="E892" t="s">
        <v>48</v>
      </c>
      <c r="F892" s="9" t="s">
        <v>49</v>
      </c>
      <c r="G892" t="s">
        <v>50</v>
      </c>
      <c r="H892" t="s">
        <v>51</v>
      </c>
      <c r="I892" t="s">
        <v>52</v>
      </c>
      <c r="J892" t="s">
        <v>43</v>
      </c>
      <c r="K892" t="s">
        <v>44</v>
      </c>
      <c r="L892" t="s">
        <v>53</v>
      </c>
      <c r="M892" t="s">
        <v>54</v>
      </c>
      <c r="N892" t="s">
        <v>51</v>
      </c>
      <c r="O892" t="s">
        <v>52</v>
      </c>
      <c r="P892" t="s">
        <v>43</v>
      </c>
      <c r="Q892" t="s">
        <v>44</v>
      </c>
      <c r="R892" s="1">
        <v>44361.634317129632</v>
      </c>
      <c r="S892" s="1">
        <v>44361.634317129632</v>
      </c>
      <c r="T892">
        <v>1</v>
      </c>
      <c r="U892">
        <v>1</v>
      </c>
      <c r="V892" s="2">
        <v>1</v>
      </c>
      <c r="W892">
        <v>0</v>
      </c>
      <c r="X892" t="s">
        <v>54</v>
      </c>
      <c r="Y892">
        <v>0</v>
      </c>
    </row>
    <row r="893" spans="1:25" x14ac:dyDescent="0.2">
      <c r="A893" t="s">
        <v>381</v>
      </c>
      <c r="B893" s="3">
        <v>44364</v>
      </c>
      <c r="C893">
        <v>138</v>
      </c>
      <c r="D893" t="s">
        <v>399</v>
      </c>
      <c r="E893" t="s">
        <v>48</v>
      </c>
      <c r="F893" s="9" t="s">
        <v>49</v>
      </c>
      <c r="G893" t="s">
        <v>50</v>
      </c>
      <c r="H893" t="s">
        <v>51</v>
      </c>
      <c r="I893" t="s">
        <v>52</v>
      </c>
      <c r="J893" t="s">
        <v>43</v>
      </c>
      <c r="K893" t="s">
        <v>44</v>
      </c>
      <c r="L893" t="s">
        <v>53</v>
      </c>
      <c r="M893" t="s">
        <v>54</v>
      </c>
      <c r="N893" t="s">
        <v>51</v>
      </c>
      <c r="O893" t="s">
        <v>52</v>
      </c>
      <c r="P893" t="s">
        <v>43</v>
      </c>
      <c r="Q893" t="s">
        <v>44</v>
      </c>
      <c r="R893" s="1">
        <v>44364.43954861111</v>
      </c>
      <c r="S893" s="1">
        <v>44364.43954861111</v>
      </c>
      <c r="T893">
        <v>1</v>
      </c>
      <c r="U893">
        <v>1</v>
      </c>
      <c r="V893" s="2">
        <v>1</v>
      </c>
      <c r="W893">
        <v>0</v>
      </c>
      <c r="X893" t="s">
        <v>54</v>
      </c>
      <c r="Y893">
        <v>0</v>
      </c>
    </row>
    <row r="894" spans="1:25" x14ac:dyDescent="0.2">
      <c r="A894" t="s">
        <v>381</v>
      </c>
      <c r="B894" s="3">
        <v>44365</v>
      </c>
      <c r="C894">
        <v>139</v>
      </c>
      <c r="D894" t="s">
        <v>400</v>
      </c>
      <c r="E894" t="s">
        <v>48</v>
      </c>
      <c r="F894" s="9" t="s">
        <v>49</v>
      </c>
      <c r="G894" t="s">
        <v>50</v>
      </c>
      <c r="H894" t="s">
        <v>51</v>
      </c>
      <c r="I894" t="s">
        <v>52</v>
      </c>
      <c r="J894" t="s">
        <v>43</v>
      </c>
      <c r="K894" t="s">
        <v>44</v>
      </c>
      <c r="L894" t="s">
        <v>53</v>
      </c>
      <c r="M894" t="s">
        <v>54</v>
      </c>
      <c r="N894" t="s">
        <v>51</v>
      </c>
      <c r="O894" t="s">
        <v>52</v>
      </c>
      <c r="P894" t="s">
        <v>43</v>
      </c>
      <c r="Q894" t="s">
        <v>44</v>
      </c>
      <c r="R894" s="1">
        <v>44365.488310185188</v>
      </c>
      <c r="S894" s="1">
        <v>44365.488310185188</v>
      </c>
      <c r="T894">
        <v>1</v>
      </c>
      <c r="U894">
        <v>1</v>
      </c>
      <c r="V894" s="2">
        <v>1</v>
      </c>
      <c r="W894">
        <v>0</v>
      </c>
      <c r="X894" t="s">
        <v>54</v>
      </c>
      <c r="Y894">
        <v>0</v>
      </c>
    </row>
    <row r="895" spans="1:25" x14ac:dyDescent="0.2">
      <c r="A895" t="s">
        <v>381</v>
      </c>
      <c r="B895" s="3">
        <v>44236</v>
      </c>
      <c r="C895">
        <v>3</v>
      </c>
      <c r="D895" t="s">
        <v>385</v>
      </c>
      <c r="E895" t="s">
        <v>48</v>
      </c>
      <c r="F895" s="9" t="s">
        <v>110</v>
      </c>
      <c r="G895" t="s">
        <v>50</v>
      </c>
      <c r="H895" t="s">
        <v>51</v>
      </c>
      <c r="I895" t="s">
        <v>52</v>
      </c>
      <c r="J895" t="s">
        <v>53</v>
      </c>
      <c r="K895" t="s">
        <v>54</v>
      </c>
      <c r="L895" t="s">
        <v>53</v>
      </c>
      <c r="M895" t="s">
        <v>54</v>
      </c>
      <c r="N895" t="s">
        <v>51</v>
      </c>
      <c r="O895" t="s">
        <v>52</v>
      </c>
      <c r="P895" t="s">
        <v>53</v>
      </c>
      <c r="Q895" t="s">
        <v>54</v>
      </c>
      <c r="R895" s="1">
        <v>44236.609432870369</v>
      </c>
      <c r="S895" s="1">
        <v>44236.609432870369</v>
      </c>
      <c r="T895">
        <v>0</v>
      </c>
      <c r="U895">
        <v>1</v>
      </c>
      <c r="V895" s="2">
        <v>0</v>
      </c>
      <c r="W895">
        <v>0</v>
      </c>
      <c r="X895" t="s">
        <v>44</v>
      </c>
      <c r="Y895">
        <v>0</v>
      </c>
    </row>
    <row r="896" spans="1:25" x14ac:dyDescent="0.2">
      <c r="A896" t="s">
        <v>381</v>
      </c>
      <c r="B896" s="3">
        <v>44238</v>
      </c>
      <c r="C896">
        <v>6</v>
      </c>
      <c r="D896" t="s">
        <v>385</v>
      </c>
      <c r="E896" t="s">
        <v>48</v>
      </c>
      <c r="F896" s="9" t="s">
        <v>110</v>
      </c>
      <c r="G896" t="s">
        <v>50</v>
      </c>
      <c r="H896" t="s">
        <v>51</v>
      </c>
      <c r="I896" t="s">
        <v>52</v>
      </c>
      <c r="J896" t="s">
        <v>53</v>
      </c>
      <c r="K896" t="s">
        <v>54</v>
      </c>
      <c r="L896" t="s">
        <v>53</v>
      </c>
      <c r="M896" t="s">
        <v>54</v>
      </c>
      <c r="N896" t="s">
        <v>51</v>
      </c>
      <c r="O896" t="s">
        <v>52</v>
      </c>
      <c r="P896" t="s">
        <v>53</v>
      </c>
      <c r="Q896" t="s">
        <v>54</v>
      </c>
      <c r="R896" s="1">
        <v>44238.607048611113</v>
      </c>
      <c r="S896" s="1">
        <v>44238.607048611113</v>
      </c>
      <c r="T896">
        <v>0</v>
      </c>
      <c r="U896">
        <v>1</v>
      </c>
      <c r="V896" s="2">
        <v>0</v>
      </c>
      <c r="W896">
        <v>0</v>
      </c>
      <c r="X896" t="s">
        <v>44</v>
      </c>
      <c r="Y896">
        <v>0</v>
      </c>
    </row>
    <row r="897" spans="1:25" x14ac:dyDescent="0.2">
      <c r="A897" t="s">
        <v>381</v>
      </c>
      <c r="B897" s="3">
        <v>44243</v>
      </c>
      <c r="C897">
        <v>10</v>
      </c>
      <c r="D897" t="s">
        <v>385</v>
      </c>
      <c r="E897" t="s">
        <v>48</v>
      </c>
      <c r="F897" s="9" t="s">
        <v>110</v>
      </c>
      <c r="G897" t="s">
        <v>50</v>
      </c>
      <c r="H897" t="s">
        <v>51</v>
      </c>
      <c r="I897" t="s">
        <v>52</v>
      </c>
      <c r="J897" t="s">
        <v>53</v>
      </c>
      <c r="K897" t="s">
        <v>54</v>
      </c>
      <c r="L897" t="s">
        <v>53</v>
      </c>
      <c r="M897" t="s">
        <v>54</v>
      </c>
      <c r="N897" t="s">
        <v>51</v>
      </c>
      <c r="O897" t="s">
        <v>52</v>
      </c>
      <c r="P897" t="s">
        <v>53</v>
      </c>
      <c r="Q897" t="s">
        <v>54</v>
      </c>
      <c r="R897" s="1">
        <v>44243.683831018519</v>
      </c>
      <c r="S897" s="1">
        <v>44243.683831018519</v>
      </c>
      <c r="T897">
        <v>0</v>
      </c>
      <c r="U897">
        <v>1</v>
      </c>
      <c r="V897" s="2">
        <v>0</v>
      </c>
      <c r="W897">
        <v>0</v>
      </c>
      <c r="X897" t="s">
        <v>44</v>
      </c>
      <c r="Y897">
        <v>0</v>
      </c>
    </row>
    <row r="898" spans="1:25" x14ac:dyDescent="0.2">
      <c r="A898" t="s">
        <v>381</v>
      </c>
      <c r="B898" s="3">
        <v>44250</v>
      </c>
      <c r="C898">
        <v>16</v>
      </c>
      <c r="D898" t="s">
        <v>382</v>
      </c>
      <c r="E898" t="s">
        <v>48</v>
      </c>
      <c r="F898" s="9" t="s">
        <v>110</v>
      </c>
      <c r="G898" t="s">
        <v>50</v>
      </c>
      <c r="H898" t="s">
        <v>51</v>
      </c>
      <c r="I898" t="s">
        <v>52</v>
      </c>
      <c r="J898" t="s">
        <v>53</v>
      </c>
      <c r="K898" t="s">
        <v>54</v>
      </c>
      <c r="L898" t="s">
        <v>53</v>
      </c>
      <c r="M898" t="s">
        <v>54</v>
      </c>
      <c r="N898" t="s">
        <v>51</v>
      </c>
      <c r="O898" t="s">
        <v>52</v>
      </c>
      <c r="P898" t="s">
        <v>53</v>
      </c>
      <c r="Q898" t="s">
        <v>54</v>
      </c>
      <c r="R898" s="1">
        <v>44250.361122685186</v>
      </c>
      <c r="S898" s="1">
        <v>44250.361122685186</v>
      </c>
      <c r="T898">
        <v>1</v>
      </c>
      <c r="U898">
        <v>1</v>
      </c>
      <c r="V898" s="2">
        <v>1</v>
      </c>
      <c r="W898">
        <v>0</v>
      </c>
      <c r="X898" t="s">
        <v>54</v>
      </c>
      <c r="Y898">
        <v>0</v>
      </c>
    </row>
    <row r="899" spans="1:25" x14ac:dyDescent="0.2">
      <c r="A899" t="s">
        <v>381</v>
      </c>
      <c r="B899" s="3">
        <v>44250</v>
      </c>
      <c r="C899">
        <v>17</v>
      </c>
      <c r="D899" t="s">
        <v>385</v>
      </c>
      <c r="E899" t="s">
        <v>48</v>
      </c>
      <c r="F899" s="9" t="s">
        <v>110</v>
      </c>
      <c r="G899" t="s">
        <v>50</v>
      </c>
      <c r="H899" t="s">
        <v>51</v>
      </c>
      <c r="I899" t="s">
        <v>52</v>
      </c>
      <c r="J899" t="s">
        <v>53</v>
      </c>
      <c r="K899" t="s">
        <v>54</v>
      </c>
      <c r="L899" t="s">
        <v>53</v>
      </c>
      <c r="M899" t="s">
        <v>54</v>
      </c>
      <c r="N899" t="s">
        <v>51</v>
      </c>
      <c r="O899" t="s">
        <v>52</v>
      </c>
      <c r="P899" t="s">
        <v>53</v>
      </c>
      <c r="Q899" t="s">
        <v>54</v>
      </c>
      <c r="R899" s="1">
        <v>44250.634398148148</v>
      </c>
      <c r="S899" s="1">
        <v>44250.634398148148</v>
      </c>
      <c r="T899">
        <v>0</v>
      </c>
      <c r="U899">
        <v>1</v>
      </c>
      <c r="V899" s="2">
        <v>0</v>
      </c>
      <c r="W899">
        <v>0</v>
      </c>
      <c r="X899" t="s">
        <v>44</v>
      </c>
      <c r="Y899">
        <v>0</v>
      </c>
    </row>
    <row r="900" spans="1:25" x14ac:dyDescent="0.2">
      <c r="A900" t="s">
        <v>381</v>
      </c>
      <c r="B900" s="3">
        <v>44252</v>
      </c>
      <c r="C900">
        <v>20</v>
      </c>
      <c r="D900" t="s">
        <v>385</v>
      </c>
      <c r="E900" t="s">
        <v>48</v>
      </c>
      <c r="F900" s="9" t="s">
        <v>110</v>
      </c>
      <c r="G900" t="s">
        <v>50</v>
      </c>
      <c r="H900" t="s">
        <v>51</v>
      </c>
      <c r="I900" t="s">
        <v>52</v>
      </c>
      <c r="J900" t="s">
        <v>53</v>
      </c>
      <c r="K900" t="s">
        <v>54</v>
      </c>
      <c r="L900" t="s">
        <v>53</v>
      </c>
      <c r="M900" t="s">
        <v>54</v>
      </c>
      <c r="N900" t="s">
        <v>51</v>
      </c>
      <c r="O900" t="s">
        <v>52</v>
      </c>
      <c r="P900" t="s">
        <v>53</v>
      </c>
      <c r="Q900" t="s">
        <v>54</v>
      </c>
      <c r="R900" s="1">
        <v>44252.607453703706</v>
      </c>
      <c r="S900" s="1">
        <v>44252.607453703706</v>
      </c>
      <c r="T900">
        <v>0</v>
      </c>
      <c r="U900">
        <v>1</v>
      </c>
      <c r="V900" s="2">
        <v>0</v>
      </c>
      <c r="W900">
        <v>0</v>
      </c>
      <c r="X900" t="s">
        <v>44</v>
      </c>
      <c r="Y900">
        <v>0</v>
      </c>
    </row>
    <row r="901" spans="1:25" x14ac:dyDescent="0.2">
      <c r="A901" t="s">
        <v>381</v>
      </c>
      <c r="B901" s="3">
        <v>44253</v>
      </c>
      <c r="C901">
        <v>21</v>
      </c>
      <c r="D901" t="s">
        <v>384</v>
      </c>
      <c r="E901" t="s">
        <v>48</v>
      </c>
      <c r="F901" s="9" t="s">
        <v>110</v>
      </c>
      <c r="G901" t="s">
        <v>50</v>
      </c>
      <c r="H901" t="s">
        <v>51</v>
      </c>
      <c r="I901" t="s">
        <v>52</v>
      </c>
      <c r="J901" t="s">
        <v>53</v>
      </c>
      <c r="K901" t="s">
        <v>54</v>
      </c>
      <c r="L901" t="s">
        <v>53</v>
      </c>
      <c r="M901" t="s">
        <v>54</v>
      </c>
      <c r="N901" t="s">
        <v>51</v>
      </c>
      <c r="O901" t="s">
        <v>52</v>
      </c>
      <c r="P901" t="s">
        <v>53</v>
      </c>
      <c r="Q901" t="s">
        <v>54</v>
      </c>
      <c r="R901" s="1">
        <v>44253.446400462963</v>
      </c>
      <c r="S901" s="1">
        <v>44253.446400462963</v>
      </c>
      <c r="T901">
        <v>1</v>
      </c>
      <c r="U901">
        <v>1</v>
      </c>
      <c r="V901" s="2">
        <v>1</v>
      </c>
      <c r="W901">
        <v>0</v>
      </c>
      <c r="X901" t="s">
        <v>54</v>
      </c>
      <c r="Y901">
        <v>0</v>
      </c>
    </row>
    <row r="902" spans="1:25" x14ac:dyDescent="0.2">
      <c r="A902" t="s">
        <v>381</v>
      </c>
      <c r="B902" s="3">
        <v>44258</v>
      </c>
      <c r="C902">
        <v>25</v>
      </c>
      <c r="D902" t="s">
        <v>384</v>
      </c>
      <c r="E902" t="s">
        <v>48</v>
      </c>
      <c r="F902" s="9" t="s">
        <v>110</v>
      </c>
      <c r="G902" t="s">
        <v>50</v>
      </c>
      <c r="H902" t="s">
        <v>51</v>
      </c>
      <c r="I902" t="s">
        <v>52</v>
      </c>
      <c r="J902" t="s">
        <v>53</v>
      </c>
      <c r="K902" t="s">
        <v>54</v>
      </c>
      <c r="L902" t="s">
        <v>53</v>
      </c>
      <c r="M902" t="s">
        <v>54</v>
      </c>
      <c r="N902" t="s">
        <v>51</v>
      </c>
      <c r="O902" t="s">
        <v>52</v>
      </c>
      <c r="P902" t="s">
        <v>53</v>
      </c>
      <c r="Q902" t="s">
        <v>54</v>
      </c>
      <c r="R902" s="1">
        <v>44258.426655092589</v>
      </c>
      <c r="S902" s="1">
        <v>44258.426655092589</v>
      </c>
      <c r="T902">
        <v>1</v>
      </c>
      <c r="U902">
        <v>1</v>
      </c>
      <c r="V902" s="2">
        <v>1</v>
      </c>
      <c r="W902">
        <v>0</v>
      </c>
      <c r="X902" t="s">
        <v>54</v>
      </c>
      <c r="Y902">
        <v>0</v>
      </c>
    </row>
    <row r="903" spans="1:25" x14ac:dyDescent="0.2">
      <c r="A903" t="s">
        <v>381</v>
      </c>
      <c r="B903" s="3">
        <v>44264</v>
      </c>
      <c r="C903">
        <v>31</v>
      </c>
      <c r="D903" t="s">
        <v>385</v>
      </c>
      <c r="E903" t="s">
        <v>48</v>
      </c>
      <c r="F903" s="9" t="s">
        <v>110</v>
      </c>
      <c r="G903" t="s">
        <v>50</v>
      </c>
      <c r="H903" t="s">
        <v>51</v>
      </c>
      <c r="I903" t="s">
        <v>52</v>
      </c>
      <c r="J903" t="s">
        <v>53</v>
      </c>
      <c r="K903" t="s">
        <v>54</v>
      </c>
      <c r="L903" t="s">
        <v>53</v>
      </c>
      <c r="M903" t="s">
        <v>54</v>
      </c>
      <c r="N903" t="s">
        <v>51</v>
      </c>
      <c r="O903" t="s">
        <v>52</v>
      </c>
      <c r="P903" t="s">
        <v>53</v>
      </c>
      <c r="Q903" t="s">
        <v>54</v>
      </c>
      <c r="R903" s="1">
        <v>44264.610034722224</v>
      </c>
      <c r="S903" s="1">
        <v>44264.610034722224</v>
      </c>
      <c r="T903">
        <v>0</v>
      </c>
      <c r="U903">
        <v>1</v>
      </c>
      <c r="V903" s="2">
        <v>0</v>
      </c>
      <c r="W903">
        <v>0</v>
      </c>
      <c r="X903" t="s">
        <v>44</v>
      </c>
      <c r="Y903">
        <v>0</v>
      </c>
    </row>
    <row r="904" spans="1:25" x14ac:dyDescent="0.2">
      <c r="A904" t="s">
        <v>381</v>
      </c>
      <c r="B904" s="3">
        <v>44271</v>
      </c>
      <c r="C904">
        <v>37</v>
      </c>
      <c r="D904" t="s">
        <v>385</v>
      </c>
      <c r="E904" t="s">
        <v>48</v>
      </c>
      <c r="F904" s="9" t="s">
        <v>110</v>
      </c>
      <c r="G904" t="s">
        <v>50</v>
      </c>
      <c r="H904" t="s">
        <v>51</v>
      </c>
      <c r="I904" t="s">
        <v>52</v>
      </c>
      <c r="J904" t="s">
        <v>53</v>
      </c>
      <c r="K904" t="s">
        <v>54</v>
      </c>
      <c r="L904" t="s">
        <v>53</v>
      </c>
      <c r="M904" t="s">
        <v>54</v>
      </c>
      <c r="N904" t="s">
        <v>51</v>
      </c>
      <c r="O904" t="s">
        <v>52</v>
      </c>
      <c r="P904" t="s">
        <v>53</v>
      </c>
      <c r="Q904" t="s">
        <v>54</v>
      </c>
      <c r="R904" s="1">
        <v>44271.536145833335</v>
      </c>
      <c r="S904" s="1">
        <v>44271.536145833335</v>
      </c>
      <c r="T904">
        <v>0</v>
      </c>
      <c r="U904">
        <v>1</v>
      </c>
      <c r="V904" s="2">
        <v>0</v>
      </c>
      <c r="W904">
        <v>0</v>
      </c>
      <c r="X904" t="s">
        <v>44</v>
      </c>
      <c r="Y904">
        <v>0</v>
      </c>
    </row>
    <row r="905" spans="1:25" x14ac:dyDescent="0.2">
      <c r="A905" t="s">
        <v>381</v>
      </c>
      <c r="B905" s="3">
        <v>44273</v>
      </c>
      <c r="C905">
        <v>40</v>
      </c>
      <c r="D905" t="s">
        <v>385</v>
      </c>
      <c r="E905" t="s">
        <v>48</v>
      </c>
      <c r="F905" s="9" t="s">
        <v>110</v>
      </c>
      <c r="G905" t="s">
        <v>50</v>
      </c>
      <c r="H905" t="s">
        <v>51</v>
      </c>
      <c r="I905" t="s">
        <v>52</v>
      </c>
      <c r="J905" t="s">
        <v>53</v>
      </c>
      <c r="K905" t="s">
        <v>54</v>
      </c>
      <c r="L905" t="s">
        <v>53</v>
      </c>
      <c r="M905" t="s">
        <v>54</v>
      </c>
      <c r="N905" t="s">
        <v>51</v>
      </c>
      <c r="O905" t="s">
        <v>52</v>
      </c>
      <c r="P905" t="s">
        <v>53</v>
      </c>
      <c r="Q905" t="s">
        <v>54</v>
      </c>
      <c r="R905" s="1">
        <v>44273.581331018519</v>
      </c>
      <c r="S905" s="1">
        <v>44273.581331018519</v>
      </c>
      <c r="T905">
        <v>0</v>
      </c>
      <c r="U905">
        <v>1</v>
      </c>
      <c r="V905" s="2">
        <v>0</v>
      </c>
      <c r="W905">
        <v>0</v>
      </c>
      <c r="X905" t="s">
        <v>44</v>
      </c>
      <c r="Y905">
        <v>0</v>
      </c>
    </row>
    <row r="906" spans="1:25" x14ac:dyDescent="0.2">
      <c r="A906" t="s">
        <v>381</v>
      </c>
      <c r="B906" s="3">
        <v>44293</v>
      </c>
      <c r="C906">
        <v>53</v>
      </c>
      <c r="D906" t="s">
        <v>384</v>
      </c>
      <c r="E906" t="s">
        <v>48</v>
      </c>
      <c r="F906" s="9" t="s">
        <v>110</v>
      </c>
      <c r="G906" t="s">
        <v>50</v>
      </c>
      <c r="H906" t="s">
        <v>51</v>
      </c>
      <c r="I906" t="s">
        <v>52</v>
      </c>
      <c r="J906" t="s">
        <v>53</v>
      </c>
      <c r="K906" t="s">
        <v>54</v>
      </c>
      <c r="L906" t="s">
        <v>53</v>
      </c>
      <c r="M906" t="s">
        <v>54</v>
      </c>
      <c r="N906" t="s">
        <v>51</v>
      </c>
      <c r="O906" t="s">
        <v>52</v>
      </c>
      <c r="P906" t="s">
        <v>53</v>
      </c>
      <c r="Q906" t="s">
        <v>54</v>
      </c>
      <c r="R906" s="1">
        <v>44293.450069444443</v>
      </c>
      <c r="S906" s="1">
        <v>44293.450069444443</v>
      </c>
      <c r="T906">
        <v>1</v>
      </c>
      <c r="U906">
        <v>1</v>
      </c>
      <c r="V906" s="2">
        <v>1</v>
      </c>
      <c r="W906">
        <v>0</v>
      </c>
      <c r="X906" t="s">
        <v>54</v>
      </c>
      <c r="Y906">
        <v>0</v>
      </c>
    </row>
    <row r="907" spans="1:25" x14ac:dyDescent="0.2">
      <c r="A907" t="s">
        <v>381</v>
      </c>
      <c r="B907" s="3">
        <v>44298</v>
      </c>
      <c r="C907">
        <v>57</v>
      </c>
      <c r="D907" t="s">
        <v>387</v>
      </c>
      <c r="E907" t="s">
        <v>48</v>
      </c>
      <c r="F907" s="9" t="s">
        <v>110</v>
      </c>
      <c r="G907" t="s">
        <v>50</v>
      </c>
      <c r="H907" t="s">
        <v>51</v>
      </c>
      <c r="I907" t="s">
        <v>52</v>
      </c>
      <c r="J907" t="s">
        <v>53</v>
      </c>
      <c r="K907" t="s">
        <v>54</v>
      </c>
      <c r="L907" t="s">
        <v>53</v>
      </c>
      <c r="M907" t="s">
        <v>54</v>
      </c>
      <c r="N907" t="s">
        <v>51</v>
      </c>
      <c r="O907" t="s">
        <v>52</v>
      </c>
      <c r="P907" t="s">
        <v>53</v>
      </c>
      <c r="Q907" t="s">
        <v>54</v>
      </c>
      <c r="R907" s="1">
        <v>44298.543275462966</v>
      </c>
      <c r="S907" s="1">
        <v>44298.543275462966</v>
      </c>
      <c r="T907">
        <v>0</v>
      </c>
      <c r="U907">
        <v>1</v>
      </c>
      <c r="V907" s="2">
        <v>0</v>
      </c>
      <c r="W907">
        <v>0</v>
      </c>
      <c r="X907" t="s">
        <v>44</v>
      </c>
      <c r="Y907">
        <v>0</v>
      </c>
    </row>
    <row r="908" spans="1:25" x14ac:dyDescent="0.2">
      <c r="A908" t="s">
        <v>381</v>
      </c>
      <c r="B908" s="3">
        <v>44302</v>
      </c>
      <c r="C908">
        <v>65</v>
      </c>
      <c r="D908" t="s">
        <v>387</v>
      </c>
      <c r="E908" t="s">
        <v>48</v>
      </c>
      <c r="F908" s="9" t="s">
        <v>110</v>
      </c>
      <c r="G908" t="s">
        <v>50</v>
      </c>
      <c r="H908" t="s">
        <v>51</v>
      </c>
      <c r="I908" t="s">
        <v>52</v>
      </c>
      <c r="J908" t="s">
        <v>53</v>
      </c>
      <c r="K908" t="s">
        <v>54</v>
      </c>
      <c r="L908" t="s">
        <v>53</v>
      </c>
      <c r="M908" t="s">
        <v>54</v>
      </c>
      <c r="N908" t="s">
        <v>51</v>
      </c>
      <c r="O908" t="s">
        <v>52</v>
      </c>
      <c r="P908" t="s">
        <v>53</v>
      </c>
      <c r="Q908" t="s">
        <v>54</v>
      </c>
      <c r="R908" s="1">
        <v>44302.555960648147</v>
      </c>
      <c r="S908" s="1">
        <v>44302.555960648147</v>
      </c>
      <c r="T908">
        <v>0</v>
      </c>
      <c r="U908">
        <v>1</v>
      </c>
      <c r="V908" s="2">
        <v>0</v>
      </c>
      <c r="W908">
        <v>0</v>
      </c>
      <c r="X908" t="s">
        <v>44</v>
      </c>
      <c r="Y908">
        <v>0</v>
      </c>
    </row>
    <row r="909" spans="1:25" x14ac:dyDescent="0.2">
      <c r="A909" t="s">
        <v>381</v>
      </c>
      <c r="B909" s="3">
        <v>44307</v>
      </c>
      <c r="C909">
        <v>67</v>
      </c>
      <c r="D909" t="s">
        <v>387</v>
      </c>
      <c r="E909" t="s">
        <v>48</v>
      </c>
      <c r="F909" s="9" t="s">
        <v>110</v>
      </c>
      <c r="G909" t="s">
        <v>50</v>
      </c>
      <c r="H909" t="s">
        <v>51</v>
      </c>
      <c r="I909" t="s">
        <v>52</v>
      </c>
      <c r="J909" t="s">
        <v>53</v>
      </c>
      <c r="K909" t="s">
        <v>54</v>
      </c>
      <c r="L909" t="s">
        <v>53</v>
      </c>
      <c r="M909" t="s">
        <v>54</v>
      </c>
      <c r="N909" t="s">
        <v>51</v>
      </c>
      <c r="O909" t="s">
        <v>52</v>
      </c>
      <c r="P909" t="s">
        <v>53</v>
      </c>
      <c r="Q909" t="s">
        <v>54</v>
      </c>
      <c r="R909" s="1">
        <v>44307.610358796293</v>
      </c>
      <c r="S909" s="1">
        <v>44307.610358796293</v>
      </c>
      <c r="T909">
        <v>0</v>
      </c>
      <c r="U909">
        <v>1</v>
      </c>
      <c r="V909" s="2">
        <v>0</v>
      </c>
      <c r="W909">
        <v>0</v>
      </c>
      <c r="X909" t="s">
        <v>44</v>
      </c>
      <c r="Y909">
        <v>0</v>
      </c>
    </row>
    <row r="910" spans="1:25" x14ac:dyDescent="0.2">
      <c r="A910" t="s">
        <v>381</v>
      </c>
      <c r="B910" s="3">
        <v>44312</v>
      </c>
      <c r="C910">
        <v>73</v>
      </c>
      <c r="D910" t="s">
        <v>387</v>
      </c>
      <c r="E910" t="s">
        <v>48</v>
      </c>
      <c r="F910" s="9" t="s">
        <v>110</v>
      </c>
      <c r="G910" t="s">
        <v>50</v>
      </c>
      <c r="H910" t="s">
        <v>51</v>
      </c>
      <c r="I910" t="s">
        <v>52</v>
      </c>
      <c r="J910" t="s">
        <v>53</v>
      </c>
      <c r="K910" t="s">
        <v>54</v>
      </c>
      <c r="L910" t="s">
        <v>53</v>
      </c>
      <c r="M910" t="s">
        <v>54</v>
      </c>
      <c r="N910" t="s">
        <v>51</v>
      </c>
      <c r="O910" t="s">
        <v>52</v>
      </c>
      <c r="P910" t="s">
        <v>53</v>
      </c>
      <c r="Q910" t="s">
        <v>54</v>
      </c>
      <c r="R910" s="1">
        <v>44312.575925925928</v>
      </c>
      <c r="S910" s="1">
        <v>44312.575925925928</v>
      </c>
      <c r="T910">
        <v>0</v>
      </c>
      <c r="U910">
        <v>1</v>
      </c>
      <c r="V910" s="2">
        <v>0</v>
      </c>
      <c r="W910">
        <v>0</v>
      </c>
      <c r="X910" t="s">
        <v>44</v>
      </c>
      <c r="Y910">
        <v>0</v>
      </c>
    </row>
    <row r="911" spans="1:25" x14ac:dyDescent="0.2">
      <c r="A911" t="s">
        <v>381</v>
      </c>
      <c r="B911" s="3">
        <v>44314</v>
      </c>
      <c r="C911">
        <v>78</v>
      </c>
      <c r="D911" t="s">
        <v>387</v>
      </c>
      <c r="E911" t="s">
        <v>48</v>
      </c>
      <c r="F911" s="9" t="s">
        <v>110</v>
      </c>
      <c r="G911" t="s">
        <v>50</v>
      </c>
      <c r="H911" t="s">
        <v>51</v>
      </c>
      <c r="I911" t="s">
        <v>52</v>
      </c>
      <c r="J911" t="s">
        <v>53</v>
      </c>
      <c r="K911" t="s">
        <v>54</v>
      </c>
      <c r="L911" t="s">
        <v>53</v>
      </c>
      <c r="M911" t="s">
        <v>54</v>
      </c>
      <c r="N911" t="s">
        <v>51</v>
      </c>
      <c r="O911" t="s">
        <v>52</v>
      </c>
      <c r="P911" t="s">
        <v>53</v>
      </c>
      <c r="Q911" t="s">
        <v>54</v>
      </c>
      <c r="R911" s="1">
        <v>44314.537546296298</v>
      </c>
      <c r="S911" s="1">
        <v>44314.537546296298</v>
      </c>
      <c r="T911">
        <v>0</v>
      </c>
      <c r="U911">
        <v>1</v>
      </c>
      <c r="V911" s="2">
        <v>0</v>
      </c>
      <c r="W911">
        <v>0</v>
      </c>
      <c r="X911" t="s">
        <v>44</v>
      </c>
      <c r="Y911">
        <v>0</v>
      </c>
    </row>
    <row r="912" spans="1:25" x14ac:dyDescent="0.2">
      <c r="A912" t="s">
        <v>381</v>
      </c>
      <c r="B912" s="3">
        <v>44315</v>
      </c>
      <c r="C912">
        <v>81</v>
      </c>
      <c r="D912" t="s">
        <v>385</v>
      </c>
      <c r="E912" t="s">
        <v>48</v>
      </c>
      <c r="F912" s="9" t="s">
        <v>110</v>
      </c>
      <c r="G912" t="s">
        <v>50</v>
      </c>
      <c r="H912" t="s">
        <v>51</v>
      </c>
      <c r="I912" t="s">
        <v>52</v>
      </c>
      <c r="J912" t="s">
        <v>53</v>
      </c>
      <c r="K912" t="s">
        <v>54</v>
      </c>
      <c r="L912" t="s">
        <v>53</v>
      </c>
      <c r="M912" t="s">
        <v>54</v>
      </c>
      <c r="N912" t="s">
        <v>51</v>
      </c>
      <c r="O912" t="s">
        <v>52</v>
      </c>
      <c r="P912" t="s">
        <v>53</v>
      </c>
      <c r="Q912" t="s">
        <v>54</v>
      </c>
      <c r="R912" s="1">
        <v>44315.670868055553</v>
      </c>
      <c r="S912" s="1">
        <v>44315.670868055553</v>
      </c>
      <c r="T912">
        <v>0</v>
      </c>
      <c r="U912">
        <v>1</v>
      </c>
      <c r="V912" s="2">
        <v>0</v>
      </c>
      <c r="W912">
        <v>0</v>
      </c>
      <c r="X912" t="s">
        <v>44</v>
      </c>
      <c r="Y912">
        <v>0</v>
      </c>
    </row>
    <row r="913" spans="1:25" x14ac:dyDescent="0.2">
      <c r="A913" t="s">
        <v>381</v>
      </c>
      <c r="B913" s="3">
        <v>44316</v>
      </c>
      <c r="C913">
        <v>83</v>
      </c>
      <c r="D913" t="s">
        <v>387</v>
      </c>
      <c r="E913" t="s">
        <v>48</v>
      </c>
      <c r="F913" s="9" t="s">
        <v>110</v>
      </c>
      <c r="G913" t="s">
        <v>50</v>
      </c>
      <c r="H913" t="s">
        <v>51</v>
      </c>
      <c r="I913" t="s">
        <v>52</v>
      </c>
      <c r="J913" t="s">
        <v>53</v>
      </c>
      <c r="K913" t="s">
        <v>54</v>
      </c>
      <c r="L913" t="s">
        <v>53</v>
      </c>
      <c r="M913" t="s">
        <v>54</v>
      </c>
      <c r="N913" t="s">
        <v>51</v>
      </c>
      <c r="O913" t="s">
        <v>52</v>
      </c>
      <c r="P913" t="s">
        <v>53</v>
      </c>
      <c r="Q913" t="s">
        <v>54</v>
      </c>
      <c r="R913" s="1">
        <v>44316.540243055555</v>
      </c>
      <c r="S913" s="1">
        <v>44316.540243055555</v>
      </c>
      <c r="T913">
        <v>0</v>
      </c>
      <c r="U913">
        <v>1</v>
      </c>
      <c r="V913" s="2">
        <v>0</v>
      </c>
      <c r="W913">
        <v>0</v>
      </c>
      <c r="X913" t="s">
        <v>44</v>
      </c>
      <c r="Y913">
        <v>0</v>
      </c>
    </row>
    <row r="914" spans="1:25" x14ac:dyDescent="0.2">
      <c r="A914" t="s">
        <v>381</v>
      </c>
      <c r="B914" s="3">
        <v>44319</v>
      </c>
      <c r="C914">
        <v>85</v>
      </c>
      <c r="D914" t="s">
        <v>387</v>
      </c>
      <c r="E914" t="s">
        <v>48</v>
      </c>
      <c r="F914" s="9" t="s">
        <v>110</v>
      </c>
      <c r="G914" t="s">
        <v>50</v>
      </c>
      <c r="H914" t="s">
        <v>51</v>
      </c>
      <c r="I914" t="s">
        <v>52</v>
      </c>
      <c r="J914" t="s">
        <v>53</v>
      </c>
      <c r="K914" t="s">
        <v>54</v>
      </c>
      <c r="L914" t="s">
        <v>53</v>
      </c>
      <c r="M914" t="s">
        <v>54</v>
      </c>
      <c r="N914" t="s">
        <v>51</v>
      </c>
      <c r="O914" t="s">
        <v>52</v>
      </c>
      <c r="P914" t="s">
        <v>53</v>
      </c>
      <c r="Q914" t="s">
        <v>54</v>
      </c>
      <c r="R914" s="1">
        <v>44319.537870370368</v>
      </c>
      <c r="S914" s="1">
        <v>44319.537870370368</v>
      </c>
      <c r="T914">
        <v>0</v>
      </c>
      <c r="U914">
        <v>1</v>
      </c>
      <c r="V914" s="2">
        <v>0</v>
      </c>
      <c r="W914">
        <v>0</v>
      </c>
      <c r="X914" t="s">
        <v>44</v>
      </c>
      <c r="Y914">
        <v>0</v>
      </c>
    </row>
    <row r="915" spans="1:25" x14ac:dyDescent="0.2">
      <c r="A915" t="s">
        <v>381</v>
      </c>
      <c r="B915" s="3">
        <v>44321</v>
      </c>
      <c r="C915">
        <v>89</v>
      </c>
      <c r="D915" t="s">
        <v>387</v>
      </c>
      <c r="E915" t="s">
        <v>48</v>
      </c>
      <c r="F915" s="9" t="s">
        <v>110</v>
      </c>
      <c r="G915" t="s">
        <v>50</v>
      </c>
      <c r="H915" t="s">
        <v>51</v>
      </c>
      <c r="I915" t="s">
        <v>52</v>
      </c>
      <c r="J915" t="s">
        <v>53</v>
      </c>
      <c r="K915" t="s">
        <v>54</v>
      </c>
      <c r="L915" t="s">
        <v>53</v>
      </c>
      <c r="M915" t="s">
        <v>54</v>
      </c>
      <c r="N915" t="s">
        <v>51</v>
      </c>
      <c r="O915" t="s">
        <v>52</v>
      </c>
      <c r="P915" t="s">
        <v>53</v>
      </c>
      <c r="Q915" t="s">
        <v>54</v>
      </c>
      <c r="R915" s="1">
        <v>44321.534942129627</v>
      </c>
      <c r="S915" s="1">
        <v>44321.534942129627</v>
      </c>
      <c r="T915">
        <v>0</v>
      </c>
      <c r="U915">
        <v>1</v>
      </c>
      <c r="V915" s="2">
        <v>0</v>
      </c>
      <c r="W915">
        <v>0</v>
      </c>
      <c r="X915" t="s">
        <v>44</v>
      </c>
      <c r="Y915">
        <v>0</v>
      </c>
    </row>
    <row r="916" spans="1:25" x14ac:dyDescent="0.2">
      <c r="A916" t="s">
        <v>381</v>
      </c>
      <c r="B916" s="3">
        <v>44326</v>
      </c>
      <c r="C916">
        <v>93</v>
      </c>
      <c r="D916" t="s">
        <v>387</v>
      </c>
      <c r="E916" t="s">
        <v>48</v>
      </c>
      <c r="F916" s="9" t="s">
        <v>110</v>
      </c>
      <c r="G916" t="s">
        <v>50</v>
      </c>
      <c r="H916" t="s">
        <v>51</v>
      </c>
      <c r="I916" t="s">
        <v>52</v>
      </c>
      <c r="J916" t="s">
        <v>53</v>
      </c>
      <c r="K916" t="s">
        <v>54</v>
      </c>
      <c r="L916" t="s">
        <v>53</v>
      </c>
      <c r="M916" t="s">
        <v>54</v>
      </c>
      <c r="N916" t="s">
        <v>51</v>
      </c>
      <c r="O916" t="s">
        <v>52</v>
      </c>
      <c r="P916" t="s">
        <v>53</v>
      </c>
      <c r="Q916" t="s">
        <v>54</v>
      </c>
      <c r="R916" s="1">
        <v>44326.537291666667</v>
      </c>
      <c r="S916" s="1">
        <v>44326.537291666667</v>
      </c>
      <c r="T916">
        <v>0</v>
      </c>
      <c r="U916">
        <v>1</v>
      </c>
      <c r="V916" s="2">
        <v>0</v>
      </c>
      <c r="W916">
        <v>0</v>
      </c>
      <c r="X916" t="s">
        <v>44</v>
      </c>
      <c r="Y916">
        <v>0</v>
      </c>
    </row>
    <row r="917" spans="1:25" x14ac:dyDescent="0.2">
      <c r="A917" t="s">
        <v>381</v>
      </c>
      <c r="B917" s="3">
        <v>44328</v>
      </c>
      <c r="C917">
        <v>97</v>
      </c>
      <c r="D917" t="s">
        <v>387</v>
      </c>
      <c r="E917" t="s">
        <v>48</v>
      </c>
      <c r="F917" s="9" t="s">
        <v>110</v>
      </c>
      <c r="G917" t="s">
        <v>50</v>
      </c>
      <c r="H917" t="s">
        <v>51</v>
      </c>
      <c r="I917" t="s">
        <v>52</v>
      </c>
      <c r="J917" t="s">
        <v>53</v>
      </c>
      <c r="K917" t="s">
        <v>54</v>
      </c>
      <c r="L917" t="s">
        <v>53</v>
      </c>
      <c r="M917" t="s">
        <v>54</v>
      </c>
      <c r="N917" t="s">
        <v>51</v>
      </c>
      <c r="O917" t="s">
        <v>52</v>
      </c>
      <c r="P917" t="s">
        <v>53</v>
      </c>
      <c r="Q917" t="s">
        <v>54</v>
      </c>
      <c r="R917" s="1">
        <v>44328.539803240739</v>
      </c>
      <c r="S917" s="1">
        <v>44328.539803240739</v>
      </c>
      <c r="T917">
        <v>0</v>
      </c>
      <c r="U917">
        <v>1</v>
      </c>
      <c r="V917" s="2">
        <v>0</v>
      </c>
      <c r="W917">
        <v>0</v>
      </c>
      <c r="X917" t="s">
        <v>44</v>
      </c>
      <c r="Y917">
        <v>0</v>
      </c>
    </row>
    <row r="918" spans="1:25" x14ac:dyDescent="0.2">
      <c r="A918" t="s">
        <v>381</v>
      </c>
      <c r="B918" s="3">
        <v>44336</v>
      </c>
      <c r="C918">
        <v>102</v>
      </c>
      <c r="D918" t="s">
        <v>383</v>
      </c>
      <c r="E918" t="s">
        <v>48</v>
      </c>
      <c r="F918" s="9" t="s">
        <v>110</v>
      </c>
      <c r="G918" t="s">
        <v>50</v>
      </c>
      <c r="H918" t="s">
        <v>51</v>
      </c>
      <c r="I918" t="s">
        <v>52</v>
      </c>
      <c r="J918" t="s">
        <v>53</v>
      </c>
      <c r="K918" t="s">
        <v>54</v>
      </c>
      <c r="L918" t="s">
        <v>53</v>
      </c>
      <c r="M918" t="s">
        <v>54</v>
      </c>
      <c r="N918" t="s">
        <v>51</v>
      </c>
      <c r="O918" t="s">
        <v>52</v>
      </c>
      <c r="P918" t="s">
        <v>53</v>
      </c>
      <c r="Q918" t="s">
        <v>54</v>
      </c>
      <c r="R918" s="1">
        <v>44336.489328703705</v>
      </c>
      <c r="S918" s="1">
        <v>44336.489328703705</v>
      </c>
      <c r="T918">
        <v>0</v>
      </c>
      <c r="U918">
        <v>1</v>
      </c>
      <c r="V918" s="2">
        <v>0</v>
      </c>
      <c r="W918">
        <v>0</v>
      </c>
      <c r="X918" t="s">
        <v>44</v>
      </c>
      <c r="Y918">
        <v>0</v>
      </c>
    </row>
    <row r="919" spans="1:25" x14ac:dyDescent="0.2">
      <c r="A919" t="s">
        <v>381</v>
      </c>
      <c r="B919" s="3">
        <v>44338</v>
      </c>
      <c r="C919">
        <v>107</v>
      </c>
      <c r="D919" t="s">
        <v>392</v>
      </c>
      <c r="E919" t="s">
        <v>48</v>
      </c>
      <c r="F919" s="9" t="s">
        <v>110</v>
      </c>
      <c r="G919" t="s">
        <v>50</v>
      </c>
      <c r="H919" t="s">
        <v>51</v>
      </c>
      <c r="I919" t="s">
        <v>52</v>
      </c>
      <c r="J919" t="s">
        <v>53</v>
      </c>
      <c r="K919" t="s">
        <v>54</v>
      </c>
      <c r="L919" t="s">
        <v>53</v>
      </c>
      <c r="M919" t="s">
        <v>54</v>
      </c>
      <c r="N919" t="s">
        <v>51</v>
      </c>
      <c r="O919" t="s">
        <v>52</v>
      </c>
      <c r="P919" t="s">
        <v>53</v>
      </c>
      <c r="Q919" t="s">
        <v>54</v>
      </c>
      <c r="R919" s="1">
        <v>44338.630335648151</v>
      </c>
      <c r="S919" s="1">
        <v>44338.630335648151</v>
      </c>
      <c r="T919">
        <v>0</v>
      </c>
      <c r="U919">
        <v>1</v>
      </c>
      <c r="V919" s="2">
        <v>0</v>
      </c>
      <c r="W919">
        <v>0</v>
      </c>
      <c r="X919" t="s">
        <v>44</v>
      </c>
      <c r="Y919">
        <v>0</v>
      </c>
    </row>
    <row r="920" spans="1:25" x14ac:dyDescent="0.2">
      <c r="A920" t="s">
        <v>381</v>
      </c>
      <c r="B920" s="3">
        <v>44350</v>
      </c>
      <c r="C920">
        <v>123</v>
      </c>
      <c r="D920" t="s">
        <v>382</v>
      </c>
      <c r="E920" t="s">
        <v>48</v>
      </c>
      <c r="F920" s="9" t="s">
        <v>110</v>
      </c>
      <c r="G920" t="s">
        <v>50</v>
      </c>
      <c r="H920" t="s">
        <v>51</v>
      </c>
      <c r="I920" t="s">
        <v>52</v>
      </c>
      <c r="J920" t="s">
        <v>53</v>
      </c>
      <c r="K920" t="s">
        <v>54</v>
      </c>
      <c r="L920" t="s">
        <v>53</v>
      </c>
      <c r="M920" t="s">
        <v>54</v>
      </c>
      <c r="N920" t="s">
        <v>51</v>
      </c>
      <c r="O920" t="s">
        <v>52</v>
      </c>
      <c r="P920" t="s">
        <v>53</v>
      </c>
      <c r="Q920" t="s">
        <v>54</v>
      </c>
      <c r="R920" s="1">
        <v>44350.437997685185</v>
      </c>
      <c r="S920" s="1">
        <v>44350.437997685185</v>
      </c>
      <c r="T920">
        <v>1</v>
      </c>
      <c r="U920">
        <v>1</v>
      </c>
      <c r="V920" s="2">
        <v>1</v>
      </c>
      <c r="W920">
        <v>0</v>
      </c>
      <c r="X920" t="s">
        <v>54</v>
      </c>
      <c r="Y920">
        <v>0</v>
      </c>
    </row>
    <row r="921" spans="1:25" x14ac:dyDescent="0.2">
      <c r="A921" t="s">
        <v>381</v>
      </c>
      <c r="B921" s="3">
        <v>44351</v>
      </c>
      <c r="C921">
        <v>125</v>
      </c>
      <c r="D921" t="s">
        <v>387</v>
      </c>
      <c r="E921" t="s">
        <v>48</v>
      </c>
      <c r="F921" s="9" t="s">
        <v>110</v>
      </c>
      <c r="G921" t="s">
        <v>50</v>
      </c>
      <c r="H921" t="s">
        <v>51</v>
      </c>
      <c r="I921" t="s">
        <v>52</v>
      </c>
      <c r="J921" t="s">
        <v>53</v>
      </c>
      <c r="K921" t="s">
        <v>54</v>
      </c>
      <c r="L921" t="s">
        <v>53</v>
      </c>
      <c r="M921" t="s">
        <v>54</v>
      </c>
      <c r="N921" t="s">
        <v>51</v>
      </c>
      <c r="O921" t="s">
        <v>52</v>
      </c>
      <c r="P921" t="s">
        <v>53</v>
      </c>
      <c r="Q921" t="s">
        <v>54</v>
      </c>
      <c r="R921" s="1">
        <v>44351.538321759261</v>
      </c>
      <c r="S921" s="1">
        <v>44351.620775462965</v>
      </c>
      <c r="T921">
        <v>0</v>
      </c>
      <c r="U921">
        <v>1</v>
      </c>
      <c r="V921" s="2">
        <v>0</v>
      </c>
      <c r="W921">
        <v>0</v>
      </c>
      <c r="X921" t="s">
        <v>44</v>
      </c>
      <c r="Y921">
        <v>0</v>
      </c>
    </row>
    <row r="922" spans="1:25" x14ac:dyDescent="0.2">
      <c r="A922" t="s">
        <v>381</v>
      </c>
      <c r="B922" s="3">
        <v>44357</v>
      </c>
      <c r="C922">
        <v>132</v>
      </c>
      <c r="D922" t="s">
        <v>399</v>
      </c>
      <c r="E922" t="s">
        <v>48</v>
      </c>
      <c r="F922" s="9" t="s">
        <v>110</v>
      </c>
      <c r="G922" t="s">
        <v>50</v>
      </c>
      <c r="H922" t="s">
        <v>51</v>
      </c>
      <c r="I922" t="s">
        <v>52</v>
      </c>
      <c r="J922" t="s">
        <v>53</v>
      </c>
      <c r="K922" t="s">
        <v>54</v>
      </c>
      <c r="L922" t="s">
        <v>53</v>
      </c>
      <c r="M922" t="s">
        <v>54</v>
      </c>
      <c r="N922" t="s">
        <v>51</v>
      </c>
      <c r="O922" t="s">
        <v>52</v>
      </c>
      <c r="P922" t="s">
        <v>53</v>
      </c>
      <c r="Q922" t="s">
        <v>54</v>
      </c>
      <c r="R922" s="1">
        <v>44357.412187499998</v>
      </c>
      <c r="S922" s="1">
        <v>44357.412187499998</v>
      </c>
      <c r="T922">
        <v>0</v>
      </c>
      <c r="U922">
        <v>1</v>
      </c>
      <c r="V922" s="2">
        <v>0</v>
      </c>
      <c r="W922">
        <v>0</v>
      </c>
      <c r="X922" t="s">
        <v>44</v>
      </c>
      <c r="Y922">
        <v>0</v>
      </c>
    </row>
    <row r="923" spans="1:25" x14ac:dyDescent="0.2">
      <c r="A923" t="s">
        <v>381</v>
      </c>
      <c r="B923" s="3">
        <v>44365</v>
      </c>
      <c r="C923">
        <v>139</v>
      </c>
      <c r="D923" t="s">
        <v>400</v>
      </c>
      <c r="E923" t="s">
        <v>48</v>
      </c>
      <c r="F923" s="9" t="s">
        <v>110</v>
      </c>
      <c r="G923" t="s">
        <v>50</v>
      </c>
      <c r="H923" t="s">
        <v>51</v>
      </c>
      <c r="I923" t="s">
        <v>52</v>
      </c>
      <c r="J923" t="s">
        <v>53</v>
      </c>
      <c r="K923" t="s">
        <v>54</v>
      </c>
      <c r="L923" t="s">
        <v>53</v>
      </c>
      <c r="M923" t="s">
        <v>54</v>
      </c>
      <c r="N923" t="s">
        <v>51</v>
      </c>
      <c r="O923" t="s">
        <v>52</v>
      </c>
      <c r="P923" t="s">
        <v>53</v>
      </c>
      <c r="Q923" t="s">
        <v>54</v>
      </c>
      <c r="R923" s="1">
        <v>44365.488344907404</v>
      </c>
      <c r="S923" s="1">
        <v>44365.488344907404</v>
      </c>
      <c r="T923">
        <v>0</v>
      </c>
      <c r="U923">
        <v>1</v>
      </c>
      <c r="V923" s="2">
        <v>0</v>
      </c>
      <c r="W923">
        <v>0</v>
      </c>
      <c r="X923" t="s">
        <v>44</v>
      </c>
      <c r="Y923">
        <v>0</v>
      </c>
    </row>
    <row r="924" spans="1:25" x14ac:dyDescent="0.2">
      <c r="A924" t="s">
        <v>381</v>
      </c>
      <c r="B924" s="3">
        <v>44207</v>
      </c>
      <c r="C924">
        <v>1</v>
      </c>
      <c r="D924" t="s">
        <v>384</v>
      </c>
      <c r="E924" t="s">
        <v>48</v>
      </c>
      <c r="F924" s="9" t="s">
        <v>55</v>
      </c>
      <c r="G924" t="s">
        <v>50</v>
      </c>
      <c r="H924" t="s">
        <v>51</v>
      </c>
      <c r="I924" t="s">
        <v>52</v>
      </c>
      <c r="J924" t="s">
        <v>53</v>
      </c>
      <c r="K924" t="s">
        <v>54</v>
      </c>
      <c r="L924" t="s">
        <v>53</v>
      </c>
      <c r="M924" t="s">
        <v>54</v>
      </c>
      <c r="N924" t="s">
        <v>51</v>
      </c>
      <c r="O924" t="s">
        <v>52</v>
      </c>
      <c r="P924" t="s">
        <v>53</v>
      </c>
      <c r="Q924" t="s">
        <v>54</v>
      </c>
      <c r="R924" s="1">
        <v>44207.360659722224</v>
      </c>
      <c r="S924" s="1">
        <v>44207.360659722224</v>
      </c>
      <c r="T924">
        <v>1</v>
      </c>
      <c r="U924">
        <v>1</v>
      </c>
      <c r="V924" s="2">
        <v>1</v>
      </c>
      <c r="W924">
        <v>0</v>
      </c>
      <c r="X924" t="s">
        <v>54</v>
      </c>
      <c r="Y924">
        <v>0</v>
      </c>
    </row>
    <row r="925" spans="1:25" x14ac:dyDescent="0.2">
      <c r="A925" t="s">
        <v>381</v>
      </c>
      <c r="B925" s="3">
        <v>44236</v>
      </c>
      <c r="C925">
        <v>2</v>
      </c>
      <c r="D925" t="s">
        <v>382</v>
      </c>
      <c r="E925" t="s">
        <v>48</v>
      </c>
      <c r="F925" s="9" t="s">
        <v>55</v>
      </c>
      <c r="G925" t="s">
        <v>50</v>
      </c>
      <c r="H925" t="s">
        <v>51</v>
      </c>
      <c r="I925" t="s">
        <v>52</v>
      </c>
      <c r="J925" t="s">
        <v>53</v>
      </c>
      <c r="K925" t="s">
        <v>54</v>
      </c>
      <c r="L925" t="s">
        <v>53</v>
      </c>
      <c r="M925" t="s">
        <v>54</v>
      </c>
      <c r="N925" t="s">
        <v>51</v>
      </c>
      <c r="O925" t="s">
        <v>52</v>
      </c>
      <c r="P925" t="s">
        <v>53</v>
      </c>
      <c r="Q925" t="s">
        <v>54</v>
      </c>
      <c r="R925" s="1">
        <v>44236.416851851849</v>
      </c>
      <c r="S925" s="1">
        <v>44236.416851851849</v>
      </c>
      <c r="T925">
        <v>1</v>
      </c>
      <c r="U925">
        <v>1</v>
      </c>
      <c r="V925" s="2">
        <v>1</v>
      </c>
      <c r="W925">
        <v>0</v>
      </c>
      <c r="X925" t="s">
        <v>54</v>
      </c>
      <c r="Y925">
        <v>0</v>
      </c>
    </row>
    <row r="926" spans="1:25" x14ac:dyDescent="0.2">
      <c r="A926" t="s">
        <v>381</v>
      </c>
      <c r="B926" s="3">
        <v>44236</v>
      </c>
      <c r="C926">
        <v>3</v>
      </c>
      <c r="D926" t="s">
        <v>385</v>
      </c>
      <c r="E926" t="s">
        <v>48</v>
      </c>
      <c r="F926" s="9" t="s">
        <v>55</v>
      </c>
      <c r="G926" t="s">
        <v>50</v>
      </c>
      <c r="H926" t="s">
        <v>51</v>
      </c>
      <c r="I926" t="s">
        <v>52</v>
      </c>
      <c r="J926" t="s">
        <v>53</v>
      </c>
      <c r="K926" t="s">
        <v>54</v>
      </c>
      <c r="L926" t="s">
        <v>53</v>
      </c>
      <c r="M926" t="s">
        <v>54</v>
      </c>
      <c r="N926" t="s">
        <v>51</v>
      </c>
      <c r="O926" t="s">
        <v>52</v>
      </c>
      <c r="P926" t="s">
        <v>53</v>
      </c>
      <c r="Q926" t="s">
        <v>54</v>
      </c>
      <c r="R926" s="1">
        <v>44236.609398148146</v>
      </c>
      <c r="S926" s="1">
        <v>44236.609398148146</v>
      </c>
      <c r="T926">
        <v>1</v>
      </c>
      <c r="U926">
        <v>1</v>
      </c>
      <c r="V926" s="2">
        <v>1</v>
      </c>
      <c r="W926">
        <v>0</v>
      </c>
      <c r="X926" t="s">
        <v>54</v>
      </c>
      <c r="Y926">
        <v>0</v>
      </c>
    </row>
    <row r="927" spans="1:25" x14ac:dyDescent="0.2">
      <c r="A927" t="s">
        <v>381</v>
      </c>
      <c r="B927" s="3">
        <v>44237</v>
      </c>
      <c r="C927">
        <v>4</v>
      </c>
      <c r="D927" t="s">
        <v>384</v>
      </c>
      <c r="E927" t="s">
        <v>48</v>
      </c>
      <c r="F927" s="9" t="s">
        <v>55</v>
      </c>
      <c r="G927" t="s">
        <v>50</v>
      </c>
      <c r="H927" t="s">
        <v>51</v>
      </c>
      <c r="I927" t="s">
        <v>52</v>
      </c>
      <c r="J927" t="s">
        <v>53</v>
      </c>
      <c r="K927" t="s">
        <v>54</v>
      </c>
      <c r="L927" t="s">
        <v>53</v>
      </c>
      <c r="M927" t="s">
        <v>54</v>
      </c>
      <c r="N927" t="s">
        <v>51</v>
      </c>
      <c r="O927" t="s">
        <v>52</v>
      </c>
      <c r="P927" t="s">
        <v>53</v>
      </c>
      <c r="Q927" t="s">
        <v>54</v>
      </c>
      <c r="R927" s="1">
        <v>44237.362569444442</v>
      </c>
      <c r="S927" s="1">
        <v>44237.362569444442</v>
      </c>
      <c r="T927">
        <v>1</v>
      </c>
      <c r="U927">
        <v>1</v>
      </c>
      <c r="V927" s="2">
        <v>1</v>
      </c>
      <c r="W927">
        <v>0</v>
      </c>
      <c r="X927" t="s">
        <v>54</v>
      </c>
      <c r="Y927">
        <v>0</v>
      </c>
    </row>
    <row r="928" spans="1:25" x14ac:dyDescent="0.2">
      <c r="A928" t="s">
        <v>381</v>
      </c>
      <c r="B928" s="3">
        <v>44238</v>
      </c>
      <c r="C928">
        <v>5</v>
      </c>
      <c r="D928" t="s">
        <v>382</v>
      </c>
      <c r="E928" t="s">
        <v>48</v>
      </c>
      <c r="F928" s="9" t="s">
        <v>55</v>
      </c>
      <c r="G928" t="s">
        <v>50</v>
      </c>
      <c r="H928" t="s">
        <v>51</v>
      </c>
      <c r="I928" t="s">
        <v>52</v>
      </c>
      <c r="J928" t="s">
        <v>53</v>
      </c>
      <c r="K928" t="s">
        <v>54</v>
      </c>
      <c r="L928" t="s">
        <v>53</v>
      </c>
      <c r="M928" t="s">
        <v>54</v>
      </c>
      <c r="N928" t="s">
        <v>51</v>
      </c>
      <c r="O928" t="s">
        <v>52</v>
      </c>
      <c r="P928" t="s">
        <v>53</v>
      </c>
      <c r="Q928" t="s">
        <v>54</v>
      </c>
      <c r="R928" s="1">
        <v>44238.367245370369</v>
      </c>
      <c r="S928" s="1">
        <v>44238.367245370369</v>
      </c>
      <c r="T928">
        <v>1</v>
      </c>
      <c r="U928">
        <v>1</v>
      </c>
      <c r="V928" s="2">
        <v>1</v>
      </c>
      <c r="W928">
        <v>0</v>
      </c>
      <c r="X928" t="s">
        <v>54</v>
      </c>
      <c r="Y928">
        <v>0</v>
      </c>
    </row>
    <row r="929" spans="1:25" x14ac:dyDescent="0.2">
      <c r="A929" t="s">
        <v>381</v>
      </c>
      <c r="B929" s="3">
        <v>44238</v>
      </c>
      <c r="C929">
        <v>6</v>
      </c>
      <c r="D929" t="s">
        <v>385</v>
      </c>
      <c r="E929" t="s">
        <v>48</v>
      </c>
      <c r="F929" s="9" t="s">
        <v>55</v>
      </c>
      <c r="G929" t="s">
        <v>50</v>
      </c>
      <c r="H929" t="s">
        <v>51</v>
      </c>
      <c r="I929" t="s">
        <v>52</v>
      </c>
      <c r="J929" t="s">
        <v>53</v>
      </c>
      <c r="K929" t="s">
        <v>54</v>
      </c>
      <c r="L929" t="s">
        <v>53</v>
      </c>
      <c r="M929" t="s">
        <v>54</v>
      </c>
      <c r="N929" t="s">
        <v>51</v>
      </c>
      <c r="O929" t="s">
        <v>52</v>
      </c>
      <c r="P929" t="s">
        <v>53</v>
      </c>
      <c r="Q929" t="s">
        <v>54</v>
      </c>
      <c r="R929" s="1">
        <v>44238.606990740744</v>
      </c>
      <c r="S929" s="1">
        <v>44238.606990740744</v>
      </c>
      <c r="T929">
        <v>1</v>
      </c>
      <c r="U929">
        <v>1</v>
      </c>
      <c r="V929" s="2">
        <v>1</v>
      </c>
      <c r="W929">
        <v>0</v>
      </c>
      <c r="X929" t="s">
        <v>54</v>
      </c>
      <c r="Y929">
        <v>0</v>
      </c>
    </row>
    <row r="930" spans="1:25" x14ac:dyDescent="0.2">
      <c r="A930" t="s">
        <v>381</v>
      </c>
      <c r="B930" s="3">
        <v>44239</v>
      </c>
      <c r="C930">
        <v>7</v>
      </c>
      <c r="D930" t="s">
        <v>384</v>
      </c>
      <c r="E930" t="s">
        <v>48</v>
      </c>
      <c r="F930" s="9" t="s">
        <v>55</v>
      </c>
      <c r="G930" t="s">
        <v>50</v>
      </c>
      <c r="H930" t="s">
        <v>51</v>
      </c>
      <c r="I930" t="s">
        <v>52</v>
      </c>
      <c r="J930" t="s">
        <v>53</v>
      </c>
      <c r="K930" t="s">
        <v>54</v>
      </c>
      <c r="L930" t="s">
        <v>53</v>
      </c>
      <c r="M930" t="s">
        <v>54</v>
      </c>
      <c r="N930" t="s">
        <v>51</v>
      </c>
      <c r="O930" t="s">
        <v>52</v>
      </c>
      <c r="P930" t="s">
        <v>53</v>
      </c>
      <c r="Q930" t="s">
        <v>54</v>
      </c>
      <c r="R930" s="1">
        <v>44239.358865740738</v>
      </c>
      <c r="S930" s="1">
        <v>44239.358865740738</v>
      </c>
      <c r="T930">
        <v>1</v>
      </c>
      <c r="U930">
        <v>1</v>
      </c>
      <c r="V930" s="2">
        <v>1</v>
      </c>
      <c r="W930">
        <v>0</v>
      </c>
      <c r="X930" t="s">
        <v>54</v>
      </c>
      <c r="Y930">
        <v>0</v>
      </c>
    </row>
    <row r="931" spans="1:25" x14ac:dyDescent="0.2">
      <c r="A931" t="s">
        <v>381</v>
      </c>
      <c r="B931" s="3">
        <v>44242</v>
      </c>
      <c r="C931">
        <v>8</v>
      </c>
      <c r="D931" t="s">
        <v>384</v>
      </c>
      <c r="E931" t="s">
        <v>48</v>
      </c>
      <c r="F931" s="9" t="s">
        <v>55</v>
      </c>
      <c r="G931" t="s">
        <v>50</v>
      </c>
      <c r="H931" t="s">
        <v>51</v>
      </c>
      <c r="I931" t="s">
        <v>52</v>
      </c>
      <c r="J931" t="s">
        <v>53</v>
      </c>
      <c r="K931" t="s">
        <v>54</v>
      </c>
      <c r="L931" t="s">
        <v>53</v>
      </c>
      <c r="M931" t="s">
        <v>54</v>
      </c>
      <c r="N931" t="s">
        <v>51</v>
      </c>
      <c r="O931" t="s">
        <v>52</v>
      </c>
      <c r="P931" t="s">
        <v>53</v>
      </c>
      <c r="Q931" t="s">
        <v>54</v>
      </c>
      <c r="R931" s="1">
        <v>44242.35900462963</v>
      </c>
      <c r="S931" s="1">
        <v>44242.35900462963</v>
      </c>
      <c r="T931">
        <v>1</v>
      </c>
      <c r="U931">
        <v>1</v>
      </c>
      <c r="V931" s="2">
        <v>1</v>
      </c>
      <c r="W931">
        <v>0</v>
      </c>
      <c r="X931" t="s">
        <v>54</v>
      </c>
      <c r="Y931">
        <v>0</v>
      </c>
    </row>
    <row r="932" spans="1:25" x14ac:dyDescent="0.2">
      <c r="A932" t="s">
        <v>381</v>
      </c>
      <c r="B932" s="3">
        <v>44243</v>
      </c>
      <c r="C932">
        <v>9</v>
      </c>
      <c r="D932" t="s">
        <v>382</v>
      </c>
      <c r="E932" t="s">
        <v>48</v>
      </c>
      <c r="F932" s="9" t="s">
        <v>55</v>
      </c>
      <c r="G932" t="s">
        <v>50</v>
      </c>
      <c r="H932" t="s">
        <v>51</v>
      </c>
      <c r="I932" t="s">
        <v>52</v>
      </c>
      <c r="J932" t="s">
        <v>53</v>
      </c>
      <c r="K932" t="s">
        <v>54</v>
      </c>
      <c r="L932" t="s">
        <v>53</v>
      </c>
      <c r="M932" t="s">
        <v>54</v>
      </c>
      <c r="N932" t="s">
        <v>51</v>
      </c>
      <c r="O932" t="s">
        <v>52</v>
      </c>
      <c r="P932" t="s">
        <v>53</v>
      </c>
      <c r="Q932" t="s">
        <v>54</v>
      </c>
      <c r="R932" s="1">
        <v>44243.360381944447</v>
      </c>
      <c r="S932" s="1">
        <v>44243.360381944447</v>
      </c>
      <c r="T932">
        <v>1</v>
      </c>
      <c r="U932">
        <v>1</v>
      </c>
      <c r="V932" s="2">
        <v>1</v>
      </c>
      <c r="W932">
        <v>0</v>
      </c>
      <c r="X932" t="s">
        <v>54</v>
      </c>
      <c r="Y932">
        <v>0</v>
      </c>
    </row>
    <row r="933" spans="1:25" x14ac:dyDescent="0.2">
      <c r="A933" t="s">
        <v>381</v>
      </c>
      <c r="B933" s="3">
        <v>44243</v>
      </c>
      <c r="C933">
        <v>10</v>
      </c>
      <c r="D933" t="s">
        <v>385</v>
      </c>
      <c r="E933" t="s">
        <v>48</v>
      </c>
      <c r="F933" s="9" t="s">
        <v>55</v>
      </c>
      <c r="G933" t="s">
        <v>50</v>
      </c>
      <c r="H933" t="s">
        <v>51</v>
      </c>
      <c r="I933" t="s">
        <v>52</v>
      </c>
      <c r="J933" t="s">
        <v>53</v>
      </c>
      <c r="K933" t="s">
        <v>54</v>
      </c>
      <c r="L933" t="s">
        <v>53</v>
      </c>
      <c r="M933" t="s">
        <v>54</v>
      </c>
      <c r="N933" t="s">
        <v>51</v>
      </c>
      <c r="O933" t="s">
        <v>52</v>
      </c>
      <c r="P933" t="s">
        <v>53</v>
      </c>
      <c r="Q933" t="s">
        <v>54</v>
      </c>
      <c r="R933" s="1">
        <v>44243.605983796297</v>
      </c>
      <c r="S933" s="1">
        <v>44243.605983796297</v>
      </c>
      <c r="T933">
        <v>1</v>
      </c>
      <c r="U933">
        <v>1</v>
      </c>
      <c r="V933" s="2">
        <v>1</v>
      </c>
      <c r="W933">
        <v>0</v>
      </c>
      <c r="X933" t="s">
        <v>54</v>
      </c>
      <c r="Y933">
        <v>0</v>
      </c>
    </row>
    <row r="934" spans="1:25" x14ac:dyDescent="0.2">
      <c r="A934" t="s">
        <v>381</v>
      </c>
      <c r="B934" s="3">
        <v>44244</v>
      </c>
      <c r="C934">
        <v>11</v>
      </c>
      <c r="D934" t="s">
        <v>384</v>
      </c>
      <c r="E934" t="s">
        <v>48</v>
      </c>
      <c r="F934" s="9" t="s">
        <v>55</v>
      </c>
      <c r="G934" t="s">
        <v>50</v>
      </c>
      <c r="H934" t="s">
        <v>51</v>
      </c>
      <c r="I934" t="s">
        <v>52</v>
      </c>
      <c r="J934" t="s">
        <v>53</v>
      </c>
      <c r="K934" t="s">
        <v>54</v>
      </c>
      <c r="L934" t="s">
        <v>53</v>
      </c>
      <c r="M934" t="s">
        <v>54</v>
      </c>
      <c r="N934" t="s">
        <v>51</v>
      </c>
      <c r="O934" t="s">
        <v>52</v>
      </c>
      <c r="P934" t="s">
        <v>53</v>
      </c>
      <c r="Q934" t="s">
        <v>54</v>
      </c>
      <c r="R934" s="1">
        <v>44244.359212962961</v>
      </c>
      <c r="S934" s="1">
        <v>44244.359212962961</v>
      </c>
      <c r="T934">
        <v>1</v>
      </c>
      <c r="U934">
        <v>1</v>
      </c>
      <c r="V934" s="2">
        <v>1</v>
      </c>
      <c r="W934">
        <v>0</v>
      </c>
      <c r="X934" t="s">
        <v>54</v>
      </c>
      <c r="Y934">
        <v>0</v>
      </c>
    </row>
    <row r="935" spans="1:25" x14ac:dyDescent="0.2">
      <c r="A935" t="s">
        <v>381</v>
      </c>
      <c r="B935" s="3">
        <v>44245</v>
      </c>
      <c r="C935">
        <v>12</v>
      </c>
      <c r="D935" t="s">
        <v>382</v>
      </c>
      <c r="E935" t="s">
        <v>48</v>
      </c>
      <c r="F935" s="9" t="s">
        <v>55</v>
      </c>
      <c r="G935" t="s">
        <v>50</v>
      </c>
      <c r="H935" t="s">
        <v>51</v>
      </c>
      <c r="I935" t="s">
        <v>52</v>
      </c>
      <c r="J935" t="s">
        <v>53</v>
      </c>
      <c r="K935" t="s">
        <v>54</v>
      </c>
      <c r="L935" t="s">
        <v>53</v>
      </c>
      <c r="M935" t="s">
        <v>54</v>
      </c>
      <c r="N935" t="s">
        <v>51</v>
      </c>
      <c r="O935" t="s">
        <v>52</v>
      </c>
      <c r="P935" t="s">
        <v>53</v>
      </c>
      <c r="Q935" t="s">
        <v>54</v>
      </c>
      <c r="R935" s="1">
        <v>44245.359826388885</v>
      </c>
      <c r="S935" s="1">
        <v>44245.359826388885</v>
      </c>
      <c r="T935">
        <v>1</v>
      </c>
      <c r="U935">
        <v>1</v>
      </c>
      <c r="V935" s="2">
        <v>1</v>
      </c>
      <c r="W935">
        <v>0</v>
      </c>
      <c r="X935" t="s">
        <v>54</v>
      </c>
      <c r="Y935">
        <v>0</v>
      </c>
    </row>
    <row r="936" spans="1:25" x14ac:dyDescent="0.2">
      <c r="A936" t="s">
        <v>381</v>
      </c>
      <c r="B936" s="3">
        <v>44246</v>
      </c>
      <c r="C936">
        <v>14</v>
      </c>
      <c r="D936" t="s">
        <v>384</v>
      </c>
      <c r="E936" t="s">
        <v>48</v>
      </c>
      <c r="F936" s="9" t="s">
        <v>55</v>
      </c>
      <c r="G936" t="s">
        <v>50</v>
      </c>
      <c r="H936" t="s">
        <v>51</v>
      </c>
      <c r="I936" t="s">
        <v>52</v>
      </c>
      <c r="J936" t="s">
        <v>53</v>
      </c>
      <c r="K936" t="s">
        <v>54</v>
      </c>
      <c r="L936" t="s">
        <v>53</v>
      </c>
      <c r="M936" t="s">
        <v>54</v>
      </c>
      <c r="N936" t="s">
        <v>51</v>
      </c>
      <c r="O936" t="s">
        <v>52</v>
      </c>
      <c r="P936" t="s">
        <v>53</v>
      </c>
      <c r="Q936" t="s">
        <v>54</v>
      </c>
      <c r="R936" s="1">
        <v>44246.358240740738</v>
      </c>
      <c r="S936" s="1">
        <v>44246.358240740738</v>
      </c>
      <c r="T936">
        <v>1</v>
      </c>
      <c r="U936">
        <v>1</v>
      </c>
      <c r="V936" s="2">
        <v>1</v>
      </c>
      <c r="W936">
        <v>0</v>
      </c>
      <c r="X936" t="s">
        <v>54</v>
      </c>
      <c r="Y936">
        <v>0</v>
      </c>
    </row>
    <row r="937" spans="1:25" x14ac:dyDescent="0.2">
      <c r="A937" t="s">
        <v>381</v>
      </c>
      <c r="B937" s="3">
        <v>44249</v>
      </c>
      <c r="C937">
        <v>15</v>
      </c>
      <c r="D937" t="s">
        <v>384</v>
      </c>
      <c r="E937" t="s">
        <v>48</v>
      </c>
      <c r="F937" s="9" t="s">
        <v>55</v>
      </c>
      <c r="G937" t="s">
        <v>50</v>
      </c>
      <c r="H937" t="s">
        <v>51</v>
      </c>
      <c r="I937" t="s">
        <v>52</v>
      </c>
      <c r="J937" t="s">
        <v>53</v>
      </c>
      <c r="K937" t="s">
        <v>54</v>
      </c>
      <c r="L937" t="s">
        <v>53</v>
      </c>
      <c r="M937" t="s">
        <v>54</v>
      </c>
      <c r="N937" t="s">
        <v>51</v>
      </c>
      <c r="O937" t="s">
        <v>52</v>
      </c>
      <c r="P937" t="s">
        <v>53</v>
      </c>
      <c r="Q937" t="s">
        <v>54</v>
      </c>
      <c r="R937" s="1">
        <v>44249.37128472222</v>
      </c>
      <c r="S937" s="1">
        <v>44249.37128472222</v>
      </c>
      <c r="T937">
        <v>1</v>
      </c>
      <c r="U937">
        <v>1</v>
      </c>
      <c r="V937" s="2">
        <v>1</v>
      </c>
      <c r="W937">
        <v>0</v>
      </c>
      <c r="X937" t="s">
        <v>54</v>
      </c>
      <c r="Y937">
        <v>0</v>
      </c>
    </row>
    <row r="938" spans="1:25" x14ac:dyDescent="0.2">
      <c r="A938" t="s">
        <v>381</v>
      </c>
      <c r="B938" s="3">
        <v>44250</v>
      </c>
      <c r="C938">
        <v>16</v>
      </c>
      <c r="D938" t="s">
        <v>382</v>
      </c>
      <c r="E938" t="s">
        <v>48</v>
      </c>
      <c r="F938" s="9" t="s">
        <v>55</v>
      </c>
      <c r="G938" t="s">
        <v>50</v>
      </c>
      <c r="H938" t="s">
        <v>51</v>
      </c>
      <c r="I938" t="s">
        <v>52</v>
      </c>
      <c r="J938" t="s">
        <v>53</v>
      </c>
      <c r="K938" t="s">
        <v>54</v>
      </c>
      <c r="L938" t="s">
        <v>53</v>
      </c>
      <c r="M938" t="s">
        <v>54</v>
      </c>
      <c r="N938" t="s">
        <v>51</v>
      </c>
      <c r="O938" t="s">
        <v>52</v>
      </c>
      <c r="P938" t="s">
        <v>53</v>
      </c>
      <c r="Q938" t="s">
        <v>54</v>
      </c>
      <c r="R938" s="1">
        <v>44250.36109953704</v>
      </c>
      <c r="S938" s="1">
        <v>44250.36109953704</v>
      </c>
      <c r="T938">
        <v>1</v>
      </c>
      <c r="U938">
        <v>1</v>
      </c>
      <c r="V938" s="2">
        <v>1</v>
      </c>
      <c r="W938">
        <v>0</v>
      </c>
      <c r="X938" t="s">
        <v>54</v>
      </c>
      <c r="Y938">
        <v>0</v>
      </c>
    </row>
    <row r="939" spans="1:25" x14ac:dyDescent="0.2">
      <c r="A939" t="s">
        <v>381</v>
      </c>
      <c r="B939" s="3">
        <v>44250</v>
      </c>
      <c r="C939">
        <v>17</v>
      </c>
      <c r="D939" t="s">
        <v>385</v>
      </c>
      <c r="E939" t="s">
        <v>48</v>
      </c>
      <c r="F939" s="9" t="s">
        <v>55</v>
      </c>
      <c r="G939" t="s">
        <v>50</v>
      </c>
      <c r="H939" t="s">
        <v>51</v>
      </c>
      <c r="I939" t="s">
        <v>52</v>
      </c>
      <c r="J939" t="s">
        <v>53</v>
      </c>
      <c r="K939" t="s">
        <v>54</v>
      </c>
      <c r="L939" t="s">
        <v>53</v>
      </c>
      <c r="M939" t="s">
        <v>54</v>
      </c>
      <c r="N939" t="s">
        <v>51</v>
      </c>
      <c r="O939" t="s">
        <v>52</v>
      </c>
      <c r="P939" t="s">
        <v>53</v>
      </c>
      <c r="Q939" t="s">
        <v>54</v>
      </c>
      <c r="R939" s="1">
        <v>44250.634363425925</v>
      </c>
      <c r="S939" s="1">
        <v>44250.634363425925</v>
      </c>
      <c r="T939">
        <v>1</v>
      </c>
      <c r="U939">
        <v>1</v>
      </c>
      <c r="V939" s="2">
        <v>1</v>
      </c>
      <c r="W939">
        <v>0</v>
      </c>
      <c r="X939" t="s">
        <v>54</v>
      </c>
      <c r="Y939">
        <v>0</v>
      </c>
    </row>
    <row r="940" spans="1:25" x14ac:dyDescent="0.2">
      <c r="A940" t="s">
        <v>381</v>
      </c>
      <c r="B940" s="3">
        <v>44251</v>
      </c>
      <c r="C940">
        <v>18</v>
      </c>
      <c r="D940" t="s">
        <v>384</v>
      </c>
      <c r="E940" t="s">
        <v>48</v>
      </c>
      <c r="F940" s="9" t="s">
        <v>55</v>
      </c>
      <c r="G940" t="s">
        <v>50</v>
      </c>
      <c r="H940" t="s">
        <v>51</v>
      </c>
      <c r="I940" t="s">
        <v>52</v>
      </c>
      <c r="J940" t="s">
        <v>53</v>
      </c>
      <c r="K940" t="s">
        <v>54</v>
      </c>
      <c r="L940" t="s">
        <v>53</v>
      </c>
      <c r="M940" t="s">
        <v>54</v>
      </c>
      <c r="N940" t="s">
        <v>51</v>
      </c>
      <c r="O940" t="s">
        <v>52</v>
      </c>
      <c r="P940" t="s">
        <v>53</v>
      </c>
      <c r="Q940" t="s">
        <v>54</v>
      </c>
      <c r="R940" s="1">
        <v>44251.356689814813</v>
      </c>
      <c r="S940" s="1">
        <v>44251.356689814813</v>
      </c>
      <c r="T940">
        <v>1</v>
      </c>
      <c r="U940">
        <v>1</v>
      </c>
      <c r="V940" s="2">
        <v>1</v>
      </c>
      <c r="W940">
        <v>0</v>
      </c>
      <c r="X940" t="s">
        <v>54</v>
      </c>
      <c r="Y940">
        <v>0</v>
      </c>
    </row>
    <row r="941" spans="1:25" x14ac:dyDescent="0.2">
      <c r="A941" t="s">
        <v>381</v>
      </c>
      <c r="B941" s="3">
        <v>44252</v>
      </c>
      <c r="C941">
        <v>19</v>
      </c>
      <c r="D941" t="s">
        <v>382</v>
      </c>
      <c r="E941" t="s">
        <v>48</v>
      </c>
      <c r="F941" s="9" t="s">
        <v>55</v>
      </c>
      <c r="G941" t="s">
        <v>50</v>
      </c>
      <c r="H941" t="s">
        <v>51</v>
      </c>
      <c r="I941" t="s">
        <v>52</v>
      </c>
      <c r="J941" t="s">
        <v>53</v>
      </c>
      <c r="K941" t="s">
        <v>54</v>
      </c>
      <c r="L941" t="s">
        <v>53</v>
      </c>
      <c r="M941" t="s">
        <v>54</v>
      </c>
      <c r="N941" t="s">
        <v>51</v>
      </c>
      <c r="O941" t="s">
        <v>52</v>
      </c>
      <c r="P941" t="s">
        <v>53</v>
      </c>
      <c r="Q941" t="s">
        <v>54</v>
      </c>
      <c r="R941" s="1">
        <v>44252.360636574071</v>
      </c>
      <c r="S941" s="1">
        <v>44252.360636574071</v>
      </c>
      <c r="T941">
        <v>1</v>
      </c>
      <c r="U941">
        <v>1</v>
      </c>
      <c r="V941" s="2">
        <v>1</v>
      </c>
      <c r="W941">
        <v>0</v>
      </c>
      <c r="X941" t="s">
        <v>54</v>
      </c>
      <c r="Y941">
        <v>0</v>
      </c>
    </row>
    <row r="942" spans="1:25" x14ac:dyDescent="0.2">
      <c r="A942" t="s">
        <v>381</v>
      </c>
      <c r="B942" s="3">
        <v>44252</v>
      </c>
      <c r="C942">
        <v>20</v>
      </c>
      <c r="D942" t="s">
        <v>385</v>
      </c>
      <c r="E942" t="s">
        <v>48</v>
      </c>
      <c r="F942" s="9" t="s">
        <v>55</v>
      </c>
      <c r="G942" t="s">
        <v>50</v>
      </c>
      <c r="H942" t="s">
        <v>51</v>
      </c>
      <c r="I942" t="s">
        <v>52</v>
      </c>
      <c r="J942" t="s">
        <v>53</v>
      </c>
      <c r="K942" t="s">
        <v>54</v>
      </c>
      <c r="L942" t="s">
        <v>53</v>
      </c>
      <c r="M942" t="s">
        <v>54</v>
      </c>
      <c r="N942" t="s">
        <v>51</v>
      </c>
      <c r="O942" t="s">
        <v>52</v>
      </c>
      <c r="P942" t="s">
        <v>53</v>
      </c>
      <c r="Q942" t="s">
        <v>54</v>
      </c>
      <c r="R942" s="1">
        <v>44252.607407407406</v>
      </c>
      <c r="S942" s="1">
        <v>44252.607407407406</v>
      </c>
      <c r="T942">
        <v>1</v>
      </c>
      <c r="U942">
        <v>1</v>
      </c>
      <c r="V942" s="2">
        <v>1</v>
      </c>
      <c r="W942">
        <v>0</v>
      </c>
      <c r="X942" t="s">
        <v>54</v>
      </c>
      <c r="Y942">
        <v>0</v>
      </c>
    </row>
    <row r="943" spans="1:25" x14ac:dyDescent="0.2">
      <c r="A943" t="s">
        <v>381</v>
      </c>
      <c r="B943" s="3">
        <v>44253</v>
      </c>
      <c r="C943">
        <v>21</v>
      </c>
      <c r="D943" t="s">
        <v>384</v>
      </c>
      <c r="E943" t="s">
        <v>48</v>
      </c>
      <c r="F943" s="9" t="s">
        <v>55</v>
      </c>
      <c r="G943" t="s">
        <v>50</v>
      </c>
      <c r="H943" t="s">
        <v>51</v>
      </c>
      <c r="I943" t="s">
        <v>52</v>
      </c>
      <c r="J943" t="s">
        <v>53</v>
      </c>
      <c r="K943" t="s">
        <v>54</v>
      </c>
      <c r="L943" t="s">
        <v>53</v>
      </c>
      <c r="M943" t="s">
        <v>54</v>
      </c>
      <c r="N943" t="s">
        <v>51</v>
      </c>
      <c r="O943" t="s">
        <v>52</v>
      </c>
      <c r="P943" t="s">
        <v>53</v>
      </c>
      <c r="Q943" t="s">
        <v>54</v>
      </c>
      <c r="R943" s="1">
        <v>44253.358090277776</v>
      </c>
      <c r="S943" s="1">
        <v>44253.358090277776</v>
      </c>
      <c r="T943">
        <v>1</v>
      </c>
      <c r="U943">
        <v>1</v>
      </c>
      <c r="V943" s="2">
        <v>1</v>
      </c>
      <c r="W943">
        <v>0</v>
      </c>
      <c r="X943" t="s">
        <v>54</v>
      </c>
      <c r="Y943">
        <v>0</v>
      </c>
    </row>
    <row r="944" spans="1:25" x14ac:dyDescent="0.2">
      <c r="A944" t="s">
        <v>381</v>
      </c>
      <c r="B944" s="3">
        <v>44256</v>
      </c>
      <c r="C944">
        <v>22</v>
      </c>
      <c r="D944" t="s">
        <v>384</v>
      </c>
      <c r="E944" t="s">
        <v>48</v>
      </c>
      <c r="F944" s="9" t="s">
        <v>55</v>
      </c>
      <c r="G944" t="s">
        <v>50</v>
      </c>
      <c r="H944" t="s">
        <v>51</v>
      </c>
      <c r="I944" t="s">
        <v>52</v>
      </c>
      <c r="J944" t="s">
        <v>53</v>
      </c>
      <c r="K944" t="s">
        <v>54</v>
      </c>
      <c r="L944" t="s">
        <v>53</v>
      </c>
      <c r="M944" t="s">
        <v>54</v>
      </c>
      <c r="N944" t="s">
        <v>51</v>
      </c>
      <c r="O944" t="s">
        <v>52</v>
      </c>
      <c r="P944" t="s">
        <v>53</v>
      </c>
      <c r="Q944" t="s">
        <v>54</v>
      </c>
      <c r="R944" s="1">
        <v>44256.359814814816</v>
      </c>
      <c r="S944" s="1">
        <v>44256.359814814816</v>
      </c>
      <c r="T944">
        <v>1</v>
      </c>
      <c r="U944">
        <v>1</v>
      </c>
      <c r="V944" s="2">
        <v>1</v>
      </c>
      <c r="W944">
        <v>0</v>
      </c>
      <c r="X944" t="s">
        <v>54</v>
      </c>
      <c r="Y944">
        <v>0</v>
      </c>
    </row>
    <row r="945" spans="1:25" x14ac:dyDescent="0.2">
      <c r="A945" t="s">
        <v>381</v>
      </c>
      <c r="B945" s="3">
        <v>44257</v>
      </c>
      <c r="C945">
        <v>23</v>
      </c>
      <c r="D945" t="s">
        <v>382</v>
      </c>
      <c r="E945" t="s">
        <v>48</v>
      </c>
      <c r="F945" s="9" t="s">
        <v>55</v>
      </c>
      <c r="G945" t="s">
        <v>50</v>
      </c>
      <c r="H945" t="s">
        <v>51</v>
      </c>
      <c r="I945" t="s">
        <v>52</v>
      </c>
      <c r="J945" t="s">
        <v>53</v>
      </c>
      <c r="K945" t="s">
        <v>54</v>
      </c>
      <c r="L945" t="s">
        <v>53</v>
      </c>
      <c r="M945" t="s">
        <v>54</v>
      </c>
      <c r="N945" t="s">
        <v>51</v>
      </c>
      <c r="O945" t="s">
        <v>52</v>
      </c>
      <c r="P945" t="s">
        <v>53</v>
      </c>
      <c r="Q945" t="s">
        <v>54</v>
      </c>
      <c r="R945" s="1">
        <v>44257.361909722225</v>
      </c>
      <c r="S945" s="1">
        <v>44257.361909722225</v>
      </c>
      <c r="T945">
        <v>1</v>
      </c>
      <c r="U945">
        <v>1</v>
      </c>
      <c r="V945" s="2">
        <v>1</v>
      </c>
      <c r="W945">
        <v>0</v>
      </c>
      <c r="X945" t="s">
        <v>54</v>
      </c>
      <c r="Y945">
        <v>0</v>
      </c>
    </row>
    <row r="946" spans="1:25" x14ac:dyDescent="0.2">
      <c r="A946" t="s">
        <v>381</v>
      </c>
      <c r="B946" s="3">
        <v>44257</v>
      </c>
      <c r="C946">
        <v>24</v>
      </c>
      <c r="D946" t="s">
        <v>385</v>
      </c>
      <c r="E946" t="s">
        <v>48</v>
      </c>
      <c r="F946" s="9" t="s">
        <v>55</v>
      </c>
      <c r="G946" t="s">
        <v>50</v>
      </c>
      <c r="H946" t="s">
        <v>51</v>
      </c>
      <c r="I946" t="s">
        <v>52</v>
      </c>
      <c r="J946" t="s">
        <v>53</v>
      </c>
      <c r="K946" t="s">
        <v>54</v>
      </c>
      <c r="L946" t="s">
        <v>53</v>
      </c>
      <c r="M946" t="s">
        <v>54</v>
      </c>
      <c r="N946" t="s">
        <v>51</v>
      </c>
      <c r="O946" t="s">
        <v>52</v>
      </c>
      <c r="P946" t="s">
        <v>53</v>
      </c>
      <c r="Q946" t="s">
        <v>54</v>
      </c>
      <c r="R946" s="1">
        <v>44257.603437500002</v>
      </c>
      <c r="S946" s="1">
        <v>44257.603437500002</v>
      </c>
      <c r="T946">
        <v>1</v>
      </c>
      <c r="U946">
        <v>1</v>
      </c>
      <c r="V946" s="2">
        <v>1</v>
      </c>
      <c r="W946">
        <v>0</v>
      </c>
      <c r="X946" t="s">
        <v>54</v>
      </c>
      <c r="Y946">
        <v>0</v>
      </c>
    </row>
    <row r="947" spans="1:25" x14ac:dyDescent="0.2">
      <c r="A947" t="s">
        <v>381</v>
      </c>
      <c r="B947" s="3">
        <v>44258</v>
      </c>
      <c r="C947">
        <v>25</v>
      </c>
      <c r="D947" t="s">
        <v>384</v>
      </c>
      <c r="E947" t="s">
        <v>48</v>
      </c>
      <c r="F947" s="9" t="s">
        <v>55</v>
      </c>
      <c r="G947" t="s">
        <v>50</v>
      </c>
      <c r="H947" t="s">
        <v>51</v>
      </c>
      <c r="I947" t="s">
        <v>52</v>
      </c>
      <c r="J947" t="s">
        <v>53</v>
      </c>
      <c r="K947" t="s">
        <v>54</v>
      </c>
      <c r="L947" t="s">
        <v>53</v>
      </c>
      <c r="M947" t="s">
        <v>54</v>
      </c>
      <c r="N947" t="s">
        <v>51</v>
      </c>
      <c r="O947" t="s">
        <v>52</v>
      </c>
      <c r="P947" t="s">
        <v>53</v>
      </c>
      <c r="Q947" t="s">
        <v>54</v>
      </c>
      <c r="R947" s="1">
        <v>44258.357824074075</v>
      </c>
      <c r="S947" s="1">
        <v>44258.357824074075</v>
      </c>
      <c r="T947">
        <v>1</v>
      </c>
      <c r="U947">
        <v>1</v>
      </c>
      <c r="V947" s="2">
        <v>1</v>
      </c>
      <c r="W947">
        <v>0</v>
      </c>
      <c r="X947" t="s">
        <v>54</v>
      </c>
      <c r="Y947">
        <v>0</v>
      </c>
    </row>
    <row r="948" spans="1:25" x14ac:dyDescent="0.2">
      <c r="A948" t="s">
        <v>381</v>
      </c>
      <c r="B948" s="3">
        <v>44259</v>
      </c>
      <c r="C948">
        <v>26</v>
      </c>
      <c r="D948" t="s">
        <v>382</v>
      </c>
      <c r="E948" t="s">
        <v>48</v>
      </c>
      <c r="F948" s="9" t="s">
        <v>55</v>
      </c>
      <c r="G948" t="s">
        <v>50</v>
      </c>
      <c r="H948" t="s">
        <v>51</v>
      </c>
      <c r="I948" t="s">
        <v>52</v>
      </c>
      <c r="J948" t="s">
        <v>53</v>
      </c>
      <c r="K948" t="s">
        <v>54</v>
      </c>
      <c r="L948" t="s">
        <v>53</v>
      </c>
      <c r="M948" t="s">
        <v>54</v>
      </c>
      <c r="N948" t="s">
        <v>51</v>
      </c>
      <c r="O948" t="s">
        <v>52</v>
      </c>
      <c r="P948" t="s">
        <v>53</v>
      </c>
      <c r="Q948" t="s">
        <v>54</v>
      </c>
      <c r="R948" s="1">
        <v>44259.361284722225</v>
      </c>
      <c r="S948" s="1">
        <v>44259.361284722225</v>
      </c>
      <c r="T948">
        <v>1</v>
      </c>
      <c r="U948">
        <v>1</v>
      </c>
      <c r="V948" s="2">
        <v>1</v>
      </c>
      <c r="W948">
        <v>0</v>
      </c>
      <c r="X948" t="s">
        <v>54</v>
      </c>
      <c r="Y948">
        <v>0</v>
      </c>
    </row>
    <row r="949" spans="1:25" x14ac:dyDescent="0.2">
      <c r="A949" t="s">
        <v>381</v>
      </c>
      <c r="B949" s="3">
        <v>44260</v>
      </c>
      <c r="C949">
        <v>28</v>
      </c>
      <c r="D949" t="s">
        <v>384</v>
      </c>
      <c r="E949" t="s">
        <v>48</v>
      </c>
      <c r="F949" s="9" t="s">
        <v>55</v>
      </c>
      <c r="G949" t="s">
        <v>50</v>
      </c>
      <c r="H949" t="s">
        <v>51</v>
      </c>
      <c r="I949" t="s">
        <v>52</v>
      </c>
      <c r="J949" t="s">
        <v>53</v>
      </c>
      <c r="K949" t="s">
        <v>54</v>
      </c>
      <c r="L949" t="s">
        <v>53</v>
      </c>
      <c r="M949" t="s">
        <v>54</v>
      </c>
      <c r="N949" t="s">
        <v>51</v>
      </c>
      <c r="O949" t="s">
        <v>52</v>
      </c>
      <c r="P949" t="s">
        <v>53</v>
      </c>
      <c r="Q949" t="s">
        <v>54</v>
      </c>
      <c r="R949" s="1">
        <v>44260.366886574076</v>
      </c>
      <c r="S949" s="1">
        <v>44260.366886574076</v>
      </c>
      <c r="T949">
        <v>1</v>
      </c>
      <c r="U949">
        <v>1</v>
      </c>
      <c r="V949" s="2">
        <v>1</v>
      </c>
      <c r="W949">
        <v>0</v>
      </c>
      <c r="X949" t="s">
        <v>54</v>
      </c>
      <c r="Y949">
        <v>0</v>
      </c>
    </row>
    <row r="950" spans="1:25" x14ac:dyDescent="0.2">
      <c r="A950" t="s">
        <v>381</v>
      </c>
      <c r="B950" s="3">
        <v>44263</v>
      </c>
      <c r="C950">
        <v>29</v>
      </c>
      <c r="D950" t="s">
        <v>384</v>
      </c>
      <c r="E950" t="s">
        <v>48</v>
      </c>
      <c r="F950" s="9" t="s">
        <v>55</v>
      </c>
      <c r="G950" t="s">
        <v>50</v>
      </c>
      <c r="H950" t="s">
        <v>51</v>
      </c>
      <c r="I950" t="s">
        <v>52</v>
      </c>
      <c r="J950" t="s">
        <v>53</v>
      </c>
      <c r="K950" t="s">
        <v>54</v>
      </c>
      <c r="L950" t="s">
        <v>53</v>
      </c>
      <c r="M950" t="s">
        <v>54</v>
      </c>
      <c r="N950" t="s">
        <v>51</v>
      </c>
      <c r="O950" t="s">
        <v>52</v>
      </c>
      <c r="P950" t="s">
        <v>53</v>
      </c>
      <c r="Q950" t="s">
        <v>54</v>
      </c>
      <c r="R950" s="1">
        <v>44263.360694444447</v>
      </c>
      <c r="S950" s="1">
        <v>44263.360694444447</v>
      </c>
      <c r="T950">
        <v>1</v>
      </c>
      <c r="U950">
        <v>1</v>
      </c>
      <c r="V950" s="2">
        <v>1</v>
      </c>
      <c r="W950">
        <v>0</v>
      </c>
      <c r="X950" t="s">
        <v>54</v>
      </c>
      <c r="Y950">
        <v>0</v>
      </c>
    </row>
    <row r="951" spans="1:25" x14ac:dyDescent="0.2">
      <c r="A951" t="s">
        <v>381</v>
      </c>
      <c r="B951" s="3">
        <v>44264</v>
      </c>
      <c r="C951">
        <v>30</v>
      </c>
      <c r="D951" t="s">
        <v>382</v>
      </c>
      <c r="E951" t="s">
        <v>48</v>
      </c>
      <c r="F951" s="9" t="s">
        <v>55</v>
      </c>
      <c r="G951" t="s">
        <v>50</v>
      </c>
      <c r="H951" t="s">
        <v>51</v>
      </c>
      <c r="I951" t="s">
        <v>52</v>
      </c>
      <c r="J951" t="s">
        <v>53</v>
      </c>
      <c r="K951" t="s">
        <v>54</v>
      </c>
      <c r="L951" t="s">
        <v>53</v>
      </c>
      <c r="M951" t="s">
        <v>54</v>
      </c>
      <c r="N951" t="s">
        <v>51</v>
      </c>
      <c r="O951" t="s">
        <v>52</v>
      </c>
      <c r="P951" t="s">
        <v>53</v>
      </c>
      <c r="Q951" t="s">
        <v>54</v>
      </c>
      <c r="R951" s="1">
        <v>44264.370138888888</v>
      </c>
      <c r="S951" s="1">
        <v>44264.370138888888</v>
      </c>
      <c r="T951">
        <v>1</v>
      </c>
      <c r="U951">
        <v>1</v>
      </c>
      <c r="V951" s="2">
        <v>1</v>
      </c>
      <c r="W951">
        <v>0</v>
      </c>
      <c r="X951" t="s">
        <v>54</v>
      </c>
      <c r="Y951">
        <v>0</v>
      </c>
    </row>
    <row r="952" spans="1:25" x14ac:dyDescent="0.2">
      <c r="A952" t="s">
        <v>381</v>
      </c>
      <c r="B952" s="3">
        <v>44264</v>
      </c>
      <c r="C952">
        <v>31</v>
      </c>
      <c r="D952" t="s">
        <v>385</v>
      </c>
      <c r="E952" t="s">
        <v>48</v>
      </c>
      <c r="F952" s="9" t="s">
        <v>55</v>
      </c>
      <c r="G952" t="s">
        <v>50</v>
      </c>
      <c r="H952" t="s">
        <v>51</v>
      </c>
      <c r="I952" t="s">
        <v>52</v>
      </c>
      <c r="J952" t="s">
        <v>53</v>
      </c>
      <c r="K952" t="s">
        <v>54</v>
      </c>
      <c r="L952" t="s">
        <v>53</v>
      </c>
      <c r="M952" t="s">
        <v>54</v>
      </c>
      <c r="N952" t="s">
        <v>51</v>
      </c>
      <c r="O952" t="s">
        <v>52</v>
      </c>
      <c r="P952" t="s">
        <v>53</v>
      </c>
      <c r="Q952" t="s">
        <v>54</v>
      </c>
      <c r="R952" s="1">
        <v>44264.609085648146</v>
      </c>
      <c r="S952" s="1">
        <v>44264.609085648146</v>
      </c>
      <c r="T952">
        <v>1</v>
      </c>
      <c r="U952">
        <v>1</v>
      </c>
      <c r="V952" s="2">
        <v>1</v>
      </c>
      <c r="W952">
        <v>0</v>
      </c>
      <c r="X952" t="s">
        <v>54</v>
      </c>
      <c r="Y952">
        <v>0</v>
      </c>
    </row>
    <row r="953" spans="1:25" x14ac:dyDescent="0.2">
      <c r="A953" t="s">
        <v>381</v>
      </c>
      <c r="B953" s="3">
        <v>44265</v>
      </c>
      <c r="C953">
        <v>32</v>
      </c>
      <c r="D953" t="s">
        <v>384</v>
      </c>
      <c r="E953" t="s">
        <v>48</v>
      </c>
      <c r="F953" s="9" t="s">
        <v>55</v>
      </c>
      <c r="G953" t="s">
        <v>50</v>
      </c>
      <c r="H953" t="s">
        <v>51</v>
      </c>
      <c r="I953" t="s">
        <v>52</v>
      </c>
      <c r="J953" t="s">
        <v>53</v>
      </c>
      <c r="K953" t="s">
        <v>54</v>
      </c>
      <c r="L953" t="s">
        <v>53</v>
      </c>
      <c r="M953" t="s">
        <v>54</v>
      </c>
      <c r="N953" t="s">
        <v>51</v>
      </c>
      <c r="O953" t="s">
        <v>52</v>
      </c>
      <c r="P953" t="s">
        <v>53</v>
      </c>
      <c r="Q953" t="s">
        <v>54</v>
      </c>
      <c r="R953" s="1">
        <v>44265.359849537039</v>
      </c>
      <c r="S953" s="1">
        <v>44265.359849537039</v>
      </c>
      <c r="T953">
        <v>1</v>
      </c>
      <c r="U953">
        <v>1</v>
      </c>
      <c r="V953" s="2">
        <v>1</v>
      </c>
      <c r="W953">
        <v>0</v>
      </c>
      <c r="X953" t="s">
        <v>54</v>
      </c>
      <c r="Y953">
        <v>0</v>
      </c>
    </row>
    <row r="954" spans="1:25" x14ac:dyDescent="0.2">
      <c r="A954" t="s">
        <v>381</v>
      </c>
      <c r="B954" s="3">
        <v>44270</v>
      </c>
      <c r="C954">
        <v>35</v>
      </c>
      <c r="D954" t="s">
        <v>384</v>
      </c>
      <c r="E954" t="s">
        <v>48</v>
      </c>
      <c r="F954" s="9" t="s">
        <v>55</v>
      </c>
      <c r="G954" t="s">
        <v>50</v>
      </c>
      <c r="H954" t="s">
        <v>51</v>
      </c>
      <c r="I954" t="s">
        <v>52</v>
      </c>
      <c r="J954" t="s">
        <v>53</v>
      </c>
      <c r="K954" t="s">
        <v>54</v>
      </c>
      <c r="L954" t="s">
        <v>53</v>
      </c>
      <c r="M954" t="s">
        <v>54</v>
      </c>
      <c r="N954" t="s">
        <v>51</v>
      </c>
      <c r="O954" t="s">
        <v>52</v>
      </c>
      <c r="P954" t="s">
        <v>53</v>
      </c>
      <c r="Q954" t="s">
        <v>54</v>
      </c>
      <c r="R954" s="1">
        <v>44270.357777777775</v>
      </c>
      <c r="S954" s="1">
        <v>44270.357777777775</v>
      </c>
      <c r="T954">
        <v>1</v>
      </c>
      <c r="U954">
        <v>1</v>
      </c>
      <c r="V954" s="2">
        <v>1</v>
      </c>
      <c r="W954">
        <v>0</v>
      </c>
      <c r="X954" t="s">
        <v>54</v>
      </c>
      <c r="Y954">
        <v>0</v>
      </c>
    </row>
    <row r="955" spans="1:25" x14ac:dyDescent="0.2">
      <c r="A955" t="s">
        <v>381</v>
      </c>
      <c r="B955" s="3">
        <v>44271</v>
      </c>
      <c r="C955">
        <v>37</v>
      </c>
      <c r="D955" t="s">
        <v>385</v>
      </c>
      <c r="E955" t="s">
        <v>48</v>
      </c>
      <c r="F955" s="9" t="s">
        <v>55</v>
      </c>
      <c r="G955" t="s">
        <v>50</v>
      </c>
      <c r="H955" t="s">
        <v>51</v>
      </c>
      <c r="I955" t="s">
        <v>52</v>
      </c>
      <c r="J955" t="s">
        <v>53</v>
      </c>
      <c r="K955" t="s">
        <v>54</v>
      </c>
      <c r="L955" t="s">
        <v>53</v>
      </c>
      <c r="M955" t="s">
        <v>54</v>
      </c>
      <c r="N955" t="s">
        <v>51</v>
      </c>
      <c r="O955" t="s">
        <v>52</v>
      </c>
      <c r="P955" t="s">
        <v>53</v>
      </c>
      <c r="Q955" t="s">
        <v>54</v>
      </c>
      <c r="R955" s="1">
        <v>44271.536111111112</v>
      </c>
      <c r="S955" s="1">
        <v>44271.536111111112</v>
      </c>
      <c r="T955">
        <v>1</v>
      </c>
      <c r="U955">
        <v>1</v>
      </c>
      <c r="V955" s="2">
        <v>1</v>
      </c>
      <c r="W955">
        <v>0</v>
      </c>
      <c r="X955" t="s">
        <v>54</v>
      </c>
      <c r="Y955">
        <v>0</v>
      </c>
    </row>
    <row r="956" spans="1:25" x14ac:dyDescent="0.2">
      <c r="A956" t="s">
        <v>381</v>
      </c>
      <c r="B956" s="3">
        <v>44272</v>
      </c>
      <c r="C956">
        <v>38</v>
      </c>
      <c r="D956" t="s">
        <v>384</v>
      </c>
      <c r="E956" t="s">
        <v>48</v>
      </c>
      <c r="F956" s="9" t="s">
        <v>55</v>
      </c>
      <c r="G956" t="s">
        <v>50</v>
      </c>
      <c r="H956" t="s">
        <v>51</v>
      </c>
      <c r="I956" t="s">
        <v>52</v>
      </c>
      <c r="J956" t="s">
        <v>53</v>
      </c>
      <c r="K956" t="s">
        <v>54</v>
      </c>
      <c r="L956" t="s">
        <v>53</v>
      </c>
      <c r="M956" t="s">
        <v>54</v>
      </c>
      <c r="N956" t="s">
        <v>51</v>
      </c>
      <c r="O956" t="s">
        <v>52</v>
      </c>
      <c r="P956" t="s">
        <v>53</v>
      </c>
      <c r="Q956" t="s">
        <v>54</v>
      </c>
      <c r="R956" s="1">
        <v>44272.357928240737</v>
      </c>
      <c r="S956" s="1">
        <v>44272.357928240737</v>
      </c>
      <c r="T956">
        <v>1</v>
      </c>
      <c r="U956">
        <v>1</v>
      </c>
      <c r="V956" s="2">
        <v>1</v>
      </c>
      <c r="W956">
        <v>0</v>
      </c>
      <c r="X956" t="s">
        <v>54</v>
      </c>
      <c r="Y956">
        <v>0</v>
      </c>
    </row>
    <row r="957" spans="1:25" x14ac:dyDescent="0.2">
      <c r="A957" t="s">
        <v>381</v>
      </c>
      <c r="B957" s="3">
        <v>44273</v>
      </c>
      <c r="C957">
        <v>40</v>
      </c>
      <c r="D957" t="s">
        <v>385</v>
      </c>
      <c r="E957" t="s">
        <v>48</v>
      </c>
      <c r="F957" s="9" t="s">
        <v>55</v>
      </c>
      <c r="G957" t="s">
        <v>50</v>
      </c>
      <c r="H957" t="s">
        <v>51</v>
      </c>
      <c r="I957" t="s">
        <v>52</v>
      </c>
      <c r="J957" t="s">
        <v>53</v>
      </c>
      <c r="K957" t="s">
        <v>54</v>
      </c>
      <c r="L957" t="s">
        <v>53</v>
      </c>
      <c r="M957" t="s">
        <v>54</v>
      </c>
      <c r="N957" t="s">
        <v>51</v>
      </c>
      <c r="O957" t="s">
        <v>52</v>
      </c>
      <c r="P957" t="s">
        <v>53</v>
      </c>
      <c r="Q957" t="s">
        <v>54</v>
      </c>
      <c r="R957" s="1">
        <v>44273.581296296295</v>
      </c>
      <c r="S957" s="1">
        <v>44273.581296296295</v>
      </c>
      <c r="T957">
        <v>1</v>
      </c>
      <c r="U957">
        <v>1</v>
      </c>
      <c r="V957" s="2">
        <v>1</v>
      </c>
      <c r="W957">
        <v>0</v>
      </c>
      <c r="X957" t="s">
        <v>54</v>
      </c>
      <c r="Y957">
        <v>0</v>
      </c>
    </row>
    <row r="958" spans="1:25" x14ac:dyDescent="0.2">
      <c r="A958" t="s">
        <v>381</v>
      </c>
      <c r="B958" s="3">
        <v>44279</v>
      </c>
      <c r="C958">
        <v>41</v>
      </c>
      <c r="D958" t="s">
        <v>384</v>
      </c>
      <c r="E958" t="s">
        <v>48</v>
      </c>
      <c r="F958" s="9" t="s">
        <v>55</v>
      </c>
      <c r="G958" t="s">
        <v>50</v>
      </c>
      <c r="H958" t="s">
        <v>51</v>
      </c>
      <c r="I958" t="s">
        <v>52</v>
      </c>
      <c r="J958" t="s">
        <v>53</v>
      </c>
      <c r="K958" t="s">
        <v>54</v>
      </c>
      <c r="L958" t="s">
        <v>53</v>
      </c>
      <c r="M958" t="s">
        <v>54</v>
      </c>
      <c r="N958" t="s">
        <v>51</v>
      </c>
      <c r="O958" t="s">
        <v>52</v>
      </c>
      <c r="P958" t="s">
        <v>53</v>
      </c>
      <c r="Q958" t="s">
        <v>54</v>
      </c>
      <c r="R958" s="1">
        <v>44279.356631944444</v>
      </c>
      <c r="S958" s="1">
        <v>44279.356631944444</v>
      </c>
      <c r="T958">
        <v>1</v>
      </c>
      <c r="U958">
        <v>1</v>
      </c>
      <c r="V958" s="2">
        <v>1</v>
      </c>
      <c r="W958">
        <v>0</v>
      </c>
      <c r="X958" t="s">
        <v>54</v>
      </c>
      <c r="Y958">
        <v>0</v>
      </c>
    </row>
    <row r="959" spans="1:25" x14ac:dyDescent="0.2">
      <c r="A959" t="s">
        <v>381</v>
      </c>
      <c r="B959" s="3">
        <v>44281</v>
      </c>
      <c r="C959">
        <v>42</v>
      </c>
      <c r="D959" t="s">
        <v>384</v>
      </c>
      <c r="E959" t="s">
        <v>48</v>
      </c>
      <c r="F959" s="9" t="s">
        <v>55</v>
      </c>
      <c r="G959" t="s">
        <v>50</v>
      </c>
      <c r="H959" t="s">
        <v>51</v>
      </c>
      <c r="I959" t="s">
        <v>52</v>
      </c>
      <c r="J959" t="s">
        <v>53</v>
      </c>
      <c r="K959" t="s">
        <v>54</v>
      </c>
      <c r="L959" t="s">
        <v>53</v>
      </c>
      <c r="M959" t="s">
        <v>54</v>
      </c>
      <c r="N959" t="s">
        <v>51</v>
      </c>
      <c r="O959" t="s">
        <v>52</v>
      </c>
      <c r="P959" t="s">
        <v>53</v>
      </c>
      <c r="Q959" t="s">
        <v>54</v>
      </c>
      <c r="R959" s="1">
        <v>44281.362164351849</v>
      </c>
      <c r="S959" s="1">
        <v>44281.362164351849</v>
      </c>
      <c r="T959">
        <v>1</v>
      </c>
      <c r="U959">
        <v>1</v>
      </c>
      <c r="V959" s="2">
        <v>1</v>
      </c>
      <c r="W959">
        <v>0</v>
      </c>
      <c r="X959" t="s">
        <v>54</v>
      </c>
      <c r="Y959">
        <v>0</v>
      </c>
    </row>
    <row r="960" spans="1:25" x14ac:dyDescent="0.2">
      <c r="A960" t="s">
        <v>381</v>
      </c>
      <c r="B960" s="3">
        <v>44284</v>
      </c>
      <c r="C960">
        <v>43</v>
      </c>
      <c r="D960" t="s">
        <v>384</v>
      </c>
      <c r="E960" t="s">
        <v>48</v>
      </c>
      <c r="F960" s="9" t="s">
        <v>55</v>
      </c>
      <c r="G960" t="s">
        <v>50</v>
      </c>
      <c r="H960" t="s">
        <v>51</v>
      </c>
      <c r="I960" t="s">
        <v>52</v>
      </c>
      <c r="J960" t="s">
        <v>53</v>
      </c>
      <c r="K960" t="s">
        <v>54</v>
      </c>
      <c r="L960" t="s">
        <v>53</v>
      </c>
      <c r="M960" t="s">
        <v>54</v>
      </c>
      <c r="N960" t="s">
        <v>51</v>
      </c>
      <c r="O960" t="s">
        <v>52</v>
      </c>
      <c r="P960" t="s">
        <v>53</v>
      </c>
      <c r="Q960" t="s">
        <v>54</v>
      </c>
      <c r="R960" s="1">
        <v>44284.357766203706</v>
      </c>
      <c r="S960" s="1">
        <v>44284.357766203706</v>
      </c>
      <c r="T960">
        <v>1</v>
      </c>
      <c r="U960">
        <v>1</v>
      </c>
      <c r="V960" s="2">
        <v>1</v>
      </c>
      <c r="W960">
        <v>0</v>
      </c>
      <c r="X960" t="s">
        <v>54</v>
      </c>
      <c r="Y960">
        <v>0</v>
      </c>
    </row>
    <row r="961" spans="1:25" x14ac:dyDescent="0.2">
      <c r="A961" t="s">
        <v>381</v>
      </c>
      <c r="B961" s="3">
        <v>44285</v>
      </c>
      <c r="C961">
        <v>44</v>
      </c>
      <c r="D961" t="s">
        <v>385</v>
      </c>
      <c r="E961" t="s">
        <v>48</v>
      </c>
      <c r="F961" s="9" t="s">
        <v>55</v>
      </c>
      <c r="G961" t="s">
        <v>50</v>
      </c>
      <c r="H961" t="s">
        <v>51</v>
      </c>
      <c r="I961" t="s">
        <v>52</v>
      </c>
      <c r="J961" t="s">
        <v>53</v>
      </c>
      <c r="K961" t="s">
        <v>54</v>
      </c>
      <c r="L961" t="s">
        <v>53</v>
      </c>
      <c r="M961" t="s">
        <v>54</v>
      </c>
      <c r="N961" t="s">
        <v>51</v>
      </c>
      <c r="O961" t="s">
        <v>52</v>
      </c>
      <c r="P961" t="s">
        <v>53</v>
      </c>
      <c r="Q961" t="s">
        <v>54</v>
      </c>
      <c r="R961" s="1">
        <v>44285.433495370373</v>
      </c>
      <c r="S961" s="1">
        <v>44285.433495370373</v>
      </c>
      <c r="T961">
        <v>1</v>
      </c>
      <c r="U961">
        <v>1</v>
      </c>
      <c r="V961" s="2">
        <v>1</v>
      </c>
      <c r="W961">
        <v>0</v>
      </c>
      <c r="X961" t="s">
        <v>54</v>
      </c>
      <c r="Y961">
        <v>0</v>
      </c>
    </row>
    <row r="962" spans="1:25" x14ac:dyDescent="0.2">
      <c r="A962" t="s">
        <v>381</v>
      </c>
      <c r="B962" s="3">
        <v>44286</v>
      </c>
      <c r="C962">
        <v>46</v>
      </c>
      <c r="D962" t="s">
        <v>384</v>
      </c>
      <c r="E962" t="s">
        <v>48</v>
      </c>
      <c r="F962" s="9" t="s">
        <v>55</v>
      </c>
      <c r="G962" t="s">
        <v>50</v>
      </c>
      <c r="H962" t="s">
        <v>51</v>
      </c>
      <c r="I962" t="s">
        <v>52</v>
      </c>
      <c r="J962" t="s">
        <v>53</v>
      </c>
      <c r="K962" t="s">
        <v>54</v>
      </c>
      <c r="L962" t="s">
        <v>53</v>
      </c>
      <c r="M962" t="s">
        <v>54</v>
      </c>
      <c r="N962" t="s">
        <v>51</v>
      </c>
      <c r="O962" t="s">
        <v>52</v>
      </c>
      <c r="P962" t="s">
        <v>53</v>
      </c>
      <c r="Q962" t="s">
        <v>54</v>
      </c>
      <c r="R962" s="1">
        <v>44286.357256944444</v>
      </c>
      <c r="S962" s="1">
        <v>44286.357256944444</v>
      </c>
      <c r="T962">
        <v>1</v>
      </c>
      <c r="U962">
        <v>1</v>
      </c>
      <c r="V962" s="2">
        <v>1</v>
      </c>
      <c r="W962">
        <v>0</v>
      </c>
      <c r="X962" t="s">
        <v>54</v>
      </c>
      <c r="Y962">
        <v>0</v>
      </c>
    </row>
    <row r="963" spans="1:25" x14ac:dyDescent="0.2">
      <c r="A963" t="s">
        <v>381</v>
      </c>
      <c r="B963" s="3">
        <v>44287</v>
      </c>
      <c r="C963">
        <v>47</v>
      </c>
      <c r="D963" t="s">
        <v>385</v>
      </c>
      <c r="E963" t="s">
        <v>48</v>
      </c>
      <c r="F963" s="9" t="s">
        <v>55</v>
      </c>
      <c r="G963" t="s">
        <v>50</v>
      </c>
      <c r="H963" t="s">
        <v>51</v>
      </c>
      <c r="I963" t="s">
        <v>52</v>
      </c>
      <c r="J963" t="s">
        <v>53</v>
      </c>
      <c r="K963" t="s">
        <v>54</v>
      </c>
      <c r="L963" t="s">
        <v>53</v>
      </c>
      <c r="M963" t="s">
        <v>54</v>
      </c>
      <c r="N963" t="s">
        <v>51</v>
      </c>
      <c r="O963" t="s">
        <v>52</v>
      </c>
      <c r="P963" t="s">
        <v>53</v>
      </c>
      <c r="Q963" t="s">
        <v>54</v>
      </c>
      <c r="R963" s="1">
        <v>44287.410925925928</v>
      </c>
      <c r="S963" s="1">
        <v>44287.410925925928</v>
      </c>
      <c r="T963">
        <v>1</v>
      </c>
      <c r="U963">
        <v>1</v>
      </c>
      <c r="V963" s="2">
        <v>1</v>
      </c>
      <c r="W963">
        <v>0</v>
      </c>
      <c r="X963" t="s">
        <v>54</v>
      </c>
      <c r="Y963">
        <v>0</v>
      </c>
    </row>
    <row r="964" spans="1:25" x14ac:dyDescent="0.2">
      <c r="A964" t="s">
        <v>381</v>
      </c>
      <c r="B964" s="3">
        <v>44288</v>
      </c>
      <c r="C964">
        <v>49</v>
      </c>
      <c r="D964" t="s">
        <v>384</v>
      </c>
      <c r="E964" t="s">
        <v>48</v>
      </c>
      <c r="F964" s="9" t="s">
        <v>55</v>
      </c>
      <c r="G964" t="s">
        <v>50</v>
      </c>
      <c r="H964" t="s">
        <v>51</v>
      </c>
      <c r="I964" t="s">
        <v>52</v>
      </c>
      <c r="J964" t="s">
        <v>53</v>
      </c>
      <c r="K964" t="s">
        <v>54</v>
      </c>
      <c r="L964" t="s">
        <v>53</v>
      </c>
      <c r="M964" t="s">
        <v>54</v>
      </c>
      <c r="N964" t="s">
        <v>51</v>
      </c>
      <c r="O964" t="s">
        <v>52</v>
      </c>
      <c r="P964" t="s">
        <v>53</v>
      </c>
      <c r="Q964" t="s">
        <v>54</v>
      </c>
      <c r="R964" s="1">
        <v>44288.358784722222</v>
      </c>
      <c r="S964" s="1">
        <v>44288.358784722222</v>
      </c>
      <c r="T964">
        <v>1</v>
      </c>
      <c r="U964">
        <v>1</v>
      </c>
      <c r="V964" s="2">
        <v>1</v>
      </c>
      <c r="W964">
        <v>0</v>
      </c>
      <c r="X964" t="s">
        <v>54</v>
      </c>
      <c r="Y964">
        <v>0</v>
      </c>
    </row>
    <row r="965" spans="1:25" x14ac:dyDescent="0.2">
      <c r="A965" t="s">
        <v>381</v>
      </c>
      <c r="B965" s="3">
        <v>44291</v>
      </c>
      <c r="C965">
        <v>50</v>
      </c>
      <c r="D965" t="s">
        <v>384</v>
      </c>
      <c r="E965" t="s">
        <v>48</v>
      </c>
      <c r="F965" s="9" t="s">
        <v>55</v>
      </c>
      <c r="G965" t="s">
        <v>50</v>
      </c>
      <c r="H965" t="s">
        <v>51</v>
      </c>
      <c r="I965" t="s">
        <v>52</v>
      </c>
      <c r="J965" t="s">
        <v>53</v>
      </c>
      <c r="K965" t="s">
        <v>54</v>
      </c>
      <c r="L965" t="s">
        <v>53</v>
      </c>
      <c r="M965" t="s">
        <v>54</v>
      </c>
      <c r="N965" t="s">
        <v>51</v>
      </c>
      <c r="O965" t="s">
        <v>52</v>
      </c>
      <c r="P965" t="s">
        <v>53</v>
      </c>
      <c r="Q965" t="s">
        <v>54</v>
      </c>
      <c r="R965" s="1">
        <v>44291.360682870371</v>
      </c>
      <c r="S965" s="1">
        <v>44291.360682870371</v>
      </c>
      <c r="T965">
        <v>1</v>
      </c>
      <c r="U965">
        <v>1</v>
      </c>
      <c r="V965" s="2">
        <v>1</v>
      </c>
      <c r="W965">
        <v>0</v>
      </c>
      <c r="X965" t="s">
        <v>54</v>
      </c>
      <c r="Y965">
        <v>0</v>
      </c>
    </row>
    <row r="966" spans="1:25" x14ac:dyDescent="0.2">
      <c r="A966" t="s">
        <v>381</v>
      </c>
      <c r="B966" s="3">
        <v>44292</v>
      </c>
      <c r="C966">
        <v>51</v>
      </c>
      <c r="D966" t="s">
        <v>385</v>
      </c>
      <c r="E966" t="s">
        <v>48</v>
      </c>
      <c r="F966" s="9" t="s">
        <v>55</v>
      </c>
      <c r="G966" t="s">
        <v>50</v>
      </c>
      <c r="H966" t="s">
        <v>51</v>
      </c>
      <c r="I966" t="s">
        <v>52</v>
      </c>
      <c r="J966" t="s">
        <v>53</v>
      </c>
      <c r="K966" t="s">
        <v>54</v>
      </c>
      <c r="L966" t="s">
        <v>53</v>
      </c>
      <c r="M966" t="s">
        <v>54</v>
      </c>
      <c r="N966" t="s">
        <v>51</v>
      </c>
      <c r="O966" t="s">
        <v>52</v>
      </c>
      <c r="P966" t="s">
        <v>53</v>
      </c>
      <c r="Q966" t="s">
        <v>54</v>
      </c>
      <c r="R966" s="1">
        <v>44292.415497685186</v>
      </c>
      <c r="S966" s="1">
        <v>44292.415497685186</v>
      </c>
      <c r="T966">
        <v>1</v>
      </c>
      <c r="U966">
        <v>1</v>
      </c>
      <c r="V966" s="2">
        <v>1</v>
      </c>
      <c r="W966">
        <v>0</v>
      </c>
      <c r="X966" t="s">
        <v>54</v>
      </c>
      <c r="Y966">
        <v>0</v>
      </c>
    </row>
    <row r="967" spans="1:25" x14ac:dyDescent="0.2">
      <c r="A967" t="s">
        <v>381</v>
      </c>
      <c r="B967" s="3">
        <v>44292</v>
      </c>
      <c r="C967">
        <v>52</v>
      </c>
      <c r="D967" t="s">
        <v>386</v>
      </c>
      <c r="E967" t="s">
        <v>48</v>
      </c>
      <c r="F967" s="9" t="s">
        <v>55</v>
      </c>
      <c r="G967" t="s">
        <v>50</v>
      </c>
      <c r="H967" t="s">
        <v>51</v>
      </c>
      <c r="I967" t="s">
        <v>52</v>
      </c>
      <c r="J967" t="s">
        <v>53</v>
      </c>
      <c r="K967" t="s">
        <v>54</v>
      </c>
      <c r="L967" t="s">
        <v>53</v>
      </c>
      <c r="M967" t="s">
        <v>54</v>
      </c>
      <c r="N967" t="s">
        <v>51</v>
      </c>
      <c r="O967" t="s">
        <v>52</v>
      </c>
      <c r="P967" t="s">
        <v>53</v>
      </c>
      <c r="Q967" t="s">
        <v>54</v>
      </c>
      <c r="R967" s="1">
        <v>44292.54111111111</v>
      </c>
      <c r="S967" s="1">
        <v>44292.54111111111</v>
      </c>
      <c r="T967">
        <v>1</v>
      </c>
      <c r="U967">
        <v>1</v>
      </c>
      <c r="V967" s="2">
        <v>1</v>
      </c>
      <c r="W967">
        <v>0</v>
      </c>
      <c r="X967" t="s">
        <v>54</v>
      </c>
      <c r="Y967">
        <v>0</v>
      </c>
    </row>
    <row r="968" spans="1:25" x14ac:dyDescent="0.2">
      <c r="A968" t="s">
        <v>381</v>
      </c>
      <c r="B968" s="3">
        <v>44293</v>
      </c>
      <c r="C968">
        <v>53</v>
      </c>
      <c r="D968" t="s">
        <v>384</v>
      </c>
      <c r="E968" t="s">
        <v>48</v>
      </c>
      <c r="F968" s="9" t="s">
        <v>55</v>
      </c>
      <c r="G968" t="s">
        <v>50</v>
      </c>
      <c r="H968" t="s">
        <v>51</v>
      </c>
      <c r="I968" t="s">
        <v>52</v>
      </c>
      <c r="J968" t="s">
        <v>53</v>
      </c>
      <c r="K968" t="s">
        <v>54</v>
      </c>
      <c r="L968" t="s">
        <v>53</v>
      </c>
      <c r="M968" t="s">
        <v>54</v>
      </c>
      <c r="N968" t="s">
        <v>51</v>
      </c>
      <c r="O968" t="s">
        <v>52</v>
      </c>
      <c r="P968" t="s">
        <v>53</v>
      </c>
      <c r="Q968" t="s">
        <v>54</v>
      </c>
      <c r="R968" s="1">
        <v>44293.363078703704</v>
      </c>
      <c r="S968" s="1">
        <v>44293.363078703704</v>
      </c>
      <c r="T968">
        <v>1</v>
      </c>
      <c r="U968">
        <v>1</v>
      </c>
      <c r="V968" s="2">
        <v>1</v>
      </c>
      <c r="W968">
        <v>0</v>
      </c>
      <c r="X968" t="s">
        <v>54</v>
      </c>
      <c r="Y968">
        <v>0</v>
      </c>
    </row>
    <row r="969" spans="1:25" x14ac:dyDescent="0.2">
      <c r="A969" t="s">
        <v>381</v>
      </c>
      <c r="B969" s="3">
        <v>44294</v>
      </c>
      <c r="C969">
        <v>55</v>
      </c>
      <c r="D969" t="s">
        <v>385</v>
      </c>
      <c r="E969" t="s">
        <v>48</v>
      </c>
      <c r="F969" s="9" t="s">
        <v>55</v>
      </c>
      <c r="G969" t="s">
        <v>50</v>
      </c>
      <c r="H969" t="s">
        <v>51</v>
      </c>
      <c r="I969" t="s">
        <v>52</v>
      </c>
      <c r="J969" t="s">
        <v>53</v>
      </c>
      <c r="K969" t="s">
        <v>54</v>
      </c>
      <c r="L969" t="s">
        <v>53</v>
      </c>
      <c r="M969" t="s">
        <v>54</v>
      </c>
      <c r="N969" t="s">
        <v>51</v>
      </c>
      <c r="O969" t="s">
        <v>52</v>
      </c>
      <c r="P969" t="s">
        <v>53</v>
      </c>
      <c r="Q969" t="s">
        <v>54</v>
      </c>
      <c r="R969" s="1">
        <v>44294.589525462965</v>
      </c>
      <c r="S969" s="1">
        <v>44294.589525462965</v>
      </c>
      <c r="T969">
        <v>1</v>
      </c>
      <c r="U969">
        <v>1</v>
      </c>
      <c r="V969" s="2">
        <v>1</v>
      </c>
      <c r="W969">
        <v>0</v>
      </c>
      <c r="X969" t="s">
        <v>54</v>
      </c>
      <c r="Y969">
        <v>0</v>
      </c>
    </row>
    <row r="970" spans="1:25" x14ac:dyDescent="0.2">
      <c r="A970" t="s">
        <v>381</v>
      </c>
      <c r="B970" s="3">
        <v>44295</v>
      </c>
      <c r="C970">
        <v>56</v>
      </c>
      <c r="D970" t="s">
        <v>384</v>
      </c>
      <c r="E970" t="s">
        <v>48</v>
      </c>
      <c r="F970" s="9" t="s">
        <v>55</v>
      </c>
      <c r="G970" t="s">
        <v>50</v>
      </c>
      <c r="H970" t="s">
        <v>51</v>
      </c>
      <c r="I970" t="s">
        <v>52</v>
      </c>
      <c r="J970" t="s">
        <v>53</v>
      </c>
      <c r="K970" t="s">
        <v>54</v>
      </c>
      <c r="L970" t="s">
        <v>53</v>
      </c>
      <c r="M970" t="s">
        <v>54</v>
      </c>
      <c r="N970" t="s">
        <v>51</v>
      </c>
      <c r="O970" t="s">
        <v>52</v>
      </c>
      <c r="P970" t="s">
        <v>53</v>
      </c>
      <c r="Q970" t="s">
        <v>54</v>
      </c>
      <c r="R970" s="1">
        <v>44295.357604166667</v>
      </c>
      <c r="S970" s="1">
        <v>44295.357604166667</v>
      </c>
      <c r="T970">
        <v>1</v>
      </c>
      <c r="U970">
        <v>1</v>
      </c>
      <c r="V970" s="2">
        <v>1</v>
      </c>
      <c r="W970">
        <v>0</v>
      </c>
      <c r="X970" t="s">
        <v>54</v>
      </c>
      <c r="Y970">
        <v>0</v>
      </c>
    </row>
    <row r="971" spans="1:25" x14ac:dyDescent="0.2">
      <c r="A971" t="s">
        <v>381</v>
      </c>
      <c r="B971" s="3">
        <v>44298</v>
      </c>
      <c r="C971">
        <v>57</v>
      </c>
      <c r="D971" t="s">
        <v>387</v>
      </c>
      <c r="E971" t="s">
        <v>48</v>
      </c>
      <c r="F971" s="9" t="s">
        <v>55</v>
      </c>
      <c r="G971" t="s">
        <v>50</v>
      </c>
      <c r="H971" t="s">
        <v>51</v>
      </c>
      <c r="I971" t="s">
        <v>52</v>
      </c>
      <c r="J971" t="s">
        <v>53</v>
      </c>
      <c r="K971" t="s">
        <v>54</v>
      </c>
      <c r="L971" t="s">
        <v>53</v>
      </c>
      <c r="M971" t="s">
        <v>54</v>
      </c>
      <c r="N971" t="s">
        <v>51</v>
      </c>
      <c r="O971" t="s">
        <v>52</v>
      </c>
      <c r="P971" t="s">
        <v>53</v>
      </c>
      <c r="Q971" t="s">
        <v>54</v>
      </c>
      <c r="R971" s="1">
        <v>44298.543217592596</v>
      </c>
      <c r="S971" s="1">
        <v>44298.543217592596</v>
      </c>
      <c r="T971">
        <v>1</v>
      </c>
      <c r="U971">
        <v>1</v>
      </c>
      <c r="V971" s="2">
        <v>1</v>
      </c>
      <c r="W971">
        <v>0</v>
      </c>
      <c r="X971" t="s">
        <v>54</v>
      </c>
      <c r="Y971">
        <v>0</v>
      </c>
    </row>
    <row r="972" spans="1:25" x14ac:dyDescent="0.2">
      <c r="A972" t="s">
        <v>381</v>
      </c>
      <c r="B972" s="3">
        <v>44299</v>
      </c>
      <c r="C972">
        <v>59</v>
      </c>
      <c r="D972" t="s">
        <v>385</v>
      </c>
      <c r="E972" t="s">
        <v>48</v>
      </c>
      <c r="F972" s="9" t="s">
        <v>55</v>
      </c>
      <c r="G972" t="s">
        <v>50</v>
      </c>
      <c r="H972" t="s">
        <v>51</v>
      </c>
      <c r="I972" t="s">
        <v>52</v>
      </c>
      <c r="J972" t="s">
        <v>53</v>
      </c>
      <c r="K972" t="s">
        <v>54</v>
      </c>
      <c r="L972" t="s">
        <v>53</v>
      </c>
      <c r="M972" t="s">
        <v>54</v>
      </c>
      <c r="N972" t="s">
        <v>51</v>
      </c>
      <c r="O972" t="s">
        <v>52</v>
      </c>
      <c r="P972" t="s">
        <v>53</v>
      </c>
      <c r="Q972" t="s">
        <v>54</v>
      </c>
      <c r="R972" s="1">
        <v>44299.596875000003</v>
      </c>
      <c r="S972" s="1">
        <v>44299.596875000003</v>
      </c>
      <c r="T972">
        <v>1</v>
      </c>
      <c r="U972">
        <v>1</v>
      </c>
      <c r="V972" s="2">
        <v>1</v>
      </c>
      <c r="W972">
        <v>0</v>
      </c>
      <c r="X972" t="s">
        <v>54</v>
      </c>
      <c r="Y972">
        <v>0</v>
      </c>
    </row>
    <row r="973" spans="1:25" x14ac:dyDescent="0.2">
      <c r="A973" t="s">
        <v>381</v>
      </c>
      <c r="B973" s="3">
        <v>44300</v>
      </c>
      <c r="C973">
        <v>60</v>
      </c>
      <c r="D973" t="s">
        <v>398</v>
      </c>
      <c r="E973" t="s">
        <v>48</v>
      </c>
      <c r="F973" s="9" t="s">
        <v>55</v>
      </c>
      <c r="G973" t="s">
        <v>50</v>
      </c>
      <c r="H973" t="s">
        <v>51</v>
      </c>
      <c r="I973" t="s">
        <v>52</v>
      </c>
      <c r="J973" t="s">
        <v>53</v>
      </c>
      <c r="K973" t="s">
        <v>54</v>
      </c>
      <c r="L973" t="s">
        <v>53</v>
      </c>
      <c r="M973" t="s">
        <v>54</v>
      </c>
      <c r="N973" t="s">
        <v>51</v>
      </c>
      <c r="O973" t="s">
        <v>52</v>
      </c>
      <c r="P973" t="s">
        <v>53</v>
      </c>
      <c r="Q973" t="s">
        <v>54</v>
      </c>
      <c r="R973" s="1">
        <v>44300.394270833334</v>
      </c>
      <c r="S973" s="1">
        <v>44300.394270833334</v>
      </c>
      <c r="T973">
        <v>1</v>
      </c>
      <c r="U973">
        <v>1</v>
      </c>
      <c r="V973" s="2">
        <v>1</v>
      </c>
      <c r="W973">
        <v>0</v>
      </c>
      <c r="X973" t="s">
        <v>54</v>
      </c>
      <c r="Y973">
        <v>0</v>
      </c>
    </row>
    <row r="974" spans="1:25" x14ac:dyDescent="0.2">
      <c r="A974" t="s">
        <v>381</v>
      </c>
      <c r="B974" s="3">
        <v>44300</v>
      </c>
      <c r="C974">
        <v>61</v>
      </c>
      <c r="D974" t="s">
        <v>401</v>
      </c>
      <c r="E974" t="s">
        <v>48</v>
      </c>
      <c r="F974" s="9" t="s">
        <v>55</v>
      </c>
      <c r="G974" t="s">
        <v>50</v>
      </c>
      <c r="H974" t="s">
        <v>51</v>
      </c>
      <c r="I974" t="s">
        <v>52</v>
      </c>
      <c r="J974" t="s">
        <v>53</v>
      </c>
      <c r="K974" t="s">
        <v>54</v>
      </c>
      <c r="L974" t="s">
        <v>53</v>
      </c>
      <c r="M974" t="s">
        <v>54</v>
      </c>
      <c r="N974" t="s">
        <v>51</v>
      </c>
      <c r="O974" t="s">
        <v>52</v>
      </c>
      <c r="P974" t="s">
        <v>53</v>
      </c>
      <c r="Q974" t="s">
        <v>54</v>
      </c>
      <c r="R974" s="1">
        <v>44300.564050925925</v>
      </c>
      <c r="S974" s="1">
        <v>44300.564050925925</v>
      </c>
      <c r="T974">
        <v>1</v>
      </c>
      <c r="U974">
        <v>1</v>
      </c>
      <c r="V974" s="2">
        <v>1</v>
      </c>
      <c r="W974">
        <v>0</v>
      </c>
      <c r="X974" t="s">
        <v>54</v>
      </c>
      <c r="Y974">
        <v>0</v>
      </c>
    </row>
    <row r="975" spans="1:25" x14ac:dyDescent="0.2">
      <c r="A975" t="s">
        <v>381</v>
      </c>
      <c r="B975" s="3">
        <v>44302</v>
      </c>
      <c r="C975">
        <v>64</v>
      </c>
      <c r="D975" t="s">
        <v>390</v>
      </c>
      <c r="E975" t="s">
        <v>48</v>
      </c>
      <c r="F975" s="9" t="s">
        <v>55</v>
      </c>
      <c r="G975" t="s">
        <v>50</v>
      </c>
      <c r="H975" t="s">
        <v>51</v>
      </c>
      <c r="I975" t="s">
        <v>52</v>
      </c>
      <c r="J975" t="s">
        <v>53</v>
      </c>
      <c r="K975" t="s">
        <v>54</v>
      </c>
      <c r="L975" t="s">
        <v>53</v>
      </c>
      <c r="M975" t="s">
        <v>54</v>
      </c>
      <c r="N975" t="s">
        <v>51</v>
      </c>
      <c r="O975" t="s">
        <v>52</v>
      </c>
      <c r="P975" t="s">
        <v>53</v>
      </c>
      <c r="Q975" t="s">
        <v>54</v>
      </c>
      <c r="R975" s="1">
        <v>44302.38045138889</v>
      </c>
      <c r="S975" s="1">
        <v>44302.38045138889</v>
      </c>
      <c r="T975">
        <v>1</v>
      </c>
      <c r="U975">
        <v>1</v>
      </c>
      <c r="V975" s="2">
        <v>1</v>
      </c>
      <c r="W975">
        <v>0</v>
      </c>
      <c r="X975" t="s">
        <v>54</v>
      </c>
      <c r="Y975">
        <v>0</v>
      </c>
    </row>
    <row r="976" spans="1:25" x14ac:dyDescent="0.2">
      <c r="A976" t="s">
        <v>381</v>
      </c>
      <c r="B976" s="3">
        <v>44302</v>
      </c>
      <c r="C976">
        <v>65</v>
      </c>
      <c r="D976" t="s">
        <v>387</v>
      </c>
      <c r="E976" t="s">
        <v>48</v>
      </c>
      <c r="F976" s="9" t="s">
        <v>55</v>
      </c>
      <c r="G976" t="s">
        <v>50</v>
      </c>
      <c r="H976" t="s">
        <v>51</v>
      </c>
      <c r="I976" t="s">
        <v>52</v>
      </c>
      <c r="J976" t="s">
        <v>53</v>
      </c>
      <c r="K976" t="s">
        <v>54</v>
      </c>
      <c r="L976" t="s">
        <v>53</v>
      </c>
      <c r="M976" t="s">
        <v>54</v>
      </c>
      <c r="N976" t="s">
        <v>51</v>
      </c>
      <c r="O976" t="s">
        <v>52</v>
      </c>
      <c r="P976" t="s">
        <v>53</v>
      </c>
      <c r="Q976" t="s">
        <v>54</v>
      </c>
      <c r="R976" s="1">
        <v>44302.555925925924</v>
      </c>
      <c r="S976" s="1">
        <v>44302.555925925924</v>
      </c>
      <c r="T976">
        <v>1</v>
      </c>
      <c r="U976">
        <v>1</v>
      </c>
      <c r="V976" s="2">
        <v>1</v>
      </c>
      <c r="W976">
        <v>0</v>
      </c>
      <c r="X976" t="s">
        <v>54</v>
      </c>
      <c r="Y976">
        <v>0</v>
      </c>
    </row>
    <row r="977" spans="1:25" x14ac:dyDescent="0.2">
      <c r="A977" t="s">
        <v>381</v>
      </c>
      <c r="B977" s="3">
        <v>44307</v>
      </c>
      <c r="C977">
        <v>66</v>
      </c>
      <c r="D977" t="s">
        <v>398</v>
      </c>
      <c r="E977" t="s">
        <v>48</v>
      </c>
      <c r="F977" s="9" t="s">
        <v>55</v>
      </c>
      <c r="G977" t="s">
        <v>50</v>
      </c>
      <c r="H977" t="s">
        <v>51</v>
      </c>
      <c r="I977" t="s">
        <v>52</v>
      </c>
      <c r="J977" t="s">
        <v>53</v>
      </c>
      <c r="K977" t="s">
        <v>54</v>
      </c>
      <c r="L977" t="s">
        <v>53</v>
      </c>
      <c r="M977" t="s">
        <v>54</v>
      </c>
      <c r="N977" t="s">
        <v>51</v>
      </c>
      <c r="O977" t="s">
        <v>52</v>
      </c>
      <c r="P977" t="s">
        <v>53</v>
      </c>
      <c r="Q977" t="s">
        <v>54</v>
      </c>
      <c r="R977" s="1">
        <v>44307.379143518519</v>
      </c>
      <c r="S977" s="1">
        <v>44307.379143518519</v>
      </c>
      <c r="T977">
        <v>1</v>
      </c>
      <c r="U977">
        <v>1</v>
      </c>
      <c r="V977" s="2">
        <v>1</v>
      </c>
      <c r="W977">
        <v>0</v>
      </c>
      <c r="X977" t="s">
        <v>54</v>
      </c>
      <c r="Y977">
        <v>0</v>
      </c>
    </row>
    <row r="978" spans="1:25" x14ac:dyDescent="0.2">
      <c r="A978" t="s">
        <v>381</v>
      </c>
      <c r="B978" s="3">
        <v>44307</v>
      </c>
      <c r="C978">
        <v>67</v>
      </c>
      <c r="D978" t="s">
        <v>387</v>
      </c>
      <c r="E978" t="s">
        <v>48</v>
      </c>
      <c r="F978" s="9" t="s">
        <v>55</v>
      </c>
      <c r="G978" t="s">
        <v>50</v>
      </c>
      <c r="H978" t="s">
        <v>51</v>
      </c>
      <c r="I978" t="s">
        <v>52</v>
      </c>
      <c r="J978" t="s">
        <v>53</v>
      </c>
      <c r="K978" t="s">
        <v>54</v>
      </c>
      <c r="L978" t="s">
        <v>53</v>
      </c>
      <c r="M978" t="s">
        <v>54</v>
      </c>
      <c r="N978" t="s">
        <v>51</v>
      </c>
      <c r="O978" t="s">
        <v>52</v>
      </c>
      <c r="P978" t="s">
        <v>53</v>
      </c>
      <c r="Q978" t="s">
        <v>54</v>
      </c>
      <c r="R978" s="1">
        <v>44307.558993055558</v>
      </c>
      <c r="S978" s="1">
        <v>44307.558993055558</v>
      </c>
      <c r="T978">
        <v>1</v>
      </c>
      <c r="U978">
        <v>1</v>
      </c>
      <c r="V978" s="2">
        <v>1</v>
      </c>
      <c r="W978">
        <v>0</v>
      </c>
      <c r="X978" t="s">
        <v>54</v>
      </c>
      <c r="Y978">
        <v>0</v>
      </c>
    </row>
    <row r="979" spans="1:25" x14ac:dyDescent="0.2">
      <c r="A979" t="s">
        <v>381</v>
      </c>
      <c r="B979" s="3">
        <v>44308</v>
      </c>
      <c r="C979">
        <v>68</v>
      </c>
      <c r="D979" t="s">
        <v>383</v>
      </c>
      <c r="E979" t="s">
        <v>48</v>
      </c>
      <c r="F979" s="9" t="s">
        <v>55</v>
      </c>
      <c r="G979" t="s">
        <v>50</v>
      </c>
      <c r="H979" t="s">
        <v>51</v>
      </c>
      <c r="I979" t="s">
        <v>52</v>
      </c>
      <c r="J979" t="s">
        <v>53</v>
      </c>
      <c r="K979" t="s">
        <v>54</v>
      </c>
      <c r="L979" t="s">
        <v>53</v>
      </c>
      <c r="M979" t="s">
        <v>54</v>
      </c>
      <c r="N979" t="s">
        <v>51</v>
      </c>
      <c r="O979" t="s">
        <v>52</v>
      </c>
      <c r="P979" t="s">
        <v>53</v>
      </c>
      <c r="Q979" t="s">
        <v>54</v>
      </c>
      <c r="R979" s="1">
        <v>44308.383414351854</v>
      </c>
      <c r="S979" s="1">
        <v>44308.383414351854</v>
      </c>
      <c r="T979">
        <v>1</v>
      </c>
      <c r="U979">
        <v>1</v>
      </c>
      <c r="V979" s="2">
        <v>1</v>
      </c>
      <c r="W979">
        <v>0</v>
      </c>
      <c r="X979" t="s">
        <v>54</v>
      </c>
      <c r="Y979">
        <v>0</v>
      </c>
    </row>
    <row r="980" spans="1:25" x14ac:dyDescent="0.2">
      <c r="A980" t="s">
        <v>381</v>
      </c>
      <c r="B980" s="3">
        <v>44308</v>
      </c>
      <c r="C980">
        <v>69</v>
      </c>
      <c r="D980" t="s">
        <v>385</v>
      </c>
      <c r="E980" t="s">
        <v>48</v>
      </c>
      <c r="F980" s="9" t="s">
        <v>55</v>
      </c>
      <c r="G980" t="s">
        <v>50</v>
      </c>
      <c r="H980" t="s">
        <v>51</v>
      </c>
      <c r="I980" t="s">
        <v>52</v>
      </c>
      <c r="J980" t="s">
        <v>53</v>
      </c>
      <c r="K980" t="s">
        <v>54</v>
      </c>
      <c r="L980" t="s">
        <v>53</v>
      </c>
      <c r="M980" t="s">
        <v>54</v>
      </c>
      <c r="N980" t="s">
        <v>51</v>
      </c>
      <c r="O980" t="s">
        <v>52</v>
      </c>
      <c r="P980" t="s">
        <v>53</v>
      </c>
      <c r="Q980" t="s">
        <v>54</v>
      </c>
      <c r="R980" s="1">
        <v>44308.588159722225</v>
      </c>
      <c r="S980" s="1">
        <v>44308.588159722225</v>
      </c>
      <c r="T980">
        <v>1</v>
      </c>
      <c r="U980">
        <v>1</v>
      </c>
      <c r="V980" s="2">
        <v>1</v>
      </c>
      <c r="W980">
        <v>0</v>
      </c>
      <c r="X980" t="s">
        <v>54</v>
      </c>
      <c r="Y980">
        <v>0</v>
      </c>
    </row>
    <row r="981" spans="1:25" x14ac:dyDescent="0.2">
      <c r="A981" t="s">
        <v>381</v>
      </c>
      <c r="B981" s="3">
        <v>44309</v>
      </c>
      <c r="C981">
        <v>70</v>
      </c>
      <c r="D981" t="s">
        <v>388</v>
      </c>
      <c r="E981" t="s">
        <v>48</v>
      </c>
      <c r="F981" s="9" t="s">
        <v>55</v>
      </c>
      <c r="G981" t="s">
        <v>50</v>
      </c>
      <c r="H981" t="s">
        <v>51</v>
      </c>
      <c r="I981" t="s">
        <v>52</v>
      </c>
      <c r="J981" t="s">
        <v>53</v>
      </c>
      <c r="K981" t="s">
        <v>54</v>
      </c>
      <c r="L981" t="s">
        <v>53</v>
      </c>
      <c r="M981" t="s">
        <v>54</v>
      </c>
      <c r="N981" t="s">
        <v>51</v>
      </c>
      <c r="O981" t="s">
        <v>52</v>
      </c>
      <c r="P981" t="s">
        <v>53</v>
      </c>
      <c r="Q981" t="s">
        <v>54</v>
      </c>
      <c r="R981" s="1">
        <v>44309.494618055556</v>
      </c>
      <c r="S981" s="1">
        <v>44309.494618055556</v>
      </c>
      <c r="T981">
        <v>1</v>
      </c>
      <c r="U981">
        <v>1</v>
      </c>
      <c r="V981" s="2">
        <v>1</v>
      </c>
      <c r="W981">
        <v>0</v>
      </c>
      <c r="X981" t="s">
        <v>54</v>
      </c>
      <c r="Y981">
        <v>0</v>
      </c>
    </row>
    <row r="982" spans="1:25" x14ac:dyDescent="0.2">
      <c r="A982" t="s">
        <v>381</v>
      </c>
      <c r="B982" s="3">
        <v>44312</v>
      </c>
      <c r="C982">
        <v>72</v>
      </c>
      <c r="D982" t="s">
        <v>402</v>
      </c>
      <c r="E982" t="s">
        <v>48</v>
      </c>
      <c r="F982" s="9" t="s">
        <v>55</v>
      </c>
      <c r="G982" t="s">
        <v>50</v>
      </c>
      <c r="H982" t="s">
        <v>51</v>
      </c>
      <c r="I982" t="s">
        <v>52</v>
      </c>
      <c r="J982" t="s">
        <v>53</v>
      </c>
      <c r="K982" t="s">
        <v>54</v>
      </c>
      <c r="L982" t="s">
        <v>53</v>
      </c>
      <c r="M982" t="s">
        <v>54</v>
      </c>
      <c r="N982" t="s">
        <v>51</v>
      </c>
      <c r="O982" t="s">
        <v>52</v>
      </c>
      <c r="P982" t="s">
        <v>53</v>
      </c>
      <c r="Q982" t="s">
        <v>54</v>
      </c>
      <c r="R982" s="1">
        <v>44312.401956018519</v>
      </c>
      <c r="S982" s="1">
        <v>44312.401956018519</v>
      </c>
      <c r="T982">
        <v>1</v>
      </c>
      <c r="U982">
        <v>1</v>
      </c>
      <c r="V982" s="2">
        <v>1</v>
      </c>
      <c r="W982">
        <v>0</v>
      </c>
      <c r="X982" t="s">
        <v>54</v>
      </c>
      <c r="Y982">
        <v>0</v>
      </c>
    </row>
    <row r="983" spans="1:25" x14ac:dyDescent="0.2">
      <c r="A983" t="s">
        <v>381</v>
      </c>
      <c r="B983" s="3">
        <v>44312</v>
      </c>
      <c r="C983">
        <v>73</v>
      </c>
      <c r="D983" t="s">
        <v>387</v>
      </c>
      <c r="E983" t="s">
        <v>48</v>
      </c>
      <c r="F983" s="9" t="s">
        <v>55</v>
      </c>
      <c r="G983" t="s">
        <v>50</v>
      </c>
      <c r="H983" t="s">
        <v>51</v>
      </c>
      <c r="I983" t="s">
        <v>52</v>
      </c>
      <c r="J983" t="s">
        <v>53</v>
      </c>
      <c r="K983" t="s">
        <v>54</v>
      </c>
      <c r="L983" t="s">
        <v>53</v>
      </c>
      <c r="M983" t="s">
        <v>54</v>
      </c>
      <c r="N983" t="s">
        <v>51</v>
      </c>
      <c r="O983" t="s">
        <v>52</v>
      </c>
      <c r="P983" t="s">
        <v>53</v>
      </c>
      <c r="Q983" t="s">
        <v>54</v>
      </c>
      <c r="R983" s="1">
        <v>44312.575891203705</v>
      </c>
      <c r="S983" s="1">
        <v>44312.575891203705</v>
      </c>
      <c r="T983">
        <v>1</v>
      </c>
      <c r="U983">
        <v>1</v>
      </c>
      <c r="V983" s="2">
        <v>1</v>
      </c>
      <c r="W983">
        <v>0</v>
      </c>
      <c r="X983" t="s">
        <v>54</v>
      </c>
      <c r="Y983">
        <v>0</v>
      </c>
    </row>
    <row r="984" spans="1:25" x14ac:dyDescent="0.2">
      <c r="A984" t="s">
        <v>381</v>
      </c>
      <c r="B984" s="3">
        <v>44313</v>
      </c>
      <c r="C984">
        <v>74</v>
      </c>
      <c r="D984" t="s">
        <v>383</v>
      </c>
      <c r="E984" t="s">
        <v>48</v>
      </c>
      <c r="F984" s="9" t="s">
        <v>55</v>
      </c>
      <c r="G984" t="s">
        <v>50</v>
      </c>
      <c r="H984" t="s">
        <v>51</v>
      </c>
      <c r="I984" t="s">
        <v>52</v>
      </c>
      <c r="J984" t="s">
        <v>53</v>
      </c>
      <c r="K984" t="s">
        <v>54</v>
      </c>
      <c r="L984" t="s">
        <v>53</v>
      </c>
      <c r="M984" t="s">
        <v>54</v>
      </c>
      <c r="N984" t="s">
        <v>51</v>
      </c>
      <c r="O984" t="s">
        <v>52</v>
      </c>
      <c r="P984" t="s">
        <v>53</v>
      </c>
      <c r="Q984" t="s">
        <v>54</v>
      </c>
      <c r="R984" s="1">
        <v>44313.39770833333</v>
      </c>
      <c r="S984" s="1">
        <v>44313.39770833333</v>
      </c>
      <c r="T984">
        <v>1</v>
      </c>
      <c r="U984">
        <v>1</v>
      </c>
      <c r="V984" s="2">
        <v>1</v>
      </c>
      <c r="W984">
        <v>0</v>
      </c>
      <c r="X984" t="s">
        <v>54</v>
      </c>
      <c r="Y984">
        <v>0</v>
      </c>
    </row>
    <row r="985" spans="1:25" x14ac:dyDescent="0.2">
      <c r="A985" t="s">
        <v>381</v>
      </c>
      <c r="B985" s="3">
        <v>44313</v>
      </c>
      <c r="C985">
        <v>76</v>
      </c>
      <c r="D985" t="s">
        <v>385</v>
      </c>
      <c r="E985" t="s">
        <v>48</v>
      </c>
      <c r="F985" s="9" t="s">
        <v>55</v>
      </c>
      <c r="G985" t="s">
        <v>50</v>
      </c>
      <c r="H985" t="s">
        <v>51</v>
      </c>
      <c r="I985" t="s">
        <v>52</v>
      </c>
      <c r="J985" t="s">
        <v>53</v>
      </c>
      <c r="K985" t="s">
        <v>54</v>
      </c>
      <c r="L985" t="s">
        <v>53</v>
      </c>
      <c r="M985" t="s">
        <v>54</v>
      </c>
      <c r="N985" t="s">
        <v>51</v>
      </c>
      <c r="O985" t="s">
        <v>52</v>
      </c>
      <c r="P985" t="s">
        <v>53</v>
      </c>
      <c r="Q985" t="s">
        <v>54</v>
      </c>
      <c r="R985" s="1">
        <v>44313.59</v>
      </c>
      <c r="S985" s="1">
        <v>44313.59</v>
      </c>
      <c r="T985">
        <v>1</v>
      </c>
      <c r="U985">
        <v>1</v>
      </c>
      <c r="V985" s="2">
        <v>1</v>
      </c>
      <c r="W985">
        <v>0</v>
      </c>
      <c r="X985" t="s">
        <v>54</v>
      </c>
      <c r="Y985">
        <v>0</v>
      </c>
    </row>
    <row r="986" spans="1:25" x14ac:dyDescent="0.2">
      <c r="A986" t="s">
        <v>381</v>
      </c>
      <c r="B986" s="3">
        <v>44314</v>
      </c>
      <c r="C986">
        <v>77</v>
      </c>
      <c r="D986" t="s">
        <v>403</v>
      </c>
      <c r="E986" t="s">
        <v>48</v>
      </c>
      <c r="F986" s="9" t="s">
        <v>55</v>
      </c>
      <c r="G986" t="s">
        <v>50</v>
      </c>
      <c r="H986" t="s">
        <v>51</v>
      </c>
      <c r="I986" t="s">
        <v>52</v>
      </c>
      <c r="J986" t="s">
        <v>53</v>
      </c>
      <c r="K986" t="s">
        <v>54</v>
      </c>
      <c r="L986" t="s">
        <v>53</v>
      </c>
      <c r="M986" t="s">
        <v>54</v>
      </c>
      <c r="N986" t="s">
        <v>51</v>
      </c>
      <c r="O986" t="s">
        <v>52</v>
      </c>
      <c r="P986" t="s">
        <v>53</v>
      </c>
      <c r="Q986" t="s">
        <v>54</v>
      </c>
      <c r="R986" s="1">
        <v>44314.379467592589</v>
      </c>
      <c r="S986" s="1">
        <v>44314.379467592589</v>
      </c>
      <c r="T986">
        <v>1</v>
      </c>
      <c r="U986">
        <v>1</v>
      </c>
      <c r="V986" s="2">
        <v>1</v>
      </c>
      <c r="W986">
        <v>0</v>
      </c>
      <c r="X986" t="s">
        <v>54</v>
      </c>
      <c r="Y986">
        <v>0</v>
      </c>
    </row>
    <row r="987" spans="1:25" x14ac:dyDescent="0.2">
      <c r="A987" t="s">
        <v>381</v>
      </c>
      <c r="B987" s="3">
        <v>44314</v>
      </c>
      <c r="C987">
        <v>78</v>
      </c>
      <c r="D987" t="s">
        <v>387</v>
      </c>
      <c r="E987" t="s">
        <v>48</v>
      </c>
      <c r="F987" s="9" t="s">
        <v>55</v>
      </c>
      <c r="G987" t="s">
        <v>50</v>
      </c>
      <c r="H987" t="s">
        <v>51</v>
      </c>
      <c r="I987" t="s">
        <v>52</v>
      </c>
      <c r="J987" t="s">
        <v>53</v>
      </c>
      <c r="K987" t="s">
        <v>54</v>
      </c>
      <c r="L987" t="s">
        <v>53</v>
      </c>
      <c r="M987" t="s">
        <v>54</v>
      </c>
      <c r="N987" t="s">
        <v>51</v>
      </c>
      <c r="O987" t="s">
        <v>52</v>
      </c>
      <c r="P987" t="s">
        <v>53</v>
      </c>
      <c r="Q987" t="s">
        <v>54</v>
      </c>
      <c r="R987" s="1">
        <v>44314.537523148145</v>
      </c>
      <c r="S987" s="1">
        <v>44314.537523148145</v>
      </c>
      <c r="T987">
        <v>1</v>
      </c>
      <c r="U987">
        <v>1</v>
      </c>
      <c r="V987" s="2">
        <v>1</v>
      </c>
      <c r="W987">
        <v>0</v>
      </c>
      <c r="X987" t="s">
        <v>54</v>
      </c>
      <c r="Y987">
        <v>0</v>
      </c>
    </row>
    <row r="988" spans="1:25" x14ac:dyDescent="0.2">
      <c r="A988" t="s">
        <v>381</v>
      </c>
      <c r="B988" s="3">
        <v>44315</v>
      </c>
      <c r="C988">
        <v>79</v>
      </c>
      <c r="D988" t="s">
        <v>383</v>
      </c>
      <c r="E988" t="s">
        <v>48</v>
      </c>
      <c r="F988" s="9" t="s">
        <v>55</v>
      </c>
      <c r="G988" t="s">
        <v>50</v>
      </c>
      <c r="H988" t="s">
        <v>51</v>
      </c>
      <c r="I988" t="s">
        <v>52</v>
      </c>
      <c r="J988" t="s">
        <v>53</v>
      </c>
      <c r="K988" t="s">
        <v>54</v>
      </c>
      <c r="L988" t="s">
        <v>53</v>
      </c>
      <c r="M988" t="s">
        <v>54</v>
      </c>
      <c r="N988" t="s">
        <v>51</v>
      </c>
      <c r="O988" t="s">
        <v>52</v>
      </c>
      <c r="P988" t="s">
        <v>53</v>
      </c>
      <c r="Q988" t="s">
        <v>54</v>
      </c>
      <c r="R988" s="1">
        <v>44315.382210648146</v>
      </c>
      <c r="S988" s="1">
        <v>44315.382210648146</v>
      </c>
      <c r="T988">
        <v>1</v>
      </c>
      <c r="U988">
        <v>1</v>
      </c>
      <c r="V988" s="2">
        <v>1</v>
      </c>
      <c r="W988">
        <v>0</v>
      </c>
      <c r="X988" t="s">
        <v>54</v>
      </c>
      <c r="Y988">
        <v>0</v>
      </c>
    </row>
    <row r="989" spans="1:25" x14ac:dyDescent="0.2">
      <c r="A989" t="s">
        <v>381</v>
      </c>
      <c r="B989" s="3">
        <v>44315</v>
      </c>
      <c r="C989">
        <v>81</v>
      </c>
      <c r="D989" t="s">
        <v>385</v>
      </c>
      <c r="E989" t="s">
        <v>48</v>
      </c>
      <c r="F989" s="9" t="s">
        <v>55</v>
      </c>
      <c r="G989" t="s">
        <v>50</v>
      </c>
      <c r="H989" t="s">
        <v>51</v>
      </c>
      <c r="I989" t="s">
        <v>52</v>
      </c>
      <c r="J989" t="s">
        <v>53</v>
      </c>
      <c r="K989" t="s">
        <v>54</v>
      </c>
      <c r="L989" t="s">
        <v>53</v>
      </c>
      <c r="M989" t="s">
        <v>54</v>
      </c>
      <c r="N989" t="s">
        <v>51</v>
      </c>
      <c r="O989" t="s">
        <v>52</v>
      </c>
      <c r="P989" t="s">
        <v>53</v>
      </c>
      <c r="Q989" t="s">
        <v>54</v>
      </c>
      <c r="R989" s="1">
        <v>44315.67083333333</v>
      </c>
      <c r="S989" s="1">
        <v>44315.67083333333</v>
      </c>
      <c r="T989">
        <v>1</v>
      </c>
      <c r="U989">
        <v>1</v>
      </c>
      <c r="V989" s="2">
        <v>1</v>
      </c>
      <c r="W989">
        <v>0</v>
      </c>
      <c r="X989" t="s">
        <v>54</v>
      </c>
      <c r="Y989">
        <v>0</v>
      </c>
    </row>
    <row r="990" spans="1:25" x14ac:dyDescent="0.2">
      <c r="A990" t="s">
        <v>381</v>
      </c>
      <c r="B990" s="3">
        <v>44316</v>
      </c>
      <c r="C990">
        <v>82</v>
      </c>
      <c r="D990" t="s">
        <v>389</v>
      </c>
      <c r="E990" t="s">
        <v>48</v>
      </c>
      <c r="F990" s="9" t="s">
        <v>55</v>
      </c>
      <c r="G990" t="s">
        <v>50</v>
      </c>
      <c r="H990" t="s">
        <v>51</v>
      </c>
      <c r="I990" t="s">
        <v>52</v>
      </c>
      <c r="J990" t="s">
        <v>53</v>
      </c>
      <c r="K990" t="s">
        <v>54</v>
      </c>
      <c r="L990" t="s">
        <v>53</v>
      </c>
      <c r="M990" t="s">
        <v>54</v>
      </c>
      <c r="N990" t="s">
        <v>51</v>
      </c>
      <c r="O990" t="s">
        <v>52</v>
      </c>
      <c r="P990" t="s">
        <v>53</v>
      </c>
      <c r="Q990" t="s">
        <v>54</v>
      </c>
      <c r="R990" s="1">
        <v>44316.413252314815</v>
      </c>
      <c r="S990" s="1">
        <v>44316.413252314815</v>
      </c>
      <c r="T990">
        <v>1</v>
      </c>
      <c r="U990">
        <v>1</v>
      </c>
      <c r="V990" s="2">
        <v>1</v>
      </c>
      <c r="W990">
        <v>0</v>
      </c>
      <c r="X990" t="s">
        <v>54</v>
      </c>
      <c r="Y990">
        <v>0</v>
      </c>
    </row>
    <row r="991" spans="1:25" x14ac:dyDescent="0.2">
      <c r="A991" t="s">
        <v>381</v>
      </c>
      <c r="B991" s="3">
        <v>44316</v>
      </c>
      <c r="C991">
        <v>83</v>
      </c>
      <c r="D991" t="s">
        <v>387</v>
      </c>
      <c r="E991" t="s">
        <v>48</v>
      </c>
      <c r="F991" s="9" t="s">
        <v>55</v>
      </c>
      <c r="G991" t="s">
        <v>50</v>
      </c>
      <c r="H991" t="s">
        <v>51</v>
      </c>
      <c r="I991" t="s">
        <v>52</v>
      </c>
      <c r="J991" t="s">
        <v>53</v>
      </c>
      <c r="K991" t="s">
        <v>54</v>
      </c>
      <c r="L991" t="s">
        <v>53</v>
      </c>
      <c r="M991" t="s">
        <v>54</v>
      </c>
      <c r="N991" t="s">
        <v>51</v>
      </c>
      <c r="O991" t="s">
        <v>52</v>
      </c>
      <c r="P991" t="s">
        <v>53</v>
      </c>
      <c r="Q991" t="s">
        <v>54</v>
      </c>
      <c r="R991" s="1">
        <v>44316.540277777778</v>
      </c>
      <c r="S991" s="1">
        <v>44316.540277777778</v>
      </c>
      <c r="T991">
        <v>1</v>
      </c>
      <c r="U991">
        <v>1</v>
      </c>
      <c r="V991" s="2">
        <v>1</v>
      </c>
      <c r="W991">
        <v>0</v>
      </c>
      <c r="X991" t="s">
        <v>54</v>
      </c>
      <c r="Y991">
        <v>0</v>
      </c>
    </row>
    <row r="992" spans="1:25" x14ac:dyDescent="0.2">
      <c r="A992" t="s">
        <v>381</v>
      </c>
      <c r="B992" s="3">
        <v>44319</v>
      </c>
      <c r="C992">
        <v>84</v>
      </c>
      <c r="D992" t="s">
        <v>390</v>
      </c>
      <c r="E992" t="s">
        <v>48</v>
      </c>
      <c r="F992" s="9" t="s">
        <v>55</v>
      </c>
      <c r="G992" t="s">
        <v>50</v>
      </c>
      <c r="H992" t="s">
        <v>51</v>
      </c>
      <c r="I992" t="s">
        <v>52</v>
      </c>
      <c r="J992" t="s">
        <v>53</v>
      </c>
      <c r="K992" t="s">
        <v>54</v>
      </c>
      <c r="L992" t="s">
        <v>53</v>
      </c>
      <c r="M992" t="s">
        <v>54</v>
      </c>
      <c r="N992" t="s">
        <v>51</v>
      </c>
      <c r="O992" t="s">
        <v>52</v>
      </c>
      <c r="P992" t="s">
        <v>53</v>
      </c>
      <c r="Q992" t="s">
        <v>54</v>
      </c>
      <c r="R992" s="1">
        <v>44319.377060185187</v>
      </c>
      <c r="S992" s="1">
        <v>44319.377060185187</v>
      </c>
      <c r="T992">
        <v>1</v>
      </c>
      <c r="U992">
        <v>1</v>
      </c>
      <c r="V992" s="2">
        <v>1</v>
      </c>
      <c r="W992">
        <v>0</v>
      </c>
      <c r="X992" t="s">
        <v>54</v>
      </c>
      <c r="Y992">
        <v>0</v>
      </c>
    </row>
    <row r="993" spans="1:25" x14ac:dyDescent="0.2">
      <c r="A993" t="s">
        <v>381</v>
      </c>
      <c r="B993" s="3">
        <v>44319</v>
      </c>
      <c r="C993">
        <v>85</v>
      </c>
      <c r="D993" t="s">
        <v>387</v>
      </c>
      <c r="E993" t="s">
        <v>48</v>
      </c>
      <c r="F993" s="9" t="s">
        <v>55</v>
      </c>
      <c r="G993" t="s">
        <v>50</v>
      </c>
      <c r="H993" t="s">
        <v>51</v>
      </c>
      <c r="I993" t="s">
        <v>52</v>
      </c>
      <c r="J993" t="s">
        <v>53</v>
      </c>
      <c r="K993" t="s">
        <v>54</v>
      </c>
      <c r="L993" t="s">
        <v>53</v>
      </c>
      <c r="M993" t="s">
        <v>54</v>
      </c>
      <c r="N993" t="s">
        <v>51</v>
      </c>
      <c r="O993" t="s">
        <v>52</v>
      </c>
      <c r="P993" t="s">
        <v>53</v>
      </c>
      <c r="Q993" t="s">
        <v>54</v>
      </c>
      <c r="R993" s="1">
        <v>44319.537847222222</v>
      </c>
      <c r="S993" s="1">
        <v>44319.537847222222</v>
      </c>
      <c r="T993">
        <v>1</v>
      </c>
      <c r="U993">
        <v>1</v>
      </c>
      <c r="V993" s="2">
        <v>1</v>
      </c>
      <c r="W993">
        <v>0</v>
      </c>
      <c r="X993" t="s">
        <v>54</v>
      </c>
      <c r="Y993">
        <v>0</v>
      </c>
    </row>
    <row r="994" spans="1:25" x14ac:dyDescent="0.2">
      <c r="A994" t="s">
        <v>381</v>
      </c>
      <c r="B994" s="3">
        <v>44320</v>
      </c>
      <c r="C994">
        <v>86</v>
      </c>
      <c r="D994" t="s">
        <v>412</v>
      </c>
      <c r="E994" t="s">
        <v>48</v>
      </c>
      <c r="F994" s="9" t="s">
        <v>55</v>
      </c>
      <c r="G994" t="s">
        <v>50</v>
      </c>
      <c r="H994" t="s">
        <v>51</v>
      </c>
      <c r="I994" t="s">
        <v>52</v>
      </c>
      <c r="J994" t="s">
        <v>53</v>
      </c>
      <c r="K994" t="s">
        <v>54</v>
      </c>
      <c r="L994" t="s">
        <v>53</v>
      </c>
      <c r="M994" t="s">
        <v>54</v>
      </c>
      <c r="N994" t="s">
        <v>51</v>
      </c>
      <c r="O994" t="s">
        <v>52</v>
      </c>
      <c r="P994" t="s">
        <v>53</v>
      </c>
      <c r="Q994" t="s">
        <v>54</v>
      </c>
      <c r="R994" s="1">
        <v>44320.487372685187</v>
      </c>
      <c r="S994" s="1">
        <v>44320.487372685187</v>
      </c>
      <c r="T994">
        <v>1</v>
      </c>
      <c r="U994">
        <v>1</v>
      </c>
      <c r="V994" s="2">
        <v>1</v>
      </c>
      <c r="W994">
        <v>0</v>
      </c>
      <c r="X994" t="s">
        <v>54</v>
      </c>
      <c r="Y994">
        <v>0</v>
      </c>
    </row>
    <row r="995" spans="1:25" x14ac:dyDescent="0.2">
      <c r="A995" t="s">
        <v>381</v>
      </c>
      <c r="B995" s="3">
        <v>44321</v>
      </c>
      <c r="C995">
        <v>88</v>
      </c>
      <c r="D995" t="s">
        <v>404</v>
      </c>
      <c r="E995" t="s">
        <v>48</v>
      </c>
      <c r="F995" s="9" t="s">
        <v>55</v>
      </c>
      <c r="G995" t="s">
        <v>50</v>
      </c>
      <c r="H995" t="s">
        <v>51</v>
      </c>
      <c r="I995" t="s">
        <v>52</v>
      </c>
      <c r="J995" t="s">
        <v>53</v>
      </c>
      <c r="K995" t="s">
        <v>54</v>
      </c>
      <c r="L995" t="s">
        <v>53</v>
      </c>
      <c r="M995" t="s">
        <v>54</v>
      </c>
      <c r="N995" t="s">
        <v>51</v>
      </c>
      <c r="O995" t="s">
        <v>52</v>
      </c>
      <c r="P995" t="s">
        <v>53</v>
      </c>
      <c r="Q995" t="s">
        <v>54</v>
      </c>
      <c r="R995" s="1">
        <v>44321.440567129626</v>
      </c>
      <c r="S995" s="1">
        <v>44321.440567129626</v>
      </c>
      <c r="T995">
        <v>1</v>
      </c>
      <c r="U995">
        <v>1</v>
      </c>
      <c r="V995" s="2">
        <v>1</v>
      </c>
      <c r="W995">
        <v>0</v>
      </c>
      <c r="X995" t="s">
        <v>54</v>
      </c>
      <c r="Y995">
        <v>0</v>
      </c>
    </row>
    <row r="996" spans="1:25" x14ac:dyDescent="0.2">
      <c r="A996" t="s">
        <v>381</v>
      </c>
      <c r="B996" s="3">
        <v>44321</v>
      </c>
      <c r="C996">
        <v>89</v>
      </c>
      <c r="D996" t="s">
        <v>387</v>
      </c>
      <c r="E996" t="s">
        <v>48</v>
      </c>
      <c r="F996" s="9" t="s">
        <v>55</v>
      </c>
      <c r="G996" t="s">
        <v>50</v>
      </c>
      <c r="H996" t="s">
        <v>51</v>
      </c>
      <c r="I996" t="s">
        <v>52</v>
      </c>
      <c r="J996" t="s">
        <v>53</v>
      </c>
      <c r="K996" t="s">
        <v>54</v>
      </c>
      <c r="L996" t="s">
        <v>53</v>
      </c>
      <c r="M996" t="s">
        <v>54</v>
      </c>
      <c r="N996" t="s">
        <v>51</v>
      </c>
      <c r="O996" t="s">
        <v>52</v>
      </c>
      <c r="P996" t="s">
        <v>53</v>
      </c>
      <c r="Q996" t="s">
        <v>54</v>
      </c>
      <c r="R996" s="1">
        <v>44321.534930555557</v>
      </c>
      <c r="S996" s="1">
        <v>44321.534930555557</v>
      </c>
      <c r="T996">
        <v>1</v>
      </c>
      <c r="U996">
        <v>1</v>
      </c>
      <c r="V996" s="2">
        <v>1</v>
      </c>
      <c r="W996">
        <v>0</v>
      </c>
      <c r="X996" t="s">
        <v>54</v>
      </c>
      <c r="Y996">
        <v>0</v>
      </c>
    </row>
    <row r="997" spans="1:25" x14ac:dyDescent="0.2">
      <c r="A997" t="s">
        <v>381</v>
      </c>
      <c r="B997" s="3">
        <v>44323</v>
      </c>
      <c r="C997">
        <v>91</v>
      </c>
      <c r="D997" t="s">
        <v>391</v>
      </c>
      <c r="E997" t="s">
        <v>48</v>
      </c>
      <c r="F997" s="9" t="s">
        <v>55</v>
      </c>
      <c r="G997" t="s">
        <v>50</v>
      </c>
      <c r="H997" t="s">
        <v>51</v>
      </c>
      <c r="I997" t="s">
        <v>52</v>
      </c>
      <c r="J997" t="s">
        <v>53</v>
      </c>
      <c r="K997" t="s">
        <v>54</v>
      </c>
      <c r="L997" t="s">
        <v>53</v>
      </c>
      <c r="M997" t="s">
        <v>54</v>
      </c>
      <c r="N997" t="s">
        <v>51</v>
      </c>
      <c r="O997" t="s">
        <v>52</v>
      </c>
      <c r="P997" t="s">
        <v>53</v>
      </c>
      <c r="Q997" t="s">
        <v>54</v>
      </c>
      <c r="R997" s="1">
        <v>44323.559305555558</v>
      </c>
      <c r="S997" s="1">
        <v>44323.559305555558</v>
      </c>
      <c r="T997">
        <v>1</v>
      </c>
      <c r="U997">
        <v>1</v>
      </c>
      <c r="V997" s="2">
        <v>1</v>
      </c>
      <c r="W997">
        <v>0</v>
      </c>
      <c r="X997" t="s">
        <v>54</v>
      </c>
      <c r="Y997">
        <v>0</v>
      </c>
    </row>
    <row r="998" spans="1:25" x14ac:dyDescent="0.2">
      <c r="A998" t="s">
        <v>381</v>
      </c>
      <c r="B998" s="3">
        <v>44326</v>
      </c>
      <c r="C998">
        <v>92</v>
      </c>
      <c r="D998" t="s">
        <v>390</v>
      </c>
      <c r="E998" t="s">
        <v>48</v>
      </c>
      <c r="F998" s="9" t="s">
        <v>55</v>
      </c>
      <c r="G998" t="s">
        <v>50</v>
      </c>
      <c r="H998" t="s">
        <v>51</v>
      </c>
      <c r="I998" t="s">
        <v>52</v>
      </c>
      <c r="J998" t="s">
        <v>53</v>
      </c>
      <c r="K998" t="s">
        <v>54</v>
      </c>
      <c r="L998" t="s">
        <v>53</v>
      </c>
      <c r="M998" t="s">
        <v>54</v>
      </c>
      <c r="N998" t="s">
        <v>51</v>
      </c>
      <c r="O998" t="s">
        <v>52</v>
      </c>
      <c r="P998" t="s">
        <v>53</v>
      </c>
      <c r="Q998" t="s">
        <v>54</v>
      </c>
      <c r="R998" s="1">
        <v>44326.379293981481</v>
      </c>
      <c r="S998" s="1">
        <v>44326.379293981481</v>
      </c>
      <c r="T998">
        <v>1</v>
      </c>
      <c r="U998">
        <v>1</v>
      </c>
      <c r="V998" s="2">
        <v>1</v>
      </c>
      <c r="W998">
        <v>0</v>
      </c>
      <c r="X998" t="s">
        <v>54</v>
      </c>
      <c r="Y998">
        <v>0</v>
      </c>
    </row>
    <row r="999" spans="1:25" x14ac:dyDescent="0.2">
      <c r="A999" t="s">
        <v>381</v>
      </c>
      <c r="B999" s="3">
        <v>44326</v>
      </c>
      <c r="C999">
        <v>93</v>
      </c>
      <c r="D999" t="s">
        <v>387</v>
      </c>
      <c r="E999" t="s">
        <v>48</v>
      </c>
      <c r="F999" s="9" t="s">
        <v>55</v>
      </c>
      <c r="G999" t="s">
        <v>50</v>
      </c>
      <c r="H999" t="s">
        <v>51</v>
      </c>
      <c r="I999" t="s">
        <v>52</v>
      </c>
      <c r="J999" t="s">
        <v>53</v>
      </c>
      <c r="K999" t="s">
        <v>54</v>
      </c>
      <c r="L999" t="s">
        <v>53</v>
      </c>
      <c r="M999" t="s">
        <v>54</v>
      </c>
      <c r="N999" t="s">
        <v>51</v>
      </c>
      <c r="O999" t="s">
        <v>52</v>
      </c>
      <c r="P999" t="s">
        <v>53</v>
      </c>
      <c r="Q999" t="s">
        <v>54</v>
      </c>
      <c r="R999" s="1">
        <v>44326.537280092591</v>
      </c>
      <c r="S999" s="1">
        <v>44326.537280092591</v>
      </c>
      <c r="T999">
        <v>1</v>
      </c>
      <c r="U999">
        <v>1</v>
      </c>
      <c r="V999" s="2">
        <v>1</v>
      </c>
      <c r="W999">
        <v>0</v>
      </c>
      <c r="X999" t="s">
        <v>54</v>
      </c>
      <c r="Y999">
        <v>0</v>
      </c>
    </row>
    <row r="1000" spans="1:25" x14ac:dyDescent="0.2">
      <c r="A1000" t="s">
        <v>381</v>
      </c>
      <c r="B1000" s="3">
        <v>44327</v>
      </c>
      <c r="C1000">
        <v>94</v>
      </c>
      <c r="D1000" t="s">
        <v>384</v>
      </c>
      <c r="E1000" t="s">
        <v>48</v>
      </c>
      <c r="F1000" s="9" t="s">
        <v>55</v>
      </c>
      <c r="G1000" t="s">
        <v>50</v>
      </c>
      <c r="H1000" t="s">
        <v>51</v>
      </c>
      <c r="I1000" t="s">
        <v>52</v>
      </c>
      <c r="J1000" t="s">
        <v>53</v>
      </c>
      <c r="K1000" t="s">
        <v>54</v>
      </c>
      <c r="L1000" t="s">
        <v>53</v>
      </c>
      <c r="M1000" t="s">
        <v>54</v>
      </c>
      <c r="N1000" t="s">
        <v>51</v>
      </c>
      <c r="O1000" t="s">
        <v>52</v>
      </c>
      <c r="P1000" t="s">
        <v>53</v>
      </c>
      <c r="Q1000" t="s">
        <v>54</v>
      </c>
      <c r="R1000" s="1">
        <v>44327.41505787037</v>
      </c>
      <c r="S1000" s="1">
        <v>44327.41505787037</v>
      </c>
      <c r="T1000">
        <v>1</v>
      </c>
      <c r="U1000">
        <v>1</v>
      </c>
      <c r="V1000" s="2">
        <v>1</v>
      </c>
      <c r="W1000">
        <v>0</v>
      </c>
      <c r="X1000" t="s">
        <v>54</v>
      </c>
      <c r="Y1000">
        <v>0</v>
      </c>
    </row>
    <row r="1001" spans="1:25" x14ac:dyDescent="0.2">
      <c r="A1001" t="s">
        <v>381</v>
      </c>
      <c r="B1001" s="3">
        <v>44328</v>
      </c>
      <c r="C1001">
        <v>97</v>
      </c>
      <c r="D1001" t="s">
        <v>387</v>
      </c>
      <c r="E1001" t="s">
        <v>48</v>
      </c>
      <c r="F1001" s="9" t="s">
        <v>55</v>
      </c>
      <c r="G1001" t="s">
        <v>50</v>
      </c>
      <c r="H1001" t="s">
        <v>51</v>
      </c>
      <c r="I1001" t="s">
        <v>52</v>
      </c>
      <c r="J1001" t="s">
        <v>53</v>
      </c>
      <c r="K1001" t="s">
        <v>54</v>
      </c>
      <c r="L1001" t="s">
        <v>53</v>
      </c>
      <c r="M1001" t="s">
        <v>54</v>
      </c>
      <c r="N1001" t="s">
        <v>51</v>
      </c>
      <c r="O1001" t="s">
        <v>52</v>
      </c>
      <c r="P1001" t="s">
        <v>53</v>
      </c>
      <c r="Q1001" t="s">
        <v>54</v>
      </c>
      <c r="R1001" s="1">
        <v>44328.539814814816</v>
      </c>
      <c r="S1001" s="1">
        <v>44328.539814814816</v>
      </c>
      <c r="T1001">
        <v>1</v>
      </c>
      <c r="U1001">
        <v>1</v>
      </c>
      <c r="V1001" s="2">
        <v>1</v>
      </c>
      <c r="W1001">
        <v>0</v>
      </c>
      <c r="X1001" t="s">
        <v>54</v>
      </c>
      <c r="Y1001">
        <v>0</v>
      </c>
    </row>
    <row r="1002" spans="1:25" x14ac:dyDescent="0.2">
      <c r="A1002" t="s">
        <v>381</v>
      </c>
      <c r="B1002" s="3">
        <v>44334</v>
      </c>
      <c r="C1002">
        <v>99</v>
      </c>
      <c r="D1002" t="s">
        <v>385</v>
      </c>
      <c r="E1002" t="s">
        <v>48</v>
      </c>
      <c r="F1002" s="9" t="s">
        <v>55</v>
      </c>
      <c r="G1002" t="s">
        <v>50</v>
      </c>
      <c r="H1002" t="s">
        <v>51</v>
      </c>
      <c r="I1002" t="s">
        <v>52</v>
      </c>
      <c r="J1002" t="s">
        <v>53</v>
      </c>
      <c r="K1002" t="s">
        <v>54</v>
      </c>
      <c r="L1002" t="s">
        <v>53</v>
      </c>
      <c r="M1002" t="s">
        <v>54</v>
      </c>
      <c r="N1002" t="s">
        <v>51</v>
      </c>
      <c r="O1002" t="s">
        <v>52</v>
      </c>
      <c r="P1002" t="s">
        <v>53</v>
      </c>
      <c r="Q1002" t="s">
        <v>54</v>
      </c>
      <c r="R1002" s="1">
        <v>44334.570335648146</v>
      </c>
      <c r="S1002" s="1">
        <v>44334.570335648146</v>
      </c>
      <c r="T1002">
        <v>1</v>
      </c>
      <c r="U1002">
        <v>1</v>
      </c>
      <c r="V1002" s="2">
        <v>1</v>
      </c>
      <c r="W1002">
        <v>0</v>
      </c>
      <c r="X1002" t="s">
        <v>54</v>
      </c>
      <c r="Y1002">
        <v>0</v>
      </c>
    </row>
    <row r="1003" spans="1:25" x14ac:dyDescent="0.2">
      <c r="A1003" t="s">
        <v>381</v>
      </c>
      <c r="B1003" s="3">
        <v>44335</v>
      </c>
      <c r="C1003">
        <v>100</v>
      </c>
      <c r="D1003" t="s">
        <v>398</v>
      </c>
      <c r="E1003" t="s">
        <v>48</v>
      </c>
      <c r="F1003" s="9" t="s">
        <v>55</v>
      </c>
      <c r="G1003" t="s">
        <v>50</v>
      </c>
      <c r="H1003" t="s">
        <v>51</v>
      </c>
      <c r="I1003" t="s">
        <v>52</v>
      </c>
      <c r="J1003" t="s">
        <v>53</v>
      </c>
      <c r="K1003" t="s">
        <v>54</v>
      </c>
      <c r="L1003" t="s">
        <v>53</v>
      </c>
      <c r="M1003" t="s">
        <v>54</v>
      </c>
      <c r="N1003" t="s">
        <v>51</v>
      </c>
      <c r="O1003" t="s">
        <v>52</v>
      </c>
      <c r="P1003" t="s">
        <v>53</v>
      </c>
      <c r="Q1003" t="s">
        <v>54</v>
      </c>
      <c r="R1003" s="1">
        <v>44335.3747337963</v>
      </c>
      <c r="S1003" s="1">
        <v>44335.3747337963</v>
      </c>
      <c r="T1003">
        <v>1</v>
      </c>
      <c r="U1003">
        <v>1</v>
      </c>
      <c r="V1003" s="2">
        <v>1</v>
      </c>
      <c r="W1003">
        <v>0</v>
      </c>
      <c r="X1003" t="s">
        <v>54</v>
      </c>
      <c r="Y1003">
        <v>0</v>
      </c>
    </row>
    <row r="1004" spans="1:25" x14ac:dyDescent="0.2">
      <c r="A1004" t="s">
        <v>381</v>
      </c>
      <c r="B1004" s="3">
        <v>44336</v>
      </c>
      <c r="C1004">
        <v>102</v>
      </c>
      <c r="D1004" t="s">
        <v>383</v>
      </c>
      <c r="E1004" t="s">
        <v>48</v>
      </c>
      <c r="F1004" s="9" t="s">
        <v>55</v>
      </c>
      <c r="G1004" t="s">
        <v>50</v>
      </c>
      <c r="H1004" t="s">
        <v>51</v>
      </c>
      <c r="I1004" t="s">
        <v>52</v>
      </c>
      <c r="J1004" t="s">
        <v>53</v>
      </c>
      <c r="K1004" t="s">
        <v>54</v>
      </c>
      <c r="L1004" t="s">
        <v>53</v>
      </c>
      <c r="M1004" t="s">
        <v>54</v>
      </c>
      <c r="N1004" t="s">
        <v>51</v>
      </c>
      <c r="O1004" t="s">
        <v>52</v>
      </c>
      <c r="P1004" t="s">
        <v>53</v>
      </c>
      <c r="Q1004" t="s">
        <v>54</v>
      </c>
      <c r="R1004" s="1">
        <v>44336.441724537035</v>
      </c>
      <c r="S1004" s="1">
        <v>44336.441724537035</v>
      </c>
      <c r="T1004">
        <v>1</v>
      </c>
      <c r="U1004">
        <v>1</v>
      </c>
      <c r="V1004" s="2">
        <v>1</v>
      </c>
      <c r="W1004">
        <v>0</v>
      </c>
      <c r="X1004" t="s">
        <v>54</v>
      </c>
      <c r="Y1004">
        <v>0</v>
      </c>
    </row>
    <row r="1005" spans="1:25" x14ac:dyDescent="0.2">
      <c r="A1005" t="s">
        <v>381</v>
      </c>
      <c r="B1005" s="3">
        <v>44337</v>
      </c>
      <c r="C1005">
        <v>104</v>
      </c>
      <c r="D1005" t="s">
        <v>390</v>
      </c>
      <c r="E1005" t="s">
        <v>48</v>
      </c>
      <c r="F1005" s="9" t="s">
        <v>55</v>
      </c>
      <c r="G1005" t="s">
        <v>50</v>
      </c>
      <c r="H1005" t="s">
        <v>51</v>
      </c>
      <c r="I1005" t="s">
        <v>52</v>
      </c>
      <c r="J1005" t="s">
        <v>53</v>
      </c>
      <c r="K1005" t="s">
        <v>54</v>
      </c>
      <c r="L1005" t="s">
        <v>53</v>
      </c>
      <c r="M1005" t="s">
        <v>54</v>
      </c>
      <c r="N1005" t="s">
        <v>51</v>
      </c>
      <c r="O1005" t="s">
        <v>52</v>
      </c>
      <c r="P1005" t="s">
        <v>53</v>
      </c>
      <c r="Q1005" t="s">
        <v>54</v>
      </c>
      <c r="R1005" s="1">
        <v>44337.376400462963</v>
      </c>
      <c r="S1005" s="1">
        <v>44337.376400462963</v>
      </c>
      <c r="T1005">
        <v>1</v>
      </c>
      <c r="U1005">
        <v>1</v>
      </c>
      <c r="V1005" s="2">
        <v>1</v>
      </c>
      <c r="W1005">
        <v>0</v>
      </c>
      <c r="X1005" t="s">
        <v>54</v>
      </c>
      <c r="Y1005">
        <v>0</v>
      </c>
    </row>
    <row r="1006" spans="1:25" x14ac:dyDescent="0.2">
      <c r="A1006" t="s">
        <v>381</v>
      </c>
      <c r="B1006" s="3">
        <v>44337</v>
      </c>
      <c r="C1006">
        <v>105</v>
      </c>
      <c r="D1006" t="s">
        <v>405</v>
      </c>
      <c r="E1006" t="s">
        <v>48</v>
      </c>
      <c r="F1006" s="9" t="s">
        <v>55</v>
      </c>
      <c r="G1006" t="s">
        <v>50</v>
      </c>
      <c r="H1006" t="s">
        <v>51</v>
      </c>
      <c r="I1006" t="s">
        <v>52</v>
      </c>
      <c r="J1006" t="s">
        <v>53</v>
      </c>
      <c r="K1006" t="s">
        <v>54</v>
      </c>
      <c r="L1006" t="s">
        <v>53</v>
      </c>
      <c r="M1006" t="s">
        <v>54</v>
      </c>
      <c r="N1006" t="s">
        <v>51</v>
      </c>
      <c r="O1006" t="s">
        <v>52</v>
      </c>
      <c r="P1006" t="s">
        <v>53</v>
      </c>
      <c r="Q1006" t="s">
        <v>54</v>
      </c>
      <c r="R1006" s="1">
        <v>44337.541527777779</v>
      </c>
      <c r="S1006" s="1">
        <v>44337.541527777779</v>
      </c>
      <c r="T1006">
        <v>1</v>
      </c>
      <c r="U1006">
        <v>1</v>
      </c>
      <c r="V1006" s="2">
        <v>1</v>
      </c>
      <c r="W1006">
        <v>0</v>
      </c>
      <c r="X1006" t="s">
        <v>54</v>
      </c>
      <c r="Y1006">
        <v>0</v>
      </c>
    </row>
    <row r="1007" spans="1:25" x14ac:dyDescent="0.2">
      <c r="A1007" t="s">
        <v>381</v>
      </c>
      <c r="B1007" s="3">
        <v>44338</v>
      </c>
      <c r="C1007">
        <v>106</v>
      </c>
      <c r="D1007" t="s">
        <v>408</v>
      </c>
      <c r="E1007" t="s">
        <v>48</v>
      </c>
      <c r="F1007" s="9" t="s">
        <v>55</v>
      </c>
      <c r="G1007" t="s">
        <v>50</v>
      </c>
      <c r="H1007" t="s">
        <v>51</v>
      </c>
      <c r="I1007" t="s">
        <v>52</v>
      </c>
      <c r="J1007" t="s">
        <v>53</v>
      </c>
      <c r="K1007" t="s">
        <v>54</v>
      </c>
      <c r="L1007" t="s">
        <v>53</v>
      </c>
      <c r="M1007" t="s">
        <v>54</v>
      </c>
      <c r="N1007" t="s">
        <v>51</v>
      </c>
      <c r="O1007" t="s">
        <v>52</v>
      </c>
      <c r="P1007" t="s">
        <v>53</v>
      </c>
      <c r="Q1007" t="s">
        <v>54</v>
      </c>
      <c r="R1007" s="1">
        <v>44338.380057870374</v>
      </c>
      <c r="S1007" s="1">
        <v>44338.380057870374</v>
      </c>
      <c r="T1007">
        <v>1</v>
      </c>
      <c r="U1007">
        <v>1</v>
      </c>
      <c r="V1007" s="2">
        <v>1</v>
      </c>
      <c r="W1007">
        <v>0</v>
      </c>
      <c r="X1007" t="s">
        <v>54</v>
      </c>
      <c r="Y1007">
        <v>0</v>
      </c>
    </row>
    <row r="1008" spans="1:25" x14ac:dyDescent="0.2">
      <c r="A1008" t="s">
        <v>381</v>
      </c>
      <c r="B1008" s="3">
        <v>44338</v>
      </c>
      <c r="C1008">
        <v>107</v>
      </c>
      <c r="D1008" t="s">
        <v>392</v>
      </c>
      <c r="E1008" t="s">
        <v>48</v>
      </c>
      <c r="F1008" s="9" t="s">
        <v>55</v>
      </c>
      <c r="G1008" t="s">
        <v>50</v>
      </c>
      <c r="H1008" t="s">
        <v>51</v>
      </c>
      <c r="I1008" t="s">
        <v>52</v>
      </c>
      <c r="J1008" t="s">
        <v>53</v>
      </c>
      <c r="K1008" t="s">
        <v>54</v>
      </c>
      <c r="L1008" t="s">
        <v>53</v>
      </c>
      <c r="M1008" t="s">
        <v>54</v>
      </c>
      <c r="N1008" t="s">
        <v>51</v>
      </c>
      <c r="O1008" t="s">
        <v>52</v>
      </c>
      <c r="P1008" t="s">
        <v>53</v>
      </c>
      <c r="Q1008" t="s">
        <v>54</v>
      </c>
      <c r="R1008" s="1">
        <v>44338.536805555559</v>
      </c>
      <c r="S1008" s="1">
        <v>44338.536805555559</v>
      </c>
      <c r="T1008">
        <v>1</v>
      </c>
      <c r="U1008">
        <v>1</v>
      </c>
      <c r="V1008" s="2">
        <v>1</v>
      </c>
      <c r="W1008">
        <v>0</v>
      </c>
      <c r="X1008" t="s">
        <v>54</v>
      </c>
      <c r="Y1008">
        <v>0</v>
      </c>
    </row>
    <row r="1009" spans="1:25" x14ac:dyDescent="0.2">
      <c r="A1009" t="s">
        <v>381</v>
      </c>
      <c r="B1009" s="3">
        <v>44340</v>
      </c>
      <c r="C1009">
        <v>109</v>
      </c>
      <c r="D1009" t="s">
        <v>383</v>
      </c>
      <c r="E1009" t="s">
        <v>48</v>
      </c>
      <c r="F1009" s="9" t="s">
        <v>55</v>
      </c>
      <c r="G1009" t="s">
        <v>50</v>
      </c>
      <c r="H1009" t="s">
        <v>51</v>
      </c>
      <c r="I1009" t="s">
        <v>52</v>
      </c>
      <c r="J1009" t="s">
        <v>53</v>
      </c>
      <c r="K1009" t="s">
        <v>54</v>
      </c>
      <c r="L1009" t="s">
        <v>53</v>
      </c>
      <c r="M1009" t="s">
        <v>54</v>
      </c>
      <c r="N1009" t="s">
        <v>51</v>
      </c>
      <c r="O1009" t="s">
        <v>52</v>
      </c>
      <c r="P1009" t="s">
        <v>53</v>
      </c>
      <c r="Q1009" t="s">
        <v>54</v>
      </c>
      <c r="R1009" s="1">
        <v>44340.544965277775</v>
      </c>
      <c r="S1009" s="1">
        <v>44340.544965277775</v>
      </c>
      <c r="T1009">
        <v>1</v>
      </c>
      <c r="U1009">
        <v>1</v>
      </c>
      <c r="V1009" s="2">
        <v>1</v>
      </c>
      <c r="W1009">
        <v>0</v>
      </c>
      <c r="X1009" t="s">
        <v>54</v>
      </c>
      <c r="Y1009">
        <v>0</v>
      </c>
    </row>
    <row r="1010" spans="1:25" x14ac:dyDescent="0.2">
      <c r="A1010" t="s">
        <v>381</v>
      </c>
      <c r="B1010" s="3">
        <v>44341</v>
      </c>
      <c r="C1010">
        <v>110</v>
      </c>
      <c r="D1010" t="s">
        <v>383</v>
      </c>
      <c r="E1010" t="s">
        <v>48</v>
      </c>
      <c r="F1010" s="9" t="s">
        <v>55</v>
      </c>
      <c r="G1010" t="s">
        <v>50</v>
      </c>
      <c r="H1010" t="s">
        <v>51</v>
      </c>
      <c r="I1010" t="s">
        <v>52</v>
      </c>
      <c r="J1010" t="s">
        <v>53</v>
      </c>
      <c r="K1010" t="s">
        <v>54</v>
      </c>
      <c r="L1010" t="s">
        <v>53</v>
      </c>
      <c r="M1010" t="s">
        <v>54</v>
      </c>
      <c r="N1010" t="s">
        <v>51</v>
      </c>
      <c r="O1010" t="s">
        <v>52</v>
      </c>
      <c r="P1010" t="s">
        <v>53</v>
      </c>
      <c r="Q1010" t="s">
        <v>54</v>
      </c>
      <c r="R1010" s="1">
        <v>44341.395578703705</v>
      </c>
      <c r="S1010" s="1">
        <v>44341.395578703705</v>
      </c>
      <c r="T1010">
        <v>1</v>
      </c>
      <c r="U1010">
        <v>1</v>
      </c>
      <c r="V1010" s="2">
        <v>1</v>
      </c>
      <c r="W1010">
        <v>0</v>
      </c>
      <c r="X1010" t="s">
        <v>54</v>
      </c>
      <c r="Y1010">
        <v>0</v>
      </c>
    </row>
    <row r="1011" spans="1:25" x14ac:dyDescent="0.2">
      <c r="A1011" t="s">
        <v>381</v>
      </c>
      <c r="B1011" s="3">
        <v>44342</v>
      </c>
      <c r="C1011">
        <v>112</v>
      </c>
      <c r="D1011" t="s">
        <v>394</v>
      </c>
      <c r="E1011" t="s">
        <v>48</v>
      </c>
      <c r="F1011" s="9" t="s">
        <v>55</v>
      </c>
      <c r="G1011" t="s">
        <v>50</v>
      </c>
      <c r="H1011" t="s">
        <v>51</v>
      </c>
      <c r="I1011" t="s">
        <v>52</v>
      </c>
      <c r="J1011" t="s">
        <v>53</v>
      </c>
      <c r="K1011" t="s">
        <v>54</v>
      </c>
      <c r="L1011" t="s">
        <v>53</v>
      </c>
      <c r="M1011" t="s">
        <v>54</v>
      </c>
      <c r="N1011" t="s">
        <v>51</v>
      </c>
      <c r="O1011" t="s">
        <v>52</v>
      </c>
      <c r="P1011" t="s">
        <v>53</v>
      </c>
      <c r="Q1011" t="s">
        <v>54</v>
      </c>
      <c r="R1011" s="1">
        <v>44342.376145833332</v>
      </c>
      <c r="S1011" s="1">
        <v>44342.376145833332</v>
      </c>
      <c r="T1011">
        <v>1</v>
      </c>
      <c r="U1011">
        <v>1</v>
      </c>
      <c r="V1011" s="2">
        <v>1</v>
      </c>
      <c r="W1011">
        <v>0</v>
      </c>
      <c r="X1011" t="s">
        <v>54</v>
      </c>
      <c r="Y1011">
        <v>0</v>
      </c>
    </row>
    <row r="1012" spans="1:25" x14ac:dyDescent="0.2">
      <c r="A1012" t="s">
        <v>381</v>
      </c>
      <c r="B1012" s="3">
        <v>44342</v>
      </c>
      <c r="C1012">
        <v>113</v>
      </c>
      <c r="D1012" t="s">
        <v>383</v>
      </c>
      <c r="E1012" t="s">
        <v>48</v>
      </c>
      <c r="F1012" s="9" t="s">
        <v>55</v>
      </c>
      <c r="G1012" t="s">
        <v>50</v>
      </c>
      <c r="H1012" t="s">
        <v>51</v>
      </c>
      <c r="I1012" t="s">
        <v>52</v>
      </c>
      <c r="J1012" t="s">
        <v>53</v>
      </c>
      <c r="K1012" t="s">
        <v>54</v>
      </c>
      <c r="L1012" t="s">
        <v>53</v>
      </c>
      <c r="M1012" t="s">
        <v>54</v>
      </c>
      <c r="N1012" t="s">
        <v>51</v>
      </c>
      <c r="O1012" t="s">
        <v>52</v>
      </c>
      <c r="P1012" t="s">
        <v>53</v>
      </c>
      <c r="Q1012" t="s">
        <v>54</v>
      </c>
      <c r="R1012" s="1">
        <v>44342.538055555553</v>
      </c>
      <c r="S1012" s="1">
        <v>44342.538055555553</v>
      </c>
      <c r="T1012">
        <v>1</v>
      </c>
      <c r="U1012">
        <v>1</v>
      </c>
      <c r="V1012" s="2">
        <v>1</v>
      </c>
      <c r="W1012">
        <v>0</v>
      </c>
      <c r="X1012" t="s">
        <v>54</v>
      </c>
      <c r="Y1012">
        <v>0</v>
      </c>
    </row>
    <row r="1013" spans="1:25" x14ac:dyDescent="0.2">
      <c r="A1013" t="s">
        <v>381</v>
      </c>
      <c r="B1013" s="3">
        <v>44343</v>
      </c>
      <c r="C1013">
        <v>114</v>
      </c>
      <c r="D1013" t="s">
        <v>395</v>
      </c>
      <c r="E1013" t="s">
        <v>48</v>
      </c>
      <c r="F1013" s="9" t="s">
        <v>55</v>
      </c>
      <c r="G1013" t="s">
        <v>50</v>
      </c>
      <c r="H1013" t="s">
        <v>51</v>
      </c>
      <c r="I1013" t="s">
        <v>52</v>
      </c>
      <c r="J1013" t="s">
        <v>53</v>
      </c>
      <c r="K1013" t="s">
        <v>54</v>
      </c>
      <c r="L1013" t="s">
        <v>53</v>
      </c>
      <c r="M1013" t="s">
        <v>54</v>
      </c>
      <c r="N1013" t="s">
        <v>51</v>
      </c>
      <c r="O1013" t="s">
        <v>52</v>
      </c>
      <c r="P1013" t="s">
        <v>53</v>
      </c>
      <c r="Q1013" t="s">
        <v>54</v>
      </c>
      <c r="R1013" s="1">
        <v>44343.371342592596</v>
      </c>
      <c r="S1013" s="1">
        <v>44343.371342592596</v>
      </c>
      <c r="T1013">
        <v>1</v>
      </c>
      <c r="U1013">
        <v>1</v>
      </c>
      <c r="V1013" s="2">
        <v>1</v>
      </c>
      <c r="W1013">
        <v>0</v>
      </c>
      <c r="X1013" t="s">
        <v>54</v>
      </c>
      <c r="Y1013">
        <v>0</v>
      </c>
    </row>
    <row r="1014" spans="1:25" x14ac:dyDescent="0.2">
      <c r="A1014" t="s">
        <v>381</v>
      </c>
      <c r="B1014" s="3">
        <v>44343</v>
      </c>
      <c r="C1014">
        <v>115</v>
      </c>
      <c r="D1014" t="s">
        <v>395</v>
      </c>
      <c r="E1014" t="s">
        <v>48</v>
      </c>
      <c r="F1014" s="9" t="s">
        <v>55</v>
      </c>
      <c r="G1014" t="s">
        <v>50</v>
      </c>
      <c r="H1014" t="s">
        <v>51</v>
      </c>
      <c r="I1014" t="s">
        <v>52</v>
      </c>
      <c r="J1014" t="s">
        <v>53</v>
      </c>
      <c r="K1014" t="s">
        <v>54</v>
      </c>
      <c r="L1014" t="s">
        <v>53</v>
      </c>
      <c r="M1014" t="s">
        <v>54</v>
      </c>
      <c r="N1014" t="s">
        <v>51</v>
      </c>
      <c r="O1014" t="s">
        <v>52</v>
      </c>
      <c r="P1014" t="s">
        <v>53</v>
      </c>
      <c r="Q1014" t="s">
        <v>54</v>
      </c>
      <c r="R1014" s="1">
        <v>44343.413888888892</v>
      </c>
      <c r="S1014" s="1">
        <v>44343.413888888892</v>
      </c>
      <c r="T1014">
        <v>1</v>
      </c>
      <c r="U1014">
        <v>1</v>
      </c>
      <c r="V1014" s="2">
        <v>1</v>
      </c>
      <c r="W1014">
        <v>0</v>
      </c>
      <c r="X1014" t="s">
        <v>54</v>
      </c>
      <c r="Y1014">
        <v>0</v>
      </c>
    </row>
    <row r="1015" spans="1:25" x14ac:dyDescent="0.2">
      <c r="A1015" t="s">
        <v>381</v>
      </c>
      <c r="B1015" s="3">
        <v>44344</v>
      </c>
      <c r="C1015">
        <v>116</v>
      </c>
      <c r="D1015" t="s">
        <v>390</v>
      </c>
      <c r="E1015" t="s">
        <v>48</v>
      </c>
      <c r="F1015" s="9" t="s">
        <v>55</v>
      </c>
      <c r="G1015" t="s">
        <v>50</v>
      </c>
      <c r="H1015" t="s">
        <v>51</v>
      </c>
      <c r="I1015" t="s">
        <v>52</v>
      </c>
      <c r="J1015" t="s">
        <v>53</v>
      </c>
      <c r="K1015" t="s">
        <v>54</v>
      </c>
      <c r="L1015" t="s">
        <v>53</v>
      </c>
      <c r="M1015" t="s">
        <v>54</v>
      </c>
      <c r="N1015" t="s">
        <v>51</v>
      </c>
      <c r="O1015" t="s">
        <v>52</v>
      </c>
      <c r="P1015" t="s">
        <v>53</v>
      </c>
      <c r="Q1015" t="s">
        <v>54</v>
      </c>
      <c r="R1015" s="1">
        <v>44344.380659722221</v>
      </c>
      <c r="S1015" s="1">
        <v>44344.380659722221</v>
      </c>
      <c r="T1015">
        <v>1</v>
      </c>
      <c r="U1015">
        <v>1</v>
      </c>
      <c r="V1015" s="2">
        <v>1</v>
      </c>
      <c r="W1015">
        <v>0</v>
      </c>
      <c r="X1015" t="s">
        <v>54</v>
      </c>
      <c r="Y1015">
        <v>0</v>
      </c>
    </row>
    <row r="1016" spans="1:25" x14ac:dyDescent="0.2">
      <c r="A1016" t="s">
        <v>381</v>
      </c>
      <c r="B1016" s="3">
        <v>44344</v>
      </c>
      <c r="C1016">
        <v>117</v>
      </c>
      <c r="D1016" t="s">
        <v>409</v>
      </c>
      <c r="E1016" t="s">
        <v>48</v>
      </c>
      <c r="F1016" s="9" t="s">
        <v>55</v>
      </c>
      <c r="G1016" t="s">
        <v>50</v>
      </c>
      <c r="H1016" t="s">
        <v>51</v>
      </c>
      <c r="I1016" t="s">
        <v>52</v>
      </c>
      <c r="J1016" t="s">
        <v>53</v>
      </c>
      <c r="K1016" t="s">
        <v>54</v>
      </c>
      <c r="L1016" t="s">
        <v>53</v>
      </c>
      <c r="M1016" t="s">
        <v>54</v>
      </c>
      <c r="N1016" t="s">
        <v>51</v>
      </c>
      <c r="O1016" t="s">
        <v>52</v>
      </c>
      <c r="P1016" t="s">
        <v>53</v>
      </c>
      <c r="Q1016" t="s">
        <v>54</v>
      </c>
      <c r="R1016" s="1">
        <v>44344.664351851854</v>
      </c>
      <c r="S1016" s="1">
        <v>44344.664351851854</v>
      </c>
      <c r="T1016">
        <v>1</v>
      </c>
      <c r="U1016">
        <v>1</v>
      </c>
      <c r="V1016" s="2">
        <v>1</v>
      </c>
      <c r="W1016">
        <v>0</v>
      </c>
      <c r="X1016" t="s">
        <v>54</v>
      </c>
      <c r="Y1016">
        <v>0</v>
      </c>
    </row>
    <row r="1017" spans="1:25" x14ac:dyDescent="0.2">
      <c r="A1017" t="s">
        <v>381</v>
      </c>
      <c r="B1017" s="3">
        <v>44348</v>
      </c>
      <c r="C1017">
        <v>118</v>
      </c>
      <c r="D1017" t="s">
        <v>396</v>
      </c>
      <c r="E1017" t="s">
        <v>48</v>
      </c>
      <c r="F1017" s="9" t="s">
        <v>55</v>
      </c>
      <c r="G1017" t="s">
        <v>50</v>
      </c>
      <c r="H1017" t="s">
        <v>51</v>
      </c>
      <c r="I1017" t="s">
        <v>52</v>
      </c>
      <c r="J1017" t="s">
        <v>53</v>
      </c>
      <c r="K1017" t="s">
        <v>54</v>
      </c>
      <c r="L1017" t="s">
        <v>53</v>
      </c>
      <c r="M1017" t="s">
        <v>54</v>
      </c>
      <c r="N1017" t="s">
        <v>51</v>
      </c>
      <c r="O1017" t="s">
        <v>52</v>
      </c>
      <c r="P1017" t="s">
        <v>53</v>
      </c>
      <c r="Q1017" t="s">
        <v>54</v>
      </c>
      <c r="R1017" s="1">
        <v>44348.406689814816</v>
      </c>
      <c r="S1017" s="1">
        <v>44348.406689814816</v>
      </c>
      <c r="T1017">
        <v>1</v>
      </c>
      <c r="U1017">
        <v>1</v>
      </c>
      <c r="V1017" s="2">
        <v>1</v>
      </c>
      <c r="W1017">
        <v>0</v>
      </c>
      <c r="X1017" t="s">
        <v>54</v>
      </c>
      <c r="Y1017">
        <v>0</v>
      </c>
    </row>
    <row r="1018" spans="1:25" x14ac:dyDescent="0.2">
      <c r="A1018" t="s">
        <v>381</v>
      </c>
      <c r="B1018" s="3">
        <v>44349</v>
      </c>
      <c r="C1018">
        <v>120</v>
      </c>
      <c r="D1018" t="s">
        <v>398</v>
      </c>
      <c r="E1018" t="s">
        <v>48</v>
      </c>
      <c r="F1018" s="9" t="s">
        <v>55</v>
      </c>
      <c r="G1018" t="s">
        <v>50</v>
      </c>
      <c r="H1018" t="s">
        <v>51</v>
      </c>
      <c r="I1018" t="s">
        <v>52</v>
      </c>
      <c r="J1018" t="s">
        <v>53</v>
      </c>
      <c r="K1018" t="s">
        <v>54</v>
      </c>
      <c r="L1018" t="s">
        <v>53</v>
      </c>
      <c r="M1018" t="s">
        <v>54</v>
      </c>
      <c r="N1018" t="s">
        <v>51</v>
      </c>
      <c r="O1018" t="s">
        <v>52</v>
      </c>
      <c r="P1018" t="s">
        <v>53</v>
      </c>
      <c r="Q1018" t="s">
        <v>54</v>
      </c>
      <c r="R1018" s="1">
        <v>44349.397407407407</v>
      </c>
      <c r="S1018" s="1">
        <v>44349.397407407407</v>
      </c>
      <c r="T1018">
        <v>1</v>
      </c>
      <c r="U1018">
        <v>1</v>
      </c>
      <c r="V1018" s="2">
        <v>1</v>
      </c>
      <c r="W1018">
        <v>0</v>
      </c>
      <c r="X1018" t="s">
        <v>54</v>
      </c>
      <c r="Y1018">
        <v>0</v>
      </c>
    </row>
    <row r="1019" spans="1:25" x14ac:dyDescent="0.2">
      <c r="A1019" t="s">
        <v>381</v>
      </c>
      <c r="B1019" s="3">
        <v>44349</v>
      </c>
      <c r="C1019">
        <v>121</v>
      </c>
      <c r="D1019" t="s">
        <v>385</v>
      </c>
      <c r="E1019" t="s">
        <v>48</v>
      </c>
      <c r="F1019" s="9" t="s">
        <v>55</v>
      </c>
      <c r="G1019" t="s">
        <v>50</v>
      </c>
      <c r="H1019" t="s">
        <v>51</v>
      </c>
      <c r="I1019" t="s">
        <v>52</v>
      </c>
      <c r="J1019" t="s">
        <v>53</v>
      </c>
      <c r="K1019" t="s">
        <v>54</v>
      </c>
      <c r="L1019" t="s">
        <v>53</v>
      </c>
      <c r="M1019" t="s">
        <v>54</v>
      </c>
      <c r="N1019" t="s">
        <v>51</v>
      </c>
      <c r="O1019" t="s">
        <v>52</v>
      </c>
      <c r="P1019" t="s">
        <v>53</v>
      </c>
      <c r="Q1019" t="s">
        <v>54</v>
      </c>
      <c r="R1019" s="1">
        <v>44349.597175925926</v>
      </c>
      <c r="S1019" s="1">
        <v>44349.597175925926</v>
      </c>
      <c r="T1019">
        <v>1</v>
      </c>
      <c r="U1019">
        <v>1</v>
      </c>
      <c r="V1019" s="2">
        <v>1</v>
      </c>
      <c r="W1019">
        <v>0</v>
      </c>
      <c r="X1019" t="s">
        <v>54</v>
      </c>
      <c r="Y1019">
        <v>0</v>
      </c>
    </row>
    <row r="1020" spans="1:25" x14ac:dyDescent="0.2">
      <c r="A1020" t="s">
        <v>381</v>
      </c>
      <c r="B1020" s="3">
        <v>44349</v>
      </c>
      <c r="C1020">
        <v>122</v>
      </c>
      <c r="D1020" t="s">
        <v>411</v>
      </c>
      <c r="E1020" t="s">
        <v>48</v>
      </c>
      <c r="F1020" s="9" t="s">
        <v>55</v>
      </c>
      <c r="G1020" t="s">
        <v>50</v>
      </c>
      <c r="H1020" t="s">
        <v>51</v>
      </c>
      <c r="I1020" t="s">
        <v>52</v>
      </c>
      <c r="J1020" t="s">
        <v>53</v>
      </c>
      <c r="K1020" t="s">
        <v>54</v>
      </c>
      <c r="L1020" t="s">
        <v>53</v>
      </c>
      <c r="M1020" t="s">
        <v>54</v>
      </c>
      <c r="N1020" t="s">
        <v>51</v>
      </c>
      <c r="O1020" t="s">
        <v>52</v>
      </c>
      <c r="P1020" t="s">
        <v>53</v>
      </c>
      <c r="Q1020" t="s">
        <v>54</v>
      </c>
      <c r="R1020" s="1">
        <v>44349.666203703702</v>
      </c>
      <c r="S1020" s="1">
        <v>44349.666203703702</v>
      </c>
      <c r="T1020">
        <v>1</v>
      </c>
      <c r="U1020">
        <v>1</v>
      </c>
      <c r="V1020" s="2">
        <v>1</v>
      </c>
      <c r="W1020">
        <v>0</v>
      </c>
      <c r="X1020" t="s">
        <v>54</v>
      </c>
      <c r="Y1020">
        <v>0</v>
      </c>
    </row>
    <row r="1021" spans="1:25" x14ac:dyDescent="0.2">
      <c r="A1021" t="s">
        <v>381</v>
      </c>
      <c r="B1021" s="3">
        <v>44350</v>
      </c>
      <c r="C1021">
        <v>123</v>
      </c>
      <c r="D1021" t="s">
        <v>382</v>
      </c>
      <c r="E1021" t="s">
        <v>48</v>
      </c>
      <c r="F1021" s="9" t="s">
        <v>55</v>
      </c>
      <c r="G1021" t="s">
        <v>50</v>
      </c>
      <c r="H1021" t="s">
        <v>51</v>
      </c>
      <c r="I1021" t="s">
        <v>52</v>
      </c>
      <c r="J1021" t="s">
        <v>53</v>
      </c>
      <c r="K1021" t="s">
        <v>54</v>
      </c>
      <c r="L1021" t="s">
        <v>53</v>
      </c>
      <c r="M1021" t="s">
        <v>54</v>
      </c>
      <c r="N1021" t="s">
        <v>51</v>
      </c>
      <c r="O1021" t="s">
        <v>52</v>
      </c>
      <c r="P1021" t="s">
        <v>53</v>
      </c>
      <c r="Q1021" t="s">
        <v>54</v>
      </c>
      <c r="R1021" s="1">
        <v>44350.368425925924</v>
      </c>
      <c r="S1021" s="1">
        <v>44350.368425925924</v>
      </c>
      <c r="T1021">
        <v>1</v>
      </c>
      <c r="U1021">
        <v>1</v>
      </c>
      <c r="V1021" s="2">
        <v>1</v>
      </c>
      <c r="W1021">
        <v>0</v>
      </c>
      <c r="X1021" t="s">
        <v>54</v>
      </c>
      <c r="Y1021">
        <v>0</v>
      </c>
    </row>
    <row r="1022" spans="1:25" x14ac:dyDescent="0.2">
      <c r="A1022" t="s">
        <v>381</v>
      </c>
      <c r="B1022" s="3">
        <v>44351</v>
      </c>
      <c r="C1022">
        <v>124</v>
      </c>
      <c r="D1022" t="s">
        <v>390</v>
      </c>
      <c r="E1022" t="s">
        <v>48</v>
      </c>
      <c r="F1022" s="9" t="s">
        <v>55</v>
      </c>
      <c r="G1022" t="s">
        <v>50</v>
      </c>
      <c r="H1022" t="s">
        <v>51</v>
      </c>
      <c r="I1022" t="s">
        <v>52</v>
      </c>
      <c r="J1022" t="s">
        <v>53</v>
      </c>
      <c r="K1022" t="s">
        <v>54</v>
      </c>
      <c r="L1022" t="s">
        <v>53</v>
      </c>
      <c r="M1022" t="s">
        <v>54</v>
      </c>
      <c r="N1022" t="s">
        <v>51</v>
      </c>
      <c r="O1022" t="s">
        <v>52</v>
      </c>
      <c r="P1022" t="s">
        <v>53</v>
      </c>
      <c r="Q1022" t="s">
        <v>54</v>
      </c>
      <c r="R1022" s="1">
        <v>44351.377175925925</v>
      </c>
      <c r="S1022" s="1">
        <v>44351.377175925925</v>
      </c>
      <c r="T1022">
        <v>1</v>
      </c>
      <c r="U1022">
        <v>1</v>
      </c>
      <c r="V1022" s="2">
        <v>1</v>
      </c>
      <c r="W1022">
        <v>0</v>
      </c>
      <c r="X1022" t="s">
        <v>54</v>
      </c>
      <c r="Y1022">
        <v>0</v>
      </c>
    </row>
    <row r="1023" spans="1:25" x14ac:dyDescent="0.2">
      <c r="A1023" t="s">
        <v>381</v>
      </c>
      <c r="B1023" s="3">
        <v>44351</v>
      </c>
      <c r="C1023">
        <v>125</v>
      </c>
      <c r="D1023" t="s">
        <v>387</v>
      </c>
      <c r="E1023" t="s">
        <v>48</v>
      </c>
      <c r="F1023" s="9" t="s">
        <v>55</v>
      </c>
      <c r="G1023" t="s">
        <v>50</v>
      </c>
      <c r="H1023" t="s">
        <v>51</v>
      </c>
      <c r="I1023" t="s">
        <v>52</v>
      </c>
      <c r="J1023" t="s">
        <v>53</v>
      </c>
      <c r="K1023" t="s">
        <v>54</v>
      </c>
      <c r="L1023" t="s">
        <v>53</v>
      </c>
      <c r="M1023" t="s">
        <v>54</v>
      </c>
      <c r="N1023" t="s">
        <v>51</v>
      </c>
      <c r="O1023" t="s">
        <v>52</v>
      </c>
      <c r="P1023" t="s">
        <v>53</v>
      </c>
      <c r="Q1023" t="s">
        <v>54</v>
      </c>
      <c r="R1023" s="1">
        <v>44351.538344907407</v>
      </c>
      <c r="S1023" s="1">
        <v>44351.538344907407</v>
      </c>
      <c r="T1023">
        <v>1</v>
      </c>
      <c r="U1023">
        <v>1</v>
      </c>
      <c r="V1023" s="2">
        <v>1</v>
      </c>
      <c r="W1023">
        <v>0</v>
      </c>
      <c r="X1023" t="s">
        <v>54</v>
      </c>
      <c r="Y1023">
        <v>0</v>
      </c>
    </row>
    <row r="1024" spans="1:25" x14ac:dyDescent="0.2">
      <c r="A1024" t="s">
        <v>381</v>
      </c>
      <c r="B1024" s="3">
        <v>44354</v>
      </c>
      <c r="C1024">
        <v>126</v>
      </c>
      <c r="D1024" t="s">
        <v>397</v>
      </c>
      <c r="E1024" t="s">
        <v>48</v>
      </c>
      <c r="F1024" s="9" t="s">
        <v>55</v>
      </c>
      <c r="G1024" t="s">
        <v>50</v>
      </c>
      <c r="H1024" t="s">
        <v>51</v>
      </c>
      <c r="I1024" t="s">
        <v>52</v>
      </c>
      <c r="J1024" t="s">
        <v>53</v>
      </c>
      <c r="K1024" t="s">
        <v>54</v>
      </c>
      <c r="L1024" t="s">
        <v>53</v>
      </c>
      <c r="M1024" t="s">
        <v>54</v>
      </c>
      <c r="N1024" t="s">
        <v>51</v>
      </c>
      <c r="O1024" t="s">
        <v>52</v>
      </c>
      <c r="P1024" t="s">
        <v>53</v>
      </c>
      <c r="Q1024" t="s">
        <v>54</v>
      </c>
      <c r="R1024" s="1">
        <v>44354.37599537037</v>
      </c>
      <c r="S1024" s="1">
        <v>44354.37599537037</v>
      </c>
      <c r="T1024">
        <v>1</v>
      </c>
      <c r="U1024">
        <v>1</v>
      </c>
      <c r="V1024" s="2">
        <v>1</v>
      </c>
      <c r="W1024">
        <v>0</v>
      </c>
      <c r="X1024" t="s">
        <v>54</v>
      </c>
      <c r="Y1024">
        <v>0</v>
      </c>
    </row>
    <row r="1025" spans="1:25" x14ac:dyDescent="0.2">
      <c r="A1025" t="s">
        <v>381</v>
      </c>
      <c r="B1025" s="3">
        <v>44354</v>
      </c>
      <c r="C1025">
        <v>127</v>
      </c>
      <c r="D1025" t="s">
        <v>383</v>
      </c>
      <c r="E1025" t="s">
        <v>48</v>
      </c>
      <c r="F1025" s="9" t="s">
        <v>55</v>
      </c>
      <c r="G1025" t="s">
        <v>50</v>
      </c>
      <c r="H1025" t="s">
        <v>51</v>
      </c>
      <c r="I1025" t="s">
        <v>52</v>
      </c>
      <c r="J1025" t="s">
        <v>53</v>
      </c>
      <c r="K1025" t="s">
        <v>54</v>
      </c>
      <c r="L1025" t="s">
        <v>53</v>
      </c>
      <c r="M1025" t="s">
        <v>54</v>
      </c>
      <c r="N1025" t="s">
        <v>51</v>
      </c>
      <c r="O1025" t="s">
        <v>52</v>
      </c>
      <c r="P1025" t="s">
        <v>53</v>
      </c>
      <c r="Q1025" t="s">
        <v>54</v>
      </c>
      <c r="R1025" s="1">
        <v>44354.536215277774</v>
      </c>
      <c r="S1025" s="1">
        <v>44354.536215277774</v>
      </c>
      <c r="T1025">
        <v>1</v>
      </c>
      <c r="U1025">
        <v>1</v>
      </c>
      <c r="V1025" s="2">
        <v>1</v>
      </c>
      <c r="W1025">
        <v>0</v>
      </c>
      <c r="X1025" t="s">
        <v>54</v>
      </c>
      <c r="Y1025">
        <v>0</v>
      </c>
    </row>
    <row r="1026" spans="1:25" x14ac:dyDescent="0.2">
      <c r="A1026" t="s">
        <v>381</v>
      </c>
      <c r="B1026" s="3">
        <v>44355</v>
      </c>
      <c r="C1026">
        <v>128</v>
      </c>
      <c r="D1026" t="s">
        <v>406</v>
      </c>
      <c r="E1026" t="s">
        <v>48</v>
      </c>
      <c r="F1026" s="9" t="s">
        <v>55</v>
      </c>
      <c r="G1026" t="s">
        <v>50</v>
      </c>
      <c r="H1026" t="s">
        <v>51</v>
      </c>
      <c r="I1026" t="s">
        <v>52</v>
      </c>
      <c r="J1026" t="s">
        <v>53</v>
      </c>
      <c r="K1026" t="s">
        <v>54</v>
      </c>
      <c r="L1026" t="s">
        <v>53</v>
      </c>
      <c r="M1026" t="s">
        <v>54</v>
      </c>
      <c r="N1026" t="s">
        <v>51</v>
      </c>
      <c r="O1026" t="s">
        <v>52</v>
      </c>
      <c r="P1026" t="s">
        <v>53</v>
      </c>
      <c r="Q1026" t="s">
        <v>54</v>
      </c>
      <c r="R1026" s="1">
        <v>44355.473761574074</v>
      </c>
      <c r="S1026" s="1">
        <v>44355.473761574074</v>
      </c>
      <c r="T1026">
        <v>1</v>
      </c>
      <c r="U1026">
        <v>1</v>
      </c>
      <c r="V1026" s="2">
        <v>1</v>
      </c>
      <c r="W1026">
        <v>0</v>
      </c>
      <c r="X1026" t="s">
        <v>54</v>
      </c>
      <c r="Y1026">
        <v>0</v>
      </c>
    </row>
    <row r="1027" spans="1:25" x14ac:dyDescent="0.2">
      <c r="A1027" t="s">
        <v>381</v>
      </c>
      <c r="B1027" s="3">
        <v>44356</v>
      </c>
      <c r="C1027">
        <v>130</v>
      </c>
      <c r="D1027" t="s">
        <v>398</v>
      </c>
      <c r="E1027" t="s">
        <v>48</v>
      </c>
      <c r="F1027" s="9" t="s">
        <v>55</v>
      </c>
      <c r="G1027" t="s">
        <v>50</v>
      </c>
      <c r="H1027" t="s">
        <v>51</v>
      </c>
      <c r="I1027" t="s">
        <v>52</v>
      </c>
      <c r="J1027" t="s">
        <v>53</v>
      </c>
      <c r="K1027" t="s">
        <v>54</v>
      </c>
      <c r="L1027" t="s">
        <v>53</v>
      </c>
      <c r="M1027" t="s">
        <v>54</v>
      </c>
      <c r="N1027" t="s">
        <v>51</v>
      </c>
      <c r="O1027" t="s">
        <v>52</v>
      </c>
      <c r="P1027" t="s">
        <v>53</v>
      </c>
      <c r="Q1027" t="s">
        <v>54</v>
      </c>
      <c r="R1027" s="1">
        <v>44356.402812499997</v>
      </c>
      <c r="S1027" s="1">
        <v>44356.402812499997</v>
      </c>
      <c r="T1027">
        <v>1</v>
      </c>
      <c r="U1027">
        <v>1</v>
      </c>
      <c r="V1027" s="2">
        <v>1</v>
      </c>
      <c r="W1027">
        <v>0</v>
      </c>
      <c r="X1027" t="s">
        <v>54</v>
      </c>
      <c r="Y1027">
        <v>0</v>
      </c>
    </row>
    <row r="1028" spans="1:25" x14ac:dyDescent="0.2">
      <c r="A1028" t="s">
        <v>381</v>
      </c>
      <c r="B1028" s="3">
        <v>44356</v>
      </c>
      <c r="C1028">
        <v>131</v>
      </c>
      <c r="D1028" t="s">
        <v>383</v>
      </c>
      <c r="E1028" t="s">
        <v>48</v>
      </c>
      <c r="F1028" s="9" t="s">
        <v>55</v>
      </c>
      <c r="G1028" t="s">
        <v>50</v>
      </c>
      <c r="H1028" t="s">
        <v>51</v>
      </c>
      <c r="I1028" t="s">
        <v>52</v>
      </c>
      <c r="J1028" t="s">
        <v>53</v>
      </c>
      <c r="K1028" t="s">
        <v>54</v>
      </c>
      <c r="L1028" t="s">
        <v>53</v>
      </c>
      <c r="M1028" t="s">
        <v>54</v>
      </c>
      <c r="N1028" t="s">
        <v>51</v>
      </c>
      <c r="O1028" t="s">
        <v>52</v>
      </c>
      <c r="P1028" t="s">
        <v>53</v>
      </c>
      <c r="Q1028" t="s">
        <v>54</v>
      </c>
      <c r="R1028" s="1">
        <v>44356.548993055556</v>
      </c>
      <c r="S1028" s="1">
        <v>44356.548993055556</v>
      </c>
      <c r="T1028">
        <v>1</v>
      </c>
      <c r="U1028">
        <v>1</v>
      </c>
      <c r="V1028" s="2">
        <v>1</v>
      </c>
      <c r="W1028">
        <v>0</v>
      </c>
      <c r="X1028" t="s">
        <v>54</v>
      </c>
      <c r="Y1028">
        <v>0</v>
      </c>
    </row>
    <row r="1029" spans="1:25" x14ac:dyDescent="0.2">
      <c r="A1029" t="s">
        <v>381</v>
      </c>
      <c r="B1029" s="3">
        <v>44357</v>
      </c>
      <c r="C1029">
        <v>132</v>
      </c>
      <c r="D1029" t="s">
        <v>399</v>
      </c>
      <c r="E1029" t="s">
        <v>48</v>
      </c>
      <c r="F1029" s="9" t="s">
        <v>55</v>
      </c>
      <c r="G1029" t="s">
        <v>50</v>
      </c>
      <c r="H1029" t="s">
        <v>51</v>
      </c>
      <c r="I1029" t="s">
        <v>52</v>
      </c>
      <c r="J1029" t="s">
        <v>53</v>
      </c>
      <c r="K1029" t="s">
        <v>54</v>
      </c>
      <c r="L1029" t="s">
        <v>53</v>
      </c>
      <c r="M1029" t="s">
        <v>54</v>
      </c>
      <c r="N1029" t="s">
        <v>51</v>
      </c>
      <c r="O1029" t="s">
        <v>52</v>
      </c>
      <c r="P1029" t="s">
        <v>53</v>
      </c>
      <c r="Q1029" t="s">
        <v>54</v>
      </c>
      <c r="R1029" s="1">
        <v>44357.373252314814</v>
      </c>
      <c r="S1029" s="1">
        <v>44357.373252314814</v>
      </c>
      <c r="T1029">
        <v>1</v>
      </c>
      <c r="U1029">
        <v>1</v>
      </c>
      <c r="V1029" s="2">
        <v>1</v>
      </c>
      <c r="W1029">
        <v>0</v>
      </c>
      <c r="X1029" t="s">
        <v>54</v>
      </c>
      <c r="Y1029">
        <v>0</v>
      </c>
    </row>
    <row r="1030" spans="1:25" x14ac:dyDescent="0.2">
      <c r="A1030" t="s">
        <v>381</v>
      </c>
      <c r="B1030" s="3">
        <v>44358</v>
      </c>
      <c r="C1030">
        <v>133</v>
      </c>
      <c r="D1030" t="s">
        <v>390</v>
      </c>
      <c r="E1030" t="s">
        <v>48</v>
      </c>
      <c r="F1030" s="9" t="s">
        <v>55</v>
      </c>
      <c r="G1030" t="s">
        <v>50</v>
      </c>
      <c r="H1030" t="s">
        <v>51</v>
      </c>
      <c r="I1030" t="s">
        <v>52</v>
      </c>
      <c r="J1030" t="s">
        <v>53</v>
      </c>
      <c r="K1030" t="s">
        <v>54</v>
      </c>
      <c r="L1030" t="s">
        <v>53</v>
      </c>
      <c r="M1030" t="s">
        <v>54</v>
      </c>
      <c r="N1030" t="s">
        <v>51</v>
      </c>
      <c r="O1030" t="s">
        <v>52</v>
      </c>
      <c r="P1030" t="s">
        <v>53</v>
      </c>
      <c r="Q1030" t="s">
        <v>54</v>
      </c>
      <c r="R1030" s="1">
        <v>44358.388819444444</v>
      </c>
      <c r="S1030" s="1">
        <v>44358.388819444444</v>
      </c>
      <c r="T1030">
        <v>1</v>
      </c>
      <c r="U1030">
        <v>1</v>
      </c>
      <c r="V1030" s="2">
        <v>1</v>
      </c>
      <c r="W1030">
        <v>0</v>
      </c>
      <c r="X1030" t="s">
        <v>54</v>
      </c>
      <c r="Y1030">
        <v>0</v>
      </c>
    </row>
    <row r="1031" spans="1:25" x14ac:dyDescent="0.2">
      <c r="A1031" t="s">
        <v>381</v>
      </c>
      <c r="B1031" s="3">
        <v>44361</v>
      </c>
      <c r="C1031">
        <v>135</v>
      </c>
      <c r="D1031" t="s">
        <v>390</v>
      </c>
      <c r="E1031" t="s">
        <v>48</v>
      </c>
      <c r="F1031" s="9" t="s">
        <v>55</v>
      </c>
      <c r="G1031" t="s">
        <v>50</v>
      </c>
      <c r="H1031" t="s">
        <v>51</v>
      </c>
      <c r="I1031" t="s">
        <v>52</v>
      </c>
      <c r="J1031" t="s">
        <v>53</v>
      </c>
      <c r="K1031" t="s">
        <v>54</v>
      </c>
      <c r="L1031" t="s">
        <v>53</v>
      </c>
      <c r="M1031" t="s">
        <v>54</v>
      </c>
      <c r="N1031" t="s">
        <v>51</v>
      </c>
      <c r="O1031" t="s">
        <v>52</v>
      </c>
      <c r="P1031" t="s">
        <v>53</v>
      </c>
      <c r="Q1031" t="s">
        <v>54</v>
      </c>
      <c r="R1031" s="1">
        <v>44361.37840277778</v>
      </c>
      <c r="S1031" s="1">
        <v>44361.37840277778</v>
      </c>
      <c r="T1031">
        <v>1</v>
      </c>
      <c r="U1031">
        <v>1</v>
      </c>
      <c r="V1031" s="2">
        <v>1</v>
      </c>
      <c r="W1031">
        <v>0</v>
      </c>
      <c r="X1031" t="s">
        <v>54</v>
      </c>
      <c r="Y1031">
        <v>0</v>
      </c>
    </row>
    <row r="1032" spans="1:25" x14ac:dyDescent="0.2">
      <c r="A1032" t="s">
        <v>381</v>
      </c>
      <c r="B1032" s="3">
        <v>44361</v>
      </c>
      <c r="C1032">
        <v>136</v>
      </c>
      <c r="D1032" t="s">
        <v>383</v>
      </c>
      <c r="E1032" t="s">
        <v>48</v>
      </c>
      <c r="F1032" s="9" t="s">
        <v>55</v>
      </c>
      <c r="G1032" t="s">
        <v>50</v>
      </c>
      <c r="H1032" t="s">
        <v>51</v>
      </c>
      <c r="I1032" t="s">
        <v>52</v>
      </c>
      <c r="J1032" t="s">
        <v>53</v>
      </c>
      <c r="K1032" t="s">
        <v>54</v>
      </c>
      <c r="L1032" t="s">
        <v>53</v>
      </c>
      <c r="M1032" t="s">
        <v>54</v>
      </c>
      <c r="N1032" t="s">
        <v>51</v>
      </c>
      <c r="O1032" t="s">
        <v>52</v>
      </c>
      <c r="P1032" t="s">
        <v>53</v>
      </c>
      <c r="Q1032" t="s">
        <v>54</v>
      </c>
      <c r="R1032" s="1">
        <v>44361.634293981479</v>
      </c>
      <c r="S1032" s="1">
        <v>44361.634293981479</v>
      </c>
      <c r="T1032">
        <v>1</v>
      </c>
      <c r="U1032">
        <v>1</v>
      </c>
      <c r="V1032" s="2">
        <v>1</v>
      </c>
      <c r="W1032">
        <v>0</v>
      </c>
      <c r="X1032" t="s">
        <v>54</v>
      </c>
      <c r="Y1032">
        <v>0</v>
      </c>
    </row>
    <row r="1033" spans="1:25" x14ac:dyDescent="0.2">
      <c r="A1033" t="s">
        <v>381</v>
      </c>
      <c r="B1033" s="3">
        <v>44364</v>
      </c>
      <c r="C1033">
        <v>138</v>
      </c>
      <c r="D1033" t="s">
        <v>399</v>
      </c>
      <c r="E1033" t="s">
        <v>48</v>
      </c>
      <c r="F1033" s="9" t="s">
        <v>55</v>
      </c>
      <c r="G1033" t="s">
        <v>50</v>
      </c>
      <c r="H1033" t="s">
        <v>51</v>
      </c>
      <c r="I1033" t="s">
        <v>52</v>
      </c>
      <c r="J1033" t="s">
        <v>53</v>
      </c>
      <c r="K1033" t="s">
        <v>54</v>
      </c>
      <c r="L1033" t="s">
        <v>53</v>
      </c>
      <c r="M1033" t="s">
        <v>54</v>
      </c>
      <c r="N1033" t="s">
        <v>51</v>
      </c>
      <c r="O1033" t="s">
        <v>52</v>
      </c>
      <c r="P1033" t="s">
        <v>53</v>
      </c>
      <c r="Q1033" t="s">
        <v>54</v>
      </c>
      <c r="R1033" s="1">
        <v>44364.340601851851</v>
      </c>
      <c r="S1033" s="1">
        <v>44364.340601851851</v>
      </c>
      <c r="T1033">
        <v>1</v>
      </c>
      <c r="U1033">
        <v>1</v>
      </c>
      <c r="V1033" s="2">
        <v>1</v>
      </c>
      <c r="W1033">
        <v>0</v>
      </c>
      <c r="X1033" t="s">
        <v>54</v>
      </c>
      <c r="Y1033">
        <v>0</v>
      </c>
    </row>
    <row r="1034" spans="1:25" x14ac:dyDescent="0.2">
      <c r="A1034" t="s">
        <v>381</v>
      </c>
      <c r="B1034" s="3">
        <v>44365</v>
      </c>
      <c r="C1034">
        <v>139</v>
      </c>
      <c r="D1034" t="s">
        <v>400</v>
      </c>
      <c r="E1034" t="s">
        <v>48</v>
      </c>
      <c r="F1034" s="9" t="s">
        <v>55</v>
      </c>
      <c r="G1034" t="s">
        <v>50</v>
      </c>
      <c r="H1034" t="s">
        <v>51</v>
      </c>
      <c r="I1034" t="s">
        <v>52</v>
      </c>
      <c r="J1034" t="s">
        <v>53</v>
      </c>
      <c r="K1034" t="s">
        <v>54</v>
      </c>
      <c r="L1034" t="s">
        <v>53</v>
      </c>
      <c r="M1034" t="s">
        <v>54</v>
      </c>
      <c r="N1034" t="s">
        <v>51</v>
      </c>
      <c r="O1034" t="s">
        <v>52</v>
      </c>
      <c r="P1034" t="s">
        <v>53</v>
      </c>
      <c r="Q1034" t="s">
        <v>54</v>
      </c>
      <c r="R1034" s="1">
        <v>44365.395532407405</v>
      </c>
      <c r="S1034" s="1">
        <v>44365.395532407405</v>
      </c>
      <c r="T1034">
        <v>1</v>
      </c>
      <c r="U1034">
        <v>1</v>
      </c>
      <c r="V1034" s="2">
        <v>1</v>
      </c>
      <c r="W1034">
        <v>0</v>
      </c>
      <c r="X1034" t="s">
        <v>54</v>
      </c>
      <c r="Y1034">
        <v>0</v>
      </c>
    </row>
    <row r="1035" spans="1:25" x14ac:dyDescent="0.2">
      <c r="A1035" t="s">
        <v>381</v>
      </c>
      <c r="B1035" s="3">
        <v>44365</v>
      </c>
      <c r="C1035">
        <v>140</v>
      </c>
      <c r="D1035" t="s">
        <v>399</v>
      </c>
      <c r="E1035" t="s">
        <v>48</v>
      </c>
      <c r="F1035" s="9" t="s">
        <v>55</v>
      </c>
      <c r="G1035" t="s">
        <v>50</v>
      </c>
      <c r="H1035" t="s">
        <v>51</v>
      </c>
      <c r="I1035" t="s">
        <v>52</v>
      </c>
      <c r="J1035" t="s">
        <v>53</v>
      </c>
      <c r="K1035" t="s">
        <v>54</v>
      </c>
      <c r="L1035" t="s">
        <v>53</v>
      </c>
      <c r="M1035" t="s">
        <v>54</v>
      </c>
      <c r="N1035" t="s">
        <v>51</v>
      </c>
      <c r="O1035" t="s">
        <v>52</v>
      </c>
      <c r="P1035" t="s">
        <v>53</v>
      </c>
      <c r="Q1035" t="s">
        <v>54</v>
      </c>
      <c r="R1035" s="1">
        <v>44365.566967592589</v>
      </c>
      <c r="S1035" s="1">
        <v>44365.566967592589</v>
      </c>
      <c r="T1035">
        <v>1</v>
      </c>
      <c r="U1035">
        <v>1</v>
      </c>
      <c r="V1035" s="2">
        <v>1</v>
      </c>
      <c r="W1035">
        <v>0</v>
      </c>
      <c r="X1035" t="s">
        <v>54</v>
      </c>
      <c r="Y1035">
        <v>0</v>
      </c>
    </row>
    <row r="1036" spans="1:25" x14ac:dyDescent="0.2">
      <c r="A1036" t="s">
        <v>381</v>
      </c>
      <c r="B1036" s="3">
        <v>44375</v>
      </c>
      <c r="C1036">
        <v>141</v>
      </c>
      <c r="D1036" t="s">
        <v>396</v>
      </c>
      <c r="E1036" t="s">
        <v>48</v>
      </c>
      <c r="F1036" s="9" t="s">
        <v>55</v>
      </c>
      <c r="G1036" t="s">
        <v>50</v>
      </c>
      <c r="H1036" t="s">
        <v>51</v>
      </c>
      <c r="I1036" t="s">
        <v>52</v>
      </c>
      <c r="J1036" t="s">
        <v>53</v>
      </c>
      <c r="K1036" t="s">
        <v>54</v>
      </c>
      <c r="L1036" t="s">
        <v>53</v>
      </c>
      <c r="M1036" t="s">
        <v>54</v>
      </c>
      <c r="N1036" t="s">
        <v>51</v>
      </c>
      <c r="O1036" t="s">
        <v>52</v>
      </c>
      <c r="P1036" t="s">
        <v>53</v>
      </c>
      <c r="Q1036" t="s">
        <v>54</v>
      </c>
      <c r="R1036" s="1">
        <v>44375.540972222225</v>
      </c>
      <c r="S1036" s="1">
        <v>44375.540972222225</v>
      </c>
      <c r="T1036">
        <v>1</v>
      </c>
      <c r="U1036">
        <v>1</v>
      </c>
      <c r="V1036" s="2">
        <v>1</v>
      </c>
      <c r="W1036">
        <v>0</v>
      </c>
      <c r="X1036" t="s">
        <v>54</v>
      </c>
      <c r="Y1036">
        <v>0</v>
      </c>
    </row>
    <row r="1037" spans="1:25" x14ac:dyDescent="0.2">
      <c r="A1037" t="s">
        <v>381</v>
      </c>
      <c r="B1037" s="3">
        <v>44207</v>
      </c>
      <c r="C1037">
        <v>1</v>
      </c>
      <c r="D1037" t="s">
        <v>384</v>
      </c>
      <c r="E1037" t="s">
        <v>48</v>
      </c>
      <c r="F1037" s="9" t="s">
        <v>56</v>
      </c>
      <c r="G1037" t="s">
        <v>50</v>
      </c>
      <c r="H1037" t="s">
        <v>51</v>
      </c>
      <c r="I1037" t="s">
        <v>52</v>
      </c>
      <c r="J1037" t="s">
        <v>53</v>
      </c>
      <c r="K1037" t="s">
        <v>54</v>
      </c>
      <c r="L1037" t="s">
        <v>53</v>
      </c>
      <c r="M1037" t="s">
        <v>54</v>
      </c>
      <c r="N1037" t="s">
        <v>51</v>
      </c>
      <c r="O1037" t="s">
        <v>52</v>
      </c>
      <c r="P1037" t="s">
        <v>53</v>
      </c>
      <c r="Q1037" t="s">
        <v>54</v>
      </c>
      <c r="R1037" s="1">
        <v>44207.360671296294</v>
      </c>
      <c r="S1037" s="1">
        <v>44207.360671296294</v>
      </c>
      <c r="T1037">
        <v>1</v>
      </c>
      <c r="U1037">
        <v>1</v>
      </c>
      <c r="V1037" s="2">
        <v>1</v>
      </c>
      <c r="W1037">
        <v>0</v>
      </c>
      <c r="X1037" t="s">
        <v>54</v>
      </c>
      <c r="Y1037">
        <v>0</v>
      </c>
    </row>
    <row r="1038" spans="1:25" x14ac:dyDescent="0.2">
      <c r="A1038" t="s">
        <v>381</v>
      </c>
      <c r="B1038" s="3">
        <v>44236</v>
      </c>
      <c r="C1038">
        <v>3</v>
      </c>
      <c r="D1038" t="s">
        <v>385</v>
      </c>
      <c r="E1038" t="s">
        <v>48</v>
      </c>
      <c r="F1038" s="9" t="s">
        <v>56</v>
      </c>
      <c r="G1038" t="s">
        <v>50</v>
      </c>
      <c r="H1038" t="s">
        <v>51</v>
      </c>
      <c r="I1038" t="s">
        <v>52</v>
      </c>
      <c r="J1038" t="s">
        <v>53</v>
      </c>
      <c r="K1038" t="s">
        <v>54</v>
      </c>
      <c r="L1038" t="s">
        <v>53</v>
      </c>
      <c r="M1038" t="s">
        <v>54</v>
      </c>
      <c r="N1038" t="s">
        <v>51</v>
      </c>
      <c r="O1038" t="s">
        <v>52</v>
      </c>
      <c r="P1038" t="s">
        <v>53</v>
      </c>
      <c r="Q1038" t="s">
        <v>54</v>
      </c>
      <c r="R1038" s="1">
        <v>44236.609409722223</v>
      </c>
      <c r="S1038" s="1">
        <v>44236.609409722223</v>
      </c>
      <c r="T1038">
        <v>1</v>
      </c>
      <c r="U1038">
        <v>1</v>
      </c>
      <c r="V1038" s="2">
        <v>1</v>
      </c>
      <c r="W1038">
        <v>0</v>
      </c>
      <c r="X1038" t="s">
        <v>54</v>
      </c>
      <c r="Y1038">
        <v>0</v>
      </c>
    </row>
    <row r="1039" spans="1:25" x14ac:dyDescent="0.2">
      <c r="A1039" t="s">
        <v>381</v>
      </c>
      <c r="B1039" s="3">
        <v>44237</v>
      </c>
      <c r="C1039">
        <v>4</v>
      </c>
      <c r="D1039" t="s">
        <v>384</v>
      </c>
      <c r="E1039" t="s">
        <v>48</v>
      </c>
      <c r="F1039" s="9" t="s">
        <v>56</v>
      </c>
      <c r="G1039" t="s">
        <v>50</v>
      </c>
      <c r="H1039" t="s">
        <v>51</v>
      </c>
      <c r="I1039" t="s">
        <v>52</v>
      </c>
      <c r="J1039" t="s">
        <v>53</v>
      </c>
      <c r="K1039" t="s">
        <v>54</v>
      </c>
      <c r="L1039" t="s">
        <v>53</v>
      </c>
      <c r="M1039" t="s">
        <v>54</v>
      </c>
      <c r="N1039" t="s">
        <v>51</v>
      </c>
      <c r="O1039" t="s">
        <v>52</v>
      </c>
      <c r="P1039" t="s">
        <v>53</v>
      </c>
      <c r="Q1039" t="s">
        <v>54</v>
      </c>
      <c r="R1039" s="1">
        <v>44237.362592592595</v>
      </c>
      <c r="S1039" s="1">
        <v>44237.362592592595</v>
      </c>
      <c r="T1039">
        <v>1</v>
      </c>
      <c r="U1039">
        <v>1</v>
      </c>
      <c r="V1039" s="2">
        <v>1</v>
      </c>
      <c r="W1039">
        <v>0</v>
      </c>
      <c r="X1039" t="s">
        <v>54</v>
      </c>
      <c r="Y1039">
        <v>0</v>
      </c>
    </row>
    <row r="1040" spans="1:25" x14ac:dyDescent="0.2">
      <c r="A1040" t="s">
        <v>381</v>
      </c>
      <c r="B1040" s="3">
        <v>44238</v>
      </c>
      <c r="C1040">
        <v>5</v>
      </c>
      <c r="D1040" t="s">
        <v>382</v>
      </c>
      <c r="E1040" t="s">
        <v>48</v>
      </c>
      <c r="F1040" s="9" t="s">
        <v>56</v>
      </c>
      <c r="G1040" t="s">
        <v>50</v>
      </c>
      <c r="H1040" t="s">
        <v>51</v>
      </c>
      <c r="I1040" t="s">
        <v>52</v>
      </c>
      <c r="J1040" t="s">
        <v>53</v>
      </c>
      <c r="K1040" t="s">
        <v>54</v>
      </c>
      <c r="L1040" t="s">
        <v>53</v>
      </c>
      <c r="M1040" t="s">
        <v>54</v>
      </c>
      <c r="N1040" t="s">
        <v>51</v>
      </c>
      <c r="O1040" t="s">
        <v>52</v>
      </c>
      <c r="P1040" t="s">
        <v>53</v>
      </c>
      <c r="Q1040" t="s">
        <v>54</v>
      </c>
      <c r="R1040" s="1">
        <v>44238.3672337963</v>
      </c>
      <c r="S1040" s="1">
        <v>44238.3672337963</v>
      </c>
      <c r="T1040">
        <v>1</v>
      </c>
      <c r="U1040">
        <v>1</v>
      </c>
      <c r="V1040" s="2">
        <v>1</v>
      </c>
      <c r="W1040">
        <v>0</v>
      </c>
      <c r="X1040" t="s">
        <v>54</v>
      </c>
      <c r="Y1040">
        <v>0</v>
      </c>
    </row>
    <row r="1041" spans="1:25" x14ac:dyDescent="0.2">
      <c r="A1041" t="s">
        <v>381</v>
      </c>
      <c r="B1041" s="3">
        <v>44238</v>
      </c>
      <c r="C1041">
        <v>6</v>
      </c>
      <c r="D1041" t="s">
        <v>385</v>
      </c>
      <c r="E1041" t="s">
        <v>48</v>
      </c>
      <c r="F1041" s="9" t="s">
        <v>56</v>
      </c>
      <c r="G1041" t="s">
        <v>50</v>
      </c>
      <c r="H1041" t="s">
        <v>51</v>
      </c>
      <c r="I1041" t="s">
        <v>52</v>
      </c>
      <c r="J1041" t="s">
        <v>53</v>
      </c>
      <c r="K1041" t="s">
        <v>54</v>
      </c>
      <c r="L1041" t="s">
        <v>53</v>
      </c>
      <c r="M1041" t="s">
        <v>54</v>
      </c>
      <c r="N1041" t="s">
        <v>51</v>
      </c>
      <c r="O1041" t="s">
        <v>52</v>
      </c>
      <c r="P1041" t="s">
        <v>53</v>
      </c>
      <c r="Q1041" t="s">
        <v>54</v>
      </c>
      <c r="R1041" s="1">
        <v>44238.607025462959</v>
      </c>
      <c r="S1041" s="1">
        <v>44238.607025462959</v>
      </c>
      <c r="T1041">
        <v>1</v>
      </c>
      <c r="U1041">
        <v>1</v>
      </c>
      <c r="V1041" s="2">
        <v>1</v>
      </c>
      <c r="W1041">
        <v>0</v>
      </c>
      <c r="X1041" t="s">
        <v>54</v>
      </c>
      <c r="Y1041">
        <v>0</v>
      </c>
    </row>
    <row r="1042" spans="1:25" x14ac:dyDescent="0.2">
      <c r="A1042" t="s">
        <v>381</v>
      </c>
      <c r="B1042" s="3">
        <v>44239</v>
      </c>
      <c r="C1042">
        <v>7</v>
      </c>
      <c r="D1042" t="s">
        <v>384</v>
      </c>
      <c r="E1042" t="s">
        <v>48</v>
      </c>
      <c r="F1042" s="9" t="s">
        <v>56</v>
      </c>
      <c r="G1042" t="s">
        <v>50</v>
      </c>
      <c r="H1042" t="s">
        <v>51</v>
      </c>
      <c r="I1042" t="s">
        <v>52</v>
      </c>
      <c r="J1042" t="s">
        <v>53</v>
      </c>
      <c r="K1042" t="s">
        <v>54</v>
      </c>
      <c r="L1042" t="s">
        <v>53</v>
      </c>
      <c r="M1042" t="s">
        <v>54</v>
      </c>
      <c r="N1042" t="s">
        <v>51</v>
      </c>
      <c r="O1042" t="s">
        <v>52</v>
      </c>
      <c r="P1042" t="s">
        <v>53</v>
      </c>
      <c r="Q1042" t="s">
        <v>54</v>
      </c>
      <c r="R1042" s="1">
        <v>44239.358877314815</v>
      </c>
      <c r="S1042" s="1">
        <v>44239.358877314815</v>
      </c>
      <c r="T1042">
        <v>1</v>
      </c>
      <c r="U1042">
        <v>1</v>
      </c>
      <c r="V1042" s="2">
        <v>1</v>
      </c>
      <c r="W1042">
        <v>0</v>
      </c>
      <c r="X1042" t="s">
        <v>54</v>
      </c>
      <c r="Y1042">
        <v>0</v>
      </c>
    </row>
    <row r="1043" spans="1:25" x14ac:dyDescent="0.2">
      <c r="A1043" t="s">
        <v>381</v>
      </c>
      <c r="B1043" s="3">
        <v>44242</v>
      </c>
      <c r="C1043">
        <v>8</v>
      </c>
      <c r="D1043" t="s">
        <v>384</v>
      </c>
      <c r="E1043" t="s">
        <v>48</v>
      </c>
      <c r="F1043" s="9" t="s">
        <v>56</v>
      </c>
      <c r="G1043" t="s">
        <v>50</v>
      </c>
      <c r="H1043" t="s">
        <v>51</v>
      </c>
      <c r="I1043" t="s">
        <v>52</v>
      </c>
      <c r="J1043" t="s">
        <v>53</v>
      </c>
      <c r="K1043" t="s">
        <v>54</v>
      </c>
      <c r="L1043" t="s">
        <v>53</v>
      </c>
      <c r="M1043" t="s">
        <v>54</v>
      </c>
      <c r="N1043" t="s">
        <v>51</v>
      </c>
      <c r="O1043" t="s">
        <v>52</v>
      </c>
      <c r="P1043" t="s">
        <v>53</v>
      </c>
      <c r="Q1043" t="s">
        <v>54</v>
      </c>
      <c r="R1043" s="1">
        <v>44242.359027777777</v>
      </c>
      <c r="S1043" s="1">
        <v>44242.359027777777</v>
      </c>
      <c r="T1043">
        <v>1</v>
      </c>
      <c r="U1043">
        <v>1</v>
      </c>
      <c r="V1043" s="2">
        <v>1</v>
      </c>
      <c r="W1043">
        <v>0</v>
      </c>
      <c r="X1043" t="s">
        <v>54</v>
      </c>
      <c r="Y1043">
        <v>0</v>
      </c>
    </row>
    <row r="1044" spans="1:25" x14ac:dyDescent="0.2">
      <c r="A1044" t="s">
        <v>381</v>
      </c>
      <c r="B1044" s="3">
        <v>44243</v>
      </c>
      <c r="C1044">
        <v>9</v>
      </c>
      <c r="D1044" t="s">
        <v>382</v>
      </c>
      <c r="E1044" t="s">
        <v>48</v>
      </c>
      <c r="F1044" s="9" t="s">
        <v>56</v>
      </c>
      <c r="G1044" t="s">
        <v>50</v>
      </c>
      <c r="H1044" t="s">
        <v>51</v>
      </c>
      <c r="I1044" t="s">
        <v>52</v>
      </c>
      <c r="J1044" t="s">
        <v>53</v>
      </c>
      <c r="K1044" t="s">
        <v>54</v>
      </c>
      <c r="L1044" t="s">
        <v>53</v>
      </c>
      <c r="M1044" t="s">
        <v>54</v>
      </c>
      <c r="N1044" t="s">
        <v>51</v>
      </c>
      <c r="O1044" t="s">
        <v>52</v>
      </c>
      <c r="P1044" t="s">
        <v>53</v>
      </c>
      <c r="Q1044" t="s">
        <v>54</v>
      </c>
      <c r="R1044" s="1">
        <v>44243.360358796293</v>
      </c>
      <c r="S1044" s="1">
        <v>44243.360358796293</v>
      </c>
      <c r="T1044">
        <v>1</v>
      </c>
      <c r="U1044">
        <v>1</v>
      </c>
      <c r="V1044" s="2">
        <v>1</v>
      </c>
      <c r="W1044">
        <v>0</v>
      </c>
      <c r="X1044" t="s">
        <v>54</v>
      </c>
      <c r="Y1044">
        <v>0</v>
      </c>
    </row>
    <row r="1045" spans="1:25" x14ac:dyDescent="0.2">
      <c r="A1045" t="s">
        <v>381</v>
      </c>
      <c r="B1045" s="3">
        <v>44243</v>
      </c>
      <c r="C1045">
        <v>10</v>
      </c>
      <c r="D1045" t="s">
        <v>385</v>
      </c>
      <c r="E1045" t="s">
        <v>48</v>
      </c>
      <c r="F1045" s="9" t="s">
        <v>56</v>
      </c>
      <c r="G1045" t="s">
        <v>50</v>
      </c>
      <c r="H1045" t="s">
        <v>51</v>
      </c>
      <c r="I1045" t="s">
        <v>52</v>
      </c>
      <c r="J1045" t="s">
        <v>53</v>
      </c>
      <c r="K1045" t="s">
        <v>54</v>
      </c>
      <c r="L1045" t="s">
        <v>53</v>
      </c>
      <c r="M1045" t="s">
        <v>54</v>
      </c>
      <c r="N1045" t="s">
        <v>51</v>
      </c>
      <c r="O1045" t="s">
        <v>52</v>
      </c>
      <c r="P1045" t="s">
        <v>53</v>
      </c>
      <c r="Q1045" t="s">
        <v>54</v>
      </c>
      <c r="R1045" s="1">
        <v>44243.606006944443</v>
      </c>
      <c r="S1045" s="1">
        <v>44243.606006944443</v>
      </c>
      <c r="T1045">
        <v>1</v>
      </c>
      <c r="U1045">
        <v>1</v>
      </c>
      <c r="V1045" s="2">
        <v>1</v>
      </c>
      <c r="W1045">
        <v>0</v>
      </c>
      <c r="X1045" t="s">
        <v>54</v>
      </c>
      <c r="Y1045">
        <v>0</v>
      </c>
    </row>
    <row r="1046" spans="1:25" x14ac:dyDescent="0.2">
      <c r="A1046" t="s">
        <v>381</v>
      </c>
      <c r="B1046" s="3">
        <v>44244</v>
      </c>
      <c r="C1046">
        <v>11</v>
      </c>
      <c r="D1046" t="s">
        <v>384</v>
      </c>
      <c r="E1046" t="s">
        <v>48</v>
      </c>
      <c r="F1046" s="9" t="s">
        <v>56</v>
      </c>
      <c r="G1046" t="s">
        <v>50</v>
      </c>
      <c r="H1046" t="s">
        <v>51</v>
      </c>
      <c r="I1046" t="s">
        <v>52</v>
      </c>
      <c r="J1046" t="s">
        <v>53</v>
      </c>
      <c r="K1046" t="s">
        <v>54</v>
      </c>
      <c r="L1046" t="s">
        <v>53</v>
      </c>
      <c r="M1046" t="s">
        <v>54</v>
      </c>
      <c r="N1046" t="s">
        <v>51</v>
      </c>
      <c r="O1046" t="s">
        <v>52</v>
      </c>
      <c r="P1046" t="s">
        <v>53</v>
      </c>
      <c r="Q1046" t="s">
        <v>54</v>
      </c>
      <c r="R1046" s="1">
        <v>44244.359224537038</v>
      </c>
      <c r="S1046" s="1">
        <v>44244.359224537038</v>
      </c>
      <c r="T1046">
        <v>1</v>
      </c>
      <c r="U1046">
        <v>1</v>
      </c>
      <c r="V1046" s="2">
        <v>1</v>
      </c>
      <c r="W1046">
        <v>0</v>
      </c>
      <c r="X1046" t="s">
        <v>54</v>
      </c>
      <c r="Y1046">
        <v>0</v>
      </c>
    </row>
    <row r="1047" spans="1:25" x14ac:dyDescent="0.2">
      <c r="A1047" t="s">
        <v>381</v>
      </c>
      <c r="B1047" s="3">
        <v>44245</v>
      </c>
      <c r="C1047">
        <v>12</v>
      </c>
      <c r="D1047" t="s">
        <v>382</v>
      </c>
      <c r="E1047" t="s">
        <v>48</v>
      </c>
      <c r="F1047" s="9" t="s">
        <v>56</v>
      </c>
      <c r="G1047" t="s">
        <v>50</v>
      </c>
      <c r="H1047" t="s">
        <v>51</v>
      </c>
      <c r="I1047" t="s">
        <v>52</v>
      </c>
      <c r="J1047" t="s">
        <v>53</v>
      </c>
      <c r="K1047" t="s">
        <v>54</v>
      </c>
      <c r="L1047" t="s">
        <v>53</v>
      </c>
      <c r="M1047" t="s">
        <v>54</v>
      </c>
      <c r="N1047" t="s">
        <v>51</v>
      </c>
      <c r="O1047" t="s">
        <v>52</v>
      </c>
      <c r="P1047" t="s">
        <v>53</v>
      </c>
      <c r="Q1047" t="s">
        <v>54</v>
      </c>
      <c r="R1047" s="1">
        <v>44245.359780092593</v>
      </c>
      <c r="S1047" s="1">
        <v>44245.359780092593</v>
      </c>
      <c r="T1047">
        <v>1</v>
      </c>
      <c r="U1047">
        <v>1</v>
      </c>
      <c r="V1047" s="2">
        <v>1</v>
      </c>
      <c r="W1047">
        <v>0</v>
      </c>
      <c r="X1047" t="s">
        <v>54</v>
      </c>
      <c r="Y1047">
        <v>0</v>
      </c>
    </row>
    <row r="1048" spans="1:25" x14ac:dyDescent="0.2">
      <c r="A1048" t="s">
        <v>381</v>
      </c>
      <c r="B1048" s="3">
        <v>44246</v>
      </c>
      <c r="C1048">
        <v>14</v>
      </c>
      <c r="D1048" t="s">
        <v>384</v>
      </c>
      <c r="E1048" t="s">
        <v>48</v>
      </c>
      <c r="F1048" s="9" t="s">
        <v>56</v>
      </c>
      <c r="G1048" t="s">
        <v>50</v>
      </c>
      <c r="H1048" t="s">
        <v>51</v>
      </c>
      <c r="I1048" t="s">
        <v>52</v>
      </c>
      <c r="J1048" t="s">
        <v>53</v>
      </c>
      <c r="K1048" t="s">
        <v>54</v>
      </c>
      <c r="L1048" t="s">
        <v>53</v>
      </c>
      <c r="M1048" t="s">
        <v>54</v>
      </c>
      <c r="N1048" t="s">
        <v>51</v>
      </c>
      <c r="O1048" t="s">
        <v>52</v>
      </c>
      <c r="P1048" t="s">
        <v>53</v>
      </c>
      <c r="Q1048" t="s">
        <v>54</v>
      </c>
      <c r="R1048" s="1">
        <v>44246.358252314814</v>
      </c>
      <c r="S1048" s="1">
        <v>44246.358252314814</v>
      </c>
      <c r="T1048">
        <v>1</v>
      </c>
      <c r="U1048">
        <v>1</v>
      </c>
      <c r="V1048" s="2">
        <v>1</v>
      </c>
      <c r="W1048">
        <v>0</v>
      </c>
      <c r="X1048" t="s">
        <v>54</v>
      </c>
      <c r="Y1048">
        <v>0</v>
      </c>
    </row>
    <row r="1049" spans="1:25" x14ac:dyDescent="0.2">
      <c r="A1049" t="s">
        <v>381</v>
      </c>
      <c r="B1049" s="3">
        <v>44249</v>
      </c>
      <c r="C1049">
        <v>15</v>
      </c>
      <c r="D1049" t="s">
        <v>384</v>
      </c>
      <c r="E1049" t="s">
        <v>48</v>
      </c>
      <c r="F1049" s="9" t="s">
        <v>56</v>
      </c>
      <c r="G1049" t="s">
        <v>50</v>
      </c>
      <c r="H1049" t="s">
        <v>51</v>
      </c>
      <c r="I1049" t="s">
        <v>52</v>
      </c>
      <c r="J1049" t="s">
        <v>53</v>
      </c>
      <c r="K1049" t="s">
        <v>54</v>
      </c>
      <c r="L1049" t="s">
        <v>53</v>
      </c>
      <c r="M1049" t="s">
        <v>54</v>
      </c>
      <c r="N1049" t="s">
        <v>51</v>
      </c>
      <c r="O1049" t="s">
        <v>52</v>
      </c>
      <c r="P1049" t="s">
        <v>53</v>
      </c>
      <c r="Q1049" t="s">
        <v>54</v>
      </c>
      <c r="R1049" s="1">
        <v>44249.371296296296</v>
      </c>
      <c r="S1049" s="1">
        <v>44249.371296296296</v>
      </c>
      <c r="T1049">
        <v>1</v>
      </c>
      <c r="U1049">
        <v>1</v>
      </c>
      <c r="V1049" s="2">
        <v>1</v>
      </c>
      <c r="W1049">
        <v>0</v>
      </c>
      <c r="X1049" t="s">
        <v>54</v>
      </c>
      <c r="Y1049">
        <v>0</v>
      </c>
    </row>
    <row r="1050" spans="1:25" x14ac:dyDescent="0.2">
      <c r="A1050" t="s">
        <v>381</v>
      </c>
      <c r="B1050" s="3">
        <v>44250</v>
      </c>
      <c r="C1050">
        <v>16</v>
      </c>
      <c r="D1050" t="s">
        <v>382</v>
      </c>
      <c r="E1050" t="s">
        <v>48</v>
      </c>
      <c r="F1050" s="9" t="s">
        <v>56</v>
      </c>
      <c r="G1050" t="s">
        <v>50</v>
      </c>
      <c r="H1050" t="s">
        <v>51</v>
      </c>
      <c r="I1050" t="s">
        <v>52</v>
      </c>
      <c r="J1050" t="s">
        <v>53</v>
      </c>
      <c r="K1050" t="s">
        <v>54</v>
      </c>
      <c r="L1050" t="s">
        <v>53</v>
      </c>
      <c r="M1050" t="s">
        <v>54</v>
      </c>
      <c r="N1050" t="s">
        <v>51</v>
      </c>
      <c r="O1050" t="s">
        <v>52</v>
      </c>
      <c r="P1050" t="s">
        <v>53</v>
      </c>
      <c r="Q1050" t="s">
        <v>54</v>
      </c>
      <c r="R1050" s="1">
        <v>44250.361122685186</v>
      </c>
      <c r="S1050" s="1">
        <v>44250.361122685186</v>
      </c>
      <c r="T1050">
        <v>1</v>
      </c>
      <c r="U1050">
        <v>1</v>
      </c>
      <c r="V1050" s="2">
        <v>1</v>
      </c>
      <c r="W1050">
        <v>0</v>
      </c>
      <c r="X1050" t="s">
        <v>54</v>
      </c>
      <c r="Y1050">
        <v>0</v>
      </c>
    </row>
    <row r="1051" spans="1:25" x14ac:dyDescent="0.2">
      <c r="A1051" t="s">
        <v>381</v>
      </c>
      <c r="B1051" s="3">
        <v>44250</v>
      </c>
      <c r="C1051">
        <v>17</v>
      </c>
      <c r="D1051" t="s">
        <v>385</v>
      </c>
      <c r="E1051" t="s">
        <v>48</v>
      </c>
      <c r="F1051" s="9" t="s">
        <v>56</v>
      </c>
      <c r="G1051" t="s">
        <v>50</v>
      </c>
      <c r="H1051" t="s">
        <v>51</v>
      </c>
      <c r="I1051" t="s">
        <v>52</v>
      </c>
      <c r="J1051" t="s">
        <v>53</v>
      </c>
      <c r="K1051" t="s">
        <v>54</v>
      </c>
      <c r="L1051" t="s">
        <v>53</v>
      </c>
      <c r="M1051" t="s">
        <v>54</v>
      </c>
      <c r="N1051" t="s">
        <v>51</v>
      </c>
      <c r="O1051" t="s">
        <v>52</v>
      </c>
      <c r="P1051" t="s">
        <v>53</v>
      </c>
      <c r="Q1051" t="s">
        <v>54</v>
      </c>
      <c r="R1051" s="1">
        <v>44250.634386574071</v>
      </c>
      <c r="S1051" s="1">
        <v>44250.634386574071</v>
      </c>
      <c r="T1051">
        <v>1</v>
      </c>
      <c r="U1051">
        <v>1</v>
      </c>
      <c r="V1051" s="2">
        <v>1</v>
      </c>
      <c r="W1051">
        <v>0</v>
      </c>
      <c r="X1051" t="s">
        <v>54</v>
      </c>
      <c r="Y1051">
        <v>0</v>
      </c>
    </row>
    <row r="1052" spans="1:25" x14ac:dyDescent="0.2">
      <c r="A1052" t="s">
        <v>381</v>
      </c>
      <c r="B1052" s="3">
        <v>44251</v>
      </c>
      <c r="C1052">
        <v>18</v>
      </c>
      <c r="D1052" t="s">
        <v>384</v>
      </c>
      <c r="E1052" t="s">
        <v>48</v>
      </c>
      <c r="F1052" s="9" t="s">
        <v>56</v>
      </c>
      <c r="G1052" t="s">
        <v>50</v>
      </c>
      <c r="H1052" t="s">
        <v>51</v>
      </c>
      <c r="I1052" t="s">
        <v>52</v>
      </c>
      <c r="J1052" t="s">
        <v>53</v>
      </c>
      <c r="K1052" t="s">
        <v>54</v>
      </c>
      <c r="L1052" t="s">
        <v>53</v>
      </c>
      <c r="M1052" t="s">
        <v>54</v>
      </c>
      <c r="N1052" t="s">
        <v>51</v>
      </c>
      <c r="O1052" t="s">
        <v>52</v>
      </c>
      <c r="P1052" t="s">
        <v>53</v>
      </c>
      <c r="Q1052" t="s">
        <v>54</v>
      </c>
      <c r="R1052" s="1">
        <v>44251.356689814813</v>
      </c>
      <c r="S1052" s="1">
        <v>44251.356689814813</v>
      </c>
      <c r="T1052">
        <v>1</v>
      </c>
      <c r="U1052">
        <v>1</v>
      </c>
      <c r="V1052" s="2">
        <v>1</v>
      </c>
      <c r="W1052">
        <v>0</v>
      </c>
      <c r="X1052" t="s">
        <v>54</v>
      </c>
      <c r="Y1052">
        <v>0</v>
      </c>
    </row>
    <row r="1053" spans="1:25" x14ac:dyDescent="0.2">
      <c r="A1053" t="s">
        <v>381</v>
      </c>
      <c r="B1053" s="3">
        <v>44252</v>
      </c>
      <c r="C1053">
        <v>19</v>
      </c>
      <c r="D1053" t="s">
        <v>382</v>
      </c>
      <c r="E1053" t="s">
        <v>48</v>
      </c>
      <c r="F1053" s="9" t="s">
        <v>56</v>
      </c>
      <c r="G1053" t="s">
        <v>50</v>
      </c>
      <c r="H1053" t="s">
        <v>51</v>
      </c>
      <c r="I1053" t="s">
        <v>52</v>
      </c>
      <c r="J1053" t="s">
        <v>53</v>
      </c>
      <c r="K1053" t="s">
        <v>54</v>
      </c>
      <c r="L1053" t="s">
        <v>53</v>
      </c>
      <c r="M1053" t="s">
        <v>54</v>
      </c>
      <c r="N1053" t="s">
        <v>51</v>
      </c>
      <c r="O1053" t="s">
        <v>52</v>
      </c>
      <c r="P1053" t="s">
        <v>53</v>
      </c>
      <c r="Q1053" t="s">
        <v>54</v>
      </c>
      <c r="R1053" s="1">
        <v>44252.360613425924</v>
      </c>
      <c r="S1053" s="1">
        <v>44252.360613425924</v>
      </c>
      <c r="T1053">
        <v>1</v>
      </c>
      <c r="U1053">
        <v>1</v>
      </c>
      <c r="V1053" s="2">
        <v>1</v>
      </c>
      <c r="W1053">
        <v>0</v>
      </c>
      <c r="X1053" t="s">
        <v>54</v>
      </c>
      <c r="Y1053">
        <v>0</v>
      </c>
    </row>
    <row r="1054" spans="1:25" x14ac:dyDescent="0.2">
      <c r="A1054" t="s">
        <v>381</v>
      </c>
      <c r="B1054" s="3">
        <v>44252</v>
      </c>
      <c r="C1054">
        <v>20</v>
      </c>
      <c r="D1054" t="s">
        <v>385</v>
      </c>
      <c r="E1054" t="s">
        <v>48</v>
      </c>
      <c r="F1054" s="9" t="s">
        <v>56</v>
      </c>
      <c r="G1054" t="s">
        <v>50</v>
      </c>
      <c r="H1054" t="s">
        <v>51</v>
      </c>
      <c r="I1054" t="s">
        <v>52</v>
      </c>
      <c r="J1054" t="s">
        <v>53</v>
      </c>
      <c r="K1054" t="s">
        <v>54</v>
      </c>
      <c r="L1054" t="s">
        <v>53</v>
      </c>
      <c r="M1054" t="s">
        <v>54</v>
      </c>
      <c r="N1054" t="s">
        <v>51</v>
      </c>
      <c r="O1054" t="s">
        <v>52</v>
      </c>
      <c r="P1054" t="s">
        <v>53</v>
      </c>
      <c r="Q1054" t="s">
        <v>54</v>
      </c>
      <c r="R1054" s="1">
        <v>44252.607442129629</v>
      </c>
      <c r="S1054" s="1">
        <v>44252.607442129629</v>
      </c>
      <c r="T1054">
        <v>1</v>
      </c>
      <c r="U1054">
        <v>1</v>
      </c>
      <c r="V1054" s="2">
        <v>1</v>
      </c>
      <c r="W1054">
        <v>0</v>
      </c>
      <c r="X1054" t="s">
        <v>54</v>
      </c>
      <c r="Y1054">
        <v>0</v>
      </c>
    </row>
    <row r="1055" spans="1:25" x14ac:dyDescent="0.2">
      <c r="A1055" t="s">
        <v>381</v>
      </c>
      <c r="B1055" s="3">
        <v>44253</v>
      </c>
      <c r="C1055">
        <v>21</v>
      </c>
      <c r="D1055" t="s">
        <v>384</v>
      </c>
      <c r="E1055" t="s">
        <v>48</v>
      </c>
      <c r="F1055" s="9" t="s">
        <v>56</v>
      </c>
      <c r="G1055" t="s">
        <v>50</v>
      </c>
      <c r="H1055" t="s">
        <v>51</v>
      </c>
      <c r="I1055" t="s">
        <v>52</v>
      </c>
      <c r="J1055" t="s">
        <v>53</v>
      </c>
      <c r="K1055" t="s">
        <v>54</v>
      </c>
      <c r="L1055" t="s">
        <v>53</v>
      </c>
      <c r="M1055" t="s">
        <v>54</v>
      </c>
      <c r="N1055" t="s">
        <v>51</v>
      </c>
      <c r="O1055" t="s">
        <v>52</v>
      </c>
      <c r="P1055" t="s">
        <v>53</v>
      </c>
      <c r="Q1055" t="s">
        <v>54</v>
      </c>
      <c r="R1055" s="1">
        <v>44253.358090277776</v>
      </c>
      <c r="S1055" s="1">
        <v>44253.358090277776</v>
      </c>
      <c r="T1055">
        <v>1</v>
      </c>
      <c r="U1055">
        <v>1</v>
      </c>
      <c r="V1055" s="2">
        <v>1</v>
      </c>
      <c r="W1055">
        <v>0</v>
      </c>
      <c r="X1055" t="s">
        <v>54</v>
      </c>
      <c r="Y1055">
        <v>0</v>
      </c>
    </row>
    <row r="1056" spans="1:25" x14ac:dyDescent="0.2">
      <c r="A1056" t="s">
        <v>381</v>
      </c>
      <c r="B1056" s="3">
        <v>44256</v>
      </c>
      <c r="C1056">
        <v>22</v>
      </c>
      <c r="D1056" t="s">
        <v>384</v>
      </c>
      <c r="E1056" t="s">
        <v>48</v>
      </c>
      <c r="F1056" s="9" t="s">
        <v>56</v>
      </c>
      <c r="G1056" t="s">
        <v>50</v>
      </c>
      <c r="H1056" t="s">
        <v>51</v>
      </c>
      <c r="I1056" t="s">
        <v>52</v>
      </c>
      <c r="J1056" t="s">
        <v>53</v>
      </c>
      <c r="K1056" t="s">
        <v>54</v>
      </c>
      <c r="L1056" t="s">
        <v>53</v>
      </c>
      <c r="M1056" t="s">
        <v>54</v>
      </c>
      <c r="N1056" t="s">
        <v>51</v>
      </c>
      <c r="O1056" t="s">
        <v>52</v>
      </c>
      <c r="P1056" t="s">
        <v>53</v>
      </c>
      <c r="Q1056" t="s">
        <v>54</v>
      </c>
      <c r="R1056" s="1">
        <v>44256.360902777778</v>
      </c>
      <c r="S1056" s="1">
        <v>44256.360902777778</v>
      </c>
      <c r="T1056">
        <v>1</v>
      </c>
      <c r="U1056">
        <v>1</v>
      </c>
      <c r="V1056" s="2">
        <v>1</v>
      </c>
      <c r="W1056">
        <v>0</v>
      </c>
      <c r="X1056" t="s">
        <v>54</v>
      </c>
      <c r="Y1056">
        <v>0</v>
      </c>
    </row>
    <row r="1057" spans="1:25" x14ac:dyDescent="0.2">
      <c r="A1057" t="s">
        <v>381</v>
      </c>
      <c r="B1057" s="3">
        <v>44257</v>
      </c>
      <c r="C1057">
        <v>23</v>
      </c>
      <c r="D1057" t="s">
        <v>382</v>
      </c>
      <c r="E1057" t="s">
        <v>48</v>
      </c>
      <c r="F1057" s="9" t="s">
        <v>56</v>
      </c>
      <c r="G1057" t="s">
        <v>50</v>
      </c>
      <c r="H1057" t="s">
        <v>51</v>
      </c>
      <c r="I1057" t="s">
        <v>52</v>
      </c>
      <c r="J1057" t="s">
        <v>53</v>
      </c>
      <c r="K1057" t="s">
        <v>54</v>
      </c>
      <c r="L1057" t="s">
        <v>53</v>
      </c>
      <c r="M1057" t="s">
        <v>54</v>
      </c>
      <c r="N1057" t="s">
        <v>51</v>
      </c>
      <c r="O1057" t="s">
        <v>52</v>
      </c>
      <c r="P1057" t="s">
        <v>53</v>
      </c>
      <c r="Q1057" t="s">
        <v>54</v>
      </c>
      <c r="R1057" s="1">
        <v>44257.361921296295</v>
      </c>
      <c r="S1057" s="1">
        <v>44257.361921296295</v>
      </c>
      <c r="T1057">
        <v>1</v>
      </c>
      <c r="U1057">
        <v>1</v>
      </c>
      <c r="V1057" s="2">
        <v>1</v>
      </c>
      <c r="W1057">
        <v>0</v>
      </c>
      <c r="X1057" t="s">
        <v>54</v>
      </c>
      <c r="Y1057">
        <v>0</v>
      </c>
    </row>
    <row r="1058" spans="1:25" x14ac:dyDescent="0.2">
      <c r="A1058" t="s">
        <v>381</v>
      </c>
      <c r="B1058" s="3">
        <v>44257</v>
      </c>
      <c r="C1058">
        <v>24</v>
      </c>
      <c r="D1058" t="s">
        <v>385</v>
      </c>
      <c r="E1058" t="s">
        <v>48</v>
      </c>
      <c r="F1058" s="9" t="s">
        <v>56</v>
      </c>
      <c r="G1058" t="s">
        <v>50</v>
      </c>
      <c r="H1058" t="s">
        <v>51</v>
      </c>
      <c r="I1058" t="s">
        <v>52</v>
      </c>
      <c r="J1058" t="s">
        <v>53</v>
      </c>
      <c r="K1058" t="s">
        <v>54</v>
      </c>
      <c r="L1058" t="s">
        <v>53</v>
      </c>
      <c r="M1058" t="s">
        <v>54</v>
      </c>
      <c r="N1058" t="s">
        <v>51</v>
      </c>
      <c r="O1058" t="s">
        <v>52</v>
      </c>
      <c r="P1058" t="s">
        <v>53</v>
      </c>
      <c r="Q1058" t="s">
        <v>54</v>
      </c>
      <c r="R1058" s="1">
        <v>44257.603449074071</v>
      </c>
      <c r="S1058" s="1">
        <v>44257.603449074071</v>
      </c>
      <c r="T1058">
        <v>1</v>
      </c>
      <c r="U1058">
        <v>1</v>
      </c>
      <c r="V1058" s="2">
        <v>1</v>
      </c>
      <c r="W1058">
        <v>0</v>
      </c>
      <c r="X1058" t="s">
        <v>54</v>
      </c>
      <c r="Y1058">
        <v>0</v>
      </c>
    </row>
    <row r="1059" spans="1:25" x14ac:dyDescent="0.2">
      <c r="A1059" t="s">
        <v>381</v>
      </c>
      <c r="B1059" s="3">
        <v>44258</v>
      </c>
      <c r="C1059">
        <v>25</v>
      </c>
      <c r="D1059" t="s">
        <v>384</v>
      </c>
      <c r="E1059" t="s">
        <v>48</v>
      </c>
      <c r="F1059" s="9" t="s">
        <v>56</v>
      </c>
      <c r="G1059" t="s">
        <v>50</v>
      </c>
      <c r="H1059" t="s">
        <v>51</v>
      </c>
      <c r="I1059" t="s">
        <v>52</v>
      </c>
      <c r="J1059" t="s">
        <v>53</v>
      </c>
      <c r="K1059" t="s">
        <v>54</v>
      </c>
      <c r="L1059" t="s">
        <v>53</v>
      </c>
      <c r="M1059" t="s">
        <v>54</v>
      </c>
      <c r="N1059" t="s">
        <v>51</v>
      </c>
      <c r="O1059" t="s">
        <v>52</v>
      </c>
      <c r="P1059" t="s">
        <v>53</v>
      </c>
      <c r="Q1059" t="s">
        <v>54</v>
      </c>
      <c r="R1059" s="1">
        <v>44258.357847222222</v>
      </c>
      <c r="S1059" s="1">
        <v>44258.357847222222</v>
      </c>
      <c r="T1059">
        <v>1</v>
      </c>
      <c r="U1059">
        <v>1</v>
      </c>
      <c r="V1059" s="2">
        <v>1</v>
      </c>
      <c r="W1059">
        <v>0</v>
      </c>
      <c r="X1059" t="s">
        <v>54</v>
      </c>
      <c r="Y1059">
        <v>0</v>
      </c>
    </row>
    <row r="1060" spans="1:25" x14ac:dyDescent="0.2">
      <c r="A1060" t="s">
        <v>381</v>
      </c>
      <c r="B1060" s="3">
        <v>44259</v>
      </c>
      <c r="C1060">
        <v>26</v>
      </c>
      <c r="D1060" t="s">
        <v>382</v>
      </c>
      <c r="E1060" t="s">
        <v>48</v>
      </c>
      <c r="F1060" s="9" t="s">
        <v>56</v>
      </c>
      <c r="G1060" t="s">
        <v>50</v>
      </c>
      <c r="H1060" t="s">
        <v>51</v>
      </c>
      <c r="I1060" t="s">
        <v>52</v>
      </c>
      <c r="J1060" t="s">
        <v>53</v>
      </c>
      <c r="K1060" t="s">
        <v>54</v>
      </c>
      <c r="L1060" t="s">
        <v>53</v>
      </c>
      <c r="M1060" t="s">
        <v>54</v>
      </c>
      <c r="N1060" t="s">
        <v>51</v>
      </c>
      <c r="O1060" t="s">
        <v>52</v>
      </c>
      <c r="P1060" t="s">
        <v>53</v>
      </c>
      <c r="Q1060" t="s">
        <v>54</v>
      </c>
      <c r="R1060" s="1">
        <v>44259.361319444448</v>
      </c>
      <c r="S1060" s="1">
        <v>44259.361319444448</v>
      </c>
      <c r="T1060">
        <v>1</v>
      </c>
      <c r="U1060">
        <v>1</v>
      </c>
      <c r="V1060" s="2">
        <v>1</v>
      </c>
      <c r="W1060">
        <v>0</v>
      </c>
      <c r="X1060" t="s">
        <v>54</v>
      </c>
      <c r="Y1060">
        <v>0</v>
      </c>
    </row>
    <row r="1061" spans="1:25" x14ac:dyDescent="0.2">
      <c r="A1061" t="s">
        <v>381</v>
      </c>
      <c r="B1061" s="3">
        <v>44260</v>
      </c>
      <c r="C1061">
        <v>28</v>
      </c>
      <c r="D1061" t="s">
        <v>384</v>
      </c>
      <c r="E1061" t="s">
        <v>48</v>
      </c>
      <c r="F1061" s="9" t="s">
        <v>56</v>
      </c>
      <c r="G1061" t="s">
        <v>50</v>
      </c>
      <c r="H1061" t="s">
        <v>51</v>
      </c>
      <c r="I1061" t="s">
        <v>52</v>
      </c>
      <c r="J1061" t="s">
        <v>53</v>
      </c>
      <c r="K1061" t="s">
        <v>54</v>
      </c>
      <c r="L1061" t="s">
        <v>53</v>
      </c>
      <c r="M1061" t="s">
        <v>54</v>
      </c>
      <c r="N1061" t="s">
        <v>51</v>
      </c>
      <c r="O1061" t="s">
        <v>52</v>
      </c>
      <c r="P1061" t="s">
        <v>53</v>
      </c>
      <c r="Q1061" t="s">
        <v>54</v>
      </c>
      <c r="R1061" s="1">
        <v>44260.366944444446</v>
      </c>
      <c r="S1061" s="1">
        <v>44260.366944444446</v>
      </c>
      <c r="T1061">
        <v>1</v>
      </c>
      <c r="U1061">
        <v>1</v>
      </c>
      <c r="V1061" s="2">
        <v>1</v>
      </c>
      <c r="W1061">
        <v>0</v>
      </c>
      <c r="X1061" t="s">
        <v>54</v>
      </c>
      <c r="Y1061">
        <v>0</v>
      </c>
    </row>
    <row r="1062" spans="1:25" x14ac:dyDescent="0.2">
      <c r="A1062" t="s">
        <v>381</v>
      </c>
      <c r="B1062" s="3">
        <v>44263</v>
      </c>
      <c r="C1062">
        <v>29</v>
      </c>
      <c r="D1062" t="s">
        <v>384</v>
      </c>
      <c r="E1062" t="s">
        <v>48</v>
      </c>
      <c r="F1062" s="9" t="s">
        <v>56</v>
      </c>
      <c r="G1062" t="s">
        <v>50</v>
      </c>
      <c r="H1062" t="s">
        <v>51</v>
      </c>
      <c r="I1062" t="s">
        <v>52</v>
      </c>
      <c r="J1062" t="s">
        <v>53</v>
      </c>
      <c r="K1062" t="s">
        <v>54</v>
      </c>
      <c r="L1062" t="s">
        <v>53</v>
      </c>
      <c r="M1062" t="s">
        <v>54</v>
      </c>
      <c r="N1062" t="s">
        <v>51</v>
      </c>
      <c r="O1062" t="s">
        <v>52</v>
      </c>
      <c r="P1062" t="s">
        <v>53</v>
      </c>
      <c r="Q1062" t="s">
        <v>54</v>
      </c>
      <c r="R1062" s="1">
        <v>44263.441168981481</v>
      </c>
      <c r="S1062" s="1">
        <v>44263.441168981481</v>
      </c>
      <c r="T1062">
        <v>1</v>
      </c>
      <c r="U1062">
        <v>1</v>
      </c>
      <c r="V1062" s="2">
        <v>1</v>
      </c>
      <c r="W1062">
        <v>0</v>
      </c>
      <c r="X1062" t="s">
        <v>54</v>
      </c>
      <c r="Y1062">
        <v>0</v>
      </c>
    </row>
    <row r="1063" spans="1:25" x14ac:dyDescent="0.2">
      <c r="A1063" t="s">
        <v>381</v>
      </c>
      <c r="B1063" s="3">
        <v>44264</v>
      </c>
      <c r="C1063">
        <v>30</v>
      </c>
      <c r="D1063" t="s">
        <v>382</v>
      </c>
      <c r="E1063" t="s">
        <v>48</v>
      </c>
      <c r="F1063" s="9" t="s">
        <v>56</v>
      </c>
      <c r="G1063" t="s">
        <v>50</v>
      </c>
      <c r="H1063" t="s">
        <v>51</v>
      </c>
      <c r="I1063" t="s">
        <v>52</v>
      </c>
      <c r="J1063" t="s">
        <v>53</v>
      </c>
      <c r="K1063" t="s">
        <v>54</v>
      </c>
      <c r="L1063" t="s">
        <v>53</v>
      </c>
      <c r="M1063" t="s">
        <v>54</v>
      </c>
      <c r="N1063" t="s">
        <v>51</v>
      </c>
      <c r="O1063" t="s">
        <v>52</v>
      </c>
      <c r="P1063" t="s">
        <v>53</v>
      </c>
      <c r="Q1063" t="s">
        <v>54</v>
      </c>
      <c r="R1063" s="1">
        <v>44264.370150462964</v>
      </c>
      <c r="S1063" s="1">
        <v>44264.370150462964</v>
      </c>
      <c r="T1063">
        <v>1</v>
      </c>
      <c r="U1063">
        <v>1</v>
      </c>
      <c r="V1063" s="2">
        <v>1</v>
      </c>
      <c r="W1063">
        <v>0</v>
      </c>
      <c r="X1063" t="s">
        <v>54</v>
      </c>
      <c r="Y1063">
        <v>0</v>
      </c>
    </row>
    <row r="1064" spans="1:25" x14ac:dyDescent="0.2">
      <c r="A1064" t="s">
        <v>381</v>
      </c>
      <c r="B1064" s="3">
        <v>44264</v>
      </c>
      <c r="C1064">
        <v>31</v>
      </c>
      <c r="D1064" t="s">
        <v>385</v>
      </c>
      <c r="E1064" t="s">
        <v>48</v>
      </c>
      <c r="F1064" s="9" t="s">
        <v>56</v>
      </c>
      <c r="G1064" t="s">
        <v>50</v>
      </c>
      <c r="H1064" t="s">
        <v>51</v>
      </c>
      <c r="I1064" t="s">
        <v>52</v>
      </c>
      <c r="J1064" t="s">
        <v>53</v>
      </c>
      <c r="K1064" t="s">
        <v>54</v>
      </c>
      <c r="L1064" t="s">
        <v>53</v>
      </c>
      <c r="M1064" t="s">
        <v>54</v>
      </c>
      <c r="N1064" t="s">
        <v>51</v>
      </c>
      <c r="O1064" t="s">
        <v>52</v>
      </c>
      <c r="P1064" t="s">
        <v>53</v>
      </c>
      <c r="Q1064" t="s">
        <v>54</v>
      </c>
      <c r="R1064" s="1">
        <v>44264.6091087963</v>
      </c>
      <c r="S1064" s="1">
        <v>44264.6091087963</v>
      </c>
      <c r="T1064">
        <v>1</v>
      </c>
      <c r="U1064">
        <v>1</v>
      </c>
      <c r="V1064" s="2">
        <v>1</v>
      </c>
      <c r="W1064">
        <v>0</v>
      </c>
      <c r="X1064" t="s">
        <v>54</v>
      </c>
      <c r="Y1064">
        <v>0</v>
      </c>
    </row>
    <row r="1065" spans="1:25" x14ac:dyDescent="0.2">
      <c r="A1065" t="s">
        <v>381</v>
      </c>
      <c r="B1065" s="3">
        <v>44265</v>
      </c>
      <c r="C1065">
        <v>32</v>
      </c>
      <c r="D1065" t="s">
        <v>384</v>
      </c>
      <c r="E1065" t="s">
        <v>48</v>
      </c>
      <c r="F1065" s="9" t="s">
        <v>56</v>
      </c>
      <c r="G1065" t="s">
        <v>50</v>
      </c>
      <c r="H1065" t="s">
        <v>51</v>
      </c>
      <c r="I1065" t="s">
        <v>52</v>
      </c>
      <c r="J1065" t="s">
        <v>53</v>
      </c>
      <c r="K1065" t="s">
        <v>54</v>
      </c>
      <c r="L1065" t="s">
        <v>53</v>
      </c>
      <c r="M1065" t="s">
        <v>54</v>
      </c>
      <c r="N1065" t="s">
        <v>51</v>
      </c>
      <c r="O1065" t="s">
        <v>52</v>
      </c>
      <c r="P1065" t="s">
        <v>53</v>
      </c>
      <c r="Q1065" t="s">
        <v>54</v>
      </c>
      <c r="R1065" s="1">
        <v>44265.359861111108</v>
      </c>
      <c r="S1065" s="1">
        <v>44265.359861111108</v>
      </c>
      <c r="T1065">
        <v>1</v>
      </c>
      <c r="U1065">
        <v>1</v>
      </c>
      <c r="V1065" s="2">
        <v>1</v>
      </c>
      <c r="W1065">
        <v>0</v>
      </c>
      <c r="X1065" t="s">
        <v>54</v>
      </c>
      <c r="Y1065">
        <v>0</v>
      </c>
    </row>
    <row r="1066" spans="1:25" x14ac:dyDescent="0.2">
      <c r="A1066" t="s">
        <v>381</v>
      </c>
      <c r="B1066" s="3">
        <v>44270</v>
      </c>
      <c r="C1066">
        <v>35</v>
      </c>
      <c r="D1066" t="s">
        <v>384</v>
      </c>
      <c r="E1066" t="s">
        <v>48</v>
      </c>
      <c r="F1066" s="9" t="s">
        <v>56</v>
      </c>
      <c r="G1066" t="s">
        <v>50</v>
      </c>
      <c r="H1066" t="s">
        <v>51</v>
      </c>
      <c r="I1066" t="s">
        <v>52</v>
      </c>
      <c r="J1066" t="s">
        <v>53</v>
      </c>
      <c r="K1066" t="s">
        <v>54</v>
      </c>
      <c r="L1066" t="s">
        <v>53</v>
      </c>
      <c r="M1066" t="s">
        <v>54</v>
      </c>
      <c r="N1066" t="s">
        <v>51</v>
      </c>
      <c r="O1066" t="s">
        <v>52</v>
      </c>
      <c r="P1066" t="s">
        <v>53</v>
      </c>
      <c r="Q1066" t="s">
        <v>54</v>
      </c>
      <c r="R1066" s="1">
        <v>44270.357789351852</v>
      </c>
      <c r="S1066" s="1">
        <v>44270.357789351852</v>
      </c>
      <c r="T1066">
        <v>1</v>
      </c>
      <c r="U1066">
        <v>1</v>
      </c>
      <c r="V1066" s="2">
        <v>1</v>
      </c>
      <c r="W1066">
        <v>0</v>
      </c>
      <c r="X1066" t="s">
        <v>54</v>
      </c>
      <c r="Y1066">
        <v>0</v>
      </c>
    </row>
    <row r="1067" spans="1:25" x14ac:dyDescent="0.2">
      <c r="A1067" t="s">
        <v>381</v>
      </c>
      <c r="B1067" s="3">
        <v>44271</v>
      </c>
      <c r="C1067">
        <v>37</v>
      </c>
      <c r="D1067" t="s">
        <v>385</v>
      </c>
      <c r="E1067" t="s">
        <v>48</v>
      </c>
      <c r="F1067" s="9" t="s">
        <v>56</v>
      </c>
      <c r="G1067" t="s">
        <v>50</v>
      </c>
      <c r="H1067" t="s">
        <v>51</v>
      </c>
      <c r="I1067" t="s">
        <v>52</v>
      </c>
      <c r="J1067" t="s">
        <v>53</v>
      </c>
      <c r="K1067" t="s">
        <v>54</v>
      </c>
      <c r="L1067" t="s">
        <v>53</v>
      </c>
      <c r="M1067" t="s">
        <v>54</v>
      </c>
      <c r="N1067" t="s">
        <v>51</v>
      </c>
      <c r="O1067" t="s">
        <v>52</v>
      </c>
      <c r="P1067" t="s">
        <v>53</v>
      </c>
      <c r="Q1067" t="s">
        <v>54</v>
      </c>
      <c r="R1067" s="1">
        <v>44271.536122685182</v>
      </c>
      <c r="S1067" s="1">
        <v>44271.536122685182</v>
      </c>
      <c r="T1067">
        <v>1</v>
      </c>
      <c r="U1067">
        <v>1</v>
      </c>
      <c r="V1067" s="2">
        <v>1</v>
      </c>
      <c r="W1067">
        <v>0</v>
      </c>
      <c r="X1067" t="s">
        <v>54</v>
      </c>
      <c r="Y1067">
        <v>0</v>
      </c>
    </row>
    <row r="1068" spans="1:25" x14ac:dyDescent="0.2">
      <c r="A1068" t="s">
        <v>381</v>
      </c>
      <c r="B1068" s="3">
        <v>44272</v>
      </c>
      <c r="C1068">
        <v>38</v>
      </c>
      <c r="D1068" t="s">
        <v>384</v>
      </c>
      <c r="E1068" t="s">
        <v>48</v>
      </c>
      <c r="F1068" s="9" t="s">
        <v>56</v>
      </c>
      <c r="G1068" t="s">
        <v>50</v>
      </c>
      <c r="H1068" t="s">
        <v>51</v>
      </c>
      <c r="I1068" t="s">
        <v>52</v>
      </c>
      <c r="J1068" t="s">
        <v>53</v>
      </c>
      <c r="K1068" t="s">
        <v>54</v>
      </c>
      <c r="L1068" t="s">
        <v>53</v>
      </c>
      <c r="M1068" t="s">
        <v>54</v>
      </c>
      <c r="N1068" t="s">
        <v>51</v>
      </c>
      <c r="O1068" t="s">
        <v>52</v>
      </c>
      <c r="P1068" t="s">
        <v>53</v>
      </c>
      <c r="Q1068" t="s">
        <v>54</v>
      </c>
      <c r="R1068" s="1">
        <v>44272.357939814814</v>
      </c>
      <c r="S1068" s="1">
        <v>44272.357939814814</v>
      </c>
      <c r="T1068">
        <v>1</v>
      </c>
      <c r="U1068">
        <v>1</v>
      </c>
      <c r="V1068" s="2">
        <v>1</v>
      </c>
      <c r="W1068">
        <v>0</v>
      </c>
      <c r="X1068" t="s">
        <v>54</v>
      </c>
      <c r="Y1068">
        <v>0</v>
      </c>
    </row>
    <row r="1069" spans="1:25" x14ac:dyDescent="0.2">
      <c r="A1069" t="s">
        <v>381</v>
      </c>
      <c r="B1069" s="3">
        <v>44273</v>
      </c>
      <c r="C1069">
        <v>40</v>
      </c>
      <c r="D1069" t="s">
        <v>385</v>
      </c>
      <c r="E1069" t="s">
        <v>48</v>
      </c>
      <c r="F1069" s="9" t="s">
        <v>56</v>
      </c>
      <c r="G1069" t="s">
        <v>50</v>
      </c>
      <c r="H1069" t="s">
        <v>51</v>
      </c>
      <c r="I1069" t="s">
        <v>52</v>
      </c>
      <c r="J1069" t="s">
        <v>53</v>
      </c>
      <c r="K1069" t="s">
        <v>54</v>
      </c>
      <c r="L1069" t="s">
        <v>53</v>
      </c>
      <c r="M1069" t="s">
        <v>54</v>
      </c>
      <c r="N1069" t="s">
        <v>51</v>
      </c>
      <c r="O1069" t="s">
        <v>52</v>
      </c>
      <c r="P1069" t="s">
        <v>53</v>
      </c>
      <c r="Q1069" t="s">
        <v>54</v>
      </c>
      <c r="R1069" s="1">
        <v>44273.581307870372</v>
      </c>
      <c r="S1069" s="1">
        <v>44273.581307870372</v>
      </c>
      <c r="T1069">
        <v>1</v>
      </c>
      <c r="U1069">
        <v>1</v>
      </c>
      <c r="V1069" s="2">
        <v>1</v>
      </c>
      <c r="W1069">
        <v>0</v>
      </c>
      <c r="X1069" t="s">
        <v>54</v>
      </c>
      <c r="Y1069">
        <v>0</v>
      </c>
    </row>
    <row r="1070" spans="1:25" x14ac:dyDescent="0.2">
      <c r="A1070" t="s">
        <v>381</v>
      </c>
      <c r="B1070" s="3">
        <v>44279</v>
      </c>
      <c r="C1070">
        <v>41</v>
      </c>
      <c r="D1070" t="s">
        <v>384</v>
      </c>
      <c r="E1070" t="s">
        <v>48</v>
      </c>
      <c r="F1070" s="9" t="s">
        <v>56</v>
      </c>
      <c r="G1070" t="s">
        <v>50</v>
      </c>
      <c r="H1070" t="s">
        <v>51</v>
      </c>
      <c r="I1070" t="s">
        <v>52</v>
      </c>
      <c r="J1070" t="s">
        <v>53</v>
      </c>
      <c r="K1070" t="s">
        <v>54</v>
      </c>
      <c r="L1070" t="s">
        <v>53</v>
      </c>
      <c r="M1070" t="s">
        <v>54</v>
      </c>
      <c r="N1070" t="s">
        <v>51</v>
      </c>
      <c r="O1070" t="s">
        <v>52</v>
      </c>
      <c r="P1070" t="s">
        <v>53</v>
      </c>
      <c r="Q1070" t="s">
        <v>54</v>
      </c>
      <c r="R1070" s="1">
        <v>44279.35664351852</v>
      </c>
      <c r="S1070" s="1">
        <v>44279.35664351852</v>
      </c>
      <c r="T1070">
        <v>1</v>
      </c>
      <c r="U1070">
        <v>1</v>
      </c>
      <c r="V1070" s="2">
        <v>1</v>
      </c>
      <c r="W1070">
        <v>0</v>
      </c>
      <c r="X1070" t="s">
        <v>54</v>
      </c>
      <c r="Y1070">
        <v>0</v>
      </c>
    </row>
    <row r="1071" spans="1:25" x14ac:dyDescent="0.2">
      <c r="A1071" t="s">
        <v>381</v>
      </c>
      <c r="B1071" s="3">
        <v>44281</v>
      </c>
      <c r="C1071">
        <v>42</v>
      </c>
      <c r="D1071" t="s">
        <v>384</v>
      </c>
      <c r="E1071" t="s">
        <v>48</v>
      </c>
      <c r="F1071" s="9" t="s">
        <v>56</v>
      </c>
      <c r="G1071" t="s">
        <v>50</v>
      </c>
      <c r="H1071" t="s">
        <v>51</v>
      </c>
      <c r="I1071" t="s">
        <v>52</v>
      </c>
      <c r="J1071" t="s">
        <v>53</v>
      </c>
      <c r="K1071" t="s">
        <v>54</v>
      </c>
      <c r="L1071" t="s">
        <v>53</v>
      </c>
      <c r="M1071" t="s">
        <v>54</v>
      </c>
      <c r="N1071" t="s">
        <v>51</v>
      </c>
      <c r="O1071" t="s">
        <v>52</v>
      </c>
      <c r="P1071" t="s">
        <v>53</v>
      </c>
      <c r="Q1071" t="s">
        <v>54</v>
      </c>
      <c r="R1071" s="1">
        <v>44281.362164351849</v>
      </c>
      <c r="S1071" s="1">
        <v>44281.362164351849</v>
      </c>
      <c r="T1071">
        <v>1</v>
      </c>
      <c r="U1071">
        <v>1</v>
      </c>
      <c r="V1071" s="2">
        <v>1</v>
      </c>
      <c r="W1071">
        <v>0</v>
      </c>
      <c r="X1071" t="s">
        <v>54</v>
      </c>
      <c r="Y1071">
        <v>0</v>
      </c>
    </row>
    <row r="1072" spans="1:25" x14ac:dyDescent="0.2">
      <c r="A1072" t="s">
        <v>381</v>
      </c>
      <c r="B1072" s="3">
        <v>44284</v>
      </c>
      <c r="C1072">
        <v>43</v>
      </c>
      <c r="D1072" t="s">
        <v>384</v>
      </c>
      <c r="E1072" t="s">
        <v>48</v>
      </c>
      <c r="F1072" s="9" t="s">
        <v>56</v>
      </c>
      <c r="G1072" t="s">
        <v>50</v>
      </c>
      <c r="H1072" t="s">
        <v>51</v>
      </c>
      <c r="I1072" t="s">
        <v>52</v>
      </c>
      <c r="J1072" t="s">
        <v>53</v>
      </c>
      <c r="K1072" t="s">
        <v>54</v>
      </c>
      <c r="L1072" t="s">
        <v>53</v>
      </c>
      <c r="M1072" t="s">
        <v>54</v>
      </c>
      <c r="N1072" t="s">
        <v>51</v>
      </c>
      <c r="O1072" t="s">
        <v>52</v>
      </c>
      <c r="P1072" t="s">
        <v>53</v>
      </c>
      <c r="Q1072" t="s">
        <v>54</v>
      </c>
      <c r="R1072" s="1">
        <v>44284.357766203706</v>
      </c>
      <c r="S1072" s="1">
        <v>44284.357766203706</v>
      </c>
      <c r="T1072">
        <v>1</v>
      </c>
      <c r="U1072">
        <v>1</v>
      </c>
      <c r="V1072" s="2">
        <v>1</v>
      </c>
      <c r="W1072">
        <v>0</v>
      </c>
      <c r="X1072" t="s">
        <v>54</v>
      </c>
      <c r="Y1072">
        <v>0</v>
      </c>
    </row>
    <row r="1073" spans="1:25" x14ac:dyDescent="0.2">
      <c r="A1073" t="s">
        <v>381</v>
      </c>
      <c r="B1073" s="3">
        <v>44285</v>
      </c>
      <c r="C1073">
        <v>44</v>
      </c>
      <c r="D1073" t="s">
        <v>385</v>
      </c>
      <c r="E1073" t="s">
        <v>48</v>
      </c>
      <c r="F1073" s="9" t="s">
        <v>56</v>
      </c>
      <c r="G1073" t="s">
        <v>50</v>
      </c>
      <c r="H1073" t="s">
        <v>51</v>
      </c>
      <c r="I1073" t="s">
        <v>52</v>
      </c>
      <c r="J1073" t="s">
        <v>53</v>
      </c>
      <c r="K1073" t="s">
        <v>54</v>
      </c>
      <c r="L1073" t="s">
        <v>53</v>
      </c>
      <c r="M1073" t="s">
        <v>54</v>
      </c>
      <c r="N1073" t="s">
        <v>51</v>
      </c>
      <c r="O1073" t="s">
        <v>52</v>
      </c>
      <c r="P1073" t="s">
        <v>53</v>
      </c>
      <c r="Q1073" t="s">
        <v>54</v>
      </c>
      <c r="R1073" s="1">
        <v>44285.433518518519</v>
      </c>
      <c r="S1073" s="1">
        <v>44285.433518518519</v>
      </c>
      <c r="T1073">
        <v>1</v>
      </c>
      <c r="U1073">
        <v>1</v>
      </c>
      <c r="V1073" s="2">
        <v>1</v>
      </c>
      <c r="W1073">
        <v>0</v>
      </c>
      <c r="X1073" t="s">
        <v>54</v>
      </c>
      <c r="Y1073">
        <v>0</v>
      </c>
    </row>
    <row r="1074" spans="1:25" x14ac:dyDescent="0.2">
      <c r="A1074" t="s">
        <v>381</v>
      </c>
      <c r="B1074" s="3">
        <v>44286</v>
      </c>
      <c r="C1074">
        <v>46</v>
      </c>
      <c r="D1074" t="s">
        <v>384</v>
      </c>
      <c r="E1074" t="s">
        <v>48</v>
      </c>
      <c r="F1074" s="9" t="s">
        <v>56</v>
      </c>
      <c r="G1074" t="s">
        <v>50</v>
      </c>
      <c r="H1074" t="s">
        <v>51</v>
      </c>
      <c r="I1074" t="s">
        <v>52</v>
      </c>
      <c r="J1074" t="s">
        <v>53</v>
      </c>
      <c r="K1074" t="s">
        <v>54</v>
      </c>
      <c r="L1074" t="s">
        <v>53</v>
      </c>
      <c r="M1074" t="s">
        <v>54</v>
      </c>
      <c r="N1074" t="s">
        <v>51</v>
      </c>
      <c r="O1074" t="s">
        <v>52</v>
      </c>
      <c r="P1074" t="s">
        <v>53</v>
      </c>
      <c r="Q1074" t="s">
        <v>54</v>
      </c>
      <c r="R1074" s="1">
        <v>44286.357268518521</v>
      </c>
      <c r="S1074" s="1">
        <v>44286.357268518521</v>
      </c>
      <c r="T1074">
        <v>1</v>
      </c>
      <c r="U1074">
        <v>1</v>
      </c>
      <c r="V1074" s="2">
        <v>1</v>
      </c>
      <c r="W1074">
        <v>0</v>
      </c>
      <c r="X1074" t="s">
        <v>54</v>
      </c>
      <c r="Y1074">
        <v>0</v>
      </c>
    </row>
    <row r="1075" spans="1:25" x14ac:dyDescent="0.2">
      <c r="A1075" t="s">
        <v>381</v>
      </c>
      <c r="B1075" s="3">
        <v>44287</v>
      </c>
      <c r="C1075">
        <v>47</v>
      </c>
      <c r="D1075" t="s">
        <v>385</v>
      </c>
      <c r="E1075" t="s">
        <v>48</v>
      </c>
      <c r="F1075" s="9" t="s">
        <v>56</v>
      </c>
      <c r="G1075" t="s">
        <v>50</v>
      </c>
      <c r="H1075" t="s">
        <v>51</v>
      </c>
      <c r="I1075" t="s">
        <v>52</v>
      </c>
      <c r="J1075" t="s">
        <v>53</v>
      </c>
      <c r="K1075" t="s">
        <v>54</v>
      </c>
      <c r="L1075" t="s">
        <v>53</v>
      </c>
      <c r="M1075" t="s">
        <v>54</v>
      </c>
      <c r="N1075" t="s">
        <v>51</v>
      </c>
      <c r="O1075" t="s">
        <v>52</v>
      </c>
      <c r="P1075" t="s">
        <v>53</v>
      </c>
      <c r="Q1075" t="s">
        <v>54</v>
      </c>
      <c r="R1075" s="1">
        <v>44287.410949074074</v>
      </c>
      <c r="S1075" s="1">
        <v>44287.410949074074</v>
      </c>
      <c r="T1075">
        <v>1</v>
      </c>
      <c r="U1075">
        <v>1</v>
      </c>
      <c r="V1075" s="2">
        <v>1</v>
      </c>
      <c r="W1075">
        <v>0</v>
      </c>
      <c r="X1075" t="s">
        <v>54</v>
      </c>
      <c r="Y1075">
        <v>0</v>
      </c>
    </row>
    <row r="1076" spans="1:25" x14ac:dyDescent="0.2">
      <c r="A1076" t="s">
        <v>381</v>
      </c>
      <c r="B1076" s="3">
        <v>44288</v>
      </c>
      <c r="C1076">
        <v>49</v>
      </c>
      <c r="D1076" t="s">
        <v>384</v>
      </c>
      <c r="E1076" t="s">
        <v>48</v>
      </c>
      <c r="F1076" s="9" t="s">
        <v>56</v>
      </c>
      <c r="G1076" t="s">
        <v>50</v>
      </c>
      <c r="H1076" t="s">
        <v>51</v>
      </c>
      <c r="I1076" t="s">
        <v>52</v>
      </c>
      <c r="J1076" t="s">
        <v>53</v>
      </c>
      <c r="K1076" t="s">
        <v>54</v>
      </c>
      <c r="L1076" t="s">
        <v>53</v>
      </c>
      <c r="M1076" t="s">
        <v>54</v>
      </c>
      <c r="N1076" t="s">
        <v>51</v>
      </c>
      <c r="O1076" t="s">
        <v>52</v>
      </c>
      <c r="P1076" t="s">
        <v>53</v>
      </c>
      <c r="Q1076" t="s">
        <v>54</v>
      </c>
      <c r="R1076" s="1">
        <v>44288.358796296299</v>
      </c>
      <c r="S1076" s="1">
        <v>44288.358796296299</v>
      </c>
      <c r="T1076">
        <v>1</v>
      </c>
      <c r="U1076">
        <v>1</v>
      </c>
      <c r="V1076" s="2">
        <v>1</v>
      </c>
      <c r="W1076">
        <v>0</v>
      </c>
      <c r="X1076" t="s">
        <v>54</v>
      </c>
      <c r="Y1076">
        <v>0</v>
      </c>
    </row>
    <row r="1077" spans="1:25" x14ac:dyDescent="0.2">
      <c r="A1077" t="s">
        <v>381</v>
      </c>
      <c r="B1077" s="3">
        <v>44291</v>
      </c>
      <c r="C1077">
        <v>50</v>
      </c>
      <c r="D1077" t="s">
        <v>384</v>
      </c>
      <c r="E1077" t="s">
        <v>48</v>
      </c>
      <c r="F1077" s="9" t="s">
        <v>56</v>
      </c>
      <c r="G1077" t="s">
        <v>50</v>
      </c>
      <c r="H1077" t="s">
        <v>51</v>
      </c>
      <c r="I1077" t="s">
        <v>52</v>
      </c>
      <c r="J1077" t="s">
        <v>53</v>
      </c>
      <c r="K1077" t="s">
        <v>54</v>
      </c>
      <c r="L1077" t="s">
        <v>53</v>
      </c>
      <c r="M1077" t="s">
        <v>54</v>
      </c>
      <c r="N1077" t="s">
        <v>51</v>
      </c>
      <c r="O1077" t="s">
        <v>52</v>
      </c>
      <c r="P1077" t="s">
        <v>53</v>
      </c>
      <c r="Q1077" t="s">
        <v>54</v>
      </c>
      <c r="R1077" s="1">
        <v>44291.360682870371</v>
      </c>
      <c r="S1077" s="1">
        <v>44291.360682870371</v>
      </c>
      <c r="T1077">
        <v>1</v>
      </c>
      <c r="U1077">
        <v>1</v>
      </c>
      <c r="V1077" s="2">
        <v>1</v>
      </c>
      <c r="W1077">
        <v>0</v>
      </c>
      <c r="X1077" t="s">
        <v>54</v>
      </c>
      <c r="Y1077">
        <v>0</v>
      </c>
    </row>
    <row r="1078" spans="1:25" x14ac:dyDescent="0.2">
      <c r="A1078" t="s">
        <v>381</v>
      </c>
      <c r="B1078" s="3">
        <v>44292</v>
      </c>
      <c r="C1078">
        <v>51</v>
      </c>
      <c r="D1078" t="s">
        <v>385</v>
      </c>
      <c r="E1078" t="s">
        <v>48</v>
      </c>
      <c r="F1078" s="9" t="s">
        <v>56</v>
      </c>
      <c r="G1078" t="s">
        <v>50</v>
      </c>
      <c r="H1078" t="s">
        <v>51</v>
      </c>
      <c r="I1078" t="s">
        <v>52</v>
      </c>
      <c r="J1078" t="s">
        <v>53</v>
      </c>
      <c r="K1078" t="s">
        <v>54</v>
      </c>
      <c r="L1078" t="s">
        <v>53</v>
      </c>
      <c r="M1078" t="s">
        <v>54</v>
      </c>
      <c r="N1078" t="s">
        <v>51</v>
      </c>
      <c r="O1078" t="s">
        <v>52</v>
      </c>
      <c r="P1078" t="s">
        <v>53</v>
      </c>
      <c r="Q1078" t="s">
        <v>54</v>
      </c>
      <c r="R1078" s="1">
        <v>44292.415520833332</v>
      </c>
      <c r="S1078" s="1">
        <v>44292.415520833332</v>
      </c>
      <c r="T1078">
        <v>1</v>
      </c>
      <c r="U1078">
        <v>1</v>
      </c>
      <c r="V1078" s="2">
        <v>1</v>
      </c>
      <c r="W1078">
        <v>0</v>
      </c>
      <c r="X1078" t="s">
        <v>54</v>
      </c>
      <c r="Y1078">
        <v>0</v>
      </c>
    </row>
    <row r="1079" spans="1:25" x14ac:dyDescent="0.2">
      <c r="A1079" t="s">
        <v>381</v>
      </c>
      <c r="B1079" s="3">
        <v>44292</v>
      </c>
      <c r="C1079">
        <v>52</v>
      </c>
      <c r="D1079" t="s">
        <v>386</v>
      </c>
      <c r="E1079" t="s">
        <v>48</v>
      </c>
      <c r="F1079" s="9" t="s">
        <v>56</v>
      </c>
      <c r="G1079" t="s">
        <v>50</v>
      </c>
      <c r="H1079" t="s">
        <v>51</v>
      </c>
      <c r="I1079" t="s">
        <v>52</v>
      </c>
      <c r="J1079" t="s">
        <v>53</v>
      </c>
      <c r="K1079" t="s">
        <v>54</v>
      </c>
      <c r="L1079" t="s">
        <v>53</v>
      </c>
      <c r="M1079" t="s">
        <v>54</v>
      </c>
      <c r="N1079" t="s">
        <v>51</v>
      </c>
      <c r="O1079" t="s">
        <v>52</v>
      </c>
      <c r="P1079" t="s">
        <v>53</v>
      </c>
      <c r="Q1079" t="s">
        <v>54</v>
      </c>
      <c r="R1079" s="1">
        <v>44292.543935185182</v>
      </c>
      <c r="S1079" s="1">
        <v>44292.543935185182</v>
      </c>
      <c r="T1079">
        <v>1</v>
      </c>
      <c r="U1079">
        <v>1</v>
      </c>
      <c r="V1079" s="2">
        <v>1</v>
      </c>
      <c r="W1079">
        <v>0</v>
      </c>
      <c r="X1079" t="s">
        <v>54</v>
      </c>
      <c r="Y1079">
        <v>0</v>
      </c>
    </row>
    <row r="1080" spans="1:25" x14ac:dyDescent="0.2">
      <c r="A1080" t="s">
        <v>381</v>
      </c>
      <c r="B1080" s="3">
        <v>44293</v>
      </c>
      <c r="C1080">
        <v>53</v>
      </c>
      <c r="D1080" t="s">
        <v>384</v>
      </c>
      <c r="E1080" t="s">
        <v>48</v>
      </c>
      <c r="F1080" s="9" t="s">
        <v>56</v>
      </c>
      <c r="G1080" t="s">
        <v>50</v>
      </c>
      <c r="H1080" t="s">
        <v>51</v>
      </c>
      <c r="I1080" t="s">
        <v>52</v>
      </c>
      <c r="J1080" t="s">
        <v>53</v>
      </c>
      <c r="K1080" t="s">
        <v>54</v>
      </c>
      <c r="L1080" t="s">
        <v>53</v>
      </c>
      <c r="M1080" t="s">
        <v>54</v>
      </c>
      <c r="N1080" t="s">
        <v>51</v>
      </c>
      <c r="O1080" t="s">
        <v>52</v>
      </c>
      <c r="P1080" t="s">
        <v>53</v>
      </c>
      <c r="Q1080" t="s">
        <v>54</v>
      </c>
      <c r="R1080" s="1">
        <v>44293.363125000003</v>
      </c>
      <c r="S1080" s="1">
        <v>44293.363125000003</v>
      </c>
      <c r="T1080">
        <v>1</v>
      </c>
      <c r="U1080">
        <v>1</v>
      </c>
      <c r="V1080" s="2">
        <v>1</v>
      </c>
      <c r="W1080">
        <v>0</v>
      </c>
      <c r="X1080" t="s">
        <v>54</v>
      </c>
      <c r="Y1080">
        <v>0</v>
      </c>
    </row>
    <row r="1081" spans="1:25" x14ac:dyDescent="0.2">
      <c r="A1081" t="s">
        <v>381</v>
      </c>
      <c r="B1081" s="3">
        <v>44294</v>
      </c>
      <c r="C1081">
        <v>55</v>
      </c>
      <c r="D1081" t="s">
        <v>385</v>
      </c>
      <c r="E1081" t="s">
        <v>48</v>
      </c>
      <c r="F1081" s="9" t="s">
        <v>56</v>
      </c>
      <c r="G1081" t="s">
        <v>50</v>
      </c>
      <c r="H1081" t="s">
        <v>51</v>
      </c>
      <c r="I1081" t="s">
        <v>52</v>
      </c>
      <c r="J1081" t="s">
        <v>53</v>
      </c>
      <c r="K1081" t="s">
        <v>54</v>
      </c>
      <c r="L1081" t="s">
        <v>53</v>
      </c>
      <c r="M1081" t="s">
        <v>54</v>
      </c>
      <c r="N1081" t="s">
        <v>51</v>
      </c>
      <c r="O1081" t="s">
        <v>52</v>
      </c>
      <c r="P1081" t="s">
        <v>53</v>
      </c>
      <c r="Q1081" t="s">
        <v>54</v>
      </c>
      <c r="R1081" s="1">
        <v>44294.589525462965</v>
      </c>
      <c r="S1081" s="1">
        <v>44294.589525462965</v>
      </c>
      <c r="T1081">
        <v>1</v>
      </c>
      <c r="U1081">
        <v>1</v>
      </c>
      <c r="V1081" s="2">
        <v>1</v>
      </c>
      <c r="W1081">
        <v>0</v>
      </c>
      <c r="X1081" t="s">
        <v>54</v>
      </c>
      <c r="Y1081">
        <v>0</v>
      </c>
    </row>
    <row r="1082" spans="1:25" x14ac:dyDescent="0.2">
      <c r="A1082" t="s">
        <v>381</v>
      </c>
      <c r="B1082" s="3">
        <v>44295</v>
      </c>
      <c r="C1082">
        <v>56</v>
      </c>
      <c r="D1082" t="s">
        <v>384</v>
      </c>
      <c r="E1082" t="s">
        <v>48</v>
      </c>
      <c r="F1082" s="9" t="s">
        <v>56</v>
      </c>
      <c r="G1082" t="s">
        <v>50</v>
      </c>
      <c r="H1082" t="s">
        <v>51</v>
      </c>
      <c r="I1082" t="s">
        <v>52</v>
      </c>
      <c r="J1082" t="s">
        <v>53</v>
      </c>
      <c r="K1082" t="s">
        <v>54</v>
      </c>
      <c r="L1082" t="s">
        <v>53</v>
      </c>
      <c r="M1082" t="s">
        <v>54</v>
      </c>
      <c r="N1082" t="s">
        <v>51</v>
      </c>
      <c r="O1082" t="s">
        <v>52</v>
      </c>
      <c r="P1082" t="s">
        <v>53</v>
      </c>
      <c r="Q1082" t="s">
        <v>54</v>
      </c>
      <c r="R1082" s="1">
        <v>44295.357615740744</v>
      </c>
      <c r="S1082" s="1">
        <v>44295.357615740744</v>
      </c>
      <c r="T1082">
        <v>1</v>
      </c>
      <c r="U1082">
        <v>1</v>
      </c>
      <c r="V1082" s="2">
        <v>1</v>
      </c>
      <c r="W1082">
        <v>0</v>
      </c>
      <c r="X1082" t="s">
        <v>54</v>
      </c>
      <c r="Y1082">
        <v>0</v>
      </c>
    </row>
    <row r="1083" spans="1:25" x14ac:dyDescent="0.2">
      <c r="A1083" t="s">
        <v>381</v>
      </c>
      <c r="B1083" s="3">
        <v>44298</v>
      </c>
      <c r="C1083">
        <v>57</v>
      </c>
      <c r="D1083" t="s">
        <v>387</v>
      </c>
      <c r="E1083" t="s">
        <v>48</v>
      </c>
      <c r="F1083" s="9" t="s">
        <v>56</v>
      </c>
      <c r="G1083" t="s">
        <v>50</v>
      </c>
      <c r="H1083" t="s">
        <v>51</v>
      </c>
      <c r="I1083" t="s">
        <v>52</v>
      </c>
      <c r="J1083" t="s">
        <v>53</v>
      </c>
      <c r="K1083" t="s">
        <v>54</v>
      </c>
      <c r="L1083" t="s">
        <v>53</v>
      </c>
      <c r="M1083" t="s">
        <v>54</v>
      </c>
      <c r="N1083" t="s">
        <v>51</v>
      </c>
      <c r="O1083" t="s">
        <v>52</v>
      </c>
      <c r="P1083" t="s">
        <v>53</v>
      </c>
      <c r="Q1083" t="s">
        <v>54</v>
      </c>
      <c r="R1083" s="1">
        <v>44298.543229166666</v>
      </c>
      <c r="S1083" s="1">
        <v>44298.543229166666</v>
      </c>
      <c r="T1083">
        <v>1</v>
      </c>
      <c r="U1083">
        <v>1</v>
      </c>
      <c r="V1083" s="2">
        <v>1</v>
      </c>
      <c r="W1083">
        <v>0</v>
      </c>
      <c r="X1083" t="s">
        <v>54</v>
      </c>
      <c r="Y1083">
        <v>0</v>
      </c>
    </row>
    <row r="1084" spans="1:25" x14ac:dyDescent="0.2">
      <c r="A1084" t="s">
        <v>381</v>
      </c>
      <c r="B1084" s="3">
        <v>44299</v>
      </c>
      <c r="C1084">
        <v>59</v>
      </c>
      <c r="D1084" t="s">
        <v>385</v>
      </c>
      <c r="E1084" t="s">
        <v>48</v>
      </c>
      <c r="F1084" s="9" t="s">
        <v>56</v>
      </c>
      <c r="G1084" t="s">
        <v>50</v>
      </c>
      <c r="H1084" t="s">
        <v>51</v>
      </c>
      <c r="I1084" t="s">
        <v>52</v>
      </c>
      <c r="J1084" t="s">
        <v>53</v>
      </c>
      <c r="K1084" t="s">
        <v>54</v>
      </c>
      <c r="L1084" t="s">
        <v>53</v>
      </c>
      <c r="M1084" t="s">
        <v>54</v>
      </c>
      <c r="N1084" t="s">
        <v>51</v>
      </c>
      <c r="O1084" t="s">
        <v>52</v>
      </c>
      <c r="P1084" t="s">
        <v>53</v>
      </c>
      <c r="Q1084" t="s">
        <v>54</v>
      </c>
      <c r="R1084" s="1">
        <v>44299.596898148149</v>
      </c>
      <c r="S1084" s="1">
        <v>44299.596898148149</v>
      </c>
      <c r="T1084">
        <v>1</v>
      </c>
      <c r="U1084">
        <v>1</v>
      </c>
      <c r="V1084" s="2">
        <v>1</v>
      </c>
      <c r="W1084">
        <v>0</v>
      </c>
      <c r="X1084" t="s">
        <v>54</v>
      </c>
      <c r="Y1084">
        <v>0</v>
      </c>
    </row>
    <row r="1085" spans="1:25" x14ac:dyDescent="0.2">
      <c r="A1085" t="s">
        <v>381</v>
      </c>
      <c r="B1085" s="3">
        <v>44300</v>
      </c>
      <c r="C1085">
        <v>60</v>
      </c>
      <c r="D1085" t="s">
        <v>398</v>
      </c>
      <c r="E1085" t="s">
        <v>48</v>
      </c>
      <c r="F1085" s="9" t="s">
        <v>56</v>
      </c>
      <c r="G1085" t="s">
        <v>50</v>
      </c>
      <c r="H1085" t="s">
        <v>51</v>
      </c>
      <c r="I1085" t="s">
        <v>52</v>
      </c>
      <c r="J1085" t="s">
        <v>53</v>
      </c>
      <c r="K1085" t="s">
        <v>54</v>
      </c>
      <c r="L1085" t="s">
        <v>53</v>
      </c>
      <c r="M1085" t="s">
        <v>54</v>
      </c>
      <c r="N1085" t="s">
        <v>51</v>
      </c>
      <c r="O1085" t="s">
        <v>52</v>
      </c>
      <c r="P1085" t="s">
        <v>53</v>
      </c>
      <c r="Q1085" t="s">
        <v>54</v>
      </c>
      <c r="R1085" s="1">
        <v>44300.394282407404</v>
      </c>
      <c r="S1085" s="1">
        <v>44300.394282407404</v>
      </c>
      <c r="T1085">
        <v>1</v>
      </c>
      <c r="U1085">
        <v>1</v>
      </c>
      <c r="V1085" s="2">
        <v>1</v>
      </c>
      <c r="W1085">
        <v>0</v>
      </c>
      <c r="X1085" t="s">
        <v>54</v>
      </c>
      <c r="Y1085">
        <v>0</v>
      </c>
    </row>
    <row r="1086" spans="1:25" x14ac:dyDescent="0.2">
      <c r="A1086" t="s">
        <v>381</v>
      </c>
      <c r="B1086" s="3">
        <v>44300</v>
      </c>
      <c r="C1086">
        <v>61</v>
      </c>
      <c r="D1086" t="s">
        <v>401</v>
      </c>
      <c r="E1086" t="s">
        <v>48</v>
      </c>
      <c r="F1086" s="9" t="s">
        <v>56</v>
      </c>
      <c r="G1086" t="s">
        <v>50</v>
      </c>
      <c r="H1086" t="s">
        <v>51</v>
      </c>
      <c r="I1086" t="s">
        <v>52</v>
      </c>
      <c r="J1086" t="s">
        <v>53</v>
      </c>
      <c r="K1086" t="s">
        <v>54</v>
      </c>
      <c r="L1086" t="s">
        <v>53</v>
      </c>
      <c r="M1086" t="s">
        <v>54</v>
      </c>
      <c r="N1086" t="s">
        <v>51</v>
      </c>
      <c r="O1086" t="s">
        <v>52</v>
      </c>
      <c r="P1086" t="s">
        <v>53</v>
      </c>
      <c r="Q1086" t="s">
        <v>54</v>
      </c>
      <c r="R1086" s="1">
        <v>44300.564062500001</v>
      </c>
      <c r="S1086" s="1">
        <v>44300.564062500001</v>
      </c>
      <c r="T1086">
        <v>1</v>
      </c>
      <c r="U1086">
        <v>1</v>
      </c>
      <c r="V1086" s="2">
        <v>1</v>
      </c>
      <c r="W1086">
        <v>0</v>
      </c>
      <c r="X1086" t="s">
        <v>54</v>
      </c>
      <c r="Y1086">
        <v>0</v>
      </c>
    </row>
    <row r="1087" spans="1:25" x14ac:dyDescent="0.2">
      <c r="A1087" t="s">
        <v>381</v>
      </c>
      <c r="B1087" s="3">
        <v>44302</v>
      </c>
      <c r="C1087">
        <v>64</v>
      </c>
      <c r="D1087" t="s">
        <v>390</v>
      </c>
      <c r="E1087" t="s">
        <v>48</v>
      </c>
      <c r="F1087" s="9" t="s">
        <v>56</v>
      </c>
      <c r="G1087" t="s">
        <v>50</v>
      </c>
      <c r="H1087" t="s">
        <v>51</v>
      </c>
      <c r="I1087" t="s">
        <v>52</v>
      </c>
      <c r="J1087" t="s">
        <v>53</v>
      </c>
      <c r="K1087" t="s">
        <v>54</v>
      </c>
      <c r="L1087" t="s">
        <v>53</v>
      </c>
      <c r="M1087" t="s">
        <v>54</v>
      </c>
      <c r="N1087" t="s">
        <v>51</v>
      </c>
      <c r="O1087" t="s">
        <v>52</v>
      </c>
      <c r="P1087" t="s">
        <v>53</v>
      </c>
      <c r="Q1087" t="s">
        <v>54</v>
      </c>
      <c r="R1087" s="1">
        <v>44302.380462962959</v>
      </c>
      <c r="S1087" s="1">
        <v>44302.380462962959</v>
      </c>
      <c r="T1087">
        <v>1</v>
      </c>
      <c r="U1087">
        <v>1</v>
      </c>
      <c r="V1087" s="2">
        <v>1</v>
      </c>
      <c r="W1087">
        <v>0</v>
      </c>
      <c r="X1087" t="s">
        <v>54</v>
      </c>
      <c r="Y1087">
        <v>0</v>
      </c>
    </row>
    <row r="1088" spans="1:25" x14ac:dyDescent="0.2">
      <c r="A1088" t="s">
        <v>381</v>
      </c>
      <c r="B1088" s="3">
        <v>44302</v>
      </c>
      <c r="C1088">
        <v>65</v>
      </c>
      <c r="D1088" t="s">
        <v>387</v>
      </c>
      <c r="E1088" t="s">
        <v>48</v>
      </c>
      <c r="F1088" s="9" t="s">
        <v>56</v>
      </c>
      <c r="G1088" t="s">
        <v>50</v>
      </c>
      <c r="H1088" t="s">
        <v>51</v>
      </c>
      <c r="I1088" t="s">
        <v>52</v>
      </c>
      <c r="J1088" t="s">
        <v>53</v>
      </c>
      <c r="K1088" t="s">
        <v>54</v>
      </c>
      <c r="L1088" t="s">
        <v>53</v>
      </c>
      <c r="M1088" t="s">
        <v>54</v>
      </c>
      <c r="N1088" t="s">
        <v>51</v>
      </c>
      <c r="O1088" t="s">
        <v>52</v>
      </c>
      <c r="P1088" t="s">
        <v>53</v>
      </c>
      <c r="Q1088" t="s">
        <v>54</v>
      </c>
      <c r="R1088" s="1">
        <v>44302.555937500001</v>
      </c>
      <c r="S1088" s="1">
        <v>44302.555937500001</v>
      </c>
      <c r="T1088">
        <v>1</v>
      </c>
      <c r="U1088">
        <v>1</v>
      </c>
      <c r="V1088" s="2">
        <v>1</v>
      </c>
      <c r="W1088">
        <v>0</v>
      </c>
      <c r="X1088" t="s">
        <v>54</v>
      </c>
      <c r="Y1088">
        <v>0</v>
      </c>
    </row>
    <row r="1089" spans="1:25" x14ac:dyDescent="0.2">
      <c r="A1089" t="s">
        <v>381</v>
      </c>
      <c r="B1089" s="3">
        <v>44307</v>
      </c>
      <c r="C1089">
        <v>66</v>
      </c>
      <c r="D1089" t="s">
        <v>398</v>
      </c>
      <c r="E1089" t="s">
        <v>48</v>
      </c>
      <c r="F1089" s="9" t="s">
        <v>56</v>
      </c>
      <c r="G1089" t="s">
        <v>50</v>
      </c>
      <c r="H1089" t="s">
        <v>51</v>
      </c>
      <c r="I1089" t="s">
        <v>52</v>
      </c>
      <c r="J1089" t="s">
        <v>53</v>
      </c>
      <c r="K1089" t="s">
        <v>54</v>
      </c>
      <c r="L1089" t="s">
        <v>53</v>
      </c>
      <c r="M1089" t="s">
        <v>54</v>
      </c>
      <c r="N1089" t="s">
        <v>51</v>
      </c>
      <c r="O1089" t="s">
        <v>52</v>
      </c>
      <c r="P1089" t="s">
        <v>53</v>
      </c>
      <c r="Q1089" t="s">
        <v>54</v>
      </c>
      <c r="R1089" s="1">
        <v>44307.379618055558</v>
      </c>
      <c r="S1089" s="1">
        <v>44307.379618055558</v>
      </c>
      <c r="T1089">
        <v>1</v>
      </c>
      <c r="U1089">
        <v>1</v>
      </c>
      <c r="V1089" s="2">
        <v>1</v>
      </c>
      <c r="W1089">
        <v>0</v>
      </c>
      <c r="X1089" t="s">
        <v>54</v>
      </c>
      <c r="Y1089">
        <v>0</v>
      </c>
    </row>
    <row r="1090" spans="1:25" x14ac:dyDescent="0.2">
      <c r="A1090" t="s">
        <v>381</v>
      </c>
      <c r="B1090" s="3">
        <v>44307</v>
      </c>
      <c r="C1090">
        <v>67</v>
      </c>
      <c r="D1090" t="s">
        <v>387</v>
      </c>
      <c r="E1090" t="s">
        <v>48</v>
      </c>
      <c r="F1090" s="9" t="s">
        <v>56</v>
      </c>
      <c r="G1090" t="s">
        <v>50</v>
      </c>
      <c r="H1090" t="s">
        <v>51</v>
      </c>
      <c r="I1090" t="s">
        <v>52</v>
      </c>
      <c r="J1090" t="s">
        <v>53</v>
      </c>
      <c r="K1090" t="s">
        <v>54</v>
      </c>
      <c r="L1090" t="s">
        <v>53</v>
      </c>
      <c r="M1090" t="s">
        <v>54</v>
      </c>
      <c r="N1090" t="s">
        <v>51</v>
      </c>
      <c r="O1090" t="s">
        <v>52</v>
      </c>
      <c r="P1090" t="s">
        <v>53</v>
      </c>
      <c r="Q1090" t="s">
        <v>54</v>
      </c>
      <c r="R1090" s="1">
        <v>44307.559074074074</v>
      </c>
      <c r="S1090" s="1">
        <v>44307.559074074074</v>
      </c>
      <c r="T1090">
        <v>1</v>
      </c>
      <c r="U1090">
        <v>1</v>
      </c>
      <c r="V1090" s="2">
        <v>1</v>
      </c>
      <c r="W1090">
        <v>0</v>
      </c>
      <c r="X1090" t="s">
        <v>54</v>
      </c>
      <c r="Y1090">
        <v>0</v>
      </c>
    </row>
    <row r="1091" spans="1:25" x14ac:dyDescent="0.2">
      <c r="A1091" t="s">
        <v>381</v>
      </c>
      <c r="B1091" s="3">
        <v>44308</v>
      </c>
      <c r="C1091">
        <v>68</v>
      </c>
      <c r="D1091" t="s">
        <v>383</v>
      </c>
      <c r="E1091" t="s">
        <v>48</v>
      </c>
      <c r="F1091" s="9" t="s">
        <v>56</v>
      </c>
      <c r="G1091" t="s">
        <v>50</v>
      </c>
      <c r="H1091" t="s">
        <v>51</v>
      </c>
      <c r="I1091" t="s">
        <v>52</v>
      </c>
      <c r="J1091" t="s">
        <v>53</v>
      </c>
      <c r="K1091" t="s">
        <v>54</v>
      </c>
      <c r="L1091" t="s">
        <v>53</v>
      </c>
      <c r="M1091" t="s">
        <v>54</v>
      </c>
      <c r="N1091" t="s">
        <v>51</v>
      </c>
      <c r="O1091" t="s">
        <v>52</v>
      </c>
      <c r="P1091" t="s">
        <v>53</v>
      </c>
      <c r="Q1091" t="s">
        <v>54</v>
      </c>
      <c r="R1091" s="1">
        <v>44308.383460648147</v>
      </c>
      <c r="S1091" s="1">
        <v>44308.383460648147</v>
      </c>
      <c r="T1091">
        <v>1</v>
      </c>
      <c r="U1091">
        <v>1</v>
      </c>
      <c r="V1091" s="2">
        <v>1</v>
      </c>
      <c r="W1091">
        <v>0</v>
      </c>
      <c r="X1091" t="s">
        <v>54</v>
      </c>
      <c r="Y1091">
        <v>0</v>
      </c>
    </row>
    <row r="1092" spans="1:25" x14ac:dyDescent="0.2">
      <c r="A1092" t="s">
        <v>381</v>
      </c>
      <c r="B1092" s="3">
        <v>44308</v>
      </c>
      <c r="C1092">
        <v>69</v>
      </c>
      <c r="D1092" t="s">
        <v>385</v>
      </c>
      <c r="E1092" t="s">
        <v>48</v>
      </c>
      <c r="F1092" s="9" t="s">
        <v>56</v>
      </c>
      <c r="G1092" t="s">
        <v>50</v>
      </c>
      <c r="H1092" t="s">
        <v>51</v>
      </c>
      <c r="I1092" t="s">
        <v>52</v>
      </c>
      <c r="J1092" t="s">
        <v>53</v>
      </c>
      <c r="K1092" t="s">
        <v>54</v>
      </c>
      <c r="L1092" t="s">
        <v>53</v>
      </c>
      <c r="M1092" t="s">
        <v>54</v>
      </c>
      <c r="N1092" t="s">
        <v>51</v>
      </c>
      <c r="O1092" t="s">
        <v>52</v>
      </c>
      <c r="P1092" t="s">
        <v>53</v>
      </c>
      <c r="Q1092" t="s">
        <v>54</v>
      </c>
      <c r="R1092" s="1">
        <v>44308.588171296295</v>
      </c>
      <c r="S1092" s="1">
        <v>44308.588171296295</v>
      </c>
      <c r="T1092">
        <v>1</v>
      </c>
      <c r="U1092">
        <v>1</v>
      </c>
      <c r="V1092" s="2">
        <v>1</v>
      </c>
      <c r="W1092">
        <v>0</v>
      </c>
      <c r="X1092" t="s">
        <v>54</v>
      </c>
      <c r="Y1092">
        <v>0</v>
      </c>
    </row>
    <row r="1093" spans="1:25" x14ac:dyDescent="0.2">
      <c r="A1093" t="s">
        <v>381</v>
      </c>
      <c r="B1093" s="3">
        <v>44309</v>
      </c>
      <c r="C1093">
        <v>70</v>
      </c>
      <c r="D1093" t="s">
        <v>388</v>
      </c>
      <c r="E1093" t="s">
        <v>48</v>
      </c>
      <c r="F1093" s="9" t="s">
        <v>56</v>
      </c>
      <c r="G1093" t="s">
        <v>50</v>
      </c>
      <c r="H1093" t="s">
        <v>51</v>
      </c>
      <c r="I1093" t="s">
        <v>52</v>
      </c>
      <c r="J1093" t="s">
        <v>53</v>
      </c>
      <c r="K1093" t="s">
        <v>54</v>
      </c>
      <c r="L1093" t="s">
        <v>53</v>
      </c>
      <c r="M1093" t="s">
        <v>54</v>
      </c>
      <c r="N1093" t="s">
        <v>51</v>
      </c>
      <c r="O1093" t="s">
        <v>52</v>
      </c>
      <c r="P1093" t="s">
        <v>53</v>
      </c>
      <c r="Q1093" t="s">
        <v>54</v>
      </c>
      <c r="R1093" s="1">
        <v>44309.494629629633</v>
      </c>
      <c r="S1093" s="1">
        <v>44309.494629629633</v>
      </c>
      <c r="T1093">
        <v>1</v>
      </c>
      <c r="U1093">
        <v>1</v>
      </c>
      <c r="V1093" s="2">
        <v>1</v>
      </c>
      <c r="W1093">
        <v>0</v>
      </c>
      <c r="X1093" t="s">
        <v>54</v>
      </c>
      <c r="Y1093">
        <v>0</v>
      </c>
    </row>
    <row r="1094" spans="1:25" x14ac:dyDescent="0.2">
      <c r="A1094" t="s">
        <v>381</v>
      </c>
      <c r="B1094" s="3">
        <v>44312</v>
      </c>
      <c r="C1094">
        <v>73</v>
      </c>
      <c r="D1094" t="s">
        <v>387</v>
      </c>
      <c r="E1094" t="s">
        <v>48</v>
      </c>
      <c r="F1094" s="9" t="s">
        <v>56</v>
      </c>
      <c r="G1094" t="s">
        <v>50</v>
      </c>
      <c r="H1094" t="s">
        <v>51</v>
      </c>
      <c r="I1094" t="s">
        <v>52</v>
      </c>
      <c r="J1094" t="s">
        <v>53</v>
      </c>
      <c r="K1094" t="s">
        <v>54</v>
      </c>
      <c r="L1094" t="s">
        <v>53</v>
      </c>
      <c r="M1094" t="s">
        <v>54</v>
      </c>
      <c r="N1094" t="s">
        <v>51</v>
      </c>
      <c r="O1094" t="s">
        <v>52</v>
      </c>
      <c r="P1094" t="s">
        <v>53</v>
      </c>
      <c r="Q1094" t="s">
        <v>54</v>
      </c>
      <c r="R1094" s="1">
        <v>44312.575902777775</v>
      </c>
      <c r="S1094" s="1">
        <v>44312.575902777775</v>
      </c>
      <c r="T1094">
        <v>1</v>
      </c>
      <c r="U1094">
        <v>1</v>
      </c>
      <c r="V1094" s="2">
        <v>1</v>
      </c>
      <c r="W1094">
        <v>0</v>
      </c>
      <c r="X1094" t="s">
        <v>54</v>
      </c>
      <c r="Y1094">
        <v>0</v>
      </c>
    </row>
    <row r="1095" spans="1:25" x14ac:dyDescent="0.2">
      <c r="A1095" t="s">
        <v>381</v>
      </c>
      <c r="B1095" s="3">
        <v>44313</v>
      </c>
      <c r="C1095">
        <v>74</v>
      </c>
      <c r="D1095" t="s">
        <v>383</v>
      </c>
      <c r="E1095" t="s">
        <v>48</v>
      </c>
      <c r="F1095" s="9" t="s">
        <v>56</v>
      </c>
      <c r="G1095" t="s">
        <v>50</v>
      </c>
      <c r="H1095" t="s">
        <v>51</v>
      </c>
      <c r="I1095" t="s">
        <v>52</v>
      </c>
      <c r="J1095" t="s">
        <v>53</v>
      </c>
      <c r="K1095" t="s">
        <v>54</v>
      </c>
      <c r="L1095" t="s">
        <v>53</v>
      </c>
      <c r="M1095" t="s">
        <v>54</v>
      </c>
      <c r="N1095" t="s">
        <v>51</v>
      </c>
      <c r="O1095" t="s">
        <v>52</v>
      </c>
      <c r="P1095" t="s">
        <v>53</v>
      </c>
      <c r="Q1095" t="s">
        <v>54</v>
      </c>
      <c r="R1095" s="1">
        <v>44313.39775462963</v>
      </c>
      <c r="S1095" s="1">
        <v>44313.39775462963</v>
      </c>
      <c r="T1095">
        <v>1</v>
      </c>
      <c r="U1095">
        <v>1</v>
      </c>
      <c r="V1095" s="2">
        <v>1</v>
      </c>
      <c r="W1095">
        <v>0</v>
      </c>
      <c r="X1095" t="s">
        <v>54</v>
      </c>
      <c r="Y1095">
        <v>0</v>
      </c>
    </row>
    <row r="1096" spans="1:25" x14ac:dyDescent="0.2">
      <c r="A1096" t="s">
        <v>381</v>
      </c>
      <c r="B1096" s="3">
        <v>44313</v>
      </c>
      <c r="C1096">
        <v>76</v>
      </c>
      <c r="D1096" t="s">
        <v>385</v>
      </c>
      <c r="E1096" t="s">
        <v>48</v>
      </c>
      <c r="F1096" s="9" t="s">
        <v>56</v>
      </c>
      <c r="G1096" t="s">
        <v>50</v>
      </c>
      <c r="H1096" t="s">
        <v>51</v>
      </c>
      <c r="I1096" t="s">
        <v>52</v>
      </c>
      <c r="J1096" t="s">
        <v>53</v>
      </c>
      <c r="K1096" t="s">
        <v>54</v>
      </c>
      <c r="L1096" t="s">
        <v>53</v>
      </c>
      <c r="M1096" t="s">
        <v>54</v>
      </c>
      <c r="N1096" t="s">
        <v>51</v>
      </c>
      <c r="O1096" t="s">
        <v>52</v>
      </c>
      <c r="P1096" t="s">
        <v>53</v>
      </c>
      <c r="Q1096" t="s">
        <v>54</v>
      </c>
      <c r="R1096" s="1">
        <v>44313.601087962961</v>
      </c>
      <c r="S1096" s="1">
        <v>44313.601087962961</v>
      </c>
      <c r="T1096">
        <v>1</v>
      </c>
      <c r="U1096">
        <v>1</v>
      </c>
      <c r="V1096" s="2">
        <v>1</v>
      </c>
      <c r="W1096">
        <v>0</v>
      </c>
      <c r="X1096" t="s">
        <v>54</v>
      </c>
      <c r="Y1096">
        <v>0</v>
      </c>
    </row>
    <row r="1097" spans="1:25" x14ac:dyDescent="0.2">
      <c r="A1097" t="s">
        <v>381</v>
      </c>
      <c r="B1097" s="3">
        <v>44314</v>
      </c>
      <c r="C1097">
        <v>77</v>
      </c>
      <c r="D1097" t="s">
        <v>403</v>
      </c>
      <c r="E1097" t="s">
        <v>48</v>
      </c>
      <c r="F1097" s="9" t="s">
        <v>56</v>
      </c>
      <c r="G1097" t="s">
        <v>50</v>
      </c>
      <c r="H1097" t="s">
        <v>51</v>
      </c>
      <c r="I1097" t="s">
        <v>52</v>
      </c>
      <c r="J1097" t="s">
        <v>53</v>
      </c>
      <c r="K1097" t="s">
        <v>54</v>
      </c>
      <c r="L1097" t="s">
        <v>53</v>
      </c>
      <c r="M1097" t="s">
        <v>54</v>
      </c>
      <c r="N1097" t="s">
        <v>51</v>
      </c>
      <c r="O1097" t="s">
        <v>52</v>
      </c>
      <c r="P1097" t="s">
        <v>53</v>
      </c>
      <c r="Q1097" t="s">
        <v>54</v>
      </c>
      <c r="R1097" s="1">
        <v>44314.379502314812</v>
      </c>
      <c r="S1097" s="1">
        <v>44314.379502314812</v>
      </c>
      <c r="T1097">
        <v>1</v>
      </c>
      <c r="U1097">
        <v>1</v>
      </c>
      <c r="V1097" s="2">
        <v>1</v>
      </c>
      <c r="W1097">
        <v>0</v>
      </c>
      <c r="X1097" t="s">
        <v>54</v>
      </c>
      <c r="Y1097">
        <v>0</v>
      </c>
    </row>
    <row r="1098" spans="1:25" x14ac:dyDescent="0.2">
      <c r="A1098" t="s">
        <v>381</v>
      </c>
      <c r="B1098" s="3">
        <v>44314</v>
      </c>
      <c r="C1098">
        <v>78</v>
      </c>
      <c r="D1098" t="s">
        <v>387</v>
      </c>
      <c r="E1098" t="s">
        <v>48</v>
      </c>
      <c r="F1098" s="9" t="s">
        <v>56</v>
      </c>
      <c r="G1098" t="s">
        <v>50</v>
      </c>
      <c r="H1098" t="s">
        <v>51</v>
      </c>
      <c r="I1098" t="s">
        <v>52</v>
      </c>
      <c r="J1098" t="s">
        <v>53</v>
      </c>
      <c r="K1098" t="s">
        <v>54</v>
      </c>
      <c r="L1098" t="s">
        <v>53</v>
      </c>
      <c r="M1098" t="s">
        <v>54</v>
      </c>
      <c r="N1098" t="s">
        <v>51</v>
      </c>
      <c r="O1098" t="s">
        <v>52</v>
      </c>
      <c r="P1098" t="s">
        <v>53</v>
      </c>
      <c r="Q1098" t="s">
        <v>54</v>
      </c>
      <c r="R1098" s="1">
        <v>44314.537534722222</v>
      </c>
      <c r="S1098" s="1">
        <v>44314.537534722222</v>
      </c>
      <c r="T1098">
        <v>1</v>
      </c>
      <c r="U1098">
        <v>1</v>
      </c>
      <c r="V1098" s="2">
        <v>1</v>
      </c>
      <c r="W1098">
        <v>0</v>
      </c>
      <c r="X1098" t="s">
        <v>54</v>
      </c>
      <c r="Y1098">
        <v>0</v>
      </c>
    </row>
    <row r="1099" spans="1:25" x14ac:dyDescent="0.2">
      <c r="A1099" t="s">
        <v>381</v>
      </c>
      <c r="B1099" s="3">
        <v>44315</v>
      </c>
      <c r="C1099">
        <v>79</v>
      </c>
      <c r="D1099" t="s">
        <v>383</v>
      </c>
      <c r="E1099" t="s">
        <v>48</v>
      </c>
      <c r="F1099" s="9" t="s">
        <v>56</v>
      </c>
      <c r="G1099" t="s">
        <v>50</v>
      </c>
      <c r="H1099" t="s">
        <v>51</v>
      </c>
      <c r="I1099" t="s">
        <v>52</v>
      </c>
      <c r="J1099" t="s">
        <v>53</v>
      </c>
      <c r="K1099" t="s">
        <v>54</v>
      </c>
      <c r="L1099" t="s">
        <v>53</v>
      </c>
      <c r="M1099" t="s">
        <v>54</v>
      </c>
      <c r="N1099" t="s">
        <v>51</v>
      </c>
      <c r="O1099" t="s">
        <v>52</v>
      </c>
      <c r="P1099" t="s">
        <v>53</v>
      </c>
      <c r="Q1099" t="s">
        <v>54</v>
      </c>
      <c r="R1099" s="1">
        <v>44315.382245370369</v>
      </c>
      <c r="S1099" s="1">
        <v>44315.382245370369</v>
      </c>
      <c r="T1099">
        <v>1</v>
      </c>
      <c r="U1099">
        <v>1</v>
      </c>
      <c r="V1099" s="2">
        <v>1</v>
      </c>
      <c r="W1099">
        <v>0</v>
      </c>
      <c r="X1099" t="s">
        <v>54</v>
      </c>
      <c r="Y1099">
        <v>0</v>
      </c>
    </row>
    <row r="1100" spans="1:25" x14ac:dyDescent="0.2">
      <c r="A1100" t="s">
        <v>381</v>
      </c>
      <c r="B1100" s="3">
        <v>44315</v>
      </c>
      <c r="C1100">
        <v>81</v>
      </c>
      <c r="D1100" t="s">
        <v>385</v>
      </c>
      <c r="E1100" t="s">
        <v>48</v>
      </c>
      <c r="F1100" s="9" t="s">
        <v>56</v>
      </c>
      <c r="G1100" t="s">
        <v>50</v>
      </c>
      <c r="H1100" t="s">
        <v>51</v>
      </c>
      <c r="I1100" t="s">
        <v>52</v>
      </c>
      <c r="J1100" t="s">
        <v>53</v>
      </c>
      <c r="K1100" t="s">
        <v>54</v>
      </c>
      <c r="L1100" t="s">
        <v>53</v>
      </c>
      <c r="M1100" t="s">
        <v>54</v>
      </c>
      <c r="N1100" t="s">
        <v>51</v>
      </c>
      <c r="O1100" t="s">
        <v>52</v>
      </c>
      <c r="P1100" t="s">
        <v>53</v>
      </c>
      <c r="Q1100" t="s">
        <v>54</v>
      </c>
      <c r="R1100" s="1">
        <v>44315.670856481483</v>
      </c>
      <c r="S1100" s="1">
        <v>44315.670856481483</v>
      </c>
      <c r="T1100">
        <v>1</v>
      </c>
      <c r="U1100">
        <v>1</v>
      </c>
      <c r="V1100" s="2">
        <v>1</v>
      </c>
      <c r="W1100">
        <v>0</v>
      </c>
      <c r="X1100" t="s">
        <v>54</v>
      </c>
      <c r="Y1100">
        <v>0</v>
      </c>
    </row>
    <row r="1101" spans="1:25" x14ac:dyDescent="0.2">
      <c r="A1101" t="s">
        <v>381</v>
      </c>
      <c r="B1101" s="3">
        <v>44316</v>
      </c>
      <c r="C1101">
        <v>82</v>
      </c>
      <c r="D1101" t="s">
        <v>389</v>
      </c>
      <c r="E1101" t="s">
        <v>48</v>
      </c>
      <c r="F1101" s="9" t="s">
        <v>56</v>
      </c>
      <c r="G1101" t="s">
        <v>50</v>
      </c>
      <c r="H1101" t="s">
        <v>51</v>
      </c>
      <c r="I1101" t="s">
        <v>52</v>
      </c>
      <c r="J1101" t="s">
        <v>53</v>
      </c>
      <c r="K1101" t="s">
        <v>54</v>
      </c>
      <c r="L1101" t="s">
        <v>53</v>
      </c>
      <c r="M1101" t="s">
        <v>54</v>
      </c>
      <c r="N1101" t="s">
        <v>51</v>
      </c>
      <c r="O1101" t="s">
        <v>52</v>
      </c>
      <c r="P1101" t="s">
        <v>53</v>
      </c>
      <c r="Q1101" t="s">
        <v>54</v>
      </c>
      <c r="R1101" s="1">
        <v>44316.413263888891</v>
      </c>
      <c r="S1101" s="1">
        <v>44316.413263888891</v>
      </c>
      <c r="T1101">
        <v>1</v>
      </c>
      <c r="U1101">
        <v>1</v>
      </c>
      <c r="V1101" s="2">
        <v>1</v>
      </c>
      <c r="W1101">
        <v>0</v>
      </c>
      <c r="X1101" t="s">
        <v>54</v>
      </c>
      <c r="Y1101">
        <v>0</v>
      </c>
    </row>
    <row r="1102" spans="1:25" x14ac:dyDescent="0.2">
      <c r="A1102" t="s">
        <v>381</v>
      </c>
      <c r="B1102" s="3">
        <v>44316</v>
      </c>
      <c r="C1102">
        <v>83</v>
      </c>
      <c r="D1102" t="s">
        <v>387</v>
      </c>
      <c r="E1102" t="s">
        <v>48</v>
      </c>
      <c r="F1102" s="9" t="s">
        <v>56</v>
      </c>
      <c r="G1102" t="s">
        <v>50</v>
      </c>
      <c r="H1102" t="s">
        <v>51</v>
      </c>
      <c r="I1102" t="s">
        <v>52</v>
      </c>
      <c r="J1102" t="s">
        <v>53</v>
      </c>
      <c r="K1102" t="s">
        <v>54</v>
      </c>
      <c r="L1102" t="s">
        <v>53</v>
      </c>
      <c r="M1102" t="s">
        <v>54</v>
      </c>
      <c r="N1102" t="s">
        <v>51</v>
      </c>
      <c r="O1102" t="s">
        <v>52</v>
      </c>
      <c r="P1102" t="s">
        <v>53</v>
      </c>
      <c r="Q1102" t="s">
        <v>54</v>
      </c>
      <c r="R1102" s="1">
        <v>44316.540254629632</v>
      </c>
      <c r="S1102" s="1">
        <v>44316.540254629632</v>
      </c>
      <c r="T1102">
        <v>1</v>
      </c>
      <c r="U1102">
        <v>1</v>
      </c>
      <c r="V1102" s="2">
        <v>1</v>
      </c>
      <c r="W1102">
        <v>0</v>
      </c>
      <c r="X1102" t="s">
        <v>54</v>
      </c>
      <c r="Y1102">
        <v>0</v>
      </c>
    </row>
    <row r="1103" spans="1:25" x14ac:dyDescent="0.2">
      <c r="A1103" t="s">
        <v>381</v>
      </c>
      <c r="B1103" s="3">
        <v>44319</v>
      </c>
      <c r="C1103">
        <v>84</v>
      </c>
      <c r="D1103" t="s">
        <v>390</v>
      </c>
      <c r="E1103" t="s">
        <v>48</v>
      </c>
      <c r="F1103" s="9" t="s">
        <v>56</v>
      </c>
      <c r="G1103" t="s">
        <v>50</v>
      </c>
      <c r="H1103" t="s">
        <v>51</v>
      </c>
      <c r="I1103" t="s">
        <v>52</v>
      </c>
      <c r="J1103" t="s">
        <v>53</v>
      </c>
      <c r="K1103" t="s">
        <v>54</v>
      </c>
      <c r="L1103" t="s">
        <v>53</v>
      </c>
      <c r="M1103" t="s">
        <v>54</v>
      </c>
      <c r="N1103" t="s">
        <v>51</v>
      </c>
      <c r="O1103" t="s">
        <v>52</v>
      </c>
      <c r="P1103" t="s">
        <v>53</v>
      </c>
      <c r="Q1103" t="s">
        <v>54</v>
      </c>
      <c r="R1103" s="1">
        <v>44319.377083333333</v>
      </c>
      <c r="S1103" s="1">
        <v>44319.377083333333</v>
      </c>
      <c r="T1103">
        <v>1</v>
      </c>
      <c r="U1103">
        <v>1</v>
      </c>
      <c r="V1103" s="2">
        <v>1</v>
      </c>
      <c r="W1103">
        <v>0</v>
      </c>
      <c r="X1103" t="s">
        <v>54</v>
      </c>
      <c r="Y1103">
        <v>0</v>
      </c>
    </row>
    <row r="1104" spans="1:25" x14ac:dyDescent="0.2">
      <c r="A1104" t="s">
        <v>381</v>
      </c>
      <c r="B1104" s="3">
        <v>44319</v>
      </c>
      <c r="C1104">
        <v>85</v>
      </c>
      <c r="D1104" t="s">
        <v>387</v>
      </c>
      <c r="E1104" t="s">
        <v>48</v>
      </c>
      <c r="F1104" s="9" t="s">
        <v>56</v>
      </c>
      <c r="G1104" t="s">
        <v>50</v>
      </c>
      <c r="H1104" t="s">
        <v>51</v>
      </c>
      <c r="I1104" t="s">
        <v>52</v>
      </c>
      <c r="J1104" t="s">
        <v>53</v>
      </c>
      <c r="K1104" t="s">
        <v>54</v>
      </c>
      <c r="L1104" t="s">
        <v>53</v>
      </c>
      <c r="M1104" t="s">
        <v>54</v>
      </c>
      <c r="N1104" t="s">
        <v>51</v>
      </c>
      <c r="O1104" t="s">
        <v>52</v>
      </c>
      <c r="P1104" t="s">
        <v>53</v>
      </c>
      <c r="Q1104" t="s">
        <v>54</v>
      </c>
      <c r="R1104" s="1">
        <v>44319.537858796299</v>
      </c>
      <c r="S1104" s="1">
        <v>44319.537858796299</v>
      </c>
      <c r="T1104">
        <v>1</v>
      </c>
      <c r="U1104">
        <v>1</v>
      </c>
      <c r="V1104" s="2">
        <v>1</v>
      </c>
      <c r="W1104">
        <v>0</v>
      </c>
      <c r="X1104" t="s">
        <v>54</v>
      </c>
      <c r="Y1104">
        <v>0</v>
      </c>
    </row>
    <row r="1105" spans="1:25" x14ac:dyDescent="0.2">
      <c r="A1105" t="s">
        <v>381</v>
      </c>
      <c r="B1105" s="3">
        <v>44321</v>
      </c>
      <c r="C1105">
        <v>88</v>
      </c>
      <c r="D1105" t="s">
        <v>404</v>
      </c>
      <c r="E1105" t="s">
        <v>48</v>
      </c>
      <c r="F1105" s="9" t="s">
        <v>56</v>
      </c>
      <c r="G1105" t="s">
        <v>50</v>
      </c>
      <c r="H1105" t="s">
        <v>51</v>
      </c>
      <c r="I1105" t="s">
        <v>52</v>
      </c>
      <c r="J1105" t="s">
        <v>53</v>
      </c>
      <c r="K1105" t="s">
        <v>54</v>
      </c>
      <c r="L1105" t="s">
        <v>53</v>
      </c>
      <c r="M1105" t="s">
        <v>54</v>
      </c>
      <c r="N1105" t="s">
        <v>51</v>
      </c>
      <c r="O1105" t="s">
        <v>52</v>
      </c>
      <c r="P1105" t="s">
        <v>53</v>
      </c>
      <c r="Q1105" t="s">
        <v>54</v>
      </c>
      <c r="R1105" s="1">
        <v>44321.44054398148</v>
      </c>
      <c r="S1105" s="1">
        <v>44321.44054398148</v>
      </c>
      <c r="T1105">
        <v>1</v>
      </c>
      <c r="U1105">
        <v>1</v>
      </c>
      <c r="V1105" s="2">
        <v>1</v>
      </c>
      <c r="W1105">
        <v>0</v>
      </c>
      <c r="X1105" t="s">
        <v>54</v>
      </c>
      <c r="Y1105">
        <v>0</v>
      </c>
    </row>
    <row r="1106" spans="1:25" x14ac:dyDescent="0.2">
      <c r="A1106" t="s">
        <v>381</v>
      </c>
      <c r="B1106" s="3">
        <v>44321</v>
      </c>
      <c r="C1106">
        <v>89</v>
      </c>
      <c r="D1106" t="s">
        <v>387</v>
      </c>
      <c r="E1106" t="s">
        <v>48</v>
      </c>
      <c r="F1106" s="9" t="s">
        <v>56</v>
      </c>
      <c r="G1106" t="s">
        <v>50</v>
      </c>
      <c r="H1106" t="s">
        <v>51</v>
      </c>
      <c r="I1106" t="s">
        <v>52</v>
      </c>
      <c r="J1106" t="s">
        <v>53</v>
      </c>
      <c r="K1106" t="s">
        <v>54</v>
      </c>
      <c r="L1106" t="s">
        <v>53</v>
      </c>
      <c r="M1106" t="s">
        <v>54</v>
      </c>
      <c r="N1106" t="s">
        <v>51</v>
      </c>
      <c r="O1106" t="s">
        <v>52</v>
      </c>
      <c r="P1106" t="s">
        <v>53</v>
      </c>
      <c r="Q1106" t="s">
        <v>54</v>
      </c>
      <c r="R1106" s="1">
        <v>44321.534930555557</v>
      </c>
      <c r="S1106" s="1">
        <v>44321.534930555557</v>
      </c>
      <c r="T1106">
        <v>1</v>
      </c>
      <c r="U1106">
        <v>1</v>
      </c>
      <c r="V1106" s="2">
        <v>1</v>
      </c>
      <c r="W1106">
        <v>0</v>
      </c>
      <c r="X1106" t="s">
        <v>54</v>
      </c>
      <c r="Y1106">
        <v>0</v>
      </c>
    </row>
    <row r="1107" spans="1:25" x14ac:dyDescent="0.2">
      <c r="A1107" t="s">
        <v>381</v>
      </c>
      <c r="B1107" s="3">
        <v>44326</v>
      </c>
      <c r="C1107">
        <v>92</v>
      </c>
      <c r="D1107" t="s">
        <v>390</v>
      </c>
      <c r="E1107" t="s">
        <v>48</v>
      </c>
      <c r="F1107" s="9" t="s">
        <v>56</v>
      </c>
      <c r="G1107" t="s">
        <v>50</v>
      </c>
      <c r="H1107" t="s">
        <v>51</v>
      </c>
      <c r="I1107" t="s">
        <v>52</v>
      </c>
      <c r="J1107" t="s">
        <v>53</v>
      </c>
      <c r="K1107" t="s">
        <v>54</v>
      </c>
      <c r="L1107" t="s">
        <v>53</v>
      </c>
      <c r="M1107" t="s">
        <v>54</v>
      </c>
      <c r="N1107" t="s">
        <v>51</v>
      </c>
      <c r="O1107" t="s">
        <v>52</v>
      </c>
      <c r="P1107" t="s">
        <v>53</v>
      </c>
      <c r="Q1107" t="s">
        <v>54</v>
      </c>
      <c r="R1107" s="1">
        <v>44326.379305555558</v>
      </c>
      <c r="S1107" s="1">
        <v>44326.379305555558</v>
      </c>
      <c r="T1107">
        <v>1</v>
      </c>
      <c r="U1107">
        <v>1</v>
      </c>
      <c r="V1107" s="2">
        <v>1</v>
      </c>
      <c r="W1107">
        <v>0</v>
      </c>
      <c r="X1107" t="s">
        <v>54</v>
      </c>
      <c r="Y1107">
        <v>0</v>
      </c>
    </row>
    <row r="1108" spans="1:25" x14ac:dyDescent="0.2">
      <c r="A1108" t="s">
        <v>381</v>
      </c>
      <c r="B1108" s="3">
        <v>44326</v>
      </c>
      <c r="C1108">
        <v>93</v>
      </c>
      <c r="D1108" t="s">
        <v>387</v>
      </c>
      <c r="E1108" t="s">
        <v>48</v>
      </c>
      <c r="F1108" s="9" t="s">
        <v>56</v>
      </c>
      <c r="G1108" t="s">
        <v>50</v>
      </c>
      <c r="H1108" t="s">
        <v>51</v>
      </c>
      <c r="I1108" t="s">
        <v>52</v>
      </c>
      <c r="J1108" t="s">
        <v>53</v>
      </c>
      <c r="K1108" t="s">
        <v>54</v>
      </c>
      <c r="L1108" t="s">
        <v>53</v>
      </c>
      <c r="M1108" t="s">
        <v>54</v>
      </c>
      <c r="N1108" t="s">
        <v>51</v>
      </c>
      <c r="O1108" t="s">
        <v>52</v>
      </c>
      <c r="P1108" t="s">
        <v>53</v>
      </c>
      <c r="Q1108" t="s">
        <v>54</v>
      </c>
      <c r="R1108" s="1">
        <v>44326.537291666667</v>
      </c>
      <c r="S1108" s="1">
        <v>44326.537291666667</v>
      </c>
      <c r="T1108">
        <v>1</v>
      </c>
      <c r="U1108">
        <v>1</v>
      </c>
      <c r="V1108" s="2">
        <v>1</v>
      </c>
      <c r="W1108">
        <v>0</v>
      </c>
      <c r="X1108" t="s">
        <v>54</v>
      </c>
      <c r="Y1108">
        <v>0</v>
      </c>
    </row>
    <row r="1109" spans="1:25" x14ac:dyDescent="0.2">
      <c r="A1109" t="s">
        <v>381</v>
      </c>
      <c r="B1109" s="3">
        <v>44328</v>
      </c>
      <c r="C1109">
        <v>97</v>
      </c>
      <c r="D1109" t="s">
        <v>387</v>
      </c>
      <c r="E1109" t="s">
        <v>48</v>
      </c>
      <c r="F1109" s="9" t="s">
        <v>56</v>
      </c>
      <c r="G1109" t="s">
        <v>50</v>
      </c>
      <c r="H1109" t="s">
        <v>51</v>
      </c>
      <c r="I1109" t="s">
        <v>52</v>
      </c>
      <c r="J1109" t="s">
        <v>53</v>
      </c>
      <c r="K1109" t="s">
        <v>54</v>
      </c>
      <c r="L1109" t="s">
        <v>53</v>
      </c>
      <c r="M1109" t="s">
        <v>54</v>
      </c>
      <c r="N1109" t="s">
        <v>51</v>
      </c>
      <c r="O1109" t="s">
        <v>52</v>
      </c>
      <c r="P1109" t="s">
        <v>53</v>
      </c>
      <c r="Q1109" t="s">
        <v>54</v>
      </c>
      <c r="R1109" s="1">
        <v>44328.53979166667</v>
      </c>
      <c r="S1109" s="1">
        <v>44328.53979166667</v>
      </c>
      <c r="T1109">
        <v>1</v>
      </c>
      <c r="U1109">
        <v>1</v>
      </c>
      <c r="V1109" s="2">
        <v>1</v>
      </c>
      <c r="W1109">
        <v>0</v>
      </c>
      <c r="X1109" t="s">
        <v>54</v>
      </c>
      <c r="Y1109">
        <v>0</v>
      </c>
    </row>
    <row r="1110" spans="1:25" x14ac:dyDescent="0.2">
      <c r="A1110" t="s">
        <v>381</v>
      </c>
      <c r="B1110" s="3">
        <v>44334</v>
      </c>
      <c r="C1110">
        <v>99</v>
      </c>
      <c r="D1110" t="s">
        <v>385</v>
      </c>
      <c r="E1110" t="s">
        <v>48</v>
      </c>
      <c r="F1110" s="9" t="s">
        <v>56</v>
      </c>
      <c r="G1110" t="s">
        <v>50</v>
      </c>
      <c r="H1110" t="s">
        <v>51</v>
      </c>
      <c r="I1110" t="s">
        <v>52</v>
      </c>
      <c r="J1110" t="s">
        <v>53</v>
      </c>
      <c r="K1110" t="s">
        <v>54</v>
      </c>
      <c r="L1110" t="s">
        <v>53</v>
      </c>
      <c r="M1110" t="s">
        <v>54</v>
      </c>
      <c r="N1110" t="s">
        <v>51</v>
      </c>
      <c r="O1110" t="s">
        <v>52</v>
      </c>
      <c r="P1110" t="s">
        <v>53</v>
      </c>
      <c r="Q1110" t="s">
        <v>54</v>
      </c>
      <c r="R1110" s="1">
        <v>44334.570347222223</v>
      </c>
      <c r="S1110" s="1">
        <v>44334.570347222223</v>
      </c>
      <c r="T1110">
        <v>1</v>
      </c>
      <c r="U1110">
        <v>1</v>
      </c>
      <c r="V1110" s="2">
        <v>1</v>
      </c>
      <c r="W1110">
        <v>0</v>
      </c>
      <c r="X1110" t="s">
        <v>54</v>
      </c>
      <c r="Y1110">
        <v>0</v>
      </c>
    </row>
    <row r="1111" spans="1:25" x14ac:dyDescent="0.2">
      <c r="A1111" t="s">
        <v>381</v>
      </c>
      <c r="B1111" s="3">
        <v>44335</v>
      </c>
      <c r="C1111">
        <v>100</v>
      </c>
      <c r="D1111" t="s">
        <v>398</v>
      </c>
      <c r="E1111" t="s">
        <v>48</v>
      </c>
      <c r="F1111" s="9" t="s">
        <v>56</v>
      </c>
      <c r="G1111" t="s">
        <v>50</v>
      </c>
      <c r="H1111" t="s">
        <v>51</v>
      </c>
      <c r="I1111" t="s">
        <v>52</v>
      </c>
      <c r="J1111" t="s">
        <v>53</v>
      </c>
      <c r="K1111" t="s">
        <v>54</v>
      </c>
      <c r="L1111" t="s">
        <v>53</v>
      </c>
      <c r="M1111" t="s">
        <v>54</v>
      </c>
      <c r="N1111" t="s">
        <v>51</v>
      </c>
      <c r="O1111" t="s">
        <v>52</v>
      </c>
      <c r="P1111" t="s">
        <v>53</v>
      </c>
      <c r="Q1111" t="s">
        <v>54</v>
      </c>
      <c r="R1111" s="1">
        <v>44335.374745370369</v>
      </c>
      <c r="S1111" s="1">
        <v>44335.374745370369</v>
      </c>
      <c r="T1111">
        <v>1</v>
      </c>
      <c r="U1111">
        <v>1</v>
      </c>
      <c r="V1111" s="2">
        <v>1</v>
      </c>
      <c r="W1111">
        <v>0</v>
      </c>
      <c r="X1111" t="s">
        <v>54</v>
      </c>
      <c r="Y1111">
        <v>0</v>
      </c>
    </row>
    <row r="1112" spans="1:25" x14ac:dyDescent="0.2">
      <c r="A1112" t="s">
        <v>381</v>
      </c>
      <c r="B1112" s="3">
        <v>44336</v>
      </c>
      <c r="C1112">
        <v>102</v>
      </c>
      <c r="D1112" t="s">
        <v>383</v>
      </c>
      <c r="E1112" t="s">
        <v>48</v>
      </c>
      <c r="F1112" s="9" t="s">
        <v>237</v>
      </c>
      <c r="G1112" t="s">
        <v>50</v>
      </c>
      <c r="H1112" t="s">
        <v>51</v>
      </c>
      <c r="I1112" t="s">
        <v>52</v>
      </c>
      <c r="J1112" t="s">
        <v>43</v>
      </c>
      <c r="K1112" t="s">
        <v>44</v>
      </c>
      <c r="L1112" t="s">
        <v>53</v>
      </c>
      <c r="M1112" t="s">
        <v>54</v>
      </c>
      <c r="N1112" t="s">
        <v>51</v>
      </c>
      <c r="O1112" t="s">
        <v>52</v>
      </c>
      <c r="P1112" t="s">
        <v>43</v>
      </c>
      <c r="Q1112" t="s">
        <v>44</v>
      </c>
      <c r="R1112" s="1">
        <v>44336.489282407405</v>
      </c>
      <c r="S1112" s="1">
        <v>44336.489282407405</v>
      </c>
      <c r="T1112">
        <v>0</v>
      </c>
      <c r="U1112">
        <v>1</v>
      </c>
      <c r="V1112" s="2">
        <v>0</v>
      </c>
      <c r="W1112">
        <v>0</v>
      </c>
      <c r="X1112" t="s">
        <v>44</v>
      </c>
      <c r="Y1112">
        <v>0</v>
      </c>
    </row>
    <row r="1113" spans="1:25" x14ac:dyDescent="0.2">
      <c r="A1113" t="s">
        <v>381</v>
      </c>
      <c r="B1113" s="3">
        <v>44337</v>
      </c>
      <c r="C1113">
        <v>104</v>
      </c>
      <c r="D1113" t="s">
        <v>390</v>
      </c>
      <c r="E1113" t="s">
        <v>48</v>
      </c>
      <c r="F1113" s="9" t="s">
        <v>237</v>
      </c>
      <c r="G1113" t="s">
        <v>50</v>
      </c>
      <c r="H1113" t="s">
        <v>51</v>
      </c>
      <c r="I1113" t="s">
        <v>52</v>
      </c>
      <c r="J1113" t="s">
        <v>43</v>
      </c>
      <c r="K1113" t="s">
        <v>44</v>
      </c>
      <c r="L1113" t="s">
        <v>53</v>
      </c>
      <c r="M1113" t="s">
        <v>54</v>
      </c>
      <c r="N1113" t="s">
        <v>51</v>
      </c>
      <c r="O1113" t="s">
        <v>52</v>
      </c>
      <c r="P1113" t="s">
        <v>43</v>
      </c>
      <c r="Q1113" t="s">
        <v>44</v>
      </c>
      <c r="R1113" s="1">
        <v>44337.376342592594</v>
      </c>
      <c r="S1113" s="1">
        <v>44337.376342592594</v>
      </c>
      <c r="T1113">
        <v>1</v>
      </c>
      <c r="U1113">
        <v>1</v>
      </c>
      <c r="V1113" s="2">
        <v>1</v>
      </c>
      <c r="W1113">
        <v>0</v>
      </c>
      <c r="X1113" t="s">
        <v>54</v>
      </c>
      <c r="Y1113">
        <v>0</v>
      </c>
    </row>
    <row r="1114" spans="1:25" x14ac:dyDescent="0.2">
      <c r="A1114" t="s">
        <v>381</v>
      </c>
      <c r="B1114" s="3">
        <v>44337</v>
      </c>
      <c r="C1114">
        <v>105</v>
      </c>
      <c r="D1114" t="s">
        <v>405</v>
      </c>
      <c r="E1114" t="s">
        <v>48</v>
      </c>
      <c r="F1114" s="9" t="s">
        <v>237</v>
      </c>
      <c r="G1114" t="s">
        <v>50</v>
      </c>
      <c r="H1114" t="s">
        <v>51</v>
      </c>
      <c r="I1114" t="s">
        <v>52</v>
      </c>
      <c r="J1114" t="s">
        <v>43</v>
      </c>
      <c r="K1114" t="s">
        <v>44</v>
      </c>
      <c r="L1114" t="s">
        <v>53</v>
      </c>
      <c r="M1114" t="s">
        <v>54</v>
      </c>
      <c r="N1114" t="s">
        <v>51</v>
      </c>
      <c r="O1114" t="s">
        <v>52</v>
      </c>
      <c r="P1114" t="s">
        <v>43</v>
      </c>
      <c r="Q1114" t="s">
        <v>44</v>
      </c>
      <c r="R1114" s="1">
        <v>44337.626689814817</v>
      </c>
      <c r="S1114" s="1">
        <v>44337.626689814817</v>
      </c>
      <c r="T1114">
        <v>1</v>
      </c>
      <c r="U1114">
        <v>1</v>
      </c>
      <c r="V1114" s="2">
        <v>1</v>
      </c>
      <c r="W1114">
        <v>0</v>
      </c>
      <c r="X1114" t="s">
        <v>54</v>
      </c>
      <c r="Y1114">
        <v>0</v>
      </c>
    </row>
    <row r="1115" spans="1:25" x14ac:dyDescent="0.2">
      <c r="A1115" t="s">
        <v>381</v>
      </c>
      <c r="B1115" s="3">
        <v>44338</v>
      </c>
      <c r="C1115">
        <v>106</v>
      </c>
      <c r="D1115" t="s">
        <v>408</v>
      </c>
      <c r="E1115" t="s">
        <v>48</v>
      </c>
      <c r="F1115" s="9" t="s">
        <v>237</v>
      </c>
      <c r="G1115" t="s">
        <v>50</v>
      </c>
      <c r="H1115" t="s">
        <v>51</v>
      </c>
      <c r="I1115" t="s">
        <v>52</v>
      </c>
      <c r="J1115" t="s">
        <v>43</v>
      </c>
      <c r="K1115" t="s">
        <v>44</v>
      </c>
      <c r="L1115" t="s">
        <v>53</v>
      </c>
      <c r="M1115" t="s">
        <v>54</v>
      </c>
      <c r="N1115" t="s">
        <v>51</v>
      </c>
      <c r="O1115" t="s">
        <v>52</v>
      </c>
      <c r="P1115" t="s">
        <v>43</v>
      </c>
      <c r="Q1115" t="s">
        <v>44</v>
      </c>
      <c r="R1115" s="1">
        <v>44338.466203703705</v>
      </c>
      <c r="S1115" s="1">
        <v>44338.466203703705</v>
      </c>
      <c r="T1115">
        <v>1</v>
      </c>
      <c r="U1115">
        <v>1</v>
      </c>
      <c r="V1115" s="2">
        <v>1</v>
      </c>
      <c r="W1115">
        <v>0</v>
      </c>
      <c r="X1115" t="s">
        <v>54</v>
      </c>
      <c r="Y1115">
        <v>0</v>
      </c>
    </row>
    <row r="1116" spans="1:25" x14ac:dyDescent="0.2">
      <c r="A1116" t="s">
        <v>381</v>
      </c>
      <c r="B1116" s="3">
        <v>44338</v>
      </c>
      <c r="C1116">
        <v>107</v>
      </c>
      <c r="D1116" t="s">
        <v>392</v>
      </c>
      <c r="E1116" t="s">
        <v>48</v>
      </c>
      <c r="F1116" s="9" t="s">
        <v>237</v>
      </c>
      <c r="G1116" t="s">
        <v>50</v>
      </c>
      <c r="H1116" t="s">
        <v>51</v>
      </c>
      <c r="I1116" t="s">
        <v>52</v>
      </c>
      <c r="J1116" t="s">
        <v>43</v>
      </c>
      <c r="K1116" t="s">
        <v>44</v>
      </c>
      <c r="L1116" t="s">
        <v>53</v>
      </c>
      <c r="M1116" t="s">
        <v>54</v>
      </c>
      <c r="N1116" t="s">
        <v>51</v>
      </c>
      <c r="O1116" t="s">
        <v>52</v>
      </c>
      <c r="P1116" t="s">
        <v>43</v>
      </c>
      <c r="Q1116" t="s">
        <v>44</v>
      </c>
      <c r="R1116" s="1">
        <v>44338.622847222221</v>
      </c>
      <c r="S1116" s="1">
        <v>44338.622847222221</v>
      </c>
      <c r="T1116">
        <v>1</v>
      </c>
      <c r="U1116">
        <v>1</v>
      </c>
      <c r="V1116" s="2">
        <v>1</v>
      </c>
      <c r="W1116">
        <v>0</v>
      </c>
      <c r="X1116" t="s">
        <v>54</v>
      </c>
      <c r="Y1116">
        <v>0</v>
      </c>
    </row>
    <row r="1117" spans="1:25" x14ac:dyDescent="0.2">
      <c r="A1117" t="s">
        <v>381</v>
      </c>
      <c r="B1117" s="3">
        <v>44340</v>
      </c>
      <c r="C1117">
        <v>109</v>
      </c>
      <c r="D1117" t="s">
        <v>383</v>
      </c>
      <c r="E1117" t="s">
        <v>48</v>
      </c>
      <c r="F1117" s="9" t="s">
        <v>237</v>
      </c>
      <c r="G1117" t="s">
        <v>50</v>
      </c>
      <c r="H1117" t="s">
        <v>51</v>
      </c>
      <c r="I1117" t="s">
        <v>52</v>
      </c>
      <c r="J1117" t="s">
        <v>43</v>
      </c>
      <c r="K1117" t="s">
        <v>44</v>
      </c>
      <c r="L1117" t="s">
        <v>53</v>
      </c>
      <c r="M1117" t="s">
        <v>54</v>
      </c>
      <c r="N1117" t="s">
        <v>51</v>
      </c>
      <c r="O1117" t="s">
        <v>52</v>
      </c>
      <c r="P1117" t="s">
        <v>43</v>
      </c>
      <c r="Q1117" t="s">
        <v>44</v>
      </c>
      <c r="R1117" s="1">
        <v>44340.640659722223</v>
      </c>
      <c r="S1117" s="1">
        <v>44340.640659722223</v>
      </c>
      <c r="T1117">
        <v>1</v>
      </c>
      <c r="U1117">
        <v>1</v>
      </c>
      <c r="V1117" s="2">
        <v>1</v>
      </c>
      <c r="W1117">
        <v>0</v>
      </c>
      <c r="X1117" t="s">
        <v>54</v>
      </c>
      <c r="Y1117">
        <v>0</v>
      </c>
    </row>
    <row r="1118" spans="1:25" x14ac:dyDescent="0.2">
      <c r="A1118" t="s">
        <v>381</v>
      </c>
      <c r="B1118" s="3">
        <v>44342</v>
      </c>
      <c r="C1118">
        <v>112</v>
      </c>
      <c r="D1118" t="s">
        <v>394</v>
      </c>
      <c r="E1118" t="s">
        <v>48</v>
      </c>
      <c r="F1118" s="9" t="s">
        <v>237</v>
      </c>
      <c r="G1118" t="s">
        <v>50</v>
      </c>
      <c r="H1118" t="s">
        <v>51</v>
      </c>
      <c r="I1118" t="s">
        <v>52</v>
      </c>
      <c r="J1118" t="s">
        <v>43</v>
      </c>
      <c r="K1118" t="s">
        <v>44</v>
      </c>
      <c r="L1118" t="s">
        <v>53</v>
      </c>
      <c r="M1118" t="s">
        <v>54</v>
      </c>
      <c r="N1118" t="s">
        <v>51</v>
      </c>
      <c r="O1118" t="s">
        <v>52</v>
      </c>
      <c r="P1118" t="s">
        <v>43</v>
      </c>
      <c r="Q1118" t="s">
        <v>44</v>
      </c>
      <c r="R1118" s="1">
        <v>44342.441087962965</v>
      </c>
      <c r="S1118" s="1">
        <v>44342.441087962965</v>
      </c>
      <c r="T1118">
        <v>1</v>
      </c>
      <c r="U1118">
        <v>1</v>
      </c>
      <c r="V1118" s="2">
        <v>1</v>
      </c>
      <c r="W1118">
        <v>0</v>
      </c>
      <c r="X1118" t="s">
        <v>54</v>
      </c>
      <c r="Y1118">
        <v>0</v>
      </c>
    </row>
    <row r="1119" spans="1:25" x14ac:dyDescent="0.2">
      <c r="A1119" t="s">
        <v>381</v>
      </c>
      <c r="B1119" s="3">
        <v>44343</v>
      </c>
      <c r="C1119">
        <v>115</v>
      </c>
      <c r="D1119" t="s">
        <v>395</v>
      </c>
      <c r="E1119" t="s">
        <v>48</v>
      </c>
      <c r="F1119" s="9" t="s">
        <v>237</v>
      </c>
      <c r="G1119" t="s">
        <v>50</v>
      </c>
      <c r="H1119" t="s">
        <v>51</v>
      </c>
      <c r="I1119" t="s">
        <v>52</v>
      </c>
      <c r="J1119" t="s">
        <v>43</v>
      </c>
      <c r="K1119" t="s">
        <v>44</v>
      </c>
      <c r="L1119" t="s">
        <v>53</v>
      </c>
      <c r="M1119" t="s">
        <v>54</v>
      </c>
      <c r="N1119" t="s">
        <v>51</v>
      </c>
      <c r="O1119" t="s">
        <v>52</v>
      </c>
      <c r="P1119" t="s">
        <v>43</v>
      </c>
      <c r="Q1119" t="s">
        <v>44</v>
      </c>
      <c r="R1119" s="1">
        <v>44343.489224537036</v>
      </c>
      <c r="S1119" s="1">
        <v>44343.489224537036</v>
      </c>
      <c r="T1119">
        <v>1</v>
      </c>
      <c r="U1119">
        <v>1</v>
      </c>
      <c r="V1119" s="2">
        <v>1</v>
      </c>
      <c r="W1119">
        <v>0</v>
      </c>
      <c r="X1119" t="s">
        <v>54</v>
      </c>
      <c r="Y1119">
        <v>0</v>
      </c>
    </row>
    <row r="1120" spans="1:25" x14ac:dyDescent="0.2">
      <c r="A1120" t="s">
        <v>381</v>
      </c>
      <c r="B1120" s="3">
        <v>44344</v>
      </c>
      <c r="C1120">
        <v>116</v>
      </c>
      <c r="D1120" t="s">
        <v>390</v>
      </c>
      <c r="E1120" t="s">
        <v>48</v>
      </c>
      <c r="F1120" s="9" t="s">
        <v>237</v>
      </c>
      <c r="G1120" t="s">
        <v>50</v>
      </c>
      <c r="H1120" t="s">
        <v>51</v>
      </c>
      <c r="I1120" t="s">
        <v>52</v>
      </c>
      <c r="J1120" t="s">
        <v>43</v>
      </c>
      <c r="K1120" t="s">
        <v>44</v>
      </c>
      <c r="L1120" t="s">
        <v>53</v>
      </c>
      <c r="M1120" t="s">
        <v>54</v>
      </c>
      <c r="N1120" t="s">
        <v>51</v>
      </c>
      <c r="O1120" t="s">
        <v>52</v>
      </c>
      <c r="P1120" t="s">
        <v>43</v>
      </c>
      <c r="Q1120" t="s">
        <v>44</v>
      </c>
      <c r="R1120" s="1">
        <v>44344.380624999998</v>
      </c>
      <c r="S1120" s="1">
        <v>44344.380624999998</v>
      </c>
      <c r="T1120">
        <v>1</v>
      </c>
      <c r="U1120">
        <v>1</v>
      </c>
      <c r="V1120" s="2">
        <v>1</v>
      </c>
      <c r="W1120">
        <v>0</v>
      </c>
      <c r="X1120" t="s">
        <v>54</v>
      </c>
      <c r="Y1120">
        <v>0</v>
      </c>
    </row>
    <row r="1121" spans="1:43" x14ac:dyDescent="0.2">
      <c r="A1121" t="s">
        <v>381</v>
      </c>
      <c r="B1121" s="3">
        <v>44344</v>
      </c>
      <c r="C1121">
        <v>117</v>
      </c>
      <c r="D1121" t="s">
        <v>409</v>
      </c>
      <c r="E1121" t="s">
        <v>48</v>
      </c>
      <c r="F1121" s="9" t="s">
        <v>237</v>
      </c>
      <c r="G1121" t="s">
        <v>50</v>
      </c>
      <c r="H1121" t="s">
        <v>51</v>
      </c>
      <c r="I1121" t="s">
        <v>52</v>
      </c>
      <c r="J1121" t="s">
        <v>43</v>
      </c>
      <c r="K1121" t="s">
        <v>44</v>
      </c>
      <c r="L1121" t="s">
        <v>53</v>
      </c>
      <c r="M1121" t="s">
        <v>54</v>
      </c>
      <c r="N1121" t="s">
        <v>51</v>
      </c>
      <c r="O1121" t="s">
        <v>52</v>
      </c>
      <c r="P1121" t="s">
        <v>43</v>
      </c>
      <c r="Q1121" t="s">
        <v>44</v>
      </c>
      <c r="R1121" s="1">
        <v>44344.66369212963</v>
      </c>
      <c r="S1121" s="1">
        <v>44344.66369212963</v>
      </c>
      <c r="T1121">
        <v>1</v>
      </c>
      <c r="U1121">
        <v>1</v>
      </c>
      <c r="V1121" s="2">
        <v>1</v>
      </c>
      <c r="W1121">
        <v>0</v>
      </c>
      <c r="X1121" t="s">
        <v>54</v>
      </c>
      <c r="Y1121">
        <v>0</v>
      </c>
    </row>
    <row r="1122" spans="1:43" x14ac:dyDescent="0.2">
      <c r="A1122" t="s">
        <v>381</v>
      </c>
      <c r="B1122" s="3">
        <v>44348</v>
      </c>
      <c r="C1122">
        <v>118</v>
      </c>
      <c r="D1122" t="s">
        <v>396</v>
      </c>
      <c r="E1122" t="s">
        <v>48</v>
      </c>
      <c r="F1122" s="9" t="s">
        <v>237</v>
      </c>
      <c r="G1122" t="s">
        <v>50</v>
      </c>
      <c r="H1122" t="s">
        <v>51</v>
      </c>
      <c r="I1122" t="s">
        <v>52</v>
      </c>
      <c r="J1122" t="s">
        <v>43</v>
      </c>
      <c r="K1122" t="s">
        <v>44</v>
      </c>
      <c r="L1122" t="s">
        <v>53</v>
      </c>
      <c r="M1122" t="s">
        <v>54</v>
      </c>
      <c r="N1122" t="s">
        <v>51</v>
      </c>
      <c r="O1122" t="s">
        <v>52</v>
      </c>
      <c r="P1122" t="s">
        <v>43</v>
      </c>
      <c r="Q1122" t="s">
        <v>44</v>
      </c>
      <c r="R1122" s="1">
        <v>44348.406747685185</v>
      </c>
      <c r="S1122" s="1">
        <v>44348.406747685185</v>
      </c>
      <c r="T1122">
        <v>1</v>
      </c>
      <c r="U1122">
        <v>1</v>
      </c>
      <c r="V1122" s="2">
        <v>1</v>
      </c>
      <c r="W1122">
        <v>0</v>
      </c>
      <c r="X1122" t="s">
        <v>54</v>
      </c>
      <c r="Y1122">
        <v>0</v>
      </c>
    </row>
    <row r="1123" spans="1:43" x14ac:dyDescent="0.2">
      <c r="A1123" t="s">
        <v>381</v>
      </c>
      <c r="B1123" s="3">
        <v>44349</v>
      </c>
      <c r="C1123">
        <v>121</v>
      </c>
      <c r="D1123" t="s">
        <v>385</v>
      </c>
      <c r="E1123" t="s">
        <v>48</v>
      </c>
      <c r="F1123" s="9" t="s">
        <v>237</v>
      </c>
      <c r="G1123" t="s">
        <v>50</v>
      </c>
      <c r="H1123" t="s">
        <v>51</v>
      </c>
      <c r="I1123" t="s">
        <v>52</v>
      </c>
      <c r="J1123" t="s">
        <v>43</v>
      </c>
      <c r="K1123" t="s">
        <v>44</v>
      </c>
      <c r="L1123" t="s">
        <v>53</v>
      </c>
      <c r="M1123" t="s">
        <v>54</v>
      </c>
      <c r="N1123" t="s">
        <v>51</v>
      </c>
      <c r="O1123" t="s">
        <v>52</v>
      </c>
      <c r="P1123" t="s">
        <v>43</v>
      </c>
      <c r="Q1123" t="s">
        <v>44</v>
      </c>
      <c r="R1123" s="1">
        <v>44349.597129629627</v>
      </c>
      <c r="S1123" s="1">
        <v>44349.597129629627</v>
      </c>
      <c r="T1123">
        <v>1</v>
      </c>
      <c r="U1123">
        <v>1</v>
      </c>
      <c r="V1123" s="2">
        <v>1</v>
      </c>
      <c r="W1123">
        <v>0</v>
      </c>
      <c r="X1123" t="s">
        <v>54</v>
      </c>
      <c r="Y1123">
        <v>0</v>
      </c>
    </row>
    <row r="1124" spans="1:43" x14ac:dyDescent="0.2">
      <c r="A1124" t="s">
        <v>381</v>
      </c>
      <c r="B1124" s="3">
        <v>44350</v>
      </c>
      <c r="C1124">
        <v>123</v>
      </c>
      <c r="D1124" t="s">
        <v>382</v>
      </c>
      <c r="E1124" t="s">
        <v>48</v>
      </c>
      <c r="F1124" s="9" t="s">
        <v>237</v>
      </c>
      <c r="G1124" t="s">
        <v>50</v>
      </c>
      <c r="H1124" t="s">
        <v>51</v>
      </c>
      <c r="I1124" t="s">
        <v>52</v>
      </c>
      <c r="J1124" t="s">
        <v>43</v>
      </c>
      <c r="K1124" t="s">
        <v>44</v>
      </c>
      <c r="L1124" t="s">
        <v>53</v>
      </c>
      <c r="M1124" t="s">
        <v>54</v>
      </c>
      <c r="N1124" t="s">
        <v>51</v>
      </c>
      <c r="O1124" t="s">
        <v>52</v>
      </c>
      <c r="P1124" t="s">
        <v>43</v>
      </c>
      <c r="Q1124" t="s">
        <v>44</v>
      </c>
      <c r="R1124" s="1">
        <v>44350.469467592593</v>
      </c>
      <c r="S1124" s="1">
        <v>44350.469467592593</v>
      </c>
      <c r="T1124">
        <v>1</v>
      </c>
      <c r="U1124">
        <v>1</v>
      </c>
      <c r="V1124" s="2">
        <v>1</v>
      </c>
      <c r="W1124">
        <v>0</v>
      </c>
      <c r="X1124" t="s">
        <v>54</v>
      </c>
      <c r="Y1124">
        <v>0</v>
      </c>
    </row>
    <row r="1125" spans="1:43" x14ac:dyDescent="0.2">
      <c r="A1125" t="s">
        <v>381</v>
      </c>
      <c r="B1125" s="3">
        <v>44351</v>
      </c>
      <c r="C1125">
        <v>124</v>
      </c>
      <c r="D1125" t="s">
        <v>390</v>
      </c>
      <c r="E1125" t="s">
        <v>48</v>
      </c>
      <c r="F1125" s="9" t="s">
        <v>237</v>
      </c>
      <c r="G1125" t="s">
        <v>50</v>
      </c>
      <c r="H1125" t="s">
        <v>51</v>
      </c>
      <c r="I1125" t="s">
        <v>52</v>
      </c>
      <c r="J1125" t="s">
        <v>43</v>
      </c>
      <c r="K1125" t="s">
        <v>44</v>
      </c>
      <c r="L1125" t="s">
        <v>53</v>
      </c>
      <c r="M1125" t="s">
        <v>54</v>
      </c>
      <c r="N1125" t="s">
        <v>51</v>
      </c>
      <c r="O1125" t="s">
        <v>52</v>
      </c>
      <c r="P1125" t="s">
        <v>43</v>
      </c>
      <c r="Q1125" t="s">
        <v>44</v>
      </c>
      <c r="R1125" s="1">
        <v>44351.377152777779</v>
      </c>
      <c r="S1125" s="1">
        <v>44351.377152777779</v>
      </c>
      <c r="T1125">
        <v>1</v>
      </c>
      <c r="U1125">
        <v>1</v>
      </c>
      <c r="V1125" s="2">
        <v>1</v>
      </c>
      <c r="W1125">
        <v>0</v>
      </c>
      <c r="X1125" t="s">
        <v>54</v>
      </c>
      <c r="Y1125">
        <v>0</v>
      </c>
    </row>
    <row r="1126" spans="1:43" x14ac:dyDescent="0.2">
      <c r="A1126" t="s">
        <v>381</v>
      </c>
      <c r="B1126" s="3">
        <v>44351</v>
      </c>
      <c r="C1126">
        <v>125</v>
      </c>
      <c r="D1126" t="s">
        <v>387</v>
      </c>
      <c r="E1126" t="s">
        <v>48</v>
      </c>
      <c r="F1126" s="9" t="s">
        <v>237</v>
      </c>
      <c r="G1126" t="s">
        <v>50</v>
      </c>
      <c r="H1126" t="s">
        <v>51</v>
      </c>
      <c r="I1126" t="s">
        <v>52</v>
      </c>
      <c r="J1126" t="s">
        <v>43</v>
      </c>
      <c r="K1126" t="s">
        <v>44</v>
      </c>
      <c r="L1126" t="s">
        <v>53</v>
      </c>
      <c r="M1126" t="s">
        <v>54</v>
      </c>
      <c r="N1126" t="s">
        <v>51</v>
      </c>
      <c r="O1126" t="s">
        <v>52</v>
      </c>
      <c r="P1126" t="s">
        <v>43</v>
      </c>
      <c r="Q1126" t="s">
        <v>44</v>
      </c>
      <c r="R1126" s="1">
        <v>44351.620659722219</v>
      </c>
      <c r="S1126" s="1">
        <v>44351.620879629627</v>
      </c>
      <c r="T1126">
        <v>0</v>
      </c>
      <c r="U1126">
        <v>1</v>
      </c>
      <c r="V1126" s="2">
        <v>0</v>
      </c>
      <c r="W1126">
        <v>0</v>
      </c>
      <c r="X1126" t="s">
        <v>44</v>
      </c>
      <c r="Y1126">
        <v>0</v>
      </c>
    </row>
    <row r="1127" spans="1:43" x14ac:dyDescent="0.2">
      <c r="A1127" t="s">
        <v>381</v>
      </c>
      <c r="B1127" s="3">
        <v>44354</v>
      </c>
      <c r="C1127">
        <v>127</v>
      </c>
      <c r="D1127" t="s">
        <v>383</v>
      </c>
      <c r="E1127" t="s">
        <v>48</v>
      </c>
      <c r="F1127" s="9" t="s">
        <v>237</v>
      </c>
      <c r="G1127" t="s">
        <v>50</v>
      </c>
      <c r="H1127" t="s">
        <v>51</v>
      </c>
      <c r="I1127" t="s">
        <v>52</v>
      </c>
      <c r="J1127" t="s">
        <v>43</v>
      </c>
      <c r="K1127" t="s">
        <v>44</v>
      </c>
      <c r="L1127" t="s">
        <v>53</v>
      </c>
      <c r="M1127" t="s">
        <v>54</v>
      </c>
      <c r="N1127" t="s">
        <v>51</v>
      </c>
      <c r="O1127" t="s">
        <v>52</v>
      </c>
      <c r="P1127" t="s">
        <v>43</v>
      </c>
      <c r="Q1127" t="s">
        <v>44</v>
      </c>
      <c r="R1127" s="1">
        <v>44354.616678240738</v>
      </c>
      <c r="S1127" s="1">
        <v>44354.616678240738</v>
      </c>
      <c r="T1127">
        <v>1</v>
      </c>
      <c r="U1127">
        <v>1</v>
      </c>
      <c r="V1127" s="2">
        <v>1</v>
      </c>
      <c r="W1127">
        <v>0</v>
      </c>
      <c r="X1127" t="s">
        <v>54</v>
      </c>
      <c r="Y1127">
        <v>0</v>
      </c>
    </row>
    <row r="1128" spans="1:43" x14ac:dyDescent="0.2">
      <c r="A1128" t="s">
        <v>381</v>
      </c>
      <c r="B1128" s="3">
        <v>44356</v>
      </c>
      <c r="C1128">
        <v>130</v>
      </c>
      <c r="D1128" t="s">
        <v>398</v>
      </c>
      <c r="E1128" t="s">
        <v>48</v>
      </c>
      <c r="F1128" s="9" t="s">
        <v>237</v>
      </c>
      <c r="G1128" t="s">
        <v>50</v>
      </c>
      <c r="H1128" t="s">
        <v>51</v>
      </c>
      <c r="I1128" t="s">
        <v>52</v>
      </c>
      <c r="J1128" t="s">
        <v>43</v>
      </c>
      <c r="K1128" t="s">
        <v>44</v>
      </c>
      <c r="L1128" t="s">
        <v>53</v>
      </c>
      <c r="M1128" t="s">
        <v>54</v>
      </c>
      <c r="N1128" t="s">
        <v>51</v>
      </c>
      <c r="O1128" t="s">
        <v>52</v>
      </c>
      <c r="P1128" t="s">
        <v>43</v>
      </c>
      <c r="Q1128" t="s">
        <v>44</v>
      </c>
      <c r="R1128" s="1">
        <v>44356.487268518518</v>
      </c>
      <c r="S1128" s="1">
        <v>44356.487268518518</v>
      </c>
      <c r="T1128">
        <v>1</v>
      </c>
      <c r="U1128">
        <v>1</v>
      </c>
      <c r="V1128" s="2">
        <v>1</v>
      </c>
      <c r="W1128">
        <v>0</v>
      </c>
      <c r="X1128" t="s">
        <v>54</v>
      </c>
      <c r="Y1128">
        <v>0</v>
      </c>
    </row>
    <row r="1129" spans="1:43" x14ac:dyDescent="0.2">
      <c r="A1129" t="s">
        <v>381</v>
      </c>
      <c r="B1129" s="3">
        <v>44356</v>
      </c>
      <c r="C1129">
        <v>131</v>
      </c>
      <c r="D1129" t="s">
        <v>383</v>
      </c>
      <c r="E1129" t="s">
        <v>48</v>
      </c>
      <c r="F1129" s="9" t="s">
        <v>237</v>
      </c>
      <c r="G1129" t="s">
        <v>50</v>
      </c>
      <c r="H1129" t="s">
        <v>51</v>
      </c>
      <c r="I1129" t="s">
        <v>52</v>
      </c>
      <c r="J1129" t="s">
        <v>43</v>
      </c>
      <c r="K1129" t="s">
        <v>44</v>
      </c>
      <c r="L1129" t="s">
        <v>53</v>
      </c>
      <c r="M1129" t="s">
        <v>54</v>
      </c>
      <c r="N1129" t="s">
        <v>51</v>
      </c>
      <c r="O1129" t="s">
        <v>52</v>
      </c>
      <c r="P1129" t="s">
        <v>43</v>
      </c>
      <c r="Q1129" t="s">
        <v>44</v>
      </c>
      <c r="R1129" s="1">
        <v>44356.587164351855</v>
      </c>
      <c r="S1129" s="1">
        <v>44356.587164351855</v>
      </c>
      <c r="T1129">
        <v>1</v>
      </c>
      <c r="U1129">
        <v>1</v>
      </c>
      <c r="V1129" s="2">
        <v>1</v>
      </c>
      <c r="W1129">
        <v>0</v>
      </c>
      <c r="X1129" t="s">
        <v>54</v>
      </c>
      <c r="Y1129">
        <v>0</v>
      </c>
    </row>
    <row r="1130" spans="1:43" x14ac:dyDescent="0.2">
      <c r="A1130" t="s">
        <v>381</v>
      </c>
      <c r="B1130" s="3">
        <v>44357</v>
      </c>
      <c r="C1130">
        <v>132</v>
      </c>
      <c r="D1130" t="s">
        <v>399</v>
      </c>
      <c r="E1130" t="s">
        <v>48</v>
      </c>
      <c r="F1130" s="9" t="s">
        <v>237</v>
      </c>
      <c r="G1130" t="s">
        <v>50</v>
      </c>
      <c r="H1130" t="s">
        <v>51</v>
      </c>
      <c r="I1130" t="s">
        <v>52</v>
      </c>
      <c r="J1130" t="s">
        <v>43</v>
      </c>
      <c r="K1130" t="s">
        <v>44</v>
      </c>
      <c r="L1130" t="s">
        <v>53</v>
      </c>
      <c r="M1130" t="s">
        <v>54</v>
      </c>
      <c r="N1130" t="s">
        <v>51</v>
      </c>
      <c r="O1130" t="s">
        <v>52</v>
      </c>
      <c r="P1130" t="s">
        <v>43</v>
      </c>
      <c r="Q1130" t="s">
        <v>44</v>
      </c>
      <c r="R1130" s="1">
        <v>44357.412175925929</v>
      </c>
      <c r="S1130" s="1">
        <v>44357.412175925929</v>
      </c>
      <c r="T1130">
        <v>0</v>
      </c>
      <c r="U1130">
        <v>1</v>
      </c>
      <c r="V1130" s="2">
        <v>0</v>
      </c>
      <c r="W1130">
        <v>0</v>
      </c>
      <c r="X1130" t="s">
        <v>44</v>
      </c>
      <c r="Y1130">
        <v>0</v>
      </c>
    </row>
    <row r="1131" spans="1:43" x14ac:dyDescent="0.2">
      <c r="A1131" t="s">
        <v>381</v>
      </c>
      <c r="B1131" s="3">
        <v>44358</v>
      </c>
      <c r="C1131">
        <v>133</v>
      </c>
      <c r="D1131" t="s">
        <v>390</v>
      </c>
      <c r="E1131" t="s">
        <v>48</v>
      </c>
      <c r="F1131" s="9" t="s">
        <v>237</v>
      </c>
      <c r="G1131" t="s">
        <v>50</v>
      </c>
      <c r="H1131" t="s">
        <v>51</v>
      </c>
      <c r="I1131" t="s">
        <v>52</v>
      </c>
      <c r="J1131" t="s">
        <v>43</v>
      </c>
      <c r="K1131" t="s">
        <v>44</v>
      </c>
      <c r="L1131" t="s">
        <v>53</v>
      </c>
      <c r="M1131" t="s">
        <v>54</v>
      </c>
      <c r="N1131" t="s">
        <v>51</v>
      </c>
      <c r="O1131" t="s">
        <v>52</v>
      </c>
      <c r="P1131" t="s">
        <v>43</v>
      </c>
      <c r="Q1131" t="s">
        <v>44</v>
      </c>
      <c r="R1131" s="1">
        <v>44358.388807870368</v>
      </c>
      <c r="S1131" s="1">
        <v>44358.388807870368</v>
      </c>
      <c r="T1131">
        <v>1</v>
      </c>
      <c r="U1131">
        <v>1</v>
      </c>
      <c r="V1131" s="2">
        <v>1</v>
      </c>
      <c r="W1131">
        <v>0</v>
      </c>
      <c r="X1131" t="s">
        <v>54</v>
      </c>
      <c r="Y1131">
        <v>0</v>
      </c>
    </row>
    <row r="1132" spans="1:43" x14ac:dyDescent="0.2">
      <c r="A1132" t="s">
        <v>381</v>
      </c>
      <c r="B1132" s="3">
        <v>44361</v>
      </c>
      <c r="C1132">
        <v>135</v>
      </c>
      <c r="D1132" t="s">
        <v>390</v>
      </c>
      <c r="E1132" t="s">
        <v>48</v>
      </c>
      <c r="F1132" s="9" t="s">
        <v>237</v>
      </c>
      <c r="G1132" t="s">
        <v>50</v>
      </c>
      <c r="H1132" t="s">
        <v>51</v>
      </c>
      <c r="I1132" t="s">
        <v>52</v>
      </c>
      <c r="J1132" t="s">
        <v>43</v>
      </c>
      <c r="K1132" t="s">
        <v>44</v>
      </c>
      <c r="L1132" t="s">
        <v>53</v>
      </c>
      <c r="M1132" t="s">
        <v>54</v>
      </c>
      <c r="N1132" t="s">
        <v>51</v>
      </c>
      <c r="O1132" t="s">
        <v>52</v>
      </c>
      <c r="P1132" t="s">
        <v>43</v>
      </c>
      <c r="Q1132" t="s">
        <v>44</v>
      </c>
      <c r="R1132" s="1">
        <v>44361.37840277778</v>
      </c>
      <c r="S1132" s="1">
        <v>44361.37840277778</v>
      </c>
      <c r="T1132">
        <v>1</v>
      </c>
      <c r="U1132">
        <v>1</v>
      </c>
      <c r="V1132" s="2">
        <v>1</v>
      </c>
      <c r="W1132">
        <v>0</v>
      </c>
      <c r="X1132" t="s">
        <v>54</v>
      </c>
      <c r="Y1132">
        <v>0</v>
      </c>
    </row>
    <row r="1133" spans="1:43" x14ac:dyDescent="0.2">
      <c r="A1133" t="s">
        <v>381</v>
      </c>
      <c r="B1133" s="3">
        <v>44375</v>
      </c>
      <c r="C1133">
        <v>141</v>
      </c>
      <c r="D1133" t="s">
        <v>396</v>
      </c>
      <c r="E1133" t="s">
        <v>48</v>
      </c>
      <c r="F1133" s="9" t="s">
        <v>237</v>
      </c>
      <c r="G1133" t="s">
        <v>50</v>
      </c>
      <c r="H1133" t="s">
        <v>51</v>
      </c>
      <c r="I1133" t="s">
        <v>52</v>
      </c>
      <c r="J1133" t="s">
        <v>43</v>
      </c>
      <c r="K1133" t="s">
        <v>44</v>
      </c>
      <c r="L1133" t="s">
        <v>53</v>
      </c>
      <c r="M1133" t="s">
        <v>54</v>
      </c>
      <c r="N1133" t="s">
        <v>51</v>
      </c>
      <c r="O1133" t="s">
        <v>52</v>
      </c>
      <c r="P1133" t="s">
        <v>43</v>
      </c>
      <c r="Q1133" t="s">
        <v>44</v>
      </c>
      <c r="R1133" s="1">
        <v>44375.587442129632</v>
      </c>
      <c r="S1133" s="1">
        <v>44375.587442129632</v>
      </c>
      <c r="T1133">
        <v>1</v>
      </c>
      <c r="U1133">
        <v>1</v>
      </c>
      <c r="V1133" s="2">
        <v>1</v>
      </c>
      <c r="W1133">
        <v>0</v>
      </c>
      <c r="X1133" t="s">
        <v>54</v>
      </c>
      <c r="Y1133">
        <v>0</v>
      </c>
    </row>
    <row r="1134" spans="1:43" x14ac:dyDescent="0.2">
      <c r="A1134" t="s">
        <v>381</v>
      </c>
      <c r="B1134" s="3">
        <v>44284</v>
      </c>
      <c r="C1134">
        <v>43</v>
      </c>
      <c r="D1134" t="s">
        <v>384</v>
      </c>
      <c r="E1134" t="s">
        <v>208</v>
      </c>
      <c r="F1134" s="9" t="s">
        <v>209</v>
      </c>
      <c r="G1134" t="s">
        <v>26</v>
      </c>
      <c r="H1134" t="s">
        <v>51</v>
      </c>
      <c r="I1134" t="s">
        <v>52</v>
      </c>
      <c r="J1134" t="s">
        <v>210</v>
      </c>
      <c r="K1134" t="s">
        <v>211</v>
      </c>
      <c r="L1134" t="s">
        <v>212</v>
      </c>
      <c r="M1134" t="s">
        <v>213</v>
      </c>
      <c r="N1134" t="s">
        <v>51</v>
      </c>
      <c r="O1134" t="s">
        <v>52</v>
      </c>
      <c r="P1134" t="s">
        <v>210</v>
      </c>
      <c r="Q1134" t="s">
        <v>211</v>
      </c>
      <c r="R1134" s="1">
        <v>44284.445960648147</v>
      </c>
      <c r="S1134" s="1">
        <v>44284.448865740742</v>
      </c>
      <c r="T1134">
        <v>5</v>
      </c>
      <c r="U1134">
        <v>5</v>
      </c>
      <c r="V1134" s="2">
        <v>1</v>
      </c>
      <c r="W1134">
        <v>0</v>
      </c>
      <c r="X1134" t="s">
        <v>211</v>
      </c>
      <c r="Y1134">
        <v>0</v>
      </c>
      <c r="Z1134" t="s">
        <v>177</v>
      </c>
      <c r="AA1134">
        <v>0</v>
      </c>
      <c r="AB1134" t="s">
        <v>177</v>
      </c>
      <c r="AC1134">
        <v>0</v>
      </c>
      <c r="AD1134" t="s">
        <v>177</v>
      </c>
      <c r="AE1134">
        <v>0</v>
      </c>
      <c r="AF1134" t="s">
        <v>211</v>
      </c>
      <c r="AG1134">
        <v>0</v>
      </c>
      <c r="AH1134" t="s">
        <v>211</v>
      </c>
      <c r="AI1134">
        <v>0</v>
      </c>
      <c r="AJ1134" t="s">
        <v>177</v>
      </c>
      <c r="AK1134">
        <v>0</v>
      </c>
      <c r="AL1134" t="s">
        <v>211</v>
      </c>
      <c r="AM1134">
        <v>0</v>
      </c>
      <c r="AN1134" t="s">
        <v>211</v>
      </c>
      <c r="AO1134">
        <v>0</v>
      </c>
      <c r="AP1134" t="s">
        <v>31</v>
      </c>
      <c r="AQ1134">
        <v>0</v>
      </c>
    </row>
    <row r="1135" spans="1:43" x14ac:dyDescent="0.2">
      <c r="A1135" t="s">
        <v>381</v>
      </c>
      <c r="B1135" s="3">
        <v>44356</v>
      </c>
      <c r="C1135">
        <v>130</v>
      </c>
      <c r="D1135" t="s">
        <v>398</v>
      </c>
      <c r="E1135" t="s">
        <v>208</v>
      </c>
      <c r="F1135" s="9" t="s">
        <v>209</v>
      </c>
      <c r="G1135" t="s">
        <v>26</v>
      </c>
      <c r="H1135" t="s">
        <v>51</v>
      </c>
      <c r="I1135" t="s">
        <v>52</v>
      </c>
      <c r="J1135" t="s">
        <v>210</v>
      </c>
      <c r="K1135" t="s">
        <v>211</v>
      </c>
      <c r="L1135" t="s">
        <v>212</v>
      </c>
      <c r="M1135" t="s">
        <v>213</v>
      </c>
      <c r="N1135" t="s">
        <v>51</v>
      </c>
      <c r="O1135" t="s">
        <v>52</v>
      </c>
      <c r="P1135" t="s">
        <v>210</v>
      </c>
      <c r="Q1135" t="s">
        <v>211</v>
      </c>
      <c r="R1135" s="1">
        <v>44356.487754629627</v>
      </c>
      <c r="S1135" s="1">
        <v>44356.48846064815</v>
      </c>
      <c r="T1135">
        <v>3</v>
      </c>
      <c r="U1135">
        <v>3</v>
      </c>
      <c r="V1135" s="2">
        <v>1</v>
      </c>
      <c r="W1135">
        <v>0</v>
      </c>
      <c r="X1135" t="s">
        <v>211</v>
      </c>
      <c r="Y1135">
        <v>0</v>
      </c>
      <c r="Z1135" t="s">
        <v>211</v>
      </c>
      <c r="AA1135">
        <v>0</v>
      </c>
      <c r="AB1135" t="s">
        <v>211</v>
      </c>
      <c r="AC1135">
        <v>0</v>
      </c>
      <c r="AD1135" t="s">
        <v>31</v>
      </c>
      <c r="AE1135">
        <v>0</v>
      </c>
      <c r="AF1135" t="s">
        <v>31</v>
      </c>
      <c r="AG1135">
        <v>0</v>
      </c>
      <c r="AH1135" t="s">
        <v>31</v>
      </c>
      <c r="AI1135">
        <v>0</v>
      </c>
      <c r="AJ1135" t="s">
        <v>31</v>
      </c>
      <c r="AK1135">
        <v>0</v>
      </c>
      <c r="AL1135" t="s">
        <v>31</v>
      </c>
      <c r="AM1135">
        <v>0</v>
      </c>
      <c r="AN1135" t="s">
        <v>31</v>
      </c>
      <c r="AO1135">
        <v>0</v>
      </c>
      <c r="AP1135" t="s">
        <v>31</v>
      </c>
      <c r="AQ1135">
        <v>0</v>
      </c>
    </row>
    <row r="1136" spans="1:43" x14ac:dyDescent="0.2">
      <c r="A1136" t="s">
        <v>381</v>
      </c>
      <c r="B1136" s="3">
        <v>44284</v>
      </c>
      <c r="C1136">
        <v>43</v>
      </c>
      <c r="D1136" t="s">
        <v>384</v>
      </c>
      <c r="E1136" t="s">
        <v>208</v>
      </c>
      <c r="F1136" s="9" t="s">
        <v>214</v>
      </c>
      <c r="G1136" t="s">
        <v>26</v>
      </c>
      <c r="H1136" t="s">
        <v>51</v>
      </c>
      <c r="I1136" t="s">
        <v>52</v>
      </c>
      <c r="J1136" t="s">
        <v>212</v>
      </c>
      <c r="K1136" t="s">
        <v>213</v>
      </c>
      <c r="L1136" t="s">
        <v>212</v>
      </c>
      <c r="M1136" t="s">
        <v>213</v>
      </c>
      <c r="N1136" t="s">
        <v>51</v>
      </c>
      <c r="O1136" t="s">
        <v>52</v>
      </c>
      <c r="P1136" t="s">
        <v>212</v>
      </c>
      <c r="Q1136" t="s">
        <v>213</v>
      </c>
      <c r="R1136" s="1">
        <v>44284.44599537037</v>
      </c>
      <c r="S1136" s="1">
        <v>44284.449062500003</v>
      </c>
      <c r="T1136">
        <v>5</v>
      </c>
      <c r="U1136">
        <v>5</v>
      </c>
      <c r="V1136" s="2">
        <v>1</v>
      </c>
      <c r="W1136">
        <v>0</v>
      </c>
      <c r="X1136" t="s">
        <v>213</v>
      </c>
      <c r="Y1136">
        <v>0</v>
      </c>
      <c r="Z1136" t="s">
        <v>177</v>
      </c>
      <c r="AA1136">
        <v>0</v>
      </c>
      <c r="AB1136" t="s">
        <v>177</v>
      </c>
      <c r="AC1136">
        <v>0</v>
      </c>
      <c r="AD1136" t="s">
        <v>177</v>
      </c>
      <c r="AE1136">
        <v>0</v>
      </c>
      <c r="AF1136" t="s">
        <v>213</v>
      </c>
      <c r="AG1136">
        <v>0</v>
      </c>
      <c r="AH1136" t="s">
        <v>213</v>
      </c>
      <c r="AI1136">
        <v>0</v>
      </c>
      <c r="AJ1136" t="s">
        <v>177</v>
      </c>
      <c r="AK1136">
        <v>0</v>
      </c>
      <c r="AL1136" t="s">
        <v>213</v>
      </c>
      <c r="AM1136">
        <v>0</v>
      </c>
      <c r="AN1136" t="s">
        <v>215</v>
      </c>
      <c r="AO1136">
        <v>0</v>
      </c>
      <c r="AP1136" t="s">
        <v>31</v>
      </c>
      <c r="AQ1136">
        <v>0</v>
      </c>
    </row>
    <row r="1137" spans="1:43" x14ac:dyDescent="0.2">
      <c r="A1137" t="s">
        <v>381</v>
      </c>
      <c r="B1137" s="3">
        <v>44356</v>
      </c>
      <c r="C1137">
        <v>130</v>
      </c>
      <c r="D1137" t="s">
        <v>398</v>
      </c>
      <c r="E1137" t="s">
        <v>208</v>
      </c>
      <c r="F1137" s="9" t="s">
        <v>214</v>
      </c>
      <c r="G1137" t="s">
        <v>26</v>
      </c>
      <c r="H1137" t="s">
        <v>51</v>
      </c>
      <c r="I1137" t="s">
        <v>52</v>
      </c>
      <c r="J1137" t="s">
        <v>212</v>
      </c>
      <c r="K1137" t="s">
        <v>213</v>
      </c>
      <c r="L1137" t="s">
        <v>212</v>
      </c>
      <c r="M1137" t="s">
        <v>213</v>
      </c>
      <c r="N1137" t="s">
        <v>51</v>
      </c>
      <c r="O1137" t="s">
        <v>52</v>
      </c>
      <c r="P1137" t="s">
        <v>212</v>
      </c>
      <c r="Q1137" t="s">
        <v>213</v>
      </c>
      <c r="R1137" s="1">
        <v>44356.48778935185</v>
      </c>
      <c r="S1137" s="1">
        <v>44356.488541666666</v>
      </c>
      <c r="T1137">
        <v>3</v>
      </c>
      <c r="U1137">
        <v>3</v>
      </c>
      <c r="V1137" s="2">
        <v>1</v>
      </c>
      <c r="W1137">
        <v>0</v>
      </c>
      <c r="X1137" t="s">
        <v>213</v>
      </c>
      <c r="Y1137">
        <v>0</v>
      </c>
      <c r="Z1137" t="s">
        <v>213</v>
      </c>
      <c r="AA1137">
        <v>0</v>
      </c>
      <c r="AB1137" t="s">
        <v>213</v>
      </c>
      <c r="AC1137">
        <v>0</v>
      </c>
      <c r="AD1137" t="s">
        <v>31</v>
      </c>
      <c r="AE1137">
        <v>0</v>
      </c>
      <c r="AF1137" t="s">
        <v>31</v>
      </c>
      <c r="AG1137">
        <v>0</v>
      </c>
      <c r="AH1137" t="s">
        <v>31</v>
      </c>
      <c r="AI1137">
        <v>0</v>
      </c>
      <c r="AJ1137" t="s">
        <v>31</v>
      </c>
      <c r="AK1137">
        <v>0</v>
      </c>
      <c r="AL1137" t="s">
        <v>31</v>
      </c>
      <c r="AM1137">
        <v>0</v>
      </c>
      <c r="AN1137" t="s">
        <v>31</v>
      </c>
      <c r="AO1137">
        <v>0</v>
      </c>
      <c r="AP1137" t="s">
        <v>31</v>
      </c>
      <c r="AQ1137">
        <v>0</v>
      </c>
    </row>
    <row r="1138" spans="1:43" x14ac:dyDescent="0.2">
      <c r="A1138" t="s">
        <v>381</v>
      </c>
      <c r="B1138" s="3">
        <v>44260</v>
      </c>
      <c r="C1138">
        <v>28</v>
      </c>
      <c r="D1138" t="s">
        <v>384</v>
      </c>
      <c r="E1138" t="s">
        <v>180</v>
      </c>
      <c r="F1138" s="9" t="s">
        <v>203</v>
      </c>
      <c r="G1138" t="s">
        <v>26</v>
      </c>
      <c r="H1138" t="s">
        <v>200</v>
      </c>
      <c r="I1138" t="s">
        <v>201</v>
      </c>
      <c r="J1138" t="s">
        <v>43</v>
      </c>
      <c r="K1138" t="s">
        <v>44</v>
      </c>
      <c r="L1138" t="s">
        <v>29</v>
      </c>
      <c r="M1138" t="s">
        <v>30</v>
      </c>
      <c r="N1138" t="s">
        <v>188</v>
      </c>
      <c r="O1138" t="s">
        <v>189</v>
      </c>
      <c r="P1138" t="s">
        <v>29</v>
      </c>
      <c r="Q1138" t="s">
        <v>30</v>
      </c>
      <c r="R1138" s="1">
        <v>44260.44699074074</v>
      </c>
      <c r="S1138" s="1">
        <v>44260.447696759256</v>
      </c>
      <c r="T1138">
        <v>0</v>
      </c>
      <c r="U1138">
        <v>5</v>
      </c>
      <c r="V1138" s="2">
        <v>0</v>
      </c>
      <c r="W1138">
        <v>0</v>
      </c>
      <c r="X1138" t="s">
        <v>44</v>
      </c>
      <c r="Y1138">
        <v>0</v>
      </c>
      <c r="Z1138" t="s">
        <v>44</v>
      </c>
      <c r="AA1138">
        <v>0</v>
      </c>
      <c r="AB1138" t="s">
        <v>45</v>
      </c>
      <c r="AC1138">
        <v>0</v>
      </c>
      <c r="AD1138" t="s">
        <v>61</v>
      </c>
      <c r="AE1138">
        <v>0</v>
      </c>
      <c r="AF1138" t="s">
        <v>47</v>
      </c>
      <c r="AG1138">
        <v>0</v>
      </c>
      <c r="AH1138" t="s">
        <v>31</v>
      </c>
      <c r="AI1138">
        <v>0</v>
      </c>
      <c r="AJ1138" t="s">
        <v>31</v>
      </c>
      <c r="AK1138">
        <v>0</v>
      </c>
      <c r="AL1138" t="s">
        <v>31</v>
      </c>
      <c r="AM1138">
        <v>0</v>
      </c>
      <c r="AN1138" t="s">
        <v>31</v>
      </c>
      <c r="AO1138">
        <v>0</v>
      </c>
      <c r="AP1138" t="s">
        <v>31</v>
      </c>
      <c r="AQ1138">
        <v>0</v>
      </c>
    </row>
    <row r="1139" spans="1:43" x14ac:dyDescent="0.2">
      <c r="A1139" t="s">
        <v>381</v>
      </c>
      <c r="B1139" s="3">
        <v>44263</v>
      </c>
      <c r="C1139">
        <v>29</v>
      </c>
      <c r="D1139" t="s">
        <v>384</v>
      </c>
      <c r="E1139" t="s">
        <v>180</v>
      </c>
      <c r="F1139" s="9" t="s">
        <v>203</v>
      </c>
      <c r="G1139" t="s">
        <v>26</v>
      </c>
      <c r="H1139" t="s">
        <v>188</v>
      </c>
      <c r="I1139" t="s">
        <v>189</v>
      </c>
      <c r="J1139" t="s">
        <v>29</v>
      </c>
      <c r="K1139" t="s">
        <v>30</v>
      </c>
      <c r="L1139" t="s">
        <v>29</v>
      </c>
      <c r="M1139" t="s">
        <v>30</v>
      </c>
      <c r="N1139" t="s">
        <v>188</v>
      </c>
      <c r="O1139" t="s">
        <v>189</v>
      </c>
      <c r="P1139" t="s">
        <v>29</v>
      </c>
      <c r="Q1139" t="s">
        <v>30</v>
      </c>
      <c r="R1139" s="1">
        <v>44263.376585648148</v>
      </c>
      <c r="S1139" s="1">
        <v>44263.376585648148</v>
      </c>
      <c r="T1139">
        <v>1</v>
      </c>
      <c r="U1139">
        <v>1</v>
      </c>
      <c r="V1139" s="2">
        <v>1</v>
      </c>
      <c r="W1139">
        <v>0</v>
      </c>
      <c r="X1139" t="s">
        <v>30</v>
      </c>
      <c r="Y1139">
        <v>0</v>
      </c>
      <c r="Z1139" t="s">
        <v>31</v>
      </c>
      <c r="AA1139">
        <v>0</v>
      </c>
      <c r="AB1139" t="s">
        <v>31</v>
      </c>
      <c r="AC1139">
        <v>0</v>
      </c>
      <c r="AD1139" t="s">
        <v>31</v>
      </c>
      <c r="AE1139">
        <v>0</v>
      </c>
      <c r="AF1139" t="s">
        <v>31</v>
      </c>
      <c r="AG1139">
        <v>0</v>
      </c>
      <c r="AH1139" t="s">
        <v>31</v>
      </c>
      <c r="AI1139">
        <v>0</v>
      </c>
      <c r="AJ1139" t="s">
        <v>31</v>
      </c>
      <c r="AK1139">
        <v>0</v>
      </c>
      <c r="AL1139" t="s">
        <v>31</v>
      </c>
      <c r="AM1139">
        <v>0</v>
      </c>
      <c r="AN1139" t="s">
        <v>31</v>
      </c>
      <c r="AO1139">
        <v>0</v>
      </c>
      <c r="AP1139" t="s">
        <v>31</v>
      </c>
      <c r="AQ1139">
        <v>0</v>
      </c>
    </row>
    <row r="1140" spans="1:43" x14ac:dyDescent="0.2">
      <c r="A1140" t="s">
        <v>381</v>
      </c>
      <c r="B1140" s="3">
        <v>44265</v>
      </c>
      <c r="C1140">
        <v>32</v>
      </c>
      <c r="D1140" t="s">
        <v>384</v>
      </c>
      <c r="E1140" t="s">
        <v>180</v>
      </c>
      <c r="F1140" s="9" t="s">
        <v>203</v>
      </c>
      <c r="G1140" t="s">
        <v>26</v>
      </c>
      <c r="H1140" t="s">
        <v>188</v>
      </c>
      <c r="I1140" t="s">
        <v>189</v>
      </c>
      <c r="J1140" t="s">
        <v>29</v>
      </c>
      <c r="K1140" t="s">
        <v>30</v>
      </c>
      <c r="L1140" t="s">
        <v>29</v>
      </c>
      <c r="M1140" t="s">
        <v>30</v>
      </c>
      <c r="N1140" t="s">
        <v>188</v>
      </c>
      <c r="O1140" t="s">
        <v>189</v>
      </c>
      <c r="P1140" t="s">
        <v>29</v>
      </c>
      <c r="Q1140" t="s">
        <v>30</v>
      </c>
      <c r="R1140" s="1">
        <v>44265.394074074073</v>
      </c>
      <c r="S1140" s="1">
        <v>44265.415717592594</v>
      </c>
      <c r="T1140">
        <v>1</v>
      </c>
      <c r="U1140">
        <v>5</v>
      </c>
      <c r="V1140" s="2">
        <v>0.2</v>
      </c>
      <c r="W1140">
        <v>0</v>
      </c>
      <c r="X1140" t="s">
        <v>44</v>
      </c>
      <c r="Y1140">
        <v>0</v>
      </c>
      <c r="Z1140" t="s">
        <v>44</v>
      </c>
      <c r="AA1140">
        <v>0</v>
      </c>
      <c r="AB1140" t="s">
        <v>45</v>
      </c>
      <c r="AC1140">
        <v>0</v>
      </c>
      <c r="AD1140" t="s">
        <v>61</v>
      </c>
      <c r="AE1140">
        <v>0</v>
      </c>
      <c r="AF1140" t="s">
        <v>30</v>
      </c>
      <c r="AG1140">
        <v>0</v>
      </c>
      <c r="AH1140" t="s">
        <v>31</v>
      </c>
      <c r="AI1140">
        <v>0</v>
      </c>
      <c r="AJ1140" t="s">
        <v>31</v>
      </c>
      <c r="AK1140">
        <v>0</v>
      </c>
      <c r="AL1140" t="s">
        <v>31</v>
      </c>
      <c r="AM1140">
        <v>0</v>
      </c>
      <c r="AN1140" t="s">
        <v>31</v>
      </c>
      <c r="AO1140">
        <v>0</v>
      </c>
      <c r="AP1140" t="s">
        <v>31</v>
      </c>
      <c r="AQ1140">
        <v>0</v>
      </c>
    </row>
    <row r="1141" spans="1:43" x14ac:dyDescent="0.2">
      <c r="A1141" t="s">
        <v>381</v>
      </c>
      <c r="B1141" s="3">
        <v>44270</v>
      </c>
      <c r="C1141">
        <v>35</v>
      </c>
      <c r="D1141" t="s">
        <v>384</v>
      </c>
      <c r="E1141" t="s">
        <v>180</v>
      </c>
      <c r="F1141" s="9" t="s">
        <v>203</v>
      </c>
      <c r="G1141" t="s">
        <v>26</v>
      </c>
      <c r="H1141" t="s">
        <v>188</v>
      </c>
      <c r="I1141" t="s">
        <v>189</v>
      </c>
      <c r="J1141" t="s">
        <v>29</v>
      </c>
      <c r="K1141" t="s">
        <v>30</v>
      </c>
      <c r="L1141" t="s">
        <v>29</v>
      </c>
      <c r="M1141" t="s">
        <v>30</v>
      </c>
      <c r="N1141" t="s">
        <v>188</v>
      </c>
      <c r="O1141" t="s">
        <v>189</v>
      </c>
      <c r="P1141" t="s">
        <v>29</v>
      </c>
      <c r="Q1141" t="s">
        <v>30</v>
      </c>
      <c r="R1141" s="1">
        <v>44270.368969907409</v>
      </c>
      <c r="S1141" s="1">
        <v>44270.369027777779</v>
      </c>
      <c r="T1141">
        <v>1</v>
      </c>
      <c r="U1141">
        <v>1</v>
      </c>
      <c r="V1141" s="2">
        <v>1</v>
      </c>
      <c r="W1141">
        <v>0</v>
      </c>
      <c r="X1141" t="s">
        <v>30</v>
      </c>
      <c r="Y1141">
        <v>0</v>
      </c>
      <c r="Z1141" t="s">
        <v>31</v>
      </c>
      <c r="AA1141">
        <v>0</v>
      </c>
      <c r="AB1141" t="s">
        <v>31</v>
      </c>
      <c r="AC1141">
        <v>0</v>
      </c>
      <c r="AD1141" t="s">
        <v>31</v>
      </c>
      <c r="AE1141">
        <v>0</v>
      </c>
      <c r="AF1141" t="s">
        <v>31</v>
      </c>
      <c r="AG1141">
        <v>0</v>
      </c>
      <c r="AH1141" t="s">
        <v>31</v>
      </c>
      <c r="AI1141">
        <v>0</v>
      </c>
      <c r="AJ1141" t="s">
        <v>31</v>
      </c>
      <c r="AK1141">
        <v>0</v>
      </c>
      <c r="AL1141" t="s">
        <v>31</v>
      </c>
      <c r="AM1141">
        <v>0</v>
      </c>
      <c r="AN1141" t="s">
        <v>31</v>
      </c>
      <c r="AO1141">
        <v>0</v>
      </c>
      <c r="AP1141" t="s">
        <v>31</v>
      </c>
      <c r="AQ1141">
        <v>0</v>
      </c>
    </row>
    <row r="1142" spans="1:43" x14ac:dyDescent="0.2">
      <c r="A1142" t="s">
        <v>381</v>
      </c>
      <c r="B1142" s="3">
        <v>44271</v>
      </c>
      <c r="C1142">
        <v>36</v>
      </c>
      <c r="D1142" t="s">
        <v>385</v>
      </c>
      <c r="E1142" t="s">
        <v>180</v>
      </c>
      <c r="F1142" s="9" t="s">
        <v>203</v>
      </c>
      <c r="G1142" t="s">
        <v>26</v>
      </c>
      <c r="H1142" t="s">
        <v>188</v>
      </c>
      <c r="I1142" t="s">
        <v>189</v>
      </c>
      <c r="J1142" t="s">
        <v>29</v>
      </c>
      <c r="K1142" t="s">
        <v>30</v>
      </c>
      <c r="L1142" t="s">
        <v>29</v>
      </c>
      <c r="M1142" t="s">
        <v>30</v>
      </c>
      <c r="N1142" t="s">
        <v>188</v>
      </c>
      <c r="O1142" t="s">
        <v>189</v>
      </c>
      <c r="P1142" t="s">
        <v>29</v>
      </c>
      <c r="Q1142" t="s">
        <v>30</v>
      </c>
      <c r="R1142" s="1">
        <v>44271.413206018522</v>
      </c>
      <c r="S1142" s="1">
        <v>44271.422523148147</v>
      </c>
      <c r="T1142">
        <v>0</v>
      </c>
      <c r="U1142">
        <v>9</v>
      </c>
      <c r="V1142" s="2">
        <v>0</v>
      </c>
      <c r="W1142">
        <v>0</v>
      </c>
      <c r="X1142" t="s">
        <v>44</v>
      </c>
      <c r="Y1142">
        <v>0</v>
      </c>
      <c r="Z1142" t="s">
        <v>44</v>
      </c>
      <c r="AA1142">
        <v>0</v>
      </c>
      <c r="AB1142" t="s">
        <v>45</v>
      </c>
      <c r="AC1142">
        <v>0</v>
      </c>
      <c r="AD1142" t="s">
        <v>44</v>
      </c>
      <c r="AE1142">
        <v>0</v>
      </c>
      <c r="AF1142" t="s">
        <v>44</v>
      </c>
      <c r="AG1142">
        <v>0</v>
      </c>
      <c r="AH1142" t="s">
        <v>44</v>
      </c>
      <c r="AI1142">
        <v>0</v>
      </c>
      <c r="AJ1142" t="s">
        <v>45</v>
      </c>
      <c r="AK1142">
        <v>0</v>
      </c>
      <c r="AL1142" t="s">
        <v>61</v>
      </c>
      <c r="AM1142">
        <v>0</v>
      </c>
      <c r="AN1142" t="s">
        <v>47</v>
      </c>
      <c r="AO1142">
        <v>0</v>
      </c>
      <c r="AP1142" t="s">
        <v>31</v>
      </c>
      <c r="AQ1142">
        <v>0</v>
      </c>
    </row>
    <row r="1143" spans="1:43" x14ac:dyDescent="0.2">
      <c r="A1143" t="s">
        <v>381</v>
      </c>
      <c r="B1143" s="3">
        <v>44271</v>
      </c>
      <c r="C1143">
        <v>37</v>
      </c>
      <c r="D1143" t="s">
        <v>385</v>
      </c>
      <c r="E1143" t="s">
        <v>180</v>
      </c>
      <c r="F1143" s="9" t="s">
        <v>203</v>
      </c>
      <c r="G1143" t="s">
        <v>26</v>
      </c>
      <c r="H1143" t="s">
        <v>188</v>
      </c>
      <c r="I1143" t="s">
        <v>189</v>
      </c>
      <c r="J1143" t="s">
        <v>29</v>
      </c>
      <c r="K1143" t="s">
        <v>30</v>
      </c>
      <c r="L1143" t="s">
        <v>29</v>
      </c>
      <c r="M1143" t="s">
        <v>30</v>
      </c>
      <c r="N1143" t="s">
        <v>59</v>
      </c>
      <c r="O1143" t="s">
        <v>60</v>
      </c>
      <c r="P1143" t="s">
        <v>29</v>
      </c>
      <c r="Q1143" t="s">
        <v>30</v>
      </c>
      <c r="R1143" s="1">
        <v>44271.586840277778</v>
      </c>
      <c r="S1143" s="1">
        <v>44271.589502314811</v>
      </c>
      <c r="T1143">
        <v>0</v>
      </c>
      <c r="U1143">
        <v>5</v>
      </c>
      <c r="V1143" s="2">
        <v>0</v>
      </c>
      <c r="W1143">
        <v>0</v>
      </c>
      <c r="X1143" t="s">
        <v>44</v>
      </c>
      <c r="Y1143">
        <v>0</v>
      </c>
      <c r="Z1143" t="s">
        <v>44</v>
      </c>
      <c r="AA1143">
        <v>0</v>
      </c>
      <c r="AB1143" t="s">
        <v>45</v>
      </c>
      <c r="AC1143">
        <v>0</v>
      </c>
      <c r="AD1143" t="s">
        <v>61</v>
      </c>
      <c r="AE1143">
        <v>0</v>
      </c>
      <c r="AF1143" t="s">
        <v>47</v>
      </c>
      <c r="AG1143">
        <v>0</v>
      </c>
      <c r="AH1143" t="s">
        <v>31</v>
      </c>
      <c r="AI1143">
        <v>0</v>
      </c>
      <c r="AJ1143" t="s">
        <v>31</v>
      </c>
      <c r="AK1143">
        <v>0</v>
      </c>
      <c r="AL1143" t="s">
        <v>31</v>
      </c>
      <c r="AM1143">
        <v>0</v>
      </c>
      <c r="AN1143" t="s">
        <v>31</v>
      </c>
      <c r="AO1143">
        <v>0</v>
      </c>
      <c r="AP1143" t="s">
        <v>31</v>
      </c>
      <c r="AQ1143">
        <v>0</v>
      </c>
    </row>
    <row r="1144" spans="1:43" x14ac:dyDescent="0.2">
      <c r="A1144" t="s">
        <v>381</v>
      </c>
      <c r="B1144" s="3">
        <v>44245</v>
      </c>
      <c r="C1144">
        <v>12</v>
      </c>
      <c r="D1144" t="s">
        <v>382</v>
      </c>
      <c r="E1144" t="s">
        <v>180</v>
      </c>
      <c r="F1144" s="9" t="s">
        <v>181</v>
      </c>
      <c r="G1144" t="s">
        <v>26</v>
      </c>
      <c r="H1144" t="s">
        <v>155</v>
      </c>
      <c r="I1144" t="s">
        <v>156</v>
      </c>
      <c r="J1144" t="s">
        <v>162</v>
      </c>
      <c r="K1144" t="s">
        <v>47</v>
      </c>
      <c r="L1144" t="s">
        <v>162</v>
      </c>
      <c r="M1144" t="s">
        <v>47</v>
      </c>
      <c r="N1144" t="s">
        <v>27</v>
      </c>
      <c r="O1144" t="s">
        <v>28</v>
      </c>
      <c r="P1144" t="s">
        <v>43</v>
      </c>
      <c r="Q1144" t="s">
        <v>44</v>
      </c>
      <c r="R1144" s="1">
        <v>44245.381597222222</v>
      </c>
      <c r="S1144" s="1">
        <v>44245.38177083333</v>
      </c>
      <c r="T1144">
        <v>9</v>
      </c>
      <c r="U1144">
        <v>9</v>
      </c>
      <c r="V1144" s="2">
        <v>1</v>
      </c>
      <c r="W1144">
        <v>0</v>
      </c>
      <c r="X1144" t="s">
        <v>47</v>
      </c>
      <c r="Y1144">
        <v>0</v>
      </c>
      <c r="Z1144" t="s">
        <v>47</v>
      </c>
      <c r="AA1144">
        <v>0</v>
      </c>
      <c r="AB1144" t="s">
        <v>47</v>
      </c>
      <c r="AC1144">
        <v>0</v>
      </c>
      <c r="AD1144" t="s">
        <v>47</v>
      </c>
      <c r="AE1144">
        <v>0</v>
      </c>
      <c r="AF1144" t="s">
        <v>47</v>
      </c>
      <c r="AG1144">
        <v>0</v>
      </c>
      <c r="AH1144" t="s">
        <v>61</v>
      </c>
      <c r="AI1144">
        <v>0</v>
      </c>
      <c r="AJ1144" t="s">
        <v>30</v>
      </c>
      <c r="AK1144">
        <v>0</v>
      </c>
      <c r="AL1144" t="s">
        <v>47</v>
      </c>
      <c r="AM1144">
        <v>0</v>
      </c>
      <c r="AN1144" t="s">
        <v>30</v>
      </c>
      <c r="AO1144">
        <v>0</v>
      </c>
      <c r="AP1144" t="s">
        <v>31</v>
      </c>
      <c r="AQ1144">
        <v>0</v>
      </c>
    </row>
    <row r="1145" spans="1:43" x14ac:dyDescent="0.2">
      <c r="A1145" t="s">
        <v>381</v>
      </c>
      <c r="B1145" s="3">
        <v>44246</v>
      </c>
      <c r="C1145">
        <v>14</v>
      </c>
      <c r="D1145" t="s">
        <v>384</v>
      </c>
      <c r="E1145" t="s">
        <v>180</v>
      </c>
      <c r="F1145" s="9" t="s">
        <v>181</v>
      </c>
      <c r="G1145" t="s">
        <v>26</v>
      </c>
      <c r="H1145" t="s">
        <v>27</v>
      </c>
      <c r="I1145" t="s">
        <v>28</v>
      </c>
      <c r="J1145" t="s">
        <v>43</v>
      </c>
      <c r="K1145" t="s">
        <v>44</v>
      </c>
      <c r="L1145" t="s">
        <v>36</v>
      </c>
      <c r="M1145" t="s">
        <v>37</v>
      </c>
      <c r="N1145" t="s">
        <v>27</v>
      </c>
      <c r="O1145" t="s">
        <v>28</v>
      </c>
      <c r="P1145" t="s">
        <v>43</v>
      </c>
      <c r="Q1145" t="s">
        <v>44</v>
      </c>
      <c r="R1145" s="1">
        <v>44246.372523148151</v>
      </c>
      <c r="S1145" s="1">
        <v>44246.372523148151</v>
      </c>
      <c r="T1145">
        <v>1</v>
      </c>
      <c r="U1145">
        <v>1</v>
      </c>
      <c r="V1145" s="2">
        <v>1</v>
      </c>
      <c r="W1145">
        <v>0</v>
      </c>
      <c r="X1145" t="s">
        <v>30</v>
      </c>
      <c r="Y1145">
        <v>0</v>
      </c>
      <c r="Z1145" t="s">
        <v>31</v>
      </c>
      <c r="AA1145">
        <v>0</v>
      </c>
      <c r="AB1145" t="s">
        <v>31</v>
      </c>
      <c r="AC1145">
        <v>0</v>
      </c>
      <c r="AD1145" t="s">
        <v>31</v>
      </c>
      <c r="AE1145">
        <v>0</v>
      </c>
      <c r="AF1145" t="s">
        <v>31</v>
      </c>
      <c r="AG1145">
        <v>0</v>
      </c>
      <c r="AH1145" t="s">
        <v>31</v>
      </c>
      <c r="AI1145">
        <v>0</v>
      </c>
      <c r="AJ1145" t="s">
        <v>31</v>
      </c>
      <c r="AK1145">
        <v>0</v>
      </c>
      <c r="AL1145" t="s">
        <v>31</v>
      </c>
      <c r="AM1145">
        <v>0</v>
      </c>
      <c r="AN1145" t="s">
        <v>31</v>
      </c>
      <c r="AO1145">
        <v>0</v>
      </c>
      <c r="AP1145" t="s">
        <v>31</v>
      </c>
      <c r="AQ1145">
        <v>0</v>
      </c>
    </row>
    <row r="1146" spans="1:43" x14ac:dyDescent="0.2">
      <c r="A1146" t="s">
        <v>381</v>
      </c>
      <c r="B1146" s="3">
        <v>44249</v>
      </c>
      <c r="C1146">
        <v>15</v>
      </c>
      <c r="D1146" t="s">
        <v>384</v>
      </c>
      <c r="E1146" t="s">
        <v>180</v>
      </c>
      <c r="F1146" s="9" t="s">
        <v>181</v>
      </c>
      <c r="G1146" t="s">
        <v>26</v>
      </c>
      <c r="H1146" t="s">
        <v>27</v>
      </c>
      <c r="I1146" t="s">
        <v>28</v>
      </c>
      <c r="J1146" t="s">
        <v>43</v>
      </c>
      <c r="K1146" t="s">
        <v>44</v>
      </c>
      <c r="L1146" t="s">
        <v>36</v>
      </c>
      <c r="M1146" t="s">
        <v>37</v>
      </c>
      <c r="N1146" t="s">
        <v>27</v>
      </c>
      <c r="O1146" t="s">
        <v>28</v>
      </c>
      <c r="P1146" t="s">
        <v>43</v>
      </c>
      <c r="Q1146" t="s">
        <v>44</v>
      </c>
      <c r="R1146" s="1">
        <v>44249.38449074074</v>
      </c>
      <c r="S1146" s="1">
        <v>44249.38449074074</v>
      </c>
      <c r="T1146">
        <v>1</v>
      </c>
      <c r="U1146">
        <v>1</v>
      </c>
      <c r="V1146" s="2">
        <v>1</v>
      </c>
      <c r="W1146">
        <v>0</v>
      </c>
      <c r="X1146" t="s">
        <v>30</v>
      </c>
      <c r="Y1146">
        <v>0</v>
      </c>
      <c r="Z1146" t="s">
        <v>31</v>
      </c>
      <c r="AA1146">
        <v>0</v>
      </c>
      <c r="AB1146" t="s">
        <v>31</v>
      </c>
      <c r="AC1146">
        <v>0</v>
      </c>
      <c r="AD1146" t="s">
        <v>31</v>
      </c>
      <c r="AE1146">
        <v>0</v>
      </c>
      <c r="AF1146" t="s">
        <v>31</v>
      </c>
      <c r="AG1146">
        <v>0</v>
      </c>
      <c r="AH1146" t="s">
        <v>31</v>
      </c>
      <c r="AI1146">
        <v>0</v>
      </c>
      <c r="AJ1146" t="s">
        <v>31</v>
      </c>
      <c r="AK1146">
        <v>0</v>
      </c>
      <c r="AL1146" t="s">
        <v>31</v>
      </c>
      <c r="AM1146">
        <v>0</v>
      </c>
      <c r="AN1146" t="s">
        <v>31</v>
      </c>
      <c r="AO1146">
        <v>0</v>
      </c>
      <c r="AP1146" t="s">
        <v>31</v>
      </c>
      <c r="AQ1146">
        <v>0</v>
      </c>
    </row>
    <row r="1147" spans="1:43" x14ac:dyDescent="0.2">
      <c r="A1147" t="s">
        <v>381</v>
      </c>
      <c r="B1147" s="3">
        <v>44250</v>
      </c>
      <c r="C1147">
        <v>16</v>
      </c>
      <c r="D1147" t="s">
        <v>382</v>
      </c>
      <c r="E1147" t="s">
        <v>180</v>
      </c>
      <c r="F1147" s="9" t="s">
        <v>181</v>
      </c>
      <c r="G1147" t="s">
        <v>26</v>
      </c>
      <c r="H1147" t="s">
        <v>185</v>
      </c>
      <c r="I1147" t="s">
        <v>186</v>
      </c>
      <c r="J1147" t="s">
        <v>29</v>
      </c>
      <c r="K1147" t="s">
        <v>30</v>
      </c>
      <c r="L1147" t="s">
        <v>29</v>
      </c>
      <c r="M1147" t="s">
        <v>30</v>
      </c>
      <c r="N1147" t="s">
        <v>185</v>
      </c>
      <c r="O1147" t="s">
        <v>186</v>
      </c>
      <c r="P1147" t="s">
        <v>29</v>
      </c>
      <c r="Q1147" t="s">
        <v>30</v>
      </c>
      <c r="R1147" s="1">
        <v>44250.383703703701</v>
      </c>
      <c r="S1147" s="1">
        <v>44250.383703703701</v>
      </c>
      <c r="T1147">
        <v>1</v>
      </c>
      <c r="U1147">
        <v>1</v>
      </c>
      <c r="V1147" s="2">
        <v>1</v>
      </c>
      <c r="W1147">
        <v>0</v>
      </c>
      <c r="X1147" t="s">
        <v>30</v>
      </c>
      <c r="Y1147">
        <v>0</v>
      </c>
      <c r="Z1147" t="s">
        <v>31</v>
      </c>
      <c r="AA1147">
        <v>0</v>
      </c>
      <c r="AB1147" t="s">
        <v>31</v>
      </c>
      <c r="AC1147">
        <v>0</v>
      </c>
      <c r="AD1147" t="s">
        <v>31</v>
      </c>
      <c r="AE1147">
        <v>0</v>
      </c>
      <c r="AF1147" t="s">
        <v>31</v>
      </c>
      <c r="AG1147">
        <v>0</v>
      </c>
      <c r="AH1147" t="s">
        <v>31</v>
      </c>
      <c r="AI1147">
        <v>0</v>
      </c>
      <c r="AJ1147" t="s">
        <v>31</v>
      </c>
      <c r="AK1147">
        <v>0</v>
      </c>
      <c r="AL1147" t="s">
        <v>31</v>
      </c>
      <c r="AM1147">
        <v>0</v>
      </c>
      <c r="AN1147" t="s">
        <v>31</v>
      </c>
      <c r="AO1147">
        <v>0</v>
      </c>
      <c r="AP1147" t="s">
        <v>31</v>
      </c>
      <c r="AQ1147">
        <v>0</v>
      </c>
    </row>
    <row r="1148" spans="1:43" x14ac:dyDescent="0.2">
      <c r="A1148" t="s">
        <v>381</v>
      </c>
      <c r="B1148" s="3">
        <v>44252</v>
      </c>
      <c r="C1148">
        <v>19</v>
      </c>
      <c r="D1148" t="s">
        <v>382</v>
      </c>
      <c r="E1148" t="s">
        <v>180</v>
      </c>
      <c r="F1148" s="9" t="s">
        <v>181</v>
      </c>
      <c r="G1148" t="s">
        <v>26</v>
      </c>
      <c r="H1148" t="s">
        <v>185</v>
      </c>
      <c r="I1148" t="s">
        <v>186</v>
      </c>
      <c r="J1148" t="s">
        <v>29</v>
      </c>
      <c r="K1148" t="s">
        <v>30</v>
      </c>
      <c r="L1148" t="s">
        <v>29</v>
      </c>
      <c r="M1148" t="s">
        <v>30</v>
      </c>
      <c r="N1148" t="s">
        <v>64</v>
      </c>
      <c r="O1148" t="s">
        <v>65</v>
      </c>
      <c r="P1148" t="s">
        <v>43</v>
      </c>
      <c r="Q1148" t="s">
        <v>44</v>
      </c>
      <c r="R1148" s="1">
        <v>44252.377604166664</v>
      </c>
      <c r="S1148" s="1">
        <v>44252.377604166664</v>
      </c>
      <c r="T1148">
        <v>1</v>
      </c>
      <c r="U1148">
        <v>1</v>
      </c>
      <c r="V1148" s="2">
        <v>1</v>
      </c>
      <c r="W1148">
        <v>0</v>
      </c>
      <c r="X1148" t="s">
        <v>30</v>
      </c>
      <c r="Y1148">
        <v>0</v>
      </c>
      <c r="Z1148" t="s">
        <v>31</v>
      </c>
      <c r="AA1148">
        <v>0</v>
      </c>
      <c r="AB1148" t="s">
        <v>31</v>
      </c>
      <c r="AC1148">
        <v>0</v>
      </c>
      <c r="AD1148" t="s">
        <v>31</v>
      </c>
      <c r="AE1148">
        <v>0</v>
      </c>
      <c r="AF1148" t="s">
        <v>31</v>
      </c>
      <c r="AG1148">
        <v>0</v>
      </c>
      <c r="AH1148" t="s">
        <v>31</v>
      </c>
      <c r="AI1148">
        <v>0</v>
      </c>
      <c r="AJ1148" t="s">
        <v>31</v>
      </c>
      <c r="AK1148">
        <v>0</v>
      </c>
      <c r="AL1148" t="s">
        <v>31</v>
      </c>
      <c r="AM1148">
        <v>0</v>
      </c>
      <c r="AN1148" t="s">
        <v>31</v>
      </c>
      <c r="AO1148">
        <v>0</v>
      </c>
      <c r="AP1148" t="s">
        <v>31</v>
      </c>
      <c r="AQ1148">
        <v>0</v>
      </c>
    </row>
    <row r="1149" spans="1:43" x14ac:dyDescent="0.2">
      <c r="A1149" t="s">
        <v>381</v>
      </c>
      <c r="B1149" s="3">
        <v>44256</v>
      </c>
      <c r="C1149">
        <v>22</v>
      </c>
      <c r="D1149" t="s">
        <v>384</v>
      </c>
      <c r="E1149" t="s">
        <v>180</v>
      </c>
      <c r="F1149" s="9" t="s">
        <v>181</v>
      </c>
      <c r="G1149" t="s">
        <v>26</v>
      </c>
      <c r="H1149" t="s">
        <v>64</v>
      </c>
      <c r="I1149" t="s">
        <v>65</v>
      </c>
      <c r="J1149" t="s">
        <v>43</v>
      </c>
      <c r="K1149" t="s">
        <v>44</v>
      </c>
      <c r="L1149" t="s">
        <v>29</v>
      </c>
      <c r="M1149" t="s">
        <v>30</v>
      </c>
      <c r="N1149" t="s">
        <v>64</v>
      </c>
      <c r="O1149" t="s">
        <v>65</v>
      </c>
      <c r="P1149" t="s">
        <v>43</v>
      </c>
      <c r="Q1149" t="s">
        <v>44</v>
      </c>
      <c r="R1149" s="1">
        <v>44256.367962962962</v>
      </c>
      <c r="S1149" s="1">
        <v>44256.370300925926</v>
      </c>
      <c r="T1149">
        <v>1</v>
      </c>
      <c r="U1149">
        <v>5</v>
      </c>
      <c r="V1149" s="2">
        <v>0.2</v>
      </c>
      <c r="W1149">
        <v>0</v>
      </c>
      <c r="X1149" t="s">
        <v>44</v>
      </c>
      <c r="Y1149">
        <v>0</v>
      </c>
      <c r="Z1149" t="s">
        <v>44</v>
      </c>
      <c r="AA1149">
        <v>0</v>
      </c>
      <c r="AB1149" t="s">
        <v>45</v>
      </c>
      <c r="AC1149">
        <v>0</v>
      </c>
      <c r="AD1149" t="s">
        <v>61</v>
      </c>
      <c r="AE1149">
        <v>0</v>
      </c>
      <c r="AF1149" t="s">
        <v>30</v>
      </c>
      <c r="AG1149">
        <v>0</v>
      </c>
      <c r="AH1149" t="s">
        <v>31</v>
      </c>
      <c r="AI1149">
        <v>0</v>
      </c>
      <c r="AJ1149" t="s">
        <v>31</v>
      </c>
      <c r="AK1149">
        <v>0</v>
      </c>
      <c r="AL1149" t="s">
        <v>31</v>
      </c>
      <c r="AM1149">
        <v>0</v>
      </c>
      <c r="AN1149" t="s">
        <v>31</v>
      </c>
      <c r="AO1149">
        <v>0</v>
      </c>
      <c r="AP1149" t="s">
        <v>31</v>
      </c>
      <c r="AQ1149">
        <v>0</v>
      </c>
    </row>
    <row r="1150" spans="1:43" x14ac:dyDescent="0.2">
      <c r="A1150" t="s">
        <v>381</v>
      </c>
      <c r="B1150" s="3">
        <v>44258</v>
      </c>
      <c r="C1150">
        <v>25</v>
      </c>
      <c r="D1150" t="s">
        <v>384</v>
      </c>
      <c r="E1150" t="s">
        <v>180</v>
      </c>
      <c r="F1150" s="9" t="s">
        <v>181</v>
      </c>
      <c r="G1150" t="s">
        <v>26</v>
      </c>
      <c r="H1150" t="s">
        <v>64</v>
      </c>
      <c r="I1150" t="s">
        <v>65</v>
      </c>
      <c r="J1150" t="s">
        <v>43</v>
      </c>
      <c r="K1150" t="s">
        <v>44</v>
      </c>
      <c r="L1150" t="s">
        <v>29</v>
      </c>
      <c r="M1150" t="s">
        <v>30</v>
      </c>
      <c r="N1150" t="s">
        <v>185</v>
      </c>
      <c r="O1150" t="s">
        <v>186</v>
      </c>
      <c r="P1150" t="s">
        <v>29</v>
      </c>
      <c r="Q1150" t="s">
        <v>30</v>
      </c>
      <c r="R1150" s="1">
        <v>44258.368645833332</v>
      </c>
      <c r="S1150" s="1">
        <v>44258.380173611113</v>
      </c>
      <c r="T1150">
        <v>1</v>
      </c>
      <c r="U1150">
        <v>6</v>
      </c>
      <c r="V1150" s="2">
        <v>0.16</v>
      </c>
      <c r="W1150">
        <v>0</v>
      </c>
      <c r="X1150" t="s">
        <v>44</v>
      </c>
      <c r="Y1150">
        <v>0</v>
      </c>
      <c r="Z1150" t="s">
        <v>44</v>
      </c>
      <c r="AA1150">
        <v>0</v>
      </c>
      <c r="AB1150" t="s">
        <v>45</v>
      </c>
      <c r="AC1150">
        <v>0</v>
      </c>
      <c r="AD1150" t="s">
        <v>61</v>
      </c>
      <c r="AE1150">
        <v>0</v>
      </c>
      <c r="AF1150" t="s">
        <v>47</v>
      </c>
      <c r="AG1150">
        <v>0</v>
      </c>
      <c r="AH1150" t="s">
        <v>30</v>
      </c>
      <c r="AI1150">
        <v>0</v>
      </c>
      <c r="AJ1150" t="s">
        <v>31</v>
      </c>
      <c r="AK1150">
        <v>0</v>
      </c>
      <c r="AL1150" t="s">
        <v>31</v>
      </c>
      <c r="AM1150">
        <v>0</v>
      </c>
      <c r="AN1150" t="s">
        <v>31</v>
      </c>
      <c r="AO1150">
        <v>0</v>
      </c>
      <c r="AP1150" t="s">
        <v>31</v>
      </c>
      <c r="AQ1150">
        <v>0</v>
      </c>
    </row>
    <row r="1151" spans="1:43" x14ac:dyDescent="0.2">
      <c r="A1151" t="s">
        <v>381</v>
      </c>
      <c r="B1151" s="3">
        <v>44259</v>
      </c>
      <c r="C1151">
        <v>26</v>
      </c>
      <c r="D1151" t="s">
        <v>382</v>
      </c>
      <c r="E1151" t="s">
        <v>180</v>
      </c>
      <c r="F1151" s="9" t="s">
        <v>181</v>
      </c>
      <c r="G1151" t="s">
        <v>26</v>
      </c>
      <c r="H1151" t="s">
        <v>64</v>
      </c>
      <c r="I1151" t="s">
        <v>65</v>
      </c>
      <c r="J1151" t="s">
        <v>43</v>
      </c>
      <c r="K1151" t="s">
        <v>44</v>
      </c>
      <c r="L1151" t="s">
        <v>29</v>
      </c>
      <c r="M1151" t="s">
        <v>30</v>
      </c>
      <c r="N1151" t="s">
        <v>64</v>
      </c>
      <c r="O1151" t="s">
        <v>65</v>
      </c>
      <c r="P1151" t="s">
        <v>43</v>
      </c>
      <c r="Q1151" t="s">
        <v>44</v>
      </c>
      <c r="R1151" s="1">
        <v>44259.421018518522</v>
      </c>
      <c r="S1151" s="1">
        <v>44259.421018518522</v>
      </c>
      <c r="T1151">
        <v>1</v>
      </c>
      <c r="U1151">
        <v>1</v>
      </c>
      <c r="V1151" s="2">
        <v>1</v>
      </c>
      <c r="W1151">
        <v>0</v>
      </c>
      <c r="X1151" t="s">
        <v>30</v>
      </c>
      <c r="Y1151">
        <v>0</v>
      </c>
      <c r="Z1151" t="s">
        <v>31</v>
      </c>
      <c r="AA1151">
        <v>0</v>
      </c>
      <c r="AB1151" t="s">
        <v>31</v>
      </c>
      <c r="AC1151">
        <v>0</v>
      </c>
      <c r="AD1151" t="s">
        <v>31</v>
      </c>
      <c r="AE1151">
        <v>0</v>
      </c>
      <c r="AF1151" t="s">
        <v>31</v>
      </c>
      <c r="AG1151">
        <v>0</v>
      </c>
      <c r="AH1151" t="s">
        <v>31</v>
      </c>
      <c r="AI1151">
        <v>0</v>
      </c>
      <c r="AJ1151" t="s">
        <v>31</v>
      </c>
      <c r="AK1151">
        <v>0</v>
      </c>
      <c r="AL1151" t="s">
        <v>31</v>
      </c>
      <c r="AM1151">
        <v>0</v>
      </c>
      <c r="AN1151" t="s">
        <v>31</v>
      </c>
      <c r="AO1151">
        <v>0</v>
      </c>
      <c r="AP1151" t="s">
        <v>31</v>
      </c>
      <c r="AQ1151">
        <v>0</v>
      </c>
    </row>
    <row r="1152" spans="1:43" x14ac:dyDescent="0.2">
      <c r="A1152" t="s">
        <v>381</v>
      </c>
      <c r="B1152" s="3">
        <v>44260</v>
      </c>
      <c r="C1152">
        <v>28</v>
      </c>
      <c r="D1152" t="s">
        <v>384</v>
      </c>
      <c r="E1152" t="s">
        <v>180</v>
      </c>
      <c r="F1152" s="9" t="s">
        <v>181</v>
      </c>
      <c r="G1152" t="s">
        <v>26</v>
      </c>
      <c r="H1152" t="s">
        <v>64</v>
      </c>
      <c r="I1152" t="s">
        <v>65</v>
      </c>
      <c r="J1152" t="s">
        <v>43</v>
      </c>
      <c r="K1152" t="s">
        <v>44</v>
      </c>
      <c r="L1152" t="s">
        <v>29</v>
      </c>
      <c r="M1152" t="s">
        <v>30</v>
      </c>
      <c r="N1152" t="s">
        <v>132</v>
      </c>
      <c r="O1152" t="s">
        <v>133</v>
      </c>
      <c r="P1152" t="s">
        <v>43</v>
      </c>
      <c r="Q1152" t="s">
        <v>44</v>
      </c>
      <c r="R1152" s="1">
        <v>44260.372199074074</v>
      </c>
      <c r="S1152" s="1">
        <v>44260.372199074074</v>
      </c>
      <c r="T1152">
        <v>1</v>
      </c>
      <c r="U1152">
        <v>1</v>
      </c>
      <c r="V1152" s="2">
        <v>1</v>
      </c>
      <c r="W1152">
        <v>0</v>
      </c>
      <c r="X1152" t="s">
        <v>30</v>
      </c>
      <c r="Y1152">
        <v>0</v>
      </c>
      <c r="Z1152" t="s">
        <v>31</v>
      </c>
      <c r="AA1152">
        <v>0</v>
      </c>
      <c r="AB1152" t="s">
        <v>31</v>
      </c>
      <c r="AC1152">
        <v>0</v>
      </c>
      <c r="AD1152" t="s">
        <v>31</v>
      </c>
      <c r="AE1152">
        <v>0</v>
      </c>
      <c r="AF1152" t="s">
        <v>31</v>
      </c>
      <c r="AG1152">
        <v>0</v>
      </c>
      <c r="AH1152" t="s">
        <v>31</v>
      </c>
      <c r="AI1152">
        <v>0</v>
      </c>
      <c r="AJ1152" t="s">
        <v>31</v>
      </c>
      <c r="AK1152">
        <v>0</v>
      </c>
      <c r="AL1152" t="s">
        <v>31</v>
      </c>
      <c r="AM1152">
        <v>0</v>
      </c>
      <c r="AN1152" t="s">
        <v>31</v>
      </c>
      <c r="AO1152">
        <v>0</v>
      </c>
      <c r="AP1152" t="s">
        <v>31</v>
      </c>
      <c r="AQ1152">
        <v>0</v>
      </c>
    </row>
    <row r="1153" spans="1:43" x14ac:dyDescent="0.2">
      <c r="A1153" t="s">
        <v>381</v>
      </c>
      <c r="B1153" s="3">
        <v>44264</v>
      </c>
      <c r="C1153">
        <v>30</v>
      </c>
      <c r="D1153" t="s">
        <v>382</v>
      </c>
      <c r="E1153" t="s">
        <v>180</v>
      </c>
      <c r="F1153" s="9" t="s">
        <v>181</v>
      </c>
      <c r="G1153" t="s">
        <v>26</v>
      </c>
      <c r="H1153" t="s">
        <v>132</v>
      </c>
      <c r="I1153" t="s">
        <v>133</v>
      </c>
      <c r="J1153" t="s">
        <v>43</v>
      </c>
      <c r="K1153" t="s">
        <v>44</v>
      </c>
      <c r="L1153" t="s">
        <v>29</v>
      </c>
      <c r="M1153" t="s">
        <v>30</v>
      </c>
      <c r="N1153" t="s">
        <v>132</v>
      </c>
      <c r="O1153" t="s">
        <v>133</v>
      </c>
      <c r="P1153" t="s">
        <v>43</v>
      </c>
      <c r="Q1153" t="s">
        <v>44</v>
      </c>
      <c r="R1153" s="1">
        <v>44264.387187499997</v>
      </c>
      <c r="S1153" s="1">
        <v>44264.387627314813</v>
      </c>
      <c r="T1153">
        <v>0</v>
      </c>
      <c r="U1153">
        <v>5</v>
      </c>
      <c r="V1153" s="2">
        <v>0</v>
      </c>
      <c r="W1153">
        <v>0</v>
      </c>
      <c r="X1153" t="s">
        <v>44</v>
      </c>
      <c r="Y1153">
        <v>0</v>
      </c>
      <c r="Z1153" t="s">
        <v>44</v>
      </c>
      <c r="AA1153">
        <v>0</v>
      </c>
      <c r="AB1153" t="s">
        <v>45</v>
      </c>
      <c r="AC1153">
        <v>0</v>
      </c>
      <c r="AD1153" t="s">
        <v>61</v>
      </c>
      <c r="AE1153">
        <v>0</v>
      </c>
      <c r="AF1153" t="s">
        <v>47</v>
      </c>
      <c r="AG1153">
        <v>0</v>
      </c>
      <c r="AH1153" t="s">
        <v>31</v>
      </c>
      <c r="AI1153">
        <v>0</v>
      </c>
      <c r="AJ1153" t="s">
        <v>31</v>
      </c>
      <c r="AK1153">
        <v>0</v>
      </c>
      <c r="AL1153" t="s">
        <v>31</v>
      </c>
      <c r="AM1153">
        <v>0</v>
      </c>
      <c r="AN1153" t="s">
        <v>31</v>
      </c>
      <c r="AO1153">
        <v>0</v>
      </c>
      <c r="AP1153" t="s">
        <v>31</v>
      </c>
      <c r="AQ1153">
        <v>0</v>
      </c>
    </row>
    <row r="1154" spans="1:43" x14ac:dyDescent="0.2">
      <c r="A1154" t="s">
        <v>381</v>
      </c>
      <c r="B1154" s="3">
        <v>44265</v>
      </c>
      <c r="C1154">
        <v>32</v>
      </c>
      <c r="D1154" t="s">
        <v>384</v>
      </c>
      <c r="E1154" t="s">
        <v>180</v>
      </c>
      <c r="F1154" s="9" t="s">
        <v>181</v>
      </c>
      <c r="G1154" t="s">
        <v>26</v>
      </c>
      <c r="H1154" t="s">
        <v>132</v>
      </c>
      <c r="I1154" t="s">
        <v>133</v>
      </c>
      <c r="J1154" t="s">
        <v>43</v>
      </c>
      <c r="K1154" t="s">
        <v>44</v>
      </c>
      <c r="L1154" t="s">
        <v>29</v>
      </c>
      <c r="M1154" t="s">
        <v>30</v>
      </c>
      <c r="N1154" t="s">
        <v>132</v>
      </c>
      <c r="O1154" t="s">
        <v>133</v>
      </c>
      <c r="P1154" t="s">
        <v>43</v>
      </c>
      <c r="Q1154" t="s">
        <v>44</v>
      </c>
      <c r="R1154" s="1">
        <v>44265.408136574071</v>
      </c>
      <c r="S1154" s="1">
        <v>44265.408136574071</v>
      </c>
      <c r="T1154">
        <v>1</v>
      </c>
      <c r="U1154">
        <v>2</v>
      </c>
      <c r="V1154" s="2">
        <v>0.5</v>
      </c>
      <c r="W1154">
        <v>0</v>
      </c>
      <c r="X1154" t="s">
        <v>44</v>
      </c>
      <c r="Y1154">
        <v>0</v>
      </c>
      <c r="Z1154" t="s">
        <v>30</v>
      </c>
      <c r="AA1154">
        <v>0</v>
      </c>
      <c r="AB1154" t="s">
        <v>31</v>
      </c>
      <c r="AC1154">
        <v>0</v>
      </c>
      <c r="AD1154" t="s">
        <v>31</v>
      </c>
      <c r="AE1154">
        <v>0</v>
      </c>
      <c r="AF1154" t="s">
        <v>31</v>
      </c>
      <c r="AG1154">
        <v>0</v>
      </c>
      <c r="AH1154" t="s">
        <v>31</v>
      </c>
      <c r="AI1154">
        <v>0</v>
      </c>
      <c r="AJ1154" t="s">
        <v>31</v>
      </c>
      <c r="AK1154">
        <v>0</v>
      </c>
      <c r="AL1154" t="s">
        <v>31</v>
      </c>
      <c r="AM1154">
        <v>0</v>
      </c>
      <c r="AN1154" t="s">
        <v>31</v>
      </c>
      <c r="AO1154">
        <v>0</v>
      </c>
      <c r="AP1154" t="s">
        <v>31</v>
      </c>
      <c r="AQ1154">
        <v>0</v>
      </c>
    </row>
    <row r="1155" spans="1:43" x14ac:dyDescent="0.2">
      <c r="A1155" t="s">
        <v>381</v>
      </c>
      <c r="B1155" s="3">
        <v>44270</v>
      </c>
      <c r="C1155">
        <v>35</v>
      </c>
      <c r="D1155" t="s">
        <v>384</v>
      </c>
      <c r="E1155" t="s">
        <v>180</v>
      </c>
      <c r="F1155" s="9" t="s">
        <v>181</v>
      </c>
      <c r="G1155" t="s">
        <v>26</v>
      </c>
      <c r="H1155" t="s">
        <v>132</v>
      </c>
      <c r="I1155" t="s">
        <v>133</v>
      </c>
      <c r="J1155" t="s">
        <v>43</v>
      </c>
      <c r="K1155" t="s">
        <v>44</v>
      </c>
      <c r="L1155" t="s">
        <v>29</v>
      </c>
      <c r="M1155" t="s">
        <v>30</v>
      </c>
      <c r="N1155" t="s">
        <v>132</v>
      </c>
      <c r="O1155" t="s">
        <v>133</v>
      </c>
      <c r="P1155" t="s">
        <v>43</v>
      </c>
      <c r="Q1155" t="s">
        <v>44</v>
      </c>
      <c r="R1155" s="1">
        <v>44270.381331018521</v>
      </c>
      <c r="S1155" s="1">
        <v>44270.381331018521</v>
      </c>
      <c r="T1155">
        <v>1</v>
      </c>
      <c r="U1155">
        <v>1</v>
      </c>
      <c r="V1155" s="2">
        <v>1</v>
      </c>
      <c r="W1155">
        <v>0</v>
      </c>
      <c r="X1155" t="s">
        <v>30</v>
      </c>
      <c r="Y1155">
        <v>0</v>
      </c>
      <c r="Z1155" t="s">
        <v>31</v>
      </c>
      <c r="AA1155">
        <v>0</v>
      </c>
      <c r="AB1155" t="s">
        <v>31</v>
      </c>
      <c r="AC1155">
        <v>0</v>
      </c>
      <c r="AD1155" t="s">
        <v>31</v>
      </c>
      <c r="AE1155">
        <v>0</v>
      </c>
      <c r="AF1155" t="s">
        <v>31</v>
      </c>
      <c r="AG1155">
        <v>0</v>
      </c>
      <c r="AH1155" t="s">
        <v>31</v>
      </c>
      <c r="AI1155">
        <v>0</v>
      </c>
      <c r="AJ1155" t="s">
        <v>31</v>
      </c>
      <c r="AK1155">
        <v>0</v>
      </c>
      <c r="AL1155" t="s">
        <v>31</v>
      </c>
      <c r="AM1155">
        <v>0</v>
      </c>
      <c r="AN1155" t="s">
        <v>31</v>
      </c>
      <c r="AO1155">
        <v>0</v>
      </c>
      <c r="AP1155" t="s">
        <v>31</v>
      </c>
      <c r="AQ1155">
        <v>0</v>
      </c>
    </row>
    <row r="1156" spans="1:43" x14ac:dyDescent="0.2">
      <c r="A1156" t="s">
        <v>381</v>
      </c>
      <c r="B1156" s="3">
        <v>44272</v>
      </c>
      <c r="C1156">
        <v>38</v>
      </c>
      <c r="D1156" t="s">
        <v>384</v>
      </c>
      <c r="E1156" t="s">
        <v>180</v>
      </c>
      <c r="F1156" s="9" t="s">
        <v>181</v>
      </c>
      <c r="G1156" t="s">
        <v>26</v>
      </c>
      <c r="H1156" t="s">
        <v>132</v>
      </c>
      <c r="I1156" t="s">
        <v>133</v>
      </c>
      <c r="J1156" t="s">
        <v>43</v>
      </c>
      <c r="K1156" t="s">
        <v>44</v>
      </c>
      <c r="L1156" t="s">
        <v>29</v>
      </c>
      <c r="M1156" t="s">
        <v>30</v>
      </c>
      <c r="N1156" t="s">
        <v>132</v>
      </c>
      <c r="O1156" t="s">
        <v>133</v>
      </c>
      <c r="P1156" t="s">
        <v>43</v>
      </c>
      <c r="Q1156" t="s">
        <v>44</v>
      </c>
      <c r="R1156" s="1">
        <v>44272.38921296296</v>
      </c>
      <c r="S1156" s="1">
        <v>44272.391145833331</v>
      </c>
      <c r="T1156">
        <v>0</v>
      </c>
      <c r="U1156">
        <v>5</v>
      </c>
      <c r="V1156" s="2">
        <v>0</v>
      </c>
      <c r="W1156">
        <v>0</v>
      </c>
      <c r="X1156" t="s">
        <v>44</v>
      </c>
      <c r="Y1156">
        <v>0</v>
      </c>
      <c r="Z1156" t="s">
        <v>44</v>
      </c>
      <c r="AA1156">
        <v>0</v>
      </c>
      <c r="AB1156" t="s">
        <v>45</v>
      </c>
      <c r="AC1156">
        <v>0</v>
      </c>
      <c r="AD1156" t="s">
        <v>61</v>
      </c>
      <c r="AE1156">
        <v>0</v>
      </c>
      <c r="AF1156" t="s">
        <v>47</v>
      </c>
      <c r="AG1156">
        <v>0</v>
      </c>
      <c r="AH1156" t="s">
        <v>31</v>
      </c>
      <c r="AI1156">
        <v>0</v>
      </c>
      <c r="AJ1156" t="s">
        <v>31</v>
      </c>
      <c r="AK1156">
        <v>0</v>
      </c>
      <c r="AL1156" t="s">
        <v>31</v>
      </c>
      <c r="AM1156">
        <v>0</v>
      </c>
      <c r="AN1156" t="s">
        <v>31</v>
      </c>
      <c r="AO1156">
        <v>0</v>
      </c>
      <c r="AP1156" t="s">
        <v>31</v>
      </c>
      <c r="AQ1156">
        <v>0</v>
      </c>
    </row>
    <row r="1157" spans="1:43" x14ac:dyDescent="0.2">
      <c r="A1157" t="s">
        <v>381</v>
      </c>
      <c r="B1157" s="3">
        <v>44273</v>
      </c>
      <c r="C1157">
        <v>39</v>
      </c>
      <c r="D1157" t="s">
        <v>385</v>
      </c>
      <c r="E1157" t="s">
        <v>180</v>
      </c>
      <c r="F1157" s="9" t="s">
        <v>181</v>
      </c>
      <c r="G1157" t="s">
        <v>26</v>
      </c>
      <c r="H1157" t="s">
        <v>132</v>
      </c>
      <c r="I1157" t="s">
        <v>133</v>
      </c>
      <c r="J1157" t="s">
        <v>43</v>
      </c>
      <c r="K1157" t="s">
        <v>44</v>
      </c>
      <c r="L1157" t="s">
        <v>29</v>
      </c>
      <c r="M1157" t="s">
        <v>30</v>
      </c>
      <c r="N1157" t="s">
        <v>64</v>
      </c>
      <c r="O1157" t="s">
        <v>65</v>
      </c>
      <c r="P1157" t="s">
        <v>29</v>
      </c>
      <c r="Q1157" t="s">
        <v>30</v>
      </c>
      <c r="R1157" s="1">
        <v>44273.423391203702</v>
      </c>
      <c r="S1157" s="1">
        <v>44273.424305555556</v>
      </c>
      <c r="T1157">
        <v>1</v>
      </c>
      <c r="U1157">
        <v>4</v>
      </c>
      <c r="V1157" s="2">
        <v>0.25</v>
      </c>
      <c r="W1157">
        <v>0</v>
      </c>
      <c r="X1157" t="s">
        <v>44</v>
      </c>
      <c r="Y1157">
        <v>0</v>
      </c>
      <c r="Z1157" t="s">
        <v>44</v>
      </c>
      <c r="AA1157">
        <v>0</v>
      </c>
      <c r="AB1157" t="s">
        <v>45</v>
      </c>
      <c r="AC1157">
        <v>0</v>
      </c>
      <c r="AD1157" t="s">
        <v>30</v>
      </c>
      <c r="AE1157">
        <v>0</v>
      </c>
      <c r="AF1157" t="s">
        <v>31</v>
      </c>
      <c r="AG1157">
        <v>0</v>
      </c>
      <c r="AH1157" t="s">
        <v>31</v>
      </c>
      <c r="AI1157">
        <v>0</v>
      </c>
      <c r="AJ1157" t="s">
        <v>31</v>
      </c>
      <c r="AK1157">
        <v>0</v>
      </c>
      <c r="AL1157" t="s">
        <v>31</v>
      </c>
      <c r="AM1157">
        <v>0</v>
      </c>
      <c r="AN1157" t="s">
        <v>31</v>
      </c>
      <c r="AO1157">
        <v>0</v>
      </c>
      <c r="AP1157" t="s">
        <v>31</v>
      </c>
      <c r="AQ1157">
        <v>0</v>
      </c>
    </row>
    <row r="1158" spans="1:43" x14ac:dyDescent="0.2">
      <c r="A1158" t="s">
        <v>381</v>
      </c>
      <c r="B1158" s="3">
        <v>44279</v>
      </c>
      <c r="C1158">
        <v>41</v>
      </c>
      <c r="D1158" t="s">
        <v>384</v>
      </c>
      <c r="E1158" t="s">
        <v>180</v>
      </c>
      <c r="F1158" s="9" t="s">
        <v>181</v>
      </c>
      <c r="G1158" t="s">
        <v>26</v>
      </c>
      <c r="H1158" t="s">
        <v>64</v>
      </c>
      <c r="I1158" t="s">
        <v>65</v>
      </c>
      <c r="J1158" t="s">
        <v>29</v>
      </c>
      <c r="K1158" t="s">
        <v>30</v>
      </c>
      <c r="L1158" t="s">
        <v>29</v>
      </c>
      <c r="M1158" t="s">
        <v>30</v>
      </c>
      <c r="N1158" t="s">
        <v>64</v>
      </c>
      <c r="O1158" t="s">
        <v>65</v>
      </c>
      <c r="P1158" t="s">
        <v>29</v>
      </c>
      <c r="Q1158" t="s">
        <v>30</v>
      </c>
      <c r="R1158" s="1">
        <v>44279.368136574078</v>
      </c>
      <c r="S1158" s="1">
        <v>44279.370682870373</v>
      </c>
      <c r="T1158">
        <v>0</v>
      </c>
      <c r="U1158">
        <v>5</v>
      </c>
      <c r="V1158" s="2">
        <v>0</v>
      </c>
      <c r="W1158">
        <v>0</v>
      </c>
      <c r="X1158" t="s">
        <v>44</v>
      </c>
      <c r="Y1158">
        <v>0</v>
      </c>
      <c r="Z1158" t="s">
        <v>44</v>
      </c>
      <c r="AA1158">
        <v>0</v>
      </c>
      <c r="AB1158" t="s">
        <v>45</v>
      </c>
      <c r="AC1158">
        <v>0</v>
      </c>
      <c r="AD1158" t="s">
        <v>61</v>
      </c>
      <c r="AE1158">
        <v>0</v>
      </c>
      <c r="AF1158" t="s">
        <v>47</v>
      </c>
      <c r="AG1158">
        <v>0</v>
      </c>
      <c r="AH1158" t="s">
        <v>31</v>
      </c>
      <c r="AI1158">
        <v>0</v>
      </c>
      <c r="AJ1158" t="s">
        <v>31</v>
      </c>
      <c r="AK1158">
        <v>0</v>
      </c>
      <c r="AL1158" t="s">
        <v>31</v>
      </c>
      <c r="AM1158">
        <v>0</v>
      </c>
      <c r="AN1158" t="s">
        <v>31</v>
      </c>
      <c r="AO1158">
        <v>0</v>
      </c>
      <c r="AP1158" t="s">
        <v>31</v>
      </c>
      <c r="AQ1158">
        <v>0</v>
      </c>
    </row>
    <row r="1159" spans="1:43" x14ac:dyDescent="0.2">
      <c r="A1159" t="s">
        <v>381</v>
      </c>
      <c r="B1159" s="3">
        <v>44281</v>
      </c>
      <c r="C1159">
        <v>42</v>
      </c>
      <c r="D1159" t="s">
        <v>384</v>
      </c>
      <c r="E1159" t="s">
        <v>180</v>
      </c>
      <c r="F1159" s="9" t="s">
        <v>181</v>
      </c>
      <c r="G1159" t="s">
        <v>26</v>
      </c>
      <c r="H1159" t="s">
        <v>64</v>
      </c>
      <c r="I1159" t="s">
        <v>65</v>
      </c>
      <c r="J1159" t="s">
        <v>29</v>
      </c>
      <c r="K1159" t="s">
        <v>30</v>
      </c>
      <c r="L1159" t="s">
        <v>29</v>
      </c>
      <c r="M1159" t="s">
        <v>30</v>
      </c>
      <c r="N1159" t="s">
        <v>185</v>
      </c>
      <c r="O1159" t="s">
        <v>186</v>
      </c>
      <c r="P1159" t="s">
        <v>29</v>
      </c>
      <c r="Q1159" t="s">
        <v>30</v>
      </c>
      <c r="R1159" s="1">
        <v>44281.410474537035</v>
      </c>
      <c r="S1159" s="1">
        <v>44281.411631944444</v>
      </c>
      <c r="T1159">
        <v>0</v>
      </c>
      <c r="U1159">
        <v>5</v>
      </c>
      <c r="V1159" s="2">
        <v>0</v>
      </c>
      <c r="W1159">
        <v>0</v>
      </c>
      <c r="X1159" t="s">
        <v>44</v>
      </c>
      <c r="Y1159">
        <v>0</v>
      </c>
      <c r="Z1159" t="s">
        <v>44</v>
      </c>
      <c r="AA1159">
        <v>0</v>
      </c>
      <c r="AB1159" t="s">
        <v>45</v>
      </c>
      <c r="AC1159">
        <v>0</v>
      </c>
      <c r="AD1159" t="s">
        <v>61</v>
      </c>
      <c r="AE1159">
        <v>0</v>
      </c>
      <c r="AF1159" t="s">
        <v>47</v>
      </c>
      <c r="AG1159">
        <v>0</v>
      </c>
      <c r="AH1159" t="s">
        <v>31</v>
      </c>
      <c r="AI1159">
        <v>0</v>
      </c>
      <c r="AJ1159" t="s">
        <v>31</v>
      </c>
      <c r="AK1159">
        <v>0</v>
      </c>
      <c r="AL1159" t="s">
        <v>31</v>
      </c>
      <c r="AM1159">
        <v>0</v>
      </c>
      <c r="AN1159" t="s">
        <v>31</v>
      </c>
      <c r="AO1159">
        <v>0</v>
      </c>
      <c r="AP1159" t="s">
        <v>31</v>
      </c>
      <c r="AQ1159">
        <v>0</v>
      </c>
    </row>
    <row r="1160" spans="1:43" x14ac:dyDescent="0.2">
      <c r="A1160" t="s">
        <v>381</v>
      </c>
      <c r="B1160" s="3">
        <v>44284</v>
      </c>
      <c r="C1160">
        <v>43</v>
      </c>
      <c r="D1160" t="s">
        <v>384</v>
      </c>
      <c r="E1160" t="s">
        <v>180</v>
      </c>
      <c r="F1160" s="9" t="s">
        <v>181</v>
      </c>
      <c r="G1160" t="s">
        <v>26</v>
      </c>
      <c r="H1160" t="s">
        <v>185</v>
      </c>
      <c r="I1160" t="s">
        <v>186</v>
      </c>
      <c r="J1160" t="s">
        <v>29</v>
      </c>
      <c r="K1160" t="s">
        <v>30</v>
      </c>
      <c r="L1160" t="s">
        <v>29</v>
      </c>
      <c r="M1160" t="s">
        <v>30</v>
      </c>
      <c r="N1160" t="s">
        <v>185</v>
      </c>
      <c r="O1160" t="s">
        <v>186</v>
      </c>
      <c r="P1160" t="s">
        <v>29</v>
      </c>
      <c r="Q1160" t="s">
        <v>30</v>
      </c>
      <c r="R1160" s="1">
        <v>44284.391608796293</v>
      </c>
      <c r="S1160" s="1">
        <v>44284.391608796293</v>
      </c>
      <c r="T1160">
        <v>1</v>
      </c>
      <c r="U1160">
        <v>1</v>
      </c>
      <c r="V1160" s="2">
        <v>1</v>
      </c>
      <c r="W1160">
        <v>0</v>
      </c>
      <c r="X1160" t="s">
        <v>30</v>
      </c>
      <c r="Y1160">
        <v>0</v>
      </c>
      <c r="Z1160" t="s">
        <v>31</v>
      </c>
      <c r="AA1160">
        <v>0</v>
      </c>
      <c r="AB1160" t="s">
        <v>31</v>
      </c>
      <c r="AC1160">
        <v>0</v>
      </c>
      <c r="AD1160" t="s">
        <v>31</v>
      </c>
      <c r="AE1160">
        <v>0</v>
      </c>
      <c r="AF1160" t="s">
        <v>31</v>
      </c>
      <c r="AG1160">
        <v>0</v>
      </c>
      <c r="AH1160" t="s">
        <v>31</v>
      </c>
      <c r="AI1160">
        <v>0</v>
      </c>
      <c r="AJ1160" t="s">
        <v>31</v>
      </c>
      <c r="AK1160">
        <v>0</v>
      </c>
      <c r="AL1160" t="s">
        <v>31</v>
      </c>
      <c r="AM1160">
        <v>0</v>
      </c>
      <c r="AN1160" t="s">
        <v>31</v>
      </c>
      <c r="AO1160">
        <v>0</v>
      </c>
      <c r="AP1160" t="s">
        <v>31</v>
      </c>
      <c r="AQ1160">
        <v>0</v>
      </c>
    </row>
    <row r="1161" spans="1:43" x14ac:dyDescent="0.2">
      <c r="A1161" t="s">
        <v>381</v>
      </c>
      <c r="B1161" s="3">
        <v>44286</v>
      </c>
      <c r="C1161">
        <v>46</v>
      </c>
      <c r="D1161" t="s">
        <v>384</v>
      </c>
      <c r="E1161" t="s">
        <v>180</v>
      </c>
      <c r="F1161" s="9" t="s">
        <v>181</v>
      </c>
      <c r="G1161" t="s">
        <v>26</v>
      </c>
      <c r="H1161" t="s">
        <v>185</v>
      </c>
      <c r="I1161" t="s">
        <v>186</v>
      </c>
      <c r="J1161" t="s">
        <v>29</v>
      </c>
      <c r="K1161" t="s">
        <v>30</v>
      </c>
      <c r="L1161" t="s">
        <v>29</v>
      </c>
      <c r="M1161" t="s">
        <v>30</v>
      </c>
      <c r="N1161" t="s">
        <v>185</v>
      </c>
      <c r="O1161" t="s">
        <v>186</v>
      </c>
      <c r="P1161" t="s">
        <v>29</v>
      </c>
      <c r="Q1161" t="s">
        <v>30</v>
      </c>
      <c r="R1161" s="1">
        <v>44286.407233796293</v>
      </c>
      <c r="S1161" s="1">
        <v>44286.409039351849</v>
      </c>
      <c r="T1161">
        <v>0</v>
      </c>
      <c r="U1161">
        <v>5</v>
      </c>
      <c r="V1161" s="2">
        <v>0</v>
      </c>
      <c r="W1161">
        <v>0</v>
      </c>
      <c r="X1161" t="s">
        <v>44</v>
      </c>
      <c r="Y1161">
        <v>0</v>
      </c>
      <c r="Z1161" t="s">
        <v>44</v>
      </c>
      <c r="AA1161">
        <v>0</v>
      </c>
      <c r="AB1161" t="s">
        <v>45</v>
      </c>
      <c r="AC1161">
        <v>0</v>
      </c>
      <c r="AD1161" t="s">
        <v>61</v>
      </c>
      <c r="AE1161">
        <v>0</v>
      </c>
      <c r="AF1161" t="s">
        <v>47</v>
      </c>
      <c r="AG1161">
        <v>0</v>
      </c>
      <c r="AH1161" t="s">
        <v>31</v>
      </c>
      <c r="AI1161">
        <v>0</v>
      </c>
      <c r="AJ1161" t="s">
        <v>31</v>
      </c>
      <c r="AK1161">
        <v>0</v>
      </c>
      <c r="AL1161" t="s">
        <v>31</v>
      </c>
      <c r="AM1161">
        <v>0</v>
      </c>
      <c r="AN1161" t="s">
        <v>31</v>
      </c>
      <c r="AO1161">
        <v>0</v>
      </c>
      <c r="AP1161" t="s">
        <v>31</v>
      </c>
      <c r="AQ1161">
        <v>0</v>
      </c>
    </row>
    <row r="1162" spans="1:43" x14ac:dyDescent="0.2">
      <c r="A1162" t="s">
        <v>381</v>
      </c>
      <c r="B1162" s="3">
        <v>44287</v>
      </c>
      <c r="C1162">
        <v>47</v>
      </c>
      <c r="D1162" t="s">
        <v>385</v>
      </c>
      <c r="E1162" t="s">
        <v>180</v>
      </c>
      <c r="F1162" s="9" t="s">
        <v>181</v>
      </c>
      <c r="G1162" t="s">
        <v>26</v>
      </c>
      <c r="H1162" t="s">
        <v>185</v>
      </c>
      <c r="I1162" t="s">
        <v>186</v>
      </c>
      <c r="J1162" t="s">
        <v>29</v>
      </c>
      <c r="K1162" t="s">
        <v>30</v>
      </c>
      <c r="L1162" t="s">
        <v>29</v>
      </c>
      <c r="M1162" t="s">
        <v>30</v>
      </c>
      <c r="N1162" t="s">
        <v>185</v>
      </c>
      <c r="O1162" t="s">
        <v>186</v>
      </c>
      <c r="P1162" t="s">
        <v>29</v>
      </c>
      <c r="Q1162" t="s">
        <v>30</v>
      </c>
      <c r="R1162" s="1">
        <v>44287.459317129629</v>
      </c>
      <c r="S1162" s="1">
        <v>44287.459548611114</v>
      </c>
      <c r="T1162">
        <v>2</v>
      </c>
      <c r="U1162">
        <v>2</v>
      </c>
      <c r="V1162" s="2">
        <v>1</v>
      </c>
      <c r="W1162">
        <v>0</v>
      </c>
      <c r="X1162" t="s">
        <v>30</v>
      </c>
      <c r="Y1162">
        <v>0</v>
      </c>
      <c r="Z1162" t="s">
        <v>30</v>
      </c>
      <c r="AA1162">
        <v>0</v>
      </c>
      <c r="AB1162" t="s">
        <v>31</v>
      </c>
      <c r="AC1162">
        <v>0</v>
      </c>
      <c r="AD1162" t="s">
        <v>31</v>
      </c>
      <c r="AE1162">
        <v>0</v>
      </c>
      <c r="AF1162" t="s">
        <v>31</v>
      </c>
      <c r="AG1162">
        <v>0</v>
      </c>
      <c r="AH1162" t="s">
        <v>31</v>
      </c>
      <c r="AI1162">
        <v>0</v>
      </c>
      <c r="AJ1162" t="s">
        <v>31</v>
      </c>
      <c r="AK1162">
        <v>0</v>
      </c>
      <c r="AL1162" t="s">
        <v>31</v>
      </c>
      <c r="AM1162">
        <v>0</v>
      </c>
      <c r="AN1162" t="s">
        <v>31</v>
      </c>
      <c r="AO1162">
        <v>0</v>
      </c>
      <c r="AP1162" t="s">
        <v>31</v>
      </c>
      <c r="AQ1162">
        <v>0</v>
      </c>
    </row>
    <row r="1163" spans="1:43" x14ac:dyDescent="0.2">
      <c r="A1163" t="s">
        <v>381</v>
      </c>
      <c r="B1163" s="3">
        <v>44287</v>
      </c>
      <c r="C1163">
        <v>48</v>
      </c>
      <c r="D1163" t="s">
        <v>385</v>
      </c>
      <c r="E1163" t="s">
        <v>180</v>
      </c>
      <c r="F1163" s="9" t="s">
        <v>181</v>
      </c>
      <c r="G1163" t="s">
        <v>26</v>
      </c>
      <c r="H1163" t="s">
        <v>185</v>
      </c>
      <c r="I1163" t="s">
        <v>186</v>
      </c>
      <c r="J1163" t="s">
        <v>29</v>
      </c>
      <c r="K1163" t="s">
        <v>30</v>
      </c>
      <c r="L1163" t="s">
        <v>29</v>
      </c>
      <c r="M1163" t="s">
        <v>30</v>
      </c>
      <c r="N1163" t="s">
        <v>185</v>
      </c>
      <c r="O1163" t="s">
        <v>186</v>
      </c>
      <c r="P1163" t="s">
        <v>29</v>
      </c>
      <c r="Q1163" t="s">
        <v>30</v>
      </c>
      <c r="R1163" s="1">
        <v>44287.652442129627</v>
      </c>
      <c r="S1163" s="1">
        <v>44287.653043981481</v>
      </c>
      <c r="T1163">
        <v>0</v>
      </c>
      <c r="U1163">
        <v>3</v>
      </c>
      <c r="V1163" s="2">
        <v>0</v>
      </c>
      <c r="W1163">
        <v>0</v>
      </c>
      <c r="X1163" t="s">
        <v>44</v>
      </c>
      <c r="Y1163">
        <v>0</v>
      </c>
      <c r="Z1163" t="s">
        <v>44</v>
      </c>
      <c r="AA1163">
        <v>0</v>
      </c>
      <c r="AB1163" t="s">
        <v>45</v>
      </c>
      <c r="AC1163">
        <v>0</v>
      </c>
      <c r="AD1163" t="s">
        <v>31</v>
      </c>
      <c r="AE1163">
        <v>0</v>
      </c>
      <c r="AF1163" t="s">
        <v>31</v>
      </c>
      <c r="AG1163">
        <v>0</v>
      </c>
      <c r="AH1163" t="s">
        <v>31</v>
      </c>
      <c r="AI1163">
        <v>0</v>
      </c>
      <c r="AJ1163" t="s">
        <v>31</v>
      </c>
      <c r="AK1163">
        <v>0</v>
      </c>
      <c r="AL1163" t="s">
        <v>31</v>
      </c>
      <c r="AM1163">
        <v>0</v>
      </c>
      <c r="AN1163" t="s">
        <v>31</v>
      </c>
      <c r="AO1163">
        <v>0</v>
      </c>
      <c r="AP1163" t="s">
        <v>31</v>
      </c>
      <c r="AQ1163">
        <v>0</v>
      </c>
    </row>
    <row r="1164" spans="1:43" x14ac:dyDescent="0.2">
      <c r="A1164" t="s">
        <v>381</v>
      </c>
      <c r="B1164" s="3">
        <v>44288</v>
      </c>
      <c r="C1164">
        <v>49</v>
      </c>
      <c r="D1164" t="s">
        <v>384</v>
      </c>
      <c r="E1164" t="s">
        <v>180</v>
      </c>
      <c r="F1164" s="9" t="s">
        <v>181</v>
      </c>
      <c r="G1164" t="s">
        <v>26</v>
      </c>
      <c r="H1164" t="s">
        <v>185</v>
      </c>
      <c r="I1164" t="s">
        <v>186</v>
      </c>
      <c r="J1164" t="s">
        <v>29</v>
      </c>
      <c r="K1164" t="s">
        <v>30</v>
      </c>
      <c r="L1164" t="s">
        <v>29</v>
      </c>
      <c r="M1164" t="s">
        <v>30</v>
      </c>
      <c r="N1164" t="s">
        <v>185</v>
      </c>
      <c r="O1164" t="s">
        <v>186</v>
      </c>
      <c r="P1164" t="s">
        <v>29</v>
      </c>
      <c r="Q1164" t="s">
        <v>30</v>
      </c>
      <c r="R1164" s="1">
        <v>44288.369317129633</v>
      </c>
      <c r="S1164" s="1">
        <v>44288.371018518519</v>
      </c>
      <c r="T1164">
        <v>1</v>
      </c>
      <c r="U1164">
        <v>6</v>
      </c>
      <c r="V1164" s="2">
        <v>0.16</v>
      </c>
      <c r="W1164">
        <v>0</v>
      </c>
      <c r="X1164" t="s">
        <v>44</v>
      </c>
      <c r="Y1164">
        <v>0</v>
      </c>
      <c r="Z1164" t="s">
        <v>44</v>
      </c>
      <c r="AA1164">
        <v>0</v>
      </c>
      <c r="AB1164" t="s">
        <v>45</v>
      </c>
      <c r="AC1164">
        <v>0</v>
      </c>
      <c r="AD1164" t="s">
        <v>61</v>
      </c>
      <c r="AE1164">
        <v>0</v>
      </c>
      <c r="AF1164" t="s">
        <v>47</v>
      </c>
      <c r="AG1164">
        <v>0</v>
      </c>
      <c r="AH1164" t="s">
        <v>30</v>
      </c>
      <c r="AI1164">
        <v>0</v>
      </c>
      <c r="AJ1164" t="s">
        <v>31</v>
      </c>
      <c r="AK1164">
        <v>0</v>
      </c>
      <c r="AL1164" t="s">
        <v>31</v>
      </c>
      <c r="AM1164">
        <v>0</v>
      </c>
      <c r="AN1164" t="s">
        <v>31</v>
      </c>
      <c r="AO1164">
        <v>0</v>
      </c>
      <c r="AP1164" t="s">
        <v>31</v>
      </c>
      <c r="AQ1164">
        <v>0</v>
      </c>
    </row>
    <row r="1165" spans="1:43" x14ac:dyDescent="0.2">
      <c r="A1165" t="s">
        <v>381</v>
      </c>
      <c r="B1165" s="3">
        <v>44291</v>
      </c>
      <c r="C1165">
        <v>50</v>
      </c>
      <c r="D1165" t="s">
        <v>384</v>
      </c>
      <c r="E1165" t="s">
        <v>180</v>
      </c>
      <c r="F1165" s="9" t="s">
        <v>181</v>
      </c>
      <c r="G1165" t="s">
        <v>26</v>
      </c>
      <c r="H1165" t="s">
        <v>185</v>
      </c>
      <c r="I1165" t="s">
        <v>186</v>
      </c>
      <c r="J1165" t="s">
        <v>29</v>
      </c>
      <c r="K1165" t="s">
        <v>30</v>
      </c>
      <c r="L1165" t="s">
        <v>29</v>
      </c>
      <c r="M1165" t="s">
        <v>30</v>
      </c>
      <c r="N1165" t="s">
        <v>185</v>
      </c>
      <c r="O1165" t="s">
        <v>186</v>
      </c>
      <c r="P1165" t="s">
        <v>29</v>
      </c>
      <c r="Q1165" t="s">
        <v>30</v>
      </c>
      <c r="R1165" s="1">
        <v>44291.39166666667</v>
      </c>
      <c r="S1165" s="1">
        <v>44291.39167824074</v>
      </c>
      <c r="T1165">
        <v>1</v>
      </c>
      <c r="U1165">
        <v>2</v>
      </c>
      <c r="V1165" s="2">
        <v>0.5</v>
      </c>
      <c r="W1165">
        <v>0</v>
      </c>
      <c r="X1165" t="s">
        <v>44</v>
      </c>
      <c r="Y1165">
        <v>0</v>
      </c>
      <c r="Z1165" t="s">
        <v>30</v>
      </c>
      <c r="AA1165">
        <v>0</v>
      </c>
      <c r="AB1165" t="s">
        <v>31</v>
      </c>
      <c r="AC1165">
        <v>0</v>
      </c>
      <c r="AD1165" t="s">
        <v>31</v>
      </c>
      <c r="AE1165">
        <v>0</v>
      </c>
      <c r="AF1165" t="s">
        <v>31</v>
      </c>
      <c r="AG1165">
        <v>0</v>
      </c>
      <c r="AH1165" t="s">
        <v>31</v>
      </c>
      <c r="AI1165">
        <v>0</v>
      </c>
      <c r="AJ1165" t="s">
        <v>31</v>
      </c>
      <c r="AK1165">
        <v>0</v>
      </c>
      <c r="AL1165" t="s">
        <v>31</v>
      </c>
      <c r="AM1165">
        <v>0</v>
      </c>
      <c r="AN1165" t="s">
        <v>31</v>
      </c>
      <c r="AO1165">
        <v>0</v>
      </c>
      <c r="AP1165" t="s">
        <v>31</v>
      </c>
      <c r="AQ1165">
        <v>0</v>
      </c>
    </row>
    <row r="1166" spans="1:43" x14ac:dyDescent="0.2">
      <c r="A1166" t="s">
        <v>381</v>
      </c>
      <c r="B1166" s="3">
        <v>44292</v>
      </c>
      <c r="C1166">
        <v>51</v>
      </c>
      <c r="D1166" t="s">
        <v>385</v>
      </c>
      <c r="E1166" t="s">
        <v>180</v>
      </c>
      <c r="F1166" s="9" t="s">
        <v>181</v>
      </c>
      <c r="G1166" t="s">
        <v>26</v>
      </c>
      <c r="H1166" t="s">
        <v>185</v>
      </c>
      <c r="I1166" t="s">
        <v>186</v>
      </c>
      <c r="J1166" t="s">
        <v>29</v>
      </c>
      <c r="K1166" t="s">
        <v>30</v>
      </c>
      <c r="L1166" t="s">
        <v>29</v>
      </c>
      <c r="M1166" t="s">
        <v>30</v>
      </c>
      <c r="N1166" t="s">
        <v>185</v>
      </c>
      <c r="O1166" t="s">
        <v>186</v>
      </c>
      <c r="P1166" t="s">
        <v>29</v>
      </c>
      <c r="Q1166" t="s">
        <v>30</v>
      </c>
      <c r="R1166" s="1">
        <v>44292.481620370374</v>
      </c>
      <c r="S1166" s="1">
        <v>44292.482071759259</v>
      </c>
      <c r="T1166">
        <v>3</v>
      </c>
      <c r="U1166">
        <v>3</v>
      </c>
      <c r="V1166" s="2">
        <v>1</v>
      </c>
      <c r="W1166">
        <v>0</v>
      </c>
      <c r="X1166" t="s">
        <v>30</v>
      </c>
      <c r="Y1166">
        <v>0</v>
      </c>
      <c r="Z1166" t="s">
        <v>30</v>
      </c>
      <c r="AA1166">
        <v>0</v>
      </c>
      <c r="AB1166" t="s">
        <v>30</v>
      </c>
      <c r="AC1166">
        <v>0</v>
      </c>
      <c r="AD1166" t="s">
        <v>31</v>
      </c>
      <c r="AE1166">
        <v>0</v>
      </c>
      <c r="AF1166" t="s">
        <v>31</v>
      </c>
      <c r="AG1166">
        <v>0</v>
      </c>
      <c r="AH1166" t="s">
        <v>31</v>
      </c>
      <c r="AI1166">
        <v>0</v>
      </c>
      <c r="AJ1166" t="s">
        <v>31</v>
      </c>
      <c r="AK1166">
        <v>0</v>
      </c>
      <c r="AL1166" t="s">
        <v>31</v>
      </c>
      <c r="AM1166">
        <v>0</v>
      </c>
      <c r="AN1166" t="s">
        <v>31</v>
      </c>
      <c r="AO1166">
        <v>0</v>
      </c>
      <c r="AP1166" t="s">
        <v>31</v>
      </c>
      <c r="AQ1166">
        <v>0</v>
      </c>
    </row>
    <row r="1167" spans="1:43" x14ac:dyDescent="0.2">
      <c r="A1167" t="s">
        <v>381</v>
      </c>
      <c r="B1167" s="3">
        <v>44292</v>
      </c>
      <c r="C1167">
        <v>52</v>
      </c>
      <c r="D1167" t="s">
        <v>386</v>
      </c>
      <c r="E1167" t="s">
        <v>180</v>
      </c>
      <c r="F1167" s="9" t="s">
        <v>181</v>
      </c>
      <c r="G1167" t="s">
        <v>26</v>
      </c>
      <c r="H1167" t="s">
        <v>185</v>
      </c>
      <c r="I1167" t="s">
        <v>186</v>
      </c>
      <c r="J1167" t="s">
        <v>29</v>
      </c>
      <c r="K1167" t="s">
        <v>30</v>
      </c>
      <c r="L1167" t="s">
        <v>29</v>
      </c>
      <c r="M1167" t="s">
        <v>30</v>
      </c>
      <c r="N1167" t="s">
        <v>64</v>
      </c>
      <c r="O1167" t="s">
        <v>65</v>
      </c>
      <c r="P1167" t="s">
        <v>43</v>
      </c>
      <c r="Q1167" t="s">
        <v>44</v>
      </c>
      <c r="R1167" s="1">
        <v>44292.563680555555</v>
      </c>
      <c r="S1167" s="1">
        <v>44292.563680555555</v>
      </c>
      <c r="T1167">
        <v>1</v>
      </c>
      <c r="U1167">
        <v>1</v>
      </c>
      <c r="V1167" s="2">
        <v>1</v>
      </c>
      <c r="W1167">
        <v>0</v>
      </c>
      <c r="X1167" t="s">
        <v>30</v>
      </c>
      <c r="Y1167">
        <v>0</v>
      </c>
      <c r="Z1167" t="s">
        <v>31</v>
      </c>
      <c r="AA1167">
        <v>0</v>
      </c>
      <c r="AB1167" t="s">
        <v>31</v>
      </c>
      <c r="AC1167">
        <v>0</v>
      </c>
      <c r="AD1167" t="s">
        <v>31</v>
      </c>
      <c r="AE1167">
        <v>0</v>
      </c>
      <c r="AF1167" t="s">
        <v>31</v>
      </c>
      <c r="AG1167">
        <v>0</v>
      </c>
      <c r="AH1167" t="s">
        <v>31</v>
      </c>
      <c r="AI1167">
        <v>0</v>
      </c>
      <c r="AJ1167" t="s">
        <v>31</v>
      </c>
      <c r="AK1167">
        <v>0</v>
      </c>
      <c r="AL1167" t="s">
        <v>31</v>
      </c>
      <c r="AM1167">
        <v>0</v>
      </c>
      <c r="AN1167" t="s">
        <v>31</v>
      </c>
      <c r="AO1167">
        <v>0</v>
      </c>
      <c r="AP1167" t="s">
        <v>31</v>
      </c>
      <c r="AQ1167">
        <v>0</v>
      </c>
    </row>
    <row r="1168" spans="1:43" x14ac:dyDescent="0.2">
      <c r="A1168" t="s">
        <v>381</v>
      </c>
      <c r="B1168" s="3">
        <v>44293</v>
      </c>
      <c r="C1168">
        <v>53</v>
      </c>
      <c r="D1168" t="s">
        <v>384</v>
      </c>
      <c r="E1168" t="s">
        <v>180</v>
      </c>
      <c r="F1168" s="9" t="s">
        <v>181</v>
      </c>
      <c r="G1168" t="s">
        <v>26</v>
      </c>
      <c r="H1168" t="s">
        <v>64</v>
      </c>
      <c r="I1168" t="s">
        <v>65</v>
      </c>
      <c r="J1168" t="s">
        <v>43</v>
      </c>
      <c r="K1168" t="s">
        <v>44</v>
      </c>
      <c r="L1168" t="s">
        <v>29</v>
      </c>
      <c r="M1168" t="s">
        <v>30</v>
      </c>
      <c r="N1168" t="s">
        <v>64</v>
      </c>
      <c r="O1168" t="s">
        <v>65</v>
      </c>
      <c r="P1168" t="s">
        <v>43</v>
      </c>
      <c r="Q1168" t="s">
        <v>44</v>
      </c>
      <c r="R1168" s="1">
        <v>44293.382256944446</v>
      </c>
      <c r="S1168" s="1">
        <v>44293.382256944446</v>
      </c>
      <c r="T1168">
        <v>1</v>
      </c>
      <c r="U1168">
        <v>1</v>
      </c>
      <c r="V1168" s="2">
        <v>1</v>
      </c>
      <c r="W1168">
        <v>0</v>
      </c>
      <c r="X1168" t="s">
        <v>30</v>
      </c>
      <c r="Y1168">
        <v>0</v>
      </c>
      <c r="Z1168" t="s">
        <v>31</v>
      </c>
      <c r="AA1168">
        <v>0</v>
      </c>
      <c r="AB1168" t="s">
        <v>31</v>
      </c>
      <c r="AC1168">
        <v>0</v>
      </c>
      <c r="AD1168" t="s">
        <v>31</v>
      </c>
      <c r="AE1168">
        <v>0</v>
      </c>
      <c r="AF1168" t="s">
        <v>31</v>
      </c>
      <c r="AG1168">
        <v>0</v>
      </c>
      <c r="AH1168" t="s">
        <v>31</v>
      </c>
      <c r="AI1168">
        <v>0</v>
      </c>
      <c r="AJ1168" t="s">
        <v>31</v>
      </c>
      <c r="AK1168">
        <v>0</v>
      </c>
      <c r="AL1168" t="s">
        <v>31</v>
      </c>
      <c r="AM1168">
        <v>0</v>
      </c>
      <c r="AN1168" t="s">
        <v>31</v>
      </c>
      <c r="AO1168">
        <v>0</v>
      </c>
      <c r="AP1168" t="s">
        <v>31</v>
      </c>
      <c r="AQ1168">
        <v>0</v>
      </c>
    </row>
    <row r="1169" spans="1:43" x14ac:dyDescent="0.2">
      <c r="A1169" t="s">
        <v>381</v>
      </c>
      <c r="B1169" s="3">
        <v>44294</v>
      </c>
      <c r="C1169">
        <v>55</v>
      </c>
      <c r="D1169" t="s">
        <v>385</v>
      </c>
      <c r="E1169" t="s">
        <v>180</v>
      </c>
      <c r="F1169" s="9" t="s">
        <v>181</v>
      </c>
      <c r="G1169" t="s">
        <v>26</v>
      </c>
      <c r="H1169" t="s">
        <v>64</v>
      </c>
      <c r="I1169" t="s">
        <v>65</v>
      </c>
      <c r="J1169" t="s">
        <v>43</v>
      </c>
      <c r="K1169" t="s">
        <v>44</v>
      </c>
      <c r="L1169" t="s">
        <v>29</v>
      </c>
      <c r="M1169" t="s">
        <v>30</v>
      </c>
      <c r="N1169" t="s">
        <v>132</v>
      </c>
      <c r="O1169" t="s">
        <v>133</v>
      </c>
      <c r="P1169" t="s">
        <v>43</v>
      </c>
      <c r="Q1169" t="s">
        <v>44</v>
      </c>
      <c r="R1169" s="1">
        <v>44294.595358796294</v>
      </c>
      <c r="S1169" s="1">
        <v>44294.595393518517</v>
      </c>
      <c r="T1169">
        <v>4</v>
      </c>
      <c r="U1169">
        <v>4</v>
      </c>
      <c r="V1169" s="2">
        <v>1</v>
      </c>
      <c r="W1169">
        <v>0</v>
      </c>
      <c r="X1169" t="s">
        <v>30</v>
      </c>
      <c r="Y1169">
        <v>0</v>
      </c>
      <c r="Z1169" t="s">
        <v>30</v>
      </c>
      <c r="AA1169">
        <v>0</v>
      </c>
      <c r="AB1169" t="s">
        <v>30</v>
      </c>
      <c r="AC1169">
        <v>0</v>
      </c>
      <c r="AD1169" t="s">
        <v>30</v>
      </c>
      <c r="AE1169">
        <v>0</v>
      </c>
      <c r="AF1169" t="s">
        <v>31</v>
      </c>
      <c r="AG1169">
        <v>0</v>
      </c>
      <c r="AH1169" t="s">
        <v>31</v>
      </c>
      <c r="AI1169">
        <v>0</v>
      </c>
      <c r="AJ1169" t="s">
        <v>31</v>
      </c>
      <c r="AK1169">
        <v>0</v>
      </c>
      <c r="AL1169" t="s">
        <v>31</v>
      </c>
      <c r="AM1169">
        <v>0</v>
      </c>
      <c r="AN1169" t="s">
        <v>31</v>
      </c>
      <c r="AO1169">
        <v>0</v>
      </c>
      <c r="AP1169" t="s">
        <v>31</v>
      </c>
      <c r="AQ1169">
        <v>0</v>
      </c>
    </row>
    <row r="1170" spans="1:43" x14ac:dyDescent="0.2">
      <c r="A1170" t="s">
        <v>381</v>
      </c>
      <c r="B1170" s="3">
        <v>44295</v>
      </c>
      <c r="C1170">
        <v>56</v>
      </c>
      <c r="D1170" t="s">
        <v>384</v>
      </c>
      <c r="E1170" t="s">
        <v>180</v>
      </c>
      <c r="F1170" s="9" t="s">
        <v>181</v>
      </c>
      <c r="G1170" t="s">
        <v>26</v>
      </c>
      <c r="H1170" t="s">
        <v>132</v>
      </c>
      <c r="I1170" t="s">
        <v>133</v>
      </c>
      <c r="J1170" t="s">
        <v>43</v>
      </c>
      <c r="K1170" t="s">
        <v>44</v>
      </c>
      <c r="L1170" t="s">
        <v>29</v>
      </c>
      <c r="M1170" t="s">
        <v>30</v>
      </c>
      <c r="N1170" t="s">
        <v>132</v>
      </c>
      <c r="O1170" t="s">
        <v>133</v>
      </c>
      <c r="P1170" t="s">
        <v>43</v>
      </c>
      <c r="Q1170" t="s">
        <v>44</v>
      </c>
      <c r="R1170" s="1">
        <v>44295.392604166664</v>
      </c>
      <c r="S1170" s="1">
        <v>44295.393796296295</v>
      </c>
      <c r="T1170">
        <v>0</v>
      </c>
      <c r="U1170">
        <v>5</v>
      </c>
      <c r="V1170" s="2">
        <v>0</v>
      </c>
      <c r="W1170">
        <v>0</v>
      </c>
      <c r="X1170" t="s">
        <v>44</v>
      </c>
      <c r="Y1170">
        <v>0</v>
      </c>
      <c r="Z1170" t="s">
        <v>44</v>
      </c>
      <c r="AA1170">
        <v>0</v>
      </c>
      <c r="AB1170" t="s">
        <v>45</v>
      </c>
      <c r="AC1170">
        <v>0</v>
      </c>
      <c r="AD1170" t="s">
        <v>61</v>
      </c>
      <c r="AE1170">
        <v>0</v>
      </c>
      <c r="AF1170" t="s">
        <v>47</v>
      </c>
      <c r="AG1170">
        <v>0</v>
      </c>
      <c r="AH1170" t="s">
        <v>31</v>
      </c>
      <c r="AI1170">
        <v>0</v>
      </c>
      <c r="AJ1170" t="s">
        <v>31</v>
      </c>
      <c r="AK1170">
        <v>0</v>
      </c>
      <c r="AL1170" t="s">
        <v>31</v>
      </c>
      <c r="AM1170">
        <v>0</v>
      </c>
      <c r="AN1170" t="s">
        <v>31</v>
      </c>
      <c r="AO1170">
        <v>0</v>
      </c>
      <c r="AP1170" t="s">
        <v>31</v>
      </c>
      <c r="AQ1170">
        <v>0</v>
      </c>
    </row>
    <row r="1171" spans="1:43" x14ac:dyDescent="0.2">
      <c r="A1171" t="s">
        <v>381</v>
      </c>
      <c r="B1171" s="3">
        <v>44298</v>
      </c>
      <c r="C1171">
        <v>57</v>
      </c>
      <c r="D1171" t="s">
        <v>387</v>
      </c>
      <c r="E1171" t="s">
        <v>180</v>
      </c>
      <c r="F1171" s="9" t="s">
        <v>181</v>
      </c>
      <c r="G1171" t="s">
        <v>26</v>
      </c>
      <c r="H1171" t="s">
        <v>132</v>
      </c>
      <c r="I1171" t="s">
        <v>133</v>
      </c>
      <c r="J1171" t="s">
        <v>43</v>
      </c>
      <c r="K1171" t="s">
        <v>44</v>
      </c>
      <c r="L1171" t="s">
        <v>29</v>
      </c>
      <c r="M1171" t="s">
        <v>30</v>
      </c>
      <c r="N1171" t="s">
        <v>64</v>
      </c>
      <c r="O1171" t="s">
        <v>65</v>
      </c>
      <c r="P1171" t="s">
        <v>29</v>
      </c>
      <c r="Q1171" t="s">
        <v>30</v>
      </c>
      <c r="R1171" s="1">
        <v>44298.644953703704</v>
      </c>
      <c r="S1171" s="1">
        <v>44298.645810185182</v>
      </c>
      <c r="T1171">
        <v>1</v>
      </c>
      <c r="U1171">
        <v>5</v>
      </c>
      <c r="V1171" s="2">
        <v>0.2</v>
      </c>
      <c r="W1171">
        <v>0</v>
      </c>
      <c r="X1171" t="s">
        <v>44</v>
      </c>
      <c r="Y1171">
        <v>0</v>
      </c>
      <c r="Z1171" t="s">
        <v>44</v>
      </c>
      <c r="AA1171">
        <v>0</v>
      </c>
      <c r="AB1171" t="s">
        <v>45</v>
      </c>
      <c r="AC1171">
        <v>0</v>
      </c>
      <c r="AD1171" t="s">
        <v>61</v>
      </c>
      <c r="AE1171">
        <v>0</v>
      </c>
      <c r="AF1171" t="s">
        <v>30</v>
      </c>
      <c r="AG1171">
        <v>0</v>
      </c>
      <c r="AH1171" t="s">
        <v>31</v>
      </c>
      <c r="AI1171">
        <v>0</v>
      </c>
      <c r="AJ1171" t="s">
        <v>31</v>
      </c>
      <c r="AK1171">
        <v>0</v>
      </c>
      <c r="AL1171" t="s">
        <v>31</v>
      </c>
      <c r="AM1171">
        <v>0</v>
      </c>
      <c r="AN1171" t="s">
        <v>31</v>
      </c>
      <c r="AO1171">
        <v>0</v>
      </c>
      <c r="AP1171" t="s">
        <v>31</v>
      </c>
      <c r="AQ1171">
        <v>0</v>
      </c>
    </row>
    <row r="1172" spans="1:43" x14ac:dyDescent="0.2">
      <c r="A1172" t="s">
        <v>381</v>
      </c>
      <c r="B1172" s="3">
        <v>44299</v>
      </c>
      <c r="C1172">
        <v>58</v>
      </c>
      <c r="D1172" t="s">
        <v>385</v>
      </c>
      <c r="E1172" t="s">
        <v>180</v>
      </c>
      <c r="F1172" s="9" t="s">
        <v>181</v>
      </c>
      <c r="G1172" t="s">
        <v>26</v>
      </c>
      <c r="H1172" t="s">
        <v>64</v>
      </c>
      <c r="I1172" t="s">
        <v>65</v>
      </c>
      <c r="J1172" t="s">
        <v>29</v>
      </c>
      <c r="K1172" t="s">
        <v>30</v>
      </c>
      <c r="L1172" t="s">
        <v>29</v>
      </c>
      <c r="M1172" t="s">
        <v>30</v>
      </c>
      <c r="N1172" t="s">
        <v>64</v>
      </c>
      <c r="O1172" t="s">
        <v>65</v>
      </c>
      <c r="P1172" t="s">
        <v>29</v>
      </c>
      <c r="Q1172" t="s">
        <v>30</v>
      </c>
      <c r="R1172" s="1">
        <v>44299.458275462966</v>
      </c>
      <c r="S1172" s="1">
        <v>44299.458275462966</v>
      </c>
      <c r="T1172">
        <v>1</v>
      </c>
      <c r="U1172">
        <v>1</v>
      </c>
      <c r="V1172" s="2">
        <v>1</v>
      </c>
      <c r="W1172">
        <v>0</v>
      </c>
      <c r="X1172" t="s">
        <v>30</v>
      </c>
      <c r="Y1172">
        <v>0</v>
      </c>
      <c r="Z1172" t="s">
        <v>31</v>
      </c>
      <c r="AA1172">
        <v>0</v>
      </c>
      <c r="AB1172" t="s">
        <v>31</v>
      </c>
      <c r="AC1172">
        <v>0</v>
      </c>
      <c r="AD1172" t="s">
        <v>31</v>
      </c>
      <c r="AE1172">
        <v>0</v>
      </c>
      <c r="AF1172" t="s">
        <v>31</v>
      </c>
      <c r="AG1172">
        <v>0</v>
      </c>
      <c r="AH1172" t="s">
        <v>31</v>
      </c>
      <c r="AI1172">
        <v>0</v>
      </c>
      <c r="AJ1172" t="s">
        <v>31</v>
      </c>
      <c r="AK1172">
        <v>0</v>
      </c>
      <c r="AL1172" t="s">
        <v>31</v>
      </c>
      <c r="AM1172">
        <v>0</v>
      </c>
      <c r="AN1172" t="s">
        <v>31</v>
      </c>
      <c r="AO1172">
        <v>0</v>
      </c>
      <c r="AP1172" t="s">
        <v>31</v>
      </c>
      <c r="AQ1172">
        <v>0</v>
      </c>
    </row>
    <row r="1173" spans="1:43" x14ac:dyDescent="0.2">
      <c r="A1173" t="s">
        <v>381</v>
      </c>
      <c r="B1173" s="3">
        <v>44300</v>
      </c>
      <c r="C1173">
        <v>60</v>
      </c>
      <c r="D1173" t="s">
        <v>398</v>
      </c>
      <c r="E1173" t="s">
        <v>180</v>
      </c>
      <c r="F1173" s="9" t="s">
        <v>181</v>
      </c>
      <c r="G1173" t="s">
        <v>26</v>
      </c>
      <c r="H1173" t="s">
        <v>64</v>
      </c>
      <c r="I1173" t="s">
        <v>65</v>
      </c>
      <c r="J1173" t="s">
        <v>29</v>
      </c>
      <c r="K1173" t="s">
        <v>30</v>
      </c>
      <c r="L1173" t="s">
        <v>29</v>
      </c>
      <c r="M1173" t="s">
        <v>30</v>
      </c>
      <c r="N1173" t="s">
        <v>64</v>
      </c>
      <c r="O1173" t="s">
        <v>65</v>
      </c>
      <c r="P1173" t="s">
        <v>29</v>
      </c>
      <c r="Q1173" t="s">
        <v>30</v>
      </c>
      <c r="R1173" s="1">
        <v>44300.450370370374</v>
      </c>
      <c r="S1173" s="1">
        <v>44300.450833333336</v>
      </c>
      <c r="T1173">
        <v>1</v>
      </c>
      <c r="U1173">
        <v>2</v>
      </c>
      <c r="V1173" s="2">
        <v>0.5</v>
      </c>
      <c r="W1173">
        <v>0</v>
      </c>
      <c r="X1173" t="s">
        <v>44</v>
      </c>
      <c r="Y1173">
        <v>0</v>
      </c>
      <c r="Z1173" t="s">
        <v>30</v>
      </c>
      <c r="AA1173">
        <v>0</v>
      </c>
      <c r="AB1173" t="s">
        <v>31</v>
      </c>
      <c r="AC1173">
        <v>0</v>
      </c>
      <c r="AD1173" t="s">
        <v>31</v>
      </c>
      <c r="AE1173">
        <v>0</v>
      </c>
      <c r="AF1173" t="s">
        <v>31</v>
      </c>
      <c r="AG1173">
        <v>0</v>
      </c>
      <c r="AH1173" t="s">
        <v>31</v>
      </c>
      <c r="AI1173">
        <v>0</v>
      </c>
      <c r="AJ1173" t="s">
        <v>31</v>
      </c>
      <c r="AK1173">
        <v>0</v>
      </c>
      <c r="AL1173" t="s">
        <v>31</v>
      </c>
      <c r="AM1173">
        <v>0</v>
      </c>
      <c r="AN1173" t="s">
        <v>31</v>
      </c>
      <c r="AO1173">
        <v>0</v>
      </c>
      <c r="AP1173" t="s">
        <v>31</v>
      </c>
      <c r="AQ1173">
        <v>0</v>
      </c>
    </row>
    <row r="1174" spans="1:43" x14ac:dyDescent="0.2">
      <c r="A1174" t="s">
        <v>381</v>
      </c>
      <c r="B1174" s="3">
        <v>44301</v>
      </c>
      <c r="C1174">
        <v>63</v>
      </c>
      <c r="D1174" t="s">
        <v>385</v>
      </c>
      <c r="E1174" t="s">
        <v>180</v>
      </c>
      <c r="F1174" s="9" t="s">
        <v>181</v>
      </c>
      <c r="G1174" t="s">
        <v>26</v>
      </c>
      <c r="H1174" t="s">
        <v>64</v>
      </c>
      <c r="I1174" t="s">
        <v>65</v>
      </c>
      <c r="J1174" t="s">
        <v>29</v>
      </c>
      <c r="K1174" t="s">
        <v>30</v>
      </c>
      <c r="L1174" t="s">
        <v>29</v>
      </c>
      <c r="M1174" t="s">
        <v>30</v>
      </c>
      <c r="N1174" t="s">
        <v>64</v>
      </c>
      <c r="O1174" t="s">
        <v>65</v>
      </c>
      <c r="P1174" t="s">
        <v>29</v>
      </c>
      <c r="Q1174" t="s">
        <v>30</v>
      </c>
      <c r="R1174" s="1">
        <v>44301.634409722225</v>
      </c>
      <c r="S1174" s="1">
        <v>44301.634421296294</v>
      </c>
      <c r="T1174">
        <v>1</v>
      </c>
      <c r="U1174">
        <v>2</v>
      </c>
      <c r="V1174" s="2">
        <v>0.5</v>
      </c>
      <c r="W1174">
        <v>0</v>
      </c>
      <c r="X1174" t="s">
        <v>44</v>
      </c>
      <c r="Y1174">
        <v>0</v>
      </c>
      <c r="Z1174" t="s">
        <v>30</v>
      </c>
      <c r="AA1174">
        <v>0</v>
      </c>
      <c r="AB1174" t="s">
        <v>31</v>
      </c>
      <c r="AC1174">
        <v>0</v>
      </c>
      <c r="AD1174" t="s">
        <v>31</v>
      </c>
      <c r="AE1174">
        <v>0</v>
      </c>
      <c r="AF1174" t="s">
        <v>31</v>
      </c>
      <c r="AG1174">
        <v>0</v>
      </c>
      <c r="AH1174" t="s">
        <v>31</v>
      </c>
      <c r="AI1174">
        <v>0</v>
      </c>
      <c r="AJ1174" t="s">
        <v>31</v>
      </c>
      <c r="AK1174">
        <v>0</v>
      </c>
      <c r="AL1174" t="s">
        <v>31</v>
      </c>
      <c r="AM1174">
        <v>0</v>
      </c>
      <c r="AN1174" t="s">
        <v>31</v>
      </c>
      <c r="AO1174">
        <v>0</v>
      </c>
      <c r="AP1174" t="s">
        <v>31</v>
      </c>
      <c r="AQ1174">
        <v>0</v>
      </c>
    </row>
    <row r="1175" spans="1:43" x14ac:dyDescent="0.2">
      <c r="A1175" t="s">
        <v>381</v>
      </c>
      <c r="B1175" s="3">
        <v>44302</v>
      </c>
      <c r="C1175">
        <v>65</v>
      </c>
      <c r="D1175" t="s">
        <v>387</v>
      </c>
      <c r="E1175" t="s">
        <v>180</v>
      </c>
      <c r="F1175" s="9" t="s">
        <v>181</v>
      </c>
      <c r="G1175" t="s">
        <v>26</v>
      </c>
      <c r="H1175" t="s">
        <v>64</v>
      </c>
      <c r="I1175" t="s">
        <v>65</v>
      </c>
      <c r="J1175" t="s">
        <v>29</v>
      </c>
      <c r="K1175" t="s">
        <v>30</v>
      </c>
      <c r="L1175" t="s">
        <v>29</v>
      </c>
      <c r="M1175" t="s">
        <v>30</v>
      </c>
      <c r="N1175" t="s">
        <v>64</v>
      </c>
      <c r="O1175" t="s">
        <v>65</v>
      </c>
      <c r="P1175" t="s">
        <v>29</v>
      </c>
      <c r="Q1175" t="s">
        <v>30</v>
      </c>
      <c r="R1175" s="1">
        <v>44302.638935185183</v>
      </c>
      <c r="S1175" s="1">
        <v>44302.641435185185</v>
      </c>
      <c r="T1175">
        <v>4</v>
      </c>
      <c r="U1175">
        <v>5</v>
      </c>
      <c r="V1175" s="2">
        <v>0.8</v>
      </c>
      <c r="W1175">
        <v>0</v>
      </c>
      <c r="X1175" t="s">
        <v>44</v>
      </c>
      <c r="Y1175">
        <v>0</v>
      </c>
      <c r="Z1175" t="s">
        <v>30</v>
      </c>
      <c r="AA1175">
        <v>0</v>
      </c>
      <c r="AB1175" t="s">
        <v>30</v>
      </c>
      <c r="AC1175">
        <v>0</v>
      </c>
      <c r="AD1175" t="s">
        <v>30</v>
      </c>
      <c r="AE1175">
        <v>0</v>
      </c>
      <c r="AF1175" t="s">
        <v>30</v>
      </c>
      <c r="AG1175">
        <v>0</v>
      </c>
      <c r="AH1175" t="s">
        <v>31</v>
      </c>
      <c r="AI1175">
        <v>0</v>
      </c>
      <c r="AJ1175" t="s">
        <v>31</v>
      </c>
      <c r="AK1175">
        <v>0</v>
      </c>
      <c r="AL1175" t="s">
        <v>31</v>
      </c>
      <c r="AM1175">
        <v>0</v>
      </c>
      <c r="AN1175" t="s">
        <v>31</v>
      </c>
      <c r="AO1175">
        <v>0</v>
      </c>
      <c r="AP1175" t="s">
        <v>31</v>
      </c>
      <c r="AQ1175">
        <v>0</v>
      </c>
    </row>
    <row r="1176" spans="1:43" x14ac:dyDescent="0.2">
      <c r="A1176" t="s">
        <v>381</v>
      </c>
      <c r="B1176" s="3">
        <v>44308</v>
      </c>
      <c r="C1176">
        <v>68</v>
      </c>
      <c r="D1176" t="s">
        <v>383</v>
      </c>
      <c r="E1176" t="s">
        <v>180</v>
      </c>
      <c r="F1176" s="9" t="s">
        <v>181</v>
      </c>
      <c r="G1176" t="s">
        <v>26</v>
      </c>
      <c r="H1176" t="s">
        <v>64</v>
      </c>
      <c r="I1176" t="s">
        <v>65</v>
      </c>
      <c r="J1176" t="s">
        <v>29</v>
      </c>
      <c r="K1176" t="s">
        <v>30</v>
      </c>
      <c r="L1176" t="s">
        <v>29</v>
      </c>
      <c r="M1176" t="s">
        <v>30</v>
      </c>
      <c r="N1176" t="s">
        <v>64</v>
      </c>
      <c r="O1176" t="s">
        <v>65</v>
      </c>
      <c r="P1176" t="s">
        <v>29</v>
      </c>
      <c r="Q1176" t="s">
        <v>30</v>
      </c>
      <c r="R1176" s="1">
        <v>44308.458229166667</v>
      </c>
      <c r="S1176" s="1">
        <v>44308.492106481484</v>
      </c>
      <c r="T1176">
        <v>1</v>
      </c>
      <c r="U1176">
        <v>2</v>
      </c>
      <c r="V1176" s="2">
        <v>0.5</v>
      </c>
      <c r="W1176">
        <v>0</v>
      </c>
      <c r="X1176" t="s">
        <v>44</v>
      </c>
      <c r="Y1176">
        <v>0</v>
      </c>
      <c r="Z1176" t="s">
        <v>30</v>
      </c>
      <c r="AA1176">
        <v>0</v>
      </c>
      <c r="AB1176" t="s">
        <v>31</v>
      </c>
      <c r="AC1176">
        <v>0</v>
      </c>
      <c r="AD1176" t="s">
        <v>31</v>
      </c>
      <c r="AE1176">
        <v>0</v>
      </c>
      <c r="AF1176" t="s">
        <v>31</v>
      </c>
      <c r="AG1176">
        <v>0</v>
      </c>
      <c r="AH1176" t="s">
        <v>31</v>
      </c>
      <c r="AI1176">
        <v>0</v>
      </c>
      <c r="AJ1176" t="s">
        <v>31</v>
      </c>
      <c r="AK1176">
        <v>0</v>
      </c>
      <c r="AL1176" t="s">
        <v>31</v>
      </c>
      <c r="AM1176">
        <v>0</v>
      </c>
      <c r="AN1176" t="s">
        <v>31</v>
      </c>
      <c r="AO1176">
        <v>0</v>
      </c>
      <c r="AP1176" t="s">
        <v>31</v>
      </c>
      <c r="AQ1176">
        <v>0</v>
      </c>
    </row>
    <row r="1177" spans="1:43" x14ac:dyDescent="0.2">
      <c r="A1177" t="s">
        <v>381</v>
      </c>
      <c r="B1177" s="3">
        <v>44308</v>
      </c>
      <c r="C1177">
        <v>69</v>
      </c>
      <c r="D1177" t="s">
        <v>385</v>
      </c>
      <c r="E1177" t="s">
        <v>180</v>
      </c>
      <c r="F1177" s="9" t="s">
        <v>181</v>
      </c>
      <c r="G1177" t="s">
        <v>26</v>
      </c>
      <c r="H1177" t="s">
        <v>64</v>
      </c>
      <c r="I1177" t="s">
        <v>65</v>
      </c>
      <c r="J1177" t="s">
        <v>29</v>
      </c>
      <c r="K1177" t="s">
        <v>30</v>
      </c>
      <c r="L1177" t="s">
        <v>29</v>
      </c>
      <c r="M1177" t="s">
        <v>30</v>
      </c>
      <c r="N1177" t="s">
        <v>64</v>
      </c>
      <c r="O1177" t="s">
        <v>65</v>
      </c>
      <c r="P1177" t="s">
        <v>29</v>
      </c>
      <c r="Q1177" t="s">
        <v>30</v>
      </c>
      <c r="R1177" s="1">
        <v>44308.633449074077</v>
      </c>
      <c r="S1177" s="1">
        <v>44308.633692129632</v>
      </c>
      <c r="T1177">
        <v>1</v>
      </c>
      <c r="U1177">
        <v>2</v>
      </c>
      <c r="V1177" s="2">
        <v>0.5</v>
      </c>
      <c r="W1177">
        <v>0</v>
      </c>
      <c r="X1177" t="s">
        <v>44</v>
      </c>
      <c r="Y1177">
        <v>0</v>
      </c>
      <c r="Z1177" t="s">
        <v>30</v>
      </c>
      <c r="AA1177">
        <v>0</v>
      </c>
      <c r="AB1177" t="s">
        <v>31</v>
      </c>
      <c r="AC1177">
        <v>0</v>
      </c>
      <c r="AD1177" t="s">
        <v>31</v>
      </c>
      <c r="AE1177">
        <v>0</v>
      </c>
      <c r="AF1177" t="s">
        <v>31</v>
      </c>
      <c r="AG1177">
        <v>0</v>
      </c>
      <c r="AH1177" t="s">
        <v>31</v>
      </c>
      <c r="AI1177">
        <v>0</v>
      </c>
      <c r="AJ1177" t="s">
        <v>31</v>
      </c>
      <c r="AK1177">
        <v>0</v>
      </c>
      <c r="AL1177" t="s">
        <v>31</v>
      </c>
      <c r="AM1177">
        <v>0</v>
      </c>
      <c r="AN1177" t="s">
        <v>31</v>
      </c>
      <c r="AO1177">
        <v>0</v>
      </c>
      <c r="AP1177" t="s">
        <v>31</v>
      </c>
      <c r="AQ1177">
        <v>0</v>
      </c>
    </row>
    <row r="1178" spans="1:43" x14ac:dyDescent="0.2">
      <c r="A1178" t="s">
        <v>381</v>
      </c>
      <c r="B1178" s="3">
        <v>44312</v>
      </c>
      <c r="C1178">
        <v>72</v>
      </c>
      <c r="D1178" t="s">
        <v>402</v>
      </c>
      <c r="E1178" t="s">
        <v>180</v>
      </c>
      <c r="F1178" s="9" t="s">
        <v>181</v>
      </c>
      <c r="G1178" t="s">
        <v>26</v>
      </c>
      <c r="H1178" t="s">
        <v>64</v>
      </c>
      <c r="I1178" t="s">
        <v>65</v>
      </c>
      <c r="J1178" t="s">
        <v>29</v>
      </c>
      <c r="K1178" t="s">
        <v>30</v>
      </c>
      <c r="L1178" t="s">
        <v>29</v>
      </c>
      <c r="M1178" t="s">
        <v>30</v>
      </c>
      <c r="N1178" t="s">
        <v>64</v>
      </c>
      <c r="O1178" t="s">
        <v>65</v>
      </c>
      <c r="P1178" t="s">
        <v>29</v>
      </c>
      <c r="Q1178" t="s">
        <v>30</v>
      </c>
      <c r="R1178" s="1">
        <v>44312.405023148145</v>
      </c>
      <c r="S1178" s="1">
        <v>44312.405023148145</v>
      </c>
      <c r="T1178">
        <v>1</v>
      </c>
      <c r="U1178">
        <v>2</v>
      </c>
      <c r="V1178" s="2">
        <v>0.5</v>
      </c>
      <c r="W1178">
        <v>0</v>
      </c>
      <c r="X1178" t="s">
        <v>45</v>
      </c>
      <c r="Y1178">
        <v>0</v>
      </c>
      <c r="Z1178" t="s">
        <v>30</v>
      </c>
      <c r="AA1178">
        <v>0</v>
      </c>
      <c r="AB1178" t="s">
        <v>31</v>
      </c>
      <c r="AC1178">
        <v>0</v>
      </c>
      <c r="AD1178" t="s">
        <v>31</v>
      </c>
      <c r="AE1178">
        <v>0</v>
      </c>
      <c r="AF1178" t="s">
        <v>31</v>
      </c>
      <c r="AG1178">
        <v>0</v>
      </c>
      <c r="AH1178" t="s">
        <v>31</v>
      </c>
      <c r="AI1178">
        <v>0</v>
      </c>
      <c r="AJ1178" t="s">
        <v>31</v>
      </c>
      <c r="AK1178">
        <v>0</v>
      </c>
      <c r="AL1178" t="s">
        <v>31</v>
      </c>
      <c r="AM1178">
        <v>0</v>
      </c>
      <c r="AN1178" t="s">
        <v>31</v>
      </c>
      <c r="AO1178">
        <v>0</v>
      </c>
      <c r="AP1178" t="s">
        <v>31</v>
      </c>
      <c r="AQ1178">
        <v>0</v>
      </c>
    </row>
    <row r="1179" spans="1:43" x14ac:dyDescent="0.2">
      <c r="A1179" t="s">
        <v>381</v>
      </c>
      <c r="B1179" s="3">
        <v>44312</v>
      </c>
      <c r="C1179">
        <v>73</v>
      </c>
      <c r="D1179" t="s">
        <v>387</v>
      </c>
      <c r="E1179" t="s">
        <v>180</v>
      </c>
      <c r="F1179" s="9" t="s">
        <v>181</v>
      </c>
      <c r="G1179" t="s">
        <v>26</v>
      </c>
      <c r="H1179" t="s">
        <v>64</v>
      </c>
      <c r="I1179" t="s">
        <v>65</v>
      </c>
      <c r="J1179" t="s">
        <v>29</v>
      </c>
      <c r="K1179" t="s">
        <v>30</v>
      </c>
      <c r="L1179" t="s">
        <v>29</v>
      </c>
      <c r="M1179" t="s">
        <v>30</v>
      </c>
      <c r="N1179" t="s">
        <v>64</v>
      </c>
      <c r="O1179" t="s">
        <v>65</v>
      </c>
      <c r="P1179" t="s">
        <v>29</v>
      </c>
      <c r="Q1179" t="s">
        <v>30</v>
      </c>
      <c r="R1179" s="1">
        <v>44312.634398148148</v>
      </c>
      <c r="S1179" s="1">
        <v>44312.635162037041</v>
      </c>
      <c r="T1179">
        <v>1</v>
      </c>
      <c r="U1179">
        <v>4</v>
      </c>
      <c r="V1179" s="2">
        <v>0.25</v>
      </c>
      <c r="W1179">
        <v>0</v>
      </c>
      <c r="X1179" t="s">
        <v>44</v>
      </c>
      <c r="Y1179">
        <v>0</v>
      </c>
      <c r="Z1179" t="s">
        <v>44</v>
      </c>
      <c r="AA1179">
        <v>0</v>
      </c>
      <c r="AB1179" t="s">
        <v>45</v>
      </c>
      <c r="AC1179">
        <v>0</v>
      </c>
      <c r="AD1179" t="s">
        <v>30</v>
      </c>
      <c r="AE1179">
        <v>0</v>
      </c>
      <c r="AF1179" t="s">
        <v>31</v>
      </c>
      <c r="AG1179">
        <v>0</v>
      </c>
      <c r="AH1179" t="s">
        <v>31</v>
      </c>
      <c r="AI1179">
        <v>0</v>
      </c>
      <c r="AJ1179" t="s">
        <v>31</v>
      </c>
      <c r="AK1179">
        <v>0</v>
      </c>
      <c r="AL1179" t="s">
        <v>31</v>
      </c>
      <c r="AM1179">
        <v>0</v>
      </c>
      <c r="AN1179" t="s">
        <v>31</v>
      </c>
      <c r="AO1179">
        <v>0</v>
      </c>
      <c r="AP1179" t="s">
        <v>31</v>
      </c>
      <c r="AQ1179">
        <v>0</v>
      </c>
    </row>
    <row r="1180" spans="1:43" x14ac:dyDescent="0.2">
      <c r="A1180" t="s">
        <v>381</v>
      </c>
      <c r="B1180" s="3">
        <v>44313</v>
      </c>
      <c r="C1180">
        <v>74</v>
      </c>
      <c r="D1180" t="s">
        <v>383</v>
      </c>
      <c r="E1180" t="s">
        <v>180</v>
      </c>
      <c r="F1180" s="9" t="s">
        <v>181</v>
      </c>
      <c r="G1180" t="s">
        <v>26</v>
      </c>
      <c r="H1180" t="s">
        <v>64</v>
      </c>
      <c r="I1180" t="s">
        <v>65</v>
      </c>
      <c r="J1180" t="s">
        <v>29</v>
      </c>
      <c r="K1180" t="s">
        <v>30</v>
      </c>
      <c r="L1180" t="s">
        <v>29</v>
      </c>
      <c r="M1180" t="s">
        <v>30</v>
      </c>
      <c r="N1180" t="s">
        <v>64</v>
      </c>
      <c r="O1180" t="s">
        <v>65</v>
      </c>
      <c r="P1180" t="s">
        <v>29</v>
      </c>
      <c r="Q1180" t="s">
        <v>30</v>
      </c>
      <c r="R1180" s="1">
        <v>44313.401863425926</v>
      </c>
      <c r="S1180" s="1">
        <v>44313.402222222219</v>
      </c>
      <c r="T1180">
        <v>1</v>
      </c>
      <c r="U1180">
        <v>2</v>
      </c>
      <c r="V1180" s="2">
        <v>0.5</v>
      </c>
      <c r="W1180">
        <v>0</v>
      </c>
      <c r="X1180" t="s">
        <v>44</v>
      </c>
      <c r="Y1180">
        <v>0</v>
      </c>
      <c r="Z1180" t="s">
        <v>30</v>
      </c>
      <c r="AA1180">
        <v>0</v>
      </c>
      <c r="AB1180" t="s">
        <v>31</v>
      </c>
      <c r="AC1180">
        <v>0</v>
      </c>
      <c r="AD1180" t="s">
        <v>31</v>
      </c>
      <c r="AE1180">
        <v>0</v>
      </c>
      <c r="AF1180" t="s">
        <v>31</v>
      </c>
      <c r="AG1180">
        <v>0</v>
      </c>
      <c r="AH1180" t="s">
        <v>31</v>
      </c>
      <c r="AI1180">
        <v>0</v>
      </c>
      <c r="AJ1180" t="s">
        <v>31</v>
      </c>
      <c r="AK1180">
        <v>0</v>
      </c>
      <c r="AL1180" t="s">
        <v>31</v>
      </c>
      <c r="AM1180">
        <v>0</v>
      </c>
      <c r="AN1180" t="s">
        <v>31</v>
      </c>
      <c r="AO1180">
        <v>0</v>
      </c>
      <c r="AP1180" t="s">
        <v>31</v>
      </c>
      <c r="AQ1180">
        <v>0</v>
      </c>
    </row>
    <row r="1181" spans="1:43" x14ac:dyDescent="0.2">
      <c r="A1181" t="s">
        <v>381</v>
      </c>
      <c r="B1181" s="3">
        <v>44314</v>
      </c>
      <c r="C1181">
        <v>77</v>
      </c>
      <c r="D1181" t="s">
        <v>403</v>
      </c>
      <c r="E1181" t="s">
        <v>180</v>
      </c>
      <c r="F1181" s="9" t="s">
        <v>181</v>
      </c>
      <c r="G1181" t="s">
        <v>26</v>
      </c>
      <c r="H1181" t="s">
        <v>64</v>
      </c>
      <c r="I1181" t="s">
        <v>65</v>
      </c>
      <c r="J1181" t="s">
        <v>29</v>
      </c>
      <c r="K1181" t="s">
        <v>30</v>
      </c>
      <c r="L1181" t="s">
        <v>29</v>
      </c>
      <c r="M1181" t="s">
        <v>30</v>
      </c>
      <c r="N1181" t="s">
        <v>64</v>
      </c>
      <c r="O1181" t="s">
        <v>65</v>
      </c>
      <c r="P1181" t="s">
        <v>29</v>
      </c>
      <c r="Q1181" t="s">
        <v>30</v>
      </c>
      <c r="R1181" s="1">
        <v>44314.412766203706</v>
      </c>
      <c r="S1181" s="1">
        <v>44314.414305555554</v>
      </c>
      <c r="T1181">
        <v>1</v>
      </c>
      <c r="U1181">
        <v>4</v>
      </c>
      <c r="V1181" s="2">
        <v>0.25</v>
      </c>
      <c r="W1181">
        <v>0</v>
      </c>
      <c r="X1181" t="s">
        <v>44</v>
      </c>
      <c r="Y1181">
        <v>0</v>
      </c>
      <c r="Z1181" t="s">
        <v>44</v>
      </c>
      <c r="AA1181">
        <v>0</v>
      </c>
      <c r="AB1181" t="s">
        <v>45</v>
      </c>
      <c r="AC1181">
        <v>0</v>
      </c>
      <c r="AD1181" t="s">
        <v>30</v>
      </c>
      <c r="AE1181">
        <v>0</v>
      </c>
      <c r="AF1181" t="s">
        <v>31</v>
      </c>
      <c r="AG1181">
        <v>0</v>
      </c>
      <c r="AH1181" t="s">
        <v>31</v>
      </c>
      <c r="AI1181">
        <v>0</v>
      </c>
      <c r="AJ1181" t="s">
        <v>31</v>
      </c>
      <c r="AK1181">
        <v>0</v>
      </c>
      <c r="AL1181" t="s">
        <v>31</v>
      </c>
      <c r="AM1181">
        <v>0</v>
      </c>
      <c r="AN1181" t="s">
        <v>31</v>
      </c>
      <c r="AO1181">
        <v>0</v>
      </c>
      <c r="AP1181" t="s">
        <v>31</v>
      </c>
      <c r="AQ1181">
        <v>0</v>
      </c>
    </row>
    <row r="1182" spans="1:43" x14ac:dyDescent="0.2">
      <c r="A1182" t="s">
        <v>381</v>
      </c>
      <c r="B1182" s="3">
        <v>44314</v>
      </c>
      <c r="C1182">
        <v>78</v>
      </c>
      <c r="D1182" t="s">
        <v>387</v>
      </c>
      <c r="E1182" t="s">
        <v>180</v>
      </c>
      <c r="F1182" s="9" t="s">
        <v>181</v>
      </c>
      <c r="G1182" t="s">
        <v>26</v>
      </c>
      <c r="H1182" t="s">
        <v>64</v>
      </c>
      <c r="I1182" t="s">
        <v>65</v>
      </c>
      <c r="J1182" t="s">
        <v>29</v>
      </c>
      <c r="K1182" t="s">
        <v>30</v>
      </c>
      <c r="L1182" t="s">
        <v>29</v>
      </c>
      <c r="M1182" t="s">
        <v>30</v>
      </c>
      <c r="N1182" t="s">
        <v>64</v>
      </c>
      <c r="O1182" t="s">
        <v>65</v>
      </c>
      <c r="P1182" t="s">
        <v>29</v>
      </c>
      <c r="Q1182" t="s">
        <v>30</v>
      </c>
      <c r="R1182" s="1">
        <v>44314.62672453704</v>
      </c>
      <c r="S1182" s="1">
        <v>44314.62672453704</v>
      </c>
      <c r="T1182">
        <v>1</v>
      </c>
      <c r="U1182">
        <v>1</v>
      </c>
      <c r="V1182" s="2">
        <v>1</v>
      </c>
      <c r="W1182">
        <v>0</v>
      </c>
      <c r="X1182" t="s">
        <v>30</v>
      </c>
      <c r="Y1182">
        <v>0</v>
      </c>
      <c r="Z1182" t="s">
        <v>31</v>
      </c>
      <c r="AA1182">
        <v>0</v>
      </c>
      <c r="AB1182" t="s">
        <v>31</v>
      </c>
      <c r="AC1182">
        <v>0</v>
      </c>
      <c r="AD1182" t="s">
        <v>31</v>
      </c>
      <c r="AE1182">
        <v>0</v>
      </c>
      <c r="AF1182" t="s">
        <v>31</v>
      </c>
      <c r="AG1182">
        <v>0</v>
      </c>
      <c r="AH1182" t="s">
        <v>31</v>
      </c>
      <c r="AI1182">
        <v>0</v>
      </c>
      <c r="AJ1182" t="s">
        <v>31</v>
      </c>
      <c r="AK1182">
        <v>0</v>
      </c>
      <c r="AL1182" t="s">
        <v>31</v>
      </c>
      <c r="AM1182">
        <v>0</v>
      </c>
      <c r="AN1182" t="s">
        <v>31</v>
      </c>
      <c r="AO1182">
        <v>0</v>
      </c>
      <c r="AP1182" t="s">
        <v>31</v>
      </c>
      <c r="AQ1182">
        <v>0</v>
      </c>
    </row>
    <row r="1183" spans="1:43" x14ac:dyDescent="0.2">
      <c r="A1183" t="s">
        <v>381</v>
      </c>
      <c r="B1183" s="3">
        <v>44315</v>
      </c>
      <c r="C1183">
        <v>81</v>
      </c>
      <c r="D1183" t="s">
        <v>385</v>
      </c>
      <c r="E1183" t="s">
        <v>180</v>
      </c>
      <c r="F1183" s="9" t="s">
        <v>181</v>
      </c>
      <c r="G1183" t="s">
        <v>26</v>
      </c>
      <c r="H1183" t="s">
        <v>64</v>
      </c>
      <c r="I1183" t="s">
        <v>65</v>
      </c>
      <c r="J1183" t="s">
        <v>29</v>
      </c>
      <c r="K1183" t="s">
        <v>30</v>
      </c>
      <c r="L1183" t="s">
        <v>29</v>
      </c>
      <c r="M1183" t="s">
        <v>30</v>
      </c>
      <c r="N1183" t="s">
        <v>132</v>
      </c>
      <c r="O1183" t="s">
        <v>133</v>
      </c>
      <c r="P1183" t="s">
        <v>43</v>
      </c>
      <c r="Q1183" t="s">
        <v>44</v>
      </c>
      <c r="R1183" s="1">
        <v>44315.631388888891</v>
      </c>
      <c r="S1183" s="1">
        <v>44315.631388888891</v>
      </c>
      <c r="T1183">
        <v>1</v>
      </c>
      <c r="U1183">
        <v>1</v>
      </c>
      <c r="V1183" s="2">
        <v>1</v>
      </c>
      <c r="W1183">
        <v>0</v>
      </c>
      <c r="X1183" t="s">
        <v>30</v>
      </c>
      <c r="Y1183">
        <v>0</v>
      </c>
      <c r="Z1183" t="s">
        <v>31</v>
      </c>
      <c r="AA1183">
        <v>0</v>
      </c>
      <c r="AB1183" t="s">
        <v>31</v>
      </c>
      <c r="AC1183">
        <v>0</v>
      </c>
      <c r="AD1183" t="s">
        <v>31</v>
      </c>
      <c r="AE1183">
        <v>0</v>
      </c>
      <c r="AF1183" t="s">
        <v>31</v>
      </c>
      <c r="AG1183">
        <v>0</v>
      </c>
      <c r="AH1183" t="s">
        <v>31</v>
      </c>
      <c r="AI1183">
        <v>0</v>
      </c>
      <c r="AJ1183" t="s">
        <v>31</v>
      </c>
      <c r="AK1183">
        <v>0</v>
      </c>
      <c r="AL1183" t="s">
        <v>31</v>
      </c>
      <c r="AM1183">
        <v>0</v>
      </c>
      <c r="AN1183" t="s">
        <v>31</v>
      </c>
      <c r="AO1183">
        <v>0</v>
      </c>
      <c r="AP1183" t="s">
        <v>31</v>
      </c>
      <c r="AQ1183">
        <v>0</v>
      </c>
    </row>
    <row r="1184" spans="1:43" x14ac:dyDescent="0.2">
      <c r="A1184" t="s">
        <v>381</v>
      </c>
      <c r="B1184" s="3">
        <v>44316</v>
      </c>
      <c r="C1184">
        <v>82</v>
      </c>
      <c r="D1184" t="s">
        <v>389</v>
      </c>
      <c r="E1184" t="s">
        <v>180</v>
      </c>
      <c r="F1184" s="9" t="s">
        <v>181</v>
      </c>
      <c r="G1184" t="s">
        <v>26</v>
      </c>
      <c r="H1184" t="s">
        <v>132</v>
      </c>
      <c r="I1184" t="s">
        <v>133</v>
      </c>
      <c r="J1184" t="s">
        <v>43</v>
      </c>
      <c r="K1184" t="s">
        <v>44</v>
      </c>
      <c r="L1184" t="s">
        <v>29</v>
      </c>
      <c r="M1184" t="s">
        <v>30</v>
      </c>
      <c r="N1184" t="s">
        <v>132</v>
      </c>
      <c r="O1184" t="s">
        <v>133</v>
      </c>
      <c r="P1184" t="s">
        <v>43</v>
      </c>
      <c r="Q1184" t="s">
        <v>44</v>
      </c>
      <c r="R1184" s="1">
        <v>44316.48027777778</v>
      </c>
      <c r="S1184" s="1">
        <v>44316.481863425928</v>
      </c>
      <c r="T1184">
        <v>1</v>
      </c>
      <c r="U1184">
        <v>6</v>
      </c>
      <c r="V1184" s="2">
        <v>0.16</v>
      </c>
      <c r="W1184">
        <v>0</v>
      </c>
      <c r="X1184" t="s">
        <v>44</v>
      </c>
      <c r="Y1184">
        <v>0</v>
      </c>
      <c r="Z1184" t="s">
        <v>44</v>
      </c>
      <c r="AA1184">
        <v>0</v>
      </c>
      <c r="AB1184" t="s">
        <v>45</v>
      </c>
      <c r="AC1184">
        <v>0</v>
      </c>
      <c r="AD1184" t="s">
        <v>61</v>
      </c>
      <c r="AE1184">
        <v>0</v>
      </c>
      <c r="AF1184" t="s">
        <v>47</v>
      </c>
      <c r="AG1184">
        <v>0</v>
      </c>
      <c r="AH1184" t="s">
        <v>30</v>
      </c>
      <c r="AI1184">
        <v>0</v>
      </c>
      <c r="AJ1184" t="s">
        <v>31</v>
      </c>
      <c r="AK1184">
        <v>0</v>
      </c>
      <c r="AL1184" t="s">
        <v>31</v>
      </c>
      <c r="AM1184">
        <v>0</v>
      </c>
      <c r="AN1184" t="s">
        <v>31</v>
      </c>
      <c r="AO1184">
        <v>0</v>
      </c>
      <c r="AP1184" t="s">
        <v>31</v>
      </c>
      <c r="AQ1184">
        <v>0</v>
      </c>
    </row>
    <row r="1185" spans="1:43" x14ac:dyDescent="0.2">
      <c r="A1185" t="s">
        <v>381</v>
      </c>
      <c r="B1185" s="3">
        <v>44316</v>
      </c>
      <c r="C1185">
        <v>83</v>
      </c>
      <c r="D1185" t="s">
        <v>387</v>
      </c>
      <c r="E1185" t="s">
        <v>180</v>
      </c>
      <c r="F1185" s="9" t="s">
        <v>181</v>
      </c>
      <c r="G1185" t="s">
        <v>26</v>
      </c>
      <c r="H1185" t="s">
        <v>132</v>
      </c>
      <c r="I1185" t="s">
        <v>133</v>
      </c>
      <c r="J1185" t="s">
        <v>43</v>
      </c>
      <c r="K1185" t="s">
        <v>44</v>
      </c>
      <c r="L1185" t="s">
        <v>29</v>
      </c>
      <c r="M1185" t="s">
        <v>30</v>
      </c>
      <c r="N1185" t="s">
        <v>132</v>
      </c>
      <c r="O1185" t="s">
        <v>133</v>
      </c>
      <c r="P1185" t="s">
        <v>43</v>
      </c>
      <c r="Q1185" t="s">
        <v>44</v>
      </c>
      <c r="R1185" s="1">
        <v>44316.586805555555</v>
      </c>
      <c r="S1185" s="1">
        <v>44316.586805555555</v>
      </c>
      <c r="T1185">
        <v>1</v>
      </c>
      <c r="U1185">
        <v>1</v>
      </c>
      <c r="V1185" s="2">
        <v>1</v>
      </c>
      <c r="W1185">
        <v>0</v>
      </c>
      <c r="X1185" t="s">
        <v>30</v>
      </c>
      <c r="Y1185">
        <v>0</v>
      </c>
      <c r="Z1185" t="s">
        <v>31</v>
      </c>
      <c r="AA1185">
        <v>0</v>
      </c>
      <c r="AB1185" t="s">
        <v>31</v>
      </c>
      <c r="AC1185">
        <v>0</v>
      </c>
      <c r="AD1185" t="s">
        <v>31</v>
      </c>
      <c r="AE1185">
        <v>0</v>
      </c>
      <c r="AF1185" t="s">
        <v>31</v>
      </c>
      <c r="AG1185">
        <v>0</v>
      </c>
      <c r="AH1185" t="s">
        <v>31</v>
      </c>
      <c r="AI1185">
        <v>0</v>
      </c>
      <c r="AJ1185" t="s">
        <v>31</v>
      </c>
      <c r="AK1185">
        <v>0</v>
      </c>
      <c r="AL1185" t="s">
        <v>31</v>
      </c>
      <c r="AM1185">
        <v>0</v>
      </c>
      <c r="AN1185" t="s">
        <v>31</v>
      </c>
      <c r="AO1185">
        <v>0</v>
      </c>
      <c r="AP1185" t="s">
        <v>31</v>
      </c>
      <c r="AQ1185">
        <v>0</v>
      </c>
    </row>
    <row r="1186" spans="1:43" x14ac:dyDescent="0.2">
      <c r="A1186" t="s">
        <v>381</v>
      </c>
      <c r="B1186" s="3">
        <v>44321</v>
      </c>
      <c r="C1186">
        <v>88</v>
      </c>
      <c r="D1186" t="s">
        <v>404</v>
      </c>
      <c r="E1186" t="s">
        <v>180</v>
      </c>
      <c r="F1186" s="9" t="s">
        <v>181</v>
      </c>
      <c r="G1186" t="s">
        <v>26</v>
      </c>
      <c r="H1186" t="s">
        <v>132</v>
      </c>
      <c r="I1186" t="s">
        <v>133</v>
      </c>
      <c r="J1186" t="s">
        <v>43</v>
      </c>
      <c r="K1186" t="s">
        <v>44</v>
      </c>
      <c r="L1186" t="s">
        <v>29</v>
      </c>
      <c r="M1186" t="s">
        <v>30</v>
      </c>
      <c r="N1186" t="s">
        <v>132</v>
      </c>
      <c r="O1186" t="s">
        <v>133</v>
      </c>
      <c r="P1186" t="s">
        <v>43</v>
      </c>
      <c r="Q1186" t="s">
        <v>44</v>
      </c>
      <c r="R1186" s="1">
        <v>44321.461504629631</v>
      </c>
      <c r="S1186" s="1">
        <v>44321.461550925924</v>
      </c>
      <c r="T1186">
        <v>1</v>
      </c>
      <c r="U1186">
        <v>5</v>
      </c>
      <c r="V1186" s="2">
        <v>0.2</v>
      </c>
      <c r="W1186">
        <v>0</v>
      </c>
      <c r="X1186" t="s">
        <v>44</v>
      </c>
      <c r="Y1186">
        <v>0</v>
      </c>
      <c r="Z1186" t="s">
        <v>44</v>
      </c>
      <c r="AA1186">
        <v>0</v>
      </c>
      <c r="AB1186" t="s">
        <v>45</v>
      </c>
      <c r="AC1186">
        <v>0</v>
      </c>
      <c r="AD1186" t="s">
        <v>61</v>
      </c>
      <c r="AE1186">
        <v>0</v>
      </c>
      <c r="AF1186" t="s">
        <v>30</v>
      </c>
      <c r="AG1186">
        <v>0</v>
      </c>
      <c r="AH1186" t="s">
        <v>31</v>
      </c>
      <c r="AI1186">
        <v>0</v>
      </c>
      <c r="AJ1186" t="s">
        <v>31</v>
      </c>
      <c r="AK1186">
        <v>0</v>
      </c>
      <c r="AL1186" t="s">
        <v>31</v>
      </c>
      <c r="AM1186">
        <v>0</v>
      </c>
      <c r="AN1186" t="s">
        <v>31</v>
      </c>
      <c r="AO1186">
        <v>0</v>
      </c>
      <c r="AP1186" t="s">
        <v>31</v>
      </c>
      <c r="AQ1186">
        <v>0</v>
      </c>
    </row>
    <row r="1187" spans="1:43" x14ac:dyDescent="0.2">
      <c r="A1187" t="s">
        <v>381</v>
      </c>
      <c r="B1187" s="3">
        <v>44321</v>
      </c>
      <c r="C1187">
        <v>89</v>
      </c>
      <c r="D1187" t="s">
        <v>387</v>
      </c>
      <c r="E1187" t="s">
        <v>180</v>
      </c>
      <c r="F1187" s="9" t="s">
        <v>181</v>
      </c>
      <c r="G1187" t="s">
        <v>26</v>
      </c>
      <c r="H1187" t="s">
        <v>132</v>
      </c>
      <c r="I1187" t="s">
        <v>133</v>
      </c>
      <c r="J1187" t="s">
        <v>43</v>
      </c>
      <c r="K1187" t="s">
        <v>44</v>
      </c>
      <c r="L1187" t="s">
        <v>29</v>
      </c>
      <c r="M1187" t="s">
        <v>30</v>
      </c>
      <c r="N1187" t="s">
        <v>132</v>
      </c>
      <c r="O1187" t="s">
        <v>133</v>
      </c>
      <c r="P1187" t="s">
        <v>43</v>
      </c>
      <c r="Q1187" t="s">
        <v>44</v>
      </c>
      <c r="R1187" s="1">
        <v>44321.584386574075</v>
      </c>
      <c r="S1187" s="1">
        <v>44321.584386574075</v>
      </c>
      <c r="T1187">
        <v>1</v>
      </c>
      <c r="U1187">
        <v>1</v>
      </c>
      <c r="V1187" s="2">
        <v>1</v>
      </c>
      <c r="W1187">
        <v>0</v>
      </c>
      <c r="X1187" t="s">
        <v>30</v>
      </c>
      <c r="Y1187">
        <v>0</v>
      </c>
      <c r="Z1187" t="s">
        <v>31</v>
      </c>
      <c r="AA1187">
        <v>0</v>
      </c>
      <c r="AB1187" t="s">
        <v>31</v>
      </c>
      <c r="AC1187">
        <v>0</v>
      </c>
      <c r="AD1187" t="s">
        <v>31</v>
      </c>
      <c r="AE1187">
        <v>0</v>
      </c>
      <c r="AF1187" t="s">
        <v>31</v>
      </c>
      <c r="AG1187">
        <v>0</v>
      </c>
      <c r="AH1187" t="s">
        <v>31</v>
      </c>
      <c r="AI1187">
        <v>0</v>
      </c>
      <c r="AJ1187" t="s">
        <v>31</v>
      </c>
      <c r="AK1187">
        <v>0</v>
      </c>
      <c r="AL1187" t="s">
        <v>31</v>
      </c>
      <c r="AM1187">
        <v>0</v>
      </c>
      <c r="AN1187" t="s">
        <v>31</v>
      </c>
      <c r="AO1187">
        <v>0</v>
      </c>
      <c r="AP1187" t="s">
        <v>31</v>
      </c>
      <c r="AQ1187">
        <v>0</v>
      </c>
    </row>
    <row r="1188" spans="1:43" x14ac:dyDescent="0.2">
      <c r="A1188" t="s">
        <v>381</v>
      </c>
      <c r="B1188" s="3">
        <v>44323</v>
      </c>
      <c r="C1188">
        <v>91</v>
      </c>
      <c r="D1188" t="s">
        <v>391</v>
      </c>
      <c r="E1188" t="s">
        <v>180</v>
      </c>
      <c r="F1188" s="9" t="s">
        <v>181</v>
      </c>
      <c r="G1188" t="s">
        <v>26</v>
      </c>
      <c r="H1188" t="s">
        <v>132</v>
      </c>
      <c r="I1188" t="s">
        <v>133</v>
      </c>
      <c r="J1188" t="s">
        <v>43</v>
      </c>
      <c r="K1188" t="s">
        <v>44</v>
      </c>
      <c r="L1188" t="s">
        <v>29</v>
      </c>
      <c r="M1188" t="s">
        <v>30</v>
      </c>
      <c r="N1188" t="s">
        <v>132</v>
      </c>
      <c r="O1188" t="s">
        <v>133</v>
      </c>
      <c r="P1188" t="s">
        <v>43</v>
      </c>
      <c r="Q1188" t="s">
        <v>44</v>
      </c>
      <c r="R1188" s="1">
        <v>44323.583668981482</v>
      </c>
      <c r="S1188" s="1">
        <v>44323.587164351855</v>
      </c>
      <c r="T1188">
        <v>0</v>
      </c>
      <c r="U1188">
        <v>5</v>
      </c>
      <c r="V1188" s="2">
        <v>0</v>
      </c>
      <c r="W1188">
        <v>0</v>
      </c>
      <c r="X1188" t="s">
        <v>44</v>
      </c>
      <c r="Y1188">
        <v>0</v>
      </c>
      <c r="Z1188" t="s">
        <v>44</v>
      </c>
      <c r="AA1188">
        <v>0</v>
      </c>
      <c r="AB1188" t="s">
        <v>45</v>
      </c>
      <c r="AC1188">
        <v>0</v>
      </c>
      <c r="AD1188" t="s">
        <v>61</v>
      </c>
      <c r="AE1188">
        <v>0</v>
      </c>
      <c r="AF1188" t="s">
        <v>47</v>
      </c>
      <c r="AG1188">
        <v>0</v>
      </c>
      <c r="AH1188" t="s">
        <v>31</v>
      </c>
      <c r="AI1188">
        <v>0</v>
      </c>
      <c r="AJ1188" t="s">
        <v>31</v>
      </c>
      <c r="AK1188">
        <v>0</v>
      </c>
      <c r="AL1188" t="s">
        <v>31</v>
      </c>
      <c r="AM1188">
        <v>0</v>
      </c>
      <c r="AN1188" t="s">
        <v>31</v>
      </c>
      <c r="AO1188">
        <v>0</v>
      </c>
      <c r="AP1188" t="s">
        <v>31</v>
      </c>
      <c r="AQ1188">
        <v>0</v>
      </c>
    </row>
    <row r="1189" spans="1:43" x14ac:dyDescent="0.2">
      <c r="A1189" t="s">
        <v>381</v>
      </c>
      <c r="B1189" s="3">
        <v>44328</v>
      </c>
      <c r="C1189">
        <v>97</v>
      </c>
      <c r="D1189" t="s">
        <v>387</v>
      </c>
      <c r="E1189" t="s">
        <v>180</v>
      </c>
      <c r="F1189" s="9" t="s">
        <v>181</v>
      </c>
      <c r="G1189" t="s">
        <v>26</v>
      </c>
      <c r="H1189" t="s">
        <v>132</v>
      </c>
      <c r="I1189" t="s">
        <v>133</v>
      </c>
      <c r="J1189" t="s">
        <v>43</v>
      </c>
      <c r="K1189" t="s">
        <v>44</v>
      </c>
      <c r="L1189" t="s">
        <v>29</v>
      </c>
      <c r="M1189" t="s">
        <v>30</v>
      </c>
      <c r="N1189" t="s">
        <v>132</v>
      </c>
      <c r="O1189" t="s">
        <v>133</v>
      </c>
      <c r="P1189" t="s">
        <v>43</v>
      </c>
      <c r="Q1189" t="s">
        <v>44</v>
      </c>
      <c r="R1189" s="1">
        <v>44328.567407407405</v>
      </c>
      <c r="S1189" s="1">
        <v>44328.567407407405</v>
      </c>
      <c r="T1189">
        <v>1</v>
      </c>
      <c r="U1189">
        <v>1</v>
      </c>
      <c r="V1189" s="2">
        <v>1</v>
      </c>
      <c r="W1189">
        <v>0</v>
      </c>
      <c r="X1189" t="s">
        <v>30</v>
      </c>
      <c r="Y1189">
        <v>0</v>
      </c>
      <c r="Z1189" t="s">
        <v>31</v>
      </c>
      <c r="AA1189">
        <v>0</v>
      </c>
      <c r="AB1189" t="s">
        <v>31</v>
      </c>
      <c r="AC1189">
        <v>0</v>
      </c>
      <c r="AD1189" t="s">
        <v>31</v>
      </c>
      <c r="AE1189">
        <v>0</v>
      </c>
      <c r="AF1189" t="s">
        <v>31</v>
      </c>
      <c r="AG1189">
        <v>0</v>
      </c>
      <c r="AH1189" t="s">
        <v>31</v>
      </c>
      <c r="AI1189">
        <v>0</v>
      </c>
      <c r="AJ1189" t="s">
        <v>31</v>
      </c>
      <c r="AK1189">
        <v>0</v>
      </c>
      <c r="AL1189" t="s">
        <v>31</v>
      </c>
      <c r="AM1189">
        <v>0</v>
      </c>
      <c r="AN1189" t="s">
        <v>31</v>
      </c>
      <c r="AO1189">
        <v>0</v>
      </c>
      <c r="AP1189" t="s">
        <v>31</v>
      </c>
      <c r="AQ1189">
        <v>0</v>
      </c>
    </row>
    <row r="1190" spans="1:43" x14ac:dyDescent="0.2">
      <c r="A1190" t="s">
        <v>381</v>
      </c>
      <c r="B1190" s="3">
        <v>44335</v>
      </c>
      <c r="C1190">
        <v>101</v>
      </c>
      <c r="D1190" t="s">
        <v>383</v>
      </c>
      <c r="E1190" t="s">
        <v>180</v>
      </c>
      <c r="F1190" s="9" t="s">
        <v>181</v>
      </c>
      <c r="G1190" t="s">
        <v>26</v>
      </c>
      <c r="H1190" t="s">
        <v>132</v>
      </c>
      <c r="I1190" t="s">
        <v>133</v>
      </c>
      <c r="J1190" t="s">
        <v>43</v>
      </c>
      <c r="K1190" t="s">
        <v>44</v>
      </c>
      <c r="L1190" t="s">
        <v>29</v>
      </c>
      <c r="M1190" t="s">
        <v>30</v>
      </c>
      <c r="N1190" t="s">
        <v>132</v>
      </c>
      <c r="O1190" t="s">
        <v>133</v>
      </c>
      <c r="P1190" t="s">
        <v>43</v>
      </c>
      <c r="Q1190" t="s">
        <v>44</v>
      </c>
      <c r="R1190" s="1">
        <v>44335.55976851852</v>
      </c>
      <c r="S1190" s="1">
        <v>44335.561099537037</v>
      </c>
      <c r="T1190">
        <v>0</v>
      </c>
      <c r="U1190">
        <v>5</v>
      </c>
      <c r="V1190" s="2">
        <v>0</v>
      </c>
      <c r="W1190">
        <v>0</v>
      </c>
      <c r="X1190" t="s">
        <v>44</v>
      </c>
      <c r="Y1190">
        <v>0</v>
      </c>
      <c r="Z1190" t="s">
        <v>44</v>
      </c>
      <c r="AA1190">
        <v>0</v>
      </c>
      <c r="AB1190" t="s">
        <v>45</v>
      </c>
      <c r="AC1190">
        <v>0</v>
      </c>
      <c r="AD1190" t="s">
        <v>61</v>
      </c>
      <c r="AE1190">
        <v>0</v>
      </c>
      <c r="AF1190" t="s">
        <v>47</v>
      </c>
      <c r="AG1190">
        <v>0</v>
      </c>
      <c r="AH1190" t="s">
        <v>31</v>
      </c>
      <c r="AI1190">
        <v>0</v>
      </c>
      <c r="AJ1190" t="s">
        <v>31</v>
      </c>
      <c r="AK1190">
        <v>0</v>
      </c>
      <c r="AL1190" t="s">
        <v>31</v>
      </c>
      <c r="AM1190">
        <v>0</v>
      </c>
      <c r="AN1190" t="s">
        <v>31</v>
      </c>
      <c r="AO1190">
        <v>0</v>
      </c>
      <c r="AP1190" t="s">
        <v>31</v>
      </c>
      <c r="AQ1190">
        <v>0</v>
      </c>
    </row>
    <row r="1191" spans="1:43" x14ac:dyDescent="0.2">
      <c r="A1191" t="s">
        <v>381</v>
      </c>
      <c r="B1191" s="3">
        <v>44336</v>
      </c>
      <c r="C1191">
        <v>102</v>
      </c>
      <c r="D1191" t="s">
        <v>383</v>
      </c>
      <c r="E1191" t="s">
        <v>180</v>
      </c>
      <c r="F1191" s="9" t="s">
        <v>181</v>
      </c>
      <c r="G1191" t="s">
        <v>26</v>
      </c>
      <c r="H1191" t="s">
        <v>132</v>
      </c>
      <c r="I1191" t="s">
        <v>133</v>
      </c>
      <c r="J1191" t="s">
        <v>43</v>
      </c>
      <c r="K1191" t="s">
        <v>44</v>
      </c>
      <c r="L1191" t="s">
        <v>29</v>
      </c>
      <c r="M1191" t="s">
        <v>30</v>
      </c>
      <c r="N1191" t="s">
        <v>64</v>
      </c>
      <c r="O1191" t="s">
        <v>65</v>
      </c>
      <c r="P1191" t="s">
        <v>29</v>
      </c>
      <c r="Q1191" t="s">
        <v>30</v>
      </c>
      <c r="R1191" s="1">
        <v>44336.454282407409</v>
      </c>
      <c r="S1191" s="1">
        <v>44336.455717592595</v>
      </c>
      <c r="T1191">
        <v>0</v>
      </c>
      <c r="U1191">
        <v>5</v>
      </c>
      <c r="V1191" s="2">
        <v>0</v>
      </c>
      <c r="W1191">
        <v>0</v>
      </c>
      <c r="X1191" t="s">
        <v>44</v>
      </c>
      <c r="Y1191">
        <v>0</v>
      </c>
      <c r="Z1191" t="s">
        <v>44</v>
      </c>
      <c r="AA1191">
        <v>0</v>
      </c>
      <c r="AB1191" t="s">
        <v>45</v>
      </c>
      <c r="AC1191">
        <v>0</v>
      </c>
      <c r="AD1191" t="s">
        <v>61</v>
      </c>
      <c r="AE1191">
        <v>0</v>
      </c>
      <c r="AF1191" t="s">
        <v>47</v>
      </c>
      <c r="AG1191">
        <v>0</v>
      </c>
      <c r="AH1191" t="s">
        <v>31</v>
      </c>
      <c r="AI1191">
        <v>0</v>
      </c>
      <c r="AJ1191" t="s">
        <v>31</v>
      </c>
      <c r="AK1191">
        <v>0</v>
      </c>
      <c r="AL1191" t="s">
        <v>31</v>
      </c>
      <c r="AM1191">
        <v>0</v>
      </c>
      <c r="AN1191" t="s">
        <v>31</v>
      </c>
      <c r="AO1191">
        <v>0</v>
      </c>
      <c r="AP1191" t="s">
        <v>31</v>
      </c>
      <c r="AQ1191">
        <v>0</v>
      </c>
    </row>
    <row r="1192" spans="1:43" x14ac:dyDescent="0.2">
      <c r="A1192" t="s">
        <v>381</v>
      </c>
      <c r="B1192" s="3">
        <v>44336</v>
      </c>
      <c r="C1192">
        <v>103</v>
      </c>
      <c r="D1192" t="s">
        <v>385</v>
      </c>
      <c r="E1192" t="s">
        <v>180</v>
      </c>
      <c r="F1192" s="9" t="s">
        <v>181</v>
      </c>
      <c r="G1192" t="s">
        <v>26</v>
      </c>
      <c r="H1192" t="s">
        <v>64</v>
      </c>
      <c r="I1192" t="s">
        <v>65</v>
      </c>
      <c r="J1192" t="s">
        <v>29</v>
      </c>
      <c r="K1192" t="s">
        <v>30</v>
      </c>
      <c r="L1192" t="s">
        <v>29</v>
      </c>
      <c r="M1192" t="s">
        <v>30</v>
      </c>
      <c r="N1192" t="s">
        <v>64</v>
      </c>
      <c r="O1192" t="s">
        <v>65</v>
      </c>
      <c r="P1192" t="s">
        <v>29</v>
      </c>
      <c r="Q1192" t="s">
        <v>30</v>
      </c>
      <c r="R1192" s="1">
        <v>44336.585787037038</v>
      </c>
      <c r="S1192" s="1">
        <v>44336.588703703703</v>
      </c>
      <c r="T1192">
        <v>0</v>
      </c>
      <c r="U1192">
        <v>10</v>
      </c>
      <c r="V1192" s="2">
        <v>0</v>
      </c>
      <c r="W1192">
        <v>0</v>
      </c>
      <c r="X1192" t="s">
        <v>44</v>
      </c>
      <c r="Y1192">
        <v>0</v>
      </c>
      <c r="Z1192" t="s">
        <v>44</v>
      </c>
      <c r="AA1192">
        <v>0</v>
      </c>
      <c r="AB1192" t="s">
        <v>45</v>
      </c>
      <c r="AC1192">
        <v>0</v>
      </c>
      <c r="AD1192" t="s">
        <v>61</v>
      </c>
      <c r="AE1192">
        <v>0</v>
      </c>
      <c r="AF1192" t="s">
        <v>47</v>
      </c>
      <c r="AG1192">
        <v>0</v>
      </c>
      <c r="AH1192" t="s">
        <v>44</v>
      </c>
      <c r="AI1192">
        <v>0</v>
      </c>
      <c r="AJ1192" t="s">
        <v>44</v>
      </c>
      <c r="AK1192">
        <v>0</v>
      </c>
      <c r="AL1192" t="s">
        <v>45</v>
      </c>
      <c r="AM1192">
        <v>0</v>
      </c>
      <c r="AN1192" t="s">
        <v>61</v>
      </c>
      <c r="AO1192">
        <v>0</v>
      </c>
      <c r="AP1192" t="s">
        <v>47</v>
      </c>
      <c r="AQ1192">
        <v>0</v>
      </c>
    </row>
    <row r="1193" spans="1:43" x14ac:dyDescent="0.2">
      <c r="A1193" t="s">
        <v>381</v>
      </c>
      <c r="B1193" s="3">
        <v>44338</v>
      </c>
      <c r="C1193">
        <v>106</v>
      </c>
      <c r="D1193" t="s">
        <v>408</v>
      </c>
      <c r="E1193" t="s">
        <v>180</v>
      </c>
      <c r="F1193" s="9" t="s">
        <v>181</v>
      </c>
      <c r="G1193" t="s">
        <v>26</v>
      </c>
      <c r="H1193" t="s">
        <v>64</v>
      </c>
      <c r="I1193" t="s">
        <v>65</v>
      </c>
      <c r="J1193" t="s">
        <v>29</v>
      </c>
      <c r="K1193" t="s">
        <v>30</v>
      </c>
      <c r="L1193" t="s">
        <v>29</v>
      </c>
      <c r="M1193" t="s">
        <v>30</v>
      </c>
      <c r="N1193" t="s">
        <v>185</v>
      </c>
      <c r="O1193" t="s">
        <v>186</v>
      </c>
      <c r="P1193" t="s">
        <v>29</v>
      </c>
      <c r="Q1193" t="s">
        <v>30</v>
      </c>
      <c r="R1193" s="1">
        <v>44338.452731481484</v>
      </c>
      <c r="S1193" s="1">
        <v>44338.452743055554</v>
      </c>
      <c r="T1193">
        <v>0</v>
      </c>
      <c r="U1193">
        <v>5</v>
      </c>
      <c r="V1193" s="2">
        <v>0</v>
      </c>
      <c r="W1193">
        <v>0</v>
      </c>
      <c r="X1193" t="s">
        <v>44</v>
      </c>
      <c r="Y1193">
        <v>0</v>
      </c>
      <c r="Z1193" t="s">
        <v>44</v>
      </c>
      <c r="AA1193">
        <v>0</v>
      </c>
      <c r="AB1193" t="s">
        <v>45</v>
      </c>
      <c r="AC1193">
        <v>0</v>
      </c>
      <c r="AD1193" t="s">
        <v>61</v>
      </c>
      <c r="AE1193">
        <v>0</v>
      </c>
      <c r="AF1193" t="s">
        <v>47</v>
      </c>
      <c r="AG1193">
        <v>0</v>
      </c>
      <c r="AH1193" t="s">
        <v>31</v>
      </c>
      <c r="AI1193">
        <v>0</v>
      </c>
      <c r="AJ1193" t="s">
        <v>31</v>
      </c>
      <c r="AK1193">
        <v>0</v>
      </c>
      <c r="AL1193" t="s">
        <v>31</v>
      </c>
      <c r="AM1193">
        <v>0</v>
      </c>
      <c r="AN1193" t="s">
        <v>31</v>
      </c>
      <c r="AO1193">
        <v>0</v>
      </c>
      <c r="AP1193" t="s">
        <v>31</v>
      </c>
      <c r="AQ1193">
        <v>0</v>
      </c>
    </row>
    <row r="1194" spans="1:43" x14ac:dyDescent="0.2">
      <c r="A1194" t="s">
        <v>381</v>
      </c>
      <c r="B1194" s="3">
        <v>44338</v>
      </c>
      <c r="C1194">
        <v>107</v>
      </c>
      <c r="D1194" t="s">
        <v>392</v>
      </c>
      <c r="E1194" t="s">
        <v>180</v>
      </c>
      <c r="F1194" s="9" t="s">
        <v>181</v>
      </c>
      <c r="G1194" t="s">
        <v>26</v>
      </c>
      <c r="H1194" t="s">
        <v>185</v>
      </c>
      <c r="I1194" t="s">
        <v>186</v>
      </c>
      <c r="J1194" t="s">
        <v>29</v>
      </c>
      <c r="K1194" t="s">
        <v>30</v>
      </c>
      <c r="L1194" t="s">
        <v>29</v>
      </c>
      <c r="M1194" t="s">
        <v>30</v>
      </c>
      <c r="N1194" t="s">
        <v>185</v>
      </c>
      <c r="O1194" t="s">
        <v>186</v>
      </c>
      <c r="P1194" t="s">
        <v>29</v>
      </c>
      <c r="Q1194" t="s">
        <v>30</v>
      </c>
      <c r="R1194" s="1">
        <v>44338.622997685183</v>
      </c>
      <c r="S1194" s="1">
        <v>44338.623020833336</v>
      </c>
      <c r="T1194">
        <v>1</v>
      </c>
      <c r="U1194">
        <v>4</v>
      </c>
      <c r="V1194" s="2">
        <v>0.25</v>
      </c>
      <c r="W1194">
        <v>0</v>
      </c>
      <c r="X1194" t="s">
        <v>44</v>
      </c>
      <c r="Y1194">
        <v>0</v>
      </c>
      <c r="Z1194" t="s">
        <v>44</v>
      </c>
      <c r="AA1194">
        <v>0</v>
      </c>
      <c r="AB1194" t="s">
        <v>45</v>
      </c>
      <c r="AC1194">
        <v>0</v>
      </c>
      <c r="AD1194" t="s">
        <v>30</v>
      </c>
      <c r="AE1194">
        <v>0</v>
      </c>
      <c r="AF1194" t="s">
        <v>31</v>
      </c>
      <c r="AG1194">
        <v>0</v>
      </c>
      <c r="AH1194" t="s">
        <v>31</v>
      </c>
      <c r="AI1194">
        <v>0</v>
      </c>
      <c r="AJ1194" t="s">
        <v>31</v>
      </c>
      <c r="AK1194">
        <v>0</v>
      </c>
      <c r="AL1194" t="s">
        <v>31</v>
      </c>
      <c r="AM1194">
        <v>0</v>
      </c>
      <c r="AN1194" t="s">
        <v>31</v>
      </c>
      <c r="AO1194">
        <v>0</v>
      </c>
      <c r="AP1194" t="s">
        <v>31</v>
      </c>
      <c r="AQ1194">
        <v>0</v>
      </c>
    </row>
    <row r="1195" spans="1:43" x14ac:dyDescent="0.2">
      <c r="A1195" t="s">
        <v>381</v>
      </c>
      <c r="B1195" s="3">
        <v>44340</v>
      </c>
      <c r="C1195">
        <v>108</v>
      </c>
      <c r="D1195" t="s">
        <v>393</v>
      </c>
      <c r="E1195" t="s">
        <v>180</v>
      </c>
      <c r="F1195" s="9" t="s">
        <v>181</v>
      </c>
      <c r="G1195" t="s">
        <v>26</v>
      </c>
      <c r="H1195" t="s">
        <v>185</v>
      </c>
      <c r="I1195" t="s">
        <v>186</v>
      </c>
      <c r="J1195" t="s">
        <v>29</v>
      </c>
      <c r="K1195" t="s">
        <v>30</v>
      </c>
      <c r="L1195" t="s">
        <v>29</v>
      </c>
      <c r="M1195" t="s">
        <v>30</v>
      </c>
      <c r="N1195" t="s">
        <v>185</v>
      </c>
      <c r="O1195" t="s">
        <v>186</v>
      </c>
      <c r="P1195" t="s">
        <v>29</v>
      </c>
      <c r="Q1195" t="s">
        <v>30</v>
      </c>
      <c r="R1195" s="1">
        <v>44340.461215277777</v>
      </c>
      <c r="S1195" s="1">
        <v>44340.462280092594</v>
      </c>
      <c r="T1195">
        <v>3</v>
      </c>
      <c r="U1195">
        <v>6</v>
      </c>
      <c r="V1195" s="2">
        <v>0.5</v>
      </c>
      <c r="W1195">
        <v>0</v>
      </c>
      <c r="X1195" t="s">
        <v>44</v>
      </c>
      <c r="Y1195">
        <v>0</v>
      </c>
      <c r="Z1195" t="s">
        <v>44</v>
      </c>
      <c r="AA1195">
        <v>0</v>
      </c>
      <c r="AB1195" t="s">
        <v>45</v>
      </c>
      <c r="AC1195">
        <v>0</v>
      </c>
      <c r="AD1195" t="s">
        <v>30</v>
      </c>
      <c r="AE1195">
        <v>0</v>
      </c>
      <c r="AF1195" t="s">
        <v>30</v>
      </c>
      <c r="AG1195">
        <v>0</v>
      </c>
      <c r="AH1195" t="s">
        <v>30</v>
      </c>
      <c r="AI1195">
        <v>0</v>
      </c>
      <c r="AJ1195" t="s">
        <v>31</v>
      </c>
      <c r="AK1195">
        <v>0</v>
      </c>
      <c r="AL1195" t="s">
        <v>31</v>
      </c>
      <c r="AM1195">
        <v>0</v>
      </c>
      <c r="AN1195" t="s">
        <v>31</v>
      </c>
      <c r="AO1195">
        <v>0</v>
      </c>
      <c r="AP1195" t="s">
        <v>31</v>
      </c>
      <c r="AQ1195">
        <v>0</v>
      </c>
    </row>
    <row r="1196" spans="1:43" x14ac:dyDescent="0.2">
      <c r="A1196" t="s">
        <v>381</v>
      </c>
      <c r="B1196" s="3">
        <v>44340</v>
      </c>
      <c r="C1196">
        <v>109</v>
      </c>
      <c r="D1196" t="s">
        <v>383</v>
      </c>
      <c r="E1196" t="s">
        <v>180</v>
      </c>
      <c r="F1196" s="9" t="s">
        <v>181</v>
      </c>
      <c r="G1196" t="s">
        <v>26</v>
      </c>
      <c r="H1196" t="s">
        <v>185</v>
      </c>
      <c r="I1196" t="s">
        <v>186</v>
      </c>
      <c r="J1196" t="s">
        <v>29</v>
      </c>
      <c r="K1196" t="s">
        <v>30</v>
      </c>
      <c r="L1196" t="s">
        <v>29</v>
      </c>
      <c r="M1196" t="s">
        <v>30</v>
      </c>
      <c r="N1196" t="s">
        <v>185</v>
      </c>
      <c r="O1196" t="s">
        <v>186</v>
      </c>
      <c r="P1196" t="s">
        <v>29</v>
      </c>
      <c r="Q1196" t="s">
        <v>30</v>
      </c>
      <c r="R1196" s="1">
        <v>44340.618958333333</v>
      </c>
      <c r="S1196" s="1">
        <v>44340.618958333333</v>
      </c>
      <c r="T1196">
        <v>1</v>
      </c>
      <c r="U1196">
        <v>1</v>
      </c>
      <c r="V1196" s="2">
        <v>1</v>
      </c>
      <c r="W1196">
        <v>0</v>
      </c>
      <c r="X1196" t="s">
        <v>30</v>
      </c>
      <c r="Y1196">
        <v>0</v>
      </c>
      <c r="Z1196" t="s">
        <v>31</v>
      </c>
      <c r="AA1196">
        <v>0</v>
      </c>
      <c r="AB1196" t="s">
        <v>31</v>
      </c>
      <c r="AC1196">
        <v>0</v>
      </c>
      <c r="AD1196" t="s">
        <v>31</v>
      </c>
      <c r="AE1196">
        <v>0</v>
      </c>
      <c r="AF1196" t="s">
        <v>31</v>
      </c>
      <c r="AG1196">
        <v>0</v>
      </c>
      <c r="AH1196" t="s">
        <v>31</v>
      </c>
      <c r="AI1196">
        <v>0</v>
      </c>
      <c r="AJ1196" t="s">
        <v>31</v>
      </c>
      <c r="AK1196">
        <v>0</v>
      </c>
      <c r="AL1196" t="s">
        <v>31</v>
      </c>
      <c r="AM1196">
        <v>0</v>
      </c>
      <c r="AN1196" t="s">
        <v>31</v>
      </c>
      <c r="AO1196">
        <v>0</v>
      </c>
      <c r="AP1196" t="s">
        <v>31</v>
      </c>
      <c r="AQ1196">
        <v>0</v>
      </c>
    </row>
    <row r="1197" spans="1:43" x14ac:dyDescent="0.2">
      <c r="A1197" t="s">
        <v>381</v>
      </c>
      <c r="B1197" s="3">
        <v>44341</v>
      </c>
      <c r="C1197">
        <v>111</v>
      </c>
      <c r="D1197" t="s">
        <v>385</v>
      </c>
      <c r="E1197" t="s">
        <v>180</v>
      </c>
      <c r="F1197" s="9" t="s">
        <v>181</v>
      </c>
      <c r="G1197" t="s">
        <v>26</v>
      </c>
      <c r="H1197" t="s">
        <v>185</v>
      </c>
      <c r="I1197" t="s">
        <v>186</v>
      </c>
      <c r="J1197" t="s">
        <v>29</v>
      </c>
      <c r="K1197" t="s">
        <v>30</v>
      </c>
      <c r="L1197" t="s">
        <v>29</v>
      </c>
      <c r="M1197" t="s">
        <v>30</v>
      </c>
      <c r="N1197" t="s">
        <v>185</v>
      </c>
      <c r="O1197" t="s">
        <v>186</v>
      </c>
      <c r="P1197" t="s">
        <v>29</v>
      </c>
      <c r="Q1197" t="s">
        <v>30</v>
      </c>
      <c r="R1197" s="1">
        <v>44341.632199074076</v>
      </c>
      <c r="S1197" s="1">
        <v>44341.633611111109</v>
      </c>
      <c r="T1197">
        <v>0</v>
      </c>
      <c r="U1197">
        <v>5</v>
      </c>
      <c r="V1197" s="2">
        <v>0</v>
      </c>
      <c r="W1197">
        <v>0</v>
      </c>
      <c r="X1197" t="s">
        <v>44</v>
      </c>
      <c r="Y1197">
        <v>0</v>
      </c>
      <c r="Z1197" t="s">
        <v>44</v>
      </c>
      <c r="AA1197">
        <v>0</v>
      </c>
      <c r="AB1197" t="s">
        <v>45</v>
      </c>
      <c r="AC1197">
        <v>0</v>
      </c>
      <c r="AD1197" t="s">
        <v>61</v>
      </c>
      <c r="AE1197">
        <v>0</v>
      </c>
      <c r="AF1197" t="s">
        <v>47</v>
      </c>
      <c r="AG1197">
        <v>0</v>
      </c>
      <c r="AH1197" t="s">
        <v>31</v>
      </c>
      <c r="AI1197">
        <v>0</v>
      </c>
      <c r="AJ1197" t="s">
        <v>31</v>
      </c>
      <c r="AK1197">
        <v>0</v>
      </c>
      <c r="AL1197" t="s">
        <v>31</v>
      </c>
      <c r="AM1197">
        <v>0</v>
      </c>
      <c r="AN1197" t="s">
        <v>31</v>
      </c>
      <c r="AO1197">
        <v>0</v>
      </c>
      <c r="AP1197" t="s">
        <v>31</v>
      </c>
      <c r="AQ1197">
        <v>0</v>
      </c>
    </row>
    <row r="1198" spans="1:43" x14ac:dyDescent="0.2">
      <c r="A1198" t="s">
        <v>381</v>
      </c>
      <c r="B1198" s="3">
        <v>44343</v>
      </c>
      <c r="C1198">
        <v>115</v>
      </c>
      <c r="D1198" t="s">
        <v>395</v>
      </c>
      <c r="E1198" t="s">
        <v>180</v>
      </c>
      <c r="F1198" s="9" t="s">
        <v>181</v>
      </c>
      <c r="G1198" t="s">
        <v>26</v>
      </c>
      <c r="H1198" t="s">
        <v>185</v>
      </c>
      <c r="I1198" t="s">
        <v>186</v>
      </c>
      <c r="J1198" t="s">
        <v>29</v>
      </c>
      <c r="K1198" t="s">
        <v>30</v>
      </c>
      <c r="L1198" t="s">
        <v>29</v>
      </c>
      <c r="M1198" t="s">
        <v>30</v>
      </c>
      <c r="N1198" t="s">
        <v>185</v>
      </c>
      <c r="O1198" t="s">
        <v>186</v>
      </c>
      <c r="P1198" t="s">
        <v>29</v>
      </c>
      <c r="Q1198" t="s">
        <v>30</v>
      </c>
      <c r="R1198" s="1">
        <v>44343.422488425924</v>
      </c>
      <c r="S1198" s="1">
        <v>44343.422685185185</v>
      </c>
      <c r="T1198">
        <v>1</v>
      </c>
      <c r="U1198">
        <v>2</v>
      </c>
      <c r="V1198" s="2">
        <v>0.5</v>
      </c>
      <c r="W1198">
        <v>0</v>
      </c>
      <c r="X1198" t="s">
        <v>44</v>
      </c>
      <c r="Y1198">
        <v>0</v>
      </c>
      <c r="Z1198" t="s">
        <v>30</v>
      </c>
      <c r="AA1198">
        <v>0</v>
      </c>
      <c r="AB1198" t="s">
        <v>31</v>
      </c>
      <c r="AC1198">
        <v>0</v>
      </c>
      <c r="AD1198" t="s">
        <v>31</v>
      </c>
      <c r="AE1198">
        <v>0</v>
      </c>
      <c r="AF1198" t="s">
        <v>31</v>
      </c>
      <c r="AG1198">
        <v>0</v>
      </c>
      <c r="AH1198" t="s">
        <v>31</v>
      </c>
      <c r="AI1198">
        <v>0</v>
      </c>
      <c r="AJ1198" t="s">
        <v>31</v>
      </c>
      <c r="AK1198">
        <v>0</v>
      </c>
      <c r="AL1198" t="s">
        <v>31</v>
      </c>
      <c r="AM1198">
        <v>0</v>
      </c>
      <c r="AN1198" t="s">
        <v>31</v>
      </c>
      <c r="AO1198">
        <v>0</v>
      </c>
      <c r="AP1198" t="s">
        <v>31</v>
      </c>
      <c r="AQ1198">
        <v>0</v>
      </c>
    </row>
    <row r="1199" spans="1:43" x14ac:dyDescent="0.2">
      <c r="A1199" t="s">
        <v>381</v>
      </c>
      <c r="B1199" s="3">
        <v>44344</v>
      </c>
      <c r="C1199">
        <v>116</v>
      </c>
      <c r="D1199" t="s">
        <v>390</v>
      </c>
      <c r="E1199" t="s">
        <v>180</v>
      </c>
      <c r="F1199" s="9" t="s">
        <v>181</v>
      </c>
      <c r="G1199" t="s">
        <v>26</v>
      </c>
      <c r="H1199" t="s">
        <v>185</v>
      </c>
      <c r="I1199" t="s">
        <v>186</v>
      </c>
      <c r="J1199" t="s">
        <v>29</v>
      </c>
      <c r="K1199" t="s">
        <v>30</v>
      </c>
      <c r="L1199" t="s">
        <v>29</v>
      </c>
      <c r="M1199" t="s">
        <v>30</v>
      </c>
      <c r="N1199" t="s">
        <v>185</v>
      </c>
      <c r="O1199" t="s">
        <v>186</v>
      </c>
      <c r="P1199" t="s">
        <v>29</v>
      </c>
      <c r="Q1199" t="s">
        <v>30</v>
      </c>
      <c r="R1199" s="1">
        <v>44344.481087962966</v>
      </c>
      <c r="S1199" s="1">
        <v>44344.481087962966</v>
      </c>
      <c r="T1199">
        <v>1</v>
      </c>
      <c r="U1199">
        <v>1</v>
      </c>
      <c r="V1199" s="2">
        <v>1</v>
      </c>
      <c r="W1199">
        <v>0</v>
      </c>
      <c r="X1199" t="s">
        <v>30</v>
      </c>
      <c r="Y1199">
        <v>0</v>
      </c>
      <c r="Z1199" t="s">
        <v>31</v>
      </c>
      <c r="AA1199">
        <v>0</v>
      </c>
      <c r="AB1199" t="s">
        <v>31</v>
      </c>
      <c r="AC1199">
        <v>0</v>
      </c>
      <c r="AD1199" t="s">
        <v>31</v>
      </c>
      <c r="AE1199">
        <v>0</v>
      </c>
      <c r="AF1199" t="s">
        <v>31</v>
      </c>
      <c r="AG1199">
        <v>0</v>
      </c>
      <c r="AH1199" t="s">
        <v>31</v>
      </c>
      <c r="AI1199">
        <v>0</v>
      </c>
      <c r="AJ1199" t="s">
        <v>31</v>
      </c>
      <c r="AK1199">
        <v>0</v>
      </c>
      <c r="AL1199" t="s">
        <v>31</v>
      </c>
      <c r="AM1199">
        <v>0</v>
      </c>
      <c r="AN1199" t="s">
        <v>31</v>
      </c>
      <c r="AO1199">
        <v>0</v>
      </c>
      <c r="AP1199" t="s">
        <v>31</v>
      </c>
      <c r="AQ1199">
        <v>0</v>
      </c>
    </row>
    <row r="1200" spans="1:43" x14ac:dyDescent="0.2">
      <c r="A1200" t="s">
        <v>381</v>
      </c>
      <c r="B1200" s="3">
        <v>44348</v>
      </c>
      <c r="C1200">
        <v>118</v>
      </c>
      <c r="D1200" t="s">
        <v>396</v>
      </c>
      <c r="E1200" t="s">
        <v>180</v>
      </c>
      <c r="F1200" s="9" t="s">
        <v>181</v>
      </c>
      <c r="G1200" t="s">
        <v>26</v>
      </c>
      <c r="H1200" t="s">
        <v>185</v>
      </c>
      <c r="I1200" t="s">
        <v>186</v>
      </c>
      <c r="J1200" t="s">
        <v>29</v>
      </c>
      <c r="K1200" t="s">
        <v>30</v>
      </c>
      <c r="L1200" t="s">
        <v>29</v>
      </c>
      <c r="M1200" t="s">
        <v>30</v>
      </c>
      <c r="N1200" t="s">
        <v>64</v>
      </c>
      <c r="O1200" t="s">
        <v>65</v>
      </c>
      <c r="P1200" t="s">
        <v>43</v>
      </c>
      <c r="Q1200" t="s">
        <v>44</v>
      </c>
      <c r="R1200" s="1">
        <v>44348.41165509259</v>
      </c>
      <c r="S1200" s="1">
        <v>44348.41165509259</v>
      </c>
      <c r="T1200">
        <v>1</v>
      </c>
      <c r="U1200">
        <v>1</v>
      </c>
      <c r="V1200" s="2">
        <v>1</v>
      </c>
      <c r="W1200">
        <v>0</v>
      </c>
      <c r="X1200" t="s">
        <v>30</v>
      </c>
      <c r="Y1200">
        <v>0</v>
      </c>
      <c r="Z1200" t="s">
        <v>31</v>
      </c>
      <c r="AA1200">
        <v>0</v>
      </c>
      <c r="AB1200" t="s">
        <v>31</v>
      </c>
      <c r="AC1200">
        <v>0</v>
      </c>
      <c r="AD1200" t="s">
        <v>31</v>
      </c>
      <c r="AE1200">
        <v>0</v>
      </c>
      <c r="AF1200" t="s">
        <v>31</v>
      </c>
      <c r="AG1200">
        <v>0</v>
      </c>
      <c r="AH1200" t="s">
        <v>31</v>
      </c>
      <c r="AI1200">
        <v>0</v>
      </c>
      <c r="AJ1200" t="s">
        <v>31</v>
      </c>
      <c r="AK1200">
        <v>0</v>
      </c>
      <c r="AL1200" t="s">
        <v>31</v>
      </c>
      <c r="AM1200">
        <v>0</v>
      </c>
      <c r="AN1200" t="s">
        <v>31</v>
      </c>
      <c r="AO1200">
        <v>0</v>
      </c>
      <c r="AP1200" t="s">
        <v>31</v>
      </c>
      <c r="AQ1200">
        <v>0</v>
      </c>
    </row>
    <row r="1201" spans="1:43" x14ac:dyDescent="0.2">
      <c r="A1201" t="s">
        <v>381</v>
      </c>
      <c r="B1201" s="3">
        <v>44348</v>
      </c>
      <c r="C1201">
        <v>119</v>
      </c>
      <c r="D1201" t="s">
        <v>385</v>
      </c>
      <c r="E1201" t="s">
        <v>180</v>
      </c>
      <c r="F1201" s="9" t="s">
        <v>181</v>
      </c>
      <c r="G1201" t="s">
        <v>26</v>
      </c>
      <c r="H1201" t="s">
        <v>64</v>
      </c>
      <c r="I1201" t="s">
        <v>65</v>
      </c>
      <c r="J1201" t="s">
        <v>43</v>
      </c>
      <c r="K1201" t="s">
        <v>44</v>
      </c>
      <c r="L1201" t="s">
        <v>29</v>
      </c>
      <c r="M1201" t="s">
        <v>30</v>
      </c>
      <c r="N1201" t="s">
        <v>64</v>
      </c>
      <c r="O1201" t="s">
        <v>65</v>
      </c>
      <c r="P1201" t="s">
        <v>43</v>
      </c>
      <c r="Q1201" t="s">
        <v>44</v>
      </c>
      <c r="R1201" s="1">
        <v>44348.638506944444</v>
      </c>
      <c r="S1201" s="1">
        <v>44348.638506944444</v>
      </c>
      <c r="T1201">
        <v>1</v>
      </c>
      <c r="U1201">
        <v>1</v>
      </c>
      <c r="V1201" s="2">
        <v>1</v>
      </c>
      <c r="W1201">
        <v>0</v>
      </c>
      <c r="X1201" t="s">
        <v>30</v>
      </c>
      <c r="Y1201">
        <v>0</v>
      </c>
      <c r="Z1201" t="s">
        <v>31</v>
      </c>
      <c r="AA1201">
        <v>0</v>
      </c>
      <c r="AB1201" t="s">
        <v>31</v>
      </c>
      <c r="AC1201">
        <v>0</v>
      </c>
      <c r="AD1201" t="s">
        <v>31</v>
      </c>
      <c r="AE1201">
        <v>0</v>
      </c>
      <c r="AF1201" t="s">
        <v>31</v>
      </c>
      <c r="AG1201">
        <v>0</v>
      </c>
      <c r="AH1201" t="s">
        <v>31</v>
      </c>
      <c r="AI1201">
        <v>0</v>
      </c>
      <c r="AJ1201" t="s">
        <v>31</v>
      </c>
      <c r="AK1201">
        <v>0</v>
      </c>
      <c r="AL1201" t="s">
        <v>31</v>
      </c>
      <c r="AM1201">
        <v>0</v>
      </c>
      <c r="AN1201" t="s">
        <v>31</v>
      </c>
      <c r="AO1201">
        <v>0</v>
      </c>
      <c r="AP1201" t="s">
        <v>31</v>
      </c>
      <c r="AQ1201">
        <v>0</v>
      </c>
    </row>
    <row r="1202" spans="1:43" x14ac:dyDescent="0.2">
      <c r="A1202" t="s">
        <v>381</v>
      </c>
      <c r="B1202" s="3">
        <v>44349</v>
      </c>
      <c r="C1202">
        <v>121</v>
      </c>
      <c r="D1202" t="s">
        <v>385</v>
      </c>
      <c r="E1202" t="s">
        <v>180</v>
      </c>
      <c r="F1202" s="9" t="s">
        <v>181</v>
      </c>
      <c r="G1202" t="s">
        <v>26</v>
      </c>
      <c r="H1202" t="s">
        <v>64</v>
      </c>
      <c r="I1202" t="s">
        <v>65</v>
      </c>
      <c r="J1202" t="s">
        <v>43</v>
      </c>
      <c r="K1202" t="s">
        <v>44</v>
      </c>
      <c r="L1202" t="s">
        <v>29</v>
      </c>
      <c r="M1202" t="s">
        <v>30</v>
      </c>
      <c r="N1202" t="s">
        <v>132</v>
      </c>
      <c r="O1202" t="s">
        <v>133</v>
      </c>
      <c r="P1202" t="s">
        <v>43</v>
      </c>
      <c r="Q1202" t="s">
        <v>44</v>
      </c>
      <c r="R1202" s="1">
        <v>44349.631631944445</v>
      </c>
      <c r="S1202" s="1">
        <v>44349.631631944445</v>
      </c>
      <c r="T1202">
        <v>1</v>
      </c>
      <c r="U1202">
        <v>1</v>
      </c>
      <c r="V1202" s="2">
        <v>1</v>
      </c>
      <c r="W1202">
        <v>0</v>
      </c>
      <c r="X1202" t="s">
        <v>30</v>
      </c>
      <c r="Y1202">
        <v>0</v>
      </c>
      <c r="Z1202" t="s">
        <v>31</v>
      </c>
      <c r="AA1202">
        <v>0</v>
      </c>
      <c r="AB1202" t="s">
        <v>31</v>
      </c>
      <c r="AC1202">
        <v>0</v>
      </c>
      <c r="AD1202" t="s">
        <v>31</v>
      </c>
      <c r="AE1202">
        <v>0</v>
      </c>
      <c r="AF1202" t="s">
        <v>31</v>
      </c>
      <c r="AG1202">
        <v>0</v>
      </c>
      <c r="AH1202" t="s">
        <v>31</v>
      </c>
      <c r="AI1202">
        <v>0</v>
      </c>
      <c r="AJ1202" t="s">
        <v>31</v>
      </c>
      <c r="AK1202">
        <v>0</v>
      </c>
      <c r="AL1202" t="s">
        <v>31</v>
      </c>
      <c r="AM1202">
        <v>0</v>
      </c>
      <c r="AN1202" t="s">
        <v>31</v>
      </c>
      <c r="AO1202">
        <v>0</v>
      </c>
      <c r="AP1202" t="s">
        <v>31</v>
      </c>
      <c r="AQ1202">
        <v>0</v>
      </c>
    </row>
    <row r="1203" spans="1:43" x14ac:dyDescent="0.2">
      <c r="A1203" t="s">
        <v>381</v>
      </c>
      <c r="B1203" s="3">
        <v>44351</v>
      </c>
      <c r="C1203">
        <v>124</v>
      </c>
      <c r="D1203" t="s">
        <v>390</v>
      </c>
      <c r="E1203" t="s">
        <v>180</v>
      </c>
      <c r="F1203" s="9" t="s">
        <v>181</v>
      </c>
      <c r="G1203" t="s">
        <v>26</v>
      </c>
      <c r="H1203" t="s">
        <v>132</v>
      </c>
      <c r="I1203" t="s">
        <v>133</v>
      </c>
      <c r="J1203" t="s">
        <v>43</v>
      </c>
      <c r="K1203" t="s">
        <v>44</v>
      </c>
      <c r="L1203" t="s">
        <v>29</v>
      </c>
      <c r="M1203" t="s">
        <v>30</v>
      </c>
      <c r="N1203" t="s">
        <v>132</v>
      </c>
      <c r="O1203" t="s">
        <v>133</v>
      </c>
      <c r="P1203" t="s">
        <v>43</v>
      </c>
      <c r="Q1203" t="s">
        <v>44</v>
      </c>
      <c r="R1203" s="1">
        <v>44351.460821759261</v>
      </c>
      <c r="S1203" s="1">
        <v>44351.461828703701</v>
      </c>
      <c r="T1203">
        <v>1</v>
      </c>
      <c r="U1203">
        <v>7</v>
      </c>
      <c r="V1203" s="2">
        <v>0.14000000000000001</v>
      </c>
      <c r="W1203">
        <v>0</v>
      </c>
      <c r="X1203" t="s">
        <v>44</v>
      </c>
      <c r="Y1203">
        <v>0</v>
      </c>
      <c r="Z1203" t="s">
        <v>44</v>
      </c>
      <c r="AA1203">
        <v>0</v>
      </c>
      <c r="AB1203" t="s">
        <v>45</v>
      </c>
      <c r="AC1203">
        <v>0</v>
      </c>
      <c r="AD1203" t="s">
        <v>61</v>
      </c>
      <c r="AE1203">
        <v>0</v>
      </c>
      <c r="AF1203" t="s">
        <v>47</v>
      </c>
      <c r="AG1203">
        <v>0</v>
      </c>
      <c r="AH1203" t="s">
        <v>44</v>
      </c>
      <c r="AI1203">
        <v>0</v>
      </c>
      <c r="AJ1203" t="s">
        <v>30</v>
      </c>
      <c r="AK1203">
        <v>0</v>
      </c>
      <c r="AL1203" t="s">
        <v>31</v>
      </c>
      <c r="AM1203">
        <v>0</v>
      </c>
      <c r="AN1203" t="s">
        <v>31</v>
      </c>
      <c r="AO1203">
        <v>0</v>
      </c>
      <c r="AP1203" t="s">
        <v>31</v>
      </c>
      <c r="AQ1203">
        <v>0</v>
      </c>
    </row>
    <row r="1204" spans="1:43" x14ac:dyDescent="0.2">
      <c r="A1204" t="s">
        <v>381</v>
      </c>
      <c r="B1204" s="3">
        <v>44355</v>
      </c>
      <c r="C1204">
        <v>128</v>
      </c>
      <c r="D1204" t="s">
        <v>406</v>
      </c>
      <c r="E1204" t="s">
        <v>180</v>
      </c>
      <c r="F1204" s="9" t="s">
        <v>181</v>
      </c>
      <c r="G1204" t="s">
        <v>26</v>
      </c>
      <c r="H1204" t="s">
        <v>132</v>
      </c>
      <c r="I1204" t="s">
        <v>133</v>
      </c>
      <c r="J1204" t="s">
        <v>43</v>
      </c>
      <c r="K1204" t="s">
        <v>44</v>
      </c>
      <c r="L1204" t="s">
        <v>29</v>
      </c>
      <c r="M1204" t="s">
        <v>30</v>
      </c>
      <c r="N1204" t="s">
        <v>64</v>
      </c>
      <c r="O1204" t="s">
        <v>65</v>
      </c>
      <c r="P1204" t="s">
        <v>29</v>
      </c>
      <c r="Q1204" t="s">
        <v>30</v>
      </c>
      <c r="R1204" s="1">
        <v>44355.404467592591</v>
      </c>
      <c r="S1204" s="1">
        <v>44355.406805555554</v>
      </c>
      <c r="T1204">
        <v>0</v>
      </c>
      <c r="U1204">
        <v>9</v>
      </c>
      <c r="V1204" s="2">
        <v>0</v>
      </c>
      <c r="W1204">
        <v>0</v>
      </c>
      <c r="X1204" t="s">
        <v>44</v>
      </c>
      <c r="Y1204">
        <v>0</v>
      </c>
      <c r="Z1204" t="s">
        <v>44</v>
      </c>
      <c r="AA1204">
        <v>0</v>
      </c>
      <c r="AB1204" t="s">
        <v>45</v>
      </c>
      <c r="AC1204">
        <v>0</v>
      </c>
      <c r="AD1204" t="s">
        <v>61</v>
      </c>
      <c r="AE1204">
        <v>0</v>
      </c>
      <c r="AF1204" t="s">
        <v>44</v>
      </c>
      <c r="AG1204">
        <v>0</v>
      </c>
      <c r="AH1204" t="s">
        <v>44</v>
      </c>
      <c r="AI1204">
        <v>0</v>
      </c>
      <c r="AJ1204" t="s">
        <v>45</v>
      </c>
      <c r="AK1204">
        <v>0</v>
      </c>
      <c r="AL1204" t="s">
        <v>61</v>
      </c>
      <c r="AM1204">
        <v>0</v>
      </c>
      <c r="AN1204" t="s">
        <v>47</v>
      </c>
      <c r="AO1204">
        <v>0</v>
      </c>
      <c r="AP1204" t="s">
        <v>31</v>
      </c>
      <c r="AQ1204">
        <v>0</v>
      </c>
    </row>
    <row r="1205" spans="1:43" x14ac:dyDescent="0.2">
      <c r="A1205" t="s">
        <v>381</v>
      </c>
      <c r="B1205" s="3">
        <v>44356</v>
      </c>
      <c r="C1205">
        <v>130</v>
      </c>
      <c r="D1205" t="s">
        <v>398</v>
      </c>
      <c r="E1205" t="s">
        <v>180</v>
      </c>
      <c r="F1205" s="9" t="s">
        <v>181</v>
      </c>
      <c r="G1205" t="s">
        <v>26</v>
      </c>
      <c r="H1205" t="s">
        <v>64</v>
      </c>
      <c r="I1205" t="s">
        <v>65</v>
      </c>
      <c r="J1205" t="s">
        <v>29</v>
      </c>
      <c r="K1205" t="s">
        <v>30</v>
      </c>
      <c r="L1205" t="s">
        <v>29</v>
      </c>
      <c r="M1205" t="s">
        <v>30</v>
      </c>
      <c r="N1205" t="s">
        <v>64</v>
      </c>
      <c r="O1205" t="s">
        <v>65</v>
      </c>
      <c r="P1205" t="s">
        <v>29</v>
      </c>
      <c r="Q1205" t="s">
        <v>30</v>
      </c>
      <c r="R1205" s="1">
        <v>44356.416620370372</v>
      </c>
      <c r="S1205" s="1">
        <v>44356.417824074073</v>
      </c>
      <c r="T1205">
        <v>3</v>
      </c>
      <c r="U1205">
        <v>4</v>
      </c>
      <c r="V1205" s="2">
        <v>0.75</v>
      </c>
      <c r="W1205">
        <v>0</v>
      </c>
      <c r="X1205" t="s">
        <v>44</v>
      </c>
      <c r="Y1205">
        <v>0</v>
      </c>
      <c r="Z1205" t="s">
        <v>30</v>
      </c>
      <c r="AA1205">
        <v>0</v>
      </c>
      <c r="AB1205" t="s">
        <v>30</v>
      </c>
      <c r="AC1205">
        <v>0</v>
      </c>
      <c r="AD1205" t="s">
        <v>30</v>
      </c>
      <c r="AE1205">
        <v>0</v>
      </c>
      <c r="AF1205" t="s">
        <v>31</v>
      </c>
      <c r="AG1205">
        <v>0</v>
      </c>
      <c r="AH1205" t="s">
        <v>31</v>
      </c>
      <c r="AI1205">
        <v>0</v>
      </c>
      <c r="AJ1205" t="s">
        <v>31</v>
      </c>
      <c r="AK1205">
        <v>0</v>
      </c>
      <c r="AL1205" t="s">
        <v>31</v>
      </c>
      <c r="AM1205">
        <v>0</v>
      </c>
      <c r="AN1205" t="s">
        <v>31</v>
      </c>
      <c r="AO1205">
        <v>0</v>
      </c>
      <c r="AP1205" t="s">
        <v>31</v>
      </c>
      <c r="AQ1205">
        <v>0</v>
      </c>
    </row>
    <row r="1206" spans="1:43" x14ac:dyDescent="0.2">
      <c r="A1206" t="s">
        <v>381</v>
      </c>
      <c r="B1206" s="3">
        <v>44357</v>
      </c>
      <c r="C1206">
        <v>132</v>
      </c>
      <c r="D1206" t="s">
        <v>399</v>
      </c>
      <c r="E1206" t="s">
        <v>180</v>
      </c>
      <c r="F1206" s="9" t="s">
        <v>181</v>
      </c>
      <c r="G1206" t="s">
        <v>26</v>
      </c>
      <c r="H1206" t="s">
        <v>64</v>
      </c>
      <c r="I1206" t="s">
        <v>65</v>
      </c>
      <c r="J1206" t="s">
        <v>29</v>
      </c>
      <c r="K1206" t="s">
        <v>30</v>
      </c>
      <c r="L1206" t="s">
        <v>29</v>
      </c>
      <c r="M1206" t="s">
        <v>30</v>
      </c>
      <c r="N1206" t="s">
        <v>64</v>
      </c>
      <c r="O1206" t="s">
        <v>65</v>
      </c>
      <c r="P1206" t="s">
        <v>29</v>
      </c>
      <c r="Q1206" t="s">
        <v>30</v>
      </c>
      <c r="R1206" s="1">
        <v>44357.388472222221</v>
      </c>
      <c r="S1206" s="1">
        <v>44357.38857638889</v>
      </c>
      <c r="T1206">
        <v>1</v>
      </c>
      <c r="U1206">
        <v>1</v>
      </c>
      <c r="V1206" s="2">
        <v>1</v>
      </c>
      <c r="W1206">
        <v>0</v>
      </c>
      <c r="X1206" t="s">
        <v>30</v>
      </c>
      <c r="Y1206">
        <v>0</v>
      </c>
      <c r="Z1206" t="s">
        <v>31</v>
      </c>
      <c r="AA1206">
        <v>0</v>
      </c>
      <c r="AB1206" t="s">
        <v>31</v>
      </c>
      <c r="AC1206">
        <v>0</v>
      </c>
      <c r="AD1206" t="s">
        <v>31</v>
      </c>
      <c r="AE1206">
        <v>0</v>
      </c>
      <c r="AF1206" t="s">
        <v>31</v>
      </c>
      <c r="AG1206">
        <v>0</v>
      </c>
      <c r="AH1206" t="s">
        <v>31</v>
      </c>
      <c r="AI1206">
        <v>0</v>
      </c>
      <c r="AJ1206" t="s">
        <v>31</v>
      </c>
      <c r="AK1206">
        <v>0</v>
      </c>
      <c r="AL1206" t="s">
        <v>31</v>
      </c>
      <c r="AM1206">
        <v>0</v>
      </c>
      <c r="AN1206" t="s">
        <v>31</v>
      </c>
      <c r="AO1206">
        <v>0</v>
      </c>
      <c r="AP1206" t="s">
        <v>31</v>
      </c>
      <c r="AQ1206">
        <v>0</v>
      </c>
    </row>
    <row r="1207" spans="1:43" x14ac:dyDescent="0.2">
      <c r="A1207" t="s">
        <v>381</v>
      </c>
      <c r="B1207" s="3">
        <v>44358</v>
      </c>
      <c r="C1207">
        <v>133</v>
      </c>
      <c r="D1207" t="s">
        <v>390</v>
      </c>
      <c r="E1207" t="s">
        <v>180</v>
      </c>
      <c r="F1207" s="9" t="s">
        <v>181</v>
      </c>
      <c r="G1207" t="s">
        <v>26</v>
      </c>
      <c r="H1207" t="s">
        <v>64</v>
      </c>
      <c r="I1207" t="s">
        <v>65</v>
      </c>
      <c r="J1207" t="s">
        <v>29</v>
      </c>
      <c r="K1207" t="s">
        <v>30</v>
      </c>
      <c r="L1207" t="s">
        <v>29</v>
      </c>
      <c r="M1207" t="s">
        <v>30</v>
      </c>
      <c r="N1207" t="s">
        <v>64</v>
      </c>
      <c r="O1207" t="s">
        <v>65</v>
      </c>
      <c r="P1207" t="s">
        <v>29</v>
      </c>
      <c r="Q1207" t="s">
        <v>30</v>
      </c>
      <c r="R1207" s="1">
        <v>44358.480370370373</v>
      </c>
      <c r="S1207" s="1">
        <v>44358.480439814812</v>
      </c>
      <c r="T1207">
        <v>1</v>
      </c>
      <c r="U1207">
        <v>2</v>
      </c>
      <c r="V1207" s="2">
        <v>0.5</v>
      </c>
      <c r="W1207">
        <v>0</v>
      </c>
      <c r="X1207" t="s">
        <v>44</v>
      </c>
      <c r="Y1207">
        <v>0</v>
      </c>
      <c r="Z1207" t="s">
        <v>30</v>
      </c>
      <c r="AA1207">
        <v>0</v>
      </c>
      <c r="AB1207" t="s">
        <v>31</v>
      </c>
      <c r="AC1207">
        <v>0</v>
      </c>
      <c r="AD1207" t="s">
        <v>31</v>
      </c>
      <c r="AE1207">
        <v>0</v>
      </c>
      <c r="AF1207" t="s">
        <v>31</v>
      </c>
      <c r="AG1207">
        <v>0</v>
      </c>
      <c r="AH1207" t="s">
        <v>31</v>
      </c>
      <c r="AI1207">
        <v>0</v>
      </c>
      <c r="AJ1207" t="s">
        <v>31</v>
      </c>
      <c r="AK1207">
        <v>0</v>
      </c>
      <c r="AL1207" t="s">
        <v>31</v>
      </c>
      <c r="AM1207">
        <v>0</v>
      </c>
      <c r="AN1207" t="s">
        <v>31</v>
      </c>
      <c r="AO1207">
        <v>0</v>
      </c>
      <c r="AP1207" t="s">
        <v>31</v>
      </c>
      <c r="AQ1207">
        <v>0</v>
      </c>
    </row>
    <row r="1208" spans="1:43" x14ac:dyDescent="0.2">
      <c r="A1208" t="s">
        <v>381</v>
      </c>
      <c r="B1208" s="3">
        <v>44358</v>
      </c>
      <c r="C1208">
        <v>134</v>
      </c>
      <c r="D1208" t="s">
        <v>383</v>
      </c>
      <c r="E1208" t="s">
        <v>180</v>
      </c>
      <c r="F1208" s="9" t="s">
        <v>181</v>
      </c>
      <c r="G1208" t="s">
        <v>26</v>
      </c>
      <c r="H1208" t="s">
        <v>64</v>
      </c>
      <c r="I1208" t="s">
        <v>65</v>
      </c>
      <c r="J1208" t="s">
        <v>29</v>
      </c>
      <c r="K1208" t="s">
        <v>30</v>
      </c>
      <c r="L1208" t="s">
        <v>29</v>
      </c>
      <c r="M1208" t="s">
        <v>30</v>
      </c>
      <c r="N1208" t="s">
        <v>64</v>
      </c>
      <c r="O1208" t="s">
        <v>65</v>
      </c>
      <c r="P1208" t="s">
        <v>29</v>
      </c>
      <c r="Q1208" t="s">
        <v>30</v>
      </c>
      <c r="R1208" s="1">
        <v>44358.590937499997</v>
      </c>
      <c r="S1208" s="1">
        <v>44358.591412037036</v>
      </c>
      <c r="T1208">
        <v>1</v>
      </c>
      <c r="U1208">
        <v>2</v>
      </c>
      <c r="V1208" s="2">
        <v>0.5</v>
      </c>
      <c r="W1208">
        <v>0</v>
      </c>
      <c r="X1208" t="s">
        <v>44</v>
      </c>
      <c r="Y1208">
        <v>0</v>
      </c>
      <c r="Z1208" t="s">
        <v>30</v>
      </c>
      <c r="AA1208">
        <v>0</v>
      </c>
      <c r="AB1208" t="s">
        <v>31</v>
      </c>
      <c r="AC1208">
        <v>0</v>
      </c>
      <c r="AD1208" t="s">
        <v>31</v>
      </c>
      <c r="AE1208">
        <v>0</v>
      </c>
      <c r="AF1208" t="s">
        <v>31</v>
      </c>
      <c r="AG1208">
        <v>0</v>
      </c>
      <c r="AH1208" t="s">
        <v>31</v>
      </c>
      <c r="AI1208">
        <v>0</v>
      </c>
      <c r="AJ1208" t="s">
        <v>31</v>
      </c>
      <c r="AK1208">
        <v>0</v>
      </c>
      <c r="AL1208" t="s">
        <v>31</v>
      </c>
      <c r="AM1208">
        <v>0</v>
      </c>
      <c r="AN1208" t="s">
        <v>31</v>
      </c>
      <c r="AO1208">
        <v>0</v>
      </c>
      <c r="AP1208" t="s">
        <v>31</v>
      </c>
      <c r="AQ1208">
        <v>0</v>
      </c>
    </row>
    <row r="1209" spans="1:43" x14ac:dyDescent="0.2">
      <c r="A1209" t="s">
        <v>381</v>
      </c>
      <c r="B1209" s="3">
        <v>44361</v>
      </c>
      <c r="C1209">
        <v>135</v>
      </c>
      <c r="D1209" t="s">
        <v>390</v>
      </c>
      <c r="E1209" t="s">
        <v>180</v>
      </c>
      <c r="F1209" s="9" t="s">
        <v>181</v>
      </c>
      <c r="G1209" t="s">
        <v>26</v>
      </c>
      <c r="H1209" t="s">
        <v>64</v>
      </c>
      <c r="I1209" t="s">
        <v>65</v>
      </c>
      <c r="J1209" t="s">
        <v>29</v>
      </c>
      <c r="K1209" t="s">
        <v>30</v>
      </c>
      <c r="L1209" t="s">
        <v>29</v>
      </c>
      <c r="M1209" t="s">
        <v>30</v>
      </c>
      <c r="N1209" t="s">
        <v>64</v>
      </c>
      <c r="O1209" t="s">
        <v>65</v>
      </c>
      <c r="P1209" t="s">
        <v>29</v>
      </c>
      <c r="Q1209" t="s">
        <v>30</v>
      </c>
      <c r="R1209" s="1">
        <v>44361.461701388886</v>
      </c>
      <c r="S1209" s="1">
        <v>44361.461701388886</v>
      </c>
      <c r="T1209">
        <v>1</v>
      </c>
      <c r="U1209">
        <v>1</v>
      </c>
      <c r="V1209" s="2">
        <v>1</v>
      </c>
      <c r="W1209">
        <v>0</v>
      </c>
      <c r="X1209" t="s">
        <v>30</v>
      </c>
      <c r="Y1209">
        <v>0</v>
      </c>
      <c r="Z1209" t="s">
        <v>31</v>
      </c>
      <c r="AA1209">
        <v>0</v>
      </c>
      <c r="AB1209" t="s">
        <v>31</v>
      </c>
      <c r="AC1209">
        <v>0</v>
      </c>
      <c r="AD1209" t="s">
        <v>31</v>
      </c>
      <c r="AE1209">
        <v>0</v>
      </c>
      <c r="AF1209" t="s">
        <v>31</v>
      </c>
      <c r="AG1209">
        <v>0</v>
      </c>
      <c r="AH1209" t="s">
        <v>31</v>
      </c>
      <c r="AI1209">
        <v>0</v>
      </c>
      <c r="AJ1209" t="s">
        <v>31</v>
      </c>
      <c r="AK1209">
        <v>0</v>
      </c>
      <c r="AL1209" t="s">
        <v>31</v>
      </c>
      <c r="AM1209">
        <v>0</v>
      </c>
      <c r="AN1209" t="s">
        <v>31</v>
      </c>
      <c r="AO1209">
        <v>0</v>
      </c>
      <c r="AP1209" t="s">
        <v>31</v>
      </c>
      <c r="AQ1209">
        <v>0</v>
      </c>
    </row>
    <row r="1210" spans="1:43" x14ac:dyDescent="0.2">
      <c r="A1210" t="s">
        <v>381</v>
      </c>
      <c r="B1210" s="3">
        <v>44364</v>
      </c>
      <c r="C1210">
        <v>138</v>
      </c>
      <c r="D1210" t="s">
        <v>399</v>
      </c>
      <c r="E1210" t="s">
        <v>180</v>
      </c>
      <c r="F1210" s="9" t="s">
        <v>181</v>
      </c>
      <c r="G1210" t="s">
        <v>26</v>
      </c>
      <c r="H1210" t="s">
        <v>64</v>
      </c>
      <c r="I1210" t="s">
        <v>65</v>
      </c>
      <c r="J1210" t="s">
        <v>29</v>
      </c>
      <c r="K1210" t="s">
        <v>30</v>
      </c>
      <c r="L1210" t="s">
        <v>29</v>
      </c>
      <c r="M1210" t="s">
        <v>30</v>
      </c>
      <c r="N1210" t="s">
        <v>132</v>
      </c>
      <c r="O1210" t="s">
        <v>133</v>
      </c>
      <c r="P1210" t="s">
        <v>43</v>
      </c>
      <c r="Q1210" t="s">
        <v>44</v>
      </c>
      <c r="R1210" s="1">
        <v>44364.390104166669</v>
      </c>
      <c r="S1210" s="1">
        <v>44364.390104166669</v>
      </c>
      <c r="T1210">
        <v>1</v>
      </c>
      <c r="U1210">
        <v>1</v>
      </c>
      <c r="V1210" s="2">
        <v>1</v>
      </c>
      <c r="W1210">
        <v>0</v>
      </c>
      <c r="X1210" t="s">
        <v>30</v>
      </c>
      <c r="Y1210">
        <v>0</v>
      </c>
      <c r="Z1210" t="s">
        <v>31</v>
      </c>
      <c r="AA1210">
        <v>0</v>
      </c>
      <c r="AB1210" t="s">
        <v>31</v>
      </c>
      <c r="AC1210">
        <v>0</v>
      </c>
      <c r="AD1210" t="s">
        <v>31</v>
      </c>
      <c r="AE1210">
        <v>0</v>
      </c>
      <c r="AF1210" t="s">
        <v>31</v>
      </c>
      <c r="AG1210">
        <v>0</v>
      </c>
      <c r="AH1210" t="s">
        <v>31</v>
      </c>
      <c r="AI1210">
        <v>0</v>
      </c>
      <c r="AJ1210" t="s">
        <v>31</v>
      </c>
      <c r="AK1210">
        <v>0</v>
      </c>
      <c r="AL1210" t="s">
        <v>31</v>
      </c>
      <c r="AM1210">
        <v>0</v>
      </c>
      <c r="AN1210" t="s">
        <v>31</v>
      </c>
      <c r="AO1210">
        <v>0</v>
      </c>
      <c r="AP1210" t="s">
        <v>31</v>
      </c>
      <c r="AQ1210">
        <v>0</v>
      </c>
    </row>
    <row r="1211" spans="1:43" x14ac:dyDescent="0.2">
      <c r="A1211" t="s">
        <v>381</v>
      </c>
      <c r="B1211" s="3">
        <v>44365</v>
      </c>
      <c r="C1211">
        <v>139</v>
      </c>
      <c r="D1211" t="s">
        <v>400</v>
      </c>
      <c r="E1211" t="s">
        <v>180</v>
      </c>
      <c r="F1211" s="9" t="s">
        <v>181</v>
      </c>
      <c r="G1211" t="s">
        <v>26</v>
      </c>
      <c r="H1211" t="s">
        <v>132</v>
      </c>
      <c r="I1211" t="s">
        <v>133</v>
      </c>
      <c r="J1211" t="s">
        <v>43</v>
      </c>
      <c r="K1211" t="s">
        <v>44</v>
      </c>
      <c r="L1211" t="s">
        <v>29</v>
      </c>
      <c r="M1211" t="s">
        <v>30</v>
      </c>
      <c r="N1211" t="s">
        <v>132</v>
      </c>
      <c r="O1211" t="s">
        <v>133</v>
      </c>
      <c r="P1211" t="s">
        <v>43</v>
      </c>
      <c r="Q1211" t="s">
        <v>44</v>
      </c>
      <c r="R1211" s="1">
        <v>44365.425578703704</v>
      </c>
      <c r="S1211" s="1">
        <v>44365.426817129628</v>
      </c>
      <c r="T1211">
        <v>0</v>
      </c>
      <c r="U1211">
        <v>5</v>
      </c>
      <c r="V1211" s="2">
        <v>0</v>
      </c>
      <c r="W1211">
        <v>0</v>
      </c>
      <c r="X1211" t="s">
        <v>44</v>
      </c>
      <c r="Y1211">
        <v>0</v>
      </c>
      <c r="Z1211" t="s">
        <v>44</v>
      </c>
      <c r="AA1211">
        <v>0</v>
      </c>
      <c r="AB1211" t="s">
        <v>45</v>
      </c>
      <c r="AC1211">
        <v>0</v>
      </c>
      <c r="AD1211" t="s">
        <v>61</v>
      </c>
      <c r="AE1211">
        <v>0</v>
      </c>
      <c r="AF1211" t="s">
        <v>47</v>
      </c>
      <c r="AG1211">
        <v>0</v>
      </c>
      <c r="AH1211" t="s">
        <v>31</v>
      </c>
      <c r="AI1211">
        <v>0</v>
      </c>
      <c r="AJ1211" t="s">
        <v>31</v>
      </c>
      <c r="AK1211">
        <v>0</v>
      </c>
      <c r="AL1211" t="s">
        <v>31</v>
      </c>
      <c r="AM1211">
        <v>0</v>
      </c>
      <c r="AN1211" t="s">
        <v>31</v>
      </c>
      <c r="AO1211">
        <v>0</v>
      </c>
      <c r="AP1211" t="s">
        <v>31</v>
      </c>
      <c r="AQ1211">
        <v>0</v>
      </c>
    </row>
    <row r="1212" spans="1:43" x14ac:dyDescent="0.2">
      <c r="A1212" t="s">
        <v>381</v>
      </c>
      <c r="B1212" s="3">
        <v>44365</v>
      </c>
      <c r="C1212">
        <v>140</v>
      </c>
      <c r="D1212" t="s">
        <v>399</v>
      </c>
      <c r="E1212" t="s">
        <v>180</v>
      </c>
      <c r="F1212" s="9" t="s">
        <v>181</v>
      </c>
      <c r="G1212" t="s">
        <v>26</v>
      </c>
      <c r="H1212" t="s">
        <v>132</v>
      </c>
      <c r="I1212" t="s">
        <v>133</v>
      </c>
      <c r="J1212" t="s">
        <v>43</v>
      </c>
      <c r="K1212" t="s">
        <v>44</v>
      </c>
      <c r="L1212" t="s">
        <v>29</v>
      </c>
      <c r="M1212" t="s">
        <v>30</v>
      </c>
      <c r="N1212" t="s">
        <v>64</v>
      </c>
      <c r="O1212" t="s">
        <v>65</v>
      </c>
      <c r="P1212" t="s">
        <v>29</v>
      </c>
      <c r="Q1212" t="s">
        <v>30</v>
      </c>
      <c r="R1212" s="1">
        <v>44365.573333333334</v>
      </c>
      <c r="S1212" s="1">
        <v>44365.573680555557</v>
      </c>
      <c r="T1212">
        <v>0</v>
      </c>
      <c r="U1212">
        <v>5</v>
      </c>
      <c r="V1212" s="2">
        <v>0</v>
      </c>
      <c r="W1212">
        <v>0</v>
      </c>
      <c r="X1212" t="s">
        <v>44</v>
      </c>
      <c r="Y1212">
        <v>0</v>
      </c>
      <c r="Z1212" t="s">
        <v>44</v>
      </c>
      <c r="AA1212">
        <v>0</v>
      </c>
      <c r="AB1212" t="s">
        <v>45</v>
      </c>
      <c r="AC1212">
        <v>0</v>
      </c>
      <c r="AD1212" t="s">
        <v>61</v>
      </c>
      <c r="AE1212">
        <v>0</v>
      </c>
      <c r="AF1212" t="s">
        <v>47</v>
      </c>
      <c r="AG1212">
        <v>0</v>
      </c>
      <c r="AH1212" t="s">
        <v>31</v>
      </c>
      <c r="AI1212">
        <v>0</v>
      </c>
      <c r="AJ1212" t="s">
        <v>31</v>
      </c>
      <c r="AK1212">
        <v>0</v>
      </c>
      <c r="AL1212" t="s">
        <v>31</v>
      </c>
      <c r="AM1212">
        <v>0</v>
      </c>
      <c r="AN1212" t="s">
        <v>31</v>
      </c>
      <c r="AO1212">
        <v>0</v>
      </c>
      <c r="AP1212" t="s">
        <v>31</v>
      </c>
      <c r="AQ1212">
        <v>0</v>
      </c>
    </row>
    <row r="1213" spans="1:43" x14ac:dyDescent="0.2">
      <c r="A1213" t="s">
        <v>381</v>
      </c>
      <c r="B1213" s="3">
        <v>44237</v>
      </c>
      <c r="C1213">
        <v>4</v>
      </c>
      <c r="D1213" t="s">
        <v>384</v>
      </c>
      <c r="E1213" t="s">
        <v>114</v>
      </c>
      <c r="F1213" s="9" t="s">
        <v>115</v>
      </c>
      <c r="G1213" t="s">
        <v>26</v>
      </c>
      <c r="H1213" t="s">
        <v>99</v>
      </c>
      <c r="I1213" t="s">
        <v>100</v>
      </c>
      <c r="J1213" t="s">
        <v>43</v>
      </c>
      <c r="K1213" t="s">
        <v>44</v>
      </c>
      <c r="L1213" t="s">
        <v>29</v>
      </c>
      <c r="M1213" t="s">
        <v>30</v>
      </c>
      <c r="N1213" t="s">
        <v>116</v>
      </c>
      <c r="O1213" t="s">
        <v>117</v>
      </c>
      <c r="P1213" t="s">
        <v>43</v>
      </c>
      <c r="Q1213" t="s">
        <v>44</v>
      </c>
      <c r="R1213" s="1">
        <v>44237.461550925924</v>
      </c>
      <c r="S1213" s="1">
        <v>44237.461550925924</v>
      </c>
      <c r="T1213">
        <v>1</v>
      </c>
      <c r="U1213">
        <v>1</v>
      </c>
      <c r="V1213" s="2">
        <v>1</v>
      </c>
      <c r="W1213">
        <v>0</v>
      </c>
      <c r="X1213" t="s">
        <v>30</v>
      </c>
      <c r="Y1213">
        <v>0</v>
      </c>
      <c r="Z1213" t="s">
        <v>31</v>
      </c>
      <c r="AA1213">
        <v>0</v>
      </c>
      <c r="AB1213" t="s">
        <v>31</v>
      </c>
      <c r="AC1213">
        <v>0</v>
      </c>
      <c r="AD1213" t="s">
        <v>31</v>
      </c>
      <c r="AE1213">
        <v>0</v>
      </c>
      <c r="AF1213" t="s">
        <v>31</v>
      </c>
      <c r="AG1213">
        <v>0</v>
      </c>
      <c r="AH1213" t="s">
        <v>31</v>
      </c>
      <c r="AI1213">
        <v>0</v>
      </c>
      <c r="AJ1213" t="s">
        <v>31</v>
      </c>
      <c r="AK1213">
        <v>0</v>
      </c>
      <c r="AL1213" t="s">
        <v>31</v>
      </c>
      <c r="AM1213">
        <v>0</v>
      </c>
      <c r="AN1213" t="s">
        <v>31</v>
      </c>
      <c r="AO1213">
        <v>0</v>
      </c>
      <c r="AP1213" t="s">
        <v>31</v>
      </c>
      <c r="AQ1213">
        <v>0</v>
      </c>
    </row>
    <row r="1214" spans="1:43" x14ac:dyDescent="0.2">
      <c r="A1214" t="s">
        <v>381</v>
      </c>
      <c r="B1214" s="3">
        <v>44357</v>
      </c>
      <c r="C1214">
        <v>132</v>
      </c>
      <c r="D1214" t="s">
        <v>399</v>
      </c>
      <c r="E1214" t="s">
        <v>114</v>
      </c>
      <c r="F1214" s="9" t="s">
        <v>115</v>
      </c>
      <c r="G1214" t="s">
        <v>26</v>
      </c>
      <c r="H1214" t="s">
        <v>116</v>
      </c>
      <c r="I1214" t="s">
        <v>117</v>
      </c>
      <c r="J1214" t="s">
        <v>43</v>
      </c>
      <c r="K1214" t="s">
        <v>44</v>
      </c>
      <c r="L1214" t="s">
        <v>29</v>
      </c>
      <c r="M1214" t="s">
        <v>30</v>
      </c>
      <c r="N1214" t="s">
        <v>116</v>
      </c>
      <c r="O1214" t="s">
        <v>117</v>
      </c>
      <c r="P1214" t="s">
        <v>43</v>
      </c>
      <c r="Q1214" t="s">
        <v>44</v>
      </c>
      <c r="R1214" s="1">
        <v>44357.458703703705</v>
      </c>
      <c r="S1214" s="1">
        <v>44357.458703703705</v>
      </c>
      <c r="T1214">
        <v>1</v>
      </c>
      <c r="U1214">
        <v>1</v>
      </c>
      <c r="V1214" s="2">
        <v>1</v>
      </c>
      <c r="W1214">
        <v>0</v>
      </c>
      <c r="X1214" t="s">
        <v>30</v>
      </c>
      <c r="Y1214">
        <v>0</v>
      </c>
      <c r="Z1214" t="s">
        <v>31</v>
      </c>
      <c r="AA1214">
        <v>0</v>
      </c>
      <c r="AB1214" t="s">
        <v>31</v>
      </c>
      <c r="AC1214">
        <v>0</v>
      </c>
      <c r="AD1214" t="s">
        <v>31</v>
      </c>
      <c r="AE1214">
        <v>0</v>
      </c>
      <c r="AF1214" t="s">
        <v>31</v>
      </c>
      <c r="AG1214">
        <v>0</v>
      </c>
      <c r="AH1214" t="s">
        <v>31</v>
      </c>
      <c r="AI1214">
        <v>0</v>
      </c>
      <c r="AJ1214" t="s">
        <v>31</v>
      </c>
      <c r="AK1214">
        <v>0</v>
      </c>
      <c r="AL1214" t="s">
        <v>31</v>
      </c>
      <c r="AM1214">
        <v>0</v>
      </c>
      <c r="AN1214" t="s">
        <v>31</v>
      </c>
      <c r="AO1214">
        <v>0</v>
      </c>
      <c r="AP1214" t="s">
        <v>31</v>
      </c>
      <c r="AQ1214">
        <v>0</v>
      </c>
    </row>
    <row r="1215" spans="1:43" x14ac:dyDescent="0.2">
      <c r="A1215" t="s">
        <v>381</v>
      </c>
      <c r="B1215" s="3">
        <v>44239</v>
      </c>
      <c r="C1215">
        <v>7</v>
      </c>
      <c r="D1215" t="s">
        <v>384</v>
      </c>
      <c r="E1215" t="s">
        <v>114</v>
      </c>
      <c r="F1215" s="9" t="s">
        <v>147</v>
      </c>
      <c r="G1215" t="s">
        <v>26</v>
      </c>
      <c r="H1215" t="s">
        <v>108</v>
      </c>
      <c r="I1215" t="s">
        <v>109</v>
      </c>
      <c r="J1215" t="s">
        <v>43</v>
      </c>
      <c r="K1215" t="s">
        <v>44</v>
      </c>
      <c r="L1215" t="s">
        <v>29</v>
      </c>
      <c r="M1215" t="s">
        <v>30</v>
      </c>
      <c r="N1215" t="s">
        <v>99</v>
      </c>
      <c r="O1215" t="s">
        <v>100</v>
      </c>
      <c r="P1215" t="s">
        <v>43</v>
      </c>
      <c r="Q1215" t="s">
        <v>44</v>
      </c>
      <c r="R1215" s="1">
        <v>44239.386921296296</v>
      </c>
      <c r="S1215" s="1">
        <v>44239.386921296296</v>
      </c>
      <c r="T1215">
        <v>1</v>
      </c>
      <c r="U1215">
        <v>1</v>
      </c>
      <c r="V1215" s="2">
        <v>1</v>
      </c>
      <c r="W1215">
        <v>0</v>
      </c>
      <c r="X1215" t="s">
        <v>30</v>
      </c>
      <c r="Y1215">
        <v>0</v>
      </c>
      <c r="Z1215" t="s">
        <v>31</v>
      </c>
      <c r="AA1215">
        <v>0</v>
      </c>
      <c r="AB1215" t="s">
        <v>31</v>
      </c>
      <c r="AC1215">
        <v>0</v>
      </c>
      <c r="AD1215" t="s">
        <v>31</v>
      </c>
      <c r="AE1215">
        <v>0</v>
      </c>
      <c r="AF1215" t="s">
        <v>31</v>
      </c>
      <c r="AG1215">
        <v>0</v>
      </c>
      <c r="AH1215" t="s">
        <v>31</v>
      </c>
      <c r="AI1215">
        <v>0</v>
      </c>
      <c r="AJ1215" t="s">
        <v>31</v>
      </c>
      <c r="AK1215">
        <v>0</v>
      </c>
      <c r="AL1215" t="s">
        <v>31</v>
      </c>
      <c r="AM1215">
        <v>0</v>
      </c>
      <c r="AN1215" t="s">
        <v>31</v>
      </c>
      <c r="AO1215">
        <v>0</v>
      </c>
      <c r="AP1215" t="s">
        <v>31</v>
      </c>
      <c r="AQ1215">
        <v>0</v>
      </c>
    </row>
    <row r="1216" spans="1:43" x14ac:dyDescent="0.2">
      <c r="A1216" t="s">
        <v>381</v>
      </c>
      <c r="B1216" s="3">
        <v>44271</v>
      </c>
      <c r="C1216">
        <v>37</v>
      </c>
      <c r="D1216" t="s">
        <v>385</v>
      </c>
      <c r="E1216" t="s">
        <v>114</v>
      </c>
      <c r="F1216" s="9" t="s">
        <v>147</v>
      </c>
      <c r="G1216" t="s">
        <v>26</v>
      </c>
      <c r="H1216" t="s">
        <v>99</v>
      </c>
      <c r="I1216" t="s">
        <v>100</v>
      </c>
      <c r="J1216" t="s">
        <v>43</v>
      </c>
      <c r="K1216" t="s">
        <v>44</v>
      </c>
      <c r="L1216" t="s">
        <v>29</v>
      </c>
      <c r="M1216" t="s">
        <v>30</v>
      </c>
      <c r="N1216" t="s">
        <v>99</v>
      </c>
      <c r="O1216" t="s">
        <v>100</v>
      </c>
      <c r="P1216" t="s">
        <v>43</v>
      </c>
      <c r="Q1216" t="s">
        <v>44</v>
      </c>
      <c r="R1216" s="1">
        <v>44271.591423611113</v>
      </c>
      <c r="S1216" s="1">
        <v>44271.592094907406</v>
      </c>
      <c r="T1216">
        <v>1</v>
      </c>
      <c r="U1216">
        <v>1</v>
      </c>
      <c r="V1216" s="2">
        <v>1</v>
      </c>
      <c r="W1216">
        <v>0</v>
      </c>
      <c r="X1216" t="s">
        <v>30</v>
      </c>
      <c r="Y1216">
        <v>0</v>
      </c>
      <c r="Z1216" t="s">
        <v>31</v>
      </c>
      <c r="AA1216">
        <v>0</v>
      </c>
      <c r="AB1216" t="s">
        <v>31</v>
      </c>
      <c r="AC1216">
        <v>0</v>
      </c>
      <c r="AD1216" t="s">
        <v>31</v>
      </c>
      <c r="AE1216">
        <v>0</v>
      </c>
      <c r="AF1216" t="s">
        <v>31</v>
      </c>
      <c r="AG1216">
        <v>0</v>
      </c>
      <c r="AH1216" t="s">
        <v>31</v>
      </c>
      <c r="AI1216">
        <v>0</v>
      </c>
      <c r="AJ1216" t="s">
        <v>31</v>
      </c>
      <c r="AK1216">
        <v>0</v>
      </c>
      <c r="AL1216" t="s">
        <v>31</v>
      </c>
      <c r="AM1216">
        <v>0</v>
      </c>
      <c r="AN1216" t="s">
        <v>31</v>
      </c>
      <c r="AO1216">
        <v>0</v>
      </c>
      <c r="AP1216" t="s">
        <v>31</v>
      </c>
      <c r="AQ1216">
        <v>0</v>
      </c>
    </row>
    <row r="1217" spans="1:43" x14ac:dyDescent="0.2">
      <c r="A1217" t="s">
        <v>381</v>
      </c>
      <c r="B1217" s="3">
        <v>44320</v>
      </c>
      <c r="C1217">
        <v>87</v>
      </c>
      <c r="D1217" t="s">
        <v>385</v>
      </c>
      <c r="E1217" t="s">
        <v>114</v>
      </c>
      <c r="F1217" s="9" t="s">
        <v>147</v>
      </c>
      <c r="G1217" t="s">
        <v>26</v>
      </c>
      <c r="H1217" t="s">
        <v>99</v>
      </c>
      <c r="I1217" t="s">
        <v>100</v>
      </c>
      <c r="J1217" t="s">
        <v>43</v>
      </c>
      <c r="K1217" t="s">
        <v>44</v>
      </c>
      <c r="L1217" t="s">
        <v>29</v>
      </c>
      <c r="M1217" t="s">
        <v>30</v>
      </c>
      <c r="N1217" t="s">
        <v>99</v>
      </c>
      <c r="O1217" t="s">
        <v>100</v>
      </c>
      <c r="P1217" t="s">
        <v>43</v>
      </c>
      <c r="Q1217" t="s">
        <v>44</v>
      </c>
      <c r="R1217" s="1">
        <v>44320.624849537038</v>
      </c>
      <c r="S1217" s="1">
        <v>44320.624884259261</v>
      </c>
      <c r="T1217">
        <v>1</v>
      </c>
      <c r="U1217">
        <v>1</v>
      </c>
      <c r="V1217" s="2">
        <v>1</v>
      </c>
      <c r="W1217">
        <v>0</v>
      </c>
      <c r="X1217" t="s">
        <v>30</v>
      </c>
      <c r="Y1217">
        <v>0</v>
      </c>
      <c r="Z1217" t="s">
        <v>31</v>
      </c>
      <c r="AA1217">
        <v>0</v>
      </c>
      <c r="AB1217" t="s">
        <v>31</v>
      </c>
      <c r="AC1217">
        <v>0</v>
      </c>
      <c r="AD1217" t="s">
        <v>31</v>
      </c>
      <c r="AE1217">
        <v>0</v>
      </c>
      <c r="AF1217" t="s">
        <v>31</v>
      </c>
      <c r="AG1217">
        <v>0</v>
      </c>
      <c r="AH1217" t="s">
        <v>31</v>
      </c>
      <c r="AI1217">
        <v>0</v>
      </c>
      <c r="AJ1217" t="s">
        <v>31</v>
      </c>
      <c r="AK1217">
        <v>0</v>
      </c>
      <c r="AL1217" t="s">
        <v>31</v>
      </c>
      <c r="AM1217">
        <v>0</v>
      </c>
      <c r="AN1217" t="s">
        <v>31</v>
      </c>
      <c r="AO1217">
        <v>0</v>
      </c>
      <c r="AP1217" t="s">
        <v>31</v>
      </c>
      <c r="AQ1217">
        <v>0</v>
      </c>
    </row>
    <row r="1218" spans="1:43" x14ac:dyDescent="0.2">
      <c r="A1218" t="s">
        <v>381</v>
      </c>
      <c r="B1218" s="3">
        <v>44341</v>
      </c>
      <c r="C1218">
        <v>111</v>
      </c>
      <c r="D1218" t="s">
        <v>385</v>
      </c>
      <c r="E1218" t="s">
        <v>114</v>
      </c>
      <c r="F1218" s="9" t="s">
        <v>147</v>
      </c>
      <c r="G1218" t="s">
        <v>26</v>
      </c>
      <c r="H1218" t="s">
        <v>99</v>
      </c>
      <c r="I1218" t="s">
        <v>100</v>
      </c>
      <c r="J1218" t="s">
        <v>43</v>
      </c>
      <c r="K1218" t="s">
        <v>44</v>
      </c>
      <c r="L1218" t="s">
        <v>29</v>
      </c>
      <c r="M1218" t="s">
        <v>30</v>
      </c>
      <c r="N1218" t="s">
        <v>116</v>
      </c>
      <c r="O1218" t="s">
        <v>117</v>
      </c>
      <c r="P1218" t="s">
        <v>43</v>
      </c>
      <c r="Q1218" t="s">
        <v>44</v>
      </c>
      <c r="R1218" s="1">
        <v>44341.557766203703</v>
      </c>
      <c r="S1218" s="1">
        <v>44341.557847222219</v>
      </c>
      <c r="T1218">
        <v>1</v>
      </c>
      <c r="U1218">
        <v>1</v>
      </c>
      <c r="V1218" s="2">
        <v>1</v>
      </c>
      <c r="W1218">
        <v>0</v>
      </c>
      <c r="X1218" t="s">
        <v>30</v>
      </c>
      <c r="Y1218">
        <v>0</v>
      </c>
      <c r="Z1218" t="s">
        <v>31</v>
      </c>
      <c r="AA1218">
        <v>0</v>
      </c>
      <c r="AB1218" t="s">
        <v>31</v>
      </c>
      <c r="AC1218">
        <v>0</v>
      </c>
      <c r="AD1218" t="s">
        <v>31</v>
      </c>
      <c r="AE1218">
        <v>0</v>
      </c>
      <c r="AF1218" t="s">
        <v>31</v>
      </c>
      <c r="AG1218">
        <v>0</v>
      </c>
      <c r="AH1218" t="s">
        <v>31</v>
      </c>
      <c r="AI1218">
        <v>0</v>
      </c>
      <c r="AJ1218" t="s">
        <v>31</v>
      </c>
      <c r="AK1218">
        <v>0</v>
      </c>
      <c r="AL1218" t="s">
        <v>31</v>
      </c>
      <c r="AM1218">
        <v>0</v>
      </c>
      <c r="AN1218" t="s">
        <v>31</v>
      </c>
      <c r="AO1218">
        <v>0</v>
      </c>
      <c r="AP1218" t="s">
        <v>31</v>
      </c>
      <c r="AQ1218">
        <v>0</v>
      </c>
    </row>
    <row r="1219" spans="1:43" x14ac:dyDescent="0.2">
      <c r="A1219" t="s">
        <v>381</v>
      </c>
      <c r="B1219" s="3">
        <v>44355</v>
      </c>
      <c r="C1219">
        <v>129</v>
      </c>
      <c r="D1219" t="s">
        <v>385</v>
      </c>
      <c r="E1219" t="s">
        <v>114</v>
      </c>
      <c r="F1219" s="9" t="s">
        <v>147</v>
      </c>
      <c r="G1219" t="s">
        <v>26</v>
      </c>
      <c r="H1219" t="s">
        <v>116</v>
      </c>
      <c r="I1219" t="s">
        <v>117</v>
      </c>
      <c r="J1219" t="s">
        <v>43</v>
      </c>
      <c r="K1219" t="s">
        <v>44</v>
      </c>
      <c r="L1219" t="s">
        <v>29</v>
      </c>
      <c r="M1219" t="s">
        <v>30</v>
      </c>
      <c r="N1219" t="s">
        <v>116</v>
      </c>
      <c r="O1219" t="s">
        <v>117</v>
      </c>
      <c r="P1219" t="s">
        <v>43</v>
      </c>
      <c r="Q1219" t="s">
        <v>44</v>
      </c>
      <c r="R1219" s="1">
        <v>44355.571608796294</v>
      </c>
      <c r="S1219" s="1">
        <v>44355.571689814817</v>
      </c>
      <c r="T1219">
        <v>1</v>
      </c>
      <c r="U1219">
        <v>1</v>
      </c>
      <c r="V1219" s="2">
        <v>1</v>
      </c>
      <c r="W1219">
        <v>0</v>
      </c>
      <c r="X1219" t="s">
        <v>30</v>
      </c>
      <c r="Y1219">
        <v>0</v>
      </c>
      <c r="Z1219" t="s">
        <v>31</v>
      </c>
      <c r="AA1219">
        <v>0</v>
      </c>
      <c r="AB1219" t="s">
        <v>31</v>
      </c>
      <c r="AC1219">
        <v>0</v>
      </c>
      <c r="AD1219" t="s">
        <v>31</v>
      </c>
      <c r="AE1219">
        <v>0</v>
      </c>
      <c r="AF1219" t="s">
        <v>31</v>
      </c>
      <c r="AG1219">
        <v>0</v>
      </c>
      <c r="AH1219" t="s">
        <v>31</v>
      </c>
      <c r="AI1219">
        <v>0</v>
      </c>
      <c r="AJ1219" t="s">
        <v>31</v>
      </c>
      <c r="AK1219">
        <v>0</v>
      </c>
      <c r="AL1219" t="s">
        <v>31</v>
      </c>
      <c r="AM1219">
        <v>0</v>
      </c>
      <c r="AN1219" t="s">
        <v>31</v>
      </c>
      <c r="AO1219">
        <v>0</v>
      </c>
      <c r="AP1219" t="s">
        <v>31</v>
      </c>
      <c r="AQ1219">
        <v>0</v>
      </c>
    </row>
    <row r="1220" spans="1:43" x14ac:dyDescent="0.2">
      <c r="A1220" t="s">
        <v>381</v>
      </c>
      <c r="B1220" s="3">
        <v>44357</v>
      </c>
      <c r="C1220">
        <v>132</v>
      </c>
      <c r="D1220" t="s">
        <v>399</v>
      </c>
      <c r="E1220" t="s">
        <v>114</v>
      </c>
      <c r="F1220" s="9" t="s">
        <v>147</v>
      </c>
      <c r="G1220" t="s">
        <v>26</v>
      </c>
      <c r="H1220" t="s">
        <v>116</v>
      </c>
      <c r="I1220" t="s">
        <v>117</v>
      </c>
      <c r="J1220" t="s">
        <v>43</v>
      </c>
      <c r="K1220" t="s">
        <v>44</v>
      </c>
      <c r="L1220" t="s">
        <v>29</v>
      </c>
      <c r="M1220" t="s">
        <v>30</v>
      </c>
      <c r="N1220" t="s">
        <v>116</v>
      </c>
      <c r="O1220" t="s">
        <v>117</v>
      </c>
      <c r="P1220" t="s">
        <v>43</v>
      </c>
      <c r="Q1220" t="s">
        <v>44</v>
      </c>
      <c r="R1220" s="1">
        <v>44357.458715277775</v>
      </c>
      <c r="S1220" s="1">
        <v>44357.458715277775</v>
      </c>
      <c r="T1220">
        <v>1</v>
      </c>
      <c r="U1220">
        <v>1</v>
      </c>
      <c r="V1220" s="2">
        <v>1</v>
      </c>
      <c r="W1220">
        <v>0</v>
      </c>
      <c r="X1220" t="s">
        <v>30</v>
      </c>
      <c r="Y1220">
        <v>0</v>
      </c>
      <c r="Z1220" t="s">
        <v>31</v>
      </c>
      <c r="AA1220">
        <v>0</v>
      </c>
      <c r="AB1220" t="s">
        <v>31</v>
      </c>
      <c r="AC1220">
        <v>0</v>
      </c>
      <c r="AD1220" t="s">
        <v>31</v>
      </c>
      <c r="AE1220">
        <v>0</v>
      </c>
      <c r="AF1220" t="s">
        <v>31</v>
      </c>
      <c r="AG1220">
        <v>0</v>
      </c>
      <c r="AH1220" t="s">
        <v>31</v>
      </c>
      <c r="AI1220">
        <v>0</v>
      </c>
      <c r="AJ1220" t="s">
        <v>31</v>
      </c>
      <c r="AK1220">
        <v>0</v>
      </c>
      <c r="AL1220" t="s">
        <v>31</v>
      </c>
      <c r="AM1220">
        <v>0</v>
      </c>
      <c r="AN1220" t="s">
        <v>31</v>
      </c>
      <c r="AO1220">
        <v>0</v>
      </c>
      <c r="AP1220" t="s">
        <v>31</v>
      </c>
      <c r="AQ1220">
        <v>0</v>
      </c>
    </row>
    <row r="1221" spans="1:43" x14ac:dyDescent="0.2">
      <c r="A1221" t="s">
        <v>381</v>
      </c>
      <c r="B1221" s="3">
        <v>44242</v>
      </c>
      <c r="C1221">
        <v>8</v>
      </c>
      <c r="D1221" t="s">
        <v>384</v>
      </c>
      <c r="E1221" t="s">
        <v>114</v>
      </c>
      <c r="F1221" s="9" t="s">
        <v>153</v>
      </c>
      <c r="G1221" t="s">
        <v>26</v>
      </c>
      <c r="H1221" t="s">
        <v>108</v>
      </c>
      <c r="I1221" t="s">
        <v>109</v>
      </c>
      <c r="J1221" t="s">
        <v>43</v>
      </c>
      <c r="K1221" t="s">
        <v>44</v>
      </c>
      <c r="L1221" t="s">
        <v>29</v>
      </c>
      <c r="M1221" t="s">
        <v>30</v>
      </c>
      <c r="N1221" t="s">
        <v>108</v>
      </c>
      <c r="O1221" t="s">
        <v>109</v>
      </c>
      <c r="P1221" t="s">
        <v>43</v>
      </c>
      <c r="Q1221" t="s">
        <v>44</v>
      </c>
      <c r="R1221" s="1">
        <v>44242.37096064815</v>
      </c>
      <c r="S1221" s="1">
        <v>44242.37096064815</v>
      </c>
      <c r="T1221">
        <v>1</v>
      </c>
      <c r="U1221">
        <v>1</v>
      </c>
      <c r="V1221" s="2">
        <v>1</v>
      </c>
      <c r="W1221">
        <v>0</v>
      </c>
      <c r="X1221" t="s">
        <v>30</v>
      </c>
      <c r="Y1221">
        <v>0</v>
      </c>
      <c r="Z1221" t="s">
        <v>31</v>
      </c>
      <c r="AA1221">
        <v>0</v>
      </c>
      <c r="AB1221" t="s">
        <v>31</v>
      </c>
      <c r="AC1221">
        <v>0</v>
      </c>
      <c r="AD1221" t="s">
        <v>31</v>
      </c>
      <c r="AE1221">
        <v>0</v>
      </c>
      <c r="AF1221" t="s">
        <v>31</v>
      </c>
      <c r="AG1221">
        <v>0</v>
      </c>
      <c r="AH1221" t="s">
        <v>31</v>
      </c>
      <c r="AI1221">
        <v>0</v>
      </c>
      <c r="AJ1221" t="s">
        <v>31</v>
      </c>
      <c r="AK1221">
        <v>0</v>
      </c>
      <c r="AL1221" t="s">
        <v>31</v>
      </c>
      <c r="AM1221">
        <v>0</v>
      </c>
      <c r="AN1221" t="s">
        <v>31</v>
      </c>
      <c r="AO1221">
        <v>0</v>
      </c>
      <c r="AP1221" t="s">
        <v>31</v>
      </c>
      <c r="AQ1221">
        <v>0</v>
      </c>
    </row>
    <row r="1222" spans="1:43" x14ac:dyDescent="0.2">
      <c r="A1222" t="s">
        <v>381</v>
      </c>
      <c r="B1222" s="3">
        <v>44271</v>
      </c>
      <c r="C1222">
        <v>36</v>
      </c>
      <c r="D1222" t="s">
        <v>385</v>
      </c>
      <c r="E1222" t="s">
        <v>114</v>
      </c>
      <c r="F1222" s="9" t="s">
        <v>153</v>
      </c>
      <c r="G1222" t="s">
        <v>26</v>
      </c>
      <c r="H1222" t="s">
        <v>108</v>
      </c>
      <c r="I1222" t="s">
        <v>109</v>
      </c>
      <c r="J1222" t="s">
        <v>43</v>
      </c>
      <c r="K1222" t="s">
        <v>44</v>
      </c>
      <c r="L1222" t="s">
        <v>29</v>
      </c>
      <c r="M1222" t="s">
        <v>30</v>
      </c>
      <c r="N1222" t="s">
        <v>108</v>
      </c>
      <c r="O1222" t="s">
        <v>109</v>
      </c>
      <c r="P1222" t="s">
        <v>43</v>
      </c>
      <c r="Q1222" t="s">
        <v>44</v>
      </c>
      <c r="R1222" s="1">
        <v>44271.403263888889</v>
      </c>
      <c r="S1222" s="1">
        <v>44271.403263888889</v>
      </c>
      <c r="T1222">
        <v>1</v>
      </c>
      <c r="U1222">
        <v>1</v>
      </c>
      <c r="V1222" s="2">
        <v>1</v>
      </c>
      <c r="W1222">
        <v>0</v>
      </c>
      <c r="X1222" t="s">
        <v>30</v>
      </c>
      <c r="Y1222">
        <v>0</v>
      </c>
      <c r="Z1222" t="s">
        <v>31</v>
      </c>
      <c r="AA1222">
        <v>0</v>
      </c>
      <c r="AB1222" t="s">
        <v>31</v>
      </c>
      <c r="AC1222">
        <v>0</v>
      </c>
      <c r="AD1222" t="s">
        <v>31</v>
      </c>
      <c r="AE1222">
        <v>0</v>
      </c>
      <c r="AF1222" t="s">
        <v>31</v>
      </c>
      <c r="AG1222">
        <v>0</v>
      </c>
      <c r="AH1222" t="s">
        <v>31</v>
      </c>
      <c r="AI1222">
        <v>0</v>
      </c>
      <c r="AJ1222" t="s">
        <v>31</v>
      </c>
      <c r="AK1222">
        <v>0</v>
      </c>
      <c r="AL1222" t="s">
        <v>31</v>
      </c>
      <c r="AM1222">
        <v>0</v>
      </c>
      <c r="AN1222" t="s">
        <v>31</v>
      </c>
      <c r="AO1222">
        <v>0</v>
      </c>
      <c r="AP1222" t="s">
        <v>31</v>
      </c>
      <c r="AQ1222">
        <v>0</v>
      </c>
    </row>
    <row r="1223" spans="1:43" x14ac:dyDescent="0.2">
      <c r="A1223" t="s">
        <v>381</v>
      </c>
      <c r="B1223" s="3">
        <v>44273</v>
      </c>
      <c r="C1223">
        <v>40</v>
      </c>
      <c r="D1223" t="s">
        <v>385</v>
      </c>
      <c r="E1223" t="s">
        <v>114</v>
      </c>
      <c r="F1223" s="9" t="s">
        <v>153</v>
      </c>
      <c r="G1223" t="s">
        <v>26</v>
      </c>
      <c r="H1223" t="s">
        <v>108</v>
      </c>
      <c r="I1223" t="s">
        <v>109</v>
      </c>
      <c r="J1223" t="s">
        <v>43</v>
      </c>
      <c r="K1223" t="s">
        <v>44</v>
      </c>
      <c r="L1223" t="s">
        <v>29</v>
      </c>
      <c r="M1223" t="s">
        <v>30</v>
      </c>
      <c r="N1223" t="s">
        <v>99</v>
      </c>
      <c r="O1223" t="s">
        <v>100</v>
      </c>
      <c r="P1223" t="s">
        <v>43</v>
      </c>
      <c r="Q1223" t="s">
        <v>44</v>
      </c>
      <c r="R1223" s="1">
        <v>44273.618576388886</v>
      </c>
      <c r="S1223" s="1">
        <v>44273.643113425926</v>
      </c>
      <c r="T1223">
        <v>2</v>
      </c>
      <c r="U1223">
        <v>2</v>
      </c>
      <c r="V1223" s="2">
        <v>1</v>
      </c>
      <c r="W1223">
        <v>0</v>
      </c>
      <c r="X1223" t="s">
        <v>30</v>
      </c>
      <c r="Y1223">
        <v>0</v>
      </c>
      <c r="Z1223" t="s">
        <v>30</v>
      </c>
      <c r="AA1223">
        <v>0</v>
      </c>
      <c r="AB1223" t="s">
        <v>31</v>
      </c>
      <c r="AC1223">
        <v>0</v>
      </c>
      <c r="AD1223" t="s">
        <v>31</v>
      </c>
      <c r="AE1223">
        <v>0</v>
      </c>
      <c r="AF1223" t="s">
        <v>31</v>
      </c>
      <c r="AG1223">
        <v>0</v>
      </c>
      <c r="AH1223" t="s">
        <v>31</v>
      </c>
      <c r="AI1223">
        <v>0</v>
      </c>
      <c r="AJ1223" t="s">
        <v>31</v>
      </c>
      <c r="AK1223">
        <v>0</v>
      </c>
      <c r="AL1223" t="s">
        <v>31</v>
      </c>
      <c r="AM1223">
        <v>0</v>
      </c>
      <c r="AN1223" t="s">
        <v>31</v>
      </c>
      <c r="AO1223">
        <v>0</v>
      </c>
      <c r="AP1223" t="s">
        <v>31</v>
      </c>
      <c r="AQ1223">
        <v>0</v>
      </c>
    </row>
    <row r="1224" spans="1:43" x14ac:dyDescent="0.2">
      <c r="A1224" t="s">
        <v>381</v>
      </c>
      <c r="B1224" s="3">
        <v>44285</v>
      </c>
      <c r="C1224">
        <v>45</v>
      </c>
      <c r="D1224" t="s">
        <v>385</v>
      </c>
      <c r="E1224" t="s">
        <v>114</v>
      </c>
      <c r="F1224" s="9" t="s">
        <v>153</v>
      </c>
      <c r="G1224" t="s">
        <v>26</v>
      </c>
      <c r="H1224" t="s">
        <v>99</v>
      </c>
      <c r="I1224" t="s">
        <v>100</v>
      </c>
      <c r="J1224" t="s">
        <v>43</v>
      </c>
      <c r="K1224" t="s">
        <v>44</v>
      </c>
      <c r="L1224" t="s">
        <v>29</v>
      </c>
      <c r="M1224" t="s">
        <v>30</v>
      </c>
      <c r="N1224" t="s">
        <v>99</v>
      </c>
      <c r="O1224" t="s">
        <v>100</v>
      </c>
      <c r="P1224" t="s">
        <v>43</v>
      </c>
      <c r="Q1224" t="s">
        <v>44</v>
      </c>
      <c r="R1224" s="1">
        <v>44285.539212962962</v>
      </c>
      <c r="S1224" s="1">
        <v>44285.539421296293</v>
      </c>
      <c r="T1224">
        <v>2</v>
      </c>
      <c r="U1224">
        <v>2</v>
      </c>
      <c r="V1224" s="2">
        <v>1</v>
      </c>
      <c r="W1224">
        <v>0</v>
      </c>
      <c r="X1224" t="s">
        <v>30</v>
      </c>
      <c r="Y1224">
        <v>0</v>
      </c>
      <c r="Z1224" t="s">
        <v>30</v>
      </c>
      <c r="AA1224">
        <v>0</v>
      </c>
      <c r="AB1224" t="s">
        <v>31</v>
      </c>
      <c r="AC1224">
        <v>0</v>
      </c>
      <c r="AD1224" t="s">
        <v>31</v>
      </c>
      <c r="AE1224">
        <v>0</v>
      </c>
      <c r="AF1224" t="s">
        <v>31</v>
      </c>
      <c r="AG1224">
        <v>0</v>
      </c>
      <c r="AH1224" t="s">
        <v>31</v>
      </c>
      <c r="AI1224">
        <v>0</v>
      </c>
      <c r="AJ1224" t="s">
        <v>31</v>
      </c>
      <c r="AK1224">
        <v>0</v>
      </c>
      <c r="AL1224" t="s">
        <v>31</v>
      </c>
      <c r="AM1224">
        <v>0</v>
      </c>
      <c r="AN1224" t="s">
        <v>31</v>
      </c>
      <c r="AO1224">
        <v>0</v>
      </c>
      <c r="AP1224" t="s">
        <v>31</v>
      </c>
      <c r="AQ1224">
        <v>0</v>
      </c>
    </row>
    <row r="1225" spans="1:43" x14ac:dyDescent="0.2">
      <c r="A1225" t="s">
        <v>381</v>
      </c>
      <c r="B1225" s="3">
        <v>44301</v>
      </c>
      <c r="C1225">
        <v>63</v>
      </c>
      <c r="D1225" t="s">
        <v>385</v>
      </c>
      <c r="E1225" t="s">
        <v>114</v>
      </c>
      <c r="F1225" s="9" t="s">
        <v>153</v>
      </c>
      <c r="G1225" t="s">
        <v>26</v>
      </c>
      <c r="H1225" t="s">
        <v>99</v>
      </c>
      <c r="I1225" t="s">
        <v>100</v>
      </c>
      <c r="J1225" t="s">
        <v>43</v>
      </c>
      <c r="K1225" t="s">
        <v>44</v>
      </c>
      <c r="L1225" t="s">
        <v>29</v>
      </c>
      <c r="M1225" t="s">
        <v>30</v>
      </c>
      <c r="N1225" t="s">
        <v>99</v>
      </c>
      <c r="O1225" t="s">
        <v>100</v>
      </c>
      <c r="P1225" t="s">
        <v>43</v>
      </c>
      <c r="Q1225" t="s">
        <v>44</v>
      </c>
      <c r="R1225" s="1">
        <v>44301.595312500001</v>
      </c>
      <c r="S1225" s="1">
        <v>44301.595914351848</v>
      </c>
      <c r="T1225">
        <v>1</v>
      </c>
      <c r="U1225">
        <v>1</v>
      </c>
      <c r="V1225" s="2">
        <v>1</v>
      </c>
      <c r="W1225">
        <v>0</v>
      </c>
      <c r="X1225" t="s">
        <v>30</v>
      </c>
      <c r="Y1225">
        <v>0</v>
      </c>
      <c r="Z1225" t="s">
        <v>31</v>
      </c>
      <c r="AA1225">
        <v>0</v>
      </c>
      <c r="AB1225" t="s">
        <v>31</v>
      </c>
      <c r="AC1225">
        <v>0</v>
      </c>
      <c r="AD1225" t="s">
        <v>31</v>
      </c>
      <c r="AE1225">
        <v>0</v>
      </c>
      <c r="AF1225" t="s">
        <v>31</v>
      </c>
      <c r="AG1225">
        <v>0</v>
      </c>
      <c r="AH1225" t="s">
        <v>31</v>
      </c>
      <c r="AI1225">
        <v>0</v>
      </c>
      <c r="AJ1225" t="s">
        <v>31</v>
      </c>
      <c r="AK1225">
        <v>0</v>
      </c>
      <c r="AL1225" t="s">
        <v>31</v>
      </c>
      <c r="AM1225">
        <v>0</v>
      </c>
      <c r="AN1225" t="s">
        <v>31</v>
      </c>
      <c r="AO1225">
        <v>0</v>
      </c>
      <c r="AP1225" t="s">
        <v>31</v>
      </c>
      <c r="AQ1225">
        <v>0</v>
      </c>
    </row>
    <row r="1226" spans="1:43" x14ac:dyDescent="0.2">
      <c r="A1226" t="s">
        <v>381</v>
      </c>
      <c r="B1226" s="3">
        <v>44315</v>
      </c>
      <c r="C1226">
        <v>81</v>
      </c>
      <c r="D1226" t="s">
        <v>385</v>
      </c>
      <c r="E1226" t="s">
        <v>114</v>
      </c>
      <c r="F1226" s="9" t="s">
        <v>153</v>
      </c>
      <c r="G1226" t="s">
        <v>26</v>
      </c>
      <c r="H1226" t="s">
        <v>99</v>
      </c>
      <c r="I1226" t="s">
        <v>100</v>
      </c>
      <c r="J1226" t="s">
        <v>43</v>
      </c>
      <c r="K1226" t="s">
        <v>44</v>
      </c>
      <c r="L1226" t="s">
        <v>29</v>
      </c>
      <c r="M1226" t="s">
        <v>30</v>
      </c>
      <c r="N1226" t="s">
        <v>116</v>
      </c>
      <c r="O1226" t="s">
        <v>117</v>
      </c>
      <c r="P1226" t="s">
        <v>43</v>
      </c>
      <c r="Q1226" t="s">
        <v>44</v>
      </c>
      <c r="R1226" s="1">
        <v>44315.632361111115</v>
      </c>
      <c r="S1226" s="1">
        <v>44315.632523148146</v>
      </c>
      <c r="T1226">
        <v>2</v>
      </c>
      <c r="U1226">
        <v>2</v>
      </c>
      <c r="V1226" s="2">
        <v>1</v>
      </c>
      <c r="W1226">
        <v>0</v>
      </c>
      <c r="X1226" t="s">
        <v>30</v>
      </c>
      <c r="Y1226">
        <v>0</v>
      </c>
      <c r="Z1226" t="s">
        <v>30</v>
      </c>
      <c r="AA1226">
        <v>0</v>
      </c>
      <c r="AB1226" t="s">
        <v>31</v>
      </c>
      <c r="AC1226">
        <v>0</v>
      </c>
      <c r="AD1226" t="s">
        <v>31</v>
      </c>
      <c r="AE1226">
        <v>0</v>
      </c>
      <c r="AF1226" t="s">
        <v>31</v>
      </c>
      <c r="AG1226">
        <v>0</v>
      </c>
      <c r="AH1226" t="s">
        <v>31</v>
      </c>
      <c r="AI1226">
        <v>0</v>
      </c>
      <c r="AJ1226" t="s">
        <v>31</v>
      </c>
      <c r="AK1226">
        <v>0</v>
      </c>
      <c r="AL1226" t="s">
        <v>31</v>
      </c>
      <c r="AM1226">
        <v>0</v>
      </c>
      <c r="AN1226" t="s">
        <v>31</v>
      </c>
      <c r="AO1226">
        <v>0</v>
      </c>
      <c r="AP1226" t="s">
        <v>31</v>
      </c>
      <c r="AQ1226">
        <v>0</v>
      </c>
    </row>
    <row r="1227" spans="1:43" x14ac:dyDescent="0.2">
      <c r="A1227" t="s">
        <v>381</v>
      </c>
      <c r="B1227" s="3">
        <v>44320</v>
      </c>
      <c r="C1227">
        <v>87</v>
      </c>
      <c r="D1227" t="s">
        <v>385</v>
      </c>
      <c r="E1227" t="s">
        <v>114</v>
      </c>
      <c r="F1227" s="9" t="s">
        <v>153</v>
      </c>
      <c r="G1227" t="s">
        <v>26</v>
      </c>
      <c r="H1227" t="s">
        <v>116</v>
      </c>
      <c r="I1227" t="s">
        <v>117</v>
      </c>
      <c r="J1227" t="s">
        <v>43</v>
      </c>
      <c r="K1227" t="s">
        <v>44</v>
      </c>
      <c r="L1227" t="s">
        <v>29</v>
      </c>
      <c r="M1227" t="s">
        <v>30</v>
      </c>
      <c r="N1227" t="s">
        <v>116</v>
      </c>
      <c r="O1227" t="s">
        <v>117</v>
      </c>
      <c r="P1227" t="s">
        <v>43</v>
      </c>
      <c r="Q1227" t="s">
        <v>44</v>
      </c>
      <c r="R1227" s="1">
        <v>44320.624722222223</v>
      </c>
      <c r="S1227" s="1">
        <v>44320.625092592592</v>
      </c>
      <c r="T1227">
        <v>1</v>
      </c>
      <c r="U1227">
        <v>1</v>
      </c>
      <c r="V1227" s="2">
        <v>1</v>
      </c>
      <c r="W1227">
        <v>0</v>
      </c>
      <c r="X1227" t="s">
        <v>30</v>
      </c>
      <c r="Y1227">
        <v>0</v>
      </c>
      <c r="Z1227" t="s">
        <v>31</v>
      </c>
      <c r="AA1227">
        <v>0</v>
      </c>
      <c r="AB1227" t="s">
        <v>31</v>
      </c>
      <c r="AC1227">
        <v>0</v>
      </c>
      <c r="AD1227" t="s">
        <v>31</v>
      </c>
      <c r="AE1227">
        <v>0</v>
      </c>
      <c r="AF1227" t="s">
        <v>31</v>
      </c>
      <c r="AG1227">
        <v>0</v>
      </c>
      <c r="AH1227" t="s">
        <v>31</v>
      </c>
      <c r="AI1227">
        <v>0</v>
      </c>
      <c r="AJ1227" t="s">
        <v>31</v>
      </c>
      <c r="AK1227">
        <v>0</v>
      </c>
      <c r="AL1227" t="s">
        <v>31</v>
      </c>
      <c r="AM1227">
        <v>0</v>
      </c>
      <c r="AN1227" t="s">
        <v>31</v>
      </c>
      <c r="AO1227">
        <v>0</v>
      </c>
      <c r="AP1227" t="s">
        <v>31</v>
      </c>
      <c r="AQ1227">
        <v>0</v>
      </c>
    </row>
    <row r="1228" spans="1:43" x14ac:dyDescent="0.2">
      <c r="A1228" t="s">
        <v>381</v>
      </c>
      <c r="B1228" s="3">
        <v>44336</v>
      </c>
      <c r="C1228">
        <v>103</v>
      </c>
      <c r="D1228" t="s">
        <v>385</v>
      </c>
      <c r="E1228" t="s">
        <v>114</v>
      </c>
      <c r="F1228" s="9" t="s">
        <v>153</v>
      </c>
      <c r="G1228" t="s">
        <v>26</v>
      </c>
      <c r="H1228" t="s">
        <v>116</v>
      </c>
      <c r="I1228" t="s">
        <v>117</v>
      </c>
      <c r="J1228" t="s">
        <v>43</v>
      </c>
      <c r="K1228" t="s">
        <v>44</v>
      </c>
      <c r="L1228" t="s">
        <v>29</v>
      </c>
      <c r="M1228" t="s">
        <v>30</v>
      </c>
      <c r="N1228" t="s">
        <v>116</v>
      </c>
      <c r="O1228" t="s">
        <v>117</v>
      </c>
      <c r="P1228" t="s">
        <v>43</v>
      </c>
      <c r="Q1228" t="s">
        <v>44</v>
      </c>
      <c r="R1228" s="1">
        <v>44336.589675925927</v>
      </c>
      <c r="S1228" s="1">
        <v>44336.592314814814</v>
      </c>
      <c r="T1228">
        <v>1</v>
      </c>
      <c r="U1228">
        <v>1</v>
      </c>
      <c r="V1228" s="2">
        <v>1</v>
      </c>
      <c r="W1228">
        <v>0</v>
      </c>
      <c r="X1228" t="s">
        <v>30</v>
      </c>
      <c r="Y1228">
        <v>0</v>
      </c>
      <c r="Z1228" t="s">
        <v>31</v>
      </c>
      <c r="AA1228">
        <v>0</v>
      </c>
      <c r="AB1228" t="s">
        <v>31</v>
      </c>
      <c r="AC1228">
        <v>0</v>
      </c>
      <c r="AD1228" t="s">
        <v>31</v>
      </c>
      <c r="AE1228">
        <v>0</v>
      </c>
      <c r="AF1228" t="s">
        <v>31</v>
      </c>
      <c r="AG1228">
        <v>0</v>
      </c>
      <c r="AH1228" t="s">
        <v>31</v>
      </c>
      <c r="AI1228">
        <v>0</v>
      </c>
      <c r="AJ1228" t="s">
        <v>31</v>
      </c>
      <c r="AK1228">
        <v>0</v>
      </c>
      <c r="AL1228" t="s">
        <v>31</v>
      </c>
      <c r="AM1228">
        <v>0</v>
      </c>
      <c r="AN1228" t="s">
        <v>31</v>
      </c>
      <c r="AO1228">
        <v>0</v>
      </c>
      <c r="AP1228" t="s">
        <v>31</v>
      </c>
      <c r="AQ1228">
        <v>0</v>
      </c>
    </row>
    <row r="1229" spans="1:43" x14ac:dyDescent="0.2">
      <c r="A1229" t="s">
        <v>381</v>
      </c>
      <c r="B1229" s="3">
        <v>44341</v>
      </c>
      <c r="C1229">
        <v>111</v>
      </c>
      <c r="D1229" t="s">
        <v>385</v>
      </c>
      <c r="E1229" t="s">
        <v>114</v>
      </c>
      <c r="F1229" s="9" t="s">
        <v>153</v>
      </c>
      <c r="G1229" t="s">
        <v>26</v>
      </c>
      <c r="H1229" t="s">
        <v>116</v>
      </c>
      <c r="I1229" t="s">
        <v>117</v>
      </c>
      <c r="J1229" t="s">
        <v>43</v>
      </c>
      <c r="K1229" t="s">
        <v>44</v>
      </c>
      <c r="L1229" t="s">
        <v>29</v>
      </c>
      <c r="M1229" t="s">
        <v>30</v>
      </c>
      <c r="N1229" t="s">
        <v>116</v>
      </c>
      <c r="O1229" t="s">
        <v>117</v>
      </c>
      <c r="P1229" t="s">
        <v>43</v>
      </c>
      <c r="Q1229" t="s">
        <v>44</v>
      </c>
      <c r="R1229" s="1">
        <v>44341.556851851848</v>
      </c>
      <c r="S1229" s="1">
        <v>44341.556990740741</v>
      </c>
      <c r="T1229">
        <v>1</v>
      </c>
      <c r="U1229">
        <v>1</v>
      </c>
      <c r="V1229" s="2">
        <v>1</v>
      </c>
      <c r="W1229">
        <v>0</v>
      </c>
      <c r="X1229" t="s">
        <v>30</v>
      </c>
      <c r="Y1229">
        <v>0</v>
      </c>
      <c r="Z1229" t="s">
        <v>31</v>
      </c>
      <c r="AA1229">
        <v>0</v>
      </c>
      <c r="AB1229" t="s">
        <v>31</v>
      </c>
      <c r="AC1229">
        <v>0</v>
      </c>
      <c r="AD1229" t="s">
        <v>31</v>
      </c>
      <c r="AE1229">
        <v>0</v>
      </c>
      <c r="AF1229" t="s">
        <v>31</v>
      </c>
      <c r="AG1229">
        <v>0</v>
      </c>
      <c r="AH1229" t="s">
        <v>31</v>
      </c>
      <c r="AI1229">
        <v>0</v>
      </c>
      <c r="AJ1229" t="s">
        <v>31</v>
      </c>
      <c r="AK1229">
        <v>0</v>
      </c>
      <c r="AL1229" t="s">
        <v>31</v>
      </c>
      <c r="AM1229">
        <v>0</v>
      </c>
      <c r="AN1229" t="s">
        <v>31</v>
      </c>
      <c r="AO1229">
        <v>0</v>
      </c>
      <c r="AP1229" t="s">
        <v>31</v>
      </c>
      <c r="AQ1229">
        <v>0</v>
      </c>
    </row>
    <row r="1230" spans="1:43" x14ac:dyDescent="0.2">
      <c r="A1230" t="s">
        <v>381</v>
      </c>
      <c r="B1230" s="3">
        <v>44349</v>
      </c>
      <c r="C1230">
        <v>121</v>
      </c>
      <c r="D1230" t="s">
        <v>385</v>
      </c>
      <c r="E1230" t="s">
        <v>114</v>
      </c>
      <c r="F1230" s="9" t="s">
        <v>153</v>
      </c>
      <c r="G1230" t="s">
        <v>26</v>
      </c>
      <c r="H1230" t="s">
        <v>116</v>
      </c>
      <c r="I1230" t="s">
        <v>117</v>
      </c>
      <c r="J1230" t="s">
        <v>43</v>
      </c>
      <c r="K1230" t="s">
        <v>44</v>
      </c>
      <c r="L1230" t="s">
        <v>29</v>
      </c>
      <c r="M1230" t="s">
        <v>30</v>
      </c>
      <c r="N1230" t="s">
        <v>116</v>
      </c>
      <c r="O1230" t="s">
        <v>117</v>
      </c>
      <c r="P1230" t="s">
        <v>43</v>
      </c>
      <c r="Q1230" t="s">
        <v>44</v>
      </c>
      <c r="R1230" s="1">
        <v>44349.629224537035</v>
      </c>
      <c r="S1230" s="1">
        <v>44349.629224537035</v>
      </c>
      <c r="T1230">
        <v>1</v>
      </c>
      <c r="U1230">
        <v>1</v>
      </c>
      <c r="V1230" s="2">
        <v>1</v>
      </c>
      <c r="W1230">
        <v>0</v>
      </c>
      <c r="X1230" t="s">
        <v>30</v>
      </c>
      <c r="Y1230">
        <v>0</v>
      </c>
      <c r="Z1230" t="s">
        <v>31</v>
      </c>
      <c r="AA1230">
        <v>0</v>
      </c>
      <c r="AB1230" t="s">
        <v>31</v>
      </c>
      <c r="AC1230">
        <v>0</v>
      </c>
      <c r="AD1230" t="s">
        <v>31</v>
      </c>
      <c r="AE1230">
        <v>0</v>
      </c>
      <c r="AF1230" t="s">
        <v>31</v>
      </c>
      <c r="AG1230">
        <v>0</v>
      </c>
      <c r="AH1230" t="s">
        <v>31</v>
      </c>
      <c r="AI1230">
        <v>0</v>
      </c>
      <c r="AJ1230" t="s">
        <v>31</v>
      </c>
      <c r="AK1230">
        <v>0</v>
      </c>
      <c r="AL1230" t="s">
        <v>31</v>
      </c>
      <c r="AM1230">
        <v>0</v>
      </c>
      <c r="AN1230" t="s">
        <v>31</v>
      </c>
      <c r="AO1230">
        <v>0</v>
      </c>
      <c r="AP1230" t="s">
        <v>31</v>
      </c>
      <c r="AQ1230">
        <v>0</v>
      </c>
    </row>
    <row r="1231" spans="1:43" x14ac:dyDescent="0.2">
      <c r="A1231" t="s">
        <v>381</v>
      </c>
      <c r="B1231" s="3">
        <v>44355</v>
      </c>
      <c r="C1231">
        <v>129</v>
      </c>
      <c r="D1231" t="s">
        <v>385</v>
      </c>
      <c r="E1231" t="s">
        <v>114</v>
      </c>
      <c r="F1231" s="9" t="s">
        <v>153</v>
      </c>
      <c r="G1231" t="s">
        <v>26</v>
      </c>
      <c r="H1231" t="s">
        <v>116</v>
      </c>
      <c r="I1231" t="s">
        <v>117</v>
      </c>
      <c r="J1231" t="s">
        <v>43</v>
      </c>
      <c r="K1231" t="s">
        <v>44</v>
      </c>
      <c r="L1231" t="s">
        <v>29</v>
      </c>
      <c r="M1231" t="s">
        <v>30</v>
      </c>
      <c r="N1231" t="s">
        <v>116</v>
      </c>
      <c r="O1231" t="s">
        <v>117</v>
      </c>
      <c r="P1231" t="s">
        <v>43</v>
      </c>
      <c r="Q1231" t="s">
        <v>44</v>
      </c>
      <c r="R1231" s="1">
        <v>44355.571493055555</v>
      </c>
      <c r="S1231" s="1">
        <v>44355.571585648147</v>
      </c>
      <c r="T1231">
        <v>1</v>
      </c>
      <c r="U1231">
        <v>1</v>
      </c>
      <c r="V1231" s="2">
        <v>1</v>
      </c>
      <c r="W1231">
        <v>0</v>
      </c>
      <c r="X1231" t="s">
        <v>30</v>
      </c>
      <c r="Y1231">
        <v>0</v>
      </c>
      <c r="Z1231" t="s">
        <v>31</v>
      </c>
      <c r="AA1231">
        <v>0</v>
      </c>
      <c r="AB1231" t="s">
        <v>31</v>
      </c>
      <c r="AC1231">
        <v>0</v>
      </c>
      <c r="AD1231" t="s">
        <v>31</v>
      </c>
      <c r="AE1231">
        <v>0</v>
      </c>
      <c r="AF1231" t="s">
        <v>31</v>
      </c>
      <c r="AG1231">
        <v>0</v>
      </c>
      <c r="AH1231" t="s">
        <v>31</v>
      </c>
      <c r="AI1231">
        <v>0</v>
      </c>
      <c r="AJ1231" t="s">
        <v>31</v>
      </c>
      <c r="AK1231">
        <v>0</v>
      </c>
      <c r="AL1231" t="s">
        <v>31</v>
      </c>
      <c r="AM1231">
        <v>0</v>
      </c>
      <c r="AN1231" t="s">
        <v>31</v>
      </c>
      <c r="AO1231">
        <v>0</v>
      </c>
      <c r="AP1231" t="s">
        <v>31</v>
      </c>
      <c r="AQ1231">
        <v>0</v>
      </c>
    </row>
    <row r="1232" spans="1:43" x14ac:dyDescent="0.2">
      <c r="A1232" t="s">
        <v>381</v>
      </c>
      <c r="B1232" s="3">
        <v>44357</v>
      </c>
      <c r="C1232">
        <v>132</v>
      </c>
      <c r="D1232" t="s">
        <v>399</v>
      </c>
      <c r="E1232" t="s">
        <v>114</v>
      </c>
      <c r="F1232" s="9" t="s">
        <v>153</v>
      </c>
      <c r="G1232" t="s">
        <v>26</v>
      </c>
      <c r="H1232" t="s">
        <v>116</v>
      </c>
      <c r="I1232" t="s">
        <v>117</v>
      </c>
      <c r="J1232" t="s">
        <v>43</v>
      </c>
      <c r="K1232" t="s">
        <v>44</v>
      </c>
      <c r="L1232" t="s">
        <v>29</v>
      </c>
      <c r="M1232" t="s">
        <v>30</v>
      </c>
      <c r="N1232" t="s">
        <v>116</v>
      </c>
      <c r="O1232" t="s">
        <v>117</v>
      </c>
      <c r="P1232" t="s">
        <v>43</v>
      </c>
      <c r="Q1232" t="s">
        <v>44</v>
      </c>
      <c r="R1232" s="1">
        <v>44357.458726851852</v>
      </c>
      <c r="S1232" s="1">
        <v>44357.458726851852</v>
      </c>
      <c r="T1232">
        <v>1</v>
      </c>
      <c r="U1232">
        <v>1</v>
      </c>
      <c r="V1232" s="2">
        <v>1</v>
      </c>
      <c r="W1232">
        <v>0</v>
      </c>
      <c r="X1232" t="s">
        <v>30</v>
      </c>
      <c r="Y1232">
        <v>0</v>
      </c>
      <c r="Z1232" t="s">
        <v>31</v>
      </c>
      <c r="AA1232">
        <v>0</v>
      </c>
      <c r="AB1232" t="s">
        <v>31</v>
      </c>
      <c r="AC1232">
        <v>0</v>
      </c>
      <c r="AD1232" t="s">
        <v>31</v>
      </c>
      <c r="AE1232">
        <v>0</v>
      </c>
      <c r="AF1232" t="s">
        <v>31</v>
      </c>
      <c r="AG1232">
        <v>0</v>
      </c>
      <c r="AH1232" t="s">
        <v>31</v>
      </c>
      <c r="AI1232">
        <v>0</v>
      </c>
      <c r="AJ1232" t="s">
        <v>31</v>
      </c>
      <c r="AK1232">
        <v>0</v>
      </c>
      <c r="AL1232" t="s">
        <v>31</v>
      </c>
      <c r="AM1232">
        <v>0</v>
      </c>
      <c r="AN1232" t="s">
        <v>31</v>
      </c>
      <c r="AO1232">
        <v>0</v>
      </c>
      <c r="AP1232" t="s">
        <v>31</v>
      </c>
      <c r="AQ1232">
        <v>0</v>
      </c>
    </row>
    <row r="1233" spans="1:43" x14ac:dyDescent="0.2">
      <c r="A1233" t="s">
        <v>381</v>
      </c>
      <c r="B1233" s="3">
        <v>44364</v>
      </c>
      <c r="C1233">
        <v>138</v>
      </c>
      <c r="D1233" t="s">
        <v>399</v>
      </c>
      <c r="E1233" t="s">
        <v>114</v>
      </c>
      <c r="F1233" s="9" t="s">
        <v>153</v>
      </c>
      <c r="G1233" t="s">
        <v>26</v>
      </c>
      <c r="H1233" t="s">
        <v>116</v>
      </c>
      <c r="I1233" t="s">
        <v>117</v>
      </c>
      <c r="J1233" t="s">
        <v>43</v>
      </c>
      <c r="K1233" t="s">
        <v>44</v>
      </c>
      <c r="L1233" t="s">
        <v>29</v>
      </c>
      <c r="M1233" t="s">
        <v>30</v>
      </c>
      <c r="N1233" t="s">
        <v>116</v>
      </c>
      <c r="O1233" t="s">
        <v>117</v>
      </c>
      <c r="P1233" t="s">
        <v>43</v>
      </c>
      <c r="Q1233" t="s">
        <v>44</v>
      </c>
      <c r="R1233" s="1">
        <v>44364.466354166667</v>
      </c>
      <c r="S1233" s="1">
        <v>44364.466354166667</v>
      </c>
      <c r="T1233">
        <v>1</v>
      </c>
      <c r="U1233">
        <v>1</v>
      </c>
      <c r="V1233" s="2">
        <v>1</v>
      </c>
      <c r="W1233">
        <v>0</v>
      </c>
      <c r="X1233" t="s">
        <v>30</v>
      </c>
      <c r="Y1233">
        <v>0</v>
      </c>
      <c r="Z1233" t="s">
        <v>31</v>
      </c>
      <c r="AA1233">
        <v>0</v>
      </c>
      <c r="AB1233" t="s">
        <v>31</v>
      </c>
      <c r="AC1233">
        <v>0</v>
      </c>
      <c r="AD1233" t="s">
        <v>31</v>
      </c>
      <c r="AE1233">
        <v>0</v>
      </c>
      <c r="AF1233" t="s">
        <v>31</v>
      </c>
      <c r="AG1233">
        <v>0</v>
      </c>
      <c r="AH1233" t="s">
        <v>31</v>
      </c>
      <c r="AI1233">
        <v>0</v>
      </c>
      <c r="AJ1233" t="s">
        <v>31</v>
      </c>
      <c r="AK1233">
        <v>0</v>
      </c>
      <c r="AL1233" t="s">
        <v>31</v>
      </c>
      <c r="AM1233">
        <v>0</v>
      </c>
      <c r="AN1233" t="s">
        <v>31</v>
      </c>
      <c r="AO1233">
        <v>0</v>
      </c>
      <c r="AP1233" t="s">
        <v>31</v>
      </c>
      <c r="AQ1233">
        <v>0</v>
      </c>
    </row>
    <row r="1234" spans="1:43" x14ac:dyDescent="0.2">
      <c r="A1234" t="s">
        <v>381</v>
      </c>
      <c r="B1234" s="3">
        <v>44375</v>
      </c>
      <c r="C1234">
        <v>141</v>
      </c>
      <c r="D1234" t="s">
        <v>396</v>
      </c>
      <c r="E1234" t="s">
        <v>114</v>
      </c>
      <c r="F1234" s="9" t="s">
        <v>153</v>
      </c>
      <c r="G1234" t="s">
        <v>26</v>
      </c>
      <c r="H1234" t="s">
        <v>116</v>
      </c>
      <c r="I1234" t="s">
        <v>117</v>
      </c>
      <c r="J1234" t="s">
        <v>43</v>
      </c>
      <c r="K1234" t="s">
        <v>44</v>
      </c>
      <c r="L1234" t="s">
        <v>29</v>
      </c>
      <c r="M1234" t="s">
        <v>30</v>
      </c>
      <c r="N1234" t="s">
        <v>116</v>
      </c>
      <c r="O1234" t="s">
        <v>117</v>
      </c>
      <c r="P1234" t="s">
        <v>43</v>
      </c>
      <c r="Q1234" t="s">
        <v>44</v>
      </c>
      <c r="R1234" s="1">
        <v>44375.645821759259</v>
      </c>
      <c r="S1234" s="1">
        <v>44375.645821759259</v>
      </c>
      <c r="T1234">
        <v>1</v>
      </c>
      <c r="U1234">
        <v>1</v>
      </c>
      <c r="V1234" s="2">
        <v>1</v>
      </c>
      <c r="W1234">
        <v>0</v>
      </c>
      <c r="X1234" t="s">
        <v>30</v>
      </c>
      <c r="Y1234">
        <v>0</v>
      </c>
      <c r="Z1234" t="s">
        <v>31</v>
      </c>
      <c r="AA1234">
        <v>0</v>
      </c>
      <c r="AB1234" t="s">
        <v>31</v>
      </c>
      <c r="AC1234">
        <v>0</v>
      </c>
      <c r="AD1234" t="s">
        <v>31</v>
      </c>
      <c r="AE1234">
        <v>0</v>
      </c>
      <c r="AF1234" t="s">
        <v>31</v>
      </c>
      <c r="AG1234">
        <v>0</v>
      </c>
      <c r="AH1234" t="s">
        <v>31</v>
      </c>
      <c r="AI1234">
        <v>0</v>
      </c>
      <c r="AJ1234" t="s">
        <v>31</v>
      </c>
      <c r="AK1234">
        <v>0</v>
      </c>
      <c r="AL1234" t="s">
        <v>31</v>
      </c>
      <c r="AM1234">
        <v>0</v>
      </c>
      <c r="AN1234" t="s">
        <v>31</v>
      </c>
      <c r="AO1234">
        <v>0</v>
      </c>
      <c r="AP1234" t="s">
        <v>31</v>
      </c>
      <c r="AQ1234">
        <v>0</v>
      </c>
    </row>
    <row r="1235" spans="1:43" x14ac:dyDescent="0.2">
      <c r="A1235" t="s">
        <v>381</v>
      </c>
      <c r="B1235" s="3">
        <v>44237</v>
      </c>
      <c r="C1235">
        <v>4</v>
      </c>
      <c r="D1235" t="s">
        <v>384</v>
      </c>
      <c r="E1235" t="s">
        <v>118</v>
      </c>
      <c r="F1235" s="9" t="s">
        <v>119</v>
      </c>
      <c r="G1235" t="s">
        <v>26</v>
      </c>
      <c r="H1235" t="s">
        <v>116</v>
      </c>
      <c r="I1235" t="s">
        <v>117</v>
      </c>
      <c r="J1235" t="s">
        <v>43</v>
      </c>
      <c r="K1235" t="s">
        <v>44</v>
      </c>
      <c r="L1235" t="s">
        <v>29</v>
      </c>
      <c r="M1235" t="s">
        <v>30</v>
      </c>
      <c r="N1235" t="s">
        <v>116</v>
      </c>
      <c r="O1235" t="s">
        <v>117</v>
      </c>
      <c r="P1235" t="s">
        <v>43</v>
      </c>
      <c r="Q1235" t="s">
        <v>44</v>
      </c>
      <c r="R1235" s="1">
        <v>44237.465219907404</v>
      </c>
      <c r="S1235" s="1">
        <v>44237.465219907404</v>
      </c>
      <c r="T1235">
        <v>1</v>
      </c>
      <c r="U1235">
        <v>1</v>
      </c>
      <c r="V1235" s="2">
        <v>1</v>
      </c>
      <c r="W1235">
        <v>0</v>
      </c>
      <c r="X1235" t="s">
        <v>30</v>
      </c>
      <c r="Y1235">
        <v>0</v>
      </c>
      <c r="Z1235" t="s">
        <v>31</v>
      </c>
      <c r="AA1235">
        <v>0</v>
      </c>
      <c r="AB1235" t="s">
        <v>31</v>
      </c>
      <c r="AC1235">
        <v>0</v>
      </c>
      <c r="AD1235" t="s">
        <v>31</v>
      </c>
      <c r="AE1235">
        <v>0</v>
      </c>
      <c r="AF1235" t="s">
        <v>31</v>
      </c>
      <c r="AG1235">
        <v>0</v>
      </c>
      <c r="AH1235" t="s">
        <v>31</v>
      </c>
      <c r="AI1235">
        <v>0</v>
      </c>
      <c r="AJ1235" t="s">
        <v>31</v>
      </c>
      <c r="AK1235">
        <v>0</v>
      </c>
      <c r="AL1235" t="s">
        <v>31</v>
      </c>
      <c r="AM1235">
        <v>0</v>
      </c>
      <c r="AN1235" t="s">
        <v>31</v>
      </c>
      <c r="AO1235">
        <v>0</v>
      </c>
      <c r="AP1235" t="s">
        <v>31</v>
      </c>
      <c r="AQ1235">
        <v>0</v>
      </c>
    </row>
    <row r="1236" spans="1:43" x14ac:dyDescent="0.2">
      <c r="A1236" t="s">
        <v>381</v>
      </c>
      <c r="B1236" s="3">
        <v>44239</v>
      </c>
      <c r="C1236">
        <v>7</v>
      </c>
      <c r="D1236" t="s">
        <v>384</v>
      </c>
      <c r="E1236" t="s">
        <v>118</v>
      </c>
      <c r="F1236" s="9" t="s">
        <v>119</v>
      </c>
      <c r="G1236" t="s">
        <v>26</v>
      </c>
      <c r="H1236" t="s">
        <v>116</v>
      </c>
      <c r="I1236" t="s">
        <v>117</v>
      </c>
      <c r="J1236" t="s">
        <v>43</v>
      </c>
      <c r="K1236" t="s">
        <v>44</v>
      </c>
      <c r="L1236" t="s">
        <v>29</v>
      </c>
      <c r="M1236" t="s">
        <v>30</v>
      </c>
      <c r="N1236" t="s">
        <v>116</v>
      </c>
      <c r="O1236" t="s">
        <v>117</v>
      </c>
      <c r="P1236" t="s">
        <v>43</v>
      </c>
      <c r="Q1236" t="s">
        <v>44</v>
      </c>
      <c r="R1236" s="1">
        <v>44239.391689814816</v>
      </c>
      <c r="S1236" s="1">
        <v>44239.391689814816</v>
      </c>
      <c r="T1236">
        <v>1</v>
      </c>
      <c r="U1236">
        <v>1</v>
      </c>
      <c r="V1236" s="2">
        <v>1</v>
      </c>
      <c r="W1236">
        <v>0</v>
      </c>
      <c r="X1236" t="s">
        <v>30</v>
      </c>
      <c r="Y1236">
        <v>0</v>
      </c>
      <c r="Z1236" t="s">
        <v>31</v>
      </c>
      <c r="AA1236">
        <v>0</v>
      </c>
      <c r="AB1236" t="s">
        <v>31</v>
      </c>
      <c r="AC1236">
        <v>0</v>
      </c>
      <c r="AD1236" t="s">
        <v>31</v>
      </c>
      <c r="AE1236">
        <v>0</v>
      </c>
      <c r="AF1236" t="s">
        <v>31</v>
      </c>
      <c r="AG1236">
        <v>0</v>
      </c>
      <c r="AH1236" t="s">
        <v>31</v>
      </c>
      <c r="AI1236">
        <v>0</v>
      </c>
      <c r="AJ1236" t="s">
        <v>31</v>
      </c>
      <c r="AK1236">
        <v>0</v>
      </c>
      <c r="AL1236" t="s">
        <v>31</v>
      </c>
      <c r="AM1236">
        <v>0</v>
      </c>
      <c r="AN1236" t="s">
        <v>31</v>
      </c>
      <c r="AO1236">
        <v>0</v>
      </c>
      <c r="AP1236" t="s">
        <v>31</v>
      </c>
      <c r="AQ1236">
        <v>0</v>
      </c>
    </row>
    <row r="1237" spans="1:43" x14ac:dyDescent="0.2">
      <c r="A1237" t="s">
        <v>381</v>
      </c>
      <c r="B1237" s="3">
        <v>44266</v>
      </c>
      <c r="C1237">
        <v>33</v>
      </c>
      <c r="D1237" t="s">
        <v>385</v>
      </c>
      <c r="E1237" t="s">
        <v>118</v>
      </c>
      <c r="F1237" s="9" t="s">
        <v>119</v>
      </c>
      <c r="G1237" t="s">
        <v>26</v>
      </c>
      <c r="H1237" t="s">
        <v>116</v>
      </c>
      <c r="I1237" t="s">
        <v>117</v>
      </c>
      <c r="J1237" t="s">
        <v>43</v>
      </c>
      <c r="K1237" t="s">
        <v>44</v>
      </c>
      <c r="L1237" t="s">
        <v>29</v>
      </c>
      <c r="M1237" t="s">
        <v>30</v>
      </c>
      <c r="N1237" t="s">
        <v>116</v>
      </c>
      <c r="O1237" t="s">
        <v>117</v>
      </c>
      <c r="P1237" t="s">
        <v>43</v>
      </c>
      <c r="Q1237" t="s">
        <v>44</v>
      </c>
      <c r="R1237" s="1">
        <v>44266.417094907411</v>
      </c>
      <c r="S1237" s="1">
        <v>44266.41710648148</v>
      </c>
      <c r="T1237">
        <v>2</v>
      </c>
      <c r="U1237">
        <v>2</v>
      </c>
      <c r="V1237" s="2">
        <v>1</v>
      </c>
      <c r="W1237">
        <v>0</v>
      </c>
      <c r="X1237" t="s">
        <v>30</v>
      </c>
      <c r="Y1237">
        <v>0</v>
      </c>
      <c r="Z1237" t="s">
        <v>30</v>
      </c>
      <c r="AA1237">
        <v>0</v>
      </c>
      <c r="AB1237" t="s">
        <v>31</v>
      </c>
      <c r="AC1237">
        <v>0</v>
      </c>
      <c r="AD1237" t="s">
        <v>31</v>
      </c>
      <c r="AE1237">
        <v>0</v>
      </c>
      <c r="AF1237" t="s">
        <v>31</v>
      </c>
      <c r="AG1237">
        <v>0</v>
      </c>
      <c r="AH1237" t="s">
        <v>31</v>
      </c>
      <c r="AI1237">
        <v>0</v>
      </c>
      <c r="AJ1237" t="s">
        <v>31</v>
      </c>
      <c r="AK1237">
        <v>0</v>
      </c>
      <c r="AL1237" t="s">
        <v>31</v>
      </c>
      <c r="AM1237">
        <v>0</v>
      </c>
      <c r="AN1237" t="s">
        <v>31</v>
      </c>
      <c r="AO1237">
        <v>0</v>
      </c>
      <c r="AP1237" t="s">
        <v>31</v>
      </c>
      <c r="AQ1237">
        <v>0</v>
      </c>
    </row>
    <row r="1238" spans="1:43" x14ac:dyDescent="0.2">
      <c r="A1238" t="s">
        <v>381</v>
      </c>
      <c r="B1238" s="3">
        <v>44273</v>
      </c>
      <c r="C1238">
        <v>40</v>
      </c>
      <c r="D1238" t="s">
        <v>385</v>
      </c>
      <c r="E1238" t="s">
        <v>118</v>
      </c>
      <c r="F1238" s="9" t="s">
        <v>119</v>
      </c>
      <c r="G1238" t="s">
        <v>26</v>
      </c>
      <c r="H1238" t="s">
        <v>116</v>
      </c>
      <c r="I1238" t="s">
        <v>117</v>
      </c>
      <c r="J1238" t="s">
        <v>43</v>
      </c>
      <c r="K1238" t="s">
        <v>44</v>
      </c>
      <c r="L1238" t="s">
        <v>29</v>
      </c>
      <c r="M1238" t="s">
        <v>30</v>
      </c>
      <c r="N1238" t="s">
        <v>116</v>
      </c>
      <c r="O1238" t="s">
        <v>117</v>
      </c>
      <c r="P1238" t="s">
        <v>43</v>
      </c>
      <c r="Q1238" t="s">
        <v>44</v>
      </c>
      <c r="R1238" s="1">
        <v>44273.641631944447</v>
      </c>
      <c r="S1238" s="1">
        <v>44273.641631944447</v>
      </c>
      <c r="T1238">
        <v>1</v>
      </c>
      <c r="U1238">
        <v>1</v>
      </c>
      <c r="V1238" s="2">
        <v>1</v>
      </c>
      <c r="W1238">
        <v>0</v>
      </c>
      <c r="X1238" t="s">
        <v>30</v>
      </c>
      <c r="Y1238">
        <v>0</v>
      </c>
      <c r="Z1238" t="s">
        <v>31</v>
      </c>
      <c r="AA1238">
        <v>0</v>
      </c>
      <c r="AB1238" t="s">
        <v>31</v>
      </c>
      <c r="AC1238">
        <v>0</v>
      </c>
      <c r="AD1238" t="s">
        <v>31</v>
      </c>
      <c r="AE1238">
        <v>0</v>
      </c>
      <c r="AF1238" t="s">
        <v>31</v>
      </c>
      <c r="AG1238">
        <v>0</v>
      </c>
      <c r="AH1238" t="s">
        <v>31</v>
      </c>
      <c r="AI1238">
        <v>0</v>
      </c>
      <c r="AJ1238" t="s">
        <v>31</v>
      </c>
      <c r="AK1238">
        <v>0</v>
      </c>
      <c r="AL1238" t="s">
        <v>31</v>
      </c>
      <c r="AM1238">
        <v>0</v>
      </c>
      <c r="AN1238" t="s">
        <v>31</v>
      </c>
      <c r="AO1238">
        <v>0</v>
      </c>
      <c r="AP1238" t="s">
        <v>31</v>
      </c>
      <c r="AQ1238">
        <v>0</v>
      </c>
    </row>
    <row r="1239" spans="1:43" x14ac:dyDescent="0.2">
      <c r="A1239" t="s">
        <v>381</v>
      </c>
      <c r="B1239" s="3">
        <v>44285</v>
      </c>
      <c r="C1239">
        <v>45</v>
      </c>
      <c r="D1239" t="s">
        <v>385</v>
      </c>
      <c r="E1239" t="s">
        <v>118</v>
      </c>
      <c r="F1239" s="9" t="s">
        <v>119</v>
      </c>
      <c r="G1239" t="s">
        <v>26</v>
      </c>
      <c r="H1239" t="s">
        <v>116</v>
      </c>
      <c r="I1239" t="s">
        <v>117</v>
      </c>
      <c r="J1239" t="s">
        <v>43</v>
      </c>
      <c r="K1239" t="s">
        <v>44</v>
      </c>
      <c r="L1239" t="s">
        <v>29</v>
      </c>
      <c r="M1239" t="s">
        <v>30</v>
      </c>
      <c r="N1239" t="s">
        <v>116</v>
      </c>
      <c r="O1239" t="s">
        <v>117</v>
      </c>
      <c r="P1239" t="s">
        <v>43</v>
      </c>
      <c r="Q1239" t="s">
        <v>44</v>
      </c>
      <c r="R1239" s="1">
        <v>44285.564664351848</v>
      </c>
      <c r="S1239" s="1">
        <v>44285.595567129632</v>
      </c>
      <c r="T1239">
        <v>2</v>
      </c>
      <c r="U1239">
        <v>2</v>
      </c>
      <c r="V1239" s="2">
        <v>1</v>
      </c>
      <c r="W1239">
        <v>0</v>
      </c>
      <c r="X1239" t="s">
        <v>30</v>
      </c>
      <c r="Y1239">
        <v>0</v>
      </c>
      <c r="Z1239" t="s">
        <v>30</v>
      </c>
      <c r="AA1239">
        <v>0</v>
      </c>
      <c r="AB1239" t="s">
        <v>31</v>
      </c>
      <c r="AC1239">
        <v>0</v>
      </c>
      <c r="AD1239" t="s">
        <v>31</v>
      </c>
      <c r="AE1239">
        <v>0</v>
      </c>
      <c r="AF1239" t="s">
        <v>31</v>
      </c>
      <c r="AG1239">
        <v>0</v>
      </c>
      <c r="AH1239" t="s">
        <v>31</v>
      </c>
      <c r="AI1239">
        <v>0</v>
      </c>
      <c r="AJ1239" t="s">
        <v>31</v>
      </c>
      <c r="AK1239">
        <v>0</v>
      </c>
      <c r="AL1239" t="s">
        <v>31</v>
      </c>
      <c r="AM1239">
        <v>0</v>
      </c>
      <c r="AN1239" t="s">
        <v>31</v>
      </c>
      <c r="AO1239">
        <v>0</v>
      </c>
      <c r="AP1239" t="s">
        <v>31</v>
      </c>
      <c r="AQ1239">
        <v>0</v>
      </c>
    </row>
    <row r="1240" spans="1:43" x14ac:dyDescent="0.2">
      <c r="A1240" t="s">
        <v>381</v>
      </c>
      <c r="B1240" s="3">
        <v>44301</v>
      </c>
      <c r="C1240">
        <v>63</v>
      </c>
      <c r="D1240" t="s">
        <v>385</v>
      </c>
      <c r="E1240" t="s">
        <v>118</v>
      </c>
      <c r="F1240" s="9" t="s">
        <v>119</v>
      </c>
      <c r="G1240" t="s">
        <v>26</v>
      </c>
      <c r="H1240" t="s">
        <v>116</v>
      </c>
      <c r="I1240" t="s">
        <v>117</v>
      </c>
      <c r="J1240" t="s">
        <v>43</v>
      </c>
      <c r="K1240" t="s">
        <v>44</v>
      </c>
      <c r="L1240" t="s">
        <v>29</v>
      </c>
      <c r="M1240" t="s">
        <v>30</v>
      </c>
      <c r="N1240" t="s">
        <v>116</v>
      </c>
      <c r="O1240" t="s">
        <v>117</v>
      </c>
      <c r="P1240" t="s">
        <v>43</v>
      </c>
      <c r="Q1240" t="s">
        <v>44</v>
      </c>
      <c r="R1240" s="1">
        <v>44301.638726851852</v>
      </c>
      <c r="S1240" s="1">
        <v>44301.638726851852</v>
      </c>
      <c r="T1240">
        <v>1</v>
      </c>
      <c r="U1240">
        <v>1</v>
      </c>
      <c r="V1240" s="2">
        <v>1</v>
      </c>
      <c r="W1240">
        <v>0</v>
      </c>
      <c r="X1240" t="s">
        <v>30</v>
      </c>
      <c r="Y1240">
        <v>0</v>
      </c>
      <c r="Z1240" t="s">
        <v>31</v>
      </c>
      <c r="AA1240">
        <v>0</v>
      </c>
      <c r="AB1240" t="s">
        <v>31</v>
      </c>
      <c r="AC1240">
        <v>0</v>
      </c>
      <c r="AD1240" t="s">
        <v>31</v>
      </c>
      <c r="AE1240">
        <v>0</v>
      </c>
      <c r="AF1240" t="s">
        <v>31</v>
      </c>
      <c r="AG1240">
        <v>0</v>
      </c>
      <c r="AH1240" t="s">
        <v>31</v>
      </c>
      <c r="AI1240">
        <v>0</v>
      </c>
      <c r="AJ1240" t="s">
        <v>31</v>
      </c>
      <c r="AK1240">
        <v>0</v>
      </c>
      <c r="AL1240" t="s">
        <v>31</v>
      </c>
      <c r="AM1240">
        <v>0</v>
      </c>
      <c r="AN1240" t="s">
        <v>31</v>
      </c>
      <c r="AO1240">
        <v>0</v>
      </c>
      <c r="AP1240" t="s">
        <v>31</v>
      </c>
      <c r="AQ1240">
        <v>0</v>
      </c>
    </row>
    <row r="1241" spans="1:43" x14ac:dyDescent="0.2">
      <c r="A1241" t="s">
        <v>381</v>
      </c>
      <c r="B1241" s="3">
        <v>44336</v>
      </c>
      <c r="C1241">
        <v>103</v>
      </c>
      <c r="D1241" t="s">
        <v>385</v>
      </c>
      <c r="E1241" t="s">
        <v>118</v>
      </c>
      <c r="F1241" s="9" t="s">
        <v>119</v>
      </c>
      <c r="G1241" t="s">
        <v>26</v>
      </c>
      <c r="H1241" t="s">
        <v>116</v>
      </c>
      <c r="I1241" t="s">
        <v>117</v>
      </c>
      <c r="J1241" t="s">
        <v>43</v>
      </c>
      <c r="K1241" t="s">
        <v>44</v>
      </c>
      <c r="L1241" t="s">
        <v>29</v>
      </c>
      <c r="M1241" t="s">
        <v>30</v>
      </c>
      <c r="N1241" t="s">
        <v>116</v>
      </c>
      <c r="O1241" t="s">
        <v>117</v>
      </c>
      <c r="P1241" t="s">
        <v>43</v>
      </c>
      <c r="Q1241" t="s">
        <v>44</v>
      </c>
      <c r="R1241" s="1">
        <v>44336.591956018521</v>
      </c>
      <c r="S1241" s="1">
        <v>44336.592083333337</v>
      </c>
      <c r="T1241">
        <v>1</v>
      </c>
      <c r="U1241">
        <v>1</v>
      </c>
      <c r="V1241" s="2">
        <v>1</v>
      </c>
      <c r="W1241">
        <v>0</v>
      </c>
      <c r="X1241" t="s">
        <v>30</v>
      </c>
      <c r="Y1241">
        <v>0</v>
      </c>
      <c r="Z1241" t="s">
        <v>31</v>
      </c>
      <c r="AA1241">
        <v>0</v>
      </c>
      <c r="AB1241" t="s">
        <v>31</v>
      </c>
      <c r="AC1241">
        <v>0</v>
      </c>
      <c r="AD1241" t="s">
        <v>31</v>
      </c>
      <c r="AE1241">
        <v>0</v>
      </c>
      <c r="AF1241" t="s">
        <v>31</v>
      </c>
      <c r="AG1241">
        <v>0</v>
      </c>
      <c r="AH1241" t="s">
        <v>31</v>
      </c>
      <c r="AI1241">
        <v>0</v>
      </c>
      <c r="AJ1241" t="s">
        <v>31</v>
      </c>
      <c r="AK1241">
        <v>0</v>
      </c>
      <c r="AL1241" t="s">
        <v>31</v>
      </c>
      <c r="AM1241">
        <v>0</v>
      </c>
      <c r="AN1241" t="s">
        <v>31</v>
      </c>
      <c r="AO1241">
        <v>0</v>
      </c>
      <c r="AP1241" t="s">
        <v>31</v>
      </c>
      <c r="AQ1241">
        <v>0</v>
      </c>
    </row>
    <row r="1242" spans="1:43" x14ac:dyDescent="0.2">
      <c r="A1242" t="s">
        <v>381</v>
      </c>
      <c r="B1242" s="3">
        <v>44341</v>
      </c>
      <c r="C1242">
        <v>111</v>
      </c>
      <c r="D1242" t="s">
        <v>385</v>
      </c>
      <c r="E1242" t="s">
        <v>118</v>
      </c>
      <c r="F1242" s="9" t="s">
        <v>119</v>
      </c>
      <c r="G1242" t="s">
        <v>26</v>
      </c>
      <c r="H1242" t="s">
        <v>116</v>
      </c>
      <c r="I1242" t="s">
        <v>117</v>
      </c>
      <c r="J1242" t="s">
        <v>43</v>
      </c>
      <c r="K1242" t="s">
        <v>44</v>
      </c>
      <c r="L1242" t="s">
        <v>29</v>
      </c>
      <c r="M1242" t="s">
        <v>30</v>
      </c>
      <c r="N1242" t="s">
        <v>116</v>
      </c>
      <c r="O1242" t="s">
        <v>117</v>
      </c>
      <c r="P1242" t="s">
        <v>43</v>
      </c>
      <c r="Q1242" t="s">
        <v>44</v>
      </c>
      <c r="R1242" s="1">
        <v>44341.573854166665</v>
      </c>
      <c r="S1242" s="1">
        <v>44341.573854166665</v>
      </c>
      <c r="T1242">
        <v>1</v>
      </c>
      <c r="U1242">
        <v>1</v>
      </c>
      <c r="V1242" s="2">
        <v>1</v>
      </c>
      <c r="W1242">
        <v>0</v>
      </c>
      <c r="X1242" t="s">
        <v>30</v>
      </c>
      <c r="Y1242">
        <v>0</v>
      </c>
      <c r="Z1242" t="s">
        <v>31</v>
      </c>
      <c r="AA1242">
        <v>0</v>
      </c>
      <c r="AB1242" t="s">
        <v>31</v>
      </c>
      <c r="AC1242">
        <v>0</v>
      </c>
      <c r="AD1242" t="s">
        <v>31</v>
      </c>
      <c r="AE1242">
        <v>0</v>
      </c>
      <c r="AF1242" t="s">
        <v>31</v>
      </c>
      <c r="AG1242">
        <v>0</v>
      </c>
      <c r="AH1242" t="s">
        <v>31</v>
      </c>
      <c r="AI1242">
        <v>0</v>
      </c>
      <c r="AJ1242" t="s">
        <v>31</v>
      </c>
      <c r="AK1242">
        <v>0</v>
      </c>
      <c r="AL1242" t="s">
        <v>31</v>
      </c>
      <c r="AM1242">
        <v>0</v>
      </c>
      <c r="AN1242" t="s">
        <v>31</v>
      </c>
      <c r="AO1242">
        <v>0</v>
      </c>
      <c r="AP1242" t="s">
        <v>31</v>
      </c>
      <c r="AQ1242">
        <v>0</v>
      </c>
    </row>
    <row r="1243" spans="1:43" x14ac:dyDescent="0.2">
      <c r="A1243" t="s">
        <v>381</v>
      </c>
      <c r="B1243" s="3">
        <v>44348</v>
      </c>
      <c r="C1243">
        <v>118</v>
      </c>
      <c r="D1243" t="s">
        <v>396</v>
      </c>
      <c r="E1243" t="s">
        <v>118</v>
      </c>
      <c r="F1243" s="9" t="s">
        <v>119</v>
      </c>
      <c r="G1243" t="s">
        <v>26</v>
      </c>
      <c r="H1243" t="s">
        <v>116</v>
      </c>
      <c r="I1243" t="s">
        <v>117</v>
      </c>
      <c r="J1243" t="s">
        <v>43</v>
      </c>
      <c r="K1243" t="s">
        <v>44</v>
      </c>
      <c r="L1243" t="s">
        <v>29</v>
      </c>
      <c r="M1243" t="s">
        <v>30</v>
      </c>
      <c r="N1243" t="s">
        <v>116</v>
      </c>
      <c r="O1243" t="s">
        <v>117</v>
      </c>
      <c r="P1243" t="s">
        <v>43</v>
      </c>
      <c r="Q1243" t="s">
        <v>44</v>
      </c>
      <c r="R1243" s="1">
        <v>44348.414409722223</v>
      </c>
      <c r="S1243" s="1">
        <v>44348.414409722223</v>
      </c>
      <c r="T1243">
        <v>1</v>
      </c>
      <c r="U1243">
        <v>1</v>
      </c>
      <c r="V1243" s="2">
        <v>1</v>
      </c>
      <c r="W1243">
        <v>0</v>
      </c>
      <c r="X1243" t="s">
        <v>30</v>
      </c>
      <c r="Y1243">
        <v>0</v>
      </c>
      <c r="Z1243" t="s">
        <v>31</v>
      </c>
      <c r="AA1243">
        <v>0</v>
      </c>
      <c r="AB1243" t="s">
        <v>31</v>
      </c>
      <c r="AC1243">
        <v>0</v>
      </c>
      <c r="AD1243" t="s">
        <v>31</v>
      </c>
      <c r="AE1243">
        <v>0</v>
      </c>
      <c r="AF1243" t="s">
        <v>31</v>
      </c>
      <c r="AG1243">
        <v>0</v>
      </c>
      <c r="AH1243" t="s">
        <v>31</v>
      </c>
      <c r="AI1243">
        <v>0</v>
      </c>
      <c r="AJ1243" t="s">
        <v>31</v>
      </c>
      <c r="AK1243">
        <v>0</v>
      </c>
      <c r="AL1243" t="s">
        <v>31</v>
      </c>
      <c r="AM1243">
        <v>0</v>
      </c>
      <c r="AN1243" t="s">
        <v>31</v>
      </c>
      <c r="AO1243">
        <v>0</v>
      </c>
      <c r="AP1243" t="s">
        <v>31</v>
      </c>
      <c r="AQ1243">
        <v>0</v>
      </c>
    </row>
    <row r="1244" spans="1:43" x14ac:dyDescent="0.2">
      <c r="A1244" t="s">
        <v>381</v>
      </c>
      <c r="B1244" s="3">
        <v>44349</v>
      </c>
      <c r="C1244">
        <v>121</v>
      </c>
      <c r="D1244" t="s">
        <v>385</v>
      </c>
      <c r="E1244" t="s">
        <v>118</v>
      </c>
      <c r="F1244" s="9" t="s">
        <v>119</v>
      </c>
      <c r="G1244" t="s">
        <v>26</v>
      </c>
      <c r="H1244" t="s">
        <v>116</v>
      </c>
      <c r="I1244" t="s">
        <v>117</v>
      </c>
      <c r="J1244" t="s">
        <v>43</v>
      </c>
      <c r="K1244" t="s">
        <v>44</v>
      </c>
      <c r="L1244" t="s">
        <v>29</v>
      </c>
      <c r="M1244" t="s">
        <v>30</v>
      </c>
      <c r="N1244" t="s">
        <v>116</v>
      </c>
      <c r="O1244" t="s">
        <v>117</v>
      </c>
      <c r="P1244" t="s">
        <v>43</v>
      </c>
      <c r="Q1244" t="s">
        <v>44</v>
      </c>
      <c r="R1244" s="1">
        <v>44349.630254629628</v>
      </c>
      <c r="S1244" s="1">
        <v>44349.630254629628</v>
      </c>
      <c r="T1244">
        <v>1</v>
      </c>
      <c r="U1244">
        <v>1</v>
      </c>
      <c r="V1244" s="2">
        <v>1</v>
      </c>
      <c r="W1244">
        <v>0</v>
      </c>
      <c r="X1244" t="s">
        <v>30</v>
      </c>
      <c r="Y1244">
        <v>0</v>
      </c>
      <c r="Z1244" t="s">
        <v>31</v>
      </c>
      <c r="AA1244">
        <v>0</v>
      </c>
      <c r="AB1244" t="s">
        <v>31</v>
      </c>
      <c r="AC1244">
        <v>0</v>
      </c>
      <c r="AD1244" t="s">
        <v>31</v>
      </c>
      <c r="AE1244">
        <v>0</v>
      </c>
      <c r="AF1244" t="s">
        <v>31</v>
      </c>
      <c r="AG1244">
        <v>0</v>
      </c>
      <c r="AH1244" t="s">
        <v>31</v>
      </c>
      <c r="AI1244">
        <v>0</v>
      </c>
      <c r="AJ1244" t="s">
        <v>31</v>
      </c>
      <c r="AK1244">
        <v>0</v>
      </c>
      <c r="AL1244" t="s">
        <v>31</v>
      </c>
      <c r="AM1244">
        <v>0</v>
      </c>
      <c r="AN1244" t="s">
        <v>31</v>
      </c>
      <c r="AO1244">
        <v>0</v>
      </c>
      <c r="AP1244" t="s">
        <v>31</v>
      </c>
      <c r="AQ1244">
        <v>0</v>
      </c>
    </row>
    <row r="1245" spans="1:43" x14ac:dyDescent="0.2">
      <c r="A1245" t="s">
        <v>381</v>
      </c>
      <c r="B1245" s="3">
        <v>44355</v>
      </c>
      <c r="C1245">
        <v>129</v>
      </c>
      <c r="D1245" t="s">
        <v>385</v>
      </c>
      <c r="E1245" t="s">
        <v>118</v>
      </c>
      <c r="F1245" s="9" t="s">
        <v>119</v>
      </c>
      <c r="G1245" t="s">
        <v>26</v>
      </c>
      <c r="H1245" t="s">
        <v>116</v>
      </c>
      <c r="I1245" t="s">
        <v>117</v>
      </c>
      <c r="J1245" t="s">
        <v>43</v>
      </c>
      <c r="K1245" t="s">
        <v>44</v>
      </c>
      <c r="L1245" t="s">
        <v>29</v>
      </c>
      <c r="M1245" t="s">
        <v>30</v>
      </c>
      <c r="N1245" t="s">
        <v>116</v>
      </c>
      <c r="O1245" t="s">
        <v>117</v>
      </c>
      <c r="P1245" t="s">
        <v>43</v>
      </c>
      <c r="Q1245" t="s">
        <v>44</v>
      </c>
      <c r="R1245" s="1">
        <v>44355.633935185186</v>
      </c>
      <c r="S1245" s="1">
        <v>44355.633935185186</v>
      </c>
      <c r="T1245">
        <v>1</v>
      </c>
      <c r="U1245">
        <v>1</v>
      </c>
      <c r="V1245" s="2">
        <v>1</v>
      </c>
      <c r="W1245">
        <v>0</v>
      </c>
      <c r="X1245" t="s">
        <v>30</v>
      </c>
      <c r="Y1245">
        <v>0</v>
      </c>
      <c r="Z1245" t="s">
        <v>31</v>
      </c>
      <c r="AA1245">
        <v>0</v>
      </c>
      <c r="AB1245" t="s">
        <v>31</v>
      </c>
      <c r="AC1245">
        <v>0</v>
      </c>
      <c r="AD1245" t="s">
        <v>31</v>
      </c>
      <c r="AE1245">
        <v>0</v>
      </c>
      <c r="AF1245" t="s">
        <v>31</v>
      </c>
      <c r="AG1245">
        <v>0</v>
      </c>
      <c r="AH1245" t="s">
        <v>31</v>
      </c>
      <c r="AI1245">
        <v>0</v>
      </c>
      <c r="AJ1245" t="s">
        <v>31</v>
      </c>
      <c r="AK1245">
        <v>0</v>
      </c>
      <c r="AL1245" t="s">
        <v>31</v>
      </c>
      <c r="AM1245">
        <v>0</v>
      </c>
      <c r="AN1245" t="s">
        <v>31</v>
      </c>
      <c r="AO1245">
        <v>0</v>
      </c>
      <c r="AP1245" t="s">
        <v>31</v>
      </c>
      <c r="AQ1245">
        <v>0</v>
      </c>
    </row>
    <row r="1246" spans="1:43" x14ac:dyDescent="0.2">
      <c r="A1246" t="s">
        <v>381</v>
      </c>
      <c r="B1246" s="3">
        <v>44357</v>
      </c>
      <c r="C1246">
        <v>132</v>
      </c>
      <c r="D1246" t="s">
        <v>399</v>
      </c>
      <c r="E1246" t="s">
        <v>118</v>
      </c>
      <c r="F1246" s="9" t="s">
        <v>119</v>
      </c>
      <c r="G1246" t="s">
        <v>26</v>
      </c>
      <c r="H1246" t="s">
        <v>116</v>
      </c>
      <c r="I1246" t="s">
        <v>117</v>
      </c>
      <c r="J1246" t="s">
        <v>43</v>
      </c>
      <c r="K1246" t="s">
        <v>44</v>
      </c>
      <c r="L1246" t="s">
        <v>29</v>
      </c>
      <c r="M1246" t="s">
        <v>30</v>
      </c>
      <c r="N1246" t="s">
        <v>116</v>
      </c>
      <c r="O1246" t="s">
        <v>117</v>
      </c>
      <c r="P1246" t="s">
        <v>43</v>
      </c>
      <c r="Q1246" t="s">
        <v>44</v>
      </c>
      <c r="R1246" s="1">
        <v>44357.457013888888</v>
      </c>
      <c r="S1246" s="1">
        <v>44357.457013888888</v>
      </c>
      <c r="T1246">
        <v>1</v>
      </c>
      <c r="U1246">
        <v>1</v>
      </c>
      <c r="V1246" s="2">
        <v>1</v>
      </c>
      <c r="W1246">
        <v>0</v>
      </c>
      <c r="X1246" t="s">
        <v>30</v>
      </c>
      <c r="Y1246">
        <v>0</v>
      </c>
      <c r="Z1246" t="s">
        <v>31</v>
      </c>
      <c r="AA1246">
        <v>0</v>
      </c>
      <c r="AB1246" t="s">
        <v>31</v>
      </c>
      <c r="AC1246">
        <v>0</v>
      </c>
      <c r="AD1246" t="s">
        <v>31</v>
      </c>
      <c r="AE1246">
        <v>0</v>
      </c>
      <c r="AF1246" t="s">
        <v>31</v>
      </c>
      <c r="AG1246">
        <v>0</v>
      </c>
      <c r="AH1246" t="s">
        <v>31</v>
      </c>
      <c r="AI1246">
        <v>0</v>
      </c>
      <c r="AJ1246" t="s">
        <v>31</v>
      </c>
      <c r="AK1246">
        <v>0</v>
      </c>
      <c r="AL1246" t="s">
        <v>31</v>
      </c>
      <c r="AM1246">
        <v>0</v>
      </c>
      <c r="AN1246" t="s">
        <v>31</v>
      </c>
      <c r="AO1246">
        <v>0</v>
      </c>
      <c r="AP1246" t="s">
        <v>31</v>
      </c>
      <c r="AQ1246">
        <v>0</v>
      </c>
    </row>
    <row r="1247" spans="1:43" x14ac:dyDescent="0.2">
      <c r="A1247" t="s">
        <v>381</v>
      </c>
      <c r="B1247" s="3">
        <v>44364</v>
      </c>
      <c r="C1247">
        <v>138</v>
      </c>
      <c r="D1247" t="s">
        <v>399</v>
      </c>
      <c r="E1247" t="s">
        <v>118</v>
      </c>
      <c r="F1247" s="9" t="s">
        <v>119</v>
      </c>
      <c r="G1247" t="s">
        <v>26</v>
      </c>
      <c r="H1247" t="s">
        <v>116</v>
      </c>
      <c r="I1247" t="s">
        <v>117</v>
      </c>
      <c r="J1247" t="s">
        <v>43</v>
      </c>
      <c r="K1247" t="s">
        <v>44</v>
      </c>
      <c r="L1247" t="s">
        <v>29</v>
      </c>
      <c r="M1247" t="s">
        <v>30</v>
      </c>
      <c r="N1247" t="s">
        <v>116</v>
      </c>
      <c r="O1247" t="s">
        <v>117</v>
      </c>
      <c r="P1247" t="s">
        <v>43</v>
      </c>
      <c r="Q1247" t="s">
        <v>44</v>
      </c>
      <c r="R1247" s="1">
        <v>44364.466331018521</v>
      </c>
      <c r="S1247" s="1">
        <v>44364.466331018521</v>
      </c>
      <c r="T1247">
        <v>1</v>
      </c>
      <c r="U1247">
        <v>1</v>
      </c>
      <c r="V1247" s="2">
        <v>1</v>
      </c>
      <c r="W1247">
        <v>0</v>
      </c>
      <c r="X1247" t="s">
        <v>30</v>
      </c>
      <c r="Y1247">
        <v>0</v>
      </c>
      <c r="Z1247" t="s">
        <v>31</v>
      </c>
      <c r="AA1247">
        <v>0</v>
      </c>
      <c r="AB1247" t="s">
        <v>31</v>
      </c>
      <c r="AC1247">
        <v>0</v>
      </c>
      <c r="AD1247" t="s">
        <v>31</v>
      </c>
      <c r="AE1247">
        <v>0</v>
      </c>
      <c r="AF1247" t="s">
        <v>31</v>
      </c>
      <c r="AG1247">
        <v>0</v>
      </c>
      <c r="AH1247" t="s">
        <v>31</v>
      </c>
      <c r="AI1247">
        <v>0</v>
      </c>
      <c r="AJ1247" t="s">
        <v>31</v>
      </c>
      <c r="AK1247">
        <v>0</v>
      </c>
      <c r="AL1247" t="s">
        <v>31</v>
      </c>
      <c r="AM1247">
        <v>0</v>
      </c>
      <c r="AN1247" t="s">
        <v>31</v>
      </c>
      <c r="AO1247">
        <v>0</v>
      </c>
      <c r="AP1247" t="s">
        <v>31</v>
      </c>
      <c r="AQ1247">
        <v>0</v>
      </c>
    </row>
    <row r="1248" spans="1:43" x14ac:dyDescent="0.2">
      <c r="A1248" t="s">
        <v>381</v>
      </c>
      <c r="B1248" s="3">
        <v>44239</v>
      </c>
      <c r="C1248">
        <v>7</v>
      </c>
      <c r="D1248" t="s">
        <v>384</v>
      </c>
      <c r="E1248" t="s">
        <v>148</v>
      </c>
      <c r="F1248" s="9" t="s">
        <v>149</v>
      </c>
      <c r="G1248" t="s">
        <v>26</v>
      </c>
      <c r="H1248" t="s">
        <v>108</v>
      </c>
      <c r="I1248" t="s">
        <v>109</v>
      </c>
      <c r="J1248" t="s">
        <v>29</v>
      </c>
      <c r="K1248" t="s">
        <v>30</v>
      </c>
      <c r="L1248" t="s">
        <v>29</v>
      </c>
      <c r="M1248" t="s">
        <v>30</v>
      </c>
      <c r="N1248" t="s">
        <v>99</v>
      </c>
      <c r="O1248" t="s">
        <v>100</v>
      </c>
      <c r="P1248" t="s">
        <v>43</v>
      </c>
      <c r="Q1248" t="s">
        <v>44</v>
      </c>
      <c r="R1248" s="1">
        <v>44239.3752662037</v>
      </c>
      <c r="S1248" s="1">
        <v>44239.3752662037</v>
      </c>
      <c r="T1248">
        <v>1</v>
      </c>
      <c r="U1248">
        <v>1</v>
      </c>
      <c r="V1248" s="2">
        <v>1</v>
      </c>
      <c r="W1248">
        <v>0</v>
      </c>
      <c r="X1248" t="s">
        <v>30</v>
      </c>
      <c r="Y1248">
        <v>0</v>
      </c>
      <c r="Z1248" t="s">
        <v>31</v>
      </c>
      <c r="AA1248">
        <v>0</v>
      </c>
      <c r="AB1248" t="s">
        <v>31</v>
      </c>
      <c r="AC1248">
        <v>0</v>
      </c>
      <c r="AD1248" t="s">
        <v>31</v>
      </c>
      <c r="AE1248">
        <v>0</v>
      </c>
      <c r="AF1248" t="s">
        <v>31</v>
      </c>
      <c r="AG1248">
        <v>0</v>
      </c>
      <c r="AH1248" t="s">
        <v>31</v>
      </c>
      <c r="AI1248">
        <v>0</v>
      </c>
      <c r="AJ1248" t="s">
        <v>31</v>
      </c>
      <c r="AK1248">
        <v>0</v>
      </c>
      <c r="AL1248" t="s">
        <v>31</v>
      </c>
      <c r="AM1248">
        <v>0</v>
      </c>
      <c r="AN1248" t="s">
        <v>31</v>
      </c>
      <c r="AO1248">
        <v>0</v>
      </c>
      <c r="AP1248" t="s">
        <v>31</v>
      </c>
      <c r="AQ1248">
        <v>0</v>
      </c>
    </row>
    <row r="1249" spans="1:43" x14ac:dyDescent="0.2">
      <c r="A1249" t="s">
        <v>381</v>
      </c>
      <c r="B1249" s="3">
        <v>44242</v>
      </c>
      <c r="C1249">
        <v>8</v>
      </c>
      <c r="D1249" t="s">
        <v>384</v>
      </c>
      <c r="E1249" t="s">
        <v>148</v>
      </c>
      <c r="F1249" s="9" t="s">
        <v>149</v>
      </c>
      <c r="G1249" t="s">
        <v>26</v>
      </c>
      <c r="H1249" t="s">
        <v>99</v>
      </c>
      <c r="I1249" t="s">
        <v>100</v>
      </c>
      <c r="J1249" t="s">
        <v>43</v>
      </c>
      <c r="K1249" t="s">
        <v>44</v>
      </c>
      <c r="L1249" t="s">
        <v>29</v>
      </c>
      <c r="M1249" t="s">
        <v>30</v>
      </c>
      <c r="N1249" t="s">
        <v>99</v>
      </c>
      <c r="O1249" t="s">
        <v>100</v>
      </c>
      <c r="P1249" t="s">
        <v>43</v>
      </c>
      <c r="Q1249" t="s">
        <v>44</v>
      </c>
      <c r="R1249" s="1">
        <v>44242.373182870368</v>
      </c>
      <c r="S1249" s="1">
        <v>44242.373182870368</v>
      </c>
      <c r="T1249">
        <v>1</v>
      </c>
      <c r="U1249">
        <v>1</v>
      </c>
      <c r="V1249" s="2">
        <v>1</v>
      </c>
      <c r="W1249">
        <v>0</v>
      </c>
      <c r="X1249" t="s">
        <v>30</v>
      </c>
      <c r="Y1249">
        <v>0</v>
      </c>
      <c r="Z1249" t="s">
        <v>31</v>
      </c>
      <c r="AA1249">
        <v>0</v>
      </c>
      <c r="AB1249" t="s">
        <v>31</v>
      </c>
      <c r="AC1249">
        <v>0</v>
      </c>
      <c r="AD1249" t="s">
        <v>31</v>
      </c>
      <c r="AE1249">
        <v>0</v>
      </c>
      <c r="AF1249" t="s">
        <v>31</v>
      </c>
      <c r="AG1249">
        <v>0</v>
      </c>
      <c r="AH1249" t="s">
        <v>31</v>
      </c>
      <c r="AI1249">
        <v>0</v>
      </c>
      <c r="AJ1249" t="s">
        <v>31</v>
      </c>
      <c r="AK1249">
        <v>0</v>
      </c>
      <c r="AL1249" t="s">
        <v>31</v>
      </c>
      <c r="AM1249">
        <v>0</v>
      </c>
      <c r="AN1249" t="s">
        <v>31</v>
      </c>
      <c r="AO1249">
        <v>0</v>
      </c>
      <c r="AP1249" t="s">
        <v>31</v>
      </c>
      <c r="AQ1249">
        <v>0</v>
      </c>
    </row>
    <row r="1250" spans="1:43" x14ac:dyDescent="0.2">
      <c r="A1250" t="s">
        <v>381</v>
      </c>
      <c r="B1250" s="3">
        <v>44243</v>
      </c>
      <c r="C1250">
        <v>10</v>
      </c>
      <c r="D1250" t="s">
        <v>385</v>
      </c>
      <c r="E1250" t="s">
        <v>148</v>
      </c>
      <c r="F1250" s="9" t="s">
        <v>149</v>
      </c>
      <c r="G1250" t="s">
        <v>26</v>
      </c>
      <c r="H1250" t="s">
        <v>99</v>
      </c>
      <c r="I1250" t="s">
        <v>100</v>
      </c>
      <c r="J1250" t="s">
        <v>43</v>
      </c>
      <c r="K1250" t="s">
        <v>44</v>
      </c>
      <c r="L1250" t="s">
        <v>29</v>
      </c>
      <c r="M1250" t="s">
        <v>30</v>
      </c>
      <c r="N1250" t="s">
        <v>99</v>
      </c>
      <c r="O1250" t="s">
        <v>100</v>
      </c>
      <c r="P1250" t="s">
        <v>43</v>
      </c>
      <c r="Q1250" t="s">
        <v>44</v>
      </c>
      <c r="R1250" s="1">
        <v>44243.615752314814</v>
      </c>
      <c r="S1250" s="1">
        <v>44243.61614583333</v>
      </c>
      <c r="T1250">
        <v>0</v>
      </c>
      <c r="U1250">
        <v>5</v>
      </c>
      <c r="V1250" s="2">
        <v>0</v>
      </c>
      <c r="W1250">
        <v>0</v>
      </c>
      <c r="X1250" t="s">
        <v>44</v>
      </c>
      <c r="Y1250">
        <v>0</v>
      </c>
      <c r="Z1250" t="s">
        <v>44</v>
      </c>
      <c r="AA1250">
        <v>0</v>
      </c>
      <c r="AB1250" t="s">
        <v>45</v>
      </c>
      <c r="AC1250">
        <v>0</v>
      </c>
      <c r="AD1250" t="s">
        <v>61</v>
      </c>
      <c r="AE1250">
        <v>0</v>
      </c>
      <c r="AF1250" t="s">
        <v>47</v>
      </c>
      <c r="AG1250">
        <v>0</v>
      </c>
      <c r="AH1250" t="s">
        <v>31</v>
      </c>
      <c r="AI1250">
        <v>0</v>
      </c>
      <c r="AJ1250" t="s">
        <v>31</v>
      </c>
      <c r="AK1250">
        <v>0</v>
      </c>
      <c r="AL1250" t="s">
        <v>31</v>
      </c>
      <c r="AM1250">
        <v>0</v>
      </c>
      <c r="AN1250" t="s">
        <v>31</v>
      </c>
      <c r="AO1250">
        <v>0</v>
      </c>
      <c r="AP1250" t="s">
        <v>31</v>
      </c>
      <c r="AQ1250">
        <v>0</v>
      </c>
    </row>
    <row r="1251" spans="1:43" x14ac:dyDescent="0.2">
      <c r="A1251" t="s">
        <v>381</v>
      </c>
      <c r="B1251" s="3">
        <v>44207</v>
      </c>
      <c r="C1251">
        <v>1</v>
      </c>
      <c r="D1251" t="s">
        <v>384</v>
      </c>
      <c r="E1251" t="s">
        <v>57</v>
      </c>
      <c r="F1251" s="9" t="s">
        <v>58</v>
      </c>
      <c r="G1251" t="s">
        <v>26</v>
      </c>
      <c r="H1251" t="s">
        <v>59</v>
      </c>
      <c r="I1251" t="s">
        <v>60</v>
      </c>
      <c r="J1251" t="s">
        <v>43</v>
      </c>
      <c r="K1251" t="s">
        <v>44</v>
      </c>
      <c r="L1251" t="s">
        <v>29</v>
      </c>
      <c r="M1251" t="s">
        <v>30</v>
      </c>
      <c r="N1251" t="s">
        <v>59</v>
      </c>
      <c r="O1251" t="s">
        <v>60</v>
      </c>
      <c r="P1251" t="s">
        <v>43</v>
      </c>
      <c r="Q1251" t="s">
        <v>44</v>
      </c>
      <c r="R1251" s="1">
        <v>44207.370925925927</v>
      </c>
      <c r="S1251" s="1">
        <v>44207.376458333332</v>
      </c>
      <c r="T1251">
        <v>0</v>
      </c>
      <c r="U1251">
        <v>5</v>
      </c>
      <c r="V1251" s="2">
        <v>0</v>
      </c>
      <c r="W1251">
        <v>0</v>
      </c>
      <c r="X1251" t="s">
        <v>44</v>
      </c>
      <c r="Y1251">
        <v>0</v>
      </c>
      <c r="Z1251" t="s">
        <v>44</v>
      </c>
      <c r="AA1251">
        <v>0</v>
      </c>
      <c r="AB1251" t="s">
        <v>45</v>
      </c>
      <c r="AC1251">
        <v>0</v>
      </c>
      <c r="AD1251" t="s">
        <v>61</v>
      </c>
      <c r="AE1251">
        <v>0</v>
      </c>
      <c r="AF1251" t="s">
        <v>47</v>
      </c>
      <c r="AG1251">
        <v>0</v>
      </c>
      <c r="AH1251" t="s">
        <v>31</v>
      </c>
      <c r="AI1251">
        <v>0</v>
      </c>
      <c r="AJ1251" t="s">
        <v>31</v>
      </c>
      <c r="AK1251">
        <v>0</v>
      </c>
      <c r="AL1251" t="s">
        <v>31</v>
      </c>
      <c r="AM1251">
        <v>0</v>
      </c>
      <c r="AN1251" t="s">
        <v>31</v>
      </c>
      <c r="AO1251">
        <v>0</v>
      </c>
      <c r="AP1251" t="s">
        <v>31</v>
      </c>
      <c r="AQ1251">
        <v>0</v>
      </c>
    </row>
    <row r="1252" spans="1:43" x14ac:dyDescent="0.2">
      <c r="A1252" t="s">
        <v>381</v>
      </c>
      <c r="B1252" s="3">
        <v>44239</v>
      </c>
      <c r="C1252">
        <v>7</v>
      </c>
      <c r="D1252" t="s">
        <v>384</v>
      </c>
      <c r="E1252" t="s">
        <v>57</v>
      </c>
      <c r="F1252" s="9" t="s">
        <v>58</v>
      </c>
      <c r="G1252" t="s">
        <v>26</v>
      </c>
      <c r="H1252" t="s">
        <v>59</v>
      </c>
      <c r="I1252" t="s">
        <v>60</v>
      </c>
      <c r="J1252" t="s">
        <v>43</v>
      </c>
      <c r="K1252" t="s">
        <v>44</v>
      </c>
      <c r="L1252" t="s">
        <v>29</v>
      </c>
      <c r="M1252" t="s">
        <v>30</v>
      </c>
      <c r="N1252" t="s">
        <v>59</v>
      </c>
      <c r="O1252" t="s">
        <v>60</v>
      </c>
      <c r="P1252" t="s">
        <v>43</v>
      </c>
      <c r="Q1252" t="s">
        <v>44</v>
      </c>
      <c r="R1252" s="1">
        <v>44239.384699074071</v>
      </c>
      <c r="S1252" s="1">
        <v>44239.384722222225</v>
      </c>
      <c r="T1252">
        <v>1</v>
      </c>
      <c r="U1252">
        <v>4</v>
      </c>
      <c r="V1252" s="2">
        <v>0.25</v>
      </c>
      <c r="W1252">
        <v>0</v>
      </c>
      <c r="X1252" t="s">
        <v>44</v>
      </c>
      <c r="Y1252">
        <v>0</v>
      </c>
      <c r="Z1252" t="s">
        <v>44</v>
      </c>
      <c r="AA1252">
        <v>0</v>
      </c>
      <c r="AB1252" t="s">
        <v>45</v>
      </c>
      <c r="AC1252">
        <v>0</v>
      </c>
      <c r="AD1252" t="s">
        <v>30</v>
      </c>
      <c r="AE1252">
        <v>0</v>
      </c>
      <c r="AF1252" t="s">
        <v>31</v>
      </c>
      <c r="AG1252">
        <v>0</v>
      </c>
      <c r="AH1252" t="s">
        <v>31</v>
      </c>
      <c r="AI1252">
        <v>0</v>
      </c>
      <c r="AJ1252" t="s">
        <v>31</v>
      </c>
      <c r="AK1252">
        <v>0</v>
      </c>
      <c r="AL1252" t="s">
        <v>31</v>
      </c>
      <c r="AM1252">
        <v>0</v>
      </c>
      <c r="AN1252" t="s">
        <v>31</v>
      </c>
      <c r="AO1252">
        <v>0</v>
      </c>
      <c r="AP1252" t="s">
        <v>31</v>
      </c>
      <c r="AQ1252">
        <v>0</v>
      </c>
    </row>
    <row r="1253" spans="1:43" x14ac:dyDescent="0.2">
      <c r="A1253" t="s">
        <v>381</v>
      </c>
      <c r="B1253" s="3">
        <v>44243</v>
      </c>
      <c r="C1253">
        <v>9</v>
      </c>
      <c r="D1253" t="s">
        <v>382</v>
      </c>
      <c r="E1253" t="s">
        <v>57</v>
      </c>
      <c r="F1253" s="9" t="s">
        <v>58</v>
      </c>
      <c r="G1253" t="s">
        <v>26</v>
      </c>
      <c r="H1253" t="s">
        <v>59</v>
      </c>
      <c r="I1253" t="s">
        <v>60</v>
      </c>
      <c r="J1253" t="s">
        <v>43</v>
      </c>
      <c r="K1253" t="s">
        <v>44</v>
      </c>
      <c r="L1253" t="s">
        <v>29</v>
      </c>
      <c r="M1253" t="s">
        <v>30</v>
      </c>
      <c r="N1253" t="s">
        <v>59</v>
      </c>
      <c r="O1253" t="s">
        <v>60</v>
      </c>
      <c r="P1253" t="s">
        <v>43</v>
      </c>
      <c r="Q1253" t="s">
        <v>44</v>
      </c>
      <c r="R1253" s="1">
        <v>44243.453356481485</v>
      </c>
      <c r="S1253" s="1">
        <v>44243.453564814816</v>
      </c>
      <c r="T1253">
        <v>0</v>
      </c>
      <c r="U1253">
        <v>5</v>
      </c>
      <c r="V1253" s="2">
        <v>0</v>
      </c>
      <c r="W1253">
        <v>0</v>
      </c>
      <c r="X1253" t="s">
        <v>44</v>
      </c>
      <c r="Y1253">
        <v>0</v>
      </c>
      <c r="Z1253" t="s">
        <v>44</v>
      </c>
      <c r="AA1253">
        <v>0</v>
      </c>
      <c r="AB1253" t="s">
        <v>45</v>
      </c>
      <c r="AC1253">
        <v>0</v>
      </c>
      <c r="AD1253" t="s">
        <v>61</v>
      </c>
      <c r="AE1253">
        <v>0</v>
      </c>
      <c r="AF1253" t="s">
        <v>47</v>
      </c>
      <c r="AG1253">
        <v>0</v>
      </c>
      <c r="AH1253" t="s">
        <v>31</v>
      </c>
      <c r="AI1253">
        <v>0</v>
      </c>
      <c r="AJ1253" t="s">
        <v>31</v>
      </c>
      <c r="AK1253">
        <v>0</v>
      </c>
      <c r="AL1253" t="s">
        <v>31</v>
      </c>
      <c r="AM1253">
        <v>0</v>
      </c>
      <c r="AN1253" t="s">
        <v>31</v>
      </c>
      <c r="AO1253">
        <v>0</v>
      </c>
      <c r="AP1253" t="s">
        <v>31</v>
      </c>
      <c r="AQ1253">
        <v>0</v>
      </c>
    </row>
    <row r="1254" spans="1:43" x14ac:dyDescent="0.2">
      <c r="A1254" t="s">
        <v>381</v>
      </c>
      <c r="B1254" s="3">
        <v>44244</v>
      </c>
      <c r="C1254">
        <v>11</v>
      </c>
      <c r="D1254" t="s">
        <v>384</v>
      </c>
      <c r="E1254" t="s">
        <v>57</v>
      </c>
      <c r="F1254" s="9" t="s">
        <v>58</v>
      </c>
      <c r="G1254" t="s">
        <v>26</v>
      </c>
      <c r="H1254" t="s">
        <v>59</v>
      </c>
      <c r="I1254" t="s">
        <v>60</v>
      </c>
      <c r="J1254" t="s">
        <v>43</v>
      </c>
      <c r="K1254" t="s">
        <v>44</v>
      </c>
      <c r="L1254" t="s">
        <v>29</v>
      </c>
      <c r="M1254" t="s">
        <v>30</v>
      </c>
      <c r="N1254" t="s">
        <v>59</v>
      </c>
      <c r="O1254" t="s">
        <v>60</v>
      </c>
      <c r="P1254" t="s">
        <v>43</v>
      </c>
      <c r="Q1254" t="s">
        <v>44</v>
      </c>
      <c r="R1254" s="1">
        <v>44244.394074074073</v>
      </c>
      <c r="S1254" s="1">
        <v>44244.402870370373</v>
      </c>
      <c r="T1254">
        <v>0</v>
      </c>
      <c r="U1254">
        <v>5</v>
      </c>
      <c r="V1254" s="2">
        <v>0</v>
      </c>
      <c r="W1254">
        <v>0</v>
      </c>
      <c r="X1254" t="s">
        <v>44</v>
      </c>
      <c r="Y1254">
        <v>0</v>
      </c>
      <c r="Z1254" t="s">
        <v>44</v>
      </c>
      <c r="AA1254">
        <v>0</v>
      </c>
      <c r="AB1254" t="s">
        <v>45</v>
      </c>
      <c r="AC1254">
        <v>0</v>
      </c>
      <c r="AD1254" t="s">
        <v>61</v>
      </c>
      <c r="AE1254">
        <v>0</v>
      </c>
      <c r="AF1254" t="s">
        <v>47</v>
      </c>
      <c r="AG1254">
        <v>0</v>
      </c>
      <c r="AH1254" t="s">
        <v>31</v>
      </c>
      <c r="AI1254">
        <v>0</v>
      </c>
      <c r="AJ1254" t="s">
        <v>31</v>
      </c>
      <c r="AK1254">
        <v>0</v>
      </c>
      <c r="AL1254" t="s">
        <v>31</v>
      </c>
      <c r="AM1254">
        <v>0</v>
      </c>
      <c r="AN1254" t="s">
        <v>31</v>
      </c>
      <c r="AO1254">
        <v>0</v>
      </c>
      <c r="AP1254" t="s">
        <v>31</v>
      </c>
      <c r="AQ1254">
        <v>0</v>
      </c>
    </row>
    <row r="1255" spans="1:43" x14ac:dyDescent="0.2">
      <c r="A1255" t="s">
        <v>381</v>
      </c>
      <c r="B1255" s="3">
        <v>44245</v>
      </c>
      <c r="C1255">
        <v>12</v>
      </c>
      <c r="D1255" t="s">
        <v>382</v>
      </c>
      <c r="E1255" t="s">
        <v>57</v>
      </c>
      <c r="F1255" s="9" t="s">
        <v>58</v>
      </c>
      <c r="G1255" t="s">
        <v>26</v>
      </c>
      <c r="H1255" t="s">
        <v>59</v>
      </c>
      <c r="I1255" t="s">
        <v>60</v>
      </c>
      <c r="J1255" t="s">
        <v>43</v>
      </c>
      <c r="K1255" t="s">
        <v>44</v>
      </c>
      <c r="L1255" t="s">
        <v>29</v>
      </c>
      <c r="M1255" t="s">
        <v>30</v>
      </c>
      <c r="N1255" t="s">
        <v>59</v>
      </c>
      <c r="O1255" t="s">
        <v>60</v>
      </c>
      <c r="P1255" t="s">
        <v>43</v>
      </c>
      <c r="Q1255" t="s">
        <v>44</v>
      </c>
      <c r="R1255" s="1">
        <v>44245.462870370371</v>
      </c>
      <c r="S1255" s="1">
        <v>44245.463206018518</v>
      </c>
      <c r="T1255">
        <v>0</v>
      </c>
      <c r="U1255">
        <v>5</v>
      </c>
      <c r="V1255" s="2">
        <v>0</v>
      </c>
      <c r="W1255">
        <v>0</v>
      </c>
      <c r="X1255" t="s">
        <v>44</v>
      </c>
      <c r="Y1255">
        <v>0</v>
      </c>
      <c r="Z1255" t="s">
        <v>44</v>
      </c>
      <c r="AA1255">
        <v>0</v>
      </c>
      <c r="AB1255" t="s">
        <v>45</v>
      </c>
      <c r="AC1255">
        <v>0</v>
      </c>
      <c r="AD1255" t="s">
        <v>61</v>
      </c>
      <c r="AE1255">
        <v>0</v>
      </c>
      <c r="AF1255" t="s">
        <v>47</v>
      </c>
      <c r="AG1255">
        <v>0</v>
      </c>
      <c r="AH1255" t="s">
        <v>31</v>
      </c>
      <c r="AI1255">
        <v>0</v>
      </c>
      <c r="AJ1255" t="s">
        <v>31</v>
      </c>
      <c r="AK1255">
        <v>0</v>
      </c>
      <c r="AL1255" t="s">
        <v>31</v>
      </c>
      <c r="AM1255">
        <v>0</v>
      </c>
      <c r="AN1255" t="s">
        <v>31</v>
      </c>
      <c r="AO1255">
        <v>0</v>
      </c>
      <c r="AP1255" t="s">
        <v>31</v>
      </c>
      <c r="AQ1255">
        <v>0</v>
      </c>
    </row>
    <row r="1256" spans="1:43" x14ac:dyDescent="0.2">
      <c r="A1256" t="s">
        <v>381</v>
      </c>
      <c r="B1256" s="3">
        <v>44246</v>
      </c>
      <c r="C1256">
        <v>14</v>
      </c>
      <c r="D1256" t="s">
        <v>384</v>
      </c>
      <c r="E1256" t="s">
        <v>57</v>
      </c>
      <c r="F1256" s="9" t="s">
        <v>58</v>
      </c>
      <c r="G1256" t="s">
        <v>26</v>
      </c>
      <c r="H1256" t="s">
        <v>59</v>
      </c>
      <c r="I1256" t="s">
        <v>60</v>
      </c>
      <c r="J1256" t="s">
        <v>43</v>
      </c>
      <c r="K1256" t="s">
        <v>44</v>
      </c>
      <c r="L1256" t="s">
        <v>29</v>
      </c>
      <c r="M1256" t="s">
        <v>30</v>
      </c>
      <c r="N1256" t="s">
        <v>59</v>
      </c>
      <c r="O1256" t="s">
        <v>60</v>
      </c>
      <c r="P1256" t="s">
        <v>43</v>
      </c>
      <c r="Q1256" t="s">
        <v>44</v>
      </c>
      <c r="R1256" s="1">
        <v>44246.378958333335</v>
      </c>
      <c r="S1256" s="1">
        <v>44246.378958333335</v>
      </c>
      <c r="T1256">
        <v>1</v>
      </c>
      <c r="U1256">
        <v>1</v>
      </c>
      <c r="V1256" s="2">
        <v>1</v>
      </c>
      <c r="W1256">
        <v>0</v>
      </c>
      <c r="X1256" t="s">
        <v>30</v>
      </c>
      <c r="Y1256">
        <v>0</v>
      </c>
      <c r="Z1256" t="s">
        <v>31</v>
      </c>
      <c r="AA1256">
        <v>0</v>
      </c>
      <c r="AB1256" t="s">
        <v>31</v>
      </c>
      <c r="AC1256">
        <v>0</v>
      </c>
      <c r="AD1256" t="s">
        <v>31</v>
      </c>
      <c r="AE1256">
        <v>0</v>
      </c>
      <c r="AF1256" t="s">
        <v>31</v>
      </c>
      <c r="AG1256">
        <v>0</v>
      </c>
      <c r="AH1256" t="s">
        <v>31</v>
      </c>
      <c r="AI1256">
        <v>0</v>
      </c>
      <c r="AJ1256" t="s">
        <v>31</v>
      </c>
      <c r="AK1256">
        <v>0</v>
      </c>
      <c r="AL1256" t="s">
        <v>31</v>
      </c>
      <c r="AM1256">
        <v>0</v>
      </c>
      <c r="AN1256" t="s">
        <v>31</v>
      </c>
      <c r="AO1256">
        <v>0</v>
      </c>
      <c r="AP1256" t="s">
        <v>31</v>
      </c>
      <c r="AQ1256">
        <v>0</v>
      </c>
    </row>
    <row r="1257" spans="1:43" x14ac:dyDescent="0.2">
      <c r="A1257" t="s">
        <v>381</v>
      </c>
      <c r="B1257" s="3">
        <v>44249</v>
      </c>
      <c r="C1257">
        <v>15</v>
      </c>
      <c r="D1257" t="s">
        <v>384</v>
      </c>
      <c r="E1257" t="s">
        <v>57</v>
      </c>
      <c r="F1257" s="9" t="s">
        <v>58</v>
      </c>
      <c r="G1257" t="s">
        <v>26</v>
      </c>
      <c r="H1257" t="s">
        <v>59</v>
      </c>
      <c r="I1257" t="s">
        <v>60</v>
      </c>
      <c r="J1257" t="s">
        <v>43</v>
      </c>
      <c r="K1257" t="s">
        <v>44</v>
      </c>
      <c r="L1257" t="s">
        <v>29</v>
      </c>
      <c r="M1257" t="s">
        <v>30</v>
      </c>
      <c r="N1257" t="s">
        <v>59</v>
      </c>
      <c r="O1257" t="s">
        <v>60</v>
      </c>
      <c r="P1257" t="s">
        <v>43</v>
      </c>
      <c r="Q1257" t="s">
        <v>44</v>
      </c>
      <c r="R1257" s="1">
        <v>44249.390949074077</v>
      </c>
      <c r="S1257" s="1">
        <v>44249.395844907405</v>
      </c>
      <c r="T1257">
        <v>0</v>
      </c>
      <c r="U1257">
        <v>5</v>
      </c>
      <c r="V1257" s="2">
        <v>0</v>
      </c>
      <c r="W1257">
        <v>0</v>
      </c>
      <c r="X1257" t="s">
        <v>44</v>
      </c>
      <c r="Y1257">
        <v>0</v>
      </c>
      <c r="Z1257" t="s">
        <v>44</v>
      </c>
      <c r="AA1257">
        <v>0</v>
      </c>
      <c r="AB1257" t="s">
        <v>45</v>
      </c>
      <c r="AC1257">
        <v>0</v>
      </c>
      <c r="AD1257" t="s">
        <v>61</v>
      </c>
      <c r="AE1257">
        <v>0</v>
      </c>
      <c r="AF1257" t="s">
        <v>47</v>
      </c>
      <c r="AG1257">
        <v>0</v>
      </c>
      <c r="AH1257" t="s">
        <v>31</v>
      </c>
      <c r="AI1257">
        <v>0</v>
      </c>
      <c r="AJ1257" t="s">
        <v>31</v>
      </c>
      <c r="AK1257">
        <v>0</v>
      </c>
      <c r="AL1257" t="s">
        <v>31</v>
      </c>
      <c r="AM1257">
        <v>0</v>
      </c>
      <c r="AN1257" t="s">
        <v>31</v>
      </c>
      <c r="AO1257">
        <v>0</v>
      </c>
      <c r="AP1257" t="s">
        <v>31</v>
      </c>
      <c r="AQ1257">
        <v>0</v>
      </c>
    </row>
    <row r="1258" spans="1:43" x14ac:dyDescent="0.2">
      <c r="A1258" t="s">
        <v>381</v>
      </c>
      <c r="B1258" s="3">
        <v>44251</v>
      </c>
      <c r="C1258">
        <v>18</v>
      </c>
      <c r="D1258" t="s">
        <v>384</v>
      </c>
      <c r="E1258" t="s">
        <v>57</v>
      </c>
      <c r="F1258" s="9" t="s">
        <v>58</v>
      </c>
      <c r="G1258" t="s">
        <v>26</v>
      </c>
      <c r="H1258" t="s">
        <v>59</v>
      </c>
      <c r="I1258" t="s">
        <v>60</v>
      </c>
      <c r="J1258" t="s">
        <v>43</v>
      </c>
      <c r="K1258" t="s">
        <v>44</v>
      </c>
      <c r="L1258" t="s">
        <v>29</v>
      </c>
      <c r="M1258" t="s">
        <v>30</v>
      </c>
      <c r="N1258" t="s">
        <v>59</v>
      </c>
      <c r="O1258" t="s">
        <v>60</v>
      </c>
      <c r="P1258" t="s">
        <v>43</v>
      </c>
      <c r="Q1258" t="s">
        <v>44</v>
      </c>
      <c r="R1258" s="1">
        <v>44251.370949074073</v>
      </c>
      <c r="S1258" s="1">
        <v>44251.370949074073</v>
      </c>
      <c r="T1258">
        <v>1</v>
      </c>
      <c r="U1258">
        <v>1</v>
      </c>
      <c r="V1258" s="2">
        <v>1</v>
      </c>
      <c r="W1258">
        <v>0</v>
      </c>
      <c r="X1258" t="s">
        <v>30</v>
      </c>
      <c r="Y1258">
        <v>0</v>
      </c>
      <c r="Z1258" t="s">
        <v>31</v>
      </c>
      <c r="AA1258">
        <v>0</v>
      </c>
      <c r="AB1258" t="s">
        <v>31</v>
      </c>
      <c r="AC1258">
        <v>0</v>
      </c>
      <c r="AD1258" t="s">
        <v>31</v>
      </c>
      <c r="AE1258">
        <v>0</v>
      </c>
      <c r="AF1258" t="s">
        <v>31</v>
      </c>
      <c r="AG1258">
        <v>0</v>
      </c>
      <c r="AH1258" t="s">
        <v>31</v>
      </c>
      <c r="AI1258">
        <v>0</v>
      </c>
      <c r="AJ1258" t="s">
        <v>31</v>
      </c>
      <c r="AK1258">
        <v>0</v>
      </c>
      <c r="AL1258" t="s">
        <v>31</v>
      </c>
      <c r="AM1258">
        <v>0</v>
      </c>
      <c r="AN1258" t="s">
        <v>31</v>
      </c>
      <c r="AO1258">
        <v>0</v>
      </c>
      <c r="AP1258" t="s">
        <v>31</v>
      </c>
      <c r="AQ1258">
        <v>0</v>
      </c>
    </row>
    <row r="1259" spans="1:43" x14ac:dyDescent="0.2">
      <c r="A1259" t="s">
        <v>381</v>
      </c>
      <c r="B1259" s="3">
        <v>44252</v>
      </c>
      <c r="C1259">
        <v>19</v>
      </c>
      <c r="D1259" t="s">
        <v>382</v>
      </c>
      <c r="E1259" t="s">
        <v>57</v>
      </c>
      <c r="F1259" s="9" t="s">
        <v>58</v>
      </c>
      <c r="G1259" t="s">
        <v>26</v>
      </c>
      <c r="H1259" t="s">
        <v>59</v>
      </c>
      <c r="I1259" t="s">
        <v>60</v>
      </c>
      <c r="J1259" t="s">
        <v>43</v>
      </c>
      <c r="K1259" t="s">
        <v>44</v>
      </c>
      <c r="L1259" t="s">
        <v>29</v>
      </c>
      <c r="M1259" t="s">
        <v>30</v>
      </c>
      <c r="N1259" t="s">
        <v>59</v>
      </c>
      <c r="O1259" t="s">
        <v>60</v>
      </c>
      <c r="P1259" t="s">
        <v>43</v>
      </c>
      <c r="Q1259" t="s">
        <v>44</v>
      </c>
      <c r="R1259" s="1">
        <v>44252.469965277778</v>
      </c>
      <c r="S1259" s="1">
        <v>44252.470208333332</v>
      </c>
      <c r="T1259">
        <v>0</v>
      </c>
      <c r="U1259">
        <v>5</v>
      </c>
      <c r="V1259" s="2">
        <v>0</v>
      </c>
      <c r="W1259">
        <v>0</v>
      </c>
      <c r="X1259" t="s">
        <v>44</v>
      </c>
      <c r="Y1259">
        <v>0</v>
      </c>
      <c r="Z1259" t="s">
        <v>44</v>
      </c>
      <c r="AA1259">
        <v>0</v>
      </c>
      <c r="AB1259" t="s">
        <v>45</v>
      </c>
      <c r="AC1259">
        <v>0</v>
      </c>
      <c r="AD1259" t="s">
        <v>61</v>
      </c>
      <c r="AE1259">
        <v>0</v>
      </c>
      <c r="AF1259" t="s">
        <v>47</v>
      </c>
      <c r="AG1259">
        <v>0</v>
      </c>
      <c r="AH1259" t="s">
        <v>31</v>
      </c>
      <c r="AI1259">
        <v>0</v>
      </c>
      <c r="AJ1259" t="s">
        <v>31</v>
      </c>
      <c r="AK1259">
        <v>0</v>
      </c>
      <c r="AL1259" t="s">
        <v>31</v>
      </c>
      <c r="AM1259">
        <v>0</v>
      </c>
      <c r="AN1259" t="s">
        <v>31</v>
      </c>
      <c r="AO1259">
        <v>0</v>
      </c>
      <c r="AP1259" t="s">
        <v>31</v>
      </c>
      <c r="AQ1259">
        <v>0</v>
      </c>
    </row>
    <row r="1260" spans="1:43" x14ac:dyDescent="0.2">
      <c r="A1260" t="s">
        <v>381</v>
      </c>
      <c r="B1260" s="3">
        <v>44256</v>
      </c>
      <c r="C1260">
        <v>22</v>
      </c>
      <c r="D1260" t="s">
        <v>384</v>
      </c>
      <c r="E1260" t="s">
        <v>57</v>
      </c>
      <c r="F1260" s="9" t="s">
        <v>58</v>
      </c>
      <c r="G1260" t="s">
        <v>26</v>
      </c>
      <c r="H1260" t="s">
        <v>59</v>
      </c>
      <c r="I1260" t="s">
        <v>60</v>
      </c>
      <c r="J1260" t="s">
        <v>43</v>
      </c>
      <c r="K1260" t="s">
        <v>44</v>
      </c>
      <c r="L1260" t="s">
        <v>29</v>
      </c>
      <c r="M1260" t="s">
        <v>30</v>
      </c>
      <c r="N1260" t="s">
        <v>59</v>
      </c>
      <c r="O1260" t="s">
        <v>60</v>
      </c>
      <c r="P1260" t="s">
        <v>43</v>
      </c>
      <c r="Q1260" t="s">
        <v>44</v>
      </c>
      <c r="R1260" s="1">
        <v>44256.374490740738</v>
      </c>
      <c r="S1260" s="1">
        <v>44256.374490740738</v>
      </c>
      <c r="T1260">
        <v>1</v>
      </c>
      <c r="U1260">
        <v>1</v>
      </c>
      <c r="V1260" s="2">
        <v>1</v>
      </c>
      <c r="W1260">
        <v>0</v>
      </c>
      <c r="X1260" t="s">
        <v>30</v>
      </c>
      <c r="Y1260">
        <v>0</v>
      </c>
      <c r="Z1260" t="s">
        <v>31</v>
      </c>
      <c r="AA1260">
        <v>0</v>
      </c>
      <c r="AB1260" t="s">
        <v>31</v>
      </c>
      <c r="AC1260">
        <v>0</v>
      </c>
      <c r="AD1260" t="s">
        <v>31</v>
      </c>
      <c r="AE1260">
        <v>0</v>
      </c>
      <c r="AF1260" t="s">
        <v>31</v>
      </c>
      <c r="AG1260">
        <v>0</v>
      </c>
      <c r="AH1260" t="s">
        <v>31</v>
      </c>
      <c r="AI1260">
        <v>0</v>
      </c>
      <c r="AJ1260" t="s">
        <v>31</v>
      </c>
      <c r="AK1260">
        <v>0</v>
      </c>
      <c r="AL1260" t="s">
        <v>31</v>
      </c>
      <c r="AM1260">
        <v>0</v>
      </c>
      <c r="AN1260" t="s">
        <v>31</v>
      </c>
      <c r="AO1260">
        <v>0</v>
      </c>
      <c r="AP1260" t="s">
        <v>31</v>
      </c>
      <c r="AQ1260">
        <v>0</v>
      </c>
    </row>
    <row r="1261" spans="1:43" x14ac:dyDescent="0.2">
      <c r="A1261" t="s">
        <v>381</v>
      </c>
      <c r="B1261" s="3">
        <v>44258</v>
      </c>
      <c r="C1261">
        <v>25</v>
      </c>
      <c r="D1261" t="s">
        <v>384</v>
      </c>
      <c r="E1261" t="s">
        <v>57</v>
      </c>
      <c r="F1261" s="9" t="s">
        <v>58</v>
      </c>
      <c r="G1261" t="s">
        <v>26</v>
      </c>
      <c r="H1261" t="s">
        <v>59</v>
      </c>
      <c r="I1261" t="s">
        <v>60</v>
      </c>
      <c r="J1261" t="s">
        <v>43</v>
      </c>
      <c r="K1261" t="s">
        <v>44</v>
      </c>
      <c r="L1261" t="s">
        <v>29</v>
      </c>
      <c r="M1261" t="s">
        <v>30</v>
      </c>
      <c r="N1261" t="s">
        <v>59</v>
      </c>
      <c r="O1261" t="s">
        <v>60</v>
      </c>
      <c r="P1261" t="s">
        <v>43</v>
      </c>
      <c r="Q1261" t="s">
        <v>44</v>
      </c>
      <c r="R1261" s="1">
        <v>44258.374131944445</v>
      </c>
      <c r="S1261" s="1">
        <v>44258.374131944445</v>
      </c>
      <c r="T1261">
        <v>1</v>
      </c>
      <c r="U1261">
        <v>2</v>
      </c>
      <c r="V1261" s="2">
        <v>0.5</v>
      </c>
      <c r="W1261">
        <v>0</v>
      </c>
      <c r="X1261" t="s">
        <v>44</v>
      </c>
      <c r="Y1261">
        <v>0</v>
      </c>
      <c r="Z1261" t="s">
        <v>30</v>
      </c>
      <c r="AA1261">
        <v>0</v>
      </c>
      <c r="AB1261" t="s">
        <v>31</v>
      </c>
      <c r="AC1261">
        <v>0</v>
      </c>
      <c r="AD1261" t="s">
        <v>31</v>
      </c>
      <c r="AE1261">
        <v>0</v>
      </c>
      <c r="AF1261" t="s">
        <v>31</v>
      </c>
      <c r="AG1261">
        <v>0</v>
      </c>
      <c r="AH1261" t="s">
        <v>31</v>
      </c>
      <c r="AI1261">
        <v>0</v>
      </c>
      <c r="AJ1261" t="s">
        <v>31</v>
      </c>
      <c r="AK1261">
        <v>0</v>
      </c>
      <c r="AL1261" t="s">
        <v>31</v>
      </c>
      <c r="AM1261">
        <v>0</v>
      </c>
      <c r="AN1261" t="s">
        <v>31</v>
      </c>
      <c r="AO1261">
        <v>0</v>
      </c>
      <c r="AP1261" t="s">
        <v>31</v>
      </c>
      <c r="AQ1261">
        <v>0</v>
      </c>
    </row>
    <row r="1262" spans="1:43" x14ac:dyDescent="0.2">
      <c r="A1262" t="s">
        <v>381</v>
      </c>
      <c r="B1262" s="3">
        <v>44259</v>
      </c>
      <c r="C1262">
        <v>26</v>
      </c>
      <c r="D1262" t="s">
        <v>382</v>
      </c>
      <c r="E1262" t="s">
        <v>57</v>
      </c>
      <c r="F1262" s="9" t="s">
        <v>58</v>
      </c>
      <c r="G1262" t="s">
        <v>26</v>
      </c>
      <c r="H1262" t="s">
        <v>59</v>
      </c>
      <c r="I1262" t="s">
        <v>60</v>
      </c>
      <c r="J1262" t="s">
        <v>43</v>
      </c>
      <c r="K1262" t="s">
        <v>44</v>
      </c>
      <c r="L1262" t="s">
        <v>29</v>
      </c>
      <c r="M1262" t="s">
        <v>30</v>
      </c>
      <c r="N1262" t="s">
        <v>59</v>
      </c>
      <c r="O1262" t="s">
        <v>60</v>
      </c>
      <c r="P1262" t="s">
        <v>43</v>
      </c>
      <c r="Q1262" t="s">
        <v>44</v>
      </c>
      <c r="R1262" s="1">
        <v>44259.45449074074</v>
      </c>
      <c r="S1262" s="1">
        <v>44259.454884259256</v>
      </c>
      <c r="T1262">
        <v>0</v>
      </c>
      <c r="U1262">
        <v>5</v>
      </c>
      <c r="V1262" s="2">
        <v>0</v>
      </c>
      <c r="W1262">
        <v>0</v>
      </c>
      <c r="X1262" t="s">
        <v>44</v>
      </c>
      <c r="Y1262">
        <v>0</v>
      </c>
      <c r="Z1262" t="s">
        <v>44</v>
      </c>
      <c r="AA1262">
        <v>0</v>
      </c>
      <c r="AB1262" t="s">
        <v>45</v>
      </c>
      <c r="AC1262">
        <v>0</v>
      </c>
      <c r="AD1262" t="s">
        <v>61</v>
      </c>
      <c r="AE1262">
        <v>0</v>
      </c>
      <c r="AF1262" t="s">
        <v>47</v>
      </c>
      <c r="AG1262">
        <v>0</v>
      </c>
      <c r="AH1262" t="s">
        <v>31</v>
      </c>
      <c r="AI1262">
        <v>0</v>
      </c>
      <c r="AJ1262" t="s">
        <v>31</v>
      </c>
      <c r="AK1262">
        <v>0</v>
      </c>
      <c r="AL1262" t="s">
        <v>31</v>
      </c>
      <c r="AM1262">
        <v>0</v>
      </c>
      <c r="AN1262" t="s">
        <v>31</v>
      </c>
      <c r="AO1262">
        <v>0</v>
      </c>
      <c r="AP1262" t="s">
        <v>31</v>
      </c>
      <c r="AQ1262">
        <v>0</v>
      </c>
    </row>
    <row r="1263" spans="1:43" x14ac:dyDescent="0.2">
      <c r="A1263" t="s">
        <v>381</v>
      </c>
      <c r="B1263" s="3">
        <v>44263</v>
      </c>
      <c r="C1263">
        <v>29</v>
      </c>
      <c r="D1263" t="s">
        <v>384</v>
      </c>
      <c r="E1263" t="s">
        <v>57</v>
      </c>
      <c r="F1263" s="9" t="s">
        <v>58</v>
      </c>
      <c r="G1263" t="s">
        <v>26</v>
      </c>
      <c r="H1263" t="s">
        <v>59</v>
      </c>
      <c r="I1263" t="s">
        <v>60</v>
      </c>
      <c r="J1263" t="s">
        <v>43</v>
      </c>
      <c r="K1263" t="s">
        <v>44</v>
      </c>
      <c r="L1263" t="s">
        <v>29</v>
      </c>
      <c r="M1263" t="s">
        <v>30</v>
      </c>
      <c r="N1263" t="s">
        <v>59</v>
      </c>
      <c r="O1263" t="s">
        <v>60</v>
      </c>
      <c r="P1263" t="s">
        <v>43</v>
      </c>
      <c r="Q1263" t="s">
        <v>44</v>
      </c>
      <c r="R1263" s="1">
        <v>44263.384837962964</v>
      </c>
      <c r="S1263" s="1">
        <v>44263.384837962964</v>
      </c>
      <c r="T1263">
        <v>1</v>
      </c>
      <c r="U1263">
        <v>1</v>
      </c>
      <c r="V1263" s="2">
        <v>1</v>
      </c>
      <c r="W1263">
        <v>0</v>
      </c>
      <c r="X1263" t="s">
        <v>30</v>
      </c>
      <c r="Y1263">
        <v>0</v>
      </c>
      <c r="Z1263" t="s">
        <v>31</v>
      </c>
      <c r="AA1263">
        <v>0</v>
      </c>
      <c r="AB1263" t="s">
        <v>31</v>
      </c>
      <c r="AC1263">
        <v>0</v>
      </c>
      <c r="AD1263" t="s">
        <v>31</v>
      </c>
      <c r="AE1263">
        <v>0</v>
      </c>
      <c r="AF1263" t="s">
        <v>31</v>
      </c>
      <c r="AG1263">
        <v>0</v>
      </c>
      <c r="AH1263" t="s">
        <v>31</v>
      </c>
      <c r="AI1263">
        <v>0</v>
      </c>
      <c r="AJ1263" t="s">
        <v>31</v>
      </c>
      <c r="AK1263">
        <v>0</v>
      </c>
      <c r="AL1263" t="s">
        <v>31</v>
      </c>
      <c r="AM1263">
        <v>0</v>
      </c>
      <c r="AN1263" t="s">
        <v>31</v>
      </c>
      <c r="AO1263">
        <v>0</v>
      </c>
      <c r="AP1263" t="s">
        <v>31</v>
      </c>
      <c r="AQ1263">
        <v>0</v>
      </c>
    </row>
    <row r="1264" spans="1:43" x14ac:dyDescent="0.2">
      <c r="A1264" t="s">
        <v>381</v>
      </c>
      <c r="B1264" s="3">
        <v>44264</v>
      </c>
      <c r="C1264">
        <v>30</v>
      </c>
      <c r="D1264" t="s">
        <v>382</v>
      </c>
      <c r="E1264" t="s">
        <v>57</v>
      </c>
      <c r="F1264" s="9" t="s">
        <v>58</v>
      </c>
      <c r="G1264" t="s">
        <v>26</v>
      </c>
      <c r="H1264" t="s">
        <v>59</v>
      </c>
      <c r="I1264" t="s">
        <v>60</v>
      </c>
      <c r="J1264" t="s">
        <v>43</v>
      </c>
      <c r="K1264" t="s">
        <v>44</v>
      </c>
      <c r="L1264" t="s">
        <v>29</v>
      </c>
      <c r="M1264" t="s">
        <v>30</v>
      </c>
      <c r="N1264" t="s">
        <v>59</v>
      </c>
      <c r="O1264" t="s">
        <v>60</v>
      </c>
      <c r="P1264" t="s">
        <v>43</v>
      </c>
      <c r="Q1264" t="s">
        <v>44</v>
      </c>
      <c r="R1264" s="1">
        <v>44264.466157407405</v>
      </c>
      <c r="S1264" s="1">
        <v>44264.466365740744</v>
      </c>
      <c r="T1264">
        <v>1</v>
      </c>
      <c r="U1264">
        <v>2</v>
      </c>
      <c r="V1264" s="2">
        <v>0.5</v>
      </c>
      <c r="W1264">
        <v>0</v>
      </c>
      <c r="X1264" t="s">
        <v>44</v>
      </c>
      <c r="Y1264">
        <v>0</v>
      </c>
      <c r="Z1264" t="s">
        <v>30</v>
      </c>
      <c r="AA1264">
        <v>0</v>
      </c>
      <c r="AB1264" t="s">
        <v>31</v>
      </c>
      <c r="AC1264">
        <v>0</v>
      </c>
      <c r="AD1264" t="s">
        <v>31</v>
      </c>
      <c r="AE1264">
        <v>0</v>
      </c>
      <c r="AF1264" t="s">
        <v>31</v>
      </c>
      <c r="AG1264">
        <v>0</v>
      </c>
      <c r="AH1264" t="s">
        <v>31</v>
      </c>
      <c r="AI1264">
        <v>0</v>
      </c>
      <c r="AJ1264" t="s">
        <v>31</v>
      </c>
      <c r="AK1264">
        <v>0</v>
      </c>
      <c r="AL1264" t="s">
        <v>31</v>
      </c>
      <c r="AM1264">
        <v>0</v>
      </c>
      <c r="AN1264" t="s">
        <v>31</v>
      </c>
      <c r="AO1264">
        <v>0</v>
      </c>
      <c r="AP1264" t="s">
        <v>31</v>
      </c>
      <c r="AQ1264">
        <v>0</v>
      </c>
    </row>
    <row r="1265" spans="1:43" x14ac:dyDescent="0.2">
      <c r="A1265" t="s">
        <v>381</v>
      </c>
      <c r="B1265" s="3">
        <v>44264</v>
      </c>
      <c r="C1265">
        <v>31</v>
      </c>
      <c r="D1265" t="s">
        <v>385</v>
      </c>
      <c r="E1265" t="s">
        <v>57</v>
      </c>
      <c r="F1265" s="9" t="s">
        <v>58</v>
      </c>
      <c r="G1265" t="s">
        <v>26</v>
      </c>
      <c r="H1265" t="s">
        <v>59</v>
      </c>
      <c r="I1265" t="s">
        <v>60</v>
      </c>
      <c r="J1265" t="s">
        <v>43</v>
      </c>
      <c r="K1265" t="s">
        <v>44</v>
      </c>
      <c r="L1265" t="s">
        <v>29</v>
      </c>
      <c r="M1265" t="s">
        <v>30</v>
      </c>
      <c r="N1265" t="s">
        <v>59</v>
      </c>
      <c r="O1265" t="s">
        <v>60</v>
      </c>
      <c r="P1265" t="s">
        <v>43</v>
      </c>
      <c r="Q1265" t="s">
        <v>44</v>
      </c>
      <c r="R1265" s="1">
        <v>44264.618136574078</v>
      </c>
      <c r="S1265" s="1">
        <v>44264.620891203704</v>
      </c>
      <c r="T1265">
        <v>0</v>
      </c>
      <c r="U1265">
        <v>5</v>
      </c>
      <c r="V1265" s="2">
        <v>0</v>
      </c>
      <c r="W1265">
        <v>0</v>
      </c>
      <c r="X1265" t="s">
        <v>44</v>
      </c>
      <c r="Y1265">
        <v>0</v>
      </c>
      <c r="Z1265" t="s">
        <v>44</v>
      </c>
      <c r="AA1265">
        <v>0</v>
      </c>
      <c r="AB1265" t="s">
        <v>45</v>
      </c>
      <c r="AC1265">
        <v>0</v>
      </c>
      <c r="AD1265" t="s">
        <v>61</v>
      </c>
      <c r="AE1265">
        <v>0</v>
      </c>
      <c r="AF1265" t="s">
        <v>47</v>
      </c>
      <c r="AG1265">
        <v>0</v>
      </c>
      <c r="AH1265" t="s">
        <v>31</v>
      </c>
      <c r="AI1265">
        <v>0</v>
      </c>
      <c r="AJ1265" t="s">
        <v>31</v>
      </c>
      <c r="AK1265">
        <v>0</v>
      </c>
      <c r="AL1265" t="s">
        <v>31</v>
      </c>
      <c r="AM1265">
        <v>0</v>
      </c>
      <c r="AN1265" t="s">
        <v>31</v>
      </c>
      <c r="AO1265">
        <v>0</v>
      </c>
      <c r="AP1265" t="s">
        <v>31</v>
      </c>
      <c r="AQ1265">
        <v>0</v>
      </c>
    </row>
    <row r="1266" spans="1:43" x14ac:dyDescent="0.2">
      <c r="A1266" t="s">
        <v>381</v>
      </c>
      <c r="B1266" s="3">
        <v>44265</v>
      </c>
      <c r="C1266">
        <v>32</v>
      </c>
      <c r="D1266" t="s">
        <v>384</v>
      </c>
      <c r="E1266" t="s">
        <v>57</v>
      </c>
      <c r="F1266" s="9" t="s">
        <v>58</v>
      </c>
      <c r="G1266" t="s">
        <v>26</v>
      </c>
      <c r="H1266" t="s">
        <v>59</v>
      </c>
      <c r="I1266" t="s">
        <v>60</v>
      </c>
      <c r="J1266" t="s">
        <v>43</v>
      </c>
      <c r="K1266" t="s">
        <v>44</v>
      </c>
      <c r="L1266" t="s">
        <v>29</v>
      </c>
      <c r="M1266" t="s">
        <v>30</v>
      </c>
      <c r="N1266" t="s">
        <v>59</v>
      </c>
      <c r="O1266" t="s">
        <v>60</v>
      </c>
      <c r="P1266" t="s">
        <v>43</v>
      </c>
      <c r="Q1266" t="s">
        <v>44</v>
      </c>
      <c r="R1266" s="1">
        <v>44265.412546296298</v>
      </c>
      <c r="S1266" s="1">
        <v>44265.415578703702</v>
      </c>
      <c r="T1266">
        <v>0</v>
      </c>
      <c r="U1266">
        <v>5</v>
      </c>
      <c r="V1266" s="2">
        <v>0</v>
      </c>
      <c r="W1266">
        <v>0</v>
      </c>
      <c r="X1266" t="s">
        <v>44</v>
      </c>
      <c r="Y1266">
        <v>0</v>
      </c>
      <c r="Z1266" t="s">
        <v>44</v>
      </c>
      <c r="AA1266">
        <v>0</v>
      </c>
      <c r="AB1266" t="s">
        <v>45</v>
      </c>
      <c r="AC1266">
        <v>0</v>
      </c>
      <c r="AD1266" t="s">
        <v>61</v>
      </c>
      <c r="AE1266">
        <v>0</v>
      </c>
      <c r="AF1266" t="s">
        <v>47</v>
      </c>
      <c r="AG1266">
        <v>0</v>
      </c>
      <c r="AH1266" t="s">
        <v>31</v>
      </c>
      <c r="AI1266">
        <v>0</v>
      </c>
      <c r="AJ1266" t="s">
        <v>31</v>
      </c>
      <c r="AK1266">
        <v>0</v>
      </c>
      <c r="AL1266" t="s">
        <v>31</v>
      </c>
      <c r="AM1266">
        <v>0</v>
      </c>
      <c r="AN1266" t="s">
        <v>31</v>
      </c>
      <c r="AO1266">
        <v>0</v>
      </c>
      <c r="AP1266" t="s">
        <v>31</v>
      </c>
      <c r="AQ1266">
        <v>0</v>
      </c>
    </row>
    <row r="1267" spans="1:43" x14ac:dyDescent="0.2">
      <c r="A1267" t="s">
        <v>381</v>
      </c>
      <c r="B1267" s="3">
        <v>44270</v>
      </c>
      <c r="C1267">
        <v>35</v>
      </c>
      <c r="D1267" t="s">
        <v>384</v>
      </c>
      <c r="E1267" t="s">
        <v>57</v>
      </c>
      <c r="F1267" s="9" t="s">
        <v>58</v>
      </c>
      <c r="G1267" t="s">
        <v>26</v>
      </c>
      <c r="H1267" t="s">
        <v>59</v>
      </c>
      <c r="I1267" t="s">
        <v>60</v>
      </c>
      <c r="J1267" t="s">
        <v>43</v>
      </c>
      <c r="K1267" t="s">
        <v>44</v>
      </c>
      <c r="L1267" t="s">
        <v>29</v>
      </c>
      <c r="M1267" t="s">
        <v>30</v>
      </c>
      <c r="N1267" t="s">
        <v>59</v>
      </c>
      <c r="O1267" t="s">
        <v>60</v>
      </c>
      <c r="P1267" t="s">
        <v>43</v>
      </c>
      <c r="Q1267" t="s">
        <v>44</v>
      </c>
      <c r="R1267" s="1">
        <v>44270.373888888891</v>
      </c>
      <c r="S1267" s="1">
        <v>44270.376342592594</v>
      </c>
      <c r="T1267">
        <v>0</v>
      </c>
      <c r="U1267">
        <v>5</v>
      </c>
      <c r="V1267" s="2">
        <v>0</v>
      </c>
      <c r="W1267">
        <v>0</v>
      </c>
      <c r="X1267" t="s">
        <v>44</v>
      </c>
      <c r="Y1267">
        <v>0</v>
      </c>
      <c r="Z1267" t="s">
        <v>44</v>
      </c>
      <c r="AA1267">
        <v>0</v>
      </c>
      <c r="AB1267" t="s">
        <v>45</v>
      </c>
      <c r="AC1267">
        <v>0</v>
      </c>
      <c r="AD1267" t="s">
        <v>61</v>
      </c>
      <c r="AE1267">
        <v>0</v>
      </c>
      <c r="AF1267" t="s">
        <v>47</v>
      </c>
      <c r="AG1267">
        <v>0</v>
      </c>
      <c r="AH1267" t="s">
        <v>31</v>
      </c>
      <c r="AI1267">
        <v>0</v>
      </c>
      <c r="AJ1267" t="s">
        <v>31</v>
      </c>
      <c r="AK1267">
        <v>0</v>
      </c>
      <c r="AL1267" t="s">
        <v>31</v>
      </c>
      <c r="AM1267">
        <v>0</v>
      </c>
      <c r="AN1267" t="s">
        <v>31</v>
      </c>
      <c r="AO1267">
        <v>0</v>
      </c>
      <c r="AP1267" t="s">
        <v>31</v>
      </c>
      <c r="AQ1267">
        <v>0</v>
      </c>
    </row>
    <row r="1268" spans="1:43" x14ac:dyDescent="0.2">
      <c r="A1268" t="s">
        <v>381</v>
      </c>
      <c r="B1268" s="3">
        <v>44272</v>
      </c>
      <c r="C1268">
        <v>38</v>
      </c>
      <c r="D1268" t="s">
        <v>384</v>
      </c>
      <c r="E1268" t="s">
        <v>57</v>
      </c>
      <c r="F1268" s="9" t="s">
        <v>58</v>
      </c>
      <c r="G1268" t="s">
        <v>26</v>
      </c>
      <c r="H1268" t="s">
        <v>59</v>
      </c>
      <c r="I1268" t="s">
        <v>60</v>
      </c>
      <c r="J1268" t="s">
        <v>43</v>
      </c>
      <c r="K1268" t="s">
        <v>44</v>
      </c>
      <c r="L1268" t="s">
        <v>29</v>
      </c>
      <c r="M1268" t="s">
        <v>30</v>
      </c>
      <c r="N1268" t="s">
        <v>59</v>
      </c>
      <c r="O1268" t="s">
        <v>60</v>
      </c>
      <c r="P1268" t="s">
        <v>43</v>
      </c>
      <c r="Q1268" t="s">
        <v>44</v>
      </c>
      <c r="R1268" s="1">
        <v>44272.40966435185</v>
      </c>
      <c r="S1268" s="1">
        <v>44272.412164351852</v>
      </c>
      <c r="T1268">
        <v>0</v>
      </c>
      <c r="U1268">
        <v>5</v>
      </c>
      <c r="V1268" s="2">
        <v>0</v>
      </c>
      <c r="W1268">
        <v>0</v>
      </c>
      <c r="X1268" t="s">
        <v>44</v>
      </c>
      <c r="Y1268">
        <v>0</v>
      </c>
      <c r="Z1268" t="s">
        <v>44</v>
      </c>
      <c r="AA1268">
        <v>0</v>
      </c>
      <c r="AB1268" t="s">
        <v>45</v>
      </c>
      <c r="AC1268">
        <v>0</v>
      </c>
      <c r="AD1268" t="s">
        <v>61</v>
      </c>
      <c r="AE1268">
        <v>0</v>
      </c>
      <c r="AF1268" t="s">
        <v>47</v>
      </c>
      <c r="AG1268">
        <v>0</v>
      </c>
      <c r="AH1268" t="s">
        <v>31</v>
      </c>
      <c r="AI1268">
        <v>0</v>
      </c>
      <c r="AJ1268" t="s">
        <v>31</v>
      </c>
      <c r="AK1268">
        <v>0</v>
      </c>
      <c r="AL1268" t="s">
        <v>31</v>
      </c>
      <c r="AM1268">
        <v>0</v>
      </c>
      <c r="AN1268" t="s">
        <v>31</v>
      </c>
      <c r="AO1268">
        <v>0</v>
      </c>
      <c r="AP1268" t="s">
        <v>31</v>
      </c>
      <c r="AQ1268">
        <v>0</v>
      </c>
    </row>
    <row r="1269" spans="1:43" x14ac:dyDescent="0.2">
      <c r="A1269" t="s">
        <v>381</v>
      </c>
      <c r="B1269" s="3">
        <v>44281</v>
      </c>
      <c r="C1269">
        <v>42</v>
      </c>
      <c r="D1269" t="s">
        <v>384</v>
      </c>
      <c r="E1269" t="s">
        <v>57</v>
      </c>
      <c r="F1269" s="9" t="s">
        <v>58</v>
      </c>
      <c r="G1269" t="s">
        <v>26</v>
      </c>
      <c r="H1269" t="s">
        <v>59</v>
      </c>
      <c r="I1269" t="s">
        <v>60</v>
      </c>
      <c r="J1269" t="s">
        <v>43</v>
      </c>
      <c r="K1269" t="s">
        <v>44</v>
      </c>
      <c r="L1269" t="s">
        <v>29</v>
      </c>
      <c r="M1269" t="s">
        <v>30</v>
      </c>
      <c r="N1269" t="s">
        <v>59</v>
      </c>
      <c r="O1269" t="s">
        <v>60</v>
      </c>
      <c r="P1269" t="s">
        <v>43</v>
      </c>
      <c r="Q1269" t="s">
        <v>44</v>
      </c>
      <c r="R1269" s="1">
        <v>44281.415833333333</v>
      </c>
      <c r="S1269" s="1">
        <v>44281.417534722219</v>
      </c>
      <c r="T1269">
        <v>0</v>
      </c>
      <c r="U1269">
        <v>5</v>
      </c>
      <c r="V1269" s="2">
        <v>0</v>
      </c>
      <c r="W1269">
        <v>0</v>
      </c>
      <c r="X1269" t="s">
        <v>44</v>
      </c>
      <c r="Y1269">
        <v>0</v>
      </c>
      <c r="Z1269" t="s">
        <v>44</v>
      </c>
      <c r="AA1269">
        <v>0</v>
      </c>
      <c r="AB1269" t="s">
        <v>45</v>
      </c>
      <c r="AC1269">
        <v>0</v>
      </c>
      <c r="AD1269" t="s">
        <v>61</v>
      </c>
      <c r="AE1269">
        <v>0</v>
      </c>
      <c r="AF1269" t="s">
        <v>47</v>
      </c>
      <c r="AG1269">
        <v>0</v>
      </c>
      <c r="AH1269" t="s">
        <v>31</v>
      </c>
      <c r="AI1269">
        <v>0</v>
      </c>
      <c r="AJ1269" t="s">
        <v>31</v>
      </c>
      <c r="AK1269">
        <v>0</v>
      </c>
      <c r="AL1269" t="s">
        <v>31</v>
      </c>
      <c r="AM1269">
        <v>0</v>
      </c>
      <c r="AN1269" t="s">
        <v>31</v>
      </c>
      <c r="AO1269">
        <v>0</v>
      </c>
      <c r="AP1269" t="s">
        <v>31</v>
      </c>
      <c r="AQ1269">
        <v>0</v>
      </c>
    </row>
    <row r="1270" spans="1:43" x14ac:dyDescent="0.2">
      <c r="A1270" t="s">
        <v>381</v>
      </c>
      <c r="B1270" s="3">
        <v>44284</v>
      </c>
      <c r="C1270">
        <v>43</v>
      </c>
      <c r="D1270" t="s">
        <v>384</v>
      </c>
      <c r="E1270" t="s">
        <v>57</v>
      </c>
      <c r="F1270" s="9" t="s">
        <v>58</v>
      </c>
      <c r="G1270" t="s">
        <v>26</v>
      </c>
      <c r="H1270" t="s">
        <v>59</v>
      </c>
      <c r="I1270" t="s">
        <v>60</v>
      </c>
      <c r="J1270" t="s">
        <v>43</v>
      </c>
      <c r="K1270" t="s">
        <v>44</v>
      </c>
      <c r="L1270" t="s">
        <v>29</v>
      </c>
      <c r="M1270" t="s">
        <v>30</v>
      </c>
      <c r="N1270" t="s">
        <v>59</v>
      </c>
      <c r="O1270" t="s">
        <v>60</v>
      </c>
      <c r="P1270" t="s">
        <v>43</v>
      </c>
      <c r="Q1270" t="s">
        <v>44</v>
      </c>
      <c r="R1270" s="1">
        <v>44284.40693287037</v>
      </c>
      <c r="S1270" s="1">
        <v>44284.41064814815</v>
      </c>
      <c r="T1270">
        <v>0</v>
      </c>
      <c r="U1270">
        <v>5</v>
      </c>
      <c r="V1270" s="2">
        <v>0</v>
      </c>
      <c r="W1270">
        <v>0</v>
      </c>
      <c r="X1270" t="s">
        <v>44</v>
      </c>
      <c r="Y1270">
        <v>0</v>
      </c>
      <c r="Z1270" t="s">
        <v>44</v>
      </c>
      <c r="AA1270">
        <v>0</v>
      </c>
      <c r="AB1270" t="s">
        <v>45</v>
      </c>
      <c r="AC1270">
        <v>0</v>
      </c>
      <c r="AD1270" t="s">
        <v>61</v>
      </c>
      <c r="AE1270">
        <v>0</v>
      </c>
      <c r="AF1270" t="s">
        <v>47</v>
      </c>
      <c r="AG1270">
        <v>0</v>
      </c>
      <c r="AH1270" t="s">
        <v>31</v>
      </c>
      <c r="AI1270">
        <v>0</v>
      </c>
      <c r="AJ1270" t="s">
        <v>31</v>
      </c>
      <c r="AK1270">
        <v>0</v>
      </c>
      <c r="AL1270" t="s">
        <v>31</v>
      </c>
      <c r="AM1270">
        <v>0</v>
      </c>
      <c r="AN1270" t="s">
        <v>31</v>
      </c>
      <c r="AO1270">
        <v>0</v>
      </c>
      <c r="AP1270" t="s">
        <v>31</v>
      </c>
      <c r="AQ1270">
        <v>0</v>
      </c>
    </row>
    <row r="1271" spans="1:43" x14ac:dyDescent="0.2">
      <c r="A1271" t="s">
        <v>381</v>
      </c>
      <c r="B1271" s="3">
        <v>44286</v>
      </c>
      <c r="C1271">
        <v>46</v>
      </c>
      <c r="D1271" t="s">
        <v>384</v>
      </c>
      <c r="E1271" t="s">
        <v>57</v>
      </c>
      <c r="F1271" s="9" t="s">
        <v>58</v>
      </c>
      <c r="G1271" t="s">
        <v>26</v>
      </c>
      <c r="H1271" t="s">
        <v>59</v>
      </c>
      <c r="I1271" t="s">
        <v>60</v>
      </c>
      <c r="J1271" t="s">
        <v>43</v>
      </c>
      <c r="K1271" t="s">
        <v>44</v>
      </c>
      <c r="L1271" t="s">
        <v>29</v>
      </c>
      <c r="M1271" t="s">
        <v>30</v>
      </c>
      <c r="N1271" t="s">
        <v>59</v>
      </c>
      <c r="O1271" t="s">
        <v>60</v>
      </c>
      <c r="P1271" t="s">
        <v>43</v>
      </c>
      <c r="Q1271" t="s">
        <v>44</v>
      </c>
      <c r="R1271" s="1">
        <v>44286.417500000003</v>
      </c>
      <c r="S1271" s="1">
        <v>44286.41878472222</v>
      </c>
      <c r="T1271">
        <v>0</v>
      </c>
      <c r="U1271">
        <v>5</v>
      </c>
      <c r="V1271" s="2">
        <v>0</v>
      </c>
      <c r="W1271">
        <v>0</v>
      </c>
      <c r="X1271" t="s">
        <v>44</v>
      </c>
      <c r="Y1271">
        <v>0</v>
      </c>
      <c r="Z1271" t="s">
        <v>44</v>
      </c>
      <c r="AA1271">
        <v>0</v>
      </c>
      <c r="AB1271" t="s">
        <v>45</v>
      </c>
      <c r="AC1271">
        <v>0</v>
      </c>
      <c r="AD1271" t="s">
        <v>61</v>
      </c>
      <c r="AE1271">
        <v>0</v>
      </c>
      <c r="AF1271" t="s">
        <v>47</v>
      </c>
      <c r="AG1271">
        <v>0</v>
      </c>
      <c r="AH1271" t="s">
        <v>31</v>
      </c>
      <c r="AI1271">
        <v>0</v>
      </c>
      <c r="AJ1271" t="s">
        <v>31</v>
      </c>
      <c r="AK1271">
        <v>0</v>
      </c>
      <c r="AL1271" t="s">
        <v>31</v>
      </c>
      <c r="AM1271">
        <v>0</v>
      </c>
      <c r="AN1271" t="s">
        <v>31</v>
      </c>
      <c r="AO1271">
        <v>0</v>
      </c>
      <c r="AP1271" t="s">
        <v>31</v>
      </c>
      <c r="AQ1271">
        <v>0</v>
      </c>
    </row>
    <row r="1272" spans="1:43" x14ac:dyDescent="0.2">
      <c r="A1272" t="s">
        <v>381</v>
      </c>
      <c r="B1272" s="3">
        <v>44288</v>
      </c>
      <c r="C1272">
        <v>49</v>
      </c>
      <c r="D1272" t="s">
        <v>384</v>
      </c>
      <c r="E1272" t="s">
        <v>57</v>
      </c>
      <c r="F1272" s="9" t="s">
        <v>58</v>
      </c>
      <c r="G1272" t="s">
        <v>26</v>
      </c>
      <c r="H1272" t="s">
        <v>59</v>
      </c>
      <c r="I1272" t="s">
        <v>60</v>
      </c>
      <c r="J1272" t="s">
        <v>43</v>
      </c>
      <c r="K1272" t="s">
        <v>44</v>
      </c>
      <c r="L1272" t="s">
        <v>29</v>
      </c>
      <c r="M1272" t="s">
        <v>30</v>
      </c>
      <c r="N1272" t="s">
        <v>59</v>
      </c>
      <c r="O1272" t="s">
        <v>60</v>
      </c>
      <c r="P1272" t="s">
        <v>43</v>
      </c>
      <c r="Q1272" t="s">
        <v>44</v>
      </c>
      <c r="R1272" s="1">
        <v>44288.373854166668</v>
      </c>
      <c r="S1272" s="1">
        <v>44288.3750462963</v>
      </c>
      <c r="T1272">
        <v>0</v>
      </c>
      <c r="U1272">
        <v>5</v>
      </c>
      <c r="V1272" s="2">
        <v>0</v>
      </c>
      <c r="W1272">
        <v>0</v>
      </c>
      <c r="X1272" t="s">
        <v>44</v>
      </c>
      <c r="Y1272">
        <v>0</v>
      </c>
      <c r="Z1272" t="s">
        <v>44</v>
      </c>
      <c r="AA1272">
        <v>0</v>
      </c>
      <c r="AB1272" t="s">
        <v>45</v>
      </c>
      <c r="AC1272">
        <v>0</v>
      </c>
      <c r="AD1272" t="s">
        <v>61</v>
      </c>
      <c r="AE1272">
        <v>0</v>
      </c>
      <c r="AF1272" t="s">
        <v>47</v>
      </c>
      <c r="AG1272">
        <v>0</v>
      </c>
      <c r="AH1272" t="s">
        <v>31</v>
      </c>
      <c r="AI1272">
        <v>0</v>
      </c>
      <c r="AJ1272" t="s">
        <v>31</v>
      </c>
      <c r="AK1272">
        <v>0</v>
      </c>
      <c r="AL1272" t="s">
        <v>31</v>
      </c>
      <c r="AM1272">
        <v>0</v>
      </c>
      <c r="AN1272" t="s">
        <v>31</v>
      </c>
      <c r="AO1272">
        <v>0</v>
      </c>
      <c r="AP1272" t="s">
        <v>31</v>
      </c>
      <c r="AQ1272">
        <v>0</v>
      </c>
    </row>
    <row r="1273" spans="1:43" x14ac:dyDescent="0.2">
      <c r="A1273" t="s">
        <v>381</v>
      </c>
      <c r="B1273" s="3">
        <v>44292</v>
      </c>
      <c r="C1273">
        <v>52</v>
      </c>
      <c r="D1273" t="s">
        <v>386</v>
      </c>
      <c r="E1273" t="s">
        <v>57</v>
      </c>
      <c r="F1273" s="9" t="s">
        <v>58</v>
      </c>
      <c r="G1273" t="s">
        <v>26</v>
      </c>
      <c r="H1273" t="s">
        <v>59</v>
      </c>
      <c r="I1273" t="s">
        <v>60</v>
      </c>
      <c r="J1273" t="s">
        <v>43</v>
      </c>
      <c r="K1273" t="s">
        <v>44</v>
      </c>
      <c r="L1273" t="s">
        <v>29</v>
      </c>
      <c r="M1273" t="s">
        <v>30</v>
      </c>
      <c r="N1273" t="s">
        <v>59</v>
      </c>
      <c r="O1273" t="s">
        <v>60</v>
      </c>
      <c r="P1273" t="s">
        <v>43</v>
      </c>
      <c r="Q1273" t="s">
        <v>44</v>
      </c>
      <c r="R1273" s="1">
        <v>44292.572928240741</v>
      </c>
      <c r="S1273" s="1">
        <v>44292.574884259258</v>
      </c>
      <c r="T1273">
        <v>0</v>
      </c>
      <c r="U1273">
        <v>5</v>
      </c>
      <c r="V1273" s="2">
        <v>0</v>
      </c>
      <c r="W1273">
        <v>0</v>
      </c>
      <c r="X1273" t="s">
        <v>44</v>
      </c>
      <c r="Y1273">
        <v>0</v>
      </c>
      <c r="Z1273" t="s">
        <v>44</v>
      </c>
      <c r="AA1273">
        <v>0</v>
      </c>
      <c r="AB1273" t="s">
        <v>45</v>
      </c>
      <c r="AC1273">
        <v>0</v>
      </c>
      <c r="AD1273" t="s">
        <v>61</v>
      </c>
      <c r="AE1273">
        <v>0</v>
      </c>
      <c r="AF1273" t="s">
        <v>47</v>
      </c>
      <c r="AG1273">
        <v>0</v>
      </c>
      <c r="AH1273" t="s">
        <v>31</v>
      </c>
      <c r="AI1273">
        <v>0</v>
      </c>
      <c r="AJ1273" t="s">
        <v>31</v>
      </c>
      <c r="AK1273">
        <v>0</v>
      </c>
      <c r="AL1273" t="s">
        <v>31</v>
      </c>
      <c r="AM1273">
        <v>0</v>
      </c>
      <c r="AN1273" t="s">
        <v>31</v>
      </c>
      <c r="AO1273">
        <v>0</v>
      </c>
      <c r="AP1273" t="s">
        <v>31</v>
      </c>
      <c r="AQ1273">
        <v>0</v>
      </c>
    </row>
    <row r="1274" spans="1:43" x14ac:dyDescent="0.2">
      <c r="A1274" t="s">
        <v>381</v>
      </c>
      <c r="B1274" s="3">
        <v>44293</v>
      </c>
      <c r="C1274">
        <v>53</v>
      </c>
      <c r="D1274" t="s">
        <v>384</v>
      </c>
      <c r="E1274" t="s">
        <v>57</v>
      </c>
      <c r="F1274" s="9" t="s">
        <v>58</v>
      </c>
      <c r="G1274" t="s">
        <v>26</v>
      </c>
      <c r="H1274" t="s">
        <v>59</v>
      </c>
      <c r="I1274" t="s">
        <v>60</v>
      </c>
      <c r="J1274" t="s">
        <v>43</v>
      </c>
      <c r="K1274" t="s">
        <v>44</v>
      </c>
      <c r="L1274" t="s">
        <v>29</v>
      </c>
      <c r="M1274" t="s">
        <v>30</v>
      </c>
      <c r="N1274" t="s">
        <v>59</v>
      </c>
      <c r="O1274" t="s">
        <v>60</v>
      </c>
      <c r="P1274" t="s">
        <v>43</v>
      </c>
      <c r="Q1274" t="s">
        <v>44</v>
      </c>
      <c r="R1274" s="1">
        <v>44293.40792824074</v>
      </c>
      <c r="S1274" s="1">
        <v>44293.409814814811</v>
      </c>
      <c r="T1274">
        <v>0</v>
      </c>
      <c r="U1274">
        <v>5</v>
      </c>
      <c r="V1274" s="2">
        <v>0</v>
      </c>
      <c r="W1274">
        <v>0</v>
      </c>
      <c r="X1274" t="s">
        <v>44</v>
      </c>
      <c r="Y1274">
        <v>0</v>
      </c>
      <c r="Z1274" t="s">
        <v>44</v>
      </c>
      <c r="AA1274">
        <v>0</v>
      </c>
      <c r="AB1274" t="s">
        <v>45</v>
      </c>
      <c r="AC1274">
        <v>0</v>
      </c>
      <c r="AD1274" t="s">
        <v>61</v>
      </c>
      <c r="AE1274">
        <v>0</v>
      </c>
      <c r="AF1274" t="s">
        <v>47</v>
      </c>
      <c r="AG1274">
        <v>0</v>
      </c>
      <c r="AH1274" t="s">
        <v>31</v>
      </c>
      <c r="AI1274">
        <v>0</v>
      </c>
      <c r="AJ1274" t="s">
        <v>31</v>
      </c>
      <c r="AK1274">
        <v>0</v>
      </c>
      <c r="AL1274" t="s">
        <v>31</v>
      </c>
      <c r="AM1274">
        <v>0</v>
      </c>
      <c r="AN1274" t="s">
        <v>31</v>
      </c>
      <c r="AO1274">
        <v>0</v>
      </c>
      <c r="AP1274" t="s">
        <v>31</v>
      </c>
      <c r="AQ1274">
        <v>0</v>
      </c>
    </row>
    <row r="1275" spans="1:43" x14ac:dyDescent="0.2">
      <c r="A1275" t="s">
        <v>381</v>
      </c>
      <c r="B1275" s="3">
        <v>44295</v>
      </c>
      <c r="C1275">
        <v>56</v>
      </c>
      <c r="D1275" t="s">
        <v>384</v>
      </c>
      <c r="E1275" t="s">
        <v>57</v>
      </c>
      <c r="F1275" s="9" t="s">
        <v>58</v>
      </c>
      <c r="G1275" t="s">
        <v>26</v>
      </c>
      <c r="H1275" t="s">
        <v>59</v>
      </c>
      <c r="I1275" t="s">
        <v>60</v>
      </c>
      <c r="J1275" t="s">
        <v>43</v>
      </c>
      <c r="K1275" t="s">
        <v>44</v>
      </c>
      <c r="L1275" t="s">
        <v>29</v>
      </c>
      <c r="M1275" t="s">
        <v>30</v>
      </c>
      <c r="N1275" t="s">
        <v>59</v>
      </c>
      <c r="O1275" t="s">
        <v>60</v>
      </c>
      <c r="P1275" t="s">
        <v>43</v>
      </c>
      <c r="Q1275" t="s">
        <v>44</v>
      </c>
      <c r="R1275" s="1">
        <v>44295.408460648148</v>
      </c>
      <c r="S1275" s="1">
        <v>44295.411307870374</v>
      </c>
      <c r="T1275">
        <v>0</v>
      </c>
      <c r="U1275">
        <v>5</v>
      </c>
      <c r="V1275" s="2">
        <v>0</v>
      </c>
      <c r="W1275">
        <v>0</v>
      </c>
      <c r="X1275" t="s">
        <v>44</v>
      </c>
      <c r="Y1275">
        <v>0</v>
      </c>
      <c r="Z1275" t="s">
        <v>44</v>
      </c>
      <c r="AA1275">
        <v>0</v>
      </c>
      <c r="AB1275" t="s">
        <v>45</v>
      </c>
      <c r="AC1275">
        <v>0</v>
      </c>
      <c r="AD1275" t="s">
        <v>61</v>
      </c>
      <c r="AE1275">
        <v>0</v>
      </c>
      <c r="AF1275" t="s">
        <v>47</v>
      </c>
      <c r="AG1275">
        <v>0</v>
      </c>
      <c r="AH1275" t="s">
        <v>31</v>
      </c>
      <c r="AI1275">
        <v>0</v>
      </c>
      <c r="AJ1275" t="s">
        <v>31</v>
      </c>
      <c r="AK1275">
        <v>0</v>
      </c>
      <c r="AL1275" t="s">
        <v>31</v>
      </c>
      <c r="AM1275">
        <v>0</v>
      </c>
      <c r="AN1275" t="s">
        <v>31</v>
      </c>
      <c r="AO1275">
        <v>0</v>
      </c>
      <c r="AP1275" t="s">
        <v>31</v>
      </c>
      <c r="AQ1275">
        <v>0</v>
      </c>
    </row>
    <row r="1276" spans="1:43" x14ac:dyDescent="0.2">
      <c r="A1276" t="s">
        <v>381</v>
      </c>
      <c r="B1276" s="3">
        <v>44298</v>
      </c>
      <c r="C1276">
        <v>57</v>
      </c>
      <c r="D1276" t="s">
        <v>387</v>
      </c>
      <c r="E1276" t="s">
        <v>57</v>
      </c>
      <c r="F1276" s="9" t="s">
        <v>58</v>
      </c>
      <c r="G1276" t="s">
        <v>26</v>
      </c>
      <c r="H1276" t="s">
        <v>59</v>
      </c>
      <c r="I1276" t="s">
        <v>60</v>
      </c>
      <c r="J1276" t="s">
        <v>43</v>
      </c>
      <c r="K1276" t="s">
        <v>44</v>
      </c>
      <c r="L1276" t="s">
        <v>29</v>
      </c>
      <c r="M1276" t="s">
        <v>30</v>
      </c>
      <c r="N1276" t="s">
        <v>59</v>
      </c>
      <c r="O1276" t="s">
        <v>60</v>
      </c>
      <c r="P1276" t="s">
        <v>43</v>
      </c>
      <c r="Q1276" t="s">
        <v>44</v>
      </c>
      <c r="R1276" s="1">
        <v>44298.652546296296</v>
      </c>
      <c r="S1276" s="1">
        <v>44298.654108796298</v>
      </c>
      <c r="T1276">
        <v>0</v>
      </c>
      <c r="U1276">
        <v>5</v>
      </c>
      <c r="V1276" s="2">
        <v>0</v>
      </c>
      <c r="W1276">
        <v>0</v>
      </c>
      <c r="X1276" t="s">
        <v>44</v>
      </c>
      <c r="Y1276">
        <v>0</v>
      </c>
      <c r="Z1276" t="s">
        <v>44</v>
      </c>
      <c r="AA1276">
        <v>0</v>
      </c>
      <c r="AB1276" t="s">
        <v>45</v>
      </c>
      <c r="AC1276">
        <v>0</v>
      </c>
      <c r="AD1276" t="s">
        <v>61</v>
      </c>
      <c r="AE1276">
        <v>0</v>
      </c>
      <c r="AF1276" t="s">
        <v>47</v>
      </c>
      <c r="AG1276">
        <v>0</v>
      </c>
      <c r="AH1276" t="s">
        <v>31</v>
      </c>
      <c r="AI1276">
        <v>0</v>
      </c>
      <c r="AJ1276" t="s">
        <v>31</v>
      </c>
      <c r="AK1276">
        <v>0</v>
      </c>
      <c r="AL1276" t="s">
        <v>31</v>
      </c>
      <c r="AM1276">
        <v>0</v>
      </c>
      <c r="AN1276" t="s">
        <v>31</v>
      </c>
      <c r="AO1276">
        <v>0</v>
      </c>
      <c r="AP1276" t="s">
        <v>31</v>
      </c>
      <c r="AQ1276">
        <v>0</v>
      </c>
    </row>
    <row r="1277" spans="1:43" x14ac:dyDescent="0.2">
      <c r="A1277" t="s">
        <v>381</v>
      </c>
      <c r="B1277" s="3">
        <v>44300</v>
      </c>
      <c r="C1277">
        <v>60</v>
      </c>
      <c r="D1277" t="s">
        <v>398</v>
      </c>
      <c r="E1277" t="s">
        <v>57</v>
      </c>
      <c r="F1277" s="9" t="s">
        <v>58</v>
      </c>
      <c r="G1277" t="s">
        <v>26</v>
      </c>
      <c r="H1277" t="s">
        <v>59</v>
      </c>
      <c r="I1277" t="s">
        <v>60</v>
      </c>
      <c r="J1277" t="s">
        <v>43</v>
      </c>
      <c r="K1277" t="s">
        <v>44</v>
      </c>
      <c r="L1277" t="s">
        <v>29</v>
      </c>
      <c r="M1277" t="s">
        <v>30</v>
      </c>
      <c r="N1277" t="s">
        <v>59</v>
      </c>
      <c r="O1277" t="s">
        <v>60</v>
      </c>
      <c r="P1277" t="s">
        <v>43</v>
      </c>
      <c r="Q1277" t="s">
        <v>44</v>
      </c>
      <c r="R1277" s="1">
        <v>44300.455092592594</v>
      </c>
      <c r="S1277" s="1">
        <v>44300.459583333337</v>
      </c>
      <c r="T1277">
        <v>1</v>
      </c>
      <c r="U1277">
        <v>6</v>
      </c>
      <c r="V1277" s="2">
        <v>0.16</v>
      </c>
      <c r="W1277">
        <v>0</v>
      </c>
      <c r="X1277" t="s">
        <v>44</v>
      </c>
      <c r="Y1277">
        <v>0</v>
      </c>
      <c r="Z1277" t="s">
        <v>44</v>
      </c>
      <c r="AA1277">
        <v>0</v>
      </c>
      <c r="AB1277" t="s">
        <v>45</v>
      </c>
      <c r="AC1277">
        <v>0</v>
      </c>
      <c r="AD1277" t="s">
        <v>61</v>
      </c>
      <c r="AE1277">
        <v>0</v>
      </c>
      <c r="AF1277" t="s">
        <v>47</v>
      </c>
      <c r="AG1277">
        <v>0</v>
      </c>
      <c r="AH1277" t="s">
        <v>30</v>
      </c>
      <c r="AI1277">
        <v>0</v>
      </c>
      <c r="AJ1277" t="s">
        <v>31</v>
      </c>
      <c r="AK1277">
        <v>0</v>
      </c>
      <c r="AL1277" t="s">
        <v>31</v>
      </c>
      <c r="AM1277">
        <v>0</v>
      </c>
      <c r="AN1277" t="s">
        <v>31</v>
      </c>
      <c r="AO1277">
        <v>0</v>
      </c>
      <c r="AP1277" t="s">
        <v>31</v>
      </c>
      <c r="AQ1277">
        <v>0</v>
      </c>
    </row>
    <row r="1278" spans="1:43" x14ac:dyDescent="0.2">
      <c r="A1278" t="s">
        <v>381</v>
      </c>
      <c r="B1278" s="3">
        <v>44308</v>
      </c>
      <c r="C1278">
        <v>68</v>
      </c>
      <c r="D1278" t="s">
        <v>383</v>
      </c>
      <c r="E1278" t="s">
        <v>57</v>
      </c>
      <c r="F1278" s="9" t="s">
        <v>58</v>
      </c>
      <c r="G1278" t="s">
        <v>26</v>
      </c>
      <c r="H1278" t="s">
        <v>59</v>
      </c>
      <c r="I1278" t="s">
        <v>60</v>
      </c>
      <c r="J1278" t="s">
        <v>43</v>
      </c>
      <c r="K1278" t="s">
        <v>44</v>
      </c>
      <c r="L1278" t="s">
        <v>29</v>
      </c>
      <c r="M1278" t="s">
        <v>30</v>
      </c>
      <c r="N1278" t="s">
        <v>59</v>
      </c>
      <c r="O1278" t="s">
        <v>60</v>
      </c>
      <c r="P1278" t="s">
        <v>43</v>
      </c>
      <c r="Q1278" t="s">
        <v>44</v>
      </c>
      <c r="R1278" s="1">
        <v>44308.466840277775</v>
      </c>
      <c r="S1278" s="1">
        <v>44308.47111111111</v>
      </c>
      <c r="T1278">
        <v>0</v>
      </c>
      <c r="U1278">
        <v>4</v>
      </c>
      <c r="V1278" s="2">
        <v>0</v>
      </c>
      <c r="W1278">
        <v>0</v>
      </c>
      <c r="X1278" t="s">
        <v>44</v>
      </c>
      <c r="Y1278">
        <v>0</v>
      </c>
      <c r="Z1278" t="s">
        <v>44</v>
      </c>
      <c r="AA1278">
        <v>0</v>
      </c>
      <c r="AB1278" t="s">
        <v>45</v>
      </c>
      <c r="AC1278">
        <v>0</v>
      </c>
      <c r="AD1278" t="s">
        <v>61</v>
      </c>
      <c r="AE1278">
        <v>0</v>
      </c>
      <c r="AF1278" t="s">
        <v>31</v>
      </c>
      <c r="AG1278">
        <v>0</v>
      </c>
      <c r="AH1278" t="s">
        <v>31</v>
      </c>
      <c r="AI1278">
        <v>0</v>
      </c>
      <c r="AJ1278" t="s">
        <v>31</v>
      </c>
      <c r="AK1278">
        <v>0</v>
      </c>
      <c r="AL1278" t="s">
        <v>31</v>
      </c>
      <c r="AM1278">
        <v>0</v>
      </c>
      <c r="AN1278" t="s">
        <v>31</v>
      </c>
      <c r="AO1278">
        <v>0</v>
      </c>
      <c r="AP1278" t="s">
        <v>31</v>
      </c>
      <c r="AQ1278">
        <v>0</v>
      </c>
    </row>
    <row r="1279" spans="1:43" x14ac:dyDescent="0.2">
      <c r="A1279" t="s">
        <v>381</v>
      </c>
      <c r="B1279" s="3">
        <v>44309</v>
      </c>
      <c r="C1279">
        <v>71</v>
      </c>
      <c r="D1279" t="s">
        <v>391</v>
      </c>
      <c r="E1279" t="s">
        <v>57</v>
      </c>
      <c r="F1279" s="9" t="s">
        <v>58</v>
      </c>
      <c r="G1279" t="s">
        <v>26</v>
      </c>
      <c r="H1279" t="s">
        <v>59</v>
      </c>
      <c r="I1279" t="s">
        <v>60</v>
      </c>
      <c r="J1279" t="s">
        <v>43</v>
      </c>
      <c r="K1279" t="s">
        <v>44</v>
      </c>
      <c r="L1279" t="s">
        <v>29</v>
      </c>
      <c r="M1279" t="s">
        <v>30</v>
      </c>
      <c r="N1279" t="s">
        <v>59</v>
      </c>
      <c r="O1279" t="s">
        <v>60</v>
      </c>
      <c r="P1279" t="s">
        <v>43</v>
      </c>
      <c r="Q1279" t="s">
        <v>44</v>
      </c>
      <c r="R1279" s="1">
        <v>44309.587777777779</v>
      </c>
      <c r="S1279" s="1">
        <v>44309.588807870372</v>
      </c>
      <c r="T1279">
        <v>0</v>
      </c>
      <c r="U1279">
        <v>5</v>
      </c>
      <c r="V1279" s="2">
        <v>0</v>
      </c>
      <c r="W1279">
        <v>0</v>
      </c>
      <c r="X1279" t="s">
        <v>44</v>
      </c>
      <c r="Y1279">
        <v>0</v>
      </c>
      <c r="Z1279" t="s">
        <v>44</v>
      </c>
      <c r="AA1279">
        <v>0</v>
      </c>
      <c r="AB1279" t="s">
        <v>45</v>
      </c>
      <c r="AC1279">
        <v>0</v>
      </c>
      <c r="AD1279" t="s">
        <v>61</v>
      </c>
      <c r="AE1279">
        <v>0</v>
      </c>
      <c r="AF1279" t="s">
        <v>47</v>
      </c>
      <c r="AG1279">
        <v>0</v>
      </c>
      <c r="AH1279" t="s">
        <v>31</v>
      </c>
      <c r="AI1279">
        <v>0</v>
      </c>
      <c r="AJ1279" t="s">
        <v>31</v>
      </c>
      <c r="AK1279">
        <v>0</v>
      </c>
      <c r="AL1279" t="s">
        <v>31</v>
      </c>
      <c r="AM1279">
        <v>0</v>
      </c>
      <c r="AN1279" t="s">
        <v>31</v>
      </c>
      <c r="AO1279">
        <v>0</v>
      </c>
      <c r="AP1279" t="s">
        <v>31</v>
      </c>
      <c r="AQ1279">
        <v>0</v>
      </c>
    </row>
    <row r="1280" spans="1:43" x14ac:dyDescent="0.2">
      <c r="A1280" t="s">
        <v>381</v>
      </c>
      <c r="B1280" s="3">
        <v>44312</v>
      </c>
      <c r="C1280">
        <v>72</v>
      </c>
      <c r="D1280" t="s">
        <v>402</v>
      </c>
      <c r="E1280" t="s">
        <v>57</v>
      </c>
      <c r="F1280" s="9" t="s">
        <v>58</v>
      </c>
      <c r="G1280" t="s">
        <v>26</v>
      </c>
      <c r="H1280" t="s">
        <v>59</v>
      </c>
      <c r="I1280" t="s">
        <v>60</v>
      </c>
      <c r="J1280" t="s">
        <v>43</v>
      </c>
      <c r="K1280" t="s">
        <v>44</v>
      </c>
      <c r="L1280" t="s">
        <v>29</v>
      </c>
      <c r="M1280" t="s">
        <v>30</v>
      </c>
      <c r="N1280" t="s">
        <v>59</v>
      </c>
      <c r="O1280" t="s">
        <v>60</v>
      </c>
      <c r="P1280" t="s">
        <v>43</v>
      </c>
      <c r="Q1280" t="s">
        <v>44</v>
      </c>
      <c r="R1280" s="1">
        <v>44312.407638888886</v>
      </c>
      <c r="S1280" s="1">
        <v>44312.407951388886</v>
      </c>
      <c r="T1280">
        <v>0</v>
      </c>
      <c r="U1280">
        <v>5</v>
      </c>
      <c r="V1280" s="2">
        <v>0</v>
      </c>
      <c r="W1280">
        <v>0</v>
      </c>
      <c r="X1280" t="s">
        <v>44</v>
      </c>
      <c r="Y1280">
        <v>0</v>
      </c>
      <c r="Z1280" t="s">
        <v>44</v>
      </c>
      <c r="AA1280">
        <v>0</v>
      </c>
      <c r="AB1280" t="s">
        <v>45</v>
      </c>
      <c r="AC1280">
        <v>0</v>
      </c>
      <c r="AD1280" t="s">
        <v>61</v>
      </c>
      <c r="AE1280">
        <v>0</v>
      </c>
      <c r="AF1280" t="s">
        <v>47</v>
      </c>
      <c r="AG1280">
        <v>0</v>
      </c>
      <c r="AH1280" t="s">
        <v>31</v>
      </c>
      <c r="AI1280">
        <v>0</v>
      </c>
      <c r="AJ1280" t="s">
        <v>31</v>
      </c>
      <c r="AK1280">
        <v>0</v>
      </c>
      <c r="AL1280" t="s">
        <v>31</v>
      </c>
      <c r="AM1280">
        <v>0</v>
      </c>
      <c r="AN1280" t="s">
        <v>31</v>
      </c>
      <c r="AO1280">
        <v>0</v>
      </c>
      <c r="AP1280" t="s">
        <v>31</v>
      </c>
      <c r="AQ1280">
        <v>0</v>
      </c>
    </row>
    <row r="1281" spans="1:43" x14ac:dyDescent="0.2">
      <c r="A1281" t="s">
        <v>381</v>
      </c>
      <c r="B1281" s="3">
        <v>44312</v>
      </c>
      <c r="C1281">
        <v>73</v>
      </c>
      <c r="D1281" t="s">
        <v>387</v>
      </c>
      <c r="E1281" t="s">
        <v>57</v>
      </c>
      <c r="F1281" s="9" t="s">
        <v>58</v>
      </c>
      <c r="G1281" t="s">
        <v>26</v>
      </c>
      <c r="H1281" t="s">
        <v>59</v>
      </c>
      <c r="I1281" t="s">
        <v>60</v>
      </c>
      <c r="J1281" t="s">
        <v>43</v>
      </c>
      <c r="K1281" t="s">
        <v>44</v>
      </c>
      <c r="L1281" t="s">
        <v>29</v>
      </c>
      <c r="M1281" t="s">
        <v>30</v>
      </c>
      <c r="N1281" t="s">
        <v>59</v>
      </c>
      <c r="O1281" t="s">
        <v>60</v>
      </c>
      <c r="P1281" t="s">
        <v>43</v>
      </c>
      <c r="Q1281" t="s">
        <v>44</v>
      </c>
      <c r="R1281" s="1">
        <v>44312.641481481478</v>
      </c>
      <c r="S1281" s="1">
        <v>44312.643043981479</v>
      </c>
      <c r="T1281">
        <v>0</v>
      </c>
      <c r="U1281">
        <v>5</v>
      </c>
      <c r="V1281" s="2">
        <v>0</v>
      </c>
      <c r="W1281">
        <v>0</v>
      </c>
      <c r="X1281" t="s">
        <v>44</v>
      </c>
      <c r="Y1281">
        <v>0</v>
      </c>
      <c r="Z1281" t="s">
        <v>44</v>
      </c>
      <c r="AA1281">
        <v>0</v>
      </c>
      <c r="AB1281" t="s">
        <v>45</v>
      </c>
      <c r="AC1281">
        <v>0</v>
      </c>
      <c r="AD1281" t="s">
        <v>61</v>
      </c>
      <c r="AE1281">
        <v>0</v>
      </c>
      <c r="AF1281" t="s">
        <v>47</v>
      </c>
      <c r="AG1281">
        <v>0</v>
      </c>
      <c r="AH1281" t="s">
        <v>31</v>
      </c>
      <c r="AI1281">
        <v>0</v>
      </c>
      <c r="AJ1281" t="s">
        <v>31</v>
      </c>
      <c r="AK1281">
        <v>0</v>
      </c>
      <c r="AL1281" t="s">
        <v>31</v>
      </c>
      <c r="AM1281">
        <v>0</v>
      </c>
      <c r="AN1281" t="s">
        <v>31</v>
      </c>
      <c r="AO1281">
        <v>0</v>
      </c>
      <c r="AP1281" t="s">
        <v>31</v>
      </c>
      <c r="AQ1281">
        <v>0</v>
      </c>
    </row>
    <row r="1282" spans="1:43" x14ac:dyDescent="0.2">
      <c r="A1282" t="s">
        <v>381</v>
      </c>
      <c r="B1282" s="3">
        <v>44313</v>
      </c>
      <c r="C1282">
        <v>74</v>
      </c>
      <c r="D1282" t="s">
        <v>383</v>
      </c>
      <c r="E1282" t="s">
        <v>57</v>
      </c>
      <c r="F1282" s="9" t="s">
        <v>58</v>
      </c>
      <c r="G1282" t="s">
        <v>26</v>
      </c>
      <c r="H1282" t="s">
        <v>59</v>
      </c>
      <c r="I1282" t="s">
        <v>60</v>
      </c>
      <c r="J1282" t="s">
        <v>43</v>
      </c>
      <c r="K1282" t="s">
        <v>44</v>
      </c>
      <c r="L1282" t="s">
        <v>29</v>
      </c>
      <c r="M1282" t="s">
        <v>30</v>
      </c>
      <c r="N1282" t="s">
        <v>59</v>
      </c>
      <c r="O1282" t="s">
        <v>60</v>
      </c>
      <c r="P1282" t="s">
        <v>43</v>
      </c>
      <c r="Q1282" t="s">
        <v>44</v>
      </c>
      <c r="R1282" s="1">
        <v>44313.413842592592</v>
      </c>
      <c r="S1282" s="1">
        <v>44313.430277777778</v>
      </c>
      <c r="T1282">
        <v>0</v>
      </c>
      <c r="U1282">
        <v>5</v>
      </c>
      <c r="V1282" s="2">
        <v>0</v>
      </c>
      <c r="W1282">
        <v>0</v>
      </c>
      <c r="X1282" t="s">
        <v>44</v>
      </c>
      <c r="Y1282">
        <v>0</v>
      </c>
      <c r="Z1282" t="s">
        <v>44</v>
      </c>
      <c r="AA1282">
        <v>0</v>
      </c>
      <c r="AB1282" t="s">
        <v>45</v>
      </c>
      <c r="AC1282">
        <v>0</v>
      </c>
      <c r="AD1282" t="s">
        <v>61</v>
      </c>
      <c r="AE1282">
        <v>0</v>
      </c>
      <c r="AF1282" t="s">
        <v>47</v>
      </c>
      <c r="AG1282">
        <v>0</v>
      </c>
      <c r="AH1282" t="s">
        <v>31</v>
      </c>
      <c r="AI1282">
        <v>0</v>
      </c>
      <c r="AJ1282" t="s">
        <v>31</v>
      </c>
      <c r="AK1282">
        <v>0</v>
      </c>
      <c r="AL1282" t="s">
        <v>31</v>
      </c>
      <c r="AM1282">
        <v>0</v>
      </c>
      <c r="AN1282" t="s">
        <v>31</v>
      </c>
      <c r="AO1282">
        <v>0</v>
      </c>
      <c r="AP1282" t="s">
        <v>31</v>
      </c>
      <c r="AQ1282">
        <v>0</v>
      </c>
    </row>
    <row r="1283" spans="1:43" x14ac:dyDescent="0.2">
      <c r="A1283" t="s">
        <v>381</v>
      </c>
      <c r="B1283" s="3">
        <v>44314</v>
      </c>
      <c r="C1283">
        <v>78</v>
      </c>
      <c r="D1283" t="s">
        <v>387</v>
      </c>
      <c r="E1283" t="s">
        <v>57</v>
      </c>
      <c r="F1283" s="9" t="s">
        <v>58</v>
      </c>
      <c r="G1283" t="s">
        <v>26</v>
      </c>
      <c r="H1283" t="s">
        <v>185</v>
      </c>
      <c r="I1283" t="s">
        <v>186</v>
      </c>
      <c r="J1283" t="s">
        <v>29</v>
      </c>
      <c r="K1283" t="s">
        <v>30</v>
      </c>
      <c r="L1283" t="s">
        <v>29</v>
      </c>
      <c r="M1283" t="s">
        <v>30</v>
      </c>
      <c r="N1283" t="s">
        <v>185</v>
      </c>
      <c r="O1283" t="s">
        <v>186</v>
      </c>
      <c r="P1283" t="s">
        <v>29</v>
      </c>
      <c r="Q1283" t="s">
        <v>30</v>
      </c>
      <c r="R1283" s="1">
        <v>44314.631238425929</v>
      </c>
      <c r="S1283" s="1">
        <v>44314.6328125</v>
      </c>
      <c r="T1283">
        <v>0</v>
      </c>
      <c r="U1283">
        <v>5</v>
      </c>
      <c r="V1283" s="2">
        <v>0</v>
      </c>
      <c r="W1283">
        <v>0</v>
      </c>
      <c r="X1283" t="s">
        <v>44</v>
      </c>
      <c r="Y1283">
        <v>0</v>
      </c>
      <c r="Z1283" t="s">
        <v>44</v>
      </c>
      <c r="AA1283">
        <v>0</v>
      </c>
      <c r="AB1283" t="s">
        <v>45</v>
      </c>
      <c r="AC1283">
        <v>0</v>
      </c>
      <c r="AD1283" t="s">
        <v>61</v>
      </c>
      <c r="AE1283">
        <v>0</v>
      </c>
      <c r="AF1283" t="s">
        <v>47</v>
      </c>
      <c r="AG1283">
        <v>0</v>
      </c>
      <c r="AH1283" t="s">
        <v>31</v>
      </c>
      <c r="AI1283">
        <v>0</v>
      </c>
      <c r="AJ1283" t="s">
        <v>31</v>
      </c>
      <c r="AK1283">
        <v>0</v>
      </c>
      <c r="AL1283" t="s">
        <v>31</v>
      </c>
      <c r="AM1283">
        <v>0</v>
      </c>
      <c r="AN1283" t="s">
        <v>31</v>
      </c>
      <c r="AO1283">
        <v>0</v>
      </c>
      <c r="AP1283" t="s">
        <v>31</v>
      </c>
      <c r="AQ1283">
        <v>0</v>
      </c>
    </row>
    <row r="1284" spans="1:43" x14ac:dyDescent="0.2">
      <c r="A1284" t="s">
        <v>381</v>
      </c>
      <c r="B1284" s="3">
        <v>44316</v>
      </c>
      <c r="C1284">
        <v>83</v>
      </c>
      <c r="D1284" t="s">
        <v>387</v>
      </c>
      <c r="E1284" t="s">
        <v>57</v>
      </c>
      <c r="F1284" s="9" t="s">
        <v>58</v>
      </c>
      <c r="G1284" t="s">
        <v>26</v>
      </c>
      <c r="H1284" t="s">
        <v>185</v>
      </c>
      <c r="I1284" t="s">
        <v>186</v>
      </c>
      <c r="J1284" t="s">
        <v>29</v>
      </c>
      <c r="K1284" t="s">
        <v>30</v>
      </c>
      <c r="L1284" t="s">
        <v>29</v>
      </c>
      <c r="M1284" t="s">
        <v>30</v>
      </c>
      <c r="N1284" t="s">
        <v>185</v>
      </c>
      <c r="O1284" t="s">
        <v>186</v>
      </c>
      <c r="P1284" t="s">
        <v>29</v>
      </c>
      <c r="Q1284" t="s">
        <v>30</v>
      </c>
      <c r="R1284" s="1">
        <v>44316.590138888889</v>
      </c>
      <c r="S1284" s="1">
        <v>44316.592233796298</v>
      </c>
      <c r="T1284">
        <v>0</v>
      </c>
      <c r="U1284">
        <v>5</v>
      </c>
      <c r="V1284" s="2">
        <v>0</v>
      </c>
      <c r="W1284">
        <v>0</v>
      </c>
      <c r="X1284" t="s">
        <v>44</v>
      </c>
      <c r="Y1284">
        <v>0</v>
      </c>
      <c r="Z1284" t="s">
        <v>44</v>
      </c>
      <c r="AA1284">
        <v>0</v>
      </c>
      <c r="AB1284" t="s">
        <v>45</v>
      </c>
      <c r="AC1284">
        <v>0</v>
      </c>
      <c r="AD1284" t="s">
        <v>61</v>
      </c>
      <c r="AE1284">
        <v>0</v>
      </c>
      <c r="AF1284" t="s">
        <v>47</v>
      </c>
      <c r="AG1284">
        <v>0</v>
      </c>
      <c r="AH1284" t="s">
        <v>31</v>
      </c>
      <c r="AI1284">
        <v>0</v>
      </c>
      <c r="AJ1284" t="s">
        <v>31</v>
      </c>
      <c r="AK1284">
        <v>0</v>
      </c>
      <c r="AL1284" t="s">
        <v>31</v>
      </c>
      <c r="AM1284">
        <v>0</v>
      </c>
      <c r="AN1284" t="s">
        <v>31</v>
      </c>
      <c r="AO1284">
        <v>0</v>
      </c>
      <c r="AP1284" t="s">
        <v>31</v>
      </c>
      <c r="AQ1284">
        <v>0</v>
      </c>
    </row>
    <row r="1285" spans="1:43" x14ac:dyDescent="0.2">
      <c r="A1285" t="s">
        <v>381</v>
      </c>
      <c r="B1285" s="3">
        <v>44319</v>
      </c>
      <c r="C1285">
        <v>84</v>
      </c>
      <c r="D1285" t="s">
        <v>390</v>
      </c>
      <c r="E1285" t="s">
        <v>57</v>
      </c>
      <c r="F1285" s="9" t="s">
        <v>58</v>
      </c>
      <c r="G1285" t="s">
        <v>26</v>
      </c>
      <c r="H1285" t="s">
        <v>185</v>
      </c>
      <c r="I1285" t="s">
        <v>186</v>
      </c>
      <c r="J1285" t="s">
        <v>29</v>
      </c>
      <c r="K1285" t="s">
        <v>30</v>
      </c>
      <c r="L1285" t="s">
        <v>29</v>
      </c>
      <c r="M1285" t="s">
        <v>30</v>
      </c>
      <c r="N1285" t="s">
        <v>185</v>
      </c>
      <c r="O1285" t="s">
        <v>186</v>
      </c>
      <c r="P1285" t="s">
        <v>29</v>
      </c>
      <c r="Q1285" t="s">
        <v>30</v>
      </c>
      <c r="R1285" s="1">
        <v>44319.426863425928</v>
      </c>
      <c r="S1285" s="1">
        <v>44319.426863425928</v>
      </c>
      <c r="T1285">
        <v>1</v>
      </c>
      <c r="U1285">
        <v>1</v>
      </c>
      <c r="V1285" s="2">
        <v>1</v>
      </c>
      <c r="W1285">
        <v>0</v>
      </c>
      <c r="X1285" t="s">
        <v>30</v>
      </c>
      <c r="Y1285">
        <v>0</v>
      </c>
      <c r="Z1285" t="s">
        <v>31</v>
      </c>
      <c r="AA1285">
        <v>0</v>
      </c>
      <c r="AB1285" t="s">
        <v>31</v>
      </c>
      <c r="AC1285">
        <v>0</v>
      </c>
      <c r="AD1285" t="s">
        <v>31</v>
      </c>
      <c r="AE1285">
        <v>0</v>
      </c>
      <c r="AF1285" t="s">
        <v>31</v>
      </c>
      <c r="AG1285">
        <v>0</v>
      </c>
      <c r="AH1285" t="s">
        <v>31</v>
      </c>
      <c r="AI1285">
        <v>0</v>
      </c>
      <c r="AJ1285" t="s">
        <v>31</v>
      </c>
      <c r="AK1285">
        <v>0</v>
      </c>
      <c r="AL1285" t="s">
        <v>31</v>
      </c>
      <c r="AM1285">
        <v>0</v>
      </c>
      <c r="AN1285" t="s">
        <v>31</v>
      </c>
      <c r="AO1285">
        <v>0</v>
      </c>
      <c r="AP1285" t="s">
        <v>31</v>
      </c>
      <c r="AQ1285">
        <v>0</v>
      </c>
    </row>
    <row r="1286" spans="1:43" x14ac:dyDescent="0.2">
      <c r="A1286" t="s">
        <v>381</v>
      </c>
      <c r="B1286" s="3">
        <v>44321</v>
      </c>
      <c r="C1286">
        <v>89</v>
      </c>
      <c r="D1286" t="s">
        <v>387</v>
      </c>
      <c r="E1286" t="s">
        <v>57</v>
      </c>
      <c r="F1286" s="9" t="s">
        <v>58</v>
      </c>
      <c r="G1286" t="s">
        <v>26</v>
      </c>
      <c r="H1286" t="s">
        <v>185</v>
      </c>
      <c r="I1286" t="s">
        <v>186</v>
      </c>
      <c r="J1286" t="s">
        <v>29</v>
      </c>
      <c r="K1286" t="s">
        <v>30</v>
      </c>
      <c r="L1286" t="s">
        <v>29</v>
      </c>
      <c r="M1286" t="s">
        <v>30</v>
      </c>
      <c r="N1286" t="s">
        <v>185</v>
      </c>
      <c r="O1286" t="s">
        <v>186</v>
      </c>
      <c r="P1286" t="s">
        <v>29</v>
      </c>
      <c r="Q1286" t="s">
        <v>30</v>
      </c>
      <c r="R1286" s="1">
        <v>44321.601041666669</v>
      </c>
      <c r="S1286" s="1">
        <v>44321.601145833331</v>
      </c>
      <c r="T1286">
        <v>0</v>
      </c>
      <c r="U1286">
        <v>5</v>
      </c>
      <c r="V1286" s="2">
        <v>0</v>
      </c>
      <c r="W1286">
        <v>0</v>
      </c>
      <c r="X1286" t="s">
        <v>44</v>
      </c>
      <c r="Y1286">
        <v>0</v>
      </c>
      <c r="Z1286" t="s">
        <v>44</v>
      </c>
      <c r="AA1286">
        <v>0</v>
      </c>
      <c r="AB1286" t="s">
        <v>45</v>
      </c>
      <c r="AC1286">
        <v>0</v>
      </c>
      <c r="AD1286" t="s">
        <v>61</v>
      </c>
      <c r="AE1286">
        <v>0</v>
      </c>
      <c r="AF1286" t="s">
        <v>47</v>
      </c>
      <c r="AG1286">
        <v>0</v>
      </c>
      <c r="AH1286" t="s">
        <v>31</v>
      </c>
      <c r="AI1286">
        <v>0</v>
      </c>
      <c r="AJ1286" t="s">
        <v>31</v>
      </c>
      <c r="AK1286">
        <v>0</v>
      </c>
      <c r="AL1286" t="s">
        <v>31</v>
      </c>
      <c r="AM1286">
        <v>0</v>
      </c>
      <c r="AN1286" t="s">
        <v>31</v>
      </c>
      <c r="AO1286">
        <v>0</v>
      </c>
      <c r="AP1286" t="s">
        <v>31</v>
      </c>
      <c r="AQ1286">
        <v>0</v>
      </c>
    </row>
    <row r="1287" spans="1:43" x14ac:dyDescent="0.2">
      <c r="A1287" t="s">
        <v>381</v>
      </c>
      <c r="B1287" s="3">
        <v>44328</v>
      </c>
      <c r="C1287">
        <v>97</v>
      </c>
      <c r="D1287" t="s">
        <v>387</v>
      </c>
      <c r="E1287" t="s">
        <v>57</v>
      </c>
      <c r="F1287" s="9" t="s">
        <v>58</v>
      </c>
      <c r="G1287" t="s">
        <v>26</v>
      </c>
      <c r="H1287" t="s">
        <v>185</v>
      </c>
      <c r="I1287" t="s">
        <v>186</v>
      </c>
      <c r="J1287" t="s">
        <v>29</v>
      </c>
      <c r="K1287" t="s">
        <v>30</v>
      </c>
      <c r="L1287" t="s">
        <v>29</v>
      </c>
      <c r="M1287" t="s">
        <v>30</v>
      </c>
      <c r="N1287" t="s">
        <v>185</v>
      </c>
      <c r="O1287" t="s">
        <v>186</v>
      </c>
      <c r="P1287" t="s">
        <v>29</v>
      </c>
      <c r="Q1287" t="s">
        <v>30</v>
      </c>
      <c r="R1287" s="1">
        <v>44328.620312500003</v>
      </c>
      <c r="S1287" s="1">
        <v>44328.620474537034</v>
      </c>
      <c r="T1287">
        <v>0</v>
      </c>
      <c r="U1287">
        <v>5</v>
      </c>
      <c r="V1287" s="2">
        <v>0</v>
      </c>
      <c r="W1287">
        <v>0</v>
      </c>
      <c r="X1287" t="s">
        <v>44</v>
      </c>
      <c r="Y1287">
        <v>0</v>
      </c>
      <c r="Z1287" t="s">
        <v>44</v>
      </c>
      <c r="AA1287">
        <v>0</v>
      </c>
      <c r="AB1287" t="s">
        <v>45</v>
      </c>
      <c r="AC1287">
        <v>0</v>
      </c>
      <c r="AD1287" t="s">
        <v>61</v>
      </c>
      <c r="AE1287">
        <v>0</v>
      </c>
      <c r="AF1287" t="s">
        <v>47</v>
      </c>
      <c r="AG1287">
        <v>0</v>
      </c>
      <c r="AH1287" t="s">
        <v>31</v>
      </c>
      <c r="AI1287">
        <v>0</v>
      </c>
      <c r="AJ1287" t="s">
        <v>31</v>
      </c>
      <c r="AK1287">
        <v>0</v>
      </c>
      <c r="AL1287" t="s">
        <v>31</v>
      </c>
      <c r="AM1287">
        <v>0</v>
      </c>
      <c r="AN1287" t="s">
        <v>31</v>
      </c>
      <c r="AO1287">
        <v>0</v>
      </c>
      <c r="AP1287" t="s">
        <v>31</v>
      </c>
      <c r="AQ1287">
        <v>0</v>
      </c>
    </row>
    <row r="1288" spans="1:43" x14ac:dyDescent="0.2">
      <c r="A1288" t="s">
        <v>381</v>
      </c>
      <c r="B1288" s="3">
        <v>44335</v>
      </c>
      <c r="C1288">
        <v>101</v>
      </c>
      <c r="D1288" t="s">
        <v>383</v>
      </c>
      <c r="E1288" t="s">
        <v>57</v>
      </c>
      <c r="F1288" s="9" t="s">
        <v>58</v>
      </c>
      <c r="G1288" t="s">
        <v>26</v>
      </c>
      <c r="H1288" t="s">
        <v>185</v>
      </c>
      <c r="I1288" t="s">
        <v>186</v>
      </c>
      <c r="J1288" t="s">
        <v>29</v>
      </c>
      <c r="K1288" t="s">
        <v>30</v>
      </c>
      <c r="L1288" t="s">
        <v>29</v>
      </c>
      <c r="M1288" t="s">
        <v>30</v>
      </c>
      <c r="N1288" t="s">
        <v>185</v>
      </c>
      <c r="O1288" t="s">
        <v>186</v>
      </c>
      <c r="P1288" t="s">
        <v>29</v>
      </c>
      <c r="Q1288" t="s">
        <v>30</v>
      </c>
      <c r="R1288" s="1">
        <v>44335.566712962966</v>
      </c>
      <c r="S1288" s="1">
        <v>44335.567094907405</v>
      </c>
      <c r="T1288">
        <v>1</v>
      </c>
      <c r="U1288">
        <v>4</v>
      </c>
      <c r="V1288" s="2">
        <v>0.25</v>
      </c>
      <c r="W1288">
        <v>0</v>
      </c>
      <c r="X1288" t="s">
        <v>44</v>
      </c>
      <c r="Y1288">
        <v>0</v>
      </c>
      <c r="Z1288" t="s">
        <v>44</v>
      </c>
      <c r="AA1288">
        <v>0</v>
      </c>
      <c r="AB1288" t="s">
        <v>45</v>
      </c>
      <c r="AC1288">
        <v>0</v>
      </c>
      <c r="AD1288" t="s">
        <v>30</v>
      </c>
      <c r="AE1288">
        <v>0</v>
      </c>
      <c r="AF1288" t="s">
        <v>31</v>
      </c>
      <c r="AG1288">
        <v>0</v>
      </c>
      <c r="AH1288" t="s">
        <v>31</v>
      </c>
      <c r="AI1288">
        <v>0</v>
      </c>
      <c r="AJ1288" t="s">
        <v>31</v>
      </c>
      <c r="AK1288">
        <v>0</v>
      </c>
      <c r="AL1288" t="s">
        <v>31</v>
      </c>
      <c r="AM1288">
        <v>0</v>
      </c>
      <c r="AN1288" t="s">
        <v>31</v>
      </c>
      <c r="AO1288">
        <v>0</v>
      </c>
      <c r="AP1288" t="s">
        <v>31</v>
      </c>
      <c r="AQ1288">
        <v>0</v>
      </c>
    </row>
    <row r="1289" spans="1:43" x14ac:dyDescent="0.2">
      <c r="A1289" t="s">
        <v>381</v>
      </c>
      <c r="B1289" s="3">
        <v>44336</v>
      </c>
      <c r="C1289">
        <v>103</v>
      </c>
      <c r="D1289" t="s">
        <v>385</v>
      </c>
      <c r="E1289" t="s">
        <v>57</v>
      </c>
      <c r="F1289" s="9" t="s">
        <v>58</v>
      </c>
      <c r="G1289" t="s">
        <v>26</v>
      </c>
      <c r="H1289" t="s">
        <v>185</v>
      </c>
      <c r="I1289" t="s">
        <v>186</v>
      </c>
      <c r="J1289" t="s">
        <v>29</v>
      </c>
      <c r="K1289" t="s">
        <v>30</v>
      </c>
      <c r="L1289" t="s">
        <v>29</v>
      </c>
      <c r="M1289" t="s">
        <v>30</v>
      </c>
      <c r="N1289" t="s">
        <v>185</v>
      </c>
      <c r="O1289" t="s">
        <v>186</v>
      </c>
      <c r="P1289" t="s">
        <v>29</v>
      </c>
      <c r="Q1289" t="s">
        <v>30</v>
      </c>
      <c r="R1289" s="1">
        <v>44336.625150462962</v>
      </c>
      <c r="S1289" s="1">
        <v>44336.626145833332</v>
      </c>
      <c r="T1289">
        <v>0</v>
      </c>
      <c r="U1289">
        <v>5</v>
      </c>
      <c r="V1289" s="2">
        <v>0</v>
      </c>
      <c r="W1289">
        <v>0</v>
      </c>
      <c r="X1289" t="s">
        <v>44</v>
      </c>
      <c r="Y1289">
        <v>0</v>
      </c>
      <c r="Z1289" t="s">
        <v>44</v>
      </c>
      <c r="AA1289">
        <v>0</v>
      </c>
      <c r="AB1289" t="s">
        <v>45</v>
      </c>
      <c r="AC1289">
        <v>0</v>
      </c>
      <c r="AD1289" t="s">
        <v>61</v>
      </c>
      <c r="AE1289">
        <v>0</v>
      </c>
      <c r="AF1289" t="s">
        <v>47</v>
      </c>
      <c r="AG1289">
        <v>0</v>
      </c>
      <c r="AH1289" t="s">
        <v>31</v>
      </c>
      <c r="AI1289">
        <v>0</v>
      </c>
      <c r="AJ1289" t="s">
        <v>31</v>
      </c>
      <c r="AK1289">
        <v>0</v>
      </c>
      <c r="AL1289" t="s">
        <v>31</v>
      </c>
      <c r="AM1289">
        <v>0</v>
      </c>
      <c r="AN1289" t="s">
        <v>31</v>
      </c>
      <c r="AO1289">
        <v>0</v>
      </c>
      <c r="AP1289" t="s">
        <v>31</v>
      </c>
      <c r="AQ1289">
        <v>0</v>
      </c>
    </row>
    <row r="1290" spans="1:43" x14ac:dyDescent="0.2">
      <c r="A1290" t="s">
        <v>381</v>
      </c>
      <c r="B1290" s="3">
        <v>44338</v>
      </c>
      <c r="C1290">
        <v>107</v>
      </c>
      <c r="D1290" t="s">
        <v>392</v>
      </c>
      <c r="E1290" t="s">
        <v>57</v>
      </c>
      <c r="F1290" s="9" t="s">
        <v>58</v>
      </c>
      <c r="G1290" t="s">
        <v>26</v>
      </c>
      <c r="H1290" t="s">
        <v>185</v>
      </c>
      <c r="I1290" t="s">
        <v>186</v>
      </c>
      <c r="J1290" t="s">
        <v>29</v>
      </c>
      <c r="K1290" t="s">
        <v>30</v>
      </c>
      <c r="L1290" t="s">
        <v>29</v>
      </c>
      <c r="M1290" t="s">
        <v>30</v>
      </c>
      <c r="N1290" t="s">
        <v>185</v>
      </c>
      <c r="O1290" t="s">
        <v>186</v>
      </c>
      <c r="P1290" t="s">
        <v>29</v>
      </c>
      <c r="Q1290" t="s">
        <v>30</v>
      </c>
      <c r="R1290" s="1">
        <v>44338.552986111114</v>
      </c>
      <c r="S1290" s="1">
        <v>44338.553194444445</v>
      </c>
      <c r="T1290">
        <v>1</v>
      </c>
      <c r="U1290">
        <v>5</v>
      </c>
      <c r="V1290" s="2">
        <v>0.2</v>
      </c>
      <c r="W1290">
        <v>0</v>
      </c>
      <c r="X1290" t="s">
        <v>44</v>
      </c>
      <c r="Y1290">
        <v>0</v>
      </c>
      <c r="Z1290" t="s">
        <v>44</v>
      </c>
      <c r="AA1290">
        <v>0</v>
      </c>
      <c r="AB1290" t="s">
        <v>45</v>
      </c>
      <c r="AC1290">
        <v>0</v>
      </c>
      <c r="AD1290" t="s">
        <v>61</v>
      </c>
      <c r="AE1290">
        <v>0</v>
      </c>
      <c r="AF1290" t="s">
        <v>30</v>
      </c>
      <c r="AG1290">
        <v>0</v>
      </c>
      <c r="AH1290" t="s">
        <v>31</v>
      </c>
      <c r="AI1290">
        <v>0</v>
      </c>
      <c r="AJ1290" t="s">
        <v>31</v>
      </c>
      <c r="AK1290">
        <v>0</v>
      </c>
      <c r="AL1290" t="s">
        <v>31</v>
      </c>
      <c r="AM1290">
        <v>0</v>
      </c>
      <c r="AN1290" t="s">
        <v>31</v>
      </c>
      <c r="AO1290">
        <v>0</v>
      </c>
      <c r="AP1290" t="s">
        <v>31</v>
      </c>
      <c r="AQ1290">
        <v>0</v>
      </c>
    </row>
    <row r="1291" spans="1:43" x14ac:dyDescent="0.2">
      <c r="A1291" t="s">
        <v>381</v>
      </c>
      <c r="B1291" s="3">
        <v>44340</v>
      </c>
      <c r="C1291">
        <v>109</v>
      </c>
      <c r="D1291" t="s">
        <v>383</v>
      </c>
      <c r="E1291" t="s">
        <v>57</v>
      </c>
      <c r="F1291" s="9" t="s">
        <v>58</v>
      </c>
      <c r="G1291" t="s">
        <v>26</v>
      </c>
      <c r="H1291" t="s">
        <v>185</v>
      </c>
      <c r="I1291" t="s">
        <v>186</v>
      </c>
      <c r="J1291" t="s">
        <v>29</v>
      </c>
      <c r="K1291" t="s">
        <v>30</v>
      </c>
      <c r="L1291" t="s">
        <v>29</v>
      </c>
      <c r="M1291" t="s">
        <v>30</v>
      </c>
      <c r="N1291" t="s">
        <v>185</v>
      </c>
      <c r="O1291" t="s">
        <v>186</v>
      </c>
      <c r="P1291" t="s">
        <v>29</v>
      </c>
      <c r="Q1291" t="s">
        <v>30</v>
      </c>
      <c r="R1291" s="1">
        <v>44340.628472222219</v>
      </c>
      <c r="S1291" s="1">
        <v>44340.628611111111</v>
      </c>
      <c r="T1291">
        <v>0</v>
      </c>
      <c r="U1291">
        <v>5</v>
      </c>
      <c r="V1291" s="2">
        <v>0</v>
      </c>
      <c r="W1291">
        <v>0</v>
      </c>
      <c r="X1291" t="s">
        <v>44</v>
      </c>
      <c r="Y1291">
        <v>0</v>
      </c>
      <c r="Z1291" t="s">
        <v>44</v>
      </c>
      <c r="AA1291">
        <v>0</v>
      </c>
      <c r="AB1291" t="s">
        <v>45</v>
      </c>
      <c r="AC1291">
        <v>0</v>
      </c>
      <c r="AD1291" t="s">
        <v>61</v>
      </c>
      <c r="AE1291">
        <v>0</v>
      </c>
      <c r="AF1291" t="s">
        <v>47</v>
      </c>
      <c r="AG1291">
        <v>0</v>
      </c>
      <c r="AH1291" t="s">
        <v>31</v>
      </c>
      <c r="AI1291">
        <v>0</v>
      </c>
      <c r="AJ1291" t="s">
        <v>31</v>
      </c>
      <c r="AK1291">
        <v>0</v>
      </c>
      <c r="AL1291" t="s">
        <v>31</v>
      </c>
      <c r="AM1291">
        <v>0</v>
      </c>
      <c r="AN1291" t="s">
        <v>31</v>
      </c>
      <c r="AO1291">
        <v>0</v>
      </c>
      <c r="AP1291" t="s">
        <v>31</v>
      </c>
      <c r="AQ1291">
        <v>0</v>
      </c>
    </row>
    <row r="1292" spans="1:43" x14ac:dyDescent="0.2">
      <c r="A1292" t="s">
        <v>381</v>
      </c>
      <c r="B1292" s="3">
        <v>44341</v>
      </c>
      <c r="C1292">
        <v>111</v>
      </c>
      <c r="D1292" t="s">
        <v>385</v>
      </c>
      <c r="E1292" t="s">
        <v>57</v>
      </c>
      <c r="F1292" s="9" t="s">
        <v>58</v>
      </c>
      <c r="G1292" t="s">
        <v>26</v>
      </c>
      <c r="H1292" t="s">
        <v>185</v>
      </c>
      <c r="I1292" t="s">
        <v>186</v>
      </c>
      <c r="J1292" t="s">
        <v>29</v>
      </c>
      <c r="K1292" t="s">
        <v>30</v>
      </c>
      <c r="L1292" t="s">
        <v>29</v>
      </c>
      <c r="M1292" t="s">
        <v>30</v>
      </c>
      <c r="N1292" t="s">
        <v>185</v>
      </c>
      <c r="O1292" t="s">
        <v>186</v>
      </c>
      <c r="P1292" t="s">
        <v>29</v>
      </c>
      <c r="Q1292" t="s">
        <v>30</v>
      </c>
      <c r="R1292" s="1">
        <v>44341.638773148145</v>
      </c>
      <c r="S1292" s="1">
        <v>44341.640405092592</v>
      </c>
      <c r="T1292">
        <v>0</v>
      </c>
      <c r="U1292">
        <v>5</v>
      </c>
      <c r="V1292" s="2">
        <v>0</v>
      </c>
      <c r="W1292">
        <v>0</v>
      </c>
      <c r="X1292" t="s">
        <v>44</v>
      </c>
      <c r="Y1292">
        <v>0</v>
      </c>
      <c r="Z1292" t="s">
        <v>44</v>
      </c>
      <c r="AA1292">
        <v>0</v>
      </c>
      <c r="AB1292" t="s">
        <v>45</v>
      </c>
      <c r="AC1292">
        <v>0</v>
      </c>
      <c r="AD1292" t="s">
        <v>61</v>
      </c>
      <c r="AE1292">
        <v>0</v>
      </c>
      <c r="AF1292" t="s">
        <v>47</v>
      </c>
      <c r="AG1292">
        <v>0</v>
      </c>
      <c r="AH1292" t="s">
        <v>31</v>
      </c>
      <c r="AI1292">
        <v>0</v>
      </c>
      <c r="AJ1292" t="s">
        <v>31</v>
      </c>
      <c r="AK1292">
        <v>0</v>
      </c>
      <c r="AL1292" t="s">
        <v>31</v>
      </c>
      <c r="AM1292">
        <v>0</v>
      </c>
      <c r="AN1292" t="s">
        <v>31</v>
      </c>
      <c r="AO1292">
        <v>0</v>
      </c>
      <c r="AP1292" t="s">
        <v>31</v>
      </c>
      <c r="AQ1292">
        <v>0</v>
      </c>
    </row>
    <row r="1293" spans="1:43" x14ac:dyDescent="0.2">
      <c r="A1293" t="s">
        <v>381</v>
      </c>
      <c r="B1293" s="3">
        <v>44342</v>
      </c>
      <c r="C1293">
        <v>112</v>
      </c>
      <c r="D1293" t="s">
        <v>394</v>
      </c>
      <c r="E1293" t="s">
        <v>57</v>
      </c>
      <c r="F1293" s="9" t="s">
        <v>58</v>
      </c>
      <c r="G1293" t="s">
        <v>26</v>
      </c>
      <c r="H1293" t="s">
        <v>185</v>
      </c>
      <c r="I1293" t="s">
        <v>186</v>
      </c>
      <c r="J1293" t="s">
        <v>29</v>
      </c>
      <c r="K1293" t="s">
        <v>30</v>
      </c>
      <c r="L1293" t="s">
        <v>29</v>
      </c>
      <c r="M1293" t="s">
        <v>30</v>
      </c>
      <c r="N1293" t="s">
        <v>185</v>
      </c>
      <c r="O1293" t="s">
        <v>186</v>
      </c>
      <c r="P1293" t="s">
        <v>29</v>
      </c>
      <c r="Q1293" t="s">
        <v>30</v>
      </c>
      <c r="R1293" s="1">
        <v>44342.454432870371</v>
      </c>
      <c r="S1293" s="1">
        <v>44342.454456018517</v>
      </c>
      <c r="T1293">
        <v>0</v>
      </c>
      <c r="U1293">
        <v>5</v>
      </c>
      <c r="V1293" s="2">
        <v>0</v>
      </c>
      <c r="W1293">
        <v>0</v>
      </c>
      <c r="X1293" t="s">
        <v>44</v>
      </c>
      <c r="Y1293">
        <v>0</v>
      </c>
      <c r="Z1293" t="s">
        <v>44</v>
      </c>
      <c r="AA1293">
        <v>0</v>
      </c>
      <c r="AB1293" t="s">
        <v>45</v>
      </c>
      <c r="AC1293">
        <v>0</v>
      </c>
      <c r="AD1293" t="s">
        <v>61</v>
      </c>
      <c r="AE1293">
        <v>0</v>
      </c>
      <c r="AF1293" t="s">
        <v>47</v>
      </c>
      <c r="AG1293">
        <v>0</v>
      </c>
      <c r="AH1293" t="s">
        <v>31</v>
      </c>
      <c r="AI1293">
        <v>0</v>
      </c>
      <c r="AJ1293" t="s">
        <v>31</v>
      </c>
      <c r="AK1293">
        <v>0</v>
      </c>
      <c r="AL1293" t="s">
        <v>31</v>
      </c>
      <c r="AM1293">
        <v>0</v>
      </c>
      <c r="AN1293" t="s">
        <v>31</v>
      </c>
      <c r="AO1293">
        <v>0</v>
      </c>
      <c r="AP1293" t="s">
        <v>31</v>
      </c>
      <c r="AQ1293">
        <v>0</v>
      </c>
    </row>
    <row r="1294" spans="1:43" x14ac:dyDescent="0.2">
      <c r="A1294" t="s">
        <v>381</v>
      </c>
      <c r="B1294" s="3">
        <v>44342</v>
      </c>
      <c r="C1294">
        <v>113</v>
      </c>
      <c r="D1294" t="s">
        <v>383</v>
      </c>
      <c r="E1294" t="s">
        <v>57</v>
      </c>
      <c r="F1294" s="9" t="s">
        <v>58</v>
      </c>
      <c r="G1294" t="s">
        <v>26</v>
      </c>
      <c r="H1294" t="s">
        <v>185</v>
      </c>
      <c r="I1294" t="s">
        <v>186</v>
      </c>
      <c r="J1294" t="s">
        <v>29</v>
      </c>
      <c r="K1294" t="s">
        <v>30</v>
      </c>
      <c r="L1294" t="s">
        <v>29</v>
      </c>
      <c r="M1294" t="s">
        <v>30</v>
      </c>
      <c r="N1294" t="s">
        <v>185</v>
      </c>
      <c r="O1294" t="s">
        <v>186</v>
      </c>
      <c r="P1294" t="s">
        <v>29</v>
      </c>
      <c r="Q1294" t="s">
        <v>30</v>
      </c>
      <c r="R1294" s="1">
        <v>44342.544861111113</v>
      </c>
      <c r="S1294" s="1">
        <v>44342.544861111113</v>
      </c>
      <c r="T1294">
        <v>1</v>
      </c>
      <c r="U1294">
        <v>1</v>
      </c>
      <c r="V1294" s="2">
        <v>1</v>
      </c>
      <c r="W1294">
        <v>0</v>
      </c>
      <c r="X1294" t="s">
        <v>30</v>
      </c>
      <c r="Y1294">
        <v>0</v>
      </c>
      <c r="Z1294" t="s">
        <v>31</v>
      </c>
      <c r="AA1294">
        <v>0</v>
      </c>
      <c r="AB1294" t="s">
        <v>31</v>
      </c>
      <c r="AC1294">
        <v>0</v>
      </c>
      <c r="AD1294" t="s">
        <v>31</v>
      </c>
      <c r="AE1294">
        <v>0</v>
      </c>
      <c r="AF1294" t="s">
        <v>31</v>
      </c>
      <c r="AG1294">
        <v>0</v>
      </c>
      <c r="AH1294" t="s">
        <v>31</v>
      </c>
      <c r="AI1294">
        <v>0</v>
      </c>
      <c r="AJ1294" t="s">
        <v>31</v>
      </c>
      <c r="AK1294">
        <v>0</v>
      </c>
      <c r="AL1294" t="s">
        <v>31</v>
      </c>
      <c r="AM1294">
        <v>0</v>
      </c>
      <c r="AN1294" t="s">
        <v>31</v>
      </c>
      <c r="AO1294">
        <v>0</v>
      </c>
      <c r="AP1294" t="s">
        <v>31</v>
      </c>
      <c r="AQ1294">
        <v>0</v>
      </c>
    </row>
    <row r="1295" spans="1:43" x14ac:dyDescent="0.2">
      <c r="A1295" t="s">
        <v>381</v>
      </c>
      <c r="B1295" s="3">
        <v>44344</v>
      </c>
      <c r="C1295">
        <v>116</v>
      </c>
      <c r="D1295" t="s">
        <v>390</v>
      </c>
      <c r="E1295" t="s">
        <v>57</v>
      </c>
      <c r="F1295" s="9" t="s">
        <v>58</v>
      </c>
      <c r="G1295" t="s">
        <v>26</v>
      </c>
      <c r="H1295" t="s">
        <v>185</v>
      </c>
      <c r="I1295" t="s">
        <v>186</v>
      </c>
      <c r="J1295" t="s">
        <v>29</v>
      </c>
      <c r="K1295" t="s">
        <v>30</v>
      </c>
      <c r="L1295" t="s">
        <v>29</v>
      </c>
      <c r="M1295" t="s">
        <v>30</v>
      </c>
      <c r="N1295" t="s">
        <v>64</v>
      </c>
      <c r="O1295" t="s">
        <v>65</v>
      </c>
      <c r="P1295" t="s">
        <v>43</v>
      </c>
      <c r="Q1295" t="s">
        <v>44</v>
      </c>
      <c r="R1295" s="1">
        <v>44344.414976851855</v>
      </c>
      <c r="S1295" s="1">
        <v>44344.414976851855</v>
      </c>
      <c r="T1295">
        <v>1</v>
      </c>
      <c r="U1295">
        <v>1</v>
      </c>
      <c r="V1295" s="2">
        <v>1</v>
      </c>
      <c r="W1295">
        <v>0</v>
      </c>
      <c r="X1295" t="s">
        <v>30</v>
      </c>
      <c r="Y1295">
        <v>0</v>
      </c>
      <c r="Z1295" t="s">
        <v>31</v>
      </c>
      <c r="AA1295">
        <v>0</v>
      </c>
      <c r="AB1295" t="s">
        <v>31</v>
      </c>
      <c r="AC1295">
        <v>0</v>
      </c>
      <c r="AD1295" t="s">
        <v>31</v>
      </c>
      <c r="AE1295">
        <v>0</v>
      </c>
      <c r="AF1295" t="s">
        <v>31</v>
      </c>
      <c r="AG1295">
        <v>0</v>
      </c>
      <c r="AH1295" t="s">
        <v>31</v>
      </c>
      <c r="AI1295">
        <v>0</v>
      </c>
      <c r="AJ1295" t="s">
        <v>31</v>
      </c>
      <c r="AK1295">
        <v>0</v>
      </c>
      <c r="AL1295" t="s">
        <v>31</v>
      </c>
      <c r="AM1295">
        <v>0</v>
      </c>
      <c r="AN1295" t="s">
        <v>31</v>
      </c>
      <c r="AO1295">
        <v>0</v>
      </c>
      <c r="AP1295" t="s">
        <v>31</v>
      </c>
      <c r="AQ1295">
        <v>0</v>
      </c>
    </row>
    <row r="1296" spans="1:43" x14ac:dyDescent="0.2">
      <c r="A1296" t="s">
        <v>381</v>
      </c>
      <c r="B1296" s="3">
        <v>44348</v>
      </c>
      <c r="C1296">
        <v>118</v>
      </c>
      <c r="D1296" t="s">
        <v>396</v>
      </c>
      <c r="E1296" t="s">
        <v>57</v>
      </c>
      <c r="F1296" s="9" t="s">
        <v>58</v>
      </c>
      <c r="G1296" t="s">
        <v>26</v>
      </c>
      <c r="H1296" t="s">
        <v>64</v>
      </c>
      <c r="I1296" t="s">
        <v>65</v>
      </c>
      <c r="J1296" t="s">
        <v>43</v>
      </c>
      <c r="K1296" t="s">
        <v>44</v>
      </c>
      <c r="L1296" t="s">
        <v>29</v>
      </c>
      <c r="M1296" t="s">
        <v>30</v>
      </c>
      <c r="N1296" t="s">
        <v>64</v>
      </c>
      <c r="O1296" t="s">
        <v>65</v>
      </c>
      <c r="P1296" t="s">
        <v>43</v>
      </c>
      <c r="Q1296" t="s">
        <v>44</v>
      </c>
      <c r="R1296" s="1">
        <v>44348.414583333331</v>
      </c>
      <c r="S1296" s="1">
        <v>44348.414583333331</v>
      </c>
      <c r="T1296">
        <v>1</v>
      </c>
      <c r="U1296">
        <v>1</v>
      </c>
      <c r="V1296" s="2">
        <v>1</v>
      </c>
      <c r="W1296">
        <v>0</v>
      </c>
      <c r="X1296" t="s">
        <v>30</v>
      </c>
      <c r="Y1296">
        <v>0</v>
      </c>
      <c r="Z1296" t="s">
        <v>31</v>
      </c>
      <c r="AA1296">
        <v>0</v>
      </c>
      <c r="AB1296" t="s">
        <v>31</v>
      </c>
      <c r="AC1296">
        <v>0</v>
      </c>
      <c r="AD1296" t="s">
        <v>31</v>
      </c>
      <c r="AE1296">
        <v>0</v>
      </c>
      <c r="AF1296" t="s">
        <v>31</v>
      </c>
      <c r="AG1296">
        <v>0</v>
      </c>
      <c r="AH1296" t="s">
        <v>31</v>
      </c>
      <c r="AI1296">
        <v>0</v>
      </c>
      <c r="AJ1296" t="s">
        <v>31</v>
      </c>
      <c r="AK1296">
        <v>0</v>
      </c>
      <c r="AL1296" t="s">
        <v>31</v>
      </c>
      <c r="AM1296">
        <v>0</v>
      </c>
      <c r="AN1296" t="s">
        <v>31</v>
      </c>
      <c r="AO1296">
        <v>0</v>
      </c>
      <c r="AP1296" t="s">
        <v>31</v>
      </c>
      <c r="AQ1296">
        <v>0</v>
      </c>
    </row>
    <row r="1297" spans="1:43" x14ac:dyDescent="0.2">
      <c r="A1297" t="s">
        <v>381</v>
      </c>
      <c r="B1297" s="3">
        <v>44351</v>
      </c>
      <c r="C1297">
        <v>124</v>
      </c>
      <c r="D1297" t="s">
        <v>390</v>
      </c>
      <c r="E1297" t="s">
        <v>57</v>
      </c>
      <c r="F1297" s="9" t="s">
        <v>58</v>
      </c>
      <c r="G1297" t="s">
        <v>26</v>
      </c>
      <c r="H1297" t="s">
        <v>64</v>
      </c>
      <c r="I1297" t="s">
        <v>65</v>
      </c>
      <c r="J1297" t="s">
        <v>43</v>
      </c>
      <c r="K1297" t="s">
        <v>44</v>
      </c>
      <c r="L1297" t="s">
        <v>29</v>
      </c>
      <c r="M1297" t="s">
        <v>30</v>
      </c>
      <c r="N1297" t="s">
        <v>64</v>
      </c>
      <c r="O1297" t="s">
        <v>65</v>
      </c>
      <c r="P1297" t="s">
        <v>43</v>
      </c>
      <c r="Q1297" t="s">
        <v>44</v>
      </c>
      <c r="R1297" s="1">
        <v>44351.401967592596</v>
      </c>
      <c r="S1297" s="1">
        <v>44351.402268518519</v>
      </c>
      <c r="T1297">
        <v>0</v>
      </c>
      <c r="U1297">
        <v>10</v>
      </c>
      <c r="V1297" s="2">
        <v>0</v>
      </c>
      <c r="W1297">
        <v>0</v>
      </c>
      <c r="X1297" t="s">
        <v>44</v>
      </c>
      <c r="Y1297">
        <v>0</v>
      </c>
      <c r="Z1297" t="s">
        <v>44</v>
      </c>
      <c r="AA1297">
        <v>0</v>
      </c>
      <c r="AB1297" t="s">
        <v>45</v>
      </c>
      <c r="AC1297">
        <v>0</v>
      </c>
      <c r="AD1297" t="s">
        <v>61</v>
      </c>
      <c r="AE1297">
        <v>0</v>
      </c>
      <c r="AF1297" t="s">
        <v>47</v>
      </c>
      <c r="AG1297">
        <v>0</v>
      </c>
      <c r="AH1297" t="s">
        <v>44</v>
      </c>
      <c r="AI1297">
        <v>0</v>
      </c>
      <c r="AJ1297" t="s">
        <v>44</v>
      </c>
      <c r="AK1297">
        <v>0</v>
      </c>
      <c r="AL1297" t="s">
        <v>45</v>
      </c>
      <c r="AM1297">
        <v>0</v>
      </c>
      <c r="AN1297" t="s">
        <v>61</v>
      </c>
      <c r="AO1297">
        <v>0</v>
      </c>
      <c r="AP1297" t="s">
        <v>47</v>
      </c>
      <c r="AQ1297">
        <v>0</v>
      </c>
    </row>
    <row r="1298" spans="1:43" x14ac:dyDescent="0.2">
      <c r="A1298" t="s">
        <v>381</v>
      </c>
      <c r="B1298" s="3">
        <v>44351</v>
      </c>
      <c r="C1298">
        <v>125</v>
      </c>
      <c r="D1298" t="s">
        <v>387</v>
      </c>
      <c r="E1298" t="s">
        <v>57</v>
      </c>
      <c r="F1298" s="9" t="s">
        <v>58</v>
      </c>
      <c r="G1298" t="s">
        <v>26</v>
      </c>
      <c r="H1298" t="s">
        <v>64</v>
      </c>
      <c r="I1298" t="s">
        <v>65</v>
      </c>
      <c r="J1298" t="s">
        <v>43</v>
      </c>
      <c r="K1298" t="s">
        <v>44</v>
      </c>
      <c r="L1298" t="s">
        <v>29</v>
      </c>
      <c r="M1298" t="s">
        <v>30</v>
      </c>
      <c r="N1298" t="s">
        <v>64</v>
      </c>
      <c r="O1298" t="s">
        <v>65</v>
      </c>
      <c r="P1298" t="s">
        <v>43</v>
      </c>
      <c r="Q1298" t="s">
        <v>44</v>
      </c>
      <c r="R1298" s="1">
        <v>44351.557847222219</v>
      </c>
      <c r="S1298" s="1">
        <v>44351.601319444446</v>
      </c>
      <c r="T1298">
        <v>0</v>
      </c>
      <c r="U1298">
        <v>5</v>
      </c>
      <c r="V1298" s="2">
        <v>0</v>
      </c>
      <c r="W1298">
        <v>0</v>
      </c>
      <c r="X1298" t="s">
        <v>44</v>
      </c>
      <c r="Y1298">
        <v>0</v>
      </c>
      <c r="Z1298" t="s">
        <v>44</v>
      </c>
      <c r="AA1298">
        <v>0</v>
      </c>
      <c r="AB1298" t="s">
        <v>45</v>
      </c>
      <c r="AC1298">
        <v>0</v>
      </c>
      <c r="AD1298" t="s">
        <v>61</v>
      </c>
      <c r="AE1298">
        <v>0</v>
      </c>
      <c r="AF1298" t="s">
        <v>47</v>
      </c>
      <c r="AG1298">
        <v>0</v>
      </c>
      <c r="AH1298" t="s">
        <v>31</v>
      </c>
      <c r="AI1298">
        <v>0</v>
      </c>
      <c r="AJ1298" t="s">
        <v>31</v>
      </c>
      <c r="AK1298">
        <v>0</v>
      </c>
      <c r="AL1298" t="s">
        <v>31</v>
      </c>
      <c r="AM1298">
        <v>0</v>
      </c>
      <c r="AN1298" t="s">
        <v>31</v>
      </c>
      <c r="AO1298">
        <v>0</v>
      </c>
      <c r="AP1298" t="s">
        <v>31</v>
      </c>
      <c r="AQ1298">
        <v>0</v>
      </c>
    </row>
    <row r="1299" spans="1:43" x14ac:dyDescent="0.2">
      <c r="A1299" t="s">
        <v>381</v>
      </c>
      <c r="B1299" s="3">
        <v>44355</v>
      </c>
      <c r="C1299">
        <v>128</v>
      </c>
      <c r="D1299" t="s">
        <v>406</v>
      </c>
      <c r="E1299" t="s">
        <v>57</v>
      </c>
      <c r="F1299" s="9" t="s">
        <v>58</v>
      </c>
      <c r="G1299" t="s">
        <v>26</v>
      </c>
      <c r="H1299" t="s">
        <v>64</v>
      </c>
      <c r="I1299" t="s">
        <v>65</v>
      </c>
      <c r="J1299" t="s">
        <v>43</v>
      </c>
      <c r="K1299" t="s">
        <v>44</v>
      </c>
      <c r="L1299" t="s">
        <v>29</v>
      </c>
      <c r="M1299" t="s">
        <v>30</v>
      </c>
      <c r="N1299" t="s">
        <v>64</v>
      </c>
      <c r="O1299" t="s">
        <v>65</v>
      </c>
      <c r="P1299" t="s">
        <v>43</v>
      </c>
      <c r="Q1299" t="s">
        <v>44</v>
      </c>
      <c r="R1299" s="1">
        <v>44355.479537037034</v>
      </c>
      <c r="S1299" s="1">
        <v>44355.480763888889</v>
      </c>
      <c r="T1299">
        <v>0</v>
      </c>
      <c r="U1299">
        <v>5</v>
      </c>
      <c r="V1299" s="2">
        <v>0</v>
      </c>
      <c r="W1299">
        <v>0</v>
      </c>
      <c r="X1299" t="s">
        <v>44</v>
      </c>
      <c r="Y1299">
        <v>0</v>
      </c>
      <c r="Z1299" t="s">
        <v>44</v>
      </c>
      <c r="AA1299">
        <v>0</v>
      </c>
      <c r="AB1299" t="s">
        <v>45</v>
      </c>
      <c r="AC1299">
        <v>0</v>
      </c>
      <c r="AD1299" t="s">
        <v>61</v>
      </c>
      <c r="AE1299">
        <v>0</v>
      </c>
      <c r="AF1299" t="s">
        <v>47</v>
      </c>
      <c r="AG1299">
        <v>0</v>
      </c>
      <c r="AH1299" t="s">
        <v>31</v>
      </c>
      <c r="AI1299">
        <v>0</v>
      </c>
      <c r="AJ1299" t="s">
        <v>31</v>
      </c>
      <c r="AK1299">
        <v>0</v>
      </c>
      <c r="AL1299" t="s">
        <v>31</v>
      </c>
      <c r="AM1299">
        <v>0</v>
      </c>
      <c r="AN1299" t="s">
        <v>31</v>
      </c>
      <c r="AO1299">
        <v>0</v>
      </c>
      <c r="AP1299" t="s">
        <v>31</v>
      </c>
      <c r="AQ1299">
        <v>0</v>
      </c>
    </row>
    <row r="1300" spans="1:43" x14ac:dyDescent="0.2">
      <c r="A1300" t="s">
        <v>381</v>
      </c>
      <c r="B1300" s="3">
        <v>44356</v>
      </c>
      <c r="C1300">
        <v>130</v>
      </c>
      <c r="D1300" t="s">
        <v>398</v>
      </c>
      <c r="E1300" t="s">
        <v>57</v>
      </c>
      <c r="F1300" s="9" t="s">
        <v>58</v>
      </c>
      <c r="G1300" t="s">
        <v>26</v>
      </c>
      <c r="H1300" t="s">
        <v>64</v>
      </c>
      <c r="I1300" t="s">
        <v>65</v>
      </c>
      <c r="J1300" t="s">
        <v>43</v>
      </c>
      <c r="K1300" t="s">
        <v>44</v>
      </c>
      <c r="L1300" t="s">
        <v>29</v>
      </c>
      <c r="M1300" t="s">
        <v>30</v>
      </c>
      <c r="N1300" t="s">
        <v>64</v>
      </c>
      <c r="O1300" t="s">
        <v>65</v>
      </c>
      <c r="P1300" t="s">
        <v>43</v>
      </c>
      <c r="Q1300" t="s">
        <v>44</v>
      </c>
      <c r="R1300" s="1">
        <v>44356.452928240738</v>
      </c>
      <c r="S1300" s="1">
        <v>44356.453969907408</v>
      </c>
      <c r="T1300">
        <v>3</v>
      </c>
      <c r="U1300">
        <v>3</v>
      </c>
      <c r="V1300" s="2">
        <v>1</v>
      </c>
      <c r="W1300">
        <v>0</v>
      </c>
      <c r="X1300" t="s">
        <v>30</v>
      </c>
      <c r="Y1300">
        <v>0</v>
      </c>
      <c r="Z1300" t="s">
        <v>30</v>
      </c>
      <c r="AA1300">
        <v>0</v>
      </c>
      <c r="AB1300" t="s">
        <v>30</v>
      </c>
      <c r="AC1300">
        <v>0</v>
      </c>
      <c r="AD1300" t="s">
        <v>31</v>
      </c>
      <c r="AE1300">
        <v>0</v>
      </c>
      <c r="AF1300" t="s">
        <v>31</v>
      </c>
      <c r="AG1300">
        <v>0</v>
      </c>
      <c r="AH1300" t="s">
        <v>31</v>
      </c>
      <c r="AI1300">
        <v>0</v>
      </c>
      <c r="AJ1300" t="s">
        <v>31</v>
      </c>
      <c r="AK1300">
        <v>0</v>
      </c>
      <c r="AL1300" t="s">
        <v>31</v>
      </c>
      <c r="AM1300">
        <v>0</v>
      </c>
      <c r="AN1300" t="s">
        <v>31</v>
      </c>
      <c r="AO1300">
        <v>0</v>
      </c>
      <c r="AP1300" t="s">
        <v>31</v>
      </c>
      <c r="AQ1300">
        <v>0</v>
      </c>
    </row>
    <row r="1301" spans="1:43" x14ac:dyDescent="0.2">
      <c r="A1301" t="s">
        <v>381</v>
      </c>
      <c r="B1301" s="3">
        <v>44357</v>
      </c>
      <c r="C1301">
        <v>132</v>
      </c>
      <c r="D1301" t="s">
        <v>399</v>
      </c>
      <c r="E1301" t="s">
        <v>57</v>
      </c>
      <c r="F1301" s="9" t="s">
        <v>58</v>
      </c>
      <c r="G1301" t="s">
        <v>26</v>
      </c>
      <c r="H1301" t="s">
        <v>64</v>
      </c>
      <c r="I1301" t="s">
        <v>65</v>
      </c>
      <c r="J1301" t="s">
        <v>43</v>
      </c>
      <c r="K1301" t="s">
        <v>44</v>
      </c>
      <c r="L1301" t="s">
        <v>29</v>
      </c>
      <c r="M1301" t="s">
        <v>30</v>
      </c>
      <c r="N1301" t="s">
        <v>64</v>
      </c>
      <c r="O1301" t="s">
        <v>65</v>
      </c>
      <c r="P1301" t="s">
        <v>43</v>
      </c>
      <c r="Q1301" t="s">
        <v>44</v>
      </c>
      <c r="R1301" s="1">
        <v>44357.395624999997</v>
      </c>
      <c r="S1301" s="1">
        <v>44357.402581018519</v>
      </c>
      <c r="T1301">
        <v>0</v>
      </c>
      <c r="U1301">
        <v>5</v>
      </c>
      <c r="V1301" s="2">
        <v>0</v>
      </c>
      <c r="W1301">
        <v>0</v>
      </c>
      <c r="X1301" t="s">
        <v>44</v>
      </c>
      <c r="Y1301">
        <v>0</v>
      </c>
      <c r="Z1301" t="s">
        <v>44</v>
      </c>
      <c r="AA1301">
        <v>0</v>
      </c>
      <c r="AB1301" t="s">
        <v>45</v>
      </c>
      <c r="AC1301">
        <v>0</v>
      </c>
      <c r="AD1301" t="s">
        <v>61</v>
      </c>
      <c r="AE1301">
        <v>0</v>
      </c>
      <c r="AF1301" t="s">
        <v>47</v>
      </c>
      <c r="AG1301">
        <v>0</v>
      </c>
      <c r="AH1301" t="s">
        <v>31</v>
      </c>
      <c r="AI1301">
        <v>0</v>
      </c>
      <c r="AJ1301" t="s">
        <v>31</v>
      </c>
      <c r="AK1301">
        <v>0</v>
      </c>
      <c r="AL1301" t="s">
        <v>31</v>
      </c>
      <c r="AM1301">
        <v>0</v>
      </c>
      <c r="AN1301" t="s">
        <v>31</v>
      </c>
      <c r="AO1301">
        <v>0</v>
      </c>
      <c r="AP1301" t="s">
        <v>31</v>
      </c>
      <c r="AQ1301">
        <v>0</v>
      </c>
    </row>
    <row r="1302" spans="1:43" x14ac:dyDescent="0.2">
      <c r="A1302" t="s">
        <v>381</v>
      </c>
      <c r="B1302" s="3">
        <v>44358</v>
      </c>
      <c r="C1302">
        <v>133</v>
      </c>
      <c r="D1302" t="s">
        <v>390</v>
      </c>
      <c r="E1302" t="s">
        <v>57</v>
      </c>
      <c r="F1302" s="9" t="s">
        <v>58</v>
      </c>
      <c r="G1302" t="s">
        <v>26</v>
      </c>
      <c r="H1302" t="s">
        <v>64</v>
      </c>
      <c r="I1302" t="s">
        <v>65</v>
      </c>
      <c r="J1302" t="s">
        <v>43</v>
      </c>
      <c r="K1302" t="s">
        <v>44</v>
      </c>
      <c r="L1302" t="s">
        <v>29</v>
      </c>
      <c r="M1302" t="s">
        <v>30</v>
      </c>
      <c r="N1302" t="s">
        <v>64</v>
      </c>
      <c r="O1302" t="s">
        <v>65</v>
      </c>
      <c r="P1302" t="s">
        <v>43</v>
      </c>
      <c r="Q1302" t="s">
        <v>44</v>
      </c>
      <c r="R1302" s="1">
        <v>44358.401932870373</v>
      </c>
      <c r="S1302" s="1">
        <v>44358.402291666665</v>
      </c>
      <c r="T1302">
        <v>1</v>
      </c>
      <c r="U1302">
        <v>6</v>
      </c>
      <c r="V1302" s="2">
        <v>0.16</v>
      </c>
      <c r="W1302">
        <v>0</v>
      </c>
      <c r="X1302" t="s">
        <v>44</v>
      </c>
      <c r="Y1302">
        <v>0</v>
      </c>
      <c r="Z1302" t="s">
        <v>44</v>
      </c>
      <c r="AA1302">
        <v>0</v>
      </c>
      <c r="AB1302" t="s">
        <v>45</v>
      </c>
      <c r="AC1302">
        <v>0</v>
      </c>
      <c r="AD1302" t="s">
        <v>61</v>
      </c>
      <c r="AE1302">
        <v>0</v>
      </c>
      <c r="AF1302" t="s">
        <v>47</v>
      </c>
      <c r="AG1302">
        <v>0</v>
      </c>
      <c r="AH1302" t="s">
        <v>30</v>
      </c>
      <c r="AI1302">
        <v>0</v>
      </c>
      <c r="AJ1302" t="s">
        <v>31</v>
      </c>
      <c r="AK1302">
        <v>0</v>
      </c>
      <c r="AL1302" t="s">
        <v>31</v>
      </c>
      <c r="AM1302">
        <v>0</v>
      </c>
      <c r="AN1302" t="s">
        <v>31</v>
      </c>
      <c r="AO1302">
        <v>0</v>
      </c>
      <c r="AP1302" t="s">
        <v>31</v>
      </c>
      <c r="AQ1302">
        <v>0</v>
      </c>
    </row>
    <row r="1303" spans="1:43" x14ac:dyDescent="0.2">
      <c r="A1303" t="s">
        <v>381</v>
      </c>
      <c r="B1303" s="3">
        <v>44361</v>
      </c>
      <c r="C1303">
        <v>135</v>
      </c>
      <c r="D1303" t="s">
        <v>390</v>
      </c>
      <c r="E1303" t="s">
        <v>57</v>
      </c>
      <c r="F1303" s="9" t="s">
        <v>58</v>
      </c>
      <c r="G1303" t="s">
        <v>26</v>
      </c>
      <c r="H1303" t="s">
        <v>64</v>
      </c>
      <c r="I1303" t="s">
        <v>65</v>
      </c>
      <c r="J1303" t="s">
        <v>43</v>
      </c>
      <c r="K1303" t="s">
        <v>44</v>
      </c>
      <c r="L1303" t="s">
        <v>29</v>
      </c>
      <c r="M1303" t="s">
        <v>30</v>
      </c>
      <c r="N1303" t="s">
        <v>64</v>
      </c>
      <c r="O1303" t="s">
        <v>65</v>
      </c>
      <c r="P1303" t="s">
        <v>43</v>
      </c>
      <c r="Q1303" t="s">
        <v>44</v>
      </c>
      <c r="R1303" s="1">
        <v>44361.448275462964</v>
      </c>
      <c r="S1303" s="1">
        <v>44361.448275462964</v>
      </c>
      <c r="T1303">
        <v>1</v>
      </c>
      <c r="U1303">
        <v>1</v>
      </c>
      <c r="V1303" s="2">
        <v>1</v>
      </c>
      <c r="W1303">
        <v>0</v>
      </c>
      <c r="X1303" t="s">
        <v>30</v>
      </c>
      <c r="Y1303">
        <v>0</v>
      </c>
      <c r="Z1303" t="s">
        <v>31</v>
      </c>
      <c r="AA1303">
        <v>0</v>
      </c>
      <c r="AB1303" t="s">
        <v>31</v>
      </c>
      <c r="AC1303">
        <v>0</v>
      </c>
      <c r="AD1303" t="s">
        <v>31</v>
      </c>
      <c r="AE1303">
        <v>0</v>
      </c>
      <c r="AF1303" t="s">
        <v>31</v>
      </c>
      <c r="AG1303">
        <v>0</v>
      </c>
      <c r="AH1303" t="s">
        <v>31</v>
      </c>
      <c r="AI1303">
        <v>0</v>
      </c>
      <c r="AJ1303" t="s">
        <v>31</v>
      </c>
      <c r="AK1303">
        <v>0</v>
      </c>
      <c r="AL1303" t="s">
        <v>31</v>
      </c>
      <c r="AM1303">
        <v>0</v>
      </c>
      <c r="AN1303" t="s">
        <v>31</v>
      </c>
      <c r="AO1303">
        <v>0</v>
      </c>
      <c r="AP1303" t="s">
        <v>31</v>
      </c>
      <c r="AQ1303">
        <v>0</v>
      </c>
    </row>
    <row r="1304" spans="1:43" x14ac:dyDescent="0.2">
      <c r="A1304" t="s">
        <v>381</v>
      </c>
      <c r="B1304" s="3">
        <v>44364</v>
      </c>
      <c r="C1304">
        <v>138</v>
      </c>
      <c r="D1304" t="s">
        <v>399</v>
      </c>
      <c r="E1304" t="s">
        <v>57</v>
      </c>
      <c r="F1304" s="9" t="s">
        <v>58</v>
      </c>
      <c r="G1304" t="s">
        <v>26</v>
      </c>
      <c r="H1304" t="s">
        <v>64</v>
      </c>
      <c r="I1304" t="s">
        <v>65</v>
      </c>
      <c r="J1304" t="s">
        <v>43</v>
      </c>
      <c r="K1304" t="s">
        <v>44</v>
      </c>
      <c r="L1304" t="s">
        <v>29</v>
      </c>
      <c r="M1304" t="s">
        <v>30</v>
      </c>
      <c r="N1304" t="s">
        <v>64</v>
      </c>
      <c r="O1304" t="s">
        <v>65</v>
      </c>
      <c r="P1304" t="s">
        <v>43</v>
      </c>
      <c r="Q1304" t="s">
        <v>44</v>
      </c>
      <c r="R1304" s="1">
        <v>44364.398101851853</v>
      </c>
      <c r="S1304" s="1">
        <v>44364.398564814815</v>
      </c>
      <c r="T1304">
        <v>0</v>
      </c>
      <c r="U1304">
        <v>5</v>
      </c>
      <c r="V1304" s="2">
        <v>0</v>
      </c>
      <c r="W1304">
        <v>0</v>
      </c>
      <c r="X1304" t="s">
        <v>44</v>
      </c>
      <c r="Y1304">
        <v>0</v>
      </c>
      <c r="Z1304" t="s">
        <v>44</v>
      </c>
      <c r="AA1304">
        <v>0</v>
      </c>
      <c r="AB1304" t="s">
        <v>45</v>
      </c>
      <c r="AC1304">
        <v>0</v>
      </c>
      <c r="AD1304" t="s">
        <v>61</v>
      </c>
      <c r="AE1304">
        <v>0</v>
      </c>
      <c r="AF1304" t="s">
        <v>47</v>
      </c>
      <c r="AG1304">
        <v>0</v>
      </c>
      <c r="AH1304" t="s">
        <v>31</v>
      </c>
      <c r="AI1304">
        <v>0</v>
      </c>
      <c r="AJ1304" t="s">
        <v>31</v>
      </c>
      <c r="AK1304">
        <v>0</v>
      </c>
      <c r="AL1304" t="s">
        <v>31</v>
      </c>
      <c r="AM1304">
        <v>0</v>
      </c>
      <c r="AN1304" t="s">
        <v>31</v>
      </c>
      <c r="AO1304">
        <v>0</v>
      </c>
      <c r="AP1304" t="s">
        <v>31</v>
      </c>
      <c r="AQ1304">
        <v>0</v>
      </c>
    </row>
    <row r="1305" spans="1:43" x14ac:dyDescent="0.2">
      <c r="A1305" t="s">
        <v>381</v>
      </c>
      <c r="B1305" s="3">
        <v>44365</v>
      </c>
      <c r="C1305">
        <v>139</v>
      </c>
      <c r="D1305" t="s">
        <v>400</v>
      </c>
      <c r="E1305" t="s">
        <v>57</v>
      </c>
      <c r="F1305" s="9" t="s">
        <v>58</v>
      </c>
      <c r="G1305" t="s">
        <v>26</v>
      </c>
      <c r="H1305" t="s">
        <v>64</v>
      </c>
      <c r="I1305" t="s">
        <v>65</v>
      </c>
      <c r="J1305" t="s">
        <v>43</v>
      </c>
      <c r="K1305" t="s">
        <v>44</v>
      </c>
      <c r="L1305" t="s">
        <v>29</v>
      </c>
      <c r="M1305" t="s">
        <v>30</v>
      </c>
      <c r="N1305" t="s">
        <v>64</v>
      </c>
      <c r="O1305" t="s">
        <v>65</v>
      </c>
      <c r="P1305" t="s">
        <v>43</v>
      </c>
      <c r="Q1305" t="s">
        <v>44</v>
      </c>
      <c r="R1305" s="1">
        <v>44365.452534722222</v>
      </c>
      <c r="S1305" s="1">
        <v>44365.453136574077</v>
      </c>
      <c r="T1305">
        <v>0</v>
      </c>
      <c r="U1305">
        <v>5</v>
      </c>
      <c r="V1305" s="2">
        <v>0</v>
      </c>
      <c r="W1305">
        <v>0</v>
      </c>
      <c r="X1305" t="s">
        <v>44</v>
      </c>
      <c r="Y1305">
        <v>0</v>
      </c>
      <c r="Z1305" t="s">
        <v>44</v>
      </c>
      <c r="AA1305">
        <v>0</v>
      </c>
      <c r="AB1305" t="s">
        <v>45</v>
      </c>
      <c r="AC1305">
        <v>0</v>
      </c>
      <c r="AD1305" t="s">
        <v>61</v>
      </c>
      <c r="AE1305">
        <v>0</v>
      </c>
      <c r="AF1305" t="s">
        <v>47</v>
      </c>
      <c r="AG1305">
        <v>0</v>
      </c>
      <c r="AH1305" t="s">
        <v>31</v>
      </c>
      <c r="AI1305">
        <v>0</v>
      </c>
      <c r="AJ1305" t="s">
        <v>31</v>
      </c>
      <c r="AK1305">
        <v>0</v>
      </c>
      <c r="AL1305" t="s">
        <v>31</v>
      </c>
      <c r="AM1305">
        <v>0</v>
      </c>
      <c r="AN1305" t="s">
        <v>31</v>
      </c>
      <c r="AO1305">
        <v>0</v>
      </c>
      <c r="AP1305" t="s">
        <v>31</v>
      </c>
      <c r="AQ1305">
        <v>0</v>
      </c>
    </row>
    <row r="1306" spans="1:43" x14ac:dyDescent="0.2">
      <c r="A1306" t="s">
        <v>381</v>
      </c>
      <c r="B1306" s="3">
        <v>44365</v>
      </c>
      <c r="C1306">
        <v>140</v>
      </c>
      <c r="D1306" t="s">
        <v>399</v>
      </c>
      <c r="E1306" t="s">
        <v>57</v>
      </c>
      <c r="F1306" s="9" t="s">
        <v>58</v>
      </c>
      <c r="G1306" t="s">
        <v>26</v>
      </c>
      <c r="H1306" t="s">
        <v>64</v>
      </c>
      <c r="I1306" t="s">
        <v>65</v>
      </c>
      <c r="J1306" t="s">
        <v>43</v>
      </c>
      <c r="K1306" t="s">
        <v>44</v>
      </c>
      <c r="L1306" t="s">
        <v>29</v>
      </c>
      <c r="M1306" t="s">
        <v>30</v>
      </c>
      <c r="N1306" t="s">
        <v>64</v>
      </c>
      <c r="O1306" t="s">
        <v>65</v>
      </c>
      <c r="P1306" t="s">
        <v>43</v>
      </c>
      <c r="Q1306" t="s">
        <v>44</v>
      </c>
      <c r="R1306" s="1">
        <v>44365.584918981483</v>
      </c>
      <c r="S1306" s="1">
        <v>44365.585243055553</v>
      </c>
      <c r="T1306">
        <v>0</v>
      </c>
      <c r="U1306">
        <v>5</v>
      </c>
      <c r="V1306" s="2">
        <v>0</v>
      </c>
      <c r="W1306">
        <v>0</v>
      </c>
      <c r="X1306" t="s">
        <v>44</v>
      </c>
      <c r="Y1306">
        <v>0</v>
      </c>
      <c r="Z1306" t="s">
        <v>44</v>
      </c>
      <c r="AA1306">
        <v>0</v>
      </c>
      <c r="AB1306" t="s">
        <v>45</v>
      </c>
      <c r="AC1306">
        <v>0</v>
      </c>
      <c r="AD1306" t="s">
        <v>61</v>
      </c>
      <c r="AE1306">
        <v>0</v>
      </c>
      <c r="AF1306" t="s">
        <v>47</v>
      </c>
      <c r="AG1306">
        <v>0</v>
      </c>
      <c r="AH1306" t="s">
        <v>31</v>
      </c>
      <c r="AI1306">
        <v>0</v>
      </c>
      <c r="AJ1306" t="s">
        <v>31</v>
      </c>
      <c r="AK1306">
        <v>0</v>
      </c>
      <c r="AL1306" t="s">
        <v>31</v>
      </c>
      <c r="AM1306">
        <v>0</v>
      </c>
      <c r="AN1306" t="s">
        <v>31</v>
      </c>
      <c r="AO1306">
        <v>0</v>
      </c>
      <c r="AP1306" t="s">
        <v>31</v>
      </c>
      <c r="AQ1306">
        <v>0</v>
      </c>
    </row>
    <row r="1307" spans="1:43" x14ac:dyDescent="0.2">
      <c r="A1307" t="s">
        <v>381</v>
      </c>
      <c r="B1307" s="3">
        <v>44207</v>
      </c>
      <c r="C1307">
        <v>1</v>
      </c>
      <c r="D1307" t="s">
        <v>384</v>
      </c>
      <c r="E1307" t="s">
        <v>62</v>
      </c>
      <c r="F1307" s="9" t="s">
        <v>63</v>
      </c>
      <c r="G1307" t="s">
        <v>26</v>
      </c>
      <c r="H1307" t="s">
        <v>64</v>
      </c>
      <c r="I1307" t="s">
        <v>65</v>
      </c>
      <c r="J1307" t="s">
        <v>43</v>
      </c>
      <c r="K1307" t="s">
        <v>44</v>
      </c>
      <c r="L1307" t="s">
        <v>29</v>
      </c>
      <c r="M1307" t="s">
        <v>30</v>
      </c>
      <c r="N1307" t="s">
        <v>64</v>
      </c>
      <c r="O1307" t="s">
        <v>65</v>
      </c>
      <c r="P1307" t="s">
        <v>43</v>
      </c>
      <c r="Q1307" t="s">
        <v>44</v>
      </c>
      <c r="R1307" s="1">
        <v>44207.383842592593</v>
      </c>
      <c r="S1307" s="1">
        <v>44207.385972222219</v>
      </c>
      <c r="T1307">
        <v>0</v>
      </c>
      <c r="U1307">
        <v>5</v>
      </c>
      <c r="V1307" s="2">
        <v>0</v>
      </c>
      <c r="W1307">
        <v>0</v>
      </c>
      <c r="X1307" t="s">
        <v>44</v>
      </c>
      <c r="Y1307">
        <v>0</v>
      </c>
      <c r="Z1307" t="s">
        <v>44</v>
      </c>
      <c r="AA1307">
        <v>0</v>
      </c>
      <c r="AB1307" t="s">
        <v>45</v>
      </c>
      <c r="AC1307">
        <v>0</v>
      </c>
      <c r="AD1307" t="s">
        <v>61</v>
      </c>
      <c r="AE1307">
        <v>0</v>
      </c>
      <c r="AF1307" t="s">
        <v>47</v>
      </c>
      <c r="AG1307">
        <v>0</v>
      </c>
      <c r="AH1307" t="s">
        <v>31</v>
      </c>
      <c r="AI1307">
        <v>0</v>
      </c>
      <c r="AJ1307" t="s">
        <v>31</v>
      </c>
      <c r="AK1307">
        <v>0</v>
      </c>
      <c r="AL1307" t="s">
        <v>31</v>
      </c>
      <c r="AM1307">
        <v>0</v>
      </c>
      <c r="AN1307" t="s">
        <v>31</v>
      </c>
      <c r="AO1307">
        <v>0</v>
      </c>
      <c r="AP1307" t="s">
        <v>31</v>
      </c>
      <c r="AQ1307">
        <v>0</v>
      </c>
    </row>
    <row r="1308" spans="1:43" x14ac:dyDescent="0.2">
      <c r="A1308" t="s">
        <v>381</v>
      </c>
      <c r="B1308" s="3">
        <v>44242</v>
      </c>
      <c r="C1308">
        <v>8</v>
      </c>
      <c r="D1308" t="s">
        <v>384</v>
      </c>
      <c r="E1308" t="s">
        <v>62</v>
      </c>
      <c r="F1308" s="9" t="s">
        <v>63</v>
      </c>
      <c r="G1308" t="s">
        <v>26</v>
      </c>
      <c r="H1308" t="s">
        <v>64</v>
      </c>
      <c r="I1308" t="s">
        <v>65</v>
      </c>
      <c r="J1308" t="s">
        <v>43</v>
      </c>
      <c r="K1308" t="s">
        <v>44</v>
      </c>
      <c r="L1308" t="s">
        <v>29</v>
      </c>
      <c r="M1308" t="s">
        <v>30</v>
      </c>
      <c r="N1308" t="s">
        <v>64</v>
      </c>
      <c r="O1308" t="s">
        <v>65</v>
      </c>
      <c r="P1308" t="s">
        <v>43</v>
      </c>
      <c r="Q1308" t="s">
        <v>44</v>
      </c>
      <c r="R1308" s="1">
        <v>44242.384143518517</v>
      </c>
      <c r="S1308" s="1">
        <v>44242.384317129632</v>
      </c>
      <c r="T1308">
        <v>1</v>
      </c>
      <c r="U1308">
        <v>2</v>
      </c>
      <c r="V1308" s="2">
        <v>0.5</v>
      </c>
      <c r="W1308">
        <v>0</v>
      </c>
      <c r="X1308" t="s">
        <v>44</v>
      </c>
      <c r="Y1308">
        <v>0</v>
      </c>
      <c r="Z1308" t="s">
        <v>30</v>
      </c>
      <c r="AA1308">
        <v>0</v>
      </c>
      <c r="AB1308" t="s">
        <v>31</v>
      </c>
      <c r="AC1308">
        <v>0</v>
      </c>
      <c r="AD1308" t="s">
        <v>31</v>
      </c>
      <c r="AE1308">
        <v>0</v>
      </c>
      <c r="AF1308" t="s">
        <v>31</v>
      </c>
      <c r="AG1308">
        <v>0</v>
      </c>
      <c r="AH1308" t="s">
        <v>31</v>
      </c>
      <c r="AI1308">
        <v>0</v>
      </c>
      <c r="AJ1308" t="s">
        <v>31</v>
      </c>
      <c r="AK1308">
        <v>0</v>
      </c>
      <c r="AL1308" t="s">
        <v>31</v>
      </c>
      <c r="AM1308">
        <v>0</v>
      </c>
      <c r="AN1308" t="s">
        <v>31</v>
      </c>
      <c r="AO1308">
        <v>0</v>
      </c>
      <c r="AP1308" t="s">
        <v>31</v>
      </c>
      <c r="AQ1308">
        <v>0</v>
      </c>
    </row>
    <row r="1309" spans="1:43" x14ac:dyDescent="0.2">
      <c r="A1309" t="s">
        <v>381</v>
      </c>
      <c r="B1309" s="3">
        <v>44243</v>
      </c>
      <c r="C1309">
        <v>10</v>
      </c>
      <c r="D1309" t="s">
        <v>385</v>
      </c>
      <c r="E1309" t="s">
        <v>62</v>
      </c>
      <c r="F1309" s="9" t="s">
        <v>63</v>
      </c>
      <c r="G1309" t="s">
        <v>26</v>
      </c>
      <c r="H1309" t="s">
        <v>64</v>
      </c>
      <c r="I1309" t="s">
        <v>65</v>
      </c>
      <c r="J1309" t="s">
        <v>43</v>
      </c>
      <c r="K1309" t="s">
        <v>44</v>
      </c>
      <c r="L1309" t="s">
        <v>29</v>
      </c>
      <c r="M1309" t="s">
        <v>30</v>
      </c>
      <c r="N1309" t="s">
        <v>64</v>
      </c>
      <c r="O1309" t="s">
        <v>65</v>
      </c>
      <c r="P1309" t="s">
        <v>43</v>
      </c>
      <c r="Q1309" t="s">
        <v>44</v>
      </c>
      <c r="R1309" s="1">
        <v>44243.629907407405</v>
      </c>
      <c r="S1309" s="1">
        <v>44243.630046296297</v>
      </c>
      <c r="T1309">
        <v>0</v>
      </c>
      <c r="U1309">
        <v>5</v>
      </c>
      <c r="V1309" s="2">
        <v>0</v>
      </c>
      <c r="W1309">
        <v>0</v>
      </c>
      <c r="X1309" t="s">
        <v>44</v>
      </c>
      <c r="Y1309">
        <v>0</v>
      </c>
      <c r="Z1309" t="s">
        <v>44</v>
      </c>
      <c r="AA1309">
        <v>0</v>
      </c>
      <c r="AB1309" t="s">
        <v>45</v>
      </c>
      <c r="AC1309">
        <v>0</v>
      </c>
      <c r="AD1309" t="s">
        <v>61</v>
      </c>
      <c r="AE1309">
        <v>0</v>
      </c>
      <c r="AF1309" t="s">
        <v>47</v>
      </c>
      <c r="AG1309">
        <v>0</v>
      </c>
      <c r="AH1309" t="s">
        <v>31</v>
      </c>
      <c r="AI1309">
        <v>0</v>
      </c>
      <c r="AJ1309" t="s">
        <v>31</v>
      </c>
      <c r="AK1309">
        <v>0</v>
      </c>
      <c r="AL1309" t="s">
        <v>31</v>
      </c>
      <c r="AM1309">
        <v>0</v>
      </c>
      <c r="AN1309" t="s">
        <v>31</v>
      </c>
      <c r="AO1309">
        <v>0</v>
      </c>
      <c r="AP1309" t="s">
        <v>31</v>
      </c>
      <c r="AQ1309">
        <v>0</v>
      </c>
    </row>
    <row r="1310" spans="1:43" x14ac:dyDescent="0.2">
      <c r="A1310" t="s">
        <v>381</v>
      </c>
      <c r="B1310" s="3">
        <v>44244</v>
      </c>
      <c r="C1310">
        <v>11</v>
      </c>
      <c r="D1310" t="s">
        <v>384</v>
      </c>
      <c r="E1310" t="s">
        <v>62</v>
      </c>
      <c r="F1310" s="9" t="s">
        <v>63</v>
      </c>
      <c r="G1310" t="s">
        <v>26</v>
      </c>
      <c r="H1310" t="s">
        <v>64</v>
      </c>
      <c r="I1310" t="s">
        <v>65</v>
      </c>
      <c r="J1310" t="s">
        <v>43</v>
      </c>
      <c r="K1310" t="s">
        <v>44</v>
      </c>
      <c r="L1310" t="s">
        <v>29</v>
      </c>
      <c r="M1310" t="s">
        <v>30</v>
      </c>
      <c r="N1310" t="s">
        <v>64</v>
      </c>
      <c r="O1310" t="s">
        <v>65</v>
      </c>
      <c r="P1310" t="s">
        <v>43</v>
      </c>
      <c r="Q1310" t="s">
        <v>44</v>
      </c>
      <c r="R1310" s="1">
        <v>44244.414479166669</v>
      </c>
      <c r="S1310" s="1">
        <v>44244.415439814817</v>
      </c>
      <c r="T1310">
        <v>0</v>
      </c>
      <c r="U1310">
        <v>5</v>
      </c>
      <c r="V1310" s="2">
        <v>0</v>
      </c>
      <c r="W1310">
        <v>0</v>
      </c>
      <c r="X1310" t="s">
        <v>44</v>
      </c>
      <c r="Y1310">
        <v>0</v>
      </c>
      <c r="Z1310" t="s">
        <v>44</v>
      </c>
      <c r="AA1310">
        <v>0</v>
      </c>
      <c r="AB1310" t="s">
        <v>45</v>
      </c>
      <c r="AC1310">
        <v>0</v>
      </c>
      <c r="AD1310" t="s">
        <v>61</v>
      </c>
      <c r="AE1310">
        <v>0</v>
      </c>
      <c r="AF1310" t="s">
        <v>47</v>
      </c>
      <c r="AG1310">
        <v>0</v>
      </c>
      <c r="AH1310" t="s">
        <v>31</v>
      </c>
      <c r="AI1310">
        <v>0</v>
      </c>
      <c r="AJ1310" t="s">
        <v>31</v>
      </c>
      <c r="AK1310">
        <v>0</v>
      </c>
      <c r="AL1310" t="s">
        <v>31</v>
      </c>
      <c r="AM1310">
        <v>0</v>
      </c>
      <c r="AN1310" t="s">
        <v>31</v>
      </c>
      <c r="AO1310">
        <v>0</v>
      </c>
      <c r="AP1310" t="s">
        <v>31</v>
      </c>
      <c r="AQ1310">
        <v>0</v>
      </c>
    </row>
    <row r="1311" spans="1:43" x14ac:dyDescent="0.2">
      <c r="A1311" t="s">
        <v>381</v>
      </c>
      <c r="B1311" s="3">
        <v>44245</v>
      </c>
      <c r="C1311">
        <v>12</v>
      </c>
      <c r="D1311" t="s">
        <v>382</v>
      </c>
      <c r="E1311" t="s">
        <v>62</v>
      </c>
      <c r="F1311" s="9" t="s">
        <v>63</v>
      </c>
      <c r="G1311" t="s">
        <v>26</v>
      </c>
      <c r="H1311" t="s">
        <v>64</v>
      </c>
      <c r="I1311" t="s">
        <v>65</v>
      </c>
      <c r="J1311" t="s">
        <v>43</v>
      </c>
      <c r="K1311" t="s">
        <v>44</v>
      </c>
      <c r="L1311" t="s">
        <v>29</v>
      </c>
      <c r="M1311" t="s">
        <v>30</v>
      </c>
      <c r="N1311" t="s">
        <v>64</v>
      </c>
      <c r="O1311" t="s">
        <v>65</v>
      </c>
      <c r="P1311" t="s">
        <v>43</v>
      </c>
      <c r="Q1311" t="s">
        <v>44</v>
      </c>
      <c r="R1311" s="1">
        <v>44245.46533564815</v>
      </c>
      <c r="S1311" s="1">
        <v>44245.465567129628</v>
      </c>
      <c r="T1311">
        <v>0</v>
      </c>
      <c r="U1311">
        <v>5</v>
      </c>
      <c r="V1311" s="2">
        <v>0</v>
      </c>
      <c r="W1311">
        <v>0</v>
      </c>
      <c r="X1311" t="s">
        <v>44</v>
      </c>
      <c r="Y1311">
        <v>0</v>
      </c>
      <c r="Z1311" t="s">
        <v>44</v>
      </c>
      <c r="AA1311">
        <v>0</v>
      </c>
      <c r="AB1311" t="s">
        <v>45</v>
      </c>
      <c r="AC1311">
        <v>0</v>
      </c>
      <c r="AD1311" t="s">
        <v>61</v>
      </c>
      <c r="AE1311">
        <v>0</v>
      </c>
      <c r="AF1311" t="s">
        <v>47</v>
      </c>
      <c r="AG1311">
        <v>0</v>
      </c>
      <c r="AH1311" t="s">
        <v>31</v>
      </c>
      <c r="AI1311">
        <v>0</v>
      </c>
      <c r="AJ1311" t="s">
        <v>31</v>
      </c>
      <c r="AK1311">
        <v>0</v>
      </c>
      <c r="AL1311" t="s">
        <v>31</v>
      </c>
      <c r="AM1311">
        <v>0</v>
      </c>
      <c r="AN1311" t="s">
        <v>31</v>
      </c>
      <c r="AO1311">
        <v>0</v>
      </c>
      <c r="AP1311" t="s">
        <v>31</v>
      </c>
      <c r="AQ1311">
        <v>0</v>
      </c>
    </row>
    <row r="1312" spans="1:43" x14ac:dyDescent="0.2">
      <c r="A1312" t="s">
        <v>381</v>
      </c>
      <c r="B1312" s="3">
        <v>44246</v>
      </c>
      <c r="C1312">
        <v>14</v>
      </c>
      <c r="D1312" t="s">
        <v>384</v>
      </c>
      <c r="E1312" t="s">
        <v>62</v>
      </c>
      <c r="F1312" s="9" t="s">
        <v>63</v>
      </c>
      <c r="G1312" t="s">
        <v>26</v>
      </c>
      <c r="H1312" t="s">
        <v>64</v>
      </c>
      <c r="I1312" t="s">
        <v>65</v>
      </c>
      <c r="J1312" t="s">
        <v>43</v>
      </c>
      <c r="K1312" t="s">
        <v>44</v>
      </c>
      <c r="L1312" t="s">
        <v>29</v>
      </c>
      <c r="M1312" t="s">
        <v>30</v>
      </c>
      <c r="N1312" t="s">
        <v>64</v>
      </c>
      <c r="O1312" t="s">
        <v>65</v>
      </c>
      <c r="P1312" t="s">
        <v>43</v>
      </c>
      <c r="Q1312" t="s">
        <v>44</v>
      </c>
      <c r="R1312" s="1">
        <v>44246.383634259262</v>
      </c>
      <c r="S1312" s="1">
        <v>44246.383634259262</v>
      </c>
      <c r="T1312">
        <v>1</v>
      </c>
      <c r="U1312">
        <v>1</v>
      </c>
      <c r="V1312" s="2">
        <v>1</v>
      </c>
      <c r="W1312">
        <v>0</v>
      </c>
      <c r="X1312" t="s">
        <v>30</v>
      </c>
      <c r="Y1312">
        <v>0</v>
      </c>
      <c r="Z1312" t="s">
        <v>31</v>
      </c>
      <c r="AA1312">
        <v>0</v>
      </c>
      <c r="AB1312" t="s">
        <v>31</v>
      </c>
      <c r="AC1312">
        <v>0</v>
      </c>
      <c r="AD1312" t="s">
        <v>31</v>
      </c>
      <c r="AE1312">
        <v>0</v>
      </c>
      <c r="AF1312" t="s">
        <v>31</v>
      </c>
      <c r="AG1312">
        <v>0</v>
      </c>
      <c r="AH1312" t="s">
        <v>31</v>
      </c>
      <c r="AI1312">
        <v>0</v>
      </c>
      <c r="AJ1312" t="s">
        <v>31</v>
      </c>
      <c r="AK1312">
        <v>0</v>
      </c>
      <c r="AL1312" t="s">
        <v>31</v>
      </c>
      <c r="AM1312">
        <v>0</v>
      </c>
      <c r="AN1312" t="s">
        <v>31</v>
      </c>
      <c r="AO1312">
        <v>0</v>
      </c>
      <c r="AP1312" t="s">
        <v>31</v>
      </c>
      <c r="AQ1312">
        <v>0</v>
      </c>
    </row>
    <row r="1313" spans="1:43" x14ac:dyDescent="0.2">
      <c r="A1313" t="s">
        <v>381</v>
      </c>
      <c r="B1313" s="3">
        <v>44250</v>
      </c>
      <c r="C1313">
        <v>16</v>
      </c>
      <c r="D1313" t="s">
        <v>382</v>
      </c>
      <c r="E1313" t="s">
        <v>62</v>
      </c>
      <c r="F1313" s="9" t="s">
        <v>63</v>
      </c>
      <c r="G1313" t="s">
        <v>26</v>
      </c>
      <c r="H1313" t="s">
        <v>64</v>
      </c>
      <c r="I1313" t="s">
        <v>65</v>
      </c>
      <c r="J1313" t="s">
        <v>43</v>
      </c>
      <c r="K1313" t="s">
        <v>44</v>
      </c>
      <c r="L1313" t="s">
        <v>29</v>
      </c>
      <c r="M1313" t="s">
        <v>30</v>
      </c>
      <c r="N1313" t="s">
        <v>64</v>
      </c>
      <c r="O1313" t="s">
        <v>65</v>
      </c>
      <c r="P1313" t="s">
        <v>43</v>
      </c>
      <c r="Q1313" t="s">
        <v>44</v>
      </c>
      <c r="R1313" s="1">
        <v>44250.466793981483</v>
      </c>
      <c r="S1313" s="1">
        <v>44250.467060185183</v>
      </c>
      <c r="T1313">
        <v>0</v>
      </c>
      <c r="U1313">
        <v>5</v>
      </c>
      <c r="V1313" s="2">
        <v>0</v>
      </c>
      <c r="W1313">
        <v>0</v>
      </c>
      <c r="X1313" t="s">
        <v>44</v>
      </c>
      <c r="Y1313">
        <v>0</v>
      </c>
      <c r="Z1313" t="s">
        <v>44</v>
      </c>
      <c r="AA1313">
        <v>0</v>
      </c>
      <c r="AB1313" t="s">
        <v>45</v>
      </c>
      <c r="AC1313">
        <v>0</v>
      </c>
      <c r="AD1313" t="s">
        <v>61</v>
      </c>
      <c r="AE1313">
        <v>0</v>
      </c>
      <c r="AF1313" t="s">
        <v>47</v>
      </c>
      <c r="AG1313">
        <v>0</v>
      </c>
      <c r="AH1313" t="s">
        <v>31</v>
      </c>
      <c r="AI1313">
        <v>0</v>
      </c>
      <c r="AJ1313" t="s">
        <v>31</v>
      </c>
      <c r="AK1313">
        <v>0</v>
      </c>
      <c r="AL1313" t="s">
        <v>31</v>
      </c>
      <c r="AM1313">
        <v>0</v>
      </c>
      <c r="AN1313" t="s">
        <v>31</v>
      </c>
      <c r="AO1313">
        <v>0</v>
      </c>
      <c r="AP1313" t="s">
        <v>31</v>
      </c>
      <c r="AQ1313">
        <v>0</v>
      </c>
    </row>
    <row r="1314" spans="1:43" x14ac:dyDescent="0.2">
      <c r="A1314" t="s">
        <v>381</v>
      </c>
      <c r="B1314" s="3">
        <v>44251</v>
      </c>
      <c r="C1314">
        <v>18</v>
      </c>
      <c r="D1314" t="s">
        <v>384</v>
      </c>
      <c r="E1314" t="s">
        <v>62</v>
      </c>
      <c r="F1314" s="9" t="s">
        <v>63</v>
      </c>
      <c r="G1314" t="s">
        <v>26</v>
      </c>
      <c r="H1314" t="s">
        <v>64</v>
      </c>
      <c r="I1314" t="s">
        <v>65</v>
      </c>
      <c r="J1314" t="s">
        <v>43</v>
      </c>
      <c r="K1314" t="s">
        <v>44</v>
      </c>
      <c r="L1314" t="s">
        <v>29</v>
      </c>
      <c r="M1314" t="s">
        <v>30</v>
      </c>
      <c r="N1314" t="s">
        <v>64</v>
      </c>
      <c r="O1314" t="s">
        <v>65</v>
      </c>
      <c r="P1314" t="s">
        <v>43</v>
      </c>
      <c r="Q1314" t="s">
        <v>44</v>
      </c>
      <c r="R1314" s="1">
        <v>44251.376377314817</v>
      </c>
      <c r="S1314" s="1">
        <v>44251.376377314817</v>
      </c>
      <c r="T1314">
        <v>1</v>
      </c>
      <c r="U1314">
        <v>1</v>
      </c>
      <c r="V1314" s="2">
        <v>1</v>
      </c>
      <c r="W1314">
        <v>0</v>
      </c>
      <c r="X1314" t="s">
        <v>30</v>
      </c>
      <c r="Y1314">
        <v>0</v>
      </c>
      <c r="Z1314" t="s">
        <v>31</v>
      </c>
      <c r="AA1314">
        <v>0</v>
      </c>
      <c r="AB1314" t="s">
        <v>31</v>
      </c>
      <c r="AC1314">
        <v>0</v>
      </c>
      <c r="AD1314" t="s">
        <v>31</v>
      </c>
      <c r="AE1314">
        <v>0</v>
      </c>
      <c r="AF1314" t="s">
        <v>31</v>
      </c>
      <c r="AG1314">
        <v>0</v>
      </c>
      <c r="AH1314" t="s">
        <v>31</v>
      </c>
      <c r="AI1314">
        <v>0</v>
      </c>
      <c r="AJ1314" t="s">
        <v>31</v>
      </c>
      <c r="AK1314">
        <v>0</v>
      </c>
      <c r="AL1314" t="s">
        <v>31</v>
      </c>
      <c r="AM1314">
        <v>0</v>
      </c>
      <c r="AN1314" t="s">
        <v>31</v>
      </c>
      <c r="AO1314">
        <v>0</v>
      </c>
      <c r="AP1314" t="s">
        <v>31</v>
      </c>
      <c r="AQ1314">
        <v>0</v>
      </c>
    </row>
    <row r="1315" spans="1:43" x14ac:dyDescent="0.2">
      <c r="A1315" t="s">
        <v>381</v>
      </c>
      <c r="B1315" s="3">
        <v>44253</v>
      </c>
      <c r="C1315">
        <v>21</v>
      </c>
      <c r="D1315" t="s">
        <v>384</v>
      </c>
      <c r="E1315" t="s">
        <v>62</v>
      </c>
      <c r="F1315" s="9" t="s">
        <v>63</v>
      </c>
      <c r="G1315" t="s">
        <v>26</v>
      </c>
      <c r="H1315" t="s">
        <v>64</v>
      </c>
      <c r="I1315" t="s">
        <v>65</v>
      </c>
      <c r="J1315" t="s">
        <v>43</v>
      </c>
      <c r="K1315" t="s">
        <v>44</v>
      </c>
      <c r="L1315" t="s">
        <v>29</v>
      </c>
      <c r="M1315" t="s">
        <v>30</v>
      </c>
      <c r="N1315" t="s">
        <v>64</v>
      </c>
      <c r="O1315" t="s">
        <v>65</v>
      </c>
      <c r="P1315" t="s">
        <v>43</v>
      </c>
      <c r="Q1315" t="s">
        <v>44</v>
      </c>
      <c r="R1315" s="1">
        <v>44253.369976851849</v>
      </c>
      <c r="S1315" s="1">
        <v>44253.372013888889</v>
      </c>
      <c r="T1315">
        <v>0</v>
      </c>
      <c r="U1315">
        <v>5</v>
      </c>
      <c r="V1315" s="2">
        <v>0</v>
      </c>
      <c r="W1315">
        <v>0</v>
      </c>
      <c r="X1315" t="s">
        <v>44</v>
      </c>
      <c r="Y1315">
        <v>0</v>
      </c>
      <c r="Z1315" t="s">
        <v>44</v>
      </c>
      <c r="AA1315">
        <v>0</v>
      </c>
      <c r="AB1315" t="s">
        <v>45</v>
      </c>
      <c r="AC1315">
        <v>0</v>
      </c>
      <c r="AD1315" t="s">
        <v>61</v>
      </c>
      <c r="AE1315">
        <v>0</v>
      </c>
      <c r="AF1315" t="s">
        <v>47</v>
      </c>
      <c r="AG1315">
        <v>0</v>
      </c>
      <c r="AH1315" t="s">
        <v>31</v>
      </c>
      <c r="AI1315">
        <v>0</v>
      </c>
      <c r="AJ1315" t="s">
        <v>31</v>
      </c>
      <c r="AK1315">
        <v>0</v>
      </c>
      <c r="AL1315" t="s">
        <v>31</v>
      </c>
      <c r="AM1315">
        <v>0</v>
      </c>
      <c r="AN1315" t="s">
        <v>31</v>
      </c>
      <c r="AO1315">
        <v>0</v>
      </c>
      <c r="AP1315" t="s">
        <v>31</v>
      </c>
      <c r="AQ1315">
        <v>0</v>
      </c>
    </row>
    <row r="1316" spans="1:43" x14ac:dyDescent="0.2">
      <c r="A1316" t="s">
        <v>381</v>
      </c>
      <c r="B1316" s="3">
        <v>44256</v>
      </c>
      <c r="C1316">
        <v>22</v>
      </c>
      <c r="D1316" t="s">
        <v>384</v>
      </c>
      <c r="E1316" t="s">
        <v>62</v>
      </c>
      <c r="F1316" s="9" t="s">
        <v>63</v>
      </c>
      <c r="G1316" t="s">
        <v>26</v>
      </c>
      <c r="H1316" t="s">
        <v>64</v>
      </c>
      <c r="I1316" t="s">
        <v>65</v>
      </c>
      <c r="J1316" t="s">
        <v>43</v>
      </c>
      <c r="K1316" t="s">
        <v>44</v>
      </c>
      <c r="L1316" t="s">
        <v>29</v>
      </c>
      <c r="M1316" t="s">
        <v>30</v>
      </c>
      <c r="N1316" t="s">
        <v>64</v>
      </c>
      <c r="O1316" t="s">
        <v>65</v>
      </c>
      <c r="P1316" t="s">
        <v>43</v>
      </c>
      <c r="Q1316" t="s">
        <v>44</v>
      </c>
      <c r="R1316" s="1">
        <v>44256.382581018515</v>
      </c>
      <c r="S1316" s="1">
        <v>44256.383564814816</v>
      </c>
      <c r="T1316">
        <v>0</v>
      </c>
      <c r="U1316">
        <v>5</v>
      </c>
      <c r="V1316" s="2">
        <v>0</v>
      </c>
      <c r="W1316">
        <v>0</v>
      </c>
      <c r="X1316" t="s">
        <v>44</v>
      </c>
      <c r="Y1316">
        <v>0</v>
      </c>
      <c r="Z1316" t="s">
        <v>44</v>
      </c>
      <c r="AA1316">
        <v>0</v>
      </c>
      <c r="AB1316" t="s">
        <v>45</v>
      </c>
      <c r="AC1316">
        <v>0</v>
      </c>
      <c r="AD1316" t="s">
        <v>61</v>
      </c>
      <c r="AE1316">
        <v>0</v>
      </c>
      <c r="AF1316" t="s">
        <v>47</v>
      </c>
      <c r="AG1316">
        <v>0</v>
      </c>
      <c r="AH1316" t="s">
        <v>31</v>
      </c>
      <c r="AI1316">
        <v>0</v>
      </c>
      <c r="AJ1316" t="s">
        <v>31</v>
      </c>
      <c r="AK1316">
        <v>0</v>
      </c>
      <c r="AL1316" t="s">
        <v>31</v>
      </c>
      <c r="AM1316">
        <v>0</v>
      </c>
      <c r="AN1316" t="s">
        <v>31</v>
      </c>
      <c r="AO1316">
        <v>0</v>
      </c>
      <c r="AP1316" t="s">
        <v>31</v>
      </c>
      <c r="AQ1316">
        <v>0</v>
      </c>
    </row>
    <row r="1317" spans="1:43" x14ac:dyDescent="0.2">
      <c r="A1317" t="s">
        <v>381</v>
      </c>
      <c r="B1317" s="3">
        <v>44259</v>
      </c>
      <c r="C1317">
        <v>26</v>
      </c>
      <c r="D1317" t="s">
        <v>382</v>
      </c>
      <c r="E1317" t="s">
        <v>62</v>
      </c>
      <c r="F1317" s="9" t="s">
        <v>63</v>
      </c>
      <c r="G1317" t="s">
        <v>26</v>
      </c>
      <c r="H1317" t="s">
        <v>64</v>
      </c>
      <c r="I1317" t="s">
        <v>65</v>
      </c>
      <c r="J1317" t="s">
        <v>43</v>
      </c>
      <c r="K1317" t="s">
        <v>44</v>
      </c>
      <c r="L1317" t="s">
        <v>29</v>
      </c>
      <c r="M1317" t="s">
        <v>30</v>
      </c>
      <c r="N1317" t="s">
        <v>64</v>
      </c>
      <c r="O1317" t="s">
        <v>65</v>
      </c>
      <c r="P1317" t="s">
        <v>43</v>
      </c>
      <c r="Q1317" t="s">
        <v>44</v>
      </c>
      <c r="R1317" s="1">
        <v>44259.464189814818</v>
      </c>
      <c r="S1317" s="1">
        <v>44259.468078703707</v>
      </c>
      <c r="T1317">
        <v>0</v>
      </c>
      <c r="U1317">
        <v>5</v>
      </c>
      <c r="V1317" s="2">
        <v>0</v>
      </c>
      <c r="W1317">
        <v>0</v>
      </c>
      <c r="X1317" t="s">
        <v>44</v>
      </c>
      <c r="Y1317">
        <v>0</v>
      </c>
      <c r="Z1317" t="s">
        <v>44</v>
      </c>
      <c r="AA1317">
        <v>0</v>
      </c>
      <c r="AB1317" t="s">
        <v>45</v>
      </c>
      <c r="AC1317">
        <v>0</v>
      </c>
      <c r="AD1317" t="s">
        <v>61</v>
      </c>
      <c r="AE1317">
        <v>0</v>
      </c>
      <c r="AF1317" t="s">
        <v>47</v>
      </c>
      <c r="AG1317">
        <v>0</v>
      </c>
      <c r="AH1317" t="s">
        <v>31</v>
      </c>
      <c r="AI1317">
        <v>0</v>
      </c>
      <c r="AJ1317" t="s">
        <v>31</v>
      </c>
      <c r="AK1317">
        <v>0</v>
      </c>
      <c r="AL1317" t="s">
        <v>31</v>
      </c>
      <c r="AM1317">
        <v>0</v>
      </c>
      <c r="AN1317" t="s">
        <v>31</v>
      </c>
      <c r="AO1317">
        <v>0</v>
      </c>
      <c r="AP1317" t="s">
        <v>31</v>
      </c>
      <c r="AQ1317">
        <v>0</v>
      </c>
    </row>
    <row r="1318" spans="1:43" x14ac:dyDescent="0.2">
      <c r="A1318" t="s">
        <v>381</v>
      </c>
      <c r="B1318" s="3">
        <v>44263</v>
      </c>
      <c r="C1318">
        <v>29</v>
      </c>
      <c r="D1318" t="s">
        <v>384</v>
      </c>
      <c r="E1318" t="s">
        <v>62</v>
      </c>
      <c r="F1318" s="9" t="s">
        <v>63</v>
      </c>
      <c r="G1318" t="s">
        <v>26</v>
      </c>
      <c r="H1318" t="s">
        <v>64</v>
      </c>
      <c r="I1318" t="s">
        <v>65</v>
      </c>
      <c r="J1318" t="s">
        <v>43</v>
      </c>
      <c r="K1318" t="s">
        <v>44</v>
      </c>
      <c r="L1318" t="s">
        <v>29</v>
      </c>
      <c r="M1318" t="s">
        <v>30</v>
      </c>
      <c r="N1318" t="s">
        <v>64</v>
      </c>
      <c r="O1318" t="s">
        <v>65</v>
      </c>
      <c r="P1318" t="s">
        <v>43</v>
      </c>
      <c r="Q1318" t="s">
        <v>44</v>
      </c>
      <c r="R1318" s="1">
        <v>44263.38821759259</v>
      </c>
      <c r="S1318" s="1">
        <v>44263.390486111108</v>
      </c>
      <c r="T1318">
        <v>0</v>
      </c>
      <c r="U1318">
        <v>5</v>
      </c>
      <c r="V1318" s="2">
        <v>0</v>
      </c>
      <c r="W1318">
        <v>0</v>
      </c>
      <c r="X1318" t="s">
        <v>44</v>
      </c>
      <c r="Y1318">
        <v>0</v>
      </c>
      <c r="Z1318" t="s">
        <v>44</v>
      </c>
      <c r="AA1318">
        <v>0</v>
      </c>
      <c r="AB1318" t="s">
        <v>45</v>
      </c>
      <c r="AC1318">
        <v>0</v>
      </c>
      <c r="AD1318" t="s">
        <v>61</v>
      </c>
      <c r="AE1318">
        <v>0</v>
      </c>
      <c r="AF1318" t="s">
        <v>47</v>
      </c>
      <c r="AG1318">
        <v>0</v>
      </c>
      <c r="AH1318" t="s">
        <v>31</v>
      </c>
      <c r="AI1318">
        <v>0</v>
      </c>
      <c r="AJ1318" t="s">
        <v>31</v>
      </c>
      <c r="AK1318">
        <v>0</v>
      </c>
      <c r="AL1318" t="s">
        <v>31</v>
      </c>
      <c r="AM1318">
        <v>0</v>
      </c>
      <c r="AN1318" t="s">
        <v>31</v>
      </c>
      <c r="AO1318">
        <v>0</v>
      </c>
      <c r="AP1318" t="s">
        <v>31</v>
      </c>
      <c r="AQ1318">
        <v>0</v>
      </c>
    </row>
    <row r="1319" spans="1:43" x14ac:dyDescent="0.2">
      <c r="A1319" t="s">
        <v>381</v>
      </c>
      <c r="B1319" s="3">
        <v>44264</v>
      </c>
      <c r="C1319">
        <v>30</v>
      </c>
      <c r="D1319" t="s">
        <v>382</v>
      </c>
      <c r="E1319" t="s">
        <v>62</v>
      </c>
      <c r="F1319" s="9" t="s">
        <v>63</v>
      </c>
      <c r="G1319" t="s">
        <v>26</v>
      </c>
      <c r="H1319" t="s">
        <v>64</v>
      </c>
      <c r="I1319" t="s">
        <v>65</v>
      </c>
      <c r="J1319" t="s">
        <v>43</v>
      </c>
      <c r="K1319" t="s">
        <v>44</v>
      </c>
      <c r="L1319" t="s">
        <v>29</v>
      </c>
      <c r="M1319" t="s">
        <v>30</v>
      </c>
      <c r="N1319" t="s">
        <v>64</v>
      </c>
      <c r="O1319" t="s">
        <v>65</v>
      </c>
      <c r="P1319" t="s">
        <v>43</v>
      </c>
      <c r="Q1319" t="s">
        <v>44</v>
      </c>
      <c r="R1319" s="1">
        <v>44264.45579861111</v>
      </c>
      <c r="S1319" s="1">
        <v>44264.456053240741</v>
      </c>
      <c r="T1319">
        <v>0</v>
      </c>
      <c r="U1319">
        <v>5</v>
      </c>
      <c r="V1319" s="2">
        <v>0</v>
      </c>
      <c r="W1319">
        <v>0</v>
      </c>
      <c r="X1319" t="s">
        <v>44</v>
      </c>
      <c r="Y1319">
        <v>0</v>
      </c>
      <c r="Z1319" t="s">
        <v>44</v>
      </c>
      <c r="AA1319">
        <v>0</v>
      </c>
      <c r="AB1319" t="s">
        <v>45</v>
      </c>
      <c r="AC1319">
        <v>0</v>
      </c>
      <c r="AD1319" t="s">
        <v>61</v>
      </c>
      <c r="AE1319">
        <v>0</v>
      </c>
      <c r="AF1319" t="s">
        <v>47</v>
      </c>
      <c r="AG1319">
        <v>0</v>
      </c>
      <c r="AH1319" t="s">
        <v>31</v>
      </c>
      <c r="AI1319">
        <v>0</v>
      </c>
      <c r="AJ1319" t="s">
        <v>31</v>
      </c>
      <c r="AK1319">
        <v>0</v>
      </c>
      <c r="AL1319" t="s">
        <v>31</v>
      </c>
      <c r="AM1319">
        <v>0</v>
      </c>
      <c r="AN1319" t="s">
        <v>31</v>
      </c>
      <c r="AO1319">
        <v>0</v>
      </c>
      <c r="AP1319" t="s">
        <v>31</v>
      </c>
      <c r="AQ1319">
        <v>0</v>
      </c>
    </row>
    <row r="1320" spans="1:43" x14ac:dyDescent="0.2">
      <c r="A1320" t="s">
        <v>381</v>
      </c>
      <c r="B1320" s="3">
        <v>44265</v>
      </c>
      <c r="C1320">
        <v>32</v>
      </c>
      <c r="D1320" t="s">
        <v>384</v>
      </c>
      <c r="E1320" t="s">
        <v>62</v>
      </c>
      <c r="F1320" s="9" t="s">
        <v>63</v>
      </c>
      <c r="G1320" t="s">
        <v>26</v>
      </c>
      <c r="H1320" t="s">
        <v>64</v>
      </c>
      <c r="I1320" t="s">
        <v>65</v>
      </c>
      <c r="J1320" t="s">
        <v>43</v>
      </c>
      <c r="K1320" t="s">
        <v>44</v>
      </c>
      <c r="L1320" t="s">
        <v>29</v>
      </c>
      <c r="M1320" t="s">
        <v>30</v>
      </c>
      <c r="N1320" t="s">
        <v>64</v>
      </c>
      <c r="O1320" t="s">
        <v>65</v>
      </c>
      <c r="P1320" t="s">
        <v>43</v>
      </c>
      <c r="Q1320" t="s">
        <v>44</v>
      </c>
      <c r="R1320" s="1">
        <v>44265.419074074074</v>
      </c>
      <c r="S1320" s="1">
        <v>44265.420324074075</v>
      </c>
      <c r="T1320">
        <v>0</v>
      </c>
      <c r="U1320">
        <v>5</v>
      </c>
      <c r="V1320" s="2">
        <v>0</v>
      </c>
      <c r="W1320">
        <v>0</v>
      </c>
      <c r="X1320" t="s">
        <v>44</v>
      </c>
      <c r="Y1320">
        <v>0</v>
      </c>
      <c r="Z1320" t="s">
        <v>44</v>
      </c>
      <c r="AA1320">
        <v>0</v>
      </c>
      <c r="AB1320" t="s">
        <v>45</v>
      </c>
      <c r="AC1320">
        <v>0</v>
      </c>
      <c r="AD1320" t="s">
        <v>61</v>
      </c>
      <c r="AE1320">
        <v>0</v>
      </c>
      <c r="AF1320" t="s">
        <v>47</v>
      </c>
      <c r="AG1320">
        <v>0</v>
      </c>
      <c r="AH1320" t="s">
        <v>31</v>
      </c>
      <c r="AI1320">
        <v>0</v>
      </c>
      <c r="AJ1320" t="s">
        <v>31</v>
      </c>
      <c r="AK1320">
        <v>0</v>
      </c>
      <c r="AL1320" t="s">
        <v>31</v>
      </c>
      <c r="AM1320">
        <v>0</v>
      </c>
      <c r="AN1320" t="s">
        <v>31</v>
      </c>
      <c r="AO1320">
        <v>0</v>
      </c>
      <c r="AP1320" t="s">
        <v>31</v>
      </c>
      <c r="AQ1320">
        <v>0</v>
      </c>
    </row>
    <row r="1321" spans="1:43" x14ac:dyDescent="0.2">
      <c r="A1321" t="s">
        <v>381</v>
      </c>
      <c r="B1321" s="3">
        <v>44266</v>
      </c>
      <c r="C1321">
        <v>34</v>
      </c>
      <c r="D1321" t="s">
        <v>385</v>
      </c>
      <c r="E1321" t="s">
        <v>62</v>
      </c>
      <c r="F1321" s="9" t="s">
        <v>63</v>
      </c>
      <c r="G1321" t="s">
        <v>26</v>
      </c>
      <c r="H1321" t="s">
        <v>64</v>
      </c>
      <c r="I1321" t="s">
        <v>65</v>
      </c>
      <c r="J1321" t="s">
        <v>43</v>
      </c>
      <c r="K1321" t="s">
        <v>44</v>
      </c>
      <c r="L1321" t="s">
        <v>29</v>
      </c>
      <c r="M1321" t="s">
        <v>30</v>
      </c>
      <c r="N1321" t="s">
        <v>64</v>
      </c>
      <c r="O1321" t="s">
        <v>65</v>
      </c>
      <c r="P1321" t="s">
        <v>43</v>
      </c>
      <c r="Q1321" t="s">
        <v>44</v>
      </c>
      <c r="R1321" s="1">
        <v>44266.574999999997</v>
      </c>
      <c r="S1321" s="1">
        <v>44266.57534722222</v>
      </c>
      <c r="T1321">
        <v>0</v>
      </c>
      <c r="U1321">
        <v>5</v>
      </c>
      <c r="V1321" s="2">
        <v>0</v>
      </c>
      <c r="W1321">
        <v>0</v>
      </c>
      <c r="X1321" t="s">
        <v>44</v>
      </c>
      <c r="Y1321">
        <v>0</v>
      </c>
      <c r="Z1321" t="s">
        <v>44</v>
      </c>
      <c r="AA1321">
        <v>0</v>
      </c>
      <c r="AB1321" t="s">
        <v>45</v>
      </c>
      <c r="AC1321">
        <v>0</v>
      </c>
      <c r="AD1321" t="s">
        <v>61</v>
      </c>
      <c r="AE1321">
        <v>0</v>
      </c>
      <c r="AF1321" t="s">
        <v>47</v>
      </c>
      <c r="AG1321">
        <v>0</v>
      </c>
      <c r="AH1321" t="s">
        <v>31</v>
      </c>
      <c r="AI1321">
        <v>0</v>
      </c>
      <c r="AJ1321" t="s">
        <v>31</v>
      </c>
      <c r="AK1321">
        <v>0</v>
      </c>
      <c r="AL1321" t="s">
        <v>31</v>
      </c>
      <c r="AM1321">
        <v>0</v>
      </c>
      <c r="AN1321" t="s">
        <v>31</v>
      </c>
      <c r="AO1321">
        <v>0</v>
      </c>
      <c r="AP1321" t="s">
        <v>31</v>
      </c>
      <c r="AQ1321">
        <v>0</v>
      </c>
    </row>
    <row r="1322" spans="1:43" x14ac:dyDescent="0.2">
      <c r="A1322" t="s">
        <v>381</v>
      </c>
      <c r="B1322" s="3">
        <v>44270</v>
      </c>
      <c r="C1322">
        <v>35</v>
      </c>
      <c r="D1322" t="s">
        <v>384</v>
      </c>
      <c r="E1322" t="s">
        <v>62</v>
      </c>
      <c r="F1322" s="9" t="s">
        <v>63</v>
      </c>
      <c r="G1322" t="s">
        <v>26</v>
      </c>
      <c r="H1322" t="s">
        <v>64</v>
      </c>
      <c r="I1322" t="s">
        <v>65</v>
      </c>
      <c r="J1322" t="s">
        <v>43</v>
      </c>
      <c r="K1322" t="s">
        <v>44</v>
      </c>
      <c r="L1322" t="s">
        <v>29</v>
      </c>
      <c r="M1322" t="s">
        <v>30</v>
      </c>
      <c r="N1322" t="s">
        <v>64</v>
      </c>
      <c r="O1322" t="s">
        <v>65</v>
      </c>
      <c r="P1322" t="s">
        <v>43</v>
      </c>
      <c r="Q1322" t="s">
        <v>44</v>
      </c>
      <c r="R1322" s="1">
        <v>44270.385300925926</v>
      </c>
      <c r="S1322" s="1">
        <v>44270.390879629631</v>
      </c>
      <c r="T1322">
        <v>1</v>
      </c>
      <c r="U1322">
        <v>6</v>
      </c>
      <c r="V1322" s="2">
        <v>0.16</v>
      </c>
      <c r="W1322">
        <v>0</v>
      </c>
      <c r="X1322" t="s">
        <v>44</v>
      </c>
      <c r="Y1322">
        <v>0</v>
      </c>
      <c r="Z1322" t="s">
        <v>44</v>
      </c>
      <c r="AA1322">
        <v>0</v>
      </c>
      <c r="AB1322" t="s">
        <v>45</v>
      </c>
      <c r="AC1322">
        <v>0</v>
      </c>
      <c r="AD1322" t="s">
        <v>61</v>
      </c>
      <c r="AE1322">
        <v>0</v>
      </c>
      <c r="AF1322" t="s">
        <v>44</v>
      </c>
      <c r="AG1322">
        <v>0</v>
      </c>
      <c r="AH1322" t="s">
        <v>30</v>
      </c>
      <c r="AI1322">
        <v>0</v>
      </c>
      <c r="AJ1322" t="s">
        <v>31</v>
      </c>
      <c r="AK1322">
        <v>0</v>
      </c>
      <c r="AL1322" t="s">
        <v>31</v>
      </c>
      <c r="AM1322">
        <v>0</v>
      </c>
      <c r="AN1322" t="s">
        <v>31</v>
      </c>
      <c r="AO1322">
        <v>0</v>
      </c>
      <c r="AP1322" t="s">
        <v>31</v>
      </c>
      <c r="AQ1322">
        <v>0</v>
      </c>
    </row>
    <row r="1323" spans="1:43" x14ac:dyDescent="0.2">
      <c r="A1323" t="s">
        <v>381</v>
      </c>
      <c r="B1323" s="3">
        <v>44272</v>
      </c>
      <c r="C1323">
        <v>38</v>
      </c>
      <c r="D1323" t="s">
        <v>384</v>
      </c>
      <c r="E1323" t="s">
        <v>62</v>
      </c>
      <c r="F1323" s="9" t="s">
        <v>63</v>
      </c>
      <c r="G1323" t="s">
        <v>26</v>
      </c>
      <c r="H1323" t="s">
        <v>64</v>
      </c>
      <c r="I1323" t="s">
        <v>65</v>
      </c>
      <c r="J1323" t="s">
        <v>43</v>
      </c>
      <c r="K1323" t="s">
        <v>44</v>
      </c>
      <c r="L1323" t="s">
        <v>29</v>
      </c>
      <c r="M1323" t="s">
        <v>30</v>
      </c>
      <c r="N1323" t="s">
        <v>64</v>
      </c>
      <c r="O1323" t="s">
        <v>65</v>
      </c>
      <c r="P1323" t="s">
        <v>43</v>
      </c>
      <c r="Q1323" t="s">
        <v>44</v>
      </c>
      <c r="R1323" s="1">
        <v>44272.394537037035</v>
      </c>
      <c r="S1323" s="1">
        <v>44272.395578703705</v>
      </c>
      <c r="T1323">
        <v>1</v>
      </c>
      <c r="U1323">
        <v>4</v>
      </c>
      <c r="V1323" s="2">
        <v>0.25</v>
      </c>
      <c r="W1323">
        <v>0</v>
      </c>
      <c r="X1323" t="s">
        <v>44</v>
      </c>
      <c r="Y1323">
        <v>0</v>
      </c>
      <c r="Z1323" t="s">
        <v>44</v>
      </c>
      <c r="AA1323">
        <v>0</v>
      </c>
      <c r="AB1323" t="s">
        <v>45</v>
      </c>
      <c r="AC1323">
        <v>0</v>
      </c>
      <c r="AD1323" t="s">
        <v>30</v>
      </c>
      <c r="AE1323">
        <v>0</v>
      </c>
      <c r="AF1323" t="s">
        <v>31</v>
      </c>
      <c r="AG1323">
        <v>0</v>
      </c>
      <c r="AH1323" t="s">
        <v>31</v>
      </c>
      <c r="AI1323">
        <v>0</v>
      </c>
      <c r="AJ1323" t="s">
        <v>31</v>
      </c>
      <c r="AK1323">
        <v>0</v>
      </c>
      <c r="AL1323" t="s">
        <v>31</v>
      </c>
      <c r="AM1323">
        <v>0</v>
      </c>
      <c r="AN1323" t="s">
        <v>31</v>
      </c>
      <c r="AO1323">
        <v>0</v>
      </c>
      <c r="AP1323" t="s">
        <v>31</v>
      </c>
      <c r="AQ1323">
        <v>0</v>
      </c>
    </row>
    <row r="1324" spans="1:43" x14ac:dyDescent="0.2">
      <c r="A1324" t="s">
        <v>381</v>
      </c>
      <c r="B1324" s="3">
        <v>44279</v>
      </c>
      <c r="C1324">
        <v>41</v>
      </c>
      <c r="D1324" t="s">
        <v>384</v>
      </c>
      <c r="E1324" t="s">
        <v>62</v>
      </c>
      <c r="F1324" s="9" t="s">
        <v>63</v>
      </c>
      <c r="G1324" t="s">
        <v>26</v>
      </c>
      <c r="H1324" t="s">
        <v>64</v>
      </c>
      <c r="I1324" t="s">
        <v>65</v>
      </c>
      <c r="J1324" t="s">
        <v>43</v>
      </c>
      <c r="K1324" t="s">
        <v>44</v>
      </c>
      <c r="L1324" t="s">
        <v>29</v>
      </c>
      <c r="M1324" t="s">
        <v>30</v>
      </c>
      <c r="N1324" t="s">
        <v>64</v>
      </c>
      <c r="O1324" t="s">
        <v>65</v>
      </c>
      <c r="P1324" t="s">
        <v>43</v>
      </c>
      <c r="Q1324" t="s">
        <v>44</v>
      </c>
      <c r="R1324" s="1">
        <v>44279.390219907407</v>
      </c>
      <c r="S1324" s="1">
        <v>44279.392164351855</v>
      </c>
      <c r="T1324">
        <v>0</v>
      </c>
      <c r="U1324">
        <v>5</v>
      </c>
      <c r="V1324" s="2">
        <v>0</v>
      </c>
      <c r="W1324">
        <v>0</v>
      </c>
      <c r="X1324" t="s">
        <v>44</v>
      </c>
      <c r="Y1324">
        <v>0</v>
      </c>
      <c r="Z1324" t="s">
        <v>44</v>
      </c>
      <c r="AA1324">
        <v>0</v>
      </c>
      <c r="AB1324" t="s">
        <v>45</v>
      </c>
      <c r="AC1324">
        <v>0</v>
      </c>
      <c r="AD1324" t="s">
        <v>61</v>
      </c>
      <c r="AE1324">
        <v>0</v>
      </c>
      <c r="AF1324" t="s">
        <v>47</v>
      </c>
      <c r="AG1324">
        <v>0</v>
      </c>
      <c r="AH1324" t="s">
        <v>31</v>
      </c>
      <c r="AI1324">
        <v>0</v>
      </c>
      <c r="AJ1324" t="s">
        <v>31</v>
      </c>
      <c r="AK1324">
        <v>0</v>
      </c>
      <c r="AL1324" t="s">
        <v>31</v>
      </c>
      <c r="AM1324">
        <v>0</v>
      </c>
      <c r="AN1324" t="s">
        <v>31</v>
      </c>
      <c r="AO1324">
        <v>0</v>
      </c>
      <c r="AP1324" t="s">
        <v>31</v>
      </c>
      <c r="AQ1324">
        <v>0</v>
      </c>
    </row>
    <row r="1325" spans="1:43" x14ac:dyDescent="0.2">
      <c r="A1325" t="s">
        <v>381</v>
      </c>
      <c r="B1325" s="3">
        <v>44281</v>
      </c>
      <c r="C1325">
        <v>42</v>
      </c>
      <c r="D1325" t="s">
        <v>384</v>
      </c>
      <c r="E1325" t="s">
        <v>62</v>
      </c>
      <c r="F1325" s="9" t="s">
        <v>63</v>
      </c>
      <c r="G1325" t="s">
        <v>26</v>
      </c>
      <c r="H1325" t="s">
        <v>64</v>
      </c>
      <c r="I1325" t="s">
        <v>65</v>
      </c>
      <c r="J1325" t="s">
        <v>43</v>
      </c>
      <c r="K1325" t="s">
        <v>44</v>
      </c>
      <c r="L1325" t="s">
        <v>29</v>
      </c>
      <c r="M1325" t="s">
        <v>30</v>
      </c>
      <c r="N1325" t="s">
        <v>64</v>
      </c>
      <c r="O1325" t="s">
        <v>65</v>
      </c>
      <c r="P1325" t="s">
        <v>43</v>
      </c>
      <c r="Q1325" t="s">
        <v>44</v>
      </c>
      <c r="R1325" s="1">
        <v>44281.422060185185</v>
      </c>
      <c r="S1325" s="1">
        <v>44281.422881944447</v>
      </c>
      <c r="T1325">
        <v>0</v>
      </c>
      <c r="U1325">
        <v>5</v>
      </c>
      <c r="V1325" s="2">
        <v>0</v>
      </c>
      <c r="W1325">
        <v>0</v>
      </c>
      <c r="X1325" t="s">
        <v>44</v>
      </c>
      <c r="Y1325">
        <v>0</v>
      </c>
      <c r="Z1325" t="s">
        <v>44</v>
      </c>
      <c r="AA1325">
        <v>0</v>
      </c>
      <c r="AB1325" t="s">
        <v>45</v>
      </c>
      <c r="AC1325">
        <v>0</v>
      </c>
      <c r="AD1325" t="s">
        <v>61</v>
      </c>
      <c r="AE1325">
        <v>0</v>
      </c>
      <c r="AF1325" t="s">
        <v>47</v>
      </c>
      <c r="AG1325">
        <v>0</v>
      </c>
      <c r="AH1325" t="s">
        <v>31</v>
      </c>
      <c r="AI1325">
        <v>0</v>
      </c>
      <c r="AJ1325" t="s">
        <v>31</v>
      </c>
      <c r="AK1325">
        <v>0</v>
      </c>
      <c r="AL1325" t="s">
        <v>31</v>
      </c>
      <c r="AM1325">
        <v>0</v>
      </c>
      <c r="AN1325" t="s">
        <v>31</v>
      </c>
      <c r="AO1325">
        <v>0</v>
      </c>
      <c r="AP1325" t="s">
        <v>31</v>
      </c>
      <c r="AQ1325">
        <v>0</v>
      </c>
    </row>
    <row r="1326" spans="1:43" x14ac:dyDescent="0.2">
      <c r="A1326" t="s">
        <v>381</v>
      </c>
      <c r="B1326" s="3">
        <v>44284</v>
      </c>
      <c r="C1326">
        <v>43</v>
      </c>
      <c r="D1326" t="s">
        <v>384</v>
      </c>
      <c r="E1326" t="s">
        <v>62</v>
      </c>
      <c r="F1326" s="9" t="s">
        <v>63</v>
      </c>
      <c r="G1326" t="s">
        <v>26</v>
      </c>
      <c r="H1326" t="s">
        <v>64</v>
      </c>
      <c r="I1326" t="s">
        <v>65</v>
      </c>
      <c r="J1326" t="s">
        <v>43</v>
      </c>
      <c r="K1326" t="s">
        <v>44</v>
      </c>
      <c r="L1326" t="s">
        <v>29</v>
      </c>
      <c r="M1326" t="s">
        <v>30</v>
      </c>
      <c r="N1326" t="s">
        <v>64</v>
      </c>
      <c r="O1326" t="s">
        <v>65</v>
      </c>
      <c r="P1326" t="s">
        <v>43</v>
      </c>
      <c r="Q1326" t="s">
        <v>44</v>
      </c>
      <c r="R1326" s="1">
        <v>44284.41233796296</v>
      </c>
      <c r="S1326" s="1">
        <v>44284.413842592592</v>
      </c>
      <c r="T1326">
        <v>0</v>
      </c>
      <c r="U1326">
        <v>5</v>
      </c>
      <c r="V1326" s="2">
        <v>0</v>
      </c>
      <c r="W1326">
        <v>0</v>
      </c>
      <c r="X1326" t="s">
        <v>44</v>
      </c>
      <c r="Y1326">
        <v>0</v>
      </c>
      <c r="Z1326" t="s">
        <v>44</v>
      </c>
      <c r="AA1326">
        <v>0</v>
      </c>
      <c r="AB1326" t="s">
        <v>45</v>
      </c>
      <c r="AC1326">
        <v>0</v>
      </c>
      <c r="AD1326" t="s">
        <v>61</v>
      </c>
      <c r="AE1326">
        <v>0</v>
      </c>
      <c r="AF1326" t="s">
        <v>47</v>
      </c>
      <c r="AG1326">
        <v>0</v>
      </c>
      <c r="AH1326" t="s">
        <v>31</v>
      </c>
      <c r="AI1326">
        <v>0</v>
      </c>
      <c r="AJ1326" t="s">
        <v>31</v>
      </c>
      <c r="AK1326">
        <v>0</v>
      </c>
      <c r="AL1326" t="s">
        <v>31</v>
      </c>
      <c r="AM1326">
        <v>0</v>
      </c>
      <c r="AN1326" t="s">
        <v>31</v>
      </c>
      <c r="AO1326">
        <v>0</v>
      </c>
      <c r="AP1326" t="s">
        <v>31</v>
      </c>
      <c r="AQ1326">
        <v>0</v>
      </c>
    </row>
    <row r="1327" spans="1:43" x14ac:dyDescent="0.2">
      <c r="A1327" t="s">
        <v>381</v>
      </c>
      <c r="B1327" s="3">
        <v>44286</v>
      </c>
      <c r="C1327">
        <v>46</v>
      </c>
      <c r="D1327" t="s">
        <v>384</v>
      </c>
      <c r="E1327" t="s">
        <v>62</v>
      </c>
      <c r="F1327" s="9" t="s">
        <v>63</v>
      </c>
      <c r="G1327" t="s">
        <v>26</v>
      </c>
      <c r="H1327" t="s">
        <v>64</v>
      </c>
      <c r="I1327" t="s">
        <v>65</v>
      </c>
      <c r="J1327" t="s">
        <v>43</v>
      </c>
      <c r="K1327" t="s">
        <v>44</v>
      </c>
      <c r="L1327" t="s">
        <v>29</v>
      </c>
      <c r="M1327" t="s">
        <v>30</v>
      </c>
      <c r="N1327" t="s">
        <v>64</v>
      </c>
      <c r="O1327" t="s">
        <v>65</v>
      </c>
      <c r="P1327" t="s">
        <v>43</v>
      </c>
      <c r="Q1327" t="s">
        <v>44</v>
      </c>
      <c r="R1327" s="1">
        <v>44286.422256944446</v>
      </c>
      <c r="S1327" s="1">
        <v>44286.423194444447</v>
      </c>
      <c r="T1327">
        <v>0</v>
      </c>
      <c r="U1327">
        <v>5</v>
      </c>
      <c r="V1327" s="2">
        <v>0</v>
      </c>
      <c r="W1327">
        <v>0</v>
      </c>
      <c r="X1327" t="s">
        <v>44</v>
      </c>
      <c r="Y1327">
        <v>0</v>
      </c>
      <c r="Z1327" t="s">
        <v>44</v>
      </c>
      <c r="AA1327">
        <v>0</v>
      </c>
      <c r="AB1327" t="s">
        <v>45</v>
      </c>
      <c r="AC1327">
        <v>0</v>
      </c>
      <c r="AD1327" t="s">
        <v>61</v>
      </c>
      <c r="AE1327">
        <v>0</v>
      </c>
      <c r="AF1327" t="s">
        <v>47</v>
      </c>
      <c r="AG1327">
        <v>0</v>
      </c>
      <c r="AH1327" t="s">
        <v>31</v>
      </c>
      <c r="AI1327">
        <v>0</v>
      </c>
      <c r="AJ1327" t="s">
        <v>31</v>
      </c>
      <c r="AK1327">
        <v>0</v>
      </c>
      <c r="AL1327" t="s">
        <v>31</v>
      </c>
      <c r="AM1327">
        <v>0</v>
      </c>
      <c r="AN1327" t="s">
        <v>31</v>
      </c>
      <c r="AO1327">
        <v>0</v>
      </c>
      <c r="AP1327" t="s">
        <v>31</v>
      </c>
      <c r="AQ1327">
        <v>0</v>
      </c>
    </row>
    <row r="1328" spans="1:43" x14ac:dyDescent="0.2">
      <c r="A1328" t="s">
        <v>381</v>
      </c>
      <c r="B1328" s="3">
        <v>44288</v>
      </c>
      <c r="C1328">
        <v>49</v>
      </c>
      <c r="D1328" t="s">
        <v>384</v>
      </c>
      <c r="E1328" t="s">
        <v>62</v>
      </c>
      <c r="F1328" s="9" t="s">
        <v>63</v>
      </c>
      <c r="G1328" t="s">
        <v>26</v>
      </c>
      <c r="H1328" t="s">
        <v>64</v>
      </c>
      <c r="I1328" t="s">
        <v>65</v>
      </c>
      <c r="J1328" t="s">
        <v>43</v>
      </c>
      <c r="K1328" t="s">
        <v>44</v>
      </c>
      <c r="L1328" t="s">
        <v>29</v>
      </c>
      <c r="M1328" t="s">
        <v>30</v>
      </c>
      <c r="N1328" t="s">
        <v>64</v>
      </c>
      <c r="O1328" t="s">
        <v>65</v>
      </c>
      <c r="P1328" t="s">
        <v>43</v>
      </c>
      <c r="Q1328" t="s">
        <v>44</v>
      </c>
      <c r="R1328" s="1">
        <v>44288.381226851852</v>
      </c>
      <c r="S1328" s="1">
        <v>44288.382986111108</v>
      </c>
      <c r="T1328">
        <v>0</v>
      </c>
      <c r="U1328">
        <v>5</v>
      </c>
      <c r="V1328" s="2">
        <v>0</v>
      </c>
      <c r="W1328">
        <v>0</v>
      </c>
      <c r="X1328" t="s">
        <v>44</v>
      </c>
      <c r="Y1328">
        <v>0</v>
      </c>
      <c r="Z1328" t="s">
        <v>44</v>
      </c>
      <c r="AA1328">
        <v>0</v>
      </c>
      <c r="AB1328" t="s">
        <v>45</v>
      </c>
      <c r="AC1328">
        <v>0</v>
      </c>
      <c r="AD1328" t="s">
        <v>61</v>
      </c>
      <c r="AE1328">
        <v>0</v>
      </c>
      <c r="AF1328" t="s">
        <v>47</v>
      </c>
      <c r="AG1328">
        <v>0</v>
      </c>
      <c r="AH1328" t="s">
        <v>31</v>
      </c>
      <c r="AI1328">
        <v>0</v>
      </c>
      <c r="AJ1328" t="s">
        <v>31</v>
      </c>
      <c r="AK1328">
        <v>0</v>
      </c>
      <c r="AL1328" t="s">
        <v>31</v>
      </c>
      <c r="AM1328">
        <v>0</v>
      </c>
      <c r="AN1328" t="s">
        <v>31</v>
      </c>
      <c r="AO1328">
        <v>0</v>
      </c>
      <c r="AP1328" t="s">
        <v>31</v>
      </c>
      <c r="AQ1328">
        <v>0</v>
      </c>
    </row>
    <row r="1329" spans="1:43" x14ac:dyDescent="0.2">
      <c r="A1329" t="s">
        <v>381</v>
      </c>
      <c r="B1329" s="3">
        <v>44293</v>
      </c>
      <c r="C1329">
        <v>53</v>
      </c>
      <c r="D1329" t="s">
        <v>384</v>
      </c>
      <c r="E1329" t="s">
        <v>62</v>
      </c>
      <c r="F1329" s="9" t="s">
        <v>63</v>
      </c>
      <c r="G1329" t="s">
        <v>26</v>
      </c>
      <c r="H1329" t="s">
        <v>64</v>
      </c>
      <c r="I1329" t="s">
        <v>65</v>
      </c>
      <c r="J1329" t="s">
        <v>43</v>
      </c>
      <c r="K1329" t="s">
        <v>44</v>
      </c>
      <c r="L1329" t="s">
        <v>29</v>
      </c>
      <c r="M1329" t="s">
        <v>30</v>
      </c>
      <c r="N1329" t="s">
        <v>64</v>
      </c>
      <c r="O1329" t="s">
        <v>65</v>
      </c>
      <c r="P1329" t="s">
        <v>43</v>
      </c>
      <c r="Q1329" t="s">
        <v>44</v>
      </c>
      <c r="R1329" s="1">
        <v>44293.386944444443</v>
      </c>
      <c r="S1329" s="1">
        <v>44293.394594907404</v>
      </c>
      <c r="T1329">
        <v>0</v>
      </c>
      <c r="U1329">
        <v>5</v>
      </c>
      <c r="V1329" s="2">
        <v>0</v>
      </c>
      <c r="W1329">
        <v>0</v>
      </c>
      <c r="X1329" t="s">
        <v>44</v>
      </c>
      <c r="Y1329">
        <v>0</v>
      </c>
      <c r="Z1329" t="s">
        <v>44</v>
      </c>
      <c r="AA1329">
        <v>0</v>
      </c>
      <c r="AB1329" t="s">
        <v>45</v>
      </c>
      <c r="AC1329">
        <v>0</v>
      </c>
      <c r="AD1329" t="s">
        <v>61</v>
      </c>
      <c r="AE1329">
        <v>0</v>
      </c>
      <c r="AF1329" t="s">
        <v>47</v>
      </c>
      <c r="AG1329">
        <v>0</v>
      </c>
      <c r="AH1329" t="s">
        <v>31</v>
      </c>
      <c r="AI1329">
        <v>0</v>
      </c>
      <c r="AJ1329" t="s">
        <v>31</v>
      </c>
      <c r="AK1329">
        <v>0</v>
      </c>
      <c r="AL1329" t="s">
        <v>31</v>
      </c>
      <c r="AM1329">
        <v>0</v>
      </c>
      <c r="AN1329" t="s">
        <v>31</v>
      </c>
      <c r="AO1329">
        <v>0</v>
      </c>
      <c r="AP1329" t="s">
        <v>31</v>
      </c>
      <c r="AQ1329">
        <v>0</v>
      </c>
    </row>
    <row r="1330" spans="1:43" x14ac:dyDescent="0.2">
      <c r="A1330" t="s">
        <v>381</v>
      </c>
      <c r="B1330" s="3">
        <v>44295</v>
      </c>
      <c r="C1330">
        <v>56</v>
      </c>
      <c r="D1330" t="s">
        <v>384</v>
      </c>
      <c r="E1330" t="s">
        <v>62</v>
      </c>
      <c r="F1330" s="9" t="s">
        <v>63</v>
      </c>
      <c r="G1330" t="s">
        <v>26</v>
      </c>
      <c r="H1330" t="s">
        <v>64</v>
      </c>
      <c r="I1330" t="s">
        <v>65</v>
      </c>
      <c r="J1330" t="s">
        <v>43</v>
      </c>
      <c r="K1330" t="s">
        <v>44</v>
      </c>
      <c r="L1330" t="s">
        <v>29</v>
      </c>
      <c r="M1330" t="s">
        <v>30</v>
      </c>
      <c r="N1330" t="s">
        <v>64</v>
      </c>
      <c r="O1330" t="s">
        <v>65</v>
      </c>
      <c r="P1330" t="s">
        <v>43</v>
      </c>
      <c r="Q1330" t="s">
        <v>44</v>
      </c>
      <c r="R1330" s="1">
        <v>44295.415150462963</v>
      </c>
      <c r="S1330" s="1">
        <v>44295.416666666664</v>
      </c>
      <c r="T1330">
        <v>0</v>
      </c>
      <c r="U1330">
        <v>5</v>
      </c>
      <c r="V1330" s="2">
        <v>0</v>
      </c>
      <c r="W1330">
        <v>0</v>
      </c>
      <c r="X1330" t="s">
        <v>44</v>
      </c>
      <c r="Y1330">
        <v>0</v>
      </c>
      <c r="Z1330" t="s">
        <v>44</v>
      </c>
      <c r="AA1330">
        <v>0</v>
      </c>
      <c r="AB1330" t="s">
        <v>45</v>
      </c>
      <c r="AC1330">
        <v>0</v>
      </c>
      <c r="AD1330" t="s">
        <v>61</v>
      </c>
      <c r="AE1330">
        <v>0</v>
      </c>
      <c r="AF1330" t="s">
        <v>47</v>
      </c>
      <c r="AG1330">
        <v>0</v>
      </c>
      <c r="AH1330" t="s">
        <v>31</v>
      </c>
      <c r="AI1330">
        <v>0</v>
      </c>
      <c r="AJ1330" t="s">
        <v>31</v>
      </c>
      <c r="AK1330">
        <v>0</v>
      </c>
      <c r="AL1330" t="s">
        <v>31</v>
      </c>
      <c r="AM1330">
        <v>0</v>
      </c>
      <c r="AN1330" t="s">
        <v>31</v>
      </c>
      <c r="AO1330">
        <v>0</v>
      </c>
      <c r="AP1330" t="s">
        <v>31</v>
      </c>
      <c r="AQ1330">
        <v>0</v>
      </c>
    </row>
    <row r="1331" spans="1:43" x14ac:dyDescent="0.2">
      <c r="A1331" t="s">
        <v>381</v>
      </c>
      <c r="B1331" s="3">
        <v>44298</v>
      </c>
      <c r="C1331">
        <v>57</v>
      </c>
      <c r="D1331" t="s">
        <v>387</v>
      </c>
      <c r="E1331" t="s">
        <v>62</v>
      </c>
      <c r="F1331" s="9" t="s">
        <v>63</v>
      </c>
      <c r="G1331" t="s">
        <v>26</v>
      </c>
      <c r="H1331" t="s">
        <v>64</v>
      </c>
      <c r="I1331" t="s">
        <v>65</v>
      </c>
      <c r="J1331" t="s">
        <v>43</v>
      </c>
      <c r="K1331" t="s">
        <v>44</v>
      </c>
      <c r="L1331" t="s">
        <v>29</v>
      </c>
      <c r="M1331" t="s">
        <v>30</v>
      </c>
      <c r="N1331" t="s">
        <v>64</v>
      </c>
      <c r="O1331" t="s">
        <v>65</v>
      </c>
      <c r="P1331" t="s">
        <v>43</v>
      </c>
      <c r="Q1331" t="s">
        <v>44</v>
      </c>
      <c r="R1331" s="1">
        <v>44298.658773148149</v>
      </c>
      <c r="S1331" s="1">
        <v>44298.659780092596</v>
      </c>
      <c r="T1331">
        <v>0</v>
      </c>
      <c r="U1331">
        <v>5</v>
      </c>
      <c r="V1331" s="2">
        <v>0</v>
      </c>
      <c r="W1331">
        <v>0</v>
      </c>
      <c r="X1331" t="s">
        <v>44</v>
      </c>
      <c r="Y1331">
        <v>0</v>
      </c>
      <c r="Z1331" t="s">
        <v>44</v>
      </c>
      <c r="AA1331">
        <v>0</v>
      </c>
      <c r="AB1331" t="s">
        <v>45</v>
      </c>
      <c r="AC1331">
        <v>0</v>
      </c>
      <c r="AD1331" t="s">
        <v>61</v>
      </c>
      <c r="AE1331">
        <v>0</v>
      </c>
      <c r="AF1331" t="s">
        <v>47</v>
      </c>
      <c r="AG1331">
        <v>0</v>
      </c>
      <c r="AH1331" t="s">
        <v>31</v>
      </c>
      <c r="AI1331">
        <v>0</v>
      </c>
      <c r="AJ1331" t="s">
        <v>31</v>
      </c>
      <c r="AK1331">
        <v>0</v>
      </c>
      <c r="AL1331" t="s">
        <v>31</v>
      </c>
      <c r="AM1331">
        <v>0</v>
      </c>
      <c r="AN1331" t="s">
        <v>31</v>
      </c>
      <c r="AO1331">
        <v>0</v>
      </c>
      <c r="AP1331" t="s">
        <v>31</v>
      </c>
      <c r="AQ1331">
        <v>0</v>
      </c>
    </row>
    <row r="1332" spans="1:43" x14ac:dyDescent="0.2">
      <c r="A1332" t="s">
        <v>381</v>
      </c>
      <c r="B1332" s="3">
        <v>44300</v>
      </c>
      <c r="C1332">
        <v>60</v>
      </c>
      <c r="D1332" t="s">
        <v>398</v>
      </c>
      <c r="E1332" t="s">
        <v>62</v>
      </c>
      <c r="F1332" s="9" t="s">
        <v>63</v>
      </c>
      <c r="G1332" t="s">
        <v>26</v>
      </c>
      <c r="H1332" t="s">
        <v>64</v>
      </c>
      <c r="I1332" t="s">
        <v>65</v>
      </c>
      <c r="J1332" t="s">
        <v>43</v>
      </c>
      <c r="K1332" t="s">
        <v>44</v>
      </c>
      <c r="L1332" t="s">
        <v>29</v>
      </c>
      <c r="M1332" t="s">
        <v>30</v>
      </c>
      <c r="N1332" t="s">
        <v>64</v>
      </c>
      <c r="O1332" t="s">
        <v>65</v>
      </c>
      <c r="P1332" t="s">
        <v>43</v>
      </c>
      <c r="Q1332" t="s">
        <v>44</v>
      </c>
      <c r="R1332" s="1">
        <v>44300.463969907411</v>
      </c>
      <c r="S1332" s="1">
        <v>44300.464629629627</v>
      </c>
      <c r="T1332">
        <v>0</v>
      </c>
      <c r="U1332">
        <v>5</v>
      </c>
      <c r="V1332" s="2">
        <v>0</v>
      </c>
      <c r="W1332">
        <v>0</v>
      </c>
      <c r="X1332" t="s">
        <v>44</v>
      </c>
      <c r="Y1332">
        <v>0</v>
      </c>
      <c r="Z1332" t="s">
        <v>44</v>
      </c>
      <c r="AA1332">
        <v>0</v>
      </c>
      <c r="AB1332" t="s">
        <v>45</v>
      </c>
      <c r="AC1332">
        <v>0</v>
      </c>
      <c r="AD1332" t="s">
        <v>61</v>
      </c>
      <c r="AE1332">
        <v>0</v>
      </c>
      <c r="AF1332" t="s">
        <v>47</v>
      </c>
      <c r="AG1332">
        <v>0</v>
      </c>
      <c r="AH1332" t="s">
        <v>31</v>
      </c>
      <c r="AI1332">
        <v>0</v>
      </c>
      <c r="AJ1332" t="s">
        <v>31</v>
      </c>
      <c r="AK1332">
        <v>0</v>
      </c>
      <c r="AL1332" t="s">
        <v>31</v>
      </c>
      <c r="AM1332">
        <v>0</v>
      </c>
      <c r="AN1332" t="s">
        <v>31</v>
      </c>
      <c r="AO1332">
        <v>0</v>
      </c>
      <c r="AP1332" t="s">
        <v>31</v>
      </c>
      <c r="AQ1332">
        <v>0</v>
      </c>
    </row>
    <row r="1333" spans="1:43" x14ac:dyDescent="0.2">
      <c r="A1333" t="s">
        <v>381</v>
      </c>
      <c r="B1333" s="3">
        <v>44309</v>
      </c>
      <c r="C1333">
        <v>71</v>
      </c>
      <c r="D1333" t="s">
        <v>391</v>
      </c>
      <c r="E1333" t="s">
        <v>62</v>
      </c>
      <c r="F1333" s="9" t="s">
        <v>63</v>
      </c>
      <c r="G1333" t="s">
        <v>26</v>
      </c>
      <c r="H1333" t="s">
        <v>64</v>
      </c>
      <c r="I1333" t="s">
        <v>65</v>
      </c>
      <c r="J1333" t="s">
        <v>43</v>
      </c>
      <c r="K1333" t="s">
        <v>44</v>
      </c>
      <c r="L1333" t="s">
        <v>29</v>
      </c>
      <c r="M1333" t="s">
        <v>30</v>
      </c>
      <c r="N1333" t="s">
        <v>64</v>
      </c>
      <c r="O1333" t="s">
        <v>65</v>
      </c>
      <c r="P1333" t="s">
        <v>43</v>
      </c>
      <c r="Q1333" t="s">
        <v>44</v>
      </c>
      <c r="R1333" s="1">
        <v>44309.61005787037</v>
      </c>
      <c r="S1333" s="1">
        <v>44309.611828703702</v>
      </c>
      <c r="T1333">
        <v>0</v>
      </c>
      <c r="U1333">
        <v>5</v>
      </c>
      <c r="V1333" s="2">
        <v>0</v>
      </c>
      <c r="W1333">
        <v>0</v>
      </c>
      <c r="X1333" t="s">
        <v>44</v>
      </c>
      <c r="Y1333">
        <v>0</v>
      </c>
      <c r="Z1333" t="s">
        <v>44</v>
      </c>
      <c r="AA1333">
        <v>0</v>
      </c>
      <c r="AB1333" t="s">
        <v>45</v>
      </c>
      <c r="AC1333">
        <v>0</v>
      </c>
      <c r="AD1333" t="s">
        <v>61</v>
      </c>
      <c r="AE1333">
        <v>0</v>
      </c>
      <c r="AF1333" t="s">
        <v>47</v>
      </c>
      <c r="AG1333">
        <v>0</v>
      </c>
      <c r="AH1333" t="s">
        <v>31</v>
      </c>
      <c r="AI1333">
        <v>0</v>
      </c>
      <c r="AJ1333" t="s">
        <v>31</v>
      </c>
      <c r="AK1333">
        <v>0</v>
      </c>
      <c r="AL1333" t="s">
        <v>31</v>
      </c>
      <c r="AM1333">
        <v>0</v>
      </c>
      <c r="AN1333" t="s">
        <v>31</v>
      </c>
      <c r="AO1333">
        <v>0</v>
      </c>
      <c r="AP1333" t="s">
        <v>31</v>
      </c>
      <c r="AQ1333">
        <v>0</v>
      </c>
    </row>
    <row r="1334" spans="1:43" x14ac:dyDescent="0.2">
      <c r="A1334" t="s">
        <v>381</v>
      </c>
      <c r="B1334" s="3">
        <v>44312</v>
      </c>
      <c r="C1334">
        <v>72</v>
      </c>
      <c r="D1334" t="s">
        <v>402</v>
      </c>
      <c r="E1334" t="s">
        <v>62</v>
      </c>
      <c r="F1334" s="9" t="s">
        <v>63</v>
      </c>
      <c r="G1334" t="s">
        <v>26</v>
      </c>
      <c r="H1334" t="s">
        <v>64</v>
      </c>
      <c r="I1334" t="s">
        <v>65</v>
      </c>
      <c r="J1334" t="s">
        <v>43</v>
      </c>
      <c r="K1334" t="s">
        <v>44</v>
      </c>
      <c r="L1334" t="s">
        <v>29</v>
      </c>
      <c r="M1334" t="s">
        <v>30</v>
      </c>
      <c r="N1334" t="s">
        <v>64</v>
      </c>
      <c r="O1334" t="s">
        <v>65</v>
      </c>
      <c r="P1334" t="s">
        <v>43</v>
      </c>
      <c r="Q1334" t="s">
        <v>44</v>
      </c>
      <c r="R1334" s="1">
        <v>44312.481898148151</v>
      </c>
      <c r="S1334" s="1">
        <v>44312.481898148151</v>
      </c>
      <c r="T1334">
        <v>0</v>
      </c>
      <c r="U1334">
        <v>5</v>
      </c>
      <c r="V1334" s="2">
        <v>0</v>
      </c>
      <c r="W1334">
        <v>0</v>
      </c>
      <c r="X1334" t="s">
        <v>44</v>
      </c>
      <c r="Y1334">
        <v>0</v>
      </c>
      <c r="Z1334" t="s">
        <v>44</v>
      </c>
      <c r="AA1334">
        <v>0</v>
      </c>
      <c r="AB1334" t="s">
        <v>45</v>
      </c>
      <c r="AC1334">
        <v>0</v>
      </c>
      <c r="AD1334" t="s">
        <v>61</v>
      </c>
      <c r="AE1334">
        <v>0</v>
      </c>
      <c r="AF1334" t="s">
        <v>47</v>
      </c>
      <c r="AG1334">
        <v>0</v>
      </c>
      <c r="AH1334" t="s">
        <v>31</v>
      </c>
      <c r="AI1334">
        <v>0</v>
      </c>
      <c r="AJ1334" t="s">
        <v>31</v>
      </c>
      <c r="AK1334">
        <v>0</v>
      </c>
      <c r="AL1334" t="s">
        <v>31</v>
      </c>
      <c r="AM1334">
        <v>0</v>
      </c>
      <c r="AN1334" t="s">
        <v>31</v>
      </c>
      <c r="AO1334">
        <v>0</v>
      </c>
      <c r="AP1334" t="s">
        <v>31</v>
      </c>
      <c r="AQ1334">
        <v>0</v>
      </c>
    </row>
    <row r="1335" spans="1:43" x14ac:dyDescent="0.2">
      <c r="A1335" t="s">
        <v>381</v>
      </c>
      <c r="B1335" s="3">
        <v>44313</v>
      </c>
      <c r="C1335">
        <v>74</v>
      </c>
      <c r="D1335" t="s">
        <v>383</v>
      </c>
      <c r="E1335" t="s">
        <v>62</v>
      </c>
      <c r="F1335" s="9" t="s">
        <v>63</v>
      </c>
      <c r="G1335" t="s">
        <v>26</v>
      </c>
      <c r="H1335" t="s">
        <v>64</v>
      </c>
      <c r="I1335" t="s">
        <v>65</v>
      </c>
      <c r="J1335" t="s">
        <v>43</v>
      </c>
      <c r="K1335" t="s">
        <v>44</v>
      </c>
      <c r="L1335" t="s">
        <v>29</v>
      </c>
      <c r="M1335" t="s">
        <v>30</v>
      </c>
      <c r="N1335" t="s">
        <v>64</v>
      </c>
      <c r="O1335" t="s">
        <v>65</v>
      </c>
      <c r="P1335" t="s">
        <v>43</v>
      </c>
      <c r="Q1335" t="s">
        <v>44</v>
      </c>
      <c r="R1335" s="1">
        <v>44313.457592592589</v>
      </c>
      <c r="S1335" s="1">
        <v>44313.459733796299</v>
      </c>
      <c r="T1335">
        <v>0</v>
      </c>
      <c r="U1335">
        <v>5</v>
      </c>
      <c r="V1335" s="2">
        <v>0</v>
      </c>
      <c r="W1335">
        <v>0</v>
      </c>
      <c r="X1335" t="s">
        <v>44</v>
      </c>
      <c r="Y1335">
        <v>0</v>
      </c>
      <c r="Z1335" t="s">
        <v>44</v>
      </c>
      <c r="AA1335">
        <v>0</v>
      </c>
      <c r="AB1335" t="s">
        <v>45</v>
      </c>
      <c r="AC1335">
        <v>0</v>
      </c>
      <c r="AD1335" t="s">
        <v>61</v>
      </c>
      <c r="AE1335">
        <v>0</v>
      </c>
      <c r="AF1335" t="s">
        <v>47</v>
      </c>
      <c r="AG1335">
        <v>0</v>
      </c>
      <c r="AH1335" t="s">
        <v>31</v>
      </c>
      <c r="AI1335">
        <v>0</v>
      </c>
      <c r="AJ1335" t="s">
        <v>31</v>
      </c>
      <c r="AK1335">
        <v>0</v>
      </c>
      <c r="AL1335" t="s">
        <v>31</v>
      </c>
      <c r="AM1335">
        <v>0</v>
      </c>
      <c r="AN1335" t="s">
        <v>31</v>
      </c>
      <c r="AO1335">
        <v>0</v>
      </c>
      <c r="AP1335" t="s">
        <v>31</v>
      </c>
      <c r="AQ1335">
        <v>0</v>
      </c>
    </row>
    <row r="1336" spans="1:43" x14ac:dyDescent="0.2">
      <c r="A1336" t="s">
        <v>381</v>
      </c>
      <c r="B1336" s="3">
        <v>44314</v>
      </c>
      <c r="C1336">
        <v>78</v>
      </c>
      <c r="D1336" t="s">
        <v>387</v>
      </c>
      <c r="E1336" t="s">
        <v>62</v>
      </c>
      <c r="F1336" s="9" t="s">
        <v>63</v>
      </c>
      <c r="G1336" t="s">
        <v>26</v>
      </c>
      <c r="H1336" t="s">
        <v>185</v>
      </c>
      <c r="I1336" t="s">
        <v>186</v>
      </c>
      <c r="J1336" t="s">
        <v>29</v>
      </c>
      <c r="K1336" t="s">
        <v>30</v>
      </c>
      <c r="L1336" t="s">
        <v>29</v>
      </c>
      <c r="M1336" t="s">
        <v>30</v>
      </c>
      <c r="N1336" t="s">
        <v>185</v>
      </c>
      <c r="O1336" t="s">
        <v>186</v>
      </c>
      <c r="P1336" t="s">
        <v>29</v>
      </c>
      <c r="Q1336" t="s">
        <v>30</v>
      </c>
      <c r="R1336" s="1">
        <v>44314.564039351855</v>
      </c>
      <c r="S1336" s="1">
        <v>44314.564039351855</v>
      </c>
      <c r="T1336">
        <v>1</v>
      </c>
      <c r="U1336">
        <v>1</v>
      </c>
      <c r="V1336" s="2">
        <v>1</v>
      </c>
      <c r="W1336">
        <v>0</v>
      </c>
      <c r="X1336" t="s">
        <v>30</v>
      </c>
      <c r="Y1336">
        <v>0</v>
      </c>
      <c r="Z1336" t="s">
        <v>31</v>
      </c>
      <c r="AA1336">
        <v>0</v>
      </c>
      <c r="AB1336" t="s">
        <v>31</v>
      </c>
      <c r="AC1336">
        <v>0</v>
      </c>
      <c r="AD1336" t="s">
        <v>31</v>
      </c>
      <c r="AE1336">
        <v>0</v>
      </c>
      <c r="AF1336" t="s">
        <v>31</v>
      </c>
      <c r="AG1336">
        <v>0</v>
      </c>
      <c r="AH1336" t="s">
        <v>31</v>
      </c>
      <c r="AI1336">
        <v>0</v>
      </c>
      <c r="AJ1336" t="s">
        <v>31</v>
      </c>
      <c r="AK1336">
        <v>0</v>
      </c>
      <c r="AL1336" t="s">
        <v>31</v>
      </c>
      <c r="AM1336">
        <v>0</v>
      </c>
      <c r="AN1336" t="s">
        <v>31</v>
      </c>
      <c r="AO1336">
        <v>0</v>
      </c>
      <c r="AP1336" t="s">
        <v>31</v>
      </c>
      <c r="AQ1336">
        <v>0</v>
      </c>
    </row>
    <row r="1337" spans="1:43" x14ac:dyDescent="0.2">
      <c r="A1337" t="s">
        <v>381</v>
      </c>
      <c r="B1337" s="3">
        <v>44316</v>
      </c>
      <c r="C1337">
        <v>83</v>
      </c>
      <c r="D1337" t="s">
        <v>387</v>
      </c>
      <c r="E1337" t="s">
        <v>62</v>
      </c>
      <c r="F1337" s="9" t="s">
        <v>63</v>
      </c>
      <c r="G1337" t="s">
        <v>26</v>
      </c>
      <c r="H1337" t="s">
        <v>185</v>
      </c>
      <c r="I1337" t="s">
        <v>186</v>
      </c>
      <c r="J1337" t="s">
        <v>29</v>
      </c>
      <c r="K1337" t="s">
        <v>30</v>
      </c>
      <c r="L1337" t="s">
        <v>29</v>
      </c>
      <c r="M1337" t="s">
        <v>30</v>
      </c>
      <c r="N1337" t="s">
        <v>185</v>
      </c>
      <c r="O1337" t="s">
        <v>186</v>
      </c>
      <c r="P1337" t="s">
        <v>29</v>
      </c>
      <c r="Q1337" t="s">
        <v>30</v>
      </c>
      <c r="R1337" s="1">
        <v>44316.635081018518</v>
      </c>
      <c r="S1337" s="1">
        <v>44316.635995370372</v>
      </c>
      <c r="T1337">
        <v>0</v>
      </c>
      <c r="U1337">
        <v>5</v>
      </c>
      <c r="V1337" s="2">
        <v>0</v>
      </c>
      <c r="W1337">
        <v>0</v>
      </c>
      <c r="X1337" t="s">
        <v>44</v>
      </c>
      <c r="Y1337">
        <v>0</v>
      </c>
      <c r="Z1337" t="s">
        <v>44</v>
      </c>
      <c r="AA1337">
        <v>0</v>
      </c>
      <c r="AB1337" t="s">
        <v>45</v>
      </c>
      <c r="AC1337">
        <v>0</v>
      </c>
      <c r="AD1337" t="s">
        <v>61</v>
      </c>
      <c r="AE1337">
        <v>0</v>
      </c>
      <c r="AF1337" t="s">
        <v>47</v>
      </c>
      <c r="AG1337">
        <v>0</v>
      </c>
      <c r="AH1337" t="s">
        <v>31</v>
      </c>
      <c r="AI1337">
        <v>0</v>
      </c>
      <c r="AJ1337" t="s">
        <v>31</v>
      </c>
      <c r="AK1337">
        <v>0</v>
      </c>
      <c r="AL1337" t="s">
        <v>31</v>
      </c>
      <c r="AM1337">
        <v>0</v>
      </c>
      <c r="AN1337" t="s">
        <v>31</v>
      </c>
      <c r="AO1337">
        <v>0</v>
      </c>
      <c r="AP1337" t="s">
        <v>31</v>
      </c>
      <c r="AQ1337">
        <v>0</v>
      </c>
    </row>
    <row r="1338" spans="1:43" x14ac:dyDescent="0.2">
      <c r="A1338" t="s">
        <v>381</v>
      </c>
      <c r="B1338" s="3">
        <v>44319</v>
      </c>
      <c r="C1338">
        <v>84</v>
      </c>
      <c r="D1338" t="s">
        <v>390</v>
      </c>
      <c r="E1338" t="s">
        <v>62</v>
      </c>
      <c r="F1338" s="9" t="s">
        <v>63</v>
      </c>
      <c r="G1338" t="s">
        <v>26</v>
      </c>
      <c r="H1338" t="s">
        <v>185</v>
      </c>
      <c r="I1338" t="s">
        <v>186</v>
      </c>
      <c r="J1338" t="s">
        <v>29</v>
      </c>
      <c r="K1338" t="s">
        <v>30</v>
      </c>
      <c r="L1338" t="s">
        <v>29</v>
      </c>
      <c r="M1338" t="s">
        <v>30</v>
      </c>
      <c r="N1338" t="s">
        <v>185</v>
      </c>
      <c r="O1338" t="s">
        <v>186</v>
      </c>
      <c r="P1338" t="s">
        <v>29</v>
      </c>
      <c r="Q1338" t="s">
        <v>30</v>
      </c>
      <c r="R1338" s="1">
        <v>44319.422048611108</v>
      </c>
      <c r="S1338" s="1">
        <v>44319.422326388885</v>
      </c>
      <c r="T1338">
        <v>0</v>
      </c>
      <c r="U1338">
        <v>10</v>
      </c>
      <c r="V1338" s="2">
        <v>0</v>
      </c>
      <c r="W1338">
        <v>0</v>
      </c>
      <c r="X1338" t="s">
        <v>44</v>
      </c>
      <c r="Y1338">
        <v>0</v>
      </c>
      <c r="Z1338" t="s">
        <v>44</v>
      </c>
      <c r="AA1338">
        <v>0</v>
      </c>
      <c r="AB1338" t="s">
        <v>45</v>
      </c>
      <c r="AC1338">
        <v>0</v>
      </c>
      <c r="AD1338" t="s">
        <v>61</v>
      </c>
      <c r="AE1338">
        <v>0</v>
      </c>
      <c r="AF1338" t="s">
        <v>47</v>
      </c>
      <c r="AG1338">
        <v>0</v>
      </c>
      <c r="AH1338" t="s">
        <v>44</v>
      </c>
      <c r="AI1338">
        <v>0</v>
      </c>
      <c r="AJ1338" t="s">
        <v>44</v>
      </c>
      <c r="AK1338">
        <v>0</v>
      </c>
      <c r="AL1338" t="s">
        <v>45</v>
      </c>
      <c r="AM1338">
        <v>0</v>
      </c>
      <c r="AN1338" t="s">
        <v>61</v>
      </c>
      <c r="AO1338">
        <v>0</v>
      </c>
      <c r="AP1338" t="s">
        <v>47</v>
      </c>
      <c r="AQ1338">
        <v>0</v>
      </c>
    </row>
    <row r="1339" spans="1:43" x14ac:dyDescent="0.2">
      <c r="A1339" t="s">
        <v>381</v>
      </c>
      <c r="B1339" s="3">
        <v>44321</v>
      </c>
      <c r="C1339">
        <v>89</v>
      </c>
      <c r="D1339" t="s">
        <v>387</v>
      </c>
      <c r="E1339" t="s">
        <v>62</v>
      </c>
      <c r="F1339" s="9" t="s">
        <v>63</v>
      </c>
      <c r="G1339" t="s">
        <v>26</v>
      </c>
      <c r="H1339" t="s">
        <v>185</v>
      </c>
      <c r="I1339" t="s">
        <v>186</v>
      </c>
      <c r="J1339" t="s">
        <v>29</v>
      </c>
      <c r="K1339" t="s">
        <v>30</v>
      </c>
      <c r="L1339" t="s">
        <v>29</v>
      </c>
      <c r="M1339" t="s">
        <v>30</v>
      </c>
      <c r="N1339" t="s">
        <v>185</v>
      </c>
      <c r="O1339" t="s">
        <v>186</v>
      </c>
      <c r="P1339" t="s">
        <v>29</v>
      </c>
      <c r="Q1339" t="s">
        <v>30</v>
      </c>
      <c r="R1339" s="1">
        <v>44321.603136574071</v>
      </c>
      <c r="S1339" s="1">
        <v>44321.603171296294</v>
      </c>
      <c r="T1339">
        <v>1</v>
      </c>
      <c r="U1339">
        <v>5</v>
      </c>
      <c r="V1339" s="2">
        <v>0.2</v>
      </c>
      <c r="W1339">
        <v>0</v>
      </c>
      <c r="X1339" t="s">
        <v>44</v>
      </c>
      <c r="Y1339">
        <v>0</v>
      </c>
      <c r="Z1339" t="s">
        <v>44</v>
      </c>
      <c r="AA1339">
        <v>0</v>
      </c>
      <c r="AB1339" t="s">
        <v>45</v>
      </c>
      <c r="AC1339">
        <v>0</v>
      </c>
      <c r="AD1339" t="s">
        <v>61</v>
      </c>
      <c r="AE1339">
        <v>0</v>
      </c>
      <c r="AF1339" t="s">
        <v>30</v>
      </c>
      <c r="AG1339">
        <v>0</v>
      </c>
      <c r="AH1339" t="s">
        <v>31</v>
      </c>
      <c r="AI1339">
        <v>0</v>
      </c>
      <c r="AJ1339" t="s">
        <v>31</v>
      </c>
      <c r="AK1339">
        <v>0</v>
      </c>
      <c r="AL1339" t="s">
        <v>31</v>
      </c>
      <c r="AM1339">
        <v>0</v>
      </c>
      <c r="AN1339" t="s">
        <v>31</v>
      </c>
      <c r="AO1339">
        <v>0</v>
      </c>
      <c r="AP1339" t="s">
        <v>31</v>
      </c>
      <c r="AQ1339">
        <v>0</v>
      </c>
    </row>
    <row r="1340" spans="1:43" x14ac:dyDescent="0.2">
      <c r="A1340" t="s">
        <v>381</v>
      </c>
      <c r="B1340" s="3">
        <v>44323</v>
      </c>
      <c r="C1340">
        <v>91</v>
      </c>
      <c r="D1340" t="s">
        <v>391</v>
      </c>
      <c r="E1340" t="s">
        <v>62</v>
      </c>
      <c r="F1340" s="9" t="s">
        <v>63</v>
      </c>
      <c r="G1340" t="s">
        <v>26</v>
      </c>
      <c r="H1340" t="s">
        <v>185</v>
      </c>
      <c r="I1340" t="s">
        <v>186</v>
      </c>
      <c r="J1340" t="s">
        <v>29</v>
      </c>
      <c r="K1340" t="s">
        <v>30</v>
      </c>
      <c r="L1340" t="s">
        <v>29</v>
      </c>
      <c r="M1340" t="s">
        <v>30</v>
      </c>
      <c r="N1340" t="s">
        <v>185</v>
      </c>
      <c r="O1340" t="s">
        <v>186</v>
      </c>
      <c r="P1340" t="s">
        <v>29</v>
      </c>
      <c r="Q1340" t="s">
        <v>30</v>
      </c>
      <c r="R1340" s="1">
        <v>44323.588599537034</v>
      </c>
      <c r="S1340" s="1">
        <v>44323.593425925923</v>
      </c>
      <c r="T1340">
        <v>0</v>
      </c>
      <c r="U1340">
        <v>5</v>
      </c>
      <c r="V1340" s="2">
        <v>0</v>
      </c>
      <c r="W1340">
        <v>0</v>
      </c>
      <c r="X1340" t="s">
        <v>44</v>
      </c>
      <c r="Y1340">
        <v>0</v>
      </c>
      <c r="Z1340" t="s">
        <v>44</v>
      </c>
      <c r="AA1340">
        <v>0</v>
      </c>
      <c r="AB1340" t="s">
        <v>45</v>
      </c>
      <c r="AC1340">
        <v>0</v>
      </c>
      <c r="AD1340" t="s">
        <v>61</v>
      </c>
      <c r="AE1340">
        <v>0</v>
      </c>
      <c r="AF1340" t="s">
        <v>47</v>
      </c>
      <c r="AG1340">
        <v>0</v>
      </c>
      <c r="AH1340" t="s">
        <v>31</v>
      </c>
      <c r="AI1340">
        <v>0</v>
      </c>
      <c r="AJ1340" t="s">
        <v>31</v>
      </c>
      <c r="AK1340">
        <v>0</v>
      </c>
      <c r="AL1340" t="s">
        <v>31</v>
      </c>
      <c r="AM1340">
        <v>0</v>
      </c>
      <c r="AN1340" t="s">
        <v>31</v>
      </c>
      <c r="AO1340">
        <v>0</v>
      </c>
      <c r="AP1340" t="s">
        <v>31</v>
      </c>
      <c r="AQ1340">
        <v>0</v>
      </c>
    </row>
    <row r="1341" spans="1:43" x14ac:dyDescent="0.2">
      <c r="A1341" t="s">
        <v>381</v>
      </c>
      <c r="B1341" s="3">
        <v>44328</v>
      </c>
      <c r="C1341">
        <v>97</v>
      </c>
      <c r="D1341" t="s">
        <v>387</v>
      </c>
      <c r="E1341" t="s">
        <v>62</v>
      </c>
      <c r="F1341" s="9" t="s">
        <v>63</v>
      </c>
      <c r="G1341" t="s">
        <v>26</v>
      </c>
      <c r="H1341" t="s">
        <v>185</v>
      </c>
      <c r="I1341" t="s">
        <v>186</v>
      </c>
      <c r="J1341" t="s">
        <v>29</v>
      </c>
      <c r="K1341" t="s">
        <v>30</v>
      </c>
      <c r="L1341" t="s">
        <v>29</v>
      </c>
      <c r="M1341" t="s">
        <v>30</v>
      </c>
      <c r="N1341" t="s">
        <v>185</v>
      </c>
      <c r="O1341" t="s">
        <v>186</v>
      </c>
      <c r="P1341" t="s">
        <v>29</v>
      </c>
      <c r="Q1341" t="s">
        <v>30</v>
      </c>
      <c r="R1341" s="1">
        <v>44328.635243055556</v>
      </c>
      <c r="S1341" s="1">
        <v>44328.635937500003</v>
      </c>
      <c r="T1341">
        <v>0</v>
      </c>
      <c r="U1341">
        <v>5</v>
      </c>
      <c r="V1341" s="2">
        <v>0</v>
      </c>
      <c r="W1341">
        <v>0</v>
      </c>
      <c r="X1341" t="s">
        <v>44</v>
      </c>
      <c r="Y1341">
        <v>0</v>
      </c>
      <c r="Z1341" t="s">
        <v>44</v>
      </c>
      <c r="AA1341">
        <v>0</v>
      </c>
      <c r="AB1341" t="s">
        <v>45</v>
      </c>
      <c r="AC1341">
        <v>0</v>
      </c>
      <c r="AD1341" t="s">
        <v>61</v>
      </c>
      <c r="AE1341">
        <v>0</v>
      </c>
      <c r="AF1341" t="s">
        <v>47</v>
      </c>
      <c r="AG1341">
        <v>0</v>
      </c>
      <c r="AH1341" t="s">
        <v>31</v>
      </c>
      <c r="AI1341">
        <v>0</v>
      </c>
      <c r="AJ1341" t="s">
        <v>31</v>
      </c>
      <c r="AK1341">
        <v>0</v>
      </c>
      <c r="AL1341" t="s">
        <v>31</v>
      </c>
      <c r="AM1341">
        <v>0</v>
      </c>
      <c r="AN1341" t="s">
        <v>31</v>
      </c>
      <c r="AO1341">
        <v>0</v>
      </c>
      <c r="AP1341" t="s">
        <v>31</v>
      </c>
      <c r="AQ1341">
        <v>0</v>
      </c>
    </row>
    <row r="1342" spans="1:43" x14ac:dyDescent="0.2">
      <c r="A1342" t="s">
        <v>381</v>
      </c>
      <c r="B1342" s="3">
        <v>44335</v>
      </c>
      <c r="C1342">
        <v>101</v>
      </c>
      <c r="D1342" t="s">
        <v>383</v>
      </c>
      <c r="E1342" t="s">
        <v>62</v>
      </c>
      <c r="F1342" s="9" t="s">
        <v>63</v>
      </c>
      <c r="G1342" t="s">
        <v>26</v>
      </c>
      <c r="H1342" t="s">
        <v>185</v>
      </c>
      <c r="I1342" t="s">
        <v>186</v>
      </c>
      <c r="J1342" t="s">
        <v>29</v>
      </c>
      <c r="K1342" t="s">
        <v>30</v>
      </c>
      <c r="L1342" t="s">
        <v>29</v>
      </c>
      <c r="M1342" t="s">
        <v>30</v>
      </c>
      <c r="N1342" t="s">
        <v>185</v>
      </c>
      <c r="O1342" t="s">
        <v>186</v>
      </c>
      <c r="P1342" t="s">
        <v>29</v>
      </c>
      <c r="Q1342" t="s">
        <v>30</v>
      </c>
      <c r="R1342" s="1">
        <v>44335.586030092592</v>
      </c>
      <c r="S1342" s="1">
        <v>44335.588645833333</v>
      </c>
      <c r="T1342">
        <v>0</v>
      </c>
      <c r="U1342">
        <v>4</v>
      </c>
      <c r="V1342" s="2">
        <v>0</v>
      </c>
      <c r="W1342">
        <v>0</v>
      </c>
      <c r="X1342" t="s">
        <v>44</v>
      </c>
      <c r="Y1342">
        <v>0</v>
      </c>
      <c r="Z1342" t="s">
        <v>44</v>
      </c>
      <c r="AA1342">
        <v>0</v>
      </c>
      <c r="AB1342" t="s">
        <v>45</v>
      </c>
      <c r="AC1342">
        <v>0</v>
      </c>
      <c r="AD1342" t="s">
        <v>61</v>
      </c>
      <c r="AE1342">
        <v>0</v>
      </c>
      <c r="AF1342" t="s">
        <v>31</v>
      </c>
      <c r="AG1342">
        <v>0</v>
      </c>
      <c r="AH1342" t="s">
        <v>31</v>
      </c>
      <c r="AI1342">
        <v>0</v>
      </c>
      <c r="AJ1342" t="s">
        <v>31</v>
      </c>
      <c r="AK1342">
        <v>0</v>
      </c>
      <c r="AL1342" t="s">
        <v>31</v>
      </c>
      <c r="AM1342">
        <v>0</v>
      </c>
      <c r="AN1342" t="s">
        <v>31</v>
      </c>
      <c r="AO1342">
        <v>0</v>
      </c>
      <c r="AP1342" t="s">
        <v>31</v>
      </c>
      <c r="AQ1342">
        <v>0</v>
      </c>
    </row>
    <row r="1343" spans="1:43" x14ac:dyDescent="0.2">
      <c r="A1343" t="s">
        <v>381</v>
      </c>
      <c r="B1343" s="3">
        <v>44336</v>
      </c>
      <c r="C1343">
        <v>103</v>
      </c>
      <c r="D1343" t="s">
        <v>385</v>
      </c>
      <c r="E1343" t="s">
        <v>62</v>
      </c>
      <c r="F1343" s="9" t="s">
        <v>63</v>
      </c>
      <c r="G1343" t="s">
        <v>26</v>
      </c>
      <c r="H1343" t="s">
        <v>185</v>
      </c>
      <c r="I1343" t="s">
        <v>186</v>
      </c>
      <c r="J1343" t="s">
        <v>29</v>
      </c>
      <c r="K1343" t="s">
        <v>30</v>
      </c>
      <c r="L1343" t="s">
        <v>29</v>
      </c>
      <c r="M1343" t="s">
        <v>30</v>
      </c>
      <c r="N1343" t="s">
        <v>185</v>
      </c>
      <c r="O1343" t="s">
        <v>186</v>
      </c>
      <c r="P1343" t="s">
        <v>29</v>
      </c>
      <c r="Q1343" t="s">
        <v>30</v>
      </c>
      <c r="R1343" s="1">
        <v>44336.631597222222</v>
      </c>
      <c r="S1343" s="1">
        <v>44336.633715277778</v>
      </c>
      <c r="T1343">
        <v>0</v>
      </c>
      <c r="U1343">
        <v>9</v>
      </c>
      <c r="V1343" s="2">
        <v>0</v>
      </c>
      <c r="W1343">
        <v>0</v>
      </c>
      <c r="X1343" t="s">
        <v>44</v>
      </c>
      <c r="Y1343">
        <v>0</v>
      </c>
      <c r="Z1343" t="s">
        <v>44</v>
      </c>
      <c r="AA1343">
        <v>0</v>
      </c>
      <c r="AB1343" t="s">
        <v>45</v>
      </c>
      <c r="AC1343">
        <v>0</v>
      </c>
      <c r="AD1343" t="s">
        <v>61</v>
      </c>
      <c r="AE1343">
        <v>0</v>
      </c>
      <c r="AF1343" t="s">
        <v>44</v>
      </c>
      <c r="AG1343">
        <v>0</v>
      </c>
      <c r="AH1343" t="s">
        <v>44</v>
      </c>
      <c r="AI1343">
        <v>0</v>
      </c>
      <c r="AJ1343" t="s">
        <v>45</v>
      </c>
      <c r="AK1343">
        <v>0</v>
      </c>
      <c r="AL1343" t="s">
        <v>61</v>
      </c>
      <c r="AM1343">
        <v>0</v>
      </c>
      <c r="AN1343" t="s">
        <v>47</v>
      </c>
      <c r="AO1343">
        <v>0</v>
      </c>
      <c r="AP1343" t="s">
        <v>31</v>
      </c>
      <c r="AQ1343">
        <v>0</v>
      </c>
    </row>
    <row r="1344" spans="1:43" x14ac:dyDescent="0.2">
      <c r="A1344" t="s">
        <v>381</v>
      </c>
      <c r="B1344" s="3">
        <v>44338</v>
      </c>
      <c r="C1344">
        <v>107</v>
      </c>
      <c r="D1344" t="s">
        <v>392</v>
      </c>
      <c r="E1344" t="s">
        <v>62</v>
      </c>
      <c r="F1344" s="9" t="s">
        <v>63</v>
      </c>
      <c r="G1344" t="s">
        <v>26</v>
      </c>
      <c r="H1344" t="s">
        <v>185</v>
      </c>
      <c r="I1344" t="s">
        <v>186</v>
      </c>
      <c r="J1344" t="s">
        <v>29</v>
      </c>
      <c r="K1344" t="s">
        <v>30</v>
      </c>
      <c r="L1344" t="s">
        <v>29</v>
      </c>
      <c r="M1344" t="s">
        <v>30</v>
      </c>
      <c r="N1344" t="s">
        <v>185</v>
      </c>
      <c r="O1344" t="s">
        <v>186</v>
      </c>
      <c r="P1344" t="s">
        <v>29</v>
      </c>
      <c r="Q1344" t="s">
        <v>30</v>
      </c>
      <c r="R1344" s="1">
        <v>44338.555972222224</v>
      </c>
      <c r="S1344" s="1">
        <v>44338.556018518517</v>
      </c>
      <c r="T1344">
        <v>0</v>
      </c>
      <c r="U1344">
        <v>10</v>
      </c>
      <c r="V1344" s="2">
        <v>0</v>
      </c>
      <c r="W1344">
        <v>0</v>
      </c>
      <c r="X1344" t="s">
        <v>44</v>
      </c>
      <c r="Y1344">
        <v>0</v>
      </c>
      <c r="Z1344" t="s">
        <v>44</v>
      </c>
      <c r="AA1344">
        <v>0</v>
      </c>
      <c r="AB1344" t="s">
        <v>45</v>
      </c>
      <c r="AC1344">
        <v>0</v>
      </c>
      <c r="AD1344" t="s">
        <v>61</v>
      </c>
      <c r="AE1344">
        <v>0</v>
      </c>
      <c r="AF1344" t="s">
        <v>47</v>
      </c>
      <c r="AG1344">
        <v>0</v>
      </c>
      <c r="AH1344" t="s">
        <v>44</v>
      </c>
      <c r="AI1344">
        <v>0</v>
      </c>
      <c r="AJ1344" t="s">
        <v>44</v>
      </c>
      <c r="AK1344">
        <v>0</v>
      </c>
      <c r="AL1344" t="s">
        <v>45</v>
      </c>
      <c r="AM1344">
        <v>0</v>
      </c>
      <c r="AN1344" t="s">
        <v>61</v>
      </c>
      <c r="AO1344">
        <v>0</v>
      </c>
      <c r="AP1344" t="s">
        <v>47</v>
      </c>
      <c r="AQ1344">
        <v>0</v>
      </c>
    </row>
    <row r="1345" spans="1:43" x14ac:dyDescent="0.2">
      <c r="A1345" t="s">
        <v>381</v>
      </c>
      <c r="B1345" s="3">
        <v>44340</v>
      </c>
      <c r="C1345">
        <v>109</v>
      </c>
      <c r="D1345" t="s">
        <v>383</v>
      </c>
      <c r="E1345" t="s">
        <v>62</v>
      </c>
      <c r="F1345" s="9" t="s">
        <v>63</v>
      </c>
      <c r="G1345" t="s">
        <v>26</v>
      </c>
      <c r="H1345" t="s">
        <v>185</v>
      </c>
      <c r="I1345" t="s">
        <v>186</v>
      </c>
      <c r="J1345" t="s">
        <v>29</v>
      </c>
      <c r="K1345" t="s">
        <v>30</v>
      </c>
      <c r="L1345" t="s">
        <v>29</v>
      </c>
      <c r="M1345" t="s">
        <v>30</v>
      </c>
      <c r="N1345" t="s">
        <v>185</v>
      </c>
      <c r="O1345" t="s">
        <v>186</v>
      </c>
      <c r="P1345" t="s">
        <v>29</v>
      </c>
      <c r="Q1345" t="s">
        <v>30</v>
      </c>
      <c r="R1345" s="1">
        <v>44340.636967592596</v>
      </c>
      <c r="S1345" s="1">
        <v>44340.637071759258</v>
      </c>
      <c r="T1345">
        <v>0</v>
      </c>
      <c r="U1345">
        <v>5</v>
      </c>
      <c r="V1345" s="2">
        <v>0</v>
      </c>
      <c r="W1345">
        <v>0</v>
      </c>
      <c r="X1345" t="s">
        <v>44</v>
      </c>
      <c r="Y1345">
        <v>0</v>
      </c>
      <c r="Z1345" t="s">
        <v>44</v>
      </c>
      <c r="AA1345">
        <v>0</v>
      </c>
      <c r="AB1345" t="s">
        <v>45</v>
      </c>
      <c r="AC1345">
        <v>0</v>
      </c>
      <c r="AD1345" t="s">
        <v>61</v>
      </c>
      <c r="AE1345">
        <v>0</v>
      </c>
      <c r="AF1345" t="s">
        <v>47</v>
      </c>
      <c r="AG1345">
        <v>0</v>
      </c>
      <c r="AH1345" t="s">
        <v>31</v>
      </c>
      <c r="AI1345">
        <v>0</v>
      </c>
      <c r="AJ1345" t="s">
        <v>31</v>
      </c>
      <c r="AK1345">
        <v>0</v>
      </c>
      <c r="AL1345" t="s">
        <v>31</v>
      </c>
      <c r="AM1345">
        <v>0</v>
      </c>
      <c r="AN1345" t="s">
        <v>31</v>
      </c>
      <c r="AO1345">
        <v>0</v>
      </c>
      <c r="AP1345" t="s">
        <v>31</v>
      </c>
      <c r="AQ1345">
        <v>0</v>
      </c>
    </row>
    <row r="1346" spans="1:43" x14ac:dyDescent="0.2">
      <c r="A1346" t="s">
        <v>381</v>
      </c>
      <c r="B1346" s="3">
        <v>44342</v>
      </c>
      <c r="C1346">
        <v>112</v>
      </c>
      <c r="D1346" t="s">
        <v>394</v>
      </c>
      <c r="E1346" t="s">
        <v>62</v>
      </c>
      <c r="F1346" s="9" t="s">
        <v>63</v>
      </c>
      <c r="G1346" t="s">
        <v>26</v>
      </c>
      <c r="H1346" t="s">
        <v>185</v>
      </c>
      <c r="I1346" t="s">
        <v>186</v>
      </c>
      <c r="J1346" t="s">
        <v>29</v>
      </c>
      <c r="K1346" t="s">
        <v>30</v>
      </c>
      <c r="L1346" t="s">
        <v>29</v>
      </c>
      <c r="M1346" t="s">
        <v>30</v>
      </c>
      <c r="N1346" t="s">
        <v>185</v>
      </c>
      <c r="O1346" t="s">
        <v>186</v>
      </c>
      <c r="P1346" t="s">
        <v>29</v>
      </c>
      <c r="Q1346" t="s">
        <v>30</v>
      </c>
      <c r="R1346" s="1">
        <v>44342.457476851851</v>
      </c>
      <c r="S1346" s="1">
        <v>44342.457499999997</v>
      </c>
      <c r="T1346">
        <v>0</v>
      </c>
      <c r="U1346">
        <v>5</v>
      </c>
      <c r="V1346" s="2">
        <v>0</v>
      </c>
      <c r="W1346">
        <v>0</v>
      </c>
      <c r="X1346" t="s">
        <v>44</v>
      </c>
      <c r="Y1346">
        <v>0</v>
      </c>
      <c r="Z1346" t="s">
        <v>44</v>
      </c>
      <c r="AA1346">
        <v>0</v>
      </c>
      <c r="AB1346" t="s">
        <v>45</v>
      </c>
      <c r="AC1346">
        <v>0</v>
      </c>
      <c r="AD1346" t="s">
        <v>61</v>
      </c>
      <c r="AE1346">
        <v>0</v>
      </c>
      <c r="AF1346" t="s">
        <v>47</v>
      </c>
      <c r="AG1346">
        <v>0</v>
      </c>
      <c r="AH1346" t="s">
        <v>31</v>
      </c>
      <c r="AI1346">
        <v>0</v>
      </c>
      <c r="AJ1346" t="s">
        <v>31</v>
      </c>
      <c r="AK1346">
        <v>0</v>
      </c>
      <c r="AL1346" t="s">
        <v>31</v>
      </c>
      <c r="AM1346">
        <v>0</v>
      </c>
      <c r="AN1346" t="s">
        <v>31</v>
      </c>
      <c r="AO1346">
        <v>0</v>
      </c>
      <c r="AP1346" t="s">
        <v>31</v>
      </c>
      <c r="AQ1346">
        <v>0</v>
      </c>
    </row>
    <row r="1347" spans="1:43" x14ac:dyDescent="0.2">
      <c r="A1347" t="s">
        <v>381</v>
      </c>
      <c r="B1347" s="3">
        <v>44342</v>
      </c>
      <c r="C1347">
        <v>113</v>
      </c>
      <c r="D1347" t="s">
        <v>383</v>
      </c>
      <c r="E1347" t="s">
        <v>62</v>
      </c>
      <c r="F1347" s="9" t="s">
        <v>63</v>
      </c>
      <c r="G1347" t="s">
        <v>26</v>
      </c>
      <c r="H1347" t="s">
        <v>185</v>
      </c>
      <c r="I1347" t="s">
        <v>186</v>
      </c>
      <c r="J1347" t="s">
        <v>29</v>
      </c>
      <c r="K1347" t="s">
        <v>30</v>
      </c>
      <c r="L1347" t="s">
        <v>29</v>
      </c>
      <c r="M1347" t="s">
        <v>30</v>
      </c>
      <c r="N1347" t="s">
        <v>185</v>
      </c>
      <c r="O1347" t="s">
        <v>186</v>
      </c>
      <c r="P1347" t="s">
        <v>29</v>
      </c>
      <c r="Q1347" t="s">
        <v>30</v>
      </c>
      <c r="R1347" s="1">
        <v>44342.565648148149</v>
      </c>
      <c r="S1347" s="1">
        <v>44342.566284722219</v>
      </c>
      <c r="T1347">
        <v>0</v>
      </c>
      <c r="U1347">
        <v>4</v>
      </c>
      <c r="V1347" s="2">
        <v>0</v>
      </c>
      <c r="W1347">
        <v>0</v>
      </c>
      <c r="X1347" t="s">
        <v>44</v>
      </c>
      <c r="Y1347">
        <v>0</v>
      </c>
      <c r="Z1347" t="s">
        <v>44</v>
      </c>
      <c r="AA1347">
        <v>0</v>
      </c>
      <c r="AB1347" t="s">
        <v>61</v>
      </c>
      <c r="AC1347">
        <v>0</v>
      </c>
      <c r="AD1347" t="s">
        <v>47</v>
      </c>
      <c r="AE1347">
        <v>0</v>
      </c>
      <c r="AF1347" t="s">
        <v>31</v>
      </c>
      <c r="AG1347">
        <v>0</v>
      </c>
      <c r="AH1347" t="s">
        <v>31</v>
      </c>
      <c r="AI1347">
        <v>0</v>
      </c>
      <c r="AJ1347" t="s">
        <v>31</v>
      </c>
      <c r="AK1347">
        <v>0</v>
      </c>
      <c r="AL1347" t="s">
        <v>31</v>
      </c>
      <c r="AM1347">
        <v>0</v>
      </c>
      <c r="AN1347" t="s">
        <v>31</v>
      </c>
      <c r="AO1347">
        <v>0</v>
      </c>
      <c r="AP1347" t="s">
        <v>31</v>
      </c>
      <c r="AQ1347">
        <v>0</v>
      </c>
    </row>
    <row r="1348" spans="1:43" x14ac:dyDescent="0.2">
      <c r="A1348" t="s">
        <v>381</v>
      </c>
      <c r="B1348" s="3">
        <v>44344</v>
      </c>
      <c r="C1348">
        <v>116</v>
      </c>
      <c r="D1348" t="s">
        <v>390</v>
      </c>
      <c r="E1348" t="s">
        <v>62</v>
      </c>
      <c r="F1348" s="9" t="s">
        <v>63</v>
      </c>
      <c r="G1348" t="s">
        <v>26</v>
      </c>
      <c r="H1348" t="s">
        <v>185</v>
      </c>
      <c r="I1348" t="s">
        <v>186</v>
      </c>
      <c r="J1348" t="s">
        <v>29</v>
      </c>
      <c r="K1348" t="s">
        <v>30</v>
      </c>
      <c r="L1348" t="s">
        <v>29</v>
      </c>
      <c r="M1348" t="s">
        <v>30</v>
      </c>
      <c r="N1348" t="s">
        <v>185</v>
      </c>
      <c r="O1348" t="s">
        <v>186</v>
      </c>
      <c r="P1348" t="s">
        <v>29</v>
      </c>
      <c r="Q1348" t="s">
        <v>30</v>
      </c>
      <c r="R1348" s="1">
        <v>44344.421423611115</v>
      </c>
      <c r="S1348" s="1">
        <v>44344.421990740739</v>
      </c>
      <c r="T1348">
        <v>1</v>
      </c>
      <c r="U1348">
        <v>6</v>
      </c>
      <c r="V1348" s="2">
        <v>0.16</v>
      </c>
      <c r="W1348">
        <v>0</v>
      </c>
      <c r="X1348" t="s">
        <v>44</v>
      </c>
      <c r="Y1348">
        <v>0</v>
      </c>
      <c r="Z1348" t="s">
        <v>44</v>
      </c>
      <c r="AA1348">
        <v>0</v>
      </c>
      <c r="AB1348" t="s">
        <v>45</v>
      </c>
      <c r="AC1348">
        <v>0</v>
      </c>
      <c r="AD1348" t="s">
        <v>61</v>
      </c>
      <c r="AE1348">
        <v>0</v>
      </c>
      <c r="AF1348" t="s">
        <v>47</v>
      </c>
      <c r="AG1348">
        <v>0</v>
      </c>
      <c r="AH1348" t="s">
        <v>30</v>
      </c>
      <c r="AI1348">
        <v>0</v>
      </c>
      <c r="AJ1348" t="s">
        <v>31</v>
      </c>
      <c r="AK1348">
        <v>0</v>
      </c>
      <c r="AL1348" t="s">
        <v>31</v>
      </c>
      <c r="AM1348">
        <v>0</v>
      </c>
      <c r="AN1348" t="s">
        <v>31</v>
      </c>
      <c r="AO1348">
        <v>0</v>
      </c>
      <c r="AP1348" t="s">
        <v>31</v>
      </c>
      <c r="AQ1348">
        <v>0</v>
      </c>
    </row>
    <row r="1349" spans="1:43" x14ac:dyDescent="0.2">
      <c r="A1349" t="s">
        <v>381</v>
      </c>
      <c r="B1349" s="3">
        <v>44349</v>
      </c>
      <c r="C1349">
        <v>121</v>
      </c>
      <c r="D1349" t="s">
        <v>385</v>
      </c>
      <c r="E1349" t="s">
        <v>62</v>
      </c>
      <c r="F1349" s="9" t="s">
        <v>63</v>
      </c>
      <c r="G1349" t="s">
        <v>26</v>
      </c>
      <c r="H1349" t="s">
        <v>185</v>
      </c>
      <c r="I1349" t="s">
        <v>186</v>
      </c>
      <c r="J1349" t="s">
        <v>29</v>
      </c>
      <c r="K1349" t="s">
        <v>30</v>
      </c>
      <c r="L1349" t="s">
        <v>29</v>
      </c>
      <c r="M1349" t="s">
        <v>30</v>
      </c>
      <c r="N1349" t="s">
        <v>185</v>
      </c>
      <c r="O1349" t="s">
        <v>186</v>
      </c>
      <c r="P1349" t="s">
        <v>29</v>
      </c>
      <c r="Q1349" t="s">
        <v>30</v>
      </c>
      <c r="R1349" s="1">
        <v>44349.634837962964</v>
      </c>
      <c r="S1349" s="1">
        <v>44349.635312500002</v>
      </c>
      <c r="T1349">
        <v>0</v>
      </c>
      <c r="U1349">
        <v>5</v>
      </c>
      <c r="V1349" s="2">
        <v>0</v>
      </c>
      <c r="W1349">
        <v>0</v>
      </c>
      <c r="X1349" t="s">
        <v>44</v>
      </c>
      <c r="Y1349">
        <v>0</v>
      </c>
      <c r="Z1349" t="s">
        <v>44</v>
      </c>
      <c r="AA1349">
        <v>0</v>
      </c>
      <c r="AB1349" t="s">
        <v>45</v>
      </c>
      <c r="AC1349">
        <v>0</v>
      </c>
      <c r="AD1349" t="s">
        <v>61</v>
      </c>
      <c r="AE1349">
        <v>0</v>
      </c>
      <c r="AF1349" t="s">
        <v>47</v>
      </c>
      <c r="AG1349">
        <v>0</v>
      </c>
      <c r="AH1349" t="s">
        <v>31</v>
      </c>
      <c r="AI1349">
        <v>0</v>
      </c>
      <c r="AJ1349" t="s">
        <v>31</v>
      </c>
      <c r="AK1349">
        <v>0</v>
      </c>
      <c r="AL1349" t="s">
        <v>31</v>
      </c>
      <c r="AM1349">
        <v>0</v>
      </c>
      <c r="AN1349" t="s">
        <v>31</v>
      </c>
      <c r="AO1349">
        <v>0</v>
      </c>
      <c r="AP1349" t="s">
        <v>31</v>
      </c>
      <c r="AQ1349">
        <v>0</v>
      </c>
    </row>
    <row r="1350" spans="1:43" x14ac:dyDescent="0.2">
      <c r="A1350" t="s">
        <v>381</v>
      </c>
      <c r="B1350" s="3">
        <v>44351</v>
      </c>
      <c r="C1350">
        <v>124</v>
      </c>
      <c r="D1350" t="s">
        <v>390</v>
      </c>
      <c r="E1350" t="s">
        <v>62</v>
      </c>
      <c r="F1350" s="9" t="s">
        <v>63</v>
      </c>
      <c r="G1350" t="s">
        <v>26</v>
      </c>
      <c r="H1350" t="s">
        <v>185</v>
      </c>
      <c r="I1350" t="s">
        <v>186</v>
      </c>
      <c r="J1350" t="s">
        <v>29</v>
      </c>
      <c r="K1350" t="s">
        <v>30</v>
      </c>
      <c r="L1350" t="s">
        <v>29</v>
      </c>
      <c r="M1350" t="s">
        <v>30</v>
      </c>
      <c r="N1350" t="s">
        <v>185</v>
      </c>
      <c r="O1350" t="s">
        <v>186</v>
      </c>
      <c r="P1350" t="s">
        <v>29</v>
      </c>
      <c r="Q1350" t="s">
        <v>30</v>
      </c>
      <c r="R1350" s="1">
        <v>44351.405798611115</v>
      </c>
      <c r="S1350" s="1">
        <v>44351.405902777777</v>
      </c>
      <c r="T1350">
        <v>1</v>
      </c>
      <c r="U1350">
        <v>10</v>
      </c>
      <c r="V1350" s="2">
        <v>0.1</v>
      </c>
      <c r="W1350">
        <v>0</v>
      </c>
      <c r="X1350" t="s">
        <v>44</v>
      </c>
      <c r="Y1350">
        <v>0</v>
      </c>
      <c r="Z1350" t="s">
        <v>44</v>
      </c>
      <c r="AA1350">
        <v>0</v>
      </c>
      <c r="AB1350" t="s">
        <v>45</v>
      </c>
      <c r="AC1350">
        <v>0</v>
      </c>
      <c r="AD1350" t="s">
        <v>61</v>
      </c>
      <c r="AE1350">
        <v>0</v>
      </c>
      <c r="AF1350" t="s">
        <v>47</v>
      </c>
      <c r="AG1350">
        <v>0</v>
      </c>
      <c r="AH1350" t="s">
        <v>44</v>
      </c>
      <c r="AI1350">
        <v>0</v>
      </c>
      <c r="AJ1350" t="s">
        <v>44</v>
      </c>
      <c r="AK1350">
        <v>0</v>
      </c>
      <c r="AL1350" t="s">
        <v>45</v>
      </c>
      <c r="AM1350">
        <v>0</v>
      </c>
      <c r="AN1350" t="s">
        <v>61</v>
      </c>
      <c r="AO1350">
        <v>0</v>
      </c>
      <c r="AP1350" t="s">
        <v>30</v>
      </c>
      <c r="AQ1350">
        <v>0</v>
      </c>
    </row>
    <row r="1351" spans="1:43" x14ac:dyDescent="0.2">
      <c r="A1351" t="s">
        <v>381</v>
      </c>
      <c r="B1351" s="3">
        <v>44351</v>
      </c>
      <c r="C1351">
        <v>125</v>
      </c>
      <c r="D1351" t="s">
        <v>387</v>
      </c>
      <c r="E1351" t="s">
        <v>62</v>
      </c>
      <c r="F1351" s="9" t="s">
        <v>63</v>
      </c>
      <c r="G1351" t="s">
        <v>26</v>
      </c>
      <c r="H1351" t="s">
        <v>185</v>
      </c>
      <c r="I1351" t="s">
        <v>186</v>
      </c>
      <c r="J1351" t="s">
        <v>29</v>
      </c>
      <c r="K1351" t="s">
        <v>30</v>
      </c>
      <c r="L1351" t="s">
        <v>29</v>
      </c>
      <c r="M1351" t="s">
        <v>30</v>
      </c>
      <c r="N1351" t="s">
        <v>185</v>
      </c>
      <c r="O1351" t="s">
        <v>186</v>
      </c>
      <c r="P1351" t="s">
        <v>29</v>
      </c>
      <c r="Q1351" t="s">
        <v>30</v>
      </c>
      <c r="R1351" s="1">
        <v>44351.600995370369</v>
      </c>
      <c r="S1351" s="1">
        <v>44351.60125</v>
      </c>
      <c r="T1351">
        <v>0</v>
      </c>
      <c r="U1351">
        <v>5</v>
      </c>
      <c r="V1351" s="2">
        <v>0</v>
      </c>
      <c r="W1351">
        <v>0</v>
      </c>
      <c r="X1351" t="s">
        <v>44</v>
      </c>
      <c r="Y1351">
        <v>0</v>
      </c>
      <c r="Z1351" t="s">
        <v>44</v>
      </c>
      <c r="AA1351">
        <v>0</v>
      </c>
      <c r="AB1351" t="s">
        <v>45</v>
      </c>
      <c r="AC1351">
        <v>0</v>
      </c>
      <c r="AD1351" t="s">
        <v>61</v>
      </c>
      <c r="AE1351">
        <v>0</v>
      </c>
      <c r="AF1351" t="s">
        <v>47</v>
      </c>
      <c r="AG1351">
        <v>0</v>
      </c>
      <c r="AH1351" t="s">
        <v>31</v>
      </c>
      <c r="AI1351">
        <v>0</v>
      </c>
      <c r="AJ1351" t="s">
        <v>31</v>
      </c>
      <c r="AK1351">
        <v>0</v>
      </c>
      <c r="AL1351" t="s">
        <v>31</v>
      </c>
      <c r="AM1351">
        <v>0</v>
      </c>
      <c r="AN1351" t="s">
        <v>31</v>
      </c>
      <c r="AO1351">
        <v>0</v>
      </c>
      <c r="AP1351" t="s">
        <v>31</v>
      </c>
      <c r="AQ1351">
        <v>0</v>
      </c>
    </row>
    <row r="1352" spans="1:43" x14ac:dyDescent="0.2">
      <c r="A1352" t="s">
        <v>381</v>
      </c>
      <c r="B1352" s="3">
        <v>44355</v>
      </c>
      <c r="C1352">
        <v>128</v>
      </c>
      <c r="D1352" t="s">
        <v>406</v>
      </c>
      <c r="E1352" t="s">
        <v>62</v>
      </c>
      <c r="F1352" s="9" t="s">
        <v>63</v>
      </c>
      <c r="G1352" t="s">
        <v>26</v>
      </c>
      <c r="H1352" t="s">
        <v>185</v>
      </c>
      <c r="I1352" t="s">
        <v>186</v>
      </c>
      <c r="J1352" t="s">
        <v>29</v>
      </c>
      <c r="K1352" t="s">
        <v>30</v>
      </c>
      <c r="L1352" t="s">
        <v>29</v>
      </c>
      <c r="M1352" t="s">
        <v>30</v>
      </c>
      <c r="N1352" t="s">
        <v>185</v>
      </c>
      <c r="O1352" t="s">
        <v>186</v>
      </c>
      <c r="P1352" t="s">
        <v>29</v>
      </c>
      <c r="Q1352" t="s">
        <v>30</v>
      </c>
      <c r="R1352" s="1">
        <v>44355.423622685186</v>
      </c>
      <c r="S1352" s="1">
        <v>44355.425462962965</v>
      </c>
      <c r="T1352">
        <v>0</v>
      </c>
      <c r="U1352">
        <v>5</v>
      </c>
      <c r="V1352" s="2">
        <v>0</v>
      </c>
      <c r="W1352">
        <v>0</v>
      </c>
      <c r="X1352" t="s">
        <v>44</v>
      </c>
      <c r="Y1352">
        <v>0</v>
      </c>
      <c r="Z1352" t="s">
        <v>44</v>
      </c>
      <c r="AA1352">
        <v>0</v>
      </c>
      <c r="AB1352" t="s">
        <v>45</v>
      </c>
      <c r="AC1352">
        <v>0</v>
      </c>
      <c r="AD1352" t="s">
        <v>61</v>
      </c>
      <c r="AE1352">
        <v>0</v>
      </c>
      <c r="AF1352" t="s">
        <v>47</v>
      </c>
      <c r="AG1352">
        <v>0</v>
      </c>
      <c r="AH1352" t="s">
        <v>31</v>
      </c>
      <c r="AI1352">
        <v>0</v>
      </c>
      <c r="AJ1352" t="s">
        <v>31</v>
      </c>
      <c r="AK1352">
        <v>0</v>
      </c>
      <c r="AL1352" t="s">
        <v>31</v>
      </c>
      <c r="AM1352">
        <v>0</v>
      </c>
      <c r="AN1352" t="s">
        <v>31</v>
      </c>
      <c r="AO1352">
        <v>0</v>
      </c>
      <c r="AP1352" t="s">
        <v>31</v>
      </c>
      <c r="AQ1352">
        <v>0</v>
      </c>
    </row>
    <row r="1353" spans="1:43" x14ac:dyDescent="0.2">
      <c r="A1353" t="s">
        <v>381</v>
      </c>
      <c r="B1353" s="3">
        <v>44356</v>
      </c>
      <c r="C1353">
        <v>130</v>
      </c>
      <c r="D1353" t="s">
        <v>398</v>
      </c>
      <c r="E1353" t="s">
        <v>62</v>
      </c>
      <c r="F1353" s="9" t="s">
        <v>63</v>
      </c>
      <c r="G1353" t="s">
        <v>26</v>
      </c>
      <c r="H1353" t="s">
        <v>185</v>
      </c>
      <c r="I1353" t="s">
        <v>186</v>
      </c>
      <c r="J1353" t="s">
        <v>29</v>
      </c>
      <c r="K1353" t="s">
        <v>30</v>
      </c>
      <c r="L1353" t="s">
        <v>29</v>
      </c>
      <c r="M1353" t="s">
        <v>30</v>
      </c>
      <c r="N1353" t="s">
        <v>185</v>
      </c>
      <c r="O1353" t="s">
        <v>186</v>
      </c>
      <c r="P1353" t="s">
        <v>29</v>
      </c>
      <c r="Q1353" t="s">
        <v>30</v>
      </c>
      <c r="R1353" s="1">
        <v>44356.457731481481</v>
      </c>
      <c r="S1353" s="1">
        <v>44356.458854166667</v>
      </c>
      <c r="T1353">
        <v>0</v>
      </c>
      <c r="U1353">
        <v>5</v>
      </c>
      <c r="V1353" s="2">
        <v>0</v>
      </c>
      <c r="W1353">
        <v>0</v>
      </c>
      <c r="X1353" t="s">
        <v>44</v>
      </c>
      <c r="Y1353">
        <v>0</v>
      </c>
      <c r="Z1353" t="s">
        <v>44</v>
      </c>
      <c r="AA1353">
        <v>0</v>
      </c>
      <c r="AB1353" t="s">
        <v>45</v>
      </c>
      <c r="AC1353">
        <v>0</v>
      </c>
      <c r="AD1353" t="s">
        <v>61</v>
      </c>
      <c r="AE1353">
        <v>0</v>
      </c>
      <c r="AF1353" t="s">
        <v>47</v>
      </c>
      <c r="AG1353">
        <v>0</v>
      </c>
      <c r="AH1353" t="s">
        <v>31</v>
      </c>
      <c r="AI1353">
        <v>0</v>
      </c>
      <c r="AJ1353" t="s">
        <v>31</v>
      </c>
      <c r="AK1353">
        <v>0</v>
      </c>
      <c r="AL1353" t="s">
        <v>31</v>
      </c>
      <c r="AM1353">
        <v>0</v>
      </c>
      <c r="AN1353" t="s">
        <v>31</v>
      </c>
      <c r="AO1353">
        <v>0</v>
      </c>
      <c r="AP1353" t="s">
        <v>31</v>
      </c>
      <c r="AQ1353">
        <v>0</v>
      </c>
    </row>
    <row r="1354" spans="1:43" x14ac:dyDescent="0.2">
      <c r="A1354" t="s">
        <v>381</v>
      </c>
      <c r="B1354" s="3">
        <v>44357</v>
      </c>
      <c r="C1354">
        <v>132</v>
      </c>
      <c r="D1354" t="s">
        <v>399</v>
      </c>
      <c r="E1354" t="s">
        <v>62</v>
      </c>
      <c r="F1354" s="9" t="s">
        <v>63</v>
      </c>
      <c r="G1354" t="s">
        <v>26</v>
      </c>
      <c r="H1354" t="s">
        <v>185</v>
      </c>
      <c r="I1354" t="s">
        <v>186</v>
      </c>
      <c r="J1354" t="s">
        <v>29</v>
      </c>
      <c r="K1354" t="s">
        <v>30</v>
      </c>
      <c r="L1354" t="s">
        <v>29</v>
      </c>
      <c r="M1354" t="s">
        <v>30</v>
      </c>
      <c r="N1354" t="s">
        <v>185</v>
      </c>
      <c r="O1354" t="s">
        <v>186</v>
      </c>
      <c r="P1354" t="s">
        <v>29</v>
      </c>
      <c r="Q1354" t="s">
        <v>30</v>
      </c>
      <c r="R1354" s="1">
        <v>44357.412905092591</v>
      </c>
      <c r="S1354" s="1">
        <v>44357.413124999999</v>
      </c>
      <c r="T1354">
        <v>0</v>
      </c>
      <c r="U1354">
        <v>4</v>
      </c>
      <c r="V1354" s="2">
        <v>0</v>
      </c>
      <c r="W1354">
        <v>0</v>
      </c>
      <c r="X1354" t="s">
        <v>44</v>
      </c>
      <c r="Y1354">
        <v>0</v>
      </c>
      <c r="Z1354" t="s">
        <v>45</v>
      </c>
      <c r="AA1354">
        <v>0</v>
      </c>
      <c r="AB1354" t="s">
        <v>61</v>
      </c>
      <c r="AC1354">
        <v>0</v>
      </c>
      <c r="AD1354" t="s">
        <v>47</v>
      </c>
      <c r="AE1354">
        <v>0</v>
      </c>
      <c r="AF1354" t="s">
        <v>31</v>
      </c>
      <c r="AG1354">
        <v>0</v>
      </c>
      <c r="AH1354" t="s">
        <v>31</v>
      </c>
      <c r="AI1354">
        <v>0</v>
      </c>
      <c r="AJ1354" t="s">
        <v>31</v>
      </c>
      <c r="AK1354">
        <v>0</v>
      </c>
      <c r="AL1354" t="s">
        <v>31</v>
      </c>
      <c r="AM1354">
        <v>0</v>
      </c>
      <c r="AN1354" t="s">
        <v>31</v>
      </c>
      <c r="AO1354">
        <v>0</v>
      </c>
      <c r="AP1354" t="s">
        <v>31</v>
      </c>
      <c r="AQ1354">
        <v>0</v>
      </c>
    </row>
    <row r="1355" spans="1:43" x14ac:dyDescent="0.2">
      <c r="A1355" t="s">
        <v>381</v>
      </c>
      <c r="B1355" s="3">
        <v>44358</v>
      </c>
      <c r="C1355">
        <v>133</v>
      </c>
      <c r="D1355" t="s">
        <v>390</v>
      </c>
      <c r="E1355" t="s">
        <v>62</v>
      </c>
      <c r="F1355" s="9" t="s">
        <v>63</v>
      </c>
      <c r="G1355" t="s">
        <v>26</v>
      </c>
      <c r="H1355" t="s">
        <v>185</v>
      </c>
      <c r="I1355" t="s">
        <v>186</v>
      </c>
      <c r="J1355" t="s">
        <v>29</v>
      </c>
      <c r="K1355" t="s">
        <v>30</v>
      </c>
      <c r="L1355" t="s">
        <v>29</v>
      </c>
      <c r="M1355" t="s">
        <v>30</v>
      </c>
      <c r="N1355" t="s">
        <v>185</v>
      </c>
      <c r="O1355" t="s">
        <v>186</v>
      </c>
      <c r="P1355" t="s">
        <v>29</v>
      </c>
      <c r="Q1355" t="s">
        <v>30</v>
      </c>
      <c r="R1355" s="1">
        <v>44358.406261574077</v>
      </c>
      <c r="S1355" s="1">
        <v>44358.40662037037</v>
      </c>
      <c r="T1355">
        <v>0</v>
      </c>
      <c r="U1355">
        <v>9</v>
      </c>
      <c r="V1355" s="2">
        <v>0</v>
      </c>
      <c r="W1355">
        <v>0</v>
      </c>
      <c r="X1355" t="s">
        <v>44</v>
      </c>
      <c r="Y1355">
        <v>0</v>
      </c>
      <c r="Z1355" t="s">
        <v>44</v>
      </c>
      <c r="AA1355">
        <v>0</v>
      </c>
      <c r="AB1355" t="s">
        <v>45</v>
      </c>
      <c r="AC1355">
        <v>0</v>
      </c>
      <c r="AD1355" t="s">
        <v>44</v>
      </c>
      <c r="AE1355">
        <v>0</v>
      </c>
      <c r="AF1355" t="s">
        <v>44</v>
      </c>
      <c r="AG1355">
        <v>0</v>
      </c>
      <c r="AH1355" t="s">
        <v>45</v>
      </c>
      <c r="AI1355">
        <v>0</v>
      </c>
      <c r="AJ1355" t="s">
        <v>61</v>
      </c>
      <c r="AK1355">
        <v>0</v>
      </c>
      <c r="AL1355" t="s">
        <v>47</v>
      </c>
      <c r="AM1355">
        <v>0</v>
      </c>
      <c r="AN1355" t="s">
        <v>44</v>
      </c>
      <c r="AO1355">
        <v>0</v>
      </c>
      <c r="AP1355" t="s">
        <v>31</v>
      </c>
      <c r="AQ1355">
        <v>0</v>
      </c>
    </row>
    <row r="1356" spans="1:43" x14ac:dyDescent="0.2">
      <c r="A1356" t="s">
        <v>381</v>
      </c>
      <c r="B1356" s="3">
        <v>44361</v>
      </c>
      <c r="C1356">
        <v>135</v>
      </c>
      <c r="D1356" t="s">
        <v>390</v>
      </c>
      <c r="E1356" t="s">
        <v>62</v>
      </c>
      <c r="F1356" s="9" t="s">
        <v>63</v>
      </c>
      <c r="G1356" t="s">
        <v>26</v>
      </c>
      <c r="H1356" t="s">
        <v>185</v>
      </c>
      <c r="I1356" t="s">
        <v>186</v>
      </c>
      <c r="J1356" t="s">
        <v>29</v>
      </c>
      <c r="K1356" t="s">
        <v>30</v>
      </c>
      <c r="L1356" t="s">
        <v>29</v>
      </c>
      <c r="M1356" t="s">
        <v>30</v>
      </c>
      <c r="N1356" t="s">
        <v>185</v>
      </c>
      <c r="O1356" t="s">
        <v>186</v>
      </c>
      <c r="P1356" t="s">
        <v>29</v>
      </c>
      <c r="Q1356" t="s">
        <v>30</v>
      </c>
      <c r="R1356" s="1">
        <v>44361.424664351849</v>
      </c>
      <c r="S1356" s="1">
        <v>44361.425821759258</v>
      </c>
      <c r="T1356">
        <v>0</v>
      </c>
      <c r="U1356">
        <v>10</v>
      </c>
      <c r="V1356" s="2">
        <v>0</v>
      </c>
      <c r="W1356">
        <v>0</v>
      </c>
      <c r="X1356" t="s">
        <v>44</v>
      </c>
      <c r="Y1356">
        <v>0</v>
      </c>
      <c r="Z1356" t="s">
        <v>44</v>
      </c>
      <c r="AA1356">
        <v>0</v>
      </c>
      <c r="AB1356" t="s">
        <v>45</v>
      </c>
      <c r="AC1356">
        <v>0</v>
      </c>
      <c r="AD1356" t="s">
        <v>61</v>
      </c>
      <c r="AE1356">
        <v>0</v>
      </c>
      <c r="AF1356" t="s">
        <v>47</v>
      </c>
      <c r="AG1356">
        <v>0</v>
      </c>
      <c r="AH1356" t="s">
        <v>44</v>
      </c>
      <c r="AI1356">
        <v>0</v>
      </c>
      <c r="AJ1356" t="s">
        <v>44</v>
      </c>
      <c r="AK1356">
        <v>0</v>
      </c>
      <c r="AL1356" t="s">
        <v>45</v>
      </c>
      <c r="AM1356">
        <v>0</v>
      </c>
      <c r="AN1356" t="s">
        <v>61</v>
      </c>
      <c r="AO1356">
        <v>0</v>
      </c>
      <c r="AP1356" t="s">
        <v>47</v>
      </c>
      <c r="AQ1356">
        <v>0</v>
      </c>
    </row>
    <row r="1357" spans="1:43" x14ac:dyDescent="0.2">
      <c r="A1357" t="s">
        <v>381</v>
      </c>
      <c r="B1357" s="3">
        <v>44364</v>
      </c>
      <c r="C1357">
        <v>138</v>
      </c>
      <c r="D1357" t="s">
        <v>399</v>
      </c>
      <c r="E1357" t="s">
        <v>62</v>
      </c>
      <c r="F1357" s="9" t="s">
        <v>63</v>
      </c>
      <c r="G1357" t="s">
        <v>26</v>
      </c>
      <c r="H1357" t="s">
        <v>185</v>
      </c>
      <c r="I1357" t="s">
        <v>186</v>
      </c>
      <c r="J1357" t="s">
        <v>29</v>
      </c>
      <c r="K1357" t="s">
        <v>30</v>
      </c>
      <c r="L1357" t="s">
        <v>29</v>
      </c>
      <c r="M1357" t="s">
        <v>30</v>
      </c>
      <c r="N1357" t="s">
        <v>185</v>
      </c>
      <c r="O1357" t="s">
        <v>186</v>
      </c>
      <c r="P1357" t="s">
        <v>29</v>
      </c>
      <c r="Q1357" t="s">
        <v>30</v>
      </c>
      <c r="R1357" s="1">
        <v>44364.342175925929</v>
      </c>
      <c r="S1357" s="1">
        <v>44364.342719907407</v>
      </c>
      <c r="T1357">
        <v>0</v>
      </c>
      <c r="U1357">
        <v>5</v>
      </c>
      <c r="V1357" s="2">
        <v>0</v>
      </c>
      <c r="W1357">
        <v>0</v>
      </c>
      <c r="X1357" t="s">
        <v>44</v>
      </c>
      <c r="Y1357">
        <v>0</v>
      </c>
      <c r="Z1357" t="s">
        <v>44</v>
      </c>
      <c r="AA1357">
        <v>0</v>
      </c>
      <c r="AB1357" t="s">
        <v>45</v>
      </c>
      <c r="AC1357">
        <v>0</v>
      </c>
      <c r="AD1357" t="s">
        <v>61</v>
      </c>
      <c r="AE1357">
        <v>0</v>
      </c>
      <c r="AF1357" t="s">
        <v>47</v>
      </c>
      <c r="AG1357">
        <v>0</v>
      </c>
      <c r="AH1357" t="s">
        <v>31</v>
      </c>
      <c r="AI1357">
        <v>0</v>
      </c>
      <c r="AJ1357" t="s">
        <v>31</v>
      </c>
      <c r="AK1357">
        <v>0</v>
      </c>
      <c r="AL1357" t="s">
        <v>31</v>
      </c>
      <c r="AM1357">
        <v>0</v>
      </c>
      <c r="AN1357" t="s">
        <v>31</v>
      </c>
      <c r="AO1357">
        <v>0</v>
      </c>
      <c r="AP1357" t="s">
        <v>31</v>
      </c>
      <c r="AQ1357">
        <v>0</v>
      </c>
    </row>
    <row r="1358" spans="1:43" x14ac:dyDescent="0.2">
      <c r="A1358" t="s">
        <v>381</v>
      </c>
      <c r="B1358" s="3">
        <v>44365</v>
      </c>
      <c r="C1358">
        <v>139</v>
      </c>
      <c r="D1358" t="s">
        <v>400</v>
      </c>
      <c r="E1358" t="s">
        <v>62</v>
      </c>
      <c r="F1358" s="9" t="s">
        <v>63</v>
      </c>
      <c r="G1358" t="s">
        <v>26</v>
      </c>
      <c r="H1358" t="s">
        <v>185</v>
      </c>
      <c r="I1358" t="s">
        <v>186</v>
      </c>
      <c r="J1358" t="s">
        <v>29</v>
      </c>
      <c r="K1358" t="s">
        <v>30</v>
      </c>
      <c r="L1358" t="s">
        <v>29</v>
      </c>
      <c r="M1358" t="s">
        <v>30</v>
      </c>
      <c r="N1358" t="s">
        <v>185</v>
      </c>
      <c r="O1358" t="s">
        <v>186</v>
      </c>
      <c r="P1358" t="s">
        <v>29</v>
      </c>
      <c r="Q1358" t="s">
        <v>30</v>
      </c>
      <c r="R1358" s="1">
        <v>44365.460405092592</v>
      </c>
      <c r="S1358" s="1">
        <v>44365.460497685184</v>
      </c>
      <c r="T1358">
        <v>2</v>
      </c>
      <c r="U1358">
        <v>2</v>
      </c>
      <c r="V1358" s="2">
        <v>1</v>
      </c>
      <c r="W1358">
        <v>0</v>
      </c>
      <c r="X1358" t="s">
        <v>30</v>
      </c>
      <c r="Y1358">
        <v>0</v>
      </c>
      <c r="Z1358" t="s">
        <v>30</v>
      </c>
      <c r="AA1358">
        <v>0</v>
      </c>
      <c r="AB1358" t="s">
        <v>31</v>
      </c>
      <c r="AC1358">
        <v>0</v>
      </c>
      <c r="AD1358" t="s">
        <v>31</v>
      </c>
      <c r="AE1358">
        <v>0</v>
      </c>
      <c r="AF1358" t="s">
        <v>31</v>
      </c>
      <c r="AG1358">
        <v>0</v>
      </c>
      <c r="AH1358" t="s">
        <v>31</v>
      </c>
      <c r="AI1358">
        <v>0</v>
      </c>
      <c r="AJ1358" t="s">
        <v>31</v>
      </c>
      <c r="AK1358">
        <v>0</v>
      </c>
      <c r="AL1358" t="s">
        <v>31</v>
      </c>
      <c r="AM1358">
        <v>0</v>
      </c>
      <c r="AN1358" t="s">
        <v>31</v>
      </c>
      <c r="AO1358">
        <v>0</v>
      </c>
      <c r="AP1358" t="s">
        <v>31</v>
      </c>
      <c r="AQ1358">
        <v>0</v>
      </c>
    </row>
    <row r="1359" spans="1:43" x14ac:dyDescent="0.2">
      <c r="A1359" t="s">
        <v>381</v>
      </c>
      <c r="B1359" s="3">
        <v>44365</v>
      </c>
      <c r="C1359">
        <v>140</v>
      </c>
      <c r="D1359" t="s">
        <v>399</v>
      </c>
      <c r="E1359" t="s">
        <v>62</v>
      </c>
      <c r="F1359" s="9" t="s">
        <v>63</v>
      </c>
      <c r="G1359" t="s">
        <v>26</v>
      </c>
      <c r="H1359" t="s">
        <v>185</v>
      </c>
      <c r="I1359" t="s">
        <v>186</v>
      </c>
      <c r="J1359" t="s">
        <v>29</v>
      </c>
      <c r="K1359" t="s">
        <v>30</v>
      </c>
      <c r="L1359" t="s">
        <v>29</v>
      </c>
      <c r="M1359" t="s">
        <v>30</v>
      </c>
      <c r="N1359" t="s">
        <v>64</v>
      </c>
      <c r="O1359" t="s">
        <v>65</v>
      </c>
      <c r="P1359" t="s">
        <v>43</v>
      </c>
      <c r="Q1359" t="s">
        <v>44</v>
      </c>
      <c r="R1359" s="1">
        <v>44365.612812500003</v>
      </c>
      <c r="S1359" s="1">
        <v>44365.612812500003</v>
      </c>
      <c r="T1359">
        <v>1</v>
      </c>
      <c r="U1359">
        <v>1</v>
      </c>
      <c r="V1359" s="2">
        <v>1</v>
      </c>
      <c r="W1359">
        <v>0</v>
      </c>
      <c r="X1359" t="s">
        <v>30</v>
      </c>
      <c r="Y1359">
        <v>0</v>
      </c>
      <c r="Z1359" t="s">
        <v>31</v>
      </c>
      <c r="AA1359">
        <v>0</v>
      </c>
      <c r="AB1359" t="s">
        <v>31</v>
      </c>
      <c r="AC1359">
        <v>0</v>
      </c>
      <c r="AD1359" t="s">
        <v>31</v>
      </c>
      <c r="AE1359">
        <v>0</v>
      </c>
      <c r="AF1359" t="s">
        <v>31</v>
      </c>
      <c r="AG1359">
        <v>0</v>
      </c>
      <c r="AH1359" t="s">
        <v>31</v>
      </c>
      <c r="AI1359">
        <v>0</v>
      </c>
      <c r="AJ1359" t="s">
        <v>31</v>
      </c>
      <c r="AK1359">
        <v>0</v>
      </c>
      <c r="AL1359" t="s">
        <v>31</v>
      </c>
      <c r="AM1359">
        <v>0</v>
      </c>
      <c r="AN1359" t="s">
        <v>31</v>
      </c>
      <c r="AO1359">
        <v>0</v>
      </c>
      <c r="AP1359" t="s">
        <v>31</v>
      </c>
      <c r="AQ1359">
        <v>0</v>
      </c>
    </row>
    <row r="1360" spans="1:43" x14ac:dyDescent="0.2">
      <c r="A1360" t="s">
        <v>381</v>
      </c>
      <c r="B1360" s="3">
        <v>44207</v>
      </c>
      <c r="C1360">
        <v>1</v>
      </c>
      <c r="D1360" t="s">
        <v>384</v>
      </c>
      <c r="E1360" t="s">
        <v>66</v>
      </c>
      <c r="F1360" s="9" t="s">
        <v>67</v>
      </c>
      <c r="G1360" t="s">
        <v>26</v>
      </c>
      <c r="H1360" t="s">
        <v>68</v>
      </c>
      <c r="I1360" t="s">
        <v>69</v>
      </c>
      <c r="J1360" t="s">
        <v>43</v>
      </c>
      <c r="K1360" t="s">
        <v>44</v>
      </c>
      <c r="L1360" t="s">
        <v>29</v>
      </c>
      <c r="M1360" t="s">
        <v>30</v>
      </c>
      <c r="N1360" t="s">
        <v>68</v>
      </c>
      <c r="O1360" t="s">
        <v>69</v>
      </c>
      <c r="P1360" t="s">
        <v>43</v>
      </c>
      <c r="Q1360" t="s">
        <v>44</v>
      </c>
      <c r="R1360" s="1">
        <v>44207.392604166664</v>
      </c>
      <c r="S1360" s="1">
        <v>44207.398877314816</v>
      </c>
      <c r="T1360">
        <v>0</v>
      </c>
      <c r="U1360">
        <v>5</v>
      </c>
      <c r="V1360" s="2">
        <v>0</v>
      </c>
      <c r="W1360">
        <v>0</v>
      </c>
      <c r="X1360" t="s">
        <v>44</v>
      </c>
      <c r="Y1360">
        <v>0</v>
      </c>
      <c r="Z1360" t="s">
        <v>44</v>
      </c>
      <c r="AA1360">
        <v>0</v>
      </c>
      <c r="AB1360" t="s">
        <v>45</v>
      </c>
      <c r="AC1360">
        <v>0</v>
      </c>
      <c r="AD1360" t="s">
        <v>61</v>
      </c>
      <c r="AE1360">
        <v>0</v>
      </c>
      <c r="AF1360" t="s">
        <v>47</v>
      </c>
      <c r="AG1360">
        <v>0</v>
      </c>
      <c r="AH1360" t="s">
        <v>31</v>
      </c>
      <c r="AI1360">
        <v>0</v>
      </c>
      <c r="AJ1360" t="s">
        <v>31</v>
      </c>
      <c r="AK1360">
        <v>0</v>
      </c>
      <c r="AL1360" t="s">
        <v>31</v>
      </c>
      <c r="AM1360">
        <v>0</v>
      </c>
      <c r="AN1360" t="s">
        <v>31</v>
      </c>
      <c r="AO1360">
        <v>0</v>
      </c>
      <c r="AP1360" t="s">
        <v>31</v>
      </c>
      <c r="AQ1360">
        <v>0</v>
      </c>
    </row>
    <row r="1361" spans="1:43" x14ac:dyDescent="0.2">
      <c r="A1361" t="s">
        <v>381</v>
      </c>
      <c r="B1361" s="3">
        <v>44245</v>
      </c>
      <c r="C1361">
        <v>12</v>
      </c>
      <c r="D1361" t="s">
        <v>382</v>
      </c>
      <c r="E1361" t="s">
        <v>66</v>
      </c>
      <c r="F1361" s="9" t="s">
        <v>67</v>
      </c>
      <c r="G1361" t="s">
        <v>26</v>
      </c>
      <c r="H1361" t="s">
        <v>68</v>
      </c>
      <c r="I1361" t="s">
        <v>69</v>
      </c>
      <c r="J1361" t="s">
        <v>43</v>
      </c>
      <c r="K1361" t="s">
        <v>44</v>
      </c>
      <c r="L1361" t="s">
        <v>29</v>
      </c>
      <c r="M1361" t="s">
        <v>30</v>
      </c>
      <c r="N1361" t="s">
        <v>68</v>
      </c>
      <c r="O1361" t="s">
        <v>69</v>
      </c>
      <c r="P1361" t="s">
        <v>43</v>
      </c>
      <c r="Q1361" t="s">
        <v>44</v>
      </c>
      <c r="R1361" s="1">
        <v>44245.376180555555</v>
      </c>
      <c r="S1361" s="1">
        <v>44245.376284722224</v>
      </c>
      <c r="T1361">
        <v>1</v>
      </c>
      <c r="U1361">
        <v>5</v>
      </c>
      <c r="V1361" s="2">
        <v>0.2</v>
      </c>
      <c r="W1361">
        <v>0</v>
      </c>
      <c r="X1361" t="s">
        <v>44</v>
      </c>
      <c r="Y1361">
        <v>0</v>
      </c>
      <c r="Z1361" t="s">
        <v>44</v>
      </c>
      <c r="AA1361">
        <v>0</v>
      </c>
      <c r="AB1361" t="s">
        <v>45</v>
      </c>
      <c r="AC1361">
        <v>0</v>
      </c>
      <c r="AD1361" t="s">
        <v>61</v>
      </c>
      <c r="AE1361">
        <v>0</v>
      </c>
      <c r="AF1361" t="s">
        <v>30</v>
      </c>
      <c r="AG1361">
        <v>0</v>
      </c>
      <c r="AH1361" t="s">
        <v>31</v>
      </c>
      <c r="AI1361">
        <v>0</v>
      </c>
      <c r="AJ1361" t="s">
        <v>31</v>
      </c>
      <c r="AK1361">
        <v>0</v>
      </c>
      <c r="AL1361" t="s">
        <v>31</v>
      </c>
      <c r="AM1361">
        <v>0</v>
      </c>
      <c r="AN1361" t="s">
        <v>31</v>
      </c>
      <c r="AO1361">
        <v>0</v>
      </c>
      <c r="AP1361" t="s">
        <v>31</v>
      </c>
      <c r="AQ1361">
        <v>0</v>
      </c>
    </row>
    <row r="1362" spans="1:43" x14ac:dyDescent="0.2">
      <c r="A1362" t="s">
        <v>381</v>
      </c>
      <c r="B1362" s="3">
        <v>44246</v>
      </c>
      <c r="C1362">
        <v>14</v>
      </c>
      <c r="D1362" t="s">
        <v>384</v>
      </c>
      <c r="E1362" t="s">
        <v>66</v>
      </c>
      <c r="F1362" s="9" t="s">
        <v>67</v>
      </c>
      <c r="G1362" t="s">
        <v>26</v>
      </c>
      <c r="H1362" t="s">
        <v>68</v>
      </c>
      <c r="I1362" t="s">
        <v>69</v>
      </c>
      <c r="J1362" t="s">
        <v>43</v>
      </c>
      <c r="K1362" t="s">
        <v>44</v>
      </c>
      <c r="L1362" t="s">
        <v>29</v>
      </c>
      <c r="M1362" t="s">
        <v>30</v>
      </c>
      <c r="N1362" t="s">
        <v>68</v>
      </c>
      <c r="O1362" t="s">
        <v>69</v>
      </c>
      <c r="P1362" t="s">
        <v>43</v>
      </c>
      <c r="Q1362" t="s">
        <v>44</v>
      </c>
      <c r="R1362" s="1">
        <v>44246.390023148146</v>
      </c>
      <c r="S1362" s="1">
        <v>44246.390023148146</v>
      </c>
      <c r="T1362">
        <v>1</v>
      </c>
      <c r="U1362">
        <v>1</v>
      </c>
      <c r="V1362" s="2">
        <v>1</v>
      </c>
      <c r="W1362">
        <v>0</v>
      </c>
      <c r="X1362" t="s">
        <v>30</v>
      </c>
      <c r="Y1362">
        <v>0</v>
      </c>
      <c r="Z1362" t="s">
        <v>31</v>
      </c>
      <c r="AA1362">
        <v>0</v>
      </c>
      <c r="AB1362" t="s">
        <v>31</v>
      </c>
      <c r="AC1362">
        <v>0</v>
      </c>
      <c r="AD1362" t="s">
        <v>31</v>
      </c>
      <c r="AE1362">
        <v>0</v>
      </c>
      <c r="AF1362" t="s">
        <v>31</v>
      </c>
      <c r="AG1362">
        <v>0</v>
      </c>
      <c r="AH1362" t="s">
        <v>31</v>
      </c>
      <c r="AI1362">
        <v>0</v>
      </c>
      <c r="AJ1362" t="s">
        <v>31</v>
      </c>
      <c r="AK1362">
        <v>0</v>
      </c>
      <c r="AL1362" t="s">
        <v>31</v>
      </c>
      <c r="AM1362">
        <v>0</v>
      </c>
      <c r="AN1362" t="s">
        <v>31</v>
      </c>
      <c r="AO1362">
        <v>0</v>
      </c>
      <c r="AP1362" t="s">
        <v>31</v>
      </c>
      <c r="AQ1362">
        <v>0</v>
      </c>
    </row>
    <row r="1363" spans="1:43" x14ac:dyDescent="0.2">
      <c r="A1363" t="s">
        <v>381</v>
      </c>
      <c r="B1363" s="3">
        <v>44250</v>
      </c>
      <c r="C1363">
        <v>16</v>
      </c>
      <c r="D1363" t="s">
        <v>382</v>
      </c>
      <c r="E1363" t="s">
        <v>66</v>
      </c>
      <c r="F1363" s="9" t="s">
        <v>67</v>
      </c>
      <c r="G1363" t="s">
        <v>26</v>
      </c>
      <c r="H1363" t="s">
        <v>68</v>
      </c>
      <c r="I1363" t="s">
        <v>69</v>
      </c>
      <c r="J1363" t="s">
        <v>43</v>
      </c>
      <c r="K1363" t="s">
        <v>44</v>
      </c>
      <c r="L1363" t="s">
        <v>29</v>
      </c>
      <c r="M1363" t="s">
        <v>30</v>
      </c>
      <c r="N1363" t="s">
        <v>68</v>
      </c>
      <c r="O1363" t="s">
        <v>69</v>
      </c>
      <c r="P1363" t="s">
        <v>43</v>
      </c>
      <c r="Q1363" t="s">
        <v>44</v>
      </c>
      <c r="R1363" s="1">
        <v>44250.458379629628</v>
      </c>
      <c r="S1363" s="1">
        <v>44250.458506944444</v>
      </c>
      <c r="T1363">
        <v>1</v>
      </c>
      <c r="U1363">
        <v>2</v>
      </c>
      <c r="V1363" s="2">
        <v>0.5</v>
      </c>
      <c r="W1363">
        <v>0</v>
      </c>
      <c r="X1363" t="s">
        <v>44</v>
      </c>
      <c r="Y1363">
        <v>0</v>
      </c>
      <c r="Z1363" t="s">
        <v>30</v>
      </c>
      <c r="AA1363">
        <v>0</v>
      </c>
      <c r="AB1363" t="s">
        <v>31</v>
      </c>
      <c r="AC1363">
        <v>0</v>
      </c>
      <c r="AD1363" t="s">
        <v>31</v>
      </c>
      <c r="AE1363">
        <v>0</v>
      </c>
      <c r="AF1363" t="s">
        <v>31</v>
      </c>
      <c r="AG1363">
        <v>0</v>
      </c>
      <c r="AH1363" t="s">
        <v>31</v>
      </c>
      <c r="AI1363">
        <v>0</v>
      </c>
      <c r="AJ1363" t="s">
        <v>31</v>
      </c>
      <c r="AK1363">
        <v>0</v>
      </c>
      <c r="AL1363" t="s">
        <v>31</v>
      </c>
      <c r="AM1363">
        <v>0</v>
      </c>
      <c r="AN1363" t="s">
        <v>31</v>
      </c>
      <c r="AO1363">
        <v>0</v>
      </c>
      <c r="AP1363" t="s">
        <v>31</v>
      </c>
      <c r="AQ1363">
        <v>0</v>
      </c>
    </row>
    <row r="1364" spans="1:43" x14ac:dyDescent="0.2">
      <c r="A1364" t="s">
        <v>381</v>
      </c>
      <c r="B1364" s="3">
        <v>44256</v>
      </c>
      <c r="C1364">
        <v>22</v>
      </c>
      <c r="D1364" t="s">
        <v>384</v>
      </c>
      <c r="E1364" t="s">
        <v>66</v>
      </c>
      <c r="F1364" s="9" t="s">
        <v>67</v>
      </c>
      <c r="G1364" t="s">
        <v>26</v>
      </c>
      <c r="H1364" t="s">
        <v>68</v>
      </c>
      <c r="I1364" t="s">
        <v>69</v>
      </c>
      <c r="J1364" t="s">
        <v>43</v>
      </c>
      <c r="K1364" t="s">
        <v>44</v>
      </c>
      <c r="L1364" t="s">
        <v>29</v>
      </c>
      <c r="M1364" t="s">
        <v>30</v>
      </c>
      <c r="N1364" t="s">
        <v>68</v>
      </c>
      <c r="O1364" t="s">
        <v>69</v>
      </c>
      <c r="P1364" t="s">
        <v>43</v>
      </c>
      <c r="Q1364" t="s">
        <v>44</v>
      </c>
      <c r="R1364" s="1">
        <v>44256.378125000003</v>
      </c>
      <c r="S1364" s="1">
        <v>44256.379618055558</v>
      </c>
      <c r="T1364">
        <v>0</v>
      </c>
      <c r="U1364">
        <v>5</v>
      </c>
      <c r="V1364" s="2">
        <v>0</v>
      </c>
      <c r="W1364">
        <v>0</v>
      </c>
      <c r="X1364" t="s">
        <v>44</v>
      </c>
      <c r="Y1364">
        <v>0</v>
      </c>
      <c r="Z1364" t="s">
        <v>44</v>
      </c>
      <c r="AA1364">
        <v>0</v>
      </c>
      <c r="AB1364" t="s">
        <v>45</v>
      </c>
      <c r="AC1364">
        <v>0</v>
      </c>
      <c r="AD1364" t="s">
        <v>61</v>
      </c>
      <c r="AE1364">
        <v>0</v>
      </c>
      <c r="AF1364" t="s">
        <v>47</v>
      </c>
      <c r="AG1364">
        <v>0</v>
      </c>
      <c r="AH1364" t="s">
        <v>31</v>
      </c>
      <c r="AI1364">
        <v>0</v>
      </c>
      <c r="AJ1364" t="s">
        <v>31</v>
      </c>
      <c r="AK1364">
        <v>0</v>
      </c>
      <c r="AL1364" t="s">
        <v>31</v>
      </c>
      <c r="AM1364">
        <v>0</v>
      </c>
      <c r="AN1364" t="s">
        <v>31</v>
      </c>
      <c r="AO1364">
        <v>0</v>
      </c>
      <c r="AP1364" t="s">
        <v>31</v>
      </c>
      <c r="AQ1364">
        <v>0</v>
      </c>
    </row>
    <row r="1365" spans="1:43" x14ac:dyDescent="0.2">
      <c r="A1365" t="s">
        <v>381</v>
      </c>
      <c r="B1365" s="3">
        <v>44258</v>
      </c>
      <c r="C1365">
        <v>25</v>
      </c>
      <c r="D1365" t="s">
        <v>384</v>
      </c>
      <c r="E1365" t="s">
        <v>66</v>
      </c>
      <c r="F1365" s="9" t="s">
        <v>67</v>
      </c>
      <c r="G1365" t="s">
        <v>26</v>
      </c>
      <c r="H1365" t="s">
        <v>68</v>
      </c>
      <c r="I1365" t="s">
        <v>69</v>
      </c>
      <c r="J1365" t="s">
        <v>43</v>
      </c>
      <c r="K1365" t="s">
        <v>44</v>
      </c>
      <c r="L1365" t="s">
        <v>29</v>
      </c>
      <c r="M1365" t="s">
        <v>30</v>
      </c>
      <c r="N1365" t="s">
        <v>68</v>
      </c>
      <c r="O1365" t="s">
        <v>69</v>
      </c>
      <c r="P1365" t="s">
        <v>43</v>
      </c>
      <c r="Q1365" t="s">
        <v>44</v>
      </c>
      <c r="R1365" s="1">
        <v>44258.378495370373</v>
      </c>
      <c r="S1365" s="1">
        <v>44258.378506944442</v>
      </c>
      <c r="T1365">
        <v>2</v>
      </c>
      <c r="U1365">
        <v>2</v>
      </c>
      <c r="V1365" s="2">
        <v>1</v>
      </c>
      <c r="W1365">
        <v>0</v>
      </c>
      <c r="X1365" t="s">
        <v>30</v>
      </c>
      <c r="Y1365">
        <v>0</v>
      </c>
      <c r="Z1365" t="s">
        <v>30</v>
      </c>
      <c r="AA1365">
        <v>0</v>
      </c>
      <c r="AB1365" t="s">
        <v>31</v>
      </c>
      <c r="AC1365">
        <v>0</v>
      </c>
      <c r="AD1365" t="s">
        <v>31</v>
      </c>
      <c r="AE1365">
        <v>0</v>
      </c>
      <c r="AF1365" t="s">
        <v>31</v>
      </c>
      <c r="AG1365">
        <v>0</v>
      </c>
      <c r="AH1365" t="s">
        <v>31</v>
      </c>
      <c r="AI1365">
        <v>0</v>
      </c>
      <c r="AJ1365" t="s">
        <v>31</v>
      </c>
      <c r="AK1365">
        <v>0</v>
      </c>
      <c r="AL1365" t="s">
        <v>31</v>
      </c>
      <c r="AM1365">
        <v>0</v>
      </c>
      <c r="AN1365" t="s">
        <v>31</v>
      </c>
      <c r="AO1365">
        <v>0</v>
      </c>
      <c r="AP1365" t="s">
        <v>31</v>
      </c>
      <c r="AQ1365">
        <v>0</v>
      </c>
    </row>
    <row r="1366" spans="1:43" x14ac:dyDescent="0.2">
      <c r="A1366" t="s">
        <v>381</v>
      </c>
      <c r="B1366" s="3">
        <v>44260</v>
      </c>
      <c r="C1366">
        <v>28</v>
      </c>
      <c r="D1366" t="s">
        <v>384</v>
      </c>
      <c r="E1366" t="s">
        <v>66</v>
      </c>
      <c r="F1366" s="9" t="s">
        <v>67</v>
      </c>
      <c r="G1366" t="s">
        <v>26</v>
      </c>
      <c r="H1366" t="s">
        <v>68</v>
      </c>
      <c r="I1366" t="s">
        <v>69</v>
      </c>
      <c r="J1366" t="s">
        <v>43</v>
      </c>
      <c r="K1366" t="s">
        <v>44</v>
      </c>
      <c r="L1366" t="s">
        <v>29</v>
      </c>
      <c r="M1366" t="s">
        <v>30</v>
      </c>
      <c r="N1366" t="s">
        <v>200</v>
      </c>
      <c r="O1366" t="s">
        <v>201</v>
      </c>
      <c r="P1366" t="s">
        <v>43</v>
      </c>
      <c r="Q1366" t="s">
        <v>44</v>
      </c>
      <c r="R1366" s="1">
        <v>44260.369201388887</v>
      </c>
      <c r="S1366" s="1">
        <v>44260.369201388887</v>
      </c>
      <c r="T1366">
        <v>1</v>
      </c>
      <c r="U1366">
        <v>1</v>
      </c>
      <c r="V1366" s="2">
        <v>1</v>
      </c>
      <c r="W1366">
        <v>0</v>
      </c>
      <c r="X1366" t="s">
        <v>30</v>
      </c>
      <c r="Y1366">
        <v>0</v>
      </c>
      <c r="Z1366" t="s">
        <v>31</v>
      </c>
      <c r="AA1366">
        <v>0</v>
      </c>
      <c r="AB1366" t="s">
        <v>31</v>
      </c>
      <c r="AC1366">
        <v>0</v>
      </c>
      <c r="AD1366" t="s">
        <v>31</v>
      </c>
      <c r="AE1366">
        <v>0</v>
      </c>
      <c r="AF1366" t="s">
        <v>31</v>
      </c>
      <c r="AG1366">
        <v>0</v>
      </c>
      <c r="AH1366" t="s">
        <v>31</v>
      </c>
      <c r="AI1366">
        <v>0</v>
      </c>
      <c r="AJ1366" t="s">
        <v>31</v>
      </c>
      <c r="AK1366">
        <v>0</v>
      </c>
      <c r="AL1366" t="s">
        <v>31</v>
      </c>
      <c r="AM1366">
        <v>0</v>
      </c>
      <c r="AN1366" t="s">
        <v>31</v>
      </c>
      <c r="AO1366">
        <v>0</v>
      </c>
      <c r="AP1366" t="s">
        <v>31</v>
      </c>
      <c r="AQ1366">
        <v>0</v>
      </c>
    </row>
    <row r="1367" spans="1:43" x14ac:dyDescent="0.2">
      <c r="A1367" t="s">
        <v>381</v>
      </c>
      <c r="B1367" s="3">
        <v>44271</v>
      </c>
      <c r="C1367">
        <v>36</v>
      </c>
      <c r="D1367" t="s">
        <v>385</v>
      </c>
      <c r="E1367" t="s">
        <v>66</v>
      </c>
      <c r="F1367" s="9" t="s">
        <v>67</v>
      </c>
      <c r="G1367" t="s">
        <v>26</v>
      </c>
      <c r="H1367" t="s">
        <v>200</v>
      </c>
      <c r="I1367" t="s">
        <v>201</v>
      </c>
      <c r="J1367" t="s">
        <v>43</v>
      </c>
      <c r="K1367" t="s">
        <v>44</v>
      </c>
      <c r="L1367" t="s">
        <v>29</v>
      </c>
      <c r="M1367" t="s">
        <v>30</v>
      </c>
      <c r="N1367" t="s">
        <v>200</v>
      </c>
      <c r="O1367" t="s">
        <v>201</v>
      </c>
      <c r="P1367" t="s">
        <v>43</v>
      </c>
      <c r="Q1367" t="s">
        <v>44</v>
      </c>
      <c r="R1367" s="1">
        <v>44271.405902777777</v>
      </c>
      <c r="S1367" s="1">
        <v>44271.405925925923</v>
      </c>
      <c r="T1367">
        <v>1</v>
      </c>
      <c r="U1367">
        <v>3</v>
      </c>
      <c r="V1367" s="2">
        <v>0.33</v>
      </c>
      <c r="W1367">
        <v>0</v>
      </c>
      <c r="X1367" t="s">
        <v>44</v>
      </c>
      <c r="Y1367">
        <v>0</v>
      </c>
      <c r="Z1367" t="s">
        <v>44</v>
      </c>
      <c r="AA1367">
        <v>0</v>
      </c>
      <c r="AB1367" t="s">
        <v>30</v>
      </c>
      <c r="AC1367">
        <v>0</v>
      </c>
      <c r="AD1367" t="s">
        <v>31</v>
      </c>
      <c r="AE1367">
        <v>0</v>
      </c>
      <c r="AF1367" t="s">
        <v>31</v>
      </c>
      <c r="AG1367">
        <v>0</v>
      </c>
      <c r="AH1367" t="s">
        <v>31</v>
      </c>
      <c r="AI1367">
        <v>0</v>
      </c>
      <c r="AJ1367" t="s">
        <v>31</v>
      </c>
      <c r="AK1367">
        <v>0</v>
      </c>
      <c r="AL1367" t="s">
        <v>31</v>
      </c>
      <c r="AM1367">
        <v>0</v>
      </c>
      <c r="AN1367" t="s">
        <v>31</v>
      </c>
      <c r="AO1367">
        <v>0</v>
      </c>
      <c r="AP1367" t="s">
        <v>31</v>
      </c>
      <c r="AQ1367">
        <v>0</v>
      </c>
    </row>
    <row r="1368" spans="1:43" x14ac:dyDescent="0.2">
      <c r="A1368" t="s">
        <v>381</v>
      </c>
      <c r="B1368" s="3">
        <v>44273</v>
      </c>
      <c r="C1368">
        <v>40</v>
      </c>
      <c r="D1368" t="s">
        <v>385</v>
      </c>
      <c r="E1368" t="s">
        <v>66</v>
      </c>
      <c r="F1368" s="9" t="s">
        <v>67</v>
      </c>
      <c r="G1368" t="s">
        <v>26</v>
      </c>
      <c r="H1368" t="s">
        <v>200</v>
      </c>
      <c r="I1368" t="s">
        <v>201</v>
      </c>
      <c r="J1368" t="s">
        <v>43</v>
      </c>
      <c r="K1368" t="s">
        <v>44</v>
      </c>
      <c r="L1368" t="s">
        <v>29</v>
      </c>
      <c r="M1368" t="s">
        <v>30</v>
      </c>
      <c r="N1368" t="s">
        <v>68</v>
      </c>
      <c r="O1368" t="s">
        <v>69</v>
      </c>
      <c r="P1368" t="s">
        <v>29</v>
      </c>
      <c r="Q1368" t="s">
        <v>30</v>
      </c>
      <c r="R1368" s="1">
        <v>44273.559328703705</v>
      </c>
      <c r="S1368" s="1">
        <v>44273.561655092592</v>
      </c>
      <c r="T1368">
        <v>0</v>
      </c>
      <c r="U1368">
        <v>3</v>
      </c>
      <c r="V1368" s="2">
        <v>0</v>
      </c>
      <c r="W1368">
        <v>0</v>
      </c>
      <c r="X1368" t="s">
        <v>44</v>
      </c>
      <c r="Y1368">
        <v>0</v>
      </c>
      <c r="Z1368" t="s">
        <v>44</v>
      </c>
      <c r="AA1368">
        <v>0</v>
      </c>
      <c r="AB1368" t="s">
        <v>45</v>
      </c>
      <c r="AC1368">
        <v>0</v>
      </c>
      <c r="AD1368" t="s">
        <v>31</v>
      </c>
      <c r="AE1368">
        <v>0</v>
      </c>
      <c r="AF1368" t="s">
        <v>31</v>
      </c>
      <c r="AG1368">
        <v>0</v>
      </c>
      <c r="AH1368" t="s">
        <v>31</v>
      </c>
      <c r="AI1368">
        <v>0</v>
      </c>
      <c r="AJ1368" t="s">
        <v>31</v>
      </c>
      <c r="AK1368">
        <v>0</v>
      </c>
      <c r="AL1368" t="s">
        <v>31</v>
      </c>
      <c r="AM1368">
        <v>0</v>
      </c>
      <c r="AN1368" t="s">
        <v>31</v>
      </c>
      <c r="AO1368">
        <v>0</v>
      </c>
      <c r="AP1368" t="s">
        <v>31</v>
      </c>
      <c r="AQ1368">
        <v>0</v>
      </c>
    </row>
    <row r="1369" spans="1:43" x14ac:dyDescent="0.2">
      <c r="A1369" t="s">
        <v>381</v>
      </c>
      <c r="B1369" s="3">
        <v>44279</v>
      </c>
      <c r="C1369">
        <v>41</v>
      </c>
      <c r="D1369" t="s">
        <v>384</v>
      </c>
      <c r="E1369" t="s">
        <v>66</v>
      </c>
      <c r="F1369" s="9" t="s">
        <v>67</v>
      </c>
      <c r="G1369" t="s">
        <v>26</v>
      </c>
      <c r="H1369" t="s">
        <v>68</v>
      </c>
      <c r="I1369" t="s">
        <v>69</v>
      </c>
      <c r="J1369" t="s">
        <v>29</v>
      </c>
      <c r="K1369" t="s">
        <v>30</v>
      </c>
      <c r="L1369" t="s">
        <v>29</v>
      </c>
      <c r="M1369" t="s">
        <v>30</v>
      </c>
      <c r="N1369" t="s">
        <v>68</v>
      </c>
      <c r="O1369" t="s">
        <v>69</v>
      </c>
      <c r="P1369" t="s">
        <v>29</v>
      </c>
      <c r="Q1369" t="s">
        <v>30</v>
      </c>
      <c r="R1369" s="1">
        <v>44279.375833333332</v>
      </c>
      <c r="S1369" s="1">
        <v>44279.379594907405</v>
      </c>
      <c r="T1369">
        <v>0</v>
      </c>
      <c r="U1369">
        <v>5</v>
      </c>
      <c r="V1369" s="2">
        <v>0</v>
      </c>
      <c r="W1369">
        <v>0</v>
      </c>
      <c r="X1369" t="s">
        <v>44</v>
      </c>
      <c r="Y1369">
        <v>0</v>
      </c>
      <c r="Z1369" t="s">
        <v>44</v>
      </c>
      <c r="AA1369">
        <v>0</v>
      </c>
      <c r="AB1369" t="s">
        <v>45</v>
      </c>
      <c r="AC1369">
        <v>0</v>
      </c>
      <c r="AD1369" t="s">
        <v>61</v>
      </c>
      <c r="AE1369">
        <v>0</v>
      </c>
      <c r="AF1369" t="s">
        <v>47</v>
      </c>
      <c r="AG1369">
        <v>0</v>
      </c>
      <c r="AH1369" t="s">
        <v>31</v>
      </c>
      <c r="AI1369">
        <v>0</v>
      </c>
      <c r="AJ1369" t="s">
        <v>31</v>
      </c>
      <c r="AK1369">
        <v>0</v>
      </c>
      <c r="AL1369" t="s">
        <v>31</v>
      </c>
      <c r="AM1369">
        <v>0</v>
      </c>
      <c r="AN1369" t="s">
        <v>31</v>
      </c>
      <c r="AO1369">
        <v>0</v>
      </c>
      <c r="AP1369" t="s">
        <v>31</v>
      </c>
      <c r="AQ1369">
        <v>0</v>
      </c>
    </row>
    <row r="1370" spans="1:43" x14ac:dyDescent="0.2">
      <c r="A1370" t="s">
        <v>381</v>
      </c>
      <c r="B1370" s="3">
        <v>44281</v>
      </c>
      <c r="C1370">
        <v>42</v>
      </c>
      <c r="D1370" t="s">
        <v>384</v>
      </c>
      <c r="E1370" t="s">
        <v>66</v>
      </c>
      <c r="F1370" s="9" t="s">
        <v>67</v>
      </c>
      <c r="G1370" t="s">
        <v>26</v>
      </c>
      <c r="H1370" t="s">
        <v>68</v>
      </c>
      <c r="I1370" t="s">
        <v>69</v>
      </c>
      <c r="J1370" t="s">
        <v>29</v>
      </c>
      <c r="K1370" t="s">
        <v>30</v>
      </c>
      <c r="L1370" t="s">
        <v>29</v>
      </c>
      <c r="M1370" t="s">
        <v>30</v>
      </c>
      <c r="N1370" t="s">
        <v>68</v>
      </c>
      <c r="O1370" t="s">
        <v>69</v>
      </c>
      <c r="P1370" t="s">
        <v>29</v>
      </c>
      <c r="Q1370" t="s">
        <v>30</v>
      </c>
      <c r="R1370" s="1">
        <v>44281.427673611113</v>
      </c>
      <c r="S1370" s="1">
        <v>44281.429490740738</v>
      </c>
      <c r="T1370">
        <v>0</v>
      </c>
      <c r="U1370">
        <v>4</v>
      </c>
      <c r="V1370" s="2">
        <v>0</v>
      </c>
      <c r="W1370">
        <v>0</v>
      </c>
      <c r="X1370" t="s">
        <v>44</v>
      </c>
      <c r="Y1370">
        <v>0</v>
      </c>
      <c r="Z1370" t="s">
        <v>44</v>
      </c>
      <c r="AA1370">
        <v>0</v>
      </c>
      <c r="AB1370" t="s">
        <v>45</v>
      </c>
      <c r="AC1370">
        <v>0</v>
      </c>
      <c r="AD1370" t="s">
        <v>61</v>
      </c>
      <c r="AE1370">
        <v>0</v>
      </c>
      <c r="AF1370" t="s">
        <v>31</v>
      </c>
      <c r="AG1370">
        <v>0</v>
      </c>
      <c r="AH1370" t="s">
        <v>31</v>
      </c>
      <c r="AI1370">
        <v>0</v>
      </c>
      <c r="AJ1370" t="s">
        <v>31</v>
      </c>
      <c r="AK1370">
        <v>0</v>
      </c>
      <c r="AL1370" t="s">
        <v>31</v>
      </c>
      <c r="AM1370">
        <v>0</v>
      </c>
      <c r="AN1370" t="s">
        <v>31</v>
      </c>
      <c r="AO1370">
        <v>0</v>
      </c>
      <c r="AP1370" t="s">
        <v>31</v>
      </c>
      <c r="AQ1370">
        <v>0</v>
      </c>
    </row>
    <row r="1371" spans="1:43" x14ac:dyDescent="0.2">
      <c r="A1371" t="s">
        <v>381</v>
      </c>
      <c r="B1371" s="3">
        <v>44284</v>
      </c>
      <c r="C1371">
        <v>43</v>
      </c>
      <c r="D1371" t="s">
        <v>384</v>
      </c>
      <c r="E1371" t="s">
        <v>66</v>
      </c>
      <c r="F1371" s="9" t="s">
        <v>67</v>
      </c>
      <c r="G1371" t="s">
        <v>26</v>
      </c>
      <c r="H1371" t="s">
        <v>68</v>
      </c>
      <c r="I1371" t="s">
        <v>69</v>
      </c>
      <c r="J1371" t="s">
        <v>29</v>
      </c>
      <c r="K1371" t="s">
        <v>30</v>
      </c>
      <c r="L1371" t="s">
        <v>29</v>
      </c>
      <c r="M1371" t="s">
        <v>30</v>
      </c>
      <c r="N1371" t="s">
        <v>68</v>
      </c>
      <c r="O1371" t="s">
        <v>69</v>
      </c>
      <c r="P1371" t="s">
        <v>29</v>
      </c>
      <c r="Q1371" t="s">
        <v>30</v>
      </c>
      <c r="R1371" s="1">
        <v>44284.418587962966</v>
      </c>
      <c r="S1371" s="1">
        <v>44284.421388888892</v>
      </c>
      <c r="T1371">
        <v>0</v>
      </c>
      <c r="U1371">
        <v>5</v>
      </c>
      <c r="V1371" s="2">
        <v>0</v>
      </c>
      <c r="W1371">
        <v>0</v>
      </c>
      <c r="X1371" t="s">
        <v>44</v>
      </c>
      <c r="Y1371">
        <v>0</v>
      </c>
      <c r="Z1371" t="s">
        <v>44</v>
      </c>
      <c r="AA1371">
        <v>0</v>
      </c>
      <c r="AB1371" t="s">
        <v>45</v>
      </c>
      <c r="AC1371">
        <v>0</v>
      </c>
      <c r="AD1371" t="s">
        <v>61</v>
      </c>
      <c r="AE1371">
        <v>0</v>
      </c>
      <c r="AF1371" t="s">
        <v>47</v>
      </c>
      <c r="AG1371">
        <v>0</v>
      </c>
      <c r="AH1371" t="s">
        <v>31</v>
      </c>
      <c r="AI1371">
        <v>0</v>
      </c>
      <c r="AJ1371" t="s">
        <v>31</v>
      </c>
      <c r="AK1371">
        <v>0</v>
      </c>
      <c r="AL1371" t="s">
        <v>31</v>
      </c>
      <c r="AM1371">
        <v>0</v>
      </c>
      <c r="AN1371" t="s">
        <v>31</v>
      </c>
      <c r="AO1371">
        <v>0</v>
      </c>
      <c r="AP1371" t="s">
        <v>31</v>
      </c>
      <c r="AQ1371">
        <v>0</v>
      </c>
    </row>
    <row r="1372" spans="1:43" x14ac:dyDescent="0.2">
      <c r="A1372" t="s">
        <v>381</v>
      </c>
      <c r="B1372" s="3">
        <v>44286</v>
      </c>
      <c r="C1372">
        <v>46</v>
      </c>
      <c r="D1372" t="s">
        <v>384</v>
      </c>
      <c r="E1372" t="s">
        <v>66</v>
      </c>
      <c r="F1372" s="9" t="s">
        <v>67</v>
      </c>
      <c r="G1372" t="s">
        <v>26</v>
      </c>
      <c r="H1372" t="s">
        <v>68</v>
      </c>
      <c r="I1372" t="s">
        <v>69</v>
      </c>
      <c r="J1372" t="s">
        <v>29</v>
      </c>
      <c r="K1372" t="s">
        <v>30</v>
      </c>
      <c r="L1372" t="s">
        <v>29</v>
      </c>
      <c r="M1372" t="s">
        <v>30</v>
      </c>
      <c r="N1372" t="s">
        <v>68</v>
      </c>
      <c r="O1372" t="s">
        <v>69</v>
      </c>
      <c r="P1372" t="s">
        <v>29</v>
      </c>
      <c r="Q1372" t="s">
        <v>30</v>
      </c>
      <c r="R1372" s="1">
        <v>44286.426041666666</v>
      </c>
      <c r="S1372" s="1">
        <v>44286.428194444445</v>
      </c>
      <c r="T1372">
        <v>0</v>
      </c>
      <c r="U1372">
        <v>4</v>
      </c>
      <c r="V1372" s="2">
        <v>0</v>
      </c>
      <c r="W1372">
        <v>0</v>
      </c>
      <c r="X1372" t="s">
        <v>44</v>
      </c>
      <c r="Y1372">
        <v>0</v>
      </c>
      <c r="Z1372" t="s">
        <v>44</v>
      </c>
      <c r="AA1372">
        <v>0</v>
      </c>
      <c r="AB1372" t="s">
        <v>45</v>
      </c>
      <c r="AC1372">
        <v>0</v>
      </c>
      <c r="AD1372" t="s">
        <v>47</v>
      </c>
      <c r="AE1372">
        <v>0</v>
      </c>
      <c r="AF1372" t="s">
        <v>31</v>
      </c>
      <c r="AG1372">
        <v>0</v>
      </c>
      <c r="AH1372" t="s">
        <v>31</v>
      </c>
      <c r="AI1372">
        <v>0</v>
      </c>
      <c r="AJ1372" t="s">
        <v>31</v>
      </c>
      <c r="AK1372">
        <v>0</v>
      </c>
      <c r="AL1372" t="s">
        <v>31</v>
      </c>
      <c r="AM1372">
        <v>0</v>
      </c>
      <c r="AN1372" t="s">
        <v>31</v>
      </c>
      <c r="AO1372">
        <v>0</v>
      </c>
      <c r="AP1372" t="s">
        <v>31</v>
      </c>
      <c r="AQ1372">
        <v>0</v>
      </c>
    </row>
    <row r="1373" spans="1:43" x14ac:dyDescent="0.2">
      <c r="A1373" t="s">
        <v>381</v>
      </c>
      <c r="B1373" s="3">
        <v>44287</v>
      </c>
      <c r="C1373">
        <v>48</v>
      </c>
      <c r="D1373" t="s">
        <v>385</v>
      </c>
      <c r="E1373" t="s">
        <v>66</v>
      </c>
      <c r="F1373" s="9" t="s">
        <v>67</v>
      </c>
      <c r="G1373" t="s">
        <v>26</v>
      </c>
      <c r="H1373" t="s">
        <v>68</v>
      </c>
      <c r="I1373" t="s">
        <v>69</v>
      </c>
      <c r="J1373" t="s">
        <v>29</v>
      </c>
      <c r="K1373" t="s">
        <v>30</v>
      </c>
      <c r="L1373" t="s">
        <v>29</v>
      </c>
      <c r="M1373" t="s">
        <v>30</v>
      </c>
      <c r="N1373" t="s">
        <v>68</v>
      </c>
      <c r="O1373" t="s">
        <v>69</v>
      </c>
      <c r="P1373" t="s">
        <v>29</v>
      </c>
      <c r="Q1373" t="s">
        <v>30</v>
      </c>
      <c r="R1373" s="1">
        <v>44287.547048611108</v>
      </c>
      <c r="S1373" s="1">
        <v>44287.547453703701</v>
      </c>
      <c r="T1373">
        <v>0</v>
      </c>
      <c r="U1373">
        <v>2</v>
      </c>
      <c r="V1373" s="2">
        <v>0</v>
      </c>
      <c r="W1373">
        <v>0</v>
      </c>
      <c r="X1373" t="s">
        <v>44</v>
      </c>
      <c r="Y1373">
        <v>0</v>
      </c>
      <c r="Z1373" t="s">
        <v>44</v>
      </c>
      <c r="AA1373">
        <v>0</v>
      </c>
      <c r="AB1373" t="s">
        <v>31</v>
      </c>
      <c r="AC1373">
        <v>0</v>
      </c>
      <c r="AD1373" t="s">
        <v>31</v>
      </c>
      <c r="AE1373">
        <v>0</v>
      </c>
      <c r="AF1373" t="s">
        <v>31</v>
      </c>
      <c r="AG1373">
        <v>0</v>
      </c>
      <c r="AH1373" t="s">
        <v>31</v>
      </c>
      <c r="AI1373">
        <v>0</v>
      </c>
      <c r="AJ1373" t="s">
        <v>31</v>
      </c>
      <c r="AK1373">
        <v>0</v>
      </c>
      <c r="AL1373" t="s">
        <v>31</v>
      </c>
      <c r="AM1373">
        <v>0</v>
      </c>
      <c r="AN1373" t="s">
        <v>31</v>
      </c>
      <c r="AO1373">
        <v>0</v>
      </c>
      <c r="AP1373" t="s">
        <v>31</v>
      </c>
      <c r="AQ1373">
        <v>0</v>
      </c>
    </row>
    <row r="1374" spans="1:43" x14ac:dyDescent="0.2">
      <c r="A1374" t="s">
        <v>381</v>
      </c>
      <c r="B1374" s="3">
        <v>44288</v>
      </c>
      <c r="C1374">
        <v>49</v>
      </c>
      <c r="D1374" t="s">
        <v>384</v>
      </c>
      <c r="E1374" t="s">
        <v>66</v>
      </c>
      <c r="F1374" s="9" t="s">
        <v>67</v>
      </c>
      <c r="G1374" t="s">
        <v>26</v>
      </c>
      <c r="H1374" t="s">
        <v>68</v>
      </c>
      <c r="I1374" t="s">
        <v>69</v>
      </c>
      <c r="J1374" t="s">
        <v>29</v>
      </c>
      <c r="K1374" t="s">
        <v>30</v>
      </c>
      <c r="L1374" t="s">
        <v>29</v>
      </c>
      <c r="M1374" t="s">
        <v>30</v>
      </c>
      <c r="N1374" t="s">
        <v>68</v>
      </c>
      <c r="O1374" t="s">
        <v>69</v>
      </c>
      <c r="P1374" t="s">
        <v>29</v>
      </c>
      <c r="Q1374" t="s">
        <v>30</v>
      </c>
      <c r="R1374" s="1">
        <v>44288.390949074077</v>
      </c>
      <c r="S1374" s="1">
        <v>44288.396666666667</v>
      </c>
      <c r="T1374">
        <v>0</v>
      </c>
      <c r="U1374">
        <v>5</v>
      </c>
      <c r="V1374" s="2">
        <v>0</v>
      </c>
      <c r="W1374">
        <v>0</v>
      </c>
      <c r="X1374" t="s">
        <v>44</v>
      </c>
      <c r="Y1374">
        <v>0</v>
      </c>
      <c r="Z1374" t="s">
        <v>44</v>
      </c>
      <c r="AA1374">
        <v>0</v>
      </c>
      <c r="AB1374" t="s">
        <v>45</v>
      </c>
      <c r="AC1374">
        <v>0</v>
      </c>
      <c r="AD1374" t="s">
        <v>61</v>
      </c>
      <c r="AE1374">
        <v>0</v>
      </c>
      <c r="AF1374" t="s">
        <v>47</v>
      </c>
      <c r="AG1374">
        <v>0</v>
      </c>
      <c r="AH1374" t="s">
        <v>31</v>
      </c>
      <c r="AI1374">
        <v>0</v>
      </c>
      <c r="AJ1374" t="s">
        <v>31</v>
      </c>
      <c r="AK1374">
        <v>0</v>
      </c>
      <c r="AL1374" t="s">
        <v>31</v>
      </c>
      <c r="AM1374">
        <v>0</v>
      </c>
      <c r="AN1374" t="s">
        <v>31</v>
      </c>
      <c r="AO1374">
        <v>0</v>
      </c>
      <c r="AP1374" t="s">
        <v>31</v>
      </c>
      <c r="AQ1374">
        <v>0</v>
      </c>
    </row>
    <row r="1375" spans="1:43" x14ac:dyDescent="0.2">
      <c r="A1375" t="s">
        <v>381</v>
      </c>
      <c r="B1375" s="3">
        <v>44291</v>
      </c>
      <c r="C1375">
        <v>50</v>
      </c>
      <c r="D1375" t="s">
        <v>384</v>
      </c>
      <c r="E1375" t="s">
        <v>66</v>
      </c>
      <c r="F1375" s="9" t="s">
        <v>67</v>
      </c>
      <c r="G1375" t="s">
        <v>26</v>
      </c>
      <c r="H1375" t="s">
        <v>68</v>
      </c>
      <c r="I1375" t="s">
        <v>69</v>
      </c>
      <c r="J1375" t="s">
        <v>29</v>
      </c>
      <c r="K1375" t="s">
        <v>30</v>
      </c>
      <c r="L1375" t="s">
        <v>29</v>
      </c>
      <c r="M1375" t="s">
        <v>30</v>
      </c>
      <c r="N1375" t="s">
        <v>68</v>
      </c>
      <c r="O1375" t="s">
        <v>69</v>
      </c>
      <c r="P1375" t="s">
        <v>29</v>
      </c>
      <c r="Q1375" t="s">
        <v>30</v>
      </c>
      <c r="R1375" s="1">
        <v>44291.394918981481</v>
      </c>
      <c r="S1375" s="1">
        <v>44291.39576388889</v>
      </c>
      <c r="T1375">
        <v>1</v>
      </c>
      <c r="U1375">
        <v>2</v>
      </c>
      <c r="V1375" s="2">
        <v>0.5</v>
      </c>
      <c r="W1375">
        <v>0</v>
      </c>
      <c r="X1375" t="s">
        <v>44</v>
      </c>
      <c r="Y1375">
        <v>0</v>
      </c>
      <c r="Z1375" t="s">
        <v>30</v>
      </c>
      <c r="AA1375">
        <v>0</v>
      </c>
      <c r="AB1375" t="s">
        <v>31</v>
      </c>
      <c r="AC1375">
        <v>0</v>
      </c>
      <c r="AD1375" t="s">
        <v>31</v>
      </c>
      <c r="AE1375">
        <v>0</v>
      </c>
      <c r="AF1375" t="s">
        <v>31</v>
      </c>
      <c r="AG1375">
        <v>0</v>
      </c>
      <c r="AH1375" t="s">
        <v>31</v>
      </c>
      <c r="AI1375">
        <v>0</v>
      </c>
      <c r="AJ1375" t="s">
        <v>31</v>
      </c>
      <c r="AK1375">
        <v>0</v>
      </c>
      <c r="AL1375" t="s">
        <v>31</v>
      </c>
      <c r="AM1375">
        <v>0</v>
      </c>
      <c r="AN1375" t="s">
        <v>31</v>
      </c>
      <c r="AO1375">
        <v>0</v>
      </c>
      <c r="AP1375" t="s">
        <v>31</v>
      </c>
      <c r="AQ1375">
        <v>0</v>
      </c>
    </row>
    <row r="1376" spans="1:43" x14ac:dyDescent="0.2">
      <c r="A1376" t="s">
        <v>381</v>
      </c>
      <c r="B1376" s="3">
        <v>44292</v>
      </c>
      <c r="C1376">
        <v>52</v>
      </c>
      <c r="D1376" t="s">
        <v>386</v>
      </c>
      <c r="E1376" t="s">
        <v>66</v>
      </c>
      <c r="F1376" s="9" t="s">
        <v>67</v>
      </c>
      <c r="G1376" t="s">
        <v>26</v>
      </c>
      <c r="H1376" t="s">
        <v>68</v>
      </c>
      <c r="I1376" t="s">
        <v>69</v>
      </c>
      <c r="J1376" t="s">
        <v>29</v>
      </c>
      <c r="K1376" t="s">
        <v>30</v>
      </c>
      <c r="L1376" t="s">
        <v>29</v>
      </c>
      <c r="M1376" t="s">
        <v>30</v>
      </c>
      <c r="N1376" t="s">
        <v>68</v>
      </c>
      <c r="O1376" t="s">
        <v>69</v>
      </c>
      <c r="P1376" t="s">
        <v>29</v>
      </c>
      <c r="Q1376" t="s">
        <v>30</v>
      </c>
      <c r="R1376" s="1">
        <v>44292.653275462966</v>
      </c>
      <c r="S1376" s="1">
        <v>44292.653321759259</v>
      </c>
      <c r="T1376">
        <v>1</v>
      </c>
      <c r="U1376">
        <v>3</v>
      </c>
      <c r="V1376" s="2">
        <v>0.33</v>
      </c>
      <c r="W1376">
        <v>0</v>
      </c>
      <c r="X1376" t="s">
        <v>44</v>
      </c>
      <c r="Y1376">
        <v>0</v>
      </c>
      <c r="Z1376" t="s">
        <v>44</v>
      </c>
      <c r="AA1376">
        <v>0</v>
      </c>
      <c r="AB1376" t="s">
        <v>30</v>
      </c>
      <c r="AC1376">
        <v>0</v>
      </c>
      <c r="AD1376" t="s">
        <v>31</v>
      </c>
      <c r="AE1376">
        <v>0</v>
      </c>
      <c r="AF1376" t="s">
        <v>31</v>
      </c>
      <c r="AG1376">
        <v>0</v>
      </c>
      <c r="AH1376" t="s">
        <v>31</v>
      </c>
      <c r="AI1376">
        <v>0</v>
      </c>
      <c r="AJ1376" t="s">
        <v>31</v>
      </c>
      <c r="AK1376">
        <v>0</v>
      </c>
      <c r="AL1376" t="s">
        <v>31</v>
      </c>
      <c r="AM1376">
        <v>0</v>
      </c>
      <c r="AN1376" t="s">
        <v>31</v>
      </c>
      <c r="AO1376">
        <v>0</v>
      </c>
      <c r="AP1376" t="s">
        <v>31</v>
      </c>
      <c r="AQ1376">
        <v>0</v>
      </c>
    </row>
    <row r="1377" spans="1:43" x14ac:dyDescent="0.2">
      <c r="A1377" t="s">
        <v>381</v>
      </c>
      <c r="B1377" s="3">
        <v>44293</v>
      </c>
      <c r="C1377">
        <v>53</v>
      </c>
      <c r="D1377" t="s">
        <v>384</v>
      </c>
      <c r="E1377" t="s">
        <v>66</v>
      </c>
      <c r="F1377" s="9" t="s">
        <v>67</v>
      </c>
      <c r="G1377" t="s">
        <v>26</v>
      </c>
      <c r="H1377" t="s">
        <v>68</v>
      </c>
      <c r="I1377" t="s">
        <v>69</v>
      </c>
      <c r="J1377" t="s">
        <v>29</v>
      </c>
      <c r="K1377" t="s">
        <v>30</v>
      </c>
      <c r="L1377" t="s">
        <v>29</v>
      </c>
      <c r="M1377" t="s">
        <v>30</v>
      </c>
      <c r="N1377" t="s">
        <v>68</v>
      </c>
      <c r="O1377" t="s">
        <v>69</v>
      </c>
      <c r="P1377" t="s">
        <v>29</v>
      </c>
      <c r="Q1377" t="s">
        <v>30</v>
      </c>
      <c r="R1377" s="1">
        <v>44293.392881944441</v>
      </c>
      <c r="S1377" s="1">
        <v>44293.394467592596</v>
      </c>
      <c r="T1377">
        <v>0</v>
      </c>
      <c r="U1377">
        <v>5</v>
      </c>
      <c r="V1377" s="2">
        <v>0</v>
      </c>
      <c r="W1377">
        <v>0</v>
      </c>
      <c r="X1377" t="s">
        <v>44</v>
      </c>
      <c r="Y1377">
        <v>0</v>
      </c>
      <c r="Z1377" t="s">
        <v>44</v>
      </c>
      <c r="AA1377">
        <v>0</v>
      </c>
      <c r="AB1377" t="s">
        <v>45</v>
      </c>
      <c r="AC1377">
        <v>0</v>
      </c>
      <c r="AD1377" t="s">
        <v>61</v>
      </c>
      <c r="AE1377">
        <v>0</v>
      </c>
      <c r="AF1377" t="s">
        <v>47</v>
      </c>
      <c r="AG1377">
        <v>0</v>
      </c>
      <c r="AH1377" t="s">
        <v>31</v>
      </c>
      <c r="AI1377">
        <v>0</v>
      </c>
      <c r="AJ1377" t="s">
        <v>31</v>
      </c>
      <c r="AK1377">
        <v>0</v>
      </c>
      <c r="AL1377" t="s">
        <v>31</v>
      </c>
      <c r="AM1377">
        <v>0</v>
      </c>
      <c r="AN1377" t="s">
        <v>31</v>
      </c>
      <c r="AO1377">
        <v>0</v>
      </c>
      <c r="AP1377" t="s">
        <v>31</v>
      </c>
      <c r="AQ1377">
        <v>0</v>
      </c>
    </row>
    <row r="1378" spans="1:43" x14ac:dyDescent="0.2">
      <c r="A1378" t="s">
        <v>381</v>
      </c>
      <c r="B1378" s="3">
        <v>44294</v>
      </c>
      <c r="C1378">
        <v>54</v>
      </c>
      <c r="D1378" t="s">
        <v>407</v>
      </c>
      <c r="E1378" t="s">
        <v>66</v>
      </c>
      <c r="F1378" s="9" t="s">
        <v>67</v>
      </c>
      <c r="G1378" t="s">
        <v>26</v>
      </c>
      <c r="H1378" t="s">
        <v>68</v>
      </c>
      <c r="I1378" t="s">
        <v>69</v>
      </c>
      <c r="J1378" t="s">
        <v>29</v>
      </c>
      <c r="K1378" t="s">
        <v>30</v>
      </c>
      <c r="L1378" t="s">
        <v>29</v>
      </c>
      <c r="M1378" t="s">
        <v>30</v>
      </c>
      <c r="N1378" t="s">
        <v>68</v>
      </c>
      <c r="O1378" t="s">
        <v>69</v>
      </c>
      <c r="P1378" t="s">
        <v>29</v>
      </c>
      <c r="Q1378" t="s">
        <v>30</v>
      </c>
      <c r="R1378" s="1">
        <v>44294.468807870369</v>
      </c>
      <c r="S1378" s="1">
        <v>44294.468807870369</v>
      </c>
      <c r="T1378">
        <v>0</v>
      </c>
      <c r="U1378">
        <v>6</v>
      </c>
      <c r="V1378" s="2">
        <v>0</v>
      </c>
      <c r="W1378">
        <v>0</v>
      </c>
      <c r="X1378" t="s">
        <v>44</v>
      </c>
      <c r="Y1378">
        <v>0</v>
      </c>
      <c r="Z1378" t="s">
        <v>44</v>
      </c>
      <c r="AA1378">
        <v>0</v>
      </c>
      <c r="AB1378" t="s">
        <v>44</v>
      </c>
      <c r="AC1378">
        <v>0</v>
      </c>
      <c r="AD1378" t="s">
        <v>45</v>
      </c>
      <c r="AE1378">
        <v>0</v>
      </c>
      <c r="AF1378" t="s">
        <v>44</v>
      </c>
      <c r="AG1378">
        <v>0</v>
      </c>
      <c r="AH1378" t="s">
        <v>45</v>
      </c>
      <c r="AI1378">
        <v>0</v>
      </c>
      <c r="AJ1378" t="s">
        <v>31</v>
      </c>
      <c r="AK1378">
        <v>0</v>
      </c>
      <c r="AL1378" t="s">
        <v>31</v>
      </c>
      <c r="AM1378">
        <v>0</v>
      </c>
      <c r="AN1378" t="s">
        <v>31</v>
      </c>
      <c r="AO1378">
        <v>0</v>
      </c>
      <c r="AP1378" t="s">
        <v>31</v>
      </c>
      <c r="AQ1378">
        <v>0</v>
      </c>
    </row>
    <row r="1379" spans="1:43" x14ac:dyDescent="0.2">
      <c r="A1379" t="s">
        <v>381</v>
      </c>
      <c r="B1379" s="3">
        <v>44294</v>
      </c>
      <c r="C1379">
        <v>55</v>
      </c>
      <c r="D1379" t="s">
        <v>385</v>
      </c>
      <c r="E1379" t="s">
        <v>66</v>
      </c>
      <c r="F1379" s="9" t="s">
        <v>67</v>
      </c>
      <c r="G1379" t="s">
        <v>26</v>
      </c>
      <c r="H1379" t="s">
        <v>68</v>
      </c>
      <c r="I1379" t="s">
        <v>69</v>
      </c>
      <c r="J1379" t="s">
        <v>29</v>
      </c>
      <c r="K1379" t="s">
        <v>30</v>
      </c>
      <c r="L1379" t="s">
        <v>29</v>
      </c>
      <c r="M1379" t="s">
        <v>30</v>
      </c>
      <c r="N1379" t="s">
        <v>68</v>
      </c>
      <c r="O1379" t="s">
        <v>69</v>
      </c>
      <c r="P1379" t="s">
        <v>29</v>
      </c>
      <c r="Q1379" t="s">
        <v>30</v>
      </c>
      <c r="R1379" s="1">
        <v>44294.624259259261</v>
      </c>
      <c r="S1379" s="1">
        <v>44294.626712962963</v>
      </c>
      <c r="T1379">
        <v>0</v>
      </c>
      <c r="U1379">
        <v>5</v>
      </c>
      <c r="V1379" s="2">
        <v>0</v>
      </c>
      <c r="W1379">
        <v>0</v>
      </c>
      <c r="X1379" t="s">
        <v>44</v>
      </c>
      <c r="Y1379">
        <v>0</v>
      </c>
      <c r="Z1379" t="s">
        <v>44</v>
      </c>
      <c r="AA1379">
        <v>0</v>
      </c>
      <c r="AB1379" t="s">
        <v>45</v>
      </c>
      <c r="AC1379">
        <v>0</v>
      </c>
      <c r="AD1379" t="s">
        <v>61</v>
      </c>
      <c r="AE1379">
        <v>0</v>
      </c>
      <c r="AF1379" t="s">
        <v>47</v>
      </c>
      <c r="AG1379">
        <v>0</v>
      </c>
      <c r="AH1379" t="s">
        <v>31</v>
      </c>
      <c r="AI1379">
        <v>0</v>
      </c>
      <c r="AJ1379" t="s">
        <v>31</v>
      </c>
      <c r="AK1379">
        <v>0</v>
      </c>
      <c r="AL1379" t="s">
        <v>31</v>
      </c>
      <c r="AM1379">
        <v>0</v>
      </c>
      <c r="AN1379" t="s">
        <v>31</v>
      </c>
      <c r="AO1379">
        <v>0</v>
      </c>
      <c r="AP1379" t="s">
        <v>31</v>
      </c>
      <c r="AQ1379">
        <v>0</v>
      </c>
    </row>
    <row r="1380" spans="1:43" x14ac:dyDescent="0.2">
      <c r="A1380" t="s">
        <v>381</v>
      </c>
      <c r="B1380" s="3">
        <v>44299</v>
      </c>
      <c r="C1380">
        <v>59</v>
      </c>
      <c r="D1380" t="s">
        <v>385</v>
      </c>
      <c r="E1380" t="s">
        <v>66</v>
      </c>
      <c r="F1380" s="9" t="s">
        <v>67</v>
      </c>
      <c r="G1380" t="s">
        <v>26</v>
      </c>
      <c r="H1380" t="s">
        <v>68</v>
      </c>
      <c r="I1380" t="s">
        <v>69</v>
      </c>
      <c r="J1380" t="s">
        <v>29</v>
      </c>
      <c r="K1380" t="s">
        <v>30</v>
      </c>
      <c r="L1380" t="s">
        <v>29</v>
      </c>
      <c r="M1380" t="s">
        <v>30</v>
      </c>
      <c r="N1380" t="s">
        <v>68</v>
      </c>
      <c r="O1380" t="s">
        <v>69</v>
      </c>
      <c r="P1380" t="s">
        <v>29</v>
      </c>
      <c r="Q1380" t="s">
        <v>30</v>
      </c>
      <c r="R1380" s="1">
        <v>44299.555439814816</v>
      </c>
      <c r="S1380" s="1">
        <v>44299.556493055556</v>
      </c>
      <c r="T1380">
        <v>0</v>
      </c>
      <c r="U1380">
        <v>4</v>
      </c>
      <c r="V1380" s="2">
        <v>0</v>
      </c>
      <c r="W1380">
        <v>0</v>
      </c>
      <c r="X1380" t="s">
        <v>44</v>
      </c>
      <c r="Y1380">
        <v>0</v>
      </c>
      <c r="Z1380" t="s">
        <v>44</v>
      </c>
      <c r="AA1380">
        <v>0</v>
      </c>
      <c r="AB1380" t="s">
        <v>45</v>
      </c>
      <c r="AC1380">
        <v>0</v>
      </c>
      <c r="AD1380" t="s">
        <v>61</v>
      </c>
      <c r="AE1380">
        <v>0</v>
      </c>
      <c r="AF1380" t="s">
        <v>31</v>
      </c>
      <c r="AG1380">
        <v>0</v>
      </c>
      <c r="AH1380" t="s">
        <v>31</v>
      </c>
      <c r="AI1380">
        <v>0</v>
      </c>
      <c r="AJ1380" t="s">
        <v>31</v>
      </c>
      <c r="AK1380">
        <v>0</v>
      </c>
      <c r="AL1380" t="s">
        <v>31</v>
      </c>
      <c r="AM1380">
        <v>0</v>
      </c>
      <c r="AN1380" t="s">
        <v>31</v>
      </c>
      <c r="AO1380">
        <v>0</v>
      </c>
      <c r="AP1380" t="s">
        <v>31</v>
      </c>
      <c r="AQ1380">
        <v>0</v>
      </c>
    </row>
    <row r="1381" spans="1:43" x14ac:dyDescent="0.2">
      <c r="A1381" t="s">
        <v>381</v>
      </c>
      <c r="B1381" s="3">
        <v>44301</v>
      </c>
      <c r="C1381">
        <v>63</v>
      </c>
      <c r="D1381" t="s">
        <v>385</v>
      </c>
      <c r="E1381" t="s">
        <v>66</v>
      </c>
      <c r="F1381" s="9" t="s">
        <v>67</v>
      </c>
      <c r="G1381" t="s">
        <v>26</v>
      </c>
      <c r="H1381" t="s">
        <v>68</v>
      </c>
      <c r="I1381" t="s">
        <v>69</v>
      </c>
      <c r="J1381" t="s">
        <v>29</v>
      </c>
      <c r="K1381" t="s">
        <v>30</v>
      </c>
      <c r="L1381" t="s">
        <v>29</v>
      </c>
      <c r="M1381" t="s">
        <v>30</v>
      </c>
      <c r="N1381" t="s">
        <v>68</v>
      </c>
      <c r="O1381" t="s">
        <v>69</v>
      </c>
      <c r="P1381" t="s">
        <v>29</v>
      </c>
      <c r="Q1381" t="s">
        <v>30</v>
      </c>
      <c r="R1381" s="1">
        <v>44301.641701388886</v>
      </c>
      <c r="S1381" s="1">
        <v>44301.643229166664</v>
      </c>
      <c r="T1381">
        <v>0</v>
      </c>
      <c r="U1381">
        <v>5</v>
      </c>
      <c r="V1381" s="2">
        <v>0</v>
      </c>
      <c r="W1381">
        <v>0</v>
      </c>
      <c r="X1381" t="s">
        <v>44</v>
      </c>
      <c r="Y1381">
        <v>0</v>
      </c>
      <c r="Z1381" t="s">
        <v>44</v>
      </c>
      <c r="AA1381">
        <v>0</v>
      </c>
      <c r="AB1381" t="s">
        <v>45</v>
      </c>
      <c r="AC1381">
        <v>0</v>
      </c>
      <c r="AD1381" t="s">
        <v>61</v>
      </c>
      <c r="AE1381">
        <v>0</v>
      </c>
      <c r="AF1381" t="s">
        <v>47</v>
      </c>
      <c r="AG1381">
        <v>0</v>
      </c>
      <c r="AH1381" t="s">
        <v>31</v>
      </c>
      <c r="AI1381">
        <v>0</v>
      </c>
      <c r="AJ1381" t="s">
        <v>31</v>
      </c>
      <c r="AK1381">
        <v>0</v>
      </c>
      <c r="AL1381" t="s">
        <v>31</v>
      </c>
      <c r="AM1381">
        <v>0</v>
      </c>
      <c r="AN1381" t="s">
        <v>31</v>
      </c>
      <c r="AO1381">
        <v>0</v>
      </c>
      <c r="AP1381" t="s">
        <v>31</v>
      </c>
      <c r="AQ1381">
        <v>0</v>
      </c>
    </row>
    <row r="1382" spans="1:43" x14ac:dyDescent="0.2">
      <c r="A1382" t="s">
        <v>381</v>
      </c>
      <c r="B1382" s="3">
        <v>44309</v>
      </c>
      <c r="C1382">
        <v>71</v>
      </c>
      <c r="D1382" t="s">
        <v>391</v>
      </c>
      <c r="E1382" t="s">
        <v>66</v>
      </c>
      <c r="F1382" s="9" t="s">
        <v>67</v>
      </c>
      <c r="G1382" t="s">
        <v>26</v>
      </c>
      <c r="H1382" t="s">
        <v>68</v>
      </c>
      <c r="I1382" t="s">
        <v>69</v>
      </c>
      <c r="J1382" t="s">
        <v>29</v>
      </c>
      <c r="K1382" t="s">
        <v>30</v>
      </c>
      <c r="L1382" t="s">
        <v>29</v>
      </c>
      <c r="M1382" t="s">
        <v>30</v>
      </c>
      <c r="N1382" t="s">
        <v>68</v>
      </c>
      <c r="O1382" t="s">
        <v>69</v>
      </c>
      <c r="P1382" t="s">
        <v>29</v>
      </c>
      <c r="Q1382" t="s">
        <v>30</v>
      </c>
      <c r="R1382" s="1">
        <v>44309.613020833334</v>
      </c>
      <c r="S1382" s="1">
        <v>44309.613946759258</v>
      </c>
      <c r="T1382">
        <v>0</v>
      </c>
      <c r="U1382">
        <v>5</v>
      </c>
      <c r="V1382" s="2">
        <v>0</v>
      </c>
      <c r="W1382">
        <v>0</v>
      </c>
      <c r="X1382" t="s">
        <v>44</v>
      </c>
      <c r="Y1382">
        <v>0</v>
      </c>
      <c r="Z1382" t="s">
        <v>44</v>
      </c>
      <c r="AA1382">
        <v>0</v>
      </c>
      <c r="AB1382" t="s">
        <v>45</v>
      </c>
      <c r="AC1382">
        <v>0</v>
      </c>
      <c r="AD1382" t="s">
        <v>61</v>
      </c>
      <c r="AE1382">
        <v>0</v>
      </c>
      <c r="AF1382" t="s">
        <v>47</v>
      </c>
      <c r="AG1382">
        <v>0</v>
      </c>
      <c r="AH1382" t="s">
        <v>31</v>
      </c>
      <c r="AI1382">
        <v>0</v>
      </c>
      <c r="AJ1382" t="s">
        <v>31</v>
      </c>
      <c r="AK1382">
        <v>0</v>
      </c>
      <c r="AL1382" t="s">
        <v>31</v>
      </c>
      <c r="AM1382">
        <v>0</v>
      </c>
      <c r="AN1382" t="s">
        <v>31</v>
      </c>
      <c r="AO1382">
        <v>0</v>
      </c>
      <c r="AP1382" t="s">
        <v>31</v>
      </c>
      <c r="AQ1382">
        <v>0</v>
      </c>
    </row>
    <row r="1383" spans="1:43" x14ac:dyDescent="0.2">
      <c r="A1383" t="s">
        <v>381</v>
      </c>
      <c r="B1383" s="3">
        <v>44313</v>
      </c>
      <c r="C1383">
        <v>76</v>
      </c>
      <c r="D1383" t="s">
        <v>385</v>
      </c>
      <c r="E1383" t="s">
        <v>66</v>
      </c>
      <c r="F1383" s="9" t="s">
        <v>67</v>
      </c>
      <c r="G1383" t="s">
        <v>26</v>
      </c>
      <c r="H1383" t="s">
        <v>68</v>
      </c>
      <c r="I1383" t="s">
        <v>69</v>
      </c>
      <c r="J1383" t="s">
        <v>29</v>
      </c>
      <c r="K1383" t="s">
        <v>30</v>
      </c>
      <c r="L1383" t="s">
        <v>29</v>
      </c>
      <c r="M1383" t="s">
        <v>30</v>
      </c>
      <c r="N1383" t="s">
        <v>68</v>
      </c>
      <c r="O1383" t="s">
        <v>69</v>
      </c>
      <c r="P1383" t="s">
        <v>29</v>
      </c>
      <c r="Q1383" t="s">
        <v>30</v>
      </c>
      <c r="R1383" s="1">
        <v>44313.633877314816</v>
      </c>
      <c r="S1383" s="1">
        <v>44313.635937500003</v>
      </c>
      <c r="T1383">
        <v>0</v>
      </c>
      <c r="U1383">
        <v>5</v>
      </c>
      <c r="V1383" s="2">
        <v>0</v>
      </c>
      <c r="W1383">
        <v>0</v>
      </c>
      <c r="X1383" t="s">
        <v>44</v>
      </c>
      <c r="Y1383">
        <v>0</v>
      </c>
      <c r="Z1383" t="s">
        <v>44</v>
      </c>
      <c r="AA1383">
        <v>0</v>
      </c>
      <c r="AB1383" t="s">
        <v>45</v>
      </c>
      <c r="AC1383">
        <v>0</v>
      </c>
      <c r="AD1383" t="s">
        <v>61</v>
      </c>
      <c r="AE1383">
        <v>0</v>
      </c>
      <c r="AF1383" t="s">
        <v>47</v>
      </c>
      <c r="AG1383">
        <v>0</v>
      </c>
      <c r="AH1383" t="s">
        <v>31</v>
      </c>
      <c r="AI1383">
        <v>0</v>
      </c>
      <c r="AJ1383" t="s">
        <v>31</v>
      </c>
      <c r="AK1383">
        <v>0</v>
      </c>
      <c r="AL1383" t="s">
        <v>31</v>
      </c>
      <c r="AM1383">
        <v>0</v>
      </c>
      <c r="AN1383" t="s">
        <v>31</v>
      </c>
      <c r="AO1383">
        <v>0</v>
      </c>
      <c r="AP1383" t="s">
        <v>31</v>
      </c>
      <c r="AQ1383">
        <v>0</v>
      </c>
    </row>
    <row r="1384" spans="1:43" x14ac:dyDescent="0.2">
      <c r="A1384" t="s">
        <v>381</v>
      </c>
      <c r="B1384" s="3">
        <v>44315</v>
      </c>
      <c r="C1384">
        <v>79</v>
      </c>
      <c r="D1384" t="s">
        <v>383</v>
      </c>
      <c r="E1384" t="s">
        <v>66</v>
      </c>
      <c r="F1384" s="9" t="s">
        <v>67</v>
      </c>
      <c r="G1384" t="s">
        <v>26</v>
      </c>
      <c r="H1384" t="s">
        <v>64</v>
      </c>
      <c r="I1384" t="s">
        <v>65</v>
      </c>
      <c r="J1384" t="s">
        <v>29</v>
      </c>
      <c r="K1384" t="s">
        <v>30</v>
      </c>
      <c r="L1384" t="s">
        <v>29</v>
      </c>
      <c r="M1384" t="s">
        <v>30</v>
      </c>
      <c r="N1384" t="s">
        <v>64</v>
      </c>
      <c r="O1384" t="s">
        <v>65</v>
      </c>
      <c r="P1384" t="s">
        <v>29</v>
      </c>
      <c r="Q1384" t="s">
        <v>30</v>
      </c>
      <c r="R1384" s="1">
        <v>44315.480671296296</v>
      </c>
      <c r="S1384" s="1">
        <v>44315.480717592596</v>
      </c>
      <c r="T1384">
        <v>1</v>
      </c>
      <c r="U1384">
        <v>2</v>
      </c>
      <c r="V1384" s="2">
        <v>0.5</v>
      </c>
      <c r="W1384">
        <v>0</v>
      </c>
      <c r="X1384" t="s">
        <v>44</v>
      </c>
      <c r="Y1384">
        <v>0</v>
      </c>
      <c r="Z1384" t="s">
        <v>30</v>
      </c>
      <c r="AA1384">
        <v>0</v>
      </c>
      <c r="AB1384" t="s">
        <v>31</v>
      </c>
      <c r="AC1384">
        <v>0</v>
      </c>
      <c r="AD1384" t="s">
        <v>31</v>
      </c>
      <c r="AE1384">
        <v>0</v>
      </c>
      <c r="AF1384" t="s">
        <v>31</v>
      </c>
      <c r="AG1384">
        <v>0</v>
      </c>
      <c r="AH1384" t="s">
        <v>31</v>
      </c>
      <c r="AI1384">
        <v>0</v>
      </c>
      <c r="AJ1384" t="s">
        <v>31</v>
      </c>
      <c r="AK1384">
        <v>0</v>
      </c>
      <c r="AL1384" t="s">
        <v>31</v>
      </c>
      <c r="AM1384">
        <v>0</v>
      </c>
      <c r="AN1384" t="s">
        <v>31</v>
      </c>
      <c r="AO1384">
        <v>0</v>
      </c>
      <c r="AP1384" t="s">
        <v>31</v>
      </c>
      <c r="AQ1384">
        <v>0</v>
      </c>
    </row>
    <row r="1385" spans="1:43" x14ac:dyDescent="0.2">
      <c r="A1385" t="s">
        <v>381</v>
      </c>
      <c r="B1385" s="3">
        <v>44316</v>
      </c>
      <c r="C1385">
        <v>83</v>
      </c>
      <c r="D1385" t="s">
        <v>387</v>
      </c>
      <c r="E1385" t="s">
        <v>66</v>
      </c>
      <c r="F1385" s="9" t="s">
        <v>67</v>
      </c>
      <c r="G1385" t="s">
        <v>26</v>
      </c>
      <c r="H1385" t="s">
        <v>64</v>
      </c>
      <c r="I1385" t="s">
        <v>65</v>
      </c>
      <c r="J1385" t="s">
        <v>29</v>
      </c>
      <c r="K1385" t="s">
        <v>30</v>
      </c>
      <c r="L1385" t="s">
        <v>29</v>
      </c>
      <c r="M1385" t="s">
        <v>30</v>
      </c>
      <c r="N1385" t="s">
        <v>64</v>
      </c>
      <c r="O1385" t="s">
        <v>65</v>
      </c>
      <c r="P1385" t="s">
        <v>29</v>
      </c>
      <c r="Q1385" t="s">
        <v>30</v>
      </c>
      <c r="R1385" s="1">
        <v>44316.642013888886</v>
      </c>
      <c r="S1385" s="1">
        <v>44316.642013888886</v>
      </c>
      <c r="T1385">
        <v>1</v>
      </c>
      <c r="U1385">
        <v>1</v>
      </c>
      <c r="V1385" s="2">
        <v>1</v>
      </c>
      <c r="W1385">
        <v>0</v>
      </c>
      <c r="X1385" t="s">
        <v>30</v>
      </c>
      <c r="Y1385">
        <v>0</v>
      </c>
      <c r="Z1385" t="s">
        <v>31</v>
      </c>
      <c r="AA1385">
        <v>0</v>
      </c>
      <c r="AB1385" t="s">
        <v>31</v>
      </c>
      <c r="AC1385">
        <v>0</v>
      </c>
      <c r="AD1385" t="s">
        <v>31</v>
      </c>
      <c r="AE1385">
        <v>0</v>
      </c>
      <c r="AF1385" t="s">
        <v>31</v>
      </c>
      <c r="AG1385">
        <v>0</v>
      </c>
      <c r="AH1385" t="s">
        <v>31</v>
      </c>
      <c r="AI1385">
        <v>0</v>
      </c>
      <c r="AJ1385" t="s">
        <v>31</v>
      </c>
      <c r="AK1385">
        <v>0</v>
      </c>
      <c r="AL1385" t="s">
        <v>31</v>
      </c>
      <c r="AM1385">
        <v>0</v>
      </c>
      <c r="AN1385" t="s">
        <v>31</v>
      </c>
      <c r="AO1385">
        <v>0</v>
      </c>
      <c r="AP1385" t="s">
        <v>31</v>
      </c>
      <c r="AQ1385">
        <v>0</v>
      </c>
    </row>
    <row r="1386" spans="1:43" x14ac:dyDescent="0.2">
      <c r="A1386" t="s">
        <v>381</v>
      </c>
      <c r="B1386" s="3">
        <v>44319</v>
      </c>
      <c r="C1386">
        <v>84</v>
      </c>
      <c r="D1386" t="s">
        <v>390</v>
      </c>
      <c r="E1386" t="s">
        <v>66</v>
      </c>
      <c r="F1386" s="9" t="s">
        <v>67</v>
      </c>
      <c r="G1386" t="s">
        <v>26</v>
      </c>
      <c r="H1386" t="s">
        <v>64</v>
      </c>
      <c r="I1386" t="s">
        <v>65</v>
      </c>
      <c r="J1386" t="s">
        <v>29</v>
      </c>
      <c r="K1386" t="s">
        <v>30</v>
      </c>
      <c r="L1386" t="s">
        <v>29</v>
      </c>
      <c r="M1386" t="s">
        <v>30</v>
      </c>
      <c r="N1386" t="s">
        <v>27</v>
      </c>
      <c r="O1386" t="s">
        <v>28</v>
      </c>
      <c r="P1386" t="s">
        <v>43</v>
      </c>
      <c r="Q1386" t="s">
        <v>44</v>
      </c>
      <c r="R1386" s="1">
        <v>44319.421122685184</v>
      </c>
      <c r="S1386" s="1">
        <v>44319.421122685184</v>
      </c>
      <c r="T1386">
        <v>1</v>
      </c>
      <c r="U1386">
        <v>1</v>
      </c>
      <c r="V1386" s="2">
        <v>1</v>
      </c>
      <c r="W1386">
        <v>0</v>
      </c>
      <c r="X1386" t="s">
        <v>30</v>
      </c>
      <c r="Y1386">
        <v>0</v>
      </c>
      <c r="Z1386" t="s">
        <v>31</v>
      </c>
      <c r="AA1386">
        <v>0</v>
      </c>
      <c r="AB1386" t="s">
        <v>31</v>
      </c>
      <c r="AC1386">
        <v>0</v>
      </c>
      <c r="AD1386" t="s">
        <v>31</v>
      </c>
      <c r="AE1386">
        <v>0</v>
      </c>
      <c r="AF1386" t="s">
        <v>31</v>
      </c>
      <c r="AG1386">
        <v>0</v>
      </c>
      <c r="AH1386" t="s">
        <v>31</v>
      </c>
      <c r="AI1386">
        <v>0</v>
      </c>
      <c r="AJ1386" t="s">
        <v>31</v>
      </c>
      <c r="AK1386">
        <v>0</v>
      </c>
      <c r="AL1386" t="s">
        <v>31</v>
      </c>
      <c r="AM1386">
        <v>0</v>
      </c>
      <c r="AN1386" t="s">
        <v>31</v>
      </c>
      <c r="AO1386">
        <v>0</v>
      </c>
      <c r="AP1386" t="s">
        <v>31</v>
      </c>
      <c r="AQ1386">
        <v>0</v>
      </c>
    </row>
    <row r="1387" spans="1:43" x14ac:dyDescent="0.2">
      <c r="A1387" t="s">
        <v>381</v>
      </c>
      <c r="B1387" s="3">
        <v>44321</v>
      </c>
      <c r="C1387">
        <v>89</v>
      </c>
      <c r="D1387" t="s">
        <v>387</v>
      </c>
      <c r="E1387" t="s">
        <v>66</v>
      </c>
      <c r="F1387" s="9" t="s">
        <v>67</v>
      </c>
      <c r="G1387" t="s">
        <v>26</v>
      </c>
      <c r="H1387" t="s">
        <v>27</v>
      </c>
      <c r="I1387" t="s">
        <v>28</v>
      </c>
      <c r="J1387" t="s">
        <v>43</v>
      </c>
      <c r="K1387" t="s">
        <v>44</v>
      </c>
      <c r="L1387" t="s">
        <v>29</v>
      </c>
      <c r="M1387" t="s">
        <v>30</v>
      </c>
      <c r="N1387" t="s">
        <v>27</v>
      </c>
      <c r="O1387" t="s">
        <v>28</v>
      </c>
      <c r="P1387" t="s">
        <v>43</v>
      </c>
      <c r="Q1387" t="s">
        <v>44</v>
      </c>
      <c r="R1387" s="1">
        <v>44321.619386574072</v>
      </c>
      <c r="S1387" s="1">
        <v>44321.620462962965</v>
      </c>
      <c r="T1387">
        <v>1</v>
      </c>
      <c r="U1387">
        <v>1</v>
      </c>
      <c r="V1387" s="2">
        <v>1</v>
      </c>
      <c r="W1387">
        <v>0</v>
      </c>
      <c r="X1387" t="s">
        <v>37</v>
      </c>
      <c r="Y1387">
        <v>0</v>
      </c>
      <c r="Z1387" t="s">
        <v>37</v>
      </c>
      <c r="AA1387">
        <v>0</v>
      </c>
      <c r="AB1387" t="s">
        <v>30</v>
      </c>
      <c r="AC1387">
        <v>0</v>
      </c>
      <c r="AD1387" t="s">
        <v>31</v>
      </c>
      <c r="AE1387">
        <v>0</v>
      </c>
      <c r="AF1387" t="s">
        <v>31</v>
      </c>
      <c r="AG1387">
        <v>0</v>
      </c>
      <c r="AH1387" t="s">
        <v>31</v>
      </c>
      <c r="AI1387">
        <v>0</v>
      </c>
      <c r="AJ1387" t="s">
        <v>31</v>
      </c>
      <c r="AK1387">
        <v>0</v>
      </c>
      <c r="AL1387" t="s">
        <v>31</v>
      </c>
      <c r="AM1387">
        <v>0</v>
      </c>
      <c r="AN1387" t="s">
        <v>31</v>
      </c>
      <c r="AO1387">
        <v>0</v>
      </c>
      <c r="AP1387" t="s">
        <v>31</v>
      </c>
      <c r="AQ1387">
        <v>0</v>
      </c>
    </row>
    <row r="1388" spans="1:43" x14ac:dyDescent="0.2">
      <c r="A1388" t="s">
        <v>381</v>
      </c>
      <c r="B1388" s="3">
        <v>44328</v>
      </c>
      <c r="C1388">
        <v>97</v>
      </c>
      <c r="D1388" t="s">
        <v>387</v>
      </c>
      <c r="E1388" t="s">
        <v>66</v>
      </c>
      <c r="F1388" s="9" t="s">
        <v>67</v>
      </c>
      <c r="G1388" t="s">
        <v>26</v>
      </c>
      <c r="H1388" t="s">
        <v>27</v>
      </c>
      <c r="I1388" t="s">
        <v>28</v>
      </c>
      <c r="J1388" t="s">
        <v>43</v>
      </c>
      <c r="K1388" t="s">
        <v>44</v>
      </c>
      <c r="L1388" t="s">
        <v>29</v>
      </c>
      <c r="M1388" t="s">
        <v>30</v>
      </c>
      <c r="N1388" t="s">
        <v>27</v>
      </c>
      <c r="O1388" t="s">
        <v>28</v>
      </c>
      <c r="P1388" t="s">
        <v>43</v>
      </c>
      <c r="Q1388" t="s">
        <v>44</v>
      </c>
      <c r="R1388" s="1">
        <v>44328.643854166665</v>
      </c>
      <c r="S1388" s="1">
        <v>44328.644467592596</v>
      </c>
      <c r="T1388">
        <v>1</v>
      </c>
      <c r="U1388">
        <v>1</v>
      </c>
      <c r="V1388" s="2">
        <v>1</v>
      </c>
      <c r="W1388">
        <v>0</v>
      </c>
      <c r="X1388" t="s">
        <v>37</v>
      </c>
      <c r="Y1388">
        <v>0</v>
      </c>
      <c r="Z1388" t="s">
        <v>37</v>
      </c>
      <c r="AA1388">
        <v>0</v>
      </c>
      <c r="AB1388" t="s">
        <v>37</v>
      </c>
      <c r="AC1388">
        <v>0</v>
      </c>
      <c r="AD1388" t="s">
        <v>30</v>
      </c>
      <c r="AE1388">
        <v>0</v>
      </c>
      <c r="AF1388" t="s">
        <v>31</v>
      </c>
      <c r="AG1388">
        <v>0</v>
      </c>
      <c r="AH1388" t="s">
        <v>31</v>
      </c>
      <c r="AI1388">
        <v>0</v>
      </c>
      <c r="AJ1388" t="s">
        <v>31</v>
      </c>
      <c r="AK1388">
        <v>0</v>
      </c>
      <c r="AL1388" t="s">
        <v>31</v>
      </c>
      <c r="AM1388">
        <v>0</v>
      </c>
      <c r="AN1388" t="s">
        <v>31</v>
      </c>
      <c r="AO1388">
        <v>0</v>
      </c>
      <c r="AP1388" t="s">
        <v>31</v>
      </c>
      <c r="AQ1388">
        <v>0</v>
      </c>
    </row>
    <row r="1389" spans="1:43" x14ac:dyDescent="0.2">
      <c r="A1389" t="s">
        <v>381</v>
      </c>
      <c r="B1389" s="3">
        <v>44336</v>
      </c>
      <c r="C1389">
        <v>103</v>
      </c>
      <c r="D1389" t="s">
        <v>385</v>
      </c>
      <c r="E1389" t="s">
        <v>66</v>
      </c>
      <c r="F1389" s="9" t="s">
        <v>67</v>
      </c>
      <c r="G1389" t="s">
        <v>26</v>
      </c>
      <c r="H1389" t="s">
        <v>27</v>
      </c>
      <c r="I1389" t="s">
        <v>28</v>
      </c>
      <c r="J1389" t="s">
        <v>43</v>
      </c>
      <c r="K1389" t="s">
        <v>44</v>
      </c>
      <c r="L1389" t="s">
        <v>29</v>
      </c>
      <c r="M1389" t="s">
        <v>30</v>
      </c>
      <c r="N1389" t="s">
        <v>27</v>
      </c>
      <c r="O1389" t="s">
        <v>28</v>
      </c>
      <c r="P1389" t="s">
        <v>43</v>
      </c>
      <c r="Q1389" t="s">
        <v>44</v>
      </c>
      <c r="R1389" s="1">
        <v>44336.617245370369</v>
      </c>
      <c r="S1389" s="1">
        <v>44336.617256944446</v>
      </c>
      <c r="T1389">
        <v>0</v>
      </c>
      <c r="U1389">
        <v>0</v>
      </c>
      <c r="V1389" s="2">
        <v>0</v>
      </c>
      <c r="W1389">
        <v>0</v>
      </c>
      <c r="X1389" t="s">
        <v>37</v>
      </c>
      <c r="Y1389">
        <v>0</v>
      </c>
      <c r="Z1389" t="s">
        <v>37</v>
      </c>
      <c r="AA1389">
        <v>0</v>
      </c>
      <c r="AB1389" t="s">
        <v>31</v>
      </c>
      <c r="AC1389">
        <v>0</v>
      </c>
      <c r="AD1389" t="s">
        <v>31</v>
      </c>
      <c r="AE1389">
        <v>0</v>
      </c>
      <c r="AF1389" t="s">
        <v>31</v>
      </c>
      <c r="AG1389">
        <v>0</v>
      </c>
      <c r="AH1389" t="s">
        <v>31</v>
      </c>
      <c r="AI1389">
        <v>0</v>
      </c>
      <c r="AJ1389" t="s">
        <v>31</v>
      </c>
      <c r="AK1389">
        <v>0</v>
      </c>
      <c r="AL1389" t="s">
        <v>31</v>
      </c>
      <c r="AM1389">
        <v>0</v>
      </c>
      <c r="AN1389" t="s">
        <v>31</v>
      </c>
      <c r="AO1389">
        <v>0</v>
      </c>
      <c r="AP1389" t="s">
        <v>31</v>
      </c>
      <c r="AQ1389">
        <v>0</v>
      </c>
    </row>
    <row r="1390" spans="1:43" x14ac:dyDescent="0.2">
      <c r="A1390" t="s">
        <v>381</v>
      </c>
      <c r="B1390" s="3">
        <v>44337</v>
      </c>
      <c r="C1390">
        <v>104</v>
      </c>
      <c r="D1390" t="s">
        <v>390</v>
      </c>
      <c r="E1390" t="s">
        <v>66</v>
      </c>
      <c r="F1390" s="9" t="s">
        <v>67</v>
      </c>
      <c r="G1390" t="s">
        <v>26</v>
      </c>
      <c r="H1390" t="s">
        <v>27</v>
      </c>
      <c r="I1390" t="s">
        <v>28</v>
      </c>
      <c r="J1390" t="s">
        <v>43</v>
      </c>
      <c r="K1390" t="s">
        <v>44</v>
      </c>
      <c r="L1390" t="s">
        <v>29</v>
      </c>
      <c r="M1390" t="s">
        <v>30</v>
      </c>
      <c r="N1390" t="s">
        <v>27</v>
      </c>
      <c r="O1390" t="s">
        <v>28</v>
      </c>
      <c r="P1390" t="s">
        <v>43</v>
      </c>
      <c r="Q1390" t="s">
        <v>44</v>
      </c>
      <c r="R1390" s="1">
        <v>44337.467256944445</v>
      </c>
      <c r="S1390" s="1">
        <v>44337.46733796296</v>
      </c>
      <c r="T1390">
        <v>1</v>
      </c>
      <c r="U1390">
        <v>1</v>
      </c>
      <c r="V1390" s="2">
        <v>1</v>
      </c>
      <c r="W1390">
        <v>0</v>
      </c>
      <c r="X1390" t="s">
        <v>37</v>
      </c>
      <c r="Y1390">
        <v>0</v>
      </c>
      <c r="Z1390" t="s">
        <v>37</v>
      </c>
      <c r="AA1390">
        <v>0</v>
      </c>
      <c r="AB1390" t="s">
        <v>30</v>
      </c>
      <c r="AC1390">
        <v>0</v>
      </c>
      <c r="AD1390" t="s">
        <v>31</v>
      </c>
      <c r="AE1390">
        <v>0</v>
      </c>
      <c r="AF1390" t="s">
        <v>31</v>
      </c>
      <c r="AG1390">
        <v>0</v>
      </c>
      <c r="AH1390" t="s">
        <v>31</v>
      </c>
      <c r="AI1390">
        <v>0</v>
      </c>
      <c r="AJ1390" t="s">
        <v>31</v>
      </c>
      <c r="AK1390">
        <v>0</v>
      </c>
      <c r="AL1390" t="s">
        <v>31</v>
      </c>
      <c r="AM1390">
        <v>0</v>
      </c>
      <c r="AN1390" t="s">
        <v>31</v>
      </c>
      <c r="AO1390">
        <v>0</v>
      </c>
      <c r="AP1390" t="s">
        <v>31</v>
      </c>
      <c r="AQ1390">
        <v>0</v>
      </c>
    </row>
    <row r="1391" spans="1:43" x14ac:dyDescent="0.2">
      <c r="A1391" t="s">
        <v>381</v>
      </c>
      <c r="B1391" s="3">
        <v>44338</v>
      </c>
      <c r="C1391">
        <v>106</v>
      </c>
      <c r="D1391" t="s">
        <v>408</v>
      </c>
      <c r="E1391" t="s">
        <v>66</v>
      </c>
      <c r="F1391" s="9" t="s">
        <v>67</v>
      </c>
      <c r="G1391" t="s">
        <v>26</v>
      </c>
      <c r="H1391" t="s">
        <v>27</v>
      </c>
      <c r="I1391" t="s">
        <v>28</v>
      </c>
      <c r="J1391" t="s">
        <v>43</v>
      </c>
      <c r="K1391" t="s">
        <v>44</v>
      </c>
      <c r="L1391" t="s">
        <v>29</v>
      </c>
      <c r="M1391" t="s">
        <v>30</v>
      </c>
      <c r="N1391" t="s">
        <v>27</v>
      </c>
      <c r="O1391" t="s">
        <v>28</v>
      </c>
      <c r="P1391" t="s">
        <v>43</v>
      </c>
      <c r="Q1391" t="s">
        <v>44</v>
      </c>
      <c r="R1391" s="1">
        <v>44338.456701388888</v>
      </c>
      <c r="S1391" s="1">
        <v>44338.458657407406</v>
      </c>
      <c r="T1391">
        <v>1</v>
      </c>
      <c r="U1391">
        <v>2</v>
      </c>
      <c r="V1391" s="2">
        <v>0.5</v>
      </c>
      <c r="W1391">
        <v>0</v>
      </c>
      <c r="X1391" t="s">
        <v>37</v>
      </c>
      <c r="Y1391">
        <v>0</v>
      </c>
      <c r="Z1391" t="s">
        <v>37</v>
      </c>
      <c r="AA1391">
        <v>0</v>
      </c>
      <c r="AB1391" t="s">
        <v>44</v>
      </c>
      <c r="AC1391">
        <v>0</v>
      </c>
      <c r="AD1391" t="s">
        <v>30</v>
      </c>
      <c r="AE1391">
        <v>0</v>
      </c>
      <c r="AF1391" t="s">
        <v>31</v>
      </c>
      <c r="AG1391">
        <v>0</v>
      </c>
      <c r="AH1391" t="s">
        <v>31</v>
      </c>
      <c r="AI1391">
        <v>0</v>
      </c>
      <c r="AJ1391" t="s">
        <v>31</v>
      </c>
      <c r="AK1391">
        <v>0</v>
      </c>
      <c r="AL1391" t="s">
        <v>31</v>
      </c>
      <c r="AM1391">
        <v>0</v>
      </c>
      <c r="AN1391" t="s">
        <v>31</v>
      </c>
      <c r="AO1391">
        <v>0</v>
      </c>
      <c r="AP1391" t="s">
        <v>31</v>
      </c>
      <c r="AQ1391">
        <v>0</v>
      </c>
    </row>
    <row r="1392" spans="1:43" x14ac:dyDescent="0.2">
      <c r="A1392" t="s">
        <v>381</v>
      </c>
      <c r="B1392" s="3">
        <v>44338</v>
      </c>
      <c r="C1392">
        <v>107</v>
      </c>
      <c r="D1392" t="s">
        <v>392</v>
      </c>
      <c r="E1392" t="s">
        <v>66</v>
      </c>
      <c r="F1392" s="9" t="s">
        <v>67</v>
      </c>
      <c r="G1392" t="s">
        <v>26</v>
      </c>
      <c r="H1392" t="s">
        <v>27</v>
      </c>
      <c r="I1392" t="s">
        <v>28</v>
      </c>
      <c r="J1392" t="s">
        <v>43</v>
      </c>
      <c r="K1392" t="s">
        <v>44</v>
      </c>
      <c r="L1392" t="s">
        <v>29</v>
      </c>
      <c r="M1392" t="s">
        <v>30</v>
      </c>
      <c r="N1392" t="s">
        <v>27</v>
      </c>
      <c r="O1392" t="s">
        <v>28</v>
      </c>
      <c r="P1392" t="s">
        <v>43</v>
      </c>
      <c r="Q1392" t="s">
        <v>44</v>
      </c>
      <c r="R1392" s="1">
        <v>44338.634837962964</v>
      </c>
      <c r="S1392" s="1">
        <v>44338.63484953704</v>
      </c>
      <c r="T1392">
        <v>1</v>
      </c>
      <c r="U1392">
        <v>1</v>
      </c>
      <c r="V1392" s="2">
        <v>1</v>
      </c>
      <c r="W1392">
        <v>0</v>
      </c>
      <c r="X1392" t="s">
        <v>37</v>
      </c>
      <c r="Y1392">
        <v>0</v>
      </c>
      <c r="Z1392" t="s">
        <v>37</v>
      </c>
      <c r="AA1392">
        <v>0</v>
      </c>
      <c r="AB1392" t="s">
        <v>30</v>
      </c>
      <c r="AC1392">
        <v>0</v>
      </c>
      <c r="AD1392" t="s">
        <v>31</v>
      </c>
      <c r="AE1392">
        <v>0</v>
      </c>
      <c r="AF1392" t="s">
        <v>31</v>
      </c>
      <c r="AG1392">
        <v>0</v>
      </c>
      <c r="AH1392" t="s">
        <v>31</v>
      </c>
      <c r="AI1392">
        <v>0</v>
      </c>
      <c r="AJ1392" t="s">
        <v>31</v>
      </c>
      <c r="AK1392">
        <v>0</v>
      </c>
      <c r="AL1392" t="s">
        <v>31</v>
      </c>
      <c r="AM1392">
        <v>0</v>
      </c>
      <c r="AN1392" t="s">
        <v>31</v>
      </c>
      <c r="AO1392">
        <v>0</v>
      </c>
      <c r="AP1392" t="s">
        <v>31</v>
      </c>
      <c r="AQ1392">
        <v>0</v>
      </c>
    </row>
    <row r="1393" spans="1:43" x14ac:dyDescent="0.2">
      <c r="A1393" t="s">
        <v>381</v>
      </c>
      <c r="B1393" s="3">
        <v>44340</v>
      </c>
      <c r="C1393">
        <v>108</v>
      </c>
      <c r="D1393" t="s">
        <v>393</v>
      </c>
      <c r="E1393" t="s">
        <v>66</v>
      </c>
      <c r="F1393" s="9" t="s">
        <v>67</v>
      </c>
      <c r="G1393" t="s">
        <v>26</v>
      </c>
      <c r="H1393" t="s">
        <v>27</v>
      </c>
      <c r="I1393" t="s">
        <v>28</v>
      </c>
      <c r="J1393" t="s">
        <v>43</v>
      </c>
      <c r="K1393" t="s">
        <v>44</v>
      </c>
      <c r="L1393" t="s">
        <v>29</v>
      </c>
      <c r="M1393" t="s">
        <v>30</v>
      </c>
      <c r="N1393" t="s">
        <v>27</v>
      </c>
      <c r="O1393" t="s">
        <v>28</v>
      </c>
      <c r="P1393" t="s">
        <v>43</v>
      </c>
      <c r="Q1393" t="s">
        <v>44</v>
      </c>
      <c r="R1393" s="1">
        <v>44340.420289351852</v>
      </c>
      <c r="S1393" s="1">
        <v>44340.420289351852</v>
      </c>
      <c r="T1393">
        <v>1</v>
      </c>
      <c r="U1393">
        <v>1</v>
      </c>
      <c r="V1393" s="2">
        <v>1</v>
      </c>
      <c r="W1393">
        <v>0</v>
      </c>
      <c r="X1393" t="s">
        <v>37</v>
      </c>
      <c r="Y1393">
        <v>0</v>
      </c>
      <c r="Z1393" t="s">
        <v>37</v>
      </c>
      <c r="AA1393">
        <v>0</v>
      </c>
      <c r="AB1393" t="s">
        <v>30</v>
      </c>
      <c r="AC1393">
        <v>0</v>
      </c>
      <c r="AD1393" t="s">
        <v>31</v>
      </c>
      <c r="AE1393">
        <v>0</v>
      </c>
      <c r="AF1393" t="s">
        <v>31</v>
      </c>
      <c r="AG1393">
        <v>0</v>
      </c>
      <c r="AH1393" t="s">
        <v>31</v>
      </c>
      <c r="AI1393">
        <v>0</v>
      </c>
      <c r="AJ1393" t="s">
        <v>31</v>
      </c>
      <c r="AK1393">
        <v>0</v>
      </c>
      <c r="AL1393" t="s">
        <v>31</v>
      </c>
      <c r="AM1393">
        <v>0</v>
      </c>
      <c r="AN1393" t="s">
        <v>31</v>
      </c>
      <c r="AO1393">
        <v>0</v>
      </c>
      <c r="AP1393" t="s">
        <v>31</v>
      </c>
      <c r="AQ1393">
        <v>0</v>
      </c>
    </row>
    <row r="1394" spans="1:43" x14ac:dyDescent="0.2">
      <c r="A1394" t="s">
        <v>381</v>
      </c>
      <c r="B1394" s="3">
        <v>44342</v>
      </c>
      <c r="C1394">
        <v>112</v>
      </c>
      <c r="D1394" t="s">
        <v>394</v>
      </c>
      <c r="E1394" t="s">
        <v>66</v>
      </c>
      <c r="F1394" s="9" t="s">
        <v>67</v>
      </c>
      <c r="G1394" t="s">
        <v>26</v>
      </c>
      <c r="H1394" t="s">
        <v>27</v>
      </c>
      <c r="I1394" t="s">
        <v>28</v>
      </c>
      <c r="J1394" t="s">
        <v>43</v>
      </c>
      <c r="K1394" t="s">
        <v>44</v>
      </c>
      <c r="L1394" t="s">
        <v>29</v>
      </c>
      <c r="M1394" t="s">
        <v>30</v>
      </c>
      <c r="N1394" t="s">
        <v>27</v>
      </c>
      <c r="O1394" t="s">
        <v>28</v>
      </c>
      <c r="P1394" t="s">
        <v>43</v>
      </c>
      <c r="Q1394" t="s">
        <v>44</v>
      </c>
      <c r="R1394" s="1">
        <v>44342.450439814813</v>
      </c>
      <c r="S1394" s="1">
        <v>44342.451990740738</v>
      </c>
      <c r="T1394">
        <v>1</v>
      </c>
      <c r="U1394">
        <v>2</v>
      </c>
      <c r="V1394" s="2">
        <v>0.5</v>
      </c>
      <c r="W1394">
        <v>0</v>
      </c>
      <c r="X1394" t="s">
        <v>37</v>
      </c>
      <c r="Y1394">
        <v>0</v>
      </c>
      <c r="Z1394" t="s">
        <v>37</v>
      </c>
      <c r="AA1394">
        <v>0</v>
      </c>
      <c r="AB1394" t="s">
        <v>44</v>
      </c>
      <c r="AC1394">
        <v>0</v>
      </c>
      <c r="AD1394" t="s">
        <v>30</v>
      </c>
      <c r="AE1394">
        <v>0</v>
      </c>
      <c r="AF1394" t="s">
        <v>31</v>
      </c>
      <c r="AG1394">
        <v>0</v>
      </c>
      <c r="AH1394" t="s">
        <v>31</v>
      </c>
      <c r="AI1394">
        <v>0</v>
      </c>
      <c r="AJ1394" t="s">
        <v>31</v>
      </c>
      <c r="AK1394">
        <v>0</v>
      </c>
      <c r="AL1394" t="s">
        <v>31</v>
      </c>
      <c r="AM1394">
        <v>0</v>
      </c>
      <c r="AN1394" t="s">
        <v>31</v>
      </c>
      <c r="AO1394">
        <v>0</v>
      </c>
      <c r="AP1394" t="s">
        <v>31</v>
      </c>
      <c r="AQ1394">
        <v>0</v>
      </c>
    </row>
    <row r="1395" spans="1:43" x14ac:dyDescent="0.2">
      <c r="A1395" t="s">
        <v>381</v>
      </c>
      <c r="B1395" s="3">
        <v>44342</v>
      </c>
      <c r="C1395">
        <v>113</v>
      </c>
      <c r="D1395" t="s">
        <v>383</v>
      </c>
      <c r="E1395" t="s">
        <v>66</v>
      </c>
      <c r="F1395" s="9" t="s">
        <v>67</v>
      </c>
      <c r="G1395" t="s">
        <v>26</v>
      </c>
      <c r="H1395" t="s">
        <v>27</v>
      </c>
      <c r="I1395" t="s">
        <v>28</v>
      </c>
      <c r="J1395" t="s">
        <v>43</v>
      </c>
      <c r="K1395" t="s">
        <v>44</v>
      </c>
      <c r="L1395" t="s">
        <v>29</v>
      </c>
      <c r="M1395" t="s">
        <v>30</v>
      </c>
      <c r="N1395" t="s">
        <v>27</v>
      </c>
      <c r="O1395" t="s">
        <v>28</v>
      </c>
      <c r="P1395" t="s">
        <v>43</v>
      </c>
      <c r="Q1395" t="s">
        <v>44</v>
      </c>
      <c r="R1395" s="1">
        <v>44342.634247685186</v>
      </c>
      <c r="S1395" s="1">
        <v>44342.635798611111</v>
      </c>
      <c r="T1395">
        <v>1</v>
      </c>
      <c r="U1395">
        <v>3</v>
      </c>
      <c r="V1395" s="2">
        <v>0.33</v>
      </c>
      <c r="W1395">
        <v>0</v>
      </c>
      <c r="X1395" t="s">
        <v>37</v>
      </c>
      <c r="Y1395">
        <v>0</v>
      </c>
      <c r="Z1395" t="s">
        <v>37</v>
      </c>
      <c r="AA1395">
        <v>0</v>
      </c>
      <c r="AB1395" t="s">
        <v>44</v>
      </c>
      <c r="AC1395">
        <v>0</v>
      </c>
      <c r="AD1395" t="s">
        <v>44</v>
      </c>
      <c r="AE1395">
        <v>0</v>
      </c>
      <c r="AF1395" t="s">
        <v>30</v>
      </c>
      <c r="AG1395">
        <v>0</v>
      </c>
      <c r="AH1395" t="s">
        <v>31</v>
      </c>
      <c r="AI1395">
        <v>0</v>
      </c>
      <c r="AJ1395" t="s">
        <v>31</v>
      </c>
      <c r="AK1395">
        <v>0</v>
      </c>
      <c r="AL1395" t="s">
        <v>31</v>
      </c>
      <c r="AM1395">
        <v>0</v>
      </c>
      <c r="AN1395" t="s">
        <v>31</v>
      </c>
      <c r="AO1395">
        <v>0</v>
      </c>
      <c r="AP1395" t="s">
        <v>31</v>
      </c>
      <c r="AQ1395">
        <v>0</v>
      </c>
    </row>
    <row r="1396" spans="1:43" x14ac:dyDescent="0.2">
      <c r="A1396" t="s">
        <v>381</v>
      </c>
      <c r="B1396" s="3">
        <v>44344</v>
      </c>
      <c r="C1396">
        <v>116</v>
      </c>
      <c r="D1396" t="s">
        <v>390</v>
      </c>
      <c r="E1396" t="s">
        <v>66</v>
      </c>
      <c r="F1396" s="9" t="s">
        <v>67</v>
      </c>
      <c r="G1396" t="s">
        <v>26</v>
      </c>
      <c r="H1396" t="s">
        <v>27</v>
      </c>
      <c r="I1396" t="s">
        <v>28</v>
      </c>
      <c r="J1396" t="s">
        <v>43</v>
      </c>
      <c r="K1396" t="s">
        <v>44</v>
      </c>
      <c r="L1396" t="s">
        <v>29</v>
      </c>
      <c r="M1396" t="s">
        <v>30</v>
      </c>
      <c r="N1396" t="s">
        <v>34</v>
      </c>
      <c r="O1396" t="s">
        <v>35</v>
      </c>
      <c r="P1396" t="s">
        <v>43</v>
      </c>
      <c r="Q1396" t="s">
        <v>44</v>
      </c>
      <c r="R1396" s="1">
        <v>44344.451840277776</v>
      </c>
      <c r="S1396" s="1">
        <v>44344.451840277776</v>
      </c>
      <c r="T1396">
        <v>0</v>
      </c>
      <c r="U1396">
        <v>0</v>
      </c>
      <c r="V1396" s="2">
        <v>0</v>
      </c>
      <c r="W1396">
        <v>0</v>
      </c>
      <c r="X1396" t="s">
        <v>37</v>
      </c>
      <c r="Y1396">
        <v>0</v>
      </c>
      <c r="Z1396" t="s">
        <v>31</v>
      </c>
      <c r="AA1396">
        <v>0</v>
      </c>
      <c r="AB1396" t="s">
        <v>31</v>
      </c>
      <c r="AC1396">
        <v>0</v>
      </c>
      <c r="AD1396" t="s">
        <v>31</v>
      </c>
      <c r="AE1396">
        <v>0</v>
      </c>
      <c r="AF1396" t="s">
        <v>31</v>
      </c>
      <c r="AG1396">
        <v>0</v>
      </c>
      <c r="AH1396" t="s">
        <v>31</v>
      </c>
      <c r="AI1396">
        <v>0</v>
      </c>
      <c r="AJ1396" t="s">
        <v>31</v>
      </c>
      <c r="AK1396">
        <v>0</v>
      </c>
      <c r="AL1396" t="s">
        <v>31</v>
      </c>
      <c r="AM1396">
        <v>0</v>
      </c>
      <c r="AN1396" t="s">
        <v>31</v>
      </c>
      <c r="AO1396">
        <v>0</v>
      </c>
      <c r="AP1396" t="s">
        <v>31</v>
      </c>
      <c r="AQ1396">
        <v>0</v>
      </c>
    </row>
    <row r="1397" spans="1:43" x14ac:dyDescent="0.2">
      <c r="A1397" t="s">
        <v>381</v>
      </c>
      <c r="B1397" s="3">
        <v>44348</v>
      </c>
      <c r="C1397">
        <v>118</v>
      </c>
      <c r="D1397" t="s">
        <v>396</v>
      </c>
      <c r="E1397" t="s">
        <v>66</v>
      </c>
      <c r="F1397" s="9" t="s">
        <v>67</v>
      </c>
      <c r="G1397" t="s">
        <v>26</v>
      </c>
      <c r="H1397" t="s">
        <v>34</v>
      </c>
      <c r="I1397" t="s">
        <v>35</v>
      </c>
      <c r="J1397" t="s">
        <v>43</v>
      </c>
      <c r="K1397" t="s">
        <v>44</v>
      </c>
      <c r="L1397" t="s">
        <v>29</v>
      </c>
      <c r="M1397" t="s">
        <v>30</v>
      </c>
      <c r="N1397" t="s">
        <v>34</v>
      </c>
      <c r="O1397" t="s">
        <v>35</v>
      </c>
      <c r="P1397" t="s">
        <v>43</v>
      </c>
      <c r="Q1397" t="s">
        <v>44</v>
      </c>
      <c r="R1397" s="1">
        <v>44348.41578703704</v>
      </c>
      <c r="S1397" s="1">
        <v>44348.415798611109</v>
      </c>
      <c r="T1397">
        <v>1</v>
      </c>
      <c r="U1397">
        <v>1</v>
      </c>
      <c r="V1397" s="2">
        <v>1</v>
      </c>
      <c r="W1397">
        <v>0</v>
      </c>
      <c r="X1397" t="s">
        <v>37</v>
      </c>
      <c r="Y1397">
        <v>0</v>
      </c>
      <c r="Z1397" t="s">
        <v>30</v>
      </c>
      <c r="AA1397">
        <v>0</v>
      </c>
      <c r="AB1397" t="s">
        <v>31</v>
      </c>
      <c r="AC1397">
        <v>0</v>
      </c>
      <c r="AD1397" t="s">
        <v>31</v>
      </c>
      <c r="AE1397">
        <v>0</v>
      </c>
      <c r="AF1397" t="s">
        <v>31</v>
      </c>
      <c r="AG1397">
        <v>0</v>
      </c>
      <c r="AH1397" t="s">
        <v>31</v>
      </c>
      <c r="AI1397">
        <v>0</v>
      </c>
      <c r="AJ1397" t="s">
        <v>31</v>
      </c>
      <c r="AK1397">
        <v>0</v>
      </c>
      <c r="AL1397" t="s">
        <v>31</v>
      </c>
      <c r="AM1397">
        <v>0</v>
      </c>
      <c r="AN1397" t="s">
        <v>31</v>
      </c>
      <c r="AO1397">
        <v>0</v>
      </c>
      <c r="AP1397" t="s">
        <v>31</v>
      </c>
      <c r="AQ1397">
        <v>0</v>
      </c>
    </row>
    <row r="1398" spans="1:43" x14ac:dyDescent="0.2">
      <c r="A1398" t="s">
        <v>381</v>
      </c>
      <c r="B1398" s="3">
        <v>44351</v>
      </c>
      <c r="C1398">
        <v>124</v>
      </c>
      <c r="D1398" t="s">
        <v>390</v>
      </c>
      <c r="E1398" t="s">
        <v>66</v>
      </c>
      <c r="F1398" s="9" t="s">
        <v>67</v>
      </c>
      <c r="G1398" t="s">
        <v>26</v>
      </c>
      <c r="H1398" t="s">
        <v>34</v>
      </c>
      <c r="I1398" t="s">
        <v>35</v>
      </c>
      <c r="J1398" t="s">
        <v>43</v>
      </c>
      <c r="K1398" t="s">
        <v>44</v>
      </c>
      <c r="L1398" t="s">
        <v>29</v>
      </c>
      <c r="M1398" t="s">
        <v>30</v>
      </c>
      <c r="N1398" t="s">
        <v>34</v>
      </c>
      <c r="O1398" t="s">
        <v>35</v>
      </c>
      <c r="P1398" t="s">
        <v>43</v>
      </c>
      <c r="Q1398" t="s">
        <v>44</v>
      </c>
      <c r="R1398" s="1">
        <v>44351.409930555557</v>
      </c>
      <c r="S1398" s="1">
        <v>44351.410324074073</v>
      </c>
      <c r="T1398">
        <v>1</v>
      </c>
      <c r="U1398">
        <v>7</v>
      </c>
      <c r="V1398" s="2">
        <v>0.14000000000000001</v>
      </c>
      <c r="W1398">
        <v>0</v>
      </c>
      <c r="X1398" t="s">
        <v>37</v>
      </c>
      <c r="Y1398">
        <v>0</v>
      </c>
      <c r="Z1398" t="s">
        <v>44</v>
      </c>
      <c r="AA1398">
        <v>0</v>
      </c>
      <c r="AB1398" t="s">
        <v>44</v>
      </c>
      <c r="AC1398">
        <v>0</v>
      </c>
      <c r="AD1398" t="s">
        <v>45</v>
      </c>
      <c r="AE1398">
        <v>0</v>
      </c>
      <c r="AF1398" t="s">
        <v>61</v>
      </c>
      <c r="AG1398">
        <v>0</v>
      </c>
      <c r="AH1398" t="s">
        <v>47</v>
      </c>
      <c r="AI1398">
        <v>0</v>
      </c>
      <c r="AJ1398" t="s">
        <v>44</v>
      </c>
      <c r="AK1398">
        <v>0</v>
      </c>
      <c r="AL1398" t="s">
        <v>37</v>
      </c>
      <c r="AM1398">
        <v>0</v>
      </c>
      <c r="AN1398" t="s">
        <v>30</v>
      </c>
      <c r="AO1398">
        <v>0</v>
      </c>
      <c r="AP1398" t="s">
        <v>31</v>
      </c>
      <c r="AQ1398">
        <v>0</v>
      </c>
    </row>
    <row r="1399" spans="1:43" x14ac:dyDescent="0.2">
      <c r="A1399" t="s">
        <v>381</v>
      </c>
      <c r="B1399" s="3">
        <v>44351</v>
      </c>
      <c r="C1399">
        <v>125</v>
      </c>
      <c r="D1399" t="s">
        <v>387</v>
      </c>
      <c r="E1399" t="s">
        <v>66</v>
      </c>
      <c r="F1399" s="9" t="s">
        <v>67</v>
      </c>
      <c r="G1399" t="s">
        <v>26</v>
      </c>
      <c r="H1399" t="s">
        <v>34</v>
      </c>
      <c r="I1399" t="s">
        <v>35</v>
      </c>
      <c r="J1399" t="s">
        <v>43</v>
      </c>
      <c r="K1399" t="s">
        <v>44</v>
      </c>
      <c r="L1399" t="s">
        <v>29</v>
      </c>
      <c r="M1399" t="s">
        <v>30</v>
      </c>
      <c r="N1399" t="s">
        <v>34</v>
      </c>
      <c r="O1399" t="s">
        <v>35</v>
      </c>
      <c r="P1399" t="s">
        <v>43</v>
      </c>
      <c r="Q1399" t="s">
        <v>44</v>
      </c>
      <c r="R1399" s="1">
        <v>44351.568842592591</v>
      </c>
      <c r="S1399" s="1">
        <v>44351.568854166668</v>
      </c>
      <c r="T1399">
        <v>1</v>
      </c>
      <c r="U1399">
        <v>1</v>
      </c>
      <c r="V1399" s="2">
        <v>1</v>
      </c>
      <c r="W1399">
        <v>0</v>
      </c>
      <c r="X1399" t="s">
        <v>37</v>
      </c>
      <c r="Y1399">
        <v>0</v>
      </c>
      <c r="Z1399" t="s">
        <v>30</v>
      </c>
      <c r="AA1399">
        <v>0</v>
      </c>
      <c r="AB1399" t="s">
        <v>31</v>
      </c>
      <c r="AC1399">
        <v>0</v>
      </c>
      <c r="AD1399" t="s">
        <v>31</v>
      </c>
      <c r="AE1399">
        <v>0</v>
      </c>
      <c r="AF1399" t="s">
        <v>31</v>
      </c>
      <c r="AG1399">
        <v>0</v>
      </c>
      <c r="AH1399" t="s">
        <v>31</v>
      </c>
      <c r="AI1399">
        <v>0</v>
      </c>
      <c r="AJ1399" t="s">
        <v>31</v>
      </c>
      <c r="AK1399">
        <v>0</v>
      </c>
      <c r="AL1399" t="s">
        <v>31</v>
      </c>
      <c r="AM1399">
        <v>0</v>
      </c>
      <c r="AN1399" t="s">
        <v>31</v>
      </c>
      <c r="AO1399">
        <v>0</v>
      </c>
      <c r="AP1399" t="s">
        <v>31</v>
      </c>
      <c r="AQ1399">
        <v>0</v>
      </c>
    </row>
    <row r="1400" spans="1:43" x14ac:dyDescent="0.2">
      <c r="A1400" t="s">
        <v>381</v>
      </c>
      <c r="B1400" s="3">
        <v>44355</v>
      </c>
      <c r="C1400">
        <v>128</v>
      </c>
      <c r="D1400" t="s">
        <v>406</v>
      </c>
      <c r="E1400" t="s">
        <v>66</v>
      </c>
      <c r="F1400" s="9" t="s">
        <v>67</v>
      </c>
      <c r="G1400" t="s">
        <v>26</v>
      </c>
      <c r="H1400" t="s">
        <v>34</v>
      </c>
      <c r="I1400" t="s">
        <v>35</v>
      </c>
      <c r="J1400" t="s">
        <v>43</v>
      </c>
      <c r="K1400" t="s">
        <v>44</v>
      </c>
      <c r="L1400" t="s">
        <v>29</v>
      </c>
      <c r="M1400" t="s">
        <v>30</v>
      </c>
      <c r="N1400" t="s">
        <v>34</v>
      </c>
      <c r="O1400" t="s">
        <v>35</v>
      </c>
      <c r="P1400" t="s">
        <v>43</v>
      </c>
      <c r="Q1400" t="s">
        <v>44</v>
      </c>
      <c r="R1400" s="1">
        <v>44355.482673611114</v>
      </c>
      <c r="S1400" s="1">
        <v>44355.483310185184</v>
      </c>
      <c r="T1400">
        <v>0</v>
      </c>
      <c r="U1400">
        <v>0</v>
      </c>
      <c r="V1400" s="2">
        <v>0</v>
      </c>
      <c r="W1400">
        <v>0</v>
      </c>
      <c r="X1400" t="s">
        <v>37</v>
      </c>
      <c r="Y1400">
        <v>0</v>
      </c>
      <c r="Z1400" t="s">
        <v>37</v>
      </c>
      <c r="AA1400">
        <v>0</v>
      </c>
      <c r="AB1400" t="s">
        <v>37</v>
      </c>
      <c r="AC1400">
        <v>0</v>
      </c>
      <c r="AD1400" t="s">
        <v>31</v>
      </c>
      <c r="AE1400">
        <v>0</v>
      </c>
      <c r="AF1400" t="s">
        <v>31</v>
      </c>
      <c r="AG1400">
        <v>0</v>
      </c>
      <c r="AH1400" t="s">
        <v>31</v>
      </c>
      <c r="AI1400">
        <v>0</v>
      </c>
      <c r="AJ1400" t="s">
        <v>31</v>
      </c>
      <c r="AK1400">
        <v>0</v>
      </c>
      <c r="AL1400" t="s">
        <v>31</v>
      </c>
      <c r="AM1400">
        <v>0</v>
      </c>
      <c r="AN1400" t="s">
        <v>31</v>
      </c>
      <c r="AO1400">
        <v>0</v>
      </c>
      <c r="AP1400" t="s">
        <v>31</v>
      </c>
      <c r="AQ1400">
        <v>0</v>
      </c>
    </row>
    <row r="1401" spans="1:43" x14ac:dyDescent="0.2">
      <c r="A1401" t="s">
        <v>381</v>
      </c>
      <c r="B1401" s="3">
        <v>44356</v>
      </c>
      <c r="C1401">
        <v>130</v>
      </c>
      <c r="D1401" t="s">
        <v>398</v>
      </c>
      <c r="E1401" t="s">
        <v>66</v>
      </c>
      <c r="F1401" s="9" t="s">
        <v>67</v>
      </c>
      <c r="G1401" t="s">
        <v>26</v>
      </c>
      <c r="H1401" t="s">
        <v>34</v>
      </c>
      <c r="I1401" t="s">
        <v>35</v>
      </c>
      <c r="J1401" t="s">
        <v>43</v>
      </c>
      <c r="K1401" t="s">
        <v>44</v>
      </c>
      <c r="L1401" t="s">
        <v>29</v>
      </c>
      <c r="M1401" t="s">
        <v>30</v>
      </c>
      <c r="N1401" t="s">
        <v>132</v>
      </c>
      <c r="O1401" t="s">
        <v>133</v>
      </c>
      <c r="P1401" t="s">
        <v>43</v>
      </c>
      <c r="Q1401" t="s">
        <v>44</v>
      </c>
      <c r="R1401" s="1">
        <v>44356.461458333331</v>
      </c>
      <c r="S1401" s="1">
        <v>44356.462187500001</v>
      </c>
      <c r="T1401">
        <v>1</v>
      </c>
      <c r="U1401">
        <v>1</v>
      </c>
      <c r="V1401" s="2">
        <v>1</v>
      </c>
      <c r="W1401">
        <v>0</v>
      </c>
      <c r="X1401" t="s">
        <v>37</v>
      </c>
      <c r="Y1401">
        <v>0</v>
      </c>
      <c r="Z1401" t="s">
        <v>37</v>
      </c>
      <c r="AA1401">
        <v>0</v>
      </c>
      <c r="AB1401" t="s">
        <v>30</v>
      </c>
      <c r="AC1401">
        <v>0</v>
      </c>
      <c r="AD1401" t="s">
        <v>31</v>
      </c>
      <c r="AE1401">
        <v>0</v>
      </c>
      <c r="AF1401" t="s">
        <v>31</v>
      </c>
      <c r="AG1401">
        <v>0</v>
      </c>
      <c r="AH1401" t="s">
        <v>31</v>
      </c>
      <c r="AI1401">
        <v>0</v>
      </c>
      <c r="AJ1401" t="s">
        <v>31</v>
      </c>
      <c r="AK1401">
        <v>0</v>
      </c>
      <c r="AL1401" t="s">
        <v>31</v>
      </c>
      <c r="AM1401">
        <v>0</v>
      </c>
      <c r="AN1401" t="s">
        <v>31</v>
      </c>
      <c r="AO1401">
        <v>0</v>
      </c>
      <c r="AP1401" t="s">
        <v>31</v>
      </c>
      <c r="AQ1401">
        <v>0</v>
      </c>
    </row>
    <row r="1402" spans="1:43" x14ac:dyDescent="0.2">
      <c r="A1402" t="s">
        <v>381</v>
      </c>
      <c r="B1402" s="3">
        <v>44357</v>
      </c>
      <c r="C1402">
        <v>132</v>
      </c>
      <c r="D1402" t="s">
        <v>399</v>
      </c>
      <c r="E1402" t="s">
        <v>66</v>
      </c>
      <c r="F1402" s="9" t="s">
        <v>67</v>
      </c>
      <c r="G1402" t="s">
        <v>26</v>
      </c>
      <c r="H1402" t="s">
        <v>132</v>
      </c>
      <c r="I1402" t="s">
        <v>133</v>
      </c>
      <c r="J1402" t="s">
        <v>43</v>
      </c>
      <c r="K1402" t="s">
        <v>44</v>
      </c>
      <c r="L1402" t="s">
        <v>29</v>
      </c>
      <c r="M1402" t="s">
        <v>30</v>
      </c>
      <c r="N1402" t="s">
        <v>132</v>
      </c>
      <c r="O1402" t="s">
        <v>133</v>
      </c>
      <c r="P1402" t="s">
        <v>43</v>
      </c>
      <c r="Q1402" t="s">
        <v>44</v>
      </c>
      <c r="R1402" s="1">
        <v>44357.391504629632</v>
      </c>
      <c r="S1402" s="1">
        <v>44357.391504629632</v>
      </c>
      <c r="T1402">
        <v>1</v>
      </c>
      <c r="U1402">
        <v>1</v>
      </c>
      <c r="V1402" s="2">
        <v>1</v>
      </c>
      <c r="W1402">
        <v>0</v>
      </c>
      <c r="X1402" t="s">
        <v>30</v>
      </c>
      <c r="Y1402">
        <v>0</v>
      </c>
      <c r="Z1402" t="s">
        <v>31</v>
      </c>
      <c r="AA1402">
        <v>0</v>
      </c>
      <c r="AB1402" t="s">
        <v>31</v>
      </c>
      <c r="AC1402">
        <v>0</v>
      </c>
      <c r="AD1402" t="s">
        <v>31</v>
      </c>
      <c r="AE1402">
        <v>0</v>
      </c>
      <c r="AF1402" t="s">
        <v>31</v>
      </c>
      <c r="AG1402">
        <v>0</v>
      </c>
      <c r="AH1402" t="s">
        <v>31</v>
      </c>
      <c r="AI1402">
        <v>0</v>
      </c>
      <c r="AJ1402" t="s">
        <v>31</v>
      </c>
      <c r="AK1402">
        <v>0</v>
      </c>
      <c r="AL1402" t="s">
        <v>31</v>
      </c>
      <c r="AM1402">
        <v>0</v>
      </c>
      <c r="AN1402" t="s">
        <v>31</v>
      </c>
      <c r="AO1402">
        <v>0</v>
      </c>
      <c r="AP1402" t="s">
        <v>31</v>
      </c>
      <c r="AQ1402">
        <v>0</v>
      </c>
    </row>
    <row r="1403" spans="1:43" x14ac:dyDescent="0.2">
      <c r="A1403" t="s">
        <v>381</v>
      </c>
      <c r="B1403" s="3">
        <v>44358</v>
      </c>
      <c r="C1403">
        <v>133</v>
      </c>
      <c r="D1403" t="s">
        <v>390</v>
      </c>
      <c r="E1403" t="s">
        <v>66</v>
      </c>
      <c r="F1403" s="9" t="s">
        <v>67</v>
      </c>
      <c r="G1403" t="s">
        <v>26</v>
      </c>
      <c r="H1403" t="s">
        <v>132</v>
      </c>
      <c r="I1403" t="s">
        <v>133</v>
      </c>
      <c r="J1403" t="s">
        <v>43</v>
      </c>
      <c r="K1403" t="s">
        <v>44</v>
      </c>
      <c r="L1403" t="s">
        <v>29</v>
      </c>
      <c r="M1403" t="s">
        <v>30</v>
      </c>
      <c r="N1403" t="s">
        <v>132</v>
      </c>
      <c r="O1403" t="s">
        <v>133</v>
      </c>
      <c r="P1403" t="s">
        <v>43</v>
      </c>
      <c r="Q1403" t="s">
        <v>44</v>
      </c>
      <c r="R1403" s="1">
        <v>44358.409490740742</v>
      </c>
      <c r="S1403" s="1">
        <v>44358.410358796296</v>
      </c>
      <c r="T1403">
        <v>1</v>
      </c>
      <c r="U1403">
        <v>5</v>
      </c>
      <c r="V1403" s="2">
        <v>0.2</v>
      </c>
      <c r="W1403">
        <v>0</v>
      </c>
      <c r="X1403" t="s">
        <v>44</v>
      </c>
      <c r="Y1403">
        <v>0</v>
      </c>
      <c r="Z1403" t="s">
        <v>44</v>
      </c>
      <c r="AA1403">
        <v>0</v>
      </c>
      <c r="AB1403" t="s">
        <v>45</v>
      </c>
      <c r="AC1403">
        <v>0</v>
      </c>
      <c r="AD1403" t="s">
        <v>61</v>
      </c>
      <c r="AE1403">
        <v>0</v>
      </c>
      <c r="AF1403" t="s">
        <v>30</v>
      </c>
      <c r="AG1403">
        <v>0</v>
      </c>
      <c r="AH1403" t="s">
        <v>31</v>
      </c>
      <c r="AI1403">
        <v>0</v>
      </c>
      <c r="AJ1403" t="s">
        <v>31</v>
      </c>
      <c r="AK1403">
        <v>0</v>
      </c>
      <c r="AL1403" t="s">
        <v>31</v>
      </c>
      <c r="AM1403">
        <v>0</v>
      </c>
      <c r="AN1403" t="s">
        <v>31</v>
      </c>
      <c r="AO1403">
        <v>0</v>
      </c>
      <c r="AP1403" t="s">
        <v>31</v>
      </c>
      <c r="AQ1403">
        <v>0</v>
      </c>
    </row>
    <row r="1404" spans="1:43" x14ac:dyDescent="0.2">
      <c r="A1404" t="s">
        <v>381</v>
      </c>
      <c r="B1404" s="3">
        <v>44361</v>
      </c>
      <c r="C1404">
        <v>135</v>
      </c>
      <c r="D1404" t="s">
        <v>390</v>
      </c>
      <c r="E1404" t="s">
        <v>66</v>
      </c>
      <c r="F1404" s="9" t="s">
        <v>67</v>
      </c>
      <c r="G1404" t="s">
        <v>26</v>
      </c>
      <c r="H1404" t="s">
        <v>132</v>
      </c>
      <c r="I1404" t="s">
        <v>133</v>
      </c>
      <c r="J1404" t="s">
        <v>43</v>
      </c>
      <c r="K1404" t="s">
        <v>44</v>
      </c>
      <c r="L1404" t="s">
        <v>29</v>
      </c>
      <c r="M1404" t="s">
        <v>30</v>
      </c>
      <c r="N1404" t="s">
        <v>132</v>
      </c>
      <c r="O1404" t="s">
        <v>133</v>
      </c>
      <c r="P1404" t="s">
        <v>43</v>
      </c>
      <c r="Q1404" t="s">
        <v>44</v>
      </c>
      <c r="R1404" s="1">
        <v>44361.458113425928</v>
      </c>
      <c r="S1404" s="1">
        <v>44361.459918981483</v>
      </c>
      <c r="T1404">
        <v>0</v>
      </c>
      <c r="U1404">
        <v>10</v>
      </c>
      <c r="V1404" s="2">
        <v>0</v>
      </c>
      <c r="W1404">
        <v>0</v>
      </c>
      <c r="X1404" t="s">
        <v>44</v>
      </c>
      <c r="Y1404">
        <v>0</v>
      </c>
      <c r="Z1404" t="s">
        <v>44</v>
      </c>
      <c r="AA1404">
        <v>0</v>
      </c>
      <c r="AB1404" t="s">
        <v>45</v>
      </c>
      <c r="AC1404">
        <v>0</v>
      </c>
      <c r="AD1404" t="s">
        <v>61</v>
      </c>
      <c r="AE1404">
        <v>0</v>
      </c>
      <c r="AF1404" t="s">
        <v>47</v>
      </c>
      <c r="AG1404">
        <v>0</v>
      </c>
      <c r="AH1404" t="s">
        <v>44</v>
      </c>
      <c r="AI1404">
        <v>0</v>
      </c>
      <c r="AJ1404" t="s">
        <v>44</v>
      </c>
      <c r="AK1404">
        <v>0</v>
      </c>
      <c r="AL1404" t="s">
        <v>45</v>
      </c>
      <c r="AM1404">
        <v>0</v>
      </c>
      <c r="AN1404" t="s">
        <v>61</v>
      </c>
      <c r="AO1404">
        <v>0</v>
      </c>
      <c r="AP1404" t="s">
        <v>47</v>
      </c>
      <c r="AQ1404">
        <v>0</v>
      </c>
    </row>
    <row r="1405" spans="1:43" x14ac:dyDescent="0.2">
      <c r="A1405" t="s">
        <v>381</v>
      </c>
      <c r="B1405" s="3">
        <v>44364</v>
      </c>
      <c r="C1405">
        <v>138</v>
      </c>
      <c r="D1405" t="s">
        <v>399</v>
      </c>
      <c r="E1405" t="s">
        <v>66</v>
      </c>
      <c r="F1405" s="9" t="s">
        <v>67</v>
      </c>
      <c r="G1405" t="s">
        <v>26</v>
      </c>
      <c r="H1405" t="s">
        <v>132</v>
      </c>
      <c r="I1405" t="s">
        <v>133</v>
      </c>
      <c r="J1405" t="s">
        <v>43</v>
      </c>
      <c r="K1405" t="s">
        <v>44</v>
      </c>
      <c r="L1405" t="s">
        <v>29</v>
      </c>
      <c r="M1405" t="s">
        <v>30</v>
      </c>
      <c r="N1405" t="s">
        <v>132</v>
      </c>
      <c r="O1405" t="s">
        <v>133</v>
      </c>
      <c r="P1405" t="s">
        <v>43</v>
      </c>
      <c r="Q1405" t="s">
        <v>44</v>
      </c>
      <c r="R1405" s="1">
        <v>44364.405833333331</v>
      </c>
      <c r="S1405" s="1">
        <v>44364.405833333331</v>
      </c>
      <c r="T1405">
        <v>1</v>
      </c>
      <c r="U1405">
        <v>1</v>
      </c>
      <c r="V1405" s="2">
        <v>1</v>
      </c>
      <c r="W1405">
        <v>0</v>
      </c>
      <c r="X1405" t="s">
        <v>30</v>
      </c>
      <c r="Y1405">
        <v>0</v>
      </c>
      <c r="Z1405" t="s">
        <v>31</v>
      </c>
      <c r="AA1405">
        <v>0</v>
      </c>
      <c r="AB1405" t="s">
        <v>31</v>
      </c>
      <c r="AC1405">
        <v>0</v>
      </c>
      <c r="AD1405" t="s">
        <v>31</v>
      </c>
      <c r="AE1405">
        <v>0</v>
      </c>
      <c r="AF1405" t="s">
        <v>31</v>
      </c>
      <c r="AG1405">
        <v>0</v>
      </c>
      <c r="AH1405" t="s">
        <v>31</v>
      </c>
      <c r="AI1405">
        <v>0</v>
      </c>
      <c r="AJ1405" t="s">
        <v>31</v>
      </c>
      <c r="AK1405">
        <v>0</v>
      </c>
      <c r="AL1405" t="s">
        <v>31</v>
      </c>
      <c r="AM1405">
        <v>0</v>
      </c>
      <c r="AN1405" t="s">
        <v>31</v>
      </c>
      <c r="AO1405">
        <v>0</v>
      </c>
      <c r="AP1405" t="s">
        <v>31</v>
      </c>
      <c r="AQ1405">
        <v>0</v>
      </c>
    </row>
    <row r="1406" spans="1:43" x14ac:dyDescent="0.2">
      <c r="A1406" t="s">
        <v>381</v>
      </c>
      <c r="B1406" s="3">
        <v>44365</v>
      </c>
      <c r="C1406">
        <v>139</v>
      </c>
      <c r="D1406" t="s">
        <v>400</v>
      </c>
      <c r="E1406" t="s">
        <v>66</v>
      </c>
      <c r="F1406" s="9" t="s">
        <v>67</v>
      </c>
      <c r="G1406" t="s">
        <v>26</v>
      </c>
      <c r="H1406" t="s">
        <v>132</v>
      </c>
      <c r="I1406" t="s">
        <v>133</v>
      </c>
      <c r="J1406" t="s">
        <v>43</v>
      </c>
      <c r="K1406" t="s">
        <v>44</v>
      </c>
      <c r="L1406" t="s">
        <v>29</v>
      </c>
      <c r="M1406" t="s">
        <v>30</v>
      </c>
      <c r="N1406" t="s">
        <v>132</v>
      </c>
      <c r="O1406" t="s">
        <v>133</v>
      </c>
      <c r="P1406" t="s">
        <v>43</v>
      </c>
      <c r="Q1406" t="s">
        <v>44</v>
      </c>
      <c r="R1406" s="1">
        <v>44365.465937499997</v>
      </c>
      <c r="S1406" s="1">
        <v>44365.466666666667</v>
      </c>
      <c r="T1406">
        <v>0</v>
      </c>
      <c r="U1406">
        <v>5</v>
      </c>
      <c r="V1406" s="2">
        <v>0</v>
      </c>
      <c r="W1406">
        <v>0</v>
      </c>
      <c r="X1406" t="s">
        <v>44</v>
      </c>
      <c r="Y1406">
        <v>0</v>
      </c>
      <c r="Z1406" t="s">
        <v>44</v>
      </c>
      <c r="AA1406">
        <v>0</v>
      </c>
      <c r="AB1406" t="s">
        <v>45</v>
      </c>
      <c r="AC1406">
        <v>0</v>
      </c>
      <c r="AD1406" t="s">
        <v>61</v>
      </c>
      <c r="AE1406">
        <v>0</v>
      </c>
      <c r="AF1406" t="s">
        <v>47</v>
      </c>
      <c r="AG1406">
        <v>0</v>
      </c>
      <c r="AH1406" t="s">
        <v>31</v>
      </c>
      <c r="AI1406">
        <v>0</v>
      </c>
      <c r="AJ1406" t="s">
        <v>31</v>
      </c>
      <c r="AK1406">
        <v>0</v>
      </c>
      <c r="AL1406" t="s">
        <v>31</v>
      </c>
      <c r="AM1406">
        <v>0</v>
      </c>
      <c r="AN1406" t="s">
        <v>31</v>
      </c>
      <c r="AO1406">
        <v>0</v>
      </c>
      <c r="AP1406" t="s">
        <v>31</v>
      </c>
      <c r="AQ1406">
        <v>0</v>
      </c>
    </row>
    <row r="1407" spans="1:43" x14ac:dyDescent="0.2">
      <c r="A1407" t="s">
        <v>381</v>
      </c>
      <c r="B1407" s="3">
        <v>44365</v>
      </c>
      <c r="C1407">
        <v>140</v>
      </c>
      <c r="D1407" t="s">
        <v>399</v>
      </c>
      <c r="E1407" t="s">
        <v>66</v>
      </c>
      <c r="F1407" s="9" t="s">
        <v>67</v>
      </c>
      <c r="G1407" t="s">
        <v>26</v>
      </c>
      <c r="H1407" t="s">
        <v>132</v>
      </c>
      <c r="I1407" t="s">
        <v>133</v>
      </c>
      <c r="J1407" t="s">
        <v>43</v>
      </c>
      <c r="K1407" t="s">
        <v>44</v>
      </c>
      <c r="L1407" t="s">
        <v>29</v>
      </c>
      <c r="M1407" t="s">
        <v>30</v>
      </c>
      <c r="N1407" t="s">
        <v>132</v>
      </c>
      <c r="O1407" t="s">
        <v>133</v>
      </c>
      <c r="P1407" t="s">
        <v>43</v>
      </c>
      <c r="Q1407" t="s">
        <v>44</v>
      </c>
      <c r="R1407" s="1">
        <v>44365.598217592589</v>
      </c>
      <c r="S1407" s="1">
        <v>44365.598217592589</v>
      </c>
      <c r="T1407">
        <v>1</v>
      </c>
      <c r="U1407">
        <v>1</v>
      </c>
      <c r="V1407" s="2">
        <v>1</v>
      </c>
      <c r="W1407">
        <v>0</v>
      </c>
      <c r="X1407" t="s">
        <v>30</v>
      </c>
      <c r="Y1407">
        <v>0</v>
      </c>
      <c r="Z1407" t="s">
        <v>31</v>
      </c>
      <c r="AA1407">
        <v>0</v>
      </c>
      <c r="AB1407" t="s">
        <v>31</v>
      </c>
      <c r="AC1407">
        <v>0</v>
      </c>
      <c r="AD1407" t="s">
        <v>31</v>
      </c>
      <c r="AE1407">
        <v>0</v>
      </c>
      <c r="AF1407" t="s">
        <v>31</v>
      </c>
      <c r="AG1407">
        <v>0</v>
      </c>
      <c r="AH1407" t="s">
        <v>31</v>
      </c>
      <c r="AI1407">
        <v>0</v>
      </c>
      <c r="AJ1407" t="s">
        <v>31</v>
      </c>
      <c r="AK1407">
        <v>0</v>
      </c>
      <c r="AL1407" t="s">
        <v>31</v>
      </c>
      <c r="AM1407">
        <v>0</v>
      </c>
      <c r="AN1407" t="s">
        <v>31</v>
      </c>
      <c r="AO1407">
        <v>0</v>
      </c>
      <c r="AP1407" t="s">
        <v>31</v>
      </c>
      <c r="AQ1407">
        <v>0</v>
      </c>
    </row>
    <row r="1408" spans="1:43" x14ac:dyDescent="0.2">
      <c r="A1408" t="s">
        <v>381</v>
      </c>
      <c r="B1408" s="3">
        <v>44375</v>
      </c>
      <c r="C1408">
        <v>141</v>
      </c>
      <c r="D1408" t="s">
        <v>396</v>
      </c>
      <c r="E1408" t="s">
        <v>66</v>
      </c>
      <c r="F1408" s="9" t="s">
        <v>67</v>
      </c>
      <c r="G1408" t="s">
        <v>26</v>
      </c>
      <c r="H1408" t="s">
        <v>132</v>
      </c>
      <c r="I1408" t="s">
        <v>133</v>
      </c>
      <c r="J1408" t="s">
        <v>43</v>
      </c>
      <c r="K1408" t="s">
        <v>44</v>
      </c>
      <c r="L1408" t="s">
        <v>29</v>
      </c>
      <c r="M1408" t="s">
        <v>30</v>
      </c>
      <c r="N1408" t="s">
        <v>165</v>
      </c>
      <c r="O1408" t="s">
        <v>166</v>
      </c>
      <c r="P1408" t="s">
        <v>43</v>
      </c>
      <c r="Q1408" t="s">
        <v>44</v>
      </c>
      <c r="R1408" s="1">
        <v>44375.60328703704</v>
      </c>
      <c r="S1408" s="1">
        <v>44375.60328703704</v>
      </c>
      <c r="T1408">
        <v>1</v>
      </c>
      <c r="U1408">
        <v>1</v>
      </c>
      <c r="V1408" s="2">
        <v>1</v>
      </c>
      <c r="W1408">
        <v>0</v>
      </c>
      <c r="X1408" t="s">
        <v>30</v>
      </c>
      <c r="Y1408">
        <v>0</v>
      </c>
      <c r="Z1408" t="s">
        <v>31</v>
      </c>
      <c r="AA1408">
        <v>0</v>
      </c>
      <c r="AB1408" t="s">
        <v>31</v>
      </c>
      <c r="AC1408">
        <v>0</v>
      </c>
      <c r="AD1408" t="s">
        <v>31</v>
      </c>
      <c r="AE1408">
        <v>0</v>
      </c>
      <c r="AF1408" t="s">
        <v>31</v>
      </c>
      <c r="AG1408">
        <v>0</v>
      </c>
      <c r="AH1408" t="s">
        <v>31</v>
      </c>
      <c r="AI1408">
        <v>0</v>
      </c>
      <c r="AJ1408" t="s">
        <v>31</v>
      </c>
      <c r="AK1408">
        <v>0</v>
      </c>
      <c r="AL1408" t="s">
        <v>31</v>
      </c>
      <c r="AM1408">
        <v>0</v>
      </c>
      <c r="AN1408" t="s">
        <v>31</v>
      </c>
      <c r="AO1408">
        <v>0</v>
      </c>
      <c r="AP1408" t="s">
        <v>31</v>
      </c>
      <c r="AQ1408">
        <v>0</v>
      </c>
    </row>
    <row r="1409" spans="1:43" x14ac:dyDescent="0.2">
      <c r="A1409" t="s">
        <v>381</v>
      </c>
      <c r="B1409" s="3">
        <v>44237</v>
      </c>
      <c r="C1409">
        <v>4</v>
      </c>
      <c r="D1409" t="s">
        <v>384</v>
      </c>
      <c r="E1409" t="s">
        <v>120</v>
      </c>
      <c r="F1409" s="9" t="s">
        <v>121</v>
      </c>
      <c r="G1409" t="s">
        <v>26</v>
      </c>
      <c r="H1409" t="s">
        <v>108</v>
      </c>
      <c r="I1409" t="s">
        <v>109</v>
      </c>
      <c r="J1409" t="s">
        <v>43</v>
      </c>
      <c r="K1409" t="s">
        <v>44</v>
      </c>
      <c r="L1409" t="s">
        <v>29</v>
      </c>
      <c r="M1409" t="s">
        <v>30</v>
      </c>
      <c r="N1409" t="s">
        <v>108</v>
      </c>
      <c r="O1409" t="s">
        <v>109</v>
      </c>
      <c r="P1409" t="s">
        <v>43</v>
      </c>
      <c r="Q1409" t="s">
        <v>44</v>
      </c>
      <c r="R1409" s="1">
        <v>44237.456770833334</v>
      </c>
      <c r="S1409" s="1">
        <v>44237.456770833334</v>
      </c>
      <c r="T1409">
        <v>1</v>
      </c>
      <c r="U1409">
        <v>1</v>
      </c>
      <c r="V1409" s="2">
        <v>1</v>
      </c>
      <c r="W1409">
        <v>0</v>
      </c>
      <c r="X1409" t="s">
        <v>30</v>
      </c>
      <c r="Y1409">
        <v>0</v>
      </c>
      <c r="Z1409" t="s">
        <v>31</v>
      </c>
      <c r="AA1409">
        <v>0</v>
      </c>
      <c r="AB1409" t="s">
        <v>31</v>
      </c>
      <c r="AC1409">
        <v>0</v>
      </c>
      <c r="AD1409" t="s">
        <v>31</v>
      </c>
      <c r="AE1409">
        <v>0</v>
      </c>
      <c r="AF1409" t="s">
        <v>31</v>
      </c>
      <c r="AG1409">
        <v>0</v>
      </c>
      <c r="AH1409" t="s">
        <v>31</v>
      </c>
      <c r="AI1409">
        <v>0</v>
      </c>
      <c r="AJ1409" t="s">
        <v>31</v>
      </c>
      <c r="AK1409">
        <v>0</v>
      </c>
      <c r="AL1409" t="s">
        <v>31</v>
      </c>
      <c r="AM1409">
        <v>0</v>
      </c>
      <c r="AN1409" t="s">
        <v>31</v>
      </c>
      <c r="AO1409">
        <v>0</v>
      </c>
      <c r="AP1409" t="s">
        <v>31</v>
      </c>
      <c r="AQ1409">
        <v>0</v>
      </c>
    </row>
    <row r="1410" spans="1:43" x14ac:dyDescent="0.2">
      <c r="A1410" t="s">
        <v>381</v>
      </c>
      <c r="B1410" s="3">
        <v>44242</v>
      </c>
      <c r="C1410">
        <v>8</v>
      </c>
      <c r="D1410" t="s">
        <v>384</v>
      </c>
      <c r="E1410" t="s">
        <v>120</v>
      </c>
      <c r="F1410" s="9" t="s">
        <v>121</v>
      </c>
      <c r="G1410" t="s">
        <v>26</v>
      </c>
      <c r="H1410" t="s">
        <v>108</v>
      </c>
      <c r="I1410" t="s">
        <v>109</v>
      </c>
      <c r="J1410" t="s">
        <v>43</v>
      </c>
      <c r="K1410" t="s">
        <v>44</v>
      </c>
      <c r="L1410" t="s">
        <v>29</v>
      </c>
      <c r="M1410" t="s">
        <v>30</v>
      </c>
      <c r="N1410" t="s">
        <v>108</v>
      </c>
      <c r="O1410" t="s">
        <v>109</v>
      </c>
      <c r="P1410" t="s">
        <v>43</v>
      </c>
      <c r="Q1410" t="s">
        <v>44</v>
      </c>
      <c r="R1410" s="1">
        <v>44242.376145833332</v>
      </c>
      <c r="S1410" s="1">
        <v>44242.376145833332</v>
      </c>
      <c r="T1410">
        <v>1</v>
      </c>
      <c r="U1410">
        <v>1</v>
      </c>
      <c r="V1410" s="2">
        <v>1</v>
      </c>
      <c r="W1410">
        <v>0</v>
      </c>
      <c r="X1410" t="s">
        <v>30</v>
      </c>
      <c r="Y1410">
        <v>0</v>
      </c>
      <c r="Z1410" t="s">
        <v>31</v>
      </c>
      <c r="AA1410">
        <v>0</v>
      </c>
      <c r="AB1410" t="s">
        <v>31</v>
      </c>
      <c r="AC1410">
        <v>0</v>
      </c>
      <c r="AD1410" t="s">
        <v>31</v>
      </c>
      <c r="AE1410">
        <v>0</v>
      </c>
      <c r="AF1410" t="s">
        <v>31</v>
      </c>
      <c r="AG1410">
        <v>0</v>
      </c>
      <c r="AH1410" t="s">
        <v>31</v>
      </c>
      <c r="AI1410">
        <v>0</v>
      </c>
      <c r="AJ1410" t="s">
        <v>31</v>
      </c>
      <c r="AK1410">
        <v>0</v>
      </c>
      <c r="AL1410" t="s">
        <v>31</v>
      </c>
      <c r="AM1410">
        <v>0</v>
      </c>
      <c r="AN1410" t="s">
        <v>31</v>
      </c>
      <c r="AO1410">
        <v>0</v>
      </c>
      <c r="AP1410" t="s">
        <v>31</v>
      </c>
      <c r="AQ1410">
        <v>0</v>
      </c>
    </row>
    <row r="1411" spans="1:43" x14ac:dyDescent="0.2">
      <c r="A1411" t="s">
        <v>381</v>
      </c>
      <c r="B1411" s="3">
        <v>44357</v>
      </c>
      <c r="C1411">
        <v>132</v>
      </c>
      <c r="D1411" t="s">
        <v>399</v>
      </c>
      <c r="E1411" t="s">
        <v>120</v>
      </c>
      <c r="F1411" s="9" t="s">
        <v>121</v>
      </c>
      <c r="G1411" t="s">
        <v>26</v>
      </c>
      <c r="H1411" t="s">
        <v>108</v>
      </c>
      <c r="I1411" t="s">
        <v>109</v>
      </c>
      <c r="J1411" t="s">
        <v>43</v>
      </c>
      <c r="K1411" t="s">
        <v>44</v>
      </c>
      <c r="L1411" t="s">
        <v>29</v>
      </c>
      <c r="M1411" t="s">
        <v>30</v>
      </c>
      <c r="N1411" t="s">
        <v>108</v>
      </c>
      <c r="O1411" t="s">
        <v>109</v>
      </c>
      <c r="P1411" t="s">
        <v>43</v>
      </c>
      <c r="Q1411" t="s">
        <v>44</v>
      </c>
      <c r="R1411" s="1">
        <v>44357.466400462959</v>
      </c>
      <c r="S1411" s="1">
        <v>44357.466550925928</v>
      </c>
      <c r="T1411">
        <v>1</v>
      </c>
      <c r="U1411">
        <v>4</v>
      </c>
      <c r="V1411" s="2">
        <v>0.25</v>
      </c>
      <c r="W1411">
        <v>0</v>
      </c>
      <c r="X1411" t="s">
        <v>44</v>
      </c>
      <c r="Y1411">
        <v>0</v>
      </c>
      <c r="Z1411" t="s">
        <v>45</v>
      </c>
      <c r="AA1411">
        <v>0</v>
      </c>
      <c r="AB1411" t="s">
        <v>61</v>
      </c>
      <c r="AC1411">
        <v>0</v>
      </c>
      <c r="AD1411" t="s">
        <v>30</v>
      </c>
      <c r="AE1411">
        <v>0</v>
      </c>
      <c r="AF1411" t="s">
        <v>31</v>
      </c>
      <c r="AG1411">
        <v>0</v>
      </c>
      <c r="AH1411" t="s">
        <v>31</v>
      </c>
      <c r="AI1411">
        <v>0</v>
      </c>
      <c r="AJ1411" t="s">
        <v>31</v>
      </c>
      <c r="AK1411">
        <v>0</v>
      </c>
      <c r="AL1411" t="s">
        <v>31</v>
      </c>
      <c r="AM1411">
        <v>0</v>
      </c>
      <c r="AN1411" t="s">
        <v>31</v>
      </c>
      <c r="AO1411">
        <v>0</v>
      </c>
      <c r="AP1411" t="s">
        <v>31</v>
      </c>
      <c r="AQ1411">
        <v>0</v>
      </c>
    </row>
    <row r="1412" spans="1:43" x14ac:dyDescent="0.2">
      <c r="A1412" t="s">
        <v>381</v>
      </c>
      <c r="B1412" s="3">
        <v>44207</v>
      </c>
      <c r="C1412">
        <v>1</v>
      </c>
      <c r="D1412" t="s">
        <v>384</v>
      </c>
      <c r="E1412" t="s">
        <v>70</v>
      </c>
      <c r="F1412" s="9" t="s">
        <v>71</v>
      </c>
      <c r="G1412" t="s">
        <v>26</v>
      </c>
      <c r="H1412" t="s">
        <v>34</v>
      </c>
      <c r="I1412" t="s">
        <v>35</v>
      </c>
      <c r="J1412" t="s">
        <v>29</v>
      </c>
      <c r="K1412" t="s">
        <v>30</v>
      </c>
      <c r="L1412" t="s">
        <v>29</v>
      </c>
      <c r="M1412" t="s">
        <v>30</v>
      </c>
      <c r="N1412" t="s">
        <v>34</v>
      </c>
      <c r="O1412" t="s">
        <v>35</v>
      </c>
      <c r="P1412" t="s">
        <v>29</v>
      </c>
      <c r="Q1412" t="s">
        <v>30</v>
      </c>
      <c r="R1412" s="1">
        <v>44207.411909722221</v>
      </c>
      <c r="S1412" s="1">
        <v>44207.413703703707</v>
      </c>
      <c r="T1412">
        <v>0</v>
      </c>
      <c r="U1412">
        <v>0</v>
      </c>
      <c r="V1412" s="2">
        <v>0</v>
      </c>
      <c r="W1412">
        <v>0</v>
      </c>
      <c r="X1412" t="s">
        <v>37</v>
      </c>
      <c r="Y1412">
        <v>0</v>
      </c>
      <c r="Z1412" t="s">
        <v>37</v>
      </c>
      <c r="AA1412">
        <v>0</v>
      </c>
      <c r="AB1412" t="s">
        <v>37</v>
      </c>
      <c r="AC1412">
        <v>0</v>
      </c>
      <c r="AD1412" t="s">
        <v>31</v>
      </c>
      <c r="AE1412">
        <v>0</v>
      </c>
      <c r="AF1412" t="s">
        <v>31</v>
      </c>
      <c r="AG1412">
        <v>0</v>
      </c>
      <c r="AH1412" t="s">
        <v>31</v>
      </c>
      <c r="AI1412">
        <v>0</v>
      </c>
      <c r="AJ1412" t="s">
        <v>31</v>
      </c>
      <c r="AK1412">
        <v>0</v>
      </c>
      <c r="AL1412" t="s">
        <v>31</v>
      </c>
      <c r="AM1412">
        <v>0</v>
      </c>
      <c r="AN1412" t="s">
        <v>31</v>
      </c>
      <c r="AO1412">
        <v>0</v>
      </c>
      <c r="AP1412" t="s">
        <v>31</v>
      </c>
      <c r="AQ1412">
        <v>0</v>
      </c>
    </row>
    <row r="1413" spans="1:43" x14ac:dyDescent="0.2">
      <c r="A1413" t="s">
        <v>381</v>
      </c>
      <c r="B1413" s="3">
        <v>44238</v>
      </c>
      <c r="C1413">
        <v>5</v>
      </c>
      <c r="D1413" t="s">
        <v>382</v>
      </c>
      <c r="E1413" t="s">
        <v>70</v>
      </c>
      <c r="F1413" s="9" t="s">
        <v>71</v>
      </c>
      <c r="G1413" t="s">
        <v>26</v>
      </c>
      <c r="H1413" t="s">
        <v>34</v>
      </c>
      <c r="I1413" t="s">
        <v>35</v>
      </c>
      <c r="J1413" t="s">
        <v>29</v>
      </c>
      <c r="K1413" t="s">
        <v>30</v>
      </c>
      <c r="L1413" t="s">
        <v>29</v>
      </c>
      <c r="M1413" t="s">
        <v>30</v>
      </c>
      <c r="N1413" t="s">
        <v>34</v>
      </c>
      <c r="O1413" t="s">
        <v>35</v>
      </c>
      <c r="P1413" t="s">
        <v>29</v>
      </c>
      <c r="Q1413" t="s">
        <v>30</v>
      </c>
      <c r="R1413" s="1">
        <v>44238.383043981485</v>
      </c>
      <c r="S1413" s="1">
        <v>44238.383055555554</v>
      </c>
      <c r="T1413">
        <v>0</v>
      </c>
      <c r="U1413">
        <v>0</v>
      </c>
      <c r="V1413" s="2">
        <v>0</v>
      </c>
      <c r="W1413">
        <v>0</v>
      </c>
      <c r="X1413" t="s">
        <v>37</v>
      </c>
      <c r="Y1413">
        <v>0</v>
      </c>
      <c r="Z1413" t="s">
        <v>37</v>
      </c>
      <c r="AA1413">
        <v>0</v>
      </c>
      <c r="AB1413" t="s">
        <v>37</v>
      </c>
      <c r="AC1413">
        <v>0</v>
      </c>
      <c r="AD1413" t="s">
        <v>31</v>
      </c>
      <c r="AE1413">
        <v>0</v>
      </c>
      <c r="AF1413" t="s">
        <v>31</v>
      </c>
      <c r="AG1413">
        <v>0</v>
      </c>
      <c r="AH1413" t="s">
        <v>31</v>
      </c>
      <c r="AI1413">
        <v>0</v>
      </c>
      <c r="AJ1413" t="s">
        <v>31</v>
      </c>
      <c r="AK1413">
        <v>0</v>
      </c>
      <c r="AL1413" t="s">
        <v>31</v>
      </c>
      <c r="AM1413">
        <v>0</v>
      </c>
      <c r="AN1413" t="s">
        <v>31</v>
      </c>
      <c r="AO1413">
        <v>0</v>
      </c>
      <c r="AP1413" t="s">
        <v>31</v>
      </c>
      <c r="AQ1413">
        <v>0</v>
      </c>
    </row>
    <row r="1414" spans="1:43" x14ac:dyDescent="0.2">
      <c r="A1414" t="s">
        <v>381</v>
      </c>
      <c r="B1414" s="3">
        <v>44242</v>
      </c>
      <c r="C1414">
        <v>8</v>
      </c>
      <c r="D1414" t="s">
        <v>384</v>
      </c>
      <c r="E1414" t="s">
        <v>70</v>
      </c>
      <c r="F1414" s="9" t="s">
        <v>71</v>
      </c>
      <c r="G1414" t="s">
        <v>26</v>
      </c>
      <c r="H1414" t="s">
        <v>34</v>
      </c>
      <c r="I1414" t="s">
        <v>35</v>
      </c>
      <c r="J1414" t="s">
        <v>29</v>
      </c>
      <c r="K1414" t="s">
        <v>30</v>
      </c>
      <c r="L1414" t="s">
        <v>29</v>
      </c>
      <c r="M1414" t="s">
        <v>30</v>
      </c>
      <c r="N1414" t="s">
        <v>34</v>
      </c>
      <c r="O1414" t="s">
        <v>35</v>
      </c>
      <c r="P1414" t="s">
        <v>29</v>
      </c>
      <c r="Q1414" t="s">
        <v>30</v>
      </c>
      <c r="R1414" s="1">
        <v>44242.390127314815</v>
      </c>
      <c r="S1414" s="1">
        <v>44242.390543981484</v>
      </c>
      <c r="T1414">
        <v>0</v>
      </c>
      <c r="U1414">
        <v>0</v>
      </c>
      <c r="V1414" s="2">
        <v>0</v>
      </c>
      <c r="W1414">
        <v>0</v>
      </c>
      <c r="X1414" t="s">
        <v>37</v>
      </c>
      <c r="Y1414">
        <v>0</v>
      </c>
      <c r="Z1414" t="s">
        <v>37</v>
      </c>
      <c r="AA1414">
        <v>0</v>
      </c>
      <c r="AB1414" t="s">
        <v>37</v>
      </c>
      <c r="AC1414">
        <v>0</v>
      </c>
      <c r="AD1414" t="s">
        <v>31</v>
      </c>
      <c r="AE1414">
        <v>0</v>
      </c>
      <c r="AF1414" t="s">
        <v>31</v>
      </c>
      <c r="AG1414">
        <v>0</v>
      </c>
      <c r="AH1414" t="s">
        <v>31</v>
      </c>
      <c r="AI1414">
        <v>0</v>
      </c>
      <c r="AJ1414" t="s">
        <v>31</v>
      </c>
      <c r="AK1414">
        <v>0</v>
      </c>
      <c r="AL1414" t="s">
        <v>31</v>
      </c>
      <c r="AM1414">
        <v>0</v>
      </c>
      <c r="AN1414" t="s">
        <v>31</v>
      </c>
      <c r="AO1414">
        <v>0</v>
      </c>
      <c r="AP1414" t="s">
        <v>31</v>
      </c>
      <c r="AQ1414">
        <v>0</v>
      </c>
    </row>
    <row r="1415" spans="1:43" x14ac:dyDescent="0.2">
      <c r="A1415" t="s">
        <v>381</v>
      </c>
      <c r="B1415" s="3">
        <v>44243</v>
      </c>
      <c r="C1415">
        <v>9</v>
      </c>
      <c r="D1415" t="s">
        <v>382</v>
      </c>
      <c r="E1415" t="s">
        <v>70</v>
      </c>
      <c r="F1415" s="9" t="s">
        <v>71</v>
      </c>
      <c r="G1415" t="s">
        <v>26</v>
      </c>
      <c r="H1415" t="s">
        <v>34</v>
      </c>
      <c r="I1415" t="s">
        <v>35</v>
      </c>
      <c r="J1415" t="s">
        <v>29</v>
      </c>
      <c r="K1415" t="s">
        <v>30</v>
      </c>
      <c r="L1415" t="s">
        <v>29</v>
      </c>
      <c r="M1415" t="s">
        <v>30</v>
      </c>
      <c r="N1415" t="s">
        <v>34</v>
      </c>
      <c r="O1415" t="s">
        <v>35</v>
      </c>
      <c r="P1415" t="s">
        <v>29</v>
      </c>
      <c r="Q1415" t="s">
        <v>30</v>
      </c>
      <c r="R1415" s="1">
        <v>44243.392581018517</v>
      </c>
      <c r="S1415" s="1">
        <v>44243.392592592594</v>
      </c>
      <c r="T1415">
        <v>0</v>
      </c>
      <c r="U1415">
        <v>0</v>
      </c>
      <c r="V1415" s="2">
        <v>0</v>
      </c>
      <c r="W1415">
        <v>0</v>
      </c>
      <c r="X1415" t="s">
        <v>37</v>
      </c>
      <c r="Y1415">
        <v>0</v>
      </c>
      <c r="Z1415" t="s">
        <v>37</v>
      </c>
      <c r="AA1415">
        <v>0</v>
      </c>
      <c r="AB1415" t="s">
        <v>37</v>
      </c>
      <c r="AC1415">
        <v>0</v>
      </c>
      <c r="AD1415" t="s">
        <v>31</v>
      </c>
      <c r="AE1415">
        <v>0</v>
      </c>
      <c r="AF1415" t="s">
        <v>31</v>
      </c>
      <c r="AG1415">
        <v>0</v>
      </c>
      <c r="AH1415" t="s">
        <v>31</v>
      </c>
      <c r="AI1415">
        <v>0</v>
      </c>
      <c r="AJ1415" t="s">
        <v>31</v>
      </c>
      <c r="AK1415">
        <v>0</v>
      </c>
      <c r="AL1415" t="s">
        <v>31</v>
      </c>
      <c r="AM1415">
        <v>0</v>
      </c>
      <c r="AN1415" t="s">
        <v>31</v>
      </c>
      <c r="AO1415">
        <v>0</v>
      </c>
      <c r="AP1415" t="s">
        <v>31</v>
      </c>
      <c r="AQ1415">
        <v>0</v>
      </c>
    </row>
    <row r="1416" spans="1:43" x14ac:dyDescent="0.2">
      <c r="A1416" t="s">
        <v>381</v>
      </c>
      <c r="B1416" s="3">
        <v>44244</v>
      </c>
      <c r="C1416">
        <v>11</v>
      </c>
      <c r="D1416" t="s">
        <v>384</v>
      </c>
      <c r="E1416" t="s">
        <v>70</v>
      </c>
      <c r="F1416" s="9" t="s">
        <v>71</v>
      </c>
      <c r="G1416" t="s">
        <v>26</v>
      </c>
      <c r="H1416" t="s">
        <v>34</v>
      </c>
      <c r="I1416" t="s">
        <v>35</v>
      </c>
      <c r="J1416" t="s">
        <v>29</v>
      </c>
      <c r="K1416" t="s">
        <v>30</v>
      </c>
      <c r="L1416" t="s">
        <v>29</v>
      </c>
      <c r="M1416" t="s">
        <v>30</v>
      </c>
      <c r="N1416" t="s">
        <v>34</v>
      </c>
      <c r="O1416" t="s">
        <v>35</v>
      </c>
      <c r="P1416" t="s">
        <v>29</v>
      </c>
      <c r="Q1416" t="s">
        <v>30</v>
      </c>
      <c r="R1416" s="1">
        <v>44244.420752314814</v>
      </c>
      <c r="S1416" s="1">
        <v>44244.421238425923</v>
      </c>
      <c r="T1416">
        <v>0</v>
      </c>
      <c r="U1416">
        <v>0</v>
      </c>
      <c r="V1416" s="2">
        <v>0</v>
      </c>
      <c r="W1416">
        <v>0</v>
      </c>
      <c r="X1416" t="s">
        <v>37</v>
      </c>
      <c r="Y1416">
        <v>0</v>
      </c>
      <c r="Z1416" t="s">
        <v>37</v>
      </c>
      <c r="AA1416">
        <v>0</v>
      </c>
      <c r="AB1416" t="s">
        <v>37</v>
      </c>
      <c r="AC1416">
        <v>0</v>
      </c>
      <c r="AD1416" t="s">
        <v>31</v>
      </c>
      <c r="AE1416">
        <v>0</v>
      </c>
      <c r="AF1416" t="s">
        <v>31</v>
      </c>
      <c r="AG1416">
        <v>0</v>
      </c>
      <c r="AH1416" t="s">
        <v>31</v>
      </c>
      <c r="AI1416">
        <v>0</v>
      </c>
      <c r="AJ1416" t="s">
        <v>31</v>
      </c>
      <c r="AK1416">
        <v>0</v>
      </c>
      <c r="AL1416" t="s">
        <v>31</v>
      </c>
      <c r="AM1416">
        <v>0</v>
      </c>
      <c r="AN1416" t="s">
        <v>31</v>
      </c>
      <c r="AO1416">
        <v>0</v>
      </c>
      <c r="AP1416" t="s">
        <v>31</v>
      </c>
      <c r="AQ1416">
        <v>0</v>
      </c>
    </row>
    <row r="1417" spans="1:43" x14ac:dyDescent="0.2">
      <c r="A1417" t="s">
        <v>381</v>
      </c>
      <c r="B1417" s="3">
        <v>44245</v>
      </c>
      <c r="C1417">
        <v>12</v>
      </c>
      <c r="D1417" t="s">
        <v>382</v>
      </c>
      <c r="E1417" t="s">
        <v>70</v>
      </c>
      <c r="F1417" s="9" t="s">
        <v>71</v>
      </c>
      <c r="G1417" t="s">
        <v>26</v>
      </c>
      <c r="H1417" t="s">
        <v>34</v>
      </c>
      <c r="I1417" t="s">
        <v>35</v>
      </c>
      <c r="J1417" t="s">
        <v>29</v>
      </c>
      <c r="K1417" t="s">
        <v>30</v>
      </c>
      <c r="L1417" t="s">
        <v>29</v>
      </c>
      <c r="M1417" t="s">
        <v>30</v>
      </c>
      <c r="N1417" t="s">
        <v>34</v>
      </c>
      <c r="O1417" t="s">
        <v>35</v>
      </c>
      <c r="P1417" t="s">
        <v>29</v>
      </c>
      <c r="Q1417" t="s">
        <v>30</v>
      </c>
      <c r="R1417" s="1">
        <v>44245.410902777781</v>
      </c>
      <c r="S1417" s="1">
        <v>44245.410914351851</v>
      </c>
      <c r="T1417">
        <v>0</v>
      </c>
      <c r="U1417">
        <v>0</v>
      </c>
      <c r="V1417" s="2">
        <v>0</v>
      </c>
      <c r="W1417">
        <v>0</v>
      </c>
      <c r="X1417" t="s">
        <v>37</v>
      </c>
      <c r="Y1417">
        <v>0</v>
      </c>
      <c r="Z1417" t="s">
        <v>37</v>
      </c>
      <c r="AA1417">
        <v>0</v>
      </c>
      <c r="AB1417" t="s">
        <v>37</v>
      </c>
      <c r="AC1417">
        <v>0</v>
      </c>
      <c r="AD1417" t="s">
        <v>31</v>
      </c>
      <c r="AE1417">
        <v>0</v>
      </c>
      <c r="AF1417" t="s">
        <v>31</v>
      </c>
      <c r="AG1417">
        <v>0</v>
      </c>
      <c r="AH1417" t="s">
        <v>31</v>
      </c>
      <c r="AI1417">
        <v>0</v>
      </c>
      <c r="AJ1417" t="s">
        <v>31</v>
      </c>
      <c r="AK1417">
        <v>0</v>
      </c>
      <c r="AL1417" t="s">
        <v>31</v>
      </c>
      <c r="AM1417">
        <v>0</v>
      </c>
      <c r="AN1417" t="s">
        <v>31</v>
      </c>
      <c r="AO1417">
        <v>0</v>
      </c>
      <c r="AP1417" t="s">
        <v>31</v>
      </c>
      <c r="AQ1417">
        <v>0</v>
      </c>
    </row>
    <row r="1418" spans="1:43" x14ac:dyDescent="0.2">
      <c r="A1418" t="s">
        <v>381</v>
      </c>
      <c r="B1418" s="3">
        <v>44246</v>
      </c>
      <c r="C1418">
        <v>14</v>
      </c>
      <c r="D1418" t="s">
        <v>384</v>
      </c>
      <c r="E1418" t="s">
        <v>70</v>
      </c>
      <c r="F1418" s="9" t="s">
        <v>71</v>
      </c>
      <c r="G1418" t="s">
        <v>26</v>
      </c>
      <c r="H1418" t="s">
        <v>34</v>
      </c>
      <c r="I1418" t="s">
        <v>35</v>
      </c>
      <c r="J1418" t="s">
        <v>29</v>
      </c>
      <c r="K1418" t="s">
        <v>30</v>
      </c>
      <c r="L1418" t="s">
        <v>29</v>
      </c>
      <c r="M1418" t="s">
        <v>30</v>
      </c>
      <c r="N1418" t="s">
        <v>34</v>
      </c>
      <c r="O1418" t="s">
        <v>35</v>
      </c>
      <c r="P1418" t="s">
        <v>29</v>
      </c>
      <c r="Q1418" t="s">
        <v>30</v>
      </c>
      <c r="R1418" s="1">
        <v>44246.394826388889</v>
      </c>
      <c r="S1418" s="1">
        <v>44246.395370370374</v>
      </c>
      <c r="T1418">
        <v>0</v>
      </c>
      <c r="U1418">
        <v>0</v>
      </c>
      <c r="V1418" s="2">
        <v>0</v>
      </c>
      <c r="W1418">
        <v>0</v>
      </c>
      <c r="X1418" t="s">
        <v>37</v>
      </c>
      <c r="Y1418">
        <v>0</v>
      </c>
      <c r="Z1418" t="s">
        <v>37</v>
      </c>
      <c r="AA1418">
        <v>0</v>
      </c>
      <c r="AB1418" t="s">
        <v>37</v>
      </c>
      <c r="AC1418">
        <v>0</v>
      </c>
      <c r="AD1418" t="s">
        <v>31</v>
      </c>
      <c r="AE1418">
        <v>0</v>
      </c>
      <c r="AF1418" t="s">
        <v>31</v>
      </c>
      <c r="AG1418">
        <v>0</v>
      </c>
      <c r="AH1418" t="s">
        <v>31</v>
      </c>
      <c r="AI1418">
        <v>0</v>
      </c>
      <c r="AJ1418" t="s">
        <v>31</v>
      </c>
      <c r="AK1418">
        <v>0</v>
      </c>
      <c r="AL1418" t="s">
        <v>31</v>
      </c>
      <c r="AM1418">
        <v>0</v>
      </c>
      <c r="AN1418" t="s">
        <v>31</v>
      </c>
      <c r="AO1418">
        <v>0</v>
      </c>
      <c r="AP1418" t="s">
        <v>31</v>
      </c>
      <c r="AQ1418">
        <v>0</v>
      </c>
    </row>
    <row r="1419" spans="1:43" x14ac:dyDescent="0.2">
      <c r="A1419" t="s">
        <v>381</v>
      </c>
      <c r="B1419" s="3">
        <v>44249</v>
      </c>
      <c r="C1419">
        <v>15</v>
      </c>
      <c r="D1419" t="s">
        <v>384</v>
      </c>
      <c r="E1419" t="s">
        <v>70</v>
      </c>
      <c r="F1419" s="9" t="s">
        <v>71</v>
      </c>
      <c r="G1419" t="s">
        <v>26</v>
      </c>
      <c r="H1419" t="s">
        <v>34</v>
      </c>
      <c r="I1419" t="s">
        <v>35</v>
      </c>
      <c r="J1419" t="s">
        <v>29</v>
      </c>
      <c r="K1419" t="s">
        <v>30</v>
      </c>
      <c r="L1419" t="s">
        <v>29</v>
      </c>
      <c r="M1419" t="s">
        <v>30</v>
      </c>
      <c r="N1419" t="s">
        <v>34</v>
      </c>
      <c r="O1419" t="s">
        <v>35</v>
      </c>
      <c r="P1419" t="s">
        <v>29</v>
      </c>
      <c r="Q1419" t="s">
        <v>30</v>
      </c>
      <c r="R1419" s="1">
        <v>44249.428495370368</v>
      </c>
      <c r="S1419" s="1">
        <v>44249.428703703707</v>
      </c>
      <c r="T1419">
        <v>0</v>
      </c>
      <c r="U1419">
        <v>0</v>
      </c>
      <c r="V1419" s="2">
        <v>0</v>
      </c>
      <c r="W1419">
        <v>0</v>
      </c>
      <c r="X1419" t="s">
        <v>37</v>
      </c>
      <c r="Y1419">
        <v>0</v>
      </c>
      <c r="Z1419" t="s">
        <v>37</v>
      </c>
      <c r="AA1419">
        <v>0</v>
      </c>
      <c r="AB1419" t="s">
        <v>37</v>
      </c>
      <c r="AC1419">
        <v>0</v>
      </c>
      <c r="AD1419" t="s">
        <v>31</v>
      </c>
      <c r="AE1419">
        <v>0</v>
      </c>
      <c r="AF1419" t="s">
        <v>31</v>
      </c>
      <c r="AG1419">
        <v>0</v>
      </c>
      <c r="AH1419" t="s">
        <v>31</v>
      </c>
      <c r="AI1419">
        <v>0</v>
      </c>
      <c r="AJ1419" t="s">
        <v>31</v>
      </c>
      <c r="AK1419">
        <v>0</v>
      </c>
      <c r="AL1419" t="s">
        <v>31</v>
      </c>
      <c r="AM1419">
        <v>0</v>
      </c>
      <c r="AN1419" t="s">
        <v>31</v>
      </c>
      <c r="AO1419">
        <v>0</v>
      </c>
      <c r="AP1419" t="s">
        <v>31</v>
      </c>
      <c r="AQ1419">
        <v>0</v>
      </c>
    </row>
    <row r="1420" spans="1:43" x14ac:dyDescent="0.2">
      <c r="A1420" t="s">
        <v>381</v>
      </c>
      <c r="B1420" s="3">
        <v>44250</v>
      </c>
      <c r="C1420">
        <v>16</v>
      </c>
      <c r="D1420" t="s">
        <v>382</v>
      </c>
      <c r="E1420" t="s">
        <v>70</v>
      </c>
      <c r="F1420" s="9" t="s">
        <v>71</v>
      </c>
      <c r="G1420" t="s">
        <v>26</v>
      </c>
      <c r="H1420" t="s">
        <v>34</v>
      </c>
      <c r="I1420" t="s">
        <v>35</v>
      </c>
      <c r="J1420" t="s">
        <v>29</v>
      </c>
      <c r="K1420" t="s">
        <v>30</v>
      </c>
      <c r="L1420" t="s">
        <v>29</v>
      </c>
      <c r="M1420" t="s">
        <v>30</v>
      </c>
      <c r="N1420" t="s">
        <v>34</v>
      </c>
      <c r="O1420" t="s">
        <v>35</v>
      </c>
      <c r="P1420" t="s">
        <v>29</v>
      </c>
      <c r="Q1420" t="s">
        <v>30</v>
      </c>
      <c r="R1420" s="1">
        <v>44250.376840277779</v>
      </c>
      <c r="S1420" s="1">
        <v>44250.376851851855</v>
      </c>
      <c r="T1420">
        <v>0</v>
      </c>
      <c r="U1420">
        <v>0</v>
      </c>
      <c r="V1420" s="2">
        <v>0</v>
      </c>
      <c r="W1420">
        <v>0</v>
      </c>
      <c r="X1420" t="s">
        <v>37</v>
      </c>
      <c r="Y1420">
        <v>0</v>
      </c>
      <c r="Z1420" t="s">
        <v>37</v>
      </c>
      <c r="AA1420">
        <v>0</v>
      </c>
      <c r="AB1420" t="s">
        <v>37</v>
      </c>
      <c r="AC1420">
        <v>0</v>
      </c>
      <c r="AD1420" t="s">
        <v>31</v>
      </c>
      <c r="AE1420">
        <v>0</v>
      </c>
      <c r="AF1420" t="s">
        <v>31</v>
      </c>
      <c r="AG1420">
        <v>0</v>
      </c>
      <c r="AH1420" t="s">
        <v>31</v>
      </c>
      <c r="AI1420">
        <v>0</v>
      </c>
      <c r="AJ1420" t="s">
        <v>31</v>
      </c>
      <c r="AK1420">
        <v>0</v>
      </c>
      <c r="AL1420" t="s">
        <v>31</v>
      </c>
      <c r="AM1420">
        <v>0</v>
      </c>
      <c r="AN1420" t="s">
        <v>31</v>
      </c>
      <c r="AO1420">
        <v>0</v>
      </c>
      <c r="AP1420" t="s">
        <v>31</v>
      </c>
      <c r="AQ1420">
        <v>0</v>
      </c>
    </row>
    <row r="1421" spans="1:43" x14ac:dyDescent="0.2">
      <c r="A1421" t="s">
        <v>381</v>
      </c>
      <c r="B1421" s="3">
        <v>44251</v>
      </c>
      <c r="C1421">
        <v>18</v>
      </c>
      <c r="D1421" t="s">
        <v>384</v>
      </c>
      <c r="E1421" t="s">
        <v>70</v>
      </c>
      <c r="F1421" s="9" t="s">
        <v>71</v>
      </c>
      <c r="G1421" t="s">
        <v>26</v>
      </c>
      <c r="H1421" t="s">
        <v>34</v>
      </c>
      <c r="I1421" t="s">
        <v>35</v>
      </c>
      <c r="J1421" t="s">
        <v>29</v>
      </c>
      <c r="K1421" t="s">
        <v>30</v>
      </c>
      <c r="L1421" t="s">
        <v>29</v>
      </c>
      <c r="M1421" t="s">
        <v>30</v>
      </c>
      <c r="N1421" t="s">
        <v>34</v>
      </c>
      <c r="O1421" t="s">
        <v>35</v>
      </c>
      <c r="P1421" t="s">
        <v>29</v>
      </c>
      <c r="Q1421" t="s">
        <v>30</v>
      </c>
      <c r="R1421" s="1">
        <v>44251.380358796298</v>
      </c>
      <c r="S1421" s="1">
        <v>44251.380682870367</v>
      </c>
      <c r="T1421">
        <v>0</v>
      </c>
      <c r="U1421">
        <v>0</v>
      </c>
      <c r="V1421" s="2">
        <v>0</v>
      </c>
      <c r="W1421">
        <v>0</v>
      </c>
      <c r="X1421" t="s">
        <v>37</v>
      </c>
      <c r="Y1421">
        <v>0</v>
      </c>
      <c r="Z1421" t="s">
        <v>37</v>
      </c>
      <c r="AA1421">
        <v>0</v>
      </c>
      <c r="AB1421" t="s">
        <v>37</v>
      </c>
      <c r="AC1421">
        <v>0</v>
      </c>
      <c r="AD1421" t="s">
        <v>31</v>
      </c>
      <c r="AE1421">
        <v>0</v>
      </c>
      <c r="AF1421" t="s">
        <v>31</v>
      </c>
      <c r="AG1421">
        <v>0</v>
      </c>
      <c r="AH1421" t="s">
        <v>31</v>
      </c>
      <c r="AI1421">
        <v>0</v>
      </c>
      <c r="AJ1421" t="s">
        <v>31</v>
      </c>
      <c r="AK1421">
        <v>0</v>
      </c>
      <c r="AL1421" t="s">
        <v>31</v>
      </c>
      <c r="AM1421">
        <v>0</v>
      </c>
      <c r="AN1421" t="s">
        <v>31</v>
      </c>
      <c r="AO1421">
        <v>0</v>
      </c>
      <c r="AP1421" t="s">
        <v>31</v>
      </c>
      <c r="AQ1421">
        <v>0</v>
      </c>
    </row>
    <row r="1422" spans="1:43" x14ac:dyDescent="0.2">
      <c r="A1422" t="s">
        <v>381</v>
      </c>
      <c r="B1422" s="3">
        <v>44252</v>
      </c>
      <c r="C1422">
        <v>19</v>
      </c>
      <c r="D1422" t="s">
        <v>382</v>
      </c>
      <c r="E1422" t="s">
        <v>70</v>
      </c>
      <c r="F1422" s="9" t="s">
        <v>71</v>
      </c>
      <c r="G1422" t="s">
        <v>26</v>
      </c>
      <c r="H1422" t="s">
        <v>34</v>
      </c>
      <c r="I1422" t="s">
        <v>35</v>
      </c>
      <c r="J1422" t="s">
        <v>29</v>
      </c>
      <c r="K1422" t="s">
        <v>30</v>
      </c>
      <c r="L1422" t="s">
        <v>29</v>
      </c>
      <c r="M1422" t="s">
        <v>30</v>
      </c>
      <c r="N1422" t="s">
        <v>34</v>
      </c>
      <c r="O1422" t="s">
        <v>35</v>
      </c>
      <c r="P1422" t="s">
        <v>29</v>
      </c>
      <c r="Q1422" t="s">
        <v>30</v>
      </c>
      <c r="R1422" s="1">
        <v>44252.384641203702</v>
      </c>
      <c r="S1422" s="1">
        <v>44252.384652777779</v>
      </c>
      <c r="T1422">
        <v>0</v>
      </c>
      <c r="U1422">
        <v>0</v>
      </c>
      <c r="V1422" s="2">
        <v>0</v>
      </c>
      <c r="W1422">
        <v>0</v>
      </c>
      <c r="X1422" t="s">
        <v>37</v>
      </c>
      <c r="Y1422">
        <v>0</v>
      </c>
      <c r="Z1422" t="s">
        <v>37</v>
      </c>
      <c r="AA1422">
        <v>0</v>
      </c>
      <c r="AB1422" t="s">
        <v>37</v>
      </c>
      <c r="AC1422">
        <v>0</v>
      </c>
      <c r="AD1422" t="s">
        <v>31</v>
      </c>
      <c r="AE1422">
        <v>0</v>
      </c>
      <c r="AF1422" t="s">
        <v>31</v>
      </c>
      <c r="AG1422">
        <v>0</v>
      </c>
      <c r="AH1422" t="s">
        <v>31</v>
      </c>
      <c r="AI1422">
        <v>0</v>
      </c>
      <c r="AJ1422" t="s">
        <v>31</v>
      </c>
      <c r="AK1422">
        <v>0</v>
      </c>
      <c r="AL1422" t="s">
        <v>31</v>
      </c>
      <c r="AM1422">
        <v>0</v>
      </c>
      <c r="AN1422" t="s">
        <v>31</v>
      </c>
      <c r="AO1422">
        <v>0</v>
      </c>
      <c r="AP1422" t="s">
        <v>31</v>
      </c>
      <c r="AQ1422">
        <v>0</v>
      </c>
    </row>
    <row r="1423" spans="1:43" x14ac:dyDescent="0.2">
      <c r="A1423" t="s">
        <v>381</v>
      </c>
      <c r="B1423" s="3">
        <v>44253</v>
      </c>
      <c r="C1423">
        <v>21</v>
      </c>
      <c r="D1423" t="s">
        <v>384</v>
      </c>
      <c r="E1423" t="s">
        <v>70</v>
      </c>
      <c r="F1423" s="9" t="s">
        <v>71</v>
      </c>
      <c r="G1423" t="s">
        <v>26</v>
      </c>
      <c r="H1423" t="s">
        <v>34</v>
      </c>
      <c r="I1423" t="s">
        <v>35</v>
      </c>
      <c r="J1423" t="s">
        <v>29</v>
      </c>
      <c r="K1423" t="s">
        <v>30</v>
      </c>
      <c r="L1423" t="s">
        <v>29</v>
      </c>
      <c r="M1423" t="s">
        <v>30</v>
      </c>
      <c r="N1423" t="s">
        <v>34</v>
      </c>
      <c r="O1423" t="s">
        <v>35</v>
      </c>
      <c r="P1423" t="s">
        <v>29</v>
      </c>
      <c r="Q1423" t="s">
        <v>30</v>
      </c>
      <c r="R1423" s="1">
        <v>44253.375844907408</v>
      </c>
      <c r="S1423" s="1">
        <v>44253.375856481478</v>
      </c>
      <c r="T1423">
        <v>0</v>
      </c>
      <c r="U1423">
        <v>0</v>
      </c>
      <c r="V1423" s="2">
        <v>0</v>
      </c>
      <c r="W1423">
        <v>0</v>
      </c>
      <c r="X1423" t="s">
        <v>37</v>
      </c>
      <c r="Y1423">
        <v>0</v>
      </c>
      <c r="Z1423" t="s">
        <v>37</v>
      </c>
      <c r="AA1423">
        <v>0</v>
      </c>
      <c r="AB1423" t="s">
        <v>37</v>
      </c>
      <c r="AC1423">
        <v>0</v>
      </c>
      <c r="AD1423" t="s">
        <v>31</v>
      </c>
      <c r="AE1423">
        <v>0</v>
      </c>
      <c r="AF1423" t="s">
        <v>31</v>
      </c>
      <c r="AG1423">
        <v>0</v>
      </c>
      <c r="AH1423" t="s">
        <v>31</v>
      </c>
      <c r="AI1423">
        <v>0</v>
      </c>
      <c r="AJ1423" t="s">
        <v>31</v>
      </c>
      <c r="AK1423">
        <v>0</v>
      </c>
      <c r="AL1423" t="s">
        <v>31</v>
      </c>
      <c r="AM1423">
        <v>0</v>
      </c>
      <c r="AN1423" t="s">
        <v>31</v>
      </c>
      <c r="AO1423">
        <v>0</v>
      </c>
      <c r="AP1423" t="s">
        <v>31</v>
      </c>
      <c r="AQ1423">
        <v>0</v>
      </c>
    </row>
    <row r="1424" spans="1:43" x14ac:dyDescent="0.2">
      <c r="A1424" t="s">
        <v>381</v>
      </c>
      <c r="B1424" s="3">
        <v>44256</v>
      </c>
      <c r="C1424">
        <v>22</v>
      </c>
      <c r="D1424" t="s">
        <v>384</v>
      </c>
      <c r="E1424" t="s">
        <v>70</v>
      </c>
      <c r="F1424" s="9" t="s">
        <v>71</v>
      </c>
      <c r="G1424" t="s">
        <v>26</v>
      </c>
      <c r="H1424" t="s">
        <v>34</v>
      </c>
      <c r="I1424" t="s">
        <v>35</v>
      </c>
      <c r="J1424" t="s">
        <v>29</v>
      </c>
      <c r="K1424" t="s">
        <v>30</v>
      </c>
      <c r="L1424" t="s">
        <v>29</v>
      </c>
      <c r="M1424" t="s">
        <v>30</v>
      </c>
      <c r="N1424" t="s">
        <v>34</v>
      </c>
      <c r="O1424" t="s">
        <v>35</v>
      </c>
      <c r="P1424" t="s">
        <v>29</v>
      </c>
      <c r="Q1424" t="s">
        <v>30</v>
      </c>
      <c r="R1424" s="1">
        <v>44256.386956018519</v>
      </c>
      <c r="S1424" s="1">
        <v>44256.386956018519</v>
      </c>
      <c r="T1424">
        <v>0</v>
      </c>
      <c r="U1424">
        <v>0</v>
      </c>
      <c r="V1424" s="2">
        <v>0</v>
      </c>
      <c r="W1424">
        <v>0</v>
      </c>
      <c r="X1424" t="s">
        <v>37</v>
      </c>
      <c r="Y1424">
        <v>0</v>
      </c>
      <c r="Z1424" t="s">
        <v>37</v>
      </c>
      <c r="AA1424">
        <v>0</v>
      </c>
      <c r="AB1424" t="s">
        <v>37</v>
      </c>
      <c r="AC1424">
        <v>0</v>
      </c>
      <c r="AD1424" t="s">
        <v>31</v>
      </c>
      <c r="AE1424">
        <v>0</v>
      </c>
      <c r="AF1424" t="s">
        <v>31</v>
      </c>
      <c r="AG1424">
        <v>0</v>
      </c>
      <c r="AH1424" t="s">
        <v>31</v>
      </c>
      <c r="AI1424">
        <v>0</v>
      </c>
      <c r="AJ1424" t="s">
        <v>31</v>
      </c>
      <c r="AK1424">
        <v>0</v>
      </c>
      <c r="AL1424" t="s">
        <v>31</v>
      </c>
      <c r="AM1424">
        <v>0</v>
      </c>
      <c r="AN1424" t="s">
        <v>31</v>
      </c>
      <c r="AO1424">
        <v>0</v>
      </c>
      <c r="AP1424" t="s">
        <v>31</v>
      </c>
      <c r="AQ1424">
        <v>0</v>
      </c>
    </row>
    <row r="1425" spans="1:43" x14ac:dyDescent="0.2">
      <c r="A1425" t="s">
        <v>381</v>
      </c>
      <c r="B1425" s="3">
        <v>44257</v>
      </c>
      <c r="C1425">
        <v>23</v>
      </c>
      <c r="D1425" t="s">
        <v>382</v>
      </c>
      <c r="E1425" t="s">
        <v>70</v>
      </c>
      <c r="F1425" s="9" t="s">
        <v>71</v>
      </c>
      <c r="G1425" t="s">
        <v>26</v>
      </c>
      <c r="H1425" t="s">
        <v>34</v>
      </c>
      <c r="I1425" t="s">
        <v>35</v>
      </c>
      <c r="J1425" t="s">
        <v>29</v>
      </c>
      <c r="K1425" t="s">
        <v>30</v>
      </c>
      <c r="L1425" t="s">
        <v>29</v>
      </c>
      <c r="M1425" t="s">
        <v>30</v>
      </c>
      <c r="N1425" t="s">
        <v>34</v>
      </c>
      <c r="O1425" t="s">
        <v>35</v>
      </c>
      <c r="P1425" t="s">
        <v>29</v>
      </c>
      <c r="Q1425" t="s">
        <v>30</v>
      </c>
      <c r="R1425" s="1">
        <v>44257.416516203702</v>
      </c>
      <c r="S1425" s="1">
        <v>44257.416527777779</v>
      </c>
      <c r="T1425">
        <v>0</v>
      </c>
      <c r="U1425">
        <v>0</v>
      </c>
      <c r="V1425" s="2">
        <v>0</v>
      </c>
      <c r="W1425">
        <v>0</v>
      </c>
      <c r="X1425" t="s">
        <v>37</v>
      </c>
      <c r="Y1425">
        <v>0</v>
      </c>
      <c r="Z1425" t="s">
        <v>37</v>
      </c>
      <c r="AA1425">
        <v>0</v>
      </c>
      <c r="AB1425" t="s">
        <v>37</v>
      </c>
      <c r="AC1425">
        <v>0</v>
      </c>
      <c r="AD1425" t="s">
        <v>31</v>
      </c>
      <c r="AE1425">
        <v>0</v>
      </c>
      <c r="AF1425" t="s">
        <v>31</v>
      </c>
      <c r="AG1425">
        <v>0</v>
      </c>
      <c r="AH1425" t="s">
        <v>31</v>
      </c>
      <c r="AI1425">
        <v>0</v>
      </c>
      <c r="AJ1425" t="s">
        <v>31</v>
      </c>
      <c r="AK1425">
        <v>0</v>
      </c>
      <c r="AL1425" t="s">
        <v>31</v>
      </c>
      <c r="AM1425">
        <v>0</v>
      </c>
      <c r="AN1425" t="s">
        <v>31</v>
      </c>
      <c r="AO1425">
        <v>0</v>
      </c>
      <c r="AP1425" t="s">
        <v>31</v>
      </c>
      <c r="AQ1425">
        <v>0</v>
      </c>
    </row>
    <row r="1426" spans="1:43" x14ac:dyDescent="0.2">
      <c r="A1426" t="s">
        <v>381</v>
      </c>
      <c r="B1426" s="3">
        <v>44257</v>
      </c>
      <c r="C1426">
        <v>24</v>
      </c>
      <c r="D1426" t="s">
        <v>385</v>
      </c>
      <c r="E1426" t="s">
        <v>70</v>
      </c>
      <c r="F1426" s="9" t="s">
        <v>71</v>
      </c>
      <c r="G1426" t="s">
        <v>26</v>
      </c>
      <c r="H1426" t="s">
        <v>34</v>
      </c>
      <c r="I1426" t="s">
        <v>35</v>
      </c>
      <c r="J1426" t="s">
        <v>29</v>
      </c>
      <c r="K1426" t="s">
        <v>30</v>
      </c>
      <c r="L1426" t="s">
        <v>29</v>
      </c>
      <c r="M1426" t="s">
        <v>30</v>
      </c>
      <c r="N1426" t="s">
        <v>34</v>
      </c>
      <c r="O1426" t="s">
        <v>35</v>
      </c>
      <c r="P1426" t="s">
        <v>29</v>
      </c>
      <c r="Q1426" t="s">
        <v>30</v>
      </c>
      <c r="R1426" s="1">
        <v>44257.609189814815</v>
      </c>
      <c r="S1426" s="1">
        <v>44257.609189814815</v>
      </c>
      <c r="T1426">
        <v>0</v>
      </c>
      <c r="U1426">
        <v>0</v>
      </c>
      <c r="V1426" s="2">
        <v>0</v>
      </c>
      <c r="W1426">
        <v>0</v>
      </c>
      <c r="X1426" t="s">
        <v>37</v>
      </c>
      <c r="Y1426">
        <v>0</v>
      </c>
      <c r="Z1426" t="s">
        <v>31</v>
      </c>
      <c r="AA1426">
        <v>0</v>
      </c>
      <c r="AB1426" t="s">
        <v>31</v>
      </c>
      <c r="AC1426">
        <v>0</v>
      </c>
      <c r="AD1426" t="s">
        <v>31</v>
      </c>
      <c r="AE1426">
        <v>0</v>
      </c>
      <c r="AF1426" t="s">
        <v>31</v>
      </c>
      <c r="AG1426">
        <v>0</v>
      </c>
      <c r="AH1426" t="s">
        <v>31</v>
      </c>
      <c r="AI1426">
        <v>0</v>
      </c>
      <c r="AJ1426" t="s">
        <v>31</v>
      </c>
      <c r="AK1426">
        <v>0</v>
      </c>
      <c r="AL1426" t="s">
        <v>31</v>
      </c>
      <c r="AM1426">
        <v>0</v>
      </c>
      <c r="AN1426" t="s">
        <v>31</v>
      </c>
      <c r="AO1426">
        <v>0</v>
      </c>
      <c r="AP1426" t="s">
        <v>31</v>
      </c>
      <c r="AQ1426">
        <v>0</v>
      </c>
    </row>
    <row r="1427" spans="1:43" x14ac:dyDescent="0.2">
      <c r="A1427" t="s">
        <v>381</v>
      </c>
      <c r="B1427" s="3">
        <v>44258</v>
      </c>
      <c r="C1427">
        <v>25</v>
      </c>
      <c r="D1427" t="s">
        <v>384</v>
      </c>
      <c r="E1427" t="s">
        <v>70</v>
      </c>
      <c r="F1427" s="9" t="s">
        <v>71</v>
      </c>
      <c r="G1427" t="s">
        <v>26</v>
      </c>
      <c r="H1427" t="s">
        <v>34</v>
      </c>
      <c r="I1427" t="s">
        <v>35</v>
      </c>
      <c r="J1427" t="s">
        <v>29</v>
      </c>
      <c r="K1427" t="s">
        <v>30</v>
      </c>
      <c r="L1427" t="s">
        <v>29</v>
      </c>
      <c r="M1427" t="s">
        <v>30</v>
      </c>
      <c r="N1427" t="s">
        <v>34</v>
      </c>
      <c r="O1427" t="s">
        <v>35</v>
      </c>
      <c r="P1427" t="s">
        <v>29</v>
      </c>
      <c r="Q1427" t="s">
        <v>30</v>
      </c>
      <c r="R1427" s="1">
        <v>44258.382106481484</v>
      </c>
      <c r="S1427" s="1">
        <v>44258.38244212963</v>
      </c>
      <c r="T1427">
        <v>0</v>
      </c>
      <c r="U1427">
        <v>0</v>
      </c>
      <c r="V1427" s="2">
        <v>0</v>
      </c>
      <c r="W1427">
        <v>0</v>
      </c>
      <c r="X1427" t="s">
        <v>37</v>
      </c>
      <c r="Y1427">
        <v>0</v>
      </c>
      <c r="Z1427" t="s">
        <v>37</v>
      </c>
      <c r="AA1427">
        <v>0</v>
      </c>
      <c r="AB1427" t="s">
        <v>37</v>
      </c>
      <c r="AC1427">
        <v>0</v>
      </c>
      <c r="AD1427" t="s">
        <v>31</v>
      </c>
      <c r="AE1427">
        <v>0</v>
      </c>
      <c r="AF1427" t="s">
        <v>31</v>
      </c>
      <c r="AG1427">
        <v>0</v>
      </c>
      <c r="AH1427" t="s">
        <v>31</v>
      </c>
      <c r="AI1427">
        <v>0</v>
      </c>
      <c r="AJ1427" t="s">
        <v>31</v>
      </c>
      <c r="AK1427">
        <v>0</v>
      </c>
      <c r="AL1427" t="s">
        <v>31</v>
      </c>
      <c r="AM1427">
        <v>0</v>
      </c>
      <c r="AN1427" t="s">
        <v>31</v>
      </c>
      <c r="AO1427">
        <v>0</v>
      </c>
      <c r="AP1427" t="s">
        <v>31</v>
      </c>
      <c r="AQ1427">
        <v>0</v>
      </c>
    </row>
    <row r="1428" spans="1:43" x14ac:dyDescent="0.2">
      <c r="A1428" t="s">
        <v>381</v>
      </c>
      <c r="B1428" s="3">
        <v>44259</v>
      </c>
      <c r="C1428">
        <v>26</v>
      </c>
      <c r="D1428" t="s">
        <v>382</v>
      </c>
      <c r="E1428" t="s">
        <v>70</v>
      </c>
      <c r="F1428" s="9" t="s">
        <v>71</v>
      </c>
      <c r="G1428" t="s">
        <v>26</v>
      </c>
      <c r="H1428" t="s">
        <v>34</v>
      </c>
      <c r="I1428" t="s">
        <v>35</v>
      </c>
      <c r="J1428" t="s">
        <v>29</v>
      </c>
      <c r="K1428" t="s">
        <v>30</v>
      </c>
      <c r="L1428" t="s">
        <v>29</v>
      </c>
      <c r="M1428" t="s">
        <v>30</v>
      </c>
      <c r="N1428" t="s">
        <v>34</v>
      </c>
      <c r="O1428" t="s">
        <v>35</v>
      </c>
      <c r="P1428" t="s">
        <v>29</v>
      </c>
      <c r="Q1428" t="s">
        <v>30</v>
      </c>
      <c r="R1428" s="1">
        <v>44259.430266203701</v>
      </c>
      <c r="S1428" s="1">
        <v>44259.430474537039</v>
      </c>
      <c r="T1428">
        <v>1</v>
      </c>
      <c r="U1428">
        <v>1</v>
      </c>
      <c r="V1428" s="2">
        <v>1</v>
      </c>
      <c r="W1428">
        <v>0</v>
      </c>
      <c r="X1428" t="s">
        <v>37</v>
      </c>
      <c r="Y1428">
        <v>0</v>
      </c>
      <c r="Z1428" t="s">
        <v>37</v>
      </c>
      <c r="AA1428">
        <v>0</v>
      </c>
      <c r="AB1428" t="s">
        <v>30</v>
      </c>
      <c r="AC1428">
        <v>0</v>
      </c>
      <c r="AD1428" t="s">
        <v>31</v>
      </c>
      <c r="AE1428">
        <v>0</v>
      </c>
      <c r="AF1428" t="s">
        <v>31</v>
      </c>
      <c r="AG1428">
        <v>0</v>
      </c>
      <c r="AH1428" t="s">
        <v>31</v>
      </c>
      <c r="AI1428">
        <v>0</v>
      </c>
      <c r="AJ1428" t="s">
        <v>31</v>
      </c>
      <c r="AK1428">
        <v>0</v>
      </c>
      <c r="AL1428" t="s">
        <v>31</v>
      </c>
      <c r="AM1428">
        <v>0</v>
      </c>
      <c r="AN1428" t="s">
        <v>31</v>
      </c>
      <c r="AO1428">
        <v>0</v>
      </c>
      <c r="AP1428" t="s">
        <v>31</v>
      </c>
      <c r="AQ1428">
        <v>0</v>
      </c>
    </row>
    <row r="1429" spans="1:43" x14ac:dyDescent="0.2">
      <c r="A1429" t="s">
        <v>381</v>
      </c>
      <c r="B1429" s="3">
        <v>44260</v>
      </c>
      <c r="C1429">
        <v>28</v>
      </c>
      <c r="D1429" t="s">
        <v>384</v>
      </c>
      <c r="E1429" t="s">
        <v>70</v>
      </c>
      <c r="F1429" s="9" t="s">
        <v>71</v>
      </c>
      <c r="G1429" t="s">
        <v>26</v>
      </c>
      <c r="H1429" t="s">
        <v>34</v>
      </c>
      <c r="I1429" t="s">
        <v>35</v>
      </c>
      <c r="J1429" t="s">
        <v>29</v>
      </c>
      <c r="K1429" t="s">
        <v>30</v>
      </c>
      <c r="L1429" t="s">
        <v>29</v>
      </c>
      <c r="M1429" t="s">
        <v>30</v>
      </c>
      <c r="N1429" t="s">
        <v>34</v>
      </c>
      <c r="O1429" t="s">
        <v>35</v>
      </c>
      <c r="P1429" t="s">
        <v>29</v>
      </c>
      <c r="Q1429" t="s">
        <v>30</v>
      </c>
      <c r="R1429" s="1">
        <v>44260.379571759258</v>
      </c>
      <c r="S1429" s="1">
        <v>44260.379583333335</v>
      </c>
      <c r="T1429">
        <v>0</v>
      </c>
      <c r="U1429">
        <v>0</v>
      </c>
      <c r="V1429" s="2">
        <v>0</v>
      </c>
      <c r="W1429">
        <v>0</v>
      </c>
      <c r="X1429" t="s">
        <v>37</v>
      </c>
      <c r="Y1429">
        <v>0</v>
      </c>
      <c r="Z1429" t="s">
        <v>37</v>
      </c>
      <c r="AA1429">
        <v>0</v>
      </c>
      <c r="AB1429" t="s">
        <v>37</v>
      </c>
      <c r="AC1429">
        <v>0</v>
      </c>
      <c r="AD1429" t="s">
        <v>31</v>
      </c>
      <c r="AE1429">
        <v>0</v>
      </c>
      <c r="AF1429" t="s">
        <v>31</v>
      </c>
      <c r="AG1429">
        <v>0</v>
      </c>
      <c r="AH1429" t="s">
        <v>31</v>
      </c>
      <c r="AI1429">
        <v>0</v>
      </c>
      <c r="AJ1429" t="s">
        <v>31</v>
      </c>
      <c r="AK1429">
        <v>0</v>
      </c>
      <c r="AL1429" t="s">
        <v>31</v>
      </c>
      <c r="AM1429">
        <v>0</v>
      </c>
      <c r="AN1429" t="s">
        <v>31</v>
      </c>
      <c r="AO1429">
        <v>0</v>
      </c>
      <c r="AP1429" t="s">
        <v>31</v>
      </c>
      <c r="AQ1429">
        <v>0</v>
      </c>
    </row>
    <row r="1430" spans="1:43" x14ac:dyDescent="0.2">
      <c r="A1430" t="s">
        <v>381</v>
      </c>
      <c r="B1430" s="3">
        <v>44263</v>
      </c>
      <c r="C1430">
        <v>29</v>
      </c>
      <c r="D1430" t="s">
        <v>384</v>
      </c>
      <c r="E1430" t="s">
        <v>70</v>
      </c>
      <c r="F1430" s="9" t="s">
        <v>71</v>
      </c>
      <c r="G1430" t="s">
        <v>26</v>
      </c>
      <c r="H1430" t="s">
        <v>34</v>
      </c>
      <c r="I1430" t="s">
        <v>35</v>
      </c>
      <c r="J1430" t="s">
        <v>29</v>
      </c>
      <c r="K1430" t="s">
        <v>30</v>
      </c>
      <c r="L1430" t="s">
        <v>29</v>
      </c>
      <c r="M1430" t="s">
        <v>30</v>
      </c>
      <c r="N1430" t="s">
        <v>34</v>
      </c>
      <c r="O1430" t="s">
        <v>35</v>
      </c>
      <c r="P1430" t="s">
        <v>29</v>
      </c>
      <c r="Q1430" t="s">
        <v>30</v>
      </c>
      <c r="R1430" s="1">
        <v>44263.380416666667</v>
      </c>
      <c r="S1430" s="1">
        <v>44263.380555555559</v>
      </c>
      <c r="T1430">
        <v>0</v>
      </c>
      <c r="U1430">
        <v>0</v>
      </c>
      <c r="V1430" s="2">
        <v>0</v>
      </c>
      <c r="W1430">
        <v>0</v>
      </c>
      <c r="X1430" t="s">
        <v>37</v>
      </c>
      <c r="Y1430">
        <v>0</v>
      </c>
      <c r="Z1430" t="s">
        <v>37</v>
      </c>
      <c r="AA1430">
        <v>0</v>
      </c>
      <c r="AB1430" t="s">
        <v>31</v>
      </c>
      <c r="AC1430">
        <v>0</v>
      </c>
      <c r="AD1430" t="s">
        <v>31</v>
      </c>
      <c r="AE1430">
        <v>0</v>
      </c>
      <c r="AF1430" t="s">
        <v>31</v>
      </c>
      <c r="AG1430">
        <v>0</v>
      </c>
      <c r="AH1430" t="s">
        <v>31</v>
      </c>
      <c r="AI1430">
        <v>0</v>
      </c>
      <c r="AJ1430" t="s">
        <v>31</v>
      </c>
      <c r="AK1430">
        <v>0</v>
      </c>
      <c r="AL1430" t="s">
        <v>31</v>
      </c>
      <c r="AM1430">
        <v>0</v>
      </c>
      <c r="AN1430" t="s">
        <v>31</v>
      </c>
      <c r="AO1430">
        <v>0</v>
      </c>
      <c r="AP1430" t="s">
        <v>31</v>
      </c>
      <c r="AQ1430">
        <v>0</v>
      </c>
    </row>
    <row r="1431" spans="1:43" x14ac:dyDescent="0.2">
      <c r="A1431" t="s">
        <v>381</v>
      </c>
      <c r="B1431" s="3">
        <v>44264</v>
      </c>
      <c r="C1431">
        <v>30</v>
      </c>
      <c r="D1431" t="s">
        <v>382</v>
      </c>
      <c r="E1431" t="s">
        <v>70</v>
      </c>
      <c r="F1431" s="9" t="s">
        <v>71</v>
      </c>
      <c r="G1431" t="s">
        <v>26</v>
      </c>
      <c r="H1431" t="s">
        <v>34</v>
      </c>
      <c r="I1431" t="s">
        <v>35</v>
      </c>
      <c r="J1431" t="s">
        <v>29</v>
      </c>
      <c r="K1431" t="s">
        <v>30</v>
      </c>
      <c r="L1431" t="s">
        <v>29</v>
      </c>
      <c r="M1431" t="s">
        <v>30</v>
      </c>
      <c r="N1431" t="s">
        <v>34</v>
      </c>
      <c r="O1431" t="s">
        <v>35</v>
      </c>
      <c r="P1431" t="s">
        <v>29</v>
      </c>
      <c r="Q1431" t="s">
        <v>30</v>
      </c>
      <c r="R1431" s="1">
        <v>44264.417743055557</v>
      </c>
      <c r="S1431" s="1">
        <v>44264.417754629627</v>
      </c>
      <c r="T1431">
        <v>0</v>
      </c>
      <c r="U1431">
        <v>0</v>
      </c>
      <c r="V1431" s="2">
        <v>0</v>
      </c>
      <c r="W1431">
        <v>0</v>
      </c>
      <c r="X1431" t="s">
        <v>37</v>
      </c>
      <c r="Y1431">
        <v>0</v>
      </c>
      <c r="Z1431" t="s">
        <v>37</v>
      </c>
      <c r="AA1431">
        <v>0</v>
      </c>
      <c r="AB1431" t="s">
        <v>37</v>
      </c>
      <c r="AC1431">
        <v>0</v>
      </c>
      <c r="AD1431" t="s">
        <v>31</v>
      </c>
      <c r="AE1431">
        <v>0</v>
      </c>
      <c r="AF1431" t="s">
        <v>31</v>
      </c>
      <c r="AG1431">
        <v>0</v>
      </c>
      <c r="AH1431" t="s">
        <v>31</v>
      </c>
      <c r="AI1431">
        <v>0</v>
      </c>
      <c r="AJ1431" t="s">
        <v>31</v>
      </c>
      <c r="AK1431">
        <v>0</v>
      </c>
      <c r="AL1431" t="s">
        <v>31</v>
      </c>
      <c r="AM1431">
        <v>0</v>
      </c>
      <c r="AN1431" t="s">
        <v>31</v>
      </c>
      <c r="AO1431">
        <v>0</v>
      </c>
      <c r="AP1431" t="s">
        <v>31</v>
      </c>
      <c r="AQ1431">
        <v>0</v>
      </c>
    </row>
    <row r="1432" spans="1:43" x14ac:dyDescent="0.2">
      <c r="A1432" t="s">
        <v>381</v>
      </c>
      <c r="B1432" s="3">
        <v>44265</v>
      </c>
      <c r="C1432">
        <v>32</v>
      </c>
      <c r="D1432" t="s">
        <v>384</v>
      </c>
      <c r="E1432" t="s">
        <v>70</v>
      </c>
      <c r="F1432" s="9" t="s">
        <v>71</v>
      </c>
      <c r="G1432" t="s">
        <v>26</v>
      </c>
      <c r="H1432" t="s">
        <v>34</v>
      </c>
      <c r="I1432" t="s">
        <v>35</v>
      </c>
      <c r="J1432" t="s">
        <v>29</v>
      </c>
      <c r="K1432" t="s">
        <v>30</v>
      </c>
      <c r="L1432" t="s">
        <v>29</v>
      </c>
      <c r="M1432" t="s">
        <v>30</v>
      </c>
      <c r="N1432" t="s">
        <v>34</v>
      </c>
      <c r="O1432" t="s">
        <v>35</v>
      </c>
      <c r="P1432" t="s">
        <v>29</v>
      </c>
      <c r="Q1432" t="s">
        <v>30</v>
      </c>
      <c r="R1432" s="1">
        <v>44265.425034722219</v>
      </c>
      <c r="S1432" s="1">
        <v>44265.425324074073</v>
      </c>
      <c r="T1432">
        <v>0</v>
      </c>
      <c r="U1432">
        <v>0</v>
      </c>
      <c r="V1432" s="2">
        <v>0</v>
      </c>
      <c r="W1432">
        <v>0</v>
      </c>
      <c r="X1432" t="s">
        <v>37</v>
      </c>
      <c r="Y1432">
        <v>0</v>
      </c>
      <c r="Z1432" t="s">
        <v>37</v>
      </c>
      <c r="AA1432">
        <v>0</v>
      </c>
      <c r="AB1432" t="s">
        <v>37</v>
      </c>
      <c r="AC1432">
        <v>0</v>
      </c>
      <c r="AD1432" t="s">
        <v>31</v>
      </c>
      <c r="AE1432">
        <v>0</v>
      </c>
      <c r="AF1432" t="s">
        <v>31</v>
      </c>
      <c r="AG1432">
        <v>0</v>
      </c>
      <c r="AH1432" t="s">
        <v>31</v>
      </c>
      <c r="AI1432">
        <v>0</v>
      </c>
      <c r="AJ1432" t="s">
        <v>31</v>
      </c>
      <c r="AK1432">
        <v>0</v>
      </c>
      <c r="AL1432" t="s">
        <v>31</v>
      </c>
      <c r="AM1432">
        <v>0</v>
      </c>
      <c r="AN1432" t="s">
        <v>31</v>
      </c>
      <c r="AO1432">
        <v>0</v>
      </c>
      <c r="AP1432" t="s">
        <v>31</v>
      </c>
      <c r="AQ1432">
        <v>0</v>
      </c>
    </row>
    <row r="1433" spans="1:43" x14ac:dyDescent="0.2">
      <c r="A1433" t="s">
        <v>381</v>
      </c>
      <c r="B1433" s="3">
        <v>44266</v>
      </c>
      <c r="C1433">
        <v>34</v>
      </c>
      <c r="D1433" t="s">
        <v>385</v>
      </c>
      <c r="E1433" t="s">
        <v>70</v>
      </c>
      <c r="F1433" s="9" t="s">
        <v>71</v>
      </c>
      <c r="G1433" t="s">
        <v>26</v>
      </c>
      <c r="H1433" t="s">
        <v>34</v>
      </c>
      <c r="I1433" t="s">
        <v>35</v>
      </c>
      <c r="J1433" t="s">
        <v>29</v>
      </c>
      <c r="K1433" t="s">
        <v>30</v>
      </c>
      <c r="L1433" t="s">
        <v>29</v>
      </c>
      <c r="M1433" t="s">
        <v>30</v>
      </c>
      <c r="N1433" t="s">
        <v>34</v>
      </c>
      <c r="O1433" t="s">
        <v>35</v>
      </c>
      <c r="P1433" t="s">
        <v>29</v>
      </c>
      <c r="Q1433" t="s">
        <v>30</v>
      </c>
      <c r="R1433" s="1">
        <v>44266.587291666663</v>
      </c>
      <c r="S1433" s="1">
        <v>44266.588946759257</v>
      </c>
      <c r="T1433">
        <v>0</v>
      </c>
      <c r="U1433">
        <v>0</v>
      </c>
      <c r="V1433" s="2">
        <v>0</v>
      </c>
      <c r="W1433">
        <v>0</v>
      </c>
      <c r="X1433" t="s">
        <v>37</v>
      </c>
      <c r="Y1433">
        <v>0</v>
      </c>
      <c r="Z1433" t="s">
        <v>37</v>
      </c>
      <c r="AA1433">
        <v>0</v>
      </c>
      <c r="AB1433" t="s">
        <v>37</v>
      </c>
      <c r="AC1433">
        <v>0</v>
      </c>
      <c r="AD1433" t="s">
        <v>37</v>
      </c>
      <c r="AE1433">
        <v>0</v>
      </c>
      <c r="AF1433" t="s">
        <v>37</v>
      </c>
      <c r="AG1433">
        <v>0</v>
      </c>
      <c r="AH1433" t="s">
        <v>31</v>
      </c>
      <c r="AI1433">
        <v>0</v>
      </c>
      <c r="AJ1433" t="s">
        <v>31</v>
      </c>
      <c r="AK1433">
        <v>0</v>
      </c>
      <c r="AL1433" t="s">
        <v>31</v>
      </c>
      <c r="AM1433">
        <v>0</v>
      </c>
      <c r="AN1433" t="s">
        <v>31</v>
      </c>
      <c r="AO1433">
        <v>0</v>
      </c>
      <c r="AP1433" t="s">
        <v>31</v>
      </c>
      <c r="AQ1433">
        <v>0</v>
      </c>
    </row>
    <row r="1434" spans="1:43" x14ac:dyDescent="0.2">
      <c r="A1434" t="s">
        <v>381</v>
      </c>
      <c r="B1434" s="3">
        <v>44270</v>
      </c>
      <c r="C1434">
        <v>35</v>
      </c>
      <c r="D1434" t="s">
        <v>384</v>
      </c>
      <c r="E1434" t="s">
        <v>70</v>
      </c>
      <c r="F1434" s="9" t="s">
        <v>71</v>
      </c>
      <c r="G1434" t="s">
        <v>26</v>
      </c>
      <c r="H1434" t="s">
        <v>34</v>
      </c>
      <c r="I1434" t="s">
        <v>35</v>
      </c>
      <c r="J1434" t="s">
        <v>29</v>
      </c>
      <c r="K1434" t="s">
        <v>30</v>
      </c>
      <c r="L1434" t="s">
        <v>29</v>
      </c>
      <c r="M1434" t="s">
        <v>30</v>
      </c>
      <c r="N1434" t="s">
        <v>34</v>
      </c>
      <c r="O1434" t="s">
        <v>35</v>
      </c>
      <c r="P1434" t="s">
        <v>29</v>
      </c>
      <c r="Q1434" t="s">
        <v>30</v>
      </c>
      <c r="R1434" s="1">
        <v>44270.389768518522</v>
      </c>
      <c r="S1434" s="1">
        <v>44270.390034722222</v>
      </c>
      <c r="T1434">
        <v>0</v>
      </c>
      <c r="U1434">
        <v>0</v>
      </c>
      <c r="V1434" s="2">
        <v>0</v>
      </c>
      <c r="W1434">
        <v>0</v>
      </c>
      <c r="X1434" t="s">
        <v>37</v>
      </c>
      <c r="Y1434">
        <v>0</v>
      </c>
      <c r="Z1434" t="s">
        <v>37</v>
      </c>
      <c r="AA1434">
        <v>0</v>
      </c>
      <c r="AB1434" t="s">
        <v>37</v>
      </c>
      <c r="AC1434">
        <v>0</v>
      </c>
      <c r="AD1434" t="s">
        <v>31</v>
      </c>
      <c r="AE1434">
        <v>0</v>
      </c>
      <c r="AF1434" t="s">
        <v>31</v>
      </c>
      <c r="AG1434">
        <v>0</v>
      </c>
      <c r="AH1434" t="s">
        <v>31</v>
      </c>
      <c r="AI1434">
        <v>0</v>
      </c>
      <c r="AJ1434" t="s">
        <v>31</v>
      </c>
      <c r="AK1434">
        <v>0</v>
      </c>
      <c r="AL1434" t="s">
        <v>31</v>
      </c>
      <c r="AM1434">
        <v>0</v>
      </c>
      <c r="AN1434" t="s">
        <v>31</v>
      </c>
      <c r="AO1434">
        <v>0</v>
      </c>
      <c r="AP1434" t="s">
        <v>31</v>
      </c>
      <c r="AQ1434">
        <v>0</v>
      </c>
    </row>
    <row r="1435" spans="1:43" x14ac:dyDescent="0.2">
      <c r="A1435" t="s">
        <v>381</v>
      </c>
      <c r="B1435" s="3">
        <v>44272</v>
      </c>
      <c r="C1435">
        <v>38</v>
      </c>
      <c r="D1435" t="s">
        <v>384</v>
      </c>
      <c r="E1435" t="s">
        <v>70</v>
      </c>
      <c r="F1435" s="9" t="s">
        <v>71</v>
      </c>
      <c r="G1435" t="s">
        <v>26</v>
      </c>
      <c r="H1435" t="s">
        <v>34</v>
      </c>
      <c r="I1435" t="s">
        <v>35</v>
      </c>
      <c r="J1435" t="s">
        <v>29</v>
      </c>
      <c r="K1435" t="s">
        <v>30</v>
      </c>
      <c r="L1435" t="s">
        <v>29</v>
      </c>
      <c r="M1435" t="s">
        <v>30</v>
      </c>
      <c r="N1435" t="s">
        <v>34</v>
      </c>
      <c r="O1435" t="s">
        <v>35</v>
      </c>
      <c r="P1435" t="s">
        <v>29</v>
      </c>
      <c r="Q1435" t="s">
        <v>30</v>
      </c>
      <c r="R1435" s="1">
        <v>44272.430509259262</v>
      </c>
      <c r="S1435" s="1">
        <v>44272.43105324074</v>
      </c>
      <c r="T1435">
        <v>0</v>
      </c>
      <c r="U1435">
        <v>0</v>
      </c>
      <c r="V1435" s="2">
        <v>0</v>
      </c>
      <c r="W1435">
        <v>0</v>
      </c>
      <c r="X1435" t="s">
        <v>37</v>
      </c>
      <c r="Y1435">
        <v>0</v>
      </c>
      <c r="Z1435" t="s">
        <v>37</v>
      </c>
      <c r="AA1435">
        <v>0</v>
      </c>
      <c r="AB1435" t="s">
        <v>37</v>
      </c>
      <c r="AC1435">
        <v>0</v>
      </c>
      <c r="AD1435" t="s">
        <v>31</v>
      </c>
      <c r="AE1435">
        <v>0</v>
      </c>
      <c r="AF1435" t="s">
        <v>31</v>
      </c>
      <c r="AG1435">
        <v>0</v>
      </c>
      <c r="AH1435" t="s">
        <v>31</v>
      </c>
      <c r="AI1435">
        <v>0</v>
      </c>
      <c r="AJ1435" t="s">
        <v>31</v>
      </c>
      <c r="AK1435">
        <v>0</v>
      </c>
      <c r="AL1435" t="s">
        <v>31</v>
      </c>
      <c r="AM1435">
        <v>0</v>
      </c>
      <c r="AN1435" t="s">
        <v>31</v>
      </c>
      <c r="AO1435">
        <v>0</v>
      </c>
      <c r="AP1435" t="s">
        <v>31</v>
      </c>
      <c r="AQ1435">
        <v>0</v>
      </c>
    </row>
    <row r="1436" spans="1:43" x14ac:dyDescent="0.2">
      <c r="A1436" t="s">
        <v>381</v>
      </c>
      <c r="B1436" s="3">
        <v>44279</v>
      </c>
      <c r="C1436">
        <v>41</v>
      </c>
      <c r="D1436" t="s">
        <v>384</v>
      </c>
      <c r="E1436" t="s">
        <v>70</v>
      </c>
      <c r="F1436" s="9" t="s">
        <v>71</v>
      </c>
      <c r="G1436" t="s">
        <v>26</v>
      </c>
      <c r="H1436" t="s">
        <v>34</v>
      </c>
      <c r="I1436" t="s">
        <v>35</v>
      </c>
      <c r="J1436" t="s">
        <v>29</v>
      </c>
      <c r="K1436" t="s">
        <v>30</v>
      </c>
      <c r="L1436" t="s">
        <v>29</v>
      </c>
      <c r="M1436" t="s">
        <v>30</v>
      </c>
      <c r="N1436" t="s">
        <v>34</v>
      </c>
      <c r="O1436" t="s">
        <v>35</v>
      </c>
      <c r="P1436" t="s">
        <v>29</v>
      </c>
      <c r="Q1436" t="s">
        <v>30</v>
      </c>
      <c r="R1436" s="1">
        <v>44279.384525462963</v>
      </c>
      <c r="S1436" s="1">
        <v>44279.38486111111</v>
      </c>
      <c r="T1436">
        <v>0</v>
      </c>
      <c r="U1436">
        <v>0</v>
      </c>
      <c r="V1436" s="2">
        <v>0</v>
      </c>
      <c r="W1436">
        <v>0</v>
      </c>
      <c r="X1436" t="s">
        <v>37</v>
      </c>
      <c r="Y1436">
        <v>0</v>
      </c>
      <c r="Z1436" t="s">
        <v>37</v>
      </c>
      <c r="AA1436">
        <v>0</v>
      </c>
      <c r="AB1436" t="s">
        <v>37</v>
      </c>
      <c r="AC1436">
        <v>0</v>
      </c>
      <c r="AD1436" t="s">
        <v>31</v>
      </c>
      <c r="AE1436">
        <v>0</v>
      </c>
      <c r="AF1436" t="s">
        <v>31</v>
      </c>
      <c r="AG1436">
        <v>0</v>
      </c>
      <c r="AH1436" t="s">
        <v>31</v>
      </c>
      <c r="AI1436">
        <v>0</v>
      </c>
      <c r="AJ1436" t="s">
        <v>31</v>
      </c>
      <c r="AK1436">
        <v>0</v>
      </c>
      <c r="AL1436" t="s">
        <v>31</v>
      </c>
      <c r="AM1436">
        <v>0</v>
      </c>
      <c r="AN1436" t="s">
        <v>31</v>
      </c>
      <c r="AO1436">
        <v>0</v>
      </c>
      <c r="AP1436" t="s">
        <v>31</v>
      </c>
      <c r="AQ1436">
        <v>0</v>
      </c>
    </row>
    <row r="1437" spans="1:43" x14ac:dyDescent="0.2">
      <c r="A1437" t="s">
        <v>381</v>
      </c>
      <c r="B1437" s="3">
        <v>44281</v>
      </c>
      <c r="C1437">
        <v>42</v>
      </c>
      <c r="D1437" t="s">
        <v>384</v>
      </c>
      <c r="E1437" t="s">
        <v>70</v>
      </c>
      <c r="F1437" s="9" t="s">
        <v>71</v>
      </c>
      <c r="G1437" t="s">
        <v>26</v>
      </c>
      <c r="H1437" t="s">
        <v>34</v>
      </c>
      <c r="I1437" t="s">
        <v>35</v>
      </c>
      <c r="J1437" t="s">
        <v>29</v>
      </c>
      <c r="K1437" t="s">
        <v>30</v>
      </c>
      <c r="L1437" t="s">
        <v>29</v>
      </c>
      <c r="M1437" t="s">
        <v>30</v>
      </c>
      <c r="N1437" t="s">
        <v>34</v>
      </c>
      <c r="O1437" t="s">
        <v>35</v>
      </c>
      <c r="P1437" t="s">
        <v>29</v>
      </c>
      <c r="Q1437" t="s">
        <v>30</v>
      </c>
      <c r="R1437" s="1">
        <v>44281.434039351851</v>
      </c>
      <c r="S1437" s="1">
        <v>44281.434803240743</v>
      </c>
      <c r="T1437">
        <v>0</v>
      </c>
      <c r="U1437">
        <v>0</v>
      </c>
      <c r="V1437" s="2">
        <v>0</v>
      </c>
      <c r="W1437">
        <v>0</v>
      </c>
      <c r="X1437" t="s">
        <v>37</v>
      </c>
      <c r="Y1437">
        <v>0</v>
      </c>
      <c r="Z1437" t="s">
        <v>37</v>
      </c>
      <c r="AA1437">
        <v>0</v>
      </c>
      <c r="AB1437" t="s">
        <v>37</v>
      </c>
      <c r="AC1437">
        <v>0</v>
      </c>
      <c r="AD1437" t="s">
        <v>31</v>
      </c>
      <c r="AE1437">
        <v>0</v>
      </c>
      <c r="AF1437" t="s">
        <v>31</v>
      </c>
      <c r="AG1437">
        <v>0</v>
      </c>
      <c r="AH1437" t="s">
        <v>31</v>
      </c>
      <c r="AI1437">
        <v>0</v>
      </c>
      <c r="AJ1437" t="s">
        <v>31</v>
      </c>
      <c r="AK1437">
        <v>0</v>
      </c>
      <c r="AL1437" t="s">
        <v>31</v>
      </c>
      <c r="AM1437">
        <v>0</v>
      </c>
      <c r="AN1437" t="s">
        <v>31</v>
      </c>
      <c r="AO1437">
        <v>0</v>
      </c>
      <c r="AP1437" t="s">
        <v>31</v>
      </c>
      <c r="AQ1437">
        <v>0</v>
      </c>
    </row>
    <row r="1438" spans="1:43" x14ac:dyDescent="0.2">
      <c r="A1438" t="s">
        <v>381</v>
      </c>
      <c r="B1438" s="3">
        <v>44284</v>
      </c>
      <c r="C1438">
        <v>43</v>
      </c>
      <c r="D1438" t="s">
        <v>384</v>
      </c>
      <c r="E1438" t="s">
        <v>70</v>
      </c>
      <c r="F1438" s="9" t="s">
        <v>71</v>
      </c>
      <c r="G1438" t="s">
        <v>26</v>
      </c>
      <c r="H1438" t="s">
        <v>34</v>
      </c>
      <c r="I1438" t="s">
        <v>35</v>
      </c>
      <c r="J1438" t="s">
        <v>29</v>
      </c>
      <c r="K1438" t="s">
        <v>30</v>
      </c>
      <c r="L1438" t="s">
        <v>29</v>
      </c>
      <c r="M1438" t="s">
        <v>30</v>
      </c>
      <c r="N1438" t="s">
        <v>34</v>
      </c>
      <c r="O1438" t="s">
        <v>35</v>
      </c>
      <c r="P1438" t="s">
        <v>29</v>
      </c>
      <c r="Q1438" t="s">
        <v>30</v>
      </c>
      <c r="R1438" s="1">
        <v>44284.424398148149</v>
      </c>
      <c r="S1438" s="1">
        <v>44284.425034722219</v>
      </c>
      <c r="T1438">
        <v>0</v>
      </c>
      <c r="U1438">
        <v>0</v>
      </c>
      <c r="V1438" s="2">
        <v>0</v>
      </c>
      <c r="W1438">
        <v>0</v>
      </c>
      <c r="X1438" t="s">
        <v>37</v>
      </c>
      <c r="Y1438">
        <v>0</v>
      </c>
      <c r="Z1438" t="s">
        <v>37</v>
      </c>
      <c r="AA1438">
        <v>0</v>
      </c>
      <c r="AB1438" t="s">
        <v>37</v>
      </c>
      <c r="AC1438">
        <v>0</v>
      </c>
      <c r="AD1438" t="s">
        <v>31</v>
      </c>
      <c r="AE1438">
        <v>0</v>
      </c>
      <c r="AF1438" t="s">
        <v>31</v>
      </c>
      <c r="AG1438">
        <v>0</v>
      </c>
      <c r="AH1438" t="s">
        <v>31</v>
      </c>
      <c r="AI1438">
        <v>0</v>
      </c>
      <c r="AJ1438" t="s">
        <v>31</v>
      </c>
      <c r="AK1438">
        <v>0</v>
      </c>
      <c r="AL1438" t="s">
        <v>31</v>
      </c>
      <c r="AM1438">
        <v>0</v>
      </c>
      <c r="AN1438" t="s">
        <v>31</v>
      </c>
      <c r="AO1438">
        <v>0</v>
      </c>
      <c r="AP1438" t="s">
        <v>31</v>
      </c>
      <c r="AQ1438">
        <v>0</v>
      </c>
    </row>
    <row r="1439" spans="1:43" x14ac:dyDescent="0.2">
      <c r="A1439" t="s">
        <v>381</v>
      </c>
      <c r="B1439" s="3">
        <v>44286</v>
      </c>
      <c r="C1439">
        <v>46</v>
      </c>
      <c r="D1439" t="s">
        <v>384</v>
      </c>
      <c r="E1439" t="s">
        <v>70</v>
      </c>
      <c r="F1439" s="9" t="s">
        <v>71</v>
      </c>
      <c r="G1439" t="s">
        <v>26</v>
      </c>
      <c r="H1439" t="s">
        <v>34</v>
      </c>
      <c r="I1439" t="s">
        <v>35</v>
      </c>
      <c r="J1439" t="s">
        <v>29</v>
      </c>
      <c r="K1439" t="s">
        <v>30</v>
      </c>
      <c r="L1439" t="s">
        <v>29</v>
      </c>
      <c r="M1439" t="s">
        <v>30</v>
      </c>
      <c r="N1439" t="s">
        <v>34</v>
      </c>
      <c r="O1439" t="s">
        <v>35</v>
      </c>
      <c r="P1439" t="s">
        <v>29</v>
      </c>
      <c r="Q1439" t="s">
        <v>30</v>
      </c>
      <c r="R1439" s="1">
        <v>44286.432442129626</v>
      </c>
      <c r="S1439" s="1">
        <v>44286.432442129626</v>
      </c>
      <c r="T1439">
        <v>0</v>
      </c>
      <c r="U1439">
        <v>0</v>
      </c>
      <c r="V1439" s="2">
        <v>0</v>
      </c>
      <c r="W1439">
        <v>0</v>
      </c>
      <c r="X1439" t="s">
        <v>37</v>
      </c>
      <c r="Y1439">
        <v>0</v>
      </c>
      <c r="Z1439" t="s">
        <v>37</v>
      </c>
      <c r="AA1439">
        <v>0</v>
      </c>
      <c r="AB1439" t="s">
        <v>37</v>
      </c>
      <c r="AC1439">
        <v>0</v>
      </c>
      <c r="AD1439" t="s">
        <v>31</v>
      </c>
      <c r="AE1439">
        <v>0</v>
      </c>
      <c r="AF1439" t="s">
        <v>31</v>
      </c>
      <c r="AG1439">
        <v>0</v>
      </c>
      <c r="AH1439" t="s">
        <v>31</v>
      </c>
      <c r="AI1439">
        <v>0</v>
      </c>
      <c r="AJ1439" t="s">
        <v>31</v>
      </c>
      <c r="AK1439">
        <v>0</v>
      </c>
      <c r="AL1439" t="s">
        <v>31</v>
      </c>
      <c r="AM1439">
        <v>0</v>
      </c>
      <c r="AN1439" t="s">
        <v>31</v>
      </c>
      <c r="AO1439">
        <v>0</v>
      </c>
      <c r="AP1439" t="s">
        <v>31</v>
      </c>
      <c r="AQ1439">
        <v>0</v>
      </c>
    </row>
    <row r="1440" spans="1:43" x14ac:dyDescent="0.2">
      <c r="A1440" t="s">
        <v>381</v>
      </c>
      <c r="B1440" s="3">
        <v>44288</v>
      </c>
      <c r="C1440">
        <v>49</v>
      </c>
      <c r="D1440" t="s">
        <v>384</v>
      </c>
      <c r="E1440" t="s">
        <v>70</v>
      </c>
      <c r="F1440" s="9" t="s">
        <v>71</v>
      </c>
      <c r="G1440" t="s">
        <v>26</v>
      </c>
      <c r="H1440" t="s">
        <v>34</v>
      </c>
      <c r="I1440" t="s">
        <v>35</v>
      </c>
      <c r="J1440" t="s">
        <v>29</v>
      </c>
      <c r="K1440" t="s">
        <v>30</v>
      </c>
      <c r="L1440" t="s">
        <v>29</v>
      </c>
      <c r="M1440" t="s">
        <v>30</v>
      </c>
      <c r="N1440" t="s">
        <v>34</v>
      </c>
      <c r="O1440" t="s">
        <v>35</v>
      </c>
      <c r="P1440" t="s">
        <v>29</v>
      </c>
      <c r="Q1440" t="s">
        <v>30</v>
      </c>
      <c r="R1440" s="1">
        <v>44288.38690972222</v>
      </c>
      <c r="S1440" s="1">
        <v>44288.387418981481</v>
      </c>
      <c r="T1440">
        <v>0</v>
      </c>
      <c r="U1440">
        <v>0</v>
      </c>
      <c r="V1440" s="2">
        <v>0</v>
      </c>
      <c r="W1440">
        <v>0</v>
      </c>
      <c r="X1440" t="s">
        <v>37</v>
      </c>
      <c r="Y1440">
        <v>0</v>
      </c>
      <c r="Z1440" t="s">
        <v>37</v>
      </c>
      <c r="AA1440">
        <v>0</v>
      </c>
      <c r="AB1440" t="s">
        <v>37</v>
      </c>
      <c r="AC1440">
        <v>0</v>
      </c>
      <c r="AD1440" t="s">
        <v>31</v>
      </c>
      <c r="AE1440">
        <v>0</v>
      </c>
      <c r="AF1440" t="s">
        <v>31</v>
      </c>
      <c r="AG1440">
        <v>0</v>
      </c>
      <c r="AH1440" t="s">
        <v>31</v>
      </c>
      <c r="AI1440">
        <v>0</v>
      </c>
      <c r="AJ1440" t="s">
        <v>31</v>
      </c>
      <c r="AK1440">
        <v>0</v>
      </c>
      <c r="AL1440" t="s">
        <v>31</v>
      </c>
      <c r="AM1440">
        <v>0</v>
      </c>
      <c r="AN1440" t="s">
        <v>31</v>
      </c>
      <c r="AO1440">
        <v>0</v>
      </c>
      <c r="AP1440" t="s">
        <v>31</v>
      </c>
      <c r="AQ1440">
        <v>0</v>
      </c>
    </row>
    <row r="1441" spans="1:43" x14ac:dyDescent="0.2">
      <c r="A1441" t="s">
        <v>381</v>
      </c>
      <c r="B1441" s="3">
        <v>44291</v>
      </c>
      <c r="C1441">
        <v>50</v>
      </c>
      <c r="D1441" t="s">
        <v>384</v>
      </c>
      <c r="E1441" t="s">
        <v>70</v>
      </c>
      <c r="F1441" s="9" t="s">
        <v>71</v>
      </c>
      <c r="G1441" t="s">
        <v>26</v>
      </c>
      <c r="H1441" t="s">
        <v>34</v>
      </c>
      <c r="I1441" t="s">
        <v>35</v>
      </c>
      <c r="J1441" t="s">
        <v>29</v>
      </c>
      <c r="K1441" t="s">
        <v>30</v>
      </c>
      <c r="L1441" t="s">
        <v>29</v>
      </c>
      <c r="M1441" t="s">
        <v>30</v>
      </c>
      <c r="N1441" t="s">
        <v>34</v>
      </c>
      <c r="O1441" t="s">
        <v>35</v>
      </c>
      <c r="P1441" t="s">
        <v>29</v>
      </c>
      <c r="Q1441" t="s">
        <v>30</v>
      </c>
      <c r="R1441" s="1">
        <v>44291.408680555556</v>
      </c>
      <c r="S1441" s="1">
        <v>44291.408692129633</v>
      </c>
      <c r="T1441">
        <v>1</v>
      </c>
      <c r="U1441">
        <v>1</v>
      </c>
      <c r="V1441" s="2">
        <v>1</v>
      </c>
      <c r="W1441">
        <v>0</v>
      </c>
      <c r="X1441" t="s">
        <v>37</v>
      </c>
      <c r="Y1441">
        <v>0</v>
      </c>
      <c r="Z1441" t="s">
        <v>37</v>
      </c>
      <c r="AA1441">
        <v>0</v>
      </c>
      <c r="AB1441" t="s">
        <v>30</v>
      </c>
      <c r="AC1441">
        <v>0</v>
      </c>
      <c r="AD1441" t="s">
        <v>31</v>
      </c>
      <c r="AE1441">
        <v>0</v>
      </c>
      <c r="AF1441" t="s">
        <v>31</v>
      </c>
      <c r="AG1441">
        <v>0</v>
      </c>
      <c r="AH1441" t="s">
        <v>31</v>
      </c>
      <c r="AI1441">
        <v>0</v>
      </c>
      <c r="AJ1441" t="s">
        <v>31</v>
      </c>
      <c r="AK1441">
        <v>0</v>
      </c>
      <c r="AL1441" t="s">
        <v>31</v>
      </c>
      <c r="AM1441">
        <v>0</v>
      </c>
      <c r="AN1441" t="s">
        <v>31</v>
      </c>
      <c r="AO1441">
        <v>0</v>
      </c>
      <c r="AP1441" t="s">
        <v>31</v>
      </c>
      <c r="AQ1441">
        <v>0</v>
      </c>
    </row>
    <row r="1442" spans="1:43" x14ac:dyDescent="0.2">
      <c r="A1442" t="s">
        <v>381</v>
      </c>
      <c r="B1442" s="3">
        <v>44293</v>
      </c>
      <c r="C1442">
        <v>53</v>
      </c>
      <c r="D1442" t="s">
        <v>384</v>
      </c>
      <c r="E1442" t="s">
        <v>70</v>
      </c>
      <c r="F1442" s="9" t="s">
        <v>71</v>
      </c>
      <c r="G1442" t="s">
        <v>26</v>
      </c>
      <c r="H1442" t="s">
        <v>34</v>
      </c>
      <c r="I1442" t="s">
        <v>35</v>
      </c>
      <c r="J1442" t="s">
        <v>29</v>
      </c>
      <c r="K1442" t="s">
        <v>30</v>
      </c>
      <c r="L1442" t="s">
        <v>29</v>
      </c>
      <c r="M1442" t="s">
        <v>30</v>
      </c>
      <c r="N1442" t="s">
        <v>34</v>
      </c>
      <c r="O1442" t="s">
        <v>35</v>
      </c>
      <c r="P1442" t="s">
        <v>29</v>
      </c>
      <c r="Q1442" t="s">
        <v>30</v>
      </c>
      <c r="R1442" s="1">
        <v>44293.41265046296</v>
      </c>
      <c r="S1442" s="1">
        <v>44293.412662037037</v>
      </c>
      <c r="T1442">
        <v>0</v>
      </c>
      <c r="U1442">
        <v>0</v>
      </c>
      <c r="V1442" s="2">
        <v>0</v>
      </c>
      <c r="W1442">
        <v>0</v>
      </c>
      <c r="X1442" t="s">
        <v>37</v>
      </c>
      <c r="Y1442">
        <v>0</v>
      </c>
      <c r="Z1442" t="s">
        <v>37</v>
      </c>
      <c r="AA1442">
        <v>0</v>
      </c>
      <c r="AB1442" t="s">
        <v>37</v>
      </c>
      <c r="AC1442">
        <v>0</v>
      </c>
      <c r="AD1442" t="s">
        <v>31</v>
      </c>
      <c r="AE1442">
        <v>0</v>
      </c>
      <c r="AF1442" t="s">
        <v>31</v>
      </c>
      <c r="AG1442">
        <v>0</v>
      </c>
      <c r="AH1442" t="s">
        <v>31</v>
      </c>
      <c r="AI1442">
        <v>0</v>
      </c>
      <c r="AJ1442" t="s">
        <v>31</v>
      </c>
      <c r="AK1442">
        <v>0</v>
      </c>
      <c r="AL1442" t="s">
        <v>31</v>
      </c>
      <c r="AM1442">
        <v>0</v>
      </c>
      <c r="AN1442" t="s">
        <v>31</v>
      </c>
      <c r="AO1442">
        <v>0</v>
      </c>
      <c r="AP1442" t="s">
        <v>31</v>
      </c>
      <c r="AQ1442">
        <v>0</v>
      </c>
    </row>
    <row r="1443" spans="1:43" x14ac:dyDescent="0.2">
      <c r="A1443" t="s">
        <v>381</v>
      </c>
      <c r="B1443" s="3">
        <v>44295</v>
      </c>
      <c r="C1443">
        <v>56</v>
      </c>
      <c r="D1443" t="s">
        <v>384</v>
      </c>
      <c r="E1443" t="s">
        <v>70</v>
      </c>
      <c r="F1443" s="9" t="s">
        <v>71</v>
      </c>
      <c r="G1443" t="s">
        <v>26</v>
      </c>
      <c r="H1443" t="s">
        <v>34</v>
      </c>
      <c r="I1443" t="s">
        <v>35</v>
      </c>
      <c r="J1443" t="s">
        <v>29</v>
      </c>
      <c r="K1443" t="s">
        <v>30</v>
      </c>
      <c r="L1443" t="s">
        <v>29</v>
      </c>
      <c r="M1443" t="s">
        <v>30</v>
      </c>
      <c r="N1443" t="s">
        <v>34</v>
      </c>
      <c r="O1443" t="s">
        <v>35</v>
      </c>
      <c r="P1443" t="s">
        <v>29</v>
      </c>
      <c r="Q1443" t="s">
        <v>30</v>
      </c>
      <c r="R1443" s="1">
        <v>44295.418749999997</v>
      </c>
      <c r="S1443" s="1">
        <v>44295.41914351852</v>
      </c>
      <c r="T1443">
        <v>0</v>
      </c>
      <c r="U1443">
        <v>0</v>
      </c>
      <c r="V1443" s="2">
        <v>0</v>
      </c>
      <c r="W1443">
        <v>0</v>
      </c>
      <c r="X1443" t="s">
        <v>37</v>
      </c>
      <c r="Y1443">
        <v>0</v>
      </c>
      <c r="Z1443" t="s">
        <v>37</v>
      </c>
      <c r="AA1443">
        <v>0</v>
      </c>
      <c r="AB1443" t="s">
        <v>37</v>
      </c>
      <c r="AC1443">
        <v>0</v>
      </c>
      <c r="AD1443" t="s">
        <v>31</v>
      </c>
      <c r="AE1443">
        <v>0</v>
      </c>
      <c r="AF1443" t="s">
        <v>31</v>
      </c>
      <c r="AG1443">
        <v>0</v>
      </c>
      <c r="AH1443" t="s">
        <v>31</v>
      </c>
      <c r="AI1443">
        <v>0</v>
      </c>
      <c r="AJ1443" t="s">
        <v>31</v>
      </c>
      <c r="AK1443">
        <v>0</v>
      </c>
      <c r="AL1443" t="s">
        <v>31</v>
      </c>
      <c r="AM1443">
        <v>0</v>
      </c>
      <c r="AN1443" t="s">
        <v>31</v>
      </c>
      <c r="AO1443">
        <v>0</v>
      </c>
      <c r="AP1443" t="s">
        <v>31</v>
      </c>
      <c r="AQ1443">
        <v>0</v>
      </c>
    </row>
    <row r="1444" spans="1:43" x14ac:dyDescent="0.2">
      <c r="A1444" t="s">
        <v>381</v>
      </c>
      <c r="B1444" s="3">
        <v>44313</v>
      </c>
      <c r="C1444">
        <v>76</v>
      </c>
      <c r="D1444" t="s">
        <v>385</v>
      </c>
      <c r="E1444" t="s">
        <v>70</v>
      </c>
      <c r="F1444" s="9" t="s">
        <v>71</v>
      </c>
      <c r="G1444" t="s">
        <v>26</v>
      </c>
      <c r="H1444" t="s">
        <v>34</v>
      </c>
      <c r="I1444" t="s">
        <v>35</v>
      </c>
      <c r="J1444" t="s">
        <v>29</v>
      </c>
      <c r="K1444" t="s">
        <v>30</v>
      </c>
      <c r="L1444" t="s">
        <v>29</v>
      </c>
      <c r="M1444" t="s">
        <v>30</v>
      </c>
      <c r="N1444" t="s">
        <v>34</v>
      </c>
      <c r="O1444" t="s">
        <v>35</v>
      </c>
      <c r="P1444" t="s">
        <v>29</v>
      </c>
      <c r="Q1444" t="s">
        <v>30</v>
      </c>
      <c r="R1444" s="1">
        <v>44313.637453703705</v>
      </c>
      <c r="S1444" s="1">
        <v>44313.64166666667</v>
      </c>
      <c r="T1444">
        <v>0</v>
      </c>
      <c r="U1444">
        <v>2</v>
      </c>
      <c r="V1444" s="2">
        <v>0</v>
      </c>
      <c r="W1444">
        <v>0</v>
      </c>
      <c r="X1444" t="s">
        <v>44</v>
      </c>
      <c r="Y1444">
        <v>0</v>
      </c>
      <c r="Z1444" t="s">
        <v>37</v>
      </c>
      <c r="AA1444">
        <v>0</v>
      </c>
      <c r="AB1444" t="s">
        <v>44</v>
      </c>
      <c r="AC1444">
        <v>0</v>
      </c>
      <c r="AD1444" t="s">
        <v>37</v>
      </c>
      <c r="AE1444">
        <v>0</v>
      </c>
      <c r="AF1444" t="s">
        <v>37</v>
      </c>
      <c r="AG1444">
        <v>0</v>
      </c>
      <c r="AH1444" t="s">
        <v>31</v>
      </c>
      <c r="AI1444">
        <v>0</v>
      </c>
      <c r="AJ1444" t="s">
        <v>31</v>
      </c>
      <c r="AK1444">
        <v>0</v>
      </c>
      <c r="AL1444" t="s">
        <v>31</v>
      </c>
      <c r="AM1444">
        <v>0</v>
      </c>
      <c r="AN1444" t="s">
        <v>31</v>
      </c>
      <c r="AO1444">
        <v>0</v>
      </c>
      <c r="AP1444" t="s">
        <v>31</v>
      </c>
      <c r="AQ1444">
        <v>0</v>
      </c>
    </row>
    <row r="1445" spans="1:43" x14ac:dyDescent="0.2">
      <c r="A1445" t="s">
        <v>381</v>
      </c>
      <c r="B1445" s="3">
        <v>44320</v>
      </c>
      <c r="C1445">
        <v>86</v>
      </c>
      <c r="D1445" t="s">
        <v>412</v>
      </c>
      <c r="E1445" t="s">
        <v>70</v>
      </c>
      <c r="F1445" s="9" t="s">
        <v>71</v>
      </c>
      <c r="G1445" t="s">
        <v>26</v>
      </c>
      <c r="H1445" t="s">
        <v>34</v>
      </c>
      <c r="I1445" t="s">
        <v>35</v>
      </c>
      <c r="J1445" t="s">
        <v>29</v>
      </c>
      <c r="K1445" t="s">
        <v>30</v>
      </c>
      <c r="L1445" t="s">
        <v>29</v>
      </c>
      <c r="M1445" t="s">
        <v>30</v>
      </c>
      <c r="N1445" t="s">
        <v>34</v>
      </c>
      <c r="O1445" t="s">
        <v>35</v>
      </c>
      <c r="P1445" t="s">
        <v>29</v>
      </c>
      <c r="Q1445" t="s">
        <v>30</v>
      </c>
      <c r="R1445" s="1">
        <v>44320.426921296297</v>
      </c>
      <c r="S1445" s="1">
        <v>44320.450439814813</v>
      </c>
      <c r="T1445">
        <v>0</v>
      </c>
      <c r="U1445">
        <v>3</v>
      </c>
      <c r="V1445" s="2">
        <v>0</v>
      </c>
      <c r="W1445">
        <v>0</v>
      </c>
      <c r="X1445" t="s">
        <v>44</v>
      </c>
      <c r="Y1445">
        <v>0</v>
      </c>
      <c r="Z1445" t="s">
        <v>44</v>
      </c>
      <c r="AA1445">
        <v>0</v>
      </c>
      <c r="AB1445" t="s">
        <v>44</v>
      </c>
      <c r="AC1445">
        <v>0</v>
      </c>
      <c r="AD1445" t="s">
        <v>31</v>
      </c>
      <c r="AE1445">
        <v>0</v>
      </c>
      <c r="AF1445" t="s">
        <v>31</v>
      </c>
      <c r="AG1445">
        <v>0</v>
      </c>
      <c r="AH1445" t="s">
        <v>31</v>
      </c>
      <c r="AI1445">
        <v>0</v>
      </c>
      <c r="AJ1445" t="s">
        <v>31</v>
      </c>
      <c r="AK1445">
        <v>0</v>
      </c>
      <c r="AL1445" t="s">
        <v>31</v>
      </c>
      <c r="AM1445">
        <v>0</v>
      </c>
      <c r="AN1445" t="s">
        <v>31</v>
      </c>
      <c r="AO1445">
        <v>0</v>
      </c>
      <c r="AP1445" t="s">
        <v>31</v>
      </c>
      <c r="AQ1445">
        <v>0</v>
      </c>
    </row>
    <row r="1446" spans="1:43" x14ac:dyDescent="0.2">
      <c r="A1446" t="s">
        <v>381</v>
      </c>
      <c r="B1446" s="3">
        <v>44321</v>
      </c>
      <c r="C1446">
        <v>89</v>
      </c>
      <c r="D1446" t="s">
        <v>387</v>
      </c>
      <c r="E1446" t="s">
        <v>70</v>
      </c>
      <c r="F1446" s="9" t="s">
        <v>71</v>
      </c>
      <c r="G1446" t="s">
        <v>26</v>
      </c>
      <c r="H1446" t="s">
        <v>34</v>
      </c>
      <c r="I1446" t="s">
        <v>35</v>
      </c>
      <c r="J1446" t="s">
        <v>29</v>
      </c>
      <c r="K1446" t="s">
        <v>30</v>
      </c>
      <c r="L1446" t="s">
        <v>29</v>
      </c>
      <c r="M1446" t="s">
        <v>30</v>
      </c>
      <c r="N1446" t="s">
        <v>34</v>
      </c>
      <c r="O1446" t="s">
        <v>35</v>
      </c>
      <c r="P1446" t="s">
        <v>29</v>
      </c>
      <c r="Q1446" t="s">
        <v>30</v>
      </c>
      <c r="R1446" s="1">
        <v>44321.628900462965</v>
      </c>
      <c r="S1446" s="1">
        <v>44321.62908564815</v>
      </c>
      <c r="T1446">
        <v>0</v>
      </c>
      <c r="U1446">
        <v>1</v>
      </c>
      <c r="V1446" s="2">
        <v>0</v>
      </c>
      <c r="W1446">
        <v>0</v>
      </c>
      <c r="X1446" t="s">
        <v>44</v>
      </c>
      <c r="Y1446">
        <v>0</v>
      </c>
      <c r="Z1446" t="s">
        <v>37</v>
      </c>
      <c r="AA1446">
        <v>0</v>
      </c>
      <c r="AB1446" t="s">
        <v>37</v>
      </c>
      <c r="AC1446">
        <v>0</v>
      </c>
      <c r="AD1446" t="s">
        <v>37</v>
      </c>
      <c r="AE1446">
        <v>0</v>
      </c>
      <c r="AF1446" t="s">
        <v>31</v>
      </c>
      <c r="AG1446">
        <v>0</v>
      </c>
      <c r="AH1446" t="s">
        <v>31</v>
      </c>
      <c r="AI1446">
        <v>0</v>
      </c>
      <c r="AJ1446" t="s">
        <v>31</v>
      </c>
      <c r="AK1446">
        <v>0</v>
      </c>
      <c r="AL1446" t="s">
        <v>31</v>
      </c>
      <c r="AM1446">
        <v>0</v>
      </c>
      <c r="AN1446" t="s">
        <v>31</v>
      </c>
      <c r="AO1446">
        <v>0</v>
      </c>
      <c r="AP1446" t="s">
        <v>31</v>
      </c>
      <c r="AQ1446">
        <v>0</v>
      </c>
    </row>
    <row r="1447" spans="1:43" x14ac:dyDescent="0.2">
      <c r="A1447" t="s">
        <v>381</v>
      </c>
      <c r="B1447" s="3">
        <v>44336</v>
      </c>
      <c r="C1447">
        <v>103</v>
      </c>
      <c r="D1447" t="s">
        <v>385</v>
      </c>
      <c r="E1447" t="s">
        <v>70</v>
      </c>
      <c r="F1447" s="9" t="s">
        <v>71</v>
      </c>
      <c r="G1447" t="s">
        <v>26</v>
      </c>
      <c r="H1447" t="s">
        <v>34</v>
      </c>
      <c r="I1447" t="s">
        <v>35</v>
      </c>
      <c r="J1447" t="s">
        <v>29</v>
      </c>
      <c r="K1447" t="s">
        <v>30</v>
      </c>
      <c r="L1447" t="s">
        <v>29</v>
      </c>
      <c r="M1447" t="s">
        <v>30</v>
      </c>
      <c r="N1447" t="s">
        <v>34</v>
      </c>
      <c r="O1447" t="s">
        <v>35</v>
      </c>
      <c r="P1447" t="s">
        <v>29</v>
      </c>
      <c r="Q1447" t="s">
        <v>30</v>
      </c>
      <c r="R1447" s="1">
        <v>44336.636597222219</v>
      </c>
      <c r="S1447" s="1">
        <v>44336.636608796296</v>
      </c>
      <c r="T1447">
        <v>0</v>
      </c>
      <c r="U1447">
        <v>0</v>
      </c>
      <c r="V1447" s="2">
        <v>0</v>
      </c>
      <c r="W1447">
        <v>0</v>
      </c>
      <c r="X1447" t="s">
        <v>37</v>
      </c>
      <c r="Y1447">
        <v>0</v>
      </c>
      <c r="Z1447" t="s">
        <v>37</v>
      </c>
      <c r="AA1447">
        <v>0</v>
      </c>
      <c r="AB1447" t="s">
        <v>37</v>
      </c>
      <c r="AC1447">
        <v>0</v>
      </c>
      <c r="AD1447" t="s">
        <v>37</v>
      </c>
      <c r="AE1447">
        <v>0</v>
      </c>
      <c r="AF1447" t="s">
        <v>31</v>
      </c>
      <c r="AG1447">
        <v>0</v>
      </c>
      <c r="AH1447" t="s">
        <v>31</v>
      </c>
      <c r="AI1447">
        <v>0</v>
      </c>
      <c r="AJ1447" t="s">
        <v>31</v>
      </c>
      <c r="AK1447">
        <v>0</v>
      </c>
      <c r="AL1447" t="s">
        <v>31</v>
      </c>
      <c r="AM1447">
        <v>0</v>
      </c>
      <c r="AN1447" t="s">
        <v>31</v>
      </c>
      <c r="AO1447">
        <v>0</v>
      </c>
      <c r="AP1447" t="s">
        <v>31</v>
      </c>
      <c r="AQ1447">
        <v>0</v>
      </c>
    </row>
    <row r="1448" spans="1:43" x14ac:dyDescent="0.2">
      <c r="A1448" t="s">
        <v>381</v>
      </c>
      <c r="B1448" s="3">
        <v>44338</v>
      </c>
      <c r="C1448">
        <v>107</v>
      </c>
      <c r="D1448" t="s">
        <v>392</v>
      </c>
      <c r="E1448" t="s">
        <v>70</v>
      </c>
      <c r="F1448" s="9" t="s">
        <v>71</v>
      </c>
      <c r="G1448" t="s">
        <v>26</v>
      </c>
      <c r="H1448" t="s">
        <v>34</v>
      </c>
      <c r="I1448" t="s">
        <v>35</v>
      </c>
      <c r="J1448" t="s">
        <v>29</v>
      </c>
      <c r="K1448" t="s">
        <v>30</v>
      </c>
      <c r="L1448" t="s">
        <v>29</v>
      </c>
      <c r="M1448" t="s">
        <v>30</v>
      </c>
      <c r="N1448" t="s">
        <v>34</v>
      </c>
      <c r="O1448" t="s">
        <v>35</v>
      </c>
      <c r="P1448" t="s">
        <v>29</v>
      </c>
      <c r="Q1448" t="s">
        <v>30</v>
      </c>
      <c r="R1448" s="1">
        <v>44338.55972222222</v>
      </c>
      <c r="S1448" s="1">
        <v>44338.559884259259</v>
      </c>
      <c r="T1448">
        <v>0</v>
      </c>
      <c r="U1448">
        <v>2</v>
      </c>
      <c r="V1448" s="2">
        <v>0</v>
      </c>
      <c r="W1448">
        <v>0</v>
      </c>
      <c r="X1448" t="s">
        <v>37</v>
      </c>
      <c r="Y1448">
        <v>0</v>
      </c>
      <c r="Z1448" t="s">
        <v>44</v>
      </c>
      <c r="AA1448">
        <v>0</v>
      </c>
      <c r="AB1448" t="s">
        <v>44</v>
      </c>
      <c r="AC1448">
        <v>0</v>
      </c>
      <c r="AD1448" t="s">
        <v>37</v>
      </c>
      <c r="AE1448">
        <v>0</v>
      </c>
      <c r="AF1448" t="s">
        <v>37</v>
      </c>
      <c r="AG1448">
        <v>0</v>
      </c>
      <c r="AH1448" t="s">
        <v>31</v>
      </c>
      <c r="AI1448">
        <v>0</v>
      </c>
      <c r="AJ1448" t="s">
        <v>31</v>
      </c>
      <c r="AK1448">
        <v>0</v>
      </c>
      <c r="AL1448" t="s">
        <v>31</v>
      </c>
      <c r="AM1448">
        <v>0</v>
      </c>
      <c r="AN1448" t="s">
        <v>31</v>
      </c>
      <c r="AO1448">
        <v>0</v>
      </c>
      <c r="AP1448" t="s">
        <v>31</v>
      </c>
      <c r="AQ1448">
        <v>0</v>
      </c>
    </row>
    <row r="1449" spans="1:43" x14ac:dyDescent="0.2">
      <c r="A1449" t="s">
        <v>381</v>
      </c>
      <c r="B1449" s="3">
        <v>44340</v>
      </c>
      <c r="C1449">
        <v>108</v>
      </c>
      <c r="D1449" t="s">
        <v>393</v>
      </c>
      <c r="E1449" t="s">
        <v>70</v>
      </c>
      <c r="F1449" s="9" t="s">
        <v>71</v>
      </c>
      <c r="G1449" t="s">
        <v>26</v>
      </c>
      <c r="H1449" t="s">
        <v>34</v>
      </c>
      <c r="I1449" t="s">
        <v>35</v>
      </c>
      <c r="J1449" t="s">
        <v>29</v>
      </c>
      <c r="K1449" t="s">
        <v>30</v>
      </c>
      <c r="L1449" t="s">
        <v>29</v>
      </c>
      <c r="M1449" t="s">
        <v>30</v>
      </c>
      <c r="N1449" t="s">
        <v>34</v>
      </c>
      <c r="O1449" t="s">
        <v>35</v>
      </c>
      <c r="P1449" t="s">
        <v>29</v>
      </c>
      <c r="Q1449" t="s">
        <v>30</v>
      </c>
      <c r="R1449" s="1">
        <v>44340.459108796298</v>
      </c>
      <c r="S1449" s="1">
        <v>44340.459675925929</v>
      </c>
      <c r="T1449">
        <v>1</v>
      </c>
      <c r="U1449">
        <v>2</v>
      </c>
      <c r="V1449" s="2">
        <v>0.5</v>
      </c>
      <c r="W1449">
        <v>0</v>
      </c>
      <c r="X1449" t="s">
        <v>44</v>
      </c>
      <c r="Y1449">
        <v>0</v>
      </c>
      <c r="Z1449" t="s">
        <v>37</v>
      </c>
      <c r="AA1449">
        <v>0</v>
      </c>
      <c r="AB1449" t="s">
        <v>37</v>
      </c>
      <c r="AC1449">
        <v>0</v>
      </c>
      <c r="AD1449" t="s">
        <v>37</v>
      </c>
      <c r="AE1449">
        <v>0</v>
      </c>
      <c r="AF1449" t="s">
        <v>30</v>
      </c>
      <c r="AG1449">
        <v>0</v>
      </c>
      <c r="AH1449" t="s">
        <v>31</v>
      </c>
      <c r="AI1449">
        <v>0</v>
      </c>
      <c r="AJ1449" t="s">
        <v>31</v>
      </c>
      <c r="AK1449">
        <v>0</v>
      </c>
      <c r="AL1449" t="s">
        <v>31</v>
      </c>
      <c r="AM1449">
        <v>0</v>
      </c>
      <c r="AN1449" t="s">
        <v>31</v>
      </c>
      <c r="AO1449">
        <v>0</v>
      </c>
      <c r="AP1449" t="s">
        <v>31</v>
      </c>
      <c r="AQ1449">
        <v>0</v>
      </c>
    </row>
    <row r="1450" spans="1:43" x14ac:dyDescent="0.2">
      <c r="A1450" t="s">
        <v>381</v>
      </c>
      <c r="B1450" s="3">
        <v>44341</v>
      </c>
      <c r="C1450">
        <v>110</v>
      </c>
      <c r="D1450" t="s">
        <v>383</v>
      </c>
      <c r="E1450" t="s">
        <v>70</v>
      </c>
      <c r="F1450" s="9" t="s">
        <v>71</v>
      </c>
      <c r="G1450" t="s">
        <v>26</v>
      </c>
      <c r="H1450" t="s">
        <v>34</v>
      </c>
      <c r="I1450" t="s">
        <v>35</v>
      </c>
      <c r="J1450" t="s">
        <v>29</v>
      </c>
      <c r="K1450" t="s">
        <v>30</v>
      </c>
      <c r="L1450" t="s">
        <v>29</v>
      </c>
      <c r="M1450" t="s">
        <v>30</v>
      </c>
      <c r="N1450" t="s">
        <v>34</v>
      </c>
      <c r="O1450" t="s">
        <v>35</v>
      </c>
      <c r="P1450" t="s">
        <v>29</v>
      </c>
      <c r="Q1450" t="s">
        <v>30</v>
      </c>
      <c r="R1450" s="1">
        <v>44341.463078703702</v>
      </c>
      <c r="S1450" s="1">
        <v>44341.466435185182</v>
      </c>
      <c r="T1450">
        <v>0</v>
      </c>
      <c r="U1450">
        <v>3</v>
      </c>
      <c r="V1450" s="2">
        <v>0</v>
      </c>
      <c r="W1450">
        <v>0</v>
      </c>
      <c r="X1450" t="s">
        <v>44</v>
      </c>
      <c r="Y1450">
        <v>0</v>
      </c>
      <c r="Z1450" t="s">
        <v>44</v>
      </c>
      <c r="AA1450">
        <v>0</v>
      </c>
      <c r="AB1450" t="s">
        <v>44</v>
      </c>
      <c r="AC1450">
        <v>0</v>
      </c>
      <c r="AD1450" t="s">
        <v>31</v>
      </c>
      <c r="AE1450">
        <v>0</v>
      </c>
      <c r="AF1450" t="s">
        <v>31</v>
      </c>
      <c r="AG1450">
        <v>0</v>
      </c>
      <c r="AH1450" t="s">
        <v>31</v>
      </c>
      <c r="AI1450">
        <v>0</v>
      </c>
      <c r="AJ1450" t="s">
        <v>31</v>
      </c>
      <c r="AK1450">
        <v>0</v>
      </c>
      <c r="AL1450" t="s">
        <v>31</v>
      </c>
      <c r="AM1450">
        <v>0</v>
      </c>
      <c r="AN1450" t="s">
        <v>31</v>
      </c>
      <c r="AO1450">
        <v>0</v>
      </c>
      <c r="AP1450" t="s">
        <v>31</v>
      </c>
      <c r="AQ1450">
        <v>0</v>
      </c>
    </row>
    <row r="1451" spans="1:43" x14ac:dyDescent="0.2">
      <c r="A1451" t="s">
        <v>381</v>
      </c>
      <c r="B1451" s="3">
        <v>44344</v>
      </c>
      <c r="C1451">
        <v>116</v>
      </c>
      <c r="D1451" t="s">
        <v>390</v>
      </c>
      <c r="E1451" t="s">
        <v>70</v>
      </c>
      <c r="F1451" s="9" t="s">
        <v>71</v>
      </c>
      <c r="G1451" t="s">
        <v>26</v>
      </c>
      <c r="H1451" t="s">
        <v>34</v>
      </c>
      <c r="I1451" t="s">
        <v>35</v>
      </c>
      <c r="J1451" t="s">
        <v>29</v>
      </c>
      <c r="K1451" t="s">
        <v>30</v>
      </c>
      <c r="L1451" t="s">
        <v>29</v>
      </c>
      <c r="M1451" t="s">
        <v>30</v>
      </c>
      <c r="N1451" t="s">
        <v>34</v>
      </c>
      <c r="O1451" t="s">
        <v>35</v>
      </c>
      <c r="P1451" t="s">
        <v>29</v>
      </c>
      <c r="Q1451" t="s">
        <v>30</v>
      </c>
      <c r="R1451" s="1">
        <v>44344.467303240737</v>
      </c>
      <c r="S1451" s="1">
        <v>44344.46738425926</v>
      </c>
      <c r="T1451">
        <v>1</v>
      </c>
      <c r="U1451">
        <v>1</v>
      </c>
      <c r="V1451" s="2">
        <v>1</v>
      </c>
      <c r="W1451">
        <v>0</v>
      </c>
      <c r="X1451" t="s">
        <v>30</v>
      </c>
      <c r="Y1451">
        <v>0</v>
      </c>
      <c r="Z1451" t="s">
        <v>31</v>
      </c>
      <c r="AA1451">
        <v>0</v>
      </c>
      <c r="AB1451" t="s">
        <v>31</v>
      </c>
      <c r="AC1451">
        <v>0</v>
      </c>
      <c r="AD1451" t="s">
        <v>31</v>
      </c>
      <c r="AE1451">
        <v>0</v>
      </c>
      <c r="AF1451" t="s">
        <v>31</v>
      </c>
      <c r="AG1451">
        <v>0</v>
      </c>
      <c r="AH1451" t="s">
        <v>31</v>
      </c>
      <c r="AI1451">
        <v>0</v>
      </c>
      <c r="AJ1451" t="s">
        <v>31</v>
      </c>
      <c r="AK1451">
        <v>0</v>
      </c>
      <c r="AL1451" t="s">
        <v>31</v>
      </c>
      <c r="AM1451">
        <v>0</v>
      </c>
      <c r="AN1451" t="s">
        <v>31</v>
      </c>
      <c r="AO1451">
        <v>0</v>
      </c>
      <c r="AP1451" t="s">
        <v>31</v>
      </c>
      <c r="AQ1451">
        <v>0</v>
      </c>
    </row>
    <row r="1452" spans="1:43" x14ac:dyDescent="0.2">
      <c r="A1452" t="s">
        <v>381</v>
      </c>
      <c r="B1452" s="3">
        <v>44348</v>
      </c>
      <c r="C1452">
        <v>118</v>
      </c>
      <c r="D1452" t="s">
        <v>396</v>
      </c>
      <c r="E1452" t="s">
        <v>70</v>
      </c>
      <c r="F1452" s="9" t="s">
        <v>71</v>
      </c>
      <c r="G1452" t="s">
        <v>26</v>
      </c>
      <c r="H1452" t="s">
        <v>34</v>
      </c>
      <c r="I1452" t="s">
        <v>35</v>
      </c>
      <c r="J1452" t="s">
        <v>29</v>
      </c>
      <c r="K1452" t="s">
        <v>30</v>
      </c>
      <c r="L1452" t="s">
        <v>29</v>
      </c>
      <c r="M1452" t="s">
        <v>30</v>
      </c>
      <c r="N1452" t="s">
        <v>34</v>
      </c>
      <c r="O1452" t="s">
        <v>35</v>
      </c>
      <c r="P1452" t="s">
        <v>29</v>
      </c>
      <c r="Q1452" t="s">
        <v>30</v>
      </c>
      <c r="R1452" s="1">
        <v>44348.480219907404</v>
      </c>
      <c r="S1452" s="1">
        <v>44348.482268518521</v>
      </c>
      <c r="T1452">
        <v>0</v>
      </c>
      <c r="U1452">
        <v>0</v>
      </c>
      <c r="V1452" s="2">
        <v>0</v>
      </c>
      <c r="W1452">
        <v>0</v>
      </c>
      <c r="X1452" t="s">
        <v>37</v>
      </c>
      <c r="Y1452">
        <v>0</v>
      </c>
      <c r="Z1452" t="s">
        <v>31</v>
      </c>
      <c r="AA1452">
        <v>0</v>
      </c>
      <c r="AB1452" t="s">
        <v>31</v>
      </c>
      <c r="AC1452">
        <v>0</v>
      </c>
      <c r="AD1452" t="s">
        <v>31</v>
      </c>
      <c r="AE1452">
        <v>0</v>
      </c>
      <c r="AF1452" t="s">
        <v>31</v>
      </c>
      <c r="AG1452">
        <v>0</v>
      </c>
      <c r="AH1452" t="s">
        <v>31</v>
      </c>
      <c r="AI1452">
        <v>0</v>
      </c>
      <c r="AJ1452" t="s">
        <v>31</v>
      </c>
      <c r="AK1452">
        <v>0</v>
      </c>
      <c r="AL1452" t="s">
        <v>31</v>
      </c>
      <c r="AM1452">
        <v>0</v>
      </c>
      <c r="AN1452" t="s">
        <v>31</v>
      </c>
      <c r="AO1452">
        <v>0</v>
      </c>
      <c r="AP1452" t="s">
        <v>31</v>
      </c>
      <c r="AQ1452">
        <v>0</v>
      </c>
    </row>
    <row r="1453" spans="1:43" x14ac:dyDescent="0.2">
      <c r="A1453" t="s">
        <v>381</v>
      </c>
      <c r="B1453" s="3">
        <v>44350</v>
      </c>
      <c r="C1453">
        <v>123</v>
      </c>
      <c r="D1453" t="s">
        <v>382</v>
      </c>
      <c r="E1453" t="s">
        <v>70</v>
      </c>
      <c r="F1453" s="9" t="s">
        <v>71</v>
      </c>
      <c r="G1453" t="s">
        <v>26</v>
      </c>
      <c r="H1453" t="s">
        <v>34</v>
      </c>
      <c r="I1453" t="s">
        <v>35</v>
      </c>
      <c r="J1453" t="s">
        <v>29</v>
      </c>
      <c r="K1453" t="s">
        <v>30</v>
      </c>
      <c r="L1453" t="s">
        <v>29</v>
      </c>
      <c r="M1453" t="s">
        <v>30</v>
      </c>
      <c r="N1453" t="s">
        <v>34</v>
      </c>
      <c r="O1453" t="s">
        <v>35</v>
      </c>
      <c r="P1453" t="s">
        <v>29</v>
      </c>
      <c r="Q1453" t="s">
        <v>30</v>
      </c>
      <c r="R1453" s="1">
        <v>44350.461273148147</v>
      </c>
      <c r="S1453" s="1">
        <v>44350.461342592593</v>
      </c>
      <c r="T1453">
        <v>1</v>
      </c>
      <c r="U1453">
        <v>1</v>
      </c>
      <c r="V1453" s="2">
        <v>1</v>
      </c>
      <c r="W1453">
        <v>0</v>
      </c>
      <c r="X1453" t="s">
        <v>30</v>
      </c>
      <c r="Y1453">
        <v>0</v>
      </c>
      <c r="Z1453" t="s">
        <v>31</v>
      </c>
      <c r="AA1453">
        <v>0</v>
      </c>
      <c r="AB1453" t="s">
        <v>31</v>
      </c>
      <c r="AC1453">
        <v>0</v>
      </c>
      <c r="AD1453" t="s">
        <v>31</v>
      </c>
      <c r="AE1453">
        <v>0</v>
      </c>
      <c r="AF1453" t="s">
        <v>31</v>
      </c>
      <c r="AG1453">
        <v>0</v>
      </c>
      <c r="AH1453" t="s">
        <v>31</v>
      </c>
      <c r="AI1453">
        <v>0</v>
      </c>
      <c r="AJ1453" t="s">
        <v>31</v>
      </c>
      <c r="AK1453">
        <v>0</v>
      </c>
      <c r="AL1453" t="s">
        <v>31</v>
      </c>
      <c r="AM1453">
        <v>0</v>
      </c>
      <c r="AN1453" t="s">
        <v>31</v>
      </c>
      <c r="AO1453">
        <v>0</v>
      </c>
      <c r="AP1453" t="s">
        <v>31</v>
      </c>
      <c r="AQ1453">
        <v>0</v>
      </c>
    </row>
    <row r="1454" spans="1:43" x14ac:dyDescent="0.2">
      <c r="A1454" t="s">
        <v>381</v>
      </c>
      <c r="B1454" s="3">
        <v>44351</v>
      </c>
      <c r="C1454">
        <v>124</v>
      </c>
      <c r="D1454" t="s">
        <v>390</v>
      </c>
      <c r="E1454" t="s">
        <v>70</v>
      </c>
      <c r="F1454" s="9" t="s">
        <v>71</v>
      </c>
      <c r="G1454" t="s">
        <v>26</v>
      </c>
      <c r="H1454" t="s">
        <v>34</v>
      </c>
      <c r="I1454" t="s">
        <v>35</v>
      </c>
      <c r="J1454" t="s">
        <v>29</v>
      </c>
      <c r="K1454" t="s">
        <v>30</v>
      </c>
      <c r="L1454" t="s">
        <v>29</v>
      </c>
      <c r="M1454" t="s">
        <v>30</v>
      </c>
      <c r="N1454" t="s">
        <v>34</v>
      </c>
      <c r="O1454" t="s">
        <v>35</v>
      </c>
      <c r="P1454" t="s">
        <v>29</v>
      </c>
      <c r="Q1454" t="s">
        <v>30</v>
      </c>
      <c r="R1454" s="1">
        <v>44351.465729166666</v>
      </c>
      <c r="S1454" s="1">
        <v>44351.465787037036</v>
      </c>
      <c r="T1454">
        <v>1</v>
      </c>
      <c r="U1454">
        <v>1</v>
      </c>
      <c r="V1454" s="2">
        <v>1</v>
      </c>
      <c r="W1454">
        <v>0</v>
      </c>
      <c r="X1454" t="s">
        <v>37</v>
      </c>
      <c r="Y1454">
        <v>0</v>
      </c>
      <c r="Z1454" t="s">
        <v>37</v>
      </c>
      <c r="AA1454">
        <v>0</v>
      </c>
      <c r="AB1454" t="s">
        <v>30</v>
      </c>
      <c r="AC1454">
        <v>0</v>
      </c>
      <c r="AD1454" t="s">
        <v>31</v>
      </c>
      <c r="AE1454">
        <v>0</v>
      </c>
      <c r="AF1454" t="s">
        <v>31</v>
      </c>
      <c r="AG1454">
        <v>0</v>
      </c>
      <c r="AH1454" t="s">
        <v>31</v>
      </c>
      <c r="AI1454">
        <v>0</v>
      </c>
      <c r="AJ1454" t="s">
        <v>31</v>
      </c>
      <c r="AK1454">
        <v>0</v>
      </c>
      <c r="AL1454" t="s">
        <v>31</v>
      </c>
      <c r="AM1454">
        <v>0</v>
      </c>
      <c r="AN1454" t="s">
        <v>31</v>
      </c>
      <c r="AO1454">
        <v>0</v>
      </c>
      <c r="AP1454" t="s">
        <v>31</v>
      </c>
      <c r="AQ1454">
        <v>0</v>
      </c>
    </row>
    <row r="1455" spans="1:43" x14ac:dyDescent="0.2">
      <c r="A1455" t="s">
        <v>381</v>
      </c>
      <c r="B1455" s="3">
        <v>44354</v>
      </c>
      <c r="C1455">
        <v>126</v>
      </c>
      <c r="D1455" t="s">
        <v>397</v>
      </c>
      <c r="E1455" t="s">
        <v>70</v>
      </c>
      <c r="F1455" s="9" t="s">
        <v>71</v>
      </c>
      <c r="G1455" t="s">
        <v>26</v>
      </c>
      <c r="H1455" t="s">
        <v>34</v>
      </c>
      <c r="I1455" t="s">
        <v>35</v>
      </c>
      <c r="J1455" t="s">
        <v>29</v>
      </c>
      <c r="K1455" t="s">
        <v>30</v>
      </c>
      <c r="L1455" t="s">
        <v>29</v>
      </c>
      <c r="M1455" t="s">
        <v>30</v>
      </c>
      <c r="N1455" t="s">
        <v>34</v>
      </c>
      <c r="O1455" t="s">
        <v>35</v>
      </c>
      <c r="P1455" t="s">
        <v>29</v>
      </c>
      <c r="Q1455" t="s">
        <v>30</v>
      </c>
      <c r="R1455" s="1">
        <v>44354.414814814816</v>
      </c>
      <c r="S1455" s="1">
        <v>44354.415185185186</v>
      </c>
      <c r="T1455">
        <v>2</v>
      </c>
      <c r="U1455">
        <v>2</v>
      </c>
      <c r="V1455" s="2">
        <v>1</v>
      </c>
      <c r="W1455">
        <v>0</v>
      </c>
      <c r="X1455" t="s">
        <v>30</v>
      </c>
      <c r="Y1455">
        <v>0</v>
      </c>
      <c r="Z1455" t="s">
        <v>30</v>
      </c>
      <c r="AA1455">
        <v>0</v>
      </c>
      <c r="AB1455" t="s">
        <v>31</v>
      </c>
      <c r="AC1455">
        <v>0</v>
      </c>
      <c r="AD1455" t="s">
        <v>31</v>
      </c>
      <c r="AE1455">
        <v>0</v>
      </c>
      <c r="AF1455" t="s">
        <v>31</v>
      </c>
      <c r="AG1455">
        <v>0</v>
      </c>
      <c r="AH1455" t="s">
        <v>31</v>
      </c>
      <c r="AI1455">
        <v>0</v>
      </c>
      <c r="AJ1455" t="s">
        <v>31</v>
      </c>
      <c r="AK1455">
        <v>0</v>
      </c>
      <c r="AL1455" t="s">
        <v>31</v>
      </c>
      <c r="AM1455">
        <v>0</v>
      </c>
      <c r="AN1455" t="s">
        <v>31</v>
      </c>
      <c r="AO1455">
        <v>0</v>
      </c>
      <c r="AP1455" t="s">
        <v>31</v>
      </c>
      <c r="AQ1455">
        <v>0</v>
      </c>
    </row>
    <row r="1456" spans="1:43" x14ac:dyDescent="0.2">
      <c r="A1456" t="s">
        <v>381</v>
      </c>
      <c r="B1456" s="3">
        <v>44355</v>
      </c>
      <c r="C1456">
        <v>128</v>
      </c>
      <c r="D1456" t="s">
        <v>406</v>
      </c>
      <c r="E1456" t="s">
        <v>70</v>
      </c>
      <c r="F1456" s="9" t="s">
        <v>71</v>
      </c>
      <c r="G1456" t="s">
        <v>26</v>
      </c>
      <c r="H1456" t="s">
        <v>34</v>
      </c>
      <c r="I1456" t="s">
        <v>35</v>
      </c>
      <c r="J1456" t="s">
        <v>29</v>
      </c>
      <c r="K1456" t="s">
        <v>30</v>
      </c>
      <c r="L1456" t="s">
        <v>29</v>
      </c>
      <c r="M1456" t="s">
        <v>30</v>
      </c>
      <c r="N1456" t="s">
        <v>34</v>
      </c>
      <c r="O1456" t="s">
        <v>35</v>
      </c>
      <c r="P1456" t="s">
        <v>29</v>
      </c>
      <c r="Q1456" t="s">
        <v>30</v>
      </c>
      <c r="R1456" s="1">
        <v>44355.417800925927</v>
      </c>
      <c r="S1456" s="1">
        <v>44355.418356481481</v>
      </c>
      <c r="T1456">
        <v>1</v>
      </c>
      <c r="U1456">
        <v>1</v>
      </c>
      <c r="V1456" s="2">
        <v>1</v>
      </c>
      <c r="W1456">
        <v>0</v>
      </c>
      <c r="X1456" t="s">
        <v>37</v>
      </c>
      <c r="Y1456">
        <v>0</v>
      </c>
      <c r="Z1456" t="s">
        <v>30</v>
      </c>
      <c r="AA1456">
        <v>0</v>
      </c>
      <c r="AB1456" t="s">
        <v>37</v>
      </c>
      <c r="AC1456">
        <v>0</v>
      </c>
      <c r="AD1456" t="s">
        <v>37</v>
      </c>
      <c r="AE1456">
        <v>0</v>
      </c>
      <c r="AF1456" t="s">
        <v>31</v>
      </c>
      <c r="AG1456">
        <v>0</v>
      </c>
      <c r="AH1456" t="s">
        <v>31</v>
      </c>
      <c r="AI1456">
        <v>0</v>
      </c>
      <c r="AJ1456" t="s">
        <v>31</v>
      </c>
      <c r="AK1456">
        <v>0</v>
      </c>
      <c r="AL1456" t="s">
        <v>31</v>
      </c>
      <c r="AM1456">
        <v>0</v>
      </c>
      <c r="AN1456" t="s">
        <v>31</v>
      </c>
      <c r="AO1456">
        <v>0</v>
      </c>
      <c r="AP1456" t="s">
        <v>31</v>
      </c>
      <c r="AQ1456">
        <v>0</v>
      </c>
    </row>
    <row r="1457" spans="1:43" x14ac:dyDescent="0.2">
      <c r="A1457" t="s">
        <v>381</v>
      </c>
      <c r="B1457" s="3">
        <v>44357</v>
      </c>
      <c r="C1457">
        <v>132</v>
      </c>
      <c r="D1457" t="s">
        <v>399</v>
      </c>
      <c r="E1457" t="s">
        <v>70</v>
      </c>
      <c r="F1457" s="9" t="s">
        <v>71</v>
      </c>
      <c r="G1457" t="s">
        <v>26</v>
      </c>
      <c r="H1457" t="s">
        <v>34</v>
      </c>
      <c r="I1457" t="s">
        <v>35</v>
      </c>
      <c r="J1457" t="s">
        <v>29</v>
      </c>
      <c r="K1457" t="s">
        <v>30</v>
      </c>
      <c r="L1457" t="s">
        <v>29</v>
      </c>
      <c r="M1457" t="s">
        <v>30</v>
      </c>
      <c r="N1457" t="s">
        <v>34</v>
      </c>
      <c r="O1457" t="s">
        <v>35</v>
      </c>
      <c r="P1457" t="s">
        <v>29</v>
      </c>
      <c r="Q1457" t="s">
        <v>30</v>
      </c>
      <c r="R1457" s="1">
        <v>44357.375254629631</v>
      </c>
      <c r="S1457" s="1">
        <v>44357.388715277775</v>
      </c>
      <c r="T1457">
        <v>1</v>
      </c>
      <c r="U1457">
        <v>1</v>
      </c>
      <c r="V1457" s="2">
        <v>1</v>
      </c>
      <c r="W1457">
        <v>0</v>
      </c>
      <c r="X1457" t="s">
        <v>37</v>
      </c>
      <c r="Y1457">
        <v>0</v>
      </c>
      <c r="Z1457" t="s">
        <v>30</v>
      </c>
      <c r="AA1457">
        <v>0</v>
      </c>
      <c r="AB1457" t="s">
        <v>31</v>
      </c>
      <c r="AC1457">
        <v>0</v>
      </c>
      <c r="AD1457" t="s">
        <v>31</v>
      </c>
      <c r="AE1457">
        <v>0</v>
      </c>
      <c r="AF1457" t="s">
        <v>31</v>
      </c>
      <c r="AG1457">
        <v>0</v>
      </c>
      <c r="AH1457" t="s">
        <v>31</v>
      </c>
      <c r="AI1457">
        <v>0</v>
      </c>
      <c r="AJ1457" t="s">
        <v>31</v>
      </c>
      <c r="AK1457">
        <v>0</v>
      </c>
      <c r="AL1457" t="s">
        <v>31</v>
      </c>
      <c r="AM1457">
        <v>0</v>
      </c>
      <c r="AN1457" t="s">
        <v>31</v>
      </c>
      <c r="AO1457">
        <v>0</v>
      </c>
      <c r="AP1457" t="s">
        <v>31</v>
      </c>
      <c r="AQ1457">
        <v>0</v>
      </c>
    </row>
    <row r="1458" spans="1:43" x14ac:dyDescent="0.2">
      <c r="A1458" t="s">
        <v>381</v>
      </c>
      <c r="B1458" s="3">
        <v>44358</v>
      </c>
      <c r="C1458">
        <v>133</v>
      </c>
      <c r="D1458" t="s">
        <v>390</v>
      </c>
      <c r="E1458" t="s">
        <v>70</v>
      </c>
      <c r="F1458" s="9" t="s">
        <v>71</v>
      </c>
      <c r="G1458" t="s">
        <v>26</v>
      </c>
      <c r="H1458" t="s">
        <v>34</v>
      </c>
      <c r="I1458" t="s">
        <v>35</v>
      </c>
      <c r="J1458" t="s">
        <v>29</v>
      </c>
      <c r="K1458" t="s">
        <v>30</v>
      </c>
      <c r="L1458" t="s">
        <v>29</v>
      </c>
      <c r="M1458" t="s">
        <v>30</v>
      </c>
      <c r="N1458" t="s">
        <v>34</v>
      </c>
      <c r="O1458" t="s">
        <v>35</v>
      </c>
      <c r="P1458" t="s">
        <v>29</v>
      </c>
      <c r="Q1458" t="s">
        <v>30</v>
      </c>
      <c r="R1458" s="1">
        <v>44358.483229166668</v>
      </c>
      <c r="S1458" s="1">
        <v>44358.483506944445</v>
      </c>
      <c r="T1458">
        <v>0</v>
      </c>
      <c r="U1458">
        <v>1</v>
      </c>
      <c r="V1458" s="2">
        <v>0</v>
      </c>
      <c r="W1458">
        <v>0</v>
      </c>
      <c r="X1458" t="s">
        <v>37</v>
      </c>
      <c r="Y1458">
        <v>0</v>
      </c>
      <c r="Z1458" t="s">
        <v>44</v>
      </c>
      <c r="AA1458">
        <v>0</v>
      </c>
      <c r="AB1458" t="s">
        <v>37</v>
      </c>
      <c r="AC1458">
        <v>0</v>
      </c>
      <c r="AD1458" t="s">
        <v>31</v>
      </c>
      <c r="AE1458">
        <v>0</v>
      </c>
      <c r="AF1458" t="s">
        <v>31</v>
      </c>
      <c r="AG1458">
        <v>0</v>
      </c>
      <c r="AH1458" t="s">
        <v>31</v>
      </c>
      <c r="AI1458">
        <v>0</v>
      </c>
      <c r="AJ1458" t="s">
        <v>31</v>
      </c>
      <c r="AK1458">
        <v>0</v>
      </c>
      <c r="AL1458" t="s">
        <v>31</v>
      </c>
      <c r="AM1458">
        <v>0</v>
      </c>
      <c r="AN1458" t="s">
        <v>31</v>
      </c>
      <c r="AO1458">
        <v>0</v>
      </c>
      <c r="AP1458" t="s">
        <v>31</v>
      </c>
      <c r="AQ1458">
        <v>0</v>
      </c>
    </row>
    <row r="1459" spans="1:43" x14ac:dyDescent="0.2">
      <c r="A1459" t="s">
        <v>381</v>
      </c>
      <c r="B1459" s="3">
        <v>44361</v>
      </c>
      <c r="C1459">
        <v>135</v>
      </c>
      <c r="D1459" t="s">
        <v>390</v>
      </c>
      <c r="E1459" t="s">
        <v>70</v>
      </c>
      <c r="F1459" s="9" t="s">
        <v>71</v>
      </c>
      <c r="G1459" t="s">
        <v>26</v>
      </c>
      <c r="H1459" t="s">
        <v>34</v>
      </c>
      <c r="I1459" t="s">
        <v>35</v>
      </c>
      <c r="J1459" t="s">
        <v>29</v>
      </c>
      <c r="K1459" t="s">
        <v>30</v>
      </c>
      <c r="L1459" t="s">
        <v>29</v>
      </c>
      <c r="M1459" t="s">
        <v>30</v>
      </c>
      <c r="N1459" t="s">
        <v>34</v>
      </c>
      <c r="O1459" t="s">
        <v>35</v>
      </c>
      <c r="P1459" t="s">
        <v>29</v>
      </c>
      <c r="Q1459" t="s">
        <v>30</v>
      </c>
      <c r="R1459" s="1">
        <v>44361.466597222221</v>
      </c>
      <c r="S1459" s="1">
        <v>44361.46665509259</v>
      </c>
      <c r="T1459">
        <v>1</v>
      </c>
      <c r="U1459">
        <v>1</v>
      </c>
      <c r="V1459" s="2">
        <v>1</v>
      </c>
      <c r="W1459">
        <v>0</v>
      </c>
      <c r="X1459" t="s">
        <v>30</v>
      </c>
      <c r="Y1459">
        <v>0</v>
      </c>
      <c r="Z1459" t="s">
        <v>31</v>
      </c>
      <c r="AA1459">
        <v>0</v>
      </c>
      <c r="AB1459" t="s">
        <v>31</v>
      </c>
      <c r="AC1459">
        <v>0</v>
      </c>
      <c r="AD1459" t="s">
        <v>31</v>
      </c>
      <c r="AE1459">
        <v>0</v>
      </c>
      <c r="AF1459" t="s">
        <v>31</v>
      </c>
      <c r="AG1459">
        <v>0</v>
      </c>
      <c r="AH1459" t="s">
        <v>31</v>
      </c>
      <c r="AI1459">
        <v>0</v>
      </c>
      <c r="AJ1459" t="s">
        <v>31</v>
      </c>
      <c r="AK1459">
        <v>0</v>
      </c>
      <c r="AL1459" t="s">
        <v>31</v>
      </c>
      <c r="AM1459">
        <v>0</v>
      </c>
      <c r="AN1459" t="s">
        <v>31</v>
      </c>
      <c r="AO1459">
        <v>0</v>
      </c>
      <c r="AP1459" t="s">
        <v>31</v>
      </c>
      <c r="AQ1459">
        <v>0</v>
      </c>
    </row>
    <row r="1460" spans="1:43" x14ac:dyDescent="0.2">
      <c r="A1460" t="s">
        <v>381</v>
      </c>
      <c r="B1460" s="3">
        <v>44364</v>
      </c>
      <c r="C1460">
        <v>138</v>
      </c>
      <c r="D1460" t="s">
        <v>399</v>
      </c>
      <c r="E1460" t="s">
        <v>70</v>
      </c>
      <c r="F1460" s="9" t="s">
        <v>71</v>
      </c>
      <c r="G1460" t="s">
        <v>26</v>
      </c>
      <c r="H1460" t="s">
        <v>34</v>
      </c>
      <c r="I1460" t="s">
        <v>35</v>
      </c>
      <c r="J1460" t="s">
        <v>29</v>
      </c>
      <c r="K1460" t="s">
        <v>30</v>
      </c>
      <c r="L1460" t="s">
        <v>29</v>
      </c>
      <c r="M1460" t="s">
        <v>30</v>
      </c>
      <c r="N1460" t="s">
        <v>34</v>
      </c>
      <c r="O1460" t="s">
        <v>35</v>
      </c>
      <c r="P1460" t="s">
        <v>29</v>
      </c>
      <c r="Q1460" t="s">
        <v>30</v>
      </c>
      <c r="R1460" s="1">
        <v>44364.451666666668</v>
      </c>
      <c r="S1460" s="1">
        <v>44364.452037037037</v>
      </c>
      <c r="T1460">
        <v>1</v>
      </c>
      <c r="U1460">
        <v>1</v>
      </c>
      <c r="V1460" s="2">
        <v>1</v>
      </c>
      <c r="W1460">
        <v>0</v>
      </c>
      <c r="X1460" t="s">
        <v>37</v>
      </c>
      <c r="Y1460">
        <v>0</v>
      </c>
      <c r="Z1460" t="s">
        <v>37</v>
      </c>
      <c r="AA1460">
        <v>0</v>
      </c>
      <c r="AB1460" t="s">
        <v>30</v>
      </c>
      <c r="AC1460">
        <v>0</v>
      </c>
      <c r="AD1460" t="s">
        <v>31</v>
      </c>
      <c r="AE1460">
        <v>0</v>
      </c>
      <c r="AF1460" t="s">
        <v>31</v>
      </c>
      <c r="AG1460">
        <v>0</v>
      </c>
      <c r="AH1460" t="s">
        <v>31</v>
      </c>
      <c r="AI1460">
        <v>0</v>
      </c>
      <c r="AJ1460" t="s">
        <v>31</v>
      </c>
      <c r="AK1460">
        <v>0</v>
      </c>
      <c r="AL1460" t="s">
        <v>31</v>
      </c>
      <c r="AM1460">
        <v>0</v>
      </c>
      <c r="AN1460" t="s">
        <v>31</v>
      </c>
      <c r="AO1460">
        <v>0</v>
      </c>
      <c r="AP1460" t="s">
        <v>31</v>
      </c>
      <c r="AQ1460">
        <v>0</v>
      </c>
    </row>
    <row r="1461" spans="1:43" x14ac:dyDescent="0.2">
      <c r="A1461" t="s">
        <v>381</v>
      </c>
      <c r="B1461" s="3">
        <v>44365</v>
      </c>
      <c r="C1461">
        <v>139</v>
      </c>
      <c r="D1461" t="s">
        <v>400</v>
      </c>
      <c r="E1461" t="s">
        <v>70</v>
      </c>
      <c r="F1461" s="9" t="s">
        <v>71</v>
      </c>
      <c r="G1461" t="s">
        <v>26</v>
      </c>
      <c r="H1461" t="s">
        <v>34</v>
      </c>
      <c r="I1461" t="s">
        <v>35</v>
      </c>
      <c r="J1461" t="s">
        <v>29</v>
      </c>
      <c r="K1461" t="s">
        <v>30</v>
      </c>
      <c r="L1461" t="s">
        <v>29</v>
      </c>
      <c r="M1461" t="s">
        <v>30</v>
      </c>
      <c r="N1461" t="s">
        <v>34</v>
      </c>
      <c r="O1461" t="s">
        <v>35</v>
      </c>
      <c r="P1461" t="s">
        <v>29</v>
      </c>
      <c r="Q1461" t="s">
        <v>30</v>
      </c>
      <c r="R1461" s="1">
        <v>44365.478136574071</v>
      </c>
      <c r="S1461" s="1">
        <v>44365.478148148148</v>
      </c>
      <c r="T1461">
        <v>0</v>
      </c>
      <c r="U1461">
        <v>1</v>
      </c>
      <c r="V1461" s="2">
        <v>0</v>
      </c>
      <c r="W1461">
        <v>0</v>
      </c>
      <c r="X1461" t="s">
        <v>44</v>
      </c>
      <c r="Y1461">
        <v>0</v>
      </c>
      <c r="Z1461" t="s">
        <v>37</v>
      </c>
      <c r="AA1461">
        <v>0</v>
      </c>
      <c r="AB1461" t="s">
        <v>31</v>
      </c>
      <c r="AC1461">
        <v>0</v>
      </c>
      <c r="AD1461" t="s">
        <v>31</v>
      </c>
      <c r="AE1461">
        <v>0</v>
      </c>
      <c r="AF1461" t="s">
        <v>31</v>
      </c>
      <c r="AG1461">
        <v>0</v>
      </c>
      <c r="AH1461" t="s">
        <v>31</v>
      </c>
      <c r="AI1461">
        <v>0</v>
      </c>
      <c r="AJ1461" t="s">
        <v>31</v>
      </c>
      <c r="AK1461">
        <v>0</v>
      </c>
      <c r="AL1461" t="s">
        <v>31</v>
      </c>
      <c r="AM1461">
        <v>0</v>
      </c>
      <c r="AN1461" t="s">
        <v>31</v>
      </c>
      <c r="AO1461">
        <v>0</v>
      </c>
      <c r="AP1461" t="s">
        <v>31</v>
      </c>
      <c r="AQ1461">
        <v>0</v>
      </c>
    </row>
    <row r="1462" spans="1:43" x14ac:dyDescent="0.2">
      <c r="A1462" t="s">
        <v>381</v>
      </c>
      <c r="B1462" s="3">
        <v>44375</v>
      </c>
      <c r="C1462">
        <v>141</v>
      </c>
      <c r="D1462" t="s">
        <v>396</v>
      </c>
      <c r="E1462" t="s">
        <v>70</v>
      </c>
      <c r="F1462" s="9" t="s">
        <v>71</v>
      </c>
      <c r="G1462" t="s">
        <v>26</v>
      </c>
      <c r="H1462" t="s">
        <v>34</v>
      </c>
      <c r="I1462" t="s">
        <v>35</v>
      </c>
      <c r="J1462" t="s">
        <v>29</v>
      </c>
      <c r="K1462" t="s">
        <v>30</v>
      </c>
      <c r="L1462" t="s">
        <v>29</v>
      </c>
      <c r="M1462" t="s">
        <v>30</v>
      </c>
      <c r="N1462" t="s">
        <v>34</v>
      </c>
      <c r="O1462" t="s">
        <v>35</v>
      </c>
      <c r="P1462" t="s">
        <v>29</v>
      </c>
      <c r="Q1462" t="s">
        <v>30</v>
      </c>
      <c r="R1462" s="1">
        <v>44375.640983796293</v>
      </c>
      <c r="S1462" s="1">
        <v>44375.640983796293</v>
      </c>
      <c r="T1462">
        <v>0</v>
      </c>
      <c r="U1462">
        <v>0</v>
      </c>
      <c r="V1462" s="2">
        <v>0</v>
      </c>
      <c r="W1462">
        <v>0</v>
      </c>
      <c r="X1462" t="s">
        <v>37</v>
      </c>
      <c r="Y1462">
        <v>0</v>
      </c>
      <c r="Z1462" t="s">
        <v>37</v>
      </c>
      <c r="AA1462">
        <v>0</v>
      </c>
      <c r="AB1462" t="s">
        <v>31</v>
      </c>
      <c r="AC1462">
        <v>0</v>
      </c>
      <c r="AD1462" t="s">
        <v>31</v>
      </c>
      <c r="AE1462">
        <v>0</v>
      </c>
      <c r="AF1462" t="s">
        <v>31</v>
      </c>
      <c r="AG1462">
        <v>0</v>
      </c>
      <c r="AH1462" t="s">
        <v>31</v>
      </c>
      <c r="AI1462">
        <v>0</v>
      </c>
      <c r="AJ1462" t="s">
        <v>31</v>
      </c>
      <c r="AK1462">
        <v>0</v>
      </c>
      <c r="AL1462" t="s">
        <v>31</v>
      </c>
      <c r="AM1462">
        <v>0</v>
      </c>
      <c r="AN1462" t="s">
        <v>31</v>
      </c>
      <c r="AO1462">
        <v>0</v>
      </c>
      <c r="AP1462" t="s">
        <v>31</v>
      </c>
      <c r="AQ1462">
        <v>0</v>
      </c>
    </row>
    <row r="1463" spans="1:43" x14ac:dyDescent="0.2">
      <c r="A1463" t="s">
        <v>381</v>
      </c>
      <c r="B1463" s="3">
        <v>44364</v>
      </c>
      <c r="C1463">
        <v>138</v>
      </c>
      <c r="D1463" t="s">
        <v>399</v>
      </c>
      <c r="E1463" t="s">
        <v>248</v>
      </c>
      <c r="F1463" s="9" t="s">
        <v>255</v>
      </c>
      <c r="G1463" t="s">
        <v>197</v>
      </c>
      <c r="H1463" t="s">
        <v>108</v>
      </c>
      <c r="I1463" t="s">
        <v>109</v>
      </c>
      <c r="J1463" t="s">
        <v>43</v>
      </c>
      <c r="K1463" t="s">
        <v>44</v>
      </c>
      <c r="L1463" t="s">
        <v>53</v>
      </c>
      <c r="M1463" t="s">
        <v>54</v>
      </c>
      <c r="N1463" t="s">
        <v>108</v>
      </c>
      <c r="O1463" t="s">
        <v>109</v>
      </c>
      <c r="P1463" t="s">
        <v>43</v>
      </c>
      <c r="Q1463" t="s">
        <v>44</v>
      </c>
      <c r="R1463" s="1">
        <v>44364.4690625</v>
      </c>
      <c r="S1463" s="1">
        <v>44364.4690625</v>
      </c>
      <c r="T1463">
        <v>1</v>
      </c>
      <c r="U1463">
        <v>1</v>
      </c>
      <c r="V1463" s="2">
        <v>1</v>
      </c>
      <c r="W1463">
        <v>1</v>
      </c>
      <c r="X1463" t="s">
        <v>54</v>
      </c>
      <c r="Y1463">
        <v>1</v>
      </c>
      <c r="Z1463" t="s">
        <v>31</v>
      </c>
      <c r="AA1463">
        <v>0</v>
      </c>
      <c r="AB1463" t="s">
        <v>31</v>
      </c>
      <c r="AC1463">
        <v>0</v>
      </c>
      <c r="AD1463" t="s">
        <v>31</v>
      </c>
      <c r="AE1463">
        <v>0</v>
      </c>
      <c r="AF1463" t="s">
        <v>31</v>
      </c>
      <c r="AG1463">
        <v>0</v>
      </c>
    </row>
    <row r="1464" spans="1:43" x14ac:dyDescent="0.2">
      <c r="A1464" t="s">
        <v>381</v>
      </c>
      <c r="B1464" s="3">
        <v>44364</v>
      </c>
      <c r="C1464">
        <v>138</v>
      </c>
      <c r="D1464" t="s">
        <v>399</v>
      </c>
      <c r="E1464" t="s">
        <v>248</v>
      </c>
      <c r="F1464" s="9" t="s">
        <v>256</v>
      </c>
      <c r="G1464" t="s">
        <v>197</v>
      </c>
      <c r="H1464" t="s">
        <v>108</v>
      </c>
      <c r="I1464" t="s">
        <v>109</v>
      </c>
      <c r="J1464" t="s">
        <v>43</v>
      </c>
      <c r="K1464" t="s">
        <v>44</v>
      </c>
      <c r="L1464" t="s">
        <v>53</v>
      </c>
      <c r="M1464" t="s">
        <v>54</v>
      </c>
      <c r="N1464" t="s">
        <v>108</v>
      </c>
      <c r="O1464" t="s">
        <v>109</v>
      </c>
      <c r="P1464" t="s">
        <v>43</v>
      </c>
      <c r="Q1464" t="s">
        <v>44</v>
      </c>
      <c r="R1464" s="1">
        <v>44364.469074074077</v>
      </c>
      <c r="S1464" s="1">
        <v>44364.469074074077</v>
      </c>
      <c r="T1464">
        <v>1</v>
      </c>
      <c r="U1464">
        <v>1</v>
      </c>
      <c r="V1464" s="2">
        <v>1</v>
      </c>
      <c r="W1464">
        <v>1</v>
      </c>
      <c r="X1464" t="s">
        <v>54</v>
      </c>
      <c r="Y1464">
        <v>1</v>
      </c>
      <c r="Z1464" t="s">
        <v>31</v>
      </c>
      <c r="AA1464">
        <v>0</v>
      </c>
      <c r="AB1464" t="s">
        <v>31</v>
      </c>
      <c r="AC1464">
        <v>0</v>
      </c>
      <c r="AD1464" t="s">
        <v>31</v>
      </c>
      <c r="AE1464">
        <v>0</v>
      </c>
      <c r="AF1464" t="s">
        <v>31</v>
      </c>
      <c r="AG1464">
        <v>0</v>
      </c>
    </row>
    <row r="1465" spans="1:43" x14ac:dyDescent="0.2">
      <c r="A1465" t="s">
        <v>381</v>
      </c>
      <c r="B1465" s="3">
        <v>44350</v>
      </c>
      <c r="C1465">
        <v>123</v>
      </c>
      <c r="D1465" t="s">
        <v>382</v>
      </c>
      <c r="E1465" t="s">
        <v>248</v>
      </c>
      <c r="F1465" s="9" t="s">
        <v>249</v>
      </c>
      <c r="G1465" t="s">
        <v>197</v>
      </c>
      <c r="H1465" t="s">
        <v>200</v>
      </c>
      <c r="I1465" t="s">
        <v>201</v>
      </c>
      <c r="J1465" t="s">
        <v>43</v>
      </c>
      <c r="K1465" t="s">
        <v>44</v>
      </c>
      <c r="L1465" t="s">
        <v>53</v>
      </c>
      <c r="M1465" t="s">
        <v>54</v>
      </c>
      <c r="N1465" t="s">
        <v>200</v>
      </c>
      <c r="O1465" t="s">
        <v>201</v>
      </c>
      <c r="P1465" t="s">
        <v>43</v>
      </c>
      <c r="Q1465" t="s">
        <v>44</v>
      </c>
      <c r="R1465" s="1">
        <v>44350.433715277781</v>
      </c>
      <c r="S1465" s="1">
        <v>44350.433715277781</v>
      </c>
      <c r="T1465">
        <v>1</v>
      </c>
      <c r="U1465">
        <v>1</v>
      </c>
      <c r="V1465" s="2">
        <v>1</v>
      </c>
      <c r="W1465">
        <v>1</v>
      </c>
      <c r="X1465" t="s">
        <v>54</v>
      </c>
      <c r="Y1465">
        <v>1</v>
      </c>
      <c r="Z1465" t="s">
        <v>31</v>
      </c>
      <c r="AA1465">
        <v>0</v>
      </c>
      <c r="AB1465" t="s">
        <v>31</v>
      </c>
      <c r="AC1465">
        <v>0</v>
      </c>
      <c r="AD1465" t="s">
        <v>31</v>
      </c>
      <c r="AE1465">
        <v>0</v>
      </c>
      <c r="AF1465" t="s">
        <v>31</v>
      </c>
      <c r="AG1465">
        <v>0</v>
      </c>
    </row>
    <row r="1466" spans="1:43" x14ac:dyDescent="0.2">
      <c r="A1466" t="s">
        <v>381</v>
      </c>
      <c r="B1466" s="3">
        <v>44237</v>
      </c>
      <c r="C1466">
        <v>4</v>
      </c>
      <c r="D1466" t="s">
        <v>384</v>
      </c>
      <c r="E1466" t="s">
        <v>122</v>
      </c>
      <c r="F1466" s="9" t="s">
        <v>123</v>
      </c>
      <c r="G1466" t="s">
        <v>26</v>
      </c>
      <c r="H1466" t="s">
        <v>116</v>
      </c>
      <c r="I1466" t="s">
        <v>117</v>
      </c>
      <c r="J1466" t="s">
        <v>43</v>
      </c>
      <c r="K1466" t="s">
        <v>44</v>
      </c>
      <c r="L1466" t="s">
        <v>29</v>
      </c>
      <c r="M1466" t="s">
        <v>30</v>
      </c>
      <c r="N1466" t="s">
        <v>116</v>
      </c>
      <c r="O1466" t="s">
        <v>117</v>
      </c>
      <c r="P1466" t="s">
        <v>43</v>
      </c>
      <c r="Q1466" t="s">
        <v>44</v>
      </c>
      <c r="R1466" s="1">
        <v>44237.458738425928</v>
      </c>
      <c r="S1466" s="1">
        <v>44237.458738425928</v>
      </c>
      <c r="T1466">
        <v>1</v>
      </c>
      <c r="U1466">
        <v>1</v>
      </c>
      <c r="V1466" s="2">
        <v>1</v>
      </c>
      <c r="W1466">
        <v>0</v>
      </c>
      <c r="X1466" t="s">
        <v>30</v>
      </c>
      <c r="Y1466">
        <v>0</v>
      </c>
      <c r="Z1466" t="s">
        <v>31</v>
      </c>
      <c r="AA1466">
        <v>0</v>
      </c>
      <c r="AB1466" t="s">
        <v>31</v>
      </c>
      <c r="AC1466">
        <v>0</v>
      </c>
      <c r="AD1466" t="s">
        <v>31</v>
      </c>
      <c r="AE1466">
        <v>0</v>
      </c>
      <c r="AF1466" t="s">
        <v>31</v>
      </c>
      <c r="AG1466">
        <v>0</v>
      </c>
      <c r="AH1466" t="s">
        <v>31</v>
      </c>
      <c r="AI1466">
        <v>0</v>
      </c>
      <c r="AJ1466" t="s">
        <v>31</v>
      </c>
      <c r="AK1466">
        <v>0</v>
      </c>
      <c r="AL1466" t="s">
        <v>31</v>
      </c>
      <c r="AM1466">
        <v>0</v>
      </c>
      <c r="AN1466" t="s">
        <v>31</v>
      </c>
      <c r="AO1466">
        <v>0</v>
      </c>
      <c r="AP1466" t="s">
        <v>31</v>
      </c>
      <c r="AQ1466">
        <v>0</v>
      </c>
    </row>
    <row r="1467" spans="1:43" x14ac:dyDescent="0.2">
      <c r="A1467" t="s">
        <v>381</v>
      </c>
      <c r="B1467" s="3">
        <v>44239</v>
      </c>
      <c r="C1467">
        <v>7</v>
      </c>
      <c r="D1467" t="s">
        <v>384</v>
      </c>
      <c r="E1467" t="s">
        <v>122</v>
      </c>
      <c r="F1467" s="9" t="s">
        <v>123</v>
      </c>
      <c r="G1467" t="s">
        <v>26</v>
      </c>
      <c r="H1467" t="s">
        <v>116</v>
      </c>
      <c r="I1467" t="s">
        <v>117</v>
      </c>
      <c r="J1467" t="s">
        <v>43</v>
      </c>
      <c r="K1467" t="s">
        <v>44</v>
      </c>
      <c r="L1467" t="s">
        <v>29</v>
      </c>
      <c r="M1467" t="s">
        <v>30</v>
      </c>
      <c r="N1467" t="s">
        <v>116</v>
      </c>
      <c r="O1467" t="s">
        <v>117</v>
      </c>
      <c r="P1467" t="s">
        <v>43</v>
      </c>
      <c r="Q1467" t="s">
        <v>44</v>
      </c>
      <c r="R1467" s="1">
        <v>44239.377812500003</v>
      </c>
      <c r="S1467" s="1">
        <v>44239.377812500003</v>
      </c>
      <c r="T1467">
        <v>1</v>
      </c>
      <c r="U1467">
        <v>1</v>
      </c>
      <c r="V1467" s="2">
        <v>1</v>
      </c>
      <c r="W1467">
        <v>0</v>
      </c>
      <c r="X1467" t="s">
        <v>30</v>
      </c>
      <c r="Y1467">
        <v>0</v>
      </c>
      <c r="Z1467" t="s">
        <v>31</v>
      </c>
      <c r="AA1467">
        <v>0</v>
      </c>
      <c r="AB1467" t="s">
        <v>31</v>
      </c>
      <c r="AC1467">
        <v>0</v>
      </c>
      <c r="AD1467" t="s">
        <v>31</v>
      </c>
      <c r="AE1467">
        <v>0</v>
      </c>
      <c r="AF1467" t="s">
        <v>31</v>
      </c>
      <c r="AG1467">
        <v>0</v>
      </c>
      <c r="AH1467" t="s">
        <v>31</v>
      </c>
      <c r="AI1467">
        <v>0</v>
      </c>
      <c r="AJ1467" t="s">
        <v>31</v>
      </c>
      <c r="AK1467">
        <v>0</v>
      </c>
      <c r="AL1467" t="s">
        <v>31</v>
      </c>
      <c r="AM1467">
        <v>0</v>
      </c>
      <c r="AN1467" t="s">
        <v>31</v>
      </c>
      <c r="AO1467">
        <v>0</v>
      </c>
      <c r="AP1467" t="s">
        <v>31</v>
      </c>
      <c r="AQ1467">
        <v>0</v>
      </c>
    </row>
    <row r="1468" spans="1:43" x14ac:dyDescent="0.2">
      <c r="A1468" t="s">
        <v>381</v>
      </c>
      <c r="B1468" s="3">
        <v>44250</v>
      </c>
      <c r="C1468">
        <v>16</v>
      </c>
      <c r="D1468" t="s">
        <v>382</v>
      </c>
      <c r="E1468" t="s">
        <v>122</v>
      </c>
      <c r="F1468" s="9" t="s">
        <v>123</v>
      </c>
      <c r="G1468" t="s">
        <v>26</v>
      </c>
      <c r="H1468" t="s">
        <v>51</v>
      </c>
      <c r="I1468" t="s">
        <v>52</v>
      </c>
      <c r="J1468" t="s">
        <v>29</v>
      </c>
      <c r="K1468" t="s">
        <v>30</v>
      </c>
      <c r="L1468" t="s">
        <v>29</v>
      </c>
      <c r="M1468" t="s">
        <v>30</v>
      </c>
      <c r="N1468" t="s">
        <v>51</v>
      </c>
      <c r="O1468" t="s">
        <v>52</v>
      </c>
      <c r="P1468" t="s">
        <v>29</v>
      </c>
      <c r="Q1468" t="s">
        <v>30</v>
      </c>
      <c r="R1468" s="1">
        <v>44250.436192129629</v>
      </c>
      <c r="S1468" s="1">
        <v>44250.43650462963</v>
      </c>
      <c r="T1468">
        <v>3</v>
      </c>
      <c r="U1468">
        <v>3</v>
      </c>
      <c r="V1468" s="2">
        <v>1</v>
      </c>
      <c r="W1468">
        <v>0</v>
      </c>
      <c r="X1468" t="s">
        <v>30</v>
      </c>
      <c r="Y1468">
        <v>0</v>
      </c>
      <c r="Z1468" t="s">
        <v>30</v>
      </c>
      <c r="AA1468">
        <v>0</v>
      </c>
      <c r="AB1468" t="s">
        <v>30</v>
      </c>
      <c r="AC1468">
        <v>0</v>
      </c>
      <c r="AD1468" t="s">
        <v>31</v>
      </c>
      <c r="AE1468">
        <v>0</v>
      </c>
      <c r="AF1468" t="s">
        <v>31</v>
      </c>
      <c r="AG1468">
        <v>0</v>
      </c>
      <c r="AH1468" t="s">
        <v>31</v>
      </c>
      <c r="AI1468">
        <v>0</v>
      </c>
      <c r="AJ1468" t="s">
        <v>31</v>
      </c>
      <c r="AK1468">
        <v>0</v>
      </c>
      <c r="AL1468" t="s">
        <v>31</v>
      </c>
      <c r="AM1468">
        <v>0</v>
      </c>
      <c r="AN1468" t="s">
        <v>31</v>
      </c>
      <c r="AO1468">
        <v>0</v>
      </c>
      <c r="AP1468" t="s">
        <v>31</v>
      </c>
      <c r="AQ1468">
        <v>0</v>
      </c>
    </row>
    <row r="1469" spans="1:43" x14ac:dyDescent="0.2">
      <c r="A1469" t="s">
        <v>381</v>
      </c>
      <c r="B1469" s="3">
        <v>44252</v>
      </c>
      <c r="C1469">
        <v>19</v>
      </c>
      <c r="D1469" t="s">
        <v>382</v>
      </c>
      <c r="E1469" t="s">
        <v>122</v>
      </c>
      <c r="F1469" s="9" t="s">
        <v>123</v>
      </c>
      <c r="G1469" t="s">
        <v>26</v>
      </c>
      <c r="H1469" t="s">
        <v>51</v>
      </c>
      <c r="I1469" t="s">
        <v>52</v>
      </c>
      <c r="J1469" t="s">
        <v>29</v>
      </c>
      <c r="K1469" t="s">
        <v>30</v>
      </c>
      <c r="L1469" t="s">
        <v>29</v>
      </c>
      <c r="M1469" t="s">
        <v>30</v>
      </c>
      <c r="N1469" t="s">
        <v>51</v>
      </c>
      <c r="O1469" t="s">
        <v>52</v>
      </c>
      <c r="P1469" t="s">
        <v>29</v>
      </c>
      <c r="Q1469" t="s">
        <v>30</v>
      </c>
      <c r="R1469" s="1">
        <v>44252.382974537039</v>
      </c>
      <c r="S1469" s="1">
        <v>44252.383043981485</v>
      </c>
      <c r="T1469">
        <v>2</v>
      </c>
      <c r="U1469">
        <v>2</v>
      </c>
      <c r="V1469" s="2">
        <v>1</v>
      </c>
      <c r="W1469">
        <v>0</v>
      </c>
      <c r="X1469" t="s">
        <v>30</v>
      </c>
      <c r="Y1469">
        <v>0</v>
      </c>
      <c r="Z1469" t="s">
        <v>30</v>
      </c>
      <c r="AA1469">
        <v>0</v>
      </c>
      <c r="AB1469" t="s">
        <v>31</v>
      </c>
      <c r="AC1469">
        <v>0</v>
      </c>
      <c r="AD1469" t="s">
        <v>31</v>
      </c>
      <c r="AE1469">
        <v>0</v>
      </c>
      <c r="AF1469" t="s">
        <v>31</v>
      </c>
      <c r="AG1469">
        <v>0</v>
      </c>
      <c r="AH1469" t="s">
        <v>31</v>
      </c>
      <c r="AI1469">
        <v>0</v>
      </c>
      <c r="AJ1469" t="s">
        <v>31</v>
      </c>
      <c r="AK1469">
        <v>0</v>
      </c>
      <c r="AL1469" t="s">
        <v>31</v>
      </c>
      <c r="AM1469">
        <v>0</v>
      </c>
      <c r="AN1469" t="s">
        <v>31</v>
      </c>
      <c r="AO1469">
        <v>0</v>
      </c>
      <c r="AP1469" t="s">
        <v>31</v>
      </c>
      <c r="AQ1469">
        <v>0</v>
      </c>
    </row>
    <row r="1470" spans="1:43" x14ac:dyDescent="0.2">
      <c r="A1470" t="s">
        <v>381</v>
      </c>
      <c r="B1470" s="3">
        <v>44252</v>
      </c>
      <c r="C1470">
        <v>20</v>
      </c>
      <c r="D1470" t="s">
        <v>385</v>
      </c>
      <c r="E1470" t="s">
        <v>122</v>
      </c>
      <c r="F1470" s="9" t="s">
        <v>123</v>
      </c>
      <c r="G1470" t="s">
        <v>26</v>
      </c>
      <c r="H1470" t="s">
        <v>51</v>
      </c>
      <c r="I1470" t="s">
        <v>52</v>
      </c>
      <c r="J1470" t="s">
        <v>29</v>
      </c>
      <c r="K1470" t="s">
        <v>30</v>
      </c>
      <c r="L1470" t="s">
        <v>29</v>
      </c>
      <c r="M1470" t="s">
        <v>30</v>
      </c>
      <c r="N1470" t="s">
        <v>51</v>
      </c>
      <c r="O1470" t="s">
        <v>52</v>
      </c>
      <c r="P1470" t="s">
        <v>29</v>
      </c>
      <c r="Q1470" t="s">
        <v>30</v>
      </c>
      <c r="R1470" s="1">
        <v>44252.68414351852</v>
      </c>
      <c r="S1470" s="1">
        <v>44252.684155092589</v>
      </c>
      <c r="T1470">
        <v>2</v>
      </c>
      <c r="U1470">
        <v>2</v>
      </c>
      <c r="V1470" s="2">
        <v>1</v>
      </c>
      <c r="W1470">
        <v>0</v>
      </c>
      <c r="X1470" t="s">
        <v>30</v>
      </c>
      <c r="Y1470">
        <v>0</v>
      </c>
      <c r="Z1470" t="s">
        <v>30</v>
      </c>
      <c r="AA1470">
        <v>0</v>
      </c>
      <c r="AB1470" t="s">
        <v>31</v>
      </c>
      <c r="AC1470">
        <v>0</v>
      </c>
      <c r="AD1470" t="s">
        <v>31</v>
      </c>
      <c r="AE1470">
        <v>0</v>
      </c>
      <c r="AF1470" t="s">
        <v>31</v>
      </c>
      <c r="AG1470">
        <v>0</v>
      </c>
      <c r="AH1470" t="s">
        <v>31</v>
      </c>
      <c r="AI1470">
        <v>0</v>
      </c>
      <c r="AJ1470" t="s">
        <v>31</v>
      </c>
      <c r="AK1470">
        <v>0</v>
      </c>
      <c r="AL1470" t="s">
        <v>31</v>
      </c>
      <c r="AM1470">
        <v>0</v>
      </c>
      <c r="AN1470" t="s">
        <v>31</v>
      </c>
      <c r="AO1470">
        <v>0</v>
      </c>
      <c r="AP1470" t="s">
        <v>31</v>
      </c>
      <c r="AQ1470">
        <v>0</v>
      </c>
    </row>
    <row r="1471" spans="1:43" x14ac:dyDescent="0.2">
      <c r="A1471" t="s">
        <v>381</v>
      </c>
      <c r="B1471" s="3">
        <v>44253</v>
      </c>
      <c r="C1471">
        <v>21</v>
      </c>
      <c r="D1471" t="s">
        <v>384</v>
      </c>
      <c r="E1471" t="s">
        <v>122</v>
      </c>
      <c r="F1471" s="9" t="s">
        <v>123</v>
      </c>
      <c r="G1471" t="s">
        <v>26</v>
      </c>
      <c r="H1471" t="s">
        <v>51</v>
      </c>
      <c r="I1471" t="s">
        <v>52</v>
      </c>
      <c r="J1471" t="s">
        <v>29</v>
      </c>
      <c r="K1471" t="s">
        <v>30</v>
      </c>
      <c r="L1471" t="s">
        <v>29</v>
      </c>
      <c r="M1471" t="s">
        <v>30</v>
      </c>
      <c r="N1471" t="s">
        <v>51</v>
      </c>
      <c r="O1471" t="s">
        <v>52</v>
      </c>
      <c r="P1471" t="s">
        <v>29</v>
      </c>
      <c r="Q1471" t="s">
        <v>30</v>
      </c>
      <c r="R1471" s="1">
        <v>44253.427256944444</v>
      </c>
      <c r="S1471" s="1">
        <v>44253.427256944444</v>
      </c>
      <c r="T1471">
        <v>1</v>
      </c>
      <c r="U1471">
        <v>1</v>
      </c>
      <c r="V1471" s="2">
        <v>1</v>
      </c>
      <c r="W1471">
        <v>0</v>
      </c>
      <c r="X1471" t="s">
        <v>30</v>
      </c>
      <c r="Y1471">
        <v>0</v>
      </c>
      <c r="Z1471" t="s">
        <v>31</v>
      </c>
      <c r="AA1471">
        <v>0</v>
      </c>
      <c r="AB1471" t="s">
        <v>31</v>
      </c>
      <c r="AC1471">
        <v>0</v>
      </c>
      <c r="AD1471" t="s">
        <v>31</v>
      </c>
      <c r="AE1471">
        <v>0</v>
      </c>
      <c r="AF1471" t="s">
        <v>31</v>
      </c>
      <c r="AG1471">
        <v>0</v>
      </c>
      <c r="AH1471" t="s">
        <v>31</v>
      </c>
      <c r="AI1471">
        <v>0</v>
      </c>
      <c r="AJ1471" t="s">
        <v>31</v>
      </c>
      <c r="AK1471">
        <v>0</v>
      </c>
      <c r="AL1471" t="s">
        <v>31</v>
      </c>
      <c r="AM1471">
        <v>0</v>
      </c>
      <c r="AN1471" t="s">
        <v>31</v>
      </c>
      <c r="AO1471">
        <v>0</v>
      </c>
      <c r="AP1471" t="s">
        <v>31</v>
      </c>
      <c r="AQ1471">
        <v>0</v>
      </c>
    </row>
    <row r="1472" spans="1:43" x14ac:dyDescent="0.2">
      <c r="A1472" t="s">
        <v>381</v>
      </c>
      <c r="B1472" s="3">
        <v>44256</v>
      </c>
      <c r="C1472">
        <v>22</v>
      </c>
      <c r="D1472" t="s">
        <v>384</v>
      </c>
      <c r="E1472" t="s">
        <v>122</v>
      </c>
      <c r="F1472" s="9" t="s">
        <v>123</v>
      </c>
      <c r="G1472" t="s">
        <v>26</v>
      </c>
      <c r="H1472" t="s">
        <v>51</v>
      </c>
      <c r="I1472" t="s">
        <v>52</v>
      </c>
      <c r="J1472" t="s">
        <v>29</v>
      </c>
      <c r="K1472" t="s">
        <v>30</v>
      </c>
      <c r="L1472" t="s">
        <v>29</v>
      </c>
      <c r="M1472" t="s">
        <v>30</v>
      </c>
      <c r="N1472" t="s">
        <v>51</v>
      </c>
      <c r="O1472" t="s">
        <v>52</v>
      </c>
      <c r="P1472" t="s">
        <v>29</v>
      </c>
      <c r="Q1472" t="s">
        <v>30</v>
      </c>
      <c r="R1472" s="1">
        <v>44256.388819444444</v>
      </c>
      <c r="S1472" s="1">
        <v>44256.388819444444</v>
      </c>
      <c r="T1472">
        <v>1</v>
      </c>
      <c r="U1472">
        <v>1</v>
      </c>
      <c r="V1472" s="2">
        <v>1</v>
      </c>
      <c r="W1472">
        <v>0</v>
      </c>
      <c r="X1472" t="s">
        <v>30</v>
      </c>
      <c r="Y1472">
        <v>0</v>
      </c>
      <c r="Z1472" t="s">
        <v>31</v>
      </c>
      <c r="AA1472">
        <v>0</v>
      </c>
      <c r="AB1472" t="s">
        <v>31</v>
      </c>
      <c r="AC1472">
        <v>0</v>
      </c>
      <c r="AD1472" t="s">
        <v>31</v>
      </c>
      <c r="AE1472">
        <v>0</v>
      </c>
      <c r="AF1472" t="s">
        <v>31</v>
      </c>
      <c r="AG1472">
        <v>0</v>
      </c>
      <c r="AH1472" t="s">
        <v>31</v>
      </c>
      <c r="AI1472">
        <v>0</v>
      </c>
      <c r="AJ1472" t="s">
        <v>31</v>
      </c>
      <c r="AK1472">
        <v>0</v>
      </c>
      <c r="AL1472" t="s">
        <v>31</v>
      </c>
      <c r="AM1472">
        <v>0</v>
      </c>
      <c r="AN1472" t="s">
        <v>31</v>
      </c>
      <c r="AO1472">
        <v>0</v>
      </c>
      <c r="AP1472" t="s">
        <v>31</v>
      </c>
      <c r="AQ1472">
        <v>0</v>
      </c>
    </row>
    <row r="1473" spans="1:43" x14ac:dyDescent="0.2">
      <c r="A1473" t="s">
        <v>381</v>
      </c>
      <c r="B1473" s="3">
        <v>44257</v>
      </c>
      <c r="C1473">
        <v>23</v>
      </c>
      <c r="D1473" t="s">
        <v>382</v>
      </c>
      <c r="E1473" t="s">
        <v>122</v>
      </c>
      <c r="F1473" s="9" t="s">
        <v>123</v>
      </c>
      <c r="G1473" t="s">
        <v>26</v>
      </c>
      <c r="H1473" t="s">
        <v>51</v>
      </c>
      <c r="I1473" t="s">
        <v>52</v>
      </c>
      <c r="J1473" t="s">
        <v>29</v>
      </c>
      <c r="K1473" t="s">
        <v>30</v>
      </c>
      <c r="L1473" t="s">
        <v>29</v>
      </c>
      <c r="M1473" t="s">
        <v>30</v>
      </c>
      <c r="N1473" t="s">
        <v>51</v>
      </c>
      <c r="O1473" t="s">
        <v>52</v>
      </c>
      <c r="P1473" t="s">
        <v>29</v>
      </c>
      <c r="Q1473" t="s">
        <v>30</v>
      </c>
      <c r="R1473" s="1">
        <v>44257.465254629627</v>
      </c>
      <c r="S1473" s="1">
        <v>44257.465254629627</v>
      </c>
      <c r="T1473">
        <v>1</v>
      </c>
      <c r="U1473">
        <v>1</v>
      </c>
      <c r="V1473" s="2">
        <v>1</v>
      </c>
      <c r="W1473">
        <v>0</v>
      </c>
      <c r="X1473" t="s">
        <v>30</v>
      </c>
      <c r="Y1473">
        <v>0</v>
      </c>
      <c r="Z1473" t="s">
        <v>31</v>
      </c>
      <c r="AA1473">
        <v>0</v>
      </c>
      <c r="AB1473" t="s">
        <v>31</v>
      </c>
      <c r="AC1473">
        <v>0</v>
      </c>
      <c r="AD1473" t="s">
        <v>31</v>
      </c>
      <c r="AE1473">
        <v>0</v>
      </c>
      <c r="AF1473" t="s">
        <v>31</v>
      </c>
      <c r="AG1473">
        <v>0</v>
      </c>
      <c r="AH1473" t="s">
        <v>31</v>
      </c>
      <c r="AI1473">
        <v>0</v>
      </c>
      <c r="AJ1473" t="s">
        <v>31</v>
      </c>
      <c r="AK1473">
        <v>0</v>
      </c>
      <c r="AL1473" t="s">
        <v>31</v>
      </c>
      <c r="AM1473">
        <v>0</v>
      </c>
      <c r="AN1473" t="s">
        <v>31</v>
      </c>
      <c r="AO1473">
        <v>0</v>
      </c>
      <c r="AP1473" t="s">
        <v>31</v>
      </c>
      <c r="AQ1473">
        <v>0</v>
      </c>
    </row>
    <row r="1474" spans="1:43" x14ac:dyDescent="0.2">
      <c r="A1474" t="s">
        <v>381</v>
      </c>
      <c r="B1474" s="3">
        <v>44259</v>
      </c>
      <c r="C1474">
        <v>26</v>
      </c>
      <c r="D1474" t="s">
        <v>382</v>
      </c>
      <c r="E1474" t="s">
        <v>122</v>
      </c>
      <c r="F1474" s="9" t="s">
        <v>123</v>
      </c>
      <c r="G1474" t="s">
        <v>26</v>
      </c>
      <c r="H1474" t="s">
        <v>51</v>
      </c>
      <c r="I1474" t="s">
        <v>52</v>
      </c>
      <c r="J1474" t="s">
        <v>29</v>
      </c>
      <c r="K1474" t="s">
        <v>30</v>
      </c>
      <c r="L1474" t="s">
        <v>29</v>
      </c>
      <c r="M1474" t="s">
        <v>30</v>
      </c>
      <c r="N1474" t="s">
        <v>51</v>
      </c>
      <c r="O1474" t="s">
        <v>52</v>
      </c>
      <c r="P1474" t="s">
        <v>29</v>
      </c>
      <c r="Q1474" t="s">
        <v>30</v>
      </c>
      <c r="R1474" s="1">
        <v>44259.422789351855</v>
      </c>
      <c r="S1474" s="1">
        <v>44259.423125000001</v>
      </c>
      <c r="T1474">
        <v>0</v>
      </c>
      <c r="U1474">
        <v>6</v>
      </c>
      <c r="V1474" s="2">
        <v>0</v>
      </c>
      <c r="W1474">
        <v>0</v>
      </c>
      <c r="X1474" t="s">
        <v>44</v>
      </c>
      <c r="Y1474">
        <v>0</v>
      </c>
      <c r="Z1474" t="s">
        <v>44</v>
      </c>
      <c r="AA1474">
        <v>0</v>
      </c>
      <c r="AB1474" t="s">
        <v>183</v>
      </c>
      <c r="AC1474">
        <v>0</v>
      </c>
      <c r="AD1474" t="s">
        <v>44</v>
      </c>
      <c r="AE1474">
        <v>0</v>
      </c>
      <c r="AF1474" t="s">
        <v>44</v>
      </c>
      <c r="AG1474">
        <v>0</v>
      </c>
      <c r="AH1474" t="s">
        <v>183</v>
      </c>
      <c r="AI1474">
        <v>0</v>
      </c>
      <c r="AJ1474" t="s">
        <v>31</v>
      </c>
      <c r="AK1474">
        <v>0</v>
      </c>
      <c r="AL1474" t="s">
        <v>31</v>
      </c>
      <c r="AM1474">
        <v>0</v>
      </c>
      <c r="AN1474" t="s">
        <v>31</v>
      </c>
      <c r="AO1474">
        <v>0</v>
      </c>
      <c r="AP1474" t="s">
        <v>31</v>
      </c>
      <c r="AQ1474">
        <v>0</v>
      </c>
    </row>
    <row r="1475" spans="1:43" x14ac:dyDescent="0.2">
      <c r="A1475" t="s">
        <v>381</v>
      </c>
      <c r="B1475" s="3">
        <v>44264</v>
      </c>
      <c r="C1475">
        <v>30</v>
      </c>
      <c r="D1475" t="s">
        <v>382</v>
      </c>
      <c r="E1475" t="s">
        <v>122</v>
      </c>
      <c r="F1475" s="9" t="s">
        <v>123</v>
      </c>
      <c r="G1475" t="s">
        <v>26</v>
      </c>
      <c r="H1475" t="s">
        <v>51</v>
      </c>
      <c r="I1475" t="s">
        <v>52</v>
      </c>
      <c r="J1475" t="s">
        <v>29</v>
      </c>
      <c r="K1475" t="s">
        <v>30</v>
      </c>
      <c r="L1475" t="s">
        <v>29</v>
      </c>
      <c r="M1475" t="s">
        <v>30</v>
      </c>
      <c r="N1475" t="s">
        <v>51</v>
      </c>
      <c r="O1475" t="s">
        <v>52</v>
      </c>
      <c r="P1475" t="s">
        <v>29</v>
      </c>
      <c r="Q1475" t="s">
        <v>30</v>
      </c>
      <c r="R1475" s="1">
        <v>44264.426469907405</v>
      </c>
      <c r="S1475" s="1">
        <v>44264.426469907405</v>
      </c>
      <c r="T1475">
        <v>1</v>
      </c>
      <c r="U1475">
        <v>1</v>
      </c>
      <c r="V1475" s="2">
        <v>1</v>
      </c>
      <c r="W1475">
        <v>0</v>
      </c>
      <c r="X1475" t="s">
        <v>30</v>
      </c>
      <c r="Y1475">
        <v>0</v>
      </c>
      <c r="Z1475" t="s">
        <v>31</v>
      </c>
      <c r="AA1475">
        <v>0</v>
      </c>
      <c r="AB1475" t="s">
        <v>31</v>
      </c>
      <c r="AC1475">
        <v>0</v>
      </c>
      <c r="AD1475" t="s">
        <v>31</v>
      </c>
      <c r="AE1475">
        <v>0</v>
      </c>
      <c r="AF1475" t="s">
        <v>31</v>
      </c>
      <c r="AG1475">
        <v>0</v>
      </c>
      <c r="AH1475" t="s">
        <v>31</v>
      </c>
      <c r="AI1475">
        <v>0</v>
      </c>
      <c r="AJ1475" t="s">
        <v>31</v>
      </c>
      <c r="AK1475">
        <v>0</v>
      </c>
      <c r="AL1475" t="s">
        <v>31</v>
      </c>
      <c r="AM1475">
        <v>0</v>
      </c>
      <c r="AN1475" t="s">
        <v>31</v>
      </c>
      <c r="AO1475">
        <v>0</v>
      </c>
      <c r="AP1475" t="s">
        <v>31</v>
      </c>
      <c r="AQ1475">
        <v>0</v>
      </c>
    </row>
    <row r="1476" spans="1:43" x14ac:dyDescent="0.2">
      <c r="A1476" t="s">
        <v>381</v>
      </c>
      <c r="B1476" s="3">
        <v>44264</v>
      </c>
      <c r="C1476">
        <v>31</v>
      </c>
      <c r="D1476" t="s">
        <v>385</v>
      </c>
      <c r="E1476" t="s">
        <v>122</v>
      </c>
      <c r="F1476" s="9" t="s">
        <v>123</v>
      </c>
      <c r="G1476" t="s">
        <v>26</v>
      </c>
      <c r="H1476" t="s">
        <v>51</v>
      </c>
      <c r="I1476" t="s">
        <v>52</v>
      </c>
      <c r="J1476" t="s">
        <v>29</v>
      </c>
      <c r="K1476" t="s">
        <v>30</v>
      </c>
      <c r="L1476" t="s">
        <v>29</v>
      </c>
      <c r="M1476" t="s">
        <v>30</v>
      </c>
      <c r="N1476" t="s">
        <v>51</v>
      </c>
      <c r="O1476" t="s">
        <v>52</v>
      </c>
      <c r="P1476" t="s">
        <v>29</v>
      </c>
      <c r="Q1476" t="s">
        <v>30</v>
      </c>
      <c r="R1476" s="1">
        <v>44264.621516203704</v>
      </c>
      <c r="S1476" s="1">
        <v>44264.623194444444</v>
      </c>
      <c r="T1476">
        <v>2</v>
      </c>
      <c r="U1476">
        <v>5</v>
      </c>
      <c r="V1476" s="2">
        <v>0.4</v>
      </c>
      <c r="W1476">
        <v>0</v>
      </c>
      <c r="X1476" t="s">
        <v>44</v>
      </c>
      <c r="Y1476">
        <v>0</v>
      </c>
      <c r="Z1476" t="s">
        <v>44</v>
      </c>
      <c r="AA1476">
        <v>0</v>
      </c>
      <c r="AB1476" t="s">
        <v>183</v>
      </c>
      <c r="AC1476">
        <v>0</v>
      </c>
      <c r="AD1476" t="s">
        <v>30</v>
      </c>
      <c r="AE1476">
        <v>0</v>
      </c>
      <c r="AF1476" t="s">
        <v>30</v>
      </c>
      <c r="AG1476">
        <v>0</v>
      </c>
      <c r="AH1476" t="s">
        <v>31</v>
      </c>
      <c r="AI1476">
        <v>0</v>
      </c>
      <c r="AJ1476" t="s">
        <v>31</v>
      </c>
      <c r="AK1476">
        <v>0</v>
      </c>
      <c r="AL1476" t="s">
        <v>31</v>
      </c>
      <c r="AM1476">
        <v>0</v>
      </c>
      <c r="AN1476" t="s">
        <v>31</v>
      </c>
      <c r="AO1476">
        <v>0</v>
      </c>
      <c r="AP1476" t="s">
        <v>31</v>
      </c>
      <c r="AQ1476">
        <v>0</v>
      </c>
    </row>
    <row r="1477" spans="1:43" x14ac:dyDescent="0.2">
      <c r="A1477" t="s">
        <v>381</v>
      </c>
      <c r="B1477" s="3">
        <v>44266</v>
      </c>
      <c r="C1477">
        <v>33</v>
      </c>
      <c r="D1477" t="s">
        <v>385</v>
      </c>
      <c r="E1477" t="s">
        <v>122</v>
      </c>
      <c r="F1477" s="9" t="s">
        <v>123</v>
      </c>
      <c r="G1477" t="s">
        <v>26</v>
      </c>
      <c r="H1477" t="s">
        <v>51</v>
      </c>
      <c r="I1477" t="s">
        <v>52</v>
      </c>
      <c r="J1477" t="s">
        <v>29</v>
      </c>
      <c r="K1477" t="s">
        <v>30</v>
      </c>
      <c r="L1477" t="s">
        <v>29</v>
      </c>
      <c r="M1477" t="s">
        <v>30</v>
      </c>
      <c r="N1477" t="s">
        <v>51</v>
      </c>
      <c r="O1477" t="s">
        <v>52</v>
      </c>
      <c r="P1477" t="s">
        <v>29</v>
      </c>
      <c r="Q1477" t="s">
        <v>30</v>
      </c>
      <c r="R1477" s="1">
        <v>44266.408159722225</v>
      </c>
      <c r="S1477" s="1">
        <v>44266.408159722225</v>
      </c>
      <c r="T1477">
        <v>1</v>
      </c>
      <c r="U1477">
        <v>1</v>
      </c>
      <c r="V1477" s="2">
        <v>1</v>
      </c>
      <c r="W1477">
        <v>0</v>
      </c>
      <c r="X1477" t="s">
        <v>30</v>
      </c>
      <c r="Y1477">
        <v>0</v>
      </c>
      <c r="Z1477" t="s">
        <v>31</v>
      </c>
      <c r="AA1477">
        <v>0</v>
      </c>
      <c r="AB1477" t="s">
        <v>31</v>
      </c>
      <c r="AC1477">
        <v>0</v>
      </c>
      <c r="AD1477" t="s">
        <v>31</v>
      </c>
      <c r="AE1477">
        <v>0</v>
      </c>
      <c r="AF1477" t="s">
        <v>31</v>
      </c>
      <c r="AG1477">
        <v>0</v>
      </c>
      <c r="AH1477" t="s">
        <v>31</v>
      </c>
      <c r="AI1477">
        <v>0</v>
      </c>
      <c r="AJ1477" t="s">
        <v>31</v>
      </c>
      <c r="AK1477">
        <v>0</v>
      </c>
      <c r="AL1477" t="s">
        <v>31</v>
      </c>
      <c r="AM1477">
        <v>0</v>
      </c>
      <c r="AN1477" t="s">
        <v>31</v>
      </c>
      <c r="AO1477">
        <v>0</v>
      </c>
      <c r="AP1477" t="s">
        <v>31</v>
      </c>
      <c r="AQ1477">
        <v>0</v>
      </c>
    </row>
    <row r="1478" spans="1:43" x14ac:dyDescent="0.2">
      <c r="A1478" t="s">
        <v>381</v>
      </c>
      <c r="B1478" s="3">
        <v>44266</v>
      </c>
      <c r="C1478">
        <v>34</v>
      </c>
      <c r="D1478" t="s">
        <v>385</v>
      </c>
      <c r="E1478" t="s">
        <v>122</v>
      </c>
      <c r="F1478" s="9" t="s">
        <v>123</v>
      </c>
      <c r="G1478" t="s">
        <v>26</v>
      </c>
      <c r="H1478" t="s">
        <v>51</v>
      </c>
      <c r="I1478" t="s">
        <v>52</v>
      </c>
      <c r="J1478" t="s">
        <v>29</v>
      </c>
      <c r="K1478" t="s">
        <v>30</v>
      </c>
      <c r="L1478" t="s">
        <v>29</v>
      </c>
      <c r="M1478" t="s">
        <v>30</v>
      </c>
      <c r="N1478" t="s">
        <v>51</v>
      </c>
      <c r="O1478" t="s">
        <v>52</v>
      </c>
      <c r="P1478" t="s">
        <v>29</v>
      </c>
      <c r="Q1478" t="s">
        <v>30</v>
      </c>
      <c r="R1478" s="1">
        <v>44266.58935185185</v>
      </c>
      <c r="S1478" s="1">
        <v>44266.589363425926</v>
      </c>
      <c r="T1478">
        <v>0</v>
      </c>
      <c r="U1478">
        <v>2</v>
      </c>
      <c r="V1478" s="2">
        <v>0</v>
      </c>
      <c r="W1478">
        <v>0</v>
      </c>
      <c r="X1478" t="s">
        <v>44</v>
      </c>
      <c r="Y1478">
        <v>0</v>
      </c>
      <c r="Z1478" t="s">
        <v>44</v>
      </c>
      <c r="AA1478">
        <v>0</v>
      </c>
      <c r="AB1478" t="s">
        <v>31</v>
      </c>
      <c r="AC1478">
        <v>0</v>
      </c>
      <c r="AD1478" t="s">
        <v>31</v>
      </c>
      <c r="AE1478">
        <v>0</v>
      </c>
      <c r="AF1478" t="s">
        <v>31</v>
      </c>
      <c r="AG1478">
        <v>0</v>
      </c>
      <c r="AH1478" t="s">
        <v>31</v>
      </c>
      <c r="AI1478">
        <v>0</v>
      </c>
      <c r="AJ1478" t="s">
        <v>31</v>
      </c>
      <c r="AK1478">
        <v>0</v>
      </c>
      <c r="AL1478" t="s">
        <v>31</v>
      </c>
      <c r="AM1478">
        <v>0</v>
      </c>
      <c r="AN1478" t="s">
        <v>31</v>
      </c>
      <c r="AO1478">
        <v>0</v>
      </c>
      <c r="AP1478" t="s">
        <v>31</v>
      </c>
      <c r="AQ1478">
        <v>0</v>
      </c>
    </row>
    <row r="1479" spans="1:43" x14ac:dyDescent="0.2">
      <c r="A1479" t="s">
        <v>381</v>
      </c>
      <c r="B1479" s="3">
        <v>44270</v>
      </c>
      <c r="C1479">
        <v>35</v>
      </c>
      <c r="D1479" t="s">
        <v>384</v>
      </c>
      <c r="E1479" t="s">
        <v>122</v>
      </c>
      <c r="F1479" s="9" t="s">
        <v>123</v>
      </c>
      <c r="G1479" t="s">
        <v>26</v>
      </c>
      <c r="H1479" t="s">
        <v>51</v>
      </c>
      <c r="I1479" t="s">
        <v>52</v>
      </c>
      <c r="J1479" t="s">
        <v>29</v>
      </c>
      <c r="K1479" t="s">
        <v>30</v>
      </c>
      <c r="L1479" t="s">
        <v>29</v>
      </c>
      <c r="M1479" t="s">
        <v>30</v>
      </c>
      <c r="N1479" t="s">
        <v>51</v>
      </c>
      <c r="O1479" t="s">
        <v>52</v>
      </c>
      <c r="P1479" t="s">
        <v>29</v>
      </c>
      <c r="Q1479" t="s">
        <v>30</v>
      </c>
      <c r="R1479" s="1">
        <v>44270.433171296296</v>
      </c>
      <c r="S1479" s="1">
        <v>44270.433171296296</v>
      </c>
      <c r="T1479">
        <v>1</v>
      </c>
      <c r="U1479">
        <v>1</v>
      </c>
      <c r="V1479" s="2">
        <v>1</v>
      </c>
      <c r="W1479">
        <v>0</v>
      </c>
      <c r="X1479" t="s">
        <v>30</v>
      </c>
      <c r="Y1479">
        <v>0</v>
      </c>
      <c r="Z1479" t="s">
        <v>31</v>
      </c>
      <c r="AA1479">
        <v>0</v>
      </c>
      <c r="AB1479" t="s">
        <v>31</v>
      </c>
      <c r="AC1479">
        <v>0</v>
      </c>
      <c r="AD1479" t="s">
        <v>31</v>
      </c>
      <c r="AE1479">
        <v>0</v>
      </c>
      <c r="AF1479" t="s">
        <v>31</v>
      </c>
      <c r="AG1479">
        <v>0</v>
      </c>
      <c r="AH1479" t="s">
        <v>31</v>
      </c>
      <c r="AI1479">
        <v>0</v>
      </c>
      <c r="AJ1479" t="s">
        <v>31</v>
      </c>
      <c r="AK1479">
        <v>0</v>
      </c>
      <c r="AL1479" t="s">
        <v>31</v>
      </c>
      <c r="AM1479">
        <v>0</v>
      </c>
      <c r="AN1479" t="s">
        <v>31</v>
      </c>
      <c r="AO1479">
        <v>0</v>
      </c>
      <c r="AP1479" t="s">
        <v>31</v>
      </c>
      <c r="AQ1479">
        <v>0</v>
      </c>
    </row>
    <row r="1480" spans="1:43" x14ac:dyDescent="0.2">
      <c r="A1480" t="s">
        <v>381</v>
      </c>
      <c r="B1480" s="3">
        <v>44271</v>
      </c>
      <c r="C1480">
        <v>36</v>
      </c>
      <c r="D1480" t="s">
        <v>385</v>
      </c>
      <c r="E1480" t="s">
        <v>122</v>
      </c>
      <c r="F1480" s="9" t="s">
        <v>123</v>
      </c>
      <c r="G1480" t="s">
        <v>26</v>
      </c>
      <c r="H1480" t="s">
        <v>51</v>
      </c>
      <c r="I1480" t="s">
        <v>52</v>
      </c>
      <c r="J1480" t="s">
        <v>29</v>
      </c>
      <c r="K1480" t="s">
        <v>30</v>
      </c>
      <c r="L1480" t="s">
        <v>29</v>
      </c>
      <c r="M1480" t="s">
        <v>30</v>
      </c>
      <c r="N1480" t="s">
        <v>51</v>
      </c>
      <c r="O1480" t="s">
        <v>52</v>
      </c>
      <c r="P1480" t="s">
        <v>29</v>
      </c>
      <c r="Q1480" t="s">
        <v>30</v>
      </c>
      <c r="R1480" s="1">
        <v>44271.492349537039</v>
      </c>
      <c r="S1480" s="1">
        <v>44271.493067129632</v>
      </c>
      <c r="T1480">
        <v>3</v>
      </c>
      <c r="U1480">
        <v>5</v>
      </c>
      <c r="V1480" s="2">
        <v>0.6</v>
      </c>
      <c r="W1480">
        <v>0</v>
      </c>
      <c r="X1480" t="s">
        <v>30</v>
      </c>
      <c r="Y1480">
        <v>0</v>
      </c>
      <c r="Z1480" t="s">
        <v>30</v>
      </c>
      <c r="AA1480">
        <v>0</v>
      </c>
      <c r="AB1480" t="s">
        <v>44</v>
      </c>
      <c r="AC1480">
        <v>0</v>
      </c>
      <c r="AD1480" t="s">
        <v>183</v>
      </c>
      <c r="AE1480">
        <v>0</v>
      </c>
      <c r="AF1480" t="s">
        <v>30</v>
      </c>
      <c r="AG1480">
        <v>0</v>
      </c>
      <c r="AH1480" t="s">
        <v>31</v>
      </c>
      <c r="AI1480">
        <v>0</v>
      </c>
      <c r="AJ1480" t="s">
        <v>31</v>
      </c>
      <c r="AK1480">
        <v>0</v>
      </c>
      <c r="AL1480" t="s">
        <v>31</v>
      </c>
      <c r="AM1480">
        <v>0</v>
      </c>
      <c r="AN1480" t="s">
        <v>31</v>
      </c>
      <c r="AO1480">
        <v>0</v>
      </c>
      <c r="AP1480" t="s">
        <v>31</v>
      </c>
      <c r="AQ1480">
        <v>0</v>
      </c>
    </row>
    <row r="1481" spans="1:43" x14ac:dyDescent="0.2">
      <c r="A1481" t="s">
        <v>381</v>
      </c>
      <c r="B1481" s="3">
        <v>44273</v>
      </c>
      <c r="C1481">
        <v>39</v>
      </c>
      <c r="D1481" t="s">
        <v>385</v>
      </c>
      <c r="E1481" t="s">
        <v>122</v>
      </c>
      <c r="F1481" s="9" t="s">
        <v>123</v>
      </c>
      <c r="G1481" t="s">
        <v>26</v>
      </c>
      <c r="H1481" t="s">
        <v>51</v>
      </c>
      <c r="I1481" t="s">
        <v>52</v>
      </c>
      <c r="J1481" t="s">
        <v>29</v>
      </c>
      <c r="K1481" t="s">
        <v>30</v>
      </c>
      <c r="L1481" t="s">
        <v>29</v>
      </c>
      <c r="M1481" t="s">
        <v>30</v>
      </c>
      <c r="N1481" t="s">
        <v>51</v>
      </c>
      <c r="O1481" t="s">
        <v>52</v>
      </c>
      <c r="P1481" t="s">
        <v>29</v>
      </c>
      <c r="Q1481" t="s">
        <v>30</v>
      </c>
      <c r="R1481" s="1">
        <v>44273.413310185184</v>
      </c>
      <c r="S1481" s="1">
        <v>44273.413310185184</v>
      </c>
      <c r="T1481">
        <v>0</v>
      </c>
      <c r="U1481">
        <v>1</v>
      </c>
      <c r="V1481" s="2">
        <v>0</v>
      </c>
      <c r="W1481">
        <v>0</v>
      </c>
      <c r="X1481" t="s">
        <v>44</v>
      </c>
      <c r="Y1481">
        <v>0</v>
      </c>
      <c r="Z1481" t="s">
        <v>31</v>
      </c>
      <c r="AA1481">
        <v>0</v>
      </c>
      <c r="AB1481" t="s">
        <v>31</v>
      </c>
      <c r="AC1481">
        <v>0</v>
      </c>
      <c r="AD1481" t="s">
        <v>31</v>
      </c>
      <c r="AE1481">
        <v>0</v>
      </c>
      <c r="AF1481" t="s">
        <v>31</v>
      </c>
      <c r="AG1481">
        <v>0</v>
      </c>
      <c r="AH1481" t="s">
        <v>31</v>
      </c>
      <c r="AI1481">
        <v>0</v>
      </c>
      <c r="AJ1481" t="s">
        <v>31</v>
      </c>
      <c r="AK1481">
        <v>0</v>
      </c>
      <c r="AL1481" t="s">
        <v>31</v>
      </c>
      <c r="AM1481">
        <v>0</v>
      </c>
      <c r="AN1481" t="s">
        <v>31</v>
      </c>
      <c r="AO1481">
        <v>0</v>
      </c>
      <c r="AP1481" t="s">
        <v>31</v>
      </c>
      <c r="AQ1481">
        <v>0</v>
      </c>
    </row>
    <row r="1482" spans="1:43" x14ac:dyDescent="0.2">
      <c r="A1482" t="s">
        <v>381</v>
      </c>
      <c r="B1482" s="3">
        <v>44273</v>
      </c>
      <c r="C1482">
        <v>40</v>
      </c>
      <c r="D1482" t="s">
        <v>385</v>
      </c>
      <c r="E1482" t="s">
        <v>122</v>
      </c>
      <c r="F1482" s="9" t="s">
        <v>123</v>
      </c>
      <c r="G1482" t="s">
        <v>26</v>
      </c>
      <c r="H1482" t="s">
        <v>51</v>
      </c>
      <c r="I1482" t="s">
        <v>52</v>
      </c>
      <c r="J1482" t="s">
        <v>29</v>
      </c>
      <c r="K1482" t="s">
        <v>30</v>
      </c>
      <c r="L1482" t="s">
        <v>29</v>
      </c>
      <c r="M1482" t="s">
        <v>30</v>
      </c>
      <c r="N1482" t="s">
        <v>51</v>
      </c>
      <c r="O1482" t="s">
        <v>52</v>
      </c>
      <c r="P1482" t="s">
        <v>29</v>
      </c>
      <c r="Q1482" t="s">
        <v>30</v>
      </c>
      <c r="R1482" s="1">
        <v>44273.57885416667</v>
      </c>
      <c r="S1482" s="1">
        <v>44273.57885416667</v>
      </c>
      <c r="T1482">
        <v>0</v>
      </c>
      <c r="U1482">
        <v>2</v>
      </c>
      <c r="V1482" s="2">
        <v>0</v>
      </c>
      <c r="W1482">
        <v>0</v>
      </c>
      <c r="X1482" t="s">
        <v>44</v>
      </c>
      <c r="Y1482">
        <v>0</v>
      </c>
      <c r="Z1482" t="s">
        <v>44</v>
      </c>
      <c r="AA1482">
        <v>0</v>
      </c>
      <c r="AB1482" t="s">
        <v>31</v>
      </c>
      <c r="AC1482">
        <v>0</v>
      </c>
      <c r="AD1482" t="s">
        <v>31</v>
      </c>
      <c r="AE1482">
        <v>0</v>
      </c>
      <c r="AF1482" t="s">
        <v>31</v>
      </c>
      <c r="AG1482">
        <v>0</v>
      </c>
      <c r="AH1482" t="s">
        <v>31</v>
      </c>
      <c r="AI1482">
        <v>0</v>
      </c>
      <c r="AJ1482" t="s">
        <v>31</v>
      </c>
      <c r="AK1482">
        <v>0</v>
      </c>
      <c r="AL1482" t="s">
        <v>31</v>
      </c>
      <c r="AM1482">
        <v>0</v>
      </c>
      <c r="AN1482" t="s">
        <v>31</v>
      </c>
      <c r="AO1482">
        <v>0</v>
      </c>
      <c r="AP1482" t="s">
        <v>31</v>
      </c>
      <c r="AQ1482">
        <v>0</v>
      </c>
    </row>
    <row r="1483" spans="1:43" x14ac:dyDescent="0.2">
      <c r="A1483" t="s">
        <v>381</v>
      </c>
      <c r="B1483" s="3">
        <v>44284</v>
      </c>
      <c r="C1483">
        <v>43</v>
      </c>
      <c r="D1483" t="s">
        <v>384</v>
      </c>
      <c r="E1483" t="s">
        <v>122</v>
      </c>
      <c r="F1483" s="9" t="s">
        <v>123</v>
      </c>
      <c r="G1483" t="s">
        <v>26</v>
      </c>
      <c r="H1483" t="s">
        <v>51</v>
      </c>
      <c r="I1483" t="s">
        <v>52</v>
      </c>
      <c r="J1483" t="s">
        <v>29</v>
      </c>
      <c r="K1483" t="s">
        <v>30</v>
      </c>
      <c r="L1483" t="s">
        <v>29</v>
      </c>
      <c r="M1483" t="s">
        <v>30</v>
      </c>
      <c r="N1483" t="s">
        <v>51</v>
      </c>
      <c r="O1483" t="s">
        <v>52</v>
      </c>
      <c r="P1483" t="s">
        <v>29</v>
      </c>
      <c r="Q1483" t="s">
        <v>30</v>
      </c>
      <c r="R1483" s="1">
        <v>44284.427777777775</v>
      </c>
      <c r="S1483" s="1">
        <v>44284.427777777775</v>
      </c>
      <c r="T1483">
        <v>1</v>
      </c>
      <c r="U1483">
        <v>1</v>
      </c>
      <c r="V1483" s="2">
        <v>1</v>
      </c>
      <c r="W1483">
        <v>0</v>
      </c>
      <c r="X1483" t="s">
        <v>30</v>
      </c>
      <c r="Y1483">
        <v>0</v>
      </c>
      <c r="Z1483" t="s">
        <v>31</v>
      </c>
      <c r="AA1483">
        <v>0</v>
      </c>
      <c r="AB1483" t="s">
        <v>31</v>
      </c>
      <c r="AC1483">
        <v>0</v>
      </c>
      <c r="AD1483" t="s">
        <v>31</v>
      </c>
      <c r="AE1483">
        <v>0</v>
      </c>
      <c r="AF1483" t="s">
        <v>31</v>
      </c>
      <c r="AG1483">
        <v>0</v>
      </c>
      <c r="AH1483" t="s">
        <v>31</v>
      </c>
      <c r="AI1483">
        <v>0</v>
      </c>
      <c r="AJ1483" t="s">
        <v>31</v>
      </c>
      <c r="AK1483">
        <v>0</v>
      </c>
      <c r="AL1483" t="s">
        <v>31</v>
      </c>
      <c r="AM1483">
        <v>0</v>
      </c>
      <c r="AN1483" t="s">
        <v>31</v>
      </c>
      <c r="AO1483">
        <v>0</v>
      </c>
      <c r="AP1483" t="s">
        <v>31</v>
      </c>
      <c r="AQ1483">
        <v>0</v>
      </c>
    </row>
    <row r="1484" spans="1:43" x14ac:dyDescent="0.2">
      <c r="A1484" t="s">
        <v>381</v>
      </c>
      <c r="B1484" s="3">
        <v>44285</v>
      </c>
      <c r="C1484">
        <v>45</v>
      </c>
      <c r="D1484" t="s">
        <v>385</v>
      </c>
      <c r="E1484" t="s">
        <v>122</v>
      </c>
      <c r="F1484" s="9" t="s">
        <v>123</v>
      </c>
      <c r="G1484" t="s">
        <v>26</v>
      </c>
      <c r="H1484" t="s">
        <v>51</v>
      </c>
      <c r="I1484" t="s">
        <v>52</v>
      </c>
      <c r="J1484" t="s">
        <v>29</v>
      </c>
      <c r="K1484" t="s">
        <v>30</v>
      </c>
      <c r="L1484" t="s">
        <v>29</v>
      </c>
      <c r="M1484" t="s">
        <v>30</v>
      </c>
      <c r="N1484" t="s">
        <v>51</v>
      </c>
      <c r="O1484" t="s">
        <v>52</v>
      </c>
      <c r="P1484" t="s">
        <v>29</v>
      </c>
      <c r="Q1484" t="s">
        <v>30</v>
      </c>
      <c r="R1484" s="1">
        <v>44285.597407407404</v>
      </c>
      <c r="S1484" s="1">
        <v>44285.597407407404</v>
      </c>
      <c r="T1484">
        <v>1</v>
      </c>
      <c r="U1484">
        <v>1</v>
      </c>
      <c r="V1484" s="2">
        <v>1</v>
      </c>
      <c r="W1484">
        <v>0</v>
      </c>
      <c r="X1484" t="s">
        <v>30</v>
      </c>
      <c r="Y1484">
        <v>0</v>
      </c>
      <c r="Z1484" t="s">
        <v>31</v>
      </c>
      <c r="AA1484">
        <v>0</v>
      </c>
      <c r="AB1484" t="s">
        <v>31</v>
      </c>
      <c r="AC1484">
        <v>0</v>
      </c>
      <c r="AD1484" t="s">
        <v>31</v>
      </c>
      <c r="AE1484">
        <v>0</v>
      </c>
      <c r="AF1484" t="s">
        <v>31</v>
      </c>
      <c r="AG1484">
        <v>0</v>
      </c>
      <c r="AH1484" t="s">
        <v>31</v>
      </c>
      <c r="AI1484">
        <v>0</v>
      </c>
      <c r="AJ1484" t="s">
        <v>31</v>
      </c>
      <c r="AK1484">
        <v>0</v>
      </c>
      <c r="AL1484" t="s">
        <v>31</v>
      </c>
      <c r="AM1484">
        <v>0</v>
      </c>
      <c r="AN1484" t="s">
        <v>31</v>
      </c>
      <c r="AO1484">
        <v>0</v>
      </c>
      <c r="AP1484" t="s">
        <v>31</v>
      </c>
      <c r="AQ1484">
        <v>0</v>
      </c>
    </row>
    <row r="1485" spans="1:43" x14ac:dyDescent="0.2">
      <c r="A1485" t="s">
        <v>381</v>
      </c>
      <c r="B1485" s="3">
        <v>44286</v>
      </c>
      <c r="C1485">
        <v>46</v>
      </c>
      <c r="D1485" t="s">
        <v>384</v>
      </c>
      <c r="E1485" t="s">
        <v>122</v>
      </c>
      <c r="F1485" s="9" t="s">
        <v>123</v>
      </c>
      <c r="G1485" t="s">
        <v>26</v>
      </c>
      <c r="H1485" t="s">
        <v>51</v>
      </c>
      <c r="I1485" t="s">
        <v>52</v>
      </c>
      <c r="J1485" t="s">
        <v>29</v>
      </c>
      <c r="K1485" t="s">
        <v>30</v>
      </c>
      <c r="L1485" t="s">
        <v>29</v>
      </c>
      <c r="M1485" t="s">
        <v>30</v>
      </c>
      <c r="N1485" t="s">
        <v>51</v>
      </c>
      <c r="O1485" t="s">
        <v>52</v>
      </c>
      <c r="P1485" t="s">
        <v>29</v>
      </c>
      <c r="Q1485" t="s">
        <v>30</v>
      </c>
      <c r="R1485" s="1">
        <v>44286.434791666667</v>
      </c>
      <c r="S1485" s="1">
        <v>44286.434791666667</v>
      </c>
      <c r="T1485">
        <v>1</v>
      </c>
      <c r="U1485">
        <v>1</v>
      </c>
      <c r="V1485" s="2">
        <v>1</v>
      </c>
      <c r="W1485">
        <v>0</v>
      </c>
      <c r="X1485" t="s">
        <v>30</v>
      </c>
      <c r="Y1485">
        <v>0</v>
      </c>
      <c r="Z1485" t="s">
        <v>31</v>
      </c>
      <c r="AA1485">
        <v>0</v>
      </c>
      <c r="AB1485" t="s">
        <v>31</v>
      </c>
      <c r="AC1485">
        <v>0</v>
      </c>
      <c r="AD1485" t="s">
        <v>31</v>
      </c>
      <c r="AE1485">
        <v>0</v>
      </c>
      <c r="AF1485" t="s">
        <v>31</v>
      </c>
      <c r="AG1485">
        <v>0</v>
      </c>
      <c r="AH1485" t="s">
        <v>31</v>
      </c>
      <c r="AI1485">
        <v>0</v>
      </c>
      <c r="AJ1485" t="s">
        <v>31</v>
      </c>
      <c r="AK1485">
        <v>0</v>
      </c>
      <c r="AL1485" t="s">
        <v>31</v>
      </c>
      <c r="AM1485">
        <v>0</v>
      </c>
      <c r="AN1485" t="s">
        <v>31</v>
      </c>
      <c r="AO1485">
        <v>0</v>
      </c>
      <c r="AP1485" t="s">
        <v>31</v>
      </c>
      <c r="AQ1485">
        <v>0</v>
      </c>
    </row>
    <row r="1486" spans="1:43" x14ac:dyDescent="0.2">
      <c r="A1486" t="s">
        <v>381</v>
      </c>
      <c r="B1486" s="3">
        <v>44287</v>
      </c>
      <c r="C1486">
        <v>47</v>
      </c>
      <c r="D1486" t="s">
        <v>385</v>
      </c>
      <c r="E1486" t="s">
        <v>122</v>
      </c>
      <c r="F1486" s="9" t="s">
        <v>123</v>
      </c>
      <c r="G1486" t="s">
        <v>26</v>
      </c>
      <c r="H1486" t="s">
        <v>51</v>
      </c>
      <c r="I1486" t="s">
        <v>52</v>
      </c>
      <c r="J1486" t="s">
        <v>29</v>
      </c>
      <c r="K1486" t="s">
        <v>30</v>
      </c>
      <c r="L1486" t="s">
        <v>29</v>
      </c>
      <c r="M1486" t="s">
        <v>30</v>
      </c>
      <c r="N1486" t="s">
        <v>51</v>
      </c>
      <c r="O1486" t="s">
        <v>52</v>
      </c>
      <c r="P1486" t="s">
        <v>29</v>
      </c>
      <c r="Q1486" t="s">
        <v>30</v>
      </c>
      <c r="R1486" s="1">
        <v>44287.43378472222</v>
      </c>
      <c r="S1486" s="1">
        <v>44287.43378472222</v>
      </c>
      <c r="T1486">
        <v>1</v>
      </c>
      <c r="U1486">
        <v>1</v>
      </c>
      <c r="V1486" s="2">
        <v>1</v>
      </c>
      <c r="W1486">
        <v>0</v>
      </c>
      <c r="X1486" t="s">
        <v>30</v>
      </c>
      <c r="Y1486">
        <v>0</v>
      </c>
      <c r="Z1486" t="s">
        <v>31</v>
      </c>
      <c r="AA1486">
        <v>0</v>
      </c>
      <c r="AB1486" t="s">
        <v>31</v>
      </c>
      <c r="AC1486">
        <v>0</v>
      </c>
      <c r="AD1486" t="s">
        <v>31</v>
      </c>
      <c r="AE1486">
        <v>0</v>
      </c>
      <c r="AF1486" t="s">
        <v>31</v>
      </c>
      <c r="AG1486">
        <v>0</v>
      </c>
      <c r="AH1486" t="s">
        <v>31</v>
      </c>
      <c r="AI1486">
        <v>0</v>
      </c>
      <c r="AJ1486" t="s">
        <v>31</v>
      </c>
      <c r="AK1486">
        <v>0</v>
      </c>
      <c r="AL1486" t="s">
        <v>31</v>
      </c>
      <c r="AM1486">
        <v>0</v>
      </c>
      <c r="AN1486" t="s">
        <v>31</v>
      </c>
      <c r="AO1486">
        <v>0</v>
      </c>
      <c r="AP1486" t="s">
        <v>31</v>
      </c>
      <c r="AQ1486">
        <v>0</v>
      </c>
    </row>
    <row r="1487" spans="1:43" x14ac:dyDescent="0.2">
      <c r="A1487" t="s">
        <v>381</v>
      </c>
      <c r="B1487" s="3">
        <v>44287</v>
      </c>
      <c r="C1487">
        <v>48</v>
      </c>
      <c r="D1487" t="s">
        <v>385</v>
      </c>
      <c r="E1487" t="s">
        <v>122</v>
      </c>
      <c r="F1487" s="9" t="s">
        <v>123</v>
      </c>
      <c r="G1487" t="s">
        <v>26</v>
      </c>
      <c r="H1487" t="s">
        <v>51</v>
      </c>
      <c r="I1487" t="s">
        <v>52</v>
      </c>
      <c r="J1487" t="s">
        <v>29</v>
      </c>
      <c r="K1487" t="s">
        <v>30</v>
      </c>
      <c r="L1487" t="s">
        <v>29</v>
      </c>
      <c r="M1487" t="s">
        <v>30</v>
      </c>
      <c r="N1487" t="s">
        <v>51</v>
      </c>
      <c r="O1487" t="s">
        <v>52</v>
      </c>
      <c r="P1487" t="s">
        <v>29</v>
      </c>
      <c r="Q1487" t="s">
        <v>30</v>
      </c>
      <c r="R1487" s="1">
        <v>44287.544675925928</v>
      </c>
      <c r="S1487" s="1">
        <v>44287.544675925928</v>
      </c>
      <c r="T1487">
        <v>1</v>
      </c>
      <c r="U1487">
        <v>1</v>
      </c>
      <c r="V1487" s="2">
        <v>1</v>
      </c>
      <c r="W1487">
        <v>0</v>
      </c>
      <c r="X1487" t="s">
        <v>30</v>
      </c>
      <c r="Y1487">
        <v>0</v>
      </c>
      <c r="Z1487" t="s">
        <v>31</v>
      </c>
      <c r="AA1487">
        <v>0</v>
      </c>
      <c r="AB1487" t="s">
        <v>31</v>
      </c>
      <c r="AC1487">
        <v>0</v>
      </c>
      <c r="AD1487" t="s">
        <v>31</v>
      </c>
      <c r="AE1487">
        <v>0</v>
      </c>
      <c r="AF1487" t="s">
        <v>31</v>
      </c>
      <c r="AG1487">
        <v>0</v>
      </c>
      <c r="AH1487" t="s">
        <v>31</v>
      </c>
      <c r="AI1487">
        <v>0</v>
      </c>
      <c r="AJ1487" t="s">
        <v>31</v>
      </c>
      <c r="AK1487">
        <v>0</v>
      </c>
      <c r="AL1487" t="s">
        <v>31</v>
      </c>
      <c r="AM1487">
        <v>0</v>
      </c>
      <c r="AN1487" t="s">
        <v>31</v>
      </c>
      <c r="AO1487">
        <v>0</v>
      </c>
      <c r="AP1487" t="s">
        <v>31</v>
      </c>
      <c r="AQ1487">
        <v>0</v>
      </c>
    </row>
    <row r="1488" spans="1:43" x14ac:dyDescent="0.2">
      <c r="A1488" t="s">
        <v>381</v>
      </c>
      <c r="B1488" s="3">
        <v>44292</v>
      </c>
      <c r="C1488">
        <v>51</v>
      </c>
      <c r="D1488" t="s">
        <v>385</v>
      </c>
      <c r="E1488" t="s">
        <v>122</v>
      </c>
      <c r="F1488" s="9" t="s">
        <v>123</v>
      </c>
      <c r="G1488" t="s">
        <v>26</v>
      </c>
      <c r="H1488" t="s">
        <v>51</v>
      </c>
      <c r="I1488" t="s">
        <v>52</v>
      </c>
      <c r="J1488" t="s">
        <v>29</v>
      </c>
      <c r="K1488" t="s">
        <v>30</v>
      </c>
      <c r="L1488" t="s">
        <v>29</v>
      </c>
      <c r="M1488" t="s">
        <v>30</v>
      </c>
      <c r="N1488" t="s">
        <v>51</v>
      </c>
      <c r="O1488" t="s">
        <v>52</v>
      </c>
      <c r="P1488" t="s">
        <v>29</v>
      </c>
      <c r="Q1488" t="s">
        <v>30</v>
      </c>
      <c r="R1488" s="1">
        <v>44292.454571759263</v>
      </c>
      <c r="S1488" s="1">
        <v>44292.454594907409</v>
      </c>
      <c r="T1488">
        <v>1</v>
      </c>
      <c r="U1488">
        <v>1</v>
      </c>
      <c r="V1488" s="2">
        <v>1</v>
      </c>
      <c r="W1488">
        <v>0</v>
      </c>
      <c r="X1488" t="s">
        <v>30</v>
      </c>
      <c r="Y1488">
        <v>0</v>
      </c>
      <c r="Z1488" t="s">
        <v>31</v>
      </c>
      <c r="AA1488">
        <v>0</v>
      </c>
      <c r="AB1488" t="s">
        <v>31</v>
      </c>
      <c r="AC1488">
        <v>0</v>
      </c>
      <c r="AD1488" t="s">
        <v>31</v>
      </c>
      <c r="AE1488">
        <v>0</v>
      </c>
      <c r="AF1488" t="s">
        <v>31</v>
      </c>
      <c r="AG1488">
        <v>0</v>
      </c>
      <c r="AH1488" t="s">
        <v>31</v>
      </c>
      <c r="AI1488">
        <v>0</v>
      </c>
      <c r="AJ1488" t="s">
        <v>31</v>
      </c>
      <c r="AK1488">
        <v>0</v>
      </c>
      <c r="AL1488" t="s">
        <v>31</v>
      </c>
      <c r="AM1488">
        <v>0</v>
      </c>
      <c r="AN1488" t="s">
        <v>31</v>
      </c>
      <c r="AO1488">
        <v>0</v>
      </c>
      <c r="AP1488" t="s">
        <v>31</v>
      </c>
      <c r="AQ1488">
        <v>0</v>
      </c>
    </row>
    <row r="1489" spans="1:43" x14ac:dyDescent="0.2">
      <c r="A1489" t="s">
        <v>381</v>
      </c>
      <c r="B1489" s="3">
        <v>44293</v>
      </c>
      <c r="C1489">
        <v>53</v>
      </c>
      <c r="D1489" t="s">
        <v>384</v>
      </c>
      <c r="E1489" t="s">
        <v>122</v>
      </c>
      <c r="F1489" s="9" t="s">
        <v>123</v>
      </c>
      <c r="G1489" t="s">
        <v>26</v>
      </c>
      <c r="H1489" t="s">
        <v>51</v>
      </c>
      <c r="I1489" t="s">
        <v>52</v>
      </c>
      <c r="J1489" t="s">
        <v>29</v>
      </c>
      <c r="K1489" t="s">
        <v>30</v>
      </c>
      <c r="L1489" t="s">
        <v>29</v>
      </c>
      <c r="M1489" t="s">
        <v>30</v>
      </c>
      <c r="N1489" t="s">
        <v>51</v>
      </c>
      <c r="O1489" t="s">
        <v>52</v>
      </c>
      <c r="P1489" t="s">
        <v>29</v>
      </c>
      <c r="Q1489" t="s">
        <v>30</v>
      </c>
      <c r="R1489" s="1">
        <v>44293.413946759261</v>
      </c>
      <c r="S1489" s="1">
        <v>44293.413946759261</v>
      </c>
      <c r="T1489">
        <v>1</v>
      </c>
      <c r="U1489">
        <v>1</v>
      </c>
      <c r="V1489" s="2">
        <v>1</v>
      </c>
      <c r="W1489">
        <v>0</v>
      </c>
      <c r="X1489" t="s">
        <v>30</v>
      </c>
      <c r="Y1489">
        <v>0</v>
      </c>
      <c r="Z1489" t="s">
        <v>31</v>
      </c>
      <c r="AA1489">
        <v>0</v>
      </c>
      <c r="AB1489" t="s">
        <v>31</v>
      </c>
      <c r="AC1489">
        <v>0</v>
      </c>
      <c r="AD1489" t="s">
        <v>31</v>
      </c>
      <c r="AE1489">
        <v>0</v>
      </c>
      <c r="AF1489" t="s">
        <v>31</v>
      </c>
      <c r="AG1489">
        <v>0</v>
      </c>
      <c r="AH1489" t="s">
        <v>31</v>
      </c>
      <c r="AI1489">
        <v>0</v>
      </c>
      <c r="AJ1489" t="s">
        <v>31</v>
      </c>
      <c r="AK1489">
        <v>0</v>
      </c>
      <c r="AL1489" t="s">
        <v>31</v>
      </c>
      <c r="AM1489">
        <v>0</v>
      </c>
      <c r="AN1489" t="s">
        <v>31</v>
      </c>
      <c r="AO1489">
        <v>0</v>
      </c>
      <c r="AP1489" t="s">
        <v>31</v>
      </c>
      <c r="AQ1489">
        <v>0</v>
      </c>
    </row>
    <row r="1490" spans="1:43" x14ac:dyDescent="0.2">
      <c r="A1490" t="s">
        <v>381</v>
      </c>
      <c r="B1490" s="3">
        <v>44299</v>
      </c>
      <c r="C1490">
        <v>59</v>
      </c>
      <c r="D1490" t="s">
        <v>385</v>
      </c>
      <c r="E1490" t="s">
        <v>122</v>
      </c>
      <c r="F1490" s="9" t="s">
        <v>123</v>
      </c>
      <c r="G1490" t="s">
        <v>26</v>
      </c>
      <c r="H1490" t="s">
        <v>51</v>
      </c>
      <c r="I1490" t="s">
        <v>52</v>
      </c>
      <c r="J1490" t="s">
        <v>29</v>
      </c>
      <c r="K1490" t="s">
        <v>30</v>
      </c>
      <c r="L1490" t="s">
        <v>29</v>
      </c>
      <c r="M1490" t="s">
        <v>30</v>
      </c>
      <c r="N1490" t="s">
        <v>51</v>
      </c>
      <c r="O1490" t="s">
        <v>52</v>
      </c>
      <c r="P1490" t="s">
        <v>29</v>
      </c>
      <c r="Q1490" t="s">
        <v>30</v>
      </c>
      <c r="R1490" s="1">
        <v>44299.566620370373</v>
      </c>
      <c r="S1490" s="1">
        <v>44299.586909722224</v>
      </c>
      <c r="T1490">
        <v>3</v>
      </c>
      <c r="U1490">
        <v>4</v>
      </c>
      <c r="V1490" s="2">
        <v>0.75</v>
      </c>
      <c r="W1490">
        <v>0</v>
      </c>
      <c r="X1490" t="s">
        <v>30</v>
      </c>
      <c r="Y1490">
        <v>0</v>
      </c>
      <c r="Z1490" t="s">
        <v>30</v>
      </c>
      <c r="AA1490">
        <v>0</v>
      </c>
      <c r="AB1490" t="s">
        <v>30</v>
      </c>
      <c r="AC1490">
        <v>0</v>
      </c>
      <c r="AD1490" t="s">
        <v>183</v>
      </c>
      <c r="AE1490">
        <v>0</v>
      </c>
      <c r="AF1490" t="s">
        <v>31</v>
      </c>
      <c r="AG1490">
        <v>0</v>
      </c>
      <c r="AH1490" t="s">
        <v>31</v>
      </c>
      <c r="AI1490">
        <v>0</v>
      </c>
      <c r="AJ1490" t="s">
        <v>31</v>
      </c>
      <c r="AK1490">
        <v>0</v>
      </c>
      <c r="AL1490" t="s">
        <v>31</v>
      </c>
      <c r="AM1490">
        <v>0</v>
      </c>
      <c r="AN1490" t="s">
        <v>31</v>
      </c>
      <c r="AO1490">
        <v>0</v>
      </c>
      <c r="AP1490" t="s">
        <v>31</v>
      </c>
      <c r="AQ1490">
        <v>0</v>
      </c>
    </row>
    <row r="1491" spans="1:43" x14ac:dyDescent="0.2">
      <c r="A1491" t="s">
        <v>381</v>
      </c>
      <c r="B1491" s="3">
        <v>44308</v>
      </c>
      <c r="C1491">
        <v>68</v>
      </c>
      <c r="D1491" t="s">
        <v>383</v>
      </c>
      <c r="E1491" t="s">
        <v>122</v>
      </c>
      <c r="F1491" s="9" t="s">
        <v>123</v>
      </c>
      <c r="G1491" t="s">
        <v>26</v>
      </c>
      <c r="H1491" t="s">
        <v>51</v>
      </c>
      <c r="I1491" t="s">
        <v>52</v>
      </c>
      <c r="J1491" t="s">
        <v>29</v>
      </c>
      <c r="K1491" t="s">
        <v>30</v>
      </c>
      <c r="L1491" t="s">
        <v>29</v>
      </c>
      <c r="M1491" t="s">
        <v>30</v>
      </c>
      <c r="N1491" t="s">
        <v>51</v>
      </c>
      <c r="O1491" t="s">
        <v>52</v>
      </c>
      <c r="P1491" t="s">
        <v>29</v>
      </c>
      <c r="Q1491" t="s">
        <v>30</v>
      </c>
      <c r="R1491" s="1">
        <v>44308.40384259259</v>
      </c>
      <c r="S1491" s="1">
        <v>44308.405324074076</v>
      </c>
      <c r="T1491">
        <v>0</v>
      </c>
      <c r="U1491">
        <v>4</v>
      </c>
      <c r="V1491" s="2">
        <v>0</v>
      </c>
      <c r="W1491">
        <v>0</v>
      </c>
      <c r="X1491" t="s">
        <v>183</v>
      </c>
      <c r="Y1491">
        <v>0</v>
      </c>
      <c r="Z1491" t="s">
        <v>44</v>
      </c>
      <c r="AA1491">
        <v>0</v>
      </c>
      <c r="AB1491" t="s">
        <v>183</v>
      </c>
      <c r="AC1491">
        <v>0</v>
      </c>
      <c r="AD1491" t="s">
        <v>183</v>
      </c>
      <c r="AE1491">
        <v>0</v>
      </c>
      <c r="AF1491" t="s">
        <v>31</v>
      </c>
      <c r="AG1491">
        <v>0</v>
      </c>
      <c r="AH1491" t="s">
        <v>31</v>
      </c>
      <c r="AI1491">
        <v>0</v>
      </c>
      <c r="AJ1491" t="s">
        <v>31</v>
      </c>
      <c r="AK1491">
        <v>0</v>
      </c>
      <c r="AL1491" t="s">
        <v>31</v>
      </c>
      <c r="AM1491">
        <v>0</v>
      </c>
      <c r="AN1491" t="s">
        <v>31</v>
      </c>
      <c r="AO1491">
        <v>0</v>
      </c>
      <c r="AP1491" t="s">
        <v>31</v>
      </c>
      <c r="AQ1491">
        <v>0</v>
      </c>
    </row>
    <row r="1492" spans="1:43" x14ac:dyDescent="0.2">
      <c r="A1492" t="s">
        <v>381</v>
      </c>
      <c r="B1492" s="3">
        <v>44308</v>
      </c>
      <c r="C1492">
        <v>69</v>
      </c>
      <c r="D1492" t="s">
        <v>385</v>
      </c>
      <c r="E1492" t="s">
        <v>122</v>
      </c>
      <c r="F1492" s="9" t="s">
        <v>123</v>
      </c>
      <c r="G1492" t="s">
        <v>26</v>
      </c>
      <c r="H1492" t="s">
        <v>51</v>
      </c>
      <c r="I1492" t="s">
        <v>52</v>
      </c>
      <c r="J1492" t="s">
        <v>29</v>
      </c>
      <c r="K1492" t="s">
        <v>30</v>
      </c>
      <c r="L1492" t="s">
        <v>29</v>
      </c>
      <c r="M1492" t="s">
        <v>30</v>
      </c>
      <c r="N1492" t="s">
        <v>51</v>
      </c>
      <c r="O1492" t="s">
        <v>52</v>
      </c>
      <c r="P1492" t="s">
        <v>29</v>
      </c>
      <c r="Q1492" t="s">
        <v>30</v>
      </c>
      <c r="R1492" s="1">
        <v>44308.589016203703</v>
      </c>
      <c r="S1492" s="1">
        <v>44308.646215277775</v>
      </c>
      <c r="T1492">
        <v>3</v>
      </c>
      <c r="U1492">
        <v>3</v>
      </c>
      <c r="V1492" s="2">
        <v>1</v>
      </c>
      <c r="W1492">
        <v>0</v>
      </c>
      <c r="X1492" t="s">
        <v>30</v>
      </c>
      <c r="Y1492">
        <v>0</v>
      </c>
      <c r="Z1492" t="s">
        <v>30</v>
      </c>
      <c r="AA1492">
        <v>0</v>
      </c>
      <c r="AB1492" t="s">
        <v>30</v>
      </c>
      <c r="AC1492">
        <v>0</v>
      </c>
      <c r="AD1492" t="s">
        <v>31</v>
      </c>
      <c r="AE1492">
        <v>0</v>
      </c>
      <c r="AF1492" t="s">
        <v>31</v>
      </c>
      <c r="AG1492">
        <v>0</v>
      </c>
      <c r="AH1492" t="s">
        <v>31</v>
      </c>
      <c r="AI1492">
        <v>0</v>
      </c>
      <c r="AJ1492" t="s">
        <v>31</v>
      </c>
      <c r="AK1492">
        <v>0</v>
      </c>
      <c r="AL1492" t="s">
        <v>31</v>
      </c>
      <c r="AM1492">
        <v>0</v>
      </c>
      <c r="AN1492" t="s">
        <v>31</v>
      </c>
      <c r="AO1492">
        <v>0</v>
      </c>
      <c r="AP1492" t="s">
        <v>31</v>
      </c>
      <c r="AQ1492">
        <v>0</v>
      </c>
    </row>
    <row r="1493" spans="1:43" x14ac:dyDescent="0.2">
      <c r="A1493" t="s">
        <v>381</v>
      </c>
      <c r="B1493" s="3">
        <v>44313</v>
      </c>
      <c r="C1493">
        <v>74</v>
      </c>
      <c r="D1493" t="s">
        <v>383</v>
      </c>
      <c r="E1493" t="s">
        <v>122</v>
      </c>
      <c r="F1493" s="9" t="s">
        <v>123</v>
      </c>
      <c r="G1493" t="s">
        <v>26</v>
      </c>
      <c r="H1493" t="s">
        <v>51</v>
      </c>
      <c r="I1493" t="s">
        <v>52</v>
      </c>
      <c r="J1493" t="s">
        <v>29</v>
      </c>
      <c r="K1493" t="s">
        <v>30</v>
      </c>
      <c r="L1493" t="s">
        <v>29</v>
      </c>
      <c r="M1493" t="s">
        <v>30</v>
      </c>
      <c r="N1493" t="s">
        <v>51</v>
      </c>
      <c r="O1493" t="s">
        <v>52</v>
      </c>
      <c r="P1493" t="s">
        <v>29</v>
      </c>
      <c r="Q1493" t="s">
        <v>30</v>
      </c>
      <c r="R1493" s="1">
        <v>44313.462372685186</v>
      </c>
      <c r="S1493" s="1">
        <v>44313.462372685186</v>
      </c>
      <c r="T1493">
        <v>1</v>
      </c>
      <c r="U1493">
        <v>1</v>
      </c>
      <c r="V1493" s="2">
        <v>1</v>
      </c>
      <c r="W1493">
        <v>0</v>
      </c>
      <c r="X1493" t="s">
        <v>30</v>
      </c>
      <c r="Y1493">
        <v>0</v>
      </c>
      <c r="Z1493" t="s">
        <v>31</v>
      </c>
      <c r="AA1493">
        <v>0</v>
      </c>
      <c r="AB1493" t="s">
        <v>31</v>
      </c>
      <c r="AC1493">
        <v>0</v>
      </c>
      <c r="AD1493" t="s">
        <v>31</v>
      </c>
      <c r="AE1493">
        <v>0</v>
      </c>
      <c r="AF1493" t="s">
        <v>31</v>
      </c>
      <c r="AG1493">
        <v>0</v>
      </c>
      <c r="AH1493" t="s">
        <v>31</v>
      </c>
      <c r="AI1493">
        <v>0</v>
      </c>
      <c r="AJ1493" t="s">
        <v>31</v>
      </c>
      <c r="AK1493">
        <v>0</v>
      </c>
      <c r="AL1493" t="s">
        <v>31</v>
      </c>
      <c r="AM1493">
        <v>0</v>
      </c>
      <c r="AN1493" t="s">
        <v>31</v>
      </c>
      <c r="AO1493">
        <v>0</v>
      </c>
      <c r="AP1493" t="s">
        <v>31</v>
      </c>
      <c r="AQ1493">
        <v>0</v>
      </c>
    </row>
    <row r="1494" spans="1:43" x14ac:dyDescent="0.2">
      <c r="A1494" t="s">
        <v>381</v>
      </c>
      <c r="B1494" s="3">
        <v>44313</v>
      </c>
      <c r="C1494">
        <v>76</v>
      </c>
      <c r="D1494" t="s">
        <v>385</v>
      </c>
      <c r="E1494" t="s">
        <v>122</v>
      </c>
      <c r="F1494" s="9" t="s">
        <v>123</v>
      </c>
      <c r="G1494" t="s">
        <v>26</v>
      </c>
      <c r="H1494" t="s">
        <v>51</v>
      </c>
      <c r="I1494" t="s">
        <v>52</v>
      </c>
      <c r="J1494" t="s">
        <v>29</v>
      </c>
      <c r="K1494" t="s">
        <v>30</v>
      </c>
      <c r="L1494" t="s">
        <v>29</v>
      </c>
      <c r="M1494" t="s">
        <v>30</v>
      </c>
      <c r="N1494" t="s">
        <v>51</v>
      </c>
      <c r="O1494" t="s">
        <v>52</v>
      </c>
      <c r="P1494" t="s">
        <v>29</v>
      </c>
      <c r="Q1494" t="s">
        <v>30</v>
      </c>
      <c r="R1494" s="1">
        <v>44313.559606481482</v>
      </c>
      <c r="S1494" s="1">
        <v>44313.628842592596</v>
      </c>
      <c r="T1494">
        <v>4</v>
      </c>
      <c r="U1494">
        <v>4</v>
      </c>
      <c r="V1494" s="2">
        <v>1</v>
      </c>
      <c r="W1494">
        <v>0</v>
      </c>
      <c r="X1494" t="s">
        <v>30</v>
      </c>
      <c r="Y1494">
        <v>0</v>
      </c>
      <c r="Z1494" t="s">
        <v>30</v>
      </c>
      <c r="AA1494">
        <v>0</v>
      </c>
      <c r="AB1494" t="s">
        <v>30</v>
      </c>
      <c r="AC1494">
        <v>0</v>
      </c>
      <c r="AD1494" t="s">
        <v>30</v>
      </c>
      <c r="AE1494">
        <v>0</v>
      </c>
      <c r="AF1494" t="s">
        <v>31</v>
      </c>
      <c r="AG1494">
        <v>0</v>
      </c>
      <c r="AH1494" t="s">
        <v>31</v>
      </c>
      <c r="AI1494">
        <v>0</v>
      </c>
      <c r="AJ1494" t="s">
        <v>31</v>
      </c>
      <c r="AK1494">
        <v>0</v>
      </c>
      <c r="AL1494" t="s">
        <v>31</v>
      </c>
      <c r="AM1494">
        <v>0</v>
      </c>
      <c r="AN1494" t="s">
        <v>31</v>
      </c>
      <c r="AO1494">
        <v>0</v>
      </c>
      <c r="AP1494" t="s">
        <v>31</v>
      </c>
      <c r="AQ1494">
        <v>0</v>
      </c>
    </row>
    <row r="1495" spans="1:43" x14ac:dyDescent="0.2">
      <c r="A1495" t="s">
        <v>381</v>
      </c>
      <c r="B1495" s="3">
        <v>44314</v>
      </c>
      <c r="C1495">
        <v>77</v>
      </c>
      <c r="D1495" t="s">
        <v>403</v>
      </c>
      <c r="E1495" t="s">
        <v>122</v>
      </c>
      <c r="F1495" s="9" t="s">
        <v>123</v>
      </c>
      <c r="G1495" t="s">
        <v>26</v>
      </c>
      <c r="H1495" t="s">
        <v>51</v>
      </c>
      <c r="I1495" t="s">
        <v>52</v>
      </c>
      <c r="J1495" t="s">
        <v>29</v>
      </c>
      <c r="K1495" t="s">
        <v>30</v>
      </c>
      <c r="L1495" t="s">
        <v>29</v>
      </c>
      <c r="M1495" t="s">
        <v>30</v>
      </c>
      <c r="N1495" t="s">
        <v>51</v>
      </c>
      <c r="O1495" t="s">
        <v>52</v>
      </c>
      <c r="P1495" t="s">
        <v>29</v>
      </c>
      <c r="Q1495" t="s">
        <v>30</v>
      </c>
      <c r="R1495" s="1">
        <v>44314.415717592594</v>
      </c>
      <c r="S1495" s="1">
        <v>44314.415717592594</v>
      </c>
      <c r="T1495">
        <v>1</v>
      </c>
      <c r="U1495">
        <v>1</v>
      </c>
      <c r="V1495" s="2">
        <v>1</v>
      </c>
      <c r="W1495">
        <v>0</v>
      </c>
      <c r="X1495" t="s">
        <v>30</v>
      </c>
      <c r="Y1495">
        <v>0</v>
      </c>
      <c r="Z1495" t="s">
        <v>31</v>
      </c>
      <c r="AA1495">
        <v>0</v>
      </c>
      <c r="AB1495" t="s">
        <v>31</v>
      </c>
      <c r="AC1495">
        <v>0</v>
      </c>
      <c r="AD1495" t="s">
        <v>31</v>
      </c>
      <c r="AE1495">
        <v>0</v>
      </c>
      <c r="AF1495" t="s">
        <v>31</v>
      </c>
      <c r="AG1495">
        <v>0</v>
      </c>
      <c r="AH1495" t="s">
        <v>31</v>
      </c>
      <c r="AI1495">
        <v>0</v>
      </c>
      <c r="AJ1495" t="s">
        <v>31</v>
      </c>
      <c r="AK1495">
        <v>0</v>
      </c>
      <c r="AL1495" t="s">
        <v>31</v>
      </c>
      <c r="AM1495">
        <v>0</v>
      </c>
      <c r="AN1495" t="s">
        <v>31</v>
      </c>
      <c r="AO1495">
        <v>0</v>
      </c>
      <c r="AP1495" t="s">
        <v>31</v>
      </c>
      <c r="AQ1495">
        <v>0</v>
      </c>
    </row>
    <row r="1496" spans="1:43" x14ac:dyDescent="0.2">
      <c r="A1496" t="s">
        <v>381</v>
      </c>
      <c r="B1496" s="3">
        <v>44315</v>
      </c>
      <c r="C1496">
        <v>80</v>
      </c>
      <c r="D1496" t="s">
        <v>410</v>
      </c>
      <c r="E1496" t="s">
        <v>122</v>
      </c>
      <c r="F1496" s="9" t="s">
        <v>123</v>
      </c>
      <c r="G1496" t="s">
        <v>26</v>
      </c>
      <c r="H1496" t="s">
        <v>51</v>
      </c>
      <c r="I1496" t="s">
        <v>52</v>
      </c>
      <c r="J1496" t="s">
        <v>29</v>
      </c>
      <c r="K1496" t="s">
        <v>30</v>
      </c>
      <c r="L1496" t="s">
        <v>29</v>
      </c>
      <c r="M1496" t="s">
        <v>30</v>
      </c>
      <c r="N1496" t="s">
        <v>51</v>
      </c>
      <c r="O1496" t="s">
        <v>52</v>
      </c>
      <c r="P1496" t="s">
        <v>29</v>
      </c>
      <c r="Q1496" t="s">
        <v>30</v>
      </c>
      <c r="R1496" s="1">
        <v>44315.537800925929</v>
      </c>
      <c r="S1496" s="1">
        <v>44315.537800925929</v>
      </c>
      <c r="T1496">
        <v>1</v>
      </c>
      <c r="U1496">
        <v>1</v>
      </c>
      <c r="V1496" s="2">
        <v>1</v>
      </c>
      <c r="W1496">
        <v>0</v>
      </c>
      <c r="X1496" t="s">
        <v>30</v>
      </c>
      <c r="Y1496">
        <v>0</v>
      </c>
      <c r="Z1496" t="s">
        <v>31</v>
      </c>
      <c r="AA1496">
        <v>0</v>
      </c>
      <c r="AB1496" t="s">
        <v>31</v>
      </c>
      <c r="AC1496">
        <v>0</v>
      </c>
      <c r="AD1496" t="s">
        <v>31</v>
      </c>
      <c r="AE1496">
        <v>0</v>
      </c>
      <c r="AF1496" t="s">
        <v>31</v>
      </c>
      <c r="AG1496">
        <v>0</v>
      </c>
      <c r="AH1496" t="s">
        <v>31</v>
      </c>
      <c r="AI1496">
        <v>0</v>
      </c>
      <c r="AJ1496" t="s">
        <v>31</v>
      </c>
      <c r="AK1496">
        <v>0</v>
      </c>
      <c r="AL1496" t="s">
        <v>31</v>
      </c>
      <c r="AM1496">
        <v>0</v>
      </c>
      <c r="AN1496" t="s">
        <v>31</v>
      </c>
      <c r="AO1496">
        <v>0</v>
      </c>
      <c r="AP1496" t="s">
        <v>31</v>
      </c>
      <c r="AQ1496">
        <v>0</v>
      </c>
    </row>
    <row r="1497" spans="1:43" x14ac:dyDescent="0.2">
      <c r="A1497" t="s">
        <v>381</v>
      </c>
      <c r="B1497" s="3">
        <v>44315</v>
      </c>
      <c r="C1497">
        <v>81</v>
      </c>
      <c r="D1497" t="s">
        <v>385</v>
      </c>
      <c r="E1497" t="s">
        <v>122</v>
      </c>
      <c r="F1497" s="9" t="s">
        <v>123</v>
      </c>
      <c r="G1497" t="s">
        <v>26</v>
      </c>
      <c r="H1497" t="s">
        <v>51</v>
      </c>
      <c r="I1497" t="s">
        <v>52</v>
      </c>
      <c r="J1497" t="s">
        <v>29</v>
      </c>
      <c r="K1497" t="s">
        <v>30</v>
      </c>
      <c r="L1497" t="s">
        <v>29</v>
      </c>
      <c r="M1497" t="s">
        <v>30</v>
      </c>
      <c r="N1497" t="s">
        <v>51</v>
      </c>
      <c r="O1497" t="s">
        <v>52</v>
      </c>
      <c r="P1497" t="s">
        <v>29</v>
      </c>
      <c r="Q1497" t="s">
        <v>30</v>
      </c>
      <c r="R1497" s="1">
        <v>44315.569097222222</v>
      </c>
      <c r="S1497" s="1">
        <v>44315.569097222222</v>
      </c>
      <c r="T1497">
        <v>3</v>
      </c>
      <c r="U1497">
        <v>3</v>
      </c>
      <c r="V1497" s="2">
        <v>1</v>
      </c>
      <c r="W1497">
        <v>0</v>
      </c>
      <c r="X1497" t="s">
        <v>30</v>
      </c>
      <c r="Y1497">
        <v>0</v>
      </c>
      <c r="Z1497" t="s">
        <v>30</v>
      </c>
      <c r="AA1497">
        <v>0</v>
      </c>
      <c r="AB1497" t="s">
        <v>30</v>
      </c>
      <c r="AC1497">
        <v>0</v>
      </c>
      <c r="AD1497" t="s">
        <v>31</v>
      </c>
      <c r="AE1497">
        <v>0</v>
      </c>
      <c r="AF1497" t="s">
        <v>31</v>
      </c>
      <c r="AG1497">
        <v>0</v>
      </c>
      <c r="AH1497" t="s">
        <v>31</v>
      </c>
      <c r="AI1497">
        <v>0</v>
      </c>
      <c r="AJ1497" t="s">
        <v>31</v>
      </c>
      <c r="AK1497">
        <v>0</v>
      </c>
      <c r="AL1497" t="s">
        <v>31</v>
      </c>
      <c r="AM1497">
        <v>0</v>
      </c>
      <c r="AN1497" t="s">
        <v>31</v>
      </c>
      <c r="AO1497">
        <v>0</v>
      </c>
      <c r="AP1497" t="s">
        <v>31</v>
      </c>
      <c r="AQ1497">
        <v>0</v>
      </c>
    </row>
    <row r="1498" spans="1:43" x14ac:dyDescent="0.2">
      <c r="A1498" t="s">
        <v>381</v>
      </c>
      <c r="B1498" s="3">
        <v>44319</v>
      </c>
      <c r="C1498">
        <v>84</v>
      </c>
      <c r="D1498" t="s">
        <v>390</v>
      </c>
      <c r="E1498" t="s">
        <v>122</v>
      </c>
      <c r="F1498" s="9" t="s">
        <v>123</v>
      </c>
      <c r="G1498" t="s">
        <v>26</v>
      </c>
      <c r="H1498" t="s">
        <v>51</v>
      </c>
      <c r="I1498" t="s">
        <v>52</v>
      </c>
      <c r="J1498" t="s">
        <v>29</v>
      </c>
      <c r="K1498" t="s">
        <v>30</v>
      </c>
      <c r="L1498" t="s">
        <v>29</v>
      </c>
      <c r="M1498" t="s">
        <v>30</v>
      </c>
      <c r="N1498" t="s">
        <v>51</v>
      </c>
      <c r="O1498" t="s">
        <v>52</v>
      </c>
      <c r="P1498" t="s">
        <v>29</v>
      </c>
      <c r="Q1498" t="s">
        <v>30</v>
      </c>
      <c r="R1498" s="1">
        <v>44319.407581018517</v>
      </c>
      <c r="S1498" s="1">
        <v>44319.407581018517</v>
      </c>
      <c r="T1498">
        <v>1</v>
      </c>
      <c r="U1498">
        <v>1</v>
      </c>
      <c r="V1498" s="2">
        <v>1</v>
      </c>
      <c r="W1498">
        <v>0</v>
      </c>
      <c r="X1498" t="s">
        <v>30</v>
      </c>
      <c r="Y1498">
        <v>0</v>
      </c>
      <c r="Z1498" t="s">
        <v>31</v>
      </c>
      <c r="AA1498">
        <v>0</v>
      </c>
      <c r="AB1498" t="s">
        <v>31</v>
      </c>
      <c r="AC1498">
        <v>0</v>
      </c>
      <c r="AD1498" t="s">
        <v>31</v>
      </c>
      <c r="AE1498">
        <v>0</v>
      </c>
      <c r="AF1498" t="s">
        <v>31</v>
      </c>
      <c r="AG1498">
        <v>0</v>
      </c>
      <c r="AH1498" t="s">
        <v>31</v>
      </c>
      <c r="AI1498">
        <v>0</v>
      </c>
      <c r="AJ1498" t="s">
        <v>31</v>
      </c>
      <c r="AK1498">
        <v>0</v>
      </c>
      <c r="AL1498" t="s">
        <v>31</v>
      </c>
      <c r="AM1498">
        <v>0</v>
      </c>
      <c r="AN1498" t="s">
        <v>31</v>
      </c>
      <c r="AO1498">
        <v>0</v>
      </c>
      <c r="AP1498" t="s">
        <v>31</v>
      </c>
      <c r="AQ1498">
        <v>0</v>
      </c>
    </row>
    <row r="1499" spans="1:43" x14ac:dyDescent="0.2">
      <c r="A1499" t="s">
        <v>381</v>
      </c>
      <c r="B1499" s="3">
        <v>44320</v>
      </c>
      <c r="C1499">
        <v>87</v>
      </c>
      <c r="D1499" t="s">
        <v>385</v>
      </c>
      <c r="E1499" t="s">
        <v>122</v>
      </c>
      <c r="F1499" s="9" t="s">
        <v>123</v>
      </c>
      <c r="G1499" t="s">
        <v>26</v>
      </c>
      <c r="H1499" t="s">
        <v>51</v>
      </c>
      <c r="I1499" t="s">
        <v>52</v>
      </c>
      <c r="J1499" t="s">
        <v>29</v>
      </c>
      <c r="K1499" t="s">
        <v>30</v>
      </c>
      <c r="L1499" t="s">
        <v>29</v>
      </c>
      <c r="M1499" t="s">
        <v>30</v>
      </c>
      <c r="N1499" t="s">
        <v>51</v>
      </c>
      <c r="O1499" t="s">
        <v>52</v>
      </c>
      <c r="P1499" t="s">
        <v>29</v>
      </c>
      <c r="Q1499" t="s">
        <v>30</v>
      </c>
      <c r="R1499" s="1">
        <v>44320.591006944444</v>
      </c>
      <c r="S1499" s="1">
        <v>44320.59101851852</v>
      </c>
      <c r="T1499">
        <v>3</v>
      </c>
      <c r="U1499">
        <v>3</v>
      </c>
      <c r="V1499" s="2">
        <v>1</v>
      </c>
      <c r="W1499">
        <v>0</v>
      </c>
      <c r="X1499" t="s">
        <v>30</v>
      </c>
      <c r="Y1499">
        <v>0</v>
      </c>
      <c r="Z1499" t="s">
        <v>30</v>
      </c>
      <c r="AA1499">
        <v>0</v>
      </c>
      <c r="AB1499" t="s">
        <v>30</v>
      </c>
      <c r="AC1499">
        <v>0</v>
      </c>
      <c r="AD1499" t="s">
        <v>31</v>
      </c>
      <c r="AE1499">
        <v>0</v>
      </c>
      <c r="AF1499" t="s">
        <v>31</v>
      </c>
      <c r="AG1499">
        <v>0</v>
      </c>
      <c r="AH1499" t="s">
        <v>31</v>
      </c>
      <c r="AI1499">
        <v>0</v>
      </c>
      <c r="AJ1499" t="s">
        <v>31</v>
      </c>
      <c r="AK1499">
        <v>0</v>
      </c>
      <c r="AL1499" t="s">
        <v>31</v>
      </c>
      <c r="AM1499">
        <v>0</v>
      </c>
      <c r="AN1499" t="s">
        <v>31</v>
      </c>
      <c r="AO1499">
        <v>0</v>
      </c>
      <c r="AP1499" t="s">
        <v>31</v>
      </c>
      <c r="AQ1499">
        <v>0</v>
      </c>
    </row>
    <row r="1500" spans="1:43" x14ac:dyDescent="0.2">
      <c r="A1500" t="s">
        <v>381</v>
      </c>
      <c r="B1500" s="3">
        <v>44321</v>
      </c>
      <c r="C1500">
        <v>88</v>
      </c>
      <c r="D1500" t="s">
        <v>404</v>
      </c>
      <c r="E1500" t="s">
        <v>122</v>
      </c>
      <c r="F1500" s="9" t="s">
        <v>123</v>
      </c>
      <c r="G1500" t="s">
        <v>26</v>
      </c>
      <c r="H1500" t="s">
        <v>51</v>
      </c>
      <c r="I1500" t="s">
        <v>52</v>
      </c>
      <c r="J1500" t="s">
        <v>29</v>
      </c>
      <c r="K1500" t="s">
        <v>30</v>
      </c>
      <c r="L1500" t="s">
        <v>29</v>
      </c>
      <c r="M1500" t="s">
        <v>30</v>
      </c>
      <c r="N1500" t="s">
        <v>51</v>
      </c>
      <c r="O1500" t="s">
        <v>52</v>
      </c>
      <c r="P1500" t="s">
        <v>29</v>
      </c>
      <c r="Q1500" t="s">
        <v>30</v>
      </c>
      <c r="R1500" s="1">
        <v>44321.464456018519</v>
      </c>
      <c r="S1500" s="1">
        <v>44321.464456018519</v>
      </c>
      <c r="T1500">
        <v>1</v>
      </c>
      <c r="U1500">
        <v>1</v>
      </c>
      <c r="V1500" s="2">
        <v>1</v>
      </c>
      <c r="W1500">
        <v>0</v>
      </c>
      <c r="X1500" t="s">
        <v>30</v>
      </c>
      <c r="Y1500">
        <v>0</v>
      </c>
      <c r="Z1500" t="s">
        <v>31</v>
      </c>
      <c r="AA1500">
        <v>0</v>
      </c>
      <c r="AB1500" t="s">
        <v>31</v>
      </c>
      <c r="AC1500">
        <v>0</v>
      </c>
      <c r="AD1500" t="s">
        <v>31</v>
      </c>
      <c r="AE1500">
        <v>0</v>
      </c>
      <c r="AF1500" t="s">
        <v>31</v>
      </c>
      <c r="AG1500">
        <v>0</v>
      </c>
      <c r="AH1500" t="s">
        <v>31</v>
      </c>
      <c r="AI1500">
        <v>0</v>
      </c>
      <c r="AJ1500" t="s">
        <v>31</v>
      </c>
      <c r="AK1500">
        <v>0</v>
      </c>
      <c r="AL1500" t="s">
        <v>31</v>
      </c>
      <c r="AM1500">
        <v>0</v>
      </c>
      <c r="AN1500" t="s">
        <v>31</v>
      </c>
      <c r="AO1500">
        <v>0</v>
      </c>
      <c r="AP1500" t="s">
        <v>31</v>
      </c>
      <c r="AQ1500">
        <v>0</v>
      </c>
    </row>
    <row r="1501" spans="1:43" x14ac:dyDescent="0.2">
      <c r="A1501" t="s">
        <v>381</v>
      </c>
      <c r="B1501" s="3">
        <v>44321</v>
      </c>
      <c r="C1501">
        <v>89</v>
      </c>
      <c r="D1501" t="s">
        <v>387</v>
      </c>
      <c r="E1501" t="s">
        <v>122</v>
      </c>
      <c r="F1501" s="9" t="s">
        <v>123</v>
      </c>
      <c r="G1501" t="s">
        <v>26</v>
      </c>
      <c r="H1501" t="s">
        <v>51</v>
      </c>
      <c r="I1501" t="s">
        <v>52</v>
      </c>
      <c r="J1501" t="s">
        <v>29</v>
      </c>
      <c r="K1501" t="s">
        <v>30</v>
      </c>
      <c r="L1501" t="s">
        <v>29</v>
      </c>
      <c r="M1501" t="s">
        <v>30</v>
      </c>
      <c r="N1501" t="s">
        <v>51</v>
      </c>
      <c r="O1501" t="s">
        <v>52</v>
      </c>
      <c r="P1501" t="s">
        <v>29</v>
      </c>
      <c r="Q1501" t="s">
        <v>30</v>
      </c>
      <c r="R1501" s="1">
        <v>44321.629317129627</v>
      </c>
      <c r="S1501" s="1">
        <v>44321.629317129627</v>
      </c>
      <c r="T1501">
        <v>1</v>
      </c>
      <c r="U1501">
        <v>1</v>
      </c>
      <c r="V1501" s="2">
        <v>1</v>
      </c>
      <c r="W1501">
        <v>0</v>
      </c>
      <c r="X1501" t="s">
        <v>30</v>
      </c>
      <c r="Y1501">
        <v>0</v>
      </c>
      <c r="Z1501" t="s">
        <v>31</v>
      </c>
      <c r="AA1501">
        <v>0</v>
      </c>
      <c r="AB1501" t="s">
        <v>31</v>
      </c>
      <c r="AC1501">
        <v>0</v>
      </c>
      <c r="AD1501" t="s">
        <v>31</v>
      </c>
      <c r="AE1501">
        <v>0</v>
      </c>
      <c r="AF1501" t="s">
        <v>31</v>
      </c>
      <c r="AG1501">
        <v>0</v>
      </c>
      <c r="AH1501" t="s">
        <v>31</v>
      </c>
      <c r="AI1501">
        <v>0</v>
      </c>
      <c r="AJ1501" t="s">
        <v>31</v>
      </c>
      <c r="AK1501">
        <v>0</v>
      </c>
      <c r="AL1501" t="s">
        <v>31</v>
      </c>
      <c r="AM1501">
        <v>0</v>
      </c>
      <c r="AN1501" t="s">
        <v>31</v>
      </c>
      <c r="AO1501">
        <v>0</v>
      </c>
      <c r="AP1501" t="s">
        <v>31</v>
      </c>
      <c r="AQ1501">
        <v>0</v>
      </c>
    </row>
    <row r="1502" spans="1:43" x14ac:dyDescent="0.2">
      <c r="A1502" t="s">
        <v>381</v>
      </c>
      <c r="B1502" s="3">
        <v>44326</v>
      </c>
      <c r="C1502">
        <v>92</v>
      </c>
      <c r="D1502" t="s">
        <v>390</v>
      </c>
      <c r="E1502" t="s">
        <v>122</v>
      </c>
      <c r="F1502" s="9" t="s">
        <v>123</v>
      </c>
      <c r="G1502" t="s">
        <v>26</v>
      </c>
      <c r="H1502" t="s">
        <v>51</v>
      </c>
      <c r="I1502" t="s">
        <v>52</v>
      </c>
      <c r="J1502" t="s">
        <v>29</v>
      </c>
      <c r="K1502" t="s">
        <v>30</v>
      </c>
      <c r="L1502" t="s">
        <v>29</v>
      </c>
      <c r="M1502" t="s">
        <v>30</v>
      </c>
      <c r="N1502" t="s">
        <v>51</v>
      </c>
      <c r="O1502" t="s">
        <v>52</v>
      </c>
      <c r="P1502" t="s">
        <v>29</v>
      </c>
      <c r="Q1502" t="s">
        <v>30</v>
      </c>
      <c r="R1502" s="1">
        <v>44326.455659722225</v>
      </c>
      <c r="S1502" s="1">
        <v>44326.455659722225</v>
      </c>
      <c r="T1502">
        <v>1</v>
      </c>
      <c r="U1502">
        <v>1</v>
      </c>
      <c r="V1502" s="2">
        <v>1</v>
      </c>
      <c r="W1502">
        <v>0</v>
      </c>
      <c r="X1502" t="s">
        <v>30</v>
      </c>
      <c r="Y1502">
        <v>0</v>
      </c>
      <c r="Z1502" t="s">
        <v>31</v>
      </c>
      <c r="AA1502">
        <v>0</v>
      </c>
      <c r="AB1502" t="s">
        <v>31</v>
      </c>
      <c r="AC1502">
        <v>0</v>
      </c>
      <c r="AD1502" t="s">
        <v>31</v>
      </c>
      <c r="AE1502">
        <v>0</v>
      </c>
      <c r="AF1502" t="s">
        <v>31</v>
      </c>
      <c r="AG1502">
        <v>0</v>
      </c>
      <c r="AH1502" t="s">
        <v>31</v>
      </c>
      <c r="AI1502">
        <v>0</v>
      </c>
      <c r="AJ1502" t="s">
        <v>31</v>
      </c>
      <c r="AK1502">
        <v>0</v>
      </c>
      <c r="AL1502" t="s">
        <v>31</v>
      </c>
      <c r="AM1502">
        <v>0</v>
      </c>
      <c r="AN1502" t="s">
        <v>31</v>
      </c>
      <c r="AO1502">
        <v>0</v>
      </c>
      <c r="AP1502" t="s">
        <v>31</v>
      </c>
      <c r="AQ1502">
        <v>0</v>
      </c>
    </row>
    <row r="1503" spans="1:43" x14ac:dyDescent="0.2">
      <c r="A1503" t="s">
        <v>381</v>
      </c>
      <c r="B1503" s="3">
        <v>44327</v>
      </c>
      <c r="C1503">
        <v>94</v>
      </c>
      <c r="D1503" t="s">
        <v>384</v>
      </c>
      <c r="E1503" t="s">
        <v>122</v>
      </c>
      <c r="F1503" s="9" t="s">
        <v>123</v>
      </c>
      <c r="G1503" t="s">
        <v>26</v>
      </c>
      <c r="H1503" t="s">
        <v>51</v>
      </c>
      <c r="I1503" t="s">
        <v>52</v>
      </c>
      <c r="J1503" t="s">
        <v>29</v>
      </c>
      <c r="K1503" t="s">
        <v>30</v>
      </c>
      <c r="L1503" t="s">
        <v>29</v>
      </c>
      <c r="M1503" t="s">
        <v>30</v>
      </c>
      <c r="N1503" t="s">
        <v>51</v>
      </c>
      <c r="O1503" t="s">
        <v>52</v>
      </c>
      <c r="P1503" t="s">
        <v>29</v>
      </c>
      <c r="Q1503" t="s">
        <v>30</v>
      </c>
      <c r="R1503" s="1">
        <v>44327.466412037036</v>
      </c>
      <c r="S1503" s="1">
        <v>44327.466412037036</v>
      </c>
      <c r="T1503">
        <v>1</v>
      </c>
      <c r="U1503">
        <v>1</v>
      </c>
      <c r="V1503" s="2">
        <v>1</v>
      </c>
      <c r="W1503">
        <v>0</v>
      </c>
      <c r="X1503" t="s">
        <v>30</v>
      </c>
      <c r="Y1503">
        <v>0</v>
      </c>
      <c r="Z1503" t="s">
        <v>31</v>
      </c>
      <c r="AA1503">
        <v>0</v>
      </c>
      <c r="AB1503" t="s">
        <v>31</v>
      </c>
      <c r="AC1503">
        <v>0</v>
      </c>
      <c r="AD1503" t="s">
        <v>31</v>
      </c>
      <c r="AE1503">
        <v>0</v>
      </c>
      <c r="AF1503" t="s">
        <v>31</v>
      </c>
      <c r="AG1503">
        <v>0</v>
      </c>
      <c r="AH1503" t="s">
        <v>31</v>
      </c>
      <c r="AI1503">
        <v>0</v>
      </c>
      <c r="AJ1503" t="s">
        <v>31</v>
      </c>
      <c r="AK1503">
        <v>0</v>
      </c>
      <c r="AL1503" t="s">
        <v>31</v>
      </c>
      <c r="AM1503">
        <v>0</v>
      </c>
      <c r="AN1503" t="s">
        <v>31</v>
      </c>
      <c r="AO1503">
        <v>0</v>
      </c>
      <c r="AP1503" t="s">
        <v>31</v>
      </c>
      <c r="AQ1503">
        <v>0</v>
      </c>
    </row>
    <row r="1504" spans="1:43" x14ac:dyDescent="0.2">
      <c r="A1504" t="s">
        <v>381</v>
      </c>
      <c r="B1504" s="3">
        <v>44328</v>
      </c>
      <c r="C1504">
        <v>97</v>
      </c>
      <c r="D1504" t="s">
        <v>387</v>
      </c>
      <c r="E1504" t="s">
        <v>122</v>
      </c>
      <c r="F1504" s="9" t="s">
        <v>123</v>
      </c>
      <c r="G1504" t="s">
        <v>26</v>
      </c>
      <c r="H1504" t="s">
        <v>51</v>
      </c>
      <c r="I1504" t="s">
        <v>52</v>
      </c>
      <c r="J1504" t="s">
        <v>29</v>
      </c>
      <c r="K1504" t="s">
        <v>30</v>
      </c>
      <c r="L1504" t="s">
        <v>29</v>
      </c>
      <c r="M1504" t="s">
        <v>30</v>
      </c>
      <c r="N1504" t="s">
        <v>51</v>
      </c>
      <c r="O1504" t="s">
        <v>52</v>
      </c>
      <c r="P1504" t="s">
        <v>29</v>
      </c>
      <c r="Q1504" t="s">
        <v>30</v>
      </c>
      <c r="R1504" s="1">
        <v>44328.638287037036</v>
      </c>
      <c r="S1504" s="1">
        <v>44328.638287037036</v>
      </c>
      <c r="T1504">
        <v>1</v>
      </c>
      <c r="U1504">
        <v>1</v>
      </c>
      <c r="V1504" s="2">
        <v>1</v>
      </c>
      <c r="W1504">
        <v>0</v>
      </c>
      <c r="X1504" t="s">
        <v>30</v>
      </c>
      <c r="Y1504">
        <v>0</v>
      </c>
      <c r="Z1504" t="s">
        <v>31</v>
      </c>
      <c r="AA1504">
        <v>0</v>
      </c>
      <c r="AB1504" t="s">
        <v>31</v>
      </c>
      <c r="AC1504">
        <v>0</v>
      </c>
      <c r="AD1504" t="s">
        <v>31</v>
      </c>
      <c r="AE1504">
        <v>0</v>
      </c>
      <c r="AF1504" t="s">
        <v>31</v>
      </c>
      <c r="AG1504">
        <v>0</v>
      </c>
      <c r="AH1504" t="s">
        <v>31</v>
      </c>
      <c r="AI1504">
        <v>0</v>
      </c>
      <c r="AJ1504" t="s">
        <v>31</v>
      </c>
      <c r="AK1504">
        <v>0</v>
      </c>
      <c r="AL1504" t="s">
        <v>31</v>
      </c>
      <c r="AM1504">
        <v>0</v>
      </c>
      <c r="AN1504" t="s">
        <v>31</v>
      </c>
      <c r="AO1504">
        <v>0</v>
      </c>
      <c r="AP1504" t="s">
        <v>31</v>
      </c>
      <c r="AQ1504">
        <v>0</v>
      </c>
    </row>
    <row r="1505" spans="1:43" x14ac:dyDescent="0.2">
      <c r="A1505" t="s">
        <v>381</v>
      </c>
      <c r="B1505" s="3">
        <v>44334</v>
      </c>
      <c r="C1505">
        <v>99</v>
      </c>
      <c r="D1505" t="s">
        <v>385</v>
      </c>
      <c r="E1505" t="s">
        <v>122</v>
      </c>
      <c r="F1505" s="9" t="s">
        <v>123</v>
      </c>
      <c r="G1505" t="s">
        <v>26</v>
      </c>
      <c r="H1505" t="s">
        <v>51</v>
      </c>
      <c r="I1505" t="s">
        <v>52</v>
      </c>
      <c r="J1505" t="s">
        <v>29</v>
      </c>
      <c r="K1505" t="s">
        <v>30</v>
      </c>
      <c r="L1505" t="s">
        <v>29</v>
      </c>
      <c r="M1505" t="s">
        <v>30</v>
      </c>
      <c r="N1505" t="s">
        <v>51</v>
      </c>
      <c r="O1505" t="s">
        <v>52</v>
      </c>
      <c r="P1505" t="s">
        <v>29</v>
      </c>
      <c r="Q1505" t="s">
        <v>30</v>
      </c>
      <c r="R1505" s="1">
        <v>44334.622106481482</v>
      </c>
      <c r="S1505" s="1">
        <v>44334.622106481482</v>
      </c>
      <c r="T1505">
        <v>2</v>
      </c>
      <c r="U1505">
        <v>2</v>
      </c>
      <c r="V1505" s="2">
        <v>1</v>
      </c>
      <c r="W1505">
        <v>0</v>
      </c>
      <c r="X1505" t="s">
        <v>30</v>
      </c>
      <c r="Y1505">
        <v>0</v>
      </c>
      <c r="Z1505" t="s">
        <v>30</v>
      </c>
      <c r="AA1505">
        <v>0</v>
      </c>
      <c r="AB1505" t="s">
        <v>31</v>
      </c>
      <c r="AC1505">
        <v>0</v>
      </c>
      <c r="AD1505" t="s">
        <v>31</v>
      </c>
      <c r="AE1505">
        <v>0</v>
      </c>
      <c r="AF1505" t="s">
        <v>31</v>
      </c>
      <c r="AG1505">
        <v>0</v>
      </c>
      <c r="AH1505" t="s">
        <v>31</v>
      </c>
      <c r="AI1505">
        <v>0</v>
      </c>
      <c r="AJ1505" t="s">
        <v>31</v>
      </c>
      <c r="AK1505">
        <v>0</v>
      </c>
      <c r="AL1505" t="s">
        <v>31</v>
      </c>
      <c r="AM1505">
        <v>0</v>
      </c>
      <c r="AN1505" t="s">
        <v>31</v>
      </c>
      <c r="AO1505">
        <v>0</v>
      </c>
      <c r="AP1505" t="s">
        <v>31</v>
      </c>
      <c r="AQ1505">
        <v>0</v>
      </c>
    </row>
    <row r="1506" spans="1:43" x14ac:dyDescent="0.2">
      <c r="A1506" t="s">
        <v>381</v>
      </c>
      <c r="B1506" s="3">
        <v>44335</v>
      </c>
      <c r="C1506">
        <v>100</v>
      </c>
      <c r="D1506" t="s">
        <v>398</v>
      </c>
      <c r="E1506" t="s">
        <v>122</v>
      </c>
      <c r="F1506" s="9" t="s">
        <v>123</v>
      </c>
      <c r="G1506" t="s">
        <v>26</v>
      </c>
      <c r="H1506" t="s">
        <v>51</v>
      </c>
      <c r="I1506" t="s">
        <v>52</v>
      </c>
      <c r="J1506" t="s">
        <v>29</v>
      </c>
      <c r="K1506" t="s">
        <v>30</v>
      </c>
      <c r="L1506" t="s">
        <v>29</v>
      </c>
      <c r="M1506" t="s">
        <v>30</v>
      </c>
      <c r="N1506" t="s">
        <v>51</v>
      </c>
      <c r="O1506" t="s">
        <v>52</v>
      </c>
      <c r="P1506" t="s">
        <v>29</v>
      </c>
      <c r="Q1506" t="s">
        <v>30</v>
      </c>
      <c r="R1506" s="1">
        <v>44335.486550925925</v>
      </c>
      <c r="S1506" s="1">
        <v>44335.486550925925</v>
      </c>
      <c r="T1506">
        <v>1</v>
      </c>
      <c r="U1506">
        <v>1</v>
      </c>
      <c r="V1506" s="2">
        <v>1</v>
      </c>
      <c r="W1506">
        <v>0</v>
      </c>
      <c r="X1506" t="s">
        <v>30</v>
      </c>
      <c r="Y1506">
        <v>0</v>
      </c>
      <c r="Z1506" t="s">
        <v>31</v>
      </c>
      <c r="AA1506">
        <v>0</v>
      </c>
      <c r="AB1506" t="s">
        <v>31</v>
      </c>
      <c r="AC1506">
        <v>0</v>
      </c>
      <c r="AD1506" t="s">
        <v>31</v>
      </c>
      <c r="AE1506">
        <v>0</v>
      </c>
      <c r="AF1506" t="s">
        <v>31</v>
      </c>
      <c r="AG1506">
        <v>0</v>
      </c>
      <c r="AH1506" t="s">
        <v>31</v>
      </c>
      <c r="AI1506">
        <v>0</v>
      </c>
      <c r="AJ1506" t="s">
        <v>31</v>
      </c>
      <c r="AK1506">
        <v>0</v>
      </c>
      <c r="AL1506" t="s">
        <v>31</v>
      </c>
      <c r="AM1506">
        <v>0</v>
      </c>
      <c r="AN1506" t="s">
        <v>31</v>
      </c>
      <c r="AO1506">
        <v>0</v>
      </c>
      <c r="AP1506" t="s">
        <v>31</v>
      </c>
      <c r="AQ1506">
        <v>0</v>
      </c>
    </row>
    <row r="1507" spans="1:43" x14ac:dyDescent="0.2">
      <c r="A1507" t="s">
        <v>381</v>
      </c>
      <c r="B1507" s="3">
        <v>44336</v>
      </c>
      <c r="C1507">
        <v>103</v>
      </c>
      <c r="D1507" t="s">
        <v>385</v>
      </c>
      <c r="E1507" t="s">
        <v>122</v>
      </c>
      <c r="F1507" s="9" t="s">
        <v>123</v>
      </c>
      <c r="G1507" t="s">
        <v>26</v>
      </c>
      <c r="H1507" t="s">
        <v>51</v>
      </c>
      <c r="I1507" t="s">
        <v>52</v>
      </c>
      <c r="J1507" t="s">
        <v>29</v>
      </c>
      <c r="K1507" t="s">
        <v>30</v>
      </c>
      <c r="L1507" t="s">
        <v>29</v>
      </c>
      <c r="M1507" t="s">
        <v>30</v>
      </c>
      <c r="N1507" t="s">
        <v>51</v>
      </c>
      <c r="O1507" t="s">
        <v>52</v>
      </c>
      <c r="P1507" t="s">
        <v>29</v>
      </c>
      <c r="Q1507" t="s">
        <v>30</v>
      </c>
      <c r="R1507" s="1">
        <v>44336.593206018515</v>
      </c>
      <c r="S1507" s="1">
        <v>44336.638993055552</v>
      </c>
      <c r="T1507">
        <v>3</v>
      </c>
      <c r="U1507">
        <v>5</v>
      </c>
      <c r="V1507" s="2">
        <v>0.6</v>
      </c>
      <c r="W1507">
        <v>0</v>
      </c>
      <c r="X1507" t="s">
        <v>30</v>
      </c>
      <c r="Y1507">
        <v>0</v>
      </c>
      <c r="Z1507" t="s">
        <v>44</v>
      </c>
      <c r="AA1507">
        <v>0</v>
      </c>
      <c r="AB1507" t="s">
        <v>183</v>
      </c>
      <c r="AC1507">
        <v>0</v>
      </c>
      <c r="AD1507" t="s">
        <v>30</v>
      </c>
      <c r="AE1507">
        <v>0</v>
      </c>
      <c r="AF1507" t="s">
        <v>30</v>
      </c>
      <c r="AG1507">
        <v>0</v>
      </c>
      <c r="AH1507" t="s">
        <v>31</v>
      </c>
      <c r="AI1507">
        <v>0</v>
      </c>
      <c r="AJ1507" t="s">
        <v>31</v>
      </c>
      <c r="AK1507">
        <v>0</v>
      </c>
      <c r="AL1507" t="s">
        <v>31</v>
      </c>
      <c r="AM1507">
        <v>0</v>
      </c>
      <c r="AN1507" t="s">
        <v>31</v>
      </c>
      <c r="AO1507">
        <v>0</v>
      </c>
      <c r="AP1507" t="s">
        <v>31</v>
      </c>
      <c r="AQ1507">
        <v>0</v>
      </c>
    </row>
    <row r="1508" spans="1:43" x14ac:dyDescent="0.2">
      <c r="A1508" t="s">
        <v>381</v>
      </c>
      <c r="B1508" s="3">
        <v>44337</v>
      </c>
      <c r="C1508">
        <v>104</v>
      </c>
      <c r="D1508" t="s">
        <v>390</v>
      </c>
      <c r="E1508" t="s">
        <v>122</v>
      </c>
      <c r="F1508" s="9" t="s">
        <v>123</v>
      </c>
      <c r="G1508" t="s">
        <v>26</v>
      </c>
      <c r="H1508" t="s">
        <v>51</v>
      </c>
      <c r="I1508" t="s">
        <v>52</v>
      </c>
      <c r="J1508" t="s">
        <v>29</v>
      </c>
      <c r="K1508" t="s">
        <v>30</v>
      </c>
      <c r="L1508" t="s">
        <v>29</v>
      </c>
      <c r="M1508" t="s">
        <v>30</v>
      </c>
      <c r="N1508" t="s">
        <v>51</v>
      </c>
      <c r="O1508" t="s">
        <v>52</v>
      </c>
      <c r="P1508" t="s">
        <v>29</v>
      </c>
      <c r="Q1508" t="s">
        <v>30</v>
      </c>
      <c r="R1508" s="1">
        <v>44337.405763888892</v>
      </c>
      <c r="S1508" s="1">
        <v>44337.46534722222</v>
      </c>
      <c r="T1508">
        <v>4</v>
      </c>
      <c r="U1508">
        <v>4</v>
      </c>
      <c r="V1508" s="2">
        <v>1</v>
      </c>
      <c r="W1508">
        <v>0</v>
      </c>
      <c r="X1508" t="s">
        <v>30</v>
      </c>
      <c r="Y1508">
        <v>0</v>
      </c>
      <c r="Z1508" t="s">
        <v>30</v>
      </c>
      <c r="AA1508">
        <v>0</v>
      </c>
      <c r="AB1508" t="s">
        <v>30</v>
      </c>
      <c r="AC1508">
        <v>0</v>
      </c>
      <c r="AD1508" t="s">
        <v>30</v>
      </c>
      <c r="AE1508">
        <v>0</v>
      </c>
      <c r="AF1508" t="s">
        <v>31</v>
      </c>
      <c r="AG1508">
        <v>0</v>
      </c>
      <c r="AH1508" t="s">
        <v>31</v>
      </c>
      <c r="AI1508">
        <v>0</v>
      </c>
      <c r="AJ1508" t="s">
        <v>31</v>
      </c>
      <c r="AK1508">
        <v>0</v>
      </c>
      <c r="AL1508" t="s">
        <v>31</v>
      </c>
      <c r="AM1508">
        <v>0</v>
      </c>
      <c r="AN1508" t="s">
        <v>31</v>
      </c>
      <c r="AO1508">
        <v>0</v>
      </c>
      <c r="AP1508" t="s">
        <v>31</v>
      </c>
      <c r="AQ1508">
        <v>0</v>
      </c>
    </row>
    <row r="1509" spans="1:43" x14ac:dyDescent="0.2">
      <c r="A1509" t="s">
        <v>381</v>
      </c>
      <c r="B1509" s="3">
        <v>44337</v>
      </c>
      <c r="C1509">
        <v>105</v>
      </c>
      <c r="D1509" t="s">
        <v>405</v>
      </c>
      <c r="E1509" t="s">
        <v>122</v>
      </c>
      <c r="F1509" s="9" t="s">
        <v>123</v>
      </c>
      <c r="G1509" t="s">
        <v>26</v>
      </c>
      <c r="H1509" t="s">
        <v>51</v>
      </c>
      <c r="I1509" t="s">
        <v>52</v>
      </c>
      <c r="J1509" t="s">
        <v>29</v>
      </c>
      <c r="K1509" t="s">
        <v>30</v>
      </c>
      <c r="L1509" t="s">
        <v>29</v>
      </c>
      <c r="M1509" t="s">
        <v>30</v>
      </c>
      <c r="N1509" t="s">
        <v>51</v>
      </c>
      <c r="O1509" t="s">
        <v>52</v>
      </c>
      <c r="P1509" t="s">
        <v>29</v>
      </c>
      <c r="Q1509" t="s">
        <v>30</v>
      </c>
      <c r="R1509" s="1">
        <v>44337.630104166667</v>
      </c>
      <c r="S1509" s="1">
        <v>44337.630104166667</v>
      </c>
      <c r="T1509">
        <v>1</v>
      </c>
      <c r="U1509">
        <v>1</v>
      </c>
      <c r="V1509" s="2">
        <v>1</v>
      </c>
      <c r="W1509">
        <v>0</v>
      </c>
      <c r="X1509" t="s">
        <v>30</v>
      </c>
      <c r="Y1509">
        <v>0</v>
      </c>
      <c r="Z1509" t="s">
        <v>31</v>
      </c>
      <c r="AA1509">
        <v>0</v>
      </c>
      <c r="AB1509" t="s">
        <v>31</v>
      </c>
      <c r="AC1509">
        <v>0</v>
      </c>
      <c r="AD1509" t="s">
        <v>31</v>
      </c>
      <c r="AE1509">
        <v>0</v>
      </c>
      <c r="AF1509" t="s">
        <v>31</v>
      </c>
      <c r="AG1509">
        <v>0</v>
      </c>
      <c r="AH1509" t="s">
        <v>31</v>
      </c>
      <c r="AI1509">
        <v>0</v>
      </c>
      <c r="AJ1509" t="s">
        <v>31</v>
      </c>
      <c r="AK1509">
        <v>0</v>
      </c>
      <c r="AL1509" t="s">
        <v>31</v>
      </c>
      <c r="AM1509">
        <v>0</v>
      </c>
      <c r="AN1509" t="s">
        <v>31</v>
      </c>
      <c r="AO1509">
        <v>0</v>
      </c>
      <c r="AP1509" t="s">
        <v>31</v>
      </c>
      <c r="AQ1509">
        <v>0</v>
      </c>
    </row>
    <row r="1510" spans="1:43" x14ac:dyDescent="0.2">
      <c r="A1510" t="s">
        <v>381</v>
      </c>
      <c r="B1510" s="3">
        <v>44338</v>
      </c>
      <c r="C1510">
        <v>107</v>
      </c>
      <c r="D1510" t="s">
        <v>392</v>
      </c>
      <c r="E1510" t="s">
        <v>122</v>
      </c>
      <c r="F1510" s="9" t="s">
        <v>123</v>
      </c>
      <c r="G1510" t="s">
        <v>26</v>
      </c>
      <c r="H1510" t="s">
        <v>51</v>
      </c>
      <c r="I1510" t="s">
        <v>52</v>
      </c>
      <c r="J1510" t="s">
        <v>29</v>
      </c>
      <c r="K1510" t="s">
        <v>30</v>
      </c>
      <c r="L1510" t="s">
        <v>29</v>
      </c>
      <c r="M1510" t="s">
        <v>30</v>
      </c>
      <c r="N1510" t="s">
        <v>51</v>
      </c>
      <c r="O1510" t="s">
        <v>52</v>
      </c>
      <c r="P1510" t="s">
        <v>29</v>
      </c>
      <c r="Q1510" t="s">
        <v>30</v>
      </c>
      <c r="R1510" s="1">
        <v>44338.561956018515</v>
      </c>
      <c r="S1510" s="1">
        <v>44338.561967592592</v>
      </c>
      <c r="T1510">
        <v>2</v>
      </c>
      <c r="U1510">
        <v>2</v>
      </c>
      <c r="V1510" s="2">
        <v>1</v>
      </c>
      <c r="W1510">
        <v>0</v>
      </c>
      <c r="X1510" t="s">
        <v>30</v>
      </c>
      <c r="Y1510">
        <v>0</v>
      </c>
      <c r="Z1510" t="s">
        <v>30</v>
      </c>
      <c r="AA1510">
        <v>0</v>
      </c>
      <c r="AB1510" t="s">
        <v>31</v>
      </c>
      <c r="AC1510">
        <v>0</v>
      </c>
      <c r="AD1510" t="s">
        <v>31</v>
      </c>
      <c r="AE1510">
        <v>0</v>
      </c>
      <c r="AF1510" t="s">
        <v>31</v>
      </c>
      <c r="AG1510">
        <v>0</v>
      </c>
      <c r="AH1510" t="s">
        <v>31</v>
      </c>
      <c r="AI1510">
        <v>0</v>
      </c>
      <c r="AJ1510" t="s">
        <v>31</v>
      </c>
      <c r="AK1510">
        <v>0</v>
      </c>
      <c r="AL1510" t="s">
        <v>31</v>
      </c>
      <c r="AM1510">
        <v>0</v>
      </c>
      <c r="AN1510" t="s">
        <v>31</v>
      </c>
      <c r="AO1510">
        <v>0</v>
      </c>
      <c r="AP1510" t="s">
        <v>31</v>
      </c>
      <c r="AQ1510">
        <v>0</v>
      </c>
    </row>
    <row r="1511" spans="1:43" x14ac:dyDescent="0.2">
      <c r="A1511" t="s">
        <v>381</v>
      </c>
      <c r="B1511" s="3">
        <v>44341</v>
      </c>
      <c r="C1511">
        <v>111</v>
      </c>
      <c r="D1511" t="s">
        <v>385</v>
      </c>
      <c r="E1511" t="s">
        <v>122</v>
      </c>
      <c r="F1511" s="9" t="s">
        <v>123</v>
      </c>
      <c r="G1511" t="s">
        <v>26</v>
      </c>
      <c r="H1511" t="s">
        <v>51</v>
      </c>
      <c r="I1511" t="s">
        <v>52</v>
      </c>
      <c r="J1511" t="s">
        <v>29</v>
      </c>
      <c r="K1511" t="s">
        <v>30</v>
      </c>
      <c r="L1511" t="s">
        <v>29</v>
      </c>
      <c r="M1511" t="s">
        <v>30</v>
      </c>
      <c r="N1511" t="s">
        <v>51</v>
      </c>
      <c r="O1511" t="s">
        <v>52</v>
      </c>
      <c r="P1511" t="s">
        <v>29</v>
      </c>
      <c r="Q1511" t="s">
        <v>30</v>
      </c>
      <c r="R1511" s="1">
        <v>44341.589270833334</v>
      </c>
      <c r="S1511" s="1">
        <v>44341.589363425926</v>
      </c>
      <c r="T1511">
        <v>2</v>
      </c>
      <c r="U1511">
        <v>2</v>
      </c>
      <c r="V1511" s="2">
        <v>1</v>
      </c>
      <c r="W1511">
        <v>0</v>
      </c>
      <c r="X1511" t="s">
        <v>30</v>
      </c>
      <c r="Y1511">
        <v>0</v>
      </c>
      <c r="Z1511" t="s">
        <v>30</v>
      </c>
      <c r="AA1511">
        <v>0</v>
      </c>
      <c r="AB1511" t="s">
        <v>31</v>
      </c>
      <c r="AC1511">
        <v>0</v>
      </c>
      <c r="AD1511" t="s">
        <v>31</v>
      </c>
      <c r="AE1511">
        <v>0</v>
      </c>
      <c r="AF1511" t="s">
        <v>31</v>
      </c>
      <c r="AG1511">
        <v>0</v>
      </c>
      <c r="AH1511" t="s">
        <v>31</v>
      </c>
      <c r="AI1511">
        <v>0</v>
      </c>
      <c r="AJ1511" t="s">
        <v>31</v>
      </c>
      <c r="AK1511">
        <v>0</v>
      </c>
      <c r="AL1511" t="s">
        <v>31</v>
      </c>
      <c r="AM1511">
        <v>0</v>
      </c>
      <c r="AN1511" t="s">
        <v>31</v>
      </c>
      <c r="AO1511">
        <v>0</v>
      </c>
      <c r="AP1511" t="s">
        <v>31</v>
      </c>
      <c r="AQ1511">
        <v>0</v>
      </c>
    </row>
    <row r="1512" spans="1:43" x14ac:dyDescent="0.2">
      <c r="A1512" t="s">
        <v>381</v>
      </c>
      <c r="B1512" s="3">
        <v>44343</v>
      </c>
      <c r="C1512">
        <v>115</v>
      </c>
      <c r="D1512" t="s">
        <v>395</v>
      </c>
      <c r="E1512" t="s">
        <v>122</v>
      </c>
      <c r="F1512" s="9" t="s">
        <v>123</v>
      </c>
      <c r="G1512" t="s">
        <v>26</v>
      </c>
      <c r="H1512" t="s">
        <v>51</v>
      </c>
      <c r="I1512" t="s">
        <v>52</v>
      </c>
      <c r="J1512" t="s">
        <v>29</v>
      </c>
      <c r="K1512" t="s">
        <v>30</v>
      </c>
      <c r="L1512" t="s">
        <v>29</v>
      </c>
      <c r="M1512" t="s">
        <v>30</v>
      </c>
      <c r="N1512" t="s">
        <v>51</v>
      </c>
      <c r="O1512" t="s">
        <v>52</v>
      </c>
      <c r="P1512" t="s">
        <v>29</v>
      </c>
      <c r="Q1512" t="s">
        <v>30</v>
      </c>
      <c r="R1512" s="1">
        <v>44343.416307870371</v>
      </c>
      <c r="S1512" s="1">
        <v>44343.424409722225</v>
      </c>
      <c r="T1512">
        <v>0</v>
      </c>
      <c r="U1512">
        <v>2</v>
      </c>
      <c r="V1512" s="2">
        <v>0</v>
      </c>
      <c r="W1512">
        <v>0</v>
      </c>
      <c r="X1512" t="s">
        <v>44</v>
      </c>
      <c r="Y1512">
        <v>0</v>
      </c>
      <c r="Z1512" t="s">
        <v>44</v>
      </c>
      <c r="AA1512">
        <v>0</v>
      </c>
      <c r="AB1512" t="s">
        <v>31</v>
      </c>
      <c r="AC1512">
        <v>0</v>
      </c>
      <c r="AD1512" t="s">
        <v>31</v>
      </c>
      <c r="AE1512">
        <v>0</v>
      </c>
      <c r="AF1512" t="s">
        <v>31</v>
      </c>
      <c r="AG1512">
        <v>0</v>
      </c>
      <c r="AH1512" t="s">
        <v>31</v>
      </c>
      <c r="AI1512">
        <v>0</v>
      </c>
      <c r="AJ1512" t="s">
        <v>31</v>
      </c>
      <c r="AK1512">
        <v>0</v>
      </c>
      <c r="AL1512" t="s">
        <v>31</v>
      </c>
      <c r="AM1512">
        <v>0</v>
      </c>
      <c r="AN1512" t="s">
        <v>31</v>
      </c>
      <c r="AO1512">
        <v>0</v>
      </c>
      <c r="AP1512" t="s">
        <v>31</v>
      </c>
      <c r="AQ1512">
        <v>0</v>
      </c>
    </row>
    <row r="1513" spans="1:43" x14ac:dyDescent="0.2">
      <c r="A1513" t="s">
        <v>381</v>
      </c>
      <c r="B1513" s="3">
        <v>44344</v>
      </c>
      <c r="C1513">
        <v>116</v>
      </c>
      <c r="D1513" t="s">
        <v>390</v>
      </c>
      <c r="E1513" t="s">
        <v>122</v>
      </c>
      <c r="F1513" s="9" t="s">
        <v>123</v>
      </c>
      <c r="G1513" t="s">
        <v>26</v>
      </c>
      <c r="H1513" t="s">
        <v>51</v>
      </c>
      <c r="I1513" t="s">
        <v>52</v>
      </c>
      <c r="J1513" t="s">
        <v>29</v>
      </c>
      <c r="K1513" t="s">
        <v>30</v>
      </c>
      <c r="L1513" t="s">
        <v>29</v>
      </c>
      <c r="M1513" t="s">
        <v>30</v>
      </c>
      <c r="N1513" t="s">
        <v>51</v>
      </c>
      <c r="O1513" t="s">
        <v>52</v>
      </c>
      <c r="P1513" t="s">
        <v>29</v>
      </c>
      <c r="Q1513" t="s">
        <v>30</v>
      </c>
      <c r="R1513" s="1">
        <v>44344.452719907407</v>
      </c>
      <c r="S1513" s="1">
        <v>44344.458668981482</v>
      </c>
      <c r="T1513">
        <v>2</v>
      </c>
      <c r="U1513">
        <v>3</v>
      </c>
      <c r="V1513" s="2">
        <v>0.66</v>
      </c>
      <c r="W1513">
        <v>0</v>
      </c>
      <c r="X1513" t="s">
        <v>30</v>
      </c>
      <c r="Y1513">
        <v>0</v>
      </c>
      <c r="Z1513" t="s">
        <v>30</v>
      </c>
      <c r="AA1513">
        <v>0</v>
      </c>
      <c r="AB1513" t="s">
        <v>183</v>
      </c>
      <c r="AC1513">
        <v>0</v>
      </c>
      <c r="AD1513" t="s">
        <v>31</v>
      </c>
      <c r="AE1513">
        <v>0</v>
      </c>
      <c r="AF1513" t="s">
        <v>31</v>
      </c>
      <c r="AG1513">
        <v>0</v>
      </c>
      <c r="AH1513" t="s">
        <v>31</v>
      </c>
      <c r="AI1513">
        <v>0</v>
      </c>
      <c r="AJ1513" t="s">
        <v>31</v>
      </c>
      <c r="AK1513">
        <v>0</v>
      </c>
      <c r="AL1513" t="s">
        <v>31</v>
      </c>
      <c r="AM1513">
        <v>0</v>
      </c>
      <c r="AN1513" t="s">
        <v>31</v>
      </c>
      <c r="AO1513">
        <v>0</v>
      </c>
      <c r="AP1513" t="s">
        <v>31</v>
      </c>
      <c r="AQ1513">
        <v>0</v>
      </c>
    </row>
    <row r="1514" spans="1:43" x14ac:dyDescent="0.2">
      <c r="A1514" t="s">
        <v>381</v>
      </c>
      <c r="B1514" s="3">
        <v>44348</v>
      </c>
      <c r="C1514">
        <v>118</v>
      </c>
      <c r="D1514" t="s">
        <v>396</v>
      </c>
      <c r="E1514" t="s">
        <v>122</v>
      </c>
      <c r="F1514" s="9" t="s">
        <v>123</v>
      </c>
      <c r="G1514" t="s">
        <v>26</v>
      </c>
      <c r="H1514" t="s">
        <v>51</v>
      </c>
      <c r="I1514" t="s">
        <v>52</v>
      </c>
      <c r="J1514" t="s">
        <v>29</v>
      </c>
      <c r="K1514" t="s">
        <v>30</v>
      </c>
      <c r="L1514" t="s">
        <v>29</v>
      </c>
      <c r="M1514" t="s">
        <v>30</v>
      </c>
      <c r="N1514" t="s">
        <v>51</v>
      </c>
      <c r="O1514" t="s">
        <v>52</v>
      </c>
      <c r="P1514" t="s">
        <v>29</v>
      </c>
      <c r="Q1514" t="s">
        <v>30</v>
      </c>
      <c r="R1514" s="1">
        <v>44348.416226851848</v>
      </c>
      <c r="S1514" s="1">
        <v>44348.416238425925</v>
      </c>
      <c r="T1514">
        <v>2</v>
      </c>
      <c r="U1514">
        <v>4</v>
      </c>
      <c r="V1514" s="2">
        <v>0.5</v>
      </c>
      <c r="W1514">
        <v>0</v>
      </c>
      <c r="X1514" t="s">
        <v>183</v>
      </c>
      <c r="Y1514">
        <v>0</v>
      </c>
      <c r="Z1514" t="s">
        <v>30</v>
      </c>
      <c r="AA1514">
        <v>0</v>
      </c>
      <c r="AB1514" t="s">
        <v>183</v>
      </c>
      <c r="AC1514">
        <v>0</v>
      </c>
      <c r="AD1514" t="s">
        <v>30</v>
      </c>
      <c r="AE1514">
        <v>0</v>
      </c>
      <c r="AF1514" t="s">
        <v>31</v>
      </c>
      <c r="AG1514">
        <v>0</v>
      </c>
      <c r="AH1514" t="s">
        <v>31</v>
      </c>
      <c r="AI1514">
        <v>0</v>
      </c>
      <c r="AJ1514" t="s">
        <v>31</v>
      </c>
      <c r="AK1514">
        <v>0</v>
      </c>
      <c r="AL1514" t="s">
        <v>31</v>
      </c>
      <c r="AM1514">
        <v>0</v>
      </c>
      <c r="AN1514" t="s">
        <v>31</v>
      </c>
      <c r="AO1514">
        <v>0</v>
      </c>
      <c r="AP1514" t="s">
        <v>31</v>
      </c>
      <c r="AQ1514">
        <v>0</v>
      </c>
    </row>
    <row r="1515" spans="1:43" x14ac:dyDescent="0.2">
      <c r="A1515" t="s">
        <v>381</v>
      </c>
      <c r="B1515" s="3">
        <v>44348</v>
      </c>
      <c r="C1515">
        <v>119</v>
      </c>
      <c r="D1515" t="s">
        <v>385</v>
      </c>
      <c r="E1515" t="s">
        <v>122</v>
      </c>
      <c r="F1515" s="9" t="s">
        <v>123</v>
      </c>
      <c r="G1515" t="s">
        <v>26</v>
      </c>
      <c r="H1515" t="s">
        <v>51</v>
      </c>
      <c r="I1515" t="s">
        <v>52</v>
      </c>
      <c r="J1515" t="s">
        <v>29</v>
      </c>
      <c r="K1515" t="s">
        <v>30</v>
      </c>
      <c r="L1515" t="s">
        <v>29</v>
      </c>
      <c r="M1515" t="s">
        <v>30</v>
      </c>
      <c r="N1515" t="s">
        <v>51</v>
      </c>
      <c r="O1515" t="s">
        <v>52</v>
      </c>
      <c r="P1515" t="s">
        <v>29</v>
      </c>
      <c r="Q1515" t="s">
        <v>30</v>
      </c>
      <c r="R1515" s="1">
        <v>44348.62290509259</v>
      </c>
      <c r="S1515" s="1">
        <v>44348.637199074074</v>
      </c>
      <c r="T1515">
        <v>2</v>
      </c>
      <c r="U1515">
        <v>2</v>
      </c>
      <c r="V1515" s="2">
        <v>1</v>
      </c>
      <c r="W1515">
        <v>0</v>
      </c>
      <c r="X1515" t="s">
        <v>30</v>
      </c>
      <c r="Y1515">
        <v>0</v>
      </c>
      <c r="Z1515" t="s">
        <v>30</v>
      </c>
      <c r="AA1515">
        <v>0</v>
      </c>
      <c r="AB1515" t="s">
        <v>31</v>
      </c>
      <c r="AC1515">
        <v>0</v>
      </c>
      <c r="AD1515" t="s">
        <v>31</v>
      </c>
      <c r="AE1515">
        <v>0</v>
      </c>
      <c r="AF1515" t="s">
        <v>31</v>
      </c>
      <c r="AG1515">
        <v>0</v>
      </c>
      <c r="AH1515" t="s">
        <v>31</v>
      </c>
      <c r="AI1515">
        <v>0</v>
      </c>
      <c r="AJ1515" t="s">
        <v>31</v>
      </c>
      <c r="AK1515">
        <v>0</v>
      </c>
      <c r="AL1515" t="s">
        <v>31</v>
      </c>
      <c r="AM1515">
        <v>0</v>
      </c>
      <c r="AN1515" t="s">
        <v>31</v>
      </c>
      <c r="AO1515">
        <v>0</v>
      </c>
      <c r="AP1515" t="s">
        <v>31</v>
      </c>
      <c r="AQ1515">
        <v>0</v>
      </c>
    </row>
    <row r="1516" spans="1:43" x14ac:dyDescent="0.2">
      <c r="A1516" t="s">
        <v>381</v>
      </c>
      <c r="B1516" s="3">
        <v>44349</v>
      </c>
      <c r="C1516">
        <v>121</v>
      </c>
      <c r="D1516" t="s">
        <v>385</v>
      </c>
      <c r="E1516" t="s">
        <v>122</v>
      </c>
      <c r="F1516" s="9" t="s">
        <v>123</v>
      </c>
      <c r="G1516" t="s">
        <v>26</v>
      </c>
      <c r="H1516" t="s">
        <v>51</v>
      </c>
      <c r="I1516" t="s">
        <v>52</v>
      </c>
      <c r="J1516" t="s">
        <v>29</v>
      </c>
      <c r="K1516" t="s">
        <v>30</v>
      </c>
      <c r="L1516" t="s">
        <v>29</v>
      </c>
      <c r="M1516" t="s">
        <v>30</v>
      </c>
      <c r="N1516" t="s">
        <v>51</v>
      </c>
      <c r="O1516" t="s">
        <v>52</v>
      </c>
      <c r="P1516" t="s">
        <v>29</v>
      </c>
      <c r="Q1516" t="s">
        <v>30</v>
      </c>
      <c r="R1516" s="1">
        <v>44349.565185185187</v>
      </c>
      <c r="S1516" s="1">
        <v>44349.566111111111</v>
      </c>
      <c r="T1516">
        <v>3</v>
      </c>
      <c r="U1516">
        <v>3</v>
      </c>
      <c r="V1516" s="2">
        <v>1</v>
      </c>
      <c r="W1516">
        <v>0</v>
      </c>
      <c r="X1516" t="s">
        <v>30</v>
      </c>
      <c r="Y1516">
        <v>0</v>
      </c>
      <c r="Z1516" t="s">
        <v>30</v>
      </c>
      <c r="AA1516">
        <v>0</v>
      </c>
      <c r="AB1516" t="s">
        <v>30</v>
      </c>
      <c r="AC1516">
        <v>0</v>
      </c>
      <c r="AD1516" t="s">
        <v>31</v>
      </c>
      <c r="AE1516">
        <v>0</v>
      </c>
      <c r="AF1516" t="s">
        <v>31</v>
      </c>
      <c r="AG1516">
        <v>0</v>
      </c>
      <c r="AH1516" t="s">
        <v>31</v>
      </c>
      <c r="AI1516">
        <v>0</v>
      </c>
      <c r="AJ1516" t="s">
        <v>31</v>
      </c>
      <c r="AK1516">
        <v>0</v>
      </c>
      <c r="AL1516" t="s">
        <v>31</v>
      </c>
      <c r="AM1516">
        <v>0</v>
      </c>
      <c r="AN1516" t="s">
        <v>31</v>
      </c>
      <c r="AO1516">
        <v>0</v>
      </c>
      <c r="AP1516" t="s">
        <v>31</v>
      </c>
      <c r="AQ1516">
        <v>0</v>
      </c>
    </row>
    <row r="1517" spans="1:43" x14ac:dyDescent="0.2">
      <c r="A1517" t="s">
        <v>381</v>
      </c>
      <c r="B1517" s="3">
        <v>44350</v>
      </c>
      <c r="C1517">
        <v>123</v>
      </c>
      <c r="D1517" t="s">
        <v>382</v>
      </c>
      <c r="E1517" t="s">
        <v>122</v>
      </c>
      <c r="F1517" s="9" t="s">
        <v>123</v>
      </c>
      <c r="G1517" t="s">
        <v>26</v>
      </c>
      <c r="H1517" t="s">
        <v>51</v>
      </c>
      <c r="I1517" t="s">
        <v>52</v>
      </c>
      <c r="J1517" t="s">
        <v>29</v>
      </c>
      <c r="K1517" t="s">
        <v>30</v>
      </c>
      <c r="L1517" t="s">
        <v>29</v>
      </c>
      <c r="M1517" t="s">
        <v>30</v>
      </c>
      <c r="N1517" t="s">
        <v>51</v>
      </c>
      <c r="O1517" t="s">
        <v>52</v>
      </c>
      <c r="P1517" t="s">
        <v>29</v>
      </c>
      <c r="Q1517" t="s">
        <v>30</v>
      </c>
      <c r="R1517" s="1">
        <v>44350.374432870369</v>
      </c>
      <c r="S1517" s="1">
        <v>44350.469722222224</v>
      </c>
      <c r="T1517">
        <v>2</v>
      </c>
      <c r="U1517">
        <v>2</v>
      </c>
      <c r="V1517" s="2">
        <v>1</v>
      </c>
      <c r="W1517">
        <v>0</v>
      </c>
      <c r="X1517" t="s">
        <v>30</v>
      </c>
      <c r="Y1517">
        <v>0</v>
      </c>
      <c r="Z1517" t="s">
        <v>30</v>
      </c>
      <c r="AA1517">
        <v>0</v>
      </c>
      <c r="AB1517" t="s">
        <v>31</v>
      </c>
      <c r="AC1517">
        <v>0</v>
      </c>
      <c r="AD1517" t="s">
        <v>31</v>
      </c>
      <c r="AE1517">
        <v>0</v>
      </c>
      <c r="AF1517" t="s">
        <v>31</v>
      </c>
      <c r="AG1517">
        <v>0</v>
      </c>
      <c r="AH1517" t="s">
        <v>31</v>
      </c>
      <c r="AI1517">
        <v>0</v>
      </c>
      <c r="AJ1517" t="s">
        <v>31</v>
      </c>
      <c r="AK1517">
        <v>0</v>
      </c>
      <c r="AL1517" t="s">
        <v>31</v>
      </c>
      <c r="AM1517">
        <v>0</v>
      </c>
      <c r="AN1517" t="s">
        <v>31</v>
      </c>
      <c r="AO1517">
        <v>0</v>
      </c>
      <c r="AP1517" t="s">
        <v>31</v>
      </c>
      <c r="AQ1517">
        <v>0</v>
      </c>
    </row>
    <row r="1518" spans="1:43" x14ac:dyDescent="0.2">
      <c r="A1518" t="s">
        <v>381</v>
      </c>
      <c r="B1518" s="3">
        <v>44351</v>
      </c>
      <c r="C1518">
        <v>124</v>
      </c>
      <c r="D1518" t="s">
        <v>390</v>
      </c>
      <c r="E1518" t="s">
        <v>122</v>
      </c>
      <c r="F1518" s="9" t="s">
        <v>123</v>
      </c>
      <c r="G1518" t="s">
        <v>26</v>
      </c>
      <c r="H1518" t="s">
        <v>51</v>
      </c>
      <c r="I1518" t="s">
        <v>52</v>
      </c>
      <c r="J1518" t="s">
        <v>29</v>
      </c>
      <c r="K1518" t="s">
        <v>30</v>
      </c>
      <c r="L1518" t="s">
        <v>29</v>
      </c>
      <c r="M1518" t="s">
        <v>30</v>
      </c>
      <c r="N1518" t="s">
        <v>51</v>
      </c>
      <c r="O1518" t="s">
        <v>52</v>
      </c>
      <c r="P1518" t="s">
        <v>29</v>
      </c>
      <c r="Q1518" t="s">
        <v>30</v>
      </c>
      <c r="R1518" s="1">
        <v>44351.420787037037</v>
      </c>
      <c r="S1518" s="1">
        <v>44351.420787037037</v>
      </c>
      <c r="T1518">
        <v>1</v>
      </c>
      <c r="U1518">
        <v>1</v>
      </c>
      <c r="V1518" s="2">
        <v>1</v>
      </c>
      <c r="W1518">
        <v>0</v>
      </c>
      <c r="X1518" t="s">
        <v>30</v>
      </c>
      <c r="Y1518">
        <v>0</v>
      </c>
      <c r="Z1518" t="s">
        <v>31</v>
      </c>
      <c r="AA1518">
        <v>0</v>
      </c>
      <c r="AB1518" t="s">
        <v>31</v>
      </c>
      <c r="AC1518">
        <v>0</v>
      </c>
      <c r="AD1518" t="s">
        <v>31</v>
      </c>
      <c r="AE1518">
        <v>0</v>
      </c>
      <c r="AF1518" t="s">
        <v>31</v>
      </c>
      <c r="AG1518">
        <v>0</v>
      </c>
      <c r="AH1518" t="s">
        <v>31</v>
      </c>
      <c r="AI1518">
        <v>0</v>
      </c>
      <c r="AJ1518" t="s">
        <v>31</v>
      </c>
      <c r="AK1518">
        <v>0</v>
      </c>
      <c r="AL1518" t="s">
        <v>31</v>
      </c>
      <c r="AM1518">
        <v>0</v>
      </c>
      <c r="AN1518" t="s">
        <v>31</v>
      </c>
      <c r="AO1518">
        <v>0</v>
      </c>
      <c r="AP1518" t="s">
        <v>31</v>
      </c>
      <c r="AQ1518">
        <v>0</v>
      </c>
    </row>
    <row r="1519" spans="1:43" x14ac:dyDescent="0.2">
      <c r="A1519" t="s">
        <v>381</v>
      </c>
      <c r="B1519" s="3">
        <v>44354</v>
      </c>
      <c r="C1519">
        <v>126</v>
      </c>
      <c r="D1519" t="s">
        <v>397</v>
      </c>
      <c r="E1519" t="s">
        <v>122</v>
      </c>
      <c r="F1519" s="9" t="s">
        <v>123</v>
      </c>
      <c r="G1519" t="s">
        <v>26</v>
      </c>
      <c r="H1519" t="s">
        <v>51</v>
      </c>
      <c r="I1519" t="s">
        <v>52</v>
      </c>
      <c r="J1519" t="s">
        <v>29</v>
      </c>
      <c r="K1519" t="s">
        <v>30</v>
      </c>
      <c r="L1519" t="s">
        <v>29</v>
      </c>
      <c r="M1519" t="s">
        <v>30</v>
      </c>
      <c r="N1519" t="s">
        <v>51</v>
      </c>
      <c r="O1519" t="s">
        <v>52</v>
      </c>
      <c r="P1519" t="s">
        <v>29</v>
      </c>
      <c r="Q1519" t="s">
        <v>30</v>
      </c>
      <c r="R1519" s="1">
        <v>44354.415821759256</v>
      </c>
      <c r="S1519" s="1">
        <v>44354.415821759256</v>
      </c>
      <c r="T1519">
        <v>1</v>
      </c>
      <c r="U1519">
        <v>1</v>
      </c>
      <c r="V1519" s="2">
        <v>1</v>
      </c>
      <c r="W1519">
        <v>0</v>
      </c>
      <c r="X1519" t="s">
        <v>30</v>
      </c>
      <c r="Y1519">
        <v>0</v>
      </c>
      <c r="Z1519" t="s">
        <v>31</v>
      </c>
      <c r="AA1519">
        <v>0</v>
      </c>
      <c r="AB1519" t="s">
        <v>31</v>
      </c>
      <c r="AC1519">
        <v>0</v>
      </c>
      <c r="AD1519" t="s">
        <v>31</v>
      </c>
      <c r="AE1519">
        <v>0</v>
      </c>
      <c r="AF1519" t="s">
        <v>31</v>
      </c>
      <c r="AG1519">
        <v>0</v>
      </c>
      <c r="AH1519" t="s">
        <v>31</v>
      </c>
      <c r="AI1519">
        <v>0</v>
      </c>
      <c r="AJ1519" t="s">
        <v>31</v>
      </c>
      <c r="AK1519">
        <v>0</v>
      </c>
      <c r="AL1519" t="s">
        <v>31</v>
      </c>
      <c r="AM1519">
        <v>0</v>
      </c>
      <c r="AN1519" t="s">
        <v>31</v>
      </c>
      <c r="AO1519">
        <v>0</v>
      </c>
      <c r="AP1519" t="s">
        <v>31</v>
      </c>
      <c r="AQ1519">
        <v>0</v>
      </c>
    </row>
    <row r="1520" spans="1:43" x14ac:dyDescent="0.2">
      <c r="A1520" t="s">
        <v>381</v>
      </c>
      <c r="B1520" s="3">
        <v>44355</v>
      </c>
      <c r="C1520">
        <v>128</v>
      </c>
      <c r="D1520" t="s">
        <v>406</v>
      </c>
      <c r="E1520" t="s">
        <v>122</v>
      </c>
      <c r="F1520" s="9" t="s">
        <v>123</v>
      </c>
      <c r="G1520" t="s">
        <v>26</v>
      </c>
      <c r="H1520" t="s">
        <v>51</v>
      </c>
      <c r="I1520" t="s">
        <v>52</v>
      </c>
      <c r="J1520" t="s">
        <v>29</v>
      </c>
      <c r="K1520" t="s">
        <v>30</v>
      </c>
      <c r="L1520" t="s">
        <v>29</v>
      </c>
      <c r="M1520" t="s">
        <v>30</v>
      </c>
      <c r="N1520" t="s">
        <v>51</v>
      </c>
      <c r="O1520" t="s">
        <v>52</v>
      </c>
      <c r="P1520" t="s">
        <v>29</v>
      </c>
      <c r="Q1520" t="s">
        <v>30</v>
      </c>
      <c r="R1520" s="1">
        <v>44355.450428240743</v>
      </c>
      <c r="S1520" s="1">
        <v>44355.450578703705</v>
      </c>
      <c r="T1520">
        <v>0</v>
      </c>
      <c r="U1520">
        <v>2</v>
      </c>
      <c r="V1520" s="2">
        <v>0</v>
      </c>
      <c r="W1520">
        <v>0</v>
      </c>
      <c r="X1520" t="s">
        <v>44</v>
      </c>
      <c r="Y1520">
        <v>0</v>
      </c>
      <c r="Z1520" t="s">
        <v>44</v>
      </c>
      <c r="AA1520">
        <v>0</v>
      </c>
      <c r="AB1520" t="s">
        <v>31</v>
      </c>
      <c r="AC1520">
        <v>0</v>
      </c>
      <c r="AD1520" t="s">
        <v>31</v>
      </c>
      <c r="AE1520">
        <v>0</v>
      </c>
      <c r="AF1520" t="s">
        <v>31</v>
      </c>
      <c r="AG1520">
        <v>0</v>
      </c>
      <c r="AH1520" t="s">
        <v>31</v>
      </c>
      <c r="AI1520">
        <v>0</v>
      </c>
      <c r="AJ1520" t="s">
        <v>31</v>
      </c>
      <c r="AK1520">
        <v>0</v>
      </c>
      <c r="AL1520" t="s">
        <v>31</v>
      </c>
      <c r="AM1520">
        <v>0</v>
      </c>
      <c r="AN1520" t="s">
        <v>31</v>
      </c>
      <c r="AO1520">
        <v>0</v>
      </c>
      <c r="AP1520" t="s">
        <v>31</v>
      </c>
      <c r="AQ1520">
        <v>0</v>
      </c>
    </row>
    <row r="1521" spans="1:43" x14ac:dyDescent="0.2">
      <c r="A1521" t="s">
        <v>381</v>
      </c>
      <c r="B1521" s="3">
        <v>44355</v>
      </c>
      <c r="C1521">
        <v>129</v>
      </c>
      <c r="D1521" t="s">
        <v>385</v>
      </c>
      <c r="E1521" t="s">
        <v>122</v>
      </c>
      <c r="F1521" s="9" t="s">
        <v>123</v>
      </c>
      <c r="G1521" t="s">
        <v>26</v>
      </c>
      <c r="H1521" t="s">
        <v>51</v>
      </c>
      <c r="I1521" t="s">
        <v>52</v>
      </c>
      <c r="J1521" t="s">
        <v>29</v>
      </c>
      <c r="K1521" t="s">
        <v>30</v>
      </c>
      <c r="L1521" t="s">
        <v>29</v>
      </c>
      <c r="M1521" t="s">
        <v>30</v>
      </c>
      <c r="N1521" t="s">
        <v>51</v>
      </c>
      <c r="O1521" t="s">
        <v>52</v>
      </c>
      <c r="P1521" t="s">
        <v>29</v>
      </c>
      <c r="Q1521" t="s">
        <v>30</v>
      </c>
      <c r="R1521" s="1">
        <v>44355.593113425923</v>
      </c>
      <c r="S1521" s="1">
        <v>44355.621516203704</v>
      </c>
      <c r="T1521">
        <v>2</v>
      </c>
      <c r="U1521">
        <v>2</v>
      </c>
      <c r="V1521" s="2">
        <v>1</v>
      </c>
      <c r="W1521">
        <v>0</v>
      </c>
      <c r="X1521" t="s">
        <v>30</v>
      </c>
      <c r="Y1521">
        <v>0</v>
      </c>
      <c r="Z1521" t="s">
        <v>30</v>
      </c>
      <c r="AA1521">
        <v>0</v>
      </c>
      <c r="AB1521" t="s">
        <v>31</v>
      </c>
      <c r="AC1521">
        <v>0</v>
      </c>
      <c r="AD1521" t="s">
        <v>31</v>
      </c>
      <c r="AE1521">
        <v>0</v>
      </c>
      <c r="AF1521" t="s">
        <v>31</v>
      </c>
      <c r="AG1521">
        <v>0</v>
      </c>
      <c r="AH1521" t="s">
        <v>31</v>
      </c>
      <c r="AI1521">
        <v>0</v>
      </c>
      <c r="AJ1521" t="s">
        <v>31</v>
      </c>
      <c r="AK1521">
        <v>0</v>
      </c>
      <c r="AL1521" t="s">
        <v>31</v>
      </c>
      <c r="AM1521">
        <v>0</v>
      </c>
      <c r="AN1521" t="s">
        <v>31</v>
      </c>
      <c r="AO1521">
        <v>0</v>
      </c>
      <c r="AP1521" t="s">
        <v>31</v>
      </c>
      <c r="AQ1521">
        <v>0</v>
      </c>
    </row>
    <row r="1522" spans="1:43" x14ac:dyDescent="0.2">
      <c r="A1522" t="s">
        <v>381</v>
      </c>
      <c r="B1522" s="3">
        <v>44356</v>
      </c>
      <c r="C1522">
        <v>130</v>
      </c>
      <c r="D1522" t="s">
        <v>398</v>
      </c>
      <c r="E1522" t="s">
        <v>122</v>
      </c>
      <c r="F1522" s="9" t="s">
        <v>123</v>
      </c>
      <c r="G1522" t="s">
        <v>26</v>
      </c>
      <c r="H1522" t="s">
        <v>51</v>
      </c>
      <c r="I1522" t="s">
        <v>52</v>
      </c>
      <c r="J1522" t="s">
        <v>29</v>
      </c>
      <c r="K1522" t="s">
        <v>30</v>
      </c>
      <c r="L1522" t="s">
        <v>29</v>
      </c>
      <c r="M1522" t="s">
        <v>30</v>
      </c>
      <c r="N1522" t="s">
        <v>51</v>
      </c>
      <c r="O1522" t="s">
        <v>52</v>
      </c>
      <c r="P1522" t="s">
        <v>29</v>
      </c>
      <c r="Q1522" t="s">
        <v>30</v>
      </c>
      <c r="R1522" s="1">
        <v>44356.480173611111</v>
      </c>
      <c r="S1522" s="1">
        <v>44356.48027777778</v>
      </c>
      <c r="T1522">
        <v>1</v>
      </c>
      <c r="U1522">
        <v>3</v>
      </c>
      <c r="V1522" s="2">
        <v>0.33</v>
      </c>
      <c r="W1522">
        <v>0</v>
      </c>
      <c r="X1522" t="s">
        <v>44</v>
      </c>
      <c r="Y1522">
        <v>0</v>
      </c>
      <c r="Z1522" t="s">
        <v>44</v>
      </c>
      <c r="AA1522">
        <v>0</v>
      </c>
      <c r="AB1522" t="s">
        <v>30</v>
      </c>
      <c r="AC1522">
        <v>0</v>
      </c>
      <c r="AD1522" t="s">
        <v>31</v>
      </c>
      <c r="AE1522">
        <v>0</v>
      </c>
      <c r="AF1522" t="s">
        <v>31</v>
      </c>
      <c r="AG1522">
        <v>0</v>
      </c>
      <c r="AH1522" t="s">
        <v>31</v>
      </c>
      <c r="AI1522">
        <v>0</v>
      </c>
      <c r="AJ1522" t="s">
        <v>31</v>
      </c>
      <c r="AK1522">
        <v>0</v>
      </c>
      <c r="AL1522" t="s">
        <v>31</v>
      </c>
      <c r="AM1522">
        <v>0</v>
      </c>
      <c r="AN1522" t="s">
        <v>31</v>
      </c>
      <c r="AO1522">
        <v>0</v>
      </c>
      <c r="AP1522" t="s">
        <v>31</v>
      </c>
      <c r="AQ1522">
        <v>0</v>
      </c>
    </row>
    <row r="1523" spans="1:43" x14ac:dyDescent="0.2">
      <c r="A1523" t="s">
        <v>381</v>
      </c>
      <c r="B1523" s="3">
        <v>44357</v>
      </c>
      <c r="C1523">
        <v>132</v>
      </c>
      <c r="D1523" t="s">
        <v>399</v>
      </c>
      <c r="E1523" t="s">
        <v>122</v>
      </c>
      <c r="F1523" s="9" t="s">
        <v>123</v>
      </c>
      <c r="G1523" t="s">
        <v>26</v>
      </c>
      <c r="H1523" t="s">
        <v>51</v>
      </c>
      <c r="I1523" t="s">
        <v>52</v>
      </c>
      <c r="J1523" t="s">
        <v>29</v>
      </c>
      <c r="K1523" t="s">
        <v>30</v>
      </c>
      <c r="L1523" t="s">
        <v>29</v>
      </c>
      <c r="M1523" t="s">
        <v>30</v>
      </c>
      <c r="N1523" t="s">
        <v>51</v>
      </c>
      <c r="O1523" t="s">
        <v>52</v>
      </c>
      <c r="P1523" t="s">
        <v>29</v>
      </c>
      <c r="Q1523" t="s">
        <v>30</v>
      </c>
      <c r="R1523" s="1">
        <v>44357.381840277776</v>
      </c>
      <c r="S1523" s="1">
        <v>44357.381851851853</v>
      </c>
      <c r="T1523">
        <v>0</v>
      </c>
      <c r="U1523">
        <v>2</v>
      </c>
      <c r="V1523" s="2">
        <v>0</v>
      </c>
      <c r="W1523">
        <v>0</v>
      </c>
      <c r="X1523" t="s">
        <v>44</v>
      </c>
      <c r="Y1523">
        <v>0</v>
      </c>
      <c r="Z1523" t="s">
        <v>183</v>
      </c>
      <c r="AA1523">
        <v>0</v>
      </c>
      <c r="AB1523" t="s">
        <v>31</v>
      </c>
      <c r="AC1523">
        <v>0</v>
      </c>
      <c r="AD1523" t="s">
        <v>31</v>
      </c>
      <c r="AE1523">
        <v>0</v>
      </c>
      <c r="AF1523" t="s">
        <v>31</v>
      </c>
      <c r="AG1523">
        <v>0</v>
      </c>
      <c r="AH1523" t="s">
        <v>31</v>
      </c>
      <c r="AI1523">
        <v>0</v>
      </c>
      <c r="AJ1523" t="s">
        <v>31</v>
      </c>
      <c r="AK1523">
        <v>0</v>
      </c>
      <c r="AL1523" t="s">
        <v>31</v>
      </c>
      <c r="AM1523">
        <v>0</v>
      </c>
      <c r="AN1523" t="s">
        <v>31</v>
      </c>
      <c r="AO1523">
        <v>0</v>
      </c>
      <c r="AP1523" t="s">
        <v>31</v>
      </c>
      <c r="AQ1523">
        <v>0</v>
      </c>
    </row>
    <row r="1524" spans="1:43" x14ac:dyDescent="0.2">
      <c r="A1524" t="s">
        <v>381</v>
      </c>
      <c r="B1524" s="3">
        <v>44358</v>
      </c>
      <c r="C1524">
        <v>133</v>
      </c>
      <c r="D1524" t="s">
        <v>390</v>
      </c>
      <c r="E1524" t="s">
        <v>122</v>
      </c>
      <c r="F1524" s="9" t="s">
        <v>123</v>
      </c>
      <c r="G1524" t="s">
        <v>26</v>
      </c>
      <c r="H1524" t="s">
        <v>51</v>
      </c>
      <c r="I1524" t="s">
        <v>52</v>
      </c>
      <c r="J1524" t="s">
        <v>29</v>
      </c>
      <c r="K1524" t="s">
        <v>30</v>
      </c>
      <c r="L1524" t="s">
        <v>29</v>
      </c>
      <c r="M1524" t="s">
        <v>30</v>
      </c>
      <c r="N1524" t="s">
        <v>51</v>
      </c>
      <c r="O1524" t="s">
        <v>52</v>
      </c>
      <c r="P1524" t="s">
        <v>29</v>
      </c>
      <c r="Q1524" t="s">
        <v>30</v>
      </c>
      <c r="R1524" s="1">
        <v>44358.392569444448</v>
      </c>
      <c r="S1524" s="1">
        <v>44358.481550925928</v>
      </c>
      <c r="T1524">
        <v>6</v>
      </c>
      <c r="U1524">
        <v>6</v>
      </c>
      <c r="V1524" s="2">
        <v>1</v>
      </c>
      <c r="W1524">
        <v>0</v>
      </c>
      <c r="X1524" t="s">
        <v>30</v>
      </c>
      <c r="Y1524">
        <v>0</v>
      </c>
      <c r="Z1524" t="s">
        <v>30</v>
      </c>
      <c r="AA1524">
        <v>0</v>
      </c>
      <c r="AB1524" t="s">
        <v>30</v>
      </c>
      <c r="AC1524">
        <v>0</v>
      </c>
      <c r="AD1524" t="s">
        <v>30</v>
      </c>
      <c r="AE1524">
        <v>0</v>
      </c>
      <c r="AF1524" t="s">
        <v>30</v>
      </c>
      <c r="AG1524">
        <v>0</v>
      </c>
      <c r="AH1524" t="s">
        <v>30</v>
      </c>
      <c r="AI1524">
        <v>0</v>
      </c>
      <c r="AJ1524" t="s">
        <v>31</v>
      </c>
      <c r="AK1524">
        <v>0</v>
      </c>
      <c r="AL1524" t="s">
        <v>31</v>
      </c>
      <c r="AM1524">
        <v>0</v>
      </c>
      <c r="AN1524" t="s">
        <v>31</v>
      </c>
      <c r="AO1524">
        <v>0</v>
      </c>
      <c r="AP1524" t="s">
        <v>31</v>
      </c>
      <c r="AQ1524">
        <v>0</v>
      </c>
    </row>
    <row r="1525" spans="1:43" x14ac:dyDescent="0.2">
      <c r="A1525" t="s">
        <v>381</v>
      </c>
      <c r="B1525" s="3">
        <v>44361</v>
      </c>
      <c r="C1525">
        <v>135</v>
      </c>
      <c r="D1525" t="s">
        <v>390</v>
      </c>
      <c r="E1525" t="s">
        <v>122</v>
      </c>
      <c r="F1525" s="9" t="s">
        <v>123</v>
      </c>
      <c r="G1525" t="s">
        <v>26</v>
      </c>
      <c r="H1525" t="s">
        <v>51</v>
      </c>
      <c r="I1525" t="s">
        <v>52</v>
      </c>
      <c r="J1525" t="s">
        <v>29</v>
      </c>
      <c r="K1525" t="s">
        <v>30</v>
      </c>
      <c r="L1525" t="s">
        <v>29</v>
      </c>
      <c r="M1525" t="s">
        <v>30</v>
      </c>
      <c r="N1525" t="s">
        <v>51</v>
      </c>
      <c r="O1525" t="s">
        <v>52</v>
      </c>
      <c r="P1525" t="s">
        <v>29</v>
      </c>
      <c r="Q1525" t="s">
        <v>30</v>
      </c>
      <c r="R1525" s="1">
        <v>44361.408125000002</v>
      </c>
      <c r="S1525" s="1">
        <v>44361.482916666668</v>
      </c>
      <c r="T1525">
        <v>4</v>
      </c>
      <c r="U1525">
        <v>4</v>
      </c>
      <c r="V1525" s="2">
        <v>1</v>
      </c>
      <c r="W1525">
        <v>0</v>
      </c>
      <c r="X1525" t="s">
        <v>30</v>
      </c>
      <c r="Y1525">
        <v>0</v>
      </c>
      <c r="Z1525" t="s">
        <v>30</v>
      </c>
      <c r="AA1525">
        <v>0</v>
      </c>
      <c r="AB1525" t="s">
        <v>30</v>
      </c>
      <c r="AC1525">
        <v>0</v>
      </c>
      <c r="AD1525" t="s">
        <v>30</v>
      </c>
      <c r="AE1525">
        <v>0</v>
      </c>
      <c r="AF1525" t="s">
        <v>31</v>
      </c>
      <c r="AG1525">
        <v>0</v>
      </c>
      <c r="AH1525" t="s">
        <v>31</v>
      </c>
      <c r="AI1525">
        <v>0</v>
      </c>
      <c r="AJ1525" t="s">
        <v>31</v>
      </c>
      <c r="AK1525">
        <v>0</v>
      </c>
      <c r="AL1525" t="s">
        <v>31</v>
      </c>
      <c r="AM1525">
        <v>0</v>
      </c>
      <c r="AN1525" t="s">
        <v>31</v>
      </c>
      <c r="AO1525">
        <v>0</v>
      </c>
      <c r="AP1525" t="s">
        <v>31</v>
      </c>
      <c r="AQ1525">
        <v>0</v>
      </c>
    </row>
    <row r="1526" spans="1:43" x14ac:dyDescent="0.2">
      <c r="A1526" t="s">
        <v>381</v>
      </c>
      <c r="B1526" s="3">
        <v>44364</v>
      </c>
      <c r="C1526">
        <v>138</v>
      </c>
      <c r="D1526" t="s">
        <v>399</v>
      </c>
      <c r="E1526" t="s">
        <v>122</v>
      </c>
      <c r="F1526" s="9" t="s">
        <v>123</v>
      </c>
      <c r="G1526" t="s">
        <v>26</v>
      </c>
      <c r="H1526" t="s">
        <v>51</v>
      </c>
      <c r="I1526" t="s">
        <v>52</v>
      </c>
      <c r="J1526" t="s">
        <v>29</v>
      </c>
      <c r="K1526" t="s">
        <v>30</v>
      </c>
      <c r="L1526" t="s">
        <v>29</v>
      </c>
      <c r="M1526" t="s">
        <v>30</v>
      </c>
      <c r="N1526" t="s">
        <v>51</v>
      </c>
      <c r="O1526" t="s">
        <v>52</v>
      </c>
      <c r="P1526" t="s">
        <v>29</v>
      </c>
      <c r="Q1526" t="s">
        <v>30</v>
      </c>
      <c r="R1526" s="1">
        <v>44364.45144675926</v>
      </c>
      <c r="S1526" s="1">
        <v>44364.45144675926</v>
      </c>
      <c r="T1526">
        <v>3</v>
      </c>
      <c r="U1526">
        <v>3</v>
      </c>
      <c r="V1526" s="2">
        <v>1</v>
      </c>
      <c r="W1526">
        <v>0</v>
      </c>
      <c r="X1526" t="s">
        <v>30</v>
      </c>
      <c r="Y1526">
        <v>0</v>
      </c>
      <c r="Z1526" t="s">
        <v>30</v>
      </c>
      <c r="AA1526">
        <v>0</v>
      </c>
      <c r="AB1526" t="s">
        <v>30</v>
      </c>
      <c r="AC1526">
        <v>0</v>
      </c>
      <c r="AD1526" t="s">
        <v>31</v>
      </c>
      <c r="AE1526">
        <v>0</v>
      </c>
      <c r="AF1526" t="s">
        <v>31</v>
      </c>
      <c r="AG1526">
        <v>0</v>
      </c>
      <c r="AH1526" t="s">
        <v>31</v>
      </c>
      <c r="AI1526">
        <v>0</v>
      </c>
      <c r="AJ1526" t="s">
        <v>31</v>
      </c>
      <c r="AK1526">
        <v>0</v>
      </c>
      <c r="AL1526" t="s">
        <v>31</v>
      </c>
      <c r="AM1526">
        <v>0</v>
      </c>
      <c r="AN1526" t="s">
        <v>31</v>
      </c>
      <c r="AO1526">
        <v>0</v>
      </c>
      <c r="AP1526" t="s">
        <v>31</v>
      </c>
      <c r="AQ1526">
        <v>0</v>
      </c>
    </row>
    <row r="1527" spans="1:43" x14ac:dyDescent="0.2">
      <c r="A1527" t="s">
        <v>381</v>
      </c>
      <c r="B1527" s="3">
        <v>44365</v>
      </c>
      <c r="C1527">
        <v>139</v>
      </c>
      <c r="D1527" t="s">
        <v>400</v>
      </c>
      <c r="E1527" t="s">
        <v>122</v>
      </c>
      <c r="F1527" s="9" t="s">
        <v>123</v>
      </c>
      <c r="G1527" t="s">
        <v>26</v>
      </c>
      <c r="H1527" t="s">
        <v>51</v>
      </c>
      <c r="I1527" t="s">
        <v>52</v>
      </c>
      <c r="J1527" t="s">
        <v>29</v>
      </c>
      <c r="K1527" t="s">
        <v>30</v>
      </c>
      <c r="L1527" t="s">
        <v>29</v>
      </c>
      <c r="M1527" t="s">
        <v>30</v>
      </c>
      <c r="N1527" t="s">
        <v>51</v>
      </c>
      <c r="O1527" t="s">
        <v>52</v>
      </c>
      <c r="P1527" t="s">
        <v>29</v>
      </c>
      <c r="Q1527" t="s">
        <v>30</v>
      </c>
      <c r="R1527" s="1">
        <v>44365.467465277776</v>
      </c>
      <c r="S1527" s="1">
        <v>44365.486250000002</v>
      </c>
      <c r="T1527">
        <v>2</v>
      </c>
      <c r="U1527">
        <v>2</v>
      </c>
      <c r="V1527" s="2">
        <v>1</v>
      </c>
      <c r="W1527">
        <v>0</v>
      </c>
      <c r="X1527" t="s">
        <v>30</v>
      </c>
      <c r="Y1527">
        <v>0</v>
      </c>
      <c r="Z1527" t="s">
        <v>30</v>
      </c>
      <c r="AA1527">
        <v>0</v>
      </c>
      <c r="AB1527" t="s">
        <v>31</v>
      </c>
      <c r="AC1527">
        <v>0</v>
      </c>
      <c r="AD1527" t="s">
        <v>31</v>
      </c>
      <c r="AE1527">
        <v>0</v>
      </c>
      <c r="AF1527" t="s">
        <v>31</v>
      </c>
      <c r="AG1527">
        <v>0</v>
      </c>
      <c r="AH1527" t="s">
        <v>31</v>
      </c>
      <c r="AI1527">
        <v>0</v>
      </c>
      <c r="AJ1527" t="s">
        <v>31</v>
      </c>
      <c r="AK1527">
        <v>0</v>
      </c>
      <c r="AL1527" t="s">
        <v>31</v>
      </c>
      <c r="AM1527">
        <v>0</v>
      </c>
      <c r="AN1527" t="s">
        <v>31</v>
      </c>
      <c r="AO1527">
        <v>0</v>
      </c>
      <c r="AP1527" t="s">
        <v>31</v>
      </c>
      <c r="AQ1527">
        <v>0</v>
      </c>
    </row>
    <row r="1528" spans="1:43" x14ac:dyDescent="0.2">
      <c r="A1528" t="s">
        <v>381</v>
      </c>
      <c r="B1528" s="3">
        <v>44365</v>
      </c>
      <c r="C1528">
        <v>140</v>
      </c>
      <c r="D1528" t="s">
        <v>399</v>
      </c>
      <c r="E1528" t="s">
        <v>122</v>
      </c>
      <c r="F1528" s="9" t="s">
        <v>123</v>
      </c>
      <c r="G1528" t="s">
        <v>26</v>
      </c>
      <c r="H1528" t="s">
        <v>51</v>
      </c>
      <c r="I1528" t="s">
        <v>52</v>
      </c>
      <c r="J1528" t="s">
        <v>29</v>
      </c>
      <c r="K1528" t="s">
        <v>30</v>
      </c>
      <c r="L1528" t="s">
        <v>29</v>
      </c>
      <c r="M1528" t="s">
        <v>30</v>
      </c>
      <c r="N1528" t="s">
        <v>51</v>
      </c>
      <c r="O1528" t="s">
        <v>52</v>
      </c>
      <c r="P1528" t="s">
        <v>29</v>
      </c>
      <c r="Q1528" t="s">
        <v>30</v>
      </c>
      <c r="R1528" s="1">
        <v>44365.61513888889</v>
      </c>
      <c r="S1528" s="1">
        <v>44365.61513888889</v>
      </c>
      <c r="T1528">
        <v>1</v>
      </c>
      <c r="U1528">
        <v>1</v>
      </c>
      <c r="V1528" s="2">
        <v>1</v>
      </c>
      <c r="W1528">
        <v>0</v>
      </c>
      <c r="X1528" t="s">
        <v>30</v>
      </c>
      <c r="Y1528">
        <v>0</v>
      </c>
      <c r="Z1528" t="s">
        <v>31</v>
      </c>
      <c r="AA1528">
        <v>0</v>
      </c>
      <c r="AB1528" t="s">
        <v>31</v>
      </c>
      <c r="AC1528">
        <v>0</v>
      </c>
      <c r="AD1528" t="s">
        <v>31</v>
      </c>
      <c r="AE1528">
        <v>0</v>
      </c>
      <c r="AF1528" t="s">
        <v>31</v>
      </c>
      <c r="AG1528">
        <v>0</v>
      </c>
      <c r="AH1528" t="s">
        <v>31</v>
      </c>
      <c r="AI1528">
        <v>0</v>
      </c>
      <c r="AJ1528" t="s">
        <v>31</v>
      </c>
      <c r="AK1528">
        <v>0</v>
      </c>
      <c r="AL1528" t="s">
        <v>31</v>
      </c>
      <c r="AM1528">
        <v>0</v>
      </c>
      <c r="AN1528" t="s">
        <v>31</v>
      </c>
      <c r="AO1528">
        <v>0</v>
      </c>
      <c r="AP1528" t="s">
        <v>31</v>
      </c>
      <c r="AQ1528">
        <v>0</v>
      </c>
    </row>
    <row r="1529" spans="1:43" x14ac:dyDescent="0.2">
      <c r="A1529" t="s">
        <v>381</v>
      </c>
      <c r="B1529" s="3">
        <v>44239</v>
      </c>
      <c r="C1529">
        <v>7</v>
      </c>
      <c r="D1529" t="s">
        <v>384</v>
      </c>
      <c r="E1529" t="s">
        <v>150</v>
      </c>
      <c r="F1529" s="9" t="s">
        <v>151</v>
      </c>
      <c r="G1529" t="s">
        <v>26</v>
      </c>
      <c r="H1529" t="s">
        <v>108</v>
      </c>
      <c r="I1529" t="s">
        <v>109</v>
      </c>
      <c r="J1529" t="s">
        <v>43</v>
      </c>
      <c r="K1529" t="s">
        <v>44</v>
      </c>
      <c r="L1529" t="s">
        <v>29</v>
      </c>
      <c r="M1529" t="s">
        <v>30</v>
      </c>
      <c r="N1529" t="s">
        <v>108</v>
      </c>
      <c r="O1529" t="s">
        <v>109</v>
      </c>
      <c r="P1529" t="s">
        <v>43</v>
      </c>
      <c r="Q1529" t="s">
        <v>44</v>
      </c>
      <c r="R1529" s="1">
        <v>44239.388449074075</v>
      </c>
      <c r="S1529" s="1">
        <v>44239.388449074075</v>
      </c>
      <c r="T1529">
        <v>1</v>
      </c>
      <c r="U1529">
        <v>1</v>
      </c>
      <c r="V1529" s="2">
        <v>1</v>
      </c>
      <c r="W1529">
        <v>0</v>
      </c>
      <c r="X1529" t="s">
        <v>30</v>
      </c>
      <c r="Y1529">
        <v>0</v>
      </c>
      <c r="Z1529" t="s">
        <v>31</v>
      </c>
      <c r="AA1529">
        <v>0</v>
      </c>
      <c r="AB1529" t="s">
        <v>31</v>
      </c>
      <c r="AC1529">
        <v>0</v>
      </c>
      <c r="AD1529" t="s">
        <v>31</v>
      </c>
      <c r="AE1529">
        <v>0</v>
      </c>
      <c r="AF1529" t="s">
        <v>31</v>
      </c>
      <c r="AG1529">
        <v>0</v>
      </c>
      <c r="AH1529" t="s">
        <v>31</v>
      </c>
      <c r="AI1529">
        <v>0</v>
      </c>
      <c r="AJ1529" t="s">
        <v>31</v>
      </c>
      <c r="AK1529">
        <v>0</v>
      </c>
      <c r="AL1529" t="s">
        <v>31</v>
      </c>
      <c r="AM1529">
        <v>0</v>
      </c>
      <c r="AN1529" t="s">
        <v>31</v>
      </c>
      <c r="AO1529">
        <v>0</v>
      </c>
      <c r="AP1529" t="s">
        <v>31</v>
      </c>
      <c r="AQ1529">
        <v>0</v>
      </c>
    </row>
    <row r="1530" spans="1:43" x14ac:dyDescent="0.2">
      <c r="A1530" t="s">
        <v>381</v>
      </c>
      <c r="B1530" s="3">
        <v>44273</v>
      </c>
      <c r="C1530">
        <v>40</v>
      </c>
      <c r="D1530" t="s">
        <v>385</v>
      </c>
      <c r="E1530" t="s">
        <v>150</v>
      </c>
      <c r="F1530" s="9" t="s">
        <v>151</v>
      </c>
      <c r="G1530" t="s">
        <v>26</v>
      </c>
      <c r="H1530" t="s">
        <v>108</v>
      </c>
      <c r="I1530" t="s">
        <v>109</v>
      </c>
      <c r="J1530" t="s">
        <v>43</v>
      </c>
      <c r="K1530" t="s">
        <v>44</v>
      </c>
      <c r="L1530" t="s">
        <v>29</v>
      </c>
      <c r="M1530" t="s">
        <v>30</v>
      </c>
      <c r="N1530" t="s">
        <v>99</v>
      </c>
      <c r="O1530" t="s">
        <v>100</v>
      </c>
      <c r="P1530" t="s">
        <v>43</v>
      </c>
      <c r="Q1530" t="s">
        <v>44</v>
      </c>
      <c r="R1530" s="1">
        <v>44273.619340277779</v>
      </c>
      <c r="S1530" s="1">
        <v>44273.619363425925</v>
      </c>
      <c r="T1530">
        <v>2</v>
      </c>
      <c r="U1530">
        <v>2</v>
      </c>
      <c r="V1530" s="2">
        <v>1</v>
      </c>
      <c r="W1530">
        <v>0</v>
      </c>
      <c r="X1530" t="s">
        <v>30</v>
      </c>
      <c r="Y1530">
        <v>0</v>
      </c>
      <c r="Z1530" t="s">
        <v>30</v>
      </c>
      <c r="AA1530">
        <v>0</v>
      </c>
      <c r="AB1530" t="s">
        <v>31</v>
      </c>
      <c r="AC1530">
        <v>0</v>
      </c>
      <c r="AD1530" t="s">
        <v>31</v>
      </c>
      <c r="AE1530">
        <v>0</v>
      </c>
      <c r="AF1530" t="s">
        <v>31</v>
      </c>
      <c r="AG1530">
        <v>0</v>
      </c>
      <c r="AH1530" t="s">
        <v>31</v>
      </c>
      <c r="AI1530">
        <v>0</v>
      </c>
      <c r="AJ1530" t="s">
        <v>31</v>
      </c>
      <c r="AK1530">
        <v>0</v>
      </c>
      <c r="AL1530" t="s">
        <v>31</v>
      </c>
      <c r="AM1530">
        <v>0</v>
      </c>
      <c r="AN1530" t="s">
        <v>31</v>
      </c>
      <c r="AO1530">
        <v>0</v>
      </c>
      <c r="AP1530" t="s">
        <v>31</v>
      </c>
      <c r="AQ1530">
        <v>0</v>
      </c>
    </row>
    <row r="1531" spans="1:43" x14ac:dyDescent="0.2">
      <c r="A1531" t="s">
        <v>381</v>
      </c>
      <c r="B1531" s="3">
        <v>44287</v>
      </c>
      <c r="C1531">
        <v>47</v>
      </c>
      <c r="D1531" t="s">
        <v>385</v>
      </c>
      <c r="E1531" t="s">
        <v>150</v>
      </c>
      <c r="F1531" s="9" t="s">
        <v>151</v>
      </c>
      <c r="G1531" t="s">
        <v>26</v>
      </c>
      <c r="H1531" t="s">
        <v>99</v>
      </c>
      <c r="I1531" t="s">
        <v>100</v>
      </c>
      <c r="J1531" t="s">
        <v>43</v>
      </c>
      <c r="K1531" t="s">
        <v>44</v>
      </c>
      <c r="L1531" t="s">
        <v>29</v>
      </c>
      <c r="M1531" t="s">
        <v>30</v>
      </c>
      <c r="N1531" t="s">
        <v>99</v>
      </c>
      <c r="O1531" t="s">
        <v>100</v>
      </c>
      <c r="P1531" t="s">
        <v>43</v>
      </c>
      <c r="Q1531" t="s">
        <v>44</v>
      </c>
      <c r="R1531" s="1">
        <v>44287.487118055556</v>
      </c>
      <c r="S1531" s="1">
        <v>44287.487129629626</v>
      </c>
      <c r="T1531">
        <v>1</v>
      </c>
      <c r="U1531">
        <v>1</v>
      </c>
      <c r="V1531" s="2">
        <v>1</v>
      </c>
      <c r="W1531">
        <v>0</v>
      </c>
      <c r="X1531" t="s">
        <v>30</v>
      </c>
      <c r="Y1531">
        <v>0</v>
      </c>
      <c r="Z1531" t="s">
        <v>31</v>
      </c>
      <c r="AA1531">
        <v>0</v>
      </c>
      <c r="AB1531" t="s">
        <v>31</v>
      </c>
      <c r="AC1531">
        <v>0</v>
      </c>
      <c r="AD1531" t="s">
        <v>31</v>
      </c>
      <c r="AE1531">
        <v>0</v>
      </c>
      <c r="AF1531" t="s">
        <v>31</v>
      </c>
      <c r="AG1531">
        <v>0</v>
      </c>
      <c r="AH1531" t="s">
        <v>31</v>
      </c>
      <c r="AI1531">
        <v>0</v>
      </c>
      <c r="AJ1531" t="s">
        <v>31</v>
      </c>
      <c r="AK1531">
        <v>0</v>
      </c>
      <c r="AL1531" t="s">
        <v>31</v>
      </c>
      <c r="AM1531">
        <v>0</v>
      </c>
      <c r="AN1531" t="s">
        <v>31</v>
      </c>
      <c r="AO1531">
        <v>0</v>
      </c>
      <c r="AP1531" t="s">
        <v>31</v>
      </c>
      <c r="AQ1531">
        <v>0</v>
      </c>
    </row>
    <row r="1532" spans="1:43" x14ac:dyDescent="0.2">
      <c r="A1532" t="s">
        <v>381</v>
      </c>
      <c r="B1532" s="3">
        <v>44292</v>
      </c>
      <c r="C1532">
        <v>51</v>
      </c>
      <c r="D1532" t="s">
        <v>385</v>
      </c>
      <c r="E1532" t="s">
        <v>150</v>
      </c>
      <c r="F1532" s="9" t="s">
        <v>151</v>
      </c>
      <c r="G1532" t="s">
        <v>26</v>
      </c>
      <c r="H1532" t="s">
        <v>99</v>
      </c>
      <c r="I1532" t="s">
        <v>100</v>
      </c>
      <c r="J1532" t="s">
        <v>43</v>
      </c>
      <c r="K1532" t="s">
        <v>44</v>
      </c>
      <c r="L1532" t="s">
        <v>29</v>
      </c>
      <c r="M1532" t="s">
        <v>30</v>
      </c>
      <c r="N1532" t="s">
        <v>99</v>
      </c>
      <c r="O1532" t="s">
        <v>100</v>
      </c>
      <c r="P1532" t="s">
        <v>43</v>
      </c>
      <c r="Q1532" t="s">
        <v>44</v>
      </c>
      <c r="R1532" s="1">
        <v>44292.454942129632</v>
      </c>
      <c r="S1532" s="1">
        <v>44292.455150462964</v>
      </c>
      <c r="T1532">
        <v>1</v>
      </c>
      <c r="U1532">
        <v>3</v>
      </c>
      <c r="V1532" s="2">
        <v>0.33</v>
      </c>
      <c r="W1532">
        <v>0</v>
      </c>
      <c r="X1532" t="s">
        <v>44</v>
      </c>
      <c r="Y1532">
        <v>0</v>
      </c>
      <c r="Z1532" t="s">
        <v>102</v>
      </c>
      <c r="AA1532">
        <v>0</v>
      </c>
      <c r="AB1532" t="s">
        <v>30</v>
      </c>
      <c r="AC1532">
        <v>0</v>
      </c>
      <c r="AD1532" t="s">
        <v>31</v>
      </c>
      <c r="AE1532">
        <v>0</v>
      </c>
      <c r="AF1532" t="s">
        <v>31</v>
      </c>
      <c r="AG1532">
        <v>0</v>
      </c>
      <c r="AH1532" t="s">
        <v>31</v>
      </c>
      <c r="AI1532">
        <v>0</v>
      </c>
      <c r="AJ1532" t="s">
        <v>31</v>
      </c>
      <c r="AK1532">
        <v>0</v>
      </c>
      <c r="AL1532" t="s">
        <v>31</v>
      </c>
      <c r="AM1532">
        <v>0</v>
      </c>
      <c r="AN1532" t="s">
        <v>31</v>
      </c>
      <c r="AO1532">
        <v>0</v>
      </c>
      <c r="AP1532" t="s">
        <v>31</v>
      </c>
      <c r="AQ1532">
        <v>0</v>
      </c>
    </row>
    <row r="1533" spans="1:43" x14ac:dyDescent="0.2">
      <c r="A1533" t="s">
        <v>381</v>
      </c>
      <c r="B1533" s="3">
        <v>44308</v>
      </c>
      <c r="C1533">
        <v>69</v>
      </c>
      <c r="D1533" t="s">
        <v>385</v>
      </c>
      <c r="E1533" t="s">
        <v>150</v>
      </c>
      <c r="F1533" s="9" t="s">
        <v>151</v>
      </c>
      <c r="G1533" t="s">
        <v>26</v>
      </c>
      <c r="H1533" t="s">
        <v>99</v>
      </c>
      <c r="I1533" t="s">
        <v>100</v>
      </c>
      <c r="J1533" t="s">
        <v>43</v>
      </c>
      <c r="K1533" t="s">
        <v>44</v>
      </c>
      <c r="L1533" t="s">
        <v>29</v>
      </c>
      <c r="M1533" t="s">
        <v>30</v>
      </c>
      <c r="N1533" t="s">
        <v>99</v>
      </c>
      <c r="O1533" t="s">
        <v>100</v>
      </c>
      <c r="P1533" t="s">
        <v>43</v>
      </c>
      <c r="Q1533" t="s">
        <v>44</v>
      </c>
      <c r="R1533" s="1">
        <v>44308.590960648151</v>
      </c>
      <c r="S1533" s="1">
        <v>44308.646249999998</v>
      </c>
      <c r="T1533">
        <v>1</v>
      </c>
      <c r="U1533">
        <v>3</v>
      </c>
      <c r="V1533" s="2">
        <v>0.33</v>
      </c>
      <c r="W1533">
        <v>0</v>
      </c>
      <c r="X1533" t="s">
        <v>44</v>
      </c>
      <c r="Y1533">
        <v>0</v>
      </c>
      <c r="Z1533" t="s">
        <v>158</v>
      </c>
      <c r="AA1533">
        <v>0</v>
      </c>
      <c r="AB1533" t="s">
        <v>30</v>
      </c>
      <c r="AC1533">
        <v>0</v>
      </c>
      <c r="AD1533" t="s">
        <v>31</v>
      </c>
      <c r="AE1533">
        <v>0</v>
      </c>
      <c r="AF1533" t="s">
        <v>31</v>
      </c>
      <c r="AG1533">
        <v>0</v>
      </c>
      <c r="AH1533" t="s">
        <v>31</v>
      </c>
      <c r="AI1533">
        <v>0</v>
      </c>
      <c r="AJ1533" t="s">
        <v>31</v>
      </c>
      <c r="AK1533">
        <v>0</v>
      </c>
      <c r="AL1533" t="s">
        <v>31</v>
      </c>
      <c r="AM1533">
        <v>0</v>
      </c>
      <c r="AN1533" t="s">
        <v>31</v>
      </c>
      <c r="AO1533">
        <v>0</v>
      </c>
      <c r="AP1533" t="s">
        <v>31</v>
      </c>
      <c r="AQ1533">
        <v>0</v>
      </c>
    </row>
    <row r="1534" spans="1:43" x14ac:dyDescent="0.2">
      <c r="A1534" t="s">
        <v>381</v>
      </c>
      <c r="B1534" s="3">
        <v>44336</v>
      </c>
      <c r="C1534">
        <v>103</v>
      </c>
      <c r="D1534" t="s">
        <v>385</v>
      </c>
      <c r="E1534" t="s">
        <v>150</v>
      </c>
      <c r="F1534" s="9" t="s">
        <v>151</v>
      </c>
      <c r="G1534" t="s">
        <v>26</v>
      </c>
      <c r="H1534" t="s">
        <v>99</v>
      </c>
      <c r="I1534" t="s">
        <v>100</v>
      </c>
      <c r="J1534" t="s">
        <v>43</v>
      </c>
      <c r="K1534" t="s">
        <v>44</v>
      </c>
      <c r="L1534" t="s">
        <v>29</v>
      </c>
      <c r="M1534" t="s">
        <v>30</v>
      </c>
      <c r="N1534" t="s">
        <v>108</v>
      </c>
      <c r="O1534" t="s">
        <v>109</v>
      </c>
      <c r="P1534" t="s">
        <v>29</v>
      </c>
      <c r="Q1534" t="s">
        <v>30</v>
      </c>
      <c r="R1534" s="1">
        <v>44336.593761574077</v>
      </c>
      <c r="S1534" s="1">
        <v>44336.638703703706</v>
      </c>
      <c r="T1534">
        <v>2</v>
      </c>
      <c r="U1534">
        <v>3</v>
      </c>
      <c r="V1534" s="2">
        <v>0.66</v>
      </c>
      <c r="W1534">
        <v>0</v>
      </c>
      <c r="X1534" t="s">
        <v>30</v>
      </c>
      <c r="Y1534">
        <v>0</v>
      </c>
      <c r="Z1534" t="s">
        <v>44</v>
      </c>
      <c r="AA1534">
        <v>0</v>
      </c>
      <c r="AB1534" t="s">
        <v>30</v>
      </c>
      <c r="AC1534">
        <v>0</v>
      </c>
      <c r="AD1534" t="s">
        <v>31</v>
      </c>
      <c r="AE1534">
        <v>0</v>
      </c>
      <c r="AF1534" t="s">
        <v>31</v>
      </c>
      <c r="AG1534">
        <v>0</v>
      </c>
      <c r="AH1534" t="s">
        <v>31</v>
      </c>
      <c r="AI1534">
        <v>0</v>
      </c>
      <c r="AJ1534" t="s">
        <v>31</v>
      </c>
      <c r="AK1534">
        <v>0</v>
      </c>
      <c r="AL1534" t="s">
        <v>31</v>
      </c>
      <c r="AM1534">
        <v>0</v>
      </c>
      <c r="AN1534" t="s">
        <v>31</v>
      </c>
      <c r="AO1534">
        <v>0</v>
      </c>
      <c r="AP1534" t="s">
        <v>31</v>
      </c>
      <c r="AQ1534">
        <v>0</v>
      </c>
    </row>
    <row r="1535" spans="1:43" x14ac:dyDescent="0.2">
      <c r="A1535" t="s">
        <v>381</v>
      </c>
      <c r="B1535" s="3">
        <v>44338</v>
      </c>
      <c r="C1535">
        <v>107</v>
      </c>
      <c r="D1535" t="s">
        <v>392</v>
      </c>
      <c r="E1535" t="s">
        <v>150</v>
      </c>
      <c r="F1535" s="9" t="s">
        <v>151</v>
      </c>
      <c r="G1535" t="s">
        <v>26</v>
      </c>
      <c r="H1535" t="s">
        <v>108</v>
      </c>
      <c r="I1535" t="s">
        <v>109</v>
      </c>
      <c r="J1535" t="s">
        <v>29</v>
      </c>
      <c r="K1535" t="s">
        <v>30</v>
      </c>
      <c r="L1535" t="s">
        <v>29</v>
      </c>
      <c r="M1535" t="s">
        <v>30</v>
      </c>
      <c r="N1535" t="s">
        <v>108</v>
      </c>
      <c r="O1535" t="s">
        <v>109</v>
      </c>
      <c r="P1535" t="s">
        <v>29</v>
      </c>
      <c r="Q1535" t="s">
        <v>30</v>
      </c>
      <c r="R1535" s="1">
        <v>44338.562164351853</v>
      </c>
      <c r="S1535" s="1">
        <v>44338.562164351853</v>
      </c>
      <c r="T1535">
        <v>1</v>
      </c>
      <c r="U1535">
        <v>1</v>
      </c>
      <c r="V1535" s="2">
        <v>1</v>
      </c>
      <c r="W1535">
        <v>0</v>
      </c>
      <c r="X1535" t="s">
        <v>30</v>
      </c>
      <c r="Y1535">
        <v>0</v>
      </c>
      <c r="Z1535" t="s">
        <v>31</v>
      </c>
      <c r="AA1535">
        <v>0</v>
      </c>
      <c r="AB1535" t="s">
        <v>31</v>
      </c>
      <c r="AC1535">
        <v>0</v>
      </c>
      <c r="AD1535" t="s">
        <v>31</v>
      </c>
      <c r="AE1535">
        <v>0</v>
      </c>
      <c r="AF1535" t="s">
        <v>31</v>
      </c>
      <c r="AG1535">
        <v>0</v>
      </c>
      <c r="AH1535" t="s">
        <v>31</v>
      </c>
      <c r="AI1535">
        <v>0</v>
      </c>
      <c r="AJ1535" t="s">
        <v>31</v>
      </c>
      <c r="AK1535">
        <v>0</v>
      </c>
      <c r="AL1535" t="s">
        <v>31</v>
      </c>
      <c r="AM1535">
        <v>0</v>
      </c>
      <c r="AN1535" t="s">
        <v>31</v>
      </c>
      <c r="AO1535">
        <v>0</v>
      </c>
      <c r="AP1535" t="s">
        <v>31</v>
      </c>
      <c r="AQ1535">
        <v>0</v>
      </c>
    </row>
    <row r="1536" spans="1:43" x14ac:dyDescent="0.2">
      <c r="A1536" t="s">
        <v>381</v>
      </c>
      <c r="B1536" s="3">
        <v>44355</v>
      </c>
      <c r="C1536">
        <v>128</v>
      </c>
      <c r="D1536" t="s">
        <v>406</v>
      </c>
      <c r="E1536" t="s">
        <v>150</v>
      </c>
      <c r="F1536" s="9" t="s">
        <v>151</v>
      </c>
      <c r="G1536" t="s">
        <v>26</v>
      </c>
      <c r="H1536" t="s">
        <v>108</v>
      </c>
      <c r="I1536" t="s">
        <v>109</v>
      </c>
      <c r="J1536" t="s">
        <v>29</v>
      </c>
      <c r="K1536" t="s">
        <v>30</v>
      </c>
      <c r="L1536" t="s">
        <v>29</v>
      </c>
      <c r="M1536" t="s">
        <v>30</v>
      </c>
      <c r="N1536" t="s">
        <v>108</v>
      </c>
      <c r="O1536" t="s">
        <v>109</v>
      </c>
      <c r="P1536" t="s">
        <v>29</v>
      </c>
      <c r="Q1536" t="s">
        <v>30</v>
      </c>
      <c r="R1536" s="1">
        <v>44355.452881944446</v>
      </c>
      <c r="S1536" s="1">
        <v>44355.4533912037</v>
      </c>
      <c r="T1536">
        <v>2</v>
      </c>
      <c r="U1536">
        <v>3</v>
      </c>
      <c r="V1536" s="2">
        <v>0.66</v>
      </c>
      <c r="W1536">
        <v>0</v>
      </c>
      <c r="X1536" t="s">
        <v>30</v>
      </c>
      <c r="Y1536">
        <v>0</v>
      </c>
      <c r="Z1536" t="s">
        <v>44</v>
      </c>
      <c r="AA1536">
        <v>0</v>
      </c>
      <c r="AB1536" t="s">
        <v>30</v>
      </c>
      <c r="AC1536">
        <v>0</v>
      </c>
      <c r="AD1536" t="s">
        <v>31</v>
      </c>
      <c r="AE1536">
        <v>0</v>
      </c>
      <c r="AF1536" t="s">
        <v>31</v>
      </c>
      <c r="AG1536">
        <v>0</v>
      </c>
      <c r="AH1536" t="s">
        <v>31</v>
      </c>
      <c r="AI1536">
        <v>0</v>
      </c>
      <c r="AJ1536" t="s">
        <v>31</v>
      </c>
      <c r="AK1536">
        <v>0</v>
      </c>
      <c r="AL1536" t="s">
        <v>31</v>
      </c>
      <c r="AM1536">
        <v>0</v>
      </c>
      <c r="AN1536" t="s">
        <v>31</v>
      </c>
      <c r="AO1536">
        <v>0</v>
      </c>
      <c r="AP1536" t="s">
        <v>31</v>
      </c>
      <c r="AQ1536">
        <v>0</v>
      </c>
    </row>
    <row r="1537" spans="1:43" x14ac:dyDescent="0.2">
      <c r="A1537" t="s">
        <v>381</v>
      </c>
      <c r="B1537" s="3">
        <v>44242</v>
      </c>
      <c r="C1537">
        <v>8</v>
      </c>
      <c r="D1537" t="s">
        <v>384</v>
      </c>
      <c r="E1537" t="s">
        <v>150</v>
      </c>
      <c r="F1537" s="9" t="s">
        <v>154</v>
      </c>
      <c r="G1537" t="s">
        <v>26</v>
      </c>
      <c r="H1537" t="s">
        <v>155</v>
      </c>
      <c r="I1537" t="s">
        <v>156</v>
      </c>
      <c r="J1537" t="s">
        <v>157</v>
      </c>
      <c r="K1537" t="s">
        <v>158</v>
      </c>
      <c r="L1537" t="s">
        <v>157</v>
      </c>
      <c r="M1537" t="s">
        <v>158</v>
      </c>
      <c r="N1537" t="s">
        <v>27</v>
      </c>
      <c r="O1537" t="s">
        <v>28</v>
      </c>
      <c r="P1537" t="s">
        <v>43</v>
      </c>
      <c r="Q1537" t="s">
        <v>44</v>
      </c>
      <c r="R1537" s="1">
        <v>44242.395277777781</v>
      </c>
      <c r="S1537" s="1">
        <v>44242.39603009259</v>
      </c>
      <c r="T1537">
        <v>10</v>
      </c>
      <c r="U1537">
        <v>10</v>
      </c>
      <c r="V1537" s="2">
        <v>1</v>
      </c>
      <c r="W1537">
        <v>0</v>
      </c>
      <c r="X1537" t="s">
        <v>158</v>
      </c>
      <c r="Y1537">
        <v>0</v>
      </c>
      <c r="Z1537" t="s">
        <v>30</v>
      </c>
      <c r="AA1537">
        <v>0</v>
      </c>
      <c r="AB1537" t="s">
        <v>30</v>
      </c>
      <c r="AC1537">
        <v>0</v>
      </c>
      <c r="AD1537" t="s">
        <v>30</v>
      </c>
      <c r="AE1537">
        <v>0</v>
      </c>
      <c r="AF1537" t="s">
        <v>30</v>
      </c>
      <c r="AG1537">
        <v>0</v>
      </c>
      <c r="AH1537" t="s">
        <v>30</v>
      </c>
      <c r="AI1537">
        <v>0</v>
      </c>
      <c r="AJ1537" t="s">
        <v>30</v>
      </c>
      <c r="AK1537">
        <v>0</v>
      </c>
      <c r="AL1537" t="s">
        <v>158</v>
      </c>
      <c r="AM1537">
        <v>0</v>
      </c>
      <c r="AN1537" t="s">
        <v>30</v>
      </c>
      <c r="AO1537">
        <v>0</v>
      </c>
      <c r="AP1537" t="s">
        <v>30</v>
      </c>
      <c r="AQ1537">
        <v>0</v>
      </c>
    </row>
    <row r="1538" spans="1:43" x14ac:dyDescent="0.2">
      <c r="A1538" t="s">
        <v>381</v>
      </c>
      <c r="B1538" s="3">
        <v>44243</v>
      </c>
      <c r="C1538">
        <v>9</v>
      </c>
      <c r="D1538" t="s">
        <v>382</v>
      </c>
      <c r="E1538" t="s">
        <v>150</v>
      </c>
      <c r="F1538" s="9" t="s">
        <v>154</v>
      </c>
      <c r="G1538" t="s">
        <v>26</v>
      </c>
      <c r="H1538" t="s">
        <v>27</v>
      </c>
      <c r="I1538" t="s">
        <v>28</v>
      </c>
      <c r="J1538" t="s">
        <v>43</v>
      </c>
      <c r="K1538" t="s">
        <v>44</v>
      </c>
      <c r="L1538" t="s">
        <v>29</v>
      </c>
      <c r="M1538" t="s">
        <v>30</v>
      </c>
      <c r="N1538" t="s">
        <v>27</v>
      </c>
      <c r="O1538" t="s">
        <v>28</v>
      </c>
      <c r="P1538" t="s">
        <v>43</v>
      </c>
      <c r="Q1538" t="s">
        <v>44</v>
      </c>
      <c r="R1538" s="1">
        <v>44243.394814814812</v>
      </c>
      <c r="S1538" s="1">
        <v>44243.394930555558</v>
      </c>
      <c r="T1538">
        <v>1</v>
      </c>
      <c r="U1538">
        <v>1</v>
      </c>
      <c r="V1538" s="2">
        <v>1</v>
      </c>
      <c r="W1538">
        <v>0</v>
      </c>
      <c r="X1538" t="s">
        <v>37</v>
      </c>
      <c r="Y1538">
        <v>0</v>
      </c>
      <c r="Z1538" t="s">
        <v>30</v>
      </c>
      <c r="AA1538">
        <v>0</v>
      </c>
      <c r="AB1538" t="s">
        <v>31</v>
      </c>
      <c r="AC1538">
        <v>0</v>
      </c>
      <c r="AD1538" t="s">
        <v>31</v>
      </c>
      <c r="AE1538">
        <v>0</v>
      </c>
      <c r="AF1538" t="s">
        <v>31</v>
      </c>
      <c r="AG1538">
        <v>0</v>
      </c>
      <c r="AH1538" t="s">
        <v>31</v>
      </c>
      <c r="AI1538">
        <v>0</v>
      </c>
      <c r="AJ1538" t="s">
        <v>31</v>
      </c>
      <c r="AK1538">
        <v>0</v>
      </c>
      <c r="AL1538" t="s">
        <v>31</v>
      </c>
      <c r="AM1538">
        <v>0</v>
      </c>
      <c r="AN1538" t="s">
        <v>31</v>
      </c>
      <c r="AO1538">
        <v>0</v>
      </c>
      <c r="AP1538" t="s">
        <v>31</v>
      </c>
      <c r="AQ1538">
        <v>0</v>
      </c>
    </row>
    <row r="1539" spans="1:43" x14ac:dyDescent="0.2">
      <c r="A1539" t="s">
        <v>381</v>
      </c>
      <c r="B1539" s="3">
        <v>44244</v>
      </c>
      <c r="C1539">
        <v>11</v>
      </c>
      <c r="D1539" t="s">
        <v>384</v>
      </c>
      <c r="E1539" t="s">
        <v>150</v>
      </c>
      <c r="F1539" s="9" t="s">
        <v>154</v>
      </c>
      <c r="G1539" t="s">
        <v>26</v>
      </c>
      <c r="H1539" t="s">
        <v>27</v>
      </c>
      <c r="I1539" t="s">
        <v>28</v>
      </c>
      <c r="J1539" t="s">
        <v>43</v>
      </c>
      <c r="K1539" t="s">
        <v>44</v>
      </c>
      <c r="L1539" t="s">
        <v>29</v>
      </c>
      <c r="M1539" t="s">
        <v>30</v>
      </c>
      <c r="N1539" t="s">
        <v>27</v>
      </c>
      <c r="O1539" t="s">
        <v>28</v>
      </c>
      <c r="P1539" t="s">
        <v>43</v>
      </c>
      <c r="Q1539" t="s">
        <v>44</v>
      </c>
      <c r="R1539" s="1">
        <v>44244.449293981481</v>
      </c>
      <c r="S1539" s="1">
        <v>44244.449606481481</v>
      </c>
      <c r="T1539">
        <v>1</v>
      </c>
      <c r="U1539">
        <v>1</v>
      </c>
      <c r="V1539" s="2">
        <v>1</v>
      </c>
      <c r="W1539">
        <v>0</v>
      </c>
      <c r="X1539" t="s">
        <v>37</v>
      </c>
      <c r="Y1539">
        <v>0</v>
      </c>
      <c r="Z1539" t="s">
        <v>37</v>
      </c>
      <c r="AA1539">
        <v>0</v>
      </c>
      <c r="AB1539" t="s">
        <v>37</v>
      </c>
      <c r="AC1539">
        <v>0</v>
      </c>
      <c r="AD1539" t="s">
        <v>30</v>
      </c>
      <c r="AE1539">
        <v>0</v>
      </c>
      <c r="AF1539" t="s">
        <v>31</v>
      </c>
      <c r="AG1539">
        <v>0</v>
      </c>
      <c r="AH1539" t="s">
        <v>31</v>
      </c>
      <c r="AI1539">
        <v>0</v>
      </c>
      <c r="AJ1539" t="s">
        <v>31</v>
      </c>
      <c r="AK1539">
        <v>0</v>
      </c>
      <c r="AL1539" t="s">
        <v>31</v>
      </c>
      <c r="AM1539">
        <v>0</v>
      </c>
      <c r="AN1539" t="s">
        <v>31</v>
      </c>
      <c r="AO1539">
        <v>0</v>
      </c>
      <c r="AP1539" t="s">
        <v>31</v>
      </c>
      <c r="AQ1539">
        <v>0</v>
      </c>
    </row>
    <row r="1540" spans="1:43" x14ac:dyDescent="0.2">
      <c r="A1540" t="s">
        <v>381</v>
      </c>
      <c r="B1540" s="3">
        <v>44245</v>
      </c>
      <c r="C1540">
        <v>12</v>
      </c>
      <c r="D1540" t="s">
        <v>382</v>
      </c>
      <c r="E1540" t="s">
        <v>150</v>
      </c>
      <c r="F1540" s="9" t="s">
        <v>154</v>
      </c>
      <c r="G1540" t="s">
        <v>26</v>
      </c>
      <c r="H1540" t="s">
        <v>27</v>
      </c>
      <c r="I1540" t="s">
        <v>28</v>
      </c>
      <c r="J1540" t="s">
        <v>43</v>
      </c>
      <c r="K1540" t="s">
        <v>44</v>
      </c>
      <c r="L1540" t="s">
        <v>29</v>
      </c>
      <c r="M1540" t="s">
        <v>30</v>
      </c>
      <c r="N1540" t="s">
        <v>27</v>
      </c>
      <c r="O1540" t="s">
        <v>28</v>
      </c>
      <c r="P1540" t="s">
        <v>43</v>
      </c>
      <c r="Q1540" t="s">
        <v>44</v>
      </c>
      <c r="R1540" s="1">
        <v>44245.418530092589</v>
      </c>
      <c r="S1540" s="1">
        <v>44245.418668981481</v>
      </c>
      <c r="T1540">
        <v>0</v>
      </c>
      <c r="U1540">
        <v>0</v>
      </c>
      <c r="V1540" s="2">
        <v>0</v>
      </c>
      <c r="W1540">
        <v>0</v>
      </c>
      <c r="X1540" t="s">
        <v>37</v>
      </c>
      <c r="Y1540">
        <v>0</v>
      </c>
      <c r="Z1540" t="s">
        <v>37</v>
      </c>
      <c r="AA1540">
        <v>0</v>
      </c>
      <c r="AB1540" t="s">
        <v>37</v>
      </c>
      <c r="AC1540">
        <v>0</v>
      </c>
      <c r="AD1540" t="s">
        <v>31</v>
      </c>
      <c r="AE1540">
        <v>0</v>
      </c>
      <c r="AF1540" t="s">
        <v>31</v>
      </c>
      <c r="AG1540">
        <v>0</v>
      </c>
      <c r="AH1540" t="s">
        <v>31</v>
      </c>
      <c r="AI1540">
        <v>0</v>
      </c>
      <c r="AJ1540" t="s">
        <v>31</v>
      </c>
      <c r="AK1540">
        <v>0</v>
      </c>
      <c r="AL1540" t="s">
        <v>31</v>
      </c>
      <c r="AM1540">
        <v>0</v>
      </c>
      <c r="AN1540" t="s">
        <v>31</v>
      </c>
      <c r="AO1540">
        <v>0</v>
      </c>
      <c r="AP1540" t="s">
        <v>31</v>
      </c>
      <c r="AQ1540">
        <v>0</v>
      </c>
    </row>
    <row r="1541" spans="1:43" x14ac:dyDescent="0.2">
      <c r="A1541" t="s">
        <v>381</v>
      </c>
      <c r="B1541" s="3">
        <v>44246</v>
      </c>
      <c r="C1541">
        <v>14</v>
      </c>
      <c r="D1541" t="s">
        <v>384</v>
      </c>
      <c r="E1541" t="s">
        <v>150</v>
      </c>
      <c r="F1541" s="9" t="s">
        <v>154</v>
      </c>
      <c r="G1541" t="s">
        <v>26</v>
      </c>
      <c r="H1541" t="s">
        <v>27</v>
      </c>
      <c r="I1541" t="s">
        <v>28</v>
      </c>
      <c r="J1541" t="s">
        <v>43</v>
      </c>
      <c r="K1541" t="s">
        <v>44</v>
      </c>
      <c r="L1541" t="s">
        <v>29</v>
      </c>
      <c r="M1541" t="s">
        <v>30</v>
      </c>
      <c r="N1541" t="s">
        <v>27</v>
      </c>
      <c r="O1541" t="s">
        <v>28</v>
      </c>
      <c r="P1541" t="s">
        <v>43</v>
      </c>
      <c r="Q1541" t="s">
        <v>44</v>
      </c>
      <c r="R1541" s="1">
        <v>44246.408946759257</v>
      </c>
      <c r="S1541" s="1">
        <v>44246.409328703703</v>
      </c>
      <c r="T1541">
        <v>1</v>
      </c>
      <c r="U1541">
        <v>1</v>
      </c>
      <c r="V1541" s="2">
        <v>1</v>
      </c>
      <c r="W1541">
        <v>0</v>
      </c>
      <c r="X1541" t="s">
        <v>37</v>
      </c>
      <c r="Y1541">
        <v>0</v>
      </c>
      <c r="Z1541" t="s">
        <v>37</v>
      </c>
      <c r="AA1541">
        <v>0</v>
      </c>
      <c r="AB1541" t="s">
        <v>37</v>
      </c>
      <c r="AC1541">
        <v>0</v>
      </c>
      <c r="AD1541" t="s">
        <v>30</v>
      </c>
      <c r="AE1541">
        <v>0</v>
      </c>
      <c r="AF1541" t="s">
        <v>31</v>
      </c>
      <c r="AG1541">
        <v>0</v>
      </c>
      <c r="AH1541" t="s">
        <v>31</v>
      </c>
      <c r="AI1541">
        <v>0</v>
      </c>
      <c r="AJ1541" t="s">
        <v>31</v>
      </c>
      <c r="AK1541">
        <v>0</v>
      </c>
      <c r="AL1541" t="s">
        <v>31</v>
      </c>
      <c r="AM1541">
        <v>0</v>
      </c>
      <c r="AN1541" t="s">
        <v>31</v>
      </c>
      <c r="AO1541">
        <v>0</v>
      </c>
      <c r="AP1541" t="s">
        <v>31</v>
      </c>
      <c r="AQ1541">
        <v>0</v>
      </c>
    </row>
    <row r="1542" spans="1:43" x14ac:dyDescent="0.2">
      <c r="A1542" t="s">
        <v>381</v>
      </c>
      <c r="B1542" s="3">
        <v>44249</v>
      </c>
      <c r="C1542">
        <v>15</v>
      </c>
      <c r="D1542" t="s">
        <v>384</v>
      </c>
      <c r="E1542" t="s">
        <v>150</v>
      </c>
      <c r="F1542" s="9" t="s">
        <v>154</v>
      </c>
      <c r="G1542" t="s">
        <v>26</v>
      </c>
      <c r="H1542" t="s">
        <v>27</v>
      </c>
      <c r="I1542" t="s">
        <v>28</v>
      </c>
      <c r="J1542" t="s">
        <v>43</v>
      </c>
      <c r="K1542" t="s">
        <v>44</v>
      </c>
      <c r="L1542" t="s">
        <v>29</v>
      </c>
      <c r="M1542" t="s">
        <v>30</v>
      </c>
      <c r="N1542" t="s">
        <v>41</v>
      </c>
      <c r="O1542" t="s">
        <v>42</v>
      </c>
      <c r="P1542" t="s">
        <v>43</v>
      </c>
      <c r="Q1542" t="s">
        <v>44</v>
      </c>
      <c r="R1542" s="1">
        <v>44249.433807870373</v>
      </c>
      <c r="S1542" s="1">
        <v>44249.433900462966</v>
      </c>
      <c r="T1542">
        <v>1</v>
      </c>
      <c r="U1542">
        <v>1</v>
      </c>
      <c r="V1542" s="2">
        <v>1</v>
      </c>
      <c r="W1542">
        <v>0</v>
      </c>
      <c r="X1542" t="s">
        <v>37</v>
      </c>
      <c r="Y1542">
        <v>0</v>
      </c>
      <c r="Z1542" t="s">
        <v>30</v>
      </c>
      <c r="AA1542">
        <v>0</v>
      </c>
      <c r="AB1542" t="s">
        <v>31</v>
      </c>
      <c r="AC1542">
        <v>0</v>
      </c>
      <c r="AD1542" t="s">
        <v>31</v>
      </c>
      <c r="AE1542">
        <v>0</v>
      </c>
      <c r="AF1542" t="s">
        <v>31</v>
      </c>
      <c r="AG1542">
        <v>0</v>
      </c>
      <c r="AH1542" t="s">
        <v>31</v>
      </c>
      <c r="AI1542">
        <v>0</v>
      </c>
      <c r="AJ1542" t="s">
        <v>31</v>
      </c>
      <c r="AK1542">
        <v>0</v>
      </c>
      <c r="AL1542" t="s">
        <v>31</v>
      </c>
      <c r="AM1542">
        <v>0</v>
      </c>
      <c r="AN1542" t="s">
        <v>31</v>
      </c>
      <c r="AO1542">
        <v>0</v>
      </c>
      <c r="AP1542" t="s">
        <v>31</v>
      </c>
      <c r="AQ1542">
        <v>0</v>
      </c>
    </row>
    <row r="1543" spans="1:43" x14ac:dyDescent="0.2">
      <c r="A1543" t="s">
        <v>381</v>
      </c>
      <c r="B1543" s="3">
        <v>44250</v>
      </c>
      <c r="C1543">
        <v>16</v>
      </c>
      <c r="D1543" t="s">
        <v>382</v>
      </c>
      <c r="E1543" t="s">
        <v>150</v>
      </c>
      <c r="F1543" s="9" t="s">
        <v>154</v>
      </c>
      <c r="G1543" t="s">
        <v>26</v>
      </c>
      <c r="H1543" t="s">
        <v>41</v>
      </c>
      <c r="I1543" t="s">
        <v>42</v>
      </c>
      <c r="J1543" t="s">
        <v>43</v>
      </c>
      <c r="K1543" t="s">
        <v>44</v>
      </c>
      <c r="L1543" t="s">
        <v>29</v>
      </c>
      <c r="M1543" t="s">
        <v>30</v>
      </c>
      <c r="N1543" t="s">
        <v>41</v>
      </c>
      <c r="O1543" t="s">
        <v>42</v>
      </c>
      <c r="P1543" t="s">
        <v>43</v>
      </c>
      <c r="Q1543" t="s">
        <v>44</v>
      </c>
      <c r="R1543" s="1">
        <v>44250.436226851853</v>
      </c>
      <c r="S1543" s="1">
        <v>44250.436226851853</v>
      </c>
      <c r="T1543">
        <v>1</v>
      </c>
      <c r="U1543">
        <v>1</v>
      </c>
      <c r="V1543" s="2">
        <v>1</v>
      </c>
      <c r="W1543">
        <v>0</v>
      </c>
      <c r="X1543" t="s">
        <v>30</v>
      </c>
      <c r="Y1543">
        <v>0</v>
      </c>
      <c r="Z1543" t="s">
        <v>31</v>
      </c>
      <c r="AA1543">
        <v>0</v>
      </c>
      <c r="AB1543" t="s">
        <v>31</v>
      </c>
      <c r="AC1543">
        <v>0</v>
      </c>
      <c r="AD1543" t="s">
        <v>31</v>
      </c>
      <c r="AE1543">
        <v>0</v>
      </c>
      <c r="AF1543" t="s">
        <v>31</v>
      </c>
      <c r="AG1543">
        <v>0</v>
      </c>
      <c r="AH1543" t="s">
        <v>31</v>
      </c>
      <c r="AI1543">
        <v>0</v>
      </c>
      <c r="AJ1543" t="s">
        <v>31</v>
      </c>
      <c r="AK1543">
        <v>0</v>
      </c>
      <c r="AL1543" t="s">
        <v>31</v>
      </c>
      <c r="AM1543">
        <v>0</v>
      </c>
      <c r="AN1543" t="s">
        <v>31</v>
      </c>
      <c r="AO1543">
        <v>0</v>
      </c>
      <c r="AP1543" t="s">
        <v>31</v>
      </c>
      <c r="AQ1543">
        <v>0</v>
      </c>
    </row>
    <row r="1544" spans="1:43" x14ac:dyDescent="0.2">
      <c r="A1544" t="s">
        <v>381</v>
      </c>
      <c r="B1544" s="3">
        <v>44251</v>
      </c>
      <c r="C1544">
        <v>18</v>
      </c>
      <c r="D1544" t="s">
        <v>384</v>
      </c>
      <c r="E1544" t="s">
        <v>150</v>
      </c>
      <c r="F1544" s="9" t="s">
        <v>154</v>
      </c>
      <c r="G1544" t="s">
        <v>26</v>
      </c>
      <c r="H1544" t="s">
        <v>41</v>
      </c>
      <c r="I1544" t="s">
        <v>42</v>
      </c>
      <c r="J1544" t="s">
        <v>43</v>
      </c>
      <c r="K1544" t="s">
        <v>44</v>
      </c>
      <c r="L1544" t="s">
        <v>29</v>
      </c>
      <c r="M1544" t="s">
        <v>30</v>
      </c>
      <c r="N1544" t="s">
        <v>188</v>
      </c>
      <c r="O1544" t="s">
        <v>189</v>
      </c>
      <c r="P1544" t="s">
        <v>43</v>
      </c>
      <c r="Q1544" t="s">
        <v>44</v>
      </c>
      <c r="R1544" s="1">
        <v>44251.383518518516</v>
      </c>
      <c r="S1544" s="1">
        <v>44251.383587962962</v>
      </c>
      <c r="T1544">
        <v>2</v>
      </c>
      <c r="U1544">
        <v>2</v>
      </c>
      <c r="V1544" s="2">
        <v>1</v>
      </c>
      <c r="W1544">
        <v>0</v>
      </c>
      <c r="X1544" t="s">
        <v>30</v>
      </c>
      <c r="Y1544">
        <v>0</v>
      </c>
      <c r="Z1544" t="s">
        <v>30</v>
      </c>
      <c r="AA1544">
        <v>0</v>
      </c>
      <c r="AB1544" t="s">
        <v>31</v>
      </c>
      <c r="AC1544">
        <v>0</v>
      </c>
      <c r="AD1544" t="s">
        <v>31</v>
      </c>
      <c r="AE1544">
        <v>0</v>
      </c>
      <c r="AF1544" t="s">
        <v>31</v>
      </c>
      <c r="AG1544">
        <v>0</v>
      </c>
      <c r="AH1544" t="s">
        <v>31</v>
      </c>
      <c r="AI1544">
        <v>0</v>
      </c>
      <c r="AJ1544" t="s">
        <v>31</v>
      </c>
      <c r="AK1544">
        <v>0</v>
      </c>
      <c r="AL1544" t="s">
        <v>31</v>
      </c>
      <c r="AM1544">
        <v>0</v>
      </c>
      <c r="AN1544" t="s">
        <v>31</v>
      </c>
      <c r="AO1544">
        <v>0</v>
      </c>
      <c r="AP1544" t="s">
        <v>31</v>
      </c>
      <c r="AQ1544">
        <v>0</v>
      </c>
    </row>
    <row r="1545" spans="1:43" x14ac:dyDescent="0.2">
      <c r="A1545" t="s">
        <v>381</v>
      </c>
      <c r="B1545" s="3">
        <v>44252</v>
      </c>
      <c r="C1545">
        <v>19</v>
      </c>
      <c r="D1545" t="s">
        <v>382</v>
      </c>
      <c r="E1545" t="s">
        <v>150</v>
      </c>
      <c r="F1545" s="9" t="s">
        <v>154</v>
      </c>
      <c r="G1545" t="s">
        <v>26</v>
      </c>
      <c r="H1545" t="s">
        <v>188</v>
      </c>
      <c r="I1545" t="s">
        <v>189</v>
      </c>
      <c r="J1545" t="s">
        <v>43</v>
      </c>
      <c r="K1545" t="s">
        <v>44</v>
      </c>
      <c r="L1545" t="s">
        <v>29</v>
      </c>
      <c r="M1545" t="s">
        <v>30</v>
      </c>
      <c r="N1545" t="s">
        <v>188</v>
      </c>
      <c r="O1545" t="s">
        <v>189</v>
      </c>
      <c r="P1545" t="s">
        <v>43</v>
      </c>
      <c r="Q1545" t="s">
        <v>44</v>
      </c>
      <c r="R1545" s="1">
        <v>44252.410567129627</v>
      </c>
      <c r="S1545" s="1">
        <v>44252.410717592589</v>
      </c>
      <c r="T1545">
        <v>1</v>
      </c>
      <c r="U1545">
        <v>1</v>
      </c>
      <c r="V1545" s="2">
        <v>1</v>
      </c>
      <c r="W1545">
        <v>0</v>
      </c>
      <c r="X1545" t="s">
        <v>30</v>
      </c>
      <c r="Y1545">
        <v>0</v>
      </c>
      <c r="Z1545" t="s">
        <v>31</v>
      </c>
      <c r="AA1545">
        <v>0</v>
      </c>
      <c r="AB1545" t="s">
        <v>31</v>
      </c>
      <c r="AC1545">
        <v>0</v>
      </c>
      <c r="AD1545" t="s">
        <v>31</v>
      </c>
      <c r="AE1545">
        <v>0</v>
      </c>
      <c r="AF1545" t="s">
        <v>31</v>
      </c>
      <c r="AG1545">
        <v>0</v>
      </c>
      <c r="AH1545" t="s">
        <v>31</v>
      </c>
      <c r="AI1545">
        <v>0</v>
      </c>
      <c r="AJ1545" t="s">
        <v>31</v>
      </c>
      <c r="AK1545">
        <v>0</v>
      </c>
      <c r="AL1545" t="s">
        <v>31</v>
      </c>
      <c r="AM1545">
        <v>0</v>
      </c>
      <c r="AN1545" t="s">
        <v>31</v>
      </c>
      <c r="AO1545">
        <v>0</v>
      </c>
      <c r="AP1545" t="s">
        <v>31</v>
      </c>
      <c r="AQ1545">
        <v>0</v>
      </c>
    </row>
    <row r="1546" spans="1:43" x14ac:dyDescent="0.2">
      <c r="A1546" t="s">
        <v>381</v>
      </c>
      <c r="B1546" s="3">
        <v>44253</v>
      </c>
      <c r="C1546">
        <v>21</v>
      </c>
      <c r="D1546" t="s">
        <v>384</v>
      </c>
      <c r="E1546" t="s">
        <v>150</v>
      </c>
      <c r="F1546" s="9" t="s">
        <v>154</v>
      </c>
      <c r="G1546" t="s">
        <v>26</v>
      </c>
      <c r="H1546" t="s">
        <v>188</v>
      </c>
      <c r="I1546" t="s">
        <v>189</v>
      </c>
      <c r="J1546" t="s">
        <v>43</v>
      </c>
      <c r="K1546" t="s">
        <v>44</v>
      </c>
      <c r="L1546" t="s">
        <v>29</v>
      </c>
      <c r="M1546" t="s">
        <v>30</v>
      </c>
      <c r="N1546" t="s">
        <v>200</v>
      </c>
      <c r="O1546" t="s">
        <v>201</v>
      </c>
      <c r="P1546" t="s">
        <v>43</v>
      </c>
      <c r="Q1546" t="s">
        <v>44</v>
      </c>
      <c r="R1546" s="1">
        <v>44253.381030092591</v>
      </c>
      <c r="S1546" s="1">
        <v>44253.381331018521</v>
      </c>
      <c r="T1546">
        <v>2</v>
      </c>
      <c r="U1546">
        <v>2</v>
      </c>
      <c r="V1546" s="2">
        <v>1</v>
      </c>
      <c r="W1546">
        <v>0</v>
      </c>
      <c r="X1546" t="s">
        <v>30</v>
      </c>
      <c r="Y1546">
        <v>0</v>
      </c>
      <c r="Z1546" t="s">
        <v>30</v>
      </c>
      <c r="AA1546">
        <v>0</v>
      </c>
      <c r="AB1546" t="s">
        <v>31</v>
      </c>
      <c r="AC1546">
        <v>0</v>
      </c>
      <c r="AD1546" t="s">
        <v>31</v>
      </c>
      <c r="AE1546">
        <v>0</v>
      </c>
      <c r="AF1546" t="s">
        <v>31</v>
      </c>
      <c r="AG1546">
        <v>0</v>
      </c>
      <c r="AH1546" t="s">
        <v>31</v>
      </c>
      <c r="AI1546">
        <v>0</v>
      </c>
      <c r="AJ1546" t="s">
        <v>31</v>
      </c>
      <c r="AK1546">
        <v>0</v>
      </c>
      <c r="AL1546" t="s">
        <v>31</v>
      </c>
      <c r="AM1546">
        <v>0</v>
      </c>
      <c r="AN1546" t="s">
        <v>31</v>
      </c>
      <c r="AO1546">
        <v>0</v>
      </c>
      <c r="AP1546" t="s">
        <v>31</v>
      </c>
      <c r="AQ1546">
        <v>0</v>
      </c>
    </row>
    <row r="1547" spans="1:43" x14ac:dyDescent="0.2">
      <c r="A1547" t="s">
        <v>381</v>
      </c>
      <c r="B1547" s="3">
        <v>44287</v>
      </c>
      <c r="C1547">
        <v>47</v>
      </c>
      <c r="D1547" t="s">
        <v>385</v>
      </c>
      <c r="E1547" t="s">
        <v>150</v>
      </c>
      <c r="F1547" s="9" t="s">
        <v>154</v>
      </c>
      <c r="G1547" t="s">
        <v>26</v>
      </c>
      <c r="H1547" t="s">
        <v>200</v>
      </c>
      <c r="I1547" t="s">
        <v>201</v>
      </c>
      <c r="J1547" t="s">
        <v>43</v>
      </c>
      <c r="K1547" t="s">
        <v>44</v>
      </c>
      <c r="L1547" t="s">
        <v>29</v>
      </c>
      <c r="M1547" t="s">
        <v>30</v>
      </c>
      <c r="N1547" t="s">
        <v>200</v>
      </c>
      <c r="O1547" t="s">
        <v>201</v>
      </c>
      <c r="P1547" t="s">
        <v>43</v>
      </c>
      <c r="Q1547" t="s">
        <v>44</v>
      </c>
      <c r="R1547" s="1">
        <v>44287.487581018519</v>
      </c>
      <c r="S1547" s="1">
        <v>44287.48778935185</v>
      </c>
      <c r="T1547">
        <v>0</v>
      </c>
      <c r="U1547">
        <v>2</v>
      </c>
      <c r="V1547" s="2">
        <v>0</v>
      </c>
      <c r="W1547">
        <v>0</v>
      </c>
      <c r="X1547" t="s">
        <v>44</v>
      </c>
      <c r="Y1547">
        <v>0</v>
      </c>
      <c r="Z1547" t="s">
        <v>158</v>
      </c>
      <c r="AA1547">
        <v>0</v>
      </c>
      <c r="AB1547" t="s">
        <v>31</v>
      </c>
      <c r="AC1547">
        <v>0</v>
      </c>
      <c r="AD1547" t="s">
        <v>31</v>
      </c>
      <c r="AE1547">
        <v>0</v>
      </c>
      <c r="AF1547" t="s">
        <v>31</v>
      </c>
      <c r="AG1547">
        <v>0</v>
      </c>
      <c r="AH1547" t="s">
        <v>31</v>
      </c>
      <c r="AI1547">
        <v>0</v>
      </c>
      <c r="AJ1547" t="s">
        <v>31</v>
      </c>
      <c r="AK1547">
        <v>0</v>
      </c>
      <c r="AL1547" t="s">
        <v>31</v>
      </c>
      <c r="AM1547">
        <v>0</v>
      </c>
      <c r="AN1547" t="s">
        <v>31</v>
      </c>
      <c r="AO1547">
        <v>0</v>
      </c>
      <c r="AP1547" t="s">
        <v>31</v>
      </c>
      <c r="AQ1547">
        <v>0</v>
      </c>
    </row>
    <row r="1548" spans="1:43" x14ac:dyDescent="0.2">
      <c r="A1548" t="s">
        <v>381</v>
      </c>
      <c r="B1548" s="3">
        <v>44319</v>
      </c>
      <c r="C1548">
        <v>84</v>
      </c>
      <c r="D1548" t="s">
        <v>390</v>
      </c>
      <c r="E1548" t="s">
        <v>150</v>
      </c>
      <c r="F1548" s="9" t="s">
        <v>154</v>
      </c>
      <c r="G1548" t="s">
        <v>26</v>
      </c>
      <c r="H1548" t="s">
        <v>51</v>
      </c>
      <c r="I1548" t="s">
        <v>52</v>
      </c>
      <c r="J1548" t="s">
        <v>198</v>
      </c>
      <c r="K1548" t="s">
        <v>183</v>
      </c>
      <c r="L1548" t="s">
        <v>53</v>
      </c>
      <c r="M1548" t="s">
        <v>54</v>
      </c>
      <c r="N1548" t="s">
        <v>51</v>
      </c>
      <c r="O1548" t="s">
        <v>52</v>
      </c>
      <c r="P1548" t="s">
        <v>198</v>
      </c>
      <c r="Q1548" t="s">
        <v>183</v>
      </c>
      <c r="R1548" s="1">
        <v>44319.412627314814</v>
      </c>
      <c r="S1548" s="1">
        <v>44319.412627314814</v>
      </c>
      <c r="T1548">
        <v>1</v>
      </c>
      <c r="U1548">
        <v>1</v>
      </c>
      <c r="V1548" s="2">
        <v>1</v>
      </c>
      <c r="W1548">
        <v>1</v>
      </c>
      <c r="X1548" t="s">
        <v>54</v>
      </c>
      <c r="Y1548">
        <v>1</v>
      </c>
      <c r="Z1548" t="s">
        <v>31</v>
      </c>
      <c r="AA1548">
        <v>0</v>
      </c>
      <c r="AB1548" t="s">
        <v>31</v>
      </c>
      <c r="AC1548">
        <v>0</v>
      </c>
      <c r="AD1548" t="s">
        <v>31</v>
      </c>
      <c r="AE1548">
        <v>0</v>
      </c>
      <c r="AF1548" t="s">
        <v>31</v>
      </c>
      <c r="AG1548">
        <v>0</v>
      </c>
      <c r="AH1548" t="s">
        <v>31</v>
      </c>
      <c r="AI1548">
        <v>0</v>
      </c>
      <c r="AJ1548" t="s">
        <v>31</v>
      </c>
      <c r="AK1548">
        <v>0</v>
      </c>
      <c r="AL1548" t="s">
        <v>31</v>
      </c>
      <c r="AM1548">
        <v>0</v>
      </c>
      <c r="AN1548" t="s">
        <v>31</v>
      </c>
      <c r="AO1548">
        <v>0</v>
      </c>
      <c r="AP1548" t="s">
        <v>31</v>
      </c>
      <c r="AQ1548">
        <v>0</v>
      </c>
    </row>
    <row r="1549" spans="1:43" x14ac:dyDescent="0.2">
      <c r="A1549" t="s">
        <v>381</v>
      </c>
      <c r="B1549" s="3">
        <v>44321</v>
      </c>
      <c r="C1549">
        <v>88</v>
      </c>
      <c r="D1549" t="s">
        <v>404</v>
      </c>
      <c r="E1549" t="s">
        <v>150</v>
      </c>
      <c r="F1549" s="9" t="s">
        <v>154</v>
      </c>
      <c r="G1549" t="s">
        <v>26</v>
      </c>
      <c r="H1549" t="s">
        <v>51</v>
      </c>
      <c r="I1549" t="s">
        <v>52</v>
      </c>
      <c r="J1549" t="s">
        <v>198</v>
      </c>
      <c r="K1549" t="s">
        <v>183</v>
      </c>
      <c r="L1549" t="s">
        <v>53</v>
      </c>
      <c r="M1549" t="s">
        <v>54</v>
      </c>
      <c r="N1549" t="s">
        <v>51</v>
      </c>
      <c r="O1549" t="s">
        <v>52</v>
      </c>
      <c r="P1549" t="s">
        <v>198</v>
      </c>
      <c r="Q1549" t="s">
        <v>183</v>
      </c>
      <c r="R1549" s="1">
        <v>44321.465486111112</v>
      </c>
      <c r="S1549" s="1">
        <v>44321.465486111112</v>
      </c>
      <c r="T1549">
        <v>1</v>
      </c>
      <c r="U1549">
        <v>1</v>
      </c>
      <c r="V1549" s="2">
        <v>1</v>
      </c>
      <c r="W1549">
        <v>1</v>
      </c>
      <c r="X1549" t="s">
        <v>54</v>
      </c>
      <c r="Y1549">
        <v>1</v>
      </c>
      <c r="Z1549" t="s">
        <v>31</v>
      </c>
      <c r="AA1549">
        <v>0</v>
      </c>
      <c r="AB1549" t="s">
        <v>31</v>
      </c>
      <c r="AC1549">
        <v>0</v>
      </c>
      <c r="AD1549" t="s">
        <v>31</v>
      </c>
      <c r="AE1549">
        <v>0</v>
      </c>
      <c r="AF1549" t="s">
        <v>31</v>
      </c>
      <c r="AG1549">
        <v>0</v>
      </c>
      <c r="AH1549" t="s">
        <v>31</v>
      </c>
      <c r="AI1549">
        <v>0</v>
      </c>
      <c r="AJ1549" t="s">
        <v>31</v>
      </c>
      <c r="AK1549">
        <v>0</v>
      </c>
      <c r="AL1549" t="s">
        <v>31</v>
      </c>
      <c r="AM1549">
        <v>0</v>
      </c>
      <c r="AN1549" t="s">
        <v>31</v>
      </c>
      <c r="AO1549">
        <v>0</v>
      </c>
      <c r="AP1549" t="s">
        <v>31</v>
      </c>
      <c r="AQ1549">
        <v>0</v>
      </c>
    </row>
    <row r="1550" spans="1:43" x14ac:dyDescent="0.2">
      <c r="A1550" t="s">
        <v>381</v>
      </c>
      <c r="B1550" s="3">
        <v>44321</v>
      </c>
      <c r="C1550">
        <v>89</v>
      </c>
      <c r="D1550" t="s">
        <v>387</v>
      </c>
      <c r="E1550" t="s">
        <v>150</v>
      </c>
      <c r="F1550" s="9" t="s">
        <v>154</v>
      </c>
      <c r="G1550" t="s">
        <v>26</v>
      </c>
      <c r="H1550" t="s">
        <v>51</v>
      </c>
      <c r="I1550" t="s">
        <v>52</v>
      </c>
      <c r="J1550" t="s">
        <v>198</v>
      </c>
      <c r="K1550" t="s">
        <v>183</v>
      </c>
      <c r="L1550" t="s">
        <v>53</v>
      </c>
      <c r="M1550" t="s">
        <v>54</v>
      </c>
      <c r="N1550" t="s">
        <v>51</v>
      </c>
      <c r="O1550" t="s">
        <v>52</v>
      </c>
      <c r="P1550" t="s">
        <v>198</v>
      </c>
      <c r="Q1550" t="s">
        <v>183</v>
      </c>
      <c r="R1550" s="1">
        <v>44321.630196759259</v>
      </c>
      <c r="S1550" s="1">
        <v>44321.630196759259</v>
      </c>
      <c r="T1550">
        <v>1</v>
      </c>
      <c r="U1550">
        <v>1</v>
      </c>
      <c r="V1550" s="2">
        <v>1</v>
      </c>
      <c r="W1550">
        <v>1</v>
      </c>
      <c r="X1550" t="s">
        <v>54</v>
      </c>
      <c r="Y1550">
        <v>1</v>
      </c>
      <c r="Z1550" t="s">
        <v>31</v>
      </c>
      <c r="AA1550">
        <v>0</v>
      </c>
      <c r="AB1550" t="s">
        <v>31</v>
      </c>
      <c r="AC1550">
        <v>0</v>
      </c>
      <c r="AD1550" t="s">
        <v>31</v>
      </c>
      <c r="AE1550">
        <v>0</v>
      </c>
      <c r="AF1550" t="s">
        <v>31</v>
      </c>
      <c r="AG1550">
        <v>0</v>
      </c>
      <c r="AH1550" t="s">
        <v>31</v>
      </c>
      <c r="AI1550">
        <v>0</v>
      </c>
      <c r="AJ1550" t="s">
        <v>31</v>
      </c>
      <c r="AK1550">
        <v>0</v>
      </c>
      <c r="AL1550" t="s">
        <v>31</v>
      </c>
      <c r="AM1550">
        <v>0</v>
      </c>
      <c r="AN1550" t="s">
        <v>31</v>
      </c>
      <c r="AO1550">
        <v>0</v>
      </c>
      <c r="AP1550" t="s">
        <v>31</v>
      </c>
      <c r="AQ1550">
        <v>0</v>
      </c>
    </row>
    <row r="1551" spans="1:43" x14ac:dyDescent="0.2">
      <c r="A1551" t="s">
        <v>381</v>
      </c>
      <c r="B1551" s="3">
        <v>44326</v>
      </c>
      <c r="C1551">
        <v>92</v>
      </c>
      <c r="D1551" t="s">
        <v>390</v>
      </c>
      <c r="E1551" t="s">
        <v>150</v>
      </c>
      <c r="F1551" s="9" t="s">
        <v>154</v>
      </c>
      <c r="G1551" t="s">
        <v>26</v>
      </c>
      <c r="H1551" t="s">
        <v>51</v>
      </c>
      <c r="I1551" t="s">
        <v>52</v>
      </c>
      <c r="J1551" t="s">
        <v>198</v>
      </c>
      <c r="K1551" t="s">
        <v>183</v>
      </c>
      <c r="L1551" t="s">
        <v>53</v>
      </c>
      <c r="M1551" t="s">
        <v>54</v>
      </c>
      <c r="N1551" t="s">
        <v>51</v>
      </c>
      <c r="O1551" t="s">
        <v>52</v>
      </c>
      <c r="P1551" t="s">
        <v>198</v>
      </c>
      <c r="Q1551" t="s">
        <v>183</v>
      </c>
      <c r="R1551" s="1">
        <v>44326.456620370373</v>
      </c>
      <c r="S1551" s="1">
        <v>44326.456620370373</v>
      </c>
      <c r="T1551">
        <v>0</v>
      </c>
      <c r="U1551">
        <v>1</v>
      </c>
      <c r="V1551" s="2">
        <v>0</v>
      </c>
      <c r="W1551">
        <v>0</v>
      </c>
      <c r="X1551" t="s">
        <v>183</v>
      </c>
      <c r="Y1551">
        <v>0</v>
      </c>
      <c r="Z1551" t="s">
        <v>31</v>
      </c>
      <c r="AA1551">
        <v>0</v>
      </c>
      <c r="AB1551" t="s">
        <v>31</v>
      </c>
      <c r="AC1551">
        <v>0</v>
      </c>
      <c r="AD1551" t="s">
        <v>31</v>
      </c>
      <c r="AE1551">
        <v>0</v>
      </c>
      <c r="AF1551" t="s">
        <v>31</v>
      </c>
      <c r="AG1551">
        <v>0</v>
      </c>
      <c r="AH1551" t="s">
        <v>31</v>
      </c>
      <c r="AI1551">
        <v>0</v>
      </c>
      <c r="AJ1551" t="s">
        <v>31</v>
      </c>
      <c r="AK1551">
        <v>0</v>
      </c>
      <c r="AL1551" t="s">
        <v>31</v>
      </c>
      <c r="AM1551">
        <v>0</v>
      </c>
      <c r="AN1551" t="s">
        <v>31</v>
      </c>
      <c r="AO1551">
        <v>0</v>
      </c>
      <c r="AP1551" t="s">
        <v>31</v>
      </c>
      <c r="AQ1551">
        <v>0</v>
      </c>
    </row>
    <row r="1552" spans="1:43" x14ac:dyDescent="0.2">
      <c r="A1552" t="s">
        <v>381</v>
      </c>
      <c r="B1552" s="3">
        <v>44327</v>
      </c>
      <c r="C1552">
        <v>94</v>
      </c>
      <c r="D1552" t="s">
        <v>384</v>
      </c>
      <c r="E1552" t="s">
        <v>150</v>
      </c>
      <c r="F1552" s="9" t="s">
        <v>154</v>
      </c>
      <c r="G1552" t="s">
        <v>26</v>
      </c>
      <c r="H1552" t="s">
        <v>51</v>
      </c>
      <c r="I1552" t="s">
        <v>52</v>
      </c>
      <c r="J1552" t="s">
        <v>198</v>
      </c>
      <c r="K1552" t="s">
        <v>183</v>
      </c>
      <c r="L1552" t="s">
        <v>53</v>
      </c>
      <c r="M1552" t="s">
        <v>54</v>
      </c>
      <c r="N1552" t="s">
        <v>51</v>
      </c>
      <c r="O1552" t="s">
        <v>52</v>
      </c>
      <c r="P1552" t="s">
        <v>198</v>
      </c>
      <c r="Q1552" t="s">
        <v>183</v>
      </c>
      <c r="R1552" s="1">
        <v>44327.466562499998</v>
      </c>
      <c r="S1552" s="1">
        <v>44327.466562499998</v>
      </c>
      <c r="T1552">
        <v>1</v>
      </c>
      <c r="U1552">
        <v>1</v>
      </c>
      <c r="V1552" s="2">
        <v>1</v>
      </c>
      <c r="W1552">
        <v>1</v>
      </c>
      <c r="X1552" t="s">
        <v>54</v>
      </c>
      <c r="Y1552">
        <v>1</v>
      </c>
      <c r="Z1552" t="s">
        <v>31</v>
      </c>
      <c r="AA1552">
        <v>0</v>
      </c>
      <c r="AB1552" t="s">
        <v>31</v>
      </c>
      <c r="AC1552">
        <v>0</v>
      </c>
      <c r="AD1552" t="s">
        <v>31</v>
      </c>
      <c r="AE1552">
        <v>0</v>
      </c>
      <c r="AF1552" t="s">
        <v>31</v>
      </c>
      <c r="AG1552">
        <v>0</v>
      </c>
      <c r="AH1552" t="s">
        <v>31</v>
      </c>
      <c r="AI1552">
        <v>0</v>
      </c>
      <c r="AJ1552" t="s">
        <v>31</v>
      </c>
      <c r="AK1552">
        <v>0</v>
      </c>
      <c r="AL1552" t="s">
        <v>31</v>
      </c>
      <c r="AM1552">
        <v>0</v>
      </c>
      <c r="AN1552" t="s">
        <v>31</v>
      </c>
      <c r="AO1552">
        <v>0</v>
      </c>
      <c r="AP1552" t="s">
        <v>31</v>
      </c>
      <c r="AQ1552">
        <v>0</v>
      </c>
    </row>
    <row r="1553" spans="1:43" x14ac:dyDescent="0.2">
      <c r="A1553" t="s">
        <v>381</v>
      </c>
      <c r="B1553" s="3">
        <v>44328</v>
      </c>
      <c r="C1553">
        <v>97</v>
      </c>
      <c r="D1553" t="s">
        <v>387</v>
      </c>
      <c r="E1553" t="s">
        <v>150</v>
      </c>
      <c r="F1553" s="9" t="s">
        <v>154</v>
      </c>
      <c r="G1553" t="s">
        <v>26</v>
      </c>
      <c r="H1553" t="s">
        <v>51</v>
      </c>
      <c r="I1553" t="s">
        <v>52</v>
      </c>
      <c r="J1553" t="s">
        <v>198</v>
      </c>
      <c r="K1553" t="s">
        <v>183</v>
      </c>
      <c r="L1553" t="s">
        <v>53</v>
      </c>
      <c r="M1553" t="s">
        <v>54</v>
      </c>
      <c r="N1553" t="s">
        <v>51</v>
      </c>
      <c r="O1553" t="s">
        <v>52</v>
      </c>
      <c r="P1553" t="s">
        <v>198</v>
      </c>
      <c r="Q1553" t="s">
        <v>183</v>
      </c>
      <c r="R1553" s="1">
        <v>44328.638518518521</v>
      </c>
      <c r="S1553" s="1">
        <v>44328.638518518521</v>
      </c>
      <c r="T1553">
        <v>1</v>
      </c>
      <c r="U1553">
        <v>1</v>
      </c>
      <c r="V1553" s="2">
        <v>1</v>
      </c>
      <c r="W1553">
        <v>1</v>
      </c>
      <c r="X1553" t="s">
        <v>54</v>
      </c>
      <c r="Y1553">
        <v>1</v>
      </c>
      <c r="Z1553" t="s">
        <v>31</v>
      </c>
      <c r="AA1553">
        <v>0</v>
      </c>
      <c r="AB1553" t="s">
        <v>31</v>
      </c>
      <c r="AC1553">
        <v>0</v>
      </c>
      <c r="AD1553" t="s">
        <v>31</v>
      </c>
      <c r="AE1553">
        <v>0</v>
      </c>
      <c r="AF1553" t="s">
        <v>31</v>
      </c>
      <c r="AG1553">
        <v>0</v>
      </c>
      <c r="AH1553" t="s">
        <v>31</v>
      </c>
      <c r="AI1553">
        <v>0</v>
      </c>
      <c r="AJ1553" t="s">
        <v>31</v>
      </c>
      <c r="AK1553">
        <v>0</v>
      </c>
      <c r="AL1553" t="s">
        <v>31</v>
      </c>
      <c r="AM1553">
        <v>0</v>
      </c>
      <c r="AN1553" t="s">
        <v>31</v>
      </c>
      <c r="AO1553">
        <v>0</v>
      </c>
      <c r="AP1553" t="s">
        <v>31</v>
      </c>
      <c r="AQ1553">
        <v>0</v>
      </c>
    </row>
    <row r="1554" spans="1:43" x14ac:dyDescent="0.2">
      <c r="A1554" t="s">
        <v>381</v>
      </c>
      <c r="B1554" s="3">
        <v>44334</v>
      </c>
      <c r="C1554">
        <v>99</v>
      </c>
      <c r="D1554" t="s">
        <v>385</v>
      </c>
      <c r="E1554" t="s">
        <v>150</v>
      </c>
      <c r="F1554" s="9" t="s">
        <v>154</v>
      </c>
      <c r="G1554" t="s">
        <v>26</v>
      </c>
      <c r="H1554" t="s">
        <v>51</v>
      </c>
      <c r="I1554" t="s">
        <v>52</v>
      </c>
      <c r="J1554" t="s">
        <v>198</v>
      </c>
      <c r="K1554" t="s">
        <v>183</v>
      </c>
      <c r="L1554" t="s">
        <v>53</v>
      </c>
      <c r="M1554" t="s">
        <v>54</v>
      </c>
      <c r="N1554" t="s">
        <v>51</v>
      </c>
      <c r="O1554" t="s">
        <v>52</v>
      </c>
      <c r="P1554" t="s">
        <v>198</v>
      </c>
      <c r="Q1554" t="s">
        <v>183</v>
      </c>
      <c r="R1554" s="1">
        <v>44334.621932870374</v>
      </c>
      <c r="S1554" s="1">
        <v>44334.630671296298</v>
      </c>
      <c r="T1554">
        <v>3</v>
      </c>
      <c r="U1554">
        <v>5</v>
      </c>
      <c r="V1554" s="2">
        <v>0.6</v>
      </c>
      <c r="W1554">
        <v>3</v>
      </c>
      <c r="X1554" t="s">
        <v>54</v>
      </c>
      <c r="Y1554">
        <v>1</v>
      </c>
      <c r="Z1554" t="s">
        <v>44</v>
      </c>
      <c r="AA1554">
        <v>0</v>
      </c>
      <c r="AB1554" t="s">
        <v>183</v>
      </c>
      <c r="AC1554">
        <v>0</v>
      </c>
      <c r="AD1554" t="s">
        <v>54</v>
      </c>
      <c r="AE1554">
        <v>1</v>
      </c>
      <c r="AF1554" t="s">
        <v>54</v>
      </c>
      <c r="AG1554">
        <v>1</v>
      </c>
      <c r="AH1554" t="s">
        <v>31</v>
      </c>
      <c r="AI1554">
        <v>0</v>
      </c>
      <c r="AJ1554" t="s">
        <v>31</v>
      </c>
      <c r="AK1554">
        <v>0</v>
      </c>
      <c r="AL1554" t="s">
        <v>31</v>
      </c>
      <c r="AM1554">
        <v>0</v>
      </c>
      <c r="AN1554" t="s">
        <v>31</v>
      </c>
      <c r="AO1554">
        <v>0</v>
      </c>
      <c r="AP1554" t="s">
        <v>31</v>
      </c>
      <c r="AQ1554">
        <v>0</v>
      </c>
    </row>
    <row r="1555" spans="1:43" x14ac:dyDescent="0.2">
      <c r="A1555" t="s">
        <v>381</v>
      </c>
      <c r="B1555" s="3">
        <v>44336</v>
      </c>
      <c r="C1555">
        <v>103</v>
      </c>
      <c r="D1555" t="s">
        <v>385</v>
      </c>
      <c r="E1555" t="s">
        <v>150</v>
      </c>
      <c r="F1555" s="9" t="s">
        <v>154</v>
      </c>
      <c r="G1555" t="s">
        <v>26</v>
      </c>
      <c r="H1555" t="s">
        <v>51</v>
      </c>
      <c r="I1555" t="s">
        <v>52</v>
      </c>
      <c r="J1555" t="s">
        <v>198</v>
      </c>
      <c r="K1555" t="s">
        <v>183</v>
      </c>
      <c r="L1555" t="s">
        <v>53</v>
      </c>
      <c r="M1555" t="s">
        <v>54</v>
      </c>
      <c r="N1555" t="s">
        <v>51</v>
      </c>
      <c r="O1555" t="s">
        <v>52</v>
      </c>
      <c r="P1555" t="s">
        <v>198</v>
      </c>
      <c r="Q1555" t="s">
        <v>183</v>
      </c>
      <c r="R1555" s="1">
        <v>44336.637199074074</v>
      </c>
      <c r="S1555" s="1">
        <v>44336.637199074074</v>
      </c>
      <c r="T1555">
        <v>1</v>
      </c>
      <c r="U1555">
        <v>1</v>
      </c>
      <c r="V1555" s="2">
        <v>1</v>
      </c>
      <c r="W1555">
        <v>1</v>
      </c>
      <c r="X1555" t="s">
        <v>54</v>
      </c>
      <c r="Y1555">
        <v>1</v>
      </c>
      <c r="Z1555" t="s">
        <v>31</v>
      </c>
      <c r="AA1555">
        <v>0</v>
      </c>
      <c r="AB1555" t="s">
        <v>31</v>
      </c>
      <c r="AC1555">
        <v>0</v>
      </c>
      <c r="AD1555" t="s">
        <v>31</v>
      </c>
      <c r="AE1555">
        <v>0</v>
      </c>
      <c r="AF1555" t="s">
        <v>31</v>
      </c>
      <c r="AG1555">
        <v>0</v>
      </c>
      <c r="AH1555" t="s">
        <v>31</v>
      </c>
      <c r="AI1555">
        <v>0</v>
      </c>
      <c r="AJ1555" t="s">
        <v>31</v>
      </c>
      <c r="AK1555">
        <v>0</v>
      </c>
      <c r="AL1555" t="s">
        <v>31</v>
      </c>
      <c r="AM1555">
        <v>0</v>
      </c>
      <c r="AN1555" t="s">
        <v>31</v>
      </c>
      <c r="AO1555">
        <v>0</v>
      </c>
      <c r="AP1555" t="s">
        <v>31</v>
      </c>
      <c r="AQ1555">
        <v>0</v>
      </c>
    </row>
    <row r="1556" spans="1:43" x14ac:dyDescent="0.2">
      <c r="A1556" t="s">
        <v>381</v>
      </c>
      <c r="B1556" s="3">
        <v>44337</v>
      </c>
      <c r="C1556">
        <v>104</v>
      </c>
      <c r="D1556" t="s">
        <v>390</v>
      </c>
      <c r="E1556" t="s">
        <v>150</v>
      </c>
      <c r="F1556" s="9" t="s">
        <v>154</v>
      </c>
      <c r="G1556" t="s">
        <v>26</v>
      </c>
      <c r="H1556" t="s">
        <v>51</v>
      </c>
      <c r="I1556" t="s">
        <v>52</v>
      </c>
      <c r="J1556" t="s">
        <v>198</v>
      </c>
      <c r="K1556" t="s">
        <v>183</v>
      </c>
      <c r="L1556" t="s">
        <v>53</v>
      </c>
      <c r="M1556" t="s">
        <v>54</v>
      </c>
      <c r="N1556" t="s">
        <v>51</v>
      </c>
      <c r="O1556" t="s">
        <v>52</v>
      </c>
      <c r="P1556" t="s">
        <v>198</v>
      </c>
      <c r="Q1556" t="s">
        <v>183</v>
      </c>
      <c r="R1556" s="1">
        <v>44337.4059375</v>
      </c>
      <c r="S1556" s="1">
        <v>44337.486250000002</v>
      </c>
      <c r="T1556">
        <v>3</v>
      </c>
      <c r="U1556">
        <v>4</v>
      </c>
      <c r="V1556" s="2">
        <v>0.75</v>
      </c>
      <c r="W1556">
        <v>3</v>
      </c>
      <c r="X1556" t="s">
        <v>54</v>
      </c>
      <c r="Y1556">
        <v>1</v>
      </c>
      <c r="Z1556" t="s">
        <v>54</v>
      </c>
      <c r="AA1556">
        <v>1</v>
      </c>
      <c r="AB1556" t="s">
        <v>54</v>
      </c>
      <c r="AC1556">
        <v>1</v>
      </c>
      <c r="AD1556" t="s">
        <v>183</v>
      </c>
      <c r="AE1556">
        <v>0</v>
      </c>
      <c r="AF1556" t="s">
        <v>31</v>
      </c>
      <c r="AG1556">
        <v>0</v>
      </c>
      <c r="AH1556" t="s">
        <v>31</v>
      </c>
      <c r="AI1556">
        <v>0</v>
      </c>
      <c r="AJ1556" t="s">
        <v>31</v>
      </c>
      <c r="AK1556">
        <v>0</v>
      </c>
      <c r="AL1556" t="s">
        <v>31</v>
      </c>
      <c r="AM1556">
        <v>0</v>
      </c>
      <c r="AN1556" t="s">
        <v>31</v>
      </c>
      <c r="AO1556">
        <v>0</v>
      </c>
      <c r="AP1556" t="s">
        <v>31</v>
      </c>
      <c r="AQ1556">
        <v>0</v>
      </c>
    </row>
    <row r="1557" spans="1:43" x14ac:dyDescent="0.2">
      <c r="A1557" t="s">
        <v>381</v>
      </c>
      <c r="B1557" s="3">
        <v>44338</v>
      </c>
      <c r="C1557">
        <v>107</v>
      </c>
      <c r="D1557" t="s">
        <v>392</v>
      </c>
      <c r="E1557" t="s">
        <v>150</v>
      </c>
      <c r="F1557" s="9" t="s">
        <v>154</v>
      </c>
      <c r="G1557" t="s">
        <v>26</v>
      </c>
      <c r="H1557" t="s">
        <v>51</v>
      </c>
      <c r="I1557" t="s">
        <v>52</v>
      </c>
      <c r="J1557" t="s">
        <v>198</v>
      </c>
      <c r="K1557" t="s">
        <v>183</v>
      </c>
      <c r="L1557" t="s">
        <v>53</v>
      </c>
      <c r="M1557" t="s">
        <v>54</v>
      </c>
      <c r="N1557" t="s">
        <v>51</v>
      </c>
      <c r="O1557" t="s">
        <v>52</v>
      </c>
      <c r="P1557" t="s">
        <v>198</v>
      </c>
      <c r="Q1557" t="s">
        <v>183</v>
      </c>
      <c r="R1557" s="1">
        <v>44338.562210648146</v>
      </c>
      <c r="S1557" s="1">
        <v>44338.62872685185</v>
      </c>
      <c r="T1557">
        <v>3</v>
      </c>
      <c r="U1557">
        <v>3</v>
      </c>
      <c r="V1557" s="2">
        <v>1</v>
      </c>
      <c r="W1557">
        <v>3</v>
      </c>
      <c r="X1557" t="s">
        <v>54</v>
      </c>
      <c r="Y1557">
        <v>1</v>
      </c>
      <c r="Z1557" t="s">
        <v>54</v>
      </c>
      <c r="AA1557">
        <v>1</v>
      </c>
      <c r="AB1557" t="s">
        <v>54</v>
      </c>
      <c r="AC1557">
        <v>1</v>
      </c>
      <c r="AD1557" t="s">
        <v>31</v>
      </c>
      <c r="AE1557">
        <v>0</v>
      </c>
      <c r="AF1557" t="s">
        <v>31</v>
      </c>
      <c r="AG1557">
        <v>0</v>
      </c>
      <c r="AH1557" t="s">
        <v>31</v>
      </c>
      <c r="AI1557">
        <v>0</v>
      </c>
      <c r="AJ1557" t="s">
        <v>31</v>
      </c>
      <c r="AK1557">
        <v>0</v>
      </c>
      <c r="AL1557" t="s">
        <v>31</v>
      </c>
      <c r="AM1557">
        <v>0</v>
      </c>
      <c r="AN1557" t="s">
        <v>31</v>
      </c>
      <c r="AO1557">
        <v>0</v>
      </c>
      <c r="AP1557" t="s">
        <v>31</v>
      </c>
      <c r="AQ1557">
        <v>0</v>
      </c>
    </row>
    <row r="1558" spans="1:43" x14ac:dyDescent="0.2">
      <c r="A1558" t="s">
        <v>381</v>
      </c>
      <c r="B1558" s="3">
        <v>44341</v>
      </c>
      <c r="C1558">
        <v>111</v>
      </c>
      <c r="D1558" t="s">
        <v>385</v>
      </c>
      <c r="E1558" t="s">
        <v>150</v>
      </c>
      <c r="F1558" s="9" t="s">
        <v>154</v>
      </c>
      <c r="G1558" t="s">
        <v>26</v>
      </c>
      <c r="H1558" t="s">
        <v>51</v>
      </c>
      <c r="I1558" t="s">
        <v>52</v>
      </c>
      <c r="J1558" t="s">
        <v>198</v>
      </c>
      <c r="K1558" t="s">
        <v>183</v>
      </c>
      <c r="L1558" t="s">
        <v>53</v>
      </c>
      <c r="M1558" t="s">
        <v>54</v>
      </c>
      <c r="N1558" t="s">
        <v>51</v>
      </c>
      <c r="O1558" t="s">
        <v>52</v>
      </c>
      <c r="P1558" t="s">
        <v>198</v>
      </c>
      <c r="Q1558" t="s">
        <v>183</v>
      </c>
      <c r="R1558" s="1">
        <v>44341.579814814817</v>
      </c>
      <c r="S1558" s="1">
        <v>44341.58189814815</v>
      </c>
      <c r="T1558">
        <v>2</v>
      </c>
      <c r="U1558">
        <v>2</v>
      </c>
      <c r="V1558" s="2">
        <v>1</v>
      </c>
      <c r="W1558">
        <v>2</v>
      </c>
      <c r="X1558" t="s">
        <v>54</v>
      </c>
      <c r="Y1558">
        <v>1</v>
      </c>
      <c r="Z1558" t="s">
        <v>54</v>
      </c>
      <c r="AA1558">
        <v>1</v>
      </c>
      <c r="AB1558" t="s">
        <v>31</v>
      </c>
      <c r="AC1558">
        <v>0</v>
      </c>
      <c r="AD1558" t="s">
        <v>31</v>
      </c>
      <c r="AE1558">
        <v>0</v>
      </c>
      <c r="AF1558" t="s">
        <v>31</v>
      </c>
      <c r="AG1558">
        <v>0</v>
      </c>
      <c r="AH1558" t="s">
        <v>31</v>
      </c>
      <c r="AI1558">
        <v>0</v>
      </c>
      <c r="AJ1558" t="s">
        <v>31</v>
      </c>
      <c r="AK1558">
        <v>0</v>
      </c>
      <c r="AL1558" t="s">
        <v>31</v>
      </c>
      <c r="AM1558">
        <v>0</v>
      </c>
      <c r="AN1558" t="s">
        <v>31</v>
      </c>
      <c r="AO1558">
        <v>0</v>
      </c>
      <c r="AP1558" t="s">
        <v>31</v>
      </c>
      <c r="AQ1558">
        <v>0</v>
      </c>
    </row>
    <row r="1559" spans="1:43" x14ac:dyDescent="0.2">
      <c r="A1559" t="s">
        <v>381</v>
      </c>
      <c r="B1559" s="3">
        <v>44343</v>
      </c>
      <c r="C1559">
        <v>115</v>
      </c>
      <c r="D1559" t="s">
        <v>395</v>
      </c>
      <c r="E1559" t="s">
        <v>150</v>
      </c>
      <c r="F1559" s="9" t="s">
        <v>154</v>
      </c>
      <c r="G1559" t="s">
        <v>26</v>
      </c>
      <c r="H1559" t="s">
        <v>51</v>
      </c>
      <c r="I1559" t="s">
        <v>52</v>
      </c>
      <c r="J1559" t="s">
        <v>198</v>
      </c>
      <c r="K1559" t="s">
        <v>183</v>
      </c>
      <c r="L1559" t="s">
        <v>53</v>
      </c>
      <c r="M1559" t="s">
        <v>54</v>
      </c>
      <c r="N1559" t="s">
        <v>51</v>
      </c>
      <c r="O1559" t="s">
        <v>52</v>
      </c>
      <c r="P1559" t="s">
        <v>198</v>
      </c>
      <c r="Q1559" t="s">
        <v>183</v>
      </c>
      <c r="R1559" s="1">
        <v>44343.435555555552</v>
      </c>
      <c r="S1559" s="1">
        <v>44343.485497685186</v>
      </c>
      <c r="T1559">
        <v>0</v>
      </c>
      <c r="U1559">
        <v>2</v>
      </c>
      <c r="V1559" s="2">
        <v>0</v>
      </c>
      <c r="W1559">
        <v>0</v>
      </c>
      <c r="X1559" t="s">
        <v>44</v>
      </c>
      <c r="Y1559">
        <v>0</v>
      </c>
      <c r="Z1559" t="s">
        <v>44</v>
      </c>
      <c r="AA1559">
        <v>0</v>
      </c>
      <c r="AB1559" t="s">
        <v>31</v>
      </c>
      <c r="AC1559">
        <v>0</v>
      </c>
      <c r="AD1559" t="s">
        <v>31</v>
      </c>
      <c r="AE1559">
        <v>0</v>
      </c>
      <c r="AF1559" t="s">
        <v>31</v>
      </c>
      <c r="AG1559">
        <v>0</v>
      </c>
      <c r="AH1559" t="s">
        <v>31</v>
      </c>
      <c r="AI1559">
        <v>0</v>
      </c>
      <c r="AJ1559" t="s">
        <v>31</v>
      </c>
      <c r="AK1559">
        <v>0</v>
      </c>
      <c r="AL1559" t="s">
        <v>31</v>
      </c>
      <c r="AM1559">
        <v>0</v>
      </c>
      <c r="AN1559" t="s">
        <v>31</v>
      </c>
      <c r="AO1559">
        <v>0</v>
      </c>
      <c r="AP1559" t="s">
        <v>31</v>
      </c>
      <c r="AQ1559">
        <v>0</v>
      </c>
    </row>
    <row r="1560" spans="1:43" x14ac:dyDescent="0.2">
      <c r="A1560" t="s">
        <v>381</v>
      </c>
      <c r="B1560" s="3">
        <v>44344</v>
      </c>
      <c r="C1560">
        <v>116</v>
      </c>
      <c r="D1560" t="s">
        <v>390</v>
      </c>
      <c r="E1560" t="s">
        <v>150</v>
      </c>
      <c r="F1560" s="9" t="s">
        <v>154</v>
      </c>
      <c r="G1560" t="s">
        <v>26</v>
      </c>
      <c r="H1560" t="s">
        <v>51</v>
      </c>
      <c r="I1560" t="s">
        <v>52</v>
      </c>
      <c r="J1560" t="s">
        <v>198</v>
      </c>
      <c r="K1560" t="s">
        <v>183</v>
      </c>
      <c r="L1560" t="s">
        <v>53</v>
      </c>
      <c r="M1560" t="s">
        <v>54</v>
      </c>
      <c r="N1560" t="s">
        <v>51</v>
      </c>
      <c r="O1560" t="s">
        <v>52</v>
      </c>
      <c r="P1560" t="s">
        <v>198</v>
      </c>
      <c r="Q1560" t="s">
        <v>183</v>
      </c>
      <c r="R1560" s="1">
        <v>44344.383472222224</v>
      </c>
      <c r="S1560" s="1">
        <v>44344.383506944447</v>
      </c>
      <c r="T1560">
        <v>0</v>
      </c>
      <c r="U1560">
        <v>1</v>
      </c>
      <c r="V1560" s="2">
        <v>0</v>
      </c>
      <c r="W1560">
        <v>0</v>
      </c>
      <c r="X1560" t="s">
        <v>183</v>
      </c>
      <c r="Y1560">
        <v>0</v>
      </c>
      <c r="Z1560" t="s">
        <v>31</v>
      </c>
      <c r="AA1560">
        <v>0</v>
      </c>
      <c r="AB1560" t="s">
        <v>31</v>
      </c>
      <c r="AC1560">
        <v>0</v>
      </c>
      <c r="AD1560" t="s">
        <v>31</v>
      </c>
      <c r="AE1560">
        <v>0</v>
      </c>
      <c r="AF1560" t="s">
        <v>31</v>
      </c>
      <c r="AG1560">
        <v>0</v>
      </c>
      <c r="AH1560" t="s">
        <v>31</v>
      </c>
      <c r="AI1560">
        <v>0</v>
      </c>
      <c r="AJ1560" t="s">
        <v>31</v>
      </c>
      <c r="AK1560">
        <v>0</v>
      </c>
      <c r="AL1560" t="s">
        <v>31</v>
      </c>
      <c r="AM1560">
        <v>0</v>
      </c>
      <c r="AN1560" t="s">
        <v>31</v>
      </c>
      <c r="AO1560">
        <v>0</v>
      </c>
      <c r="AP1560" t="s">
        <v>31</v>
      </c>
      <c r="AQ1560">
        <v>0</v>
      </c>
    </row>
    <row r="1561" spans="1:43" x14ac:dyDescent="0.2">
      <c r="A1561" t="s">
        <v>381</v>
      </c>
      <c r="B1561" s="3">
        <v>44348</v>
      </c>
      <c r="C1561">
        <v>118</v>
      </c>
      <c r="D1561" t="s">
        <v>396</v>
      </c>
      <c r="E1561" t="s">
        <v>150</v>
      </c>
      <c r="F1561" s="9" t="s">
        <v>154</v>
      </c>
      <c r="G1561" t="s">
        <v>26</v>
      </c>
      <c r="H1561" t="s">
        <v>51</v>
      </c>
      <c r="I1561" t="s">
        <v>52</v>
      </c>
      <c r="J1561" t="s">
        <v>198</v>
      </c>
      <c r="K1561" t="s">
        <v>183</v>
      </c>
      <c r="L1561" t="s">
        <v>53</v>
      </c>
      <c r="M1561" t="s">
        <v>54</v>
      </c>
      <c r="N1561" t="s">
        <v>51</v>
      </c>
      <c r="O1561" t="s">
        <v>52</v>
      </c>
      <c r="P1561" t="s">
        <v>198</v>
      </c>
      <c r="Q1561" t="s">
        <v>183</v>
      </c>
      <c r="R1561" s="1">
        <v>44348.416180555556</v>
      </c>
      <c r="S1561" s="1">
        <v>44348.416192129633</v>
      </c>
      <c r="T1561">
        <v>2</v>
      </c>
      <c r="U1561">
        <v>2</v>
      </c>
      <c r="V1561" s="2">
        <v>1</v>
      </c>
      <c r="W1561">
        <v>2</v>
      </c>
      <c r="X1561" t="s">
        <v>54</v>
      </c>
      <c r="Y1561">
        <v>1</v>
      </c>
      <c r="Z1561" t="s">
        <v>54</v>
      </c>
      <c r="AA1561">
        <v>1</v>
      </c>
      <c r="AB1561" t="s">
        <v>31</v>
      </c>
      <c r="AC1561">
        <v>0</v>
      </c>
      <c r="AD1561" t="s">
        <v>31</v>
      </c>
      <c r="AE1561">
        <v>0</v>
      </c>
      <c r="AF1561" t="s">
        <v>31</v>
      </c>
      <c r="AG1561">
        <v>0</v>
      </c>
      <c r="AH1561" t="s">
        <v>31</v>
      </c>
      <c r="AI1561">
        <v>0</v>
      </c>
      <c r="AJ1561" t="s">
        <v>31</v>
      </c>
      <c r="AK1561">
        <v>0</v>
      </c>
      <c r="AL1561" t="s">
        <v>31</v>
      </c>
      <c r="AM1561">
        <v>0</v>
      </c>
      <c r="AN1561" t="s">
        <v>31</v>
      </c>
      <c r="AO1561">
        <v>0</v>
      </c>
      <c r="AP1561" t="s">
        <v>31</v>
      </c>
      <c r="AQ1561">
        <v>0</v>
      </c>
    </row>
    <row r="1562" spans="1:43" x14ac:dyDescent="0.2">
      <c r="A1562" t="s">
        <v>381</v>
      </c>
      <c r="B1562" s="3">
        <v>44350</v>
      </c>
      <c r="C1562">
        <v>123</v>
      </c>
      <c r="D1562" t="s">
        <v>382</v>
      </c>
      <c r="E1562" t="s">
        <v>150</v>
      </c>
      <c r="F1562" s="9" t="s">
        <v>154</v>
      </c>
      <c r="G1562" t="s">
        <v>26</v>
      </c>
      <c r="H1562" t="s">
        <v>51</v>
      </c>
      <c r="I1562" t="s">
        <v>52</v>
      </c>
      <c r="J1562" t="s">
        <v>198</v>
      </c>
      <c r="K1562" t="s">
        <v>183</v>
      </c>
      <c r="L1562" t="s">
        <v>53</v>
      </c>
      <c r="M1562" t="s">
        <v>54</v>
      </c>
      <c r="N1562" t="s">
        <v>51</v>
      </c>
      <c r="O1562" t="s">
        <v>52</v>
      </c>
      <c r="P1562" t="s">
        <v>198</v>
      </c>
      <c r="Q1562" t="s">
        <v>183</v>
      </c>
      <c r="R1562" s="1">
        <v>44350.36824074074</v>
      </c>
      <c r="S1562" s="1">
        <v>44350.36824074074</v>
      </c>
      <c r="T1562">
        <v>1</v>
      </c>
      <c r="U1562">
        <v>1</v>
      </c>
      <c r="V1562" s="2">
        <v>1</v>
      </c>
      <c r="W1562">
        <v>1</v>
      </c>
      <c r="X1562" t="s">
        <v>54</v>
      </c>
      <c r="Y1562">
        <v>1</v>
      </c>
      <c r="Z1562" t="s">
        <v>31</v>
      </c>
      <c r="AA1562">
        <v>0</v>
      </c>
      <c r="AB1562" t="s">
        <v>31</v>
      </c>
      <c r="AC1562">
        <v>0</v>
      </c>
      <c r="AD1562" t="s">
        <v>31</v>
      </c>
      <c r="AE1562">
        <v>0</v>
      </c>
      <c r="AF1562" t="s">
        <v>31</v>
      </c>
      <c r="AG1562">
        <v>0</v>
      </c>
      <c r="AH1562" t="s">
        <v>31</v>
      </c>
      <c r="AI1562">
        <v>0</v>
      </c>
      <c r="AJ1562" t="s">
        <v>31</v>
      </c>
      <c r="AK1562">
        <v>0</v>
      </c>
      <c r="AL1562" t="s">
        <v>31</v>
      </c>
      <c r="AM1562">
        <v>0</v>
      </c>
      <c r="AN1562" t="s">
        <v>31</v>
      </c>
      <c r="AO1562">
        <v>0</v>
      </c>
      <c r="AP1562" t="s">
        <v>31</v>
      </c>
      <c r="AQ1562">
        <v>0</v>
      </c>
    </row>
    <row r="1563" spans="1:43" x14ac:dyDescent="0.2">
      <c r="A1563" t="s">
        <v>381</v>
      </c>
      <c r="B1563" s="3">
        <v>44351</v>
      </c>
      <c r="C1563">
        <v>124</v>
      </c>
      <c r="D1563" t="s">
        <v>390</v>
      </c>
      <c r="E1563" t="s">
        <v>150</v>
      </c>
      <c r="F1563" s="9" t="s">
        <v>154</v>
      </c>
      <c r="G1563" t="s">
        <v>26</v>
      </c>
      <c r="H1563" t="s">
        <v>51</v>
      </c>
      <c r="I1563" t="s">
        <v>52</v>
      </c>
      <c r="J1563" t="s">
        <v>198</v>
      </c>
      <c r="K1563" t="s">
        <v>183</v>
      </c>
      <c r="L1563" t="s">
        <v>53</v>
      </c>
      <c r="M1563" t="s">
        <v>54</v>
      </c>
      <c r="N1563" t="s">
        <v>51</v>
      </c>
      <c r="O1563" t="s">
        <v>52</v>
      </c>
      <c r="P1563" t="s">
        <v>198</v>
      </c>
      <c r="Q1563" t="s">
        <v>183</v>
      </c>
      <c r="R1563" s="1">
        <v>44351.419120370374</v>
      </c>
      <c r="S1563" s="1">
        <v>44351.439641203702</v>
      </c>
      <c r="T1563">
        <v>2</v>
      </c>
      <c r="U1563">
        <v>2</v>
      </c>
      <c r="V1563" s="2">
        <v>1</v>
      </c>
      <c r="W1563">
        <v>2</v>
      </c>
      <c r="X1563" t="s">
        <v>54</v>
      </c>
      <c r="Y1563">
        <v>1</v>
      </c>
      <c r="Z1563" t="s">
        <v>54</v>
      </c>
      <c r="AA1563">
        <v>1</v>
      </c>
      <c r="AB1563" t="s">
        <v>31</v>
      </c>
      <c r="AC1563">
        <v>0</v>
      </c>
      <c r="AD1563" t="s">
        <v>31</v>
      </c>
      <c r="AE1563">
        <v>0</v>
      </c>
      <c r="AF1563" t="s">
        <v>31</v>
      </c>
      <c r="AG1563">
        <v>0</v>
      </c>
      <c r="AH1563" t="s">
        <v>31</v>
      </c>
      <c r="AI1563">
        <v>0</v>
      </c>
      <c r="AJ1563" t="s">
        <v>31</v>
      </c>
      <c r="AK1563">
        <v>0</v>
      </c>
      <c r="AL1563" t="s">
        <v>31</v>
      </c>
      <c r="AM1563">
        <v>0</v>
      </c>
      <c r="AN1563" t="s">
        <v>31</v>
      </c>
      <c r="AO1563">
        <v>0</v>
      </c>
      <c r="AP1563" t="s">
        <v>31</v>
      </c>
      <c r="AQ1563">
        <v>0</v>
      </c>
    </row>
    <row r="1564" spans="1:43" x14ac:dyDescent="0.2">
      <c r="A1564" t="s">
        <v>381</v>
      </c>
      <c r="B1564" s="3">
        <v>44354</v>
      </c>
      <c r="C1564">
        <v>126</v>
      </c>
      <c r="D1564" t="s">
        <v>397</v>
      </c>
      <c r="E1564" t="s">
        <v>150</v>
      </c>
      <c r="F1564" s="9" t="s">
        <v>154</v>
      </c>
      <c r="G1564" t="s">
        <v>26</v>
      </c>
      <c r="H1564" t="s">
        <v>51</v>
      </c>
      <c r="I1564" t="s">
        <v>52</v>
      </c>
      <c r="J1564" t="s">
        <v>198</v>
      </c>
      <c r="K1564" t="s">
        <v>183</v>
      </c>
      <c r="L1564" t="s">
        <v>53</v>
      </c>
      <c r="M1564" t="s">
        <v>54</v>
      </c>
      <c r="N1564" t="s">
        <v>51</v>
      </c>
      <c r="O1564" t="s">
        <v>52</v>
      </c>
      <c r="P1564" t="s">
        <v>198</v>
      </c>
      <c r="Q1564" t="s">
        <v>183</v>
      </c>
      <c r="R1564" s="1">
        <v>44354.417233796295</v>
      </c>
      <c r="S1564" s="1">
        <v>44354.417233796295</v>
      </c>
      <c r="T1564">
        <v>1</v>
      </c>
      <c r="U1564">
        <v>1</v>
      </c>
      <c r="V1564" s="2">
        <v>1</v>
      </c>
      <c r="W1564">
        <v>1</v>
      </c>
      <c r="X1564" t="s">
        <v>54</v>
      </c>
      <c r="Y1564">
        <v>1</v>
      </c>
      <c r="Z1564" t="s">
        <v>31</v>
      </c>
      <c r="AA1564">
        <v>0</v>
      </c>
      <c r="AB1564" t="s">
        <v>31</v>
      </c>
      <c r="AC1564">
        <v>0</v>
      </c>
      <c r="AD1564" t="s">
        <v>31</v>
      </c>
      <c r="AE1564">
        <v>0</v>
      </c>
      <c r="AF1564" t="s">
        <v>31</v>
      </c>
      <c r="AG1564">
        <v>0</v>
      </c>
      <c r="AH1564" t="s">
        <v>31</v>
      </c>
      <c r="AI1564">
        <v>0</v>
      </c>
      <c r="AJ1564" t="s">
        <v>31</v>
      </c>
      <c r="AK1564">
        <v>0</v>
      </c>
      <c r="AL1564" t="s">
        <v>31</v>
      </c>
      <c r="AM1564">
        <v>0</v>
      </c>
      <c r="AN1564" t="s">
        <v>31</v>
      </c>
      <c r="AO1564">
        <v>0</v>
      </c>
      <c r="AP1564" t="s">
        <v>31</v>
      </c>
      <c r="AQ1564">
        <v>0</v>
      </c>
    </row>
    <row r="1565" spans="1:43" x14ac:dyDescent="0.2">
      <c r="A1565" t="s">
        <v>381</v>
      </c>
      <c r="B1565" s="3">
        <v>44355</v>
      </c>
      <c r="C1565">
        <v>128</v>
      </c>
      <c r="D1565" t="s">
        <v>406</v>
      </c>
      <c r="E1565" t="s">
        <v>150</v>
      </c>
      <c r="F1565" s="9" t="s">
        <v>154</v>
      </c>
      <c r="G1565" t="s">
        <v>26</v>
      </c>
      <c r="H1565" t="s">
        <v>51</v>
      </c>
      <c r="I1565" t="s">
        <v>52</v>
      </c>
      <c r="J1565" t="s">
        <v>198</v>
      </c>
      <c r="K1565" t="s">
        <v>183</v>
      </c>
      <c r="L1565" t="s">
        <v>53</v>
      </c>
      <c r="M1565" t="s">
        <v>54</v>
      </c>
      <c r="N1565" t="s">
        <v>51</v>
      </c>
      <c r="O1565" t="s">
        <v>52</v>
      </c>
      <c r="P1565" t="s">
        <v>198</v>
      </c>
      <c r="Q1565" t="s">
        <v>183</v>
      </c>
      <c r="R1565" s="1">
        <v>44355.4530787037</v>
      </c>
      <c r="S1565" s="1">
        <v>44355.453634259262</v>
      </c>
      <c r="T1565">
        <v>2</v>
      </c>
      <c r="U1565">
        <v>2</v>
      </c>
      <c r="V1565" s="2">
        <v>1</v>
      </c>
      <c r="W1565">
        <v>2</v>
      </c>
      <c r="X1565" t="s">
        <v>54</v>
      </c>
      <c r="Y1565">
        <v>1</v>
      </c>
      <c r="Z1565" t="s">
        <v>54</v>
      </c>
      <c r="AA1565">
        <v>1</v>
      </c>
      <c r="AB1565" t="s">
        <v>31</v>
      </c>
      <c r="AC1565">
        <v>0</v>
      </c>
      <c r="AD1565" t="s">
        <v>31</v>
      </c>
      <c r="AE1565">
        <v>0</v>
      </c>
      <c r="AF1565" t="s">
        <v>31</v>
      </c>
      <c r="AG1565">
        <v>0</v>
      </c>
      <c r="AH1565" t="s">
        <v>31</v>
      </c>
      <c r="AI1565">
        <v>0</v>
      </c>
      <c r="AJ1565" t="s">
        <v>31</v>
      </c>
      <c r="AK1565">
        <v>0</v>
      </c>
      <c r="AL1565" t="s">
        <v>31</v>
      </c>
      <c r="AM1565">
        <v>0</v>
      </c>
      <c r="AN1565" t="s">
        <v>31</v>
      </c>
      <c r="AO1565">
        <v>0</v>
      </c>
      <c r="AP1565" t="s">
        <v>31</v>
      </c>
      <c r="AQ1565">
        <v>0</v>
      </c>
    </row>
    <row r="1566" spans="1:43" x14ac:dyDescent="0.2">
      <c r="A1566" t="s">
        <v>381</v>
      </c>
      <c r="B1566" s="3">
        <v>44355</v>
      </c>
      <c r="C1566">
        <v>129</v>
      </c>
      <c r="D1566" t="s">
        <v>385</v>
      </c>
      <c r="E1566" t="s">
        <v>150</v>
      </c>
      <c r="F1566" s="9" t="s">
        <v>154</v>
      </c>
      <c r="G1566" t="s">
        <v>26</v>
      </c>
      <c r="H1566" t="s">
        <v>51</v>
      </c>
      <c r="I1566" t="s">
        <v>52</v>
      </c>
      <c r="J1566" t="s">
        <v>198</v>
      </c>
      <c r="K1566" t="s">
        <v>183</v>
      </c>
      <c r="L1566" t="s">
        <v>53</v>
      </c>
      <c r="M1566" t="s">
        <v>54</v>
      </c>
      <c r="N1566" t="s">
        <v>51</v>
      </c>
      <c r="O1566" t="s">
        <v>52</v>
      </c>
      <c r="P1566" t="s">
        <v>198</v>
      </c>
      <c r="Q1566" t="s">
        <v>183</v>
      </c>
      <c r="R1566" s="1">
        <v>44355.622372685182</v>
      </c>
      <c r="S1566" s="1">
        <v>44355.622372685182</v>
      </c>
      <c r="T1566">
        <v>1</v>
      </c>
      <c r="U1566">
        <v>1</v>
      </c>
      <c r="V1566" s="2">
        <v>1</v>
      </c>
      <c r="W1566">
        <v>1</v>
      </c>
      <c r="X1566" t="s">
        <v>54</v>
      </c>
      <c r="Y1566">
        <v>1</v>
      </c>
      <c r="Z1566" t="s">
        <v>31</v>
      </c>
      <c r="AA1566">
        <v>0</v>
      </c>
      <c r="AB1566" t="s">
        <v>31</v>
      </c>
      <c r="AC1566">
        <v>0</v>
      </c>
      <c r="AD1566" t="s">
        <v>31</v>
      </c>
      <c r="AE1566">
        <v>0</v>
      </c>
      <c r="AF1566" t="s">
        <v>31</v>
      </c>
      <c r="AG1566">
        <v>0</v>
      </c>
      <c r="AH1566" t="s">
        <v>31</v>
      </c>
      <c r="AI1566">
        <v>0</v>
      </c>
      <c r="AJ1566" t="s">
        <v>31</v>
      </c>
      <c r="AK1566">
        <v>0</v>
      </c>
      <c r="AL1566" t="s">
        <v>31</v>
      </c>
      <c r="AM1566">
        <v>0</v>
      </c>
      <c r="AN1566" t="s">
        <v>31</v>
      </c>
      <c r="AO1566">
        <v>0</v>
      </c>
      <c r="AP1566" t="s">
        <v>31</v>
      </c>
      <c r="AQ1566">
        <v>0</v>
      </c>
    </row>
    <row r="1567" spans="1:43" x14ac:dyDescent="0.2">
      <c r="A1567" t="s">
        <v>381</v>
      </c>
      <c r="B1567" s="3">
        <v>44356</v>
      </c>
      <c r="C1567">
        <v>131</v>
      </c>
      <c r="D1567" t="s">
        <v>383</v>
      </c>
      <c r="E1567" t="s">
        <v>150</v>
      </c>
      <c r="F1567" s="9" t="s">
        <v>154</v>
      </c>
      <c r="G1567" t="s">
        <v>26</v>
      </c>
      <c r="H1567" t="s">
        <v>51</v>
      </c>
      <c r="I1567" t="s">
        <v>52</v>
      </c>
      <c r="J1567" t="s">
        <v>198</v>
      </c>
      <c r="K1567" t="s">
        <v>183</v>
      </c>
      <c r="L1567" t="s">
        <v>53</v>
      </c>
      <c r="M1567" t="s">
        <v>54</v>
      </c>
      <c r="N1567" t="s">
        <v>51</v>
      </c>
      <c r="O1567" t="s">
        <v>52</v>
      </c>
      <c r="P1567" t="s">
        <v>198</v>
      </c>
      <c r="Q1567" t="s">
        <v>183</v>
      </c>
      <c r="R1567" s="1">
        <v>44356.551932870374</v>
      </c>
      <c r="S1567" s="1">
        <v>44356.551932870374</v>
      </c>
      <c r="T1567">
        <v>2</v>
      </c>
      <c r="U1567">
        <v>2</v>
      </c>
      <c r="V1567" s="2">
        <v>1</v>
      </c>
      <c r="W1567">
        <v>2</v>
      </c>
      <c r="X1567" t="s">
        <v>54</v>
      </c>
      <c r="Y1567">
        <v>1</v>
      </c>
      <c r="Z1567" t="s">
        <v>54</v>
      </c>
      <c r="AA1567">
        <v>1</v>
      </c>
      <c r="AB1567" t="s">
        <v>31</v>
      </c>
      <c r="AC1567">
        <v>0</v>
      </c>
      <c r="AD1567" t="s">
        <v>31</v>
      </c>
      <c r="AE1567">
        <v>0</v>
      </c>
      <c r="AF1567" t="s">
        <v>31</v>
      </c>
      <c r="AG1567">
        <v>0</v>
      </c>
      <c r="AH1567" t="s">
        <v>31</v>
      </c>
      <c r="AI1567">
        <v>0</v>
      </c>
      <c r="AJ1567" t="s">
        <v>31</v>
      </c>
      <c r="AK1567">
        <v>0</v>
      </c>
      <c r="AL1567" t="s">
        <v>31</v>
      </c>
      <c r="AM1567">
        <v>0</v>
      </c>
      <c r="AN1567" t="s">
        <v>31</v>
      </c>
      <c r="AO1567">
        <v>0</v>
      </c>
      <c r="AP1567" t="s">
        <v>31</v>
      </c>
      <c r="AQ1567">
        <v>0</v>
      </c>
    </row>
    <row r="1568" spans="1:43" x14ac:dyDescent="0.2">
      <c r="A1568" t="s">
        <v>381</v>
      </c>
      <c r="B1568" s="3">
        <v>44357</v>
      </c>
      <c r="C1568">
        <v>132</v>
      </c>
      <c r="D1568" t="s">
        <v>399</v>
      </c>
      <c r="E1568" t="s">
        <v>150</v>
      </c>
      <c r="F1568" s="9" t="s">
        <v>154</v>
      </c>
      <c r="G1568" t="s">
        <v>26</v>
      </c>
      <c r="H1568" t="s">
        <v>51</v>
      </c>
      <c r="I1568" t="s">
        <v>52</v>
      </c>
      <c r="J1568" t="s">
        <v>198</v>
      </c>
      <c r="K1568" t="s">
        <v>183</v>
      </c>
      <c r="L1568" t="s">
        <v>53</v>
      </c>
      <c r="M1568" t="s">
        <v>54</v>
      </c>
      <c r="N1568" t="s">
        <v>51</v>
      </c>
      <c r="O1568" t="s">
        <v>52</v>
      </c>
      <c r="P1568" t="s">
        <v>198</v>
      </c>
      <c r="Q1568" t="s">
        <v>183</v>
      </c>
      <c r="R1568" s="1">
        <v>44357.391585648147</v>
      </c>
      <c r="S1568" s="1">
        <v>44357.391597222224</v>
      </c>
      <c r="T1568">
        <v>0</v>
      </c>
      <c r="U1568">
        <v>2</v>
      </c>
      <c r="V1568" s="2">
        <v>0</v>
      </c>
      <c r="W1568">
        <v>0</v>
      </c>
      <c r="X1568" t="s">
        <v>44</v>
      </c>
      <c r="Y1568">
        <v>0</v>
      </c>
      <c r="Z1568" t="s">
        <v>183</v>
      </c>
      <c r="AA1568">
        <v>0</v>
      </c>
      <c r="AB1568" t="s">
        <v>31</v>
      </c>
      <c r="AC1568">
        <v>0</v>
      </c>
      <c r="AD1568" t="s">
        <v>31</v>
      </c>
      <c r="AE1568">
        <v>0</v>
      </c>
      <c r="AF1568" t="s">
        <v>31</v>
      </c>
      <c r="AG1568">
        <v>0</v>
      </c>
      <c r="AH1568" t="s">
        <v>31</v>
      </c>
      <c r="AI1568">
        <v>0</v>
      </c>
      <c r="AJ1568" t="s">
        <v>31</v>
      </c>
      <c r="AK1568">
        <v>0</v>
      </c>
      <c r="AL1568" t="s">
        <v>31</v>
      </c>
      <c r="AM1568">
        <v>0</v>
      </c>
      <c r="AN1568" t="s">
        <v>31</v>
      </c>
      <c r="AO1568">
        <v>0</v>
      </c>
      <c r="AP1568" t="s">
        <v>31</v>
      </c>
      <c r="AQ1568">
        <v>0</v>
      </c>
    </row>
    <row r="1569" spans="1:43" x14ac:dyDescent="0.2">
      <c r="A1569" t="s">
        <v>381</v>
      </c>
      <c r="B1569" s="3">
        <v>44358</v>
      </c>
      <c r="C1569">
        <v>133</v>
      </c>
      <c r="D1569" t="s">
        <v>390</v>
      </c>
      <c r="E1569" t="s">
        <v>150</v>
      </c>
      <c r="F1569" s="9" t="s">
        <v>154</v>
      </c>
      <c r="G1569" t="s">
        <v>26</v>
      </c>
      <c r="H1569" t="s">
        <v>51</v>
      </c>
      <c r="I1569" t="s">
        <v>52</v>
      </c>
      <c r="J1569" t="s">
        <v>198</v>
      </c>
      <c r="K1569" t="s">
        <v>183</v>
      </c>
      <c r="L1569" t="s">
        <v>53</v>
      </c>
      <c r="M1569" t="s">
        <v>54</v>
      </c>
      <c r="N1569" t="s">
        <v>51</v>
      </c>
      <c r="O1569" t="s">
        <v>52</v>
      </c>
      <c r="P1569" t="s">
        <v>198</v>
      </c>
      <c r="Q1569" t="s">
        <v>183</v>
      </c>
      <c r="R1569" s="1">
        <v>44358.392627314817</v>
      </c>
      <c r="S1569" s="1">
        <v>44358.446134259262</v>
      </c>
      <c r="T1569">
        <v>2</v>
      </c>
      <c r="U1569">
        <v>2</v>
      </c>
      <c r="V1569" s="2">
        <v>1</v>
      </c>
      <c r="W1569">
        <v>2</v>
      </c>
      <c r="X1569" t="s">
        <v>54</v>
      </c>
      <c r="Y1569">
        <v>1</v>
      </c>
      <c r="Z1569" t="s">
        <v>54</v>
      </c>
      <c r="AA1569">
        <v>1</v>
      </c>
      <c r="AB1569" t="s">
        <v>31</v>
      </c>
      <c r="AC1569">
        <v>0</v>
      </c>
      <c r="AD1569" t="s">
        <v>31</v>
      </c>
      <c r="AE1569">
        <v>0</v>
      </c>
      <c r="AF1569" t="s">
        <v>31</v>
      </c>
      <c r="AG1569">
        <v>0</v>
      </c>
      <c r="AH1569" t="s">
        <v>31</v>
      </c>
      <c r="AI1569">
        <v>0</v>
      </c>
      <c r="AJ1569" t="s">
        <v>31</v>
      </c>
      <c r="AK1569">
        <v>0</v>
      </c>
      <c r="AL1569" t="s">
        <v>31</v>
      </c>
      <c r="AM1569">
        <v>0</v>
      </c>
      <c r="AN1569" t="s">
        <v>31</v>
      </c>
      <c r="AO1569">
        <v>0</v>
      </c>
      <c r="AP1569" t="s">
        <v>31</v>
      </c>
      <c r="AQ1569">
        <v>0</v>
      </c>
    </row>
    <row r="1570" spans="1:43" x14ac:dyDescent="0.2">
      <c r="A1570" t="s">
        <v>381</v>
      </c>
      <c r="B1570" s="3">
        <v>44361</v>
      </c>
      <c r="C1570">
        <v>135</v>
      </c>
      <c r="D1570" t="s">
        <v>390</v>
      </c>
      <c r="E1570" t="s">
        <v>150</v>
      </c>
      <c r="F1570" s="9" t="s">
        <v>154</v>
      </c>
      <c r="G1570" t="s">
        <v>26</v>
      </c>
      <c r="H1570" t="s">
        <v>51</v>
      </c>
      <c r="I1570" t="s">
        <v>52</v>
      </c>
      <c r="J1570" t="s">
        <v>198</v>
      </c>
      <c r="K1570" t="s">
        <v>183</v>
      </c>
      <c r="L1570" t="s">
        <v>53</v>
      </c>
      <c r="M1570" t="s">
        <v>54</v>
      </c>
      <c r="N1570" t="s">
        <v>51</v>
      </c>
      <c r="O1570" t="s">
        <v>52</v>
      </c>
      <c r="P1570" t="s">
        <v>198</v>
      </c>
      <c r="Q1570" t="s">
        <v>183</v>
      </c>
      <c r="R1570" s="1">
        <v>44361.412395833337</v>
      </c>
      <c r="S1570" s="1">
        <v>44361.412395833337</v>
      </c>
      <c r="T1570">
        <v>1</v>
      </c>
      <c r="U1570">
        <v>1</v>
      </c>
      <c r="V1570" s="2">
        <v>1</v>
      </c>
      <c r="W1570">
        <v>1</v>
      </c>
      <c r="X1570" t="s">
        <v>54</v>
      </c>
      <c r="Y1570">
        <v>1</v>
      </c>
      <c r="Z1570" t="s">
        <v>31</v>
      </c>
      <c r="AA1570">
        <v>0</v>
      </c>
      <c r="AB1570" t="s">
        <v>31</v>
      </c>
      <c r="AC1570">
        <v>0</v>
      </c>
      <c r="AD1570" t="s">
        <v>31</v>
      </c>
      <c r="AE1570">
        <v>0</v>
      </c>
      <c r="AF1570" t="s">
        <v>31</v>
      </c>
      <c r="AG1570">
        <v>0</v>
      </c>
      <c r="AH1570" t="s">
        <v>31</v>
      </c>
      <c r="AI1570">
        <v>0</v>
      </c>
      <c r="AJ1570" t="s">
        <v>31</v>
      </c>
      <c r="AK1570">
        <v>0</v>
      </c>
      <c r="AL1570" t="s">
        <v>31</v>
      </c>
      <c r="AM1570">
        <v>0</v>
      </c>
      <c r="AN1570" t="s">
        <v>31</v>
      </c>
      <c r="AO1570">
        <v>0</v>
      </c>
      <c r="AP1570" t="s">
        <v>31</v>
      </c>
      <c r="AQ1570">
        <v>0</v>
      </c>
    </row>
    <row r="1571" spans="1:43" x14ac:dyDescent="0.2">
      <c r="A1571" t="s">
        <v>381</v>
      </c>
      <c r="B1571" s="3">
        <v>44364</v>
      </c>
      <c r="C1571">
        <v>138</v>
      </c>
      <c r="D1571" t="s">
        <v>399</v>
      </c>
      <c r="E1571" t="s">
        <v>150</v>
      </c>
      <c r="F1571" s="9" t="s">
        <v>154</v>
      </c>
      <c r="G1571" t="s">
        <v>26</v>
      </c>
      <c r="H1571" t="s">
        <v>51</v>
      </c>
      <c r="I1571" t="s">
        <v>52</v>
      </c>
      <c r="J1571" t="s">
        <v>198</v>
      </c>
      <c r="K1571" t="s">
        <v>183</v>
      </c>
      <c r="L1571" t="s">
        <v>53</v>
      </c>
      <c r="M1571" t="s">
        <v>54</v>
      </c>
      <c r="N1571" t="s">
        <v>51</v>
      </c>
      <c r="O1571" t="s">
        <v>52</v>
      </c>
      <c r="P1571" t="s">
        <v>198</v>
      </c>
      <c r="Q1571" t="s">
        <v>183</v>
      </c>
      <c r="R1571" s="1">
        <v>44364.45107638889</v>
      </c>
      <c r="S1571" s="1">
        <v>44364.451423611114</v>
      </c>
      <c r="T1571">
        <v>1</v>
      </c>
      <c r="U1571">
        <v>3</v>
      </c>
      <c r="V1571" s="2">
        <v>0.33</v>
      </c>
      <c r="W1571">
        <v>1</v>
      </c>
      <c r="X1571" t="s">
        <v>44</v>
      </c>
      <c r="Y1571">
        <v>0</v>
      </c>
      <c r="Z1571" t="s">
        <v>183</v>
      </c>
      <c r="AA1571">
        <v>0</v>
      </c>
      <c r="AB1571" t="s">
        <v>54</v>
      </c>
      <c r="AC1571">
        <v>1</v>
      </c>
      <c r="AD1571" t="s">
        <v>31</v>
      </c>
      <c r="AE1571">
        <v>0</v>
      </c>
      <c r="AF1571" t="s">
        <v>31</v>
      </c>
      <c r="AG1571">
        <v>0</v>
      </c>
      <c r="AH1571" t="s">
        <v>31</v>
      </c>
      <c r="AI1571">
        <v>0</v>
      </c>
      <c r="AJ1571" t="s">
        <v>31</v>
      </c>
      <c r="AK1571">
        <v>0</v>
      </c>
      <c r="AL1571" t="s">
        <v>31</v>
      </c>
      <c r="AM1571">
        <v>0</v>
      </c>
      <c r="AN1571" t="s">
        <v>31</v>
      </c>
      <c r="AO1571">
        <v>0</v>
      </c>
      <c r="AP1571" t="s">
        <v>31</v>
      </c>
      <c r="AQ1571">
        <v>0</v>
      </c>
    </row>
    <row r="1572" spans="1:43" x14ac:dyDescent="0.2">
      <c r="A1572" t="s">
        <v>381</v>
      </c>
      <c r="B1572" s="3">
        <v>44365</v>
      </c>
      <c r="C1572">
        <v>139</v>
      </c>
      <c r="D1572" t="s">
        <v>400</v>
      </c>
      <c r="E1572" t="s">
        <v>150</v>
      </c>
      <c r="F1572" s="9" t="s">
        <v>154</v>
      </c>
      <c r="G1572" t="s">
        <v>26</v>
      </c>
      <c r="H1572" t="s">
        <v>51</v>
      </c>
      <c r="I1572" t="s">
        <v>52</v>
      </c>
      <c r="J1572" t="s">
        <v>198</v>
      </c>
      <c r="K1572" t="s">
        <v>183</v>
      </c>
      <c r="L1572" t="s">
        <v>53</v>
      </c>
      <c r="M1572" t="s">
        <v>54</v>
      </c>
      <c r="N1572" t="s">
        <v>51</v>
      </c>
      <c r="O1572" t="s">
        <v>52</v>
      </c>
      <c r="P1572" t="s">
        <v>198</v>
      </c>
      <c r="Q1572" t="s">
        <v>183</v>
      </c>
      <c r="R1572" s="1">
        <v>44365.465266203704</v>
      </c>
      <c r="S1572" s="1">
        <v>44365.484027777777</v>
      </c>
      <c r="T1572">
        <v>4</v>
      </c>
      <c r="U1572">
        <v>4</v>
      </c>
      <c r="V1572" s="2">
        <v>1</v>
      </c>
      <c r="W1572">
        <v>4</v>
      </c>
      <c r="X1572" t="s">
        <v>54</v>
      </c>
      <c r="Y1572">
        <v>1</v>
      </c>
      <c r="Z1572" t="s">
        <v>54</v>
      </c>
      <c r="AA1572">
        <v>1</v>
      </c>
      <c r="AB1572" t="s">
        <v>54</v>
      </c>
      <c r="AC1572">
        <v>1</v>
      </c>
      <c r="AD1572" t="s">
        <v>54</v>
      </c>
      <c r="AE1572">
        <v>1</v>
      </c>
      <c r="AF1572" t="s">
        <v>31</v>
      </c>
      <c r="AG1572">
        <v>0</v>
      </c>
      <c r="AH1572" t="s">
        <v>31</v>
      </c>
      <c r="AI1572">
        <v>0</v>
      </c>
      <c r="AJ1572" t="s">
        <v>31</v>
      </c>
      <c r="AK1572">
        <v>0</v>
      </c>
      <c r="AL1572" t="s">
        <v>31</v>
      </c>
      <c r="AM1572">
        <v>0</v>
      </c>
      <c r="AN1572" t="s">
        <v>31</v>
      </c>
      <c r="AO1572">
        <v>0</v>
      </c>
      <c r="AP1572" t="s">
        <v>31</v>
      </c>
      <c r="AQ1572">
        <v>0</v>
      </c>
    </row>
    <row r="1573" spans="1:43" x14ac:dyDescent="0.2">
      <c r="A1573" t="s">
        <v>381</v>
      </c>
      <c r="B1573" s="3">
        <v>44365</v>
      </c>
      <c r="C1573">
        <v>140</v>
      </c>
      <c r="D1573" t="s">
        <v>399</v>
      </c>
      <c r="E1573" t="s">
        <v>150</v>
      </c>
      <c r="F1573" s="9" t="s">
        <v>154</v>
      </c>
      <c r="G1573" t="s">
        <v>26</v>
      </c>
      <c r="H1573" t="s">
        <v>51</v>
      </c>
      <c r="I1573" t="s">
        <v>52</v>
      </c>
      <c r="J1573" t="s">
        <v>198</v>
      </c>
      <c r="K1573" t="s">
        <v>183</v>
      </c>
      <c r="L1573" t="s">
        <v>53</v>
      </c>
      <c r="M1573" t="s">
        <v>54</v>
      </c>
      <c r="N1573" t="s">
        <v>51</v>
      </c>
      <c r="O1573" t="s">
        <v>52</v>
      </c>
      <c r="P1573" t="s">
        <v>198</v>
      </c>
      <c r="Q1573" t="s">
        <v>183</v>
      </c>
      <c r="R1573" s="1">
        <v>44365.616030092591</v>
      </c>
      <c r="S1573" s="1">
        <v>44365.616041666668</v>
      </c>
      <c r="T1573">
        <v>1</v>
      </c>
      <c r="U1573">
        <v>2</v>
      </c>
      <c r="V1573" s="2">
        <v>0.5</v>
      </c>
      <c r="W1573">
        <v>1</v>
      </c>
      <c r="X1573" t="s">
        <v>44</v>
      </c>
      <c r="Y1573">
        <v>0</v>
      </c>
      <c r="Z1573" t="s">
        <v>54</v>
      </c>
      <c r="AA1573">
        <v>1</v>
      </c>
      <c r="AB1573" t="s">
        <v>31</v>
      </c>
      <c r="AC1573">
        <v>0</v>
      </c>
      <c r="AD1573" t="s">
        <v>31</v>
      </c>
      <c r="AE1573">
        <v>0</v>
      </c>
      <c r="AF1573" t="s">
        <v>31</v>
      </c>
      <c r="AG1573">
        <v>0</v>
      </c>
      <c r="AH1573" t="s">
        <v>31</v>
      </c>
      <c r="AI1573">
        <v>0</v>
      </c>
      <c r="AJ1573" t="s">
        <v>31</v>
      </c>
      <c r="AK1573">
        <v>0</v>
      </c>
      <c r="AL1573" t="s">
        <v>31</v>
      </c>
      <c r="AM1573">
        <v>0</v>
      </c>
      <c r="AN1573" t="s">
        <v>31</v>
      </c>
      <c r="AO1573">
        <v>0</v>
      </c>
      <c r="AP1573" t="s">
        <v>31</v>
      </c>
      <c r="AQ1573">
        <v>0</v>
      </c>
    </row>
    <row r="1574" spans="1:43" x14ac:dyDescent="0.2">
      <c r="A1574" t="s">
        <v>381</v>
      </c>
      <c r="B1574" s="3">
        <v>44375</v>
      </c>
      <c r="C1574">
        <v>141</v>
      </c>
      <c r="D1574" t="s">
        <v>396</v>
      </c>
      <c r="E1574" t="s">
        <v>150</v>
      </c>
      <c r="F1574" s="9" t="s">
        <v>154</v>
      </c>
      <c r="G1574" t="s">
        <v>26</v>
      </c>
      <c r="H1574" t="s">
        <v>51</v>
      </c>
      <c r="I1574" t="s">
        <v>52</v>
      </c>
      <c r="J1574" t="s">
        <v>198</v>
      </c>
      <c r="K1574" t="s">
        <v>183</v>
      </c>
      <c r="L1574" t="s">
        <v>53</v>
      </c>
      <c r="M1574" t="s">
        <v>54</v>
      </c>
      <c r="N1574" t="s">
        <v>51</v>
      </c>
      <c r="O1574" t="s">
        <v>52</v>
      </c>
      <c r="P1574" t="s">
        <v>198</v>
      </c>
      <c r="Q1574" t="s">
        <v>183</v>
      </c>
      <c r="R1574" s="1">
        <v>44375.607314814813</v>
      </c>
      <c r="S1574" s="1">
        <v>44375.60732638889</v>
      </c>
      <c r="T1574">
        <v>2</v>
      </c>
      <c r="U1574">
        <v>3</v>
      </c>
      <c r="V1574" s="2">
        <v>0.66</v>
      </c>
      <c r="W1574">
        <v>2</v>
      </c>
      <c r="X1574" t="s">
        <v>54</v>
      </c>
      <c r="Y1574">
        <v>1</v>
      </c>
      <c r="Z1574" t="s">
        <v>54</v>
      </c>
      <c r="AA1574">
        <v>1</v>
      </c>
      <c r="AB1574" t="s">
        <v>183</v>
      </c>
      <c r="AC1574">
        <v>0</v>
      </c>
      <c r="AD1574" t="s">
        <v>31</v>
      </c>
      <c r="AE1574">
        <v>0</v>
      </c>
      <c r="AF1574" t="s">
        <v>31</v>
      </c>
      <c r="AG1574">
        <v>0</v>
      </c>
      <c r="AH1574" t="s">
        <v>31</v>
      </c>
      <c r="AI1574">
        <v>0</v>
      </c>
      <c r="AJ1574" t="s">
        <v>31</v>
      </c>
      <c r="AK1574">
        <v>0</v>
      </c>
      <c r="AL1574" t="s">
        <v>31</v>
      </c>
      <c r="AM1574">
        <v>0</v>
      </c>
      <c r="AN1574" t="s">
        <v>31</v>
      </c>
      <c r="AO1574">
        <v>0</v>
      </c>
      <c r="AP1574" t="s">
        <v>31</v>
      </c>
      <c r="AQ1574">
        <v>0</v>
      </c>
    </row>
    <row r="1575" spans="1:43" x14ac:dyDescent="0.2">
      <c r="A1575" t="s">
        <v>381</v>
      </c>
      <c r="B1575" s="3">
        <v>44350</v>
      </c>
      <c r="C1575">
        <v>123</v>
      </c>
      <c r="D1575" t="s">
        <v>382</v>
      </c>
      <c r="E1575" t="s">
        <v>150</v>
      </c>
      <c r="F1575" s="9" t="s">
        <v>250</v>
      </c>
      <c r="G1575" t="s">
        <v>26</v>
      </c>
      <c r="H1575" t="s">
        <v>200</v>
      </c>
      <c r="I1575" t="s">
        <v>201</v>
      </c>
      <c r="J1575" t="s">
        <v>43</v>
      </c>
      <c r="K1575" t="s">
        <v>44</v>
      </c>
      <c r="L1575" t="s">
        <v>29</v>
      </c>
      <c r="M1575" t="s">
        <v>30</v>
      </c>
      <c r="N1575" t="s">
        <v>200</v>
      </c>
      <c r="O1575" t="s">
        <v>201</v>
      </c>
      <c r="P1575" t="s">
        <v>43</v>
      </c>
      <c r="Q1575" t="s">
        <v>44</v>
      </c>
      <c r="R1575" s="1">
        <v>44350.431203703702</v>
      </c>
      <c r="S1575" s="1">
        <v>44350.431342592594</v>
      </c>
      <c r="T1575">
        <v>1</v>
      </c>
      <c r="U1575">
        <v>1</v>
      </c>
      <c r="V1575" s="2">
        <v>1</v>
      </c>
      <c r="W1575">
        <v>0</v>
      </c>
      <c r="X1575" t="s">
        <v>30</v>
      </c>
      <c r="Y1575">
        <v>0</v>
      </c>
      <c r="Z1575" t="s">
        <v>31</v>
      </c>
      <c r="AA1575">
        <v>0</v>
      </c>
      <c r="AB1575" t="s">
        <v>31</v>
      </c>
      <c r="AC1575">
        <v>0</v>
      </c>
      <c r="AD1575" t="s">
        <v>31</v>
      </c>
      <c r="AE1575">
        <v>0</v>
      </c>
      <c r="AF1575" t="s">
        <v>31</v>
      </c>
      <c r="AG1575">
        <v>0</v>
      </c>
      <c r="AH1575" t="s">
        <v>31</v>
      </c>
      <c r="AI1575">
        <v>0</v>
      </c>
      <c r="AJ1575" t="s">
        <v>31</v>
      </c>
      <c r="AK1575">
        <v>0</v>
      </c>
      <c r="AL1575" t="s">
        <v>31</v>
      </c>
      <c r="AM1575">
        <v>0</v>
      </c>
      <c r="AN1575" t="s">
        <v>31</v>
      </c>
      <c r="AO1575">
        <v>0</v>
      </c>
      <c r="AP1575" t="s">
        <v>31</v>
      </c>
      <c r="AQ1575">
        <v>0</v>
      </c>
    </row>
    <row r="1576" spans="1:43" x14ac:dyDescent="0.2">
      <c r="A1576" t="s">
        <v>381</v>
      </c>
      <c r="B1576" s="3">
        <v>44242</v>
      </c>
      <c r="C1576">
        <v>8</v>
      </c>
      <c r="D1576" t="s">
        <v>384</v>
      </c>
      <c r="E1576" t="s">
        <v>124</v>
      </c>
      <c r="F1576" s="9" t="s">
        <v>159</v>
      </c>
      <c r="G1576" t="s">
        <v>26</v>
      </c>
      <c r="H1576" t="s">
        <v>108</v>
      </c>
      <c r="I1576" t="s">
        <v>109</v>
      </c>
      <c r="J1576" t="s">
        <v>43</v>
      </c>
      <c r="K1576" t="s">
        <v>44</v>
      </c>
      <c r="L1576" t="s">
        <v>29</v>
      </c>
      <c r="M1576" t="s">
        <v>30</v>
      </c>
      <c r="N1576" t="s">
        <v>108</v>
      </c>
      <c r="O1576" t="s">
        <v>109</v>
      </c>
      <c r="P1576" t="s">
        <v>43</v>
      </c>
      <c r="Q1576" t="s">
        <v>44</v>
      </c>
      <c r="R1576" s="1">
        <v>44242.379270833335</v>
      </c>
      <c r="S1576" s="1">
        <v>44242.379363425927</v>
      </c>
      <c r="T1576">
        <v>2</v>
      </c>
      <c r="U1576">
        <v>2</v>
      </c>
      <c r="V1576" s="2">
        <v>1</v>
      </c>
      <c r="W1576">
        <v>0</v>
      </c>
      <c r="X1576" t="s">
        <v>30</v>
      </c>
      <c r="Y1576">
        <v>0</v>
      </c>
      <c r="Z1576" t="s">
        <v>30</v>
      </c>
      <c r="AA1576">
        <v>0</v>
      </c>
      <c r="AB1576" t="s">
        <v>31</v>
      </c>
      <c r="AC1576">
        <v>0</v>
      </c>
      <c r="AD1576" t="s">
        <v>31</v>
      </c>
      <c r="AE1576">
        <v>0</v>
      </c>
      <c r="AF1576" t="s">
        <v>31</v>
      </c>
      <c r="AG1576">
        <v>0</v>
      </c>
      <c r="AH1576" t="s">
        <v>31</v>
      </c>
      <c r="AI1576">
        <v>0</v>
      </c>
      <c r="AJ1576" t="s">
        <v>31</v>
      </c>
      <c r="AK1576">
        <v>0</v>
      </c>
      <c r="AL1576" t="s">
        <v>31</v>
      </c>
      <c r="AM1576">
        <v>0</v>
      </c>
      <c r="AN1576" t="s">
        <v>31</v>
      </c>
      <c r="AO1576">
        <v>0</v>
      </c>
      <c r="AP1576" t="s">
        <v>31</v>
      </c>
      <c r="AQ1576">
        <v>0</v>
      </c>
    </row>
    <row r="1577" spans="1:43" x14ac:dyDescent="0.2">
      <c r="A1577" t="s">
        <v>381</v>
      </c>
      <c r="B1577" s="3">
        <v>44350</v>
      </c>
      <c r="C1577">
        <v>123</v>
      </c>
      <c r="D1577" t="s">
        <v>382</v>
      </c>
      <c r="E1577" t="s">
        <v>124</v>
      </c>
      <c r="F1577" s="9" t="s">
        <v>159</v>
      </c>
      <c r="G1577" t="s">
        <v>26</v>
      </c>
      <c r="H1577" t="s">
        <v>108</v>
      </c>
      <c r="I1577" t="s">
        <v>109</v>
      </c>
      <c r="J1577" t="s">
        <v>43</v>
      </c>
      <c r="K1577" t="s">
        <v>44</v>
      </c>
      <c r="L1577" t="s">
        <v>29</v>
      </c>
      <c r="M1577" t="s">
        <v>30</v>
      </c>
      <c r="N1577" t="s">
        <v>108</v>
      </c>
      <c r="O1577" t="s">
        <v>109</v>
      </c>
      <c r="P1577" t="s">
        <v>43</v>
      </c>
      <c r="Q1577" t="s">
        <v>44</v>
      </c>
      <c r="R1577" s="1">
        <v>44350.447650462964</v>
      </c>
      <c r="S1577" s="1">
        <v>44350.447650462964</v>
      </c>
      <c r="T1577">
        <v>1</v>
      </c>
      <c r="U1577">
        <v>1</v>
      </c>
      <c r="V1577" s="2">
        <v>1</v>
      </c>
      <c r="W1577">
        <v>0</v>
      </c>
      <c r="X1577" t="s">
        <v>30</v>
      </c>
      <c r="Y1577">
        <v>0</v>
      </c>
      <c r="Z1577" t="s">
        <v>31</v>
      </c>
      <c r="AA1577">
        <v>0</v>
      </c>
      <c r="AB1577" t="s">
        <v>31</v>
      </c>
      <c r="AC1577">
        <v>0</v>
      </c>
      <c r="AD1577" t="s">
        <v>31</v>
      </c>
      <c r="AE1577">
        <v>0</v>
      </c>
      <c r="AF1577" t="s">
        <v>31</v>
      </c>
      <c r="AG1577">
        <v>0</v>
      </c>
      <c r="AH1577" t="s">
        <v>31</v>
      </c>
      <c r="AI1577">
        <v>0</v>
      </c>
      <c r="AJ1577" t="s">
        <v>31</v>
      </c>
      <c r="AK1577">
        <v>0</v>
      </c>
      <c r="AL1577" t="s">
        <v>31</v>
      </c>
      <c r="AM1577">
        <v>0</v>
      </c>
      <c r="AN1577" t="s">
        <v>31</v>
      </c>
      <c r="AO1577">
        <v>0</v>
      </c>
      <c r="AP1577" t="s">
        <v>31</v>
      </c>
      <c r="AQ1577">
        <v>0</v>
      </c>
    </row>
    <row r="1578" spans="1:43" x14ac:dyDescent="0.2">
      <c r="A1578" t="s">
        <v>381</v>
      </c>
      <c r="B1578" s="3">
        <v>44357</v>
      </c>
      <c r="C1578">
        <v>132</v>
      </c>
      <c r="D1578" t="s">
        <v>399</v>
      </c>
      <c r="E1578" t="s">
        <v>124</v>
      </c>
      <c r="F1578" s="9" t="s">
        <v>159</v>
      </c>
      <c r="G1578" t="s">
        <v>26</v>
      </c>
      <c r="H1578" t="s">
        <v>108</v>
      </c>
      <c r="I1578" t="s">
        <v>109</v>
      </c>
      <c r="J1578" t="s">
        <v>43</v>
      </c>
      <c r="K1578" t="s">
        <v>44</v>
      </c>
      <c r="L1578" t="s">
        <v>29</v>
      </c>
      <c r="M1578" t="s">
        <v>30</v>
      </c>
      <c r="N1578" t="s">
        <v>108</v>
      </c>
      <c r="O1578" t="s">
        <v>109</v>
      </c>
      <c r="P1578" t="s">
        <v>43</v>
      </c>
      <c r="Q1578" t="s">
        <v>44</v>
      </c>
      <c r="R1578" s="1">
        <v>44357.467326388891</v>
      </c>
      <c r="S1578" s="1">
        <v>44357.467349537037</v>
      </c>
      <c r="T1578">
        <v>1</v>
      </c>
      <c r="U1578">
        <v>3</v>
      </c>
      <c r="V1578" s="2">
        <v>0.33</v>
      </c>
      <c r="W1578">
        <v>0</v>
      </c>
      <c r="X1578" t="s">
        <v>44</v>
      </c>
      <c r="Y1578">
        <v>0</v>
      </c>
      <c r="Z1578" t="s">
        <v>102</v>
      </c>
      <c r="AA1578">
        <v>0</v>
      </c>
      <c r="AB1578" t="s">
        <v>30</v>
      </c>
      <c r="AC1578">
        <v>0</v>
      </c>
      <c r="AD1578" t="s">
        <v>31</v>
      </c>
      <c r="AE1578">
        <v>0</v>
      </c>
      <c r="AF1578" t="s">
        <v>31</v>
      </c>
      <c r="AG1578">
        <v>0</v>
      </c>
      <c r="AH1578" t="s">
        <v>31</v>
      </c>
      <c r="AI1578">
        <v>0</v>
      </c>
      <c r="AJ1578" t="s">
        <v>31</v>
      </c>
      <c r="AK1578">
        <v>0</v>
      </c>
      <c r="AL1578" t="s">
        <v>31</v>
      </c>
      <c r="AM1578">
        <v>0</v>
      </c>
      <c r="AN1578" t="s">
        <v>31</v>
      </c>
      <c r="AO1578">
        <v>0</v>
      </c>
      <c r="AP1578" t="s">
        <v>31</v>
      </c>
      <c r="AQ1578">
        <v>0</v>
      </c>
    </row>
    <row r="1579" spans="1:43" x14ac:dyDescent="0.2">
      <c r="A1579" t="s">
        <v>381</v>
      </c>
      <c r="B1579" s="3">
        <v>44237</v>
      </c>
      <c r="C1579">
        <v>4</v>
      </c>
      <c r="D1579" t="s">
        <v>384</v>
      </c>
      <c r="E1579" t="s">
        <v>124</v>
      </c>
      <c r="F1579" s="9" t="s">
        <v>125</v>
      </c>
      <c r="G1579" t="s">
        <v>26</v>
      </c>
      <c r="H1579" t="s">
        <v>108</v>
      </c>
      <c r="I1579" t="s">
        <v>109</v>
      </c>
      <c r="J1579" t="s">
        <v>43</v>
      </c>
      <c r="K1579" t="s">
        <v>44</v>
      </c>
      <c r="L1579" t="s">
        <v>29</v>
      </c>
      <c r="M1579" t="s">
        <v>30</v>
      </c>
      <c r="N1579" t="s">
        <v>108</v>
      </c>
      <c r="O1579" t="s">
        <v>109</v>
      </c>
      <c r="P1579" t="s">
        <v>43</v>
      </c>
      <c r="Q1579" t="s">
        <v>44</v>
      </c>
      <c r="R1579" s="1">
        <v>44237.467430555553</v>
      </c>
      <c r="S1579" s="1">
        <v>44237.467430555553</v>
      </c>
      <c r="T1579">
        <v>1</v>
      </c>
      <c r="U1579">
        <v>1</v>
      </c>
      <c r="V1579" s="2">
        <v>1</v>
      </c>
      <c r="W1579">
        <v>0</v>
      </c>
      <c r="X1579" t="s">
        <v>30</v>
      </c>
      <c r="Y1579">
        <v>0</v>
      </c>
      <c r="Z1579" t="s">
        <v>31</v>
      </c>
      <c r="AA1579">
        <v>0</v>
      </c>
      <c r="AB1579" t="s">
        <v>31</v>
      </c>
      <c r="AC1579">
        <v>0</v>
      </c>
      <c r="AD1579" t="s">
        <v>31</v>
      </c>
      <c r="AE1579">
        <v>0</v>
      </c>
      <c r="AF1579" t="s">
        <v>31</v>
      </c>
      <c r="AG1579">
        <v>0</v>
      </c>
      <c r="AH1579" t="s">
        <v>31</v>
      </c>
      <c r="AI1579">
        <v>0</v>
      </c>
      <c r="AJ1579" t="s">
        <v>31</v>
      </c>
      <c r="AK1579">
        <v>0</v>
      </c>
      <c r="AL1579" t="s">
        <v>31</v>
      </c>
      <c r="AM1579">
        <v>0</v>
      </c>
      <c r="AN1579" t="s">
        <v>31</v>
      </c>
      <c r="AO1579">
        <v>0</v>
      </c>
      <c r="AP1579" t="s">
        <v>31</v>
      </c>
      <c r="AQ1579">
        <v>0</v>
      </c>
    </row>
    <row r="1580" spans="1:43" x14ac:dyDescent="0.2">
      <c r="A1580" t="s">
        <v>381</v>
      </c>
      <c r="B1580" s="3">
        <v>44350</v>
      </c>
      <c r="C1580">
        <v>123</v>
      </c>
      <c r="D1580" t="s">
        <v>382</v>
      </c>
      <c r="E1580" t="s">
        <v>124</v>
      </c>
      <c r="F1580" s="9" t="s">
        <v>125</v>
      </c>
      <c r="G1580" t="s">
        <v>26</v>
      </c>
      <c r="H1580" t="s">
        <v>108</v>
      </c>
      <c r="I1580" t="s">
        <v>109</v>
      </c>
      <c r="J1580" t="s">
        <v>43</v>
      </c>
      <c r="K1580" t="s">
        <v>44</v>
      </c>
      <c r="L1580" t="s">
        <v>29</v>
      </c>
      <c r="M1580" t="s">
        <v>30</v>
      </c>
      <c r="N1580" t="s">
        <v>108</v>
      </c>
      <c r="O1580" t="s">
        <v>109</v>
      </c>
      <c r="P1580" t="s">
        <v>43</v>
      </c>
      <c r="Q1580" t="s">
        <v>44</v>
      </c>
      <c r="R1580" s="1">
        <v>44350.447881944441</v>
      </c>
      <c r="S1580" s="1">
        <v>44350.447881944441</v>
      </c>
      <c r="T1580">
        <v>1</v>
      </c>
      <c r="U1580">
        <v>1</v>
      </c>
      <c r="V1580" s="2">
        <v>1</v>
      </c>
      <c r="W1580">
        <v>0</v>
      </c>
      <c r="X1580" t="s">
        <v>30</v>
      </c>
      <c r="Y1580">
        <v>0</v>
      </c>
      <c r="Z1580" t="s">
        <v>31</v>
      </c>
      <c r="AA1580">
        <v>0</v>
      </c>
      <c r="AB1580" t="s">
        <v>31</v>
      </c>
      <c r="AC1580">
        <v>0</v>
      </c>
      <c r="AD1580" t="s">
        <v>31</v>
      </c>
      <c r="AE1580">
        <v>0</v>
      </c>
      <c r="AF1580" t="s">
        <v>31</v>
      </c>
      <c r="AG1580">
        <v>0</v>
      </c>
      <c r="AH1580" t="s">
        <v>31</v>
      </c>
      <c r="AI1580">
        <v>0</v>
      </c>
      <c r="AJ1580" t="s">
        <v>31</v>
      </c>
      <c r="AK1580">
        <v>0</v>
      </c>
      <c r="AL1580" t="s">
        <v>31</v>
      </c>
      <c r="AM1580">
        <v>0</v>
      </c>
      <c r="AN1580" t="s">
        <v>31</v>
      </c>
      <c r="AO1580">
        <v>0</v>
      </c>
      <c r="AP1580" t="s">
        <v>31</v>
      </c>
      <c r="AQ1580">
        <v>0</v>
      </c>
    </row>
    <row r="1581" spans="1:43" x14ac:dyDescent="0.2">
      <c r="A1581" t="s">
        <v>381</v>
      </c>
      <c r="B1581" s="3">
        <v>44357</v>
      </c>
      <c r="C1581">
        <v>132</v>
      </c>
      <c r="D1581" t="s">
        <v>399</v>
      </c>
      <c r="E1581" t="s">
        <v>124</v>
      </c>
      <c r="F1581" s="9" t="s">
        <v>125</v>
      </c>
      <c r="G1581" t="s">
        <v>26</v>
      </c>
      <c r="H1581" t="s">
        <v>108</v>
      </c>
      <c r="I1581" t="s">
        <v>109</v>
      </c>
      <c r="J1581" t="s">
        <v>43</v>
      </c>
      <c r="K1581" t="s">
        <v>44</v>
      </c>
      <c r="L1581" t="s">
        <v>29</v>
      </c>
      <c r="M1581" t="s">
        <v>30</v>
      </c>
      <c r="N1581" t="s">
        <v>99</v>
      </c>
      <c r="O1581" t="s">
        <v>100</v>
      </c>
      <c r="P1581" t="s">
        <v>43</v>
      </c>
      <c r="Q1581" t="s">
        <v>44</v>
      </c>
      <c r="R1581" s="1">
        <v>44357.449166666665</v>
      </c>
      <c r="S1581" s="1">
        <v>44357.449166666665</v>
      </c>
      <c r="T1581">
        <v>1</v>
      </c>
      <c r="U1581">
        <v>1</v>
      </c>
      <c r="V1581" s="2">
        <v>1</v>
      </c>
      <c r="W1581">
        <v>0</v>
      </c>
      <c r="X1581" t="s">
        <v>30</v>
      </c>
      <c r="Y1581">
        <v>0</v>
      </c>
      <c r="Z1581" t="s">
        <v>31</v>
      </c>
      <c r="AA1581">
        <v>0</v>
      </c>
      <c r="AB1581" t="s">
        <v>31</v>
      </c>
      <c r="AC1581">
        <v>0</v>
      </c>
      <c r="AD1581" t="s">
        <v>31</v>
      </c>
      <c r="AE1581">
        <v>0</v>
      </c>
      <c r="AF1581" t="s">
        <v>31</v>
      </c>
      <c r="AG1581">
        <v>0</v>
      </c>
      <c r="AH1581" t="s">
        <v>31</v>
      </c>
      <c r="AI1581">
        <v>0</v>
      </c>
      <c r="AJ1581" t="s">
        <v>31</v>
      </c>
      <c r="AK1581">
        <v>0</v>
      </c>
      <c r="AL1581" t="s">
        <v>31</v>
      </c>
      <c r="AM1581">
        <v>0</v>
      </c>
      <c r="AN1581" t="s">
        <v>31</v>
      </c>
      <c r="AO1581">
        <v>0</v>
      </c>
      <c r="AP1581" t="s">
        <v>31</v>
      </c>
      <c r="AQ1581">
        <v>0</v>
      </c>
    </row>
    <row r="1582" spans="1:43" x14ac:dyDescent="0.2">
      <c r="A1582" t="s">
        <v>381</v>
      </c>
      <c r="B1582" s="3">
        <v>44375</v>
      </c>
      <c r="C1582">
        <v>141</v>
      </c>
      <c r="D1582" t="s">
        <v>396</v>
      </c>
      <c r="E1582" t="s">
        <v>124</v>
      </c>
      <c r="F1582" s="9" t="s">
        <v>125</v>
      </c>
      <c r="G1582" t="s">
        <v>26</v>
      </c>
      <c r="H1582" t="s">
        <v>99</v>
      </c>
      <c r="I1582" t="s">
        <v>100</v>
      </c>
      <c r="J1582" t="s">
        <v>43</v>
      </c>
      <c r="K1582" t="s">
        <v>44</v>
      </c>
      <c r="L1582" t="s">
        <v>29</v>
      </c>
      <c r="M1582" t="s">
        <v>30</v>
      </c>
      <c r="N1582" t="s">
        <v>99</v>
      </c>
      <c r="O1582" t="s">
        <v>100</v>
      </c>
      <c r="P1582" t="s">
        <v>43</v>
      </c>
      <c r="Q1582" t="s">
        <v>44</v>
      </c>
      <c r="R1582" s="1">
        <v>44375.651145833333</v>
      </c>
      <c r="S1582" s="1">
        <v>44375.651145833333</v>
      </c>
      <c r="T1582">
        <v>1</v>
      </c>
      <c r="U1582">
        <v>1</v>
      </c>
      <c r="V1582" s="2">
        <v>1</v>
      </c>
      <c r="W1582">
        <v>0</v>
      </c>
      <c r="X1582" t="s">
        <v>30</v>
      </c>
      <c r="Y1582">
        <v>0</v>
      </c>
      <c r="Z1582" t="s">
        <v>31</v>
      </c>
      <c r="AA1582">
        <v>0</v>
      </c>
      <c r="AB1582" t="s">
        <v>31</v>
      </c>
      <c r="AC1582">
        <v>0</v>
      </c>
      <c r="AD1582" t="s">
        <v>31</v>
      </c>
      <c r="AE1582">
        <v>0</v>
      </c>
      <c r="AF1582" t="s">
        <v>31</v>
      </c>
      <c r="AG1582">
        <v>0</v>
      </c>
      <c r="AH1582" t="s">
        <v>31</v>
      </c>
      <c r="AI1582">
        <v>0</v>
      </c>
      <c r="AJ1582" t="s">
        <v>31</v>
      </c>
      <c r="AK1582">
        <v>0</v>
      </c>
      <c r="AL1582" t="s">
        <v>31</v>
      </c>
      <c r="AM1582">
        <v>0</v>
      </c>
      <c r="AN1582" t="s">
        <v>31</v>
      </c>
      <c r="AO1582">
        <v>0</v>
      </c>
      <c r="AP1582" t="s">
        <v>31</v>
      </c>
      <c r="AQ1582">
        <v>0</v>
      </c>
    </row>
    <row r="1583" spans="1:43" x14ac:dyDescent="0.2">
      <c r="A1583" t="s">
        <v>381</v>
      </c>
      <c r="B1583" s="3">
        <v>44350</v>
      </c>
      <c r="C1583">
        <v>123</v>
      </c>
      <c r="D1583" t="s">
        <v>382</v>
      </c>
      <c r="E1583" t="s">
        <v>124</v>
      </c>
      <c r="F1583" s="9" t="s">
        <v>251</v>
      </c>
      <c r="G1583" t="s">
        <v>26</v>
      </c>
      <c r="H1583" t="s">
        <v>108</v>
      </c>
      <c r="I1583" t="s">
        <v>109</v>
      </c>
      <c r="J1583" t="s">
        <v>29</v>
      </c>
      <c r="K1583" t="s">
        <v>30</v>
      </c>
      <c r="L1583" t="s">
        <v>29</v>
      </c>
      <c r="M1583" t="s">
        <v>30</v>
      </c>
      <c r="N1583" t="s">
        <v>99</v>
      </c>
      <c r="O1583" t="s">
        <v>100</v>
      </c>
      <c r="P1583" t="s">
        <v>43</v>
      </c>
      <c r="Q1583" t="s">
        <v>44</v>
      </c>
      <c r="R1583" s="1">
        <v>44350.448171296295</v>
      </c>
      <c r="S1583" s="1">
        <v>44350.448171296295</v>
      </c>
      <c r="T1583">
        <v>1</v>
      </c>
      <c r="U1583">
        <v>1</v>
      </c>
      <c r="V1583" s="2">
        <v>1</v>
      </c>
      <c r="W1583">
        <v>0</v>
      </c>
      <c r="X1583" t="s">
        <v>30</v>
      </c>
      <c r="Y1583">
        <v>0</v>
      </c>
      <c r="Z1583" t="s">
        <v>31</v>
      </c>
      <c r="AA1583">
        <v>0</v>
      </c>
      <c r="AB1583" t="s">
        <v>31</v>
      </c>
      <c r="AC1583">
        <v>0</v>
      </c>
      <c r="AD1583" t="s">
        <v>31</v>
      </c>
      <c r="AE1583">
        <v>0</v>
      </c>
      <c r="AF1583" t="s">
        <v>31</v>
      </c>
      <c r="AG1583">
        <v>0</v>
      </c>
      <c r="AH1583" t="s">
        <v>31</v>
      </c>
      <c r="AI1583">
        <v>0</v>
      </c>
      <c r="AJ1583" t="s">
        <v>31</v>
      </c>
      <c r="AK1583">
        <v>0</v>
      </c>
      <c r="AL1583" t="s">
        <v>31</v>
      </c>
      <c r="AM1583">
        <v>0</v>
      </c>
      <c r="AN1583" t="s">
        <v>31</v>
      </c>
      <c r="AO1583">
        <v>0</v>
      </c>
      <c r="AP1583" t="s">
        <v>31</v>
      </c>
      <c r="AQ1583">
        <v>0</v>
      </c>
    </row>
    <row r="1584" spans="1:43" x14ac:dyDescent="0.2">
      <c r="A1584" t="s">
        <v>381</v>
      </c>
      <c r="B1584" s="3">
        <v>44350</v>
      </c>
      <c r="C1584">
        <v>123</v>
      </c>
      <c r="D1584" t="s">
        <v>382</v>
      </c>
      <c r="E1584" t="s">
        <v>124</v>
      </c>
      <c r="F1584" s="9" t="s">
        <v>252</v>
      </c>
      <c r="G1584" t="s">
        <v>26</v>
      </c>
      <c r="H1584" t="s">
        <v>200</v>
      </c>
      <c r="I1584" t="s">
        <v>201</v>
      </c>
      <c r="J1584" t="s">
        <v>43</v>
      </c>
      <c r="K1584" t="s">
        <v>44</v>
      </c>
      <c r="L1584" t="s">
        <v>29</v>
      </c>
      <c r="M1584" t="s">
        <v>30</v>
      </c>
      <c r="N1584" t="s">
        <v>200</v>
      </c>
      <c r="O1584" t="s">
        <v>201</v>
      </c>
      <c r="P1584" t="s">
        <v>43</v>
      </c>
      <c r="Q1584" t="s">
        <v>44</v>
      </c>
      <c r="R1584" s="1">
        <v>44350.43241898148</v>
      </c>
      <c r="S1584" s="1">
        <v>44350.43241898148</v>
      </c>
      <c r="T1584">
        <v>1</v>
      </c>
      <c r="U1584">
        <v>1</v>
      </c>
      <c r="V1584" s="2">
        <v>1</v>
      </c>
      <c r="W1584">
        <v>0</v>
      </c>
      <c r="X1584" t="s">
        <v>30</v>
      </c>
      <c r="Y1584">
        <v>0</v>
      </c>
      <c r="Z1584" t="s">
        <v>31</v>
      </c>
      <c r="AA1584">
        <v>0</v>
      </c>
      <c r="AB1584" t="s">
        <v>31</v>
      </c>
      <c r="AC1584">
        <v>0</v>
      </c>
      <c r="AD1584" t="s">
        <v>31</v>
      </c>
      <c r="AE1584">
        <v>0</v>
      </c>
      <c r="AF1584" t="s">
        <v>31</v>
      </c>
      <c r="AG1584">
        <v>0</v>
      </c>
      <c r="AH1584" t="s">
        <v>31</v>
      </c>
      <c r="AI1584">
        <v>0</v>
      </c>
      <c r="AJ1584" t="s">
        <v>31</v>
      </c>
      <c r="AK1584">
        <v>0</v>
      </c>
      <c r="AL1584" t="s">
        <v>31</v>
      </c>
      <c r="AM1584">
        <v>0</v>
      </c>
      <c r="AN1584" t="s">
        <v>31</v>
      </c>
      <c r="AO1584">
        <v>0</v>
      </c>
      <c r="AP1584" t="s">
        <v>31</v>
      </c>
      <c r="AQ1584">
        <v>0</v>
      </c>
    </row>
    <row r="1585" spans="1:43" x14ac:dyDescent="0.2">
      <c r="A1585" t="s">
        <v>381</v>
      </c>
      <c r="B1585" s="3">
        <v>44245</v>
      </c>
      <c r="C1585">
        <v>12</v>
      </c>
      <c r="D1585" t="s">
        <v>382</v>
      </c>
      <c r="E1585" t="s">
        <v>124</v>
      </c>
      <c r="F1585" s="9" t="s">
        <v>182</v>
      </c>
      <c r="G1585" t="s">
        <v>26</v>
      </c>
      <c r="H1585" t="s">
        <v>51</v>
      </c>
      <c r="I1585" t="s">
        <v>52</v>
      </c>
      <c r="J1585" t="s">
        <v>29</v>
      </c>
      <c r="K1585" t="s">
        <v>30</v>
      </c>
      <c r="L1585" t="s">
        <v>29</v>
      </c>
      <c r="M1585" t="s">
        <v>30</v>
      </c>
      <c r="N1585" t="s">
        <v>51</v>
      </c>
      <c r="O1585" t="s">
        <v>52</v>
      </c>
      <c r="P1585" t="s">
        <v>29</v>
      </c>
      <c r="Q1585" t="s">
        <v>30</v>
      </c>
      <c r="R1585" s="1">
        <v>44245.38962962963</v>
      </c>
      <c r="S1585" s="1">
        <v>44245.389907407407</v>
      </c>
      <c r="T1585">
        <v>0</v>
      </c>
      <c r="U1585">
        <v>3</v>
      </c>
      <c r="V1585" s="2">
        <v>0</v>
      </c>
      <c r="W1585">
        <v>0</v>
      </c>
      <c r="X1585" t="s">
        <v>44</v>
      </c>
      <c r="Y1585">
        <v>0</v>
      </c>
      <c r="Z1585" t="s">
        <v>44</v>
      </c>
      <c r="AA1585">
        <v>0</v>
      </c>
      <c r="AB1585" t="s">
        <v>183</v>
      </c>
      <c r="AC1585">
        <v>0</v>
      </c>
      <c r="AD1585" t="s">
        <v>31</v>
      </c>
      <c r="AE1585">
        <v>0</v>
      </c>
      <c r="AF1585" t="s">
        <v>31</v>
      </c>
      <c r="AG1585">
        <v>0</v>
      </c>
      <c r="AH1585" t="s">
        <v>31</v>
      </c>
      <c r="AI1585">
        <v>0</v>
      </c>
      <c r="AJ1585" t="s">
        <v>31</v>
      </c>
      <c r="AK1585">
        <v>0</v>
      </c>
      <c r="AL1585" t="s">
        <v>31</v>
      </c>
      <c r="AM1585">
        <v>0</v>
      </c>
      <c r="AN1585" t="s">
        <v>31</v>
      </c>
      <c r="AO1585">
        <v>0</v>
      </c>
      <c r="AP1585" t="s">
        <v>31</v>
      </c>
      <c r="AQ1585">
        <v>0</v>
      </c>
    </row>
    <row r="1586" spans="1:43" x14ac:dyDescent="0.2">
      <c r="A1586" t="s">
        <v>381</v>
      </c>
      <c r="B1586" s="3">
        <v>44250</v>
      </c>
      <c r="C1586">
        <v>16</v>
      </c>
      <c r="D1586" t="s">
        <v>382</v>
      </c>
      <c r="E1586" t="s">
        <v>124</v>
      </c>
      <c r="F1586" s="9" t="s">
        <v>182</v>
      </c>
      <c r="G1586" t="s">
        <v>26</v>
      </c>
      <c r="H1586" t="s">
        <v>51</v>
      </c>
      <c r="I1586" t="s">
        <v>52</v>
      </c>
      <c r="J1586" t="s">
        <v>29</v>
      </c>
      <c r="K1586" t="s">
        <v>30</v>
      </c>
      <c r="L1586" t="s">
        <v>29</v>
      </c>
      <c r="M1586" t="s">
        <v>30</v>
      </c>
      <c r="N1586" t="s">
        <v>51</v>
      </c>
      <c r="O1586" t="s">
        <v>52</v>
      </c>
      <c r="P1586" t="s">
        <v>29</v>
      </c>
      <c r="Q1586" t="s">
        <v>30</v>
      </c>
      <c r="R1586" s="1">
        <v>44250.462407407409</v>
      </c>
      <c r="S1586" s="1">
        <v>44250.462407407409</v>
      </c>
      <c r="T1586">
        <v>1</v>
      </c>
      <c r="U1586">
        <v>1</v>
      </c>
      <c r="V1586" s="2">
        <v>1</v>
      </c>
      <c r="W1586">
        <v>0</v>
      </c>
      <c r="X1586" t="s">
        <v>30</v>
      </c>
      <c r="Y1586">
        <v>0</v>
      </c>
      <c r="Z1586" t="s">
        <v>31</v>
      </c>
      <c r="AA1586">
        <v>0</v>
      </c>
      <c r="AB1586" t="s">
        <v>31</v>
      </c>
      <c r="AC1586">
        <v>0</v>
      </c>
      <c r="AD1586" t="s">
        <v>31</v>
      </c>
      <c r="AE1586">
        <v>0</v>
      </c>
      <c r="AF1586" t="s">
        <v>31</v>
      </c>
      <c r="AG1586">
        <v>0</v>
      </c>
      <c r="AH1586" t="s">
        <v>31</v>
      </c>
      <c r="AI1586">
        <v>0</v>
      </c>
      <c r="AJ1586" t="s">
        <v>31</v>
      </c>
      <c r="AK1586">
        <v>0</v>
      </c>
      <c r="AL1586" t="s">
        <v>31</v>
      </c>
      <c r="AM1586">
        <v>0</v>
      </c>
      <c r="AN1586" t="s">
        <v>31</v>
      </c>
      <c r="AO1586">
        <v>0</v>
      </c>
      <c r="AP1586" t="s">
        <v>31</v>
      </c>
      <c r="AQ1586">
        <v>0</v>
      </c>
    </row>
    <row r="1587" spans="1:43" x14ac:dyDescent="0.2">
      <c r="A1587" t="s">
        <v>381</v>
      </c>
      <c r="B1587" s="3">
        <v>44253</v>
      </c>
      <c r="C1587">
        <v>21</v>
      </c>
      <c r="D1587" t="s">
        <v>384</v>
      </c>
      <c r="E1587" t="s">
        <v>124</v>
      </c>
      <c r="F1587" s="9" t="s">
        <v>182</v>
      </c>
      <c r="G1587" t="s">
        <v>26</v>
      </c>
      <c r="H1587" t="s">
        <v>51</v>
      </c>
      <c r="I1587" t="s">
        <v>52</v>
      </c>
      <c r="J1587" t="s">
        <v>29</v>
      </c>
      <c r="K1587" t="s">
        <v>30</v>
      </c>
      <c r="L1587" t="s">
        <v>29</v>
      </c>
      <c r="M1587" t="s">
        <v>30</v>
      </c>
      <c r="N1587" t="s">
        <v>51</v>
      </c>
      <c r="O1587" t="s">
        <v>52</v>
      </c>
      <c r="P1587" t="s">
        <v>29</v>
      </c>
      <c r="Q1587" t="s">
        <v>30</v>
      </c>
      <c r="R1587" s="1">
        <v>44253.388749999998</v>
      </c>
      <c r="S1587" s="1">
        <v>44253.388749999998</v>
      </c>
      <c r="T1587">
        <v>1</v>
      </c>
      <c r="U1587">
        <v>1</v>
      </c>
      <c r="V1587" s="2">
        <v>1</v>
      </c>
      <c r="W1587">
        <v>0</v>
      </c>
      <c r="X1587" t="s">
        <v>30</v>
      </c>
      <c r="Y1587">
        <v>0</v>
      </c>
      <c r="Z1587" t="s">
        <v>31</v>
      </c>
      <c r="AA1587">
        <v>0</v>
      </c>
      <c r="AB1587" t="s">
        <v>31</v>
      </c>
      <c r="AC1587">
        <v>0</v>
      </c>
      <c r="AD1587" t="s">
        <v>31</v>
      </c>
      <c r="AE1587">
        <v>0</v>
      </c>
      <c r="AF1587" t="s">
        <v>31</v>
      </c>
      <c r="AG1587">
        <v>0</v>
      </c>
      <c r="AH1587" t="s">
        <v>31</v>
      </c>
      <c r="AI1587">
        <v>0</v>
      </c>
      <c r="AJ1587" t="s">
        <v>31</v>
      </c>
      <c r="AK1587">
        <v>0</v>
      </c>
      <c r="AL1587" t="s">
        <v>31</v>
      </c>
      <c r="AM1587">
        <v>0</v>
      </c>
      <c r="AN1587" t="s">
        <v>31</v>
      </c>
      <c r="AO1587">
        <v>0</v>
      </c>
      <c r="AP1587" t="s">
        <v>31</v>
      </c>
      <c r="AQ1587">
        <v>0</v>
      </c>
    </row>
    <row r="1588" spans="1:43" x14ac:dyDescent="0.2">
      <c r="A1588" t="s">
        <v>381</v>
      </c>
      <c r="B1588" s="3">
        <v>44259</v>
      </c>
      <c r="C1588">
        <v>26</v>
      </c>
      <c r="D1588" t="s">
        <v>382</v>
      </c>
      <c r="E1588" t="s">
        <v>124</v>
      </c>
      <c r="F1588" s="9" t="s">
        <v>182</v>
      </c>
      <c r="G1588" t="s">
        <v>26</v>
      </c>
      <c r="H1588" t="s">
        <v>51</v>
      </c>
      <c r="I1588" t="s">
        <v>52</v>
      </c>
      <c r="J1588" t="s">
        <v>29</v>
      </c>
      <c r="K1588" t="s">
        <v>30</v>
      </c>
      <c r="L1588" t="s">
        <v>29</v>
      </c>
      <c r="M1588" t="s">
        <v>30</v>
      </c>
      <c r="N1588" t="s">
        <v>51</v>
      </c>
      <c r="O1588" t="s">
        <v>52</v>
      </c>
      <c r="P1588" t="s">
        <v>29</v>
      </c>
      <c r="Q1588" t="s">
        <v>30</v>
      </c>
      <c r="R1588" s="1">
        <v>44259.452511574076</v>
      </c>
      <c r="S1588" s="1">
        <v>44259.452939814815</v>
      </c>
      <c r="T1588">
        <v>0</v>
      </c>
      <c r="U1588">
        <v>3</v>
      </c>
      <c r="V1588" s="2">
        <v>0</v>
      </c>
      <c r="W1588">
        <v>0</v>
      </c>
      <c r="X1588" t="s">
        <v>44</v>
      </c>
      <c r="Y1588">
        <v>0</v>
      </c>
      <c r="Z1588" t="s">
        <v>44</v>
      </c>
      <c r="AA1588">
        <v>0</v>
      </c>
      <c r="AB1588" t="s">
        <v>183</v>
      </c>
      <c r="AC1588">
        <v>0</v>
      </c>
      <c r="AD1588" t="s">
        <v>31</v>
      </c>
      <c r="AE1588">
        <v>0</v>
      </c>
      <c r="AF1588" t="s">
        <v>31</v>
      </c>
      <c r="AG1588">
        <v>0</v>
      </c>
      <c r="AH1588" t="s">
        <v>31</v>
      </c>
      <c r="AI1588">
        <v>0</v>
      </c>
      <c r="AJ1588" t="s">
        <v>31</v>
      </c>
      <c r="AK1588">
        <v>0</v>
      </c>
      <c r="AL1588" t="s">
        <v>31</v>
      </c>
      <c r="AM1588">
        <v>0</v>
      </c>
      <c r="AN1588" t="s">
        <v>31</v>
      </c>
      <c r="AO1588">
        <v>0</v>
      </c>
      <c r="AP1588" t="s">
        <v>31</v>
      </c>
      <c r="AQ1588">
        <v>0</v>
      </c>
    </row>
    <row r="1589" spans="1:43" x14ac:dyDescent="0.2">
      <c r="A1589" t="s">
        <v>381</v>
      </c>
      <c r="B1589" s="3">
        <v>44260</v>
      </c>
      <c r="C1589">
        <v>28</v>
      </c>
      <c r="D1589" t="s">
        <v>384</v>
      </c>
      <c r="E1589" t="s">
        <v>124</v>
      </c>
      <c r="F1589" s="9" t="s">
        <v>182</v>
      </c>
      <c r="G1589" t="s">
        <v>26</v>
      </c>
      <c r="H1589" t="s">
        <v>51</v>
      </c>
      <c r="I1589" t="s">
        <v>52</v>
      </c>
      <c r="J1589" t="s">
        <v>29</v>
      </c>
      <c r="K1589" t="s">
        <v>30</v>
      </c>
      <c r="L1589" t="s">
        <v>29</v>
      </c>
      <c r="M1589" t="s">
        <v>30</v>
      </c>
      <c r="N1589" t="s">
        <v>51</v>
      </c>
      <c r="O1589" t="s">
        <v>52</v>
      </c>
      <c r="P1589" t="s">
        <v>29</v>
      </c>
      <c r="Q1589" t="s">
        <v>30</v>
      </c>
      <c r="R1589" s="1">
        <v>44260.456863425927</v>
      </c>
      <c r="S1589" s="1">
        <v>44260.456863425927</v>
      </c>
      <c r="T1589">
        <v>1</v>
      </c>
      <c r="U1589">
        <v>1</v>
      </c>
      <c r="V1589" s="2">
        <v>1</v>
      </c>
      <c r="W1589">
        <v>0</v>
      </c>
      <c r="X1589" t="s">
        <v>30</v>
      </c>
      <c r="Y1589">
        <v>0</v>
      </c>
      <c r="Z1589" t="s">
        <v>31</v>
      </c>
      <c r="AA1589">
        <v>0</v>
      </c>
      <c r="AB1589" t="s">
        <v>31</v>
      </c>
      <c r="AC1589">
        <v>0</v>
      </c>
      <c r="AD1589" t="s">
        <v>31</v>
      </c>
      <c r="AE1589">
        <v>0</v>
      </c>
      <c r="AF1589" t="s">
        <v>31</v>
      </c>
      <c r="AG1589">
        <v>0</v>
      </c>
      <c r="AH1589" t="s">
        <v>31</v>
      </c>
      <c r="AI1589">
        <v>0</v>
      </c>
      <c r="AJ1589" t="s">
        <v>31</v>
      </c>
      <c r="AK1589">
        <v>0</v>
      </c>
      <c r="AL1589" t="s">
        <v>31</v>
      </c>
      <c r="AM1589">
        <v>0</v>
      </c>
      <c r="AN1589" t="s">
        <v>31</v>
      </c>
      <c r="AO1589">
        <v>0</v>
      </c>
      <c r="AP1589" t="s">
        <v>31</v>
      </c>
      <c r="AQ1589">
        <v>0</v>
      </c>
    </row>
    <row r="1590" spans="1:43" x14ac:dyDescent="0.2">
      <c r="A1590" t="s">
        <v>381</v>
      </c>
      <c r="B1590" s="3">
        <v>44263</v>
      </c>
      <c r="C1590">
        <v>29</v>
      </c>
      <c r="D1590" t="s">
        <v>384</v>
      </c>
      <c r="E1590" t="s">
        <v>124</v>
      </c>
      <c r="F1590" s="9" t="s">
        <v>182</v>
      </c>
      <c r="G1590" t="s">
        <v>26</v>
      </c>
      <c r="H1590" t="s">
        <v>51</v>
      </c>
      <c r="I1590" t="s">
        <v>52</v>
      </c>
      <c r="J1590" t="s">
        <v>29</v>
      </c>
      <c r="K1590" t="s">
        <v>30</v>
      </c>
      <c r="L1590" t="s">
        <v>29</v>
      </c>
      <c r="M1590" t="s">
        <v>30</v>
      </c>
      <c r="N1590" t="s">
        <v>51</v>
      </c>
      <c r="O1590" t="s">
        <v>52</v>
      </c>
      <c r="P1590" t="s">
        <v>29</v>
      </c>
      <c r="Q1590" t="s">
        <v>30</v>
      </c>
      <c r="R1590" s="1">
        <v>44263.412256944444</v>
      </c>
      <c r="S1590" s="1">
        <v>44263.412256944444</v>
      </c>
      <c r="T1590">
        <v>1</v>
      </c>
      <c r="U1590">
        <v>1</v>
      </c>
      <c r="V1590" s="2">
        <v>1</v>
      </c>
      <c r="W1590">
        <v>0</v>
      </c>
      <c r="X1590" t="s">
        <v>30</v>
      </c>
      <c r="Y1590">
        <v>0</v>
      </c>
      <c r="Z1590" t="s">
        <v>31</v>
      </c>
      <c r="AA1590">
        <v>0</v>
      </c>
      <c r="AB1590" t="s">
        <v>31</v>
      </c>
      <c r="AC1590">
        <v>0</v>
      </c>
      <c r="AD1590" t="s">
        <v>31</v>
      </c>
      <c r="AE1590">
        <v>0</v>
      </c>
      <c r="AF1590" t="s">
        <v>31</v>
      </c>
      <c r="AG1590">
        <v>0</v>
      </c>
      <c r="AH1590" t="s">
        <v>31</v>
      </c>
      <c r="AI1590">
        <v>0</v>
      </c>
      <c r="AJ1590" t="s">
        <v>31</v>
      </c>
      <c r="AK1590">
        <v>0</v>
      </c>
      <c r="AL1590" t="s">
        <v>31</v>
      </c>
      <c r="AM1590">
        <v>0</v>
      </c>
      <c r="AN1590" t="s">
        <v>31</v>
      </c>
      <c r="AO1590">
        <v>0</v>
      </c>
      <c r="AP1590" t="s">
        <v>31</v>
      </c>
      <c r="AQ1590">
        <v>0</v>
      </c>
    </row>
    <row r="1591" spans="1:43" x14ac:dyDescent="0.2">
      <c r="A1591" t="s">
        <v>381</v>
      </c>
      <c r="B1591" s="3">
        <v>44264</v>
      </c>
      <c r="C1591">
        <v>30</v>
      </c>
      <c r="D1591" t="s">
        <v>382</v>
      </c>
      <c r="E1591" t="s">
        <v>124</v>
      </c>
      <c r="F1591" s="9" t="s">
        <v>182</v>
      </c>
      <c r="G1591" t="s">
        <v>26</v>
      </c>
      <c r="H1591" t="s">
        <v>51</v>
      </c>
      <c r="I1591" t="s">
        <v>52</v>
      </c>
      <c r="J1591" t="s">
        <v>29</v>
      </c>
      <c r="K1591" t="s">
        <v>30</v>
      </c>
      <c r="L1591" t="s">
        <v>29</v>
      </c>
      <c r="M1591" t="s">
        <v>30</v>
      </c>
      <c r="N1591" t="s">
        <v>51</v>
      </c>
      <c r="O1591" t="s">
        <v>52</v>
      </c>
      <c r="P1591" t="s">
        <v>29</v>
      </c>
      <c r="Q1591" t="s">
        <v>30</v>
      </c>
      <c r="R1591" s="1">
        <v>44264.457106481481</v>
      </c>
      <c r="S1591" s="1">
        <v>44264.457106481481</v>
      </c>
      <c r="T1591">
        <v>1</v>
      </c>
      <c r="U1591">
        <v>1</v>
      </c>
      <c r="V1591" s="2">
        <v>1</v>
      </c>
      <c r="W1591">
        <v>0</v>
      </c>
      <c r="X1591" t="s">
        <v>30</v>
      </c>
      <c r="Y1591">
        <v>0</v>
      </c>
      <c r="Z1591" t="s">
        <v>31</v>
      </c>
      <c r="AA1591">
        <v>0</v>
      </c>
      <c r="AB1591" t="s">
        <v>31</v>
      </c>
      <c r="AC1591">
        <v>0</v>
      </c>
      <c r="AD1591" t="s">
        <v>31</v>
      </c>
      <c r="AE1591">
        <v>0</v>
      </c>
      <c r="AF1591" t="s">
        <v>31</v>
      </c>
      <c r="AG1591">
        <v>0</v>
      </c>
      <c r="AH1591" t="s">
        <v>31</v>
      </c>
      <c r="AI1591">
        <v>0</v>
      </c>
      <c r="AJ1591" t="s">
        <v>31</v>
      </c>
      <c r="AK1591">
        <v>0</v>
      </c>
      <c r="AL1591" t="s">
        <v>31</v>
      </c>
      <c r="AM1591">
        <v>0</v>
      </c>
      <c r="AN1591" t="s">
        <v>31</v>
      </c>
      <c r="AO1591">
        <v>0</v>
      </c>
      <c r="AP1591" t="s">
        <v>31</v>
      </c>
      <c r="AQ1591">
        <v>0</v>
      </c>
    </row>
    <row r="1592" spans="1:43" x14ac:dyDescent="0.2">
      <c r="A1592" t="s">
        <v>381</v>
      </c>
      <c r="B1592" s="3">
        <v>44270</v>
      </c>
      <c r="C1592">
        <v>35</v>
      </c>
      <c r="D1592" t="s">
        <v>384</v>
      </c>
      <c r="E1592" t="s">
        <v>124</v>
      </c>
      <c r="F1592" s="9" t="s">
        <v>182</v>
      </c>
      <c r="G1592" t="s">
        <v>26</v>
      </c>
      <c r="H1592" t="s">
        <v>51</v>
      </c>
      <c r="I1592" t="s">
        <v>52</v>
      </c>
      <c r="J1592" t="s">
        <v>29</v>
      </c>
      <c r="K1592" t="s">
        <v>30</v>
      </c>
      <c r="L1592" t="s">
        <v>29</v>
      </c>
      <c r="M1592" t="s">
        <v>30</v>
      </c>
      <c r="N1592" t="s">
        <v>51</v>
      </c>
      <c r="O1592" t="s">
        <v>52</v>
      </c>
      <c r="P1592" t="s">
        <v>29</v>
      </c>
      <c r="Q1592" t="s">
        <v>30</v>
      </c>
      <c r="R1592" s="1">
        <v>44270.434976851851</v>
      </c>
      <c r="S1592" s="1">
        <v>44270.434976851851</v>
      </c>
      <c r="T1592">
        <v>1</v>
      </c>
      <c r="U1592">
        <v>1</v>
      </c>
      <c r="V1592" s="2">
        <v>1</v>
      </c>
      <c r="W1592">
        <v>0</v>
      </c>
      <c r="X1592" t="s">
        <v>30</v>
      </c>
      <c r="Y1592">
        <v>0</v>
      </c>
      <c r="Z1592" t="s">
        <v>31</v>
      </c>
      <c r="AA1592">
        <v>0</v>
      </c>
      <c r="AB1592" t="s">
        <v>31</v>
      </c>
      <c r="AC1592">
        <v>0</v>
      </c>
      <c r="AD1592" t="s">
        <v>31</v>
      </c>
      <c r="AE1592">
        <v>0</v>
      </c>
      <c r="AF1592" t="s">
        <v>31</v>
      </c>
      <c r="AG1592">
        <v>0</v>
      </c>
      <c r="AH1592" t="s">
        <v>31</v>
      </c>
      <c r="AI1592">
        <v>0</v>
      </c>
      <c r="AJ1592" t="s">
        <v>31</v>
      </c>
      <c r="AK1592">
        <v>0</v>
      </c>
      <c r="AL1592" t="s">
        <v>31</v>
      </c>
      <c r="AM1592">
        <v>0</v>
      </c>
      <c r="AN1592" t="s">
        <v>31</v>
      </c>
      <c r="AO1592">
        <v>0</v>
      </c>
      <c r="AP1592" t="s">
        <v>31</v>
      </c>
      <c r="AQ1592">
        <v>0</v>
      </c>
    </row>
    <row r="1593" spans="1:43" x14ac:dyDescent="0.2">
      <c r="A1593" t="s">
        <v>381</v>
      </c>
      <c r="B1593" s="3">
        <v>44284</v>
      </c>
      <c r="C1593">
        <v>43</v>
      </c>
      <c r="D1593" t="s">
        <v>384</v>
      </c>
      <c r="E1593" t="s">
        <v>124</v>
      </c>
      <c r="F1593" s="9" t="s">
        <v>182</v>
      </c>
      <c r="G1593" t="s">
        <v>26</v>
      </c>
      <c r="H1593" t="s">
        <v>51</v>
      </c>
      <c r="I1593" t="s">
        <v>52</v>
      </c>
      <c r="J1593" t="s">
        <v>29</v>
      </c>
      <c r="K1593" t="s">
        <v>30</v>
      </c>
      <c r="L1593" t="s">
        <v>29</v>
      </c>
      <c r="M1593" t="s">
        <v>30</v>
      </c>
      <c r="N1593" t="s">
        <v>51</v>
      </c>
      <c r="O1593" t="s">
        <v>52</v>
      </c>
      <c r="P1593" t="s">
        <v>29</v>
      </c>
      <c r="Q1593" t="s">
        <v>30</v>
      </c>
      <c r="R1593" s="1">
        <v>44284.428888888891</v>
      </c>
      <c r="S1593" s="1">
        <v>44284.428888888891</v>
      </c>
      <c r="T1593">
        <v>1</v>
      </c>
      <c r="U1593">
        <v>1</v>
      </c>
      <c r="V1593" s="2">
        <v>1</v>
      </c>
      <c r="W1593">
        <v>0</v>
      </c>
      <c r="X1593" t="s">
        <v>30</v>
      </c>
      <c r="Y1593">
        <v>0</v>
      </c>
      <c r="Z1593" t="s">
        <v>31</v>
      </c>
      <c r="AA1593">
        <v>0</v>
      </c>
      <c r="AB1593" t="s">
        <v>31</v>
      </c>
      <c r="AC1593">
        <v>0</v>
      </c>
      <c r="AD1593" t="s">
        <v>31</v>
      </c>
      <c r="AE1593">
        <v>0</v>
      </c>
      <c r="AF1593" t="s">
        <v>31</v>
      </c>
      <c r="AG1593">
        <v>0</v>
      </c>
      <c r="AH1593" t="s">
        <v>31</v>
      </c>
      <c r="AI1593">
        <v>0</v>
      </c>
      <c r="AJ1593" t="s">
        <v>31</v>
      </c>
      <c r="AK1593">
        <v>0</v>
      </c>
      <c r="AL1593" t="s">
        <v>31</v>
      </c>
      <c r="AM1593">
        <v>0</v>
      </c>
      <c r="AN1593" t="s">
        <v>31</v>
      </c>
      <c r="AO1593">
        <v>0</v>
      </c>
      <c r="AP1593" t="s">
        <v>31</v>
      </c>
      <c r="AQ1593">
        <v>0</v>
      </c>
    </row>
    <row r="1594" spans="1:43" x14ac:dyDescent="0.2">
      <c r="A1594" t="s">
        <v>381</v>
      </c>
      <c r="B1594" s="3">
        <v>44293</v>
      </c>
      <c r="C1594">
        <v>53</v>
      </c>
      <c r="D1594" t="s">
        <v>384</v>
      </c>
      <c r="E1594" t="s">
        <v>124</v>
      </c>
      <c r="F1594" s="9" t="s">
        <v>182</v>
      </c>
      <c r="G1594" t="s">
        <v>26</v>
      </c>
      <c r="H1594" t="s">
        <v>51</v>
      </c>
      <c r="I1594" t="s">
        <v>52</v>
      </c>
      <c r="J1594" t="s">
        <v>29</v>
      </c>
      <c r="K1594" t="s">
        <v>30</v>
      </c>
      <c r="L1594" t="s">
        <v>29</v>
      </c>
      <c r="M1594" t="s">
        <v>30</v>
      </c>
      <c r="N1594" t="s">
        <v>51</v>
      </c>
      <c r="O1594" t="s">
        <v>52</v>
      </c>
      <c r="P1594" t="s">
        <v>29</v>
      </c>
      <c r="Q1594" t="s">
        <v>30</v>
      </c>
      <c r="R1594" s="1">
        <v>44293.414780092593</v>
      </c>
      <c r="S1594" s="1">
        <v>44293.414780092593</v>
      </c>
      <c r="T1594">
        <v>1</v>
      </c>
      <c r="U1594">
        <v>1</v>
      </c>
      <c r="V1594" s="2">
        <v>1</v>
      </c>
      <c r="W1594">
        <v>0</v>
      </c>
      <c r="X1594" t="s">
        <v>30</v>
      </c>
      <c r="Y1594">
        <v>0</v>
      </c>
      <c r="Z1594" t="s">
        <v>31</v>
      </c>
      <c r="AA1594">
        <v>0</v>
      </c>
      <c r="AB1594" t="s">
        <v>31</v>
      </c>
      <c r="AC1594">
        <v>0</v>
      </c>
      <c r="AD1594" t="s">
        <v>31</v>
      </c>
      <c r="AE1594">
        <v>0</v>
      </c>
      <c r="AF1594" t="s">
        <v>31</v>
      </c>
      <c r="AG1594">
        <v>0</v>
      </c>
      <c r="AH1594" t="s">
        <v>31</v>
      </c>
      <c r="AI1594">
        <v>0</v>
      </c>
      <c r="AJ1594" t="s">
        <v>31</v>
      </c>
      <c r="AK1594">
        <v>0</v>
      </c>
      <c r="AL1594" t="s">
        <v>31</v>
      </c>
      <c r="AM1594">
        <v>0</v>
      </c>
      <c r="AN1594" t="s">
        <v>31</v>
      </c>
      <c r="AO1594">
        <v>0</v>
      </c>
      <c r="AP1594" t="s">
        <v>31</v>
      </c>
      <c r="AQ1594">
        <v>0</v>
      </c>
    </row>
    <row r="1595" spans="1:43" x14ac:dyDescent="0.2">
      <c r="A1595" t="s">
        <v>381</v>
      </c>
      <c r="B1595" s="3">
        <v>44302</v>
      </c>
      <c r="C1595">
        <v>64</v>
      </c>
      <c r="D1595" t="s">
        <v>390</v>
      </c>
      <c r="E1595" t="s">
        <v>124</v>
      </c>
      <c r="F1595" s="9" t="s">
        <v>182</v>
      </c>
      <c r="G1595" t="s">
        <v>26</v>
      </c>
      <c r="H1595" t="s">
        <v>51</v>
      </c>
      <c r="I1595" t="s">
        <v>52</v>
      </c>
      <c r="J1595" t="s">
        <v>29</v>
      </c>
      <c r="K1595" t="s">
        <v>30</v>
      </c>
      <c r="L1595" t="s">
        <v>29</v>
      </c>
      <c r="M1595" t="s">
        <v>30</v>
      </c>
      <c r="N1595" t="s">
        <v>51</v>
      </c>
      <c r="O1595" t="s">
        <v>52</v>
      </c>
      <c r="P1595" t="s">
        <v>29</v>
      </c>
      <c r="Q1595" t="s">
        <v>30</v>
      </c>
      <c r="R1595" s="1">
        <v>44302.418657407405</v>
      </c>
      <c r="S1595" s="1">
        <v>44302.418657407405</v>
      </c>
      <c r="T1595">
        <v>1</v>
      </c>
      <c r="U1595">
        <v>1</v>
      </c>
      <c r="V1595" s="2">
        <v>1</v>
      </c>
      <c r="W1595">
        <v>0</v>
      </c>
      <c r="X1595" t="s">
        <v>30</v>
      </c>
      <c r="Y1595">
        <v>0</v>
      </c>
      <c r="Z1595" t="s">
        <v>31</v>
      </c>
      <c r="AA1595">
        <v>0</v>
      </c>
      <c r="AB1595" t="s">
        <v>31</v>
      </c>
      <c r="AC1595">
        <v>0</v>
      </c>
      <c r="AD1595" t="s">
        <v>31</v>
      </c>
      <c r="AE1595">
        <v>0</v>
      </c>
      <c r="AF1595" t="s">
        <v>31</v>
      </c>
      <c r="AG1595">
        <v>0</v>
      </c>
      <c r="AH1595" t="s">
        <v>31</v>
      </c>
      <c r="AI1595">
        <v>0</v>
      </c>
      <c r="AJ1595" t="s">
        <v>31</v>
      </c>
      <c r="AK1595">
        <v>0</v>
      </c>
      <c r="AL1595" t="s">
        <v>31</v>
      </c>
      <c r="AM1595">
        <v>0</v>
      </c>
      <c r="AN1595" t="s">
        <v>31</v>
      </c>
      <c r="AO1595">
        <v>0</v>
      </c>
      <c r="AP1595" t="s">
        <v>31</v>
      </c>
      <c r="AQ1595">
        <v>0</v>
      </c>
    </row>
    <row r="1596" spans="1:43" x14ac:dyDescent="0.2">
      <c r="A1596" t="s">
        <v>381</v>
      </c>
      <c r="B1596" s="3">
        <v>44319</v>
      </c>
      <c r="C1596">
        <v>84</v>
      </c>
      <c r="D1596" t="s">
        <v>390</v>
      </c>
      <c r="E1596" t="s">
        <v>124</v>
      </c>
      <c r="F1596" s="9" t="s">
        <v>182</v>
      </c>
      <c r="G1596" t="s">
        <v>26</v>
      </c>
      <c r="H1596" t="s">
        <v>51</v>
      </c>
      <c r="I1596" t="s">
        <v>52</v>
      </c>
      <c r="J1596" t="s">
        <v>29</v>
      </c>
      <c r="K1596" t="s">
        <v>30</v>
      </c>
      <c r="L1596" t="s">
        <v>29</v>
      </c>
      <c r="M1596" t="s">
        <v>30</v>
      </c>
      <c r="N1596" t="s">
        <v>51</v>
      </c>
      <c r="O1596" t="s">
        <v>52</v>
      </c>
      <c r="P1596" t="s">
        <v>29</v>
      </c>
      <c r="Q1596" t="s">
        <v>30</v>
      </c>
      <c r="R1596" s="1">
        <v>44319.403449074074</v>
      </c>
      <c r="S1596" s="1">
        <v>44319.403449074074</v>
      </c>
      <c r="T1596">
        <v>1</v>
      </c>
      <c r="U1596">
        <v>1</v>
      </c>
      <c r="V1596" s="2">
        <v>1</v>
      </c>
      <c r="W1596">
        <v>0</v>
      </c>
      <c r="X1596" t="s">
        <v>30</v>
      </c>
      <c r="Y1596">
        <v>0</v>
      </c>
      <c r="Z1596" t="s">
        <v>31</v>
      </c>
      <c r="AA1596">
        <v>0</v>
      </c>
      <c r="AB1596" t="s">
        <v>31</v>
      </c>
      <c r="AC1596">
        <v>0</v>
      </c>
      <c r="AD1596" t="s">
        <v>31</v>
      </c>
      <c r="AE1596">
        <v>0</v>
      </c>
      <c r="AF1596" t="s">
        <v>31</v>
      </c>
      <c r="AG1596">
        <v>0</v>
      </c>
      <c r="AH1596" t="s">
        <v>31</v>
      </c>
      <c r="AI1596">
        <v>0</v>
      </c>
      <c r="AJ1596" t="s">
        <v>31</v>
      </c>
      <c r="AK1596">
        <v>0</v>
      </c>
      <c r="AL1596" t="s">
        <v>31</v>
      </c>
      <c r="AM1596">
        <v>0</v>
      </c>
      <c r="AN1596" t="s">
        <v>31</v>
      </c>
      <c r="AO1596">
        <v>0</v>
      </c>
      <c r="AP1596" t="s">
        <v>31</v>
      </c>
      <c r="AQ1596">
        <v>0</v>
      </c>
    </row>
    <row r="1597" spans="1:43" x14ac:dyDescent="0.2">
      <c r="A1597" t="s">
        <v>381</v>
      </c>
      <c r="B1597" s="3">
        <v>44321</v>
      </c>
      <c r="C1597">
        <v>88</v>
      </c>
      <c r="D1597" t="s">
        <v>404</v>
      </c>
      <c r="E1597" t="s">
        <v>124</v>
      </c>
      <c r="F1597" s="9" t="s">
        <v>182</v>
      </c>
      <c r="G1597" t="s">
        <v>26</v>
      </c>
      <c r="H1597" t="s">
        <v>51</v>
      </c>
      <c r="I1597" t="s">
        <v>52</v>
      </c>
      <c r="J1597" t="s">
        <v>29</v>
      </c>
      <c r="K1597" t="s">
        <v>30</v>
      </c>
      <c r="L1597" t="s">
        <v>29</v>
      </c>
      <c r="M1597" t="s">
        <v>30</v>
      </c>
      <c r="N1597" t="s">
        <v>51</v>
      </c>
      <c r="O1597" t="s">
        <v>52</v>
      </c>
      <c r="P1597" t="s">
        <v>29</v>
      </c>
      <c r="Q1597" t="s">
        <v>30</v>
      </c>
      <c r="R1597" s="1">
        <v>44321.467314814814</v>
      </c>
      <c r="S1597" s="1">
        <v>44321.467314814814</v>
      </c>
      <c r="T1597">
        <v>1</v>
      </c>
      <c r="U1597">
        <v>1</v>
      </c>
      <c r="V1597" s="2">
        <v>1</v>
      </c>
      <c r="W1597">
        <v>0</v>
      </c>
      <c r="X1597" t="s">
        <v>30</v>
      </c>
      <c r="Y1597">
        <v>0</v>
      </c>
      <c r="Z1597" t="s">
        <v>31</v>
      </c>
      <c r="AA1597">
        <v>0</v>
      </c>
      <c r="AB1597" t="s">
        <v>31</v>
      </c>
      <c r="AC1597">
        <v>0</v>
      </c>
      <c r="AD1597" t="s">
        <v>31</v>
      </c>
      <c r="AE1597">
        <v>0</v>
      </c>
      <c r="AF1597" t="s">
        <v>31</v>
      </c>
      <c r="AG1597">
        <v>0</v>
      </c>
      <c r="AH1597" t="s">
        <v>31</v>
      </c>
      <c r="AI1597">
        <v>0</v>
      </c>
      <c r="AJ1597" t="s">
        <v>31</v>
      </c>
      <c r="AK1597">
        <v>0</v>
      </c>
      <c r="AL1597" t="s">
        <v>31</v>
      </c>
      <c r="AM1597">
        <v>0</v>
      </c>
      <c r="AN1597" t="s">
        <v>31</v>
      </c>
      <c r="AO1597">
        <v>0</v>
      </c>
      <c r="AP1597" t="s">
        <v>31</v>
      </c>
      <c r="AQ1597">
        <v>0</v>
      </c>
    </row>
    <row r="1598" spans="1:43" x14ac:dyDescent="0.2">
      <c r="A1598" t="s">
        <v>381</v>
      </c>
      <c r="B1598" s="3">
        <v>44321</v>
      </c>
      <c r="C1598">
        <v>89</v>
      </c>
      <c r="D1598" t="s">
        <v>387</v>
      </c>
      <c r="E1598" t="s">
        <v>124</v>
      </c>
      <c r="F1598" s="9" t="s">
        <v>182</v>
      </c>
      <c r="G1598" t="s">
        <v>26</v>
      </c>
      <c r="H1598" t="s">
        <v>51</v>
      </c>
      <c r="I1598" t="s">
        <v>52</v>
      </c>
      <c r="J1598" t="s">
        <v>29</v>
      </c>
      <c r="K1598" t="s">
        <v>30</v>
      </c>
      <c r="L1598" t="s">
        <v>29</v>
      </c>
      <c r="M1598" t="s">
        <v>30</v>
      </c>
      <c r="N1598" t="s">
        <v>51</v>
      </c>
      <c r="O1598" t="s">
        <v>52</v>
      </c>
      <c r="P1598" t="s">
        <v>29</v>
      </c>
      <c r="Q1598" t="s">
        <v>30</v>
      </c>
      <c r="R1598" s="1">
        <v>44321.635694444441</v>
      </c>
      <c r="S1598" s="1">
        <v>44321.635706018518</v>
      </c>
      <c r="T1598">
        <v>0</v>
      </c>
      <c r="U1598">
        <v>2</v>
      </c>
      <c r="V1598" s="2">
        <v>0</v>
      </c>
      <c r="W1598">
        <v>0</v>
      </c>
      <c r="X1598" t="s">
        <v>44</v>
      </c>
      <c r="Y1598">
        <v>0</v>
      </c>
      <c r="Z1598" t="s">
        <v>183</v>
      </c>
      <c r="AA1598">
        <v>0</v>
      </c>
      <c r="AB1598" t="s">
        <v>31</v>
      </c>
      <c r="AC1598">
        <v>0</v>
      </c>
      <c r="AD1598" t="s">
        <v>31</v>
      </c>
      <c r="AE1598">
        <v>0</v>
      </c>
      <c r="AF1598" t="s">
        <v>31</v>
      </c>
      <c r="AG1598">
        <v>0</v>
      </c>
      <c r="AH1598" t="s">
        <v>31</v>
      </c>
      <c r="AI1598">
        <v>0</v>
      </c>
      <c r="AJ1598" t="s">
        <v>31</v>
      </c>
      <c r="AK1598">
        <v>0</v>
      </c>
      <c r="AL1598" t="s">
        <v>31</v>
      </c>
      <c r="AM1598">
        <v>0</v>
      </c>
      <c r="AN1598" t="s">
        <v>31</v>
      </c>
      <c r="AO1598">
        <v>0</v>
      </c>
      <c r="AP1598" t="s">
        <v>31</v>
      </c>
      <c r="AQ1598">
        <v>0</v>
      </c>
    </row>
    <row r="1599" spans="1:43" x14ac:dyDescent="0.2">
      <c r="A1599" t="s">
        <v>381</v>
      </c>
      <c r="B1599" s="3">
        <v>44326</v>
      </c>
      <c r="C1599">
        <v>92</v>
      </c>
      <c r="D1599" t="s">
        <v>390</v>
      </c>
      <c r="E1599" t="s">
        <v>124</v>
      </c>
      <c r="F1599" s="9" t="s">
        <v>182</v>
      </c>
      <c r="G1599" t="s">
        <v>26</v>
      </c>
      <c r="H1599" t="s">
        <v>51</v>
      </c>
      <c r="I1599" t="s">
        <v>52</v>
      </c>
      <c r="J1599" t="s">
        <v>29</v>
      </c>
      <c r="K1599" t="s">
        <v>30</v>
      </c>
      <c r="L1599" t="s">
        <v>29</v>
      </c>
      <c r="M1599" t="s">
        <v>30</v>
      </c>
      <c r="N1599" t="s">
        <v>51</v>
      </c>
      <c r="O1599" t="s">
        <v>52</v>
      </c>
      <c r="P1599" t="s">
        <v>29</v>
      </c>
      <c r="Q1599" t="s">
        <v>30</v>
      </c>
      <c r="R1599" s="1">
        <v>44326.459733796299</v>
      </c>
      <c r="S1599" s="1">
        <v>44326.459733796299</v>
      </c>
      <c r="T1599">
        <v>0</v>
      </c>
      <c r="U1599">
        <v>1</v>
      </c>
      <c r="V1599" s="2">
        <v>0</v>
      </c>
      <c r="W1599">
        <v>0</v>
      </c>
      <c r="X1599" t="s">
        <v>44</v>
      </c>
      <c r="Y1599">
        <v>0</v>
      </c>
      <c r="Z1599" t="s">
        <v>31</v>
      </c>
      <c r="AA1599">
        <v>0</v>
      </c>
      <c r="AB1599" t="s">
        <v>31</v>
      </c>
      <c r="AC1599">
        <v>0</v>
      </c>
      <c r="AD1599" t="s">
        <v>31</v>
      </c>
      <c r="AE1599">
        <v>0</v>
      </c>
      <c r="AF1599" t="s">
        <v>31</v>
      </c>
      <c r="AG1599">
        <v>0</v>
      </c>
      <c r="AH1599" t="s">
        <v>31</v>
      </c>
      <c r="AI1599">
        <v>0</v>
      </c>
      <c r="AJ1599" t="s">
        <v>31</v>
      </c>
      <c r="AK1599">
        <v>0</v>
      </c>
      <c r="AL1599" t="s">
        <v>31</v>
      </c>
      <c r="AM1599">
        <v>0</v>
      </c>
      <c r="AN1599" t="s">
        <v>31</v>
      </c>
      <c r="AO1599">
        <v>0</v>
      </c>
      <c r="AP1599" t="s">
        <v>31</v>
      </c>
      <c r="AQ1599">
        <v>0</v>
      </c>
    </row>
    <row r="1600" spans="1:43" x14ac:dyDescent="0.2">
      <c r="A1600" t="s">
        <v>381</v>
      </c>
      <c r="B1600" s="3">
        <v>44328</v>
      </c>
      <c r="C1600">
        <v>97</v>
      </c>
      <c r="D1600" t="s">
        <v>387</v>
      </c>
      <c r="E1600" t="s">
        <v>124</v>
      </c>
      <c r="F1600" s="9" t="s">
        <v>182</v>
      </c>
      <c r="G1600" t="s">
        <v>26</v>
      </c>
      <c r="H1600" t="s">
        <v>51</v>
      </c>
      <c r="I1600" t="s">
        <v>52</v>
      </c>
      <c r="J1600" t="s">
        <v>29</v>
      </c>
      <c r="K1600" t="s">
        <v>30</v>
      </c>
      <c r="L1600" t="s">
        <v>29</v>
      </c>
      <c r="M1600" t="s">
        <v>30</v>
      </c>
      <c r="N1600" t="s">
        <v>51</v>
      </c>
      <c r="O1600" t="s">
        <v>52</v>
      </c>
      <c r="P1600" t="s">
        <v>29</v>
      </c>
      <c r="Q1600" t="s">
        <v>30</v>
      </c>
      <c r="R1600" s="1">
        <v>44328.639861111114</v>
      </c>
      <c r="S1600" s="1">
        <v>44328.639884259261</v>
      </c>
      <c r="T1600">
        <v>0</v>
      </c>
      <c r="U1600">
        <v>2</v>
      </c>
      <c r="V1600" s="2">
        <v>0</v>
      </c>
      <c r="W1600">
        <v>0</v>
      </c>
      <c r="X1600" t="s">
        <v>44</v>
      </c>
      <c r="Y1600">
        <v>0</v>
      </c>
      <c r="Z1600" t="s">
        <v>183</v>
      </c>
      <c r="AA1600">
        <v>0</v>
      </c>
      <c r="AB1600" t="s">
        <v>31</v>
      </c>
      <c r="AC1600">
        <v>0</v>
      </c>
      <c r="AD1600" t="s">
        <v>31</v>
      </c>
      <c r="AE1600">
        <v>0</v>
      </c>
      <c r="AF1600" t="s">
        <v>31</v>
      </c>
      <c r="AG1600">
        <v>0</v>
      </c>
      <c r="AH1600" t="s">
        <v>31</v>
      </c>
      <c r="AI1600">
        <v>0</v>
      </c>
      <c r="AJ1600" t="s">
        <v>31</v>
      </c>
      <c r="AK1600">
        <v>0</v>
      </c>
      <c r="AL1600" t="s">
        <v>31</v>
      </c>
      <c r="AM1600">
        <v>0</v>
      </c>
      <c r="AN1600" t="s">
        <v>31</v>
      </c>
      <c r="AO1600">
        <v>0</v>
      </c>
      <c r="AP1600" t="s">
        <v>31</v>
      </c>
      <c r="AQ1600">
        <v>0</v>
      </c>
    </row>
    <row r="1601" spans="1:43" x14ac:dyDescent="0.2">
      <c r="A1601" t="s">
        <v>381</v>
      </c>
      <c r="B1601" s="3">
        <v>44336</v>
      </c>
      <c r="C1601">
        <v>103</v>
      </c>
      <c r="D1601" t="s">
        <v>385</v>
      </c>
      <c r="E1601" t="s">
        <v>124</v>
      </c>
      <c r="F1601" s="9" t="s">
        <v>182</v>
      </c>
      <c r="G1601" t="s">
        <v>26</v>
      </c>
      <c r="H1601" t="s">
        <v>51</v>
      </c>
      <c r="I1601" t="s">
        <v>52</v>
      </c>
      <c r="J1601" t="s">
        <v>29</v>
      </c>
      <c r="K1601" t="s">
        <v>30</v>
      </c>
      <c r="L1601" t="s">
        <v>29</v>
      </c>
      <c r="M1601" t="s">
        <v>30</v>
      </c>
      <c r="N1601" t="s">
        <v>51</v>
      </c>
      <c r="O1601" t="s">
        <v>52</v>
      </c>
      <c r="P1601" t="s">
        <v>29</v>
      </c>
      <c r="Q1601" t="s">
        <v>30</v>
      </c>
      <c r="R1601" s="1">
        <v>44336.637928240743</v>
      </c>
      <c r="S1601" s="1">
        <v>44336.637939814813</v>
      </c>
      <c r="T1601">
        <v>2</v>
      </c>
      <c r="U1601">
        <v>2</v>
      </c>
      <c r="V1601" s="2">
        <v>1</v>
      </c>
      <c r="W1601">
        <v>0</v>
      </c>
      <c r="X1601" t="s">
        <v>30</v>
      </c>
      <c r="Y1601">
        <v>0</v>
      </c>
      <c r="Z1601" t="s">
        <v>30</v>
      </c>
      <c r="AA1601">
        <v>0</v>
      </c>
      <c r="AB1601" t="s">
        <v>31</v>
      </c>
      <c r="AC1601">
        <v>0</v>
      </c>
      <c r="AD1601" t="s">
        <v>31</v>
      </c>
      <c r="AE1601">
        <v>0</v>
      </c>
      <c r="AF1601" t="s">
        <v>31</v>
      </c>
      <c r="AG1601">
        <v>0</v>
      </c>
      <c r="AH1601" t="s">
        <v>31</v>
      </c>
      <c r="AI1601">
        <v>0</v>
      </c>
      <c r="AJ1601" t="s">
        <v>31</v>
      </c>
      <c r="AK1601">
        <v>0</v>
      </c>
      <c r="AL1601" t="s">
        <v>31</v>
      </c>
      <c r="AM1601">
        <v>0</v>
      </c>
      <c r="AN1601" t="s">
        <v>31</v>
      </c>
      <c r="AO1601">
        <v>0</v>
      </c>
      <c r="AP1601" t="s">
        <v>31</v>
      </c>
      <c r="AQ1601">
        <v>0</v>
      </c>
    </row>
    <row r="1602" spans="1:43" x14ac:dyDescent="0.2">
      <c r="A1602" t="s">
        <v>381</v>
      </c>
      <c r="B1602" s="3">
        <v>44337</v>
      </c>
      <c r="C1602">
        <v>104</v>
      </c>
      <c r="D1602" t="s">
        <v>390</v>
      </c>
      <c r="E1602" t="s">
        <v>124</v>
      </c>
      <c r="F1602" s="9" t="s">
        <v>182</v>
      </c>
      <c r="G1602" t="s">
        <v>26</v>
      </c>
      <c r="H1602" t="s">
        <v>51</v>
      </c>
      <c r="I1602" t="s">
        <v>52</v>
      </c>
      <c r="J1602" t="s">
        <v>29</v>
      </c>
      <c r="K1602" t="s">
        <v>30</v>
      </c>
      <c r="L1602" t="s">
        <v>29</v>
      </c>
      <c r="M1602" t="s">
        <v>30</v>
      </c>
      <c r="N1602" t="s">
        <v>51</v>
      </c>
      <c r="O1602" t="s">
        <v>52</v>
      </c>
      <c r="P1602" t="s">
        <v>29</v>
      </c>
      <c r="Q1602" t="s">
        <v>30</v>
      </c>
      <c r="R1602" s="1">
        <v>44337.417395833334</v>
      </c>
      <c r="S1602" s="1">
        <v>44337.484444444446</v>
      </c>
      <c r="T1602">
        <v>0</v>
      </c>
      <c r="U1602">
        <v>2</v>
      </c>
      <c r="V1602" s="2">
        <v>0</v>
      </c>
      <c r="W1602">
        <v>0</v>
      </c>
      <c r="X1602" t="s">
        <v>44</v>
      </c>
      <c r="Y1602">
        <v>0</v>
      </c>
      <c r="Z1602" t="s">
        <v>44</v>
      </c>
      <c r="AA1602">
        <v>0</v>
      </c>
      <c r="AB1602" t="s">
        <v>31</v>
      </c>
      <c r="AC1602">
        <v>0</v>
      </c>
      <c r="AD1602" t="s">
        <v>31</v>
      </c>
      <c r="AE1602">
        <v>0</v>
      </c>
      <c r="AF1602" t="s">
        <v>31</v>
      </c>
      <c r="AG1602">
        <v>0</v>
      </c>
      <c r="AH1602" t="s">
        <v>31</v>
      </c>
      <c r="AI1602">
        <v>0</v>
      </c>
      <c r="AJ1602" t="s">
        <v>31</v>
      </c>
      <c r="AK1602">
        <v>0</v>
      </c>
      <c r="AL1602" t="s">
        <v>31</v>
      </c>
      <c r="AM1602">
        <v>0</v>
      </c>
      <c r="AN1602" t="s">
        <v>31</v>
      </c>
      <c r="AO1602">
        <v>0</v>
      </c>
      <c r="AP1602" t="s">
        <v>31</v>
      </c>
      <c r="AQ1602">
        <v>0</v>
      </c>
    </row>
    <row r="1603" spans="1:43" x14ac:dyDescent="0.2">
      <c r="A1603" t="s">
        <v>381</v>
      </c>
      <c r="B1603" s="3">
        <v>44338</v>
      </c>
      <c r="C1603">
        <v>107</v>
      </c>
      <c r="D1603" t="s">
        <v>392</v>
      </c>
      <c r="E1603" t="s">
        <v>124</v>
      </c>
      <c r="F1603" s="9" t="s">
        <v>182</v>
      </c>
      <c r="G1603" t="s">
        <v>26</v>
      </c>
      <c r="H1603" t="s">
        <v>51</v>
      </c>
      <c r="I1603" t="s">
        <v>52</v>
      </c>
      <c r="J1603" t="s">
        <v>29</v>
      </c>
      <c r="K1603" t="s">
        <v>30</v>
      </c>
      <c r="L1603" t="s">
        <v>29</v>
      </c>
      <c r="M1603" t="s">
        <v>30</v>
      </c>
      <c r="N1603" t="s">
        <v>51</v>
      </c>
      <c r="O1603" t="s">
        <v>52</v>
      </c>
      <c r="P1603" t="s">
        <v>29</v>
      </c>
      <c r="Q1603" t="s">
        <v>30</v>
      </c>
      <c r="R1603" s="1">
        <v>44338.562615740739</v>
      </c>
      <c r="S1603" s="1">
        <v>44338.562997685185</v>
      </c>
      <c r="T1603">
        <v>1</v>
      </c>
      <c r="U1603">
        <v>2</v>
      </c>
      <c r="V1603" s="2">
        <v>0.5</v>
      </c>
      <c r="W1603">
        <v>0</v>
      </c>
      <c r="X1603" t="s">
        <v>44</v>
      </c>
      <c r="Y1603">
        <v>0</v>
      </c>
      <c r="Z1603" t="s">
        <v>30</v>
      </c>
      <c r="AA1603">
        <v>0</v>
      </c>
      <c r="AB1603" t="s">
        <v>31</v>
      </c>
      <c r="AC1603">
        <v>0</v>
      </c>
      <c r="AD1603" t="s">
        <v>31</v>
      </c>
      <c r="AE1603">
        <v>0</v>
      </c>
      <c r="AF1603" t="s">
        <v>31</v>
      </c>
      <c r="AG1603">
        <v>0</v>
      </c>
      <c r="AH1603" t="s">
        <v>31</v>
      </c>
      <c r="AI1603">
        <v>0</v>
      </c>
      <c r="AJ1603" t="s">
        <v>31</v>
      </c>
      <c r="AK1603">
        <v>0</v>
      </c>
      <c r="AL1603" t="s">
        <v>31</v>
      </c>
      <c r="AM1603">
        <v>0</v>
      </c>
      <c r="AN1603" t="s">
        <v>31</v>
      </c>
      <c r="AO1603">
        <v>0</v>
      </c>
      <c r="AP1603" t="s">
        <v>31</v>
      </c>
      <c r="AQ1603">
        <v>0</v>
      </c>
    </row>
    <row r="1604" spans="1:43" x14ac:dyDescent="0.2">
      <c r="A1604" t="s">
        <v>381</v>
      </c>
      <c r="B1604" s="3">
        <v>44341</v>
      </c>
      <c r="C1604">
        <v>111</v>
      </c>
      <c r="D1604" t="s">
        <v>385</v>
      </c>
      <c r="E1604" t="s">
        <v>124</v>
      </c>
      <c r="F1604" s="9" t="s">
        <v>182</v>
      </c>
      <c r="G1604" t="s">
        <v>26</v>
      </c>
      <c r="H1604" t="s">
        <v>51</v>
      </c>
      <c r="I1604" t="s">
        <v>52</v>
      </c>
      <c r="J1604" t="s">
        <v>29</v>
      </c>
      <c r="K1604" t="s">
        <v>30</v>
      </c>
      <c r="L1604" t="s">
        <v>29</v>
      </c>
      <c r="M1604" t="s">
        <v>30</v>
      </c>
      <c r="N1604" t="s">
        <v>51</v>
      </c>
      <c r="O1604" t="s">
        <v>52</v>
      </c>
      <c r="P1604" t="s">
        <v>29</v>
      </c>
      <c r="Q1604" t="s">
        <v>30</v>
      </c>
      <c r="R1604" s="1">
        <v>44341.598263888889</v>
      </c>
      <c r="S1604" s="1">
        <v>44341.598263888889</v>
      </c>
      <c r="T1604">
        <v>2</v>
      </c>
      <c r="U1604">
        <v>2</v>
      </c>
      <c r="V1604" s="2">
        <v>1</v>
      </c>
      <c r="W1604">
        <v>0</v>
      </c>
      <c r="X1604" t="s">
        <v>30</v>
      </c>
      <c r="Y1604">
        <v>0</v>
      </c>
      <c r="Z1604" t="s">
        <v>30</v>
      </c>
      <c r="AA1604">
        <v>0</v>
      </c>
      <c r="AB1604" t="s">
        <v>31</v>
      </c>
      <c r="AC1604">
        <v>0</v>
      </c>
      <c r="AD1604" t="s">
        <v>31</v>
      </c>
      <c r="AE1604">
        <v>0</v>
      </c>
      <c r="AF1604" t="s">
        <v>31</v>
      </c>
      <c r="AG1604">
        <v>0</v>
      </c>
      <c r="AH1604" t="s">
        <v>31</v>
      </c>
      <c r="AI1604">
        <v>0</v>
      </c>
      <c r="AJ1604" t="s">
        <v>31</v>
      </c>
      <c r="AK1604">
        <v>0</v>
      </c>
      <c r="AL1604" t="s">
        <v>31</v>
      </c>
      <c r="AM1604">
        <v>0</v>
      </c>
      <c r="AN1604" t="s">
        <v>31</v>
      </c>
      <c r="AO1604">
        <v>0</v>
      </c>
      <c r="AP1604" t="s">
        <v>31</v>
      </c>
      <c r="AQ1604">
        <v>0</v>
      </c>
    </row>
    <row r="1605" spans="1:43" x14ac:dyDescent="0.2">
      <c r="A1605" t="s">
        <v>381</v>
      </c>
      <c r="B1605" s="3">
        <v>44344</v>
      </c>
      <c r="C1605">
        <v>116</v>
      </c>
      <c r="D1605" t="s">
        <v>390</v>
      </c>
      <c r="E1605" t="s">
        <v>124</v>
      </c>
      <c r="F1605" s="9" t="s">
        <v>182</v>
      </c>
      <c r="G1605" t="s">
        <v>26</v>
      </c>
      <c r="H1605" t="s">
        <v>51</v>
      </c>
      <c r="I1605" t="s">
        <v>52</v>
      </c>
      <c r="J1605" t="s">
        <v>29</v>
      </c>
      <c r="K1605" t="s">
        <v>30</v>
      </c>
      <c r="L1605" t="s">
        <v>29</v>
      </c>
      <c r="M1605" t="s">
        <v>30</v>
      </c>
      <c r="N1605" t="s">
        <v>51</v>
      </c>
      <c r="O1605" t="s">
        <v>52</v>
      </c>
      <c r="P1605" t="s">
        <v>29</v>
      </c>
      <c r="Q1605" t="s">
        <v>30</v>
      </c>
      <c r="R1605" s="1">
        <v>44344.384143518517</v>
      </c>
      <c r="S1605" s="1">
        <v>44344.449247685188</v>
      </c>
      <c r="T1605">
        <v>3</v>
      </c>
      <c r="U1605">
        <v>4</v>
      </c>
      <c r="V1605" s="2">
        <v>0.75</v>
      </c>
      <c r="W1605">
        <v>0</v>
      </c>
      <c r="X1605" t="s">
        <v>183</v>
      </c>
      <c r="Y1605">
        <v>0</v>
      </c>
      <c r="Z1605" t="s">
        <v>30</v>
      </c>
      <c r="AA1605">
        <v>0</v>
      </c>
      <c r="AB1605" t="s">
        <v>30</v>
      </c>
      <c r="AC1605">
        <v>0</v>
      </c>
      <c r="AD1605" t="s">
        <v>30</v>
      </c>
      <c r="AE1605">
        <v>0</v>
      </c>
      <c r="AF1605" t="s">
        <v>31</v>
      </c>
      <c r="AG1605">
        <v>0</v>
      </c>
      <c r="AH1605" t="s">
        <v>31</v>
      </c>
      <c r="AI1605">
        <v>0</v>
      </c>
      <c r="AJ1605" t="s">
        <v>31</v>
      </c>
      <c r="AK1605">
        <v>0</v>
      </c>
      <c r="AL1605" t="s">
        <v>31</v>
      </c>
      <c r="AM1605">
        <v>0</v>
      </c>
      <c r="AN1605" t="s">
        <v>31</v>
      </c>
      <c r="AO1605">
        <v>0</v>
      </c>
      <c r="AP1605" t="s">
        <v>31</v>
      </c>
      <c r="AQ1605">
        <v>0</v>
      </c>
    </row>
    <row r="1606" spans="1:43" x14ac:dyDescent="0.2">
      <c r="A1606" t="s">
        <v>381</v>
      </c>
      <c r="B1606" s="3">
        <v>44348</v>
      </c>
      <c r="C1606">
        <v>118</v>
      </c>
      <c r="D1606" t="s">
        <v>396</v>
      </c>
      <c r="E1606" t="s">
        <v>124</v>
      </c>
      <c r="F1606" s="9" t="s">
        <v>182</v>
      </c>
      <c r="G1606" t="s">
        <v>26</v>
      </c>
      <c r="H1606" t="s">
        <v>51</v>
      </c>
      <c r="I1606" t="s">
        <v>52</v>
      </c>
      <c r="J1606" t="s">
        <v>29</v>
      </c>
      <c r="K1606" t="s">
        <v>30</v>
      </c>
      <c r="L1606" t="s">
        <v>29</v>
      </c>
      <c r="M1606" t="s">
        <v>30</v>
      </c>
      <c r="N1606" t="s">
        <v>51</v>
      </c>
      <c r="O1606" t="s">
        <v>52</v>
      </c>
      <c r="P1606" t="s">
        <v>29</v>
      </c>
      <c r="Q1606" t="s">
        <v>30</v>
      </c>
      <c r="R1606" s="1">
        <v>44348.417372685188</v>
      </c>
      <c r="S1606" s="1">
        <v>44348.417372685188</v>
      </c>
      <c r="T1606">
        <v>3</v>
      </c>
      <c r="U1606">
        <v>3</v>
      </c>
      <c r="V1606" s="2">
        <v>1</v>
      </c>
      <c r="W1606">
        <v>0</v>
      </c>
      <c r="X1606" t="s">
        <v>30</v>
      </c>
      <c r="Y1606">
        <v>0</v>
      </c>
      <c r="Z1606" t="s">
        <v>30</v>
      </c>
      <c r="AA1606">
        <v>0</v>
      </c>
      <c r="AB1606" t="s">
        <v>30</v>
      </c>
      <c r="AC1606">
        <v>0</v>
      </c>
      <c r="AD1606" t="s">
        <v>31</v>
      </c>
      <c r="AE1606">
        <v>0</v>
      </c>
      <c r="AF1606" t="s">
        <v>31</v>
      </c>
      <c r="AG1606">
        <v>0</v>
      </c>
      <c r="AH1606" t="s">
        <v>31</v>
      </c>
      <c r="AI1606">
        <v>0</v>
      </c>
      <c r="AJ1606" t="s">
        <v>31</v>
      </c>
      <c r="AK1606">
        <v>0</v>
      </c>
      <c r="AL1606" t="s">
        <v>31</v>
      </c>
      <c r="AM1606">
        <v>0</v>
      </c>
      <c r="AN1606" t="s">
        <v>31</v>
      </c>
      <c r="AO1606">
        <v>0</v>
      </c>
      <c r="AP1606" t="s">
        <v>31</v>
      </c>
      <c r="AQ1606">
        <v>0</v>
      </c>
    </row>
    <row r="1607" spans="1:43" x14ac:dyDescent="0.2">
      <c r="A1607" t="s">
        <v>381</v>
      </c>
      <c r="B1607" s="3">
        <v>44350</v>
      </c>
      <c r="C1607">
        <v>123</v>
      </c>
      <c r="D1607" t="s">
        <v>382</v>
      </c>
      <c r="E1607" t="s">
        <v>124</v>
      </c>
      <c r="F1607" s="9" t="s">
        <v>182</v>
      </c>
      <c r="G1607" t="s">
        <v>26</v>
      </c>
      <c r="H1607" t="s">
        <v>51</v>
      </c>
      <c r="I1607" t="s">
        <v>52</v>
      </c>
      <c r="J1607" t="s">
        <v>29</v>
      </c>
      <c r="K1607" t="s">
        <v>30</v>
      </c>
      <c r="L1607" t="s">
        <v>29</v>
      </c>
      <c r="M1607" t="s">
        <v>30</v>
      </c>
      <c r="N1607" t="s">
        <v>51</v>
      </c>
      <c r="O1607" t="s">
        <v>52</v>
      </c>
      <c r="P1607" t="s">
        <v>29</v>
      </c>
      <c r="Q1607" t="s">
        <v>30</v>
      </c>
      <c r="R1607" s="1">
        <v>44350.404675925929</v>
      </c>
      <c r="S1607" s="1">
        <v>44350.405659722222</v>
      </c>
      <c r="T1607">
        <v>2</v>
      </c>
      <c r="U1607">
        <v>3</v>
      </c>
      <c r="V1607" s="2">
        <v>0.66</v>
      </c>
      <c r="W1607">
        <v>0</v>
      </c>
      <c r="X1607" t="s">
        <v>30</v>
      </c>
      <c r="Y1607">
        <v>0</v>
      </c>
      <c r="Z1607" t="s">
        <v>44</v>
      </c>
      <c r="AA1607">
        <v>0</v>
      </c>
      <c r="AB1607" t="s">
        <v>30</v>
      </c>
      <c r="AC1607">
        <v>0</v>
      </c>
      <c r="AD1607" t="s">
        <v>31</v>
      </c>
      <c r="AE1607">
        <v>0</v>
      </c>
      <c r="AF1607" t="s">
        <v>31</v>
      </c>
      <c r="AG1607">
        <v>0</v>
      </c>
      <c r="AH1607" t="s">
        <v>31</v>
      </c>
      <c r="AI1607">
        <v>0</v>
      </c>
      <c r="AJ1607" t="s">
        <v>31</v>
      </c>
      <c r="AK1607">
        <v>0</v>
      </c>
      <c r="AL1607" t="s">
        <v>31</v>
      </c>
      <c r="AM1607">
        <v>0</v>
      </c>
      <c r="AN1607" t="s">
        <v>31</v>
      </c>
      <c r="AO1607">
        <v>0</v>
      </c>
      <c r="AP1607" t="s">
        <v>31</v>
      </c>
      <c r="AQ1607">
        <v>0</v>
      </c>
    </row>
    <row r="1608" spans="1:43" x14ac:dyDescent="0.2">
      <c r="A1608" t="s">
        <v>381</v>
      </c>
      <c r="B1608" s="3">
        <v>44351</v>
      </c>
      <c r="C1608">
        <v>124</v>
      </c>
      <c r="D1608" t="s">
        <v>390</v>
      </c>
      <c r="E1608" t="s">
        <v>124</v>
      </c>
      <c r="F1608" s="9" t="s">
        <v>182</v>
      </c>
      <c r="G1608" t="s">
        <v>26</v>
      </c>
      <c r="H1608" t="s">
        <v>51</v>
      </c>
      <c r="I1608" t="s">
        <v>52</v>
      </c>
      <c r="J1608" t="s">
        <v>29</v>
      </c>
      <c r="K1608" t="s">
        <v>30</v>
      </c>
      <c r="L1608" t="s">
        <v>29</v>
      </c>
      <c r="M1608" t="s">
        <v>30</v>
      </c>
      <c r="N1608" t="s">
        <v>51</v>
      </c>
      <c r="O1608" t="s">
        <v>52</v>
      </c>
      <c r="P1608" t="s">
        <v>29</v>
      </c>
      <c r="Q1608" t="s">
        <v>30</v>
      </c>
      <c r="R1608" s="1">
        <v>44351.413587962961</v>
      </c>
      <c r="S1608" s="1">
        <v>44351.413587962961</v>
      </c>
      <c r="T1608">
        <v>0</v>
      </c>
      <c r="U1608">
        <v>1</v>
      </c>
      <c r="V1608" s="2">
        <v>0</v>
      </c>
      <c r="W1608">
        <v>0</v>
      </c>
      <c r="X1608" t="s">
        <v>44</v>
      </c>
      <c r="Y1608">
        <v>0</v>
      </c>
      <c r="Z1608" t="s">
        <v>31</v>
      </c>
      <c r="AA1608">
        <v>0</v>
      </c>
      <c r="AB1608" t="s">
        <v>31</v>
      </c>
      <c r="AC1608">
        <v>0</v>
      </c>
      <c r="AD1608" t="s">
        <v>31</v>
      </c>
      <c r="AE1608">
        <v>0</v>
      </c>
      <c r="AF1608" t="s">
        <v>31</v>
      </c>
      <c r="AG1608">
        <v>0</v>
      </c>
      <c r="AH1608" t="s">
        <v>31</v>
      </c>
      <c r="AI1608">
        <v>0</v>
      </c>
      <c r="AJ1608" t="s">
        <v>31</v>
      </c>
      <c r="AK1608">
        <v>0</v>
      </c>
      <c r="AL1608" t="s">
        <v>31</v>
      </c>
      <c r="AM1608">
        <v>0</v>
      </c>
      <c r="AN1608" t="s">
        <v>31</v>
      </c>
      <c r="AO1608">
        <v>0</v>
      </c>
      <c r="AP1608" t="s">
        <v>31</v>
      </c>
      <c r="AQ1608">
        <v>0</v>
      </c>
    </row>
    <row r="1609" spans="1:43" x14ac:dyDescent="0.2">
      <c r="A1609" t="s">
        <v>381</v>
      </c>
      <c r="B1609" s="3">
        <v>44354</v>
      </c>
      <c r="C1609">
        <v>126</v>
      </c>
      <c r="D1609" t="s">
        <v>397</v>
      </c>
      <c r="E1609" t="s">
        <v>124</v>
      </c>
      <c r="F1609" s="9" t="s">
        <v>182</v>
      </c>
      <c r="G1609" t="s">
        <v>26</v>
      </c>
      <c r="H1609" t="s">
        <v>51</v>
      </c>
      <c r="I1609" t="s">
        <v>52</v>
      </c>
      <c r="J1609" t="s">
        <v>29</v>
      </c>
      <c r="K1609" t="s">
        <v>30</v>
      </c>
      <c r="L1609" t="s">
        <v>29</v>
      </c>
      <c r="M1609" t="s">
        <v>30</v>
      </c>
      <c r="N1609" t="s">
        <v>51</v>
      </c>
      <c r="O1609" t="s">
        <v>52</v>
      </c>
      <c r="P1609" t="s">
        <v>29</v>
      </c>
      <c r="Q1609" t="s">
        <v>30</v>
      </c>
      <c r="R1609" s="1">
        <v>44354.450520833336</v>
      </c>
      <c r="S1609" s="1">
        <v>44354.450671296298</v>
      </c>
      <c r="T1609">
        <v>0</v>
      </c>
      <c r="U1609">
        <v>2</v>
      </c>
      <c r="V1609" s="2">
        <v>0</v>
      </c>
      <c r="W1609">
        <v>0</v>
      </c>
      <c r="X1609" t="s">
        <v>44</v>
      </c>
      <c r="Y1609">
        <v>0</v>
      </c>
      <c r="Z1609" t="s">
        <v>44</v>
      </c>
      <c r="AA1609">
        <v>0</v>
      </c>
      <c r="AB1609" t="s">
        <v>31</v>
      </c>
      <c r="AC1609">
        <v>0</v>
      </c>
      <c r="AD1609" t="s">
        <v>31</v>
      </c>
      <c r="AE1609">
        <v>0</v>
      </c>
      <c r="AF1609" t="s">
        <v>31</v>
      </c>
      <c r="AG1609">
        <v>0</v>
      </c>
      <c r="AH1609" t="s">
        <v>31</v>
      </c>
      <c r="AI1609">
        <v>0</v>
      </c>
      <c r="AJ1609" t="s">
        <v>31</v>
      </c>
      <c r="AK1609">
        <v>0</v>
      </c>
      <c r="AL1609" t="s">
        <v>31</v>
      </c>
      <c r="AM1609">
        <v>0</v>
      </c>
      <c r="AN1609" t="s">
        <v>31</v>
      </c>
      <c r="AO1609">
        <v>0</v>
      </c>
      <c r="AP1609" t="s">
        <v>31</v>
      </c>
      <c r="AQ1609">
        <v>0</v>
      </c>
    </row>
    <row r="1610" spans="1:43" x14ac:dyDescent="0.2">
      <c r="A1610" t="s">
        <v>381</v>
      </c>
      <c r="B1610" s="3">
        <v>44355</v>
      </c>
      <c r="C1610">
        <v>129</v>
      </c>
      <c r="D1610" t="s">
        <v>385</v>
      </c>
      <c r="E1610" t="s">
        <v>124</v>
      </c>
      <c r="F1610" s="9" t="s">
        <v>182</v>
      </c>
      <c r="G1610" t="s">
        <v>26</v>
      </c>
      <c r="H1610" t="s">
        <v>51</v>
      </c>
      <c r="I1610" t="s">
        <v>52</v>
      </c>
      <c r="J1610" t="s">
        <v>29</v>
      </c>
      <c r="K1610" t="s">
        <v>30</v>
      </c>
      <c r="L1610" t="s">
        <v>29</v>
      </c>
      <c r="M1610" t="s">
        <v>30</v>
      </c>
      <c r="N1610" t="s">
        <v>51</v>
      </c>
      <c r="O1610" t="s">
        <v>52</v>
      </c>
      <c r="P1610" t="s">
        <v>29</v>
      </c>
      <c r="Q1610" t="s">
        <v>30</v>
      </c>
      <c r="R1610" s="1">
        <v>44355.584976851853</v>
      </c>
      <c r="S1610" s="1">
        <v>44355.62195601852</v>
      </c>
      <c r="T1610">
        <v>3</v>
      </c>
      <c r="U1610">
        <v>5</v>
      </c>
      <c r="V1610" s="2">
        <v>0.6</v>
      </c>
      <c r="W1610">
        <v>0</v>
      </c>
      <c r="X1610" t="s">
        <v>30</v>
      </c>
      <c r="Y1610">
        <v>0</v>
      </c>
      <c r="Z1610" t="s">
        <v>44</v>
      </c>
      <c r="AA1610">
        <v>0</v>
      </c>
      <c r="AB1610" t="s">
        <v>183</v>
      </c>
      <c r="AC1610">
        <v>0</v>
      </c>
      <c r="AD1610" t="s">
        <v>30</v>
      </c>
      <c r="AE1610">
        <v>0</v>
      </c>
      <c r="AF1610" t="s">
        <v>30</v>
      </c>
      <c r="AG1610">
        <v>0</v>
      </c>
      <c r="AH1610" t="s">
        <v>31</v>
      </c>
      <c r="AI1610">
        <v>0</v>
      </c>
      <c r="AJ1610" t="s">
        <v>31</v>
      </c>
      <c r="AK1610">
        <v>0</v>
      </c>
      <c r="AL1610" t="s">
        <v>31</v>
      </c>
      <c r="AM1610">
        <v>0</v>
      </c>
      <c r="AN1610" t="s">
        <v>31</v>
      </c>
      <c r="AO1610">
        <v>0</v>
      </c>
      <c r="AP1610" t="s">
        <v>31</v>
      </c>
      <c r="AQ1610">
        <v>0</v>
      </c>
    </row>
    <row r="1611" spans="1:43" x14ac:dyDescent="0.2">
      <c r="A1611" t="s">
        <v>381</v>
      </c>
      <c r="B1611" s="3">
        <v>44356</v>
      </c>
      <c r="C1611">
        <v>131</v>
      </c>
      <c r="D1611" t="s">
        <v>383</v>
      </c>
      <c r="E1611" t="s">
        <v>124</v>
      </c>
      <c r="F1611" s="9" t="s">
        <v>182</v>
      </c>
      <c r="G1611" t="s">
        <v>26</v>
      </c>
      <c r="H1611" t="s">
        <v>51</v>
      </c>
      <c r="I1611" t="s">
        <v>52</v>
      </c>
      <c r="J1611" t="s">
        <v>29</v>
      </c>
      <c r="K1611" t="s">
        <v>30</v>
      </c>
      <c r="L1611" t="s">
        <v>29</v>
      </c>
      <c r="M1611" t="s">
        <v>30</v>
      </c>
      <c r="N1611" t="s">
        <v>51</v>
      </c>
      <c r="O1611" t="s">
        <v>52</v>
      </c>
      <c r="P1611" t="s">
        <v>29</v>
      </c>
      <c r="Q1611" t="s">
        <v>30</v>
      </c>
      <c r="R1611" s="1">
        <v>44356.553796296299</v>
      </c>
      <c r="S1611" s="1">
        <v>44356.554074074076</v>
      </c>
      <c r="T1611">
        <v>1</v>
      </c>
      <c r="U1611">
        <v>2</v>
      </c>
      <c r="V1611" s="2">
        <v>0.5</v>
      </c>
      <c r="W1611">
        <v>0</v>
      </c>
      <c r="X1611" t="s">
        <v>30</v>
      </c>
      <c r="Y1611">
        <v>0</v>
      </c>
      <c r="Z1611" t="s">
        <v>44</v>
      </c>
      <c r="AA1611">
        <v>0</v>
      </c>
      <c r="AB1611" t="s">
        <v>31</v>
      </c>
      <c r="AC1611">
        <v>0</v>
      </c>
      <c r="AD1611" t="s">
        <v>31</v>
      </c>
      <c r="AE1611">
        <v>0</v>
      </c>
      <c r="AF1611" t="s">
        <v>31</v>
      </c>
      <c r="AG1611">
        <v>0</v>
      </c>
      <c r="AH1611" t="s">
        <v>31</v>
      </c>
      <c r="AI1611">
        <v>0</v>
      </c>
      <c r="AJ1611" t="s">
        <v>31</v>
      </c>
      <c r="AK1611">
        <v>0</v>
      </c>
      <c r="AL1611" t="s">
        <v>31</v>
      </c>
      <c r="AM1611">
        <v>0</v>
      </c>
      <c r="AN1611" t="s">
        <v>31</v>
      </c>
      <c r="AO1611">
        <v>0</v>
      </c>
      <c r="AP1611" t="s">
        <v>31</v>
      </c>
      <c r="AQ1611">
        <v>0</v>
      </c>
    </row>
    <row r="1612" spans="1:43" x14ac:dyDescent="0.2">
      <c r="A1612" t="s">
        <v>381</v>
      </c>
      <c r="B1612" s="3">
        <v>44357</v>
      </c>
      <c r="C1612">
        <v>132</v>
      </c>
      <c r="D1612" t="s">
        <v>399</v>
      </c>
      <c r="E1612" t="s">
        <v>124</v>
      </c>
      <c r="F1612" s="9" t="s">
        <v>182</v>
      </c>
      <c r="G1612" t="s">
        <v>26</v>
      </c>
      <c r="H1612" t="s">
        <v>51</v>
      </c>
      <c r="I1612" t="s">
        <v>52</v>
      </c>
      <c r="J1612" t="s">
        <v>29</v>
      </c>
      <c r="K1612" t="s">
        <v>30</v>
      </c>
      <c r="L1612" t="s">
        <v>29</v>
      </c>
      <c r="M1612" t="s">
        <v>30</v>
      </c>
      <c r="N1612" t="s">
        <v>51</v>
      </c>
      <c r="O1612" t="s">
        <v>52</v>
      </c>
      <c r="P1612" t="s">
        <v>29</v>
      </c>
      <c r="Q1612" t="s">
        <v>30</v>
      </c>
      <c r="R1612" s="1">
        <v>44357.405659722222</v>
      </c>
      <c r="S1612" s="1">
        <v>44357.405659722222</v>
      </c>
      <c r="T1612">
        <v>1</v>
      </c>
      <c r="U1612">
        <v>1</v>
      </c>
      <c r="V1612" s="2">
        <v>1</v>
      </c>
      <c r="W1612">
        <v>0</v>
      </c>
      <c r="X1612" t="s">
        <v>30</v>
      </c>
      <c r="Y1612">
        <v>0</v>
      </c>
      <c r="Z1612" t="s">
        <v>31</v>
      </c>
      <c r="AA1612">
        <v>0</v>
      </c>
      <c r="AB1612" t="s">
        <v>31</v>
      </c>
      <c r="AC1612">
        <v>0</v>
      </c>
      <c r="AD1612" t="s">
        <v>31</v>
      </c>
      <c r="AE1612">
        <v>0</v>
      </c>
      <c r="AF1612" t="s">
        <v>31</v>
      </c>
      <c r="AG1612">
        <v>0</v>
      </c>
      <c r="AH1612" t="s">
        <v>31</v>
      </c>
      <c r="AI1612">
        <v>0</v>
      </c>
      <c r="AJ1612" t="s">
        <v>31</v>
      </c>
      <c r="AK1612">
        <v>0</v>
      </c>
      <c r="AL1612" t="s">
        <v>31</v>
      </c>
      <c r="AM1612">
        <v>0</v>
      </c>
      <c r="AN1612" t="s">
        <v>31</v>
      </c>
      <c r="AO1612">
        <v>0</v>
      </c>
      <c r="AP1612" t="s">
        <v>31</v>
      </c>
      <c r="AQ1612">
        <v>0</v>
      </c>
    </row>
    <row r="1613" spans="1:43" x14ac:dyDescent="0.2">
      <c r="A1613" t="s">
        <v>381</v>
      </c>
      <c r="B1613" s="3">
        <v>44358</v>
      </c>
      <c r="C1613">
        <v>133</v>
      </c>
      <c r="D1613" t="s">
        <v>390</v>
      </c>
      <c r="E1613" t="s">
        <v>124</v>
      </c>
      <c r="F1613" s="9" t="s">
        <v>182</v>
      </c>
      <c r="G1613" t="s">
        <v>26</v>
      </c>
      <c r="H1613" t="s">
        <v>51</v>
      </c>
      <c r="I1613" t="s">
        <v>52</v>
      </c>
      <c r="J1613" t="s">
        <v>29</v>
      </c>
      <c r="K1613" t="s">
        <v>30</v>
      </c>
      <c r="L1613" t="s">
        <v>29</v>
      </c>
      <c r="M1613" t="s">
        <v>30</v>
      </c>
      <c r="N1613" t="s">
        <v>51</v>
      </c>
      <c r="O1613" t="s">
        <v>52</v>
      </c>
      <c r="P1613" t="s">
        <v>29</v>
      </c>
      <c r="Q1613" t="s">
        <v>30</v>
      </c>
      <c r="R1613" s="1">
        <v>44358.39806712963</v>
      </c>
      <c r="S1613" s="1">
        <v>44358.445659722223</v>
      </c>
      <c r="T1613">
        <v>2</v>
      </c>
      <c r="U1613">
        <v>2</v>
      </c>
      <c r="V1613" s="2">
        <v>1</v>
      </c>
      <c r="W1613">
        <v>0</v>
      </c>
      <c r="X1613" t="s">
        <v>30</v>
      </c>
      <c r="Y1613">
        <v>0</v>
      </c>
      <c r="Z1613" t="s">
        <v>30</v>
      </c>
      <c r="AA1613">
        <v>0</v>
      </c>
      <c r="AB1613" t="s">
        <v>31</v>
      </c>
      <c r="AC1613">
        <v>0</v>
      </c>
      <c r="AD1613" t="s">
        <v>31</v>
      </c>
      <c r="AE1613">
        <v>0</v>
      </c>
      <c r="AF1613" t="s">
        <v>31</v>
      </c>
      <c r="AG1613">
        <v>0</v>
      </c>
      <c r="AH1613" t="s">
        <v>31</v>
      </c>
      <c r="AI1613">
        <v>0</v>
      </c>
      <c r="AJ1613" t="s">
        <v>31</v>
      </c>
      <c r="AK1613">
        <v>0</v>
      </c>
      <c r="AL1613" t="s">
        <v>31</v>
      </c>
      <c r="AM1613">
        <v>0</v>
      </c>
      <c r="AN1613" t="s">
        <v>31</v>
      </c>
      <c r="AO1613">
        <v>0</v>
      </c>
      <c r="AP1613" t="s">
        <v>31</v>
      </c>
      <c r="AQ1613">
        <v>0</v>
      </c>
    </row>
    <row r="1614" spans="1:43" x14ac:dyDescent="0.2">
      <c r="A1614" t="s">
        <v>381</v>
      </c>
      <c r="B1614" s="3">
        <v>44361</v>
      </c>
      <c r="C1614">
        <v>135</v>
      </c>
      <c r="D1614" t="s">
        <v>390</v>
      </c>
      <c r="E1614" t="s">
        <v>124</v>
      </c>
      <c r="F1614" s="9" t="s">
        <v>182</v>
      </c>
      <c r="G1614" t="s">
        <v>26</v>
      </c>
      <c r="H1614" t="s">
        <v>51</v>
      </c>
      <c r="I1614" t="s">
        <v>52</v>
      </c>
      <c r="J1614" t="s">
        <v>29</v>
      </c>
      <c r="K1614" t="s">
        <v>30</v>
      </c>
      <c r="L1614" t="s">
        <v>29</v>
      </c>
      <c r="M1614" t="s">
        <v>30</v>
      </c>
      <c r="N1614" t="s">
        <v>51</v>
      </c>
      <c r="O1614" t="s">
        <v>52</v>
      </c>
      <c r="P1614" t="s">
        <v>29</v>
      </c>
      <c r="Q1614" t="s">
        <v>30</v>
      </c>
      <c r="R1614" s="1">
        <v>44361.412314814814</v>
      </c>
      <c r="S1614" s="1">
        <v>44361.482870370368</v>
      </c>
      <c r="T1614">
        <v>2</v>
      </c>
      <c r="U1614">
        <v>3</v>
      </c>
      <c r="V1614" s="2">
        <v>0.66</v>
      </c>
      <c r="W1614">
        <v>0</v>
      </c>
      <c r="X1614" t="s">
        <v>183</v>
      </c>
      <c r="Y1614">
        <v>0</v>
      </c>
      <c r="Z1614" t="s">
        <v>30</v>
      </c>
      <c r="AA1614">
        <v>0</v>
      </c>
      <c r="AB1614" t="s">
        <v>30</v>
      </c>
      <c r="AC1614">
        <v>0</v>
      </c>
      <c r="AD1614" t="s">
        <v>31</v>
      </c>
      <c r="AE1614">
        <v>0</v>
      </c>
      <c r="AF1614" t="s">
        <v>31</v>
      </c>
      <c r="AG1614">
        <v>0</v>
      </c>
      <c r="AH1614" t="s">
        <v>31</v>
      </c>
      <c r="AI1614">
        <v>0</v>
      </c>
      <c r="AJ1614" t="s">
        <v>31</v>
      </c>
      <c r="AK1614">
        <v>0</v>
      </c>
      <c r="AL1614" t="s">
        <v>31</v>
      </c>
      <c r="AM1614">
        <v>0</v>
      </c>
      <c r="AN1614" t="s">
        <v>31</v>
      </c>
      <c r="AO1614">
        <v>0</v>
      </c>
      <c r="AP1614" t="s">
        <v>31</v>
      </c>
      <c r="AQ1614">
        <v>0</v>
      </c>
    </row>
    <row r="1615" spans="1:43" x14ac:dyDescent="0.2">
      <c r="A1615" t="s">
        <v>381</v>
      </c>
      <c r="B1615" s="3">
        <v>44364</v>
      </c>
      <c r="C1615">
        <v>138</v>
      </c>
      <c r="D1615" t="s">
        <v>399</v>
      </c>
      <c r="E1615" t="s">
        <v>124</v>
      </c>
      <c r="F1615" s="9" t="s">
        <v>182</v>
      </c>
      <c r="G1615" t="s">
        <v>26</v>
      </c>
      <c r="H1615" t="s">
        <v>51</v>
      </c>
      <c r="I1615" t="s">
        <v>52</v>
      </c>
      <c r="J1615" t="s">
        <v>29</v>
      </c>
      <c r="K1615" t="s">
        <v>30</v>
      </c>
      <c r="L1615" t="s">
        <v>29</v>
      </c>
      <c r="M1615" t="s">
        <v>30</v>
      </c>
      <c r="N1615" t="s">
        <v>51</v>
      </c>
      <c r="O1615" t="s">
        <v>52</v>
      </c>
      <c r="P1615" t="s">
        <v>29</v>
      </c>
      <c r="Q1615" t="s">
        <v>30</v>
      </c>
      <c r="R1615" s="1">
        <v>44364.454861111109</v>
      </c>
      <c r="S1615" s="1">
        <v>44364.454861111109</v>
      </c>
      <c r="T1615">
        <v>1</v>
      </c>
      <c r="U1615">
        <v>1</v>
      </c>
      <c r="V1615" s="2">
        <v>1</v>
      </c>
      <c r="W1615">
        <v>0</v>
      </c>
      <c r="X1615" t="s">
        <v>30</v>
      </c>
      <c r="Y1615">
        <v>0</v>
      </c>
      <c r="Z1615" t="s">
        <v>31</v>
      </c>
      <c r="AA1615">
        <v>0</v>
      </c>
      <c r="AB1615" t="s">
        <v>31</v>
      </c>
      <c r="AC1615">
        <v>0</v>
      </c>
      <c r="AD1615" t="s">
        <v>31</v>
      </c>
      <c r="AE1615">
        <v>0</v>
      </c>
      <c r="AF1615" t="s">
        <v>31</v>
      </c>
      <c r="AG1615">
        <v>0</v>
      </c>
      <c r="AH1615" t="s">
        <v>31</v>
      </c>
      <c r="AI1615">
        <v>0</v>
      </c>
      <c r="AJ1615" t="s">
        <v>31</v>
      </c>
      <c r="AK1615">
        <v>0</v>
      </c>
      <c r="AL1615" t="s">
        <v>31</v>
      </c>
      <c r="AM1615">
        <v>0</v>
      </c>
      <c r="AN1615" t="s">
        <v>31</v>
      </c>
      <c r="AO1615">
        <v>0</v>
      </c>
      <c r="AP1615" t="s">
        <v>31</v>
      </c>
      <c r="AQ1615">
        <v>0</v>
      </c>
    </row>
    <row r="1616" spans="1:43" x14ac:dyDescent="0.2">
      <c r="A1616" t="s">
        <v>381</v>
      </c>
      <c r="B1616" s="3">
        <v>44365</v>
      </c>
      <c r="C1616">
        <v>140</v>
      </c>
      <c r="D1616" t="s">
        <v>399</v>
      </c>
      <c r="E1616" t="s">
        <v>124</v>
      </c>
      <c r="F1616" s="9" t="s">
        <v>182</v>
      </c>
      <c r="G1616" t="s">
        <v>26</v>
      </c>
      <c r="H1616" t="s">
        <v>51</v>
      </c>
      <c r="I1616" t="s">
        <v>52</v>
      </c>
      <c r="J1616" t="s">
        <v>29</v>
      </c>
      <c r="K1616" t="s">
        <v>30</v>
      </c>
      <c r="L1616" t="s">
        <v>29</v>
      </c>
      <c r="M1616" t="s">
        <v>30</v>
      </c>
      <c r="N1616" t="s">
        <v>51</v>
      </c>
      <c r="O1616" t="s">
        <v>52</v>
      </c>
      <c r="P1616" t="s">
        <v>29</v>
      </c>
      <c r="Q1616" t="s">
        <v>30</v>
      </c>
      <c r="R1616" s="1">
        <v>44365.631724537037</v>
      </c>
      <c r="S1616" s="1">
        <v>44365.632060185184</v>
      </c>
      <c r="T1616">
        <v>1</v>
      </c>
      <c r="U1616">
        <v>1</v>
      </c>
      <c r="V1616" s="2">
        <v>1</v>
      </c>
      <c r="W1616">
        <v>0</v>
      </c>
      <c r="X1616" t="s">
        <v>30</v>
      </c>
      <c r="Y1616">
        <v>0</v>
      </c>
      <c r="Z1616" t="s">
        <v>31</v>
      </c>
      <c r="AA1616">
        <v>0</v>
      </c>
      <c r="AB1616" t="s">
        <v>31</v>
      </c>
      <c r="AC1616">
        <v>0</v>
      </c>
      <c r="AD1616" t="s">
        <v>31</v>
      </c>
      <c r="AE1616">
        <v>0</v>
      </c>
      <c r="AF1616" t="s">
        <v>31</v>
      </c>
      <c r="AG1616">
        <v>0</v>
      </c>
      <c r="AH1616" t="s">
        <v>31</v>
      </c>
      <c r="AI1616">
        <v>0</v>
      </c>
      <c r="AJ1616" t="s">
        <v>31</v>
      </c>
      <c r="AK1616">
        <v>0</v>
      </c>
      <c r="AL1616" t="s">
        <v>31</v>
      </c>
      <c r="AM1616">
        <v>0</v>
      </c>
      <c r="AN1616" t="s">
        <v>31</v>
      </c>
      <c r="AO1616">
        <v>0</v>
      </c>
      <c r="AP1616" t="s">
        <v>31</v>
      </c>
      <c r="AQ1616">
        <v>0</v>
      </c>
    </row>
    <row r="1617" spans="1:43" x14ac:dyDescent="0.2">
      <c r="A1617" t="s">
        <v>381</v>
      </c>
      <c r="B1617" s="3">
        <v>44375</v>
      </c>
      <c r="C1617">
        <v>141</v>
      </c>
      <c r="D1617" t="s">
        <v>396</v>
      </c>
      <c r="E1617" t="s">
        <v>124</v>
      </c>
      <c r="F1617" s="9" t="s">
        <v>182</v>
      </c>
      <c r="G1617" t="s">
        <v>26</v>
      </c>
      <c r="H1617" t="s">
        <v>51</v>
      </c>
      <c r="I1617" t="s">
        <v>52</v>
      </c>
      <c r="J1617" t="s">
        <v>29</v>
      </c>
      <c r="K1617" t="s">
        <v>30</v>
      </c>
      <c r="L1617" t="s">
        <v>29</v>
      </c>
      <c r="M1617" t="s">
        <v>30</v>
      </c>
      <c r="N1617" t="s">
        <v>51</v>
      </c>
      <c r="O1617" t="s">
        <v>52</v>
      </c>
      <c r="P1617" t="s">
        <v>29</v>
      </c>
      <c r="Q1617" t="s">
        <v>30</v>
      </c>
      <c r="R1617" s="1">
        <v>44375.603483796294</v>
      </c>
      <c r="S1617" s="1">
        <v>44375.603483796294</v>
      </c>
      <c r="T1617">
        <v>0</v>
      </c>
      <c r="U1617">
        <v>1</v>
      </c>
      <c r="V1617" s="2">
        <v>0</v>
      </c>
      <c r="W1617">
        <v>0</v>
      </c>
      <c r="X1617" t="s">
        <v>44</v>
      </c>
      <c r="Y1617">
        <v>0</v>
      </c>
      <c r="Z1617" t="s">
        <v>31</v>
      </c>
      <c r="AA1617">
        <v>0</v>
      </c>
      <c r="AB1617" t="s">
        <v>31</v>
      </c>
      <c r="AC1617">
        <v>0</v>
      </c>
      <c r="AD1617" t="s">
        <v>31</v>
      </c>
      <c r="AE1617">
        <v>0</v>
      </c>
      <c r="AF1617" t="s">
        <v>31</v>
      </c>
      <c r="AG1617">
        <v>0</v>
      </c>
      <c r="AH1617" t="s">
        <v>31</v>
      </c>
      <c r="AI1617">
        <v>0</v>
      </c>
      <c r="AJ1617" t="s">
        <v>31</v>
      </c>
      <c r="AK1617">
        <v>0</v>
      </c>
      <c r="AL1617" t="s">
        <v>31</v>
      </c>
      <c r="AM1617">
        <v>0</v>
      </c>
      <c r="AN1617" t="s">
        <v>31</v>
      </c>
      <c r="AO1617">
        <v>0</v>
      </c>
      <c r="AP1617" t="s">
        <v>31</v>
      </c>
      <c r="AQ1617">
        <v>0</v>
      </c>
    </row>
    <row r="1618" spans="1:43" x14ac:dyDescent="0.2">
      <c r="A1618" t="s">
        <v>381</v>
      </c>
      <c r="B1618" s="3">
        <v>44207</v>
      </c>
      <c r="C1618">
        <v>1</v>
      </c>
      <c r="D1618" t="s">
        <v>384</v>
      </c>
      <c r="E1618" t="s">
        <v>72</v>
      </c>
      <c r="F1618" s="9" t="s">
        <v>73</v>
      </c>
      <c r="G1618" t="s">
        <v>26</v>
      </c>
      <c r="H1618" t="s">
        <v>34</v>
      </c>
      <c r="I1618" t="s">
        <v>35</v>
      </c>
      <c r="J1618" t="s">
        <v>29</v>
      </c>
      <c r="K1618" t="s">
        <v>30</v>
      </c>
      <c r="L1618" t="s">
        <v>29</v>
      </c>
      <c r="M1618" t="s">
        <v>30</v>
      </c>
      <c r="N1618" t="s">
        <v>34</v>
      </c>
      <c r="O1618" t="s">
        <v>35</v>
      </c>
      <c r="P1618" t="s">
        <v>29</v>
      </c>
      <c r="Q1618" t="s">
        <v>30</v>
      </c>
      <c r="R1618" s="1">
        <v>44207.430127314816</v>
      </c>
      <c r="S1618" s="1">
        <v>44207.430462962962</v>
      </c>
      <c r="T1618">
        <v>1</v>
      </c>
      <c r="U1618">
        <v>1</v>
      </c>
      <c r="V1618" s="2">
        <v>1</v>
      </c>
      <c r="W1618">
        <v>0</v>
      </c>
      <c r="X1618" t="s">
        <v>37</v>
      </c>
      <c r="Y1618">
        <v>0</v>
      </c>
      <c r="Z1618" t="s">
        <v>30</v>
      </c>
      <c r="AA1618">
        <v>0</v>
      </c>
      <c r="AB1618" t="s">
        <v>37</v>
      </c>
      <c r="AC1618">
        <v>0</v>
      </c>
      <c r="AD1618" t="s">
        <v>31</v>
      </c>
      <c r="AE1618">
        <v>0</v>
      </c>
      <c r="AF1618" t="s">
        <v>31</v>
      </c>
      <c r="AG1618">
        <v>0</v>
      </c>
      <c r="AH1618" t="s">
        <v>31</v>
      </c>
      <c r="AI1618">
        <v>0</v>
      </c>
      <c r="AJ1618" t="s">
        <v>31</v>
      </c>
      <c r="AK1618">
        <v>0</v>
      </c>
      <c r="AL1618" t="s">
        <v>31</v>
      </c>
      <c r="AM1618">
        <v>0</v>
      </c>
      <c r="AN1618" t="s">
        <v>31</v>
      </c>
      <c r="AO1618">
        <v>0</v>
      </c>
      <c r="AP1618" t="s">
        <v>31</v>
      </c>
      <c r="AQ1618">
        <v>0</v>
      </c>
    </row>
    <row r="1619" spans="1:43" x14ac:dyDescent="0.2">
      <c r="A1619" t="s">
        <v>381</v>
      </c>
      <c r="B1619" s="3">
        <v>44236</v>
      </c>
      <c r="C1619">
        <v>3</v>
      </c>
      <c r="D1619" t="s">
        <v>385</v>
      </c>
      <c r="E1619" t="s">
        <v>72</v>
      </c>
      <c r="F1619" s="9" t="s">
        <v>73</v>
      </c>
      <c r="G1619" t="s">
        <v>26</v>
      </c>
      <c r="H1619" t="s">
        <v>34</v>
      </c>
      <c r="I1619" t="s">
        <v>35</v>
      </c>
      <c r="J1619" t="s">
        <v>29</v>
      </c>
      <c r="K1619" t="s">
        <v>30</v>
      </c>
      <c r="L1619" t="s">
        <v>29</v>
      </c>
      <c r="M1619" t="s">
        <v>30</v>
      </c>
      <c r="N1619" t="s">
        <v>34</v>
      </c>
      <c r="O1619" t="s">
        <v>35</v>
      </c>
      <c r="P1619" t="s">
        <v>29</v>
      </c>
      <c r="Q1619" t="s">
        <v>30</v>
      </c>
      <c r="R1619" s="1">
        <v>44236.667627314811</v>
      </c>
      <c r="S1619" s="1">
        <v>44236.668009259258</v>
      </c>
      <c r="T1619">
        <v>0</v>
      </c>
      <c r="U1619">
        <v>0</v>
      </c>
      <c r="V1619" s="2">
        <v>0</v>
      </c>
      <c r="W1619">
        <v>0</v>
      </c>
      <c r="X1619" t="s">
        <v>37</v>
      </c>
      <c r="Y1619">
        <v>0</v>
      </c>
      <c r="Z1619" t="s">
        <v>37</v>
      </c>
      <c r="AA1619">
        <v>0</v>
      </c>
      <c r="AB1619" t="s">
        <v>37</v>
      </c>
      <c r="AC1619">
        <v>0</v>
      </c>
      <c r="AD1619" t="s">
        <v>31</v>
      </c>
      <c r="AE1619">
        <v>0</v>
      </c>
      <c r="AF1619" t="s">
        <v>31</v>
      </c>
      <c r="AG1619">
        <v>0</v>
      </c>
      <c r="AH1619" t="s">
        <v>31</v>
      </c>
      <c r="AI1619">
        <v>0</v>
      </c>
      <c r="AJ1619" t="s">
        <v>31</v>
      </c>
      <c r="AK1619">
        <v>0</v>
      </c>
      <c r="AL1619" t="s">
        <v>31</v>
      </c>
      <c r="AM1619">
        <v>0</v>
      </c>
      <c r="AN1619" t="s">
        <v>31</v>
      </c>
      <c r="AO1619">
        <v>0</v>
      </c>
      <c r="AP1619" t="s">
        <v>31</v>
      </c>
      <c r="AQ1619">
        <v>0</v>
      </c>
    </row>
    <row r="1620" spans="1:43" x14ac:dyDescent="0.2">
      <c r="A1620" t="s">
        <v>381</v>
      </c>
      <c r="B1620" s="3">
        <v>44242</v>
      </c>
      <c r="C1620">
        <v>8</v>
      </c>
      <c r="D1620" t="s">
        <v>384</v>
      </c>
      <c r="E1620" t="s">
        <v>72</v>
      </c>
      <c r="F1620" s="9" t="s">
        <v>73</v>
      </c>
      <c r="G1620" t="s">
        <v>26</v>
      </c>
      <c r="H1620" t="s">
        <v>34</v>
      </c>
      <c r="I1620" t="s">
        <v>35</v>
      </c>
      <c r="J1620" t="s">
        <v>29</v>
      </c>
      <c r="K1620" t="s">
        <v>30</v>
      </c>
      <c r="L1620" t="s">
        <v>29</v>
      </c>
      <c r="M1620" t="s">
        <v>30</v>
      </c>
      <c r="N1620" t="s">
        <v>34</v>
      </c>
      <c r="O1620" t="s">
        <v>35</v>
      </c>
      <c r="P1620" t="s">
        <v>29</v>
      </c>
      <c r="Q1620" t="s">
        <v>30</v>
      </c>
      <c r="R1620" s="1">
        <v>44242.419305555559</v>
      </c>
      <c r="S1620" s="1">
        <v>44242.419560185182</v>
      </c>
      <c r="T1620">
        <v>1</v>
      </c>
      <c r="U1620">
        <v>1</v>
      </c>
      <c r="V1620" s="2">
        <v>1</v>
      </c>
      <c r="W1620">
        <v>0</v>
      </c>
      <c r="X1620" t="s">
        <v>37</v>
      </c>
      <c r="Y1620">
        <v>0</v>
      </c>
      <c r="Z1620" t="s">
        <v>37</v>
      </c>
      <c r="AA1620">
        <v>0</v>
      </c>
      <c r="AB1620" t="s">
        <v>37</v>
      </c>
      <c r="AC1620">
        <v>0</v>
      </c>
      <c r="AD1620" t="s">
        <v>30</v>
      </c>
      <c r="AE1620">
        <v>0</v>
      </c>
      <c r="AF1620" t="s">
        <v>31</v>
      </c>
      <c r="AG1620">
        <v>0</v>
      </c>
      <c r="AH1620" t="s">
        <v>31</v>
      </c>
      <c r="AI1620">
        <v>0</v>
      </c>
      <c r="AJ1620" t="s">
        <v>31</v>
      </c>
      <c r="AK1620">
        <v>0</v>
      </c>
      <c r="AL1620" t="s">
        <v>31</v>
      </c>
      <c r="AM1620">
        <v>0</v>
      </c>
      <c r="AN1620" t="s">
        <v>31</v>
      </c>
      <c r="AO1620">
        <v>0</v>
      </c>
      <c r="AP1620" t="s">
        <v>31</v>
      </c>
      <c r="AQ1620">
        <v>0</v>
      </c>
    </row>
    <row r="1621" spans="1:43" x14ac:dyDescent="0.2">
      <c r="A1621" t="s">
        <v>381</v>
      </c>
      <c r="B1621" s="3">
        <v>44243</v>
      </c>
      <c r="C1621">
        <v>9</v>
      </c>
      <c r="D1621" t="s">
        <v>382</v>
      </c>
      <c r="E1621" t="s">
        <v>72</v>
      </c>
      <c r="F1621" s="9" t="s">
        <v>73</v>
      </c>
      <c r="G1621" t="s">
        <v>26</v>
      </c>
      <c r="H1621" t="s">
        <v>34</v>
      </c>
      <c r="I1621" t="s">
        <v>35</v>
      </c>
      <c r="J1621" t="s">
        <v>29</v>
      </c>
      <c r="K1621" t="s">
        <v>30</v>
      </c>
      <c r="L1621" t="s">
        <v>29</v>
      </c>
      <c r="M1621" t="s">
        <v>30</v>
      </c>
      <c r="N1621" t="s">
        <v>34</v>
      </c>
      <c r="O1621" t="s">
        <v>35</v>
      </c>
      <c r="P1621" t="s">
        <v>29</v>
      </c>
      <c r="Q1621" t="s">
        <v>30</v>
      </c>
      <c r="R1621" s="1">
        <v>44243.433310185188</v>
      </c>
      <c r="S1621" s="1">
        <v>44243.433310185188</v>
      </c>
      <c r="T1621">
        <v>0</v>
      </c>
      <c r="U1621">
        <v>0</v>
      </c>
      <c r="V1621" s="2">
        <v>0</v>
      </c>
      <c r="W1621">
        <v>0</v>
      </c>
      <c r="X1621" t="s">
        <v>37</v>
      </c>
      <c r="Y1621">
        <v>0</v>
      </c>
      <c r="Z1621" t="s">
        <v>37</v>
      </c>
      <c r="AA1621">
        <v>0</v>
      </c>
      <c r="AB1621" t="s">
        <v>37</v>
      </c>
      <c r="AC1621">
        <v>0</v>
      </c>
      <c r="AD1621" t="s">
        <v>31</v>
      </c>
      <c r="AE1621">
        <v>0</v>
      </c>
      <c r="AF1621" t="s">
        <v>31</v>
      </c>
      <c r="AG1621">
        <v>0</v>
      </c>
      <c r="AH1621" t="s">
        <v>31</v>
      </c>
      <c r="AI1621">
        <v>0</v>
      </c>
      <c r="AJ1621" t="s">
        <v>31</v>
      </c>
      <c r="AK1621">
        <v>0</v>
      </c>
      <c r="AL1621" t="s">
        <v>31</v>
      </c>
      <c r="AM1621">
        <v>0</v>
      </c>
      <c r="AN1621" t="s">
        <v>31</v>
      </c>
      <c r="AO1621">
        <v>0</v>
      </c>
      <c r="AP1621" t="s">
        <v>31</v>
      </c>
      <c r="AQ1621">
        <v>0</v>
      </c>
    </row>
    <row r="1622" spans="1:43" x14ac:dyDescent="0.2">
      <c r="A1622" t="s">
        <v>381</v>
      </c>
      <c r="B1622" s="3">
        <v>44243</v>
      </c>
      <c r="C1622">
        <v>10</v>
      </c>
      <c r="D1622" t="s">
        <v>385</v>
      </c>
      <c r="E1622" t="s">
        <v>72</v>
      </c>
      <c r="F1622" s="9" t="s">
        <v>73</v>
      </c>
      <c r="G1622" t="s">
        <v>26</v>
      </c>
      <c r="H1622" t="s">
        <v>34</v>
      </c>
      <c r="I1622" t="s">
        <v>35</v>
      </c>
      <c r="J1622" t="s">
        <v>29</v>
      </c>
      <c r="K1622" t="s">
        <v>30</v>
      </c>
      <c r="L1622" t="s">
        <v>29</v>
      </c>
      <c r="M1622" t="s">
        <v>30</v>
      </c>
      <c r="N1622" t="s">
        <v>34</v>
      </c>
      <c r="O1622" t="s">
        <v>35</v>
      </c>
      <c r="P1622" t="s">
        <v>29</v>
      </c>
      <c r="Q1622" t="s">
        <v>30</v>
      </c>
      <c r="R1622" s="1">
        <v>44243.599062499998</v>
      </c>
      <c r="S1622" s="1">
        <v>44243.599074074074</v>
      </c>
      <c r="T1622">
        <v>0</v>
      </c>
      <c r="U1622">
        <v>0</v>
      </c>
      <c r="V1622" s="2">
        <v>0</v>
      </c>
      <c r="W1622">
        <v>0</v>
      </c>
      <c r="X1622" t="s">
        <v>37</v>
      </c>
      <c r="Y1622">
        <v>0</v>
      </c>
      <c r="Z1622" t="s">
        <v>37</v>
      </c>
      <c r="AA1622">
        <v>0</v>
      </c>
      <c r="AB1622" t="s">
        <v>37</v>
      </c>
      <c r="AC1622">
        <v>0</v>
      </c>
      <c r="AD1622" t="s">
        <v>37</v>
      </c>
      <c r="AE1622">
        <v>0</v>
      </c>
      <c r="AF1622" t="s">
        <v>31</v>
      </c>
      <c r="AG1622">
        <v>0</v>
      </c>
      <c r="AH1622" t="s">
        <v>31</v>
      </c>
      <c r="AI1622">
        <v>0</v>
      </c>
      <c r="AJ1622" t="s">
        <v>31</v>
      </c>
      <c r="AK1622">
        <v>0</v>
      </c>
      <c r="AL1622" t="s">
        <v>31</v>
      </c>
      <c r="AM1622">
        <v>0</v>
      </c>
      <c r="AN1622" t="s">
        <v>31</v>
      </c>
      <c r="AO1622">
        <v>0</v>
      </c>
      <c r="AP1622" t="s">
        <v>31</v>
      </c>
      <c r="AQ1622">
        <v>0</v>
      </c>
    </row>
    <row r="1623" spans="1:43" x14ac:dyDescent="0.2">
      <c r="A1623" t="s">
        <v>381</v>
      </c>
      <c r="B1623" s="3">
        <v>44244</v>
      </c>
      <c r="C1623">
        <v>11</v>
      </c>
      <c r="D1623" t="s">
        <v>384</v>
      </c>
      <c r="E1623" t="s">
        <v>72</v>
      </c>
      <c r="F1623" s="9" t="s">
        <v>73</v>
      </c>
      <c r="G1623" t="s">
        <v>26</v>
      </c>
      <c r="H1623" t="s">
        <v>34</v>
      </c>
      <c r="I1623" t="s">
        <v>35</v>
      </c>
      <c r="J1623" t="s">
        <v>29</v>
      </c>
      <c r="K1623" t="s">
        <v>30</v>
      </c>
      <c r="L1623" t="s">
        <v>29</v>
      </c>
      <c r="M1623" t="s">
        <v>30</v>
      </c>
      <c r="N1623" t="s">
        <v>34</v>
      </c>
      <c r="O1623" t="s">
        <v>35</v>
      </c>
      <c r="P1623" t="s">
        <v>29</v>
      </c>
      <c r="Q1623" t="s">
        <v>30</v>
      </c>
      <c r="R1623" s="1">
        <v>44244.455416666664</v>
      </c>
      <c r="S1623" s="1">
        <v>44244.45548611111</v>
      </c>
      <c r="T1623">
        <v>1</v>
      </c>
      <c r="U1623">
        <v>1</v>
      </c>
      <c r="V1623" s="2">
        <v>1</v>
      </c>
      <c r="W1623">
        <v>0</v>
      </c>
      <c r="X1623" t="s">
        <v>37</v>
      </c>
      <c r="Y1623">
        <v>0</v>
      </c>
      <c r="Z1623" t="s">
        <v>30</v>
      </c>
      <c r="AA1623">
        <v>0</v>
      </c>
      <c r="AB1623" t="s">
        <v>31</v>
      </c>
      <c r="AC1623">
        <v>0</v>
      </c>
      <c r="AD1623" t="s">
        <v>31</v>
      </c>
      <c r="AE1623">
        <v>0</v>
      </c>
      <c r="AF1623" t="s">
        <v>31</v>
      </c>
      <c r="AG1623">
        <v>0</v>
      </c>
      <c r="AH1623" t="s">
        <v>31</v>
      </c>
      <c r="AI1623">
        <v>0</v>
      </c>
      <c r="AJ1623" t="s">
        <v>31</v>
      </c>
      <c r="AK1623">
        <v>0</v>
      </c>
      <c r="AL1623" t="s">
        <v>31</v>
      </c>
      <c r="AM1623">
        <v>0</v>
      </c>
      <c r="AN1623" t="s">
        <v>31</v>
      </c>
      <c r="AO1623">
        <v>0</v>
      </c>
      <c r="AP1623" t="s">
        <v>31</v>
      </c>
      <c r="AQ1623">
        <v>0</v>
      </c>
    </row>
    <row r="1624" spans="1:43" x14ac:dyDescent="0.2">
      <c r="A1624" t="s">
        <v>381</v>
      </c>
      <c r="B1624" s="3">
        <v>44245</v>
      </c>
      <c r="C1624">
        <v>12</v>
      </c>
      <c r="D1624" t="s">
        <v>382</v>
      </c>
      <c r="E1624" t="s">
        <v>72</v>
      </c>
      <c r="F1624" s="9" t="s">
        <v>73</v>
      </c>
      <c r="G1624" t="s">
        <v>26</v>
      </c>
      <c r="H1624" t="s">
        <v>34</v>
      </c>
      <c r="I1624" t="s">
        <v>35</v>
      </c>
      <c r="J1624" t="s">
        <v>29</v>
      </c>
      <c r="K1624" t="s">
        <v>30</v>
      </c>
      <c r="L1624" t="s">
        <v>29</v>
      </c>
      <c r="M1624" t="s">
        <v>30</v>
      </c>
      <c r="N1624" t="s">
        <v>34</v>
      </c>
      <c r="O1624" t="s">
        <v>35</v>
      </c>
      <c r="P1624" t="s">
        <v>29</v>
      </c>
      <c r="Q1624" t="s">
        <v>30</v>
      </c>
      <c r="R1624" s="1">
        <v>44245.408136574071</v>
      </c>
      <c r="S1624" s="1">
        <v>44245.408148148148</v>
      </c>
      <c r="T1624">
        <v>0</v>
      </c>
      <c r="U1624">
        <v>0</v>
      </c>
      <c r="V1624" s="2">
        <v>0</v>
      </c>
      <c r="W1624">
        <v>0</v>
      </c>
      <c r="X1624" t="s">
        <v>37</v>
      </c>
      <c r="Y1624">
        <v>0</v>
      </c>
      <c r="Z1624" t="s">
        <v>37</v>
      </c>
      <c r="AA1624">
        <v>0</v>
      </c>
      <c r="AB1624" t="s">
        <v>37</v>
      </c>
      <c r="AC1624">
        <v>0</v>
      </c>
      <c r="AD1624" t="s">
        <v>31</v>
      </c>
      <c r="AE1624">
        <v>0</v>
      </c>
      <c r="AF1624" t="s">
        <v>31</v>
      </c>
      <c r="AG1624">
        <v>0</v>
      </c>
      <c r="AH1624" t="s">
        <v>31</v>
      </c>
      <c r="AI1624">
        <v>0</v>
      </c>
      <c r="AJ1624" t="s">
        <v>31</v>
      </c>
      <c r="AK1624">
        <v>0</v>
      </c>
      <c r="AL1624" t="s">
        <v>31</v>
      </c>
      <c r="AM1624">
        <v>0</v>
      </c>
      <c r="AN1624" t="s">
        <v>31</v>
      </c>
      <c r="AO1624">
        <v>0</v>
      </c>
      <c r="AP1624" t="s">
        <v>31</v>
      </c>
      <c r="AQ1624">
        <v>0</v>
      </c>
    </row>
    <row r="1625" spans="1:43" x14ac:dyDescent="0.2">
      <c r="A1625" t="s">
        <v>381</v>
      </c>
      <c r="B1625" s="3">
        <v>44246</v>
      </c>
      <c r="C1625">
        <v>14</v>
      </c>
      <c r="D1625" t="s">
        <v>384</v>
      </c>
      <c r="E1625" t="s">
        <v>72</v>
      </c>
      <c r="F1625" s="9" t="s">
        <v>73</v>
      </c>
      <c r="G1625" t="s">
        <v>26</v>
      </c>
      <c r="H1625" t="s">
        <v>34</v>
      </c>
      <c r="I1625" t="s">
        <v>35</v>
      </c>
      <c r="J1625" t="s">
        <v>29</v>
      </c>
      <c r="K1625" t="s">
        <v>30</v>
      </c>
      <c r="L1625" t="s">
        <v>29</v>
      </c>
      <c r="M1625" t="s">
        <v>30</v>
      </c>
      <c r="N1625" t="s">
        <v>34</v>
      </c>
      <c r="O1625" t="s">
        <v>35</v>
      </c>
      <c r="P1625" t="s">
        <v>29</v>
      </c>
      <c r="Q1625" t="s">
        <v>30</v>
      </c>
      <c r="R1625" s="1">
        <v>44246.421006944445</v>
      </c>
      <c r="S1625" s="1">
        <v>44246.421273148146</v>
      </c>
      <c r="T1625">
        <v>1</v>
      </c>
      <c r="U1625">
        <v>1</v>
      </c>
      <c r="V1625" s="2">
        <v>1</v>
      </c>
      <c r="W1625">
        <v>0</v>
      </c>
      <c r="X1625" t="s">
        <v>37</v>
      </c>
      <c r="Y1625">
        <v>0</v>
      </c>
      <c r="Z1625" t="s">
        <v>37</v>
      </c>
      <c r="AA1625">
        <v>0</v>
      </c>
      <c r="AB1625" t="s">
        <v>37</v>
      </c>
      <c r="AC1625">
        <v>0</v>
      </c>
      <c r="AD1625" t="s">
        <v>30</v>
      </c>
      <c r="AE1625">
        <v>0</v>
      </c>
      <c r="AF1625" t="s">
        <v>31</v>
      </c>
      <c r="AG1625">
        <v>0</v>
      </c>
      <c r="AH1625" t="s">
        <v>31</v>
      </c>
      <c r="AI1625">
        <v>0</v>
      </c>
      <c r="AJ1625" t="s">
        <v>31</v>
      </c>
      <c r="AK1625">
        <v>0</v>
      </c>
      <c r="AL1625" t="s">
        <v>31</v>
      </c>
      <c r="AM1625">
        <v>0</v>
      </c>
      <c r="AN1625" t="s">
        <v>31</v>
      </c>
      <c r="AO1625">
        <v>0</v>
      </c>
      <c r="AP1625" t="s">
        <v>31</v>
      </c>
      <c r="AQ1625">
        <v>0</v>
      </c>
    </row>
    <row r="1626" spans="1:43" x14ac:dyDescent="0.2">
      <c r="A1626" t="s">
        <v>381</v>
      </c>
      <c r="B1626" s="3">
        <v>44249</v>
      </c>
      <c r="C1626">
        <v>15</v>
      </c>
      <c r="D1626" t="s">
        <v>384</v>
      </c>
      <c r="E1626" t="s">
        <v>72</v>
      </c>
      <c r="F1626" s="9" t="s">
        <v>73</v>
      </c>
      <c r="G1626" t="s">
        <v>26</v>
      </c>
      <c r="H1626" t="s">
        <v>34</v>
      </c>
      <c r="I1626" t="s">
        <v>35</v>
      </c>
      <c r="J1626" t="s">
        <v>29</v>
      </c>
      <c r="K1626" t="s">
        <v>30</v>
      </c>
      <c r="L1626" t="s">
        <v>29</v>
      </c>
      <c r="M1626" t="s">
        <v>30</v>
      </c>
      <c r="N1626" t="s">
        <v>34</v>
      </c>
      <c r="O1626" t="s">
        <v>35</v>
      </c>
      <c r="P1626" t="s">
        <v>29</v>
      </c>
      <c r="Q1626" t="s">
        <v>30</v>
      </c>
      <c r="R1626" s="1">
        <v>44249.440671296295</v>
      </c>
      <c r="S1626" s="1">
        <v>44249.44091435185</v>
      </c>
      <c r="T1626">
        <v>1</v>
      </c>
      <c r="U1626">
        <v>1</v>
      </c>
      <c r="V1626" s="2">
        <v>1</v>
      </c>
      <c r="W1626">
        <v>0</v>
      </c>
      <c r="X1626" t="s">
        <v>37</v>
      </c>
      <c r="Y1626">
        <v>0</v>
      </c>
      <c r="Z1626" t="s">
        <v>37</v>
      </c>
      <c r="AA1626">
        <v>0</v>
      </c>
      <c r="AB1626" t="s">
        <v>37</v>
      </c>
      <c r="AC1626">
        <v>0</v>
      </c>
      <c r="AD1626" t="s">
        <v>30</v>
      </c>
      <c r="AE1626">
        <v>0</v>
      </c>
      <c r="AF1626" t="s">
        <v>31</v>
      </c>
      <c r="AG1626">
        <v>0</v>
      </c>
      <c r="AH1626" t="s">
        <v>31</v>
      </c>
      <c r="AI1626">
        <v>0</v>
      </c>
      <c r="AJ1626" t="s">
        <v>31</v>
      </c>
      <c r="AK1626">
        <v>0</v>
      </c>
      <c r="AL1626" t="s">
        <v>31</v>
      </c>
      <c r="AM1626">
        <v>0</v>
      </c>
      <c r="AN1626" t="s">
        <v>31</v>
      </c>
      <c r="AO1626">
        <v>0</v>
      </c>
      <c r="AP1626" t="s">
        <v>31</v>
      </c>
      <c r="AQ1626">
        <v>0</v>
      </c>
    </row>
    <row r="1627" spans="1:43" x14ac:dyDescent="0.2">
      <c r="A1627" t="s">
        <v>381</v>
      </c>
      <c r="B1627" s="3">
        <v>44250</v>
      </c>
      <c r="C1627">
        <v>16</v>
      </c>
      <c r="D1627" t="s">
        <v>382</v>
      </c>
      <c r="E1627" t="s">
        <v>72</v>
      </c>
      <c r="F1627" s="9" t="s">
        <v>73</v>
      </c>
      <c r="G1627" t="s">
        <v>26</v>
      </c>
      <c r="H1627" t="s">
        <v>34</v>
      </c>
      <c r="I1627" t="s">
        <v>35</v>
      </c>
      <c r="J1627" t="s">
        <v>29</v>
      </c>
      <c r="K1627" t="s">
        <v>30</v>
      </c>
      <c r="L1627" t="s">
        <v>29</v>
      </c>
      <c r="M1627" t="s">
        <v>30</v>
      </c>
      <c r="N1627" t="s">
        <v>34</v>
      </c>
      <c r="O1627" t="s">
        <v>35</v>
      </c>
      <c r="P1627" t="s">
        <v>29</v>
      </c>
      <c r="Q1627" t="s">
        <v>30</v>
      </c>
      <c r="R1627" s="1">
        <v>44250.435104166667</v>
      </c>
      <c r="S1627" s="1">
        <v>44250.435115740744</v>
      </c>
      <c r="T1627">
        <v>0</v>
      </c>
      <c r="U1627">
        <v>0</v>
      </c>
      <c r="V1627" s="2">
        <v>0</v>
      </c>
      <c r="W1627">
        <v>0</v>
      </c>
      <c r="X1627" t="s">
        <v>37</v>
      </c>
      <c r="Y1627">
        <v>0</v>
      </c>
      <c r="Z1627" t="s">
        <v>37</v>
      </c>
      <c r="AA1627">
        <v>0</v>
      </c>
      <c r="AB1627" t="s">
        <v>37</v>
      </c>
      <c r="AC1627">
        <v>0</v>
      </c>
      <c r="AD1627" t="s">
        <v>31</v>
      </c>
      <c r="AE1627">
        <v>0</v>
      </c>
      <c r="AF1627" t="s">
        <v>31</v>
      </c>
      <c r="AG1627">
        <v>0</v>
      </c>
      <c r="AH1627" t="s">
        <v>31</v>
      </c>
      <c r="AI1627">
        <v>0</v>
      </c>
      <c r="AJ1627" t="s">
        <v>31</v>
      </c>
      <c r="AK1627">
        <v>0</v>
      </c>
      <c r="AL1627" t="s">
        <v>31</v>
      </c>
      <c r="AM1627">
        <v>0</v>
      </c>
      <c r="AN1627" t="s">
        <v>31</v>
      </c>
      <c r="AO1627">
        <v>0</v>
      </c>
      <c r="AP1627" t="s">
        <v>31</v>
      </c>
      <c r="AQ1627">
        <v>0</v>
      </c>
    </row>
    <row r="1628" spans="1:43" x14ac:dyDescent="0.2">
      <c r="A1628" t="s">
        <v>381</v>
      </c>
      <c r="B1628" s="3">
        <v>44250</v>
      </c>
      <c r="C1628">
        <v>17</v>
      </c>
      <c r="D1628" t="s">
        <v>385</v>
      </c>
      <c r="E1628" t="s">
        <v>72</v>
      </c>
      <c r="F1628" s="9" t="s">
        <v>73</v>
      </c>
      <c r="G1628" t="s">
        <v>26</v>
      </c>
      <c r="H1628" t="s">
        <v>34</v>
      </c>
      <c r="I1628" t="s">
        <v>35</v>
      </c>
      <c r="J1628" t="s">
        <v>29</v>
      </c>
      <c r="K1628" t="s">
        <v>30</v>
      </c>
      <c r="L1628" t="s">
        <v>29</v>
      </c>
      <c r="M1628" t="s">
        <v>30</v>
      </c>
      <c r="N1628" t="s">
        <v>34</v>
      </c>
      <c r="O1628" t="s">
        <v>35</v>
      </c>
      <c r="P1628" t="s">
        <v>29</v>
      </c>
      <c r="Q1628" t="s">
        <v>30</v>
      </c>
      <c r="R1628" s="1">
        <v>44250.655659722222</v>
      </c>
      <c r="S1628" s="1">
        <v>44250.656122685185</v>
      </c>
      <c r="T1628">
        <v>0</v>
      </c>
      <c r="U1628">
        <v>0</v>
      </c>
      <c r="V1628" s="2">
        <v>0</v>
      </c>
      <c r="W1628">
        <v>0</v>
      </c>
      <c r="X1628" t="s">
        <v>37</v>
      </c>
      <c r="Y1628">
        <v>0</v>
      </c>
      <c r="Z1628" t="s">
        <v>37</v>
      </c>
      <c r="AA1628">
        <v>0</v>
      </c>
      <c r="AB1628" t="s">
        <v>37</v>
      </c>
      <c r="AC1628">
        <v>0</v>
      </c>
      <c r="AD1628" t="s">
        <v>31</v>
      </c>
      <c r="AE1628">
        <v>0</v>
      </c>
      <c r="AF1628" t="s">
        <v>31</v>
      </c>
      <c r="AG1628">
        <v>0</v>
      </c>
      <c r="AH1628" t="s">
        <v>31</v>
      </c>
      <c r="AI1628">
        <v>0</v>
      </c>
      <c r="AJ1628" t="s">
        <v>31</v>
      </c>
      <c r="AK1628">
        <v>0</v>
      </c>
      <c r="AL1628" t="s">
        <v>31</v>
      </c>
      <c r="AM1628">
        <v>0</v>
      </c>
      <c r="AN1628" t="s">
        <v>31</v>
      </c>
      <c r="AO1628">
        <v>0</v>
      </c>
      <c r="AP1628" t="s">
        <v>31</v>
      </c>
      <c r="AQ1628">
        <v>0</v>
      </c>
    </row>
    <row r="1629" spans="1:43" x14ac:dyDescent="0.2">
      <c r="A1629" t="s">
        <v>381</v>
      </c>
      <c r="B1629" s="3">
        <v>44251</v>
      </c>
      <c r="C1629">
        <v>18</v>
      </c>
      <c r="D1629" t="s">
        <v>384</v>
      </c>
      <c r="E1629" t="s">
        <v>72</v>
      </c>
      <c r="F1629" s="9" t="s">
        <v>73</v>
      </c>
      <c r="G1629" t="s">
        <v>26</v>
      </c>
      <c r="H1629" t="s">
        <v>34</v>
      </c>
      <c r="I1629" t="s">
        <v>35</v>
      </c>
      <c r="J1629" t="s">
        <v>29</v>
      </c>
      <c r="K1629" t="s">
        <v>30</v>
      </c>
      <c r="L1629" t="s">
        <v>29</v>
      </c>
      <c r="M1629" t="s">
        <v>30</v>
      </c>
      <c r="N1629" t="s">
        <v>34</v>
      </c>
      <c r="O1629" t="s">
        <v>35</v>
      </c>
      <c r="P1629" t="s">
        <v>29</v>
      </c>
      <c r="Q1629" t="s">
        <v>30</v>
      </c>
      <c r="R1629" s="1">
        <v>44251.392094907409</v>
      </c>
      <c r="S1629" s="1">
        <v>44251.392800925925</v>
      </c>
      <c r="T1629">
        <v>0</v>
      </c>
      <c r="U1629">
        <v>0</v>
      </c>
      <c r="V1629" s="2">
        <v>0</v>
      </c>
      <c r="W1629">
        <v>0</v>
      </c>
      <c r="X1629" t="s">
        <v>37</v>
      </c>
      <c r="Y1629">
        <v>0</v>
      </c>
      <c r="Z1629" t="s">
        <v>37</v>
      </c>
      <c r="AA1629">
        <v>0</v>
      </c>
      <c r="AB1629" t="s">
        <v>37</v>
      </c>
      <c r="AC1629">
        <v>0</v>
      </c>
      <c r="AD1629" t="s">
        <v>37</v>
      </c>
      <c r="AE1629">
        <v>0</v>
      </c>
      <c r="AF1629" t="s">
        <v>37</v>
      </c>
      <c r="AG1629">
        <v>0</v>
      </c>
      <c r="AH1629" t="s">
        <v>31</v>
      </c>
      <c r="AI1629">
        <v>0</v>
      </c>
      <c r="AJ1629" t="s">
        <v>31</v>
      </c>
      <c r="AK1629">
        <v>0</v>
      </c>
      <c r="AL1629" t="s">
        <v>31</v>
      </c>
      <c r="AM1629">
        <v>0</v>
      </c>
      <c r="AN1629" t="s">
        <v>31</v>
      </c>
      <c r="AO1629">
        <v>0</v>
      </c>
      <c r="AP1629" t="s">
        <v>31</v>
      </c>
      <c r="AQ1629">
        <v>0</v>
      </c>
    </row>
    <row r="1630" spans="1:43" x14ac:dyDescent="0.2">
      <c r="A1630" t="s">
        <v>381</v>
      </c>
      <c r="B1630" s="3">
        <v>44252</v>
      </c>
      <c r="C1630">
        <v>19</v>
      </c>
      <c r="D1630" t="s">
        <v>382</v>
      </c>
      <c r="E1630" t="s">
        <v>72</v>
      </c>
      <c r="F1630" s="9" t="s">
        <v>73</v>
      </c>
      <c r="G1630" t="s">
        <v>26</v>
      </c>
      <c r="H1630" t="s">
        <v>34</v>
      </c>
      <c r="I1630" t="s">
        <v>35</v>
      </c>
      <c r="J1630" t="s">
        <v>29</v>
      </c>
      <c r="K1630" t="s">
        <v>30</v>
      </c>
      <c r="L1630" t="s">
        <v>29</v>
      </c>
      <c r="M1630" t="s">
        <v>30</v>
      </c>
      <c r="N1630" t="s">
        <v>34</v>
      </c>
      <c r="O1630" t="s">
        <v>35</v>
      </c>
      <c r="P1630" t="s">
        <v>29</v>
      </c>
      <c r="Q1630" t="s">
        <v>30</v>
      </c>
      <c r="R1630" s="1">
        <v>44252.394155092596</v>
      </c>
      <c r="S1630" s="1">
        <v>44252.394166666665</v>
      </c>
      <c r="T1630">
        <v>0</v>
      </c>
      <c r="U1630">
        <v>0</v>
      </c>
      <c r="V1630" s="2">
        <v>0</v>
      </c>
      <c r="W1630">
        <v>0</v>
      </c>
      <c r="X1630" t="s">
        <v>37</v>
      </c>
      <c r="Y1630">
        <v>0</v>
      </c>
      <c r="Z1630" t="s">
        <v>37</v>
      </c>
      <c r="AA1630">
        <v>0</v>
      </c>
      <c r="AB1630" t="s">
        <v>37</v>
      </c>
      <c r="AC1630">
        <v>0</v>
      </c>
      <c r="AD1630" t="s">
        <v>31</v>
      </c>
      <c r="AE1630">
        <v>0</v>
      </c>
      <c r="AF1630" t="s">
        <v>31</v>
      </c>
      <c r="AG1630">
        <v>0</v>
      </c>
      <c r="AH1630" t="s">
        <v>31</v>
      </c>
      <c r="AI1630">
        <v>0</v>
      </c>
      <c r="AJ1630" t="s">
        <v>31</v>
      </c>
      <c r="AK1630">
        <v>0</v>
      </c>
      <c r="AL1630" t="s">
        <v>31</v>
      </c>
      <c r="AM1630">
        <v>0</v>
      </c>
      <c r="AN1630" t="s">
        <v>31</v>
      </c>
      <c r="AO1630">
        <v>0</v>
      </c>
      <c r="AP1630" t="s">
        <v>31</v>
      </c>
      <c r="AQ1630">
        <v>0</v>
      </c>
    </row>
    <row r="1631" spans="1:43" x14ac:dyDescent="0.2">
      <c r="A1631" t="s">
        <v>381</v>
      </c>
      <c r="B1631" s="3">
        <v>44252</v>
      </c>
      <c r="C1631">
        <v>20</v>
      </c>
      <c r="D1631" t="s">
        <v>385</v>
      </c>
      <c r="E1631" t="s">
        <v>72</v>
      </c>
      <c r="F1631" s="9" t="s">
        <v>73</v>
      </c>
      <c r="G1631" t="s">
        <v>26</v>
      </c>
      <c r="H1631" t="s">
        <v>34</v>
      </c>
      <c r="I1631" t="s">
        <v>35</v>
      </c>
      <c r="J1631" t="s">
        <v>29</v>
      </c>
      <c r="K1631" t="s">
        <v>30</v>
      </c>
      <c r="L1631" t="s">
        <v>29</v>
      </c>
      <c r="M1631" t="s">
        <v>30</v>
      </c>
      <c r="N1631" t="s">
        <v>34</v>
      </c>
      <c r="O1631" t="s">
        <v>35</v>
      </c>
      <c r="P1631" t="s">
        <v>29</v>
      </c>
      <c r="Q1631" t="s">
        <v>30</v>
      </c>
      <c r="R1631" s="1">
        <v>44252.63858796296</v>
      </c>
      <c r="S1631" s="1">
        <v>44252.639004629629</v>
      </c>
      <c r="T1631">
        <v>0</v>
      </c>
      <c r="U1631">
        <v>0</v>
      </c>
      <c r="V1631" s="2">
        <v>0</v>
      </c>
      <c r="W1631">
        <v>0</v>
      </c>
      <c r="X1631" t="s">
        <v>37</v>
      </c>
      <c r="Y1631">
        <v>0</v>
      </c>
      <c r="Z1631" t="s">
        <v>37</v>
      </c>
      <c r="AA1631">
        <v>0</v>
      </c>
      <c r="AB1631" t="s">
        <v>37</v>
      </c>
      <c r="AC1631">
        <v>0</v>
      </c>
      <c r="AD1631" t="s">
        <v>31</v>
      </c>
      <c r="AE1631">
        <v>0</v>
      </c>
      <c r="AF1631" t="s">
        <v>31</v>
      </c>
      <c r="AG1631">
        <v>0</v>
      </c>
      <c r="AH1631" t="s">
        <v>31</v>
      </c>
      <c r="AI1631">
        <v>0</v>
      </c>
      <c r="AJ1631" t="s">
        <v>31</v>
      </c>
      <c r="AK1631">
        <v>0</v>
      </c>
      <c r="AL1631" t="s">
        <v>31</v>
      </c>
      <c r="AM1631">
        <v>0</v>
      </c>
      <c r="AN1631" t="s">
        <v>31</v>
      </c>
      <c r="AO1631">
        <v>0</v>
      </c>
      <c r="AP1631" t="s">
        <v>31</v>
      </c>
      <c r="AQ1631">
        <v>0</v>
      </c>
    </row>
    <row r="1632" spans="1:43" x14ac:dyDescent="0.2">
      <c r="A1632" t="s">
        <v>381</v>
      </c>
      <c r="B1632" s="3">
        <v>44253</v>
      </c>
      <c r="C1632">
        <v>21</v>
      </c>
      <c r="D1632" t="s">
        <v>384</v>
      </c>
      <c r="E1632" t="s">
        <v>72</v>
      </c>
      <c r="F1632" s="9" t="s">
        <v>73</v>
      </c>
      <c r="G1632" t="s">
        <v>26</v>
      </c>
      <c r="H1632" t="s">
        <v>34</v>
      </c>
      <c r="I1632" t="s">
        <v>35</v>
      </c>
      <c r="J1632" t="s">
        <v>29</v>
      </c>
      <c r="K1632" t="s">
        <v>30</v>
      </c>
      <c r="L1632" t="s">
        <v>29</v>
      </c>
      <c r="M1632" t="s">
        <v>30</v>
      </c>
      <c r="N1632" t="s">
        <v>34</v>
      </c>
      <c r="O1632" t="s">
        <v>35</v>
      </c>
      <c r="P1632" t="s">
        <v>29</v>
      </c>
      <c r="Q1632" t="s">
        <v>30</v>
      </c>
      <c r="R1632" s="1">
        <v>44253.391273148147</v>
      </c>
      <c r="S1632" s="1">
        <v>44253.391712962963</v>
      </c>
      <c r="T1632">
        <v>1</v>
      </c>
      <c r="U1632">
        <v>1</v>
      </c>
      <c r="V1632" s="2">
        <v>1</v>
      </c>
      <c r="W1632">
        <v>0</v>
      </c>
      <c r="X1632" t="s">
        <v>37</v>
      </c>
      <c r="Y1632">
        <v>0</v>
      </c>
      <c r="Z1632" t="s">
        <v>30</v>
      </c>
      <c r="AA1632">
        <v>0</v>
      </c>
      <c r="AB1632" t="s">
        <v>37</v>
      </c>
      <c r="AC1632">
        <v>0</v>
      </c>
      <c r="AD1632" t="s">
        <v>37</v>
      </c>
      <c r="AE1632">
        <v>0</v>
      </c>
      <c r="AF1632" t="s">
        <v>31</v>
      </c>
      <c r="AG1632">
        <v>0</v>
      </c>
      <c r="AH1632" t="s">
        <v>31</v>
      </c>
      <c r="AI1632">
        <v>0</v>
      </c>
      <c r="AJ1632" t="s">
        <v>31</v>
      </c>
      <c r="AK1632">
        <v>0</v>
      </c>
      <c r="AL1632" t="s">
        <v>31</v>
      </c>
      <c r="AM1632">
        <v>0</v>
      </c>
      <c r="AN1632" t="s">
        <v>31</v>
      </c>
      <c r="AO1632">
        <v>0</v>
      </c>
      <c r="AP1632" t="s">
        <v>31</v>
      </c>
      <c r="AQ1632">
        <v>0</v>
      </c>
    </row>
    <row r="1633" spans="1:43" x14ac:dyDescent="0.2">
      <c r="A1633" t="s">
        <v>381</v>
      </c>
      <c r="B1633" s="3">
        <v>44256</v>
      </c>
      <c r="C1633">
        <v>22</v>
      </c>
      <c r="D1633" t="s">
        <v>384</v>
      </c>
      <c r="E1633" t="s">
        <v>72</v>
      </c>
      <c r="F1633" s="9" t="s">
        <v>73</v>
      </c>
      <c r="G1633" t="s">
        <v>26</v>
      </c>
      <c r="H1633" t="s">
        <v>34</v>
      </c>
      <c r="I1633" t="s">
        <v>35</v>
      </c>
      <c r="J1633" t="s">
        <v>29</v>
      </c>
      <c r="K1633" t="s">
        <v>30</v>
      </c>
      <c r="L1633" t="s">
        <v>29</v>
      </c>
      <c r="M1633" t="s">
        <v>30</v>
      </c>
      <c r="N1633" t="s">
        <v>34</v>
      </c>
      <c r="O1633" t="s">
        <v>35</v>
      </c>
      <c r="P1633" t="s">
        <v>29</v>
      </c>
      <c r="Q1633" t="s">
        <v>30</v>
      </c>
      <c r="R1633" s="1">
        <v>44256.409930555557</v>
      </c>
      <c r="S1633" s="1">
        <v>44256.410277777781</v>
      </c>
      <c r="T1633">
        <v>0</v>
      </c>
      <c r="U1633">
        <v>0</v>
      </c>
      <c r="V1633" s="2">
        <v>0</v>
      </c>
      <c r="W1633">
        <v>0</v>
      </c>
      <c r="X1633" t="s">
        <v>37</v>
      </c>
      <c r="Y1633">
        <v>0</v>
      </c>
      <c r="Z1633" t="s">
        <v>37</v>
      </c>
      <c r="AA1633">
        <v>0</v>
      </c>
      <c r="AB1633" t="s">
        <v>37</v>
      </c>
      <c r="AC1633">
        <v>0</v>
      </c>
      <c r="AD1633" t="s">
        <v>37</v>
      </c>
      <c r="AE1633">
        <v>0</v>
      </c>
      <c r="AF1633" t="s">
        <v>31</v>
      </c>
      <c r="AG1633">
        <v>0</v>
      </c>
      <c r="AH1633" t="s">
        <v>31</v>
      </c>
      <c r="AI1633">
        <v>0</v>
      </c>
      <c r="AJ1633" t="s">
        <v>31</v>
      </c>
      <c r="AK1633">
        <v>0</v>
      </c>
      <c r="AL1633" t="s">
        <v>31</v>
      </c>
      <c r="AM1633">
        <v>0</v>
      </c>
      <c r="AN1633" t="s">
        <v>31</v>
      </c>
      <c r="AO1633">
        <v>0</v>
      </c>
      <c r="AP1633" t="s">
        <v>31</v>
      </c>
      <c r="AQ1633">
        <v>0</v>
      </c>
    </row>
    <row r="1634" spans="1:43" x14ac:dyDescent="0.2">
      <c r="A1634" t="s">
        <v>381</v>
      </c>
      <c r="B1634" s="3">
        <v>44257</v>
      </c>
      <c r="C1634">
        <v>23</v>
      </c>
      <c r="D1634" t="s">
        <v>382</v>
      </c>
      <c r="E1634" t="s">
        <v>72</v>
      </c>
      <c r="F1634" s="9" t="s">
        <v>73</v>
      </c>
      <c r="G1634" t="s">
        <v>26</v>
      </c>
      <c r="H1634" t="s">
        <v>34</v>
      </c>
      <c r="I1634" t="s">
        <v>35</v>
      </c>
      <c r="J1634" t="s">
        <v>29</v>
      </c>
      <c r="K1634" t="s">
        <v>30</v>
      </c>
      <c r="L1634" t="s">
        <v>29</v>
      </c>
      <c r="M1634" t="s">
        <v>30</v>
      </c>
      <c r="N1634" t="s">
        <v>34</v>
      </c>
      <c r="O1634" t="s">
        <v>35</v>
      </c>
      <c r="P1634" t="s">
        <v>29</v>
      </c>
      <c r="Q1634" t="s">
        <v>30</v>
      </c>
      <c r="R1634" s="1">
        <v>44257.427800925929</v>
      </c>
      <c r="S1634" s="1">
        <v>44257.427812499998</v>
      </c>
      <c r="T1634">
        <v>0</v>
      </c>
      <c r="U1634">
        <v>0</v>
      </c>
      <c r="V1634" s="2">
        <v>0</v>
      </c>
      <c r="W1634">
        <v>0</v>
      </c>
      <c r="X1634" t="s">
        <v>37</v>
      </c>
      <c r="Y1634">
        <v>0</v>
      </c>
      <c r="Z1634" t="s">
        <v>37</v>
      </c>
      <c r="AA1634">
        <v>0</v>
      </c>
      <c r="AB1634" t="s">
        <v>37</v>
      </c>
      <c r="AC1634">
        <v>0</v>
      </c>
      <c r="AD1634" t="s">
        <v>31</v>
      </c>
      <c r="AE1634">
        <v>0</v>
      </c>
      <c r="AF1634" t="s">
        <v>31</v>
      </c>
      <c r="AG1634">
        <v>0</v>
      </c>
      <c r="AH1634" t="s">
        <v>31</v>
      </c>
      <c r="AI1634">
        <v>0</v>
      </c>
      <c r="AJ1634" t="s">
        <v>31</v>
      </c>
      <c r="AK1634">
        <v>0</v>
      </c>
      <c r="AL1634" t="s">
        <v>31</v>
      </c>
      <c r="AM1634">
        <v>0</v>
      </c>
      <c r="AN1634" t="s">
        <v>31</v>
      </c>
      <c r="AO1634">
        <v>0</v>
      </c>
      <c r="AP1634" t="s">
        <v>31</v>
      </c>
      <c r="AQ1634">
        <v>0</v>
      </c>
    </row>
    <row r="1635" spans="1:43" x14ac:dyDescent="0.2">
      <c r="A1635" t="s">
        <v>381</v>
      </c>
      <c r="B1635" s="3">
        <v>44257</v>
      </c>
      <c r="C1635">
        <v>24</v>
      </c>
      <c r="D1635" t="s">
        <v>385</v>
      </c>
      <c r="E1635" t="s">
        <v>72</v>
      </c>
      <c r="F1635" s="9" t="s">
        <v>73</v>
      </c>
      <c r="G1635" t="s">
        <v>26</v>
      </c>
      <c r="H1635" t="s">
        <v>34</v>
      </c>
      <c r="I1635" t="s">
        <v>35</v>
      </c>
      <c r="J1635" t="s">
        <v>29</v>
      </c>
      <c r="K1635" t="s">
        <v>30</v>
      </c>
      <c r="L1635" t="s">
        <v>29</v>
      </c>
      <c r="M1635" t="s">
        <v>30</v>
      </c>
      <c r="N1635" t="s">
        <v>34</v>
      </c>
      <c r="O1635" t="s">
        <v>35</v>
      </c>
      <c r="P1635" t="s">
        <v>29</v>
      </c>
      <c r="Q1635" t="s">
        <v>30</v>
      </c>
      <c r="R1635" s="1">
        <v>44257.58625</v>
      </c>
      <c r="S1635" s="1">
        <v>44257.586956018517</v>
      </c>
      <c r="T1635">
        <v>0</v>
      </c>
      <c r="U1635">
        <v>0</v>
      </c>
      <c r="V1635" s="2">
        <v>0</v>
      </c>
      <c r="W1635">
        <v>0</v>
      </c>
      <c r="X1635" t="s">
        <v>37</v>
      </c>
      <c r="Y1635">
        <v>0</v>
      </c>
      <c r="Z1635" t="s">
        <v>37</v>
      </c>
      <c r="AA1635">
        <v>0</v>
      </c>
      <c r="AB1635" t="s">
        <v>37</v>
      </c>
      <c r="AC1635">
        <v>0</v>
      </c>
      <c r="AD1635" t="s">
        <v>31</v>
      </c>
      <c r="AE1635">
        <v>0</v>
      </c>
      <c r="AF1635" t="s">
        <v>31</v>
      </c>
      <c r="AG1635">
        <v>0</v>
      </c>
      <c r="AH1635" t="s">
        <v>31</v>
      </c>
      <c r="AI1635">
        <v>0</v>
      </c>
      <c r="AJ1635" t="s">
        <v>31</v>
      </c>
      <c r="AK1635">
        <v>0</v>
      </c>
      <c r="AL1635" t="s">
        <v>31</v>
      </c>
      <c r="AM1635">
        <v>0</v>
      </c>
      <c r="AN1635" t="s">
        <v>31</v>
      </c>
      <c r="AO1635">
        <v>0</v>
      </c>
      <c r="AP1635" t="s">
        <v>31</v>
      </c>
      <c r="AQ1635">
        <v>0</v>
      </c>
    </row>
    <row r="1636" spans="1:43" x14ac:dyDescent="0.2">
      <c r="A1636" t="s">
        <v>381</v>
      </c>
      <c r="B1636" s="3">
        <v>44258</v>
      </c>
      <c r="C1636">
        <v>25</v>
      </c>
      <c r="D1636" t="s">
        <v>384</v>
      </c>
      <c r="E1636" t="s">
        <v>72</v>
      </c>
      <c r="F1636" s="9" t="s">
        <v>73</v>
      </c>
      <c r="G1636" t="s">
        <v>26</v>
      </c>
      <c r="H1636" t="s">
        <v>34</v>
      </c>
      <c r="I1636" t="s">
        <v>35</v>
      </c>
      <c r="J1636" t="s">
        <v>29</v>
      </c>
      <c r="K1636" t="s">
        <v>30</v>
      </c>
      <c r="L1636" t="s">
        <v>29</v>
      </c>
      <c r="M1636" t="s">
        <v>30</v>
      </c>
      <c r="N1636" t="s">
        <v>34</v>
      </c>
      <c r="O1636" t="s">
        <v>35</v>
      </c>
      <c r="P1636" t="s">
        <v>29</v>
      </c>
      <c r="Q1636" t="s">
        <v>30</v>
      </c>
      <c r="R1636" s="1">
        <v>44258.392488425925</v>
      </c>
      <c r="S1636" s="1">
        <v>44258.392974537041</v>
      </c>
      <c r="T1636">
        <v>0</v>
      </c>
      <c r="U1636">
        <v>0</v>
      </c>
      <c r="V1636" s="2">
        <v>0</v>
      </c>
      <c r="W1636">
        <v>0</v>
      </c>
      <c r="X1636" t="s">
        <v>37</v>
      </c>
      <c r="Y1636">
        <v>0</v>
      </c>
      <c r="Z1636" t="s">
        <v>37</v>
      </c>
      <c r="AA1636">
        <v>0</v>
      </c>
      <c r="AB1636" t="s">
        <v>37</v>
      </c>
      <c r="AC1636">
        <v>0</v>
      </c>
      <c r="AD1636" t="s">
        <v>37</v>
      </c>
      <c r="AE1636">
        <v>0</v>
      </c>
      <c r="AF1636" t="s">
        <v>31</v>
      </c>
      <c r="AG1636">
        <v>0</v>
      </c>
      <c r="AH1636" t="s">
        <v>31</v>
      </c>
      <c r="AI1636">
        <v>0</v>
      </c>
      <c r="AJ1636" t="s">
        <v>31</v>
      </c>
      <c r="AK1636">
        <v>0</v>
      </c>
      <c r="AL1636" t="s">
        <v>31</v>
      </c>
      <c r="AM1636">
        <v>0</v>
      </c>
      <c r="AN1636" t="s">
        <v>31</v>
      </c>
      <c r="AO1636">
        <v>0</v>
      </c>
      <c r="AP1636" t="s">
        <v>31</v>
      </c>
      <c r="AQ1636">
        <v>0</v>
      </c>
    </row>
    <row r="1637" spans="1:43" x14ac:dyDescent="0.2">
      <c r="A1637" t="s">
        <v>381</v>
      </c>
      <c r="B1637" s="3">
        <v>44259</v>
      </c>
      <c r="C1637">
        <v>26</v>
      </c>
      <c r="D1637" t="s">
        <v>382</v>
      </c>
      <c r="E1637" t="s">
        <v>72</v>
      </c>
      <c r="F1637" s="9" t="s">
        <v>73</v>
      </c>
      <c r="G1637" t="s">
        <v>26</v>
      </c>
      <c r="H1637" t="s">
        <v>34</v>
      </c>
      <c r="I1637" t="s">
        <v>35</v>
      </c>
      <c r="J1637" t="s">
        <v>29</v>
      </c>
      <c r="K1637" t="s">
        <v>30</v>
      </c>
      <c r="L1637" t="s">
        <v>29</v>
      </c>
      <c r="M1637" t="s">
        <v>30</v>
      </c>
      <c r="N1637" t="s">
        <v>34</v>
      </c>
      <c r="O1637" t="s">
        <v>35</v>
      </c>
      <c r="P1637" t="s">
        <v>29</v>
      </c>
      <c r="Q1637" t="s">
        <v>30</v>
      </c>
      <c r="R1637" s="1">
        <v>44259.376979166664</v>
      </c>
      <c r="S1637" s="1">
        <v>44259.37699074074</v>
      </c>
      <c r="T1637">
        <v>0</v>
      </c>
      <c r="U1637">
        <v>0</v>
      </c>
      <c r="V1637" s="2">
        <v>0</v>
      </c>
      <c r="W1637">
        <v>0</v>
      </c>
      <c r="X1637" t="s">
        <v>37</v>
      </c>
      <c r="Y1637">
        <v>0</v>
      </c>
      <c r="Z1637" t="s">
        <v>37</v>
      </c>
      <c r="AA1637">
        <v>0</v>
      </c>
      <c r="AB1637" t="s">
        <v>37</v>
      </c>
      <c r="AC1637">
        <v>0</v>
      </c>
      <c r="AD1637" t="s">
        <v>31</v>
      </c>
      <c r="AE1637">
        <v>0</v>
      </c>
      <c r="AF1637" t="s">
        <v>31</v>
      </c>
      <c r="AG1637">
        <v>0</v>
      </c>
      <c r="AH1637" t="s">
        <v>31</v>
      </c>
      <c r="AI1637">
        <v>0</v>
      </c>
      <c r="AJ1637" t="s">
        <v>31</v>
      </c>
      <c r="AK1637">
        <v>0</v>
      </c>
      <c r="AL1637" t="s">
        <v>31</v>
      </c>
      <c r="AM1637">
        <v>0</v>
      </c>
      <c r="AN1637" t="s">
        <v>31</v>
      </c>
      <c r="AO1637">
        <v>0</v>
      </c>
      <c r="AP1637" t="s">
        <v>31</v>
      </c>
      <c r="AQ1637">
        <v>0</v>
      </c>
    </row>
    <row r="1638" spans="1:43" x14ac:dyDescent="0.2">
      <c r="A1638" t="s">
        <v>381</v>
      </c>
      <c r="B1638" s="3">
        <v>44260</v>
      </c>
      <c r="C1638">
        <v>28</v>
      </c>
      <c r="D1638" t="s">
        <v>384</v>
      </c>
      <c r="E1638" t="s">
        <v>72</v>
      </c>
      <c r="F1638" s="9" t="s">
        <v>73</v>
      </c>
      <c r="G1638" t="s">
        <v>26</v>
      </c>
      <c r="H1638" t="s">
        <v>34</v>
      </c>
      <c r="I1638" t="s">
        <v>35</v>
      </c>
      <c r="J1638" t="s">
        <v>29</v>
      </c>
      <c r="K1638" t="s">
        <v>30</v>
      </c>
      <c r="L1638" t="s">
        <v>29</v>
      </c>
      <c r="M1638" t="s">
        <v>30</v>
      </c>
      <c r="N1638" t="s">
        <v>34</v>
      </c>
      <c r="O1638" t="s">
        <v>35</v>
      </c>
      <c r="P1638" t="s">
        <v>29</v>
      </c>
      <c r="Q1638" t="s">
        <v>30</v>
      </c>
      <c r="R1638" s="1">
        <v>44260.385347222225</v>
      </c>
      <c r="S1638" s="1">
        <v>44260.385972222219</v>
      </c>
      <c r="T1638">
        <v>0</v>
      </c>
      <c r="U1638">
        <v>0</v>
      </c>
      <c r="V1638" s="2">
        <v>0</v>
      </c>
      <c r="W1638">
        <v>0</v>
      </c>
      <c r="X1638" t="s">
        <v>37</v>
      </c>
      <c r="Y1638">
        <v>0</v>
      </c>
      <c r="Z1638" t="s">
        <v>37</v>
      </c>
      <c r="AA1638">
        <v>0</v>
      </c>
      <c r="AB1638" t="s">
        <v>37</v>
      </c>
      <c r="AC1638">
        <v>0</v>
      </c>
      <c r="AD1638" t="s">
        <v>37</v>
      </c>
      <c r="AE1638">
        <v>0</v>
      </c>
      <c r="AF1638" t="s">
        <v>31</v>
      </c>
      <c r="AG1638">
        <v>0</v>
      </c>
      <c r="AH1638" t="s">
        <v>31</v>
      </c>
      <c r="AI1638">
        <v>0</v>
      </c>
      <c r="AJ1638" t="s">
        <v>31</v>
      </c>
      <c r="AK1638">
        <v>0</v>
      </c>
      <c r="AL1638" t="s">
        <v>31</v>
      </c>
      <c r="AM1638">
        <v>0</v>
      </c>
      <c r="AN1638" t="s">
        <v>31</v>
      </c>
      <c r="AO1638">
        <v>0</v>
      </c>
      <c r="AP1638" t="s">
        <v>31</v>
      </c>
      <c r="AQ1638">
        <v>0</v>
      </c>
    </row>
    <row r="1639" spans="1:43" x14ac:dyDescent="0.2">
      <c r="A1639" t="s">
        <v>381</v>
      </c>
      <c r="B1639" s="3">
        <v>44263</v>
      </c>
      <c r="C1639">
        <v>29</v>
      </c>
      <c r="D1639" t="s">
        <v>384</v>
      </c>
      <c r="E1639" t="s">
        <v>72</v>
      </c>
      <c r="F1639" s="9" t="s">
        <v>73</v>
      </c>
      <c r="G1639" t="s">
        <v>26</v>
      </c>
      <c r="H1639" t="s">
        <v>34</v>
      </c>
      <c r="I1639" t="s">
        <v>35</v>
      </c>
      <c r="J1639" t="s">
        <v>29</v>
      </c>
      <c r="K1639" t="s">
        <v>30</v>
      </c>
      <c r="L1639" t="s">
        <v>29</v>
      </c>
      <c r="M1639" t="s">
        <v>30</v>
      </c>
      <c r="N1639" t="s">
        <v>34</v>
      </c>
      <c r="O1639" t="s">
        <v>35</v>
      </c>
      <c r="P1639" t="s">
        <v>29</v>
      </c>
      <c r="Q1639" t="s">
        <v>30</v>
      </c>
      <c r="R1639" s="1">
        <v>44263.408807870372</v>
      </c>
      <c r="S1639" s="1">
        <v>44263.408831018518</v>
      </c>
      <c r="T1639">
        <v>1</v>
      </c>
      <c r="U1639">
        <v>1</v>
      </c>
      <c r="V1639" s="2">
        <v>1</v>
      </c>
      <c r="W1639">
        <v>0</v>
      </c>
      <c r="X1639" t="s">
        <v>30</v>
      </c>
      <c r="Y1639">
        <v>0</v>
      </c>
      <c r="Z1639" t="s">
        <v>31</v>
      </c>
      <c r="AA1639">
        <v>0</v>
      </c>
      <c r="AB1639" t="s">
        <v>31</v>
      </c>
      <c r="AC1639">
        <v>0</v>
      </c>
      <c r="AD1639" t="s">
        <v>31</v>
      </c>
      <c r="AE1639">
        <v>0</v>
      </c>
      <c r="AF1639" t="s">
        <v>31</v>
      </c>
      <c r="AG1639">
        <v>0</v>
      </c>
      <c r="AH1639" t="s">
        <v>31</v>
      </c>
      <c r="AI1639">
        <v>0</v>
      </c>
      <c r="AJ1639" t="s">
        <v>31</v>
      </c>
      <c r="AK1639">
        <v>0</v>
      </c>
      <c r="AL1639" t="s">
        <v>31</v>
      </c>
      <c r="AM1639">
        <v>0</v>
      </c>
      <c r="AN1639" t="s">
        <v>31</v>
      </c>
      <c r="AO1639">
        <v>0</v>
      </c>
      <c r="AP1639" t="s">
        <v>31</v>
      </c>
      <c r="AQ1639">
        <v>0</v>
      </c>
    </row>
    <row r="1640" spans="1:43" x14ac:dyDescent="0.2">
      <c r="A1640" t="s">
        <v>381</v>
      </c>
      <c r="B1640" s="3">
        <v>44264</v>
      </c>
      <c r="C1640">
        <v>30</v>
      </c>
      <c r="D1640" t="s">
        <v>382</v>
      </c>
      <c r="E1640" t="s">
        <v>72</v>
      </c>
      <c r="F1640" s="9" t="s">
        <v>73</v>
      </c>
      <c r="G1640" t="s">
        <v>26</v>
      </c>
      <c r="H1640" t="s">
        <v>34</v>
      </c>
      <c r="I1640" t="s">
        <v>35</v>
      </c>
      <c r="J1640" t="s">
        <v>29</v>
      </c>
      <c r="K1640" t="s">
        <v>30</v>
      </c>
      <c r="L1640" t="s">
        <v>29</v>
      </c>
      <c r="M1640" t="s">
        <v>30</v>
      </c>
      <c r="N1640" t="s">
        <v>34</v>
      </c>
      <c r="O1640" t="s">
        <v>35</v>
      </c>
      <c r="P1640" t="s">
        <v>29</v>
      </c>
      <c r="Q1640" t="s">
        <v>30</v>
      </c>
      <c r="R1640" s="1">
        <v>44264.425787037035</v>
      </c>
      <c r="S1640" s="1">
        <v>44264.425798611112</v>
      </c>
      <c r="T1640">
        <v>0</v>
      </c>
      <c r="U1640">
        <v>0</v>
      </c>
      <c r="V1640" s="2">
        <v>0</v>
      </c>
      <c r="W1640">
        <v>0</v>
      </c>
      <c r="X1640" t="s">
        <v>37</v>
      </c>
      <c r="Y1640">
        <v>0</v>
      </c>
      <c r="Z1640" t="s">
        <v>37</v>
      </c>
      <c r="AA1640">
        <v>0</v>
      </c>
      <c r="AB1640" t="s">
        <v>37</v>
      </c>
      <c r="AC1640">
        <v>0</v>
      </c>
      <c r="AD1640" t="s">
        <v>31</v>
      </c>
      <c r="AE1640">
        <v>0</v>
      </c>
      <c r="AF1640" t="s">
        <v>31</v>
      </c>
      <c r="AG1640">
        <v>0</v>
      </c>
      <c r="AH1640" t="s">
        <v>31</v>
      </c>
      <c r="AI1640">
        <v>0</v>
      </c>
      <c r="AJ1640" t="s">
        <v>31</v>
      </c>
      <c r="AK1640">
        <v>0</v>
      </c>
      <c r="AL1640" t="s">
        <v>31</v>
      </c>
      <c r="AM1640">
        <v>0</v>
      </c>
      <c r="AN1640" t="s">
        <v>31</v>
      </c>
      <c r="AO1640">
        <v>0</v>
      </c>
      <c r="AP1640" t="s">
        <v>31</v>
      </c>
      <c r="AQ1640">
        <v>0</v>
      </c>
    </row>
    <row r="1641" spans="1:43" x14ac:dyDescent="0.2">
      <c r="A1641" t="s">
        <v>381</v>
      </c>
      <c r="B1641" s="3">
        <v>44264</v>
      </c>
      <c r="C1641">
        <v>31</v>
      </c>
      <c r="D1641" t="s">
        <v>385</v>
      </c>
      <c r="E1641" t="s">
        <v>72</v>
      </c>
      <c r="F1641" s="9" t="s">
        <v>73</v>
      </c>
      <c r="G1641" t="s">
        <v>26</v>
      </c>
      <c r="H1641" t="s">
        <v>34</v>
      </c>
      <c r="I1641" t="s">
        <v>35</v>
      </c>
      <c r="J1641" t="s">
        <v>29</v>
      </c>
      <c r="K1641" t="s">
        <v>30</v>
      </c>
      <c r="L1641" t="s">
        <v>29</v>
      </c>
      <c r="M1641" t="s">
        <v>30</v>
      </c>
      <c r="N1641" t="s">
        <v>34</v>
      </c>
      <c r="O1641" t="s">
        <v>35</v>
      </c>
      <c r="P1641" t="s">
        <v>29</v>
      </c>
      <c r="Q1641" t="s">
        <v>30</v>
      </c>
      <c r="R1641" s="1">
        <v>44264.588020833333</v>
      </c>
      <c r="S1641" s="1">
        <v>44264.588043981479</v>
      </c>
      <c r="T1641">
        <v>0</v>
      </c>
      <c r="U1641">
        <v>0</v>
      </c>
      <c r="V1641" s="2">
        <v>0</v>
      </c>
      <c r="W1641">
        <v>0</v>
      </c>
      <c r="X1641" t="s">
        <v>37</v>
      </c>
      <c r="Y1641">
        <v>0</v>
      </c>
      <c r="Z1641" t="s">
        <v>37</v>
      </c>
      <c r="AA1641">
        <v>0</v>
      </c>
      <c r="AB1641" t="s">
        <v>37</v>
      </c>
      <c r="AC1641">
        <v>0</v>
      </c>
      <c r="AD1641" t="s">
        <v>37</v>
      </c>
      <c r="AE1641">
        <v>0</v>
      </c>
      <c r="AF1641" t="s">
        <v>31</v>
      </c>
      <c r="AG1641">
        <v>0</v>
      </c>
      <c r="AH1641" t="s">
        <v>31</v>
      </c>
      <c r="AI1641">
        <v>0</v>
      </c>
      <c r="AJ1641" t="s">
        <v>31</v>
      </c>
      <c r="AK1641">
        <v>0</v>
      </c>
      <c r="AL1641" t="s">
        <v>31</v>
      </c>
      <c r="AM1641">
        <v>0</v>
      </c>
      <c r="AN1641" t="s">
        <v>31</v>
      </c>
      <c r="AO1641">
        <v>0</v>
      </c>
      <c r="AP1641" t="s">
        <v>31</v>
      </c>
      <c r="AQ1641">
        <v>0</v>
      </c>
    </row>
    <row r="1642" spans="1:43" x14ac:dyDescent="0.2">
      <c r="A1642" t="s">
        <v>381</v>
      </c>
      <c r="B1642" s="3">
        <v>44265</v>
      </c>
      <c r="C1642">
        <v>32</v>
      </c>
      <c r="D1642" t="s">
        <v>384</v>
      </c>
      <c r="E1642" t="s">
        <v>72</v>
      </c>
      <c r="F1642" s="9" t="s">
        <v>73</v>
      </c>
      <c r="G1642" t="s">
        <v>26</v>
      </c>
      <c r="H1642" t="s">
        <v>34</v>
      </c>
      <c r="I1642" t="s">
        <v>35</v>
      </c>
      <c r="J1642" t="s">
        <v>29</v>
      </c>
      <c r="K1642" t="s">
        <v>30</v>
      </c>
      <c r="L1642" t="s">
        <v>29</v>
      </c>
      <c r="M1642" t="s">
        <v>30</v>
      </c>
      <c r="N1642" t="s">
        <v>34</v>
      </c>
      <c r="O1642" t="s">
        <v>35</v>
      </c>
      <c r="P1642" t="s">
        <v>29</v>
      </c>
      <c r="Q1642" t="s">
        <v>30</v>
      </c>
      <c r="R1642" s="1">
        <v>44265.431643518517</v>
      </c>
      <c r="S1642" s="1">
        <v>44265.432037037041</v>
      </c>
      <c r="T1642">
        <v>0</v>
      </c>
      <c r="U1642">
        <v>0</v>
      </c>
      <c r="V1642" s="2">
        <v>0</v>
      </c>
      <c r="W1642">
        <v>0</v>
      </c>
      <c r="X1642" t="s">
        <v>37</v>
      </c>
      <c r="Y1642">
        <v>0</v>
      </c>
      <c r="Z1642" t="s">
        <v>37</v>
      </c>
      <c r="AA1642">
        <v>0</v>
      </c>
      <c r="AB1642" t="s">
        <v>37</v>
      </c>
      <c r="AC1642">
        <v>0</v>
      </c>
      <c r="AD1642" t="s">
        <v>37</v>
      </c>
      <c r="AE1642">
        <v>0</v>
      </c>
      <c r="AF1642" t="s">
        <v>31</v>
      </c>
      <c r="AG1642">
        <v>0</v>
      </c>
      <c r="AH1642" t="s">
        <v>31</v>
      </c>
      <c r="AI1642">
        <v>0</v>
      </c>
      <c r="AJ1642" t="s">
        <v>31</v>
      </c>
      <c r="AK1642">
        <v>0</v>
      </c>
      <c r="AL1642" t="s">
        <v>31</v>
      </c>
      <c r="AM1642">
        <v>0</v>
      </c>
      <c r="AN1642" t="s">
        <v>31</v>
      </c>
      <c r="AO1642">
        <v>0</v>
      </c>
      <c r="AP1642" t="s">
        <v>31</v>
      </c>
      <c r="AQ1642">
        <v>0</v>
      </c>
    </row>
    <row r="1643" spans="1:43" x14ac:dyDescent="0.2">
      <c r="A1643" t="s">
        <v>381</v>
      </c>
      <c r="B1643" s="3">
        <v>44266</v>
      </c>
      <c r="C1643">
        <v>33</v>
      </c>
      <c r="D1643" t="s">
        <v>385</v>
      </c>
      <c r="E1643" t="s">
        <v>72</v>
      </c>
      <c r="F1643" s="9" t="s">
        <v>73</v>
      </c>
      <c r="G1643" t="s">
        <v>26</v>
      </c>
      <c r="H1643" t="s">
        <v>34</v>
      </c>
      <c r="I1643" t="s">
        <v>35</v>
      </c>
      <c r="J1643" t="s">
        <v>29</v>
      </c>
      <c r="K1643" t="s">
        <v>30</v>
      </c>
      <c r="L1643" t="s">
        <v>29</v>
      </c>
      <c r="M1643" t="s">
        <v>30</v>
      </c>
      <c r="N1643" t="s">
        <v>34</v>
      </c>
      <c r="O1643" t="s">
        <v>35</v>
      </c>
      <c r="P1643" t="s">
        <v>29</v>
      </c>
      <c r="Q1643" t="s">
        <v>30</v>
      </c>
      <c r="R1643" s="1">
        <v>44266.420949074076</v>
      </c>
      <c r="S1643" s="1">
        <v>44266.420960648145</v>
      </c>
      <c r="T1643">
        <v>0</v>
      </c>
      <c r="U1643">
        <v>0</v>
      </c>
      <c r="V1643" s="2">
        <v>0</v>
      </c>
      <c r="W1643">
        <v>0</v>
      </c>
      <c r="X1643" t="s">
        <v>37</v>
      </c>
      <c r="Y1643">
        <v>0</v>
      </c>
      <c r="Z1643" t="s">
        <v>37</v>
      </c>
      <c r="AA1643">
        <v>0</v>
      </c>
      <c r="AB1643" t="s">
        <v>37</v>
      </c>
      <c r="AC1643">
        <v>0</v>
      </c>
      <c r="AD1643" t="s">
        <v>37</v>
      </c>
      <c r="AE1643">
        <v>0</v>
      </c>
      <c r="AF1643" t="s">
        <v>31</v>
      </c>
      <c r="AG1643">
        <v>0</v>
      </c>
      <c r="AH1643" t="s">
        <v>31</v>
      </c>
      <c r="AI1643">
        <v>0</v>
      </c>
      <c r="AJ1643" t="s">
        <v>31</v>
      </c>
      <c r="AK1643">
        <v>0</v>
      </c>
      <c r="AL1643" t="s">
        <v>31</v>
      </c>
      <c r="AM1643">
        <v>0</v>
      </c>
      <c r="AN1643" t="s">
        <v>31</v>
      </c>
      <c r="AO1643">
        <v>0</v>
      </c>
      <c r="AP1643" t="s">
        <v>31</v>
      </c>
      <c r="AQ1643">
        <v>0</v>
      </c>
    </row>
    <row r="1644" spans="1:43" x14ac:dyDescent="0.2">
      <c r="A1644" t="s">
        <v>381</v>
      </c>
      <c r="B1644" s="3">
        <v>44270</v>
      </c>
      <c r="C1644">
        <v>35</v>
      </c>
      <c r="D1644" t="s">
        <v>384</v>
      </c>
      <c r="E1644" t="s">
        <v>72</v>
      </c>
      <c r="F1644" s="9" t="s">
        <v>73</v>
      </c>
      <c r="G1644" t="s">
        <v>26</v>
      </c>
      <c r="H1644" t="s">
        <v>34</v>
      </c>
      <c r="I1644" t="s">
        <v>35</v>
      </c>
      <c r="J1644" t="s">
        <v>29</v>
      </c>
      <c r="K1644" t="s">
        <v>30</v>
      </c>
      <c r="L1644" t="s">
        <v>29</v>
      </c>
      <c r="M1644" t="s">
        <v>30</v>
      </c>
      <c r="N1644" t="s">
        <v>34</v>
      </c>
      <c r="O1644" t="s">
        <v>35</v>
      </c>
      <c r="P1644" t="s">
        <v>29</v>
      </c>
      <c r="Q1644" t="s">
        <v>30</v>
      </c>
      <c r="R1644" s="1">
        <v>44270.411851851852</v>
      </c>
      <c r="S1644" s="1">
        <v>44270.412187499998</v>
      </c>
      <c r="T1644">
        <v>1</v>
      </c>
      <c r="U1644">
        <v>1</v>
      </c>
      <c r="V1644" s="2">
        <v>1</v>
      </c>
      <c r="W1644">
        <v>0</v>
      </c>
      <c r="X1644" t="s">
        <v>37</v>
      </c>
      <c r="Y1644">
        <v>0</v>
      </c>
      <c r="Z1644" t="s">
        <v>30</v>
      </c>
      <c r="AA1644">
        <v>0</v>
      </c>
      <c r="AB1644" t="s">
        <v>31</v>
      </c>
      <c r="AC1644">
        <v>0</v>
      </c>
      <c r="AD1644" t="s">
        <v>31</v>
      </c>
      <c r="AE1644">
        <v>0</v>
      </c>
      <c r="AF1644" t="s">
        <v>31</v>
      </c>
      <c r="AG1644">
        <v>0</v>
      </c>
      <c r="AH1644" t="s">
        <v>31</v>
      </c>
      <c r="AI1644">
        <v>0</v>
      </c>
      <c r="AJ1644" t="s">
        <v>31</v>
      </c>
      <c r="AK1644">
        <v>0</v>
      </c>
      <c r="AL1644" t="s">
        <v>31</v>
      </c>
      <c r="AM1644">
        <v>0</v>
      </c>
      <c r="AN1644" t="s">
        <v>31</v>
      </c>
      <c r="AO1644">
        <v>0</v>
      </c>
      <c r="AP1644" t="s">
        <v>31</v>
      </c>
      <c r="AQ1644">
        <v>0</v>
      </c>
    </row>
    <row r="1645" spans="1:43" x14ac:dyDescent="0.2">
      <c r="A1645" t="s">
        <v>381</v>
      </c>
      <c r="B1645" s="3">
        <v>44271</v>
      </c>
      <c r="C1645">
        <v>36</v>
      </c>
      <c r="D1645" t="s">
        <v>385</v>
      </c>
      <c r="E1645" t="s">
        <v>72</v>
      </c>
      <c r="F1645" s="9" t="s">
        <v>73</v>
      </c>
      <c r="G1645" t="s">
        <v>26</v>
      </c>
      <c r="H1645" t="s">
        <v>34</v>
      </c>
      <c r="I1645" t="s">
        <v>35</v>
      </c>
      <c r="J1645" t="s">
        <v>29</v>
      </c>
      <c r="K1645" t="s">
        <v>30</v>
      </c>
      <c r="L1645" t="s">
        <v>29</v>
      </c>
      <c r="M1645" t="s">
        <v>30</v>
      </c>
      <c r="N1645" t="s">
        <v>34</v>
      </c>
      <c r="O1645" t="s">
        <v>35</v>
      </c>
      <c r="P1645" t="s">
        <v>29</v>
      </c>
      <c r="Q1645" t="s">
        <v>30</v>
      </c>
      <c r="R1645" s="1">
        <v>44271.487615740742</v>
      </c>
      <c r="S1645" s="1">
        <v>44271.487615740742</v>
      </c>
      <c r="T1645">
        <v>0</v>
      </c>
      <c r="U1645">
        <v>0</v>
      </c>
      <c r="V1645" s="2">
        <v>0</v>
      </c>
      <c r="W1645">
        <v>0</v>
      </c>
      <c r="X1645" t="s">
        <v>37</v>
      </c>
      <c r="Y1645">
        <v>0</v>
      </c>
      <c r="Z1645" t="s">
        <v>37</v>
      </c>
      <c r="AA1645">
        <v>0</v>
      </c>
      <c r="AB1645" t="s">
        <v>37</v>
      </c>
      <c r="AC1645">
        <v>0</v>
      </c>
      <c r="AD1645" t="s">
        <v>37</v>
      </c>
      <c r="AE1645">
        <v>0</v>
      </c>
      <c r="AF1645" t="s">
        <v>31</v>
      </c>
      <c r="AG1645">
        <v>0</v>
      </c>
      <c r="AH1645" t="s">
        <v>31</v>
      </c>
      <c r="AI1645">
        <v>0</v>
      </c>
      <c r="AJ1645" t="s">
        <v>31</v>
      </c>
      <c r="AK1645">
        <v>0</v>
      </c>
      <c r="AL1645" t="s">
        <v>31</v>
      </c>
      <c r="AM1645">
        <v>0</v>
      </c>
      <c r="AN1645" t="s">
        <v>31</v>
      </c>
      <c r="AO1645">
        <v>0</v>
      </c>
      <c r="AP1645" t="s">
        <v>31</v>
      </c>
      <c r="AQ1645">
        <v>0</v>
      </c>
    </row>
    <row r="1646" spans="1:43" x14ac:dyDescent="0.2">
      <c r="A1646" t="s">
        <v>381</v>
      </c>
      <c r="B1646" s="3">
        <v>44272</v>
      </c>
      <c r="C1646">
        <v>38</v>
      </c>
      <c r="D1646" t="s">
        <v>384</v>
      </c>
      <c r="E1646" t="s">
        <v>72</v>
      </c>
      <c r="F1646" s="9" t="s">
        <v>73</v>
      </c>
      <c r="G1646" t="s">
        <v>26</v>
      </c>
      <c r="H1646" t="s">
        <v>34</v>
      </c>
      <c r="I1646" t="s">
        <v>35</v>
      </c>
      <c r="J1646" t="s">
        <v>29</v>
      </c>
      <c r="K1646" t="s">
        <v>30</v>
      </c>
      <c r="L1646" t="s">
        <v>29</v>
      </c>
      <c r="M1646" t="s">
        <v>30</v>
      </c>
      <c r="N1646" t="s">
        <v>34</v>
      </c>
      <c r="O1646" t="s">
        <v>35</v>
      </c>
      <c r="P1646" t="s">
        <v>29</v>
      </c>
      <c r="Q1646" t="s">
        <v>30</v>
      </c>
      <c r="R1646" s="1">
        <v>44272.450162037036</v>
      </c>
      <c r="S1646" s="1">
        <v>44272.450636574074</v>
      </c>
      <c r="T1646">
        <v>0</v>
      </c>
      <c r="U1646">
        <v>0</v>
      </c>
      <c r="V1646" s="2">
        <v>0</v>
      </c>
      <c r="W1646">
        <v>0</v>
      </c>
      <c r="X1646" t="s">
        <v>37</v>
      </c>
      <c r="Y1646">
        <v>0</v>
      </c>
      <c r="Z1646" t="s">
        <v>37</v>
      </c>
      <c r="AA1646">
        <v>0</v>
      </c>
      <c r="AB1646" t="s">
        <v>37</v>
      </c>
      <c r="AC1646">
        <v>0</v>
      </c>
      <c r="AD1646" t="s">
        <v>37</v>
      </c>
      <c r="AE1646">
        <v>0</v>
      </c>
      <c r="AF1646" t="s">
        <v>31</v>
      </c>
      <c r="AG1646">
        <v>0</v>
      </c>
      <c r="AH1646" t="s">
        <v>31</v>
      </c>
      <c r="AI1646">
        <v>0</v>
      </c>
      <c r="AJ1646" t="s">
        <v>31</v>
      </c>
      <c r="AK1646">
        <v>0</v>
      </c>
      <c r="AL1646" t="s">
        <v>31</v>
      </c>
      <c r="AM1646">
        <v>0</v>
      </c>
      <c r="AN1646" t="s">
        <v>31</v>
      </c>
      <c r="AO1646">
        <v>0</v>
      </c>
      <c r="AP1646" t="s">
        <v>31</v>
      </c>
      <c r="AQ1646">
        <v>0</v>
      </c>
    </row>
    <row r="1647" spans="1:43" x14ac:dyDescent="0.2">
      <c r="A1647" t="s">
        <v>381</v>
      </c>
      <c r="B1647" s="3">
        <v>44273</v>
      </c>
      <c r="C1647">
        <v>39</v>
      </c>
      <c r="D1647" t="s">
        <v>385</v>
      </c>
      <c r="E1647" t="s">
        <v>72</v>
      </c>
      <c r="F1647" s="9" t="s">
        <v>73</v>
      </c>
      <c r="G1647" t="s">
        <v>26</v>
      </c>
      <c r="H1647" t="s">
        <v>34</v>
      </c>
      <c r="I1647" t="s">
        <v>35</v>
      </c>
      <c r="J1647" t="s">
        <v>29</v>
      </c>
      <c r="K1647" t="s">
        <v>30</v>
      </c>
      <c r="L1647" t="s">
        <v>29</v>
      </c>
      <c r="M1647" t="s">
        <v>30</v>
      </c>
      <c r="N1647" t="s">
        <v>34</v>
      </c>
      <c r="O1647" t="s">
        <v>35</v>
      </c>
      <c r="P1647" t="s">
        <v>29</v>
      </c>
      <c r="Q1647" t="s">
        <v>30</v>
      </c>
      <c r="R1647" s="1">
        <v>44273.426145833335</v>
      </c>
      <c r="S1647" s="1">
        <v>44273.426157407404</v>
      </c>
      <c r="T1647">
        <v>0</v>
      </c>
      <c r="U1647">
        <v>0</v>
      </c>
      <c r="V1647" s="2">
        <v>0</v>
      </c>
      <c r="W1647">
        <v>0</v>
      </c>
      <c r="X1647" t="s">
        <v>37</v>
      </c>
      <c r="Y1647">
        <v>0</v>
      </c>
      <c r="Z1647" t="s">
        <v>37</v>
      </c>
      <c r="AA1647">
        <v>0</v>
      </c>
      <c r="AB1647" t="s">
        <v>37</v>
      </c>
      <c r="AC1647">
        <v>0</v>
      </c>
      <c r="AD1647" t="s">
        <v>37</v>
      </c>
      <c r="AE1647">
        <v>0</v>
      </c>
      <c r="AF1647" t="s">
        <v>31</v>
      </c>
      <c r="AG1647">
        <v>0</v>
      </c>
      <c r="AH1647" t="s">
        <v>31</v>
      </c>
      <c r="AI1647">
        <v>0</v>
      </c>
      <c r="AJ1647" t="s">
        <v>31</v>
      </c>
      <c r="AK1647">
        <v>0</v>
      </c>
      <c r="AL1647" t="s">
        <v>31</v>
      </c>
      <c r="AM1647">
        <v>0</v>
      </c>
      <c r="AN1647" t="s">
        <v>31</v>
      </c>
      <c r="AO1647">
        <v>0</v>
      </c>
      <c r="AP1647" t="s">
        <v>31</v>
      </c>
      <c r="AQ1647">
        <v>0</v>
      </c>
    </row>
    <row r="1648" spans="1:43" x14ac:dyDescent="0.2">
      <c r="A1648" t="s">
        <v>381</v>
      </c>
      <c r="B1648" s="3">
        <v>44279</v>
      </c>
      <c r="C1648">
        <v>41</v>
      </c>
      <c r="D1648" t="s">
        <v>384</v>
      </c>
      <c r="E1648" t="s">
        <v>72</v>
      </c>
      <c r="F1648" s="9" t="s">
        <v>73</v>
      </c>
      <c r="G1648" t="s">
        <v>26</v>
      </c>
      <c r="H1648" t="s">
        <v>34</v>
      </c>
      <c r="I1648" t="s">
        <v>35</v>
      </c>
      <c r="J1648" t="s">
        <v>29</v>
      </c>
      <c r="K1648" t="s">
        <v>30</v>
      </c>
      <c r="L1648" t="s">
        <v>29</v>
      </c>
      <c r="M1648" t="s">
        <v>30</v>
      </c>
      <c r="N1648" t="s">
        <v>34</v>
      </c>
      <c r="O1648" t="s">
        <v>35</v>
      </c>
      <c r="P1648" t="s">
        <v>29</v>
      </c>
      <c r="Q1648" t="s">
        <v>30</v>
      </c>
      <c r="R1648" s="1">
        <v>44279.410613425927</v>
      </c>
      <c r="S1648" s="1">
        <v>44279.410995370374</v>
      </c>
      <c r="T1648">
        <v>0</v>
      </c>
      <c r="U1648">
        <v>0</v>
      </c>
      <c r="V1648" s="2">
        <v>0</v>
      </c>
      <c r="W1648">
        <v>0</v>
      </c>
      <c r="X1648" t="s">
        <v>37</v>
      </c>
      <c r="Y1648">
        <v>0</v>
      </c>
      <c r="Z1648" t="s">
        <v>37</v>
      </c>
      <c r="AA1648">
        <v>0</v>
      </c>
      <c r="AB1648" t="s">
        <v>37</v>
      </c>
      <c r="AC1648">
        <v>0</v>
      </c>
      <c r="AD1648" t="s">
        <v>37</v>
      </c>
      <c r="AE1648">
        <v>0</v>
      </c>
      <c r="AF1648" t="s">
        <v>31</v>
      </c>
      <c r="AG1648">
        <v>0</v>
      </c>
      <c r="AH1648" t="s">
        <v>31</v>
      </c>
      <c r="AI1648">
        <v>0</v>
      </c>
      <c r="AJ1648" t="s">
        <v>31</v>
      </c>
      <c r="AK1648">
        <v>0</v>
      </c>
      <c r="AL1648" t="s">
        <v>31</v>
      </c>
      <c r="AM1648">
        <v>0</v>
      </c>
      <c r="AN1648" t="s">
        <v>31</v>
      </c>
      <c r="AO1648">
        <v>0</v>
      </c>
      <c r="AP1648" t="s">
        <v>31</v>
      </c>
      <c r="AQ1648">
        <v>0</v>
      </c>
    </row>
    <row r="1649" spans="1:43" x14ac:dyDescent="0.2">
      <c r="A1649" t="s">
        <v>381</v>
      </c>
      <c r="B1649" s="3">
        <v>44281</v>
      </c>
      <c r="C1649">
        <v>42</v>
      </c>
      <c r="D1649" t="s">
        <v>384</v>
      </c>
      <c r="E1649" t="s">
        <v>72</v>
      </c>
      <c r="F1649" s="9" t="s">
        <v>73</v>
      </c>
      <c r="G1649" t="s">
        <v>26</v>
      </c>
      <c r="H1649" t="s">
        <v>34</v>
      </c>
      <c r="I1649" t="s">
        <v>35</v>
      </c>
      <c r="J1649" t="s">
        <v>29</v>
      </c>
      <c r="K1649" t="s">
        <v>30</v>
      </c>
      <c r="L1649" t="s">
        <v>29</v>
      </c>
      <c r="M1649" t="s">
        <v>30</v>
      </c>
      <c r="N1649" t="s">
        <v>34</v>
      </c>
      <c r="O1649" t="s">
        <v>35</v>
      </c>
      <c r="P1649" t="s">
        <v>29</v>
      </c>
      <c r="Q1649" t="s">
        <v>30</v>
      </c>
      <c r="R1649" s="1">
        <v>44281.456886574073</v>
      </c>
      <c r="S1649" s="1">
        <v>44281.45722222222</v>
      </c>
      <c r="T1649">
        <v>0</v>
      </c>
      <c r="U1649">
        <v>0</v>
      </c>
      <c r="V1649" s="2">
        <v>0</v>
      </c>
      <c r="W1649">
        <v>0</v>
      </c>
      <c r="X1649" t="s">
        <v>37</v>
      </c>
      <c r="Y1649">
        <v>0</v>
      </c>
      <c r="Z1649" t="s">
        <v>37</v>
      </c>
      <c r="AA1649">
        <v>0</v>
      </c>
      <c r="AB1649" t="s">
        <v>37</v>
      </c>
      <c r="AC1649">
        <v>0</v>
      </c>
      <c r="AD1649" t="s">
        <v>37</v>
      </c>
      <c r="AE1649">
        <v>0</v>
      </c>
      <c r="AF1649" t="s">
        <v>31</v>
      </c>
      <c r="AG1649">
        <v>0</v>
      </c>
      <c r="AH1649" t="s">
        <v>31</v>
      </c>
      <c r="AI1649">
        <v>0</v>
      </c>
      <c r="AJ1649" t="s">
        <v>31</v>
      </c>
      <c r="AK1649">
        <v>0</v>
      </c>
      <c r="AL1649" t="s">
        <v>31</v>
      </c>
      <c r="AM1649">
        <v>0</v>
      </c>
      <c r="AN1649" t="s">
        <v>31</v>
      </c>
      <c r="AO1649">
        <v>0</v>
      </c>
      <c r="AP1649" t="s">
        <v>31</v>
      </c>
      <c r="AQ1649">
        <v>0</v>
      </c>
    </row>
    <row r="1650" spans="1:43" x14ac:dyDescent="0.2">
      <c r="A1650" t="s">
        <v>381</v>
      </c>
      <c r="B1650" s="3">
        <v>44284</v>
      </c>
      <c r="C1650">
        <v>43</v>
      </c>
      <c r="D1650" t="s">
        <v>384</v>
      </c>
      <c r="E1650" t="s">
        <v>72</v>
      </c>
      <c r="F1650" s="9" t="s">
        <v>73</v>
      </c>
      <c r="G1650" t="s">
        <v>26</v>
      </c>
      <c r="H1650" t="s">
        <v>34</v>
      </c>
      <c r="I1650" t="s">
        <v>35</v>
      </c>
      <c r="J1650" t="s">
        <v>29</v>
      </c>
      <c r="K1650" t="s">
        <v>30</v>
      </c>
      <c r="L1650" t="s">
        <v>29</v>
      </c>
      <c r="M1650" t="s">
        <v>30</v>
      </c>
      <c r="N1650" t="s">
        <v>34</v>
      </c>
      <c r="O1650" t="s">
        <v>35</v>
      </c>
      <c r="P1650" t="s">
        <v>29</v>
      </c>
      <c r="Q1650" t="s">
        <v>30</v>
      </c>
      <c r="R1650" s="1">
        <v>44284.431944444441</v>
      </c>
      <c r="S1650" s="1">
        <v>44284.432268518518</v>
      </c>
      <c r="T1650">
        <v>0</v>
      </c>
      <c r="U1650">
        <v>0</v>
      </c>
      <c r="V1650" s="2">
        <v>0</v>
      </c>
      <c r="W1650">
        <v>0</v>
      </c>
      <c r="X1650" t="s">
        <v>37</v>
      </c>
      <c r="Y1650">
        <v>0</v>
      </c>
      <c r="Z1650" t="s">
        <v>37</v>
      </c>
      <c r="AA1650">
        <v>0</v>
      </c>
      <c r="AB1650" t="s">
        <v>37</v>
      </c>
      <c r="AC1650">
        <v>0</v>
      </c>
      <c r="AD1650" t="s">
        <v>31</v>
      </c>
      <c r="AE1650">
        <v>0</v>
      </c>
      <c r="AF1650" t="s">
        <v>31</v>
      </c>
      <c r="AG1650">
        <v>0</v>
      </c>
      <c r="AH1650" t="s">
        <v>31</v>
      </c>
      <c r="AI1650">
        <v>0</v>
      </c>
      <c r="AJ1650" t="s">
        <v>31</v>
      </c>
      <c r="AK1650">
        <v>0</v>
      </c>
      <c r="AL1650" t="s">
        <v>31</v>
      </c>
      <c r="AM1650">
        <v>0</v>
      </c>
      <c r="AN1650" t="s">
        <v>31</v>
      </c>
      <c r="AO1650">
        <v>0</v>
      </c>
      <c r="AP1650" t="s">
        <v>31</v>
      </c>
      <c r="AQ1650">
        <v>0</v>
      </c>
    </row>
    <row r="1651" spans="1:43" x14ac:dyDescent="0.2">
      <c r="A1651" t="s">
        <v>381</v>
      </c>
      <c r="B1651" s="3">
        <v>44285</v>
      </c>
      <c r="C1651">
        <v>45</v>
      </c>
      <c r="D1651" t="s">
        <v>385</v>
      </c>
      <c r="E1651" t="s">
        <v>72</v>
      </c>
      <c r="F1651" s="9" t="s">
        <v>73</v>
      </c>
      <c r="G1651" t="s">
        <v>26</v>
      </c>
      <c r="H1651" t="s">
        <v>34</v>
      </c>
      <c r="I1651" t="s">
        <v>35</v>
      </c>
      <c r="J1651" t="s">
        <v>29</v>
      </c>
      <c r="K1651" t="s">
        <v>30</v>
      </c>
      <c r="L1651" t="s">
        <v>29</v>
      </c>
      <c r="M1651" t="s">
        <v>30</v>
      </c>
      <c r="N1651" t="s">
        <v>34</v>
      </c>
      <c r="O1651" t="s">
        <v>35</v>
      </c>
      <c r="P1651" t="s">
        <v>29</v>
      </c>
      <c r="Q1651" t="s">
        <v>30</v>
      </c>
      <c r="R1651" s="1">
        <v>44285.588425925926</v>
      </c>
      <c r="S1651" s="1">
        <v>44285.588437500002</v>
      </c>
      <c r="T1651">
        <v>0</v>
      </c>
      <c r="U1651">
        <v>0</v>
      </c>
      <c r="V1651" s="2">
        <v>0</v>
      </c>
      <c r="W1651">
        <v>0</v>
      </c>
      <c r="X1651" t="s">
        <v>37</v>
      </c>
      <c r="Y1651">
        <v>0</v>
      </c>
      <c r="Z1651" t="s">
        <v>37</v>
      </c>
      <c r="AA1651">
        <v>0</v>
      </c>
      <c r="AB1651" t="s">
        <v>37</v>
      </c>
      <c r="AC1651">
        <v>0</v>
      </c>
      <c r="AD1651" t="s">
        <v>37</v>
      </c>
      <c r="AE1651">
        <v>0</v>
      </c>
      <c r="AF1651" t="s">
        <v>31</v>
      </c>
      <c r="AG1651">
        <v>0</v>
      </c>
      <c r="AH1651" t="s">
        <v>31</v>
      </c>
      <c r="AI1651">
        <v>0</v>
      </c>
      <c r="AJ1651" t="s">
        <v>31</v>
      </c>
      <c r="AK1651">
        <v>0</v>
      </c>
      <c r="AL1651" t="s">
        <v>31</v>
      </c>
      <c r="AM1651">
        <v>0</v>
      </c>
      <c r="AN1651" t="s">
        <v>31</v>
      </c>
      <c r="AO1651">
        <v>0</v>
      </c>
      <c r="AP1651" t="s">
        <v>31</v>
      </c>
      <c r="AQ1651">
        <v>0</v>
      </c>
    </row>
    <row r="1652" spans="1:43" x14ac:dyDescent="0.2">
      <c r="A1652" t="s">
        <v>381</v>
      </c>
      <c r="B1652" s="3">
        <v>44286</v>
      </c>
      <c r="C1652">
        <v>46</v>
      </c>
      <c r="D1652" t="s">
        <v>384</v>
      </c>
      <c r="E1652" t="s">
        <v>72</v>
      </c>
      <c r="F1652" s="9" t="s">
        <v>73</v>
      </c>
      <c r="G1652" t="s">
        <v>26</v>
      </c>
      <c r="H1652" t="s">
        <v>34</v>
      </c>
      <c r="I1652" t="s">
        <v>35</v>
      </c>
      <c r="J1652" t="s">
        <v>29</v>
      </c>
      <c r="K1652" t="s">
        <v>30</v>
      </c>
      <c r="L1652" t="s">
        <v>29</v>
      </c>
      <c r="M1652" t="s">
        <v>30</v>
      </c>
      <c r="N1652" t="s">
        <v>34</v>
      </c>
      <c r="O1652" t="s">
        <v>35</v>
      </c>
      <c r="P1652" t="s">
        <v>29</v>
      </c>
      <c r="Q1652" t="s">
        <v>30</v>
      </c>
      <c r="R1652" s="1">
        <v>44286.435856481483</v>
      </c>
      <c r="S1652" s="1">
        <v>44286.436215277776</v>
      </c>
      <c r="T1652">
        <v>0</v>
      </c>
      <c r="U1652">
        <v>0</v>
      </c>
      <c r="V1652" s="2">
        <v>0</v>
      </c>
      <c r="W1652">
        <v>0</v>
      </c>
      <c r="X1652" t="s">
        <v>37</v>
      </c>
      <c r="Y1652">
        <v>0</v>
      </c>
      <c r="Z1652" t="s">
        <v>37</v>
      </c>
      <c r="AA1652">
        <v>0</v>
      </c>
      <c r="AB1652" t="s">
        <v>37</v>
      </c>
      <c r="AC1652">
        <v>0</v>
      </c>
      <c r="AD1652" t="s">
        <v>37</v>
      </c>
      <c r="AE1652">
        <v>0</v>
      </c>
      <c r="AF1652" t="s">
        <v>31</v>
      </c>
      <c r="AG1652">
        <v>0</v>
      </c>
      <c r="AH1652" t="s">
        <v>31</v>
      </c>
      <c r="AI1652">
        <v>0</v>
      </c>
      <c r="AJ1652" t="s">
        <v>31</v>
      </c>
      <c r="AK1652">
        <v>0</v>
      </c>
      <c r="AL1652" t="s">
        <v>31</v>
      </c>
      <c r="AM1652">
        <v>0</v>
      </c>
      <c r="AN1652" t="s">
        <v>31</v>
      </c>
      <c r="AO1652">
        <v>0</v>
      </c>
      <c r="AP1652" t="s">
        <v>31</v>
      </c>
      <c r="AQ1652">
        <v>0</v>
      </c>
    </row>
    <row r="1653" spans="1:43" x14ac:dyDescent="0.2">
      <c r="A1653" t="s">
        <v>381</v>
      </c>
      <c r="B1653" s="3">
        <v>44287</v>
      </c>
      <c r="C1653">
        <v>47</v>
      </c>
      <c r="D1653" t="s">
        <v>385</v>
      </c>
      <c r="E1653" t="s">
        <v>72</v>
      </c>
      <c r="F1653" s="9" t="s">
        <v>73</v>
      </c>
      <c r="G1653" t="s">
        <v>26</v>
      </c>
      <c r="H1653" t="s">
        <v>34</v>
      </c>
      <c r="I1653" t="s">
        <v>35</v>
      </c>
      <c r="J1653" t="s">
        <v>29</v>
      </c>
      <c r="K1653" t="s">
        <v>30</v>
      </c>
      <c r="L1653" t="s">
        <v>29</v>
      </c>
      <c r="M1653" t="s">
        <v>30</v>
      </c>
      <c r="N1653" t="s">
        <v>34</v>
      </c>
      <c r="O1653" t="s">
        <v>35</v>
      </c>
      <c r="P1653" t="s">
        <v>29</v>
      </c>
      <c r="Q1653" t="s">
        <v>30</v>
      </c>
      <c r="R1653" s="1">
        <v>44287.486435185187</v>
      </c>
      <c r="S1653" s="1">
        <v>44287.486446759256</v>
      </c>
      <c r="T1653">
        <v>0</v>
      </c>
      <c r="U1653">
        <v>0</v>
      </c>
      <c r="V1653" s="2">
        <v>0</v>
      </c>
      <c r="W1653">
        <v>0</v>
      </c>
      <c r="X1653" t="s">
        <v>37</v>
      </c>
      <c r="Y1653">
        <v>0</v>
      </c>
      <c r="Z1653" t="s">
        <v>37</v>
      </c>
      <c r="AA1653">
        <v>0</v>
      </c>
      <c r="AB1653" t="s">
        <v>37</v>
      </c>
      <c r="AC1653">
        <v>0</v>
      </c>
      <c r="AD1653" t="s">
        <v>37</v>
      </c>
      <c r="AE1653">
        <v>0</v>
      </c>
      <c r="AF1653" t="s">
        <v>31</v>
      </c>
      <c r="AG1653">
        <v>0</v>
      </c>
      <c r="AH1653" t="s">
        <v>31</v>
      </c>
      <c r="AI1653">
        <v>0</v>
      </c>
      <c r="AJ1653" t="s">
        <v>31</v>
      </c>
      <c r="AK1653">
        <v>0</v>
      </c>
      <c r="AL1653" t="s">
        <v>31</v>
      </c>
      <c r="AM1653">
        <v>0</v>
      </c>
      <c r="AN1653" t="s">
        <v>31</v>
      </c>
      <c r="AO1653">
        <v>0</v>
      </c>
      <c r="AP1653" t="s">
        <v>31</v>
      </c>
      <c r="AQ1653">
        <v>0</v>
      </c>
    </row>
    <row r="1654" spans="1:43" x14ac:dyDescent="0.2">
      <c r="A1654" t="s">
        <v>381</v>
      </c>
      <c r="B1654" s="3">
        <v>44287</v>
      </c>
      <c r="C1654">
        <v>48</v>
      </c>
      <c r="D1654" t="s">
        <v>385</v>
      </c>
      <c r="E1654" t="s">
        <v>72</v>
      </c>
      <c r="F1654" s="9" t="s">
        <v>73</v>
      </c>
      <c r="G1654" t="s">
        <v>26</v>
      </c>
      <c r="H1654" t="s">
        <v>34</v>
      </c>
      <c r="I1654" t="s">
        <v>35</v>
      </c>
      <c r="J1654" t="s">
        <v>29</v>
      </c>
      <c r="K1654" t="s">
        <v>30</v>
      </c>
      <c r="L1654" t="s">
        <v>29</v>
      </c>
      <c r="M1654" t="s">
        <v>30</v>
      </c>
      <c r="N1654" t="s">
        <v>34</v>
      </c>
      <c r="O1654" t="s">
        <v>35</v>
      </c>
      <c r="P1654" t="s">
        <v>29</v>
      </c>
      <c r="Q1654" t="s">
        <v>30</v>
      </c>
      <c r="R1654" s="1">
        <v>44287.566319444442</v>
      </c>
      <c r="S1654" s="1">
        <v>44287.567037037035</v>
      </c>
      <c r="T1654">
        <v>0</v>
      </c>
      <c r="U1654">
        <v>0</v>
      </c>
      <c r="V1654" s="2">
        <v>0</v>
      </c>
      <c r="W1654">
        <v>0</v>
      </c>
      <c r="X1654" t="s">
        <v>37</v>
      </c>
      <c r="Y1654">
        <v>0</v>
      </c>
      <c r="Z1654" t="s">
        <v>37</v>
      </c>
      <c r="AA1654">
        <v>0</v>
      </c>
      <c r="AB1654" t="s">
        <v>37</v>
      </c>
      <c r="AC1654">
        <v>0</v>
      </c>
      <c r="AD1654" t="s">
        <v>37</v>
      </c>
      <c r="AE1654">
        <v>0</v>
      </c>
      <c r="AF1654" t="s">
        <v>31</v>
      </c>
      <c r="AG1654">
        <v>0</v>
      </c>
      <c r="AH1654" t="s">
        <v>31</v>
      </c>
      <c r="AI1654">
        <v>0</v>
      </c>
      <c r="AJ1654" t="s">
        <v>31</v>
      </c>
      <c r="AK1654">
        <v>0</v>
      </c>
      <c r="AL1654" t="s">
        <v>31</v>
      </c>
      <c r="AM1654">
        <v>0</v>
      </c>
      <c r="AN1654" t="s">
        <v>31</v>
      </c>
      <c r="AO1654">
        <v>0</v>
      </c>
      <c r="AP1654" t="s">
        <v>31</v>
      </c>
      <c r="AQ1654">
        <v>0</v>
      </c>
    </row>
    <row r="1655" spans="1:43" x14ac:dyDescent="0.2">
      <c r="A1655" t="s">
        <v>381</v>
      </c>
      <c r="B1655" s="3">
        <v>44288</v>
      </c>
      <c r="C1655">
        <v>49</v>
      </c>
      <c r="D1655" t="s">
        <v>384</v>
      </c>
      <c r="E1655" t="s">
        <v>72</v>
      </c>
      <c r="F1655" s="9" t="s">
        <v>73</v>
      </c>
      <c r="G1655" t="s">
        <v>26</v>
      </c>
      <c r="H1655" t="s">
        <v>34</v>
      </c>
      <c r="I1655" t="s">
        <v>35</v>
      </c>
      <c r="J1655" t="s">
        <v>29</v>
      </c>
      <c r="K1655" t="s">
        <v>30</v>
      </c>
      <c r="L1655" t="s">
        <v>29</v>
      </c>
      <c r="M1655" t="s">
        <v>30</v>
      </c>
      <c r="N1655" t="s">
        <v>34</v>
      </c>
      <c r="O1655" t="s">
        <v>35</v>
      </c>
      <c r="P1655" t="s">
        <v>29</v>
      </c>
      <c r="Q1655" t="s">
        <v>30</v>
      </c>
      <c r="R1655" s="1">
        <v>44288.408229166664</v>
      </c>
      <c r="S1655" s="1">
        <v>44288.408703703702</v>
      </c>
      <c r="T1655">
        <v>0</v>
      </c>
      <c r="U1655">
        <v>0</v>
      </c>
      <c r="V1655" s="2">
        <v>0</v>
      </c>
      <c r="W1655">
        <v>0</v>
      </c>
      <c r="X1655" t="s">
        <v>37</v>
      </c>
      <c r="Y1655">
        <v>0</v>
      </c>
      <c r="Z1655" t="s">
        <v>37</v>
      </c>
      <c r="AA1655">
        <v>0</v>
      </c>
      <c r="AB1655" t="s">
        <v>37</v>
      </c>
      <c r="AC1655">
        <v>0</v>
      </c>
      <c r="AD1655" t="s">
        <v>37</v>
      </c>
      <c r="AE1655">
        <v>0</v>
      </c>
      <c r="AF1655" t="s">
        <v>31</v>
      </c>
      <c r="AG1655">
        <v>0</v>
      </c>
      <c r="AH1655" t="s">
        <v>31</v>
      </c>
      <c r="AI1655">
        <v>0</v>
      </c>
      <c r="AJ1655" t="s">
        <v>31</v>
      </c>
      <c r="AK1655">
        <v>0</v>
      </c>
      <c r="AL1655" t="s">
        <v>31</v>
      </c>
      <c r="AM1655">
        <v>0</v>
      </c>
      <c r="AN1655" t="s">
        <v>31</v>
      </c>
      <c r="AO1655">
        <v>0</v>
      </c>
      <c r="AP1655" t="s">
        <v>31</v>
      </c>
      <c r="AQ1655">
        <v>0</v>
      </c>
    </row>
    <row r="1656" spans="1:43" x14ac:dyDescent="0.2">
      <c r="A1656" t="s">
        <v>381</v>
      </c>
      <c r="B1656" s="3">
        <v>44291</v>
      </c>
      <c r="C1656">
        <v>50</v>
      </c>
      <c r="D1656" t="s">
        <v>384</v>
      </c>
      <c r="E1656" t="s">
        <v>72</v>
      </c>
      <c r="F1656" s="9" t="s">
        <v>73</v>
      </c>
      <c r="G1656" t="s">
        <v>26</v>
      </c>
      <c r="H1656" t="s">
        <v>34</v>
      </c>
      <c r="I1656" t="s">
        <v>35</v>
      </c>
      <c r="J1656" t="s">
        <v>29</v>
      </c>
      <c r="K1656" t="s">
        <v>30</v>
      </c>
      <c r="L1656" t="s">
        <v>29</v>
      </c>
      <c r="M1656" t="s">
        <v>30</v>
      </c>
      <c r="N1656" t="s">
        <v>34</v>
      </c>
      <c r="O1656" t="s">
        <v>35</v>
      </c>
      <c r="P1656" t="s">
        <v>29</v>
      </c>
      <c r="Q1656" t="s">
        <v>30</v>
      </c>
      <c r="R1656" s="1">
        <v>44291.413136574076</v>
      </c>
      <c r="S1656" s="1">
        <v>44291.413148148145</v>
      </c>
      <c r="T1656">
        <v>1</v>
      </c>
      <c r="U1656">
        <v>1</v>
      </c>
      <c r="V1656" s="2">
        <v>1</v>
      </c>
      <c r="W1656">
        <v>0</v>
      </c>
      <c r="X1656" t="s">
        <v>37</v>
      </c>
      <c r="Y1656">
        <v>0</v>
      </c>
      <c r="Z1656" t="s">
        <v>37</v>
      </c>
      <c r="AA1656">
        <v>0</v>
      </c>
      <c r="AB1656" t="s">
        <v>30</v>
      </c>
      <c r="AC1656">
        <v>0</v>
      </c>
      <c r="AD1656" t="s">
        <v>31</v>
      </c>
      <c r="AE1656">
        <v>0</v>
      </c>
      <c r="AF1656" t="s">
        <v>31</v>
      </c>
      <c r="AG1656">
        <v>0</v>
      </c>
      <c r="AH1656" t="s">
        <v>31</v>
      </c>
      <c r="AI1656">
        <v>0</v>
      </c>
      <c r="AJ1656" t="s">
        <v>31</v>
      </c>
      <c r="AK1656">
        <v>0</v>
      </c>
      <c r="AL1656" t="s">
        <v>31</v>
      </c>
      <c r="AM1656">
        <v>0</v>
      </c>
      <c r="AN1656" t="s">
        <v>31</v>
      </c>
      <c r="AO1656">
        <v>0</v>
      </c>
      <c r="AP1656" t="s">
        <v>31</v>
      </c>
      <c r="AQ1656">
        <v>0</v>
      </c>
    </row>
    <row r="1657" spans="1:43" x14ac:dyDescent="0.2">
      <c r="A1657" t="s">
        <v>381</v>
      </c>
      <c r="B1657" s="3">
        <v>44293</v>
      </c>
      <c r="C1657">
        <v>53</v>
      </c>
      <c r="D1657" t="s">
        <v>384</v>
      </c>
      <c r="E1657" t="s">
        <v>72</v>
      </c>
      <c r="F1657" s="9" t="s">
        <v>73</v>
      </c>
      <c r="G1657" t="s">
        <v>26</v>
      </c>
      <c r="H1657" t="s">
        <v>34</v>
      </c>
      <c r="I1657" t="s">
        <v>35</v>
      </c>
      <c r="J1657" t="s">
        <v>29</v>
      </c>
      <c r="K1657" t="s">
        <v>30</v>
      </c>
      <c r="L1657" t="s">
        <v>29</v>
      </c>
      <c r="M1657" t="s">
        <v>30</v>
      </c>
      <c r="N1657" t="s">
        <v>34</v>
      </c>
      <c r="O1657" t="s">
        <v>35</v>
      </c>
      <c r="P1657" t="s">
        <v>29</v>
      </c>
      <c r="Q1657" t="s">
        <v>30</v>
      </c>
      <c r="R1657" s="1">
        <v>44293.415891203702</v>
      </c>
      <c r="S1657" s="1">
        <v>44293.416319444441</v>
      </c>
      <c r="T1657">
        <v>0</v>
      </c>
      <c r="U1657">
        <v>0</v>
      </c>
      <c r="V1657" s="2">
        <v>0</v>
      </c>
      <c r="W1657">
        <v>0</v>
      </c>
      <c r="X1657" t="s">
        <v>37</v>
      </c>
      <c r="Y1657">
        <v>0</v>
      </c>
      <c r="Z1657" t="s">
        <v>37</v>
      </c>
      <c r="AA1657">
        <v>0</v>
      </c>
      <c r="AB1657" t="s">
        <v>37</v>
      </c>
      <c r="AC1657">
        <v>0</v>
      </c>
      <c r="AD1657" t="s">
        <v>37</v>
      </c>
      <c r="AE1657">
        <v>0</v>
      </c>
      <c r="AF1657" t="s">
        <v>31</v>
      </c>
      <c r="AG1657">
        <v>0</v>
      </c>
      <c r="AH1657" t="s">
        <v>31</v>
      </c>
      <c r="AI1657">
        <v>0</v>
      </c>
      <c r="AJ1657" t="s">
        <v>31</v>
      </c>
      <c r="AK1657">
        <v>0</v>
      </c>
      <c r="AL1657" t="s">
        <v>31</v>
      </c>
      <c r="AM1657">
        <v>0</v>
      </c>
      <c r="AN1657" t="s">
        <v>31</v>
      </c>
      <c r="AO1657">
        <v>0</v>
      </c>
      <c r="AP1657" t="s">
        <v>31</v>
      </c>
      <c r="AQ1657">
        <v>0</v>
      </c>
    </row>
    <row r="1658" spans="1:43" x14ac:dyDescent="0.2">
      <c r="A1658" t="s">
        <v>381</v>
      </c>
      <c r="B1658" s="3">
        <v>44295</v>
      </c>
      <c r="C1658">
        <v>56</v>
      </c>
      <c r="D1658" t="s">
        <v>384</v>
      </c>
      <c r="E1658" t="s">
        <v>72</v>
      </c>
      <c r="F1658" s="9" t="s">
        <v>73</v>
      </c>
      <c r="G1658" t="s">
        <v>26</v>
      </c>
      <c r="H1658" t="s">
        <v>34</v>
      </c>
      <c r="I1658" t="s">
        <v>35</v>
      </c>
      <c r="J1658" t="s">
        <v>29</v>
      </c>
      <c r="K1658" t="s">
        <v>30</v>
      </c>
      <c r="L1658" t="s">
        <v>29</v>
      </c>
      <c r="M1658" t="s">
        <v>30</v>
      </c>
      <c r="N1658" t="s">
        <v>34</v>
      </c>
      <c r="O1658" t="s">
        <v>35</v>
      </c>
      <c r="P1658" t="s">
        <v>29</v>
      </c>
      <c r="Q1658" t="s">
        <v>30</v>
      </c>
      <c r="R1658" s="1">
        <v>44295.423159722224</v>
      </c>
      <c r="S1658" s="1">
        <v>44295.42328703704</v>
      </c>
      <c r="T1658">
        <v>1</v>
      </c>
      <c r="U1658">
        <v>1</v>
      </c>
      <c r="V1658" s="2">
        <v>1</v>
      </c>
      <c r="W1658">
        <v>0</v>
      </c>
      <c r="X1658" t="s">
        <v>37</v>
      </c>
      <c r="Y1658">
        <v>0</v>
      </c>
      <c r="Z1658" t="s">
        <v>30</v>
      </c>
      <c r="AA1658">
        <v>0</v>
      </c>
      <c r="AB1658" t="s">
        <v>31</v>
      </c>
      <c r="AC1658">
        <v>0</v>
      </c>
      <c r="AD1658" t="s">
        <v>31</v>
      </c>
      <c r="AE1658">
        <v>0</v>
      </c>
      <c r="AF1658" t="s">
        <v>31</v>
      </c>
      <c r="AG1658">
        <v>0</v>
      </c>
      <c r="AH1658" t="s">
        <v>31</v>
      </c>
      <c r="AI1658">
        <v>0</v>
      </c>
      <c r="AJ1658" t="s">
        <v>31</v>
      </c>
      <c r="AK1658">
        <v>0</v>
      </c>
      <c r="AL1658" t="s">
        <v>31</v>
      </c>
      <c r="AM1658">
        <v>0</v>
      </c>
      <c r="AN1658" t="s">
        <v>31</v>
      </c>
      <c r="AO1658">
        <v>0</v>
      </c>
      <c r="AP1658" t="s">
        <v>31</v>
      </c>
      <c r="AQ1658">
        <v>0</v>
      </c>
    </row>
    <row r="1659" spans="1:43" x14ac:dyDescent="0.2">
      <c r="A1659" t="s">
        <v>381</v>
      </c>
      <c r="B1659" s="3">
        <v>44299</v>
      </c>
      <c r="C1659">
        <v>58</v>
      </c>
      <c r="D1659" t="s">
        <v>385</v>
      </c>
      <c r="E1659" t="s">
        <v>72</v>
      </c>
      <c r="F1659" s="9" t="s">
        <v>73</v>
      </c>
      <c r="G1659" t="s">
        <v>26</v>
      </c>
      <c r="H1659" t="s">
        <v>34</v>
      </c>
      <c r="I1659" t="s">
        <v>35</v>
      </c>
      <c r="J1659" t="s">
        <v>29</v>
      </c>
      <c r="K1659" t="s">
        <v>30</v>
      </c>
      <c r="L1659" t="s">
        <v>29</v>
      </c>
      <c r="M1659" t="s">
        <v>30</v>
      </c>
      <c r="N1659" t="s">
        <v>34</v>
      </c>
      <c r="O1659" t="s">
        <v>35</v>
      </c>
      <c r="P1659" t="s">
        <v>29</v>
      </c>
      <c r="Q1659" t="s">
        <v>30</v>
      </c>
      <c r="R1659" s="1">
        <v>44299.466817129629</v>
      </c>
      <c r="S1659" s="1">
        <v>44299.467361111114</v>
      </c>
      <c r="T1659">
        <v>0</v>
      </c>
      <c r="U1659">
        <v>0</v>
      </c>
      <c r="V1659" s="2">
        <v>0</v>
      </c>
      <c r="W1659">
        <v>0</v>
      </c>
      <c r="X1659" t="s">
        <v>37</v>
      </c>
      <c r="Y1659">
        <v>0</v>
      </c>
      <c r="Z1659" t="s">
        <v>37</v>
      </c>
      <c r="AA1659">
        <v>0</v>
      </c>
      <c r="AB1659" t="s">
        <v>37</v>
      </c>
      <c r="AC1659">
        <v>0</v>
      </c>
      <c r="AD1659" t="s">
        <v>37</v>
      </c>
      <c r="AE1659">
        <v>0</v>
      </c>
      <c r="AF1659" t="s">
        <v>31</v>
      </c>
      <c r="AG1659">
        <v>0</v>
      </c>
      <c r="AH1659" t="s">
        <v>31</v>
      </c>
      <c r="AI1659">
        <v>0</v>
      </c>
      <c r="AJ1659" t="s">
        <v>31</v>
      </c>
      <c r="AK1659">
        <v>0</v>
      </c>
      <c r="AL1659" t="s">
        <v>31</v>
      </c>
      <c r="AM1659">
        <v>0</v>
      </c>
      <c r="AN1659" t="s">
        <v>31</v>
      </c>
      <c r="AO1659">
        <v>0</v>
      </c>
      <c r="AP1659" t="s">
        <v>31</v>
      </c>
      <c r="AQ1659">
        <v>0</v>
      </c>
    </row>
    <row r="1660" spans="1:43" x14ac:dyDescent="0.2">
      <c r="A1660" t="s">
        <v>381</v>
      </c>
      <c r="B1660" s="3">
        <v>44299</v>
      </c>
      <c r="C1660">
        <v>59</v>
      </c>
      <c r="D1660" t="s">
        <v>385</v>
      </c>
      <c r="E1660" t="s">
        <v>72</v>
      </c>
      <c r="F1660" s="9" t="s">
        <v>73</v>
      </c>
      <c r="G1660" t="s">
        <v>26</v>
      </c>
      <c r="H1660" t="s">
        <v>34</v>
      </c>
      <c r="I1660" t="s">
        <v>35</v>
      </c>
      <c r="J1660" t="s">
        <v>29</v>
      </c>
      <c r="K1660" t="s">
        <v>30</v>
      </c>
      <c r="L1660" t="s">
        <v>29</v>
      </c>
      <c r="M1660" t="s">
        <v>30</v>
      </c>
      <c r="N1660" t="s">
        <v>34</v>
      </c>
      <c r="O1660" t="s">
        <v>35</v>
      </c>
      <c r="P1660" t="s">
        <v>29</v>
      </c>
      <c r="Q1660" t="s">
        <v>30</v>
      </c>
      <c r="R1660" s="1">
        <v>44299.601782407408</v>
      </c>
      <c r="S1660" s="1">
        <v>44299.602164351854</v>
      </c>
      <c r="T1660">
        <v>0</v>
      </c>
      <c r="U1660">
        <v>1</v>
      </c>
      <c r="V1660" s="2">
        <v>0</v>
      </c>
      <c r="W1660">
        <v>0</v>
      </c>
      <c r="X1660" t="s">
        <v>44</v>
      </c>
      <c r="Y1660">
        <v>0</v>
      </c>
      <c r="Z1660" t="s">
        <v>37</v>
      </c>
      <c r="AA1660">
        <v>0</v>
      </c>
      <c r="AB1660" t="s">
        <v>37</v>
      </c>
      <c r="AC1660">
        <v>0</v>
      </c>
      <c r="AD1660" t="s">
        <v>37</v>
      </c>
      <c r="AE1660">
        <v>0</v>
      </c>
      <c r="AF1660" t="s">
        <v>31</v>
      </c>
      <c r="AG1660">
        <v>0</v>
      </c>
      <c r="AH1660" t="s">
        <v>31</v>
      </c>
      <c r="AI1660">
        <v>0</v>
      </c>
      <c r="AJ1660" t="s">
        <v>31</v>
      </c>
      <c r="AK1660">
        <v>0</v>
      </c>
      <c r="AL1660" t="s">
        <v>31</v>
      </c>
      <c r="AM1660">
        <v>0</v>
      </c>
      <c r="AN1660" t="s">
        <v>31</v>
      </c>
      <c r="AO1660">
        <v>0</v>
      </c>
      <c r="AP1660" t="s">
        <v>31</v>
      </c>
      <c r="AQ1660">
        <v>0</v>
      </c>
    </row>
    <row r="1661" spans="1:43" x14ac:dyDescent="0.2">
      <c r="A1661" t="s">
        <v>381</v>
      </c>
      <c r="B1661" s="3">
        <v>44301</v>
      </c>
      <c r="C1661">
        <v>63</v>
      </c>
      <c r="D1661" t="s">
        <v>385</v>
      </c>
      <c r="E1661" t="s">
        <v>72</v>
      </c>
      <c r="F1661" s="9" t="s">
        <v>73</v>
      </c>
      <c r="G1661" t="s">
        <v>26</v>
      </c>
      <c r="H1661" t="s">
        <v>34</v>
      </c>
      <c r="I1661" t="s">
        <v>35</v>
      </c>
      <c r="J1661" t="s">
        <v>29</v>
      </c>
      <c r="K1661" t="s">
        <v>30</v>
      </c>
      <c r="L1661" t="s">
        <v>29</v>
      </c>
      <c r="M1661" t="s">
        <v>30</v>
      </c>
      <c r="N1661" t="s">
        <v>34</v>
      </c>
      <c r="O1661" t="s">
        <v>35</v>
      </c>
      <c r="P1661" t="s">
        <v>29</v>
      </c>
      <c r="Q1661" t="s">
        <v>30</v>
      </c>
      <c r="R1661" s="1">
        <v>44301.541273148148</v>
      </c>
      <c r="S1661" s="1">
        <v>44301.541898148149</v>
      </c>
      <c r="T1661">
        <v>0</v>
      </c>
      <c r="U1661">
        <v>0</v>
      </c>
      <c r="V1661" s="2">
        <v>0</v>
      </c>
      <c r="W1661">
        <v>0</v>
      </c>
      <c r="X1661" t="s">
        <v>37</v>
      </c>
      <c r="Y1661">
        <v>0</v>
      </c>
      <c r="Z1661" t="s">
        <v>37</v>
      </c>
      <c r="AA1661">
        <v>0</v>
      </c>
      <c r="AB1661" t="s">
        <v>37</v>
      </c>
      <c r="AC1661">
        <v>0</v>
      </c>
      <c r="AD1661" t="s">
        <v>37</v>
      </c>
      <c r="AE1661">
        <v>0</v>
      </c>
      <c r="AF1661" t="s">
        <v>31</v>
      </c>
      <c r="AG1661">
        <v>0</v>
      </c>
      <c r="AH1661" t="s">
        <v>31</v>
      </c>
      <c r="AI1661">
        <v>0</v>
      </c>
      <c r="AJ1661" t="s">
        <v>31</v>
      </c>
      <c r="AK1661">
        <v>0</v>
      </c>
      <c r="AL1661" t="s">
        <v>31</v>
      </c>
      <c r="AM1661">
        <v>0</v>
      </c>
      <c r="AN1661" t="s">
        <v>31</v>
      </c>
      <c r="AO1661">
        <v>0</v>
      </c>
      <c r="AP1661" t="s">
        <v>31</v>
      </c>
      <c r="AQ1661">
        <v>0</v>
      </c>
    </row>
    <row r="1662" spans="1:43" x14ac:dyDescent="0.2">
      <c r="A1662" t="s">
        <v>381</v>
      </c>
      <c r="B1662" s="3">
        <v>44302</v>
      </c>
      <c r="C1662">
        <v>64</v>
      </c>
      <c r="D1662" t="s">
        <v>390</v>
      </c>
      <c r="E1662" t="s">
        <v>72</v>
      </c>
      <c r="F1662" s="9" t="s">
        <v>73</v>
      </c>
      <c r="G1662" t="s">
        <v>26</v>
      </c>
      <c r="H1662" t="s">
        <v>34</v>
      </c>
      <c r="I1662" t="s">
        <v>35</v>
      </c>
      <c r="J1662" t="s">
        <v>29</v>
      </c>
      <c r="K1662" t="s">
        <v>30</v>
      </c>
      <c r="L1662" t="s">
        <v>29</v>
      </c>
      <c r="M1662" t="s">
        <v>30</v>
      </c>
      <c r="N1662" t="s">
        <v>34</v>
      </c>
      <c r="O1662" t="s">
        <v>35</v>
      </c>
      <c r="P1662" t="s">
        <v>29</v>
      </c>
      <c r="Q1662" t="s">
        <v>30</v>
      </c>
      <c r="R1662" s="1">
        <v>44302.467870370368</v>
      </c>
      <c r="S1662" s="1">
        <v>44302.467870370368</v>
      </c>
      <c r="T1662">
        <v>0</v>
      </c>
      <c r="U1662">
        <v>0</v>
      </c>
      <c r="V1662" s="2">
        <v>0</v>
      </c>
      <c r="W1662">
        <v>0</v>
      </c>
      <c r="X1662" t="s">
        <v>37</v>
      </c>
      <c r="Y1662">
        <v>0</v>
      </c>
      <c r="Z1662" t="s">
        <v>37</v>
      </c>
      <c r="AA1662">
        <v>0</v>
      </c>
      <c r="AB1662" t="s">
        <v>37</v>
      </c>
      <c r="AC1662">
        <v>0</v>
      </c>
      <c r="AD1662" t="s">
        <v>37</v>
      </c>
      <c r="AE1662">
        <v>0</v>
      </c>
      <c r="AF1662" t="s">
        <v>37</v>
      </c>
      <c r="AG1662">
        <v>0</v>
      </c>
      <c r="AH1662" t="s">
        <v>31</v>
      </c>
      <c r="AI1662">
        <v>0</v>
      </c>
      <c r="AJ1662" t="s">
        <v>31</v>
      </c>
      <c r="AK1662">
        <v>0</v>
      </c>
      <c r="AL1662" t="s">
        <v>31</v>
      </c>
      <c r="AM1662">
        <v>0</v>
      </c>
      <c r="AN1662" t="s">
        <v>31</v>
      </c>
      <c r="AO1662">
        <v>0</v>
      </c>
      <c r="AP1662" t="s">
        <v>31</v>
      </c>
      <c r="AQ1662">
        <v>0</v>
      </c>
    </row>
    <row r="1663" spans="1:43" x14ac:dyDescent="0.2">
      <c r="A1663" t="s">
        <v>381</v>
      </c>
      <c r="B1663" s="3">
        <v>44308</v>
      </c>
      <c r="C1663">
        <v>69</v>
      </c>
      <c r="D1663" t="s">
        <v>385</v>
      </c>
      <c r="E1663" t="s">
        <v>72</v>
      </c>
      <c r="F1663" s="9" t="s">
        <v>73</v>
      </c>
      <c r="G1663" t="s">
        <v>26</v>
      </c>
      <c r="H1663" t="s">
        <v>34</v>
      </c>
      <c r="I1663" t="s">
        <v>35</v>
      </c>
      <c r="J1663" t="s">
        <v>29</v>
      </c>
      <c r="K1663" t="s">
        <v>30</v>
      </c>
      <c r="L1663" t="s">
        <v>29</v>
      </c>
      <c r="M1663" t="s">
        <v>30</v>
      </c>
      <c r="N1663" t="s">
        <v>34</v>
      </c>
      <c r="O1663" t="s">
        <v>35</v>
      </c>
      <c r="P1663" t="s">
        <v>29</v>
      </c>
      <c r="Q1663" t="s">
        <v>30</v>
      </c>
      <c r="R1663" s="1">
        <v>44308.585150462961</v>
      </c>
      <c r="S1663" s="1">
        <v>44308.585150462961</v>
      </c>
      <c r="T1663">
        <v>0</v>
      </c>
      <c r="U1663">
        <v>0</v>
      </c>
      <c r="V1663" s="2">
        <v>0</v>
      </c>
      <c r="W1663">
        <v>0</v>
      </c>
      <c r="X1663" t="s">
        <v>37</v>
      </c>
      <c r="Y1663">
        <v>0</v>
      </c>
      <c r="Z1663" t="s">
        <v>37</v>
      </c>
      <c r="AA1663">
        <v>0</v>
      </c>
      <c r="AB1663" t="s">
        <v>37</v>
      </c>
      <c r="AC1663">
        <v>0</v>
      </c>
      <c r="AD1663" t="s">
        <v>37</v>
      </c>
      <c r="AE1663">
        <v>0</v>
      </c>
      <c r="AF1663" t="s">
        <v>31</v>
      </c>
      <c r="AG1663">
        <v>0</v>
      </c>
      <c r="AH1663" t="s">
        <v>31</v>
      </c>
      <c r="AI1663">
        <v>0</v>
      </c>
      <c r="AJ1663" t="s">
        <v>31</v>
      </c>
      <c r="AK1663">
        <v>0</v>
      </c>
      <c r="AL1663" t="s">
        <v>31</v>
      </c>
      <c r="AM1663">
        <v>0</v>
      </c>
      <c r="AN1663" t="s">
        <v>31</v>
      </c>
      <c r="AO1663">
        <v>0</v>
      </c>
      <c r="AP1663" t="s">
        <v>31</v>
      </c>
      <c r="AQ1663">
        <v>0</v>
      </c>
    </row>
    <row r="1664" spans="1:43" x14ac:dyDescent="0.2">
      <c r="A1664" t="s">
        <v>381</v>
      </c>
      <c r="B1664" s="3">
        <v>44312</v>
      </c>
      <c r="C1664">
        <v>72</v>
      </c>
      <c r="D1664" t="s">
        <v>402</v>
      </c>
      <c r="E1664" t="s">
        <v>72</v>
      </c>
      <c r="F1664" s="9" t="s">
        <v>73</v>
      </c>
      <c r="G1664" t="s">
        <v>26</v>
      </c>
      <c r="H1664" t="s">
        <v>34</v>
      </c>
      <c r="I1664" t="s">
        <v>35</v>
      </c>
      <c r="J1664" t="s">
        <v>29</v>
      </c>
      <c r="K1664" t="s">
        <v>30</v>
      </c>
      <c r="L1664" t="s">
        <v>29</v>
      </c>
      <c r="M1664" t="s">
        <v>30</v>
      </c>
      <c r="N1664" t="s">
        <v>34</v>
      </c>
      <c r="O1664" t="s">
        <v>35</v>
      </c>
      <c r="P1664" t="s">
        <v>29</v>
      </c>
      <c r="Q1664" t="s">
        <v>30</v>
      </c>
      <c r="R1664" s="1">
        <v>44312.418726851851</v>
      </c>
      <c r="S1664" s="1">
        <v>44312.418877314813</v>
      </c>
      <c r="T1664">
        <v>0</v>
      </c>
      <c r="U1664">
        <v>0</v>
      </c>
      <c r="V1664" s="2">
        <v>0</v>
      </c>
      <c r="W1664">
        <v>0</v>
      </c>
      <c r="X1664" t="s">
        <v>37</v>
      </c>
      <c r="Y1664">
        <v>0</v>
      </c>
      <c r="Z1664" t="s">
        <v>37</v>
      </c>
      <c r="AA1664">
        <v>0</v>
      </c>
      <c r="AB1664" t="s">
        <v>31</v>
      </c>
      <c r="AC1664">
        <v>0</v>
      </c>
      <c r="AD1664" t="s">
        <v>31</v>
      </c>
      <c r="AE1664">
        <v>0</v>
      </c>
      <c r="AF1664" t="s">
        <v>31</v>
      </c>
      <c r="AG1664">
        <v>0</v>
      </c>
      <c r="AH1664" t="s">
        <v>31</v>
      </c>
      <c r="AI1664">
        <v>0</v>
      </c>
      <c r="AJ1664" t="s">
        <v>31</v>
      </c>
      <c r="AK1664">
        <v>0</v>
      </c>
      <c r="AL1664" t="s">
        <v>31</v>
      </c>
      <c r="AM1664">
        <v>0</v>
      </c>
      <c r="AN1664" t="s">
        <v>31</v>
      </c>
      <c r="AO1664">
        <v>0</v>
      </c>
      <c r="AP1664" t="s">
        <v>31</v>
      </c>
      <c r="AQ1664">
        <v>0</v>
      </c>
    </row>
    <row r="1665" spans="1:43" x14ac:dyDescent="0.2">
      <c r="A1665" t="s">
        <v>381</v>
      </c>
      <c r="B1665" s="3">
        <v>44313</v>
      </c>
      <c r="C1665">
        <v>76</v>
      </c>
      <c r="D1665" t="s">
        <v>385</v>
      </c>
      <c r="E1665" t="s">
        <v>72</v>
      </c>
      <c r="F1665" s="9" t="s">
        <v>73</v>
      </c>
      <c r="G1665" t="s">
        <v>26</v>
      </c>
      <c r="H1665" t="s">
        <v>34</v>
      </c>
      <c r="I1665" t="s">
        <v>35</v>
      </c>
      <c r="J1665" t="s">
        <v>29</v>
      </c>
      <c r="K1665" t="s">
        <v>30</v>
      </c>
      <c r="L1665" t="s">
        <v>29</v>
      </c>
      <c r="M1665" t="s">
        <v>30</v>
      </c>
      <c r="N1665" t="s">
        <v>34</v>
      </c>
      <c r="O1665" t="s">
        <v>35</v>
      </c>
      <c r="P1665" t="s">
        <v>29</v>
      </c>
      <c r="Q1665" t="s">
        <v>30</v>
      </c>
      <c r="R1665" s="1">
        <v>44313.646041666667</v>
      </c>
      <c r="S1665" s="1">
        <v>44313.646053240744</v>
      </c>
      <c r="T1665">
        <v>0</v>
      </c>
      <c r="U1665">
        <v>0</v>
      </c>
      <c r="V1665" s="2">
        <v>0</v>
      </c>
      <c r="W1665">
        <v>0</v>
      </c>
      <c r="X1665" t="s">
        <v>37</v>
      </c>
      <c r="Y1665">
        <v>0</v>
      </c>
      <c r="Z1665" t="s">
        <v>37</v>
      </c>
      <c r="AA1665">
        <v>0</v>
      </c>
      <c r="AB1665" t="s">
        <v>37</v>
      </c>
      <c r="AC1665">
        <v>0</v>
      </c>
      <c r="AD1665" t="s">
        <v>37</v>
      </c>
      <c r="AE1665">
        <v>0</v>
      </c>
      <c r="AF1665" t="s">
        <v>31</v>
      </c>
      <c r="AG1665">
        <v>0</v>
      </c>
      <c r="AH1665" t="s">
        <v>31</v>
      </c>
      <c r="AI1665">
        <v>0</v>
      </c>
      <c r="AJ1665" t="s">
        <v>31</v>
      </c>
      <c r="AK1665">
        <v>0</v>
      </c>
      <c r="AL1665" t="s">
        <v>31</v>
      </c>
      <c r="AM1665">
        <v>0</v>
      </c>
      <c r="AN1665" t="s">
        <v>31</v>
      </c>
      <c r="AO1665">
        <v>0</v>
      </c>
      <c r="AP1665" t="s">
        <v>31</v>
      </c>
      <c r="AQ1665">
        <v>0</v>
      </c>
    </row>
    <row r="1666" spans="1:43" x14ac:dyDescent="0.2">
      <c r="A1666" t="s">
        <v>381</v>
      </c>
      <c r="B1666" s="3">
        <v>44315</v>
      </c>
      <c r="C1666">
        <v>81</v>
      </c>
      <c r="D1666" t="s">
        <v>385</v>
      </c>
      <c r="E1666" t="s">
        <v>72</v>
      </c>
      <c r="F1666" s="9" t="s">
        <v>73</v>
      </c>
      <c r="G1666" t="s">
        <v>26</v>
      </c>
      <c r="H1666" t="s">
        <v>34</v>
      </c>
      <c r="I1666" t="s">
        <v>35</v>
      </c>
      <c r="J1666" t="s">
        <v>29</v>
      </c>
      <c r="K1666" t="s">
        <v>30</v>
      </c>
      <c r="L1666" t="s">
        <v>29</v>
      </c>
      <c r="M1666" t="s">
        <v>30</v>
      </c>
      <c r="N1666" t="s">
        <v>34</v>
      </c>
      <c r="O1666" t="s">
        <v>35</v>
      </c>
      <c r="P1666" t="s">
        <v>29</v>
      </c>
      <c r="Q1666" t="s">
        <v>30</v>
      </c>
      <c r="R1666" s="1">
        <v>44315.556250000001</v>
      </c>
      <c r="S1666" s="1">
        <v>44315.556817129633</v>
      </c>
      <c r="T1666">
        <v>0</v>
      </c>
      <c r="U1666">
        <v>0</v>
      </c>
      <c r="V1666" s="2">
        <v>0</v>
      </c>
      <c r="W1666">
        <v>0</v>
      </c>
      <c r="X1666" t="s">
        <v>37</v>
      </c>
      <c r="Y1666">
        <v>0</v>
      </c>
      <c r="Z1666" t="s">
        <v>37</v>
      </c>
      <c r="AA1666">
        <v>0</v>
      </c>
      <c r="AB1666" t="s">
        <v>37</v>
      </c>
      <c r="AC1666">
        <v>0</v>
      </c>
      <c r="AD1666" t="s">
        <v>37</v>
      </c>
      <c r="AE1666">
        <v>0</v>
      </c>
      <c r="AF1666" t="s">
        <v>31</v>
      </c>
      <c r="AG1666">
        <v>0</v>
      </c>
      <c r="AH1666" t="s">
        <v>31</v>
      </c>
      <c r="AI1666">
        <v>0</v>
      </c>
      <c r="AJ1666" t="s">
        <v>31</v>
      </c>
      <c r="AK1666">
        <v>0</v>
      </c>
      <c r="AL1666" t="s">
        <v>31</v>
      </c>
      <c r="AM1666">
        <v>0</v>
      </c>
      <c r="AN1666" t="s">
        <v>31</v>
      </c>
      <c r="AO1666">
        <v>0</v>
      </c>
      <c r="AP1666" t="s">
        <v>31</v>
      </c>
      <c r="AQ1666">
        <v>0</v>
      </c>
    </row>
    <row r="1667" spans="1:43" x14ac:dyDescent="0.2">
      <c r="A1667" t="s">
        <v>381</v>
      </c>
      <c r="B1667" s="3">
        <v>44319</v>
      </c>
      <c r="C1667">
        <v>84</v>
      </c>
      <c r="D1667" t="s">
        <v>390</v>
      </c>
      <c r="E1667" t="s">
        <v>72</v>
      </c>
      <c r="F1667" s="9" t="s">
        <v>73</v>
      </c>
      <c r="G1667" t="s">
        <v>26</v>
      </c>
      <c r="H1667" t="s">
        <v>34</v>
      </c>
      <c r="I1667" t="s">
        <v>35</v>
      </c>
      <c r="J1667" t="s">
        <v>29</v>
      </c>
      <c r="K1667" t="s">
        <v>30</v>
      </c>
      <c r="L1667" t="s">
        <v>29</v>
      </c>
      <c r="M1667" t="s">
        <v>30</v>
      </c>
      <c r="N1667" t="s">
        <v>34</v>
      </c>
      <c r="O1667" t="s">
        <v>35</v>
      </c>
      <c r="P1667" t="s">
        <v>29</v>
      </c>
      <c r="Q1667" t="s">
        <v>30</v>
      </c>
      <c r="R1667" s="1">
        <v>44319.478530092594</v>
      </c>
      <c r="S1667" s="1">
        <v>44319.478530092594</v>
      </c>
      <c r="T1667">
        <v>0</v>
      </c>
      <c r="U1667">
        <v>0</v>
      </c>
      <c r="V1667" s="2">
        <v>0</v>
      </c>
      <c r="W1667">
        <v>0</v>
      </c>
      <c r="X1667" t="s">
        <v>37</v>
      </c>
      <c r="Y1667">
        <v>0</v>
      </c>
      <c r="Z1667" t="s">
        <v>37</v>
      </c>
      <c r="AA1667">
        <v>0</v>
      </c>
      <c r="AB1667" t="s">
        <v>37</v>
      </c>
      <c r="AC1667">
        <v>0</v>
      </c>
      <c r="AD1667" t="s">
        <v>31</v>
      </c>
      <c r="AE1667">
        <v>0</v>
      </c>
      <c r="AF1667" t="s">
        <v>31</v>
      </c>
      <c r="AG1667">
        <v>0</v>
      </c>
      <c r="AH1667" t="s">
        <v>31</v>
      </c>
      <c r="AI1667">
        <v>0</v>
      </c>
      <c r="AJ1667" t="s">
        <v>31</v>
      </c>
      <c r="AK1667">
        <v>0</v>
      </c>
      <c r="AL1667" t="s">
        <v>31</v>
      </c>
      <c r="AM1667">
        <v>0</v>
      </c>
      <c r="AN1667" t="s">
        <v>31</v>
      </c>
      <c r="AO1667">
        <v>0</v>
      </c>
      <c r="AP1667" t="s">
        <v>31</v>
      </c>
      <c r="AQ1667">
        <v>0</v>
      </c>
    </row>
    <row r="1668" spans="1:43" x14ac:dyDescent="0.2">
      <c r="A1668" t="s">
        <v>381</v>
      </c>
      <c r="B1668" s="3">
        <v>44320</v>
      </c>
      <c r="C1668">
        <v>86</v>
      </c>
      <c r="D1668" t="s">
        <v>412</v>
      </c>
      <c r="E1668" t="s">
        <v>72</v>
      </c>
      <c r="F1668" s="9" t="s">
        <v>73</v>
      </c>
      <c r="G1668" t="s">
        <v>26</v>
      </c>
      <c r="H1668" t="s">
        <v>34</v>
      </c>
      <c r="I1668" t="s">
        <v>35</v>
      </c>
      <c r="J1668" t="s">
        <v>29</v>
      </c>
      <c r="K1668" t="s">
        <v>30</v>
      </c>
      <c r="L1668" t="s">
        <v>29</v>
      </c>
      <c r="M1668" t="s">
        <v>30</v>
      </c>
      <c r="N1668" t="s">
        <v>34</v>
      </c>
      <c r="O1668" t="s">
        <v>35</v>
      </c>
      <c r="P1668" t="s">
        <v>29</v>
      </c>
      <c r="Q1668" t="s">
        <v>30</v>
      </c>
      <c r="R1668" s="1">
        <v>44320.480300925927</v>
      </c>
      <c r="S1668" s="1">
        <v>44320.480775462966</v>
      </c>
      <c r="T1668">
        <v>0</v>
      </c>
      <c r="U1668">
        <v>0</v>
      </c>
      <c r="V1668" s="2">
        <v>0</v>
      </c>
      <c r="W1668">
        <v>0</v>
      </c>
      <c r="X1668" t="s">
        <v>37</v>
      </c>
      <c r="Y1668">
        <v>0</v>
      </c>
      <c r="Z1668" t="s">
        <v>37</v>
      </c>
      <c r="AA1668">
        <v>0</v>
      </c>
      <c r="AB1668" t="s">
        <v>37</v>
      </c>
      <c r="AC1668">
        <v>0</v>
      </c>
      <c r="AD1668" t="s">
        <v>31</v>
      </c>
      <c r="AE1668">
        <v>0</v>
      </c>
      <c r="AF1668" t="s">
        <v>31</v>
      </c>
      <c r="AG1668">
        <v>0</v>
      </c>
      <c r="AH1668" t="s">
        <v>31</v>
      </c>
      <c r="AI1668">
        <v>0</v>
      </c>
      <c r="AJ1668" t="s">
        <v>31</v>
      </c>
      <c r="AK1668">
        <v>0</v>
      </c>
      <c r="AL1668" t="s">
        <v>31</v>
      </c>
      <c r="AM1668">
        <v>0</v>
      </c>
      <c r="AN1668" t="s">
        <v>31</v>
      </c>
      <c r="AO1668">
        <v>0</v>
      </c>
      <c r="AP1668" t="s">
        <v>31</v>
      </c>
      <c r="AQ1668">
        <v>0</v>
      </c>
    </row>
    <row r="1669" spans="1:43" x14ac:dyDescent="0.2">
      <c r="A1669" t="s">
        <v>381</v>
      </c>
      <c r="B1669" s="3">
        <v>44320</v>
      </c>
      <c r="C1669">
        <v>87</v>
      </c>
      <c r="D1669" t="s">
        <v>385</v>
      </c>
      <c r="E1669" t="s">
        <v>72</v>
      </c>
      <c r="F1669" s="9" t="s">
        <v>73</v>
      </c>
      <c r="G1669" t="s">
        <v>26</v>
      </c>
      <c r="H1669" t="s">
        <v>34</v>
      </c>
      <c r="I1669" t="s">
        <v>35</v>
      </c>
      <c r="J1669" t="s">
        <v>29</v>
      </c>
      <c r="K1669" t="s">
        <v>30</v>
      </c>
      <c r="L1669" t="s">
        <v>29</v>
      </c>
      <c r="M1669" t="s">
        <v>30</v>
      </c>
      <c r="N1669" t="s">
        <v>34</v>
      </c>
      <c r="O1669" t="s">
        <v>35</v>
      </c>
      <c r="P1669" t="s">
        <v>29</v>
      </c>
      <c r="Q1669" t="s">
        <v>30</v>
      </c>
      <c r="R1669" s="1">
        <v>44320.591064814813</v>
      </c>
      <c r="S1669" s="1">
        <v>44320.59107638889</v>
      </c>
      <c r="T1669">
        <v>0</v>
      </c>
      <c r="U1669">
        <v>0</v>
      </c>
      <c r="V1669" s="2">
        <v>0</v>
      </c>
      <c r="W1669">
        <v>0</v>
      </c>
      <c r="X1669" t="s">
        <v>37</v>
      </c>
      <c r="Y1669">
        <v>0</v>
      </c>
      <c r="Z1669" t="s">
        <v>37</v>
      </c>
      <c r="AA1669">
        <v>0</v>
      </c>
      <c r="AB1669" t="s">
        <v>37</v>
      </c>
      <c r="AC1669">
        <v>0</v>
      </c>
      <c r="AD1669" t="s">
        <v>37</v>
      </c>
      <c r="AE1669">
        <v>0</v>
      </c>
      <c r="AF1669" t="s">
        <v>31</v>
      </c>
      <c r="AG1669">
        <v>0</v>
      </c>
      <c r="AH1669" t="s">
        <v>31</v>
      </c>
      <c r="AI1669">
        <v>0</v>
      </c>
      <c r="AJ1669" t="s">
        <v>31</v>
      </c>
      <c r="AK1669">
        <v>0</v>
      </c>
      <c r="AL1669" t="s">
        <v>31</v>
      </c>
      <c r="AM1669">
        <v>0</v>
      </c>
      <c r="AN1669" t="s">
        <v>31</v>
      </c>
      <c r="AO1669">
        <v>0</v>
      </c>
      <c r="AP1669" t="s">
        <v>31</v>
      </c>
      <c r="AQ1669">
        <v>0</v>
      </c>
    </row>
    <row r="1670" spans="1:43" x14ac:dyDescent="0.2">
      <c r="A1670" t="s">
        <v>381</v>
      </c>
      <c r="B1670" s="3">
        <v>44321</v>
      </c>
      <c r="C1670">
        <v>88</v>
      </c>
      <c r="D1670" t="s">
        <v>404</v>
      </c>
      <c r="E1670" t="s">
        <v>72</v>
      </c>
      <c r="F1670" s="9" t="s">
        <v>73</v>
      </c>
      <c r="G1670" t="s">
        <v>26</v>
      </c>
      <c r="H1670" t="s">
        <v>34</v>
      </c>
      <c r="I1670" t="s">
        <v>35</v>
      </c>
      <c r="J1670" t="s">
        <v>29</v>
      </c>
      <c r="K1670" t="s">
        <v>30</v>
      </c>
      <c r="L1670" t="s">
        <v>29</v>
      </c>
      <c r="M1670" t="s">
        <v>30</v>
      </c>
      <c r="N1670" t="s">
        <v>34</v>
      </c>
      <c r="O1670" t="s">
        <v>35</v>
      </c>
      <c r="P1670" t="s">
        <v>29</v>
      </c>
      <c r="Q1670" t="s">
        <v>30</v>
      </c>
      <c r="R1670" s="1">
        <v>44321.469606481478</v>
      </c>
      <c r="S1670" s="1">
        <v>44321.469618055555</v>
      </c>
      <c r="T1670">
        <v>0</v>
      </c>
      <c r="U1670">
        <v>0</v>
      </c>
      <c r="V1670" s="2">
        <v>0</v>
      </c>
      <c r="W1670">
        <v>0</v>
      </c>
      <c r="X1670" t="s">
        <v>37</v>
      </c>
      <c r="Y1670">
        <v>0</v>
      </c>
      <c r="Z1670" t="s">
        <v>37</v>
      </c>
      <c r="AA1670">
        <v>0</v>
      </c>
      <c r="AB1670" t="s">
        <v>37</v>
      </c>
      <c r="AC1670">
        <v>0</v>
      </c>
      <c r="AD1670" t="s">
        <v>37</v>
      </c>
      <c r="AE1670">
        <v>0</v>
      </c>
      <c r="AF1670" t="s">
        <v>37</v>
      </c>
      <c r="AG1670">
        <v>0</v>
      </c>
      <c r="AH1670" t="s">
        <v>37</v>
      </c>
      <c r="AI1670">
        <v>0</v>
      </c>
      <c r="AJ1670" t="s">
        <v>31</v>
      </c>
      <c r="AK1670">
        <v>0</v>
      </c>
      <c r="AL1670" t="s">
        <v>31</v>
      </c>
      <c r="AM1670">
        <v>0</v>
      </c>
      <c r="AN1670" t="s">
        <v>31</v>
      </c>
      <c r="AO1670">
        <v>0</v>
      </c>
      <c r="AP1670" t="s">
        <v>31</v>
      </c>
      <c r="AQ1670">
        <v>0</v>
      </c>
    </row>
    <row r="1671" spans="1:43" x14ac:dyDescent="0.2">
      <c r="A1671" t="s">
        <v>381</v>
      </c>
      <c r="B1671" s="3">
        <v>44321</v>
      </c>
      <c r="C1671">
        <v>89</v>
      </c>
      <c r="D1671" t="s">
        <v>387</v>
      </c>
      <c r="E1671" t="s">
        <v>72</v>
      </c>
      <c r="F1671" s="9" t="s">
        <v>73</v>
      </c>
      <c r="G1671" t="s">
        <v>26</v>
      </c>
      <c r="H1671" t="s">
        <v>34</v>
      </c>
      <c r="I1671" t="s">
        <v>35</v>
      </c>
      <c r="J1671" t="s">
        <v>29</v>
      </c>
      <c r="K1671" t="s">
        <v>30</v>
      </c>
      <c r="L1671" t="s">
        <v>29</v>
      </c>
      <c r="M1671" t="s">
        <v>30</v>
      </c>
      <c r="N1671" t="s">
        <v>34</v>
      </c>
      <c r="O1671" t="s">
        <v>35</v>
      </c>
      <c r="P1671" t="s">
        <v>29</v>
      </c>
      <c r="Q1671" t="s">
        <v>30</v>
      </c>
      <c r="R1671" s="1">
        <v>44321.644155092596</v>
      </c>
      <c r="S1671" s="1">
        <v>44321.64435185185</v>
      </c>
      <c r="T1671">
        <v>0</v>
      </c>
      <c r="U1671">
        <v>0</v>
      </c>
      <c r="V1671" s="2">
        <v>0</v>
      </c>
      <c r="W1671">
        <v>0</v>
      </c>
      <c r="X1671" t="s">
        <v>37</v>
      </c>
      <c r="Y1671">
        <v>0</v>
      </c>
      <c r="Z1671" t="s">
        <v>37</v>
      </c>
      <c r="AA1671">
        <v>0</v>
      </c>
      <c r="AB1671" t="s">
        <v>37</v>
      </c>
      <c r="AC1671">
        <v>0</v>
      </c>
      <c r="AD1671" t="s">
        <v>37</v>
      </c>
      <c r="AE1671">
        <v>0</v>
      </c>
      <c r="AF1671" t="s">
        <v>31</v>
      </c>
      <c r="AG1671">
        <v>0</v>
      </c>
      <c r="AH1671" t="s">
        <v>31</v>
      </c>
      <c r="AI1671">
        <v>0</v>
      </c>
      <c r="AJ1671" t="s">
        <v>31</v>
      </c>
      <c r="AK1671">
        <v>0</v>
      </c>
      <c r="AL1671" t="s">
        <v>31</v>
      </c>
      <c r="AM1671">
        <v>0</v>
      </c>
      <c r="AN1671" t="s">
        <v>31</v>
      </c>
      <c r="AO1671">
        <v>0</v>
      </c>
      <c r="AP1671" t="s">
        <v>31</v>
      </c>
      <c r="AQ1671">
        <v>0</v>
      </c>
    </row>
    <row r="1672" spans="1:43" x14ac:dyDescent="0.2">
      <c r="A1672" t="s">
        <v>381</v>
      </c>
      <c r="B1672" s="3">
        <v>44323</v>
      </c>
      <c r="C1672">
        <v>91</v>
      </c>
      <c r="D1672" t="s">
        <v>391</v>
      </c>
      <c r="E1672" t="s">
        <v>72</v>
      </c>
      <c r="F1672" s="9" t="s">
        <v>73</v>
      </c>
      <c r="G1672" t="s">
        <v>26</v>
      </c>
      <c r="H1672" t="s">
        <v>34</v>
      </c>
      <c r="I1672" t="s">
        <v>35</v>
      </c>
      <c r="J1672" t="s">
        <v>29</v>
      </c>
      <c r="K1672" t="s">
        <v>30</v>
      </c>
      <c r="L1672" t="s">
        <v>29</v>
      </c>
      <c r="M1672" t="s">
        <v>30</v>
      </c>
      <c r="N1672" t="s">
        <v>34</v>
      </c>
      <c r="O1672" t="s">
        <v>35</v>
      </c>
      <c r="P1672" t="s">
        <v>29</v>
      </c>
      <c r="Q1672" t="s">
        <v>30</v>
      </c>
      <c r="R1672" s="1">
        <v>44323.561041666668</v>
      </c>
      <c r="S1672" s="1">
        <v>44323.561145833337</v>
      </c>
      <c r="T1672">
        <v>0</v>
      </c>
      <c r="U1672">
        <v>0</v>
      </c>
      <c r="V1672" s="2">
        <v>0</v>
      </c>
      <c r="W1672">
        <v>0</v>
      </c>
      <c r="X1672" t="s">
        <v>37</v>
      </c>
      <c r="Y1672">
        <v>0</v>
      </c>
      <c r="Z1672" t="s">
        <v>37</v>
      </c>
      <c r="AA1672">
        <v>0</v>
      </c>
      <c r="AB1672" t="s">
        <v>37</v>
      </c>
      <c r="AC1672">
        <v>0</v>
      </c>
      <c r="AD1672" t="s">
        <v>31</v>
      </c>
      <c r="AE1672">
        <v>0</v>
      </c>
      <c r="AF1672" t="s">
        <v>31</v>
      </c>
      <c r="AG1672">
        <v>0</v>
      </c>
      <c r="AH1672" t="s">
        <v>31</v>
      </c>
      <c r="AI1672">
        <v>0</v>
      </c>
      <c r="AJ1672" t="s">
        <v>31</v>
      </c>
      <c r="AK1672">
        <v>0</v>
      </c>
      <c r="AL1672" t="s">
        <v>31</v>
      </c>
      <c r="AM1672">
        <v>0</v>
      </c>
      <c r="AN1672" t="s">
        <v>31</v>
      </c>
      <c r="AO1672">
        <v>0</v>
      </c>
      <c r="AP1672" t="s">
        <v>31</v>
      </c>
      <c r="AQ1672">
        <v>0</v>
      </c>
    </row>
    <row r="1673" spans="1:43" x14ac:dyDescent="0.2">
      <c r="A1673" t="s">
        <v>381</v>
      </c>
      <c r="B1673" s="3">
        <v>44326</v>
      </c>
      <c r="C1673">
        <v>92</v>
      </c>
      <c r="D1673" t="s">
        <v>390</v>
      </c>
      <c r="E1673" t="s">
        <v>72</v>
      </c>
      <c r="F1673" s="9" t="s">
        <v>73</v>
      </c>
      <c r="G1673" t="s">
        <v>26</v>
      </c>
      <c r="H1673" t="s">
        <v>34</v>
      </c>
      <c r="I1673" t="s">
        <v>35</v>
      </c>
      <c r="J1673" t="s">
        <v>29</v>
      </c>
      <c r="K1673" t="s">
        <v>30</v>
      </c>
      <c r="L1673" t="s">
        <v>29</v>
      </c>
      <c r="M1673" t="s">
        <v>30</v>
      </c>
      <c r="N1673" t="s">
        <v>34</v>
      </c>
      <c r="O1673" t="s">
        <v>35</v>
      </c>
      <c r="P1673" t="s">
        <v>29</v>
      </c>
      <c r="Q1673" t="s">
        <v>30</v>
      </c>
      <c r="R1673" s="1">
        <v>44326.484699074077</v>
      </c>
      <c r="S1673" s="1">
        <v>44326.484699074077</v>
      </c>
      <c r="T1673">
        <v>0</v>
      </c>
      <c r="U1673">
        <v>0</v>
      </c>
      <c r="V1673" s="2">
        <v>0</v>
      </c>
      <c r="W1673">
        <v>0</v>
      </c>
      <c r="X1673" t="s">
        <v>37</v>
      </c>
      <c r="Y1673">
        <v>0</v>
      </c>
      <c r="Z1673" t="s">
        <v>37</v>
      </c>
      <c r="AA1673">
        <v>0</v>
      </c>
      <c r="AB1673" t="s">
        <v>31</v>
      </c>
      <c r="AC1673">
        <v>0</v>
      </c>
      <c r="AD1673" t="s">
        <v>31</v>
      </c>
      <c r="AE1673">
        <v>0</v>
      </c>
      <c r="AF1673" t="s">
        <v>31</v>
      </c>
      <c r="AG1673">
        <v>0</v>
      </c>
      <c r="AH1673" t="s">
        <v>31</v>
      </c>
      <c r="AI1673">
        <v>0</v>
      </c>
      <c r="AJ1673" t="s">
        <v>31</v>
      </c>
      <c r="AK1673">
        <v>0</v>
      </c>
      <c r="AL1673" t="s">
        <v>31</v>
      </c>
      <c r="AM1673">
        <v>0</v>
      </c>
      <c r="AN1673" t="s">
        <v>31</v>
      </c>
      <c r="AO1673">
        <v>0</v>
      </c>
      <c r="AP1673" t="s">
        <v>31</v>
      </c>
      <c r="AQ1673">
        <v>0</v>
      </c>
    </row>
    <row r="1674" spans="1:43" x14ac:dyDescent="0.2">
      <c r="A1674" t="s">
        <v>381</v>
      </c>
      <c r="B1674" s="3">
        <v>44334</v>
      </c>
      <c r="C1674">
        <v>98</v>
      </c>
      <c r="D1674" t="s">
        <v>383</v>
      </c>
      <c r="E1674" t="s">
        <v>72</v>
      </c>
      <c r="F1674" s="9" t="s">
        <v>73</v>
      </c>
      <c r="G1674" t="s">
        <v>26</v>
      </c>
      <c r="H1674" t="s">
        <v>34</v>
      </c>
      <c r="I1674" t="s">
        <v>35</v>
      </c>
      <c r="J1674" t="s">
        <v>29</v>
      </c>
      <c r="K1674" t="s">
        <v>30</v>
      </c>
      <c r="L1674" t="s">
        <v>29</v>
      </c>
      <c r="M1674" t="s">
        <v>30</v>
      </c>
      <c r="N1674" t="s">
        <v>34</v>
      </c>
      <c r="O1674" t="s">
        <v>35</v>
      </c>
      <c r="P1674" t="s">
        <v>29</v>
      </c>
      <c r="Q1674" t="s">
        <v>30</v>
      </c>
      <c r="R1674" s="1">
        <v>44334.420798611114</v>
      </c>
      <c r="S1674" s="1">
        <v>44334.42083333333</v>
      </c>
      <c r="T1674">
        <v>0</v>
      </c>
      <c r="U1674">
        <v>0</v>
      </c>
      <c r="V1674" s="2">
        <v>0</v>
      </c>
      <c r="W1674">
        <v>0</v>
      </c>
      <c r="X1674" t="s">
        <v>37</v>
      </c>
      <c r="Y1674">
        <v>0</v>
      </c>
      <c r="Z1674" t="s">
        <v>37</v>
      </c>
      <c r="AA1674">
        <v>0</v>
      </c>
      <c r="AB1674" t="s">
        <v>37</v>
      </c>
      <c r="AC1674">
        <v>0</v>
      </c>
      <c r="AD1674" t="s">
        <v>31</v>
      </c>
      <c r="AE1674">
        <v>0</v>
      </c>
      <c r="AF1674" t="s">
        <v>31</v>
      </c>
      <c r="AG1674">
        <v>0</v>
      </c>
      <c r="AH1674" t="s">
        <v>31</v>
      </c>
      <c r="AI1674">
        <v>0</v>
      </c>
      <c r="AJ1674" t="s">
        <v>31</v>
      </c>
      <c r="AK1674">
        <v>0</v>
      </c>
      <c r="AL1674" t="s">
        <v>31</v>
      </c>
      <c r="AM1674">
        <v>0</v>
      </c>
      <c r="AN1674" t="s">
        <v>31</v>
      </c>
      <c r="AO1674">
        <v>0</v>
      </c>
      <c r="AP1674" t="s">
        <v>31</v>
      </c>
      <c r="AQ1674">
        <v>0</v>
      </c>
    </row>
    <row r="1675" spans="1:43" x14ac:dyDescent="0.2">
      <c r="A1675" t="s">
        <v>381</v>
      </c>
      <c r="B1675" s="3">
        <v>44334</v>
      </c>
      <c r="C1675">
        <v>99</v>
      </c>
      <c r="D1675" t="s">
        <v>385</v>
      </c>
      <c r="E1675" t="s">
        <v>72</v>
      </c>
      <c r="F1675" s="9" t="s">
        <v>73</v>
      </c>
      <c r="G1675" t="s">
        <v>26</v>
      </c>
      <c r="H1675" t="s">
        <v>34</v>
      </c>
      <c r="I1675" t="s">
        <v>35</v>
      </c>
      <c r="J1675" t="s">
        <v>29</v>
      </c>
      <c r="K1675" t="s">
        <v>30</v>
      </c>
      <c r="L1675" t="s">
        <v>29</v>
      </c>
      <c r="M1675" t="s">
        <v>30</v>
      </c>
      <c r="N1675" t="s">
        <v>34</v>
      </c>
      <c r="O1675" t="s">
        <v>35</v>
      </c>
      <c r="P1675" t="s">
        <v>29</v>
      </c>
      <c r="Q1675" t="s">
        <v>30</v>
      </c>
      <c r="R1675" s="1">
        <v>44334.636423611111</v>
      </c>
      <c r="S1675" s="1">
        <v>44334.636805555558</v>
      </c>
      <c r="T1675">
        <v>0</v>
      </c>
      <c r="U1675">
        <v>0</v>
      </c>
      <c r="V1675" s="2">
        <v>0</v>
      </c>
      <c r="W1675">
        <v>0</v>
      </c>
      <c r="X1675" t="s">
        <v>37</v>
      </c>
      <c r="Y1675">
        <v>0</v>
      </c>
      <c r="Z1675" t="s">
        <v>37</v>
      </c>
      <c r="AA1675">
        <v>0</v>
      </c>
      <c r="AB1675" t="s">
        <v>37</v>
      </c>
      <c r="AC1675">
        <v>0</v>
      </c>
      <c r="AD1675" t="s">
        <v>37</v>
      </c>
      <c r="AE1675">
        <v>0</v>
      </c>
      <c r="AF1675" t="s">
        <v>31</v>
      </c>
      <c r="AG1675">
        <v>0</v>
      </c>
      <c r="AH1675" t="s">
        <v>31</v>
      </c>
      <c r="AI1675">
        <v>0</v>
      </c>
      <c r="AJ1675" t="s">
        <v>31</v>
      </c>
      <c r="AK1675">
        <v>0</v>
      </c>
      <c r="AL1675" t="s">
        <v>31</v>
      </c>
      <c r="AM1675">
        <v>0</v>
      </c>
      <c r="AN1675" t="s">
        <v>31</v>
      </c>
      <c r="AO1675">
        <v>0</v>
      </c>
      <c r="AP1675" t="s">
        <v>31</v>
      </c>
      <c r="AQ1675">
        <v>0</v>
      </c>
    </row>
    <row r="1676" spans="1:43" x14ac:dyDescent="0.2">
      <c r="A1676" t="s">
        <v>381</v>
      </c>
      <c r="B1676" s="3">
        <v>44336</v>
      </c>
      <c r="C1676">
        <v>103</v>
      </c>
      <c r="D1676" t="s">
        <v>385</v>
      </c>
      <c r="E1676" t="s">
        <v>72</v>
      </c>
      <c r="F1676" s="9" t="s">
        <v>73</v>
      </c>
      <c r="G1676" t="s">
        <v>26</v>
      </c>
      <c r="H1676" t="s">
        <v>34</v>
      </c>
      <c r="I1676" t="s">
        <v>35</v>
      </c>
      <c r="J1676" t="s">
        <v>29</v>
      </c>
      <c r="K1676" t="s">
        <v>30</v>
      </c>
      <c r="L1676" t="s">
        <v>29</v>
      </c>
      <c r="M1676" t="s">
        <v>30</v>
      </c>
      <c r="N1676" t="s">
        <v>34</v>
      </c>
      <c r="O1676" t="s">
        <v>35</v>
      </c>
      <c r="P1676" t="s">
        <v>29</v>
      </c>
      <c r="Q1676" t="s">
        <v>30</v>
      </c>
      <c r="R1676" s="1">
        <v>44336.567997685182</v>
      </c>
      <c r="S1676" s="1">
        <v>44336.568009259259</v>
      </c>
      <c r="T1676">
        <v>0</v>
      </c>
      <c r="U1676">
        <v>0</v>
      </c>
      <c r="V1676" s="2">
        <v>0</v>
      </c>
      <c r="W1676">
        <v>0</v>
      </c>
      <c r="X1676" t="s">
        <v>37</v>
      </c>
      <c r="Y1676">
        <v>0</v>
      </c>
      <c r="Z1676" t="s">
        <v>37</v>
      </c>
      <c r="AA1676">
        <v>0</v>
      </c>
      <c r="AB1676" t="s">
        <v>37</v>
      </c>
      <c r="AC1676">
        <v>0</v>
      </c>
      <c r="AD1676" t="s">
        <v>37</v>
      </c>
      <c r="AE1676">
        <v>0</v>
      </c>
      <c r="AF1676" t="s">
        <v>31</v>
      </c>
      <c r="AG1676">
        <v>0</v>
      </c>
      <c r="AH1676" t="s">
        <v>31</v>
      </c>
      <c r="AI1676">
        <v>0</v>
      </c>
      <c r="AJ1676" t="s">
        <v>31</v>
      </c>
      <c r="AK1676">
        <v>0</v>
      </c>
      <c r="AL1676" t="s">
        <v>31</v>
      </c>
      <c r="AM1676">
        <v>0</v>
      </c>
      <c r="AN1676" t="s">
        <v>31</v>
      </c>
      <c r="AO1676">
        <v>0</v>
      </c>
      <c r="AP1676" t="s">
        <v>31</v>
      </c>
      <c r="AQ1676">
        <v>0</v>
      </c>
    </row>
    <row r="1677" spans="1:43" x14ac:dyDescent="0.2">
      <c r="A1677" t="s">
        <v>381</v>
      </c>
      <c r="B1677" s="3">
        <v>44338</v>
      </c>
      <c r="C1677">
        <v>106</v>
      </c>
      <c r="D1677" t="s">
        <v>408</v>
      </c>
      <c r="E1677" t="s">
        <v>72</v>
      </c>
      <c r="F1677" s="9" t="s">
        <v>73</v>
      </c>
      <c r="G1677" t="s">
        <v>26</v>
      </c>
      <c r="H1677" t="s">
        <v>34</v>
      </c>
      <c r="I1677" t="s">
        <v>35</v>
      </c>
      <c r="J1677" t="s">
        <v>29</v>
      </c>
      <c r="K1677" t="s">
        <v>30</v>
      </c>
      <c r="L1677" t="s">
        <v>29</v>
      </c>
      <c r="M1677" t="s">
        <v>30</v>
      </c>
      <c r="N1677" t="s">
        <v>34</v>
      </c>
      <c r="O1677" t="s">
        <v>35</v>
      </c>
      <c r="P1677" t="s">
        <v>29</v>
      </c>
      <c r="Q1677" t="s">
        <v>30</v>
      </c>
      <c r="R1677" s="1">
        <v>44338.461944444447</v>
      </c>
      <c r="S1677" s="1">
        <v>44338.465127314812</v>
      </c>
      <c r="T1677">
        <v>0</v>
      </c>
      <c r="U1677">
        <v>0</v>
      </c>
      <c r="V1677" s="2">
        <v>0</v>
      </c>
      <c r="W1677">
        <v>0</v>
      </c>
      <c r="X1677" t="s">
        <v>37</v>
      </c>
      <c r="Y1677">
        <v>0</v>
      </c>
      <c r="Z1677" t="s">
        <v>31</v>
      </c>
      <c r="AA1677">
        <v>0</v>
      </c>
      <c r="AB1677" t="s">
        <v>31</v>
      </c>
      <c r="AC1677">
        <v>0</v>
      </c>
      <c r="AD1677" t="s">
        <v>31</v>
      </c>
      <c r="AE1677">
        <v>0</v>
      </c>
      <c r="AF1677" t="s">
        <v>31</v>
      </c>
      <c r="AG1677">
        <v>0</v>
      </c>
      <c r="AH1677" t="s">
        <v>31</v>
      </c>
      <c r="AI1677">
        <v>0</v>
      </c>
      <c r="AJ1677" t="s">
        <v>31</v>
      </c>
      <c r="AK1677">
        <v>0</v>
      </c>
      <c r="AL1677" t="s">
        <v>31</v>
      </c>
      <c r="AM1677">
        <v>0</v>
      </c>
      <c r="AN1677" t="s">
        <v>31</v>
      </c>
      <c r="AO1677">
        <v>0</v>
      </c>
      <c r="AP1677" t="s">
        <v>31</v>
      </c>
      <c r="AQ1677">
        <v>0</v>
      </c>
    </row>
    <row r="1678" spans="1:43" x14ac:dyDescent="0.2">
      <c r="A1678" t="s">
        <v>381</v>
      </c>
      <c r="B1678" s="3">
        <v>44338</v>
      </c>
      <c r="C1678">
        <v>107</v>
      </c>
      <c r="D1678" t="s">
        <v>392</v>
      </c>
      <c r="E1678" t="s">
        <v>72</v>
      </c>
      <c r="F1678" s="9" t="s">
        <v>73</v>
      </c>
      <c r="G1678" t="s">
        <v>26</v>
      </c>
      <c r="H1678" t="s">
        <v>34</v>
      </c>
      <c r="I1678" t="s">
        <v>35</v>
      </c>
      <c r="J1678" t="s">
        <v>29</v>
      </c>
      <c r="K1678" t="s">
        <v>30</v>
      </c>
      <c r="L1678" t="s">
        <v>29</v>
      </c>
      <c r="M1678" t="s">
        <v>30</v>
      </c>
      <c r="N1678" t="s">
        <v>34</v>
      </c>
      <c r="O1678" t="s">
        <v>35</v>
      </c>
      <c r="P1678" t="s">
        <v>29</v>
      </c>
      <c r="Q1678" t="s">
        <v>30</v>
      </c>
      <c r="R1678" s="1">
        <v>44338.565659722219</v>
      </c>
      <c r="S1678" s="1">
        <v>44338.565671296295</v>
      </c>
      <c r="T1678">
        <v>0</v>
      </c>
      <c r="U1678">
        <v>0</v>
      </c>
      <c r="V1678" s="2">
        <v>0</v>
      </c>
      <c r="W1678">
        <v>0</v>
      </c>
      <c r="X1678" t="s">
        <v>37</v>
      </c>
      <c r="Y1678">
        <v>0</v>
      </c>
      <c r="Z1678" t="s">
        <v>37</v>
      </c>
      <c r="AA1678">
        <v>0</v>
      </c>
      <c r="AB1678" t="s">
        <v>37</v>
      </c>
      <c r="AC1678">
        <v>0</v>
      </c>
      <c r="AD1678" t="s">
        <v>31</v>
      </c>
      <c r="AE1678">
        <v>0</v>
      </c>
      <c r="AF1678" t="s">
        <v>31</v>
      </c>
      <c r="AG1678">
        <v>0</v>
      </c>
      <c r="AH1678" t="s">
        <v>31</v>
      </c>
      <c r="AI1678">
        <v>0</v>
      </c>
      <c r="AJ1678" t="s">
        <v>31</v>
      </c>
      <c r="AK1678">
        <v>0</v>
      </c>
      <c r="AL1678" t="s">
        <v>31</v>
      </c>
      <c r="AM1678">
        <v>0</v>
      </c>
      <c r="AN1678" t="s">
        <v>31</v>
      </c>
      <c r="AO1678">
        <v>0</v>
      </c>
      <c r="AP1678" t="s">
        <v>31</v>
      </c>
      <c r="AQ1678">
        <v>0</v>
      </c>
    </row>
    <row r="1679" spans="1:43" x14ac:dyDescent="0.2">
      <c r="A1679" t="s">
        <v>381</v>
      </c>
      <c r="B1679" s="3">
        <v>44340</v>
      </c>
      <c r="C1679">
        <v>108</v>
      </c>
      <c r="D1679" t="s">
        <v>393</v>
      </c>
      <c r="E1679" t="s">
        <v>72</v>
      </c>
      <c r="F1679" s="9" t="s">
        <v>73</v>
      </c>
      <c r="G1679" t="s">
        <v>26</v>
      </c>
      <c r="H1679" t="s">
        <v>34</v>
      </c>
      <c r="I1679" t="s">
        <v>35</v>
      </c>
      <c r="J1679" t="s">
        <v>29</v>
      </c>
      <c r="K1679" t="s">
        <v>30</v>
      </c>
      <c r="L1679" t="s">
        <v>29</v>
      </c>
      <c r="M1679" t="s">
        <v>30</v>
      </c>
      <c r="N1679" t="s">
        <v>34</v>
      </c>
      <c r="O1679" t="s">
        <v>35</v>
      </c>
      <c r="P1679" t="s">
        <v>29</v>
      </c>
      <c r="Q1679" t="s">
        <v>30</v>
      </c>
      <c r="R1679" s="1">
        <v>44340.407939814817</v>
      </c>
      <c r="S1679" s="1">
        <v>44340.408912037034</v>
      </c>
      <c r="T1679">
        <v>0</v>
      </c>
      <c r="U1679">
        <v>0</v>
      </c>
      <c r="V1679" s="2">
        <v>0</v>
      </c>
      <c r="W1679">
        <v>0</v>
      </c>
      <c r="X1679" t="s">
        <v>37</v>
      </c>
      <c r="Y1679">
        <v>0</v>
      </c>
      <c r="Z1679" t="s">
        <v>37</v>
      </c>
      <c r="AA1679">
        <v>0</v>
      </c>
      <c r="AB1679" t="s">
        <v>37</v>
      </c>
      <c r="AC1679">
        <v>0</v>
      </c>
      <c r="AD1679" t="s">
        <v>31</v>
      </c>
      <c r="AE1679">
        <v>0</v>
      </c>
      <c r="AF1679" t="s">
        <v>31</v>
      </c>
      <c r="AG1679">
        <v>0</v>
      </c>
      <c r="AH1679" t="s">
        <v>31</v>
      </c>
      <c r="AI1679">
        <v>0</v>
      </c>
      <c r="AJ1679" t="s">
        <v>31</v>
      </c>
      <c r="AK1679">
        <v>0</v>
      </c>
      <c r="AL1679" t="s">
        <v>31</v>
      </c>
      <c r="AM1679">
        <v>0</v>
      </c>
      <c r="AN1679" t="s">
        <v>31</v>
      </c>
      <c r="AO1679">
        <v>0</v>
      </c>
      <c r="AP1679" t="s">
        <v>31</v>
      </c>
      <c r="AQ1679">
        <v>0</v>
      </c>
    </row>
    <row r="1680" spans="1:43" x14ac:dyDescent="0.2">
      <c r="A1680" t="s">
        <v>381</v>
      </c>
      <c r="B1680" s="3">
        <v>44341</v>
      </c>
      <c r="C1680">
        <v>111</v>
      </c>
      <c r="D1680" t="s">
        <v>385</v>
      </c>
      <c r="E1680" t="s">
        <v>72</v>
      </c>
      <c r="F1680" s="9" t="s">
        <v>73</v>
      </c>
      <c r="G1680" t="s">
        <v>26</v>
      </c>
      <c r="H1680" t="s">
        <v>34</v>
      </c>
      <c r="I1680" t="s">
        <v>35</v>
      </c>
      <c r="J1680" t="s">
        <v>29</v>
      </c>
      <c r="K1680" t="s">
        <v>30</v>
      </c>
      <c r="L1680" t="s">
        <v>29</v>
      </c>
      <c r="M1680" t="s">
        <v>30</v>
      </c>
      <c r="N1680" t="s">
        <v>34</v>
      </c>
      <c r="O1680" t="s">
        <v>35</v>
      </c>
      <c r="P1680" t="s">
        <v>29</v>
      </c>
      <c r="Q1680" t="s">
        <v>30</v>
      </c>
      <c r="R1680" s="1">
        <v>44341.63559027778</v>
      </c>
      <c r="S1680" s="1">
        <v>44341.635601851849</v>
      </c>
      <c r="T1680">
        <v>0</v>
      </c>
      <c r="U1680">
        <v>0</v>
      </c>
      <c r="V1680" s="2">
        <v>0</v>
      </c>
      <c r="W1680">
        <v>0</v>
      </c>
      <c r="X1680" t="s">
        <v>37</v>
      </c>
      <c r="Y1680">
        <v>0</v>
      </c>
      <c r="Z1680" t="s">
        <v>37</v>
      </c>
      <c r="AA1680">
        <v>0</v>
      </c>
      <c r="AB1680" t="s">
        <v>37</v>
      </c>
      <c r="AC1680">
        <v>0</v>
      </c>
      <c r="AD1680" t="s">
        <v>37</v>
      </c>
      <c r="AE1680">
        <v>0</v>
      </c>
      <c r="AF1680" t="s">
        <v>31</v>
      </c>
      <c r="AG1680">
        <v>0</v>
      </c>
      <c r="AH1680" t="s">
        <v>31</v>
      </c>
      <c r="AI1680">
        <v>0</v>
      </c>
      <c r="AJ1680" t="s">
        <v>31</v>
      </c>
      <c r="AK1680">
        <v>0</v>
      </c>
      <c r="AL1680" t="s">
        <v>31</v>
      </c>
      <c r="AM1680">
        <v>0</v>
      </c>
      <c r="AN1680" t="s">
        <v>31</v>
      </c>
      <c r="AO1680">
        <v>0</v>
      </c>
      <c r="AP1680" t="s">
        <v>31</v>
      </c>
      <c r="AQ1680">
        <v>0</v>
      </c>
    </row>
    <row r="1681" spans="1:43" x14ac:dyDescent="0.2">
      <c r="A1681" t="s">
        <v>381</v>
      </c>
      <c r="B1681" s="3">
        <v>44343</v>
      </c>
      <c r="C1681">
        <v>115</v>
      </c>
      <c r="D1681" t="s">
        <v>395</v>
      </c>
      <c r="E1681" t="s">
        <v>72</v>
      </c>
      <c r="F1681" s="9" t="s">
        <v>73</v>
      </c>
      <c r="G1681" t="s">
        <v>26</v>
      </c>
      <c r="H1681" t="s">
        <v>34</v>
      </c>
      <c r="I1681" t="s">
        <v>35</v>
      </c>
      <c r="J1681" t="s">
        <v>29</v>
      </c>
      <c r="K1681" t="s">
        <v>30</v>
      </c>
      <c r="L1681" t="s">
        <v>29</v>
      </c>
      <c r="M1681" t="s">
        <v>30</v>
      </c>
      <c r="N1681" t="s">
        <v>34</v>
      </c>
      <c r="O1681" t="s">
        <v>35</v>
      </c>
      <c r="P1681" t="s">
        <v>29</v>
      </c>
      <c r="Q1681" t="s">
        <v>30</v>
      </c>
      <c r="R1681" s="1">
        <v>44343.427164351851</v>
      </c>
      <c r="S1681" s="1">
        <v>44343.427407407406</v>
      </c>
      <c r="T1681">
        <v>1</v>
      </c>
      <c r="U1681">
        <v>1</v>
      </c>
      <c r="V1681" s="2">
        <v>1</v>
      </c>
      <c r="W1681">
        <v>0</v>
      </c>
      <c r="X1681" t="s">
        <v>37</v>
      </c>
      <c r="Y1681">
        <v>0</v>
      </c>
      <c r="Z1681" t="s">
        <v>37</v>
      </c>
      <c r="AA1681">
        <v>0</v>
      </c>
      <c r="AB1681" t="s">
        <v>37</v>
      </c>
      <c r="AC1681">
        <v>0</v>
      </c>
      <c r="AD1681" t="s">
        <v>30</v>
      </c>
      <c r="AE1681">
        <v>0</v>
      </c>
      <c r="AF1681" t="s">
        <v>31</v>
      </c>
      <c r="AG1681">
        <v>0</v>
      </c>
      <c r="AH1681" t="s">
        <v>31</v>
      </c>
      <c r="AI1681">
        <v>0</v>
      </c>
      <c r="AJ1681" t="s">
        <v>31</v>
      </c>
      <c r="AK1681">
        <v>0</v>
      </c>
      <c r="AL1681" t="s">
        <v>31</v>
      </c>
      <c r="AM1681">
        <v>0</v>
      </c>
      <c r="AN1681" t="s">
        <v>31</v>
      </c>
      <c r="AO1681">
        <v>0</v>
      </c>
      <c r="AP1681" t="s">
        <v>31</v>
      </c>
      <c r="AQ1681">
        <v>0</v>
      </c>
    </row>
    <row r="1682" spans="1:43" x14ac:dyDescent="0.2">
      <c r="A1682" t="s">
        <v>381</v>
      </c>
      <c r="B1682" s="3">
        <v>44344</v>
      </c>
      <c r="C1682">
        <v>116</v>
      </c>
      <c r="D1682" t="s">
        <v>390</v>
      </c>
      <c r="E1682" t="s">
        <v>72</v>
      </c>
      <c r="F1682" s="9" t="s">
        <v>73</v>
      </c>
      <c r="G1682" t="s">
        <v>26</v>
      </c>
      <c r="H1682" t="s">
        <v>34</v>
      </c>
      <c r="I1682" t="s">
        <v>35</v>
      </c>
      <c r="J1682" t="s">
        <v>29</v>
      </c>
      <c r="K1682" t="s">
        <v>30</v>
      </c>
      <c r="L1682" t="s">
        <v>29</v>
      </c>
      <c r="M1682" t="s">
        <v>30</v>
      </c>
      <c r="N1682" t="s">
        <v>34</v>
      </c>
      <c r="O1682" t="s">
        <v>35</v>
      </c>
      <c r="P1682" t="s">
        <v>29</v>
      </c>
      <c r="Q1682" t="s">
        <v>30</v>
      </c>
      <c r="R1682" s="1">
        <v>44344.485659722224</v>
      </c>
      <c r="S1682" s="1">
        <v>44344.485706018517</v>
      </c>
      <c r="T1682">
        <v>0</v>
      </c>
      <c r="U1682">
        <v>0</v>
      </c>
      <c r="V1682" s="2">
        <v>0</v>
      </c>
      <c r="W1682">
        <v>0</v>
      </c>
      <c r="X1682" t="s">
        <v>37</v>
      </c>
      <c r="Y1682">
        <v>0</v>
      </c>
      <c r="Z1682" t="s">
        <v>37</v>
      </c>
      <c r="AA1682">
        <v>0</v>
      </c>
      <c r="AB1682" t="s">
        <v>37</v>
      </c>
      <c r="AC1682">
        <v>0</v>
      </c>
      <c r="AD1682" t="s">
        <v>37</v>
      </c>
      <c r="AE1682">
        <v>0</v>
      </c>
      <c r="AF1682" t="s">
        <v>37</v>
      </c>
      <c r="AG1682">
        <v>0</v>
      </c>
      <c r="AH1682" t="s">
        <v>31</v>
      </c>
      <c r="AI1682">
        <v>0</v>
      </c>
      <c r="AJ1682" t="s">
        <v>31</v>
      </c>
      <c r="AK1682">
        <v>0</v>
      </c>
      <c r="AL1682" t="s">
        <v>31</v>
      </c>
      <c r="AM1682">
        <v>0</v>
      </c>
      <c r="AN1682" t="s">
        <v>31</v>
      </c>
      <c r="AO1682">
        <v>0</v>
      </c>
      <c r="AP1682" t="s">
        <v>31</v>
      </c>
      <c r="AQ1682">
        <v>0</v>
      </c>
    </row>
    <row r="1683" spans="1:43" x14ac:dyDescent="0.2">
      <c r="A1683" t="s">
        <v>381</v>
      </c>
      <c r="B1683" s="3">
        <v>44348</v>
      </c>
      <c r="C1683">
        <v>118</v>
      </c>
      <c r="D1683" t="s">
        <v>396</v>
      </c>
      <c r="E1683" t="s">
        <v>72</v>
      </c>
      <c r="F1683" s="9" t="s">
        <v>73</v>
      </c>
      <c r="G1683" t="s">
        <v>26</v>
      </c>
      <c r="H1683" t="s">
        <v>34</v>
      </c>
      <c r="I1683" t="s">
        <v>35</v>
      </c>
      <c r="J1683" t="s">
        <v>29</v>
      </c>
      <c r="K1683" t="s">
        <v>30</v>
      </c>
      <c r="L1683" t="s">
        <v>29</v>
      </c>
      <c r="M1683" t="s">
        <v>30</v>
      </c>
      <c r="N1683" t="s">
        <v>34</v>
      </c>
      <c r="O1683" t="s">
        <v>35</v>
      </c>
      <c r="P1683" t="s">
        <v>29</v>
      </c>
      <c r="Q1683" t="s">
        <v>30</v>
      </c>
      <c r="R1683" s="1">
        <v>44348.418055555558</v>
      </c>
      <c r="S1683" s="1">
        <v>44348.418055555558</v>
      </c>
      <c r="T1683">
        <v>0</v>
      </c>
      <c r="U1683">
        <v>0</v>
      </c>
      <c r="V1683" s="2">
        <v>0</v>
      </c>
      <c r="W1683">
        <v>0</v>
      </c>
      <c r="X1683" t="s">
        <v>37</v>
      </c>
      <c r="Y1683">
        <v>0</v>
      </c>
      <c r="Z1683" t="s">
        <v>31</v>
      </c>
      <c r="AA1683">
        <v>0</v>
      </c>
      <c r="AB1683" t="s">
        <v>31</v>
      </c>
      <c r="AC1683">
        <v>0</v>
      </c>
      <c r="AD1683" t="s">
        <v>31</v>
      </c>
      <c r="AE1683">
        <v>0</v>
      </c>
      <c r="AF1683" t="s">
        <v>31</v>
      </c>
      <c r="AG1683">
        <v>0</v>
      </c>
      <c r="AH1683" t="s">
        <v>31</v>
      </c>
      <c r="AI1683">
        <v>0</v>
      </c>
      <c r="AJ1683" t="s">
        <v>31</v>
      </c>
      <c r="AK1683">
        <v>0</v>
      </c>
      <c r="AL1683" t="s">
        <v>31</v>
      </c>
      <c r="AM1683">
        <v>0</v>
      </c>
      <c r="AN1683" t="s">
        <v>31</v>
      </c>
      <c r="AO1683">
        <v>0</v>
      </c>
      <c r="AP1683" t="s">
        <v>31</v>
      </c>
      <c r="AQ1683">
        <v>0</v>
      </c>
    </row>
    <row r="1684" spans="1:43" x14ac:dyDescent="0.2">
      <c r="A1684" t="s">
        <v>381</v>
      </c>
      <c r="B1684" s="3">
        <v>44349</v>
      </c>
      <c r="C1684">
        <v>121</v>
      </c>
      <c r="D1684" t="s">
        <v>385</v>
      </c>
      <c r="E1684" t="s">
        <v>72</v>
      </c>
      <c r="F1684" s="9" t="s">
        <v>73</v>
      </c>
      <c r="G1684" t="s">
        <v>26</v>
      </c>
      <c r="H1684" t="s">
        <v>34</v>
      </c>
      <c r="I1684" t="s">
        <v>35</v>
      </c>
      <c r="J1684" t="s">
        <v>29</v>
      </c>
      <c r="K1684" t="s">
        <v>30</v>
      </c>
      <c r="L1684" t="s">
        <v>29</v>
      </c>
      <c r="M1684" t="s">
        <v>30</v>
      </c>
      <c r="N1684" t="s">
        <v>34</v>
      </c>
      <c r="O1684" t="s">
        <v>35</v>
      </c>
      <c r="P1684" t="s">
        <v>29</v>
      </c>
      <c r="Q1684" t="s">
        <v>30</v>
      </c>
      <c r="R1684" s="1">
        <v>44349.623263888891</v>
      </c>
      <c r="S1684" s="1">
        <v>44349.62327546296</v>
      </c>
      <c r="T1684">
        <v>0</v>
      </c>
      <c r="U1684">
        <v>0</v>
      </c>
      <c r="V1684" s="2">
        <v>0</v>
      </c>
      <c r="W1684">
        <v>0</v>
      </c>
      <c r="X1684" t="s">
        <v>37</v>
      </c>
      <c r="Y1684">
        <v>0</v>
      </c>
      <c r="Z1684" t="s">
        <v>37</v>
      </c>
      <c r="AA1684">
        <v>0</v>
      </c>
      <c r="AB1684" t="s">
        <v>37</v>
      </c>
      <c r="AC1684">
        <v>0</v>
      </c>
      <c r="AD1684" t="s">
        <v>37</v>
      </c>
      <c r="AE1684">
        <v>0</v>
      </c>
      <c r="AF1684" t="s">
        <v>31</v>
      </c>
      <c r="AG1684">
        <v>0</v>
      </c>
      <c r="AH1684" t="s">
        <v>31</v>
      </c>
      <c r="AI1684">
        <v>0</v>
      </c>
      <c r="AJ1684" t="s">
        <v>31</v>
      </c>
      <c r="AK1684">
        <v>0</v>
      </c>
      <c r="AL1684" t="s">
        <v>31</v>
      </c>
      <c r="AM1684">
        <v>0</v>
      </c>
      <c r="AN1684" t="s">
        <v>31</v>
      </c>
      <c r="AO1684">
        <v>0</v>
      </c>
      <c r="AP1684" t="s">
        <v>31</v>
      </c>
      <c r="AQ1684">
        <v>0</v>
      </c>
    </row>
    <row r="1685" spans="1:43" x14ac:dyDescent="0.2">
      <c r="A1685" t="s">
        <v>381</v>
      </c>
      <c r="B1685" s="3">
        <v>44350</v>
      </c>
      <c r="C1685">
        <v>123</v>
      </c>
      <c r="D1685" t="s">
        <v>382</v>
      </c>
      <c r="E1685" t="s">
        <v>72</v>
      </c>
      <c r="F1685" s="9" t="s">
        <v>73</v>
      </c>
      <c r="G1685" t="s">
        <v>26</v>
      </c>
      <c r="H1685" t="s">
        <v>34</v>
      </c>
      <c r="I1685" t="s">
        <v>35</v>
      </c>
      <c r="J1685" t="s">
        <v>29</v>
      </c>
      <c r="K1685" t="s">
        <v>30</v>
      </c>
      <c r="L1685" t="s">
        <v>29</v>
      </c>
      <c r="M1685" t="s">
        <v>30</v>
      </c>
      <c r="N1685" t="s">
        <v>34</v>
      </c>
      <c r="O1685" t="s">
        <v>35</v>
      </c>
      <c r="P1685" t="s">
        <v>29</v>
      </c>
      <c r="Q1685" t="s">
        <v>30</v>
      </c>
      <c r="R1685" s="1">
        <v>44350.398877314816</v>
      </c>
      <c r="S1685" s="1">
        <v>44350.398912037039</v>
      </c>
      <c r="T1685">
        <v>0</v>
      </c>
      <c r="U1685">
        <v>0</v>
      </c>
      <c r="V1685" s="2">
        <v>0</v>
      </c>
      <c r="W1685">
        <v>0</v>
      </c>
      <c r="X1685" t="s">
        <v>37</v>
      </c>
      <c r="Y1685">
        <v>0</v>
      </c>
      <c r="Z1685" t="s">
        <v>37</v>
      </c>
      <c r="AA1685">
        <v>0</v>
      </c>
      <c r="AB1685" t="s">
        <v>37</v>
      </c>
      <c r="AC1685">
        <v>0</v>
      </c>
      <c r="AD1685" t="s">
        <v>31</v>
      </c>
      <c r="AE1685">
        <v>0</v>
      </c>
      <c r="AF1685" t="s">
        <v>31</v>
      </c>
      <c r="AG1685">
        <v>0</v>
      </c>
      <c r="AH1685" t="s">
        <v>31</v>
      </c>
      <c r="AI1685">
        <v>0</v>
      </c>
      <c r="AJ1685" t="s">
        <v>31</v>
      </c>
      <c r="AK1685">
        <v>0</v>
      </c>
      <c r="AL1685" t="s">
        <v>31</v>
      </c>
      <c r="AM1685">
        <v>0</v>
      </c>
      <c r="AN1685" t="s">
        <v>31</v>
      </c>
      <c r="AO1685">
        <v>0</v>
      </c>
      <c r="AP1685" t="s">
        <v>31</v>
      </c>
      <c r="AQ1685">
        <v>0</v>
      </c>
    </row>
    <row r="1686" spans="1:43" x14ac:dyDescent="0.2">
      <c r="A1686" t="s">
        <v>381</v>
      </c>
      <c r="B1686" s="3">
        <v>44351</v>
      </c>
      <c r="C1686">
        <v>124</v>
      </c>
      <c r="D1686" t="s">
        <v>390</v>
      </c>
      <c r="E1686" t="s">
        <v>72</v>
      </c>
      <c r="F1686" s="9" t="s">
        <v>73</v>
      </c>
      <c r="G1686" t="s">
        <v>26</v>
      </c>
      <c r="H1686" t="s">
        <v>34</v>
      </c>
      <c r="I1686" t="s">
        <v>35</v>
      </c>
      <c r="J1686" t="s">
        <v>29</v>
      </c>
      <c r="K1686" t="s">
        <v>30</v>
      </c>
      <c r="L1686" t="s">
        <v>29</v>
      </c>
      <c r="M1686" t="s">
        <v>30</v>
      </c>
      <c r="N1686" t="s">
        <v>34</v>
      </c>
      <c r="O1686" t="s">
        <v>35</v>
      </c>
      <c r="P1686" t="s">
        <v>29</v>
      </c>
      <c r="Q1686" t="s">
        <v>30</v>
      </c>
      <c r="R1686" s="1">
        <v>44351.468634259261</v>
      </c>
      <c r="S1686" s="1">
        <v>44351.469606481478</v>
      </c>
      <c r="T1686">
        <v>1</v>
      </c>
      <c r="U1686">
        <v>1</v>
      </c>
      <c r="V1686" s="2">
        <v>1</v>
      </c>
      <c r="W1686">
        <v>0</v>
      </c>
      <c r="X1686" t="s">
        <v>37</v>
      </c>
      <c r="Y1686">
        <v>0</v>
      </c>
      <c r="Z1686" t="s">
        <v>37</v>
      </c>
      <c r="AA1686">
        <v>0</v>
      </c>
      <c r="AB1686" t="s">
        <v>30</v>
      </c>
      <c r="AC1686">
        <v>0</v>
      </c>
      <c r="AD1686" t="s">
        <v>31</v>
      </c>
      <c r="AE1686">
        <v>0</v>
      </c>
      <c r="AF1686" t="s">
        <v>31</v>
      </c>
      <c r="AG1686">
        <v>0</v>
      </c>
      <c r="AH1686" t="s">
        <v>31</v>
      </c>
      <c r="AI1686">
        <v>0</v>
      </c>
      <c r="AJ1686" t="s">
        <v>31</v>
      </c>
      <c r="AK1686">
        <v>0</v>
      </c>
      <c r="AL1686" t="s">
        <v>31</v>
      </c>
      <c r="AM1686">
        <v>0</v>
      </c>
      <c r="AN1686" t="s">
        <v>31</v>
      </c>
      <c r="AO1686">
        <v>0</v>
      </c>
      <c r="AP1686" t="s">
        <v>31</v>
      </c>
      <c r="AQ1686">
        <v>0</v>
      </c>
    </row>
    <row r="1687" spans="1:43" x14ac:dyDescent="0.2">
      <c r="A1687" t="s">
        <v>381</v>
      </c>
      <c r="B1687" s="3">
        <v>44354</v>
      </c>
      <c r="C1687">
        <v>126</v>
      </c>
      <c r="D1687" t="s">
        <v>397</v>
      </c>
      <c r="E1687" t="s">
        <v>72</v>
      </c>
      <c r="F1687" s="9" t="s">
        <v>73</v>
      </c>
      <c r="G1687" t="s">
        <v>26</v>
      </c>
      <c r="H1687" t="s">
        <v>34</v>
      </c>
      <c r="I1687" t="s">
        <v>35</v>
      </c>
      <c r="J1687" t="s">
        <v>29</v>
      </c>
      <c r="K1687" t="s">
        <v>30</v>
      </c>
      <c r="L1687" t="s">
        <v>29</v>
      </c>
      <c r="M1687" t="s">
        <v>30</v>
      </c>
      <c r="N1687" t="s">
        <v>34</v>
      </c>
      <c r="O1687" t="s">
        <v>35</v>
      </c>
      <c r="P1687" t="s">
        <v>29</v>
      </c>
      <c r="Q1687" t="s">
        <v>30</v>
      </c>
      <c r="R1687" s="1">
        <v>44354.459004629629</v>
      </c>
      <c r="S1687" s="1">
        <v>44354.459004629629</v>
      </c>
      <c r="T1687">
        <v>1</v>
      </c>
      <c r="U1687">
        <v>1</v>
      </c>
      <c r="V1687" s="2">
        <v>1</v>
      </c>
      <c r="W1687">
        <v>0</v>
      </c>
      <c r="X1687" t="s">
        <v>30</v>
      </c>
      <c r="Y1687">
        <v>0</v>
      </c>
      <c r="Z1687" t="s">
        <v>31</v>
      </c>
      <c r="AA1687">
        <v>0</v>
      </c>
      <c r="AB1687" t="s">
        <v>31</v>
      </c>
      <c r="AC1687">
        <v>0</v>
      </c>
      <c r="AD1687" t="s">
        <v>31</v>
      </c>
      <c r="AE1687">
        <v>0</v>
      </c>
      <c r="AF1687" t="s">
        <v>31</v>
      </c>
      <c r="AG1687">
        <v>0</v>
      </c>
      <c r="AH1687" t="s">
        <v>31</v>
      </c>
      <c r="AI1687">
        <v>0</v>
      </c>
      <c r="AJ1687" t="s">
        <v>31</v>
      </c>
      <c r="AK1687">
        <v>0</v>
      </c>
      <c r="AL1687" t="s">
        <v>31</v>
      </c>
      <c r="AM1687">
        <v>0</v>
      </c>
      <c r="AN1687" t="s">
        <v>31</v>
      </c>
      <c r="AO1687">
        <v>0</v>
      </c>
      <c r="AP1687" t="s">
        <v>31</v>
      </c>
      <c r="AQ1687">
        <v>0</v>
      </c>
    </row>
    <row r="1688" spans="1:43" x14ac:dyDescent="0.2">
      <c r="A1688" t="s">
        <v>381</v>
      </c>
      <c r="B1688" s="3">
        <v>44355</v>
      </c>
      <c r="C1688">
        <v>129</v>
      </c>
      <c r="D1688" t="s">
        <v>385</v>
      </c>
      <c r="E1688" t="s">
        <v>72</v>
      </c>
      <c r="F1688" s="9" t="s">
        <v>73</v>
      </c>
      <c r="G1688" t="s">
        <v>26</v>
      </c>
      <c r="H1688" t="s">
        <v>34</v>
      </c>
      <c r="I1688" t="s">
        <v>35</v>
      </c>
      <c r="J1688" t="s">
        <v>29</v>
      </c>
      <c r="K1688" t="s">
        <v>30</v>
      </c>
      <c r="L1688" t="s">
        <v>29</v>
      </c>
      <c r="M1688" t="s">
        <v>30</v>
      </c>
      <c r="N1688" t="s">
        <v>34</v>
      </c>
      <c r="O1688" t="s">
        <v>35</v>
      </c>
      <c r="P1688" t="s">
        <v>29</v>
      </c>
      <c r="Q1688" t="s">
        <v>30</v>
      </c>
      <c r="R1688" s="1">
        <v>44355.639722222222</v>
      </c>
      <c r="S1688" s="1">
        <v>44355.639722222222</v>
      </c>
      <c r="T1688">
        <v>0</v>
      </c>
      <c r="U1688">
        <v>0</v>
      </c>
      <c r="V1688" s="2">
        <v>0</v>
      </c>
      <c r="W1688">
        <v>0</v>
      </c>
      <c r="X1688" t="s">
        <v>37</v>
      </c>
      <c r="Y1688">
        <v>0</v>
      </c>
      <c r="Z1688" t="s">
        <v>37</v>
      </c>
      <c r="AA1688">
        <v>0</v>
      </c>
      <c r="AB1688" t="s">
        <v>37</v>
      </c>
      <c r="AC1688">
        <v>0</v>
      </c>
      <c r="AD1688" t="s">
        <v>37</v>
      </c>
      <c r="AE1688">
        <v>0</v>
      </c>
      <c r="AF1688" t="s">
        <v>37</v>
      </c>
      <c r="AG1688">
        <v>0</v>
      </c>
      <c r="AH1688" t="s">
        <v>31</v>
      </c>
      <c r="AI1688">
        <v>0</v>
      </c>
      <c r="AJ1688" t="s">
        <v>31</v>
      </c>
      <c r="AK1688">
        <v>0</v>
      </c>
      <c r="AL1688" t="s">
        <v>31</v>
      </c>
      <c r="AM1688">
        <v>0</v>
      </c>
      <c r="AN1688" t="s">
        <v>31</v>
      </c>
      <c r="AO1688">
        <v>0</v>
      </c>
      <c r="AP1688" t="s">
        <v>31</v>
      </c>
      <c r="AQ1688">
        <v>0</v>
      </c>
    </row>
    <row r="1689" spans="1:43" x14ac:dyDescent="0.2">
      <c r="A1689" t="s">
        <v>381</v>
      </c>
      <c r="B1689" s="3">
        <v>44356</v>
      </c>
      <c r="C1689">
        <v>131</v>
      </c>
      <c r="D1689" t="s">
        <v>383</v>
      </c>
      <c r="E1689" t="s">
        <v>72</v>
      </c>
      <c r="F1689" s="9" t="s">
        <v>73</v>
      </c>
      <c r="G1689" t="s">
        <v>26</v>
      </c>
      <c r="H1689" t="s">
        <v>34</v>
      </c>
      <c r="I1689" t="s">
        <v>35</v>
      </c>
      <c r="J1689" t="s">
        <v>29</v>
      </c>
      <c r="K1689" t="s">
        <v>30</v>
      </c>
      <c r="L1689" t="s">
        <v>29</v>
      </c>
      <c r="M1689" t="s">
        <v>30</v>
      </c>
      <c r="N1689" t="s">
        <v>34</v>
      </c>
      <c r="O1689" t="s">
        <v>35</v>
      </c>
      <c r="P1689" t="s">
        <v>29</v>
      </c>
      <c r="Q1689" t="s">
        <v>30</v>
      </c>
      <c r="R1689" s="1">
        <v>44356.562025462961</v>
      </c>
      <c r="S1689" s="1">
        <v>44356.562025462961</v>
      </c>
      <c r="T1689">
        <v>0</v>
      </c>
      <c r="U1689">
        <v>0</v>
      </c>
      <c r="V1689" s="2">
        <v>0</v>
      </c>
      <c r="W1689">
        <v>0</v>
      </c>
      <c r="X1689" t="s">
        <v>37</v>
      </c>
      <c r="Y1689">
        <v>0</v>
      </c>
      <c r="Z1689" t="s">
        <v>37</v>
      </c>
      <c r="AA1689">
        <v>0</v>
      </c>
      <c r="AB1689" t="s">
        <v>37</v>
      </c>
      <c r="AC1689">
        <v>0</v>
      </c>
      <c r="AD1689" t="s">
        <v>37</v>
      </c>
      <c r="AE1689">
        <v>0</v>
      </c>
      <c r="AF1689" t="s">
        <v>31</v>
      </c>
      <c r="AG1689">
        <v>0</v>
      </c>
      <c r="AH1689" t="s">
        <v>31</v>
      </c>
      <c r="AI1689">
        <v>0</v>
      </c>
      <c r="AJ1689" t="s">
        <v>31</v>
      </c>
      <c r="AK1689">
        <v>0</v>
      </c>
      <c r="AL1689" t="s">
        <v>31</v>
      </c>
      <c r="AM1689">
        <v>0</v>
      </c>
      <c r="AN1689" t="s">
        <v>31</v>
      </c>
      <c r="AO1689">
        <v>0</v>
      </c>
      <c r="AP1689" t="s">
        <v>31</v>
      </c>
      <c r="AQ1689">
        <v>0</v>
      </c>
    </row>
    <row r="1690" spans="1:43" x14ac:dyDescent="0.2">
      <c r="A1690" t="s">
        <v>381</v>
      </c>
      <c r="B1690" s="3">
        <v>44357</v>
      </c>
      <c r="C1690">
        <v>132</v>
      </c>
      <c r="D1690" t="s">
        <v>399</v>
      </c>
      <c r="E1690" t="s">
        <v>72</v>
      </c>
      <c r="F1690" s="9" t="s">
        <v>73</v>
      </c>
      <c r="G1690" t="s">
        <v>26</v>
      </c>
      <c r="H1690" t="s">
        <v>34</v>
      </c>
      <c r="I1690" t="s">
        <v>35</v>
      </c>
      <c r="J1690" t="s">
        <v>29</v>
      </c>
      <c r="K1690" t="s">
        <v>30</v>
      </c>
      <c r="L1690" t="s">
        <v>29</v>
      </c>
      <c r="M1690" t="s">
        <v>30</v>
      </c>
      <c r="N1690" t="s">
        <v>34</v>
      </c>
      <c r="O1690" t="s">
        <v>35</v>
      </c>
      <c r="P1690" t="s">
        <v>29</v>
      </c>
      <c r="Q1690" t="s">
        <v>30</v>
      </c>
      <c r="R1690" s="1">
        <v>44357.415914351855</v>
      </c>
      <c r="S1690" s="1">
        <v>44357.415914351855</v>
      </c>
      <c r="T1690">
        <v>0</v>
      </c>
      <c r="U1690">
        <v>0</v>
      </c>
      <c r="V1690" s="2">
        <v>0</v>
      </c>
      <c r="W1690">
        <v>0</v>
      </c>
      <c r="X1690" t="s">
        <v>37</v>
      </c>
      <c r="Y1690">
        <v>0</v>
      </c>
      <c r="Z1690" t="s">
        <v>37</v>
      </c>
      <c r="AA1690">
        <v>0</v>
      </c>
      <c r="AB1690" t="s">
        <v>37</v>
      </c>
      <c r="AC1690">
        <v>0</v>
      </c>
      <c r="AD1690" t="s">
        <v>31</v>
      </c>
      <c r="AE1690">
        <v>0</v>
      </c>
      <c r="AF1690" t="s">
        <v>31</v>
      </c>
      <c r="AG1690">
        <v>0</v>
      </c>
      <c r="AH1690" t="s">
        <v>31</v>
      </c>
      <c r="AI1690">
        <v>0</v>
      </c>
      <c r="AJ1690" t="s">
        <v>31</v>
      </c>
      <c r="AK1690">
        <v>0</v>
      </c>
      <c r="AL1690" t="s">
        <v>31</v>
      </c>
      <c r="AM1690">
        <v>0</v>
      </c>
      <c r="AN1690" t="s">
        <v>31</v>
      </c>
      <c r="AO1690">
        <v>0</v>
      </c>
      <c r="AP1690" t="s">
        <v>31</v>
      </c>
      <c r="AQ1690">
        <v>0</v>
      </c>
    </row>
    <row r="1691" spans="1:43" x14ac:dyDescent="0.2">
      <c r="A1691" t="s">
        <v>381</v>
      </c>
      <c r="B1691" s="3">
        <v>44358</v>
      </c>
      <c r="C1691">
        <v>133</v>
      </c>
      <c r="D1691" t="s">
        <v>390</v>
      </c>
      <c r="E1691" t="s">
        <v>72</v>
      </c>
      <c r="F1691" s="9" t="s">
        <v>73</v>
      </c>
      <c r="G1691" t="s">
        <v>26</v>
      </c>
      <c r="H1691" t="s">
        <v>34</v>
      </c>
      <c r="I1691" t="s">
        <v>35</v>
      </c>
      <c r="J1691" t="s">
        <v>29</v>
      </c>
      <c r="K1691" t="s">
        <v>30</v>
      </c>
      <c r="L1691" t="s">
        <v>29</v>
      </c>
      <c r="M1691" t="s">
        <v>30</v>
      </c>
      <c r="N1691" t="s">
        <v>34</v>
      </c>
      <c r="O1691" t="s">
        <v>35</v>
      </c>
      <c r="P1691" t="s">
        <v>29</v>
      </c>
      <c r="Q1691" t="s">
        <v>30</v>
      </c>
      <c r="R1691" s="1">
        <v>44358.446817129632</v>
      </c>
      <c r="S1691" s="1">
        <v>44358.467974537038</v>
      </c>
      <c r="T1691">
        <v>0</v>
      </c>
      <c r="U1691">
        <v>1</v>
      </c>
      <c r="V1691" s="2">
        <v>0</v>
      </c>
      <c r="W1691">
        <v>0</v>
      </c>
      <c r="X1691" t="s">
        <v>37</v>
      </c>
      <c r="Y1691">
        <v>0</v>
      </c>
      <c r="Z1691" t="s">
        <v>44</v>
      </c>
      <c r="AA1691">
        <v>0</v>
      </c>
      <c r="AB1691" t="s">
        <v>37</v>
      </c>
      <c r="AC1691">
        <v>0</v>
      </c>
      <c r="AD1691" t="s">
        <v>37</v>
      </c>
      <c r="AE1691">
        <v>0</v>
      </c>
      <c r="AF1691" t="s">
        <v>31</v>
      </c>
      <c r="AG1691">
        <v>0</v>
      </c>
      <c r="AH1691" t="s">
        <v>31</v>
      </c>
      <c r="AI1691">
        <v>0</v>
      </c>
      <c r="AJ1691" t="s">
        <v>31</v>
      </c>
      <c r="AK1691">
        <v>0</v>
      </c>
      <c r="AL1691" t="s">
        <v>31</v>
      </c>
      <c r="AM1691">
        <v>0</v>
      </c>
      <c r="AN1691" t="s">
        <v>31</v>
      </c>
      <c r="AO1691">
        <v>0</v>
      </c>
      <c r="AP1691" t="s">
        <v>31</v>
      </c>
      <c r="AQ1691">
        <v>0</v>
      </c>
    </row>
    <row r="1692" spans="1:43" x14ac:dyDescent="0.2">
      <c r="A1692" t="s">
        <v>381</v>
      </c>
      <c r="B1692" s="3">
        <v>44361</v>
      </c>
      <c r="C1692">
        <v>135</v>
      </c>
      <c r="D1692" t="s">
        <v>390</v>
      </c>
      <c r="E1692" t="s">
        <v>72</v>
      </c>
      <c r="F1692" s="9" t="s">
        <v>73</v>
      </c>
      <c r="G1692" t="s">
        <v>26</v>
      </c>
      <c r="H1692" t="s">
        <v>34</v>
      </c>
      <c r="I1692" t="s">
        <v>35</v>
      </c>
      <c r="J1692" t="s">
        <v>29</v>
      </c>
      <c r="K1692" t="s">
        <v>30</v>
      </c>
      <c r="L1692" t="s">
        <v>29</v>
      </c>
      <c r="M1692" t="s">
        <v>30</v>
      </c>
      <c r="N1692" t="s">
        <v>34</v>
      </c>
      <c r="O1692" t="s">
        <v>35</v>
      </c>
      <c r="P1692" t="s">
        <v>29</v>
      </c>
      <c r="Q1692" t="s">
        <v>30</v>
      </c>
      <c r="R1692" s="1">
        <v>44361.482372685183</v>
      </c>
      <c r="S1692" s="1">
        <v>44361.482372685183</v>
      </c>
      <c r="T1692">
        <v>0</v>
      </c>
      <c r="U1692">
        <v>0</v>
      </c>
      <c r="V1692" s="2">
        <v>0</v>
      </c>
      <c r="W1692">
        <v>0</v>
      </c>
      <c r="X1692" t="s">
        <v>37</v>
      </c>
      <c r="Y1692">
        <v>0</v>
      </c>
      <c r="Z1692" t="s">
        <v>37</v>
      </c>
      <c r="AA1692">
        <v>0</v>
      </c>
      <c r="AB1692" t="s">
        <v>37</v>
      </c>
      <c r="AC1692">
        <v>0</v>
      </c>
      <c r="AD1692" t="s">
        <v>31</v>
      </c>
      <c r="AE1692">
        <v>0</v>
      </c>
      <c r="AF1692" t="s">
        <v>31</v>
      </c>
      <c r="AG1692">
        <v>0</v>
      </c>
      <c r="AH1692" t="s">
        <v>31</v>
      </c>
      <c r="AI1692">
        <v>0</v>
      </c>
      <c r="AJ1692" t="s">
        <v>31</v>
      </c>
      <c r="AK1692">
        <v>0</v>
      </c>
      <c r="AL1692" t="s">
        <v>31</v>
      </c>
      <c r="AM1692">
        <v>0</v>
      </c>
      <c r="AN1692" t="s">
        <v>31</v>
      </c>
      <c r="AO1692">
        <v>0</v>
      </c>
      <c r="AP1692" t="s">
        <v>31</v>
      </c>
      <c r="AQ1692">
        <v>0</v>
      </c>
    </row>
    <row r="1693" spans="1:43" x14ac:dyDescent="0.2">
      <c r="A1693" t="s">
        <v>381</v>
      </c>
      <c r="B1693" s="3">
        <v>44364</v>
      </c>
      <c r="C1693">
        <v>138</v>
      </c>
      <c r="D1693" t="s">
        <v>399</v>
      </c>
      <c r="E1693" t="s">
        <v>72</v>
      </c>
      <c r="F1693" s="9" t="s">
        <v>73</v>
      </c>
      <c r="G1693" t="s">
        <v>26</v>
      </c>
      <c r="H1693" t="s">
        <v>34</v>
      </c>
      <c r="I1693" t="s">
        <v>35</v>
      </c>
      <c r="J1693" t="s">
        <v>29</v>
      </c>
      <c r="K1693" t="s">
        <v>30</v>
      </c>
      <c r="L1693" t="s">
        <v>29</v>
      </c>
      <c r="M1693" t="s">
        <v>30</v>
      </c>
      <c r="N1693" t="s">
        <v>34</v>
      </c>
      <c r="O1693" t="s">
        <v>35</v>
      </c>
      <c r="P1693" t="s">
        <v>29</v>
      </c>
      <c r="Q1693" t="s">
        <v>30</v>
      </c>
      <c r="R1693" s="1">
        <v>44364.464421296296</v>
      </c>
      <c r="S1693" s="1">
        <v>44364.464571759258</v>
      </c>
      <c r="T1693">
        <v>1</v>
      </c>
      <c r="U1693">
        <v>1</v>
      </c>
      <c r="V1693" s="2">
        <v>1</v>
      </c>
      <c r="W1693">
        <v>0</v>
      </c>
      <c r="X1693" t="s">
        <v>37</v>
      </c>
      <c r="Y1693">
        <v>0</v>
      </c>
      <c r="Z1693" t="s">
        <v>37</v>
      </c>
      <c r="AA1693">
        <v>0</v>
      </c>
      <c r="AB1693" t="s">
        <v>30</v>
      </c>
      <c r="AC1693">
        <v>0</v>
      </c>
      <c r="AD1693" t="s">
        <v>31</v>
      </c>
      <c r="AE1693">
        <v>0</v>
      </c>
      <c r="AF1693" t="s">
        <v>31</v>
      </c>
      <c r="AG1693">
        <v>0</v>
      </c>
      <c r="AH1693" t="s">
        <v>31</v>
      </c>
      <c r="AI1693">
        <v>0</v>
      </c>
      <c r="AJ1693" t="s">
        <v>31</v>
      </c>
      <c r="AK1693">
        <v>0</v>
      </c>
      <c r="AL1693" t="s">
        <v>31</v>
      </c>
      <c r="AM1693">
        <v>0</v>
      </c>
      <c r="AN1693" t="s">
        <v>31</v>
      </c>
      <c r="AO1693">
        <v>0</v>
      </c>
      <c r="AP1693" t="s">
        <v>31</v>
      </c>
      <c r="AQ1693">
        <v>0</v>
      </c>
    </row>
    <row r="1694" spans="1:43" x14ac:dyDescent="0.2">
      <c r="A1694" t="s">
        <v>381</v>
      </c>
      <c r="B1694" s="3">
        <v>44365</v>
      </c>
      <c r="C1694">
        <v>139</v>
      </c>
      <c r="D1694" t="s">
        <v>400</v>
      </c>
      <c r="E1694" t="s">
        <v>72</v>
      </c>
      <c r="F1694" s="9" t="s">
        <v>73</v>
      </c>
      <c r="G1694" t="s">
        <v>26</v>
      </c>
      <c r="H1694" t="s">
        <v>34</v>
      </c>
      <c r="I1694" t="s">
        <v>35</v>
      </c>
      <c r="J1694" t="s">
        <v>29</v>
      </c>
      <c r="K1694" t="s">
        <v>30</v>
      </c>
      <c r="L1694" t="s">
        <v>29</v>
      </c>
      <c r="M1694" t="s">
        <v>30</v>
      </c>
      <c r="N1694" t="s">
        <v>34</v>
      </c>
      <c r="O1694" t="s">
        <v>35</v>
      </c>
      <c r="P1694" t="s">
        <v>29</v>
      </c>
      <c r="Q1694" t="s">
        <v>30</v>
      </c>
      <c r="R1694" s="1">
        <v>44365.483067129629</v>
      </c>
      <c r="S1694" s="1">
        <v>44365.48337962963</v>
      </c>
      <c r="T1694">
        <v>0</v>
      </c>
      <c r="U1694">
        <v>0</v>
      </c>
      <c r="V1694" s="2">
        <v>0</v>
      </c>
      <c r="W1694">
        <v>0</v>
      </c>
      <c r="X1694" t="s">
        <v>37</v>
      </c>
      <c r="Y1694">
        <v>0</v>
      </c>
      <c r="Z1694" t="s">
        <v>37</v>
      </c>
      <c r="AA1694">
        <v>0</v>
      </c>
      <c r="AB1694" t="s">
        <v>37</v>
      </c>
      <c r="AC1694">
        <v>0</v>
      </c>
      <c r="AD1694" t="s">
        <v>37</v>
      </c>
      <c r="AE1694">
        <v>0</v>
      </c>
      <c r="AF1694" t="s">
        <v>31</v>
      </c>
      <c r="AG1694">
        <v>0</v>
      </c>
      <c r="AH1694" t="s">
        <v>31</v>
      </c>
      <c r="AI1694">
        <v>0</v>
      </c>
      <c r="AJ1694" t="s">
        <v>31</v>
      </c>
      <c r="AK1694">
        <v>0</v>
      </c>
      <c r="AL1694" t="s">
        <v>31</v>
      </c>
      <c r="AM1694">
        <v>0</v>
      </c>
      <c r="AN1694" t="s">
        <v>31</v>
      </c>
      <c r="AO1694">
        <v>0</v>
      </c>
      <c r="AP1694" t="s">
        <v>31</v>
      </c>
      <c r="AQ1694">
        <v>0</v>
      </c>
    </row>
    <row r="1695" spans="1:43" x14ac:dyDescent="0.2">
      <c r="A1695" t="s">
        <v>381</v>
      </c>
      <c r="B1695" s="3">
        <v>44365</v>
      </c>
      <c r="C1695">
        <v>140</v>
      </c>
      <c r="D1695" t="s">
        <v>399</v>
      </c>
      <c r="E1695" t="s">
        <v>72</v>
      </c>
      <c r="F1695" s="9" t="s">
        <v>73</v>
      </c>
      <c r="G1695" t="s">
        <v>26</v>
      </c>
      <c r="H1695" t="s">
        <v>34</v>
      </c>
      <c r="I1695" t="s">
        <v>35</v>
      </c>
      <c r="J1695" t="s">
        <v>29</v>
      </c>
      <c r="K1695" t="s">
        <v>30</v>
      </c>
      <c r="L1695" t="s">
        <v>29</v>
      </c>
      <c r="M1695" t="s">
        <v>30</v>
      </c>
      <c r="N1695" t="s">
        <v>34</v>
      </c>
      <c r="O1695" t="s">
        <v>35</v>
      </c>
      <c r="P1695" t="s">
        <v>29</v>
      </c>
      <c r="Q1695" t="s">
        <v>30</v>
      </c>
      <c r="R1695" s="1">
        <v>44365.641655092593</v>
      </c>
      <c r="S1695" s="1">
        <v>44365.64167824074</v>
      </c>
      <c r="T1695">
        <v>0</v>
      </c>
      <c r="U1695">
        <v>0</v>
      </c>
      <c r="V1695" s="2">
        <v>0</v>
      </c>
      <c r="W1695">
        <v>0</v>
      </c>
      <c r="X1695" t="s">
        <v>37</v>
      </c>
      <c r="Y1695">
        <v>0</v>
      </c>
      <c r="Z1695" t="s">
        <v>37</v>
      </c>
      <c r="AA1695">
        <v>0</v>
      </c>
      <c r="AB1695" t="s">
        <v>37</v>
      </c>
      <c r="AC1695">
        <v>0</v>
      </c>
      <c r="AD1695" t="s">
        <v>31</v>
      </c>
      <c r="AE1695">
        <v>0</v>
      </c>
      <c r="AF1695" t="s">
        <v>31</v>
      </c>
      <c r="AG1695">
        <v>0</v>
      </c>
      <c r="AH1695" t="s">
        <v>31</v>
      </c>
      <c r="AI1695">
        <v>0</v>
      </c>
      <c r="AJ1695" t="s">
        <v>31</v>
      </c>
      <c r="AK1695">
        <v>0</v>
      </c>
      <c r="AL1695" t="s">
        <v>31</v>
      </c>
      <c r="AM1695">
        <v>0</v>
      </c>
      <c r="AN1695" t="s">
        <v>31</v>
      </c>
      <c r="AO1695">
        <v>0</v>
      </c>
      <c r="AP1695" t="s">
        <v>31</v>
      </c>
      <c r="AQ1695">
        <v>0</v>
      </c>
    </row>
    <row r="1696" spans="1:43" x14ac:dyDescent="0.2">
      <c r="A1696" t="s">
        <v>381</v>
      </c>
      <c r="B1696" s="3">
        <v>44375</v>
      </c>
      <c r="C1696">
        <v>141</v>
      </c>
      <c r="D1696" t="s">
        <v>396</v>
      </c>
      <c r="E1696" t="s">
        <v>72</v>
      </c>
      <c r="F1696" s="9" t="s">
        <v>73</v>
      </c>
      <c r="G1696" t="s">
        <v>26</v>
      </c>
      <c r="H1696" t="s">
        <v>34</v>
      </c>
      <c r="I1696" t="s">
        <v>35</v>
      </c>
      <c r="J1696" t="s">
        <v>29</v>
      </c>
      <c r="K1696" t="s">
        <v>30</v>
      </c>
      <c r="L1696" t="s">
        <v>29</v>
      </c>
      <c r="M1696" t="s">
        <v>30</v>
      </c>
      <c r="N1696" t="s">
        <v>34</v>
      </c>
      <c r="O1696" t="s">
        <v>35</v>
      </c>
      <c r="P1696" t="s">
        <v>29</v>
      </c>
      <c r="Q1696" t="s">
        <v>30</v>
      </c>
      <c r="R1696" s="1">
        <v>44375.559259259258</v>
      </c>
      <c r="S1696" s="1">
        <v>44375.559537037036</v>
      </c>
      <c r="T1696">
        <v>1</v>
      </c>
      <c r="U1696">
        <v>6</v>
      </c>
      <c r="V1696" s="2">
        <v>0.16</v>
      </c>
      <c r="W1696">
        <v>0</v>
      </c>
      <c r="X1696" t="s">
        <v>37</v>
      </c>
      <c r="Y1696">
        <v>0</v>
      </c>
      <c r="Z1696" t="s">
        <v>44</v>
      </c>
      <c r="AA1696">
        <v>0</v>
      </c>
      <c r="AB1696" t="s">
        <v>44</v>
      </c>
      <c r="AC1696">
        <v>0</v>
      </c>
      <c r="AD1696" t="s">
        <v>45</v>
      </c>
      <c r="AE1696">
        <v>0</v>
      </c>
      <c r="AF1696" t="s">
        <v>113</v>
      </c>
      <c r="AG1696">
        <v>0</v>
      </c>
      <c r="AH1696" t="s">
        <v>47</v>
      </c>
      <c r="AI1696">
        <v>0</v>
      </c>
      <c r="AJ1696" t="s">
        <v>37</v>
      </c>
      <c r="AK1696">
        <v>0</v>
      </c>
      <c r="AL1696" t="s">
        <v>37</v>
      </c>
      <c r="AM1696">
        <v>0</v>
      </c>
      <c r="AN1696" t="s">
        <v>30</v>
      </c>
      <c r="AO1696">
        <v>0</v>
      </c>
      <c r="AP1696" t="s">
        <v>31</v>
      </c>
      <c r="AQ1696">
        <v>0</v>
      </c>
    </row>
    <row r="1697" spans="1:43" x14ac:dyDescent="0.2">
      <c r="A1697" t="s">
        <v>381</v>
      </c>
      <c r="B1697" s="3">
        <v>44207</v>
      </c>
      <c r="C1697">
        <v>1</v>
      </c>
      <c r="D1697" t="s">
        <v>384</v>
      </c>
      <c r="E1697" t="s">
        <v>72</v>
      </c>
      <c r="F1697" s="9" t="s">
        <v>74</v>
      </c>
      <c r="G1697" t="s">
        <v>26</v>
      </c>
      <c r="H1697" t="s">
        <v>34</v>
      </c>
      <c r="I1697" t="s">
        <v>35</v>
      </c>
      <c r="J1697" t="s">
        <v>29</v>
      </c>
      <c r="K1697" t="s">
        <v>30</v>
      </c>
      <c r="L1697" t="s">
        <v>29</v>
      </c>
      <c r="M1697" t="s">
        <v>30</v>
      </c>
      <c r="N1697" t="s">
        <v>34</v>
      </c>
      <c r="O1697" t="s">
        <v>35</v>
      </c>
      <c r="P1697" t="s">
        <v>29</v>
      </c>
      <c r="Q1697" t="s">
        <v>30</v>
      </c>
      <c r="R1697" s="1">
        <v>44207.449560185189</v>
      </c>
      <c r="S1697" s="1">
        <v>44207.449826388889</v>
      </c>
      <c r="T1697">
        <v>0</v>
      </c>
      <c r="U1697">
        <v>0</v>
      </c>
      <c r="V1697" s="2">
        <v>0</v>
      </c>
      <c r="W1697">
        <v>0</v>
      </c>
      <c r="X1697" t="s">
        <v>37</v>
      </c>
      <c r="Y1697">
        <v>0</v>
      </c>
      <c r="Z1697" t="s">
        <v>37</v>
      </c>
      <c r="AA1697">
        <v>0</v>
      </c>
      <c r="AB1697" t="s">
        <v>37</v>
      </c>
      <c r="AC1697">
        <v>0</v>
      </c>
      <c r="AD1697" t="s">
        <v>37</v>
      </c>
      <c r="AE1697">
        <v>0</v>
      </c>
      <c r="AF1697" t="s">
        <v>31</v>
      </c>
      <c r="AG1697">
        <v>0</v>
      </c>
      <c r="AH1697" t="s">
        <v>31</v>
      </c>
      <c r="AI1697">
        <v>0</v>
      </c>
      <c r="AJ1697" t="s">
        <v>31</v>
      </c>
      <c r="AK1697">
        <v>0</v>
      </c>
      <c r="AL1697" t="s">
        <v>31</v>
      </c>
      <c r="AM1697">
        <v>0</v>
      </c>
      <c r="AN1697" t="s">
        <v>31</v>
      </c>
      <c r="AO1697">
        <v>0</v>
      </c>
      <c r="AP1697" t="s">
        <v>31</v>
      </c>
      <c r="AQ1697">
        <v>0</v>
      </c>
    </row>
    <row r="1698" spans="1:43" x14ac:dyDescent="0.2">
      <c r="A1698" t="s">
        <v>381</v>
      </c>
      <c r="B1698" s="3">
        <v>44236</v>
      </c>
      <c r="C1698">
        <v>3</v>
      </c>
      <c r="D1698" t="s">
        <v>385</v>
      </c>
      <c r="E1698" t="s">
        <v>72</v>
      </c>
      <c r="F1698" s="9" t="s">
        <v>74</v>
      </c>
      <c r="G1698" t="s">
        <v>26</v>
      </c>
      <c r="H1698" t="s">
        <v>34</v>
      </c>
      <c r="I1698" t="s">
        <v>35</v>
      </c>
      <c r="J1698" t="s">
        <v>29</v>
      </c>
      <c r="K1698" t="s">
        <v>30</v>
      </c>
      <c r="L1698" t="s">
        <v>29</v>
      </c>
      <c r="M1698" t="s">
        <v>30</v>
      </c>
      <c r="N1698" t="s">
        <v>34</v>
      </c>
      <c r="O1698" t="s">
        <v>35</v>
      </c>
      <c r="P1698" t="s">
        <v>29</v>
      </c>
      <c r="Q1698" t="s">
        <v>30</v>
      </c>
      <c r="R1698" s="1">
        <v>44236.618263888886</v>
      </c>
      <c r="S1698" s="1">
        <v>44236.619143518517</v>
      </c>
      <c r="T1698">
        <v>0</v>
      </c>
      <c r="U1698">
        <v>0</v>
      </c>
      <c r="V1698" s="2">
        <v>0</v>
      </c>
      <c r="W1698">
        <v>0</v>
      </c>
      <c r="X1698" t="s">
        <v>37</v>
      </c>
      <c r="Y1698">
        <v>0</v>
      </c>
      <c r="Z1698" t="s">
        <v>37</v>
      </c>
      <c r="AA1698">
        <v>0</v>
      </c>
      <c r="AB1698" t="s">
        <v>37</v>
      </c>
      <c r="AC1698">
        <v>0</v>
      </c>
      <c r="AD1698" t="s">
        <v>37</v>
      </c>
      <c r="AE1698">
        <v>0</v>
      </c>
      <c r="AF1698" t="s">
        <v>31</v>
      </c>
      <c r="AG1698">
        <v>0</v>
      </c>
      <c r="AH1698" t="s">
        <v>31</v>
      </c>
      <c r="AI1698">
        <v>0</v>
      </c>
      <c r="AJ1698" t="s">
        <v>31</v>
      </c>
      <c r="AK1698">
        <v>0</v>
      </c>
      <c r="AL1698" t="s">
        <v>31</v>
      </c>
      <c r="AM1698">
        <v>0</v>
      </c>
      <c r="AN1698" t="s">
        <v>31</v>
      </c>
      <c r="AO1698">
        <v>0</v>
      </c>
      <c r="AP1698" t="s">
        <v>31</v>
      </c>
      <c r="AQ1698">
        <v>0</v>
      </c>
    </row>
    <row r="1699" spans="1:43" x14ac:dyDescent="0.2">
      <c r="A1699" t="s">
        <v>381</v>
      </c>
      <c r="B1699" s="3">
        <v>44238</v>
      </c>
      <c r="C1699">
        <v>5</v>
      </c>
      <c r="D1699" t="s">
        <v>382</v>
      </c>
      <c r="E1699" t="s">
        <v>72</v>
      </c>
      <c r="F1699" s="9" t="s">
        <v>74</v>
      </c>
      <c r="G1699" t="s">
        <v>26</v>
      </c>
      <c r="H1699" t="s">
        <v>34</v>
      </c>
      <c r="I1699" t="s">
        <v>35</v>
      </c>
      <c r="J1699" t="s">
        <v>29</v>
      </c>
      <c r="K1699" t="s">
        <v>30</v>
      </c>
      <c r="L1699" t="s">
        <v>29</v>
      </c>
      <c r="M1699" t="s">
        <v>30</v>
      </c>
      <c r="N1699" t="s">
        <v>34</v>
      </c>
      <c r="O1699" t="s">
        <v>35</v>
      </c>
      <c r="P1699" t="s">
        <v>29</v>
      </c>
      <c r="Q1699" t="s">
        <v>30</v>
      </c>
      <c r="R1699" s="1">
        <v>44238.462581018517</v>
      </c>
      <c r="S1699" s="1">
        <v>44238.462581018517</v>
      </c>
      <c r="T1699">
        <v>0</v>
      </c>
      <c r="U1699">
        <v>0</v>
      </c>
      <c r="V1699" s="2">
        <v>0</v>
      </c>
      <c r="W1699">
        <v>0</v>
      </c>
      <c r="X1699" t="s">
        <v>37</v>
      </c>
      <c r="Y1699">
        <v>0</v>
      </c>
      <c r="Z1699" t="s">
        <v>37</v>
      </c>
      <c r="AA1699">
        <v>0</v>
      </c>
      <c r="AB1699" t="s">
        <v>37</v>
      </c>
      <c r="AC1699">
        <v>0</v>
      </c>
      <c r="AD1699" t="s">
        <v>31</v>
      </c>
      <c r="AE1699">
        <v>0</v>
      </c>
      <c r="AF1699" t="s">
        <v>31</v>
      </c>
      <c r="AG1699">
        <v>0</v>
      </c>
      <c r="AH1699" t="s">
        <v>31</v>
      </c>
      <c r="AI1699">
        <v>0</v>
      </c>
      <c r="AJ1699" t="s">
        <v>31</v>
      </c>
      <c r="AK1699">
        <v>0</v>
      </c>
      <c r="AL1699" t="s">
        <v>31</v>
      </c>
      <c r="AM1699">
        <v>0</v>
      </c>
      <c r="AN1699" t="s">
        <v>31</v>
      </c>
      <c r="AO1699">
        <v>0</v>
      </c>
      <c r="AP1699" t="s">
        <v>31</v>
      </c>
      <c r="AQ1699">
        <v>0</v>
      </c>
    </row>
    <row r="1700" spans="1:43" x14ac:dyDescent="0.2">
      <c r="A1700" t="s">
        <v>381</v>
      </c>
      <c r="B1700" s="3">
        <v>44242</v>
      </c>
      <c r="C1700">
        <v>8</v>
      </c>
      <c r="D1700" t="s">
        <v>384</v>
      </c>
      <c r="E1700" t="s">
        <v>72</v>
      </c>
      <c r="F1700" s="9" t="s">
        <v>74</v>
      </c>
      <c r="G1700" t="s">
        <v>26</v>
      </c>
      <c r="H1700" t="s">
        <v>34</v>
      </c>
      <c r="I1700" t="s">
        <v>35</v>
      </c>
      <c r="J1700" t="s">
        <v>29</v>
      </c>
      <c r="K1700" t="s">
        <v>30</v>
      </c>
      <c r="L1700" t="s">
        <v>29</v>
      </c>
      <c r="M1700" t="s">
        <v>30</v>
      </c>
      <c r="N1700" t="s">
        <v>34</v>
      </c>
      <c r="O1700" t="s">
        <v>35</v>
      </c>
      <c r="P1700" t="s">
        <v>29</v>
      </c>
      <c r="Q1700" t="s">
        <v>30</v>
      </c>
      <c r="R1700" s="1">
        <v>44242.42564814815</v>
      </c>
      <c r="S1700" s="1">
        <v>44242.426087962966</v>
      </c>
      <c r="T1700">
        <v>0</v>
      </c>
      <c r="U1700">
        <v>0</v>
      </c>
      <c r="V1700" s="2">
        <v>0</v>
      </c>
      <c r="W1700">
        <v>0</v>
      </c>
      <c r="X1700" t="s">
        <v>37</v>
      </c>
      <c r="Y1700">
        <v>0</v>
      </c>
      <c r="Z1700" t="s">
        <v>37</v>
      </c>
      <c r="AA1700">
        <v>0</v>
      </c>
      <c r="AB1700" t="s">
        <v>37</v>
      </c>
      <c r="AC1700">
        <v>0</v>
      </c>
      <c r="AD1700" t="s">
        <v>31</v>
      </c>
      <c r="AE1700">
        <v>0</v>
      </c>
      <c r="AF1700" t="s">
        <v>31</v>
      </c>
      <c r="AG1700">
        <v>0</v>
      </c>
      <c r="AH1700" t="s">
        <v>31</v>
      </c>
      <c r="AI1700">
        <v>0</v>
      </c>
      <c r="AJ1700" t="s">
        <v>31</v>
      </c>
      <c r="AK1700">
        <v>0</v>
      </c>
      <c r="AL1700" t="s">
        <v>31</v>
      </c>
      <c r="AM1700">
        <v>0</v>
      </c>
      <c r="AN1700" t="s">
        <v>31</v>
      </c>
      <c r="AO1700">
        <v>0</v>
      </c>
      <c r="AP1700" t="s">
        <v>31</v>
      </c>
      <c r="AQ1700">
        <v>0</v>
      </c>
    </row>
    <row r="1701" spans="1:43" x14ac:dyDescent="0.2">
      <c r="A1701" t="s">
        <v>381</v>
      </c>
      <c r="B1701" s="3">
        <v>44243</v>
      </c>
      <c r="C1701">
        <v>10</v>
      </c>
      <c r="D1701" t="s">
        <v>385</v>
      </c>
      <c r="E1701" t="s">
        <v>72</v>
      </c>
      <c r="F1701" s="9" t="s">
        <v>74</v>
      </c>
      <c r="G1701" t="s">
        <v>26</v>
      </c>
      <c r="H1701" t="s">
        <v>34</v>
      </c>
      <c r="I1701" t="s">
        <v>35</v>
      </c>
      <c r="J1701" t="s">
        <v>29</v>
      </c>
      <c r="K1701" t="s">
        <v>30</v>
      </c>
      <c r="L1701" t="s">
        <v>29</v>
      </c>
      <c r="M1701" t="s">
        <v>30</v>
      </c>
      <c r="N1701" t="s">
        <v>34</v>
      </c>
      <c r="O1701" t="s">
        <v>35</v>
      </c>
      <c r="P1701" t="s">
        <v>29</v>
      </c>
      <c r="Q1701" t="s">
        <v>30</v>
      </c>
      <c r="R1701" s="1">
        <v>44243.621782407405</v>
      </c>
      <c r="S1701" s="1">
        <v>44243.622361111113</v>
      </c>
      <c r="T1701">
        <v>0</v>
      </c>
      <c r="U1701">
        <v>0</v>
      </c>
      <c r="V1701" s="2">
        <v>0</v>
      </c>
      <c r="W1701">
        <v>0</v>
      </c>
      <c r="X1701" t="s">
        <v>37</v>
      </c>
      <c r="Y1701">
        <v>0</v>
      </c>
      <c r="Z1701" t="s">
        <v>37</v>
      </c>
      <c r="AA1701">
        <v>0</v>
      </c>
      <c r="AB1701" t="s">
        <v>37</v>
      </c>
      <c r="AC1701">
        <v>0</v>
      </c>
      <c r="AD1701" t="s">
        <v>37</v>
      </c>
      <c r="AE1701">
        <v>0</v>
      </c>
      <c r="AF1701" t="s">
        <v>31</v>
      </c>
      <c r="AG1701">
        <v>0</v>
      </c>
      <c r="AH1701" t="s">
        <v>31</v>
      </c>
      <c r="AI1701">
        <v>0</v>
      </c>
      <c r="AJ1701" t="s">
        <v>31</v>
      </c>
      <c r="AK1701">
        <v>0</v>
      </c>
      <c r="AL1701" t="s">
        <v>31</v>
      </c>
      <c r="AM1701">
        <v>0</v>
      </c>
      <c r="AN1701" t="s">
        <v>31</v>
      </c>
      <c r="AO1701">
        <v>0</v>
      </c>
      <c r="AP1701" t="s">
        <v>31</v>
      </c>
      <c r="AQ1701">
        <v>0</v>
      </c>
    </row>
    <row r="1702" spans="1:43" x14ac:dyDescent="0.2">
      <c r="A1702" t="s">
        <v>381</v>
      </c>
      <c r="B1702" s="3">
        <v>44244</v>
      </c>
      <c r="C1702">
        <v>11</v>
      </c>
      <c r="D1702" t="s">
        <v>384</v>
      </c>
      <c r="E1702" t="s">
        <v>72</v>
      </c>
      <c r="F1702" s="9" t="s">
        <v>74</v>
      </c>
      <c r="G1702" t="s">
        <v>26</v>
      </c>
      <c r="H1702" t="s">
        <v>34</v>
      </c>
      <c r="I1702" t="s">
        <v>35</v>
      </c>
      <c r="J1702" t="s">
        <v>29</v>
      </c>
      <c r="K1702" t="s">
        <v>30</v>
      </c>
      <c r="L1702" t="s">
        <v>29</v>
      </c>
      <c r="M1702" t="s">
        <v>30</v>
      </c>
      <c r="N1702" t="s">
        <v>34</v>
      </c>
      <c r="O1702" t="s">
        <v>35</v>
      </c>
      <c r="P1702" t="s">
        <v>29</v>
      </c>
      <c r="Q1702" t="s">
        <v>30</v>
      </c>
      <c r="R1702" s="1">
        <v>44244.458495370367</v>
      </c>
      <c r="S1702" s="1">
        <v>44244.458692129629</v>
      </c>
      <c r="T1702">
        <v>0</v>
      </c>
      <c r="U1702">
        <v>0</v>
      </c>
      <c r="V1702" s="2">
        <v>0</v>
      </c>
      <c r="W1702">
        <v>0</v>
      </c>
      <c r="X1702" t="s">
        <v>37</v>
      </c>
      <c r="Y1702">
        <v>0</v>
      </c>
      <c r="Z1702" t="s">
        <v>37</v>
      </c>
      <c r="AA1702">
        <v>0</v>
      </c>
      <c r="AB1702" t="s">
        <v>37</v>
      </c>
      <c r="AC1702">
        <v>0</v>
      </c>
      <c r="AD1702" t="s">
        <v>31</v>
      </c>
      <c r="AE1702">
        <v>0</v>
      </c>
      <c r="AF1702" t="s">
        <v>31</v>
      </c>
      <c r="AG1702">
        <v>0</v>
      </c>
      <c r="AH1702" t="s">
        <v>31</v>
      </c>
      <c r="AI1702">
        <v>0</v>
      </c>
      <c r="AJ1702" t="s">
        <v>31</v>
      </c>
      <c r="AK1702">
        <v>0</v>
      </c>
      <c r="AL1702" t="s">
        <v>31</v>
      </c>
      <c r="AM1702">
        <v>0</v>
      </c>
      <c r="AN1702" t="s">
        <v>31</v>
      </c>
      <c r="AO1702">
        <v>0</v>
      </c>
      <c r="AP1702" t="s">
        <v>31</v>
      </c>
      <c r="AQ1702">
        <v>0</v>
      </c>
    </row>
    <row r="1703" spans="1:43" x14ac:dyDescent="0.2">
      <c r="A1703" t="s">
        <v>381</v>
      </c>
      <c r="B1703" s="3">
        <v>44245</v>
      </c>
      <c r="C1703">
        <v>12</v>
      </c>
      <c r="D1703" t="s">
        <v>382</v>
      </c>
      <c r="E1703" t="s">
        <v>72</v>
      </c>
      <c r="F1703" s="9" t="s">
        <v>74</v>
      </c>
      <c r="G1703" t="s">
        <v>26</v>
      </c>
      <c r="H1703" t="s">
        <v>34</v>
      </c>
      <c r="I1703" t="s">
        <v>35</v>
      </c>
      <c r="J1703" t="s">
        <v>29</v>
      </c>
      <c r="K1703" t="s">
        <v>30</v>
      </c>
      <c r="L1703" t="s">
        <v>29</v>
      </c>
      <c r="M1703" t="s">
        <v>30</v>
      </c>
      <c r="N1703" t="s">
        <v>34</v>
      </c>
      <c r="O1703" t="s">
        <v>35</v>
      </c>
      <c r="P1703" t="s">
        <v>29</v>
      </c>
      <c r="Q1703" t="s">
        <v>30</v>
      </c>
      <c r="R1703" s="1">
        <v>44245.458807870367</v>
      </c>
      <c r="S1703" s="1">
        <v>44245.458819444444</v>
      </c>
      <c r="T1703">
        <v>0</v>
      </c>
      <c r="U1703">
        <v>0</v>
      </c>
      <c r="V1703" s="2">
        <v>0</v>
      </c>
      <c r="W1703">
        <v>0</v>
      </c>
      <c r="X1703" t="s">
        <v>37</v>
      </c>
      <c r="Y1703">
        <v>0</v>
      </c>
      <c r="Z1703" t="s">
        <v>37</v>
      </c>
      <c r="AA1703">
        <v>0</v>
      </c>
      <c r="AB1703" t="s">
        <v>37</v>
      </c>
      <c r="AC1703">
        <v>0</v>
      </c>
      <c r="AD1703" t="s">
        <v>31</v>
      </c>
      <c r="AE1703">
        <v>0</v>
      </c>
      <c r="AF1703" t="s">
        <v>31</v>
      </c>
      <c r="AG1703">
        <v>0</v>
      </c>
      <c r="AH1703" t="s">
        <v>31</v>
      </c>
      <c r="AI1703">
        <v>0</v>
      </c>
      <c r="AJ1703" t="s">
        <v>31</v>
      </c>
      <c r="AK1703">
        <v>0</v>
      </c>
      <c r="AL1703" t="s">
        <v>31</v>
      </c>
      <c r="AM1703">
        <v>0</v>
      </c>
      <c r="AN1703" t="s">
        <v>31</v>
      </c>
      <c r="AO1703">
        <v>0</v>
      </c>
      <c r="AP1703" t="s">
        <v>31</v>
      </c>
      <c r="AQ1703">
        <v>0</v>
      </c>
    </row>
    <row r="1704" spans="1:43" x14ac:dyDescent="0.2">
      <c r="A1704" t="s">
        <v>381</v>
      </c>
      <c r="B1704" s="3">
        <v>44246</v>
      </c>
      <c r="C1704">
        <v>14</v>
      </c>
      <c r="D1704" t="s">
        <v>384</v>
      </c>
      <c r="E1704" t="s">
        <v>72</v>
      </c>
      <c r="F1704" s="9" t="s">
        <v>74</v>
      </c>
      <c r="G1704" t="s">
        <v>26</v>
      </c>
      <c r="H1704" t="s">
        <v>34</v>
      </c>
      <c r="I1704" t="s">
        <v>35</v>
      </c>
      <c r="J1704" t="s">
        <v>29</v>
      </c>
      <c r="K1704" t="s">
        <v>30</v>
      </c>
      <c r="L1704" t="s">
        <v>29</v>
      </c>
      <c r="M1704" t="s">
        <v>30</v>
      </c>
      <c r="N1704" t="s">
        <v>34</v>
      </c>
      <c r="O1704" t="s">
        <v>35</v>
      </c>
      <c r="P1704" t="s">
        <v>29</v>
      </c>
      <c r="Q1704" t="s">
        <v>30</v>
      </c>
      <c r="R1704" s="1">
        <v>44246.427719907406</v>
      </c>
      <c r="S1704" s="1">
        <v>44246.427731481483</v>
      </c>
      <c r="T1704">
        <v>0</v>
      </c>
      <c r="U1704">
        <v>0</v>
      </c>
      <c r="V1704" s="2">
        <v>0</v>
      </c>
      <c r="W1704">
        <v>0</v>
      </c>
      <c r="X1704" t="s">
        <v>37</v>
      </c>
      <c r="Y1704">
        <v>0</v>
      </c>
      <c r="Z1704" t="s">
        <v>37</v>
      </c>
      <c r="AA1704">
        <v>0</v>
      </c>
      <c r="AB1704" t="s">
        <v>37</v>
      </c>
      <c r="AC1704">
        <v>0</v>
      </c>
      <c r="AD1704" t="s">
        <v>37</v>
      </c>
      <c r="AE1704">
        <v>0</v>
      </c>
      <c r="AF1704" t="s">
        <v>31</v>
      </c>
      <c r="AG1704">
        <v>0</v>
      </c>
      <c r="AH1704" t="s">
        <v>31</v>
      </c>
      <c r="AI1704">
        <v>0</v>
      </c>
      <c r="AJ1704" t="s">
        <v>31</v>
      </c>
      <c r="AK1704">
        <v>0</v>
      </c>
      <c r="AL1704" t="s">
        <v>31</v>
      </c>
      <c r="AM1704">
        <v>0</v>
      </c>
      <c r="AN1704" t="s">
        <v>31</v>
      </c>
      <c r="AO1704">
        <v>0</v>
      </c>
      <c r="AP1704" t="s">
        <v>31</v>
      </c>
      <c r="AQ1704">
        <v>0</v>
      </c>
    </row>
    <row r="1705" spans="1:43" x14ac:dyDescent="0.2">
      <c r="A1705" t="s">
        <v>381</v>
      </c>
      <c r="B1705" s="3">
        <v>44249</v>
      </c>
      <c r="C1705">
        <v>15</v>
      </c>
      <c r="D1705" t="s">
        <v>384</v>
      </c>
      <c r="E1705" t="s">
        <v>72</v>
      </c>
      <c r="F1705" s="9" t="s">
        <v>74</v>
      </c>
      <c r="G1705" t="s">
        <v>26</v>
      </c>
      <c r="H1705" t="s">
        <v>34</v>
      </c>
      <c r="I1705" t="s">
        <v>35</v>
      </c>
      <c r="J1705" t="s">
        <v>29</v>
      </c>
      <c r="K1705" t="s">
        <v>30</v>
      </c>
      <c r="L1705" t="s">
        <v>29</v>
      </c>
      <c r="M1705" t="s">
        <v>30</v>
      </c>
      <c r="N1705" t="s">
        <v>34</v>
      </c>
      <c r="O1705" t="s">
        <v>35</v>
      </c>
      <c r="P1705" t="s">
        <v>29</v>
      </c>
      <c r="Q1705" t="s">
        <v>30</v>
      </c>
      <c r="R1705" s="1">
        <v>44249.45</v>
      </c>
      <c r="S1705" s="1">
        <v>44249.450104166666</v>
      </c>
      <c r="T1705">
        <v>0</v>
      </c>
      <c r="U1705">
        <v>0</v>
      </c>
      <c r="V1705" s="2">
        <v>0</v>
      </c>
      <c r="W1705">
        <v>0</v>
      </c>
      <c r="X1705" t="s">
        <v>37</v>
      </c>
      <c r="Y1705">
        <v>0</v>
      </c>
      <c r="Z1705" t="s">
        <v>37</v>
      </c>
      <c r="AA1705">
        <v>0</v>
      </c>
      <c r="AB1705" t="s">
        <v>37</v>
      </c>
      <c r="AC1705">
        <v>0</v>
      </c>
      <c r="AD1705" t="s">
        <v>31</v>
      </c>
      <c r="AE1705">
        <v>0</v>
      </c>
      <c r="AF1705" t="s">
        <v>31</v>
      </c>
      <c r="AG1705">
        <v>0</v>
      </c>
      <c r="AH1705" t="s">
        <v>31</v>
      </c>
      <c r="AI1705">
        <v>0</v>
      </c>
      <c r="AJ1705" t="s">
        <v>31</v>
      </c>
      <c r="AK1705">
        <v>0</v>
      </c>
      <c r="AL1705" t="s">
        <v>31</v>
      </c>
      <c r="AM1705">
        <v>0</v>
      </c>
      <c r="AN1705" t="s">
        <v>31</v>
      </c>
      <c r="AO1705">
        <v>0</v>
      </c>
      <c r="AP1705" t="s">
        <v>31</v>
      </c>
      <c r="AQ1705">
        <v>0</v>
      </c>
    </row>
    <row r="1706" spans="1:43" x14ac:dyDescent="0.2">
      <c r="A1706" t="s">
        <v>381</v>
      </c>
      <c r="B1706" s="3">
        <v>44250</v>
      </c>
      <c r="C1706">
        <v>16</v>
      </c>
      <c r="D1706" t="s">
        <v>382</v>
      </c>
      <c r="E1706" t="s">
        <v>72</v>
      </c>
      <c r="F1706" s="9" t="s">
        <v>74</v>
      </c>
      <c r="G1706" t="s">
        <v>26</v>
      </c>
      <c r="H1706" t="s">
        <v>34</v>
      </c>
      <c r="I1706" t="s">
        <v>35</v>
      </c>
      <c r="J1706" t="s">
        <v>29</v>
      </c>
      <c r="K1706" t="s">
        <v>30</v>
      </c>
      <c r="L1706" t="s">
        <v>29</v>
      </c>
      <c r="M1706" t="s">
        <v>30</v>
      </c>
      <c r="N1706" t="s">
        <v>34</v>
      </c>
      <c r="O1706" t="s">
        <v>35</v>
      </c>
      <c r="P1706" t="s">
        <v>29</v>
      </c>
      <c r="Q1706" t="s">
        <v>30</v>
      </c>
      <c r="R1706" s="1">
        <v>44250.371863425928</v>
      </c>
      <c r="S1706" s="1">
        <v>44250.371874999997</v>
      </c>
      <c r="T1706">
        <v>0</v>
      </c>
      <c r="U1706">
        <v>0</v>
      </c>
      <c r="V1706" s="2">
        <v>0</v>
      </c>
      <c r="W1706">
        <v>0</v>
      </c>
      <c r="X1706" t="s">
        <v>37</v>
      </c>
      <c r="Y1706">
        <v>0</v>
      </c>
      <c r="Z1706" t="s">
        <v>37</v>
      </c>
      <c r="AA1706">
        <v>0</v>
      </c>
      <c r="AB1706" t="s">
        <v>37</v>
      </c>
      <c r="AC1706">
        <v>0</v>
      </c>
      <c r="AD1706" t="s">
        <v>31</v>
      </c>
      <c r="AE1706">
        <v>0</v>
      </c>
      <c r="AF1706" t="s">
        <v>31</v>
      </c>
      <c r="AG1706">
        <v>0</v>
      </c>
      <c r="AH1706" t="s">
        <v>31</v>
      </c>
      <c r="AI1706">
        <v>0</v>
      </c>
      <c r="AJ1706" t="s">
        <v>31</v>
      </c>
      <c r="AK1706">
        <v>0</v>
      </c>
      <c r="AL1706" t="s">
        <v>31</v>
      </c>
      <c r="AM1706">
        <v>0</v>
      </c>
      <c r="AN1706" t="s">
        <v>31</v>
      </c>
      <c r="AO1706">
        <v>0</v>
      </c>
      <c r="AP1706" t="s">
        <v>31</v>
      </c>
      <c r="AQ1706">
        <v>0</v>
      </c>
    </row>
    <row r="1707" spans="1:43" x14ac:dyDescent="0.2">
      <c r="A1707" t="s">
        <v>381</v>
      </c>
      <c r="B1707" s="3">
        <v>44250</v>
      </c>
      <c r="C1707">
        <v>17</v>
      </c>
      <c r="D1707" t="s">
        <v>385</v>
      </c>
      <c r="E1707" t="s">
        <v>72</v>
      </c>
      <c r="F1707" s="9" t="s">
        <v>74</v>
      </c>
      <c r="G1707" t="s">
        <v>26</v>
      </c>
      <c r="H1707" t="s">
        <v>34</v>
      </c>
      <c r="I1707" t="s">
        <v>35</v>
      </c>
      <c r="J1707" t="s">
        <v>29</v>
      </c>
      <c r="K1707" t="s">
        <v>30</v>
      </c>
      <c r="L1707" t="s">
        <v>29</v>
      </c>
      <c r="M1707" t="s">
        <v>30</v>
      </c>
      <c r="N1707" t="s">
        <v>34</v>
      </c>
      <c r="O1707" t="s">
        <v>35</v>
      </c>
      <c r="P1707" t="s">
        <v>29</v>
      </c>
      <c r="Q1707" t="s">
        <v>30</v>
      </c>
      <c r="R1707" s="1">
        <v>44250.649525462963</v>
      </c>
      <c r="S1707" s="1">
        <v>44250.650057870371</v>
      </c>
      <c r="T1707">
        <v>0</v>
      </c>
      <c r="U1707">
        <v>0</v>
      </c>
      <c r="V1707" s="2">
        <v>0</v>
      </c>
      <c r="W1707">
        <v>0</v>
      </c>
      <c r="X1707" t="s">
        <v>37</v>
      </c>
      <c r="Y1707">
        <v>0</v>
      </c>
      <c r="Z1707" t="s">
        <v>37</v>
      </c>
      <c r="AA1707">
        <v>0</v>
      </c>
      <c r="AB1707" t="s">
        <v>31</v>
      </c>
      <c r="AC1707">
        <v>0</v>
      </c>
      <c r="AD1707" t="s">
        <v>31</v>
      </c>
      <c r="AE1707">
        <v>0</v>
      </c>
      <c r="AF1707" t="s">
        <v>31</v>
      </c>
      <c r="AG1707">
        <v>0</v>
      </c>
      <c r="AH1707" t="s">
        <v>31</v>
      </c>
      <c r="AI1707">
        <v>0</v>
      </c>
      <c r="AJ1707" t="s">
        <v>31</v>
      </c>
      <c r="AK1707">
        <v>0</v>
      </c>
      <c r="AL1707" t="s">
        <v>31</v>
      </c>
      <c r="AM1707">
        <v>0</v>
      </c>
      <c r="AN1707" t="s">
        <v>31</v>
      </c>
      <c r="AO1707">
        <v>0</v>
      </c>
      <c r="AP1707" t="s">
        <v>31</v>
      </c>
      <c r="AQ1707">
        <v>0</v>
      </c>
    </row>
    <row r="1708" spans="1:43" x14ac:dyDescent="0.2">
      <c r="A1708" t="s">
        <v>381</v>
      </c>
      <c r="B1708" s="3">
        <v>44251</v>
      </c>
      <c r="C1708">
        <v>18</v>
      </c>
      <c r="D1708" t="s">
        <v>384</v>
      </c>
      <c r="E1708" t="s">
        <v>72</v>
      </c>
      <c r="F1708" s="9" t="s">
        <v>74</v>
      </c>
      <c r="G1708" t="s">
        <v>26</v>
      </c>
      <c r="H1708" t="s">
        <v>34</v>
      </c>
      <c r="I1708" t="s">
        <v>35</v>
      </c>
      <c r="J1708" t="s">
        <v>29</v>
      </c>
      <c r="K1708" t="s">
        <v>30</v>
      </c>
      <c r="L1708" t="s">
        <v>29</v>
      </c>
      <c r="M1708" t="s">
        <v>30</v>
      </c>
      <c r="N1708" t="s">
        <v>34</v>
      </c>
      <c r="O1708" t="s">
        <v>35</v>
      </c>
      <c r="P1708" t="s">
        <v>29</v>
      </c>
      <c r="Q1708" t="s">
        <v>30</v>
      </c>
      <c r="R1708" s="1">
        <v>44251.406886574077</v>
      </c>
      <c r="S1708" s="1">
        <v>44251.40729166667</v>
      </c>
      <c r="T1708">
        <v>0</v>
      </c>
      <c r="U1708">
        <v>0</v>
      </c>
      <c r="V1708" s="2">
        <v>0</v>
      </c>
      <c r="W1708">
        <v>0</v>
      </c>
      <c r="X1708" t="s">
        <v>37</v>
      </c>
      <c r="Y1708">
        <v>0</v>
      </c>
      <c r="Z1708" t="s">
        <v>37</v>
      </c>
      <c r="AA1708">
        <v>0</v>
      </c>
      <c r="AB1708" t="s">
        <v>37</v>
      </c>
      <c r="AC1708">
        <v>0</v>
      </c>
      <c r="AD1708" t="s">
        <v>37</v>
      </c>
      <c r="AE1708">
        <v>0</v>
      </c>
      <c r="AF1708" t="s">
        <v>37</v>
      </c>
      <c r="AG1708">
        <v>0</v>
      </c>
      <c r="AH1708" t="s">
        <v>31</v>
      </c>
      <c r="AI1708">
        <v>0</v>
      </c>
      <c r="AJ1708" t="s">
        <v>31</v>
      </c>
      <c r="AK1708">
        <v>0</v>
      </c>
      <c r="AL1708" t="s">
        <v>31</v>
      </c>
      <c r="AM1708">
        <v>0</v>
      </c>
      <c r="AN1708" t="s">
        <v>31</v>
      </c>
      <c r="AO1708">
        <v>0</v>
      </c>
      <c r="AP1708" t="s">
        <v>31</v>
      </c>
      <c r="AQ1708">
        <v>0</v>
      </c>
    </row>
    <row r="1709" spans="1:43" x14ac:dyDescent="0.2">
      <c r="A1709" t="s">
        <v>381</v>
      </c>
      <c r="B1709" s="3">
        <v>44252</v>
      </c>
      <c r="C1709">
        <v>19</v>
      </c>
      <c r="D1709" t="s">
        <v>382</v>
      </c>
      <c r="E1709" t="s">
        <v>72</v>
      </c>
      <c r="F1709" s="9" t="s">
        <v>74</v>
      </c>
      <c r="G1709" t="s">
        <v>26</v>
      </c>
      <c r="H1709" t="s">
        <v>34</v>
      </c>
      <c r="I1709" t="s">
        <v>35</v>
      </c>
      <c r="J1709" t="s">
        <v>29</v>
      </c>
      <c r="K1709" t="s">
        <v>30</v>
      </c>
      <c r="L1709" t="s">
        <v>29</v>
      </c>
      <c r="M1709" t="s">
        <v>30</v>
      </c>
      <c r="N1709" t="s">
        <v>34</v>
      </c>
      <c r="O1709" t="s">
        <v>35</v>
      </c>
      <c r="P1709" t="s">
        <v>29</v>
      </c>
      <c r="Q1709" t="s">
        <v>30</v>
      </c>
      <c r="R1709" s="1">
        <v>44252.395312499997</v>
      </c>
      <c r="S1709" s="1">
        <v>44252.39534722222</v>
      </c>
      <c r="T1709">
        <v>0</v>
      </c>
      <c r="U1709">
        <v>0</v>
      </c>
      <c r="V1709" s="2">
        <v>0</v>
      </c>
      <c r="W1709">
        <v>0</v>
      </c>
      <c r="X1709" t="s">
        <v>37</v>
      </c>
      <c r="Y1709">
        <v>0</v>
      </c>
      <c r="Z1709" t="s">
        <v>37</v>
      </c>
      <c r="AA1709">
        <v>0</v>
      </c>
      <c r="AB1709" t="s">
        <v>37</v>
      </c>
      <c r="AC1709">
        <v>0</v>
      </c>
      <c r="AD1709" t="s">
        <v>31</v>
      </c>
      <c r="AE1709">
        <v>0</v>
      </c>
      <c r="AF1709" t="s">
        <v>31</v>
      </c>
      <c r="AG1709">
        <v>0</v>
      </c>
      <c r="AH1709" t="s">
        <v>31</v>
      </c>
      <c r="AI1709">
        <v>0</v>
      </c>
      <c r="AJ1709" t="s">
        <v>31</v>
      </c>
      <c r="AK1709">
        <v>0</v>
      </c>
      <c r="AL1709" t="s">
        <v>31</v>
      </c>
      <c r="AM1709">
        <v>0</v>
      </c>
      <c r="AN1709" t="s">
        <v>31</v>
      </c>
      <c r="AO1709">
        <v>0</v>
      </c>
      <c r="AP1709" t="s">
        <v>31</v>
      </c>
      <c r="AQ1709">
        <v>0</v>
      </c>
    </row>
    <row r="1710" spans="1:43" x14ac:dyDescent="0.2">
      <c r="A1710" t="s">
        <v>381</v>
      </c>
      <c r="B1710" s="3">
        <v>44252</v>
      </c>
      <c r="C1710">
        <v>20</v>
      </c>
      <c r="D1710" t="s">
        <v>385</v>
      </c>
      <c r="E1710" t="s">
        <v>72</v>
      </c>
      <c r="F1710" s="9" t="s">
        <v>74</v>
      </c>
      <c r="G1710" t="s">
        <v>26</v>
      </c>
      <c r="H1710" t="s">
        <v>34</v>
      </c>
      <c r="I1710" t="s">
        <v>35</v>
      </c>
      <c r="J1710" t="s">
        <v>29</v>
      </c>
      <c r="K1710" t="s">
        <v>30</v>
      </c>
      <c r="L1710" t="s">
        <v>29</v>
      </c>
      <c r="M1710" t="s">
        <v>30</v>
      </c>
      <c r="N1710" t="s">
        <v>34</v>
      </c>
      <c r="O1710" t="s">
        <v>35</v>
      </c>
      <c r="P1710" t="s">
        <v>29</v>
      </c>
      <c r="Q1710" t="s">
        <v>30</v>
      </c>
      <c r="R1710" s="1">
        <v>44252.643842592595</v>
      </c>
      <c r="S1710" s="1">
        <v>44252.644189814811</v>
      </c>
      <c r="T1710">
        <v>0</v>
      </c>
      <c r="U1710">
        <v>0</v>
      </c>
      <c r="V1710" s="2">
        <v>0</v>
      </c>
      <c r="W1710">
        <v>0</v>
      </c>
      <c r="X1710" t="s">
        <v>37</v>
      </c>
      <c r="Y1710">
        <v>0</v>
      </c>
      <c r="Z1710" t="s">
        <v>37</v>
      </c>
      <c r="AA1710">
        <v>0</v>
      </c>
      <c r="AB1710" t="s">
        <v>31</v>
      </c>
      <c r="AC1710">
        <v>0</v>
      </c>
      <c r="AD1710" t="s">
        <v>31</v>
      </c>
      <c r="AE1710">
        <v>0</v>
      </c>
      <c r="AF1710" t="s">
        <v>31</v>
      </c>
      <c r="AG1710">
        <v>0</v>
      </c>
      <c r="AH1710" t="s">
        <v>31</v>
      </c>
      <c r="AI1710">
        <v>0</v>
      </c>
      <c r="AJ1710" t="s">
        <v>31</v>
      </c>
      <c r="AK1710">
        <v>0</v>
      </c>
      <c r="AL1710" t="s">
        <v>31</v>
      </c>
      <c r="AM1710">
        <v>0</v>
      </c>
      <c r="AN1710" t="s">
        <v>31</v>
      </c>
      <c r="AO1710">
        <v>0</v>
      </c>
      <c r="AP1710" t="s">
        <v>31</v>
      </c>
      <c r="AQ1710">
        <v>0</v>
      </c>
    </row>
    <row r="1711" spans="1:43" x14ac:dyDescent="0.2">
      <c r="A1711" t="s">
        <v>381</v>
      </c>
      <c r="B1711" s="3">
        <v>44253</v>
      </c>
      <c r="C1711">
        <v>21</v>
      </c>
      <c r="D1711" t="s">
        <v>384</v>
      </c>
      <c r="E1711" t="s">
        <v>72</v>
      </c>
      <c r="F1711" s="9" t="s">
        <v>74</v>
      </c>
      <c r="G1711" t="s">
        <v>26</v>
      </c>
      <c r="H1711" t="s">
        <v>34</v>
      </c>
      <c r="I1711" t="s">
        <v>35</v>
      </c>
      <c r="J1711" t="s">
        <v>29</v>
      </c>
      <c r="K1711" t="s">
        <v>30</v>
      </c>
      <c r="L1711" t="s">
        <v>29</v>
      </c>
      <c r="M1711" t="s">
        <v>30</v>
      </c>
      <c r="N1711" t="s">
        <v>34</v>
      </c>
      <c r="O1711" t="s">
        <v>35</v>
      </c>
      <c r="P1711" t="s">
        <v>29</v>
      </c>
      <c r="Q1711" t="s">
        <v>30</v>
      </c>
      <c r="R1711" s="1">
        <v>44253.415300925924</v>
      </c>
      <c r="S1711" s="1">
        <v>44253.415648148148</v>
      </c>
      <c r="T1711">
        <v>0</v>
      </c>
      <c r="U1711">
        <v>0</v>
      </c>
      <c r="V1711" s="2">
        <v>0</v>
      </c>
      <c r="W1711">
        <v>0</v>
      </c>
      <c r="X1711" t="s">
        <v>37</v>
      </c>
      <c r="Y1711">
        <v>0</v>
      </c>
      <c r="Z1711" t="s">
        <v>37</v>
      </c>
      <c r="AA1711">
        <v>0</v>
      </c>
      <c r="AB1711" t="s">
        <v>37</v>
      </c>
      <c r="AC1711">
        <v>0</v>
      </c>
      <c r="AD1711" t="s">
        <v>37</v>
      </c>
      <c r="AE1711">
        <v>0</v>
      </c>
      <c r="AF1711" t="s">
        <v>31</v>
      </c>
      <c r="AG1711">
        <v>0</v>
      </c>
      <c r="AH1711" t="s">
        <v>31</v>
      </c>
      <c r="AI1711">
        <v>0</v>
      </c>
      <c r="AJ1711" t="s">
        <v>31</v>
      </c>
      <c r="AK1711">
        <v>0</v>
      </c>
      <c r="AL1711" t="s">
        <v>31</v>
      </c>
      <c r="AM1711">
        <v>0</v>
      </c>
      <c r="AN1711" t="s">
        <v>31</v>
      </c>
      <c r="AO1711">
        <v>0</v>
      </c>
      <c r="AP1711" t="s">
        <v>31</v>
      </c>
      <c r="AQ1711">
        <v>0</v>
      </c>
    </row>
    <row r="1712" spans="1:43" x14ac:dyDescent="0.2">
      <c r="A1712" t="s">
        <v>381</v>
      </c>
      <c r="B1712" s="3">
        <v>44256</v>
      </c>
      <c r="C1712">
        <v>22</v>
      </c>
      <c r="D1712" t="s">
        <v>384</v>
      </c>
      <c r="E1712" t="s">
        <v>72</v>
      </c>
      <c r="F1712" s="9" t="s">
        <v>74</v>
      </c>
      <c r="G1712" t="s">
        <v>26</v>
      </c>
      <c r="H1712" t="s">
        <v>34</v>
      </c>
      <c r="I1712" t="s">
        <v>35</v>
      </c>
      <c r="J1712" t="s">
        <v>29</v>
      </c>
      <c r="K1712" t="s">
        <v>30</v>
      </c>
      <c r="L1712" t="s">
        <v>29</v>
      </c>
      <c r="M1712" t="s">
        <v>30</v>
      </c>
      <c r="N1712" t="s">
        <v>34</v>
      </c>
      <c r="O1712" t="s">
        <v>35</v>
      </c>
      <c r="P1712" t="s">
        <v>29</v>
      </c>
      <c r="Q1712" t="s">
        <v>30</v>
      </c>
      <c r="R1712" s="1">
        <v>44256.414317129631</v>
      </c>
      <c r="S1712" s="1">
        <v>44256.414675925924</v>
      </c>
      <c r="T1712">
        <v>0</v>
      </c>
      <c r="U1712">
        <v>0</v>
      </c>
      <c r="V1712" s="2">
        <v>0</v>
      </c>
      <c r="W1712">
        <v>0</v>
      </c>
      <c r="X1712" t="s">
        <v>37</v>
      </c>
      <c r="Y1712">
        <v>0</v>
      </c>
      <c r="Z1712" t="s">
        <v>37</v>
      </c>
      <c r="AA1712">
        <v>0</v>
      </c>
      <c r="AB1712" t="s">
        <v>37</v>
      </c>
      <c r="AC1712">
        <v>0</v>
      </c>
      <c r="AD1712" t="s">
        <v>37</v>
      </c>
      <c r="AE1712">
        <v>0</v>
      </c>
      <c r="AF1712" t="s">
        <v>31</v>
      </c>
      <c r="AG1712">
        <v>0</v>
      </c>
      <c r="AH1712" t="s">
        <v>31</v>
      </c>
      <c r="AI1712">
        <v>0</v>
      </c>
      <c r="AJ1712" t="s">
        <v>31</v>
      </c>
      <c r="AK1712">
        <v>0</v>
      </c>
      <c r="AL1712" t="s">
        <v>31</v>
      </c>
      <c r="AM1712">
        <v>0</v>
      </c>
      <c r="AN1712" t="s">
        <v>31</v>
      </c>
      <c r="AO1712">
        <v>0</v>
      </c>
      <c r="AP1712" t="s">
        <v>31</v>
      </c>
      <c r="AQ1712">
        <v>0</v>
      </c>
    </row>
    <row r="1713" spans="1:43" x14ac:dyDescent="0.2">
      <c r="A1713" t="s">
        <v>381</v>
      </c>
      <c r="B1713" s="3">
        <v>44257</v>
      </c>
      <c r="C1713">
        <v>23</v>
      </c>
      <c r="D1713" t="s">
        <v>382</v>
      </c>
      <c r="E1713" t="s">
        <v>72</v>
      </c>
      <c r="F1713" s="9" t="s">
        <v>74</v>
      </c>
      <c r="G1713" t="s">
        <v>26</v>
      </c>
      <c r="H1713" t="s">
        <v>34</v>
      </c>
      <c r="I1713" t="s">
        <v>35</v>
      </c>
      <c r="J1713" t="s">
        <v>29</v>
      </c>
      <c r="K1713" t="s">
        <v>30</v>
      </c>
      <c r="L1713" t="s">
        <v>29</v>
      </c>
      <c r="M1713" t="s">
        <v>30</v>
      </c>
      <c r="N1713" t="s">
        <v>34</v>
      </c>
      <c r="O1713" t="s">
        <v>35</v>
      </c>
      <c r="P1713" t="s">
        <v>29</v>
      </c>
      <c r="Q1713" t="s">
        <v>30</v>
      </c>
      <c r="R1713" s="1">
        <v>44257.429664351854</v>
      </c>
      <c r="S1713" s="1">
        <v>44257.429675925923</v>
      </c>
      <c r="T1713">
        <v>0</v>
      </c>
      <c r="U1713">
        <v>0</v>
      </c>
      <c r="V1713" s="2">
        <v>0</v>
      </c>
      <c r="W1713">
        <v>0</v>
      </c>
      <c r="X1713" t="s">
        <v>37</v>
      </c>
      <c r="Y1713">
        <v>0</v>
      </c>
      <c r="Z1713" t="s">
        <v>37</v>
      </c>
      <c r="AA1713">
        <v>0</v>
      </c>
      <c r="AB1713" t="s">
        <v>37</v>
      </c>
      <c r="AC1713">
        <v>0</v>
      </c>
      <c r="AD1713" t="s">
        <v>31</v>
      </c>
      <c r="AE1713">
        <v>0</v>
      </c>
      <c r="AF1713" t="s">
        <v>31</v>
      </c>
      <c r="AG1713">
        <v>0</v>
      </c>
      <c r="AH1713" t="s">
        <v>31</v>
      </c>
      <c r="AI1713">
        <v>0</v>
      </c>
      <c r="AJ1713" t="s">
        <v>31</v>
      </c>
      <c r="AK1713">
        <v>0</v>
      </c>
      <c r="AL1713" t="s">
        <v>31</v>
      </c>
      <c r="AM1713">
        <v>0</v>
      </c>
      <c r="AN1713" t="s">
        <v>31</v>
      </c>
      <c r="AO1713">
        <v>0</v>
      </c>
      <c r="AP1713" t="s">
        <v>31</v>
      </c>
      <c r="AQ1713">
        <v>0</v>
      </c>
    </row>
    <row r="1714" spans="1:43" x14ac:dyDescent="0.2">
      <c r="A1714" t="s">
        <v>381</v>
      </c>
      <c r="B1714" s="3">
        <v>44257</v>
      </c>
      <c r="C1714">
        <v>24</v>
      </c>
      <c r="D1714" t="s">
        <v>385</v>
      </c>
      <c r="E1714" t="s">
        <v>72</v>
      </c>
      <c r="F1714" s="9" t="s">
        <v>74</v>
      </c>
      <c r="G1714" t="s">
        <v>26</v>
      </c>
      <c r="H1714" t="s">
        <v>34</v>
      </c>
      <c r="I1714" t="s">
        <v>35</v>
      </c>
      <c r="J1714" t="s">
        <v>29</v>
      </c>
      <c r="K1714" t="s">
        <v>30</v>
      </c>
      <c r="L1714" t="s">
        <v>29</v>
      </c>
      <c r="M1714" t="s">
        <v>30</v>
      </c>
      <c r="N1714" t="s">
        <v>34</v>
      </c>
      <c r="O1714" t="s">
        <v>35</v>
      </c>
      <c r="P1714" t="s">
        <v>29</v>
      </c>
      <c r="Q1714" t="s">
        <v>30</v>
      </c>
      <c r="R1714" s="1">
        <v>44257.662372685183</v>
      </c>
      <c r="S1714" s="1">
        <v>44257.66238425926</v>
      </c>
      <c r="T1714">
        <v>0</v>
      </c>
      <c r="U1714">
        <v>0</v>
      </c>
      <c r="V1714" s="2">
        <v>0</v>
      </c>
      <c r="W1714">
        <v>0</v>
      </c>
      <c r="X1714" t="s">
        <v>37</v>
      </c>
      <c r="Y1714">
        <v>0</v>
      </c>
      <c r="Z1714" t="s">
        <v>37</v>
      </c>
      <c r="AA1714">
        <v>0</v>
      </c>
      <c r="AB1714" t="s">
        <v>31</v>
      </c>
      <c r="AC1714">
        <v>0</v>
      </c>
      <c r="AD1714" t="s">
        <v>31</v>
      </c>
      <c r="AE1714">
        <v>0</v>
      </c>
      <c r="AF1714" t="s">
        <v>31</v>
      </c>
      <c r="AG1714">
        <v>0</v>
      </c>
      <c r="AH1714" t="s">
        <v>31</v>
      </c>
      <c r="AI1714">
        <v>0</v>
      </c>
      <c r="AJ1714" t="s">
        <v>31</v>
      </c>
      <c r="AK1714">
        <v>0</v>
      </c>
      <c r="AL1714" t="s">
        <v>31</v>
      </c>
      <c r="AM1714">
        <v>0</v>
      </c>
      <c r="AN1714" t="s">
        <v>31</v>
      </c>
      <c r="AO1714">
        <v>0</v>
      </c>
      <c r="AP1714" t="s">
        <v>31</v>
      </c>
      <c r="AQ1714">
        <v>0</v>
      </c>
    </row>
    <row r="1715" spans="1:43" x14ac:dyDescent="0.2">
      <c r="A1715" t="s">
        <v>381</v>
      </c>
      <c r="B1715" s="3">
        <v>44258</v>
      </c>
      <c r="C1715">
        <v>25</v>
      </c>
      <c r="D1715" t="s">
        <v>384</v>
      </c>
      <c r="E1715" t="s">
        <v>72</v>
      </c>
      <c r="F1715" s="9" t="s">
        <v>74</v>
      </c>
      <c r="G1715" t="s">
        <v>26</v>
      </c>
      <c r="H1715" t="s">
        <v>34</v>
      </c>
      <c r="I1715" t="s">
        <v>35</v>
      </c>
      <c r="J1715" t="s">
        <v>29</v>
      </c>
      <c r="K1715" t="s">
        <v>30</v>
      </c>
      <c r="L1715" t="s">
        <v>29</v>
      </c>
      <c r="M1715" t="s">
        <v>30</v>
      </c>
      <c r="N1715" t="s">
        <v>34</v>
      </c>
      <c r="O1715" t="s">
        <v>35</v>
      </c>
      <c r="P1715" t="s">
        <v>29</v>
      </c>
      <c r="Q1715" t="s">
        <v>30</v>
      </c>
      <c r="R1715" s="1">
        <v>44258.408206018517</v>
      </c>
      <c r="S1715" s="1">
        <v>44258.408692129633</v>
      </c>
      <c r="T1715">
        <v>0</v>
      </c>
      <c r="U1715">
        <v>0</v>
      </c>
      <c r="V1715" s="2">
        <v>0</v>
      </c>
      <c r="W1715">
        <v>0</v>
      </c>
      <c r="X1715" t="s">
        <v>37</v>
      </c>
      <c r="Y1715">
        <v>0</v>
      </c>
      <c r="Z1715" t="s">
        <v>37</v>
      </c>
      <c r="AA1715">
        <v>0</v>
      </c>
      <c r="AB1715" t="s">
        <v>37</v>
      </c>
      <c r="AC1715">
        <v>0</v>
      </c>
      <c r="AD1715" t="s">
        <v>37</v>
      </c>
      <c r="AE1715">
        <v>0</v>
      </c>
      <c r="AF1715" t="s">
        <v>31</v>
      </c>
      <c r="AG1715">
        <v>0</v>
      </c>
      <c r="AH1715" t="s">
        <v>31</v>
      </c>
      <c r="AI1715">
        <v>0</v>
      </c>
      <c r="AJ1715" t="s">
        <v>31</v>
      </c>
      <c r="AK1715">
        <v>0</v>
      </c>
      <c r="AL1715" t="s">
        <v>31</v>
      </c>
      <c r="AM1715">
        <v>0</v>
      </c>
      <c r="AN1715" t="s">
        <v>31</v>
      </c>
      <c r="AO1715">
        <v>0</v>
      </c>
      <c r="AP1715" t="s">
        <v>31</v>
      </c>
      <c r="AQ1715">
        <v>0</v>
      </c>
    </row>
    <row r="1716" spans="1:43" x14ac:dyDescent="0.2">
      <c r="A1716" t="s">
        <v>381</v>
      </c>
      <c r="B1716" s="3">
        <v>44259</v>
      </c>
      <c r="C1716">
        <v>26</v>
      </c>
      <c r="D1716" t="s">
        <v>382</v>
      </c>
      <c r="E1716" t="s">
        <v>72</v>
      </c>
      <c r="F1716" s="9" t="s">
        <v>74</v>
      </c>
      <c r="G1716" t="s">
        <v>26</v>
      </c>
      <c r="H1716" t="s">
        <v>34</v>
      </c>
      <c r="I1716" t="s">
        <v>35</v>
      </c>
      <c r="J1716" t="s">
        <v>29</v>
      </c>
      <c r="K1716" t="s">
        <v>30</v>
      </c>
      <c r="L1716" t="s">
        <v>29</v>
      </c>
      <c r="M1716" t="s">
        <v>30</v>
      </c>
      <c r="N1716" t="s">
        <v>34</v>
      </c>
      <c r="O1716" t="s">
        <v>35</v>
      </c>
      <c r="P1716" t="s">
        <v>29</v>
      </c>
      <c r="Q1716" t="s">
        <v>30</v>
      </c>
      <c r="R1716" s="1">
        <v>44259.414895833332</v>
      </c>
      <c r="S1716" s="1">
        <v>44259.414907407408</v>
      </c>
      <c r="T1716">
        <v>0</v>
      </c>
      <c r="U1716">
        <v>0</v>
      </c>
      <c r="V1716" s="2">
        <v>0</v>
      </c>
      <c r="W1716">
        <v>0</v>
      </c>
      <c r="X1716" t="s">
        <v>37</v>
      </c>
      <c r="Y1716">
        <v>0</v>
      </c>
      <c r="Z1716" t="s">
        <v>37</v>
      </c>
      <c r="AA1716">
        <v>0</v>
      </c>
      <c r="AB1716" t="s">
        <v>37</v>
      </c>
      <c r="AC1716">
        <v>0</v>
      </c>
      <c r="AD1716" t="s">
        <v>31</v>
      </c>
      <c r="AE1716">
        <v>0</v>
      </c>
      <c r="AF1716" t="s">
        <v>31</v>
      </c>
      <c r="AG1716">
        <v>0</v>
      </c>
      <c r="AH1716" t="s">
        <v>31</v>
      </c>
      <c r="AI1716">
        <v>0</v>
      </c>
      <c r="AJ1716" t="s">
        <v>31</v>
      </c>
      <c r="AK1716">
        <v>0</v>
      </c>
      <c r="AL1716" t="s">
        <v>31</v>
      </c>
      <c r="AM1716">
        <v>0</v>
      </c>
      <c r="AN1716" t="s">
        <v>31</v>
      </c>
      <c r="AO1716">
        <v>0</v>
      </c>
      <c r="AP1716" t="s">
        <v>31</v>
      </c>
      <c r="AQ1716">
        <v>0</v>
      </c>
    </row>
    <row r="1717" spans="1:43" x14ac:dyDescent="0.2">
      <c r="A1717" t="s">
        <v>381</v>
      </c>
      <c r="B1717" s="3">
        <v>44260</v>
      </c>
      <c r="C1717">
        <v>28</v>
      </c>
      <c r="D1717" t="s">
        <v>384</v>
      </c>
      <c r="E1717" t="s">
        <v>72</v>
      </c>
      <c r="F1717" s="9" t="s">
        <v>74</v>
      </c>
      <c r="G1717" t="s">
        <v>26</v>
      </c>
      <c r="H1717" t="s">
        <v>34</v>
      </c>
      <c r="I1717" t="s">
        <v>35</v>
      </c>
      <c r="J1717" t="s">
        <v>29</v>
      </c>
      <c r="K1717" t="s">
        <v>30</v>
      </c>
      <c r="L1717" t="s">
        <v>29</v>
      </c>
      <c r="M1717" t="s">
        <v>30</v>
      </c>
      <c r="N1717" t="s">
        <v>34</v>
      </c>
      <c r="O1717" t="s">
        <v>35</v>
      </c>
      <c r="P1717" t="s">
        <v>29</v>
      </c>
      <c r="Q1717" t="s">
        <v>30</v>
      </c>
      <c r="R1717" s="1">
        <v>44260.390497685185</v>
      </c>
      <c r="S1717" s="1">
        <v>44260.390856481485</v>
      </c>
      <c r="T1717">
        <v>0</v>
      </c>
      <c r="U1717">
        <v>0</v>
      </c>
      <c r="V1717" s="2">
        <v>0</v>
      </c>
      <c r="W1717">
        <v>0</v>
      </c>
      <c r="X1717" t="s">
        <v>37</v>
      </c>
      <c r="Y1717">
        <v>0</v>
      </c>
      <c r="Z1717" t="s">
        <v>37</v>
      </c>
      <c r="AA1717">
        <v>0</v>
      </c>
      <c r="AB1717" t="s">
        <v>37</v>
      </c>
      <c r="AC1717">
        <v>0</v>
      </c>
      <c r="AD1717" t="s">
        <v>37</v>
      </c>
      <c r="AE1717">
        <v>0</v>
      </c>
      <c r="AF1717" t="s">
        <v>31</v>
      </c>
      <c r="AG1717">
        <v>0</v>
      </c>
      <c r="AH1717" t="s">
        <v>31</v>
      </c>
      <c r="AI1717">
        <v>0</v>
      </c>
      <c r="AJ1717" t="s">
        <v>31</v>
      </c>
      <c r="AK1717">
        <v>0</v>
      </c>
      <c r="AL1717" t="s">
        <v>31</v>
      </c>
      <c r="AM1717">
        <v>0</v>
      </c>
      <c r="AN1717" t="s">
        <v>31</v>
      </c>
      <c r="AO1717">
        <v>0</v>
      </c>
      <c r="AP1717" t="s">
        <v>31</v>
      </c>
      <c r="AQ1717">
        <v>0</v>
      </c>
    </row>
    <row r="1718" spans="1:43" x14ac:dyDescent="0.2">
      <c r="A1718" t="s">
        <v>381</v>
      </c>
      <c r="B1718" s="3">
        <v>44263</v>
      </c>
      <c r="C1718">
        <v>29</v>
      </c>
      <c r="D1718" t="s">
        <v>384</v>
      </c>
      <c r="E1718" t="s">
        <v>72</v>
      </c>
      <c r="F1718" s="9" t="s">
        <v>74</v>
      </c>
      <c r="G1718" t="s">
        <v>26</v>
      </c>
      <c r="H1718" t="s">
        <v>34</v>
      </c>
      <c r="I1718" t="s">
        <v>35</v>
      </c>
      <c r="J1718" t="s">
        <v>29</v>
      </c>
      <c r="K1718" t="s">
        <v>30</v>
      </c>
      <c r="L1718" t="s">
        <v>29</v>
      </c>
      <c r="M1718" t="s">
        <v>30</v>
      </c>
      <c r="N1718" t="s">
        <v>34</v>
      </c>
      <c r="O1718" t="s">
        <v>35</v>
      </c>
      <c r="P1718" t="s">
        <v>29</v>
      </c>
      <c r="Q1718" t="s">
        <v>30</v>
      </c>
      <c r="R1718" s="1">
        <v>44263.413553240738</v>
      </c>
      <c r="S1718" s="1">
        <v>44263.414178240739</v>
      </c>
      <c r="T1718">
        <v>0</v>
      </c>
      <c r="U1718">
        <v>0</v>
      </c>
      <c r="V1718" s="2">
        <v>0</v>
      </c>
      <c r="W1718">
        <v>0</v>
      </c>
      <c r="X1718" t="s">
        <v>37</v>
      </c>
      <c r="Y1718">
        <v>0</v>
      </c>
      <c r="Z1718" t="s">
        <v>37</v>
      </c>
      <c r="AA1718">
        <v>0</v>
      </c>
      <c r="AB1718" t="s">
        <v>37</v>
      </c>
      <c r="AC1718">
        <v>0</v>
      </c>
      <c r="AD1718" t="s">
        <v>37</v>
      </c>
      <c r="AE1718">
        <v>0</v>
      </c>
      <c r="AF1718" t="s">
        <v>31</v>
      </c>
      <c r="AG1718">
        <v>0</v>
      </c>
      <c r="AH1718" t="s">
        <v>31</v>
      </c>
      <c r="AI1718">
        <v>0</v>
      </c>
      <c r="AJ1718" t="s">
        <v>31</v>
      </c>
      <c r="AK1718">
        <v>0</v>
      </c>
      <c r="AL1718" t="s">
        <v>31</v>
      </c>
      <c r="AM1718">
        <v>0</v>
      </c>
      <c r="AN1718" t="s">
        <v>31</v>
      </c>
      <c r="AO1718">
        <v>0</v>
      </c>
      <c r="AP1718" t="s">
        <v>31</v>
      </c>
      <c r="AQ1718">
        <v>0</v>
      </c>
    </row>
    <row r="1719" spans="1:43" x14ac:dyDescent="0.2">
      <c r="A1719" t="s">
        <v>381</v>
      </c>
      <c r="B1719" s="3">
        <v>44264</v>
      </c>
      <c r="C1719">
        <v>30</v>
      </c>
      <c r="D1719" t="s">
        <v>382</v>
      </c>
      <c r="E1719" t="s">
        <v>72</v>
      </c>
      <c r="F1719" s="9" t="s">
        <v>74</v>
      </c>
      <c r="G1719" t="s">
        <v>26</v>
      </c>
      <c r="H1719" t="s">
        <v>34</v>
      </c>
      <c r="I1719" t="s">
        <v>35</v>
      </c>
      <c r="J1719" t="s">
        <v>29</v>
      </c>
      <c r="K1719" t="s">
        <v>30</v>
      </c>
      <c r="L1719" t="s">
        <v>29</v>
      </c>
      <c r="M1719" t="s">
        <v>30</v>
      </c>
      <c r="N1719" t="s">
        <v>34</v>
      </c>
      <c r="O1719" t="s">
        <v>35</v>
      </c>
      <c r="P1719" t="s">
        <v>29</v>
      </c>
      <c r="Q1719" t="s">
        <v>30</v>
      </c>
      <c r="R1719" s="1">
        <v>44264.450439814813</v>
      </c>
      <c r="S1719" s="1">
        <v>44264.45045138889</v>
      </c>
      <c r="T1719">
        <v>0</v>
      </c>
      <c r="U1719">
        <v>0</v>
      </c>
      <c r="V1719" s="2">
        <v>0</v>
      </c>
      <c r="W1719">
        <v>0</v>
      </c>
      <c r="X1719" t="s">
        <v>37</v>
      </c>
      <c r="Y1719">
        <v>0</v>
      </c>
      <c r="Z1719" t="s">
        <v>37</v>
      </c>
      <c r="AA1719">
        <v>0</v>
      </c>
      <c r="AB1719" t="s">
        <v>37</v>
      </c>
      <c r="AC1719">
        <v>0</v>
      </c>
      <c r="AD1719" t="s">
        <v>31</v>
      </c>
      <c r="AE1719">
        <v>0</v>
      </c>
      <c r="AF1719" t="s">
        <v>31</v>
      </c>
      <c r="AG1719">
        <v>0</v>
      </c>
      <c r="AH1719" t="s">
        <v>31</v>
      </c>
      <c r="AI1719">
        <v>0</v>
      </c>
      <c r="AJ1719" t="s">
        <v>31</v>
      </c>
      <c r="AK1719">
        <v>0</v>
      </c>
      <c r="AL1719" t="s">
        <v>31</v>
      </c>
      <c r="AM1719">
        <v>0</v>
      </c>
      <c r="AN1719" t="s">
        <v>31</v>
      </c>
      <c r="AO1719">
        <v>0</v>
      </c>
      <c r="AP1719" t="s">
        <v>31</v>
      </c>
      <c r="AQ1719">
        <v>0</v>
      </c>
    </row>
    <row r="1720" spans="1:43" x14ac:dyDescent="0.2">
      <c r="A1720" t="s">
        <v>381</v>
      </c>
      <c r="B1720" s="3">
        <v>44264</v>
      </c>
      <c r="C1720">
        <v>31</v>
      </c>
      <c r="D1720" t="s">
        <v>385</v>
      </c>
      <c r="E1720" t="s">
        <v>72</v>
      </c>
      <c r="F1720" s="9" t="s">
        <v>74</v>
      </c>
      <c r="G1720" t="s">
        <v>26</v>
      </c>
      <c r="H1720" t="s">
        <v>34</v>
      </c>
      <c r="I1720" t="s">
        <v>35</v>
      </c>
      <c r="J1720" t="s">
        <v>29</v>
      </c>
      <c r="K1720" t="s">
        <v>30</v>
      </c>
      <c r="L1720" t="s">
        <v>29</v>
      </c>
      <c r="M1720" t="s">
        <v>30</v>
      </c>
      <c r="N1720" t="s">
        <v>34</v>
      </c>
      <c r="O1720" t="s">
        <v>35</v>
      </c>
      <c r="P1720" t="s">
        <v>29</v>
      </c>
      <c r="Q1720" t="s">
        <v>30</v>
      </c>
      <c r="R1720" s="1">
        <v>44264.59207175926</v>
      </c>
      <c r="S1720" s="1">
        <v>44264.592083333337</v>
      </c>
      <c r="T1720">
        <v>0</v>
      </c>
      <c r="U1720">
        <v>0</v>
      </c>
      <c r="V1720" s="2">
        <v>0</v>
      </c>
      <c r="W1720">
        <v>0</v>
      </c>
      <c r="X1720" t="s">
        <v>37</v>
      </c>
      <c r="Y1720">
        <v>0</v>
      </c>
      <c r="Z1720" t="s">
        <v>37</v>
      </c>
      <c r="AA1720">
        <v>0</v>
      </c>
      <c r="AB1720" t="s">
        <v>37</v>
      </c>
      <c r="AC1720">
        <v>0</v>
      </c>
      <c r="AD1720" t="s">
        <v>37</v>
      </c>
      <c r="AE1720">
        <v>0</v>
      </c>
      <c r="AF1720" t="s">
        <v>31</v>
      </c>
      <c r="AG1720">
        <v>0</v>
      </c>
      <c r="AH1720" t="s">
        <v>31</v>
      </c>
      <c r="AI1720">
        <v>0</v>
      </c>
      <c r="AJ1720" t="s">
        <v>31</v>
      </c>
      <c r="AK1720">
        <v>0</v>
      </c>
      <c r="AL1720" t="s">
        <v>31</v>
      </c>
      <c r="AM1720">
        <v>0</v>
      </c>
      <c r="AN1720" t="s">
        <v>31</v>
      </c>
      <c r="AO1720">
        <v>0</v>
      </c>
      <c r="AP1720" t="s">
        <v>31</v>
      </c>
      <c r="AQ1720">
        <v>0</v>
      </c>
    </row>
    <row r="1721" spans="1:43" x14ac:dyDescent="0.2">
      <c r="A1721" t="s">
        <v>381</v>
      </c>
      <c r="B1721" s="3">
        <v>44265</v>
      </c>
      <c r="C1721">
        <v>32</v>
      </c>
      <c r="D1721" t="s">
        <v>384</v>
      </c>
      <c r="E1721" t="s">
        <v>72</v>
      </c>
      <c r="F1721" s="9" t="s">
        <v>74</v>
      </c>
      <c r="G1721" t="s">
        <v>26</v>
      </c>
      <c r="H1721" t="s">
        <v>34</v>
      </c>
      <c r="I1721" t="s">
        <v>35</v>
      </c>
      <c r="J1721" t="s">
        <v>29</v>
      </c>
      <c r="K1721" t="s">
        <v>30</v>
      </c>
      <c r="L1721" t="s">
        <v>29</v>
      </c>
      <c r="M1721" t="s">
        <v>30</v>
      </c>
      <c r="N1721" t="s">
        <v>34</v>
      </c>
      <c r="O1721" t="s">
        <v>35</v>
      </c>
      <c r="P1721" t="s">
        <v>29</v>
      </c>
      <c r="Q1721" t="s">
        <v>30</v>
      </c>
      <c r="R1721" s="1">
        <v>44265.43545138889</v>
      </c>
      <c r="S1721" s="1">
        <v>44265.435636574075</v>
      </c>
      <c r="T1721">
        <v>0</v>
      </c>
      <c r="U1721">
        <v>0</v>
      </c>
      <c r="V1721" s="2">
        <v>0</v>
      </c>
      <c r="W1721">
        <v>0</v>
      </c>
      <c r="X1721" t="s">
        <v>37</v>
      </c>
      <c r="Y1721">
        <v>0</v>
      </c>
      <c r="Z1721" t="s">
        <v>37</v>
      </c>
      <c r="AA1721">
        <v>0</v>
      </c>
      <c r="AB1721" t="s">
        <v>37</v>
      </c>
      <c r="AC1721">
        <v>0</v>
      </c>
      <c r="AD1721" t="s">
        <v>37</v>
      </c>
      <c r="AE1721">
        <v>0</v>
      </c>
      <c r="AF1721" t="s">
        <v>31</v>
      </c>
      <c r="AG1721">
        <v>0</v>
      </c>
      <c r="AH1721" t="s">
        <v>31</v>
      </c>
      <c r="AI1721">
        <v>0</v>
      </c>
      <c r="AJ1721" t="s">
        <v>31</v>
      </c>
      <c r="AK1721">
        <v>0</v>
      </c>
      <c r="AL1721" t="s">
        <v>31</v>
      </c>
      <c r="AM1721">
        <v>0</v>
      </c>
      <c r="AN1721" t="s">
        <v>31</v>
      </c>
      <c r="AO1721">
        <v>0</v>
      </c>
      <c r="AP1721" t="s">
        <v>31</v>
      </c>
      <c r="AQ1721">
        <v>0</v>
      </c>
    </row>
    <row r="1722" spans="1:43" x14ac:dyDescent="0.2">
      <c r="A1722" t="s">
        <v>381</v>
      </c>
      <c r="B1722" s="3">
        <v>44266</v>
      </c>
      <c r="C1722">
        <v>33</v>
      </c>
      <c r="D1722" t="s">
        <v>385</v>
      </c>
      <c r="E1722" t="s">
        <v>72</v>
      </c>
      <c r="F1722" s="9" t="s">
        <v>74</v>
      </c>
      <c r="G1722" t="s">
        <v>26</v>
      </c>
      <c r="H1722" t="s">
        <v>34</v>
      </c>
      <c r="I1722" t="s">
        <v>35</v>
      </c>
      <c r="J1722" t="s">
        <v>29</v>
      </c>
      <c r="K1722" t="s">
        <v>30</v>
      </c>
      <c r="L1722" t="s">
        <v>29</v>
      </c>
      <c r="M1722" t="s">
        <v>30</v>
      </c>
      <c r="N1722" t="s">
        <v>34</v>
      </c>
      <c r="O1722" t="s">
        <v>35</v>
      </c>
      <c r="P1722" t="s">
        <v>29</v>
      </c>
      <c r="Q1722" t="s">
        <v>30</v>
      </c>
      <c r="R1722" s="1">
        <v>44266.467048611114</v>
      </c>
      <c r="S1722" s="1">
        <v>44266.467083333337</v>
      </c>
      <c r="T1722">
        <v>0</v>
      </c>
      <c r="U1722">
        <v>0</v>
      </c>
      <c r="V1722" s="2">
        <v>0</v>
      </c>
      <c r="W1722">
        <v>0</v>
      </c>
      <c r="X1722" t="s">
        <v>37</v>
      </c>
      <c r="Y1722">
        <v>0</v>
      </c>
      <c r="Z1722" t="s">
        <v>37</v>
      </c>
      <c r="AA1722">
        <v>0</v>
      </c>
      <c r="AB1722" t="s">
        <v>37</v>
      </c>
      <c r="AC1722">
        <v>0</v>
      </c>
      <c r="AD1722" t="s">
        <v>37</v>
      </c>
      <c r="AE1722">
        <v>0</v>
      </c>
      <c r="AF1722" t="s">
        <v>37</v>
      </c>
      <c r="AG1722">
        <v>0</v>
      </c>
      <c r="AH1722" t="s">
        <v>31</v>
      </c>
      <c r="AI1722">
        <v>0</v>
      </c>
      <c r="AJ1722" t="s">
        <v>31</v>
      </c>
      <c r="AK1722">
        <v>0</v>
      </c>
      <c r="AL1722" t="s">
        <v>31</v>
      </c>
      <c r="AM1722">
        <v>0</v>
      </c>
      <c r="AN1722" t="s">
        <v>31</v>
      </c>
      <c r="AO1722">
        <v>0</v>
      </c>
      <c r="AP1722" t="s">
        <v>31</v>
      </c>
      <c r="AQ1722">
        <v>0</v>
      </c>
    </row>
    <row r="1723" spans="1:43" x14ac:dyDescent="0.2">
      <c r="A1723" t="s">
        <v>381</v>
      </c>
      <c r="B1723" s="3">
        <v>44270</v>
      </c>
      <c r="C1723">
        <v>35</v>
      </c>
      <c r="D1723" t="s">
        <v>384</v>
      </c>
      <c r="E1723" t="s">
        <v>72</v>
      </c>
      <c r="F1723" s="9" t="s">
        <v>74</v>
      </c>
      <c r="G1723" t="s">
        <v>26</v>
      </c>
      <c r="H1723" t="s">
        <v>34</v>
      </c>
      <c r="I1723" t="s">
        <v>35</v>
      </c>
      <c r="J1723" t="s">
        <v>29</v>
      </c>
      <c r="K1723" t="s">
        <v>30</v>
      </c>
      <c r="L1723" t="s">
        <v>29</v>
      </c>
      <c r="M1723" t="s">
        <v>30</v>
      </c>
      <c r="N1723" t="s">
        <v>34</v>
      </c>
      <c r="O1723" t="s">
        <v>35</v>
      </c>
      <c r="P1723" t="s">
        <v>29</v>
      </c>
      <c r="Q1723" t="s">
        <v>30</v>
      </c>
      <c r="R1723" s="1">
        <v>44270.415486111109</v>
      </c>
      <c r="S1723" s="1">
        <v>44270.41578703704</v>
      </c>
      <c r="T1723">
        <v>1</v>
      </c>
      <c r="U1723">
        <v>1</v>
      </c>
      <c r="V1723" s="2">
        <v>1</v>
      </c>
      <c r="W1723">
        <v>0</v>
      </c>
      <c r="X1723" t="s">
        <v>37</v>
      </c>
      <c r="Y1723">
        <v>0</v>
      </c>
      <c r="Z1723" t="s">
        <v>37</v>
      </c>
      <c r="AA1723">
        <v>0</v>
      </c>
      <c r="AB1723" t="s">
        <v>30</v>
      </c>
      <c r="AC1723">
        <v>0</v>
      </c>
      <c r="AD1723" t="s">
        <v>31</v>
      </c>
      <c r="AE1723">
        <v>0</v>
      </c>
      <c r="AF1723" t="s">
        <v>31</v>
      </c>
      <c r="AG1723">
        <v>0</v>
      </c>
      <c r="AH1723" t="s">
        <v>31</v>
      </c>
      <c r="AI1723">
        <v>0</v>
      </c>
      <c r="AJ1723" t="s">
        <v>31</v>
      </c>
      <c r="AK1723">
        <v>0</v>
      </c>
      <c r="AL1723" t="s">
        <v>31</v>
      </c>
      <c r="AM1723">
        <v>0</v>
      </c>
      <c r="AN1723" t="s">
        <v>31</v>
      </c>
      <c r="AO1723">
        <v>0</v>
      </c>
      <c r="AP1723" t="s">
        <v>31</v>
      </c>
      <c r="AQ1723">
        <v>0</v>
      </c>
    </row>
    <row r="1724" spans="1:43" x14ac:dyDescent="0.2">
      <c r="A1724" t="s">
        <v>381</v>
      </c>
      <c r="B1724" s="3">
        <v>44271</v>
      </c>
      <c r="C1724">
        <v>36</v>
      </c>
      <c r="D1724" t="s">
        <v>385</v>
      </c>
      <c r="E1724" t="s">
        <v>72</v>
      </c>
      <c r="F1724" s="9" t="s">
        <v>74</v>
      </c>
      <c r="G1724" t="s">
        <v>26</v>
      </c>
      <c r="H1724" t="s">
        <v>34</v>
      </c>
      <c r="I1724" t="s">
        <v>35</v>
      </c>
      <c r="J1724" t="s">
        <v>29</v>
      </c>
      <c r="K1724" t="s">
        <v>30</v>
      </c>
      <c r="L1724" t="s">
        <v>29</v>
      </c>
      <c r="M1724" t="s">
        <v>30</v>
      </c>
      <c r="N1724" t="s">
        <v>34</v>
      </c>
      <c r="O1724" t="s">
        <v>35</v>
      </c>
      <c r="P1724" t="s">
        <v>29</v>
      </c>
      <c r="Q1724" t="s">
        <v>30</v>
      </c>
      <c r="R1724" s="1">
        <v>44271.484918981485</v>
      </c>
      <c r="S1724" s="1">
        <v>44271.484953703701</v>
      </c>
      <c r="T1724">
        <v>0</v>
      </c>
      <c r="U1724">
        <v>0</v>
      </c>
      <c r="V1724" s="2">
        <v>0</v>
      </c>
      <c r="W1724">
        <v>0</v>
      </c>
      <c r="X1724" t="s">
        <v>37</v>
      </c>
      <c r="Y1724">
        <v>0</v>
      </c>
      <c r="Z1724" t="s">
        <v>37</v>
      </c>
      <c r="AA1724">
        <v>0</v>
      </c>
      <c r="AB1724" t="s">
        <v>37</v>
      </c>
      <c r="AC1724">
        <v>0</v>
      </c>
      <c r="AD1724" t="s">
        <v>37</v>
      </c>
      <c r="AE1724">
        <v>0</v>
      </c>
      <c r="AF1724" t="s">
        <v>31</v>
      </c>
      <c r="AG1724">
        <v>0</v>
      </c>
      <c r="AH1724" t="s">
        <v>31</v>
      </c>
      <c r="AI1724">
        <v>0</v>
      </c>
      <c r="AJ1724" t="s">
        <v>31</v>
      </c>
      <c r="AK1724">
        <v>0</v>
      </c>
      <c r="AL1724" t="s">
        <v>31</v>
      </c>
      <c r="AM1724">
        <v>0</v>
      </c>
      <c r="AN1724" t="s">
        <v>31</v>
      </c>
      <c r="AO1724">
        <v>0</v>
      </c>
      <c r="AP1724" t="s">
        <v>31</v>
      </c>
      <c r="AQ1724">
        <v>0</v>
      </c>
    </row>
    <row r="1725" spans="1:43" x14ac:dyDescent="0.2">
      <c r="A1725" t="s">
        <v>381</v>
      </c>
      <c r="B1725" s="3">
        <v>44272</v>
      </c>
      <c r="C1725">
        <v>38</v>
      </c>
      <c r="D1725" t="s">
        <v>384</v>
      </c>
      <c r="E1725" t="s">
        <v>72</v>
      </c>
      <c r="F1725" s="9" t="s">
        <v>74</v>
      </c>
      <c r="G1725" t="s">
        <v>26</v>
      </c>
      <c r="H1725" t="s">
        <v>34</v>
      </c>
      <c r="I1725" t="s">
        <v>35</v>
      </c>
      <c r="J1725" t="s">
        <v>29</v>
      </c>
      <c r="K1725" t="s">
        <v>30</v>
      </c>
      <c r="L1725" t="s">
        <v>29</v>
      </c>
      <c r="M1725" t="s">
        <v>30</v>
      </c>
      <c r="N1725" t="s">
        <v>34</v>
      </c>
      <c r="O1725" t="s">
        <v>35</v>
      </c>
      <c r="P1725" t="s">
        <v>29</v>
      </c>
      <c r="Q1725" t="s">
        <v>30</v>
      </c>
      <c r="R1725" s="1">
        <v>44272.456574074073</v>
      </c>
      <c r="S1725" s="1">
        <v>44272.457129629627</v>
      </c>
      <c r="T1725">
        <v>0</v>
      </c>
      <c r="U1725">
        <v>0</v>
      </c>
      <c r="V1725" s="2">
        <v>0</v>
      </c>
      <c r="W1725">
        <v>0</v>
      </c>
      <c r="X1725" t="s">
        <v>37</v>
      </c>
      <c r="Y1725">
        <v>0</v>
      </c>
      <c r="Z1725" t="s">
        <v>37</v>
      </c>
      <c r="AA1725">
        <v>0</v>
      </c>
      <c r="AB1725" t="s">
        <v>37</v>
      </c>
      <c r="AC1725">
        <v>0</v>
      </c>
      <c r="AD1725" t="s">
        <v>37</v>
      </c>
      <c r="AE1725">
        <v>0</v>
      </c>
      <c r="AF1725" t="s">
        <v>31</v>
      </c>
      <c r="AG1725">
        <v>0</v>
      </c>
      <c r="AH1725" t="s">
        <v>31</v>
      </c>
      <c r="AI1725">
        <v>0</v>
      </c>
      <c r="AJ1725" t="s">
        <v>31</v>
      </c>
      <c r="AK1725">
        <v>0</v>
      </c>
      <c r="AL1725" t="s">
        <v>31</v>
      </c>
      <c r="AM1725">
        <v>0</v>
      </c>
      <c r="AN1725" t="s">
        <v>31</v>
      </c>
      <c r="AO1725">
        <v>0</v>
      </c>
      <c r="AP1725" t="s">
        <v>31</v>
      </c>
      <c r="AQ1725">
        <v>0</v>
      </c>
    </row>
    <row r="1726" spans="1:43" x14ac:dyDescent="0.2">
      <c r="A1726" t="s">
        <v>381</v>
      </c>
      <c r="B1726" s="3">
        <v>44273</v>
      </c>
      <c r="C1726">
        <v>40</v>
      </c>
      <c r="D1726" t="s">
        <v>385</v>
      </c>
      <c r="E1726" t="s">
        <v>72</v>
      </c>
      <c r="F1726" s="9" t="s">
        <v>74</v>
      </c>
      <c r="G1726" t="s">
        <v>26</v>
      </c>
      <c r="H1726" t="s">
        <v>34</v>
      </c>
      <c r="I1726" t="s">
        <v>35</v>
      </c>
      <c r="J1726" t="s">
        <v>29</v>
      </c>
      <c r="K1726" t="s">
        <v>30</v>
      </c>
      <c r="L1726" t="s">
        <v>29</v>
      </c>
      <c r="M1726" t="s">
        <v>30</v>
      </c>
      <c r="N1726" t="s">
        <v>34</v>
      </c>
      <c r="O1726" t="s">
        <v>35</v>
      </c>
      <c r="P1726" t="s">
        <v>29</v>
      </c>
      <c r="Q1726" t="s">
        <v>30</v>
      </c>
      <c r="R1726" s="1">
        <v>44273.621863425928</v>
      </c>
      <c r="S1726" s="1">
        <v>44273.621932870374</v>
      </c>
      <c r="T1726">
        <v>0</v>
      </c>
      <c r="U1726">
        <v>0</v>
      </c>
      <c r="V1726" s="2">
        <v>0</v>
      </c>
      <c r="W1726">
        <v>0</v>
      </c>
      <c r="X1726" t="s">
        <v>37</v>
      </c>
      <c r="Y1726">
        <v>0</v>
      </c>
      <c r="Z1726" t="s">
        <v>37</v>
      </c>
      <c r="AA1726">
        <v>0</v>
      </c>
      <c r="AB1726" t="s">
        <v>37</v>
      </c>
      <c r="AC1726">
        <v>0</v>
      </c>
      <c r="AD1726" t="s">
        <v>37</v>
      </c>
      <c r="AE1726">
        <v>0</v>
      </c>
      <c r="AF1726" t="s">
        <v>37</v>
      </c>
      <c r="AG1726">
        <v>0</v>
      </c>
      <c r="AH1726" t="s">
        <v>31</v>
      </c>
      <c r="AI1726">
        <v>0</v>
      </c>
      <c r="AJ1726" t="s">
        <v>31</v>
      </c>
      <c r="AK1726">
        <v>0</v>
      </c>
      <c r="AL1726" t="s">
        <v>31</v>
      </c>
      <c r="AM1726">
        <v>0</v>
      </c>
      <c r="AN1726" t="s">
        <v>31</v>
      </c>
      <c r="AO1726">
        <v>0</v>
      </c>
      <c r="AP1726" t="s">
        <v>31</v>
      </c>
      <c r="AQ1726">
        <v>0</v>
      </c>
    </row>
    <row r="1727" spans="1:43" x14ac:dyDescent="0.2">
      <c r="A1727" t="s">
        <v>381</v>
      </c>
      <c r="B1727" s="3">
        <v>44279</v>
      </c>
      <c r="C1727">
        <v>41</v>
      </c>
      <c r="D1727" t="s">
        <v>384</v>
      </c>
      <c r="E1727" t="s">
        <v>72</v>
      </c>
      <c r="F1727" s="9" t="s">
        <v>74</v>
      </c>
      <c r="G1727" t="s">
        <v>26</v>
      </c>
      <c r="H1727" t="s">
        <v>34</v>
      </c>
      <c r="I1727" t="s">
        <v>35</v>
      </c>
      <c r="J1727" t="s">
        <v>29</v>
      </c>
      <c r="K1727" t="s">
        <v>30</v>
      </c>
      <c r="L1727" t="s">
        <v>29</v>
      </c>
      <c r="M1727" t="s">
        <v>30</v>
      </c>
      <c r="N1727" t="s">
        <v>34</v>
      </c>
      <c r="O1727" t="s">
        <v>35</v>
      </c>
      <c r="P1727" t="s">
        <v>29</v>
      </c>
      <c r="Q1727" t="s">
        <v>30</v>
      </c>
      <c r="R1727" s="1">
        <v>44279.414837962962</v>
      </c>
      <c r="S1727" s="1">
        <v>44279.415127314816</v>
      </c>
      <c r="T1727">
        <v>0</v>
      </c>
      <c r="U1727">
        <v>0</v>
      </c>
      <c r="V1727" s="2">
        <v>0</v>
      </c>
      <c r="W1727">
        <v>0</v>
      </c>
      <c r="X1727" t="s">
        <v>37</v>
      </c>
      <c r="Y1727">
        <v>0</v>
      </c>
      <c r="Z1727" t="s">
        <v>37</v>
      </c>
      <c r="AA1727">
        <v>0</v>
      </c>
      <c r="AB1727" t="s">
        <v>37</v>
      </c>
      <c r="AC1727">
        <v>0</v>
      </c>
      <c r="AD1727" t="s">
        <v>37</v>
      </c>
      <c r="AE1727">
        <v>0</v>
      </c>
      <c r="AF1727" t="s">
        <v>31</v>
      </c>
      <c r="AG1727">
        <v>0</v>
      </c>
      <c r="AH1727" t="s">
        <v>31</v>
      </c>
      <c r="AI1727">
        <v>0</v>
      </c>
      <c r="AJ1727" t="s">
        <v>31</v>
      </c>
      <c r="AK1727">
        <v>0</v>
      </c>
      <c r="AL1727" t="s">
        <v>31</v>
      </c>
      <c r="AM1727">
        <v>0</v>
      </c>
      <c r="AN1727" t="s">
        <v>31</v>
      </c>
      <c r="AO1727">
        <v>0</v>
      </c>
      <c r="AP1727" t="s">
        <v>31</v>
      </c>
      <c r="AQ1727">
        <v>0</v>
      </c>
    </row>
    <row r="1728" spans="1:43" x14ac:dyDescent="0.2">
      <c r="A1728" t="s">
        <v>381</v>
      </c>
      <c r="B1728" s="3">
        <v>44281</v>
      </c>
      <c r="C1728">
        <v>42</v>
      </c>
      <c r="D1728" t="s">
        <v>384</v>
      </c>
      <c r="E1728" t="s">
        <v>72</v>
      </c>
      <c r="F1728" s="9" t="s">
        <v>74</v>
      </c>
      <c r="G1728" t="s">
        <v>26</v>
      </c>
      <c r="H1728" t="s">
        <v>34</v>
      </c>
      <c r="I1728" t="s">
        <v>35</v>
      </c>
      <c r="J1728" t="s">
        <v>29</v>
      </c>
      <c r="K1728" t="s">
        <v>30</v>
      </c>
      <c r="L1728" t="s">
        <v>29</v>
      </c>
      <c r="M1728" t="s">
        <v>30</v>
      </c>
      <c r="N1728" t="s">
        <v>34</v>
      </c>
      <c r="O1728" t="s">
        <v>35</v>
      </c>
      <c r="P1728" t="s">
        <v>29</v>
      </c>
      <c r="Q1728" t="s">
        <v>30</v>
      </c>
      <c r="R1728" s="1">
        <v>44281.461273148147</v>
      </c>
      <c r="S1728" s="1">
        <v>44281.461851851855</v>
      </c>
      <c r="T1728">
        <v>0</v>
      </c>
      <c r="U1728">
        <v>0</v>
      </c>
      <c r="V1728" s="2">
        <v>0</v>
      </c>
      <c r="W1728">
        <v>0</v>
      </c>
      <c r="X1728" t="s">
        <v>37</v>
      </c>
      <c r="Y1728">
        <v>0</v>
      </c>
      <c r="Z1728" t="s">
        <v>37</v>
      </c>
      <c r="AA1728">
        <v>0</v>
      </c>
      <c r="AB1728" t="s">
        <v>37</v>
      </c>
      <c r="AC1728">
        <v>0</v>
      </c>
      <c r="AD1728" t="s">
        <v>37</v>
      </c>
      <c r="AE1728">
        <v>0</v>
      </c>
      <c r="AF1728" t="s">
        <v>31</v>
      </c>
      <c r="AG1728">
        <v>0</v>
      </c>
      <c r="AH1728" t="s">
        <v>31</v>
      </c>
      <c r="AI1728">
        <v>0</v>
      </c>
      <c r="AJ1728" t="s">
        <v>31</v>
      </c>
      <c r="AK1728">
        <v>0</v>
      </c>
      <c r="AL1728" t="s">
        <v>31</v>
      </c>
      <c r="AM1728">
        <v>0</v>
      </c>
      <c r="AN1728" t="s">
        <v>31</v>
      </c>
      <c r="AO1728">
        <v>0</v>
      </c>
      <c r="AP1728" t="s">
        <v>31</v>
      </c>
      <c r="AQ1728">
        <v>0</v>
      </c>
    </row>
    <row r="1729" spans="1:43" x14ac:dyDescent="0.2">
      <c r="A1729" t="s">
        <v>381</v>
      </c>
      <c r="B1729" s="3">
        <v>44284</v>
      </c>
      <c r="C1729">
        <v>43</v>
      </c>
      <c r="D1729" t="s">
        <v>384</v>
      </c>
      <c r="E1729" t="s">
        <v>72</v>
      </c>
      <c r="F1729" s="9" t="s">
        <v>74</v>
      </c>
      <c r="G1729" t="s">
        <v>26</v>
      </c>
      <c r="H1729" t="s">
        <v>34</v>
      </c>
      <c r="I1729" t="s">
        <v>35</v>
      </c>
      <c r="J1729" t="s">
        <v>29</v>
      </c>
      <c r="K1729" t="s">
        <v>30</v>
      </c>
      <c r="L1729" t="s">
        <v>29</v>
      </c>
      <c r="M1729" t="s">
        <v>30</v>
      </c>
      <c r="N1729" t="s">
        <v>34</v>
      </c>
      <c r="O1729" t="s">
        <v>35</v>
      </c>
      <c r="P1729" t="s">
        <v>29</v>
      </c>
      <c r="Q1729" t="s">
        <v>30</v>
      </c>
      <c r="R1729" s="1">
        <v>44284.435231481482</v>
      </c>
      <c r="S1729" s="1">
        <v>44284.435231481482</v>
      </c>
      <c r="T1729">
        <v>1</v>
      </c>
      <c r="U1729">
        <v>1</v>
      </c>
      <c r="V1729" s="2">
        <v>1</v>
      </c>
      <c r="W1729">
        <v>0</v>
      </c>
      <c r="X1729" t="s">
        <v>30</v>
      </c>
      <c r="Y1729">
        <v>0</v>
      </c>
      <c r="Z1729" t="s">
        <v>31</v>
      </c>
      <c r="AA1729">
        <v>0</v>
      </c>
      <c r="AB1729" t="s">
        <v>31</v>
      </c>
      <c r="AC1729">
        <v>0</v>
      </c>
      <c r="AD1729" t="s">
        <v>31</v>
      </c>
      <c r="AE1729">
        <v>0</v>
      </c>
      <c r="AF1729" t="s">
        <v>31</v>
      </c>
      <c r="AG1729">
        <v>0</v>
      </c>
      <c r="AH1729" t="s">
        <v>31</v>
      </c>
      <c r="AI1729">
        <v>0</v>
      </c>
      <c r="AJ1729" t="s">
        <v>31</v>
      </c>
      <c r="AK1729">
        <v>0</v>
      </c>
      <c r="AL1729" t="s">
        <v>31</v>
      </c>
      <c r="AM1729">
        <v>0</v>
      </c>
      <c r="AN1729" t="s">
        <v>31</v>
      </c>
      <c r="AO1729">
        <v>0</v>
      </c>
      <c r="AP1729" t="s">
        <v>31</v>
      </c>
      <c r="AQ1729">
        <v>0</v>
      </c>
    </row>
    <row r="1730" spans="1:43" x14ac:dyDescent="0.2">
      <c r="A1730" t="s">
        <v>381</v>
      </c>
      <c r="B1730" s="3">
        <v>44285</v>
      </c>
      <c r="C1730">
        <v>45</v>
      </c>
      <c r="D1730" t="s">
        <v>385</v>
      </c>
      <c r="E1730" t="s">
        <v>72</v>
      </c>
      <c r="F1730" s="9" t="s">
        <v>74</v>
      </c>
      <c r="G1730" t="s">
        <v>26</v>
      </c>
      <c r="H1730" t="s">
        <v>34</v>
      </c>
      <c r="I1730" t="s">
        <v>35</v>
      </c>
      <c r="J1730" t="s">
        <v>29</v>
      </c>
      <c r="K1730" t="s">
        <v>30</v>
      </c>
      <c r="L1730" t="s">
        <v>29</v>
      </c>
      <c r="M1730" t="s">
        <v>30</v>
      </c>
      <c r="N1730" t="s">
        <v>34</v>
      </c>
      <c r="O1730" t="s">
        <v>35</v>
      </c>
      <c r="P1730" t="s">
        <v>29</v>
      </c>
      <c r="Q1730" t="s">
        <v>30</v>
      </c>
      <c r="R1730" s="1">
        <v>44285.569467592592</v>
      </c>
      <c r="S1730" s="1">
        <v>44285.569502314815</v>
      </c>
      <c r="T1730">
        <v>0</v>
      </c>
      <c r="U1730">
        <v>0</v>
      </c>
      <c r="V1730" s="2">
        <v>0</v>
      </c>
      <c r="W1730">
        <v>0</v>
      </c>
      <c r="X1730" t="s">
        <v>37</v>
      </c>
      <c r="Y1730">
        <v>0</v>
      </c>
      <c r="Z1730" t="s">
        <v>37</v>
      </c>
      <c r="AA1730">
        <v>0</v>
      </c>
      <c r="AB1730" t="s">
        <v>37</v>
      </c>
      <c r="AC1730">
        <v>0</v>
      </c>
      <c r="AD1730" t="s">
        <v>37</v>
      </c>
      <c r="AE1730">
        <v>0</v>
      </c>
      <c r="AF1730" t="s">
        <v>31</v>
      </c>
      <c r="AG1730">
        <v>0</v>
      </c>
      <c r="AH1730" t="s">
        <v>31</v>
      </c>
      <c r="AI1730">
        <v>0</v>
      </c>
      <c r="AJ1730" t="s">
        <v>31</v>
      </c>
      <c r="AK1730">
        <v>0</v>
      </c>
      <c r="AL1730" t="s">
        <v>31</v>
      </c>
      <c r="AM1730">
        <v>0</v>
      </c>
      <c r="AN1730" t="s">
        <v>31</v>
      </c>
      <c r="AO1730">
        <v>0</v>
      </c>
      <c r="AP1730" t="s">
        <v>31</v>
      </c>
      <c r="AQ1730">
        <v>0</v>
      </c>
    </row>
    <row r="1731" spans="1:43" x14ac:dyDescent="0.2">
      <c r="A1731" t="s">
        <v>381</v>
      </c>
      <c r="B1731" s="3">
        <v>44286</v>
      </c>
      <c r="C1731">
        <v>46</v>
      </c>
      <c r="D1731" t="s">
        <v>384</v>
      </c>
      <c r="E1731" t="s">
        <v>72</v>
      </c>
      <c r="F1731" s="9" t="s">
        <v>74</v>
      </c>
      <c r="G1731" t="s">
        <v>26</v>
      </c>
      <c r="H1731" t="s">
        <v>34</v>
      </c>
      <c r="I1731" t="s">
        <v>35</v>
      </c>
      <c r="J1731" t="s">
        <v>29</v>
      </c>
      <c r="K1731" t="s">
        <v>30</v>
      </c>
      <c r="L1731" t="s">
        <v>29</v>
      </c>
      <c r="M1731" t="s">
        <v>30</v>
      </c>
      <c r="N1731" t="s">
        <v>34</v>
      </c>
      <c r="O1731" t="s">
        <v>35</v>
      </c>
      <c r="P1731" t="s">
        <v>29</v>
      </c>
      <c r="Q1731" t="s">
        <v>30</v>
      </c>
      <c r="R1731" s="1">
        <v>44286.447916666664</v>
      </c>
      <c r="S1731" s="1">
        <v>44286.448414351849</v>
      </c>
      <c r="T1731">
        <v>0</v>
      </c>
      <c r="U1731">
        <v>0</v>
      </c>
      <c r="V1731" s="2">
        <v>0</v>
      </c>
      <c r="W1731">
        <v>0</v>
      </c>
      <c r="X1731" t="s">
        <v>37</v>
      </c>
      <c r="Y1731">
        <v>0</v>
      </c>
      <c r="Z1731" t="s">
        <v>37</v>
      </c>
      <c r="AA1731">
        <v>0</v>
      </c>
      <c r="AB1731" t="s">
        <v>37</v>
      </c>
      <c r="AC1731">
        <v>0</v>
      </c>
      <c r="AD1731" t="s">
        <v>37</v>
      </c>
      <c r="AE1731">
        <v>0</v>
      </c>
      <c r="AF1731" t="s">
        <v>31</v>
      </c>
      <c r="AG1731">
        <v>0</v>
      </c>
      <c r="AH1731" t="s">
        <v>31</v>
      </c>
      <c r="AI1731">
        <v>0</v>
      </c>
      <c r="AJ1731" t="s">
        <v>31</v>
      </c>
      <c r="AK1731">
        <v>0</v>
      </c>
      <c r="AL1731" t="s">
        <v>31</v>
      </c>
      <c r="AM1731">
        <v>0</v>
      </c>
      <c r="AN1731" t="s">
        <v>31</v>
      </c>
      <c r="AO1731">
        <v>0</v>
      </c>
      <c r="AP1731" t="s">
        <v>31</v>
      </c>
      <c r="AQ1731">
        <v>0</v>
      </c>
    </row>
    <row r="1732" spans="1:43" x14ac:dyDescent="0.2">
      <c r="A1732" t="s">
        <v>381</v>
      </c>
      <c r="B1732" s="3">
        <v>44287</v>
      </c>
      <c r="C1732">
        <v>47</v>
      </c>
      <c r="D1732" t="s">
        <v>385</v>
      </c>
      <c r="E1732" t="s">
        <v>72</v>
      </c>
      <c r="F1732" s="9" t="s">
        <v>74</v>
      </c>
      <c r="G1732" t="s">
        <v>26</v>
      </c>
      <c r="H1732" t="s">
        <v>34</v>
      </c>
      <c r="I1732" t="s">
        <v>35</v>
      </c>
      <c r="J1732" t="s">
        <v>29</v>
      </c>
      <c r="K1732" t="s">
        <v>30</v>
      </c>
      <c r="L1732" t="s">
        <v>29</v>
      </c>
      <c r="M1732" t="s">
        <v>30</v>
      </c>
      <c r="N1732" t="s">
        <v>34</v>
      </c>
      <c r="O1732" t="s">
        <v>35</v>
      </c>
      <c r="P1732" t="s">
        <v>29</v>
      </c>
      <c r="Q1732" t="s">
        <v>30</v>
      </c>
      <c r="R1732" s="1">
        <v>44287.464918981481</v>
      </c>
      <c r="S1732" s="1">
        <v>44287.464930555558</v>
      </c>
      <c r="T1732">
        <v>0</v>
      </c>
      <c r="U1732">
        <v>0</v>
      </c>
      <c r="V1732" s="2">
        <v>0</v>
      </c>
      <c r="W1732">
        <v>0</v>
      </c>
      <c r="X1732" t="s">
        <v>37</v>
      </c>
      <c r="Y1732">
        <v>0</v>
      </c>
      <c r="Z1732" t="s">
        <v>37</v>
      </c>
      <c r="AA1732">
        <v>0</v>
      </c>
      <c r="AB1732" t="s">
        <v>37</v>
      </c>
      <c r="AC1732">
        <v>0</v>
      </c>
      <c r="AD1732" t="s">
        <v>37</v>
      </c>
      <c r="AE1732">
        <v>0</v>
      </c>
      <c r="AF1732" t="s">
        <v>37</v>
      </c>
      <c r="AG1732">
        <v>0</v>
      </c>
      <c r="AH1732" t="s">
        <v>31</v>
      </c>
      <c r="AI1732">
        <v>0</v>
      </c>
      <c r="AJ1732" t="s">
        <v>31</v>
      </c>
      <c r="AK1732">
        <v>0</v>
      </c>
      <c r="AL1732" t="s">
        <v>31</v>
      </c>
      <c r="AM1732">
        <v>0</v>
      </c>
      <c r="AN1732" t="s">
        <v>31</v>
      </c>
      <c r="AO1732">
        <v>0</v>
      </c>
      <c r="AP1732" t="s">
        <v>31</v>
      </c>
      <c r="AQ1732">
        <v>0</v>
      </c>
    </row>
    <row r="1733" spans="1:43" x14ac:dyDescent="0.2">
      <c r="A1733" t="s">
        <v>381</v>
      </c>
      <c r="B1733" s="3">
        <v>44288</v>
      </c>
      <c r="C1733">
        <v>49</v>
      </c>
      <c r="D1733" t="s">
        <v>384</v>
      </c>
      <c r="E1733" t="s">
        <v>72</v>
      </c>
      <c r="F1733" s="9" t="s">
        <v>74</v>
      </c>
      <c r="G1733" t="s">
        <v>26</v>
      </c>
      <c r="H1733" t="s">
        <v>34</v>
      </c>
      <c r="I1733" t="s">
        <v>35</v>
      </c>
      <c r="J1733" t="s">
        <v>29</v>
      </c>
      <c r="K1733" t="s">
        <v>30</v>
      </c>
      <c r="L1733" t="s">
        <v>29</v>
      </c>
      <c r="M1733" t="s">
        <v>30</v>
      </c>
      <c r="N1733" t="s">
        <v>34</v>
      </c>
      <c r="O1733" t="s">
        <v>35</v>
      </c>
      <c r="P1733" t="s">
        <v>29</v>
      </c>
      <c r="Q1733" t="s">
        <v>30</v>
      </c>
      <c r="R1733" s="1">
        <v>44288.411666666667</v>
      </c>
      <c r="S1733" s="1">
        <v>44288.411956018521</v>
      </c>
      <c r="T1733">
        <v>0</v>
      </c>
      <c r="U1733">
        <v>0</v>
      </c>
      <c r="V1733" s="2">
        <v>0</v>
      </c>
      <c r="W1733">
        <v>0</v>
      </c>
      <c r="X1733" t="s">
        <v>37</v>
      </c>
      <c r="Y1733">
        <v>0</v>
      </c>
      <c r="Z1733" t="s">
        <v>37</v>
      </c>
      <c r="AA1733">
        <v>0</v>
      </c>
      <c r="AB1733" t="s">
        <v>37</v>
      </c>
      <c r="AC1733">
        <v>0</v>
      </c>
      <c r="AD1733" t="s">
        <v>31</v>
      </c>
      <c r="AE1733">
        <v>0</v>
      </c>
      <c r="AF1733" t="s">
        <v>31</v>
      </c>
      <c r="AG1733">
        <v>0</v>
      </c>
      <c r="AH1733" t="s">
        <v>31</v>
      </c>
      <c r="AI1733">
        <v>0</v>
      </c>
      <c r="AJ1733" t="s">
        <v>31</v>
      </c>
      <c r="AK1733">
        <v>0</v>
      </c>
      <c r="AL1733" t="s">
        <v>31</v>
      </c>
      <c r="AM1733">
        <v>0</v>
      </c>
      <c r="AN1733" t="s">
        <v>31</v>
      </c>
      <c r="AO1733">
        <v>0</v>
      </c>
      <c r="AP1733" t="s">
        <v>31</v>
      </c>
      <c r="AQ1733">
        <v>0</v>
      </c>
    </row>
    <row r="1734" spans="1:43" x14ac:dyDescent="0.2">
      <c r="A1734" t="s">
        <v>381</v>
      </c>
      <c r="B1734" s="3">
        <v>44291</v>
      </c>
      <c r="C1734">
        <v>50</v>
      </c>
      <c r="D1734" t="s">
        <v>384</v>
      </c>
      <c r="E1734" t="s">
        <v>72</v>
      </c>
      <c r="F1734" s="9" t="s">
        <v>74</v>
      </c>
      <c r="G1734" t="s">
        <v>26</v>
      </c>
      <c r="H1734" t="s">
        <v>34</v>
      </c>
      <c r="I1734" t="s">
        <v>35</v>
      </c>
      <c r="J1734" t="s">
        <v>29</v>
      </c>
      <c r="K1734" t="s">
        <v>30</v>
      </c>
      <c r="L1734" t="s">
        <v>29</v>
      </c>
      <c r="M1734" t="s">
        <v>30</v>
      </c>
      <c r="N1734" t="s">
        <v>34</v>
      </c>
      <c r="O1734" t="s">
        <v>35</v>
      </c>
      <c r="P1734" t="s">
        <v>29</v>
      </c>
      <c r="Q1734" t="s">
        <v>30</v>
      </c>
      <c r="R1734" s="1">
        <v>44291.416076388887</v>
      </c>
      <c r="S1734" s="1">
        <v>44291.416377314818</v>
      </c>
      <c r="T1734">
        <v>0</v>
      </c>
      <c r="U1734">
        <v>0</v>
      </c>
      <c r="V1734" s="2">
        <v>0</v>
      </c>
      <c r="W1734">
        <v>0</v>
      </c>
      <c r="X1734" t="s">
        <v>37</v>
      </c>
      <c r="Y1734">
        <v>0</v>
      </c>
      <c r="Z1734" t="s">
        <v>37</v>
      </c>
      <c r="AA1734">
        <v>0</v>
      </c>
      <c r="AB1734" t="s">
        <v>37</v>
      </c>
      <c r="AC1734">
        <v>0</v>
      </c>
      <c r="AD1734" t="s">
        <v>31</v>
      </c>
      <c r="AE1734">
        <v>0</v>
      </c>
      <c r="AF1734" t="s">
        <v>31</v>
      </c>
      <c r="AG1734">
        <v>0</v>
      </c>
      <c r="AH1734" t="s">
        <v>31</v>
      </c>
      <c r="AI1734">
        <v>0</v>
      </c>
      <c r="AJ1734" t="s">
        <v>31</v>
      </c>
      <c r="AK1734">
        <v>0</v>
      </c>
      <c r="AL1734" t="s">
        <v>31</v>
      </c>
      <c r="AM1734">
        <v>0</v>
      </c>
      <c r="AN1734" t="s">
        <v>31</v>
      </c>
      <c r="AO1734">
        <v>0</v>
      </c>
      <c r="AP1734" t="s">
        <v>31</v>
      </c>
      <c r="AQ1734">
        <v>0</v>
      </c>
    </row>
    <row r="1735" spans="1:43" x14ac:dyDescent="0.2">
      <c r="A1735" t="s">
        <v>381</v>
      </c>
      <c r="B1735" s="3">
        <v>44292</v>
      </c>
      <c r="C1735">
        <v>51</v>
      </c>
      <c r="D1735" t="s">
        <v>385</v>
      </c>
      <c r="E1735" t="s">
        <v>72</v>
      </c>
      <c r="F1735" s="9" t="s">
        <v>74</v>
      </c>
      <c r="G1735" t="s">
        <v>26</v>
      </c>
      <c r="H1735" t="s">
        <v>34</v>
      </c>
      <c r="I1735" t="s">
        <v>35</v>
      </c>
      <c r="J1735" t="s">
        <v>29</v>
      </c>
      <c r="K1735" t="s">
        <v>30</v>
      </c>
      <c r="L1735" t="s">
        <v>29</v>
      </c>
      <c r="M1735" t="s">
        <v>30</v>
      </c>
      <c r="N1735" t="s">
        <v>34</v>
      </c>
      <c r="O1735" t="s">
        <v>35</v>
      </c>
      <c r="P1735" t="s">
        <v>29</v>
      </c>
      <c r="Q1735" t="s">
        <v>30</v>
      </c>
      <c r="R1735" s="1">
        <v>44292.484131944446</v>
      </c>
      <c r="S1735" s="1">
        <v>44292.484143518515</v>
      </c>
      <c r="T1735">
        <v>0</v>
      </c>
      <c r="U1735">
        <v>0</v>
      </c>
      <c r="V1735" s="2">
        <v>0</v>
      </c>
      <c r="W1735">
        <v>0</v>
      </c>
      <c r="X1735" t="s">
        <v>37</v>
      </c>
      <c r="Y1735">
        <v>0</v>
      </c>
      <c r="Z1735" t="s">
        <v>37</v>
      </c>
      <c r="AA1735">
        <v>0</v>
      </c>
      <c r="AB1735" t="s">
        <v>37</v>
      </c>
      <c r="AC1735">
        <v>0</v>
      </c>
      <c r="AD1735" t="s">
        <v>37</v>
      </c>
      <c r="AE1735">
        <v>0</v>
      </c>
      <c r="AF1735" t="s">
        <v>31</v>
      </c>
      <c r="AG1735">
        <v>0</v>
      </c>
      <c r="AH1735" t="s">
        <v>31</v>
      </c>
      <c r="AI1735">
        <v>0</v>
      </c>
      <c r="AJ1735" t="s">
        <v>31</v>
      </c>
      <c r="AK1735">
        <v>0</v>
      </c>
      <c r="AL1735" t="s">
        <v>31</v>
      </c>
      <c r="AM1735">
        <v>0</v>
      </c>
      <c r="AN1735" t="s">
        <v>31</v>
      </c>
      <c r="AO1735">
        <v>0</v>
      </c>
      <c r="AP1735" t="s">
        <v>31</v>
      </c>
      <c r="AQ1735">
        <v>0</v>
      </c>
    </row>
    <row r="1736" spans="1:43" x14ac:dyDescent="0.2">
      <c r="A1736" t="s">
        <v>381</v>
      </c>
      <c r="B1736" s="3">
        <v>44293</v>
      </c>
      <c r="C1736">
        <v>53</v>
      </c>
      <c r="D1736" t="s">
        <v>384</v>
      </c>
      <c r="E1736" t="s">
        <v>72</v>
      </c>
      <c r="F1736" s="9" t="s">
        <v>74</v>
      </c>
      <c r="G1736" t="s">
        <v>26</v>
      </c>
      <c r="H1736" t="s">
        <v>34</v>
      </c>
      <c r="I1736" t="s">
        <v>35</v>
      </c>
      <c r="J1736" t="s">
        <v>29</v>
      </c>
      <c r="K1736" t="s">
        <v>30</v>
      </c>
      <c r="L1736" t="s">
        <v>29</v>
      </c>
      <c r="M1736" t="s">
        <v>30</v>
      </c>
      <c r="N1736" t="s">
        <v>34</v>
      </c>
      <c r="O1736" t="s">
        <v>35</v>
      </c>
      <c r="P1736" t="s">
        <v>29</v>
      </c>
      <c r="Q1736" t="s">
        <v>30</v>
      </c>
      <c r="R1736" s="1">
        <v>44293.41847222222</v>
      </c>
      <c r="S1736" s="1">
        <v>44293.418969907405</v>
      </c>
      <c r="T1736">
        <v>1</v>
      </c>
      <c r="U1736">
        <v>1</v>
      </c>
      <c r="V1736" s="2">
        <v>1</v>
      </c>
      <c r="W1736">
        <v>0</v>
      </c>
      <c r="X1736" t="s">
        <v>37</v>
      </c>
      <c r="Y1736">
        <v>0</v>
      </c>
      <c r="Z1736" t="s">
        <v>37</v>
      </c>
      <c r="AA1736">
        <v>0</v>
      </c>
      <c r="AB1736" t="s">
        <v>37</v>
      </c>
      <c r="AC1736">
        <v>0</v>
      </c>
      <c r="AD1736" t="s">
        <v>30</v>
      </c>
      <c r="AE1736">
        <v>0</v>
      </c>
      <c r="AF1736" t="s">
        <v>31</v>
      </c>
      <c r="AG1736">
        <v>0</v>
      </c>
      <c r="AH1736" t="s">
        <v>31</v>
      </c>
      <c r="AI1736">
        <v>0</v>
      </c>
      <c r="AJ1736" t="s">
        <v>31</v>
      </c>
      <c r="AK1736">
        <v>0</v>
      </c>
      <c r="AL1736" t="s">
        <v>31</v>
      </c>
      <c r="AM1736">
        <v>0</v>
      </c>
      <c r="AN1736" t="s">
        <v>31</v>
      </c>
      <c r="AO1736">
        <v>0</v>
      </c>
      <c r="AP1736" t="s">
        <v>31</v>
      </c>
      <c r="AQ1736">
        <v>0</v>
      </c>
    </row>
    <row r="1737" spans="1:43" x14ac:dyDescent="0.2">
      <c r="A1737" t="s">
        <v>381</v>
      </c>
      <c r="B1737" s="3">
        <v>44294</v>
      </c>
      <c r="C1737">
        <v>55</v>
      </c>
      <c r="D1737" t="s">
        <v>385</v>
      </c>
      <c r="E1737" t="s">
        <v>72</v>
      </c>
      <c r="F1737" s="9" t="s">
        <v>74</v>
      </c>
      <c r="G1737" t="s">
        <v>26</v>
      </c>
      <c r="H1737" t="s">
        <v>34</v>
      </c>
      <c r="I1737" t="s">
        <v>35</v>
      </c>
      <c r="J1737" t="s">
        <v>29</v>
      </c>
      <c r="K1737" t="s">
        <v>30</v>
      </c>
      <c r="L1737" t="s">
        <v>29</v>
      </c>
      <c r="M1737" t="s">
        <v>30</v>
      </c>
      <c r="N1737" t="s">
        <v>34</v>
      </c>
      <c r="O1737" t="s">
        <v>35</v>
      </c>
      <c r="P1737" t="s">
        <v>29</v>
      </c>
      <c r="Q1737" t="s">
        <v>30</v>
      </c>
      <c r="R1737" s="1">
        <v>44294.631111111114</v>
      </c>
      <c r="S1737" s="1">
        <v>44294.631157407406</v>
      </c>
      <c r="T1737">
        <v>0</v>
      </c>
      <c r="U1737">
        <v>0</v>
      </c>
      <c r="V1737" s="2">
        <v>0</v>
      </c>
      <c r="W1737">
        <v>0</v>
      </c>
      <c r="X1737" t="s">
        <v>37</v>
      </c>
      <c r="Y1737">
        <v>0</v>
      </c>
      <c r="Z1737" t="s">
        <v>37</v>
      </c>
      <c r="AA1737">
        <v>0</v>
      </c>
      <c r="AB1737" t="s">
        <v>37</v>
      </c>
      <c r="AC1737">
        <v>0</v>
      </c>
      <c r="AD1737" t="s">
        <v>37</v>
      </c>
      <c r="AE1737">
        <v>0</v>
      </c>
      <c r="AF1737" t="s">
        <v>31</v>
      </c>
      <c r="AG1737">
        <v>0</v>
      </c>
      <c r="AH1737" t="s">
        <v>31</v>
      </c>
      <c r="AI1737">
        <v>0</v>
      </c>
      <c r="AJ1737" t="s">
        <v>31</v>
      </c>
      <c r="AK1737">
        <v>0</v>
      </c>
      <c r="AL1737" t="s">
        <v>31</v>
      </c>
      <c r="AM1737">
        <v>0</v>
      </c>
      <c r="AN1737" t="s">
        <v>31</v>
      </c>
      <c r="AO1737">
        <v>0</v>
      </c>
      <c r="AP1737" t="s">
        <v>31</v>
      </c>
      <c r="AQ1737">
        <v>0</v>
      </c>
    </row>
    <row r="1738" spans="1:43" x14ac:dyDescent="0.2">
      <c r="A1738" t="s">
        <v>381</v>
      </c>
      <c r="B1738" s="3">
        <v>44295</v>
      </c>
      <c r="C1738">
        <v>56</v>
      </c>
      <c r="D1738" t="s">
        <v>384</v>
      </c>
      <c r="E1738" t="s">
        <v>72</v>
      </c>
      <c r="F1738" s="9" t="s">
        <v>74</v>
      </c>
      <c r="G1738" t="s">
        <v>26</v>
      </c>
      <c r="H1738" t="s">
        <v>34</v>
      </c>
      <c r="I1738" t="s">
        <v>35</v>
      </c>
      <c r="J1738" t="s">
        <v>29</v>
      </c>
      <c r="K1738" t="s">
        <v>30</v>
      </c>
      <c r="L1738" t="s">
        <v>29</v>
      </c>
      <c r="M1738" t="s">
        <v>30</v>
      </c>
      <c r="N1738" t="s">
        <v>34</v>
      </c>
      <c r="O1738" t="s">
        <v>35</v>
      </c>
      <c r="P1738" t="s">
        <v>29</v>
      </c>
      <c r="Q1738" t="s">
        <v>30</v>
      </c>
      <c r="R1738" s="1">
        <v>44295.426724537036</v>
      </c>
      <c r="S1738" s="1">
        <v>44295.427083333336</v>
      </c>
      <c r="T1738">
        <v>0</v>
      </c>
      <c r="U1738">
        <v>0</v>
      </c>
      <c r="V1738" s="2">
        <v>0</v>
      </c>
      <c r="W1738">
        <v>0</v>
      </c>
      <c r="X1738" t="s">
        <v>37</v>
      </c>
      <c r="Y1738">
        <v>0</v>
      </c>
      <c r="Z1738" t="s">
        <v>37</v>
      </c>
      <c r="AA1738">
        <v>0</v>
      </c>
      <c r="AB1738" t="s">
        <v>37</v>
      </c>
      <c r="AC1738">
        <v>0</v>
      </c>
      <c r="AD1738" t="s">
        <v>37</v>
      </c>
      <c r="AE1738">
        <v>0</v>
      </c>
      <c r="AF1738" t="s">
        <v>31</v>
      </c>
      <c r="AG1738">
        <v>0</v>
      </c>
      <c r="AH1738" t="s">
        <v>31</v>
      </c>
      <c r="AI1738">
        <v>0</v>
      </c>
      <c r="AJ1738" t="s">
        <v>31</v>
      </c>
      <c r="AK1738">
        <v>0</v>
      </c>
      <c r="AL1738" t="s">
        <v>31</v>
      </c>
      <c r="AM1738">
        <v>0</v>
      </c>
      <c r="AN1738" t="s">
        <v>31</v>
      </c>
      <c r="AO1738">
        <v>0</v>
      </c>
      <c r="AP1738" t="s">
        <v>31</v>
      </c>
      <c r="AQ1738">
        <v>0</v>
      </c>
    </row>
    <row r="1739" spans="1:43" x14ac:dyDescent="0.2">
      <c r="A1739" t="s">
        <v>381</v>
      </c>
      <c r="B1739" s="3">
        <v>44299</v>
      </c>
      <c r="C1739">
        <v>58</v>
      </c>
      <c r="D1739" t="s">
        <v>385</v>
      </c>
      <c r="E1739" t="s">
        <v>72</v>
      </c>
      <c r="F1739" s="9" t="s">
        <v>74</v>
      </c>
      <c r="G1739" t="s">
        <v>26</v>
      </c>
      <c r="H1739" t="s">
        <v>34</v>
      </c>
      <c r="I1739" t="s">
        <v>35</v>
      </c>
      <c r="J1739" t="s">
        <v>29</v>
      </c>
      <c r="K1739" t="s">
        <v>30</v>
      </c>
      <c r="L1739" t="s">
        <v>29</v>
      </c>
      <c r="M1739" t="s">
        <v>30</v>
      </c>
      <c r="N1739" t="s">
        <v>34</v>
      </c>
      <c r="O1739" t="s">
        <v>35</v>
      </c>
      <c r="P1739" t="s">
        <v>29</v>
      </c>
      <c r="Q1739" t="s">
        <v>30</v>
      </c>
      <c r="R1739" s="1">
        <v>44299.463321759256</v>
      </c>
      <c r="S1739" s="1">
        <v>44299.463634259257</v>
      </c>
      <c r="T1739">
        <v>0</v>
      </c>
      <c r="U1739">
        <v>0</v>
      </c>
      <c r="V1739" s="2">
        <v>0</v>
      </c>
      <c r="W1739">
        <v>0</v>
      </c>
      <c r="X1739" t="s">
        <v>37</v>
      </c>
      <c r="Y1739">
        <v>0</v>
      </c>
      <c r="Z1739" t="s">
        <v>37</v>
      </c>
      <c r="AA1739">
        <v>0</v>
      </c>
      <c r="AB1739" t="s">
        <v>37</v>
      </c>
      <c r="AC1739">
        <v>0</v>
      </c>
      <c r="AD1739" t="s">
        <v>37</v>
      </c>
      <c r="AE1739">
        <v>0</v>
      </c>
      <c r="AF1739" t="s">
        <v>31</v>
      </c>
      <c r="AG1739">
        <v>0</v>
      </c>
      <c r="AH1739" t="s">
        <v>31</v>
      </c>
      <c r="AI1739">
        <v>0</v>
      </c>
      <c r="AJ1739" t="s">
        <v>31</v>
      </c>
      <c r="AK1739">
        <v>0</v>
      </c>
      <c r="AL1739" t="s">
        <v>31</v>
      </c>
      <c r="AM1739">
        <v>0</v>
      </c>
      <c r="AN1739" t="s">
        <v>31</v>
      </c>
      <c r="AO1739">
        <v>0</v>
      </c>
      <c r="AP1739" t="s">
        <v>31</v>
      </c>
      <c r="AQ1739">
        <v>0</v>
      </c>
    </row>
    <row r="1740" spans="1:43" x14ac:dyDescent="0.2">
      <c r="A1740" t="s">
        <v>381</v>
      </c>
      <c r="B1740" s="3">
        <v>44299</v>
      </c>
      <c r="C1740">
        <v>59</v>
      </c>
      <c r="D1740" t="s">
        <v>385</v>
      </c>
      <c r="E1740" t="s">
        <v>72</v>
      </c>
      <c r="F1740" s="9" t="s">
        <v>74</v>
      </c>
      <c r="G1740" t="s">
        <v>26</v>
      </c>
      <c r="H1740" t="s">
        <v>34</v>
      </c>
      <c r="I1740" t="s">
        <v>35</v>
      </c>
      <c r="J1740" t="s">
        <v>29</v>
      </c>
      <c r="K1740" t="s">
        <v>30</v>
      </c>
      <c r="L1740" t="s">
        <v>29</v>
      </c>
      <c r="M1740" t="s">
        <v>30</v>
      </c>
      <c r="N1740" t="s">
        <v>34</v>
      </c>
      <c r="O1740" t="s">
        <v>35</v>
      </c>
      <c r="P1740" t="s">
        <v>29</v>
      </c>
      <c r="Q1740" t="s">
        <v>30</v>
      </c>
      <c r="R1740" s="1">
        <v>44299.570439814815</v>
      </c>
      <c r="S1740" s="1">
        <v>44299.570451388892</v>
      </c>
      <c r="T1740">
        <v>0</v>
      </c>
      <c r="U1740">
        <v>0</v>
      </c>
      <c r="V1740" s="2">
        <v>0</v>
      </c>
      <c r="W1740">
        <v>0</v>
      </c>
      <c r="X1740" t="s">
        <v>37</v>
      </c>
      <c r="Y1740">
        <v>0</v>
      </c>
      <c r="Z1740" t="s">
        <v>37</v>
      </c>
      <c r="AA1740">
        <v>0</v>
      </c>
      <c r="AB1740" t="s">
        <v>37</v>
      </c>
      <c r="AC1740">
        <v>0</v>
      </c>
      <c r="AD1740" t="s">
        <v>31</v>
      </c>
      <c r="AE1740">
        <v>0</v>
      </c>
      <c r="AF1740" t="s">
        <v>31</v>
      </c>
      <c r="AG1740">
        <v>0</v>
      </c>
      <c r="AH1740" t="s">
        <v>31</v>
      </c>
      <c r="AI1740">
        <v>0</v>
      </c>
      <c r="AJ1740" t="s">
        <v>31</v>
      </c>
      <c r="AK1740">
        <v>0</v>
      </c>
      <c r="AL1740" t="s">
        <v>31</v>
      </c>
      <c r="AM1740">
        <v>0</v>
      </c>
      <c r="AN1740" t="s">
        <v>31</v>
      </c>
      <c r="AO1740">
        <v>0</v>
      </c>
      <c r="AP1740" t="s">
        <v>31</v>
      </c>
      <c r="AQ1740">
        <v>0</v>
      </c>
    </row>
    <row r="1741" spans="1:43" x14ac:dyDescent="0.2">
      <c r="A1741" t="s">
        <v>381</v>
      </c>
      <c r="B1741" s="3">
        <v>44302</v>
      </c>
      <c r="C1741">
        <v>64</v>
      </c>
      <c r="D1741" t="s">
        <v>390</v>
      </c>
      <c r="E1741" t="s">
        <v>72</v>
      </c>
      <c r="F1741" s="9" t="s">
        <v>74</v>
      </c>
      <c r="G1741" t="s">
        <v>26</v>
      </c>
      <c r="H1741" t="s">
        <v>34</v>
      </c>
      <c r="I1741" t="s">
        <v>35</v>
      </c>
      <c r="J1741" t="s">
        <v>29</v>
      </c>
      <c r="K1741" t="s">
        <v>30</v>
      </c>
      <c r="L1741" t="s">
        <v>29</v>
      </c>
      <c r="M1741" t="s">
        <v>30</v>
      </c>
      <c r="N1741" t="s">
        <v>34</v>
      </c>
      <c r="O1741" t="s">
        <v>35</v>
      </c>
      <c r="P1741" t="s">
        <v>29</v>
      </c>
      <c r="Q1741" t="s">
        <v>30</v>
      </c>
      <c r="R1741" s="1">
        <v>44302.465115740742</v>
      </c>
      <c r="S1741" s="1">
        <v>44302.465127314812</v>
      </c>
      <c r="T1741">
        <v>0</v>
      </c>
      <c r="U1741">
        <v>0</v>
      </c>
      <c r="V1741" s="2">
        <v>0</v>
      </c>
      <c r="W1741">
        <v>0</v>
      </c>
      <c r="X1741" t="s">
        <v>37</v>
      </c>
      <c r="Y1741">
        <v>0</v>
      </c>
      <c r="Z1741" t="s">
        <v>37</v>
      </c>
      <c r="AA1741">
        <v>0</v>
      </c>
      <c r="AB1741" t="s">
        <v>37</v>
      </c>
      <c r="AC1741">
        <v>0</v>
      </c>
      <c r="AD1741" t="s">
        <v>37</v>
      </c>
      <c r="AE1741">
        <v>0</v>
      </c>
      <c r="AF1741" t="s">
        <v>37</v>
      </c>
      <c r="AG1741">
        <v>0</v>
      </c>
      <c r="AH1741" t="s">
        <v>31</v>
      </c>
      <c r="AI1741">
        <v>0</v>
      </c>
      <c r="AJ1741" t="s">
        <v>31</v>
      </c>
      <c r="AK1741">
        <v>0</v>
      </c>
      <c r="AL1741" t="s">
        <v>31</v>
      </c>
      <c r="AM1741">
        <v>0</v>
      </c>
      <c r="AN1741" t="s">
        <v>31</v>
      </c>
      <c r="AO1741">
        <v>0</v>
      </c>
      <c r="AP1741" t="s">
        <v>31</v>
      </c>
      <c r="AQ1741">
        <v>0</v>
      </c>
    </row>
    <row r="1742" spans="1:43" x14ac:dyDescent="0.2">
      <c r="A1742" t="s">
        <v>381</v>
      </c>
      <c r="B1742" s="3">
        <v>44308</v>
      </c>
      <c r="C1742">
        <v>69</v>
      </c>
      <c r="D1742" t="s">
        <v>385</v>
      </c>
      <c r="E1742" t="s">
        <v>72</v>
      </c>
      <c r="F1742" s="9" t="s">
        <v>74</v>
      </c>
      <c r="G1742" t="s">
        <v>26</v>
      </c>
      <c r="H1742" t="s">
        <v>34</v>
      </c>
      <c r="I1742" t="s">
        <v>35</v>
      </c>
      <c r="J1742" t="s">
        <v>29</v>
      </c>
      <c r="K1742" t="s">
        <v>30</v>
      </c>
      <c r="L1742" t="s">
        <v>29</v>
      </c>
      <c r="M1742" t="s">
        <v>30</v>
      </c>
      <c r="N1742" t="s">
        <v>34</v>
      </c>
      <c r="O1742" t="s">
        <v>35</v>
      </c>
      <c r="P1742" t="s">
        <v>29</v>
      </c>
      <c r="Q1742" t="s">
        <v>30</v>
      </c>
      <c r="R1742" s="1">
        <v>44308.566608796296</v>
      </c>
      <c r="S1742" s="1">
        <v>44308.567442129628</v>
      </c>
      <c r="T1742">
        <v>0</v>
      </c>
      <c r="U1742">
        <v>0</v>
      </c>
      <c r="V1742" s="2">
        <v>0</v>
      </c>
      <c r="W1742">
        <v>0</v>
      </c>
      <c r="X1742" t="s">
        <v>37</v>
      </c>
      <c r="Y1742">
        <v>0</v>
      </c>
      <c r="Z1742" t="s">
        <v>37</v>
      </c>
      <c r="AA1742">
        <v>0</v>
      </c>
      <c r="AB1742" t="s">
        <v>37</v>
      </c>
      <c r="AC1742">
        <v>0</v>
      </c>
      <c r="AD1742" t="s">
        <v>37</v>
      </c>
      <c r="AE1742">
        <v>0</v>
      </c>
      <c r="AF1742" t="s">
        <v>31</v>
      </c>
      <c r="AG1742">
        <v>0</v>
      </c>
      <c r="AH1742" t="s">
        <v>31</v>
      </c>
      <c r="AI1742">
        <v>0</v>
      </c>
      <c r="AJ1742" t="s">
        <v>31</v>
      </c>
      <c r="AK1742">
        <v>0</v>
      </c>
      <c r="AL1742" t="s">
        <v>31</v>
      </c>
      <c r="AM1742">
        <v>0</v>
      </c>
      <c r="AN1742" t="s">
        <v>31</v>
      </c>
      <c r="AO1742">
        <v>0</v>
      </c>
      <c r="AP1742" t="s">
        <v>31</v>
      </c>
      <c r="AQ1742">
        <v>0</v>
      </c>
    </row>
    <row r="1743" spans="1:43" x14ac:dyDescent="0.2">
      <c r="A1743" t="s">
        <v>381</v>
      </c>
      <c r="B1743" s="3">
        <v>44312</v>
      </c>
      <c r="C1743">
        <v>72</v>
      </c>
      <c r="D1743" t="s">
        <v>402</v>
      </c>
      <c r="E1743" t="s">
        <v>72</v>
      </c>
      <c r="F1743" s="9" t="s">
        <v>74</v>
      </c>
      <c r="G1743" t="s">
        <v>26</v>
      </c>
      <c r="H1743" t="s">
        <v>34</v>
      </c>
      <c r="I1743" t="s">
        <v>35</v>
      </c>
      <c r="J1743" t="s">
        <v>29</v>
      </c>
      <c r="K1743" t="s">
        <v>30</v>
      </c>
      <c r="L1743" t="s">
        <v>29</v>
      </c>
      <c r="M1743" t="s">
        <v>30</v>
      </c>
      <c r="N1743" t="s">
        <v>34</v>
      </c>
      <c r="O1743" t="s">
        <v>35</v>
      </c>
      <c r="P1743" t="s">
        <v>29</v>
      </c>
      <c r="Q1743" t="s">
        <v>30</v>
      </c>
      <c r="R1743" s="1">
        <v>44312.419004629628</v>
      </c>
      <c r="S1743" s="1">
        <v>44312.419444444444</v>
      </c>
      <c r="T1743">
        <v>0</v>
      </c>
      <c r="U1743">
        <v>0</v>
      </c>
      <c r="V1743" s="2">
        <v>0</v>
      </c>
      <c r="W1743">
        <v>0</v>
      </c>
      <c r="X1743" t="s">
        <v>37</v>
      </c>
      <c r="Y1743">
        <v>0</v>
      </c>
      <c r="Z1743" t="s">
        <v>37</v>
      </c>
      <c r="AA1743">
        <v>0</v>
      </c>
      <c r="AB1743" t="s">
        <v>37</v>
      </c>
      <c r="AC1743">
        <v>0</v>
      </c>
      <c r="AD1743" t="s">
        <v>31</v>
      </c>
      <c r="AE1743">
        <v>0</v>
      </c>
      <c r="AF1743" t="s">
        <v>31</v>
      </c>
      <c r="AG1743">
        <v>0</v>
      </c>
      <c r="AH1743" t="s">
        <v>31</v>
      </c>
      <c r="AI1743">
        <v>0</v>
      </c>
      <c r="AJ1743" t="s">
        <v>31</v>
      </c>
      <c r="AK1743">
        <v>0</v>
      </c>
      <c r="AL1743" t="s">
        <v>31</v>
      </c>
      <c r="AM1743">
        <v>0</v>
      </c>
      <c r="AN1743" t="s">
        <v>31</v>
      </c>
      <c r="AO1743">
        <v>0</v>
      </c>
      <c r="AP1743" t="s">
        <v>31</v>
      </c>
      <c r="AQ1743">
        <v>0</v>
      </c>
    </row>
    <row r="1744" spans="1:43" x14ac:dyDescent="0.2">
      <c r="A1744" t="s">
        <v>381</v>
      </c>
      <c r="B1744" s="3">
        <v>44313</v>
      </c>
      <c r="C1744">
        <v>76</v>
      </c>
      <c r="D1744" t="s">
        <v>385</v>
      </c>
      <c r="E1744" t="s">
        <v>72</v>
      </c>
      <c r="F1744" s="9" t="s">
        <v>74</v>
      </c>
      <c r="G1744" t="s">
        <v>26</v>
      </c>
      <c r="H1744" t="s">
        <v>34</v>
      </c>
      <c r="I1744" t="s">
        <v>35</v>
      </c>
      <c r="J1744" t="s">
        <v>29</v>
      </c>
      <c r="K1744" t="s">
        <v>30</v>
      </c>
      <c r="L1744" t="s">
        <v>29</v>
      </c>
      <c r="M1744" t="s">
        <v>30</v>
      </c>
      <c r="N1744" t="s">
        <v>34</v>
      </c>
      <c r="O1744" t="s">
        <v>35</v>
      </c>
      <c r="P1744" t="s">
        <v>29</v>
      </c>
      <c r="Q1744" t="s">
        <v>30</v>
      </c>
      <c r="R1744" s="1">
        <v>44313.628796296296</v>
      </c>
      <c r="S1744" s="1">
        <v>44313.628807870373</v>
      </c>
      <c r="T1744">
        <v>0</v>
      </c>
      <c r="U1744">
        <v>0</v>
      </c>
      <c r="V1744" s="2">
        <v>0</v>
      </c>
      <c r="W1744">
        <v>0</v>
      </c>
      <c r="X1744" t="s">
        <v>37</v>
      </c>
      <c r="Y1744">
        <v>0</v>
      </c>
      <c r="Z1744" t="s">
        <v>37</v>
      </c>
      <c r="AA1744">
        <v>0</v>
      </c>
      <c r="AB1744" t="s">
        <v>37</v>
      </c>
      <c r="AC1744">
        <v>0</v>
      </c>
      <c r="AD1744" t="s">
        <v>37</v>
      </c>
      <c r="AE1744">
        <v>0</v>
      </c>
      <c r="AF1744" t="s">
        <v>31</v>
      </c>
      <c r="AG1744">
        <v>0</v>
      </c>
      <c r="AH1744" t="s">
        <v>31</v>
      </c>
      <c r="AI1744">
        <v>0</v>
      </c>
      <c r="AJ1744" t="s">
        <v>31</v>
      </c>
      <c r="AK1744">
        <v>0</v>
      </c>
      <c r="AL1744" t="s">
        <v>31</v>
      </c>
      <c r="AM1744">
        <v>0</v>
      </c>
      <c r="AN1744" t="s">
        <v>31</v>
      </c>
      <c r="AO1744">
        <v>0</v>
      </c>
      <c r="AP1744" t="s">
        <v>31</v>
      </c>
      <c r="AQ1744">
        <v>0</v>
      </c>
    </row>
    <row r="1745" spans="1:43" x14ac:dyDescent="0.2">
      <c r="A1745" t="s">
        <v>381</v>
      </c>
      <c r="B1745" s="3">
        <v>44315</v>
      </c>
      <c r="C1745">
        <v>81</v>
      </c>
      <c r="D1745" t="s">
        <v>385</v>
      </c>
      <c r="E1745" t="s">
        <v>72</v>
      </c>
      <c r="F1745" s="9" t="s">
        <v>74</v>
      </c>
      <c r="G1745" t="s">
        <v>26</v>
      </c>
      <c r="H1745" t="s">
        <v>34</v>
      </c>
      <c r="I1745" t="s">
        <v>35</v>
      </c>
      <c r="J1745" t="s">
        <v>29</v>
      </c>
      <c r="K1745" t="s">
        <v>30</v>
      </c>
      <c r="L1745" t="s">
        <v>29</v>
      </c>
      <c r="M1745" t="s">
        <v>30</v>
      </c>
      <c r="N1745" t="s">
        <v>34</v>
      </c>
      <c r="O1745" t="s">
        <v>35</v>
      </c>
      <c r="P1745" t="s">
        <v>29</v>
      </c>
      <c r="Q1745" t="s">
        <v>30</v>
      </c>
      <c r="R1745" s="1">
        <v>44315.567083333335</v>
      </c>
      <c r="S1745" s="1">
        <v>44315.567094907405</v>
      </c>
      <c r="T1745">
        <v>0</v>
      </c>
      <c r="U1745">
        <v>0</v>
      </c>
      <c r="V1745" s="2">
        <v>0</v>
      </c>
      <c r="W1745">
        <v>0</v>
      </c>
      <c r="X1745" t="s">
        <v>37</v>
      </c>
      <c r="Y1745">
        <v>0</v>
      </c>
      <c r="Z1745" t="s">
        <v>37</v>
      </c>
      <c r="AA1745">
        <v>0</v>
      </c>
      <c r="AB1745" t="s">
        <v>37</v>
      </c>
      <c r="AC1745">
        <v>0</v>
      </c>
      <c r="AD1745" t="s">
        <v>37</v>
      </c>
      <c r="AE1745">
        <v>0</v>
      </c>
      <c r="AF1745" t="s">
        <v>37</v>
      </c>
      <c r="AG1745">
        <v>0</v>
      </c>
      <c r="AH1745" t="s">
        <v>31</v>
      </c>
      <c r="AI1745">
        <v>0</v>
      </c>
      <c r="AJ1745" t="s">
        <v>31</v>
      </c>
      <c r="AK1745">
        <v>0</v>
      </c>
      <c r="AL1745" t="s">
        <v>31</v>
      </c>
      <c r="AM1745">
        <v>0</v>
      </c>
      <c r="AN1745" t="s">
        <v>31</v>
      </c>
      <c r="AO1745">
        <v>0</v>
      </c>
      <c r="AP1745" t="s">
        <v>31</v>
      </c>
      <c r="AQ1745">
        <v>0</v>
      </c>
    </row>
    <row r="1746" spans="1:43" x14ac:dyDescent="0.2">
      <c r="A1746" t="s">
        <v>381</v>
      </c>
      <c r="B1746" s="3">
        <v>44319</v>
      </c>
      <c r="C1746">
        <v>84</v>
      </c>
      <c r="D1746" t="s">
        <v>390</v>
      </c>
      <c r="E1746" t="s">
        <v>72</v>
      </c>
      <c r="F1746" s="9" t="s">
        <v>74</v>
      </c>
      <c r="G1746" t="s">
        <v>26</v>
      </c>
      <c r="H1746" t="s">
        <v>34</v>
      </c>
      <c r="I1746" t="s">
        <v>35</v>
      </c>
      <c r="J1746" t="s">
        <v>29</v>
      </c>
      <c r="K1746" t="s">
        <v>30</v>
      </c>
      <c r="L1746" t="s">
        <v>29</v>
      </c>
      <c r="M1746" t="s">
        <v>30</v>
      </c>
      <c r="N1746" t="s">
        <v>34</v>
      </c>
      <c r="O1746" t="s">
        <v>35</v>
      </c>
      <c r="P1746" t="s">
        <v>29</v>
      </c>
      <c r="Q1746" t="s">
        <v>30</v>
      </c>
      <c r="R1746" s="1">
        <v>44319.481504629628</v>
      </c>
      <c r="S1746" s="1">
        <v>44319.481504629628</v>
      </c>
      <c r="T1746">
        <v>0</v>
      </c>
      <c r="U1746">
        <v>0</v>
      </c>
      <c r="V1746" s="2">
        <v>0</v>
      </c>
      <c r="W1746">
        <v>0</v>
      </c>
      <c r="X1746" t="s">
        <v>37</v>
      </c>
      <c r="Y1746">
        <v>0</v>
      </c>
      <c r="Z1746" t="s">
        <v>37</v>
      </c>
      <c r="AA1746">
        <v>0</v>
      </c>
      <c r="AB1746" t="s">
        <v>37</v>
      </c>
      <c r="AC1746">
        <v>0</v>
      </c>
      <c r="AD1746" t="s">
        <v>31</v>
      </c>
      <c r="AE1746">
        <v>0</v>
      </c>
      <c r="AF1746" t="s">
        <v>31</v>
      </c>
      <c r="AG1746">
        <v>0</v>
      </c>
      <c r="AH1746" t="s">
        <v>31</v>
      </c>
      <c r="AI1746">
        <v>0</v>
      </c>
      <c r="AJ1746" t="s">
        <v>31</v>
      </c>
      <c r="AK1746">
        <v>0</v>
      </c>
      <c r="AL1746" t="s">
        <v>31</v>
      </c>
      <c r="AM1746">
        <v>0</v>
      </c>
      <c r="AN1746" t="s">
        <v>31</v>
      </c>
      <c r="AO1746">
        <v>0</v>
      </c>
      <c r="AP1746" t="s">
        <v>31</v>
      </c>
      <c r="AQ1746">
        <v>0</v>
      </c>
    </row>
    <row r="1747" spans="1:43" x14ac:dyDescent="0.2">
      <c r="A1747" t="s">
        <v>381</v>
      </c>
      <c r="B1747" s="3">
        <v>44320</v>
      </c>
      <c r="C1747">
        <v>87</v>
      </c>
      <c r="D1747" t="s">
        <v>385</v>
      </c>
      <c r="E1747" t="s">
        <v>72</v>
      </c>
      <c r="F1747" s="9" t="s">
        <v>74</v>
      </c>
      <c r="G1747" t="s">
        <v>26</v>
      </c>
      <c r="H1747" t="s">
        <v>34</v>
      </c>
      <c r="I1747" t="s">
        <v>35</v>
      </c>
      <c r="J1747" t="s">
        <v>29</v>
      </c>
      <c r="K1747" t="s">
        <v>30</v>
      </c>
      <c r="L1747" t="s">
        <v>29</v>
      </c>
      <c r="M1747" t="s">
        <v>30</v>
      </c>
      <c r="N1747" t="s">
        <v>34</v>
      </c>
      <c r="O1747" t="s">
        <v>35</v>
      </c>
      <c r="P1747" t="s">
        <v>29</v>
      </c>
      <c r="Q1747" t="s">
        <v>30</v>
      </c>
      <c r="R1747" s="1">
        <v>44320.630104166667</v>
      </c>
      <c r="S1747" s="1">
        <v>44320.630104166667</v>
      </c>
      <c r="T1747">
        <v>0</v>
      </c>
      <c r="U1747">
        <v>0</v>
      </c>
      <c r="V1747" s="2">
        <v>0</v>
      </c>
      <c r="W1747">
        <v>0</v>
      </c>
      <c r="X1747" t="s">
        <v>37</v>
      </c>
      <c r="Y1747">
        <v>0</v>
      </c>
      <c r="Z1747" t="s">
        <v>37</v>
      </c>
      <c r="AA1747">
        <v>0</v>
      </c>
      <c r="AB1747" t="s">
        <v>37</v>
      </c>
      <c r="AC1747">
        <v>0</v>
      </c>
      <c r="AD1747" t="s">
        <v>37</v>
      </c>
      <c r="AE1747">
        <v>0</v>
      </c>
      <c r="AF1747" t="s">
        <v>31</v>
      </c>
      <c r="AG1747">
        <v>0</v>
      </c>
      <c r="AH1747" t="s">
        <v>31</v>
      </c>
      <c r="AI1747">
        <v>0</v>
      </c>
      <c r="AJ1747" t="s">
        <v>31</v>
      </c>
      <c r="AK1747">
        <v>0</v>
      </c>
      <c r="AL1747" t="s">
        <v>31</v>
      </c>
      <c r="AM1747">
        <v>0</v>
      </c>
      <c r="AN1747" t="s">
        <v>31</v>
      </c>
      <c r="AO1747">
        <v>0</v>
      </c>
      <c r="AP1747" t="s">
        <v>31</v>
      </c>
      <c r="AQ1747">
        <v>0</v>
      </c>
    </row>
    <row r="1748" spans="1:43" x14ac:dyDescent="0.2">
      <c r="A1748" t="s">
        <v>381</v>
      </c>
      <c r="B1748" s="3">
        <v>44321</v>
      </c>
      <c r="C1748">
        <v>88</v>
      </c>
      <c r="D1748" t="s">
        <v>404</v>
      </c>
      <c r="E1748" t="s">
        <v>72</v>
      </c>
      <c r="F1748" s="9" t="s">
        <v>74</v>
      </c>
      <c r="G1748" t="s">
        <v>26</v>
      </c>
      <c r="H1748" t="s">
        <v>34</v>
      </c>
      <c r="I1748" t="s">
        <v>35</v>
      </c>
      <c r="J1748" t="s">
        <v>29</v>
      </c>
      <c r="K1748" t="s">
        <v>30</v>
      </c>
      <c r="L1748" t="s">
        <v>29</v>
      </c>
      <c r="M1748" t="s">
        <v>30</v>
      </c>
      <c r="N1748" t="s">
        <v>34</v>
      </c>
      <c r="O1748" t="s">
        <v>35</v>
      </c>
      <c r="P1748" t="s">
        <v>29</v>
      </c>
      <c r="Q1748" t="s">
        <v>30</v>
      </c>
      <c r="R1748" s="1">
        <v>44321.472002314818</v>
      </c>
      <c r="S1748" s="1">
        <v>44321.472025462965</v>
      </c>
      <c r="T1748">
        <v>0</v>
      </c>
      <c r="U1748">
        <v>0</v>
      </c>
      <c r="V1748" s="2">
        <v>0</v>
      </c>
      <c r="W1748">
        <v>0</v>
      </c>
      <c r="X1748" t="s">
        <v>37</v>
      </c>
      <c r="Y1748">
        <v>0</v>
      </c>
      <c r="Z1748" t="s">
        <v>37</v>
      </c>
      <c r="AA1748">
        <v>0</v>
      </c>
      <c r="AB1748" t="s">
        <v>37</v>
      </c>
      <c r="AC1748">
        <v>0</v>
      </c>
      <c r="AD1748" t="s">
        <v>37</v>
      </c>
      <c r="AE1748">
        <v>0</v>
      </c>
      <c r="AF1748" t="s">
        <v>37</v>
      </c>
      <c r="AG1748">
        <v>0</v>
      </c>
      <c r="AH1748" t="s">
        <v>37</v>
      </c>
      <c r="AI1748">
        <v>0</v>
      </c>
      <c r="AJ1748" t="s">
        <v>31</v>
      </c>
      <c r="AK1748">
        <v>0</v>
      </c>
      <c r="AL1748" t="s">
        <v>31</v>
      </c>
      <c r="AM1748">
        <v>0</v>
      </c>
      <c r="AN1748" t="s">
        <v>31</v>
      </c>
      <c r="AO1748">
        <v>0</v>
      </c>
      <c r="AP1748" t="s">
        <v>31</v>
      </c>
      <c r="AQ1748">
        <v>0</v>
      </c>
    </row>
    <row r="1749" spans="1:43" x14ac:dyDescent="0.2">
      <c r="A1749" t="s">
        <v>381</v>
      </c>
      <c r="B1749" s="3">
        <v>44321</v>
      </c>
      <c r="C1749">
        <v>89</v>
      </c>
      <c r="D1749" t="s">
        <v>387</v>
      </c>
      <c r="E1749" t="s">
        <v>72</v>
      </c>
      <c r="F1749" s="9" t="s">
        <v>74</v>
      </c>
      <c r="G1749" t="s">
        <v>26</v>
      </c>
      <c r="H1749" t="s">
        <v>34</v>
      </c>
      <c r="I1749" t="s">
        <v>35</v>
      </c>
      <c r="J1749" t="s">
        <v>29</v>
      </c>
      <c r="K1749" t="s">
        <v>30</v>
      </c>
      <c r="L1749" t="s">
        <v>29</v>
      </c>
      <c r="M1749" t="s">
        <v>30</v>
      </c>
      <c r="N1749" t="s">
        <v>34</v>
      </c>
      <c r="O1749" t="s">
        <v>35</v>
      </c>
      <c r="P1749" t="s">
        <v>29</v>
      </c>
      <c r="Q1749" t="s">
        <v>30</v>
      </c>
      <c r="R1749" s="1">
        <v>44321.644432870373</v>
      </c>
      <c r="S1749" s="1">
        <v>44321.644745370373</v>
      </c>
      <c r="T1749">
        <v>0</v>
      </c>
      <c r="U1749">
        <v>0</v>
      </c>
      <c r="V1749" s="2">
        <v>0</v>
      </c>
      <c r="W1749">
        <v>0</v>
      </c>
      <c r="X1749" t="s">
        <v>37</v>
      </c>
      <c r="Y1749">
        <v>0</v>
      </c>
      <c r="Z1749" t="s">
        <v>37</v>
      </c>
      <c r="AA1749">
        <v>0</v>
      </c>
      <c r="AB1749" t="s">
        <v>37</v>
      </c>
      <c r="AC1749">
        <v>0</v>
      </c>
      <c r="AD1749" t="s">
        <v>37</v>
      </c>
      <c r="AE1749">
        <v>0</v>
      </c>
      <c r="AF1749" t="s">
        <v>31</v>
      </c>
      <c r="AG1749">
        <v>0</v>
      </c>
      <c r="AH1749" t="s">
        <v>31</v>
      </c>
      <c r="AI1749">
        <v>0</v>
      </c>
      <c r="AJ1749" t="s">
        <v>31</v>
      </c>
      <c r="AK1749">
        <v>0</v>
      </c>
      <c r="AL1749" t="s">
        <v>31</v>
      </c>
      <c r="AM1749">
        <v>0</v>
      </c>
      <c r="AN1749" t="s">
        <v>31</v>
      </c>
      <c r="AO1749">
        <v>0</v>
      </c>
      <c r="AP1749" t="s">
        <v>31</v>
      </c>
      <c r="AQ1749">
        <v>0</v>
      </c>
    </row>
    <row r="1750" spans="1:43" x14ac:dyDescent="0.2">
      <c r="A1750" t="s">
        <v>381</v>
      </c>
      <c r="B1750" s="3">
        <v>44323</v>
      </c>
      <c r="C1750">
        <v>91</v>
      </c>
      <c r="D1750" t="s">
        <v>391</v>
      </c>
      <c r="E1750" t="s">
        <v>72</v>
      </c>
      <c r="F1750" s="9" t="s">
        <v>74</v>
      </c>
      <c r="G1750" t="s">
        <v>26</v>
      </c>
      <c r="H1750" t="s">
        <v>34</v>
      </c>
      <c r="I1750" t="s">
        <v>35</v>
      </c>
      <c r="J1750" t="s">
        <v>29</v>
      </c>
      <c r="K1750" t="s">
        <v>30</v>
      </c>
      <c r="L1750" t="s">
        <v>29</v>
      </c>
      <c r="M1750" t="s">
        <v>30</v>
      </c>
      <c r="N1750" t="s">
        <v>34</v>
      </c>
      <c r="O1750" t="s">
        <v>35</v>
      </c>
      <c r="P1750" t="s">
        <v>29</v>
      </c>
      <c r="Q1750" t="s">
        <v>30</v>
      </c>
      <c r="R1750" s="1">
        <v>44323.561307870368</v>
      </c>
      <c r="S1750" s="1">
        <v>44323.561435185184</v>
      </c>
      <c r="T1750">
        <v>0</v>
      </c>
      <c r="U1750">
        <v>0</v>
      </c>
      <c r="V1750" s="2">
        <v>0</v>
      </c>
      <c r="W1750">
        <v>0</v>
      </c>
      <c r="X1750" t="s">
        <v>37</v>
      </c>
      <c r="Y1750">
        <v>0</v>
      </c>
      <c r="Z1750" t="s">
        <v>37</v>
      </c>
      <c r="AA1750">
        <v>0</v>
      </c>
      <c r="AB1750" t="s">
        <v>37</v>
      </c>
      <c r="AC1750">
        <v>0</v>
      </c>
      <c r="AD1750" t="s">
        <v>31</v>
      </c>
      <c r="AE1750">
        <v>0</v>
      </c>
      <c r="AF1750" t="s">
        <v>31</v>
      </c>
      <c r="AG1750">
        <v>0</v>
      </c>
      <c r="AH1750" t="s">
        <v>31</v>
      </c>
      <c r="AI1750">
        <v>0</v>
      </c>
      <c r="AJ1750" t="s">
        <v>31</v>
      </c>
      <c r="AK1750">
        <v>0</v>
      </c>
      <c r="AL1750" t="s">
        <v>31</v>
      </c>
      <c r="AM1750">
        <v>0</v>
      </c>
      <c r="AN1750" t="s">
        <v>31</v>
      </c>
      <c r="AO1750">
        <v>0</v>
      </c>
      <c r="AP1750" t="s">
        <v>31</v>
      </c>
      <c r="AQ1750">
        <v>0</v>
      </c>
    </row>
    <row r="1751" spans="1:43" x14ac:dyDescent="0.2">
      <c r="A1751" t="s">
        <v>381</v>
      </c>
      <c r="B1751" s="3">
        <v>44336</v>
      </c>
      <c r="C1751">
        <v>103</v>
      </c>
      <c r="D1751" t="s">
        <v>385</v>
      </c>
      <c r="E1751" t="s">
        <v>72</v>
      </c>
      <c r="F1751" s="9" t="s">
        <v>74</v>
      </c>
      <c r="G1751" t="s">
        <v>26</v>
      </c>
      <c r="H1751" t="s">
        <v>34</v>
      </c>
      <c r="I1751" t="s">
        <v>35</v>
      </c>
      <c r="J1751" t="s">
        <v>29</v>
      </c>
      <c r="K1751" t="s">
        <v>30</v>
      </c>
      <c r="L1751" t="s">
        <v>29</v>
      </c>
      <c r="M1751" t="s">
        <v>30</v>
      </c>
      <c r="N1751" t="s">
        <v>34</v>
      </c>
      <c r="O1751" t="s">
        <v>35</v>
      </c>
      <c r="P1751" t="s">
        <v>29</v>
      </c>
      <c r="Q1751" t="s">
        <v>30</v>
      </c>
      <c r="R1751" s="1">
        <v>44336.570115740738</v>
      </c>
      <c r="S1751" s="1">
        <v>44336.570115740738</v>
      </c>
      <c r="T1751">
        <v>0</v>
      </c>
      <c r="U1751">
        <v>0</v>
      </c>
      <c r="V1751" s="2">
        <v>0</v>
      </c>
      <c r="W1751">
        <v>0</v>
      </c>
      <c r="X1751" t="s">
        <v>37</v>
      </c>
      <c r="Y1751">
        <v>0</v>
      </c>
      <c r="Z1751" t="s">
        <v>37</v>
      </c>
      <c r="AA1751">
        <v>0</v>
      </c>
      <c r="AB1751" t="s">
        <v>37</v>
      </c>
      <c r="AC1751">
        <v>0</v>
      </c>
      <c r="AD1751" t="s">
        <v>37</v>
      </c>
      <c r="AE1751">
        <v>0</v>
      </c>
      <c r="AF1751" t="s">
        <v>31</v>
      </c>
      <c r="AG1751">
        <v>0</v>
      </c>
      <c r="AH1751" t="s">
        <v>31</v>
      </c>
      <c r="AI1751">
        <v>0</v>
      </c>
      <c r="AJ1751" t="s">
        <v>31</v>
      </c>
      <c r="AK1751">
        <v>0</v>
      </c>
      <c r="AL1751" t="s">
        <v>31</v>
      </c>
      <c r="AM1751">
        <v>0</v>
      </c>
      <c r="AN1751" t="s">
        <v>31</v>
      </c>
      <c r="AO1751">
        <v>0</v>
      </c>
      <c r="AP1751" t="s">
        <v>31</v>
      </c>
      <c r="AQ1751">
        <v>0</v>
      </c>
    </row>
    <row r="1752" spans="1:43" x14ac:dyDescent="0.2">
      <c r="A1752" t="s">
        <v>381</v>
      </c>
      <c r="B1752" s="3">
        <v>44338</v>
      </c>
      <c r="C1752">
        <v>106</v>
      </c>
      <c r="D1752" t="s">
        <v>408</v>
      </c>
      <c r="E1752" t="s">
        <v>72</v>
      </c>
      <c r="F1752" s="9" t="s">
        <v>74</v>
      </c>
      <c r="G1752" t="s">
        <v>26</v>
      </c>
      <c r="H1752" t="s">
        <v>34</v>
      </c>
      <c r="I1752" t="s">
        <v>35</v>
      </c>
      <c r="J1752" t="s">
        <v>29</v>
      </c>
      <c r="K1752" t="s">
        <v>30</v>
      </c>
      <c r="L1752" t="s">
        <v>29</v>
      </c>
      <c r="M1752" t="s">
        <v>30</v>
      </c>
      <c r="N1752" t="s">
        <v>34</v>
      </c>
      <c r="O1752" t="s">
        <v>35</v>
      </c>
      <c r="P1752" t="s">
        <v>29</v>
      </c>
      <c r="Q1752" t="s">
        <v>30</v>
      </c>
      <c r="R1752" s="1">
        <v>44338.465092592596</v>
      </c>
      <c r="S1752" s="1">
        <v>44338.465138888889</v>
      </c>
      <c r="T1752">
        <v>0</v>
      </c>
      <c r="U1752">
        <v>0</v>
      </c>
      <c r="V1752" s="2">
        <v>0</v>
      </c>
      <c r="W1752">
        <v>0</v>
      </c>
      <c r="X1752" t="s">
        <v>37</v>
      </c>
      <c r="Y1752">
        <v>0</v>
      </c>
      <c r="Z1752" t="s">
        <v>31</v>
      </c>
      <c r="AA1752">
        <v>0</v>
      </c>
      <c r="AB1752" t="s">
        <v>31</v>
      </c>
      <c r="AC1752">
        <v>0</v>
      </c>
      <c r="AD1752" t="s">
        <v>31</v>
      </c>
      <c r="AE1752">
        <v>0</v>
      </c>
      <c r="AF1752" t="s">
        <v>31</v>
      </c>
      <c r="AG1752">
        <v>0</v>
      </c>
      <c r="AH1752" t="s">
        <v>31</v>
      </c>
      <c r="AI1752">
        <v>0</v>
      </c>
      <c r="AJ1752" t="s">
        <v>31</v>
      </c>
      <c r="AK1752">
        <v>0</v>
      </c>
      <c r="AL1752" t="s">
        <v>31</v>
      </c>
      <c r="AM1752">
        <v>0</v>
      </c>
      <c r="AN1752" t="s">
        <v>31</v>
      </c>
      <c r="AO1752">
        <v>0</v>
      </c>
      <c r="AP1752" t="s">
        <v>31</v>
      </c>
      <c r="AQ1752">
        <v>0</v>
      </c>
    </row>
    <row r="1753" spans="1:43" x14ac:dyDescent="0.2">
      <c r="A1753" t="s">
        <v>381</v>
      </c>
      <c r="B1753" s="3">
        <v>44343</v>
      </c>
      <c r="C1753">
        <v>115</v>
      </c>
      <c r="D1753" t="s">
        <v>395</v>
      </c>
      <c r="E1753" t="s">
        <v>72</v>
      </c>
      <c r="F1753" s="9" t="s">
        <v>74</v>
      </c>
      <c r="G1753" t="s">
        <v>26</v>
      </c>
      <c r="H1753" t="s">
        <v>34</v>
      </c>
      <c r="I1753" t="s">
        <v>35</v>
      </c>
      <c r="J1753" t="s">
        <v>29</v>
      </c>
      <c r="K1753" t="s">
        <v>30</v>
      </c>
      <c r="L1753" t="s">
        <v>29</v>
      </c>
      <c r="M1753" t="s">
        <v>30</v>
      </c>
      <c r="N1753" t="s">
        <v>34</v>
      </c>
      <c r="O1753" t="s">
        <v>35</v>
      </c>
      <c r="P1753" t="s">
        <v>29</v>
      </c>
      <c r="Q1753" t="s">
        <v>30</v>
      </c>
      <c r="R1753" s="1">
        <v>44343.450821759259</v>
      </c>
      <c r="S1753" s="1">
        <v>44343.452499999999</v>
      </c>
      <c r="T1753">
        <v>0</v>
      </c>
      <c r="U1753">
        <v>5</v>
      </c>
      <c r="V1753" s="2">
        <v>0</v>
      </c>
      <c r="W1753">
        <v>0</v>
      </c>
      <c r="X1753" t="s">
        <v>37</v>
      </c>
      <c r="Y1753">
        <v>0</v>
      </c>
      <c r="Z1753" t="s">
        <v>37</v>
      </c>
      <c r="AA1753">
        <v>0</v>
      </c>
      <c r="AB1753" t="s">
        <v>37</v>
      </c>
      <c r="AC1753">
        <v>0</v>
      </c>
      <c r="AD1753" t="s">
        <v>44</v>
      </c>
      <c r="AE1753">
        <v>0</v>
      </c>
      <c r="AF1753" t="s">
        <v>44</v>
      </c>
      <c r="AG1753">
        <v>0</v>
      </c>
      <c r="AH1753" t="s">
        <v>45</v>
      </c>
      <c r="AI1753">
        <v>0</v>
      </c>
      <c r="AJ1753" t="s">
        <v>113</v>
      </c>
      <c r="AK1753">
        <v>0</v>
      </c>
      <c r="AL1753" t="s">
        <v>47</v>
      </c>
      <c r="AM1753">
        <v>0</v>
      </c>
      <c r="AN1753" t="s">
        <v>31</v>
      </c>
      <c r="AO1753">
        <v>0</v>
      </c>
      <c r="AP1753" t="s">
        <v>31</v>
      </c>
      <c r="AQ1753">
        <v>0</v>
      </c>
    </row>
    <row r="1754" spans="1:43" x14ac:dyDescent="0.2">
      <c r="A1754" t="s">
        <v>381</v>
      </c>
      <c r="B1754" s="3">
        <v>44344</v>
      </c>
      <c r="C1754">
        <v>116</v>
      </c>
      <c r="D1754" t="s">
        <v>390</v>
      </c>
      <c r="E1754" t="s">
        <v>72</v>
      </c>
      <c r="F1754" s="9" t="s">
        <v>74</v>
      </c>
      <c r="G1754" t="s">
        <v>26</v>
      </c>
      <c r="H1754" t="s">
        <v>34</v>
      </c>
      <c r="I1754" t="s">
        <v>35</v>
      </c>
      <c r="J1754" t="s">
        <v>29</v>
      </c>
      <c r="K1754" t="s">
        <v>30</v>
      </c>
      <c r="L1754" t="s">
        <v>29</v>
      </c>
      <c r="M1754" t="s">
        <v>30</v>
      </c>
      <c r="N1754" t="s">
        <v>34</v>
      </c>
      <c r="O1754" t="s">
        <v>35</v>
      </c>
      <c r="P1754" t="s">
        <v>29</v>
      </c>
      <c r="Q1754" t="s">
        <v>30</v>
      </c>
      <c r="R1754" s="1">
        <v>44344.487962962965</v>
      </c>
      <c r="S1754" s="1">
        <v>44344.487974537034</v>
      </c>
      <c r="T1754">
        <v>0</v>
      </c>
      <c r="U1754">
        <v>0</v>
      </c>
      <c r="V1754" s="2">
        <v>0</v>
      </c>
      <c r="W1754">
        <v>0</v>
      </c>
      <c r="X1754" t="s">
        <v>37</v>
      </c>
      <c r="Y1754">
        <v>0</v>
      </c>
      <c r="Z1754" t="s">
        <v>37</v>
      </c>
      <c r="AA1754">
        <v>0</v>
      </c>
      <c r="AB1754" t="s">
        <v>37</v>
      </c>
      <c r="AC1754">
        <v>0</v>
      </c>
      <c r="AD1754" t="s">
        <v>37</v>
      </c>
      <c r="AE1754">
        <v>0</v>
      </c>
      <c r="AF1754" t="s">
        <v>37</v>
      </c>
      <c r="AG1754">
        <v>0</v>
      </c>
      <c r="AH1754" t="s">
        <v>31</v>
      </c>
      <c r="AI1754">
        <v>0</v>
      </c>
      <c r="AJ1754" t="s">
        <v>31</v>
      </c>
      <c r="AK1754">
        <v>0</v>
      </c>
      <c r="AL1754" t="s">
        <v>31</v>
      </c>
      <c r="AM1754">
        <v>0</v>
      </c>
      <c r="AN1754" t="s">
        <v>31</v>
      </c>
      <c r="AO1754">
        <v>0</v>
      </c>
      <c r="AP1754" t="s">
        <v>31</v>
      </c>
      <c r="AQ1754">
        <v>0</v>
      </c>
    </row>
    <row r="1755" spans="1:43" x14ac:dyDescent="0.2">
      <c r="A1755" t="s">
        <v>381</v>
      </c>
      <c r="B1755" s="3">
        <v>44350</v>
      </c>
      <c r="C1755">
        <v>123</v>
      </c>
      <c r="D1755" t="s">
        <v>382</v>
      </c>
      <c r="E1755" t="s">
        <v>72</v>
      </c>
      <c r="F1755" s="9" t="s">
        <v>74</v>
      </c>
      <c r="G1755" t="s">
        <v>26</v>
      </c>
      <c r="H1755" t="s">
        <v>34</v>
      </c>
      <c r="I1755" t="s">
        <v>35</v>
      </c>
      <c r="J1755" t="s">
        <v>29</v>
      </c>
      <c r="K1755" t="s">
        <v>30</v>
      </c>
      <c r="L1755" t="s">
        <v>29</v>
      </c>
      <c r="M1755" t="s">
        <v>30</v>
      </c>
      <c r="N1755" t="s">
        <v>34</v>
      </c>
      <c r="O1755" t="s">
        <v>35</v>
      </c>
      <c r="P1755" t="s">
        <v>29</v>
      </c>
      <c r="Q1755" t="s">
        <v>30</v>
      </c>
      <c r="R1755" s="1">
        <v>44350.358148148145</v>
      </c>
      <c r="S1755" s="1">
        <v>44350.358159722222</v>
      </c>
      <c r="T1755">
        <v>0</v>
      </c>
      <c r="U1755">
        <v>0</v>
      </c>
      <c r="V1755" s="2">
        <v>0</v>
      </c>
      <c r="W1755">
        <v>0</v>
      </c>
      <c r="X1755" t="s">
        <v>37</v>
      </c>
      <c r="Y1755">
        <v>0</v>
      </c>
      <c r="Z1755" t="s">
        <v>37</v>
      </c>
      <c r="AA1755">
        <v>0</v>
      </c>
      <c r="AB1755" t="s">
        <v>37</v>
      </c>
      <c r="AC1755">
        <v>0</v>
      </c>
      <c r="AD1755" t="s">
        <v>31</v>
      </c>
      <c r="AE1755">
        <v>0</v>
      </c>
      <c r="AF1755" t="s">
        <v>31</v>
      </c>
      <c r="AG1755">
        <v>0</v>
      </c>
      <c r="AH1755" t="s">
        <v>31</v>
      </c>
      <c r="AI1755">
        <v>0</v>
      </c>
      <c r="AJ1755" t="s">
        <v>31</v>
      </c>
      <c r="AK1755">
        <v>0</v>
      </c>
      <c r="AL1755" t="s">
        <v>31</v>
      </c>
      <c r="AM1755">
        <v>0</v>
      </c>
      <c r="AN1755" t="s">
        <v>31</v>
      </c>
      <c r="AO1755">
        <v>0</v>
      </c>
      <c r="AP1755" t="s">
        <v>31</v>
      </c>
      <c r="AQ1755">
        <v>0</v>
      </c>
    </row>
    <row r="1756" spans="1:43" x14ac:dyDescent="0.2">
      <c r="A1756" t="s">
        <v>381</v>
      </c>
      <c r="B1756" s="3">
        <v>44355</v>
      </c>
      <c r="C1756">
        <v>129</v>
      </c>
      <c r="D1756" t="s">
        <v>385</v>
      </c>
      <c r="E1756" t="s">
        <v>72</v>
      </c>
      <c r="F1756" s="9" t="s">
        <v>74</v>
      </c>
      <c r="G1756" t="s">
        <v>26</v>
      </c>
      <c r="H1756" t="s">
        <v>34</v>
      </c>
      <c r="I1756" t="s">
        <v>35</v>
      </c>
      <c r="J1756" t="s">
        <v>29</v>
      </c>
      <c r="K1756" t="s">
        <v>30</v>
      </c>
      <c r="L1756" t="s">
        <v>29</v>
      </c>
      <c r="M1756" t="s">
        <v>30</v>
      </c>
      <c r="N1756" t="s">
        <v>34</v>
      </c>
      <c r="O1756" t="s">
        <v>35</v>
      </c>
      <c r="P1756" t="s">
        <v>29</v>
      </c>
      <c r="Q1756" t="s">
        <v>30</v>
      </c>
      <c r="R1756" s="1">
        <v>44355.590740740743</v>
      </c>
      <c r="S1756" s="1">
        <v>44355.590798611112</v>
      </c>
      <c r="T1756">
        <v>0</v>
      </c>
      <c r="U1756">
        <v>0</v>
      </c>
      <c r="V1756" s="2">
        <v>0</v>
      </c>
      <c r="W1756">
        <v>0</v>
      </c>
      <c r="X1756" t="s">
        <v>37</v>
      </c>
      <c r="Y1756">
        <v>0</v>
      </c>
      <c r="Z1756" t="s">
        <v>37</v>
      </c>
      <c r="AA1756">
        <v>0</v>
      </c>
      <c r="AB1756" t="s">
        <v>37</v>
      </c>
      <c r="AC1756">
        <v>0</v>
      </c>
      <c r="AD1756" t="s">
        <v>37</v>
      </c>
      <c r="AE1756">
        <v>0</v>
      </c>
      <c r="AF1756" t="s">
        <v>37</v>
      </c>
      <c r="AG1756">
        <v>0</v>
      </c>
      <c r="AH1756" t="s">
        <v>31</v>
      </c>
      <c r="AI1756">
        <v>0</v>
      </c>
      <c r="AJ1756" t="s">
        <v>31</v>
      </c>
      <c r="AK1756">
        <v>0</v>
      </c>
      <c r="AL1756" t="s">
        <v>31</v>
      </c>
      <c r="AM1756">
        <v>0</v>
      </c>
      <c r="AN1756" t="s">
        <v>31</v>
      </c>
      <c r="AO1756">
        <v>0</v>
      </c>
      <c r="AP1756" t="s">
        <v>31</v>
      </c>
      <c r="AQ1756">
        <v>0</v>
      </c>
    </row>
    <row r="1757" spans="1:43" x14ac:dyDescent="0.2">
      <c r="A1757" t="s">
        <v>381</v>
      </c>
      <c r="B1757" s="3">
        <v>44356</v>
      </c>
      <c r="C1757">
        <v>131</v>
      </c>
      <c r="D1757" t="s">
        <v>383</v>
      </c>
      <c r="E1757" t="s">
        <v>72</v>
      </c>
      <c r="F1757" s="9" t="s">
        <v>74</v>
      </c>
      <c r="G1757" t="s">
        <v>26</v>
      </c>
      <c r="H1757" t="s">
        <v>34</v>
      </c>
      <c r="I1757" t="s">
        <v>35</v>
      </c>
      <c r="J1757" t="s">
        <v>29</v>
      </c>
      <c r="K1757" t="s">
        <v>30</v>
      </c>
      <c r="L1757" t="s">
        <v>29</v>
      </c>
      <c r="M1757" t="s">
        <v>30</v>
      </c>
      <c r="N1757" t="s">
        <v>34</v>
      </c>
      <c r="O1757" t="s">
        <v>35</v>
      </c>
      <c r="P1757" t="s">
        <v>29</v>
      </c>
      <c r="Q1757" t="s">
        <v>30</v>
      </c>
      <c r="R1757" s="1">
        <v>44356.589317129627</v>
      </c>
      <c r="S1757" s="1">
        <v>44356.58934027778</v>
      </c>
      <c r="T1757">
        <v>0</v>
      </c>
      <c r="U1757">
        <v>0</v>
      </c>
      <c r="V1757" s="2">
        <v>0</v>
      </c>
      <c r="W1757">
        <v>0</v>
      </c>
      <c r="X1757" t="s">
        <v>37</v>
      </c>
      <c r="Y1757">
        <v>0</v>
      </c>
      <c r="Z1757" t="s">
        <v>37</v>
      </c>
      <c r="AA1757">
        <v>0</v>
      </c>
      <c r="AB1757" t="s">
        <v>37</v>
      </c>
      <c r="AC1757">
        <v>0</v>
      </c>
      <c r="AD1757" t="s">
        <v>31</v>
      </c>
      <c r="AE1757">
        <v>0</v>
      </c>
      <c r="AF1757" t="s">
        <v>31</v>
      </c>
      <c r="AG1757">
        <v>0</v>
      </c>
      <c r="AH1757" t="s">
        <v>31</v>
      </c>
      <c r="AI1757">
        <v>0</v>
      </c>
      <c r="AJ1757" t="s">
        <v>31</v>
      </c>
      <c r="AK1757">
        <v>0</v>
      </c>
      <c r="AL1757" t="s">
        <v>31</v>
      </c>
      <c r="AM1757">
        <v>0</v>
      </c>
      <c r="AN1757" t="s">
        <v>31</v>
      </c>
      <c r="AO1757">
        <v>0</v>
      </c>
      <c r="AP1757" t="s">
        <v>31</v>
      </c>
      <c r="AQ1757">
        <v>0</v>
      </c>
    </row>
    <row r="1758" spans="1:43" x14ac:dyDescent="0.2">
      <c r="A1758" t="s">
        <v>381</v>
      </c>
      <c r="B1758" s="3">
        <v>44357</v>
      </c>
      <c r="C1758">
        <v>132</v>
      </c>
      <c r="D1758" t="s">
        <v>399</v>
      </c>
      <c r="E1758" t="s">
        <v>72</v>
      </c>
      <c r="F1758" s="9" t="s">
        <v>74</v>
      </c>
      <c r="G1758" t="s">
        <v>26</v>
      </c>
      <c r="H1758" t="s">
        <v>34</v>
      </c>
      <c r="I1758" t="s">
        <v>35</v>
      </c>
      <c r="J1758" t="s">
        <v>29</v>
      </c>
      <c r="K1758" t="s">
        <v>30</v>
      </c>
      <c r="L1758" t="s">
        <v>29</v>
      </c>
      <c r="M1758" t="s">
        <v>30</v>
      </c>
      <c r="N1758" t="s">
        <v>34</v>
      </c>
      <c r="O1758" t="s">
        <v>35</v>
      </c>
      <c r="P1758" t="s">
        <v>29</v>
      </c>
      <c r="Q1758" t="s">
        <v>30</v>
      </c>
      <c r="R1758" s="1">
        <v>44357.418449074074</v>
      </c>
      <c r="S1758" s="1">
        <v>44357.41846064815</v>
      </c>
      <c r="T1758">
        <v>0</v>
      </c>
      <c r="U1758">
        <v>0</v>
      </c>
      <c r="V1758" s="2">
        <v>0</v>
      </c>
      <c r="W1758">
        <v>0</v>
      </c>
      <c r="X1758" t="s">
        <v>37</v>
      </c>
      <c r="Y1758">
        <v>0</v>
      </c>
      <c r="Z1758" t="s">
        <v>37</v>
      </c>
      <c r="AA1758">
        <v>0</v>
      </c>
      <c r="AB1758" t="s">
        <v>37</v>
      </c>
      <c r="AC1758">
        <v>0</v>
      </c>
      <c r="AD1758" t="s">
        <v>31</v>
      </c>
      <c r="AE1758">
        <v>0</v>
      </c>
      <c r="AF1758" t="s">
        <v>31</v>
      </c>
      <c r="AG1758">
        <v>0</v>
      </c>
      <c r="AH1758" t="s">
        <v>31</v>
      </c>
      <c r="AI1758">
        <v>0</v>
      </c>
      <c r="AJ1758" t="s">
        <v>31</v>
      </c>
      <c r="AK1758">
        <v>0</v>
      </c>
      <c r="AL1758" t="s">
        <v>31</v>
      </c>
      <c r="AM1758">
        <v>0</v>
      </c>
      <c r="AN1758" t="s">
        <v>31</v>
      </c>
      <c r="AO1758">
        <v>0</v>
      </c>
      <c r="AP1758" t="s">
        <v>31</v>
      </c>
      <c r="AQ1758">
        <v>0</v>
      </c>
    </row>
    <row r="1759" spans="1:43" x14ac:dyDescent="0.2">
      <c r="A1759" t="s">
        <v>381</v>
      </c>
      <c r="B1759" s="3">
        <v>44358</v>
      </c>
      <c r="C1759">
        <v>133</v>
      </c>
      <c r="D1759" t="s">
        <v>390</v>
      </c>
      <c r="E1759" t="s">
        <v>72</v>
      </c>
      <c r="F1759" s="9" t="s">
        <v>74</v>
      </c>
      <c r="G1759" t="s">
        <v>26</v>
      </c>
      <c r="H1759" t="s">
        <v>34</v>
      </c>
      <c r="I1759" t="s">
        <v>35</v>
      </c>
      <c r="J1759" t="s">
        <v>29</v>
      </c>
      <c r="K1759" t="s">
        <v>30</v>
      </c>
      <c r="L1759" t="s">
        <v>29</v>
      </c>
      <c r="M1759" t="s">
        <v>30</v>
      </c>
      <c r="N1759" t="s">
        <v>34</v>
      </c>
      <c r="O1759" t="s">
        <v>35</v>
      </c>
      <c r="P1759" t="s">
        <v>29</v>
      </c>
      <c r="Q1759" t="s">
        <v>30</v>
      </c>
      <c r="R1759" s="1">
        <v>44358.467893518522</v>
      </c>
      <c r="S1759" s="1">
        <v>44358.467905092592</v>
      </c>
      <c r="T1759">
        <v>0</v>
      </c>
      <c r="U1759">
        <v>0</v>
      </c>
      <c r="V1759" s="2">
        <v>0</v>
      </c>
      <c r="W1759">
        <v>0</v>
      </c>
      <c r="X1759" t="s">
        <v>37</v>
      </c>
      <c r="Y1759">
        <v>0</v>
      </c>
      <c r="Z1759" t="s">
        <v>37</v>
      </c>
      <c r="AA1759">
        <v>0</v>
      </c>
      <c r="AB1759" t="s">
        <v>37</v>
      </c>
      <c r="AC1759">
        <v>0</v>
      </c>
      <c r="AD1759" t="s">
        <v>31</v>
      </c>
      <c r="AE1759">
        <v>0</v>
      </c>
      <c r="AF1759" t="s">
        <v>31</v>
      </c>
      <c r="AG1759">
        <v>0</v>
      </c>
      <c r="AH1759" t="s">
        <v>31</v>
      </c>
      <c r="AI1759">
        <v>0</v>
      </c>
      <c r="AJ1759" t="s">
        <v>31</v>
      </c>
      <c r="AK1759">
        <v>0</v>
      </c>
      <c r="AL1759" t="s">
        <v>31</v>
      </c>
      <c r="AM1759">
        <v>0</v>
      </c>
      <c r="AN1759" t="s">
        <v>31</v>
      </c>
      <c r="AO1759">
        <v>0</v>
      </c>
      <c r="AP1759" t="s">
        <v>31</v>
      </c>
      <c r="AQ1759">
        <v>0</v>
      </c>
    </row>
    <row r="1760" spans="1:43" x14ac:dyDescent="0.2">
      <c r="A1760" t="s">
        <v>381</v>
      </c>
      <c r="B1760" s="3">
        <v>44361</v>
      </c>
      <c r="C1760">
        <v>135</v>
      </c>
      <c r="D1760" t="s">
        <v>390</v>
      </c>
      <c r="E1760" t="s">
        <v>72</v>
      </c>
      <c r="F1760" s="9" t="s">
        <v>74</v>
      </c>
      <c r="G1760" t="s">
        <v>26</v>
      </c>
      <c r="H1760" t="s">
        <v>34</v>
      </c>
      <c r="I1760" t="s">
        <v>35</v>
      </c>
      <c r="J1760" t="s">
        <v>29</v>
      </c>
      <c r="K1760" t="s">
        <v>30</v>
      </c>
      <c r="L1760" t="s">
        <v>29</v>
      </c>
      <c r="M1760" t="s">
        <v>30</v>
      </c>
      <c r="N1760" t="s">
        <v>34</v>
      </c>
      <c r="O1760" t="s">
        <v>35</v>
      </c>
      <c r="P1760" t="s">
        <v>29</v>
      </c>
      <c r="Q1760" t="s">
        <v>30</v>
      </c>
      <c r="R1760" s="1">
        <v>44361.485324074078</v>
      </c>
      <c r="S1760" s="1">
        <v>44361.485324074078</v>
      </c>
      <c r="T1760">
        <v>0</v>
      </c>
      <c r="U1760">
        <v>0</v>
      </c>
      <c r="V1760" s="2">
        <v>0</v>
      </c>
      <c r="W1760">
        <v>0</v>
      </c>
      <c r="X1760" t="s">
        <v>37</v>
      </c>
      <c r="Y1760">
        <v>0</v>
      </c>
      <c r="Z1760" t="s">
        <v>37</v>
      </c>
      <c r="AA1760">
        <v>0</v>
      </c>
      <c r="AB1760" t="s">
        <v>37</v>
      </c>
      <c r="AC1760">
        <v>0</v>
      </c>
      <c r="AD1760" t="s">
        <v>31</v>
      </c>
      <c r="AE1760">
        <v>0</v>
      </c>
      <c r="AF1760" t="s">
        <v>31</v>
      </c>
      <c r="AG1760">
        <v>0</v>
      </c>
      <c r="AH1760" t="s">
        <v>31</v>
      </c>
      <c r="AI1760">
        <v>0</v>
      </c>
      <c r="AJ1760" t="s">
        <v>31</v>
      </c>
      <c r="AK1760">
        <v>0</v>
      </c>
      <c r="AL1760" t="s">
        <v>31</v>
      </c>
      <c r="AM1760">
        <v>0</v>
      </c>
      <c r="AN1760" t="s">
        <v>31</v>
      </c>
      <c r="AO1760">
        <v>0</v>
      </c>
      <c r="AP1760" t="s">
        <v>31</v>
      </c>
      <c r="AQ1760">
        <v>0</v>
      </c>
    </row>
    <row r="1761" spans="1:43" x14ac:dyDescent="0.2">
      <c r="A1761" t="s">
        <v>381</v>
      </c>
      <c r="B1761" s="3">
        <v>44364</v>
      </c>
      <c r="C1761">
        <v>138</v>
      </c>
      <c r="D1761" t="s">
        <v>399</v>
      </c>
      <c r="E1761" t="s">
        <v>72</v>
      </c>
      <c r="F1761" s="9" t="s">
        <v>74</v>
      </c>
      <c r="G1761" t="s">
        <v>26</v>
      </c>
      <c r="H1761" t="s">
        <v>34</v>
      </c>
      <c r="I1761" t="s">
        <v>35</v>
      </c>
      <c r="J1761" t="s">
        <v>29</v>
      </c>
      <c r="K1761" t="s">
        <v>30</v>
      </c>
      <c r="L1761" t="s">
        <v>29</v>
      </c>
      <c r="M1761" t="s">
        <v>30</v>
      </c>
      <c r="N1761" t="s">
        <v>34</v>
      </c>
      <c r="O1761" t="s">
        <v>35</v>
      </c>
      <c r="P1761" t="s">
        <v>29</v>
      </c>
      <c r="Q1761" t="s">
        <v>30</v>
      </c>
      <c r="R1761" s="1">
        <v>44364.459872685184</v>
      </c>
      <c r="S1761" s="1">
        <v>44364.464641203704</v>
      </c>
      <c r="T1761">
        <v>0</v>
      </c>
      <c r="U1761">
        <v>1</v>
      </c>
      <c r="V1761" s="2">
        <v>0</v>
      </c>
      <c r="W1761">
        <v>0</v>
      </c>
      <c r="X1761" t="s">
        <v>37</v>
      </c>
      <c r="Y1761">
        <v>0</v>
      </c>
      <c r="Z1761" t="s">
        <v>37</v>
      </c>
      <c r="AA1761">
        <v>0</v>
      </c>
      <c r="AB1761" t="s">
        <v>37</v>
      </c>
      <c r="AC1761">
        <v>0</v>
      </c>
      <c r="AD1761" t="s">
        <v>44</v>
      </c>
      <c r="AE1761">
        <v>0</v>
      </c>
      <c r="AF1761" t="s">
        <v>37</v>
      </c>
      <c r="AG1761">
        <v>0</v>
      </c>
      <c r="AH1761" t="s">
        <v>31</v>
      </c>
      <c r="AI1761">
        <v>0</v>
      </c>
      <c r="AJ1761" t="s">
        <v>31</v>
      </c>
      <c r="AK1761">
        <v>0</v>
      </c>
      <c r="AL1761" t="s">
        <v>31</v>
      </c>
      <c r="AM1761">
        <v>0</v>
      </c>
      <c r="AN1761" t="s">
        <v>31</v>
      </c>
      <c r="AO1761">
        <v>0</v>
      </c>
      <c r="AP1761" t="s">
        <v>31</v>
      </c>
      <c r="AQ1761">
        <v>0</v>
      </c>
    </row>
    <row r="1762" spans="1:43" x14ac:dyDescent="0.2">
      <c r="A1762" t="s">
        <v>381</v>
      </c>
      <c r="B1762" s="3">
        <v>44365</v>
      </c>
      <c r="C1762">
        <v>140</v>
      </c>
      <c r="D1762" t="s">
        <v>399</v>
      </c>
      <c r="E1762" t="s">
        <v>72</v>
      </c>
      <c r="F1762" s="9" t="s">
        <v>74</v>
      </c>
      <c r="G1762" t="s">
        <v>26</v>
      </c>
      <c r="H1762" t="s">
        <v>34</v>
      </c>
      <c r="I1762" t="s">
        <v>35</v>
      </c>
      <c r="J1762" t="s">
        <v>29</v>
      </c>
      <c r="K1762" t="s">
        <v>30</v>
      </c>
      <c r="L1762" t="s">
        <v>29</v>
      </c>
      <c r="M1762" t="s">
        <v>30</v>
      </c>
      <c r="N1762" t="s">
        <v>34</v>
      </c>
      <c r="O1762" t="s">
        <v>35</v>
      </c>
      <c r="P1762" t="s">
        <v>29</v>
      </c>
      <c r="Q1762" t="s">
        <v>30</v>
      </c>
      <c r="R1762" s="1">
        <v>44365.641608796293</v>
      </c>
      <c r="S1762" s="1">
        <v>44365.64162037037</v>
      </c>
      <c r="T1762">
        <v>1</v>
      </c>
      <c r="U1762">
        <v>1</v>
      </c>
      <c r="V1762" s="2">
        <v>1</v>
      </c>
      <c r="W1762">
        <v>0</v>
      </c>
      <c r="X1762" t="s">
        <v>37</v>
      </c>
      <c r="Y1762">
        <v>0</v>
      </c>
      <c r="Z1762" t="s">
        <v>30</v>
      </c>
      <c r="AA1762">
        <v>0</v>
      </c>
      <c r="AB1762" t="s">
        <v>31</v>
      </c>
      <c r="AC1762">
        <v>0</v>
      </c>
      <c r="AD1762" t="s">
        <v>31</v>
      </c>
      <c r="AE1762">
        <v>0</v>
      </c>
      <c r="AF1762" t="s">
        <v>31</v>
      </c>
      <c r="AG1762">
        <v>0</v>
      </c>
      <c r="AH1762" t="s">
        <v>31</v>
      </c>
      <c r="AI1762">
        <v>0</v>
      </c>
      <c r="AJ1762" t="s">
        <v>31</v>
      </c>
      <c r="AK1762">
        <v>0</v>
      </c>
      <c r="AL1762" t="s">
        <v>31</v>
      </c>
      <c r="AM1762">
        <v>0</v>
      </c>
      <c r="AN1762" t="s">
        <v>31</v>
      </c>
      <c r="AO1762">
        <v>0</v>
      </c>
      <c r="AP1762" t="s">
        <v>31</v>
      </c>
      <c r="AQ1762">
        <v>0</v>
      </c>
    </row>
    <row r="1763" spans="1:43" x14ac:dyDescent="0.2">
      <c r="A1763" t="s">
        <v>381</v>
      </c>
      <c r="B1763" s="3">
        <v>44375</v>
      </c>
      <c r="C1763">
        <v>141</v>
      </c>
      <c r="D1763" t="s">
        <v>396</v>
      </c>
      <c r="E1763" t="s">
        <v>72</v>
      </c>
      <c r="F1763" s="9" t="s">
        <v>74</v>
      </c>
      <c r="G1763" t="s">
        <v>26</v>
      </c>
      <c r="H1763" t="s">
        <v>34</v>
      </c>
      <c r="I1763" t="s">
        <v>35</v>
      </c>
      <c r="J1763" t="s">
        <v>29</v>
      </c>
      <c r="K1763" t="s">
        <v>30</v>
      </c>
      <c r="L1763" t="s">
        <v>29</v>
      </c>
      <c r="M1763" t="s">
        <v>30</v>
      </c>
      <c r="N1763" t="s">
        <v>34</v>
      </c>
      <c r="O1763" t="s">
        <v>35</v>
      </c>
      <c r="P1763" t="s">
        <v>29</v>
      </c>
      <c r="Q1763" t="s">
        <v>30</v>
      </c>
      <c r="R1763" s="1">
        <v>44375.612534722219</v>
      </c>
      <c r="S1763" s="1">
        <v>44375.612546296295</v>
      </c>
      <c r="T1763">
        <v>0</v>
      </c>
      <c r="U1763">
        <v>0</v>
      </c>
      <c r="V1763" s="2">
        <v>0</v>
      </c>
      <c r="W1763">
        <v>0</v>
      </c>
      <c r="X1763" t="s">
        <v>37</v>
      </c>
      <c r="Y1763">
        <v>0</v>
      </c>
      <c r="Z1763" t="s">
        <v>37</v>
      </c>
      <c r="AA1763">
        <v>0</v>
      </c>
      <c r="AB1763" t="s">
        <v>31</v>
      </c>
      <c r="AC1763">
        <v>0</v>
      </c>
      <c r="AD1763" t="s">
        <v>31</v>
      </c>
      <c r="AE1763">
        <v>0</v>
      </c>
      <c r="AF1763" t="s">
        <v>31</v>
      </c>
      <c r="AG1763">
        <v>0</v>
      </c>
      <c r="AH1763" t="s">
        <v>31</v>
      </c>
      <c r="AI1763">
        <v>0</v>
      </c>
      <c r="AJ1763" t="s">
        <v>31</v>
      </c>
      <c r="AK1763">
        <v>0</v>
      </c>
      <c r="AL1763" t="s">
        <v>31</v>
      </c>
      <c r="AM1763">
        <v>0</v>
      </c>
      <c r="AN1763" t="s">
        <v>31</v>
      </c>
      <c r="AO1763">
        <v>0</v>
      </c>
      <c r="AP1763" t="s">
        <v>31</v>
      </c>
      <c r="AQ1763">
        <v>0</v>
      </c>
    </row>
    <row r="1764" spans="1:43" x14ac:dyDescent="0.2">
      <c r="A1764" t="s">
        <v>381</v>
      </c>
      <c r="B1764" s="3">
        <v>44260</v>
      </c>
      <c r="C1764">
        <v>28</v>
      </c>
      <c r="D1764" t="s">
        <v>384</v>
      </c>
      <c r="E1764" t="s">
        <v>75</v>
      </c>
      <c r="F1764" s="9" t="s">
        <v>204</v>
      </c>
      <c r="G1764" t="s">
        <v>26</v>
      </c>
      <c r="H1764" t="s">
        <v>200</v>
      </c>
      <c r="I1764" t="s">
        <v>201</v>
      </c>
      <c r="J1764" t="s">
        <v>43</v>
      </c>
      <c r="K1764" t="s">
        <v>44</v>
      </c>
      <c r="L1764" t="s">
        <v>29</v>
      </c>
      <c r="M1764" t="s">
        <v>30</v>
      </c>
      <c r="N1764" t="s">
        <v>200</v>
      </c>
      <c r="O1764" t="s">
        <v>201</v>
      </c>
      <c r="P1764" t="s">
        <v>43</v>
      </c>
      <c r="Q1764" t="s">
        <v>44</v>
      </c>
      <c r="R1764" s="1">
        <v>44260.451597222222</v>
      </c>
      <c r="S1764" s="1">
        <v>44260.451597222222</v>
      </c>
      <c r="T1764">
        <v>1</v>
      </c>
      <c r="U1764">
        <v>1</v>
      </c>
      <c r="V1764" s="2">
        <v>1</v>
      </c>
      <c r="W1764">
        <v>0</v>
      </c>
      <c r="X1764" t="s">
        <v>30</v>
      </c>
      <c r="Y1764">
        <v>0</v>
      </c>
      <c r="Z1764" t="s">
        <v>31</v>
      </c>
      <c r="AA1764">
        <v>0</v>
      </c>
      <c r="AB1764" t="s">
        <v>31</v>
      </c>
      <c r="AC1764">
        <v>0</v>
      </c>
      <c r="AD1764" t="s">
        <v>31</v>
      </c>
      <c r="AE1764">
        <v>0</v>
      </c>
      <c r="AF1764" t="s">
        <v>31</v>
      </c>
      <c r="AG1764">
        <v>0</v>
      </c>
      <c r="AH1764" t="s">
        <v>31</v>
      </c>
      <c r="AI1764">
        <v>0</v>
      </c>
      <c r="AJ1764" t="s">
        <v>31</v>
      </c>
      <c r="AK1764">
        <v>0</v>
      </c>
      <c r="AL1764" t="s">
        <v>31</v>
      </c>
      <c r="AM1764">
        <v>0</v>
      </c>
      <c r="AN1764" t="s">
        <v>31</v>
      </c>
      <c r="AO1764">
        <v>0</v>
      </c>
      <c r="AP1764" t="s">
        <v>31</v>
      </c>
      <c r="AQ1764">
        <v>0</v>
      </c>
    </row>
    <row r="1765" spans="1:43" x14ac:dyDescent="0.2">
      <c r="A1765" t="s">
        <v>381</v>
      </c>
      <c r="B1765" s="3">
        <v>44350</v>
      </c>
      <c r="C1765">
        <v>123</v>
      </c>
      <c r="D1765" t="s">
        <v>382</v>
      </c>
      <c r="E1765" t="s">
        <v>75</v>
      </c>
      <c r="F1765" s="9" t="s">
        <v>204</v>
      </c>
      <c r="G1765" t="s">
        <v>26</v>
      </c>
      <c r="H1765" t="s">
        <v>200</v>
      </c>
      <c r="I1765" t="s">
        <v>201</v>
      </c>
      <c r="J1765" t="s">
        <v>43</v>
      </c>
      <c r="K1765" t="s">
        <v>44</v>
      </c>
      <c r="L1765" t="s">
        <v>29</v>
      </c>
      <c r="M1765" t="s">
        <v>30</v>
      </c>
      <c r="N1765" t="s">
        <v>200</v>
      </c>
      <c r="O1765" t="s">
        <v>201</v>
      </c>
      <c r="P1765" t="s">
        <v>43</v>
      </c>
      <c r="Q1765" t="s">
        <v>44</v>
      </c>
      <c r="R1765" s="1">
        <v>44350.429513888892</v>
      </c>
      <c r="S1765" s="1">
        <v>44350.429629629631</v>
      </c>
      <c r="T1765">
        <v>0</v>
      </c>
      <c r="U1765">
        <v>5</v>
      </c>
      <c r="V1765" s="2">
        <v>0</v>
      </c>
      <c r="W1765">
        <v>0</v>
      </c>
      <c r="X1765" t="s">
        <v>44</v>
      </c>
      <c r="Y1765">
        <v>0</v>
      </c>
      <c r="Z1765" t="s">
        <v>44</v>
      </c>
      <c r="AA1765">
        <v>0</v>
      </c>
      <c r="AB1765" t="s">
        <v>81</v>
      </c>
      <c r="AC1765">
        <v>0</v>
      </c>
      <c r="AD1765" t="s">
        <v>45</v>
      </c>
      <c r="AE1765">
        <v>0</v>
      </c>
      <c r="AF1765" t="s">
        <v>47</v>
      </c>
      <c r="AG1765">
        <v>0</v>
      </c>
      <c r="AH1765" t="s">
        <v>31</v>
      </c>
      <c r="AI1765">
        <v>0</v>
      </c>
      <c r="AJ1765" t="s">
        <v>31</v>
      </c>
      <c r="AK1765">
        <v>0</v>
      </c>
      <c r="AL1765" t="s">
        <v>31</v>
      </c>
      <c r="AM1765">
        <v>0</v>
      </c>
      <c r="AN1765" t="s">
        <v>31</v>
      </c>
      <c r="AO1765">
        <v>0</v>
      </c>
      <c r="AP1765" t="s">
        <v>31</v>
      </c>
      <c r="AQ1765">
        <v>0</v>
      </c>
    </row>
    <row r="1766" spans="1:43" x14ac:dyDescent="0.2">
      <c r="A1766" t="s">
        <v>381</v>
      </c>
      <c r="B1766" s="3">
        <v>44207</v>
      </c>
      <c r="C1766">
        <v>1</v>
      </c>
      <c r="D1766" t="s">
        <v>384</v>
      </c>
      <c r="E1766" t="s">
        <v>75</v>
      </c>
      <c r="F1766" s="9" t="s">
        <v>76</v>
      </c>
      <c r="G1766" t="s">
        <v>26</v>
      </c>
      <c r="H1766" t="s">
        <v>34</v>
      </c>
      <c r="I1766" t="s">
        <v>35</v>
      </c>
      <c r="J1766" t="s">
        <v>29</v>
      </c>
      <c r="K1766" t="s">
        <v>30</v>
      </c>
      <c r="L1766" t="s">
        <v>29</v>
      </c>
      <c r="M1766" t="s">
        <v>30</v>
      </c>
      <c r="N1766" t="s">
        <v>34</v>
      </c>
      <c r="O1766" t="s">
        <v>35</v>
      </c>
      <c r="P1766" t="s">
        <v>29</v>
      </c>
      <c r="Q1766" t="s">
        <v>30</v>
      </c>
      <c r="R1766" s="1">
        <v>44207.452743055554</v>
      </c>
      <c r="S1766" s="1">
        <v>44207.452928240738</v>
      </c>
      <c r="T1766">
        <v>1</v>
      </c>
      <c r="U1766">
        <v>1</v>
      </c>
      <c r="V1766" s="2">
        <v>1</v>
      </c>
      <c r="W1766">
        <v>0</v>
      </c>
      <c r="X1766" t="s">
        <v>37</v>
      </c>
      <c r="Y1766">
        <v>0</v>
      </c>
      <c r="Z1766" t="s">
        <v>37</v>
      </c>
      <c r="AA1766">
        <v>0</v>
      </c>
      <c r="AB1766" t="s">
        <v>30</v>
      </c>
      <c r="AC1766">
        <v>0</v>
      </c>
      <c r="AD1766" t="s">
        <v>31</v>
      </c>
      <c r="AE1766">
        <v>0</v>
      </c>
      <c r="AF1766" t="s">
        <v>31</v>
      </c>
      <c r="AG1766">
        <v>0</v>
      </c>
      <c r="AH1766" t="s">
        <v>31</v>
      </c>
      <c r="AI1766">
        <v>0</v>
      </c>
      <c r="AJ1766" t="s">
        <v>31</v>
      </c>
      <c r="AK1766">
        <v>0</v>
      </c>
      <c r="AL1766" t="s">
        <v>31</v>
      </c>
      <c r="AM1766">
        <v>0</v>
      </c>
      <c r="AN1766" t="s">
        <v>31</v>
      </c>
      <c r="AO1766">
        <v>0</v>
      </c>
      <c r="AP1766" t="s">
        <v>31</v>
      </c>
      <c r="AQ1766">
        <v>0</v>
      </c>
    </row>
    <row r="1767" spans="1:43" x14ac:dyDescent="0.2">
      <c r="A1767" t="s">
        <v>381</v>
      </c>
      <c r="B1767" s="3">
        <v>44238</v>
      </c>
      <c r="C1767">
        <v>5</v>
      </c>
      <c r="D1767" t="s">
        <v>382</v>
      </c>
      <c r="E1767" t="s">
        <v>75</v>
      </c>
      <c r="F1767" s="9" t="s">
        <v>76</v>
      </c>
      <c r="G1767" t="s">
        <v>26</v>
      </c>
      <c r="H1767" t="s">
        <v>34</v>
      </c>
      <c r="I1767" t="s">
        <v>35</v>
      </c>
      <c r="J1767" t="s">
        <v>29</v>
      </c>
      <c r="K1767" t="s">
        <v>30</v>
      </c>
      <c r="L1767" t="s">
        <v>29</v>
      </c>
      <c r="M1767" t="s">
        <v>30</v>
      </c>
      <c r="N1767" t="s">
        <v>34</v>
      </c>
      <c r="O1767" t="s">
        <v>35</v>
      </c>
      <c r="P1767" t="s">
        <v>29</v>
      </c>
      <c r="Q1767" t="s">
        <v>30</v>
      </c>
      <c r="R1767" s="1">
        <v>44238.469444444447</v>
      </c>
      <c r="S1767" s="1">
        <v>44238.469606481478</v>
      </c>
      <c r="T1767">
        <v>0</v>
      </c>
      <c r="U1767">
        <v>9</v>
      </c>
      <c r="V1767" s="2">
        <v>0</v>
      </c>
      <c r="W1767">
        <v>0</v>
      </c>
      <c r="X1767" t="s">
        <v>47</v>
      </c>
      <c r="Y1767">
        <v>0</v>
      </c>
      <c r="Z1767" t="s">
        <v>47</v>
      </c>
      <c r="AA1767">
        <v>0</v>
      </c>
      <c r="AB1767" t="s">
        <v>47</v>
      </c>
      <c r="AC1767">
        <v>0</v>
      </c>
      <c r="AD1767" t="s">
        <v>47</v>
      </c>
      <c r="AE1767">
        <v>0</v>
      </c>
      <c r="AF1767" t="s">
        <v>47</v>
      </c>
      <c r="AG1767">
        <v>0</v>
      </c>
      <c r="AH1767" t="s">
        <v>47</v>
      </c>
      <c r="AI1767">
        <v>0</v>
      </c>
      <c r="AJ1767" t="s">
        <v>47</v>
      </c>
      <c r="AK1767">
        <v>0</v>
      </c>
      <c r="AL1767" t="s">
        <v>47</v>
      </c>
      <c r="AM1767">
        <v>0</v>
      </c>
      <c r="AN1767" t="s">
        <v>47</v>
      </c>
      <c r="AO1767">
        <v>0</v>
      </c>
      <c r="AP1767" t="s">
        <v>31</v>
      </c>
      <c r="AQ1767">
        <v>0</v>
      </c>
    </row>
    <row r="1768" spans="1:43" x14ac:dyDescent="0.2">
      <c r="A1768" t="s">
        <v>381</v>
      </c>
      <c r="B1768" s="3">
        <v>44242</v>
      </c>
      <c r="C1768">
        <v>8</v>
      </c>
      <c r="D1768" t="s">
        <v>384</v>
      </c>
      <c r="E1768" t="s">
        <v>75</v>
      </c>
      <c r="F1768" s="9" t="s">
        <v>76</v>
      </c>
      <c r="G1768" t="s">
        <v>26</v>
      </c>
      <c r="H1768" t="s">
        <v>34</v>
      </c>
      <c r="I1768" t="s">
        <v>35</v>
      </c>
      <c r="J1768" t="s">
        <v>29</v>
      </c>
      <c r="K1768" t="s">
        <v>30</v>
      </c>
      <c r="L1768" t="s">
        <v>29</v>
      </c>
      <c r="M1768" t="s">
        <v>30</v>
      </c>
      <c r="N1768" t="s">
        <v>34</v>
      </c>
      <c r="O1768" t="s">
        <v>35</v>
      </c>
      <c r="P1768" t="s">
        <v>29</v>
      </c>
      <c r="Q1768" t="s">
        <v>30</v>
      </c>
      <c r="R1768" s="1">
        <v>44242.430486111109</v>
      </c>
      <c r="S1768" s="1">
        <v>44242.430960648147</v>
      </c>
      <c r="T1768">
        <v>0</v>
      </c>
      <c r="U1768">
        <v>1</v>
      </c>
      <c r="V1768" s="2">
        <v>0</v>
      </c>
      <c r="W1768">
        <v>0</v>
      </c>
      <c r="X1768" t="s">
        <v>37</v>
      </c>
      <c r="Y1768">
        <v>0</v>
      </c>
      <c r="Z1768" t="s">
        <v>44</v>
      </c>
      <c r="AA1768">
        <v>0</v>
      </c>
      <c r="AB1768" t="s">
        <v>37</v>
      </c>
      <c r="AC1768">
        <v>0</v>
      </c>
      <c r="AD1768" t="s">
        <v>37</v>
      </c>
      <c r="AE1768">
        <v>0</v>
      </c>
      <c r="AF1768" t="s">
        <v>31</v>
      </c>
      <c r="AG1768">
        <v>0</v>
      </c>
      <c r="AH1768" t="s">
        <v>31</v>
      </c>
      <c r="AI1768">
        <v>0</v>
      </c>
      <c r="AJ1768" t="s">
        <v>31</v>
      </c>
      <c r="AK1768">
        <v>0</v>
      </c>
      <c r="AL1768" t="s">
        <v>31</v>
      </c>
      <c r="AM1768">
        <v>0</v>
      </c>
      <c r="AN1768" t="s">
        <v>31</v>
      </c>
      <c r="AO1768">
        <v>0</v>
      </c>
      <c r="AP1768" t="s">
        <v>31</v>
      </c>
      <c r="AQ1768">
        <v>0</v>
      </c>
    </row>
    <row r="1769" spans="1:43" x14ac:dyDescent="0.2">
      <c r="A1769" t="s">
        <v>381</v>
      </c>
      <c r="B1769" s="3">
        <v>44243</v>
      </c>
      <c r="C1769">
        <v>9</v>
      </c>
      <c r="D1769" t="s">
        <v>382</v>
      </c>
      <c r="E1769" t="s">
        <v>75</v>
      </c>
      <c r="F1769" s="9" t="s">
        <v>76</v>
      </c>
      <c r="G1769" t="s">
        <v>26</v>
      </c>
      <c r="H1769" t="s">
        <v>34</v>
      </c>
      <c r="I1769" t="s">
        <v>35</v>
      </c>
      <c r="J1769" t="s">
        <v>29</v>
      </c>
      <c r="K1769" t="s">
        <v>30</v>
      </c>
      <c r="L1769" t="s">
        <v>29</v>
      </c>
      <c r="M1769" t="s">
        <v>30</v>
      </c>
      <c r="N1769" t="s">
        <v>34</v>
      </c>
      <c r="O1769" t="s">
        <v>35</v>
      </c>
      <c r="P1769" t="s">
        <v>29</v>
      </c>
      <c r="Q1769" t="s">
        <v>30</v>
      </c>
      <c r="R1769" s="1">
        <v>44243.41783564815</v>
      </c>
      <c r="S1769" s="1">
        <v>44243.418090277781</v>
      </c>
      <c r="T1769">
        <v>0</v>
      </c>
      <c r="U1769">
        <v>1</v>
      </c>
      <c r="V1769" s="2">
        <v>0</v>
      </c>
      <c r="W1769">
        <v>0</v>
      </c>
      <c r="X1769" t="s">
        <v>44</v>
      </c>
      <c r="Y1769">
        <v>0</v>
      </c>
      <c r="Z1769" t="s">
        <v>37</v>
      </c>
      <c r="AA1769">
        <v>0</v>
      </c>
      <c r="AB1769" t="s">
        <v>37</v>
      </c>
      <c r="AC1769">
        <v>0</v>
      </c>
      <c r="AD1769" t="s">
        <v>37</v>
      </c>
      <c r="AE1769">
        <v>0</v>
      </c>
      <c r="AF1769" t="s">
        <v>31</v>
      </c>
      <c r="AG1769">
        <v>0</v>
      </c>
      <c r="AH1769" t="s">
        <v>31</v>
      </c>
      <c r="AI1769">
        <v>0</v>
      </c>
      <c r="AJ1769" t="s">
        <v>31</v>
      </c>
      <c r="AK1769">
        <v>0</v>
      </c>
      <c r="AL1769" t="s">
        <v>31</v>
      </c>
      <c r="AM1769">
        <v>0</v>
      </c>
      <c r="AN1769" t="s">
        <v>31</v>
      </c>
      <c r="AO1769">
        <v>0</v>
      </c>
      <c r="AP1769" t="s">
        <v>31</v>
      </c>
      <c r="AQ1769">
        <v>0</v>
      </c>
    </row>
    <row r="1770" spans="1:43" x14ac:dyDescent="0.2">
      <c r="A1770" t="s">
        <v>381</v>
      </c>
      <c r="B1770" s="3">
        <v>44243</v>
      </c>
      <c r="C1770">
        <v>10</v>
      </c>
      <c r="D1770" t="s">
        <v>385</v>
      </c>
      <c r="E1770" t="s">
        <v>75</v>
      </c>
      <c r="F1770" s="9" t="s">
        <v>76</v>
      </c>
      <c r="G1770" t="s">
        <v>26</v>
      </c>
      <c r="H1770" t="s">
        <v>34</v>
      </c>
      <c r="I1770" t="s">
        <v>35</v>
      </c>
      <c r="J1770" t="s">
        <v>29</v>
      </c>
      <c r="K1770" t="s">
        <v>30</v>
      </c>
      <c r="L1770" t="s">
        <v>29</v>
      </c>
      <c r="M1770" t="s">
        <v>30</v>
      </c>
      <c r="N1770" t="s">
        <v>34</v>
      </c>
      <c r="O1770" t="s">
        <v>35</v>
      </c>
      <c r="P1770" t="s">
        <v>29</v>
      </c>
      <c r="Q1770" t="s">
        <v>30</v>
      </c>
      <c r="R1770" s="1">
        <v>44243.634513888886</v>
      </c>
      <c r="S1770" s="1">
        <v>44243.636562500003</v>
      </c>
      <c r="T1770">
        <v>0</v>
      </c>
      <c r="U1770">
        <v>0</v>
      </c>
      <c r="V1770" s="2">
        <v>0</v>
      </c>
      <c r="W1770">
        <v>0</v>
      </c>
      <c r="X1770" t="s">
        <v>37</v>
      </c>
      <c r="Y1770">
        <v>0</v>
      </c>
      <c r="Z1770" t="s">
        <v>37</v>
      </c>
      <c r="AA1770">
        <v>0</v>
      </c>
      <c r="AB1770" t="s">
        <v>37</v>
      </c>
      <c r="AC1770">
        <v>0</v>
      </c>
      <c r="AD1770" t="s">
        <v>37</v>
      </c>
      <c r="AE1770">
        <v>0</v>
      </c>
      <c r="AF1770" t="s">
        <v>31</v>
      </c>
      <c r="AG1770">
        <v>0</v>
      </c>
      <c r="AH1770" t="s">
        <v>31</v>
      </c>
      <c r="AI1770">
        <v>0</v>
      </c>
      <c r="AJ1770" t="s">
        <v>31</v>
      </c>
      <c r="AK1770">
        <v>0</v>
      </c>
      <c r="AL1770" t="s">
        <v>31</v>
      </c>
      <c r="AM1770">
        <v>0</v>
      </c>
      <c r="AN1770" t="s">
        <v>31</v>
      </c>
      <c r="AO1770">
        <v>0</v>
      </c>
      <c r="AP1770" t="s">
        <v>31</v>
      </c>
      <c r="AQ1770">
        <v>0</v>
      </c>
    </row>
    <row r="1771" spans="1:43" x14ac:dyDescent="0.2">
      <c r="A1771" t="s">
        <v>381</v>
      </c>
      <c r="B1771" s="3">
        <v>44244</v>
      </c>
      <c r="C1771">
        <v>11</v>
      </c>
      <c r="D1771" t="s">
        <v>384</v>
      </c>
      <c r="E1771" t="s">
        <v>75</v>
      </c>
      <c r="F1771" s="9" t="s">
        <v>76</v>
      </c>
      <c r="G1771" t="s">
        <v>26</v>
      </c>
      <c r="H1771" t="s">
        <v>34</v>
      </c>
      <c r="I1771" t="s">
        <v>35</v>
      </c>
      <c r="J1771" t="s">
        <v>29</v>
      </c>
      <c r="K1771" t="s">
        <v>30</v>
      </c>
      <c r="L1771" t="s">
        <v>29</v>
      </c>
      <c r="M1771" t="s">
        <v>30</v>
      </c>
      <c r="N1771" t="s">
        <v>34</v>
      </c>
      <c r="O1771" t="s">
        <v>35</v>
      </c>
      <c r="P1771" t="s">
        <v>29</v>
      </c>
      <c r="Q1771" t="s">
        <v>30</v>
      </c>
      <c r="R1771" s="1">
        <v>44244.460810185185</v>
      </c>
      <c r="S1771" s="1">
        <v>44244.460972222223</v>
      </c>
      <c r="T1771">
        <v>0</v>
      </c>
      <c r="U1771">
        <v>0</v>
      </c>
      <c r="V1771" s="2">
        <v>0</v>
      </c>
      <c r="W1771">
        <v>0</v>
      </c>
      <c r="X1771" t="s">
        <v>37</v>
      </c>
      <c r="Y1771">
        <v>0</v>
      </c>
      <c r="Z1771" t="s">
        <v>37</v>
      </c>
      <c r="AA1771">
        <v>0</v>
      </c>
      <c r="AB1771" t="s">
        <v>37</v>
      </c>
      <c r="AC1771">
        <v>0</v>
      </c>
      <c r="AD1771" t="s">
        <v>31</v>
      </c>
      <c r="AE1771">
        <v>0</v>
      </c>
      <c r="AF1771" t="s">
        <v>31</v>
      </c>
      <c r="AG1771">
        <v>0</v>
      </c>
      <c r="AH1771" t="s">
        <v>31</v>
      </c>
      <c r="AI1771">
        <v>0</v>
      </c>
      <c r="AJ1771" t="s">
        <v>31</v>
      </c>
      <c r="AK1771">
        <v>0</v>
      </c>
      <c r="AL1771" t="s">
        <v>31</v>
      </c>
      <c r="AM1771">
        <v>0</v>
      </c>
      <c r="AN1771" t="s">
        <v>31</v>
      </c>
      <c r="AO1771">
        <v>0</v>
      </c>
      <c r="AP1771" t="s">
        <v>31</v>
      </c>
      <c r="AQ1771">
        <v>0</v>
      </c>
    </row>
    <row r="1772" spans="1:43" x14ac:dyDescent="0.2">
      <c r="A1772" t="s">
        <v>381</v>
      </c>
      <c r="B1772" s="3">
        <v>44245</v>
      </c>
      <c r="C1772">
        <v>12</v>
      </c>
      <c r="D1772" t="s">
        <v>382</v>
      </c>
      <c r="E1772" t="s">
        <v>75</v>
      </c>
      <c r="F1772" s="9" t="s">
        <v>76</v>
      </c>
      <c r="G1772" t="s">
        <v>26</v>
      </c>
      <c r="H1772" t="s">
        <v>34</v>
      </c>
      <c r="I1772" t="s">
        <v>35</v>
      </c>
      <c r="J1772" t="s">
        <v>29</v>
      </c>
      <c r="K1772" t="s">
        <v>30</v>
      </c>
      <c r="L1772" t="s">
        <v>29</v>
      </c>
      <c r="M1772" t="s">
        <v>30</v>
      </c>
      <c r="N1772" t="s">
        <v>34</v>
      </c>
      <c r="O1772" t="s">
        <v>35</v>
      </c>
      <c r="P1772" t="s">
        <v>29</v>
      </c>
      <c r="Q1772" t="s">
        <v>30</v>
      </c>
      <c r="R1772" s="1">
        <v>44245.450914351852</v>
      </c>
      <c r="S1772" s="1">
        <v>44245.451180555552</v>
      </c>
      <c r="T1772">
        <v>0</v>
      </c>
      <c r="U1772">
        <v>4</v>
      </c>
      <c r="V1772" s="2">
        <v>0</v>
      </c>
      <c r="W1772">
        <v>0</v>
      </c>
      <c r="X1772" t="s">
        <v>44</v>
      </c>
      <c r="Y1772">
        <v>0</v>
      </c>
      <c r="Z1772" t="s">
        <v>44</v>
      </c>
      <c r="AA1772">
        <v>0</v>
      </c>
      <c r="AB1772" t="s">
        <v>81</v>
      </c>
      <c r="AC1772">
        <v>0</v>
      </c>
      <c r="AD1772" t="s">
        <v>44</v>
      </c>
      <c r="AE1772">
        <v>0</v>
      </c>
      <c r="AF1772" t="s">
        <v>37</v>
      </c>
      <c r="AG1772">
        <v>0</v>
      </c>
      <c r="AH1772" t="s">
        <v>31</v>
      </c>
      <c r="AI1772">
        <v>0</v>
      </c>
      <c r="AJ1772" t="s">
        <v>31</v>
      </c>
      <c r="AK1772">
        <v>0</v>
      </c>
      <c r="AL1772" t="s">
        <v>31</v>
      </c>
      <c r="AM1772">
        <v>0</v>
      </c>
      <c r="AN1772" t="s">
        <v>31</v>
      </c>
      <c r="AO1772">
        <v>0</v>
      </c>
      <c r="AP1772" t="s">
        <v>31</v>
      </c>
      <c r="AQ1772">
        <v>0</v>
      </c>
    </row>
    <row r="1773" spans="1:43" x14ac:dyDescent="0.2">
      <c r="A1773" t="s">
        <v>381</v>
      </c>
      <c r="B1773" s="3">
        <v>44246</v>
      </c>
      <c r="C1773">
        <v>14</v>
      </c>
      <c r="D1773" t="s">
        <v>384</v>
      </c>
      <c r="E1773" t="s">
        <v>75</v>
      </c>
      <c r="F1773" s="9" t="s">
        <v>76</v>
      </c>
      <c r="G1773" t="s">
        <v>26</v>
      </c>
      <c r="H1773" t="s">
        <v>34</v>
      </c>
      <c r="I1773" t="s">
        <v>35</v>
      </c>
      <c r="J1773" t="s">
        <v>29</v>
      </c>
      <c r="K1773" t="s">
        <v>30</v>
      </c>
      <c r="L1773" t="s">
        <v>29</v>
      </c>
      <c r="M1773" t="s">
        <v>30</v>
      </c>
      <c r="N1773" t="s">
        <v>34</v>
      </c>
      <c r="O1773" t="s">
        <v>35</v>
      </c>
      <c r="P1773" t="s">
        <v>29</v>
      </c>
      <c r="Q1773" t="s">
        <v>30</v>
      </c>
      <c r="R1773" s="1">
        <v>44246.433298611111</v>
      </c>
      <c r="S1773" s="1">
        <v>44246.433611111112</v>
      </c>
      <c r="T1773">
        <v>0</v>
      </c>
      <c r="U1773">
        <v>0</v>
      </c>
      <c r="V1773" s="2">
        <v>0</v>
      </c>
      <c r="W1773">
        <v>0</v>
      </c>
      <c r="X1773" t="s">
        <v>37</v>
      </c>
      <c r="Y1773">
        <v>0</v>
      </c>
      <c r="Z1773" t="s">
        <v>37</v>
      </c>
      <c r="AA1773">
        <v>0</v>
      </c>
      <c r="AB1773" t="s">
        <v>37</v>
      </c>
      <c r="AC1773">
        <v>0</v>
      </c>
      <c r="AD1773" t="s">
        <v>31</v>
      </c>
      <c r="AE1773">
        <v>0</v>
      </c>
      <c r="AF1773" t="s">
        <v>31</v>
      </c>
      <c r="AG1773">
        <v>0</v>
      </c>
      <c r="AH1773" t="s">
        <v>31</v>
      </c>
      <c r="AI1773">
        <v>0</v>
      </c>
      <c r="AJ1773" t="s">
        <v>31</v>
      </c>
      <c r="AK1773">
        <v>0</v>
      </c>
      <c r="AL1773" t="s">
        <v>31</v>
      </c>
      <c r="AM1773">
        <v>0</v>
      </c>
      <c r="AN1773" t="s">
        <v>31</v>
      </c>
      <c r="AO1773">
        <v>0</v>
      </c>
      <c r="AP1773" t="s">
        <v>31</v>
      </c>
      <c r="AQ1773">
        <v>0</v>
      </c>
    </row>
    <row r="1774" spans="1:43" x14ac:dyDescent="0.2">
      <c r="A1774" t="s">
        <v>381</v>
      </c>
      <c r="B1774" s="3">
        <v>44249</v>
      </c>
      <c r="C1774">
        <v>15</v>
      </c>
      <c r="D1774" t="s">
        <v>384</v>
      </c>
      <c r="E1774" t="s">
        <v>75</v>
      </c>
      <c r="F1774" s="9" t="s">
        <v>76</v>
      </c>
      <c r="G1774" t="s">
        <v>26</v>
      </c>
      <c r="H1774" t="s">
        <v>34</v>
      </c>
      <c r="I1774" t="s">
        <v>35</v>
      </c>
      <c r="J1774" t="s">
        <v>29</v>
      </c>
      <c r="K1774" t="s">
        <v>30</v>
      </c>
      <c r="L1774" t="s">
        <v>29</v>
      </c>
      <c r="M1774" t="s">
        <v>30</v>
      </c>
      <c r="N1774" t="s">
        <v>34</v>
      </c>
      <c r="O1774" t="s">
        <v>35</v>
      </c>
      <c r="P1774" t="s">
        <v>29</v>
      </c>
      <c r="Q1774" t="s">
        <v>30</v>
      </c>
      <c r="R1774" s="1">
        <v>44249.465567129628</v>
      </c>
      <c r="S1774" s="1">
        <v>44249.465810185182</v>
      </c>
      <c r="T1774">
        <v>0</v>
      </c>
      <c r="U1774">
        <v>1</v>
      </c>
      <c r="V1774" s="2">
        <v>0</v>
      </c>
      <c r="W1774">
        <v>0</v>
      </c>
      <c r="X1774" t="s">
        <v>37</v>
      </c>
      <c r="Y1774">
        <v>0</v>
      </c>
      <c r="Z1774" t="s">
        <v>37</v>
      </c>
      <c r="AA1774">
        <v>0</v>
      </c>
      <c r="AB1774" t="s">
        <v>44</v>
      </c>
      <c r="AC1774">
        <v>0</v>
      </c>
      <c r="AD1774" t="s">
        <v>37</v>
      </c>
      <c r="AE1774">
        <v>0</v>
      </c>
      <c r="AF1774" t="s">
        <v>31</v>
      </c>
      <c r="AG1774">
        <v>0</v>
      </c>
      <c r="AH1774" t="s">
        <v>31</v>
      </c>
      <c r="AI1774">
        <v>0</v>
      </c>
      <c r="AJ1774" t="s">
        <v>31</v>
      </c>
      <c r="AK1774">
        <v>0</v>
      </c>
      <c r="AL1774" t="s">
        <v>31</v>
      </c>
      <c r="AM1774">
        <v>0</v>
      </c>
      <c r="AN1774" t="s">
        <v>31</v>
      </c>
      <c r="AO1774">
        <v>0</v>
      </c>
      <c r="AP1774" t="s">
        <v>31</v>
      </c>
      <c r="AQ1774">
        <v>0</v>
      </c>
    </row>
    <row r="1775" spans="1:43" x14ac:dyDescent="0.2">
      <c r="A1775" t="s">
        <v>381</v>
      </c>
      <c r="B1775" s="3">
        <v>44250</v>
      </c>
      <c r="C1775">
        <v>16</v>
      </c>
      <c r="D1775" t="s">
        <v>382</v>
      </c>
      <c r="E1775" t="s">
        <v>75</v>
      </c>
      <c r="F1775" s="9" t="s">
        <v>76</v>
      </c>
      <c r="G1775" t="s">
        <v>26</v>
      </c>
      <c r="H1775" t="s">
        <v>34</v>
      </c>
      <c r="I1775" t="s">
        <v>35</v>
      </c>
      <c r="J1775" t="s">
        <v>29</v>
      </c>
      <c r="K1775" t="s">
        <v>30</v>
      </c>
      <c r="L1775" t="s">
        <v>29</v>
      </c>
      <c r="M1775" t="s">
        <v>30</v>
      </c>
      <c r="N1775" t="s">
        <v>34</v>
      </c>
      <c r="O1775" t="s">
        <v>35</v>
      </c>
      <c r="P1775" t="s">
        <v>29</v>
      </c>
      <c r="Q1775" t="s">
        <v>30</v>
      </c>
      <c r="R1775" s="1">
        <v>44250.456655092596</v>
      </c>
      <c r="S1775" s="1">
        <v>44250.456666666665</v>
      </c>
      <c r="T1775">
        <v>0</v>
      </c>
      <c r="U1775">
        <v>0</v>
      </c>
      <c r="V1775" s="2">
        <v>0</v>
      </c>
      <c r="W1775">
        <v>0</v>
      </c>
      <c r="X1775" t="s">
        <v>37</v>
      </c>
      <c r="Y1775">
        <v>0</v>
      </c>
      <c r="Z1775" t="s">
        <v>37</v>
      </c>
      <c r="AA1775">
        <v>0</v>
      </c>
      <c r="AB1775" t="s">
        <v>37</v>
      </c>
      <c r="AC1775">
        <v>0</v>
      </c>
      <c r="AD1775" t="s">
        <v>31</v>
      </c>
      <c r="AE1775">
        <v>0</v>
      </c>
      <c r="AF1775" t="s">
        <v>31</v>
      </c>
      <c r="AG1775">
        <v>0</v>
      </c>
      <c r="AH1775" t="s">
        <v>31</v>
      </c>
      <c r="AI1775">
        <v>0</v>
      </c>
      <c r="AJ1775" t="s">
        <v>31</v>
      </c>
      <c r="AK1775">
        <v>0</v>
      </c>
      <c r="AL1775" t="s">
        <v>31</v>
      </c>
      <c r="AM1775">
        <v>0</v>
      </c>
      <c r="AN1775" t="s">
        <v>31</v>
      </c>
      <c r="AO1775">
        <v>0</v>
      </c>
      <c r="AP1775" t="s">
        <v>31</v>
      </c>
      <c r="AQ1775">
        <v>0</v>
      </c>
    </row>
    <row r="1776" spans="1:43" x14ac:dyDescent="0.2">
      <c r="A1776" t="s">
        <v>381</v>
      </c>
      <c r="B1776" s="3">
        <v>44250</v>
      </c>
      <c r="C1776">
        <v>17</v>
      </c>
      <c r="D1776" t="s">
        <v>385</v>
      </c>
      <c r="E1776" t="s">
        <v>75</v>
      </c>
      <c r="F1776" s="9" t="s">
        <v>76</v>
      </c>
      <c r="G1776" t="s">
        <v>26</v>
      </c>
      <c r="H1776" t="s">
        <v>34</v>
      </c>
      <c r="I1776" t="s">
        <v>35</v>
      </c>
      <c r="J1776" t="s">
        <v>29</v>
      </c>
      <c r="K1776" t="s">
        <v>30</v>
      </c>
      <c r="L1776" t="s">
        <v>29</v>
      </c>
      <c r="M1776" t="s">
        <v>30</v>
      </c>
      <c r="N1776" t="s">
        <v>34</v>
      </c>
      <c r="O1776" t="s">
        <v>35</v>
      </c>
      <c r="P1776" t="s">
        <v>29</v>
      </c>
      <c r="Q1776" t="s">
        <v>30</v>
      </c>
      <c r="R1776" s="1">
        <v>44250.659872685188</v>
      </c>
      <c r="S1776" s="1">
        <v>44250.662488425929</v>
      </c>
      <c r="T1776">
        <v>0</v>
      </c>
      <c r="U1776">
        <v>0</v>
      </c>
      <c r="V1776" s="2">
        <v>0</v>
      </c>
      <c r="W1776">
        <v>0</v>
      </c>
      <c r="X1776" t="s">
        <v>37</v>
      </c>
      <c r="Y1776">
        <v>0</v>
      </c>
      <c r="Z1776" t="s">
        <v>37</v>
      </c>
      <c r="AA1776">
        <v>0</v>
      </c>
      <c r="AB1776" t="s">
        <v>37</v>
      </c>
      <c r="AC1776">
        <v>0</v>
      </c>
      <c r="AD1776" t="s">
        <v>37</v>
      </c>
      <c r="AE1776">
        <v>0</v>
      </c>
      <c r="AF1776" t="s">
        <v>31</v>
      </c>
      <c r="AG1776">
        <v>0</v>
      </c>
      <c r="AH1776" t="s">
        <v>31</v>
      </c>
      <c r="AI1776">
        <v>0</v>
      </c>
      <c r="AJ1776" t="s">
        <v>31</v>
      </c>
      <c r="AK1776">
        <v>0</v>
      </c>
      <c r="AL1776" t="s">
        <v>31</v>
      </c>
      <c r="AM1776">
        <v>0</v>
      </c>
      <c r="AN1776" t="s">
        <v>31</v>
      </c>
      <c r="AO1776">
        <v>0</v>
      </c>
      <c r="AP1776" t="s">
        <v>31</v>
      </c>
      <c r="AQ1776">
        <v>0</v>
      </c>
    </row>
    <row r="1777" spans="1:43" x14ac:dyDescent="0.2">
      <c r="A1777" t="s">
        <v>381</v>
      </c>
      <c r="B1777" s="3">
        <v>44251</v>
      </c>
      <c r="C1777">
        <v>18</v>
      </c>
      <c r="D1777" t="s">
        <v>384</v>
      </c>
      <c r="E1777" t="s">
        <v>75</v>
      </c>
      <c r="F1777" s="9" t="s">
        <v>76</v>
      </c>
      <c r="G1777" t="s">
        <v>26</v>
      </c>
      <c r="H1777" t="s">
        <v>34</v>
      </c>
      <c r="I1777" t="s">
        <v>35</v>
      </c>
      <c r="J1777" t="s">
        <v>29</v>
      </c>
      <c r="K1777" t="s">
        <v>30</v>
      </c>
      <c r="L1777" t="s">
        <v>29</v>
      </c>
      <c r="M1777" t="s">
        <v>30</v>
      </c>
      <c r="N1777" t="s">
        <v>34</v>
      </c>
      <c r="O1777" t="s">
        <v>35</v>
      </c>
      <c r="P1777" t="s">
        <v>29</v>
      </c>
      <c r="Q1777" t="s">
        <v>30</v>
      </c>
      <c r="R1777" s="1">
        <v>44251.411064814813</v>
      </c>
      <c r="S1777" s="1">
        <v>44251.411412037036</v>
      </c>
      <c r="T1777">
        <v>0</v>
      </c>
      <c r="U1777">
        <v>0</v>
      </c>
      <c r="V1777" s="2">
        <v>0</v>
      </c>
      <c r="W1777">
        <v>0</v>
      </c>
      <c r="X1777" t="s">
        <v>37</v>
      </c>
      <c r="Y1777">
        <v>0</v>
      </c>
      <c r="Z1777" t="s">
        <v>37</v>
      </c>
      <c r="AA1777">
        <v>0</v>
      </c>
      <c r="AB1777" t="s">
        <v>37</v>
      </c>
      <c r="AC1777">
        <v>0</v>
      </c>
      <c r="AD1777" t="s">
        <v>31</v>
      </c>
      <c r="AE1777">
        <v>0</v>
      </c>
      <c r="AF1777" t="s">
        <v>31</v>
      </c>
      <c r="AG1777">
        <v>0</v>
      </c>
      <c r="AH1777" t="s">
        <v>31</v>
      </c>
      <c r="AI1777">
        <v>0</v>
      </c>
      <c r="AJ1777" t="s">
        <v>31</v>
      </c>
      <c r="AK1777">
        <v>0</v>
      </c>
      <c r="AL1777" t="s">
        <v>31</v>
      </c>
      <c r="AM1777">
        <v>0</v>
      </c>
      <c r="AN1777" t="s">
        <v>31</v>
      </c>
      <c r="AO1777">
        <v>0</v>
      </c>
      <c r="AP1777" t="s">
        <v>31</v>
      </c>
      <c r="AQ1777">
        <v>0</v>
      </c>
    </row>
    <row r="1778" spans="1:43" x14ac:dyDescent="0.2">
      <c r="A1778" t="s">
        <v>381</v>
      </c>
      <c r="B1778" s="3">
        <v>44252</v>
      </c>
      <c r="C1778">
        <v>20</v>
      </c>
      <c r="D1778" t="s">
        <v>385</v>
      </c>
      <c r="E1778" t="s">
        <v>75</v>
      </c>
      <c r="F1778" s="9" t="s">
        <v>76</v>
      </c>
      <c r="G1778" t="s">
        <v>26</v>
      </c>
      <c r="H1778" t="s">
        <v>34</v>
      </c>
      <c r="I1778" t="s">
        <v>35</v>
      </c>
      <c r="J1778" t="s">
        <v>29</v>
      </c>
      <c r="K1778" t="s">
        <v>30</v>
      </c>
      <c r="L1778" t="s">
        <v>29</v>
      </c>
      <c r="M1778" t="s">
        <v>30</v>
      </c>
      <c r="N1778" t="s">
        <v>34</v>
      </c>
      <c r="O1778" t="s">
        <v>35</v>
      </c>
      <c r="P1778" t="s">
        <v>29</v>
      </c>
      <c r="Q1778" t="s">
        <v>30</v>
      </c>
      <c r="R1778" s="1">
        <v>44252.649247685185</v>
      </c>
      <c r="S1778" s="1">
        <v>44252.657789351855</v>
      </c>
      <c r="T1778">
        <v>2</v>
      </c>
      <c r="U1778">
        <v>10</v>
      </c>
      <c r="V1778" s="2">
        <v>0.2</v>
      </c>
      <c r="W1778">
        <v>0</v>
      </c>
      <c r="X1778" t="s">
        <v>44</v>
      </c>
      <c r="Y1778">
        <v>0</v>
      </c>
      <c r="Z1778" t="s">
        <v>44</v>
      </c>
      <c r="AA1778">
        <v>0</v>
      </c>
      <c r="AB1778" t="s">
        <v>81</v>
      </c>
      <c r="AC1778">
        <v>0</v>
      </c>
      <c r="AD1778" t="s">
        <v>45</v>
      </c>
      <c r="AE1778">
        <v>0</v>
      </c>
      <c r="AF1778" t="s">
        <v>44</v>
      </c>
      <c r="AG1778">
        <v>0</v>
      </c>
      <c r="AH1778" t="s">
        <v>44</v>
      </c>
      <c r="AI1778">
        <v>0</v>
      </c>
      <c r="AJ1778" t="s">
        <v>81</v>
      </c>
      <c r="AK1778">
        <v>0</v>
      </c>
      <c r="AL1778" t="s">
        <v>30</v>
      </c>
      <c r="AM1778">
        <v>0</v>
      </c>
      <c r="AN1778" t="s">
        <v>44</v>
      </c>
      <c r="AO1778">
        <v>0</v>
      </c>
      <c r="AP1778" t="s">
        <v>30</v>
      </c>
      <c r="AQ1778">
        <v>0</v>
      </c>
    </row>
    <row r="1779" spans="1:43" x14ac:dyDescent="0.2">
      <c r="A1779" t="s">
        <v>381</v>
      </c>
      <c r="B1779" s="3">
        <v>44253</v>
      </c>
      <c r="C1779">
        <v>21</v>
      </c>
      <c r="D1779" t="s">
        <v>384</v>
      </c>
      <c r="E1779" t="s">
        <v>75</v>
      </c>
      <c r="F1779" s="9" t="s">
        <v>76</v>
      </c>
      <c r="G1779" t="s">
        <v>26</v>
      </c>
      <c r="H1779" t="s">
        <v>34</v>
      </c>
      <c r="I1779" t="s">
        <v>35</v>
      </c>
      <c r="J1779" t="s">
        <v>29</v>
      </c>
      <c r="K1779" t="s">
        <v>30</v>
      </c>
      <c r="L1779" t="s">
        <v>29</v>
      </c>
      <c r="M1779" t="s">
        <v>30</v>
      </c>
      <c r="N1779" t="s">
        <v>34</v>
      </c>
      <c r="O1779" t="s">
        <v>35</v>
      </c>
      <c r="P1779" t="s">
        <v>29</v>
      </c>
      <c r="Q1779" t="s">
        <v>30</v>
      </c>
      <c r="R1779" s="1">
        <v>44253.419050925928</v>
      </c>
      <c r="S1779" s="1">
        <v>44253.419583333336</v>
      </c>
      <c r="T1779">
        <v>0</v>
      </c>
      <c r="U1779">
        <v>1</v>
      </c>
      <c r="V1779" s="2">
        <v>0</v>
      </c>
      <c r="W1779">
        <v>0</v>
      </c>
      <c r="X1779" t="s">
        <v>44</v>
      </c>
      <c r="Y1779">
        <v>0</v>
      </c>
      <c r="Z1779" t="s">
        <v>37</v>
      </c>
      <c r="AA1779">
        <v>0</v>
      </c>
      <c r="AB1779" t="s">
        <v>37</v>
      </c>
      <c r="AC1779">
        <v>0</v>
      </c>
      <c r="AD1779" t="s">
        <v>37</v>
      </c>
      <c r="AE1779">
        <v>0</v>
      </c>
      <c r="AF1779" t="s">
        <v>31</v>
      </c>
      <c r="AG1779">
        <v>0</v>
      </c>
      <c r="AH1779" t="s">
        <v>31</v>
      </c>
      <c r="AI1779">
        <v>0</v>
      </c>
      <c r="AJ1779" t="s">
        <v>31</v>
      </c>
      <c r="AK1779">
        <v>0</v>
      </c>
      <c r="AL1779" t="s">
        <v>31</v>
      </c>
      <c r="AM1779">
        <v>0</v>
      </c>
      <c r="AN1779" t="s">
        <v>31</v>
      </c>
      <c r="AO1779">
        <v>0</v>
      </c>
      <c r="AP1779" t="s">
        <v>31</v>
      </c>
      <c r="AQ1779">
        <v>0</v>
      </c>
    </row>
    <row r="1780" spans="1:43" x14ac:dyDescent="0.2">
      <c r="A1780" t="s">
        <v>381</v>
      </c>
      <c r="B1780" s="3">
        <v>44256</v>
      </c>
      <c r="C1780">
        <v>22</v>
      </c>
      <c r="D1780" t="s">
        <v>384</v>
      </c>
      <c r="E1780" t="s">
        <v>75</v>
      </c>
      <c r="F1780" s="9" t="s">
        <v>76</v>
      </c>
      <c r="G1780" t="s">
        <v>26</v>
      </c>
      <c r="H1780" t="s">
        <v>34</v>
      </c>
      <c r="I1780" t="s">
        <v>35</v>
      </c>
      <c r="J1780" t="s">
        <v>29</v>
      </c>
      <c r="K1780" t="s">
        <v>30</v>
      </c>
      <c r="L1780" t="s">
        <v>29</v>
      </c>
      <c r="M1780" t="s">
        <v>30</v>
      </c>
      <c r="N1780" t="s">
        <v>34</v>
      </c>
      <c r="O1780" t="s">
        <v>35</v>
      </c>
      <c r="P1780" t="s">
        <v>29</v>
      </c>
      <c r="Q1780" t="s">
        <v>30</v>
      </c>
      <c r="R1780" s="1">
        <v>44256.418564814812</v>
      </c>
      <c r="S1780" s="1">
        <v>44256.418969907405</v>
      </c>
      <c r="T1780">
        <v>0</v>
      </c>
      <c r="U1780">
        <v>0</v>
      </c>
      <c r="V1780" s="2">
        <v>0</v>
      </c>
      <c r="W1780">
        <v>0</v>
      </c>
      <c r="X1780" t="s">
        <v>37</v>
      </c>
      <c r="Y1780">
        <v>0</v>
      </c>
      <c r="Z1780" t="s">
        <v>37</v>
      </c>
      <c r="AA1780">
        <v>0</v>
      </c>
      <c r="AB1780" t="s">
        <v>37</v>
      </c>
      <c r="AC1780">
        <v>0</v>
      </c>
      <c r="AD1780" t="s">
        <v>37</v>
      </c>
      <c r="AE1780">
        <v>0</v>
      </c>
      <c r="AF1780" t="s">
        <v>31</v>
      </c>
      <c r="AG1780">
        <v>0</v>
      </c>
      <c r="AH1780" t="s">
        <v>31</v>
      </c>
      <c r="AI1780">
        <v>0</v>
      </c>
      <c r="AJ1780" t="s">
        <v>31</v>
      </c>
      <c r="AK1780">
        <v>0</v>
      </c>
      <c r="AL1780" t="s">
        <v>31</v>
      </c>
      <c r="AM1780">
        <v>0</v>
      </c>
      <c r="AN1780" t="s">
        <v>31</v>
      </c>
      <c r="AO1780">
        <v>0</v>
      </c>
      <c r="AP1780" t="s">
        <v>31</v>
      </c>
      <c r="AQ1780">
        <v>0</v>
      </c>
    </row>
    <row r="1781" spans="1:43" x14ac:dyDescent="0.2">
      <c r="A1781" t="s">
        <v>381</v>
      </c>
      <c r="B1781" s="3">
        <v>44257</v>
      </c>
      <c r="C1781">
        <v>23</v>
      </c>
      <c r="D1781" t="s">
        <v>382</v>
      </c>
      <c r="E1781" t="s">
        <v>75</v>
      </c>
      <c r="F1781" s="9" t="s">
        <v>76</v>
      </c>
      <c r="G1781" t="s">
        <v>26</v>
      </c>
      <c r="H1781" t="s">
        <v>34</v>
      </c>
      <c r="I1781" t="s">
        <v>35</v>
      </c>
      <c r="J1781" t="s">
        <v>29</v>
      </c>
      <c r="K1781" t="s">
        <v>30</v>
      </c>
      <c r="L1781" t="s">
        <v>29</v>
      </c>
      <c r="M1781" t="s">
        <v>30</v>
      </c>
      <c r="N1781" t="s">
        <v>34</v>
      </c>
      <c r="O1781" t="s">
        <v>35</v>
      </c>
      <c r="P1781" t="s">
        <v>29</v>
      </c>
      <c r="Q1781" t="s">
        <v>30</v>
      </c>
      <c r="R1781" s="1">
        <v>44257.4690625</v>
      </c>
      <c r="S1781" s="1">
        <v>44257.4690625</v>
      </c>
      <c r="T1781">
        <v>0</v>
      </c>
      <c r="U1781">
        <v>0</v>
      </c>
      <c r="V1781" s="2">
        <v>0</v>
      </c>
      <c r="W1781">
        <v>0</v>
      </c>
      <c r="X1781" t="s">
        <v>37</v>
      </c>
      <c r="Y1781">
        <v>0</v>
      </c>
      <c r="Z1781" t="s">
        <v>37</v>
      </c>
      <c r="AA1781">
        <v>0</v>
      </c>
      <c r="AB1781" t="s">
        <v>37</v>
      </c>
      <c r="AC1781">
        <v>0</v>
      </c>
      <c r="AD1781" t="s">
        <v>31</v>
      </c>
      <c r="AE1781">
        <v>0</v>
      </c>
      <c r="AF1781" t="s">
        <v>31</v>
      </c>
      <c r="AG1781">
        <v>0</v>
      </c>
      <c r="AH1781" t="s">
        <v>31</v>
      </c>
      <c r="AI1781">
        <v>0</v>
      </c>
      <c r="AJ1781" t="s">
        <v>31</v>
      </c>
      <c r="AK1781">
        <v>0</v>
      </c>
      <c r="AL1781" t="s">
        <v>31</v>
      </c>
      <c r="AM1781">
        <v>0</v>
      </c>
      <c r="AN1781" t="s">
        <v>31</v>
      </c>
      <c r="AO1781">
        <v>0</v>
      </c>
      <c r="AP1781" t="s">
        <v>31</v>
      </c>
      <c r="AQ1781">
        <v>0</v>
      </c>
    </row>
    <row r="1782" spans="1:43" x14ac:dyDescent="0.2">
      <c r="A1782" t="s">
        <v>381</v>
      </c>
      <c r="B1782" s="3">
        <v>44258</v>
      </c>
      <c r="C1782">
        <v>25</v>
      </c>
      <c r="D1782" t="s">
        <v>384</v>
      </c>
      <c r="E1782" t="s">
        <v>75</v>
      </c>
      <c r="F1782" s="9" t="s">
        <v>76</v>
      </c>
      <c r="G1782" t="s">
        <v>26</v>
      </c>
      <c r="H1782" t="s">
        <v>34</v>
      </c>
      <c r="I1782" t="s">
        <v>35</v>
      </c>
      <c r="J1782" t="s">
        <v>29</v>
      </c>
      <c r="K1782" t="s">
        <v>30</v>
      </c>
      <c r="L1782" t="s">
        <v>29</v>
      </c>
      <c r="M1782" t="s">
        <v>30</v>
      </c>
      <c r="N1782" t="s">
        <v>34</v>
      </c>
      <c r="O1782" t="s">
        <v>35</v>
      </c>
      <c r="P1782" t="s">
        <v>29</v>
      </c>
      <c r="Q1782" t="s">
        <v>30</v>
      </c>
      <c r="R1782" s="1">
        <v>44258.415185185186</v>
      </c>
      <c r="S1782" s="1">
        <v>44258.415347222224</v>
      </c>
      <c r="T1782">
        <v>0</v>
      </c>
      <c r="U1782">
        <v>0</v>
      </c>
      <c r="V1782" s="2">
        <v>0</v>
      </c>
      <c r="W1782">
        <v>0</v>
      </c>
      <c r="X1782" t="s">
        <v>37</v>
      </c>
      <c r="Y1782">
        <v>0</v>
      </c>
      <c r="Z1782" t="s">
        <v>37</v>
      </c>
      <c r="AA1782">
        <v>0</v>
      </c>
      <c r="AB1782" t="s">
        <v>37</v>
      </c>
      <c r="AC1782">
        <v>0</v>
      </c>
      <c r="AD1782" t="s">
        <v>31</v>
      </c>
      <c r="AE1782">
        <v>0</v>
      </c>
      <c r="AF1782" t="s">
        <v>31</v>
      </c>
      <c r="AG1782">
        <v>0</v>
      </c>
      <c r="AH1782" t="s">
        <v>31</v>
      </c>
      <c r="AI1782">
        <v>0</v>
      </c>
      <c r="AJ1782" t="s">
        <v>31</v>
      </c>
      <c r="AK1782">
        <v>0</v>
      </c>
      <c r="AL1782" t="s">
        <v>31</v>
      </c>
      <c r="AM1782">
        <v>0</v>
      </c>
      <c r="AN1782" t="s">
        <v>31</v>
      </c>
      <c r="AO1782">
        <v>0</v>
      </c>
      <c r="AP1782" t="s">
        <v>31</v>
      </c>
      <c r="AQ1782">
        <v>0</v>
      </c>
    </row>
    <row r="1783" spans="1:43" x14ac:dyDescent="0.2">
      <c r="A1783" t="s">
        <v>381</v>
      </c>
      <c r="B1783" s="3">
        <v>44259</v>
      </c>
      <c r="C1783">
        <v>26</v>
      </c>
      <c r="D1783" t="s">
        <v>382</v>
      </c>
      <c r="E1783" t="s">
        <v>75</v>
      </c>
      <c r="F1783" s="9" t="s">
        <v>76</v>
      </c>
      <c r="G1783" t="s">
        <v>26</v>
      </c>
      <c r="H1783" t="s">
        <v>34</v>
      </c>
      <c r="I1783" t="s">
        <v>35</v>
      </c>
      <c r="J1783" t="s">
        <v>29</v>
      </c>
      <c r="K1783" t="s">
        <v>30</v>
      </c>
      <c r="L1783" t="s">
        <v>29</v>
      </c>
      <c r="M1783" t="s">
        <v>30</v>
      </c>
      <c r="N1783" t="s">
        <v>34</v>
      </c>
      <c r="O1783" t="s">
        <v>35</v>
      </c>
      <c r="P1783" t="s">
        <v>29</v>
      </c>
      <c r="Q1783" t="s">
        <v>30</v>
      </c>
      <c r="R1783" s="1">
        <v>44259.437430555554</v>
      </c>
      <c r="S1783" s="1">
        <v>44259.437465277777</v>
      </c>
      <c r="T1783">
        <v>0</v>
      </c>
      <c r="U1783">
        <v>0</v>
      </c>
      <c r="V1783" s="2">
        <v>0</v>
      </c>
      <c r="W1783">
        <v>0</v>
      </c>
      <c r="X1783" t="s">
        <v>37</v>
      </c>
      <c r="Y1783">
        <v>0</v>
      </c>
      <c r="Z1783" t="s">
        <v>37</v>
      </c>
      <c r="AA1783">
        <v>0</v>
      </c>
      <c r="AB1783" t="s">
        <v>37</v>
      </c>
      <c r="AC1783">
        <v>0</v>
      </c>
      <c r="AD1783" t="s">
        <v>31</v>
      </c>
      <c r="AE1783">
        <v>0</v>
      </c>
      <c r="AF1783" t="s">
        <v>31</v>
      </c>
      <c r="AG1783">
        <v>0</v>
      </c>
      <c r="AH1783" t="s">
        <v>31</v>
      </c>
      <c r="AI1783">
        <v>0</v>
      </c>
      <c r="AJ1783" t="s">
        <v>31</v>
      </c>
      <c r="AK1783">
        <v>0</v>
      </c>
      <c r="AL1783" t="s">
        <v>31</v>
      </c>
      <c r="AM1783">
        <v>0</v>
      </c>
      <c r="AN1783" t="s">
        <v>31</v>
      </c>
      <c r="AO1783">
        <v>0</v>
      </c>
      <c r="AP1783" t="s">
        <v>31</v>
      </c>
      <c r="AQ1783">
        <v>0</v>
      </c>
    </row>
    <row r="1784" spans="1:43" x14ac:dyDescent="0.2">
      <c r="A1784" t="s">
        <v>381</v>
      </c>
      <c r="B1784" s="3">
        <v>44260</v>
      </c>
      <c r="C1784">
        <v>28</v>
      </c>
      <c r="D1784" t="s">
        <v>384</v>
      </c>
      <c r="E1784" t="s">
        <v>75</v>
      </c>
      <c r="F1784" s="9" t="s">
        <v>76</v>
      </c>
      <c r="G1784" t="s">
        <v>26</v>
      </c>
      <c r="H1784" t="s">
        <v>34</v>
      </c>
      <c r="I1784" t="s">
        <v>35</v>
      </c>
      <c r="J1784" t="s">
        <v>29</v>
      </c>
      <c r="K1784" t="s">
        <v>30</v>
      </c>
      <c r="L1784" t="s">
        <v>29</v>
      </c>
      <c r="M1784" t="s">
        <v>30</v>
      </c>
      <c r="N1784" t="s">
        <v>34</v>
      </c>
      <c r="O1784" t="s">
        <v>35</v>
      </c>
      <c r="P1784" t="s">
        <v>29</v>
      </c>
      <c r="Q1784" t="s">
        <v>30</v>
      </c>
      <c r="R1784" s="1">
        <v>44260.414039351854</v>
      </c>
      <c r="S1784" s="1">
        <v>44260.414236111108</v>
      </c>
      <c r="T1784">
        <v>0</v>
      </c>
      <c r="U1784">
        <v>1</v>
      </c>
      <c r="V1784" s="2">
        <v>0</v>
      </c>
      <c r="W1784">
        <v>0</v>
      </c>
      <c r="X1784" t="s">
        <v>44</v>
      </c>
      <c r="Y1784">
        <v>0</v>
      </c>
      <c r="Z1784" t="s">
        <v>37</v>
      </c>
      <c r="AA1784">
        <v>0</v>
      </c>
      <c r="AB1784" t="s">
        <v>37</v>
      </c>
      <c r="AC1784">
        <v>0</v>
      </c>
      <c r="AD1784" t="s">
        <v>37</v>
      </c>
      <c r="AE1784">
        <v>0</v>
      </c>
      <c r="AF1784" t="s">
        <v>31</v>
      </c>
      <c r="AG1784">
        <v>0</v>
      </c>
      <c r="AH1784" t="s">
        <v>31</v>
      </c>
      <c r="AI1784">
        <v>0</v>
      </c>
      <c r="AJ1784" t="s">
        <v>31</v>
      </c>
      <c r="AK1784">
        <v>0</v>
      </c>
      <c r="AL1784" t="s">
        <v>31</v>
      </c>
      <c r="AM1784">
        <v>0</v>
      </c>
      <c r="AN1784" t="s">
        <v>31</v>
      </c>
      <c r="AO1784">
        <v>0</v>
      </c>
      <c r="AP1784" t="s">
        <v>31</v>
      </c>
      <c r="AQ1784">
        <v>0</v>
      </c>
    </row>
    <row r="1785" spans="1:43" x14ac:dyDescent="0.2">
      <c r="A1785" t="s">
        <v>381</v>
      </c>
      <c r="B1785" s="3">
        <v>44263</v>
      </c>
      <c r="C1785">
        <v>29</v>
      </c>
      <c r="D1785" t="s">
        <v>384</v>
      </c>
      <c r="E1785" t="s">
        <v>75</v>
      </c>
      <c r="F1785" s="9" t="s">
        <v>76</v>
      </c>
      <c r="G1785" t="s">
        <v>26</v>
      </c>
      <c r="H1785" t="s">
        <v>34</v>
      </c>
      <c r="I1785" t="s">
        <v>35</v>
      </c>
      <c r="J1785" t="s">
        <v>29</v>
      </c>
      <c r="K1785" t="s">
        <v>30</v>
      </c>
      <c r="L1785" t="s">
        <v>29</v>
      </c>
      <c r="M1785" t="s">
        <v>30</v>
      </c>
      <c r="N1785" t="s">
        <v>34</v>
      </c>
      <c r="O1785" t="s">
        <v>35</v>
      </c>
      <c r="P1785" t="s">
        <v>29</v>
      </c>
      <c r="Q1785" t="s">
        <v>30</v>
      </c>
      <c r="R1785" s="1">
        <v>44263.418090277781</v>
      </c>
      <c r="S1785" s="1">
        <v>44263.418437499997</v>
      </c>
      <c r="T1785">
        <v>0</v>
      </c>
      <c r="U1785">
        <v>1</v>
      </c>
      <c r="V1785" s="2">
        <v>0</v>
      </c>
      <c r="W1785">
        <v>0</v>
      </c>
      <c r="X1785" t="s">
        <v>44</v>
      </c>
      <c r="Y1785">
        <v>0</v>
      </c>
      <c r="Z1785" t="s">
        <v>37</v>
      </c>
      <c r="AA1785">
        <v>0</v>
      </c>
      <c r="AB1785" t="s">
        <v>37</v>
      </c>
      <c r="AC1785">
        <v>0</v>
      </c>
      <c r="AD1785" t="s">
        <v>31</v>
      </c>
      <c r="AE1785">
        <v>0</v>
      </c>
      <c r="AF1785" t="s">
        <v>31</v>
      </c>
      <c r="AG1785">
        <v>0</v>
      </c>
      <c r="AH1785" t="s">
        <v>31</v>
      </c>
      <c r="AI1785">
        <v>0</v>
      </c>
      <c r="AJ1785" t="s">
        <v>31</v>
      </c>
      <c r="AK1785">
        <v>0</v>
      </c>
      <c r="AL1785" t="s">
        <v>31</v>
      </c>
      <c r="AM1785">
        <v>0</v>
      </c>
      <c r="AN1785" t="s">
        <v>31</v>
      </c>
      <c r="AO1785">
        <v>0</v>
      </c>
      <c r="AP1785" t="s">
        <v>31</v>
      </c>
      <c r="AQ1785">
        <v>0</v>
      </c>
    </row>
    <row r="1786" spans="1:43" x14ac:dyDescent="0.2">
      <c r="A1786" t="s">
        <v>381</v>
      </c>
      <c r="B1786" s="3">
        <v>44264</v>
      </c>
      <c r="C1786">
        <v>30</v>
      </c>
      <c r="D1786" t="s">
        <v>382</v>
      </c>
      <c r="E1786" t="s">
        <v>75</v>
      </c>
      <c r="F1786" s="9" t="s">
        <v>76</v>
      </c>
      <c r="G1786" t="s">
        <v>26</v>
      </c>
      <c r="H1786" t="s">
        <v>34</v>
      </c>
      <c r="I1786" t="s">
        <v>35</v>
      </c>
      <c r="J1786" t="s">
        <v>29</v>
      </c>
      <c r="K1786" t="s">
        <v>30</v>
      </c>
      <c r="L1786" t="s">
        <v>29</v>
      </c>
      <c r="M1786" t="s">
        <v>30</v>
      </c>
      <c r="N1786" t="s">
        <v>34</v>
      </c>
      <c r="O1786" t="s">
        <v>35</v>
      </c>
      <c r="P1786" t="s">
        <v>29</v>
      </c>
      <c r="Q1786" t="s">
        <v>30</v>
      </c>
      <c r="R1786" s="1">
        <v>44264.420405092591</v>
      </c>
      <c r="S1786" s="1">
        <v>44264.420439814814</v>
      </c>
      <c r="T1786">
        <v>0</v>
      </c>
      <c r="U1786">
        <v>0</v>
      </c>
      <c r="V1786" s="2">
        <v>0</v>
      </c>
      <c r="W1786">
        <v>0</v>
      </c>
      <c r="X1786" t="s">
        <v>37</v>
      </c>
      <c r="Y1786">
        <v>0</v>
      </c>
      <c r="Z1786" t="s">
        <v>37</v>
      </c>
      <c r="AA1786">
        <v>0</v>
      </c>
      <c r="AB1786" t="s">
        <v>37</v>
      </c>
      <c r="AC1786">
        <v>0</v>
      </c>
      <c r="AD1786" t="s">
        <v>31</v>
      </c>
      <c r="AE1786">
        <v>0</v>
      </c>
      <c r="AF1786" t="s">
        <v>31</v>
      </c>
      <c r="AG1786">
        <v>0</v>
      </c>
      <c r="AH1786" t="s">
        <v>31</v>
      </c>
      <c r="AI1786">
        <v>0</v>
      </c>
      <c r="AJ1786" t="s">
        <v>31</v>
      </c>
      <c r="AK1786">
        <v>0</v>
      </c>
      <c r="AL1786" t="s">
        <v>31</v>
      </c>
      <c r="AM1786">
        <v>0</v>
      </c>
      <c r="AN1786" t="s">
        <v>31</v>
      </c>
      <c r="AO1786">
        <v>0</v>
      </c>
      <c r="AP1786" t="s">
        <v>31</v>
      </c>
      <c r="AQ1786">
        <v>0</v>
      </c>
    </row>
    <row r="1787" spans="1:43" x14ac:dyDescent="0.2">
      <c r="A1787" t="s">
        <v>381</v>
      </c>
      <c r="B1787" s="3">
        <v>44264</v>
      </c>
      <c r="C1787">
        <v>31</v>
      </c>
      <c r="D1787" t="s">
        <v>385</v>
      </c>
      <c r="E1787" t="s">
        <v>75</v>
      </c>
      <c r="F1787" s="9" t="s">
        <v>76</v>
      </c>
      <c r="G1787" t="s">
        <v>26</v>
      </c>
      <c r="H1787" t="s">
        <v>34</v>
      </c>
      <c r="I1787" t="s">
        <v>35</v>
      </c>
      <c r="J1787" t="s">
        <v>29</v>
      </c>
      <c r="K1787" t="s">
        <v>30</v>
      </c>
      <c r="L1787" t="s">
        <v>29</v>
      </c>
      <c r="M1787" t="s">
        <v>30</v>
      </c>
      <c r="N1787" t="s">
        <v>34</v>
      </c>
      <c r="O1787" t="s">
        <v>35</v>
      </c>
      <c r="P1787" t="s">
        <v>29</v>
      </c>
      <c r="Q1787" t="s">
        <v>30</v>
      </c>
      <c r="R1787" s="1">
        <v>44264.593553240738</v>
      </c>
      <c r="S1787" s="1">
        <v>44264.594409722224</v>
      </c>
      <c r="T1787">
        <v>1</v>
      </c>
      <c r="U1787">
        <v>2</v>
      </c>
      <c r="V1787" s="2">
        <v>0.5</v>
      </c>
      <c r="W1787">
        <v>0</v>
      </c>
      <c r="X1787" t="s">
        <v>37</v>
      </c>
      <c r="Y1787">
        <v>0</v>
      </c>
      <c r="Z1787" t="s">
        <v>37</v>
      </c>
      <c r="AA1787">
        <v>0</v>
      </c>
      <c r="AB1787" t="s">
        <v>37</v>
      </c>
      <c r="AC1787">
        <v>0</v>
      </c>
      <c r="AD1787" t="s">
        <v>30</v>
      </c>
      <c r="AE1787">
        <v>0</v>
      </c>
      <c r="AF1787" t="s">
        <v>37</v>
      </c>
      <c r="AG1787">
        <v>0</v>
      </c>
      <c r="AH1787" t="s">
        <v>44</v>
      </c>
      <c r="AI1787">
        <v>0</v>
      </c>
      <c r="AJ1787" t="s">
        <v>37</v>
      </c>
      <c r="AK1787">
        <v>0</v>
      </c>
      <c r="AL1787" t="s">
        <v>37</v>
      </c>
      <c r="AM1787">
        <v>0</v>
      </c>
      <c r="AN1787" t="s">
        <v>31</v>
      </c>
      <c r="AO1787">
        <v>0</v>
      </c>
      <c r="AP1787" t="s">
        <v>31</v>
      </c>
      <c r="AQ1787">
        <v>0</v>
      </c>
    </row>
    <row r="1788" spans="1:43" x14ac:dyDescent="0.2">
      <c r="A1788" t="s">
        <v>381</v>
      </c>
      <c r="B1788" s="3">
        <v>44265</v>
      </c>
      <c r="C1788">
        <v>32</v>
      </c>
      <c r="D1788" t="s">
        <v>384</v>
      </c>
      <c r="E1788" t="s">
        <v>75</v>
      </c>
      <c r="F1788" s="9" t="s">
        <v>76</v>
      </c>
      <c r="G1788" t="s">
        <v>26</v>
      </c>
      <c r="H1788" t="s">
        <v>34</v>
      </c>
      <c r="I1788" t="s">
        <v>35</v>
      </c>
      <c r="J1788" t="s">
        <v>29</v>
      </c>
      <c r="K1788" t="s">
        <v>30</v>
      </c>
      <c r="L1788" t="s">
        <v>29</v>
      </c>
      <c r="M1788" t="s">
        <v>30</v>
      </c>
      <c r="N1788" t="s">
        <v>34</v>
      </c>
      <c r="O1788" t="s">
        <v>35</v>
      </c>
      <c r="P1788" t="s">
        <v>29</v>
      </c>
      <c r="Q1788" t="s">
        <v>30</v>
      </c>
      <c r="R1788" s="1">
        <v>44265.451273148145</v>
      </c>
      <c r="S1788" s="1">
        <v>44265.455150462964</v>
      </c>
      <c r="T1788">
        <v>0</v>
      </c>
      <c r="U1788">
        <v>1</v>
      </c>
      <c r="V1788" s="2">
        <v>0</v>
      </c>
      <c r="W1788">
        <v>0</v>
      </c>
      <c r="X1788" t="s">
        <v>44</v>
      </c>
      <c r="Y1788">
        <v>0</v>
      </c>
      <c r="Z1788" t="s">
        <v>37</v>
      </c>
      <c r="AA1788">
        <v>0</v>
      </c>
      <c r="AB1788" t="s">
        <v>37</v>
      </c>
      <c r="AC1788">
        <v>0</v>
      </c>
      <c r="AD1788" t="s">
        <v>31</v>
      </c>
      <c r="AE1788">
        <v>0</v>
      </c>
      <c r="AF1788" t="s">
        <v>31</v>
      </c>
      <c r="AG1788">
        <v>0</v>
      </c>
      <c r="AH1788" t="s">
        <v>31</v>
      </c>
      <c r="AI1788">
        <v>0</v>
      </c>
      <c r="AJ1788" t="s">
        <v>31</v>
      </c>
      <c r="AK1788">
        <v>0</v>
      </c>
      <c r="AL1788" t="s">
        <v>31</v>
      </c>
      <c r="AM1788">
        <v>0</v>
      </c>
      <c r="AN1788" t="s">
        <v>31</v>
      </c>
      <c r="AO1788">
        <v>0</v>
      </c>
      <c r="AP1788" t="s">
        <v>31</v>
      </c>
      <c r="AQ1788">
        <v>0</v>
      </c>
    </row>
    <row r="1789" spans="1:43" x14ac:dyDescent="0.2">
      <c r="A1789" t="s">
        <v>381</v>
      </c>
      <c r="B1789" s="3">
        <v>44266</v>
      </c>
      <c r="C1789">
        <v>34</v>
      </c>
      <c r="D1789" t="s">
        <v>385</v>
      </c>
      <c r="E1789" t="s">
        <v>75</v>
      </c>
      <c r="F1789" s="9" t="s">
        <v>76</v>
      </c>
      <c r="G1789" t="s">
        <v>26</v>
      </c>
      <c r="H1789" t="s">
        <v>34</v>
      </c>
      <c r="I1789" t="s">
        <v>35</v>
      </c>
      <c r="J1789" t="s">
        <v>29</v>
      </c>
      <c r="K1789" t="s">
        <v>30</v>
      </c>
      <c r="L1789" t="s">
        <v>29</v>
      </c>
      <c r="M1789" t="s">
        <v>30</v>
      </c>
      <c r="N1789" t="s">
        <v>34</v>
      </c>
      <c r="O1789" t="s">
        <v>35</v>
      </c>
      <c r="P1789" t="s">
        <v>29</v>
      </c>
      <c r="Q1789" t="s">
        <v>30</v>
      </c>
      <c r="R1789" s="1">
        <v>44266.624178240738</v>
      </c>
      <c r="S1789" s="1">
        <v>44266.627835648149</v>
      </c>
      <c r="T1789">
        <v>3</v>
      </c>
      <c r="U1789">
        <v>3</v>
      </c>
      <c r="V1789" s="2">
        <v>1</v>
      </c>
      <c r="W1789">
        <v>0</v>
      </c>
      <c r="X1789" t="s">
        <v>37</v>
      </c>
      <c r="Y1789">
        <v>0</v>
      </c>
      <c r="Z1789" t="s">
        <v>30</v>
      </c>
      <c r="AA1789">
        <v>0</v>
      </c>
      <c r="AB1789" t="s">
        <v>37</v>
      </c>
      <c r="AC1789">
        <v>0</v>
      </c>
      <c r="AD1789" t="s">
        <v>37</v>
      </c>
      <c r="AE1789">
        <v>0</v>
      </c>
      <c r="AF1789" t="s">
        <v>37</v>
      </c>
      <c r="AG1789">
        <v>0</v>
      </c>
      <c r="AH1789" t="s">
        <v>37</v>
      </c>
      <c r="AI1789">
        <v>0</v>
      </c>
      <c r="AJ1789" t="s">
        <v>37</v>
      </c>
      <c r="AK1789">
        <v>0</v>
      </c>
      <c r="AL1789" t="s">
        <v>30</v>
      </c>
      <c r="AM1789">
        <v>0</v>
      </c>
      <c r="AN1789" t="s">
        <v>30</v>
      </c>
      <c r="AO1789">
        <v>0</v>
      </c>
      <c r="AP1789" t="s">
        <v>31</v>
      </c>
      <c r="AQ1789">
        <v>0</v>
      </c>
    </row>
    <row r="1790" spans="1:43" x14ac:dyDescent="0.2">
      <c r="A1790" t="s">
        <v>381</v>
      </c>
      <c r="B1790" s="3">
        <v>44270</v>
      </c>
      <c r="C1790">
        <v>35</v>
      </c>
      <c r="D1790" t="s">
        <v>384</v>
      </c>
      <c r="E1790" t="s">
        <v>75</v>
      </c>
      <c r="F1790" s="9" t="s">
        <v>76</v>
      </c>
      <c r="G1790" t="s">
        <v>26</v>
      </c>
      <c r="H1790" t="s">
        <v>34</v>
      </c>
      <c r="I1790" t="s">
        <v>35</v>
      </c>
      <c r="J1790" t="s">
        <v>29</v>
      </c>
      <c r="K1790" t="s">
        <v>30</v>
      </c>
      <c r="L1790" t="s">
        <v>29</v>
      </c>
      <c r="M1790" t="s">
        <v>30</v>
      </c>
      <c r="N1790" t="s">
        <v>34</v>
      </c>
      <c r="O1790" t="s">
        <v>35</v>
      </c>
      <c r="P1790" t="s">
        <v>29</v>
      </c>
      <c r="Q1790" t="s">
        <v>30</v>
      </c>
      <c r="R1790" s="1">
        <v>44270.419236111113</v>
      </c>
      <c r="S1790" s="1">
        <v>44270.419374999998</v>
      </c>
      <c r="T1790">
        <v>0</v>
      </c>
      <c r="U1790">
        <v>0</v>
      </c>
      <c r="V1790" s="2">
        <v>0</v>
      </c>
      <c r="W1790">
        <v>0</v>
      </c>
      <c r="X1790" t="s">
        <v>37</v>
      </c>
      <c r="Y1790">
        <v>0</v>
      </c>
      <c r="Z1790" t="s">
        <v>37</v>
      </c>
      <c r="AA1790">
        <v>0</v>
      </c>
      <c r="AB1790" t="s">
        <v>37</v>
      </c>
      <c r="AC1790">
        <v>0</v>
      </c>
      <c r="AD1790" t="s">
        <v>31</v>
      </c>
      <c r="AE1790">
        <v>0</v>
      </c>
      <c r="AF1790" t="s">
        <v>31</v>
      </c>
      <c r="AG1790">
        <v>0</v>
      </c>
      <c r="AH1790" t="s">
        <v>31</v>
      </c>
      <c r="AI1790">
        <v>0</v>
      </c>
      <c r="AJ1790" t="s">
        <v>31</v>
      </c>
      <c r="AK1790">
        <v>0</v>
      </c>
      <c r="AL1790" t="s">
        <v>31</v>
      </c>
      <c r="AM1790">
        <v>0</v>
      </c>
      <c r="AN1790" t="s">
        <v>31</v>
      </c>
      <c r="AO1790">
        <v>0</v>
      </c>
      <c r="AP1790" t="s">
        <v>31</v>
      </c>
      <c r="AQ1790">
        <v>0</v>
      </c>
    </row>
    <row r="1791" spans="1:43" x14ac:dyDescent="0.2">
      <c r="A1791" t="s">
        <v>381</v>
      </c>
      <c r="B1791" s="3">
        <v>44271</v>
      </c>
      <c r="C1791">
        <v>37</v>
      </c>
      <c r="D1791" t="s">
        <v>385</v>
      </c>
      <c r="E1791" t="s">
        <v>75</v>
      </c>
      <c r="F1791" s="9" t="s">
        <v>76</v>
      </c>
      <c r="G1791" t="s">
        <v>26</v>
      </c>
      <c r="H1791" t="s">
        <v>34</v>
      </c>
      <c r="I1791" t="s">
        <v>35</v>
      </c>
      <c r="J1791" t="s">
        <v>29</v>
      </c>
      <c r="K1791" t="s">
        <v>30</v>
      </c>
      <c r="L1791" t="s">
        <v>29</v>
      </c>
      <c r="M1791" t="s">
        <v>30</v>
      </c>
      <c r="N1791" t="s">
        <v>34</v>
      </c>
      <c r="O1791" t="s">
        <v>35</v>
      </c>
      <c r="P1791" t="s">
        <v>29</v>
      </c>
      <c r="Q1791" t="s">
        <v>30</v>
      </c>
      <c r="R1791" s="1">
        <v>44271.572418981479</v>
      </c>
      <c r="S1791" s="1">
        <v>44271.578773148147</v>
      </c>
      <c r="T1791">
        <v>1</v>
      </c>
      <c r="U1791">
        <v>1</v>
      </c>
      <c r="V1791" s="2">
        <v>1</v>
      </c>
      <c r="W1791">
        <v>0</v>
      </c>
      <c r="X1791" t="s">
        <v>37</v>
      </c>
      <c r="Y1791">
        <v>0</v>
      </c>
      <c r="Z1791" t="s">
        <v>37</v>
      </c>
      <c r="AA1791">
        <v>0</v>
      </c>
      <c r="AB1791" t="s">
        <v>30</v>
      </c>
      <c r="AC1791">
        <v>0</v>
      </c>
      <c r="AD1791" t="s">
        <v>37</v>
      </c>
      <c r="AE1791">
        <v>0</v>
      </c>
      <c r="AF1791" t="s">
        <v>31</v>
      </c>
      <c r="AG1791">
        <v>0</v>
      </c>
      <c r="AH1791" t="s">
        <v>31</v>
      </c>
      <c r="AI1791">
        <v>0</v>
      </c>
      <c r="AJ1791" t="s">
        <v>31</v>
      </c>
      <c r="AK1791">
        <v>0</v>
      </c>
      <c r="AL1791" t="s">
        <v>31</v>
      </c>
      <c r="AM1791">
        <v>0</v>
      </c>
      <c r="AN1791" t="s">
        <v>31</v>
      </c>
      <c r="AO1791">
        <v>0</v>
      </c>
      <c r="AP1791" t="s">
        <v>31</v>
      </c>
      <c r="AQ1791">
        <v>0</v>
      </c>
    </row>
    <row r="1792" spans="1:43" x14ac:dyDescent="0.2">
      <c r="A1792" t="s">
        <v>381</v>
      </c>
      <c r="B1792" s="3">
        <v>44272</v>
      </c>
      <c r="C1792">
        <v>38</v>
      </c>
      <c r="D1792" t="s">
        <v>384</v>
      </c>
      <c r="E1792" t="s">
        <v>75</v>
      </c>
      <c r="F1792" s="9" t="s">
        <v>76</v>
      </c>
      <c r="G1792" t="s">
        <v>26</v>
      </c>
      <c r="H1792" t="s">
        <v>34</v>
      </c>
      <c r="I1792" t="s">
        <v>35</v>
      </c>
      <c r="J1792" t="s">
        <v>29</v>
      </c>
      <c r="K1792" t="s">
        <v>30</v>
      </c>
      <c r="L1792" t="s">
        <v>29</v>
      </c>
      <c r="M1792" t="s">
        <v>30</v>
      </c>
      <c r="N1792" t="s">
        <v>34</v>
      </c>
      <c r="O1792" t="s">
        <v>35</v>
      </c>
      <c r="P1792" t="s">
        <v>29</v>
      </c>
      <c r="Q1792" t="s">
        <v>30</v>
      </c>
      <c r="R1792" s="1">
        <v>44272.460509259261</v>
      </c>
      <c r="S1792" s="1">
        <v>44272.460717592592</v>
      </c>
      <c r="T1792">
        <v>0</v>
      </c>
      <c r="U1792">
        <v>0</v>
      </c>
      <c r="V1792" s="2">
        <v>0</v>
      </c>
      <c r="W1792">
        <v>0</v>
      </c>
      <c r="X1792" t="s">
        <v>37</v>
      </c>
      <c r="Y1792">
        <v>0</v>
      </c>
      <c r="Z1792" t="s">
        <v>37</v>
      </c>
      <c r="AA1792">
        <v>0</v>
      </c>
      <c r="AB1792" t="s">
        <v>37</v>
      </c>
      <c r="AC1792">
        <v>0</v>
      </c>
      <c r="AD1792" t="s">
        <v>31</v>
      </c>
      <c r="AE1792">
        <v>0</v>
      </c>
      <c r="AF1792" t="s">
        <v>31</v>
      </c>
      <c r="AG1792">
        <v>0</v>
      </c>
      <c r="AH1792" t="s">
        <v>31</v>
      </c>
      <c r="AI1792">
        <v>0</v>
      </c>
      <c r="AJ1792" t="s">
        <v>31</v>
      </c>
      <c r="AK1792">
        <v>0</v>
      </c>
      <c r="AL1792" t="s">
        <v>31</v>
      </c>
      <c r="AM1792">
        <v>0</v>
      </c>
      <c r="AN1792" t="s">
        <v>31</v>
      </c>
      <c r="AO1792">
        <v>0</v>
      </c>
      <c r="AP1792" t="s">
        <v>31</v>
      </c>
      <c r="AQ1792">
        <v>0</v>
      </c>
    </row>
    <row r="1793" spans="1:43" x14ac:dyDescent="0.2">
      <c r="A1793" t="s">
        <v>381</v>
      </c>
      <c r="B1793" s="3">
        <v>44273</v>
      </c>
      <c r="C1793">
        <v>40</v>
      </c>
      <c r="D1793" t="s">
        <v>385</v>
      </c>
      <c r="E1793" t="s">
        <v>75</v>
      </c>
      <c r="F1793" s="9" t="s">
        <v>76</v>
      </c>
      <c r="G1793" t="s">
        <v>26</v>
      </c>
      <c r="H1793" t="s">
        <v>34</v>
      </c>
      <c r="I1793" t="s">
        <v>35</v>
      </c>
      <c r="J1793" t="s">
        <v>29</v>
      </c>
      <c r="K1793" t="s">
        <v>30</v>
      </c>
      <c r="L1793" t="s">
        <v>29</v>
      </c>
      <c r="M1793" t="s">
        <v>30</v>
      </c>
      <c r="N1793" t="s">
        <v>34</v>
      </c>
      <c r="O1793" t="s">
        <v>35</v>
      </c>
      <c r="P1793" t="s">
        <v>29</v>
      </c>
      <c r="Q1793" t="s">
        <v>30</v>
      </c>
      <c r="R1793" s="1">
        <v>44273.627870370372</v>
      </c>
      <c r="S1793" s="1">
        <v>44273.628599537034</v>
      </c>
      <c r="T1793">
        <v>0</v>
      </c>
      <c r="U1793">
        <v>0</v>
      </c>
      <c r="V1793" s="2">
        <v>0</v>
      </c>
      <c r="W1793">
        <v>0</v>
      </c>
      <c r="X1793" t="s">
        <v>37</v>
      </c>
      <c r="Y1793">
        <v>0</v>
      </c>
      <c r="Z1793" t="s">
        <v>37</v>
      </c>
      <c r="AA1793">
        <v>0</v>
      </c>
      <c r="AB1793" t="s">
        <v>37</v>
      </c>
      <c r="AC1793">
        <v>0</v>
      </c>
      <c r="AD1793" t="s">
        <v>31</v>
      </c>
      <c r="AE1793">
        <v>0</v>
      </c>
      <c r="AF1793" t="s">
        <v>31</v>
      </c>
      <c r="AG1793">
        <v>0</v>
      </c>
      <c r="AH1793" t="s">
        <v>31</v>
      </c>
      <c r="AI1793">
        <v>0</v>
      </c>
      <c r="AJ1793" t="s">
        <v>31</v>
      </c>
      <c r="AK1793">
        <v>0</v>
      </c>
      <c r="AL1793" t="s">
        <v>31</v>
      </c>
      <c r="AM1793">
        <v>0</v>
      </c>
      <c r="AN1793" t="s">
        <v>31</v>
      </c>
      <c r="AO1793">
        <v>0</v>
      </c>
      <c r="AP1793" t="s">
        <v>31</v>
      </c>
      <c r="AQ1793">
        <v>0</v>
      </c>
    </row>
    <row r="1794" spans="1:43" x14ac:dyDescent="0.2">
      <c r="A1794" t="s">
        <v>381</v>
      </c>
      <c r="B1794" s="3">
        <v>44279</v>
      </c>
      <c r="C1794">
        <v>41</v>
      </c>
      <c r="D1794" t="s">
        <v>384</v>
      </c>
      <c r="E1794" t="s">
        <v>75</v>
      </c>
      <c r="F1794" s="9" t="s">
        <v>76</v>
      </c>
      <c r="G1794" t="s">
        <v>26</v>
      </c>
      <c r="H1794" t="s">
        <v>34</v>
      </c>
      <c r="I1794" t="s">
        <v>35</v>
      </c>
      <c r="J1794" t="s">
        <v>29</v>
      </c>
      <c r="K1794" t="s">
        <v>30</v>
      </c>
      <c r="L1794" t="s">
        <v>29</v>
      </c>
      <c r="M1794" t="s">
        <v>30</v>
      </c>
      <c r="N1794" t="s">
        <v>34</v>
      </c>
      <c r="O1794" t="s">
        <v>35</v>
      </c>
      <c r="P1794" t="s">
        <v>29</v>
      </c>
      <c r="Q1794" t="s">
        <v>30</v>
      </c>
      <c r="R1794" s="1">
        <v>44279.42083333333</v>
      </c>
      <c r="S1794" s="1">
        <v>44279.421157407407</v>
      </c>
      <c r="T1794">
        <v>0</v>
      </c>
      <c r="U1794">
        <v>1</v>
      </c>
      <c r="V1794" s="2">
        <v>0</v>
      </c>
      <c r="W1794">
        <v>0</v>
      </c>
      <c r="X1794" t="s">
        <v>37</v>
      </c>
      <c r="Y1794">
        <v>0</v>
      </c>
      <c r="Z1794" t="s">
        <v>37</v>
      </c>
      <c r="AA1794">
        <v>0</v>
      </c>
      <c r="AB1794" t="s">
        <v>44</v>
      </c>
      <c r="AC1794">
        <v>0</v>
      </c>
      <c r="AD1794" t="s">
        <v>37</v>
      </c>
      <c r="AE1794">
        <v>0</v>
      </c>
      <c r="AF1794" t="s">
        <v>31</v>
      </c>
      <c r="AG1794">
        <v>0</v>
      </c>
      <c r="AH1794" t="s">
        <v>31</v>
      </c>
      <c r="AI1794">
        <v>0</v>
      </c>
      <c r="AJ1794" t="s">
        <v>31</v>
      </c>
      <c r="AK1794">
        <v>0</v>
      </c>
      <c r="AL1794" t="s">
        <v>31</v>
      </c>
      <c r="AM1794">
        <v>0</v>
      </c>
      <c r="AN1794" t="s">
        <v>31</v>
      </c>
      <c r="AO1794">
        <v>0</v>
      </c>
      <c r="AP1794" t="s">
        <v>31</v>
      </c>
      <c r="AQ1794">
        <v>0</v>
      </c>
    </row>
    <row r="1795" spans="1:43" x14ac:dyDescent="0.2">
      <c r="A1795" t="s">
        <v>381</v>
      </c>
      <c r="B1795" s="3">
        <v>44281</v>
      </c>
      <c r="C1795">
        <v>42</v>
      </c>
      <c r="D1795" t="s">
        <v>384</v>
      </c>
      <c r="E1795" t="s">
        <v>75</v>
      </c>
      <c r="F1795" s="9" t="s">
        <v>76</v>
      </c>
      <c r="G1795" t="s">
        <v>26</v>
      </c>
      <c r="H1795" t="s">
        <v>34</v>
      </c>
      <c r="I1795" t="s">
        <v>35</v>
      </c>
      <c r="J1795" t="s">
        <v>29</v>
      </c>
      <c r="K1795" t="s">
        <v>30</v>
      </c>
      <c r="L1795" t="s">
        <v>29</v>
      </c>
      <c r="M1795" t="s">
        <v>30</v>
      </c>
      <c r="N1795" t="s">
        <v>34</v>
      </c>
      <c r="O1795" t="s">
        <v>35</v>
      </c>
      <c r="P1795" t="s">
        <v>29</v>
      </c>
      <c r="Q1795" t="s">
        <v>30</v>
      </c>
      <c r="R1795" s="1">
        <v>44281.465879629628</v>
      </c>
      <c r="S1795" s="1">
        <v>44281.46607638889</v>
      </c>
      <c r="T1795">
        <v>0</v>
      </c>
      <c r="U1795">
        <v>0</v>
      </c>
      <c r="V1795" s="2">
        <v>0</v>
      </c>
      <c r="W1795">
        <v>0</v>
      </c>
      <c r="X1795" t="s">
        <v>37</v>
      </c>
      <c r="Y1795">
        <v>0</v>
      </c>
      <c r="Z1795" t="s">
        <v>37</v>
      </c>
      <c r="AA1795">
        <v>0</v>
      </c>
      <c r="AB1795" t="s">
        <v>37</v>
      </c>
      <c r="AC1795">
        <v>0</v>
      </c>
      <c r="AD1795" t="s">
        <v>37</v>
      </c>
      <c r="AE1795">
        <v>0</v>
      </c>
      <c r="AF1795" t="s">
        <v>31</v>
      </c>
      <c r="AG1795">
        <v>0</v>
      </c>
      <c r="AH1795" t="s">
        <v>31</v>
      </c>
      <c r="AI1795">
        <v>0</v>
      </c>
      <c r="AJ1795" t="s">
        <v>31</v>
      </c>
      <c r="AK1795">
        <v>0</v>
      </c>
      <c r="AL1795" t="s">
        <v>31</v>
      </c>
      <c r="AM1795">
        <v>0</v>
      </c>
      <c r="AN1795" t="s">
        <v>31</v>
      </c>
      <c r="AO1795">
        <v>0</v>
      </c>
      <c r="AP1795" t="s">
        <v>31</v>
      </c>
      <c r="AQ1795">
        <v>0</v>
      </c>
    </row>
    <row r="1796" spans="1:43" x14ac:dyDescent="0.2">
      <c r="A1796" t="s">
        <v>381</v>
      </c>
      <c r="B1796" s="3">
        <v>44284</v>
      </c>
      <c r="C1796">
        <v>43</v>
      </c>
      <c r="D1796" t="s">
        <v>384</v>
      </c>
      <c r="E1796" t="s">
        <v>75</v>
      </c>
      <c r="F1796" s="9" t="s">
        <v>76</v>
      </c>
      <c r="G1796" t="s">
        <v>26</v>
      </c>
      <c r="H1796" t="s">
        <v>34</v>
      </c>
      <c r="I1796" t="s">
        <v>35</v>
      </c>
      <c r="J1796" t="s">
        <v>29</v>
      </c>
      <c r="K1796" t="s">
        <v>30</v>
      </c>
      <c r="L1796" t="s">
        <v>29</v>
      </c>
      <c r="M1796" t="s">
        <v>30</v>
      </c>
      <c r="N1796" t="s">
        <v>34</v>
      </c>
      <c r="O1796" t="s">
        <v>35</v>
      </c>
      <c r="P1796" t="s">
        <v>29</v>
      </c>
      <c r="Q1796" t="s">
        <v>30</v>
      </c>
      <c r="R1796" s="1">
        <v>44284.453425925924</v>
      </c>
      <c r="S1796" s="1">
        <v>44284.453796296293</v>
      </c>
      <c r="T1796">
        <v>0</v>
      </c>
      <c r="U1796">
        <v>0</v>
      </c>
      <c r="V1796" s="2">
        <v>0</v>
      </c>
      <c r="W1796">
        <v>0</v>
      </c>
      <c r="X1796" t="s">
        <v>37</v>
      </c>
      <c r="Y1796">
        <v>0</v>
      </c>
      <c r="Z1796" t="s">
        <v>37</v>
      </c>
      <c r="AA1796">
        <v>0</v>
      </c>
      <c r="AB1796" t="s">
        <v>37</v>
      </c>
      <c r="AC1796">
        <v>0</v>
      </c>
      <c r="AD1796" t="s">
        <v>31</v>
      </c>
      <c r="AE1796">
        <v>0</v>
      </c>
      <c r="AF1796" t="s">
        <v>31</v>
      </c>
      <c r="AG1796">
        <v>0</v>
      </c>
      <c r="AH1796" t="s">
        <v>31</v>
      </c>
      <c r="AI1796">
        <v>0</v>
      </c>
      <c r="AJ1796" t="s">
        <v>31</v>
      </c>
      <c r="AK1796">
        <v>0</v>
      </c>
      <c r="AL1796" t="s">
        <v>31</v>
      </c>
      <c r="AM1796">
        <v>0</v>
      </c>
      <c r="AN1796" t="s">
        <v>31</v>
      </c>
      <c r="AO1796">
        <v>0</v>
      </c>
      <c r="AP1796" t="s">
        <v>31</v>
      </c>
      <c r="AQ1796">
        <v>0</v>
      </c>
    </row>
    <row r="1797" spans="1:43" x14ac:dyDescent="0.2">
      <c r="A1797" t="s">
        <v>381</v>
      </c>
      <c r="B1797" s="3">
        <v>44285</v>
      </c>
      <c r="C1797">
        <v>45</v>
      </c>
      <c r="D1797" t="s">
        <v>385</v>
      </c>
      <c r="E1797" t="s">
        <v>75</v>
      </c>
      <c r="F1797" s="9" t="s">
        <v>76</v>
      </c>
      <c r="G1797" t="s">
        <v>26</v>
      </c>
      <c r="H1797" t="s">
        <v>34</v>
      </c>
      <c r="I1797" t="s">
        <v>35</v>
      </c>
      <c r="J1797" t="s">
        <v>29</v>
      </c>
      <c r="K1797" t="s">
        <v>30</v>
      </c>
      <c r="L1797" t="s">
        <v>29</v>
      </c>
      <c r="M1797" t="s">
        <v>30</v>
      </c>
      <c r="N1797" t="s">
        <v>34</v>
      </c>
      <c r="O1797" t="s">
        <v>35</v>
      </c>
      <c r="P1797" t="s">
        <v>29</v>
      </c>
      <c r="Q1797" t="s">
        <v>30</v>
      </c>
      <c r="R1797" s="1">
        <v>44285.620821759258</v>
      </c>
      <c r="S1797" s="1">
        <v>44285.622847222221</v>
      </c>
      <c r="T1797">
        <v>0</v>
      </c>
      <c r="U1797">
        <v>5</v>
      </c>
      <c r="V1797" s="2">
        <v>0</v>
      </c>
      <c r="W1797">
        <v>0</v>
      </c>
      <c r="X1797" t="s">
        <v>44</v>
      </c>
      <c r="Y1797">
        <v>0</v>
      </c>
      <c r="Z1797" t="s">
        <v>44</v>
      </c>
      <c r="AA1797">
        <v>0</v>
      </c>
      <c r="AB1797" t="s">
        <v>81</v>
      </c>
      <c r="AC1797">
        <v>0</v>
      </c>
      <c r="AD1797" t="s">
        <v>37</v>
      </c>
      <c r="AE1797">
        <v>0</v>
      </c>
      <c r="AF1797" t="s">
        <v>44</v>
      </c>
      <c r="AG1797">
        <v>0</v>
      </c>
      <c r="AH1797" t="s">
        <v>37</v>
      </c>
      <c r="AI1797">
        <v>0</v>
      </c>
      <c r="AJ1797" t="s">
        <v>44</v>
      </c>
      <c r="AK1797">
        <v>0</v>
      </c>
      <c r="AL1797" t="s">
        <v>37</v>
      </c>
      <c r="AM1797">
        <v>0</v>
      </c>
      <c r="AN1797" t="s">
        <v>31</v>
      </c>
      <c r="AO1797">
        <v>0</v>
      </c>
      <c r="AP1797" t="s">
        <v>31</v>
      </c>
      <c r="AQ1797">
        <v>0</v>
      </c>
    </row>
    <row r="1798" spans="1:43" x14ac:dyDescent="0.2">
      <c r="A1798" t="s">
        <v>381</v>
      </c>
      <c r="B1798" s="3">
        <v>44286</v>
      </c>
      <c r="C1798">
        <v>46</v>
      </c>
      <c r="D1798" t="s">
        <v>384</v>
      </c>
      <c r="E1798" t="s">
        <v>75</v>
      </c>
      <c r="F1798" s="9" t="s">
        <v>76</v>
      </c>
      <c r="G1798" t="s">
        <v>26</v>
      </c>
      <c r="H1798" t="s">
        <v>34</v>
      </c>
      <c r="I1798" t="s">
        <v>35</v>
      </c>
      <c r="J1798" t="s">
        <v>29</v>
      </c>
      <c r="K1798" t="s">
        <v>30</v>
      </c>
      <c r="L1798" t="s">
        <v>29</v>
      </c>
      <c r="M1798" t="s">
        <v>30</v>
      </c>
      <c r="N1798" t="s">
        <v>34</v>
      </c>
      <c r="O1798" t="s">
        <v>35</v>
      </c>
      <c r="P1798" t="s">
        <v>29</v>
      </c>
      <c r="Q1798" t="s">
        <v>30</v>
      </c>
      <c r="R1798" s="1">
        <v>44286.451331018521</v>
      </c>
      <c r="S1798" s="1">
        <v>44286.451342592591</v>
      </c>
      <c r="T1798">
        <v>0</v>
      </c>
      <c r="U1798">
        <v>0</v>
      </c>
      <c r="V1798" s="2">
        <v>0</v>
      </c>
      <c r="W1798">
        <v>0</v>
      </c>
      <c r="X1798" t="s">
        <v>37</v>
      </c>
      <c r="Y1798">
        <v>0</v>
      </c>
      <c r="Z1798" t="s">
        <v>37</v>
      </c>
      <c r="AA1798">
        <v>0</v>
      </c>
      <c r="AB1798" t="s">
        <v>37</v>
      </c>
      <c r="AC1798">
        <v>0</v>
      </c>
      <c r="AD1798" t="s">
        <v>31</v>
      </c>
      <c r="AE1798">
        <v>0</v>
      </c>
      <c r="AF1798" t="s">
        <v>31</v>
      </c>
      <c r="AG1798">
        <v>0</v>
      </c>
      <c r="AH1798" t="s">
        <v>31</v>
      </c>
      <c r="AI1798">
        <v>0</v>
      </c>
      <c r="AJ1798" t="s">
        <v>31</v>
      </c>
      <c r="AK1798">
        <v>0</v>
      </c>
      <c r="AL1798" t="s">
        <v>31</v>
      </c>
      <c r="AM1798">
        <v>0</v>
      </c>
      <c r="AN1798" t="s">
        <v>31</v>
      </c>
      <c r="AO1798">
        <v>0</v>
      </c>
      <c r="AP1798" t="s">
        <v>31</v>
      </c>
      <c r="AQ1798">
        <v>0</v>
      </c>
    </row>
    <row r="1799" spans="1:43" x14ac:dyDescent="0.2">
      <c r="A1799" t="s">
        <v>381</v>
      </c>
      <c r="B1799" s="3">
        <v>44288</v>
      </c>
      <c r="C1799">
        <v>49</v>
      </c>
      <c r="D1799" t="s">
        <v>384</v>
      </c>
      <c r="E1799" t="s">
        <v>75</v>
      </c>
      <c r="F1799" s="9" t="s">
        <v>76</v>
      </c>
      <c r="G1799" t="s">
        <v>26</v>
      </c>
      <c r="H1799" t="s">
        <v>34</v>
      </c>
      <c r="I1799" t="s">
        <v>35</v>
      </c>
      <c r="J1799" t="s">
        <v>29</v>
      </c>
      <c r="K1799" t="s">
        <v>30</v>
      </c>
      <c r="L1799" t="s">
        <v>29</v>
      </c>
      <c r="M1799" t="s">
        <v>30</v>
      </c>
      <c r="N1799" t="s">
        <v>34</v>
      </c>
      <c r="O1799" t="s">
        <v>35</v>
      </c>
      <c r="P1799" t="s">
        <v>29</v>
      </c>
      <c r="Q1799" t="s">
        <v>30</v>
      </c>
      <c r="R1799" s="1">
        <v>44288.414733796293</v>
      </c>
      <c r="S1799" s="1">
        <v>44288.415081018517</v>
      </c>
      <c r="T1799">
        <v>0</v>
      </c>
      <c r="U1799">
        <v>0</v>
      </c>
      <c r="V1799" s="2">
        <v>0</v>
      </c>
      <c r="W1799">
        <v>0</v>
      </c>
      <c r="X1799" t="s">
        <v>37</v>
      </c>
      <c r="Y1799">
        <v>0</v>
      </c>
      <c r="Z1799" t="s">
        <v>37</v>
      </c>
      <c r="AA1799">
        <v>0</v>
      </c>
      <c r="AB1799" t="s">
        <v>37</v>
      </c>
      <c r="AC1799">
        <v>0</v>
      </c>
      <c r="AD1799" t="s">
        <v>37</v>
      </c>
      <c r="AE1799">
        <v>0</v>
      </c>
      <c r="AF1799" t="s">
        <v>31</v>
      </c>
      <c r="AG1799">
        <v>0</v>
      </c>
      <c r="AH1799" t="s">
        <v>31</v>
      </c>
      <c r="AI1799">
        <v>0</v>
      </c>
      <c r="AJ1799" t="s">
        <v>31</v>
      </c>
      <c r="AK1799">
        <v>0</v>
      </c>
      <c r="AL1799" t="s">
        <v>31</v>
      </c>
      <c r="AM1799">
        <v>0</v>
      </c>
      <c r="AN1799" t="s">
        <v>31</v>
      </c>
      <c r="AO1799">
        <v>0</v>
      </c>
      <c r="AP1799" t="s">
        <v>31</v>
      </c>
      <c r="AQ1799">
        <v>0</v>
      </c>
    </row>
    <row r="1800" spans="1:43" x14ac:dyDescent="0.2">
      <c r="A1800" t="s">
        <v>381</v>
      </c>
      <c r="B1800" s="3">
        <v>44291</v>
      </c>
      <c r="C1800">
        <v>50</v>
      </c>
      <c r="D1800" t="s">
        <v>384</v>
      </c>
      <c r="E1800" t="s">
        <v>75</v>
      </c>
      <c r="F1800" s="9" t="s">
        <v>76</v>
      </c>
      <c r="G1800" t="s">
        <v>26</v>
      </c>
      <c r="H1800" t="s">
        <v>34</v>
      </c>
      <c r="I1800" t="s">
        <v>35</v>
      </c>
      <c r="J1800" t="s">
        <v>29</v>
      </c>
      <c r="K1800" t="s">
        <v>30</v>
      </c>
      <c r="L1800" t="s">
        <v>29</v>
      </c>
      <c r="M1800" t="s">
        <v>30</v>
      </c>
      <c r="N1800" t="s">
        <v>34</v>
      </c>
      <c r="O1800" t="s">
        <v>35</v>
      </c>
      <c r="P1800" t="s">
        <v>29</v>
      </c>
      <c r="Q1800" t="s">
        <v>30</v>
      </c>
      <c r="R1800" s="1">
        <v>44291.42696759259</v>
      </c>
      <c r="S1800" s="1">
        <v>44291.427094907405</v>
      </c>
      <c r="T1800">
        <v>0</v>
      </c>
      <c r="U1800">
        <v>1</v>
      </c>
      <c r="V1800" s="2">
        <v>0</v>
      </c>
      <c r="W1800">
        <v>0</v>
      </c>
      <c r="X1800" t="s">
        <v>44</v>
      </c>
      <c r="Y1800">
        <v>0</v>
      </c>
      <c r="Z1800" t="s">
        <v>37</v>
      </c>
      <c r="AA1800">
        <v>0</v>
      </c>
      <c r="AB1800" t="s">
        <v>37</v>
      </c>
      <c r="AC1800">
        <v>0</v>
      </c>
      <c r="AD1800" t="s">
        <v>37</v>
      </c>
      <c r="AE1800">
        <v>0</v>
      </c>
      <c r="AF1800" t="s">
        <v>31</v>
      </c>
      <c r="AG1800">
        <v>0</v>
      </c>
      <c r="AH1800" t="s">
        <v>31</v>
      </c>
      <c r="AI1800">
        <v>0</v>
      </c>
      <c r="AJ1800" t="s">
        <v>31</v>
      </c>
      <c r="AK1800">
        <v>0</v>
      </c>
      <c r="AL1800" t="s">
        <v>31</v>
      </c>
      <c r="AM1800">
        <v>0</v>
      </c>
      <c r="AN1800" t="s">
        <v>31</v>
      </c>
      <c r="AO1800">
        <v>0</v>
      </c>
      <c r="AP1800" t="s">
        <v>31</v>
      </c>
      <c r="AQ1800">
        <v>0</v>
      </c>
    </row>
    <row r="1801" spans="1:43" x14ac:dyDescent="0.2">
      <c r="A1801" t="s">
        <v>381</v>
      </c>
      <c r="B1801" s="3">
        <v>44293</v>
      </c>
      <c r="C1801">
        <v>53</v>
      </c>
      <c r="D1801" t="s">
        <v>384</v>
      </c>
      <c r="E1801" t="s">
        <v>75</v>
      </c>
      <c r="F1801" s="9" t="s">
        <v>76</v>
      </c>
      <c r="G1801" t="s">
        <v>26</v>
      </c>
      <c r="H1801" t="s">
        <v>34</v>
      </c>
      <c r="I1801" t="s">
        <v>35</v>
      </c>
      <c r="J1801" t="s">
        <v>29</v>
      </c>
      <c r="K1801" t="s">
        <v>30</v>
      </c>
      <c r="L1801" t="s">
        <v>29</v>
      </c>
      <c r="M1801" t="s">
        <v>30</v>
      </c>
      <c r="N1801" t="s">
        <v>34</v>
      </c>
      <c r="O1801" t="s">
        <v>35</v>
      </c>
      <c r="P1801" t="s">
        <v>29</v>
      </c>
      <c r="Q1801" t="s">
        <v>30</v>
      </c>
      <c r="R1801" s="1">
        <v>44293.421909722223</v>
      </c>
      <c r="S1801" s="1">
        <v>44293.422268518516</v>
      </c>
      <c r="T1801">
        <v>0</v>
      </c>
      <c r="U1801">
        <v>0</v>
      </c>
      <c r="V1801" s="2">
        <v>0</v>
      </c>
      <c r="W1801">
        <v>0</v>
      </c>
      <c r="X1801" t="s">
        <v>37</v>
      </c>
      <c r="Y1801">
        <v>0</v>
      </c>
      <c r="Z1801" t="s">
        <v>37</v>
      </c>
      <c r="AA1801">
        <v>0</v>
      </c>
      <c r="AB1801" t="s">
        <v>37</v>
      </c>
      <c r="AC1801">
        <v>0</v>
      </c>
      <c r="AD1801" t="s">
        <v>37</v>
      </c>
      <c r="AE1801">
        <v>0</v>
      </c>
      <c r="AF1801" t="s">
        <v>31</v>
      </c>
      <c r="AG1801">
        <v>0</v>
      </c>
      <c r="AH1801" t="s">
        <v>31</v>
      </c>
      <c r="AI1801">
        <v>0</v>
      </c>
      <c r="AJ1801" t="s">
        <v>31</v>
      </c>
      <c r="AK1801">
        <v>0</v>
      </c>
      <c r="AL1801" t="s">
        <v>31</v>
      </c>
      <c r="AM1801">
        <v>0</v>
      </c>
      <c r="AN1801" t="s">
        <v>31</v>
      </c>
      <c r="AO1801">
        <v>0</v>
      </c>
      <c r="AP1801" t="s">
        <v>31</v>
      </c>
      <c r="AQ1801">
        <v>0</v>
      </c>
    </row>
    <row r="1802" spans="1:43" x14ac:dyDescent="0.2">
      <c r="A1802" t="s">
        <v>381</v>
      </c>
      <c r="B1802" s="3">
        <v>44294</v>
      </c>
      <c r="C1802">
        <v>54</v>
      </c>
      <c r="D1802" t="s">
        <v>407</v>
      </c>
      <c r="E1802" t="s">
        <v>75</v>
      </c>
      <c r="F1802" s="9" t="s">
        <v>76</v>
      </c>
      <c r="G1802" t="s">
        <v>26</v>
      </c>
      <c r="H1802" t="s">
        <v>34</v>
      </c>
      <c r="I1802" t="s">
        <v>35</v>
      </c>
      <c r="J1802" t="s">
        <v>29</v>
      </c>
      <c r="K1802" t="s">
        <v>30</v>
      </c>
      <c r="L1802" t="s">
        <v>29</v>
      </c>
      <c r="M1802" t="s">
        <v>30</v>
      </c>
      <c r="N1802" t="s">
        <v>34</v>
      </c>
      <c r="O1802" t="s">
        <v>35</v>
      </c>
      <c r="P1802" t="s">
        <v>29</v>
      </c>
      <c r="Q1802" t="s">
        <v>30</v>
      </c>
      <c r="R1802" s="1">
        <v>44294.416689814818</v>
      </c>
      <c r="S1802" s="1">
        <v>44294.421296296299</v>
      </c>
      <c r="T1802">
        <v>0</v>
      </c>
      <c r="U1802">
        <v>5</v>
      </c>
      <c r="V1802" s="2">
        <v>0</v>
      </c>
      <c r="W1802">
        <v>0</v>
      </c>
      <c r="X1802" t="s">
        <v>44</v>
      </c>
      <c r="Y1802">
        <v>0</v>
      </c>
      <c r="Z1802" t="s">
        <v>44</v>
      </c>
      <c r="AA1802">
        <v>0</v>
      </c>
      <c r="AB1802" t="s">
        <v>81</v>
      </c>
      <c r="AC1802">
        <v>0</v>
      </c>
      <c r="AD1802" t="s">
        <v>45</v>
      </c>
      <c r="AE1802">
        <v>0</v>
      </c>
      <c r="AF1802" t="s">
        <v>47</v>
      </c>
      <c r="AG1802">
        <v>0</v>
      </c>
      <c r="AH1802" t="s">
        <v>31</v>
      </c>
      <c r="AI1802">
        <v>0</v>
      </c>
      <c r="AJ1802" t="s">
        <v>31</v>
      </c>
      <c r="AK1802">
        <v>0</v>
      </c>
      <c r="AL1802" t="s">
        <v>31</v>
      </c>
      <c r="AM1802">
        <v>0</v>
      </c>
      <c r="AN1802" t="s">
        <v>31</v>
      </c>
      <c r="AO1802">
        <v>0</v>
      </c>
      <c r="AP1802" t="s">
        <v>31</v>
      </c>
      <c r="AQ1802">
        <v>0</v>
      </c>
    </row>
    <row r="1803" spans="1:43" x14ac:dyDescent="0.2">
      <c r="A1803" t="s">
        <v>381</v>
      </c>
      <c r="B1803" s="3">
        <v>44295</v>
      </c>
      <c r="C1803">
        <v>56</v>
      </c>
      <c r="D1803" t="s">
        <v>384</v>
      </c>
      <c r="E1803" t="s">
        <v>75</v>
      </c>
      <c r="F1803" s="9" t="s">
        <v>76</v>
      </c>
      <c r="G1803" t="s">
        <v>26</v>
      </c>
      <c r="H1803" t="s">
        <v>34</v>
      </c>
      <c r="I1803" t="s">
        <v>35</v>
      </c>
      <c r="J1803" t="s">
        <v>29</v>
      </c>
      <c r="K1803" t="s">
        <v>30</v>
      </c>
      <c r="L1803" t="s">
        <v>29</v>
      </c>
      <c r="M1803" t="s">
        <v>30</v>
      </c>
      <c r="N1803" t="s">
        <v>34</v>
      </c>
      <c r="O1803" t="s">
        <v>35</v>
      </c>
      <c r="P1803" t="s">
        <v>29</v>
      </c>
      <c r="Q1803" t="s">
        <v>30</v>
      </c>
      <c r="R1803" s="1">
        <v>44295.429803240739</v>
      </c>
      <c r="S1803" s="1">
        <v>44295.429965277777</v>
      </c>
      <c r="T1803">
        <v>0</v>
      </c>
      <c r="U1803">
        <v>0</v>
      </c>
      <c r="V1803" s="2">
        <v>0</v>
      </c>
      <c r="W1803">
        <v>0</v>
      </c>
      <c r="X1803" t="s">
        <v>37</v>
      </c>
      <c r="Y1803">
        <v>0</v>
      </c>
      <c r="Z1803" t="s">
        <v>37</v>
      </c>
      <c r="AA1803">
        <v>0</v>
      </c>
      <c r="AB1803" t="s">
        <v>37</v>
      </c>
      <c r="AC1803">
        <v>0</v>
      </c>
      <c r="AD1803" t="s">
        <v>31</v>
      </c>
      <c r="AE1803">
        <v>0</v>
      </c>
      <c r="AF1803" t="s">
        <v>31</v>
      </c>
      <c r="AG1803">
        <v>0</v>
      </c>
      <c r="AH1803" t="s">
        <v>31</v>
      </c>
      <c r="AI1803">
        <v>0</v>
      </c>
      <c r="AJ1803" t="s">
        <v>31</v>
      </c>
      <c r="AK1803">
        <v>0</v>
      </c>
      <c r="AL1803" t="s">
        <v>31</v>
      </c>
      <c r="AM1803">
        <v>0</v>
      </c>
      <c r="AN1803" t="s">
        <v>31</v>
      </c>
      <c r="AO1803">
        <v>0</v>
      </c>
      <c r="AP1803" t="s">
        <v>31</v>
      </c>
      <c r="AQ1803">
        <v>0</v>
      </c>
    </row>
    <row r="1804" spans="1:43" x14ac:dyDescent="0.2">
      <c r="A1804" t="s">
        <v>381</v>
      </c>
      <c r="B1804" s="3">
        <v>44300</v>
      </c>
      <c r="C1804">
        <v>61</v>
      </c>
      <c r="D1804" t="s">
        <v>401</v>
      </c>
      <c r="E1804" t="s">
        <v>75</v>
      </c>
      <c r="F1804" s="9" t="s">
        <v>76</v>
      </c>
      <c r="G1804" t="s">
        <v>26</v>
      </c>
      <c r="H1804" t="s">
        <v>34</v>
      </c>
      <c r="I1804" t="s">
        <v>35</v>
      </c>
      <c r="J1804" t="s">
        <v>43</v>
      </c>
      <c r="K1804" t="s">
        <v>44</v>
      </c>
      <c r="L1804" t="s">
        <v>29</v>
      </c>
      <c r="M1804" t="s">
        <v>30</v>
      </c>
      <c r="N1804" t="s">
        <v>34</v>
      </c>
      <c r="O1804" t="s">
        <v>35</v>
      </c>
      <c r="P1804" t="s">
        <v>43</v>
      </c>
      <c r="Q1804" t="s">
        <v>44</v>
      </c>
      <c r="R1804" s="1">
        <v>44300.654699074075</v>
      </c>
      <c r="S1804" s="1">
        <v>44300.654745370368</v>
      </c>
      <c r="T1804">
        <v>0</v>
      </c>
      <c r="U1804">
        <v>0</v>
      </c>
      <c r="V1804" s="2">
        <v>0</v>
      </c>
      <c r="W1804">
        <v>0</v>
      </c>
      <c r="X1804" t="s">
        <v>37</v>
      </c>
      <c r="Y1804">
        <v>0</v>
      </c>
      <c r="Z1804" t="s">
        <v>31</v>
      </c>
      <c r="AA1804">
        <v>0</v>
      </c>
      <c r="AB1804" t="s">
        <v>31</v>
      </c>
      <c r="AC1804">
        <v>0</v>
      </c>
      <c r="AD1804" t="s">
        <v>31</v>
      </c>
      <c r="AE1804">
        <v>0</v>
      </c>
      <c r="AF1804" t="s">
        <v>31</v>
      </c>
      <c r="AG1804">
        <v>0</v>
      </c>
      <c r="AH1804" t="s">
        <v>31</v>
      </c>
      <c r="AI1804">
        <v>0</v>
      </c>
      <c r="AJ1804" t="s">
        <v>31</v>
      </c>
      <c r="AK1804">
        <v>0</v>
      </c>
      <c r="AL1804" t="s">
        <v>31</v>
      </c>
      <c r="AM1804">
        <v>0</v>
      </c>
      <c r="AN1804" t="s">
        <v>31</v>
      </c>
      <c r="AO1804">
        <v>0</v>
      </c>
      <c r="AP1804" t="s">
        <v>31</v>
      </c>
      <c r="AQ1804">
        <v>0</v>
      </c>
    </row>
    <row r="1805" spans="1:43" x14ac:dyDescent="0.2">
      <c r="A1805" t="s">
        <v>381</v>
      </c>
      <c r="B1805" s="3">
        <v>44309</v>
      </c>
      <c r="C1805">
        <v>70</v>
      </c>
      <c r="D1805" t="s">
        <v>388</v>
      </c>
      <c r="E1805" t="s">
        <v>75</v>
      </c>
      <c r="F1805" s="9" t="s">
        <v>76</v>
      </c>
      <c r="G1805" t="s">
        <v>26</v>
      </c>
      <c r="H1805" t="s">
        <v>34</v>
      </c>
      <c r="I1805" t="s">
        <v>35</v>
      </c>
      <c r="J1805" t="s">
        <v>43</v>
      </c>
      <c r="K1805" t="s">
        <v>44</v>
      </c>
      <c r="L1805" t="s">
        <v>29</v>
      </c>
      <c r="M1805" t="s">
        <v>30</v>
      </c>
      <c r="N1805" t="s">
        <v>34</v>
      </c>
      <c r="O1805" t="s">
        <v>35</v>
      </c>
      <c r="P1805" t="s">
        <v>43</v>
      </c>
      <c r="Q1805" t="s">
        <v>44</v>
      </c>
      <c r="R1805" s="1">
        <v>44309.468333333331</v>
      </c>
      <c r="S1805" s="1">
        <v>44309.468356481484</v>
      </c>
      <c r="T1805">
        <v>0</v>
      </c>
      <c r="U1805">
        <v>0</v>
      </c>
      <c r="V1805" s="2">
        <v>0</v>
      </c>
      <c r="W1805">
        <v>0</v>
      </c>
      <c r="X1805" t="s">
        <v>37</v>
      </c>
      <c r="Y1805">
        <v>0</v>
      </c>
      <c r="Z1805" t="s">
        <v>31</v>
      </c>
      <c r="AA1805">
        <v>0</v>
      </c>
      <c r="AB1805" t="s">
        <v>31</v>
      </c>
      <c r="AC1805">
        <v>0</v>
      </c>
      <c r="AD1805" t="s">
        <v>31</v>
      </c>
      <c r="AE1805">
        <v>0</v>
      </c>
      <c r="AF1805" t="s">
        <v>31</v>
      </c>
      <c r="AG1805">
        <v>0</v>
      </c>
      <c r="AH1805" t="s">
        <v>31</v>
      </c>
      <c r="AI1805">
        <v>0</v>
      </c>
      <c r="AJ1805" t="s">
        <v>31</v>
      </c>
      <c r="AK1805">
        <v>0</v>
      </c>
      <c r="AL1805" t="s">
        <v>31</v>
      </c>
      <c r="AM1805">
        <v>0</v>
      </c>
      <c r="AN1805" t="s">
        <v>31</v>
      </c>
      <c r="AO1805">
        <v>0</v>
      </c>
      <c r="AP1805" t="s">
        <v>31</v>
      </c>
      <c r="AQ1805">
        <v>0</v>
      </c>
    </row>
    <row r="1806" spans="1:43" x14ac:dyDescent="0.2">
      <c r="A1806" t="s">
        <v>381</v>
      </c>
      <c r="B1806" s="3">
        <v>44319</v>
      </c>
      <c r="C1806">
        <v>84</v>
      </c>
      <c r="D1806" t="s">
        <v>390</v>
      </c>
      <c r="E1806" t="s">
        <v>75</v>
      </c>
      <c r="F1806" s="9" t="s">
        <v>76</v>
      </c>
      <c r="G1806" t="s">
        <v>26</v>
      </c>
      <c r="H1806" t="s">
        <v>34</v>
      </c>
      <c r="I1806" t="s">
        <v>35</v>
      </c>
      <c r="J1806" t="s">
        <v>43</v>
      </c>
      <c r="K1806" t="s">
        <v>44</v>
      </c>
      <c r="L1806" t="s">
        <v>29</v>
      </c>
      <c r="M1806" t="s">
        <v>30</v>
      </c>
      <c r="N1806" t="s">
        <v>34</v>
      </c>
      <c r="O1806" t="s">
        <v>35</v>
      </c>
      <c r="P1806" t="s">
        <v>43</v>
      </c>
      <c r="Q1806" t="s">
        <v>44</v>
      </c>
      <c r="R1806" s="1">
        <v>44319.418657407405</v>
      </c>
      <c r="S1806" s="1">
        <v>44319.418819444443</v>
      </c>
      <c r="T1806">
        <v>0</v>
      </c>
      <c r="U1806">
        <v>0</v>
      </c>
      <c r="V1806" s="2">
        <v>0</v>
      </c>
      <c r="W1806">
        <v>0</v>
      </c>
      <c r="X1806" t="s">
        <v>37</v>
      </c>
      <c r="Y1806">
        <v>0</v>
      </c>
      <c r="Z1806" t="s">
        <v>37</v>
      </c>
      <c r="AA1806">
        <v>0</v>
      </c>
      <c r="AB1806" t="s">
        <v>37</v>
      </c>
      <c r="AC1806">
        <v>0</v>
      </c>
      <c r="AD1806" t="s">
        <v>31</v>
      </c>
      <c r="AE1806">
        <v>0</v>
      </c>
      <c r="AF1806" t="s">
        <v>31</v>
      </c>
      <c r="AG1806">
        <v>0</v>
      </c>
      <c r="AH1806" t="s">
        <v>31</v>
      </c>
      <c r="AI1806">
        <v>0</v>
      </c>
      <c r="AJ1806" t="s">
        <v>31</v>
      </c>
      <c r="AK1806">
        <v>0</v>
      </c>
      <c r="AL1806" t="s">
        <v>31</v>
      </c>
      <c r="AM1806">
        <v>0</v>
      </c>
      <c r="AN1806" t="s">
        <v>31</v>
      </c>
      <c r="AO1806">
        <v>0</v>
      </c>
      <c r="AP1806" t="s">
        <v>31</v>
      </c>
      <c r="AQ1806">
        <v>0</v>
      </c>
    </row>
    <row r="1807" spans="1:43" x14ac:dyDescent="0.2">
      <c r="A1807" t="s">
        <v>381</v>
      </c>
      <c r="B1807" s="3">
        <v>44320</v>
      </c>
      <c r="C1807">
        <v>87</v>
      </c>
      <c r="D1807" t="s">
        <v>385</v>
      </c>
      <c r="E1807" t="s">
        <v>75</v>
      </c>
      <c r="F1807" s="9" t="s">
        <v>76</v>
      </c>
      <c r="G1807" t="s">
        <v>26</v>
      </c>
      <c r="H1807" t="s">
        <v>34</v>
      </c>
      <c r="I1807" t="s">
        <v>35</v>
      </c>
      <c r="J1807" t="s">
        <v>43</v>
      </c>
      <c r="K1807" t="s">
        <v>44</v>
      </c>
      <c r="L1807" t="s">
        <v>29</v>
      </c>
      <c r="M1807" t="s">
        <v>30</v>
      </c>
      <c r="N1807" t="s">
        <v>34</v>
      </c>
      <c r="O1807" t="s">
        <v>35</v>
      </c>
      <c r="P1807" t="s">
        <v>43</v>
      </c>
      <c r="Q1807" t="s">
        <v>44</v>
      </c>
      <c r="R1807" s="1">
        <v>44320.631099537037</v>
      </c>
      <c r="S1807" s="1">
        <v>44320.631828703707</v>
      </c>
      <c r="T1807">
        <v>0</v>
      </c>
      <c r="U1807">
        <v>6</v>
      </c>
      <c r="V1807" s="2">
        <v>0</v>
      </c>
      <c r="W1807">
        <v>0</v>
      </c>
      <c r="X1807" t="s">
        <v>44</v>
      </c>
      <c r="Y1807">
        <v>0</v>
      </c>
      <c r="Z1807" t="s">
        <v>44</v>
      </c>
      <c r="AA1807">
        <v>0</v>
      </c>
      <c r="AB1807" t="s">
        <v>81</v>
      </c>
      <c r="AC1807">
        <v>0</v>
      </c>
      <c r="AD1807" t="s">
        <v>44</v>
      </c>
      <c r="AE1807">
        <v>0</v>
      </c>
      <c r="AF1807" t="s">
        <v>44</v>
      </c>
      <c r="AG1807">
        <v>0</v>
      </c>
      <c r="AH1807" t="s">
        <v>81</v>
      </c>
      <c r="AI1807">
        <v>0</v>
      </c>
      <c r="AJ1807" t="s">
        <v>31</v>
      </c>
      <c r="AK1807">
        <v>0</v>
      </c>
      <c r="AL1807" t="s">
        <v>31</v>
      </c>
      <c r="AM1807">
        <v>0</v>
      </c>
      <c r="AN1807" t="s">
        <v>31</v>
      </c>
      <c r="AO1807">
        <v>0</v>
      </c>
      <c r="AP1807" t="s">
        <v>31</v>
      </c>
      <c r="AQ1807">
        <v>0</v>
      </c>
    </row>
    <row r="1808" spans="1:43" x14ac:dyDescent="0.2">
      <c r="A1808" t="s">
        <v>381</v>
      </c>
      <c r="B1808" s="3">
        <v>44323</v>
      </c>
      <c r="C1808">
        <v>91</v>
      </c>
      <c r="D1808" t="s">
        <v>391</v>
      </c>
      <c r="E1808" t="s">
        <v>75</v>
      </c>
      <c r="F1808" s="9" t="s">
        <v>76</v>
      </c>
      <c r="G1808" t="s">
        <v>26</v>
      </c>
      <c r="H1808" t="s">
        <v>34</v>
      </c>
      <c r="I1808" t="s">
        <v>35</v>
      </c>
      <c r="J1808" t="s">
        <v>43</v>
      </c>
      <c r="K1808" t="s">
        <v>44</v>
      </c>
      <c r="L1808" t="s">
        <v>29</v>
      </c>
      <c r="M1808" t="s">
        <v>30</v>
      </c>
      <c r="N1808" t="s">
        <v>34</v>
      </c>
      <c r="O1808" t="s">
        <v>35</v>
      </c>
      <c r="P1808" t="s">
        <v>43</v>
      </c>
      <c r="Q1808" t="s">
        <v>44</v>
      </c>
      <c r="R1808" s="1">
        <v>44323.619166666664</v>
      </c>
      <c r="S1808" s="1">
        <v>44323.619166666664</v>
      </c>
      <c r="T1808">
        <v>0</v>
      </c>
      <c r="U1808">
        <v>0</v>
      </c>
      <c r="V1808" s="2">
        <v>0</v>
      </c>
      <c r="W1808">
        <v>0</v>
      </c>
      <c r="X1808" t="s">
        <v>37</v>
      </c>
      <c r="Y1808">
        <v>0</v>
      </c>
      <c r="Z1808" t="s">
        <v>37</v>
      </c>
      <c r="AA1808">
        <v>0</v>
      </c>
      <c r="AB1808" t="s">
        <v>37</v>
      </c>
      <c r="AC1808">
        <v>0</v>
      </c>
      <c r="AD1808" t="s">
        <v>31</v>
      </c>
      <c r="AE1808">
        <v>0</v>
      </c>
      <c r="AF1808" t="s">
        <v>31</v>
      </c>
      <c r="AG1808">
        <v>0</v>
      </c>
      <c r="AH1808" t="s">
        <v>31</v>
      </c>
      <c r="AI1808">
        <v>0</v>
      </c>
      <c r="AJ1808" t="s">
        <v>31</v>
      </c>
      <c r="AK1808">
        <v>0</v>
      </c>
      <c r="AL1808" t="s">
        <v>31</v>
      </c>
      <c r="AM1808">
        <v>0</v>
      </c>
      <c r="AN1808" t="s">
        <v>31</v>
      </c>
      <c r="AO1808">
        <v>0</v>
      </c>
      <c r="AP1808" t="s">
        <v>31</v>
      </c>
      <c r="AQ1808">
        <v>0</v>
      </c>
    </row>
    <row r="1809" spans="1:43" x14ac:dyDescent="0.2">
      <c r="A1809" t="s">
        <v>381</v>
      </c>
      <c r="B1809" s="3">
        <v>44334</v>
      </c>
      <c r="C1809">
        <v>98</v>
      </c>
      <c r="D1809" t="s">
        <v>383</v>
      </c>
      <c r="E1809" t="s">
        <v>75</v>
      </c>
      <c r="F1809" s="9" t="s">
        <v>76</v>
      </c>
      <c r="G1809" t="s">
        <v>26</v>
      </c>
      <c r="H1809" t="s">
        <v>34</v>
      </c>
      <c r="I1809" t="s">
        <v>35</v>
      </c>
      <c r="J1809" t="s">
        <v>43</v>
      </c>
      <c r="K1809" t="s">
        <v>44</v>
      </c>
      <c r="L1809" t="s">
        <v>29</v>
      </c>
      <c r="M1809" t="s">
        <v>30</v>
      </c>
      <c r="N1809" t="s">
        <v>34</v>
      </c>
      <c r="O1809" t="s">
        <v>35</v>
      </c>
      <c r="P1809" t="s">
        <v>43</v>
      </c>
      <c r="Q1809" t="s">
        <v>44</v>
      </c>
      <c r="R1809" s="1">
        <v>44334.457499999997</v>
      </c>
      <c r="S1809" s="1">
        <v>44334.458055555559</v>
      </c>
      <c r="T1809">
        <v>1</v>
      </c>
      <c r="U1809">
        <v>5</v>
      </c>
      <c r="V1809" s="2">
        <v>0.2</v>
      </c>
      <c r="W1809">
        <v>0</v>
      </c>
      <c r="X1809" t="s">
        <v>44</v>
      </c>
      <c r="Y1809">
        <v>0</v>
      </c>
      <c r="Z1809" t="s">
        <v>44</v>
      </c>
      <c r="AA1809">
        <v>0</v>
      </c>
      <c r="AB1809" t="s">
        <v>81</v>
      </c>
      <c r="AC1809">
        <v>0</v>
      </c>
      <c r="AD1809" t="s">
        <v>44</v>
      </c>
      <c r="AE1809">
        <v>0</v>
      </c>
      <c r="AF1809" t="s">
        <v>30</v>
      </c>
      <c r="AG1809">
        <v>0</v>
      </c>
      <c r="AH1809" t="s">
        <v>31</v>
      </c>
      <c r="AI1809">
        <v>0</v>
      </c>
      <c r="AJ1809" t="s">
        <v>31</v>
      </c>
      <c r="AK1809">
        <v>0</v>
      </c>
      <c r="AL1809" t="s">
        <v>31</v>
      </c>
      <c r="AM1809">
        <v>0</v>
      </c>
      <c r="AN1809" t="s">
        <v>31</v>
      </c>
      <c r="AO1809">
        <v>0</v>
      </c>
      <c r="AP1809" t="s">
        <v>31</v>
      </c>
      <c r="AQ1809">
        <v>0</v>
      </c>
    </row>
    <row r="1810" spans="1:43" x14ac:dyDescent="0.2">
      <c r="A1810" t="s">
        <v>381</v>
      </c>
      <c r="B1810" s="3">
        <v>44337</v>
      </c>
      <c r="C1810">
        <v>104</v>
      </c>
      <c r="D1810" t="s">
        <v>390</v>
      </c>
      <c r="E1810" t="s">
        <v>75</v>
      </c>
      <c r="F1810" s="9" t="s">
        <v>76</v>
      </c>
      <c r="G1810" t="s">
        <v>26</v>
      </c>
      <c r="H1810" t="s">
        <v>34</v>
      </c>
      <c r="I1810" t="s">
        <v>35</v>
      </c>
      <c r="J1810" t="s">
        <v>43</v>
      </c>
      <c r="K1810" t="s">
        <v>44</v>
      </c>
      <c r="L1810" t="s">
        <v>29</v>
      </c>
      <c r="M1810" t="s">
        <v>30</v>
      </c>
      <c r="N1810" t="s">
        <v>34</v>
      </c>
      <c r="O1810" t="s">
        <v>35</v>
      </c>
      <c r="P1810" t="s">
        <v>43</v>
      </c>
      <c r="Q1810" t="s">
        <v>44</v>
      </c>
      <c r="R1810" s="1">
        <v>44337.419606481482</v>
      </c>
      <c r="S1810" s="1">
        <v>44337.419629629629</v>
      </c>
      <c r="T1810">
        <v>0</v>
      </c>
      <c r="U1810">
        <v>0</v>
      </c>
      <c r="V1810" s="2">
        <v>0</v>
      </c>
      <c r="W1810">
        <v>0</v>
      </c>
      <c r="X1810" t="s">
        <v>37</v>
      </c>
      <c r="Y1810">
        <v>0</v>
      </c>
      <c r="Z1810" t="s">
        <v>31</v>
      </c>
      <c r="AA1810">
        <v>0</v>
      </c>
      <c r="AB1810" t="s">
        <v>31</v>
      </c>
      <c r="AC1810">
        <v>0</v>
      </c>
      <c r="AD1810" t="s">
        <v>31</v>
      </c>
      <c r="AE1810">
        <v>0</v>
      </c>
      <c r="AF1810" t="s">
        <v>31</v>
      </c>
      <c r="AG1810">
        <v>0</v>
      </c>
      <c r="AH1810" t="s">
        <v>31</v>
      </c>
      <c r="AI1810">
        <v>0</v>
      </c>
      <c r="AJ1810" t="s">
        <v>31</v>
      </c>
      <c r="AK1810">
        <v>0</v>
      </c>
      <c r="AL1810" t="s">
        <v>31</v>
      </c>
      <c r="AM1810">
        <v>0</v>
      </c>
      <c r="AN1810" t="s">
        <v>31</v>
      </c>
      <c r="AO1810">
        <v>0</v>
      </c>
      <c r="AP1810" t="s">
        <v>31</v>
      </c>
      <c r="AQ1810">
        <v>0</v>
      </c>
    </row>
    <row r="1811" spans="1:43" x14ac:dyDescent="0.2">
      <c r="A1811" t="s">
        <v>381</v>
      </c>
      <c r="B1811" s="3">
        <v>44340</v>
      </c>
      <c r="C1811">
        <v>108</v>
      </c>
      <c r="D1811" t="s">
        <v>393</v>
      </c>
      <c r="E1811" t="s">
        <v>75</v>
      </c>
      <c r="F1811" s="9" t="s">
        <v>76</v>
      </c>
      <c r="G1811" t="s">
        <v>26</v>
      </c>
      <c r="H1811" t="s">
        <v>34</v>
      </c>
      <c r="I1811" t="s">
        <v>35</v>
      </c>
      <c r="J1811" t="s">
        <v>43</v>
      </c>
      <c r="K1811" t="s">
        <v>44</v>
      </c>
      <c r="L1811" t="s">
        <v>29</v>
      </c>
      <c r="M1811" t="s">
        <v>30</v>
      </c>
      <c r="N1811" t="s">
        <v>34</v>
      </c>
      <c r="O1811" t="s">
        <v>35</v>
      </c>
      <c r="P1811" t="s">
        <v>43</v>
      </c>
      <c r="Q1811" t="s">
        <v>44</v>
      </c>
      <c r="R1811" s="1">
        <v>44340.456493055557</v>
      </c>
      <c r="S1811" s="1">
        <v>44340.457118055558</v>
      </c>
      <c r="T1811">
        <v>0</v>
      </c>
      <c r="U1811">
        <v>2</v>
      </c>
      <c r="V1811" s="2">
        <v>0</v>
      </c>
      <c r="W1811">
        <v>0</v>
      </c>
      <c r="X1811" t="s">
        <v>44</v>
      </c>
      <c r="Y1811">
        <v>0</v>
      </c>
      <c r="Z1811" t="s">
        <v>44</v>
      </c>
      <c r="AA1811">
        <v>0</v>
      </c>
      <c r="AB1811" t="s">
        <v>37</v>
      </c>
      <c r="AC1811">
        <v>0</v>
      </c>
      <c r="AD1811" t="s">
        <v>37</v>
      </c>
      <c r="AE1811">
        <v>0</v>
      </c>
      <c r="AF1811" t="s">
        <v>31</v>
      </c>
      <c r="AG1811">
        <v>0</v>
      </c>
      <c r="AH1811" t="s">
        <v>31</v>
      </c>
      <c r="AI1811">
        <v>0</v>
      </c>
      <c r="AJ1811" t="s">
        <v>31</v>
      </c>
      <c r="AK1811">
        <v>0</v>
      </c>
      <c r="AL1811" t="s">
        <v>31</v>
      </c>
      <c r="AM1811">
        <v>0</v>
      </c>
      <c r="AN1811" t="s">
        <v>31</v>
      </c>
      <c r="AO1811">
        <v>0</v>
      </c>
      <c r="AP1811" t="s">
        <v>31</v>
      </c>
      <c r="AQ1811">
        <v>0</v>
      </c>
    </row>
    <row r="1812" spans="1:43" x14ac:dyDescent="0.2">
      <c r="A1812" t="s">
        <v>381</v>
      </c>
      <c r="B1812" s="3">
        <v>44343</v>
      </c>
      <c r="C1812">
        <v>115</v>
      </c>
      <c r="D1812" t="s">
        <v>395</v>
      </c>
      <c r="E1812" t="s">
        <v>75</v>
      </c>
      <c r="F1812" s="9" t="s">
        <v>76</v>
      </c>
      <c r="G1812" t="s">
        <v>26</v>
      </c>
      <c r="H1812" t="s">
        <v>34</v>
      </c>
      <c r="I1812" t="s">
        <v>35</v>
      </c>
      <c r="J1812" t="s">
        <v>43</v>
      </c>
      <c r="K1812" t="s">
        <v>44</v>
      </c>
      <c r="L1812" t="s">
        <v>29</v>
      </c>
      <c r="M1812" t="s">
        <v>30</v>
      </c>
      <c r="N1812" t="s">
        <v>34</v>
      </c>
      <c r="O1812" t="s">
        <v>35</v>
      </c>
      <c r="P1812" t="s">
        <v>43</v>
      </c>
      <c r="Q1812" t="s">
        <v>44</v>
      </c>
      <c r="R1812" s="1">
        <v>44343.4690625</v>
      </c>
      <c r="S1812" s="1">
        <v>44343.4690625</v>
      </c>
      <c r="T1812">
        <v>0</v>
      </c>
      <c r="U1812">
        <v>0</v>
      </c>
      <c r="V1812" s="2">
        <v>0</v>
      </c>
      <c r="W1812">
        <v>0</v>
      </c>
      <c r="X1812" t="s">
        <v>37</v>
      </c>
      <c r="Y1812">
        <v>0</v>
      </c>
      <c r="Z1812" t="s">
        <v>31</v>
      </c>
      <c r="AA1812">
        <v>0</v>
      </c>
      <c r="AB1812" t="s">
        <v>31</v>
      </c>
      <c r="AC1812">
        <v>0</v>
      </c>
      <c r="AD1812" t="s">
        <v>31</v>
      </c>
      <c r="AE1812">
        <v>0</v>
      </c>
      <c r="AF1812" t="s">
        <v>31</v>
      </c>
      <c r="AG1812">
        <v>0</v>
      </c>
      <c r="AH1812" t="s">
        <v>31</v>
      </c>
      <c r="AI1812">
        <v>0</v>
      </c>
      <c r="AJ1812" t="s">
        <v>31</v>
      </c>
      <c r="AK1812">
        <v>0</v>
      </c>
      <c r="AL1812" t="s">
        <v>31</v>
      </c>
      <c r="AM1812">
        <v>0</v>
      </c>
      <c r="AN1812" t="s">
        <v>31</v>
      </c>
      <c r="AO1812">
        <v>0</v>
      </c>
      <c r="AP1812" t="s">
        <v>31</v>
      </c>
      <c r="AQ1812">
        <v>0</v>
      </c>
    </row>
    <row r="1813" spans="1:43" x14ac:dyDescent="0.2">
      <c r="A1813" t="s">
        <v>381</v>
      </c>
      <c r="B1813" s="3">
        <v>44348</v>
      </c>
      <c r="C1813">
        <v>118</v>
      </c>
      <c r="D1813" t="s">
        <v>396</v>
      </c>
      <c r="E1813" t="s">
        <v>75</v>
      </c>
      <c r="F1813" s="9" t="s">
        <v>76</v>
      </c>
      <c r="G1813" t="s">
        <v>26</v>
      </c>
      <c r="H1813" t="s">
        <v>34</v>
      </c>
      <c r="I1813" t="s">
        <v>35</v>
      </c>
      <c r="J1813" t="s">
        <v>43</v>
      </c>
      <c r="K1813" t="s">
        <v>44</v>
      </c>
      <c r="L1813" t="s">
        <v>29</v>
      </c>
      <c r="M1813" t="s">
        <v>30</v>
      </c>
      <c r="N1813" t="s">
        <v>34</v>
      </c>
      <c r="O1813" t="s">
        <v>35</v>
      </c>
      <c r="P1813" t="s">
        <v>43</v>
      </c>
      <c r="Q1813" t="s">
        <v>44</v>
      </c>
      <c r="R1813" s="1">
        <v>44348.482291666667</v>
      </c>
      <c r="S1813" s="1">
        <v>44348.482291666667</v>
      </c>
      <c r="T1813">
        <v>0</v>
      </c>
      <c r="U1813">
        <v>0</v>
      </c>
      <c r="V1813" s="2">
        <v>0</v>
      </c>
      <c r="W1813">
        <v>0</v>
      </c>
      <c r="X1813" t="s">
        <v>37</v>
      </c>
      <c r="Y1813">
        <v>0</v>
      </c>
      <c r="Z1813" t="s">
        <v>31</v>
      </c>
      <c r="AA1813">
        <v>0</v>
      </c>
      <c r="AB1813" t="s">
        <v>31</v>
      </c>
      <c r="AC1813">
        <v>0</v>
      </c>
      <c r="AD1813" t="s">
        <v>31</v>
      </c>
      <c r="AE1813">
        <v>0</v>
      </c>
      <c r="AF1813" t="s">
        <v>31</v>
      </c>
      <c r="AG1813">
        <v>0</v>
      </c>
      <c r="AH1813" t="s">
        <v>31</v>
      </c>
      <c r="AI1813">
        <v>0</v>
      </c>
      <c r="AJ1813" t="s">
        <v>31</v>
      </c>
      <c r="AK1813">
        <v>0</v>
      </c>
      <c r="AL1813" t="s">
        <v>31</v>
      </c>
      <c r="AM1813">
        <v>0</v>
      </c>
      <c r="AN1813" t="s">
        <v>31</v>
      </c>
      <c r="AO1813">
        <v>0</v>
      </c>
      <c r="AP1813" t="s">
        <v>31</v>
      </c>
      <c r="AQ1813">
        <v>0</v>
      </c>
    </row>
    <row r="1814" spans="1:43" x14ac:dyDescent="0.2">
      <c r="A1814" t="s">
        <v>381</v>
      </c>
      <c r="B1814" s="3">
        <v>44351</v>
      </c>
      <c r="C1814">
        <v>124</v>
      </c>
      <c r="D1814" t="s">
        <v>390</v>
      </c>
      <c r="E1814" t="s">
        <v>75</v>
      </c>
      <c r="F1814" s="9" t="s">
        <v>76</v>
      </c>
      <c r="G1814" t="s">
        <v>26</v>
      </c>
      <c r="H1814" t="s">
        <v>34</v>
      </c>
      <c r="I1814" t="s">
        <v>35</v>
      </c>
      <c r="J1814" t="s">
        <v>43</v>
      </c>
      <c r="K1814" t="s">
        <v>44</v>
      </c>
      <c r="L1814" t="s">
        <v>29</v>
      </c>
      <c r="M1814" t="s">
        <v>30</v>
      </c>
      <c r="N1814" t="s">
        <v>34</v>
      </c>
      <c r="O1814" t="s">
        <v>35</v>
      </c>
      <c r="P1814" t="s">
        <v>43</v>
      </c>
      <c r="Q1814" t="s">
        <v>44</v>
      </c>
      <c r="R1814" s="1">
        <v>44351.417488425926</v>
      </c>
      <c r="S1814" s="1">
        <v>44351.418437499997</v>
      </c>
      <c r="T1814">
        <v>1</v>
      </c>
      <c r="U1814">
        <v>6</v>
      </c>
      <c r="V1814" s="2">
        <v>0.16</v>
      </c>
      <c r="W1814">
        <v>0</v>
      </c>
      <c r="X1814" t="s">
        <v>44</v>
      </c>
      <c r="Y1814">
        <v>0</v>
      </c>
      <c r="Z1814" t="s">
        <v>44</v>
      </c>
      <c r="AA1814">
        <v>0</v>
      </c>
      <c r="AB1814" t="s">
        <v>81</v>
      </c>
      <c r="AC1814">
        <v>0</v>
      </c>
      <c r="AD1814" t="s">
        <v>45</v>
      </c>
      <c r="AE1814">
        <v>0</v>
      </c>
      <c r="AF1814" t="s">
        <v>47</v>
      </c>
      <c r="AG1814">
        <v>0</v>
      </c>
      <c r="AH1814" t="s">
        <v>30</v>
      </c>
      <c r="AI1814">
        <v>0</v>
      </c>
      <c r="AJ1814" t="s">
        <v>31</v>
      </c>
      <c r="AK1814">
        <v>0</v>
      </c>
      <c r="AL1814" t="s">
        <v>31</v>
      </c>
      <c r="AM1814">
        <v>0</v>
      </c>
      <c r="AN1814" t="s">
        <v>31</v>
      </c>
      <c r="AO1814">
        <v>0</v>
      </c>
      <c r="AP1814" t="s">
        <v>31</v>
      </c>
      <c r="AQ1814">
        <v>0</v>
      </c>
    </row>
    <row r="1815" spans="1:43" x14ac:dyDescent="0.2">
      <c r="A1815" t="s">
        <v>381</v>
      </c>
      <c r="B1815" s="3">
        <v>44354</v>
      </c>
      <c r="C1815">
        <v>126</v>
      </c>
      <c r="D1815" t="s">
        <v>397</v>
      </c>
      <c r="E1815" t="s">
        <v>75</v>
      </c>
      <c r="F1815" s="9" t="s">
        <v>76</v>
      </c>
      <c r="G1815" t="s">
        <v>26</v>
      </c>
      <c r="H1815" t="s">
        <v>34</v>
      </c>
      <c r="I1815" t="s">
        <v>35</v>
      </c>
      <c r="J1815" t="s">
        <v>43</v>
      </c>
      <c r="K1815" t="s">
        <v>44</v>
      </c>
      <c r="L1815" t="s">
        <v>29</v>
      </c>
      <c r="M1815" t="s">
        <v>30</v>
      </c>
      <c r="N1815" t="s">
        <v>34</v>
      </c>
      <c r="O1815" t="s">
        <v>35</v>
      </c>
      <c r="P1815" t="s">
        <v>43</v>
      </c>
      <c r="Q1815" t="s">
        <v>44</v>
      </c>
      <c r="R1815" s="1">
        <v>44354.482986111114</v>
      </c>
      <c r="S1815" s="1">
        <v>44354.48332175926</v>
      </c>
      <c r="T1815">
        <v>1</v>
      </c>
      <c r="U1815">
        <v>2</v>
      </c>
      <c r="V1815" s="2">
        <v>0.5</v>
      </c>
      <c r="W1815">
        <v>0</v>
      </c>
      <c r="X1815" t="s">
        <v>44</v>
      </c>
      <c r="Y1815">
        <v>0</v>
      </c>
      <c r="Z1815" t="s">
        <v>30</v>
      </c>
      <c r="AA1815">
        <v>0</v>
      </c>
      <c r="AB1815" t="s">
        <v>31</v>
      </c>
      <c r="AC1815">
        <v>0</v>
      </c>
      <c r="AD1815" t="s">
        <v>31</v>
      </c>
      <c r="AE1815">
        <v>0</v>
      </c>
      <c r="AF1815" t="s">
        <v>31</v>
      </c>
      <c r="AG1815">
        <v>0</v>
      </c>
      <c r="AH1815" t="s">
        <v>31</v>
      </c>
      <c r="AI1815">
        <v>0</v>
      </c>
      <c r="AJ1815" t="s">
        <v>31</v>
      </c>
      <c r="AK1815">
        <v>0</v>
      </c>
      <c r="AL1815" t="s">
        <v>31</v>
      </c>
      <c r="AM1815">
        <v>0</v>
      </c>
      <c r="AN1815" t="s">
        <v>31</v>
      </c>
      <c r="AO1815">
        <v>0</v>
      </c>
      <c r="AP1815" t="s">
        <v>31</v>
      </c>
      <c r="AQ1815">
        <v>0</v>
      </c>
    </row>
    <row r="1816" spans="1:43" x14ac:dyDescent="0.2">
      <c r="A1816" t="s">
        <v>381</v>
      </c>
      <c r="B1816" s="3">
        <v>44355</v>
      </c>
      <c r="C1816">
        <v>129</v>
      </c>
      <c r="D1816" t="s">
        <v>385</v>
      </c>
      <c r="E1816" t="s">
        <v>75</v>
      </c>
      <c r="F1816" s="9" t="s">
        <v>76</v>
      </c>
      <c r="G1816" t="s">
        <v>26</v>
      </c>
      <c r="H1816" t="s">
        <v>34</v>
      </c>
      <c r="I1816" t="s">
        <v>35</v>
      </c>
      <c r="J1816" t="s">
        <v>43</v>
      </c>
      <c r="K1816" t="s">
        <v>44</v>
      </c>
      <c r="L1816" t="s">
        <v>29</v>
      </c>
      <c r="M1816" t="s">
        <v>30</v>
      </c>
      <c r="N1816" t="s">
        <v>34</v>
      </c>
      <c r="O1816" t="s">
        <v>35</v>
      </c>
      <c r="P1816" t="s">
        <v>43</v>
      </c>
      <c r="Q1816" t="s">
        <v>44</v>
      </c>
      <c r="R1816" s="1">
        <v>44355.626192129632</v>
      </c>
      <c r="S1816" s="1">
        <v>44355.626446759263</v>
      </c>
      <c r="T1816">
        <v>3</v>
      </c>
      <c r="U1816">
        <v>3</v>
      </c>
      <c r="V1816" s="2">
        <v>1</v>
      </c>
      <c r="W1816">
        <v>0</v>
      </c>
      <c r="X1816" t="s">
        <v>30</v>
      </c>
      <c r="Y1816">
        <v>0</v>
      </c>
      <c r="Z1816" t="s">
        <v>30</v>
      </c>
      <c r="AA1816">
        <v>0</v>
      </c>
      <c r="AB1816" t="s">
        <v>30</v>
      </c>
      <c r="AC1816">
        <v>0</v>
      </c>
      <c r="AD1816" t="s">
        <v>31</v>
      </c>
      <c r="AE1816">
        <v>0</v>
      </c>
      <c r="AF1816" t="s">
        <v>31</v>
      </c>
      <c r="AG1816">
        <v>0</v>
      </c>
      <c r="AH1816" t="s">
        <v>31</v>
      </c>
      <c r="AI1816">
        <v>0</v>
      </c>
      <c r="AJ1816" t="s">
        <v>31</v>
      </c>
      <c r="AK1816">
        <v>0</v>
      </c>
      <c r="AL1816" t="s">
        <v>31</v>
      </c>
      <c r="AM1816">
        <v>0</v>
      </c>
      <c r="AN1816" t="s">
        <v>31</v>
      </c>
      <c r="AO1816">
        <v>0</v>
      </c>
      <c r="AP1816" t="s">
        <v>31</v>
      </c>
      <c r="AQ1816">
        <v>0</v>
      </c>
    </row>
    <row r="1817" spans="1:43" x14ac:dyDescent="0.2">
      <c r="A1817" t="s">
        <v>381</v>
      </c>
      <c r="B1817" s="3">
        <v>44356</v>
      </c>
      <c r="C1817">
        <v>131</v>
      </c>
      <c r="D1817" t="s">
        <v>383</v>
      </c>
      <c r="E1817" t="s">
        <v>75</v>
      </c>
      <c r="F1817" s="9" t="s">
        <v>76</v>
      </c>
      <c r="G1817" t="s">
        <v>26</v>
      </c>
      <c r="H1817" t="s">
        <v>34</v>
      </c>
      <c r="I1817" t="s">
        <v>35</v>
      </c>
      <c r="J1817" t="s">
        <v>43</v>
      </c>
      <c r="K1817" t="s">
        <v>44</v>
      </c>
      <c r="L1817" t="s">
        <v>29</v>
      </c>
      <c r="M1817" t="s">
        <v>30</v>
      </c>
      <c r="N1817" t="s">
        <v>34</v>
      </c>
      <c r="O1817" t="s">
        <v>35</v>
      </c>
      <c r="P1817" t="s">
        <v>43</v>
      </c>
      <c r="Q1817" t="s">
        <v>44</v>
      </c>
      <c r="R1817" s="1">
        <v>44356.568368055552</v>
      </c>
      <c r="S1817" s="1">
        <v>44356.568425925929</v>
      </c>
      <c r="T1817">
        <v>0</v>
      </c>
      <c r="U1817">
        <v>1</v>
      </c>
      <c r="V1817" s="2">
        <v>0</v>
      </c>
      <c r="W1817">
        <v>0</v>
      </c>
      <c r="X1817" t="s">
        <v>44</v>
      </c>
      <c r="Y1817">
        <v>0</v>
      </c>
      <c r="Z1817" t="s">
        <v>37</v>
      </c>
      <c r="AA1817">
        <v>0</v>
      </c>
      <c r="AB1817" t="s">
        <v>37</v>
      </c>
      <c r="AC1817">
        <v>0</v>
      </c>
      <c r="AD1817" t="s">
        <v>31</v>
      </c>
      <c r="AE1817">
        <v>0</v>
      </c>
      <c r="AF1817" t="s">
        <v>31</v>
      </c>
      <c r="AG1817">
        <v>0</v>
      </c>
      <c r="AH1817" t="s">
        <v>31</v>
      </c>
      <c r="AI1817">
        <v>0</v>
      </c>
      <c r="AJ1817" t="s">
        <v>31</v>
      </c>
      <c r="AK1817">
        <v>0</v>
      </c>
      <c r="AL1817" t="s">
        <v>31</v>
      </c>
      <c r="AM1817">
        <v>0</v>
      </c>
      <c r="AN1817" t="s">
        <v>31</v>
      </c>
      <c r="AO1817">
        <v>0</v>
      </c>
      <c r="AP1817" t="s">
        <v>31</v>
      </c>
      <c r="AQ1817">
        <v>0</v>
      </c>
    </row>
    <row r="1818" spans="1:43" x14ac:dyDescent="0.2">
      <c r="A1818" t="s">
        <v>381</v>
      </c>
      <c r="B1818" s="3">
        <v>44358</v>
      </c>
      <c r="C1818">
        <v>133</v>
      </c>
      <c r="D1818" t="s">
        <v>390</v>
      </c>
      <c r="E1818" t="s">
        <v>75</v>
      </c>
      <c r="F1818" s="9" t="s">
        <v>76</v>
      </c>
      <c r="G1818" t="s">
        <v>26</v>
      </c>
      <c r="H1818" t="s">
        <v>34</v>
      </c>
      <c r="I1818" t="s">
        <v>35</v>
      </c>
      <c r="J1818" t="s">
        <v>43</v>
      </c>
      <c r="K1818" t="s">
        <v>44</v>
      </c>
      <c r="L1818" t="s">
        <v>29</v>
      </c>
      <c r="M1818" t="s">
        <v>30</v>
      </c>
      <c r="N1818" t="s">
        <v>34</v>
      </c>
      <c r="O1818" t="s">
        <v>35</v>
      </c>
      <c r="P1818" t="s">
        <v>43</v>
      </c>
      <c r="Q1818" t="s">
        <v>44</v>
      </c>
      <c r="R1818" s="1">
        <v>44358.457662037035</v>
      </c>
      <c r="S1818" s="1">
        <v>44358.457662037035</v>
      </c>
      <c r="T1818">
        <v>1</v>
      </c>
      <c r="U1818">
        <v>1</v>
      </c>
      <c r="V1818" s="2">
        <v>1</v>
      </c>
      <c r="W1818">
        <v>0</v>
      </c>
      <c r="X1818" t="s">
        <v>30</v>
      </c>
      <c r="Y1818">
        <v>0</v>
      </c>
      <c r="Z1818" t="s">
        <v>31</v>
      </c>
      <c r="AA1818">
        <v>0</v>
      </c>
      <c r="AB1818" t="s">
        <v>31</v>
      </c>
      <c r="AC1818">
        <v>0</v>
      </c>
      <c r="AD1818" t="s">
        <v>31</v>
      </c>
      <c r="AE1818">
        <v>0</v>
      </c>
      <c r="AF1818" t="s">
        <v>31</v>
      </c>
      <c r="AG1818">
        <v>0</v>
      </c>
      <c r="AH1818" t="s">
        <v>31</v>
      </c>
      <c r="AI1818">
        <v>0</v>
      </c>
      <c r="AJ1818" t="s">
        <v>31</v>
      </c>
      <c r="AK1818">
        <v>0</v>
      </c>
      <c r="AL1818" t="s">
        <v>31</v>
      </c>
      <c r="AM1818">
        <v>0</v>
      </c>
      <c r="AN1818" t="s">
        <v>31</v>
      </c>
      <c r="AO1818">
        <v>0</v>
      </c>
      <c r="AP1818" t="s">
        <v>31</v>
      </c>
      <c r="AQ1818">
        <v>0</v>
      </c>
    </row>
    <row r="1819" spans="1:43" x14ac:dyDescent="0.2">
      <c r="A1819" t="s">
        <v>381</v>
      </c>
      <c r="B1819" s="3">
        <v>44251</v>
      </c>
      <c r="C1819">
        <v>18</v>
      </c>
      <c r="D1819" t="s">
        <v>384</v>
      </c>
      <c r="E1819" t="s">
        <v>75</v>
      </c>
      <c r="F1819" s="9" t="s">
        <v>190</v>
      </c>
      <c r="G1819" t="s">
        <v>26</v>
      </c>
      <c r="H1819" t="s">
        <v>155</v>
      </c>
      <c r="I1819" t="s">
        <v>156</v>
      </c>
      <c r="J1819" t="s">
        <v>162</v>
      </c>
      <c r="K1819" t="s">
        <v>47</v>
      </c>
      <c r="L1819" t="s">
        <v>162</v>
      </c>
      <c r="M1819" t="s">
        <v>47</v>
      </c>
      <c r="N1819" t="s">
        <v>27</v>
      </c>
      <c r="O1819" t="s">
        <v>28</v>
      </c>
      <c r="P1819" t="s">
        <v>43</v>
      </c>
      <c r="Q1819" t="s">
        <v>44</v>
      </c>
      <c r="R1819" s="1">
        <v>44251.420740740738</v>
      </c>
      <c r="S1819" s="1">
        <v>44251.422372685185</v>
      </c>
      <c r="T1819">
        <v>10</v>
      </c>
      <c r="U1819">
        <v>10</v>
      </c>
      <c r="V1819" s="2">
        <v>1</v>
      </c>
      <c r="W1819">
        <v>0</v>
      </c>
      <c r="X1819" t="s">
        <v>47</v>
      </c>
      <c r="Y1819">
        <v>0</v>
      </c>
      <c r="Z1819" t="s">
        <v>47</v>
      </c>
      <c r="AA1819">
        <v>0</v>
      </c>
      <c r="AB1819" t="s">
        <v>47</v>
      </c>
      <c r="AC1819">
        <v>0</v>
      </c>
      <c r="AD1819" t="s">
        <v>47</v>
      </c>
      <c r="AE1819">
        <v>0</v>
      </c>
      <c r="AF1819" t="s">
        <v>81</v>
      </c>
      <c r="AG1819">
        <v>0</v>
      </c>
      <c r="AH1819" t="s">
        <v>30</v>
      </c>
      <c r="AI1819">
        <v>0</v>
      </c>
      <c r="AJ1819" t="s">
        <v>30</v>
      </c>
      <c r="AK1819">
        <v>0</v>
      </c>
      <c r="AL1819" t="s">
        <v>47</v>
      </c>
      <c r="AM1819">
        <v>0</v>
      </c>
      <c r="AN1819" t="s">
        <v>47</v>
      </c>
      <c r="AO1819">
        <v>0</v>
      </c>
      <c r="AP1819" t="s">
        <v>81</v>
      </c>
      <c r="AQ1819">
        <v>0</v>
      </c>
    </row>
    <row r="1820" spans="1:43" x14ac:dyDescent="0.2">
      <c r="A1820" t="s">
        <v>381</v>
      </c>
      <c r="B1820" s="3">
        <v>44252</v>
      </c>
      <c r="C1820">
        <v>20</v>
      </c>
      <c r="D1820" t="s">
        <v>385</v>
      </c>
      <c r="E1820" t="s">
        <v>75</v>
      </c>
      <c r="F1820" s="9" t="s">
        <v>190</v>
      </c>
      <c r="G1820" t="s">
        <v>26</v>
      </c>
      <c r="H1820" t="s">
        <v>27</v>
      </c>
      <c r="I1820" t="s">
        <v>28</v>
      </c>
      <c r="J1820" t="s">
        <v>43</v>
      </c>
      <c r="K1820" t="s">
        <v>44</v>
      </c>
      <c r="L1820" t="s">
        <v>29</v>
      </c>
      <c r="M1820" t="s">
        <v>30</v>
      </c>
      <c r="N1820" t="s">
        <v>27</v>
      </c>
      <c r="O1820" t="s">
        <v>28</v>
      </c>
      <c r="P1820" t="s">
        <v>43</v>
      </c>
      <c r="Q1820" t="s">
        <v>44</v>
      </c>
      <c r="R1820" s="1">
        <v>44252.661990740744</v>
      </c>
      <c r="S1820" s="1">
        <v>44252.668993055559</v>
      </c>
      <c r="T1820">
        <v>0</v>
      </c>
      <c r="U1820">
        <v>7</v>
      </c>
      <c r="V1820" s="2">
        <v>0</v>
      </c>
      <c r="W1820">
        <v>0</v>
      </c>
      <c r="X1820" t="s">
        <v>44</v>
      </c>
      <c r="Y1820">
        <v>0</v>
      </c>
      <c r="Z1820" t="s">
        <v>44</v>
      </c>
      <c r="AA1820">
        <v>0</v>
      </c>
      <c r="AB1820" t="s">
        <v>81</v>
      </c>
      <c r="AC1820">
        <v>0</v>
      </c>
      <c r="AD1820" t="s">
        <v>45</v>
      </c>
      <c r="AE1820">
        <v>0</v>
      </c>
      <c r="AF1820" t="s">
        <v>44</v>
      </c>
      <c r="AG1820">
        <v>0</v>
      </c>
      <c r="AH1820" t="s">
        <v>44</v>
      </c>
      <c r="AI1820">
        <v>0</v>
      </c>
      <c r="AJ1820" t="s">
        <v>81</v>
      </c>
      <c r="AK1820">
        <v>0</v>
      </c>
      <c r="AL1820" t="s">
        <v>31</v>
      </c>
      <c r="AM1820">
        <v>0</v>
      </c>
      <c r="AN1820" t="s">
        <v>31</v>
      </c>
      <c r="AO1820">
        <v>0</v>
      </c>
      <c r="AP1820" t="s">
        <v>31</v>
      </c>
      <c r="AQ1820">
        <v>0</v>
      </c>
    </row>
    <row r="1821" spans="1:43" x14ac:dyDescent="0.2">
      <c r="A1821" t="s">
        <v>381</v>
      </c>
      <c r="B1821" s="3">
        <v>44253</v>
      </c>
      <c r="C1821">
        <v>21</v>
      </c>
      <c r="D1821" t="s">
        <v>384</v>
      </c>
      <c r="E1821" t="s">
        <v>75</v>
      </c>
      <c r="F1821" s="9" t="s">
        <v>190</v>
      </c>
      <c r="G1821" t="s">
        <v>26</v>
      </c>
      <c r="H1821" t="s">
        <v>27</v>
      </c>
      <c r="I1821" t="s">
        <v>28</v>
      </c>
      <c r="J1821" t="s">
        <v>43</v>
      </c>
      <c r="K1821" t="s">
        <v>44</v>
      </c>
      <c r="L1821" t="s">
        <v>29</v>
      </c>
      <c r="M1821" t="s">
        <v>30</v>
      </c>
      <c r="N1821" t="s">
        <v>27</v>
      </c>
      <c r="O1821" t="s">
        <v>28</v>
      </c>
      <c r="P1821" t="s">
        <v>43</v>
      </c>
      <c r="Q1821" t="s">
        <v>44</v>
      </c>
      <c r="R1821" s="1">
        <v>44253.422372685185</v>
      </c>
      <c r="S1821" s="1">
        <v>44253.422511574077</v>
      </c>
      <c r="T1821">
        <v>0</v>
      </c>
      <c r="U1821">
        <v>0</v>
      </c>
      <c r="V1821" s="2">
        <v>0</v>
      </c>
      <c r="W1821">
        <v>0</v>
      </c>
      <c r="X1821" t="s">
        <v>37</v>
      </c>
      <c r="Y1821">
        <v>0</v>
      </c>
      <c r="Z1821" t="s">
        <v>37</v>
      </c>
      <c r="AA1821">
        <v>0</v>
      </c>
      <c r="AB1821" t="s">
        <v>37</v>
      </c>
      <c r="AC1821">
        <v>0</v>
      </c>
      <c r="AD1821" t="s">
        <v>31</v>
      </c>
      <c r="AE1821">
        <v>0</v>
      </c>
      <c r="AF1821" t="s">
        <v>31</v>
      </c>
      <c r="AG1821">
        <v>0</v>
      </c>
      <c r="AH1821" t="s">
        <v>31</v>
      </c>
      <c r="AI1821">
        <v>0</v>
      </c>
      <c r="AJ1821" t="s">
        <v>31</v>
      </c>
      <c r="AK1821">
        <v>0</v>
      </c>
      <c r="AL1821" t="s">
        <v>31</v>
      </c>
      <c r="AM1821">
        <v>0</v>
      </c>
      <c r="AN1821" t="s">
        <v>31</v>
      </c>
      <c r="AO1821">
        <v>0</v>
      </c>
      <c r="AP1821" t="s">
        <v>31</v>
      </c>
      <c r="AQ1821">
        <v>0</v>
      </c>
    </row>
    <row r="1822" spans="1:43" x14ac:dyDescent="0.2">
      <c r="A1822" t="s">
        <v>381</v>
      </c>
      <c r="B1822" s="3">
        <v>44258</v>
      </c>
      <c r="C1822">
        <v>25</v>
      </c>
      <c r="D1822" t="s">
        <v>384</v>
      </c>
      <c r="E1822" t="s">
        <v>75</v>
      </c>
      <c r="F1822" s="9" t="s">
        <v>190</v>
      </c>
      <c r="G1822" t="s">
        <v>26</v>
      </c>
      <c r="H1822" t="s">
        <v>27</v>
      </c>
      <c r="I1822" t="s">
        <v>28</v>
      </c>
      <c r="J1822" t="s">
        <v>43</v>
      </c>
      <c r="K1822" t="s">
        <v>44</v>
      </c>
      <c r="L1822" t="s">
        <v>29</v>
      </c>
      <c r="M1822" t="s">
        <v>30</v>
      </c>
      <c r="N1822" t="s">
        <v>27</v>
      </c>
      <c r="O1822" t="s">
        <v>28</v>
      </c>
      <c r="P1822" t="s">
        <v>43</v>
      </c>
      <c r="Q1822" t="s">
        <v>44</v>
      </c>
      <c r="R1822" s="1">
        <v>44258.41196759259</v>
      </c>
      <c r="S1822" s="1">
        <v>44258.412326388891</v>
      </c>
      <c r="T1822">
        <v>0</v>
      </c>
      <c r="U1822">
        <v>0</v>
      </c>
      <c r="V1822" s="2">
        <v>0</v>
      </c>
      <c r="W1822">
        <v>0</v>
      </c>
      <c r="X1822" t="s">
        <v>37</v>
      </c>
      <c r="Y1822">
        <v>0</v>
      </c>
      <c r="Z1822" t="s">
        <v>37</v>
      </c>
      <c r="AA1822">
        <v>0</v>
      </c>
      <c r="AB1822" t="s">
        <v>37</v>
      </c>
      <c r="AC1822">
        <v>0</v>
      </c>
      <c r="AD1822" t="s">
        <v>31</v>
      </c>
      <c r="AE1822">
        <v>0</v>
      </c>
      <c r="AF1822" t="s">
        <v>31</v>
      </c>
      <c r="AG1822">
        <v>0</v>
      </c>
      <c r="AH1822" t="s">
        <v>31</v>
      </c>
      <c r="AI1822">
        <v>0</v>
      </c>
      <c r="AJ1822" t="s">
        <v>31</v>
      </c>
      <c r="AK1822">
        <v>0</v>
      </c>
      <c r="AL1822" t="s">
        <v>31</v>
      </c>
      <c r="AM1822">
        <v>0</v>
      </c>
      <c r="AN1822" t="s">
        <v>31</v>
      </c>
      <c r="AO1822">
        <v>0</v>
      </c>
      <c r="AP1822" t="s">
        <v>31</v>
      </c>
      <c r="AQ1822">
        <v>0</v>
      </c>
    </row>
    <row r="1823" spans="1:43" x14ac:dyDescent="0.2">
      <c r="A1823" t="s">
        <v>381</v>
      </c>
      <c r="B1823" s="3">
        <v>44260</v>
      </c>
      <c r="C1823">
        <v>28</v>
      </c>
      <c r="D1823" t="s">
        <v>384</v>
      </c>
      <c r="E1823" t="s">
        <v>75</v>
      </c>
      <c r="F1823" s="9" t="s">
        <v>190</v>
      </c>
      <c r="G1823" t="s">
        <v>26</v>
      </c>
      <c r="H1823" t="s">
        <v>27</v>
      </c>
      <c r="I1823" t="s">
        <v>28</v>
      </c>
      <c r="J1823" t="s">
        <v>43</v>
      </c>
      <c r="K1823" t="s">
        <v>44</v>
      </c>
      <c r="L1823" t="s">
        <v>29</v>
      </c>
      <c r="M1823" t="s">
        <v>30</v>
      </c>
      <c r="N1823" t="s">
        <v>27</v>
      </c>
      <c r="O1823" t="s">
        <v>28</v>
      </c>
      <c r="P1823" t="s">
        <v>43</v>
      </c>
      <c r="Q1823" t="s">
        <v>44</v>
      </c>
      <c r="R1823" s="1">
        <v>44260.418275462966</v>
      </c>
      <c r="S1823" s="1">
        <v>44260.418368055558</v>
      </c>
      <c r="T1823">
        <v>0</v>
      </c>
      <c r="U1823">
        <v>0</v>
      </c>
      <c r="V1823" s="2">
        <v>0</v>
      </c>
      <c r="W1823">
        <v>0</v>
      </c>
      <c r="X1823" t="s">
        <v>37</v>
      </c>
      <c r="Y1823">
        <v>0</v>
      </c>
      <c r="Z1823" t="s">
        <v>37</v>
      </c>
      <c r="AA1823">
        <v>0</v>
      </c>
      <c r="AB1823" t="s">
        <v>37</v>
      </c>
      <c r="AC1823">
        <v>0</v>
      </c>
      <c r="AD1823" t="s">
        <v>31</v>
      </c>
      <c r="AE1823">
        <v>0</v>
      </c>
      <c r="AF1823" t="s">
        <v>31</v>
      </c>
      <c r="AG1823">
        <v>0</v>
      </c>
      <c r="AH1823" t="s">
        <v>31</v>
      </c>
      <c r="AI1823">
        <v>0</v>
      </c>
      <c r="AJ1823" t="s">
        <v>31</v>
      </c>
      <c r="AK1823">
        <v>0</v>
      </c>
      <c r="AL1823" t="s">
        <v>31</v>
      </c>
      <c r="AM1823">
        <v>0</v>
      </c>
      <c r="AN1823" t="s">
        <v>31</v>
      </c>
      <c r="AO1823">
        <v>0</v>
      </c>
      <c r="AP1823" t="s">
        <v>31</v>
      </c>
      <c r="AQ1823">
        <v>0</v>
      </c>
    </row>
    <row r="1824" spans="1:43" x14ac:dyDescent="0.2">
      <c r="A1824" t="s">
        <v>381</v>
      </c>
      <c r="B1824" s="3">
        <v>44264</v>
      </c>
      <c r="C1824">
        <v>31</v>
      </c>
      <c r="D1824" t="s">
        <v>385</v>
      </c>
      <c r="E1824" t="s">
        <v>75</v>
      </c>
      <c r="F1824" s="9" t="s">
        <v>190</v>
      </c>
      <c r="G1824" t="s">
        <v>26</v>
      </c>
      <c r="H1824" t="s">
        <v>27</v>
      </c>
      <c r="I1824" t="s">
        <v>28</v>
      </c>
      <c r="J1824" t="s">
        <v>43</v>
      </c>
      <c r="K1824" t="s">
        <v>44</v>
      </c>
      <c r="L1824" t="s">
        <v>29</v>
      </c>
      <c r="M1824" t="s">
        <v>30</v>
      </c>
      <c r="N1824" t="s">
        <v>27</v>
      </c>
      <c r="O1824" t="s">
        <v>28</v>
      </c>
      <c r="P1824" t="s">
        <v>43</v>
      </c>
      <c r="Q1824" t="s">
        <v>44</v>
      </c>
      <c r="R1824" s="1">
        <v>44264.624722222223</v>
      </c>
      <c r="S1824" s="1">
        <v>44264.625543981485</v>
      </c>
      <c r="T1824">
        <v>0</v>
      </c>
      <c r="U1824">
        <v>0</v>
      </c>
      <c r="V1824" s="2">
        <v>0</v>
      </c>
      <c r="W1824">
        <v>0</v>
      </c>
      <c r="X1824" t="s">
        <v>37</v>
      </c>
      <c r="Y1824">
        <v>0</v>
      </c>
      <c r="Z1824" t="s">
        <v>37</v>
      </c>
      <c r="AA1824">
        <v>0</v>
      </c>
      <c r="AB1824" t="s">
        <v>37</v>
      </c>
      <c r="AC1824">
        <v>0</v>
      </c>
      <c r="AD1824" t="s">
        <v>37</v>
      </c>
      <c r="AE1824">
        <v>0</v>
      </c>
      <c r="AF1824" t="s">
        <v>31</v>
      </c>
      <c r="AG1824">
        <v>0</v>
      </c>
      <c r="AH1824" t="s">
        <v>31</v>
      </c>
      <c r="AI1824">
        <v>0</v>
      </c>
      <c r="AJ1824" t="s">
        <v>31</v>
      </c>
      <c r="AK1824">
        <v>0</v>
      </c>
      <c r="AL1824" t="s">
        <v>31</v>
      </c>
      <c r="AM1824">
        <v>0</v>
      </c>
      <c r="AN1824" t="s">
        <v>31</v>
      </c>
      <c r="AO1824">
        <v>0</v>
      </c>
      <c r="AP1824" t="s">
        <v>31</v>
      </c>
      <c r="AQ1824">
        <v>0</v>
      </c>
    </row>
    <row r="1825" spans="1:43" x14ac:dyDescent="0.2">
      <c r="A1825" t="s">
        <v>381</v>
      </c>
      <c r="B1825" s="3">
        <v>44265</v>
      </c>
      <c r="C1825">
        <v>32</v>
      </c>
      <c r="D1825" t="s">
        <v>384</v>
      </c>
      <c r="E1825" t="s">
        <v>75</v>
      </c>
      <c r="F1825" s="9" t="s">
        <v>190</v>
      </c>
      <c r="G1825" t="s">
        <v>26</v>
      </c>
      <c r="H1825" t="s">
        <v>27</v>
      </c>
      <c r="I1825" t="s">
        <v>28</v>
      </c>
      <c r="J1825" t="s">
        <v>43</v>
      </c>
      <c r="K1825" t="s">
        <v>44</v>
      </c>
      <c r="L1825" t="s">
        <v>29</v>
      </c>
      <c r="M1825" t="s">
        <v>30</v>
      </c>
      <c r="N1825" t="s">
        <v>27</v>
      </c>
      <c r="O1825" t="s">
        <v>28</v>
      </c>
      <c r="P1825" t="s">
        <v>43</v>
      </c>
      <c r="Q1825" t="s">
        <v>44</v>
      </c>
      <c r="R1825" s="1">
        <v>44265.45480324074</v>
      </c>
      <c r="S1825" s="1">
        <v>44265.45511574074</v>
      </c>
      <c r="T1825">
        <v>0</v>
      </c>
      <c r="U1825">
        <v>1</v>
      </c>
      <c r="V1825" s="2">
        <v>0</v>
      </c>
      <c r="W1825">
        <v>0</v>
      </c>
      <c r="X1825" t="s">
        <v>44</v>
      </c>
      <c r="Y1825">
        <v>0</v>
      </c>
      <c r="Z1825" t="s">
        <v>37</v>
      </c>
      <c r="AA1825">
        <v>0</v>
      </c>
      <c r="AB1825" t="s">
        <v>37</v>
      </c>
      <c r="AC1825">
        <v>0</v>
      </c>
      <c r="AD1825" t="s">
        <v>37</v>
      </c>
      <c r="AE1825">
        <v>0</v>
      </c>
      <c r="AF1825" t="s">
        <v>31</v>
      </c>
      <c r="AG1825">
        <v>0</v>
      </c>
      <c r="AH1825" t="s">
        <v>31</v>
      </c>
      <c r="AI1825">
        <v>0</v>
      </c>
      <c r="AJ1825" t="s">
        <v>31</v>
      </c>
      <c r="AK1825">
        <v>0</v>
      </c>
      <c r="AL1825" t="s">
        <v>31</v>
      </c>
      <c r="AM1825">
        <v>0</v>
      </c>
      <c r="AN1825" t="s">
        <v>31</v>
      </c>
      <c r="AO1825">
        <v>0</v>
      </c>
      <c r="AP1825" t="s">
        <v>31</v>
      </c>
      <c r="AQ1825">
        <v>0</v>
      </c>
    </row>
    <row r="1826" spans="1:43" x14ac:dyDescent="0.2">
      <c r="A1826" t="s">
        <v>381</v>
      </c>
      <c r="B1826" s="3">
        <v>44266</v>
      </c>
      <c r="C1826">
        <v>34</v>
      </c>
      <c r="D1826" t="s">
        <v>385</v>
      </c>
      <c r="E1826" t="s">
        <v>75</v>
      </c>
      <c r="F1826" s="9" t="s">
        <v>190</v>
      </c>
      <c r="G1826" t="s">
        <v>26</v>
      </c>
      <c r="H1826" t="s">
        <v>27</v>
      </c>
      <c r="I1826" t="s">
        <v>28</v>
      </c>
      <c r="J1826" t="s">
        <v>43</v>
      </c>
      <c r="K1826" t="s">
        <v>44</v>
      </c>
      <c r="L1826" t="s">
        <v>29</v>
      </c>
      <c r="M1826" t="s">
        <v>30</v>
      </c>
      <c r="N1826" t="s">
        <v>27</v>
      </c>
      <c r="O1826" t="s">
        <v>28</v>
      </c>
      <c r="P1826" t="s">
        <v>43</v>
      </c>
      <c r="Q1826" t="s">
        <v>44</v>
      </c>
      <c r="R1826" s="1">
        <v>44266.59784722222</v>
      </c>
      <c r="S1826" s="1">
        <v>44266.597858796296</v>
      </c>
      <c r="T1826">
        <v>0</v>
      </c>
      <c r="U1826">
        <v>0</v>
      </c>
      <c r="V1826" s="2">
        <v>0</v>
      </c>
      <c r="W1826">
        <v>0</v>
      </c>
      <c r="X1826" t="s">
        <v>37</v>
      </c>
      <c r="Y1826">
        <v>0</v>
      </c>
      <c r="Z1826" t="s">
        <v>37</v>
      </c>
      <c r="AA1826">
        <v>0</v>
      </c>
      <c r="AB1826" t="s">
        <v>37</v>
      </c>
      <c r="AC1826">
        <v>0</v>
      </c>
      <c r="AD1826" t="s">
        <v>37</v>
      </c>
      <c r="AE1826">
        <v>0</v>
      </c>
      <c r="AF1826" t="s">
        <v>31</v>
      </c>
      <c r="AG1826">
        <v>0</v>
      </c>
      <c r="AH1826" t="s">
        <v>31</v>
      </c>
      <c r="AI1826">
        <v>0</v>
      </c>
      <c r="AJ1826" t="s">
        <v>31</v>
      </c>
      <c r="AK1826">
        <v>0</v>
      </c>
      <c r="AL1826" t="s">
        <v>31</v>
      </c>
      <c r="AM1826">
        <v>0</v>
      </c>
      <c r="AN1826" t="s">
        <v>31</v>
      </c>
      <c r="AO1826">
        <v>0</v>
      </c>
      <c r="AP1826" t="s">
        <v>31</v>
      </c>
      <c r="AQ1826">
        <v>0</v>
      </c>
    </row>
    <row r="1827" spans="1:43" x14ac:dyDescent="0.2">
      <c r="A1827" t="s">
        <v>381</v>
      </c>
      <c r="B1827" s="3">
        <v>44270</v>
      </c>
      <c r="C1827">
        <v>35</v>
      </c>
      <c r="D1827" t="s">
        <v>384</v>
      </c>
      <c r="E1827" t="s">
        <v>75</v>
      </c>
      <c r="F1827" s="9" t="s">
        <v>190</v>
      </c>
      <c r="G1827" t="s">
        <v>26</v>
      </c>
      <c r="H1827" t="s">
        <v>27</v>
      </c>
      <c r="I1827" t="s">
        <v>28</v>
      </c>
      <c r="J1827" t="s">
        <v>43</v>
      </c>
      <c r="K1827" t="s">
        <v>44</v>
      </c>
      <c r="L1827" t="s">
        <v>29</v>
      </c>
      <c r="M1827" t="s">
        <v>30</v>
      </c>
      <c r="N1827" t="s">
        <v>27</v>
      </c>
      <c r="O1827" t="s">
        <v>28</v>
      </c>
      <c r="P1827" t="s">
        <v>43</v>
      </c>
      <c r="Q1827" t="s">
        <v>44</v>
      </c>
      <c r="R1827" s="1">
        <v>44270.422418981485</v>
      </c>
      <c r="S1827" s="1">
        <v>44270.422546296293</v>
      </c>
      <c r="T1827">
        <v>0</v>
      </c>
      <c r="U1827">
        <v>0</v>
      </c>
      <c r="V1827" s="2">
        <v>0</v>
      </c>
      <c r="W1827">
        <v>0</v>
      </c>
      <c r="X1827" t="s">
        <v>37</v>
      </c>
      <c r="Y1827">
        <v>0</v>
      </c>
      <c r="Z1827" t="s">
        <v>37</v>
      </c>
      <c r="AA1827">
        <v>0</v>
      </c>
      <c r="AB1827" t="s">
        <v>37</v>
      </c>
      <c r="AC1827">
        <v>0</v>
      </c>
      <c r="AD1827" t="s">
        <v>31</v>
      </c>
      <c r="AE1827">
        <v>0</v>
      </c>
      <c r="AF1827" t="s">
        <v>31</v>
      </c>
      <c r="AG1827">
        <v>0</v>
      </c>
      <c r="AH1827" t="s">
        <v>31</v>
      </c>
      <c r="AI1827">
        <v>0</v>
      </c>
      <c r="AJ1827" t="s">
        <v>31</v>
      </c>
      <c r="AK1827">
        <v>0</v>
      </c>
      <c r="AL1827" t="s">
        <v>31</v>
      </c>
      <c r="AM1827">
        <v>0</v>
      </c>
      <c r="AN1827" t="s">
        <v>31</v>
      </c>
      <c r="AO1827">
        <v>0</v>
      </c>
      <c r="AP1827" t="s">
        <v>31</v>
      </c>
      <c r="AQ1827">
        <v>0</v>
      </c>
    </row>
    <row r="1828" spans="1:43" x14ac:dyDescent="0.2">
      <c r="A1828" t="s">
        <v>381</v>
      </c>
      <c r="B1828" s="3">
        <v>44271</v>
      </c>
      <c r="C1828">
        <v>37</v>
      </c>
      <c r="D1828" t="s">
        <v>385</v>
      </c>
      <c r="E1828" t="s">
        <v>75</v>
      </c>
      <c r="F1828" s="9" t="s">
        <v>190</v>
      </c>
      <c r="G1828" t="s">
        <v>26</v>
      </c>
      <c r="H1828" t="s">
        <v>27</v>
      </c>
      <c r="I1828" t="s">
        <v>28</v>
      </c>
      <c r="J1828" t="s">
        <v>43</v>
      </c>
      <c r="K1828" t="s">
        <v>44</v>
      </c>
      <c r="L1828" t="s">
        <v>29</v>
      </c>
      <c r="M1828" t="s">
        <v>30</v>
      </c>
      <c r="N1828" t="s">
        <v>27</v>
      </c>
      <c r="O1828" t="s">
        <v>28</v>
      </c>
      <c r="P1828" t="s">
        <v>43</v>
      </c>
      <c r="Q1828" t="s">
        <v>44</v>
      </c>
      <c r="R1828" s="1">
        <v>44271.570601851854</v>
      </c>
      <c r="S1828" s="1">
        <v>44271.578842592593</v>
      </c>
      <c r="T1828">
        <v>0</v>
      </c>
      <c r="U1828">
        <v>0</v>
      </c>
      <c r="V1828" s="2">
        <v>0</v>
      </c>
      <c r="W1828">
        <v>0</v>
      </c>
      <c r="X1828" t="s">
        <v>37</v>
      </c>
      <c r="Y1828">
        <v>0</v>
      </c>
      <c r="Z1828" t="s">
        <v>37</v>
      </c>
      <c r="AA1828">
        <v>0</v>
      </c>
      <c r="AB1828" t="s">
        <v>37</v>
      </c>
      <c r="AC1828">
        <v>0</v>
      </c>
      <c r="AD1828" t="s">
        <v>31</v>
      </c>
      <c r="AE1828">
        <v>0</v>
      </c>
      <c r="AF1828" t="s">
        <v>31</v>
      </c>
      <c r="AG1828">
        <v>0</v>
      </c>
      <c r="AH1828" t="s">
        <v>31</v>
      </c>
      <c r="AI1828">
        <v>0</v>
      </c>
      <c r="AJ1828" t="s">
        <v>31</v>
      </c>
      <c r="AK1828">
        <v>0</v>
      </c>
      <c r="AL1828" t="s">
        <v>31</v>
      </c>
      <c r="AM1828">
        <v>0</v>
      </c>
      <c r="AN1828" t="s">
        <v>31</v>
      </c>
      <c r="AO1828">
        <v>0</v>
      </c>
      <c r="AP1828" t="s">
        <v>31</v>
      </c>
      <c r="AQ1828">
        <v>0</v>
      </c>
    </row>
    <row r="1829" spans="1:43" x14ac:dyDescent="0.2">
      <c r="A1829" t="s">
        <v>381</v>
      </c>
      <c r="B1829" s="3">
        <v>44272</v>
      </c>
      <c r="C1829">
        <v>38</v>
      </c>
      <c r="D1829" t="s">
        <v>384</v>
      </c>
      <c r="E1829" t="s">
        <v>75</v>
      </c>
      <c r="F1829" s="9" t="s">
        <v>190</v>
      </c>
      <c r="G1829" t="s">
        <v>26</v>
      </c>
      <c r="H1829" t="s">
        <v>27</v>
      </c>
      <c r="I1829" t="s">
        <v>28</v>
      </c>
      <c r="J1829" t="s">
        <v>43</v>
      </c>
      <c r="K1829" t="s">
        <v>44</v>
      </c>
      <c r="L1829" t="s">
        <v>29</v>
      </c>
      <c r="M1829" t="s">
        <v>30</v>
      </c>
      <c r="N1829" t="s">
        <v>27</v>
      </c>
      <c r="O1829" t="s">
        <v>28</v>
      </c>
      <c r="P1829" t="s">
        <v>43</v>
      </c>
      <c r="Q1829" t="s">
        <v>44</v>
      </c>
      <c r="R1829" s="1">
        <v>44272.464618055557</v>
      </c>
      <c r="S1829" s="1">
        <v>44272.464884259258</v>
      </c>
      <c r="T1829">
        <v>0</v>
      </c>
      <c r="U1829">
        <v>0</v>
      </c>
      <c r="V1829" s="2">
        <v>0</v>
      </c>
      <c r="W1829">
        <v>0</v>
      </c>
      <c r="X1829" t="s">
        <v>37</v>
      </c>
      <c r="Y1829">
        <v>0</v>
      </c>
      <c r="Z1829" t="s">
        <v>37</v>
      </c>
      <c r="AA1829">
        <v>0</v>
      </c>
      <c r="AB1829" t="s">
        <v>37</v>
      </c>
      <c r="AC1829">
        <v>0</v>
      </c>
      <c r="AD1829" t="s">
        <v>31</v>
      </c>
      <c r="AE1829">
        <v>0</v>
      </c>
      <c r="AF1829" t="s">
        <v>31</v>
      </c>
      <c r="AG1829">
        <v>0</v>
      </c>
      <c r="AH1829" t="s">
        <v>31</v>
      </c>
      <c r="AI1829">
        <v>0</v>
      </c>
      <c r="AJ1829" t="s">
        <v>31</v>
      </c>
      <c r="AK1829">
        <v>0</v>
      </c>
      <c r="AL1829" t="s">
        <v>31</v>
      </c>
      <c r="AM1829">
        <v>0</v>
      </c>
      <c r="AN1829" t="s">
        <v>31</v>
      </c>
      <c r="AO1829">
        <v>0</v>
      </c>
      <c r="AP1829" t="s">
        <v>31</v>
      </c>
      <c r="AQ1829">
        <v>0</v>
      </c>
    </row>
    <row r="1830" spans="1:43" x14ac:dyDescent="0.2">
      <c r="A1830" t="s">
        <v>381</v>
      </c>
      <c r="B1830" s="3">
        <v>44273</v>
      </c>
      <c r="C1830">
        <v>40</v>
      </c>
      <c r="D1830" t="s">
        <v>385</v>
      </c>
      <c r="E1830" t="s">
        <v>75</v>
      </c>
      <c r="F1830" s="9" t="s">
        <v>190</v>
      </c>
      <c r="G1830" t="s">
        <v>26</v>
      </c>
      <c r="H1830" t="s">
        <v>27</v>
      </c>
      <c r="I1830" t="s">
        <v>28</v>
      </c>
      <c r="J1830" t="s">
        <v>43</v>
      </c>
      <c r="K1830" t="s">
        <v>44</v>
      </c>
      <c r="L1830" t="s">
        <v>29</v>
      </c>
      <c r="M1830" t="s">
        <v>30</v>
      </c>
      <c r="N1830" t="s">
        <v>27</v>
      </c>
      <c r="O1830" t="s">
        <v>28</v>
      </c>
      <c r="P1830" t="s">
        <v>43</v>
      </c>
      <c r="Q1830" t="s">
        <v>44</v>
      </c>
      <c r="R1830" s="1">
        <v>44273.625601851854</v>
      </c>
      <c r="S1830" s="1">
        <v>44273.628784722219</v>
      </c>
      <c r="T1830">
        <v>0</v>
      </c>
      <c r="U1830">
        <v>0</v>
      </c>
      <c r="V1830" s="2">
        <v>0</v>
      </c>
      <c r="W1830">
        <v>0</v>
      </c>
      <c r="X1830" t="s">
        <v>37</v>
      </c>
      <c r="Y1830">
        <v>0</v>
      </c>
      <c r="Z1830" t="s">
        <v>37</v>
      </c>
      <c r="AA1830">
        <v>0</v>
      </c>
      <c r="AB1830" t="s">
        <v>37</v>
      </c>
      <c r="AC1830">
        <v>0</v>
      </c>
      <c r="AD1830" t="s">
        <v>37</v>
      </c>
      <c r="AE1830">
        <v>0</v>
      </c>
      <c r="AF1830" t="s">
        <v>31</v>
      </c>
      <c r="AG1830">
        <v>0</v>
      </c>
      <c r="AH1830" t="s">
        <v>31</v>
      </c>
      <c r="AI1830">
        <v>0</v>
      </c>
      <c r="AJ1830" t="s">
        <v>31</v>
      </c>
      <c r="AK1830">
        <v>0</v>
      </c>
      <c r="AL1830" t="s">
        <v>31</v>
      </c>
      <c r="AM1830">
        <v>0</v>
      </c>
      <c r="AN1830" t="s">
        <v>31</v>
      </c>
      <c r="AO1830">
        <v>0</v>
      </c>
      <c r="AP1830" t="s">
        <v>31</v>
      </c>
      <c r="AQ1830">
        <v>0</v>
      </c>
    </row>
    <row r="1831" spans="1:43" x14ac:dyDescent="0.2">
      <c r="A1831" t="s">
        <v>381</v>
      </c>
      <c r="B1831" s="3">
        <v>44279</v>
      </c>
      <c r="C1831">
        <v>41</v>
      </c>
      <c r="D1831" t="s">
        <v>384</v>
      </c>
      <c r="E1831" t="s">
        <v>75</v>
      </c>
      <c r="F1831" s="9" t="s">
        <v>190</v>
      </c>
      <c r="G1831" t="s">
        <v>26</v>
      </c>
      <c r="H1831" t="s">
        <v>27</v>
      </c>
      <c r="I1831" t="s">
        <v>28</v>
      </c>
      <c r="J1831" t="s">
        <v>43</v>
      </c>
      <c r="K1831" t="s">
        <v>44</v>
      </c>
      <c r="L1831" t="s">
        <v>29</v>
      </c>
      <c r="M1831" t="s">
        <v>30</v>
      </c>
      <c r="N1831" t="s">
        <v>27</v>
      </c>
      <c r="O1831" t="s">
        <v>28</v>
      </c>
      <c r="P1831" t="s">
        <v>43</v>
      </c>
      <c r="Q1831" t="s">
        <v>44</v>
      </c>
      <c r="R1831" s="1">
        <v>44279.425081018519</v>
      </c>
      <c r="S1831" s="1">
        <v>44279.425324074073</v>
      </c>
      <c r="T1831">
        <v>0</v>
      </c>
      <c r="U1831">
        <v>0</v>
      </c>
      <c r="V1831" s="2">
        <v>0</v>
      </c>
      <c r="W1831">
        <v>0</v>
      </c>
      <c r="X1831" t="s">
        <v>37</v>
      </c>
      <c r="Y1831">
        <v>0</v>
      </c>
      <c r="Z1831" t="s">
        <v>37</v>
      </c>
      <c r="AA1831">
        <v>0</v>
      </c>
      <c r="AB1831" t="s">
        <v>37</v>
      </c>
      <c r="AC1831">
        <v>0</v>
      </c>
      <c r="AD1831" t="s">
        <v>31</v>
      </c>
      <c r="AE1831">
        <v>0</v>
      </c>
      <c r="AF1831" t="s">
        <v>31</v>
      </c>
      <c r="AG1831">
        <v>0</v>
      </c>
      <c r="AH1831" t="s">
        <v>31</v>
      </c>
      <c r="AI1831">
        <v>0</v>
      </c>
      <c r="AJ1831" t="s">
        <v>31</v>
      </c>
      <c r="AK1831">
        <v>0</v>
      </c>
      <c r="AL1831" t="s">
        <v>31</v>
      </c>
      <c r="AM1831">
        <v>0</v>
      </c>
      <c r="AN1831" t="s">
        <v>31</v>
      </c>
      <c r="AO1831">
        <v>0</v>
      </c>
      <c r="AP1831" t="s">
        <v>31</v>
      </c>
      <c r="AQ1831">
        <v>0</v>
      </c>
    </row>
    <row r="1832" spans="1:43" x14ac:dyDescent="0.2">
      <c r="A1832" t="s">
        <v>381</v>
      </c>
      <c r="B1832" s="3">
        <v>44284</v>
      </c>
      <c r="C1832">
        <v>43</v>
      </c>
      <c r="D1832" t="s">
        <v>384</v>
      </c>
      <c r="E1832" t="s">
        <v>75</v>
      </c>
      <c r="F1832" s="9" t="s">
        <v>190</v>
      </c>
      <c r="G1832" t="s">
        <v>26</v>
      </c>
      <c r="H1832" t="s">
        <v>27</v>
      </c>
      <c r="I1832" t="s">
        <v>28</v>
      </c>
      <c r="J1832" t="s">
        <v>43</v>
      </c>
      <c r="K1832" t="s">
        <v>44</v>
      </c>
      <c r="L1832" t="s">
        <v>29</v>
      </c>
      <c r="M1832" t="s">
        <v>30</v>
      </c>
      <c r="N1832" t="s">
        <v>27</v>
      </c>
      <c r="O1832" t="s">
        <v>28</v>
      </c>
      <c r="P1832" t="s">
        <v>43</v>
      </c>
      <c r="Q1832" t="s">
        <v>44</v>
      </c>
      <c r="R1832" s="1">
        <v>44284.457384259258</v>
      </c>
      <c r="S1832" s="1">
        <v>44284.457905092589</v>
      </c>
      <c r="T1832">
        <v>0</v>
      </c>
      <c r="U1832">
        <v>0</v>
      </c>
      <c r="V1832" s="2">
        <v>0</v>
      </c>
      <c r="W1832">
        <v>0</v>
      </c>
      <c r="X1832" t="s">
        <v>37</v>
      </c>
      <c r="Y1832">
        <v>0</v>
      </c>
      <c r="Z1832" t="s">
        <v>37</v>
      </c>
      <c r="AA1832">
        <v>0</v>
      </c>
      <c r="AB1832" t="s">
        <v>37</v>
      </c>
      <c r="AC1832">
        <v>0</v>
      </c>
      <c r="AD1832" t="s">
        <v>31</v>
      </c>
      <c r="AE1832">
        <v>0</v>
      </c>
      <c r="AF1832" t="s">
        <v>31</v>
      </c>
      <c r="AG1832">
        <v>0</v>
      </c>
      <c r="AH1832" t="s">
        <v>31</v>
      </c>
      <c r="AI1832">
        <v>0</v>
      </c>
      <c r="AJ1832" t="s">
        <v>31</v>
      </c>
      <c r="AK1832">
        <v>0</v>
      </c>
      <c r="AL1832" t="s">
        <v>31</v>
      </c>
      <c r="AM1832">
        <v>0</v>
      </c>
      <c r="AN1832" t="s">
        <v>31</v>
      </c>
      <c r="AO1832">
        <v>0</v>
      </c>
      <c r="AP1832" t="s">
        <v>31</v>
      </c>
      <c r="AQ1832">
        <v>0</v>
      </c>
    </row>
    <row r="1833" spans="1:43" x14ac:dyDescent="0.2">
      <c r="A1833" t="s">
        <v>381</v>
      </c>
      <c r="B1833" s="3">
        <v>44285</v>
      </c>
      <c r="C1833">
        <v>45</v>
      </c>
      <c r="D1833" t="s">
        <v>385</v>
      </c>
      <c r="E1833" t="s">
        <v>75</v>
      </c>
      <c r="F1833" s="9" t="s">
        <v>190</v>
      </c>
      <c r="G1833" t="s">
        <v>26</v>
      </c>
      <c r="H1833" t="s">
        <v>27</v>
      </c>
      <c r="I1833" t="s">
        <v>28</v>
      </c>
      <c r="J1833" t="s">
        <v>43</v>
      </c>
      <c r="K1833" t="s">
        <v>44</v>
      </c>
      <c r="L1833" t="s">
        <v>29</v>
      </c>
      <c r="M1833" t="s">
        <v>30</v>
      </c>
      <c r="N1833" t="s">
        <v>27</v>
      </c>
      <c r="O1833" t="s">
        <v>28</v>
      </c>
      <c r="P1833" t="s">
        <v>43</v>
      </c>
      <c r="Q1833" t="s">
        <v>44</v>
      </c>
      <c r="R1833" s="1">
        <v>44285.599606481483</v>
      </c>
      <c r="S1833" s="1">
        <v>44285.601875</v>
      </c>
      <c r="T1833">
        <v>0</v>
      </c>
      <c r="U1833">
        <v>7</v>
      </c>
      <c r="V1833" s="2">
        <v>0</v>
      </c>
      <c r="W1833">
        <v>0</v>
      </c>
      <c r="X1833" t="s">
        <v>44</v>
      </c>
      <c r="Y1833">
        <v>0</v>
      </c>
      <c r="Z1833" t="s">
        <v>44</v>
      </c>
      <c r="AA1833">
        <v>0</v>
      </c>
      <c r="AB1833" t="s">
        <v>37</v>
      </c>
      <c r="AC1833">
        <v>0</v>
      </c>
      <c r="AD1833" t="s">
        <v>37</v>
      </c>
      <c r="AE1833">
        <v>0</v>
      </c>
      <c r="AF1833" t="s">
        <v>44</v>
      </c>
      <c r="AG1833">
        <v>0</v>
      </c>
      <c r="AH1833" t="s">
        <v>44</v>
      </c>
      <c r="AI1833">
        <v>0</v>
      </c>
      <c r="AJ1833" t="s">
        <v>81</v>
      </c>
      <c r="AK1833">
        <v>0</v>
      </c>
      <c r="AL1833" t="s">
        <v>45</v>
      </c>
      <c r="AM1833">
        <v>0</v>
      </c>
      <c r="AN1833" t="s">
        <v>47</v>
      </c>
      <c r="AO1833">
        <v>0</v>
      </c>
      <c r="AP1833" t="s">
        <v>31</v>
      </c>
      <c r="AQ1833">
        <v>0</v>
      </c>
    </row>
    <row r="1834" spans="1:43" x14ac:dyDescent="0.2">
      <c r="A1834" t="s">
        <v>381</v>
      </c>
      <c r="B1834" s="3">
        <v>44291</v>
      </c>
      <c r="C1834">
        <v>50</v>
      </c>
      <c r="D1834" t="s">
        <v>384</v>
      </c>
      <c r="E1834" t="s">
        <v>75</v>
      </c>
      <c r="F1834" s="9" t="s">
        <v>190</v>
      </c>
      <c r="G1834" t="s">
        <v>26</v>
      </c>
      <c r="H1834" t="s">
        <v>27</v>
      </c>
      <c r="I1834" t="s">
        <v>28</v>
      </c>
      <c r="J1834" t="s">
        <v>43</v>
      </c>
      <c r="K1834" t="s">
        <v>44</v>
      </c>
      <c r="L1834" t="s">
        <v>29</v>
      </c>
      <c r="M1834" t="s">
        <v>30</v>
      </c>
      <c r="N1834" t="s">
        <v>27</v>
      </c>
      <c r="O1834" t="s">
        <v>28</v>
      </c>
      <c r="P1834" t="s">
        <v>43</v>
      </c>
      <c r="Q1834" t="s">
        <v>44</v>
      </c>
      <c r="R1834" s="1">
        <v>44291.429618055554</v>
      </c>
      <c r="S1834" s="1">
        <v>44291.429895833331</v>
      </c>
      <c r="T1834">
        <v>0</v>
      </c>
      <c r="U1834">
        <v>0</v>
      </c>
      <c r="V1834" s="2">
        <v>0</v>
      </c>
      <c r="W1834">
        <v>0</v>
      </c>
      <c r="X1834" t="s">
        <v>37</v>
      </c>
      <c r="Y1834">
        <v>0</v>
      </c>
      <c r="Z1834" t="s">
        <v>37</v>
      </c>
      <c r="AA1834">
        <v>0</v>
      </c>
      <c r="AB1834" t="s">
        <v>37</v>
      </c>
      <c r="AC1834">
        <v>0</v>
      </c>
      <c r="AD1834" t="s">
        <v>31</v>
      </c>
      <c r="AE1834">
        <v>0</v>
      </c>
      <c r="AF1834" t="s">
        <v>31</v>
      </c>
      <c r="AG1834">
        <v>0</v>
      </c>
      <c r="AH1834" t="s">
        <v>31</v>
      </c>
      <c r="AI1834">
        <v>0</v>
      </c>
      <c r="AJ1834" t="s">
        <v>31</v>
      </c>
      <c r="AK1834">
        <v>0</v>
      </c>
      <c r="AL1834" t="s">
        <v>31</v>
      </c>
      <c r="AM1834">
        <v>0</v>
      </c>
      <c r="AN1834" t="s">
        <v>31</v>
      </c>
      <c r="AO1834">
        <v>0</v>
      </c>
      <c r="AP1834" t="s">
        <v>31</v>
      </c>
      <c r="AQ1834">
        <v>0</v>
      </c>
    </row>
    <row r="1835" spans="1:43" x14ac:dyDescent="0.2">
      <c r="A1835" t="s">
        <v>381</v>
      </c>
      <c r="B1835" s="3">
        <v>44294</v>
      </c>
      <c r="C1835">
        <v>55</v>
      </c>
      <c r="D1835" t="s">
        <v>385</v>
      </c>
      <c r="E1835" t="s">
        <v>75</v>
      </c>
      <c r="F1835" s="9" t="s">
        <v>190</v>
      </c>
      <c r="G1835" t="s">
        <v>26</v>
      </c>
      <c r="H1835" t="s">
        <v>27</v>
      </c>
      <c r="I1835" t="s">
        <v>28</v>
      </c>
      <c r="J1835" t="s">
        <v>43</v>
      </c>
      <c r="K1835" t="s">
        <v>44</v>
      </c>
      <c r="L1835" t="s">
        <v>29</v>
      </c>
      <c r="M1835" t="s">
        <v>30</v>
      </c>
      <c r="N1835" t="s">
        <v>27</v>
      </c>
      <c r="O1835" t="s">
        <v>28</v>
      </c>
      <c r="P1835" t="s">
        <v>43</v>
      </c>
      <c r="Q1835" t="s">
        <v>44</v>
      </c>
      <c r="R1835" s="1">
        <v>44294.657951388886</v>
      </c>
      <c r="S1835" s="1">
        <v>44294.658090277779</v>
      </c>
      <c r="T1835">
        <v>0</v>
      </c>
      <c r="U1835">
        <v>7</v>
      </c>
      <c r="V1835" s="2">
        <v>0</v>
      </c>
      <c r="W1835">
        <v>0</v>
      </c>
      <c r="X1835" t="s">
        <v>44</v>
      </c>
      <c r="Y1835">
        <v>0</v>
      </c>
      <c r="Z1835" t="s">
        <v>44</v>
      </c>
      <c r="AA1835">
        <v>0</v>
      </c>
      <c r="AB1835" t="s">
        <v>37</v>
      </c>
      <c r="AC1835">
        <v>0</v>
      </c>
      <c r="AD1835" t="s">
        <v>44</v>
      </c>
      <c r="AE1835">
        <v>0</v>
      </c>
      <c r="AF1835" t="s">
        <v>44</v>
      </c>
      <c r="AG1835">
        <v>0</v>
      </c>
      <c r="AH1835" t="s">
        <v>81</v>
      </c>
      <c r="AI1835">
        <v>0</v>
      </c>
      <c r="AJ1835" t="s">
        <v>45</v>
      </c>
      <c r="AK1835">
        <v>0</v>
      </c>
      <c r="AL1835" t="s">
        <v>47</v>
      </c>
      <c r="AM1835">
        <v>0</v>
      </c>
      <c r="AN1835" t="s">
        <v>31</v>
      </c>
      <c r="AO1835">
        <v>0</v>
      </c>
      <c r="AP1835" t="s">
        <v>31</v>
      </c>
      <c r="AQ1835">
        <v>0</v>
      </c>
    </row>
    <row r="1836" spans="1:43" x14ac:dyDescent="0.2">
      <c r="A1836" t="s">
        <v>381</v>
      </c>
      <c r="B1836" s="3">
        <v>44295</v>
      </c>
      <c r="C1836">
        <v>56</v>
      </c>
      <c r="D1836" t="s">
        <v>384</v>
      </c>
      <c r="E1836" t="s">
        <v>75</v>
      </c>
      <c r="F1836" s="9" t="s">
        <v>190</v>
      </c>
      <c r="G1836" t="s">
        <v>26</v>
      </c>
      <c r="H1836" t="s">
        <v>27</v>
      </c>
      <c r="I1836" t="s">
        <v>28</v>
      </c>
      <c r="J1836" t="s">
        <v>43</v>
      </c>
      <c r="K1836" t="s">
        <v>44</v>
      </c>
      <c r="L1836" t="s">
        <v>29</v>
      </c>
      <c r="M1836" t="s">
        <v>30</v>
      </c>
      <c r="N1836" t="s">
        <v>27</v>
      </c>
      <c r="O1836" t="s">
        <v>28</v>
      </c>
      <c r="P1836" t="s">
        <v>43</v>
      </c>
      <c r="Q1836" t="s">
        <v>44</v>
      </c>
      <c r="R1836" s="1">
        <v>44295.435104166667</v>
      </c>
      <c r="S1836" s="1">
        <v>44295.435289351852</v>
      </c>
      <c r="T1836">
        <v>0</v>
      </c>
      <c r="U1836">
        <v>0</v>
      </c>
      <c r="V1836" s="2">
        <v>0</v>
      </c>
      <c r="W1836">
        <v>0</v>
      </c>
      <c r="X1836" t="s">
        <v>37</v>
      </c>
      <c r="Y1836">
        <v>0</v>
      </c>
      <c r="Z1836" t="s">
        <v>37</v>
      </c>
      <c r="AA1836">
        <v>0</v>
      </c>
      <c r="AB1836" t="s">
        <v>37</v>
      </c>
      <c r="AC1836">
        <v>0</v>
      </c>
      <c r="AD1836" t="s">
        <v>31</v>
      </c>
      <c r="AE1836">
        <v>0</v>
      </c>
      <c r="AF1836" t="s">
        <v>31</v>
      </c>
      <c r="AG1836">
        <v>0</v>
      </c>
      <c r="AH1836" t="s">
        <v>31</v>
      </c>
      <c r="AI1836">
        <v>0</v>
      </c>
      <c r="AJ1836" t="s">
        <v>31</v>
      </c>
      <c r="AK1836">
        <v>0</v>
      </c>
      <c r="AL1836" t="s">
        <v>31</v>
      </c>
      <c r="AM1836">
        <v>0</v>
      </c>
      <c r="AN1836" t="s">
        <v>31</v>
      </c>
      <c r="AO1836">
        <v>0</v>
      </c>
      <c r="AP1836" t="s">
        <v>31</v>
      </c>
      <c r="AQ1836">
        <v>0</v>
      </c>
    </row>
    <row r="1837" spans="1:43" x14ac:dyDescent="0.2">
      <c r="A1837" t="s">
        <v>381</v>
      </c>
      <c r="B1837" s="3">
        <v>44299</v>
      </c>
      <c r="C1837">
        <v>58</v>
      </c>
      <c r="D1837" t="s">
        <v>385</v>
      </c>
      <c r="E1837" t="s">
        <v>75</v>
      </c>
      <c r="F1837" s="9" t="s">
        <v>190</v>
      </c>
      <c r="G1837" t="s">
        <v>26</v>
      </c>
      <c r="H1837" t="s">
        <v>27</v>
      </c>
      <c r="I1837" t="s">
        <v>28</v>
      </c>
      <c r="J1837" t="s">
        <v>43</v>
      </c>
      <c r="K1837" t="s">
        <v>44</v>
      </c>
      <c r="L1837" t="s">
        <v>29</v>
      </c>
      <c r="M1837" t="s">
        <v>30</v>
      </c>
      <c r="N1837" t="s">
        <v>27</v>
      </c>
      <c r="O1837" t="s">
        <v>28</v>
      </c>
      <c r="P1837" t="s">
        <v>43</v>
      </c>
      <c r="Q1837" t="s">
        <v>44</v>
      </c>
      <c r="R1837" s="1">
        <v>44299.483888888892</v>
      </c>
      <c r="S1837" s="1">
        <v>44299.485405092593</v>
      </c>
      <c r="T1837">
        <v>0</v>
      </c>
      <c r="U1837">
        <v>5</v>
      </c>
      <c r="V1837" s="2">
        <v>0</v>
      </c>
      <c r="W1837">
        <v>0</v>
      </c>
      <c r="X1837" t="s">
        <v>44</v>
      </c>
      <c r="Y1837">
        <v>0</v>
      </c>
      <c r="Z1837" t="s">
        <v>44</v>
      </c>
      <c r="AA1837">
        <v>0</v>
      </c>
      <c r="AB1837" t="s">
        <v>81</v>
      </c>
      <c r="AC1837">
        <v>0</v>
      </c>
      <c r="AD1837" t="s">
        <v>45</v>
      </c>
      <c r="AE1837">
        <v>0</v>
      </c>
      <c r="AF1837" t="s">
        <v>47</v>
      </c>
      <c r="AG1837">
        <v>0</v>
      </c>
      <c r="AH1837" t="s">
        <v>37</v>
      </c>
      <c r="AI1837">
        <v>0</v>
      </c>
      <c r="AJ1837" t="s">
        <v>31</v>
      </c>
      <c r="AK1837">
        <v>0</v>
      </c>
      <c r="AL1837" t="s">
        <v>31</v>
      </c>
      <c r="AM1837">
        <v>0</v>
      </c>
      <c r="AN1837" t="s">
        <v>31</v>
      </c>
      <c r="AO1837">
        <v>0</v>
      </c>
      <c r="AP1837" t="s">
        <v>31</v>
      </c>
      <c r="AQ1837">
        <v>0</v>
      </c>
    </row>
    <row r="1838" spans="1:43" x14ac:dyDescent="0.2">
      <c r="A1838" t="s">
        <v>381</v>
      </c>
      <c r="B1838" s="3">
        <v>44301</v>
      </c>
      <c r="C1838">
        <v>63</v>
      </c>
      <c r="D1838" t="s">
        <v>385</v>
      </c>
      <c r="E1838" t="s">
        <v>75</v>
      </c>
      <c r="F1838" s="9" t="s">
        <v>190</v>
      </c>
      <c r="G1838" t="s">
        <v>26</v>
      </c>
      <c r="H1838" t="s">
        <v>27</v>
      </c>
      <c r="I1838" t="s">
        <v>28</v>
      </c>
      <c r="J1838" t="s">
        <v>43</v>
      </c>
      <c r="K1838" t="s">
        <v>44</v>
      </c>
      <c r="L1838" t="s">
        <v>29</v>
      </c>
      <c r="M1838" t="s">
        <v>30</v>
      </c>
      <c r="N1838" t="s">
        <v>27</v>
      </c>
      <c r="O1838" t="s">
        <v>28</v>
      </c>
      <c r="P1838" t="s">
        <v>43</v>
      </c>
      <c r="Q1838" t="s">
        <v>44</v>
      </c>
      <c r="R1838" s="1">
        <v>44301.62709490741</v>
      </c>
      <c r="S1838" s="1">
        <v>44301.630115740743</v>
      </c>
      <c r="T1838">
        <v>1</v>
      </c>
      <c r="U1838">
        <v>6</v>
      </c>
      <c r="V1838" s="2">
        <v>0.16</v>
      </c>
      <c r="W1838">
        <v>0</v>
      </c>
      <c r="X1838" t="s">
        <v>44</v>
      </c>
      <c r="Y1838">
        <v>0</v>
      </c>
      <c r="Z1838" t="s">
        <v>44</v>
      </c>
      <c r="AA1838">
        <v>0</v>
      </c>
      <c r="AB1838" t="s">
        <v>81</v>
      </c>
      <c r="AC1838">
        <v>0</v>
      </c>
      <c r="AD1838" t="s">
        <v>45</v>
      </c>
      <c r="AE1838">
        <v>0</v>
      </c>
      <c r="AF1838" t="s">
        <v>47</v>
      </c>
      <c r="AG1838">
        <v>0</v>
      </c>
      <c r="AH1838" t="s">
        <v>37</v>
      </c>
      <c r="AI1838">
        <v>0</v>
      </c>
      <c r="AJ1838" t="s">
        <v>37</v>
      </c>
      <c r="AK1838">
        <v>0</v>
      </c>
      <c r="AL1838" t="s">
        <v>30</v>
      </c>
      <c r="AM1838">
        <v>0</v>
      </c>
      <c r="AN1838" t="s">
        <v>31</v>
      </c>
      <c r="AO1838">
        <v>0</v>
      </c>
      <c r="AP1838" t="s">
        <v>31</v>
      </c>
      <c r="AQ1838">
        <v>0</v>
      </c>
    </row>
    <row r="1839" spans="1:43" x14ac:dyDescent="0.2">
      <c r="A1839" t="s">
        <v>381</v>
      </c>
      <c r="B1839" s="3">
        <v>44308</v>
      </c>
      <c r="C1839">
        <v>69</v>
      </c>
      <c r="D1839" t="s">
        <v>385</v>
      </c>
      <c r="E1839" t="s">
        <v>75</v>
      </c>
      <c r="F1839" s="9" t="s">
        <v>190</v>
      </c>
      <c r="G1839" t="s">
        <v>26</v>
      </c>
      <c r="H1839" t="s">
        <v>27</v>
      </c>
      <c r="I1839" t="s">
        <v>28</v>
      </c>
      <c r="J1839" t="s">
        <v>43</v>
      </c>
      <c r="K1839" t="s">
        <v>44</v>
      </c>
      <c r="L1839" t="s">
        <v>29</v>
      </c>
      <c r="M1839" t="s">
        <v>30</v>
      </c>
      <c r="N1839" t="s">
        <v>27</v>
      </c>
      <c r="O1839" t="s">
        <v>28</v>
      </c>
      <c r="P1839" t="s">
        <v>43</v>
      </c>
      <c r="Q1839" t="s">
        <v>44</v>
      </c>
      <c r="R1839" s="1">
        <v>44308.641898148147</v>
      </c>
      <c r="S1839" s="1">
        <v>44308.643703703703</v>
      </c>
      <c r="T1839">
        <v>0</v>
      </c>
      <c r="U1839">
        <v>10</v>
      </c>
      <c r="V1839" s="2">
        <v>0</v>
      </c>
      <c r="W1839">
        <v>0</v>
      </c>
      <c r="X1839" t="s">
        <v>44</v>
      </c>
      <c r="Y1839">
        <v>0</v>
      </c>
      <c r="Z1839" t="s">
        <v>44</v>
      </c>
      <c r="AA1839">
        <v>0</v>
      </c>
      <c r="AB1839" t="s">
        <v>81</v>
      </c>
      <c r="AC1839">
        <v>0</v>
      </c>
      <c r="AD1839" t="s">
        <v>45</v>
      </c>
      <c r="AE1839">
        <v>0</v>
      </c>
      <c r="AF1839" t="s">
        <v>47</v>
      </c>
      <c r="AG1839">
        <v>0</v>
      </c>
      <c r="AH1839" t="s">
        <v>44</v>
      </c>
      <c r="AI1839">
        <v>0</v>
      </c>
      <c r="AJ1839" t="s">
        <v>44</v>
      </c>
      <c r="AK1839">
        <v>0</v>
      </c>
      <c r="AL1839" t="s">
        <v>81</v>
      </c>
      <c r="AM1839">
        <v>0</v>
      </c>
      <c r="AN1839" t="s">
        <v>45</v>
      </c>
      <c r="AO1839">
        <v>0</v>
      </c>
      <c r="AP1839" t="s">
        <v>47</v>
      </c>
      <c r="AQ1839">
        <v>0</v>
      </c>
    </row>
    <row r="1840" spans="1:43" x14ac:dyDescent="0.2">
      <c r="A1840" t="s">
        <v>381</v>
      </c>
      <c r="B1840" s="3">
        <v>44309</v>
      </c>
      <c r="C1840">
        <v>70</v>
      </c>
      <c r="D1840" t="s">
        <v>388</v>
      </c>
      <c r="E1840" t="s">
        <v>75</v>
      </c>
      <c r="F1840" s="9" t="s">
        <v>190</v>
      </c>
      <c r="G1840" t="s">
        <v>26</v>
      </c>
      <c r="H1840" t="s">
        <v>27</v>
      </c>
      <c r="I1840" t="s">
        <v>28</v>
      </c>
      <c r="J1840" t="s">
        <v>43</v>
      </c>
      <c r="K1840" t="s">
        <v>44</v>
      </c>
      <c r="L1840" t="s">
        <v>29</v>
      </c>
      <c r="M1840" t="s">
        <v>30</v>
      </c>
      <c r="N1840" t="s">
        <v>27</v>
      </c>
      <c r="O1840" t="s">
        <v>28</v>
      </c>
      <c r="P1840" t="s">
        <v>43</v>
      </c>
      <c r="Q1840" t="s">
        <v>44</v>
      </c>
      <c r="R1840" s="1">
        <v>44309.465810185182</v>
      </c>
      <c r="S1840" s="1">
        <v>44309.465810185182</v>
      </c>
      <c r="T1840">
        <v>0</v>
      </c>
      <c r="U1840">
        <v>0</v>
      </c>
      <c r="V1840" s="2">
        <v>0</v>
      </c>
      <c r="W1840">
        <v>0</v>
      </c>
      <c r="X1840" t="s">
        <v>37</v>
      </c>
      <c r="Y1840">
        <v>0</v>
      </c>
      <c r="Z1840" t="s">
        <v>31</v>
      </c>
      <c r="AA1840">
        <v>0</v>
      </c>
      <c r="AB1840" t="s">
        <v>31</v>
      </c>
      <c r="AC1840">
        <v>0</v>
      </c>
      <c r="AD1840" t="s">
        <v>31</v>
      </c>
      <c r="AE1840">
        <v>0</v>
      </c>
      <c r="AF1840" t="s">
        <v>31</v>
      </c>
      <c r="AG1840">
        <v>0</v>
      </c>
      <c r="AH1840" t="s">
        <v>31</v>
      </c>
      <c r="AI1840">
        <v>0</v>
      </c>
      <c r="AJ1840" t="s">
        <v>31</v>
      </c>
      <c r="AK1840">
        <v>0</v>
      </c>
      <c r="AL1840" t="s">
        <v>31</v>
      </c>
      <c r="AM1840">
        <v>0</v>
      </c>
      <c r="AN1840" t="s">
        <v>31</v>
      </c>
      <c r="AO1840">
        <v>0</v>
      </c>
      <c r="AP1840" t="s">
        <v>31</v>
      </c>
      <c r="AQ1840">
        <v>0</v>
      </c>
    </row>
    <row r="1841" spans="1:43" x14ac:dyDescent="0.2">
      <c r="A1841" t="s">
        <v>381</v>
      </c>
      <c r="B1841" s="3">
        <v>44320</v>
      </c>
      <c r="C1841">
        <v>86</v>
      </c>
      <c r="D1841" t="s">
        <v>412</v>
      </c>
      <c r="E1841" t="s">
        <v>75</v>
      </c>
      <c r="F1841" s="9" t="s">
        <v>190</v>
      </c>
      <c r="G1841" t="s">
        <v>26</v>
      </c>
      <c r="H1841" t="s">
        <v>27</v>
      </c>
      <c r="I1841" t="s">
        <v>28</v>
      </c>
      <c r="J1841" t="s">
        <v>43</v>
      </c>
      <c r="K1841" t="s">
        <v>44</v>
      </c>
      <c r="L1841" t="s">
        <v>29</v>
      </c>
      <c r="M1841" t="s">
        <v>30</v>
      </c>
      <c r="N1841" t="s">
        <v>27</v>
      </c>
      <c r="O1841" t="s">
        <v>28</v>
      </c>
      <c r="P1841" t="s">
        <v>43</v>
      </c>
      <c r="Q1841" t="s">
        <v>44</v>
      </c>
      <c r="R1841" s="1">
        <v>44320.453935185185</v>
      </c>
      <c r="S1841" s="1">
        <v>44320.453935185185</v>
      </c>
      <c r="T1841">
        <v>0</v>
      </c>
      <c r="U1841">
        <v>0</v>
      </c>
      <c r="V1841" s="2">
        <v>0</v>
      </c>
      <c r="W1841">
        <v>0</v>
      </c>
      <c r="X1841" t="s">
        <v>37</v>
      </c>
      <c r="Y1841">
        <v>0</v>
      </c>
      <c r="Z1841" t="s">
        <v>31</v>
      </c>
      <c r="AA1841">
        <v>0</v>
      </c>
      <c r="AB1841" t="s">
        <v>31</v>
      </c>
      <c r="AC1841">
        <v>0</v>
      </c>
      <c r="AD1841" t="s">
        <v>31</v>
      </c>
      <c r="AE1841">
        <v>0</v>
      </c>
      <c r="AF1841" t="s">
        <v>31</v>
      </c>
      <c r="AG1841">
        <v>0</v>
      </c>
      <c r="AH1841" t="s">
        <v>31</v>
      </c>
      <c r="AI1841">
        <v>0</v>
      </c>
      <c r="AJ1841" t="s">
        <v>31</v>
      </c>
      <c r="AK1841">
        <v>0</v>
      </c>
      <c r="AL1841" t="s">
        <v>31</v>
      </c>
      <c r="AM1841">
        <v>0</v>
      </c>
      <c r="AN1841" t="s">
        <v>31</v>
      </c>
      <c r="AO1841">
        <v>0</v>
      </c>
      <c r="AP1841" t="s">
        <v>31</v>
      </c>
      <c r="AQ1841">
        <v>0</v>
      </c>
    </row>
    <row r="1842" spans="1:43" x14ac:dyDescent="0.2">
      <c r="A1842" t="s">
        <v>381</v>
      </c>
      <c r="B1842" s="3">
        <v>44320</v>
      </c>
      <c r="C1842">
        <v>87</v>
      </c>
      <c r="D1842" t="s">
        <v>385</v>
      </c>
      <c r="E1842" t="s">
        <v>75</v>
      </c>
      <c r="F1842" s="9" t="s">
        <v>190</v>
      </c>
      <c r="G1842" t="s">
        <v>26</v>
      </c>
      <c r="H1842" t="s">
        <v>27</v>
      </c>
      <c r="I1842" t="s">
        <v>28</v>
      </c>
      <c r="J1842" t="s">
        <v>43</v>
      </c>
      <c r="K1842" t="s">
        <v>44</v>
      </c>
      <c r="L1842" t="s">
        <v>29</v>
      </c>
      <c r="M1842" t="s">
        <v>30</v>
      </c>
      <c r="N1842" t="s">
        <v>27</v>
      </c>
      <c r="O1842" t="s">
        <v>28</v>
      </c>
      <c r="P1842" t="s">
        <v>43</v>
      </c>
      <c r="Q1842" t="s">
        <v>44</v>
      </c>
      <c r="R1842" s="1">
        <v>44320.635439814818</v>
      </c>
      <c r="S1842" s="1">
        <v>44320.637291666666</v>
      </c>
      <c r="T1842">
        <v>0</v>
      </c>
      <c r="U1842">
        <v>4</v>
      </c>
      <c r="V1842" s="2">
        <v>0</v>
      </c>
      <c r="W1842">
        <v>0</v>
      </c>
      <c r="X1842" t="s">
        <v>37</v>
      </c>
      <c r="Y1842">
        <v>0</v>
      </c>
      <c r="Z1842" t="s">
        <v>37</v>
      </c>
      <c r="AA1842">
        <v>0</v>
      </c>
      <c r="AB1842" t="s">
        <v>37</v>
      </c>
      <c r="AC1842">
        <v>0</v>
      </c>
      <c r="AD1842" t="s">
        <v>44</v>
      </c>
      <c r="AE1842">
        <v>0</v>
      </c>
      <c r="AF1842" t="s">
        <v>44</v>
      </c>
      <c r="AG1842">
        <v>0</v>
      </c>
      <c r="AH1842" t="s">
        <v>81</v>
      </c>
      <c r="AI1842">
        <v>0</v>
      </c>
      <c r="AJ1842" t="s">
        <v>45</v>
      </c>
      <c r="AK1842">
        <v>0</v>
      </c>
      <c r="AL1842" t="s">
        <v>31</v>
      </c>
      <c r="AM1842">
        <v>0</v>
      </c>
      <c r="AN1842" t="s">
        <v>31</v>
      </c>
      <c r="AO1842">
        <v>0</v>
      </c>
      <c r="AP1842" t="s">
        <v>31</v>
      </c>
      <c r="AQ1842">
        <v>0</v>
      </c>
    </row>
    <row r="1843" spans="1:43" x14ac:dyDescent="0.2">
      <c r="A1843" t="s">
        <v>381</v>
      </c>
      <c r="B1843" s="3">
        <v>44334</v>
      </c>
      <c r="C1843">
        <v>99</v>
      </c>
      <c r="D1843" t="s">
        <v>385</v>
      </c>
      <c r="E1843" t="s">
        <v>75</v>
      </c>
      <c r="F1843" s="9" t="s">
        <v>190</v>
      </c>
      <c r="G1843" t="s">
        <v>26</v>
      </c>
      <c r="H1843" t="s">
        <v>27</v>
      </c>
      <c r="I1843" t="s">
        <v>28</v>
      </c>
      <c r="J1843" t="s">
        <v>43</v>
      </c>
      <c r="K1843" t="s">
        <v>44</v>
      </c>
      <c r="L1843" t="s">
        <v>29</v>
      </c>
      <c r="M1843" t="s">
        <v>30</v>
      </c>
      <c r="N1843" t="s">
        <v>27</v>
      </c>
      <c r="O1843" t="s">
        <v>28</v>
      </c>
      <c r="P1843" t="s">
        <v>43</v>
      </c>
      <c r="Q1843" t="s">
        <v>44</v>
      </c>
      <c r="R1843" s="1">
        <v>44334.632037037038</v>
      </c>
      <c r="S1843" s="1">
        <v>44334.632534722223</v>
      </c>
      <c r="T1843">
        <v>0</v>
      </c>
      <c r="U1843">
        <v>2</v>
      </c>
      <c r="V1843" s="2">
        <v>0</v>
      </c>
      <c r="W1843">
        <v>0</v>
      </c>
      <c r="X1843" t="s">
        <v>44</v>
      </c>
      <c r="Y1843">
        <v>0</v>
      </c>
      <c r="Z1843" t="s">
        <v>44</v>
      </c>
      <c r="AA1843">
        <v>0</v>
      </c>
      <c r="AB1843" t="s">
        <v>37</v>
      </c>
      <c r="AC1843">
        <v>0</v>
      </c>
      <c r="AD1843" t="s">
        <v>37</v>
      </c>
      <c r="AE1843">
        <v>0</v>
      </c>
      <c r="AF1843" t="s">
        <v>31</v>
      </c>
      <c r="AG1843">
        <v>0</v>
      </c>
      <c r="AH1843" t="s">
        <v>31</v>
      </c>
      <c r="AI1843">
        <v>0</v>
      </c>
      <c r="AJ1843" t="s">
        <v>31</v>
      </c>
      <c r="AK1843">
        <v>0</v>
      </c>
      <c r="AL1843" t="s">
        <v>31</v>
      </c>
      <c r="AM1843">
        <v>0</v>
      </c>
      <c r="AN1843" t="s">
        <v>31</v>
      </c>
      <c r="AO1843">
        <v>0</v>
      </c>
      <c r="AP1843" t="s">
        <v>31</v>
      </c>
      <c r="AQ1843">
        <v>0</v>
      </c>
    </row>
    <row r="1844" spans="1:43" x14ac:dyDescent="0.2">
      <c r="A1844" t="s">
        <v>381</v>
      </c>
      <c r="B1844" s="3">
        <v>44338</v>
      </c>
      <c r="C1844">
        <v>107</v>
      </c>
      <c r="D1844" t="s">
        <v>392</v>
      </c>
      <c r="E1844" t="s">
        <v>75</v>
      </c>
      <c r="F1844" s="9" t="s">
        <v>190</v>
      </c>
      <c r="G1844" t="s">
        <v>26</v>
      </c>
      <c r="H1844" t="s">
        <v>27</v>
      </c>
      <c r="I1844" t="s">
        <v>28</v>
      </c>
      <c r="J1844" t="s">
        <v>43</v>
      </c>
      <c r="K1844" t="s">
        <v>44</v>
      </c>
      <c r="L1844" t="s">
        <v>29</v>
      </c>
      <c r="M1844" t="s">
        <v>30</v>
      </c>
      <c r="N1844" t="s">
        <v>27</v>
      </c>
      <c r="O1844" t="s">
        <v>28</v>
      </c>
      <c r="P1844" t="s">
        <v>43</v>
      </c>
      <c r="Q1844" t="s">
        <v>44</v>
      </c>
      <c r="R1844" s="1">
        <v>44338.56858796296</v>
      </c>
      <c r="S1844" s="1">
        <v>44338.570520833331</v>
      </c>
      <c r="T1844">
        <v>0</v>
      </c>
      <c r="U1844">
        <v>4</v>
      </c>
      <c r="V1844" s="2">
        <v>0</v>
      </c>
      <c r="W1844">
        <v>0</v>
      </c>
      <c r="X1844" t="s">
        <v>44</v>
      </c>
      <c r="Y1844">
        <v>0</v>
      </c>
      <c r="Z1844" t="s">
        <v>44</v>
      </c>
      <c r="AA1844">
        <v>0</v>
      </c>
      <c r="AB1844" t="s">
        <v>45</v>
      </c>
      <c r="AC1844">
        <v>0</v>
      </c>
      <c r="AD1844" t="s">
        <v>47</v>
      </c>
      <c r="AE1844">
        <v>0</v>
      </c>
      <c r="AF1844" t="s">
        <v>37</v>
      </c>
      <c r="AG1844">
        <v>0</v>
      </c>
      <c r="AH1844" t="s">
        <v>31</v>
      </c>
      <c r="AI1844">
        <v>0</v>
      </c>
      <c r="AJ1844" t="s">
        <v>31</v>
      </c>
      <c r="AK1844">
        <v>0</v>
      </c>
      <c r="AL1844" t="s">
        <v>31</v>
      </c>
      <c r="AM1844">
        <v>0</v>
      </c>
      <c r="AN1844" t="s">
        <v>31</v>
      </c>
      <c r="AO1844">
        <v>0</v>
      </c>
      <c r="AP1844" t="s">
        <v>31</v>
      </c>
      <c r="AQ1844">
        <v>0</v>
      </c>
    </row>
    <row r="1845" spans="1:43" x14ac:dyDescent="0.2">
      <c r="A1845" t="s">
        <v>381</v>
      </c>
      <c r="B1845" s="3">
        <v>44340</v>
      </c>
      <c r="C1845">
        <v>108</v>
      </c>
      <c r="D1845" t="s">
        <v>393</v>
      </c>
      <c r="E1845" t="s">
        <v>75</v>
      </c>
      <c r="F1845" s="9" t="s">
        <v>190</v>
      </c>
      <c r="G1845" t="s">
        <v>26</v>
      </c>
      <c r="H1845" t="s">
        <v>27</v>
      </c>
      <c r="I1845" t="s">
        <v>28</v>
      </c>
      <c r="J1845" t="s">
        <v>43</v>
      </c>
      <c r="K1845" t="s">
        <v>44</v>
      </c>
      <c r="L1845" t="s">
        <v>29</v>
      </c>
      <c r="M1845" t="s">
        <v>30</v>
      </c>
      <c r="N1845" t="s">
        <v>27</v>
      </c>
      <c r="O1845" t="s">
        <v>28</v>
      </c>
      <c r="P1845" t="s">
        <v>43</v>
      </c>
      <c r="Q1845" t="s">
        <v>44</v>
      </c>
      <c r="R1845" s="1">
        <v>44340.454942129632</v>
      </c>
      <c r="S1845" s="1">
        <v>44340.455891203703</v>
      </c>
      <c r="T1845">
        <v>0</v>
      </c>
      <c r="U1845">
        <v>2</v>
      </c>
      <c r="V1845" s="2">
        <v>0</v>
      </c>
      <c r="W1845">
        <v>0</v>
      </c>
      <c r="X1845" t="s">
        <v>44</v>
      </c>
      <c r="Y1845">
        <v>0</v>
      </c>
      <c r="Z1845" t="s">
        <v>44</v>
      </c>
      <c r="AA1845">
        <v>0</v>
      </c>
      <c r="AB1845" t="s">
        <v>37</v>
      </c>
      <c r="AC1845">
        <v>0</v>
      </c>
      <c r="AD1845" t="s">
        <v>37</v>
      </c>
      <c r="AE1845">
        <v>0</v>
      </c>
      <c r="AF1845" t="s">
        <v>31</v>
      </c>
      <c r="AG1845">
        <v>0</v>
      </c>
      <c r="AH1845" t="s">
        <v>31</v>
      </c>
      <c r="AI1845">
        <v>0</v>
      </c>
      <c r="AJ1845" t="s">
        <v>31</v>
      </c>
      <c r="AK1845">
        <v>0</v>
      </c>
      <c r="AL1845" t="s">
        <v>31</v>
      </c>
      <c r="AM1845">
        <v>0</v>
      </c>
      <c r="AN1845" t="s">
        <v>31</v>
      </c>
      <c r="AO1845">
        <v>0</v>
      </c>
      <c r="AP1845" t="s">
        <v>31</v>
      </c>
      <c r="AQ1845">
        <v>0</v>
      </c>
    </row>
    <row r="1846" spans="1:43" x14ac:dyDescent="0.2">
      <c r="A1846" t="s">
        <v>381</v>
      </c>
      <c r="B1846" s="3">
        <v>44348</v>
      </c>
      <c r="C1846">
        <v>118</v>
      </c>
      <c r="D1846" t="s">
        <v>396</v>
      </c>
      <c r="E1846" t="s">
        <v>75</v>
      </c>
      <c r="F1846" s="9" t="s">
        <v>190</v>
      </c>
      <c r="G1846" t="s">
        <v>26</v>
      </c>
      <c r="H1846" t="s">
        <v>27</v>
      </c>
      <c r="I1846" t="s">
        <v>28</v>
      </c>
      <c r="J1846" t="s">
        <v>43</v>
      </c>
      <c r="K1846" t="s">
        <v>44</v>
      </c>
      <c r="L1846" t="s">
        <v>29</v>
      </c>
      <c r="M1846" t="s">
        <v>30</v>
      </c>
      <c r="N1846" t="s">
        <v>27</v>
      </c>
      <c r="O1846" t="s">
        <v>28</v>
      </c>
      <c r="P1846" t="s">
        <v>43</v>
      </c>
      <c r="Q1846" t="s">
        <v>44</v>
      </c>
      <c r="R1846" s="1">
        <v>44348.48300925926</v>
      </c>
      <c r="S1846" s="1">
        <v>44348.48300925926</v>
      </c>
      <c r="T1846">
        <v>0</v>
      </c>
      <c r="U1846">
        <v>0</v>
      </c>
      <c r="V1846" s="2">
        <v>0</v>
      </c>
      <c r="W1846">
        <v>0</v>
      </c>
      <c r="X1846" t="s">
        <v>37</v>
      </c>
      <c r="Y1846">
        <v>0</v>
      </c>
      <c r="Z1846" t="s">
        <v>31</v>
      </c>
      <c r="AA1846">
        <v>0</v>
      </c>
      <c r="AB1846" t="s">
        <v>31</v>
      </c>
      <c r="AC1846">
        <v>0</v>
      </c>
      <c r="AD1846" t="s">
        <v>31</v>
      </c>
      <c r="AE1846">
        <v>0</v>
      </c>
      <c r="AF1846" t="s">
        <v>31</v>
      </c>
      <c r="AG1846">
        <v>0</v>
      </c>
      <c r="AH1846" t="s">
        <v>31</v>
      </c>
      <c r="AI1846">
        <v>0</v>
      </c>
      <c r="AJ1846" t="s">
        <v>31</v>
      </c>
      <c r="AK1846">
        <v>0</v>
      </c>
      <c r="AL1846" t="s">
        <v>31</v>
      </c>
      <c r="AM1846">
        <v>0</v>
      </c>
      <c r="AN1846" t="s">
        <v>31</v>
      </c>
      <c r="AO1846">
        <v>0</v>
      </c>
      <c r="AP1846" t="s">
        <v>31</v>
      </c>
      <c r="AQ1846">
        <v>0</v>
      </c>
    </row>
    <row r="1847" spans="1:43" x14ac:dyDescent="0.2">
      <c r="A1847" t="s">
        <v>381</v>
      </c>
      <c r="B1847" s="3">
        <v>44355</v>
      </c>
      <c r="C1847">
        <v>129</v>
      </c>
      <c r="D1847" t="s">
        <v>385</v>
      </c>
      <c r="E1847" t="s">
        <v>75</v>
      </c>
      <c r="F1847" s="9" t="s">
        <v>190</v>
      </c>
      <c r="G1847" t="s">
        <v>26</v>
      </c>
      <c r="H1847" t="s">
        <v>27</v>
      </c>
      <c r="I1847" t="s">
        <v>28</v>
      </c>
      <c r="J1847" t="s">
        <v>43</v>
      </c>
      <c r="K1847" t="s">
        <v>44</v>
      </c>
      <c r="L1847" t="s">
        <v>29</v>
      </c>
      <c r="M1847" t="s">
        <v>30</v>
      </c>
      <c r="N1847" t="s">
        <v>27</v>
      </c>
      <c r="O1847" t="s">
        <v>28</v>
      </c>
      <c r="P1847" t="s">
        <v>43</v>
      </c>
      <c r="Q1847" t="s">
        <v>44</v>
      </c>
      <c r="R1847" s="1">
        <v>44355.620162037034</v>
      </c>
      <c r="S1847" s="1">
        <v>44355.620682870373</v>
      </c>
      <c r="T1847">
        <v>2</v>
      </c>
      <c r="U1847">
        <v>2</v>
      </c>
      <c r="V1847" s="2">
        <v>1</v>
      </c>
      <c r="W1847">
        <v>0</v>
      </c>
      <c r="X1847" t="s">
        <v>30</v>
      </c>
      <c r="Y1847">
        <v>0</v>
      </c>
      <c r="Z1847" t="s">
        <v>30</v>
      </c>
      <c r="AA1847">
        <v>0</v>
      </c>
      <c r="AB1847" t="s">
        <v>31</v>
      </c>
      <c r="AC1847">
        <v>0</v>
      </c>
      <c r="AD1847" t="s">
        <v>31</v>
      </c>
      <c r="AE1847">
        <v>0</v>
      </c>
      <c r="AF1847" t="s">
        <v>31</v>
      </c>
      <c r="AG1847">
        <v>0</v>
      </c>
      <c r="AH1847" t="s">
        <v>31</v>
      </c>
      <c r="AI1847">
        <v>0</v>
      </c>
      <c r="AJ1847" t="s">
        <v>31</v>
      </c>
      <c r="AK1847">
        <v>0</v>
      </c>
      <c r="AL1847" t="s">
        <v>31</v>
      </c>
      <c r="AM1847">
        <v>0</v>
      </c>
      <c r="AN1847" t="s">
        <v>31</v>
      </c>
      <c r="AO1847">
        <v>0</v>
      </c>
      <c r="AP1847" t="s">
        <v>31</v>
      </c>
      <c r="AQ1847">
        <v>0</v>
      </c>
    </row>
    <row r="1848" spans="1:43" x14ac:dyDescent="0.2">
      <c r="A1848" t="s">
        <v>381</v>
      </c>
      <c r="B1848" s="3">
        <v>44356</v>
      </c>
      <c r="C1848">
        <v>131</v>
      </c>
      <c r="D1848" t="s">
        <v>383</v>
      </c>
      <c r="E1848" t="s">
        <v>75</v>
      </c>
      <c r="F1848" s="9" t="s">
        <v>190</v>
      </c>
      <c r="G1848" t="s">
        <v>26</v>
      </c>
      <c r="H1848" t="s">
        <v>27</v>
      </c>
      <c r="I1848" t="s">
        <v>28</v>
      </c>
      <c r="J1848" t="s">
        <v>43</v>
      </c>
      <c r="K1848" t="s">
        <v>44</v>
      </c>
      <c r="L1848" t="s">
        <v>29</v>
      </c>
      <c r="M1848" t="s">
        <v>30</v>
      </c>
      <c r="N1848" t="s">
        <v>27</v>
      </c>
      <c r="O1848" t="s">
        <v>28</v>
      </c>
      <c r="P1848" t="s">
        <v>43</v>
      </c>
      <c r="Q1848" t="s">
        <v>44</v>
      </c>
      <c r="R1848" s="1">
        <v>44356.624085648145</v>
      </c>
      <c r="S1848" s="1">
        <v>44356.624120370368</v>
      </c>
      <c r="T1848">
        <v>0</v>
      </c>
      <c r="U1848">
        <v>0</v>
      </c>
      <c r="V1848" s="2">
        <v>0</v>
      </c>
      <c r="W1848">
        <v>0</v>
      </c>
      <c r="X1848" t="s">
        <v>37</v>
      </c>
      <c r="Y1848">
        <v>0</v>
      </c>
      <c r="Z1848" t="s">
        <v>37</v>
      </c>
      <c r="AA1848">
        <v>0</v>
      </c>
      <c r="AB1848" t="s">
        <v>31</v>
      </c>
      <c r="AC1848">
        <v>0</v>
      </c>
      <c r="AD1848" t="s">
        <v>31</v>
      </c>
      <c r="AE1848">
        <v>0</v>
      </c>
      <c r="AF1848" t="s">
        <v>31</v>
      </c>
      <c r="AG1848">
        <v>0</v>
      </c>
      <c r="AH1848" t="s">
        <v>31</v>
      </c>
      <c r="AI1848">
        <v>0</v>
      </c>
      <c r="AJ1848" t="s">
        <v>31</v>
      </c>
      <c r="AK1848">
        <v>0</v>
      </c>
      <c r="AL1848" t="s">
        <v>31</v>
      </c>
      <c r="AM1848">
        <v>0</v>
      </c>
      <c r="AN1848" t="s">
        <v>31</v>
      </c>
      <c r="AO1848">
        <v>0</v>
      </c>
      <c r="AP1848" t="s">
        <v>31</v>
      </c>
      <c r="AQ1848">
        <v>0</v>
      </c>
    </row>
    <row r="1849" spans="1:43" x14ac:dyDescent="0.2">
      <c r="A1849" t="s">
        <v>381</v>
      </c>
      <c r="B1849" s="3">
        <v>44365</v>
      </c>
      <c r="C1849">
        <v>140</v>
      </c>
      <c r="D1849" t="s">
        <v>399</v>
      </c>
      <c r="E1849" t="s">
        <v>75</v>
      </c>
      <c r="F1849" s="9" t="s">
        <v>190</v>
      </c>
      <c r="G1849" t="s">
        <v>26</v>
      </c>
      <c r="H1849" t="s">
        <v>27</v>
      </c>
      <c r="I1849" t="s">
        <v>28</v>
      </c>
      <c r="J1849" t="s">
        <v>43</v>
      </c>
      <c r="K1849" t="s">
        <v>44</v>
      </c>
      <c r="L1849" t="s">
        <v>29</v>
      </c>
      <c r="M1849" t="s">
        <v>30</v>
      </c>
      <c r="N1849" t="s">
        <v>27</v>
      </c>
      <c r="O1849" t="s">
        <v>28</v>
      </c>
      <c r="P1849" t="s">
        <v>43</v>
      </c>
      <c r="Q1849" t="s">
        <v>44</v>
      </c>
      <c r="R1849" s="1">
        <v>44365.643495370372</v>
      </c>
      <c r="S1849" s="1">
        <v>44365.643495370372</v>
      </c>
      <c r="T1849">
        <v>1</v>
      </c>
      <c r="U1849">
        <v>1</v>
      </c>
      <c r="V1849" s="2">
        <v>1</v>
      </c>
      <c r="W1849">
        <v>0</v>
      </c>
      <c r="X1849" t="s">
        <v>37</v>
      </c>
      <c r="Y1849">
        <v>0</v>
      </c>
      <c r="Z1849" t="s">
        <v>30</v>
      </c>
      <c r="AA1849">
        <v>0</v>
      </c>
      <c r="AB1849" t="s">
        <v>31</v>
      </c>
      <c r="AC1849">
        <v>0</v>
      </c>
      <c r="AD1849" t="s">
        <v>31</v>
      </c>
      <c r="AE1849">
        <v>0</v>
      </c>
      <c r="AF1849" t="s">
        <v>31</v>
      </c>
      <c r="AG1849">
        <v>0</v>
      </c>
      <c r="AH1849" t="s">
        <v>31</v>
      </c>
      <c r="AI1849">
        <v>0</v>
      </c>
      <c r="AJ1849" t="s">
        <v>31</v>
      </c>
      <c r="AK1849">
        <v>0</v>
      </c>
      <c r="AL1849" t="s">
        <v>31</v>
      </c>
      <c r="AM1849">
        <v>0</v>
      </c>
      <c r="AN1849" t="s">
        <v>31</v>
      </c>
      <c r="AO1849">
        <v>0</v>
      </c>
      <c r="AP1849" t="s">
        <v>31</v>
      </c>
      <c r="AQ1849">
        <v>0</v>
      </c>
    </row>
    <row r="1850" spans="1:43" x14ac:dyDescent="0.2">
      <c r="A1850" t="s">
        <v>381</v>
      </c>
      <c r="B1850" s="3">
        <v>44207</v>
      </c>
      <c r="C1850">
        <v>1</v>
      </c>
      <c r="D1850" t="s">
        <v>384</v>
      </c>
      <c r="E1850" t="s">
        <v>77</v>
      </c>
      <c r="F1850" s="9" t="s">
        <v>78</v>
      </c>
      <c r="G1850" t="s">
        <v>26</v>
      </c>
      <c r="H1850" t="s">
        <v>79</v>
      </c>
      <c r="I1850" t="s">
        <v>80</v>
      </c>
      <c r="J1850" t="s">
        <v>29</v>
      </c>
      <c r="K1850" t="s">
        <v>30</v>
      </c>
      <c r="L1850" t="s">
        <v>29</v>
      </c>
      <c r="M1850" t="s">
        <v>30</v>
      </c>
      <c r="N1850" t="s">
        <v>41</v>
      </c>
      <c r="O1850" t="s">
        <v>42</v>
      </c>
      <c r="P1850" t="s">
        <v>29</v>
      </c>
      <c r="Q1850" t="s">
        <v>30</v>
      </c>
      <c r="R1850" s="1">
        <v>44207.457812499997</v>
      </c>
      <c r="S1850" s="1">
        <v>44207.458368055559</v>
      </c>
      <c r="T1850">
        <v>2</v>
      </c>
      <c r="U1850">
        <v>6</v>
      </c>
      <c r="V1850" s="2">
        <v>0.33</v>
      </c>
      <c r="W1850">
        <v>0</v>
      </c>
      <c r="X1850" t="s">
        <v>44</v>
      </c>
      <c r="Y1850">
        <v>0</v>
      </c>
      <c r="Z1850" t="s">
        <v>44</v>
      </c>
      <c r="AA1850">
        <v>0</v>
      </c>
      <c r="AB1850" t="s">
        <v>81</v>
      </c>
      <c r="AC1850">
        <v>0</v>
      </c>
      <c r="AD1850" t="s">
        <v>44</v>
      </c>
      <c r="AE1850">
        <v>0</v>
      </c>
      <c r="AF1850" t="s">
        <v>30</v>
      </c>
      <c r="AG1850">
        <v>0</v>
      </c>
      <c r="AH1850" t="s">
        <v>30</v>
      </c>
      <c r="AI1850">
        <v>0</v>
      </c>
      <c r="AJ1850" t="s">
        <v>31</v>
      </c>
      <c r="AK1850">
        <v>0</v>
      </c>
      <c r="AL1850" t="s">
        <v>31</v>
      </c>
      <c r="AM1850">
        <v>0</v>
      </c>
      <c r="AN1850" t="s">
        <v>31</v>
      </c>
      <c r="AO1850">
        <v>0</v>
      </c>
      <c r="AP1850" t="s">
        <v>31</v>
      </c>
      <c r="AQ1850">
        <v>0</v>
      </c>
    </row>
    <row r="1851" spans="1:43" x14ac:dyDescent="0.2">
      <c r="A1851" t="s">
        <v>381</v>
      </c>
      <c r="B1851" s="3">
        <v>44239</v>
      </c>
      <c r="C1851">
        <v>7</v>
      </c>
      <c r="D1851" t="s">
        <v>384</v>
      </c>
      <c r="E1851" t="s">
        <v>77</v>
      </c>
      <c r="F1851" s="9" t="s">
        <v>78</v>
      </c>
      <c r="G1851" t="s">
        <v>26</v>
      </c>
      <c r="H1851" t="s">
        <v>41</v>
      </c>
      <c r="I1851" t="s">
        <v>42</v>
      </c>
      <c r="J1851" t="s">
        <v>29</v>
      </c>
      <c r="K1851" t="s">
        <v>30</v>
      </c>
      <c r="L1851" t="s">
        <v>29</v>
      </c>
      <c r="M1851" t="s">
        <v>30</v>
      </c>
      <c r="N1851" t="s">
        <v>41</v>
      </c>
      <c r="O1851" t="s">
        <v>42</v>
      </c>
      <c r="P1851" t="s">
        <v>29</v>
      </c>
      <c r="Q1851" t="s">
        <v>30</v>
      </c>
      <c r="R1851" s="1">
        <v>44239.453599537039</v>
      </c>
      <c r="S1851" s="1">
        <v>44239.453599537039</v>
      </c>
      <c r="T1851">
        <v>1</v>
      </c>
      <c r="U1851">
        <v>1</v>
      </c>
      <c r="V1851" s="2">
        <v>1</v>
      </c>
      <c r="W1851">
        <v>0</v>
      </c>
      <c r="X1851" t="s">
        <v>30</v>
      </c>
      <c r="Y1851">
        <v>0</v>
      </c>
      <c r="Z1851" t="s">
        <v>31</v>
      </c>
      <c r="AA1851">
        <v>0</v>
      </c>
      <c r="AB1851" t="s">
        <v>31</v>
      </c>
      <c r="AC1851">
        <v>0</v>
      </c>
      <c r="AD1851" t="s">
        <v>31</v>
      </c>
      <c r="AE1851">
        <v>0</v>
      </c>
      <c r="AF1851" t="s">
        <v>31</v>
      </c>
      <c r="AG1851">
        <v>0</v>
      </c>
      <c r="AH1851" t="s">
        <v>31</v>
      </c>
      <c r="AI1851">
        <v>0</v>
      </c>
      <c r="AJ1851" t="s">
        <v>31</v>
      </c>
      <c r="AK1851">
        <v>0</v>
      </c>
      <c r="AL1851" t="s">
        <v>31</v>
      </c>
      <c r="AM1851">
        <v>0</v>
      </c>
      <c r="AN1851" t="s">
        <v>31</v>
      </c>
      <c r="AO1851">
        <v>0</v>
      </c>
      <c r="AP1851" t="s">
        <v>31</v>
      </c>
      <c r="AQ1851">
        <v>0</v>
      </c>
    </row>
    <row r="1852" spans="1:43" x14ac:dyDescent="0.2">
      <c r="A1852" t="s">
        <v>381</v>
      </c>
      <c r="B1852" s="3">
        <v>44243</v>
      </c>
      <c r="C1852">
        <v>9</v>
      </c>
      <c r="D1852" t="s">
        <v>382</v>
      </c>
      <c r="E1852" t="s">
        <v>77</v>
      </c>
      <c r="F1852" s="9" t="s">
        <v>78</v>
      </c>
      <c r="G1852" t="s">
        <v>26</v>
      </c>
      <c r="H1852" t="s">
        <v>41</v>
      </c>
      <c r="I1852" t="s">
        <v>42</v>
      </c>
      <c r="J1852" t="s">
        <v>29</v>
      </c>
      <c r="K1852" t="s">
        <v>30</v>
      </c>
      <c r="L1852" t="s">
        <v>29</v>
      </c>
      <c r="M1852" t="s">
        <v>30</v>
      </c>
      <c r="N1852" t="s">
        <v>41</v>
      </c>
      <c r="O1852" t="s">
        <v>42</v>
      </c>
      <c r="P1852" t="s">
        <v>29</v>
      </c>
      <c r="Q1852" t="s">
        <v>30</v>
      </c>
      <c r="R1852" s="1">
        <v>44243.37096064815</v>
      </c>
      <c r="S1852" s="1">
        <v>44243.371574074074</v>
      </c>
      <c r="T1852">
        <v>1</v>
      </c>
      <c r="U1852">
        <v>2</v>
      </c>
      <c r="V1852" s="2">
        <v>0.5</v>
      </c>
      <c r="W1852">
        <v>0</v>
      </c>
      <c r="X1852" t="s">
        <v>44</v>
      </c>
      <c r="Y1852">
        <v>0</v>
      </c>
      <c r="Z1852" t="s">
        <v>30</v>
      </c>
      <c r="AA1852">
        <v>0</v>
      </c>
      <c r="AB1852" t="s">
        <v>31</v>
      </c>
      <c r="AC1852">
        <v>0</v>
      </c>
      <c r="AD1852" t="s">
        <v>31</v>
      </c>
      <c r="AE1852">
        <v>0</v>
      </c>
      <c r="AF1852" t="s">
        <v>31</v>
      </c>
      <c r="AG1852">
        <v>0</v>
      </c>
      <c r="AH1852" t="s">
        <v>31</v>
      </c>
      <c r="AI1852">
        <v>0</v>
      </c>
      <c r="AJ1852" t="s">
        <v>31</v>
      </c>
      <c r="AK1852">
        <v>0</v>
      </c>
      <c r="AL1852" t="s">
        <v>31</v>
      </c>
      <c r="AM1852">
        <v>0</v>
      </c>
      <c r="AN1852" t="s">
        <v>31</v>
      </c>
      <c r="AO1852">
        <v>0</v>
      </c>
      <c r="AP1852" t="s">
        <v>31</v>
      </c>
      <c r="AQ1852">
        <v>0</v>
      </c>
    </row>
    <row r="1853" spans="1:43" x14ac:dyDescent="0.2">
      <c r="A1853" t="s">
        <v>381</v>
      </c>
      <c r="B1853" s="3">
        <v>44243</v>
      </c>
      <c r="C1853">
        <v>10</v>
      </c>
      <c r="D1853" t="s">
        <v>385</v>
      </c>
      <c r="E1853" t="s">
        <v>77</v>
      </c>
      <c r="F1853" s="9" t="s">
        <v>78</v>
      </c>
      <c r="G1853" t="s">
        <v>26</v>
      </c>
      <c r="H1853" t="s">
        <v>41</v>
      </c>
      <c r="I1853" t="s">
        <v>42</v>
      </c>
      <c r="J1853" t="s">
        <v>29</v>
      </c>
      <c r="K1853" t="s">
        <v>30</v>
      </c>
      <c r="L1853" t="s">
        <v>29</v>
      </c>
      <c r="M1853" t="s">
        <v>30</v>
      </c>
      <c r="N1853" t="s">
        <v>41</v>
      </c>
      <c r="O1853" t="s">
        <v>42</v>
      </c>
      <c r="P1853" t="s">
        <v>29</v>
      </c>
      <c r="Q1853" t="s">
        <v>30</v>
      </c>
      <c r="R1853" s="1">
        <v>44243.670393518521</v>
      </c>
      <c r="S1853" s="1">
        <v>44243.672210648147</v>
      </c>
      <c r="T1853">
        <v>0</v>
      </c>
      <c r="U1853">
        <v>5</v>
      </c>
      <c r="V1853" s="2">
        <v>0</v>
      </c>
      <c r="W1853">
        <v>0</v>
      </c>
      <c r="X1853" t="s">
        <v>44</v>
      </c>
      <c r="Y1853">
        <v>0</v>
      </c>
      <c r="Z1853" t="s">
        <v>44</v>
      </c>
      <c r="AA1853">
        <v>0</v>
      </c>
      <c r="AB1853" t="s">
        <v>81</v>
      </c>
      <c r="AC1853">
        <v>0</v>
      </c>
      <c r="AD1853" t="s">
        <v>45</v>
      </c>
      <c r="AE1853">
        <v>0</v>
      </c>
      <c r="AF1853" t="s">
        <v>61</v>
      </c>
      <c r="AG1853">
        <v>0</v>
      </c>
      <c r="AH1853" t="s">
        <v>31</v>
      </c>
      <c r="AI1853">
        <v>0</v>
      </c>
      <c r="AJ1853" t="s">
        <v>31</v>
      </c>
      <c r="AK1853">
        <v>0</v>
      </c>
      <c r="AL1853" t="s">
        <v>31</v>
      </c>
      <c r="AM1853">
        <v>0</v>
      </c>
      <c r="AN1853" t="s">
        <v>31</v>
      </c>
      <c r="AO1853">
        <v>0</v>
      </c>
      <c r="AP1853" t="s">
        <v>31</v>
      </c>
      <c r="AQ1853">
        <v>0</v>
      </c>
    </row>
    <row r="1854" spans="1:43" x14ac:dyDescent="0.2">
      <c r="A1854" t="s">
        <v>381</v>
      </c>
      <c r="B1854" s="3">
        <v>44244</v>
      </c>
      <c r="C1854">
        <v>11</v>
      </c>
      <c r="D1854" t="s">
        <v>384</v>
      </c>
      <c r="E1854" t="s">
        <v>77</v>
      </c>
      <c r="F1854" s="9" t="s">
        <v>78</v>
      </c>
      <c r="G1854" t="s">
        <v>26</v>
      </c>
      <c r="H1854" t="s">
        <v>41</v>
      </c>
      <c r="I1854" t="s">
        <v>42</v>
      </c>
      <c r="J1854" t="s">
        <v>29</v>
      </c>
      <c r="K1854" t="s">
        <v>30</v>
      </c>
      <c r="L1854" t="s">
        <v>29</v>
      </c>
      <c r="M1854" t="s">
        <v>30</v>
      </c>
      <c r="N1854" t="s">
        <v>41</v>
      </c>
      <c r="O1854" t="s">
        <v>42</v>
      </c>
      <c r="P1854" t="s">
        <v>29</v>
      </c>
      <c r="Q1854" t="s">
        <v>30</v>
      </c>
      <c r="R1854" s="1">
        <v>44244.466863425929</v>
      </c>
      <c r="S1854" s="1">
        <v>44244.466863425929</v>
      </c>
      <c r="T1854">
        <v>1</v>
      </c>
      <c r="U1854">
        <v>1</v>
      </c>
      <c r="V1854" s="2">
        <v>1</v>
      </c>
      <c r="W1854">
        <v>0</v>
      </c>
      <c r="X1854" t="s">
        <v>30</v>
      </c>
      <c r="Y1854">
        <v>0</v>
      </c>
      <c r="Z1854" t="s">
        <v>31</v>
      </c>
      <c r="AA1854">
        <v>0</v>
      </c>
      <c r="AB1854" t="s">
        <v>31</v>
      </c>
      <c r="AC1854">
        <v>0</v>
      </c>
      <c r="AD1854" t="s">
        <v>31</v>
      </c>
      <c r="AE1854">
        <v>0</v>
      </c>
      <c r="AF1854" t="s">
        <v>31</v>
      </c>
      <c r="AG1854">
        <v>0</v>
      </c>
      <c r="AH1854" t="s">
        <v>31</v>
      </c>
      <c r="AI1854">
        <v>0</v>
      </c>
      <c r="AJ1854" t="s">
        <v>31</v>
      </c>
      <c r="AK1854">
        <v>0</v>
      </c>
      <c r="AL1854" t="s">
        <v>31</v>
      </c>
      <c r="AM1854">
        <v>0</v>
      </c>
      <c r="AN1854" t="s">
        <v>31</v>
      </c>
      <c r="AO1854">
        <v>0</v>
      </c>
      <c r="AP1854" t="s">
        <v>31</v>
      </c>
      <c r="AQ1854">
        <v>0</v>
      </c>
    </row>
    <row r="1855" spans="1:43" x14ac:dyDescent="0.2">
      <c r="A1855" t="s">
        <v>381</v>
      </c>
      <c r="B1855" s="3">
        <v>44245</v>
      </c>
      <c r="C1855">
        <v>12</v>
      </c>
      <c r="D1855" t="s">
        <v>382</v>
      </c>
      <c r="E1855" t="s">
        <v>77</v>
      </c>
      <c r="F1855" s="9" t="s">
        <v>78</v>
      </c>
      <c r="G1855" t="s">
        <v>26</v>
      </c>
      <c r="H1855" t="s">
        <v>41</v>
      </c>
      <c r="I1855" t="s">
        <v>42</v>
      </c>
      <c r="J1855" t="s">
        <v>29</v>
      </c>
      <c r="K1855" t="s">
        <v>30</v>
      </c>
      <c r="L1855" t="s">
        <v>29</v>
      </c>
      <c r="M1855" t="s">
        <v>30</v>
      </c>
      <c r="N1855" t="s">
        <v>41</v>
      </c>
      <c r="O1855" t="s">
        <v>42</v>
      </c>
      <c r="P1855" t="s">
        <v>29</v>
      </c>
      <c r="Q1855" t="s">
        <v>30</v>
      </c>
      <c r="R1855" s="1">
        <v>44245.425682870373</v>
      </c>
      <c r="S1855" s="1">
        <v>44245.425775462965</v>
      </c>
      <c r="T1855">
        <v>1</v>
      </c>
      <c r="U1855">
        <v>4</v>
      </c>
      <c r="V1855" s="2">
        <v>0.25</v>
      </c>
      <c r="W1855">
        <v>0</v>
      </c>
      <c r="X1855" t="s">
        <v>44</v>
      </c>
      <c r="Y1855">
        <v>0</v>
      </c>
      <c r="Z1855" t="s">
        <v>44</v>
      </c>
      <c r="AA1855">
        <v>0</v>
      </c>
      <c r="AB1855" t="s">
        <v>81</v>
      </c>
      <c r="AC1855">
        <v>0</v>
      </c>
      <c r="AD1855" t="s">
        <v>30</v>
      </c>
      <c r="AE1855">
        <v>0</v>
      </c>
      <c r="AF1855" t="s">
        <v>31</v>
      </c>
      <c r="AG1855">
        <v>0</v>
      </c>
      <c r="AH1855" t="s">
        <v>31</v>
      </c>
      <c r="AI1855">
        <v>0</v>
      </c>
      <c r="AJ1855" t="s">
        <v>31</v>
      </c>
      <c r="AK1855">
        <v>0</v>
      </c>
      <c r="AL1855" t="s">
        <v>31</v>
      </c>
      <c r="AM1855">
        <v>0</v>
      </c>
      <c r="AN1855" t="s">
        <v>31</v>
      </c>
      <c r="AO1855">
        <v>0</v>
      </c>
      <c r="AP1855" t="s">
        <v>31</v>
      </c>
      <c r="AQ1855">
        <v>0</v>
      </c>
    </row>
    <row r="1856" spans="1:43" x14ac:dyDescent="0.2">
      <c r="A1856" t="s">
        <v>381</v>
      </c>
      <c r="B1856" s="3">
        <v>44246</v>
      </c>
      <c r="C1856">
        <v>14</v>
      </c>
      <c r="D1856" t="s">
        <v>384</v>
      </c>
      <c r="E1856" t="s">
        <v>77</v>
      </c>
      <c r="F1856" s="9" t="s">
        <v>78</v>
      </c>
      <c r="G1856" t="s">
        <v>26</v>
      </c>
      <c r="H1856" t="s">
        <v>41</v>
      </c>
      <c r="I1856" t="s">
        <v>42</v>
      </c>
      <c r="J1856" t="s">
        <v>29</v>
      </c>
      <c r="K1856" t="s">
        <v>30</v>
      </c>
      <c r="L1856" t="s">
        <v>29</v>
      </c>
      <c r="M1856" t="s">
        <v>30</v>
      </c>
      <c r="N1856" t="s">
        <v>41</v>
      </c>
      <c r="O1856" t="s">
        <v>42</v>
      </c>
      <c r="P1856" t="s">
        <v>29</v>
      </c>
      <c r="Q1856" t="s">
        <v>30</v>
      </c>
      <c r="R1856" s="1">
        <v>44246.436724537038</v>
      </c>
      <c r="S1856" s="1">
        <v>44246.437060185184</v>
      </c>
      <c r="T1856">
        <v>1</v>
      </c>
      <c r="U1856">
        <v>4</v>
      </c>
      <c r="V1856" s="2">
        <v>0.25</v>
      </c>
      <c r="W1856">
        <v>0</v>
      </c>
      <c r="X1856" t="s">
        <v>44</v>
      </c>
      <c r="Y1856">
        <v>0</v>
      </c>
      <c r="Z1856" t="s">
        <v>44</v>
      </c>
      <c r="AA1856">
        <v>0</v>
      </c>
      <c r="AB1856" t="s">
        <v>81</v>
      </c>
      <c r="AC1856">
        <v>0</v>
      </c>
      <c r="AD1856" t="s">
        <v>30</v>
      </c>
      <c r="AE1856">
        <v>0</v>
      </c>
      <c r="AF1856" t="s">
        <v>31</v>
      </c>
      <c r="AG1856">
        <v>0</v>
      </c>
      <c r="AH1856" t="s">
        <v>31</v>
      </c>
      <c r="AI1856">
        <v>0</v>
      </c>
      <c r="AJ1856" t="s">
        <v>31</v>
      </c>
      <c r="AK1856">
        <v>0</v>
      </c>
      <c r="AL1856" t="s">
        <v>31</v>
      </c>
      <c r="AM1856">
        <v>0</v>
      </c>
      <c r="AN1856" t="s">
        <v>31</v>
      </c>
      <c r="AO1856">
        <v>0</v>
      </c>
      <c r="AP1856" t="s">
        <v>31</v>
      </c>
      <c r="AQ1856">
        <v>0</v>
      </c>
    </row>
    <row r="1857" spans="1:43" x14ac:dyDescent="0.2">
      <c r="A1857" t="s">
        <v>381</v>
      </c>
      <c r="B1857" s="3">
        <v>44249</v>
      </c>
      <c r="C1857">
        <v>15</v>
      </c>
      <c r="D1857" t="s">
        <v>384</v>
      </c>
      <c r="E1857" t="s">
        <v>77</v>
      </c>
      <c r="F1857" s="9" t="s">
        <v>78</v>
      </c>
      <c r="G1857" t="s">
        <v>26</v>
      </c>
      <c r="H1857" t="s">
        <v>41</v>
      </c>
      <c r="I1857" t="s">
        <v>42</v>
      </c>
      <c r="J1857" t="s">
        <v>29</v>
      </c>
      <c r="K1857" t="s">
        <v>30</v>
      </c>
      <c r="L1857" t="s">
        <v>29</v>
      </c>
      <c r="M1857" t="s">
        <v>30</v>
      </c>
      <c r="N1857" t="s">
        <v>41</v>
      </c>
      <c r="O1857" t="s">
        <v>42</v>
      </c>
      <c r="P1857" t="s">
        <v>29</v>
      </c>
      <c r="Q1857" t="s">
        <v>30</v>
      </c>
      <c r="R1857" s="1">
        <v>44249.468587962961</v>
      </c>
      <c r="S1857" s="1">
        <v>44249.468587962961</v>
      </c>
      <c r="T1857">
        <v>1</v>
      </c>
      <c r="U1857">
        <v>1</v>
      </c>
      <c r="V1857" s="2">
        <v>1</v>
      </c>
      <c r="W1857">
        <v>0</v>
      </c>
      <c r="X1857" t="s">
        <v>30</v>
      </c>
      <c r="Y1857">
        <v>0</v>
      </c>
      <c r="Z1857" t="s">
        <v>31</v>
      </c>
      <c r="AA1857">
        <v>0</v>
      </c>
      <c r="AB1857" t="s">
        <v>31</v>
      </c>
      <c r="AC1857">
        <v>0</v>
      </c>
      <c r="AD1857" t="s">
        <v>31</v>
      </c>
      <c r="AE1857">
        <v>0</v>
      </c>
      <c r="AF1857" t="s">
        <v>31</v>
      </c>
      <c r="AG1857">
        <v>0</v>
      </c>
      <c r="AH1857" t="s">
        <v>31</v>
      </c>
      <c r="AI1857">
        <v>0</v>
      </c>
      <c r="AJ1857" t="s">
        <v>31</v>
      </c>
      <c r="AK1857">
        <v>0</v>
      </c>
      <c r="AL1857" t="s">
        <v>31</v>
      </c>
      <c r="AM1857">
        <v>0</v>
      </c>
      <c r="AN1857" t="s">
        <v>31</v>
      </c>
      <c r="AO1857">
        <v>0</v>
      </c>
      <c r="AP1857" t="s">
        <v>31</v>
      </c>
      <c r="AQ1857">
        <v>0</v>
      </c>
    </row>
    <row r="1858" spans="1:43" x14ac:dyDescent="0.2">
      <c r="A1858" t="s">
        <v>381</v>
      </c>
      <c r="B1858" s="3">
        <v>44250</v>
      </c>
      <c r="C1858">
        <v>16</v>
      </c>
      <c r="D1858" t="s">
        <v>382</v>
      </c>
      <c r="E1858" t="s">
        <v>77</v>
      </c>
      <c r="F1858" s="9" t="s">
        <v>78</v>
      </c>
      <c r="G1858" t="s">
        <v>26</v>
      </c>
      <c r="H1858" t="s">
        <v>41</v>
      </c>
      <c r="I1858" t="s">
        <v>42</v>
      </c>
      <c r="J1858" t="s">
        <v>29</v>
      </c>
      <c r="K1858" t="s">
        <v>30</v>
      </c>
      <c r="L1858" t="s">
        <v>29</v>
      </c>
      <c r="M1858" t="s">
        <v>30</v>
      </c>
      <c r="N1858" t="s">
        <v>79</v>
      </c>
      <c r="O1858" t="s">
        <v>80</v>
      </c>
      <c r="P1858" t="s">
        <v>43</v>
      </c>
      <c r="Q1858" t="s">
        <v>44</v>
      </c>
      <c r="R1858" s="1">
        <v>44250.457280092596</v>
      </c>
      <c r="S1858" s="1">
        <v>44250.457280092596</v>
      </c>
      <c r="T1858">
        <v>1</v>
      </c>
      <c r="U1858">
        <v>1</v>
      </c>
      <c r="V1858" s="2">
        <v>1</v>
      </c>
      <c r="W1858">
        <v>0</v>
      </c>
      <c r="X1858" t="s">
        <v>30</v>
      </c>
      <c r="Y1858">
        <v>0</v>
      </c>
      <c r="Z1858" t="s">
        <v>31</v>
      </c>
      <c r="AA1858">
        <v>0</v>
      </c>
      <c r="AB1858" t="s">
        <v>31</v>
      </c>
      <c r="AC1858">
        <v>0</v>
      </c>
      <c r="AD1858" t="s">
        <v>31</v>
      </c>
      <c r="AE1858">
        <v>0</v>
      </c>
      <c r="AF1858" t="s">
        <v>31</v>
      </c>
      <c r="AG1858">
        <v>0</v>
      </c>
      <c r="AH1858" t="s">
        <v>31</v>
      </c>
      <c r="AI1858">
        <v>0</v>
      </c>
      <c r="AJ1858" t="s">
        <v>31</v>
      </c>
      <c r="AK1858">
        <v>0</v>
      </c>
      <c r="AL1858" t="s">
        <v>31</v>
      </c>
      <c r="AM1858">
        <v>0</v>
      </c>
      <c r="AN1858" t="s">
        <v>31</v>
      </c>
      <c r="AO1858">
        <v>0</v>
      </c>
      <c r="AP1858" t="s">
        <v>31</v>
      </c>
      <c r="AQ1858">
        <v>0</v>
      </c>
    </row>
    <row r="1859" spans="1:43" x14ac:dyDescent="0.2">
      <c r="A1859" t="s">
        <v>381</v>
      </c>
      <c r="B1859" s="3">
        <v>44251</v>
      </c>
      <c r="C1859">
        <v>18</v>
      </c>
      <c r="D1859" t="s">
        <v>384</v>
      </c>
      <c r="E1859" t="s">
        <v>77</v>
      </c>
      <c r="F1859" s="9" t="s">
        <v>78</v>
      </c>
      <c r="G1859" t="s">
        <v>26</v>
      </c>
      <c r="H1859" t="s">
        <v>79</v>
      </c>
      <c r="I1859" t="s">
        <v>80</v>
      </c>
      <c r="J1859" t="s">
        <v>43</v>
      </c>
      <c r="K1859" t="s">
        <v>44</v>
      </c>
      <c r="L1859" t="s">
        <v>29</v>
      </c>
      <c r="M1859" t="s">
        <v>30</v>
      </c>
      <c r="N1859" t="s">
        <v>79</v>
      </c>
      <c r="O1859" t="s">
        <v>80</v>
      </c>
      <c r="P1859" t="s">
        <v>43</v>
      </c>
      <c r="Q1859" t="s">
        <v>44</v>
      </c>
      <c r="R1859" s="1">
        <v>44251.430219907408</v>
      </c>
      <c r="S1859" s="1">
        <v>44251.430567129632</v>
      </c>
      <c r="T1859">
        <v>2</v>
      </c>
      <c r="U1859">
        <v>3</v>
      </c>
      <c r="V1859" s="2">
        <v>0.66</v>
      </c>
      <c r="W1859">
        <v>0</v>
      </c>
      <c r="X1859" t="s">
        <v>44</v>
      </c>
      <c r="Y1859">
        <v>0</v>
      </c>
      <c r="Z1859" t="s">
        <v>30</v>
      </c>
      <c r="AA1859">
        <v>0</v>
      </c>
      <c r="AB1859" t="s">
        <v>30</v>
      </c>
      <c r="AC1859">
        <v>0</v>
      </c>
      <c r="AD1859" t="s">
        <v>31</v>
      </c>
      <c r="AE1859">
        <v>0</v>
      </c>
      <c r="AF1859" t="s">
        <v>31</v>
      </c>
      <c r="AG1859">
        <v>0</v>
      </c>
      <c r="AH1859" t="s">
        <v>31</v>
      </c>
      <c r="AI1859">
        <v>0</v>
      </c>
      <c r="AJ1859" t="s">
        <v>31</v>
      </c>
      <c r="AK1859">
        <v>0</v>
      </c>
      <c r="AL1859" t="s">
        <v>31</v>
      </c>
      <c r="AM1859">
        <v>0</v>
      </c>
      <c r="AN1859" t="s">
        <v>31</v>
      </c>
      <c r="AO1859">
        <v>0</v>
      </c>
      <c r="AP1859" t="s">
        <v>31</v>
      </c>
      <c r="AQ1859">
        <v>0</v>
      </c>
    </row>
    <row r="1860" spans="1:43" x14ac:dyDescent="0.2">
      <c r="A1860" t="s">
        <v>381</v>
      </c>
      <c r="B1860" s="3">
        <v>44252</v>
      </c>
      <c r="C1860">
        <v>19</v>
      </c>
      <c r="D1860" t="s">
        <v>382</v>
      </c>
      <c r="E1860" t="s">
        <v>77</v>
      </c>
      <c r="F1860" s="9" t="s">
        <v>78</v>
      </c>
      <c r="G1860" t="s">
        <v>26</v>
      </c>
      <c r="H1860" t="s">
        <v>79</v>
      </c>
      <c r="I1860" t="s">
        <v>80</v>
      </c>
      <c r="J1860" t="s">
        <v>43</v>
      </c>
      <c r="K1860" t="s">
        <v>44</v>
      </c>
      <c r="L1860" t="s">
        <v>29</v>
      </c>
      <c r="M1860" t="s">
        <v>30</v>
      </c>
      <c r="N1860" t="s">
        <v>79</v>
      </c>
      <c r="O1860" t="s">
        <v>80</v>
      </c>
      <c r="P1860" t="s">
        <v>43</v>
      </c>
      <c r="Q1860" t="s">
        <v>44</v>
      </c>
      <c r="R1860" s="1">
        <v>44252.418877314813</v>
      </c>
      <c r="S1860" s="1">
        <v>44252.419062499997</v>
      </c>
      <c r="T1860">
        <v>1</v>
      </c>
      <c r="U1860">
        <v>2</v>
      </c>
      <c r="V1860" s="2">
        <v>0.5</v>
      </c>
      <c r="W1860">
        <v>0</v>
      </c>
      <c r="X1860" t="s">
        <v>44</v>
      </c>
      <c r="Y1860">
        <v>0</v>
      </c>
      <c r="Z1860" t="s">
        <v>30</v>
      </c>
      <c r="AA1860">
        <v>0</v>
      </c>
      <c r="AB1860" t="s">
        <v>31</v>
      </c>
      <c r="AC1860">
        <v>0</v>
      </c>
      <c r="AD1860" t="s">
        <v>31</v>
      </c>
      <c r="AE1860">
        <v>0</v>
      </c>
      <c r="AF1860" t="s">
        <v>31</v>
      </c>
      <c r="AG1860">
        <v>0</v>
      </c>
      <c r="AH1860" t="s">
        <v>31</v>
      </c>
      <c r="AI1860">
        <v>0</v>
      </c>
      <c r="AJ1860" t="s">
        <v>31</v>
      </c>
      <c r="AK1860">
        <v>0</v>
      </c>
      <c r="AL1860" t="s">
        <v>31</v>
      </c>
      <c r="AM1860">
        <v>0</v>
      </c>
      <c r="AN1860" t="s">
        <v>31</v>
      </c>
      <c r="AO1860">
        <v>0</v>
      </c>
      <c r="AP1860" t="s">
        <v>31</v>
      </c>
      <c r="AQ1860">
        <v>0</v>
      </c>
    </row>
    <row r="1861" spans="1:43" x14ac:dyDescent="0.2">
      <c r="A1861" t="s">
        <v>381</v>
      </c>
      <c r="B1861" s="3">
        <v>44253</v>
      </c>
      <c r="C1861">
        <v>21</v>
      </c>
      <c r="D1861" t="s">
        <v>384</v>
      </c>
      <c r="E1861" t="s">
        <v>77</v>
      </c>
      <c r="F1861" s="9" t="s">
        <v>78</v>
      </c>
      <c r="G1861" t="s">
        <v>26</v>
      </c>
      <c r="H1861" t="s">
        <v>79</v>
      </c>
      <c r="I1861" t="s">
        <v>80</v>
      </c>
      <c r="J1861" t="s">
        <v>43</v>
      </c>
      <c r="K1861" t="s">
        <v>44</v>
      </c>
      <c r="L1861" t="s">
        <v>29</v>
      </c>
      <c r="M1861" t="s">
        <v>30</v>
      </c>
      <c r="N1861" t="s">
        <v>79</v>
      </c>
      <c r="O1861" t="s">
        <v>80</v>
      </c>
      <c r="P1861" t="s">
        <v>43</v>
      </c>
      <c r="Q1861" t="s">
        <v>44</v>
      </c>
      <c r="R1861" s="1">
        <v>44253.425520833334</v>
      </c>
      <c r="S1861" s="1">
        <v>44253.425879629627</v>
      </c>
      <c r="T1861">
        <v>2</v>
      </c>
      <c r="U1861">
        <v>3</v>
      </c>
      <c r="V1861" s="2">
        <v>0.66</v>
      </c>
      <c r="W1861">
        <v>0</v>
      </c>
      <c r="X1861" t="s">
        <v>30</v>
      </c>
      <c r="Y1861">
        <v>0</v>
      </c>
      <c r="Z1861" t="s">
        <v>44</v>
      </c>
      <c r="AA1861">
        <v>0</v>
      </c>
      <c r="AB1861" t="s">
        <v>30</v>
      </c>
      <c r="AC1861">
        <v>0</v>
      </c>
      <c r="AD1861" t="s">
        <v>31</v>
      </c>
      <c r="AE1861">
        <v>0</v>
      </c>
      <c r="AF1861" t="s">
        <v>31</v>
      </c>
      <c r="AG1861">
        <v>0</v>
      </c>
      <c r="AH1861" t="s">
        <v>31</v>
      </c>
      <c r="AI1861">
        <v>0</v>
      </c>
      <c r="AJ1861" t="s">
        <v>31</v>
      </c>
      <c r="AK1861">
        <v>0</v>
      </c>
      <c r="AL1861" t="s">
        <v>31</v>
      </c>
      <c r="AM1861">
        <v>0</v>
      </c>
      <c r="AN1861" t="s">
        <v>31</v>
      </c>
      <c r="AO1861">
        <v>0</v>
      </c>
      <c r="AP1861" t="s">
        <v>31</v>
      </c>
      <c r="AQ1861">
        <v>0</v>
      </c>
    </row>
    <row r="1862" spans="1:43" x14ac:dyDescent="0.2">
      <c r="A1862" t="s">
        <v>381</v>
      </c>
      <c r="B1862" s="3">
        <v>44256</v>
      </c>
      <c r="C1862">
        <v>22</v>
      </c>
      <c r="D1862" t="s">
        <v>384</v>
      </c>
      <c r="E1862" t="s">
        <v>77</v>
      </c>
      <c r="F1862" s="9" t="s">
        <v>78</v>
      </c>
      <c r="G1862" t="s">
        <v>26</v>
      </c>
      <c r="H1862" t="s">
        <v>79</v>
      </c>
      <c r="I1862" t="s">
        <v>80</v>
      </c>
      <c r="J1862" t="s">
        <v>43</v>
      </c>
      <c r="K1862" t="s">
        <v>44</v>
      </c>
      <c r="L1862" t="s">
        <v>29</v>
      </c>
      <c r="M1862" t="s">
        <v>30</v>
      </c>
      <c r="N1862" t="s">
        <v>79</v>
      </c>
      <c r="O1862" t="s">
        <v>80</v>
      </c>
      <c r="P1862" t="s">
        <v>43</v>
      </c>
      <c r="Q1862" t="s">
        <v>44</v>
      </c>
      <c r="R1862" s="1">
        <v>44256.422430555554</v>
      </c>
      <c r="S1862" s="1">
        <v>44256.429652777777</v>
      </c>
      <c r="T1862">
        <v>2</v>
      </c>
      <c r="U1862">
        <v>9</v>
      </c>
      <c r="V1862" s="2">
        <v>0.22</v>
      </c>
      <c r="W1862">
        <v>0</v>
      </c>
      <c r="X1862" t="s">
        <v>44</v>
      </c>
      <c r="Y1862">
        <v>0</v>
      </c>
      <c r="Z1862" t="s">
        <v>44</v>
      </c>
      <c r="AA1862">
        <v>0</v>
      </c>
      <c r="AB1862" t="s">
        <v>81</v>
      </c>
      <c r="AC1862">
        <v>0</v>
      </c>
      <c r="AD1862" t="s">
        <v>44</v>
      </c>
      <c r="AE1862">
        <v>0</v>
      </c>
      <c r="AF1862" t="s">
        <v>30</v>
      </c>
      <c r="AG1862">
        <v>0</v>
      </c>
      <c r="AH1862" t="s">
        <v>44</v>
      </c>
      <c r="AI1862">
        <v>0</v>
      </c>
      <c r="AJ1862" t="s">
        <v>44</v>
      </c>
      <c r="AK1862">
        <v>0</v>
      </c>
      <c r="AL1862" t="s">
        <v>81</v>
      </c>
      <c r="AM1862">
        <v>0</v>
      </c>
      <c r="AN1862" t="s">
        <v>30</v>
      </c>
      <c r="AO1862">
        <v>0</v>
      </c>
      <c r="AP1862" t="s">
        <v>31</v>
      </c>
      <c r="AQ1862">
        <v>0</v>
      </c>
    </row>
    <row r="1863" spans="1:43" x14ac:dyDescent="0.2">
      <c r="A1863" t="s">
        <v>381</v>
      </c>
      <c r="B1863" s="3">
        <v>44258</v>
      </c>
      <c r="C1863">
        <v>25</v>
      </c>
      <c r="D1863" t="s">
        <v>384</v>
      </c>
      <c r="E1863" t="s">
        <v>77</v>
      </c>
      <c r="F1863" s="9" t="s">
        <v>78</v>
      </c>
      <c r="G1863" t="s">
        <v>26</v>
      </c>
      <c r="H1863" t="s">
        <v>79</v>
      </c>
      <c r="I1863" t="s">
        <v>80</v>
      </c>
      <c r="J1863" t="s">
        <v>43</v>
      </c>
      <c r="K1863" t="s">
        <v>44</v>
      </c>
      <c r="L1863" t="s">
        <v>29</v>
      </c>
      <c r="M1863" t="s">
        <v>30</v>
      </c>
      <c r="N1863" t="s">
        <v>41</v>
      </c>
      <c r="O1863" t="s">
        <v>42</v>
      </c>
      <c r="P1863" t="s">
        <v>29</v>
      </c>
      <c r="Q1863" t="s">
        <v>30</v>
      </c>
      <c r="R1863" s="1">
        <v>44258.420428240737</v>
      </c>
      <c r="S1863" s="1">
        <v>44258.422824074078</v>
      </c>
      <c r="T1863">
        <v>2</v>
      </c>
      <c r="U1863">
        <v>7</v>
      </c>
      <c r="V1863" s="2">
        <v>0.28000000000000003</v>
      </c>
      <c r="W1863">
        <v>0</v>
      </c>
      <c r="X1863" t="s">
        <v>44</v>
      </c>
      <c r="Y1863">
        <v>0</v>
      </c>
      <c r="Z1863" t="s">
        <v>44</v>
      </c>
      <c r="AA1863">
        <v>0</v>
      </c>
      <c r="AB1863" t="s">
        <v>81</v>
      </c>
      <c r="AC1863">
        <v>0</v>
      </c>
      <c r="AD1863" t="s">
        <v>45</v>
      </c>
      <c r="AE1863">
        <v>0</v>
      </c>
      <c r="AF1863" t="s">
        <v>61</v>
      </c>
      <c r="AG1863">
        <v>0</v>
      </c>
      <c r="AH1863" t="s">
        <v>30</v>
      </c>
      <c r="AI1863">
        <v>0</v>
      </c>
      <c r="AJ1863" t="s">
        <v>30</v>
      </c>
      <c r="AK1863">
        <v>0</v>
      </c>
      <c r="AL1863" t="s">
        <v>31</v>
      </c>
      <c r="AM1863">
        <v>0</v>
      </c>
      <c r="AN1863" t="s">
        <v>31</v>
      </c>
      <c r="AO1863">
        <v>0</v>
      </c>
      <c r="AP1863" t="s">
        <v>31</v>
      </c>
      <c r="AQ1863">
        <v>0</v>
      </c>
    </row>
    <row r="1864" spans="1:43" x14ac:dyDescent="0.2">
      <c r="A1864" t="s">
        <v>381</v>
      </c>
      <c r="B1864" s="3">
        <v>44259</v>
      </c>
      <c r="C1864">
        <v>26</v>
      </c>
      <c r="D1864" t="s">
        <v>382</v>
      </c>
      <c r="E1864" t="s">
        <v>77</v>
      </c>
      <c r="F1864" s="9" t="s">
        <v>78</v>
      </c>
      <c r="G1864" t="s">
        <v>26</v>
      </c>
      <c r="H1864" t="s">
        <v>79</v>
      </c>
      <c r="I1864" t="s">
        <v>80</v>
      </c>
      <c r="J1864" t="s">
        <v>43</v>
      </c>
      <c r="K1864" t="s">
        <v>44</v>
      </c>
      <c r="L1864" t="s">
        <v>29</v>
      </c>
      <c r="M1864" t="s">
        <v>30</v>
      </c>
      <c r="N1864" t="s">
        <v>79</v>
      </c>
      <c r="O1864" t="s">
        <v>80</v>
      </c>
      <c r="P1864" t="s">
        <v>43</v>
      </c>
      <c r="Q1864" t="s">
        <v>44</v>
      </c>
      <c r="R1864" s="1">
        <v>44259.431608796294</v>
      </c>
      <c r="S1864" s="1">
        <v>44259.43172453704</v>
      </c>
      <c r="T1864">
        <v>1</v>
      </c>
      <c r="U1864">
        <v>1</v>
      </c>
      <c r="V1864" s="2">
        <v>1</v>
      </c>
      <c r="W1864">
        <v>0</v>
      </c>
      <c r="X1864" t="s">
        <v>30</v>
      </c>
      <c r="Y1864">
        <v>0</v>
      </c>
      <c r="Z1864" t="s">
        <v>31</v>
      </c>
      <c r="AA1864">
        <v>0</v>
      </c>
      <c r="AB1864" t="s">
        <v>31</v>
      </c>
      <c r="AC1864">
        <v>0</v>
      </c>
      <c r="AD1864" t="s">
        <v>31</v>
      </c>
      <c r="AE1864">
        <v>0</v>
      </c>
      <c r="AF1864" t="s">
        <v>31</v>
      </c>
      <c r="AG1864">
        <v>0</v>
      </c>
      <c r="AH1864" t="s">
        <v>31</v>
      </c>
      <c r="AI1864">
        <v>0</v>
      </c>
      <c r="AJ1864" t="s">
        <v>31</v>
      </c>
      <c r="AK1864">
        <v>0</v>
      </c>
      <c r="AL1864" t="s">
        <v>31</v>
      </c>
      <c r="AM1864">
        <v>0</v>
      </c>
      <c r="AN1864" t="s">
        <v>31</v>
      </c>
      <c r="AO1864">
        <v>0</v>
      </c>
      <c r="AP1864" t="s">
        <v>31</v>
      </c>
      <c r="AQ1864">
        <v>0</v>
      </c>
    </row>
    <row r="1865" spans="1:43" x14ac:dyDescent="0.2">
      <c r="A1865" t="s">
        <v>381</v>
      </c>
      <c r="B1865" s="3">
        <v>44263</v>
      </c>
      <c r="C1865">
        <v>29</v>
      </c>
      <c r="D1865" t="s">
        <v>384</v>
      </c>
      <c r="E1865" t="s">
        <v>77</v>
      </c>
      <c r="F1865" s="9" t="s">
        <v>78</v>
      </c>
      <c r="G1865" t="s">
        <v>26</v>
      </c>
      <c r="H1865" t="s">
        <v>79</v>
      </c>
      <c r="I1865" t="s">
        <v>80</v>
      </c>
      <c r="J1865" t="s">
        <v>43</v>
      </c>
      <c r="K1865" t="s">
        <v>44</v>
      </c>
      <c r="L1865" t="s">
        <v>29</v>
      </c>
      <c r="M1865" t="s">
        <v>30</v>
      </c>
      <c r="N1865" t="s">
        <v>79</v>
      </c>
      <c r="O1865" t="s">
        <v>80</v>
      </c>
      <c r="P1865" t="s">
        <v>43</v>
      </c>
      <c r="Q1865" t="s">
        <v>44</v>
      </c>
      <c r="R1865" s="1">
        <v>44263.423541666663</v>
      </c>
      <c r="S1865" s="1">
        <v>44263.42465277778</v>
      </c>
      <c r="T1865">
        <v>2</v>
      </c>
      <c r="U1865">
        <v>4</v>
      </c>
      <c r="V1865" s="2">
        <v>0.5</v>
      </c>
      <c r="W1865">
        <v>0</v>
      </c>
      <c r="X1865" t="s">
        <v>44</v>
      </c>
      <c r="Y1865">
        <v>0</v>
      </c>
      <c r="Z1865" t="s">
        <v>30</v>
      </c>
      <c r="AA1865">
        <v>0</v>
      </c>
      <c r="AB1865" t="s">
        <v>44</v>
      </c>
      <c r="AC1865">
        <v>0</v>
      </c>
      <c r="AD1865" t="s">
        <v>30</v>
      </c>
      <c r="AE1865">
        <v>0</v>
      </c>
      <c r="AF1865" t="s">
        <v>31</v>
      </c>
      <c r="AG1865">
        <v>0</v>
      </c>
      <c r="AH1865" t="s">
        <v>31</v>
      </c>
      <c r="AI1865">
        <v>0</v>
      </c>
      <c r="AJ1865" t="s">
        <v>31</v>
      </c>
      <c r="AK1865">
        <v>0</v>
      </c>
      <c r="AL1865" t="s">
        <v>31</v>
      </c>
      <c r="AM1865">
        <v>0</v>
      </c>
      <c r="AN1865" t="s">
        <v>31</v>
      </c>
      <c r="AO1865">
        <v>0</v>
      </c>
      <c r="AP1865" t="s">
        <v>31</v>
      </c>
      <c r="AQ1865">
        <v>0</v>
      </c>
    </row>
    <row r="1866" spans="1:43" x14ac:dyDescent="0.2">
      <c r="A1866" t="s">
        <v>381</v>
      </c>
      <c r="B1866" s="3">
        <v>44264</v>
      </c>
      <c r="C1866">
        <v>30</v>
      </c>
      <c r="D1866" t="s">
        <v>382</v>
      </c>
      <c r="E1866" t="s">
        <v>77</v>
      </c>
      <c r="F1866" s="9" t="s">
        <v>78</v>
      </c>
      <c r="G1866" t="s">
        <v>26</v>
      </c>
      <c r="H1866" t="s">
        <v>79</v>
      </c>
      <c r="I1866" t="s">
        <v>80</v>
      </c>
      <c r="J1866" t="s">
        <v>43</v>
      </c>
      <c r="K1866" t="s">
        <v>44</v>
      </c>
      <c r="L1866" t="s">
        <v>29</v>
      </c>
      <c r="M1866" t="s">
        <v>30</v>
      </c>
      <c r="N1866" t="s">
        <v>79</v>
      </c>
      <c r="O1866" t="s">
        <v>80</v>
      </c>
      <c r="P1866" t="s">
        <v>43</v>
      </c>
      <c r="Q1866" t="s">
        <v>44</v>
      </c>
      <c r="R1866" s="1">
        <v>44264.373055555552</v>
      </c>
      <c r="S1866" s="1">
        <v>44264.373217592591</v>
      </c>
      <c r="T1866">
        <v>1</v>
      </c>
      <c r="U1866">
        <v>1</v>
      </c>
      <c r="V1866" s="2">
        <v>1</v>
      </c>
      <c r="W1866">
        <v>0</v>
      </c>
      <c r="X1866" t="s">
        <v>30</v>
      </c>
      <c r="Y1866">
        <v>0</v>
      </c>
      <c r="Z1866" t="s">
        <v>31</v>
      </c>
      <c r="AA1866">
        <v>0</v>
      </c>
      <c r="AB1866" t="s">
        <v>31</v>
      </c>
      <c r="AC1866">
        <v>0</v>
      </c>
      <c r="AD1866" t="s">
        <v>31</v>
      </c>
      <c r="AE1866">
        <v>0</v>
      </c>
      <c r="AF1866" t="s">
        <v>31</v>
      </c>
      <c r="AG1866">
        <v>0</v>
      </c>
      <c r="AH1866" t="s">
        <v>31</v>
      </c>
      <c r="AI1866">
        <v>0</v>
      </c>
      <c r="AJ1866" t="s">
        <v>31</v>
      </c>
      <c r="AK1866">
        <v>0</v>
      </c>
      <c r="AL1866" t="s">
        <v>31</v>
      </c>
      <c r="AM1866">
        <v>0</v>
      </c>
      <c r="AN1866" t="s">
        <v>31</v>
      </c>
      <c r="AO1866">
        <v>0</v>
      </c>
      <c r="AP1866" t="s">
        <v>31</v>
      </c>
      <c r="AQ1866">
        <v>0</v>
      </c>
    </row>
    <row r="1867" spans="1:43" x14ac:dyDescent="0.2">
      <c r="A1867" t="s">
        <v>381</v>
      </c>
      <c r="B1867" s="3">
        <v>44265</v>
      </c>
      <c r="C1867">
        <v>32</v>
      </c>
      <c r="D1867" t="s">
        <v>384</v>
      </c>
      <c r="E1867" t="s">
        <v>77</v>
      </c>
      <c r="F1867" s="9" t="s">
        <v>78</v>
      </c>
      <c r="G1867" t="s">
        <v>26</v>
      </c>
      <c r="H1867" t="s">
        <v>79</v>
      </c>
      <c r="I1867" t="s">
        <v>80</v>
      </c>
      <c r="J1867" t="s">
        <v>43</v>
      </c>
      <c r="K1867" t="s">
        <v>44</v>
      </c>
      <c r="L1867" t="s">
        <v>29</v>
      </c>
      <c r="M1867" t="s">
        <v>30</v>
      </c>
      <c r="N1867" t="s">
        <v>79</v>
      </c>
      <c r="O1867" t="s">
        <v>80</v>
      </c>
      <c r="P1867" t="s">
        <v>43</v>
      </c>
      <c r="Q1867" t="s">
        <v>44</v>
      </c>
      <c r="R1867" s="1">
        <v>44265.457303240742</v>
      </c>
      <c r="S1867" s="1">
        <v>44265.459560185183</v>
      </c>
      <c r="T1867">
        <v>0</v>
      </c>
      <c r="U1867">
        <v>5</v>
      </c>
      <c r="V1867" s="2">
        <v>0</v>
      </c>
      <c r="W1867">
        <v>0</v>
      </c>
      <c r="X1867" t="s">
        <v>44</v>
      </c>
      <c r="Y1867">
        <v>0</v>
      </c>
      <c r="Z1867" t="s">
        <v>44</v>
      </c>
      <c r="AA1867">
        <v>0</v>
      </c>
      <c r="AB1867" t="s">
        <v>81</v>
      </c>
      <c r="AC1867">
        <v>0</v>
      </c>
      <c r="AD1867" t="s">
        <v>45</v>
      </c>
      <c r="AE1867">
        <v>0</v>
      </c>
      <c r="AF1867" t="s">
        <v>61</v>
      </c>
      <c r="AG1867">
        <v>0</v>
      </c>
      <c r="AH1867" t="s">
        <v>31</v>
      </c>
      <c r="AI1867">
        <v>0</v>
      </c>
      <c r="AJ1867" t="s">
        <v>31</v>
      </c>
      <c r="AK1867">
        <v>0</v>
      </c>
      <c r="AL1867" t="s">
        <v>31</v>
      </c>
      <c r="AM1867">
        <v>0</v>
      </c>
      <c r="AN1867" t="s">
        <v>31</v>
      </c>
      <c r="AO1867">
        <v>0</v>
      </c>
      <c r="AP1867" t="s">
        <v>31</v>
      </c>
      <c r="AQ1867">
        <v>0</v>
      </c>
    </row>
    <row r="1868" spans="1:43" x14ac:dyDescent="0.2">
      <c r="A1868" t="s">
        <v>381</v>
      </c>
      <c r="B1868" s="3">
        <v>44270</v>
      </c>
      <c r="C1868">
        <v>35</v>
      </c>
      <c r="D1868" t="s">
        <v>384</v>
      </c>
      <c r="E1868" t="s">
        <v>77</v>
      </c>
      <c r="F1868" s="9" t="s">
        <v>78</v>
      </c>
      <c r="G1868" t="s">
        <v>26</v>
      </c>
      <c r="H1868" t="s">
        <v>79</v>
      </c>
      <c r="I1868" t="s">
        <v>80</v>
      </c>
      <c r="J1868" t="s">
        <v>43</v>
      </c>
      <c r="K1868" t="s">
        <v>44</v>
      </c>
      <c r="L1868" t="s">
        <v>29</v>
      </c>
      <c r="M1868" t="s">
        <v>30</v>
      </c>
      <c r="N1868" t="s">
        <v>79</v>
      </c>
      <c r="O1868" t="s">
        <v>80</v>
      </c>
      <c r="P1868" t="s">
        <v>43</v>
      </c>
      <c r="Q1868" t="s">
        <v>44</v>
      </c>
      <c r="R1868" s="1">
        <v>44270.425416666665</v>
      </c>
      <c r="S1868" s="1">
        <v>44270.427106481482</v>
      </c>
      <c r="T1868">
        <v>2</v>
      </c>
      <c r="U1868">
        <v>2</v>
      </c>
      <c r="V1868" s="2">
        <v>1</v>
      </c>
      <c r="W1868">
        <v>0</v>
      </c>
      <c r="X1868" t="s">
        <v>30</v>
      </c>
      <c r="Y1868">
        <v>0</v>
      </c>
      <c r="Z1868" t="s">
        <v>30</v>
      </c>
      <c r="AA1868">
        <v>0</v>
      </c>
      <c r="AB1868" t="s">
        <v>31</v>
      </c>
      <c r="AC1868">
        <v>0</v>
      </c>
      <c r="AD1868" t="s">
        <v>31</v>
      </c>
      <c r="AE1868">
        <v>0</v>
      </c>
      <c r="AF1868" t="s">
        <v>31</v>
      </c>
      <c r="AG1868">
        <v>0</v>
      </c>
      <c r="AH1868" t="s">
        <v>31</v>
      </c>
      <c r="AI1868">
        <v>0</v>
      </c>
      <c r="AJ1868" t="s">
        <v>31</v>
      </c>
      <c r="AK1868">
        <v>0</v>
      </c>
      <c r="AL1868" t="s">
        <v>31</v>
      </c>
      <c r="AM1868">
        <v>0</v>
      </c>
      <c r="AN1868" t="s">
        <v>31</v>
      </c>
      <c r="AO1868">
        <v>0</v>
      </c>
      <c r="AP1868" t="s">
        <v>31</v>
      </c>
      <c r="AQ1868">
        <v>0</v>
      </c>
    </row>
    <row r="1869" spans="1:43" x14ac:dyDescent="0.2">
      <c r="A1869" t="s">
        <v>381</v>
      </c>
      <c r="B1869" s="3">
        <v>44272</v>
      </c>
      <c r="C1869">
        <v>38</v>
      </c>
      <c r="D1869" t="s">
        <v>384</v>
      </c>
      <c r="E1869" t="s">
        <v>77</v>
      </c>
      <c r="F1869" s="9" t="s">
        <v>78</v>
      </c>
      <c r="G1869" t="s">
        <v>26</v>
      </c>
      <c r="H1869" t="s">
        <v>79</v>
      </c>
      <c r="I1869" t="s">
        <v>80</v>
      </c>
      <c r="J1869" t="s">
        <v>43</v>
      </c>
      <c r="K1869" t="s">
        <v>44</v>
      </c>
      <c r="L1869" t="s">
        <v>29</v>
      </c>
      <c r="M1869" t="s">
        <v>30</v>
      </c>
      <c r="N1869" t="s">
        <v>79</v>
      </c>
      <c r="O1869" t="s">
        <v>80</v>
      </c>
      <c r="P1869" t="s">
        <v>43</v>
      </c>
      <c r="Q1869" t="s">
        <v>44</v>
      </c>
      <c r="R1869" s="1">
        <v>44272.468229166669</v>
      </c>
      <c r="S1869" s="1">
        <v>44272.468657407408</v>
      </c>
      <c r="T1869">
        <v>2</v>
      </c>
      <c r="U1869">
        <v>3</v>
      </c>
      <c r="V1869" s="2">
        <v>0.66</v>
      </c>
      <c r="W1869">
        <v>0</v>
      </c>
      <c r="X1869" t="s">
        <v>44</v>
      </c>
      <c r="Y1869">
        <v>0</v>
      </c>
      <c r="Z1869" t="s">
        <v>30</v>
      </c>
      <c r="AA1869">
        <v>0</v>
      </c>
      <c r="AB1869" t="s">
        <v>30</v>
      </c>
      <c r="AC1869">
        <v>0</v>
      </c>
      <c r="AD1869" t="s">
        <v>31</v>
      </c>
      <c r="AE1869">
        <v>0</v>
      </c>
      <c r="AF1869" t="s">
        <v>31</v>
      </c>
      <c r="AG1869">
        <v>0</v>
      </c>
      <c r="AH1869" t="s">
        <v>31</v>
      </c>
      <c r="AI1869">
        <v>0</v>
      </c>
      <c r="AJ1869" t="s">
        <v>31</v>
      </c>
      <c r="AK1869">
        <v>0</v>
      </c>
      <c r="AL1869" t="s">
        <v>31</v>
      </c>
      <c r="AM1869">
        <v>0</v>
      </c>
      <c r="AN1869" t="s">
        <v>31</v>
      </c>
      <c r="AO1869">
        <v>0</v>
      </c>
      <c r="AP1869" t="s">
        <v>31</v>
      </c>
      <c r="AQ1869">
        <v>0</v>
      </c>
    </row>
    <row r="1870" spans="1:43" x14ac:dyDescent="0.2">
      <c r="A1870" t="s">
        <v>381</v>
      </c>
      <c r="B1870" s="3">
        <v>44279</v>
      </c>
      <c r="C1870">
        <v>41</v>
      </c>
      <c r="D1870" t="s">
        <v>384</v>
      </c>
      <c r="E1870" t="s">
        <v>77</v>
      </c>
      <c r="F1870" s="9" t="s">
        <v>78</v>
      </c>
      <c r="G1870" t="s">
        <v>26</v>
      </c>
      <c r="H1870" t="s">
        <v>79</v>
      </c>
      <c r="I1870" t="s">
        <v>80</v>
      </c>
      <c r="J1870" t="s">
        <v>43</v>
      </c>
      <c r="K1870" t="s">
        <v>44</v>
      </c>
      <c r="L1870" t="s">
        <v>29</v>
      </c>
      <c r="M1870" t="s">
        <v>30</v>
      </c>
      <c r="N1870" t="s">
        <v>79</v>
      </c>
      <c r="O1870" t="s">
        <v>80</v>
      </c>
      <c r="P1870" t="s">
        <v>43</v>
      </c>
      <c r="Q1870" t="s">
        <v>44</v>
      </c>
      <c r="R1870" s="1">
        <v>44279.42900462963</v>
      </c>
      <c r="S1870" s="1">
        <v>44279.429398148146</v>
      </c>
      <c r="T1870">
        <v>2</v>
      </c>
      <c r="U1870">
        <v>2</v>
      </c>
      <c r="V1870" s="2">
        <v>1</v>
      </c>
      <c r="W1870">
        <v>0</v>
      </c>
      <c r="X1870" t="s">
        <v>30</v>
      </c>
      <c r="Y1870">
        <v>0</v>
      </c>
      <c r="Z1870" t="s">
        <v>30</v>
      </c>
      <c r="AA1870">
        <v>0</v>
      </c>
      <c r="AB1870" t="s">
        <v>31</v>
      </c>
      <c r="AC1870">
        <v>0</v>
      </c>
      <c r="AD1870" t="s">
        <v>31</v>
      </c>
      <c r="AE1870">
        <v>0</v>
      </c>
      <c r="AF1870" t="s">
        <v>31</v>
      </c>
      <c r="AG1870">
        <v>0</v>
      </c>
      <c r="AH1870" t="s">
        <v>31</v>
      </c>
      <c r="AI1870">
        <v>0</v>
      </c>
      <c r="AJ1870" t="s">
        <v>31</v>
      </c>
      <c r="AK1870">
        <v>0</v>
      </c>
      <c r="AL1870" t="s">
        <v>31</v>
      </c>
      <c r="AM1870">
        <v>0</v>
      </c>
      <c r="AN1870" t="s">
        <v>31</v>
      </c>
      <c r="AO1870">
        <v>0</v>
      </c>
      <c r="AP1870" t="s">
        <v>31</v>
      </c>
      <c r="AQ1870">
        <v>0</v>
      </c>
    </row>
    <row r="1871" spans="1:43" x14ac:dyDescent="0.2">
      <c r="A1871" t="s">
        <v>381</v>
      </c>
      <c r="B1871" s="3">
        <v>44281</v>
      </c>
      <c r="C1871">
        <v>42</v>
      </c>
      <c r="D1871" t="s">
        <v>384</v>
      </c>
      <c r="E1871" t="s">
        <v>77</v>
      </c>
      <c r="F1871" s="9" t="s">
        <v>78</v>
      </c>
      <c r="G1871" t="s">
        <v>26</v>
      </c>
      <c r="H1871" t="s">
        <v>79</v>
      </c>
      <c r="I1871" t="s">
        <v>80</v>
      </c>
      <c r="J1871" t="s">
        <v>43</v>
      </c>
      <c r="K1871" t="s">
        <v>44</v>
      </c>
      <c r="L1871" t="s">
        <v>29</v>
      </c>
      <c r="M1871" t="s">
        <v>30</v>
      </c>
      <c r="N1871" t="s">
        <v>188</v>
      </c>
      <c r="O1871" t="s">
        <v>189</v>
      </c>
      <c r="P1871" t="s">
        <v>43</v>
      </c>
      <c r="Q1871" t="s">
        <v>44</v>
      </c>
      <c r="R1871" s="1">
        <v>44281.468344907407</v>
      </c>
      <c r="S1871" s="1">
        <v>44281.469085648147</v>
      </c>
      <c r="T1871">
        <v>2</v>
      </c>
      <c r="U1871">
        <v>2</v>
      </c>
      <c r="V1871" s="2">
        <v>1</v>
      </c>
      <c r="W1871">
        <v>0</v>
      </c>
      <c r="X1871" t="s">
        <v>30</v>
      </c>
      <c r="Y1871">
        <v>0</v>
      </c>
      <c r="Z1871" t="s">
        <v>30</v>
      </c>
      <c r="AA1871">
        <v>0</v>
      </c>
      <c r="AB1871" t="s">
        <v>31</v>
      </c>
      <c r="AC1871">
        <v>0</v>
      </c>
      <c r="AD1871" t="s">
        <v>31</v>
      </c>
      <c r="AE1871">
        <v>0</v>
      </c>
      <c r="AF1871" t="s">
        <v>31</v>
      </c>
      <c r="AG1871">
        <v>0</v>
      </c>
      <c r="AH1871" t="s">
        <v>31</v>
      </c>
      <c r="AI1871">
        <v>0</v>
      </c>
      <c r="AJ1871" t="s">
        <v>31</v>
      </c>
      <c r="AK1871">
        <v>0</v>
      </c>
      <c r="AL1871" t="s">
        <v>31</v>
      </c>
      <c r="AM1871">
        <v>0</v>
      </c>
      <c r="AN1871" t="s">
        <v>31</v>
      </c>
      <c r="AO1871">
        <v>0</v>
      </c>
      <c r="AP1871" t="s">
        <v>31</v>
      </c>
      <c r="AQ1871">
        <v>0</v>
      </c>
    </row>
    <row r="1872" spans="1:43" x14ac:dyDescent="0.2">
      <c r="A1872" t="s">
        <v>381</v>
      </c>
      <c r="B1872" s="3">
        <v>44284</v>
      </c>
      <c r="C1872">
        <v>43</v>
      </c>
      <c r="D1872" t="s">
        <v>384</v>
      </c>
      <c r="E1872" t="s">
        <v>77</v>
      </c>
      <c r="F1872" s="9" t="s">
        <v>78</v>
      </c>
      <c r="G1872" t="s">
        <v>26</v>
      </c>
      <c r="H1872" t="s">
        <v>188</v>
      </c>
      <c r="I1872" t="s">
        <v>189</v>
      </c>
      <c r="J1872" t="s">
        <v>43</v>
      </c>
      <c r="K1872" t="s">
        <v>44</v>
      </c>
      <c r="L1872" t="s">
        <v>29</v>
      </c>
      <c r="M1872" t="s">
        <v>30</v>
      </c>
      <c r="N1872" t="s">
        <v>188</v>
      </c>
      <c r="O1872" t="s">
        <v>189</v>
      </c>
      <c r="P1872" t="s">
        <v>43</v>
      </c>
      <c r="Q1872" t="s">
        <v>44</v>
      </c>
      <c r="R1872" s="1">
        <v>44284.464074074072</v>
      </c>
      <c r="S1872" s="1">
        <v>44284.464305555557</v>
      </c>
      <c r="T1872">
        <v>2</v>
      </c>
      <c r="U1872">
        <v>2</v>
      </c>
      <c r="V1872" s="2">
        <v>1</v>
      </c>
      <c r="W1872">
        <v>0</v>
      </c>
      <c r="X1872" t="s">
        <v>30</v>
      </c>
      <c r="Y1872">
        <v>0</v>
      </c>
      <c r="Z1872" t="s">
        <v>30</v>
      </c>
      <c r="AA1872">
        <v>0</v>
      </c>
      <c r="AB1872" t="s">
        <v>31</v>
      </c>
      <c r="AC1872">
        <v>0</v>
      </c>
      <c r="AD1872" t="s">
        <v>31</v>
      </c>
      <c r="AE1872">
        <v>0</v>
      </c>
      <c r="AF1872" t="s">
        <v>31</v>
      </c>
      <c r="AG1872">
        <v>0</v>
      </c>
      <c r="AH1872" t="s">
        <v>31</v>
      </c>
      <c r="AI1872">
        <v>0</v>
      </c>
      <c r="AJ1872" t="s">
        <v>31</v>
      </c>
      <c r="AK1872">
        <v>0</v>
      </c>
      <c r="AL1872" t="s">
        <v>31</v>
      </c>
      <c r="AM1872">
        <v>0</v>
      </c>
      <c r="AN1872" t="s">
        <v>31</v>
      </c>
      <c r="AO1872">
        <v>0</v>
      </c>
      <c r="AP1872" t="s">
        <v>31</v>
      </c>
      <c r="AQ1872">
        <v>0</v>
      </c>
    </row>
    <row r="1873" spans="1:43" x14ac:dyDescent="0.2">
      <c r="A1873" t="s">
        <v>381</v>
      </c>
      <c r="B1873" s="3">
        <v>44286</v>
      </c>
      <c r="C1873">
        <v>46</v>
      </c>
      <c r="D1873" t="s">
        <v>384</v>
      </c>
      <c r="E1873" t="s">
        <v>77</v>
      </c>
      <c r="F1873" s="9" t="s">
        <v>78</v>
      </c>
      <c r="G1873" t="s">
        <v>26</v>
      </c>
      <c r="H1873" t="s">
        <v>188</v>
      </c>
      <c r="I1873" t="s">
        <v>189</v>
      </c>
      <c r="J1873" t="s">
        <v>43</v>
      </c>
      <c r="K1873" t="s">
        <v>44</v>
      </c>
      <c r="L1873" t="s">
        <v>29</v>
      </c>
      <c r="M1873" t="s">
        <v>30</v>
      </c>
      <c r="N1873" t="s">
        <v>188</v>
      </c>
      <c r="O1873" t="s">
        <v>189</v>
      </c>
      <c r="P1873" t="s">
        <v>43</v>
      </c>
      <c r="Q1873" t="s">
        <v>44</v>
      </c>
      <c r="R1873" s="1">
        <v>44286.453946759262</v>
      </c>
      <c r="S1873" s="1">
        <v>44286.453969907408</v>
      </c>
      <c r="T1873">
        <v>2</v>
      </c>
      <c r="U1873">
        <v>3</v>
      </c>
      <c r="V1873" s="2">
        <v>0.66</v>
      </c>
      <c r="W1873">
        <v>0</v>
      </c>
      <c r="X1873" t="s">
        <v>44</v>
      </c>
      <c r="Y1873">
        <v>0</v>
      </c>
      <c r="Z1873" t="s">
        <v>30</v>
      </c>
      <c r="AA1873">
        <v>0</v>
      </c>
      <c r="AB1873" t="s">
        <v>30</v>
      </c>
      <c r="AC1873">
        <v>0</v>
      </c>
      <c r="AD1873" t="s">
        <v>31</v>
      </c>
      <c r="AE1873">
        <v>0</v>
      </c>
      <c r="AF1873" t="s">
        <v>31</v>
      </c>
      <c r="AG1873">
        <v>0</v>
      </c>
      <c r="AH1873" t="s">
        <v>31</v>
      </c>
      <c r="AI1873">
        <v>0</v>
      </c>
      <c r="AJ1873" t="s">
        <v>31</v>
      </c>
      <c r="AK1873">
        <v>0</v>
      </c>
      <c r="AL1873" t="s">
        <v>31</v>
      </c>
      <c r="AM1873">
        <v>0</v>
      </c>
      <c r="AN1873" t="s">
        <v>31</v>
      </c>
      <c r="AO1873">
        <v>0</v>
      </c>
      <c r="AP1873" t="s">
        <v>31</v>
      </c>
      <c r="AQ1873">
        <v>0</v>
      </c>
    </row>
    <row r="1874" spans="1:43" x14ac:dyDescent="0.2">
      <c r="A1874" t="s">
        <v>381</v>
      </c>
      <c r="B1874" s="3">
        <v>44288</v>
      </c>
      <c r="C1874">
        <v>49</v>
      </c>
      <c r="D1874" t="s">
        <v>384</v>
      </c>
      <c r="E1874" t="s">
        <v>77</v>
      </c>
      <c r="F1874" s="9" t="s">
        <v>78</v>
      </c>
      <c r="G1874" t="s">
        <v>26</v>
      </c>
      <c r="H1874" t="s">
        <v>188</v>
      </c>
      <c r="I1874" t="s">
        <v>189</v>
      </c>
      <c r="J1874" t="s">
        <v>43</v>
      </c>
      <c r="K1874" t="s">
        <v>44</v>
      </c>
      <c r="L1874" t="s">
        <v>29</v>
      </c>
      <c r="M1874" t="s">
        <v>30</v>
      </c>
      <c r="N1874" t="s">
        <v>188</v>
      </c>
      <c r="O1874" t="s">
        <v>189</v>
      </c>
      <c r="P1874" t="s">
        <v>43</v>
      </c>
      <c r="Q1874" t="s">
        <v>44</v>
      </c>
      <c r="R1874" s="1">
        <v>44288.418275462966</v>
      </c>
      <c r="S1874" s="1">
        <v>44288.418611111112</v>
      </c>
      <c r="T1874">
        <v>2</v>
      </c>
      <c r="U1874">
        <v>3</v>
      </c>
      <c r="V1874" s="2">
        <v>0.66</v>
      </c>
      <c r="W1874">
        <v>0</v>
      </c>
      <c r="X1874" t="s">
        <v>44</v>
      </c>
      <c r="Y1874">
        <v>0</v>
      </c>
      <c r="Z1874" t="s">
        <v>30</v>
      </c>
      <c r="AA1874">
        <v>0</v>
      </c>
      <c r="AB1874" t="s">
        <v>30</v>
      </c>
      <c r="AC1874">
        <v>0</v>
      </c>
      <c r="AD1874" t="s">
        <v>31</v>
      </c>
      <c r="AE1874">
        <v>0</v>
      </c>
      <c r="AF1874" t="s">
        <v>31</v>
      </c>
      <c r="AG1874">
        <v>0</v>
      </c>
      <c r="AH1874" t="s">
        <v>31</v>
      </c>
      <c r="AI1874">
        <v>0</v>
      </c>
      <c r="AJ1874" t="s">
        <v>31</v>
      </c>
      <c r="AK1874">
        <v>0</v>
      </c>
      <c r="AL1874" t="s">
        <v>31</v>
      </c>
      <c r="AM1874">
        <v>0</v>
      </c>
      <c r="AN1874" t="s">
        <v>31</v>
      </c>
      <c r="AO1874">
        <v>0</v>
      </c>
      <c r="AP1874" t="s">
        <v>31</v>
      </c>
      <c r="AQ1874">
        <v>0</v>
      </c>
    </row>
    <row r="1875" spans="1:43" x14ac:dyDescent="0.2">
      <c r="A1875" t="s">
        <v>381</v>
      </c>
      <c r="B1875" s="3">
        <v>44291</v>
      </c>
      <c r="C1875">
        <v>50</v>
      </c>
      <c r="D1875" t="s">
        <v>384</v>
      </c>
      <c r="E1875" t="s">
        <v>77</v>
      </c>
      <c r="F1875" s="9" t="s">
        <v>78</v>
      </c>
      <c r="G1875" t="s">
        <v>26</v>
      </c>
      <c r="H1875" t="s">
        <v>188</v>
      </c>
      <c r="I1875" t="s">
        <v>189</v>
      </c>
      <c r="J1875" t="s">
        <v>43</v>
      </c>
      <c r="K1875" t="s">
        <v>44</v>
      </c>
      <c r="L1875" t="s">
        <v>29</v>
      </c>
      <c r="M1875" t="s">
        <v>30</v>
      </c>
      <c r="N1875" t="s">
        <v>188</v>
      </c>
      <c r="O1875" t="s">
        <v>189</v>
      </c>
      <c r="P1875" t="s">
        <v>43</v>
      </c>
      <c r="Q1875" t="s">
        <v>44</v>
      </c>
      <c r="R1875" s="1">
        <v>44291.456018518518</v>
      </c>
      <c r="S1875" s="1">
        <v>44291.456412037034</v>
      </c>
      <c r="T1875">
        <v>2</v>
      </c>
      <c r="U1875">
        <v>2</v>
      </c>
      <c r="V1875" s="2">
        <v>1</v>
      </c>
      <c r="W1875">
        <v>0</v>
      </c>
      <c r="X1875" t="s">
        <v>30</v>
      </c>
      <c r="Y1875">
        <v>0</v>
      </c>
      <c r="Z1875" t="s">
        <v>30</v>
      </c>
      <c r="AA1875">
        <v>0</v>
      </c>
      <c r="AB1875" t="s">
        <v>31</v>
      </c>
      <c r="AC1875">
        <v>0</v>
      </c>
      <c r="AD1875" t="s">
        <v>31</v>
      </c>
      <c r="AE1875">
        <v>0</v>
      </c>
      <c r="AF1875" t="s">
        <v>31</v>
      </c>
      <c r="AG1875">
        <v>0</v>
      </c>
      <c r="AH1875" t="s">
        <v>31</v>
      </c>
      <c r="AI1875">
        <v>0</v>
      </c>
      <c r="AJ1875" t="s">
        <v>31</v>
      </c>
      <c r="AK1875">
        <v>0</v>
      </c>
      <c r="AL1875" t="s">
        <v>31</v>
      </c>
      <c r="AM1875">
        <v>0</v>
      </c>
      <c r="AN1875" t="s">
        <v>31</v>
      </c>
      <c r="AO1875">
        <v>0</v>
      </c>
      <c r="AP1875" t="s">
        <v>31</v>
      </c>
      <c r="AQ1875">
        <v>0</v>
      </c>
    </row>
    <row r="1876" spans="1:43" x14ac:dyDescent="0.2">
      <c r="A1876" t="s">
        <v>381</v>
      </c>
      <c r="B1876" s="3">
        <v>44293</v>
      </c>
      <c r="C1876">
        <v>53</v>
      </c>
      <c r="D1876" t="s">
        <v>384</v>
      </c>
      <c r="E1876" t="s">
        <v>77</v>
      </c>
      <c r="F1876" s="9" t="s">
        <v>78</v>
      </c>
      <c r="G1876" t="s">
        <v>26</v>
      </c>
      <c r="H1876" t="s">
        <v>188</v>
      </c>
      <c r="I1876" t="s">
        <v>189</v>
      </c>
      <c r="J1876" t="s">
        <v>43</v>
      </c>
      <c r="K1876" t="s">
        <v>44</v>
      </c>
      <c r="L1876" t="s">
        <v>29</v>
      </c>
      <c r="M1876" t="s">
        <v>30</v>
      </c>
      <c r="N1876" t="s">
        <v>200</v>
      </c>
      <c r="O1876" t="s">
        <v>201</v>
      </c>
      <c r="P1876" t="s">
        <v>43</v>
      </c>
      <c r="Q1876" t="s">
        <v>44</v>
      </c>
      <c r="R1876" s="1">
        <v>44293.425740740742</v>
      </c>
      <c r="S1876" s="1">
        <v>44293.425879629627</v>
      </c>
      <c r="T1876">
        <v>2</v>
      </c>
      <c r="U1876">
        <v>2</v>
      </c>
      <c r="V1876" s="2">
        <v>1</v>
      </c>
      <c r="W1876">
        <v>0</v>
      </c>
      <c r="X1876" t="s">
        <v>30</v>
      </c>
      <c r="Y1876">
        <v>0</v>
      </c>
      <c r="Z1876" t="s">
        <v>30</v>
      </c>
      <c r="AA1876">
        <v>0</v>
      </c>
      <c r="AB1876" t="s">
        <v>31</v>
      </c>
      <c r="AC1876">
        <v>0</v>
      </c>
      <c r="AD1876" t="s">
        <v>31</v>
      </c>
      <c r="AE1876">
        <v>0</v>
      </c>
      <c r="AF1876" t="s">
        <v>31</v>
      </c>
      <c r="AG1876">
        <v>0</v>
      </c>
      <c r="AH1876" t="s">
        <v>31</v>
      </c>
      <c r="AI1876">
        <v>0</v>
      </c>
      <c r="AJ1876" t="s">
        <v>31</v>
      </c>
      <c r="AK1876">
        <v>0</v>
      </c>
      <c r="AL1876" t="s">
        <v>31</v>
      </c>
      <c r="AM1876">
        <v>0</v>
      </c>
      <c r="AN1876" t="s">
        <v>31</v>
      </c>
      <c r="AO1876">
        <v>0</v>
      </c>
      <c r="AP1876" t="s">
        <v>31</v>
      </c>
      <c r="AQ1876">
        <v>0</v>
      </c>
    </row>
    <row r="1877" spans="1:43" x14ac:dyDescent="0.2">
      <c r="A1877" t="s">
        <v>381</v>
      </c>
      <c r="B1877" s="3">
        <v>44207</v>
      </c>
      <c r="C1877">
        <v>1</v>
      </c>
      <c r="D1877" t="s">
        <v>384</v>
      </c>
      <c r="E1877" t="s">
        <v>77</v>
      </c>
      <c r="F1877" s="9" t="s">
        <v>82</v>
      </c>
      <c r="G1877" t="s">
        <v>26</v>
      </c>
      <c r="H1877" t="s">
        <v>27</v>
      </c>
      <c r="I1877" t="s">
        <v>28</v>
      </c>
      <c r="J1877" t="s">
        <v>29</v>
      </c>
      <c r="K1877" t="s">
        <v>30</v>
      </c>
      <c r="L1877" t="s">
        <v>29</v>
      </c>
      <c r="M1877" t="s">
        <v>30</v>
      </c>
      <c r="N1877" t="s">
        <v>27</v>
      </c>
      <c r="O1877" t="s">
        <v>28</v>
      </c>
      <c r="P1877" t="s">
        <v>29</v>
      </c>
      <c r="Q1877" t="s">
        <v>30</v>
      </c>
      <c r="R1877" s="1">
        <v>44207.460173611114</v>
      </c>
      <c r="S1877" s="1">
        <v>44207.460324074076</v>
      </c>
      <c r="T1877">
        <v>0</v>
      </c>
      <c r="U1877">
        <v>0</v>
      </c>
      <c r="V1877" s="2">
        <v>0</v>
      </c>
      <c r="W1877">
        <v>0</v>
      </c>
      <c r="X1877" t="s">
        <v>37</v>
      </c>
      <c r="Y1877">
        <v>0</v>
      </c>
      <c r="Z1877" t="s">
        <v>37</v>
      </c>
      <c r="AA1877">
        <v>0</v>
      </c>
      <c r="AB1877" t="s">
        <v>31</v>
      </c>
      <c r="AC1877">
        <v>0</v>
      </c>
      <c r="AD1877" t="s">
        <v>31</v>
      </c>
      <c r="AE1877">
        <v>0</v>
      </c>
      <c r="AF1877" t="s">
        <v>31</v>
      </c>
      <c r="AG1877">
        <v>0</v>
      </c>
      <c r="AH1877" t="s">
        <v>31</v>
      </c>
      <c r="AI1877">
        <v>0</v>
      </c>
      <c r="AJ1877" t="s">
        <v>31</v>
      </c>
      <c r="AK1877">
        <v>0</v>
      </c>
      <c r="AL1877" t="s">
        <v>31</v>
      </c>
      <c r="AM1877">
        <v>0</v>
      </c>
      <c r="AN1877" t="s">
        <v>31</v>
      </c>
      <c r="AO1877">
        <v>0</v>
      </c>
      <c r="AP1877" t="s">
        <v>31</v>
      </c>
      <c r="AQ1877">
        <v>0</v>
      </c>
    </row>
    <row r="1878" spans="1:43" x14ac:dyDescent="0.2">
      <c r="A1878" t="s">
        <v>381</v>
      </c>
      <c r="B1878" s="3">
        <v>44242</v>
      </c>
      <c r="C1878">
        <v>8</v>
      </c>
      <c r="D1878" t="s">
        <v>384</v>
      </c>
      <c r="E1878" t="s">
        <v>77</v>
      </c>
      <c r="F1878" s="9" t="s">
        <v>82</v>
      </c>
      <c r="G1878" t="s">
        <v>26</v>
      </c>
      <c r="H1878" t="s">
        <v>27</v>
      </c>
      <c r="I1878" t="s">
        <v>28</v>
      </c>
      <c r="J1878" t="s">
        <v>29</v>
      </c>
      <c r="K1878" t="s">
        <v>30</v>
      </c>
      <c r="L1878" t="s">
        <v>29</v>
      </c>
      <c r="M1878" t="s">
        <v>30</v>
      </c>
      <c r="N1878" t="s">
        <v>27</v>
      </c>
      <c r="O1878" t="s">
        <v>28</v>
      </c>
      <c r="P1878" t="s">
        <v>29</v>
      </c>
      <c r="Q1878" t="s">
        <v>30</v>
      </c>
      <c r="R1878" s="1">
        <v>44242.438275462962</v>
      </c>
      <c r="S1878" s="1">
        <v>44242.438854166663</v>
      </c>
      <c r="T1878">
        <v>0</v>
      </c>
      <c r="U1878">
        <v>0</v>
      </c>
      <c r="V1878" s="2">
        <v>0</v>
      </c>
      <c r="W1878">
        <v>0</v>
      </c>
      <c r="X1878" t="s">
        <v>37</v>
      </c>
      <c r="Y1878">
        <v>0</v>
      </c>
      <c r="Z1878" t="s">
        <v>37</v>
      </c>
      <c r="AA1878">
        <v>0</v>
      </c>
      <c r="AB1878" t="s">
        <v>37</v>
      </c>
      <c r="AC1878">
        <v>0</v>
      </c>
      <c r="AD1878" t="s">
        <v>31</v>
      </c>
      <c r="AE1878">
        <v>0</v>
      </c>
      <c r="AF1878" t="s">
        <v>31</v>
      </c>
      <c r="AG1878">
        <v>0</v>
      </c>
      <c r="AH1878" t="s">
        <v>31</v>
      </c>
      <c r="AI1878">
        <v>0</v>
      </c>
      <c r="AJ1878" t="s">
        <v>31</v>
      </c>
      <c r="AK1878">
        <v>0</v>
      </c>
      <c r="AL1878" t="s">
        <v>31</v>
      </c>
      <c r="AM1878">
        <v>0</v>
      </c>
      <c r="AN1878" t="s">
        <v>31</v>
      </c>
      <c r="AO1878">
        <v>0</v>
      </c>
      <c r="AP1878" t="s">
        <v>31</v>
      </c>
      <c r="AQ1878">
        <v>0</v>
      </c>
    </row>
    <row r="1879" spans="1:43" x14ac:dyDescent="0.2">
      <c r="A1879" t="s">
        <v>381</v>
      </c>
      <c r="B1879" s="3">
        <v>44243</v>
      </c>
      <c r="C1879">
        <v>9</v>
      </c>
      <c r="D1879" t="s">
        <v>382</v>
      </c>
      <c r="E1879" t="s">
        <v>77</v>
      </c>
      <c r="F1879" s="9" t="s">
        <v>82</v>
      </c>
      <c r="G1879" t="s">
        <v>26</v>
      </c>
      <c r="H1879" t="s">
        <v>27</v>
      </c>
      <c r="I1879" t="s">
        <v>28</v>
      </c>
      <c r="J1879" t="s">
        <v>29</v>
      </c>
      <c r="K1879" t="s">
        <v>30</v>
      </c>
      <c r="L1879" t="s">
        <v>29</v>
      </c>
      <c r="M1879" t="s">
        <v>30</v>
      </c>
      <c r="N1879" t="s">
        <v>27</v>
      </c>
      <c r="O1879" t="s">
        <v>28</v>
      </c>
      <c r="P1879" t="s">
        <v>29</v>
      </c>
      <c r="Q1879" t="s">
        <v>30</v>
      </c>
      <c r="R1879" s="1">
        <v>44243.428946759261</v>
      </c>
      <c r="S1879" s="1">
        <v>44243.42895833333</v>
      </c>
      <c r="T1879">
        <v>0</v>
      </c>
      <c r="U1879">
        <v>0</v>
      </c>
      <c r="V1879" s="2">
        <v>0</v>
      </c>
      <c r="W1879">
        <v>0</v>
      </c>
      <c r="X1879" t="s">
        <v>37</v>
      </c>
      <c r="Y1879">
        <v>0</v>
      </c>
      <c r="Z1879" t="s">
        <v>37</v>
      </c>
      <c r="AA1879">
        <v>0</v>
      </c>
      <c r="AB1879" t="s">
        <v>37</v>
      </c>
      <c r="AC1879">
        <v>0</v>
      </c>
      <c r="AD1879" t="s">
        <v>31</v>
      </c>
      <c r="AE1879">
        <v>0</v>
      </c>
      <c r="AF1879" t="s">
        <v>31</v>
      </c>
      <c r="AG1879">
        <v>0</v>
      </c>
      <c r="AH1879" t="s">
        <v>31</v>
      </c>
      <c r="AI1879">
        <v>0</v>
      </c>
      <c r="AJ1879" t="s">
        <v>31</v>
      </c>
      <c r="AK1879">
        <v>0</v>
      </c>
      <c r="AL1879" t="s">
        <v>31</v>
      </c>
      <c r="AM1879">
        <v>0</v>
      </c>
      <c r="AN1879" t="s">
        <v>31</v>
      </c>
      <c r="AO1879">
        <v>0</v>
      </c>
      <c r="AP1879" t="s">
        <v>31</v>
      </c>
      <c r="AQ1879">
        <v>0</v>
      </c>
    </row>
    <row r="1880" spans="1:43" x14ac:dyDescent="0.2">
      <c r="A1880" t="s">
        <v>381</v>
      </c>
      <c r="B1880" s="3">
        <v>44244</v>
      </c>
      <c r="C1880">
        <v>11</v>
      </c>
      <c r="D1880" t="s">
        <v>384</v>
      </c>
      <c r="E1880" t="s">
        <v>77</v>
      </c>
      <c r="F1880" s="9" t="s">
        <v>82</v>
      </c>
      <c r="G1880" t="s">
        <v>26</v>
      </c>
      <c r="H1880" t="s">
        <v>27</v>
      </c>
      <c r="I1880" t="s">
        <v>28</v>
      </c>
      <c r="J1880" t="s">
        <v>29</v>
      </c>
      <c r="K1880" t="s">
        <v>30</v>
      </c>
      <c r="L1880" t="s">
        <v>29</v>
      </c>
      <c r="M1880" t="s">
        <v>30</v>
      </c>
      <c r="N1880" t="s">
        <v>27</v>
      </c>
      <c r="O1880" t="s">
        <v>28</v>
      </c>
      <c r="P1880" t="s">
        <v>29</v>
      </c>
      <c r="Q1880" t="s">
        <v>30</v>
      </c>
      <c r="R1880" s="1">
        <v>44244.463483796295</v>
      </c>
      <c r="S1880" s="1">
        <v>44244.463703703703</v>
      </c>
      <c r="T1880">
        <v>0</v>
      </c>
      <c r="U1880">
        <v>1</v>
      </c>
      <c r="V1880" s="2">
        <v>0</v>
      </c>
      <c r="W1880">
        <v>0</v>
      </c>
      <c r="X1880" t="s">
        <v>44</v>
      </c>
      <c r="Y1880">
        <v>0</v>
      </c>
      <c r="Z1880" t="s">
        <v>37</v>
      </c>
      <c r="AA1880">
        <v>0</v>
      </c>
      <c r="AB1880" t="s">
        <v>37</v>
      </c>
      <c r="AC1880">
        <v>0</v>
      </c>
      <c r="AD1880" t="s">
        <v>31</v>
      </c>
      <c r="AE1880">
        <v>0</v>
      </c>
      <c r="AF1880" t="s">
        <v>31</v>
      </c>
      <c r="AG1880">
        <v>0</v>
      </c>
      <c r="AH1880" t="s">
        <v>31</v>
      </c>
      <c r="AI1880">
        <v>0</v>
      </c>
      <c r="AJ1880" t="s">
        <v>31</v>
      </c>
      <c r="AK1880">
        <v>0</v>
      </c>
      <c r="AL1880" t="s">
        <v>31</v>
      </c>
      <c r="AM1880">
        <v>0</v>
      </c>
      <c r="AN1880" t="s">
        <v>31</v>
      </c>
      <c r="AO1880">
        <v>0</v>
      </c>
      <c r="AP1880" t="s">
        <v>31</v>
      </c>
      <c r="AQ1880">
        <v>0</v>
      </c>
    </row>
    <row r="1881" spans="1:43" x14ac:dyDescent="0.2">
      <c r="A1881" t="s">
        <v>381</v>
      </c>
      <c r="B1881" s="3">
        <v>44245</v>
      </c>
      <c r="C1881">
        <v>12</v>
      </c>
      <c r="D1881" t="s">
        <v>382</v>
      </c>
      <c r="E1881" t="s">
        <v>77</v>
      </c>
      <c r="F1881" s="9" t="s">
        <v>82</v>
      </c>
      <c r="G1881" t="s">
        <v>26</v>
      </c>
      <c r="H1881" t="s">
        <v>27</v>
      </c>
      <c r="I1881" t="s">
        <v>28</v>
      </c>
      <c r="J1881" t="s">
        <v>29</v>
      </c>
      <c r="K1881" t="s">
        <v>30</v>
      </c>
      <c r="L1881" t="s">
        <v>29</v>
      </c>
      <c r="M1881" t="s">
        <v>30</v>
      </c>
      <c r="N1881" t="s">
        <v>27</v>
      </c>
      <c r="O1881" t="s">
        <v>28</v>
      </c>
      <c r="P1881" t="s">
        <v>29</v>
      </c>
      <c r="Q1881" t="s">
        <v>30</v>
      </c>
      <c r="R1881" s="1">
        <v>44245.452881944446</v>
      </c>
      <c r="S1881" s="1">
        <v>44245.452893518515</v>
      </c>
      <c r="T1881">
        <v>0</v>
      </c>
      <c r="U1881">
        <v>0</v>
      </c>
      <c r="V1881" s="2">
        <v>0</v>
      </c>
      <c r="W1881">
        <v>0</v>
      </c>
      <c r="X1881" t="s">
        <v>37</v>
      </c>
      <c r="Y1881">
        <v>0</v>
      </c>
      <c r="Z1881" t="s">
        <v>37</v>
      </c>
      <c r="AA1881">
        <v>0</v>
      </c>
      <c r="AB1881" t="s">
        <v>37</v>
      </c>
      <c r="AC1881">
        <v>0</v>
      </c>
      <c r="AD1881" t="s">
        <v>31</v>
      </c>
      <c r="AE1881">
        <v>0</v>
      </c>
      <c r="AF1881" t="s">
        <v>31</v>
      </c>
      <c r="AG1881">
        <v>0</v>
      </c>
      <c r="AH1881" t="s">
        <v>31</v>
      </c>
      <c r="AI1881">
        <v>0</v>
      </c>
      <c r="AJ1881" t="s">
        <v>31</v>
      </c>
      <c r="AK1881">
        <v>0</v>
      </c>
      <c r="AL1881" t="s">
        <v>31</v>
      </c>
      <c r="AM1881">
        <v>0</v>
      </c>
      <c r="AN1881" t="s">
        <v>31</v>
      </c>
      <c r="AO1881">
        <v>0</v>
      </c>
      <c r="AP1881" t="s">
        <v>31</v>
      </c>
      <c r="AQ1881">
        <v>0</v>
      </c>
    </row>
    <row r="1882" spans="1:43" x14ac:dyDescent="0.2">
      <c r="A1882" t="s">
        <v>381</v>
      </c>
      <c r="B1882" s="3">
        <v>44246</v>
      </c>
      <c r="C1882">
        <v>14</v>
      </c>
      <c r="D1882" t="s">
        <v>384</v>
      </c>
      <c r="E1882" t="s">
        <v>77</v>
      </c>
      <c r="F1882" s="9" t="s">
        <v>82</v>
      </c>
      <c r="G1882" t="s">
        <v>26</v>
      </c>
      <c r="H1882" t="s">
        <v>27</v>
      </c>
      <c r="I1882" t="s">
        <v>28</v>
      </c>
      <c r="J1882" t="s">
        <v>29</v>
      </c>
      <c r="K1882" t="s">
        <v>30</v>
      </c>
      <c r="L1882" t="s">
        <v>29</v>
      </c>
      <c r="M1882" t="s">
        <v>30</v>
      </c>
      <c r="N1882" t="s">
        <v>27</v>
      </c>
      <c r="O1882" t="s">
        <v>28</v>
      </c>
      <c r="P1882" t="s">
        <v>29</v>
      </c>
      <c r="Q1882" t="s">
        <v>30</v>
      </c>
      <c r="R1882" s="1">
        <v>44246.45108796296</v>
      </c>
      <c r="S1882" s="1">
        <v>44246.451226851852</v>
      </c>
      <c r="T1882">
        <v>0</v>
      </c>
      <c r="U1882">
        <v>0</v>
      </c>
      <c r="V1882" s="2">
        <v>0</v>
      </c>
      <c r="W1882">
        <v>0</v>
      </c>
      <c r="X1882" t="s">
        <v>37</v>
      </c>
      <c r="Y1882">
        <v>0</v>
      </c>
      <c r="Z1882" t="s">
        <v>37</v>
      </c>
      <c r="AA1882">
        <v>0</v>
      </c>
      <c r="AB1882" t="s">
        <v>31</v>
      </c>
      <c r="AC1882">
        <v>0</v>
      </c>
      <c r="AD1882" t="s">
        <v>31</v>
      </c>
      <c r="AE1882">
        <v>0</v>
      </c>
      <c r="AF1882" t="s">
        <v>31</v>
      </c>
      <c r="AG1882">
        <v>0</v>
      </c>
      <c r="AH1882" t="s">
        <v>31</v>
      </c>
      <c r="AI1882">
        <v>0</v>
      </c>
      <c r="AJ1882" t="s">
        <v>31</v>
      </c>
      <c r="AK1882">
        <v>0</v>
      </c>
      <c r="AL1882" t="s">
        <v>31</v>
      </c>
      <c r="AM1882">
        <v>0</v>
      </c>
      <c r="AN1882" t="s">
        <v>31</v>
      </c>
      <c r="AO1882">
        <v>0</v>
      </c>
      <c r="AP1882" t="s">
        <v>31</v>
      </c>
      <c r="AQ1882">
        <v>0</v>
      </c>
    </row>
    <row r="1883" spans="1:43" x14ac:dyDescent="0.2">
      <c r="A1883" t="s">
        <v>381</v>
      </c>
      <c r="B1883" s="3">
        <v>44249</v>
      </c>
      <c r="C1883">
        <v>15</v>
      </c>
      <c r="D1883" t="s">
        <v>384</v>
      </c>
      <c r="E1883" t="s">
        <v>77</v>
      </c>
      <c r="F1883" s="9" t="s">
        <v>82</v>
      </c>
      <c r="G1883" t="s">
        <v>26</v>
      </c>
      <c r="H1883" t="s">
        <v>27</v>
      </c>
      <c r="I1883" t="s">
        <v>28</v>
      </c>
      <c r="J1883" t="s">
        <v>29</v>
      </c>
      <c r="K1883" t="s">
        <v>30</v>
      </c>
      <c r="L1883" t="s">
        <v>29</v>
      </c>
      <c r="M1883" t="s">
        <v>30</v>
      </c>
      <c r="N1883" t="s">
        <v>27</v>
      </c>
      <c r="O1883" t="s">
        <v>28</v>
      </c>
      <c r="P1883" t="s">
        <v>29</v>
      </c>
      <c r="Q1883" t="s">
        <v>30</v>
      </c>
      <c r="R1883" s="1">
        <v>44249.470949074072</v>
      </c>
      <c r="S1883" s="1">
        <v>44249.471134259256</v>
      </c>
      <c r="T1883">
        <v>0</v>
      </c>
      <c r="U1883">
        <v>0</v>
      </c>
      <c r="V1883" s="2">
        <v>0</v>
      </c>
      <c r="W1883">
        <v>0</v>
      </c>
      <c r="X1883" t="s">
        <v>37</v>
      </c>
      <c r="Y1883">
        <v>0</v>
      </c>
      <c r="Z1883" t="s">
        <v>37</v>
      </c>
      <c r="AA1883">
        <v>0</v>
      </c>
      <c r="AB1883" t="s">
        <v>31</v>
      </c>
      <c r="AC1883">
        <v>0</v>
      </c>
      <c r="AD1883" t="s">
        <v>31</v>
      </c>
      <c r="AE1883">
        <v>0</v>
      </c>
      <c r="AF1883" t="s">
        <v>31</v>
      </c>
      <c r="AG1883">
        <v>0</v>
      </c>
      <c r="AH1883" t="s">
        <v>31</v>
      </c>
      <c r="AI1883">
        <v>0</v>
      </c>
      <c r="AJ1883" t="s">
        <v>31</v>
      </c>
      <c r="AK1883">
        <v>0</v>
      </c>
      <c r="AL1883" t="s">
        <v>31</v>
      </c>
      <c r="AM1883">
        <v>0</v>
      </c>
      <c r="AN1883" t="s">
        <v>31</v>
      </c>
      <c r="AO1883">
        <v>0</v>
      </c>
      <c r="AP1883" t="s">
        <v>31</v>
      </c>
      <c r="AQ1883">
        <v>0</v>
      </c>
    </row>
    <row r="1884" spans="1:43" x14ac:dyDescent="0.2">
      <c r="A1884" t="s">
        <v>381</v>
      </c>
      <c r="B1884" s="3">
        <v>44250</v>
      </c>
      <c r="C1884">
        <v>16</v>
      </c>
      <c r="D1884" t="s">
        <v>382</v>
      </c>
      <c r="E1884" t="s">
        <v>77</v>
      </c>
      <c r="F1884" s="9" t="s">
        <v>82</v>
      </c>
      <c r="G1884" t="s">
        <v>26</v>
      </c>
      <c r="H1884" t="s">
        <v>27</v>
      </c>
      <c r="I1884" t="s">
        <v>28</v>
      </c>
      <c r="J1884" t="s">
        <v>29</v>
      </c>
      <c r="K1884" t="s">
        <v>30</v>
      </c>
      <c r="L1884" t="s">
        <v>29</v>
      </c>
      <c r="M1884" t="s">
        <v>30</v>
      </c>
      <c r="N1884" t="s">
        <v>27</v>
      </c>
      <c r="O1884" t="s">
        <v>28</v>
      </c>
      <c r="P1884" t="s">
        <v>29</v>
      </c>
      <c r="Q1884" t="s">
        <v>30</v>
      </c>
      <c r="R1884" s="1">
        <v>44250.461145833331</v>
      </c>
      <c r="S1884" s="1">
        <v>44250.461157407408</v>
      </c>
      <c r="T1884">
        <v>0</v>
      </c>
      <c r="U1884">
        <v>0</v>
      </c>
      <c r="V1884" s="2">
        <v>0</v>
      </c>
      <c r="W1884">
        <v>0</v>
      </c>
      <c r="X1884" t="s">
        <v>37</v>
      </c>
      <c r="Y1884">
        <v>0</v>
      </c>
      <c r="Z1884" t="s">
        <v>37</v>
      </c>
      <c r="AA1884">
        <v>0</v>
      </c>
      <c r="AB1884" t="s">
        <v>37</v>
      </c>
      <c r="AC1884">
        <v>0</v>
      </c>
      <c r="AD1884" t="s">
        <v>31</v>
      </c>
      <c r="AE1884">
        <v>0</v>
      </c>
      <c r="AF1884" t="s">
        <v>31</v>
      </c>
      <c r="AG1884">
        <v>0</v>
      </c>
      <c r="AH1884" t="s">
        <v>31</v>
      </c>
      <c r="AI1884">
        <v>0</v>
      </c>
      <c r="AJ1884" t="s">
        <v>31</v>
      </c>
      <c r="AK1884">
        <v>0</v>
      </c>
      <c r="AL1884" t="s">
        <v>31</v>
      </c>
      <c r="AM1884">
        <v>0</v>
      </c>
      <c r="AN1884" t="s">
        <v>31</v>
      </c>
      <c r="AO1884">
        <v>0</v>
      </c>
      <c r="AP1884" t="s">
        <v>31</v>
      </c>
      <c r="AQ1884">
        <v>0</v>
      </c>
    </row>
    <row r="1885" spans="1:43" x14ac:dyDescent="0.2">
      <c r="A1885" t="s">
        <v>381</v>
      </c>
      <c r="B1885" s="3">
        <v>44251</v>
      </c>
      <c r="C1885">
        <v>18</v>
      </c>
      <c r="D1885" t="s">
        <v>384</v>
      </c>
      <c r="E1885" t="s">
        <v>77</v>
      </c>
      <c r="F1885" s="9" t="s">
        <v>82</v>
      </c>
      <c r="G1885" t="s">
        <v>26</v>
      </c>
      <c r="H1885" t="s">
        <v>27</v>
      </c>
      <c r="I1885" t="s">
        <v>28</v>
      </c>
      <c r="J1885" t="s">
        <v>29</v>
      </c>
      <c r="K1885" t="s">
        <v>30</v>
      </c>
      <c r="L1885" t="s">
        <v>29</v>
      </c>
      <c r="M1885" t="s">
        <v>30</v>
      </c>
      <c r="N1885" t="s">
        <v>27</v>
      </c>
      <c r="O1885" t="s">
        <v>28</v>
      </c>
      <c r="P1885" t="s">
        <v>29</v>
      </c>
      <c r="Q1885" t="s">
        <v>30</v>
      </c>
      <c r="R1885" s="1">
        <v>44251.427476851852</v>
      </c>
      <c r="S1885" s="1">
        <v>44251.427719907406</v>
      </c>
      <c r="T1885">
        <v>0</v>
      </c>
      <c r="U1885">
        <v>0</v>
      </c>
      <c r="V1885" s="2">
        <v>0</v>
      </c>
      <c r="W1885">
        <v>0</v>
      </c>
      <c r="X1885" t="s">
        <v>37</v>
      </c>
      <c r="Y1885">
        <v>0</v>
      </c>
      <c r="Z1885" t="s">
        <v>37</v>
      </c>
      <c r="AA1885">
        <v>0</v>
      </c>
      <c r="AB1885" t="s">
        <v>37</v>
      </c>
      <c r="AC1885">
        <v>0</v>
      </c>
      <c r="AD1885" t="s">
        <v>31</v>
      </c>
      <c r="AE1885">
        <v>0</v>
      </c>
      <c r="AF1885" t="s">
        <v>31</v>
      </c>
      <c r="AG1885">
        <v>0</v>
      </c>
      <c r="AH1885" t="s">
        <v>31</v>
      </c>
      <c r="AI1885">
        <v>0</v>
      </c>
      <c r="AJ1885" t="s">
        <v>31</v>
      </c>
      <c r="AK1885">
        <v>0</v>
      </c>
      <c r="AL1885" t="s">
        <v>31</v>
      </c>
      <c r="AM1885">
        <v>0</v>
      </c>
      <c r="AN1885" t="s">
        <v>31</v>
      </c>
      <c r="AO1885">
        <v>0</v>
      </c>
      <c r="AP1885" t="s">
        <v>31</v>
      </c>
      <c r="AQ1885">
        <v>0</v>
      </c>
    </row>
    <row r="1886" spans="1:43" x14ac:dyDescent="0.2">
      <c r="A1886" t="s">
        <v>381</v>
      </c>
      <c r="B1886" s="3">
        <v>44252</v>
      </c>
      <c r="C1886">
        <v>20</v>
      </c>
      <c r="D1886" t="s">
        <v>385</v>
      </c>
      <c r="E1886" t="s">
        <v>77</v>
      </c>
      <c r="F1886" s="9" t="s">
        <v>82</v>
      </c>
      <c r="G1886" t="s">
        <v>26</v>
      </c>
      <c r="H1886" t="s">
        <v>27</v>
      </c>
      <c r="I1886" t="s">
        <v>28</v>
      </c>
      <c r="J1886" t="s">
        <v>29</v>
      </c>
      <c r="K1886" t="s">
        <v>30</v>
      </c>
      <c r="L1886" t="s">
        <v>29</v>
      </c>
      <c r="M1886" t="s">
        <v>30</v>
      </c>
      <c r="N1886" t="s">
        <v>27</v>
      </c>
      <c r="O1886" t="s">
        <v>28</v>
      </c>
      <c r="P1886" t="s">
        <v>29</v>
      </c>
      <c r="Q1886" t="s">
        <v>30</v>
      </c>
      <c r="R1886" s="1">
        <v>44252.673032407409</v>
      </c>
      <c r="S1886" s="1">
        <v>44252.67428240741</v>
      </c>
      <c r="T1886">
        <v>0</v>
      </c>
      <c r="U1886">
        <v>0</v>
      </c>
      <c r="V1886" s="2">
        <v>0</v>
      </c>
      <c r="W1886">
        <v>0</v>
      </c>
      <c r="X1886" t="s">
        <v>37</v>
      </c>
      <c r="Y1886">
        <v>0</v>
      </c>
      <c r="Z1886" t="s">
        <v>37</v>
      </c>
      <c r="AA1886">
        <v>0</v>
      </c>
      <c r="AB1886" t="s">
        <v>37</v>
      </c>
      <c r="AC1886">
        <v>0</v>
      </c>
      <c r="AD1886" t="s">
        <v>37</v>
      </c>
      <c r="AE1886">
        <v>0</v>
      </c>
      <c r="AF1886" t="s">
        <v>31</v>
      </c>
      <c r="AG1886">
        <v>0</v>
      </c>
      <c r="AH1886" t="s">
        <v>31</v>
      </c>
      <c r="AI1886">
        <v>0</v>
      </c>
      <c r="AJ1886" t="s">
        <v>31</v>
      </c>
      <c r="AK1886">
        <v>0</v>
      </c>
      <c r="AL1886" t="s">
        <v>31</v>
      </c>
      <c r="AM1886">
        <v>0</v>
      </c>
      <c r="AN1886" t="s">
        <v>31</v>
      </c>
      <c r="AO1886">
        <v>0</v>
      </c>
      <c r="AP1886" t="s">
        <v>31</v>
      </c>
      <c r="AQ1886">
        <v>0</v>
      </c>
    </row>
    <row r="1887" spans="1:43" x14ac:dyDescent="0.2">
      <c r="A1887" t="s">
        <v>381</v>
      </c>
      <c r="B1887" s="3">
        <v>44253</v>
      </c>
      <c r="C1887">
        <v>21</v>
      </c>
      <c r="D1887" t="s">
        <v>384</v>
      </c>
      <c r="E1887" t="s">
        <v>77</v>
      </c>
      <c r="F1887" s="9" t="s">
        <v>82</v>
      </c>
      <c r="G1887" t="s">
        <v>26</v>
      </c>
      <c r="H1887" t="s">
        <v>27</v>
      </c>
      <c r="I1887" t="s">
        <v>28</v>
      </c>
      <c r="J1887" t="s">
        <v>29</v>
      </c>
      <c r="K1887" t="s">
        <v>30</v>
      </c>
      <c r="L1887" t="s">
        <v>29</v>
      </c>
      <c r="M1887" t="s">
        <v>30</v>
      </c>
      <c r="N1887" t="s">
        <v>27</v>
      </c>
      <c r="O1887" t="s">
        <v>28</v>
      </c>
      <c r="P1887" t="s">
        <v>29</v>
      </c>
      <c r="Q1887" t="s">
        <v>30</v>
      </c>
      <c r="R1887" s="1">
        <v>44253.429722222223</v>
      </c>
      <c r="S1887" s="1">
        <v>44253.429884259262</v>
      </c>
      <c r="T1887">
        <v>0</v>
      </c>
      <c r="U1887">
        <v>0</v>
      </c>
      <c r="V1887" s="2">
        <v>0</v>
      </c>
      <c r="W1887">
        <v>0</v>
      </c>
      <c r="X1887" t="s">
        <v>37</v>
      </c>
      <c r="Y1887">
        <v>0</v>
      </c>
      <c r="Z1887" t="s">
        <v>37</v>
      </c>
      <c r="AA1887">
        <v>0</v>
      </c>
      <c r="AB1887" t="s">
        <v>37</v>
      </c>
      <c r="AC1887">
        <v>0</v>
      </c>
      <c r="AD1887" t="s">
        <v>31</v>
      </c>
      <c r="AE1887">
        <v>0</v>
      </c>
      <c r="AF1887" t="s">
        <v>31</v>
      </c>
      <c r="AG1887">
        <v>0</v>
      </c>
      <c r="AH1887" t="s">
        <v>31</v>
      </c>
      <c r="AI1887">
        <v>0</v>
      </c>
      <c r="AJ1887" t="s">
        <v>31</v>
      </c>
      <c r="AK1887">
        <v>0</v>
      </c>
      <c r="AL1887" t="s">
        <v>31</v>
      </c>
      <c r="AM1887">
        <v>0</v>
      </c>
      <c r="AN1887" t="s">
        <v>31</v>
      </c>
      <c r="AO1887">
        <v>0</v>
      </c>
      <c r="AP1887" t="s">
        <v>31</v>
      </c>
      <c r="AQ1887">
        <v>0</v>
      </c>
    </row>
    <row r="1888" spans="1:43" x14ac:dyDescent="0.2">
      <c r="A1888" t="s">
        <v>381</v>
      </c>
      <c r="B1888" s="3">
        <v>44256</v>
      </c>
      <c r="C1888">
        <v>22</v>
      </c>
      <c r="D1888" t="s">
        <v>384</v>
      </c>
      <c r="E1888" t="s">
        <v>77</v>
      </c>
      <c r="F1888" s="9" t="s">
        <v>82</v>
      </c>
      <c r="G1888" t="s">
        <v>26</v>
      </c>
      <c r="H1888" t="s">
        <v>27</v>
      </c>
      <c r="I1888" t="s">
        <v>28</v>
      </c>
      <c r="J1888" t="s">
        <v>29</v>
      </c>
      <c r="K1888" t="s">
        <v>30</v>
      </c>
      <c r="L1888" t="s">
        <v>29</v>
      </c>
      <c r="M1888" t="s">
        <v>30</v>
      </c>
      <c r="N1888" t="s">
        <v>27</v>
      </c>
      <c r="O1888" t="s">
        <v>28</v>
      </c>
      <c r="P1888" t="s">
        <v>29</v>
      </c>
      <c r="Q1888" t="s">
        <v>30</v>
      </c>
      <c r="R1888" s="1">
        <v>44256.42763888889</v>
      </c>
      <c r="S1888" s="1">
        <v>44256.428159722222</v>
      </c>
      <c r="T1888">
        <v>0</v>
      </c>
      <c r="U1888">
        <v>2</v>
      </c>
      <c r="V1888" s="2">
        <v>0</v>
      </c>
      <c r="W1888">
        <v>0</v>
      </c>
      <c r="X1888" t="s">
        <v>44</v>
      </c>
      <c r="Y1888">
        <v>0</v>
      </c>
      <c r="Z1888" t="s">
        <v>37</v>
      </c>
      <c r="AA1888">
        <v>0</v>
      </c>
      <c r="AB1888" t="s">
        <v>37</v>
      </c>
      <c r="AC1888">
        <v>0</v>
      </c>
      <c r="AD1888" t="s">
        <v>37</v>
      </c>
      <c r="AE1888">
        <v>0</v>
      </c>
      <c r="AF1888" t="s">
        <v>44</v>
      </c>
      <c r="AG1888">
        <v>0</v>
      </c>
      <c r="AH1888" t="s">
        <v>37</v>
      </c>
      <c r="AI1888">
        <v>0</v>
      </c>
      <c r="AJ1888" t="s">
        <v>31</v>
      </c>
      <c r="AK1888">
        <v>0</v>
      </c>
      <c r="AL1888" t="s">
        <v>31</v>
      </c>
      <c r="AM1888">
        <v>0</v>
      </c>
      <c r="AN1888" t="s">
        <v>31</v>
      </c>
      <c r="AO1888">
        <v>0</v>
      </c>
      <c r="AP1888" t="s">
        <v>31</v>
      </c>
      <c r="AQ1888">
        <v>0</v>
      </c>
    </row>
    <row r="1889" spans="1:45" x14ac:dyDescent="0.2">
      <c r="A1889" t="s">
        <v>381</v>
      </c>
      <c r="B1889" s="3">
        <v>44257</v>
      </c>
      <c r="C1889">
        <v>23</v>
      </c>
      <c r="D1889" t="s">
        <v>382</v>
      </c>
      <c r="E1889" t="s">
        <v>77</v>
      </c>
      <c r="F1889" s="9" t="s">
        <v>82</v>
      </c>
      <c r="G1889" t="s">
        <v>26</v>
      </c>
      <c r="H1889" t="s">
        <v>27</v>
      </c>
      <c r="I1889" t="s">
        <v>28</v>
      </c>
      <c r="J1889" t="s">
        <v>29</v>
      </c>
      <c r="K1889" t="s">
        <v>30</v>
      </c>
      <c r="L1889" t="s">
        <v>29</v>
      </c>
      <c r="M1889" t="s">
        <v>30</v>
      </c>
      <c r="N1889" t="s">
        <v>27</v>
      </c>
      <c r="O1889" t="s">
        <v>28</v>
      </c>
      <c r="P1889" t="s">
        <v>29</v>
      </c>
      <c r="Q1889" t="s">
        <v>30</v>
      </c>
      <c r="R1889" s="1">
        <v>44257.46738425926</v>
      </c>
      <c r="S1889" s="1">
        <v>44257.467395833337</v>
      </c>
      <c r="T1889">
        <v>0</v>
      </c>
      <c r="U1889">
        <v>0</v>
      </c>
      <c r="V1889" s="2">
        <v>0</v>
      </c>
      <c r="W1889">
        <v>0</v>
      </c>
      <c r="X1889" t="s">
        <v>37</v>
      </c>
      <c r="Y1889">
        <v>0</v>
      </c>
      <c r="Z1889" t="s">
        <v>37</v>
      </c>
      <c r="AA1889">
        <v>0</v>
      </c>
      <c r="AB1889" t="s">
        <v>37</v>
      </c>
      <c r="AC1889">
        <v>0</v>
      </c>
      <c r="AD1889" t="s">
        <v>31</v>
      </c>
      <c r="AE1889">
        <v>0</v>
      </c>
      <c r="AF1889" t="s">
        <v>31</v>
      </c>
      <c r="AG1889">
        <v>0</v>
      </c>
      <c r="AH1889" t="s">
        <v>31</v>
      </c>
      <c r="AI1889">
        <v>0</v>
      </c>
      <c r="AJ1889" t="s">
        <v>31</v>
      </c>
      <c r="AK1889">
        <v>0</v>
      </c>
      <c r="AL1889" t="s">
        <v>31</v>
      </c>
      <c r="AM1889">
        <v>0</v>
      </c>
      <c r="AN1889" t="s">
        <v>31</v>
      </c>
      <c r="AO1889">
        <v>0</v>
      </c>
      <c r="AP1889" t="s">
        <v>31</v>
      </c>
      <c r="AQ1889">
        <v>0</v>
      </c>
    </row>
    <row r="1890" spans="1:45" x14ac:dyDescent="0.2">
      <c r="A1890" t="s">
        <v>381</v>
      </c>
      <c r="B1890" s="3">
        <v>44258</v>
      </c>
      <c r="C1890">
        <v>25</v>
      </c>
      <c r="D1890" t="s">
        <v>384</v>
      </c>
      <c r="E1890" t="s">
        <v>77</v>
      </c>
      <c r="F1890" s="9" t="s">
        <v>82</v>
      </c>
      <c r="G1890" t="s">
        <v>26</v>
      </c>
      <c r="H1890" t="s">
        <v>27</v>
      </c>
      <c r="I1890" t="s">
        <v>28</v>
      </c>
      <c r="J1890" t="s">
        <v>29</v>
      </c>
      <c r="K1890" t="s">
        <v>30</v>
      </c>
      <c r="L1890" t="s">
        <v>29</v>
      </c>
      <c r="M1890" t="s">
        <v>30</v>
      </c>
      <c r="N1890" t="s">
        <v>27</v>
      </c>
      <c r="O1890" t="s">
        <v>28</v>
      </c>
      <c r="P1890" t="s">
        <v>29</v>
      </c>
      <c r="Q1890" t="s">
        <v>30</v>
      </c>
      <c r="R1890" s="1">
        <v>44258.417638888888</v>
      </c>
      <c r="S1890" s="1">
        <v>44258.418032407404</v>
      </c>
      <c r="T1890">
        <v>0</v>
      </c>
      <c r="U1890">
        <v>1</v>
      </c>
      <c r="V1890" s="2">
        <v>0</v>
      </c>
      <c r="W1890">
        <v>0</v>
      </c>
      <c r="X1890" t="s">
        <v>37</v>
      </c>
      <c r="Y1890">
        <v>0</v>
      </c>
      <c r="Z1890" t="s">
        <v>44</v>
      </c>
      <c r="AA1890">
        <v>0</v>
      </c>
      <c r="AB1890" t="s">
        <v>37</v>
      </c>
      <c r="AC1890">
        <v>0</v>
      </c>
      <c r="AD1890" t="s">
        <v>37</v>
      </c>
      <c r="AE1890">
        <v>0</v>
      </c>
      <c r="AF1890" t="s">
        <v>31</v>
      </c>
      <c r="AG1890">
        <v>0</v>
      </c>
      <c r="AH1890" t="s">
        <v>31</v>
      </c>
      <c r="AI1890">
        <v>0</v>
      </c>
      <c r="AJ1890" t="s">
        <v>31</v>
      </c>
      <c r="AK1890">
        <v>0</v>
      </c>
      <c r="AL1890" t="s">
        <v>31</v>
      </c>
      <c r="AM1890">
        <v>0</v>
      </c>
      <c r="AN1890" t="s">
        <v>31</v>
      </c>
      <c r="AO1890">
        <v>0</v>
      </c>
      <c r="AP1890" t="s">
        <v>31</v>
      </c>
      <c r="AQ1890">
        <v>0</v>
      </c>
    </row>
    <row r="1891" spans="1:45" x14ac:dyDescent="0.2">
      <c r="A1891" t="s">
        <v>381</v>
      </c>
      <c r="B1891" s="3">
        <v>44259</v>
      </c>
      <c r="C1891">
        <v>26</v>
      </c>
      <c r="D1891" t="s">
        <v>382</v>
      </c>
      <c r="E1891" t="s">
        <v>77</v>
      </c>
      <c r="F1891" s="9" t="s">
        <v>82</v>
      </c>
      <c r="G1891" t="s">
        <v>26</v>
      </c>
      <c r="H1891" t="s">
        <v>27</v>
      </c>
      <c r="I1891" t="s">
        <v>28</v>
      </c>
      <c r="J1891" t="s">
        <v>29</v>
      </c>
      <c r="K1891" t="s">
        <v>30</v>
      </c>
      <c r="L1891" t="s">
        <v>29</v>
      </c>
      <c r="M1891" t="s">
        <v>30</v>
      </c>
      <c r="N1891" t="s">
        <v>27</v>
      </c>
      <c r="O1891" t="s">
        <v>28</v>
      </c>
      <c r="P1891" t="s">
        <v>29</v>
      </c>
      <c r="Q1891" t="s">
        <v>30</v>
      </c>
      <c r="R1891" s="1">
        <v>44259.409618055557</v>
      </c>
      <c r="S1891" s="1">
        <v>44259.409722222219</v>
      </c>
      <c r="T1891">
        <v>0</v>
      </c>
      <c r="U1891">
        <v>3</v>
      </c>
      <c r="V1891" s="2">
        <v>0</v>
      </c>
      <c r="W1891">
        <v>0</v>
      </c>
      <c r="X1891" t="s">
        <v>37</v>
      </c>
      <c r="Y1891">
        <v>0</v>
      </c>
      <c r="Z1891" t="s">
        <v>44</v>
      </c>
      <c r="AA1891">
        <v>0</v>
      </c>
      <c r="AB1891" t="s">
        <v>44</v>
      </c>
      <c r="AC1891">
        <v>0</v>
      </c>
      <c r="AD1891" t="s">
        <v>81</v>
      </c>
      <c r="AE1891">
        <v>0</v>
      </c>
      <c r="AF1891" t="s">
        <v>37</v>
      </c>
      <c r="AG1891">
        <v>0</v>
      </c>
      <c r="AH1891" t="s">
        <v>31</v>
      </c>
      <c r="AI1891">
        <v>0</v>
      </c>
      <c r="AJ1891" t="s">
        <v>31</v>
      </c>
      <c r="AK1891">
        <v>0</v>
      </c>
      <c r="AL1891" t="s">
        <v>31</v>
      </c>
      <c r="AM1891">
        <v>0</v>
      </c>
      <c r="AN1891" t="s">
        <v>31</v>
      </c>
      <c r="AO1891">
        <v>0</v>
      </c>
      <c r="AP1891" t="s">
        <v>31</v>
      </c>
      <c r="AQ1891">
        <v>0</v>
      </c>
    </row>
    <row r="1892" spans="1:45" x14ac:dyDescent="0.2">
      <c r="A1892" t="s">
        <v>381</v>
      </c>
      <c r="B1892" s="3">
        <v>44263</v>
      </c>
      <c r="C1892">
        <v>29</v>
      </c>
      <c r="D1892" t="s">
        <v>384</v>
      </c>
      <c r="E1892" t="s">
        <v>77</v>
      </c>
      <c r="F1892" s="9" t="s">
        <v>82</v>
      </c>
      <c r="G1892" t="s">
        <v>26</v>
      </c>
      <c r="H1892" t="s">
        <v>27</v>
      </c>
      <c r="I1892" t="s">
        <v>28</v>
      </c>
      <c r="J1892" t="s">
        <v>29</v>
      </c>
      <c r="K1892" t="s">
        <v>30</v>
      </c>
      <c r="L1892" t="s">
        <v>29</v>
      </c>
      <c r="M1892" t="s">
        <v>30</v>
      </c>
      <c r="N1892" t="s">
        <v>27</v>
      </c>
      <c r="O1892" t="s">
        <v>28</v>
      </c>
      <c r="P1892" t="s">
        <v>29</v>
      </c>
      <c r="Q1892" t="s">
        <v>30</v>
      </c>
      <c r="R1892" s="1">
        <v>44263.427916666667</v>
      </c>
      <c r="S1892" s="1">
        <v>44263.428229166668</v>
      </c>
      <c r="T1892">
        <v>0</v>
      </c>
      <c r="U1892">
        <v>0</v>
      </c>
      <c r="V1892" s="2">
        <v>0</v>
      </c>
      <c r="W1892">
        <v>0</v>
      </c>
      <c r="X1892" t="s">
        <v>37</v>
      </c>
      <c r="Y1892">
        <v>0</v>
      </c>
      <c r="Z1892" t="s">
        <v>37</v>
      </c>
      <c r="AA1892">
        <v>0</v>
      </c>
      <c r="AB1892" t="s">
        <v>37</v>
      </c>
      <c r="AC1892">
        <v>0</v>
      </c>
      <c r="AD1892" t="s">
        <v>31</v>
      </c>
      <c r="AE1892">
        <v>0</v>
      </c>
      <c r="AF1892" t="s">
        <v>31</v>
      </c>
      <c r="AG1892">
        <v>0</v>
      </c>
      <c r="AH1892" t="s">
        <v>31</v>
      </c>
      <c r="AI1892">
        <v>0</v>
      </c>
      <c r="AJ1892" t="s">
        <v>31</v>
      </c>
      <c r="AK1892">
        <v>0</v>
      </c>
      <c r="AL1892" t="s">
        <v>31</v>
      </c>
      <c r="AM1892">
        <v>0</v>
      </c>
      <c r="AN1892" t="s">
        <v>31</v>
      </c>
      <c r="AO1892">
        <v>0</v>
      </c>
      <c r="AP1892" t="s">
        <v>31</v>
      </c>
      <c r="AQ1892">
        <v>0</v>
      </c>
    </row>
    <row r="1893" spans="1:45" x14ac:dyDescent="0.2">
      <c r="A1893" t="s">
        <v>381</v>
      </c>
      <c r="B1893" s="3">
        <v>44264</v>
      </c>
      <c r="C1893">
        <v>30</v>
      </c>
      <c r="D1893" t="s">
        <v>382</v>
      </c>
      <c r="E1893" t="s">
        <v>77</v>
      </c>
      <c r="F1893" s="9" t="s">
        <v>82</v>
      </c>
      <c r="G1893" t="s">
        <v>26</v>
      </c>
      <c r="H1893" t="s">
        <v>27</v>
      </c>
      <c r="I1893" t="s">
        <v>28</v>
      </c>
      <c r="J1893" t="s">
        <v>29</v>
      </c>
      <c r="K1893" t="s">
        <v>30</v>
      </c>
      <c r="L1893" t="s">
        <v>29</v>
      </c>
      <c r="M1893" t="s">
        <v>30</v>
      </c>
      <c r="N1893" t="s">
        <v>27</v>
      </c>
      <c r="O1893" t="s">
        <v>28</v>
      </c>
      <c r="P1893" t="s">
        <v>29</v>
      </c>
      <c r="Q1893" t="s">
        <v>30</v>
      </c>
      <c r="R1893" s="1">
        <v>44264.422939814816</v>
      </c>
      <c r="S1893" s="1">
        <v>44264.423043981478</v>
      </c>
      <c r="T1893">
        <v>0</v>
      </c>
      <c r="U1893">
        <v>1</v>
      </c>
      <c r="V1893" s="2">
        <v>0</v>
      </c>
      <c r="W1893">
        <v>0</v>
      </c>
      <c r="X1893" t="s">
        <v>37</v>
      </c>
      <c r="Y1893">
        <v>0</v>
      </c>
      <c r="Z1893" t="s">
        <v>37</v>
      </c>
      <c r="AA1893">
        <v>0</v>
      </c>
      <c r="AB1893" t="s">
        <v>44</v>
      </c>
      <c r="AC1893">
        <v>0</v>
      </c>
      <c r="AD1893" t="s">
        <v>37</v>
      </c>
      <c r="AE1893">
        <v>0</v>
      </c>
      <c r="AF1893" t="s">
        <v>31</v>
      </c>
      <c r="AG1893">
        <v>0</v>
      </c>
      <c r="AH1893" t="s">
        <v>31</v>
      </c>
      <c r="AI1893">
        <v>0</v>
      </c>
      <c r="AJ1893" t="s">
        <v>31</v>
      </c>
      <c r="AK1893">
        <v>0</v>
      </c>
      <c r="AL1893" t="s">
        <v>31</v>
      </c>
      <c r="AM1893">
        <v>0</v>
      </c>
      <c r="AN1893" t="s">
        <v>31</v>
      </c>
      <c r="AO1893">
        <v>0</v>
      </c>
      <c r="AP1893" t="s">
        <v>31</v>
      </c>
      <c r="AQ1893">
        <v>0</v>
      </c>
    </row>
    <row r="1894" spans="1:45" x14ac:dyDescent="0.2">
      <c r="A1894" t="s">
        <v>381</v>
      </c>
      <c r="B1894" s="3">
        <v>44266</v>
      </c>
      <c r="C1894">
        <v>34</v>
      </c>
      <c r="D1894" t="s">
        <v>385</v>
      </c>
      <c r="E1894" t="s">
        <v>77</v>
      </c>
      <c r="F1894" s="9" t="s">
        <v>82</v>
      </c>
      <c r="G1894" t="s">
        <v>26</v>
      </c>
      <c r="H1894" t="s">
        <v>27</v>
      </c>
      <c r="I1894" t="s">
        <v>28</v>
      </c>
      <c r="J1894" t="s">
        <v>29</v>
      </c>
      <c r="K1894" t="s">
        <v>30</v>
      </c>
      <c r="L1894" t="s">
        <v>29</v>
      </c>
      <c r="M1894" t="s">
        <v>30</v>
      </c>
      <c r="N1894" t="s">
        <v>27</v>
      </c>
      <c r="O1894" t="s">
        <v>28</v>
      </c>
      <c r="P1894" t="s">
        <v>29</v>
      </c>
      <c r="Q1894" t="s">
        <v>30</v>
      </c>
      <c r="R1894" s="1">
        <v>44266.593715277777</v>
      </c>
      <c r="S1894" s="1">
        <v>44266.594988425924</v>
      </c>
      <c r="T1894">
        <v>0</v>
      </c>
      <c r="U1894">
        <v>3</v>
      </c>
      <c r="V1894" s="2">
        <v>0</v>
      </c>
      <c r="W1894">
        <v>0</v>
      </c>
      <c r="X1894" t="s">
        <v>37</v>
      </c>
      <c r="Y1894">
        <v>0</v>
      </c>
      <c r="Z1894" t="s">
        <v>37</v>
      </c>
      <c r="AA1894">
        <v>0</v>
      </c>
      <c r="AB1894" t="s">
        <v>81</v>
      </c>
      <c r="AC1894">
        <v>0</v>
      </c>
      <c r="AD1894" t="s">
        <v>45</v>
      </c>
      <c r="AE1894">
        <v>0</v>
      </c>
      <c r="AF1894" t="s">
        <v>61</v>
      </c>
      <c r="AG1894">
        <v>0</v>
      </c>
      <c r="AH1894" t="s">
        <v>31</v>
      </c>
      <c r="AI1894">
        <v>0</v>
      </c>
      <c r="AJ1894" t="s">
        <v>31</v>
      </c>
      <c r="AK1894">
        <v>0</v>
      </c>
      <c r="AL1894" t="s">
        <v>31</v>
      </c>
      <c r="AM1894">
        <v>0</v>
      </c>
      <c r="AN1894" t="s">
        <v>31</v>
      </c>
      <c r="AO1894">
        <v>0</v>
      </c>
      <c r="AP1894" t="s">
        <v>31</v>
      </c>
      <c r="AQ1894">
        <v>0</v>
      </c>
    </row>
    <row r="1895" spans="1:45" x14ac:dyDescent="0.2">
      <c r="A1895" t="s">
        <v>381</v>
      </c>
      <c r="B1895" s="3">
        <v>44270</v>
      </c>
      <c r="C1895">
        <v>35</v>
      </c>
      <c r="D1895" t="s">
        <v>384</v>
      </c>
      <c r="E1895" t="s">
        <v>77</v>
      </c>
      <c r="F1895" s="9" t="s">
        <v>82</v>
      </c>
      <c r="G1895" t="s">
        <v>26</v>
      </c>
      <c r="H1895" t="s">
        <v>27</v>
      </c>
      <c r="I1895" t="s">
        <v>28</v>
      </c>
      <c r="J1895" t="s">
        <v>29</v>
      </c>
      <c r="K1895" t="s">
        <v>30</v>
      </c>
      <c r="L1895" t="s">
        <v>29</v>
      </c>
      <c r="M1895" t="s">
        <v>30</v>
      </c>
      <c r="N1895" t="s">
        <v>27</v>
      </c>
      <c r="O1895" t="s">
        <v>28</v>
      </c>
      <c r="P1895" t="s">
        <v>29</v>
      </c>
      <c r="Q1895" t="s">
        <v>30</v>
      </c>
      <c r="R1895" s="1">
        <v>44270.428067129629</v>
      </c>
      <c r="S1895" s="1">
        <v>44270.428333333337</v>
      </c>
      <c r="T1895">
        <v>0</v>
      </c>
      <c r="U1895">
        <v>0</v>
      </c>
      <c r="V1895" s="2">
        <v>0</v>
      </c>
      <c r="W1895">
        <v>0</v>
      </c>
      <c r="X1895" t="s">
        <v>37</v>
      </c>
      <c r="Y1895">
        <v>0</v>
      </c>
      <c r="Z1895" t="s">
        <v>37</v>
      </c>
      <c r="AA1895">
        <v>0</v>
      </c>
      <c r="AB1895" t="s">
        <v>37</v>
      </c>
      <c r="AC1895">
        <v>0</v>
      </c>
      <c r="AD1895" t="s">
        <v>31</v>
      </c>
      <c r="AE1895">
        <v>0</v>
      </c>
      <c r="AF1895" t="s">
        <v>31</v>
      </c>
      <c r="AG1895">
        <v>0</v>
      </c>
      <c r="AH1895" t="s">
        <v>31</v>
      </c>
      <c r="AI1895">
        <v>0</v>
      </c>
      <c r="AJ1895" t="s">
        <v>31</v>
      </c>
      <c r="AK1895">
        <v>0</v>
      </c>
      <c r="AL1895" t="s">
        <v>31</v>
      </c>
      <c r="AM1895">
        <v>0</v>
      </c>
      <c r="AN1895" t="s">
        <v>31</v>
      </c>
      <c r="AO1895">
        <v>0</v>
      </c>
      <c r="AP1895" t="s">
        <v>31</v>
      </c>
      <c r="AQ1895">
        <v>0</v>
      </c>
    </row>
    <row r="1896" spans="1:45" x14ac:dyDescent="0.2">
      <c r="A1896" t="s">
        <v>381</v>
      </c>
      <c r="B1896" s="3">
        <v>44271</v>
      </c>
      <c r="C1896">
        <v>37</v>
      </c>
      <c r="D1896" t="s">
        <v>385</v>
      </c>
      <c r="E1896" t="s">
        <v>77</v>
      </c>
      <c r="F1896" s="9" t="s">
        <v>82</v>
      </c>
      <c r="G1896" t="s">
        <v>26</v>
      </c>
      <c r="H1896" t="s">
        <v>27</v>
      </c>
      <c r="I1896" t="s">
        <v>28</v>
      </c>
      <c r="J1896" t="s">
        <v>29</v>
      </c>
      <c r="K1896" t="s">
        <v>30</v>
      </c>
      <c r="L1896" t="s">
        <v>29</v>
      </c>
      <c r="M1896" t="s">
        <v>30</v>
      </c>
      <c r="N1896" t="s">
        <v>27</v>
      </c>
      <c r="O1896" t="s">
        <v>28</v>
      </c>
      <c r="P1896" t="s">
        <v>29</v>
      </c>
      <c r="Q1896" t="s">
        <v>30</v>
      </c>
      <c r="R1896" s="1">
        <v>44271.561469907407</v>
      </c>
      <c r="S1896" s="1">
        <v>44271.566064814811</v>
      </c>
      <c r="T1896">
        <v>0</v>
      </c>
      <c r="U1896">
        <v>0</v>
      </c>
      <c r="V1896" s="2">
        <v>0</v>
      </c>
      <c r="W1896">
        <v>0</v>
      </c>
      <c r="X1896" t="s">
        <v>37</v>
      </c>
      <c r="Y1896">
        <v>0</v>
      </c>
      <c r="Z1896" t="s">
        <v>37</v>
      </c>
      <c r="AA1896">
        <v>0</v>
      </c>
      <c r="AB1896" t="s">
        <v>37</v>
      </c>
      <c r="AC1896">
        <v>0</v>
      </c>
      <c r="AD1896" t="s">
        <v>37</v>
      </c>
      <c r="AE1896">
        <v>0</v>
      </c>
      <c r="AF1896" t="s">
        <v>37</v>
      </c>
      <c r="AG1896">
        <v>0</v>
      </c>
      <c r="AH1896" t="s">
        <v>31</v>
      </c>
      <c r="AI1896">
        <v>0</v>
      </c>
      <c r="AJ1896" t="s">
        <v>31</v>
      </c>
      <c r="AK1896">
        <v>0</v>
      </c>
      <c r="AL1896" t="s">
        <v>31</v>
      </c>
      <c r="AM1896">
        <v>0</v>
      </c>
      <c r="AN1896" t="s">
        <v>31</v>
      </c>
      <c r="AO1896">
        <v>0</v>
      </c>
      <c r="AP1896" t="s">
        <v>31</v>
      </c>
      <c r="AQ1896">
        <v>0</v>
      </c>
    </row>
    <row r="1897" spans="1:45" x14ac:dyDescent="0.2">
      <c r="A1897" t="s">
        <v>381</v>
      </c>
      <c r="B1897" s="3">
        <v>44273</v>
      </c>
      <c r="C1897">
        <v>40</v>
      </c>
      <c r="D1897" t="s">
        <v>385</v>
      </c>
      <c r="E1897" t="s">
        <v>77</v>
      </c>
      <c r="F1897" s="9" t="s">
        <v>82</v>
      </c>
      <c r="G1897" t="s">
        <v>26</v>
      </c>
      <c r="H1897" t="s">
        <v>27</v>
      </c>
      <c r="I1897" t="s">
        <v>28</v>
      </c>
      <c r="J1897" t="s">
        <v>29</v>
      </c>
      <c r="K1897" t="s">
        <v>30</v>
      </c>
      <c r="L1897" t="s">
        <v>29</v>
      </c>
      <c r="M1897" t="s">
        <v>30</v>
      </c>
      <c r="N1897" t="s">
        <v>27</v>
      </c>
      <c r="O1897" t="s">
        <v>28</v>
      </c>
      <c r="P1897" t="s">
        <v>29</v>
      </c>
      <c r="Q1897" t="s">
        <v>30</v>
      </c>
      <c r="R1897" s="1">
        <v>44273.549340277779</v>
      </c>
      <c r="S1897" s="1">
        <v>44273.550752314812</v>
      </c>
      <c r="T1897">
        <v>0</v>
      </c>
      <c r="U1897">
        <v>0</v>
      </c>
      <c r="V1897" s="2">
        <v>0</v>
      </c>
      <c r="W1897">
        <v>0</v>
      </c>
      <c r="X1897" t="s">
        <v>37</v>
      </c>
      <c r="Y1897">
        <v>0</v>
      </c>
      <c r="Z1897" t="s">
        <v>37</v>
      </c>
      <c r="AA1897">
        <v>0</v>
      </c>
      <c r="AB1897" t="s">
        <v>37</v>
      </c>
      <c r="AC1897">
        <v>0</v>
      </c>
      <c r="AD1897" t="s">
        <v>37</v>
      </c>
      <c r="AE1897">
        <v>0</v>
      </c>
      <c r="AF1897" t="s">
        <v>37</v>
      </c>
      <c r="AG1897">
        <v>0</v>
      </c>
      <c r="AH1897" t="s">
        <v>31</v>
      </c>
      <c r="AI1897">
        <v>0</v>
      </c>
      <c r="AJ1897" t="s">
        <v>31</v>
      </c>
      <c r="AK1897">
        <v>0</v>
      </c>
      <c r="AL1897" t="s">
        <v>31</v>
      </c>
      <c r="AM1897">
        <v>0</v>
      </c>
      <c r="AN1897" t="s">
        <v>31</v>
      </c>
      <c r="AO1897">
        <v>0</v>
      </c>
      <c r="AP1897" t="s">
        <v>31</v>
      </c>
      <c r="AQ1897">
        <v>0</v>
      </c>
    </row>
    <row r="1898" spans="1:45" x14ac:dyDescent="0.2">
      <c r="A1898" t="s">
        <v>381</v>
      </c>
      <c r="B1898" s="3">
        <v>44279</v>
      </c>
      <c r="C1898">
        <v>41</v>
      </c>
      <c r="D1898" t="s">
        <v>384</v>
      </c>
      <c r="E1898" t="s">
        <v>77</v>
      </c>
      <c r="F1898" s="9" t="s">
        <v>82</v>
      </c>
      <c r="G1898" t="s">
        <v>26</v>
      </c>
      <c r="H1898" t="s">
        <v>27</v>
      </c>
      <c r="I1898" t="s">
        <v>28</v>
      </c>
      <c r="J1898" t="s">
        <v>29</v>
      </c>
      <c r="K1898" t="s">
        <v>30</v>
      </c>
      <c r="L1898" t="s">
        <v>29</v>
      </c>
      <c r="M1898" t="s">
        <v>30</v>
      </c>
      <c r="N1898" t="s">
        <v>27</v>
      </c>
      <c r="O1898" t="s">
        <v>28</v>
      </c>
      <c r="P1898" t="s">
        <v>29</v>
      </c>
      <c r="Q1898" t="s">
        <v>30</v>
      </c>
      <c r="R1898" s="1">
        <v>44279.433761574073</v>
      </c>
      <c r="S1898" s="1">
        <v>44279.434120370373</v>
      </c>
      <c r="T1898">
        <v>0</v>
      </c>
      <c r="U1898">
        <v>0</v>
      </c>
      <c r="V1898" s="2">
        <v>0</v>
      </c>
      <c r="W1898">
        <v>0</v>
      </c>
      <c r="X1898" t="s">
        <v>37</v>
      </c>
      <c r="Y1898">
        <v>0</v>
      </c>
      <c r="Z1898" t="s">
        <v>37</v>
      </c>
      <c r="AA1898">
        <v>0</v>
      </c>
      <c r="AB1898" t="s">
        <v>37</v>
      </c>
      <c r="AC1898">
        <v>0</v>
      </c>
      <c r="AD1898" t="s">
        <v>31</v>
      </c>
      <c r="AE1898">
        <v>0</v>
      </c>
      <c r="AF1898" t="s">
        <v>31</v>
      </c>
      <c r="AG1898">
        <v>0</v>
      </c>
      <c r="AH1898" t="s">
        <v>31</v>
      </c>
      <c r="AI1898">
        <v>0</v>
      </c>
      <c r="AJ1898" t="s">
        <v>31</v>
      </c>
      <c r="AK1898">
        <v>0</v>
      </c>
      <c r="AL1898" t="s">
        <v>31</v>
      </c>
      <c r="AM1898">
        <v>0</v>
      </c>
      <c r="AN1898" t="s">
        <v>31</v>
      </c>
      <c r="AO1898">
        <v>0</v>
      </c>
      <c r="AP1898" t="s">
        <v>31</v>
      </c>
      <c r="AQ1898">
        <v>0</v>
      </c>
    </row>
    <row r="1899" spans="1:45" x14ac:dyDescent="0.2">
      <c r="A1899" t="s">
        <v>381</v>
      </c>
      <c r="B1899" s="3">
        <v>44285</v>
      </c>
      <c r="C1899">
        <v>45</v>
      </c>
      <c r="D1899" t="s">
        <v>385</v>
      </c>
      <c r="E1899" t="s">
        <v>77</v>
      </c>
      <c r="F1899" s="9" t="s">
        <v>82</v>
      </c>
      <c r="G1899" t="s">
        <v>26</v>
      </c>
      <c r="H1899" t="s">
        <v>27</v>
      </c>
      <c r="I1899" t="s">
        <v>28</v>
      </c>
      <c r="J1899" t="s">
        <v>29</v>
      </c>
      <c r="K1899" t="s">
        <v>30</v>
      </c>
      <c r="L1899" t="s">
        <v>29</v>
      </c>
      <c r="M1899" t="s">
        <v>30</v>
      </c>
      <c r="N1899" t="s">
        <v>27</v>
      </c>
      <c r="O1899" t="s">
        <v>28</v>
      </c>
      <c r="P1899" t="s">
        <v>29</v>
      </c>
      <c r="Q1899" t="s">
        <v>30</v>
      </c>
      <c r="R1899" s="1">
        <v>44285.625474537039</v>
      </c>
      <c r="S1899" s="1">
        <v>44285.628159722219</v>
      </c>
      <c r="T1899">
        <v>0</v>
      </c>
      <c r="U1899">
        <v>10</v>
      </c>
      <c r="V1899" s="2">
        <v>0</v>
      </c>
      <c r="W1899">
        <v>0</v>
      </c>
      <c r="X1899" t="s">
        <v>44</v>
      </c>
      <c r="Y1899">
        <v>0</v>
      </c>
      <c r="Z1899" t="s">
        <v>44</v>
      </c>
      <c r="AA1899">
        <v>0</v>
      </c>
      <c r="AB1899" t="s">
        <v>81</v>
      </c>
      <c r="AC1899">
        <v>0</v>
      </c>
      <c r="AD1899" t="s">
        <v>45</v>
      </c>
      <c r="AE1899">
        <v>0</v>
      </c>
      <c r="AF1899" t="s">
        <v>61</v>
      </c>
      <c r="AG1899">
        <v>0</v>
      </c>
      <c r="AH1899" t="s">
        <v>37</v>
      </c>
      <c r="AI1899">
        <v>0</v>
      </c>
      <c r="AJ1899" t="s">
        <v>44</v>
      </c>
      <c r="AK1899">
        <v>0</v>
      </c>
      <c r="AL1899" t="s">
        <v>44</v>
      </c>
      <c r="AM1899">
        <v>0</v>
      </c>
      <c r="AN1899" t="s">
        <v>81</v>
      </c>
      <c r="AO1899">
        <v>0</v>
      </c>
      <c r="AP1899" t="s">
        <v>45</v>
      </c>
      <c r="AQ1899">
        <v>0</v>
      </c>
      <c r="AR1899" t="s">
        <v>61</v>
      </c>
      <c r="AS1899">
        <v>0</v>
      </c>
    </row>
    <row r="1900" spans="1:45" x14ac:dyDescent="0.2">
      <c r="A1900" t="s">
        <v>381</v>
      </c>
      <c r="B1900" s="3">
        <v>44286</v>
      </c>
      <c r="C1900">
        <v>46</v>
      </c>
      <c r="D1900" t="s">
        <v>384</v>
      </c>
      <c r="E1900" t="s">
        <v>77</v>
      </c>
      <c r="F1900" s="9" t="s">
        <v>82</v>
      </c>
      <c r="G1900" t="s">
        <v>26</v>
      </c>
      <c r="H1900" t="s">
        <v>27</v>
      </c>
      <c r="I1900" t="s">
        <v>28</v>
      </c>
      <c r="J1900" t="s">
        <v>29</v>
      </c>
      <c r="K1900" t="s">
        <v>30</v>
      </c>
      <c r="L1900" t="s">
        <v>29</v>
      </c>
      <c r="M1900" t="s">
        <v>30</v>
      </c>
      <c r="N1900" t="s">
        <v>27</v>
      </c>
      <c r="O1900" t="s">
        <v>28</v>
      </c>
      <c r="P1900" t="s">
        <v>29</v>
      </c>
      <c r="Q1900" t="s">
        <v>30</v>
      </c>
      <c r="R1900" s="1">
        <v>44286.459074074075</v>
      </c>
      <c r="S1900" s="1">
        <v>44286.459178240744</v>
      </c>
      <c r="T1900">
        <v>0</v>
      </c>
      <c r="U1900">
        <v>0</v>
      </c>
      <c r="V1900" s="2">
        <v>0</v>
      </c>
      <c r="W1900">
        <v>0</v>
      </c>
      <c r="X1900" t="s">
        <v>37</v>
      </c>
      <c r="Y1900">
        <v>0</v>
      </c>
      <c r="Z1900" t="s">
        <v>37</v>
      </c>
      <c r="AA1900">
        <v>0</v>
      </c>
      <c r="AB1900" t="s">
        <v>37</v>
      </c>
      <c r="AC1900">
        <v>0</v>
      </c>
      <c r="AD1900" t="s">
        <v>31</v>
      </c>
      <c r="AE1900">
        <v>0</v>
      </c>
      <c r="AF1900" t="s">
        <v>31</v>
      </c>
      <c r="AG1900">
        <v>0</v>
      </c>
      <c r="AH1900" t="s">
        <v>31</v>
      </c>
      <c r="AI1900">
        <v>0</v>
      </c>
      <c r="AJ1900" t="s">
        <v>31</v>
      </c>
      <c r="AK1900">
        <v>0</v>
      </c>
      <c r="AL1900" t="s">
        <v>31</v>
      </c>
      <c r="AM1900">
        <v>0</v>
      </c>
      <c r="AN1900" t="s">
        <v>31</v>
      </c>
      <c r="AO1900">
        <v>0</v>
      </c>
      <c r="AP1900" t="s">
        <v>31</v>
      </c>
      <c r="AQ1900">
        <v>0</v>
      </c>
    </row>
    <row r="1901" spans="1:45" x14ac:dyDescent="0.2">
      <c r="A1901" t="s">
        <v>381</v>
      </c>
      <c r="B1901" s="3">
        <v>44288</v>
      </c>
      <c r="C1901">
        <v>49</v>
      </c>
      <c r="D1901" t="s">
        <v>384</v>
      </c>
      <c r="E1901" t="s">
        <v>77</v>
      </c>
      <c r="F1901" s="9" t="s">
        <v>82</v>
      </c>
      <c r="G1901" t="s">
        <v>26</v>
      </c>
      <c r="H1901" t="s">
        <v>27</v>
      </c>
      <c r="I1901" t="s">
        <v>28</v>
      </c>
      <c r="J1901" t="s">
        <v>29</v>
      </c>
      <c r="K1901" t="s">
        <v>30</v>
      </c>
      <c r="L1901" t="s">
        <v>29</v>
      </c>
      <c r="M1901" t="s">
        <v>30</v>
      </c>
      <c r="N1901" t="s">
        <v>27</v>
      </c>
      <c r="O1901" t="s">
        <v>28</v>
      </c>
      <c r="P1901" t="s">
        <v>29</v>
      </c>
      <c r="Q1901" t="s">
        <v>30</v>
      </c>
      <c r="R1901" s="1">
        <v>44288.423877314817</v>
      </c>
      <c r="S1901" s="1">
        <v>44288.423888888887</v>
      </c>
      <c r="T1901">
        <v>0</v>
      </c>
      <c r="U1901">
        <v>0</v>
      </c>
      <c r="V1901" s="2">
        <v>0</v>
      </c>
      <c r="W1901">
        <v>0</v>
      </c>
      <c r="X1901" t="s">
        <v>37</v>
      </c>
      <c r="Y1901">
        <v>0</v>
      </c>
      <c r="Z1901" t="s">
        <v>37</v>
      </c>
      <c r="AA1901">
        <v>0</v>
      </c>
      <c r="AB1901" t="s">
        <v>37</v>
      </c>
      <c r="AC1901">
        <v>0</v>
      </c>
      <c r="AD1901" t="s">
        <v>31</v>
      </c>
      <c r="AE1901">
        <v>0</v>
      </c>
      <c r="AF1901" t="s">
        <v>31</v>
      </c>
      <c r="AG1901">
        <v>0</v>
      </c>
      <c r="AH1901" t="s">
        <v>31</v>
      </c>
      <c r="AI1901">
        <v>0</v>
      </c>
      <c r="AJ1901" t="s">
        <v>31</v>
      </c>
      <c r="AK1901">
        <v>0</v>
      </c>
      <c r="AL1901" t="s">
        <v>31</v>
      </c>
      <c r="AM1901">
        <v>0</v>
      </c>
      <c r="AN1901" t="s">
        <v>31</v>
      </c>
      <c r="AO1901">
        <v>0</v>
      </c>
      <c r="AP1901" t="s">
        <v>31</v>
      </c>
      <c r="AQ1901">
        <v>0</v>
      </c>
    </row>
    <row r="1902" spans="1:45" x14ac:dyDescent="0.2">
      <c r="A1902" t="s">
        <v>381</v>
      </c>
      <c r="B1902" s="3">
        <v>44291</v>
      </c>
      <c r="C1902">
        <v>50</v>
      </c>
      <c r="D1902" t="s">
        <v>384</v>
      </c>
      <c r="E1902" t="s">
        <v>77</v>
      </c>
      <c r="F1902" s="9" t="s">
        <v>82</v>
      </c>
      <c r="G1902" t="s">
        <v>26</v>
      </c>
      <c r="H1902" t="s">
        <v>27</v>
      </c>
      <c r="I1902" t="s">
        <v>28</v>
      </c>
      <c r="J1902" t="s">
        <v>29</v>
      </c>
      <c r="K1902" t="s">
        <v>30</v>
      </c>
      <c r="L1902" t="s">
        <v>29</v>
      </c>
      <c r="M1902" t="s">
        <v>30</v>
      </c>
      <c r="N1902" t="s">
        <v>27</v>
      </c>
      <c r="O1902" t="s">
        <v>28</v>
      </c>
      <c r="P1902" t="s">
        <v>29</v>
      </c>
      <c r="Q1902" t="s">
        <v>30</v>
      </c>
      <c r="R1902" s="1">
        <v>44291.452037037037</v>
      </c>
      <c r="S1902" s="1">
        <v>44291.452233796299</v>
      </c>
      <c r="T1902">
        <v>0</v>
      </c>
      <c r="U1902">
        <v>0</v>
      </c>
      <c r="V1902" s="2">
        <v>0</v>
      </c>
      <c r="W1902">
        <v>0</v>
      </c>
      <c r="X1902" t="s">
        <v>37</v>
      </c>
      <c r="Y1902">
        <v>0</v>
      </c>
      <c r="Z1902" t="s">
        <v>37</v>
      </c>
      <c r="AA1902">
        <v>0</v>
      </c>
      <c r="AB1902" t="s">
        <v>37</v>
      </c>
      <c r="AC1902">
        <v>0</v>
      </c>
      <c r="AD1902" t="s">
        <v>31</v>
      </c>
      <c r="AE1902">
        <v>0</v>
      </c>
      <c r="AF1902" t="s">
        <v>31</v>
      </c>
      <c r="AG1902">
        <v>0</v>
      </c>
      <c r="AH1902" t="s">
        <v>31</v>
      </c>
      <c r="AI1902">
        <v>0</v>
      </c>
      <c r="AJ1902" t="s">
        <v>31</v>
      </c>
      <c r="AK1902">
        <v>0</v>
      </c>
      <c r="AL1902" t="s">
        <v>31</v>
      </c>
      <c r="AM1902">
        <v>0</v>
      </c>
      <c r="AN1902" t="s">
        <v>31</v>
      </c>
      <c r="AO1902">
        <v>0</v>
      </c>
      <c r="AP1902" t="s">
        <v>31</v>
      </c>
      <c r="AQ1902">
        <v>0</v>
      </c>
    </row>
    <row r="1903" spans="1:45" x14ac:dyDescent="0.2">
      <c r="A1903" t="s">
        <v>381</v>
      </c>
      <c r="B1903" s="3">
        <v>44293</v>
      </c>
      <c r="C1903">
        <v>53</v>
      </c>
      <c r="D1903" t="s">
        <v>384</v>
      </c>
      <c r="E1903" t="s">
        <v>77</v>
      </c>
      <c r="F1903" s="9" t="s">
        <v>82</v>
      </c>
      <c r="G1903" t="s">
        <v>26</v>
      </c>
      <c r="H1903" t="s">
        <v>27</v>
      </c>
      <c r="I1903" t="s">
        <v>28</v>
      </c>
      <c r="J1903" t="s">
        <v>29</v>
      </c>
      <c r="K1903" t="s">
        <v>30</v>
      </c>
      <c r="L1903" t="s">
        <v>29</v>
      </c>
      <c r="M1903" t="s">
        <v>30</v>
      </c>
      <c r="N1903" t="s">
        <v>27</v>
      </c>
      <c r="O1903" t="s">
        <v>28</v>
      </c>
      <c r="P1903" t="s">
        <v>29</v>
      </c>
      <c r="Q1903" t="s">
        <v>30</v>
      </c>
      <c r="R1903" s="1">
        <v>44293.428726851853</v>
      </c>
      <c r="S1903" s="1">
        <v>44293.428969907407</v>
      </c>
      <c r="T1903">
        <v>0</v>
      </c>
      <c r="U1903">
        <v>0</v>
      </c>
      <c r="V1903" s="2">
        <v>0</v>
      </c>
      <c r="W1903">
        <v>0</v>
      </c>
      <c r="X1903" t="s">
        <v>37</v>
      </c>
      <c r="Y1903">
        <v>0</v>
      </c>
      <c r="Z1903" t="s">
        <v>37</v>
      </c>
      <c r="AA1903">
        <v>0</v>
      </c>
      <c r="AB1903" t="s">
        <v>37</v>
      </c>
      <c r="AC1903">
        <v>0</v>
      </c>
      <c r="AD1903" t="s">
        <v>31</v>
      </c>
      <c r="AE1903">
        <v>0</v>
      </c>
      <c r="AF1903" t="s">
        <v>31</v>
      </c>
      <c r="AG1903">
        <v>0</v>
      </c>
      <c r="AH1903" t="s">
        <v>31</v>
      </c>
      <c r="AI1903">
        <v>0</v>
      </c>
      <c r="AJ1903" t="s">
        <v>31</v>
      </c>
      <c r="AK1903">
        <v>0</v>
      </c>
      <c r="AL1903" t="s">
        <v>31</v>
      </c>
      <c r="AM1903">
        <v>0</v>
      </c>
      <c r="AN1903" t="s">
        <v>31</v>
      </c>
      <c r="AO1903">
        <v>0</v>
      </c>
      <c r="AP1903" t="s">
        <v>31</v>
      </c>
      <c r="AQ1903">
        <v>0</v>
      </c>
    </row>
    <row r="1904" spans="1:45" x14ac:dyDescent="0.2">
      <c r="A1904" t="s">
        <v>381</v>
      </c>
      <c r="B1904" s="3">
        <v>44295</v>
      </c>
      <c r="C1904">
        <v>56</v>
      </c>
      <c r="D1904" t="s">
        <v>384</v>
      </c>
      <c r="E1904" t="s">
        <v>77</v>
      </c>
      <c r="F1904" s="9" t="s">
        <v>82</v>
      </c>
      <c r="G1904" t="s">
        <v>26</v>
      </c>
      <c r="H1904" t="s">
        <v>27</v>
      </c>
      <c r="I1904" t="s">
        <v>28</v>
      </c>
      <c r="J1904" t="s">
        <v>29</v>
      </c>
      <c r="K1904" t="s">
        <v>30</v>
      </c>
      <c r="L1904" t="s">
        <v>29</v>
      </c>
      <c r="M1904" t="s">
        <v>30</v>
      </c>
      <c r="N1904" t="s">
        <v>27</v>
      </c>
      <c r="O1904" t="s">
        <v>28</v>
      </c>
      <c r="P1904" t="s">
        <v>29</v>
      </c>
      <c r="Q1904" t="s">
        <v>30</v>
      </c>
      <c r="R1904" s="1">
        <v>44295.451041666667</v>
      </c>
      <c r="S1904" s="1">
        <v>44295.451064814813</v>
      </c>
      <c r="T1904">
        <v>0</v>
      </c>
      <c r="U1904">
        <v>0</v>
      </c>
      <c r="V1904" s="2">
        <v>0</v>
      </c>
      <c r="W1904">
        <v>0</v>
      </c>
      <c r="X1904" t="s">
        <v>37</v>
      </c>
      <c r="Y1904">
        <v>0</v>
      </c>
      <c r="Z1904" t="s">
        <v>37</v>
      </c>
      <c r="AA1904">
        <v>0</v>
      </c>
      <c r="AB1904" t="s">
        <v>37</v>
      </c>
      <c r="AC1904">
        <v>0</v>
      </c>
      <c r="AD1904" t="s">
        <v>31</v>
      </c>
      <c r="AE1904">
        <v>0</v>
      </c>
      <c r="AF1904" t="s">
        <v>31</v>
      </c>
      <c r="AG1904">
        <v>0</v>
      </c>
      <c r="AH1904" t="s">
        <v>31</v>
      </c>
      <c r="AI1904">
        <v>0</v>
      </c>
      <c r="AJ1904" t="s">
        <v>31</v>
      </c>
      <c r="AK1904">
        <v>0</v>
      </c>
      <c r="AL1904" t="s">
        <v>31</v>
      </c>
      <c r="AM1904">
        <v>0</v>
      </c>
      <c r="AN1904" t="s">
        <v>31</v>
      </c>
      <c r="AO1904">
        <v>0</v>
      </c>
      <c r="AP1904" t="s">
        <v>31</v>
      </c>
      <c r="AQ1904">
        <v>0</v>
      </c>
    </row>
    <row r="1905" spans="1:43" x14ac:dyDescent="0.2">
      <c r="A1905" t="s">
        <v>381</v>
      </c>
      <c r="B1905" s="3">
        <v>44314</v>
      </c>
      <c r="C1905">
        <v>77</v>
      </c>
      <c r="D1905" t="s">
        <v>403</v>
      </c>
      <c r="E1905" t="s">
        <v>77</v>
      </c>
      <c r="F1905" s="9" t="s">
        <v>82</v>
      </c>
      <c r="G1905" t="s">
        <v>26</v>
      </c>
      <c r="H1905" t="s">
        <v>27</v>
      </c>
      <c r="I1905" t="s">
        <v>28</v>
      </c>
      <c r="J1905" t="s">
        <v>29</v>
      </c>
      <c r="K1905" t="s">
        <v>30</v>
      </c>
      <c r="L1905" t="s">
        <v>29</v>
      </c>
      <c r="M1905" t="s">
        <v>30</v>
      </c>
      <c r="N1905" t="s">
        <v>27</v>
      </c>
      <c r="O1905" t="s">
        <v>28</v>
      </c>
      <c r="P1905" t="s">
        <v>29</v>
      </c>
      <c r="Q1905" t="s">
        <v>30</v>
      </c>
      <c r="R1905" s="1">
        <v>44314.420555555553</v>
      </c>
      <c r="S1905" s="1">
        <v>44314.420555555553</v>
      </c>
      <c r="T1905">
        <v>0</v>
      </c>
      <c r="U1905">
        <v>0</v>
      </c>
      <c r="V1905" s="2">
        <v>0</v>
      </c>
      <c r="W1905">
        <v>0</v>
      </c>
      <c r="X1905" t="s">
        <v>37</v>
      </c>
      <c r="Y1905">
        <v>0</v>
      </c>
      <c r="Z1905" t="s">
        <v>31</v>
      </c>
      <c r="AA1905">
        <v>0</v>
      </c>
      <c r="AB1905" t="s">
        <v>31</v>
      </c>
      <c r="AC1905">
        <v>0</v>
      </c>
      <c r="AD1905" t="s">
        <v>31</v>
      </c>
      <c r="AE1905">
        <v>0</v>
      </c>
      <c r="AF1905" t="s">
        <v>31</v>
      </c>
      <c r="AG1905">
        <v>0</v>
      </c>
      <c r="AH1905" t="s">
        <v>31</v>
      </c>
      <c r="AI1905">
        <v>0</v>
      </c>
      <c r="AJ1905" t="s">
        <v>31</v>
      </c>
      <c r="AK1905">
        <v>0</v>
      </c>
      <c r="AL1905" t="s">
        <v>31</v>
      </c>
      <c r="AM1905">
        <v>0</v>
      </c>
      <c r="AN1905" t="s">
        <v>31</v>
      </c>
      <c r="AO1905">
        <v>0</v>
      </c>
      <c r="AP1905" t="s">
        <v>31</v>
      </c>
      <c r="AQ1905">
        <v>0</v>
      </c>
    </row>
    <row r="1906" spans="1:43" x14ac:dyDescent="0.2">
      <c r="A1906" t="s">
        <v>381</v>
      </c>
      <c r="B1906" s="3">
        <v>44319</v>
      </c>
      <c r="C1906">
        <v>84</v>
      </c>
      <c r="D1906" t="s">
        <v>390</v>
      </c>
      <c r="E1906" t="s">
        <v>77</v>
      </c>
      <c r="F1906" s="9" t="s">
        <v>229</v>
      </c>
      <c r="G1906" t="s">
        <v>26</v>
      </c>
      <c r="H1906" t="s">
        <v>155</v>
      </c>
      <c r="I1906" t="s">
        <v>156</v>
      </c>
      <c r="J1906" t="s">
        <v>220</v>
      </c>
      <c r="K1906" t="s">
        <v>61</v>
      </c>
      <c r="L1906" t="s">
        <v>220</v>
      </c>
      <c r="M1906" t="s">
        <v>61</v>
      </c>
      <c r="N1906" t="s">
        <v>27</v>
      </c>
      <c r="O1906" t="s">
        <v>28</v>
      </c>
      <c r="P1906" t="s">
        <v>43</v>
      </c>
      <c r="Q1906" t="s">
        <v>44</v>
      </c>
      <c r="R1906" s="1">
        <v>44319.456921296296</v>
      </c>
      <c r="S1906" s="1">
        <v>44319.457094907404</v>
      </c>
      <c r="T1906">
        <v>10</v>
      </c>
      <c r="U1906">
        <v>10</v>
      </c>
      <c r="V1906" s="2">
        <v>1</v>
      </c>
      <c r="W1906">
        <v>0</v>
      </c>
      <c r="X1906" t="s">
        <v>61</v>
      </c>
      <c r="Y1906">
        <v>0</v>
      </c>
      <c r="Z1906" t="s">
        <v>61</v>
      </c>
      <c r="AA1906">
        <v>0</v>
      </c>
      <c r="AB1906" t="s">
        <v>61</v>
      </c>
      <c r="AC1906">
        <v>0</v>
      </c>
      <c r="AD1906" t="s">
        <v>61</v>
      </c>
      <c r="AE1906">
        <v>0</v>
      </c>
      <c r="AF1906" t="s">
        <v>61</v>
      </c>
      <c r="AG1906">
        <v>0</v>
      </c>
      <c r="AH1906" t="s">
        <v>61</v>
      </c>
      <c r="AI1906">
        <v>0</v>
      </c>
      <c r="AJ1906" t="s">
        <v>61</v>
      </c>
      <c r="AK1906">
        <v>0</v>
      </c>
      <c r="AL1906" t="s">
        <v>61</v>
      </c>
      <c r="AM1906">
        <v>0</v>
      </c>
      <c r="AN1906" t="s">
        <v>61</v>
      </c>
      <c r="AO1906">
        <v>0</v>
      </c>
      <c r="AP1906" t="s">
        <v>61</v>
      </c>
      <c r="AQ1906">
        <v>0</v>
      </c>
    </row>
    <row r="1907" spans="1:43" x14ac:dyDescent="0.2">
      <c r="A1907" t="s">
        <v>381</v>
      </c>
      <c r="B1907" s="3">
        <v>44323</v>
      </c>
      <c r="C1907">
        <v>91</v>
      </c>
      <c r="D1907" t="s">
        <v>391</v>
      </c>
      <c r="E1907" t="s">
        <v>77</v>
      </c>
      <c r="F1907" s="9" t="s">
        <v>229</v>
      </c>
      <c r="G1907" t="s">
        <v>26</v>
      </c>
      <c r="H1907" t="s">
        <v>27</v>
      </c>
      <c r="I1907" t="s">
        <v>28</v>
      </c>
      <c r="J1907" t="s">
        <v>43</v>
      </c>
      <c r="K1907" t="s">
        <v>44</v>
      </c>
      <c r="L1907" t="s">
        <v>29</v>
      </c>
      <c r="M1907" t="s">
        <v>30</v>
      </c>
      <c r="N1907" t="s">
        <v>27</v>
      </c>
      <c r="O1907" t="s">
        <v>28</v>
      </c>
      <c r="P1907" t="s">
        <v>43</v>
      </c>
      <c r="Q1907" t="s">
        <v>44</v>
      </c>
      <c r="R1907" s="1">
        <v>44323.626759259256</v>
      </c>
      <c r="S1907" s="1">
        <v>44323.626759259256</v>
      </c>
      <c r="T1907">
        <v>0</v>
      </c>
      <c r="U1907">
        <v>0</v>
      </c>
      <c r="V1907" s="2">
        <v>0</v>
      </c>
      <c r="W1907">
        <v>0</v>
      </c>
      <c r="X1907" t="s">
        <v>37</v>
      </c>
      <c r="Y1907">
        <v>0</v>
      </c>
      <c r="Z1907" t="s">
        <v>37</v>
      </c>
      <c r="AA1907">
        <v>0</v>
      </c>
      <c r="AB1907" t="s">
        <v>37</v>
      </c>
      <c r="AC1907">
        <v>0</v>
      </c>
      <c r="AD1907" t="s">
        <v>31</v>
      </c>
      <c r="AE1907">
        <v>0</v>
      </c>
      <c r="AF1907" t="s">
        <v>31</v>
      </c>
      <c r="AG1907">
        <v>0</v>
      </c>
      <c r="AH1907" t="s">
        <v>31</v>
      </c>
      <c r="AI1907">
        <v>0</v>
      </c>
      <c r="AJ1907" t="s">
        <v>31</v>
      </c>
      <c r="AK1907">
        <v>0</v>
      </c>
      <c r="AL1907" t="s">
        <v>31</v>
      </c>
      <c r="AM1907">
        <v>0</v>
      </c>
      <c r="AN1907" t="s">
        <v>31</v>
      </c>
      <c r="AO1907">
        <v>0</v>
      </c>
      <c r="AP1907" t="s">
        <v>31</v>
      </c>
      <c r="AQ1907">
        <v>0</v>
      </c>
    </row>
    <row r="1908" spans="1:43" x14ac:dyDescent="0.2">
      <c r="A1908" t="s">
        <v>381</v>
      </c>
      <c r="B1908" s="3">
        <v>44334</v>
      </c>
      <c r="C1908">
        <v>98</v>
      </c>
      <c r="D1908" t="s">
        <v>383</v>
      </c>
      <c r="E1908" t="s">
        <v>77</v>
      </c>
      <c r="F1908" s="9" t="s">
        <v>229</v>
      </c>
      <c r="G1908" t="s">
        <v>26</v>
      </c>
      <c r="H1908" t="s">
        <v>27</v>
      </c>
      <c r="I1908" t="s">
        <v>28</v>
      </c>
      <c r="J1908" t="s">
        <v>43</v>
      </c>
      <c r="K1908" t="s">
        <v>44</v>
      </c>
      <c r="L1908" t="s">
        <v>29</v>
      </c>
      <c r="M1908" t="s">
        <v>30</v>
      </c>
      <c r="N1908" t="s">
        <v>27</v>
      </c>
      <c r="O1908" t="s">
        <v>28</v>
      </c>
      <c r="P1908" t="s">
        <v>43</v>
      </c>
      <c r="Q1908" t="s">
        <v>44</v>
      </c>
      <c r="R1908" s="1">
        <v>44334.464236111111</v>
      </c>
      <c r="S1908" s="1">
        <v>44334.466620370367</v>
      </c>
      <c r="T1908">
        <v>0</v>
      </c>
      <c r="U1908">
        <v>5</v>
      </c>
      <c r="V1908" s="2">
        <v>0</v>
      </c>
      <c r="W1908">
        <v>0</v>
      </c>
      <c r="X1908" t="s">
        <v>44</v>
      </c>
      <c r="Y1908">
        <v>0</v>
      </c>
      <c r="Z1908" t="s">
        <v>37</v>
      </c>
      <c r="AA1908">
        <v>0</v>
      </c>
      <c r="AB1908" t="s">
        <v>44</v>
      </c>
      <c r="AC1908">
        <v>0</v>
      </c>
      <c r="AD1908" t="s">
        <v>44</v>
      </c>
      <c r="AE1908">
        <v>0</v>
      </c>
      <c r="AF1908" t="s">
        <v>61</v>
      </c>
      <c r="AG1908">
        <v>0</v>
      </c>
      <c r="AH1908" t="s">
        <v>44</v>
      </c>
      <c r="AI1908">
        <v>0</v>
      </c>
      <c r="AJ1908" t="s">
        <v>31</v>
      </c>
      <c r="AK1908">
        <v>0</v>
      </c>
      <c r="AL1908" t="s">
        <v>31</v>
      </c>
      <c r="AM1908">
        <v>0</v>
      </c>
      <c r="AN1908" t="s">
        <v>31</v>
      </c>
      <c r="AO1908">
        <v>0</v>
      </c>
      <c r="AP1908" t="s">
        <v>31</v>
      </c>
      <c r="AQ1908">
        <v>0</v>
      </c>
    </row>
    <row r="1909" spans="1:43" x14ac:dyDescent="0.2">
      <c r="A1909" t="s">
        <v>381</v>
      </c>
      <c r="B1909" s="3">
        <v>44342</v>
      </c>
      <c r="C1909">
        <v>112</v>
      </c>
      <c r="D1909" t="s">
        <v>394</v>
      </c>
      <c r="E1909" t="s">
        <v>77</v>
      </c>
      <c r="F1909" s="9" t="s">
        <v>229</v>
      </c>
      <c r="G1909" t="s">
        <v>26</v>
      </c>
      <c r="H1909" t="s">
        <v>27</v>
      </c>
      <c r="I1909" t="s">
        <v>28</v>
      </c>
      <c r="J1909" t="s">
        <v>43</v>
      </c>
      <c r="K1909" t="s">
        <v>44</v>
      </c>
      <c r="L1909" t="s">
        <v>29</v>
      </c>
      <c r="M1909" t="s">
        <v>30</v>
      </c>
      <c r="N1909" t="s">
        <v>27</v>
      </c>
      <c r="O1909" t="s">
        <v>28</v>
      </c>
      <c r="P1909" t="s">
        <v>43</v>
      </c>
      <c r="Q1909" t="s">
        <v>44</v>
      </c>
      <c r="R1909" s="1">
        <v>44342.482800925929</v>
      </c>
      <c r="S1909" s="1">
        <v>44342.483460648145</v>
      </c>
      <c r="T1909">
        <v>0</v>
      </c>
      <c r="U1909">
        <v>3</v>
      </c>
      <c r="V1909" s="2">
        <v>0</v>
      </c>
      <c r="W1909">
        <v>0</v>
      </c>
      <c r="X1909" t="s">
        <v>44</v>
      </c>
      <c r="Y1909">
        <v>0</v>
      </c>
      <c r="Z1909" t="s">
        <v>44</v>
      </c>
      <c r="AA1909">
        <v>0</v>
      </c>
      <c r="AB1909" t="s">
        <v>44</v>
      </c>
      <c r="AC1909">
        <v>0</v>
      </c>
      <c r="AD1909" t="s">
        <v>31</v>
      </c>
      <c r="AE1909">
        <v>0</v>
      </c>
      <c r="AF1909" t="s">
        <v>31</v>
      </c>
      <c r="AG1909">
        <v>0</v>
      </c>
      <c r="AH1909" t="s">
        <v>31</v>
      </c>
      <c r="AI1909">
        <v>0</v>
      </c>
      <c r="AJ1909" t="s">
        <v>31</v>
      </c>
      <c r="AK1909">
        <v>0</v>
      </c>
      <c r="AL1909" t="s">
        <v>31</v>
      </c>
      <c r="AM1909">
        <v>0</v>
      </c>
      <c r="AN1909" t="s">
        <v>31</v>
      </c>
      <c r="AO1909">
        <v>0</v>
      </c>
      <c r="AP1909" t="s">
        <v>31</v>
      </c>
      <c r="AQ1909">
        <v>0</v>
      </c>
    </row>
    <row r="1910" spans="1:43" x14ac:dyDescent="0.2">
      <c r="A1910" t="s">
        <v>381</v>
      </c>
      <c r="B1910" s="3">
        <v>44344</v>
      </c>
      <c r="C1910">
        <v>116</v>
      </c>
      <c r="D1910" t="s">
        <v>390</v>
      </c>
      <c r="E1910" t="s">
        <v>77</v>
      </c>
      <c r="F1910" s="9" t="s">
        <v>229</v>
      </c>
      <c r="G1910" t="s">
        <v>26</v>
      </c>
      <c r="H1910" t="s">
        <v>27</v>
      </c>
      <c r="I1910" t="s">
        <v>28</v>
      </c>
      <c r="J1910" t="s">
        <v>43</v>
      </c>
      <c r="K1910" t="s">
        <v>44</v>
      </c>
      <c r="L1910" t="s">
        <v>29</v>
      </c>
      <c r="M1910" t="s">
        <v>30</v>
      </c>
      <c r="N1910" t="s">
        <v>27</v>
      </c>
      <c r="O1910" t="s">
        <v>28</v>
      </c>
      <c r="P1910" t="s">
        <v>43</v>
      </c>
      <c r="Q1910" t="s">
        <v>44</v>
      </c>
      <c r="R1910" s="1">
        <v>44344.465057870373</v>
      </c>
      <c r="S1910" s="1">
        <v>44344.465081018519</v>
      </c>
      <c r="T1910">
        <v>0</v>
      </c>
      <c r="U1910">
        <v>1</v>
      </c>
      <c r="V1910" s="2">
        <v>0</v>
      </c>
      <c r="W1910">
        <v>0</v>
      </c>
      <c r="X1910" t="s">
        <v>44</v>
      </c>
      <c r="Y1910">
        <v>0</v>
      </c>
      <c r="Z1910" t="s">
        <v>37</v>
      </c>
      <c r="AA1910">
        <v>0</v>
      </c>
      <c r="AB1910" t="s">
        <v>37</v>
      </c>
      <c r="AC1910">
        <v>0</v>
      </c>
      <c r="AD1910" t="s">
        <v>37</v>
      </c>
      <c r="AE1910">
        <v>0</v>
      </c>
      <c r="AF1910" t="s">
        <v>31</v>
      </c>
      <c r="AG1910">
        <v>0</v>
      </c>
      <c r="AH1910" t="s">
        <v>31</v>
      </c>
      <c r="AI1910">
        <v>0</v>
      </c>
      <c r="AJ1910" t="s">
        <v>31</v>
      </c>
      <c r="AK1910">
        <v>0</v>
      </c>
      <c r="AL1910" t="s">
        <v>31</v>
      </c>
      <c r="AM1910">
        <v>0</v>
      </c>
      <c r="AN1910" t="s">
        <v>31</v>
      </c>
      <c r="AO1910">
        <v>0</v>
      </c>
      <c r="AP1910" t="s">
        <v>31</v>
      </c>
      <c r="AQ1910">
        <v>0</v>
      </c>
    </row>
    <row r="1911" spans="1:43" x14ac:dyDescent="0.2">
      <c r="A1911" t="s">
        <v>381</v>
      </c>
      <c r="B1911" s="3">
        <v>44351</v>
      </c>
      <c r="C1911">
        <v>124</v>
      </c>
      <c r="D1911" t="s">
        <v>390</v>
      </c>
      <c r="E1911" t="s">
        <v>77</v>
      </c>
      <c r="F1911" s="9" t="s">
        <v>229</v>
      </c>
      <c r="G1911" t="s">
        <v>26</v>
      </c>
      <c r="H1911" t="s">
        <v>27</v>
      </c>
      <c r="I1911" t="s">
        <v>28</v>
      </c>
      <c r="J1911" t="s">
        <v>43</v>
      </c>
      <c r="K1911" t="s">
        <v>44</v>
      </c>
      <c r="L1911" t="s">
        <v>29</v>
      </c>
      <c r="M1911" t="s">
        <v>30</v>
      </c>
      <c r="N1911" t="s">
        <v>27</v>
      </c>
      <c r="O1911" t="s">
        <v>28</v>
      </c>
      <c r="P1911" t="s">
        <v>43</v>
      </c>
      <c r="Q1911" t="s">
        <v>44</v>
      </c>
      <c r="R1911" s="1">
        <v>44351.45416666667</v>
      </c>
      <c r="S1911" s="1">
        <v>44351.455335648148</v>
      </c>
      <c r="T1911">
        <v>0</v>
      </c>
      <c r="U1911">
        <v>5</v>
      </c>
      <c r="V1911" s="2">
        <v>0</v>
      </c>
      <c r="W1911">
        <v>0</v>
      </c>
      <c r="X1911" t="s">
        <v>44</v>
      </c>
      <c r="Y1911">
        <v>0</v>
      </c>
      <c r="Z1911" t="s">
        <v>44</v>
      </c>
      <c r="AA1911">
        <v>0</v>
      </c>
      <c r="AB1911" t="s">
        <v>44</v>
      </c>
      <c r="AC1911">
        <v>0</v>
      </c>
      <c r="AD1911" t="s">
        <v>44</v>
      </c>
      <c r="AE1911">
        <v>0</v>
      </c>
      <c r="AF1911" t="s">
        <v>44</v>
      </c>
      <c r="AG1911">
        <v>0</v>
      </c>
      <c r="AH1911" t="s">
        <v>31</v>
      </c>
      <c r="AI1911">
        <v>0</v>
      </c>
      <c r="AJ1911" t="s">
        <v>31</v>
      </c>
      <c r="AK1911">
        <v>0</v>
      </c>
      <c r="AL1911" t="s">
        <v>31</v>
      </c>
      <c r="AM1911">
        <v>0</v>
      </c>
      <c r="AN1911" t="s">
        <v>31</v>
      </c>
      <c r="AO1911">
        <v>0</v>
      </c>
      <c r="AP1911" t="s">
        <v>31</v>
      </c>
      <c r="AQ1911">
        <v>0</v>
      </c>
    </row>
    <row r="1912" spans="1:43" x14ac:dyDescent="0.2">
      <c r="A1912" t="s">
        <v>381</v>
      </c>
      <c r="B1912" s="3">
        <v>44354</v>
      </c>
      <c r="C1912">
        <v>127</v>
      </c>
      <c r="D1912" t="s">
        <v>383</v>
      </c>
      <c r="E1912" t="s">
        <v>77</v>
      </c>
      <c r="F1912" s="9" t="s">
        <v>229</v>
      </c>
      <c r="G1912" t="s">
        <v>26</v>
      </c>
      <c r="H1912" t="s">
        <v>27</v>
      </c>
      <c r="I1912" t="s">
        <v>28</v>
      </c>
      <c r="J1912" t="s">
        <v>43</v>
      </c>
      <c r="K1912" t="s">
        <v>44</v>
      </c>
      <c r="L1912" t="s">
        <v>29</v>
      </c>
      <c r="M1912" t="s">
        <v>30</v>
      </c>
      <c r="N1912" t="s">
        <v>27</v>
      </c>
      <c r="O1912" t="s">
        <v>28</v>
      </c>
      <c r="P1912" t="s">
        <v>43</v>
      </c>
      <c r="Q1912" t="s">
        <v>44</v>
      </c>
      <c r="R1912" s="1">
        <v>44354.537870370368</v>
      </c>
      <c r="S1912" s="1">
        <v>44354.538460648146</v>
      </c>
      <c r="T1912">
        <v>0</v>
      </c>
      <c r="U1912">
        <v>0</v>
      </c>
      <c r="V1912" s="2">
        <v>0</v>
      </c>
      <c r="W1912">
        <v>0</v>
      </c>
      <c r="X1912" t="s">
        <v>37</v>
      </c>
      <c r="Y1912">
        <v>0</v>
      </c>
      <c r="Z1912" t="s">
        <v>31</v>
      </c>
      <c r="AA1912">
        <v>0</v>
      </c>
      <c r="AB1912" t="s">
        <v>31</v>
      </c>
      <c r="AC1912">
        <v>0</v>
      </c>
      <c r="AD1912" t="s">
        <v>31</v>
      </c>
      <c r="AE1912">
        <v>0</v>
      </c>
      <c r="AF1912" t="s">
        <v>31</v>
      </c>
      <c r="AG1912">
        <v>0</v>
      </c>
      <c r="AH1912" t="s">
        <v>31</v>
      </c>
      <c r="AI1912">
        <v>0</v>
      </c>
      <c r="AJ1912" t="s">
        <v>31</v>
      </c>
      <c r="AK1912">
        <v>0</v>
      </c>
      <c r="AL1912" t="s">
        <v>31</v>
      </c>
      <c r="AM1912">
        <v>0</v>
      </c>
      <c r="AN1912" t="s">
        <v>31</v>
      </c>
      <c r="AO1912">
        <v>0</v>
      </c>
      <c r="AP1912" t="s">
        <v>31</v>
      </c>
      <c r="AQ1912">
        <v>0</v>
      </c>
    </row>
    <row r="1913" spans="1:43" x14ac:dyDescent="0.2">
      <c r="A1913" t="s">
        <v>381</v>
      </c>
      <c r="B1913" s="3">
        <v>44355</v>
      </c>
      <c r="C1913">
        <v>129</v>
      </c>
      <c r="D1913" t="s">
        <v>385</v>
      </c>
      <c r="E1913" t="s">
        <v>77</v>
      </c>
      <c r="F1913" s="9" t="s">
        <v>229</v>
      </c>
      <c r="G1913" t="s">
        <v>26</v>
      </c>
      <c r="H1913" t="s">
        <v>27</v>
      </c>
      <c r="I1913" t="s">
        <v>28</v>
      </c>
      <c r="J1913" t="s">
        <v>43</v>
      </c>
      <c r="K1913" t="s">
        <v>44</v>
      </c>
      <c r="L1913" t="s">
        <v>29</v>
      </c>
      <c r="M1913" t="s">
        <v>30</v>
      </c>
      <c r="N1913" t="s">
        <v>27</v>
      </c>
      <c r="O1913" t="s">
        <v>28</v>
      </c>
      <c r="P1913" t="s">
        <v>43</v>
      </c>
      <c r="Q1913" t="s">
        <v>44</v>
      </c>
      <c r="R1913" s="1">
        <v>44355.631354166668</v>
      </c>
      <c r="S1913" s="1">
        <v>44355.6327662037</v>
      </c>
      <c r="T1913">
        <v>0</v>
      </c>
      <c r="U1913">
        <v>5</v>
      </c>
      <c r="V1913" s="2">
        <v>0</v>
      </c>
      <c r="W1913">
        <v>0</v>
      </c>
      <c r="X1913" t="s">
        <v>44</v>
      </c>
      <c r="Y1913">
        <v>0</v>
      </c>
      <c r="Z1913" t="s">
        <v>44</v>
      </c>
      <c r="AA1913">
        <v>0</v>
      </c>
      <c r="AB1913" t="s">
        <v>81</v>
      </c>
      <c r="AC1913">
        <v>0</v>
      </c>
      <c r="AD1913" t="s">
        <v>45</v>
      </c>
      <c r="AE1913">
        <v>0</v>
      </c>
      <c r="AF1913" t="s">
        <v>61</v>
      </c>
      <c r="AG1913">
        <v>0</v>
      </c>
      <c r="AH1913" t="s">
        <v>31</v>
      </c>
      <c r="AI1913">
        <v>0</v>
      </c>
      <c r="AJ1913" t="s">
        <v>31</v>
      </c>
      <c r="AK1913">
        <v>0</v>
      </c>
      <c r="AL1913" t="s">
        <v>31</v>
      </c>
      <c r="AM1913">
        <v>0</v>
      </c>
      <c r="AN1913" t="s">
        <v>31</v>
      </c>
      <c r="AO1913">
        <v>0</v>
      </c>
      <c r="AP1913" t="s">
        <v>31</v>
      </c>
      <c r="AQ1913">
        <v>0</v>
      </c>
    </row>
    <row r="1914" spans="1:43" x14ac:dyDescent="0.2">
      <c r="A1914" t="s">
        <v>381</v>
      </c>
      <c r="B1914" s="3">
        <v>44356</v>
      </c>
      <c r="C1914">
        <v>131</v>
      </c>
      <c r="D1914" t="s">
        <v>383</v>
      </c>
      <c r="E1914" t="s">
        <v>77</v>
      </c>
      <c r="F1914" s="9" t="s">
        <v>229</v>
      </c>
      <c r="G1914" t="s">
        <v>26</v>
      </c>
      <c r="H1914" t="s">
        <v>27</v>
      </c>
      <c r="I1914" t="s">
        <v>28</v>
      </c>
      <c r="J1914" t="s">
        <v>43</v>
      </c>
      <c r="K1914" t="s">
        <v>44</v>
      </c>
      <c r="L1914" t="s">
        <v>29</v>
      </c>
      <c r="M1914" t="s">
        <v>30</v>
      </c>
      <c r="N1914" t="s">
        <v>27</v>
      </c>
      <c r="O1914" t="s">
        <v>28</v>
      </c>
      <c r="P1914" t="s">
        <v>43</v>
      </c>
      <c r="Q1914" t="s">
        <v>44</v>
      </c>
      <c r="R1914" s="1">
        <v>44356.628750000003</v>
      </c>
      <c r="S1914" s="1">
        <v>44356.628888888888</v>
      </c>
      <c r="T1914">
        <v>0</v>
      </c>
      <c r="U1914">
        <v>1</v>
      </c>
      <c r="V1914" s="2">
        <v>0</v>
      </c>
      <c r="W1914">
        <v>0</v>
      </c>
      <c r="X1914" t="s">
        <v>44</v>
      </c>
      <c r="Y1914">
        <v>0</v>
      </c>
      <c r="Z1914" t="s">
        <v>37</v>
      </c>
      <c r="AA1914">
        <v>0</v>
      </c>
      <c r="AB1914" t="s">
        <v>37</v>
      </c>
      <c r="AC1914">
        <v>0</v>
      </c>
      <c r="AD1914" t="s">
        <v>31</v>
      </c>
      <c r="AE1914">
        <v>0</v>
      </c>
      <c r="AF1914" t="s">
        <v>31</v>
      </c>
      <c r="AG1914">
        <v>0</v>
      </c>
      <c r="AH1914" t="s">
        <v>31</v>
      </c>
      <c r="AI1914">
        <v>0</v>
      </c>
      <c r="AJ1914" t="s">
        <v>31</v>
      </c>
      <c r="AK1914">
        <v>0</v>
      </c>
      <c r="AL1914" t="s">
        <v>31</v>
      </c>
      <c r="AM1914">
        <v>0</v>
      </c>
      <c r="AN1914" t="s">
        <v>31</v>
      </c>
      <c r="AO1914">
        <v>0</v>
      </c>
      <c r="AP1914" t="s">
        <v>31</v>
      </c>
      <c r="AQ1914">
        <v>0</v>
      </c>
    </row>
    <row r="1915" spans="1:43" x14ac:dyDescent="0.2">
      <c r="A1915" t="s">
        <v>381</v>
      </c>
      <c r="B1915" s="3">
        <v>44358</v>
      </c>
      <c r="C1915">
        <v>133</v>
      </c>
      <c r="D1915" t="s">
        <v>390</v>
      </c>
      <c r="E1915" t="s">
        <v>77</v>
      </c>
      <c r="F1915" s="9" t="s">
        <v>229</v>
      </c>
      <c r="G1915" t="s">
        <v>26</v>
      </c>
      <c r="H1915" t="s">
        <v>27</v>
      </c>
      <c r="I1915" t="s">
        <v>28</v>
      </c>
      <c r="J1915" t="s">
        <v>43</v>
      </c>
      <c r="K1915" t="s">
        <v>44</v>
      </c>
      <c r="L1915" t="s">
        <v>29</v>
      </c>
      <c r="M1915" t="s">
        <v>30</v>
      </c>
      <c r="N1915" t="s">
        <v>27</v>
      </c>
      <c r="O1915" t="s">
        <v>28</v>
      </c>
      <c r="P1915" t="s">
        <v>43</v>
      </c>
      <c r="Q1915" t="s">
        <v>44</v>
      </c>
      <c r="R1915" s="1">
        <v>44358.461516203701</v>
      </c>
      <c r="S1915" s="1">
        <v>44358.461805555555</v>
      </c>
      <c r="T1915">
        <v>1</v>
      </c>
      <c r="U1915">
        <v>1</v>
      </c>
      <c r="V1915" s="2">
        <v>1</v>
      </c>
      <c r="W1915">
        <v>0</v>
      </c>
      <c r="X1915" t="s">
        <v>37</v>
      </c>
      <c r="Y1915">
        <v>0</v>
      </c>
      <c r="Z1915" t="s">
        <v>30</v>
      </c>
      <c r="AA1915">
        <v>0</v>
      </c>
      <c r="AB1915" t="s">
        <v>31</v>
      </c>
      <c r="AC1915">
        <v>0</v>
      </c>
      <c r="AD1915" t="s">
        <v>31</v>
      </c>
      <c r="AE1915">
        <v>0</v>
      </c>
      <c r="AF1915" t="s">
        <v>31</v>
      </c>
      <c r="AG1915">
        <v>0</v>
      </c>
      <c r="AH1915" t="s">
        <v>31</v>
      </c>
      <c r="AI1915">
        <v>0</v>
      </c>
      <c r="AJ1915" t="s">
        <v>31</v>
      </c>
      <c r="AK1915">
        <v>0</v>
      </c>
      <c r="AL1915" t="s">
        <v>31</v>
      </c>
      <c r="AM1915">
        <v>0</v>
      </c>
      <c r="AN1915" t="s">
        <v>31</v>
      </c>
      <c r="AO1915">
        <v>0</v>
      </c>
      <c r="AP1915" t="s">
        <v>31</v>
      </c>
      <c r="AQ1915">
        <v>0</v>
      </c>
    </row>
    <row r="1916" spans="1:43" x14ac:dyDescent="0.2">
      <c r="A1916" t="s">
        <v>381</v>
      </c>
      <c r="B1916" s="3">
        <v>44238</v>
      </c>
      <c r="C1916">
        <v>6</v>
      </c>
      <c r="D1916" t="s">
        <v>385</v>
      </c>
      <c r="E1916" t="s">
        <v>77</v>
      </c>
      <c r="F1916" s="9" t="s">
        <v>144</v>
      </c>
      <c r="G1916" t="s">
        <v>26</v>
      </c>
      <c r="H1916" t="s">
        <v>108</v>
      </c>
      <c r="I1916" t="s">
        <v>109</v>
      </c>
      <c r="J1916" t="s">
        <v>29</v>
      </c>
      <c r="K1916" t="s">
        <v>30</v>
      </c>
      <c r="L1916" t="s">
        <v>29</v>
      </c>
      <c r="M1916" t="s">
        <v>30</v>
      </c>
      <c r="N1916" t="s">
        <v>108</v>
      </c>
      <c r="O1916" t="s">
        <v>109</v>
      </c>
      <c r="P1916" t="s">
        <v>29</v>
      </c>
      <c r="Q1916" t="s">
        <v>30</v>
      </c>
      <c r="R1916" s="1">
        <v>44238.672777777778</v>
      </c>
      <c r="S1916" s="1">
        <v>44238.674201388887</v>
      </c>
      <c r="T1916">
        <v>0</v>
      </c>
      <c r="U1916">
        <v>5</v>
      </c>
      <c r="V1916" s="2">
        <v>0</v>
      </c>
      <c r="W1916">
        <v>0</v>
      </c>
      <c r="X1916" t="s">
        <v>44</v>
      </c>
      <c r="Y1916">
        <v>0</v>
      </c>
      <c r="Z1916" t="s">
        <v>44</v>
      </c>
      <c r="AA1916">
        <v>0</v>
      </c>
      <c r="AB1916" t="s">
        <v>81</v>
      </c>
      <c r="AC1916">
        <v>0</v>
      </c>
      <c r="AD1916" t="s">
        <v>45</v>
      </c>
      <c r="AE1916">
        <v>0</v>
      </c>
      <c r="AF1916" t="s">
        <v>61</v>
      </c>
      <c r="AG1916">
        <v>0</v>
      </c>
      <c r="AH1916" t="s">
        <v>31</v>
      </c>
      <c r="AI1916">
        <v>0</v>
      </c>
      <c r="AJ1916" t="s">
        <v>31</v>
      </c>
      <c r="AK1916">
        <v>0</v>
      </c>
      <c r="AL1916" t="s">
        <v>31</v>
      </c>
      <c r="AM1916">
        <v>0</v>
      </c>
      <c r="AN1916" t="s">
        <v>31</v>
      </c>
      <c r="AO1916">
        <v>0</v>
      </c>
      <c r="AP1916" t="s">
        <v>31</v>
      </c>
      <c r="AQ1916">
        <v>0</v>
      </c>
    </row>
    <row r="1917" spans="1:43" x14ac:dyDescent="0.2">
      <c r="A1917" t="s">
        <v>381</v>
      </c>
      <c r="B1917" s="3">
        <v>44243</v>
      </c>
      <c r="C1917">
        <v>10</v>
      </c>
      <c r="D1917" t="s">
        <v>385</v>
      </c>
      <c r="E1917" t="s">
        <v>77</v>
      </c>
      <c r="F1917" s="9" t="s">
        <v>144</v>
      </c>
      <c r="G1917" t="s">
        <v>26</v>
      </c>
      <c r="H1917" t="s">
        <v>108</v>
      </c>
      <c r="I1917" t="s">
        <v>109</v>
      </c>
      <c r="J1917" t="s">
        <v>29</v>
      </c>
      <c r="K1917" t="s">
        <v>30</v>
      </c>
      <c r="L1917" t="s">
        <v>29</v>
      </c>
      <c r="M1917" t="s">
        <v>30</v>
      </c>
      <c r="N1917" t="s">
        <v>108</v>
      </c>
      <c r="O1917" t="s">
        <v>109</v>
      </c>
      <c r="P1917" t="s">
        <v>29</v>
      </c>
      <c r="Q1917" t="s">
        <v>30</v>
      </c>
      <c r="R1917" s="1">
        <v>44243.645057870373</v>
      </c>
      <c r="S1917" s="1">
        <v>44243.647569444445</v>
      </c>
      <c r="T1917">
        <v>0</v>
      </c>
      <c r="U1917">
        <v>5</v>
      </c>
      <c r="V1917" s="2">
        <v>0</v>
      </c>
      <c r="W1917">
        <v>0</v>
      </c>
      <c r="X1917" t="s">
        <v>44</v>
      </c>
      <c r="Y1917">
        <v>0</v>
      </c>
      <c r="Z1917" t="s">
        <v>44</v>
      </c>
      <c r="AA1917">
        <v>0</v>
      </c>
      <c r="AB1917" t="s">
        <v>81</v>
      </c>
      <c r="AC1917">
        <v>0</v>
      </c>
      <c r="AD1917" t="s">
        <v>45</v>
      </c>
      <c r="AE1917">
        <v>0</v>
      </c>
      <c r="AF1917" t="s">
        <v>61</v>
      </c>
      <c r="AG1917">
        <v>0</v>
      </c>
      <c r="AH1917" t="s">
        <v>31</v>
      </c>
      <c r="AI1917">
        <v>0</v>
      </c>
      <c r="AJ1917" t="s">
        <v>31</v>
      </c>
      <c r="AK1917">
        <v>0</v>
      </c>
      <c r="AL1917" t="s">
        <v>31</v>
      </c>
      <c r="AM1917">
        <v>0</v>
      </c>
      <c r="AN1917" t="s">
        <v>31</v>
      </c>
      <c r="AO1917">
        <v>0</v>
      </c>
      <c r="AP1917" t="s">
        <v>31</v>
      </c>
      <c r="AQ1917">
        <v>0</v>
      </c>
    </row>
    <row r="1918" spans="1:43" x14ac:dyDescent="0.2">
      <c r="A1918" t="s">
        <v>381</v>
      </c>
      <c r="B1918" s="3">
        <v>44299</v>
      </c>
      <c r="C1918">
        <v>59</v>
      </c>
      <c r="D1918" t="s">
        <v>385</v>
      </c>
      <c r="E1918" t="s">
        <v>77</v>
      </c>
      <c r="F1918" s="9" t="s">
        <v>221</v>
      </c>
      <c r="G1918" t="s">
        <v>26</v>
      </c>
      <c r="H1918" t="s">
        <v>155</v>
      </c>
      <c r="I1918" t="s">
        <v>156</v>
      </c>
      <c r="J1918" t="s">
        <v>220</v>
      </c>
      <c r="K1918" t="s">
        <v>61</v>
      </c>
      <c r="L1918" t="s">
        <v>220</v>
      </c>
      <c r="M1918" t="s">
        <v>61</v>
      </c>
      <c r="N1918" t="s">
        <v>27</v>
      </c>
      <c r="O1918" t="s">
        <v>28</v>
      </c>
      <c r="P1918" t="s">
        <v>43</v>
      </c>
      <c r="Q1918" t="s">
        <v>44</v>
      </c>
      <c r="R1918" s="1">
        <v>44299.629317129627</v>
      </c>
      <c r="S1918" s="1">
        <v>44299.629780092589</v>
      </c>
      <c r="T1918">
        <v>5</v>
      </c>
      <c r="U1918">
        <v>5</v>
      </c>
      <c r="V1918" s="2">
        <v>1</v>
      </c>
      <c r="W1918">
        <v>0</v>
      </c>
      <c r="X1918" t="s">
        <v>61</v>
      </c>
      <c r="Y1918">
        <v>0</v>
      </c>
      <c r="Z1918" t="s">
        <v>61</v>
      </c>
      <c r="AA1918">
        <v>0</v>
      </c>
      <c r="AB1918" t="s">
        <v>61</v>
      </c>
      <c r="AC1918">
        <v>0</v>
      </c>
      <c r="AD1918" t="s">
        <v>61</v>
      </c>
      <c r="AE1918">
        <v>0</v>
      </c>
      <c r="AF1918" t="s">
        <v>61</v>
      </c>
      <c r="AG1918">
        <v>0</v>
      </c>
      <c r="AH1918" t="s">
        <v>31</v>
      </c>
      <c r="AI1918">
        <v>0</v>
      </c>
      <c r="AJ1918" t="s">
        <v>31</v>
      </c>
      <c r="AK1918">
        <v>0</v>
      </c>
      <c r="AL1918" t="s">
        <v>31</v>
      </c>
      <c r="AM1918">
        <v>0</v>
      </c>
      <c r="AN1918" t="s">
        <v>31</v>
      </c>
      <c r="AO1918">
        <v>0</v>
      </c>
      <c r="AP1918" t="s">
        <v>31</v>
      </c>
      <c r="AQ1918">
        <v>0</v>
      </c>
    </row>
    <row r="1919" spans="1:43" x14ac:dyDescent="0.2">
      <c r="A1919" t="s">
        <v>381</v>
      </c>
      <c r="B1919" s="3">
        <v>44309</v>
      </c>
      <c r="C1919">
        <v>70</v>
      </c>
      <c r="D1919" t="s">
        <v>388</v>
      </c>
      <c r="E1919" t="s">
        <v>77</v>
      </c>
      <c r="F1919" s="9" t="s">
        <v>221</v>
      </c>
      <c r="G1919" t="s">
        <v>26</v>
      </c>
      <c r="H1919" t="s">
        <v>27</v>
      </c>
      <c r="I1919" t="s">
        <v>28</v>
      </c>
      <c r="J1919" t="s">
        <v>43</v>
      </c>
      <c r="K1919" t="s">
        <v>44</v>
      </c>
      <c r="L1919" t="s">
        <v>29</v>
      </c>
      <c r="M1919" t="s">
        <v>30</v>
      </c>
      <c r="N1919" t="s">
        <v>27</v>
      </c>
      <c r="O1919" t="s">
        <v>28</v>
      </c>
      <c r="P1919" t="s">
        <v>43</v>
      </c>
      <c r="Q1919" t="s">
        <v>44</v>
      </c>
      <c r="R1919" s="1">
        <v>44309.461550925924</v>
      </c>
      <c r="S1919" s="1">
        <v>44309.461550925924</v>
      </c>
      <c r="T1919">
        <v>0</v>
      </c>
      <c r="U1919">
        <v>0</v>
      </c>
      <c r="V1919" s="2">
        <v>0</v>
      </c>
      <c r="W1919">
        <v>0</v>
      </c>
      <c r="X1919" t="s">
        <v>37</v>
      </c>
      <c r="Y1919">
        <v>0</v>
      </c>
      <c r="Z1919" t="s">
        <v>31</v>
      </c>
      <c r="AA1919">
        <v>0</v>
      </c>
      <c r="AB1919" t="s">
        <v>31</v>
      </c>
      <c r="AC1919">
        <v>0</v>
      </c>
      <c r="AD1919" t="s">
        <v>31</v>
      </c>
      <c r="AE1919">
        <v>0</v>
      </c>
      <c r="AF1919" t="s">
        <v>31</v>
      </c>
      <c r="AG1919">
        <v>0</v>
      </c>
      <c r="AH1919" t="s">
        <v>31</v>
      </c>
      <c r="AI1919">
        <v>0</v>
      </c>
      <c r="AJ1919" t="s">
        <v>31</v>
      </c>
      <c r="AK1919">
        <v>0</v>
      </c>
      <c r="AL1919" t="s">
        <v>31</v>
      </c>
      <c r="AM1919">
        <v>0</v>
      </c>
      <c r="AN1919" t="s">
        <v>31</v>
      </c>
      <c r="AO1919">
        <v>0</v>
      </c>
      <c r="AP1919" t="s">
        <v>31</v>
      </c>
      <c r="AQ1919">
        <v>0</v>
      </c>
    </row>
    <row r="1920" spans="1:43" x14ac:dyDescent="0.2">
      <c r="A1920" t="s">
        <v>381</v>
      </c>
      <c r="B1920" s="3">
        <v>44319</v>
      </c>
      <c r="C1920">
        <v>84</v>
      </c>
      <c r="D1920" t="s">
        <v>390</v>
      </c>
      <c r="E1920" t="s">
        <v>77</v>
      </c>
      <c r="F1920" s="9" t="s">
        <v>221</v>
      </c>
      <c r="G1920" t="s">
        <v>26</v>
      </c>
      <c r="H1920" t="s">
        <v>27</v>
      </c>
      <c r="I1920" t="s">
        <v>28</v>
      </c>
      <c r="J1920" t="s">
        <v>43</v>
      </c>
      <c r="K1920" t="s">
        <v>44</v>
      </c>
      <c r="L1920" t="s">
        <v>29</v>
      </c>
      <c r="M1920" t="s">
        <v>30</v>
      </c>
      <c r="N1920" t="s">
        <v>27</v>
      </c>
      <c r="O1920" t="s">
        <v>28</v>
      </c>
      <c r="P1920" t="s">
        <v>43</v>
      </c>
      <c r="Q1920" t="s">
        <v>44</v>
      </c>
      <c r="R1920" s="1">
        <v>44319.424849537034</v>
      </c>
      <c r="S1920" s="1">
        <v>44319.425763888888</v>
      </c>
      <c r="T1920">
        <v>0</v>
      </c>
      <c r="U1920">
        <v>2</v>
      </c>
      <c r="V1920" s="2">
        <v>0</v>
      </c>
      <c r="W1920">
        <v>0</v>
      </c>
      <c r="X1920" t="s">
        <v>44</v>
      </c>
      <c r="Y1920">
        <v>0</v>
      </c>
      <c r="Z1920" t="s">
        <v>44</v>
      </c>
      <c r="AA1920">
        <v>0</v>
      </c>
      <c r="AB1920" t="s">
        <v>37</v>
      </c>
      <c r="AC1920">
        <v>0</v>
      </c>
      <c r="AD1920" t="s">
        <v>37</v>
      </c>
      <c r="AE1920">
        <v>0</v>
      </c>
      <c r="AF1920" t="s">
        <v>31</v>
      </c>
      <c r="AG1920">
        <v>0</v>
      </c>
      <c r="AH1920" t="s">
        <v>31</v>
      </c>
      <c r="AI1920">
        <v>0</v>
      </c>
      <c r="AJ1920" t="s">
        <v>31</v>
      </c>
      <c r="AK1920">
        <v>0</v>
      </c>
      <c r="AL1920" t="s">
        <v>31</v>
      </c>
      <c r="AM1920">
        <v>0</v>
      </c>
      <c r="AN1920" t="s">
        <v>31</v>
      </c>
      <c r="AO1920">
        <v>0</v>
      </c>
      <c r="AP1920" t="s">
        <v>31</v>
      </c>
      <c r="AQ1920">
        <v>0</v>
      </c>
    </row>
    <row r="1921" spans="1:43" x14ac:dyDescent="0.2">
      <c r="A1921" t="s">
        <v>381</v>
      </c>
      <c r="B1921" s="3">
        <v>44320</v>
      </c>
      <c r="C1921">
        <v>87</v>
      </c>
      <c r="D1921" t="s">
        <v>385</v>
      </c>
      <c r="E1921" t="s">
        <v>77</v>
      </c>
      <c r="F1921" s="9" t="s">
        <v>221</v>
      </c>
      <c r="G1921" t="s">
        <v>26</v>
      </c>
      <c r="H1921" t="s">
        <v>27</v>
      </c>
      <c r="I1921" t="s">
        <v>28</v>
      </c>
      <c r="J1921" t="s">
        <v>43</v>
      </c>
      <c r="K1921" t="s">
        <v>44</v>
      </c>
      <c r="L1921" t="s">
        <v>29</v>
      </c>
      <c r="M1921" t="s">
        <v>30</v>
      </c>
      <c r="N1921" t="s">
        <v>27</v>
      </c>
      <c r="O1921" t="s">
        <v>28</v>
      </c>
      <c r="P1921" t="s">
        <v>43</v>
      </c>
      <c r="Q1921" t="s">
        <v>44</v>
      </c>
      <c r="R1921" s="1">
        <v>44320.641736111109</v>
      </c>
      <c r="S1921" s="1">
        <v>44320.642627314817</v>
      </c>
      <c r="T1921">
        <v>0</v>
      </c>
      <c r="U1921">
        <v>0</v>
      </c>
      <c r="V1921" s="2">
        <v>0</v>
      </c>
      <c r="W1921">
        <v>0</v>
      </c>
      <c r="X1921" t="s">
        <v>37</v>
      </c>
      <c r="Y1921">
        <v>0</v>
      </c>
      <c r="Z1921" t="s">
        <v>37</v>
      </c>
      <c r="AA1921">
        <v>0</v>
      </c>
      <c r="AB1921" t="s">
        <v>37</v>
      </c>
      <c r="AC1921">
        <v>0</v>
      </c>
      <c r="AD1921" t="s">
        <v>31</v>
      </c>
      <c r="AE1921">
        <v>0</v>
      </c>
      <c r="AF1921" t="s">
        <v>31</v>
      </c>
      <c r="AG1921">
        <v>0</v>
      </c>
      <c r="AH1921" t="s">
        <v>31</v>
      </c>
      <c r="AI1921">
        <v>0</v>
      </c>
      <c r="AJ1921" t="s">
        <v>31</v>
      </c>
      <c r="AK1921">
        <v>0</v>
      </c>
      <c r="AL1921" t="s">
        <v>31</v>
      </c>
      <c r="AM1921">
        <v>0</v>
      </c>
      <c r="AN1921" t="s">
        <v>31</v>
      </c>
      <c r="AO1921">
        <v>0</v>
      </c>
      <c r="AP1921" t="s">
        <v>31</v>
      </c>
      <c r="AQ1921">
        <v>0</v>
      </c>
    </row>
    <row r="1922" spans="1:43" x14ac:dyDescent="0.2">
      <c r="A1922" t="s">
        <v>381</v>
      </c>
      <c r="B1922" s="3">
        <v>44334</v>
      </c>
      <c r="C1922">
        <v>99</v>
      </c>
      <c r="D1922" t="s">
        <v>385</v>
      </c>
      <c r="E1922" t="s">
        <v>77</v>
      </c>
      <c r="F1922" s="9" t="s">
        <v>221</v>
      </c>
      <c r="G1922" t="s">
        <v>26</v>
      </c>
      <c r="H1922" t="s">
        <v>27</v>
      </c>
      <c r="I1922" t="s">
        <v>28</v>
      </c>
      <c r="J1922" t="s">
        <v>43</v>
      </c>
      <c r="K1922" t="s">
        <v>44</v>
      </c>
      <c r="L1922" t="s">
        <v>29</v>
      </c>
      <c r="M1922" t="s">
        <v>30</v>
      </c>
      <c r="N1922" t="s">
        <v>27</v>
      </c>
      <c r="O1922" t="s">
        <v>28</v>
      </c>
      <c r="P1922" t="s">
        <v>43</v>
      </c>
      <c r="Q1922" t="s">
        <v>44</v>
      </c>
      <c r="R1922" s="1">
        <v>44334.62363425926</v>
      </c>
      <c r="S1922" s="1">
        <v>44334.624699074076</v>
      </c>
      <c r="T1922">
        <v>0</v>
      </c>
      <c r="U1922">
        <v>5</v>
      </c>
      <c r="V1922" s="2">
        <v>0</v>
      </c>
      <c r="W1922">
        <v>0</v>
      </c>
      <c r="X1922" t="s">
        <v>44</v>
      </c>
      <c r="Y1922">
        <v>0</v>
      </c>
      <c r="Z1922" t="s">
        <v>44</v>
      </c>
      <c r="AA1922">
        <v>0</v>
      </c>
      <c r="AB1922" t="s">
        <v>81</v>
      </c>
      <c r="AC1922">
        <v>0</v>
      </c>
      <c r="AD1922" t="s">
        <v>45</v>
      </c>
      <c r="AE1922">
        <v>0</v>
      </c>
      <c r="AF1922" t="s">
        <v>61</v>
      </c>
      <c r="AG1922">
        <v>0</v>
      </c>
      <c r="AH1922" t="s">
        <v>37</v>
      </c>
      <c r="AI1922">
        <v>0</v>
      </c>
      <c r="AJ1922" t="s">
        <v>31</v>
      </c>
      <c r="AK1922">
        <v>0</v>
      </c>
      <c r="AL1922" t="s">
        <v>31</v>
      </c>
      <c r="AM1922">
        <v>0</v>
      </c>
      <c r="AN1922" t="s">
        <v>31</v>
      </c>
      <c r="AO1922">
        <v>0</v>
      </c>
      <c r="AP1922" t="s">
        <v>31</v>
      </c>
      <c r="AQ1922">
        <v>0</v>
      </c>
    </row>
    <row r="1923" spans="1:43" x14ac:dyDescent="0.2">
      <c r="A1923" t="s">
        <v>381</v>
      </c>
      <c r="B1923" s="3">
        <v>44338</v>
      </c>
      <c r="C1923">
        <v>107</v>
      </c>
      <c r="D1923" t="s">
        <v>392</v>
      </c>
      <c r="E1923" t="s">
        <v>77</v>
      </c>
      <c r="F1923" s="9" t="s">
        <v>221</v>
      </c>
      <c r="G1923" t="s">
        <v>26</v>
      </c>
      <c r="H1923" t="s">
        <v>27</v>
      </c>
      <c r="I1923" t="s">
        <v>28</v>
      </c>
      <c r="J1923" t="s">
        <v>43</v>
      </c>
      <c r="K1923" t="s">
        <v>44</v>
      </c>
      <c r="L1923" t="s">
        <v>29</v>
      </c>
      <c r="M1923" t="s">
        <v>30</v>
      </c>
      <c r="N1923" t="s">
        <v>27</v>
      </c>
      <c r="O1923" t="s">
        <v>28</v>
      </c>
      <c r="P1923" t="s">
        <v>43</v>
      </c>
      <c r="Q1923" t="s">
        <v>44</v>
      </c>
      <c r="R1923" s="1">
        <v>44338.606932870367</v>
      </c>
      <c r="S1923" s="1">
        <v>44338.606944444444</v>
      </c>
      <c r="T1923">
        <v>0</v>
      </c>
      <c r="U1923">
        <v>0</v>
      </c>
      <c r="V1923" s="2">
        <v>0</v>
      </c>
      <c r="W1923">
        <v>0</v>
      </c>
      <c r="X1923" t="s">
        <v>37</v>
      </c>
      <c r="Y1923">
        <v>0</v>
      </c>
      <c r="Z1923" t="s">
        <v>37</v>
      </c>
      <c r="AA1923">
        <v>0</v>
      </c>
      <c r="AB1923" t="s">
        <v>31</v>
      </c>
      <c r="AC1923">
        <v>0</v>
      </c>
      <c r="AD1923" t="s">
        <v>31</v>
      </c>
      <c r="AE1923">
        <v>0</v>
      </c>
      <c r="AF1923" t="s">
        <v>31</v>
      </c>
      <c r="AG1923">
        <v>0</v>
      </c>
      <c r="AH1923" t="s">
        <v>31</v>
      </c>
      <c r="AI1923">
        <v>0</v>
      </c>
      <c r="AJ1923" t="s">
        <v>31</v>
      </c>
      <c r="AK1923">
        <v>0</v>
      </c>
      <c r="AL1923" t="s">
        <v>31</v>
      </c>
      <c r="AM1923">
        <v>0</v>
      </c>
      <c r="AN1923" t="s">
        <v>31</v>
      </c>
      <c r="AO1923">
        <v>0</v>
      </c>
      <c r="AP1923" t="s">
        <v>31</v>
      </c>
      <c r="AQ1923">
        <v>0</v>
      </c>
    </row>
    <row r="1924" spans="1:43" x14ac:dyDescent="0.2">
      <c r="A1924" t="s">
        <v>381</v>
      </c>
      <c r="B1924" s="3">
        <v>44344</v>
      </c>
      <c r="C1924">
        <v>116</v>
      </c>
      <c r="D1924" t="s">
        <v>390</v>
      </c>
      <c r="E1924" t="s">
        <v>77</v>
      </c>
      <c r="F1924" s="9" t="s">
        <v>221</v>
      </c>
      <c r="G1924" t="s">
        <v>26</v>
      </c>
      <c r="H1924" t="s">
        <v>27</v>
      </c>
      <c r="I1924" t="s">
        <v>28</v>
      </c>
      <c r="J1924" t="s">
        <v>43</v>
      </c>
      <c r="K1924" t="s">
        <v>44</v>
      </c>
      <c r="L1924" t="s">
        <v>29</v>
      </c>
      <c r="M1924" t="s">
        <v>30</v>
      </c>
      <c r="N1924" t="s">
        <v>27</v>
      </c>
      <c r="O1924" t="s">
        <v>28</v>
      </c>
      <c r="P1924" t="s">
        <v>43</v>
      </c>
      <c r="Q1924" t="s">
        <v>44</v>
      </c>
      <c r="R1924" s="1">
        <v>44344.462824074071</v>
      </c>
      <c r="S1924" s="1">
        <v>44344.462835648148</v>
      </c>
      <c r="T1924">
        <v>0</v>
      </c>
      <c r="U1924">
        <v>1</v>
      </c>
      <c r="V1924" s="2">
        <v>0</v>
      </c>
      <c r="W1924">
        <v>0</v>
      </c>
      <c r="X1924" t="s">
        <v>44</v>
      </c>
      <c r="Y1924">
        <v>0</v>
      </c>
      <c r="Z1924" t="s">
        <v>37</v>
      </c>
      <c r="AA1924">
        <v>0</v>
      </c>
      <c r="AB1924" t="s">
        <v>37</v>
      </c>
      <c r="AC1924">
        <v>0</v>
      </c>
      <c r="AD1924" t="s">
        <v>37</v>
      </c>
      <c r="AE1924">
        <v>0</v>
      </c>
      <c r="AF1924" t="s">
        <v>31</v>
      </c>
      <c r="AG1924">
        <v>0</v>
      </c>
      <c r="AH1924" t="s">
        <v>31</v>
      </c>
      <c r="AI1924">
        <v>0</v>
      </c>
      <c r="AJ1924" t="s">
        <v>31</v>
      </c>
      <c r="AK1924">
        <v>0</v>
      </c>
      <c r="AL1924" t="s">
        <v>31</v>
      </c>
      <c r="AM1924">
        <v>0</v>
      </c>
      <c r="AN1924" t="s">
        <v>31</v>
      </c>
      <c r="AO1924">
        <v>0</v>
      </c>
      <c r="AP1924" t="s">
        <v>31</v>
      </c>
      <c r="AQ1924">
        <v>0</v>
      </c>
    </row>
    <row r="1925" spans="1:43" x14ac:dyDescent="0.2">
      <c r="A1925" t="s">
        <v>381</v>
      </c>
      <c r="B1925" s="3">
        <v>44351</v>
      </c>
      <c r="C1925">
        <v>124</v>
      </c>
      <c r="D1925" t="s">
        <v>390</v>
      </c>
      <c r="E1925" t="s">
        <v>77</v>
      </c>
      <c r="F1925" s="9" t="s">
        <v>221</v>
      </c>
      <c r="G1925" t="s">
        <v>26</v>
      </c>
      <c r="H1925" t="s">
        <v>27</v>
      </c>
      <c r="I1925" t="s">
        <v>28</v>
      </c>
      <c r="J1925" t="s">
        <v>43</v>
      </c>
      <c r="K1925" t="s">
        <v>44</v>
      </c>
      <c r="L1925" t="s">
        <v>29</v>
      </c>
      <c r="M1925" t="s">
        <v>30</v>
      </c>
      <c r="N1925" t="s">
        <v>27</v>
      </c>
      <c r="O1925" t="s">
        <v>28</v>
      </c>
      <c r="P1925" t="s">
        <v>43</v>
      </c>
      <c r="Q1925" t="s">
        <v>44</v>
      </c>
      <c r="R1925" s="1">
        <v>44351.458240740743</v>
      </c>
      <c r="S1925" s="1">
        <v>44351.458611111113</v>
      </c>
      <c r="T1925">
        <v>1</v>
      </c>
      <c r="U1925">
        <v>1</v>
      </c>
      <c r="V1925" s="2">
        <v>1</v>
      </c>
      <c r="W1925">
        <v>0</v>
      </c>
      <c r="X1925" t="s">
        <v>37</v>
      </c>
      <c r="Y1925">
        <v>0</v>
      </c>
      <c r="Z1925" t="s">
        <v>30</v>
      </c>
      <c r="AA1925">
        <v>0</v>
      </c>
      <c r="AB1925" t="s">
        <v>31</v>
      </c>
      <c r="AC1925">
        <v>0</v>
      </c>
      <c r="AD1925" t="s">
        <v>31</v>
      </c>
      <c r="AE1925">
        <v>0</v>
      </c>
      <c r="AF1925" t="s">
        <v>31</v>
      </c>
      <c r="AG1925">
        <v>0</v>
      </c>
      <c r="AH1925" t="s">
        <v>31</v>
      </c>
      <c r="AI1925">
        <v>0</v>
      </c>
      <c r="AJ1925" t="s">
        <v>31</v>
      </c>
      <c r="AK1925">
        <v>0</v>
      </c>
      <c r="AL1925" t="s">
        <v>31</v>
      </c>
      <c r="AM1925">
        <v>0</v>
      </c>
      <c r="AN1925" t="s">
        <v>31</v>
      </c>
      <c r="AO1925">
        <v>0</v>
      </c>
      <c r="AP1925" t="s">
        <v>31</v>
      </c>
      <c r="AQ1925">
        <v>0</v>
      </c>
    </row>
    <row r="1926" spans="1:43" x14ac:dyDescent="0.2">
      <c r="A1926" t="s">
        <v>381</v>
      </c>
      <c r="B1926" s="3">
        <v>44354</v>
      </c>
      <c r="C1926">
        <v>127</v>
      </c>
      <c r="D1926" t="s">
        <v>383</v>
      </c>
      <c r="E1926" t="s">
        <v>77</v>
      </c>
      <c r="F1926" s="9" t="s">
        <v>221</v>
      </c>
      <c r="G1926" t="s">
        <v>26</v>
      </c>
      <c r="H1926" t="s">
        <v>27</v>
      </c>
      <c r="I1926" t="s">
        <v>28</v>
      </c>
      <c r="J1926" t="s">
        <v>43</v>
      </c>
      <c r="K1926" t="s">
        <v>44</v>
      </c>
      <c r="L1926" t="s">
        <v>29</v>
      </c>
      <c r="M1926" t="s">
        <v>30</v>
      </c>
      <c r="N1926" t="s">
        <v>27</v>
      </c>
      <c r="O1926" t="s">
        <v>28</v>
      </c>
      <c r="P1926" t="s">
        <v>43</v>
      </c>
      <c r="Q1926" t="s">
        <v>44</v>
      </c>
      <c r="R1926" s="1">
        <v>44354.589236111111</v>
      </c>
      <c r="S1926" s="1">
        <v>44354.589247685188</v>
      </c>
      <c r="T1926">
        <v>0</v>
      </c>
      <c r="U1926">
        <v>0</v>
      </c>
      <c r="V1926" s="2">
        <v>0</v>
      </c>
      <c r="W1926">
        <v>0</v>
      </c>
      <c r="X1926" t="s">
        <v>37</v>
      </c>
      <c r="Y1926">
        <v>0</v>
      </c>
      <c r="Z1926" t="s">
        <v>37</v>
      </c>
      <c r="AA1926">
        <v>0</v>
      </c>
      <c r="AB1926" t="s">
        <v>31</v>
      </c>
      <c r="AC1926">
        <v>0</v>
      </c>
      <c r="AD1926" t="s">
        <v>31</v>
      </c>
      <c r="AE1926">
        <v>0</v>
      </c>
      <c r="AF1926" t="s">
        <v>31</v>
      </c>
      <c r="AG1926">
        <v>0</v>
      </c>
      <c r="AH1926" t="s">
        <v>31</v>
      </c>
      <c r="AI1926">
        <v>0</v>
      </c>
      <c r="AJ1926" t="s">
        <v>31</v>
      </c>
      <c r="AK1926">
        <v>0</v>
      </c>
      <c r="AL1926" t="s">
        <v>31</v>
      </c>
      <c r="AM1926">
        <v>0</v>
      </c>
      <c r="AN1926" t="s">
        <v>31</v>
      </c>
      <c r="AO1926">
        <v>0</v>
      </c>
      <c r="AP1926" t="s">
        <v>31</v>
      </c>
      <c r="AQ1926">
        <v>0</v>
      </c>
    </row>
    <row r="1927" spans="1:43" x14ac:dyDescent="0.2">
      <c r="A1927" t="s">
        <v>381</v>
      </c>
      <c r="B1927" s="3">
        <v>44355</v>
      </c>
      <c r="C1927">
        <v>129</v>
      </c>
      <c r="D1927" t="s">
        <v>385</v>
      </c>
      <c r="E1927" t="s">
        <v>77</v>
      </c>
      <c r="F1927" s="9" t="s">
        <v>221</v>
      </c>
      <c r="G1927" t="s">
        <v>26</v>
      </c>
      <c r="H1927" t="s">
        <v>27</v>
      </c>
      <c r="I1927" t="s">
        <v>28</v>
      </c>
      <c r="J1927" t="s">
        <v>43</v>
      </c>
      <c r="K1927" t="s">
        <v>44</v>
      </c>
      <c r="L1927" t="s">
        <v>29</v>
      </c>
      <c r="M1927" t="s">
        <v>30</v>
      </c>
      <c r="N1927" t="s">
        <v>27</v>
      </c>
      <c r="O1927" t="s">
        <v>28</v>
      </c>
      <c r="P1927" t="s">
        <v>43</v>
      </c>
      <c r="Q1927" t="s">
        <v>44</v>
      </c>
      <c r="R1927" s="1">
        <v>44355.63658564815</v>
      </c>
      <c r="S1927" s="1">
        <v>44355.637835648151</v>
      </c>
      <c r="T1927">
        <v>0</v>
      </c>
      <c r="U1927">
        <v>5</v>
      </c>
      <c r="V1927" s="2">
        <v>0</v>
      </c>
      <c r="W1927">
        <v>0</v>
      </c>
      <c r="X1927" t="s">
        <v>44</v>
      </c>
      <c r="Y1927">
        <v>0</v>
      </c>
      <c r="Z1927" t="s">
        <v>44</v>
      </c>
      <c r="AA1927">
        <v>0</v>
      </c>
      <c r="AB1927" t="s">
        <v>81</v>
      </c>
      <c r="AC1927">
        <v>0</v>
      </c>
      <c r="AD1927" t="s">
        <v>45</v>
      </c>
      <c r="AE1927">
        <v>0</v>
      </c>
      <c r="AF1927" t="s">
        <v>61</v>
      </c>
      <c r="AG1927">
        <v>0</v>
      </c>
      <c r="AH1927" t="s">
        <v>31</v>
      </c>
      <c r="AI1927">
        <v>0</v>
      </c>
      <c r="AJ1927" t="s">
        <v>31</v>
      </c>
      <c r="AK1927">
        <v>0</v>
      </c>
      <c r="AL1927" t="s">
        <v>31</v>
      </c>
      <c r="AM1927">
        <v>0</v>
      </c>
      <c r="AN1927" t="s">
        <v>31</v>
      </c>
      <c r="AO1927">
        <v>0</v>
      </c>
      <c r="AP1927" t="s">
        <v>31</v>
      </c>
      <c r="AQ1927">
        <v>0</v>
      </c>
    </row>
    <row r="1928" spans="1:43" x14ac:dyDescent="0.2">
      <c r="A1928" t="s">
        <v>381</v>
      </c>
      <c r="B1928" s="3">
        <v>44356</v>
      </c>
      <c r="C1928">
        <v>131</v>
      </c>
      <c r="D1928" t="s">
        <v>383</v>
      </c>
      <c r="E1928" t="s">
        <v>77</v>
      </c>
      <c r="F1928" s="9" t="s">
        <v>221</v>
      </c>
      <c r="G1928" t="s">
        <v>26</v>
      </c>
      <c r="H1928" t="s">
        <v>27</v>
      </c>
      <c r="I1928" t="s">
        <v>28</v>
      </c>
      <c r="J1928" t="s">
        <v>43</v>
      </c>
      <c r="K1928" t="s">
        <v>44</v>
      </c>
      <c r="L1928" t="s">
        <v>29</v>
      </c>
      <c r="M1928" t="s">
        <v>30</v>
      </c>
      <c r="N1928" t="s">
        <v>27</v>
      </c>
      <c r="O1928" t="s">
        <v>28</v>
      </c>
      <c r="P1928" t="s">
        <v>43</v>
      </c>
      <c r="Q1928" t="s">
        <v>44</v>
      </c>
      <c r="R1928" s="1">
        <v>44356.640474537038</v>
      </c>
      <c r="S1928" s="1">
        <v>44356.640879629631</v>
      </c>
      <c r="T1928">
        <v>0</v>
      </c>
      <c r="U1928">
        <v>4</v>
      </c>
      <c r="V1928" s="2">
        <v>0</v>
      </c>
      <c r="W1928">
        <v>0</v>
      </c>
      <c r="X1928" t="s">
        <v>44</v>
      </c>
      <c r="Y1928">
        <v>0</v>
      </c>
      <c r="Z1928" t="s">
        <v>44</v>
      </c>
      <c r="AA1928">
        <v>0</v>
      </c>
      <c r="AB1928" t="s">
        <v>45</v>
      </c>
      <c r="AC1928">
        <v>0</v>
      </c>
      <c r="AD1928" t="s">
        <v>61</v>
      </c>
      <c r="AE1928">
        <v>0</v>
      </c>
      <c r="AF1928" t="s">
        <v>37</v>
      </c>
      <c r="AG1928">
        <v>0</v>
      </c>
      <c r="AH1928" t="s">
        <v>31</v>
      </c>
      <c r="AI1928">
        <v>0</v>
      </c>
      <c r="AJ1928" t="s">
        <v>31</v>
      </c>
      <c r="AK1928">
        <v>0</v>
      </c>
      <c r="AL1928" t="s">
        <v>31</v>
      </c>
      <c r="AM1928">
        <v>0</v>
      </c>
      <c r="AN1928" t="s">
        <v>31</v>
      </c>
      <c r="AO1928">
        <v>0</v>
      </c>
      <c r="AP1928" t="s">
        <v>31</v>
      </c>
      <c r="AQ1928">
        <v>0</v>
      </c>
    </row>
    <row r="1929" spans="1:43" x14ac:dyDescent="0.2">
      <c r="A1929" t="s">
        <v>381</v>
      </c>
      <c r="B1929" s="3">
        <v>44358</v>
      </c>
      <c r="C1929">
        <v>133</v>
      </c>
      <c r="D1929" t="s">
        <v>390</v>
      </c>
      <c r="E1929" t="s">
        <v>77</v>
      </c>
      <c r="F1929" s="9" t="s">
        <v>221</v>
      </c>
      <c r="G1929" t="s">
        <v>26</v>
      </c>
      <c r="H1929" t="s">
        <v>27</v>
      </c>
      <c r="I1929" t="s">
        <v>28</v>
      </c>
      <c r="J1929" t="s">
        <v>43</v>
      </c>
      <c r="K1929" t="s">
        <v>44</v>
      </c>
      <c r="L1929" t="s">
        <v>29</v>
      </c>
      <c r="M1929" t="s">
        <v>30</v>
      </c>
      <c r="N1929" t="s">
        <v>27</v>
      </c>
      <c r="O1929" t="s">
        <v>28</v>
      </c>
      <c r="P1929" t="s">
        <v>43</v>
      </c>
      <c r="Q1929" t="s">
        <v>44</v>
      </c>
      <c r="R1929" s="1">
        <v>44358.465150462966</v>
      </c>
      <c r="S1929" s="1">
        <v>44358.465462962966</v>
      </c>
      <c r="T1929">
        <v>0</v>
      </c>
      <c r="U1929">
        <v>3</v>
      </c>
      <c r="V1929" s="2">
        <v>0</v>
      </c>
      <c r="W1929">
        <v>0</v>
      </c>
      <c r="X1929" t="s">
        <v>44</v>
      </c>
      <c r="Y1929">
        <v>0</v>
      </c>
      <c r="Z1929" t="s">
        <v>37</v>
      </c>
      <c r="AA1929">
        <v>0</v>
      </c>
      <c r="AB1929" t="s">
        <v>44</v>
      </c>
      <c r="AC1929">
        <v>0</v>
      </c>
      <c r="AD1929" t="s">
        <v>37</v>
      </c>
      <c r="AE1929">
        <v>0</v>
      </c>
      <c r="AF1929" t="s">
        <v>44</v>
      </c>
      <c r="AG1929">
        <v>0</v>
      </c>
      <c r="AH1929" t="s">
        <v>37</v>
      </c>
      <c r="AI1929">
        <v>0</v>
      </c>
      <c r="AJ1929" t="s">
        <v>31</v>
      </c>
      <c r="AK1929">
        <v>0</v>
      </c>
      <c r="AL1929" t="s">
        <v>31</v>
      </c>
      <c r="AM1929">
        <v>0</v>
      </c>
      <c r="AN1929" t="s">
        <v>31</v>
      </c>
      <c r="AO1929">
        <v>0</v>
      </c>
      <c r="AP1929" t="s">
        <v>31</v>
      </c>
      <c r="AQ1929">
        <v>0</v>
      </c>
    </row>
    <row r="1930" spans="1:43" x14ac:dyDescent="0.2">
      <c r="A1930" t="s">
        <v>381</v>
      </c>
      <c r="B1930" s="3">
        <v>44236</v>
      </c>
      <c r="C1930">
        <v>2</v>
      </c>
      <c r="D1930" t="s">
        <v>382</v>
      </c>
      <c r="E1930" t="s">
        <v>95</v>
      </c>
      <c r="F1930" s="9" t="s">
        <v>96</v>
      </c>
      <c r="G1930" t="s">
        <v>26</v>
      </c>
      <c r="H1930" t="s">
        <v>27</v>
      </c>
      <c r="I1930" t="s">
        <v>28</v>
      </c>
      <c r="J1930" t="s">
        <v>29</v>
      </c>
      <c r="K1930" t="s">
        <v>30</v>
      </c>
      <c r="L1930" t="s">
        <v>29</v>
      </c>
      <c r="M1930" t="s">
        <v>30</v>
      </c>
      <c r="N1930" t="s">
        <v>27</v>
      </c>
      <c r="O1930" t="s">
        <v>28</v>
      </c>
      <c r="P1930" t="s">
        <v>29</v>
      </c>
      <c r="Q1930" t="s">
        <v>30</v>
      </c>
      <c r="R1930" s="1">
        <v>44236.470046296294</v>
      </c>
      <c r="S1930" s="1">
        <v>44236.470150462963</v>
      </c>
      <c r="T1930">
        <v>0</v>
      </c>
      <c r="U1930">
        <v>0</v>
      </c>
      <c r="V1930" s="2">
        <v>0</v>
      </c>
      <c r="W1930">
        <v>0</v>
      </c>
      <c r="X1930" t="s">
        <v>37</v>
      </c>
      <c r="Y1930">
        <v>0</v>
      </c>
      <c r="Z1930" t="s">
        <v>37</v>
      </c>
      <c r="AA1930">
        <v>0</v>
      </c>
      <c r="AB1930" t="s">
        <v>37</v>
      </c>
      <c r="AC1930">
        <v>0</v>
      </c>
      <c r="AD1930" t="s">
        <v>37</v>
      </c>
      <c r="AE1930">
        <v>0</v>
      </c>
      <c r="AF1930" t="s">
        <v>37</v>
      </c>
      <c r="AG1930">
        <v>0</v>
      </c>
      <c r="AH1930" t="s">
        <v>37</v>
      </c>
      <c r="AI1930">
        <v>0</v>
      </c>
      <c r="AJ1930" t="s">
        <v>31</v>
      </c>
      <c r="AK1930">
        <v>0</v>
      </c>
      <c r="AL1930" t="s">
        <v>31</v>
      </c>
      <c r="AM1930">
        <v>0</v>
      </c>
      <c r="AN1930" t="s">
        <v>31</v>
      </c>
      <c r="AO1930">
        <v>0</v>
      </c>
      <c r="AP1930" t="s">
        <v>31</v>
      </c>
      <c r="AQ1930">
        <v>0</v>
      </c>
    </row>
    <row r="1931" spans="1:43" x14ac:dyDescent="0.2">
      <c r="A1931" t="s">
        <v>381</v>
      </c>
      <c r="B1931" s="3">
        <v>44245</v>
      </c>
      <c r="C1931">
        <v>12</v>
      </c>
      <c r="D1931" t="s">
        <v>382</v>
      </c>
      <c r="E1931" t="s">
        <v>95</v>
      </c>
      <c r="F1931" s="9" t="s">
        <v>96</v>
      </c>
      <c r="G1931" t="s">
        <v>26</v>
      </c>
      <c r="H1931" t="s">
        <v>27</v>
      </c>
      <c r="I1931" t="s">
        <v>28</v>
      </c>
      <c r="J1931" t="s">
        <v>29</v>
      </c>
      <c r="K1931" t="s">
        <v>30</v>
      </c>
      <c r="L1931" t="s">
        <v>29</v>
      </c>
      <c r="M1931" t="s">
        <v>30</v>
      </c>
      <c r="N1931" t="s">
        <v>27</v>
      </c>
      <c r="O1931" t="s">
        <v>28</v>
      </c>
      <c r="P1931" t="s">
        <v>29</v>
      </c>
      <c r="Q1931" t="s">
        <v>30</v>
      </c>
      <c r="R1931" s="1">
        <v>44245.468495370369</v>
      </c>
      <c r="S1931" s="1">
        <v>44245.468518518515</v>
      </c>
      <c r="T1931">
        <v>0</v>
      </c>
      <c r="U1931">
        <v>0</v>
      </c>
      <c r="V1931" s="2">
        <v>0</v>
      </c>
      <c r="W1931">
        <v>0</v>
      </c>
      <c r="X1931" t="s">
        <v>37</v>
      </c>
      <c r="Y1931">
        <v>0</v>
      </c>
      <c r="Z1931" t="s">
        <v>37</v>
      </c>
      <c r="AA1931">
        <v>0</v>
      </c>
      <c r="AB1931" t="s">
        <v>37</v>
      </c>
      <c r="AC1931">
        <v>0</v>
      </c>
      <c r="AD1931" t="s">
        <v>37</v>
      </c>
      <c r="AE1931">
        <v>0</v>
      </c>
      <c r="AF1931" t="s">
        <v>31</v>
      </c>
      <c r="AG1931">
        <v>0</v>
      </c>
      <c r="AH1931" t="s">
        <v>31</v>
      </c>
      <c r="AI1931">
        <v>0</v>
      </c>
      <c r="AJ1931" t="s">
        <v>31</v>
      </c>
      <c r="AK1931">
        <v>0</v>
      </c>
      <c r="AL1931" t="s">
        <v>31</v>
      </c>
      <c r="AM1931">
        <v>0</v>
      </c>
      <c r="AN1931" t="s">
        <v>31</v>
      </c>
      <c r="AO1931">
        <v>0</v>
      </c>
      <c r="AP1931" t="s">
        <v>31</v>
      </c>
      <c r="AQ1931">
        <v>0</v>
      </c>
    </row>
    <row r="1932" spans="1:43" x14ac:dyDescent="0.2">
      <c r="A1932" t="s">
        <v>381</v>
      </c>
      <c r="B1932" s="3">
        <v>44250</v>
      </c>
      <c r="C1932">
        <v>16</v>
      </c>
      <c r="D1932" t="s">
        <v>382</v>
      </c>
      <c r="E1932" t="s">
        <v>95</v>
      </c>
      <c r="F1932" s="9" t="s">
        <v>96</v>
      </c>
      <c r="G1932" t="s">
        <v>26</v>
      </c>
      <c r="H1932" t="s">
        <v>27</v>
      </c>
      <c r="I1932" t="s">
        <v>28</v>
      </c>
      <c r="J1932" t="s">
        <v>29</v>
      </c>
      <c r="K1932" t="s">
        <v>30</v>
      </c>
      <c r="L1932" t="s">
        <v>29</v>
      </c>
      <c r="M1932" t="s">
        <v>30</v>
      </c>
      <c r="N1932" t="s">
        <v>27</v>
      </c>
      <c r="O1932" t="s">
        <v>28</v>
      </c>
      <c r="P1932" t="s">
        <v>29</v>
      </c>
      <c r="Q1932" t="s">
        <v>30</v>
      </c>
      <c r="R1932" s="1">
        <v>44250.463518518518</v>
      </c>
      <c r="S1932" s="1">
        <v>44250.463518518518</v>
      </c>
      <c r="T1932">
        <v>0</v>
      </c>
      <c r="U1932">
        <v>0</v>
      </c>
      <c r="V1932" s="2">
        <v>0</v>
      </c>
      <c r="W1932">
        <v>0</v>
      </c>
      <c r="X1932" t="s">
        <v>37</v>
      </c>
      <c r="Y1932">
        <v>0</v>
      </c>
      <c r="Z1932" t="s">
        <v>37</v>
      </c>
      <c r="AA1932">
        <v>0</v>
      </c>
      <c r="AB1932" t="s">
        <v>37</v>
      </c>
      <c r="AC1932">
        <v>0</v>
      </c>
      <c r="AD1932" t="s">
        <v>31</v>
      </c>
      <c r="AE1932">
        <v>0</v>
      </c>
      <c r="AF1932" t="s">
        <v>31</v>
      </c>
      <c r="AG1932">
        <v>0</v>
      </c>
      <c r="AH1932" t="s">
        <v>31</v>
      </c>
      <c r="AI1932">
        <v>0</v>
      </c>
      <c r="AJ1932" t="s">
        <v>31</v>
      </c>
      <c r="AK1932">
        <v>0</v>
      </c>
      <c r="AL1932" t="s">
        <v>31</v>
      </c>
      <c r="AM1932">
        <v>0</v>
      </c>
      <c r="AN1932" t="s">
        <v>31</v>
      </c>
      <c r="AO1932">
        <v>0</v>
      </c>
      <c r="AP1932" t="s">
        <v>31</v>
      </c>
      <c r="AQ1932">
        <v>0</v>
      </c>
    </row>
    <row r="1933" spans="1:43" x14ac:dyDescent="0.2">
      <c r="A1933" t="s">
        <v>381</v>
      </c>
      <c r="B1933" s="3">
        <v>44256</v>
      </c>
      <c r="C1933">
        <v>22</v>
      </c>
      <c r="D1933" t="s">
        <v>384</v>
      </c>
      <c r="E1933" t="s">
        <v>95</v>
      </c>
      <c r="F1933" s="9" t="s">
        <v>96</v>
      </c>
      <c r="G1933" t="s">
        <v>26</v>
      </c>
      <c r="H1933" t="s">
        <v>27</v>
      </c>
      <c r="I1933" t="s">
        <v>28</v>
      </c>
      <c r="J1933" t="s">
        <v>29</v>
      </c>
      <c r="K1933" t="s">
        <v>30</v>
      </c>
      <c r="L1933" t="s">
        <v>29</v>
      </c>
      <c r="M1933" t="s">
        <v>30</v>
      </c>
      <c r="N1933" t="s">
        <v>27</v>
      </c>
      <c r="O1933" t="s">
        <v>28</v>
      </c>
      <c r="P1933" t="s">
        <v>29</v>
      </c>
      <c r="Q1933" t="s">
        <v>30</v>
      </c>
      <c r="R1933" s="1">
        <v>44256.43209490741</v>
      </c>
      <c r="S1933" s="1">
        <v>44256.439143518517</v>
      </c>
      <c r="T1933">
        <v>1</v>
      </c>
      <c r="U1933">
        <v>1</v>
      </c>
      <c r="V1933" s="2">
        <v>1</v>
      </c>
      <c r="W1933">
        <v>0</v>
      </c>
      <c r="X1933" t="s">
        <v>37</v>
      </c>
      <c r="Y1933">
        <v>0</v>
      </c>
      <c r="Z1933" t="s">
        <v>37</v>
      </c>
      <c r="AA1933">
        <v>0</v>
      </c>
      <c r="AB1933" t="s">
        <v>30</v>
      </c>
      <c r="AC1933">
        <v>0</v>
      </c>
      <c r="AD1933" t="s">
        <v>31</v>
      </c>
      <c r="AE1933">
        <v>0</v>
      </c>
      <c r="AF1933" t="s">
        <v>31</v>
      </c>
      <c r="AG1933">
        <v>0</v>
      </c>
      <c r="AH1933" t="s">
        <v>31</v>
      </c>
      <c r="AI1933">
        <v>0</v>
      </c>
      <c r="AJ1933" t="s">
        <v>31</v>
      </c>
      <c r="AK1933">
        <v>0</v>
      </c>
      <c r="AL1933" t="s">
        <v>31</v>
      </c>
      <c r="AM1933">
        <v>0</v>
      </c>
      <c r="AN1933" t="s">
        <v>31</v>
      </c>
      <c r="AO1933">
        <v>0</v>
      </c>
      <c r="AP1933" t="s">
        <v>31</v>
      </c>
      <c r="AQ1933">
        <v>0</v>
      </c>
    </row>
    <row r="1934" spans="1:43" x14ac:dyDescent="0.2">
      <c r="A1934" t="s">
        <v>381</v>
      </c>
      <c r="B1934" s="3">
        <v>44258</v>
      </c>
      <c r="C1934">
        <v>25</v>
      </c>
      <c r="D1934" t="s">
        <v>384</v>
      </c>
      <c r="E1934" t="s">
        <v>95</v>
      </c>
      <c r="F1934" s="9" t="s">
        <v>96</v>
      </c>
      <c r="G1934" t="s">
        <v>26</v>
      </c>
      <c r="H1934" t="s">
        <v>27</v>
      </c>
      <c r="I1934" t="s">
        <v>28</v>
      </c>
      <c r="J1934" t="s">
        <v>29</v>
      </c>
      <c r="K1934" t="s">
        <v>30</v>
      </c>
      <c r="L1934" t="s">
        <v>29</v>
      </c>
      <c r="M1934" t="s">
        <v>30</v>
      </c>
      <c r="N1934" t="s">
        <v>27</v>
      </c>
      <c r="O1934" t="s">
        <v>28</v>
      </c>
      <c r="P1934" t="s">
        <v>29</v>
      </c>
      <c r="Q1934" t="s">
        <v>30</v>
      </c>
      <c r="R1934" s="1">
        <v>44258.425150462965</v>
      </c>
      <c r="S1934" s="1">
        <v>44258.425405092596</v>
      </c>
      <c r="T1934">
        <v>3</v>
      </c>
      <c r="U1934">
        <v>3</v>
      </c>
      <c r="V1934" s="2">
        <v>1</v>
      </c>
      <c r="W1934">
        <v>0</v>
      </c>
      <c r="X1934" t="s">
        <v>30</v>
      </c>
      <c r="Y1934">
        <v>0</v>
      </c>
      <c r="Z1934" t="s">
        <v>30</v>
      </c>
      <c r="AA1934">
        <v>0</v>
      </c>
      <c r="AB1934" t="s">
        <v>30</v>
      </c>
      <c r="AC1934">
        <v>0</v>
      </c>
      <c r="AD1934" t="s">
        <v>31</v>
      </c>
      <c r="AE1934">
        <v>0</v>
      </c>
      <c r="AF1934" t="s">
        <v>31</v>
      </c>
      <c r="AG1934">
        <v>0</v>
      </c>
      <c r="AH1934" t="s">
        <v>31</v>
      </c>
      <c r="AI1934">
        <v>0</v>
      </c>
      <c r="AJ1934" t="s">
        <v>31</v>
      </c>
      <c r="AK1934">
        <v>0</v>
      </c>
      <c r="AL1934" t="s">
        <v>31</v>
      </c>
      <c r="AM1934">
        <v>0</v>
      </c>
      <c r="AN1934" t="s">
        <v>31</v>
      </c>
      <c r="AO1934">
        <v>0</v>
      </c>
      <c r="AP1934" t="s">
        <v>31</v>
      </c>
      <c r="AQ1934">
        <v>0</v>
      </c>
    </row>
    <row r="1935" spans="1:43" x14ac:dyDescent="0.2">
      <c r="A1935" t="s">
        <v>381</v>
      </c>
      <c r="B1935" s="3">
        <v>44259</v>
      </c>
      <c r="C1935">
        <v>26</v>
      </c>
      <c r="D1935" t="s">
        <v>382</v>
      </c>
      <c r="E1935" t="s">
        <v>95</v>
      </c>
      <c r="F1935" s="9" t="s">
        <v>96</v>
      </c>
      <c r="G1935" t="s">
        <v>26</v>
      </c>
      <c r="H1935" t="s">
        <v>27</v>
      </c>
      <c r="I1935" t="s">
        <v>28</v>
      </c>
      <c r="J1935" t="s">
        <v>29</v>
      </c>
      <c r="K1935" t="s">
        <v>30</v>
      </c>
      <c r="L1935" t="s">
        <v>29</v>
      </c>
      <c r="M1935" t="s">
        <v>30</v>
      </c>
      <c r="N1935" t="s">
        <v>27</v>
      </c>
      <c r="O1935" t="s">
        <v>28</v>
      </c>
      <c r="P1935" t="s">
        <v>29</v>
      </c>
      <c r="Q1935" t="s">
        <v>30</v>
      </c>
      <c r="R1935" s="1">
        <v>44259.461064814815</v>
      </c>
      <c r="S1935" s="1">
        <v>44259.461064814815</v>
      </c>
      <c r="T1935">
        <v>0</v>
      </c>
      <c r="U1935">
        <v>0</v>
      </c>
      <c r="V1935" s="2">
        <v>0</v>
      </c>
      <c r="W1935">
        <v>0</v>
      </c>
      <c r="X1935" t="s">
        <v>37</v>
      </c>
      <c r="Y1935">
        <v>0</v>
      </c>
      <c r="Z1935" t="s">
        <v>37</v>
      </c>
      <c r="AA1935">
        <v>0</v>
      </c>
      <c r="AB1935" t="s">
        <v>37</v>
      </c>
      <c r="AC1935">
        <v>0</v>
      </c>
      <c r="AD1935" t="s">
        <v>31</v>
      </c>
      <c r="AE1935">
        <v>0</v>
      </c>
      <c r="AF1935" t="s">
        <v>31</v>
      </c>
      <c r="AG1935">
        <v>0</v>
      </c>
      <c r="AH1935" t="s">
        <v>31</v>
      </c>
      <c r="AI1935">
        <v>0</v>
      </c>
      <c r="AJ1935" t="s">
        <v>31</v>
      </c>
      <c r="AK1935">
        <v>0</v>
      </c>
      <c r="AL1935" t="s">
        <v>31</v>
      </c>
      <c r="AM1935">
        <v>0</v>
      </c>
      <c r="AN1935" t="s">
        <v>31</v>
      </c>
      <c r="AO1935">
        <v>0</v>
      </c>
      <c r="AP1935" t="s">
        <v>31</v>
      </c>
      <c r="AQ1935">
        <v>0</v>
      </c>
    </row>
    <row r="1936" spans="1:43" x14ac:dyDescent="0.2">
      <c r="A1936" t="s">
        <v>381</v>
      </c>
      <c r="B1936" s="3">
        <v>44263</v>
      </c>
      <c r="C1936">
        <v>29</v>
      </c>
      <c r="D1936" t="s">
        <v>384</v>
      </c>
      <c r="E1936" t="s">
        <v>95</v>
      </c>
      <c r="F1936" s="9" t="s">
        <v>96</v>
      </c>
      <c r="G1936" t="s">
        <v>26</v>
      </c>
      <c r="H1936" t="s">
        <v>27</v>
      </c>
      <c r="I1936" t="s">
        <v>28</v>
      </c>
      <c r="J1936" t="s">
        <v>29</v>
      </c>
      <c r="K1936" t="s">
        <v>30</v>
      </c>
      <c r="L1936" t="s">
        <v>29</v>
      </c>
      <c r="M1936" t="s">
        <v>30</v>
      </c>
      <c r="N1936" t="s">
        <v>27</v>
      </c>
      <c r="O1936" t="s">
        <v>28</v>
      </c>
      <c r="P1936" t="s">
        <v>29</v>
      </c>
      <c r="Q1936" t="s">
        <v>30</v>
      </c>
      <c r="R1936" s="1">
        <v>44263.449733796297</v>
      </c>
      <c r="S1936" s="1">
        <v>44263.449733796297</v>
      </c>
      <c r="T1936">
        <v>1</v>
      </c>
      <c r="U1936">
        <v>1</v>
      </c>
      <c r="V1936" s="2">
        <v>1</v>
      </c>
      <c r="W1936">
        <v>0</v>
      </c>
      <c r="X1936" t="s">
        <v>30</v>
      </c>
      <c r="Y1936">
        <v>0</v>
      </c>
      <c r="Z1936" t="s">
        <v>31</v>
      </c>
      <c r="AA1936">
        <v>0</v>
      </c>
      <c r="AB1936" t="s">
        <v>31</v>
      </c>
      <c r="AC1936">
        <v>0</v>
      </c>
      <c r="AD1936" t="s">
        <v>31</v>
      </c>
      <c r="AE1936">
        <v>0</v>
      </c>
      <c r="AF1936" t="s">
        <v>31</v>
      </c>
      <c r="AG1936">
        <v>0</v>
      </c>
      <c r="AH1936" t="s">
        <v>31</v>
      </c>
      <c r="AI1936">
        <v>0</v>
      </c>
      <c r="AJ1936" t="s">
        <v>31</v>
      </c>
      <c r="AK1936">
        <v>0</v>
      </c>
      <c r="AL1936" t="s">
        <v>31</v>
      </c>
      <c r="AM1936">
        <v>0</v>
      </c>
      <c r="AN1936" t="s">
        <v>31</v>
      </c>
      <c r="AO1936">
        <v>0</v>
      </c>
      <c r="AP1936" t="s">
        <v>31</v>
      </c>
      <c r="AQ1936">
        <v>0</v>
      </c>
    </row>
    <row r="1937" spans="1:43" x14ac:dyDescent="0.2">
      <c r="A1937" t="s">
        <v>381</v>
      </c>
      <c r="B1937" s="3">
        <v>44264</v>
      </c>
      <c r="C1937">
        <v>30</v>
      </c>
      <c r="D1937" t="s">
        <v>382</v>
      </c>
      <c r="E1937" t="s">
        <v>95</v>
      </c>
      <c r="F1937" s="9" t="s">
        <v>96</v>
      </c>
      <c r="G1937" t="s">
        <v>26</v>
      </c>
      <c r="H1937" t="s">
        <v>27</v>
      </c>
      <c r="I1937" t="s">
        <v>28</v>
      </c>
      <c r="J1937" t="s">
        <v>29</v>
      </c>
      <c r="K1937" t="s">
        <v>30</v>
      </c>
      <c r="L1937" t="s">
        <v>29</v>
      </c>
      <c r="M1937" t="s">
        <v>30</v>
      </c>
      <c r="N1937" t="s">
        <v>27</v>
      </c>
      <c r="O1937" t="s">
        <v>28</v>
      </c>
      <c r="P1937" t="s">
        <v>29</v>
      </c>
      <c r="Q1937" t="s">
        <v>30</v>
      </c>
      <c r="R1937" s="1">
        <v>44264.449513888889</v>
      </c>
      <c r="S1937" s="1">
        <v>44264.449525462966</v>
      </c>
      <c r="T1937">
        <v>0</v>
      </c>
      <c r="U1937">
        <v>0</v>
      </c>
      <c r="V1937" s="2">
        <v>0</v>
      </c>
      <c r="W1937">
        <v>0</v>
      </c>
      <c r="X1937" t="s">
        <v>37</v>
      </c>
      <c r="Y1937">
        <v>0</v>
      </c>
      <c r="Z1937" t="s">
        <v>37</v>
      </c>
      <c r="AA1937">
        <v>0</v>
      </c>
      <c r="AB1937" t="s">
        <v>37</v>
      </c>
      <c r="AC1937">
        <v>0</v>
      </c>
      <c r="AD1937" t="s">
        <v>31</v>
      </c>
      <c r="AE1937">
        <v>0</v>
      </c>
      <c r="AF1937" t="s">
        <v>31</v>
      </c>
      <c r="AG1937">
        <v>0</v>
      </c>
      <c r="AH1937" t="s">
        <v>31</v>
      </c>
      <c r="AI1937">
        <v>0</v>
      </c>
      <c r="AJ1937" t="s">
        <v>31</v>
      </c>
      <c r="AK1937">
        <v>0</v>
      </c>
      <c r="AL1937" t="s">
        <v>31</v>
      </c>
      <c r="AM1937">
        <v>0</v>
      </c>
      <c r="AN1937" t="s">
        <v>31</v>
      </c>
      <c r="AO1937">
        <v>0</v>
      </c>
      <c r="AP1937" t="s">
        <v>31</v>
      </c>
      <c r="AQ1937">
        <v>0</v>
      </c>
    </row>
    <row r="1938" spans="1:43" x14ac:dyDescent="0.2">
      <c r="A1938" t="s">
        <v>381</v>
      </c>
      <c r="B1938" s="3">
        <v>44266</v>
      </c>
      <c r="C1938">
        <v>34</v>
      </c>
      <c r="D1938" t="s">
        <v>385</v>
      </c>
      <c r="E1938" t="s">
        <v>95</v>
      </c>
      <c r="F1938" s="9" t="s">
        <v>96</v>
      </c>
      <c r="G1938" t="s">
        <v>26</v>
      </c>
      <c r="H1938" t="s">
        <v>27</v>
      </c>
      <c r="I1938" t="s">
        <v>28</v>
      </c>
      <c r="J1938" t="s">
        <v>29</v>
      </c>
      <c r="K1938" t="s">
        <v>30</v>
      </c>
      <c r="L1938" t="s">
        <v>29</v>
      </c>
      <c r="M1938" t="s">
        <v>30</v>
      </c>
      <c r="N1938" t="s">
        <v>27</v>
      </c>
      <c r="O1938" t="s">
        <v>28</v>
      </c>
      <c r="P1938" t="s">
        <v>29</v>
      </c>
      <c r="Q1938" t="s">
        <v>30</v>
      </c>
      <c r="R1938" s="1">
        <v>44266.63385416667</v>
      </c>
      <c r="S1938" s="1">
        <v>44266.63385416667</v>
      </c>
      <c r="T1938">
        <v>0</v>
      </c>
      <c r="U1938">
        <v>0</v>
      </c>
      <c r="V1938" s="2">
        <v>0</v>
      </c>
      <c r="W1938">
        <v>0</v>
      </c>
      <c r="X1938" t="s">
        <v>37</v>
      </c>
      <c r="Y1938">
        <v>0</v>
      </c>
      <c r="Z1938" t="s">
        <v>37</v>
      </c>
      <c r="AA1938">
        <v>0</v>
      </c>
      <c r="AB1938" t="s">
        <v>31</v>
      </c>
      <c r="AC1938">
        <v>0</v>
      </c>
      <c r="AD1938" t="s">
        <v>31</v>
      </c>
      <c r="AE1938">
        <v>0</v>
      </c>
      <c r="AF1938" t="s">
        <v>31</v>
      </c>
      <c r="AG1938">
        <v>0</v>
      </c>
      <c r="AH1938" t="s">
        <v>31</v>
      </c>
      <c r="AI1938">
        <v>0</v>
      </c>
      <c r="AJ1938" t="s">
        <v>31</v>
      </c>
      <c r="AK1938">
        <v>0</v>
      </c>
      <c r="AL1938" t="s">
        <v>31</v>
      </c>
      <c r="AM1938">
        <v>0</v>
      </c>
      <c r="AN1938" t="s">
        <v>31</v>
      </c>
      <c r="AO1938">
        <v>0</v>
      </c>
      <c r="AP1938" t="s">
        <v>31</v>
      </c>
      <c r="AQ1938">
        <v>0</v>
      </c>
    </row>
    <row r="1939" spans="1:43" x14ac:dyDescent="0.2">
      <c r="A1939" t="s">
        <v>381</v>
      </c>
      <c r="B1939" s="3">
        <v>44270</v>
      </c>
      <c r="C1939">
        <v>35</v>
      </c>
      <c r="D1939" t="s">
        <v>384</v>
      </c>
      <c r="E1939" t="s">
        <v>95</v>
      </c>
      <c r="F1939" s="9" t="s">
        <v>96</v>
      </c>
      <c r="G1939" t="s">
        <v>26</v>
      </c>
      <c r="H1939" t="s">
        <v>27</v>
      </c>
      <c r="I1939" t="s">
        <v>28</v>
      </c>
      <c r="J1939" t="s">
        <v>29</v>
      </c>
      <c r="K1939" t="s">
        <v>30</v>
      </c>
      <c r="L1939" t="s">
        <v>29</v>
      </c>
      <c r="M1939" t="s">
        <v>30</v>
      </c>
      <c r="N1939" t="s">
        <v>27</v>
      </c>
      <c r="O1939" t="s">
        <v>28</v>
      </c>
      <c r="P1939" t="s">
        <v>29</v>
      </c>
      <c r="Q1939" t="s">
        <v>30</v>
      </c>
      <c r="R1939" s="1">
        <v>44270.460543981484</v>
      </c>
      <c r="S1939" s="1">
        <v>44270.460543981484</v>
      </c>
      <c r="T1939">
        <v>1</v>
      </c>
      <c r="U1939">
        <v>1</v>
      </c>
      <c r="V1939" s="2">
        <v>1</v>
      </c>
      <c r="W1939">
        <v>0</v>
      </c>
      <c r="X1939" t="s">
        <v>30</v>
      </c>
      <c r="Y1939">
        <v>0</v>
      </c>
      <c r="Z1939" t="s">
        <v>31</v>
      </c>
      <c r="AA1939">
        <v>0</v>
      </c>
      <c r="AB1939" t="s">
        <v>31</v>
      </c>
      <c r="AC1939">
        <v>0</v>
      </c>
      <c r="AD1939" t="s">
        <v>31</v>
      </c>
      <c r="AE1939">
        <v>0</v>
      </c>
      <c r="AF1939" t="s">
        <v>31</v>
      </c>
      <c r="AG1939">
        <v>0</v>
      </c>
      <c r="AH1939" t="s">
        <v>31</v>
      </c>
      <c r="AI1939">
        <v>0</v>
      </c>
      <c r="AJ1939" t="s">
        <v>31</v>
      </c>
      <c r="AK1939">
        <v>0</v>
      </c>
      <c r="AL1939" t="s">
        <v>31</v>
      </c>
      <c r="AM1939">
        <v>0</v>
      </c>
      <c r="AN1939" t="s">
        <v>31</v>
      </c>
      <c r="AO1939">
        <v>0</v>
      </c>
      <c r="AP1939" t="s">
        <v>31</v>
      </c>
      <c r="AQ1939">
        <v>0</v>
      </c>
    </row>
    <row r="1940" spans="1:43" x14ac:dyDescent="0.2">
      <c r="A1940" t="s">
        <v>381</v>
      </c>
      <c r="B1940" s="3">
        <v>44272</v>
      </c>
      <c r="C1940">
        <v>38</v>
      </c>
      <c r="D1940" t="s">
        <v>384</v>
      </c>
      <c r="E1940" t="s">
        <v>95</v>
      </c>
      <c r="F1940" s="9" t="s">
        <v>96</v>
      </c>
      <c r="G1940" t="s">
        <v>26</v>
      </c>
      <c r="H1940" t="s">
        <v>27</v>
      </c>
      <c r="I1940" t="s">
        <v>28</v>
      </c>
      <c r="J1940" t="s">
        <v>29</v>
      </c>
      <c r="K1940" t="s">
        <v>30</v>
      </c>
      <c r="L1940" t="s">
        <v>29</v>
      </c>
      <c r="M1940" t="s">
        <v>30</v>
      </c>
      <c r="N1940" t="s">
        <v>27</v>
      </c>
      <c r="O1940" t="s">
        <v>28</v>
      </c>
      <c r="P1940" t="s">
        <v>29</v>
      </c>
      <c r="Q1940" t="s">
        <v>30</v>
      </c>
      <c r="R1940" s="1">
        <v>44272.471307870372</v>
      </c>
      <c r="S1940" s="1">
        <v>44272.471307870372</v>
      </c>
      <c r="T1940">
        <v>1</v>
      </c>
      <c r="U1940">
        <v>1</v>
      </c>
      <c r="V1940" s="2">
        <v>1</v>
      </c>
      <c r="W1940">
        <v>0</v>
      </c>
      <c r="X1940" t="s">
        <v>30</v>
      </c>
      <c r="Y1940">
        <v>0</v>
      </c>
      <c r="Z1940" t="s">
        <v>31</v>
      </c>
      <c r="AA1940">
        <v>0</v>
      </c>
      <c r="AB1940" t="s">
        <v>31</v>
      </c>
      <c r="AC1940">
        <v>0</v>
      </c>
      <c r="AD1940" t="s">
        <v>31</v>
      </c>
      <c r="AE1940">
        <v>0</v>
      </c>
      <c r="AF1940" t="s">
        <v>31</v>
      </c>
      <c r="AG1940">
        <v>0</v>
      </c>
      <c r="AH1940" t="s">
        <v>31</v>
      </c>
      <c r="AI1940">
        <v>0</v>
      </c>
      <c r="AJ1940" t="s">
        <v>31</v>
      </c>
      <c r="AK1940">
        <v>0</v>
      </c>
      <c r="AL1940" t="s">
        <v>31</v>
      </c>
      <c r="AM1940">
        <v>0</v>
      </c>
      <c r="AN1940" t="s">
        <v>31</v>
      </c>
      <c r="AO1940">
        <v>0</v>
      </c>
      <c r="AP1940" t="s">
        <v>31</v>
      </c>
      <c r="AQ1940">
        <v>0</v>
      </c>
    </row>
    <row r="1941" spans="1:43" x14ac:dyDescent="0.2">
      <c r="A1941" t="s">
        <v>381</v>
      </c>
      <c r="B1941" s="3">
        <v>44273</v>
      </c>
      <c r="C1941">
        <v>39</v>
      </c>
      <c r="D1941" t="s">
        <v>385</v>
      </c>
      <c r="E1941" t="s">
        <v>95</v>
      </c>
      <c r="F1941" s="9" t="s">
        <v>96</v>
      </c>
      <c r="G1941" t="s">
        <v>26</v>
      </c>
      <c r="H1941" t="s">
        <v>27</v>
      </c>
      <c r="I1941" t="s">
        <v>28</v>
      </c>
      <c r="J1941" t="s">
        <v>29</v>
      </c>
      <c r="K1941" t="s">
        <v>30</v>
      </c>
      <c r="L1941" t="s">
        <v>29</v>
      </c>
      <c r="M1941" t="s">
        <v>30</v>
      </c>
      <c r="N1941" t="s">
        <v>27</v>
      </c>
      <c r="O1941" t="s">
        <v>28</v>
      </c>
      <c r="P1941" t="s">
        <v>29</v>
      </c>
      <c r="Q1941" t="s">
        <v>30</v>
      </c>
      <c r="R1941" s="1">
        <v>44273.489918981482</v>
      </c>
      <c r="S1941" s="1">
        <v>44273.489930555559</v>
      </c>
      <c r="T1941">
        <v>2</v>
      </c>
      <c r="U1941">
        <v>2</v>
      </c>
      <c r="V1941" s="2">
        <v>1</v>
      </c>
      <c r="W1941">
        <v>0</v>
      </c>
      <c r="X1941" t="s">
        <v>37</v>
      </c>
      <c r="Y1941">
        <v>0</v>
      </c>
      <c r="Z1941" t="s">
        <v>30</v>
      </c>
      <c r="AA1941">
        <v>0</v>
      </c>
      <c r="AB1941" t="s">
        <v>30</v>
      </c>
      <c r="AC1941">
        <v>0</v>
      </c>
      <c r="AD1941" t="s">
        <v>31</v>
      </c>
      <c r="AE1941">
        <v>0</v>
      </c>
      <c r="AF1941" t="s">
        <v>31</v>
      </c>
      <c r="AG1941">
        <v>0</v>
      </c>
      <c r="AH1941" t="s">
        <v>31</v>
      </c>
      <c r="AI1941">
        <v>0</v>
      </c>
      <c r="AJ1941" t="s">
        <v>31</v>
      </c>
      <c r="AK1941">
        <v>0</v>
      </c>
      <c r="AL1941" t="s">
        <v>31</v>
      </c>
      <c r="AM1941">
        <v>0</v>
      </c>
      <c r="AN1941" t="s">
        <v>31</v>
      </c>
      <c r="AO1941">
        <v>0</v>
      </c>
      <c r="AP1941" t="s">
        <v>31</v>
      </c>
      <c r="AQ1941">
        <v>0</v>
      </c>
    </row>
    <row r="1942" spans="1:43" x14ac:dyDescent="0.2">
      <c r="A1942" t="s">
        <v>381</v>
      </c>
      <c r="B1942" s="3">
        <v>44281</v>
      </c>
      <c r="C1942">
        <v>42</v>
      </c>
      <c r="D1942" t="s">
        <v>384</v>
      </c>
      <c r="E1942" t="s">
        <v>95</v>
      </c>
      <c r="F1942" s="9" t="s">
        <v>96</v>
      </c>
      <c r="G1942" t="s">
        <v>26</v>
      </c>
      <c r="H1942" t="s">
        <v>27</v>
      </c>
      <c r="I1942" t="s">
        <v>28</v>
      </c>
      <c r="J1942" t="s">
        <v>29</v>
      </c>
      <c r="K1942" t="s">
        <v>30</v>
      </c>
      <c r="L1942" t="s">
        <v>29</v>
      </c>
      <c r="M1942" t="s">
        <v>30</v>
      </c>
      <c r="N1942" t="s">
        <v>27</v>
      </c>
      <c r="O1942" t="s">
        <v>28</v>
      </c>
      <c r="P1942" t="s">
        <v>29</v>
      </c>
      <c r="Q1942" t="s">
        <v>30</v>
      </c>
      <c r="R1942" s="1">
        <v>44281.471041666664</v>
      </c>
      <c r="S1942" s="1">
        <v>44281.471041666664</v>
      </c>
      <c r="T1942">
        <v>1</v>
      </c>
      <c r="U1942">
        <v>1</v>
      </c>
      <c r="V1942" s="2">
        <v>1</v>
      </c>
      <c r="W1942">
        <v>0</v>
      </c>
      <c r="X1942" t="s">
        <v>30</v>
      </c>
      <c r="Y1942">
        <v>0</v>
      </c>
      <c r="Z1942" t="s">
        <v>31</v>
      </c>
      <c r="AA1942">
        <v>0</v>
      </c>
      <c r="AB1942" t="s">
        <v>31</v>
      </c>
      <c r="AC1942">
        <v>0</v>
      </c>
      <c r="AD1942" t="s">
        <v>31</v>
      </c>
      <c r="AE1942">
        <v>0</v>
      </c>
      <c r="AF1942" t="s">
        <v>31</v>
      </c>
      <c r="AG1942">
        <v>0</v>
      </c>
      <c r="AH1942" t="s">
        <v>31</v>
      </c>
      <c r="AI1942">
        <v>0</v>
      </c>
      <c r="AJ1942" t="s">
        <v>31</v>
      </c>
      <c r="AK1942">
        <v>0</v>
      </c>
      <c r="AL1942" t="s">
        <v>31</v>
      </c>
      <c r="AM1942">
        <v>0</v>
      </c>
      <c r="AN1942" t="s">
        <v>31</v>
      </c>
      <c r="AO1942">
        <v>0</v>
      </c>
      <c r="AP1942" t="s">
        <v>31</v>
      </c>
      <c r="AQ1942">
        <v>0</v>
      </c>
    </row>
    <row r="1943" spans="1:43" x14ac:dyDescent="0.2">
      <c r="A1943" t="s">
        <v>381</v>
      </c>
      <c r="B1943" s="3">
        <v>44285</v>
      </c>
      <c r="C1943">
        <v>44</v>
      </c>
      <c r="D1943" t="s">
        <v>385</v>
      </c>
      <c r="E1943" t="s">
        <v>95</v>
      </c>
      <c r="F1943" s="9" t="s">
        <v>96</v>
      </c>
      <c r="G1943" t="s">
        <v>26</v>
      </c>
      <c r="H1943" t="s">
        <v>27</v>
      </c>
      <c r="I1943" t="s">
        <v>28</v>
      </c>
      <c r="J1943" t="s">
        <v>29</v>
      </c>
      <c r="K1943" t="s">
        <v>30</v>
      </c>
      <c r="L1943" t="s">
        <v>29</v>
      </c>
      <c r="M1943" t="s">
        <v>30</v>
      </c>
      <c r="N1943" t="s">
        <v>27</v>
      </c>
      <c r="O1943" t="s">
        <v>28</v>
      </c>
      <c r="P1943" t="s">
        <v>29</v>
      </c>
      <c r="Q1943" t="s">
        <v>30</v>
      </c>
      <c r="R1943" s="1">
        <v>44285.465289351851</v>
      </c>
      <c r="S1943" s="1">
        <v>44285.46533564815</v>
      </c>
      <c r="T1943">
        <v>1</v>
      </c>
      <c r="U1943">
        <v>1</v>
      </c>
      <c r="V1943" s="2">
        <v>1</v>
      </c>
      <c r="W1943">
        <v>0</v>
      </c>
      <c r="X1943" t="s">
        <v>37</v>
      </c>
      <c r="Y1943">
        <v>0</v>
      </c>
      <c r="Z1943" t="s">
        <v>37</v>
      </c>
      <c r="AA1943">
        <v>0</v>
      </c>
      <c r="AB1943" t="s">
        <v>30</v>
      </c>
      <c r="AC1943">
        <v>0</v>
      </c>
      <c r="AD1943" t="s">
        <v>37</v>
      </c>
      <c r="AE1943">
        <v>0</v>
      </c>
      <c r="AF1943" t="s">
        <v>37</v>
      </c>
      <c r="AG1943">
        <v>0</v>
      </c>
      <c r="AH1943" t="s">
        <v>31</v>
      </c>
      <c r="AI1943">
        <v>0</v>
      </c>
      <c r="AJ1943" t="s">
        <v>31</v>
      </c>
      <c r="AK1943">
        <v>0</v>
      </c>
      <c r="AL1943" t="s">
        <v>31</v>
      </c>
      <c r="AM1943">
        <v>0</v>
      </c>
      <c r="AN1943" t="s">
        <v>31</v>
      </c>
      <c r="AO1943">
        <v>0</v>
      </c>
      <c r="AP1943" t="s">
        <v>31</v>
      </c>
      <c r="AQ1943">
        <v>0</v>
      </c>
    </row>
    <row r="1944" spans="1:43" x14ac:dyDescent="0.2">
      <c r="A1944" t="s">
        <v>381</v>
      </c>
      <c r="B1944" s="3">
        <v>44285</v>
      </c>
      <c r="C1944">
        <v>45</v>
      </c>
      <c r="D1944" t="s">
        <v>385</v>
      </c>
      <c r="E1944" t="s">
        <v>95</v>
      </c>
      <c r="F1944" s="9" t="s">
        <v>96</v>
      </c>
      <c r="G1944" t="s">
        <v>26</v>
      </c>
      <c r="H1944" t="s">
        <v>27</v>
      </c>
      <c r="I1944" t="s">
        <v>28</v>
      </c>
      <c r="J1944" t="s">
        <v>29</v>
      </c>
      <c r="K1944" t="s">
        <v>30</v>
      </c>
      <c r="L1944" t="s">
        <v>29</v>
      </c>
      <c r="M1944" t="s">
        <v>30</v>
      </c>
      <c r="N1944" t="s">
        <v>27</v>
      </c>
      <c r="O1944" t="s">
        <v>28</v>
      </c>
      <c r="P1944" t="s">
        <v>29</v>
      </c>
      <c r="Q1944" t="s">
        <v>30</v>
      </c>
      <c r="R1944" s="1">
        <v>44285.659259259257</v>
      </c>
      <c r="S1944" s="1">
        <v>44285.659305555557</v>
      </c>
      <c r="T1944">
        <v>0</v>
      </c>
      <c r="U1944">
        <v>0</v>
      </c>
      <c r="V1944" s="2">
        <v>0</v>
      </c>
      <c r="W1944">
        <v>0</v>
      </c>
      <c r="X1944" t="s">
        <v>37</v>
      </c>
      <c r="Y1944">
        <v>0</v>
      </c>
      <c r="Z1944" t="s">
        <v>37</v>
      </c>
      <c r="AA1944">
        <v>0</v>
      </c>
      <c r="AB1944" t="s">
        <v>37</v>
      </c>
      <c r="AC1944">
        <v>0</v>
      </c>
      <c r="AD1944" t="s">
        <v>37</v>
      </c>
      <c r="AE1944">
        <v>0</v>
      </c>
      <c r="AF1944" t="s">
        <v>31</v>
      </c>
      <c r="AG1944">
        <v>0</v>
      </c>
      <c r="AH1944" t="s">
        <v>31</v>
      </c>
      <c r="AI1944">
        <v>0</v>
      </c>
      <c r="AJ1944" t="s">
        <v>31</v>
      </c>
      <c r="AK1944">
        <v>0</v>
      </c>
      <c r="AL1944" t="s">
        <v>31</v>
      </c>
      <c r="AM1944">
        <v>0</v>
      </c>
      <c r="AN1944" t="s">
        <v>31</v>
      </c>
      <c r="AO1944">
        <v>0</v>
      </c>
      <c r="AP1944" t="s">
        <v>31</v>
      </c>
      <c r="AQ1944">
        <v>0</v>
      </c>
    </row>
    <row r="1945" spans="1:43" x14ac:dyDescent="0.2">
      <c r="A1945" t="s">
        <v>381</v>
      </c>
      <c r="B1945" s="3">
        <v>44286</v>
      </c>
      <c r="C1945">
        <v>46</v>
      </c>
      <c r="D1945" t="s">
        <v>384</v>
      </c>
      <c r="E1945" t="s">
        <v>95</v>
      </c>
      <c r="F1945" s="9" t="s">
        <v>96</v>
      </c>
      <c r="G1945" t="s">
        <v>26</v>
      </c>
      <c r="H1945" t="s">
        <v>27</v>
      </c>
      <c r="I1945" t="s">
        <v>28</v>
      </c>
      <c r="J1945" t="s">
        <v>29</v>
      </c>
      <c r="K1945" t="s">
        <v>30</v>
      </c>
      <c r="L1945" t="s">
        <v>29</v>
      </c>
      <c r="M1945" t="s">
        <v>30</v>
      </c>
      <c r="N1945" t="s">
        <v>27</v>
      </c>
      <c r="O1945" t="s">
        <v>28</v>
      </c>
      <c r="P1945" t="s">
        <v>29</v>
      </c>
      <c r="Q1945" t="s">
        <v>30</v>
      </c>
      <c r="R1945" s="1">
        <v>44286.466585648152</v>
      </c>
      <c r="S1945" s="1">
        <v>44286.466620370367</v>
      </c>
      <c r="T1945">
        <v>2</v>
      </c>
      <c r="U1945">
        <v>2</v>
      </c>
      <c r="V1945" s="2">
        <v>1</v>
      </c>
      <c r="W1945">
        <v>0</v>
      </c>
      <c r="X1945" t="s">
        <v>37</v>
      </c>
      <c r="Y1945">
        <v>0</v>
      </c>
      <c r="Z1945" t="s">
        <v>30</v>
      </c>
      <c r="AA1945">
        <v>0</v>
      </c>
      <c r="AB1945" t="s">
        <v>30</v>
      </c>
      <c r="AC1945">
        <v>0</v>
      </c>
      <c r="AD1945" t="s">
        <v>31</v>
      </c>
      <c r="AE1945">
        <v>0</v>
      </c>
      <c r="AF1945" t="s">
        <v>31</v>
      </c>
      <c r="AG1945">
        <v>0</v>
      </c>
      <c r="AH1945" t="s">
        <v>31</v>
      </c>
      <c r="AI1945">
        <v>0</v>
      </c>
      <c r="AJ1945" t="s">
        <v>31</v>
      </c>
      <c r="AK1945">
        <v>0</v>
      </c>
      <c r="AL1945" t="s">
        <v>31</v>
      </c>
      <c r="AM1945">
        <v>0</v>
      </c>
      <c r="AN1945" t="s">
        <v>31</v>
      </c>
      <c r="AO1945">
        <v>0</v>
      </c>
      <c r="AP1945" t="s">
        <v>31</v>
      </c>
      <c r="AQ1945">
        <v>0</v>
      </c>
    </row>
    <row r="1946" spans="1:43" x14ac:dyDescent="0.2">
      <c r="A1946" t="s">
        <v>381</v>
      </c>
      <c r="B1946" s="3">
        <v>44288</v>
      </c>
      <c r="C1946">
        <v>49</v>
      </c>
      <c r="D1946" t="s">
        <v>384</v>
      </c>
      <c r="E1946" t="s">
        <v>95</v>
      </c>
      <c r="F1946" s="9" t="s">
        <v>96</v>
      </c>
      <c r="G1946" t="s">
        <v>26</v>
      </c>
      <c r="H1946" t="s">
        <v>27</v>
      </c>
      <c r="I1946" t="s">
        <v>28</v>
      </c>
      <c r="J1946" t="s">
        <v>29</v>
      </c>
      <c r="K1946" t="s">
        <v>30</v>
      </c>
      <c r="L1946" t="s">
        <v>29</v>
      </c>
      <c r="M1946" t="s">
        <v>30</v>
      </c>
      <c r="N1946" t="s">
        <v>27</v>
      </c>
      <c r="O1946" t="s">
        <v>28</v>
      </c>
      <c r="P1946" t="s">
        <v>29</v>
      </c>
      <c r="Q1946" t="s">
        <v>30</v>
      </c>
      <c r="R1946" s="1">
        <v>44288.427997685183</v>
      </c>
      <c r="S1946" s="1">
        <v>44288.428391203706</v>
      </c>
      <c r="T1946">
        <v>2</v>
      </c>
      <c r="U1946">
        <v>2</v>
      </c>
      <c r="V1946" s="2">
        <v>1</v>
      </c>
      <c r="W1946">
        <v>0</v>
      </c>
      <c r="X1946" t="s">
        <v>30</v>
      </c>
      <c r="Y1946">
        <v>0</v>
      </c>
      <c r="Z1946" t="s">
        <v>30</v>
      </c>
      <c r="AA1946">
        <v>0</v>
      </c>
      <c r="AB1946" t="s">
        <v>31</v>
      </c>
      <c r="AC1946">
        <v>0</v>
      </c>
      <c r="AD1946" t="s">
        <v>31</v>
      </c>
      <c r="AE1946">
        <v>0</v>
      </c>
      <c r="AF1946" t="s">
        <v>31</v>
      </c>
      <c r="AG1946">
        <v>0</v>
      </c>
      <c r="AH1946" t="s">
        <v>31</v>
      </c>
      <c r="AI1946">
        <v>0</v>
      </c>
      <c r="AJ1946" t="s">
        <v>31</v>
      </c>
      <c r="AK1946">
        <v>0</v>
      </c>
      <c r="AL1946" t="s">
        <v>31</v>
      </c>
      <c r="AM1946">
        <v>0</v>
      </c>
      <c r="AN1946" t="s">
        <v>31</v>
      </c>
      <c r="AO1946">
        <v>0</v>
      </c>
      <c r="AP1946" t="s">
        <v>31</v>
      </c>
      <c r="AQ1946">
        <v>0</v>
      </c>
    </row>
    <row r="1947" spans="1:43" x14ac:dyDescent="0.2">
      <c r="A1947" t="s">
        <v>381</v>
      </c>
      <c r="B1947" s="3">
        <v>44291</v>
      </c>
      <c r="C1947">
        <v>50</v>
      </c>
      <c r="D1947" t="s">
        <v>384</v>
      </c>
      <c r="E1947" t="s">
        <v>95</v>
      </c>
      <c r="F1947" s="9" t="s">
        <v>96</v>
      </c>
      <c r="G1947" t="s">
        <v>26</v>
      </c>
      <c r="H1947" t="s">
        <v>27</v>
      </c>
      <c r="I1947" t="s">
        <v>28</v>
      </c>
      <c r="J1947" t="s">
        <v>29</v>
      </c>
      <c r="K1947" t="s">
        <v>30</v>
      </c>
      <c r="L1947" t="s">
        <v>29</v>
      </c>
      <c r="M1947" t="s">
        <v>30</v>
      </c>
      <c r="N1947" t="s">
        <v>27</v>
      </c>
      <c r="O1947" t="s">
        <v>28</v>
      </c>
      <c r="P1947" t="s">
        <v>29</v>
      </c>
      <c r="Q1947" t="s">
        <v>30</v>
      </c>
      <c r="R1947" s="1">
        <v>44291.458483796298</v>
      </c>
      <c r="S1947" s="1">
        <v>44291.458749999998</v>
      </c>
      <c r="T1947">
        <v>1</v>
      </c>
      <c r="U1947">
        <v>1</v>
      </c>
      <c r="V1947" s="2">
        <v>1</v>
      </c>
      <c r="W1947">
        <v>0</v>
      </c>
      <c r="X1947" t="s">
        <v>37</v>
      </c>
      <c r="Y1947">
        <v>0</v>
      </c>
      <c r="Z1947" t="s">
        <v>30</v>
      </c>
      <c r="AA1947">
        <v>0</v>
      </c>
      <c r="AB1947" t="s">
        <v>31</v>
      </c>
      <c r="AC1947">
        <v>0</v>
      </c>
      <c r="AD1947" t="s">
        <v>31</v>
      </c>
      <c r="AE1947">
        <v>0</v>
      </c>
      <c r="AF1947" t="s">
        <v>31</v>
      </c>
      <c r="AG1947">
        <v>0</v>
      </c>
      <c r="AH1947" t="s">
        <v>31</v>
      </c>
      <c r="AI1947">
        <v>0</v>
      </c>
      <c r="AJ1947" t="s">
        <v>31</v>
      </c>
      <c r="AK1947">
        <v>0</v>
      </c>
      <c r="AL1947" t="s">
        <v>31</v>
      </c>
      <c r="AM1947">
        <v>0</v>
      </c>
      <c r="AN1947" t="s">
        <v>31</v>
      </c>
      <c r="AO1947">
        <v>0</v>
      </c>
      <c r="AP1947" t="s">
        <v>31</v>
      </c>
      <c r="AQ1947">
        <v>0</v>
      </c>
    </row>
    <row r="1948" spans="1:43" x14ac:dyDescent="0.2">
      <c r="A1948" t="s">
        <v>381</v>
      </c>
      <c r="B1948" s="3">
        <v>44293</v>
      </c>
      <c r="C1948">
        <v>53</v>
      </c>
      <c r="D1948" t="s">
        <v>384</v>
      </c>
      <c r="E1948" t="s">
        <v>95</v>
      </c>
      <c r="F1948" s="9" t="s">
        <v>96</v>
      </c>
      <c r="G1948" t="s">
        <v>26</v>
      </c>
      <c r="H1948" t="s">
        <v>27</v>
      </c>
      <c r="I1948" t="s">
        <v>28</v>
      </c>
      <c r="J1948" t="s">
        <v>29</v>
      </c>
      <c r="K1948" t="s">
        <v>30</v>
      </c>
      <c r="L1948" t="s">
        <v>29</v>
      </c>
      <c r="M1948" t="s">
        <v>30</v>
      </c>
      <c r="N1948" t="s">
        <v>27</v>
      </c>
      <c r="O1948" t="s">
        <v>28</v>
      </c>
      <c r="P1948" t="s">
        <v>29</v>
      </c>
      <c r="Q1948" t="s">
        <v>30</v>
      </c>
      <c r="R1948" s="1">
        <v>44293.435879629629</v>
      </c>
      <c r="S1948" s="1">
        <v>44293.435891203706</v>
      </c>
      <c r="T1948">
        <v>2</v>
      </c>
      <c r="U1948">
        <v>2</v>
      </c>
      <c r="V1948" s="2">
        <v>1</v>
      </c>
      <c r="W1948">
        <v>0</v>
      </c>
      <c r="X1948" t="s">
        <v>30</v>
      </c>
      <c r="Y1948">
        <v>0</v>
      </c>
      <c r="Z1948" t="s">
        <v>30</v>
      </c>
      <c r="AA1948">
        <v>0</v>
      </c>
      <c r="AB1948" t="s">
        <v>31</v>
      </c>
      <c r="AC1948">
        <v>0</v>
      </c>
      <c r="AD1948" t="s">
        <v>31</v>
      </c>
      <c r="AE1948">
        <v>0</v>
      </c>
      <c r="AF1948" t="s">
        <v>31</v>
      </c>
      <c r="AG1948">
        <v>0</v>
      </c>
      <c r="AH1948" t="s">
        <v>31</v>
      </c>
      <c r="AI1948">
        <v>0</v>
      </c>
      <c r="AJ1948" t="s">
        <v>31</v>
      </c>
      <c r="AK1948">
        <v>0</v>
      </c>
      <c r="AL1948" t="s">
        <v>31</v>
      </c>
      <c r="AM1948">
        <v>0</v>
      </c>
      <c r="AN1948" t="s">
        <v>31</v>
      </c>
      <c r="AO1948">
        <v>0</v>
      </c>
      <c r="AP1948" t="s">
        <v>31</v>
      </c>
      <c r="AQ1948">
        <v>0</v>
      </c>
    </row>
    <row r="1949" spans="1:43" x14ac:dyDescent="0.2">
      <c r="A1949" t="s">
        <v>381</v>
      </c>
      <c r="B1949" s="3">
        <v>44294</v>
      </c>
      <c r="C1949">
        <v>55</v>
      </c>
      <c r="D1949" t="s">
        <v>385</v>
      </c>
      <c r="E1949" t="s">
        <v>95</v>
      </c>
      <c r="F1949" s="9" t="s">
        <v>96</v>
      </c>
      <c r="G1949" t="s">
        <v>26</v>
      </c>
      <c r="H1949" t="s">
        <v>27</v>
      </c>
      <c r="I1949" t="s">
        <v>28</v>
      </c>
      <c r="J1949" t="s">
        <v>29</v>
      </c>
      <c r="K1949" t="s">
        <v>30</v>
      </c>
      <c r="L1949" t="s">
        <v>29</v>
      </c>
      <c r="M1949" t="s">
        <v>30</v>
      </c>
      <c r="N1949" t="s">
        <v>27</v>
      </c>
      <c r="O1949" t="s">
        <v>28</v>
      </c>
      <c r="P1949" t="s">
        <v>29</v>
      </c>
      <c r="Q1949" t="s">
        <v>30</v>
      </c>
      <c r="R1949" s="1">
        <v>44294.654988425929</v>
      </c>
      <c r="S1949" s="1">
        <v>44294.654988425929</v>
      </c>
      <c r="T1949">
        <v>0</v>
      </c>
      <c r="U1949">
        <v>0</v>
      </c>
      <c r="V1949" s="2">
        <v>0</v>
      </c>
      <c r="W1949">
        <v>0</v>
      </c>
      <c r="X1949" t="s">
        <v>37</v>
      </c>
      <c r="Y1949">
        <v>0</v>
      </c>
      <c r="Z1949" t="s">
        <v>37</v>
      </c>
      <c r="AA1949">
        <v>0</v>
      </c>
      <c r="AB1949" t="s">
        <v>31</v>
      </c>
      <c r="AC1949">
        <v>0</v>
      </c>
      <c r="AD1949" t="s">
        <v>31</v>
      </c>
      <c r="AE1949">
        <v>0</v>
      </c>
      <c r="AF1949" t="s">
        <v>31</v>
      </c>
      <c r="AG1949">
        <v>0</v>
      </c>
      <c r="AH1949" t="s">
        <v>31</v>
      </c>
      <c r="AI1949">
        <v>0</v>
      </c>
      <c r="AJ1949" t="s">
        <v>31</v>
      </c>
      <c r="AK1949">
        <v>0</v>
      </c>
      <c r="AL1949" t="s">
        <v>31</v>
      </c>
      <c r="AM1949">
        <v>0</v>
      </c>
      <c r="AN1949" t="s">
        <v>31</v>
      </c>
      <c r="AO1949">
        <v>0</v>
      </c>
      <c r="AP1949" t="s">
        <v>31</v>
      </c>
      <c r="AQ1949">
        <v>0</v>
      </c>
    </row>
    <row r="1950" spans="1:43" x14ac:dyDescent="0.2">
      <c r="A1950" t="s">
        <v>381</v>
      </c>
      <c r="B1950" s="3">
        <v>44295</v>
      </c>
      <c r="C1950">
        <v>56</v>
      </c>
      <c r="D1950" t="s">
        <v>384</v>
      </c>
      <c r="E1950" t="s">
        <v>95</v>
      </c>
      <c r="F1950" s="9" t="s">
        <v>96</v>
      </c>
      <c r="G1950" t="s">
        <v>26</v>
      </c>
      <c r="H1950" t="s">
        <v>27</v>
      </c>
      <c r="I1950" t="s">
        <v>28</v>
      </c>
      <c r="J1950" t="s">
        <v>29</v>
      </c>
      <c r="K1950" t="s">
        <v>30</v>
      </c>
      <c r="L1950" t="s">
        <v>29</v>
      </c>
      <c r="M1950" t="s">
        <v>30</v>
      </c>
      <c r="N1950" t="s">
        <v>27</v>
      </c>
      <c r="O1950" t="s">
        <v>28</v>
      </c>
      <c r="P1950" t="s">
        <v>29</v>
      </c>
      <c r="Q1950" t="s">
        <v>30</v>
      </c>
      <c r="R1950" s="1">
        <v>44295.455497685187</v>
      </c>
      <c r="S1950" s="1">
        <v>44295.455821759257</v>
      </c>
      <c r="T1950">
        <v>2</v>
      </c>
      <c r="U1950">
        <v>2</v>
      </c>
      <c r="V1950" s="2">
        <v>1</v>
      </c>
      <c r="W1950">
        <v>0</v>
      </c>
      <c r="X1950" t="s">
        <v>37</v>
      </c>
      <c r="Y1950">
        <v>0</v>
      </c>
      <c r="Z1950" t="s">
        <v>30</v>
      </c>
      <c r="AA1950">
        <v>0</v>
      </c>
      <c r="AB1950" t="s">
        <v>30</v>
      </c>
      <c r="AC1950">
        <v>0</v>
      </c>
      <c r="AD1950" t="s">
        <v>31</v>
      </c>
      <c r="AE1950">
        <v>0</v>
      </c>
      <c r="AF1950" t="s">
        <v>31</v>
      </c>
      <c r="AG1950">
        <v>0</v>
      </c>
      <c r="AH1950" t="s">
        <v>31</v>
      </c>
      <c r="AI1950">
        <v>0</v>
      </c>
      <c r="AJ1950" t="s">
        <v>31</v>
      </c>
      <c r="AK1950">
        <v>0</v>
      </c>
      <c r="AL1950" t="s">
        <v>31</v>
      </c>
      <c r="AM1950">
        <v>0</v>
      </c>
      <c r="AN1950" t="s">
        <v>31</v>
      </c>
      <c r="AO1950">
        <v>0</v>
      </c>
      <c r="AP1950" t="s">
        <v>31</v>
      </c>
      <c r="AQ1950">
        <v>0</v>
      </c>
    </row>
    <row r="1951" spans="1:43" x14ac:dyDescent="0.2">
      <c r="A1951" t="s">
        <v>381</v>
      </c>
      <c r="B1951" s="3">
        <v>44299</v>
      </c>
      <c r="C1951">
        <v>59</v>
      </c>
      <c r="D1951" t="s">
        <v>385</v>
      </c>
      <c r="E1951" t="s">
        <v>95</v>
      </c>
      <c r="F1951" s="9" t="s">
        <v>96</v>
      </c>
      <c r="G1951" t="s">
        <v>26</v>
      </c>
      <c r="H1951" t="s">
        <v>27</v>
      </c>
      <c r="I1951" t="s">
        <v>28</v>
      </c>
      <c r="J1951" t="s">
        <v>29</v>
      </c>
      <c r="K1951" t="s">
        <v>30</v>
      </c>
      <c r="L1951" t="s">
        <v>29</v>
      </c>
      <c r="M1951" t="s">
        <v>30</v>
      </c>
      <c r="N1951" t="s">
        <v>27</v>
      </c>
      <c r="O1951" t="s">
        <v>28</v>
      </c>
      <c r="P1951" t="s">
        <v>29</v>
      </c>
      <c r="Q1951" t="s">
        <v>30</v>
      </c>
      <c r="R1951" s="1">
        <v>44299.543900462966</v>
      </c>
      <c r="S1951" s="1">
        <v>44299.543969907405</v>
      </c>
      <c r="T1951">
        <v>3</v>
      </c>
      <c r="U1951">
        <v>4</v>
      </c>
      <c r="V1951" s="2">
        <v>0.75</v>
      </c>
      <c r="W1951">
        <v>0</v>
      </c>
      <c r="X1951" t="s">
        <v>30</v>
      </c>
      <c r="Y1951">
        <v>0</v>
      </c>
      <c r="Z1951" t="s">
        <v>30</v>
      </c>
      <c r="AA1951">
        <v>0</v>
      </c>
      <c r="AB1951" t="s">
        <v>44</v>
      </c>
      <c r="AC1951">
        <v>0</v>
      </c>
      <c r="AD1951" t="s">
        <v>30</v>
      </c>
      <c r="AE1951">
        <v>0</v>
      </c>
      <c r="AF1951" t="s">
        <v>31</v>
      </c>
      <c r="AG1951">
        <v>0</v>
      </c>
      <c r="AH1951" t="s">
        <v>31</v>
      </c>
      <c r="AI1951">
        <v>0</v>
      </c>
      <c r="AJ1951" t="s">
        <v>31</v>
      </c>
      <c r="AK1951">
        <v>0</v>
      </c>
      <c r="AL1951" t="s">
        <v>31</v>
      </c>
      <c r="AM1951">
        <v>0</v>
      </c>
      <c r="AN1951" t="s">
        <v>31</v>
      </c>
      <c r="AO1951">
        <v>0</v>
      </c>
      <c r="AP1951" t="s">
        <v>31</v>
      </c>
      <c r="AQ1951">
        <v>0</v>
      </c>
    </row>
    <row r="1952" spans="1:43" x14ac:dyDescent="0.2">
      <c r="A1952" t="s">
        <v>381</v>
      </c>
      <c r="B1952" s="3">
        <v>44308</v>
      </c>
      <c r="C1952">
        <v>69</v>
      </c>
      <c r="D1952" t="s">
        <v>385</v>
      </c>
      <c r="E1952" t="s">
        <v>95</v>
      </c>
      <c r="F1952" s="9" t="s">
        <v>96</v>
      </c>
      <c r="G1952" t="s">
        <v>26</v>
      </c>
      <c r="H1952" t="s">
        <v>27</v>
      </c>
      <c r="I1952" t="s">
        <v>28</v>
      </c>
      <c r="J1952" t="s">
        <v>29</v>
      </c>
      <c r="K1952" t="s">
        <v>30</v>
      </c>
      <c r="L1952" t="s">
        <v>29</v>
      </c>
      <c r="M1952" t="s">
        <v>30</v>
      </c>
      <c r="N1952" t="s">
        <v>27</v>
      </c>
      <c r="O1952" t="s">
        <v>28</v>
      </c>
      <c r="P1952" t="s">
        <v>29</v>
      </c>
      <c r="Q1952" t="s">
        <v>30</v>
      </c>
      <c r="R1952" s="1">
        <v>44308.639548611114</v>
      </c>
      <c r="S1952" s="1">
        <v>44308.639548611114</v>
      </c>
      <c r="T1952">
        <v>0</v>
      </c>
      <c r="U1952">
        <v>0</v>
      </c>
      <c r="V1952" s="2">
        <v>0</v>
      </c>
      <c r="W1952">
        <v>0</v>
      </c>
      <c r="X1952" t="s">
        <v>37</v>
      </c>
      <c r="Y1952">
        <v>0</v>
      </c>
      <c r="Z1952" t="s">
        <v>37</v>
      </c>
      <c r="AA1952">
        <v>0</v>
      </c>
      <c r="AB1952" t="s">
        <v>31</v>
      </c>
      <c r="AC1952">
        <v>0</v>
      </c>
      <c r="AD1952" t="s">
        <v>31</v>
      </c>
      <c r="AE1952">
        <v>0</v>
      </c>
      <c r="AF1952" t="s">
        <v>31</v>
      </c>
      <c r="AG1952">
        <v>0</v>
      </c>
      <c r="AH1952" t="s">
        <v>31</v>
      </c>
      <c r="AI1952">
        <v>0</v>
      </c>
      <c r="AJ1952" t="s">
        <v>31</v>
      </c>
      <c r="AK1952">
        <v>0</v>
      </c>
      <c r="AL1952" t="s">
        <v>31</v>
      </c>
      <c r="AM1952">
        <v>0</v>
      </c>
      <c r="AN1952" t="s">
        <v>31</v>
      </c>
      <c r="AO1952">
        <v>0</v>
      </c>
      <c r="AP1952" t="s">
        <v>31</v>
      </c>
      <c r="AQ1952">
        <v>0</v>
      </c>
    </row>
    <row r="1953" spans="1:43" x14ac:dyDescent="0.2">
      <c r="A1953" t="s">
        <v>381</v>
      </c>
      <c r="B1953" s="3">
        <v>44320</v>
      </c>
      <c r="C1953">
        <v>87</v>
      </c>
      <c r="D1953" t="s">
        <v>385</v>
      </c>
      <c r="E1953" t="s">
        <v>95</v>
      </c>
      <c r="F1953" s="9" t="s">
        <v>96</v>
      </c>
      <c r="G1953" t="s">
        <v>26</v>
      </c>
      <c r="H1953" t="s">
        <v>27</v>
      </c>
      <c r="I1953" t="s">
        <v>28</v>
      </c>
      <c r="J1953" t="s">
        <v>29</v>
      </c>
      <c r="K1953" t="s">
        <v>30</v>
      </c>
      <c r="L1953" t="s">
        <v>29</v>
      </c>
      <c r="M1953" t="s">
        <v>30</v>
      </c>
      <c r="N1953" t="s">
        <v>27</v>
      </c>
      <c r="O1953" t="s">
        <v>28</v>
      </c>
      <c r="P1953" t="s">
        <v>29</v>
      </c>
      <c r="Q1953" t="s">
        <v>30</v>
      </c>
      <c r="R1953" s="1">
        <v>44320.639456018522</v>
      </c>
      <c r="S1953" s="1">
        <v>44320.639456018522</v>
      </c>
      <c r="T1953">
        <v>0</v>
      </c>
      <c r="U1953">
        <v>0</v>
      </c>
      <c r="V1953" s="2">
        <v>0</v>
      </c>
      <c r="W1953">
        <v>0</v>
      </c>
      <c r="X1953" t="s">
        <v>37</v>
      </c>
      <c r="Y1953">
        <v>0</v>
      </c>
      <c r="Z1953" t="s">
        <v>31</v>
      </c>
      <c r="AA1953">
        <v>0</v>
      </c>
      <c r="AB1953" t="s">
        <v>31</v>
      </c>
      <c r="AC1953">
        <v>0</v>
      </c>
      <c r="AD1953" t="s">
        <v>31</v>
      </c>
      <c r="AE1953">
        <v>0</v>
      </c>
      <c r="AF1953" t="s">
        <v>31</v>
      </c>
      <c r="AG1953">
        <v>0</v>
      </c>
      <c r="AH1953" t="s">
        <v>31</v>
      </c>
      <c r="AI1953">
        <v>0</v>
      </c>
      <c r="AJ1953" t="s">
        <v>31</v>
      </c>
      <c r="AK1953">
        <v>0</v>
      </c>
      <c r="AL1953" t="s">
        <v>31</v>
      </c>
      <c r="AM1953">
        <v>0</v>
      </c>
      <c r="AN1953" t="s">
        <v>31</v>
      </c>
      <c r="AO1953">
        <v>0</v>
      </c>
      <c r="AP1953" t="s">
        <v>31</v>
      </c>
      <c r="AQ1953">
        <v>0</v>
      </c>
    </row>
    <row r="1954" spans="1:43" x14ac:dyDescent="0.2">
      <c r="A1954" t="s">
        <v>381</v>
      </c>
      <c r="B1954" s="3">
        <v>44323</v>
      </c>
      <c r="C1954">
        <v>91</v>
      </c>
      <c r="D1954" t="s">
        <v>391</v>
      </c>
      <c r="E1954" t="s">
        <v>95</v>
      </c>
      <c r="F1954" s="9" t="s">
        <v>96</v>
      </c>
      <c r="G1954" t="s">
        <v>26</v>
      </c>
      <c r="H1954" t="s">
        <v>27</v>
      </c>
      <c r="I1954" t="s">
        <v>28</v>
      </c>
      <c r="J1954" t="s">
        <v>29</v>
      </c>
      <c r="K1954" t="s">
        <v>30</v>
      </c>
      <c r="L1954" t="s">
        <v>29</v>
      </c>
      <c r="M1954" t="s">
        <v>30</v>
      </c>
      <c r="N1954" t="s">
        <v>27</v>
      </c>
      <c r="O1954" t="s">
        <v>28</v>
      </c>
      <c r="P1954" t="s">
        <v>29</v>
      </c>
      <c r="Q1954" t="s">
        <v>30</v>
      </c>
      <c r="R1954" s="1">
        <v>44323.644791666666</v>
      </c>
      <c r="S1954" s="1">
        <v>44323.644803240742</v>
      </c>
      <c r="T1954">
        <v>0</v>
      </c>
      <c r="U1954">
        <v>0</v>
      </c>
      <c r="V1954" s="2">
        <v>0</v>
      </c>
      <c r="W1954">
        <v>0</v>
      </c>
      <c r="X1954" t="s">
        <v>37</v>
      </c>
      <c r="Y1954">
        <v>0</v>
      </c>
      <c r="Z1954" t="s">
        <v>37</v>
      </c>
      <c r="AA1954">
        <v>0</v>
      </c>
      <c r="AB1954" t="s">
        <v>37</v>
      </c>
      <c r="AC1954">
        <v>0</v>
      </c>
      <c r="AD1954" t="s">
        <v>31</v>
      </c>
      <c r="AE1954">
        <v>0</v>
      </c>
      <c r="AF1954" t="s">
        <v>31</v>
      </c>
      <c r="AG1954">
        <v>0</v>
      </c>
      <c r="AH1954" t="s">
        <v>31</v>
      </c>
      <c r="AI1954">
        <v>0</v>
      </c>
      <c r="AJ1954" t="s">
        <v>31</v>
      </c>
      <c r="AK1954">
        <v>0</v>
      </c>
      <c r="AL1954" t="s">
        <v>31</v>
      </c>
      <c r="AM1954">
        <v>0</v>
      </c>
      <c r="AN1954" t="s">
        <v>31</v>
      </c>
      <c r="AO1954">
        <v>0</v>
      </c>
      <c r="AP1954" t="s">
        <v>31</v>
      </c>
      <c r="AQ1954">
        <v>0</v>
      </c>
    </row>
    <row r="1955" spans="1:43" x14ac:dyDescent="0.2">
      <c r="A1955" t="s">
        <v>381</v>
      </c>
      <c r="B1955" s="3">
        <v>44334</v>
      </c>
      <c r="C1955">
        <v>99</v>
      </c>
      <c r="D1955" t="s">
        <v>385</v>
      </c>
      <c r="E1955" t="s">
        <v>95</v>
      </c>
      <c r="F1955" s="9" t="s">
        <v>96</v>
      </c>
      <c r="G1955" t="s">
        <v>26</v>
      </c>
      <c r="H1955" t="s">
        <v>27</v>
      </c>
      <c r="I1955" t="s">
        <v>28</v>
      </c>
      <c r="J1955" t="s">
        <v>29</v>
      </c>
      <c r="K1955" t="s">
        <v>30</v>
      </c>
      <c r="L1955" t="s">
        <v>29</v>
      </c>
      <c r="M1955" t="s">
        <v>30</v>
      </c>
      <c r="N1955" t="s">
        <v>27</v>
      </c>
      <c r="O1955" t="s">
        <v>28</v>
      </c>
      <c r="P1955" t="s">
        <v>29</v>
      </c>
      <c r="Q1955" t="s">
        <v>30</v>
      </c>
      <c r="R1955" s="1">
        <v>44334.62127314815</v>
      </c>
      <c r="S1955" s="1">
        <v>44334.62128472222</v>
      </c>
      <c r="T1955">
        <v>0</v>
      </c>
      <c r="U1955">
        <v>0</v>
      </c>
      <c r="V1955" s="2">
        <v>0</v>
      </c>
      <c r="W1955">
        <v>0</v>
      </c>
      <c r="X1955" t="s">
        <v>37</v>
      </c>
      <c r="Y1955">
        <v>0</v>
      </c>
      <c r="Z1955" t="s">
        <v>37</v>
      </c>
      <c r="AA1955">
        <v>0</v>
      </c>
      <c r="AB1955" t="s">
        <v>31</v>
      </c>
      <c r="AC1955">
        <v>0</v>
      </c>
      <c r="AD1955" t="s">
        <v>31</v>
      </c>
      <c r="AE1955">
        <v>0</v>
      </c>
      <c r="AF1955" t="s">
        <v>31</v>
      </c>
      <c r="AG1955">
        <v>0</v>
      </c>
      <c r="AH1955" t="s">
        <v>31</v>
      </c>
      <c r="AI1955">
        <v>0</v>
      </c>
      <c r="AJ1955" t="s">
        <v>31</v>
      </c>
      <c r="AK1955">
        <v>0</v>
      </c>
      <c r="AL1955" t="s">
        <v>31</v>
      </c>
      <c r="AM1955">
        <v>0</v>
      </c>
      <c r="AN1955" t="s">
        <v>31</v>
      </c>
      <c r="AO1955">
        <v>0</v>
      </c>
      <c r="AP1955" t="s">
        <v>31</v>
      </c>
      <c r="AQ1955">
        <v>0</v>
      </c>
    </row>
    <row r="1956" spans="1:43" x14ac:dyDescent="0.2">
      <c r="A1956" t="s">
        <v>381</v>
      </c>
      <c r="B1956" s="3">
        <v>44342</v>
      </c>
      <c r="C1956">
        <v>112</v>
      </c>
      <c r="D1956" t="s">
        <v>394</v>
      </c>
      <c r="E1956" t="s">
        <v>95</v>
      </c>
      <c r="F1956" s="9" t="s">
        <v>96</v>
      </c>
      <c r="G1956" t="s">
        <v>26</v>
      </c>
      <c r="H1956" t="s">
        <v>27</v>
      </c>
      <c r="I1956" t="s">
        <v>28</v>
      </c>
      <c r="J1956" t="s">
        <v>29</v>
      </c>
      <c r="K1956" t="s">
        <v>30</v>
      </c>
      <c r="L1956" t="s">
        <v>29</v>
      </c>
      <c r="M1956" t="s">
        <v>30</v>
      </c>
      <c r="N1956" t="s">
        <v>27</v>
      </c>
      <c r="O1956" t="s">
        <v>28</v>
      </c>
      <c r="P1956" t="s">
        <v>29</v>
      </c>
      <c r="Q1956" t="s">
        <v>30</v>
      </c>
      <c r="R1956" s="1">
        <v>44342.486585648148</v>
      </c>
      <c r="S1956" s="1">
        <v>44342.486585648148</v>
      </c>
      <c r="T1956">
        <v>0</v>
      </c>
      <c r="U1956">
        <v>0</v>
      </c>
      <c r="V1956" s="2">
        <v>0</v>
      </c>
      <c r="W1956">
        <v>0</v>
      </c>
      <c r="X1956" t="s">
        <v>37</v>
      </c>
      <c r="Y1956">
        <v>0</v>
      </c>
      <c r="Z1956" t="s">
        <v>31</v>
      </c>
      <c r="AA1956">
        <v>0</v>
      </c>
      <c r="AB1956" t="s">
        <v>31</v>
      </c>
      <c r="AC1956">
        <v>0</v>
      </c>
      <c r="AD1956" t="s">
        <v>31</v>
      </c>
      <c r="AE1956">
        <v>0</v>
      </c>
      <c r="AF1956" t="s">
        <v>31</v>
      </c>
      <c r="AG1956">
        <v>0</v>
      </c>
      <c r="AH1956" t="s">
        <v>31</v>
      </c>
      <c r="AI1956">
        <v>0</v>
      </c>
      <c r="AJ1956" t="s">
        <v>31</v>
      </c>
      <c r="AK1956">
        <v>0</v>
      </c>
      <c r="AL1956" t="s">
        <v>31</v>
      </c>
      <c r="AM1956">
        <v>0</v>
      </c>
      <c r="AN1956" t="s">
        <v>31</v>
      </c>
      <c r="AO1956">
        <v>0</v>
      </c>
      <c r="AP1956" t="s">
        <v>31</v>
      </c>
      <c r="AQ1956">
        <v>0</v>
      </c>
    </row>
    <row r="1957" spans="1:43" x14ac:dyDescent="0.2">
      <c r="A1957" t="s">
        <v>381</v>
      </c>
      <c r="B1957" s="3">
        <v>44350</v>
      </c>
      <c r="C1957">
        <v>123</v>
      </c>
      <c r="D1957" t="s">
        <v>382</v>
      </c>
      <c r="E1957" t="s">
        <v>95</v>
      </c>
      <c r="F1957" s="9" t="s">
        <v>96</v>
      </c>
      <c r="G1957" t="s">
        <v>26</v>
      </c>
      <c r="H1957" t="s">
        <v>27</v>
      </c>
      <c r="I1957" t="s">
        <v>28</v>
      </c>
      <c r="J1957" t="s">
        <v>29</v>
      </c>
      <c r="K1957" t="s">
        <v>30</v>
      </c>
      <c r="L1957" t="s">
        <v>29</v>
      </c>
      <c r="M1957" t="s">
        <v>30</v>
      </c>
      <c r="N1957" t="s">
        <v>27</v>
      </c>
      <c r="O1957" t="s">
        <v>28</v>
      </c>
      <c r="P1957" t="s">
        <v>29</v>
      </c>
      <c r="Q1957" t="s">
        <v>30</v>
      </c>
      <c r="R1957" s="1">
        <v>44350.410092592596</v>
      </c>
      <c r="S1957" s="1">
        <v>44350.410092592596</v>
      </c>
      <c r="T1957">
        <v>0</v>
      </c>
      <c r="U1957">
        <v>0</v>
      </c>
      <c r="V1957" s="2">
        <v>0</v>
      </c>
      <c r="W1957">
        <v>0</v>
      </c>
      <c r="X1957" t="s">
        <v>37</v>
      </c>
      <c r="Y1957">
        <v>0</v>
      </c>
      <c r="Z1957" t="s">
        <v>37</v>
      </c>
      <c r="AA1957">
        <v>0</v>
      </c>
      <c r="AB1957" t="s">
        <v>37</v>
      </c>
      <c r="AC1957">
        <v>0</v>
      </c>
      <c r="AD1957" t="s">
        <v>31</v>
      </c>
      <c r="AE1957">
        <v>0</v>
      </c>
      <c r="AF1957" t="s">
        <v>31</v>
      </c>
      <c r="AG1957">
        <v>0</v>
      </c>
      <c r="AH1957" t="s">
        <v>31</v>
      </c>
      <c r="AI1957">
        <v>0</v>
      </c>
      <c r="AJ1957" t="s">
        <v>31</v>
      </c>
      <c r="AK1957">
        <v>0</v>
      </c>
      <c r="AL1957" t="s">
        <v>31</v>
      </c>
      <c r="AM1957">
        <v>0</v>
      </c>
      <c r="AN1957" t="s">
        <v>31</v>
      </c>
      <c r="AO1957">
        <v>0</v>
      </c>
      <c r="AP1957" t="s">
        <v>31</v>
      </c>
      <c r="AQ1957">
        <v>0</v>
      </c>
    </row>
    <row r="1958" spans="1:43" x14ac:dyDescent="0.2">
      <c r="A1958" t="s">
        <v>381</v>
      </c>
      <c r="B1958" s="3">
        <v>44354</v>
      </c>
      <c r="C1958">
        <v>127</v>
      </c>
      <c r="D1958" t="s">
        <v>383</v>
      </c>
      <c r="E1958" t="s">
        <v>95</v>
      </c>
      <c r="F1958" s="9" t="s">
        <v>96</v>
      </c>
      <c r="G1958" t="s">
        <v>26</v>
      </c>
      <c r="H1958" t="s">
        <v>27</v>
      </c>
      <c r="I1958" t="s">
        <v>28</v>
      </c>
      <c r="J1958" t="s">
        <v>29</v>
      </c>
      <c r="K1958" t="s">
        <v>30</v>
      </c>
      <c r="L1958" t="s">
        <v>29</v>
      </c>
      <c r="M1958" t="s">
        <v>30</v>
      </c>
      <c r="N1958" t="s">
        <v>27</v>
      </c>
      <c r="O1958" t="s">
        <v>28</v>
      </c>
      <c r="P1958" t="s">
        <v>29</v>
      </c>
      <c r="Q1958" t="s">
        <v>30</v>
      </c>
      <c r="R1958" s="1">
        <v>44354.585300925923</v>
      </c>
      <c r="S1958" s="1">
        <v>44354.585601851853</v>
      </c>
      <c r="T1958">
        <v>0</v>
      </c>
      <c r="U1958">
        <v>2</v>
      </c>
      <c r="V1958" s="2">
        <v>0</v>
      </c>
      <c r="W1958">
        <v>0</v>
      </c>
      <c r="X1958" t="s">
        <v>44</v>
      </c>
      <c r="Y1958">
        <v>0</v>
      </c>
      <c r="Z1958" t="s">
        <v>44</v>
      </c>
      <c r="AA1958">
        <v>0</v>
      </c>
      <c r="AB1958" t="s">
        <v>31</v>
      </c>
      <c r="AC1958">
        <v>0</v>
      </c>
      <c r="AD1958" t="s">
        <v>31</v>
      </c>
      <c r="AE1958">
        <v>0</v>
      </c>
      <c r="AF1958" t="s">
        <v>31</v>
      </c>
      <c r="AG1958">
        <v>0</v>
      </c>
      <c r="AH1958" t="s">
        <v>31</v>
      </c>
      <c r="AI1958">
        <v>0</v>
      </c>
      <c r="AJ1958" t="s">
        <v>31</v>
      </c>
      <c r="AK1958">
        <v>0</v>
      </c>
      <c r="AL1958" t="s">
        <v>31</v>
      </c>
      <c r="AM1958">
        <v>0</v>
      </c>
      <c r="AN1958" t="s">
        <v>31</v>
      </c>
      <c r="AO1958">
        <v>0</v>
      </c>
      <c r="AP1958" t="s">
        <v>31</v>
      </c>
      <c r="AQ1958">
        <v>0</v>
      </c>
    </row>
    <row r="1959" spans="1:43" x14ac:dyDescent="0.2">
      <c r="A1959" t="s">
        <v>381</v>
      </c>
      <c r="B1959" s="3">
        <v>44357</v>
      </c>
      <c r="C1959">
        <v>132</v>
      </c>
      <c r="D1959" t="s">
        <v>399</v>
      </c>
      <c r="E1959" t="s">
        <v>95</v>
      </c>
      <c r="F1959" s="9" t="s">
        <v>96</v>
      </c>
      <c r="G1959" t="s">
        <v>26</v>
      </c>
      <c r="H1959" t="s">
        <v>27</v>
      </c>
      <c r="I1959" t="s">
        <v>28</v>
      </c>
      <c r="J1959" t="s">
        <v>29</v>
      </c>
      <c r="K1959" t="s">
        <v>30</v>
      </c>
      <c r="L1959" t="s">
        <v>29</v>
      </c>
      <c r="M1959" t="s">
        <v>30</v>
      </c>
      <c r="N1959" t="s">
        <v>27</v>
      </c>
      <c r="O1959" t="s">
        <v>28</v>
      </c>
      <c r="P1959" t="s">
        <v>29</v>
      </c>
      <c r="Q1959" t="s">
        <v>30</v>
      </c>
      <c r="R1959" s="1">
        <v>44357.459317129629</v>
      </c>
      <c r="S1959" s="1">
        <v>44357.459317129629</v>
      </c>
      <c r="T1959">
        <v>0</v>
      </c>
      <c r="U1959">
        <v>0</v>
      </c>
      <c r="V1959" s="2">
        <v>0</v>
      </c>
      <c r="W1959">
        <v>0</v>
      </c>
      <c r="X1959" t="s">
        <v>37</v>
      </c>
      <c r="Y1959">
        <v>0</v>
      </c>
      <c r="Z1959" t="s">
        <v>31</v>
      </c>
      <c r="AA1959">
        <v>0</v>
      </c>
      <c r="AB1959" t="s">
        <v>31</v>
      </c>
      <c r="AC1959">
        <v>0</v>
      </c>
      <c r="AD1959" t="s">
        <v>31</v>
      </c>
      <c r="AE1959">
        <v>0</v>
      </c>
      <c r="AF1959" t="s">
        <v>31</v>
      </c>
      <c r="AG1959">
        <v>0</v>
      </c>
      <c r="AH1959" t="s">
        <v>31</v>
      </c>
      <c r="AI1959">
        <v>0</v>
      </c>
      <c r="AJ1959" t="s">
        <v>31</v>
      </c>
      <c r="AK1959">
        <v>0</v>
      </c>
      <c r="AL1959" t="s">
        <v>31</v>
      </c>
      <c r="AM1959">
        <v>0</v>
      </c>
      <c r="AN1959" t="s">
        <v>31</v>
      </c>
      <c r="AO1959">
        <v>0</v>
      </c>
      <c r="AP1959" t="s">
        <v>31</v>
      </c>
      <c r="AQ1959">
        <v>0</v>
      </c>
    </row>
    <row r="1960" spans="1:43" x14ac:dyDescent="0.2">
      <c r="A1960" t="s">
        <v>381</v>
      </c>
      <c r="B1960" s="3">
        <v>44364</v>
      </c>
      <c r="C1960">
        <v>138</v>
      </c>
      <c r="D1960" t="s">
        <v>399</v>
      </c>
      <c r="E1960" t="s">
        <v>95</v>
      </c>
      <c r="F1960" s="9" t="s">
        <v>96</v>
      </c>
      <c r="G1960" t="s">
        <v>26</v>
      </c>
      <c r="H1960" t="s">
        <v>27</v>
      </c>
      <c r="I1960" t="s">
        <v>28</v>
      </c>
      <c r="J1960" t="s">
        <v>29</v>
      </c>
      <c r="K1960" t="s">
        <v>30</v>
      </c>
      <c r="L1960" t="s">
        <v>29</v>
      </c>
      <c r="M1960" t="s">
        <v>30</v>
      </c>
      <c r="N1960" t="s">
        <v>27</v>
      </c>
      <c r="O1960" t="s">
        <v>28</v>
      </c>
      <c r="P1960" t="s">
        <v>29</v>
      </c>
      <c r="Q1960" t="s">
        <v>30</v>
      </c>
      <c r="R1960" s="1">
        <v>44364.427928240744</v>
      </c>
      <c r="S1960" s="1">
        <v>44364.427928240744</v>
      </c>
      <c r="T1960">
        <v>1</v>
      </c>
      <c r="U1960">
        <v>1</v>
      </c>
      <c r="V1960" s="2">
        <v>1</v>
      </c>
      <c r="W1960">
        <v>0</v>
      </c>
      <c r="X1960" t="s">
        <v>30</v>
      </c>
      <c r="Y1960">
        <v>0</v>
      </c>
      <c r="Z1960" t="s">
        <v>31</v>
      </c>
      <c r="AA1960">
        <v>0</v>
      </c>
      <c r="AB1960" t="s">
        <v>31</v>
      </c>
      <c r="AC1960">
        <v>0</v>
      </c>
      <c r="AD1960" t="s">
        <v>31</v>
      </c>
      <c r="AE1960">
        <v>0</v>
      </c>
      <c r="AF1960" t="s">
        <v>31</v>
      </c>
      <c r="AG1960">
        <v>0</v>
      </c>
      <c r="AH1960" t="s">
        <v>31</v>
      </c>
      <c r="AI1960">
        <v>0</v>
      </c>
      <c r="AJ1960" t="s">
        <v>31</v>
      </c>
      <c r="AK1960">
        <v>0</v>
      </c>
      <c r="AL1960" t="s">
        <v>31</v>
      </c>
      <c r="AM1960">
        <v>0</v>
      </c>
      <c r="AN1960" t="s">
        <v>31</v>
      </c>
      <c r="AO1960">
        <v>0</v>
      </c>
      <c r="AP1960" t="s">
        <v>31</v>
      </c>
      <c r="AQ1960">
        <v>0</v>
      </c>
    </row>
    <row r="1961" spans="1:43" x14ac:dyDescent="0.2">
      <c r="A1961" t="s">
        <v>381</v>
      </c>
      <c r="B1961" s="3">
        <v>44365</v>
      </c>
      <c r="C1961">
        <v>140</v>
      </c>
      <c r="D1961" t="s">
        <v>399</v>
      </c>
      <c r="E1961" t="s">
        <v>95</v>
      </c>
      <c r="F1961" s="9" t="s">
        <v>96</v>
      </c>
      <c r="G1961" t="s">
        <v>26</v>
      </c>
      <c r="H1961" t="s">
        <v>27</v>
      </c>
      <c r="I1961" t="s">
        <v>28</v>
      </c>
      <c r="J1961" t="s">
        <v>29</v>
      </c>
      <c r="K1961" t="s">
        <v>30</v>
      </c>
      <c r="L1961" t="s">
        <v>29</v>
      </c>
      <c r="M1961" t="s">
        <v>30</v>
      </c>
      <c r="N1961" t="s">
        <v>27</v>
      </c>
      <c r="O1961" t="s">
        <v>28</v>
      </c>
      <c r="P1961" t="s">
        <v>29</v>
      </c>
      <c r="Q1961" t="s">
        <v>30</v>
      </c>
      <c r="R1961" s="1">
        <v>44365.643900462965</v>
      </c>
      <c r="S1961" s="1">
        <v>44365.643900462965</v>
      </c>
      <c r="T1961">
        <v>0</v>
      </c>
      <c r="U1961">
        <v>0</v>
      </c>
      <c r="V1961" s="2">
        <v>0</v>
      </c>
      <c r="W1961">
        <v>0</v>
      </c>
      <c r="X1961" t="s">
        <v>37</v>
      </c>
      <c r="Y1961">
        <v>0</v>
      </c>
      <c r="Z1961" t="s">
        <v>31</v>
      </c>
      <c r="AA1961">
        <v>0</v>
      </c>
      <c r="AB1961" t="s">
        <v>31</v>
      </c>
      <c r="AC1961">
        <v>0</v>
      </c>
      <c r="AD1961" t="s">
        <v>31</v>
      </c>
      <c r="AE1961">
        <v>0</v>
      </c>
      <c r="AF1961" t="s">
        <v>31</v>
      </c>
      <c r="AG1961">
        <v>0</v>
      </c>
      <c r="AH1961" t="s">
        <v>31</v>
      </c>
      <c r="AI1961">
        <v>0</v>
      </c>
      <c r="AJ1961" t="s">
        <v>31</v>
      </c>
      <c r="AK1961">
        <v>0</v>
      </c>
      <c r="AL1961" t="s">
        <v>31</v>
      </c>
      <c r="AM1961">
        <v>0</v>
      </c>
      <c r="AN1961" t="s">
        <v>31</v>
      </c>
      <c r="AO1961">
        <v>0</v>
      </c>
      <c r="AP1961" t="s">
        <v>31</v>
      </c>
      <c r="AQ1961">
        <v>0</v>
      </c>
    </row>
    <row r="1962" spans="1:43" x14ac:dyDescent="0.2">
      <c r="A1962" t="s">
        <v>381</v>
      </c>
      <c r="B1962" s="3">
        <v>44250</v>
      </c>
      <c r="C1962">
        <v>16</v>
      </c>
      <c r="D1962" t="s">
        <v>382</v>
      </c>
      <c r="E1962" t="s">
        <v>95</v>
      </c>
      <c r="F1962" s="9" t="s">
        <v>187</v>
      </c>
      <c r="G1962" t="s">
        <v>26</v>
      </c>
      <c r="H1962" t="s">
        <v>155</v>
      </c>
      <c r="I1962" t="s">
        <v>156</v>
      </c>
      <c r="J1962" t="s">
        <v>162</v>
      </c>
      <c r="K1962" t="s">
        <v>47</v>
      </c>
      <c r="L1962" t="s">
        <v>162</v>
      </c>
      <c r="M1962" t="s">
        <v>47</v>
      </c>
      <c r="N1962" t="s">
        <v>41</v>
      </c>
      <c r="O1962" t="s">
        <v>42</v>
      </c>
      <c r="P1962" t="s">
        <v>29</v>
      </c>
      <c r="Q1962" t="s">
        <v>30</v>
      </c>
      <c r="R1962" s="1">
        <v>44250.451168981483</v>
      </c>
      <c r="S1962" s="1">
        <v>44250.451192129629</v>
      </c>
      <c r="T1962">
        <v>8</v>
      </c>
      <c r="U1962">
        <v>8</v>
      </c>
      <c r="V1962" s="2">
        <v>1</v>
      </c>
      <c r="W1962">
        <v>0</v>
      </c>
      <c r="X1962" t="s">
        <v>47</v>
      </c>
      <c r="Y1962">
        <v>0</v>
      </c>
      <c r="Z1962" t="s">
        <v>47</v>
      </c>
      <c r="AA1962">
        <v>0</v>
      </c>
      <c r="AB1962" t="s">
        <v>47</v>
      </c>
      <c r="AC1962">
        <v>0</v>
      </c>
      <c r="AD1962" t="s">
        <v>47</v>
      </c>
      <c r="AE1962">
        <v>0</v>
      </c>
      <c r="AF1962" t="s">
        <v>47</v>
      </c>
      <c r="AG1962">
        <v>0</v>
      </c>
      <c r="AH1962" t="s">
        <v>47</v>
      </c>
      <c r="AI1962">
        <v>0</v>
      </c>
      <c r="AJ1962" t="s">
        <v>47</v>
      </c>
      <c r="AK1962">
        <v>0</v>
      </c>
      <c r="AL1962" t="s">
        <v>47</v>
      </c>
      <c r="AM1962">
        <v>0</v>
      </c>
      <c r="AN1962" t="s">
        <v>31</v>
      </c>
      <c r="AO1962">
        <v>0</v>
      </c>
      <c r="AP1962" t="s">
        <v>31</v>
      </c>
      <c r="AQ1962">
        <v>0</v>
      </c>
    </row>
    <row r="1963" spans="1:43" x14ac:dyDescent="0.2">
      <c r="A1963" t="s">
        <v>381</v>
      </c>
      <c r="B1963" s="3">
        <v>44256</v>
      </c>
      <c r="C1963">
        <v>22</v>
      </c>
      <c r="D1963" t="s">
        <v>384</v>
      </c>
      <c r="E1963" t="s">
        <v>95</v>
      </c>
      <c r="F1963" s="9" t="s">
        <v>187</v>
      </c>
      <c r="G1963" t="s">
        <v>26</v>
      </c>
      <c r="H1963" t="s">
        <v>41</v>
      </c>
      <c r="I1963" t="s">
        <v>42</v>
      </c>
      <c r="J1963" t="s">
        <v>29</v>
      </c>
      <c r="K1963" t="s">
        <v>30</v>
      </c>
      <c r="L1963" t="s">
        <v>29</v>
      </c>
      <c r="M1963" t="s">
        <v>30</v>
      </c>
      <c r="N1963" t="s">
        <v>41</v>
      </c>
      <c r="O1963" t="s">
        <v>42</v>
      </c>
      <c r="P1963" t="s">
        <v>29</v>
      </c>
      <c r="Q1963" t="s">
        <v>30</v>
      </c>
      <c r="R1963" s="1">
        <v>44256.471250000002</v>
      </c>
      <c r="S1963" s="1">
        <v>44256.471400462964</v>
      </c>
      <c r="T1963">
        <v>2</v>
      </c>
      <c r="U1963">
        <v>2</v>
      </c>
      <c r="V1963" s="2">
        <v>1</v>
      </c>
      <c r="W1963">
        <v>0</v>
      </c>
      <c r="X1963" t="s">
        <v>30</v>
      </c>
      <c r="Y1963">
        <v>0</v>
      </c>
      <c r="Z1963" t="s">
        <v>30</v>
      </c>
      <c r="AA1963">
        <v>0</v>
      </c>
      <c r="AB1963" t="s">
        <v>31</v>
      </c>
      <c r="AC1963">
        <v>0</v>
      </c>
      <c r="AD1963" t="s">
        <v>31</v>
      </c>
      <c r="AE1963">
        <v>0</v>
      </c>
      <c r="AF1963" t="s">
        <v>31</v>
      </c>
      <c r="AG1963">
        <v>0</v>
      </c>
      <c r="AH1963" t="s">
        <v>31</v>
      </c>
      <c r="AI1963">
        <v>0</v>
      </c>
      <c r="AJ1963" t="s">
        <v>31</v>
      </c>
      <c r="AK1963">
        <v>0</v>
      </c>
      <c r="AL1963" t="s">
        <v>31</v>
      </c>
      <c r="AM1963">
        <v>0</v>
      </c>
      <c r="AN1963" t="s">
        <v>31</v>
      </c>
      <c r="AO1963">
        <v>0</v>
      </c>
      <c r="AP1963" t="s">
        <v>31</v>
      </c>
      <c r="AQ1963">
        <v>0</v>
      </c>
    </row>
    <row r="1964" spans="1:43" x14ac:dyDescent="0.2">
      <c r="A1964" t="s">
        <v>381</v>
      </c>
      <c r="B1964" s="3">
        <v>44259</v>
      </c>
      <c r="C1964">
        <v>26</v>
      </c>
      <c r="D1964" t="s">
        <v>382</v>
      </c>
      <c r="E1964" t="s">
        <v>95</v>
      </c>
      <c r="F1964" s="9" t="s">
        <v>187</v>
      </c>
      <c r="G1964" t="s">
        <v>26</v>
      </c>
      <c r="H1964" t="s">
        <v>41</v>
      </c>
      <c r="I1964" t="s">
        <v>42</v>
      </c>
      <c r="J1964" t="s">
        <v>29</v>
      </c>
      <c r="K1964" t="s">
        <v>30</v>
      </c>
      <c r="L1964" t="s">
        <v>29</v>
      </c>
      <c r="M1964" t="s">
        <v>30</v>
      </c>
      <c r="N1964" t="s">
        <v>41</v>
      </c>
      <c r="O1964" t="s">
        <v>42</v>
      </c>
      <c r="P1964" t="s">
        <v>29</v>
      </c>
      <c r="Q1964" t="s">
        <v>30</v>
      </c>
      <c r="R1964" s="1">
        <v>44259.452118055553</v>
      </c>
      <c r="S1964" s="1">
        <v>44259.452187499999</v>
      </c>
      <c r="T1964">
        <v>0</v>
      </c>
      <c r="U1964">
        <v>5</v>
      </c>
      <c r="V1964" s="2">
        <v>0</v>
      </c>
      <c r="W1964">
        <v>0</v>
      </c>
      <c r="X1964" t="s">
        <v>44</v>
      </c>
      <c r="Y1964">
        <v>0</v>
      </c>
      <c r="Z1964" t="s">
        <v>44</v>
      </c>
      <c r="AA1964">
        <v>0</v>
      </c>
      <c r="AB1964" t="s">
        <v>45</v>
      </c>
      <c r="AC1964">
        <v>0</v>
      </c>
      <c r="AD1964" t="s">
        <v>113</v>
      </c>
      <c r="AE1964">
        <v>0</v>
      </c>
      <c r="AF1964" t="s">
        <v>47</v>
      </c>
      <c r="AG1964">
        <v>0</v>
      </c>
      <c r="AH1964" t="s">
        <v>31</v>
      </c>
      <c r="AI1964">
        <v>0</v>
      </c>
      <c r="AJ1964" t="s">
        <v>31</v>
      </c>
      <c r="AK1964">
        <v>0</v>
      </c>
      <c r="AL1964" t="s">
        <v>31</v>
      </c>
      <c r="AM1964">
        <v>0</v>
      </c>
      <c r="AN1964" t="s">
        <v>31</v>
      </c>
      <c r="AO1964">
        <v>0</v>
      </c>
      <c r="AP1964" t="s">
        <v>31</v>
      </c>
      <c r="AQ1964">
        <v>0</v>
      </c>
    </row>
    <row r="1965" spans="1:43" x14ac:dyDescent="0.2">
      <c r="A1965" t="s">
        <v>381</v>
      </c>
      <c r="B1965" s="3">
        <v>44260</v>
      </c>
      <c r="C1965">
        <v>28</v>
      </c>
      <c r="D1965" t="s">
        <v>384</v>
      </c>
      <c r="E1965" t="s">
        <v>95</v>
      </c>
      <c r="F1965" s="9" t="s">
        <v>187</v>
      </c>
      <c r="G1965" t="s">
        <v>26</v>
      </c>
      <c r="H1965" t="s">
        <v>41</v>
      </c>
      <c r="I1965" t="s">
        <v>42</v>
      </c>
      <c r="J1965" t="s">
        <v>29</v>
      </c>
      <c r="K1965" t="s">
        <v>30</v>
      </c>
      <c r="L1965" t="s">
        <v>29</v>
      </c>
      <c r="M1965" t="s">
        <v>30</v>
      </c>
      <c r="N1965" t="s">
        <v>41</v>
      </c>
      <c r="O1965" t="s">
        <v>42</v>
      </c>
      <c r="P1965" t="s">
        <v>29</v>
      </c>
      <c r="Q1965" t="s">
        <v>30</v>
      </c>
      <c r="R1965" s="1">
        <v>44260.468136574076</v>
      </c>
      <c r="S1965" s="1">
        <v>44260.468136574076</v>
      </c>
      <c r="T1965">
        <v>1</v>
      </c>
      <c r="U1965">
        <v>2</v>
      </c>
      <c r="V1965" s="2">
        <v>0.5</v>
      </c>
      <c r="W1965">
        <v>0</v>
      </c>
      <c r="X1965" t="s">
        <v>44</v>
      </c>
      <c r="Y1965">
        <v>0</v>
      </c>
      <c r="Z1965" t="s">
        <v>30</v>
      </c>
      <c r="AA1965">
        <v>0</v>
      </c>
      <c r="AB1965" t="s">
        <v>31</v>
      </c>
      <c r="AC1965">
        <v>0</v>
      </c>
      <c r="AD1965" t="s">
        <v>31</v>
      </c>
      <c r="AE1965">
        <v>0</v>
      </c>
      <c r="AF1965" t="s">
        <v>31</v>
      </c>
      <c r="AG1965">
        <v>0</v>
      </c>
      <c r="AH1965" t="s">
        <v>31</v>
      </c>
      <c r="AI1965">
        <v>0</v>
      </c>
      <c r="AJ1965" t="s">
        <v>31</v>
      </c>
      <c r="AK1965">
        <v>0</v>
      </c>
      <c r="AL1965" t="s">
        <v>31</v>
      </c>
      <c r="AM1965">
        <v>0</v>
      </c>
      <c r="AN1965" t="s">
        <v>31</v>
      </c>
      <c r="AO1965">
        <v>0</v>
      </c>
      <c r="AP1965" t="s">
        <v>31</v>
      </c>
      <c r="AQ1965">
        <v>0</v>
      </c>
    </row>
    <row r="1966" spans="1:43" x14ac:dyDescent="0.2">
      <c r="A1966" t="s">
        <v>381</v>
      </c>
      <c r="B1966" s="3">
        <v>44264</v>
      </c>
      <c r="C1966">
        <v>30</v>
      </c>
      <c r="D1966" t="s">
        <v>382</v>
      </c>
      <c r="E1966" t="s">
        <v>95</v>
      </c>
      <c r="F1966" s="9" t="s">
        <v>187</v>
      </c>
      <c r="G1966" t="s">
        <v>26</v>
      </c>
      <c r="H1966" t="s">
        <v>41</v>
      </c>
      <c r="I1966" t="s">
        <v>42</v>
      </c>
      <c r="J1966" t="s">
        <v>29</v>
      </c>
      <c r="K1966" t="s">
        <v>30</v>
      </c>
      <c r="L1966" t="s">
        <v>29</v>
      </c>
      <c r="M1966" t="s">
        <v>30</v>
      </c>
      <c r="N1966" t="s">
        <v>41</v>
      </c>
      <c r="O1966" t="s">
        <v>42</v>
      </c>
      <c r="P1966" t="s">
        <v>29</v>
      </c>
      <c r="Q1966" t="s">
        <v>30</v>
      </c>
      <c r="R1966" s="1">
        <v>44264.462048611109</v>
      </c>
      <c r="S1966" s="1">
        <v>44264.462280092594</v>
      </c>
      <c r="T1966">
        <v>0</v>
      </c>
      <c r="U1966">
        <v>5</v>
      </c>
      <c r="V1966" s="2">
        <v>0</v>
      </c>
      <c r="W1966">
        <v>0</v>
      </c>
      <c r="X1966" t="s">
        <v>44</v>
      </c>
      <c r="Y1966">
        <v>0</v>
      </c>
      <c r="Z1966" t="s">
        <v>44</v>
      </c>
      <c r="AA1966">
        <v>0</v>
      </c>
      <c r="AB1966" t="s">
        <v>45</v>
      </c>
      <c r="AC1966">
        <v>0</v>
      </c>
      <c r="AD1966" t="s">
        <v>113</v>
      </c>
      <c r="AE1966">
        <v>0</v>
      </c>
      <c r="AF1966" t="s">
        <v>47</v>
      </c>
      <c r="AG1966">
        <v>0</v>
      </c>
      <c r="AH1966" t="s">
        <v>31</v>
      </c>
      <c r="AI1966">
        <v>0</v>
      </c>
      <c r="AJ1966" t="s">
        <v>31</v>
      </c>
      <c r="AK1966">
        <v>0</v>
      </c>
      <c r="AL1966" t="s">
        <v>31</v>
      </c>
      <c r="AM1966">
        <v>0</v>
      </c>
      <c r="AN1966" t="s">
        <v>31</v>
      </c>
      <c r="AO1966">
        <v>0</v>
      </c>
      <c r="AP1966" t="s">
        <v>31</v>
      </c>
      <c r="AQ1966">
        <v>0</v>
      </c>
    </row>
    <row r="1967" spans="1:43" x14ac:dyDescent="0.2">
      <c r="A1967" t="s">
        <v>381</v>
      </c>
      <c r="B1967" s="3">
        <v>44270</v>
      </c>
      <c r="C1967">
        <v>35</v>
      </c>
      <c r="D1967" t="s">
        <v>384</v>
      </c>
      <c r="E1967" t="s">
        <v>95</v>
      </c>
      <c r="F1967" s="9" t="s">
        <v>187</v>
      </c>
      <c r="G1967" t="s">
        <v>26</v>
      </c>
      <c r="H1967" t="s">
        <v>41</v>
      </c>
      <c r="I1967" t="s">
        <v>42</v>
      </c>
      <c r="J1967" t="s">
        <v>29</v>
      </c>
      <c r="K1967" t="s">
        <v>30</v>
      </c>
      <c r="L1967" t="s">
        <v>29</v>
      </c>
      <c r="M1967" t="s">
        <v>30</v>
      </c>
      <c r="N1967" t="s">
        <v>41</v>
      </c>
      <c r="O1967" t="s">
        <v>42</v>
      </c>
      <c r="P1967" t="s">
        <v>29</v>
      </c>
      <c r="Q1967" t="s">
        <v>30</v>
      </c>
      <c r="R1967" s="1">
        <v>44270.431296296294</v>
      </c>
      <c r="S1967" s="1">
        <v>44270.43173611111</v>
      </c>
      <c r="T1967">
        <v>2</v>
      </c>
      <c r="U1967">
        <v>3</v>
      </c>
      <c r="V1967" s="2">
        <v>0.66</v>
      </c>
      <c r="W1967">
        <v>0</v>
      </c>
      <c r="X1967" t="s">
        <v>44</v>
      </c>
      <c r="Y1967">
        <v>0</v>
      </c>
      <c r="Z1967" t="s">
        <v>30</v>
      </c>
      <c r="AA1967">
        <v>0</v>
      </c>
      <c r="AB1967" t="s">
        <v>30</v>
      </c>
      <c r="AC1967">
        <v>0</v>
      </c>
      <c r="AD1967" t="s">
        <v>31</v>
      </c>
      <c r="AE1967">
        <v>0</v>
      </c>
      <c r="AF1967" t="s">
        <v>31</v>
      </c>
      <c r="AG1967">
        <v>0</v>
      </c>
      <c r="AH1967" t="s">
        <v>31</v>
      </c>
      <c r="AI1967">
        <v>0</v>
      </c>
      <c r="AJ1967" t="s">
        <v>31</v>
      </c>
      <c r="AK1967">
        <v>0</v>
      </c>
      <c r="AL1967" t="s">
        <v>31</v>
      </c>
      <c r="AM1967">
        <v>0</v>
      </c>
      <c r="AN1967" t="s">
        <v>31</v>
      </c>
      <c r="AO1967">
        <v>0</v>
      </c>
      <c r="AP1967" t="s">
        <v>31</v>
      </c>
      <c r="AQ1967">
        <v>0</v>
      </c>
    </row>
    <row r="1968" spans="1:43" x14ac:dyDescent="0.2">
      <c r="A1968" t="s">
        <v>381</v>
      </c>
      <c r="B1968" s="3">
        <v>44286</v>
      </c>
      <c r="C1968">
        <v>46</v>
      </c>
      <c r="D1968" t="s">
        <v>384</v>
      </c>
      <c r="E1968" t="s">
        <v>95</v>
      </c>
      <c r="F1968" s="9" t="s">
        <v>187</v>
      </c>
      <c r="G1968" t="s">
        <v>26</v>
      </c>
      <c r="H1968" t="s">
        <v>41</v>
      </c>
      <c r="I1968" t="s">
        <v>42</v>
      </c>
      <c r="J1968" t="s">
        <v>29</v>
      </c>
      <c r="K1968" t="s">
        <v>30</v>
      </c>
      <c r="L1968" t="s">
        <v>29</v>
      </c>
      <c r="M1968" t="s">
        <v>30</v>
      </c>
      <c r="N1968" t="s">
        <v>41</v>
      </c>
      <c r="O1968" t="s">
        <v>42</v>
      </c>
      <c r="P1968" t="s">
        <v>29</v>
      </c>
      <c r="Q1968" t="s">
        <v>30</v>
      </c>
      <c r="R1968" s="1">
        <v>44286.461319444446</v>
      </c>
      <c r="S1968" s="1">
        <v>44286.461493055554</v>
      </c>
      <c r="T1968">
        <v>1</v>
      </c>
      <c r="U1968">
        <v>2</v>
      </c>
      <c r="V1968" s="2">
        <v>0.5</v>
      </c>
      <c r="W1968">
        <v>0</v>
      </c>
      <c r="X1968" t="s">
        <v>44</v>
      </c>
      <c r="Y1968">
        <v>0</v>
      </c>
      <c r="Z1968" t="s">
        <v>30</v>
      </c>
      <c r="AA1968">
        <v>0</v>
      </c>
      <c r="AB1968" t="s">
        <v>31</v>
      </c>
      <c r="AC1968">
        <v>0</v>
      </c>
      <c r="AD1968" t="s">
        <v>31</v>
      </c>
      <c r="AE1968">
        <v>0</v>
      </c>
      <c r="AF1968" t="s">
        <v>31</v>
      </c>
      <c r="AG1968">
        <v>0</v>
      </c>
      <c r="AH1968" t="s">
        <v>31</v>
      </c>
      <c r="AI1968">
        <v>0</v>
      </c>
      <c r="AJ1968" t="s">
        <v>31</v>
      </c>
      <c r="AK1968">
        <v>0</v>
      </c>
      <c r="AL1968" t="s">
        <v>31</v>
      </c>
      <c r="AM1968">
        <v>0</v>
      </c>
      <c r="AN1968" t="s">
        <v>31</v>
      </c>
      <c r="AO1968">
        <v>0</v>
      </c>
      <c r="AP1968" t="s">
        <v>31</v>
      </c>
      <c r="AQ1968">
        <v>0</v>
      </c>
    </row>
    <row r="1969" spans="1:43" x14ac:dyDescent="0.2">
      <c r="A1969" t="s">
        <v>381</v>
      </c>
      <c r="B1969" s="3">
        <v>44293</v>
      </c>
      <c r="C1969">
        <v>53</v>
      </c>
      <c r="D1969" t="s">
        <v>384</v>
      </c>
      <c r="E1969" t="s">
        <v>95</v>
      </c>
      <c r="F1969" s="9" t="s">
        <v>187</v>
      </c>
      <c r="G1969" t="s">
        <v>26</v>
      </c>
      <c r="H1969" t="s">
        <v>41</v>
      </c>
      <c r="I1969" t="s">
        <v>42</v>
      </c>
      <c r="J1969" t="s">
        <v>29</v>
      </c>
      <c r="K1969" t="s">
        <v>30</v>
      </c>
      <c r="L1969" t="s">
        <v>29</v>
      </c>
      <c r="M1969" t="s">
        <v>30</v>
      </c>
      <c r="N1969" t="s">
        <v>41</v>
      </c>
      <c r="O1969" t="s">
        <v>42</v>
      </c>
      <c r="P1969" t="s">
        <v>29</v>
      </c>
      <c r="Q1969" t="s">
        <v>30</v>
      </c>
      <c r="R1969" s="1">
        <v>44293.432581018518</v>
      </c>
      <c r="S1969" s="1">
        <v>44293.432962962965</v>
      </c>
      <c r="T1969">
        <v>2</v>
      </c>
      <c r="U1969">
        <v>3</v>
      </c>
      <c r="V1969" s="2">
        <v>0.66</v>
      </c>
      <c r="W1969">
        <v>0</v>
      </c>
      <c r="X1969" t="s">
        <v>44</v>
      </c>
      <c r="Y1969">
        <v>0</v>
      </c>
      <c r="Z1969" t="s">
        <v>30</v>
      </c>
      <c r="AA1969">
        <v>0</v>
      </c>
      <c r="AB1969" t="s">
        <v>30</v>
      </c>
      <c r="AC1969">
        <v>0</v>
      </c>
      <c r="AD1969" t="s">
        <v>31</v>
      </c>
      <c r="AE1969">
        <v>0</v>
      </c>
      <c r="AF1969" t="s">
        <v>31</v>
      </c>
      <c r="AG1969">
        <v>0</v>
      </c>
      <c r="AH1969" t="s">
        <v>31</v>
      </c>
      <c r="AI1969">
        <v>0</v>
      </c>
      <c r="AJ1969" t="s">
        <v>31</v>
      </c>
      <c r="AK1969">
        <v>0</v>
      </c>
      <c r="AL1969" t="s">
        <v>31</v>
      </c>
      <c r="AM1969">
        <v>0</v>
      </c>
      <c r="AN1969" t="s">
        <v>31</v>
      </c>
      <c r="AO1969">
        <v>0</v>
      </c>
      <c r="AP1969" t="s">
        <v>31</v>
      </c>
      <c r="AQ1969">
        <v>0</v>
      </c>
    </row>
    <row r="1970" spans="1:43" x14ac:dyDescent="0.2">
      <c r="A1970" t="s">
        <v>381</v>
      </c>
      <c r="B1970" s="3">
        <v>44295</v>
      </c>
      <c r="C1970">
        <v>56</v>
      </c>
      <c r="D1970" t="s">
        <v>384</v>
      </c>
      <c r="E1970" t="s">
        <v>95</v>
      </c>
      <c r="F1970" s="9" t="s">
        <v>187</v>
      </c>
      <c r="G1970" t="s">
        <v>26</v>
      </c>
      <c r="H1970" t="s">
        <v>41</v>
      </c>
      <c r="I1970" t="s">
        <v>42</v>
      </c>
      <c r="J1970" t="s">
        <v>29</v>
      </c>
      <c r="K1970" t="s">
        <v>30</v>
      </c>
      <c r="L1970" t="s">
        <v>29</v>
      </c>
      <c r="M1970" t="s">
        <v>30</v>
      </c>
      <c r="N1970" t="s">
        <v>41</v>
      </c>
      <c r="O1970" t="s">
        <v>42</v>
      </c>
      <c r="P1970" t="s">
        <v>29</v>
      </c>
      <c r="Q1970" t="s">
        <v>30</v>
      </c>
      <c r="R1970" s="1">
        <v>44295.458229166667</v>
      </c>
      <c r="S1970" s="1">
        <v>44295.459143518521</v>
      </c>
      <c r="T1970">
        <v>2</v>
      </c>
      <c r="U1970">
        <v>3</v>
      </c>
      <c r="V1970" s="2">
        <v>0.66</v>
      </c>
      <c r="W1970">
        <v>0</v>
      </c>
      <c r="X1970" t="s">
        <v>44</v>
      </c>
      <c r="Y1970">
        <v>0</v>
      </c>
      <c r="Z1970" t="s">
        <v>30</v>
      </c>
      <c r="AA1970">
        <v>0</v>
      </c>
      <c r="AB1970" t="s">
        <v>30</v>
      </c>
      <c r="AC1970">
        <v>0</v>
      </c>
      <c r="AD1970" t="s">
        <v>31</v>
      </c>
      <c r="AE1970">
        <v>0</v>
      </c>
      <c r="AF1970" t="s">
        <v>31</v>
      </c>
      <c r="AG1970">
        <v>0</v>
      </c>
      <c r="AH1970" t="s">
        <v>31</v>
      </c>
      <c r="AI1970">
        <v>0</v>
      </c>
      <c r="AJ1970" t="s">
        <v>31</v>
      </c>
      <c r="AK1970">
        <v>0</v>
      </c>
      <c r="AL1970" t="s">
        <v>31</v>
      </c>
      <c r="AM1970">
        <v>0</v>
      </c>
      <c r="AN1970" t="s">
        <v>31</v>
      </c>
      <c r="AO1970">
        <v>0</v>
      </c>
      <c r="AP1970" t="s">
        <v>31</v>
      </c>
      <c r="AQ1970">
        <v>0</v>
      </c>
    </row>
    <row r="1971" spans="1:43" x14ac:dyDescent="0.2">
      <c r="A1971" t="s">
        <v>381</v>
      </c>
      <c r="B1971" s="3">
        <v>44309</v>
      </c>
      <c r="C1971">
        <v>71</v>
      </c>
      <c r="D1971" t="s">
        <v>391</v>
      </c>
      <c r="E1971" t="s">
        <v>95</v>
      </c>
      <c r="F1971" s="9" t="s">
        <v>187</v>
      </c>
      <c r="G1971" t="s">
        <v>26</v>
      </c>
      <c r="H1971" t="s">
        <v>41</v>
      </c>
      <c r="I1971" t="s">
        <v>42</v>
      </c>
      <c r="J1971" t="s">
        <v>29</v>
      </c>
      <c r="K1971" t="s">
        <v>30</v>
      </c>
      <c r="L1971" t="s">
        <v>29</v>
      </c>
      <c r="M1971" t="s">
        <v>30</v>
      </c>
      <c r="N1971" t="s">
        <v>41</v>
      </c>
      <c r="O1971" t="s">
        <v>42</v>
      </c>
      <c r="P1971" t="s">
        <v>29</v>
      </c>
      <c r="Q1971" t="s">
        <v>30</v>
      </c>
      <c r="R1971" s="1">
        <v>44309.634687500002</v>
      </c>
      <c r="S1971" s="1">
        <v>44309.635254629633</v>
      </c>
      <c r="T1971">
        <v>1</v>
      </c>
      <c r="U1971">
        <v>2</v>
      </c>
      <c r="V1971" s="2">
        <v>0.5</v>
      </c>
      <c r="W1971">
        <v>0</v>
      </c>
      <c r="X1971" t="s">
        <v>44</v>
      </c>
      <c r="Y1971">
        <v>0</v>
      </c>
      <c r="Z1971" t="s">
        <v>30</v>
      </c>
      <c r="AA1971">
        <v>0</v>
      </c>
      <c r="AB1971" t="s">
        <v>31</v>
      </c>
      <c r="AC1971">
        <v>0</v>
      </c>
      <c r="AD1971" t="s">
        <v>31</v>
      </c>
      <c r="AE1971">
        <v>0</v>
      </c>
      <c r="AF1971" t="s">
        <v>31</v>
      </c>
      <c r="AG1971">
        <v>0</v>
      </c>
      <c r="AH1971" t="s">
        <v>31</v>
      </c>
      <c r="AI1971">
        <v>0</v>
      </c>
      <c r="AJ1971" t="s">
        <v>31</v>
      </c>
      <c r="AK1971">
        <v>0</v>
      </c>
      <c r="AL1971" t="s">
        <v>31</v>
      </c>
      <c r="AM1971">
        <v>0</v>
      </c>
      <c r="AN1971" t="s">
        <v>31</v>
      </c>
      <c r="AO1971">
        <v>0</v>
      </c>
      <c r="AP1971" t="s">
        <v>31</v>
      </c>
      <c r="AQ1971">
        <v>0</v>
      </c>
    </row>
    <row r="1972" spans="1:43" x14ac:dyDescent="0.2">
      <c r="A1972" t="s">
        <v>381</v>
      </c>
      <c r="B1972" s="3">
        <v>44319</v>
      </c>
      <c r="C1972">
        <v>84</v>
      </c>
      <c r="D1972" t="s">
        <v>390</v>
      </c>
      <c r="E1972" t="s">
        <v>95</v>
      </c>
      <c r="F1972" s="9" t="s">
        <v>187</v>
      </c>
      <c r="G1972" t="s">
        <v>26</v>
      </c>
      <c r="H1972" t="s">
        <v>41</v>
      </c>
      <c r="I1972" t="s">
        <v>42</v>
      </c>
      <c r="J1972" t="s">
        <v>29</v>
      </c>
      <c r="K1972" t="s">
        <v>30</v>
      </c>
      <c r="L1972" t="s">
        <v>29</v>
      </c>
      <c r="M1972" t="s">
        <v>30</v>
      </c>
      <c r="N1972" t="s">
        <v>41</v>
      </c>
      <c r="O1972" t="s">
        <v>42</v>
      </c>
      <c r="P1972" t="s">
        <v>29</v>
      </c>
      <c r="Q1972" t="s">
        <v>30</v>
      </c>
      <c r="R1972" s="1">
        <v>44319.465254629627</v>
      </c>
      <c r="S1972" s="1">
        <v>44319.465590277781</v>
      </c>
      <c r="T1972">
        <v>0</v>
      </c>
      <c r="U1972">
        <v>10</v>
      </c>
      <c r="V1972" s="2">
        <v>0</v>
      </c>
      <c r="W1972">
        <v>0</v>
      </c>
      <c r="X1972" t="s">
        <v>44</v>
      </c>
      <c r="Y1972">
        <v>0</v>
      </c>
      <c r="Z1972" t="s">
        <v>44</v>
      </c>
      <c r="AA1972">
        <v>0</v>
      </c>
      <c r="AB1972" t="s">
        <v>45</v>
      </c>
      <c r="AC1972">
        <v>0</v>
      </c>
      <c r="AD1972" t="s">
        <v>113</v>
      </c>
      <c r="AE1972">
        <v>0</v>
      </c>
      <c r="AF1972" t="s">
        <v>47</v>
      </c>
      <c r="AG1972">
        <v>0</v>
      </c>
      <c r="AH1972" t="s">
        <v>44</v>
      </c>
      <c r="AI1972">
        <v>0</v>
      </c>
      <c r="AJ1972" t="s">
        <v>44</v>
      </c>
      <c r="AK1972">
        <v>0</v>
      </c>
      <c r="AL1972" t="s">
        <v>45</v>
      </c>
      <c r="AM1972">
        <v>0</v>
      </c>
      <c r="AN1972" t="s">
        <v>113</v>
      </c>
      <c r="AO1972">
        <v>0</v>
      </c>
      <c r="AP1972" t="s">
        <v>47</v>
      </c>
      <c r="AQ1972">
        <v>0</v>
      </c>
    </row>
    <row r="1973" spans="1:43" x14ac:dyDescent="0.2">
      <c r="A1973" t="s">
        <v>381</v>
      </c>
      <c r="B1973" s="3">
        <v>44327</v>
      </c>
      <c r="C1973">
        <v>94</v>
      </c>
      <c r="D1973" t="s">
        <v>384</v>
      </c>
      <c r="E1973" t="s">
        <v>95</v>
      </c>
      <c r="F1973" s="9" t="s">
        <v>187</v>
      </c>
      <c r="G1973" t="s">
        <v>26</v>
      </c>
      <c r="H1973" t="s">
        <v>41</v>
      </c>
      <c r="I1973" t="s">
        <v>42</v>
      </c>
      <c r="J1973" t="s">
        <v>29</v>
      </c>
      <c r="K1973" t="s">
        <v>30</v>
      </c>
      <c r="L1973" t="s">
        <v>29</v>
      </c>
      <c r="M1973" t="s">
        <v>30</v>
      </c>
      <c r="N1973" t="s">
        <v>155</v>
      </c>
      <c r="O1973" t="s">
        <v>156</v>
      </c>
      <c r="P1973" t="s">
        <v>29</v>
      </c>
      <c r="Q1973" t="s">
        <v>30</v>
      </c>
      <c r="R1973" s="1">
        <v>44327.481562499997</v>
      </c>
      <c r="S1973" s="1">
        <v>44327.486076388886</v>
      </c>
      <c r="T1973">
        <v>0</v>
      </c>
      <c r="U1973">
        <v>5</v>
      </c>
      <c r="V1973" s="2">
        <v>0</v>
      </c>
      <c r="W1973">
        <v>0</v>
      </c>
      <c r="X1973" t="s">
        <v>44</v>
      </c>
      <c r="Y1973">
        <v>0</v>
      </c>
      <c r="Z1973" t="s">
        <v>44</v>
      </c>
      <c r="AA1973">
        <v>0</v>
      </c>
      <c r="AB1973" t="s">
        <v>45</v>
      </c>
      <c r="AC1973">
        <v>0</v>
      </c>
      <c r="AD1973" t="s">
        <v>113</v>
      </c>
      <c r="AE1973">
        <v>0</v>
      </c>
      <c r="AF1973" t="s">
        <v>47</v>
      </c>
      <c r="AG1973">
        <v>0</v>
      </c>
      <c r="AH1973" t="s">
        <v>31</v>
      </c>
      <c r="AI1973">
        <v>0</v>
      </c>
      <c r="AJ1973" t="s">
        <v>31</v>
      </c>
      <c r="AK1973">
        <v>0</v>
      </c>
      <c r="AL1973" t="s">
        <v>31</v>
      </c>
      <c r="AM1973">
        <v>0</v>
      </c>
      <c r="AN1973" t="s">
        <v>31</v>
      </c>
      <c r="AO1973">
        <v>0</v>
      </c>
      <c r="AP1973" t="s">
        <v>31</v>
      </c>
      <c r="AQ1973">
        <v>0</v>
      </c>
    </row>
    <row r="1974" spans="1:43" x14ac:dyDescent="0.2">
      <c r="A1974" t="s">
        <v>381</v>
      </c>
      <c r="B1974" s="3">
        <v>44334</v>
      </c>
      <c r="C1974">
        <v>99</v>
      </c>
      <c r="D1974" t="s">
        <v>385</v>
      </c>
      <c r="E1974" t="s">
        <v>95</v>
      </c>
      <c r="F1974" s="9" t="s">
        <v>187</v>
      </c>
      <c r="G1974" t="s">
        <v>26</v>
      </c>
      <c r="H1974" t="s">
        <v>155</v>
      </c>
      <c r="I1974" t="s">
        <v>156</v>
      </c>
      <c r="J1974" t="s">
        <v>29</v>
      </c>
      <c r="K1974" t="s">
        <v>30</v>
      </c>
      <c r="L1974" t="s">
        <v>162</v>
      </c>
      <c r="M1974" t="s">
        <v>47</v>
      </c>
      <c r="N1974" t="s">
        <v>41</v>
      </c>
      <c r="O1974" t="s">
        <v>42</v>
      </c>
      <c r="P1974" t="s">
        <v>43</v>
      </c>
      <c r="Q1974" t="s">
        <v>44</v>
      </c>
      <c r="R1974" s="1">
        <v>44334.621215277781</v>
      </c>
      <c r="S1974" s="1">
        <v>44334.621261574073</v>
      </c>
      <c r="T1974">
        <v>3</v>
      </c>
      <c r="U1974">
        <v>3</v>
      </c>
      <c r="V1974" s="2">
        <v>1</v>
      </c>
      <c r="W1974">
        <v>0</v>
      </c>
      <c r="X1974" t="s">
        <v>47</v>
      </c>
      <c r="Y1974">
        <v>0</v>
      </c>
      <c r="Z1974" t="s">
        <v>47</v>
      </c>
      <c r="AA1974">
        <v>0</v>
      </c>
      <c r="AB1974" t="s">
        <v>47</v>
      </c>
      <c r="AC1974">
        <v>0</v>
      </c>
      <c r="AD1974" t="s">
        <v>31</v>
      </c>
      <c r="AE1974">
        <v>0</v>
      </c>
      <c r="AF1974" t="s">
        <v>31</v>
      </c>
      <c r="AG1974">
        <v>0</v>
      </c>
      <c r="AH1974" t="s">
        <v>31</v>
      </c>
      <c r="AI1974">
        <v>0</v>
      </c>
      <c r="AJ1974" t="s">
        <v>31</v>
      </c>
      <c r="AK1974">
        <v>0</v>
      </c>
      <c r="AL1974" t="s">
        <v>31</v>
      </c>
      <c r="AM1974">
        <v>0</v>
      </c>
      <c r="AN1974" t="s">
        <v>31</v>
      </c>
      <c r="AO1974">
        <v>0</v>
      </c>
      <c r="AP1974" t="s">
        <v>31</v>
      </c>
      <c r="AQ1974">
        <v>0</v>
      </c>
    </row>
    <row r="1975" spans="1:43" x14ac:dyDescent="0.2">
      <c r="A1975" t="s">
        <v>381</v>
      </c>
      <c r="B1975" s="3">
        <v>44338</v>
      </c>
      <c r="C1975">
        <v>107</v>
      </c>
      <c r="D1975" t="s">
        <v>392</v>
      </c>
      <c r="E1975" t="s">
        <v>95</v>
      </c>
      <c r="F1975" s="9" t="s">
        <v>187</v>
      </c>
      <c r="G1975" t="s">
        <v>26</v>
      </c>
      <c r="H1975" t="s">
        <v>41</v>
      </c>
      <c r="I1975" t="s">
        <v>42</v>
      </c>
      <c r="J1975" t="s">
        <v>43</v>
      </c>
      <c r="K1975" t="s">
        <v>44</v>
      </c>
      <c r="L1975" t="s">
        <v>29</v>
      </c>
      <c r="M1975" t="s">
        <v>30</v>
      </c>
      <c r="N1975" t="s">
        <v>41</v>
      </c>
      <c r="O1975" t="s">
        <v>42</v>
      </c>
      <c r="P1975" t="s">
        <v>43</v>
      </c>
      <c r="Q1975" t="s">
        <v>44</v>
      </c>
      <c r="R1975" s="1">
        <v>44338.587256944447</v>
      </c>
      <c r="S1975" s="1">
        <v>44338.587442129632</v>
      </c>
      <c r="T1975">
        <v>0</v>
      </c>
      <c r="U1975">
        <v>10</v>
      </c>
      <c r="V1975" s="2">
        <v>0</v>
      </c>
      <c r="W1975">
        <v>0</v>
      </c>
      <c r="X1975" t="s">
        <v>44</v>
      </c>
      <c r="Y1975">
        <v>0</v>
      </c>
      <c r="Z1975" t="s">
        <v>44</v>
      </c>
      <c r="AA1975">
        <v>0</v>
      </c>
      <c r="AB1975" t="s">
        <v>45</v>
      </c>
      <c r="AC1975">
        <v>0</v>
      </c>
      <c r="AD1975" t="s">
        <v>113</v>
      </c>
      <c r="AE1975">
        <v>0</v>
      </c>
      <c r="AF1975" t="s">
        <v>47</v>
      </c>
      <c r="AG1975">
        <v>0</v>
      </c>
      <c r="AH1975" t="s">
        <v>44</v>
      </c>
      <c r="AI1975">
        <v>0</v>
      </c>
      <c r="AJ1975" t="s">
        <v>44</v>
      </c>
      <c r="AK1975">
        <v>0</v>
      </c>
      <c r="AL1975" t="s">
        <v>45</v>
      </c>
      <c r="AM1975">
        <v>0</v>
      </c>
      <c r="AN1975" t="s">
        <v>113</v>
      </c>
      <c r="AO1975">
        <v>0</v>
      </c>
      <c r="AP1975" t="s">
        <v>47</v>
      </c>
      <c r="AQ1975">
        <v>0</v>
      </c>
    </row>
    <row r="1976" spans="1:43" x14ac:dyDescent="0.2">
      <c r="A1976" t="s">
        <v>381</v>
      </c>
      <c r="B1976" s="3">
        <v>44342</v>
      </c>
      <c r="C1976">
        <v>112</v>
      </c>
      <c r="D1976" t="s">
        <v>394</v>
      </c>
      <c r="E1976" t="s">
        <v>95</v>
      </c>
      <c r="F1976" s="9" t="s">
        <v>187</v>
      </c>
      <c r="G1976" t="s">
        <v>26</v>
      </c>
      <c r="H1976" t="s">
        <v>41</v>
      </c>
      <c r="I1976" t="s">
        <v>42</v>
      </c>
      <c r="J1976" t="s">
        <v>43</v>
      </c>
      <c r="K1976" t="s">
        <v>44</v>
      </c>
      <c r="L1976" t="s">
        <v>29</v>
      </c>
      <c r="M1976" t="s">
        <v>30</v>
      </c>
      <c r="N1976" t="s">
        <v>155</v>
      </c>
      <c r="O1976" t="s">
        <v>156</v>
      </c>
      <c r="P1976" t="s">
        <v>29</v>
      </c>
      <c r="Q1976" t="s">
        <v>30</v>
      </c>
      <c r="R1976" s="1">
        <v>44342.486620370371</v>
      </c>
      <c r="S1976" s="1">
        <v>44342.486631944441</v>
      </c>
      <c r="T1976">
        <v>0</v>
      </c>
      <c r="U1976">
        <v>5</v>
      </c>
      <c r="V1976" s="2">
        <v>0</v>
      </c>
      <c r="W1976">
        <v>0</v>
      </c>
      <c r="X1976" t="s">
        <v>44</v>
      </c>
      <c r="Y1976">
        <v>0</v>
      </c>
      <c r="Z1976" t="s">
        <v>44</v>
      </c>
      <c r="AA1976">
        <v>0</v>
      </c>
      <c r="AB1976" t="s">
        <v>45</v>
      </c>
      <c r="AC1976">
        <v>0</v>
      </c>
      <c r="AD1976" t="s">
        <v>113</v>
      </c>
      <c r="AE1976">
        <v>0</v>
      </c>
      <c r="AF1976" t="s">
        <v>47</v>
      </c>
      <c r="AG1976">
        <v>0</v>
      </c>
      <c r="AH1976" t="s">
        <v>31</v>
      </c>
      <c r="AI1976">
        <v>0</v>
      </c>
      <c r="AJ1976" t="s">
        <v>31</v>
      </c>
      <c r="AK1976">
        <v>0</v>
      </c>
      <c r="AL1976" t="s">
        <v>31</v>
      </c>
      <c r="AM1976">
        <v>0</v>
      </c>
      <c r="AN1976" t="s">
        <v>31</v>
      </c>
      <c r="AO1976">
        <v>0</v>
      </c>
      <c r="AP1976" t="s">
        <v>31</v>
      </c>
      <c r="AQ1976">
        <v>0</v>
      </c>
    </row>
    <row r="1977" spans="1:43" x14ac:dyDescent="0.2">
      <c r="A1977" t="s">
        <v>381</v>
      </c>
      <c r="B1977" s="3">
        <v>44348</v>
      </c>
      <c r="C1977">
        <v>118</v>
      </c>
      <c r="D1977" t="s">
        <v>396</v>
      </c>
      <c r="E1977" t="s">
        <v>95</v>
      </c>
      <c r="F1977" s="9" t="s">
        <v>187</v>
      </c>
      <c r="G1977" t="s">
        <v>26</v>
      </c>
      <c r="H1977" t="s">
        <v>155</v>
      </c>
      <c r="I1977" t="s">
        <v>156</v>
      </c>
      <c r="J1977" t="s">
        <v>29</v>
      </c>
      <c r="K1977" t="s">
        <v>30</v>
      </c>
      <c r="L1977" t="s">
        <v>162</v>
      </c>
      <c r="M1977" t="s">
        <v>47</v>
      </c>
      <c r="N1977" t="s">
        <v>41</v>
      </c>
      <c r="O1977" t="s">
        <v>42</v>
      </c>
      <c r="P1977" t="s">
        <v>43</v>
      </c>
      <c r="Q1977" t="s">
        <v>44</v>
      </c>
      <c r="R1977" s="1">
        <v>44348.478379629632</v>
      </c>
      <c r="S1977" s="1">
        <v>44348.478437500002</v>
      </c>
      <c r="T1977">
        <v>2</v>
      </c>
      <c r="U1977">
        <v>2</v>
      </c>
      <c r="V1977" s="2">
        <v>1</v>
      </c>
      <c r="W1977">
        <v>0</v>
      </c>
      <c r="X1977" t="s">
        <v>47</v>
      </c>
      <c r="Y1977">
        <v>0</v>
      </c>
      <c r="Z1977" t="s">
        <v>47</v>
      </c>
      <c r="AA1977">
        <v>0</v>
      </c>
      <c r="AB1977" t="s">
        <v>31</v>
      </c>
      <c r="AC1977">
        <v>0</v>
      </c>
      <c r="AD1977" t="s">
        <v>31</v>
      </c>
      <c r="AE1977">
        <v>0</v>
      </c>
      <c r="AF1977" t="s">
        <v>31</v>
      </c>
      <c r="AG1977">
        <v>0</v>
      </c>
      <c r="AH1977" t="s">
        <v>31</v>
      </c>
      <c r="AI1977">
        <v>0</v>
      </c>
      <c r="AJ1977" t="s">
        <v>31</v>
      </c>
      <c r="AK1977">
        <v>0</v>
      </c>
      <c r="AL1977" t="s">
        <v>31</v>
      </c>
      <c r="AM1977">
        <v>0</v>
      </c>
      <c r="AN1977" t="s">
        <v>31</v>
      </c>
      <c r="AO1977">
        <v>0</v>
      </c>
      <c r="AP1977" t="s">
        <v>31</v>
      </c>
      <c r="AQ1977">
        <v>0</v>
      </c>
    </row>
    <row r="1978" spans="1:43" x14ac:dyDescent="0.2">
      <c r="A1978" t="s">
        <v>381</v>
      </c>
      <c r="B1978" s="3">
        <v>44350</v>
      </c>
      <c r="C1978">
        <v>123</v>
      </c>
      <c r="D1978" t="s">
        <v>382</v>
      </c>
      <c r="E1978" t="s">
        <v>95</v>
      </c>
      <c r="F1978" s="9" t="s">
        <v>187</v>
      </c>
      <c r="G1978" t="s">
        <v>26</v>
      </c>
      <c r="H1978" t="s">
        <v>41</v>
      </c>
      <c r="I1978" t="s">
        <v>42</v>
      </c>
      <c r="J1978" t="s">
        <v>43</v>
      </c>
      <c r="K1978" t="s">
        <v>44</v>
      </c>
      <c r="L1978" t="s">
        <v>29</v>
      </c>
      <c r="M1978" t="s">
        <v>30</v>
      </c>
      <c r="N1978" t="s">
        <v>41</v>
      </c>
      <c r="O1978" t="s">
        <v>42</v>
      </c>
      <c r="P1978" t="s">
        <v>43</v>
      </c>
      <c r="Q1978" t="s">
        <v>44</v>
      </c>
      <c r="R1978" s="1">
        <v>44350.399004629631</v>
      </c>
      <c r="S1978" s="1">
        <v>44350.399317129632</v>
      </c>
      <c r="T1978">
        <v>1</v>
      </c>
      <c r="U1978">
        <v>6</v>
      </c>
      <c r="V1978" s="2">
        <v>0.16</v>
      </c>
      <c r="W1978">
        <v>0</v>
      </c>
      <c r="X1978" t="s">
        <v>44</v>
      </c>
      <c r="Y1978">
        <v>0</v>
      </c>
      <c r="Z1978" t="s">
        <v>44</v>
      </c>
      <c r="AA1978">
        <v>0</v>
      </c>
      <c r="AB1978" t="s">
        <v>45</v>
      </c>
      <c r="AC1978">
        <v>0</v>
      </c>
      <c r="AD1978" t="s">
        <v>113</v>
      </c>
      <c r="AE1978">
        <v>0</v>
      </c>
      <c r="AF1978" t="s">
        <v>47</v>
      </c>
      <c r="AG1978">
        <v>0</v>
      </c>
      <c r="AH1978" t="s">
        <v>30</v>
      </c>
      <c r="AI1978">
        <v>0</v>
      </c>
      <c r="AJ1978" t="s">
        <v>31</v>
      </c>
      <c r="AK1978">
        <v>0</v>
      </c>
      <c r="AL1978" t="s">
        <v>31</v>
      </c>
      <c r="AM1978">
        <v>0</v>
      </c>
      <c r="AN1978" t="s">
        <v>31</v>
      </c>
      <c r="AO1978">
        <v>0</v>
      </c>
      <c r="AP1978" t="s">
        <v>31</v>
      </c>
      <c r="AQ1978">
        <v>0</v>
      </c>
    </row>
    <row r="1979" spans="1:43" x14ac:dyDescent="0.2">
      <c r="A1979" t="s">
        <v>381</v>
      </c>
      <c r="B1979" s="3">
        <v>44354</v>
      </c>
      <c r="C1979">
        <v>127</v>
      </c>
      <c r="D1979" t="s">
        <v>383</v>
      </c>
      <c r="E1979" t="s">
        <v>95</v>
      </c>
      <c r="F1979" s="9" t="s">
        <v>187</v>
      </c>
      <c r="G1979" t="s">
        <v>26</v>
      </c>
      <c r="H1979" t="s">
        <v>41</v>
      </c>
      <c r="I1979" t="s">
        <v>42</v>
      </c>
      <c r="J1979" t="s">
        <v>43</v>
      </c>
      <c r="K1979" t="s">
        <v>44</v>
      </c>
      <c r="L1979" t="s">
        <v>29</v>
      </c>
      <c r="M1979" t="s">
        <v>30</v>
      </c>
      <c r="N1979" t="s">
        <v>41</v>
      </c>
      <c r="O1979" t="s">
        <v>42</v>
      </c>
      <c r="P1979" t="s">
        <v>43</v>
      </c>
      <c r="Q1979" t="s">
        <v>44</v>
      </c>
      <c r="R1979" s="1">
        <v>44354.56145833333</v>
      </c>
      <c r="S1979" s="1">
        <v>44354.56145833333</v>
      </c>
      <c r="T1979">
        <v>1</v>
      </c>
      <c r="U1979">
        <v>1</v>
      </c>
      <c r="V1979" s="2">
        <v>1</v>
      </c>
      <c r="W1979">
        <v>0</v>
      </c>
      <c r="X1979" t="s">
        <v>30</v>
      </c>
      <c r="Y1979">
        <v>0</v>
      </c>
      <c r="Z1979" t="s">
        <v>31</v>
      </c>
      <c r="AA1979">
        <v>0</v>
      </c>
      <c r="AB1979" t="s">
        <v>31</v>
      </c>
      <c r="AC1979">
        <v>0</v>
      </c>
      <c r="AD1979" t="s">
        <v>31</v>
      </c>
      <c r="AE1979">
        <v>0</v>
      </c>
      <c r="AF1979" t="s">
        <v>31</v>
      </c>
      <c r="AG1979">
        <v>0</v>
      </c>
      <c r="AH1979" t="s">
        <v>31</v>
      </c>
      <c r="AI1979">
        <v>0</v>
      </c>
      <c r="AJ1979" t="s">
        <v>31</v>
      </c>
      <c r="AK1979">
        <v>0</v>
      </c>
      <c r="AL1979" t="s">
        <v>31</v>
      </c>
      <c r="AM1979">
        <v>0</v>
      </c>
      <c r="AN1979" t="s">
        <v>31</v>
      </c>
      <c r="AO1979">
        <v>0</v>
      </c>
      <c r="AP1979" t="s">
        <v>31</v>
      </c>
      <c r="AQ1979">
        <v>0</v>
      </c>
    </row>
    <row r="1980" spans="1:43" x14ac:dyDescent="0.2">
      <c r="A1980" t="s">
        <v>381</v>
      </c>
      <c r="B1980" s="3">
        <v>44358</v>
      </c>
      <c r="C1980">
        <v>133</v>
      </c>
      <c r="D1980" t="s">
        <v>390</v>
      </c>
      <c r="E1980" t="s">
        <v>95</v>
      </c>
      <c r="F1980" s="9" t="s">
        <v>187</v>
      </c>
      <c r="G1980" t="s">
        <v>26</v>
      </c>
      <c r="H1980" t="s">
        <v>41</v>
      </c>
      <c r="I1980" t="s">
        <v>42</v>
      </c>
      <c r="J1980" t="s">
        <v>43</v>
      </c>
      <c r="K1980" t="s">
        <v>44</v>
      </c>
      <c r="L1980" t="s">
        <v>29</v>
      </c>
      <c r="M1980" t="s">
        <v>30</v>
      </c>
      <c r="N1980" t="s">
        <v>41</v>
      </c>
      <c r="O1980" t="s">
        <v>42</v>
      </c>
      <c r="P1980" t="s">
        <v>43</v>
      </c>
      <c r="Q1980" t="s">
        <v>44</v>
      </c>
      <c r="R1980" s="1">
        <v>44358.394328703704</v>
      </c>
      <c r="S1980" s="1">
        <v>44358.394641203704</v>
      </c>
      <c r="T1980">
        <v>0</v>
      </c>
      <c r="U1980">
        <v>10</v>
      </c>
      <c r="V1980" s="2">
        <v>0</v>
      </c>
      <c r="W1980">
        <v>0</v>
      </c>
      <c r="X1980" t="s">
        <v>44</v>
      </c>
      <c r="Y1980">
        <v>0</v>
      </c>
      <c r="Z1980" t="s">
        <v>44</v>
      </c>
      <c r="AA1980">
        <v>0</v>
      </c>
      <c r="AB1980" t="s">
        <v>45</v>
      </c>
      <c r="AC1980">
        <v>0</v>
      </c>
      <c r="AD1980" t="s">
        <v>113</v>
      </c>
      <c r="AE1980">
        <v>0</v>
      </c>
      <c r="AF1980" t="s">
        <v>47</v>
      </c>
      <c r="AG1980">
        <v>0</v>
      </c>
      <c r="AH1980" t="s">
        <v>44</v>
      </c>
      <c r="AI1980">
        <v>0</v>
      </c>
      <c r="AJ1980" t="s">
        <v>44</v>
      </c>
      <c r="AK1980">
        <v>0</v>
      </c>
      <c r="AL1980" t="s">
        <v>45</v>
      </c>
      <c r="AM1980">
        <v>0</v>
      </c>
      <c r="AN1980" t="s">
        <v>113</v>
      </c>
      <c r="AO1980">
        <v>0</v>
      </c>
      <c r="AP1980" t="s">
        <v>47</v>
      </c>
      <c r="AQ1980">
        <v>0</v>
      </c>
    </row>
    <row r="1981" spans="1:43" x14ac:dyDescent="0.2">
      <c r="A1981" t="s">
        <v>381</v>
      </c>
      <c r="B1981" s="3">
        <v>44364</v>
      </c>
      <c r="C1981">
        <v>138</v>
      </c>
      <c r="D1981" t="s">
        <v>399</v>
      </c>
      <c r="E1981" t="s">
        <v>95</v>
      </c>
      <c r="F1981" s="9" t="s">
        <v>187</v>
      </c>
      <c r="G1981" t="s">
        <v>26</v>
      </c>
      <c r="H1981" t="s">
        <v>41</v>
      </c>
      <c r="I1981" t="s">
        <v>42</v>
      </c>
      <c r="J1981" t="s">
        <v>43</v>
      </c>
      <c r="K1981" t="s">
        <v>44</v>
      </c>
      <c r="L1981" t="s">
        <v>29</v>
      </c>
      <c r="M1981" t="s">
        <v>30</v>
      </c>
      <c r="N1981" t="s">
        <v>155</v>
      </c>
      <c r="O1981" t="s">
        <v>156</v>
      </c>
      <c r="P1981" t="s">
        <v>29</v>
      </c>
      <c r="Q1981" t="s">
        <v>30</v>
      </c>
      <c r="R1981" s="1">
        <v>44364.435694444444</v>
      </c>
      <c r="S1981" s="1">
        <v>44364.436249999999</v>
      </c>
      <c r="T1981">
        <v>0</v>
      </c>
      <c r="U1981">
        <v>5</v>
      </c>
      <c r="V1981" s="2">
        <v>0</v>
      </c>
      <c r="W1981">
        <v>0</v>
      </c>
      <c r="X1981" t="s">
        <v>44</v>
      </c>
      <c r="Y1981">
        <v>0</v>
      </c>
      <c r="Z1981" t="s">
        <v>44</v>
      </c>
      <c r="AA1981">
        <v>0</v>
      </c>
      <c r="AB1981" t="s">
        <v>45</v>
      </c>
      <c r="AC1981">
        <v>0</v>
      </c>
      <c r="AD1981" t="s">
        <v>113</v>
      </c>
      <c r="AE1981">
        <v>0</v>
      </c>
      <c r="AF1981" t="s">
        <v>47</v>
      </c>
      <c r="AG1981">
        <v>0</v>
      </c>
      <c r="AH1981" t="s">
        <v>31</v>
      </c>
      <c r="AI1981">
        <v>0</v>
      </c>
      <c r="AJ1981" t="s">
        <v>31</v>
      </c>
      <c r="AK1981">
        <v>0</v>
      </c>
      <c r="AL1981" t="s">
        <v>31</v>
      </c>
      <c r="AM1981">
        <v>0</v>
      </c>
      <c r="AN1981" t="s">
        <v>31</v>
      </c>
      <c r="AO1981">
        <v>0</v>
      </c>
      <c r="AP1981" t="s">
        <v>31</v>
      </c>
      <c r="AQ1981">
        <v>0</v>
      </c>
    </row>
    <row r="1982" spans="1:43" x14ac:dyDescent="0.2">
      <c r="A1982" t="s">
        <v>381</v>
      </c>
      <c r="B1982" s="3">
        <v>44365</v>
      </c>
      <c r="C1982">
        <v>140</v>
      </c>
      <c r="D1982" t="s">
        <v>399</v>
      </c>
      <c r="E1982" t="s">
        <v>95</v>
      </c>
      <c r="F1982" s="9" t="s">
        <v>187</v>
      </c>
      <c r="G1982" t="s">
        <v>26</v>
      </c>
      <c r="H1982" t="s">
        <v>155</v>
      </c>
      <c r="I1982" t="s">
        <v>156</v>
      </c>
      <c r="J1982" t="s">
        <v>29</v>
      </c>
      <c r="K1982" t="s">
        <v>30</v>
      </c>
      <c r="L1982" t="s">
        <v>162</v>
      </c>
      <c r="M1982" t="s">
        <v>47</v>
      </c>
      <c r="N1982" t="s">
        <v>41</v>
      </c>
      <c r="O1982" t="s">
        <v>42</v>
      </c>
      <c r="P1982" t="s">
        <v>43</v>
      </c>
      <c r="Q1982" t="s">
        <v>44</v>
      </c>
      <c r="R1982" s="1">
        <v>44365.643935185188</v>
      </c>
      <c r="S1982" s="1">
        <v>44365.643935185188</v>
      </c>
      <c r="T1982">
        <v>1</v>
      </c>
      <c r="U1982">
        <v>1</v>
      </c>
      <c r="V1982" s="2">
        <v>1</v>
      </c>
      <c r="W1982">
        <v>0</v>
      </c>
      <c r="X1982" t="s">
        <v>30</v>
      </c>
      <c r="Y1982">
        <v>0</v>
      </c>
      <c r="Z1982" t="s">
        <v>31</v>
      </c>
      <c r="AA1982">
        <v>0</v>
      </c>
      <c r="AB1982" t="s">
        <v>31</v>
      </c>
      <c r="AC1982">
        <v>0</v>
      </c>
      <c r="AD1982" t="s">
        <v>31</v>
      </c>
      <c r="AE1982">
        <v>0</v>
      </c>
      <c r="AF1982" t="s">
        <v>31</v>
      </c>
      <c r="AG1982">
        <v>0</v>
      </c>
      <c r="AH1982" t="s">
        <v>31</v>
      </c>
      <c r="AI1982">
        <v>0</v>
      </c>
      <c r="AJ1982" t="s">
        <v>31</v>
      </c>
      <c r="AK1982">
        <v>0</v>
      </c>
      <c r="AL1982" t="s">
        <v>31</v>
      </c>
      <c r="AM1982">
        <v>0</v>
      </c>
      <c r="AN1982" t="s">
        <v>31</v>
      </c>
      <c r="AO1982">
        <v>0</v>
      </c>
      <c r="AP1982" t="s">
        <v>31</v>
      </c>
      <c r="AQ1982">
        <v>0</v>
      </c>
    </row>
    <row r="1983" spans="1:43" x14ac:dyDescent="0.2">
      <c r="A1983" t="s">
        <v>381</v>
      </c>
      <c r="B1983" s="3">
        <v>44350</v>
      </c>
      <c r="C1983">
        <v>123</v>
      </c>
      <c r="D1983" t="s">
        <v>382</v>
      </c>
      <c r="E1983" t="s">
        <v>95</v>
      </c>
      <c r="F1983" s="9" t="s">
        <v>253</v>
      </c>
      <c r="G1983" t="s">
        <v>26</v>
      </c>
      <c r="H1983" t="s">
        <v>200</v>
      </c>
      <c r="I1983" t="s">
        <v>201</v>
      </c>
      <c r="J1983" t="s">
        <v>43</v>
      </c>
      <c r="K1983" t="s">
        <v>44</v>
      </c>
      <c r="L1983" t="s">
        <v>29</v>
      </c>
      <c r="M1983" t="s">
        <v>30</v>
      </c>
      <c r="N1983" t="s">
        <v>108</v>
      </c>
      <c r="O1983" t="s">
        <v>109</v>
      </c>
      <c r="P1983" t="s">
        <v>43</v>
      </c>
      <c r="Q1983" t="s">
        <v>44</v>
      </c>
      <c r="R1983" s="1">
        <v>44350.430543981478</v>
      </c>
      <c r="S1983" s="1">
        <v>44350.430543981478</v>
      </c>
      <c r="T1983">
        <v>1</v>
      </c>
      <c r="U1983">
        <v>1</v>
      </c>
      <c r="V1983" s="2">
        <v>1</v>
      </c>
      <c r="W1983">
        <v>0</v>
      </c>
      <c r="X1983" t="s">
        <v>30</v>
      </c>
      <c r="Y1983">
        <v>0</v>
      </c>
      <c r="Z1983" t="s">
        <v>31</v>
      </c>
      <c r="AA1983">
        <v>0</v>
      </c>
      <c r="AB1983" t="s">
        <v>31</v>
      </c>
      <c r="AC1983">
        <v>0</v>
      </c>
      <c r="AD1983" t="s">
        <v>31</v>
      </c>
      <c r="AE1983">
        <v>0</v>
      </c>
      <c r="AF1983" t="s">
        <v>31</v>
      </c>
      <c r="AG1983">
        <v>0</v>
      </c>
      <c r="AH1983" t="s">
        <v>31</v>
      </c>
      <c r="AI1983">
        <v>0</v>
      </c>
      <c r="AJ1983" t="s">
        <v>31</v>
      </c>
      <c r="AK1983">
        <v>0</v>
      </c>
      <c r="AL1983" t="s">
        <v>31</v>
      </c>
      <c r="AM1983">
        <v>0</v>
      </c>
      <c r="AN1983" t="s">
        <v>31</v>
      </c>
      <c r="AO1983">
        <v>0</v>
      </c>
      <c r="AP1983" t="s">
        <v>31</v>
      </c>
      <c r="AQ1983">
        <v>0</v>
      </c>
    </row>
    <row r="1984" spans="1:43" x14ac:dyDescent="0.2">
      <c r="A1984" t="s">
        <v>381</v>
      </c>
      <c r="B1984" s="3">
        <v>44236</v>
      </c>
      <c r="C1984">
        <v>3</v>
      </c>
      <c r="D1984" t="s">
        <v>385</v>
      </c>
      <c r="E1984" t="s">
        <v>111</v>
      </c>
      <c r="F1984" s="9" t="s">
        <v>112</v>
      </c>
      <c r="G1984" t="s">
        <v>26</v>
      </c>
      <c r="H1984" t="s">
        <v>41</v>
      </c>
      <c r="I1984" t="s">
        <v>42</v>
      </c>
      <c r="J1984" t="s">
        <v>29</v>
      </c>
      <c r="K1984" t="s">
        <v>30</v>
      </c>
      <c r="L1984" t="s">
        <v>29</v>
      </c>
      <c r="M1984" t="s">
        <v>30</v>
      </c>
      <c r="N1984" t="s">
        <v>27</v>
      </c>
      <c r="O1984" t="s">
        <v>28</v>
      </c>
      <c r="P1984" t="s">
        <v>29</v>
      </c>
      <c r="Q1984" t="s">
        <v>30</v>
      </c>
      <c r="R1984" s="1">
        <v>44236.626828703702</v>
      </c>
      <c r="S1984" s="1">
        <v>44236.630347222221</v>
      </c>
      <c r="T1984">
        <v>0</v>
      </c>
      <c r="U1984">
        <v>4</v>
      </c>
      <c r="V1984" s="2">
        <v>0</v>
      </c>
      <c r="W1984">
        <v>0</v>
      </c>
      <c r="X1984" t="s">
        <v>44</v>
      </c>
      <c r="Y1984">
        <v>0</v>
      </c>
      <c r="Z1984" t="s">
        <v>44</v>
      </c>
      <c r="AA1984">
        <v>0</v>
      </c>
      <c r="AB1984" t="s">
        <v>46</v>
      </c>
      <c r="AC1984">
        <v>0</v>
      </c>
      <c r="AD1984" t="s">
        <v>113</v>
      </c>
      <c r="AE1984">
        <v>0</v>
      </c>
      <c r="AF1984" t="s">
        <v>31</v>
      </c>
      <c r="AG1984">
        <v>0</v>
      </c>
      <c r="AH1984" t="s">
        <v>31</v>
      </c>
      <c r="AI1984">
        <v>0</v>
      </c>
      <c r="AJ1984" t="s">
        <v>31</v>
      </c>
      <c r="AK1984">
        <v>0</v>
      </c>
      <c r="AL1984" t="s">
        <v>31</v>
      </c>
      <c r="AM1984">
        <v>0</v>
      </c>
      <c r="AN1984" t="s">
        <v>31</v>
      </c>
      <c r="AO1984">
        <v>0</v>
      </c>
      <c r="AP1984" t="s">
        <v>31</v>
      </c>
      <c r="AQ1984">
        <v>0</v>
      </c>
    </row>
    <row r="1985" spans="1:43" x14ac:dyDescent="0.2">
      <c r="A1985" t="s">
        <v>381</v>
      </c>
      <c r="B1985" s="3">
        <v>44242</v>
      </c>
      <c r="C1985">
        <v>8</v>
      </c>
      <c r="D1985" t="s">
        <v>384</v>
      </c>
      <c r="E1985" t="s">
        <v>111</v>
      </c>
      <c r="F1985" s="9" t="s">
        <v>112</v>
      </c>
      <c r="G1985" t="s">
        <v>26</v>
      </c>
      <c r="H1985" t="s">
        <v>27</v>
      </c>
      <c r="I1985" t="s">
        <v>28</v>
      </c>
      <c r="J1985" t="s">
        <v>29</v>
      </c>
      <c r="K1985" t="s">
        <v>30</v>
      </c>
      <c r="L1985" t="s">
        <v>29</v>
      </c>
      <c r="M1985" t="s">
        <v>30</v>
      </c>
      <c r="N1985" t="s">
        <v>27</v>
      </c>
      <c r="O1985" t="s">
        <v>28</v>
      </c>
      <c r="P1985" t="s">
        <v>29</v>
      </c>
      <c r="Q1985" t="s">
        <v>30</v>
      </c>
      <c r="R1985" s="1">
        <v>44242.469907407409</v>
      </c>
      <c r="S1985" s="1">
        <v>44242.470185185186</v>
      </c>
      <c r="T1985">
        <v>0</v>
      </c>
      <c r="U1985">
        <v>0</v>
      </c>
      <c r="V1985" s="2">
        <v>0</v>
      </c>
      <c r="W1985">
        <v>0</v>
      </c>
      <c r="X1985" t="s">
        <v>37</v>
      </c>
      <c r="Y1985">
        <v>0</v>
      </c>
      <c r="Z1985" t="s">
        <v>37</v>
      </c>
      <c r="AA1985">
        <v>0</v>
      </c>
      <c r="AB1985" t="s">
        <v>37</v>
      </c>
      <c r="AC1985">
        <v>0</v>
      </c>
      <c r="AD1985" t="s">
        <v>31</v>
      </c>
      <c r="AE1985">
        <v>0</v>
      </c>
      <c r="AF1985" t="s">
        <v>31</v>
      </c>
      <c r="AG1985">
        <v>0</v>
      </c>
      <c r="AH1985" t="s">
        <v>31</v>
      </c>
      <c r="AI1985">
        <v>0</v>
      </c>
      <c r="AJ1985" t="s">
        <v>31</v>
      </c>
      <c r="AK1985">
        <v>0</v>
      </c>
      <c r="AL1985" t="s">
        <v>31</v>
      </c>
      <c r="AM1985">
        <v>0</v>
      </c>
      <c r="AN1985" t="s">
        <v>31</v>
      </c>
      <c r="AO1985">
        <v>0</v>
      </c>
      <c r="AP1985" t="s">
        <v>31</v>
      </c>
      <c r="AQ1985">
        <v>0</v>
      </c>
    </row>
    <row r="1986" spans="1:43" x14ac:dyDescent="0.2">
      <c r="A1986" t="s">
        <v>381</v>
      </c>
      <c r="B1986" s="3">
        <v>44245</v>
      </c>
      <c r="C1986">
        <v>12</v>
      </c>
      <c r="D1986" t="s">
        <v>382</v>
      </c>
      <c r="E1986" t="s">
        <v>111</v>
      </c>
      <c r="F1986" s="9" t="s">
        <v>112</v>
      </c>
      <c r="G1986" t="s">
        <v>26</v>
      </c>
      <c r="H1986" t="s">
        <v>27</v>
      </c>
      <c r="I1986" t="s">
        <v>28</v>
      </c>
      <c r="J1986" t="s">
        <v>29</v>
      </c>
      <c r="K1986" t="s">
        <v>30</v>
      </c>
      <c r="L1986" t="s">
        <v>29</v>
      </c>
      <c r="M1986" t="s">
        <v>30</v>
      </c>
      <c r="N1986" t="s">
        <v>27</v>
      </c>
      <c r="O1986" t="s">
        <v>28</v>
      </c>
      <c r="P1986" t="s">
        <v>29</v>
      </c>
      <c r="Q1986" t="s">
        <v>30</v>
      </c>
      <c r="R1986" s="1">
        <v>44245.448437500003</v>
      </c>
      <c r="S1986" s="1">
        <v>44245.448449074072</v>
      </c>
      <c r="T1986">
        <v>0</v>
      </c>
      <c r="U1986">
        <v>0</v>
      </c>
      <c r="V1986" s="2">
        <v>0</v>
      </c>
      <c r="W1986">
        <v>0</v>
      </c>
      <c r="X1986" t="s">
        <v>37</v>
      </c>
      <c r="Y1986">
        <v>0</v>
      </c>
      <c r="Z1986" t="s">
        <v>37</v>
      </c>
      <c r="AA1986">
        <v>0</v>
      </c>
      <c r="AB1986" t="s">
        <v>37</v>
      </c>
      <c r="AC1986">
        <v>0</v>
      </c>
      <c r="AD1986" t="s">
        <v>31</v>
      </c>
      <c r="AE1986">
        <v>0</v>
      </c>
      <c r="AF1986" t="s">
        <v>31</v>
      </c>
      <c r="AG1986">
        <v>0</v>
      </c>
      <c r="AH1986" t="s">
        <v>31</v>
      </c>
      <c r="AI1986">
        <v>0</v>
      </c>
      <c r="AJ1986" t="s">
        <v>31</v>
      </c>
      <c r="AK1986">
        <v>0</v>
      </c>
      <c r="AL1986" t="s">
        <v>31</v>
      </c>
      <c r="AM1986">
        <v>0</v>
      </c>
      <c r="AN1986" t="s">
        <v>31</v>
      </c>
      <c r="AO1986">
        <v>0</v>
      </c>
      <c r="AP1986" t="s">
        <v>31</v>
      </c>
      <c r="AQ1986">
        <v>0</v>
      </c>
    </row>
    <row r="1987" spans="1:43" x14ac:dyDescent="0.2">
      <c r="A1987" t="s">
        <v>381</v>
      </c>
      <c r="B1987" s="3">
        <v>44246</v>
      </c>
      <c r="C1987">
        <v>14</v>
      </c>
      <c r="D1987" t="s">
        <v>384</v>
      </c>
      <c r="E1987" t="s">
        <v>111</v>
      </c>
      <c r="F1987" s="9" t="s">
        <v>112</v>
      </c>
      <c r="G1987" t="s">
        <v>26</v>
      </c>
      <c r="H1987" t="s">
        <v>27</v>
      </c>
      <c r="I1987" t="s">
        <v>28</v>
      </c>
      <c r="J1987" t="s">
        <v>29</v>
      </c>
      <c r="K1987" t="s">
        <v>30</v>
      </c>
      <c r="L1987" t="s">
        <v>29</v>
      </c>
      <c r="M1987" t="s">
        <v>30</v>
      </c>
      <c r="N1987" t="s">
        <v>27</v>
      </c>
      <c r="O1987" t="s">
        <v>28</v>
      </c>
      <c r="P1987" t="s">
        <v>29</v>
      </c>
      <c r="Q1987" t="s">
        <v>30</v>
      </c>
      <c r="R1987" s="1">
        <v>44246.472303240742</v>
      </c>
      <c r="S1987" s="1">
        <v>44246.472303240742</v>
      </c>
      <c r="T1987">
        <v>0</v>
      </c>
      <c r="U1987">
        <v>0</v>
      </c>
      <c r="V1987" s="2">
        <v>0</v>
      </c>
      <c r="W1987">
        <v>0</v>
      </c>
      <c r="X1987" t="s">
        <v>37</v>
      </c>
      <c r="Y1987">
        <v>0</v>
      </c>
      <c r="Z1987" t="s">
        <v>31</v>
      </c>
      <c r="AA1987">
        <v>0</v>
      </c>
      <c r="AB1987" t="s">
        <v>31</v>
      </c>
      <c r="AC1987">
        <v>0</v>
      </c>
      <c r="AD1987" t="s">
        <v>31</v>
      </c>
      <c r="AE1987">
        <v>0</v>
      </c>
      <c r="AF1987" t="s">
        <v>31</v>
      </c>
      <c r="AG1987">
        <v>0</v>
      </c>
      <c r="AH1987" t="s">
        <v>31</v>
      </c>
      <c r="AI1987">
        <v>0</v>
      </c>
      <c r="AJ1987" t="s">
        <v>31</v>
      </c>
      <c r="AK1987">
        <v>0</v>
      </c>
      <c r="AL1987" t="s">
        <v>31</v>
      </c>
      <c r="AM1987">
        <v>0</v>
      </c>
      <c r="AN1987" t="s">
        <v>31</v>
      </c>
      <c r="AO1987">
        <v>0</v>
      </c>
      <c r="AP1987" t="s">
        <v>31</v>
      </c>
      <c r="AQ1987">
        <v>0</v>
      </c>
    </row>
    <row r="1988" spans="1:43" x14ac:dyDescent="0.2">
      <c r="A1988" t="s">
        <v>381</v>
      </c>
      <c r="B1988" s="3">
        <v>44250</v>
      </c>
      <c r="C1988">
        <v>16</v>
      </c>
      <c r="D1988" t="s">
        <v>382</v>
      </c>
      <c r="E1988" t="s">
        <v>111</v>
      </c>
      <c r="F1988" s="9" t="s">
        <v>112</v>
      </c>
      <c r="G1988" t="s">
        <v>26</v>
      </c>
      <c r="H1988" t="s">
        <v>27</v>
      </c>
      <c r="I1988" t="s">
        <v>28</v>
      </c>
      <c r="J1988" t="s">
        <v>29</v>
      </c>
      <c r="K1988" t="s">
        <v>30</v>
      </c>
      <c r="L1988" t="s">
        <v>29</v>
      </c>
      <c r="M1988" t="s">
        <v>30</v>
      </c>
      <c r="N1988" t="s">
        <v>27</v>
      </c>
      <c r="O1988" t="s">
        <v>28</v>
      </c>
      <c r="P1988" t="s">
        <v>29</v>
      </c>
      <c r="Q1988" t="s">
        <v>30</v>
      </c>
      <c r="R1988" s="1">
        <v>44250.430578703701</v>
      </c>
      <c r="S1988" s="1">
        <v>44250.430578703701</v>
      </c>
      <c r="T1988">
        <v>1</v>
      </c>
      <c r="U1988">
        <v>1</v>
      </c>
      <c r="V1988" s="2">
        <v>1</v>
      </c>
      <c r="W1988">
        <v>0</v>
      </c>
      <c r="X1988" t="s">
        <v>30</v>
      </c>
      <c r="Y1988">
        <v>0</v>
      </c>
      <c r="Z1988" t="s">
        <v>31</v>
      </c>
      <c r="AA1988">
        <v>0</v>
      </c>
      <c r="AB1988" t="s">
        <v>31</v>
      </c>
      <c r="AC1988">
        <v>0</v>
      </c>
      <c r="AD1988" t="s">
        <v>31</v>
      </c>
      <c r="AE1988">
        <v>0</v>
      </c>
      <c r="AF1988" t="s">
        <v>31</v>
      </c>
      <c r="AG1988">
        <v>0</v>
      </c>
      <c r="AH1988" t="s">
        <v>31</v>
      </c>
      <c r="AI1988">
        <v>0</v>
      </c>
      <c r="AJ1988" t="s">
        <v>31</v>
      </c>
      <c r="AK1988">
        <v>0</v>
      </c>
      <c r="AL1988" t="s">
        <v>31</v>
      </c>
      <c r="AM1988">
        <v>0</v>
      </c>
      <c r="AN1988" t="s">
        <v>31</v>
      </c>
      <c r="AO1988">
        <v>0</v>
      </c>
      <c r="AP1988" t="s">
        <v>31</v>
      </c>
      <c r="AQ1988">
        <v>0</v>
      </c>
    </row>
    <row r="1989" spans="1:43" x14ac:dyDescent="0.2">
      <c r="A1989" t="s">
        <v>381</v>
      </c>
      <c r="B1989" s="3">
        <v>44251</v>
      </c>
      <c r="C1989">
        <v>18</v>
      </c>
      <c r="D1989" t="s">
        <v>384</v>
      </c>
      <c r="E1989" t="s">
        <v>111</v>
      </c>
      <c r="F1989" s="9" t="s">
        <v>112</v>
      </c>
      <c r="G1989" t="s">
        <v>26</v>
      </c>
      <c r="H1989" t="s">
        <v>27</v>
      </c>
      <c r="I1989" t="s">
        <v>28</v>
      </c>
      <c r="J1989" t="s">
        <v>29</v>
      </c>
      <c r="K1989" t="s">
        <v>30</v>
      </c>
      <c r="L1989" t="s">
        <v>29</v>
      </c>
      <c r="M1989" t="s">
        <v>30</v>
      </c>
      <c r="N1989" t="s">
        <v>27</v>
      </c>
      <c r="O1989" t="s">
        <v>28</v>
      </c>
      <c r="P1989" t="s">
        <v>29</v>
      </c>
      <c r="Q1989" t="s">
        <v>30</v>
      </c>
      <c r="R1989" s="1">
        <v>44251.457835648151</v>
      </c>
      <c r="S1989" s="1">
        <v>44251.458136574074</v>
      </c>
      <c r="T1989">
        <v>0</v>
      </c>
      <c r="U1989">
        <v>0</v>
      </c>
      <c r="V1989" s="2">
        <v>0</v>
      </c>
      <c r="W1989">
        <v>0</v>
      </c>
      <c r="X1989" t="s">
        <v>37</v>
      </c>
      <c r="Y1989">
        <v>0</v>
      </c>
      <c r="Z1989" t="s">
        <v>37</v>
      </c>
      <c r="AA1989">
        <v>0</v>
      </c>
      <c r="AB1989" t="s">
        <v>37</v>
      </c>
      <c r="AC1989">
        <v>0</v>
      </c>
      <c r="AD1989" t="s">
        <v>37</v>
      </c>
      <c r="AE1989">
        <v>0</v>
      </c>
      <c r="AF1989" t="s">
        <v>31</v>
      </c>
      <c r="AG1989">
        <v>0</v>
      </c>
      <c r="AH1989" t="s">
        <v>31</v>
      </c>
      <c r="AI1989">
        <v>0</v>
      </c>
      <c r="AJ1989" t="s">
        <v>31</v>
      </c>
      <c r="AK1989">
        <v>0</v>
      </c>
      <c r="AL1989" t="s">
        <v>31</v>
      </c>
      <c r="AM1989">
        <v>0</v>
      </c>
      <c r="AN1989" t="s">
        <v>31</v>
      </c>
      <c r="AO1989">
        <v>0</v>
      </c>
      <c r="AP1989" t="s">
        <v>31</v>
      </c>
      <c r="AQ1989">
        <v>0</v>
      </c>
    </row>
    <row r="1990" spans="1:43" x14ac:dyDescent="0.2">
      <c r="A1990" t="s">
        <v>381</v>
      </c>
      <c r="B1990" s="3">
        <v>44252</v>
      </c>
      <c r="C1990">
        <v>19</v>
      </c>
      <c r="D1990" t="s">
        <v>382</v>
      </c>
      <c r="E1990" t="s">
        <v>111</v>
      </c>
      <c r="F1990" s="9" t="s">
        <v>112</v>
      </c>
      <c r="G1990" t="s">
        <v>26</v>
      </c>
      <c r="H1990" t="s">
        <v>27</v>
      </c>
      <c r="I1990" t="s">
        <v>28</v>
      </c>
      <c r="J1990" t="s">
        <v>29</v>
      </c>
      <c r="K1990" t="s">
        <v>30</v>
      </c>
      <c r="L1990" t="s">
        <v>29</v>
      </c>
      <c r="M1990" t="s">
        <v>30</v>
      </c>
      <c r="N1990" t="s">
        <v>27</v>
      </c>
      <c r="O1990" t="s">
        <v>28</v>
      </c>
      <c r="P1990" t="s">
        <v>29</v>
      </c>
      <c r="Q1990" t="s">
        <v>30</v>
      </c>
      <c r="R1990" s="1">
        <v>44252.429016203707</v>
      </c>
      <c r="S1990" s="1">
        <v>44252.429027777776</v>
      </c>
      <c r="T1990">
        <v>0</v>
      </c>
      <c r="U1990">
        <v>0</v>
      </c>
      <c r="V1990" s="2">
        <v>0</v>
      </c>
      <c r="W1990">
        <v>0</v>
      </c>
      <c r="X1990" t="s">
        <v>37</v>
      </c>
      <c r="Y1990">
        <v>0</v>
      </c>
      <c r="Z1990" t="s">
        <v>37</v>
      </c>
      <c r="AA1990">
        <v>0</v>
      </c>
      <c r="AB1990" t="s">
        <v>37</v>
      </c>
      <c r="AC1990">
        <v>0</v>
      </c>
      <c r="AD1990" t="s">
        <v>31</v>
      </c>
      <c r="AE1990">
        <v>0</v>
      </c>
      <c r="AF1990" t="s">
        <v>31</v>
      </c>
      <c r="AG1990">
        <v>0</v>
      </c>
      <c r="AH1990" t="s">
        <v>31</v>
      </c>
      <c r="AI1990">
        <v>0</v>
      </c>
      <c r="AJ1990" t="s">
        <v>31</v>
      </c>
      <c r="AK1990">
        <v>0</v>
      </c>
      <c r="AL1990" t="s">
        <v>31</v>
      </c>
      <c r="AM1990">
        <v>0</v>
      </c>
      <c r="AN1990" t="s">
        <v>31</v>
      </c>
      <c r="AO1990">
        <v>0</v>
      </c>
      <c r="AP1990" t="s">
        <v>31</v>
      </c>
      <c r="AQ1990">
        <v>0</v>
      </c>
    </row>
    <row r="1991" spans="1:43" x14ac:dyDescent="0.2">
      <c r="A1991" t="s">
        <v>381</v>
      </c>
      <c r="B1991" s="3">
        <v>44252</v>
      </c>
      <c r="C1991">
        <v>20</v>
      </c>
      <c r="D1991" t="s">
        <v>385</v>
      </c>
      <c r="E1991" t="s">
        <v>111</v>
      </c>
      <c r="F1991" s="9" t="s">
        <v>112</v>
      </c>
      <c r="G1991" t="s">
        <v>26</v>
      </c>
      <c r="H1991" t="s">
        <v>27</v>
      </c>
      <c r="I1991" t="s">
        <v>28</v>
      </c>
      <c r="J1991" t="s">
        <v>29</v>
      </c>
      <c r="K1991" t="s">
        <v>30</v>
      </c>
      <c r="L1991" t="s">
        <v>29</v>
      </c>
      <c r="M1991" t="s">
        <v>30</v>
      </c>
      <c r="N1991" t="s">
        <v>27</v>
      </c>
      <c r="O1991" t="s">
        <v>28</v>
      </c>
      <c r="P1991" t="s">
        <v>29</v>
      </c>
      <c r="Q1991" t="s">
        <v>30</v>
      </c>
      <c r="R1991" s="1">
        <v>44252.677060185182</v>
      </c>
      <c r="S1991" s="1">
        <v>44252.677083333336</v>
      </c>
      <c r="T1991">
        <v>0</v>
      </c>
      <c r="U1991">
        <v>0</v>
      </c>
      <c r="V1991" s="2">
        <v>0</v>
      </c>
      <c r="W1991">
        <v>0</v>
      </c>
      <c r="X1991" t="s">
        <v>37</v>
      </c>
      <c r="Y1991">
        <v>0</v>
      </c>
      <c r="Z1991" t="s">
        <v>37</v>
      </c>
      <c r="AA1991">
        <v>0</v>
      </c>
      <c r="AB1991" t="s">
        <v>37</v>
      </c>
      <c r="AC1991">
        <v>0</v>
      </c>
      <c r="AD1991" t="s">
        <v>37</v>
      </c>
      <c r="AE1991">
        <v>0</v>
      </c>
      <c r="AF1991" t="s">
        <v>31</v>
      </c>
      <c r="AG1991">
        <v>0</v>
      </c>
      <c r="AH1991" t="s">
        <v>31</v>
      </c>
      <c r="AI1991">
        <v>0</v>
      </c>
      <c r="AJ1991" t="s">
        <v>31</v>
      </c>
      <c r="AK1991">
        <v>0</v>
      </c>
      <c r="AL1991" t="s">
        <v>31</v>
      </c>
      <c r="AM1991">
        <v>0</v>
      </c>
      <c r="AN1991" t="s">
        <v>31</v>
      </c>
      <c r="AO1991">
        <v>0</v>
      </c>
      <c r="AP1991" t="s">
        <v>31</v>
      </c>
      <c r="AQ1991">
        <v>0</v>
      </c>
    </row>
    <row r="1992" spans="1:43" x14ac:dyDescent="0.2">
      <c r="A1992" t="s">
        <v>381</v>
      </c>
      <c r="B1992" s="3">
        <v>44253</v>
      </c>
      <c r="C1992">
        <v>21</v>
      </c>
      <c r="D1992" t="s">
        <v>384</v>
      </c>
      <c r="E1992" t="s">
        <v>111</v>
      </c>
      <c r="F1992" s="9" t="s">
        <v>112</v>
      </c>
      <c r="G1992" t="s">
        <v>26</v>
      </c>
      <c r="H1992" t="s">
        <v>27</v>
      </c>
      <c r="I1992" t="s">
        <v>28</v>
      </c>
      <c r="J1992" t="s">
        <v>29</v>
      </c>
      <c r="K1992" t="s">
        <v>30</v>
      </c>
      <c r="L1992" t="s">
        <v>29</v>
      </c>
      <c r="M1992" t="s">
        <v>30</v>
      </c>
      <c r="N1992" t="s">
        <v>27</v>
      </c>
      <c r="O1992" t="s">
        <v>28</v>
      </c>
      <c r="P1992" t="s">
        <v>29</v>
      </c>
      <c r="Q1992" t="s">
        <v>30</v>
      </c>
      <c r="R1992" s="1">
        <v>44253.452303240738</v>
      </c>
      <c r="S1992" s="1">
        <v>44253.45244212963</v>
      </c>
      <c r="T1992">
        <v>0</v>
      </c>
      <c r="U1992">
        <v>0</v>
      </c>
      <c r="V1992" s="2">
        <v>0</v>
      </c>
      <c r="W1992">
        <v>0</v>
      </c>
      <c r="X1992" t="s">
        <v>37</v>
      </c>
      <c r="Y1992">
        <v>0</v>
      </c>
      <c r="Z1992" t="s">
        <v>37</v>
      </c>
      <c r="AA1992">
        <v>0</v>
      </c>
      <c r="AB1992" t="s">
        <v>37</v>
      </c>
      <c r="AC1992">
        <v>0</v>
      </c>
      <c r="AD1992" t="s">
        <v>31</v>
      </c>
      <c r="AE1992">
        <v>0</v>
      </c>
      <c r="AF1992" t="s">
        <v>31</v>
      </c>
      <c r="AG1992">
        <v>0</v>
      </c>
      <c r="AH1992" t="s">
        <v>31</v>
      </c>
      <c r="AI1992">
        <v>0</v>
      </c>
      <c r="AJ1992" t="s">
        <v>31</v>
      </c>
      <c r="AK1992">
        <v>0</v>
      </c>
      <c r="AL1992" t="s">
        <v>31</v>
      </c>
      <c r="AM1992">
        <v>0</v>
      </c>
      <c r="AN1992" t="s">
        <v>31</v>
      </c>
      <c r="AO1992">
        <v>0</v>
      </c>
      <c r="AP1992" t="s">
        <v>31</v>
      </c>
      <c r="AQ1992">
        <v>0</v>
      </c>
    </row>
    <row r="1993" spans="1:43" x14ac:dyDescent="0.2">
      <c r="A1993" t="s">
        <v>381</v>
      </c>
      <c r="B1993" s="3">
        <v>44257</v>
      </c>
      <c r="C1993">
        <v>23</v>
      </c>
      <c r="D1993" t="s">
        <v>382</v>
      </c>
      <c r="E1993" t="s">
        <v>111</v>
      </c>
      <c r="F1993" s="9" t="s">
        <v>112</v>
      </c>
      <c r="G1993" t="s">
        <v>26</v>
      </c>
      <c r="H1993" t="s">
        <v>27</v>
      </c>
      <c r="I1993" t="s">
        <v>28</v>
      </c>
      <c r="J1993" t="s">
        <v>29</v>
      </c>
      <c r="K1993" t="s">
        <v>30</v>
      </c>
      <c r="L1993" t="s">
        <v>29</v>
      </c>
      <c r="M1993" t="s">
        <v>30</v>
      </c>
      <c r="N1993" t="s">
        <v>27</v>
      </c>
      <c r="O1993" t="s">
        <v>28</v>
      </c>
      <c r="P1993" t="s">
        <v>29</v>
      </c>
      <c r="Q1993" t="s">
        <v>30</v>
      </c>
      <c r="R1993" s="1">
        <v>44257.408888888887</v>
      </c>
      <c r="S1993" s="1">
        <v>44257.408900462964</v>
      </c>
      <c r="T1993">
        <v>0</v>
      </c>
      <c r="U1993">
        <v>0</v>
      </c>
      <c r="V1993" s="2">
        <v>0</v>
      </c>
      <c r="W1993">
        <v>0</v>
      </c>
      <c r="X1993" t="s">
        <v>37</v>
      </c>
      <c r="Y1993">
        <v>0</v>
      </c>
      <c r="Z1993" t="s">
        <v>37</v>
      </c>
      <c r="AA1993">
        <v>0</v>
      </c>
      <c r="AB1993" t="s">
        <v>37</v>
      </c>
      <c r="AC1993">
        <v>0</v>
      </c>
      <c r="AD1993" t="s">
        <v>31</v>
      </c>
      <c r="AE1993">
        <v>0</v>
      </c>
      <c r="AF1993" t="s">
        <v>31</v>
      </c>
      <c r="AG1993">
        <v>0</v>
      </c>
      <c r="AH1993" t="s">
        <v>31</v>
      </c>
      <c r="AI1993">
        <v>0</v>
      </c>
      <c r="AJ1993" t="s">
        <v>31</v>
      </c>
      <c r="AK1993">
        <v>0</v>
      </c>
      <c r="AL1993" t="s">
        <v>31</v>
      </c>
      <c r="AM1993">
        <v>0</v>
      </c>
      <c r="AN1993" t="s">
        <v>31</v>
      </c>
      <c r="AO1993">
        <v>0</v>
      </c>
      <c r="AP1993" t="s">
        <v>31</v>
      </c>
      <c r="AQ1993">
        <v>0</v>
      </c>
    </row>
    <row r="1994" spans="1:43" x14ac:dyDescent="0.2">
      <c r="A1994" t="s">
        <v>381</v>
      </c>
      <c r="B1994" s="3">
        <v>44257</v>
      </c>
      <c r="C1994">
        <v>24</v>
      </c>
      <c r="D1994" t="s">
        <v>385</v>
      </c>
      <c r="E1994" t="s">
        <v>111</v>
      </c>
      <c r="F1994" s="9" t="s">
        <v>112</v>
      </c>
      <c r="G1994" t="s">
        <v>26</v>
      </c>
      <c r="H1994" t="s">
        <v>27</v>
      </c>
      <c r="I1994" t="s">
        <v>28</v>
      </c>
      <c r="J1994" t="s">
        <v>29</v>
      </c>
      <c r="K1994" t="s">
        <v>30</v>
      </c>
      <c r="L1994" t="s">
        <v>29</v>
      </c>
      <c r="M1994" t="s">
        <v>30</v>
      </c>
      <c r="N1994" t="s">
        <v>27</v>
      </c>
      <c r="O1994" t="s">
        <v>28</v>
      </c>
      <c r="P1994" t="s">
        <v>29</v>
      </c>
      <c r="Q1994" t="s">
        <v>30</v>
      </c>
      <c r="R1994" s="1">
        <v>44257.655671296299</v>
      </c>
      <c r="S1994" s="1">
        <v>44257.656006944446</v>
      </c>
      <c r="T1994">
        <v>0</v>
      </c>
      <c r="U1994">
        <v>0</v>
      </c>
      <c r="V1994" s="2">
        <v>0</v>
      </c>
      <c r="W1994">
        <v>0</v>
      </c>
      <c r="X1994" t="s">
        <v>37</v>
      </c>
      <c r="Y1994">
        <v>0</v>
      </c>
      <c r="Z1994" t="s">
        <v>37</v>
      </c>
      <c r="AA1994">
        <v>0</v>
      </c>
      <c r="AB1994" t="s">
        <v>31</v>
      </c>
      <c r="AC1994">
        <v>0</v>
      </c>
      <c r="AD1994" t="s">
        <v>31</v>
      </c>
      <c r="AE1994">
        <v>0</v>
      </c>
      <c r="AF1994" t="s">
        <v>31</v>
      </c>
      <c r="AG1994">
        <v>0</v>
      </c>
      <c r="AH1994" t="s">
        <v>31</v>
      </c>
      <c r="AI1994">
        <v>0</v>
      </c>
      <c r="AJ1994" t="s">
        <v>31</v>
      </c>
      <c r="AK1994">
        <v>0</v>
      </c>
      <c r="AL1994" t="s">
        <v>31</v>
      </c>
      <c r="AM1994">
        <v>0</v>
      </c>
      <c r="AN1994" t="s">
        <v>31</v>
      </c>
      <c r="AO1994">
        <v>0</v>
      </c>
      <c r="AP1994" t="s">
        <v>31</v>
      </c>
      <c r="AQ1994">
        <v>0</v>
      </c>
    </row>
    <row r="1995" spans="1:43" x14ac:dyDescent="0.2">
      <c r="A1995" t="s">
        <v>381</v>
      </c>
      <c r="B1995" s="3">
        <v>44258</v>
      </c>
      <c r="C1995">
        <v>25</v>
      </c>
      <c r="D1995" t="s">
        <v>384</v>
      </c>
      <c r="E1995" t="s">
        <v>111</v>
      </c>
      <c r="F1995" s="9" t="s">
        <v>112</v>
      </c>
      <c r="G1995" t="s">
        <v>26</v>
      </c>
      <c r="H1995" t="s">
        <v>27</v>
      </c>
      <c r="I1995" t="s">
        <v>28</v>
      </c>
      <c r="J1995" t="s">
        <v>29</v>
      </c>
      <c r="K1995" t="s">
        <v>30</v>
      </c>
      <c r="L1995" t="s">
        <v>29</v>
      </c>
      <c r="M1995" t="s">
        <v>30</v>
      </c>
      <c r="N1995" t="s">
        <v>27</v>
      </c>
      <c r="O1995" t="s">
        <v>28</v>
      </c>
      <c r="P1995" t="s">
        <v>29</v>
      </c>
      <c r="Q1995" t="s">
        <v>30</v>
      </c>
      <c r="R1995" s="1">
        <v>44258.456944444442</v>
      </c>
      <c r="S1995" s="1">
        <v>44258.457268518519</v>
      </c>
      <c r="T1995">
        <v>0</v>
      </c>
      <c r="U1995">
        <v>0</v>
      </c>
      <c r="V1995" s="2">
        <v>0</v>
      </c>
      <c r="W1995">
        <v>0</v>
      </c>
      <c r="X1995" t="s">
        <v>37</v>
      </c>
      <c r="Y1995">
        <v>0</v>
      </c>
      <c r="Z1995" t="s">
        <v>37</v>
      </c>
      <c r="AA1995">
        <v>0</v>
      </c>
      <c r="AB1995" t="s">
        <v>37</v>
      </c>
      <c r="AC1995">
        <v>0</v>
      </c>
      <c r="AD1995" t="s">
        <v>31</v>
      </c>
      <c r="AE1995">
        <v>0</v>
      </c>
      <c r="AF1995" t="s">
        <v>31</v>
      </c>
      <c r="AG1995">
        <v>0</v>
      </c>
      <c r="AH1995" t="s">
        <v>31</v>
      </c>
      <c r="AI1995">
        <v>0</v>
      </c>
      <c r="AJ1995" t="s">
        <v>31</v>
      </c>
      <c r="AK1995">
        <v>0</v>
      </c>
      <c r="AL1995" t="s">
        <v>31</v>
      </c>
      <c r="AM1995">
        <v>0</v>
      </c>
      <c r="AN1995" t="s">
        <v>31</v>
      </c>
      <c r="AO1995">
        <v>0</v>
      </c>
      <c r="AP1995" t="s">
        <v>31</v>
      </c>
      <c r="AQ1995">
        <v>0</v>
      </c>
    </row>
    <row r="1996" spans="1:43" x14ac:dyDescent="0.2">
      <c r="A1996" t="s">
        <v>381</v>
      </c>
      <c r="B1996" s="3">
        <v>44259</v>
      </c>
      <c r="C1996">
        <v>26</v>
      </c>
      <c r="D1996" t="s">
        <v>382</v>
      </c>
      <c r="E1996" t="s">
        <v>111</v>
      </c>
      <c r="F1996" s="9" t="s">
        <v>112</v>
      </c>
      <c r="G1996" t="s">
        <v>26</v>
      </c>
      <c r="H1996" t="s">
        <v>27</v>
      </c>
      <c r="I1996" t="s">
        <v>28</v>
      </c>
      <c r="J1996" t="s">
        <v>29</v>
      </c>
      <c r="K1996" t="s">
        <v>30</v>
      </c>
      <c r="L1996" t="s">
        <v>29</v>
      </c>
      <c r="M1996" t="s">
        <v>30</v>
      </c>
      <c r="N1996" t="s">
        <v>27</v>
      </c>
      <c r="O1996" t="s">
        <v>28</v>
      </c>
      <c r="P1996" t="s">
        <v>29</v>
      </c>
      <c r="Q1996" t="s">
        <v>30</v>
      </c>
      <c r="R1996" s="1">
        <v>44259.419016203705</v>
      </c>
      <c r="S1996" s="1">
        <v>44259.419027777774</v>
      </c>
      <c r="T1996">
        <v>0</v>
      </c>
      <c r="U1996">
        <v>0</v>
      </c>
      <c r="V1996" s="2">
        <v>0</v>
      </c>
      <c r="W1996">
        <v>0</v>
      </c>
      <c r="X1996" t="s">
        <v>37</v>
      </c>
      <c r="Y1996">
        <v>0</v>
      </c>
      <c r="Z1996" t="s">
        <v>37</v>
      </c>
      <c r="AA1996">
        <v>0</v>
      </c>
      <c r="AB1996" t="s">
        <v>37</v>
      </c>
      <c r="AC1996">
        <v>0</v>
      </c>
      <c r="AD1996" t="s">
        <v>31</v>
      </c>
      <c r="AE1996">
        <v>0</v>
      </c>
      <c r="AF1996" t="s">
        <v>31</v>
      </c>
      <c r="AG1996">
        <v>0</v>
      </c>
      <c r="AH1996" t="s">
        <v>31</v>
      </c>
      <c r="AI1996">
        <v>0</v>
      </c>
      <c r="AJ1996" t="s">
        <v>31</v>
      </c>
      <c r="AK1996">
        <v>0</v>
      </c>
      <c r="AL1996" t="s">
        <v>31</v>
      </c>
      <c r="AM1996">
        <v>0</v>
      </c>
      <c r="AN1996" t="s">
        <v>31</v>
      </c>
      <c r="AO1996">
        <v>0</v>
      </c>
      <c r="AP1996" t="s">
        <v>31</v>
      </c>
      <c r="AQ1996">
        <v>0</v>
      </c>
    </row>
    <row r="1997" spans="1:43" x14ac:dyDescent="0.2">
      <c r="A1997" t="s">
        <v>381</v>
      </c>
      <c r="B1997" s="3">
        <v>44260</v>
      </c>
      <c r="C1997">
        <v>28</v>
      </c>
      <c r="D1997" t="s">
        <v>384</v>
      </c>
      <c r="E1997" t="s">
        <v>111</v>
      </c>
      <c r="F1997" s="9" t="s">
        <v>112</v>
      </c>
      <c r="G1997" t="s">
        <v>26</v>
      </c>
      <c r="H1997" t="s">
        <v>27</v>
      </c>
      <c r="I1997" t="s">
        <v>28</v>
      </c>
      <c r="J1997" t="s">
        <v>29</v>
      </c>
      <c r="K1997" t="s">
        <v>30</v>
      </c>
      <c r="L1997" t="s">
        <v>29</v>
      </c>
      <c r="M1997" t="s">
        <v>30</v>
      </c>
      <c r="N1997" t="s">
        <v>27</v>
      </c>
      <c r="O1997" t="s">
        <v>28</v>
      </c>
      <c r="P1997" t="s">
        <v>29</v>
      </c>
      <c r="Q1997" t="s">
        <v>30</v>
      </c>
      <c r="R1997" s="1">
        <v>44260.471354166664</v>
      </c>
      <c r="S1997" s="1">
        <v>44260.471365740741</v>
      </c>
      <c r="T1997">
        <v>0</v>
      </c>
      <c r="U1997">
        <v>0</v>
      </c>
      <c r="V1997" s="2">
        <v>0</v>
      </c>
      <c r="W1997">
        <v>0</v>
      </c>
      <c r="X1997" t="s">
        <v>37</v>
      </c>
      <c r="Y1997">
        <v>0</v>
      </c>
      <c r="Z1997" t="s">
        <v>37</v>
      </c>
      <c r="AA1997">
        <v>0</v>
      </c>
      <c r="AB1997" t="s">
        <v>37</v>
      </c>
      <c r="AC1997">
        <v>0</v>
      </c>
      <c r="AD1997" t="s">
        <v>31</v>
      </c>
      <c r="AE1997">
        <v>0</v>
      </c>
      <c r="AF1997" t="s">
        <v>31</v>
      </c>
      <c r="AG1997">
        <v>0</v>
      </c>
      <c r="AH1997" t="s">
        <v>31</v>
      </c>
      <c r="AI1997">
        <v>0</v>
      </c>
      <c r="AJ1997" t="s">
        <v>31</v>
      </c>
      <c r="AK1997">
        <v>0</v>
      </c>
      <c r="AL1997" t="s">
        <v>31</v>
      </c>
      <c r="AM1997">
        <v>0</v>
      </c>
      <c r="AN1997" t="s">
        <v>31</v>
      </c>
      <c r="AO1997">
        <v>0</v>
      </c>
      <c r="AP1997" t="s">
        <v>31</v>
      </c>
      <c r="AQ1997">
        <v>0</v>
      </c>
    </row>
    <row r="1998" spans="1:43" x14ac:dyDescent="0.2">
      <c r="A1998" t="s">
        <v>381</v>
      </c>
      <c r="B1998" s="3">
        <v>44263</v>
      </c>
      <c r="C1998">
        <v>29</v>
      </c>
      <c r="D1998" t="s">
        <v>384</v>
      </c>
      <c r="E1998" t="s">
        <v>111</v>
      </c>
      <c r="F1998" s="9" t="s">
        <v>112</v>
      </c>
      <c r="G1998" t="s">
        <v>26</v>
      </c>
      <c r="H1998" t="s">
        <v>27</v>
      </c>
      <c r="I1998" t="s">
        <v>28</v>
      </c>
      <c r="J1998" t="s">
        <v>29</v>
      </c>
      <c r="K1998" t="s">
        <v>30</v>
      </c>
      <c r="L1998" t="s">
        <v>29</v>
      </c>
      <c r="M1998" t="s">
        <v>30</v>
      </c>
      <c r="N1998" t="s">
        <v>27</v>
      </c>
      <c r="O1998" t="s">
        <v>28</v>
      </c>
      <c r="P1998" t="s">
        <v>29</v>
      </c>
      <c r="Q1998" t="s">
        <v>30</v>
      </c>
      <c r="R1998" s="1">
        <v>44263.461875000001</v>
      </c>
      <c r="S1998" s="1">
        <v>44263.462280092594</v>
      </c>
      <c r="T1998">
        <v>0</v>
      </c>
      <c r="U1998">
        <v>0</v>
      </c>
      <c r="V1998" s="2">
        <v>0</v>
      </c>
      <c r="W1998">
        <v>0</v>
      </c>
      <c r="X1998" t="s">
        <v>37</v>
      </c>
      <c r="Y1998">
        <v>0</v>
      </c>
      <c r="Z1998" t="s">
        <v>37</v>
      </c>
      <c r="AA1998">
        <v>0</v>
      </c>
      <c r="AB1998" t="s">
        <v>37</v>
      </c>
      <c r="AC1998">
        <v>0</v>
      </c>
      <c r="AD1998" t="s">
        <v>37</v>
      </c>
      <c r="AE1998">
        <v>0</v>
      </c>
      <c r="AF1998" t="s">
        <v>31</v>
      </c>
      <c r="AG1998">
        <v>0</v>
      </c>
      <c r="AH1998" t="s">
        <v>31</v>
      </c>
      <c r="AI1998">
        <v>0</v>
      </c>
      <c r="AJ1998" t="s">
        <v>31</v>
      </c>
      <c r="AK1998">
        <v>0</v>
      </c>
      <c r="AL1998" t="s">
        <v>31</v>
      </c>
      <c r="AM1998">
        <v>0</v>
      </c>
      <c r="AN1998" t="s">
        <v>31</v>
      </c>
      <c r="AO1998">
        <v>0</v>
      </c>
      <c r="AP1998" t="s">
        <v>31</v>
      </c>
      <c r="AQ1998">
        <v>0</v>
      </c>
    </row>
    <row r="1999" spans="1:43" x14ac:dyDescent="0.2">
      <c r="A1999" t="s">
        <v>381</v>
      </c>
      <c r="B1999" s="3">
        <v>44264</v>
      </c>
      <c r="C1999">
        <v>31</v>
      </c>
      <c r="D1999" t="s">
        <v>385</v>
      </c>
      <c r="E1999" t="s">
        <v>111</v>
      </c>
      <c r="F1999" s="9" t="s">
        <v>112</v>
      </c>
      <c r="G1999" t="s">
        <v>26</v>
      </c>
      <c r="H1999" t="s">
        <v>27</v>
      </c>
      <c r="I1999" t="s">
        <v>28</v>
      </c>
      <c r="J1999" t="s">
        <v>29</v>
      </c>
      <c r="K1999" t="s">
        <v>30</v>
      </c>
      <c r="L1999" t="s">
        <v>29</v>
      </c>
      <c r="M1999" t="s">
        <v>30</v>
      </c>
      <c r="N1999" t="s">
        <v>27</v>
      </c>
      <c r="O1999" t="s">
        <v>28</v>
      </c>
      <c r="P1999" t="s">
        <v>29</v>
      </c>
      <c r="Q1999" t="s">
        <v>30</v>
      </c>
      <c r="R1999" s="1">
        <v>44264.584201388891</v>
      </c>
      <c r="S1999" s="1">
        <v>44264.584687499999</v>
      </c>
      <c r="T1999">
        <v>0</v>
      </c>
      <c r="U1999">
        <v>0</v>
      </c>
      <c r="V1999" s="2">
        <v>0</v>
      </c>
      <c r="W1999">
        <v>0</v>
      </c>
      <c r="X1999" t="s">
        <v>37</v>
      </c>
      <c r="Y1999">
        <v>0</v>
      </c>
      <c r="Z1999" t="s">
        <v>37</v>
      </c>
      <c r="AA1999">
        <v>0</v>
      </c>
      <c r="AB1999" t="s">
        <v>31</v>
      </c>
      <c r="AC1999">
        <v>0</v>
      </c>
      <c r="AD1999" t="s">
        <v>31</v>
      </c>
      <c r="AE1999">
        <v>0</v>
      </c>
      <c r="AF1999" t="s">
        <v>31</v>
      </c>
      <c r="AG1999">
        <v>0</v>
      </c>
      <c r="AH1999" t="s">
        <v>31</v>
      </c>
      <c r="AI1999">
        <v>0</v>
      </c>
      <c r="AJ1999" t="s">
        <v>31</v>
      </c>
      <c r="AK1999">
        <v>0</v>
      </c>
      <c r="AL1999" t="s">
        <v>31</v>
      </c>
      <c r="AM1999">
        <v>0</v>
      </c>
      <c r="AN1999" t="s">
        <v>31</v>
      </c>
      <c r="AO1999">
        <v>0</v>
      </c>
      <c r="AP1999" t="s">
        <v>31</v>
      </c>
      <c r="AQ1999">
        <v>0</v>
      </c>
    </row>
    <row r="2000" spans="1:43" x14ac:dyDescent="0.2">
      <c r="A2000" t="s">
        <v>381</v>
      </c>
      <c r="B2000" s="3">
        <v>44265</v>
      </c>
      <c r="C2000">
        <v>32</v>
      </c>
      <c r="D2000" t="s">
        <v>384</v>
      </c>
      <c r="E2000" t="s">
        <v>111</v>
      </c>
      <c r="F2000" s="9" t="s">
        <v>112</v>
      </c>
      <c r="G2000" t="s">
        <v>26</v>
      </c>
      <c r="H2000" t="s">
        <v>27</v>
      </c>
      <c r="I2000" t="s">
        <v>28</v>
      </c>
      <c r="J2000" t="s">
        <v>29</v>
      </c>
      <c r="K2000" t="s">
        <v>30</v>
      </c>
      <c r="L2000" t="s">
        <v>29</v>
      </c>
      <c r="M2000" t="s">
        <v>30</v>
      </c>
      <c r="N2000" t="s">
        <v>27</v>
      </c>
      <c r="O2000" t="s">
        <v>28</v>
      </c>
      <c r="P2000" t="s">
        <v>29</v>
      </c>
      <c r="Q2000" t="s">
        <v>30</v>
      </c>
      <c r="R2000" s="1">
        <v>44265.468576388892</v>
      </c>
      <c r="S2000" s="1">
        <v>44265.468587962961</v>
      </c>
      <c r="T2000">
        <v>0</v>
      </c>
      <c r="U2000">
        <v>0</v>
      </c>
      <c r="V2000" s="2">
        <v>0</v>
      </c>
      <c r="W2000">
        <v>0</v>
      </c>
      <c r="X2000" t="s">
        <v>37</v>
      </c>
      <c r="Y2000">
        <v>0</v>
      </c>
      <c r="Z2000" t="s">
        <v>37</v>
      </c>
      <c r="AA2000">
        <v>0</v>
      </c>
      <c r="AB2000" t="s">
        <v>37</v>
      </c>
      <c r="AC2000">
        <v>0</v>
      </c>
      <c r="AD2000" t="s">
        <v>31</v>
      </c>
      <c r="AE2000">
        <v>0</v>
      </c>
      <c r="AF2000" t="s">
        <v>31</v>
      </c>
      <c r="AG2000">
        <v>0</v>
      </c>
      <c r="AH2000" t="s">
        <v>31</v>
      </c>
      <c r="AI2000">
        <v>0</v>
      </c>
      <c r="AJ2000" t="s">
        <v>31</v>
      </c>
      <c r="AK2000">
        <v>0</v>
      </c>
      <c r="AL2000" t="s">
        <v>31</v>
      </c>
      <c r="AM2000">
        <v>0</v>
      </c>
      <c r="AN2000" t="s">
        <v>31</v>
      </c>
      <c r="AO2000">
        <v>0</v>
      </c>
      <c r="AP2000" t="s">
        <v>31</v>
      </c>
      <c r="AQ2000">
        <v>0</v>
      </c>
    </row>
    <row r="2001" spans="1:43" x14ac:dyDescent="0.2">
      <c r="A2001" t="s">
        <v>381</v>
      </c>
      <c r="B2001" s="3">
        <v>44266</v>
      </c>
      <c r="C2001">
        <v>34</v>
      </c>
      <c r="D2001" t="s">
        <v>385</v>
      </c>
      <c r="E2001" t="s">
        <v>111</v>
      </c>
      <c r="F2001" s="9" t="s">
        <v>112</v>
      </c>
      <c r="G2001" t="s">
        <v>26</v>
      </c>
      <c r="H2001" t="s">
        <v>27</v>
      </c>
      <c r="I2001" t="s">
        <v>28</v>
      </c>
      <c r="J2001" t="s">
        <v>29</v>
      </c>
      <c r="K2001" t="s">
        <v>30</v>
      </c>
      <c r="L2001" t="s">
        <v>29</v>
      </c>
      <c r="M2001" t="s">
        <v>30</v>
      </c>
      <c r="N2001" t="s">
        <v>27</v>
      </c>
      <c r="O2001" t="s">
        <v>28</v>
      </c>
      <c r="P2001" t="s">
        <v>29</v>
      </c>
      <c r="Q2001" t="s">
        <v>30</v>
      </c>
      <c r="R2001" s="1">
        <v>44266.650011574071</v>
      </c>
      <c r="S2001" s="1">
        <v>44266.650243055556</v>
      </c>
      <c r="T2001">
        <v>0</v>
      </c>
      <c r="U2001">
        <v>0</v>
      </c>
      <c r="V2001" s="2">
        <v>0</v>
      </c>
      <c r="W2001">
        <v>0</v>
      </c>
      <c r="X2001" t="s">
        <v>37</v>
      </c>
      <c r="Y2001">
        <v>0</v>
      </c>
      <c r="Z2001" t="s">
        <v>37</v>
      </c>
      <c r="AA2001">
        <v>0</v>
      </c>
      <c r="AB2001" t="s">
        <v>37</v>
      </c>
      <c r="AC2001">
        <v>0</v>
      </c>
      <c r="AD2001" t="s">
        <v>37</v>
      </c>
      <c r="AE2001">
        <v>0</v>
      </c>
      <c r="AF2001" t="s">
        <v>31</v>
      </c>
      <c r="AG2001">
        <v>0</v>
      </c>
      <c r="AH2001" t="s">
        <v>31</v>
      </c>
      <c r="AI2001">
        <v>0</v>
      </c>
      <c r="AJ2001" t="s">
        <v>31</v>
      </c>
      <c r="AK2001">
        <v>0</v>
      </c>
      <c r="AL2001" t="s">
        <v>31</v>
      </c>
      <c r="AM2001">
        <v>0</v>
      </c>
      <c r="AN2001" t="s">
        <v>31</v>
      </c>
      <c r="AO2001">
        <v>0</v>
      </c>
      <c r="AP2001" t="s">
        <v>31</v>
      </c>
      <c r="AQ2001">
        <v>0</v>
      </c>
    </row>
    <row r="2002" spans="1:43" x14ac:dyDescent="0.2">
      <c r="A2002" t="s">
        <v>381</v>
      </c>
      <c r="B2002" s="3">
        <v>44271</v>
      </c>
      <c r="C2002">
        <v>37</v>
      </c>
      <c r="D2002" t="s">
        <v>385</v>
      </c>
      <c r="E2002" t="s">
        <v>111</v>
      </c>
      <c r="F2002" s="9" t="s">
        <v>112</v>
      </c>
      <c r="G2002" t="s">
        <v>26</v>
      </c>
      <c r="H2002" t="s">
        <v>27</v>
      </c>
      <c r="I2002" t="s">
        <v>28</v>
      </c>
      <c r="J2002" t="s">
        <v>29</v>
      </c>
      <c r="K2002" t="s">
        <v>30</v>
      </c>
      <c r="L2002" t="s">
        <v>29</v>
      </c>
      <c r="M2002" t="s">
        <v>30</v>
      </c>
      <c r="N2002" t="s">
        <v>27</v>
      </c>
      <c r="O2002" t="s">
        <v>28</v>
      </c>
      <c r="P2002" t="s">
        <v>29</v>
      </c>
      <c r="Q2002" t="s">
        <v>30</v>
      </c>
      <c r="R2002" s="1">
        <v>44271.627592592595</v>
      </c>
      <c r="S2002" s="1">
        <v>44271.627592592595</v>
      </c>
      <c r="T2002">
        <v>0</v>
      </c>
      <c r="U2002">
        <v>0</v>
      </c>
      <c r="V2002" s="2">
        <v>0</v>
      </c>
      <c r="W2002">
        <v>0</v>
      </c>
      <c r="X2002" t="s">
        <v>37</v>
      </c>
      <c r="Y2002">
        <v>0</v>
      </c>
      <c r="Z2002" t="s">
        <v>37</v>
      </c>
      <c r="AA2002">
        <v>0</v>
      </c>
      <c r="AB2002" t="s">
        <v>31</v>
      </c>
      <c r="AC2002">
        <v>0</v>
      </c>
      <c r="AD2002" t="s">
        <v>31</v>
      </c>
      <c r="AE2002">
        <v>0</v>
      </c>
      <c r="AF2002" t="s">
        <v>31</v>
      </c>
      <c r="AG2002">
        <v>0</v>
      </c>
      <c r="AH2002" t="s">
        <v>31</v>
      </c>
      <c r="AI2002">
        <v>0</v>
      </c>
      <c r="AJ2002" t="s">
        <v>31</v>
      </c>
      <c r="AK2002">
        <v>0</v>
      </c>
      <c r="AL2002" t="s">
        <v>31</v>
      </c>
      <c r="AM2002">
        <v>0</v>
      </c>
      <c r="AN2002" t="s">
        <v>31</v>
      </c>
      <c r="AO2002">
        <v>0</v>
      </c>
      <c r="AP2002" t="s">
        <v>31</v>
      </c>
      <c r="AQ2002">
        <v>0</v>
      </c>
    </row>
    <row r="2003" spans="1:43" x14ac:dyDescent="0.2">
      <c r="A2003" t="s">
        <v>381</v>
      </c>
      <c r="B2003" s="3">
        <v>44279</v>
      </c>
      <c r="C2003">
        <v>41</v>
      </c>
      <c r="D2003" t="s">
        <v>384</v>
      </c>
      <c r="E2003" t="s">
        <v>111</v>
      </c>
      <c r="F2003" s="9" t="s">
        <v>112</v>
      </c>
      <c r="G2003" t="s">
        <v>26</v>
      </c>
      <c r="H2003" t="s">
        <v>27</v>
      </c>
      <c r="I2003" t="s">
        <v>28</v>
      </c>
      <c r="J2003" t="s">
        <v>29</v>
      </c>
      <c r="K2003" t="s">
        <v>30</v>
      </c>
      <c r="L2003" t="s">
        <v>29</v>
      </c>
      <c r="M2003" t="s">
        <v>30</v>
      </c>
      <c r="N2003" t="s">
        <v>27</v>
      </c>
      <c r="O2003" t="s">
        <v>28</v>
      </c>
      <c r="P2003" t="s">
        <v>29</v>
      </c>
      <c r="Q2003" t="s">
        <v>30</v>
      </c>
      <c r="R2003" s="1">
        <v>44279.465416666666</v>
      </c>
      <c r="S2003" s="1">
        <v>44279.465682870374</v>
      </c>
      <c r="T2003">
        <v>0</v>
      </c>
      <c r="U2003">
        <v>0</v>
      </c>
      <c r="V2003" s="2">
        <v>0</v>
      </c>
      <c r="W2003">
        <v>0</v>
      </c>
      <c r="X2003" t="s">
        <v>37</v>
      </c>
      <c r="Y2003">
        <v>0</v>
      </c>
      <c r="Z2003" t="s">
        <v>37</v>
      </c>
      <c r="AA2003">
        <v>0</v>
      </c>
      <c r="AB2003" t="s">
        <v>37</v>
      </c>
      <c r="AC2003">
        <v>0</v>
      </c>
      <c r="AD2003" t="s">
        <v>31</v>
      </c>
      <c r="AE2003">
        <v>0</v>
      </c>
      <c r="AF2003" t="s">
        <v>31</v>
      </c>
      <c r="AG2003">
        <v>0</v>
      </c>
      <c r="AH2003" t="s">
        <v>31</v>
      </c>
      <c r="AI2003">
        <v>0</v>
      </c>
      <c r="AJ2003" t="s">
        <v>31</v>
      </c>
      <c r="AK2003">
        <v>0</v>
      </c>
      <c r="AL2003" t="s">
        <v>31</v>
      </c>
      <c r="AM2003">
        <v>0</v>
      </c>
      <c r="AN2003" t="s">
        <v>31</v>
      </c>
      <c r="AO2003">
        <v>0</v>
      </c>
      <c r="AP2003" t="s">
        <v>31</v>
      </c>
      <c r="AQ2003">
        <v>0</v>
      </c>
    </row>
    <row r="2004" spans="1:43" x14ac:dyDescent="0.2">
      <c r="A2004" t="s">
        <v>381</v>
      </c>
      <c r="B2004" s="3">
        <v>44285</v>
      </c>
      <c r="C2004">
        <v>45</v>
      </c>
      <c r="D2004" t="s">
        <v>385</v>
      </c>
      <c r="E2004" t="s">
        <v>111</v>
      </c>
      <c r="F2004" s="9" t="s">
        <v>112</v>
      </c>
      <c r="G2004" t="s">
        <v>26</v>
      </c>
      <c r="H2004" t="s">
        <v>27</v>
      </c>
      <c r="I2004" t="s">
        <v>28</v>
      </c>
      <c r="J2004" t="s">
        <v>29</v>
      </c>
      <c r="K2004" t="s">
        <v>30</v>
      </c>
      <c r="L2004" t="s">
        <v>29</v>
      </c>
      <c r="M2004" t="s">
        <v>30</v>
      </c>
      <c r="N2004" t="s">
        <v>27</v>
      </c>
      <c r="O2004" t="s">
        <v>28</v>
      </c>
      <c r="P2004" t="s">
        <v>29</v>
      </c>
      <c r="Q2004" t="s">
        <v>30</v>
      </c>
      <c r="R2004" s="1">
        <v>44285.586504629631</v>
      </c>
      <c r="S2004" s="1">
        <v>44285.587326388886</v>
      </c>
      <c r="T2004">
        <v>0</v>
      </c>
      <c r="U2004">
        <v>0</v>
      </c>
      <c r="V2004" s="2">
        <v>0</v>
      </c>
      <c r="W2004">
        <v>0</v>
      </c>
      <c r="X2004" t="s">
        <v>37</v>
      </c>
      <c r="Y2004">
        <v>0</v>
      </c>
      <c r="Z2004" t="s">
        <v>37</v>
      </c>
      <c r="AA2004">
        <v>0</v>
      </c>
      <c r="AB2004" t="s">
        <v>37</v>
      </c>
      <c r="AC2004">
        <v>0</v>
      </c>
      <c r="AD2004" t="s">
        <v>37</v>
      </c>
      <c r="AE2004">
        <v>0</v>
      </c>
      <c r="AF2004" t="s">
        <v>31</v>
      </c>
      <c r="AG2004">
        <v>0</v>
      </c>
      <c r="AH2004" t="s">
        <v>31</v>
      </c>
      <c r="AI2004">
        <v>0</v>
      </c>
      <c r="AJ2004" t="s">
        <v>31</v>
      </c>
      <c r="AK2004">
        <v>0</v>
      </c>
      <c r="AL2004" t="s">
        <v>31</v>
      </c>
      <c r="AM2004">
        <v>0</v>
      </c>
      <c r="AN2004" t="s">
        <v>31</v>
      </c>
      <c r="AO2004">
        <v>0</v>
      </c>
      <c r="AP2004" t="s">
        <v>31</v>
      </c>
      <c r="AQ2004">
        <v>0</v>
      </c>
    </row>
    <row r="2005" spans="1:43" x14ac:dyDescent="0.2">
      <c r="A2005" t="s">
        <v>381</v>
      </c>
      <c r="B2005" s="3">
        <v>44286</v>
      </c>
      <c r="C2005">
        <v>46</v>
      </c>
      <c r="D2005" t="s">
        <v>384</v>
      </c>
      <c r="E2005" t="s">
        <v>111</v>
      </c>
      <c r="F2005" s="9" t="s">
        <v>112</v>
      </c>
      <c r="G2005" t="s">
        <v>26</v>
      </c>
      <c r="H2005" t="s">
        <v>27</v>
      </c>
      <c r="I2005" t="s">
        <v>28</v>
      </c>
      <c r="J2005" t="s">
        <v>29</v>
      </c>
      <c r="K2005" t="s">
        <v>30</v>
      </c>
      <c r="L2005" t="s">
        <v>29</v>
      </c>
      <c r="M2005" t="s">
        <v>30</v>
      </c>
      <c r="N2005" t="s">
        <v>27</v>
      </c>
      <c r="O2005" t="s">
        <v>28</v>
      </c>
      <c r="P2005" t="s">
        <v>29</v>
      </c>
      <c r="Q2005" t="s">
        <v>30</v>
      </c>
      <c r="R2005" s="1">
        <v>44286.464432870373</v>
      </c>
      <c r="S2005" s="1">
        <v>44286.46471064815</v>
      </c>
      <c r="T2005">
        <v>0</v>
      </c>
      <c r="U2005">
        <v>0</v>
      </c>
      <c r="V2005" s="2">
        <v>0</v>
      </c>
      <c r="W2005">
        <v>0</v>
      </c>
      <c r="X2005" t="s">
        <v>37</v>
      </c>
      <c r="Y2005">
        <v>0</v>
      </c>
      <c r="Z2005" t="s">
        <v>37</v>
      </c>
      <c r="AA2005">
        <v>0</v>
      </c>
      <c r="AB2005" t="s">
        <v>37</v>
      </c>
      <c r="AC2005">
        <v>0</v>
      </c>
      <c r="AD2005" t="s">
        <v>31</v>
      </c>
      <c r="AE2005">
        <v>0</v>
      </c>
      <c r="AF2005" t="s">
        <v>31</v>
      </c>
      <c r="AG2005">
        <v>0</v>
      </c>
      <c r="AH2005" t="s">
        <v>31</v>
      </c>
      <c r="AI2005">
        <v>0</v>
      </c>
      <c r="AJ2005" t="s">
        <v>31</v>
      </c>
      <c r="AK2005">
        <v>0</v>
      </c>
      <c r="AL2005" t="s">
        <v>31</v>
      </c>
      <c r="AM2005">
        <v>0</v>
      </c>
      <c r="AN2005" t="s">
        <v>31</v>
      </c>
      <c r="AO2005">
        <v>0</v>
      </c>
      <c r="AP2005" t="s">
        <v>31</v>
      </c>
      <c r="AQ2005">
        <v>0</v>
      </c>
    </row>
    <row r="2006" spans="1:43" x14ac:dyDescent="0.2">
      <c r="A2006" t="s">
        <v>381</v>
      </c>
      <c r="B2006" s="3">
        <v>44288</v>
      </c>
      <c r="C2006">
        <v>49</v>
      </c>
      <c r="D2006" t="s">
        <v>384</v>
      </c>
      <c r="E2006" t="s">
        <v>111</v>
      </c>
      <c r="F2006" s="9" t="s">
        <v>112</v>
      </c>
      <c r="G2006" t="s">
        <v>26</v>
      </c>
      <c r="H2006" t="s">
        <v>27</v>
      </c>
      <c r="I2006" t="s">
        <v>28</v>
      </c>
      <c r="J2006" t="s">
        <v>29</v>
      </c>
      <c r="K2006" t="s">
        <v>30</v>
      </c>
      <c r="L2006" t="s">
        <v>29</v>
      </c>
      <c r="M2006" t="s">
        <v>30</v>
      </c>
      <c r="N2006" t="s">
        <v>27</v>
      </c>
      <c r="O2006" t="s">
        <v>28</v>
      </c>
      <c r="P2006" t="s">
        <v>29</v>
      </c>
      <c r="Q2006" t="s">
        <v>30</v>
      </c>
      <c r="R2006" s="1">
        <v>44288.432141203702</v>
      </c>
      <c r="S2006" s="1">
        <v>44288.432164351849</v>
      </c>
      <c r="T2006">
        <v>0</v>
      </c>
      <c r="U2006">
        <v>0</v>
      </c>
      <c r="V2006" s="2">
        <v>0</v>
      </c>
      <c r="W2006">
        <v>0</v>
      </c>
      <c r="X2006" t="s">
        <v>37</v>
      </c>
      <c r="Y2006">
        <v>0</v>
      </c>
      <c r="Z2006" t="s">
        <v>37</v>
      </c>
      <c r="AA2006">
        <v>0</v>
      </c>
      <c r="AB2006" t="s">
        <v>37</v>
      </c>
      <c r="AC2006">
        <v>0</v>
      </c>
      <c r="AD2006" t="s">
        <v>31</v>
      </c>
      <c r="AE2006">
        <v>0</v>
      </c>
      <c r="AF2006" t="s">
        <v>31</v>
      </c>
      <c r="AG2006">
        <v>0</v>
      </c>
      <c r="AH2006" t="s">
        <v>31</v>
      </c>
      <c r="AI2006">
        <v>0</v>
      </c>
      <c r="AJ2006" t="s">
        <v>31</v>
      </c>
      <c r="AK2006">
        <v>0</v>
      </c>
      <c r="AL2006" t="s">
        <v>31</v>
      </c>
      <c r="AM2006">
        <v>0</v>
      </c>
      <c r="AN2006" t="s">
        <v>31</v>
      </c>
      <c r="AO2006">
        <v>0</v>
      </c>
      <c r="AP2006" t="s">
        <v>31</v>
      </c>
      <c r="AQ2006">
        <v>0</v>
      </c>
    </row>
    <row r="2007" spans="1:43" x14ac:dyDescent="0.2">
      <c r="A2007" t="s">
        <v>381</v>
      </c>
      <c r="B2007" s="3">
        <v>44291</v>
      </c>
      <c r="C2007">
        <v>50</v>
      </c>
      <c r="D2007" t="s">
        <v>384</v>
      </c>
      <c r="E2007" t="s">
        <v>111</v>
      </c>
      <c r="F2007" s="9" t="s">
        <v>112</v>
      </c>
      <c r="G2007" t="s">
        <v>26</v>
      </c>
      <c r="H2007" t="s">
        <v>27</v>
      </c>
      <c r="I2007" t="s">
        <v>28</v>
      </c>
      <c r="J2007" t="s">
        <v>29</v>
      </c>
      <c r="K2007" t="s">
        <v>30</v>
      </c>
      <c r="L2007" t="s">
        <v>29</v>
      </c>
      <c r="M2007" t="s">
        <v>30</v>
      </c>
      <c r="N2007" t="s">
        <v>27</v>
      </c>
      <c r="O2007" t="s">
        <v>28</v>
      </c>
      <c r="P2007" t="s">
        <v>29</v>
      </c>
      <c r="Q2007" t="s">
        <v>30</v>
      </c>
      <c r="R2007" s="1">
        <v>44291.437256944446</v>
      </c>
      <c r="S2007" s="1">
        <v>44291.437430555554</v>
      </c>
      <c r="T2007">
        <v>0</v>
      </c>
      <c r="U2007">
        <v>0</v>
      </c>
      <c r="V2007" s="2">
        <v>0</v>
      </c>
      <c r="W2007">
        <v>0</v>
      </c>
      <c r="X2007" t="s">
        <v>37</v>
      </c>
      <c r="Y2007">
        <v>0</v>
      </c>
      <c r="Z2007" t="s">
        <v>37</v>
      </c>
      <c r="AA2007">
        <v>0</v>
      </c>
      <c r="AB2007" t="s">
        <v>37</v>
      </c>
      <c r="AC2007">
        <v>0</v>
      </c>
      <c r="AD2007" t="s">
        <v>31</v>
      </c>
      <c r="AE2007">
        <v>0</v>
      </c>
      <c r="AF2007" t="s">
        <v>31</v>
      </c>
      <c r="AG2007">
        <v>0</v>
      </c>
      <c r="AH2007" t="s">
        <v>31</v>
      </c>
      <c r="AI2007">
        <v>0</v>
      </c>
      <c r="AJ2007" t="s">
        <v>31</v>
      </c>
      <c r="AK2007">
        <v>0</v>
      </c>
      <c r="AL2007" t="s">
        <v>31</v>
      </c>
      <c r="AM2007">
        <v>0</v>
      </c>
      <c r="AN2007" t="s">
        <v>31</v>
      </c>
      <c r="AO2007">
        <v>0</v>
      </c>
      <c r="AP2007" t="s">
        <v>31</v>
      </c>
      <c r="AQ2007">
        <v>0</v>
      </c>
    </row>
    <row r="2008" spans="1:43" x14ac:dyDescent="0.2">
      <c r="A2008" t="s">
        <v>381</v>
      </c>
      <c r="B2008" s="3">
        <v>44292</v>
      </c>
      <c r="C2008">
        <v>52</v>
      </c>
      <c r="D2008" t="s">
        <v>386</v>
      </c>
      <c r="E2008" t="s">
        <v>111</v>
      </c>
      <c r="F2008" s="9" t="s">
        <v>112</v>
      </c>
      <c r="G2008" t="s">
        <v>26</v>
      </c>
      <c r="H2008" t="s">
        <v>27</v>
      </c>
      <c r="I2008" t="s">
        <v>28</v>
      </c>
      <c r="J2008" t="s">
        <v>29</v>
      </c>
      <c r="K2008" t="s">
        <v>30</v>
      </c>
      <c r="L2008" t="s">
        <v>29</v>
      </c>
      <c r="M2008" t="s">
        <v>30</v>
      </c>
      <c r="N2008" t="s">
        <v>27</v>
      </c>
      <c r="O2008" t="s">
        <v>28</v>
      </c>
      <c r="P2008" t="s">
        <v>29</v>
      </c>
      <c r="Q2008" t="s">
        <v>30</v>
      </c>
      <c r="R2008" s="1">
        <v>44292.59784722222</v>
      </c>
      <c r="S2008" s="1">
        <v>44292.599421296298</v>
      </c>
      <c r="T2008">
        <v>0</v>
      </c>
      <c r="U2008">
        <v>1</v>
      </c>
      <c r="V2008" s="2">
        <v>0</v>
      </c>
      <c r="W2008">
        <v>0</v>
      </c>
      <c r="X2008" t="s">
        <v>37</v>
      </c>
      <c r="Y2008">
        <v>0</v>
      </c>
      <c r="Z2008" t="s">
        <v>37</v>
      </c>
      <c r="AA2008">
        <v>0</v>
      </c>
      <c r="AB2008" t="s">
        <v>37</v>
      </c>
      <c r="AC2008">
        <v>0</v>
      </c>
      <c r="AD2008" t="s">
        <v>44</v>
      </c>
      <c r="AE2008">
        <v>0</v>
      </c>
      <c r="AF2008" t="s">
        <v>37</v>
      </c>
      <c r="AG2008">
        <v>0</v>
      </c>
      <c r="AH2008" t="s">
        <v>31</v>
      </c>
      <c r="AI2008">
        <v>0</v>
      </c>
      <c r="AJ2008" t="s">
        <v>31</v>
      </c>
      <c r="AK2008">
        <v>0</v>
      </c>
      <c r="AL2008" t="s">
        <v>31</v>
      </c>
      <c r="AM2008">
        <v>0</v>
      </c>
      <c r="AN2008" t="s">
        <v>31</v>
      </c>
      <c r="AO2008">
        <v>0</v>
      </c>
      <c r="AP2008" t="s">
        <v>31</v>
      </c>
      <c r="AQ2008">
        <v>0</v>
      </c>
    </row>
    <row r="2009" spans="1:43" x14ac:dyDescent="0.2">
      <c r="A2009" t="s">
        <v>381</v>
      </c>
      <c r="B2009" s="3">
        <v>44293</v>
      </c>
      <c r="C2009">
        <v>53</v>
      </c>
      <c r="D2009" t="s">
        <v>384</v>
      </c>
      <c r="E2009" t="s">
        <v>111</v>
      </c>
      <c r="F2009" s="9" t="s">
        <v>112</v>
      </c>
      <c r="G2009" t="s">
        <v>26</v>
      </c>
      <c r="H2009" t="s">
        <v>27</v>
      </c>
      <c r="I2009" t="s">
        <v>28</v>
      </c>
      <c r="J2009" t="s">
        <v>29</v>
      </c>
      <c r="K2009" t="s">
        <v>30</v>
      </c>
      <c r="L2009" t="s">
        <v>29</v>
      </c>
      <c r="M2009" t="s">
        <v>30</v>
      </c>
      <c r="N2009" t="s">
        <v>27</v>
      </c>
      <c r="O2009" t="s">
        <v>28</v>
      </c>
      <c r="P2009" t="s">
        <v>29</v>
      </c>
      <c r="Q2009" t="s">
        <v>30</v>
      </c>
      <c r="R2009" s="1">
        <v>44293.447708333333</v>
      </c>
      <c r="S2009" s="1">
        <v>44293.44803240741</v>
      </c>
      <c r="T2009">
        <v>0</v>
      </c>
      <c r="U2009">
        <v>0</v>
      </c>
      <c r="V2009" s="2">
        <v>0</v>
      </c>
      <c r="W2009">
        <v>0</v>
      </c>
      <c r="X2009" t="s">
        <v>37</v>
      </c>
      <c r="Y2009">
        <v>0</v>
      </c>
      <c r="Z2009" t="s">
        <v>37</v>
      </c>
      <c r="AA2009">
        <v>0</v>
      </c>
      <c r="AB2009" t="s">
        <v>37</v>
      </c>
      <c r="AC2009">
        <v>0</v>
      </c>
      <c r="AD2009" t="s">
        <v>31</v>
      </c>
      <c r="AE2009">
        <v>0</v>
      </c>
      <c r="AF2009" t="s">
        <v>31</v>
      </c>
      <c r="AG2009">
        <v>0</v>
      </c>
      <c r="AH2009" t="s">
        <v>31</v>
      </c>
      <c r="AI2009">
        <v>0</v>
      </c>
      <c r="AJ2009" t="s">
        <v>31</v>
      </c>
      <c r="AK2009">
        <v>0</v>
      </c>
      <c r="AL2009" t="s">
        <v>31</v>
      </c>
      <c r="AM2009">
        <v>0</v>
      </c>
      <c r="AN2009" t="s">
        <v>31</v>
      </c>
      <c r="AO2009">
        <v>0</v>
      </c>
      <c r="AP2009" t="s">
        <v>31</v>
      </c>
      <c r="AQ2009">
        <v>0</v>
      </c>
    </row>
    <row r="2010" spans="1:43" x14ac:dyDescent="0.2">
      <c r="A2010" t="s">
        <v>381</v>
      </c>
      <c r="B2010" s="3">
        <v>44295</v>
      </c>
      <c r="C2010">
        <v>56</v>
      </c>
      <c r="D2010" t="s">
        <v>384</v>
      </c>
      <c r="E2010" t="s">
        <v>111</v>
      </c>
      <c r="F2010" s="9" t="s">
        <v>112</v>
      </c>
      <c r="G2010" t="s">
        <v>26</v>
      </c>
      <c r="H2010" t="s">
        <v>27</v>
      </c>
      <c r="I2010" t="s">
        <v>28</v>
      </c>
      <c r="J2010" t="s">
        <v>29</v>
      </c>
      <c r="K2010" t="s">
        <v>30</v>
      </c>
      <c r="L2010" t="s">
        <v>29</v>
      </c>
      <c r="M2010" t="s">
        <v>30</v>
      </c>
      <c r="N2010" t="s">
        <v>27</v>
      </c>
      <c r="O2010" t="s">
        <v>28</v>
      </c>
      <c r="P2010" t="s">
        <v>29</v>
      </c>
      <c r="Q2010" t="s">
        <v>30</v>
      </c>
      <c r="R2010" s="1">
        <v>44295.461817129632</v>
      </c>
      <c r="S2010" s="1">
        <v>44295.462037037039</v>
      </c>
      <c r="T2010">
        <v>0</v>
      </c>
      <c r="U2010">
        <v>0</v>
      </c>
      <c r="V2010" s="2">
        <v>0</v>
      </c>
      <c r="W2010">
        <v>0</v>
      </c>
      <c r="X2010" t="s">
        <v>37</v>
      </c>
      <c r="Y2010">
        <v>0</v>
      </c>
      <c r="Z2010" t="s">
        <v>37</v>
      </c>
      <c r="AA2010">
        <v>0</v>
      </c>
      <c r="AB2010" t="s">
        <v>37</v>
      </c>
      <c r="AC2010">
        <v>0</v>
      </c>
      <c r="AD2010" t="s">
        <v>31</v>
      </c>
      <c r="AE2010">
        <v>0</v>
      </c>
      <c r="AF2010" t="s">
        <v>31</v>
      </c>
      <c r="AG2010">
        <v>0</v>
      </c>
      <c r="AH2010" t="s">
        <v>31</v>
      </c>
      <c r="AI2010">
        <v>0</v>
      </c>
      <c r="AJ2010" t="s">
        <v>31</v>
      </c>
      <c r="AK2010">
        <v>0</v>
      </c>
      <c r="AL2010" t="s">
        <v>31</v>
      </c>
      <c r="AM2010">
        <v>0</v>
      </c>
      <c r="AN2010" t="s">
        <v>31</v>
      </c>
      <c r="AO2010">
        <v>0</v>
      </c>
      <c r="AP2010" t="s">
        <v>31</v>
      </c>
      <c r="AQ2010">
        <v>0</v>
      </c>
    </row>
    <row r="2011" spans="1:43" x14ac:dyDescent="0.2">
      <c r="A2011" t="s">
        <v>381</v>
      </c>
      <c r="B2011" s="3">
        <v>44302</v>
      </c>
      <c r="C2011">
        <v>64</v>
      </c>
      <c r="D2011" t="s">
        <v>390</v>
      </c>
      <c r="E2011" t="s">
        <v>111</v>
      </c>
      <c r="F2011" s="9" t="s">
        <v>112</v>
      </c>
      <c r="G2011" t="s">
        <v>26</v>
      </c>
      <c r="H2011" t="s">
        <v>27</v>
      </c>
      <c r="I2011" t="s">
        <v>28</v>
      </c>
      <c r="J2011" t="s">
        <v>29</v>
      </c>
      <c r="K2011" t="s">
        <v>30</v>
      </c>
      <c r="L2011" t="s">
        <v>29</v>
      </c>
      <c r="M2011" t="s">
        <v>30</v>
      </c>
      <c r="N2011" t="s">
        <v>27</v>
      </c>
      <c r="O2011" t="s">
        <v>28</v>
      </c>
      <c r="P2011" t="s">
        <v>29</v>
      </c>
      <c r="Q2011" t="s">
        <v>30</v>
      </c>
      <c r="R2011" s="1">
        <v>44302.457187499997</v>
      </c>
      <c r="S2011" s="1">
        <v>44302.457418981481</v>
      </c>
      <c r="T2011">
        <v>1</v>
      </c>
      <c r="U2011">
        <v>1</v>
      </c>
      <c r="V2011" s="2">
        <v>1</v>
      </c>
      <c r="W2011">
        <v>0</v>
      </c>
      <c r="X2011" t="s">
        <v>37</v>
      </c>
      <c r="Y2011">
        <v>0</v>
      </c>
      <c r="Z2011" t="s">
        <v>37</v>
      </c>
      <c r="AA2011">
        <v>0</v>
      </c>
      <c r="AB2011" t="s">
        <v>30</v>
      </c>
      <c r="AC2011">
        <v>0</v>
      </c>
      <c r="AD2011" t="s">
        <v>31</v>
      </c>
      <c r="AE2011">
        <v>0</v>
      </c>
      <c r="AF2011" t="s">
        <v>31</v>
      </c>
      <c r="AG2011">
        <v>0</v>
      </c>
      <c r="AH2011" t="s">
        <v>31</v>
      </c>
      <c r="AI2011">
        <v>0</v>
      </c>
      <c r="AJ2011" t="s">
        <v>31</v>
      </c>
      <c r="AK2011">
        <v>0</v>
      </c>
      <c r="AL2011" t="s">
        <v>31</v>
      </c>
      <c r="AM2011">
        <v>0</v>
      </c>
      <c r="AN2011" t="s">
        <v>31</v>
      </c>
      <c r="AO2011">
        <v>0</v>
      </c>
      <c r="AP2011" t="s">
        <v>31</v>
      </c>
      <c r="AQ2011">
        <v>0</v>
      </c>
    </row>
    <row r="2012" spans="1:43" x14ac:dyDescent="0.2">
      <c r="A2012" t="s">
        <v>381</v>
      </c>
      <c r="B2012" s="3">
        <v>44309</v>
      </c>
      <c r="C2012">
        <v>70</v>
      </c>
      <c r="D2012" t="s">
        <v>388</v>
      </c>
      <c r="E2012" t="s">
        <v>111</v>
      </c>
      <c r="F2012" s="9" t="s">
        <v>112</v>
      </c>
      <c r="G2012" t="s">
        <v>26</v>
      </c>
      <c r="H2012" t="s">
        <v>27</v>
      </c>
      <c r="I2012" t="s">
        <v>28</v>
      </c>
      <c r="J2012" t="s">
        <v>29</v>
      </c>
      <c r="K2012" t="s">
        <v>30</v>
      </c>
      <c r="L2012" t="s">
        <v>29</v>
      </c>
      <c r="M2012" t="s">
        <v>30</v>
      </c>
      <c r="N2012" t="s">
        <v>27</v>
      </c>
      <c r="O2012" t="s">
        <v>28</v>
      </c>
      <c r="P2012" t="s">
        <v>29</v>
      </c>
      <c r="Q2012" t="s">
        <v>30</v>
      </c>
      <c r="R2012" s="1">
        <v>44309.454386574071</v>
      </c>
      <c r="S2012" s="1">
        <v>44309.454386574071</v>
      </c>
      <c r="T2012">
        <v>0</v>
      </c>
      <c r="U2012">
        <v>0</v>
      </c>
      <c r="V2012" s="2">
        <v>0</v>
      </c>
      <c r="W2012">
        <v>0</v>
      </c>
      <c r="X2012" t="s">
        <v>37</v>
      </c>
      <c r="Y2012">
        <v>0</v>
      </c>
      <c r="Z2012" t="s">
        <v>31</v>
      </c>
      <c r="AA2012">
        <v>0</v>
      </c>
      <c r="AB2012" t="s">
        <v>31</v>
      </c>
      <c r="AC2012">
        <v>0</v>
      </c>
      <c r="AD2012" t="s">
        <v>31</v>
      </c>
      <c r="AE2012">
        <v>0</v>
      </c>
      <c r="AF2012" t="s">
        <v>31</v>
      </c>
      <c r="AG2012">
        <v>0</v>
      </c>
      <c r="AH2012" t="s">
        <v>31</v>
      </c>
      <c r="AI2012">
        <v>0</v>
      </c>
      <c r="AJ2012" t="s">
        <v>31</v>
      </c>
      <c r="AK2012">
        <v>0</v>
      </c>
      <c r="AL2012" t="s">
        <v>31</v>
      </c>
      <c r="AM2012">
        <v>0</v>
      </c>
      <c r="AN2012" t="s">
        <v>31</v>
      </c>
      <c r="AO2012">
        <v>0</v>
      </c>
      <c r="AP2012" t="s">
        <v>31</v>
      </c>
      <c r="AQ2012">
        <v>0</v>
      </c>
    </row>
    <row r="2013" spans="1:43" x14ac:dyDescent="0.2">
      <c r="A2013" t="s">
        <v>381</v>
      </c>
      <c r="B2013" s="3">
        <v>44309</v>
      </c>
      <c r="C2013">
        <v>71</v>
      </c>
      <c r="D2013" t="s">
        <v>391</v>
      </c>
      <c r="E2013" t="s">
        <v>111</v>
      </c>
      <c r="F2013" s="9" t="s">
        <v>112</v>
      </c>
      <c r="G2013" t="s">
        <v>26</v>
      </c>
      <c r="H2013" t="s">
        <v>27</v>
      </c>
      <c r="I2013" t="s">
        <v>28</v>
      </c>
      <c r="J2013" t="s">
        <v>29</v>
      </c>
      <c r="K2013" t="s">
        <v>30</v>
      </c>
      <c r="L2013" t="s">
        <v>29</v>
      </c>
      <c r="M2013" t="s">
        <v>30</v>
      </c>
      <c r="N2013" t="s">
        <v>27</v>
      </c>
      <c r="O2013" t="s">
        <v>28</v>
      </c>
      <c r="P2013" t="s">
        <v>29</v>
      </c>
      <c r="Q2013" t="s">
        <v>30</v>
      </c>
      <c r="R2013" s="1">
        <v>44309.638784722221</v>
      </c>
      <c r="S2013" s="1">
        <v>44309.640393518515</v>
      </c>
      <c r="T2013">
        <v>0</v>
      </c>
      <c r="U2013">
        <v>3</v>
      </c>
      <c r="V2013" s="2">
        <v>0</v>
      </c>
      <c r="W2013">
        <v>0</v>
      </c>
      <c r="X2013" t="s">
        <v>37</v>
      </c>
      <c r="Y2013">
        <v>0</v>
      </c>
      <c r="Z2013" t="s">
        <v>37</v>
      </c>
      <c r="AA2013">
        <v>0</v>
      </c>
      <c r="AB2013" t="s">
        <v>46</v>
      </c>
      <c r="AC2013">
        <v>0</v>
      </c>
      <c r="AD2013" t="s">
        <v>113</v>
      </c>
      <c r="AE2013">
        <v>0</v>
      </c>
      <c r="AF2013" t="s">
        <v>47</v>
      </c>
      <c r="AG2013">
        <v>0</v>
      </c>
      <c r="AH2013" t="s">
        <v>31</v>
      </c>
      <c r="AI2013">
        <v>0</v>
      </c>
      <c r="AJ2013" t="s">
        <v>31</v>
      </c>
      <c r="AK2013">
        <v>0</v>
      </c>
      <c r="AL2013" t="s">
        <v>31</v>
      </c>
      <c r="AM2013">
        <v>0</v>
      </c>
      <c r="AN2013" t="s">
        <v>31</v>
      </c>
      <c r="AO2013">
        <v>0</v>
      </c>
      <c r="AP2013" t="s">
        <v>31</v>
      </c>
      <c r="AQ2013">
        <v>0</v>
      </c>
    </row>
    <row r="2014" spans="1:43" x14ac:dyDescent="0.2">
      <c r="A2014" t="s">
        <v>381</v>
      </c>
      <c r="B2014" s="3">
        <v>44314</v>
      </c>
      <c r="C2014">
        <v>77</v>
      </c>
      <c r="D2014" t="s">
        <v>403</v>
      </c>
      <c r="E2014" t="s">
        <v>111</v>
      </c>
      <c r="F2014" s="9" t="s">
        <v>112</v>
      </c>
      <c r="G2014" t="s">
        <v>26</v>
      </c>
      <c r="H2014" t="s">
        <v>27</v>
      </c>
      <c r="I2014" t="s">
        <v>28</v>
      </c>
      <c r="J2014" t="s">
        <v>29</v>
      </c>
      <c r="K2014" t="s">
        <v>30</v>
      </c>
      <c r="L2014" t="s">
        <v>29</v>
      </c>
      <c r="M2014" t="s">
        <v>30</v>
      </c>
      <c r="N2014" t="s">
        <v>27</v>
      </c>
      <c r="O2014" t="s">
        <v>28</v>
      </c>
      <c r="P2014" t="s">
        <v>29</v>
      </c>
      <c r="Q2014" t="s">
        <v>30</v>
      </c>
      <c r="R2014" s="1">
        <v>44314.452488425923</v>
      </c>
      <c r="S2014" s="1">
        <v>44314.452488425923</v>
      </c>
      <c r="T2014">
        <v>0</v>
      </c>
      <c r="U2014">
        <v>0</v>
      </c>
      <c r="V2014" s="2">
        <v>0</v>
      </c>
      <c r="W2014">
        <v>0</v>
      </c>
      <c r="X2014" t="s">
        <v>37</v>
      </c>
      <c r="Y2014">
        <v>0</v>
      </c>
      <c r="Z2014" t="s">
        <v>31</v>
      </c>
      <c r="AA2014">
        <v>0</v>
      </c>
      <c r="AB2014" t="s">
        <v>31</v>
      </c>
      <c r="AC2014">
        <v>0</v>
      </c>
      <c r="AD2014" t="s">
        <v>31</v>
      </c>
      <c r="AE2014">
        <v>0</v>
      </c>
      <c r="AF2014" t="s">
        <v>31</v>
      </c>
      <c r="AG2014">
        <v>0</v>
      </c>
      <c r="AH2014" t="s">
        <v>31</v>
      </c>
      <c r="AI2014">
        <v>0</v>
      </c>
      <c r="AJ2014" t="s">
        <v>31</v>
      </c>
      <c r="AK2014">
        <v>0</v>
      </c>
      <c r="AL2014" t="s">
        <v>31</v>
      </c>
      <c r="AM2014">
        <v>0</v>
      </c>
      <c r="AN2014" t="s">
        <v>31</v>
      </c>
      <c r="AO2014">
        <v>0</v>
      </c>
      <c r="AP2014" t="s">
        <v>31</v>
      </c>
      <c r="AQ2014">
        <v>0</v>
      </c>
    </row>
    <row r="2015" spans="1:43" x14ac:dyDescent="0.2">
      <c r="A2015" t="s">
        <v>381</v>
      </c>
      <c r="B2015" s="3">
        <v>44239</v>
      </c>
      <c r="C2015">
        <v>7</v>
      </c>
      <c r="D2015" t="s">
        <v>384</v>
      </c>
      <c r="E2015" t="s">
        <v>111</v>
      </c>
      <c r="F2015" s="9" t="s">
        <v>152</v>
      </c>
      <c r="G2015" t="s">
        <v>26</v>
      </c>
      <c r="H2015" t="s">
        <v>34</v>
      </c>
      <c r="I2015" t="s">
        <v>35</v>
      </c>
      <c r="J2015" t="s">
        <v>29</v>
      </c>
      <c r="K2015" t="s">
        <v>30</v>
      </c>
      <c r="L2015" t="s">
        <v>29</v>
      </c>
      <c r="M2015" t="s">
        <v>30</v>
      </c>
      <c r="N2015" t="s">
        <v>34</v>
      </c>
      <c r="O2015" t="s">
        <v>35</v>
      </c>
      <c r="P2015" t="s">
        <v>29</v>
      </c>
      <c r="Q2015" t="s">
        <v>30</v>
      </c>
      <c r="R2015" s="1">
        <v>44239.432604166665</v>
      </c>
      <c r="S2015" s="1">
        <v>44239.432824074072</v>
      </c>
      <c r="T2015">
        <v>1</v>
      </c>
      <c r="U2015">
        <v>1</v>
      </c>
      <c r="V2015" s="2">
        <v>1</v>
      </c>
      <c r="W2015">
        <v>0</v>
      </c>
      <c r="X2015" t="s">
        <v>30</v>
      </c>
      <c r="Y2015">
        <v>0</v>
      </c>
      <c r="Z2015" t="s">
        <v>37</v>
      </c>
      <c r="AA2015">
        <v>0</v>
      </c>
      <c r="AB2015" t="s">
        <v>31</v>
      </c>
      <c r="AC2015">
        <v>0</v>
      </c>
      <c r="AD2015" t="s">
        <v>31</v>
      </c>
      <c r="AE2015">
        <v>0</v>
      </c>
      <c r="AF2015" t="s">
        <v>31</v>
      </c>
      <c r="AG2015">
        <v>0</v>
      </c>
      <c r="AH2015" t="s">
        <v>31</v>
      </c>
      <c r="AI2015">
        <v>0</v>
      </c>
      <c r="AJ2015" t="s">
        <v>31</v>
      </c>
      <c r="AK2015">
        <v>0</v>
      </c>
      <c r="AL2015" t="s">
        <v>31</v>
      </c>
      <c r="AM2015">
        <v>0</v>
      </c>
      <c r="AN2015" t="s">
        <v>31</v>
      </c>
      <c r="AO2015">
        <v>0</v>
      </c>
      <c r="AP2015" t="s">
        <v>31</v>
      </c>
      <c r="AQ2015">
        <v>0</v>
      </c>
    </row>
    <row r="2016" spans="1:43" x14ac:dyDescent="0.2">
      <c r="A2016" t="s">
        <v>381</v>
      </c>
      <c r="B2016" s="3">
        <v>44243</v>
      </c>
      <c r="C2016">
        <v>9</v>
      </c>
      <c r="D2016" t="s">
        <v>382</v>
      </c>
      <c r="E2016" t="s">
        <v>111</v>
      </c>
      <c r="F2016" s="9" t="s">
        <v>152</v>
      </c>
      <c r="G2016" t="s">
        <v>26</v>
      </c>
      <c r="H2016" t="s">
        <v>34</v>
      </c>
      <c r="I2016" t="s">
        <v>35</v>
      </c>
      <c r="J2016" t="s">
        <v>29</v>
      </c>
      <c r="K2016" t="s">
        <v>30</v>
      </c>
      <c r="L2016" t="s">
        <v>29</v>
      </c>
      <c r="M2016" t="s">
        <v>30</v>
      </c>
      <c r="N2016" t="s">
        <v>34</v>
      </c>
      <c r="O2016" t="s">
        <v>35</v>
      </c>
      <c r="P2016" t="s">
        <v>29</v>
      </c>
      <c r="Q2016" t="s">
        <v>30</v>
      </c>
      <c r="R2016" s="1">
        <v>44243.382951388892</v>
      </c>
      <c r="S2016" s="1">
        <v>44243.382951388892</v>
      </c>
      <c r="T2016">
        <v>1</v>
      </c>
      <c r="U2016">
        <v>1</v>
      </c>
      <c r="V2016" s="2">
        <v>1</v>
      </c>
      <c r="W2016">
        <v>0</v>
      </c>
      <c r="X2016" t="s">
        <v>30</v>
      </c>
      <c r="Y2016">
        <v>0</v>
      </c>
      <c r="Z2016" t="s">
        <v>31</v>
      </c>
      <c r="AA2016">
        <v>0</v>
      </c>
      <c r="AB2016" t="s">
        <v>31</v>
      </c>
      <c r="AC2016">
        <v>0</v>
      </c>
      <c r="AD2016" t="s">
        <v>31</v>
      </c>
      <c r="AE2016">
        <v>0</v>
      </c>
      <c r="AF2016" t="s">
        <v>31</v>
      </c>
      <c r="AG2016">
        <v>0</v>
      </c>
      <c r="AH2016" t="s">
        <v>31</v>
      </c>
      <c r="AI2016">
        <v>0</v>
      </c>
      <c r="AJ2016" t="s">
        <v>31</v>
      </c>
      <c r="AK2016">
        <v>0</v>
      </c>
      <c r="AL2016" t="s">
        <v>31</v>
      </c>
      <c r="AM2016">
        <v>0</v>
      </c>
      <c r="AN2016" t="s">
        <v>31</v>
      </c>
      <c r="AO2016">
        <v>0</v>
      </c>
      <c r="AP2016" t="s">
        <v>31</v>
      </c>
      <c r="AQ2016">
        <v>0</v>
      </c>
    </row>
    <row r="2017" spans="1:43" x14ac:dyDescent="0.2">
      <c r="A2017" t="s">
        <v>381</v>
      </c>
      <c r="B2017" s="3">
        <v>44245</v>
      </c>
      <c r="C2017">
        <v>12</v>
      </c>
      <c r="D2017" t="s">
        <v>382</v>
      </c>
      <c r="E2017" t="s">
        <v>111</v>
      </c>
      <c r="F2017" s="9" t="s">
        <v>152</v>
      </c>
      <c r="G2017" t="s">
        <v>26</v>
      </c>
      <c r="H2017" t="s">
        <v>34</v>
      </c>
      <c r="I2017" t="s">
        <v>35</v>
      </c>
      <c r="J2017" t="s">
        <v>29</v>
      </c>
      <c r="K2017" t="s">
        <v>30</v>
      </c>
      <c r="L2017" t="s">
        <v>29</v>
      </c>
      <c r="M2017" t="s">
        <v>30</v>
      </c>
      <c r="N2017" t="s">
        <v>34</v>
      </c>
      <c r="O2017" t="s">
        <v>35</v>
      </c>
      <c r="P2017" t="s">
        <v>29</v>
      </c>
      <c r="Q2017" t="s">
        <v>30</v>
      </c>
      <c r="R2017" s="1">
        <v>44245.404328703706</v>
      </c>
      <c r="S2017" s="1">
        <v>44245.404340277775</v>
      </c>
      <c r="T2017">
        <v>0</v>
      </c>
      <c r="U2017">
        <v>0</v>
      </c>
      <c r="V2017" s="2">
        <v>0</v>
      </c>
      <c r="W2017">
        <v>0</v>
      </c>
      <c r="X2017" t="s">
        <v>37</v>
      </c>
      <c r="Y2017">
        <v>0</v>
      </c>
      <c r="Z2017" t="s">
        <v>37</v>
      </c>
      <c r="AA2017">
        <v>0</v>
      </c>
      <c r="AB2017" t="s">
        <v>37</v>
      </c>
      <c r="AC2017">
        <v>0</v>
      </c>
      <c r="AD2017" t="s">
        <v>31</v>
      </c>
      <c r="AE2017">
        <v>0</v>
      </c>
      <c r="AF2017" t="s">
        <v>31</v>
      </c>
      <c r="AG2017">
        <v>0</v>
      </c>
      <c r="AH2017" t="s">
        <v>31</v>
      </c>
      <c r="AI2017">
        <v>0</v>
      </c>
      <c r="AJ2017" t="s">
        <v>31</v>
      </c>
      <c r="AK2017">
        <v>0</v>
      </c>
      <c r="AL2017" t="s">
        <v>31</v>
      </c>
      <c r="AM2017">
        <v>0</v>
      </c>
      <c r="AN2017" t="s">
        <v>31</v>
      </c>
      <c r="AO2017">
        <v>0</v>
      </c>
      <c r="AP2017" t="s">
        <v>31</v>
      </c>
      <c r="AQ2017">
        <v>0</v>
      </c>
    </row>
    <row r="2018" spans="1:43" x14ac:dyDescent="0.2">
      <c r="A2018" t="s">
        <v>381</v>
      </c>
      <c r="B2018" s="3">
        <v>44250</v>
      </c>
      <c r="C2018">
        <v>16</v>
      </c>
      <c r="D2018" t="s">
        <v>382</v>
      </c>
      <c r="E2018" t="s">
        <v>111</v>
      </c>
      <c r="F2018" s="9" t="s">
        <v>152</v>
      </c>
      <c r="G2018" t="s">
        <v>26</v>
      </c>
      <c r="H2018" t="s">
        <v>34</v>
      </c>
      <c r="I2018" t="s">
        <v>35</v>
      </c>
      <c r="J2018" t="s">
        <v>29</v>
      </c>
      <c r="K2018" t="s">
        <v>30</v>
      </c>
      <c r="L2018" t="s">
        <v>29</v>
      </c>
      <c r="M2018" t="s">
        <v>30</v>
      </c>
      <c r="N2018" t="s">
        <v>34</v>
      </c>
      <c r="O2018" t="s">
        <v>35</v>
      </c>
      <c r="P2018" t="s">
        <v>29</v>
      </c>
      <c r="Q2018" t="s">
        <v>30</v>
      </c>
      <c r="R2018" s="1">
        <v>44250.388275462959</v>
      </c>
      <c r="S2018" s="1">
        <v>44250.388287037036</v>
      </c>
      <c r="T2018">
        <v>1</v>
      </c>
      <c r="U2018">
        <v>1</v>
      </c>
      <c r="V2018" s="2">
        <v>1</v>
      </c>
      <c r="W2018">
        <v>0</v>
      </c>
      <c r="X2018" t="s">
        <v>37</v>
      </c>
      <c r="Y2018">
        <v>0</v>
      </c>
      <c r="Z2018" t="s">
        <v>30</v>
      </c>
      <c r="AA2018">
        <v>0</v>
      </c>
      <c r="AB2018" t="s">
        <v>31</v>
      </c>
      <c r="AC2018">
        <v>0</v>
      </c>
      <c r="AD2018" t="s">
        <v>31</v>
      </c>
      <c r="AE2018">
        <v>0</v>
      </c>
      <c r="AF2018" t="s">
        <v>31</v>
      </c>
      <c r="AG2018">
        <v>0</v>
      </c>
      <c r="AH2018" t="s">
        <v>31</v>
      </c>
      <c r="AI2018">
        <v>0</v>
      </c>
      <c r="AJ2018" t="s">
        <v>31</v>
      </c>
      <c r="AK2018">
        <v>0</v>
      </c>
      <c r="AL2018" t="s">
        <v>31</v>
      </c>
      <c r="AM2018">
        <v>0</v>
      </c>
      <c r="AN2018" t="s">
        <v>31</v>
      </c>
      <c r="AO2018">
        <v>0</v>
      </c>
      <c r="AP2018" t="s">
        <v>31</v>
      </c>
      <c r="AQ2018">
        <v>0</v>
      </c>
    </row>
    <row r="2019" spans="1:43" x14ac:dyDescent="0.2">
      <c r="A2019" t="s">
        <v>381</v>
      </c>
      <c r="B2019" s="3">
        <v>44251</v>
      </c>
      <c r="C2019">
        <v>18</v>
      </c>
      <c r="D2019" t="s">
        <v>384</v>
      </c>
      <c r="E2019" t="s">
        <v>111</v>
      </c>
      <c r="F2019" s="9" t="s">
        <v>152</v>
      </c>
      <c r="G2019" t="s">
        <v>26</v>
      </c>
      <c r="H2019" t="s">
        <v>34</v>
      </c>
      <c r="I2019" t="s">
        <v>35</v>
      </c>
      <c r="J2019" t="s">
        <v>29</v>
      </c>
      <c r="K2019" t="s">
        <v>30</v>
      </c>
      <c r="L2019" t="s">
        <v>29</v>
      </c>
      <c r="M2019" t="s">
        <v>30</v>
      </c>
      <c r="N2019" t="s">
        <v>34</v>
      </c>
      <c r="O2019" t="s">
        <v>35</v>
      </c>
      <c r="P2019" t="s">
        <v>29</v>
      </c>
      <c r="Q2019" t="s">
        <v>30</v>
      </c>
      <c r="R2019" s="1">
        <v>44251.462337962963</v>
      </c>
      <c r="S2019" s="1">
        <v>44251.462800925925</v>
      </c>
      <c r="T2019">
        <v>0</v>
      </c>
      <c r="U2019">
        <v>0</v>
      </c>
      <c r="V2019" s="2">
        <v>0</v>
      </c>
      <c r="W2019">
        <v>0</v>
      </c>
      <c r="X2019" t="s">
        <v>37</v>
      </c>
      <c r="Y2019">
        <v>0</v>
      </c>
      <c r="Z2019" t="s">
        <v>37</v>
      </c>
      <c r="AA2019">
        <v>0</v>
      </c>
      <c r="AB2019" t="s">
        <v>37</v>
      </c>
      <c r="AC2019">
        <v>0</v>
      </c>
      <c r="AD2019" t="s">
        <v>37</v>
      </c>
      <c r="AE2019">
        <v>0</v>
      </c>
      <c r="AF2019" t="s">
        <v>31</v>
      </c>
      <c r="AG2019">
        <v>0</v>
      </c>
      <c r="AH2019" t="s">
        <v>31</v>
      </c>
      <c r="AI2019">
        <v>0</v>
      </c>
      <c r="AJ2019" t="s">
        <v>31</v>
      </c>
      <c r="AK2019">
        <v>0</v>
      </c>
      <c r="AL2019" t="s">
        <v>31</v>
      </c>
      <c r="AM2019">
        <v>0</v>
      </c>
      <c r="AN2019" t="s">
        <v>31</v>
      </c>
      <c r="AO2019">
        <v>0</v>
      </c>
      <c r="AP2019" t="s">
        <v>31</v>
      </c>
      <c r="AQ2019">
        <v>0</v>
      </c>
    </row>
    <row r="2020" spans="1:43" x14ac:dyDescent="0.2">
      <c r="A2020" t="s">
        <v>381</v>
      </c>
      <c r="B2020" s="3">
        <v>44252</v>
      </c>
      <c r="C2020">
        <v>19</v>
      </c>
      <c r="D2020" t="s">
        <v>382</v>
      </c>
      <c r="E2020" t="s">
        <v>111</v>
      </c>
      <c r="F2020" s="9" t="s">
        <v>152</v>
      </c>
      <c r="G2020" t="s">
        <v>26</v>
      </c>
      <c r="H2020" t="s">
        <v>34</v>
      </c>
      <c r="I2020" t="s">
        <v>35</v>
      </c>
      <c r="J2020" t="s">
        <v>29</v>
      </c>
      <c r="K2020" t="s">
        <v>30</v>
      </c>
      <c r="L2020" t="s">
        <v>29</v>
      </c>
      <c r="M2020" t="s">
        <v>30</v>
      </c>
      <c r="N2020" t="s">
        <v>34</v>
      </c>
      <c r="O2020" t="s">
        <v>35</v>
      </c>
      <c r="P2020" t="s">
        <v>29</v>
      </c>
      <c r="Q2020" t="s">
        <v>30</v>
      </c>
      <c r="R2020" s="1">
        <v>44252.434687499997</v>
      </c>
      <c r="S2020" s="1">
        <v>44252.434687499997</v>
      </c>
      <c r="T2020">
        <v>0</v>
      </c>
      <c r="U2020">
        <v>0</v>
      </c>
      <c r="V2020" s="2">
        <v>0</v>
      </c>
      <c r="W2020">
        <v>0</v>
      </c>
      <c r="X2020" t="s">
        <v>37</v>
      </c>
      <c r="Y2020">
        <v>0</v>
      </c>
      <c r="Z2020" t="s">
        <v>37</v>
      </c>
      <c r="AA2020">
        <v>0</v>
      </c>
      <c r="AB2020" t="s">
        <v>31</v>
      </c>
      <c r="AC2020">
        <v>0</v>
      </c>
      <c r="AD2020" t="s">
        <v>31</v>
      </c>
      <c r="AE2020">
        <v>0</v>
      </c>
      <c r="AF2020" t="s">
        <v>31</v>
      </c>
      <c r="AG2020">
        <v>0</v>
      </c>
      <c r="AH2020" t="s">
        <v>31</v>
      </c>
      <c r="AI2020">
        <v>0</v>
      </c>
      <c r="AJ2020" t="s">
        <v>31</v>
      </c>
      <c r="AK2020">
        <v>0</v>
      </c>
      <c r="AL2020" t="s">
        <v>31</v>
      </c>
      <c r="AM2020">
        <v>0</v>
      </c>
      <c r="AN2020" t="s">
        <v>31</v>
      </c>
      <c r="AO2020">
        <v>0</v>
      </c>
      <c r="AP2020" t="s">
        <v>31</v>
      </c>
      <c r="AQ2020">
        <v>0</v>
      </c>
    </row>
    <row r="2021" spans="1:43" x14ac:dyDescent="0.2">
      <c r="A2021" t="s">
        <v>381</v>
      </c>
      <c r="B2021" s="3">
        <v>44252</v>
      </c>
      <c r="C2021">
        <v>20</v>
      </c>
      <c r="D2021" t="s">
        <v>385</v>
      </c>
      <c r="E2021" t="s">
        <v>111</v>
      </c>
      <c r="F2021" s="9" t="s">
        <v>152</v>
      </c>
      <c r="G2021" t="s">
        <v>26</v>
      </c>
      <c r="H2021" t="s">
        <v>34</v>
      </c>
      <c r="I2021" t="s">
        <v>35</v>
      </c>
      <c r="J2021" t="s">
        <v>29</v>
      </c>
      <c r="K2021" t="s">
        <v>30</v>
      </c>
      <c r="L2021" t="s">
        <v>29</v>
      </c>
      <c r="M2021" t="s">
        <v>30</v>
      </c>
      <c r="N2021" t="s">
        <v>34</v>
      </c>
      <c r="O2021" t="s">
        <v>35</v>
      </c>
      <c r="P2021" t="s">
        <v>29</v>
      </c>
      <c r="Q2021" t="s">
        <v>30</v>
      </c>
      <c r="R2021" s="1">
        <v>44252.679270833331</v>
      </c>
      <c r="S2021" s="1">
        <v>44252.67931712963</v>
      </c>
      <c r="T2021">
        <v>0</v>
      </c>
      <c r="U2021">
        <v>0</v>
      </c>
      <c r="V2021" s="2">
        <v>0</v>
      </c>
      <c r="W2021">
        <v>0</v>
      </c>
      <c r="X2021" t="s">
        <v>37</v>
      </c>
      <c r="Y2021">
        <v>0</v>
      </c>
      <c r="Z2021" t="s">
        <v>37</v>
      </c>
      <c r="AA2021">
        <v>0</v>
      </c>
      <c r="AB2021" t="s">
        <v>37</v>
      </c>
      <c r="AC2021">
        <v>0</v>
      </c>
      <c r="AD2021" t="s">
        <v>31</v>
      </c>
      <c r="AE2021">
        <v>0</v>
      </c>
      <c r="AF2021" t="s">
        <v>31</v>
      </c>
      <c r="AG2021">
        <v>0</v>
      </c>
      <c r="AH2021" t="s">
        <v>31</v>
      </c>
      <c r="AI2021">
        <v>0</v>
      </c>
      <c r="AJ2021" t="s">
        <v>31</v>
      </c>
      <c r="AK2021">
        <v>0</v>
      </c>
      <c r="AL2021" t="s">
        <v>31</v>
      </c>
      <c r="AM2021">
        <v>0</v>
      </c>
      <c r="AN2021" t="s">
        <v>31</v>
      </c>
      <c r="AO2021">
        <v>0</v>
      </c>
      <c r="AP2021" t="s">
        <v>31</v>
      </c>
      <c r="AQ2021">
        <v>0</v>
      </c>
    </row>
    <row r="2022" spans="1:43" x14ac:dyDescent="0.2">
      <c r="A2022" t="s">
        <v>381</v>
      </c>
      <c r="B2022" s="3">
        <v>44253</v>
      </c>
      <c r="C2022">
        <v>21</v>
      </c>
      <c r="D2022" t="s">
        <v>384</v>
      </c>
      <c r="E2022" t="s">
        <v>111</v>
      </c>
      <c r="F2022" s="9" t="s">
        <v>152</v>
      </c>
      <c r="G2022" t="s">
        <v>26</v>
      </c>
      <c r="H2022" t="s">
        <v>34</v>
      </c>
      <c r="I2022" t="s">
        <v>35</v>
      </c>
      <c r="J2022" t="s">
        <v>29</v>
      </c>
      <c r="K2022" t="s">
        <v>30</v>
      </c>
      <c r="L2022" t="s">
        <v>29</v>
      </c>
      <c r="M2022" t="s">
        <v>30</v>
      </c>
      <c r="N2022" t="s">
        <v>34</v>
      </c>
      <c r="O2022" t="s">
        <v>35</v>
      </c>
      <c r="P2022" t="s">
        <v>29</v>
      </c>
      <c r="Q2022" t="s">
        <v>30</v>
      </c>
      <c r="R2022" s="1">
        <v>44253.456400462965</v>
      </c>
      <c r="S2022" s="1">
        <v>44253.456863425927</v>
      </c>
      <c r="T2022">
        <v>0</v>
      </c>
      <c r="U2022">
        <v>0</v>
      </c>
      <c r="V2022" s="2">
        <v>0</v>
      </c>
      <c r="W2022">
        <v>0</v>
      </c>
      <c r="X2022" t="s">
        <v>37</v>
      </c>
      <c r="Y2022">
        <v>0</v>
      </c>
      <c r="Z2022" t="s">
        <v>37</v>
      </c>
      <c r="AA2022">
        <v>0</v>
      </c>
      <c r="AB2022" t="s">
        <v>37</v>
      </c>
      <c r="AC2022">
        <v>0</v>
      </c>
      <c r="AD2022" t="s">
        <v>37</v>
      </c>
      <c r="AE2022">
        <v>0</v>
      </c>
      <c r="AF2022" t="s">
        <v>31</v>
      </c>
      <c r="AG2022">
        <v>0</v>
      </c>
      <c r="AH2022" t="s">
        <v>31</v>
      </c>
      <c r="AI2022">
        <v>0</v>
      </c>
      <c r="AJ2022" t="s">
        <v>31</v>
      </c>
      <c r="AK2022">
        <v>0</v>
      </c>
      <c r="AL2022" t="s">
        <v>31</v>
      </c>
      <c r="AM2022">
        <v>0</v>
      </c>
      <c r="AN2022" t="s">
        <v>31</v>
      </c>
      <c r="AO2022">
        <v>0</v>
      </c>
      <c r="AP2022" t="s">
        <v>31</v>
      </c>
      <c r="AQ2022">
        <v>0</v>
      </c>
    </row>
    <row r="2023" spans="1:43" x14ac:dyDescent="0.2">
      <c r="A2023" t="s">
        <v>381</v>
      </c>
      <c r="B2023" s="3">
        <v>44257</v>
      </c>
      <c r="C2023">
        <v>23</v>
      </c>
      <c r="D2023" t="s">
        <v>382</v>
      </c>
      <c r="E2023" t="s">
        <v>111</v>
      </c>
      <c r="F2023" s="9" t="s">
        <v>152</v>
      </c>
      <c r="G2023" t="s">
        <v>26</v>
      </c>
      <c r="H2023" t="s">
        <v>34</v>
      </c>
      <c r="I2023" t="s">
        <v>35</v>
      </c>
      <c r="J2023" t="s">
        <v>29</v>
      </c>
      <c r="K2023" t="s">
        <v>30</v>
      </c>
      <c r="L2023" t="s">
        <v>29</v>
      </c>
      <c r="M2023" t="s">
        <v>30</v>
      </c>
      <c r="N2023" t="s">
        <v>34</v>
      </c>
      <c r="O2023" t="s">
        <v>35</v>
      </c>
      <c r="P2023" t="s">
        <v>29</v>
      </c>
      <c r="Q2023" t="s">
        <v>30</v>
      </c>
      <c r="R2023" s="1">
        <v>44257.413645833331</v>
      </c>
      <c r="S2023" s="1">
        <v>44257.413645833331</v>
      </c>
      <c r="T2023">
        <v>0</v>
      </c>
      <c r="U2023">
        <v>0</v>
      </c>
      <c r="V2023" s="2">
        <v>0</v>
      </c>
      <c r="W2023">
        <v>0</v>
      </c>
      <c r="X2023" t="s">
        <v>37</v>
      </c>
      <c r="Y2023">
        <v>0</v>
      </c>
      <c r="Z2023" t="s">
        <v>37</v>
      </c>
      <c r="AA2023">
        <v>0</v>
      </c>
      <c r="AB2023" t="s">
        <v>31</v>
      </c>
      <c r="AC2023">
        <v>0</v>
      </c>
      <c r="AD2023" t="s">
        <v>31</v>
      </c>
      <c r="AE2023">
        <v>0</v>
      </c>
      <c r="AF2023" t="s">
        <v>31</v>
      </c>
      <c r="AG2023">
        <v>0</v>
      </c>
      <c r="AH2023" t="s">
        <v>31</v>
      </c>
      <c r="AI2023">
        <v>0</v>
      </c>
      <c r="AJ2023" t="s">
        <v>31</v>
      </c>
      <c r="AK2023">
        <v>0</v>
      </c>
      <c r="AL2023" t="s">
        <v>31</v>
      </c>
      <c r="AM2023">
        <v>0</v>
      </c>
      <c r="AN2023" t="s">
        <v>31</v>
      </c>
      <c r="AO2023">
        <v>0</v>
      </c>
      <c r="AP2023" t="s">
        <v>31</v>
      </c>
      <c r="AQ2023">
        <v>0</v>
      </c>
    </row>
    <row r="2024" spans="1:43" x14ac:dyDescent="0.2">
      <c r="A2024" t="s">
        <v>381</v>
      </c>
      <c r="B2024" s="3">
        <v>44257</v>
      </c>
      <c r="C2024">
        <v>24</v>
      </c>
      <c r="D2024" t="s">
        <v>385</v>
      </c>
      <c r="E2024" t="s">
        <v>111</v>
      </c>
      <c r="F2024" s="9" t="s">
        <v>152</v>
      </c>
      <c r="G2024" t="s">
        <v>26</v>
      </c>
      <c r="H2024" t="s">
        <v>34</v>
      </c>
      <c r="I2024" t="s">
        <v>35</v>
      </c>
      <c r="J2024" t="s">
        <v>29</v>
      </c>
      <c r="K2024" t="s">
        <v>30</v>
      </c>
      <c r="L2024" t="s">
        <v>29</v>
      </c>
      <c r="M2024" t="s">
        <v>30</v>
      </c>
      <c r="N2024" t="s">
        <v>34</v>
      </c>
      <c r="O2024" t="s">
        <v>35</v>
      </c>
      <c r="P2024" t="s">
        <v>29</v>
      </c>
      <c r="Q2024" t="s">
        <v>30</v>
      </c>
      <c r="R2024" s="1">
        <v>44257.655185185184</v>
      </c>
      <c r="S2024" s="1">
        <v>44257.655347222222</v>
      </c>
      <c r="T2024">
        <v>0</v>
      </c>
      <c r="U2024">
        <v>0</v>
      </c>
      <c r="V2024" s="2">
        <v>0</v>
      </c>
      <c r="W2024">
        <v>0</v>
      </c>
      <c r="X2024" t="s">
        <v>37</v>
      </c>
      <c r="Y2024">
        <v>0</v>
      </c>
      <c r="Z2024" t="s">
        <v>37</v>
      </c>
      <c r="AA2024">
        <v>0</v>
      </c>
      <c r="AB2024" t="s">
        <v>37</v>
      </c>
      <c r="AC2024">
        <v>0</v>
      </c>
      <c r="AD2024" t="s">
        <v>31</v>
      </c>
      <c r="AE2024">
        <v>0</v>
      </c>
      <c r="AF2024" t="s">
        <v>31</v>
      </c>
      <c r="AG2024">
        <v>0</v>
      </c>
      <c r="AH2024" t="s">
        <v>31</v>
      </c>
      <c r="AI2024">
        <v>0</v>
      </c>
      <c r="AJ2024" t="s">
        <v>31</v>
      </c>
      <c r="AK2024">
        <v>0</v>
      </c>
      <c r="AL2024" t="s">
        <v>31</v>
      </c>
      <c r="AM2024">
        <v>0</v>
      </c>
      <c r="AN2024" t="s">
        <v>31</v>
      </c>
      <c r="AO2024">
        <v>0</v>
      </c>
      <c r="AP2024" t="s">
        <v>31</v>
      </c>
      <c r="AQ2024">
        <v>0</v>
      </c>
    </row>
    <row r="2025" spans="1:43" x14ac:dyDescent="0.2">
      <c r="A2025" t="s">
        <v>381</v>
      </c>
      <c r="B2025" s="3">
        <v>44258</v>
      </c>
      <c r="C2025">
        <v>25</v>
      </c>
      <c r="D2025" t="s">
        <v>384</v>
      </c>
      <c r="E2025" t="s">
        <v>111</v>
      </c>
      <c r="F2025" s="9" t="s">
        <v>152</v>
      </c>
      <c r="G2025" t="s">
        <v>26</v>
      </c>
      <c r="H2025" t="s">
        <v>34</v>
      </c>
      <c r="I2025" t="s">
        <v>35</v>
      </c>
      <c r="J2025" t="s">
        <v>29</v>
      </c>
      <c r="K2025" t="s">
        <v>30</v>
      </c>
      <c r="L2025" t="s">
        <v>29</v>
      </c>
      <c r="M2025" t="s">
        <v>30</v>
      </c>
      <c r="N2025" t="s">
        <v>34</v>
      </c>
      <c r="O2025" t="s">
        <v>35</v>
      </c>
      <c r="P2025" t="s">
        <v>29</v>
      </c>
      <c r="Q2025" t="s">
        <v>30</v>
      </c>
      <c r="R2025" s="1">
        <v>44258.46056712963</v>
      </c>
      <c r="S2025" s="1">
        <v>44258.460868055554</v>
      </c>
      <c r="T2025">
        <v>2</v>
      </c>
      <c r="U2025">
        <v>2</v>
      </c>
      <c r="V2025" s="2">
        <v>1</v>
      </c>
      <c r="W2025">
        <v>0</v>
      </c>
      <c r="X2025" t="s">
        <v>30</v>
      </c>
      <c r="Y2025">
        <v>0</v>
      </c>
      <c r="Z2025" t="s">
        <v>37</v>
      </c>
      <c r="AA2025">
        <v>0</v>
      </c>
      <c r="AB2025" t="s">
        <v>30</v>
      </c>
      <c r="AC2025">
        <v>0</v>
      </c>
      <c r="AD2025" t="s">
        <v>31</v>
      </c>
      <c r="AE2025">
        <v>0</v>
      </c>
      <c r="AF2025" t="s">
        <v>31</v>
      </c>
      <c r="AG2025">
        <v>0</v>
      </c>
      <c r="AH2025" t="s">
        <v>31</v>
      </c>
      <c r="AI2025">
        <v>0</v>
      </c>
      <c r="AJ2025" t="s">
        <v>31</v>
      </c>
      <c r="AK2025">
        <v>0</v>
      </c>
      <c r="AL2025" t="s">
        <v>31</v>
      </c>
      <c r="AM2025">
        <v>0</v>
      </c>
      <c r="AN2025" t="s">
        <v>31</v>
      </c>
      <c r="AO2025">
        <v>0</v>
      </c>
      <c r="AP2025" t="s">
        <v>31</v>
      </c>
      <c r="AQ2025">
        <v>0</v>
      </c>
    </row>
    <row r="2026" spans="1:43" x14ac:dyDescent="0.2">
      <c r="A2026" t="s">
        <v>381</v>
      </c>
      <c r="B2026" s="3">
        <v>44259</v>
      </c>
      <c r="C2026">
        <v>26</v>
      </c>
      <c r="D2026" t="s">
        <v>382</v>
      </c>
      <c r="E2026" t="s">
        <v>111</v>
      </c>
      <c r="F2026" s="9" t="s">
        <v>152</v>
      </c>
      <c r="G2026" t="s">
        <v>26</v>
      </c>
      <c r="H2026" t="s">
        <v>34</v>
      </c>
      <c r="I2026" t="s">
        <v>35</v>
      </c>
      <c r="J2026" t="s">
        <v>29</v>
      </c>
      <c r="K2026" t="s">
        <v>30</v>
      </c>
      <c r="L2026" t="s">
        <v>29</v>
      </c>
      <c r="M2026" t="s">
        <v>30</v>
      </c>
      <c r="N2026" t="s">
        <v>34</v>
      </c>
      <c r="O2026" t="s">
        <v>35</v>
      </c>
      <c r="P2026" t="s">
        <v>29</v>
      </c>
      <c r="Q2026" t="s">
        <v>30</v>
      </c>
      <c r="R2026" s="1">
        <v>44259.38821759259</v>
      </c>
      <c r="S2026" s="1">
        <v>44259.388229166667</v>
      </c>
      <c r="T2026">
        <v>0</v>
      </c>
      <c r="U2026">
        <v>0</v>
      </c>
      <c r="V2026" s="2">
        <v>0</v>
      </c>
      <c r="W2026">
        <v>0</v>
      </c>
      <c r="X2026" t="s">
        <v>37</v>
      </c>
      <c r="Y2026">
        <v>0</v>
      </c>
      <c r="Z2026" t="s">
        <v>37</v>
      </c>
      <c r="AA2026">
        <v>0</v>
      </c>
      <c r="AB2026" t="s">
        <v>37</v>
      </c>
      <c r="AC2026">
        <v>0</v>
      </c>
      <c r="AD2026" t="s">
        <v>31</v>
      </c>
      <c r="AE2026">
        <v>0</v>
      </c>
      <c r="AF2026" t="s">
        <v>31</v>
      </c>
      <c r="AG2026">
        <v>0</v>
      </c>
      <c r="AH2026" t="s">
        <v>31</v>
      </c>
      <c r="AI2026">
        <v>0</v>
      </c>
      <c r="AJ2026" t="s">
        <v>31</v>
      </c>
      <c r="AK2026">
        <v>0</v>
      </c>
      <c r="AL2026" t="s">
        <v>31</v>
      </c>
      <c r="AM2026">
        <v>0</v>
      </c>
      <c r="AN2026" t="s">
        <v>31</v>
      </c>
      <c r="AO2026">
        <v>0</v>
      </c>
      <c r="AP2026" t="s">
        <v>31</v>
      </c>
      <c r="AQ2026">
        <v>0</v>
      </c>
    </row>
    <row r="2027" spans="1:43" x14ac:dyDescent="0.2">
      <c r="A2027" t="s">
        <v>381</v>
      </c>
      <c r="B2027" s="3">
        <v>44263</v>
      </c>
      <c r="C2027">
        <v>29</v>
      </c>
      <c r="D2027" t="s">
        <v>384</v>
      </c>
      <c r="E2027" t="s">
        <v>111</v>
      </c>
      <c r="F2027" s="9" t="s">
        <v>152</v>
      </c>
      <c r="G2027" t="s">
        <v>26</v>
      </c>
      <c r="H2027" t="s">
        <v>34</v>
      </c>
      <c r="I2027" t="s">
        <v>35</v>
      </c>
      <c r="J2027" t="s">
        <v>29</v>
      </c>
      <c r="K2027" t="s">
        <v>30</v>
      </c>
      <c r="L2027" t="s">
        <v>29</v>
      </c>
      <c r="M2027" t="s">
        <v>30</v>
      </c>
      <c r="N2027" t="s">
        <v>34</v>
      </c>
      <c r="O2027" t="s">
        <v>35</v>
      </c>
      <c r="P2027" t="s">
        <v>29</v>
      </c>
      <c r="Q2027" t="s">
        <v>30</v>
      </c>
      <c r="R2027" s="1">
        <v>44263.465127314812</v>
      </c>
      <c r="S2027" s="1">
        <v>44263.465717592589</v>
      </c>
      <c r="T2027">
        <v>0</v>
      </c>
      <c r="U2027">
        <v>0</v>
      </c>
      <c r="V2027" s="2">
        <v>0</v>
      </c>
      <c r="W2027">
        <v>0</v>
      </c>
      <c r="X2027" t="s">
        <v>37</v>
      </c>
      <c r="Y2027">
        <v>0</v>
      </c>
      <c r="Z2027" t="s">
        <v>37</v>
      </c>
      <c r="AA2027">
        <v>0</v>
      </c>
      <c r="AB2027" t="s">
        <v>37</v>
      </c>
      <c r="AC2027">
        <v>0</v>
      </c>
      <c r="AD2027" t="s">
        <v>37</v>
      </c>
      <c r="AE2027">
        <v>0</v>
      </c>
      <c r="AF2027" t="s">
        <v>31</v>
      </c>
      <c r="AG2027">
        <v>0</v>
      </c>
      <c r="AH2027" t="s">
        <v>31</v>
      </c>
      <c r="AI2027">
        <v>0</v>
      </c>
      <c r="AJ2027" t="s">
        <v>31</v>
      </c>
      <c r="AK2027">
        <v>0</v>
      </c>
      <c r="AL2027" t="s">
        <v>31</v>
      </c>
      <c r="AM2027">
        <v>0</v>
      </c>
      <c r="AN2027" t="s">
        <v>31</v>
      </c>
      <c r="AO2027">
        <v>0</v>
      </c>
      <c r="AP2027" t="s">
        <v>31</v>
      </c>
      <c r="AQ2027">
        <v>0</v>
      </c>
    </row>
    <row r="2028" spans="1:43" x14ac:dyDescent="0.2">
      <c r="A2028" t="s">
        <v>381</v>
      </c>
      <c r="B2028" s="3">
        <v>44264</v>
      </c>
      <c r="C2028">
        <v>30</v>
      </c>
      <c r="D2028" t="s">
        <v>382</v>
      </c>
      <c r="E2028" t="s">
        <v>111</v>
      </c>
      <c r="F2028" s="9" t="s">
        <v>152</v>
      </c>
      <c r="G2028" t="s">
        <v>26</v>
      </c>
      <c r="H2028" t="s">
        <v>34</v>
      </c>
      <c r="I2028" t="s">
        <v>35</v>
      </c>
      <c r="J2028" t="s">
        <v>29</v>
      </c>
      <c r="K2028" t="s">
        <v>30</v>
      </c>
      <c r="L2028" t="s">
        <v>29</v>
      </c>
      <c r="M2028" t="s">
        <v>30</v>
      </c>
      <c r="N2028" t="s">
        <v>34</v>
      </c>
      <c r="O2028" t="s">
        <v>35</v>
      </c>
      <c r="P2028" t="s">
        <v>29</v>
      </c>
      <c r="Q2028" t="s">
        <v>30</v>
      </c>
      <c r="R2028" s="1">
        <v>44264.427974537037</v>
      </c>
      <c r="S2028" s="1">
        <v>44264.427986111114</v>
      </c>
      <c r="T2028">
        <v>0</v>
      </c>
      <c r="U2028">
        <v>0</v>
      </c>
      <c r="V2028" s="2">
        <v>0</v>
      </c>
      <c r="W2028">
        <v>0</v>
      </c>
      <c r="X2028" t="s">
        <v>37</v>
      </c>
      <c r="Y2028">
        <v>0</v>
      </c>
      <c r="Z2028" t="s">
        <v>37</v>
      </c>
      <c r="AA2028">
        <v>0</v>
      </c>
      <c r="AB2028" t="s">
        <v>37</v>
      </c>
      <c r="AC2028">
        <v>0</v>
      </c>
      <c r="AD2028" t="s">
        <v>31</v>
      </c>
      <c r="AE2028">
        <v>0</v>
      </c>
      <c r="AF2028" t="s">
        <v>31</v>
      </c>
      <c r="AG2028">
        <v>0</v>
      </c>
      <c r="AH2028" t="s">
        <v>31</v>
      </c>
      <c r="AI2028">
        <v>0</v>
      </c>
      <c r="AJ2028" t="s">
        <v>31</v>
      </c>
      <c r="AK2028">
        <v>0</v>
      </c>
      <c r="AL2028" t="s">
        <v>31</v>
      </c>
      <c r="AM2028">
        <v>0</v>
      </c>
      <c r="AN2028" t="s">
        <v>31</v>
      </c>
      <c r="AO2028">
        <v>0</v>
      </c>
      <c r="AP2028" t="s">
        <v>31</v>
      </c>
      <c r="AQ2028">
        <v>0</v>
      </c>
    </row>
    <row r="2029" spans="1:43" x14ac:dyDescent="0.2">
      <c r="A2029" t="s">
        <v>381</v>
      </c>
      <c r="B2029" s="3">
        <v>44264</v>
      </c>
      <c r="C2029">
        <v>31</v>
      </c>
      <c r="D2029" t="s">
        <v>385</v>
      </c>
      <c r="E2029" t="s">
        <v>111</v>
      </c>
      <c r="F2029" s="9" t="s">
        <v>152</v>
      </c>
      <c r="G2029" t="s">
        <v>26</v>
      </c>
      <c r="H2029" t="s">
        <v>34</v>
      </c>
      <c r="I2029" t="s">
        <v>35</v>
      </c>
      <c r="J2029" t="s">
        <v>29</v>
      </c>
      <c r="K2029" t="s">
        <v>30</v>
      </c>
      <c r="L2029" t="s">
        <v>29</v>
      </c>
      <c r="M2029" t="s">
        <v>30</v>
      </c>
      <c r="N2029" t="s">
        <v>34</v>
      </c>
      <c r="O2029" t="s">
        <v>35</v>
      </c>
      <c r="P2029" t="s">
        <v>29</v>
      </c>
      <c r="Q2029" t="s">
        <v>30</v>
      </c>
      <c r="R2029" s="1">
        <v>44264.596284722225</v>
      </c>
      <c r="S2029" s="1">
        <v>44264.596296296295</v>
      </c>
      <c r="T2029">
        <v>0</v>
      </c>
      <c r="U2029">
        <v>0</v>
      </c>
      <c r="V2029" s="2">
        <v>0</v>
      </c>
      <c r="W2029">
        <v>0</v>
      </c>
      <c r="X2029" t="s">
        <v>37</v>
      </c>
      <c r="Y2029">
        <v>0</v>
      </c>
      <c r="Z2029" t="s">
        <v>37</v>
      </c>
      <c r="AA2029">
        <v>0</v>
      </c>
      <c r="AB2029" t="s">
        <v>37</v>
      </c>
      <c r="AC2029">
        <v>0</v>
      </c>
      <c r="AD2029" t="s">
        <v>31</v>
      </c>
      <c r="AE2029">
        <v>0</v>
      </c>
      <c r="AF2029" t="s">
        <v>31</v>
      </c>
      <c r="AG2029">
        <v>0</v>
      </c>
      <c r="AH2029" t="s">
        <v>31</v>
      </c>
      <c r="AI2029">
        <v>0</v>
      </c>
      <c r="AJ2029" t="s">
        <v>31</v>
      </c>
      <c r="AK2029">
        <v>0</v>
      </c>
      <c r="AL2029" t="s">
        <v>31</v>
      </c>
      <c r="AM2029">
        <v>0</v>
      </c>
      <c r="AN2029" t="s">
        <v>31</v>
      </c>
      <c r="AO2029">
        <v>0</v>
      </c>
      <c r="AP2029" t="s">
        <v>31</v>
      </c>
      <c r="AQ2029">
        <v>0</v>
      </c>
    </row>
    <row r="2030" spans="1:43" x14ac:dyDescent="0.2">
      <c r="A2030" t="s">
        <v>381</v>
      </c>
      <c r="B2030" s="3">
        <v>44271</v>
      </c>
      <c r="C2030">
        <v>36</v>
      </c>
      <c r="D2030" t="s">
        <v>385</v>
      </c>
      <c r="E2030" t="s">
        <v>111</v>
      </c>
      <c r="F2030" s="9" t="s">
        <v>152</v>
      </c>
      <c r="G2030" t="s">
        <v>26</v>
      </c>
      <c r="H2030" t="s">
        <v>34</v>
      </c>
      <c r="I2030" t="s">
        <v>35</v>
      </c>
      <c r="J2030" t="s">
        <v>29</v>
      </c>
      <c r="K2030" t="s">
        <v>30</v>
      </c>
      <c r="L2030" t="s">
        <v>29</v>
      </c>
      <c r="M2030" t="s">
        <v>30</v>
      </c>
      <c r="N2030" t="s">
        <v>34</v>
      </c>
      <c r="O2030" t="s">
        <v>35</v>
      </c>
      <c r="P2030" t="s">
        <v>29</v>
      </c>
      <c r="Q2030" t="s">
        <v>30</v>
      </c>
      <c r="R2030" s="1">
        <v>44271.456261574072</v>
      </c>
      <c r="S2030" s="1">
        <v>44271.456284722219</v>
      </c>
      <c r="T2030">
        <v>0</v>
      </c>
      <c r="U2030">
        <v>0</v>
      </c>
      <c r="V2030" s="2">
        <v>0</v>
      </c>
      <c r="W2030">
        <v>0</v>
      </c>
      <c r="X2030" t="s">
        <v>37</v>
      </c>
      <c r="Y2030">
        <v>0</v>
      </c>
      <c r="Z2030" t="s">
        <v>37</v>
      </c>
      <c r="AA2030">
        <v>0</v>
      </c>
      <c r="AB2030" t="s">
        <v>37</v>
      </c>
      <c r="AC2030">
        <v>0</v>
      </c>
      <c r="AD2030" t="s">
        <v>37</v>
      </c>
      <c r="AE2030">
        <v>0</v>
      </c>
      <c r="AF2030" t="s">
        <v>31</v>
      </c>
      <c r="AG2030">
        <v>0</v>
      </c>
      <c r="AH2030" t="s">
        <v>31</v>
      </c>
      <c r="AI2030">
        <v>0</v>
      </c>
      <c r="AJ2030" t="s">
        <v>31</v>
      </c>
      <c r="AK2030">
        <v>0</v>
      </c>
      <c r="AL2030" t="s">
        <v>31</v>
      </c>
      <c r="AM2030">
        <v>0</v>
      </c>
      <c r="AN2030" t="s">
        <v>31</v>
      </c>
      <c r="AO2030">
        <v>0</v>
      </c>
      <c r="AP2030" t="s">
        <v>31</v>
      </c>
      <c r="AQ2030">
        <v>0</v>
      </c>
    </row>
    <row r="2031" spans="1:43" x14ac:dyDescent="0.2">
      <c r="A2031" t="s">
        <v>381</v>
      </c>
      <c r="B2031" s="3">
        <v>44271</v>
      </c>
      <c r="C2031">
        <v>37</v>
      </c>
      <c r="D2031" t="s">
        <v>385</v>
      </c>
      <c r="E2031" t="s">
        <v>111</v>
      </c>
      <c r="F2031" s="9" t="s">
        <v>152</v>
      </c>
      <c r="G2031" t="s">
        <v>26</v>
      </c>
      <c r="H2031" t="s">
        <v>34</v>
      </c>
      <c r="I2031" t="s">
        <v>35</v>
      </c>
      <c r="J2031" t="s">
        <v>29</v>
      </c>
      <c r="K2031" t="s">
        <v>30</v>
      </c>
      <c r="L2031" t="s">
        <v>29</v>
      </c>
      <c r="M2031" t="s">
        <v>30</v>
      </c>
      <c r="N2031" t="s">
        <v>34</v>
      </c>
      <c r="O2031" t="s">
        <v>35</v>
      </c>
      <c r="P2031" t="s">
        <v>29</v>
      </c>
      <c r="Q2031" t="s">
        <v>30</v>
      </c>
      <c r="R2031" s="1">
        <v>44271.626736111109</v>
      </c>
      <c r="S2031" s="1">
        <v>44271.627187500002</v>
      </c>
      <c r="T2031">
        <v>0</v>
      </c>
      <c r="U2031">
        <v>0</v>
      </c>
      <c r="V2031" s="2">
        <v>0</v>
      </c>
      <c r="W2031">
        <v>0</v>
      </c>
      <c r="X2031" t="s">
        <v>37</v>
      </c>
      <c r="Y2031">
        <v>0</v>
      </c>
      <c r="Z2031" t="s">
        <v>37</v>
      </c>
      <c r="AA2031">
        <v>0</v>
      </c>
      <c r="AB2031" t="s">
        <v>31</v>
      </c>
      <c r="AC2031">
        <v>0</v>
      </c>
      <c r="AD2031" t="s">
        <v>31</v>
      </c>
      <c r="AE2031">
        <v>0</v>
      </c>
      <c r="AF2031" t="s">
        <v>31</v>
      </c>
      <c r="AG2031">
        <v>0</v>
      </c>
      <c r="AH2031" t="s">
        <v>31</v>
      </c>
      <c r="AI2031">
        <v>0</v>
      </c>
      <c r="AJ2031" t="s">
        <v>31</v>
      </c>
      <c r="AK2031">
        <v>0</v>
      </c>
      <c r="AL2031" t="s">
        <v>31</v>
      </c>
      <c r="AM2031">
        <v>0</v>
      </c>
      <c r="AN2031" t="s">
        <v>31</v>
      </c>
      <c r="AO2031">
        <v>0</v>
      </c>
      <c r="AP2031" t="s">
        <v>31</v>
      </c>
      <c r="AQ2031">
        <v>0</v>
      </c>
    </row>
    <row r="2032" spans="1:43" x14ac:dyDescent="0.2">
      <c r="A2032" t="s">
        <v>381</v>
      </c>
      <c r="B2032" s="3">
        <v>44273</v>
      </c>
      <c r="C2032">
        <v>40</v>
      </c>
      <c r="D2032" t="s">
        <v>385</v>
      </c>
      <c r="E2032" t="s">
        <v>111</v>
      </c>
      <c r="F2032" s="9" t="s">
        <v>152</v>
      </c>
      <c r="G2032" t="s">
        <v>26</v>
      </c>
      <c r="H2032" t="s">
        <v>34</v>
      </c>
      <c r="I2032" t="s">
        <v>35</v>
      </c>
      <c r="J2032" t="s">
        <v>29</v>
      </c>
      <c r="K2032" t="s">
        <v>30</v>
      </c>
      <c r="L2032" t="s">
        <v>29</v>
      </c>
      <c r="M2032" t="s">
        <v>30</v>
      </c>
      <c r="N2032" t="s">
        <v>34</v>
      </c>
      <c r="O2032" t="s">
        <v>35</v>
      </c>
      <c r="P2032" t="s">
        <v>29</v>
      </c>
      <c r="Q2032" t="s">
        <v>30</v>
      </c>
      <c r="R2032" s="1">
        <v>44273.555115740739</v>
      </c>
      <c r="S2032" s="1">
        <v>44273.555555555555</v>
      </c>
      <c r="T2032">
        <v>0</v>
      </c>
      <c r="U2032">
        <v>0</v>
      </c>
      <c r="V2032" s="2">
        <v>0</v>
      </c>
      <c r="W2032">
        <v>0</v>
      </c>
      <c r="X2032" t="s">
        <v>37</v>
      </c>
      <c r="Y2032">
        <v>0</v>
      </c>
      <c r="Z2032" t="s">
        <v>37</v>
      </c>
      <c r="AA2032">
        <v>0</v>
      </c>
      <c r="AB2032" t="s">
        <v>37</v>
      </c>
      <c r="AC2032">
        <v>0</v>
      </c>
      <c r="AD2032" t="s">
        <v>37</v>
      </c>
      <c r="AE2032">
        <v>0</v>
      </c>
      <c r="AF2032" t="s">
        <v>37</v>
      </c>
      <c r="AG2032">
        <v>0</v>
      </c>
      <c r="AH2032" t="s">
        <v>31</v>
      </c>
      <c r="AI2032">
        <v>0</v>
      </c>
      <c r="AJ2032" t="s">
        <v>31</v>
      </c>
      <c r="AK2032">
        <v>0</v>
      </c>
      <c r="AL2032" t="s">
        <v>31</v>
      </c>
      <c r="AM2032">
        <v>0</v>
      </c>
      <c r="AN2032" t="s">
        <v>31</v>
      </c>
      <c r="AO2032">
        <v>0</v>
      </c>
      <c r="AP2032" t="s">
        <v>31</v>
      </c>
      <c r="AQ2032">
        <v>0</v>
      </c>
    </row>
    <row r="2033" spans="1:43" x14ac:dyDescent="0.2">
      <c r="A2033" t="s">
        <v>381</v>
      </c>
      <c r="B2033" s="3">
        <v>44281</v>
      </c>
      <c r="C2033">
        <v>42</v>
      </c>
      <c r="D2033" t="s">
        <v>384</v>
      </c>
      <c r="E2033" t="s">
        <v>111</v>
      </c>
      <c r="F2033" s="9" t="s">
        <v>152</v>
      </c>
      <c r="G2033" t="s">
        <v>26</v>
      </c>
      <c r="H2033" t="s">
        <v>34</v>
      </c>
      <c r="I2033" t="s">
        <v>35</v>
      </c>
      <c r="J2033" t="s">
        <v>29</v>
      </c>
      <c r="K2033" t="s">
        <v>30</v>
      </c>
      <c r="L2033" t="s">
        <v>29</v>
      </c>
      <c r="M2033" t="s">
        <v>30</v>
      </c>
      <c r="N2033" t="s">
        <v>34</v>
      </c>
      <c r="O2033" t="s">
        <v>35</v>
      </c>
      <c r="P2033" t="s">
        <v>29</v>
      </c>
      <c r="Q2033" t="s">
        <v>30</v>
      </c>
      <c r="R2033" s="1">
        <v>44281.394282407404</v>
      </c>
      <c r="S2033" s="1">
        <v>44281.394421296296</v>
      </c>
      <c r="T2033">
        <v>0</v>
      </c>
      <c r="U2033">
        <v>0</v>
      </c>
      <c r="V2033" s="2">
        <v>0</v>
      </c>
      <c r="W2033">
        <v>0</v>
      </c>
      <c r="X2033" t="s">
        <v>37</v>
      </c>
      <c r="Y2033">
        <v>0</v>
      </c>
      <c r="Z2033" t="s">
        <v>37</v>
      </c>
      <c r="AA2033">
        <v>0</v>
      </c>
      <c r="AB2033" t="s">
        <v>37</v>
      </c>
      <c r="AC2033">
        <v>0</v>
      </c>
      <c r="AD2033" t="s">
        <v>31</v>
      </c>
      <c r="AE2033">
        <v>0</v>
      </c>
      <c r="AF2033" t="s">
        <v>31</v>
      </c>
      <c r="AG2033">
        <v>0</v>
      </c>
      <c r="AH2033" t="s">
        <v>31</v>
      </c>
      <c r="AI2033">
        <v>0</v>
      </c>
      <c r="AJ2033" t="s">
        <v>31</v>
      </c>
      <c r="AK2033">
        <v>0</v>
      </c>
      <c r="AL2033" t="s">
        <v>31</v>
      </c>
      <c r="AM2033">
        <v>0</v>
      </c>
      <c r="AN2033" t="s">
        <v>31</v>
      </c>
      <c r="AO2033">
        <v>0</v>
      </c>
      <c r="AP2033" t="s">
        <v>31</v>
      </c>
      <c r="AQ2033">
        <v>0</v>
      </c>
    </row>
    <row r="2034" spans="1:43" x14ac:dyDescent="0.2">
      <c r="A2034" t="s">
        <v>381</v>
      </c>
      <c r="B2034" s="3">
        <v>44285</v>
      </c>
      <c r="C2034">
        <v>45</v>
      </c>
      <c r="D2034" t="s">
        <v>385</v>
      </c>
      <c r="E2034" t="s">
        <v>111</v>
      </c>
      <c r="F2034" s="9" t="s">
        <v>152</v>
      </c>
      <c r="G2034" t="s">
        <v>26</v>
      </c>
      <c r="H2034" t="s">
        <v>34</v>
      </c>
      <c r="I2034" t="s">
        <v>35</v>
      </c>
      <c r="J2034" t="s">
        <v>29</v>
      </c>
      <c r="K2034" t="s">
        <v>30</v>
      </c>
      <c r="L2034" t="s">
        <v>29</v>
      </c>
      <c r="M2034" t="s">
        <v>30</v>
      </c>
      <c r="N2034" t="s">
        <v>34</v>
      </c>
      <c r="O2034" t="s">
        <v>35</v>
      </c>
      <c r="P2034" t="s">
        <v>29</v>
      </c>
      <c r="Q2034" t="s">
        <v>30</v>
      </c>
      <c r="R2034" s="1">
        <v>44285.585798611108</v>
      </c>
      <c r="S2034" s="1">
        <v>44285.585810185185</v>
      </c>
      <c r="T2034">
        <v>0</v>
      </c>
      <c r="U2034">
        <v>0</v>
      </c>
      <c r="V2034" s="2">
        <v>0</v>
      </c>
      <c r="W2034">
        <v>0</v>
      </c>
      <c r="X2034" t="s">
        <v>37</v>
      </c>
      <c r="Y2034">
        <v>0</v>
      </c>
      <c r="Z2034" t="s">
        <v>37</v>
      </c>
      <c r="AA2034">
        <v>0</v>
      </c>
      <c r="AB2034" t="s">
        <v>37</v>
      </c>
      <c r="AC2034">
        <v>0</v>
      </c>
      <c r="AD2034" t="s">
        <v>31</v>
      </c>
      <c r="AE2034">
        <v>0</v>
      </c>
      <c r="AF2034" t="s">
        <v>31</v>
      </c>
      <c r="AG2034">
        <v>0</v>
      </c>
      <c r="AH2034" t="s">
        <v>31</v>
      </c>
      <c r="AI2034">
        <v>0</v>
      </c>
      <c r="AJ2034" t="s">
        <v>31</v>
      </c>
      <c r="AK2034">
        <v>0</v>
      </c>
      <c r="AL2034" t="s">
        <v>31</v>
      </c>
      <c r="AM2034">
        <v>0</v>
      </c>
      <c r="AN2034" t="s">
        <v>31</v>
      </c>
      <c r="AO2034">
        <v>0</v>
      </c>
      <c r="AP2034" t="s">
        <v>31</v>
      </c>
      <c r="AQ2034">
        <v>0</v>
      </c>
    </row>
    <row r="2035" spans="1:43" x14ac:dyDescent="0.2">
      <c r="A2035" t="s">
        <v>381</v>
      </c>
      <c r="B2035" s="3">
        <v>44286</v>
      </c>
      <c r="C2035">
        <v>46</v>
      </c>
      <c r="D2035" t="s">
        <v>384</v>
      </c>
      <c r="E2035" t="s">
        <v>111</v>
      </c>
      <c r="F2035" s="9" t="s">
        <v>152</v>
      </c>
      <c r="G2035" t="s">
        <v>26</v>
      </c>
      <c r="H2035" t="s">
        <v>34</v>
      </c>
      <c r="I2035" t="s">
        <v>35</v>
      </c>
      <c r="J2035" t="s">
        <v>29</v>
      </c>
      <c r="K2035" t="s">
        <v>30</v>
      </c>
      <c r="L2035" t="s">
        <v>29</v>
      </c>
      <c r="M2035" t="s">
        <v>30</v>
      </c>
      <c r="N2035" t="s">
        <v>34</v>
      </c>
      <c r="O2035" t="s">
        <v>35</v>
      </c>
      <c r="P2035" t="s">
        <v>29</v>
      </c>
      <c r="Q2035" t="s">
        <v>30</v>
      </c>
      <c r="R2035" s="1">
        <v>44286.469259259262</v>
      </c>
      <c r="S2035" s="1">
        <v>44286.469270833331</v>
      </c>
      <c r="T2035">
        <v>0</v>
      </c>
      <c r="U2035">
        <v>0</v>
      </c>
      <c r="V2035" s="2">
        <v>0</v>
      </c>
      <c r="W2035">
        <v>0</v>
      </c>
      <c r="X2035" t="s">
        <v>37</v>
      </c>
      <c r="Y2035">
        <v>0</v>
      </c>
      <c r="Z2035" t="s">
        <v>37</v>
      </c>
      <c r="AA2035">
        <v>0</v>
      </c>
      <c r="AB2035" t="s">
        <v>37</v>
      </c>
      <c r="AC2035">
        <v>0</v>
      </c>
      <c r="AD2035" t="s">
        <v>31</v>
      </c>
      <c r="AE2035">
        <v>0</v>
      </c>
      <c r="AF2035" t="s">
        <v>31</v>
      </c>
      <c r="AG2035">
        <v>0</v>
      </c>
      <c r="AH2035" t="s">
        <v>31</v>
      </c>
      <c r="AI2035">
        <v>0</v>
      </c>
      <c r="AJ2035" t="s">
        <v>31</v>
      </c>
      <c r="AK2035">
        <v>0</v>
      </c>
      <c r="AL2035" t="s">
        <v>31</v>
      </c>
      <c r="AM2035">
        <v>0</v>
      </c>
      <c r="AN2035" t="s">
        <v>31</v>
      </c>
      <c r="AO2035">
        <v>0</v>
      </c>
      <c r="AP2035" t="s">
        <v>31</v>
      </c>
      <c r="AQ2035">
        <v>0</v>
      </c>
    </row>
    <row r="2036" spans="1:43" x14ac:dyDescent="0.2">
      <c r="A2036" t="s">
        <v>381</v>
      </c>
      <c r="B2036" s="3">
        <v>44288</v>
      </c>
      <c r="C2036">
        <v>49</v>
      </c>
      <c r="D2036" t="s">
        <v>384</v>
      </c>
      <c r="E2036" t="s">
        <v>111</v>
      </c>
      <c r="F2036" s="9" t="s">
        <v>152</v>
      </c>
      <c r="G2036" t="s">
        <v>26</v>
      </c>
      <c r="H2036" t="s">
        <v>34</v>
      </c>
      <c r="I2036" t="s">
        <v>35</v>
      </c>
      <c r="J2036" t="s">
        <v>29</v>
      </c>
      <c r="K2036" t="s">
        <v>30</v>
      </c>
      <c r="L2036" t="s">
        <v>29</v>
      </c>
      <c r="M2036" t="s">
        <v>30</v>
      </c>
      <c r="N2036" t="s">
        <v>34</v>
      </c>
      <c r="O2036" t="s">
        <v>35</v>
      </c>
      <c r="P2036" t="s">
        <v>29</v>
      </c>
      <c r="Q2036" t="s">
        <v>30</v>
      </c>
      <c r="R2036" s="1">
        <v>44288.435856481483</v>
      </c>
      <c r="S2036" s="1">
        <v>44288.435879629629</v>
      </c>
      <c r="T2036">
        <v>0</v>
      </c>
      <c r="U2036">
        <v>0</v>
      </c>
      <c r="V2036" s="2">
        <v>0</v>
      </c>
      <c r="W2036">
        <v>0</v>
      </c>
      <c r="X2036" t="s">
        <v>37</v>
      </c>
      <c r="Y2036">
        <v>0</v>
      </c>
      <c r="Z2036" t="s">
        <v>37</v>
      </c>
      <c r="AA2036">
        <v>0</v>
      </c>
      <c r="AB2036" t="s">
        <v>37</v>
      </c>
      <c r="AC2036">
        <v>0</v>
      </c>
      <c r="AD2036" t="s">
        <v>31</v>
      </c>
      <c r="AE2036">
        <v>0</v>
      </c>
      <c r="AF2036" t="s">
        <v>31</v>
      </c>
      <c r="AG2036">
        <v>0</v>
      </c>
      <c r="AH2036" t="s">
        <v>31</v>
      </c>
      <c r="AI2036">
        <v>0</v>
      </c>
      <c r="AJ2036" t="s">
        <v>31</v>
      </c>
      <c r="AK2036">
        <v>0</v>
      </c>
      <c r="AL2036" t="s">
        <v>31</v>
      </c>
      <c r="AM2036">
        <v>0</v>
      </c>
      <c r="AN2036" t="s">
        <v>31</v>
      </c>
      <c r="AO2036">
        <v>0</v>
      </c>
      <c r="AP2036" t="s">
        <v>31</v>
      </c>
      <c r="AQ2036">
        <v>0</v>
      </c>
    </row>
    <row r="2037" spans="1:43" x14ac:dyDescent="0.2">
      <c r="A2037" t="s">
        <v>381</v>
      </c>
      <c r="B2037" s="3">
        <v>44291</v>
      </c>
      <c r="C2037">
        <v>50</v>
      </c>
      <c r="D2037" t="s">
        <v>384</v>
      </c>
      <c r="E2037" t="s">
        <v>111</v>
      </c>
      <c r="F2037" s="9" t="s">
        <v>152</v>
      </c>
      <c r="G2037" t="s">
        <v>26</v>
      </c>
      <c r="H2037" t="s">
        <v>34</v>
      </c>
      <c r="I2037" t="s">
        <v>35</v>
      </c>
      <c r="J2037" t="s">
        <v>29</v>
      </c>
      <c r="K2037" t="s">
        <v>30</v>
      </c>
      <c r="L2037" t="s">
        <v>29</v>
      </c>
      <c r="M2037" t="s">
        <v>30</v>
      </c>
      <c r="N2037" t="s">
        <v>34</v>
      </c>
      <c r="O2037" t="s">
        <v>35</v>
      </c>
      <c r="P2037" t="s">
        <v>29</v>
      </c>
      <c r="Q2037" t="s">
        <v>30</v>
      </c>
      <c r="R2037" s="1">
        <v>44291.461678240739</v>
      </c>
      <c r="S2037" s="1">
        <v>44291.461840277778</v>
      </c>
      <c r="T2037">
        <v>0</v>
      </c>
      <c r="U2037">
        <v>0</v>
      </c>
      <c r="V2037" s="2">
        <v>0</v>
      </c>
      <c r="W2037">
        <v>0</v>
      </c>
      <c r="X2037" t="s">
        <v>37</v>
      </c>
      <c r="Y2037">
        <v>0</v>
      </c>
      <c r="Z2037" t="s">
        <v>37</v>
      </c>
      <c r="AA2037">
        <v>0</v>
      </c>
      <c r="AB2037" t="s">
        <v>37</v>
      </c>
      <c r="AC2037">
        <v>0</v>
      </c>
      <c r="AD2037" t="s">
        <v>31</v>
      </c>
      <c r="AE2037">
        <v>0</v>
      </c>
      <c r="AF2037" t="s">
        <v>31</v>
      </c>
      <c r="AG2037">
        <v>0</v>
      </c>
      <c r="AH2037" t="s">
        <v>31</v>
      </c>
      <c r="AI2037">
        <v>0</v>
      </c>
      <c r="AJ2037" t="s">
        <v>31</v>
      </c>
      <c r="AK2037">
        <v>0</v>
      </c>
      <c r="AL2037" t="s">
        <v>31</v>
      </c>
      <c r="AM2037">
        <v>0</v>
      </c>
      <c r="AN2037" t="s">
        <v>31</v>
      </c>
      <c r="AO2037">
        <v>0</v>
      </c>
      <c r="AP2037" t="s">
        <v>31</v>
      </c>
      <c r="AQ2037">
        <v>0</v>
      </c>
    </row>
    <row r="2038" spans="1:43" x14ac:dyDescent="0.2">
      <c r="A2038" t="s">
        <v>381</v>
      </c>
      <c r="B2038" s="3">
        <v>44292</v>
      </c>
      <c r="C2038">
        <v>52</v>
      </c>
      <c r="D2038" t="s">
        <v>386</v>
      </c>
      <c r="E2038" t="s">
        <v>111</v>
      </c>
      <c r="F2038" s="9" t="s">
        <v>152</v>
      </c>
      <c r="G2038" t="s">
        <v>26</v>
      </c>
      <c r="H2038" t="s">
        <v>34</v>
      </c>
      <c r="I2038" t="s">
        <v>35</v>
      </c>
      <c r="J2038" t="s">
        <v>29</v>
      </c>
      <c r="K2038" t="s">
        <v>30</v>
      </c>
      <c r="L2038" t="s">
        <v>29</v>
      </c>
      <c r="M2038" t="s">
        <v>30</v>
      </c>
      <c r="N2038" t="s">
        <v>34</v>
      </c>
      <c r="O2038" t="s">
        <v>35</v>
      </c>
      <c r="P2038" t="s">
        <v>29</v>
      </c>
      <c r="Q2038" t="s">
        <v>30</v>
      </c>
      <c r="R2038" s="1">
        <v>44292.588055555556</v>
      </c>
      <c r="S2038" s="1">
        <v>44292.59957175926</v>
      </c>
      <c r="T2038">
        <v>0</v>
      </c>
      <c r="U2038">
        <v>1</v>
      </c>
      <c r="V2038" s="2">
        <v>0</v>
      </c>
      <c r="W2038">
        <v>0</v>
      </c>
      <c r="X2038" t="s">
        <v>44</v>
      </c>
      <c r="Y2038">
        <v>0</v>
      </c>
      <c r="Z2038" t="s">
        <v>37</v>
      </c>
      <c r="AA2038">
        <v>0</v>
      </c>
      <c r="AB2038" t="s">
        <v>37</v>
      </c>
      <c r="AC2038">
        <v>0</v>
      </c>
      <c r="AD2038" t="s">
        <v>37</v>
      </c>
      <c r="AE2038">
        <v>0</v>
      </c>
      <c r="AF2038" t="s">
        <v>37</v>
      </c>
      <c r="AG2038">
        <v>0</v>
      </c>
      <c r="AH2038" t="s">
        <v>37</v>
      </c>
      <c r="AI2038">
        <v>0</v>
      </c>
      <c r="AJ2038" t="s">
        <v>31</v>
      </c>
      <c r="AK2038">
        <v>0</v>
      </c>
      <c r="AL2038" t="s">
        <v>31</v>
      </c>
      <c r="AM2038">
        <v>0</v>
      </c>
      <c r="AN2038" t="s">
        <v>31</v>
      </c>
      <c r="AO2038">
        <v>0</v>
      </c>
      <c r="AP2038" t="s">
        <v>31</v>
      </c>
      <c r="AQ2038">
        <v>0</v>
      </c>
    </row>
    <row r="2039" spans="1:43" x14ac:dyDescent="0.2">
      <c r="A2039" t="s">
        <v>381</v>
      </c>
      <c r="B2039" s="3">
        <v>44293</v>
      </c>
      <c r="C2039">
        <v>53</v>
      </c>
      <c r="D2039" t="s">
        <v>384</v>
      </c>
      <c r="E2039" t="s">
        <v>111</v>
      </c>
      <c r="F2039" s="9" t="s">
        <v>152</v>
      </c>
      <c r="G2039" t="s">
        <v>26</v>
      </c>
      <c r="H2039" t="s">
        <v>34</v>
      </c>
      <c r="I2039" t="s">
        <v>35</v>
      </c>
      <c r="J2039" t="s">
        <v>29</v>
      </c>
      <c r="K2039" t="s">
        <v>30</v>
      </c>
      <c r="L2039" t="s">
        <v>29</v>
      </c>
      <c r="M2039" t="s">
        <v>30</v>
      </c>
      <c r="N2039" t="s">
        <v>34</v>
      </c>
      <c r="O2039" t="s">
        <v>35</v>
      </c>
      <c r="P2039" t="s">
        <v>29</v>
      </c>
      <c r="Q2039" t="s">
        <v>30</v>
      </c>
      <c r="R2039" s="1">
        <v>44293.451851851853</v>
      </c>
      <c r="S2039" s="1">
        <v>44293.451863425929</v>
      </c>
      <c r="T2039">
        <v>1</v>
      </c>
      <c r="U2039">
        <v>1</v>
      </c>
      <c r="V2039" s="2">
        <v>1</v>
      </c>
      <c r="W2039">
        <v>0</v>
      </c>
      <c r="X2039" t="s">
        <v>37</v>
      </c>
      <c r="Y2039">
        <v>0</v>
      </c>
      <c r="Z2039" t="s">
        <v>37</v>
      </c>
      <c r="AA2039">
        <v>0</v>
      </c>
      <c r="AB2039" t="s">
        <v>30</v>
      </c>
      <c r="AC2039">
        <v>0</v>
      </c>
      <c r="AD2039" t="s">
        <v>31</v>
      </c>
      <c r="AE2039">
        <v>0</v>
      </c>
      <c r="AF2039" t="s">
        <v>31</v>
      </c>
      <c r="AG2039">
        <v>0</v>
      </c>
      <c r="AH2039" t="s">
        <v>31</v>
      </c>
      <c r="AI2039">
        <v>0</v>
      </c>
      <c r="AJ2039" t="s">
        <v>31</v>
      </c>
      <c r="AK2039">
        <v>0</v>
      </c>
      <c r="AL2039" t="s">
        <v>31</v>
      </c>
      <c r="AM2039">
        <v>0</v>
      </c>
      <c r="AN2039" t="s">
        <v>31</v>
      </c>
      <c r="AO2039">
        <v>0</v>
      </c>
      <c r="AP2039" t="s">
        <v>31</v>
      </c>
      <c r="AQ2039">
        <v>0</v>
      </c>
    </row>
    <row r="2040" spans="1:43" x14ac:dyDescent="0.2">
      <c r="A2040" t="s">
        <v>381</v>
      </c>
      <c r="B2040" s="3">
        <v>44295</v>
      </c>
      <c r="C2040">
        <v>56</v>
      </c>
      <c r="D2040" t="s">
        <v>384</v>
      </c>
      <c r="E2040" t="s">
        <v>111</v>
      </c>
      <c r="F2040" s="9" t="s">
        <v>152</v>
      </c>
      <c r="G2040" t="s">
        <v>26</v>
      </c>
      <c r="H2040" t="s">
        <v>34</v>
      </c>
      <c r="I2040" t="s">
        <v>35</v>
      </c>
      <c r="J2040" t="s">
        <v>29</v>
      </c>
      <c r="K2040" t="s">
        <v>30</v>
      </c>
      <c r="L2040" t="s">
        <v>29</v>
      </c>
      <c r="M2040" t="s">
        <v>30</v>
      </c>
      <c r="N2040" t="s">
        <v>34</v>
      </c>
      <c r="O2040" t="s">
        <v>35</v>
      </c>
      <c r="P2040" t="s">
        <v>29</v>
      </c>
      <c r="Q2040" t="s">
        <v>30</v>
      </c>
      <c r="R2040" s="1">
        <v>44295.465115740742</v>
      </c>
      <c r="S2040" s="1">
        <v>44295.465405092589</v>
      </c>
      <c r="T2040">
        <v>0</v>
      </c>
      <c r="U2040">
        <v>0</v>
      </c>
      <c r="V2040" s="2">
        <v>0</v>
      </c>
      <c r="W2040">
        <v>0</v>
      </c>
      <c r="X2040" t="s">
        <v>37</v>
      </c>
      <c r="Y2040">
        <v>0</v>
      </c>
      <c r="Z2040" t="s">
        <v>37</v>
      </c>
      <c r="AA2040">
        <v>0</v>
      </c>
      <c r="AB2040" t="s">
        <v>37</v>
      </c>
      <c r="AC2040">
        <v>0</v>
      </c>
      <c r="AD2040" t="s">
        <v>31</v>
      </c>
      <c r="AE2040">
        <v>0</v>
      </c>
      <c r="AF2040" t="s">
        <v>31</v>
      </c>
      <c r="AG2040">
        <v>0</v>
      </c>
      <c r="AH2040" t="s">
        <v>31</v>
      </c>
      <c r="AI2040">
        <v>0</v>
      </c>
      <c r="AJ2040" t="s">
        <v>31</v>
      </c>
      <c r="AK2040">
        <v>0</v>
      </c>
      <c r="AL2040" t="s">
        <v>31</v>
      </c>
      <c r="AM2040">
        <v>0</v>
      </c>
      <c r="AN2040" t="s">
        <v>31</v>
      </c>
      <c r="AO2040">
        <v>0</v>
      </c>
      <c r="AP2040" t="s">
        <v>31</v>
      </c>
      <c r="AQ2040">
        <v>0</v>
      </c>
    </row>
    <row r="2041" spans="1:43" x14ac:dyDescent="0.2">
      <c r="A2041" t="s">
        <v>381</v>
      </c>
      <c r="B2041" s="3">
        <v>44302</v>
      </c>
      <c r="C2041">
        <v>64</v>
      </c>
      <c r="D2041" t="s">
        <v>390</v>
      </c>
      <c r="E2041" t="s">
        <v>111</v>
      </c>
      <c r="F2041" s="9" t="s">
        <v>152</v>
      </c>
      <c r="G2041" t="s">
        <v>26</v>
      </c>
      <c r="H2041" t="s">
        <v>34</v>
      </c>
      <c r="I2041" t="s">
        <v>35</v>
      </c>
      <c r="J2041" t="s">
        <v>29</v>
      </c>
      <c r="K2041" t="s">
        <v>30</v>
      </c>
      <c r="L2041" t="s">
        <v>29</v>
      </c>
      <c r="M2041" t="s">
        <v>30</v>
      </c>
      <c r="N2041" t="s">
        <v>34</v>
      </c>
      <c r="O2041" t="s">
        <v>35</v>
      </c>
      <c r="P2041" t="s">
        <v>29</v>
      </c>
      <c r="Q2041" t="s">
        <v>30</v>
      </c>
      <c r="R2041" s="1">
        <v>44302.461678240739</v>
      </c>
      <c r="S2041" s="1">
        <v>44302.461689814816</v>
      </c>
      <c r="T2041">
        <v>0</v>
      </c>
      <c r="U2041">
        <v>0</v>
      </c>
      <c r="V2041" s="2">
        <v>0</v>
      </c>
      <c r="W2041">
        <v>0</v>
      </c>
      <c r="X2041" t="s">
        <v>37</v>
      </c>
      <c r="Y2041">
        <v>0</v>
      </c>
      <c r="Z2041" t="s">
        <v>37</v>
      </c>
      <c r="AA2041">
        <v>0</v>
      </c>
      <c r="AB2041" t="s">
        <v>37</v>
      </c>
      <c r="AC2041">
        <v>0</v>
      </c>
      <c r="AD2041" t="s">
        <v>37</v>
      </c>
      <c r="AE2041">
        <v>0</v>
      </c>
      <c r="AF2041" t="s">
        <v>37</v>
      </c>
      <c r="AG2041">
        <v>0</v>
      </c>
      <c r="AH2041" t="s">
        <v>31</v>
      </c>
      <c r="AI2041">
        <v>0</v>
      </c>
      <c r="AJ2041" t="s">
        <v>31</v>
      </c>
      <c r="AK2041">
        <v>0</v>
      </c>
      <c r="AL2041" t="s">
        <v>31</v>
      </c>
      <c r="AM2041">
        <v>0</v>
      </c>
      <c r="AN2041" t="s">
        <v>31</v>
      </c>
      <c r="AO2041">
        <v>0</v>
      </c>
      <c r="AP2041" t="s">
        <v>31</v>
      </c>
      <c r="AQ2041">
        <v>0</v>
      </c>
    </row>
    <row r="2042" spans="1:43" x14ac:dyDescent="0.2">
      <c r="A2042" t="s">
        <v>381</v>
      </c>
      <c r="B2042" s="3">
        <v>44309</v>
      </c>
      <c r="C2042">
        <v>70</v>
      </c>
      <c r="D2042" t="s">
        <v>388</v>
      </c>
      <c r="E2042" t="s">
        <v>111</v>
      </c>
      <c r="F2042" s="9" t="s">
        <v>152</v>
      </c>
      <c r="G2042" t="s">
        <v>26</v>
      </c>
      <c r="H2042" t="s">
        <v>34</v>
      </c>
      <c r="I2042" t="s">
        <v>35</v>
      </c>
      <c r="J2042" t="s">
        <v>29</v>
      </c>
      <c r="K2042" t="s">
        <v>30</v>
      </c>
      <c r="L2042" t="s">
        <v>29</v>
      </c>
      <c r="M2042" t="s">
        <v>30</v>
      </c>
      <c r="N2042" t="s">
        <v>34</v>
      </c>
      <c r="O2042" t="s">
        <v>35</v>
      </c>
      <c r="P2042" t="s">
        <v>29</v>
      </c>
      <c r="Q2042" t="s">
        <v>30</v>
      </c>
      <c r="R2042" s="1">
        <v>44309.455474537041</v>
      </c>
      <c r="S2042" s="1">
        <v>44309.458067129628</v>
      </c>
      <c r="T2042">
        <v>0</v>
      </c>
      <c r="U2042">
        <v>2</v>
      </c>
      <c r="V2042" s="2">
        <v>0</v>
      </c>
      <c r="W2042">
        <v>0</v>
      </c>
      <c r="X2042" t="s">
        <v>44</v>
      </c>
      <c r="Y2042">
        <v>0</v>
      </c>
      <c r="Z2042" t="s">
        <v>44</v>
      </c>
      <c r="AA2042">
        <v>0</v>
      </c>
      <c r="AB2042" t="s">
        <v>37</v>
      </c>
      <c r="AC2042">
        <v>0</v>
      </c>
      <c r="AD2042" t="s">
        <v>31</v>
      </c>
      <c r="AE2042">
        <v>0</v>
      </c>
      <c r="AF2042" t="s">
        <v>31</v>
      </c>
      <c r="AG2042">
        <v>0</v>
      </c>
      <c r="AH2042" t="s">
        <v>31</v>
      </c>
      <c r="AI2042">
        <v>0</v>
      </c>
      <c r="AJ2042" t="s">
        <v>31</v>
      </c>
      <c r="AK2042">
        <v>0</v>
      </c>
      <c r="AL2042" t="s">
        <v>31</v>
      </c>
      <c r="AM2042">
        <v>0</v>
      </c>
      <c r="AN2042" t="s">
        <v>31</v>
      </c>
      <c r="AO2042">
        <v>0</v>
      </c>
      <c r="AP2042" t="s">
        <v>31</v>
      </c>
      <c r="AQ2042">
        <v>0</v>
      </c>
    </row>
    <row r="2043" spans="1:43" x14ac:dyDescent="0.2">
      <c r="A2043" t="s">
        <v>381</v>
      </c>
      <c r="B2043" s="3">
        <v>44314</v>
      </c>
      <c r="C2043">
        <v>77</v>
      </c>
      <c r="D2043" t="s">
        <v>403</v>
      </c>
      <c r="E2043" t="s">
        <v>111</v>
      </c>
      <c r="F2043" s="9" t="s">
        <v>152</v>
      </c>
      <c r="G2043" t="s">
        <v>26</v>
      </c>
      <c r="H2043" t="s">
        <v>34</v>
      </c>
      <c r="I2043" t="s">
        <v>35</v>
      </c>
      <c r="J2043" t="s">
        <v>29</v>
      </c>
      <c r="K2043" t="s">
        <v>30</v>
      </c>
      <c r="L2043" t="s">
        <v>29</v>
      </c>
      <c r="M2043" t="s">
        <v>30</v>
      </c>
      <c r="N2043" t="s">
        <v>34</v>
      </c>
      <c r="O2043" t="s">
        <v>35</v>
      </c>
      <c r="P2043" t="s">
        <v>29</v>
      </c>
      <c r="Q2043" t="s">
        <v>30</v>
      </c>
      <c r="R2043" s="1">
        <v>44314.456886574073</v>
      </c>
      <c r="S2043" s="1">
        <v>44314.459201388891</v>
      </c>
      <c r="T2043">
        <v>0</v>
      </c>
      <c r="U2043">
        <v>3</v>
      </c>
      <c r="V2043" s="2">
        <v>0</v>
      </c>
      <c r="W2043">
        <v>0</v>
      </c>
      <c r="X2043" t="s">
        <v>44</v>
      </c>
      <c r="Y2043">
        <v>0</v>
      </c>
      <c r="Z2043" t="s">
        <v>44</v>
      </c>
      <c r="AA2043">
        <v>0</v>
      </c>
      <c r="AB2043" t="s">
        <v>44</v>
      </c>
      <c r="AC2043">
        <v>0</v>
      </c>
      <c r="AD2043" t="s">
        <v>31</v>
      </c>
      <c r="AE2043">
        <v>0</v>
      </c>
      <c r="AF2043" t="s">
        <v>31</v>
      </c>
      <c r="AG2043">
        <v>0</v>
      </c>
      <c r="AH2043" t="s">
        <v>31</v>
      </c>
      <c r="AI2043">
        <v>0</v>
      </c>
      <c r="AJ2043" t="s">
        <v>31</v>
      </c>
      <c r="AK2043">
        <v>0</v>
      </c>
      <c r="AL2043" t="s">
        <v>31</v>
      </c>
      <c r="AM2043">
        <v>0</v>
      </c>
      <c r="AN2043" t="s">
        <v>31</v>
      </c>
      <c r="AO2043">
        <v>0</v>
      </c>
      <c r="AP2043" t="s">
        <v>31</v>
      </c>
      <c r="AQ2043">
        <v>0</v>
      </c>
    </row>
    <row r="2044" spans="1:43" x14ac:dyDescent="0.2">
      <c r="A2044" t="s">
        <v>381</v>
      </c>
      <c r="B2044" s="3">
        <v>44294</v>
      </c>
      <c r="C2044">
        <v>55</v>
      </c>
      <c r="D2044" t="s">
        <v>385</v>
      </c>
      <c r="E2044" t="s">
        <v>218</v>
      </c>
      <c r="F2044" s="9" t="s">
        <v>219</v>
      </c>
      <c r="G2044" t="s">
        <v>26</v>
      </c>
      <c r="H2044" t="s">
        <v>116</v>
      </c>
      <c r="I2044" t="s">
        <v>117</v>
      </c>
      <c r="J2044" t="s">
        <v>43</v>
      </c>
      <c r="K2044" t="s">
        <v>44</v>
      </c>
      <c r="L2044" t="s">
        <v>29</v>
      </c>
      <c r="M2044" t="s">
        <v>30</v>
      </c>
      <c r="N2044" t="s">
        <v>116</v>
      </c>
      <c r="O2044" t="s">
        <v>117</v>
      </c>
      <c r="P2044" t="s">
        <v>43</v>
      </c>
      <c r="Q2044" t="s">
        <v>44</v>
      </c>
      <c r="R2044" s="1">
        <v>44294.639328703706</v>
      </c>
      <c r="S2044" s="1">
        <v>44294.639328703706</v>
      </c>
      <c r="T2044">
        <v>1</v>
      </c>
      <c r="U2044">
        <v>1</v>
      </c>
      <c r="V2044" s="2">
        <v>1</v>
      </c>
      <c r="W2044">
        <v>0</v>
      </c>
      <c r="X2044" t="s">
        <v>30</v>
      </c>
      <c r="Y2044">
        <v>0</v>
      </c>
      <c r="Z2044" t="s">
        <v>31</v>
      </c>
      <c r="AA2044">
        <v>0</v>
      </c>
      <c r="AB2044" t="s">
        <v>31</v>
      </c>
      <c r="AC2044">
        <v>0</v>
      </c>
      <c r="AD2044" t="s">
        <v>31</v>
      </c>
      <c r="AE2044">
        <v>0</v>
      </c>
      <c r="AF2044" t="s">
        <v>31</v>
      </c>
      <c r="AG2044">
        <v>0</v>
      </c>
      <c r="AH2044" t="s">
        <v>31</v>
      </c>
      <c r="AI2044">
        <v>0</v>
      </c>
      <c r="AJ2044" t="s">
        <v>31</v>
      </c>
      <c r="AK2044">
        <v>0</v>
      </c>
      <c r="AL2044" t="s">
        <v>31</v>
      </c>
      <c r="AM2044">
        <v>0</v>
      </c>
      <c r="AN2044" t="s">
        <v>31</v>
      </c>
      <c r="AO2044">
        <v>0</v>
      </c>
      <c r="AP2044" t="s">
        <v>31</v>
      </c>
      <c r="AQ2044">
        <v>0</v>
      </c>
    </row>
    <row r="2045" spans="1:43" x14ac:dyDescent="0.2">
      <c r="A2045" t="s">
        <v>381</v>
      </c>
      <c r="B2045" s="3">
        <v>44236</v>
      </c>
      <c r="C2045">
        <v>2</v>
      </c>
      <c r="D2045" t="s">
        <v>382</v>
      </c>
      <c r="E2045" t="s">
        <v>97</v>
      </c>
      <c r="F2045" s="9" t="s">
        <v>98</v>
      </c>
      <c r="G2045" t="s">
        <v>26</v>
      </c>
      <c r="H2045" t="s">
        <v>99</v>
      </c>
      <c r="I2045" t="s">
        <v>100</v>
      </c>
      <c r="J2045" t="s">
        <v>101</v>
      </c>
      <c r="K2045" t="s">
        <v>102</v>
      </c>
      <c r="L2045" t="s">
        <v>29</v>
      </c>
      <c r="M2045" t="s">
        <v>30</v>
      </c>
      <c r="N2045" t="s">
        <v>99</v>
      </c>
      <c r="O2045" t="s">
        <v>100</v>
      </c>
      <c r="P2045" t="s">
        <v>101</v>
      </c>
      <c r="Q2045" t="s">
        <v>102</v>
      </c>
      <c r="R2045" s="1">
        <v>44236.439513888887</v>
      </c>
      <c r="S2045" s="1">
        <v>44236.439513888887</v>
      </c>
      <c r="T2045">
        <v>1</v>
      </c>
      <c r="U2045">
        <v>1</v>
      </c>
      <c r="V2045" s="2">
        <v>1</v>
      </c>
      <c r="W2045">
        <v>0</v>
      </c>
      <c r="X2045" t="s">
        <v>30</v>
      </c>
      <c r="Y2045">
        <v>0</v>
      </c>
      <c r="Z2045" t="s">
        <v>31</v>
      </c>
      <c r="AA2045">
        <v>0</v>
      </c>
      <c r="AB2045" t="s">
        <v>31</v>
      </c>
      <c r="AC2045">
        <v>0</v>
      </c>
      <c r="AD2045" t="s">
        <v>31</v>
      </c>
      <c r="AE2045">
        <v>0</v>
      </c>
      <c r="AF2045" t="s">
        <v>31</v>
      </c>
      <c r="AG2045">
        <v>0</v>
      </c>
      <c r="AH2045" t="s">
        <v>31</v>
      </c>
      <c r="AI2045">
        <v>0</v>
      </c>
      <c r="AJ2045" t="s">
        <v>31</v>
      </c>
      <c r="AK2045">
        <v>0</v>
      </c>
      <c r="AL2045" t="s">
        <v>31</v>
      </c>
      <c r="AM2045">
        <v>0</v>
      </c>
      <c r="AN2045" t="s">
        <v>31</v>
      </c>
      <c r="AO2045">
        <v>0</v>
      </c>
      <c r="AP2045" t="s">
        <v>31</v>
      </c>
      <c r="AQ2045">
        <v>0</v>
      </c>
    </row>
    <row r="2046" spans="1:43" x14ac:dyDescent="0.2">
      <c r="A2046" t="s">
        <v>381</v>
      </c>
      <c r="B2046" s="3">
        <v>44319</v>
      </c>
      <c r="C2046">
        <v>84</v>
      </c>
      <c r="D2046" t="s">
        <v>390</v>
      </c>
      <c r="E2046" t="s">
        <v>97</v>
      </c>
      <c r="F2046" s="9" t="s">
        <v>230</v>
      </c>
      <c r="G2046" t="s">
        <v>26</v>
      </c>
      <c r="H2046" t="s">
        <v>155</v>
      </c>
      <c r="I2046" t="s">
        <v>156</v>
      </c>
      <c r="J2046" t="s">
        <v>157</v>
      </c>
      <c r="K2046" t="s">
        <v>158</v>
      </c>
      <c r="L2046" t="s">
        <v>157</v>
      </c>
      <c r="M2046" t="s">
        <v>158</v>
      </c>
      <c r="N2046" t="s">
        <v>188</v>
      </c>
      <c r="O2046" t="s">
        <v>189</v>
      </c>
      <c r="P2046" t="s">
        <v>43</v>
      </c>
      <c r="Q2046" t="s">
        <v>44</v>
      </c>
      <c r="R2046" s="1">
        <v>44319.394745370373</v>
      </c>
      <c r="S2046" s="1">
        <v>44319.394942129627</v>
      </c>
      <c r="T2046">
        <v>1</v>
      </c>
      <c r="U2046">
        <v>1</v>
      </c>
      <c r="V2046" s="2">
        <v>1</v>
      </c>
      <c r="W2046">
        <v>0</v>
      </c>
      <c r="X2046" t="s">
        <v>30</v>
      </c>
      <c r="Y2046">
        <v>0</v>
      </c>
      <c r="Z2046" t="s">
        <v>31</v>
      </c>
      <c r="AA2046">
        <v>0</v>
      </c>
      <c r="AB2046" t="s">
        <v>31</v>
      </c>
      <c r="AC2046">
        <v>0</v>
      </c>
      <c r="AD2046" t="s">
        <v>31</v>
      </c>
      <c r="AE2046">
        <v>0</v>
      </c>
      <c r="AF2046" t="s">
        <v>31</v>
      </c>
      <c r="AG2046">
        <v>0</v>
      </c>
      <c r="AH2046" t="s">
        <v>31</v>
      </c>
      <c r="AI2046">
        <v>0</v>
      </c>
      <c r="AJ2046" t="s">
        <v>31</v>
      </c>
      <c r="AK2046">
        <v>0</v>
      </c>
      <c r="AL2046" t="s">
        <v>31</v>
      </c>
      <c r="AM2046">
        <v>0</v>
      </c>
      <c r="AN2046" t="s">
        <v>31</v>
      </c>
      <c r="AO2046">
        <v>0</v>
      </c>
      <c r="AP2046" t="s">
        <v>31</v>
      </c>
      <c r="AQ2046">
        <v>0</v>
      </c>
    </row>
    <row r="2047" spans="1:43" x14ac:dyDescent="0.2">
      <c r="A2047" t="s">
        <v>381</v>
      </c>
      <c r="B2047" s="3">
        <v>44321</v>
      </c>
      <c r="C2047">
        <v>88</v>
      </c>
      <c r="D2047" t="s">
        <v>404</v>
      </c>
      <c r="E2047" t="s">
        <v>97</v>
      </c>
      <c r="F2047" s="9" t="s">
        <v>230</v>
      </c>
      <c r="G2047" t="s">
        <v>26</v>
      </c>
      <c r="H2047" t="s">
        <v>188</v>
      </c>
      <c r="I2047" t="s">
        <v>189</v>
      </c>
      <c r="J2047" t="s">
        <v>43</v>
      </c>
      <c r="K2047" t="s">
        <v>44</v>
      </c>
      <c r="L2047" t="s">
        <v>29</v>
      </c>
      <c r="M2047" t="s">
        <v>30</v>
      </c>
      <c r="N2047" t="s">
        <v>188</v>
      </c>
      <c r="O2047" t="s">
        <v>189</v>
      </c>
      <c r="P2047" t="s">
        <v>43</v>
      </c>
      <c r="Q2047" t="s">
        <v>44</v>
      </c>
      <c r="R2047" s="1">
        <v>44321.474988425929</v>
      </c>
      <c r="S2047" s="1">
        <v>44321.474988425929</v>
      </c>
      <c r="T2047">
        <v>1</v>
      </c>
      <c r="U2047">
        <v>1</v>
      </c>
      <c r="V2047" s="2">
        <v>1</v>
      </c>
      <c r="W2047">
        <v>0</v>
      </c>
      <c r="X2047" t="s">
        <v>30</v>
      </c>
      <c r="Y2047">
        <v>0</v>
      </c>
      <c r="Z2047" t="s">
        <v>31</v>
      </c>
      <c r="AA2047">
        <v>0</v>
      </c>
      <c r="AB2047" t="s">
        <v>31</v>
      </c>
      <c r="AC2047">
        <v>0</v>
      </c>
      <c r="AD2047" t="s">
        <v>31</v>
      </c>
      <c r="AE2047">
        <v>0</v>
      </c>
      <c r="AF2047" t="s">
        <v>31</v>
      </c>
      <c r="AG2047">
        <v>0</v>
      </c>
      <c r="AH2047" t="s">
        <v>31</v>
      </c>
      <c r="AI2047">
        <v>0</v>
      </c>
      <c r="AJ2047" t="s">
        <v>31</v>
      </c>
      <c r="AK2047">
        <v>0</v>
      </c>
      <c r="AL2047" t="s">
        <v>31</v>
      </c>
      <c r="AM2047">
        <v>0</v>
      </c>
      <c r="AN2047" t="s">
        <v>31</v>
      </c>
      <c r="AO2047">
        <v>0</v>
      </c>
      <c r="AP2047" t="s">
        <v>31</v>
      </c>
      <c r="AQ2047">
        <v>0</v>
      </c>
    </row>
    <row r="2048" spans="1:43" x14ac:dyDescent="0.2">
      <c r="A2048" t="s">
        <v>381</v>
      </c>
      <c r="B2048" s="3">
        <v>44337</v>
      </c>
      <c r="C2048">
        <v>104</v>
      </c>
      <c r="D2048" t="s">
        <v>390</v>
      </c>
      <c r="E2048" t="s">
        <v>97</v>
      </c>
      <c r="F2048" s="9" t="s">
        <v>230</v>
      </c>
      <c r="G2048" t="s">
        <v>26</v>
      </c>
      <c r="H2048" t="s">
        <v>188</v>
      </c>
      <c r="I2048" t="s">
        <v>189</v>
      </c>
      <c r="J2048" t="s">
        <v>43</v>
      </c>
      <c r="K2048" t="s">
        <v>44</v>
      </c>
      <c r="L2048" t="s">
        <v>29</v>
      </c>
      <c r="M2048" t="s">
        <v>30</v>
      </c>
      <c r="N2048" t="s">
        <v>79</v>
      </c>
      <c r="O2048" t="s">
        <v>80</v>
      </c>
      <c r="P2048" t="s">
        <v>29</v>
      </c>
      <c r="Q2048" t="s">
        <v>30</v>
      </c>
      <c r="R2048" s="1">
        <v>44337.465138888889</v>
      </c>
      <c r="S2048" s="1">
        <v>44337.465185185189</v>
      </c>
      <c r="T2048">
        <v>1</v>
      </c>
      <c r="U2048">
        <v>2</v>
      </c>
      <c r="V2048" s="2">
        <v>0.5</v>
      </c>
      <c r="W2048">
        <v>0</v>
      </c>
      <c r="X2048" t="s">
        <v>44</v>
      </c>
      <c r="Y2048">
        <v>0</v>
      </c>
      <c r="Z2048" t="s">
        <v>30</v>
      </c>
      <c r="AA2048">
        <v>0</v>
      </c>
      <c r="AB2048" t="s">
        <v>31</v>
      </c>
      <c r="AC2048">
        <v>0</v>
      </c>
      <c r="AD2048" t="s">
        <v>31</v>
      </c>
      <c r="AE2048">
        <v>0</v>
      </c>
      <c r="AF2048" t="s">
        <v>31</v>
      </c>
      <c r="AG2048">
        <v>0</v>
      </c>
      <c r="AH2048" t="s">
        <v>31</v>
      </c>
      <c r="AI2048">
        <v>0</v>
      </c>
      <c r="AJ2048" t="s">
        <v>31</v>
      </c>
      <c r="AK2048">
        <v>0</v>
      </c>
      <c r="AL2048" t="s">
        <v>31</v>
      </c>
      <c r="AM2048">
        <v>0</v>
      </c>
      <c r="AN2048" t="s">
        <v>31</v>
      </c>
      <c r="AO2048">
        <v>0</v>
      </c>
      <c r="AP2048" t="s">
        <v>31</v>
      </c>
      <c r="AQ2048">
        <v>0</v>
      </c>
    </row>
    <row r="2049" spans="1:43" x14ac:dyDescent="0.2">
      <c r="A2049" t="s">
        <v>381</v>
      </c>
      <c r="B2049" s="3">
        <v>44338</v>
      </c>
      <c r="C2049">
        <v>107</v>
      </c>
      <c r="D2049" t="s">
        <v>392</v>
      </c>
      <c r="E2049" t="s">
        <v>97</v>
      </c>
      <c r="F2049" s="9" t="s">
        <v>230</v>
      </c>
      <c r="G2049" t="s">
        <v>26</v>
      </c>
      <c r="H2049" t="s">
        <v>79</v>
      </c>
      <c r="I2049" t="s">
        <v>80</v>
      </c>
      <c r="J2049" t="s">
        <v>29</v>
      </c>
      <c r="K2049" t="s">
        <v>30</v>
      </c>
      <c r="L2049" t="s">
        <v>29</v>
      </c>
      <c r="M2049" t="s">
        <v>30</v>
      </c>
      <c r="N2049" t="s">
        <v>79</v>
      </c>
      <c r="O2049" t="s">
        <v>80</v>
      </c>
      <c r="P2049" t="s">
        <v>29</v>
      </c>
      <c r="Q2049" t="s">
        <v>30</v>
      </c>
      <c r="R2049" s="1">
        <v>44338.589421296296</v>
      </c>
      <c r="S2049" s="1">
        <v>44338.589421296296</v>
      </c>
      <c r="T2049">
        <v>2</v>
      </c>
      <c r="U2049">
        <v>2</v>
      </c>
      <c r="V2049" s="2">
        <v>1</v>
      </c>
      <c r="W2049">
        <v>0</v>
      </c>
      <c r="X2049" t="s">
        <v>30</v>
      </c>
      <c r="Y2049">
        <v>0</v>
      </c>
      <c r="Z2049" t="s">
        <v>30</v>
      </c>
      <c r="AA2049">
        <v>0</v>
      </c>
      <c r="AB2049" t="s">
        <v>31</v>
      </c>
      <c r="AC2049">
        <v>0</v>
      </c>
      <c r="AD2049" t="s">
        <v>31</v>
      </c>
      <c r="AE2049">
        <v>0</v>
      </c>
      <c r="AF2049" t="s">
        <v>31</v>
      </c>
      <c r="AG2049">
        <v>0</v>
      </c>
      <c r="AH2049" t="s">
        <v>31</v>
      </c>
      <c r="AI2049">
        <v>0</v>
      </c>
      <c r="AJ2049" t="s">
        <v>31</v>
      </c>
      <c r="AK2049">
        <v>0</v>
      </c>
      <c r="AL2049" t="s">
        <v>31</v>
      </c>
      <c r="AM2049">
        <v>0</v>
      </c>
      <c r="AN2049" t="s">
        <v>31</v>
      </c>
      <c r="AO2049">
        <v>0</v>
      </c>
      <c r="AP2049" t="s">
        <v>31</v>
      </c>
      <c r="AQ2049">
        <v>0</v>
      </c>
    </row>
    <row r="2050" spans="1:43" x14ac:dyDescent="0.2">
      <c r="A2050" t="s">
        <v>381</v>
      </c>
      <c r="B2050" s="3">
        <v>44344</v>
      </c>
      <c r="C2050">
        <v>116</v>
      </c>
      <c r="D2050" t="s">
        <v>390</v>
      </c>
      <c r="E2050" t="s">
        <v>97</v>
      </c>
      <c r="F2050" s="9" t="s">
        <v>230</v>
      </c>
      <c r="G2050" t="s">
        <v>26</v>
      </c>
      <c r="H2050" t="s">
        <v>79</v>
      </c>
      <c r="I2050" t="s">
        <v>80</v>
      </c>
      <c r="J2050" t="s">
        <v>29</v>
      </c>
      <c r="K2050" t="s">
        <v>30</v>
      </c>
      <c r="L2050" t="s">
        <v>29</v>
      </c>
      <c r="M2050" t="s">
        <v>30</v>
      </c>
      <c r="N2050" t="s">
        <v>188</v>
      </c>
      <c r="O2050" t="s">
        <v>189</v>
      </c>
      <c r="P2050" t="s">
        <v>43</v>
      </c>
      <c r="Q2050" t="s">
        <v>44</v>
      </c>
      <c r="R2050" s="1">
        <v>44344.459421296298</v>
      </c>
      <c r="S2050" s="1">
        <v>44344.459444444445</v>
      </c>
      <c r="T2050">
        <v>1</v>
      </c>
      <c r="U2050">
        <v>1</v>
      </c>
      <c r="V2050" s="2">
        <v>1</v>
      </c>
      <c r="W2050">
        <v>0</v>
      </c>
      <c r="X2050" t="s">
        <v>30</v>
      </c>
      <c r="Y2050">
        <v>0</v>
      </c>
      <c r="Z2050" t="s">
        <v>31</v>
      </c>
      <c r="AA2050">
        <v>0</v>
      </c>
      <c r="AB2050" t="s">
        <v>31</v>
      </c>
      <c r="AC2050">
        <v>0</v>
      </c>
      <c r="AD2050" t="s">
        <v>31</v>
      </c>
      <c r="AE2050">
        <v>0</v>
      </c>
      <c r="AF2050" t="s">
        <v>31</v>
      </c>
      <c r="AG2050">
        <v>0</v>
      </c>
      <c r="AH2050" t="s">
        <v>31</v>
      </c>
      <c r="AI2050">
        <v>0</v>
      </c>
      <c r="AJ2050" t="s">
        <v>31</v>
      </c>
      <c r="AK2050">
        <v>0</v>
      </c>
      <c r="AL2050" t="s">
        <v>31</v>
      </c>
      <c r="AM2050">
        <v>0</v>
      </c>
      <c r="AN2050" t="s">
        <v>31</v>
      </c>
      <c r="AO2050">
        <v>0</v>
      </c>
      <c r="AP2050" t="s">
        <v>31</v>
      </c>
      <c r="AQ2050">
        <v>0</v>
      </c>
    </row>
    <row r="2051" spans="1:43" x14ac:dyDescent="0.2">
      <c r="A2051" t="s">
        <v>381</v>
      </c>
      <c r="B2051" s="3">
        <v>44348</v>
      </c>
      <c r="C2051">
        <v>118</v>
      </c>
      <c r="D2051" t="s">
        <v>396</v>
      </c>
      <c r="E2051" t="s">
        <v>97</v>
      </c>
      <c r="F2051" s="9" t="s">
        <v>230</v>
      </c>
      <c r="G2051" t="s">
        <v>26</v>
      </c>
      <c r="H2051" t="s">
        <v>188</v>
      </c>
      <c r="I2051" t="s">
        <v>189</v>
      </c>
      <c r="J2051" t="s">
        <v>43</v>
      </c>
      <c r="K2051" t="s">
        <v>44</v>
      </c>
      <c r="L2051" t="s">
        <v>29</v>
      </c>
      <c r="M2051" t="s">
        <v>30</v>
      </c>
      <c r="N2051" t="s">
        <v>188</v>
      </c>
      <c r="O2051" t="s">
        <v>189</v>
      </c>
      <c r="P2051" t="s">
        <v>43</v>
      </c>
      <c r="Q2051" t="s">
        <v>44</v>
      </c>
      <c r="R2051" s="1">
        <v>44348.467511574076</v>
      </c>
      <c r="S2051" s="1">
        <v>44348.467511574076</v>
      </c>
      <c r="T2051">
        <v>1</v>
      </c>
      <c r="U2051">
        <v>1</v>
      </c>
      <c r="V2051" s="2">
        <v>1</v>
      </c>
      <c r="W2051">
        <v>0</v>
      </c>
      <c r="X2051" t="s">
        <v>30</v>
      </c>
      <c r="Y2051">
        <v>0</v>
      </c>
      <c r="Z2051" t="s">
        <v>31</v>
      </c>
      <c r="AA2051">
        <v>0</v>
      </c>
      <c r="AB2051" t="s">
        <v>31</v>
      </c>
      <c r="AC2051">
        <v>0</v>
      </c>
      <c r="AD2051" t="s">
        <v>31</v>
      </c>
      <c r="AE2051">
        <v>0</v>
      </c>
      <c r="AF2051" t="s">
        <v>31</v>
      </c>
      <c r="AG2051">
        <v>0</v>
      </c>
      <c r="AH2051" t="s">
        <v>31</v>
      </c>
      <c r="AI2051">
        <v>0</v>
      </c>
      <c r="AJ2051" t="s">
        <v>31</v>
      </c>
      <c r="AK2051">
        <v>0</v>
      </c>
      <c r="AL2051" t="s">
        <v>31</v>
      </c>
      <c r="AM2051">
        <v>0</v>
      </c>
      <c r="AN2051" t="s">
        <v>31</v>
      </c>
      <c r="AO2051">
        <v>0</v>
      </c>
      <c r="AP2051" t="s">
        <v>31</v>
      </c>
      <c r="AQ2051">
        <v>0</v>
      </c>
    </row>
    <row r="2052" spans="1:43" x14ac:dyDescent="0.2">
      <c r="A2052" t="s">
        <v>381</v>
      </c>
      <c r="B2052" s="3">
        <v>44350</v>
      </c>
      <c r="C2052">
        <v>123</v>
      </c>
      <c r="D2052" t="s">
        <v>382</v>
      </c>
      <c r="E2052" t="s">
        <v>97</v>
      </c>
      <c r="F2052" s="9" t="s">
        <v>230</v>
      </c>
      <c r="G2052" t="s">
        <v>26</v>
      </c>
      <c r="H2052" t="s">
        <v>188</v>
      </c>
      <c r="I2052" t="s">
        <v>189</v>
      </c>
      <c r="J2052" t="s">
        <v>43</v>
      </c>
      <c r="K2052" t="s">
        <v>44</v>
      </c>
      <c r="L2052" t="s">
        <v>29</v>
      </c>
      <c r="M2052" t="s">
        <v>30</v>
      </c>
      <c r="N2052" t="s">
        <v>79</v>
      </c>
      <c r="O2052" t="s">
        <v>80</v>
      </c>
      <c r="P2052" t="s">
        <v>29</v>
      </c>
      <c r="Q2052" t="s">
        <v>30</v>
      </c>
      <c r="R2052" s="1">
        <v>44350.399861111109</v>
      </c>
      <c r="S2052" s="1">
        <v>44350.40016203704</v>
      </c>
      <c r="T2052">
        <v>1</v>
      </c>
      <c r="U2052">
        <v>2</v>
      </c>
      <c r="V2052" s="2">
        <v>0.5</v>
      </c>
      <c r="W2052">
        <v>0</v>
      </c>
      <c r="X2052" t="s">
        <v>44</v>
      </c>
      <c r="Y2052">
        <v>0</v>
      </c>
      <c r="Z2052" t="s">
        <v>30</v>
      </c>
      <c r="AA2052">
        <v>0</v>
      </c>
      <c r="AB2052" t="s">
        <v>31</v>
      </c>
      <c r="AC2052">
        <v>0</v>
      </c>
      <c r="AD2052" t="s">
        <v>31</v>
      </c>
      <c r="AE2052">
        <v>0</v>
      </c>
      <c r="AF2052" t="s">
        <v>31</v>
      </c>
      <c r="AG2052">
        <v>0</v>
      </c>
      <c r="AH2052" t="s">
        <v>31</v>
      </c>
      <c r="AI2052">
        <v>0</v>
      </c>
      <c r="AJ2052" t="s">
        <v>31</v>
      </c>
      <c r="AK2052">
        <v>0</v>
      </c>
      <c r="AL2052" t="s">
        <v>31</v>
      </c>
      <c r="AM2052">
        <v>0</v>
      </c>
      <c r="AN2052" t="s">
        <v>31</v>
      </c>
      <c r="AO2052">
        <v>0</v>
      </c>
      <c r="AP2052" t="s">
        <v>31</v>
      </c>
      <c r="AQ2052">
        <v>0</v>
      </c>
    </row>
    <row r="2053" spans="1:43" x14ac:dyDescent="0.2">
      <c r="A2053" t="s">
        <v>381</v>
      </c>
      <c r="B2053" s="3">
        <v>44354</v>
      </c>
      <c r="C2053">
        <v>127</v>
      </c>
      <c r="D2053" t="s">
        <v>383</v>
      </c>
      <c r="E2053" t="s">
        <v>97</v>
      </c>
      <c r="F2053" s="9" t="s">
        <v>230</v>
      </c>
      <c r="G2053" t="s">
        <v>26</v>
      </c>
      <c r="H2053" t="s">
        <v>79</v>
      </c>
      <c r="I2053" t="s">
        <v>80</v>
      </c>
      <c r="J2053" t="s">
        <v>29</v>
      </c>
      <c r="K2053" t="s">
        <v>30</v>
      </c>
      <c r="L2053" t="s">
        <v>29</v>
      </c>
      <c r="M2053" t="s">
        <v>30</v>
      </c>
      <c r="N2053" t="s">
        <v>79</v>
      </c>
      <c r="O2053" t="s">
        <v>80</v>
      </c>
      <c r="P2053" t="s">
        <v>29</v>
      </c>
      <c r="Q2053" t="s">
        <v>30</v>
      </c>
      <c r="R2053" s="1">
        <v>44354.545173611114</v>
      </c>
      <c r="S2053" s="1">
        <v>44354.545532407406</v>
      </c>
      <c r="T2053">
        <v>0</v>
      </c>
      <c r="U2053">
        <v>8</v>
      </c>
      <c r="V2053" s="2">
        <v>0</v>
      </c>
      <c r="W2053">
        <v>0</v>
      </c>
      <c r="X2053" t="s">
        <v>44</v>
      </c>
      <c r="Y2053">
        <v>0</v>
      </c>
      <c r="Z2053" t="s">
        <v>44</v>
      </c>
      <c r="AA2053">
        <v>0</v>
      </c>
      <c r="AB2053" t="s">
        <v>102</v>
      </c>
      <c r="AC2053">
        <v>0</v>
      </c>
      <c r="AD2053" t="s">
        <v>44</v>
      </c>
      <c r="AE2053">
        <v>0</v>
      </c>
      <c r="AF2053" t="s">
        <v>44</v>
      </c>
      <c r="AG2053">
        <v>0</v>
      </c>
      <c r="AH2053" t="s">
        <v>102</v>
      </c>
      <c r="AI2053">
        <v>0</v>
      </c>
      <c r="AJ2053" t="s">
        <v>254</v>
      </c>
      <c r="AK2053">
        <v>0</v>
      </c>
      <c r="AL2053" t="s">
        <v>158</v>
      </c>
      <c r="AM2053">
        <v>0</v>
      </c>
      <c r="AN2053" t="s">
        <v>31</v>
      </c>
      <c r="AO2053">
        <v>0</v>
      </c>
      <c r="AP2053" t="s">
        <v>31</v>
      </c>
      <c r="AQ2053">
        <v>0</v>
      </c>
    </row>
    <row r="2054" spans="1:43" x14ac:dyDescent="0.2">
      <c r="A2054" t="s">
        <v>381</v>
      </c>
      <c r="B2054" s="3">
        <v>44357</v>
      </c>
      <c r="C2054">
        <v>132</v>
      </c>
      <c r="D2054" t="s">
        <v>399</v>
      </c>
      <c r="E2054" t="s">
        <v>97</v>
      </c>
      <c r="F2054" s="9" t="s">
        <v>230</v>
      </c>
      <c r="G2054" t="s">
        <v>26</v>
      </c>
      <c r="H2054" t="s">
        <v>79</v>
      </c>
      <c r="I2054" t="s">
        <v>80</v>
      </c>
      <c r="J2054" t="s">
        <v>29</v>
      </c>
      <c r="K2054" t="s">
        <v>30</v>
      </c>
      <c r="L2054" t="s">
        <v>29</v>
      </c>
      <c r="M2054" t="s">
        <v>30</v>
      </c>
      <c r="N2054" t="s">
        <v>79</v>
      </c>
      <c r="O2054" t="s">
        <v>80</v>
      </c>
      <c r="P2054" t="s">
        <v>29</v>
      </c>
      <c r="Q2054" t="s">
        <v>30</v>
      </c>
      <c r="R2054" s="1">
        <v>44357.4453125</v>
      </c>
      <c r="S2054" s="1">
        <v>44357.445405092592</v>
      </c>
      <c r="T2054">
        <v>1</v>
      </c>
      <c r="U2054">
        <v>1</v>
      </c>
      <c r="V2054" s="2">
        <v>1</v>
      </c>
      <c r="W2054">
        <v>0</v>
      </c>
      <c r="X2054" t="s">
        <v>30</v>
      </c>
      <c r="Y2054">
        <v>0</v>
      </c>
      <c r="Z2054" t="s">
        <v>31</v>
      </c>
      <c r="AA2054">
        <v>0</v>
      </c>
      <c r="AB2054" t="s">
        <v>31</v>
      </c>
      <c r="AC2054">
        <v>0</v>
      </c>
      <c r="AD2054" t="s">
        <v>31</v>
      </c>
      <c r="AE2054">
        <v>0</v>
      </c>
      <c r="AF2054" t="s">
        <v>31</v>
      </c>
      <c r="AG2054">
        <v>0</v>
      </c>
      <c r="AH2054" t="s">
        <v>31</v>
      </c>
      <c r="AI2054">
        <v>0</v>
      </c>
      <c r="AJ2054" t="s">
        <v>31</v>
      </c>
      <c r="AK2054">
        <v>0</v>
      </c>
      <c r="AL2054" t="s">
        <v>31</v>
      </c>
      <c r="AM2054">
        <v>0</v>
      </c>
      <c r="AN2054" t="s">
        <v>31</v>
      </c>
      <c r="AO2054">
        <v>0</v>
      </c>
      <c r="AP2054" t="s">
        <v>31</v>
      </c>
      <c r="AQ2054">
        <v>0</v>
      </c>
    </row>
    <row r="2055" spans="1:43" x14ac:dyDescent="0.2">
      <c r="A2055" t="s">
        <v>381</v>
      </c>
      <c r="B2055" s="3">
        <v>44358</v>
      </c>
      <c r="C2055">
        <v>133</v>
      </c>
      <c r="D2055" t="s">
        <v>390</v>
      </c>
      <c r="E2055" t="s">
        <v>97</v>
      </c>
      <c r="F2055" s="9" t="s">
        <v>230</v>
      </c>
      <c r="G2055" t="s">
        <v>26</v>
      </c>
      <c r="H2055" t="s">
        <v>79</v>
      </c>
      <c r="I2055" t="s">
        <v>80</v>
      </c>
      <c r="J2055" t="s">
        <v>29</v>
      </c>
      <c r="K2055" t="s">
        <v>30</v>
      </c>
      <c r="L2055" t="s">
        <v>29</v>
      </c>
      <c r="M2055" t="s">
        <v>30</v>
      </c>
      <c r="N2055" t="s">
        <v>188</v>
      </c>
      <c r="O2055" t="s">
        <v>189</v>
      </c>
      <c r="P2055" t="s">
        <v>43</v>
      </c>
      <c r="Q2055" t="s">
        <v>44</v>
      </c>
      <c r="R2055" s="1">
        <v>44358.422592592593</v>
      </c>
      <c r="S2055" s="1">
        <v>44358.422789351855</v>
      </c>
      <c r="T2055">
        <v>1</v>
      </c>
      <c r="U2055">
        <v>1</v>
      </c>
      <c r="V2055" s="2">
        <v>1</v>
      </c>
      <c r="W2055">
        <v>0</v>
      </c>
      <c r="X2055" t="s">
        <v>30</v>
      </c>
      <c r="Y2055">
        <v>0</v>
      </c>
      <c r="Z2055" t="s">
        <v>31</v>
      </c>
      <c r="AA2055">
        <v>0</v>
      </c>
      <c r="AB2055" t="s">
        <v>31</v>
      </c>
      <c r="AC2055">
        <v>0</v>
      </c>
      <c r="AD2055" t="s">
        <v>31</v>
      </c>
      <c r="AE2055">
        <v>0</v>
      </c>
      <c r="AF2055" t="s">
        <v>31</v>
      </c>
      <c r="AG2055">
        <v>0</v>
      </c>
      <c r="AH2055" t="s">
        <v>31</v>
      </c>
      <c r="AI2055">
        <v>0</v>
      </c>
      <c r="AJ2055" t="s">
        <v>31</v>
      </c>
      <c r="AK2055">
        <v>0</v>
      </c>
      <c r="AL2055" t="s">
        <v>31</v>
      </c>
      <c r="AM2055">
        <v>0</v>
      </c>
      <c r="AN2055" t="s">
        <v>31</v>
      </c>
      <c r="AO2055">
        <v>0</v>
      </c>
      <c r="AP2055" t="s">
        <v>31</v>
      </c>
      <c r="AQ2055">
        <v>0</v>
      </c>
    </row>
    <row r="2056" spans="1:43" x14ac:dyDescent="0.2">
      <c r="A2056" t="s">
        <v>381</v>
      </c>
      <c r="B2056" s="3">
        <v>44363</v>
      </c>
      <c r="C2056">
        <v>137</v>
      </c>
      <c r="D2056" t="s">
        <v>383</v>
      </c>
      <c r="E2056" t="s">
        <v>97</v>
      </c>
      <c r="F2056" s="9" t="s">
        <v>230</v>
      </c>
      <c r="G2056" t="s">
        <v>26</v>
      </c>
      <c r="H2056" t="s">
        <v>188</v>
      </c>
      <c r="I2056" t="s">
        <v>189</v>
      </c>
      <c r="J2056" t="s">
        <v>43</v>
      </c>
      <c r="K2056" t="s">
        <v>44</v>
      </c>
      <c r="L2056" t="s">
        <v>29</v>
      </c>
      <c r="M2056" t="s">
        <v>30</v>
      </c>
      <c r="N2056" t="s">
        <v>188</v>
      </c>
      <c r="O2056" t="s">
        <v>189</v>
      </c>
      <c r="P2056" t="s">
        <v>43</v>
      </c>
      <c r="Q2056" t="s">
        <v>44</v>
      </c>
      <c r="R2056" s="1">
        <v>44363.568148148152</v>
      </c>
      <c r="S2056" s="1">
        <v>44363.569722222222</v>
      </c>
      <c r="T2056">
        <v>3</v>
      </c>
      <c r="U2056">
        <v>3</v>
      </c>
      <c r="V2056" s="2">
        <v>1</v>
      </c>
      <c r="W2056">
        <v>0</v>
      </c>
      <c r="X2056" t="s">
        <v>30</v>
      </c>
      <c r="Y2056">
        <v>0</v>
      </c>
      <c r="Z2056" t="s">
        <v>30</v>
      </c>
      <c r="AA2056">
        <v>0</v>
      </c>
      <c r="AB2056" t="s">
        <v>30</v>
      </c>
      <c r="AC2056">
        <v>0</v>
      </c>
      <c r="AD2056" t="s">
        <v>31</v>
      </c>
      <c r="AE2056">
        <v>0</v>
      </c>
      <c r="AF2056" t="s">
        <v>31</v>
      </c>
      <c r="AG2056">
        <v>0</v>
      </c>
      <c r="AH2056" t="s">
        <v>31</v>
      </c>
      <c r="AI2056">
        <v>0</v>
      </c>
      <c r="AJ2056" t="s">
        <v>31</v>
      </c>
      <c r="AK2056">
        <v>0</v>
      </c>
      <c r="AL2056" t="s">
        <v>31</v>
      </c>
      <c r="AM2056">
        <v>0</v>
      </c>
      <c r="AN2056" t="s">
        <v>31</v>
      </c>
      <c r="AO2056">
        <v>0</v>
      </c>
      <c r="AP2056" t="s">
        <v>31</v>
      </c>
      <c r="AQ2056">
        <v>0</v>
      </c>
    </row>
    <row r="2057" spans="1:43" x14ac:dyDescent="0.2">
      <c r="A2057" t="s">
        <v>381</v>
      </c>
      <c r="B2057" s="3">
        <v>44364</v>
      </c>
      <c r="C2057">
        <v>138</v>
      </c>
      <c r="D2057" t="s">
        <v>399</v>
      </c>
      <c r="E2057" t="s">
        <v>97</v>
      </c>
      <c r="F2057" s="9" t="s">
        <v>230</v>
      </c>
      <c r="G2057" t="s">
        <v>26</v>
      </c>
      <c r="H2057" t="s">
        <v>188</v>
      </c>
      <c r="I2057" t="s">
        <v>189</v>
      </c>
      <c r="J2057" t="s">
        <v>43</v>
      </c>
      <c r="K2057" t="s">
        <v>44</v>
      </c>
      <c r="L2057" t="s">
        <v>29</v>
      </c>
      <c r="M2057" t="s">
        <v>30</v>
      </c>
      <c r="N2057" t="s">
        <v>200</v>
      </c>
      <c r="O2057" t="s">
        <v>201</v>
      </c>
      <c r="P2057" t="s">
        <v>43</v>
      </c>
      <c r="Q2057" t="s">
        <v>44</v>
      </c>
      <c r="R2057" s="1">
        <v>44364.411215277774</v>
      </c>
      <c r="S2057" s="1">
        <v>44364.41196759259</v>
      </c>
      <c r="T2057">
        <v>1</v>
      </c>
      <c r="U2057">
        <v>1</v>
      </c>
      <c r="V2057" s="2">
        <v>1</v>
      </c>
      <c r="W2057">
        <v>0</v>
      </c>
      <c r="X2057" t="s">
        <v>30</v>
      </c>
      <c r="Y2057">
        <v>0</v>
      </c>
      <c r="Z2057" t="s">
        <v>31</v>
      </c>
      <c r="AA2057">
        <v>0</v>
      </c>
      <c r="AB2057" t="s">
        <v>31</v>
      </c>
      <c r="AC2057">
        <v>0</v>
      </c>
      <c r="AD2057" t="s">
        <v>31</v>
      </c>
      <c r="AE2057">
        <v>0</v>
      </c>
      <c r="AF2057" t="s">
        <v>31</v>
      </c>
      <c r="AG2057">
        <v>0</v>
      </c>
      <c r="AH2057" t="s">
        <v>31</v>
      </c>
      <c r="AI2057">
        <v>0</v>
      </c>
      <c r="AJ2057" t="s">
        <v>31</v>
      </c>
      <c r="AK2057">
        <v>0</v>
      </c>
      <c r="AL2057" t="s">
        <v>31</v>
      </c>
      <c r="AM2057">
        <v>0</v>
      </c>
      <c r="AN2057" t="s">
        <v>31</v>
      </c>
      <c r="AO2057">
        <v>0</v>
      </c>
      <c r="AP2057" t="s">
        <v>31</v>
      </c>
      <c r="AQ2057">
        <v>0</v>
      </c>
    </row>
    <row r="2058" spans="1:43" x14ac:dyDescent="0.2">
      <c r="A2058" t="s">
        <v>381</v>
      </c>
      <c r="B2058" s="3">
        <v>44319</v>
      </c>
      <c r="C2058">
        <v>84</v>
      </c>
      <c r="D2058" t="s">
        <v>390</v>
      </c>
      <c r="E2058" t="s">
        <v>97</v>
      </c>
      <c r="F2058" s="9" t="s">
        <v>231</v>
      </c>
      <c r="G2058" t="s">
        <v>26</v>
      </c>
      <c r="H2058" t="s">
        <v>155</v>
      </c>
      <c r="I2058" t="s">
        <v>156</v>
      </c>
      <c r="J2058" t="s">
        <v>157</v>
      </c>
      <c r="K2058" t="s">
        <v>158</v>
      </c>
      <c r="L2058" t="s">
        <v>157</v>
      </c>
      <c r="M2058" t="s">
        <v>158</v>
      </c>
      <c r="N2058" t="s">
        <v>188</v>
      </c>
      <c r="O2058" t="s">
        <v>189</v>
      </c>
      <c r="P2058" t="s">
        <v>43</v>
      </c>
      <c r="Q2058" t="s">
        <v>44</v>
      </c>
      <c r="R2058" s="1">
        <v>44319.392013888886</v>
      </c>
      <c r="S2058" s="1">
        <v>44319.394965277781</v>
      </c>
      <c r="T2058">
        <v>1</v>
      </c>
      <c r="U2058">
        <v>1</v>
      </c>
      <c r="V2058" s="2">
        <v>1</v>
      </c>
      <c r="W2058">
        <v>0</v>
      </c>
      <c r="X2058" t="s">
        <v>30</v>
      </c>
      <c r="Y2058">
        <v>0</v>
      </c>
      <c r="Z2058" t="s">
        <v>31</v>
      </c>
      <c r="AA2058">
        <v>0</v>
      </c>
      <c r="AB2058" t="s">
        <v>31</v>
      </c>
      <c r="AC2058">
        <v>0</v>
      </c>
      <c r="AD2058" t="s">
        <v>31</v>
      </c>
      <c r="AE2058">
        <v>0</v>
      </c>
      <c r="AF2058" t="s">
        <v>31</v>
      </c>
      <c r="AG2058">
        <v>0</v>
      </c>
      <c r="AH2058" t="s">
        <v>31</v>
      </c>
      <c r="AI2058">
        <v>0</v>
      </c>
      <c r="AJ2058" t="s">
        <v>31</v>
      </c>
      <c r="AK2058">
        <v>0</v>
      </c>
      <c r="AL2058" t="s">
        <v>31</v>
      </c>
      <c r="AM2058">
        <v>0</v>
      </c>
      <c r="AN2058" t="s">
        <v>31</v>
      </c>
      <c r="AO2058">
        <v>0</v>
      </c>
      <c r="AP2058" t="s">
        <v>31</v>
      </c>
      <c r="AQ2058">
        <v>0</v>
      </c>
    </row>
    <row r="2059" spans="1:43" x14ac:dyDescent="0.2">
      <c r="A2059" t="s">
        <v>381</v>
      </c>
      <c r="B2059" s="3">
        <v>44321</v>
      </c>
      <c r="C2059">
        <v>88</v>
      </c>
      <c r="D2059" t="s">
        <v>404</v>
      </c>
      <c r="E2059" t="s">
        <v>97</v>
      </c>
      <c r="F2059" s="9" t="s">
        <v>231</v>
      </c>
      <c r="G2059" t="s">
        <v>26</v>
      </c>
      <c r="H2059" t="s">
        <v>188</v>
      </c>
      <c r="I2059" t="s">
        <v>189</v>
      </c>
      <c r="J2059" t="s">
        <v>43</v>
      </c>
      <c r="K2059" t="s">
        <v>44</v>
      </c>
      <c r="L2059" t="s">
        <v>29</v>
      </c>
      <c r="M2059" t="s">
        <v>30</v>
      </c>
      <c r="N2059" t="s">
        <v>188</v>
      </c>
      <c r="O2059" t="s">
        <v>189</v>
      </c>
      <c r="P2059" t="s">
        <v>43</v>
      </c>
      <c r="Q2059" t="s">
        <v>44</v>
      </c>
      <c r="R2059" s="1">
        <v>44321.479085648149</v>
      </c>
      <c r="S2059" s="1">
        <v>44321.479085648149</v>
      </c>
      <c r="T2059">
        <v>1</v>
      </c>
      <c r="U2059">
        <v>1</v>
      </c>
      <c r="V2059" s="2">
        <v>1</v>
      </c>
      <c r="W2059">
        <v>0</v>
      </c>
      <c r="X2059" t="s">
        <v>30</v>
      </c>
      <c r="Y2059">
        <v>0</v>
      </c>
      <c r="Z2059" t="s">
        <v>31</v>
      </c>
      <c r="AA2059">
        <v>0</v>
      </c>
      <c r="AB2059" t="s">
        <v>31</v>
      </c>
      <c r="AC2059">
        <v>0</v>
      </c>
      <c r="AD2059" t="s">
        <v>31</v>
      </c>
      <c r="AE2059">
        <v>0</v>
      </c>
      <c r="AF2059" t="s">
        <v>31</v>
      </c>
      <c r="AG2059">
        <v>0</v>
      </c>
      <c r="AH2059" t="s">
        <v>31</v>
      </c>
      <c r="AI2059">
        <v>0</v>
      </c>
      <c r="AJ2059" t="s">
        <v>31</v>
      </c>
      <c r="AK2059">
        <v>0</v>
      </c>
      <c r="AL2059" t="s">
        <v>31</v>
      </c>
      <c r="AM2059">
        <v>0</v>
      </c>
      <c r="AN2059" t="s">
        <v>31</v>
      </c>
      <c r="AO2059">
        <v>0</v>
      </c>
      <c r="AP2059" t="s">
        <v>31</v>
      </c>
      <c r="AQ2059">
        <v>0</v>
      </c>
    </row>
    <row r="2060" spans="1:43" x14ac:dyDescent="0.2">
      <c r="A2060" t="s">
        <v>381</v>
      </c>
      <c r="B2060" s="3">
        <v>44323</v>
      </c>
      <c r="C2060">
        <v>91</v>
      </c>
      <c r="D2060" t="s">
        <v>391</v>
      </c>
      <c r="E2060" t="s">
        <v>97</v>
      </c>
      <c r="F2060" s="9" t="s">
        <v>231</v>
      </c>
      <c r="G2060" t="s">
        <v>26</v>
      </c>
      <c r="H2060" t="s">
        <v>188</v>
      </c>
      <c r="I2060" t="s">
        <v>189</v>
      </c>
      <c r="J2060" t="s">
        <v>43</v>
      </c>
      <c r="K2060" t="s">
        <v>44</v>
      </c>
      <c r="L2060" t="s">
        <v>29</v>
      </c>
      <c r="M2060" t="s">
        <v>30</v>
      </c>
      <c r="N2060" t="s">
        <v>200</v>
      </c>
      <c r="O2060" t="s">
        <v>201</v>
      </c>
      <c r="P2060" t="s">
        <v>43</v>
      </c>
      <c r="Q2060" t="s">
        <v>44</v>
      </c>
      <c r="R2060" s="1">
        <v>44323.537094907406</v>
      </c>
      <c r="S2060" s="1">
        <v>44323.539259259262</v>
      </c>
      <c r="T2060">
        <v>3</v>
      </c>
      <c r="U2060">
        <v>3</v>
      </c>
      <c r="V2060" s="2">
        <v>1</v>
      </c>
      <c r="W2060">
        <v>0</v>
      </c>
      <c r="X2060" t="s">
        <v>30</v>
      </c>
      <c r="Y2060">
        <v>0</v>
      </c>
      <c r="Z2060" t="s">
        <v>30</v>
      </c>
      <c r="AA2060">
        <v>0</v>
      </c>
      <c r="AB2060" t="s">
        <v>30</v>
      </c>
      <c r="AC2060">
        <v>0</v>
      </c>
      <c r="AD2060" t="s">
        <v>31</v>
      </c>
      <c r="AE2060">
        <v>0</v>
      </c>
      <c r="AF2060" t="s">
        <v>31</v>
      </c>
      <c r="AG2060">
        <v>0</v>
      </c>
      <c r="AH2060" t="s">
        <v>31</v>
      </c>
      <c r="AI2060">
        <v>0</v>
      </c>
      <c r="AJ2060" t="s">
        <v>31</v>
      </c>
      <c r="AK2060">
        <v>0</v>
      </c>
      <c r="AL2060" t="s">
        <v>31</v>
      </c>
      <c r="AM2060">
        <v>0</v>
      </c>
      <c r="AN2060" t="s">
        <v>31</v>
      </c>
      <c r="AO2060">
        <v>0</v>
      </c>
      <c r="AP2060" t="s">
        <v>31</v>
      </c>
      <c r="AQ2060">
        <v>0</v>
      </c>
    </row>
    <row r="2061" spans="1:43" x14ac:dyDescent="0.2">
      <c r="A2061" t="s">
        <v>381</v>
      </c>
      <c r="B2061" s="3">
        <v>44350</v>
      </c>
      <c r="C2061">
        <v>123</v>
      </c>
      <c r="D2061" t="s">
        <v>382</v>
      </c>
      <c r="E2061" t="s">
        <v>97</v>
      </c>
      <c r="F2061" s="9" t="s">
        <v>231</v>
      </c>
      <c r="G2061" t="s">
        <v>26</v>
      </c>
      <c r="H2061" t="s">
        <v>200</v>
      </c>
      <c r="I2061" t="s">
        <v>201</v>
      </c>
      <c r="J2061" t="s">
        <v>43</v>
      </c>
      <c r="K2061" t="s">
        <v>44</v>
      </c>
      <c r="L2061" t="s">
        <v>29</v>
      </c>
      <c r="M2061" t="s">
        <v>30</v>
      </c>
      <c r="N2061" t="s">
        <v>200</v>
      </c>
      <c r="O2061" t="s">
        <v>201</v>
      </c>
      <c r="P2061" t="s">
        <v>43</v>
      </c>
      <c r="Q2061" t="s">
        <v>44</v>
      </c>
      <c r="R2061" s="1">
        <v>44350.426192129627</v>
      </c>
      <c r="S2061" s="1">
        <v>44350.426192129627</v>
      </c>
      <c r="T2061">
        <v>1</v>
      </c>
      <c r="U2061">
        <v>1</v>
      </c>
      <c r="V2061" s="2">
        <v>1</v>
      </c>
      <c r="W2061">
        <v>0</v>
      </c>
      <c r="X2061" t="s">
        <v>30</v>
      </c>
      <c r="Y2061">
        <v>0</v>
      </c>
      <c r="Z2061" t="s">
        <v>31</v>
      </c>
      <c r="AA2061">
        <v>0</v>
      </c>
      <c r="AB2061" t="s">
        <v>31</v>
      </c>
      <c r="AC2061">
        <v>0</v>
      </c>
      <c r="AD2061" t="s">
        <v>31</v>
      </c>
      <c r="AE2061">
        <v>0</v>
      </c>
      <c r="AF2061" t="s">
        <v>31</v>
      </c>
      <c r="AG2061">
        <v>0</v>
      </c>
      <c r="AH2061" t="s">
        <v>31</v>
      </c>
      <c r="AI2061">
        <v>0</v>
      </c>
      <c r="AJ2061" t="s">
        <v>31</v>
      </c>
      <c r="AK2061">
        <v>0</v>
      </c>
      <c r="AL2061" t="s">
        <v>31</v>
      </c>
      <c r="AM2061">
        <v>0</v>
      </c>
      <c r="AN2061" t="s">
        <v>31</v>
      </c>
      <c r="AO2061">
        <v>0</v>
      </c>
      <c r="AP2061" t="s">
        <v>31</v>
      </c>
      <c r="AQ2061">
        <v>0</v>
      </c>
    </row>
    <row r="2062" spans="1:43" x14ac:dyDescent="0.2">
      <c r="A2062" t="s">
        <v>381</v>
      </c>
      <c r="B2062" s="3">
        <v>44236</v>
      </c>
      <c r="C2062">
        <v>2</v>
      </c>
      <c r="D2062" t="s">
        <v>382</v>
      </c>
      <c r="E2062" t="s">
        <v>97</v>
      </c>
      <c r="F2062" s="9" t="s">
        <v>103</v>
      </c>
      <c r="G2062" t="s">
        <v>26</v>
      </c>
      <c r="H2062" t="s">
        <v>99</v>
      </c>
      <c r="I2062" t="s">
        <v>100</v>
      </c>
      <c r="J2062" t="s">
        <v>101</v>
      </c>
      <c r="K2062" t="s">
        <v>102</v>
      </c>
      <c r="L2062" t="s">
        <v>29</v>
      </c>
      <c r="M2062" t="s">
        <v>30</v>
      </c>
      <c r="N2062" t="s">
        <v>99</v>
      </c>
      <c r="O2062" t="s">
        <v>100</v>
      </c>
      <c r="P2062" t="s">
        <v>101</v>
      </c>
      <c r="Q2062" t="s">
        <v>102</v>
      </c>
      <c r="R2062" s="1">
        <v>44236.458171296297</v>
      </c>
      <c r="S2062" s="1">
        <v>44236.458171296297</v>
      </c>
      <c r="T2062">
        <v>1</v>
      </c>
      <c r="U2062">
        <v>1</v>
      </c>
      <c r="V2062" s="2">
        <v>1</v>
      </c>
      <c r="W2062">
        <v>0</v>
      </c>
      <c r="X2062" t="s">
        <v>30</v>
      </c>
      <c r="Y2062">
        <v>0</v>
      </c>
      <c r="Z2062" t="s">
        <v>31</v>
      </c>
      <c r="AA2062">
        <v>0</v>
      </c>
      <c r="AB2062" t="s">
        <v>31</v>
      </c>
      <c r="AC2062">
        <v>0</v>
      </c>
      <c r="AD2062" t="s">
        <v>31</v>
      </c>
      <c r="AE2062">
        <v>0</v>
      </c>
      <c r="AF2062" t="s">
        <v>31</v>
      </c>
      <c r="AG2062">
        <v>0</v>
      </c>
      <c r="AH2062" t="s">
        <v>31</v>
      </c>
      <c r="AI2062">
        <v>0</v>
      </c>
      <c r="AJ2062" t="s">
        <v>31</v>
      </c>
      <c r="AK2062">
        <v>0</v>
      </c>
      <c r="AL2062" t="s">
        <v>31</v>
      </c>
      <c r="AM2062">
        <v>0</v>
      </c>
      <c r="AN2062" t="s">
        <v>31</v>
      </c>
      <c r="AO2062">
        <v>0</v>
      </c>
      <c r="AP2062" t="s">
        <v>31</v>
      </c>
      <c r="AQ2062">
        <v>0</v>
      </c>
    </row>
    <row r="2063" spans="1:43" x14ac:dyDescent="0.2">
      <c r="A2063" t="s">
        <v>381</v>
      </c>
      <c r="B2063" s="3">
        <v>44239</v>
      </c>
      <c r="C2063">
        <v>7</v>
      </c>
      <c r="D2063" t="s">
        <v>384</v>
      </c>
      <c r="E2063" t="s">
        <v>97</v>
      </c>
      <c r="F2063" s="9" t="s">
        <v>103</v>
      </c>
      <c r="G2063" t="s">
        <v>26</v>
      </c>
      <c r="H2063" t="s">
        <v>99</v>
      </c>
      <c r="I2063" t="s">
        <v>100</v>
      </c>
      <c r="J2063" t="s">
        <v>101</v>
      </c>
      <c r="K2063" t="s">
        <v>102</v>
      </c>
      <c r="L2063" t="s">
        <v>29</v>
      </c>
      <c r="M2063" t="s">
        <v>30</v>
      </c>
      <c r="N2063" t="s">
        <v>99</v>
      </c>
      <c r="O2063" t="s">
        <v>100</v>
      </c>
      <c r="P2063" t="s">
        <v>101</v>
      </c>
      <c r="Q2063" t="s">
        <v>102</v>
      </c>
      <c r="R2063" s="1">
        <v>44239.389282407406</v>
      </c>
      <c r="S2063" s="1">
        <v>44239.389282407406</v>
      </c>
      <c r="T2063">
        <v>1</v>
      </c>
      <c r="U2063">
        <v>1</v>
      </c>
      <c r="V2063" s="2">
        <v>1</v>
      </c>
      <c r="W2063">
        <v>0</v>
      </c>
      <c r="X2063" t="s">
        <v>30</v>
      </c>
      <c r="Y2063">
        <v>0</v>
      </c>
      <c r="Z2063" t="s">
        <v>31</v>
      </c>
      <c r="AA2063">
        <v>0</v>
      </c>
      <c r="AB2063" t="s">
        <v>31</v>
      </c>
      <c r="AC2063">
        <v>0</v>
      </c>
      <c r="AD2063" t="s">
        <v>31</v>
      </c>
      <c r="AE2063">
        <v>0</v>
      </c>
      <c r="AF2063" t="s">
        <v>31</v>
      </c>
      <c r="AG2063">
        <v>0</v>
      </c>
      <c r="AH2063" t="s">
        <v>31</v>
      </c>
      <c r="AI2063">
        <v>0</v>
      </c>
      <c r="AJ2063" t="s">
        <v>31</v>
      </c>
      <c r="AK2063">
        <v>0</v>
      </c>
      <c r="AL2063" t="s">
        <v>31</v>
      </c>
      <c r="AM2063">
        <v>0</v>
      </c>
      <c r="AN2063" t="s">
        <v>31</v>
      </c>
      <c r="AO2063">
        <v>0</v>
      </c>
      <c r="AP2063" t="s">
        <v>31</v>
      </c>
      <c r="AQ2063">
        <v>0</v>
      </c>
    </row>
    <row r="2064" spans="1:43" x14ac:dyDescent="0.2">
      <c r="A2064" t="s">
        <v>381</v>
      </c>
      <c r="B2064" s="3">
        <v>44357</v>
      </c>
      <c r="C2064">
        <v>132</v>
      </c>
      <c r="D2064" t="s">
        <v>399</v>
      </c>
      <c r="E2064" t="s">
        <v>97</v>
      </c>
      <c r="F2064" s="9" t="s">
        <v>103</v>
      </c>
      <c r="G2064" t="s">
        <v>26</v>
      </c>
      <c r="H2064" t="s">
        <v>99</v>
      </c>
      <c r="I2064" t="s">
        <v>100</v>
      </c>
      <c r="J2064" t="s">
        <v>101</v>
      </c>
      <c r="K2064" t="s">
        <v>102</v>
      </c>
      <c r="L2064" t="s">
        <v>29</v>
      </c>
      <c r="M2064" t="s">
        <v>30</v>
      </c>
      <c r="N2064" t="s">
        <v>99</v>
      </c>
      <c r="O2064" t="s">
        <v>100</v>
      </c>
      <c r="P2064" t="s">
        <v>29</v>
      </c>
      <c r="Q2064" t="s">
        <v>30</v>
      </c>
      <c r="R2064" s="1">
        <v>44357.445439814815</v>
      </c>
      <c r="S2064" s="1">
        <v>44357.445439814815</v>
      </c>
      <c r="T2064">
        <v>1</v>
      </c>
      <c r="U2064">
        <v>1</v>
      </c>
      <c r="V2064" s="2">
        <v>1</v>
      </c>
      <c r="W2064">
        <v>0</v>
      </c>
      <c r="X2064" t="s">
        <v>30</v>
      </c>
      <c r="Y2064">
        <v>0</v>
      </c>
      <c r="Z2064" t="s">
        <v>31</v>
      </c>
      <c r="AA2064">
        <v>0</v>
      </c>
      <c r="AB2064" t="s">
        <v>31</v>
      </c>
      <c r="AC2064">
        <v>0</v>
      </c>
      <c r="AD2064" t="s">
        <v>31</v>
      </c>
      <c r="AE2064">
        <v>0</v>
      </c>
      <c r="AF2064" t="s">
        <v>31</v>
      </c>
      <c r="AG2064">
        <v>0</v>
      </c>
      <c r="AH2064" t="s">
        <v>31</v>
      </c>
      <c r="AI2064">
        <v>0</v>
      </c>
      <c r="AJ2064" t="s">
        <v>31</v>
      </c>
      <c r="AK2064">
        <v>0</v>
      </c>
      <c r="AL2064" t="s">
        <v>31</v>
      </c>
      <c r="AM2064">
        <v>0</v>
      </c>
      <c r="AN2064" t="s">
        <v>31</v>
      </c>
      <c r="AO2064">
        <v>0</v>
      </c>
      <c r="AP2064" t="s">
        <v>31</v>
      </c>
      <c r="AQ2064">
        <v>0</v>
      </c>
    </row>
    <row r="2065" spans="1:43" x14ac:dyDescent="0.2">
      <c r="A2065" t="s">
        <v>381</v>
      </c>
      <c r="B2065" s="3">
        <v>44236</v>
      </c>
      <c r="C2065">
        <v>2</v>
      </c>
      <c r="D2065" t="s">
        <v>382</v>
      </c>
      <c r="E2065" t="s">
        <v>97</v>
      </c>
      <c r="F2065" s="9" t="s">
        <v>104</v>
      </c>
      <c r="G2065" t="s">
        <v>26</v>
      </c>
      <c r="H2065" t="s">
        <v>99</v>
      </c>
      <c r="I2065" t="s">
        <v>100</v>
      </c>
      <c r="J2065" t="s">
        <v>101</v>
      </c>
      <c r="K2065" t="s">
        <v>102</v>
      </c>
      <c r="L2065" t="s">
        <v>29</v>
      </c>
      <c r="M2065" t="s">
        <v>30</v>
      </c>
      <c r="N2065" t="s">
        <v>99</v>
      </c>
      <c r="O2065" t="s">
        <v>100</v>
      </c>
      <c r="P2065" t="s">
        <v>101</v>
      </c>
      <c r="Q2065" t="s">
        <v>102</v>
      </c>
      <c r="R2065" s="1">
        <v>44236.439618055556</v>
      </c>
      <c r="S2065" s="1">
        <v>44236.439618055556</v>
      </c>
      <c r="T2065">
        <v>1</v>
      </c>
      <c r="U2065">
        <v>1</v>
      </c>
      <c r="V2065" s="2">
        <v>1</v>
      </c>
      <c r="W2065">
        <v>0</v>
      </c>
      <c r="X2065" t="s">
        <v>30</v>
      </c>
      <c r="Y2065">
        <v>0</v>
      </c>
      <c r="Z2065" t="s">
        <v>31</v>
      </c>
      <c r="AA2065">
        <v>0</v>
      </c>
      <c r="AB2065" t="s">
        <v>31</v>
      </c>
      <c r="AC2065">
        <v>0</v>
      </c>
      <c r="AD2065" t="s">
        <v>31</v>
      </c>
      <c r="AE2065">
        <v>0</v>
      </c>
      <c r="AF2065" t="s">
        <v>31</v>
      </c>
      <c r="AG2065">
        <v>0</v>
      </c>
      <c r="AH2065" t="s">
        <v>31</v>
      </c>
      <c r="AI2065">
        <v>0</v>
      </c>
      <c r="AJ2065" t="s">
        <v>31</v>
      </c>
      <c r="AK2065">
        <v>0</v>
      </c>
      <c r="AL2065" t="s">
        <v>31</v>
      </c>
      <c r="AM2065">
        <v>0</v>
      </c>
      <c r="AN2065" t="s">
        <v>31</v>
      </c>
      <c r="AO2065">
        <v>0</v>
      </c>
      <c r="AP2065" t="s">
        <v>31</v>
      </c>
      <c r="AQ2065">
        <v>0</v>
      </c>
    </row>
    <row r="2066" spans="1:43" x14ac:dyDescent="0.2">
      <c r="A2066" t="s">
        <v>381</v>
      </c>
      <c r="B2066" s="3">
        <v>44236</v>
      </c>
      <c r="C2066">
        <v>2</v>
      </c>
      <c r="D2066" t="s">
        <v>382</v>
      </c>
      <c r="E2066" t="s">
        <v>97</v>
      </c>
      <c r="F2066" s="9" t="s">
        <v>105</v>
      </c>
      <c r="G2066" t="s">
        <v>26</v>
      </c>
      <c r="H2066" t="s">
        <v>99</v>
      </c>
      <c r="I2066" t="s">
        <v>100</v>
      </c>
      <c r="J2066" t="s">
        <v>101</v>
      </c>
      <c r="K2066" t="s">
        <v>102</v>
      </c>
      <c r="L2066" t="s">
        <v>29</v>
      </c>
      <c r="M2066" t="s">
        <v>30</v>
      </c>
      <c r="N2066" t="s">
        <v>99</v>
      </c>
      <c r="O2066" t="s">
        <v>100</v>
      </c>
      <c r="P2066" t="s">
        <v>101</v>
      </c>
      <c r="Q2066" t="s">
        <v>102</v>
      </c>
      <c r="R2066" s="1">
        <v>44236.439641203702</v>
      </c>
      <c r="S2066" s="1">
        <v>44236.439641203702</v>
      </c>
      <c r="T2066">
        <v>1</v>
      </c>
      <c r="U2066">
        <v>1</v>
      </c>
      <c r="V2066" s="2">
        <v>1</v>
      </c>
      <c r="W2066">
        <v>0</v>
      </c>
      <c r="X2066" t="s">
        <v>30</v>
      </c>
      <c r="Y2066">
        <v>0</v>
      </c>
      <c r="Z2066" t="s">
        <v>31</v>
      </c>
      <c r="AA2066">
        <v>0</v>
      </c>
      <c r="AB2066" t="s">
        <v>31</v>
      </c>
      <c r="AC2066">
        <v>0</v>
      </c>
      <c r="AD2066" t="s">
        <v>31</v>
      </c>
      <c r="AE2066">
        <v>0</v>
      </c>
      <c r="AF2066" t="s">
        <v>31</v>
      </c>
      <c r="AG2066">
        <v>0</v>
      </c>
      <c r="AH2066" t="s">
        <v>31</v>
      </c>
      <c r="AI2066">
        <v>0</v>
      </c>
      <c r="AJ2066" t="s">
        <v>31</v>
      </c>
      <c r="AK2066">
        <v>0</v>
      </c>
      <c r="AL2066" t="s">
        <v>31</v>
      </c>
      <c r="AM2066">
        <v>0</v>
      </c>
      <c r="AN2066" t="s">
        <v>31</v>
      </c>
      <c r="AO2066">
        <v>0</v>
      </c>
      <c r="AP2066" t="s">
        <v>31</v>
      </c>
      <c r="AQ2066">
        <v>0</v>
      </c>
    </row>
    <row r="2067" spans="1:43" x14ac:dyDescent="0.2">
      <c r="A2067" t="s">
        <v>381</v>
      </c>
      <c r="B2067" s="3">
        <v>44237</v>
      </c>
      <c r="C2067">
        <v>4</v>
      </c>
      <c r="D2067" t="s">
        <v>384</v>
      </c>
      <c r="E2067" t="s">
        <v>97</v>
      </c>
      <c r="F2067" s="9" t="s">
        <v>105</v>
      </c>
      <c r="G2067" t="s">
        <v>26</v>
      </c>
      <c r="H2067" t="s">
        <v>99</v>
      </c>
      <c r="I2067" t="s">
        <v>100</v>
      </c>
      <c r="J2067" t="s">
        <v>101</v>
      </c>
      <c r="K2067" t="s">
        <v>102</v>
      </c>
      <c r="L2067" t="s">
        <v>29</v>
      </c>
      <c r="M2067" t="s">
        <v>30</v>
      </c>
      <c r="N2067" t="s">
        <v>99</v>
      </c>
      <c r="O2067" t="s">
        <v>100</v>
      </c>
      <c r="P2067" t="s">
        <v>101</v>
      </c>
      <c r="Q2067" t="s">
        <v>102</v>
      </c>
      <c r="R2067" s="1">
        <v>44237.468229166669</v>
      </c>
      <c r="S2067" s="1">
        <v>44237.468229166669</v>
      </c>
      <c r="T2067">
        <v>1</v>
      </c>
      <c r="U2067">
        <v>1</v>
      </c>
      <c r="V2067" s="2">
        <v>1</v>
      </c>
      <c r="W2067">
        <v>0</v>
      </c>
      <c r="X2067" t="s">
        <v>30</v>
      </c>
      <c r="Y2067">
        <v>0</v>
      </c>
      <c r="Z2067" t="s">
        <v>31</v>
      </c>
      <c r="AA2067">
        <v>0</v>
      </c>
      <c r="AB2067" t="s">
        <v>31</v>
      </c>
      <c r="AC2067">
        <v>0</v>
      </c>
      <c r="AD2067" t="s">
        <v>31</v>
      </c>
      <c r="AE2067">
        <v>0</v>
      </c>
      <c r="AF2067" t="s">
        <v>31</v>
      </c>
      <c r="AG2067">
        <v>0</v>
      </c>
      <c r="AH2067" t="s">
        <v>31</v>
      </c>
      <c r="AI2067">
        <v>0</v>
      </c>
      <c r="AJ2067" t="s">
        <v>31</v>
      </c>
      <c r="AK2067">
        <v>0</v>
      </c>
      <c r="AL2067" t="s">
        <v>31</v>
      </c>
      <c r="AM2067">
        <v>0</v>
      </c>
      <c r="AN2067" t="s">
        <v>31</v>
      </c>
      <c r="AO2067">
        <v>0</v>
      </c>
      <c r="AP2067" t="s">
        <v>31</v>
      </c>
      <c r="AQ2067">
        <v>0</v>
      </c>
    </row>
    <row r="2068" spans="1:43" x14ac:dyDescent="0.2">
      <c r="A2068" t="s">
        <v>381</v>
      </c>
      <c r="B2068" s="3">
        <v>44239</v>
      </c>
      <c r="C2068">
        <v>7</v>
      </c>
      <c r="D2068" t="s">
        <v>384</v>
      </c>
      <c r="E2068" t="s">
        <v>97</v>
      </c>
      <c r="F2068" s="9" t="s">
        <v>105</v>
      </c>
      <c r="G2068" t="s">
        <v>26</v>
      </c>
      <c r="H2068" t="s">
        <v>99</v>
      </c>
      <c r="I2068" t="s">
        <v>100</v>
      </c>
      <c r="J2068" t="s">
        <v>101</v>
      </c>
      <c r="K2068" t="s">
        <v>102</v>
      </c>
      <c r="L2068" t="s">
        <v>29</v>
      </c>
      <c r="M2068" t="s">
        <v>30</v>
      </c>
      <c r="N2068" t="s">
        <v>99</v>
      </c>
      <c r="O2068" t="s">
        <v>100</v>
      </c>
      <c r="P2068" t="s">
        <v>29</v>
      </c>
      <c r="Q2068" t="s">
        <v>30</v>
      </c>
      <c r="R2068" s="1">
        <v>44239.379340277781</v>
      </c>
      <c r="S2068" s="1">
        <v>44239.379340277781</v>
      </c>
      <c r="T2068">
        <v>1</v>
      </c>
      <c r="U2068">
        <v>1</v>
      </c>
      <c r="V2068" s="2">
        <v>1</v>
      </c>
      <c r="W2068">
        <v>0</v>
      </c>
      <c r="X2068" t="s">
        <v>30</v>
      </c>
      <c r="Y2068">
        <v>0</v>
      </c>
      <c r="Z2068" t="s">
        <v>31</v>
      </c>
      <c r="AA2068">
        <v>0</v>
      </c>
      <c r="AB2068" t="s">
        <v>31</v>
      </c>
      <c r="AC2068">
        <v>0</v>
      </c>
      <c r="AD2068" t="s">
        <v>31</v>
      </c>
      <c r="AE2068">
        <v>0</v>
      </c>
      <c r="AF2068" t="s">
        <v>31</v>
      </c>
      <c r="AG2068">
        <v>0</v>
      </c>
      <c r="AH2068" t="s">
        <v>31</v>
      </c>
      <c r="AI2068">
        <v>0</v>
      </c>
      <c r="AJ2068" t="s">
        <v>31</v>
      </c>
      <c r="AK2068">
        <v>0</v>
      </c>
      <c r="AL2068" t="s">
        <v>31</v>
      </c>
      <c r="AM2068">
        <v>0</v>
      </c>
      <c r="AN2068" t="s">
        <v>31</v>
      </c>
      <c r="AO2068">
        <v>0</v>
      </c>
      <c r="AP2068" t="s">
        <v>31</v>
      </c>
      <c r="AQ2068">
        <v>0</v>
      </c>
    </row>
    <row r="2069" spans="1:43" x14ac:dyDescent="0.2">
      <c r="A2069" t="s">
        <v>381</v>
      </c>
      <c r="B2069" s="3">
        <v>44357</v>
      </c>
      <c r="C2069">
        <v>132</v>
      </c>
      <c r="D2069" t="s">
        <v>399</v>
      </c>
      <c r="E2069" t="s">
        <v>97</v>
      </c>
      <c r="F2069" s="9" t="s">
        <v>105</v>
      </c>
      <c r="G2069" t="s">
        <v>26</v>
      </c>
      <c r="H2069" t="s">
        <v>99</v>
      </c>
      <c r="I2069" t="s">
        <v>100</v>
      </c>
      <c r="J2069" t="s">
        <v>29</v>
      </c>
      <c r="K2069" t="s">
        <v>30</v>
      </c>
      <c r="L2069" t="s">
        <v>29</v>
      </c>
      <c r="M2069" t="s">
        <v>30</v>
      </c>
      <c r="N2069" t="s">
        <v>99</v>
      </c>
      <c r="O2069" t="s">
        <v>100</v>
      </c>
      <c r="P2069" t="s">
        <v>29</v>
      </c>
      <c r="Q2069" t="s">
        <v>30</v>
      </c>
      <c r="R2069" s="1">
        <v>44357.469560185185</v>
      </c>
      <c r="S2069" s="1">
        <v>44357.469560185185</v>
      </c>
      <c r="T2069">
        <v>1</v>
      </c>
      <c r="U2069">
        <v>1</v>
      </c>
      <c r="V2069" s="2">
        <v>1</v>
      </c>
      <c r="W2069">
        <v>0</v>
      </c>
      <c r="X2069" t="s">
        <v>30</v>
      </c>
      <c r="Y2069">
        <v>0</v>
      </c>
      <c r="Z2069" t="s">
        <v>31</v>
      </c>
      <c r="AA2069">
        <v>0</v>
      </c>
      <c r="AB2069" t="s">
        <v>31</v>
      </c>
      <c r="AC2069">
        <v>0</v>
      </c>
      <c r="AD2069" t="s">
        <v>31</v>
      </c>
      <c r="AE2069">
        <v>0</v>
      </c>
      <c r="AF2069" t="s">
        <v>31</v>
      </c>
      <c r="AG2069">
        <v>0</v>
      </c>
      <c r="AH2069" t="s">
        <v>31</v>
      </c>
      <c r="AI2069">
        <v>0</v>
      </c>
      <c r="AJ2069" t="s">
        <v>31</v>
      </c>
      <c r="AK2069">
        <v>0</v>
      </c>
      <c r="AL2069" t="s">
        <v>31</v>
      </c>
      <c r="AM2069">
        <v>0</v>
      </c>
      <c r="AN2069" t="s">
        <v>31</v>
      </c>
      <c r="AO2069">
        <v>0</v>
      </c>
      <c r="AP2069" t="s">
        <v>31</v>
      </c>
      <c r="AQ2069">
        <v>0</v>
      </c>
    </row>
    <row r="2070" spans="1:43" x14ac:dyDescent="0.2">
      <c r="A2070" t="s">
        <v>381</v>
      </c>
      <c r="B2070" s="3">
        <v>44238</v>
      </c>
      <c r="C2070">
        <v>6</v>
      </c>
      <c r="D2070" t="s">
        <v>385</v>
      </c>
      <c r="E2070" t="s">
        <v>134</v>
      </c>
      <c r="F2070" s="9" t="s">
        <v>145</v>
      </c>
      <c r="G2070" t="s">
        <v>26</v>
      </c>
      <c r="H2070" t="s">
        <v>99</v>
      </c>
      <c r="I2070" t="s">
        <v>100</v>
      </c>
      <c r="J2070" t="s">
        <v>43</v>
      </c>
      <c r="K2070" t="s">
        <v>44</v>
      </c>
      <c r="L2070" t="s">
        <v>29</v>
      </c>
      <c r="M2070" t="s">
        <v>30</v>
      </c>
      <c r="N2070" t="s">
        <v>99</v>
      </c>
      <c r="O2070" t="s">
        <v>100</v>
      </c>
      <c r="P2070" t="s">
        <v>43</v>
      </c>
      <c r="Q2070" t="s">
        <v>44</v>
      </c>
      <c r="R2070" s="1">
        <v>44238.643900462965</v>
      </c>
      <c r="S2070" s="1">
        <v>44238.647314814814</v>
      </c>
      <c r="T2070">
        <v>0</v>
      </c>
      <c r="U2070">
        <v>4</v>
      </c>
      <c r="V2070" s="2">
        <v>0</v>
      </c>
      <c r="W2070">
        <v>0</v>
      </c>
      <c r="X2070" t="s">
        <v>44</v>
      </c>
      <c r="Y2070">
        <v>0</v>
      </c>
      <c r="Z2070" t="s">
        <v>44</v>
      </c>
      <c r="AA2070">
        <v>0</v>
      </c>
      <c r="AB2070" t="s">
        <v>45</v>
      </c>
      <c r="AC2070">
        <v>0</v>
      </c>
      <c r="AD2070" t="s">
        <v>113</v>
      </c>
      <c r="AE2070">
        <v>0</v>
      </c>
      <c r="AF2070" t="s">
        <v>31</v>
      </c>
      <c r="AG2070">
        <v>0</v>
      </c>
      <c r="AH2070" t="s">
        <v>31</v>
      </c>
      <c r="AI2070">
        <v>0</v>
      </c>
      <c r="AJ2070" t="s">
        <v>31</v>
      </c>
      <c r="AK2070">
        <v>0</v>
      </c>
      <c r="AL2070" t="s">
        <v>31</v>
      </c>
      <c r="AM2070">
        <v>0</v>
      </c>
      <c r="AN2070" t="s">
        <v>31</v>
      </c>
      <c r="AO2070">
        <v>0</v>
      </c>
      <c r="AP2070" t="s">
        <v>31</v>
      </c>
      <c r="AQ2070">
        <v>0</v>
      </c>
    </row>
    <row r="2071" spans="1:43" x14ac:dyDescent="0.2">
      <c r="A2071" t="s">
        <v>381</v>
      </c>
      <c r="B2071" s="3">
        <v>44238</v>
      </c>
      <c r="C2071">
        <v>5</v>
      </c>
      <c r="D2071" t="s">
        <v>382</v>
      </c>
      <c r="E2071" t="s">
        <v>134</v>
      </c>
      <c r="F2071" s="9" t="s">
        <v>135</v>
      </c>
      <c r="G2071" t="s">
        <v>26</v>
      </c>
      <c r="H2071" t="s">
        <v>108</v>
      </c>
      <c r="I2071" t="s">
        <v>109</v>
      </c>
      <c r="J2071" t="s">
        <v>43</v>
      </c>
      <c r="K2071" t="s">
        <v>44</v>
      </c>
      <c r="L2071" t="s">
        <v>29</v>
      </c>
      <c r="M2071" t="s">
        <v>30</v>
      </c>
      <c r="N2071" t="s">
        <v>108</v>
      </c>
      <c r="O2071" t="s">
        <v>109</v>
      </c>
      <c r="P2071" t="s">
        <v>43</v>
      </c>
      <c r="Q2071" t="s">
        <v>44</v>
      </c>
      <c r="R2071" s="1">
        <v>44238.453298611108</v>
      </c>
      <c r="S2071" s="1">
        <v>44238.453298611108</v>
      </c>
      <c r="T2071">
        <v>1</v>
      </c>
      <c r="U2071">
        <v>1</v>
      </c>
      <c r="V2071" s="2">
        <v>1</v>
      </c>
      <c r="W2071">
        <v>0</v>
      </c>
      <c r="X2071" t="s">
        <v>30</v>
      </c>
      <c r="Y2071">
        <v>0</v>
      </c>
      <c r="Z2071" t="s">
        <v>31</v>
      </c>
      <c r="AA2071">
        <v>0</v>
      </c>
      <c r="AB2071" t="s">
        <v>31</v>
      </c>
      <c r="AC2071">
        <v>0</v>
      </c>
      <c r="AD2071" t="s">
        <v>31</v>
      </c>
      <c r="AE2071">
        <v>0</v>
      </c>
      <c r="AF2071" t="s">
        <v>31</v>
      </c>
      <c r="AG2071">
        <v>0</v>
      </c>
      <c r="AH2071" t="s">
        <v>31</v>
      </c>
      <c r="AI2071">
        <v>0</v>
      </c>
      <c r="AJ2071" t="s">
        <v>31</v>
      </c>
      <c r="AK2071">
        <v>0</v>
      </c>
      <c r="AL2071" t="s">
        <v>31</v>
      </c>
      <c r="AM2071">
        <v>0</v>
      </c>
      <c r="AN2071" t="s">
        <v>31</v>
      </c>
      <c r="AO2071">
        <v>0</v>
      </c>
      <c r="AP2071" t="s">
        <v>31</v>
      </c>
      <c r="AQ2071">
        <v>0</v>
      </c>
    </row>
    <row r="2072" spans="1:43" x14ac:dyDescent="0.2">
      <c r="A2072" t="s">
        <v>381</v>
      </c>
      <c r="B2072" s="3">
        <v>44238</v>
      </c>
      <c r="C2072">
        <v>6</v>
      </c>
      <c r="D2072" t="s">
        <v>385</v>
      </c>
      <c r="E2072" t="s">
        <v>134</v>
      </c>
      <c r="F2072" s="9" t="s">
        <v>135</v>
      </c>
      <c r="G2072" t="s">
        <v>26</v>
      </c>
      <c r="H2072" t="s">
        <v>108</v>
      </c>
      <c r="I2072" t="s">
        <v>109</v>
      </c>
      <c r="J2072" t="s">
        <v>43</v>
      </c>
      <c r="K2072" t="s">
        <v>44</v>
      </c>
      <c r="L2072" t="s">
        <v>29</v>
      </c>
      <c r="M2072" t="s">
        <v>30</v>
      </c>
      <c r="N2072" t="s">
        <v>108</v>
      </c>
      <c r="O2072" t="s">
        <v>109</v>
      </c>
      <c r="P2072" t="s">
        <v>43</v>
      </c>
      <c r="Q2072" t="s">
        <v>44</v>
      </c>
      <c r="R2072" s="1">
        <v>44238.630393518521</v>
      </c>
      <c r="S2072" s="1">
        <v>44238.630416666667</v>
      </c>
      <c r="T2072">
        <v>0</v>
      </c>
      <c r="U2072">
        <v>3</v>
      </c>
      <c r="V2072" s="2">
        <v>0</v>
      </c>
      <c r="W2072">
        <v>0</v>
      </c>
      <c r="X2072" t="s">
        <v>44</v>
      </c>
      <c r="Y2072">
        <v>0</v>
      </c>
      <c r="Z2072" t="s">
        <v>44</v>
      </c>
      <c r="AA2072">
        <v>0</v>
      </c>
      <c r="AB2072" t="s">
        <v>47</v>
      </c>
      <c r="AC2072">
        <v>0</v>
      </c>
      <c r="AD2072" t="s">
        <v>31</v>
      </c>
      <c r="AE2072">
        <v>0</v>
      </c>
      <c r="AF2072" t="s">
        <v>31</v>
      </c>
      <c r="AG2072">
        <v>0</v>
      </c>
      <c r="AH2072" t="s">
        <v>31</v>
      </c>
      <c r="AI2072">
        <v>0</v>
      </c>
      <c r="AJ2072" t="s">
        <v>31</v>
      </c>
      <c r="AK2072">
        <v>0</v>
      </c>
      <c r="AL2072" t="s">
        <v>31</v>
      </c>
      <c r="AM2072">
        <v>0</v>
      </c>
      <c r="AN2072" t="s">
        <v>31</v>
      </c>
      <c r="AO2072">
        <v>0</v>
      </c>
      <c r="AP2072" t="s">
        <v>31</v>
      </c>
      <c r="AQ2072">
        <v>0</v>
      </c>
    </row>
    <row r="2073" spans="1:43" x14ac:dyDescent="0.2">
      <c r="A2073" t="s">
        <v>381</v>
      </c>
      <c r="B2073" s="3">
        <v>44239</v>
      </c>
      <c r="C2073">
        <v>7</v>
      </c>
      <c r="D2073" t="s">
        <v>384</v>
      </c>
      <c r="E2073" t="s">
        <v>134</v>
      </c>
      <c r="F2073" s="9" t="s">
        <v>135</v>
      </c>
      <c r="G2073" t="s">
        <v>26</v>
      </c>
      <c r="H2073" t="s">
        <v>108</v>
      </c>
      <c r="I2073" t="s">
        <v>109</v>
      </c>
      <c r="J2073" t="s">
        <v>43</v>
      </c>
      <c r="K2073" t="s">
        <v>44</v>
      </c>
      <c r="L2073" t="s">
        <v>29</v>
      </c>
      <c r="M2073" t="s">
        <v>30</v>
      </c>
      <c r="N2073" t="s">
        <v>99</v>
      </c>
      <c r="O2073" t="s">
        <v>100</v>
      </c>
      <c r="P2073" t="s">
        <v>43</v>
      </c>
      <c r="Q2073" t="s">
        <v>44</v>
      </c>
      <c r="R2073" s="1">
        <v>44239.379282407404</v>
      </c>
      <c r="S2073" s="1">
        <v>44239.379282407404</v>
      </c>
      <c r="T2073">
        <v>1</v>
      </c>
      <c r="U2073">
        <v>1</v>
      </c>
      <c r="V2073" s="2">
        <v>1</v>
      </c>
      <c r="W2073">
        <v>0</v>
      </c>
      <c r="X2073" t="s">
        <v>30</v>
      </c>
      <c r="Y2073">
        <v>0</v>
      </c>
      <c r="Z2073" t="s">
        <v>31</v>
      </c>
      <c r="AA2073">
        <v>0</v>
      </c>
      <c r="AB2073" t="s">
        <v>31</v>
      </c>
      <c r="AC2073">
        <v>0</v>
      </c>
      <c r="AD2073" t="s">
        <v>31</v>
      </c>
      <c r="AE2073">
        <v>0</v>
      </c>
      <c r="AF2073" t="s">
        <v>31</v>
      </c>
      <c r="AG2073">
        <v>0</v>
      </c>
      <c r="AH2073" t="s">
        <v>31</v>
      </c>
      <c r="AI2073">
        <v>0</v>
      </c>
      <c r="AJ2073" t="s">
        <v>31</v>
      </c>
      <c r="AK2073">
        <v>0</v>
      </c>
      <c r="AL2073" t="s">
        <v>31</v>
      </c>
      <c r="AM2073">
        <v>0</v>
      </c>
      <c r="AN2073" t="s">
        <v>31</v>
      </c>
      <c r="AO2073">
        <v>0</v>
      </c>
      <c r="AP2073" t="s">
        <v>31</v>
      </c>
      <c r="AQ2073">
        <v>0</v>
      </c>
    </row>
    <row r="2074" spans="1:43" x14ac:dyDescent="0.2">
      <c r="A2074" t="s">
        <v>381</v>
      </c>
      <c r="B2074" s="3">
        <v>44375</v>
      </c>
      <c r="C2074">
        <v>141</v>
      </c>
      <c r="D2074" t="s">
        <v>396</v>
      </c>
      <c r="E2074" t="s">
        <v>134</v>
      </c>
      <c r="F2074" s="9" t="s">
        <v>135</v>
      </c>
      <c r="G2074" t="s">
        <v>26</v>
      </c>
      <c r="H2074" t="s">
        <v>99</v>
      </c>
      <c r="I2074" t="s">
        <v>100</v>
      </c>
      <c r="J2074" t="s">
        <v>43</v>
      </c>
      <c r="K2074" t="s">
        <v>44</v>
      </c>
      <c r="L2074" t="s">
        <v>29</v>
      </c>
      <c r="M2074" t="s">
        <v>30</v>
      </c>
      <c r="N2074" t="s">
        <v>99</v>
      </c>
      <c r="O2074" t="s">
        <v>100</v>
      </c>
      <c r="P2074" t="s">
        <v>43</v>
      </c>
      <c r="Q2074" t="s">
        <v>44</v>
      </c>
      <c r="R2074" s="1">
        <v>44375.656655092593</v>
      </c>
      <c r="S2074" s="1">
        <v>44375.656655092593</v>
      </c>
      <c r="T2074">
        <v>1</v>
      </c>
      <c r="U2074">
        <v>1</v>
      </c>
      <c r="V2074" s="2">
        <v>1</v>
      </c>
      <c r="W2074">
        <v>0</v>
      </c>
      <c r="X2074" t="s">
        <v>30</v>
      </c>
      <c r="Y2074">
        <v>0</v>
      </c>
      <c r="Z2074" t="s">
        <v>31</v>
      </c>
      <c r="AA2074">
        <v>0</v>
      </c>
      <c r="AB2074" t="s">
        <v>31</v>
      </c>
      <c r="AC2074">
        <v>0</v>
      </c>
      <c r="AD2074" t="s">
        <v>31</v>
      </c>
      <c r="AE2074">
        <v>0</v>
      </c>
      <c r="AF2074" t="s">
        <v>31</v>
      </c>
      <c r="AG2074">
        <v>0</v>
      </c>
      <c r="AH2074" t="s">
        <v>31</v>
      </c>
      <c r="AI2074">
        <v>0</v>
      </c>
      <c r="AJ2074" t="s">
        <v>31</v>
      </c>
      <c r="AK2074">
        <v>0</v>
      </c>
      <c r="AL2074" t="s">
        <v>31</v>
      </c>
      <c r="AM2074">
        <v>0</v>
      </c>
      <c r="AN2074" t="s">
        <v>31</v>
      </c>
      <c r="AO2074">
        <v>0</v>
      </c>
      <c r="AP2074" t="s">
        <v>31</v>
      </c>
      <c r="AQ2074">
        <v>0</v>
      </c>
    </row>
    <row r="2075" spans="1:43" x14ac:dyDescent="0.2">
      <c r="A2075" t="s">
        <v>381</v>
      </c>
      <c r="B2075" s="3">
        <v>44238</v>
      </c>
      <c r="C2075">
        <v>5</v>
      </c>
      <c r="D2075" t="s">
        <v>382</v>
      </c>
      <c r="E2075" t="s">
        <v>134</v>
      </c>
      <c r="F2075" s="9" t="s">
        <v>136</v>
      </c>
      <c r="G2075" t="s">
        <v>26</v>
      </c>
      <c r="H2075" t="s">
        <v>108</v>
      </c>
      <c r="I2075" t="s">
        <v>109</v>
      </c>
      <c r="J2075" t="s">
        <v>43</v>
      </c>
      <c r="K2075" t="s">
        <v>44</v>
      </c>
      <c r="L2075" t="s">
        <v>29</v>
      </c>
      <c r="M2075" t="s">
        <v>30</v>
      </c>
      <c r="N2075" t="s">
        <v>99</v>
      </c>
      <c r="O2075" t="s">
        <v>100</v>
      </c>
      <c r="P2075" t="s">
        <v>43</v>
      </c>
      <c r="Q2075" t="s">
        <v>44</v>
      </c>
      <c r="R2075" s="1">
        <v>44238.457789351851</v>
      </c>
      <c r="S2075" s="1">
        <v>44238.457789351851</v>
      </c>
      <c r="T2075">
        <v>1</v>
      </c>
      <c r="U2075">
        <v>1</v>
      </c>
      <c r="V2075" s="2">
        <v>1</v>
      </c>
      <c r="W2075">
        <v>0</v>
      </c>
      <c r="X2075" t="s">
        <v>30</v>
      </c>
      <c r="Y2075">
        <v>0</v>
      </c>
      <c r="Z2075" t="s">
        <v>31</v>
      </c>
      <c r="AA2075">
        <v>0</v>
      </c>
      <c r="AB2075" t="s">
        <v>31</v>
      </c>
      <c r="AC2075">
        <v>0</v>
      </c>
      <c r="AD2075" t="s">
        <v>31</v>
      </c>
      <c r="AE2075">
        <v>0</v>
      </c>
      <c r="AF2075" t="s">
        <v>31</v>
      </c>
      <c r="AG2075">
        <v>0</v>
      </c>
      <c r="AH2075" t="s">
        <v>31</v>
      </c>
      <c r="AI2075">
        <v>0</v>
      </c>
      <c r="AJ2075" t="s">
        <v>31</v>
      </c>
      <c r="AK2075">
        <v>0</v>
      </c>
      <c r="AL2075" t="s">
        <v>31</v>
      </c>
      <c r="AM2075">
        <v>0</v>
      </c>
      <c r="AN2075" t="s">
        <v>31</v>
      </c>
      <c r="AO2075">
        <v>0</v>
      </c>
      <c r="AP2075" t="s">
        <v>31</v>
      </c>
      <c r="AQ2075">
        <v>0</v>
      </c>
    </row>
    <row r="2076" spans="1:43" x14ac:dyDescent="0.2">
      <c r="A2076" t="s">
        <v>381</v>
      </c>
      <c r="B2076" s="3">
        <v>44238</v>
      </c>
      <c r="C2076">
        <v>5</v>
      </c>
      <c r="D2076" t="s">
        <v>382</v>
      </c>
      <c r="E2076" t="s">
        <v>134</v>
      </c>
      <c r="F2076" s="9" t="s">
        <v>137</v>
      </c>
      <c r="G2076" t="s">
        <v>26</v>
      </c>
      <c r="H2076" t="s">
        <v>108</v>
      </c>
      <c r="I2076" t="s">
        <v>109</v>
      </c>
      <c r="J2076" t="s">
        <v>43</v>
      </c>
      <c r="K2076" t="s">
        <v>44</v>
      </c>
      <c r="L2076" t="s">
        <v>29</v>
      </c>
      <c r="M2076" t="s">
        <v>30</v>
      </c>
      <c r="N2076" t="s">
        <v>99</v>
      </c>
      <c r="O2076" t="s">
        <v>100</v>
      </c>
      <c r="P2076" t="s">
        <v>43</v>
      </c>
      <c r="Q2076" t="s">
        <v>44</v>
      </c>
      <c r="R2076" s="1">
        <v>44238.457465277781</v>
      </c>
      <c r="S2076" s="1">
        <v>44238.457465277781</v>
      </c>
      <c r="T2076">
        <v>1</v>
      </c>
      <c r="U2076">
        <v>1</v>
      </c>
      <c r="V2076" s="2">
        <v>1</v>
      </c>
      <c r="W2076">
        <v>0</v>
      </c>
      <c r="X2076" t="s">
        <v>30</v>
      </c>
      <c r="Y2076">
        <v>0</v>
      </c>
      <c r="Z2076" t="s">
        <v>31</v>
      </c>
      <c r="AA2076">
        <v>0</v>
      </c>
      <c r="AB2076" t="s">
        <v>31</v>
      </c>
      <c r="AC2076">
        <v>0</v>
      </c>
      <c r="AD2076" t="s">
        <v>31</v>
      </c>
      <c r="AE2076">
        <v>0</v>
      </c>
      <c r="AF2076" t="s">
        <v>31</v>
      </c>
      <c r="AG2076">
        <v>0</v>
      </c>
      <c r="AH2076" t="s">
        <v>31</v>
      </c>
      <c r="AI2076">
        <v>0</v>
      </c>
      <c r="AJ2076" t="s">
        <v>31</v>
      </c>
      <c r="AK2076">
        <v>0</v>
      </c>
      <c r="AL2076" t="s">
        <v>31</v>
      </c>
      <c r="AM2076">
        <v>0</v>
      </c>
      <c r="AN2076" t="s">
        <v>31</v>
      </c>
      <c r="AO2076">
        <v>0</v>
      </c>
      <c r="AP2076" t="s">
        <v>31</v>
      </c>
      <c r="AQ2076">
        <v>0</v>
      </c>
    </row>
    <row r="2077" spans="1:43" x14ac:dyDescent="0.2">
      <c r="A2077" t="s">
        <v>381</v>
      </c>
      <c r="B2077" s="3">
        <v>44238</v>
      </c>
      <c r="C2077">
        <v>5</v>
      </c>
      <c r="D2077" t="s">
        <v>382</v>
      </c>
      <c r="E2077" t="s">
        <v>134</v>
      </c>
      <c r="F2077" s="9" t="s">
        <v>138</v>
      </c>
      <c r="G2077" t="s">
        <v>26</v>
      </c>
      <c r="H2077" t="s">
        <v>108</v>
      </c>
      <c r="I2077" t="s">
        <v>109</v>
      </c>
      <c r="J2077" t="s">
        <v>43</v>
      </c>
      <c r="K2077" t="s">
        <v>44</v>
      </c>
      <c r="L2077" t="s">
        <v>29</v>
      </c>
      <c r="M2077" t="s">
        <v>30</v>
      </c>
      <c r="N2077" t="s">
        <v>99</v>
      </c>
      <c r="O2077" t="s">
        <v>100</v>
      </c>
      <c r="P2077" t="s">
        <v>43</v>
      </c>
      <c r="Q2077" t="s">
        <v>44</v>
      </c>
      <c r="R2077" s="1">
        <v>44238.457696759258</v>
      </c>
      <c r="S2077" s="1">
        <v>44238.457696759258</v>
      </c>
      <c r="T2077">
        <v>1</v>
      </c>
      <c r="U2077">
        <v>1</v>
      </c>
      <c r="V2077" s="2">
        <v>1</v>
      </c>
      <c r="W2077">
        <v>0</v>
      </c>
      <c r="X2077" t="s">
        <v>30</v>
      </c>
      <c r="Y2077">
        <v>0</v>
      </c>
      <c r="Z2077" t="s">
        <v>31</v>
      </c>
      <c r="AA2077">
        <v>0</v>
      </c>
      <c r="AB2077" t="s">
        <v>31</v>
      </c>
      <c r="AC2077">
        <v>0</v>
      </c>
      <c r="AD2077" t="s">
        <v>31</v>
      </c>
      <c r="AE2077">
        <v>0</v>
      </c>
      <c r="AF2077" t="s">
        <v>31</v>
      </c>
      <c r="AG2077">
        <v>0</v>
      </c>
      <c r="AH2077" t="s">
        <v>31</v>
      </c>
      <c r="AI2077">
        <v>0</v>
      </c>
      <c r="AJ2077" t="s">
        <v>31</v>
      </c>
      <c r="AK2077">
        <v>0</v>
      </c>
      <c r="AL2077" t="s">
        <v>31</v>
      </c>
      <c r="AM2077">
        <v>0</v>
      </c>
      <c r="AN2077" t="s">
        <v>31</v>
      </c>
      <c r="AO2077">
        <v>0</v>
      </c>
      <c r="AP2077" t="s">
        <v>31</v>
      </c>
      <c r="AQ2077">
        <v>0</v>
      </c>
    </row>
    <row r="2078" spans="1:43" x14ac:dyDescent="0.2">
      <c r="A2078" t="s">
        <v>381</v>
      </c>
      <c r="B2078" s="3">
        <v>44357</v>
      </c>
      <c r="C2078">
        <v>132</v>
      </c>
      <c r="D2078" t="s">
        <v>399</v>
      </c>
      <c r="E2078" t="s">
        <v>134</v>
      </c>
      <c r="F2078" s="9" t="s">
        <v>138</v>
      </c>
      <c r="G2078" t="s">
        <v>26</v>
      </c>
      <c r="H2078" t="s">
        <v>99</v>
      </c>
      <c r="I2078" t="s">
        <v>100</v>
      </c>
      <c r="J2078" t="s">
        <v>43</v>
      </c>
      <c r="K2078" t="s">
        <v>44</v>
      </c>
      <c r="L2078" t="s">
        <v>29</v>
      </c>
      <c r="M2078" t="s">
        <v>30</v>
      </c>
      <c r="N2078" t="s">
        <v>99</v>
      </c>
      <c r="O2078" t="s">
        <v>100</v>
      </c>
      <c r="P2078" t="s">
        <v>43</v>
      </c>
      <c r="Q2078" t="s">
        <v>44</v>
      </c>
      <c r="R2078" s="1">
        <v>44357.468298611115</v>
      </c>
      <c r="S2078" s="1">
        <v>44357.468333333331</v>
      </c>
      <c r="T2078">
        <v>0</v>
      </c>
      <c r="U2078">
        <v>4</v>
      </c>
      <c r="V2078" s="2">
        <v>0</v>
      </c>
      <c r="W2078">
        <v>0</v>
      </c>
      <c r="X2078" t="s">
        <v>44</v>
      </c>
      <c r="Y2078">
        <v>0</v>
      </c>
      <c r="Z2078" t="s">
        <v>45</v>
      </c>
      <c r="AA2078">
        <v>0</v>
      </c>
      <c r="AB2078" t="s">
        <v>113</v>
      </c>
      <c r="AC2078">
        <v>0</v>
      </c>
      <c r="AD2078" t="s">
        <v>47</v>
      </c>
      <c r="AE2078">
        <v>0</v>
      </c>
      <c r="AF2078" t="s">
        <v>31</v>
      </c>
      <c r="AG2078">
        <v>0</v>
      </c>
      <c r="AH2078" t="s">
        <v>31</v>
      </c>
      <c r="AI2078">
        <v>0</v>
      </c>
      <c r="AJ2078" t="s">
        <v>31</v>
      </c>
      <c r="AK2078">
        <v>0</v>
      </c>
      <c r="AL2078" t="s">
        <v>31</v>
      </c>
      <c r="AM2078">
        <v>0</v>
      </c>
      <c r="AN2078" t="s">
        <v>31</v>
      </c>
      <c r="AO2078">
        <v>0</v>
      </c>
      <c r="AP2078" t="s">
        <v>31</v>
      </c>
      <c r="AQ2078">
        <v>0</v>
      </c>
    </row>
    <row r="2079" spans="1:43" x14ac:dyDescent="0.2">
      <c r="A2079" t="s">
        <v>381</v>
      </c>
      <c r="B2079" s="3">
        <v>44238</v>
      </c>
      <c r="C2079">
        <v>5</v>
      </c>
      <c r="D2079" t="s">
        <v>382</v>
      </c>
      <c r="E2079" t="s">
        <v>134</v>
      </c>
      <c r="F2079" s="9" t="s">
        <v>139</v>
      </c>
      <c r="G2079" t="s">
        <v>26</v>
      </c>
      <c r="H2079" t="s">
        <v>99</v>
      </c>
      <c r="I2079" t="s">
        <v>100</v>
      </c>
      <c r="J2079" t="s">
        <v>43</v>
      </c>
      <c r="K2079" t="s">
        <v>44</v>
      </c>
      <c r="L2079" t="s">
        <v>29</v>
      </c>
      <c r="M2079" t="s">
        <v>30</v>
      </c>
      <c r="N2079" t="s">
        <v>99</v>
      </c>
      <c r="O2079" t="s">
        <v>100</v>
      </c>
      <c r="P2079" t="s">
        <v>43</v>
      </c>
      <c r="Q2079" t="s">
        <v>44</v>
      </c>
      <c r="R2079" s="1">
        <v>44238.457731481481</v>
      </c>
      <c r="S2079" s="1">
        <v>44238.457731481481</v>
      </c>
      <c r="T2079">
        <v>1</v>
      </c>
      <c r="U2079">
        <v>1</v>
      </c>
      <c r="V2079" s="2">
        <v>1</v>
      </c>
      <c r="W2079">
        <v>0</v>
      </c>
      <c r="X2079" t="s">
        <v>30</v>
      </c>
      <c r="Y2079">
        <v>0</v>
      </c>
      <c r="Z2079" t="s">
        <v>31</v>
      </c>
      <c r="AA2079">
        <v>0</v>
      </c>
      <c r="AB2079" t="s">
        <v>31</v>
      </c>
      <c r="AC2079">
        <v>0</v>
      </c>
      <c r="AD2079" t="s">
        <v>31</v>
      </c>
      <c r="AE2079">
        <v>0</v>
      </c>
      <c r="AF2079" t="s">
        <v>31</v>
      </c>
      <c r="AG2079">
        <v>0</v>
      </c>
      <c r="AH2079" t="s">
        <v>31</v>
      </c>
      <c r="AI2079">
        <v>0</v>
      </c>
      <c r="AJ2079" t="s">
        <v>31</v>
      </c>
      <c r="AK2079">
        <v>0</v>
      </c>
      <c r="AL2079" t="s">
        <v>31</v>
      </c>
      <c r="AM2079">
        <v>0</v>
      </c>
      <c r="AN2079" t="s">
        <v>31</v>
      </c>
      <c r="AO2079">
        <v>0</v>
      </c>
      <c r="AP2079" t="s">
        <v>31</v>
      </c>
      <c r="AQ2079">
        <v>0</v>
      </c>
    </row>
    <row r="2080" spans="1:43" x14ac:dyDescent="0.2">
      <c r="A2080" t="s">
        <v>381</v>
      </c>
      <c r="B2080" s="3">
        <v>44357</v>
      </c>
      <c r="C2080">
        <v>132</v>
      </c>
      <c r="D2080" t="s">
        <v>399</v>
      </c>
      <c r="E2080" t="s">
        <v>134</v>
      </c>
      <c r="F2080" s="9" t="s">
        <v>139</v>
      </c>
      <c r="G2080" t="s">
        <v>26</v>
      </c>
      <c r="H2080" t="s">
        <v>99</v>
      </c>
      <c r="I2080" t="s">
        <v>100</v>
      </c>
      <c r="J2080" t="s">
        <v>43</v>
      </c>
      <c r="K2080" t="s">
        <v>44</v>
      </c>
      <c r="L2080" t="s">
        <v>29</v>
      </c>
      <c r="M2080" t="s">
        <v>30</v>
      </c>
      <c r="N2080" t="s">
        <v>99</v>
      </c>
      <c r="O2080" t="s">
        <v>100</v>
      </c>
      <c r="P2080" t="s">
        <v>162</v>
      </c>
      <c r="Q2080" t="s">
        <v>47</v>
      </c>
      <c r="R2080" s="1">
        <v>44357.467870370368</v>
      </c>
      <c r="S2080" s="1">
        <v>44357.467870370368</v>
      </c>
      <c r="T2080">
        <v>1</v>
      </c>
      <c r="U2080">
        <v>1</v>
      </c>
      <c r="V2080" s="2">
        <v>1</v>
      </c>
      <c r="W2080">
        <v>0</v>
      </c>
      <c r="X2080" t="s">
        <v>30</v>
      </c>
      <c r="Y2080">
        <v>0</v>
      </c>
      <c r="Z2080" t="s">
        <v>31</v>
      </c>
      <c r="AA2080">
        <v>0</v>
      </c>
      <c r="AB2080" t="s">
        <v>31</v>
      </c>
      <c r="AC2080">
        <v>0</v>
      </c>
      <c r="AD2080" t="s">
        <v>31</v>
      </c>
      <c r="AE2080">
        <v>0</v>
      </c>
      <c r="AF2080" t="s">
        <v>31</v>
      </c>
      <c r="AG2080">
        <v>0</v>
      </c>
      <c r="AH2080" t="s">
        <v>31</v>
      </c>
      <c r="AI2080">
        <v>0</v>
      </c>
      <c r="AJ2080" t="s">
        <v>31</v>
      </c>
      <c r="AK2080">
        <v>0</v>
      </c>
      <c r="AL2080" t="s">
        <v>31</v>
      </c>
      <c r="AM2080">
        <v>0</v>
      </c>
      <c r="AN2080" t="s">
        <v>31</v>
      </c>
      <c r="AO2080">
        <v>0</v>
      </c>
      <c r="AP2080" t="s">
        <v>31</v>
      </c>
      <c r="AQ2080">
        <v>0</v>
      </c>
    </row>
    <row r="2081" spans="1:43" x14ac:dyDescent="0.2">
      <c r="A2081" t="s">
        <v>381</v>
      </c>
      <c r="B2081" s="3">
        <v>44292</v>
      </c>
      <c r="C2081">
        <v>52</v>
      </c>
      <c r="D2081" t="s">
        <v>386</v>
      </c>
      <c r="E2081" t="s">
        <v>134</v>
      </c>
      <c r="F2081" s="9" t="s">
        <v>104</v>
      </c>
      <c r="G2081" t="s">
        <v>26</v>
      </c>
      <c r="H2081" t="s">
        <v>155</v>
      </c>
      <c r="I2081" t="s">
        <v>156</v>
      </c>
      <c r="J2081" t="s">
        <v>162</v>
      </c>
      <c r="K2081" t="s">
        <v>47</v>
      </c>
      <c r="L2081" t="s">
        <v>162</v>
      </c>
      <c r="M2081" t="s">
        <v>47</v>
      </c>
      <c r="N2081" t="s">
        <v>41</v>
      </c>
      <c r="O2081" t="s">
        <v>42</v>
      </c>
      <c r="P2081" t="s">
        <v>43</v>
      </c>
      <c r="Q2081" t="s">
        <v>44</v>
      </c>
      <c r="R2081" s="1">
        <v>44292.555648148147</v>
      </c>
      <c r="S2081" s="1">
        <v>44292.55572916667</v>
      </c>
      <c r="T2081">
        <v>5</v>
      </c>
      <c r="U2081">
        <v>5</v>
      </c>
      <c r="V2081" s="2">
        <v>1</v>
      </c>
      <c r="W2081">
        <v>0</v>
      </c>
      <c r="X2081" t="s">
        <v>47</v>
      </c>
      <c r="Y2081">
        <v>0</v>
      </c>
      <c r="Z2081" t="s">
        <v>47</v>
      </c>
      <c r="AA2081">
        <v>0</v>
      </c>
      <c r="AB2081" t="s">
        <v>47</v>
      </c>
      <c r="AC2081">
        <v>0</v>
      </c>
      <c r="AD2081" t="s">
        <v>47</v>
      </c>
      <c r="AE2081">
        <v>0</v>
      </c>
      <c r="AF2081" t="s">
        <v>47</v>
      </c>
      <c r="AG2081">
        <v>0</v>
      </c>
      <c r="AH2081" t="s">
        <v>31</v>
      </c>
      <c r="AI2081">
        <v>0</v>
      </c>
      <c r="AJ2081" t="s">
        <v>31</v>
      </c>
      <c r="AK2081">
        <v>0</v>
      </c>
      <c r="AL2081" t="s">
        <v>31</v>
      </c>
      <c r="AM2081">
        <v>0</v>
      </c>
      <c r="AN2081" t="s">
        <v>31</v>
      </c>
      <c r="AO2081">
        <v>0</v>
      </c>
      <c r="AP2081" t="s">
        <v>31</v>
      </c>
      <c r="AQ2081">
        <v>0</v>
      </c>
    </row>
    <row r="2082" spans="1:43" x14ac:dyDescent="0.2">
      <c r="A2082" t="s">
        <v>381</v>
      </c>
      <c r="B2082" s="3">
        <v>44293</v>
      </c>
      <c r="C2082">
        <v>53</v>
      </c>
      <c r="D2082" t="s">
        <v>384</v>
      </c>
      <c r="E2082" t="s">
        <v>134</v>
      </c>
      <c r="F2082" s="9" t="s">
        <v>104</v>
      </c>
      <c r="G2082" t="s">
        <v>26</v>
      </c>
      <c r="H2082" t="s">
        <v>41</v>
      </c>
      <c r="I2082" t="s">
        <v>42</v>
      </c>
      <c r="J2082" t="s">
        <v>43</v>
      </c>
      <c r="K2082" t="s">
        <v>44</v>
      </c>
      <c r="L2082" t="s">
        <v>29</v>
      </c>
      <c r="M2082" t="s">
        <v>30</v>
      </c>
      <c r="N2082" t="s">
        <v>41</v>
      </c>
      <c r="O2082" t="s">
        <v>42</v>
      </c>
      <c r="P2082" t="s">
        <v>43</v>
      </c>
      <c r="Q2082" t="s">
        <v>44</v>
      </c>
      <c r="R2082" s="1">
        <v>44293.453715277778</v>
      </c>
      <c r="S2082" s="1">
        <v>44293.45417824074</v>
      </c>
      <c r="T2082">
        <v>2</v>
      </c>
      <c r="U2082">
        <v>2</v>
      </c>
      <c r="V2082" s="2">
        <v>1</v>
      </c>
      <c r="W2082">
        <v>0</v>
      </c>
      <c r="X2082" t="s">
        <v>30</v>
      </c>
      <c r="Y2082">
        <v>0</v>
      </c>
      <c r="Z2082" t="s">
        <v>30</v>
      </c>
      <c r="AA2082">
        <v>0</v>
      </c>
      <c r="AB2082" t="s">
        <v>31</v>
      </c>
      <c r="AC2082">
        <v>0</v>
      </c>
      <c r="AD2082" t="s">
        <v>31</v>
      </c>
      <c r="AE2082">
        <v>0</v>
      </c>
      <c r="AF2082" t="s">
        <v>31</v>
      </c>
      <c r="AG2082">
        <v>0</v>
      </c>
      <c r="AH2082" t="s">
        <v>31</v>
      </c>
      <c r="AI2082">
        <v>0</v>
      </c>
      <c r="AJ2082" t="s">
        <v>31</v>
      </c>
      <c r="AK2082">
        <v>0</v>
      </c>
      <c r="AL2082" t="s">
        <v>31</v>
      </c>
      <c r="AM2082">
        <v>0</v>
      </c>
      <c r="AN2082" t="s">
        <v>31</v>
      </c>
      <c r="AO2082">
        <v>0</v>
      </c>
      <c r="AP2082" t="s">
        <v>31</v>
      </c>
      <c r="AQ2082">
        <v>0</v>
      </c>
    </row>
    <row r="2083" spans="1:43" x14ac:dyDescent="0.2">
      <c r="A2083" t="s">
        <v>381</v>
      </c>
      <c r="B2083" s="3">
        <v>44295</v>
      </c>
      <c r="C2083">
        <v>56</v>
      </c>
      <c r="D2083" t="s">
        <v>384</v>
      </c>
      <c r="E2083" t="s">
        <v>134</v>
      </c>
      <c r="F2083" s="9" t="s">
        <v>104</v>
      </c>
      <c r="G2083" t="s">
        <v>26</v>
      </c>
      <c r="H2083" t="s">
        <v>41</v>
      </c>
      <c r="I2083" t="s">
        <v>42</v>
      </c>
      <c r="J2083" t="s">
        <v>43</v>
      </c>
      <c r="K2083" t="s">
        <v>44</v>
      </c>
      <c r="L2083" t="s">
        <v>29</v>
      </c>
      <c r="M2083" t="s">
        <v>30</v>
      </c>
      <c r="N2083" t="s">
        <v>79</v>
      </c>
      <c r="O2083" t="s">
        <v>80</v>
      </c>
      <c r="P2083" t="s">
        <v>43</v>
      </c>
      <c r="Q2083" t="s">
        <v>44</v>
      </c>
      <c r="R2083" s="1">
        <v>44295.467858796299</v>
      </c>
      <c r="S2083" s="1">
        <v>44295.467858796299</v>
      </c>
      <c r="T2083">
        <v>1</v>
      </c>
      <c r="U2083">
        <v>1</v>
      </c>
      <c r="V2083" s="2">
        <v>1</v>
      </c>
      <c r="W2083">
        <v>0</v>
      </c>
      <c r="X2083" t="s">
        <v>30</v>
      </c>
      <c r="Y2083">
        <v>0</v>
      </c>
      <c r="Z2083" t="s">
        <v>31</v>
      </c>
      <c r="AA2083">
        <v>0</v>
      </c>
      <c r="AB2083" t="s">
        <v>31</v>
      </c>
      <c r="AC2083">
        <v>0</v>
      </c>
      <c r="AD2083" t="s">
        <v>31</v>
      </c>
      <c r="AE2083">
        <v>0</v>
      </c>
      <c r="AF2083" t="s">
        <v>31</v>
      </c>
      <c r="AG2083">
        <v>0</v>
      </c>
      <c r="AH2083" t="s">
        <v>31</v>
      </c>
      <c r="AI2083">
        <v>0</v>
      </c>
      <c r="AJ2083" t="s">
        <v>31</v>
      </c>
      <c r="AK2083">
        <v>0</v>
      </c>
      <c r="AL2083" t="s">
        <v>31</v>
      </c>
      <c r="AM2083">
        <v>0</v>
      </c>
      <c r="AN2083" t="s">
        <v>31</v>
      </c>
      <c r="AO2083">
        <v>0</v>
      </c>
      <c r="AP2083" t="s">
        <v>31</v>
      </c>
      <c r="AQ2083">
        <v>0</v>
      </c>
    </row>
    <row r="2084" spans="1:43" x14ac:dyDescent="0.2">
      <c r="A2084" t="s">
        <v>381</v>
      </c>
      <c r="B2084" s="3">
        <v>44309</v>
      </c>
      <c r="C2084">
        <v>71</v>
      </c>
      <c r="D2084" t="s">
        <v>391</v>
      </c>
      <c r="E2084" t="s">
        <v>134</v>
      </c>
      <c r="F2084" s="9" t="s">
        <v>104</v>
      </c>
      <c r="G2084" t="s">
        <v>26</v>
      </c>
      <c r="H2084" t="s">
        <v>79</v>
      </c>
      <c r="I2084" t="s">
        <v>80</v>
      </c>
      <c r="J2084" t="s">
        <v>43</v>
      </c>
      <c r="K2084" t="s">
        <v>44</v>
      </c>
      <c r="L2084" t="s">
        <v>29</v>
      </c>
      <c r="M2084" t="s">
        <v>30</v>
      </c>
      <c r="N2084" t="s">
        <v>79</v>
      </c>
      <c r="O2084" t="s">
        <v>80</v>
      </c>
      <c r="P2084" t="s">
        <v>43</v>
      </c>
      <c r="Q2084" t="s">
        <v>44</v>
      </c>
      <c r="R2084" s="1">
        <v>44309.643113425926</v>
      </c>
      <c r="S2084" s="1">
        <v>44309.64502314815</v>
      </c>
      <c r="T2084">
        <v>0</v>
      </c>
      <c r="U2084">
        <v>6</v>
      </c>
      <c r="V2084" s="2">
        <v>0</v>
      </c>
      <c r="W2084">
        <v>0</v>
      </c>
      <c r="X2084" t="s">
        <v>44</v>
      </c>
      <c r="Y2084">
        <v>0</v>
      </c>
      <c r="Z2084" t="s">
        <v>44</v>
      </c>
      <c r="AA2084">
        <v>0</v>
      </c>
      <c r="AB2084" t="s">
        <v>45</v>
      </c>
      <c r="AC2084">
        <v>0</v>
      </c>
      <c r="AD2084" t="s">
        <v>113</v>
      </c>
      <c r="AE2084">
        <v>0</v>
      </c>
      <c r="AF2084" t="s">
        <v>47</v>
      </c>
      <c r="AG2084">
        <v>0</v>
      </c>
      <c r="AH2084" t="s">
        <v>113</v>
      </c>
      <c r="AI2084">
        <v>0</v>
      </c>
      <c r="AJ2084" t="s">
        <v>31</v>
      </c>
      <c r="AK2084">
        <v>0</v>
      </c>
      <c r="AL2084" t="s">
        <v>31</v>
      </c>
      <c r="AM2084">
        <v>0</v>
      </c>
      <c r="AN2084" t="s">
        <v>31</v>
      </c>
      <c r="AO2084">
        <v>0</v>
      </c>
      <c r="AP2084" t="s">
        <v>31</v>
      </c>
      <c r="AQ2084">
        <v>0</v>
      </c>
    </row>
    <row r="2085" spans="1:43" x14ac:dyDescent="0.2">
      <c r="A2085" t="s">
        <v>381</v>
      </c>
      <c r="B2085" s="3">
        <v>44244</v>
      </c>
      <c r="C2085">
        <v>11</v>
      </c>
      <c r="D2085" t="s">
        <v>384</v>
      </c>
      <c r="E2085" t="s">
        <v>178</v>
      </c>
      <c r="F2085" s="9" t="s">
        <v>145</v>
      </c>
      <c r="G2085" t="s">
        <v>26</v>
      </c>
      <c r="H2085" t="s">
        <v>27</v>
      </c>
      <c r="I2085" t="s">
        <v>28</v>
      </c>
      <c r="J2085" t="s">
        <v>29</v>
      </c>
      <c r="K2085" t="s">
        <v>30</v>
      </c>
      <c r="L2085" t="s">
        <v>29</v>
      </c>
      <c r="M2085" t="s">
        <v>30</v>
      </c>
      <c r="N2085" t="s">
        <v>27</v>
      </c>
      <c r="O2085" t="s">
        <v>28</v>
      </c>
      <c r="P2085" t="s">
        <v>29</v>
      </c>
      <c r="Q2085" t="s">
        <v>30</v>
      </c>
      <c r="R2085" s="1">
        <v>44244.372361111113</v>
      </c>
      <c r="S2085" s="1">
        <v>44244.372395833336</v>
      </c>
      <c r="T2085">
        <v>0</v>
      </c>
      <c r="U2085">
        <v>0</v>
      </c>
      <c r="V2085" s="2">
        <v>0</v>
      </c>
      <c r="W2085">
        <v>0</v>
      </c>
      <c r="X2085" t="s">
        <v>37</v>
      </c>
      <c r="Y2085">
        <v>0</v>
      </c>
      <c r="Z2085" t="s">
        <v>37</v>
      </c>
      <c r="AA2085">
        <v>0</v>
      </c>
      <c r="AB2085" t="s">
        <v>37</v>
      </c>
      <c r="AC2085">
        <v>0</v>
      </c>
      <c r="AD2085" t="s">
        <v>37</v>
      </c>
      <c r="AE2085">
        <v>0</v>
      </c>
      <c r="AF2085" t="s">
        <v>31</v>
      </c>
      <c r="AG2085">
        <v>0</v>
      </c>
      <c r="AH2085" t="s">
        <v>31</v>
      </c>
      <c r="AI2085">
        <v>0</v>
      </c>
      <c r="AJ2085" t="s">
        <v>31</v>
      </c>
      <c r="AK2085">
        <v>0</v>
      </c>
      <c r="AL2085" t="s">
        <v>31</v>
      </c>
      <c r="AM2085">
        <v>0</v>
      </c>
      <c r="AN2085" t="s">
        <v>31</v>
      </c>
      <c r="AO2085">
        <v>0</v>
      </c>
      <c r="AP2085" t="s">
        <v>31</v>
      </c>
      <c r="AQ2085">
        <v>0</v>
      </c>
    </row>
    <row r="2086" spans="1:43" x14ac:dyDescent="0.2">
      <c r="A2086" t="s">
        <v>381</v>
      </c>
      <c r="B2086" s="3">
        <v>44250</v>
      </c>
      <c r="C2086">
        <v>16</v>
      </c>
      <c r="D2086" t="s">
        <v>382</v>
      </c>
      <c r="E2086" t="s">
        <v>178</v>
      </c>
      <c r="F2086" s="9" t="s">
        <v>145</v>
      </c>
      <c r="G2086" t="s">
        <v>26</v>
      </c>
      <c r="H2086" t="s">
        <v>27</v>
      </c>
      <c r="I2086" t="s">
        <v>28</v>
      </c>
      <c r="J2086" t="s">
        <v>29</v>
      </c>
      <c r="K2086" t="s">
        <v>30</v>
      </c>
      <c r="L2086" t="s">
        <v>29</v>
      </c>
      <c r="M2086" t="s">
        <v>30</v>
      </c>
      <c r="N2086" t="s">
        <v>27</v>
      </c>
      <c r="O2086" t="s">
        <v>28</v>
      </c>
      <c r="P2086" t="s">
        <v>29</v>
      </c>
      <c r="Q2086" t="s">
        <v>30</v>
      </c>
      <c r="R2086" s="1">
        <v>44250.465520833335</v>
      </c>
      <c r="S2086" s="1">
        <v>44250.465532407405</v>
      </c>
      <c r="T2086">
        <v>0</v>
      </c>
      <c r="U2086">
        <v>0</v>
      </c>
      <c r="V2086" s="2">
        <v>0</v>
      </c>
      <c r="W2086">
        <v>0</v>
      </c>
      <c r="X2086" t="s">
        <v>37</v>
      </c>
      <c r="Y2086">
        <v>0</v>
      </c>
      <c r="Z2086" t="s">
        <v>37</v>
      </c>
      <c r="AA2086">
        <v>0</v>
      </c>
      <c r="AB2086" t="s">
        <v>37</v>
      </c>
      <c r="AC2086">
        <v>0</v>
      </c>
      <c r="AD2086" t="s">
        <v>31</v>
      </c>
      <c r="AE2086">
        <v>0</v>
      </c>
      <c r="AF2086" t="s">
        <v>31</v>
      </c>
      <c r="AG2086">
        <v>0</v>
      </c>
      <c r="AH2086" t="s">
        <v>31</v>
      </c>
      <c r="AI2086">
        <v>0</v>
      </c>
      <c r="AJ2086" t="s">
        <v>31</v>
      </c>
      <c r="AK2086">
        <v>0</v>
      </c>
      <c r="AL2086" t="s">
        <v>31</v>
      </c>
      <c r="AM2086">
        <v>0</v>
      </c>
      <c r="AN2086" t="s">
        <v>31</v>
      </c>
      <c r="AO2086">
        <v>0</v>
      </c>
      <c r="AP2086" t="s">
        <v>31</v>
      </c>
      <c r="AQ2086">
        <v>0</v>
      </c>
    </row>
    <row r="2087" spans="1:43" x14ac:dyDescent="0.2">
      <c r="A2087" t="s">
        <v>381</v>
      </c>
      <c r="B2087" s="3">
        <v>44251</v>
      </c>
      <c r="C2087">
        <v>18</v>
      </c>
      <c r="D2087" t="s">
        <v>384</v>
      </c>
      <c r="E2087" t="s">
        <v>178</v>
      </c>
      <c r="F2087" s="9" t="s">
        <v>145</v>
      </c>
      <c r="G2087" t="s">
        <v>26</v>
      </c>
      <c r="H2087" t="s">
        <v>27</v>
      </c>
      <c r="I2087" t="s">
        <v>28</v>
      </c>
      <c r="J2087" t="s">
        <v>29</v>
      </c>
      <c r="K2087" t="s">
        <v>30</v>
      </c>
      <c r="L2087" t="s">
        <v>29</v>
      </c>
      <c r="M2087" t="s">
        <v>30</v>
      </c>
      <c r="N2087" t="s">
        <v>27</v>
      </c>
      <c r="O2087" t="s">
        <v>28</v>
      </c>
      <c r="P2087" t="s">
        <v>29</v>
      </c>
      <c r="Q2087" t="s">
        <v>30</v>
      </c>
      <c r="R2087" s="1">
        <v>44251.471238425926</v>
      </c>
      <c r="S2087" s="1">
        <v>44251.471504629626</v>
      </c>
      <c r="T2087">
        <v>0</v>
      </c>
      <c r="U2087">
        <v>0</v>
      </c>
      <c r="V2087" s="2">
        <v>0</v>
      </c>
      <c r="W2087">
        <v>0</v>
      </c>
      <c r="X2087" t="s">
        <v>37</v>
      </c>
      <c r="Y2087">
        <v>0</v>
      </c>
      <c r="Z2087" t="s">
        <v>37</v>
      </c>
      <c r="AA2087">
        <v>0</v>
      </c>
      <c r="AB2087" t="s">
        <v>37</v>
      </c>
      <c r="AC2087">
        <v>0</v>
      </c>
      <c r="AD2087" t="s">
        <v>31</v>
      </c>
      <c r="AE2087">
        <v>0</v>
      </c>
      <c r="AF2087" t="s">
        <v>31</v>
      </c>
      <c r="AG2087">
        <v>0</v>
      </c>
      <c r="AH2087" t="s">
        <v>31</v>
      </c>
      <c r="AI2087">
        <v>0</v>
      </c>
      <c r="AJ2087" t="s">
        <v>31</v>
      </c>
      <c r="AK2087">
        <v>0</v>
      </c>
      <c r="AL2087" t="s">
        <v>31</v>
      </c>
      <c r="AM2087">
        <v>0</v>
      </c>
      <c r="AN2087" t="s">
        <v>31</v>
      </c>
      <c r="AO2087">
        <v>0</v>
      </c>
      <c r="AP2087" t="s">
        <v>31</v>
      </c>
      <c r="AQ2087">
        <v>0</v>
      </c>
    </row>
    <row r="2088" spans="1:43" x14ac:dyDescent="0.2">
      <c r="A2088" t="s">
        <v>381</v>
      </c>
      <c r="B2088" s="3">
        <v>44252</v>
      </c>
      <c r="C2088">
        <v>19</v>
      </c>
      <c r="D2088" t="s">
        <v>382</v>
      </c>
      <c r="E2088" t="s">
        <v>178</v>
      </c>
      <c r="F2088" s="9" t="s">
        <v>145</v>
      </c>
      <c r="G2088" t="s">
        <v>26</v>
      </c>
      <c r="H2088" t="s">
        <v>27</v>
      </c>
      <c r="I2088" t="s">
        <v>28</v>
      </c>
      <c r="J2088" t="s">
        <v>29</v>
      </c>
      <c r="K2088" t="s">
        <v>30</v>
      </c>
      <c r="L2088" t="s">
        <v>29</v>
      </c>
      <c r="M2088" t="s">
        <v>30</v>
      </c>
      <c r="N2088" t="s">
        <v>27</v>
      </c>
      <c r="O2088" t="s">
        <v>28</v>
      </c>
      <c r="P2088" t="s">
        <v>29</v>
      </c>
      <c r="Q2088" t="s">
        <v>30</v>
      </c>
      <c r="R2088" s="1">
        <v>44252.471296296295</v>
      </c>
      <c r="S2088" s="1">
        <v>44252.471307870372</v>
      </c>
      <c r="T2088">
        <v>0</v>
      </c>
      <c r="U2088">
        <v>0</v>
      </c>
      <c r="V2088" s="2">
        <v>0</v>
      </c>
      <c r="W2088">
        <v>0</v>
      </c>
      <c r="X2088" t="s">
        <v>37</v>
      </c>
      <c r="Y2088">
        <v>0</v>
      </c>
      <c r="Z2088" t="s">
        <v>37</v>
      </c>
      <c r="AA2088">
        <v>0</v>
      </c>
      <c r="AB2088" t="s">
        <v>37</v>
      </c>
      <c r="AC2088">
        <v>0</v>
      </c>
      <c r="AD2088" t="s">
        <v>31</v>
      </c>
      <c r="AE2088">
        <v>0</v>
      </c>
      <c r="AF2088" t="s">
        <v>31</v>
      </c>
      <c r="AG2088">
        <v>0</v>
      </c>
      <c r="AH2088" t="s">
        <v>31</v>
      </c>
      <c r="AI2088">
        <v>0</v>
      </c>
      <c r="AJ2088" t="s">
        <v>31</v>
      </c>
      <c r="AK2088">
        <v>0</v>
      </c>
      <c r="AL2088" t="s">
        <v>31</v>
      </c>
      <c r="AM2088">
        <v>0</v>
      </c>
      <c r="AN2088" t="s">
        <v>31</v>
      </c>
      <c r="AO2088">
        <v>0</v>
      </c>
      <c r="AP2088" t="s">
        <v>31</v>
      </c>
      <c r="AQ2088">
        <v>0</v>
      </c>
    </row>
    <row r="2089" spans="1:43" x14ac:dyDescent="0.2">
      <c r="A2089" t="s">
        <v>381</v>
      </c>
      <c r="B2089" s="3">
        <v>44253</v>
      </c>
      <c r="C2089">
        <v>21</v>
      </c>
      <c r="D2089" t="s">
        <v>384</v>
      </c>
      <c r="E2089" t="s">
        <v>178</v>
      </c>
      <c r="F2089" s="9" t="s">
        <v>145</v>
      </c>
      <c r="G2089" t="s">
        <v>26</v>
      </c>
      <c r="H2089" t="s">
        <v>27</v>
      </c>
      <c r="I2089" t="s">
        <v>28</v>
      </c>
      <c r="J2089" t="s">
        <v>29</v>
      </c>
      <c r="K2089" t="s">
        <v>30</v>
      </c>
      <c r="L2089" t="s">
        <v>29</v>
      </c>
      <c r="M2089" t="s">
        <v>30</v>
      </c>
      <c r="N2089" t="s">
        <v>27</v>
      </c>
      <c r="O2089" t="s">
        <v>28</v>
      </c>
      <c r="P2089" t="s">
        <v>29</v>
      </c>
      <c r="Q2089" t="s">
        <v>30</v>
      </c>
      <c r="R2089" s="1">
        <v>44253.460358796299</v>
      </c>
      <c r="S2089" s="1">
        <v>44253.460509259261</v>
      </c>
      <c r="T2089">
        <v>0</v>
      </c>
      <c r="U2089">
        <v>0</v>
      </c>
      <c r="V2089" s="2">
        <v>0</v>
      </c>
      <c r="W2089">
        <v>0</v>
      </c>
      <c r="X2089" t="s">
        <v>37</v>
      </c>
      <c r="Y2089">
        <v>0</v>
      </c>
      <c r="Z2089" t="s">
        <v>37</v>
      </c>
      <c r="AA2089">
        <v>0</v>
      </c>
      <c r="AB2089" t="s">
        <v>37</v>
      </c>
      <c r="AC2089">
        <v>0</v>
      </c>
      <c r="AD2089" t="s">
        <v>31</v>
      </c>
      <c r="AE2089">
        <v>0</v>
      </c>
      <c r="AF2089" t="s">
        <v>31</v>
      </c>
      <c r="AG2089">
        <v>0</v>
      </c>
      <c r="AH2089" t="s">
        <v>31</v>
      </c>
      <c r="AI2089">
        <v>0</v>
      </c>
      <c r="AJ2089" t="s">
        <v>31</v>
      </c>
      <c r="AK2089">
        <v>0</v>
      </c>
      <c r="AL2089" t="s">
        <v>31</v>
      </c>
      <c r="AM2089">
        <v>0</v>
      </c>
      <c r="AN2089" t="s">
        <v>31</v>
      </c>
      <c r="AO2089">
        <v>0</v>
      </c>
      <c r="AP2089" t="s">
        <v>31</v>
      </c>
      <c r="AQ2089">
        <v>0</v>
      </c>
    </row>
    <row r="2090" spans="1:43" x14ac:dyDescent="0.2">
      <c r="A2090" t="s">
        <v>381</v>
      </c>
      <c r="B2090" s="3">
        <v>44257</v>
      </c>
      <c r="C2090">
        <v>23</v>
      </c>
      <c r="D2090" t="s">
        <v>382</v>
      </c>
      <c r="E2090" t="s">
        <v>178</v>
      </c>
      <c r="F2090" s="9" t="s">
        <v>145</v>
      </c>
      <c r="G2090" t="s">
        <v>26</v>
      </c>
      <c r="H2090" t="s">
        <v>27</v>
      </c>
      <c r="I2090" t="s">
        <v>28</v>
      </c>
      <c r="J2090" t="s">
        <v>29</v>
      </c>
      <c r="K2090" t="s">
        <v>30</v>
      </c>
      <c r="L2090" t="s">
        <v>29</v>
      </c>
      <c r="M2090" t="s">
        <v>30</v>
      </c>
      <c r="N2090" t="s">
        <v>27</v>
      </c>
      <c r="O2090" t="s">
        <v>28</v>
      </c>
      <c r="P2090" t="s">
        <v>29</v>
      </c>
      <c r="Q2090" t="s">
        <v>30</v>
      </c>
      <c r="R2090" s="1">
        <v>44257.4609375</v>
      </c>
      <c r="S2090" s="1">
        <v>44257.460949074077</v>
      </c>
      <c r="T2090">
        <v>0</v>
      </c>
      <c r="U2090">
        <v>0</v>
      </c>
      <c r="V2090" s="2">
        <v>0</v>
      </c>
      <c r="W2090">
        <v>0</v>
      </c>
      <c r="X2090" t="s">
        <v>37</v>
      </c>
      <c r="Y2090">
        <v>0</v>
      </c>
      <c r="Z2090" t="s">
        <v>37</v>
      </c>
      <c r="AA2090">
        <v>0</v>
      </c>
      <c r="AB2090" t="s">
        <v>37</v>
      </c>
      <c r="AC2090">
        <v>0</v>
      </c>
      <c r="AD2090" t="s">
        <v>31</v>
      </c>
      <c r="AE2090">
        <v>0</v>
      </c>
      <c r="AF2090" t="s">
        <v>31</v>
      </c>
      <c r="AG2090">
        <v>0</v>
      </c>
      <c r="AH2090" t="s">
        <v>31</v>
      </c>
      <c r="AI2090">
        <v>0</v>
      </c>
      <c r="AJ2090" t="s">
        <v>31</v>
      </c>
      <c r="AK2090">
        <v>0</v>
      </c>
      <c r="AL2090" t="s">
        <v>31</v>
      </c>
      <c r="AM2090">
        <v>0</v>
      </c>
      <c r="AN2090" t="s">
        <v>31</v>
      </c>
      <c r="AO2090">
        <v>0</v>
      </c>
      <c r="AP2090" t="s">
        <v>31</v>
      </c>
      <c r="AQ2090">
        <v>0</v>
      </c>
    </row>
    <row r="2091" spans="1:43" x14ac:dyDescent="0.2">
      <c r="A2091" t="s">
        <v>381</v>
      </c>
      <c r="B2091" s="3">
        <v>44260</v>
      </c>
      <c r="C2091">
        <v>28</v>
      </c>
      <c r="D2091" t="s">
        <v>384</v>
      </c>
      <c r="E2091" t="s">
        <v>178</v>
      </c>
      <c r="F2091" s="9" t="s">
        <v>145</v>
      </c>
      <c r="G2091" t="s">
        <v>26</v>
      </c>
      <c r="H2091" t="s">
        <v>27</v>
      </c>
      <c r="I2091" t="s">
        <v>28</v>
      </c>
      <c r="J2091" t="s">
        <v>29</v>
      </c>
      <c r="K2091" t="s">
        <v>30</v>
      </c>
      <c r="L2091" t="s">
        <v>29</v>
      </c>
      <c r="M2091" t="s">
        <v>30</v>
      </c>
      <c r="N2091" t="s">
        <v>27</v>
      </c>
      <c r="O2091" t="s">
        <v>28</v>
      </c>
      <c r="P2091" t="s">
        <v>29</v>
      </c>
      <c r="Q2091" t="s">
        <v>30</v>
      </c>
      <c r="R2091" s="1">
        <v>44260.464247685188</v>
      </c>
      <c r="S2091" s="1">
        <v>44260.464525462965</v>
      </c>
      <c r="T2091">
        <v>0</v>
      </c>
      <c r="U2091">
        <v>0</v>
      </c>
      <c r="V2091" s="2">
        <v>0</v>
      </c>
      <c r="W2091">
        <v>0</v>
      </c>
      <c r="X2091" t="s">
        <v>37</v>
      </c>
      <c r="Y2091">
        <v>0</v>
      </c>
      <c r="Z2091" t="s">
        <v>37</v>
      </c>
      <c r="AA2091">
        <v>0</v>
      </c>
      <c r="AB2091" t="s">
        <v>37</v>
      </c>
      <c r="AC2091">
        <v>0</v>
      </c>
      <c r="AD2091" t="s">
        <v>31</v>
      </c>
      <c r="AE2091">
        <v>0</v>
      </c>
      <c r="AF2091" t="s">
        <v>31</v>
      </c>
      <c r="AG2091">
        <v>0</v>
      </c>
      <c r="AH2091" t="s">
        <v>31</v>
      </c>
      <c r="AI2091">
        <v>0</v>
      </c>
      <c r="AJ2091" t="s">
        <v>31</v>
      </c>
      <c r="AK2091">
        <v>0</v>
      </c>
      <c r="AL2091" t="s">
        <v>31</v>
      </c>
      <c r="AM2091">
        <v>0</v>
      </c>
      <c r="AN2091" t="s">
        <v>31</v>
      </c>
      <c r="AO2091">
        <v>0</v>
      </c>
      <c r="AP2091" t="s">
        <v>31</v>
      </c>
      <c r="AQ2091">
        <v>0</v>
      </c>
    </row>
    <row r="2092" spans="1:43" x14ac:dyDescent="0.2">
      <c r="A2092" t="s">
        <v>381</v>
      </c>
      <c r="B2092" s="3">
        <v>44265</v>
      </c>
      <c r="C2092">
        <v>32</v>
      </c>
      <c r="D2092" t="s">
        <v>384</v>
      </c>
      <c r="E2092" t="s">
        <v>178</v>
      </c>
      <c r="F2092" s="9" t="s">
        <v>145</v>
      </c>
      <c r="G2092" t="s">
        <v>26</v>
      </c>
      <c r="H2092" t="s">
        <v>27</v>
      </c>
      <c r="I2092" t="s">
        <v>28</v>
      </c>
      <c r="J2092" t="s">
        <v>29</v>
      </c>
      <c r="K2092" t="s">
        <v>30</v>
      </c>
      <c r="L2092" t="s">
        <v>29</v>
      </c>
      <c r="M2092" t="s">
        <v>30</v>
      </c>
      <c r="N2092" t="s">
        <v>27</v>
      </c>
      <c r="O2092" t="s">
        <v>28</v>
      </c>
      <c r="P2092" t="s">
        <v>29</v>
      </c>
      <c r="Q2092" t="s">
        <v>30</v>
      </c>
      <c r="R2092" s="1">
        <v>44265.38040509259</v>
      </c>
      <c r="S2092" s="1">
        <v>44265.38076388889</v>
      </c>
      <c r="T2092">
        <v>0</v>
      </c>
      <c r="U2092">
        <v>0</v>
      </c>
      <c r="V2092" s="2">
        <v>0</v>
      </c>
      <c r="W2092">
        <v>0</v>
      </c>
      <c r="X2092" t="s">
        <v>37</v>
      </c>
      <c r="Y2092">
        <v>0</v>
      </c>
      <c r="Z2092" t="s">
        <v>37</v>
      </c>
      <c r="AA2092">
        <v>0</v>
      </c>
      <c r="AB2092" t="s">
        <v>37</v>
      </c>
      <c r="AC2092">
        <v>0</v>
      </c>
      <c r="AD2092" t="s">
        <v>31</v>
      </c>
      <c r="AE2092">
        <v>0</v>
      </c>
      <c r="AF2092" t="s">
        <v>31</v>
      </c>
      <c r="AG2092">
        <v>0</v>
      </c>
      <c r="AH2092" t="s">
        <v>31</v>
      </c>
      <c r="AI2092">
        <v>0</v>
      </c>
      <c r="AJ2092" t="s">
        <v>31</v>
      </c>
      <c r="AK2092">
        <v>0</v>
      </c>
      <c r="AL2092" t="s">
        <v>31</v>
      </c>
      <c r="AM2092">
        <v>0</v>
      </c>
      <c r="AN2092" t="s">
        <v>31</v>
      </c>
      <c r="AO2092">
        <v>0</v>
      </c>
      <c r="AP2092" t="s">
        <v>31</v>
      </c>
      <c r="AQ2092">
        <v>0</v>
      </c>
    </row>
    <row r="2093" spans="1:43" x14ac:dyDescent="0.2">
      <c r="A2093" t="s">
        <v>381</v>
      </c>
      <c r="B2093" s="3">
        <v>44272</v>
      </c>
      <c r="C2093">
        <v>38</v>
      </c>
      <c r="D2093" t="s">
        <v>384</v>
      </c>
      <c r="E2093" t="s">
        <v>178</v>
      </c>
      <c r="F2093" s="9" t="s">
        <v>145</v>
      </c>
      <c r="G2093" t="s">
        <v>26</v>
      </c>
      <c r="H2093" t="s">
        <v>27</v>
      </c>
      <c r="I2093" t="s">
        <v>28</v>
      </c>
      <c r="J2093" t="s">
        <v>29</v>
      </c>
      <c r="K2093" t="s">
        <v>30</v>
      </c>
      <c r="L2093" t="s">
        <v>29</v>
      </c>
      <c r="M2093" t="s">
        <v>30</v>
      </c>
      <c r="N2093" t="s">
        <v>27</v>
      </c>
      <c r="O2093" t="s">
        <v>28</v>
      </c>
      <c r="P2093" t="s">
        <v>29</v>
      </c>
      <c r="Q2093" t="s">
        <v>30</v>
      </c>
      <c r="R2093" s="1">
        <v>44272.37027777778</v>
      </c>
      <c r="S2093" s="1">
        <v>44272.370740740742</v>
      </c>
      <c r="T2093">
        <v>0</v>
      </c>
      <c r="U2093">
        <v>0</v>
      </c>
      <c r="V2093" s="2">
        <v>0</v>
      </c>
      <c r="W2093">
        <v>0</v>
      </c>
      <c r="X2093" t="s">
        <v>37</v>
      </c>
      <c r="Y2093">
        <v>0</v>
      </c>
      <c r="Z2093" t="s">
        <v>37</v>
      </c>
      <c r="AA2093">
        <v>0</v>
      </c>
      <c r="AB2093" t="s">
        <v>37</v>
      </c>
      <c r="AC2093">
        <v>0</v>
      </c>
      <c r="AD2093" t="s">
        <v>31</v>
      </c>
      <c r="AE2093">
        <v>0</v>
      </c>
      <c r="AF2093" t="s">
        <v>31</v>
      </c>
      <c r="AG2093">
        <v>0</v>
      </c>
      <c r="AH2093" t="s">
        <v>31</v>
      </c>
      <c r="AI2093">
        <v>0</v>
      </c>
      <c r="AJ2093" t="s">
        <v>31</v>
      </c>
      <c r="AK2093">
        <v>0</v>
      </c>
      <c r="AL2093" t="s">
        <v>31</v>
      </c>
      <c r="AM2093">
        <v>0</v>
      </c>
      <c r="AN2093" t="s">
        <v>31</v>
      </c>
      <c r="AO2093">
        <v>0</v>
      </c>
      <c r="AP2093" t="s">
        <v>31</v>
      </c>
      <c r="AQ2093">
        <v>0</v>
      </c>
    </row>
    <row r="2094" spans="1:43" x14ac:dyDescent="0.2">
      <c r="A2094" t="s">
        <v>381</v>
      </c>
      <c r="B2094" s="3">
        <v>44273</v>
      </c>
      <c r="C2094">
        <v>39</v>
      </c>
      <c r="D2094" t="s">
        <v>385</v>
      </c>
      <c r="E2094" t="s">
        <v>178</v>
      </c>
      <c r="F2094" s="9" t="s">
        <v>145</v>
      </c>
      <c r="G2094" t="s">
        <v>26</v>
      </c>
      <c r="H2094" t="s">
        <v>27</v>
      </c>
      <c r="I2094" t="s">
        <v>28</v>
      </c>
      <c r="J2094" t="s">
        <v>29</v>
      </c>
      <c r="K2094" t="s">
        <v>30</v>
      </c>
      <c r="L2094" t="s">
        <v>29</v>
      </c>
      <c r="M2094" t="s">
        <v>30</v>
      </c>
      <c r="N2094" t="s">
        <v>27</v>
      </c>
      <c r="O2094" t="s">
        <v>28</v>
      </c>
      <c r="P2094" t="s">
        <v>29</v>
      </c>
      <c r="Q2094" t="s">
        <v>30</v>
      </c>
      <c r="R2094" s="1">
        <v>44273.485138888886</v>
      </c>
      <c r="S2094" s="1">
        <v>44273.485150462962</v>
      </c>
      <c r="T2094">
        <v>0</v>
      </c>
      <c r="U2094">
        <v>0</v>
      </c>
      <c r="V2094" s="2">
        <v>0</v>
      </c>
      <c r="W2094">
        <v>0</v>
      </c>
      <c r="X2094" t="s">
        <v>37</v>
      </c>
      <c r="Y2094">
        <v>0</v>
      </c>
      <c r="Z2094" t="s">
        <v>37</v>
      </c>
      <c r="AA2094">
        <v>0</v>
      </c>
      <c r="AB2094" t="s">
        <v>37</v>
      </c>
      <c r="AC2094">
        <v>0</v>
      </c>
      <c r="AD2094" t="s">
        <v>37</v>
      </c>
      <c r="AE2094">
        <v>0</v>
      </c>
      <c r="AF2094" t="s">
        <v>31</v>
      </c>
      <c r="AG2094">
        <v>0</v>
      </c>
      <c r="AH2094" t="s">
        <v>31</v>
      </c>
      <c r="AI2094">
        <v>0</v>
      </c>
      <c r="AJ2094" t="s">
        <v>31</v>
      </c>
      <c r="AK2094">
        <v>0</v>
      </c>
      <c r="AL2094" t="s">
        <v>31</v>
      </c>
      <c r="AM2094">
        <v>0</v>
      </c>
      <c r="AN2094" t="s">
        <v>31</v>
      </c>
      <c r="AO2094">
        <v>0</v>
      </c>
      <c r="AP2094" t="s">
        <v>31</v>
      </c>
      <c r="AQ2094">
        <v>0</v>
      </c>
    </row>
    <row r="2095" spans="1:43" x14ac:dyDescent="0.2">
      <c r="A2095" t="s">
        <v>381</v>
      </c>
      <c r="B2095" s="3">
        <v>44279</v>
      </c>
      <c r="C2095">
        <v>41</v>
      </c>
      <c r="D2095" t="s">
        <v>384</v>
      </c>
      <c r="E2095" t="s">
        <v>178</v>
      </c>
      <c r="F2095" s="9" t="s">
        <v>145</v>
      </c>
      <c r="G2095" t="s">
        <v>26</v>
      </c>
      <c r="H2095" t="s">
        <v>27</v>
      </c>
      <c r="I2095" t="s">
        <v>28</v>
      </c>
      <c r="J2095" t="s">
        <v>29</v>
      </c>
      <c r="K2095" t="s">
        <v>30</v>
      </c>
      <c r="L2095" t="s">
        <v>29</v>
      </c>
      <c r="M2095" t="s">
        <v>30</v>
      </c>
      <c r="N2095" t="s">
        <v>27</v>
      </c>
      <c r="O2095" t="s">
        <v>28</v>
      </c>
      <c r="P2095" t="s">
        <v>29</v>
      </c>
      <c r="Q2095" t="s">
        <v>30</v>
      </c>
      <c r="R2095" s="1">
        <v>44279.469340277778</v>
      </c>
      <c r="S2095" s="1">
        <v>44279.469699074078</v>
      </c>
      <c r="T2095">
        <v>0</v>
      </c>
      <c r="U2095">
        <v>0</v>
      </c>
      <c r="V2095" s="2">
        <v>0</v>
      </c>
      <c r="W2095">
        <v>0</v>
      </c>
      <c r="X2095" t="s">
        <v>37</v>
      </c>
      <c r="Y2095">
        <v>0</v>
      </c>
      <c r="Z2095" t="s">
        <v>37</v>
      </c>
      <c r="AA2095">
        <v>0</v>
      </c>
      <c r="AB2095" t="s">
        <v>37</v>
      </c>
      <c r="AC2095">
        <v>0</v>
      </c>
      <c r="AD2095" t="s">
        <v>31</v>
      </c>
      <c r="AE2095">
        <v>0</v>
      </c>
      <c r="AF2095" t="s">
        <v>31</v>
      </c>
      <c r="AG2095">
        <v>0</v>
      </c>
      <c r="AH2095" t="s">
        <v>31</v>
      </c>
      <c r="AI2095">
        <v>0</v>
      </c>
      <c r="AJ2095" t="s">
        <v>31</v>
      </c>
      <c r="AK2095">
        <v>0</v>
      </c>
      <c r="AL2095" t="s">
        <v>31</v>
      </c>
      <c r="AM2095">
        <v>0</v>
      </c>
      <c r="AN2095" t="s">
        <v>31</v>
      </c>
      <c r="AO2095">
        <v>0</v>
      </c>
      <c r="AP2095" t="s">
        <v>31</v>
      </c>
      <c r="AQ2095">
        <v>0</v>
      </c>
    </row>
    <row r="2096" spans="1:43" x14ac:dyDescent="0.2">
      <c r="A2096" t="s">
        <v>381</v>
      </c>
      <c r="B2096" s="3">
        <v>44291</v>
      </c>
      <c r="C2096">
        <v>50</v>
      </c>
      <c r="D2096" t="s">
        <v>384</v>
      </c>
      <c r="E2096" t="s">
        <v>178</v>
      </c>
      <c r="F2096" s="9" t="s">
        <v>145</v>
      </c>
      <c r="G2096" t="s">
        <v>26</v>
      </c>
      <c r="H2096" t="s">
        <v>27</v>
      </c>
      <c r="I2096" t="s">
        <v>28</v>
      </c>
      <c r="J2096" t="s">
        <v>29</v>
      </c>
      <c r="K2096" t="s">
        <v>30</v>
      </c>
      <c r="L2096" t="s">
        <v>29</v>
      </c>
      <c r="M2096" t="s">
        <v>30</v>
      </c>
      <c r="N2096" t="s">
        <v>27</v>
      </c>
      <c r="O2096" t="s">
        <v>28</v>
      </c>
      <c r="P2096" t="s">
        <v>29</v>
      </c>
      <c r="Q2096" t="s">
        <v>30</v>
      </c>
      <c r="R2096" s="1">
        <v>44291.464756944442</v>
      </c>
      <c r="S2096" s="1">
        <v>44291.465011574073</v>
      </c>
      <c r="T2096">
        <v>0</v>
      </c>
      <c r="U2096">
        <v>0</v>
      </c>
      <c r="V2096" s="2">
        <v>0</v>
      </c>
      <c r="W2096">
        <v>0</v>
      </c>
      <c r="X2096" t="s">
        <v>37</v>
      </c>
      <c r="Y2096">
        <v>0</v>
      </c>
      <c r="Z2096" t="s">
        <v>37</v>
      </c>
      <c r="AA2096">
        <v>0</v>
      </c>
      <c r="AB2096" t="s">
        <v>37</v>
      </c>
      <c r="AC2096">
        <v>0</v>
      </c>
      <c r="AD2096" t="s">
        <v>31</v>
      </c>
      <c r="AE2096">
        <v>0</v>
      </c>
      <c r="AF2096" t="s">
        <v>31</v>
      </c>
      <c r="AG2096">
        <v>0</v>
      </c>
      <c r="AH2096" t="s">
        <v>31</v>
      </c>
      <c r="AI2096">
        <v>0</v>
      </c>
      <c r="AJ2096" t="s">
        <v>31</v>
      </c>
      <c r="AK2096">
        <v>0</v>
      </c>
      <c r="AL2096" t="s">
        <v>31</v>
      </c>
      <c r="AM2096">
        <v>0</v>
      </c>
      <c r="AN2096" t="s">
        <v>31</v>
      </c>
      <c r="AO2096">
        <v>0</v>
      </c>
      <c r="AP2096" t="s">
        <v>31</v>
      </c>
      <c r="AQ2096">
        <v>0</v>
      </c>
    </row>
    <row r="2097" spans="1:43" x14ac:dyDescent="0.2">
      <c r="A2097" t="s">
        <v>381</v>
      </c>
      <c r="B2097" s="3">
        <v>44292</v>
      </c>
      <c r="C2097">
        <v>52</v>
      </c>
      <c r="D2097" t="s">
        <v>386</v>
      </c>
      <c r="E2097" t="s">
        <v>178</v>
      </c>
      <c r="F2097" s="9" t="s">
        <v>145</v>
      </c>
      <c r="G2097" t="s">
        <v>26</v>
      </c>
      <c r="H2097" t="s">
        <v>27</v>
      </c>
      <c r="I2097" t="s">
        <v>28</v>
      </c>
      <c r="J2097" t="s">
        <v>29</v>
      </c>
      <c r="K2097" t="s">
        <v>30</v>
      </c>
      <c r="L2097" t="s">
        <v>29</v>
      </c>
      <c r="M2097" t="s">
        <v>30</v>
      </c>
      <c r="N2097" t="s">
        <v>27</v>
      </c>
      <c r="O2097" t="s">
        <v>28</v>
      </c>
      <c r="P2097" t="s">
        <v>29</v>
      </c>
      <c r="Q2097" t="s">
        <v>30</v>
      </c>
      <c r="R2097" s="1">
        <v>44292.55091435185</v>
      </c>
      <c r="S2097" s="1">
        <v>44292.551145833335</v>
      </c>
      <c r="T2097">
        <v>0</v>
      </c>
      <c r="U2097">
        <v>0</v>
      </c>
      <c r="V2097" s="2">
        <v>0</v>
      </c>
      <c r="W2097">
        <v>0</v>
      </c>
      <c r="X2097" t="s">
        <v>37</v>
      </c>
      <c r="Y2097">
        <v>0</v>
      </c>
      <c r="Z2097" t="s">
        <v>37</v>
      </c>
      <c r="AA2097">
        <v>0</v>
      </c>
      <c r="AB2097" t="s">
        <v>37</v>
      </c>
      <c r="AC2097">
        <v>0</v>
      </c>
      <c r="AD2097" t="s">
        <v>31</v>
      </c>
      <c r="AE2097">
        <v>0</v>
      </c>
      <c r="AF2097" t="s">
        <v>31</v>
      </c>
      <c r="AG2097">
        <v>0</v>
      </c>
      <c r="AH2097" t="s">
        <v>31</v>
      </c>
      <c r="AI2097">
        <v>0</v>
      </c>
      <c r="AJ2097" t="s">
        <v>31</v>
      </c>
      <c r="AK2097">
        <v>0</v>
      </c>
      <c r="AL2097" t="s">
        <v>31</v>
      </c>
      <c r="AM2097">
        <v>0</v>
      </c>
      <c r="AN2097" t="s">
        <v>31</v>
      </c>
      <c r="AO2097">
        <v>0</v>
      </c>
      <c r="AP2097" t="s">
        <v>31</v>
      </c>
      <c r="AQ2097">
        <v>0</v>
      </c>
    </row>
    <row r="2098" spans="1:43" x14ac:dyDescent="0.2">
      <c r="A2098" t="s">
        <v>381</v>
      </c>
      <c r="B2098" s="3">
        <v>44301</v>
      </c>
      <c r="C2098">
        <v>63</v>
      </c>
      <c r="D2098" t="s">
        <v>385</v>
      </c>
      <c r="E2098" t="s">
        <v>178</v>
      </c>
      <c r="F2098" s="9" t="s">
        <v>145</v>
      </c>
      <c r="G2098" t="s">
        <v>26</v>
      </c>
      <c r="H2098" t="s">
        <v>27</v>
      </c>
      <c r="I2098" t="s">
        <v>28</v>
      </c>
      <c r="J2098" t="s">
        <v>29</v>
      </c>
      <c r="K2098" t="s">
        <v>30</v>
      </c>
      <c r="L2098" t="s">
        <v>29</v>
      </c>
      <c r="M2098" t="s">
        <v>30</v>
      </c>
      <c r="N2098" t="s">
        <v>27</v>
      </c>
      <c r="O2098" t="s">
        <v>28</v>
      </c>
      <c r="P2098" t="s">
        <v>29</v>
      </c>
      <c r="Q2098" t="s">
        <v>30</v>
      </c>
      <c r="R2098" s="1">
        <v>44301.593761574077</v>
      </c>
      <c r="S2098" s="1">
        <v>44301.593773148146</v>
      </c>
      <c r="T2098">
        <v>0</v>
      </c>
      <c r="U2098">
        <v>0</v>
      </c>
      <c r="V2098" s="2">
        <v>0</v>
      </c>
      <c r="W2098">
        <v>0</v>
      </c>
      <c r="X2098" t="s">
        <v>37</v>
      </c>
      <c r="Y2098">
        <v>0</v>
      </c>
      <c r="Z2098" t="s">
        <v>37</v>
      </c>
      <c r="AA2098">
        <v>0</v>
      </c>
      <c r="AB2098" t="s">
        <v>37</v>
      </c>
      <c r="AC2098">
        <v>0</v>
      </c>
      <c r="AD2098" t="s">
        <v>37</v>
      </c>
      <c r="AE2098">
        <v>0</v>
      </c>
      <c r="AF2098" t="s">
        <v>31</v>
      </c>
      <c r="AG2098">
        <v>0</v>
      </c>
      <c r="AH2098" t="s">
        <v>31</v>
      </c>
      <c r="AI2098">
        <v>0</v>
      </c>
      <c r="AJ2098" t="s">
        <v>31</v>
      </c>
      <c r="AK2098">
        <v>0</v>
      </c>
      <c r="AL2098" t="s">
        <v>31</v>
      </c>
      <c r="AM2098">
        <v>0</v>
      </c>
      <c r="AN2098" t="s">
        <v>31</v>
      </c>
      <c r="AO2098">
        <v>0</v>
      </c>
      <c r="AP2098" t="s">
        <v>31</v>
      </c>
      <c r="AQ2098">
        <v>0</v>
      </c>
    </row>
    <row r="2099" spans="1:43" x14ac:dyDescent="0.2">
      <c r="A2099" t="s">
        <v>381</v>
      </c>
      <c r="B2099" s="3">
        <v>44320</v>
      </c>
      <c r="C2099">
        <v>86</v>
      </c>
      <c r="D2099" t="s">
        <v>412</v>
      </c>
      <c r="E2099" t="s">
        <v>178</v>
      </c>
      <c r="F2099" s="9" t="s">
        <v>145</v>
      </c>
      <c r="G2099" t="s">
        <v>26</v>
      </c>
      <c r="H2099" t="s">
        <v>27</v>
      </c>
      <c r="I2099" t="s">
        <v>28</v>
      </c>
      <c r="J2099" t="s">
        <v>29</v>
      </c>
      <c r="K2099" t="s">
        <v>30</v>
      </c>
      <c r="L2099" t="s">
        <v>29</v>
      </c>
      <c r="M2099" t="s">
        <v>30</v>
      </c>
      <c r="N2099" t="s">
        <v>27</v>
      </c>
      <c r="O2099" t="s">
        <v>28</v>
      </c>
      <c r="P2099" t="s">
        <v>29</v>
      </c>
      <c r="Q2099" t="s">
        <v>30</v>
      </c>
      <c r="R2099" s="1">
        <v>44320.458912037036</v>
      </c>
      <c r="S2099" s="1">
        <v>44320.460289351853</v>
      </c>
      <c r="T2099">
        <v>0</v>
      </c>
      <c r="U2099">
        <v>3</v>
      </c>
      <c r="V2099" s="2">
        <v>0</v>
      </c>
      <c r="W2099">
        <v>0</v>
      </c>
      <c r="X2099" t="s">
        <v>44</v>
      </c>
      <c r="Y2099">
        <v>0</v>
      </c>
      <c r="Z2099" t="s">
        <v>44</v>
      </c>
      <c r="AA2099">
        <v>0</v>
      </c>
      <c r="AB2099" t="s">
        <v>44</v>
      </c>
      <c r="AC2099">
        <v>0</v>
      </c>
      <c r="AD2099" t="s">
        <v>31</v>
      </c>
      <c r="AE2099">
        <v>0</v>
      </c>
      <c r="AF2099" t="s">
        <v>31</v>
      </c>
      <c r="AG2099">
        <v>0</v>
      </c>
      <c r="AH2099" t="s">
        <v>31</v>
      </c>
      <c r="AI2099">
        <v>0</v>
      </c>
      <c r="AJ2099" t="s">
        <v>31</v>
      </c>
      <c r="AK2099">
        <v>0</v>
      </c>
      <c r="AL2099" t="s">
        <v>31</v>
      </c>
      <c r="AM2099">
        <v>0</v>
      </c>
      <c r="AN2099" t="s">
        <v>31</v>
      </c>
      <c r="AO2099">
        <v>0</v>
      </c>
      <c r="AP2099" t="s">
        <v>31</v>
      </c>
      <c r="AQ2099">
        <v>0</v>
      </c>
    </row>
    <row r="2100" spans="1:43" x14ac:dyDescent="0.2">
      <c r="A2100" t="s">
        <v>381</v>
      </c>
      <c r="B2100" s="3">
        <v>44334</v>
      </c>
      <c r="C2100">
        <v>99</v>
      </c>
      <c r="D2100" t="s">
        <v>385</v>
      </c>
      <c r="E2100" t="s">
        <v>178</v>
      </c>
      <c r="F2100" s="9" t="s">
        <v>145</v>
      </c>
      <c r="G2100" t="s">
        <v>26</v>
      </c>
      <c r="H2100" t="s">
        <v>27</v>
      </c>
      <c r="I2100" t="s">
        <v>28</v>
      </c>
      <c r="J2100" t="s">
        <v>29</v>
      </c>
      <c r="K2100" t="s">
        <v>30</v>
      </c>
      <c r="L2100" t="s">
        <v>29</v>
      </c>
      <c r="M2100" t="s">
        <v>30</v>
      </c>
      <c r="N2100" t="s">
        <v>27</v>
      </c>
      <c r="O2100" t="s">
        <v>28</v>
      </c>
      <c r="P2100" t="s">
        <v>29</v>
      </c>
      <c r="Q2100" t="s">
        <v>30</v>
      </c>
      <c r="R2100" s="1">
        <v>44334.617337962962</v>
      </c>
      <c r="S2100" s="1">
        <v>44334.617766203701</v>
      </c>
      <c r="T2100">
        <v>0</v>
      </c>
      <c r="U2100">
        <v>0</v>
      </c>
      <c r="V2100" s="2">
        <v>0</v>
      </c>
      <c r="W2100">
        <v>0</v>
      </c>
      <c r="X2100" t="s">
        <v>37</v>
      </c>
      <c r="Y2100">
        <v>0</v>
      </c>
      <c r="Z2100" t="s">
        <v>37</v>
      </c>
      <c r="AA2100">
        <v>0</v>
      </c>
      <c r="AB2100" t="s">
        <v>37</v>
      </c>
      <c r="AC2100">
        <v>0</v>
      </c>
      <c r="AD2100" t="s">
        <v>31</v>
      </c>
      <c r="AE2100">
        <v>0</v>
      </c>
      <c r="AF2100" t="s">
        <v>31</v>
      </c>
      <c r="AG2100">
        <v>0</v>
      </c>
      <c r="AH2100" t="s">
        <v>31</v>
      </c>
      <c r="AI2100">
        <v>0</v>
      </c>
      <c r="AJ2100" t="s">
        <v>31</v>
      </c>
      <c r="AK2100">
        <v>0</v>
      </c>
      <c r="AL2100" t="s">
        <v>31</v>
      </c>
      <c r="AM2100">
        <v>0</v>
      </c>
      <c r="AN2100" t="s">
        <v>31</v>
      </c>
      <c r="AO2100">
        <v>0</v>
      </c>
      <c r="AP2100" t="s">
        <v>31</v>
      </c>
      <c r="AQ2100">
        <v>0</v>
      </c>
    </row>
    <row r="2101" spans="1:43" x14ac:dyDescent="0.2">
      <c r="A2101" t="s">
        <v>381</v>
      </c>
      <c r="B2101" s="3">
        <v>44338</v>
      </c>
      <c r="C2101">
        <v>107</v>
      </c>
      <c r="D2101" t="s">
        <v>392</v>
      </c>
      <c r="E2101" t="s">
        <v>178</v>
      </c>
      <c r="F2101" s="9" t="s">
        <v>145</v>
      </c>
      <c r="G2101" t="s">
        <v>26</v>
      </c>
      <c r="H2101" t="s">
        <v>27</v>
      </c>
      <c r="I2101" t="s">
        <v>28</v>
      </c>
      <c r="J2101" t="s">
        <v>29</v>
      </c>
      <c r="K2101" t="s">
        <v>30</v>
      </c>
      <c r="L2101" t="s">
        <v>29</v>
      </c>
      <c r="M2101" t="s">
        <v>30</v>
      </c>
      <c r="N2101" t="s">
        <v>27</v>
      </c>
      <c r="O2101" t="s">
        <v>28</v>
      </c>
      <c r="P2101" t="s">
        <v>29</v>
      </c>
      <c r="Q2101" t="s">
        <v>30</v>
      </c>
      <c r="R2101" s="1">
        <v>44338.607476851852</v>
      </c>
      <c r="S2101" s="1">
        <v>44338.607499999998</v>
      </c>
      <c r="T2101">
        <v>0</v>
      </c>
      <c r="U2101">
        <v>0</v>
      </c>
      <c r="V2101" s="2">
        <v>0</v>
      </c>
      <c r="W2101">
        <v>0</v>
      </c>
      <c r="X2101" t="s">
        <v>37</v>
      </c>
      <c r="Y2101">
        <v>0</v>
      </c>
      <c r="Z2101" t="s">
        <v>37</v>
      </c>
      <c r="AA2101">
        <v>0</v>
      </c>
      <c r="AB2101" t="s">
        <v>31</v>
      </c>
      <c r="AC2101">
        <v>0</v>
      </c>
      <c r="AD2101" t="s">
        <v>31</v>
      </c>
      <c r="AE2101">
        <v>0</v>
      </c>
      <c r="AF2101" t="s">
        <v>31</v>
      </c>
      <c r="AG2101">
        <v>0</v>
      </c>
      <c r="AH2101" t="s">
        <v>31</v>
      </c>
      <c r="AI2101">
        <v>0</v>
      </c>
      <c r="AJ2101" t="s">
        <v>31</v>
      </c>
      <c r="AK2101">
        <v>0</v>
      </c>
      <c r="AL2101" t="s">
        <v>31</v>
      </c>
      <c r="AM2101">
        <v>0</v>
      </c>
      <c r="AN2101" t="s">
        <v>31</v>
      </c>
      <c r="AO2101">
        <v>0</v>
      </c>
      <c r="AP2101" t="s">
        <v>31</v>
      </c>
      <c r="AQ2101">
        <v>0</v>
      </c>
    </row>
    <row r="2102" spans="1:43" x14ac:dyDescent="0.2">
      <c r="A2102" t="s">
        <v>381</v>
      </c>
      <c r="B2102" s="3">
        <v>44344</v>
      </c>
      <c r="C2102">
        <v>116</v>
      </c>
      <c r="D2102" t="s">
        <v>390</v>
      </c>
      <c r="E2102" t="s">
        <v>178</v>
      </c>
      <c r="F2102" s="9" t="s">
        <v>145</v>
      </c>
      <c r="G2102" t="s">
        <v>26</v>
      </c>
      <c r="H2102" t="s">
        <v>27</v>
      </c>
      <c r="I2102" t="s">
        <v>28</v>
      </c>
      <c r="J2102" t="s">
        <v>29</v>
      </c>
      <c r="K2102" t="s">
        <v>30</v>
      </c>
      <c r="L2102" t="s">
        <v>29</v>
      </c>
      <c r="M2102" t="s">
        <v>30</v>
      </c>
      <c r="N2102" t="s">
        <v>27</v>
      </c>
      <c r="O2102" t="s">
        <v>28</v>
      </c>
      <c r="P2102" t="s">
        <v>29</v>
      </c>
      <c r="Q2102" t="s">
        <v>30</v>
      </c>
      <c r="R2102" s="1">
        <v>44344.467824074076</v>
      </c>
      <c r="S2102" s="1">
        <v>44344.468090277776</v>
      </c>
      <c r="T2102">
        <v>0</v>
      </c>
      <c r="U2102">
        <v>1</v>
      </c>
      <c r="V2102" s="2">
        <v>0</v>
      </c>
      <c r="W2102">
        <v>0</v>
      </c>
      <c r="X2102" t="s">
        <v>44</v>
      </c>
      <c r="Y2102">
        <v>0</v>
      </c>
      <c r="Z2102" t="s">
        <v>31</v>
      </c>
      <c r="AA2102">
        <v>0</v>
      </c>
      <c r="AB2102" t="s">
        <v>31</v>
      </c>
      <c r="AC2102">
        <v>0</v>
      </c>
      <c r="AD2102" t="s">
        <v>31</v>
      </c>
      <c r="AE2102">
        <v>0</v>
      </c>
      <c r="AF2102" t="s">
        <v>31</v>
      </c>
      <c r="AG2102">
        <v>0</v>
      </c>
      <c r="AH2102" t="s">
        <v>31</v>
      </c>
      <c r="AI2102">
        <v>0</v>
      </c>
      <c r="AJ2102" t="s">
        <v>31</v>
      </c>
      <c r="AK2102">
        <v>0</v>
      </c>
      <c r="AL2102" t="s">
        <v>31</v>
      </c>
      <c r="AM2102">
        <v>0</v>
      </c>
      <c r="AN2102" t="s">
        <v>31</v>
      </c>
      <c r="AO2102">
        <v>0</v>
      </c>
      <c r="AP2102" t="s">
        <v>31</v>
      </c>
      <c r="AQ2102">
        <v>0</v>
      </c>
    </row>
    <row r="2103" spans="1:43" x14ac:dyDescent="0.2">
      <c r="A2103" t="s">
        <v>381</v>
      </c>
      <c r="B2103" s="3">
        <v>44350</v>
      </c>
      <c r="C2103">
        <v>123</v>
      </c>
      <c r="D2103" t="s">
        <v>382</v>
      </c>
      <c r="E2103" t="s">
        <v>178</v>
      </c>
      <c r="F2103" s="9" t="s">
        <v>145</v>
      </c>
      <c r="G2103" t="s">
        <v>26</v>
      </c>
      <c r="H2103" t="s">
        <v>27</v>
      </c>
      <c r="I2103" t="s">
        <v>28</v>
      </c>
      <c r="J2103" t="s">
        <v>29</v>
      </c>
      <c r="K2103" t="s">
        <v>30</v>
      </c>
      <c r="L2103" t="s">
        <v>29</v>
      </c>
      <c r="M2103" t="s">
        <v>30</v>
      </c>
      <c r="N2103" t="s">
        <v>27</v>
      </c>
      <c r="O2103" t="s">
        <v>28</v>
      </c>
      <c r="P2103" t="s">
        <v>29</v>
      </c>
      <c r="Q2103" t="s">
        <v>30</v>
      </c>
      <c r="R2103" s="1">
        <v>44350.445590277777</v>
      </c>
      <c r="S2103" s="1">
        <v>44350.445601851854</v>
      </c>
      <c r="T2103">
        <v>0</v>
      </c>
      <c r="U2103">
        <v>0</v>
      </c>
      <c r="V2103" s="2">
        <v>0</v>
      </c>
      <c r="W2103">
        <v>0</v>
      </c>
      <c r="X2103" t="s">
        <v>37</v>
      </c>
      <c r="Y2103">
        <v>0</v>
      </c>
      <c r="Z2103" t="s">
        <v>37</v>
      </c>
      <c r="AA2103">
        <v>0</v>
      </c>
      <c r="AB2103" t="s">
        <v>37</v>
      </c>
      <c r="AC2103">
        <v>0</v>
      </c>
      <c r="AD2103" t="s">
        <v>31</v>
      </c>
      <c r="AE2103">
        <v>0</v>
      </c>
      <c r="AF2103" t="s">
        <v>31</v>
      </c>
      <c r="AG2103">
        <v>0</v>
      </c>
      <c r="AH2103" t="s">
        <v>31</v>
      </c>
      <c r="AI2103">
        <v>0</v>
      </c>
      <c r="AJ2103" t="s">
        <v>31</v>
      </c>
      <c r="AK2103">
        <v>0</v>
      </c>
      <c r="AL2103" t="s">
        <v>31</v>
      </c>
      <c r="AM2103">
        <v>0</v>
      </c>
      <c r="AN2103" t="s">
        <v>31</v>
      </c>
      <c r="AO2103">
        <v>0</v>
      </c>
      <c r="AP2103" t="s">
        <v>31</v>
      </c>
      <c r="AQ2103">
        <v>0</v>
      </c>
    </row>
    <row r="2104" spans="1:43" x14ac:dyDescent="0.2">
      <c r="A2104" t="s">
        <v>381</v>
      </c>
      <c r="B2104" s="3">
        <v>44351</v>
      </c>
      <c r="C2104">
        <v>124</v>
      </c>
      <c r="D2104" t="s">
        <v>390</v>
      </c>
      <c r="E2104" t="s">
        <v>178</v>
      </c>
      <c r="F2104" s="9" t="s">
        <v>145</v>
      </c>
      <c r="G2104" t="s">
        <v>26</v>
      </c>
      <c r="H2104" t="s">
        <v>27</v>
      </c>
      <c r="I2104" t="s">
        <v>28</v>
      </c>
      <c r="J2104" t="s">
        <v>29</v>
      </c>
      <c r="K2104" t="s">
        <v>30</v>
      </c>
      <c r="L2104" t="s">
        <v>29</v>
      </c>
      <c r="M2104" t="s">
        <v>30</v>
      </c>
      <c r="N2104" t="s">
        <v>27</v>
      </c>
      <c r="O2104" t="s">
        <v>28</v>
      </c>
      <c r="P2104" t="s">
        <v>29</v>
      </c>
      <c r="Q2104" t="s">
        <v>30</v>
      </c>
      <c r="R2104" s="1">
        <v>44351.420277777775</v>
      </c>
      <c r="S2104" s="1">
        <v>44351.420347222222</v>
      </c>
      <c r="T2104">
        <v>0</v>
      </c>
      <c r="U2104">
        <v>0</v>
      </c>
      <c r="V2104" s="2">
        <v>0</v>
      </c>
      <c r="W2104">
        <v>0</v>
      </c>
      <c r="X2104" t="s">
        <v>37</v>
      </c>
      <c r="Y2104">
        <v>0</v>
      </c>
      <c r="Z2104" t="s">
        <v>31</v>
      </c>
      <c r="AA2104">
        <v>0</v>
      </c>
      <c r="AB2104" t="s">
        <v>31</v>
      </c>
      <c r="AC2104">
        <v>0</v>
      </c>
      <c r="AD2104" t="s">
        <v>31</v>
      </c>
      <c r="AE2104">
        <v>0</v>
      </c>
      <c r="AF2104" t="s">
        <v>31</v>
      </c>
      <c r="AG2104">
        <v>0</v>
      </c>
      <c r="AH2104" t="s">
        <v>31</v>
      </c>
      <c r="AI2104">
        <v>0</v>
      </c>
      <c r="AJ2104" t="s">
        <v>31</v>
      </c>
      <c r="AK2104">
        <v>0</v>
      </c>
      <c r="AL2104" t="s">
        <v>31</v>
      </c>
      <c r="AM2104">
        <v>0</v>
      </c>
      <c r="AN2104" t="s">
        <v>31</v>
      </c>
      <c r="AO2104">
        <v>0</v>
      </c>
      <c r="AP2104" t="s">
        <v>31</v>
      </c>
      <c r="AQ2104">
        <v>0</v>
      </c>
    </row>
    <row r="2105" spans="1:43" x14ac:dyDescent="0.2">
      <c r="A2105" t="s">
        <v>381</v>
      </c>
      <c r="B2105" s="3">
        <v>44354</v>
      </c>
      <c r="C2105">
        <v>127</v>
      </c>
      <c r="D2105" t="s">
        <v>383</v>
      </c>
      <c r="E2105" t="s">
        <v>178</v>
      </c>
      <c r="F2105" s="9" t="s">
        <v>145</v>
      </c>
      <c r="G2105" t="s">
        <v>26</v>
      </c>
      <c r="H2105" t="s">
        <v>27</v>
      </c>
      <c r="I2105" t="s">
        <v>28</v>
      </c>
      <c r="J2105" t="s">
        <v>29</v>
      </c>
      <c r="K2105" t="s">
        <v>30</v>
      </c>
      <c r="L2105" t="s">
        <v>29</v>
      </c>
      <c r="M2105" t="s">
        <v>30</v>
      </c>
      <c r="N2105" t="s">
        <v>27</v>
      </c>
      <c r="O2105" t="s">
        <v>28</v>
      </c>
      <c r="P2105" t="s">
        <v>29</v>
      </c>
      <c r="Q2105" t="s">
        <v>30</v>
      </c>
      <c r="R2105" s="1">
        <v>44354.616562499999</v>
      </c>
      <c r="S2105" s="1">
        <v>44354.616574074076</v>
      </c>
      <c r="T2105">
        <v>0</v>
      </c>
      <c r="U2105">
        <v>0</v>
      </c>
      <c r="V2105" s="2">
        <v>0</v>
      </c>
      <c r="W2105">
        <v>0</v>
      </c>
      <c r="X2105" t="s">
        <v>37</v>
      </c>
      <c r="Y2105">
        <v>0</v>
      </c>
      <c r="Z2105" t="s">
        <v>37</v>
      </c>
      <c r="AA2105">
        <v>0</v>
      </c>
      <c r="AB2105" t="s">
        <v>37</v>
      </c>
      <c r="AC2105">
        <v>0</v>
      </c>
      <c r="AD2105" t="s">
        <v>31</v>
      </c>
      <c r="AE2105">
        <v>0</v>
      </c>
      <c r="AF2105" t="s">
        <v>31</v>
      </c>
      <c r="AG2105">
        <v>0</v>
      </c>
      <c r="AH2105" t="s">
        <v>31</v>
      </c>
      <c r="AI2105">
        <v>0</v>
      </c>
      <c r="AJ2105" t="s">
        <v>31</v>
      </c>
      <c r="AK2105">
        <v>0</v>
      </c>
      <c r="AL2105" t="s">
        <v>31</v>
      </c>
      <c r="AM2105">
        <v>0</v>
      </c>
      <c r="AN2105" t="s">
        <v>31</v>
      </c>
      <c r="AO2105">
        <v>0</v>
      </c>
      <c r="AP2105" t="s">
        <v>31</v>
      </c>
      <c r="AQ2105">
        <v>0</v>
      </c>
    </row>
    <row r="2106" spans="1:43" x14ac:dyDescent="0.2">
      <c r="A2106" t="s">
        <v>381</v>
      </c>
      <c r="B2106" s="3">
        <v>44355</v>
      </c>
      <c r="C2106">
        <v>129</v>
      </c>
      <c r="D2106" t="s">
        <v>385</v>
      </c>
      <c r="E2106" t="s">
        <v>178</v>
      </c>
      <c r="F2106" s="9" t="s">
        <v>145</v>
      </c>
      <c r="G2106" t="s">
        <v>26</v>
      </c>
      <c r="H2106" t="s">
        <v>27</v>
      </c>
      <c r="I2106" t="s">
        <v>28</v>
      </c>
      <c r="J2106" t="s">
        <v>29</v>
      </c>
      <c r="K2106" t="s">
        <v>30</v>
      </c>
      <c r="L2106" t="s">
        <v>29</v>
      </c>
      <c r="M2106" t="s">
        <v>30</v>
      </c>
      <c r="N2106" t="s">
        <v>27</v>
      </c>
      <c r="O2106" t="s">
        <v>28</v>
      </c>
      <c r="P2106" t="s">
        <v>29</v>
      </c>
      <c r="Q2106" t="s">
        <v>30</v>
      </c>
      <c r="R2106" s="1">
        <v>44355.64230324074</v>
      </c>
      <c r="S2106" s="1">
        <v>44355.64230324074</v>
      </c>
      <c r="T2106">
        <v>0</v>
      </c>
      <c r="U2106">
        <v>0</v>
      </c>
      <c r="V2106" s="2">
        <v>0</v>
      </c>
      <c r="W2106">
        <v>0</v>
      </c>
      <c r="X2106" t="s">
        <v>37</v>
      </c>
      <c r="Y2106">
        <v>0</v>
      </c>
      <c r="Z2106" t="s">
        <v>37</v>
      </c>
      <c r="AA2106">
        <v>0</v>
      </c>
      <c r="AB2106" t="s">
        <v>31</v>
      </c>
      <c r="AC2106">
        <v>0</v>
      </c>
      <c r="AD2106" t="s">
        <v>31</v>
      </c>
      <c r="AE2106">
        <v>0</v>
      </c>
      <c r="AF2106" t="s">
        <v>31</v>
      </c>
      <c r="AG2106">
        <v>0</v>
      </c>
      <c r="AH2106" t="s">
        <v>31</v>
      </c>
      <c r="AI2106">
        <v>0</v>
      </c>
      <c r="AJ2106" t="s">
        <v>31</v>
      </c>
      <c r="AK2106">
        <v>0</v>
      </c>
      <c r="AL2106" t="s">
        <v>31</v>
      </c>
      <c r="AM2106">
        <v>0</v>
      </c>
      <c r="AN2106" t="s">
        <v>31</v>
      </c>
      <c r="AO2106">
        <v>0</v>
      </c>
      <c r="AP2106" t="s">
        <v>31</v>
      </c>
      <c r="AQ2106">
        <v>0</v>
      </c>
    </row>
    <row r="2107" spans="1:43" x14ac:dyDescent="0.2">
      <c r="A2107" t="s">
        <v>381</v>
      </c>
      <c r="B2107" s="3">
        <v>44357</v>
      </c>
      <c r="C2107">
        <v>132</v>
      </c>
      <c r="D2107" t="s">
        <v>399</v>
      </c>
      <c r="E2107" t="s">
        <v>178</v>
      </c>
      <c r="F2107" s="9" t="s">
        <v>145</v>
      </c>
      <c r="G2107" t="s">
        <v>26</v>
      </c>
      <c r="H2107" t="s">
        <v>27</v>
      </c>
      <c r="I2107" t="s">
        <v>28</v>
      </c>
      <c r="J2107" t="s">
        <v>29</v>
      </c>
      <c r="K2107" t="s">
        <v>30</v>
      </c>
      <c r="L2107" t="s">
        <v>29</v>
      </c>
      <c r="M2107" t="s">
        <v>30</v>
      </c>
      <c r="N2107" t="s">
        <v>27</v>
      </c>
      <c r="O2107" t="s">
        <v>28</v>
      </c>
      <c r="P2107" t="s">
        <v>29</v>
      </c>
      <c r="Q2107" t="s">
        <v>30</v>
      </c>
      <c r="R2107" s="1">
        <v>44357.436782407407</v>
      </c>
      <c r="S2107" s="1">
        <v>44357.440821759257</v>
      </c>
      <c r="T2107">
        <v>0</v>
      </c>
      <c r="U2107">
        <v>1</v>
      </c>
      <c r="V2107" s="2">
        <v>0</v>
      </c>
      <c r="W2107">
        <v>0</v>
      </c>
      <c r="X2107" t="s">
        <v>37</v>
      </c>
      <c r="Y2107">
        <v>0</v>
      </c>
      <c r="Z2107" t="s">
        <v>37</v>
      </c>
      <c r="AA2107">
        <v>0</v>
      </c>
      <c r="AB2107" t="s">
        <v>44</v>
      </c>
      <c r="AC2107">
        <v>0</v>
      </c>
      <c r="AD2107" t="s">
        <v>31</v>
      </c>
      <c r="AE2107">
        <v>0</v>
      </c>
      <c r="AF2107" t="s">
        <v>31</v>
      </c>
      <c r="AG2107">
        <v>0</v>
      </c>
      <c r="AH2107" t="s">
        <v>31</v>
      </c>
      <c r="AI2107">
        <v>0</v>
      </c>
      <c r="AJ2107" t="s">
        <v>31</v>
      </c>
      <c r="AK2107">
        <v>0</v>
      </c>
      <c r="AL2107" t="s">
        <v>31</v>
      </c>
      <c r="AM2107">
        <v>0</v>
      </c>
      <c r="AN2107" t="s">
        <v>31</v>
      </c>
      <c r="AO2107">
        <v>0</v>
      </c>
      <c r="AP2107" t="s">
        <v>31</v>
      </c>
      <c r="AQ2107">
        <v>0</v>
      </c>
    </row>
    <row r="2108" spans="1:43" x14ac:dyDescent="0.2">
      <c r="A2108" t="s">
        <v>381</v>
      </c>
      <c r="B2108" s="3">
        <v>44358</v>
      </c>
      <c r="C2108">
        <v>133</v>
      </c>
      <c r="D2108" t="s">
        <v>390</v>
      </c>
      <c r="E2108" t="s">
        <v>178</v>
      </c>
      <c r="F2108" s="9" t="s">
        <v>145</v>
      </c>
      <c r="G2108" t="s">
        <v>26</v>
      </c>
      <c r="H2108" t="s">
        <v>27</v>
      </c>
      <c r="I2108" t="s">
        <v>28</v>
      </c>
      <c r="J2108" t="s">
        <v>29</v>
      </c>
      <c r="K2108" t="s">
        <v>30</v>
      </c>
      <c r="L2108" t="s">
        <v>29</v>
      </c>
      <c r="M2108" t="s">
        <v>30</v>
      </c>
      <c r="N2108" t="s">
        <v>27</v>
      </c>
      <c r="O2108" t="s">
        <v>28</v>
      </c>
      <c r="P2108" t="s">
        <v>29</v>
      </c>
      <c r="Q2108" t="s">
        <v>30</v>
      </c>
      <c r="R2108" s="1">
        <v>44358.459687499999</v>
      </c>
      <c r="S2108" s="1">
        <v>44358.459872685184</v>
      </c>
      <c r="T2108">
        <v>0</v>
      </c>
      <c r="U2108">
        <v>1</v>
      </c>
      <c r="V2108" s="2">
        <v>0</v>
      </c>
      <c r="W2108">
        <v>0</v>
      </c>
      <c r="X2108" t="s">
        <v>44</v>
      </c>
      <c r="Y2108">
        <v>0</v>
      </c>
      <c r="Z2108" t="s">
        <v>31</v>
      </c>
      <c r="AA2108">
        <v>0</v>
      </c>
      <c r="AB2108" t="s">
        <v>31</v>
      </c>
      <c r="AC2108">
        <v>0</v>
      </c>
      <c r="AD2108" t="s">
        <v>31</v>
      </c>
      <c r="AE2108">
        <v>0</v>
      </c>
      <c r="AF2108" t="s">
        <v>31</v>
      </c>
      <c r="AG2108">
        <v>0</v>
      </c>
      <c r="AH2108" t="s">
        <v>31</v>
      </c>
      <c r="AI2108">
        <v>0</v>
      </c>
      <c r="AJ2108" t="s">
        <v>31</v>
      </c>
      <c r="AK2108">
        <v>0</v>
      </c>
      <c r="AL2108" t="s">
        <v>31</v>
      </c>
      <c r="AM2108">
        <v>0</v>
      </c>
      <c r="AN2108" t="s">
        <v>31</v>
      </c>
      <c r="AO2108">
        <v>0</v>
      </c>
      <c r="AP2108" t="s">
        <v>31</v>
      </c>
      <c r="AQ2108">
        <v>0</v>
      </c>
    </row>
    <row r="2109" spans="1:43" x14ac:dyDescent="0.2">
      <c r="A2109" t="s">
        <v>381</v>
      </c>
      <c r="B2109" s="3">
        <v>44365</v>
      </c>
      <c r="C2109">
        <v>140</v>
      </c>
      <c r="D2109" t="s">
        <v>399</v>
      </c>
      <c r="E2109" t="s">
        <v>178</v>
      </c>
      <c r="F2109" s="9" t="s">
        <v>145</v>
      </c>
      <c r="G2109" t="s">
        <v>26</v>
      </c>
      <c r="H2109" t="s">
        <v>27</v>
      </c>
      <c r="I2109" t="s">
        <v>28</v>
      </c>
      <c r="J2109" t="s">
        <v>29</v>
      </c>
      <c r="K2109" t="s">
        <v>30</v>
      </c>
      <c r="L2109" t="s">
        <v>29</v>
      </c>
      <c r="M2109" t="s">
        <v>30</v>
      </c>
      <c r="N2109" t="s">
        <v>27</v>
      </c>
      <c r="O2109" t="s">
        <v>28</v>
      </c>
      <c r="P2109" t="s">
        <v>29</v>
      </c>
      <c r="Q2109" t="s">
        <v>30</v>
      </c>
      <c r="R2109" s="1">
        <v>44365.63821759259</v>
      </c>
      <c r="S2109" s="1">
        <v>44365.638298611113</v>
      </c>
      <c r="T2109">
        <v>0</v>
      </c>
      <c r="U2109">
        <v>0</v>
      </c>
      <c r="V2109" s="2">
        <v>0</v>
      </c>
      <c r="W2109">
        <v>0</v>
      </c>
      <c r="X2109" t="s">
        <v>37</v>
      </c>
      <c r="Y2109">
        <v>0</v>
      </c>
      <c r="Z2109" t="s">
        <v>37</v>
      </c>
      <c r="AA2109">
        <v>0</v>
      </c>
      <c r="AB2109" t="s">
        <v>37</v>
      </c>
      <c r="AC2109">
        <v>0</v>
      </c>
      <c r="AD2109" t="s">
        <v>37</v>
      </c>
      <c r="AE2109">
        <v>0</v>
      </c>
      <c r="AF2109" t="s">
        <v>31</v>
      </c>
      <c r="AG2109">
        <v>0</v>
      </c>
      <c r="AH2109" t="s">
        <v>31</v>
      </c>
      <c r="AI2109">
        <v>0</v>
      </c>
      <c r="AJ2109" t="s">
        <v>31</v>
      </c>
      <c r="AK2109">
        <v>0</v>
      </c>
      <c r="AL2109" t="s">
        <v>31</v>
      </c>
      <c r="AM2109">
        <v>0</v>
      </c>
      <c r="AN2109" t="s">
        <v>31</v>
      </c>
      <c r="AO2109">
        <v>0</v>
      </c>
      <c r="AP2109" t="s">
        <v>31</v>
      </c>
      <c r="AQ2109">
        <v>0</v>
      </c>
    </row>
    <row r="2110" spans="1:43" x14ac:dyDescent="0.2">
      <c r="A2110" t="s">
        <v>381</v>
      </c>
      <c r="B2110" s="3">
        <v>44244</v>
      </c>
      <c r="C2110">
        <v>11</v>
      </c>
      <c r="D2110" t="s">
        <v>384</v>
      </c>
      <c r="E2110" t="s">
        <v>178</v>
      </c>
      <c r="F2110" s="9" t="s">
        <v>179</v>
      </c>
      <c r="G2110" t="s">
        <v>26</v>
      </c>
      <c r="H2110" t="s">
        <v>27</v>
      </c>
      <c r="I2110" t="s">
        <v>28</v>
      </c>
      <c r="J2110" t="s">
        <v>29</v>
      </c>
      <c r="K2110" t="s">
        <v>30</v>
      </c>
      <c r="L2110" t="s">
        <v>29</v>
      </c>
      <c r="M2110" t="s">
        <v>30</v>
      </c>
      <c r="N2110" t="s">
        <v>27</v>
      </c>
      <c r="O2110" t="s">
        <v>28</v>
      </c>
      <c r="P2110" t="s">
        <v>29</v>
      </c>
      <c r="Q2110" t="s">
        <v>30</v>
      </c>
      <c r="R2110" s="1">
        <v>44244.37672453704</v>
      </c>
      <c r="S2110" s="1">
        <v>44244.377870370372</v>
      </c>
      <c r="T2110">
        <v>0</v>
      </c>
      <c r="U2110">
        <v>0</v>
      </c>
      <c r="V2110" s="2">
        <v>0</v>
      </c>
      <c r="W2110">
        <v>0</v>
      </c>
      <c r="X2110" t="s">
        <v>37</v>
      </c>
      <c r="Y2110">
        <v>0</v>
      </c>
      <c r="Z2110" t="s">
        <v>37</v>
      </c>
      <c r="AA2110">
        <v>0</v>
      </c>
      <c r="AB2110" t="s">
        <v>37</v>
      </c>
      <c r="AC2110">
        <v>0</v>
      </c>
      <c r="AD2110" t="s">
        <v>37</v>
      </c>
      <c r="AE2110">
        <v>0</v>
      </c>
      <c r="AF2110" t="s">
        <v>31</v>
      </c>
      <c r="AG2110">
        <v>0</v>
      </c>
      <c r="AH2110" t="s">
        <v>31</v>
      </c>
      <c r="AI2110">
        <v>0</v>
      </c>
      <c r="AJ2110" t="s">
        <v>31</v>
      </c>
      <c r="AK2110">
        <v>0</v>
      </c>
      <c r="AL2110" t="s">
        <v>31</v>
      </c>
      <c r="AM2110">
        <v>0</v>
      </c>
      <c r="AN2110" t="s">
        <v>31</v>
      </c>
      <c r="AO2110">
        <v>0</v>
      </c>
      <c r="AP2110" t="s">
        <v>31</v>
      </c>
      <c r="AQ2110">
        <v>0</v>
      </c>
    </row>
    <row r="2111" spans="1:43" x14ac:dyDescent="0.2">
      <c r="A2111" t="s">
        <v>381</v>
      </c>
      <c r="B2111" s="3">
        <v>44251</v>
      </c>
      <c r="C2111">
        <v>18</v>
      </c>
      <c r="D2111" t="s">
        <v>384</v>
      </c>
      <c r="E2111" t="s">
        <v>178</v>
      </c>
      <c r="F2111" s="9" t="s">
        <v>179</v>
      </c>
      <c r="G2111" t="s">
        <v>26</v>
      </c>
      <c r="H2111" t="s">
        <v>27</v>
      </c>
      <c r="I2111" t="s">
        <v>28</v>
      </c>
      <c r="J2111" t="s">
        <v>29</v>
      </c>
      <c r="K2111" t="s">
        <v>30</v>
      </c>
      <c r="L2111" t="s">
        <v>29</v>
      </c>
      <c r="M2111" t="s">
        <v>30</v>
      </c>
      <c r="N2111" t="s">
        <v>27</v>
      </c>
      <c r="O2111" t="s">
        <v>28</v>
      </c>
      <c r="P2111" t="s">
        <v>29</v>
      </c>
      <c r="Q2111" t="s">
        <v>30</v>
      </c>
      <c r="R2111" s="1">
        <v>44251.466180555559</v>
      </c>
      <c r="S2111" s="1">
        <v>44251.466921296298</v>
      </c>
      <c r="T2111">
        <v>0</v>
      </c>
      <c r="U2111">
        <v>0</v>
      </c>
      <c r="V2111" s="2">
        <v>0</v>
      </c>
      <c r="W2111">
        <v>0</v>
      </c>
      <c r="X2111" t="s">
        <v>37</v>
      </c>
      <c r="Y2111">
        <v>0</v>
      </c>
      <c r="Z2111" t="s">
        <v>37</v>
      </c>
      <c r="AA2111">
        <v>0</v>
      </c>
      <c r="AB2111" t="s">
        <v>37</v>
      </c>
      <c r="AC2111">
        <v>0</v>
      </c>
      <c r="AD2111" t="s">
        <v>31</v>
      </c>
      <c r="AE2111">
        <v>0</v>
      </c>
      <c r="AF2111" t="s">
        <v>31</v>
      </c>
      <c r="AG2111">
        <v>0</v>
      </c>
      <c r="AH2111" t="s">
        <v>31</v>
      </c>
      <c r="AI2111">
        <v>0</v>
      </c>
      <c r="AJ2111" t="s">
        <v>31</v>
      </c>
      <c r="AK2111">
        <v>0</v>
      </c>
      <c r="AL2111" t="s">
        <v>31</v>
      </c>
      <c r="AM2111">
        <v>0</v>
      </c>
      <c r="AN2111" t="s">
        <v>31</v>
      </c>
      <c r="AO2111">
        <v>0</v>
      </c>
      <c r="AP2111" t="s">
        <v>31</v>
      </c>
      <c r="AQ2111">
        <v>0</v>
      </c>
    </row>
    <row r="2112" spans="1:43" x14ac:dyDescent="0.2">
      <c r="A2112" t="s">
        <v>381</v>
      </c>
      <c r="B2112" s="3">
        <v>44252</v>
      </c>
      <c r="C2112">
        <v>19</v>
      </c>
      <c r="D2112" t="s">
        <v>382</v>
      </c>
      <c r="E2112" t="s">
        <v>178</v>
      </c>
      <c r="F2112" s="9" t="s">
        <v>179</v>
      </c>
      <c r="G2112" t="s">
        <v>26</v>
      </c>
      <c r="H2112" t="s">
        <v>27</v>
      </c>
      <c r="I2112" t="s">
        <v>28</v>
      </c>
      <c r="J2112" t="s">
        <v>29</v>
      </c>
      <c r="K2112" t="s">
        <v>30</v>
      </c>
      <c r="L2112" t="s">
        <v>29</v>
      </c>
      <c r="M2112" t="s">
        <v>30</v>
      </c>
      <c r="N2112" t="s">
        <v>27</v>
      </c>
      <c r="O2112" t="s">
        <v>28</v>
      </c>
      <c r="P2112" t="s">
        <v>29</v>
      </c>
      <c r="Q2112" t="s">
        <v>30</v>
      </c>
      <c r="R2112" s="1">
        <v>44252.471886574072</v>
      </c>
      <c r="S2112" s="1">
        <v>44252.471886574072</v>
      </c>
      <c r="T2112">
        <v>0</v>
      </c>
      <c r="U2112">
        <v>0</v>
      </c>
      <c r="V2112" s="2">
        <v>0</v>
      </c>
      <c r="W2112">
        <v>0</v>
      </c>
      <c r="X2112" t="s">
        <v>37</v>
      </c>
      <c r="Y2112">
        <v>0</v>
      </c>
      <c r="Z2112" t="s">
        <v>37</v>
      </c>
      <c r="AA2112">
        <v>0</v>
      </c>
      <c r="AB2112" t="s">
        <v>37</v>
      </c>
      <c r="AC2112">
        <v>0</v>
      </c>
      <c r="AD2112" t="s">
        <v>31</v>
      </c>
      <c r="AE2112">
        <v>0</v>
      </c>
      <c r="AF2112" t="s">
        <v>31</v>
      </c>
      <c r="AG2112">
        <v>0</v>
      </c>
      <c r="AH2112" t="s">
        <v>31</v>
      </c>
      <c r="AI2112">
        <v>0</v>
      </c>
      <c r="AJ2112" t="s">
        <v>31</v>
      </c>
      <c r="AK2112">
        <v>0</v>
      </c>
      <c r="AL2112" t="s">
        <v>31</v>
      </c>
      <c r="AM2112">
        <v>0</v>
      </c>
      <c r="AN2112" t="s">
        <v>31</v>
      </c>
      <c r="AO2112">
        <v>0</v>
      </c>
      <c r="AP2112" t="s">
        <v>31</v>
      </c>
      <c r="AQ2112">
        <v>0</v>
      </c>
    </row>
    <row r="2113" spans="1:43" x14ac:dyDescent="0.2">
      <c r="A2113" t="s">
        <v>381</v>
      </c>
      <c r="B2113" s="3">
        <v>44253</v>
      </c>
      <c r="C2113">
        <v>21</v>
      </c>
      <c r="D2113" t="s">
        <v>384</v>
      </c>
      <c r="E2113" t="s">
        <v>178</v>
      </c>
      <c r="F2113" s="9" t="s">
        <v>179</v>
      </c>
      <c r="G2113" t="s">
        <v>26</v>
      </c>
      <c r="H2113" t="s">
        <v>27</v>
      </c>
      <c r="I2113" t="s">
        <v>28</v>
      </c>
      <c r="J2113" t="s">
        <v>29</v>
      </c>
      <c r="K2113" t="s">
        <v>30</v>
      </c>
      <c r="L2113" t="s">
        <v>29</v>
      </c>
      <c r="M2113" t="s">
        <v>30</v>
      </c>
      <c r="N2113" t="s">
        <v>27</v>
      </c>
      <c r="O2113" t="s">
        <v>28</v>
      </c>
      <c r="P2113" t="s">
        <v>29</v>
      </c>
      <c r="Q2113" t="s">
        <v>30</v>
      </c>
      <c r="R2113" s="1">
        <v>44253.462604166663</v>
      </c>
      <c r="S2113" s="1">
        <v>44253.463090277779</v>
      </c>
      <c r="T2113">
        <v>0</v>
      </c>
      <c r="U2113">
        <v>1</v>
      </c>
      <c r="V2113" s="2">
        <v>0</v>
      </c>
      <c r="W2113">
        <v>0</v>
      </c>
      <c r="X2113" t="s">
        <v>44</v>
      </c>
      <c r="Y2113">
        <v>0</v>
      </c>
      <c r="Z2113" t="s">
        <v>37</v>
      </c>
      <c r="AA2113">
        <v>0</v>
      </c>
      <c r="AB2113" t="s">
        <v>37</v>
      </c>
      <c r="AC2113">
        <v>0</v>
      </c>
      <c r="AD2113" t="s">
        <v>37</v>
      </c>
      <c r="AE2113">
        <v>0</v>
      </c>
      <c r="AF2113" t="s">
        <v>31</v>
      </c>
      <c r="AG2113">
        <v>0</v>
      </c>
      <c r="AH2113" t="s">
        <v>31</v>
      </c>
      <c r="AI2113">
        <v>0</v>
      </c>
      <c r="AJ2113" t="s">
        <v>31</v>
      </c>
      <c r="AK2113">
        <v>0</v>
      </c>
      <c r="AL2113" t="s">
        <v>31</v>
      </c>
      <c r="AM2113">
        <v>0</v>
      </c>
      <c r="AN2113" t="s">
        <v>31</v>
      </c>
      <c r="AO2113">
        <v>0</v>
      </c>
      <c r="AP2113" t="s">
        <v>31</v>
      </c>
      <c r="AQ2113">
        <v>0</v>
      </c>
    </row>
    <row r="2114" spans="1:43" x14ac:dyDescent="0.2">
      <c r="A2114" t="s">
        <v>381</v>
      </c>
      <c r="B2114" s="3">
        <v>44257</v>
      </c>
      <c r="C2114">
        <v>23</v>
      </c>
      <c r="D2114" t="s">
        <v>382</v>
      </c>
      <c r="E2114" t="s">
        <v>178</v>
      </c>
      <c r="F2114" s="9" t="s">
        <v>179</v>
      </c>
      <c r="G2114" t="s">
        <v>26</v>
      </c>
      <c r="H2114" t="s">
        <v>27</v>
      </c>
      <c r="I2114" t="s">
        <v>28</v>
      </c>
      <c r="J2114" t="s">
        <v>29</v>
      </c>
      <c r="K2114" t="s">
        <v>30</v>
      </c>
      <c r="L2114" t="s">
        <v>29</v>
      </c>
      <c r="M2114" t="s">
        <v>30</v>
      </c>
      <c r="N2114" t="s">
        <v>27</v>
      </c>
      <c r="O2114" t="s">
        <v>28</v>
      </c>
      <c r="P2114" t="s">
        <v>29</v>
      </c>
      <c r="Q2114" t="s">
        <v>30</v>
      </c>
      <c r="R2114" s="1">
        <v>44257.463680555556</v>
      </c>
      <c r="S2114" s="1">
        <v>44257.463680555556</v>
      </c>
      <c r="T2114">
        <v>0</v>
      </c>
      <c r="U2114">
        <v>0</v>
      </c>
      <c r="V2114" s="2">
        <v>0</v>
      </c>
      <c r="W2114">
        <v>0</v>
      </c>
      <c r="X2114" t="s">
        <v>37</v>
      </c>
      <c r="Y2114">
        <v>0</v>
      </c>
      <c r="Z2114" t="s">
        <v>37</v>
      </c>
      <c r="AA2114">
        <v>0</v>
      </c>
      <c r="AB2114" t="s">
        <v>37</v>
      </c>
      <c r="AC2114">
        <v>0</v>
      </c>
      <c r="AD2114" t="s">
        <v>31</v>
      </c>
      <c r="AE2114">
        <v>0</v>
      </c>
      <c r="AF2114" t="s">
        <v>31</v>
      </c>
      <c r="AG2114">
        <v>0</v>
      </c>
      <c r="AH2114" t="s">
        <v>31</v>
      </c>
      <c r="AI2114">
        <v>0</v>
      </c>
      <c r="AJ2114" t="s">
        <v>31</v>
      </c>
      <c r="AK2114">
        <v>0</v>
      </c>
      <c r="AL2114" t="s">
        <v>31</v>
      </c>
      <c r="AM2114">
        <v>0</v>
      </c>
      <c r="AN2114" t="s">
        <v>31</v>
      </c>
      <c r="AO2114">
        <v>0</v>
      </c>
      <c r="AP2114" t="s">
        <v>31</v>
      </c>
      <c r="AQ2114">
        <v>0</v>
      </c>
    </row>
    <row r="2115" spans="1:43" x14ac:dyDescent="0.2">
      <c r="A2115" t="s">
        <v>381</v>
      </c>
      <c r="B2115" s="3">
        <v>44265</v>
      </c>
      <c r="C2115">
        <v>32</v>
      </c>
      <c r="D2115" t="s">
        <v>384</v>
      </c>
      <c r="E2115" t="s">
        <v>178</v>
      </c>
      <c r="F2115" s="9" t="s">
        <v>179</v>
      </c>
      <c r="G2115" t="s">
        <v>26</v>
      </c>
      <c r="H2115" t="s">
        <v>27</v>
      </c>
      <c r="I2115" t="s">
        <v>28</v>
      </c>
      <c r="J2115" t="s">
        <v>29</v>
      </c>
      <c r="K2115" t="s">
        <v>30</v>
      </c>
      <c r="L2115" t="s">
        <v>29</v>
      </c>
      <c r="M2115" t="s">
        <v>30</v>
      </c>
      <c r="N2115" t="s">
        <v>27</v>
      </c>
      <c r="O2115" t="s">
        <v>28</v>
      </c>
      <c r="P2115" t="s">
        <v>29</v>
      </c>
      <c r="Q2115" t="s">
        <v>30</v>
      </c>
      <c r="R2115" s="1">
        <v>44265.377986111111</v>
      </c>
      <c r="S2115" s="1">
        <v>44265.378333333334</v>
      </c>
      <c r="T2115">
        <v>0</v>
      </c>
      <c r="U2115">
        <v>0</v>
      </c>
      <c r="V2115" s="2">
        <v>0</v>
      </c>
      <c r="W2115">
        <v>0</v>
      </c>
      <c r="X2115" t="s">
        <v>37</v>
      </c>
      <c r="Y2115">
        <v>0</v>
      </c>
      <c r="Z2115" t="s">
        <v>37</v>
      </c>
      <c r="AA2115">
        <v>0</v>
      </c>
      <c r="AB2115" t="s">
        <v>37</v>
      </c>
      <c r="AC2115">
        <v>0</v>
      </c>
      <c r="AD2115" t="s">
        <v>31</v>
      </c>
      <c r="AE2115">
        <v>0</v>
      </c>
      <c r="AF2115" t="s">
        <v>31</v>
      </c>
      <c r="AG2115">
        <v>0</v>
      </c>
      <c r="AH2115" t="s">
        <v>31</v>
      </c>
      <c r="AI2115">
        <v>0</v>
      </c>
      <c r="AJ2115" t="s">
        <v>31</v>
      </c>
      <c r="AK2115">
        <v>0</v>
      </c>
      <c r="AL2115" t="s">
        <v>31</v>
      </c>
      <c r="AM2115">
        <v>0</v>
      </c>
      <c r="AN2115" t="s">
        <v>31</v>
      </c>
      <c r="AO2115">
        <v>0</v>
      </c>
      <c r="AP2115" t="s">
        <v>31</v>
      </c>
      <c r="AQ2115">
        <v>0</v>
      </c>
    </row>
    <row r="2116" spans="1:43" x14ac:dyDescent="0.2">
      <c r="A2116" t="s">
        <v>381</v>
      </c>
      <c r="B2116" s="3">
        <v>44272</v>
      </c>
      <c r="C2116">
        <v>38</v>
      </c>
      <c r="D2116" t="s">
        <v>384</v>
      </c>
      <c r="E2116" t="s">
        <v>178</v>
      </c>
      <c r="F2116" s="9" t="s">
        <v>179</v>
      </c>
      <c r="G2116" t="s">
        <v>26</v>
      </c>
      <c r="H2116" t="s">
        <v>27</v>
      </c>
      <c r="I2116" t="s">
        <v>28</v>
      </c>
      <c r="J2116" t="s">
        <v>29</v>
      </c>
      <c r="K2116" t="s">
        <v>30</v>
      </c>
      <c r="L2116" t="s">
        <v>29</v>
      </c>
      <c r="M2116" t="s">
        <v>30</v>
      </c>
      <c r="N2116" t="s">
        <v>27</v>
      </c>
      <c r="O2116" t="s">
        <v>28</v>
      </c>
      <c r="P2116" t="s">
        <v>29</v>
      </c>
      <c r="Q2116" t="s">
        <v>30</v>
      </c>
      <c r="R2116" s="1">
        <v>44272.373865740738</v>
      </c>
      <c r="S2116" s="1">
        <v>44272.374363425923</v>
      </c>
      <c r="T2116">
        <v>0</v>
      </c>
      <c r="U2116">
        <v>0</v>
      </c>
      <c r="V2116" s="2">
        <v>0</v>
      </c>
      <c r="W2116">
        <v>0</v>
      </c>
      <c r="X2116" t="s">
        <v>37</v>
      </c>
      <c r="Y2116">
        <v>0</v>
      </c>
      <c r="Z2116" t="s">
        <v>37</v>
      </c>
      <c r="AA2116">
        <v>0</v>
      </c>
      <c r="AB2116" t="s">
        <v>37</v>
      </c>
      <c r="AC2116">
        <v>0</v>
      </c>
      <c r="AD2116" t="s">
        <v>31</v>
      </c>
      <c r="AE2116">
        <v>0</v>
      </c>
      <c r="AF2116" t="s">
        <v>31</v>
      </c>
      <c r="AG2116">
        <v>0</v>
      </c>
      <c r="AH2116" t="s">
        <v>31</v>
      </c>
      <c r="AI2116">
        <v>0</v>
      </c>
      <c r="AJ2116" t="s">
        <v>31</v>
      </c>
      <c r="AK2116">
        <v>0</v>
      </c>
      <c r="AL2116" t="s">
        <v>31</v>
      </c>
      <c r="AM2116">
        <v>0</v>
      </c>
      <c r="AN2116" t="s">
        <v>31</v>
      </c>
      <c r="AO2116">
        <v>0</v>
      </c>
      <c r="AP2116" t="s">
        <v>31</v>
      </c>
      <c r="AQ2116">
        <v>0</v>
      </c>
    </row>
    <row r="2117" spans="1:43" x14ac:dyDescent="0.2">
      <c r="A2117" t="s">
        <v>381</v>
      </c>
      <c r="B2117" s="3">
        <v>44291</v>
      </c>
      <c r="C2117">
        <v>50</v>
      </c>
      <c r="D2117" t="s">
        <v>384</v>
      </c>
      <c r="E2117" t="s">
        <v>178</v>
      </c>
      <c r="F2117" s="9" t="s">
        <v>179</v>
      </c>
      <c r="G2117" t="s">
        <v>26</v>
      </c>
      <c r="H2117" t="s">
        <v>27</v>
      </c>
      <c r="I2117" t="s">
        <v>28</v>
      </c>
      <c r="J2117" t="s">
        <v>29</v>
      </c>
      <c r="K2117" t="s">
        <v>30</v>
      </c>
      <c r="L2117" t="s">
        <v>29</v>
      </c>
      <c r="M2117" t="s">
        <v>30</v>
      </c>
      <c r="N2117" t="s">
        <v>27</v>
      </c>
      <c r="O2117" t="s">
        <v>28</v>
      </c>
      <c r="P2117" t="s">
        <v>29</v>
      </c>
      <c r="Q2117" t="s">
        <v>30</v>
      </c>
      <c r="R2117" s="1">
        <v>44291.466967592591</v>
      </c>
      <c r="S2117" s="1">
        <v>44291.467233796298</v>
      </c>
      <c r="T2117">
        <v>0</v>
      </c>
      <c r="U2117">
        <v>0</v>
      </c>
      <c r="V2117" s="2">
        <v>0</v>
      </c>
      <c r="W2117">
        <v>0</v>
      </c>
      <c r="X2117" t="s">
        <v>37</v>
      </c>
      <c r="Y2117">
        <v>0</v>
      </c>
      <c r="Z2117" t="s">
        <v>37</v>
      </c>
      <c r="AA2117">
        <v>0</v>
      </c>
      <c r="AB2117" t="s">
        <v>37</v>
      </c>
      <c r="AC2117">
        <v>0</v>
      </c>
      <c r="AD2117" t="s">
        <v>31</v>
      </c>
      <c r="AE2117">
        <v>0</v>
      </c>
      <c r="AF2117" t="s">
        <v>31</v>
      </c>
      <c r="AG2117">
        <v>0</v>
      </c>
      <c r="AH2117" t="s">
        <v>31</v>
      </c>
      <c r="AI2117">
        <v>0</v>
      </c>
      <c r="AJ2117" t="s">
        <v>31</v>
      </c>
      <c r="AK2117">
        <v>0</v>
      </c>
      <c r="AL2117" t="s">
        <v>31</v>
      </c>
      <c r="AM2117">
        <v>0</v>
      </c>
      <c r="AN2117" t="s">
        <v>31</v>
      </c>
      <c r="AO2117">
        <v>0</v>
      </c>
      <c r="AP2117" t="s">
        <v>31</v>
      </c>
      <c r="AQ2117">
        <v>0</v>
      </c>
    </row>
    <row r="2118" spans="1:43" x14ac:dyDescent="0.2">
      <c r="A2118" t="s">
        <v>381</v>
      </c>
      <c r="B2118" s="3">
        <v>44295</v>
      </c>
      <c r="C2118">
        <v>56</v>
      </c>
      <c r="D2118" t="s">
        <v>384</v>
      </c>
      <c r="E2118" t="s">
        <v>178</v>
      </c>
      <c r="F2118" s="9" t="s">
        <v>179</v>
      </c>
      <c r="G2118" t="s">
        <v>26</v>
      </c>
      <c r="H2118" t="s">
        <v>27</v>
      </c>
      <c r="I2118" t="s">
        <v>28</v>
      </c>
      <c r="J2118" t="s">
        <v>29</v>
      </c>
      <c r="K2118" t="s">
        <v>30</v>
      </c>
      <c r="L2118" t="s">
        <v>29</v>
      </c>
      <c r="M2118" t="s">
        <v>30</v>
      </c>
      <c r="N2118" t="s">
        <v>27</v>
      </c>
      <c r="O2118" t="s">
        <v>28</v>
      </c>
      <c r="P2118" t="s">
        <v>29</v>
      </c>
      <c r="Q2118" t="s">
        <v>30</v>
      </c>
      <c r="R2118" s="1">
        <v>44295.471215277779</v>
      </c>
      <c r="S2118" s="1">
        <v>44295.47152777778</v>
      </c>
      <c r="T2118">
        <v>0</v>
      </c>
      <c r="U2118">
        <v>0</v>
      </c>
      <c r="V2118" s="2">
        <v>0</v>
      </c>
      <c r="W2118">
        <v>0</v>
      </c>
      <c r="X2118" t="s">
        <v>37</v>
      </c>
      <c r="Y2118">
        <v>0</v>
      </c>
      <c r="Z2118" t="s">
        <v>37</v>
      </c>
      <c r="AA2118">
        <v>0</v>
      </c>
      <c r="AB2118" t="s">
        <v>37</v>
      </c>
      <c r="AC2118">
        <v>0</v>
      </c>
      <c r="AD2118" t="s">
        <v>31</v>
      </c>
      <c r="AE2118">
        <v>0</v>
      </c>
      <c r="AF2118" t="s">
        <v>31</v>
      </c>
      <c r="AG2118">
        <v>0</v>
      </c>
      <c r="AH2118" t="s">
        <v>31</v>
      </c>
      <c r="AI2118">
        <v>0</v>
      </c>
      <c r="AJ2118" t="s">
        <v>31</v>
      </c>
      <c r="AK2118">
        <v>0</v>
      </c>
      <c r="AL2118" t="s">
        <v>31</v>
      </c>
      <c r="AM2118">
        <v>0</v>
      </c>
      <c r="AN2118" t="s">
        <v>31</v>
      </c>
      <c r="AO2118">
        <v>0</v>
      </c>
      <c r="AP2118" t="s">
        <v>31</v>
      </c>
      <c r="AQ2118">
        <v>0</v>
      </c>
    </row>
    <row r="2119" spans="1:43" x14ac:dyDescent="0.2">
      <c r="A2119" t="s">
        <v>381</v>
      </c>
      <c r="B2119" s="3">
        <v>44363</v>
      </c>
      <c r="C2119">
        <v>137</v>
      </c>
      <c r="D2119" t="s">
        <v>383</v>
      </c>
      <c r="E2119" t="s">
        <v>178</v>
      </c>
      <c r="F2119" s="9" t="s">
        <v>179</v>
      </c>
      <c r="G2119" t="s">
        <v>26</v>
      </c>
      <c r="H2119" t="s">
        <v>27</v>
      </c>
      <c r="I2119" t="s">
        <v>28</v>
      </c>
      <c r="J2119" t="s">
        <v>29</v>
      </c>
      <c r="K2119" t="s">
        <v>30</v>
      </c>
      <c r="L2119" t="s">
        <v>29</v>
      </c>
      <c r="M2119" t="s">
        <v>30</v>
      </c>
      <c r="N2119" t="s">
        <v>27</v>
      </c>
      <c r="O2119" t="s">
        <v>28</v>
      </c>
      <c r="P2119" t="s">
        <v>29</v>
      </c>
      <c r="Q2119" t="s">
        <v>30</v>
      </c>
      <c r="R2119" s="1">
        <v>44363.628460648149</v>
      </c>
      <c r="S2119" s="1">
        <v>44363.629953703705</v>
      </c>
      <c r="T2119">
        <v>0</v>
      </c>
      <c r="U2119">
        <v>1</v>
      </c>
      <c r="V2119" s="2">
        <v>0</v>
      </c>
      <c r="W2119">
        <v>0</v>
      </c>
      <c r="X2119" t="s">
        <v>37</v>
      </c>
      <c r="Y2119">
        <v>0</v>
      </c>
      <c r="Z2119" t="s">
        <v>44</v>
      </c>
      <c r="AA2119">
        <v>0</v>
      </c>
      <c r="AB2119" t="s">
        <v>37</v>
      </c>
      <c r="AC2119">
        <v>0</v>
      </c>
      <c r="AD2119" t="s">
        <v>31</v>
      </c>
      <c r="AE2119">
        <v>0</v>
      </c>
      <c r="AF2119" t="s">
        <v>31</v>
      </c>
      <c r="AG2119">
        <v>0</v>
      </c>
      <c r="AH2119" t="s">
        <v>31</v>
      </c>
      <c r="AI2119">
        <v>0</v>
      </c>
      <c r="AJ2119" t="s">
        <v>31</v>
      </c>
      <c r="AK2119">
        <v>0</v>
      </c>
      <c r="AL2119" t="s">
        <v>31</v>
      </c>
      <c r="AM2119">
        <v>0</v>
      </c>
      <c r="AN2119" t="s">
        <v>31</v>
      </c>
      <c r="AO2119">
        <v>0</v>
      </c>
      <c r="AP2119" t="s">
        <v>31</v>
      </c>
      <c r="AQ2119">
        <v>0</v>
      </c>
    </row>
    <row r="2120" spans="1:43" x14ac:dyDescent="0.2">
      <c r="A2120" t="s">
        <v>381</v>
      </c>
      <c r="B2120" s="3">
        <v>44364</v>
      </c>
      <c r="C2120">
        <v>138</v>
      </c>
      <c r="D2120" t="s">
        <v>399</v>
      </c>
      <c r="E2120" t="s">
        <v>178</v>
      </c>
      <c r="F2120" s="9" t="s">
        <v>179</v>
      </c>
      <c r="G2120" t="s">
        <v>26</v>
      </c>
      <c r="H2120" t="s">
        <v>27</v>
      </c>
      <c r="I2120" t="s">
        <v>28</v>
      </c>
      <c r="J2120" t="s">
        <v>29</v>
      </c>
      <c r="K2120" t="s">
        <v>30</v>
      </c>
      <c r="L2120" t="s">
        <v>29</v>
      </c>
      <c r="M2120" t="s">
        <v>30</v>
      </c>
      <c r="N2120" t="s">
        <v>27</v>
      </c>
      <c r="O2120" t="s">
        <v>28</v>
      </c>
      <c r="P2120" t="s">
        <v>29</v>
      </c>
      <c r="Q2120" t="s">
        <v>30</v>
      </c>
      <c r="R2120" s="1">
        <v>44364.427731481483</v>
      </c>
      <c r="S2120" s="1">
        <v>44364.427731481483</v>
      </c>
      <c r="T2120">
        <v>1</v>
      </c>
      <c r="U2120">
        <v>1</v>
      </c>
      <c r="V2120" s="2">
        <v>1</v>
      </c>
      <c r="W2120">
        <v>0</v>
      </c>
      <c r="X2120" t="s">
        <v>30</v>
      </c>
      <c r="Y2120">
        <v>0</v>
      </c>
      <c r="Z2120" t="s">
        <v>31</v>
      </c>
      <c r="AA2120">
        <v>0</v>
      </c>
      <c r="AB2120" t="s">
        <v>31</v>
      </c>
      <c r="AC2120">
        <v>0</v>
      </c>
      <c r="AD2120" t="s">
        <v>31</v>
      </c>
      <c r="AE2120">
        <v>0</v>
      </c>
      <c r="AF2120" t="s">
        <v>31</v>
      </c>
      <c r="AG2120">
        <v>0</v>
      </c>
      <c r="AH2120" t="s">
        <v>31</v>
      </c>
      <c r="AI2120">
        <v>0</v>
      </c>
      <c r="AJ2120" t="s">
        <v>31</v>
      </c>
      <c r="AK2120">
        <v>0</v>
      </c>
      <c r="AL2120" t="s">
        <v>31</v>
      </c>
      <c r="AM2120">
        <v>0</v>
      </c>
      <c r="AN2120" t="s">
        <v>31</v>
      </c>
      <c r="AO2120">
        <v>0</v>
      </c>
      <c r="AP2120" t="s">
        <v>31</v>
      </c>
      <c r="AQ2120">
        <v>0</v>
      </c>
    </row>
    <row r="2121" spans="1:43" x14ac:dyDescent="0.2">
      <c r="A2121" t="s">
        <v>381</v>
      </c>
      <c r="B2121" s="3">
        <v>44375</v>
      </c>
      <c r="C2121">
        <v>141</v>
      </c>
      <c r="D2121" t="s">
        <v>396</v>
      </c>
      <c r="E2121" t="s">
        <v>178</v>
      </c>
      <c r="F2121" s="9" t="s">
        <v>179</v>
      </c>
      <c r="G2121" t="s">
        <v>26</v>
      </c>
      <c r="H2121" t="s">
        <v>27</v>
      </c>
      <c r="I2121" t="s">
        <v>28</v>
      </c>
      <c r="J2121" t="s">
        <v>29</v>
      </c>
      <c r="K2121" t="s">
        <v>30</v>
      </c>
      <c r="L2121" t="s">
        <v>29</v>
      </c>
      <c r="M2121" t="s">
        <v>30</v>
      </c>
      <c r="N2121" t="s">
        <v>27</v>
      </c>
      <c r="O2121" t="s">
        <v>28</v>
      </c>
      <c r="P2121" t="s">
        <v>29</v>
      </c>
      <c r="Q2121" t="s">
        <v>30</v>
      </c>
      <c r="R2121" s="1">
        <v>44375.618287037039</v>
      </c>
      <c r="S2121" s="1">
        <v>44375.618310185186</v>
      </c>
      <c r="T2121">
        <v>0</v>
      </c>
      <c r="U2121">
        <v>1</v>
      </c>
      <c r="V2121" s="2">
        <v>0</v>
      </c>
      <c r="W2121">
        <v>0</v>
      </c>
      <c r="X2121" t="s">
        <v>37</v>
      </c>
      <c r="Y2121">
        <v>0</v>
      </c>
      <c r="Z2121" t="s">
        <v>37</v>
      </c>
      <c r="AA2121">
        <v>0</v>
      </c>
      <c r="AB2121" t="s">
        <v>44</v>
      </c>
      <c r="AC2121">
        <v>0</v>
      </c>
      <c r="AD2121" t="s">
        <v>31</v>
      </c>
      <c r="AE2121">
        <v>0</v>
      </c>
      <c r="AF2121" t="s">
        <v>31</v>
      </c>
      <c r="AG2121">
        <v>0</v>
      </c>
      <c r="AH2121" t="s">
        <v>31</v>
      </c>
      <c r="AI2121">
        <v>0</v>
      </c>
      <c r="AJ2121" t="s">
        <v>31</v>
      </c>
      <c r="AK2121">
        <v>0</v>
      </c>
      <c r="AL2121" t="s">
        <v>31</v>
      </c>
      <c r="AM2121">
        <v>0</v>
      </c>
      <c r="AN2121" t="s">
        <v>31</v>
      </c>
      <c r="AO2121">
        <v>0</v>
      </c>
      <c r="AP2121" t="s">
        <v>31</v>
      </c>
      <c r="AQ2121">
        <v>0</v>
      </c>
    </row>
    <row r="2122" spans="1:43" x14ac:dyDescent="0.2">
      <c r="A2122" t="s">
        <v>381</v>
      </c>
      <c r="B2122" s="3">
        <v>44243</v>
      </c>
      <c r="C2122">
        <v>9</v>
      </c>
      <c r="D2122" t="s">
        <v>382</v>
      </c>
      <c r="E2122" t="s">
        <v>160</v>
      </c>
      <c r="F2122" s="9" t="s">
        <v>161</v>
      </c>
      <c r="G2122" t="s">
        <v>26</v>
      </c>
      <c r="H2122" t="s">
        <v>34</v>
      </c>
      <c r="I2122" t="s">
        <v>35</v>
      </c>
      <c r="J2122" t="s">
        <v>29</v>
      </c>
      <c r="K2122" t="s">
        <v>30</v>
      </c>
      <c r="L2122" t="s">
        <v>29</v>
      </c>
      <c r="M2122" t="s">
        <v>30</v>
      </c>
      <c r="N2122" t="s">
        <v>155</v>
      </c>
      <c r="O2122" t="s">
        <v>156</v>
      </c>
      <c r="P2122" t="s">
        <v>162</v>
      </c>
      <c r="Q2122" t="s">
        <v>47</v>
      </c>
      <c r="R2122" s="1">
        <v>44243.375648148147</v>
      </c>
      <c r="S2122" s="1">
        <v>44243.375694444447</v>
      </c>
      <c r="T2122">
        <v>0</v>
      </c>
      <c r="U2122">
        <v>0</v>
      </c>
      <c r="V2122" s="2">
        <v>0</v>
      </c>
      <c r="W2122">
        <v>0</v>
      </c>
      <c r="X2122" t="s">
        <v>37</v>
      </c>
      <c r="Y2122">
        <v>0</v>
      </c>
      <c r="Z2122" t="s">
        <v>37</v>
      </c>
      <c r="AA2122">
        <v>0</v>
      </c>
      <c r="AB2122" t="s">
        <v>37</v>
      </c>
      <c r="AC2122">
        <v>0</v>
      </c>
      <c r="AD2122" t="s">
        <v>37</v>
      </c>
      <c r="AE2122">
        <v>0</v>
      </c>
      <c r="AF2122" t="s">
        <v>37</v>
      </c>
      <c r="AG2122">
        <v>0</v>
      </c>
      <c r="AH2122" t="s">
        <v>31</v>
      </c>
      <c r="AI2122">
        <v>0</v>
      </c>
      <c r="AJ2122" t="s">
        <v>31</v>
      </c>
      <c r="AK2122">
        <v>0</v>
      </c>
      <c r="AL2122" t="s">
        <v>31</v>
      </c>
      <c r="AM2122">
        <v>0</v>
      </c>
      <c r="AN2122" t="s">
        <v>31</v>
      </c>
      <c r="AO2122">
        <v>0</v>
      </c>
      <c r="AP2122" t="s">
        <v>31</v>
      </c>
      <c r="AQ2122">
        <v>0</v>
      </c>
    </row>
    <row r="2123" spans="1:43" x14ac:dyDescent="0.2">
      <c r="A2123" t="s">
        <v>381</v>
      </c>
      <c r="B2123" s="3">
        <v>44244</v>
      </c>
      <c r="C2123">
        <v>11</v>
      </c>
      <c r="D2123" t="s">
        <v>384</v>
      </c>
      <c r="E2123" t="s">
        <v>160</v>
      </c>
      <c r="F2123" s="9" t="s">
        <v>161</v>
      </c>
      <c r="G2123" t="s">
        <v>26</v>
      </c>
      <c r="H2123" t="s">
        <v>155</v>
      </c>
      <c r="I2123" t="s">
        <v>156</v>
      </c>
      <c r="J2123" t="s">
        <v>162</v>
      </c>
      <c r="K2123" t="s">
        <v>47</v>
      </c>
      <c r="L2123" t="s">
        <v>162</v>
      </c>
      <c r="M2123" t="s">
        <v>47</v>
      </c>
      <c r="N2123" t="s">
        <v>27</v>
      </c>
      <c r="O2123" t="s">
        <v>28</v>
      </c>
      <c r="P2123" t="s">
        <v>43</v>
      </c>
      <c r="Q2123" t="s">
        <v>44</v>
      </c>
      <c r="R2123" s="1">
        <v>44244.380844907406</v>
      </c>
      <c r="S2123" s="1">
        <v>44244.382152777776</v>
      </c>
      <c r="T2123">
        <v>10</v>
      </c>
      <c r="U2123">
        <v>10</v>
      </c>
      <c r="V2123" s="2">
        <v>1</v>
      </c>
      <c r="W2123">
        <v>0</v>
      </c>
      <c r="X2123" t="s">
        <v>47</v>
      </c>
      <c r="Y2123">
        <v>0</v>
      </c>
      <c r="Z2123" t="s">
        <v>47</v>
      </c>
      <c r="AA2123">
        <v>0</v>
      </c>
      <c r="AB2123" t="s">
        <v>47</v>
      </c>
      <c r="AC2123">
        <v>0</v>
      </c>
      <c r="AD2123" t="s">
        <v>47</v>
      </c>
      <c r="AE2123">
        <v>0</v>
      </c>
      <c r="AF2123" t="s">
        <v>47</v>
      </c>
      <c r="AG2123">
        <v>0</v>
      </c>
      <c r="AH2123" t="s">
        <v>47</v>
      </c>
      <c r="AI2123">
        <v>0</v>
      </c>
      <c r="AJ2123" t="s">
        <v>47</v>
      </c>
      <c r="AK2123">
        <v>0</v>
      </c>
      <c r="AL2123" t="s">
        <v>47</v>
      </c>
      <c r="AM2123">
        <v>0</v>
      </c>
      <c r="AN2123" t="s">
        <v>45</v>
      </c>
      <c r="AO2123">
        <v>0</v>
      </c>
      <c r="AP2123" t="s">
        <v>47</v>
      </c>
      <c r="AQ2123">
        <v>0</v>
      </c>
    </row>
    <row r="2124" spans="1:43" x14ac:dyDescent="0.2">
      <c r="A2124" t="s">
        <v>381</v>
      </c>
      <c r="B2124" s="3">
        <v>44245</v>
      </c>
      <c r="C2124">
        <v>12</v>
      </c>
      <c r="D2124" t="s">
        <v>382</v>
      </c>
      <c r="E2124" t="s">
        <v>160</v>
      </c>
      <c r="F2124" s="9" t="s">
        <v>161</v>
      </c>
      <c r="G2124" t="s">
        <v>26</v>
      </c>
      <c r="H2124" t="s">
        <v>27</v>
      </c>
      <c r="I2124" t="s">
        <v>28</v>
      </c>
      <c r="J2124" t="s">
        <v>43</v>
      </c>
      <c r="K2124" t="s">
        <v>44</v>
      </c>
      <c r="L2124" t="s">
        <v>29</v>
      </c>
      <c r="M2124" t="s">
        <v>30</v>
      </c>
      <c r="N2124" t="s">
        <v>27</v>
      </c>
      <c r="O2124" t="s">
        <v>28</v>
      </c>
      <c r="P2124" t="s">
        <v>43</v>
      </c>
      <c r="Q2124" t="s">
        <v>44</v>
      </c>
      <c r="R2124" s="1">
        <v>44245.454606481479</v>
      </c>
      <c r="S2124" s="1">
        <v>44245.454733796294</v>
      </c>
      <c r="T2124">
        <v>1</v>
      </c>
      <c r="U2124">
        <v>1</v>
      </c>
      <c r="V2124" s="2">
        <v>1</v>
      </c>
      <c r="W2124">
        <v>0</v>
      </c>
      <c r="X2124" t="s">
        <v>37</v>
      </c>
      <c r="Y2124">
        <v>0</v>
      </c>
      <c r="Z2124" t="s">
        <v>37</v>
      </c>
      <c r="AA2124">
        <v>0</v>
      </c>
      <c r="AB2124" t="s">
        <v>30</v>
      </c>
      <c r="AC2124">
        <v>0</v>
      </c>
      <c r="AD2124" t="s">
        <v>31</v>
      </c>
      <c r="AE2124">
        <v>0</v>
      </c>
      <c r="AF2124" t="s">
        <v>31</v>
      </c>
      <c r="AG2124">
        <v>0</v>
      </c>
      <c r="AH2124" t="s">
        <v>31</v>
      </c>
      <c r="AI2124">
        <v>0</v>
      </c>
      <c r="AJ2124" t="s">
        <v>31</v>
      </c>
      <c r="AK2124">
        <v>0</v>
      </c>
      <c r="AL2124" t="s">
        <v>31</v>
      </c>
      <c r="AM2124">
        <v>0</v>
      </c>
      <c r="AN2124" t="s">
        <v>31</v>
      </c>
      <c r="AO2124">
        <v>0</v>
      </c>
      <c r="AP2124" t="s">
        <v>31</v>
      </c>
      <c r="AQ2124">
        <v>0</v>
      </c>
    </row>
    <row r="2125" spans="1:43" x14ac:dyDescent="0.2">
      <c r="A2125" t="s">
        <v>381</v>
      </c>
      <c r="B2125" s="3">
        <v>44250</v>
      </c>
      <c r="C2125">
        <v>16</v>
      </c>
      <c r="D2125" t="s">
        <v>382</v>
      </c>
      <c r="E2125" t="s">
        <v>160</v>
      </c>
      <c r="F2125" s="9" t="s">
        <v>161</v>
      </c>
      <c r="G2125" t="s">
        <v>26</v>
      </c>
      <c r="H2125" t="s">
        <v>27</v>
      </c>
      <c r="I2125" t="s">
        <v>28</v>
      </c>
      <c r="J2125" t="s">
        <v>43</v>
      </c>
      <c r="K2125" t="s">
        <v>44</v>
      </c>
      <c r="L2125" t="s">
        <v>29</v>
      </c>
      <c r="M2125" t="s">
        <v>30</v>
      </c>
      <c r="N2125" t="s">
        <v>34</v>
      </c>
      <c r="O2125" t="s">
        <v>35</v>
      </c>
      <c r="P2125" t="s">
        <v>29</v>
      </c>
      <c r="Q2125" t="s">
        <v>30</v>
      </c>
      <c r="R2125" s="1">
        <v>44250.419085648151</v>
      </c>
      <c r="S2125" s="1">
        <v>44250.41909722222</v>
      </c>
      <c r="T2125">
        <v>1</v>
      </c>
      <c r="U2125">
        <v>1</v>
      </c>
      <c r="V2125" s="2">
        <v>1</v>
      </c>
      <c r="W2125">
        <v>0</v>
      </c>
      <c r="X2125" t="s">
        <v>37</v>
      </c>
      <c r="Y2125">
        <v>0</v>
      </c>
      <c r="Z2125" t="s">
        <v>37</v>
      </c>
      <c r="AA2125">
        <v>0</v>
      </c>
      <c r="AB2125" t="s">
        <v>30</v>
      </c>
      <c r="AC2125">
        <v>0</v>
      </c>
      <c r="AD2125" t="s">
        <v>31</v>
      </c>
      <c r="AE2125">
        <v>0</v>
      </c>
      <c r="AF2125" t="s">
        <v>31</v>
      </c>
      <c r="AG2125">
        <v>0</v>
      </c>
      <c r="AH2125" t="s">
        <v>31</v>
      </c>
      <c r="AI2125">
        <v>0</v>
      </c>
      <c r="AJ2125" t="s">
        <v>31</v>
      </c>
      <c r="AK2125">
        <v>0</v>
      </c>
      <c r="AL2125" t="s">
        <v>31</v>
      </c>
      <c r="AM2125">
        <v>0</v>
      </c>
      <c r="AN2125" t="s">
        <v>31</v>
      </c>
      <c r="AO2125">
        <v>0</v>
      </c>
      <c r="AP2125" t="s">
        <v>31</v>
      </c>
      <c r="AQ2125">
        <v>0</v>
      </c>
    </row>
    <row r="2126" spans="1:43" x14ac:dyDescent="0.2">
      <c r="A2126" t="s">
        <v>381</v>
      </c>
      <c r="B2126" s="3">
        <v>44252</v>
      </c>
      <c r="C2126">
        <v>19</v>
      </c>
      <c r="D2126" t="s">
        <v>382</v>
      </c>
      <c r="E2126" t="s">
        <v>160</v>
      </c>
      <c r="F2126" s="9" t="s">
        <v>161</v>
      </c>
      <c r="G2126" t="s">
        <v>26</v>
      </c>
      <c r="H2126" t="s">
        <v>34</v>
      </c>
      <c r="I2126" t="s">
        <v>35</v>
      </c>
      <c r="J2126" t="s">
        <v>29</v>
      </c>
      <c r="K2126" t="s">
        <v>30</v>
      </c>
      <c r="L2126" t="s">
        <v>29</v>
      </c>
      <c r="M2126" t="s">
        <v>30</v>
      </c>
      <c r="N2126" t="s">
        <v>34</v>
      </c>
      <c r="O2126" t="s">
        <v>35</v>
      </c>
      <c r="P2126" t="s">
        <v>29</v>
      </c>
      <c r="Q2126" t="s">
        <v>30</v>
      </c>
      <c r="R2126" s="1">
        <v>44252.380624999998</v>
      </c>
      <c r="S2126" s="1">
        <v>44252.381018518521</v>
      </c>
      <c r="T2126">
        <v>0</v>
      </c>
      <c r="U2126">
        <v>5</v>
      </c>
      <c r="V2126" s="2">
        <v>0</v>
      </c>
      <c r="W2126">
        <v>0</v>
      </c>
      <c r="X2126" t="s">
        <v>37</v>
      </c>
      <c r="Y2126">
        <v>0</v>
      </c>
      <c r="Z2126" t="s">
        <v>37</v>
      </c>
      <c r="AA2126">
        <v>0</v>
      </c>
      <c r="AB2126" t="s">
        <v>44</v>
      </c>
      <c r="AC2126">
        <v>0</v>
      </c>
      <c r="AD2126" t="s">
        <v>44</v>
      </c>
      <c r="AE2126">
        <v>0</v>
      </c>
      <c r="AF2126" t="s">
        <v>45</v>
      </c>
      <c r="AG2126">
        <v>0</v>
      </c>
      <c r="AH2126" t="s">
        <v>113</v>
      </c>
      <c r="AI2126">
        <v>0</v>
      </c>
      <c r="AJ2126" t="s">
        <v>47</v>
      </c>
      <c r="AK2126">
        <v>0</v>
      </c>
      <c r="AL2126" t="s">
        <v>31</v>
      </c>
      <c r="AM2126">
        <v>0</v>
      </c>
      <c r="AN2126" t="s">
        <v>31</v>
      </c>
      <c r="AO2126">
        <v>0</v>
      </c>
      <c r="AP2126" t="s">
        <v>31</v>
      </c>
      <c r="AQ2126">
        <v>0</v>
      </c>
    </row>
    <row r="2127" spans="1:43" x14ac:dyDescent="0.2">
      <c r="A2127" t="s">
        <v>381</v>
      </c>
      <c r="B2127" s="3">
        <v>44253</v>
      </c>
      <c r="C2127">
        <v>21</v>
      </c>
      <c r="D2127" t="s">
        <v>384</v>
      </c>
      <c r="E2127" t="s">
        <v>160</v>
      </c>
      <c r="F2127" s="9" t="s">
        <v>161</v>
      </c>
      <c r="G2127" t="s">
        <v>26</v>
      </c>
      <c r="H2127" t="s">
        <v>34</v>
      </c>
      <c r="I2127" t="s">
        <v>35</v>
      </c>
      <c r="J2127" t="s">
        <v>29</v>
      </c>
      <c r="K2127" t="s">
        <v>30</v>
      </c>
      <c r="L2127" t="s">
        <v>29</v>
      </c>
      <c r="M2127" t="s">
        <v>30</v>
      </c>
      <c r="N2127" t="s">
        <v>34</v>
      </c>
      <c r="O2127" t="s">
        <v>35</v>
      </c>
      <c r="P2127" t="s">
        <v>29</v>
      </c>
      <c r="Q2127" t="s">
        <v>30</v>
      </c>
      <c r="R2127" s="1">
        <v>44253.468807870369</v>
      </c>
      <c r="S2127" s="1">
        <v>44253.470266203702</v>
      </c>
      <c r="T2127">
        <v>0</v>
      </c>
      <c r="U2127">
        <v>5</v>
      </c>
      <c r="V2127" s="2">
        <v>0</v>
      </c>
      <c r="W2127">
        <v>0</v>
      </c>
      <c r="X2127" t="s">
        <v>37</v>
      </c>
      <c r="Y2127">
        <v>0</v>
      </c>
      <c r="Z2127" t="s">
        <v>37</v>
      </c>
      <c r="AA2127">
        <v>0</v>
      </c>
      <c r="AB2127" t="s">
        <v>44</v>
      </c>
      <c r="AC2127">
        <v>0</v>
      </c>
      <c r="AD2127" t="s">
        <v>44</v>
      </c>
      <c r="AE2127">
        <v>0</v>
      </c>
      <c r="AF2127" t="s">
        <v>45</v>
      </c>
      <c r="AG2127">
        <v>0</v>
      </c>
      <c r="AH2127" t="s">
        <v>113</v>
      </c>
      <c r="AI2127">
        <v>0</v>
      </c>
      <c r="AJ2127" t="s">
        <v>47</v>
      </c>
      <c r="AK2127">
        <v>0</v>
      </c>
      <c r="AL2127" t="s">
        <v>31</v>
      </c>
      <c r="AM2127">
        <v>0</v>
      </c>
      <c r="AN2127" t="s">
        <v>31</v>
      </c>
      <c r="AO2127">
        <v>0</v>
      </c>
      <c r="AP2127" t="s">
        <v>31</v>
      </c>
      <c r="AQ2127">
        <v>0</v>
      </c>
    </row>
    <row r="2128" spans="1:43" x14ac:dyDescent="0.2">
      <c r="A2128" t="s">
        <v>381</v>
      </c>
      <c r="B2128" s="3">
        <v>44257</v>
      </c>
      <c r="C2128">
        <v>23</v>
      </c>
      <c r="D2128" t="s">
        <v>382</v>
      </c>
      <c r="E2128" t="s">
        <v>160</v>
      </c>
      <c r="F2128" s="9" t="s">
        <v>161</v>
      </c>
      <c r="G2128" t="s">
        <v>26</v>
      </c>
      <c r="H2128" t="s">
        <v>34</v>
      </c>
      <c r="I2128" t="s">
        <v>35</v>
      </c>
      <c r="J2128" t="s">
        <v>29</v>
      </c>
      <c r="K2128" t="s">
        <v>30</v>
      </c>
      <c r="L2128" t="s">
        <v>29</v>
      </c>
      <c r="M2128" t="s">
        <v>30</v>
      </c>
      <c r="N2128" t="s">
        <v>34</v>
      </c>
      <c r="O2128" t="s">
        <v>35</v>
      </c>
      <c r="P2128" t="s">
        <v>29</v>
      </c>
      <c r="Q2128" t="s">
        <v>30</v>
      </c>
      <c r="R2128" s="1">
        <v>44257.419942129629</v>
      </c>
      <c r="S2128" s="1">
        <v>44257.420601851853</v>
      </c>
      <c r="T2128">
        <v>1</v>
      </c>
      <c r="U2128">
        <v>4</v>
      </c>
      <c r="V2128" s="2">
        <v>0.25</v>
      </c>
      <c r="W2128">
        <v>0</v>
      </c>
      <c r="X2128" t="s">
        <v>37</v>
      </c>
      <c r="Y2128">
        <v>0</v>
      </c>
      <c r="Z2128" t="s">
        <v>37</v>
      </c>
      <c r="AA2128">
        <v>0</v>
      </c>
      <c r="AB2128" t="s">
        <v>44</v>
      </c>
      <c r="AC2128">
        <v>0</v>
      </c>
      <c r="AD2128" t="s">
        <v>44</v>
      </c>
      <c r="AE2128">
        <v>0</v>
      </c>
      <c r="AF2128" t="s">
        <v>45</v>
      </c>
      <c r="AG2128">
        <v>0</v>
      </c>
      <c r="AH2128" t="s">
        <v>30</v>
      </c>
      <c r="AI2128">
        <v>0</v>
      </c>
      <c r="AJ2128" t="s">
        <v>31</v>
      </c>
      <c r="AK2128">
        <v>0</v>
      </c>
      <c r="AL2128" t="s">
        <v>31</v>
      </c>
      <c r="AM2128">
        <v>0</v>
      </c>
      <c r="AN2128" t="s">
        <v>31</v>
      </c>
      <c r="AO2128">
        <v>0</v>
      </c>
      <c r="AP2128" t="s">
        <v>31</v>
      </c>
      <c r="AQ2128">
        <v>0</v>
      </c>
    </row>
    <row r="2129" spans="1:43" x14ac:dyDescent="0.2">
      <c r="A2129" t="s">
        <v>381</v>
      </c>
      <c r="B2129" s="3">
        <v>44259</v>
      </c>
      <c r="C2129">
        <v>26</v>
      </c>
      <c r="D2129" t="s">
        <v>382</v>
      </c>
      <c r="E2129" t="s">
        <v>160</v>
      </c>
      <c r="F2129" s="9" t="s">
        <v>161</v>
      </c>
      <c r="G2129" t="s">
        <v>26</v>
      </c>
      <c r="H2129" t="s">
        <v>34</v>
      </c>
      <c r="I2129" t="s">
        <v>35</v>
      </c>
      <c r="J2129" t="s">
        <v>29</v>
      </c>
      <c r="K2129" t="s">
        <v>30</v>
      </c>
      <c r="L2129" t="s">
        <v>29</v>
      </c>
      <c r="M2129" t="s">
        <v>30</v>
      </c>
      <c r="N2129" t="s">
        <v>34</v>
      </c>
      <c r="O2129" t="s">
        <v>35</v>
      </c>
      <c r="P2129" t="s">
        <v>29</v>
      </c>
      <c r="Q2129" t="s">
        <v>30</v>
      </c>
      <c r="R2129" s="1">
        <v>44259.417233796295</v>
      </c>
      <c r="S2129" s="1">
        <v>44259.417314814818</v>
      </c>
      <c r="T2129">
        <v>1</v>
      </c>
      <c r="U2129">
        <v>1</v>
      </c>
      <c r="V2129" s="2">
        <v>1</v>
      </c>
      <c r="W2129">
        <v>0</v>
      </c>
      <c r="X2129" t="s">
        <v>37</v>
      </c>
      <c r="Y2129">
        <v>0</v>
      </c>
      <c r="Z2129" t="s">
        <v>30</v>
      </c>
      <c r="AA2129">
        <v>0</v>
      </c>
      <c r="AB2129" t="s">
        <v>31</v>
      </c>
      <c r="AC2129">
        <v>0</v>
      </c>
      <c r="AD2129" t="s">
        <v>31</v>
      </c>
      <c r="AE2129">
        <v>0</v>
      </c>
      <c r="AF2129" t="s">
        <v>31</v>
      </c>
      <c r="AG2129">
        <v>0</v>
      </c>
      <c r="AH2129" t="s">
        <v>31</v>
      </c>
      <c r="AI2129">
        <v>0</v>
      </c>
      <c r="AJ2129" t="s">
        <v>31</v>
      </c>
      <c r="AK2129">
        <v>0</v>
      </c>
      <c r="AL2129" t="s">
        <v>31</v>
      </c>
      <c r="AM2129">
        <v>0</v>
      </c>
      <c r="AN2129" t="s">
        <v>31</v>
      </c>
      <c r="AO2129">
        <v>0</v>
      </c>
      <c r="AP2129" t="s">
        <v>31</v>
      </c>
      <c r="AQ2129">
        <v>0</v>
      </c>
    </row>
    <row r="2130" spans="1:43" x14ac:dyDescent="0.2">
      <c r="A2130" t="s">
        <v>381</v>
      </c>
      <c r="B2130" s="3">
        <v>44263</v>
      </c>
      <c r="C2130">
        <v>29</v>
      </c>
      <c r="D2130" t="s">
        <v>384</v>
      </c>
      <c r="E2130" t="s">
        <v>160</v>
      </c>
      <c r="F2130" s="9" t="s">
        <v>161</v>
      </c>
      <c r="G2130" t="s">
        <v>26</v>
      </c>
      <c r="H2130" t="s">
        <v>34</v>
      </c>
      <c r="I2130" t="s">
        <v>35</v>
      </c>
      <c r="J2130" t="s">
        <v>29</v>
      </c>
      <c r="K2130" t="s">
        <v>30</v>
      </c>
      <c r="L2130" t="s">
        <v>29</v>
      </c>
      <c r="M2130" t="s">
        <v>30</v>
      </c>
      <c r="N2130" t="s">
        <v>34</v>
      </c>
      <c r="O2130" t="s">
        <v>35</v>
      </c>
      <c r="P2130" t="s">
        <v>29</v>
      </c>
      <c r="Q2130" t="s">
        <v>30</v>
      </c>
      <c r="R2130" s="1">
        <v>44263.469594907408</v>
      </c>
      <c r="S2130" s="1">
        <v>44263.471608796295</v>
      </c>
      <c r="T2130">
        <v>0</v>
      </c>
      <c r="U2130">
        <v>6</v>
      </c>
      <c r="V2130" s="2">
        <v>0</v>
      </c>
      <c r="W2130">
        <v>0</v>
      </c>
      <c r="X2130" t="s">
        <v>44</v>
      </c>
      <c r="Y2130">
        <v>0</v>
      </c>
      <c r="Z2130" t="s">
        <v>37</v>
      </c>
      <c r="AA2130">
        <v>0</v>
      </c>
      <c r="AB2130" t="s">
        <v>37</v>
      </c>
      <c r="AC2130">
        <v>0</v>
      </c>
      <c r="AD2130" t="s">
        <v>44</v>
      </c>
      <c r="AE2130">
        <v>0</v>
      </c>
      <c r="AF2130" t="s">
        <v>44</v>
      </c>
      <c r="AG2130">
        <v>0</v>
      </c>
      <c r="AH2130" t="s">
        <v>45</v>
      </c>
      <c r="AI2130">
        <v>0</v>
      </c>
      <c r="AJ2130" t="s">
        <v>113</v>
      </c>
      <c r="AK2130">
        <v>0</v>
      </c>
      <c r="AL2130" t="s">
        <v>47</v>
      </c>
      <c r="AM2130">
        <v>0</v>
      </c>
      <c r="AN2130" t="s">
        <v>31</v>
      </c>
      <c r="AO2130">
        <v>0</v>
      </c>
      <c r="AP2130" t="s">
        <v>31</v>
      </c>
      <c r="AQ2130">
        <v>0</v>
      </c>
    </row>
    <row r="2131" spans="1:43" x14ac:dyDescent="0.2">
      <c r="A2131" t="s">
        <v>381</v>
      </c>
      <c r="B2131" s="3">
        <v>44264</v>
      </c>
      <c r="C2131">
        <v>30</v>
      </c>
      <c r="D2131" t="s">
        <v>382</v>
      </c>
      <c r="E2131" t="s">
        <v>160</v>
      </c>
      <c r="F2131" s="9" t="s">
        <v>161</v>
      </c>
      <c r="G2131" t="s">
        <v>26</v>
      </c>
      <c r="H2131" t="s">
        <v>34</v>
      </c>
      <c r="I2131" t="s">
        <v>35</v>
      </c>
      <c r="J2131" t="s">
        <v>29</v>
      </c>
      <c r="K2131" t="s">
        <v>30</v>
      </c>
      <c r="L2131" t="s">
        <v>29</v>
      </c>
      <c r="M2131" t="s">
        <v>30</v>
      </c>
      <c r="N2131" t="s">
        <v>34</v>
      </c>
      <c r="O2131" t="s">
        <v>35</v>
      </c>
      <c r="P2131" t="s">
        <v>29</v>
      </c>
      <c r="Q2131" t="s">
        <v>30</v>
      </c>
      <c r="R2131" s="1">
        <v>44264.468321759261</v>
      </c>
      <c r="S2131" s="1">
        <v>44264.468472222223</v>
      </c>
      <c r="T2131">
        <v>1</v>
      </c>
      <c r="U2131">
        <v>5</v>
      </c>
      <c r="V2131" s="2">
        <v>0.2</v>
      </c>
      <c r="W2131">
        <v>0</v>
      </c>
      <c r="X2131" t="s">
        <v>37</v>
      </c>
      <c r="Y2131">
        <v>0</v>
      </c>
      <c r="Z2131" t="s">
        <v>37</v>
      </c>
      <c r="AA2131">
        <v>0</v>
      </c>
      <c r="AB2131" t="s">
        <v>44</v>
      </c>
      <c r="AC2131">
        <v>0</v>
      </c>
      <c r="AD2131" t="s">
        <v>44</v>
      </c>
      <c r="AE2131">
        <v>0</v>
      </c>
      <c r="AF2131" t="s">
        <v>45</v>
      </c>
      <c r="AG2131">
        <v>0</v>
      </c>
      <c r="AH2131" t="s">
        <v>113</v>
      </c>
      <c r="AI2131">
        <v>0</v>
      </c>
      <c r="AJ2131" t="s">
        <v>30</v>
      </c>
      <c r="AK2131">
        <v>0</v>
      </c>
      <c r="AL2131" t="s">
        <v>31</v>
      </c>
      <c r="AM2131">
        <v>0</v>
      </c>
      <c r="AN2131" t="s">
        <v>31</v>
      </c>
      <c r="AO2131">
        <v>0</v>
      </c>
      <c r="AP2131" t="s">
        <v>31</v>
      </c>
      <c r="AQ2131">
        <v>0</v>
      </c>
    </row>
    <row r="2132" spans="1:43" x14ac:dyDescent="0.2">
      <c r="A2132" t="s">
        <v>381</v>
      </c>
      <c r="B2132" s="3">
        <v>44264</v>
      </c>
      <c r="C2132">
        <v>31</v>
      </c>
      <c r="D2132" t="s">
        <v>385</v>
      </c>
      <c r="E2132" t="s">
        <v>160</v>
      </c>
      <c r="F2132" s="9" t="s">
        <v>161</v>
      </c>
      <c r="G2132" t="s">
        <v>26</v>
      </c>
      <c r="H2132" t="s">
        <v>34</v>
      </c>
      <c r="I2132" t="s">
        <v>35</v>
      </c>
      <c r="J2132" t="s">
        <v>29</v>
      </c>
      <c r="K2132" t="s">
        <v>30</v>
      </c>
      <c r="L2132" t="s">
        <v>29</v>
      </c>
      <c r="M2132" t="s">
        <v>30</v>
      </c>
      <c r="N2132" t="s">
        <v>34</v>
      </c>
      <c r="O2132" t="s">
        <v>35</v>
      </c>
      <c r="P2132" t="s">
        <v>29</v>
      </c>
      <c r="Q2132" t="s">
        <v>30</v>
      </c>
      <c r="R2132" s="1">
        <v>44264.637916666667</v>
      </c>
      <c r="S2132" s="1">
        <v>44264.639328703706</v>
      </c>
      <c r="T2132">
        <v>0</v>
      </c>
      <c r="U2132">
        <v>5</v>
      </c>
      <c r="V2132" s="2">
        <v>0</v>
      </c>
      <c r="W2132">
        <v>0</v>
      </c>
      <c r="X2132" t="s">
        <v>37</v>
      </c>
      <c r="Y2132">
        <v>0</v>
      </c>
      <c r="Z2132" t="s">
        <v>37</v>
      </c>
      <c r="AA2132">
        <v>0</v>
      </c>
      <c r="AB2132" t="s">
        <v>44</v>
      </c>
      <c r="AC2132">
        <v>0</v>
      </c>
      <c r="AD2132" t="s">
        <v>44</v>
      </c>
      <c r="AE2132">
        <v>0</v>
      </c>
      <c r="AF2132" t="s">
        <v>45</v>
      </c>
      <c r="AG2132">
        <v>0</v>
      </c>
      <c r="AH2132" t="s">
        <v>113</v>
      </c>
      <c r="AI2132">
        <v>0</v>
      </c>
      <c r="AJ2132" t="s">
        <v>47</v>
      </c>
      <c r="AK2132">
        <v>0</v>
      </c>
      <c r="AL2132" t="s">
        <v>31</v>
      </c>
      <c r="AM2132">
        <v>0</v>
      </c>
      <c r="AN2132" t="s">
        <v>31</v>
      </c>
      <c r="AO2132">
        <v>0</v>
      </c>
      <c r="AP2132" t="s">
        <v>31</v>
      </c>
      <c r="AQ2132">
        <v>0</v>
      </c>
    </row>
    <row r="2133" spans="1:43" x14ac:dyDescent="0.2">
      <c r="A2133" t="s">
        <v>381</v>
      </c>
      <c r="B2133" s="3">
        <v>44265</v>
      </c>
      <c r="C2133">
        <v>32</v>
      </c>
      <c r="D2133" t="s">
        <v>384</v>
      </c>
      <c r="E2133" t="s">
        <v>160</v>
      </c>
      <c r="F2133" s="9" t="s">
        <v>161</v>
      </c>
      <c r="G2133" t="s">
        <v>26</v>
      </c>
      <c r="H2133" t="s">
        <v>34</v>
      </c>
      <c r="I2133" t="s">
        <v>35</v>
      </c>
      <c r="J2133" t="s">
        <v>29</v>
      </c>
      <c r="K2133" t="s">
        <v>30</v>
      </c>
      <c r="L2133" t="s">
        <v>29</v>
      </c>
      <c r="M2133" t="s">
        <v>30</v>
      </c>
      <c r="N2133" t="s">
        <v>34</v>
      </c>
      <c r="O2133" t="s">
        <v>35</v>
      </c>
      <c r="P2133" t="s">
        <v>29</v>
      </c>
      <c r="Q2133" t="s">
        <v>30</v>
      </c>
      <c r="R2133" s="1">
        <v>44265.384444444448</v>
      </c>
      <c r="S2133" s="1">
        <v>44265.384733796294</v>
      </c>
      <c r="T2133">
        <v>1</v>
      </c>
      <c r="U2133">
        <v>1</v>
      </c>
      <c r="V2133" s="2">
        <v>1</v>
      </c>
      <c r="W2133">
        <v>0</v>
      </c>
      <c r="X2133" t="s">
        <v>37</v>
      </c>
      <c r="Y2133">
        <v>0</v>
      </c>
      <c r="Z2133" t="s">
        <v>37</v>
      </c>
      <c r="AA2133">
        <v>0</v>
      </c>
      <c r="AB2133" t="s">
        <v>30</v>
      </c>
      <c r="AC2133">
        <v>0</v>
      </c>
      <c r="AD2133" t="s">
        <v>31</v>
      </c>
      <c r="AE2133">
        <v>0</v>
      </c>
      <c r="AF2133" t="s">
        <v>31</v>
      </c>
      <c r="AG2133">
        <v>0</v>
      </c>
      <c r="AH2133" t="s">
        <v>31</v>
      </c>
      <c r="AI2133">
        <v>0</v>
      </c>
      <c r="AJ2133" t="s">
        <v>31</v>
      </c>
      <c r="AK2133">
        <v>0</v>
      </c>
      <c r="AL2133" t="s">
        <v>31</v>
      </c>
      <c r="AM2133">
        <v>0</v>
      </c>
      <c r="AN2133" t="s">
        <v>31</v>
      </c>
      <c r="AO2133">
        <v>0</v>
      </c>
      <c r="AP2133" t="s">
        <v>31</v>
      </c>
      <c r="AQ2133">
        <v>0</v>
      </c>
    </row>
    <row r="2134" spans="1:43" x14ac:dyDescent="0.2">
      <c r="A2134" t="s">
        <v>381</v>
      </c>
      <c r="B2134" s="3">
        <v>44272</v>
      </c>
      <c r="C2134">
        <v>38</v>
      </c>
      <c r="D2134" t="s">
        <v>384</v>
      </c>
      <c r="E2134" t="s">
        <v>160</v>
      </c>
      <c r="F2134" s="9" t="s">
        <v>161</v>
      </c>
      <c r="G2134" t="s">
        <v>26</v>
      </c>
      <c r="H2134" t="s">
        <v>34</v>
      </c>
      <c r="I2134" t="s">
        <v>35</v>
      </c>
      <c r="J2134" t="s">
        <v>29</v>
      </c>
      <c r="K2134" t="s">
        <v>30</v>
      </c>
      <c r="L2134" t="s">
        <v>29</v>
      </c>
      <c r="M2134" t="s">
        <v>30</v>
      </c>
      <c r="N2134" t="s">
        <v>34</v>
      </c>
      <c r="O2134" t="s">
        <v>35</v>
      </c>
      <c r="P2134" t="s">
        <v>29</v>
      </c>
      <c r="Q2134" t="s">
        <v>30</v>
      </c>
      <c r="R2134" s="1">
        <v>44272.378217592595</v>
      </c>
      <c r="S2134" s="1">
        <v>44272.37872685185</v>
      </c>
      <c r="T2134">
        <v>1</v>
      </c>
      <c r="U2134">
        <v>1</v>
      </c>
      <c r="V2134" s="2">
        <v>1</v>
      </c>
      <c r="W2134">
        <v>0</v>
      </c>
      <c r="X2134" t="s">
        <v>37</v>
      </c>
      <c r="Y2134">
        <v>0</v>
      </c>
      <c r="Z2134" t="s">
        <v>37</v>
      </c>
      <c r="AA2134">
        <v>0</v>
      </c>
      <c r="AB2134" t="s">
        <v>30</v>
      </c>
      <c r="AC2134">
        <v>0</v>
      </c>
      <c r="AD2134" t="s">
        <v>31</v>
      </c>
      <c r="AE2134">
        <v>0</v>
      </c>
      <c r="AF2134" t="s">
        <v>31</v>
      </c>
      <c r="AG2134">
        <v>0</v>
      </c>
      <c r="AH2134" t="s">
        <v>31</v>
      </c>
      <c r="AI2134">
        <v>0</v>
      </c>
      <c r="AJ2134" t="s">
        <v>31</v>
      </c>
      <c r="AK2134">
        <v>0</v>
      </c>
      <c r="AL2134" t="s">
        <v>31</v>
      </c>
      <c r="AM2134">
        <v>0</v>
      </c>
      <c r="AN2134" t="s">
        <v>31</v>
      </c>
      <c r="AO2134">
        <v>0</v>
      </c>
      <c r="AP2134" t="s">
        <v>31</v>
      </c>
      <c r="AQ2134">
        <v>0</v>
      </c>
    </row>
    <row r="2135" spans="1:43" x14ac:dyDescent="0.2">
      <c r="A2135" t="s">
        <v>381</v>
      </c>
      <c r="B2135" s="3">
        <v>44273</v>
      </c>
      <c r="C2135">
        <v>39</v>
      </c>
      <c r="D2135" t="s">
        <v>385</v>
      </c>
      <c r="E2135" t="s">
        <v>160</v>
      </c>
      <c r="F2135" s="9" t="s">
        <v>161</v>
      </c>
      <c r="G2135" t="s">
        <v>26</v>
      </c>
      <c r="H2135" t="s">
        <v>34</v>
      </c>
      <c r="I2135" t="s">
        <v>35</v>
      </c>
      <c r="J2135" t="s">
        <v>29</v>
      </c>
      <c r="K2135" t="s">
        <v>30</v>
      </c>
      <c r="L2135" t="s">
        <v>29</v>
      </c>
      <c r="M2135" t="s">
        <v>30</v>
      </c>
      <c r="N2135" t="s">
        <v>34</v>
      </c>
      <c r="O2135" t="s">
        <v>35</v>
      </c>
      <c r="P2135" t="s">
        <v>29</v>
      </c>
      <c r="Q2135" t="s">
        <v>30</v>
      </c>
      <c r="R2135" s="1">
        <v>44273.480914351851</v>
      </c>
      <c r="S2135" s="1">
        <v>44273.482511574075</v>
      </c>
      <c r="T2135">
        <v>0</v>
      </c>
      <c r="U2135">
        <v>4</v>
      </c>
      <c r="V2135" s="2">
        <v>0</v>
      </c>
      <c r="W2135">
        <v>0</v>
      </c>
      <c r="X2135" t="s">
        <v>37</v>
      </c>
      <c r="Y2135">
        <v>0</v>
      </c>
      <c r="Z2135" t="s">
        <v>37</v>
      </c>
      <c r="AA2135">
        <v>0</v>
      </c>
      <c r="AB2135" t="s">
        <v>44</v>
      </c>
      <c r="AC2135">
        <v>0</v>
      </c>
      <c r="AD2135" t="s">
        <v>44</v>
      </c>
      <c r="AE2135">
        <v>0</v>
      </c>
      <c r="AF2135" t="s">
        <v>45</v>
      </c>
      <c r="AG2135">
        <v>0</v>
      </c>
      <c r="AH2135" t="s">
        <v>113</v>
      </c>
      <c r="AI2135">
        <v>0</v>
      </c>
      <c r="AJ2135" t="s">
        <v>31</v>
      </c>
      <c r="AK2135">
        <v>0</v>
      </c>
      <c r="AL2135" t="s">
        <v>31</v>
      </c>
      <c r="AM2135">
        <v>0</v>
      </c>
      <c r="AN2135" t="s">
        <v>31</v>
      </c>
      <c r="AO2135">
        <v>0</v>
      </c>
      <c r="AP2135" t="s">
        <v>31</v>
      </c>
      <c r="AQ2135">
        <v>0</v>
      </c>
    </row>
    <row r="2136" spans="1:43" x14ac:dyDescent="0.2">
      <c r="A2136" t="s">
        <v>381</v>
      </c>
      <c r="B2136" s="3">
        <v>44281</v>
      </c>
      <c r="C2136">
        <v>42</v>
      </c>
      <c r="D2136" t="s">
        <v>384</v>
      </c>
      <c r="E2136" t="s">
        <v>160</v>
      </c>
      <c r="F2136" s="9" t="s">
        <v>161</v>
      </c>
      <c r="G2136" t="s">
        <v>26</v>
      </c>
      <c r="H2136" t="s">
        <v>34</v>
      </c>
      <c r="I2136" t="s">
        <v>35</v>
      </c>
      <c r="J2136" t="s">
        <v>29</v>
      </c>
      <c r="K2136" t="s">
        <v>30</v>
      </c>
      <c r="L2136" t="s">
        <v>29</v>
      </c>
      <c r="M2136" t="s">
        <v>30</v>
      </c>
      <c r="N2136" t="s">
        <v>34</v>
      </c>
      <c r="O2136" t="s">
        <v>35</v>
      </c>
      <c r="P2136" t="s">
        <v>29</v>
      </c>
      <c r="Q2136" t="s">
        <v>30</v>
      </c>
      <c r="R2136" s="1">
        <v>44281.369097222225</v>
      </c>
      <c r="S2136" s="1">
        <v>44281.369502314818</v>
      </c>
      <c r="T2136">
        <v>1</v>
      </c>
      <c r="U2136">
        <v>2</v>
      </c>
      <c r="V2136" s="2">
        <v>0.5</v>
      </c>
      <c r="W2136">
        <v>0</v>
      </c>
      <c r="X2136" t="s">
        <v>37</v>
      </c>
      <c r="Y2136">
        <v>0</v>
      </c>
      <c r="Z2136" t="s">
        <v>37</v>
      </c>
      <c r="AA2136">
        <v>0</v>
      </c>
      <c r="AB2136" t="s">
        <v>44</v>
      </c>
      <c r="AC2136">
        <v>0</v>
      </c>
      <c r="AD2136" t="s">
        <v>30</v>
      </c>
      <c r="AE2136">
        <v>0</v>
      </c>
      <c r="AF2136" t="s">
        <v>31</v>
      </c>
      <c r="AG2136">
        <v>0</v>
      </c>
      <c r="AH2136" t="s">
        <v>31</v>
      </c>
      <c r="AI2136">
        <v>0</v>
      </c>
      <c r="AJ2136" t="s">
        <v>31</v>
      </c>
      <c r="AK2136">
        <v>0</v>
      </c>
      <c r="AL2136" t="s">
        <v>31</v>
      </c>
      <c r="AM2136">
        <v>0</v>
      </c>
      <c r="AN2136" t="s">
        <v>31</v>
      </c>
      <c r="AO2136">
        <v>0</v>
      </c>
      <c r="AP2136" t="s">
        <v>31</v>
      </c>
      <c r="AQ2136">
        <v>0</v>
      </c>
    </row>
    <row r="2137" spans="1:43" x14ac:dyDescent="0.2">
      <c r="A2137" t="s">
        <v>381</v>
      </c>
      <c r="B2137" s="3">
        <v>44286</v>
      </c>
      <c r="C2137">
        <v>46</v>
      </c>
      <c r="D2137" t="s">
        <v>384</v>
      </c>
      <c r="E2137" t="s">
        <v>160</v>
      </c>
      <c r="F2137" s="9" t="s">
        <v>161</v>
      </c>
      <c r="G2137" t="s">
        <v>26</v>
      </c>
      <c r="H2137" t="s">
        <v>34</v>
      </c>
      <c r="I2137" t="s">
        <v>35</v>
      </c>
      <c r="J2137" t="s">
        <v>29</v>
      </c>
      <c r="K2137" t="s">
        <v>30</v>
      </c>
      <c r="L2137" t="s">
        <v>29</v>
      </c>
      <c r="M2137" t="s">
        <v>30</v>
      </c>
      <c r="N2137" t="s">
        <v>34</v>
      </c>
      <c r="O2137" t="s">
        <v>35</v>
      </c>
      <c r="P2137" t="s">
        <v>29</v>
      </c>
      <c r="Q2137" t="s">
        <v>30</v>
      </c>
      <c r="R2137" s="1">
        <v>44286.471261574072</v>
      </c>
      <c r="S2137" s="1">
        <v>44286.471458333333</v>
      </c>
      <c r="T2137">
        <v>1</v>
      </c>
      <c r="U2137">
        <v>1</v>
      </c>
      <c r="V2137" s="2">
        <v>1</v>
      </c>
      <c r="W2137">
        <v>0</v>
      </c>
      <c r="X2137" t="s">
        <v>37</v>
      </c>
      <c r="Y2137">
        <v>0</v>
      </c>
      <c r="Z2137" t="s">
        <v>37</v>
      </c>
      <c r="AA2137">
        <v>0</v>
      </c>
      <c r="AB2137" t="s">
        <v>30</v>
      </c>
      <c r="AC2137">
        <v>0</v>
      </c>
      <c r="AD2137" t="s">
        <v>31</v>
      </c>
      <c r="AE2137">
        <v>0</v>
      </c>
      <c r="AF2137" t="s">
        <v>31</v>
      </c>
      <c r="AG2137">
        <v>0</v>
      </c>
      <c r="AH2137" t="s">
        <v>31</v>
      </c>
      <c r="AI2137">
        <v>0</v>
      </c>
      <c r="AJ2137" t="s">
        <v>31</v>
      </c>
      <c r="AK2137">
        <v>0</v>
      </c>
      <c r="AL2137" t="s">
        <v>31</v>
      </c>
      <c r="AM2137">
        <v>0</v>
      </c>
      <c r="AN2137" t="s">
        <v>31</v>
      </c>
      <c r="AO2137">
        <v>0</v>
      </c>
      <c r="AP2137" t="s">
        <v>31</v>
      </c>
      <c r="AQ2137">
        <v>0</v>
      </c>
    </row>
    <row r="2138" spans="1:43" x14ac:dyDescent="0.2">
      <c r="A2138" t="s">
        <v>381</v>
      </c>
      <c r="B2138" s="3">
        <v>44288</v>
      </c>
      <c r="C2138">
        <v>49</v>
      </c>
      <c r="D2138" t="s">
        <v>384</v>
      </c>
      <c r="E2138" t="s">
        <v>160</v>
      </c>
      <c r="F2138" s="9" t="s">
        <v>161</v>
      </c>
      <c r="G2138" t="s">
        <v>26</v>
      </c>
      <c r="H2138" t="s">
        <v>34</v>
      </c>
      <c r="I2138" t="s">
        <v>35</v>
      </c>
      <c r="J2138" t="s">
        <v>29</v>
      </c>
      <c r="K2138" t="s">
        <v>30</v>
      </c>
      <c r="L2138" t="s">
        <v>29</v>
      </c>
      <c r="M2138" t="s">
        <v>30</v>
      </c>
      <c r="N2138" t="s">
        <v>34</v>
      </c>
      <c r="O2138" t="s">
        <v>35</v>
      </c>
      <c r="P2138" t="s">
        <v>29</v>
      </c>
      <c r="Q2138" t="s">
        <v>30</v>
      </c>
      <c r="R2138" s="1">
        <v>44288.448587962965</v>
      </c>
      <c r="S2138" s="1">
        <v>44288.45103009259</v>
      </c>
      <c r="T2138">
        <v>0</v>
      </c>
      <c r="U2138">
        <v>5</v>
      </c>
      <c r="V2138" s="2">
        <v>0</v>
      </c>
      <c r="W2138">
        <v>0</v>
      </c>
      <c r="X2138" t="s">
        <v>37</v>
      </c>
      <c r="Y2138">
        <v>0</v>
      </c>
      <c r="Z2138" t="s">
        <v>37</v>
      </c>
      <c r="AA2138">
        <v>0</v>
      </c>
      <c r="AB2138" t="s">
        <v>44</v>
      </c>
      <c r="AC2138">
        <v>0</v>
      </c>
      <c r="AD2138" t="s">
        <v>44</v>
      </c>
      <c r="AE2138">
        <v>0</v>
      </c>
      <c r="AF2138" t="s">
        <v>45</v>
      </c>
      <c r="AG2138">
        <v>0</v>
      </c>
      <c r="AH2138" t="s">
        <v>113</v>
      </c>
      <c r="AI2138">
        <v>0</v>
      </c>
      <c r="AJ2138" t="s">
        <v>47</v>
      </c>
      <c r="AK2138">
        <v>0</v>
      </c>
      <c r="AL2138" t="s">
        <v>31</v>
      </c>
      <c r="AM2138">
        <v>0</v>
      </c>
      <c r="AN2138" t="s">
        <v>31</v>
      </c>
      <c r="AO2138">
        <v>0</v>
      </c>
      <c r="AP2138" t="s">
        <v>31</v>
      </c>
      <c r="AQ2138">
        <v>0</v>
      </c>
    </row>
    <row r="2139" spans="1:43" x14ac:dyDescent="0.2">
      <c r="A2139" t="s">
        <v>381</v>
      </c>
      <c r="B2139" s="3">
        <v>44293</v>
      </c>
      <c r="C2139">
        <v>53</v>
      </c>
      <c r="D2139" t="s">
        <v>384</v>
      </c>
      <c r="E2139" t="s">
        <v>160</v>
      </c>
      <c r="F2139" s="9" t="s">
        <v>161</v>
      </c>
      <c r="G2139" t="s">
        <v>26</v>
      </c>
      <c r="H2139" t="s">
        <v>34</v>
      </c>
      <c r="I2139" t="s">
        <v>35</v>
      </c>
      <c r="J2139" t="s">
        <v>29</v>
      </c>
      <c r="K2139" t="s">
        <v>30</v>
      </c>
      <c r="L2139" t="s">
        <v>29</v>
      </c>
      <c r="M2139" t="s">
        <v>30</v>
      </c>
      <c r="N2139" t="s">
        <v>34</v>
      </c>
      <c r="O2139" t="s">
        <v>35</v>
      </c>
      <c r="P2139" t="s">
        <v>29</v>
      </c>
      <c r="Q2139" t="s">
        <v>30</v>
      </c>
      <c r="R2139" s="1">
        <v>44293.45758101852</v>
      </c>
      <c r="S2139" s="1">
        <v>44293.459328703706</v>
      </c>
      <c r="T2139">
        <v>1</v>
      </c>
      <c r="U2139">
        <v>6</v>
      </c>
      <c r="V2139" s="2">
        <v>0.16</v>
      </c>
      <c r="W2139">
        <v>0</v>
      </c>
      <c r="X2139" t="s">
        <v>37</v>
      </c>
      <c r="Y2139">
        <v>0</v>
      </c>
      <c r="Z2139" t="s">
        <v>37</v>
      </c>
      <c r="AA2139">
        <v>0</v>
      </c>
      <c r="AB2139" t="s">
        <v>44</v>
      </c>
      <c r="AC2139">
        <v>0</v>
      </c>
      <c r="AD2139" t="s">
        <v>44</v>
      </c>
      <c r="AE2139">
        <v>0</v>
      </c>
      <c r="AF2139" t="s">
        <v>45</v>
      </c>
      <c r="AG2139">
        <v>0</v>
      </c>
      <c r="AH2139" t="s">
        <v>113</v>
      </c>
      <c r="AI2139">
        <v>0</v>
      </c>
      <c r="AJ2139" t="s">
        <v>47</v>
      </c>
      <c r="AK2139">
        <v>0</v>
      </c>
      <c r="AL2139" t="s">
        <v>30</v>
      </c>
      <c r="AM2139">
        <v>0</v>
      </c>
      <c r="AN2139" t="s">
        <v>31</v>
      </c>
      <c r="AO2139">
        <v>0</v>
      </c>
      <c r="AP2139" t="s">
        <v>31</v>
      </c>
      <c r="AQ2139">
        <v>0</v>
      </c>
    </row>
    <row r="2140" spans="1:43" x14ac:dyDescent="0.2">
      <c r="A2140" t="s">
        <v>381</v>
      </c>
      <c r="B2140" s="3">
        <v>44299</v>
      </c>
      <c r="C2140">
        <v>59</v>
      </c>
      <c r="D2140" t="s">
        <v>385</v>
      </c>
      <c r="E2140" t="s">
        <v>160</v>
      </c>
      <c r="F2140" s="9" t="s">
        <v>161</v>
      </c>
      <c r="G2140" t="s">
        <v>26</v>
      </c>
      <c r="H2140" t="s">
        <v>34</v>
      </c>
      <c r="I2140" t="s">
        <v>35</v>
      </c>
      <c r="J2140" t="s">
        <v>29</v>
      </c>
      <c r="K2140" t="s">
        <v>30</v>
      </c>
      <c r="L2140" t="s">
        <v>29</v>
      </c>
      <c r="M2140" t="s">
        <v>30</v>
      </c>
      <c r="N2140" t="s">
        <v>34</v>
      </c>
      <c r="O2140" t="s">
        <v>35</v>
      </c>
      <c r="P2140" t="s">
        <v>29</v>
      </c>
      <c r="Q2140" t="s">
        <v>30</v>
      </c>
      <c r="R2140" s="1">
        <v>44299.622152777774</v>
      </c>
      <c r="S2140" s="1">
        <v>44299.623101851852</v>
      </c>
      <c r="T2140">
        <v>0</v>
      </c>
      <c r="U2140">
        <v>4</v>
      </c>
      <c r="V2140" s="2">
        <v>0</v>
      </c>
      <c r="W2140">
        <v>0</v>
      </c>
      <c r="X2140" t="s">
        <v>37</v>
      </c>
      <c r="Y2140">
        <v>0</v>
      </c>
      <c r="Z2140" t="s">
        <v>37</v>
      </c>
      <c r="AA2140">
        <v>0</v>
      </c>
      <c r="AB2140" t="s">
        <v>44</v>
      </c>
      <c r="AC2140">
        <v>0</v>
      </c>
      <c r="AD2140" t="s">
        <v>44</v>
      </c>
      <c r="AE2140">
        <v>0</v>
      </c>
      <c r="AF2140" t="s">
        <v>45</v>
      </c>
      <c r="AG2140">
        <v>0</v>
      </c>
      <c r="AH2140" t="s">
        <v>113</v>
      </c>
      <c r="AI2140">
        <v>0</v>
      </c>
      <c r="AJ2140" t="s">
        <v>31</v>
      </c>
      <c r="AK2140">
        <v>0</v>
      </c>
      <c r="AL2140" t="s">
        <v>31</v>
      </c>
      <c r="AM2140">
        <v>0</v>
      </c>
      <c r="AN2140" t="s">
        <v>31</v>
      </c>
      <c r="AO2140">
        <v>0</v>
      </c>
      <c r="AP2140" t="s">
        <v>31</v>
      </c>
      <c r="AQ2140">
        <v>0</v>
      </c>
    </row>
    <row r="2141" spans="1:43" x14ac:dyDescent="0.2">
      <c r="A2141" t="s">
        <v>381</v>
      </c>
      <c r="B2141" s="3">
        <v>44321</v>
      </c>
      <c r="C2141">
        <v>88</v>
      </c>
      <c r="D2141" t="s">
        <v>404</v>
      </c>
      <c r="E2141" t="s">
        <v>163</v>
      </c>
      <c r="F2141" s="9" t="s">
        <v>232</v>
      </c>
      <c r="G2141" t="s">
        <v>26</v>
      </c>
      <c r="H2141" t="s">
        <v>155</v>
      </c>
      <c r="I2141" t="s">
        <v>156</v>
      </c>
      <c r="J2141" t="s">
        <v>162</v>
      </c>
      <c r="K2141" t="s">
        <v>47</v>
      </c>
      <c r="L2141" t="s">
        <v>162</v>
      </c>
      <c r="M2141" t="s">
        <v>47</v>
      </c>
      <c r="N2141" t="s">
        <v>27</v>
      </c>
      <c r="O2141" t="s">
        <v>28</v>
      </c>
      <c r="P2141" t="s">
        <v>43</v>
      </c>
      <c r="Q2141" t="s">
        <v>44</v>
      </c>
      <c r="R2141" s="1">
        <v>44321.405486111114</v>
      </c>
      <c r="S2141" s="1">
        <v>44321.405555555553</v>
      </c>
      <c r="T2141">
        <v>7</v>
      </c>
      <c r="U2141">
        <v>7</v>
      </c>
      <c r="V2141" s="2">
        <v>1</v>
      </c>
      <c r="W2141">
        <v>0</v>
      </c>
      <c r="X2141" t="s">
        <v>47</v>
      </c>
      <c r="Y2141">
        <v>0</v>
      </c>
      <c r="Z2141" t="s">
        <v>47</v>
      </c>
      <c r="AA2141">
        <v>0</v>
      </c>
      <c r="AB2141" t="s">
        <v>47</v>
      </c>
      <c r="AC2141">
        <v>0</v>
      </c>
      <c r="AD2141" t="s">
        <v>47</v>
      </c>
      <c r="AE2141">
        <v>0</v>
      </c>
      <c r="AF2141" t="s">
        <v>47</v>
      </c>
      <c r="AG2141">
        <v>0</v>
      </c>
      <c r="AH2141" t="s">
        <v>47</v>
      </c>
      <c r="AI2141">
        <v>0</v>
      </c>
      <c r="AJ2141" t="s">
        <v>30</v>
      </c>
      <c r="AK2141">
        <v>0</v>
      </c>
      <c r="AL2141" t="s">
        <v>31</v>
      </c>
      <c r="AM2141">
        <v>0</v>
      </c>
      <c r="AN2141" t="s">
        <v>31</v>
      </c>
      <c r="AO2141">
        <v>0</v>
      </c>
      <c r="AP2141" t="s">
        <v>31</v>
      </c>
      <c r="AQ2141">
        <v>0</v>
      </c>
    </row>
    <row r="2142" spans="1:43" x14ac:dyDescent="0.2">
      <c r="A2142" t="s">
        <v>381</v>
      </c>
      <c r="B2142" s="3">
        <v>44334</v>
      </c>
      <c r="C2142">
        <v>99</v>
      </c>
      <c r="D2142" t="s">
        <v>385</v>
      </c>
      <c r="E2142" t="s">
        <v>163</v>
      </c>
      <c r="F2142" s="9" t="s">
        <v>232</v>
      </c>
      <c r="G2142" t="s">
        <v>26</v>
      </c>
      <c r="H2142" t="s">
        <v>27</v>
      </c>
      <c r="I2142" t="s">
        <v>28</v>
      </c>
      <c r="J2142" t="s">
        <v>43</v>
      </c>
      <c r="K2142" t="s">
        <v>44</v>
      </c>
      <c r="L2142" t="s">
        <v>29</v>
      </c>
      <c r="M2142" t="s">
        <v>30</v>
      </c>
      <c r="N2142" t="s">
        <v>27</v>
      </c>
      <c r="O2142" t="s">
        <v>28</v>
      </c>
      <c r="P2142" t="s">
        <v>43</v>
      </c>
      <c r="Q2142" t="s">
        <v>44</v>
      </c>
      <c r="R2142" s="1">
        <v>44334.588148148148</v>
      </c>
      <c r="S2142" s="1">
        <v>44334.588148148148</v>
      </c>
      <c r="T2142">
        <v>0</v>
      </c>
      <c r="U2142">
        <v>0</v>
      </c>
      <c r="V2142" s="2">
        <v>0</v>
      </c>
      <c r="W2142">
        <v>0</v>
      </c>
      <c r="X2142" t="s">
        <v>37</v>
      </c>
      <c r="Y2142">
        <v>0</v>
      </c>
      <c r="Z2142" t="s">
        <v>31</v>
      </c>
      <c r="AA2142">
        <v>0</v>
      </c>
      <c r="AB2142" t="s">
        <v>31</v>
      </c>
      <c r="AC2142">
        <v>0</v>
      </c>
      <c r="AD2142" t="s">
        <v>31</v>
      </c>
      <c r="AE2142">
        <v>0</v>
      </c>
      <c r="AF2142" t="s">
        <v>31</v>
      </c>
      <c r="AG2142">
        <v>0</v>
      </c>
      <c r="AH2142" t="s">
        <v>31</v>
      </c>
      <c r="AI2142">
        <v>0</v>
      </c>
      <c r="AJ2142" t="s">
        <v>31</v>
      </c>
      <c r="AK2142">
        <v>0</v>
      </c>
      <c r="AL2142" t="s">
        <v>31</v>
      </c>
      <c r="AM2142">
        <v>0</v>
      </c>
      <c r="AN2142" t="s">
        <v>31</v>
      </c>
      <c r="AO2142">
        <v>0</v>
      </c>
      <c r="AP2142" t="s">
        <v>31</v>
      </c>
      <c r="AQ2142">
        <v>0</v>
      </c>
    </row>
    <row r="2143" spans="1:43" x14ac:dyDescent="0.2">
      <c r="A2143" t="s">
        <v>381</v>
      </c>
      <c r="B2143" s="3">
        <v>44336</v>
      </c>
      <c r="C2143">
        <v>103</v>
      </c>
      <c r="D2143" t="s">
        <v>385</v>
      </c>
      <c r="E2143" t="s">
        <v>163</v>
      </c>
      <c r="F2143" s="9" t="s">
        <v>232</v>
      </c>
      <c r="G2143" t="s">
        <v>26</v>
      </c>
      <c r="H2143" t="s">
        <v>27</v>
      </c>
      <c r="I2143" t="s">
        <v>28</v>
      </c>
      <c r="J2143" t="s">
        <v>43</v>
      </c>
      <c r="K2143" t="s">
        <v>44</v>
      </c>
      <c r="L2143" t="s">
        <v>29</v>
      </c>
      <c r="M2143" t="s">
        <v>30</v>
      </c>
      <c r="N2143" t="s">
        <v>27</v>
      </c>
      <c r="O2143" t="s">
        <v>28</v>
      </c>
      <c r="P2143" t="s">
        <v>43</v>
      </c>
      <c r="Q2143" t="s">
        <v>44</v>
      </c>
      <c r="R2143" s="1">
        <v>44336.642951388887</v>
      </c>
      <c r="S2143" s="1">
        <v>44336.64466435185</v>
      </c>
      <c r="T2143">
        <v>0</v>
      </c>
      <c r="U2143">
        <v>10</v>
      </c>
      <c r="V2143" s="2">
        <v>0</v>
      </c>
      <c r="W2143">
        <v>0</v>
      </c>
      <c r="X2143" t="s">
        <v>44</v>
      </c>
      <c r="Y2143">
        <v>0</v>
      </c>
      <c r="Z2143" t="s">
        <v>44</v>
      </c>
      <c r="AA2143">
        <v>0</v>
      </c>
      <c r="AB2143" t="s">
        <v>45</v>
      </c>
      <c r="AC2143">
        <v>0</v>
      </c>
      <c r="AD2143" t="s">
        <v>61</v>
      </c>
      <c r="AE2143">
        <v>0</v>
      </c>
      <c r="AF2143" t="s">
        <v>47</v>
      </c>
      <c r="AG2143">
        <v>0</v>
      </c>
      <c r="AH2143" t="s">
        <v>44</v>
      </c>
      <c r="AI2143">
        <v>0</v>
      </c>
      <c r="AJ2143" t="s">
        <v>44</v>
      </c>
      <c r="AK2143">
        <v>0</v>
      </c>
      <c r="AL2143" t="s">
        <v>45</v>
      </c>
      <c r="AM2143">
        <v>0</v>
      </c>
      <c r="AN2143" t="s">
        <v>61</v>
      </c>
      <c r="AO2143">
        <v>0</v>
      </c>
      <c r="AP2143" t="s">
        <v>47</v>
      </c>
      <c r="AQ2143">
        <v>0</v>
      </c>
    </row>
    <row r="2144" spans="1:43" x14ac:dyDescent="0.2">
      <c r="A2144" t="s">
        <v>381</v>
      </c>
      <c r="B2144" s="3">
        <v>44337</v>
      </c>
      <c r="C2144">
        <v>104</v>
      </c>
      <c r="D2144" t="s">
        <v>390</v>
      </c>
      <c r="E2144" t="s">
        <v>163</v>
      </c>
      <c r="F2144" s="9" t="s">
        <v>232</v>
      </c>
      <c r="G2144" t="s">
        <v>26</v>
      </c>
      <c r="H2144" t="s">
        <v>27</v>
      </c>
      <c r="I2144" t="s">
        <v>28</v>
      </c>
      <c r="J2144" t="s">
        <v>43</v>
      </c>
      <c r="K2144" t="s">
        <v>44</v>
      </c>
      <c r="L2144" t="s">
        <v>29</v>
      </c>
      <c r="M2144" t="s">
        <v>30</v>
      </c>
      <c r="N2144" t="s">
        <v>27</v>
      </c>
      <c r="O2144" t="s">
        <v>28</v>
      </c>
      <c r="P2144" t="s">
        <v>43</v>
      </c>
      <c r="Q2144" t="s">
        <v>44</v>
      </c>
      <c r="R2144" s="1">
        <v>44337.462870370371</v>
      </c>
      <c r="S2144" s="1">
        <v>44337.463009259256</v>
      </c>
      <c r="T2144">
        <v>0</v>
      </c>
      <c r="U2144">
        <v>5</v>
      </c>
      <c r="V2144" s="2">
        <v>0</v>
      </c>
      <c r="W2144">
        <v>0</v>
      </c>
      <c r="X2144" t="s">
        <v>37</v>
      </c>
      <c r="Y2144">
        <v>0</v>
      </c>
      <c r="Z2144" t="s">
        <v>37</v>
      </c>
      <c r="AA2144">
        <v>0</v>
      </c>
      <c r="AB2144" t="s">
        <v>44</v>
      </c>
      <c r="AC2144">
        <v>0</v>
      </c>
      <c r="AD2144" t="s">
        <v>44</v>
      </c>
      <c r="AE2144">
        <v>0</v>
      </c>
      <c r="AF2144" t="s">
        <v>45</v>
      </c>
      <c r="AG2144">
        <v>0</v>
      </c>
      <c r="AH2144" t="s">
        <v>61</v>
      </c>
      <c r="AI2144">
        <v>0</v>
      </c>
      <c r="AJ2144" t="s">
        <v>47</v>
      </c>
      <c r="AK2144">
        <v>0</v>
      </c>
      <c r="AL2144" t="s">
        <v>31</v>
      </c>
      <c r="AM2144">
        <v>0</v>
      </c>
      <c r="AN2144" t="s">
        <v>31</v>
      </c>
      <c r="AO2144">
        <v>0</v>
      </c>
      <c r="AP2144" t="s">
        <v>31</v>
      </c>
      <c r="AQ2144">
        <v>0</v>
      </c>
    </row>
    <row r="2145" spans="1:43" x14ac:dyDescent="0.2">
      <c r="A2145" t="s">
        <v>381</v>
      </c>
      <c r="B2145" s="3">
        <v>44338</v>
      </c>
      <c r="C2145">
        <v>107</v>
      </c>
      <c r="D2145" t="s">
        <v>392</v>
      </c>
      <c r="E2145" t="s">
        <v>163</v>
      </c>
      <c r="F2145" s="9" t="s">
        <v>232</v>
      </c>
      <c r="G2145" t="s">
        <v>26</v>
      </c>
      <c r="H2145" t="s">
        <v>27</v>
      </c>
      <c r="I2145" t="s">
        <v>28</v>
      </c>
      <c r="J2145" t="s">
        <v>43</v>
      </c>
      <c r="K2145" t="s">
        <v>44</v>
      </c>
      <c r="L2145" t="s">
        <v>29</v>
      </c>
      <c r="M2145" t="s">
        <v>30</v>
      </c>
      <c r="N2145" t="s">
        <v>27</v>
      </c>
      <c r="O2145" t="s">
        <v>28</v>
      </c>
      <c r="P2145" t="s">
        <v>43</v>
      </c>
      <c r="Q2145" t="s">
        <v>44</v>
      </c>
      <c r="R2145" s="1">
        <v>44338.63795138889</v>
      </c>
      <c r="S2145" s="1">
        <v>44338.637986111113</v>
      </c>
      <c r="T2145">
        <v>1</v>
      </c>
      <c r="U2145">
        <v>1</v>
      </c>
      <c r="V2145" s="2">
        <v>1</v>
      </c>
      <c r="W2145">
        <v>0</v>
      </c>
      <c r="X2145" t="s">
        <v>37</v>
      </c>
      <c r="Y2145">
        <v>0</v>
      </c>
      <c r="Z2145" t="s">
        <v>37</v>
      </c>
      <c r="AA2145">
        <v>0</v>
      </c>
      <c r="AB2145" t="s">
        <v>30</v>
      </c>
      <c r="AC2145">
        <v>0</v>
      </c>
      <c r="AD2145" t="s">
        <v>31</v>
      </c>
      <c r="AE2145">
        <v>0</v>
      </c>
      <c r="AF2145" t="s">
        <v>31</v>
      </c>
      <c r="AG2145">
        <v>0</v>
      </c>
      <c r="AH2145" t="s">
        <v>31</v>
      </c>
      <c r="AI2145">
        <v>0</v>
      </c>
      <c r="AJ2145" t="s">
        <v>31</v>
      </c>
      <c r="AK2145">
        <v>0</v>
      </c>
      <c r="AL2145" t="s">
        <v>31</v>
      </c>
      <c r="AM2145">
        <v>0</v>
      </c>
      <c r="AN2145" t="s">
        <v>31</v>
      </c>
      <c r="AO2145">
        <v>0</v>
      </c>
      <c r="AP2145" t="s">
        <v>31</v>
      </c>
      <c r="AQ2145">
        <v>0</v>
      </c>
    </row>
    <row r="2146" spans="1:43" x14ac:dyDescent="0.2">
      <c r="A2146" t="s">
        <v>381</v>
      </c>
      <c r="B2146" s="3">
        <v>44340</v>
      </c>
      <c r="C2146">
        <v>108</v>
      </c>
      <c r="D2146" t="s">
        <v>393</v>
      </c>
      <c r="E2146" t="s">
        <v>163</v>
      </c>
      <c r="F2146" s="9" t="s">
        <v>232</v>
      </c>
      <c r="G2146" t="s">
        <v>26</v>
      </c>
      <c r="H2146" t="s">
        <v>27</v>
      </c>
      <c r="I2146" t="s">
        <v>28</v>
      </c>
      <c r="J2146" t="s">
        <v>43</v>
      </c>
      <c r="K2146" t="s">
        <v>44</v>
      </c>
      <c r="L2146" t="s">
        <v>29</v>
      </c>
      <c r="M2146" t="s">
        <v>30</v>
      </c>
      <c r="N2146" t="s">
        <v>27</v>
      </c>
      <c r="O2146" t="s">
        <v>28</v>
      </c>
      <c r="P2146" t="s">
        <v>43</v>
      </c>
      <c r="Q2146" t="s">
        <v>44</v>
      </c>
      <c r="R2146" s="1">
        <v>44340.454456018517</v>
      </c>
      <c r="S2146" s="1">
        <v>44340.454895833333</v>
      </c>
      <c r="T2146">
        <v>0</v>
      </c>
      <c r="U2146">
        <v>0</v>
      </c>
      <c r="V2146" s="2">
        <v>0</v>
      </c>
      <c r="W2146">
        <v>0</v>
      </c>
      <c r="X2146" t="s">
        <v>37</v>
      </c>
      <c r="Y2146">
        <v>0</v>
      </c>
      <c r="Z2146" t="s">
        <v>37</v>
      </c>
      <c r="AA2146">
        <v>0</v>
      </c>
      <c r="AB2146" t="s">
        <v>37</v>
      </c>
      <c r="AC2146">
        <v>0</v>
      </c>
      <c r="AD2146" t="s">
        <v>37</v>
      </c>
      <c r="AE2146">
        <v>0</v>
      </c>
      <c r="AF2146" t="s">
        <v>37</v>
      </c>
      <c r="AG2146">
        <v>0</v>
      </c>
      <c r="AH2146" t="s">
        <v>37</v>
      </c>
      <c r="AI2146">
        <v>0</v>
      </c>
      <c r="AJ2146" t="s">
        <v>31</v>
      </c>
      <c r="AK2146">
        <v>0</v>
      </c>
      <c r="AL2146" t="s">
        <v>31</v>
      </c>
      <c r="AM2146">
        <v>0</v>
      </c>
      <c r="AN2146" t="s">
        <v>31</v>
      </c>
      <c r="AO2146">
        <v>0</v>
      </c>
      <c r="AP2146" t="s">
        <v>31</v>
      </c>
      <c r="AQ2146">
        <v>0</v>
      </c>
    </row>
    <row r="2147" spans="1:43" x14ac:dyDescent="0.2">
      <c r="A2147" t="s">
        <v>381</v>
      </c>
      <c r="B2147" s="3">
        <v>44342</v>
      </c>
      <c r="C2147">
        <v>112</v>
      </c>
      <c r="D2147" t="s">
        <v>394</v>
      </c>
      <c r="E2147" t="s">
        <v>163</v>
      </c>
      <c r="F2147" s="9" t="s">
        <v>232</v>
      </c>
      <c r="G2147" t="s">
        <v>26</v>
      </c>
      <c r="H2147" t="s">
        <v>27</v>
      </c>
      <c r="I2147" t="s">
        <v>28</v>
      </c>
      <c r="J2147" t="s">
        <v>43</v>
      </c>
      <c r="K2147" t="s">
        <v>44</v>
      </c>
      <c r="L2147" t="s">
        <v>29</v>
      </c>
      <c r="M2147" t="s">
        <v>30</v>
      </c>
      <c r="N2147" t="s">
        <v>27</v>
      </c>
      <c r="O2147" t="s">
        <v>28</v>
      </c>
      <c r="P2147" t="s">
        <v>43</v>
      </c>
      <c r="Q2147" t="s">
        <v>44</v>
      </c>
      <c r="R2147" s="1">
        <v>44342.460243055553</v>
      </c>
      <c r="S2147" s="1">
        <v>44342.460300925923</v>
      </c>
      <c r="T2147">
        <v>0</v>
      </c>
      <c r="U2147">
        <v>5</v>
      </c>
      <c r="V2147" s="2">
        <v>0</v>
      </c>
      <c r="W2147">
        <v>0</v>
      </c>
      <c r="X2147" t="s">
        <v>37</v>
      </c>
      <c r="Y2147">
        <v>0</v>
      </c>
      <c r="Z2147" t="s">
        <v>37</v>
      </c>
      <c r="AA2147">
        <v>0</v>
      </c>
      <c r="AB2147" t="s">
        <v>44</v>
      </c>
      <c r="AC2147">
        <v>0</v>
      </c>
      <c r="AD2147" t="s">
        <v>44</v>
      </c>
      <c r="AE2147">
        <v>0</v>
      </c>
      <c r="AF2147" t="s">
        <v>45</v>
      </c>
      <c r="AG2147">
        <v>0</v>
      </c>
      <c r="AH2147" t="s">
        <v>61</v>
      </c>
      <c r="AI2147">
        <v>0</v>
      </c>
      <c r="AJ2147" t="s">
        <v>47</v>
      </c>
      <c r="AK2147">
        <v>0</v>
      </c>
      <c r="AL2147" t="s">
        <v>31</v>
      </c>
      <c r="AM2147">
        <v>0</v>
      </c>
      <c r="AN2147" t="s">
        <v>31</v>
      </c>
      <c r="AO2147">
        <v>0</v>
      </c>
      <c r="AP2147" t="s">
        <v>31</v>
      </c>
      <c r="AQ2147">
        <v>0</v>
      </c>
    </row>
    <row r="2148" spans="1:43" x14ac:dyDescent="0.2">
      <c r="A2148" t="s">
        <v>381</v>
      </c>
      <c r="B2148" s="3">
        <v>44344</v>
      </c>
      <c r="C2148">
        <v>116</v>
      </c>
      <c r="D2148" t="s">
        <v>390</v>
      </c>
      <c r="E2148" t="s">
        <v>163</v>
      </c>
      <c r="F2148" s="9" t="s">
        <v>232</v>
      </c>
      <c r="G2148" t="s">
        <v>26</v>
      </c>
      <c r="H2148" t="s">
        <v>27</v>
      </c>
      <c r="I2148" t="s">
        <v>28</v>
      </c>
      <c r="J2148" t="s">
        <v>43</v>
      </c>
      <c r="K2148" t="s">
        <v>44</v>
      </c>
      <c r="L2148" t="s">
        <v>29</v>
      </c>
      <c r="M2148" t="s">
        <v>30</v>
      </c>
      <c r="N2148" t="s">
        <v>27</v>
      </c>
      <c r="O2148" t="s">
        <v>28</v>
      </c>
      <c r="P2148" t="s">
        <v>43</v>
      </c>
      <c r="Q2148" t="s">
        <v>44</v>
      </c>
      <c r="R2148" s="1">
        <v>44344.40347222222</v>
      </c>
      <c r="S2148" s="1">
        <v>44344.403506944444</v>
      </c>
      <c r="T2148">
        <v>1</v>
      </c>
      <c r="U2148">
        <v>1</v>
      </c>
      <c r="V2148" s="2">
        <v>1</v>
      </c>
      <c r="W2148">
        <v>0</v>
      </c>
      <c r="X2148" t="s">
        <v>37</v>
      </c>
      <c r="Y2148">
        <v>0</v>
      </c>
      <c r="Z2148" t="s">
        <v>37</v>
      </c>
      <c r="AA2148">
        <v>0</v>
      </c>
      <c r="AB2148" t="s">
        <v>30</v>
      </c>
      <c r="AC2148">
        <v>0</v>
      </c>
      <c r="AD2148" t="s">
        <v>31</v>
      </c>
      <c r="AE2148">
        <v>0</v>
      </c>
      <c r="AF2148" t="s">
        <v>31</v>
      </c>
      <c r="AG2148">
        <v>0</v>
      </c>
      <c r="AH2148" t="s">
        <v>31</v>
      </c>
      <c r="AI2148">
        <v>0</v>
      </c>
      <c r="AJ2148" t="s">
        <v>31</v>
      </c>
      <c r="AK2148">
        <v>0</v>
      </c>
      <c r="AL2148" t="s">
        <v>31</v>
      </c>
      <c r="AM2148">
        <v>0</v>
      </c>
      <c r="AN2148" t="s">
        <v>31</v>
      </c>
      <c r="AO2148">
        <v>0</v>
      </c>
      <c r="AP2148" t="s">
        <v>31</v>
      </c>
      <c r="AQ2148">
        <v>0</v>
      </c>
    </row>
    <row r="2149" spans="1:43" x14ac:dyDescent="0.2">
      <c r="A2149" t="s">
        <v>381</v>
      </c>
      <c r="B2149" s="3">
        <v>44348</v>
      </c>
      <c r="C2149">
        <v>118</v>
      </c>
      <c r="D2149" t="s">
        <v>396</v>
      </c>
      <c r="E2149" t="s">
        <v>163</v>
      </c>
      <c r="F2149" s="9" t="s">
        <v>232</v>
      </c>
      <c r="G2149" t="s">
        <v>26</v>
      </c>
      <c r="H2149" t="s">
        <v>27</v>
      </c>
      <c r="I2149" t="s">
        <v>28</v>
      </c>
      <c r="J2149" t="s">
        <v>43</v>
      </c>
      <c r="K2149" t="s">
        <v>44</v>
      </c>
      <c r="L2149" t="s">
        <v>29</v>
      </c>
      <c r="M2149" t="s">
        <v>30</v>
      </c>
      <c r="N2149" t="s">
        <v>27</v>
      </c>
      <c r="O2149" t="s">
        <v>28</v>
      </c>
      <c r="P2149" t="s">
        <v>43</v>
      </c>
      <c r="Q2149" t="s">
        <v>44</v>
      </c>
      <c r="R2149" s="1">
        <v>44348.453530092593</v>
      </c>
      <c r="S2149" s="1">
        <v>44348.453530092593</v>
      </c>
      <c r="T2149">
        <v>0</v>
      </c>
      <c r="U2149">
        <v>0</v>
      </c>
      <c r="V2149" s="2">
        <v>0</v>
      </c>
      <c r="W2149">
        <v>0</v>
      </c>
      <c r="X2149" t="s">
        <v>37</v>
      </c>
      <c r="Y2149">
        <v>0</v>
      </c>
      <c r="Z2149" t="s">
        <v>31</v>
      </c>
      <c r="AA2149">
        <v>0</v>
      </c>
      <c r="AB2149" t="s">
        <v>31</v>
      </c>
      <c r="AC2149">
        <v>0</v>
      </c>
      <c r="AD2149" t="s">
        <v>31</v>
      </c>
      <c r="AE2149">
        <v>0</v>
      </c>
      <c r="AF2149" t="s">
        <v>31</v>
      </c>
      <c r="AG2149">
        <v>0</v>
      </c>
      <c r="AH2149" t="s">
        <v>31</v>
      </c>
      <c r="AI2149">
        <v>0</v>
      </c>
      <c r="AJ2149" t="s">
        <v>31</v>
      </c>
      <c r="AK2149">
        <v>0</v>
      </c>
      <c r="AL2149" t="s">
        <v>31</v>
      </c>
      <c r="AM2149">
        <v>0</v>
      </c>
      <c r="AN2149" t="s">
        <v>31</v>
      </c>
      <c r="AO2149">
        <v>0</v>
      </c>
      <c r="AP2149" t="s">
        <v>31</v>
      </c>
      <c r="AQ2149">
        <v>0</v>
      </c>
    </row>
    <row r="2150" spans="1:43" x14ac:dyDescent="0.2">
      <c r="A2150" t="s">
        <v>381</v>
      </c>
      <c r="B2150" s="3">
        <v>44349</v>
      </c>
      <c r="C2150">
        <v>121</v>
      </c>
      <c r="D2150" t="s">
        <v>385</v>
      </c>
      <c r="E2150" t="s">
        <v>163</v>
      </c>
      <c r="F2150" s="9" t="s">
        <v>232</v>
      </c>
      <c r="G2150" t="s">
        <v>26</v>
      </c>
      <c r="H2150" t="s">
        <v>27</v>
      </c>
      <c r="I2150" t="s">
        <v>28</v>
      </c>
      <c r="J2150" t="s">
        <v>43</v>
      </c>
      <c r="K2150" t="s">
        <v>44</v>
      </c>
      <c r="L2150" t="s">
        <v>29</v>
      </c>
      <c r="M2150" t="s">
        <v>30</v>
      </c>
      <c r="N2150" t="s">
        <v>27</v>
      </c>
      <c r="O2150" t="s">
        <v>28</v>
      </c>
      <c r="P2150" t="s">
        <v>43</v>
      </c>
      <c r="Q2150" t="s">
        <v>44</v>
      </c>
      <c r="R2150" s="1">
        <v>44349.626296296294</v>
      </c>
      <c r="S2150" s="1">
        <v>44349.62771990741</v>
      </c>
      <c r="T2150">
        <v>0</v>
      </c>
      <c r="U2150">
        <v>5</v>
      </c>
      <c r="V2150" s="2">
        <v>0</v>
      </c>
      <c r="W2150">
        <v>0</v>
      </c>
      <c r="X2150" t="s">
        <v>37</v>
      </c>
      <c r="Y2150">
        <v>0</v>
      </c>
      <c r="Z2150" t="s">
        <v>37</v>
      </c>
      <c r="AA2150">
        <v>0</v>
      </c>
      <c r="AB2150" t="s">
        <v>44</v>
      </c>
      <c r="AC2150">
        <v>0</v>
      </c>
      <c r="AD2150" t="s">
        <v>44</v>
      </c>
      <c r="AE2150">
        <v>0</v>
      </c>
      <c r="AF2150" t="s">
        <v>45</v>
      </c>
      <c r="AG2150">
        <v>0</v>
      </c>
      <c r="AH2150" t="s">
        <v>61</v>
      </c>
      <c r="AI2150">
        <v>0</v>
      </c>
      <c r="AJ2150" t="s">
        <v>47</v>
      </c>
      <c r="AK2150">
        <v>0</v>
      </c>
      <c r="AL2150" t="s">
        <v>31</v>
      </c>
      <c r="AM2150">
        <v>0</v>
      </c>
      <c r="AN2150" t="s">
        <v>31</v>
      </c>
      <c r="AO2150">
        <v>0</v>
      </c>
      <c r="AP2150" t="s">
        <v>31</v>
      </c>
      <c r="AQ2150">
        <v>0</v>
      </c>
    </row>
    <row r="2151" spans="1:43" x14ac:dyDescent="0.2">
      <c r="A2151" t="s">
        <v>381</v>
      </c>
      <c r="B2151" s="3">
        <v>44351</v>
      </c>
      <c r="C2151">
        <v>124</v>
      </c>
      <c r="D2151" t="s">
        <v>390</v>
      </c>
      <c r="E2151" t="s">
        <v>163</v>
      </c>
      <c r="F2151" s="9" t="s">
        <v>232</v>
      </c>
      <c r="G2151" t="s">
        <v>26</v>
      </c>
      <c r="H2151" t="s">
        <v>27</v>
      </c>
      <c r="I2151" t="s">
        <v>28</v>
      </c>
      <c r="J2151" t="s">
        <v>43</v>
      </c>
      <c r="K2151" t="s">
        <v>44</v>
      </c>
      <c r="L2151" t="s">
        <v>29</v>
      </c>
      <c r="M2151" t="s">
        <v>30</v>
      </c>
      <c r="N2151" t="s">
        <v>27</v>
      </c>
      <c r="O2151" t="s">
        <v>28</v>
      </c>
      <c r="P2151" t="s">
        <v>43</v>
      </c>
      <c r="Q2151" t="s">
        <v>44</v>
      </c>
      <c r="R2151" s="1">
        <v>44351.414351851854</v>
      </c>
      <c r="S2151" s="1">
        <v>44351.414398148147</v>
      </c>
      <c r="T2151">
        <v>1</v>
      </c>
      <c r="U2151">
        <v>1</v>
      </c>
      <c r="V2151" s="2">
        <v>1</v>
      </c>
      <c r="W2151">
        <v>0</v>
      </c>
      <c r="X2151" t="s">
        <v>30</v>
      </c>
      <c r="Y2151">
        <v>0</v>
      </c>
      <c r="Z2151" t="s">
        <v>31</v>
      </c>
      <c r="AA2151">
        <v>0</v>
      </c>
      <c r="AB2151" t="s">
        <v>31</v>
      </c>
      <c r="AC2151">
        <v>0</v>
      </c>
      <c r="AD2151" t="s">
        <v>31</v>
      </c>
      <c r="AE2151">
        <v>0</v>
      </c>
      <c r="AF2151" t="s">
        <v>31</v>
      </c>
      <c r="AG2151">
        <v>0</v>
      </c>
      <c r="AH2151" t="s">
        <v>31</v>
      </c>
      <c r="AI2151">
        <v>0</v>
      </c>
      <c r="AJ2151" t="s">
        <v>31</v>
      </c>
      <c r="AK2151">
        <v>0</v>
      </c>
      <c r="AL2151" t="s">
        <v>31</v>
      </c>
      <c r="AM2151">
        <v>0</v>
      </c>
      <c r="AN2151" t="s">
        <v>31</v>
      </c>
      <c r="AO2151">
        <v>0</v>
      </c>
      <c r="AP2151" t="s">
        <v>31</v>
      </c>
      <c r="AQ2151">
        <v>0</v>
      </c>
    </row>
    <row r="2152" spans="1:43" x14ac:dyDescent="0.2">
      <c r="A2152" t="s">
        <v>381</v>
      </c>
      <c r="B2152" s="3">
        <v>44354</v>
      </c>
      <c r="C2152">
        <v>127</v>
      </c>
      <c r="D2152" t="s">
        <v>383</v>
      </c>
      <c r="E2152" t="s">
        <v>163</v>
      </c>
      <c r="F2152" s="9" t="s">
        <v>232</v>
      </c>
      <c r="G2152" t="s">
        <v>26</v>
      </c>
      <c r="H2152" t="s">
        <v>27</v>
      </c>
      <c r="I2152" t="s">
        <v>28</v>
      </c>
      <c r="J2152" t="s">
        <v>43</v>
      </c>
      <c r="K2152" t="s">
        <v>44</v>
      </c>
      <c r="L2152" t="s">
        <v>29</v>
      </c>
      <c r="M2152" t="s">
        <v>30</v>
      </c>
      <c r="N2152" t="s">
        <v>27</v>
      </c>
      <c r="O2152" t="s">
        <v>28</v>
      </c>
      <c r="P2152" t="s">
        <v>43</v>
      </c>
      <c r="Q2152" t="s">
        <v>44</v>
      </c>
      <c r="R2152" s="1">
        <v>44354.55259259259</v>
      </c>
      <c r="S2152" s="1">
        <v>44354.55259259259</v>
      </c>
      <c r="T2152">
        <v>1</v>
      </c>
      <c r="U2152">
        <v>1</v>
      </c>
      <c r="V2152" s="2">
        <v>1</v>
      </c>
      <c r="W2152">
        <v>0</v>
      </c>
      <c r="X2152" t="s">
        <v>37</v>
      </c>
      <c r="Y2152">
        <v>0</v>
      </c>
      <c r="Z2152" t="s">
        <v>30</v>
      </c>
      <c r="AA2152">
        <v>0</v>
      </c>
      <c r="AB2152" t="s">
        <v>31</v>
      </c>
      <c r="AC2152">
        <v>0</v>
      </c>
      <c r="AD2152" t="s">
        <v>31</v>
      </c>
      <c r="AE2152">
        <v>0</v>
      </c>
      <c r="AF2152" t="s">
        <v>31</v>
      </c>
      <c r="AG2152">
        <v>0</v>
      </c>
      <c r="AH2152" t="s">
        <v>31</v>
      </c>
      <c r="AI2152">
        <v>0</v>
      </c>
      <c r="AJ2152" t="s">
        <v>31</v>
      </c>
      <c r="AK2152">
        <v>0</v>
      </c>
      <c r="AL2152" t="s">
        <v>31</v>
      </c>
      <c r="AM2152">
        <v>0</v>
      </c>
      <c r="AN2152" t="s">
        <v>31</v>
      </c>
      <c r="AO2152">
        <v>0</v>
      </c>
      <c r="AP2152" t="s">
        <v>31</v>
      </c>
      <c r="AQ2152">
        <v>0</v>
      </c>
    </row>
    <row r="2153" spans="1:43" x14ac:dyDescent="0.2">
      <c r="A2153" t="s">
        <v>381</v>
      </c>
      <c r="B2153" s="3">
        <v>44355</v>
      </c>
      <c r="C2153">
        <v>129</v>
      </c>
      <c r="D2153" t="s">
        <v>385</v>
      </c>
      <c r="E2153" t="s">
        <v>163</v>
      </c>
      <c r="F2153" s="9" t="s">
        <v>232</v>
      </c>
      <c r="G2153" t="s">
        <v>26</v>
      </c>
      <c r="H2153" t="s">
        <v>27</v>
      </c>
      <c r="I2153" t="s">
        <v>28</v>
      </c>
      <c r="J2153" t="s">
        <v>43</v>
      </c>
      <c r="K2153" t="s">
        <v>44</v>
      </c>
      <c r="L2153" t="s">
        <v>29</v>
      </c>
      <c r="M2153" t="s">
        <v>30</v>
      </c>
      <c r="N2153" t="s">
        <v>27</v>
      </c>
      <c r="O2153" t="s">
        <v>28</v>
      </c>
      <c r="P2153" t="s">
        <v>43</v>
      </c>
      <c r="Q2153" t="s">
        <v>44</v>
      </c>
      <c r="R2153" s="1">
        <v>44355.65697916667</v>
      </c>
      <c r="S2153" s="1">
        <v>44355.65697916667</v>
      </c>
      <c r="T2153">
        <v>0</v>
      </c>
      <c r="U2153">
        <v>0</v>
      </c>
      <c r="V2153" s="2">
        <v>0</v>
      </c>
      <c r="W2153">
        <v>0</v>
      </c>
      <c r="X2153" t="s">
        <v>37</v>
      </c>
      <c r="Y2153">
        <v>0</v>
      </c>
      <c r="Z2153" t="s">
        <v>37</v>
      </c>
      <c r="AA2153">
        <v>0</v>
      </c>
      <c r="AB2153" t="s">
        <v>31</v>
      </c>
      <c r="AC2153">
        <v>0</v>
      </c>
      <c r="AD2153" t="s">
        <v>31</v>
      </c>
      <c r="AE2153">
        <v>0</v>
      </c>
      <c r="AF2153" t="s">
        <v>31</v>
      </c>
      <c r="AG2153">
        <v>0</v>
      </c>
      <c r="AH2153" t="s">
        <v>31</v>
      </c>
      <c r="AI2153">
        <v>0</v>
      </c>
      <c r="AJ2153" t="s">
        <v>31</v>
      </c>
      <c r="AK2153">
        <v>0</v>
      </c>
      <c r="AL2153" t="s">
        <v>31</v>
      </c>
      <c r="AM2153">
        <v>0</v>
      </c>
      <c r="AN2153" t="s">
        <v>31</v>
      </c>
      <c r="AO2153">
        <v>0</v>
      </c>
      <c r="AP2153" t="s">
        <v>31</v>
      </c>
      <c r="AQ2153">
        <v>0</v>
      </c>
    </row>
    <row r="2154" spans="1:43" x14ac:dyDescent="0.2">
      <c r="A2154" t="s">
        <v>381</v>
      </c>
      <c r="B2154" s="3">
        <v>44357</v>
      </c>
      <c r="C2154">
        <v>132</v>
      </c>
      <c r="D2154" t="s">
        <v>399</v>
      </c>
      <c r="E2154" t="s">
        <v>163</v>
      </c>
      <c r="F2154" s="9" t="s">
        <v>232</v>
      </c>
      <c r="G2154" t="s">
        <v>26</v>
      </c>
      <c r="H2154" t="s">
        <v>27</v>
      </c>
      <c r="I2154" t="s">
        <v>28</v>
      </c>
      <c r="J2154" t="s">
        <v>43</v>
      </c>
      <c r="K2154" t="s">
        <v>44</v>
      </c>
      <c r="L2154" t="s">
        <v>29</v>
      </c>
      <c r="M2154" t="s">
        <v>30</v>
      </c>
      <c r="N2154" t="s">
        <v>27</v>
      </c>
      <c r="O2154" t="s">
        <v>28</v>
      </c>
      <c r="P2154" t="s">
        <v>43</v>
      </c>
      <c r="Q2154" t="s">
        <v>44</v>
      </c>
      <c r="R2154" s="1">
        <v>44357.432604166665</v>
      </c>
      <c r="S2154" s="1">
        <v>44357.432615740741</v>
      </c>
      <c r="T2154">
        <v>0</v>
      </c>
      <c r="U2154">
        <v>0</v>
      </c>
      <c r="V2154" s="2">
        <v>0</v>
      </c>
      <c r="W2154">
        <v>0</v>
      </c>
      <c r="X2154" t="s">
        <v>37</v>
      </c>
      <c r="Y2154">
        <v>0</v>
      </c>
      <c r="Z2154" t="s">
        <v>37</v>
      </c>
      <c r="AA2154">
        <v>0</v>
      </c>
      <c r="AB2154" t="s">
        <v>37</v>
      </c>
      <c r="AC2154">
        <v>0</v>
      </c>
      <c r="AD2154" t="s">
        <v>31</v>
      </c>
      <c r="AE2154">
        <v>0</v>
      </c>
      <c r="AF2154" t="s">
        <v>31</v>
      </c>
      <c r="AG2154">
        <v>0</v>
      </c>
      <c r="AH2154" t="s">
        <v>31</v>
      </c>
      <c r="AI2154">
        <v>0</v>
      </c>
      <c r="AJ2154" t="s">
        <v>31</v>
      </c>
      <c r="AK2154">
        <v>0</v>
      </c>
      <c r="AL2154" t="s">
        <v>31</v>
      </c>
      <c r="AM2154">
        <v>0</v>
      </c>
      <c r="AN2154" t="s">
        <v>31</v>
      </c>
      <c r="AO2154">
        <v>0</v>
      </c>
      <c r="AP2154" t="s">
        <v>31</v>
      </c>
      <c r="AQ2154">
        <v>0</v>
      </c>
    </row>
    <row r="2155" spans="1:43" x14ac:dyDescent="0.2">
      <c r="A2155" t="s">
        <v>381</v>
      </c>
      <c r="B2155" s="3">
        <v>44358</v>
      </c>
      <c r="C2155">
        <v>133</v>
      </c>
      <c r="D2155" t="s">
        <v>390</v>
      </c>
      <c r="E2155" t="s">
        <v>163</v>
      </c>
      <c r="F2155" s="9" t="s">
        <v>232</v>
      </c>
      <c r="G2155" t="s">
        <v>26</v>
      </c>
      <c r="H2155" t="s">
        <v>27</v>
      </c>
      <c r="I2155" t="s">
        <v>28</v>
      </c>
      <c r="J2155" t="s">
        <v>43</v>
      </c>
      <c r="K2155" t="s">
        <v>44</v>
      </c>
      <c r="L2155" t="s">
        <v>29</v>
      </c>
      <c r="M2155" t="s">
        <v>30</v>
      </c>
      <c r="N2155" t="s">
        <v>27</v>
      </c>
      <c r="O2155" t="s">
        <v>28</v>
      </c>
      <c r="P2155" t="s">
        <v>43</v>
      </c>
      <c r="Q2155" t="s">
        <v>44</v>
      </c>
      <c r="R2155" s="1">
        <v>44358.423078703701</v>
      </c>
      <c r="S2155" s="1">
        <v>44358.423078703701</v>
      </c>
      <c r="T2155">
        <v>1</v>
      </c>
      <c r="U2155">
        <v>1</v>
      </c>
      <c r="V2155" s="2">
        <v>1</v>
      </c>
      <c r="W2155">
        <v>0</v>
      </c>
      <c r="X2155" t="s">
        <v>30</v>
      </c>
      <c r="Y2155">
        <v>0</v>
      </c>
      <c r="Z2155" t="s">
        <v>31</v>
      </c>
      <c r="AA2155">
        <v>0</v>
      </c>
      <c r="AB2155" t="s">
        <v>31</v>
      </c>
      <c r="AC2155">
        <v>0</v>
      </c>
      <c r="AD2155" t="s">
        <v>31</v>
      </c>
      <c r="AE2155">
        <v>0</v>
      </c>
      <c r="AF2155" t="s">
        <v>31</v>
      </c>
      <c r="AG2155">
        <v>0</v>
      </c>
      <c r="AH2155" t="s">
        <v>31</v>
      </c>
      <c r="AI2155">
        <v>0</v>
      </c>
      <c r="AJ2155" t="s">
        <v>31</v>
      </c>
      <c r="AK2155">
        <v>0</v>
      </c>
      <c r="AL2155" t="s">
        <v>31</v>
      </c>
      <c r="AM2155">
        <v>0</v>
      </c>
      <c r="AN2155" t="s">
        <v>31</v>
      </c>
      <c r="AO2155">
        <v>0</v>
      </c>
      <c r="AP2155" t="s">
        <v>31</v>
      </c>
      <c r="AQ2155">
        <v>0</v>
      </c>
    </row>
    <row r="2156" spans="1:43" x14ac:dyDescent="0.2">
      <c r="A2156" t="s">
        <v>381</v>
      </c>
      <c r="B2156" s="3">
        <v>44361</v>
      </c>
      <c r="C2156">
        <v>135</v>
      </c>
      <c r="D2156" t="s">
        <v>390</v>
      </c>
      <c r="E2156" t="s">
        <v>163</v>
      </c>
      <c r="F2156" s="9" t="s">
        <v>232</v>
      </c>
      <c r="G2156" t="s">
        <v>26</v>
      </c>
      <c r="H2156" t="s">
        <v>27</v>
      </c>
      <c r="I2156" t="s">
        <v>28</v>
      </c>
      <c r="J2156" t="s">
        <v>43</v>
      </c>
      <c r="K2156" t="s">
        <v>44</v>
      </c>
      <c r="L2156" t="s">
        <v>29</v>
      </c>
      <c r="M2156" t="s">
        <v>30</v>
      </c>
      <c r="N2156" t="s">
        <v>27</v>
      </c>
      <c r="O2156" t="s">
        <v>28</v>
      </c>
      <c r="P2156" t="s">
        <v>43</v>
      </c>
      <c r="Q2156" t="s">
        <v>44</v>
      </c>
      <c r="R2156" s="1">
        <v>44361.463321759256</v>
      </c>
      <c r="S2156" s="1">
        <v>44361.464479166665</v>
      </c>
      <c r="T2156">
        <v>0</v>
      </c>
      <c r="U2156">
        <v>7</v>
      </c>
      <c r="V2156" s="2">
        <v>0</v>
      </c>
      <c r="W2156">
        <v>0</v>
      </c>
      <c r="X2156" t="s">
        <v>37</v>
      </c>
      <c r="Y2156">
        <v>0</v>
      </c>
      <c r="Z2156" t="s">
        <v>37</v>
      </c>
      <c r="AA2156">
        <v>0</v>
      </c>
      <c r="AB2156" t="s">
        <v>44</v>
      </c>
      <c r="AC2156">
        <v>0</v>
      </c>
      <c r="AD2156" t="s">
        <v>44</v>
      </c>
      <c r="AE2156">
        <v>0</v>
      </c>
      <c r="AF2156" t="s">
        <v>45</v>
      </c>
      <c r="AG2156">
        <v>0</v>
      </c>
      <c r="AH2156" t="s">
        <v>61</v>
      </c>
      <c r="AI2156">
        <v>0</v>
      </c>
      <c r="AJ2156" t="s">
        <v>47</v>
      </c>
      <c r="AK2156">
        <v>0</v>
      </c>
      <c r="AL2156" t="s">
        <v>44</v>
      </c>
      <c r="AM2156">
        <v>0</v>
      </c>
      <c r="AN2156" t="s">
        <v>44</v>
      </c>
      <c r="AO2156">
        <v>0</v>
      </c>
      <c r="AP2156" t="s">
        <v>31</v>
      </c>
      <c r="AQ2156">
        <v>0</v>
      </c>
    </row>
    <row r="2157" spans="1:43" x14ac:dyDescent="0.2">
      <c r="A2157" t="s">
        <v>381</v>
      </c>
      <c r="B2157" s="3">
        <v>44364</v>
      </c>
      <c r="C2157">
        <v>138</v>
      </c>
      <c r="D2157" t="s">
        <v>399</v>
      </c>
      <c r="E2157" t="s">
        <v>163</v>
      </c>
      <c r="F2157" s="9" t="s">
        <v>232</v>
      </c>
      <c r="G2157" t="s">
        <v>26</v>
      </c>
      <c r="H2157" t="s">
        <v>27</v>
      </c>
      <c r="I2157" t="s">
        <v>28</v>
      </c>
      <c r="J2157" t="s">
        <v>43</v>
      </c>
      <c r="K2157" t="s">
        <v>44</v>
      </c>
      <c r="L2157" t="s">
        <v>29</v>
      </c>
      <c r="M2157" t="s">
        <v>30</v>
      </c>
      <c r="N2157" t="s">
        <v>27</v>
      </c>
      <c r="O2157" t="s">
        <v>28</v>
      </c>
      <c r="P2157" t="s">
        <v>43</v>
      </c>
      <c r="Q2157" t="s">
        <v>44</v>
      </c>
      <c r="R2157" s="1">
        <v>44364.402488425927</v>
      </c>
      <c r="S2157" s="1">
        <v>44364.402488425927</v>
      </c>
      <c r="T2157">
        <v>1</v>
      </c>
      <c r="U2157">
        <v>1</v>
      </c>
      <c r="V2157" s="2">
        <v>1</v>
      </c>
      <c r="W2157">
        <v>0</v>
      </c>
      <c r="X2157" t="s">
        <v>30</v>
      </c>
      <c r="Y2157">
        <v>0</v>
      </c>
      <c r="Z2157" t="s">
        <v>31</v>
      </c>
      <c r="AA2157">
        <v>0</v>
      </c>
      <c r="AB2157" t="s">
        <v>31</v>
      </c>
      <c r="AC2157">
        <v>0</v>
      </c>
      <c r="AD2157" t="s">
        <v>31</v>
      </c>
      <c r="AE2157">
        <v>0</v>
      </c>
      <c r="AF2157" t="s">
        <v>31</v>
      </c>
      <c r="AG2157">
        <v>0</v>
      </c>
      <c r="AH2157" t="s">
        <v>31</v>
      </c>
      <c r="AI2157">
        <v>0</v>
      </c>
      <c r="AJ2157" t="s">
        <v>31</v>
      </c>
      <c r="AK2157">
        <v>0</v>
      </c>
      <c r="AL2157" t="s">
        <v>31</v>
      </c>
      <c r="AM2157">
        <v>0</v>
      </c>
      <c r="AN2157" t="s">
        <v>31</v>
      </c>
      <c r="AO2157">
        <v>0</v>
      </c>
      <c r="AP2157" t="s">
        <v>31</v>
      </c>
      <c r="AQ2157">
        <v>0</v>
      </c>
    </row>
    <row r="2158" spans="1:43" x14ac:dyDescent="0.2">
      <c r="A2158" t="s">
        <v>381</v>
      </c>
      <c r="B2158" s="3">
        <v>44365</v>
      </c>
      <c r="C2158">
        <v>140</v>
      </c>
      <c r="D2158" t="s">
        <v>399</v>
      </c>
      <c r="E2158" t="s">
        <v>163</v>
      </c>
      <c r="F2158" s="9" t="s">
        <v>232</v>
      </c>
      <c r="G2158" t="s">
        <v>26</v>
      </c>
      <c r="H2158" t="s">
        <v>27</v>
      </c>
      <c r="I2158" t="s">
        <v>28</v>
      </c>
      <c r="J2158" t="s">
        <v>43</v>
      </c>
      <c r="K2158" t="s">
        <v>44</v>
      </c>
      <c r="L2158" t="s">
        <v>29</v>
      </c>
      <c r="M2158" t="s">
        <v>30</v>
      </c>
      <c r="N2158" t="s">
        <v>27</v>
      </c>
      <c r="O2158" t="s">
        <v>28</v>
      </c>
      <c r="P2158" t="s">
        <v>43</v>
      </c>
      <c r="Q2158" t="s">
        <v>44</v>
      </c>
      <c r="R2158" s="1">
        <v>44365.628958333335</v>
      </c>
      <c r="S2158" s="1">
        <v>44365.628969907404</v>
      </c>
      <c r="T2158">
        <v>0</v>
      </c>
      <c r="U2158">
        <v>0</v>
      </c>
      <c r="V2158" s="2">
        <v>0</v>
      </c>
      <c r="W2158">
        <v>0</v>
      </c>
      <c r="X2158" t="s">
        <v>37</v>
      </c>
      <c r="Y2158">
        <v>0</v>
      </c>
      <c r="Z2158" t="s">
        <v>37</v>
      </c>
      <c r="AA2158">
        <v>0</v>
      </c>
      <c r="AB2158" t="s">
        <v>37</v>
      </c>
      <c r="AC2158">
        <v>0</v>
      </c>
      <c r="AD2158" t="s">
        <v>31</v>
      </c>
      <c r="AE2158">
        <v>0</v>
      </c>
      <c r="AF2158" t="s">
        <v>31</v>
      </c>
      <c r="AG2158">
        <v>0</v>
      </c>
      <c r="AH2158" t="s">
        <v>31</v>
      </c>
      <c r="AI2158">
        <v>0</v>
      </c>
      <c r="AJ2158" t="s">
        <v>31</v>
      </c>
      <c r="AK2158">
        <v>0</v>
      </c>
      <c r="AL2158" t="s">
        <v>31</v>
      </c>
      <c r="AM2158">
        <v>0</v>
      </c>
      <c r="AN2158" t="s">
        <v>31</v>
      </c>
      <c r="AO2158">
        <v>0</v>
      </c>
      <c r="AP2158" t="s">
        <v>31</v>
      </c>
      <c r="AQ2158">
        <v>0</v>
      </c>
    </row>
    <row r="2159" spans="1:43" x14ac:dyDescent="0.2">
      <c r="A2159" t="s">
        <v>381</v>
      </c>
      <c r="B2159" s="3">
        <v>44375</v>
      </c>
      <c r="C2159">
        <v>141</v>
      </c>
      <c r="D2159" t="s">
        <v>396</v>
      </c>
      <c r="E2159" t="s">
        <v>163</v>
      </c>
      <c r="F2159" s="9" t="s">
        <v>232</v>
      </c>
      <c r="G2159" t="s">
        <v>26</v>
      </c>
      <c r="H2159" t="s">
        <v>27</v>
      </c>
      <c r="I2159" t="s">
        <v>28</v>
      </c>
      <c r="J2159" t="s">
        <v>43</v>
      </c>
      <c r="K2159" t="s">
        <v>44</v>
      </c>
      <c r="L2159" t="s">
        <v>29</v>
      </c>
      <c r="M2159" t="s">
        <v>30</v>
      </c>
      <c r="N2159" t="s">
        <v>27</v>
      </c>
      <c r="O2159" t="s">
        <v>28</v>
      </c>
      <c r="P2159" t="s">
        <v>43</v>
      </c>
      <c r="Q2159" t="s">
        <v>44</v>
      </c>
      <c r="R2159" s="1">
        <v>44375.627766203703</v>
      </c>
      <c r="S2159" s="1">
        <v>44375.627789351849</v>
      </c>
      <c r="T2159">
        <v>0</v>
      </c>
      <c r="U2159">
        <v>0</v>
      </c>
      <c r="V2159" s="2">
        <v>0</v>
      </c>
      <c r="W2159">
        <v>0</v>
      </c>
      <c r="X2159" t="s">
        <v>37</v>
      </c>
      <c r="Y2159">
        <v>0</v>
      </c>
      <c r="Z2159" t="s">
        <v>31</v>
      </c>
      <c r="AA2159">
        <v>0</v>
      </c>
      <c r="AB2159" t="s">
        <v>31</v>
      </c>
      <c r="AC2159">
        <v>0</v>
      </c>
      <c r="AD2159" t="s">
        <v>31</v>
      </c>
      <c r="AE2159">
        <v>0</v>
      </c>
      <c r="AF2159" t="s">
        <v>31</v>
      </c>
      <c r="AG2159">
        <v>0</v>
      </c>
      <c r="AH2159" t="s">
        <v>31</v>
      </c>
      <c r="AI2159">
        <v>0</v>
      </c>
      <c r="AJ2159" t="s">
        <v>31</v>
      </c>
      <c r="AK2159">
        <v>0</v>
      </c>
      <c r="AL2159" t="s">
        <v>31</v>
      </c>
      <c r="AM2159">
        <v>0</v>
      </c>
      <c r="AN2159" t="s">
        <v>31</v>
      </c>
      <c r="AO2159">
        <v>0</v>
      </c>
      <c r="AP2159" t="s">
        <v>31</v>
      </c>
      <c r="AQ2159">
        <v>0</v>
      </c>
    </row>
    <row r="2160" spans="1:43" x14ac:dyDescent="0.2">
      <c r="A2160" t="s">
        <v>381</v>
      </c>
      <c r="B2160" s="3">
        <v>44243</v>
      </c>
      <c r="C2160">
        <v>9</v>
      </c>
      <c r="D2160" t="s">
        <v>382</v>
      </c>
      <c r="E2160" t="s">
        <v>163</v>
      </c>
      <c r="F2160" s="9" t="s">
        <v>164</v>
      </c>
      <c r="G2160" t="s">
        <v>26</v>
      </c>
      <c r="H2160" t="s">
        <v>165</v>
      </c>
      <c r="I2160" t="s">
        <v>166</v>
      </c>
      <c r="J2160" t="s">
        <v>43</v>
      </c>
      <c r="K2160" t="s">
        <v>44</v>
      </c>
      <c r="L2160" t="s">
        <v>29</v>
      </c>
      <c r="M2160" t="s">
        <v>30</v>
      </c>
      <c r="N2160" t="s">
        <v>155</v>
      </c>
      <c r="O2160" t="s">
        <v>156</v>
      </c>
      <c r="P2160" t="s">
        <v>162</v>
      </c>
      <c r="Q2160" t="s">
        <v>47</v>
      </c>
      <c r="R2160" s="1">
        <v>44243.379942129628</v>
      </c>
      <c r="S2160" s="1">
        <v>44243.379965277774</v>
      </c>
      <c r="T2160">
        <v>0</v>
      </c>
      <c r="U2160">
        <v>6</v>
      </c>
      <c r="V2160" s="2">
        <v>0</v>
      </c>
      <c r="W2160">
        <v>0</v>
      </c>
      <c r="X2160" t="s">
        <v>47</v>
      </c>
      <c r="Y2160">
        <v>0</v>
      </c>
      <c r="Z2160" t="s">
        <v>47</v>
      </c>
      <c r="AA2160">
        <v>0</v>
      </c>
      <c r="AB2160" t="s">
        <v>47</v>
      </c>
      <c r="AC2160">
        <v>0</v>
      </c>
      <c r="AD2160" t="s">
        <v>47</v>
      </c>
      <c r="AE2160">
        <v>0</v>
      </c>
      <c r="AF2160" t="s">
        <v>47</v>
      </c>
      <c r="AG2160">
        <v>0</v>
      </c>
      <c r="AH2160" t="s">
        <v>47</v>
      </c>
      <c r="AI2160">
        <v>0</v>
      </c>
      <c r="AJ2160" t="s">
        <v>31</v>
      </c>
      <c r="AK2160">
        <v>0</v>
      </c>
      <c r="AL2160" t="s">
        <v>31</v>
      </c>
      <c r="AM2160">
        <v>0</v>
      </c>
      <c r="AN2160" t="s">
        <v>31</v>
      </c>
      <c r="AO2160">
        <v>0</v>
      </c>
      <c r="AP2160" t="s">
        <v>31</v>
      </c>
      <c r="AQ2160">
        <v>0</v>
      </c>
    </row>
    <row r="2161" spans="1:43" x14ac:dyDescent="0.2">
      <c r="A2161" t="s">
        <v>381</v>
      </c>
      <c r="B2161" s="3">
        <v>44244</v>
      </c>
      <c r="C2161">
        <v>11</v>
      </c>
      <c r="D2161" t="s">
        <v>384</v>
      </c>
      <c r="E2161" t="s">
        <v>163</v>
      </c>
      <c r="F2161" s="9" t="s">
        <v>164</v>
      </c>
      <c r="G2161" t="s">
        <v>26</v>
      </c>
      <c r="H2161" t="s">
        <v>155</v>
      </c>
      <c r="I2161" t="s">
        <v>156</v>
      </c>
      <c r="J2161" t="s">
        <v>162</v>
      </c>
      <c r="K2161" t="s">
        <v>47</v>
      </c>
      <c r="L2161" t="s">
        <v>162</v>
      </c>
      <c r="M2161" t="s">
        <v>47</v>
      </c>
      <c r="N2161" t="s">
        <v>27</v>
      </c>
      <c r="O2161" t="s">
        <v>28</v>
      </c>
      <c r="P2161" t="s">
        <v>43</v>
      </c>
      <c r="Q2161" t="s">
        <v>44</v>
      </c>
      <c r="R2161" s="1">
        <v>44244.38795138889</v>
      </c>
      <c r="S2161" s="1">
        <v>44244.389039351852</v>
      </c>
      <c r="T2161">
        <v>5</v>
      </c>
      <c r="U2161">
        <v>5</v>
      </c>
      <c r="V2161" s="2">
        <v>1</v>
      </c>
      <c r="W2161">
        <v>0</v>
      </c>
      <c r="X2161" t="s">
        <v>47</v>
      </c>
      <c r="Y2161">
        <v>0</v>
      </c>
      <c r="Z2161" t="s">
        <v>47</v>
      </c>
      <c r="AA2161">
        <v>0</v>
      </c>
      <c r="AB2161" t="s">
        <v>47</v>
      </c>
      <c r="AC2161">
        <v>0</v>
      </c>
      <c r="AD2161" t="s">
        <v>47</v>
      </c>
      <c r="AE2161">
        <v>0</v>
      </c>
      <c r="AF2161" t="s">
        <v>47</v>
      </c>
      <c r="AG2161">
        <v>0</v>
      </c>
      <c r="AH2161" t="s">
        <v>31</v>
      </c>
      <c r="AI2161">
        <v>0</v>
      </c>
      <c r="AJ2161" t="s">
        <v>31</v>
      </c>
      <c r="AK2161">
        <v>0</v>
      </c>
      <c r="AL2161" t="s">
        <v>31</v>
      </c>
      <c r="AM2161">
        <v>0</v>
      </c>
      <c r="AN2161" t="s">
        <v>31</v>
      </c>
      <c r="AO2161">
        <v>0</v>
      </c>
      <c r="AP2161" t="s">
        <v>31</v>
      </c>
      <c r="AQ2161">
        <v>0</v>
      </c>
    </row>
    <row r="2162" spans="1:43" x14ac:dyDescent="0.2">
      <c r="A2162" t="s">
        <v>381</v>
      </c>
      <c r="B2162" s="3">
        <v>44245</v>
      </c>
      <c r="C2162">
        <v>12</v>
      </c>
      <c r="D2162" t="s">
        <v>382</v>
      </c>
      <c r="E2162" t="s">
        <v>163</v>
      </c>
      <c r="F2162" s="9" t="s">
        <v>164</v>
      </c>
      <c r="G2162" t="s">
        <v>26</v>
      </c>
      <c r="H2162" t="s">
        <v>27</v>
      </c>
      <c r="I2162" t="s">
        <v>28</v>
      </c>
      <c r="J2162" t="s">
        <v>43</v>
      </c>
      <c r="K2162" t="s">
        <v>44</v>
      </c>
      <c r="L2162" t="s">
        <v>29</v>
      </c>
      <c r="M2162" t="s">
        <v>30</v>
      </c>
      <c r="N2162" t="s">
        <v>27</v>
      </c>
      <c r="O2162" t="s">
        <v>28</v>
      </c>
      <c r="P2162" t="s">
        <v>43</v>
      </c>
      <c r="Q2162" t="s">
        <v>44</v>
      </c>
      <c r="R2162" s="1">
        <v>44245.456562500003</v>
      </c>
      <c r="S2162" s="1">
        <v>44245.456678240742</v>
      </c>
      <c r="T2162">
        <v>1</v>
      </c>
      <c r="U2162">
        <v>1</v>
      </c>
      <c r="V2162" s="2">
        <v>1</v>
      </c>
      <c r="W2162">
        <v>0</v>
      </c>
      <c r="X2162" t="s">
        <v>30</v>
      </c>
      <c r="Y2162">
        <v>0</v>
      </c>
      <c r="Z2162" t="s">
        <v>31</v>
      </c>
      <c r="AA2162">
        <v>0</v>
      </c>
      <c r="AB2162" t="s">
        <v>31</v>
      </c>
      <c r="AC2162">
        <v>0</v>
      </c>
      <c r="AD2162" t="s">
        <v>31</v>
      </c>
      <c r="AE2162">
        <v>0</v>
      </c>
      <c r="AF2162" t="s">
        <v>31</v>
      </c>
      <c r="AG2162">
        <v>0</v>
      </c>
      <c r="AH2162" t="s">
        <v>31</v>
      </c>
      <c r="AI2162">
        <v>0</v>
      </c>
      <c r="AJ2162" t="s">
        <v>31</v>
      </c>
      <c r="AK2162">
        <v>0</v>
      </c>
      <c r="AL2162" t="s">
        <v>31</v>
      </c>
      <c r="AM2162">
        <v>0</v>
      </c>
      <c r="AN2162" t="s">
        <v>31</v>
      </c>
      <c r="AO2162">
        <v>0</v>
      </c>
      <c r="AP2162" t="s">
        <v>31</v>
      </c>
      <c r="AQ2162">
        <v>0</v>
      </c>
    </row>
    <row r="2163" spans="1:43" x14ac:dyDescent="0.2">
      <c r="A2163" t="s">
        <v>381</v>
      </c>
      <c r="B2163" s="3">
        <v>44250</v>
      </c>
      <c r="C2163">
        <v>16</v>
      </c>
      <c r="D2163" t="s">
        <v>382</v>
      </c>
      <c r="E2163" t="s">
        <v>163</v>
      </c>
      <c r="F2163" s="9" t="s">
        <v>164</v>
      </c>
      <c r="G2163" t="s">
        <v>26</v>
      </c>
      <c r="H2163" t="s">
        <v>27</v>
      </c>
      <c r="I2163" t="s">
        <v>28</v>
      </c>
      <c r="J2163" t="s">
        <v>43</v>
      </c>
      <c r="K2163" t="s">
        <v>44</v>
      </c>
      <c r="L2163" t="s">
        <v>29</v>
      </c>
      <c r="M2163" t="s">
        <v>30</v>
      </c>
      <c r="N2163" t="s">
        <v>185</v>
      </c>
      <c r="O2163" t="s">
        <v>186</v>
      </c>
      <c r="P2163" t="s">
        <v>29</v>
      </c>
      <c r="Q2163" t="s">
        <v>30</v>
      </c>
      <c r="R2163" s="1">
        <v>44250.440706018519</v>
      </c>
      <c r="S2163" s="1">
        <v>44250.440706018519</v>
      </c>
      <c r="T2163">
        <v>1</v>
      </c>
      <c r="U2163">
        <v>1</v>
      </c>
      <c r="V2163" s="2">
        <v>1</v>
      </c>
      <c r="W2163">
        <v>0</v>
      </c>
      <c r="X2163" t="s">
        <v>30</v>
      </c>
      <c r="Y2163">
        <v>0</v>
      </c>
      <c r="Z2163" t="s">
        <v>31</v>
      </c>
      <c r="AA2163">
        <v>0</v>
      </c>
      <c r="AB2163" t="s">
        <v>31</v>
      </c>
      <c r="AC2163">
        <v>0</v>
      </c>
      <c r="AD2163" t="s">
        <v>31</v>
      </c>
      <c r="AE2163">
        <v>0</v>
      </c>
      <c r="AF2163" t="s">
        <v>31</v>
      </c>
      <c r="AG2163">
        <v>0</v>
      </c>
      <c r="AH2163" t="s">
        <v>31</v>
      </c>
      <c r="AI2163">
        <v>0</v>
      </c>
      <c r="AJ2163" t="s">
        <v>31</v>
      </c>
      <c r="AK2163">
        <v>0</v>
      </c>
      <c r="AL2163" t="s">
        <v>31</v>
      </c>
      <c r="AM2163">
        <v>0</v>
      </c>
      <c r="AN2163" t="s">
        <v>31</v>
      </c>
      <c r="AO2163">
        <v>0</v>
      </c>
      <c r="AP2163" t="s">
        <v>31</v>
      </c>
      <c r="AQ2163">
        <v>0</v>
      </c>
    </row>
    <row r="2164" spans="1:43" x14ac:dyDescent="0.2">
      <c r="A2164" t="s">
        <v>381</v>
      </c>
      <c r="B2164" s="3">
        <v>44252</v>
      </c>
      <c r="C2164">
        <v>19</v>
      </c>
      <c r="D2164" t="s">
        <v>382</v>
      </c>
      <c r="E2164" t="s">
        <v>163</v>
      </c>
      <c r="F2164" s="9" t="s">
        <v>164</v>
      </c>
      <c r="G2164" t="s">
        <v>26</v>
      </c>
      <c r="H2164" t="s">
        <v>185</v>
      </c>
      <c r="I2164" t="s">
        <v>186</v>
      </c>
      <c r="J2164" t="s">
        <v>29</v>
      </c>
      <c r="K2164" t="s">
        <v>30</v>
      </c>
      <c r="L2164" t="s">
        <v>29</v>
      </c>
      <c r="M2164" t="s">
        <v>30</v>
      </c>
      <c r="N2164" t="s">
        <v>185</v>
      </c>
      <c r="O2164" t="s">
        <v>186</v>
      </c>
      <c r="P2164" t="s">
        <v>29</v>
      </c>
      <c r="Q2164" t="s">
        <v>30</v>
      </c>
      <c r="R2164" s="1">
        <v>44252.413807870369</v>
      </c>
      <c r="S2164" s="1">
        <v>44252.413807870369</v>
      </c>
      <c r="T2164">
        <v>1</v>
      </c>
      <c r="U2164">
        <v>1</v>
      </c>
      <c r="V2164" s="2">
        <v>1</v>
      </c>
      <c r="W2164">
        <v>0</v>
      </c>
      <c r="X2164" t="s">
        <v>30</v>
      </c>
      <c r="Y2164">
        <v>0</v>
      </c>
      <c r="Z2164" t="s">
        <v>31</v>
      </c>
      <c r="AA2164">
        <v>0</v>
      </c>
      <c r="AB2164" t="s">
        <v>31</v>
      </c>
      <c r="AC2164">
        <v>0</v>
      </c>
      <c r="AD2164" t="s">
        <v>31</v>
      </c>
      <c r="AE2164">
        <v>0</v>
      </c>
      <c r="AF2164" t="s">
        <v>31</v>
      </c>
      <c r="AG2164">
        <v>0</v>
      </c>
      <c r="AH2164" t="s">
        <v>31</v>
      </c>
      <c r="AI2164">
        <v>0</v>
      </c>
      <c r="AJ2164" t="s">
        <v>31</v>
      </c>
      <c r="AK2164">
        <v>0</v>
      </c>
      <c r="AL2164" t="s">
        <v>31</v>
      </c>
      <c r="AM2164">
        <v>0</v>
      </c>
      <c r="AN2164" t="s">
        <v>31</v>
      </c>
      <c r="AO2164">
        <v>0</v>
      </c>
      <c r="AP2164" t="s">
        <v>31</v>
      </c>
      <c r="AQ2164">
        <v>0</v>
      </c>
    </row>
    <row r="2165" spans="1:43" x14ac:dyDescent="0.2">
      <c r="A2165" t="s">
        <v>381</v>
      </c>
      <c r="B2165" s="3">
        <v>44257</v>
      </c>
      <c r="C2165">
        <v>23</v>
      </c>
      <c r="D2165" t="s">
        <v>382</v>
      </c>
      <c r="E2165" t="s">
        <v>163</v>
      </c>
      <c r="F2165" s="9" t="s">
        <v>164</v>
      </c>
      <c r="G2165" t="s">
        <v>26</v>
      </c>
      <c r="H2165" t="s">
        <v>185</v>
      </c>
      <c r="I2165" t="s">
        <v>186</v>
      </c>
      <c r="J2165" t="s">
        <v>29</v>
      </c>
      <c r="K2165" t="s">
        <v>30</v>
      </c>
      <c r="L2165" t="s">
        <v>29</v>
      </c>
      <c r="M2165" t="s">
        <v>30</v>
      </c>
      <c r="N2165" t="s">
        <v>64</v>
      </c>
      <c r="O2165" t="s">
        <v>65</v>
      </c>
      <c r="P2165" t="s">
        <v>43</v>
      </c>
      <c r="Q2165" t="s">
        <v>44</v>
      </c>
      <c r="R2165" s="1">
        <v>44257.408587962964</v>
      </c>
      <c r="S2165" s="1">
        <v>44257.408587962964</v>
      </c>
      <c r="T2165">
        <v>1</v>
      </c>
      <c r="U2165">
        <v>1</v>
      </c>
      <c r="V2165" s="2">
        <v>1</v>
      </c>
      <c r="W2165">
        <v>0</v>
      </c>
      <c r="X2165" t="s">
        <v>30</v>
      </c>
      <c r="Y2165">
        <v>0</v>
      </c>
      <c r="Z2165" t="s">
        <v>31</v>
      </c>
      <c r="AA2165">
        <v>0</v>
      </c>
      <c r="AB2165" t="s">
        <v>31</v>
      </c>
      <c r="AC2165">
        <v>0</v>
      </c>
      <c r="AD2165" t="s">
        <v>31</v>
      </c>
      <c r="AE2165">
        <v>0</v>
      </c>
      <c r="AF2165" t="s">
        <v>31</v>
      </c>
      <c r="AG2165">
        <v>0</v>
      </c>
      <c r="AH2165" t="s">
        <v>31</v>
      </c>
      <c r="AI2165">
        <v>0</v>
      </c>
      <c r="AJ2165" t="s">
        <v>31</v>
      </c>
      <c r="AK2165">
        <v>0</v>
      </c>
      <c r="AL2165" t="s">
        <v>31</v>
      </c>
      <c r="AM2165">
        <v>0</v>
      </c>
      <c r="AN2165" t="s">
        <v>31</v>
      </c>
      <c r="AO2165">
        <v>0</v>
      </c>
      <c r="AP2165" t="s">
        <v>31</v>
      </c>
      <c r="AQ2165">
        <v>0</v>
      </c>
    </row>
    <row r="2166" spans="1:43" x14ac:dyDescent="0.2">
      <c r="A2166" t="s">
        <v>381</v>
      </c>
      <c r="B2166" s="3">
        <v>44259</v>
      </c>
      <c r="C2166">
        <v>26</v>
      </c>
      <c r="D2166" t="s">
        <v>382</v>
      </c>
      <c r="E2166" t="s">
        <v>163</v>
      </c>
      <c r="F2166" s="9" t="s">
        <v>164</v>
      </c>
      <c r="G2166" t="s">
        <v>26</v>
      </c>
      <c r="H2166" t="s">
        <v>64</v>
      </c>
      <c r="I2166" t="s">
        <v>65</v>
      </c>
      <c r="J2166" t="s">
        <v>43</v>
      </c>
      <c r="K2166" t="s">
        <v>44</v>
      </c>
      <c r="L2166" t="s">
        <v>29</v>
      </c>
      <c r="M2166" t="s">
        <v>30</v>
      </c>
      <c r="N2166" t="s">
        <v>64</v>
      </c>
      <c r="O2166" t="s">
        <v>65</v>
      </c>
      <c r="P2166" t="s">
        <v>43</v>
      </c>
      <c r="Q2166" t="s">
        <v>44</v>
      </c>
      <c r="R2166" s="1">
        <v>44259.438981481479</v>
      </c>
      <c r="S2166" s="1">
        <v>44259.438981481479</v>
      </c>
      <c r="T2166">
        <v>1</v>
      </c>
      <c r="U2166">
        <v>1</v>
      </c>
      <c r="V2166" s="2">
        <v>1</v>
      </c>
      <c r="W2166">
        <v>0</v>
      </c>
      <c r="X2166" t="s">
        <v>30</v>
      </c>
      <c r="Y2166">
        <v>0</v>
      </c>
      <c r="Z2166" t="s">
        <v>31</v>
      </c>
      <c r="AA2166">
        <v>0</v>
      </c>
      <c r="AB2166" t="s">
        <v>31</v>
      </c>
      <c r="AC2166">
        <v>0</v>
      </c>
      <c r="AD2166" t="s">
        <v>31</v>
      </c>
      <c r="AE2166">
        <v>0</v>
      </c>
      <c r="AF2166" t="s">
        <v>31</v>
      </c>
      <c r="AG2166">
        <v>0</v>
      </c>
      <c r="AH2166" t="s">
        <v>31</v>
      </c>
      <c r="AI2166">
        <v>0</v>
      </c>
      <c r="AJ2166" t="s">
        <v>31</v>
      </c>
      <c r="AK2166">
        <v>0</v>
      </c>
      <c r="AL2166" t="s">
        <v>31</v>
      </c>
      <c r="AM2166">
        <v>0</v>
      </c>
      <c r="AN2166" t="s">
        <v>31</v>
      </c>
      <c r="AO2166">
        <v>0</v>
      </c>
      <c r="AP2166" t="s">
        <v>31</v>
      </c>
      <c r="AQ2166">
        <v>0</v>
      </c>
    </row>
    <row r="2167" spans="1:43" x14ac:dyDescent="0.2">
      <c r="A2167" t="s">
        <v>381</v>
      </c>
      <c r="B2167" s="3">
        <v>44264</v>
      </c>
      <c r="C2167">
        <v>30</v>
      </c>
      <c r="D2167" t="s">
        <v>382</v>
      </c>
      <c r="E2167" t="s">
        <v>163</v>
      </c>
      <c r="F2167" s="9" t="s">
        <v>164</v>
      </c>
      <c r="G2167" t="s">
        <v>26</v>
      </c>
      <c r="H2167" t="s">
        <v>64</v>
      </c>
      <c r="I2167" t="s">
        <v>65</v>
      </c>
      <c r="J2167" t="s">
        <v>43</v>
      </c>
      <c r="K2167" t="s">
        <v>44</v>
      </c>
      <c r="L2167" t="s">
        <v>29</v>
      </c>
      <c r="M2167" t="s">
        <v>30</v>
      </c>
      <c r="N2167" t="s">
        <v>132</v>
      </c>
      <c r="O2167" t="s">
        <v>133</v>
      </c>
      <c r="P2167" t="s">
        <v>43</v>
      </c>
      <c r="Q2167" t="s">
        <v>44</v>
      </c>
      <c r="R2167" s="1">
        <v>44264.417453703703</v>
      </c>
      <c r="S2167" s="1">
        <v>44264.417453703703</v>
      </c>
      <c r="T2167">
        <v>1</v>
      </c>
      <c r="U2167">
        <v>1</v>
      </c>
      <c r="V2167" s="2">
        <v>1</v>
      </c>
      <c r="W2167">
        <v>0</v>
      </c>
      <c r="X2167" t="s">
        <v>30</v>
      </c>
      <c r="Y2167">
        <v>0</v>
      </c>
      <c r="Z2167" t="s">
        <v>31</v>
      </c>
      <c r="AA2167">
        <v>0</v>
      </c>
      <c r="AB2167" t="s">
        <v>31</v>
      </c>
      <c r="AC2167">
        <v>0</v>
      </c>
      <c r="AD2167" t="s">
        <v>31</v>
      </c>
      <c r="AE2167">
        <v>0</v>
      </c>
      <c r="AF2167" t="s">
        <v>31</v>
      </c>
      <c r="AG2167">
        <v>0</v>
      </c>
      <c r="AH2167" t="s">
        <v>31</v>
      </c>
      <c r="AI2167">
        <v>0</v>
      </c>
      <c r="AJ2167" t="s">
        <v>31</v>
      </c>
      <c r="AK2167">
        <v>0</v>
      </c>
      <c r="AL2167" t="s">
        <v>31</v>
      </c>
      <c r="AM2167">
        <v>0</v>
      </c>
      <c r="AN2167" t="s">
        <v>31</v>
      </c>
      <c r="AO2167">
        <v>0</v>
      </c>
      <c r="AP2167" t="s">
        <v>31</v>
      </c>
      <c r="AQ2167">
        <v>0</v>
      </c>
    </row>
    <row r="2168" spans="1:43" x14ac:dyDescent="0.2">
      <c r="A2168" t="s">
        <v>381</v>
      </c>
      <c r="B2168" s="3">
        <v>44265</v>
      </c>
      <c r="C2168">
        <v>32</v>
      </c>
      <c r="D2168" t="s">
        <v>384</v>
      </c>
      <c r="E2168" t="s">
        <v>163</v>
      </c>
      <c r="F2168" s="9" t="s">
        <v>164</v>
      </c>
      <c r="G2168" t="s">
        <v>26</v>
      </c>
      <c r="H2168" t="s">
        <v>132</v>
      </c>
      <c r="I2168" t="s">
        <v>133</v>
      </c>
      <c r="J2168" t="s">
        <v>43</v>
      </c>
      <c r="K2168" t="s">
        <v>44</v>
      </c>
      <c r="L2168" t="s">
        <v>29</v>
      </c>
      <c r="M2168" t="s">
        <v>30</v>
      </c>
      <c r="N2168" t="s">
        <v>132</v>
      </c>
      <c r="O2168" t="s">
        <v>133</v>
      </c>
      <c r="P2168" t="s">
        <v>43</v>
      </c>
      <c r="Q2168" t="s">
        <v>44</v>
      </c>
      <c r="R2168" s="1">
        <v>44265.388171296298</v>
      </c>
      <c r="S2168" s="1">
        <v>44265.390810185185</v>
      </c>
      <c r="T2168">
        <v>1</v>
      </c>
      <c r="U2168">
        <v>5</v>
      </c>
      <c r="V2168" s="2">
        <v>0.2</v>
      </c>
      <c r="W2168">
        <v>0</v>
      </c>
      <c r="X2168" t="s">
        <v>44</v>
      </c>
      <c r="Y2168">
        <v>0</v>
      </c>
      <c r="Z2168" t="s">
        <v>44</v>
      </c>
      <c r="AA2168">
        <v>0</v>
      </c>
      <c r="AB2168" t="s">
        <v>45</v>
      </c>
      <c r="AC2168">
        <v>0</v>
      </c>
      <c r="AD2168" t="s">
        <v>61</v>
      </c>
      <c r="AE2168">
        <v>0</v>
      </c>
      <c r="AF2168" t="s">
        <v>30</v>
      </c>
      <c r="AG2168">
        <v>0</v>
      </c>
      <c r="AH2168" t="s">
        <v>31</v>
      </c>
      <c r="AI2168">
        <v>0</v>
      </c>
      <c r="AJ2168" t="s">
        <v>31</v>
      </c>
      <c r="AK2168">
        <v>0</v>
      </c>
      <c r="AL2168" t="s">
        <v>31</v>
      </c>
      <c r="AM2168">
        <v>0</v>
      </c>
      <c r="AN2168" t="s">
        <v>31</v>
      </c>
      <c r="AO2168">
        <v>0</v>
      </c>
      <c r="AP2168" t="s">
        <v>31</v>
      </c>
      <c r="AQ2168">
        <v>0</v>
      </c>
    </row>
    <row r="2169" spans="1:43" x14ac:dyDescent="0.2">
      <c r="A2169" t="s">
        <v>381</v>
      </c>
      <c r="B2169" s="3">
        <v>44266</v>
      </c>
      <c r="C2169">
        <v>33</v>
      </c>
      <c r="D2169" t="s">
        <v>385</v>
      </c>
      <c r="E2169" t="s">
        <v>163</v>
      </c>
      <c r="F2169" s="9" t="s">
        <v>164</v>
      </c>
      <c r="G2169" t="s">
        <v>26</v>
      </c>
      <c r="H2169" t="s">
        <v>132</v>
      </c>
      <c r="I2169" t="s">
        <v>133</v>
      </c>
      <c r="J2169" t="s">
        <v>43</v>
      </c>
      <c r="K2169" t="s">
        <v>44</v>
      </c>
      <c r="L2169" t="s">
        <v>29</v>
      </c>
      <c r="M2169" t="s">
        <v>30</v>
      </c>
      <c r="N2169" t="s">
        <v>132</v>
      </c>
      <c r="O2169" t="s">
        <v>133</v>
      </c>
      <c r="P2169" t="s">
        <v>43</v>
      </c>
      <c r="Q2169" t="s">
        <v>44</v>
      </c>
      <c r="R2169" s="1">
        <v>44266.458252314813</v>
      </c>
      <c r="S2169" s="1">
        <v>44266.45989583333</v>
      </c>
      <c r="T2169">
        <v>1</v>
      </c>
      <c r="U2169">
        <v>6</v>
      </c>
      <c r="V2169" s="2">
        <v>0.16</v>
      </c>
      <c r="W2169">
        <v>0</v>
      </c>
      <c r="X2169" t="s">
        <v>44</v>
      </c>
      <c r="Y2169">
        <v>0</v>
      </c>
      <c r="Z2169" t="s">
        <v>44</v>
      </c>
      <c r="AA2169">
        <v>0</v>
      </c>
      <c r="AB2169" t="s">
        <v>45</v>
      </c>
      <c r="AC2169">
        <v>0</v>
      </c>
      <c r="AD2169" t="s">
        <v>44</v>
      </c>
      <c r="AE2169">
        <v>0</v>
      </c>
      <c r="AF2169" t="s">
        <v>44</v>
      </c>
      <c r="AG2169">
        <v>0</v>
      </c>
      <c r="AH2169" t="s">
        <v>30</v>
      </c>
      <c r="AI2169">
        <v>0</v>
      </c>
      <c r="AJ2169" t="s">
        <v>31</v>
      </c>
      <c r="AK2169">
        <v>0</v>
      </c>
      <c r="AL2169" t="s">
        <v>31</v>
      </c>
      <c r="AM2169">
        <v>0</v>
      </c>
      <c r="AN2169" t="s">
        <v>31</v>
      </c>
      <c r="AO2169">
        <v>0</v>
      </c>
      <c r="AP2169" t="s">
        <v>31</v>
      </c>
      <c r="AQ2169">
        <v>0</v>
      </c>
    </row>
    <row r="2170" spans="1:43" x14ac:dyDescent="0.2">
      <c r="A2170" t="s">
        <v>381</v>
      </c>
      <c r="B2170" s="3">
        <v>44272</v>
      </c>
      <c r="C2170">
        <v>38</v>
      </c>
      <c r="D2170" t="s">
        <v>384</v>
      </c>
      <c r="E2170" t="s">
        <v>163</v>
      </c>
      <c r="F2170" s="9" t="s">
        <v>164</v>
      </c>
      <c r="G2170" t="s">
        <v>26</v>
      </c>
      <c r="H2170" t="s">
        <v>132</v>
      </c>
      <c r="I2170" t="s">
        <v>133</v>
      </c>
      <c r="J2170" t="s">
        <v>43</v>
      </c>
      <c r="K2170" t="s">
        <v>44</v>
      </c>
      <c r="L2170" t="s">
        <v>29</v>
      </c>
      <c r="M2170" t="s">
        <v>30</v>
      </c>
      <c r="N2170" t="s">
        <v>132</v>
      </c>
      <c r="O2170" t="s">
        <v>133</v>
      </c>
      <c r="P2170" t="s">
        <v>43</v>
      </c>
      <c r="Q2170" t="s">
        <v>44</v>
      </c>
      <c r="R2170" s="1">
        <v>44272.382662037038</v>
      </c>
      <c r="S2170" s="1">
        <v>44272.383287037039</v>
      </c>
      <c r="T2170">
        <v>1</v>
      </c>
      <c r="U2170">
        <v>2</v>
      </c>
      <c r="V2170" s="2">
        <v>0.5</v>
      </c>
      <c r="W2170">
        <v>0</v>
      </c>
      <c r="X2170" t="s">
        <v>44</v>
      </c>
      <c r="Y2170">
        <v>0</v>
      </c>
      <c r="Z2170" t="s">
        <v>30</v>
      </c>
      <c r="AA2170">
        <v>0</v>
      </c>
      <c r="AB2170" t="s">
        <v>31</v>
      </c>
      <c r="AC2170">
        <v>0</v>
      </c>
      <c r="AD2170" t="s">
        <v>31</v>
      </c>
      <c r="AE2170">
        <v>0</v>
      </c>
      <c r="AF2170" t="s">
        <v>31</v>
      </c>
      <c r="AG2170">
        <v>0</v>
      </c>
      <c r="AH2170" t="s">
        <v>31</v>
      </c>
      <c r="AI2170">
        <v>0</v>
      </c>
      <c r="AJ2170" t="s">
        <v>31</v>
      </c>
      <c r="AK2170">
        <v>0</v>
      </c>
      <c r="AL2170" t="s">
        <v>31</v>
      </c>
      <c r="AM2170">
        <v>0</v>
      </c>
      <c r="AN2170" t="s">
        <v>31</v>
      </c>
      <c r="AO2170">
        <v>0</v>
      </c>
      <c r="AP2170" t="s">
        <v>31</v>
      </c>
      <c r="AQ2170">
        <v>0</v>
      </c>
    </row>
    <row r="2171" spans="1:43" x14ac:dyDescent="0.2">
      <c r="A2171" t="s">
        <v>381</v>
      </c>
      <c r="B2171" s="3">
        <v>44273</v>
      </c>
      <c r="C2171">
        <v>39</v>
      </c>
      <c r="D2171" t="s">
        <v>385</v>
      </c>
      <c r="E2171" t="s">
        <v>163</v>
      </c>
      <c r="F2171" s="9" t="s">
        <v>164</v>
      </c>
      <c r="G2171" t="s">
        <v>26</v>
      </c>
      <c r="H2171" t="s">
        <v>132</v>
      </c>
      <c r="I2171" t="s">
        <v>133</v>
      </c>
      <c r="J2171" t="s">
        <v>43</v>
      </c>
      <c r="K2171" t="s">
        <v>44</v>
      </c>
      <c r="L2171" t="s">
        <v>29</v>
      </c>
      <c r="M2171" t="s">
        <v>30</v>
      </c>
      <c r="N2171" t="s">
        <v>132</v>
      </c>
      <c r="O2171" t="s">
        <v>133</v>
      </c>
      <c r="P2171" t="s">
        <v>43</v>
      </c>
      <c r="Q2171" t="s">
        <v>44</v>
      </c>
      <c r="R2171" s="1">
        <v>44273.405381944445</v>
      </c>
      <c r="S2171" s="1">
        <v>44273.407731481479</v>
      </c>
      <c r="T2171">
        <v>0</v>
      </c>
      <c r="U2171">
        <v>8</v>
      </c>
      <c r="V2171" s="2">
        <v>0</v>
      </c>
      <c r="W2171">
        <v>0</v>
      </c>
      <c r="X2171" t="s">
        <v>44</v>
      </c>
      <c r="Y2171">
        <v>0</v>
      </c>
      <c r="Z2171" t="s">
        <v>44</v>
      </c>
      <c r="AA2171">
        <v>0</v>
      </c>
      <c r="AB2171" t="s">
        <v>45</v>
      </c>
      <c r="AC2171">
        <v>0</v>
      </c>
      <c r="AD2171" t="s">
        <v>44</v>
      </c>
      <c r="AE2171">
        <v>0</v>
      </c>
      <c r="AF2171" t="s">
        <v>44</v>
      </c>
      <c r="AG2171">
        <v>0</v>
      </c>
      <c r="AH2171" t="s">
        <v>45</v>
      </c>
      <c r="AI2171">
        <v>0</v>
      </c>
      <c r="AJ2171" t="s">
        <v>61</v>
      </c>
      <c r="AK2171">
        <v>0</v>
      </c>
      <c r="AL2171" t="s">
        <v>47</v>
      </c>
      <c r="AM2171">
        <v>0</v>
      </c>
      <c r="AN2171" t="s">
        <v>31</v>
      </c>
      <c r="AO2171">
        <v>0</v>
      </c>
      <c r="AP2171" t="s">
        <v>31</v>
      </c>
      <c r="AQ2171">
        <v>0</v>
      </c>
    </row>
    <row r="2172" spans="1:43" x14ac:dyDescent="0.2">
      <c r="A2172" t="s">
        <v>381</v>
      </c>
      <c r="B2172" s="3">
        <v>44281</v>
      </c>
      <c r="C2172">
        <v>42</v>
      </c>
      <c r="D2172" t="s">
        <v>384</v>
      </c>
      <c r="E2172" t="s">
        <v>163</v>
      </c>
      <c r="F2172" s="9" t="s">
        <v>164</v>
      </c>
      <c r="G2172" t="s">
        <v>26</v>
      </c>
      <c r="H2172" t="s">
        <v>132</v>
      </c>
      <c r="I2172" t="s">
        <v>133</v>
      </c>
      <c r="J2172" t="s">
        <v>43</v>
      </c>
      <c r="K2172" t="s">
        <v>44</v>
      </c>
      <c r="L2172" t="s">
        <v>29</v>
      </c>
      <c r="M2172" t="s">
        <v>30</v>
      </c>
      <c r="N2172" t="s">
        <v>132</v>
      </c>
      <c r="O2172" t="s">
        <v>133</v>
      </c>
      <c r="P2172" t="s">
        <v>43</v>
      </c>
      <c r="Q2172" t="s">
        <v>44</v>
      </c>
      <c r="R2172" s="1">
        <v>44281.389282407406</v>
      </c>
      <c r="S2172" s="1">
        <v>44281.390914351854</v>
      </c>
      <c r="T2172">
        <v>0</v>
      </c>
      <c r="U2172">
        <v>5</v>
      </c>
      <c r="V2172" s="2">
        <v>0</v>
      </c>
      <c r="W2172">
        <v>0</v>
      </c>
      <c r="X2172" t="s">
        <v>44</v>
      </c>
      <c r="Y2172">
        <v>0</v>
      </c>
      <c r="Z2172" t="s">
        <v>44</v>
      </c>
      <c r="AA2172">
        <v>0</v>
      </c>
      <c r="AB2172" t="s">
        <v>45</v>
      </c>
      <c r="AC2172">
        <v>0</v>
      </c>
      <c r="AD2172" t="s">
        <v>61</v>
      </c>
      <c r="AE2172">
        <v>0</v>
      </c>
      <c r="AF2172" t="s">
        <v>47</v>
      </c>
      <c r="AG2172">
        <v>0</v>
      </c>
      <c r="AH2172" t="s">
        <v>31</v>
      </c>
      <c r="AI2172">
        <v>0</v>
      </c>
      <c r="AJ2172" t="s">
        <v>31</v>
      </c>
      <c r="AK2172">
        <v>0</v>
      </c>
      <c r="AL2172" t="s">
        <v>31</v>
      </c>
      <c r="AM2172">
        <v>0</v>
      </c>
      <c r="AN2172" t="s">
        <v>31</v>
      </c>
      <c r="AO2172">
        <v>0</v>
      </c>
      <c r="AP2172" t="s">
        <v>31</v>
      </c>
      <c r="AQ2172">
        <v>0</v>
      </c>
    </row>
    <row r="2173" spans="1:43" x14ac:dyDescent="0.2">
      <c r="A2173" t="s">
        <v>381</v>
      </c>
      <c r="B2173" s="3">
        <v>44287</v>
      </c>
      <c r="C2173">
        <v>48</v>
      </c>
      <c r="D2173" t="s">
        <v>385</v>
      </c>
      <c r="E2173" t="s">
        <v>163</v>
      </c>
      <c r="F2173" s="9" t="s">
        <v>164</v>
      </c>
      <c r="G2173" t="s">
        <v>26</v>
      </c>
      <c r="H2173" t="s">
        <v>132</v>
      </c>
      <c r="I2173" t="s">
        <v>133</v>
      </c>
      <c r="J2173" t="s">
        <v>43</v>
      </c>
      <c r="K2173" t="s">
        <v>44</v>
      </c>
      <c r="L2173" t="s">
        <v>29</v>
      </c>
      <c r="M2173" t="s">
        <v>30</v>
      </c>
      <c r="N2173" t="s">
        <v>132</v>
      </c>
      <c r="O2173" t="s">
        <v>133</v>
      </c>
      <c r="P2173" t="s">
        <v>43</v>
      </c>
      <c r="Q2173" t="s">
        <v>44</v>
      </c>
      <c r="R2173" s="1">
        <v>44287.542002314818</v>
      </c>
      <c r="S2173" s="1">
        <v>44287.542488425926</v>
      </c>
      <c r="T2173">
        <v>0</v>
      </c>
      <c r="U2173">
        <v>3</v>
      </c>
      <c r="V2173" s="2">
        <v>0</v>
      </c>
      <c r="W2173">
        <v>0</v>
      </c>
      <c r="X2173" t="s">
        <v>44</v>
      </c>
      <c r="Y2173">
        <v>0</v>
      </c>
      <c r="Z2173" t="s">
        <v>44</v>
      </c>
      <c r="AA2173">
        <v>0</v>
      </c>
      <c r="AB2173" t="s">
        <v>45</v>
      </c>
      <c r="AC2173">
        <v>0</v>
      </c>
      <c r="AD2173" t="s">
        <v>31</v>
      </c>
      <c r="AE2173">
        <v>0</v>
      </c>
      <c r="AF2173" t="s">
        <v>31</v>
      </c>
      <c r="AG2173">
        <v>0</v>
      </c>
      <c r="AH2173" t="s">
        <v>31</v>
      </c>
      <c r="AI2173">
        <v>0</v>
      </c>
      <c r="AJ2173" t="s">
        <v>31</v>
      </c>
      <c r="AK2173">
        <v>0</v>
      </c>
      <c r="AL2173" t="s">
        <v>31</v>
      </c>
      <c r="AM2173">
        <v>0</v>
      </c>
      <c r="AN2173" t="s">
        <v>31</v>
      </c>
      <c r="AO2173">
        <v>0</v>
      </c>
      <c r="AP2173" t="s">
        <v>31</v>
      </c>
      <c r="AQ2173">
        <v>0</v>
      </c>
    </row>
    <row r="2174" spans="1:43" x14ac:dyDescent="0.2">
      <c r="A2174" t="s">
        <v>381</v>
      </c>
      <c r="B2174" s="3">
        <v>44288</v>
      </c>
      <c r="C2174">
        <v>49</v>
      </c>
      <c r="D2174" t="s">
        <v>384</v>
      </c>
      <c r="E2174" t="s">
        <v>163</v>
      </c>
      <c r="F2174" s="9" t="s">
        <v>164</v>
      </c>
      <c r="G2174" t="s">
        <v>26</v>
      </c>
      <c r="H2174" t="s">
        <v>132</v>
      </c>
      <c r="I2174" t="s">
        <v>133</v>
      </c>
      <c r="J2174" t="s">
        <v>43</v>
      </c>
      <c r="K2174" t="s">
        <v>44</v>
      </c>
      <c r="L2174" t="s">
        <v>29</v>
      </c>
      <c r="M2174" t="s">
        <v>30</v>
      </c>
      <c r="N2174" t="s">
        <v>132</v>
      </c>
      <c r="O2174" t="s">
        <v>133</v>
      </c>
      <c r="P2174" t="s">
        <v>43</v>
      </c>
      <c r="Q2174" t="s">
        <v>44</v>
      </c>
      <c r="R2174" s="1">
        <v>44288.454629629632</v>
      </c>
      <c r="S2174" s="1">
        <v>44288.456111111111</v>
      </c>
      <c r="T2174">
        <v>0</v>
      </c>
      <c r="U2174">
        <v>5</v>
      </c>
      <c r="V2174" s="2">
        <v>0</v>
      </c>
      <c r="W2174">
        <v>0</v>
      </c>
      <c r="X2174" t="s">
        <v>44</v>
      </c>
      <c r="Y2174">
        <v>0</v>
      </c>
      <c r="Z2174" t="s">
        <v>44</v>
      </c>
      <c r="AA2174">
        <v>0</v>
      </c>
      <c r="AB2174" t="s">
        <v>45</v>
      </c>
      <c r="AC2174">
        <v>0</v>
      </c>
      <c r="AD2174" t="s">
        <v>61</v>
      </c>
      <c r="AE2174">
        <v>0</v>
      </c>
      <c r="AF2174" t="s">
        <v>47</v>
      </c>
      <c r="AG2174">
        <v>0</v>
      </c>
      <c r="AH2174" t="s">
        <v>31</v>
      </c>
      <c r="AI2174">
        <v>0</v>
      </c>
      <c r="AJ2174" t="s">
        <v>31</v>
      </c>
      <c r="AK2174">
        <v>0</v>
      </c>
      <c r="AL2174" t="s">
        <v>31</v>
      </c>
      <c r="AM2174">
        <v>0</v>
      </c>
      <c r="AN2174" t="s">
        <v>31</v>
      </c>
      <c r="AO2174">
        <v>0</v>
      </c>
      <c r="AP2174" t="s">
        <v>31</v>
      </c>
      <c r="AQ2174">
        <v>0</v>
      </c>
    </row>
    <row r="2175" spans="1:43" x14ac:dyDescent="0.2">
      <c r="A2175" t="s">
        <v>381</v>
      </c>
      <c r="B2175" s="3">
        <v>44293</v>
      </c>
      <c r="C2175">
        <v>53</v>
      </c>
      <c r="D2175" t="s">
        <v>384</v>
      </c>
      <c r="E2175" t="s">
        <v>163</v>
      </c>
      <c r="F2175" s="9" t="s">
        <v>164</v>
      </c>
      <c r="G2175" t="s">
        <v>26</v>
      </c>
      <c r="H2175" t="s">
        <v>132</v>
      </c>
      <c r="I2175" t="s">
        <v>133</v>
      </c>
      <c r="J2175" t="s">
        <v>43</v>
      </c>
      <c r="K2175" t="s">
        <v>44</v>
      </c>
      <c r="L2175" t="s">
        <v>29</v>
      </c>
      <c r="M2175" t="s">
        <v>30</v>
      </c>
      <c r="N2175" t="s">
        <v>132</v>
      </c>
      <c r="O2175" t="s">
        <v>133</v>
      </c>
      <c r="P2175" t="s">
        <v>43</v>
      </c>
      <c r="Q2175" t="s">
        <v>44</v>
      </c>
      <c r="R2175" s="1">
        <v>44293.463263888887</v>
      </c>
      <c r="S2175" s="1">
        <v>44293.464490740742</v>
      </c>
      <c r="T2175">
        <v>0</v>
      </c>
      <c r="U2175">
        <v>5</v>
      </c>
      <c r="V2175" s="2">
        <v>0</v>
      </c>
      <c r="W2175">
        <v>0</v>
      </c>
      <c r="X2175" t="s">
        <v>44</v>
      </c>
      <c r="Y2175">
        <v>0</v>
      </c>
      <c r="Z2175" t="s">
        <v>44</v>
      </c>
      <c r="AA2175">
        <v>0</v>
      </c>
      <c r="AB2175" t="s">
        <v>45</v>
      </c>
      <c r="AC2175">
        <v>0</v>
      </c>
      <c r="AD2175" t="s">
        <v>61</v>
      </c>
      <c r="AE2175">
        <v>0</v>
      </c>
      <c r="AF2175" t="s">
        <v>47</v>
      </c>
      <c r="AG2175">
        <v>0</v>
      </c>
      <c r="AH2175" t="s">
        <v>31</v>
      </c>
      <c r="AI2175">
        <v>0</v>
      </c>
      <c r="AJ2175" t="s">
        <v>31</v>
      </c>
      <c r="AK2175">
        <v>0</v>
      </c>
      <c r="AL2175" t="s">
        <v>31</v>
      </c>
      <c r="AM2175">
        <v>0</v>
      </c>
      <c r="AN2175" t="s">
        <v>31</v>
      </c>
      <c r="AO2175">
        <v>0</v>
      </c>
      <c r="AP2175" t="s">
        <v>31</v>
      </c>
      <c r="AQ2175">
        <v>0</v>
      </c>
    </row>
    <row r="2176" spans="1:43" x14ac:dyDescent="0.2">
      <c r="A2176" t="s">
        <v>381</v>
      </c>
      <c r="B2176" s="3">
        <v>44299</v>
      </c>
      <c r="C2176">
        <v>59</v>
      </c>
      <c r="D2176" t="s">
        <v>385</v>
      </c>
      <c r="E2176" t="s">
        <v>163</v>
      </c>
      <c r="F2176" s="9" t="s">
        <v>164</v>
      </c>
      <c r="G2176" t="s">
        <v>26</v>
      </c>
      <c r="H2176" t="s">
        <v>132</v>
      </c>
      <c r="I2176" t="s">
        <v>133</v>
      </c>
      <c r="J2176" t="s">
        <v>43</v>
      </c>
      <c r="K2176" t="s">
        <v>44</v>
      </c>
      <c r="L2176" t="s">
        <v>29</v>
      </c>
      <c r="M2176" t="s">
        <v>30</v>
      </c>
      <c r="N2176" t="s">
        <v>132</v>
      </c>
      <c r="O2176" t="s">
        <v>133</v>
      </c>
      <c r="P2176" t="s">
        <v>43</v>
      </c>
      <c r="Q2176" t="s">
        <v>44</v>
      </c>
      <c r="R2176" s="1">
        <v>44299.592395833337</v>
      </c>
      <c r="S2176" s="1">
        <v>44299.594409722224</v>
      </c>
      <c r="T2176">
        <v>0</v>
      </c>
      <c r="U2176">
        <v>5</v>
      </c>
      <c r="V2176" s="2">
        <v>0</v>
      </c>
      <c r="W2176">
        <v>0</v>
      </c>
      <c r="X2176" t="s">
        <v>44</v>
      </c>
      <c r="Y2176">
        <v>0</v>
      </c>
      <c r="Z2176" t="s">
        <v>44</v>
      </c>
      <c r="AA2176">
        <v>0</v>
      </c>
      <c r="AB2176" t="s">
        <v>45</v>
      </c>
      <c r="AC2176">
        <v>0</v>
      </c>
      <c r="AD2176" t="s">
        <v>61</v>
      </c>
      <c r="AE2176">
        <v>0</v>
      </c>
      <c r="AF2176" t="s">
        <v>47</v>
      </c>
      <c r="AG2176">
        <v>0</v>
      </c>
      <c r="AH2176" t="s">
        <v>31</v>
      </c>
      <c r="AI2176">
        <v>0</v>
      </c>
      <c r="AJ2176" t="s">
        <v>31</v>
      </c>
      <c r="AK2176">
        <v>0</v>
      </c>
      <c r="AL2176" t="s">
        <v>31</v>
      </c>
      <c r="AM2176">
        <v>0</v>
      </c>
      <c r="AN2176" t="s">
        <v>31</v>
      </c>
      <c r="AO2176">
        <v>0</v>
      </c>
      <c r="AP2176" t="s">
        <v>31</v>
      </c>
      <c r="AQ2176">
        <v>0</v>
      </c>
    </row>
    <row r="2177" spans="1:43" x14ac:dyDescent="0.2">
      <c r="A2177" t="s">
        <v>381</v>
      </c>
      <c r="B2177" s="3">
        <v>44301</v>
      </c>
      <c r="C2177">
        <v>63</v>
      </c>
      <c r="D2177" t="s">
        <v>385</v>
      </c>
      <c r="E2177" t="s">
        <v>163</v>
      </c>
      <c r="F2177" s="9" t="s">
        <v>164</v>
      </c>
      <c r="G2177" t="s">
        <v>26</v>
      </c>
      <c r="H2177" t="s">
        <v>132</v>
      </c>
      <c r="I2177" t="s">
        <v>133</v>
      </c>
      <c r="J2177" t="s">
        <v>43</v>
      </c>
      <c r="K2177" t="s">
        <v>44</v>
      </c>
      <c r="L2177" t="s">
        <v>29</v>
      </c>
      <c r="M2177" t="s">
        <v>30</v>
      </c>
      <c r="N2177" t="s">
        <v>132</v>
      </c>
      <c r="O2177" t="s">
        <v>133</v>
      </c>
      <c r="P2177" t="s">
        <v>43</v>
      </c>
      <c r="Q2177" t="s">
        <v>44</v>
      </c>
      <c r="R2177" s="1">
        <v>44301.565925925926</v>
      </c>
      <c r="S2177" s="1">
        <v>44301.569768518515</v>
      </c>
      <c r="T2177">
        <v>0</v>
      </c>
      <c r="U2177">
        <v>5</v>
      </c>
      <c r="V2177" s="2">
        <v>0</v>
      </c>
      <c r="W2177">
        <v>0</v>
      </c>
      <c r="X2177" t="s">
        <v>44</v>
      </c>
      <c r="Y2177">
        <v>0</v>
      </c>
      <c r="Z2177" t="s">
        <v>44</v>
      </c>
      <c r="AA2177">
        <v>0</v>
      </c>
      <c r="AB2177" t="s">
        <v>45</v>
      </c>
      <c r="AC2177">
        <v>0</v>
      </c>
      <c r="AD2177" t="s">
        <v>61</v>
      </c>
      <c r="AE2177">
        <v>0</v>
      </c>
      <c r="AF2177" t="s">
        <v>47</v>
      </c>
      <c r="AG2177">
        <v>0</v>
      </c>
      <c r="AH2177" t="s">
        <v>31</v>
      </c>
      <c r="AI2177">
        <v>0</v>
      </c>
      <c r="AJ2177" t="s">
        <v>31</v>
      </c>
      <c r="AK2177">
        <v>0</v>
      </c>
      <c r="AL2177" t="s">
        <v>31</v>
      </c>
      <c r="AM2177">
        <v>0</v>
      </c>
      <c r="AN2177" t="s">
        <v>31</v>
      </c>
      <c r="AO2177">
        <v>0</v>
      </c>
      <c r="AP2177" t="s">
        <v>31</v>
      </c>
      <c r="AQ2177">
        <v>0</v>
      </c>
    </row>
    <row r="2178" spans="1:43" x14ac:dyDescent="0.2">
      <c r="A2178" t="s">
        <v>381</v>
      </c>
      <c r="B2178" s="3">
        <v>44338</v>
      </c>
      <c r="C2178">
        <v>107</v>
      </c>
      <c r="D2178" t="s">
        <v>392</v>
      </c>
      <c r="E2178" t="s">
        <v>106</v>
      </c>
      <c r="F2178" s="9" t="s">
        <v>238</v>
      </c>
      <c r="G2178" t="s">
        <v>26</v>
      </c>
      <c r="H2178" t="s">
        <v>200</v>
      </c>
      <c r="I2178" t="s">
        <v>201</v>
      </c>
      <c r="J2178" t="s">
        <v>43</v>
      </c>
      <c r="K2178" t="s">
        <v>44</v>
      </c>
      <c r="L2178" t="s">
        <v>29</v>
      </c>
      <c r="M2178" t="s">
        <v>30</v>
      </c>
      <c r="N2178" t="s">
        <v>200</v>
      </c>
      <c r="O2178" t="s">
        <v>201</v>
      </c>
      <c r="P2178" t="s">
        <v>43</v>
      </c>
      <c r="Q2178" t="s">
        <v>44</v>
      </c>
      <c r="R2178" s="1">
        <v>44338.63144675926</v>
      </c>
      <c r="S2178" s="1">
        <v>44338.63144675926</v>
      </c>
      <c r="T2178">
        <v>1</v>
      </c>
      <c r="U2178">
        <v>1</v>
      </c>
      <c r="V2178" s="2">
        <v>1</v>
      </c>
      <c r="W2178">
        <v>0</v>
      </c>
      <c r="X2178" t="s">
        <v>30</v>
      </c>
      <c r="Y2178">
        <v>0</v>
      </c>
      <c r="Z2178" t="s">
        <v>31</v>
      </c>
      <c r="AA2178">
        <v>0</v>
      </c>
      <c r="AB2178" t="s">
        <v>31</v>
      </c>
      <c r="AC2178">
        <v>0</v>
      </c>
      <c r="AD2178" t="s">
        <v>31</v>
      </c>
      <c r="AE2178">
        <v>0</v>
      </c>
      <c r="AF2178" t="s">
        <v>31</v>
      </c>
      <c r="AG2178">
        <v>0</v>
      </c>
      <c r="AH2178" t="s">
        <v>31</v>
      </c>
      <c r="AI2178">
        <v>0</v>
      </c>
      <c r="AJ2178" t="s">
        <v>31</v>
      </c>
      <c r="AK2178">
        <v>0</v>
      </c>
      <c r="AL2178" t="s">
        <v>31</v>
      </c>
      <c r="AM2178">
        <v>0</v>
      </c>
      <c r="AN2178" t="s">
        <v>31</v>
      </c>
      <c r="AO2178">
        <v>0</v>
      </c>
      <c r="AP2178" t="s">
        <v>31</v>
      </c>
      <c r="AQ2178">
        <v>0</v>
      </c>
    </row>
    <row r="2179" spans="1:43" x14ac:dyDescent="0.2">
      <c r="A2179" t="s">
        <v>381</v>
      </c>
      <c r="B2179" s="3">
        <v>44350</v>
      </c>
      <c r="C2179">
        <v>123</v>
      </c>
      <c r="D2179" t="s">
        <v>382</v>
      </c>
      <c r="E2179" t="s">
        <v>106</v>
      </c>
      <c r="F2179" s="9" t="s">
        <v>238</v>
      </c>
      <c r="G2179" t="s">
        <v>26</v>
      </c>
      <c r="H2179" t="s">
        <v>200</v>
      </c>
      <c r="I2179" t="s">
        <v>201</v>
      </c>
      <c r="J2179" t="s">
        <v>43</v>
      </c>
      <c r="K2179" t="s">
        <v>44</v>
      </c>
      <c r="L2179" t="s">
        <v>29</v>
      </c>
      <c r="M2179" t="s">
        <v>30</v>
      </c>
      <c r="N2179" t="s">
        <v>108</v>
      </c>
      <c r="O2179" t="s">
        <v>109</v>
      </c>
      <c r="P2179" t="s">
        <v>43</v>
      </c>
      <c r="Q2179" t="s">
        <v>44</v>
      </c>
      <c r="R2179" s="1">
        <v>44350.424710648149</v>
      </c>
      <c r="S2179" s="1">
        <v>44350.424710648149</v>
      </c>
      <c r="T2179">
        <v>1</v>
      </c>
      <c r="U2179">
        <v>1</v>
      </c>
      <c r="V2179" s="2">
        <v>1</v>
      </c>
      <c r="W2179">
        <v>0</v>
      </c>
      <c r="X2179" t="s">
        <v>30</v>
      </c>
      <c r="Y2179">
        <v>0</v>
      </c>
      <c r="Z2179" t="s">
        <v>31</v>
      </c>
      <c r="AA2179">
        <v>0</v>
      </c>
      <c r="AB2179" t="s">
        <v>31</v>
      </c>
      <c r="AC2179">
        <v>0</v>
      </c>
      <c r="AD2179" t="s">
        <v>31</v>
      </c>
      <c r="AE2179">
        <v>0</v>
      </c>
      <c r="AF2179" t="s">
        <v>31</v>
      </c>
      <c r="AG2179">
        <v>0</v>
      </c>
      <c r="AH2179" t="s">
        <v>31</v>
      </c>
      <c r="AI2179">
        <v>0</v>
      </c>
      <c r="AJ2179" t="s">
        <v>31</v>
      </c>
      <c r="AK2179">
        <v>0</v>
      </c>
      <c r="AL2179" t="s">
        <v>31</v>
      </c>
      <c r="AM2179">
        <v>0</v>
      </c>
      <c r="AN2179" t="s">
        <v>31</v>
      </c>
      <c r="AO2179">
        <v>0</v>
      </c>
      <c r="AP2179" t="s">
        <v>31</v>
      </c>
      <c r="AQ2179">
        <v>0</v>
      </c>
    </row>
    <row r="2180" spans="1:43" x14ac:dyDescent="0.2">
      <c r="A2180" t="s">
        <v>381</v>
      </c>
      <c r="B2180" s="3">
        <v>44357</v>
      </c>
      <c r="C2180">
        <v>132</v>
      </c>
      <c r="D2180" t="s">
        <v>399</v>
      </c>
      <c r="E2180" t="s">
        <v>106</v>
      </c>
      <c r="F2180" s="9" t="s">
        <v>238</v>
      </c>
      <c r="G2180" t="s">
        <v>26</v>
      </c>
      <c r="H2180" t="s">
        <v>108</v>
      </c>
      <c r="I2180" t="s">
        <v>109</v>
      </c>
      <c r="J2180" t="s">
        <v>43</v>
      </c>
      <c r="K2180" t="s">
        <v>44</v>
      </c>
      <c r="L2180" t="s">
        <v>29</v>
      </c>
      <c r="M2180" t="s">
        <v>30</v>
      </c>
      <c r="N2180" t="s">
        <v>108</v>
      </c>
      <c r="O2180" t="s">
        <v>109</v>
      </c>
      <c r="P2180" t="s">
        <v>43</v>
      </c>
      <c r="Q2180" t="s">
        <v>44</v>
      </c>
      <c r="R2180" s="1">
        <v>44357.449074074073</v>
      </c>
      <c r="S2180" s="1">
        <v>44357.449074074073</v>
      </c>
      <c r="T2180">
        <v>1</v>
      </c>
      <c r="U2180">
        <v>1</v>
      </c>
      <c r="V2180" s="2">
        <v>1</v>
      </c>
      <c r="W2180">
        <v>0</v>
      </c>
      <c r="X2180" t="s">
        <v>30</v>
      </c>
      <c r="Y2180">
        <v>0</v>
      </c>
      <c r="Z2180" t="s">
        <v>31</v>
      </c>
      <c r="AA2180">
        <v>0</v>
      </c>
      <c r="AB2180" t="s">
        <v>31</v>
      </c>
      <c r="AC2180">
        <v>0</v>
      </c>
      <c r="AD2180" t="s">
        <v>31</v>
      </c>
      <c r="AE2180">
        <v>0</v>
      </c>
      <c r="AF2180" t="s">
        <v>31</v>
      </c>
      <c r="AG2180">
        <v>0</v>
      </c>
      <c r="AH2180" t="s">
        <v>31</v>
      </c>
      <c r="AI2180">
        <v>0</v>
      </c>
      <c r="AJ2180" t="s">
        <v>31</v>
      </c>
      <c r="AK2180">
        <v>0</v>
      </c>
      <c r="AL2180" t="s">
        <v>31</v>
      </c>
      <c r="AM2180">
        <v>0</v>
      </c>
      <c r="AN2180" t="s">
        <v>31</v>
      </c>
      <c r="AO2180">
        <v>0</v>
      </c>
      <c r="AP2180" t="s">
        <v>31</v>
      </c>
      <c r="AQ2180">
        <v>0</v>
      </c>
    </row>
    <row r="2181" spans="1:43" x14ac:dyDescent="0.2">
      <c r="A2181" t="s">
        <v>381</v>
      </c>
      <c r="B2181" s="3">
        <v>44238</v>
      </c>
      <c r="C2181">
        <v>6</v>
      </c>
      <c r="D2181" t="s">
        <v>385</v>
      </c>
      <c r="E2181" t="s">
        <v>106</v>
      </c>
      <c r="F2181" s="9" t="s">
        <v>146</v>
      </c>
      <c r="G2181" t="s">
        <v>26</v>
      </c>
      <c r="H2181" t="s">
        <v>108</v>
      </c>
      <c r="I2181" t="s">
        <v>109</v>
      </c>
      <c r="J2181" t="s">
        <v>43</v>
      </c>
      <c r="K2181" t="s">
        <v>44</v>
      </c>
      <c r="L2181" t="s">
        <v>29</v>
      </c>
      <c r="M2181" t="s">
        <v>30</v>
      </c>
      <c r="N2181" t="s">
        <v>108</v>
      </c>
      <c r="O2181" t="s">
        <v>109</v>
      </c>
      <c r="P2181" t="s">
        <v>43</v>
      </c>
      <c r="Q2181" t="s">
        <v>44</v>
      </c>
      <c r="R2181" s="1">
        <v>44238.62872685185</v>
      </c>
      <c r="S2181" s="1">
        <v>44238.684687499997</v>
      </c>
      <c r="T2181">
        <v>3</v>
      </c>
      <c r="U2181">
        <v>4</v>
      </c>
      <c r="V2181" s="2">
        <v>0.75</v>
      </c>
      <c r="W2181">
        <v>0</v>
      </c>
      <c r="X2181" t="s">
        <v>30</v>
      </c>
      <c r="Y2181">
        <v>0</v>
      </c>
      <c r="Z2181" t="s">
        <v>30</v>
      </c>
      <c r="AA2181">
        <v>0</v>
      </c>
      <c r="AB2181" t="s">
        <v>44</v>
      </c>
      <c r="AC2181">
        <v>0</v>
      </c>
      <c r="AD2181" t="s">
        <v>30</v>
      </c>
      <c r="AE2181">
        <v>0</v>
      </c>
      <c r="AF2181" t="s">
        <v>31</v>
      </c>
      <c r="AG2181">
        <v>0</v>
      </c>
      <c r="AH2181" t="s">
        <v>31</v>
      </c>
      <c r="AI2181">
        <v>0</v>
      </c>
      <c r="AJ2181" t="s">
        <v>31</v>
      </c>
      <c r="AK2181">
        <v>0</v>
      </c>
      <c r="AL2181" t="s">
        <v>31</v>
      </c>
      <c r="AM2181">
        <v>0</v>
      </c>
      <c r="AN2181" t="s">
        <v>31</v>
      </c>
      <c r="AO2181">
        <v>0</v>
      </c>
      <c r="AP2181" t="s">
        <v>31</v>
      </c>
      <c r="AQ2181">
        <v>0</v>
      </c>
    </row>
    <row r="2182" spans="1:43" x14ac:dyDescent="0.2">
      <c r="A2182" t="s">
        <v>381</v>
      </c>
      <c r="B2182" s="3">
        <v>44250</v>
      </c>
      <c r="C2182">
        <v>17</v>
      </c>
      <c r="D2182" t="s">
        <v>385</v>
      </c>
      <c r="E2182" t="s">
        <v>106</v>
      </c>
      <c r="F2182" s="9" t="s">
        <v>146</v>
      </c>
      <c r="G2182" t="s">
        <v>26</v>
      </c>
      <c r="H2182" t="s">
        <v>108</v>
      </c>
      <c r="I2182" t="s">
        <v>109</v>
      </c>
      <c r="J2182" t="s">
        <v>43</v>
      </c>
      <c r="K2182" t="s">
        <v>44</v>
      </c>
      <c r="L2182" t="s">
        <v>29</v>
      </c>
      <c r="M2182" t="s">
        <v>30</v>
      </c>
      <c r="N2182" t="s">
        <v>108</v>
      </c>
      <c r="O2182" t="s">
        <v>109</v>
      </c>
      <c r="P2182" t="s">
        <v>43</v>
      </c>
      <c r="Q2182" t="s">
        <v>44</v>
      </c>
      <c r="R2182" s="1">
        <v>44250.623680555553</v>
      </c>
      <c r="S2182" s="1">
        <v>44250.623680555553</v>
      </c>
      <c r="T2182">
        <v>1</v>
      </c>
      <c r="U2182">
        <v>1</v>
      </c>
      <c r="V2182" s="2">
        <v>1</v>
      </c>
      <c r="W2182">
        <v>0</v>
      </c>
      <c r="X2182" t="s">
        <v>30</v>
      </c>
      <c r="Y2182">
        <v>0</v>
      </c>
      <c r="Z2182" t="s">
        <v>31</v>
      </c>
      <c r="AA2182">
        <v>0</v>
      </c>
      <c r="AB2182" t="s">
        <v>31</v>
      </c>
      <c r="AC2182">
        <v>0</v>
      </c>
      <c r="AD2182" t="s">
        <v>31</v>
      </c>
      <c r="AE2182">
        <v>0</v>
      </c>
      <c r="AF2182" t="s">
        <v>31</v>
      </c>
      <c r="AG2182">
        <v>0</v>
      </c>
      <c r="AH2182" t="s">
        <v>31</v>
      </c>
      <c r="AI2182">
        <v>0</v>
      </c>
      <c r="AJ2182" t="s">
        <v>31</v>
      </c>
      <c r="AK2182">
        <v>0</v>
      </c>
      <c r="AL2182" t="s">
        <v>31</v>
      </c>
      <c r="AM2182">
        <v>0</v>
      </c>
      <c r="AN2182" t="s">
        <v>31</v>
      </c>
      <c r="AO2182">
        <v>0</v>
      </c>
      <c r="AP2182" t="s">
        <v>31</v>
      </c>
      <c r="AQ2182">
        <v>0</v>
      </c>
    </row>
    <row r="2183" spans="1:43" x14ac:dyDescent="0.2">
      <c r="A2183" t="s">
        <v>381</v>
      </c>
      <c r="B2183" s="3">
        <v>44287</v>
      </c>
      <c r="C2183">
        <v>48</v>
      </c>
      <c r="D2183" t="s">
        <v>385</v>
      </c>
      <c r="E2183" t="s">
        <v>106</v>
      </c>
      <c r="F2183" s="9" t="s">
        <v>146</v>
      </c>
      <c r="G2183" t="s">
        <v>26</v>
      </c>
      <c r="H2183" t="s">
        <v>108</v>
      </c>
      <c r="I2183" t="s">
        <v>109</v>
      </c>
      <c r="J2183" t="s">
        <v>43</v>
      </c>
      <c r="K2183" t="s">
        <v>44</v>
      </c>
      <c r="L2183" t="s">
        <v>29</v>
      </c>
      <c r="M2183" t="s">
        <v>30</v>
      </c>
      <c r="N2183" t="s">
        <v>108</v>
      </c>
      <c r="O2183" t="s">
        <v>109</v>
      </c>
      <c r="P2183" t="s">
        <v>43</v>
      </c>
      <c r="Q2183" t="s">
        <v>44</v>
      </c>
      <c r="R2183" s="1">
        <v>44287.54010416667</v>
      </c>
      <c r="S2183" s="1">
        <v>44287.54011574074</v>
      </c>
      <c r="T2183">
        <v>0</v>
      </c>
      <c r="U2183">
        <v>2</v>
      </c>
      <c r="V2183" s="2">
        <v>0</v>
      </c>
      <c r="W2183">
        <v>0</v>
      </c>
      <c r="X2183" t="s">
        <v>44</v>
      </c>
      <c r="Y2183">
        <v>0</v>
      </c>
      <c r="Z2183" t="s">
        <v>113</v>
      </c>
      <c r="AA2183">
        <v>0</v>
      </c>
      <c r="AB2183" t="s">
        <v>31</v>
      </c>
      <c r="AC2183">
        <v>0</v>
      </c>
      <c r="AD2183" t="s">
        <v>31</v>
      </c>
      <c r="AE2183">
        <v>0</v>
      </c>
      <c r="AF2183" t="s">
        <v>31</v>
      </c>
      <c r="AG2183">
        <v>0</v>
      </c>
      <c r="AH2183" t="s">
        <v>31</v>
      </c>
      <c r="AI2183">
        <v>0</v>
      </c>
      <c r="AJ2183" t="s">
        <v>31</v>
      </c>
      <c r="AK2183">
        <v>0</v>
      </c>
      <c r="AL2183" t="s">
        <v>31</v>
      </c>
      <c r="AM2183">
        <v>0</v>
      </c>
      <c r="AN2183" t="s">
        <v>31</v>
      </c>
      <c r="AO2183">
        <v>0</v>
      </c>
      <c r="AP2183" t="s">
        <v>31</v>
      </c>
      <c r="AQ2183">
        <v>0</v>
      </c>
    </row>
    <row r="2184" spans="1:43" x14ac:dyDescent="0.2">
      <c r="A2184" t="s">
        <v>381</v>
      </c>
      <c r="B2184" s="3">
        <v>44299</v>
      </c>
      <c r="C2184">
        <v>58</v>
      </c>
      <c r="D2184" t="s">
        <v>385</v>
      </c>
      <c r="E2184" t="s">
        <v>106</v>
      </c>
      <c r="F2184" s="9" t="s">
        <v>146</v>
      </c>
      <c r="G2184" t="s">
        <v>26</v>
      </c>
      <c r="H2184" t="s">
        <v>108</v>
      </c>
      <c r="I2184" t="s">
        <v>109</v>
      </c>
      <c r="J2184" t="s">
        <v>43</v>
      </c>
      <c r="K2184" t="s">
        <v>44</v>
      </c>
      <c r="L2184" t="s">
        <v>29</v>
      </c>
      <c r="M2184" t="s">
        <v>30</v>
      </c>
      <c r="N2184" t="s">
        <v>99</v>
      </c>
      <c r="O2184" t="s">
        <v>100</v>
      </c>
      <c r="P2184" t="s">
        <v>43</v>
      </c>
      <c r="Q2184" t="s">
        <v>44</v>
      </c>
      <c r="R2184" s="1">
        <v>44299.432500000003</v>
      </c>
      <c r="S2184" s="1">
        <v>44299.432500000003</v>
      </c>
      <c r="T2184">
        <v>1</v>
      </c>
      <c r="U2184">
        <v>1</v>
      </c>
      <c r="V2184" s="2">
        <v>1</v>
      </c>
      <c r="W2184">
        <v>0</v>
      </c>
      <c r="X2184" t="s">
        <v>30</v>
      </c>
      <c r="Y2184">
        <v>0</v>
      </c>
      <c r="Z2184" t="s">
        <v>31</v>
      </c>
      <c r="AA2184">
        <v>0</v>
      </c>
      <c r="AB2184" t="s">
        <v>31</v>
      </c>
      <c r="AC2184">
        <v>0</v>
      </c>
      <c r="AD2184" t="s">
        <v>31</v>
      </c>
      <c r="AE2184">
        <v>0</v>
      </c>
      <c r="AF2184" t="s">
        <v>31</v>
      </c>
      <c r="AG2184">
        <v>0</v>
      </c>
      <c r="AH2184" t="s">
        <v>31</v>
      </c>
      <c r="AI2184">
        <v>0</v>
      </c>
      <c r="AJ2184" t="s">
        <v>31</v>
      </c>
      <c r="AK2184">
        <v>0</v>
      </c>
      <c r="AL2184" t="s">
        <v>31</v>
      </c>
      <c r="AM2184">
        <v>0</v>
      </c>
      <c r="AN2184" t="s">
        <v>31</v>
      </c>
      <c r="AO2184">
        <v>0</v>
      </c>
      <c r="AP2184" t="s">
        <v>31</v>
      </c>
      <c r="AQ2184">
        <v>0</v>
      </c>
    </row>
    <row r="2185" spans="1:43" x14ac:dyDescent="0.2">
      <c r="A2185" t="s">
        <v>381</v>
      </c>
      <c r="B2185" s="3">
        <v>44315</v>
      </c>
      <c r="C2185">
        <v>79</v>
      </c>
      <c r="D2185" t="s">
        <v>383</v>
      </c>
      <c r="E2185" t="s">
        <v>106</v>
      </c>
      <c r="F2185" s="9" t="s">
        <v>146</v>
      </c>
      <c r="G2185" t="s">
        <v>26</v>
      </c>
      <c r="H2185" t="s">
        <v>99</v>
      </c>
      <c r="I2185" t="s">
        <v>100</v>
      </c>
      <c r="J2185" t="s">
        <v>43</v>
      </c>
      <c r="K2185" t="s">
        <v>44</v>
      </c>
      <c r="L2185" t="s">
        <v>29</v>
      </c>
      <c r="M2185" t="s">
        <v>30</v>
      </c>
      <c r="N2185" t="s">
        <v>99</v>
      </c>
      <c r="O2185" t="s">
        <v>100</v>
      </c>
      <c r="P2185" t="s">
        <v>43</v>
      </c>
      <c r="Q2185" t="s">
        <v>44</v>
      </c>
      <c r="R2185" s="1">
        <v>44315.456273148149</v>
      </c>
      <c r="S2185" s="1">
        <v>44315.456273148149</v>
      </c>
      <c r="T2185">
        <v>0</v>
      </c>
      <c r="U2185">
        <v>1</v>
      </c>
      <c r="V2185" s="2">
        <v>0</v>
      </c>
      <c r="W2185">
        <v>0</v>
      </c>
      <c r="X2185" t="s">
        <v>61</v>
      </c>
      <c r="Y2185">
        <v>0</v>
      </c>
      <c r="Z2185" t="s">
        <v>31</v>
      </c>
      <c r="AA2185">
        <v>0</v>
      </c>
      <c r="AB2185" t="s">
        <v>31</v>
      </c>
      <c r="AC2185">
        <v>0</v>
      </c>
      <c r="AD2185" t="s">
        <v>31</v>
      </c>
      <c r="AE2185">
        <v>0</v>
      </c>
      <c r="AF2185" t="s">
        <v>31</v>
      </c>
      <c r="AG2185">
        <v>0</v>
      </c>
      <c r="AH2185" t="s">
        <v>31</v>
      </c>
      <c r="AI2185">
        <v>0</v>
      </c>
      <c r="AJ2185" t="s">
        <v>31</v>
      </c>
      <c r="AK2185">
        <v>0</v>
      </c>
      <c r="AL2185" t="s">
        <v>31</v>
      </c>
      <c r="AM2185">
        <v>0</v>
      </c>
      <c r="AN2185" t="s">
        <v>31</v>
      </c>
      <c r="AO2185">
        <v>0</v>
      </c>
      <c r="AP2185" t="s">
        <v>31</v>
      </c>
      <c r="AQ2185">
        <v>0</v>
      </c>
    </row>
    <row r="2186" spans="1:43" x14ac:dyDescent="0.2">
      <c r="A2186" t="s">
        <v>381</v>
      </c>
      <c r="B2186" s="3">
        <v>44320</v>
      </c>
      <c r="C2186">
        <v>87</v>
      </c>
      <c r="D2186" t="s">
        <v>385</v>
      </c>
      <c r="E2186" t="s">
        <v>106</v>
      </c>
      <c r="F2186" s="9" t="s">
        <v>146</v>
      </c>
      <c r="G2186" t="s">
        <v>26</v>
      </c>
      <c r="H2186" t="s">
        <v>99</v>
      </c>
      <c r="I2186" t="s">
        <v>100</v>
      </c>
      <c r="J2186" t="s">
        <v>43</v>
      </c>
      <c r="K2186" t="s">
        <v>44</v>
      </c>
      <c r="L2186" t="s">
        <v>29</v>
      </c>
      <c r="M2186" t="s">
        <v>30</v>
      </c>
      <c r="N2186" t="s">
        <v>99</v>
      </c>
      <c r="O2186" t="s">
        <v>100</v>
      </c>
      <c r="P2186" t="s">
        <v>43</v>
      </c>
      <c r="Q2186" t="s">
        <v>44</v>
      </c>
      <c r="R2186" s="1">
        <v>44320.642962962964</v>
      </c>
      <c r="S2186" s="1">
        <v>44320.642962962964</v>
      </c>
      <c r="T2186">
        <v>1</v>
      </c>
      <c r="U2186">
        <v>1</v>
      </c>
      <c r="V2186" s="2">
        <v>1</v>
      </c>
      <c r="W2186">
        <v>0</v>
      </c>
      <c r="X2186" t="s">
        <v>30</v>
      </c>
      <c r="Y2186">
        <v>0</v>
      </c>
      <c r="Z2186" t="s">
        <v>31</v>
      </c>
      <c r="AA2186">
        <v>0</v>
      </c>
      <c r="AB2186" t="s">
        <v>31</v>
      </c>
      <c r="AC2186">
        <v>0</v>
      </c>
      <c r="AD2186" t="s">
        <v>31</v>
      </c>
      <c r="AE2186">
        <v>0</v>
      </c>
      <c r="AF2186" t="s">
        <v>31</v>
      </c>
      <c r="AG2186">
        <v>0</v>
      </c>
      <c r="AH2186" t="s">
        <v>31</v>
      </c>
      <c r="AI2186">
        <v>0</v>
      </c>
      <c r="AJ2186" t="s">
        <v>31</v>
      </c>
      <c r="AK2186">
        <v>0</v>
      </c>
      <c r="AL2186" t="s">
        <v>31</v>
      </c>
      <c r="AM2186">
        <v>0</v>
      </c>
      <c r="AN2186" t="s">
        <v>31</v>
      </c>
      <c r="AO2186">
        <v>0</v>
      </c>
      <c r="AP2186" t="s">
        <v>31</v>
      </c>
      <c r="AQ2186">
        <v>0</v>
      </c>
    </row>
    <row r="2187" spans="1:43" x14ac:dyDescent="0.2">
      <c r="A2187" t="s">
        <v>381</v>
      </c>
      <c r="B2187" s="3">
        <v>44338</v>
      </c>
      <c r="C2187">
        <v>107</v>
      </c>
      <c r="D2187" t="s">
        <v>392</v>
      </c>
      <c r="E2187" t="s">
        <v>106</v>
      </c>
      <c r="F2187" s="9" t="s">
        <v>146</v>
      </c>
      <c r="G2187" t="s">
        <v>26</v>
      </c>
      <c r="H2187" t="s">
        <v>99</v>
      </c>
      <c r="I2187" t="s">
        <v>100</v>
      </c>
      <c r="J2187" t="s">
        <v>43</v>
      </c>
      <c r="K2187" t="s">
        <v>44</v>
      </c>
      <c r="L2187" t="s">
        <v>29</v>
      </c>
      <c r="M2187" t="s">
        <v>30</v>
      </c>
      <c r="N2187" t="s">
        <v>99</v>
      </c>
      <c r="O2187" t="s">
        <v>100</v>
      </c>
      <c r="P2187" t="s">
        <v>43</v>
      </c>
      <c r="Q2187" t="s">
        <v>44</v>
      </c>
      <c r="R2187" s="1">
        <v>44338.631215277775</v>
      </c>
      <c r="S2187" s="1">
        <v>44338.631215277775</v>
      </c>
      <c r="T2187">
        <v>1</v>
      </c>
      <c r="U2187">
        <v>1</v>
      </c>
      <c r="V2187" s="2">
        <v>1</v>
      </c>
      <c r="W2187">
        <v>0</v>
      </c>
      <c r="X2187" t="s">
        <v>30</v>
      </c>
      <c r="Y2187">
        <v>0</v>
      </c>
      <c r="Z2187" t="s">
        <v>31</v>
      </c>
      <c r="AA2187">
        <v>0</v>
      </c>
      <c r="AB2187" t="s">
        <v>31</v>
      </c>
      <c r="AC2187">
        <v>0</v>
      </c>
      <c r="AD2187" t="s">
        <v>31</v>
      </c>
      <c r="AE2187">
        <v>0</v>
      </c>
      <c r="AF2187" t="s">
        <v>31</v>
      </c>
      <c r="AG2187">
        <v>0</v>
      </c>
      <c r="AH2187" t="s">
        <v>31</v>
      </c>
      <c r="AI2187">
        <v>0</v>
      </c>
      <c r="AJ2187" t="s">
        <v>31</v>
      </c>
      <c r="AK2187">
        <v>0</v>
      </c>
      <c r="AL2187" t="s">
        <v>31</v>
      </c>
      <c r="AM2187">
        <v>0</v>
      </c>
      <c r="AN2187" t="s">
        <v>31</v>
      </c>
      <c r="AO2187">
        <v>0</v>
      </c>
      <c r="AP2187" t="s">
        <v>31</v>
      </c>
      <c r="AQ2187">
        <v>0</v>
      </c>
    </row>
    <row r="2188" spans="1:43" x14ac:dyDescent="0.2">
      <c r="A2188" t="s">
        <v>381</v>
      </c>
      <c r="B2188" s="3">
        <v>44355</v>
      </c>
      <c r="C2188">
        <v>129</v>
      </c>
      <c r="D2188" t="s">
        <v>385</v>
      </c>
      <c r="E2188" t="s">
        <v>106</v>
      </c>
      <c r="F2188" s="9" t="s">
        <v>146</v>
      </c>
      <c r="G2188" t="s">
        <v>26</v>
      </c>
      <c r="H2188" t="s">
        <v>99</v>
      </c>
      <c r="I2188" t="s">
        <v>100</v>
      </c>
      <c r="J2188" t="s">
        <v>43</v>
      </c>
      <c r="K2188" t="s">
        <v>44</v>
      </c>
      <c r="L2188" t="s">
        <v>29</v>
      </c>
      <c r="M2188" t="s">
        <v>30</v>
      </c>
      <c r="N2188" t="s">
        <v>116</v>
      </c>
      <c r="O2188" t="s">
        <v>117</v>
      </c>
      <c r="P2188" t="s">
        <v>43</v>
      </c>
      <c r="Q2188" t="s">
        <v>44</v>
      </c>
      <c r="R2188" s="1">
        <v>44355.640486111108</v>
      </c>
      <c r="S2188" s="1">
        <v>44355.640486111108</v>
      </c>
      <c r="T2188">
        <v>1</v>
      </c>
      <c r="U2188">
        <v>1</v>
      </c>
      <c r="V2188" s="2">
        <v>1</v>
      </c>
      <c r="W2188">
        <v>0</v>
      </c>
      <c r="X2188" t="s">
        <v>30</v>
      </c>
      <c r="Y2188">
        <v>0</v>
      </c>
      <c r="Z2188" t="s">
        <v>31</v>
      </c>
      <c r="AA2188">
        <v>0</v>
      </c>
      <c r="AB2188" t="s">
        <v>31</v>
      </c>
      <c r="AC2188">
        <v>0</v>
      </c>
      <c r="AD2188" t="s">
        <v>31</v>
      </c>
      <c r="AE2188">
        <v>0</v>
      </c>
      <c r="AF2188" t="s">
        <v>31</v>
      </c>
      <c r="AG2188">
        <v>0</v>
      </c>
      <c r="AH2188" t="s">
        <v>31</v>
      </c>
      <c r="AI2188">
        <v>0</v>
      </c>
      <c r="AJ2188" t="s">
        <v>31</v>
      </c>
      <c r="AK2188">
        <v>0</v>
      </c>
      <c r="AL2188" t="s">
        <v>31</v>
      </c>
      <c r="AM2188">
        <v>0</v>
      </c>
      <c r="AN2188" t="s">
        <v>31</v>
      </c>
      <c r="AO2188">
        <v>0</v>
      </c>
      <c r="AP2188" t="s">
        <v>31</v>
      </c>
      <c r="AQ2188">
        <v>0</v>
      </c>
    </row>
    <row r="2189" spans="1:43" x14ac:dyDescent="0.2">
      <c r="A2189" t="s">
        <v>381</v>
      </c>
      <c r="B2189" s="3">
        <v>44357</v>
      </c>
      <c r="C2189">
        <v>132</v>
      </c>
      <c r="D2189" t="s">
        <v>399</v>
      </c>
      <c r="E2189" t="s">
        <v>106</v>
      </c>
      <c r="F2189" s="9" t="s">
        <v>146</v>
      </c>
      <c r="G2189" t="s">
        <v>26</v>
      </c>
      <c r="H2189" t="s">
        <v>116</v>
      </c>
      <c r="I2189" t="s">
        <v>117</v>
      </c>
      <c r="J2189" t="s">
        <v>43</v>
      </c>
      <c r="K2189" t="s">
        <v>44</v>
      </c>
      <c r="L2189" t="s">
        <v>29</v>
      </c>
      <c r="M2189" t="s">
        <v>30</v>
      </c>
      <c r="N2189" t="s">
        <v>116</v>
      </c>
      <c r="O2189" t="s">
        <v>117</v>
      </c>
      <c r="P2189" t="s">
        <v>43</v>
      </c>
      <c r="Q2189" t="s">
        <v>44</v>
      </c>
      <c r="R2189" s="1">
        <v>44357.408460648148</v>
      </c>
      <c r="S2189" s="1">
        <v>44357.408460648148</v>
      </c>
      <c r="T2189">
        <v>1</v>
      </c>
      <c r="U2189">
        <v>1</v>
      </c>
      <c r="V2189" s="2">
        <v>1</v>
      </c>
      <c r="W2189">
        <v>0</v>
      </c>
      <c r="X2189" t="s">
        <v>30</v>
      </c>
      <c r="Y2189">
        <v>0</v>
      </c>
      <c r="Z2189" t="s">
        <v>31</v>
      </c>
      <c r="AA2189">
        <v>0</v>
      </c>
      <c r="AB2189" t="s">
        <v>31</v>
      </c>
      <c r="AC2189">
        <v>0</v>
      </c>
      <c r="AD2189" t="s">
        <v>31</v>
      </c>
      <c r="AE2189">
        <v>0</v>
      </c>
      <c r="AF2189" t="s">
        <v>31</v>
      </c>
      <c r="AG2189">
        <v>0</v>
      </c>
      <c r="AH2189" t="s">
        <v>31</v>
      </c>
      <c r="AI2189">
        <v>0</v>
      </c>
      <c r="AJ2189" t="s">
        <v>31</v>
      </c>
      <c r="AK2189">
        <v>0</v>
      </c>
      <c r="AL2189" t="s">
        <v>31</v>
      </c>
      <c r="AM2189">
        <v>0</v>
      </c>
      <c r="AN2189" t="s">
        <v>31</v>
      </c>
      <c r="AO2189">
        <v>0</v>
      </c>
      <c r="AP2189" t="s">
        <v>31</v>
      </c>
      <c r="AQ2189">
        <v>0</v>
      </c>
    </row>
    <row r="2190" spans="1:43" x14ac:dyDescent="0.2">
      <c r="A2190" t="s">
        <v>381</v>
      </c>
      <c r="B2190" s="3">
        <v>44364</v>
      </c>
      <c r="C2190">
        <v>138</v>
      </c>
      <c r="D2190" t="s">
        <v>399</v>
      </c>
      <c r="E2190" t="s">
        <v>106</v>
      </c>
      <c r="F2190" s="9" t="s">
        <v>146</v>
      </c>
      <c r="G2190" t="s">
        <v>26</v>
      </c>
      <c r="H2190" t="s">
        <v>116</v>
      </c>
      <c r="I2190" t="s">
        <v>117</v>
      </c>
      <c r="J2190" t="s">
        <v>43</v>
      </c>
      <c r="K2190" t="s">
        <v>44</v>
      </c>
      <c r="L2190" t="s">
        <v>29</v>
      </c>
      <c r="M2190" t="s">
        <v>30</v>
      </c>
      <c r="N2190" t="s">
        <v>116</v>
      </c>
      <c r="O2190" t="s">
        <v>117</v>
      </c>
      <c r="P2190" t="s">
        <v>43</v>
      </c>
      <c r="Q2190" t="s">
        <v>44</v>
      </c>
      <c r="R2190" s="1">
        <v>44364.466249999998</v>
      </c>
      <c r="S2190" s="1">
        <v>44364.466249999998</v>
      </c>
      <c r="T2190">
        <v>1</v>
      </c>
      <c r="U2190">
        <v>1</v>
      </c>
      <c r="V2190" s="2">
        <v>1</v>
      </c>
      <c r="W2190">
        <v>0</v>
      </c>
      <c r="X2190" t="s">
        <v>30</v>
      </c>
      <c r="Y2190">
        <v>0</v>
      </c>
      <c r="Z2190" t="s">
        <v>31</v>
      </c>
      <c r="AA2190">
        <v>0</v>
      </c>
      <c r="AB2190" t="s">
        <v>31</v>
      </c>
      <c r="AC2190">
        <v>0</v>
      </c>
      <c r="AD2190" t="s">
        <v>31</v>
      </c>
      <c r="AE2190">
        <v>0</v>
      </c>
      <c r="AF2190" t="s">
        <v>31</v>
      </c>
      <c r="AG2190">
        <v>0</v>
      </c>
      <c r="AH2190" t="s">
        <v>31</v>
      </c>
      <c r="AI2190">
        <v>0</v>
      </c>
      <c r="AJ2190" t="s">
        <v>31</v>
      </c>
      <c r="AK2190">
        <v>0</v>
      </c>
      <c r="AL2190" t="s">
        <v>31</v>
      </c>
      <c r="AM2190">
        <v>0</v>
      </c>
      <c r="AN2190" t="s">
        <v>31</v>
      </c>
      <c r="AO2190">
        <v>0</v>
      </c>
      <c r="AP2190" t="s">
        <v>31</v>
      </c>
      <c r="AQ2190">
        <v>0</v>
      </c>
    </row>
    <row r="2191" spans="1:43" x14ac:dyDescent="0.2">
      <c r="A2191" t="s">
        <v>381</v>
      </c>
      <c r="B2191" s="3">
        <v>44237</v>
      </c>
      <c r="C2191">
        <v>4</v>
      </c>
      <c r="D2191" t="s">
        <v>384</v>
      </c>
      <c r="E2191" t="s">
        <v>106</v>
      </c>
      <c r="F2191" s="9" t="s">
        <v>126</v>
      </c>
      <c r="G2191" t="s">
        <v>26</v>
      </c>
      <c r="H2191" t="s">
        <v>108</v>
      </c>
      <c r="I2191" t="s">
        <v>109</v>
      </c>
      <c r="J2191" t="s">
        <v>43</v>
      </c>
      <c r="K2191" t="s">
        <v>44</v>
      </c>
      <c r="L2191" t="s">
        <v>29</v>
      </c>
      <c r="M2191" t="s">
        <v>30</v>
      </c>
      <c r="N2191" t="s">
        <v>108</v>
      </c>
      <c r="O2191" t="s">
        <v>109</v>
      </c>
      <c r="P2191" t="s">
        <v>43</v>
      </c>
      <c r="Q2191" t="s">
        <v>44</v>
      </c>
      <c r="R2191" s="1">
        <v>44237.469537037039</v>
      </c>
      <c r="S2191" s="1">
        <v>44237.469537037039</v>
      </c>
      <c r="T2191">
        <v>1</v>
      </c>
      <c r="U2191">
        <v>1</v>
      </c>
      <c r="V2191" s="2">
        <v>1</v>
      </c>
      <c r="W2191">
        <v>0</v>
      </c>
      <c r="X2191" t="s">
        <v>30</v>
      </c>
      <c r="Y2191">
        <v>0</v>
      </c>
      <c r="Z2191" t="s">
        <v>31</v>
      </c>
      <c r="AA2191">
        <v>0</v>
      </c>
      <c r="AB2191" t="s">
        <v>31</v>
      </c>
      <c r="AC2191">
        <v>0</v>
      </c>
      <c r="AD2191" t="s">
        <v>31</v>
      </c>
      <c r="AE2191">
        <v>0</v>
      </c>
      <c r="AF2191" t="s">
        <v>31</v>
      </c>
      <c r="AG2191">
        <v>0</v>
      </c>
      <c r="AH2191" t="s">
        <v>31</v>
      </c>
      <c r="AI2191">
        <v>0</v>
      </c>
      <c r="AJ2191" t="s">
        <v>31</v>
      </c>
      <c r="AK2191">
        <v>0</v>
      </c>
      <c r="AL2191" t="s">
        <v>31</v>
      </c>
      <c r="AM2191">
        <v>0</v>
      </c>
      <c r="AN2191" t="s">
        <v>31</v>
      </c>
      <c r="AO2191">
        <v>0</v>
      </c>
      <c r="AP2191" t="s">
        <v>31</v>
      </c>
      <c r="AQ2191">
        <v>0</v>
      </c>
    </row>
    <row r="2192" spans="1:43" x14ac:dyDescent="0.2">
      <c r="A2192" t="s">
        <v>381</v>
      </c>
      <c r="B2192" s="3">
        <v>44238</v>
      </c>
      <c r="C2192">
        <v>6</v>
      </c>
      <c r="D2192" t="s">
        <v>385</v>
      </c>
      <c r="E2192" t="s">
        <v>106</v>
      </c>
      <c r="F2192" s="9" t="s">
        <v>126</v>
      </c>
      <c r="G2192" t="s">
        <v>26</v>
      </c>
      <c r="H2192" t="s">
        <v>108</v>
      </c>
      <c r="I2192" t="s">
        <v>109</v>
      </c>
      <c r="J2192" t="s">
        <v>43</v>
      </c>
      <c r="K2192" t="s">
        <v>44</v>
      </c>
      <c r="L2192" t="s">
        <v>29</v>
      </c>
      <c r="M2192" t="s">
        <v>30</v>
      </c>
      <c r="N2192" t="s">
        <v>99</v>
      </c>
      <c r="O2192" t="s">
        <v>100</v>
      </c>
      <c r="P2192" t="s">
        <v>43</v>
      </c>
      <c r="Q2192" t="s">
        <v>44</v>
      </c>
      <c r="R2192" s="1">
        <v>44238.625185185185</v>
      </c>
      <c r="S2192" s="1">
        <v>44238.636724537035</v>
      </c>
      <c r="T2192">
        <v>4</v>
      </c>
      <c r="U2192">
        <v>4</v>
      </c>
      <c r="V2192" s="2">
        <v>1</v>
      </c>
      <c r="W2192">
        <v>0</v>
      </c>
      <c r="X2192" t="s">
        <v>30</v>
      </c>
      <c r="Y2192">
        <v>0</v>
      </c>
      <c r="Z2192" t="s">
        <v>30</v>
      </c>
      <c r="AA2192">
        <v>0</v>
      </c>
      <c r="AB2192" t="s">
        <v>30</v>
      </c>
      <c r="AC2192">
        <v>0</v>
      </c>
      <c r="AD2192" t="s">
        <v>30</v>
      </c>
      <c r="AE2192">
        <v>0</v>
      </c>
      <c r="AF2192" t="s">
        <v>31</v>
      </c>
      <c r="AG2192">
        <v>0</v>
      </c>
      <c r="AH2192" t="s">
        <v>31</v>
      </c>
      <c r="AI2192">
        <v>0</v>
      </c>
      <c r="AJ2192" t="s">
        <v>31</v>
      </c>
      <c r="AK2192">
        <v>0</v>
      </c>
      <c r="AL2192" t="s">
        <v>31</v>
      </c>
      <c r="AM2192">
        <v>0</v>
      </c>
      <c r="AN2192" t="s">
        <v>31</v>
      </c>
      <c r="AO2192">
        <v>0</v>
      </c>
      <c r="AP2192" t="s">
        <v>31</v>
      </c>
      <c r="AQ2192">
        <v>0</v>
      </c>
    </row>
    <row r="2193" spans="1:43" x14ac:dyDescent="0.2">
      <c r="A2193" t="s">
        <v>381</v>
      </c>
      <c r="B2193" s="3">
        <v>44239</v>
      </c>
      <c r="C2193">
        <v>7</v>
      </c>
      <c r="D2193" t="s">
        <v>384</v>
      </c>
      <c r="E2193" t="s">
        <v>106</v>
      </c>
      <c r="F2193" s="9" t="s">
        <v>126</v>
      </c>
      <c r="G2193" t="s">
        <v>26</v>
      </c>
      <c r="H2193" t="s">
        <v>99</v>
      </c>
      <c r="I2193" t="s">
        <v>100</v>
      </c>
      <c r="J2193" t="s">
        <v>43</v>
      </c>
      <c r="K2193" t="s">
        <v>44</v>
      </c>
      <c r="L2193" t="s">
        <v>29</v>
      </c>
      <c r="M2193" t="s">
        <v>30</v>
      </c>
      <c r="N2193" t="s">
        <v>99</v>
      </c>
      <c r="O2193" t="s">
        <v>100</v>
      </c>
      <c r="P2193" t="s">
        <v>43</v>
      </c>
      <c r="Q2193" t="s">
        <v>44</v>
      </c>
      <c r="R2193" s="1">
        <v>44239.37054398148</v>
      </c>
      <c r="S2193" s="1">
        <v>44239.37054398148</v>
      </c>
      <c r="T2193">
        <v>1</v>
      </c>
      <c r="U2193">
        <v>1</v>
      </c>
      <c r="V2193" s="2">
        <v>1</v>
      </c>
      <c r="W2193">
        <v>0</v>
      </c>
      <c r="X2193" t="s">
        <v>30</v>
      </c>
      <c r="Y2193">
        <v>0</v>
      </c>
      <c r="Z2193" t="s">
        <v>31</v>
      </c>
      <c r="AA2193">
        <v>0</v>
      </c>
      <c r="AB2193" t="s">
        <v>31</v>
      </c>
      <c r="AC2193">
        <v>0</v>
      </c>
      <c r="AD2193" t="s">
        <v>31</v>
      </c>
      <c r="AE2193">
        <v>0</v>
      </c>
      <c r="AF2193" t="s">
        <v>31</v>
      </c>
      <c r="AG2193">
        <v>0</v>
      </c>
      <c r="AH2193" t="s">
        <v>31</v>
      </c>
      <c r="AI2193">
        <v>0</v>
      </c>
      <c r="AJ2193" t="s">
        <v>31</v>
      </c>
      <c r="AK2193">
        <v>0</v>
      </c>
      <c r="AL2193" t="s">
        <v>31</v>
      </c>
      <c r="AM2193">
        <v>0</v>
      </c>
      <c r="AN2193" t="s">
        <v>31</v>
      </c>
      <c r="AO2193">
        <v>0</v>
      </c>
      <c r="AP2193" t="s">
        <v>31</v>
      </c>
      <c r="AQ2193">
        <v>0</v>
      </c>
    </row>
    <row r="2194" spans="1:43" x14ac:dyDescent="0.2">
      <c r="A2194" t="s">
        <v>381</v>
      </c>
      <c r="B2194" s="3">
        <v>44242</v>
      </c>
      <c r="C2194">
        <v>8</v>
      </c>
      <c r="D2194" t="s">
        <v>384</v>
      </c>
      <c r="E2194" t="s">
        <v>106</v>
      </c>
      <c r="F2194" s="9" t="s">
        <v>126</v>
      </c>
      <c r="G2194" t="s">
        <v>26</v>
      </c>
      <c r="H2194" t="s">
        <v>99</v>
      </c>
      <c r="I2194" t="s">
        <v>100</v>
      </c>
      <c r="J2194" t="s">
        <v>43</v>
      </c>
      <c r="K2194" t="s">
        <v>44</v>
      </c>
      <c r="L2194" t="s">
        <v>29</v>
      </c>
      <c r="M2194" t="s">
        <v>30</v>
      </c>
      <c r="N2194" t="s">
        <v>99</v>
      </c>
      <c r="O2194" t="s">
        <v>100</v>
      </c>
      <c r="P2194" t="s">
        <v>43</v>
      </c>
      <c r="Q2194" t="s">
        <v>44</v>
      </c>
      <c r="R2194" s="1">
        <v>44242.380613425928</v>
      </c>
      <c r="S2194" s="1">
        <v>44242.380613425928</v>
      </c>
      <c r="T2194">
        <v>1</v>
      </c>
      <c r="U2194">
        <v>1</v>
      </c>
      <c r="V2194" s="2">
        <v>1</v>
      </c>
      <c r="W2194">
        <v>0</v>
      </c>
      <c r="X2194" t="s">
        <v>30</v>
      </c>
      <c r="Y2194">
        <v>0</v>
      </c>
      <c r="Z2194" t="s">
        <v>31</v>
      </c>
      <c r="AA2194">
        <v>0</v>
      </c>
      <c r="AB2194" t="s">
        <v>31</v>
      </c>
      <c r="AC2194">
        <v>0</v>
      </c>
      <c r="AD2194" t="s">
        <v>31</v>
      </c>
      <c r="AE2194">
        <v>0</v>
      </c>
      <c r="AF2194" t="s">
        <v>31</v>
      </c>
      <c r="AG2194">
        <v>0</v>
      </c>
      <c r="AH2194" t="s">
        <v>31</v>
      </c>
      <c r="AI2194">
        <v>0</v>
      </c>
      <c r="AJ2194" t="s">
        <v>31</v>
      </c>
      <c r="AK2194">
        <v>0</v>
      </c>
      <c r="AL2194" t="s">
        <v>31</v>
      </c>
      <c r="AM2194">
        <v>0</v>
      </c>
      <c r="AN2194" t="s">
        <v>31</v>
      </c>
      <c r="AO2194">
        <v>0</v>
      </c>
      <c r="AP2194" t="s">
        <v>31</v>
      </c>
      <c r="AQ2194">
        <v>0</v>
      </c>
    </row>
    <row r="2195" spans="1:43" x14ac:dyDescent="0.2">
      <c r="A2195" t="s">
        <v>381</v>
      </c>
      <c r="B2195" s="3">
        <v>44250</v>
      </c>
      <c r="C2195">
        <v>17</v>
      </c>
      <c r="D2195" t="s">
        <v>385</v>
      </c>
      <c r="E2195" t="s">
        <v>106</v>
      </c>
      <c r="F2195" s="9" t="s">
        <v>126</v>
      </c>
      <c r="G2195" t="s">
        <v>26</v>
      </c>
      <c r="H2195" t="s">
        <v>99</v>
      </c>
      <c r="I2195" t="s">
        <v>100</v>
      </c>
      <c r="J2195" t="s">
        <v>43</v>
      </c>
      <c r="K2195" t="s">
        <v>44</v>
      </c>
      <c r="L2195" t="s">
        <v>29</v>
      </c>
      <c r="M2195" t="s">
        <v>30</v>
      </c>
      <c r="N2195" t="s">
        <v>116</v>
      </c>
      <c r="O2195" t="s">
        <v>117</v>
      </c>
      <c r="P2195" t="s">
        <v>43</v>
      </c>
      <c r="Q2195" t="s">
        <v>44</v>
      </c>
      <c r="R2195" s="1">
        <v>44250.589907407404</v>
      </c>
      <c r="S2195" s="1">
        <v>44250.61922453704</v>
      </c>
      <c r="T2195">
        <v>3</v>
      </c>
      <c r="U2195">
        <v>3</v>
      </c>
      <c r="V2195" s="2">
        <v>1</v>
      </c>
      <c r="W2195">
        <v>0</v>
      </c>
      <c r="X2195" t="s">
        <v>30</v>
      </c>
      <c r="Y2195">
        <v>0</v>
      </c>
      <c r="Z2195" t="s">
        <v>30</v>
      </c>
      <c r="AA2195">
        <v>0</v>
      </c>
      <c r="AB2195" t="s">
        <v>30</v>
      </c>
      <c r="AC2195">
        <v>0</v>
      </c>
      <c r="AD2195" t="s">
        <v>31</v>
      </c>
      <c r="AE2195">
        <v>0</v>
      </c>
      <c r="AF2195" t="s">
        <v>31</v>
      </c>
      <c r="AG2195">
        <v>0</v>
      </c>
      <c r="AH2195" t="s">
        <v>31</v>
      </c>
      <c r="AI2195">
        <v>0</v>
      </c>
      <c r="AJ2195" t="s">
        <v>31</v>
      </c>
      <c r="AK2195">
        <v>0</v>
      </c>
      <c r="AL2195" t="s">
        <v>31</v>
      </c>
      <c r="AM2195">
        <v>0</v>
      </c>
      <c r="AN2195" t="s">
        <v>31</v>
      </c>
      <c r="AO2195">
        <v>0</v>
      </c>
      <c r="AP2195" t="s">
        <v>31</v>
      </c>
      <c r="AQ2195">
        <v>0</v>
      </c>
    </row>
    <row r="2196" spans="1:43" x14ac:dyDescent="0.2">
      <c r="A2196" t="s">
        <v>381</v>
      </c>
      <c r="B2196" s="3">
        <v>44264</v>
      </c>
      <c r="C2196">
        <v>31</v>
      </c>
      <c r="D2196" t="s">
        <v>385</v>
      </c>
      <c r="E2196" t="s">
        <v>106</v>
      </c>
      <c r="F2196" s="9" t="s">
        <v>126</v>
      </c>
      <c r="G2196" t="s">
        <v>26</v>
      </c>
      <c r="H2196" t="s">
        <v>116</v>
      </c>
      <c r="I2196" t="s">
        <v>117</v>
      </c>
      <c r="J2196" t="s">
        <v>43</v>
      </c>
      <c r="K2196" t="s">
        <v>44</v>
      </c>
      <c r="L2196" t="s">
        <v>29</v>
      </c>
      <c r="M2196" t="s">
        <v>30</v>
      </c>
      <c r="N2196" t="s">
        <v>116</v>
      </c>
      <c r="O2196" t="s">
        <v>117</v>
      </c>
      <c r="P2196" t="s">
        <v>43</v>
      </c>
      <c r="Q2196" t="s">
        <v>44</v>
      </c>
      <c r="R2196" s="1">
        <v>44264.605266203704</v>
      </c>
      <c r="S2196" s="1">
        <v>44264.605300925927</v>
      </c>
      <c r="T2196">
        <v>5</v>
      </c>
      <c r="U2196">
        <v>5</v>
      </c>
      <c r="V2196" s="2">
        <v>1</v>
      </c>
      <c r="W2196">
        <v>0</v>
      </c>
      <c r="X2196" t="s">
        <v>30</v>
      </c>
      <c r="Y2196">
        <v>0</v>
      </c>
      <c r="Z2196" t="s">
        <v>30</v>
      </c>
      <c r="AA2196">
        <v>0</v>
      </c>
      <c r="AB2196" t="s">
        <v>30</v>
      </c>
      <c r="AC2196">
        <v>0</v>
      </c>
      <c r="AD2196" t="s">
        <v>30</v>
      </c>
      <c r="AE2196">
        <v>0</v>
      </c>
      <c r="AF2196" t="s">
        <v>30</v>
      </c>
      <c r="AG2196">
        <v>0</v>
      </c>
      <c r="AH2196" t="s">
        <v>31</v>
      </c>
      <c r="AI2196">
        <v>0</v>
      </c>
      <c r="AJ2196" t="s">
        <v>31</v>
      </c>
      <c r="AK2196">
        <v>0</v>
      </c>
      <c r="AL2196" t="s">
        <v>31</v>
      </c>
      <c r="AM2196">
        <v>0</v>
      </c>
      <c r="AN2196" t="s">
        <v>31</v>
      </c>
      <c r="AO2196">
        <v>0</v>
      </c>
      <c r="AP2196" t="s">
        <v>31</v>
      </c>
      <c r="AQ2196">
        <v>0</v>
      </c>
    </row>
    <row r="2197" spans="1:43" x14ac:dyDescent="0.2">
      <c r="A2197" t="s">
        <v>381</v>
      </c>
      <c r="B2197" s="3">
        <v>44266</v>
      </c>
      <c r="C2197">
        <v>33</v>
      </c>
      <c r="D2197" t="s">
        <v>385</v>
      </c>
      <c r="E2197" t="s">
        <v>106</v>
      </c>
      <c r="F2197" s="9" t="s">
        <v>126</v>
      </c>
      <c r="G2197" t="s">
        <v>26</v>
      </c>
      <c r="H2197" t="s">
        <v>116</v>
      </c>
      <c r="I2197" t="s">
        <v>117</v>
      </c>
      <c r="J2197" t="s">
        <v>43</v>
      </c>
      <c r="K2197" t="s">
        <v>44</v>
      </c>
      <c r="L2197" t="s">
        <v>29</v>
      </c>
      <c r="M2197" t="s">
        <v>30</v>
      </c>
      <c r="N2197" t="s">
        <v>116</v>
      </c>
      <c r="O2197" t="s">
        <v>117</v>
      </c>
      <c r="P2197" t="s">
        <v>43</v>
      </c>
      <c r="Q2197" t="s">
        <v>44</v>
      </c>
      <c r="R2197" s="1">
        <v>44266.389537037037</v>
      </c>
      <c r="S2197" s="1">
        <v>44266.390729166669</v>
      </c>
      <c r="T2197">
        <v>3</v>
      </c>
      <c r="U2197">
        <v>3</v>
      </c>
      <c r="V2197" s="2">
        <v>1</v>
      </c>
      <c r="W2197">
        <v>0</v>
      </c>
      <c r="X2197" t="s">
        <v>30</v>
      </c>
      <c r="Y2197">
        <v>0</v>
      </c>
      <c r="Z2197" t="s">
        <v>30</v>
      </c>
      <c r="AA2197">
        <v>0</v>
      </c>
      <c r="AB2197" t="s">
        <v>30</v>
      </c>
      <c r="AC2197">
        <v>0</v>
      </c>
      <c r="AD2197" t="s">
        <v>31</v>
      </c>
      <c r="AE2197">
        <v>0</v>
      </c>
      <c r="AF2197" t="s">
        <v>31</v>
      </c>
      <c r="AG2197">
        <v>0</v>
      </c>
      <c r="AH2197" t="s">
        <v>31</v>
      </c>
      <c r="AI2197">
        <v>0</v>
      </c>
      <c r="AJ2197" t="s">
        <v>31</v>
      </c>
      <c r="AK2197">
        <v>0</v>
      </c>
      <c r="AL2197" t="s">
        <v>31</v>
      </c>
      <c r="AM2197">
        <v>0</v>
      </c>
      <c r="AN2197" t="s">
        <v>31</v>
      </c>
      <c r="AO2197">
        <v>0</v>
      </c>
      <c r="AP2197" t="s">
        <v>31</v>
      </c>
      <c r="AQ2197">
        <v>0</v>
      </c>
    </row>
    <row r="2198" spans="1:43" x14ac:dyDescent="0.2">
      <c r="A2198" t="s">
        <v>381</v>
      </c>
      <c r="B2198" s="3">
        <v>44271</v>
      </c>
      <c r="C2198">
        <v>36</v>
      </c>
      <c r="D2198" t="s">
        <v>385</v>
      </c>
      <c r="E2198" t="s">
        <v>106</v>
      </c>
      <c r="F2198" s="9" t="s">
        <v>126</v>
      </c>
      <c r="G2198" t="s">
        <v>26</v>
      </c>
      <c r="H2198" t="s">
        <v>116</v>
      </c>
      <c r="I2198" t="s">
        <v>117</v>
      </c>
      <c r="J2198" t="s">
        <v>43</v>
      </c>
      <c r="K2198" t="s">
        <v>44</v>
      </c>
      <c r="L2198" t="s">
        <v>29</v>
      </c>
      <c r="M2198" t="s">
        <v>30</v>
      </c>
      <c r="N2198" t="s">
        <v>116</v>
      </c>
      <c r="O2198" t="s">
        <v>117</v>
      </c>
      <c r="P2198" t="s">
        <v>43</v>
      </c>
      <c r="Q2198" t="s">
        <v>44</v>
      </c>
      <c r="R2198" s="1">
        <v>44271.429328703707</v>
      </c>
      <c r="S2198" s="1">
        <v>44271.429340277777</v>
      </c>
      <c r="T2198">
        <v>4</v>
      </c>
      <c r="U2198">
        <v>4</v>
      </c>
      <c r="V2198" s="2">
        <v>1</v>
      </c>
      <c r="W2198">
        <v>0</v>
      </c>
      <c r="X2198" t="s">
        <v>30</v>
      </c>
      <c r="Y2198">
        <v>0</v>
      </c>
      <c r="Z2198" t="s">
        <v>30</v>
      </c>
      <c r="AA2198">
        <v>0</v>
      </c>
      <c r="AB2198" t="s">
        <v>30</v>
      </c>
      <c r="AC2198">
        <v>0</v>
      </c>
      <c r="AD2198" t="s">
        <v>30</v>
      </c>
      <c r="AE2198">
        <v>0</v>
      </c>
      <c r="AF2198" t="s">
        <v>31</v>
      </c>
      <c r="AG2198">
        <v>0</v>
      </c>
      <c r="AH2198" t="s">
        <v>31</v>
      </c>
      <c r="AI2198">
        <v>0</v>
      </c>
      <c r="AJ2198" t="s">
        <v>31</v>
      </c>
      <c r="AK2198">
        <v>0</v>
      </c>
      <c r="AL2198" t="s">
        <v>31</v>
      </c>
      <c r="AM2198">
        <v>0</v>
      </c>
      <c r="AN2198" t="s">
        <v>31</v>
      </c>
      <c r="AO2198">
        <v>0</v>
      </c>
      <c r="AP2198" t="s">
        <v>31</v>
      </c>
      <c r="AQ2198">
        <v>0</v>
      </c>
    </row>
    <row r="2199" spans="1:43" x14ac:dyDescent="0.2">
      <c r="A2199" t="s">
        <v>381</v>
      </c>
      <c r="B2199" s="3">
        <v>44271</v>
      </c>
      <c r="C2199">
        <v>37</v>
      </c>
      <c r="D2199" t="s">
        <v>385</v>
      </c>
      <c r="E2199" t="s">
        <v>106</v>
      </c>
      <c r="F2199" s="9" t="s">
        <v>126</v>
      </c>
      <c r="G2199" t="s">
        <v>26</v>
      </c>
      <c r="H2199" t="s">
        <v>116</v>
      </c>
      <c r="I2199" t="s">
        <v>117</v>
      </c>
      <c r="J2199" t="s">
        <v>43</v>
      </c>
      <c r="K2199" t="s">
        <v>44</v>
      </c>
      <c r="L2199" t="s">
        <v>29</v>
      </c>
      <c r="M2199" t="s">
        <v>30</v>
      </c>
      <c r="N2199" t="s">
        <v>116</v>
      </c>
      <c r="O2199" t="s">
        <v>117</v>
      </c>
      <c r="P2199" t="s">
        <v>43</v>
      </c>
      <c r="Q2199" t="s">
        <v>44</v>
      </c>
      <c r="R2199" s="1">
        <v>44271.566527777781</v>
      </c>
      <c r="S2199" s="1">
        <v>44271.56653935185</v>
      </c>
      <c r="T2199">
        <v>4</v>
      </c>
      <c r="U2199">
        <v>4</v>
      </c>
      <c r="V2199" s="2">
        <v>1</v>
      </c>
      <c r="W2199">
        <v>0</v>
      </c>
      <c r="X2199" t="s">
        <v>30</v>
      </c>
      <c r="Y2199">
        <v>0</v>
      </c>
      <c r="Z2199" t="s">
        <v>30</v>
      </c>
      <c r="AA2199">
        <v>0</v>
      </c>
      <c r="AB2199" t="s">
        <v>30</v>
      </c>
      <c r="AC2199">
        <v>0</v>
      </c>
      <c r="AD2199" t="s">
        <v>30</v>
      </c>
      <c r="AE2199">
        <v>0</v>
      </c>
      <c r="AF2199" t="s">
        <v>31</v>
      </c>
      <c r="AG2199">
        <v>0</v>
      </c>
      <c r="AH2199" t="s">
        <v>31</v>
      </c>
      <c r="AI2199">
        <v>0</v>
      </c>
      <c r="AJ2199" t="s">
        <v>31</v>
      </c>
      <c r="AK2199">
        <v>0</v>
      </c>
      <c r="AL2199" t="s">
        <v>31</v>
      </c>
      <c r="AM2199">
        <v>0</v>
      </c>
      <c r="AN2199" t="s">
        <v>31</v>
      </c>
      <c r="AO2199">
        <v>0</v>
      </c>
      <c r="AP2199" t="s">
        <v>31</v>
      </c>
      <c r="AQ2199">
        <v>0</v>
      </c>
    </row>
    <row r="2200" spans="1:43" x14ac:dyDescent="0.2">
      <c r="A2200" t="s">
        <v>381</v>
      </c>
      <c r="B2200" s="3">
        <v>44273</v>
      </c>
      <c r="C2200">
        <v>39</v>
      </c>
      <c r="D2200" t="s">
        <v>385</v>
      </c>
      <c r="E2200" t="s">
        <v>106</v>
      </c>
      <c r="F2200" s="9" t="s">
        <v>126</v>
      </c>
      <c r="G2200" t="s">
        <v>26</v>
      </c>
      <c r="H2200" t="s">
        <v>116</v>
      </c>
      <c r="I2200" t="s">
        <v>117</v>
      </c>
      <c r="J2200" t="s">
        <v>43</v>
      </c>
      <c r="K2200" t="s">
        <v>44</v>
      </c>
      <c r="L2200" t="s">
        <v>29</v>
      </c>
      <c r="M2200" t="s">
        <v>30</v>
      </c>
      <c r="N2200" t="s">
        <v>116</v>
      </c>
      <c r="O2200" t="s">
        <v>117</v>
      </c>
      <c r="P2200" t="s">
        <v>43</v>
      </c>
      <c r="Q2200" t="s">
        <v>44</v>
      </c>
      <c r="R2200" s="1">
        <v>44273.417407407411</v>
      </c>
      <c r="S2200" s="1">
        <v>44273.493715277778</v>
      </c>
      <c r="T2200">
        <v>5</v>
      </c>
      <c r="U2200">
        <v>5</v>
      </c>
      <c r="V2200" s="2">
        <v>1</v>
      </c>
      <c r="W2200">
        <v>0</v>
      </c>
      <c r="X2200" t="s">
        <v>30</v>
      </c>
      <c r="Y2200">
        <v>0</v>
      </c>
      <c r="Z2200" t="s">
        <v>30</v>
      </c>
      <c r="AA2200">
        <v>0</v>
      </c>
      <c r="AB2200" t="s">
        <v>30</v>
      </c>
      <c r="AC2200">
        <v>0</v>
      </c>
      <c r="AD2200" t="s">
        <v>30</v>
      </c>
      <c r="AE2200">
        <v>0</v>
      </c>
      <c r="AF2200" t="s">
        <v>30</v>
      </c>
      <c r="AG2200">
        <v>0</v>
      </c>
      <c r="AH2200" t="s">
        <v>31</v>
      </c>
      <c r="AI2200">
        <v>0</v>
      </c>
      <c r="AJ2200" t="s">
        <v>31</v>
      </c>
      <c r="AK2200">
        <v>0</v>
      </c>
      <c r="AL2200" t="s">
        <v>31</v>
      </c>
      <c r="AM2200">
        <v>0</v>
      </c>
      <c r="AN2200" t="s">
        <v>31</v>
      </c>
      <c r="AO2200">
        <v>0</v>
      </c>
      <c r="AP2200" t="s">
        <v>31</v>
      </c>
      <c r="AQ2200">
        <v>0</v>
      </c>
    </row>
    <row r="2201" spans="1:43" x14ac:dyDescent="0.2">
      <c r="A2201" t="s">
        <v>381</v>
      </c>
      <c r="B2201" s="3">
        <v>44273</v>
      </c>
      <c r="C2201">
        <v>40</v>
      </c>
      <c r="D2201" t="s">
        <v>385</v>
      </c>
      <c r="E2201" t="s">
        <v>106</v>
      </c>
      <c r="F2201" s="9" t="s">
        <v>126</v>
      </c>
      <c r="G2201" t="s">
        <v>26</v>
      </c>
      <c r="H2201" t="s">
        <v>116</v>
      </c>
      <c r="I2201" t="s">
        <v>117</v>
      </c>
      <c r="J2201" t="s">
        <v>43</v>
      </c>
      <c r="K2201" t="s">
        <v>44</v>
      </c>
      <c r="L2201" t="s">
        <v>29</v>
      </c>
      <c r="M2201" t="s">
        <v>30</v>
      </c>
      <c r="N2201" t="s">
        <v>116</v>
      </c>
      <c r="O2201" t="s">
        <v>117</v>
      </c>
      <c r="P2201" t="s">
        <v>43</v>
      </c>
      <c r="Q2201" t="s">
        <v>44</v>
      </c>
      <c r="R2201" s="1">
        <v>44273.546574074076</v>
      </c>
      <c r="S2201" s="1">
        <v>44273.635787037034</v>
      </c>
      <c r="T2201">
        <v>3</v>
      </c>
      <c r="U2201">
        <v>3</v>
      </c>
      <c r="V2201" s="2">
        <v>1</v>
      </c>
      <c r="W2201">
        <v>0</v>
      </c>
      <c r="X2201" t="s">
        <v>30</v>
      </c>
      <c r="Y2201">
        <v>0</v>
      </c>
      <c r="Z2201" t="s">
        <v>30</v>
      </c>
      <c r="AA2201">
        <v>0</v>
      </c>
      <c r="AB2201" t="s">
        <v>30</v>
      </c>
      <c r="AC2201">
        <v>0</v>
      </c>
      <c r="AD2201" t="s">
        <v>31</v>
      </c>
      <c r="AE2201">
        <v>0</v>
      </c>
      <c r="AF2201" t="s">
        <v>31</v>
      </c>
      <c r="AG2201">
        <v>0</v>
      </c>
      <c r="AH2201" t="s">
        <v>31</v>
      </c>
      <c r="AI2201">
        <v>0</v>
      </c>
      <c r="AJ2201" t="s">
        <v>31</v>
      </c>
      <c r="AK2201">
        <v>0</v>
      </c>
      <c r="AL2201" t="s">
        <v>31</v>
      </c>
      <c r="AM2201">
        <v>0</v>
      </c>
      <c r="AN2201" t="s">
        <v>31</v>
      </c>
      <c r="AO2201">
        <v>0</v>
      </c>
      <c r="AP2201" t="s">
        <v>31</v>
      </c>
      <c r="AQ2201">
        <v>0</v>
      </c>
    </row>
    <row r="2202" spans="1:43" x14ac:dyDescent="0.2">
      <c r="A2202" t="s">
        <v>381</v>
      </c>
      <c r="B2202" s="3">
        <v>44285</v>
      </c>
      <c r="C2202">
        <v>44</v>
      </c>
      <c r="D2202" t="s">
        <v>385</v>
      </c>
      <c r="E2202" t="s">
        <v>106</v>
      </c>
      <c r="F2202" s="9" t="s">
        <v>126</v>
      </c>
      <c r="G2202" t="s">
        <v>26</v>
      </c>
      <c r="H2202" t="s">
        <v>116</v>
      </c>
      <c r="I2202" t="s">
        <v>117</v>
      </c>
      <c r="J2202" t="s">
        <v>43</v>
      </c>
      <c r="K2202" t="s">
        <v>44</v>
      </c>
      <c r="L2202" t="s">
        <v>29</v>
      </c>
      <c r="M2202" t="s">
        <v>30</v>
      </c>
      <c r="N2202" t="s">
        <v>116</v>
      </c>
      <c r="O2202" t="s">
        <v>117</v>
      </c>
      <c r="P2202" t="s">
        <v>43</v>
      </c>
      <c r="Q2202" t="s">
        <v>44</v>
      </c>
      <c r="R2202" s="1">
        <v>44285.40730324074</v>
      </c>
      <c r="S2202" s="1">
        <v>44285.486319444448</v>
      </c>
      <c r="T2202">
        <v>4</v>
      </c>
      <c r="U2202">
        <v>4</v>
      </c>
      <c r="V2202" s="2">
        <v>1</v>
      </c>
      <c r="W2202">
        <v>0</v>
      </c>
      <c r="X2202" t="s">
        <v>30</v>
      </c>
      <c r="Y2202">
        <v>0</v>
      </c>
      <c r="Z2202" t="s">
        <v>30</v>
      </c>
      <c r="AA2202">
        <v>0</v>
      </c>
      <c r="AB2202" t="s">
        <v>30</v>
      </c>
      <c r="AC2202">
        <v>0</v>
      </c>
      <c r="AD2202" t="s">
        <v>30</v>
      </c>
      <c r="AE2202">
        <v>0</v>
      </c>
      <c r="AF2202" t="s">
        <v>31</v>
      </c>
      <c r="AG2202">
        <v>0</v>
      </c>
      <c r="AH2202" t="s">
        <v>31</v>
      </c>
      <c r="AI2202">
        <v>0</v>
      </c>
      <c r="AJ2202" t="s">
        <v>31</v>
      </c>
      <c r="AK2202">
        <v>0</v>
      </c>
      <c r="AL2202" t="s">
        <v>31</v>
      </c>
      <c r="AM2202">
        <v>0</v>
      </c>
      <c r="AN2202" t="s">
        <v>31</v>
      </c>
      <c r="AO2202">
        <v>0</v>
      </c>
      <c r="AP2202" t="s">
        <v>31</v>
      </c>
      <c r="AQ2202">
        <v>0</v>
      </c>
    </row>
    <row r="2203" spans="1:43" x14ac:dyDescent="0.2">
      <c r="A2203" t="s">
        <v>381</v>
      </c>
      <c r="B2203" s="3">
        <v>44285</v>
      </c>
      <c r="C2203">
        <v>45</v>
      </c>
      <c r="D2203" t="s">
        <v>385</v>
      </c>
      <c r="E2203" t="s">
        <v>106</v>
      </c>
      <c r="F2203" s="9" t="s">
        <v>126</v>
      </c>
      <c r="G2203" t="s">
        <v>26</v>
      </c>
      <c r="H2203" t="s">
        <v>116</v>
      </c>
      <c r="I2203" t="s">
        <v>117</v>
      </c>
      <c r="J2203" t="s">
        <v>43</v>
      </c>
      <c r="K2203" t="s">
        <v>44</v>
      </c>
      <c r="L2203" t="s">
        <v>29</v>
      </c>
      <c r="M2203" t="s">
        <v>30</v>
      </c>
      <c r="N2203" t="s">
        <v>116</v>
      </c>
      <c r="O2203" t="s">
        <v>117</v>
      </c>
      <c r="P2203" t="s">
        <v>43</v>
      </c>
      <c r="Q2203" t="s">
        <v>44</v>
      </c>
      <c r="R2203" s="1">
        <v>44285.584560185183</v>
      </c>
      <c r="S2203" s="1">
        <v>44285.663564814815</v>
      </c>
      <c r="T2203">
        <v>5</v>
      </c>
      <c r="U2203">
        <v>5</v>
      </c>
      <c r="V2203" s="2">
        <v>1</v>
      </c>
      <c r="W2203">
        <v>0</v>
      </c>
      <c r="X2203" t="s">
        <v>30</v>
      </c>
      <c r="Y2203">
        <v>0</v>
      </c>
      <c r="Z2203" t="s">
        <v>30</v>
      </c>
      <c r="AA2203">
        <v>0</v>
      </c>
      <c r="AB2203" t="s">
        <v>30</v>
      </c>
      <c r="AC2203">
        <v>0</v>
      </c>
      <c r="AD2203" t="s">
        <v>30</v>
      </c>
      <c r="AE2203">
        <v>0</v>
      </c>
      <c r="AF2203" t="s">
        <v>30</v>
      </c>
      <c r="AG2203">
        <v>0</v>
      </c>
      <c r="AH2203" t="s">
        <v>31</v>
      </c>
      <c r="AI2203">
        <v>0</v>
      </c>
      <c r="AJ2203" t="s">
        <v>31</v>
      </c>
      <c r="AK2203">
        <v>0</v>
      </c>
      <c r="AL2203" t="s">
        <v>31</v>
      </c>
      <c r="AM2203">
        <v>0</v>
      </c>
      <c r="AN2203" t="s">
        <v>31</v>
      </c>
      <c r="AO2203">
        <v>0</v>
      </c>
      <c r="AP2203" t="s">
        <v>31</v>
      </c>
      <c r="AQ2203">
        <v>0</v>
      </c>
    </row>
    <row r="2204" spans="1:43" x14ac:dyDescent="0.2">
      <c r="A2204" t="s">
        <v>381</v>
      </c>
      <c r="B2204" s="3">
        <v>44287</v>
      </c>
      <c r="C2204">
        <v>47</v>
      </c>
      <c r="D2204" t="s">
        <v>385</v>
      </c>
      <c r="E2204" t="s">
        <v>106</v>
      </c>
      <c r="F2204" s="9" t="s">
        <v>126</v>
      </c>
      <c r="G2204" t="s">
        <v>26</v>
      </c>
      <c r="H2204" t="s">
        <v>116</v>
      </c>
      <c r="I2204" t="s">
        <v>117</v>
      </c>
      <c r="J2204" t="s">
        <v>43</v>
      </c>
      <c r="K2204" t="s">
        <v>44</v>
      </c>
      <c r="L2204" t="s">
        <v>29</v>
      </c>
      <c r="M2204" t="s">
        <v>30</v>
      </c>
      <c r="N2204" t="s">
        <v>116</v>
      </c>
      <c r="O2204" t="s">
        <v>117</v>
      </c>
      <c r="P2204" t="s">
        <v>43</v>
      </c>
      <c r="Q2204" t="s">
        <v>44</v>
      </c>
      <c r="R2204" s="1">
        <v>44287.423796296294</v>
      </c>
      <c r="S2204" s="1">
        <v>44287.423796296294</v>
      </c>
      <c r="T2204">
        <v>1</v>
      </c>
      <c r="U2204">
        <v>1</v>
      </c>
      <c r="V2204" s="2">
        <v>1</v>
      </c>
      <c r="W2204">
        <v>0</v>
      </c>
      <c r="X2204" t="s">
        <v>30</v>
      </c>
      <c r="Y2204">
        <v>0</v>
      </c>
      <c r="Z2204" t="s">
        <v>31</v>
      </c>
      <c r="AA2204">
        <v>0</v>
      </c>
      <c r="AB2204" t="s">
        <v>31</v>
      </c>
      <c r="AC2204">
        <v>0</v>
      </c>
      <c r="AD2204" t="s">
        <v>31</v>
      </c>
      <c r="AE2204">
        <v>0</v>
      </c>
      <c r="AF2204" t="s">
        <v>31</v>
      </c>
      <c r="AG2204">
        <v>0</v>
      </c>
      <c r="AH2204" t="s">
        <v>31</v>
      </c>
      <c r="AI2204">
        <v>0</v>
      </c>
      <c r="AJ2204" t="s">
        <v>31</v>
      </c>
      <c r="AK2204">
        <v>0</v>
      </c>
      <c r="AL2204" t="s">
        <v>31</v>
      </c>
      <c r="AM2204">
        <v>0</v>
      </c>
      <c r="AN2204" t="s">
        <v>31</v>
      </c>
      <c r="AO2204">
        <v>0</v>
      </c>
      <c r="AP2204" t="s">
        <v>31</v>
      </c>
      <c r="AQ2204">
        <v>0</v>
      </c>
    </row>
    <row r="2205" spans="1:43" x14ac:dyDescent="0.2">
      <c r="A2205" t="s">
        <v>381</v>
      </c>
      <c r="B2205" s="3">
        <v>44287</v>
      </c>
      <c r="C2205">
        <v>48</v>
      </c>
      <c r="D2205" t="s">
        <v>385</v>
      </c>
      <c r="E2205" t="s">
        <v>106</v>
      </c>
      <c r="F2205" s="9" t="s">
        <v>126</v>
      </c>
      <c r="G2205" t="s">
        <v>26</v>
      </c>
      <c r="H2205" t="s">
        <v>116</v>
      </c>
      <c r="I2205" t="s">
        <v>117</v>
      </c>
      <c r="J2205" t="s">
        <v>43</v>
      </c>
      <c r="K2205" t="s">
        <v>44</v>
      </c>
      <c r="L2205" t="s">
        <v>29</v>
      </c>
      <c r="M2205" t="s">
        <v>30</v>
      </c>
      <c r="N2205" t="s">
        <v>116</v>
      </c>
      <c r="O2205" t="s">
        <v>117</v>
      </c>
      <c r="P2205" t="s">
        <v>43</v>
      </c>
      <c r="Q2205" t="s">
        <v>44</v>
      </c>
      <c r="R2205" s="1">
        <v>44287.540150462963</v>
      </c>
      <c r="S2205" s="1">
        <v>44287.540150462963</v>
      </c>
      <c r="T2205">
        <v>1</v>
      </c>
      <c r="U2205">
        <v>1</v>
      </c>
      <c r="V2205" s="2">
        <v>1</v>
      </c>
      <c r="W2205">
        <v>0</v>
      </c>
      <c r="X2205" t="s">
        <v>30</v>
      </c>
      <c r="Y2205">
        <v>0</v>
      </c>
      <c r="Z2205" t="s">
        <v>31</v>
      </c>
      <c r="AA2205">
        <v>0</v>
      </c>
      <c r="AB2205" t="s">
        <v>31</v>
      </c>
      <c r="AC2205">
        <v>0</v>
      </c>
      <c r="AD2205" t="s">
        <v>31</v>
      </c>
      <c r="AE2205">
        <v>0</v>
      </c>
      <c r="AF2205" t="s">
        <v>31</v>
      </c>
      <c r="AG2205">
        <v>0</v>
      </c>
      <c r="AH2205" t="s">
        <v>31</v>
      </c>
      <c r="AI2205">
        <v>0</v>
      </c>
      <c r="AJ2205" t="s">
        <v>31</v>
      </c>
      <c r="AK2205">
        <v>0</v>
      </c>
      <c r="AL2205" t="s">
        <v>31</v>
      </c>
      <c r="AM2205">
        <v>0</v>
      </c>
      <c r="AN2205" t="s">
        <v>31</v>
      </c>
      <c r="AO2205">
        <v>0</v>
      </c>
      <c r="AP2205" t="s">
        <v>31</v>
      </c>
      <c r="AQ2205">
        <v>0</v>
      </c>
    </row>
    <row r="2206" spans="1:43" x14ac:dyDescent="0.2">
      <c r="A2206" t="s">
        <v>381</v>
      </c>
      <c r="B2206" s="3">
        <v>44292</v>
      </c>
      <c r="C2206">
        <v>51</v>
      </c>
      <c r="D2206" t="s">
        <v>385</v>
      </c>
      <c r="E2206" t="s">
        <v>106</v>
      </c>
      <c r="F2206" s="9" t="s">
        <v>126</v>
      </c>
      <c r="G2206" t="s">
        <v>26</v>
      </c>
      <c r="H2206" t="s">
        <v>116</v>
      </c>
      <c r="I2206" t="s">
        <v>117</v>
      </c>
      <c r="J2206" t="s">
        <v>43</v>
      </c>
      <c r="K2206" t="s">
        <v>44</v>
      </c>
      <c r="L2206" t="s">
        <v>29</v>
      </c>
      <c r="M2206" t="s">
        <v>30</v>
      </c>
      <c r="N2206" t="s">
        <v>116</v>
      </c>
      <c r="O2206" t="s">
        <v>117</v>
      </c>
      <c r="P2206" t="s">
        <v>43</v>
      </c>
      <c r="Q2206" t="s">
        <v>44</v>
      </c>
      <c r="R2206" s="1">
        <v>44292.397974537038</v>
      </c>
      <c r="S2206" s="1">
        <v>44292.397974537038</v>
      </c>
      <c r="T2206">
        <v>2</v>
      </c>
      <c r="U2206">
        <v>2</v>
      </c>
      <c r="V2206" s="2">
        <v>1</v>
      </c>
      <c r="W2206">
        <v>0</v>
      </c>
      <c r="X2206" t="s">
        <v>30</v>
      </c>
      <c r="Y2206">
        <v>0</v>
      </c>
      <c r="Z2206" t="s">
        <v>30</v>
      </c>
      <c r="AA2206">
        <v>0</v>
      </c>
      <c r="AB2206" t="s">
        <v>31</v>
      </c>
      <c r="AC2206">
        <v>0</v>
      </c>
      <c r="AD2206" t="s">
        <v>31</v>
      </c>
      <c r="AE2206">
        <v>0</v>
      </c>
      <c r="AF2206" t="s">
        <v>31</v>
      </c>
      <c r="AG2206">
        <v>0</v>
      </c>
      <c r="AH2206" t="s">
        <v>31</v>
      </c>
      <c r="AI2206">
        <v>0</v>
      </c>
      <c r="AJ2206" t="s">
        <v>31</v>
      </c>
      <c r="AK2206">
        <v>0</v>
      </c>
      <c r="AL2206" t="s">
        <v>31</v>
      </c>
      <c r="AM2206">
        <v>0</v>
      </c>
      <c r="AN2206" t="s">
        <v>31</v>
      </c>
      <c r="AO2206">
        <v>0</v>
      </c>
      <c r="AP2206" t="s">
        <v>31</v>
      </c>
      <c r="AQ2206">
        <v>0</v>
      </c>
    </row>
    <row r="2207" spans="1:43" x14ac:dyDescent="0.2">
      <c r="A2207" t="s">
        <v>381</v>
      </c>
      <c r="B2207" s="3">
        <v>44294</v>
      </c>
      <c r="C2207">
        <v>55</v>
      </c>
      <c r="D2207" t="s">
        <v>385</v>
      </c>
      <c r="E2207" t="s">
        <v>106</v>
      </c>
      <c r="F2207" s="9" t="s">
        <v>126</v>
      </c>
      <c r="G2207" t="s">
        <v>26</v>
      </c>
      <c r="H2207" t="s">
        <v>116</v>
      </c>
      <c r="I2207" t="s">
        <v>117</v>
      </c>
      <c r="J2207" t="s">
        <v>43</v>
      </c>
      <c r="K2207" t="s">
        <v>44</v>
      </c>
      <c r="L2207" t="s">
        <v>29</v>
      </c>
      <c r="M2207" t="s">
        <v>30</v>
      </c>
      <c r="N2207" t="s">
        <v>116</v>
      </c>
      <c r="O2207" t="s">
        <v>117</v>
      </c>
      <c r="P2207" t="s">
        <v>43</v>
      </c>
      <c r="Q2207" t="s">
        <v>44</v>
      </c>
      <c r="R2207" s="1">
        <v>44294.63795138889</v>
      </c>
      <c r="S2207" s="1">
        <v>44294.637974537036</v>
      </c>
      <c r="T2207">
        <v>5</v>
      </c>
      <c r="U2207">
        <v>5</v>
      </c>
      <c r="V2207" s="2">
        <v>1</v>
      </c>
      <c r="W2207">
        <v>0</v>
      </c>
      <c r="X2207" t="s">
        <v>30</v>
      </c>
      <c r="Y2207">
        <v>0</v>
      </c>
      <c r="Z2207" t="s">
        <v>30</v>
      </c>
      <c r="AA2207">
        <v>0</v>
      </c>
      <c r="AB2207" t="s">
        <v>30</v>
      </c>
      <c r="AC2207">
        <v>0</v>
      </c>
      <c r="AD2207" t="s">
        <v>30</v>
      </c>
      <c r="AE2207">
        <v>0</v>
      </c>
      <c r="AF2207" t="s">
        <v>30</v>
      </c>
      <c r="AG2207">
        <v>0</v>
      </c>
      <c r="AH2207" t="s">
        <v>31</v>
      </c>
      <c r="AI2207">
        <v>0</v>
      </c>
      <c r="AJ2207" t="s">
        <v>31</v>
      </c>
      <c r="AK2207">
        <v>0</v>
      </c>
      <c r="AL2207" t="s">
        <v>31</v>
      </c>
      <c r="AM2207">
        <v>0</v>
      </c>
      <c r="AN2207" t="s">
        <v>31</v>
      </c>
      <c r="AO2207">
        <v>0</v>
      </c>
      <c r="AP2207" t="s">
        <v>31</v>
      </c>
      <c r="AQ2207">
        <v>0</v>
      </c>
    </row>
    <row r="2208" spans="1:43" x14ac:dyDescent="0.2">
      <c r="A2208" t="s">
        <v>381</v>
      </c>
      <c r="B2208" s="3">
        <v>44299</v>
      </c>
      <c r="C2208">
        <v>58</v>
      </c>
      <c r="D2208" t="s">
        <v>385</v>
      </c>
      <c r="E2208" t="s">
        <v>106</v>
      </c>
      <c r="F2208" s="9" t="s">
        <v>126</v>
      </c>
      <c r="G2208" t="s">
        <v>26</v>
      </c>
      <c r="H2208" t="s">
        <v>116</v>
      </c>
      <c r="I2208" t="s">
        <v>117</v>
      </c>
      <c r="J2208" t="s">
        <v>43</v>
      </c>
      <c r="K2208" t="s">
        <v>44</v>
      </c>
      <c r="L2208" t="s">
        <v>29</v>
      </c>
      <c r="M2208" t="s">
        <v>30</v>
      </c>
      <c r="N2208" t="s">
        <v>116</v>
      </c>
      <c r="O2208" t="s">
        <v>117</v>
      </c>
      <c r="P2208" t="s">
        <v>43</v>
      </c>
      <c r="Q2208" t="s">
        <v>44</v>
      </c>
      <c r="R2208" s="1">
        <v>44299.43241898148</v>
      </c>
      <c r="S2208" s="1">
        <v>44299.432453703703</v>
      </c>
      <c r="T2208">
        <v>4</v>
      </c>
      <c r="U2208">
        <v>4</v>
      </c>
      <c r="V2208" s="2">
        <v>1</v>
      </c>
      <c r="W2208">
        <v>0</v>
      </c>
      <c r="X2208" t="s">
        <v>30</v>
      </c>
      <c r="Y2208">
        <v>0</v>
      </c>
      <c r="Z2208" t="s">
        <v>30</v>
      </c>
      <c r="AA2208">
        <v>0</v>
      </c>
      <c r="AB2208" t="s">
        <v>30</v>
      </c>
      <c r="AC2208">
        <v>0</v>
      </c>
      <c r="AD2208" t="s">
        <v>30</v>
      </c>
      <c r="AE2208">
        <v>0</v>
      </c>
      <c r="AF2208" t="s">
        <v>31</v>
      </c>
      <c r="AG2208">
        <v>0</v>
      </c>
      <c r="AH2208" t="s">
        <v>31</v>
      </c>
      <c r="AI2208">
        <v>0</v>
      </c>
      <c r="AJ2208" t="s">
        <v>31</v>
      </c>
      <c r="AK2208">
        <v>0</v>
      </c>
      <c r="AL2208" t="s">
        <v>31</v>
      </c>
      <c r="AM2208">
        <v>0</v>
      </c>
      <c r="AN2208" t="s">
        <v>31</v>
      </c>
      <c r="AO2208">
        <v>0</v>
      </c>
      <c r="AP2208" t="s">
        <v>31</v>
      </c>
      <c r="AQ2208">
        <v>0</v>
      </c>
    </row>
    <row r="2209" spans="1:43" x14ac:dyDescent="0.2">
      <c r="A2209" t="s">
        <v>381</v>
      </c>
      <c r="B2209" s="3">
        <v>44301</v>
      </c>
      <c r="C2209">
        <v>62</v>
      </c>
      <c r="D2209" t="s">
        <v>385</v>
      </c>
      <c r="E2209" t="s">
        <v>106</v>
      </c>
      <c r="F2209" s="9" t="s">
        <v>126</v>
      </c>
      <c r="G2209" t="s">
        <v>26</v>
      </c>
      <c r="H2209" t="s">
        <v>116</v>
      </c>
      <c r="I2209" t="s">
        <v>117</v>
      </c>
      <c r="J2209" t="s">
        <v>43</v>
      </c>
      <c r="K2209" t="s">
        <v>44</v>
      </c>
      <c r="L2209" t="s">
        <v>29</v>
      </c>
      <c r="M2209" t="s">
        <v>30</v>
      </c>
      <c r="N2209" t="s">
        <v>116</v>
      </c>
      <c r="O2209" t="s">
        <v>117</v>
      </c>
      <c r="P2209" t="s">
        <v>43</v>
      </c>
      <c r="Q2209" t="s">
        <v>44</v>
      </c>
      <c r="R2209" s="1">
        <v>44301.40079861111</v>
      </c>
      <c r="S2209" s="1">
        <v>44301.450092592589</v>
      </c>
      <c r="T2209">
        <v>3</v>
      </c>
      <c r="U2209">
        <v>3</v>
      </c>
      <c r="V2209" s="2">
        <v>1</v>
      </c>
      <c r="W2209">
        <v>0</v>
      </c>
      <c r="X2209" t="s">
        <v>30</v>
      </c>
      <c r="Y2209">
        <v>0</v>
      </c>
      <c r="Z2209" t="s">
        <v>30</v>
      </c>
      <c r="AA2209">
        <v>0</v>
      </c>
      <c r="AB2209" t="s">
        <v>30</v>
      </c>
      <c r="AC2209">
        <v>0</v>
      </c>
      <c r="AD2209" t="s">
        <v>31</v>
      </c>
      <c r="AE2209">
        <v>0</v>
      </c>
      <c r="AF2209" t="s">
        <v>31</v>
      </c>
      <c r="AG2209">
        <v>0</v>
      </c>
      <c r="AH2209" t="s">
        <v>31</v>
      </c>
      <c r="AI2209">
        <v>0</v>
      </c>
      <c r="AJ2209" t="s">
        <v>31</v>
      </c>
      <c r="AK2209">
        <v>0</v>
      </c>
      <c r="AL2209" t="s">
        <v>31</v>
      </c>
      <c r="AM2209">
        <v>0</v>
      </c>
      <c r="AN2209" t="s">
        <v>31</v>
      </c>
      <c r="AO2209">
        <v>0</v>
      </c>
      <c r="AP2209" t="s">
        <v>31</v>
      </c>
      <c r="AQ2209">
        <v>0</v>
      </c>
    </row>
    <row r="2210" spans="1:43" x14ac:dyDescent="0.2">
      <c r="A2210" t="s">
        <v>381</v>
      </c>
      <c r="B2210" s="3">
        <v>44301</v>
      </c>
      <c r="C2210">
        <v>63</v>
      </c>
      <c r="D2210" t="s">
        <v>385</v>
      </c>
      <c r="E2210" t="s">
        <v>106</v>
      </c>
      <c r="F2210" s="9" t="s">
        <v>126</v>
      </c>
      <c r="G2210" t="s">
        <v>26</v>
      </c>
      <c r="H2210" t="s">
        <v>116</v>
      </c>
      <c r="I2210" t="s">
        <v>117</v>
      </c>
      <c r="J2210" t="s">
        <v>43</v>
      </c>
      <c r="K2210" t="s">
        <v>44</v>
      </c>
      <c r="L2210" t="s">
        <v>29</v>
      </c>
      <c r="M2210" t="s">
        <v>30</v>
      </c>
      <c r="N2210" t="s">
        <v>116</v>
      </c>
      <c r="O2210" t="s">
        <v>117</v>
      </c>
      <c r="P2210" t="s">
        <v>43</v>
      </c>
      <c r="Q2210" t="s">
        <v>44</v>
      </c>
      <c r="R2210" s="1">
        <v>44301.556168981479</v>
      </c>
      <c r="S2210" s="1">
        <v>44301.572870370372</v>
      </c>
      <c r="T2210">
        <v>3</v>
      </c>
      <c r="U2210">
        <v>3</v>
      </c>
      <c r="V2210" s="2">
        <v>1</v>
      </c>
      <c r="W2210">
        <v>0</v>
      </c>
      <c r="X2210" t="s">
        <v>30</v>
      </c>
      <c r="Y2210">
        <v>0</v>
      </c>
      <c r="Z2210" t="s">
        <v>30</v>
      </c>
      <c r="AA2210">
        <v>0</v>
      </c>
      <c r="AB2210" t="s">
        <v>30</v>
      </c>
      <c r="AC2210">
        <v>0</v>
      </c>
      <c r="AD2210" t="s">
        <v>31</v>
      </c>
      <c r="AE2210">
        <v>0</v>
      </c>
      <c r="AF2210" t="s">
        <v>31</v>
      </c>
      <c r="AG2210">
        <v>0</v>
      </c>
      <c r="AH2210" t="s">
        <v>31</v>
      </c>
      <c r="AI2210">
        <v>0</v>
      </c>
      <c r="AJ2210" t="s">
        <v>31</v>
      </c>
      <c r="AK2210">
        <v>0</v>
      </c>
      <c r="AL2210" t="s">
        <v>31</v>
      </c>
      <c r="AM2210">
        <v>0</v>
      </c>
      <c r="AN2210" t="s">
        <v>31</v>
      </c>
      <c r="AO2210">
        <v>0</v>
      </c>
      <c r="AP2210" t="s">
        <v>31</v>
      </c>
      <c r="AQ2210">
        <v>0</v>
      </c>
    </row>
    <row r="2211" spans="1:43" x14ac:dyDescent="0.2">
      <c r="A2211" t="s">
        <v>381</v>
      </c>
      <c r="B2211" s="3">
        <v>44315</v>
      </c>
      <c r="C2211">
        <v>81</v>
      </c>
      <c r="D2211" t="s">
        <v>385</v>
      </c>
      <c r="E2211" t="s">
        <v>106</v>
      </c>
      <c r="F2211" s="9" t="s">
        <v>126</v>
      </c>
      <c r="G2211" t="s">
        <v>26</v>
      </c>
      <c r="H2211" t="s">
        <v>116</v>
      </c>
      <c r="I2211" t="s">
        <v>117</v>
      </c>
      <c r="J2211" t="s">
        <v>43</v>
      </c>
      <c r="K2211" t="s">
        <v>44</v>
      </c>
      <c r="L2211" t="s">
        <v>29</v>
      </c>
      <c r="M2211" t="s">
        <v>30</v>
      </c>
      <c r="N2211" t="s">
        <v>116</v>
      </c>
      <c r="O2211" t="s">
        <v>117</v>
      </c>
      <c r="P2211" t="s">
        <v>43</v>
      </c>
      <c r="Q2211" t="s">
        <v>44</v>
      </c>
      <c r="R2211" s="1">
        <v>44315.603113425925</v>
      </c>
      <c r="S2211" s="1">
        <v>44315.603113425925</v>
      </c>
      <c r="T2211">
        <v>5</v>
      </c>
      <c r="U2211">
        <v>5</v>
      </c>
      <c r="V2211" s="2">
        <v>1</v>
      </c>
      <c r="W2211">
        <v>0</v>
      </c>
      <c r="X2211" t="s">
        <v>30</v>
      </c>
      <c r="Y2211">
        <v>0</v>
      </c>
      <c r="Z2211" t="s">
        <v>30</v>
      </c>
      <c r="AA2211">
        <v>0</v>
      </c>
      <c r="AB2211" t="s">
        <v>30</v>
      </c>
      <c r="AC2211">
        <v>0</v>
      </c>
      <c r="AD2211" t="s">
        <v>30</v>
      </c>
      <c r="AE2211">
        <v>0</v>
      </c>
      <c r="AF2211" t="s">
        <v>30</v>
      </c>
      <c r="AG2211">
        <v>0</v>
      </c>
      <c r="AH2211" t="s">
        <v>31</v>
      </c>
      <c r="AI2211">
        <v>0</v>
      </c>
      <c r="AJ2211" t="s">
        <v>31</v>
      </c>
      <c r="AK2211">
        <v>0</v>
      </c>
      <c r="AL2211" t="s">
        <v>31</v>
      </c>
      <c r="AM2211">
        <v>0</v>
      </c>
      <c r="AN2211" t="s">
        <v>31</v>
      </c>
      <c r="AO2211">
        <v>0</v>
      </c>
      <c r="AP2211" t="s">
        <v>31</v>
      </c>
      <c r="AQ2211">
        <v>0</v>
      </c>
    </row>
    <row r="2212" spans="1:43" x14ac:dyDescent="0.2">
      <c r="A2212" t="s">
        <v>381</v>
      </c>
      <c r="B2212" s="3">
        <v>44320</v>
      </c>
      <c r="C2212">
        <v>87</v>
      </c>
      <c r="D2212" t="s">
        <v>385</v>
      </c>
      <c r="E2212" t="s">
        <v>106</v>
      </c>
      <c r="F2212" s="9" t="s">
        <v>126</v>
      </c>
      <c r="G2212" t="s">
        <v>26</v>
      </c>
      <c r="H2212" t="s">
        <v>116</v>
      </c>
      <c r="I2212" t="s">
        <v>117</v>
      </c>
      <c r="J2212" t="s">
        <v>43</v>
      </c>
      <c r="K2212" t="s">
        <v>44</v>
      </c>
      <c r="L2212" t="s">
        <v>29</v>
      </c>
      <c r="M2212" t="s">
        <v>30</v>
      </c>
      <c r="N2212" t="s">
        <v>116</v>
      </c>
      <c r="O2212" t="s">
        <v>117</v>
      </c>
      <c r="P2212" t="s">
        <v>43</v>
      </c>
      <c r="Q2212" t="s">
        <v>44</v>
      </c>
      <c r="R2212" s="1">
        <v>44320.563414351855</v>
      </c>
      <c r="S2212" s="1">
        <v>44320.638206018521</v>
      </c>
      <c r="T2212">
        <v>4</v>
      </c>
      <c r="U2212">
        <v>4</v>
      </c>
      <c r="V2212" s="2">
        <v>1</v>
      </c>
      <c r="W2212">
        <v>0</v>
      </c>
      <c r="X2212" t="s">
        <v>30</v>
      </c>
      <c r="Y2212">
        <v>0</v>
      </c>
      <c r="Z2212" t="s">
        <v>30</v>
      </c>
      <c r="AA2212">
        <v>0</v>
      </c>
      <c r="AB2212" t="s">
        <v>30</v>
      </c>
      <c r="AC2212">
        <v>0</v>
      </c>
      <c r="AD2212" t="s">
        <v>30</v>
      </c>
      <c r="AE2212">
        <v>0</v>
      </c>
      <c r="AF2212" t="s">
        <v>31</v>
      </c>
      <c r="AG2212">
        <v>0</v>
      </c>
      <c r="AH2212" t="s">
        <v>31</v>
      </c>
      <c r="AI2212">
        <v>0</v>
      </c>
      <c r="AJ2212" t="s">
        <v>31</v>
      </c>
      <c r="AK2212">
        <v>0</v>
      </c>
      <c r="AL2212" t="s">
        <v>31</v>
      </c>
      <c r="AM2212">
        <v>0</v>
      </c>
      <c r="AN2212" t="s">
        <v>31</v>
      </c>
      <c r="AO2212">
        <v>0</v>
      </c>
      <c r="AP2212" t="s">
        <v>31</v>
      </c>
      <c r="AQ2212">
        <v>0</v>
      </c>
    </row>
    <row r="2213" spans="1:43" x14ac:dyDescent="0.2">
      <c r="A2213" t="s">
        <v>381</v>
      </c>
      <c r="B2213" s="3">
        <v>44334</v>
      </c>
      <c r="C2213">
        <v>99</v>
      </c>
      <c r="D2213" t="s">
        <v>385</v>
      </c>
      <c r="E2213" t="s">
        <v>106</v>
      </c>
      <c r="F2213" s="9" t="s">
        <v>126</v>
      </c>
      <c r="G2213" t="s">
        <v>26</v>
      </c>
      <c r="H2213" t="s">
        <v>116</v>
      </c>
      <c r="I2213" t="s">
        <v>117</v>
      </c>
      <c r="J2213" t="s">
        <v>43</v>
      </c>
      <c r="K2213" t="s">
        <v>44</v>
      </c>
      <c r="L2213" t="s">
        <v>29</v>
      </c>
      <c r="M2213" t="s">
        <v>30</v>
      </c>
      <c r="N2213" t="s">
        <v>116</v>
      </c>
      <c r="O2213" t="s">
        <v>117</v>
      </c>
      <c r="P2213" t="s">
        <v>43</v>
      </c>
      <c r="Q2213" t="s">
        <v>44</v>
      </c>
      <c r="R2213" s="1">
        <v>44334.583379629628</v>
      </c>
      <c r="S2213" s="1">
        <v>44334.583379629628</v>
      </c>
      <c r="T2213">
        <v>1</v>
      </c>
      <c r="U2213">
        <v>1</v>
      </c>
      <c r="V2213" s="2">
        <v>1</v>
      </c>
      <c r="W2213">
        <v>0</v>
      </c>
      <c r="X2213" t="s">
        <v>30</v>
      </c>
      <c r="Y2213">
        <v>0</v>
      </c>
      <c r="Z2213" t="s">
        <v>31</v>
      </c>
      <c r="AA2213">
        <v>0</v>
      </c>
      <c r="AB2213" t="s">
        <v>31</v>
      </c>
      <c r="AC2213">
        <v>0</v>
      </c>
      <c r="AD2213" t="s">
        <v>31</v>
      </c>
      <c r="AE2213">
        <v>0</v>
      </c>
      <c r="AF2213" t="s">
        <v>31</v>
      </c>
      <c r="AG2213">
        <v>0</v>
      </c>
      <c r="AH2213" t="s">
        <v>31</v>
      </c>
      <c r="AI2213">
        <v>0</v>
      </c>
      <c r="AJ2213" t="s">
        <v>31</v>
      </c>
      <c r="AK2213">
        <v>0</v>
      </c>
      <c r="AL2213" t="s">
        <v>31</v>
      </c>
      <c r="AM2213">
        <v>0</v>
      </c>
      <c r="AN2213" t="s">
        <v>31</v>
      </c>
      <c r="AO2213">
        <v>0</v>
      </c>
      <c r="AP2213" t="s">
        <v>31</v>
      </c>
      <c r="AQ2213">
        <v>0</v>
      </c>
    </row>
    <row r="2214" spans="1:43" x14ac:dyDescent="0.2">
      <c r="A2214" t="s">
        <v>381</v>
      </c>
      <c r="B2214" s="3">
        <v>44336</v>
      </c>
      <c r="C2214">
        <v>103</v>
      </c>
      <c r="D2214" t="s">
        <v>385</v>
      </c>
      <c r="E2214" t="s">
        <v>106</v>
      </c>
      <c r="F2214" s="9" t="s">
        <v>126</v>
      </c>
      <c r="G2214" t="s">
        <v>26</v>
      </c>
      <c r="H2214" t="s">
        <v>116</v>
      </c>
      <c r="I2214" t="s">
        <v>117</v>
      </c>
      <c r="J2214" t="s">
        <v>43</v>
      </c>
      <c r="K2214" t="s">
        <v>44</v>
      </c>
      <c r="L2214" t="s">
        <v>29</v>
      </c>
      <c r="M2214" t="s">
        <v>30</v>
      </c>
      <c r="N2214" t="s">
        <v>116</v>
      </c>
      <c r="O2214" t="s">
        <v>117</v>
      </c>
      <c r="P2214" t="s">
        <v>43</v>
      </c>
      <c r="Q2214" t="s">
        <v>44</v>
      </c>
      <c r="R2214" s="1">
        <v>44336.568356481483</v>
      </c>
      <c r="S2214" s="1">
        <v>44336.568368055552</v>
      </c>
      <c r="T2214">
        <v>2</v>
      </c>
      <c r="U2214">
        <v>2</v>
      </c>
      <c r="V2214" s="2">
        <v>1</v>
      </c>
      <c r="W2214">
        <v>0</v>
      </c>
      <c r="X2214" t="s">
        <v>30</v>
      </c>
      <c r="Y2214">
        <v>0</v>
      </c>
      <c r="Z2214" t="s">
        <v>30</v>
      </c>
      <c r="AA2214">
        <v>0</v>
      </c>
      <c r="AB2214" t="s">
        <v>31</v>
      </c>
      <c r="AC2214">
        <v>0</v>
      </c>
      <c r="AD2214" t="s">
        <v>31</v>
      </c>
      <c r="AE2214">
        <v>0</v>
      </c>
      <c r="AF2214" t="s">
        <v>31</v>
      </c>
      <c r="AG2214">
        <v>0</v>
      </c>
      <c r="AH2214" t="s">
        <v>31</v>
      </c>
      <c r="AI2214">
        <v>0</v>
      </c>
      <c r="AJ2214" t="s">
        <v>31</v>
      </c>
      <c r="AK2214">
        <v>0</v>
      </c>
      <c r="AL2214" t="s">
        <v>31</v>
      </c>
      <c r="AM2214">
        <v>0</v>
      </c>
      <c r="AN2214" t="s">
        <v>31</v>
      </c>
      <c r="AO2214">
        <v>0</v>
      </c>
      <c r="AP2214" t="s">
        <v>31</v>
      </c>
      <c r="AQ2214">
        <v>0</v>
      </c>
    </row>
    <row r="2215" spans="1:43" x14ac:dyDescent="0.2">
      <c r="A2215" t="s">
        <v>381</v>
      </c>
      <c r="B2215" s="3">
        <v>44341</v>
      </c>
      <c r="C2215">
        <v>111</v>
      </c>
      <c r="D2215" t="s">
        <v>385</v>
      </c>
      <c r="E2215" t="s">
        <v>106</v>
      </c>
      <c r="F2215" s="9" t="s">
        <v>126</v>
      </c>
      <c r="G2215" t="s">
        <v>26</v>
      </c>
      <c r="H2215" t="s">
        <v>116</v>
      </c>
      <c r="I2215" t="s">
        <v>117</v>
      </c>
      <c r="J2215" t="s">
        <v>43</v>
      </c>
      <c r="K2215" t="s">
        <v>44</v>
      </c>
      <c r="L2215" t="s">
        <v>29</v>
      </c>
      <c r="M2215" t="s">
        <v>30</v>
      </c>
      <c r="N2215" t="s">
        <v>116</v>
      </c>
      <c r="O2215" t="s">
        <v>117</v>
      </c>
      <c r="P2215" t="s">
        <v>43</v>
      </c>
      <c r="Q2215" t="s">
        <v>44</v>
      </c>
      <c r="R2215" s="1">
        <v>44341.590173611112</v>
      </c>
      <c r="S2215" s="1">
        <v>44341.590173611112</v>
      </c>
      <c r="T2215">
        <v>1</v>
      </c>
      <c r="U2215">
        <v>1</v>
      </c>
      <c r="V2215" s="2">
        <v>1</v>
      </c>
      <c r="W2215">
        <v>0</v>
      </c>
      <c r="X2215" t="s">
        <v>30</v>
      </c>
      <c r="Y2215">
        <v>0</v>
      </c>
      <c r="Z2215" t="s">
        <v>31</v>
      </c>
      <c r="AA2215">
        <v>0</v>
      </c>
      <c r="AB2215" t="s">
        <v>31</v>
      </c>
      <c r="AC2215">
        <v>0</v>
      </c>
      <c r="AD2215" t="s">
        <v>31</v>
      </c>
      <c r="AE2215">
        <v>0</v>
      </c>
      <c r="AF2215" t="s">
        <v>31</v>
      </c>
      <c r="AG2215">
        <v>0</v>
      </c>
      <c r="AH2215" t="s">
        <v>31</v>
      </c>
      <c r="AI2215">
        <v>0</v>
      </c>
      <c r="AJ2215" t="s">
        <v>31</v>
      </c>
      <c r="AK2215">
        <v>0</v>
      </c>
      <c r="AL2215" t="s">
        <v>31</v>
      </c>
      <c r="AM2215">
        <v>0</v>
      </c>
      <c r="AN2215" t="s">
        <v>31</v>
      </c>
      <c r="AO2215">
        <v>0</v>
      </c>
      <c r="AP2215" t="s">
        <v>31</v>
      </c>
      <c r="AQ2215">
        <v>0</v>
      </c>
    </row>
    <row r="2216" spans="1:43" x14ac:dyDescent="0.2">
      <c r="A2216" t="s">
        <v>381</v>
      </c>
      <c r="B2216" s="3">
        <v>44348</v>
      </c>
      <c r="C2216">
        <v>118</v>
      </c>
      <c r="D2216" t="s">
        <v>396</v>
      </c>
      <c r="E2216" t="s">
        <v>106</v>
      </c>
      <c r="F2216" s="9" t="s">
        <v>126</v>
      </c>
      <c r="G2216" t="s">
        <v>26</v>
      </c>
      <c r="H2216" t="s">
        <v>116</v>
      </c>
      <c r="I2216" t="s">
        <v>117</v>
      </c>
      <c r="J2216" t="s">
        <v>43</v>
      </c>
      <c r="K2216" t="s">
        <v>44</v>
      </c>
      <c r="L2216" t="s">
        <v>29</v>
      </c>
      <c r="M2216" t="s">
        <v>30</v>
      </c>
      <c r="N2216" t="s">
        <v>116</v>
      </c>
      <c r="O2216" t="s">
        <v>117</v>
      </c>
      <c r="P2216" t="s">
        <v>43</v>
      </c>
      <c r="Q2216" t="s">
        <v>44</v>
      </c>
      <c r="R2216" s="1">
        <v>44348.402453703704</v>
      </c>
      <c r="S2216" s="1">
        <v>44348.402453703704</v>
      </c>
      <c r="T2216">
        <v>1</v>
      </c>
      <c r="U2216">
        <v>1</v>
      </c>
      <c r="V2216" s="2">
        <v>1</v>
      </c>
      <c r="W2216">
        <v>0</v>
      </c>
      <c r="X2216" t="s">
        <v>30</v>
      </c>
      <c r="Y2216">
        <v>0</v>
      </c>
      <c r="Z2216" t="s">
        <v>31</v>
      </c>
      <c r="AA2216">
        <v>0</v>
      </c>
      <c r="AB2216" t="s">
        <v>31</v>
      </c>
      <c r="AC2216">
        <v>0</v>
      </c>
      <c r="AD2216" t="s">
        <v>31</v>
      </c>
      <c r="AE2216">
        <v>0</v>
      </c>
      <c r="AF2216" t="s">
        <v>31</v>
      </c>
      <c r="AG2216">
        <v>0</v>
      </c>
      <c r="AH2216" t="s">
        <v>31</v>
      </c>
      <c r="AI2216">
        <v>0</v>
      </c>
      <c r="AJ2216" t="s">
        <v>31</v>
      </c>
      <c r="AK2216">
        <v>0</v>
      </c>
      <c r="AL2216" t="s">
        <v>31</v>
      </c>
      <c r="AM2216">
        <v>0</v>
      </c>
      <c r="AN2216" t="s">
        <v>31</v>
      </c>
      <c r="AO2216">
        <v>0</v>
      </c>
      <c r="AP2216" t="s">
        <v>31</v>
      </c>
      <c r="AQ2216">
        <v>0</v>
      </c>
    </row>
    <row r="2217" spans="1:43" x14ac:dyDescent="0.2">
      <c r="A2217" t="s">
        <v>381</v>
      </c>
      <c r="B2217" s="3">
        <v>44349</v>
      </c>
      <c r="C2217">
        <v>121</v>
      </c>
      <c r="D2217" t="s">
        <v>385</v>
      </c>
      <c r="E2217" t="s">
        <v>106</v>
      </c>
      <c r="F2217" s="9" t="s">
        <v>126</v>
      </c>
      <c r="G2217" t="s">
        <v>26</v>
      </c>
      <c r="H2217" t="s">
        <v>116</v>
      </c>
      <c r="I2217" t="s">
        <v>117</v>
      </c>
      <c r="J2217" t="s">
        <v>43</v>
      </c>
      <c r="K2217" t="s">
        <v>44</v>
      </c>
      <c r="L2217" t="s">
        <v>29</v>
      </c>
      <c r="M2217" t="s">
        <v>30</v>
      </c>
      <c r="N2217" t="s">
        <v>116</v>
      </c>
      <c r="O2217" t="s">
        <v>117</v>
      </c>
      <c r="P2217" t="s">
        <v>43</v>
      </c>
      <c r="Q2217" t="s">
        <v>44</v>
      </c>
      <c r="R2217" s="1">
        <v>44349.570347222223</v>
      </c>
      <c r="S2217" s="1">
        <v>44349.620752314811</v>
      </c>
      <c r="T2217">
        <v>3</v>
      </c>
      <c r="U2217">
        <v>3</v>
      </c>
      <c r="V2217" s="2">
        <v>1</v>
      </c>
      <c r="W2217">
        <v>0</v>
      </c>
      <c r="X2217" t="s">
        <v>30</v>
      </c>
      <c r="Y2217">
        <v>0</v>
      </c>
      <c r="Z2217" t="s">
        <v>30</v>
      </c>
      <c r="AA2217">
        <v>0</v>
      </c>
      <c r="AB2217" t="s">
        <v>30</v>
      </c>
      <c r="AC2217">
        <v>0</v>
      </c>
      <c r="AD2217" t="s">
        <v>31</v>
      </c>
      <c r="AE2217">
        <v>0</v>
      </c>
      <c r="AF2217" t="s">
        <v>31</v>
      </c>
      <c r="AG2217">
        <v>0</v>
      </c>
      <c r="AH2217" t="s">
        <v>31</v>
      </c>
      <c r="AI2217">
        <v>0</v>
      </c>
      <c r="AJ2217" t="s">
        <v>31</v>
      </c>
      <c r="AK2217">
        <v>0</v>
      </c>
      <c r="AL2217" t="s">
        <v>31</v>
      </c>
      <c r="AM2217">
        <v>0</v>
      </c>
      <c r="AN2217" t="s">
        <v>31</v>
      </c>
      <c r="AO2217">
        <v>0</v>
      </c>
      <c r="AP2217" t="s">
        <v>31</v>
      </c>
      <c r="AQ2217">
        <v>0</v>
      </c>
    </row>
    <row r="2218" spans="1:43" x14ac:dyDescent="0.2">
      <c r="A2218" t="s">
        <v>381</v>
      </c>
      <c r="B2218" s="3">
        <v>44355</v>
      </c>
      <c r="C2218">
        <v>129</v>
      </c>
      <c r="D2218" t="s">
        <v>385</v>
      </c>
      <c r="E2218" t="s">
        <v>106</v>
      </c>
      <c r="F2218" s="9" t="s">
        <v>126</v>
      </c>
      <c r="G2218" t="s">
        <v>26</v>
      </c>
      <c r="H2218" t="s">
        <v>116</v>
      </c>
      <c r="I2218" t="s">
        <v>117</v>
      </c>
      <c r="J2218" t="s">
        <v>43</v>
      </c>
      <c r="K2218" t="s">
        <v>44</v>
      </c>
      <c r="L2218" t="s">
        <v>29</v>
      </c>
      <c r="M2218" t="s">
        <v>30</v>
      </c>
      <c r="N2218" t="s">
        <v>116</v>
      </c>
      <c r="O2218" t="s">
        <v>117</v>
      </c>
      <c r="P2218" t="s">
        <v>43</v>
      </c>
      <c r="Q2218" t="s">
        <v>44</v>
      </c>
      <c r="R2218" s="1">
        <v>44355.634942129633</v>
      </c>
      <c r="S2218" s="1">
        <v>44355.634942129633</v>
      </c>
      <c r="T2218">
        <v>1</v>
      </c>
      <c r="U2218">
        <v>1</v>
      </c>
      <c r="V2218" s="2">
        <v>1</v>
      </c>
      <c r="W2218">
        <v>0</v>
      </c>
      <c r="X2218" t="s">
        <v>30</v>
      </c>
      <c r="Y2218">
        <v>0</v>
      </c>
      <c r="Z2218" t="s">
        <v>31</v>
      </c>
      <c r="AA2218">
        <v>0</v>
      </c>
      <c r="AB2218" t="s">
        <v>31</v>
      </c>
      <c r="AC2218">
        <v>0</v>
      </c>
      <c r="AD2218" t="s">
        <v>31</v>
      </c>
      <c r="AE2218">
        <v>0</v>
      </c>
      <c r="AF2218" t="s">
        <v>31</v>
      </c>
      <c r="AG2218">
        <v>0</v>
      </c>
      <c r="AH2218" t="s">
        <v>31</v>
      </c>
      <c r="AI2218">
        <v>0</v>
      </c>
      <c r="AJ2218" t="s">
        <v>31</v>
      </c>
      <c r="AK2218">
        <v>0</v>
      </c>
      <c r="AL2218" t="s">
        <v>31</v>
      </c>
      <c r="AM2218">
        <v>0</v>
      </c>
      <c r="AN2218" t="s">
        <v>31</v>
      </c>
      <c r="AO2218">
        <v>0</v>
      </c>
      <c r="AP2218" t="s">
        <v>31</v>
      </c>
      <c r="AQ2218">
        <v>0</v>
      </c>
    </row>
    <row r="2219" spans="1:43" x14ac:dyDescent="0.2">
      <c r="A2219" t="s">
        <v>381</v>
      </c>
      <c r="B2219" s="3">
        <v>44357</v>
      </c>
      <c r="C2219">
        <v>132</v>
      </c>
      <c r="D2219" t="s">
        <v>399</v>
      </c>
      <c r="E2219" t="s">
        <v>106</v>
      </c>
      <c r="F2219" s="9" t="s">
        <v>126</v>
      </c>
      <c r="G2219" t="s">
        <v>26</v>
      </c>
      <c r="H2219" t="s">
        <v>116</v>
      </c>
      <c r="I2219" t="s">
        <v>117</v>
      </c>
      <c r="J2219" t="s">
        <v>43</v>
      </c>
      <c r="K2219" t="s">
        <v>44</v>
      </c>
      <c r="L2219" t="s">
        <v>29</v>
      </c>
      <c r="M2219" t="s">
        <v>30</v>
      </c>
      <c r="N2219" t="s">
        <v>116</v>
      </c>
      <c r="O2219" t="s">
        <v>117</v>
      </c>
      <c r="P2219" t="s">
        <v>43</v>
      </c>
      <c r="Q2219" t="s">
        <v>44</v>
      </c>
      <c r="R2219" s="1">
        <v>44357.408425925925</v>
      </c>
      <c r="S2219" s="1">
        <v>44357.408425925925</v>
      </c>
      <c r="T2219">
        <v>1</v>
      </c>
      <c r="U2219">
        <v>1</v>
      </c>
      <c r="V2219" s="2">
        <v>1</v>
      </c>
      <c r="W2219">
        <v>0</v>
      </c>
      <c r="X2219" t="s">
        <v>30</v>
      </c>
      <c r="Y2219">
        <v>0</v>
      </c>
      <c r="Z2219" t="s">
        <v>31</v>
      </c>
      <c r="AA2219">
        <v>0</v>
      </c>
      <c r="AB2219" t="s">
        <v>31</v>
      </c>
      <c r="AC2219">
        <v>0</v>
      </c>
      <c r="AD2219" t="s">
        <v>31</v>
      </c>
      <c r="AE2219">
        <v>0</v>
      </c>
      <c r="AF2219" t="s">
        <v>31</v>
      </c>
      <c r="AG2219">
        <v>0</v>
      </c>
      <c r="AH2219" t="s">
        <v>31</v>
      </c>
      <c r="AI2219">
        <v>0</v>
      </c>
      <c r="AJ2219" t="s">
        <v>31</v>
      </c>
      <c r="AK2219">
        <v>0</v>
      </c>
      <c r="AL2219" t="s">
        <v>31</v>
      </c>
      <c r="AM2219">
        <v>0</v>
      </c>
      <c r="AN2219" t="s">
        <v>31</v>
      </c>
      <c r="AO2219">
        <v>0</v>
      </c>
      <c r="AP2219" t="s">
        <v>31</v>
      </c>
      <c r="AQ2219">
        <v>0</v>
      </c>
    </row>
    <row r="2220" spans="1:43" x14ac:dyDescent="0.2">
      <c r="A2220" t="s">
        <v>381</v>
      </c>
      <c r="B2220" s="3">
        <v>44364</v>
      </c>
      <c r="C2220">
        <v>138</v>
      </c>
      <c r="D2220" t="s">
        <v>399</v>
      </c>
      <c r="E2220" t="s">
        <v>106</v>
      </c>
      <c r="F2220" s="9" t="s">
        <v>126</v>
      </c>
      <c r="G2220" t="s">
        <v>26</v>
      </c>
      <c r="H2220" t="s">
        <v>116</v>
      </c>
      <c r="I2220" t="s">
        <v>117</v>
      </c>
      <c r="J2220" t="s">
        <v>43</v>
      </c>
      <c r="K2220" t="s">
        <v>44</v>
      </c>
      <c r="L2220" t="s">
        <v>29</v>
      </c>
      <c r="M2220" t="s">
        <v>30</v>
      </c>
      <c r="N2220" t="s">
        <v>116</v>
      </c>
      <c r="O2220" t="s">
        <v>117</v>
      </c>
      <c r="P2220" t="s">
        <v>43</v>
      </c>
      <c r="Q2220" t="s">
        <v>44</v>
      </c>
      <c r="R2220" s="1">
        <v>44364.466226851851</v>
      </c>
      <c r="S2220" s="1">
        <v>44364.466226851851</v>
      </c>
      <c r="T2220">
        <v>1</v>
      </c>
      <c r="U2220">
        <v>1</v>
      </c>
      <c r="V2220" s="2">
        <v>1</v>
      </c>
      <c r="W2220">
        <v>0</v>
      </c>
      <c r="X2220" t="s">
        <v>30</v>
      </c>
      <c r="Y2220">
        <v>0</v>
      </c>
      <c r="Z2220" t="s">
        <v>31</v>
      </c>
      <c r="AA2220">
        <v>0</v>
      </c>
      <c r="AB2220" t="s">
        <v>31</v>
      </c>
      <c r="AC2220">
        <v>0</v>
      </c>
      <c r="AD2220" t="s">
        <v>31</v>
      </c>
      <c r="AE2220">
        <v>0</v>
      </c>
      <c r="AF2220" t="s">
        <v>31</v>
      </c>
      <c r="AG2220">
        <v>0</v>
      </c>
      <c r="AH2220" t="s">
        <v>31</v>
      </c>
      <c r="AI2220">
        <v>0</v>
      </c>
      <c r="AJ2220" t="s">
        <v>31</v>
      </c>
      <c r="AK2220">
        <v>0</v>
      </c>
      <c r="AL2220" t="s">
        <v>31</v>
      </c>
      <c r="AM2220">
        <v>0</v>
      </c>
      <c r="AN2220" t="s">
        <v>31</v>
      </c>
      <c r="AO2220">
        <v>0</v>
      </c>
      <c r="AP2220" t="s">
        <v>31</v>
      </c>
      <c r="AQ2220">
        <v>0</v>
      </c>
    </row>
    <row r="2221" spans="1:43" x14ac:dyDescent="0.2">
      <c r="A2221" t="s">
        <v>381</v>
      </c>
      <c r="B2221" s="3">
        <v>44264</v>
      </c>
      <c r="C2221">
        <v>31</v>
      </c>
      <c r="D2221" t="s">
        <v>385</v>
      </c>
      <c r="E2221" t="s">
        <v>106</v>
      </c>
      <c r="F2221" s="9" t="s">
        <v>205</v>
      </c>
      <c r="G2221" t="s">
        <v>26</v>
      </c>
      <c r="H2221" t="s">
        <v>200</v>
      </c>
      <c r="I2221" t="s">
        <v>201</v>
      </c>
      <c r="J2221" t="s">
        <v>43</v>
      </c>
      <c r="K2221" t="s">
        <v>44</v>
      </c>
      <c r="L2221" t="s">
        <v>29</v>
      </c>
      <c r="M2221" t="s">
        <v>30</v>
      </c>
      <c r="N2221" t="s">
        <v>108</v>
      </c>
      <c r="O2221" t="s">
        <v>109</v>
      </c>
      <c r="P2221" t="s">
        <v>43</v>
      </c>
      <c r="Q2221" t="s">
        <v>44</v>
      </c>
      <c r="R2221" s="1">
        <v>44264.605439814812</v>
      </c>
      <c r="S2221" s="1">
        <v>44264.605439814812</v>
      </c>
      <c r="T2221">
        <v>2</v>
      </c>
      <c r="U2221">
        <v>2</v>
      </c>
      <c r="V2221" s="2">
        <v>1</v>
      </c>
      <c r="W2221">
        <v>0</v>
      </c>
      <c r="X2221" t="s">
        <v>30</v>
      </c>
      <c r="Y2221">
        <v>0</v>
      </c>
      <c r="Z2221" t="s">
        <v>30</v>
      </c>
      <c r="AA2221">
        <v>0</v>
      </c>
      <c r="AB2221" t="s">
        <v>31</v>
      </c>
      <c r="AC2221">
        <v>0</v>
      </c>
      <c r="AD2221" t="s">
        <v>31</v>
      </c>
      <c r="AE2221">
        <v>0</v>
      </c>
      <c r="AF2221" t="s">
        <v>31</v>
      </c>
      <c r="AG2221">
        <v>0</v>
      </c>
      <c r="AH2221" t="s">
        <v>31</v>
      </c>
      <c r="AI2221">
        <v>0</v>
      </c>
      <c r="AJ2221" t="s">
        <v>31</v>
      </c>
      <c r="AK2221">
        <v>0</v>
      </c>
      <c r="AL2221" t="s">
        <v>31</v>
      </c>
      <c r="AM2221">
        <v>0</v>
      </c>
      <c r="AN2221" t="s">
        <v>31</v>
      </c>
      <c r="AO2221">
        <v>0</v>
      </c>
      <c r="AP2221" t="s">
        <v>31</v>
      </c>
      <c r="AQ2221">
        <v>0</v>
      </c>
    </row>
    <row r="2222" spans="1:43" x14ac:dyDescent="0.2">
      <c r="A2222" t="s">
        <v>381</v>
      </c>
      <c r="B2222" s="3">
        <v>44273</v>
      </c>
      <c r="C2222">
        <v>40</v>
      </c>
      <c r="D2222" t="s">
        <v>385</v>
      </c>
      <c r="E2222" t="s">
        <v>106</v>
      </c>
      <c r="F2222" s="9" t="s">
        <v>205</v>
      </c>
      <c r="G2222" t="s">
        <v>26</v>
      </c>
      <c r="H2222" t="s">
        <v>108</v>
      </c>
      <c r="I2222" t="s">
        <v>109</v>
      </c>
      <c r="J2222" t="s">
        <v>43</v>
      </c>
      <c r="K2222" t="s">
        <v>44</v>
      </c>
      <c r="L2222" t="s">
        <v>29</v>
      </c>
      <c r="M2222" t="s">
        <v>30</v>
      </c>
      <c r="N2222" t="s">
        <v>108</v>
      </c>
      <c r="O2222" t="s">
        <v>109</v>
      </c>
      <c r="P2222" t="s">
        <v>43</v>
      </c>
      <c r="Q2222" t="s">
        <v>44</v>
      </c>
      <c r="R2222" s="1">
        <v>44273.546620370369</v>
      </c>
      <c r="S2222" s="1">
        <v>44273.546620370369</v>
      </c>
      <c r="T2222">
        <v>1</v>
      </c>
      <c r="U2222">
        <v>1</v>
      </c>
      <c r="V2222" s="2">
        <v>1</v>
      </c>
      <c r="W2222">
        <v>0</v>
      </c>
      <c r="X2222" t="s">
        <v>30</v>
      </c>
      <c r="Y2222">
        <v>0</v>
      </c>
      <c r="Z2222" t="s">
        <v>31</v>
      </c>
      <c r="AA2222">
        <v>0</v>
      </c>
      <c r="AB2222" t="s">
        <v>31</v>
      </c>
      <c r="AC2222">
        <v>0</v>
      </c>
      <c r="AD2222" t="s">
        <v>31</v>
      </c>
      <c r="AE2222">
        <v>0</v>
      </c>
      <c r="AF2222" t="s">
        <v>31</v>
      </c>
      <c r="AG2222">
        <v>0</v>
      </c>
      <c r="AH2222" t="s">
        <v>31</v>
      </c>
      <c r="AI2222">
        <v>0</v>
      </c>
      <c r="AJ2222" t="s">
        <v>31</v>
      </c>
      <c r="AK2222">
        <v>0</v>
      </c>
      <c r="AL2222" t="s">
        <v>31</v>
      </c>
      <c r="AM2222">
        <v>0</v>
      </c>
      <c r="AN2222" t="s">
        <v>31</v>
      </c>
      <c r="AO2222">
        <v>0</v>
      </c>
      <c r="AP2222" t="s">
        <v>31</v>
      </c>
      <c r="AQ2222">
        <v>0</v>
      </c>
    </row>
    <row r="2223" spans="1:43" x14ac:dyDescent="0.2">
      <c r="A2223" t="s">
        <v>381</v>
      </c>
      <c r="B2223" s="3">
        <v>44285</v>
      </c>
      <c r="C2223">
        <v>45</v>
      </c>
      <c r="D2223" t="s">
        <v>385</v>
      </c>
      <c r="E2223" t="s">
        <v>106</v>
      </c>
      <c r="F2223" s="9" t="s">
        <v>205</v>
      </c>
      <c r="G2223" t="s">
        <v>26</v>
      </c>
      <c r="H2223" t="s">
        <v>108</v>
      </c>
      <c r="I2223" t="s">
        <v>109</v>
      </c>
      <c r="J2223" t="s">
        <v>43</v>
      </c>
      <c r="K2223" t="s">
        <v>44</v>
      </c>
      <c r="L2223" t="s">
        <v>29</v>
      </c>
      <c r="M2223" t="s">
        <v>30</v>
      </c>
      <c r="N2223" t="s">
        <v>108</v>
      </c>
      <c r="O2223" t="s">
        <v>109</v>
      </c>
      <c r="P2223" t="s">
        <v>43</v>
      </c>
      <c r="Q2223" t="s">
        <v>44</v>
      </c>
      <c r="R2223" s="1">
        <v>44285.663599537038</v>
      </c>
      <c r="S2223" s="1">
        <v>44285.663599537038</v>
      </c>
      <c r="T2223">
        <v>1</v>
      </c>
      <c r="U2223">
        <v>1</v>
      </c>
      <c r="V2223" s="2">
        <v>1</v>
      </c>
      <c r="W2223">
        <v>0</v>
      </c>
      <c r="X2223" t="s">
        <v>30</v>
      </c>
      <c r="Y2223">
        <v>0</v>
      </c>
      <c r="Z2223" t="s">
        <v>31</v>
      </c>
      <c r="AA2223">
        <v>0</v>
      </c>
      <c r="AB2223" t="s">
        <v>31</v>
      </c>
      <c r="AC2223">
        <v>0</v>
      </c>
      <c r="AD2223" t="s">
        <v>31</v>
      </c>
      <c r="AE2223">
        <v>0</v>
      </c>
      <c r="AF2223" t="s">
        <v>31</v>
      </c>
      <c r="AG2223">
        <v>0</v>
      </c>
      <c r="AH2223" t="s">
        <v>31</v>
      </c>
      <c r="AI2223">
        <v>0</v>
      </c>
      <c r="AJ2223" t="s">
        <v>31</v>
      </c>
      <c r="AK2223">
        <v>0</v>
      </c>
      <c r="AL2223" t="s">
        <v>31</v>
      </c>
      <c r="AM2223">
        <v>0</v>
      </c>
      <c r="AN2223" t="s">
        <v>31</v>
      </c>
      <c r="AO2223">
        <v>0</v>
      </c>
      <c r="AP2223" t="s">
        <v>31</v>
      </c>
      <c r="AQ2223">
        <v>0</v>
      </c>
    </row>
    <row r="2224" spans="1:43" x14ac:dyDescent="0.2">
      <c r="A2224" t="s">
        <v>381</v>
      </c>
      <c r="B2224" s="3">
        <v>44315</v>
      </c>
      <c r="C2224">
        <v>79</v>
      </c>
      <c r="D2224" t="s">
        <v>383</v>
      </c>
      <c r="E2224" t="s">
        <v>106</v>
      </c>
      <c r="F2224" s="9" t="s">
        <v>205</v>
      </c>
      <c r="G2224" t="s">
        <v>26</v>
      </c>
      <c r="H2224" t="s">
        <v>108</v>
      </c>
      <c r="I2224" t="s">
        <v>109</v>
      </c>
      <c r="J2224" t="s">
        <v>43</v>
      </c>
      <c r="K2224" t="s">
        <v>44</v>
      </c>
      <c r="L2224" t="s">
        <v>29</v>
      </c>
      <c r="M2224" t="s">
        <v>30</v>
      </c>
      <c r="N2224" t="s">
        <v>99</v>
      </c>
      <c r="O2224" t="s">
        <v>100</v>
      </c>
      <c r="P2224" t="s">
        <v>43</v>
      </c>
      <c r="Q2224" t="s">
        <v>44</v>
      </c>
      <c r="R2224" s="1">
        <v>44315.464826388888</v>
      </c>
      <c r="S2224" s="1">
        <v>44315.464826388888</v>
      </c>
      <c r="T2224">
        <v>1</v>
      </c>
      <c r="U2224">
        <v>1</v>
      </c>
      <c r="V2224" s="2">
        <v>1</v>
      </c>
      <c r="W2224">
        <v>0</v>
      </c>
      <c r="X2224" t="s">
        <v>30</v>
      </c>
      <c r="Y2224">
        <v>0</v>
      </c>
      <c r="Z2224" t="s">
        <v>31</v>
      </c>
      <c r="AA2224">
        <v>0</v>
      </c>
      <c r="AB2224" t="s">
        <v>31</v>
      </c>
      <c r="AC2224">
        <v>0</v>
      </c>
      <c r="AD2224" t="s">
        <v>31</v>
      </c>
      <c r="AE2224">
        <v>0</v>
      </c>
      <c r="AF2224" t="s">
        <v>31</v>
      </c>
      <c r="AG2224">
        <v>0</v>
      </c>
      <c r="AH2224" t="s">
        <v>31</v>
      </c>
      <c r="AI2224">
        <v>0</v>
      </c>
      <c r="AJ2224" t="s">
        <v>31</v>
      </c>
      <c r="AK2224">
        <v>0</v>
      </c>
      <c r="AL2224" t="s">
        <v>31</v>
      </c>
      <c r="AM2224">
        <v>0</v>
      </c>
      <c r="AN2224" t="s">
        <v>31</v>
      </c>
      <c r="AO2224">
        <v>0</v>
      </c>
      <c r="AP2224" t="s">
        <v>31</v>
      </c>
      <c r="AQ2224">
        <v>0</v>
      </c>
    </row>
    <row r="2225" spans="1:43" x14ac:dyDescent="0.2">
      <c r="A2225" t="s">
        <v>381</v>
      </c>
      <c r="B2225" s="3">
        <v>44320</v>
      </c>
      <c r="C2225">
        <v>87</v>
      </c>
      <c r="D2225" t="s">
        <v>385</v>
      </c>
      <c r="E2225" t="s">
        <v>106</v>
      </c>
      <c r="F2225" s="9" t="s">
        <v>205</v>
      </c>
      <c r="G2225" t="s">
        <v>26</v>
      </c>
      <c r="H2225" t="s">
        <v>99</v>
      </c>
      <c r="I2225" t="s">
        <v>100</v>
      </c>
      <c r="J2225" t="s">
        <v>43</v>
      </c>
      <c r="K2225" t="s">
        <v>44</v>
      </c>
      <c r="L2225" t="s">
        <v>29</v>
      </c>
      <c r="M2225" t="s">
        <v>30</v>
      </c>
      <c r="N2225" t="s">
        <v>99</v>
      </c>
      <c r="O2225" t="s">
        <v>100</v>
      </c>
      <c r="P2225" t="s">
        <v>43</v>
      </c>
      <c r="Q2225" t="s">
        <v>44</v>
      </c>
      <c r="R2225" s="1">
        <v>44320.642997685187</v>
      </c>
      <c r="S2225" s="1">
        <v>44320.642997685187</v>
      </c>
      <c r="T2225">
        <v>1</v>
      </c>
      <c r="U2225">
        <v>1</v>
      </c>
      <c r="V2225" s="2">
        <v>1</v>
      </c>
      <c r="W2225">
        <v>0</v>
      </c>
      <c r="X2225" t="s">
        <v>30</v>
      </c>
      <c r="Y2225">
        <v>0</v>
      </c>
      <c r="Z2225" t="s">
        <v>31</v>
      </c>
      <c r="AA2225">
        <v>0</v>
      </c>
      <c r="AB2225" t="s">
        <v>31</v>
      </c>
      <c r="AC2225">
        <v>0</v>
      </c>
      <c r="AD2225" t="s">
        <v>31</v>
      </c>
      <c r="AE2225">
        <v>0</v>
      </c>
      <c r="AF2225" t="s">
        <v>31</v>
      </c>
      <c r="AG2225">
        <v>0</v>
      </c>
      <c r="AH2225" t="s">
        <v>31</v>
      </c>
      <c r="AI2225">
        <v>0</v>
      </c>
      <c r="AJ2225" t="s">
        <v>31</v>
      </c>
      <c r="AK2225">
        <v>0</v>
      </c>
      <c r="AL2225" t="s">
        <v>31</v>
      </c>
      <c r="AM2225">
        <v>0</v>
      </c>
      <c r="AN2225" t="s">
        <v>31</v>
      </c>
      <c r="AO2225">
        <v>0</v>
      </c>
      <c r="AP2225" t="s">
        <v>31</v>
      </c>
      <c r="AQ2225">
        <v>0</v>
      </c>
    </row>
    <row r="2226" spans="1:43" x14ac:dyDescent="0.2">
      <c r="A2226" t="s">
        <v>381</v>
      </c>
      <c r="B2226" s="3">
        <v>44338</v>
      </c>
      <c r="C2226">
        <v>107</v>
      </c>
      <c r="D2226" t="s">
        <v>392</v>
      </c>
      <c r="E2226" t="s">
        <v>106</v>
      </c>
      <c r="F2226" s="9" t="s">
        <v>205</v>
      </c>
      <c r="G2226" t="s">
        <v>26</v>
      </c>
      <c r="H2226" t="s">
        <v>99</v>
      </c>
      <c r="I2226" t="s">
        <v>100</v>
      </c>
      <c r="J2226" t="s">
        <v>43</v>
      </c>
      <c r="K2226" t="s">
        <v>44</v>
      </c>
      <c r="L2226" t="s">
        <v>29</v>
      </c>
      <c r="M2226" t="s">
        <v>30</v>
      </c>
      <c r="N2226" t="s">
        <v>99</v>
      </c>
      <c r="O2226" t="s">
        <v>100</v>
      </c>
      <c r="P2226" t="s">
        <v>43</v>
      </c>
      <c r="Q2226" t="s">
        <v>44</v>
      </c>
      <c r="R2226" s="1">
        <v>44338.631249999999</v>
      </c>
      <c r="S2226" s="1">
        <v>44338.631249999999</v>
      </c>
      <c r="T2226">
        <v>1</v>
      </c>
      <c r="U2226">
        <v>1</v>
      </c>
      <c r="V2226" s="2">
        <v>1</v>
      </c>
      <c r="W2226">
        <v>0</v>
      </c>
      <c r="X2226" t="s">
        <v>30</v>
      </c>
      <c r="Y2226">
        <v>0</v>
      </c>
      <c r="Z2226" t="s">
        <v>31</v>
      </c>
      <c r="AA2226">
        <v>0</v>
      </c>
      <c r="AB2226" t="s">
        <v>31</v>
      </c>
      <c r="AC2226">
        <v>0</v>
      </c>
      <c r="AD2226" t="s">
        <v>31</v>
      </c>
      <c r="AE2226">
        <v>0</v>
      </c>
      <c r="AF2226" t="s">
        <v>31</v>
      </c>
      <c r="AG2226">
        <v>0</v>
      </c>
      <c r="AH2226" t="s">
        <v>31</v>
      </c>
      <c r="AI2226">
        <v>0</v>
      </c>
      <c r="AJ2226" t="s">
        <v>31</v>
      </c>
      <c r="AK2226">
        <v>0</v>
      </c>
      <c r="AL2226" t="s">
        <v>31</v>
      </c>
      <c r="AM2226">
        <v>0</v>
      </c>
      <c r="AN2226" t="s">
        <v>31</v>
      </c>
      <c r="AO2226">
        <v>0</v>
      </c>
      <c r="AP2226" t="s">
        <v>31</v>
      </c>
      <c r="AQ2226">
        <v>0</v>
      </c>
    </row>
    <row r="2227" spans="1:43" x14ac:dyDescent="0.2">
      <c r="A2227" t="s">
        <v>381</v>
      </c>
      <c r="B2227" s="3">
        <v>44357</v>
      </c>
      <c r="C2227">
        <v>132</v>
      </c>
      <c r="D2227" t="s">
        <v>399</v>
      </c>
      <c r="E2227" t="s">
        <v>106</v>
      </c>
      <c r="F2227" s="9" t="s">
        <v>205</v>
      </c>
      <c r="G2227" t="s">
        <v>26</v>
      </c>
      <c r="H2227" t="s">
        <v>99</v>
      </c>
      <c r="I2227" t="s">
        <v>100</v>
      </c>
      <c r="J2227" t="s">
        <v>43</v>
      </c>
      <c r="K2227" t="s">
        <v>44</v>
      </c>
      <c r="L2227" t="s">
        <v>29</v>
      </c>
      <c r="M2227" t="s">
        <v>30</v>
      </c>
      <c r="N2227" t="s">
        <v>99</v>
      </c>
      <c r="O2227" t="s">
        <v>100</v>
      </c>
      <c r="P2227" t="s">
        <v>43</v>
      </c>
      <c r="Q2227" t="s">
        <v>44</v>
      </c>
      <c r="R2227" s="1">
        <v>44357.454317129632</v>
      </c>
      <c r="S2227" s="1">
        <v>44357.454513888886</v>
      </c>
      <c r="T2227">
        <v>1</v>
      </c>
      <c r="U2227">
        <v>3</v>
      </c>
      <c r="V2227" s="2">
        <v>0.33</v>
      </c>
      <c r="W2227">
        <v>0</v>
      </c>
      <c r="X2227" t="s">
        <v>44</v>
      </c>
      <c r="Y2227">
        <v>0</v>
      </c>
      <c r="Z2227" t="s">
        <v>44</v>
      </c>
      <c r="AA2227">
        <v>0</v>
      </c>
      <c r="AB2227" t="s">
        <v>30</v>
      </c>
      <c r="AC2227">
        <v>0</v>
      </c>
      <c r="AD2227" t="s">
        <v>31</v>
      </c>
      <c r="AE2227">
        <v>0</v>
      </c>
      <c r="AF2227" t="s">
        <v>31</v>
      </c>
      <c r="AG2227">
        <v>0</v>
      </c>
      <c r="AH2227" t="s">
        <v>31</v>
      </c>
      <c r="AI2227">
        <v>0</v>
      </c>
      <c r="AJ2227" t="s">
        <v>31</v>
      </c>
      <c r="AK2227">
        <v>0</v>
      </c>
      <c r="AL2227" t="s">
        <v>31</v>
      </c>
      <c r="AM2227">
        <v>0</v>
      </c>
      <c r="AN2227" t="s">
        <v>31</v>
      </c>
      <c r="AO2227">
        <v>0</v>
      </c>
      <c r="AP2227" t="s">
        <v>31</v>
      </c>
      <c r="AQ2227">
        <v>0</v>
      </c>
    </row>
    <row r="2228" spans="1:43" x14ac:dyDescent="0.2">
      <c r="A2228" t="s">
        <v>381</v>
      </c>
      <c r="B2228" s="3">
        <v>44266</v>
      </c>
      <c r="C2228">
        <v>33</v>
      </c>
      <c r="D2228" t="s">
        <v>385</v>
      </c>
      <c r="E2228" t="s">
        <v>106</v>
      </c>
      <c r="F2228" s="9" t="s">
        <v>206</v>
      </c>
      <c r="G2228" t="s">
        <v>26</v>
      </c>
      <c r="H2228" t="s">
        <v>200</v>
      </c>
      <c r="I2228" t="s">
        <v>201</v>
      </c>
      <c r="J2228" t="s">
        <v>43</v>
      </c>
      <c r="K2228" t="s">
        <v>44</v>
      </c>
      <c r="L2228" t="s">
        <v>29</v>
      </c>
      <c r="M2228" t="s">
        <v>30</v>
      </c>
      <c r="N2228" t="s">
        <v>200</v>
      </c>
      <c r="O2228" t="s">
        <v>201</v>
      </c>
      <c r="P2228" t="s">
        <v>43</v>
      </c>
      <c r="Q2228" t="s">
        <v>44</v>
      </c>
      <c r="R2228" s="1">
        <v>44266.389502314814</v>
      </c>
      <c r="S2228" s="1">
        <v>44266.389513888891</v>
      </c>
      <c r="T2228">
        <v>1</v>
      </c>
      <c r="U2228">
        <v>1</v>
      </c>
      <c r="V2228" s="2">
        <v>1</v>
      </c>
      <c r="W2228">
        <v>0</v>
      </c>
      <c r="X2228" t="s">
        <v>30</v>
      </c>
      <c r="Y2228">
        <v>0</v>
      </c>
      <c r="Z2228" t="s">
        <v>31</v>
      </c>
      <c r="AA2228">
        <v>0</v>
      </c>
      <c r="AB2228" t="s">
        <v>31</v>
      </c>
      <c r="AC2228">
        <v>0</v>
      </c>
      <c r="AD2228" t="s">
        <v>31</v>
      </c>
      <c r="AE2228">
        <v>0</v>
      </c>
      <c r="AF2228" t="s">
        <v>31</v>
      </c>
      <c r="AG2228">
        <v>0</v>
      </c>
      <c r="AH2228" t="s">
        <v>31</v>
      </c>
      <c r="AI2228">
        <v>0</v>
      </c>
      <c r="AJ2228" t="s">
        <v>31</v>
      </c>
      <c r="AK2228">
        <v>0</v>
      </c>
      <c r="AL2228" t="s">
        <v>31</v>
      </c>
      <c r="AM2228">
        <v>0</v>
      </c>
      <c r="AN2228" t="s">
        <v>31</v>
      </c>
      <c r="AO2228">
        <v>0</v>
      </c>
      <c r="AP2228" t="s">
        <v>31</v>
      </c>
      <c r="AQ2228">
        <v>0</v>
      </c>
    </row>
    <row r="2229" spans="1:43" x14ac:dyDescent="0.2">
      <c r="A2229" t="s">
        <v>381</v>
      </c>
      <c r="B2229" s="3">
        <v>44271</v>
      </c>
      <c r="C2229">
        <v>36</v>
      </c>
      <c r="D2229" t="s">
        <v>385</v>
      </c>
      <c r="E2229" t="s">
        <v>106</v>
      </c>
      <c r="F2229" s="9" t="s">
        <v>206</v>
      </c>
      <c r="G2229" t="s">
        <v>26</v>
      </c>
      <c r="H2229" t="s">
        <v>200</v>
      </c>
      <c r="I2229" t="s">
        <v>201</v>
      </c>
      <c r="J2229" t="s">
        <v>43</v>
      </c>
      <c r="K2229" t="s">
        <v>44</v>
      </c>
      <c r="L2229" t="s">
        <v>29</v>
      </c>
      <c r="M2229" t="s">
        <v>30</v>
      </c>
      <c r="N2229" t="s">
        <v>200</v>
      </c>
      <c r="O2229" t="s">
        <v>201</v>
      </c>
      <c r="P2229" t="s">
        <v>43</v>
      </c>
      <c r="Q2229" t="s">
        <v>44</v>
      </c>
      <c r="R2229" s="1">
        <v>44271.427766203706</v>
      </c>
      <c r="S2229" s="1">
        <v>44271.427766203706</v>
      </c>
      <c r="T2229">
        <v>0</v>
      </c>
      <c r="U2229">
        <v>2</v>
      </c>
      <c r="V2229" s="2">
        <v>0</v>
      </c>
      <c r="W2229">
        <v>0</v>
      </c>
      <c r="X2229" t="s">
        <v>44</v>
      </c>
      <c r="Y2229">
        <v>0</v>
      </c>
      <c r="Z2229" t="s">
        <v>44</v>
      </c>
      <c r="AA2229">
        <v>0</v>
      </c>
      <c r="AB2229" t="s">
        <v>31</v>
      </c>
      <c r="AC2229">
        <v>0</v>
      </c>
      <c r="AD2229" t="s">
        <v>31</v>
      </c>
      <c r="AE2229">
        <v>0</v>
      </c>
      <c r="AF2229" t="s">
        <v>31</v>
      </c>
      <c r="AG2229">
        <v>0</v>
      </c>
      <c r="AH2229" t="s">
        <v>31</v>
      </c>
      <c r="AI2229">
        <v>0</v>
      </c>
      <c r="AJ2229" t="s">
        <v>31</v>
      </c>
      <c r="AK2229">
        <v>0</v>
      </c>
      <c r="AL2229" t="s">
        <v>31</v>
      </c>
      <c r="AM2229">
        <v>0</v>
      </c>
      <c r="AN2229" t="s">
        <v>31</v>
      </c>
      <c r="AO2229">
        <v>0</v>
      </c>
      <c r="AP2229" t="s">
        <v>31</v>
      </c>
      <c r="AQ2229">
        <v>0</v>
      </c>
    </row>
    <row r="2230" spans="1:43" x14ac:dyDescent="0.2">
      <c r="A2230" t="s">
        <v>381</v>
      </c>
      <c r="B2230" s="3">
        <v>44285</v>
      </c>
      <c r="C2230">
        <v>45</v>
      </c>
      <c r="D2230" t="s">
        <v>385</v>
      </c>
      <c r="E2230" t="s">
        <v>106</v>
      </c>
      <c r="F2230" s="9" t="s">
        <v>206</v>
      </c>
      <c r="G2230" t="s">
        <v>26</v>
      </c>
      <c r="H2230" t="s">
        <v>200</v>
      </c>
      <c r="I2230" t="s">
        <v>201</v>
      </c>
      <c r="J2230" t="s">
        <v>43</v>
      </c>
      <c r="K2230" t="s">
        <v>44</v>
      </c>
      <c r="L2230" t="s">
        <v>29</v>
      </c>
      <c r="M2230" t="s">
        <v>30</v>
      </c>
      <c r="N2230" t="s">
        <v>79</v>
      </c>
      <c r="O2230" t="s">
        <v>80</v>
      </c>
      <c r="P2230" t="s">
        <v>29</v>
      </c>
      <c r="Q2230" t="s">
        <v>30</v>
      </c>
      <c r="R2230" s="1">
        <v>44285.663634259261</v>
      </c>
      <c r="S2230" s="1">
        <v>44285.663634259261</v>
      </c>
      <c r="T2230">
        <v>0</v>
      </c>
      <c r="U2230">
        <v>2</v>
      </c>
      <c r="V2230" s="2">
        <v>0</v>
      </c>
      <c r="W2230">
        <v>0</v>
      </c>
      <c r="X2230" t="s">
        <v>44</v>
      </c>
      <c r="Y2230">
        <v>0</v>
      </c>
      <c r="Z2230" t="s">
        <v>47</v>
      </c>
      <c r="AA2230">
        <v>0</v>
      </c>
      <c r="AB2230" t="s">
        <v>31</v>
      </c>
      <c r="AC2230">
        <v>0</v>
      </c>
      <c r="AD2230" t="s">
        <v>31</v>
      </c>
      <c r="AE2230">
        <v>0</v>
      </c>
      <c r="AF2230" t="s">
        <v>31</v>
      </c>
      <c r="AG2230">
        <v>0</v>
      </c>
      <c r="AH2230" t="s">
        <v>31</v>
      </c>
      <c r="AI2230">
        <v>0</v>
      </c>
      <c r="AJ2230" t="s">
        <v>31</v>
      </c>
      <c r="AK2230">
        <v>0</v>
      </c>
      <c r="AL2230" t="s">
        <v>31</v>
      </c>
      <c r="AM2230">
        <v>0</v>
      </c>
      <c r="AN2230" t="s">
        <v>31</v>
      </c>
      <c r="AO2230">
        <v>0</v>
      </c>
      <c r="AP2230" t="s">
        <v>31</v>
      </c>
      <c r="AQ2230">
        <v>0</v>
      </c>
    </row>
    <row r="2231" spans="1:43" x14ac:dyDescent="0.2">
      <c r="A2231" t="s">
        <v>381</v>
      </c>
      <c r="B2231" s="3">
        <v>44288</v>
      </c>
      <c r="C2231">
        <v>49</v>
      </c>
      <c r="D2231" t="s">
        <v>384</v>
      </c>
      <c r="E2231" t="s">
        <v>106</v>
      </c>
      <c r="F2231" s="9" t="s">
        <v>206</v>
      </c>
      <c r="G2231" t="s">
        <v>26</v>
      </c>
      <c r="H2231" t="s">
        <v>79</v>
      </c>
      <c r="I2231" t="s">
        <v>80</v>
      </c>
      <c r="J2231" t="s">
        <v>29</v>
      </c>
      <c r="K2231" t="s">
        <v>30</v>
      </c>
      <c r="L2231" t="s">
        <v>29</v>
      </c>
      <c r="M2231" t="s">
        <v>30</v>
      </c>
      <c r="N2231" t="s">
        <v>79</v>
      </c>
      <c r="O2231" t="s">
        <v>80</v>
      </c>
      <c r="P2231" t="s">
        <v>29</v>
      </c>
      <c r="Q2231" t="s">
        <v>30</v>
      </c>
      <c r="R2231" s="1">
        <v>44288.459791666668</v>
      </c>
      <c r="S2231" s="1">
        <v>44288.462326388886</v>
      </c>
      <c r="T2231">
        <v>2</v>
      </c>
      <c r="U2231">
        <v>10</v>
      </c>
      <c r="V2231" s="2">
        <v>0.2</v>
      </c>
      <c r="W2231">
        <v>0</v>
      </c>
      <c r="X2231" t="s">
        <v>44</v>
      </c>
      <c r="Y2231">
        <v>0</v>
      </c>
      <c r="Z2231" t="s">
        <v>44</v>
      </c>
      <c r="AA2231">
        <v>0</v>
      </c>
      <c r="AB2231" t="s">
        <v>61</v>
      </c>
      <c r="AC2231">
        <v>0</v>
      </c>
      <c r="AD2231" t="s">
        <v>30</v>
      </c>
      <c r="AE2231">
        <v>0</v>
      </c>
      <c r="AF2231" t="s">
        <v>44</v>
      </c>
      <c r="AG2231">
        <v>0</v>
      </c>
      <c r="AH2231" t="s">
        <v>44</v>
      </c>
      <c r="AI2231">
        <v>0</v>
      </c>
      <c r="AJ2231" t="s">
        <v>61</v>
      </c>
      <c r="AK2231">
        <v>0</v>
      </c>
      <c r="AL2231" t="s">
        <v>113</v>
      </c>
      <c r="AM2231">
        <v>0</v>
      </c>
      <c r="AN2231" t="s">
        <v>47</v>
      </c>
      <c r="AO2231">
        <v>0</v>
      </c>
      <c r="AP2231" t="s">
        <v>30</v>
      </c>
      <c r="AQ2231">
        <v>0</v>
      </c>
    </row>
    <row r="2232" spans="1:43" x14ac:dyDescent="0.2">
      <c r="A2232" t="s">
        <v>381</v>
      </c>
      <c r="B2232" s="3">
        <v>44293</v>
      </c>
      <c r="C2232">
        <v>53</v>
      </c>
      <c r="D2232" t="s">
        <v>384</v>
      </c>
      <c r="E2232" t="s">
        <v>106</v>
      </c>
      <c r="F2232" s="9" t="s">
        <v>206</v>
      </c>
      <c r="G2232" t="s">
        <v>26</v>
      </c>
      <c r="H2232" t="s">
        <v>79</v>
      </c>
      <c r="I2232" t="s">
        <v>80</v>
      </c>
      <c r="J2232" t="s">
        <v>29</v>
      </c>
      <c r="K2232" t="s">
        <v>30</v>
      </c>
      <c r="L2232" t="s">
        <v>29</v>
      </c>
      <c r="M2232" t="s">
        <v>30</v>
      </c>
      <c r="N2232" t="s">
        <v>41</v>
      </c>
      <c r="O2232" t="s">
        <v>42</v>
      </c>
      <c r="P2232" t="s">
        <v>29</v>
      </c>
      <c r="Q2232" t="s">
        <v>30</v>
      </c>
      <c r="R2232" s="1">
        <v>44293.467962962961</v>
      </c>
      <c r="S2232" s="1">
        <v>44293.470081018517</v>
      </c>
      <c r="T2232">
        <v>2</v>
      </c>
      <c r="U2232">
        <v>6</v>
      </c>
      <c r="V2232" s="2">
        <v>0.33</v>
      </c>
      <c r="W2232">
        <v>0</v>
      </c>
      <c r="X2232" t="s">
        <v>44</v>
      </c>
      <c r="Y2232">
        <v>0</v>
      </c>
      <c r="Z2232" t="s">
        <v>44</v>
      </c>
      <c r="AA2232">
        <v>0</v>
      </c>
      <c r="AB2232" t="s">
        <v>61</v>
      </c>
      <c r="AC2232">
        <v>0</v>
      </c>
      <c r="AD2232" t="s">
        <v>113</v>
      </c>
      <c r="AE2232">
        <v>0</v>
      </c>
      <c r="AF2232" t="s">
        <v>30</v>
      </c>
      <c r="AG2232">
        <v>0</v>
      </c>
      <c r="AH2232" t="s">
        <v>30</v>
      </c>
      <c r="AI2232">
        <v>0</v>
      </c>
      <c r="AJ2232" t="s">
        <v>31</v>
      </c>
      <c r="AK2232">
        <v>0</v>
      </c>
      <c r="AL2232" t="s">
        <v>31</v>
      </c>
      <c r="AM2232">
        <v>0</v>
      </c>
      <c r="AN2232" t="s">
        <v>31</v>
      </c>
      <c r="AO2232">
        <v>0</v>
      </c>
      <c r="AP2232" t="s">
        <v>31</v>
      </c>
      <c r="AQ2232">
        <v>0</v>
      </c>
    </row>
    <row r="2233" spans="1:43" x14ac:dyDescent="0.2">
      <c r="A2233" t="s">
        <v>381</v>
      </c>
      <c r="B2233" s="3">
        <v>44302</v>
      </c>
      <c r="C2233">
        <v>65</v>
      </c>
      <c r="D2233" t="s">
        <v>387</v>
      </c>
      <c r="E2233" t="s">
        <v>106</v>
      </c>
      <c r="F2233" s="9" t="s">
        <v>206</v>
      </c>
      <c r="G2233" t="s">
        <v>26</v>
      </c>
      <c r="H2233" t="s">
        <v>41</v>
      </c>
      <c r="I2233" t="s">
        <v>42</v>
      </c>
      <c r="J2233" t="s">
        <v>29</v>
      </c>
      <c r="K2233" t="s">
        <v>30</v>
      </c>
      <c r="L2233" t="s">
        <v>29</v>
      </c>
      <c r="M2233" t="s">
        <v>30</v>
      </c>
      <c r="N2233" t="s">
        <v>41</v>
      </c>
      <c r="O2233" t="s">
        <v>42</v>
      </c>
      <c r="P2233" t="s">
        <v>29</v>
      </c>
      <c r="Q2233" t="s">
        <v>30</v>
      </c>
      <c r="R2233" s="1">
        <v>44302.549768518518</v>
      </c>
      <c r="S2233" s="1">
        <v>44302.550393518519</v>
      </c>
      <c r="T2233">
        <v>0</v>
      </c>
      <c r="U2233">
        <v>5</v>
      </c>
      <c r="V2233" s="2">
        <v>0</v>
      </c>
      <c r="W2233">
        <v>0</v>
      </c>
      <c r="X2233" t="s">
        <v>44</v>
      </c>
      <c r="Y2233">
        <v>0</v>
      </c>
      <c r="Z2233" t="s">
        <v>44</v>
      </c>
      <c r="AA2233">
        <v>0</v>
      </c>
      <c r="AB2233" t="s">
        <v>61</v>
      </c>
      <c r="AC2233">
        <v>0</v>
      </c>
      <c r="AD2233" t="s">
        <v>113</v>
      </c>
      <c r="AE2233">
        <v>0</v>
      </c>
      <c r="AF2233" t="s">
        <v>47</v>
      </c>
      <c r="AG2233">
        <v>0</v>
      </c>
      <c r="AH2233" t="s">
        <v>31</v>
      </c>
      <c r="AI2233">
        <v>0</v>
      </c>
      <c r="AJ2233" t="s">
        <v>31</v>
      </c>
      <c r="AK2233">
        <v>0</v>
      </c>
      <c r="AL2233" t="s">
        <v>31</v>
      </c>
      <c r="AM2233">
        <v>0</v>
      </c>
      <c r="AN2233" t="s">
        <v>31</v>
      </c>
      <c r="AO2233">
        <v>0</v>
      </c>
      <c r="AP2233" t="s">
        <v>31</v>
      </c>
      <c r="AQ2233">
        <v>0</v>
      </c>
    </row>
    <row r="2234" spans="1:43" x14ac:dyDescent="0.2">
      <c r="A2234" t="s">
        <v>381</v>
      </c>
      <c r="B2234" s="3">
        <v>44320</v>
      </c>
      <c r="C2234">
        <v>86</v>
      </c>
      <c r="D2234" t="s">
        <v>412</v>
      </c>
      <c r="E2234" t="s">
        <v>106</v>
      </c>
      <c r="F2234" s="9" t="s">
        <v>206</v>
      </c>
      <c r="G2234" t="s">
        <v>26</v>
      </c>
      <c r="H2234" t="s">
        <v>27</v>
      </c>
      <c r="I2234" t="s">
        <v>28</v>
      </c>
      <c r="J2234" t="s">
        <v>29</v>
      </c>
      <c r="K2234" t="s">
        <v>30</v>
      </c>
      <c r="L2234" t="s">
        <v>29</v>
      </c>
      <c r="M2234" t="s">
        <v>30</v>
      </c>
      <c r="N2234" t="s">
        <v>27</v>
      </c>
      <c r="O2234" t="s">
        <v>28</v>
      </c>
      <c r="P2234" t="s">
        <v>29</v>
      </c>
      <c r="Q2234" t="s">
        <v>30</v>
      </c>
      <c r="R2234" s="1">
        <v>44320.467673611114</v>
      </c>
      <c r="S2234" s="1">
        <v>44320.468159722222</v>
      </c>
      <c r="T2234">
        <v>1</v>
      </c>
      <c r="U2234">
        <v>1</v>
      </c>
      <c r="V2234" s="2">
        <v>1</v>
      </c>
      <c r="W2234">
        <v>0</v>
      </c>
      <c r="X2234" t="s">
        <v>37</v>
      </c>
      <c r="Y2234">
        <v>0</v>
      </c>
      <c r="Z2234" t="s">
        <v>30</v>
      </c>
      <c r="AA2234">
        <v>0</v>
      </c>
      <c r="AB2234" t="s">
        <v>31</v>
      </c>
      <c r="AC2234">
        <v>0</v>
      </c>
      <c r="AD2234" t="s">
        <v>31</v>
      </c>
      <c r="AE2234">
        <v>0</v>
      </c>
      <c r="AF2234" t="s">
        <v>31</v>
      </c>
      <c r="AG2234">
        <v>0</v>
      </c>
      <c r="AH2234" t="s">
        <v>31</v>
      </c>
      <c r="AI2234">
        <v>0</v>
      </c>
      <c r="AJ2234" t="s">
        <v>31</v>
      </c>
      <c r="AK2234">
        <v>0</v>
      </c>
      <c r="AL2234" t="s">
        <v>31</v>
      </c>
      <c r="AM2234">
        <v>0</v>
      </c>
      <c r="AN2234" t="s">
        <v>31</v>
      </c>
      <c r="AO2234">
        <v>0</v>
      </c>
      <c r="AP2234" t="s">
        <v>31</v>
      </c>
      <c r="AQ2234">
        <v>0</v>
      </c>
    </row>
    <row r="2235" spans="1:43" x14ac:dyDescent="0.2">
      <c r="A2235" t="s">
        <v>381</v>
      </c>
      <c r="B2235" s="3">
        <v>44335</v>
      </c>
      <c r="C2235">
        <v>100</v>
      </c>
      <c r="D2235" t="s">
        <v>398</v>
      </c>
      <c r="E2235" t="s">
        <v>106</v>
      </c>
      <c r="F2235" s="9" t="s">
        <v>206</v>
      </c>
      <c r="G2235" t="s">
        <v>26</v>
      </c>
      <c r="H2235" t="s">
        <v>27</v>
      </c>
      <c r="I2235" t="s">
        <v>28</v>
      </c>
      <c r="J2235" t="s">
        <v>29</v>
      </c>
      <c r="K2235" t="s">
        <v>30</v>
      </c>
      <c r="L2235" t="s">
        <v>29</v>
      </c>
      <c r="M2235" t="s">
        <v>30</v>
      </c>
      <c r="N2235" t="s">
        <v>27</v>
      </c>
      <c r="O2235" t="s">
        <v>28</v>
      </c>
      <c r="P2235" t="s">
        <v>29</v>
      </c>
      <c r="Q2235" t="s">
        <v>30</v>
      </c>
      <c r="R2235" s="1">
        <v>44335.463402777779</v>
      </c>
      <c r="S2235" s="1">
        <v>44335.463437500002</v>
      </c>
      <c r="T2235">
        <v>0</v>
      </c>
      <c r="U2235">
        <v>1</v>
      </c>
      <c r="V2235" s="2">
        <v>0</v>
      </c>
      <c r="W2235">
        <v>0</v>
      </c>
      <c r="X2235" t="s">
        <v>37</v>
      </c>
      <c r="Y2235">
        <v>0</v>
      </c>
      <c r="Z2235" t="s">
        <v>37</v>
      </c>
      <c r="AA2235">
        <v>0</v>
      </c>
      <c r="AB2235" t="s">
        <v>37</v>
      </c>
      <c r="AC2235">
        <v>0</v>
      </c>
      <c r="AD2235" t="s">
        <v>44</v>
      </c>
      <c r="AE2235">
        <v>0</v>
      </c>
      <c r="AF2235" t="s">
        <v>37</v>
      </c>
      <c r="AG2235">
        <v>0</v>
      </c>
      <c r="AH2235" t="s">
        <v>31</v>
      </c>
      <c r="AI2235">
        <v>0</v>
      </c>
      <c r="AJ2235" t="s">
        <v>31</v>
      </c>
      <c r="AK2235">
        <v>0</v>
      </c>
      <c r="AL2235" t="s">
        <v>31</v>
      </c>
      <c r="AM2235">
        <v>0</v>
      </c>
      <c r="AN2235" t="s">
        <v>31</v>
      </c>
      <c r="AO2235">
        <v>0</v>
      </c>
      <c r="AP2235" t="s">
        <v>31</v>
      </c>
      <c r="AQ2235">
        <v>0</v>
      </c>
    </row>
    <row r="2236" spans="1:43" x14ac:dyDescent="0.2">
      <c r="A2236" t="s">
        <v>381</v>
      </c>
      <c r="B2236" s="3">
        <v>44337</v>
      </c>
      <c r="C2236">
        <v>104</v>
      </c>
      <c r="D2236" t="s">
        <v>390</v>
      </c>
      <c r="E2236" t="s">
        <v>106</v>
      </c>
      <c r="F2236" s="9" t="s">
        <v>206</v>
      </c>
      <c r="G2236" t="s">
        <v>26</v>
      </c>
      <c r="H2236" t="s">
        <v>27</v>
      </c>
      <c r="I2236" t="s">
        <v>28</v>
      </c>
      <c r="J2236" t="s">
        <v>29</v>
      </c>
      <c r="K2236" t="s">
        <v>30</v>
      </c>
      <c r="L2236" t="s">
        <v>29</v>
      </c>
      <c r="M2236" t="s">
        <v>30</v>
      </c>
      <c r="N2236" t="s">
        <v>27</v>
      </c>
      <c r="O2236" t="s">
        <v>28</v>
      </c>
      <c r="P2236" t="s">
        <v>29</v>
      </c>
      <c r="Q2236" t="s">
        <v>30</v>
      </c>
      <c r="R2236" s="1">
        <v>44337.459618055553</v>
      </c>
      <c r="S2236" s="1">
        <v>44337.459837962961</v>
      </c>
      <c r="T2236">
        <v>1</v>
      </c>
      <c r="U2236">
        <v>1</v>
      </c>
      <c r="V2236" s="2">
        <v>1</v>
      </c>
      <c r="W2236">
        <v>0</v>
      </c>
      <c r="X2236" t="s">
        <v>30</v>
      </c>
      <c r="Y2236">
        <v>0</v>
      </c>
      <c r="Z2236" t="s">
        <v>31</v>
      </c>
      <c r="AA2236">
        <v>0</v>
      </c>
      <c r="AB2236" t="s">
        <v>31</v>
      </c>
      <c r="AC2236">
        <v>0</v>
      </c>
      <c r="AD2236" t="s">
        <v>31</v>
      </c>
      <c r="AE2236">
        <v>0</v>
      </c>
      <c r="AF2236" t="s">
        <v>31</v>
      </c>
      <c r="AG2236">
        <v>0</v>
      </c>
      <c r="AH2236" t="s">
        <v>31</v>
      </c>
      <c r="AI2236">
        <v>0</v>
      </c>
      <c r="AJ2236" t="s">
        <v>31</v>
      </c>
      <c r="AK2236">
        <v>0</v>
      </c>
      <c r="AL2236" t="s">
        <v>31</v>
      </c>
      <c r="AM2236">
        <v>0</v>
      </c>
      <c r="AN2236" t="s">
        <v>31</v>
      </c>
      <c r="AO2236">
        <v>0</v>
      </c>
      <c r="AP2236" t="s">
        <v>31</v>
      </c>
      <c r="AQ2236">
        <v>0</v>
      </c>
    </row>
    <row r="2237" spans="1:43" x14ac:dyDescent="0.2">
      <c r="A2237" t="s">
        <v>381</v>
      </c>
      <c r="B2237" s="3">
        <v>44341</v>
      </c>
      <c r="C2237">
        <v>111</v>
      </c>
      <c r="D2237" t="s">
        <v>385</v>
      </c>
      <c r="E2237" t="s">
        <v>106</v>
      </c>
      <c r="F2237" s="9" t="s">
        <v>206</v>
      </c>
      <c r="G2237" t="s">
        <v>26</v>
      </c>
      <c r="H2237" t="s">
        <v>27</v>
      </c>
      <c r="I2237" t="s">
        <v>28</v>
      </c>
      <c r="J2237" t="s">
        <v>29</v>
      </c>
      <c r="K2237" t="s">
        <v>30</v>
      </c>
      <c r="L2237" t="s">
        <v>29</v>
      </c>
      <c r="M2237" t="s">
        <v>30</v>
      </c>
      <c r="N2237" t="s">
        <v>27</v>
      </c>
      <c r="O2237" t="s">
        <v>28</v>
      </c>
      <c r="P2237" t="s">
        <v>29</v>
      </c>
      <c r="Q2237" t="s">
        <v>30</v>
      </c>
      <c r="R2237" s="1">
        <v>44341.60428240741</v>
      </c>
      <c r="S2237" s="1">
        <v>44341.605231481481</v>
      </c>
      <c r="T2237">
        <v>1</v>
      </c>
      <c r="U2237">
        <v>3</v>
      </c>
      <c r="V2237" s="2">
        <v>0.33</v>
      </c>
      <c r="W2237">
        <v>0</v>
      </c>
      <c r="X2237" t="s">
        <v>37</v>
      </c>
      <c r="Y2237">
        <v>0</v>
      </c>
      <c r="Z2237" t="s">
        <v>37</v>
      </c>
      <c r="AA2237">
        <v>0</v>
      </c>
      <c r="AB2237" t="s">
        <v>44</v>
      </c>
      <c r="AC2237">
        <v>0</v>
      </c>
      <c r="AD2237" t="s">
        <v>44</v>
      </c>
      <c r="AE2237">
        <v>0</v>
      </c>
      <c r="AF2237" t="s">
        <v>30</v>
      </c>
      <c r="AG2237">
        <v>0</v>
      </c>
      <c r="AH2237" t="s">
        <v>31</v>
      </c>
      <c r="AI2237">
        <v>0</v>
      </c>
      <c r="AJ2237" t="s">
        <v>31</v>
      </c>
      <c r="AK2237">
        <v>0</v>
      </c>
      <c r="AL2237" t="s">
        <v>31</v>
      </c>
      <c r="AM2237">
        <v>0</v>
      </c>
      <c r="AN2237" t="s">
        <v>31</v>
      </c>
      <c r="AO2237">
        <v>0</v>
      </c>
      <c r="AP2237" t="s">
        <v>31</v>
      </c>
      <c r="AQ2237">
        <v>0</v>
      </c>
    </row>
    <row r="2238" spans="1:43" x14ac:dyDescent="0.2">
      <c r="A2238" t="s">
        <v>381</v>
      </c>
      <c r="B2238" s="3">
        <v>44342</v>
      </c>
      <c r="C2238">
        <v>112</v>
      </c>
      <c r="D2238" t="s">
        <v>394</v>
      </c>
      <c r="E2238" t="s">
        <v>106</v>
      </c>
      <c r="F2238" s="9" t="s">
        <v>206</v>
      </c>
      <c r="G2238" t="s">
        <v>26</v>
      </c>
      <c r="H2238" t="s">
        <v>27</v>
      </c>
      <c r="I2238" t="s">
        <v>28</v>
      </c>
      <c r="J2238" t="s">
        <v>29</v>
      </c>
      <c r="K2238" t="s">
        <v>30</v>
      </c>
      <c r="L2238" t="s">
        <v>29</v>
      </c>
      <c r="M2238" t="s">
        <v>30</v>
      </c>
      <c r="N2238" t="s">
        <v>27</v>
      </c>
      <c r="O2238" t="s">
        <v>28</v>
      </c>
      <c r="P2238" t="s">
        <v>29</v>
      </c>
      <c r="Q2238" t="s">
        <v>30</v>
      </c>
      <c r="R2238" s="1">
        <v>44342.46601851852</v>
      </c>
      <c r="S2238" s="1">
        <v>44342.466550925928</v>
      </c>
      <c r="T2238">
        <v>0</v>
      </c>
      <c r="U2238">
        <v>0</v>
      </c>
      <c r="V2238" s="2">
        <v>0</v>
      </c>
      <c r="W2238">
        <v>0</v>
      </c>
      <c r="X2238" t="s">
        <v>37</v>
      </c>
      <c r="Y2238">
        <v>0</v>
      </c>
      <c r="Z2238" t="s">
        <v>37</v>
      </c>
      <c r="AA2238">
        <v>0</v>
      </c>
      <c r="AB2238" t="s">
        <v>37</v>
      </c>
      <c r="AC2238">
        <v>0</v>
      </c>
      <c r="AD2238" t="s">
        <v>31</v>
      </c>
      <c r="AE2238">
        <v>0</v>
      </c>
      <c r="AF2238" t="s">
        <v>31</v>
      </c>
      <c r="AG2238">
        <v>0</v>
      </c>
      <c r="AH2238" t="s">
        <v>31</v>
      </c>
      <c r="AI2238">
        <v>0</v>
      </c>
      <c r="AJ2238" t="s">
        <v>31</v>
      </c>
      <c r="AK2238">
        <v>0</v>
      </c>
      <c r="AL2238" t="s">
        <v>31</v>
      </c>
      <c r="AM2238">
        <v>0</v>
      </c>
      <c r="AN2238" t="s">
        <v>31</v>
      </c>
      <c r="AO2238">
        <v>0</v>
      </c>
      <c r="AP2238" t="s">
        <v>31</v>
      </c>
      <c r="AQ2238">
        <v>0</v>
      </c>
    </row>
    <row r="2239" spans="1:43" x14ac:dyDescent="0.2">
      <c r="A2239" t="s">
        <v>381</v>
      </c>
      <c r="B2239" s="3">
        <v>44344</v>
      </c>
      <c r="C2239">
        <v>116</v>
      </c>
      <c r="D2239" t="s">
        <v>390</v>
      </c>
      <c r="E2239" t="s">
        <v>106</v>
      </c>
      <c r="F2239" s="9" t="s">
        <v>206</v>
      </c>
      <c r="G2239" t="s">
        <v>26</v>
      </c>
      <c r="H2239" t="s">
        <v>27</v>
      </c>
      <c r="I2239" t="s">
        <v>28</v>
      </c>
      <c r="J2239" t="s">
        <v>29</v>
      </c>
      <c r="K2239" t="s">
        <v>30</v>
      </c>
      <c r="L2239" t="s">
        <v>29</v>
      </c>
      <c r="M2239" t="s">
        <v>30</v>
      </c>
      <c r="N2239" t="s">
        <v>27</v>
      </c>
      <c r="O2239" t="s">
        <v>28</v>
      </c>
      <c r="P2239" t="s">
        <v>29</v>
      </c>
      <c r="Q2239" t="s">
        <v>30</v>
      </c>
      <c r="R2239" s="1">
        <v>44344.455277777779</v>
      </c>
      <c r="S2239" s="1">
        <v>44344.455277777779</v>
      </c>
      <c r="T2239">
        <v>1</v>
      </c>
      <c r="U2239">
        <v>1</v>
      </c>
      <c r="V2239" s="2">
        <v>1</v>
      </c>
      <c r="W2239">
        <v>0</v>
      </c>
      <c r="X2239" t="s">
        <v>30</v>
      </c>
      <c r="Y2239">
        <v>0</v>
      </c>
      <c r="Z2239" t="s">
        <v>31</v>
      </c>
      <c r="AA2239">
        <v>0</v>
      </c>
      <c r="AB2239" t="s">
        <v>31</v>
      </c>
      <c r="AC2239">
        <v>0</v>
      </c>
      <c r="AD2239" t="s">
        <v>31</v>
      </c>
      <c r="AE2239">
        <v>0</v>
      </c>
      <c r="AF2239" t="s">
        <v>31</v>
      </c>
      <c r="AG2239">
        <v>0</v>
      </c>
      <c r="AH2239" t="s">
        <v>31</v>
      </c>
      <c r="AI2239">
        <v>0</v>
      </c>
      <c r="AJ2239" t="s">
        <v>31</v>
      </c>
      <c r="AK2239">
        <v>0</v>
      </c>
      <c r="AL2239" t="s">
        <v>31</v>
      </c>
      <c r="AM2239">
        <v>0</v>
      </c>
      <c r="AN2239" t="s">
        <v>31</v>
      </c>
      <c r="AO2239">
        <v>0</v>
      </c>
      <c r="AP2239" t="s">
        <v>31</v>
      </c>
      <c r="AQ2239">
        <v>0</v>
      </c>
    </row>
    <row r="2240" spans="1:43" x14ac:dyDescent="0.2">
      <c r="A2240" t="s">
        <v>381</v>
      </c>
      <c r="B2240" s="3">
        <v>44348</v>
      </c>
      <c r="C2240">
        <v>118</v>
      </c>
      <c r="D2240" t="s">
        <v>396</v>
      </c>
      <c r="E2240" t="s">
        <v>106</v>
      </c>
      <c r="F2240" s="9" t="s">
        <v>206</v>
      </c>
      <c r="G2240" t="s">
        <v>26</v>
      </c>
      <c r="H2240" t="s">
        <v>27</v>
      </c>
      <c r="I2240" t="s">
        <v>28</v>
      </c>
      <c r="J2240" t="s">
        <v>29</v>
      </c>
      <c r="K2240" t="s">
        <v>30</v>
      </c>
      <c r="L2240" t="s">
        <v>29</v>
      </c>
      <c r="M2240" t="s">
        <v>30</v>
      </c>
      <c r="N2240" t="s">
        <v>27</v>
      </c>
      <c r="O2240" t="s">
        <v>28</v>
      </c>
      <c r="P2240" t="s">
        <v>29</v>
      </c>
      <c r="Q2240" t="s">
        <v>30</v>
      </c>
      <c r="R2240" s="1">
        <v>44348.478634259256</v>
      </c>
      <c r="S2240" s="1">
        <v>44348.480196759258</v>
      </c>
      <c r="T2240">
        <v>0</v>
      </c>
      <c r="U2240">
        <v>0</v>
      </c>
      <c r="V2240" s="2">
        <v>0</v>
      </c>
      <c r="W2240">
        <v>0</v>
      </c>
      <c r="X2240" t="s">
        <v>37</v>
      </c>
      <c r="Y2240">
        <v>0</v>
      </c>
      <c r="Z2240" t="s">
        <v>37</v>
      </c>
      <c r="AA2240">
        <v>0</v>
      </c>
      <c r="AB2240" t="s">
        <v>31</v>
      </c>
      <c r="AC2240">
        <v>0</v>
      </c>
      <c r="AD2240" t="s">
        <v>31</v>
      </c>
      <c r="AE2240">
        <v>0</v>
      </c>
      <c r="AF2240" t="s">
        <v>31</v>
      </c>
      <c r="AG2240">
        <v>0</v>
      </c>
      <c r="AH2240" t="s">
        <v>31</v>
      </c>
      <c r="AI2240">
        <v>0</v>
      </c>
      <c r="AJ2240" t="s">
        <v>31</v>
      </c>
      <c r="AK2240">
        <v>0</v>
      </c>
      <c r="AL2240" t="s">
        <v>31</v>
      </c>
      <c r="AM2240">
        <v>0</v>
      </c>
      <c r="AN2240" t="s">
        <v>31</v>
      </c>
      <c r="AO2240">
        <v>0</v>
      </c>
      <c r="AP2240" t="s">
        <v>31</v>
      </c>
      <c r="AQ2240">
        <v>0</v>
      </c>
    </row>
    <row r="2241" spans="1:65" x14ac:dyDescent="0.2">
      <c r="A2241" t="s">
        <v>381</v>
      </c>
      <c r="B2241" s="3">
        <v>44350</v>
      </c>
      <c r="C2241">
        <v>123</v>
      </c>
      <c r="D2241" t="s">
        <v>382</v>
      </c>
      <c r="E2241" t="s">
        <v>106</v>
      </c>
      <c r="F2241" s="9" t="s">
        <v>206</v>
      </c>
      <c r="G2241" t="s">
        <v>26</v>
      </c>
      <c r="H2241" t="s">
        <v>27</v>
      </c>
      <c r="I2241" t="s">
        <v>28</v>
      </c>
      <c r="J2241" t="s">
        <v>29</v>
      </c>
      <c r="K2241" t="s">
        <v>30</v>
      </c>
      <c r="L2241" t="s">
        <v>29</v>
      </c>
      <c r="M2241" t="s">
        <v>30</v>
      </c>
      <c r="N2241" t="s">
        <v>41</v>
      </c>
      <c r="O2241" t="s">
        <v>42</v>
      </c>
      <c r="P2241" t="s">
        <v>43</v>
      </c>
      <c r="Q2241" t="s">
        <v>44</v>
      </c>
      <c r="R2241" s="1">
        <v>44350.365682870368</v>
      </c>
      <c r="S2241" s="1">
        <v>44350.365810185183</v>
      </c>
      <c r="T2241">
        <v>1</v>
      </c>
      <c r="U2241">
        <v>1</v>
      </c>
      <c r="V2241" s="2">
        <v>1</v>
      </c>
      <c r="W2241">
        <v>0</v>
      </c>
      <c r="X2241" t="s">
        <v>37</v>
      </c>
      <c r="Y2241">
        <v>0</v>
      </c>
      <c r="Z2241" t="s">
        <v>30</v>
      </c>
      <c r="AA2241">
        <v>0</v>
      </c>
      <c r="AB2241" t="s">
        <v>31</v>
      </c>
      <c r="AC2241">
        <v>0</v>
      </c>
      <c r="AD2241" t="s">
        <v>31</v>
      </c>
      <c r="AE2241">
        <v>0</v>
      </c>
      <c r="AF2241" t="s">
        <v>31</v>
      </c>
      <c r="AG2241">
        <v>0</v>
      </c>
      <c r="AH2241" t="s">
        <v>31</v>
      </c>
      <c r="AI2241">
        <v>0</v>
      </c>
      <c r="AJ2241" t="s">
        <v>31</v>
      </c>
      <c r="AK2241">
        <v>0</v>
      </c>
      <c r="AL2241" t="s">
        <v>31</v>
      </c>
      <c r="AM2241">
        <v>0</v>
      </c>
      <c r="AN2241" t="s">
        <v>31</v>
      </c>
      <c r="AO2241">
        <v>0</v>
      </c>
      <c r="AP2241" t="s">
        <v>31</v>
      </c>
      <c r="AQ2241">
        <v>0</v>
      </c>
    </row>
    <row r="2242" spans="1:65" x14ac:dyDescent="0.2">
      <c r="A2242" t="s">
        <v>381</v>
      </c>
      <c r="B2242" s="3">
        <v>44351</v>
      </c>
      <c r="C2242">
        <v>124</v>
      </c>
      <c r="D2242" t="s">
        <v>390</v>
      </c>
      <c r="E2242" t="s">
        <v>106</v>
      </c>
      <c r="F2242" s="9" t="s">
        <v>206</v>
      </c>
      <c r="G2242" t="s">
        <v>26</v>
      </c>
      <c r="H2242" t="s">
        <v>41</v>
      </c>
      <c r="I2242" t="s">
        <v>42</v>
      </c>
      <c r="J2242" t="s">
        <v>43</v>
      </c>
      <c r="K2242" t="s">
        <v>44</v>
      </c>
      <c r="L2242" t="s">
        <v>29</v>
      </c>
      <c r="M2242" t="s">
        <v>30</v>
      </c>
      <c r="N2242" t="s">
        <v>41</v>
      </c>
      <c r="O2242" t="s">
        <v>42</v>
      </c>
      <c r="P2242" t="s">
        <v>43</v>
      </c>
      <c r="Q2242" t="s">
        <v>44</v>
      </c>
      <c r="R2242" s="1">
        <v>44351.424837962964</v>
      </c>
      <c r="S2242" s="1">
        <v>44351.424837962964</v>
      </c>
      <c r="T2242">
        <v>1</v>
      </c>
      <c r="U2242">
        <v>1</v>
      </c>
      <c r="V2242" s="2">
        <v>1</v>
      </c>
      <c r="W2242">
        <v>0</v>
      </c>
      <c r="X2242" t="s">
        <v>30</v>
      </c>
      <c r="Y2242">
        <v>0</v>
      </c>
      <c r="Z2242" t="s">
        <v>31</v>
      </c>
      <c r="AA2242">
        <v>0</v>
      </c>
      <c r="AB2242" t="s">
        <v>31</v>
      </c>
      <c r="AC2242">
        <v>0</v>
      </c>
      <c r="AD2242" t="s">
        <v>31</v>
      </c>
      <c r="AE2242">
        <v>0</v>
      </c>
      <c r="AF2242" t="s">
        <v>31</v>
      </c>
      <c r="AG2242">
        <v>0</v>
      </c>
      <c r="AH2242" t="s">
        <v>31</v>
      </c>
      <c r="AI2242">
        <v>0</v>
      </c>
      <c r="AJ2242" t="s">
        <v>31</v>
      </c>
      <c r="AK2242">
        <v>0</v>
      </c>
      <c r="AL2242" t="s">
        <v>31</v>
      </c>
      <c r="AM2242">
        <v>0</v>
      </c>
      <c r="AN2242" t="s">
        <v>31</v>
      </c>
      <c r="AO2242">
        <v>0</v>
      </c>
      <c r="AP2242" t="s">
        <v>31</v>
      </c>
      <c r="AQ2242">
        <v>0</v>
      </c>
    </row>
    <row r="2243" spans="1:65" x14ac:dyDescent="0.2">
      <c r="A2243" t="s">
        <v>381</v>
      </c>
      <c r="B2243" s="3">
        <v>44354</v>
      </c>
      <c r="C2243">
        <v>127</v>
      </c>
      <c r="D2243" t="s">
        <v>383</v>
      </c>
      <c r="E2243" t="s">
        <v>106</v>
      </c>
      <c r="F2243" s="9" t="s">
        <v>206</v>
      </c>
      <c r="G2243" t="s">
        <v>26</v>
      </c>
      <c r="H2243" t="s">
        <v>41</v>
      </c>
      <c r="I2243" t="s">
        <v>42</v>
      </c>
      <c r="J2243" t="s">
        <v>43</v>
      </c>
      <c r="K2243" t="s">
        <v>44</v>
      </c>
      <c r="L2243" t="s">
        <v>29</v>
      </c>
      <c r="M2243" t="s">
        <v>30</v>
      </c>
      <c r="N2243" t="s">
        <v>41</v>
      </c>
      <c r="O2243" t="s">
        <v>42</v>
      </c>
      <c r="P2243" t="s">
        <v>43</v>
      </c>
      <c r="Q2243" t="s">
        <v>44</v>
      </c>
      <c r="R2243" s="1">
        <v>44354.559236111112</v>
      </c>
      <c r="S2243" s="1">
        <v>44354.559247685182</v>
      </c>
      <c r="T2243">
        <v>1</v>
      </c>
      <c r="U2243">
        <v>2</v>
      </c>
      <c r="V2243" s="2">
        <v>0.5</v>
      </c>
      <c r="W2243">
        <v>0</v>
      </c>
      <c r="X2243" t="s">
        <v>44</v>
      </c>
      <c r="Y2243">
        <v>0</v>
      </c>
      <c r="Z2243" t="s">
        <v>30</v>
      </c>
      <c r="AA2243">
        <v>0</v>
      </c>
      <c r="AB2243" t="s">
        <v>31</v>
      </c>
      <c r="AC2243">
        <v>0</v>
      </c>
      <c r="AD2243" t="s">
        <v>31</v>
      </c>
      <c r="AE2243">
        <v>0</v>
      </c>
      <c r="AF2243" t="s">
        <v>31</v>
      </c>
      <c r="AG2243">
        <v>0</v>
      </c>
      <c r="AH2243" t="s">
        <v>31</v>
      </c>
      <c r="AI2243">
        <v>0</v>
      </c>
      <c r="AJ2243" t="s">
        <v>31</v>
      </c>
      <c r="AK2243">
        <v>0</v>
      </c>
      <c r="AL2243" t="s">
        <v>31</v>
      </c>
      <c r="AM2243">
        <v>0</v>
      </c>
      <c r="AN2243" t="s">
        <v>31</v>
      </c>
      <c r="AO2243">
        <v>0</v>
      </c>
      <c r="AP2243" t="s">
        <v>31</v>
      </c>
      <c r="AQ2243">
        <v>0</v>
      </c>
    </row>
    <row r="2244" spans="1:65" x14ac:dyDescent="0.2">
      <c r="A2244" t="s">
        <v>381</v>
      </c>
      <c r="B2244" s="3">
        <v>44355</v>
      </c>
      <c r="C2244">
        <v>129</v>
      </c>
      <c r="D2244" t="s">
        <v>385</v>
      </c>
      <c r="E2244" t="s">
        <v>106</v>
      </c>
      <c r="F2244" s="9" t="s">
        <v>206</v>
      </c>
      <c r="G2244" t="s">
        <v>26</v>
      </c>
      <c r="H2244" t="s">
        <v>41</v>
      </c>
      <c r="I2244" t="s">
        <v>42</v>
      </c>
      <c r="J2244" t="s">
        <v>43</v>
      </c>
      <c r="K2244" t="s">
        <v>44</v>
      </c>
      <c r="L2244" t="s">
        <v>29</v>
      </c>
      <c r="M2244" t="s">
        <v>30</v>
      </c>
      <c r="N2244" t="s">
        <v>41</v>
      </c>
      <c r="O2244" t="s">
        <v>42</v>
      </c>
      <c r="P2244" t="s">
        <v>43</v>
      </c>
      <c r="Q2244" t="s">
        <v>44</v>
      </c>
      <c r="R2244" s="1">
        <v>44355.634386574071</v>
      </c>
      <c r="S2244" s="1">
        <v>44355.634722222225</v>
      </c>
      <c r="T2244">
        <v>2</v>
      </c>
      <c r="U2244">
        <v>2</v>
      </c>
      <c r="V2244" s="2">
        <v>1</v>
      </c>
      <c r="W2244">
        <v>0</v>
      </c>
      <c r="X2244" t="s">
        <v>30</v>
      </c>
      <c r="Y2244">
        <v>0</v>
      </c>
      <c r="Z2244" t="s">
        <v>30</v>
      </c>
      <c r="AA2244">
        <v>0</v>
      </c>
      <c r="AB2244" t="s">
        <v>31</v>
      </c>
      <c r="AC2244">
        <v>0</v>
      </c>
      <c r="AD2244" t="s">
        <v>31</v>
      </c>
      <c r="AE2244">
        <v>0</v>
      </c>
      <c r="AF2244" t="s">
        <v>31</v>
      </c>
      <c r="AG2244">
        <v>0</v>
      </c>
      <c r="AH2244" t="s">
        <v>31</v>
      </c>
      <c r="AI2244">
        <v>0</v>
      </c>
      <c r="AJ2244" t="s">
        <v>31</v>
      </c>
      <c r="AK2244">
        <v>0</v>
      </c>
      <c r="AL2244" t="s">
        <v>31</v>
      </c>
      <c r="AM2244">
        <v>0</v>
      </c>
      <c r="AN2244" t="s">
        <v>31</v>
      </c>
      <c r="AO2244">
        <v>0</v>
      </c>
      <c r="AP2244" t="s">
        <v>31</v>
      </c>
      <c r="AQ2244">
        <v>0</v>
      </c>
    </row>
    <row r="2245" spans="1:65" x14ac:dyDescent="0.2">
      <c r="A2245" t="s">
        <v>381</v>
      </c>
      <c r="B2245" s="3">
        <v>44356</v>
      </c>
      <c r="C2245">
        <v>130</v>
      </c>
      <c r="D2245" t="s">
        <v>398</v>
      </c>
      <c r="E2245" t="s">
        <v>106</v>
      </c>
      <c r="F2245" s="9" t="s">
        <v>206</v>
      </c>
      <c r="G2245" t="s">
        <v>26</v>
      </c>
      <c r="H2245" t="s">
        <v>41</v>
      </c>
      <c r="I2245" t="s">
        <v>42</v>
      </c>
      <c r="J2245" t="s">
        <v>43</v>
      </c>
      <c r="K2245" t="s">
        <v>44</v>
      </c>
      <c r="L2245" t="s">
        <v>29</v>
      </c>
      <c r="M2245" t="s">
        <v>30</v>
      </c>
      <c r="N2245" t="s">
        <v>79</v>
      </c>
      <c r="O2245" t="s">
        <v>80</v>
      </c>
      <c r="P2245" t="s">
        <v>43</v>
      </c>
      <c r="Q2245" t="s">
        <v>44</v>
      </c>
      <c r="R2245" s="1">
        <v>44356.414722222224</v>
      </c>
      <c r="S2245" s="1">
        <v>44356.414722222224</v>
      </c>
      <c r="T2245">
        <v>1</v>
      </c>
      <c r="U2245">
        <v>1</v>
      </c>
      <c r="V2245" s="2">
        <v>1</v>
      </c>
      <c r="W2245">
        <v>0</v>
      </c>
      <c r="X2245" t="s">
        <v>30</v>
      </c>
      <c r="Y2245">
        <v>0</v>
      </c>
      <c r="Z2245" t="s">
        <v>31</v>
      </c>
      <c r="AA2245">
        <v>0</v>
      </c>
      <c r="AB2245" t="s">
        <v>31</v>
      </c>
      <c r="AC2245">
        <v>0</v>
      </c>
      <c r="AD2245" t="s">
        <v>31</v>
      </c>
      <c r="AE2245">
        <v>0</v>
      </c>
      <c r="AF2245" t="s">
        <v>31</v>
      </c>
      <c r="AG2245">
        <v>0</v>
      </c>
      <c r="AH2245" t="s">
        <v>31</v>
      </c>
      <c r="AI2245">
        <v>0</v>
      </c>
      <c r="AJ2245" t="s">
        <v>31</v>
      </c>
      <c r="AK2245">
        <v>0</v>
      </c>
      <c r="AL2245" t="s">
        <v>31</v>
      </c>
      <c r="AM2245">
        <v>0</v>
      </c>
      <c r="AN2245" t="s">
        <v>31</v>
      </c>
      <c r="AO2245">
        <v>0</v>
      </c>
      <c r="AP2245" t="s">
        <v>31</v>
      </c>
      <c r="AQ2245">
        <v>0</v>
      </c>
    </row>
    <row r="2246" spans="1:65" x14ac:dyDescent="0.2">
      <c r="A2246" t="s">
        <v>381</v>
      </c>
      <c r="B2246" s="3">
        <v>44357</v>
      </c>
      <c r="C2246">
        <v>132</v>
      </c>
      <c r="D2246" t="s">
        <v>399</v>
      </c>
      <c r="E2246" t="s">
        <v>106</v>
      </c>
      <c r="F2246" s="9" t="s">
        <v>206</v>
      </c>
      <c r="G2246" t="s">
        <v>26</v>
      </c>
      <c r="H2246" t="s">
        <v>79</v>
      </c>
      <c r="I2246" t="s">
        <v>80</v>
      </c>
      <c r="J2246" t="s">
        <v>43</v>
      </c>
      <c r="K2246" t="s">
        <v>44</v>
      </c>
      <c r="L2246" t="s">
        <v>29</v>
      </c>
      <c r="M2246" t="s">
        <v>30</v>
      </c>
      <c r="N2246" t="s">
        <v>79</v>
      </c>
      <c r="O2246" t="s">
        <v>80</v>
      </c>
      <c r="P2246" t="s">
        <v>43</v>
      </c>
      <c r="Q2246" t="s">
        <v>44</v>
      </c>
      <c r="R2246" s="1">
        <v>44357.407800925925</v>
      </c>
      <c r="S2246" s="1">
        <v>44357.408993055556</v>
      </c>
      <c r="T2246">
        <v>1</v>
      </c>
      <c r="U2246">
        <v>1</v>
      </c>
      <c r="V2246" s="2">
        <v>1</v>
      </c>
      <c r="W2246">
        <v>0</v>
      </c>
      <c r="X2246" t="s">
        <v>30</v>
      </c>
      <c r="Y2246">
        <v>0</v>
      </c>
      <c r="Z2246" t="s">
        <v>31</v>
      </c>
      <c r="AA2246">
        <v>0</v>
      </c>
      <c r="AB2246" t="s">
        <v>31</v>
      </c>
      <c r="AC2246">
        <v>0</v>
      </c>
      <c r="AD2246" t="s">
        <v>31</v>
      </c>
      <c r="AE2246">
        <v>0</v>
      </c>
      <c r="AF2246" t="s">
        <v>31</v>
      </c>
      <c r="AG2246">
        <v>0</v>
      </c>
      <c r="AH2246" t="s">
        <v>31</v>
      </c>
      <c r="AI2246">
        <v>0</v>
      </c>
      <c r="AJ2246" t="s">
        <v>31</v>
      </c>
      <c r="AK2246">
        <v>0</v>
      </c>
      <c r="AL2246" t="s">
        <v>31</v>
      </c>
      <c r="AM2246">
        <v>0</v>
      </c>
      <c r="AN2246" t="s">
        <v>31</v>
      </c>
      <c r="AO2246">
        <v>0</v>
      </c>
      <c r="AP2246" t="s">
        <v>31</v>
      </c>
      <c r="AQ2246">
        <v>0</v>
      </c>
    </row>
    <row r="2247" spans="1:65" x14ac:dyDescent="0.2">
      <c r="A2247" t="s">
        <v>381</v>
      </c>
      <c r="B2247" s="3">
        <v>44358</v>
      </c>
      <c r="C2247">
        <v>133</v>
      </c>
      <c r="D2247" t="s">
        <v>390</v>
      </c>
      <c r="E2247" t="s">
        <v>106</v>
      </c>
      <c r="F2247" s="9" t="s">
        <v>206</v>
      </c>
      <c r="G2247" t="s">
        <v>26</v>
      </c>
      <c r="H2247" t="s">
        <v>79</v>
      </c>
      <c r="I2247" t="s">
        <v>80</v>
      </c>
      <c r="J2247" t="s">
        <v>43</v>
      </c>
      <c r="K2247" t="s">
        <v>44</v>
      </c>
      <c r="L2247" t="s">
        <v>29</v>
      </c>
      <c r="M2247" t="s">
        <v>30</v>
      </c>
      <c r="N2247" t="s">
        <v>79</v>
      </c>
      <c r="O2247" t="s">
        <v>80</v>
      </c>
      <c r="P2247" t="s">
        <v>43</v>
      </c>
      <c r="Q2247" t="s">
        <v>44</v>
      </c>
      <c r="R2247" s="1">
        <v>44358.425706018519</v>
      </c>
      <c r="S2247" s="1">
        <v>44358.426678240743</v>
      </c>
      <c r="T2247">
        <v>1</v>
      </c>
      <c r="U2247">
        <v>4</v>
      </c>
      <c r="V2247" s="2">
        <v>0.25</v>
      </c>
      <c r="W2247">
        <v>0</v>
      </c>
      <c r="X2247" t="s">
        <v>44</v>
      </c>
      <c r="Y2247">
        <v>0</v>
      </c>
      <c r="Z2247" t="s">
        <v>44</v>
      </c>
      <c r="AA2247">
        <v>0</v>
      </c>
      <c r="AB2247" t="s">
        <v>61</v>
      </c>
      <c r="AC2247">
        <v>0</v>
      </c>
      <c r="AD2247" t="s">
        <v>30</v>
      </c>
      <c r="AE2247">
        <v>0</v>
      </c>
      <c r="AF2247" t="s">
        <v>31</v>
      </c>
      <c r="AG2247">
        <v>0</v>
      </c>
      <c r="AH2247" t="s">
        <v>31</v>
      </c>
      <c r="AI2247">
        <v>0</v>
      </c>
      <c r="AJ2247" t="s">
        <v>31</v>
      </c>
      <c r="AK2247">
        <v>0</v>
      </c>
      <c r="AL2247" t="s">
        <v>31</v>
      </c>
      <c r="AM2247">
        <v>0</v>
      </c>
      <c r="AN2247" t="s">
        <v>31</v>
      </c>
      <c r="AO2247">
        <v>0</v>
      </c>
      <c r="AP2247" t="s">
        <v>31</v>
      </c>
      <c r="AQ2247">
        <v>0</v>
      </c>
    </row>
    <row r="2248" spans="1:65" x14ac:dyDescent="0.2">
      <c r="A2248" t="s">
        <v>381</v>
      </c>
      <c r="B2248" s="3">
        <v>44361</v>
      </c>
      <c r="C2248">
        <v>135</v>
      </c>
      <c r="D2248" t="s">
        <v>390</v>
      </c>
      <c r="E2248" t="s">
        <v>106</v>
      </c>
      <c r="F2248" s="9" t="s">
        <v>206</v>
      </c>
      <c r="G2248" t="s">
        <v>26</v>
      </c>
      <c r="H2248" t="s">
        <v>79</v>
      </c>
      <c r="I2248" t="s">
        <v>80</v>
      </c>
      <c r="J2248" t="s">
        <v>43</v>
      </c>
      <c r="K2248" t="s">
        <v>44</v>
      </c>
      <c r="L2248" t="s">
        <v>29</v>
      </c>
      <c r="M2248" t="s">
        <v>30</v>
      </c>
      <c r="N2248" t="s">
        <v>79</v>
      </c>
      <c r="O2248" t="s">
        <v>80</v>
      </c>
      <c r="P2248" t="s">
        <v>43</v>
      </c>
      <c r="Q2248" t="s">
        <v>44</v>
      </c>
      <c r="R2248" s="1">
        <v>44361.412835648145</v>
      </c>
      <c r="S2248" s="1">
        <v>44361.412835648145</v>
      </c>
      <c r="T2248">
        <v>1</v>
      </c>
      <c r="U2248">
        <v>1</v>
      </c>
      <c r="V2248" s="2">
        <v>1</v>
      </c>
      <c r="W2248">
        <v>0</v>
      </c>
      <c r="X2248" t="s">
        <v>30</v>
      </c>
      <c r="Y2248">
        <v>0</v>
      </c>
      <c r="Z2248" t="s">
        <v>31</v>
      </c>
      <c r="AA2248">
        <v>0</v>
      </c>
      <c r="AB2248" t="s">
        <v>31</v>
      </c>
      <c r="AC2248">
        <v>0</v>
      </c>
      <c r="AD2248" t="s">
        <v>31</v>
      </c>
      <c r="AE2248">
        <v>0</v>
      </c>
      <c r="AF2248" t="s">
        <v>31</v>
      </c>
      <c r="AG2248">
        <v>0</v>
      </c>
      <c r="AH2248" t="s">
        <v>31</v>
      </c>
      <c r="AI2248">
        <v>0</v>
      </c>
      <c r="AJ2248" t="s">
        <v>31</v>
      </c>
      <c r="AK2248">
        <v>0</v>
      </c>
      <c r="AL2248" t="s">
        <v>31</v>
      </c>
      <c r="AM2248">
        <v>0</v>
      </c>
      <c r="AN2248" t="s">
        <v>31</v>
      </c>
      <c r="AO2248">
        <v>0</v>
      </c>
      <c r="AP2248" t="s">
        <v>31</v>
      </c>
      <c r="AQ2248">
        <v>0</v>
      </c>
    </row>
    <row r="2249" spans="1:65" x14ac:dyDescent="0.2">
      <c r="A2249" t="s">
        <v>381</v>
      </c>
      <c r="B2249" s="3">
        <v>44364</v>
      </c>
      <c r="C2249">
        <v>138</v>
      </c>
      <c r="D2249" t="s">
        <v>399</v>
      </c>
      <c r="E2249" t="s">
        <v>106</v>
      </c>
      <c r="F2249" s="9" t="s">
        <v>206</v>
      </c>
      <c r="G2249" t="s">
        <v>26</v>
      </c>
      <c r="H2249" t="s">
        <v>79</v>
      </c>
      <c r="I2249" t="s">
        <v>80</v>
      </c>
      <c r="J2249" t="s">
        <v>43</v>
      </c>
      <c r="K2249" t="s">
        <v>44</v>
      </c>
      <c r="L2249" t="s">
        <v>29</v>
      </c>
      <c r="M2249" t="s">
        <v>30</v>
      </c>
      <c r="N2249" t="s">
        <v>200</v>
      </c>
      <c r="O2249" t="s">
        <v>201</v>
      </c>
      <c r="P2249" t="s">
        <v>43</v>
      </c>
      <c r="Q2249" t="s">
        <v>44</v>
      </c>
      <c r="R2249" s="1">
        <v>44364.393888888888</v>
      </c>
      <c r="S2249" s="1">
        <v>44364.412627314814</v>
      </c>
      <c r="T2249">
        <v>1</v>
      </c>
      <c r="U2249">
        <v>1</v>
      </c>
      <c r="V2249" s="2">
        <v>1</v>
      </c>
      <c r="W2249">
        <v>0</v>
      </c>
      <c r="X2249" t="s">
        <v>30</v>
      </c>
      <c r="Y2249">
        <v>0</v>
      </c>
      <c r="Z2249" t="s">
        <v>31</v>
      </c>
      <c r="AA2249">
        <v>0</v>
      </c>
      <c r="AB2249" t="s">
        <v>31</v>
      </c>
      <c r="AC2249">
        <v>0</v>
      </c>
      <c r="AD2249" t="s">
        <v>31</v>
      </c>
      <c r="AE2249">
        <v>0</v>
      </c>
      <c r="AF2249" t="s">
        <v>31</v>
      </c>
      <c r="AG2249">
        <v>0</v>
      </c>
      <c r="AH2249" t="s">
        <v>31</v>
      </c>
      <c r="AI2249">
        <v>0</v>
      </c>
      <c r="AJ2249" t="s">
        <v>31</v>
      </c>
      <c r="AK2249">
        <v>0</v>
      </c>
      <c r="AL2249" t="s">
        <v>31</v>
      </c>
      <c r="AM2249">
        <v>0</v>
      </c>
      <c r="AN2249" t="s">
        <v>31</v>
      </c>
      <c r="AO2249">
        <v>0</v>
      </c>
      <c r="AP2249" t="s">
        <v>31</v>
      </c>
      <c r="AQ2249">
        <v>0</v>
      </c>
    </row>
    <row r="2250" spans="1:65" x14ac:dyDescent="0.2">
      <c r="A2250" t="s">
        <v>381</v>
      </c>
      <c r="B2250" s="3">
        <v>44236</v>
      </c>
      <c r="C2250">
        <v>2</v>
      </c>
      <c r="D2250" t="s">
        <v>382</v>
      </c>
      <c r="E2250" t="s">
        <v>106</v>
      </c>
      <c r="F2250" s="9" t="s">
        <v>107</v>
      </c>
      <c r="G2250" t="s">
        <v>26</v>
      </c>
      <c r="H2250" t="s">
        <v>108</v>
      </c>
      <c r="I2250" t="s">
        <v>109</v>
      </c>
      <c r="J2250" t="s">
        <v>43</v>
      </c>
      <c r="K2250" t="s">
        <v>44</v>
      </c>
      <c r="L2250" t="s">
        <v>29</v>
      </c>
      <c r="M2250" t="s">
        <v>30</v>
      </c>
      <c r="N2250" t="s">
        <v>108</v>
      </c>
      <c r="O2250" t="s">
        <v>109</v>
      </c>
      <c r="P2250" t="s">
        <v>43</v>
      </c>
      <c r="Q2250" t="s">
        <v>44</v>
      </c>
      <c r="R2250" s="1">
        <v>44236.467592592591</v>
      </c>
      <c r="S2250" s="1">
        <v>44236.467592592591</v>
      </c>
      <c r="T2250">
        <v>1</v>
      </c>
      <c r="U2250">
        <v>1</v>
      </c>
      <c r="V2250" s="2">
        <v>1</v>
      </c>
      <c r="W2250">
        <v>0</v>
      </c>
      <c r="X2250" t="s">
        <v>30</v>
      </c>
      <c r="Y2250">
        <v>0</v>
      </c>
      <c r="Z2250" t="s">
        <v>31</v>
      </c>
      <c r="AA2250">
        <v>0</v>
      </c>
      <c r="AB2250" t="s">
        <v>31</v>
      </c>
      <c r="AC2250">
        <v>0</v>
      </c>
      <c r="AD2250" t="s">
        <v>31</v>
      </c>
      <c r="AE2250">
        <v>0</v>
      </c>
      <c r="AF2250" t="s">
        <v>31</v>
      </c>
      <c r="AG2250">
        <v>0</v>
      </c>
      <c r="AH2250" t="s">
        <v>31</v>
      </c>
      <c r="AI2250">
        <v>0</v>
      </c>
      <c r="AJ2250" t="s">
        <v>31</v>
      </c>
      <c r="AK2250">
        <v>0</v>
      </c>
      <c r="AL2250" t="s">
        <v>31</v>
      </c>
      <c r="AM2250">
        <v>0</v>
      </c>
      <c r="AN2250" t="s">
        <v>31</v>
      </c>
      <c r="AO2250">
        <v>0</v>
      </c>
      <c r="AP2250" t="s">
        <v>31</v>
      </c>
      <c r="AQ2250">
        <v>0</v>
      </c>
    </row>
    <row r="2251" spans="1:65" x14ac:dyDescent="0.2">
      <c r="A2251" t="s">
        <v>381</v>
      </c>
      <c r="B2251" s="3">
        <v>44237</v>
      </c>
      <c r="C2251">
        <v>4</v>
      </c>
      <c r="D2251" t="s">
        <v>384</v>
      </c>
      <c r="E2251" t="s">
        <v>106</v>
      </c>
      <c r="F2251" s="9" t="s">
        <v>107</v>
      </c>
      <c r="G2251" t="s">
        <v>26</v>
      </c>
      <c r="H2251" t="s">
        <v>108</v>
      </c>
      <c r="I2251" t="s">
        <v>109</v>
      </c>
      <c r="J2251" t="s">
        <v>43</v>
      </c>
      <c r="K2251" t="s">
        <v>44</v>
      </c>
      <c r="L2251" t="s">
        <v>29</v>
      </c>
      <c r="M2251" t="s">
        <v>30</v>
      </c>
      <c r="N2251" t="s">
        <v>99</v>
      </c>
      <c r="O2251" t="s">
        <v>100</v>
      </c>
      <c r="P2251" t="s">
        <v>43</v>
      </c>
      <c r="Q2251" t="s">
        <v>44</v>
      </c>
      <c r="R2251" s="1">
        <v>44237.440011574072</v>
      </c>
      <c r="S2251" s="1">
        <v>44237.440011574072</v>
      </c>
      <c r="T2251">
        <v>1</v>
      </c>
      <c r="U2251">
        <v>1</v>
      </c>
      <c r="V2251" s="2">
        <v>1</v>
      </c>
      <c r="W2251">
        <v>0</v>
      </c>
      <c r="X2251" t="s">
        <v>30</v>
      </c>
      <c r="Y2251">
        <v>0</v>
      </c>
      <c r="Z2251" t="s">
        <v>31</v>
      </c>
      <c r="AA2251">
        <v>0</v>
      </c>
      <c r="AB2251" t="s">
        <v>31</v>
      </c>
      <c r="AC2251">
        <v>0</v>
      </c>
      <c r="AD2251" t="s">
        <v>31</v>
      </c>
      <c r="AE2251">
        <v>0</v>
      </c>
      <c r="AF2251" t="s">
        <v>31</v>
      </c>
      <c r="AG2251">
        <v>0</v>
      </c>
      <c r="AH2251" t="s">
        <v>31</v>
      </c>
      <c r="AI2251">
        <v>0</v>
      </c>
      <c r="AJ2251" t="s">
        <v>31</v>
      </c>
      <c r="AK2251">
        <v>0</v>
      </c>
      <c r="AL2251" t="s">
        <v>31</v>
      </c>
      <c r="AM2251">
        <v>0</v>
      </c>
      <c r="AN2251" t="s">
        <v>31</v>
      </c>
      <c r="AO2251">
        <v>0</v>
      </c>
      <c r="AP2251" t="s">
        <v>31</v>
      </c>
      <c r="AQ2251">
        <v>0</v>
      </c>
    </row>
    <row r="2252" spans="1:65" x14ac:dyDescent="0.2">
      <c r="A2252" t="s">
        <v>381</v>
      </c>
      <c r="B2252" s="3">
        <v>44315</v>
      </c>
      <c r="C2252">
        <v>79</v>
      </c>
      <c r="D2252" t="s">
        <v>383</v>
      </c>
      <c r="E2252" t="s">
        <v>106</v>
      </c>
      <c r="F2252" s="9" t="s">
        <v>107</v>
      </c>
      <c r="G2252" t="s">
        <v>26</v>
      </c>
      <c r="H2252" t="s">
        <v>99</v>
      </c>
      <c r="I2252" t="s">
        <v>100</v>
      </c>
      <c r="J2252" t="s">
        <v>43</v>
      </c>
      <c r="K2252" t="s">
        <v>44</v>
      </c>
      <c r="L2252" t="s">
        <v>29</v>
      </c>
      <c r="M2252" t="s">
        <v>30</v>
      </c>
      <c r="N2252" t="s">
        <v>99</v>
      </c>
      <c r="O2252" t="s">
        <v>100</v>
      </c>
      <c r="P2252" t="s">
        <v>43</v>
      </c>
      <c r="Q2252" t="s">
        <v>44</v>
      </c>
      <c r="R2252" s="1">
        <v>44315.465497685182</v>
      </c>
      <c r="S2252" s="1">
        <v>44315.465497685182</v>
      </c>
      <c r="T2252">
        <v>0</v>
      </c>
      <c r="U2252">
        <v>1</v>
      </c>
      <c r="V2252" s="2">
        <v>0</v>
      </c>
      <c r="W2252">
        <v>0</v>
      </c>
      <c r="X2252" t="s">
        <v>47</v>
      </c>
      <c r="Y2252">
        <v>0</v>
      </c>
      <c r="Z2252" t="s">
        <v>31</v>
      </c>
      <c r="AA2252">
        <v>0</v>
      </c>
      <c r="AB2252" t="s">
        <v>31</v>
      </c>
      <c r="AC2252">
        <v>0</v>
      </c>
      <c r="AD2252" t="s">
        <v>31</v>
      </c>
      <c r="AE2252">
        <v>0</v>
      </c>
      <c r="AF2252" t="s">
        <v>31</v>
      </c>
      <c r="AG2252">
        <v>0</v>
      </c>
      <c r="AH2252" t="s">
        <v>31</v>
      </c>
      <c r="AI2252">
        <v>0</v>
      </c>
      <c r="AJ2252" t="s">
        <v>31</v>
      </c>
      <c r="AK2252">
        <v>0</v>
      </c>
      <c r="AL2252" t="s">
        <v>31</v>
      </c>
      <c r="AM2252">
        <v>0</v>
      </c>
      <c r="AN2252" t="s">
        <v>31</v>
      </c>
      <c r="AO2252">
        <v>0</v>
      </c>
      <c r="AP2252" t="s">
        <v>31</v>
      </c>
      <c r="AQ2252">
        <v>0</v>
      </c>
    </row>
    <row r="2253" spans="1:65" x14ac:dyDescent="0.2">
      <c r="A2253" t="s">
        <v>381</v>
      </c>
      <c r="B2253" s="3">
        <v>44338</v>
      </c>
      <c r="C2253">
        <v>107</v>
      </c>
      <c r="D2253" t="s">
        <v>392</v>
      </c>
      <c r="E2253" t="s">
        <v>106</v>
      </c>
      <c r="F2253" s="9" t="s">
        <v>107</v>
      </c>
      <c r="G2253" t="s">
        <v>26</v>
      </c>
      <c r="H2253" t="s">
        <v>99</v>
      </c>
      <c r="I2253" t="s">
        <v>100</v>
      </c>
      <c r="J2253" t="s">
        <v>43</v>
      </c>
      <c r="K2253" t="s">
        <v>44</v>
      </c>
      <c r="L2253" t="s">
        <v>29</v>
      </c>
      <c r="M2253" t="s">
        <v>30</v>
      </c>
      <c r="N2253" t="s">
        <v>99</v>
      </c>
      <c r="O2253" t="s">
        <v>100</v>
      </c>
      <c r="P2253" t="s">
        <v>43</v>
      </c>
      <c r="Q2253" t="s">
        <v>44</v>
      </c>
      <c r="R2253" s="1">
        <v>44338.631273148145</v>
      </c>
      <c r="S2253" s="1">
        <v>44338.631273148145</v>
      </c>
      <c r="T2253">
        <v>1</v>
      </c>
      <c r="U2253">
        <v>1</v>
      </c>
      <c r="V2253" s="2">
        <v>1</v>
      </c>
      <c r="W2253">
        <v>0</v>
      </c>
      <c r="X2253" t="s">
        <v>30</v>
      </c>
      <c r="Y2253">
        <v>0</v>
      </c>
      <c r="Z2253" t="s">
        <v>31</v>
      </c>
      <c r="AA2253">
        <v>0</v>
      </c>
      <c r="AB2253" t="s">
        <v>31</v>
      </c>
      <c r="AC2253">
        <v>0</v>
      </c>
      <c r="AD2253" t="s">
        <v>31</v>
      </c>
      <c r="AE2253">
        <v>0</v>
      </c>
      <c r="AF2253" t="s">
        <v>31</v>
      </c>
      <c r="AG2253">
        <v>0</v>
      </c>
      <c r="AH2253" t="s">
        <v>31</v>
      </c>
      <c r="AI2253">
        <v>0</v>
      </c>
      <c r="AJ2253" t="s">
        <v>31</v>
      </c>
      <c r="AK2253">
        <v>0</v>
      </c>
      <c r="AL2253" t="s">
        <v>31</v>
      </c>
      <c r="AM2253">
        <v>0</v>
      </c>
      <c r="AN2253" t="s">
        <v>31</v>
      </c>
      <c r="AO2253">
        <v>0</v>
      </c>
      <c r="AP2253" t="s">
        <v>31</v>
      </c>
      <c r="AQ2253">
        <v>0</v>
      </c>
    </row>
    <row r="2254" spans="1:65" x14ac:dyDescent="0.2">
      <c r="A2254" t="s">
        <v>381</v>
      </c>
      <c r="B2254" s="3">
        <v>44357</v>
      </c>
      <c r="C2254">
        <v>132</v>
      </c>
      <c r="D2254" t="s">
        <v>399</v>
      </c>
      <c r="E2254" t="s">
        <v>106</v>
      </c>
      <c r="F2254" s="9" t="s">
        <v>107</v>
      </c>
      <c r="G2254" t="s">
        <v>26</v>
      </c>
      <c r="H2254" t="s">
        <v>99</v>
      </c>
      <c r="I2254" t="s">
        <v>100</v>
      </c>
      <c r="J2254" t="s">
        <v>43</v>
      </c>
      <c r="K2254" t="s">
        <v>44</v>
      </c>
      <c r="L2254" t="s">
        <v>29</v>
      </c>
      <c r="M2254" t="s">
        <v>30</v>
      </c>
      <c r="N2254" t="s">
        <v>99</v>
      </c>
      <c r="O2254" t="s">
        <v>100</v>
      </c>
      <c r="P2254" t="s">
        <v>43</v>
      </c>
      <c r="Q2254" t="s">
        <v>44</v>
      </c>
      <c r="R2254" s="1">
        <v>44357.454664351855</v>
      </c>
      <c r="S2254" s="1">
        <v>44357.454664351855</v>
      </c>
      <c r="T2254">
        <v>1</v>
      </c>
      <c r="U2254">
        <v>1</v>
      </c>
      <c r="V2254" s="2">
        <v>1</v>
      </c>
      <c r="W2254">
        <v>0</v>
      </c>
      <c r="X2254" t="s">
        <v>30</v>
      </c>
      <c r="Y2254">
        <v>0</v>
      </c>
      <c r="Z2254" t="s">
        <v>31</v>
      </c>
      <c r="AA2254">
        <v>0</v>
      </c>
      <c r="AB2254" t="s">
        <v>31</v>
      </c>
      <c r="AC2254">
        <v>0</v>
      </c>
      <c r="AD2254" t="s">
        <v>31</v>
      </c>
      <c r="AE2254">
        <v>0</v>
      </c>
      <c r="AF2254" t="s">
        <v>31</v>
      </c>
      <c r="AG2254">
        <v>0</v>
      </c>
      <c r="AH2254" t="s">
        <v>31</v>
      </c>
      <c r="AI2254">
        <v>0</v>
      </c>
      <c r="AJ2254" t="s">
        <v>31</v>
      </c>
      <c r="AK2254">
        <v>0</v>
      </c>
      <c r="AL2254" t="s">
        <v>31</v>
      </c>
      <c r="AM2254">
        <v>0</v>
      </c>
      <c r="AN2254" t="s">
        <v>31</v>
      </c>
      <c r="AO2254">
        <v>0</v>
      </c>
      <c r="AP2254" t="s">
        <v>31</v>
      </c>
      <c r="AQ2254">
        <v>0</v>
      </c>
    </row>
    <row r="2255" spans="1:65" x14ac:dyDescent="0.2">
      <c r="A2255" t="s">
        <v>381</v>
      </c>
      <c r="B2255" s="3">
        <v>44243</v>
      </c>
      <c r="C2255">
        <v>9</v>
      </c>
      <c r="D2255" t="s">
        <v>382</v>
      </c>
      <c r="E2255" t="s">
        <v>167</v>
      </c>
      <c r="F2255" s="9" t="s">
        <v>168</v>
      </c>
      <c r="G2255" t="s">
        <v>169</v>
      </c>
      <c r="H2255" t="s">
        <v>170</v>
      </c>
      <c r="I2255" t="s">
        <v>171</v>
      </c>
      <c r="J2255" t="s">
        <v>172</v>
      </c>
      <c r="K2255" t="s">
        <v>173</v>
      </c>
      <c r="L2255" t="s">
        <v>172</v>
      </c>
      <c r="M2255" t="s">
        <v>173</v>
      </c>
      <c r="N2255" t="s">
        <v>170</v>
      </c>
      <c r="O2255" t="s">
        <v>171</v>
      </c>
      <c r="P2255" t="s">
        <v>172</v>
      </c>
      <c r="Q2255" t="s">
        <v>173</v>
      </c>
      <c r="R2255" s="1">
        <v>44243.410127314812</v>
      </c>
      <c r="S2255" s="1">
        <v>44243.41673611111</v>
      </c>
      <c r="T2255">
        <v>20</v>
      </c>
      <c r="U2255">
        <v>20</v>
      </c>
      <c r="V2255" s="2">
        <v>1</v>
      </c>
      <c r="W2255">
        <v>0</v>
      </c>
      <c r="X2255" t="s">
        <v>174</v>
      </c>
      <c r="Y2255">
        <v>0</v>
      </c>
      <c r="Z2255" t="s">
        <v>175</v>
      </c>
      <c r="AA2255">
        <v>0</v>
      </c>
      <c r="AB2255" t="s">
        <v>175</v>
      </c>
      <c r="AC2255">
        <v>0</v>
      </c>
      <c r="AD2255" t="s">
        <v>176</v>
      </c>
      <c r="AE2255">
        <v>0</v>
      </c>
      <c r="AF2255" t="s">
        <v>176</v>
      </c>
      <c r="AG2255">
        <v>0</v>
      </c>
      <c r="AH2255" t="s">
        <v>174</v>
      </c>
      <c r="AI2255">
        <v>0</v>
      </c>
      <c r="AJ2255" t="s">
        <v>176</v>
      </c>
      <c r="AK2255">
        <v>0</v>
      </c>
      <c r="AL2255" t="s">
        <v>176</v>
      </c>
      <c r="AM2255">
        <v>0</v>
      </c>
      <c r="AN2255" t="s">
        <v>173</v>
      </c>
      <c r="AO2255">
        <v>0</v>
      </c>
      <c r="AP2255" t="s">
        <v>176</v>
      </c>
      <c r="AQ2255">
        <v>0</v>
      </c>
      <c r="AR2255" t="s">
        <v>174</v>
      </c>
      <c r="AS2255">
        <v>0</v>
      </c>
      <c r="AT2255" t="s">
        <v>174</v>
      </c>
      <c r="AU2255">
        <v>0</v>
      </c>
      <c r="AV2255" t="s">
        <v>174</v>
      </c>
      <c r="AW2255">
        <v>0</v>
      </c>
      <c r="AX2255" t="s">
        <v>174</v>
      </c>
      <c r="AY2255">
        <v>0</v>
      </c>
      <c r="AZ2255" t="s">
        <v>174</v>
      </c>
      <c r="BA2255">
        <v>0</v>
      </c>
      <c r="BB2255" t="s">
        <v>174</v>
      </c>
      <c r="BC2255">
        <v>0</v>
      </c>
      <c r="BD2255" t="s">
        <v>174</v>
      </c>
      <c r="BE2255">
        <v>0</v>
      </c>
      <c r="BF2255" t="s">
        <v>176</v>
      </c>
      <c r="BG2255">
        <v>0</v>
      </c>
      <c r="BH2255" t="s">
        <v>176</v>
      </c>
      <c r="BI2255">
        <v>0</v>
      </c>
      <c r="BJ2255" t="s">
        <v>177</v>
      </c>
      <c r="BK2255">
        <v>0</v>
      </c>
      <c r="BL2255" t="s">
        <v>175</v>
      </c>
      <c r="BM2255">
        <v>0</v>
      </c>
    </row>
    <row r="2256" spans="1:65" x14ac:dyDescent="0.2">
      <c r="A2256" t="s">
        <v>381</v>
      </c>
      <c r="B2256" s="3">
        <v>44252</v>
      </c>
      <c r="C2256">
        <v>19</v>
      </c>
      <c r="D2256" t="s">
        <v>382</v>
      </c>
      <c r="E2256" t="s">
        <v>167</v>
      </c>
      <c r="F2256" s="9" t="s">
        <v>168</v>
      </c>
      <c r="G2256" t="s">
        <v>169</v>
      </c>
      <c r="H2256" t="s">
        <v>170</v>
      </c>
      <c r="I2256" t="s">
        <v>171</v>
      </c>
      <c r="J2256" t="s">
        <v>172</v>
      </c>
      <c r="K2256" t="s">
        <v>173</v>
      </c>
      <c r="L2256" t="s">
        <v>172</v>
      </c>
      <c r="M2256" t="s">
        <v>173</v>
      </c>
      <c r="N2256" t="s">
        <v>170</v>
      </c>
      <c r="O2256" t="s">
        <v>171</v>
      </c>
      <c r="P2256" t="s">
        <v>172</v>
      </c>
      <c r="Q2256" t="s">
        <v>173</v>
      </c>
      <c r="R2256" s="1">
        <v>44252.368159722224</v>
      </c>
      <c r="S2256" s="1">
        <v>44252.372835648152</v>
      </c>
      <c r="T2256">
        <v>20</v>
      </c>
      <c r="U2256">
        <v>20</v>
      </c>
      <c r="V2256" s="2">
        <v>1</v>
      </c>
      <c r="W2256">
        <v>0</v>
      </c>
      <c r="X2256" t="s">
        <v>174</v>
      </c>
      <c r="Y2256">
        <v>0</v>
      </c>
      <c r="Z2256" t="s">
        <v>175</v>
      </c>
      <c r="AA2256">
        <v>0</v>
      </c>
      <c r="AB2256" t="s">
        <v>175</v>
      </c>
      <c r="AC2256">
        <v>0</v>
      </c>
      <c r="AD2256" t="s">
        <v>174</v>
      </c>
      <c r="AE2256">
        <v>0</v>
      </c>
      <c r="AF2256" t="s">
        <v>173</v>
      </c>
      <c r="AG2256">
        <v>0</v>
      </c>
      <c r="AH2256" t="s">
        <v>173</v>
      </c>
      <c r="AI2256">
        <v>0</v>
      </c>
      <c r="AJ2256" t="s">
        <v>173</v>
      </c>
      <c r="AK2256">
        <v>0</v>
      </c>
      <c r="AL2256" t="s">
        <v>174</v>
      </c>
      <c r="AM2256">
        <v>0</v>
      </c>
      <c r="AN2256" t="s">
        <v>173</v>
      </c>
      <c r="AO2256">
        <v>0</v>
      </c>
      <c r="AP2256" t="s">
        <v>173</v>
      </c>
      <c r="AQ2256">
        <v>0</v>
      </c>
      <c r="AR2256" t="s">
        <v>173</v>
      </c>
      <c r="AS2256">
        <v>0</v>
      </c>
      <c r="AT2256" t="s">
        <v>173</v>
      </c>
      <c r="AU2256">
        <v>0</v>
      </c>
      <c r="AV2256" t="s">
        <v>173</v>
      </c>
      <c r="AW2256">
        <v>0</v>
      </c>
      <c r="AX2256" t="s">
        <v>173</v>
      </c>
      <c r="AY2256">
        <v>0</v>
      </c>
      <c r="AZ2256" t="s">
        <v>173</v>
      </c>
      <c r="BA2256">
        <v>0</v>
      </c>
      <c r="BB2256" t="s">
        <v>173</v>
      </c>
      <c r="BC2256">
        <v>0</v>
      </c>
      <c r="BD2256" t="s">
        <v>173</v>
      </c>
      <c r="BE2256">
        <v>0</v>
      </c>
      <c r="BF2256" t="s">
        <v>173</v>
      </c>
      <c r="BG2256">
        <v>0</v>
      </c>
      <c r="BH2256" t="s">
        <v>173</v>
      </c>
      <c r="BI2256">
        <v>0</v>
      </c>
      <c r="BJ2256" t="s">
        <v>173</v>
      </c>
      <c r="BK2256">
        <v>0</v>
      </c>
    </row>
    <row r="2257" spans="1:65" x14ac:dyDescent="0.2">
      <c r="A2257" t="s">
        <v>381</v>
      </c>
      <c r="B2257" s="3">
        <v>44259</v>
      </c>
      <c r="C2257">
        <v>26</v>
      </c>
      <c r="D2257" t="s">
        <v>382</v>
      </c>
      <c r="E2257" t="s">
        <v>167</v>
      </c>
      <c r="F2257" s="9" t="s">
        <v>168</v>
      </c>
      <c r="G2257" t="s">
        <v>169</v>
      </c>
      <c r="H2257" t="s">
        <v>170</v>
      </c>
      <c r="I2257" t="s">
        <v>171</v>
      </c>
      <c r="J2257" t="s">
        <v>172</v>
      </c>
      <c r="K2257" t="s">
        <v>173</v>
      </c>
      <c r="L2257" t="s">
        <v>172</v>
      </c>
      <c r="M2257" t="s">
        <v>173</v>
      </c>
      <c r="N2257" t="s">
        <v>170</v>
      </c>
      <c r="O2257" t="s">
        <v>171</v>
      </c>
      <c r="P2257" t="s">
        <v>172</v>
      </c>
      <c r="Q2257" t="s">
        <v>173</v>
      </c>
      <c r="R2257" s="1">
        <v>44259.379548611112</v>
      </c>
      <c r="S2257" s="1">
        <v>44259.385000000002</v>
      </c>
      <c r="T2257">
        <v>20</v>
      </c>
      <c r="U2257">
        <v>20</v>
      </c>
      <c r="V2257" s="2">
        <v>1</v>
      </c>
      <c r="W2257">
        <v>0</v>
      </c>
      <c r="X2257" t="s">
        <v>174</v>
      </c>
      <c r="Y2257">
        <v>0</v>
      </c>
      <c r="Z2257" t="s">
        <v>174</v>
      </c>
      <c r="AA2257">
        <v>0</v>
      </c>
      <c r="AB2257" t="s">
        <v>174</v>
      </c>
      <c r="AC2257">
        <v>0</v>
      </c>
      <c r="AD2257" t="s">
        <v>174</v>
      </c>
      <c r="AE2257">
        <v>0</v>
      </c>
      <c r="AF2257" t="s">
        <v>176</v>
      </c>
      <c r="AG2257">
        <v>0</v>
      </c>
      <c r="AH2257" t="s">
        <v>176</v>
      </c>
      <c r="AI2257">
        <v>0</v>
      </c>
      <c r="AJ2257" t="s">
        <v>176</v>
      </c>
      <c r="AK2257">
        <v>0</v>
      </c>
      <c r="AL2257" t="s">
        <v>174</v>
      </c>
      <c r="AM2257">
        <v>0</v>
      </c>
      <c r="AN2257" t="s">
        <v>174</v>
      </c>
      <c r="AO2257">
        <v>0</v>
      </c>
      <c r="AP2257" t="s">
        <v>173</v>
      </c>
      <c r="AQ2257">
        <v>0</v>
      </c>
      <c r="AR2257" t="s">
        <v>173</v>
      </c>
      <c r="AS2257">
        <v>0</v>
      </c>
      <c r="AT2257" t="s">
        <v>176</v>
      </c>
      <c r="AU2257">
        <v>0</v>
      </c>
      <c r="AV2257" t="s">
        <v>176</v>
      </c>
      <c r="AW2257">
        <v>0</v>
      </c>
      <c r="AX2257" t="s">
        <v>174</v>
      </c>
      <c r="AY2257">
        <v>0</v>
      </c>
      <c r="AZ2257" t="s">
        <v>174</v>
      </c>
      <c r="BA2257">
        <v>0</v>
      </c>
      <c r="BB2257" t="s">
        <v>174</v>
      </c>
      <c r="BC2257">
        <v>0</v>
      </c>
      <c r="BD2257" t="s">
        <v>174</v>
      </c>
      <c r="BE2257">
        <v>0</v>
      </c>
      <c r="BF2257" t="s">
        <v>176</v>
      </c>
      <c r="BG2257">
        <v>0</v>
      </c>
      <c r="BH2257" t="s">
        <v>176</v>
      </c>
      <c r="BI2257">
        <v>0</v>
      </c>
      <c r="BJ2257" t="s">
        <v>176</v>
      </c>
      <c r="BK2257">
        <v>0</v>
      </c>
    </row>
    <row r="2258" spans="1:65" x14ac:dyDescent="0.2">
      <c r="A2258" t="s">
        <v>381</v>
      </c>
      <c r="B2258" s="3">
        <v>44291</v>
      </c>
      <c r="C2258">
        <v>50</v>
      </c>
      <c r="D2258" t="s">
        <v>384</v>
      </c>
      <c r="E2258" t="s">
        <v>167</v>
      </c>
      <c r="F2258" s="9" t="s">
        <v>168</v>
      </c>
      <c r="G2258" t="s">
        <v>169</v>
      </c>
      <c r="H2258" t="s">
        <v>170</v>
      </c>
      <c r="I2258" t="s">
        <v>171</v>
      </c>
      <c r="J2258" t="s">
        <v>172</v>
      </c>
      <c r="K2258" t="s">
        <v>173</v>
      </c>
      <c r="L2258" t="s">
        <v>172</v>
      </c>
      <c r="M2258" t="s">
        <v>173</v>
      </c>
      <c r="N2258" t="s">
        <v>170</v>
      </c>
      <c r="O2258" t="s">
        <v>171</v>
      </c>
      <c r="P2258" t="s">
        <v>172</v>
      </c>
      <c r="Q2258" t="s">
        <v>173</v>
      </c>
      <c r="R2258" s="1">
        <v>44291.46875</v>
      </c>
      <c r="S2258" s="1">
        <v>44291.46875</v>
      </c>
      <c r="T2258">
        <v>20</v>
      </c>
      <c r="U2258">
        <v>20</v>
      </c>
      <c r="V2258" s="2">
        <v>1</v>
      </c>
      <c r="W2258">
        <v>0</v>
      </c>
      <c r="X2258" t="s">
        <v>177</v>
      </c>
      <c r="Y2258">
        <v>0</v>
      </c>
      <c r="Z2258" t="s">
        <v>174</v>
      </c>
      <c r="AA2258">
        <v>0</v>
      </c>
      <c r="AB2258" t="s">
        <v>174</v>
      </c>
      <c r="AC2258">
        <v>0</v>
      </c>
      <c r="AD2258" t="s">
        <v>174</v>
      </c>
      <c r="AE2258">
        <v>0</v>
      </c>
      <c r="AF2258" t="s">
        <v>174</v>
      </c>
      <c r="AG2258">
        <v>0</v>
      </c>
      <c r="AH2258" t="s">
        <v>175</v>
      </c>
      <c r="AI2258">
        <v>0</v>
      </c>
      <c r="AJ2258" t="s">
        <v>175</v>
      </c>
      <c r="AK2258">
        <v>0</v>
      </c>
      <c r="AL2258" t="s">
        <v>174</v>
      </c>
      <c r="AM2258">
        <v>0</v>
      </c>
      <c r="AN2258" t="s">
        <v>174</v>
      </c>
      <c r="AO2258">
        <v>0</v>
      </c>
      <c r="AP2258" t="s">
        <v>174</v>
      </c>
      <c r="AQ2258">
        <v>0</v>
      </c>
      <c r="AR2258" t="s">
        <v>174</v>
      </c>
      <c r="AS2258">
        <v>0</v>
      </c>
      <c r="AT2258" t="s">
        <v>174</v>
      </c>
      <c r="AU2258">
        <v>0</v>
      </c>
      <c r="AV2258" t="s">
        <v>175</v>
      </c>
      <c r="AW2258">
        <v>0</v>
      </c>
      <c r="AX2258" t="s">
        <v>174</v>
      </c>
      <c r="AY2258">
        <v>0</v>
      </c>
      <c r="AZ2258" t="s">
        <v>174</v>
      </c>
      <c r="BA2258">
        <v>0</v>
      </c>
      <c r="BB2258" t="s">
        <v>175</v>
      </c>
      <c r="BC2258">
        <v>0</v>
      </c>
      <c r="BD2258" t="s">
        <v>174</v>
      </c>
      <c r="BE2258">
        <v>0</v>
      </c>
      <c r="BF2258" t="s">
        <v>174</v>
      </c>
      <c r="BG2258">
        <v>0</v>
      </c>
      <c r="BH2258" t="s">
        <v>174</v>
      </c>
      <c r="BI2258">
        <v>0</v>
      </c>
      <c r="BJ2258" t="s">
        <v>175</v>
      </c>
      <c r="BK2258">
        <v>0</v>
      </c>
      <c r="BL2258" t="s">
        <v>175</v>
      </c>
      <c r="BM2258">
        <v>0</v>
      </c>
    </row>
    <row r="2259" spans="1:65" x14ac:dyDescent="0.2">
      <c r="A2259" t="s">
        <v>381</v>
      </c>
      <c r="B2259" s="3">
        <v>44321</v>
      </c>
      <c r="C2259">
        <v>88</v>
      </c>
      <c r="D2259" t="s">
        <v>404</v>
      </c>
      <c r="E2259" t="s">
        <v>167</v>
      </c>
      <c r="F2259" s="9" t="s">
        <v>168</v>
      </c>
      <c r="G2259" t="s">
        <v>169</v>
      </c>
      <c r="H2259" t="s">
        <v>170</v>
      </c>
      <c r="I2259" t="s">
        <v>171</v>
      </c>
      <c r="J2259" t="s">
        <v>172</v>
      </c>
      <c r="K2259" t="s">
        <v>173</v>
      </c>
      <c r="L2259" t="s">
        <v>172</v>
      </c>
      <c r="M2259" t="s">
        <v>173</v>
      </c>
      <c r="N2259" t="s">
        <v>170</v>
      </c>
      <c r="O2259" t="s">
        <v>171</v>
      </c>
      <c r="P2259" t="s">
        <v>172</v>
      </c>
      <c r="Q2259" t="s">
        <v>173</v>
      </c>
      <c r="R2259" s="1">
        <v>44321.480127314811</v>
      </c>
      <c r="S2259" s="1">
        <v>44321.4840625</v>
      </c>
      <c r="T2259">
        <v>20</v>
      </c>
      <c r="U2259">
        <v>20</v>
      </c>
      <c r="V2259" s="2">
        <v>1</v>
      </c>
      <c r="W2259">
        <v>0</v>
      </c>
      <c r="X2259" t="s">
        <v>176</v>
      </c>
      <c r="Y2259">
        <v>0</v>
      </c>
      <c r="Z2259" t="s">
        <v>176</v>
      </c>
      <c r="AA2259">
        <v>0</v>
      </c>
      <c r="AB2259" t="s">
        <v>176</v>
      </c>
      <c r="AC2259">
        <v>0</v>
      </c>
      <c r="AD2259" t="s">
        <v>176</v>
      </c>
      <c r="AE2259">
        <v>0</v>
      </c>
      <c r="AF2259" t="s">
        <v>176</v>
      </c>
      <c r="AG2259">
        <v>0</v>
      </c>
      <c r="AH2259" t="s">
        <v>175</v>
      </c>
      <c r="AI2259">
        <v>0</v>
      </c>
      <c r="AJ2259" t="s">
        <v>175</v>
      </c>
      <c r="AK2259">
        <v>0</v>
      </c>
      <c r="AL2259" t="s">
        <v>175</v>
      </c>
      <c r="AM2259">
        <v>0</v>
      </c>
      <c r="AN2259" t="s">
        <v>175</v>
      </c>
      <c r="AO2259">
        <v>0</v>
      </c>
      <c r="AP2259" t="s">
        <v>175</v>
      </c>
      <c r="AQ2259">
        <v>0</v>
      </c>
      <c r="AR2259" t="s">
        <v>175</v>
      </c>
      <c r="AS2259">
        <v>0</v>
      </c>
      <c r="AT2259" t="s">
        <v>175</v>
      </c>
      <c r="AU2259">
        <v>0</v>
      </c>
      <c r="AV2259" t="s">
        <v>175</v>
      </c>
      <c r="AW2259">
        <v>0</v>
      </c>
      <c r="AX2259" t="s">
        <v>175</v>
      </c>
      <c r="AY2259">
        <v>0</v>
      </c>
      <c r="AZ2259" t="s">
        <v>175</v>
      </c>
      <c r="BA2259">
        <v>0</v>
      </c>
      <c r="BB2259" t="s">
        <v>175</v>
      </c>
      <c r="BC2259">
        <v>0</v>
      </c>
      <c r="BD2259" t="s">
        <v>175</v>
      </c>
      <c r="BE2259">
        <v>0</v>
      </c>
      <c r="BF2259" t="s">
        <v>175</v>
      </c>
      <c r="BG2259">
        <v>0</v>
      </c>
      <c r="BH2259" t="s">
        <v>175</v>
      </c>
      <c r="BI2259">
        <v>0</v>
      </c>
      <c r="BJ2259" t="s">
        <v>175</v>
      </c>
      <c r="BK2259">
        <v>0</v>
      </c>
    </row>
    <row r="2260" spans="1:65" x14ac:dyDescent="0.2">
      <c r="A2260" t="s">
        <v>381</v>
      </c>
      <c r="B2260" s="3">
        <v>44335</v>
      </c>
      <c r="C2260">
        <v>100</v>
      </c>
      <c r="D2260" t="s">
        <v>398</v>
      </c>
      <c r="E2260" t="s">
        <v>167</v>
      </c>
      <c r="F2260" s="9" t="s">
        <v>168</v>
      </c>
      <c r="G2260" t="s">
        <v>169</v>
      </c>
      <c r="H2260" t="s">
        <v>170</v>
      </c>
      <c r="I2260" t="s">
        <v>171</v>
      </c>
      <c r="J2260" t="s">
        <v>172</v>
      </c>
      <c r="K2260" t="s">
        <v>173</v>
      </c>
      <c r="L2260" t="s">
        <v>172</v>
      </c>
      <c r="M2260" t="s">
        <v>173</v>
      </c>
      <c r="N2260" t="s">
        <v>170</v>
      </c>
      <c r="O2260" t="s">
        <v>171</v>
      </c>
      <c r="P2260" t="s">
        <v>172</v>
      </c>
      <c r="Q2260" t="s">
        <v>173</v>
      </c>
      <c r="R2260" s="1">
        <v>44335.452766203707</v>
      </c>
      <c r="S2260" s="1">
        <v>44335.457002314812</v>
      </c>
      <c r="T2260">
        <v>20</v>
      </c>
      <c r="U2260">
        <v>20</v>
      </c>
      <c r="V2260" s="2">
        <v>1</v>
      </c>
      <c r="W2260">
        <v>0</v>
      </c>
      <c r="X2260" t="s">
        <v>174</v>
      </c>
      <c r="Y2260">
        <v>0</v>
      </c>
      <c r="Z2260" t="s">
        <v>174</v>
      </c>
      <c r="AA2260">
        <v>0</v>
      </c>
      <c r="AB2260" t="s">
        <v>174</v>
      </c>
      <c r="AC2260">
        <v>0</v>
      </c>
      <c r="AD2260" t="s">
        <v>174</v>
      </c>
      <c r="AE2260">
        <v>0</v>
      </c>
      <c r="AF2260" t="s">
        <v>174</v>
      </c>
      <c r="AG2260">
        <v>0</v>
      </c>
      <c r="AH2260" t="s">
        <v>174</v>
      </c>
      <c r="AI2260">
        <v>0</v>
      </c>
      <c r="AJ2260" t="s">
        <v>173</v>
      </c>
      <c r="AK2260">
        <v>0</v>
      </c>
      <c r="AL2260" t="s">
        <v>173</v>
      </c>
      <c r="AM2260">
        <v>0</v>
      </c>
      <c r="AN2260" t="s">
        <v>174</v>
      </c>
      <c r="AO2260">
        <v>0</v>
      </c>
      <c r="AP2260" t="s">
        <v>174</v>
      </c>
      <c r="AQ2260">
        <v>0</v>
      </c>
      <c r="AR2260" t="s">
        <v>174</v>
      </c>
      <c r="AS2260">
        <v>0</v>
      </c>
      <c r="AT2260" t="s">
        <v>174</v>
      </c>
      <c r="AU2260">
        <v>0</v>
      </c>
      <c r="AV2260" t="s">
        <v>174</v>
      </c>
      <c r="AW2260">
        <v>0</v>
      </c>
      <c r="AX2260" t="s">
        <v>174</v>
      </c>
      <c r="AY2260">
        <v>0</v>
      </c>
      <c r="AZ2260" t="s">
        <v>174</v>
      </c>
      <c r="BA2260">
        <v>0</v>
      </c>
      <c r="BB2260" t="s">
        <v>174</v>
      </c>
      <c r="BC2260">
        <v>0</v>
      </c>
      <c r="BD2260" t="s">
        <v>174</v>
      </c>
      <c r="BE2260">
        <v>0</v>
      </c>
      <c r="BF2260" t="s">
        <v>174</v>
      </c>
      <c r="BG2260">
        <v>0</v>
      </c>
      <c r="BH2260" t="s">
        <v>174</v>
      </c>
      <c r="BI2260">
        <v>0</v>
      </c>
      <c r="BJ2260" t="s">
        <v>174</v>
      </c>
      <c r="BK2260">
        <v>0</v>
      </c>
    </row>
    <row r="2261" spans="1:65" x14ac:dyDescent="0.2">
      <c r="A2261" t="s">
        <v>381</v>
      </c>
      <c r="B2261" s="3">
        <v>44342</v>
      </c>
      <c r="C2261">
        <v>112</v>
      </c>
      <c r="D2261" t="s">
        <v>394</v>
      </c>
      <c r="E2261" t="s">
        <v>167</v>
      </c>
      <c r="F2261" s="9" t="s">
        <v>168</v>
      </c>
      <c r="G2261" t="s">
        <v>169</v>
      </c>
      <c r="H2261" t="s">
        <v>170</v>
      </c>
      <c r="I2261" t="s">
        <v>171</v>
      </c>
      <c r="J2261" t="s">
        <v>172</v>
      </c>
      <c r="K2261" t="s">
        <v>173</v>
      </c>
      <c r="L2261" t="s">
        <v>172</v>
      </c>
      <c r="M2261" t="s">
        <v>173</v>
      </c>
      <c r="N2261" t="s">
        <v>170</v>
      </c>
      <c r="O2261" t="s">
        <v>171</v>
      </c>
      <c r="P2261" t="s">
        <v>172</v>
      </c>
      <c r="Q2261" t="s">
        <v>173</v>
      </c>
      <c r="R2261" s="1">
        <v>44342.40766203704</v>
      </c>
      <c r="S2261" s="1">
        <v>44342.410983796297</v>
      </c>
      <c r="T2261">
        <v>20</v>
      </c>
      <c r="U2261">
        <v>20</v>
      </c>
      <c r="V2261" s="2">
        <v>1</v>
      </c>
      <c r="W2261">
        <v>0</v>
      </c>
      <c r="X2261" t="s">
        <v>176</v>
      </c>
      <c r="Y2261">
        <v>0</v>
      </c>
      <c r="Z2261" t="s">
        <v>174</v>
      </c>
      <c r="AA2261">
        <v>0</v>
      </c>
      <c r="AB2261" t="s">
        <v>174</v>
      </c>
      <c r="AC2261">
        <v>0</v>
      </c>
      <c r="AD2261" t="s">
        <v>174</v>
      </c>
      <c r="AE2261">
        <v>0</v>
      </c>
      <c r="AF2261" t="s">
        <v>174</v>
      </c>
      <c r="AG2261">
        <v>0</v>
      </c>
      <c r="AH2261" t="s">
        <v>174</v>
      </c>
      <c r="AI2261">
        <v>0</v>
      </c>
      <c r="AJ2261" t="s">
        <v>174</v>
      </c>
      <c r="AK2261">
        <v>0</v>
      </c>
      <c r="AL2261" t="s">
        <v>176</v>
      </c>
      <c r="AM2261">
        <v>0</v>
      </c>
      <c r="AN2261" t="s">
        <v>174</v>
      </c>
      <c r="AO2261">
        <v>0</v>
      </c>
      <c r="AP2261" t="s">
        <v>174</v>
      </c>
      <c r="AQ2261">
        <v>0</v>
      </c>
      <c r="AR2261" t="s">
        <v>174</v>
      </c>
      <c r="AS2261">
        <v>0</v>
      </c>
      <c r="AT2261" t="s">
        <v>174</v>
      </c>
      <c r="AU2261">
        <v>0</v>
      </c>
      <c r="AV2261" t="s">
        <v>174</v>
      </c>
      <c r="AW2261">
        <v>0</v>
      </c>
      <c r="AX2261" t="s">
        <v>174</v>
      </c>
      <c r="AY2261">
        <v>0</v>
      </c>
      <c r="AZ2261" t="s">
        <v>176</v>
      </c>
      <c r="BA2261">
        <v>0</v>
      </c>
      <c r="BB2261" t="s">
        <v>174</v>
      </c>
      <c r="BC2261">
        <v>0</v>
      </c>
      <c r="BD2261" t="s">
        <v>176</v>
      </c>
      <c r="BE2261">
        <v>0</v>
      </c>
      <c r="BF2261" t="s">
        <v>174</v>
      </c>
      <c r="BG2261">
        <v>0</v>
      </c>
      <c r="BH2261" t="s">
        <v>174</v>
      </c>
      <c r="BI2261">
        <v>0</v>
      </c>
      <c r="BJ2261" t="s">
        <v>177</v>
      </c>
      <c r="BK2261">
        <v>0</v>
      </c>
      <c r="BL2261" t="s">
        <v>174</v>
      </c>
      <c r="BM2261">
        <v>0</v>
      </c>
    </row>
    <row r="2262" spans="1:65" x14ac:dyDescent="0.2">
      <c r="A2262" t="s">
        <v>381</v>
      </c>
      <c r="B2262" s="3">
        <v>44350</v>
      </c>
      <c r="C2262">
        <v>123</v>
      </c>
      <c r="D2262" t="s">
        <v>382</v>
      </c>
      <c r="E2262" t="s">
        <v>167</v>
      </c>
      <c r="F2262" s="9" t="s">
        <v>168</v>
      </c>
      <c r="G2262" t="s">
        <v>169</v>
      </c>
      <c r="H2262" t="s">
        <v>170</v>
      </c>
      <c r="I2262" t="s">
        <v>171</v>
      </c>
      <c r="J2262" t="s">
        <v>172</v>
      </c>
      <c r="K2262" t="s">
        <v>173</v>
      </c>
      <c r="L2262" t="s">
        <v>172</v>
      </c>
      <c r="M2262" t="s">
        <v>173</v>
      </c>
      <c r="N2262" t="s">
        <v>170</v>
      </c>
      <c r="O2262" t="s">
        <v>171</v>
      </c>
      <c r="P2262" t="s">
        <v>172</v>
      </c>
      <c r="Q2262" t="s">
        <v>173</v>
      </c>
      <c r="R2262" s="1">
        <v>44350.439884259256</v>
      </c>
      <c r="S2262" s="1">
        <v>44350.444652777776</v>
      </c>
      <c r="T2262">
        <v>20</v>
      </c>
      <c r="U2262">
        <v>20</v>
      </c>
      <c r="V2262" s="2">
        <v>1</v>
      </c>
      <c r="W2262">
        <v>0</v>
      </c>
      <c r="X2262" t="s">
        <v>176</v>
      </c>
      <c r="Y2262">
        <v>0</v>
      </c>
      <c r="Z2262" t="s">
        <v>176</v>
      </c>
      <c r="AA2262">
        <v>0</v>
      </c>
      <c r="AB2262" t="s">
        <v>176</v>
      </c>
      <c r="AC2262">
        <v>0</v>
      </c>
      <c r="AD2262" t="s">
        <v>176</v>
      </c>
      <c r="AE2262">
        <v>0</v>
      </c>
      <c r="AF2262" t="s">
        <v>176</v>
      </c>
      <c r="AG2262">
        <v>0</v>
      </c>
      <c r="AH2262" t="s">
        <v>175</v>
      </c>
      <c r="AI2262">
        <v>0</v>
      </c>
      <c r="AJ2262" t="s">
        <v>174</v>
      </c>
      <c r="AK2262">
        <v>0</v>
      </c>
      <c r="AL2262" t="s">
        <v>175</v>
      </c>
      <c r="AM2262">
        <v>0</v>
      </c>
      <c r="AN2262" t="s">
        <v>175</v>
      </c>
      <c r="AO2262">
        <v>0</v>
      </c>
      <c r="AP2262" t="s">
        <v>175</v>
      </c>
      <c r="AQ2262">
        <v>0</v>
      </c>
      <c r="AR2262" t="s">
        <v>175</v>
      </c>
      <c r="AS2262">
        <v>0</v>
      </c>
      <c r="AT2262" t="s">
        <v>174</v>
      </c>
      <c r="AU2262">
        <v>0</v>
      </c>
      <c r="AV2262" t="s">
        <v>175</v>
      </c>
      <c r="AW2262">
        <v>0</v>
      </c>
      <c r="AX2262" t="s">
        <v>175</v>
      </c>
      <c r="AY2262">
        <v>0</v>
      </c>
      <c r="AZ2262" t="s">
        <v>175</v>
      </c>
      <c r="BA2262">
        <v>0</v>
      </c>
      <c r="BB2262" t="s">
        <v>175</v>
      </c>
      <c r="BC2262">
        <v>0</v>
      </c>
      <c r="BD2262" t="s">
        <v>175</v>
      </c>
      <c r="BE2262">
        <v>0</v>
      </c>
      <c r="BF2262" t="s">
        <v>175</v>
      </c>
      <c r="BG2262">
        <v>0</v>
      </c>
      <c r="BH2262" t="s">
        <v>176</v>
      </c>
      <c r="BI2262">
        <v>0</v>
      </c>
      <c r="BJ2262" t="s">
        <v>177</v>
      </c>
      <c r="BK2262">
        <v>0</v>
      </c>
      <c r="BL2262" t="s">
        <v>175</v>
      </c>
      <c r="BM2262">
        <v>0</v>
      </c>
    </row>
    <row r="2263" spans="1:65" x14ac:dyDescent="0.2">
      <c r="A2263" t="s">
        <v>381</v>
      </c>
      <c r="B2263" s="3">
        <v>44238</v>
      </c>
      <c r="C2263">
        <v>5</v>
      </c>
      <c r="D2263" t="s">
        <v>382</v>
      </c>
      <c r="E2263" t="s">
        <v>127</v>
      </c>
      <c r="F2263" s="9" t="s">
        <v>140</v>
      </c>
      <c r="G2263" t="s">
        <v>26</v>
      </c>
      <c r="H2263" t="s">
        <v>85</v>
      </c>
      <c r="I2263" t="s">
        <v>86</v>
      </c>
      <c r="J2263" t="s">
        <v>53</v>
      </c>
      <c r="K2263" t="s">
        <v>54</v>
      </c>
      <c r="L2263" t="s">
        <v>53</v>
      </c>
      <c r="M2263" t="s">
        <v>54</v>
      </c>
      <c r="N2263" t="s">
        <v>85</v>
      </c>
      <c r="O2263" t="s">
        <v>86</v>
      </c>
      <c r="P2263" t="s">
        <v>53</v>
      </c>
      <c r="Q2263" t="s">
        <v>54</v>
      </c>
      <c r="R2263" s="1">
        <v>44238.448773148149</v>
      </c>
      <c r="S2263" s="1">
        <v>44238.448773148149</v>
      </c>
      <c r="T2263">
        <v>0</v>
      </c>
      <c r="U2263">
        <v>1</v>
      </c>
      <c r="V2263" s="2">
        <v>0</v>
      </c>
      <c r="W2263">
        <v>0</v>
      </c>
      <c r="X2263" t="s">
        <v>44</v>
      </c>
      <c r="Y2263">
        <v>0</v>
      </c>
      <c r="Z2263" t="s">
        <v>31</v>
      </c>
      <c r="AA2263">
        <v>0</v>
      </c>
      <c r="AB2263" t="s">
        <v>31</v>
      </c>
      <c r="AC2263">
        <v>0</v>
      </c>
      <c r="AD2263" t="s">
        <v>31</v>
      </c>
      <c r="AE2263">
        <v>0</v>
      </c>
      <c r="AF2263" t="s">
        <v>31</v>
      </c>
      <c r="AG2263">
        <v>0</v>
      </c>
      <c r="AH2263" t="s">
        <v>31</v>
      </c>
      <c r="AI2263">
        <v>0</v>
      </c>
      <c r="AJ2263" t="s">
        <v>31</v>
      </c>
      <c r="AK2263">
        <v>0</v>
      </c>
      <c r="AL2263" t="s">
        <v>31</v>
      </c>
      <c r="AM2263">
        <v>0</v>
      </c>
      <c r="AN2263" t="s">
        <v>31</v>
      </c>
      <c r="AO2263">
        <v>0</v>
      </c>
      <c r="AP2263" t="s">
        <v>31</v>
      </c>
      <c r="AQ2263">
        <v>0</v>
      </c>
    </row>
    <row r="2264" spans="1:65" x14ac:dyDescent="0.2">
      <c r="A2264" t="s">
        <v>381</v>
      </c>
      <c r="B2264" s="3">
        <v>44242</v>
      </c>
      <c r="C2264">
        <v>8</v>
      </c>
      <c r="D2264" t="s">
        <v>384</v>
      </c>
      <c r="E2264" t="s">
        <v>127</v>
      </c>
      <c r="F2264" s="9" t="s">
        <v>140</v>
      </c>
      <c r="G2264" t="s">
        <v>26</v>
      </c>
      <c r="H2264" t="s">
        <v>85</v>
      </c>
      <c r="I2264" t="s">
        <v>86</v>
      </c>
      <c r="J2264" t="s">
        <v>53</v>
      </c>
      <c r="K2264" t="s">
        <v>54</v>
      </c>
      <c r="L2264" t="s">
        <v>53</v>
      </c>
      <c r="M2264" t="s">
        <v>54</v>
      </c>
      <c r="N2264" t="s">
        <v>85</v>
      </c>
      <c r="O2264" t="s">
        <v>86</v>
      </c>
      <c r="P2264" t="s">
        <v>53</v>
      </c>
      <c r="Q2264" t="s">
        <v>54</v>
      </c>
      <c r="R2264" s="1">
        <v>44242.381655092591</v>
      </c>
      <c r="S2264" s="1">
        <v>44242.381655092591</v>
      </c>
      <c r="T2264">
        <v>1</v>
      </c>
      <c r="U2264">
        <v>1</v>
      </c>
      <c r="V2264" s="2">
        <v>1</v>
      </c>
      <c r="W2264">
        <v>1</v>
      </c>
      <c r="X2264" t="s">
        <v>54</v>
      </c>
      <c r="Y2264">
        <v>1</v>
      </c>
      <c r="Z2264" t="s">
        <v>31</v>
      </c>
      <c r="AA2264">
        <v>0</v>
      </c>
      <c r="AB2264" t="s">
        <v>31</v>
      </c>
      <c r="AC2264">
        <v>0</v>
      </c>
      <c r="AD2264" t="s">
        <v>31</v>
      </c>
      <c r="AE2264">
        <v>0</v>
      </c>
      <c r="AF2264" t="s">
        <v>31</v>
      </c>
      <c r="AG2264">
        <v>0</v>
      </c>
      <c r="AH2264" t="s">
        <v>31</v>
      </c>
      <c r="AI2264">
        <v>0</v>
      </c>
      <c r="AJ2264" t="s">
        <v>31</v>
      </c>
      <c r="AK2264">
        <v>0</v>
      </c>
      <c r="AL2264" t="s">
        <v>31</v>
      </c>
      <c r="AM2264">
        <v>0</v>
      </c>
      <c r="AN2264" t="s">
        <v>31</v>
      </c>
      <c r="AO2264">
        <v>0</v>
      </c>
      <c r="AP2264" t="s">
        <v>31</v>
      </c>
      <c r="AQ2264">
        <v>0</v>
      </c>
    </row>
    <row r="2265" spans="1:65" x14ac:dyDescent="0.2">
      <c r="A2265" t="s">
        <v>381</v>
      </c>
      <c r="B2265" s="3">
        <v>44243</v>
      </c>
      <c r="C2265">
        <v>9</v>
      </c>
      <c r="D2265" t="s">
        <v>382</v>
      </c>
      <c r="E2265" t="s">
        <v>127</v>
      </c>
      <c r="F2265" s="9" t="s">
        <v>140</v>
      </c>
      <c r="G2265" t="s">
        <v>26</v>
      </c>
      <c r="H2265" t="s">
        <v>85</v>
      </c>
      <c r="I2265" t="s">
        <v>86</v>
      </c>
      <c r="J2265" t="s">
        <v>53</v>
      </c>
      <c r="K2265" t="s">
        <v>54</v>
      </c>
      <c r="L2265" t="s">
        <v>53</v>
      </c>
      <c r="M2265" t="s">
        <v>54</v>
      </c>
      <c r="N2265" t="s">
        <v>85</v>
      </c>
      <c r="O2265" t="s">
        <v>86</v>
      </c>
      <c r="P2265" t="s">
        <v>53</v>
      </c>
      <c r="Q2265" t="s">
        <v>54</v>
      </c>
      <c r="R2265" s="1">
        <v>44243.43341435185</v>
      </c>
      <c r="S2265" s="1">
        <v>44243.43341435185</v>
      </c>
      <c r="T2265">
        <v>0</v>
      </c>
      <c r="U2265">
        <v>1</v>
      </c>
      <c r="V2265" s="2">
        <v>0</v>
      </c>
      <c r="W2265">
        <v>0</v>
      </c>
      <c r="X2265" t="s">
        <v>44</v>
      </c>
      <c r="Y2265">
        <v>0</v>
      </c>
      <c r="Z2265" t="s">
        <v>31</v>
      </c>
      <c r="AA2265">
        <v>0</v>
      </c>
      <c r="AB2265" t="s">
        <v>31</v>
      </c>
      <c r="AC2265">
        <v>0</v>
      </c>
      <c r="AD2265" t="s">
        <v>31</v>
      </c>
      <c r="AE2265">
        <v>0</v>
      </c>
      <c r="AF2265" t="s">
        <v>31</v>
      </c>
      <c r="AG2265">
        <v>0</v>
      </c>
      <c r="AH2265" t="s">
        <v>31</v>
      </c>
      <c r="AI2265">
        <v>0</v>
      </c>
      <c r="AJ2265" t="s">
        <v>31</v>
      </c>
      <c r="AK2265">
        <v>0</v>
      </c>
      <c r="AL2265" t="s">
        <v>31</v>
      </c>
      <c r="AM2265">
        <v>0</v>
      </c>
      <c r="AN2265" t="s">
        <v>31</v>
      </c>
      <c r="AO2265">
        <v>0</v>
      </c>
      <c r="AP2265" t="s">
        <v>31</v>
      </c>
      <c r="AQ2265">
        <v>0</v>
      </c>
    </row>
    <row r="2266" spans="1:65" x14ac:dyDescent="0.2">
      <c r="A2266" t="s">
        <v>381</v>
      </c>
      <c r="B2266" s="3">
        <v>44244</v>
      </c>
      <c r="C2266">
        <v>11</v>
      </c>
      <c r="D2266" t="s">
        <v>384</v>
      </c>
      <c r="E2266" t="s">
        <v>127</v>
      </c>
      <c r="F2266" s="9" t="s">
        <v>140</v>
      </c>
      <c r="G2266" t="s">
        <v>26</v>
      </c>
      <c r="H2266" t="s">
        <v>85</v>
      </c>
      <c r="I2266" t="s">
        <v>86</v>
      </c>
      <c r="J2266" t="s">
        <v>53</v>
      </c>
      <c r="K2266" t="s">
        <v>54</v>
      </c>
      <c r="L2266" t="s">
        <v>53</v>
      </c>
      <c r="M2266" t="s">
        <v>54</v>
      </c>
      <c r="N2266" t="s">
        <v>85</v>
      </c>
      <c r="O2266" t="s">
        <v>86</v>
      </c>
      <c r="P2266" t="s">
        <v>53</v>
      </c>
      <c r="Q2266" t="s">
        <v>54</v>
      </c>
      <c r="R2266" s="1">
        <v>44244.37363425926</v>
      </c>
      <c r="S2266" s="1">
        <v>44244.37363425926</v>
      </c>
      <c r="T2266">
        <v>1</v>
      </c>
      <c r="U2266">
        <v>1</v>
      </c>
      <c r="V2266" s="2">
        <v>1</v>
      </c>
      <c r="W2266">
        <v>1</v>
      </c>
      <c r="X2266" t="s">
        <v>54</v>
      </c>
      <c r="Y2266">
        <v>1</v>
      </c>
      <c r="Z2266" t="s">
        <v>31</v>
      </c>
      <c r="AA2266">
        <v>0</v>
      </c>
      <c r="AB2266" t="s">
        <v>31</v>
      </c>
      <c r="AC2266">
        <v>0</v>
      </c>
      <c r="AD2266" t="s">
        <v>31</v>
      </c>
      <c r="AE2266">
        <v>0</v>
      </c>
      <c r="AF2266" t="s">
        <v>31</v>
      </c>
      <c r="AG2266">
        <v>0</v>
      </c>
      <c r="AH2266" t="s">
        <v>31</v>
      </c>
      <c r="AI2266">
        <v>0</v>
      </c>
      <c r="AJ2266" t="s">
        <v>31</v>
      </c>
      <c r="AK2266">
        <v>0</v>
      </c>
      <c r="AL2266" t="s">
        <v>31</v>
      </c>
      <c r="AM2266">
        <v>0</v>
      </c>
      <c r="AN2266" t="s">
        <v>31</v>
      </c>
      <c r="AO2266">
        <v>0</v>
      </c>
      <c r="AP2266" t="s">
        <v>31</v>
      </c>
      <c r="AQ2266">
        <v>0</v>
      </c>
    </row>
    <row r="2267" spans="1:65" x14ac:dyDescent="0.2">
      <c r="A2267" t="s">
        <v>381</v>
      </c>
      <c r="B2267" s="3">
        <v>44245</v>
      </c>
      <c r="C2267">
        <v>12</v>
      </c>
      <c r="D2267" t="s">
        <v>382</v>
      </c>
      <c r="E2267" t="s">
        <v>127</v>
      </c>
      <c r="F2267" s="9" t="s">
        <v>140</v>
      </c>
      <c r="G2267" t="s">
        <v>26</v>
      </c>
      <c r="H2267" t="s">
        <v>85</v>
      </c>
      <c r="I2267" t="s">
        <v>86</v>
      </c>
      <c r="J2267" t="s">
        <v>53</v>
      </c>
      <c r="K2267" t="s">
        <v>54</v>
      </c>
      <c r="L2267" t="s">
        <v>53</v>
      </c>
      <c r="M2267" t="s">
        <v>54</v>
      </c>
      <c r="N2267" t="s">
        <v>85</v>
      </c>
      <c r="O2267" t="s">
        <v>86</v>
      </c>
      <c r="P2267" t="s">
        <v>53</v>
      </c>
      <c r="Q2267" t="s">
        <v>54</v>
      </c>
      <c r="R2267" s="1">
        <v>44245.382164351853</v>
      </c>
      <c r="S2267" s="1">
        <v>44245.455370370371</v>
      </c>
      <c r="T2267">
        <v>0</v>
      </c>
      <c r="U2267">
        <v>2</v>
      </c>
      <c r="V2267" s="2">
        <v>0</v>
      </c>
      <c r="W2267">
        <v>0</v>
      </c>
      <c r="X2267" t="s">
        <v>44</v>
      </c>
      <c r="Y2267">
        <v>0</v>
      </c>
      <c r="Z2267" t="s">
        <v>44</v>
      </c>
      <c r="AA2267">
        <v>0</v>
      </c>
      <c r="AB2267" t="s">
        <v>31</v>
      </c>
      <c r="AC2267">
        <v>0</v>
      </c>
      <c r="AD2267" t="s">
        <v>31</v>
      </c>
      <c r="AE2267">
        <v>0</v>
      </c>
      <c r="AF2267" t="s">
        <v>31</v>
      </c>
      <c r="AG2267">
        <v>0</v>
      </c>
      <c r="AH2267" t="s">
        <v>31</v>
      </c>
      <c r="AI2267">
        <v>0</v>
      </c>
      <c r="AJ2267" t="s">
        <v>31</v>
      </c>
      <c r="AK2267">
        <v>0</v>
      </c>
      <c r="AL2267" t="s">
        <v>31</v>
      </c>
      <c r="AM2267">
        <v>0</v>
      </c>
      <c r="AN2267" t="s">
        <v>31</v>
      </c>
      <c r="AO2267">
        <v>0</v>
      </c>
      <c r="AP2267" t="s">
        <v>31</v>
      </c>
      <c r="AQ2267">
        <v>0</v>
      </c>
    </row>
    <row r="2268" spans="1:65" x14ac:dyDescent="0.2">
      <c r="A2268" t="s">
        <v>381</v>
      </c>
      <c r="B2268" s="3">
        <v>44250</v>
      </c>
      <c r="C2268">
        <v>16</v>
      </c>
      <c r="D2268" t="s">
        <v>382</v>
      </c>
      <c r="E2268" t="s">
        <v>127</v>
      </c>
      <c r="F2268" s="9" t="s">
        <v>140</v>
      </c>
      <c r="G2268" t="s">
        <v>26</v>
      </c>
      <c r="H2268" t="s">
        <v>85</v>
      </c>
      <c r="I2268" t="s">
        <v>86</v>
      </c>
      <c r="J2268" t="s">
        <v>53</v>
      </c>
      <c r="K2268" t="s">
        <v>54</v>
      </c>
      <c r="L2268" t="s">
        <v>53</v>
      </c>
      <c r="M2268" t="s">
        <v>54</v>
      </c>
      <c r="N2268" t="s">
        <v>85</v>
      </c>
      <c r="O2268" t="s">
        <v>86</v>
      </c>
      <c r="P2268" t="s">
        <v>53</v>
      </c>
      <c r="Q2268" t="s">
        <v>54</v>
      </c>
      <c r="R2268" s="1">
        <v>44250.372083333335</v>
      </c>
      <c r="S2268" s="1">
        <v>44250.372083333335</v>
      </c>
      <c r="T2268">
        <v>1</v>
      </c>
      <c r="U2268">
        <v>1</v>
      </c>
      <c r="V2268" s="2">
        <v>1</v>
      </c>
      <c r="W2268">
        <v>1</v>
      </c>
      <c r="X2268" t="s">
        <v>54</v>
      </c>
      <c r="Y2268">
        <v>1</v>
      </c>
      <c r="Z2268" t="s">
        <v>31</v>
      </c>
      <c r="AA2268">
        <v>0</v>
      </c>
      <c r="AB2268" t="s">
        <v>31</v>
      </c>
      <c r="AC2268">
        <v>0</v>
      </c>
      <c r="AD2268" t="s">
        <v>31</v>
      </c>
      <c r="AE2268">
        <v>0</v>
      </c>
      <c r="AF2268" t="s">
        <v>31</v>
      </c>
      <c r="AG2268">
        <v>0</v>
      </c>
      <c r="AH2268" t="s">
        <v>31</v>
      </c>
      <c r="AI2268">
        <v>0</v>
      </c>
      <c r="AJ2268" t="s">
        <v>31</v>
      </c>
      <c r="AK2268">
        <v>0</v>
      </c>
      <c r="AL2268" t="s">
        <v>31</v>
      </c>
      <c r="AM2268">
        <v>0</v>
      </c>
      <c r="AN2268" t="s">
        <v>31</v>
      </c>
      <c r="AO2268">
        <v>0</v>
      </c>
      <c r="AP2268" t="s">
        <v>31</v>
      </c>
      <c r="AQ2268">
        <v>0</v>
      </c>
    </row>
    <row r="2269" spans="1:65" x14ac:dyDescent="0.2">
      <c r="A2269" t="s">
        <v>381</v>
      </c>
      <c r="B2269" s="3">
        <v>44251</v>
      </c>
      <c r="C2269">
        <v>18</v>
      </c>
      <c r="D2269" t="s">
        <v>384</v>
      </c>
      <c r="E2269" t="s">
        <v>127</v>
      </c>
      <c r="F2269" s="9" t="s">
        <v>140</v>
      </c>
      <c r="G2269" t="s">
        <v>26</v>
      </c>
      <c r="H2269" t="s">
        <v>85</v>
      </c>
      <c r="I2269" t="s">
        <v>86</v>
      </c>
      <c r="J2269" t="s">
        <v>53</v>
      </c>
      <c r="K2269" t="s">
        <v>54</v>
      </c>
      <c r="L2269" t="s">
        <v>53</v>
      </c>
      <c r="M2269" t="s">
        <v>54</v>
      </c>
      <c r="N2269" t="s">
        <v>85</v>
      </c>
      <c r="O2269" t="s">
        <v>86</v>
      </c>
      <c r="P2269" t="s">
        <v>53</v>
      </c>
      <c r="Q2269" t="s">
        <v>54</v>
      </c>
      <c r="R2269" s="1">
        <v>44251.37773148148</v>
      </c>
      <c r="S2269" s="1">
        <v>44251.37773148148</v>
      </c>
      <c r="T2269">
        <v>0</v>
      </c>
      <c r="U2269">
        <v>1</v>
      </c>
      <c r="V2269" s="2">
        <v>0</v>
      </c>
      <c r="W2269">
        <v>0</v>
      </c>
      <c r="X2269" t="s">
        <v>44</v>
      </c>
      <c r="Y2269">
        <v>0</v>
      </c>
      <c r="Z2269" t="s">
        <v>31</v>
      </c>
      <c r="AA2269">
        <v>0</v>
      </c>
      <c r="AB2269" t="s">
        <v>31</v>
      </c>
      <c r="AC2269">
        <v>0</v>
      </c>
      <c r="AD2269" t="s">
        <v>31</v>
      </c>
      <c r="AE2269">
        <v>0</v>
      </c>
      <c r="AF2269" t="s">
        <v>31</v>
      </c>
      <c r="AG2269">
        <v>0</v>
      </c>
      <c r="AH2269" t="s">
        <v>31</v>
      </c>
      <c r="AI2269">
        <v>0</v>
      </c>
      <c r="AJ2269" t="s">
        <v>31</v>
      </c>
      <c r="AK2269">
        <v>0</v>
      </c>
      <c r="AL2269" t="s">
        <v>31</v>
      </c>
      <c r="AM2269">
        <v>0</v>
      </c>
      <c r="AN2269" t="s">
        <v>31</v>
      </c>
      <c r="AO2269">
        <v>0</v>
      </c>
      <c r="AP2269" t="s">
        <v>31</v>
      </c>
      <c r="AQ2269">
        <v>0</v>
      </c>
    </row>
    <row r="2270" spans="1:65" x14ac:dyDescent="0.2">
      <c r="A2270" t="s">
        <v>381</v>
      </c>
      <c r="B2270" s="3">
        <v>44252</v>
      </c>
      <c r="C2270">
        <v>19</v>
      </c>
      <c r="D2270" t="s">
        <v>382</v>
      </c>
      <c r="E2270" t="s">
        <v>127</v>
      </c>
      <c r="F2270" s="9" t="s">
        <v>140</v>
      </c>
      <c r="G2270" t="s">
        <v>26</v>
      </c>
      <c r="H2270" t="s">
        <v>85</v>
      </c>
      <c r="I2270" t="s">
        <v>86</v>
      </c>
      <c r="J2270" t="s">
        <v>53</v>
      </c>
      <c r="K2270" t="s">
        <v>54</v>
      </c>
      <c r="L2270" t="s">
        <v>53</v>
      </c>
      <c r="M2270" t="s">
        <v>54</v>
      </c>
      <c r="N2270" t="s">
        <v>85</v>
      </c>
      <c r="O2270" t="s">
        <v>86</v>
      </c>
      <c r="P2270" t="s">
        <v>53</v>
      </c>
      <c r="Q2270" t="s">
        <v>54</v>
      </c>
      <c r="R2270" s="1">
        <v>44252.378564814811</v>
      </c>
      <c r="S2270" s="1">
        <v>44252.378564814811</v>
      </c>
      <c r="T2270">
        <v>1</v>
      </c>
      <c r="U2270">
        <v>1</v>
      </c>
      <c r="V2270" s="2">
        <v>1</v>
      </c>
      <c r="W2270">
        <v>1</v>
      </c>
      <c r="X2270" t="s">
        <v>54</v>
      </c>
      <c r="Y2270">
        <v>1</v>
      </c>
      <c r="Z2270" t="s">
        <v>31</v>
      </c>
      <c r="AA2270">
        <v>0</v>
      </c>
      <c r="AB2270" t="s">
        <v>31</v>
      </c>
      <c r="AC2270">
        <v>0</v>
      </c>
      <c r="AD2270" t="s">
        <v>31</v>
      </c>
      <c r="AE2270">
        <v>0</v>
      </c>
      <c r="AF2270" t="s">
        <v>31</v>
      </c>
      <c r="AG2270">
        <v>0</v>
      </c>
      <c r="AH2270" t="s">
        <v>31</v>
      </c>
      <c r="AI2270">
        <v>0</v>
      </c>
      <c r="AJ2270" t="s">
        <v>31</v>
      </c>
      <c r="AK2270">
        <v>0</v>
      </c>
      <c r="AL2270" t="s">
        <v>31</v>
      </c>
      <c r="AM2270">
        <v>0</v>
      </c>
      <c r="AN2270" t="s">
        <v>31</v>
      </c>
      <c r="AO2270">
        <v>0</v>
      </c>
      <c r="AP2270" t="s">
        <v>31</v>
      </c>
      <c r="AQ2270">
        <v>0</v>
      </c>
    </row>
    <row r="2271" spans="1:65" x14ac:dyDescent="0.2">
      <c r="A2271" t="s">
        <v>381</v>
      </c>
      <c r="B2271" s="3">
        <v>44253</v>
      </c>
      <c r="C2271">
        <v>21</v>
      </c>
      <c r="D2271" t="s">
        <v>384</v>
      </c>
      <c r="E2271" t="s">
        <v>127</v>
      </c>
      <c r="F2271" s="9" t="s">
        <v>140</v>
      </c>
      <c r="G2271" t="s">
        <v>26</v>
      </c>
      <c r="H2271" t="s">
        <v>85</v>
      </c>
      <c r="I2271" t="s">
        <v>86</v>
      </c>
      <c r="J2271" t="s">
        <v>53</v>
      </c>
      <c r="K2271" t="s">
        <v>54</v>
      </c>
      <c r="L2271" t="s">
        <v>53</v>
      </c>
      <c r="M2271" t="s">
        <v>54</v>
      </c>
      <c r="N2271" t="s">
        <v>85</v>
      </c>
      <c r="O2271" t="s">
        <v>86</v>
      </c>
      <c r="P2271" t="s">
        <v>53</v>
      </c>
      <c r="Q2271" t="s">
        <v>54</v>
      </c>
      <c r="R2271" s="1">
        <v>44253.393680555557</v>
      </c>
      <c r="S2271" s="1">
        <v>44253.393680555557</v>
      </c>
      <c r="T2271">
        <v>0</v>
      </c>
      <c r="U2271">
        <v>1</v>
      </c>
      <c r="V2271" s="2">
        <v>0</v>
      </c>
      <c r="W2271">
        <v>0</v>
      </c>
      <c r="X2271" t="s">
        <v>44</v>
      </c>
      <c r="Y2271">
        <v>0</v>
      </c>
      <c r="Z2271" t="s">
        <v>31</v>
      </c>
      <c r="AA2271">
        <v>0</v>
      </c>
      <c r="AB2271" t="s">
        <v>31</v>
      </c>
      <c r="AC2271">
        <v>0</v>
      </c>
      <c r="AD2271" t="s">
        <v>31</v>
      </c>
      <c r="AE2271">
        <v>0</v>
      </c>
      <c r="AF2271" t="s">
        <v>31</v>
      </c>
      <c r="AG2271">
        <v>0</v>
      </c>
      <c r="AH2271" t="s">
        <v>31</v>
      </c>
      <c r="AI2271">
        <v>0</v>
      </c>
      <c r="AJ2271" t="s">
        <v>31</v>
      </c>
      <c r="AK2271">
        <v>0</v>
      </c>
      <c r="AL2271" t="s">
        <v>31</v>
      </c>
      <c r="AM2271">
        <v>0</v>
      </c>
      <c r="AN2271" t="s">
        <v>31</v>
      </c>
      <c r="AO2271">
        <v>0</v>
      </c>
      <c r="AP2271" t="s">
        <v>31</v>
      </c>
      <c r="AQ2271">
        <v>0</v>
      </c>
    </row>
    <row r="2272" spans="1:65" x14ac:dyDescent="0.2">
      <c r="A2272" t="s">
        <v>381</v>
      </c>
      <c r="B2272" s="3">
        <v>44256</v>
      </c>
      <c r="C2272">
        <v>22</v>
      </c>
      <c r="D2272" t="s">
        <v>384</v>
      </c>
      <c r="E2272" t="s">
        <v>127</v>
      </c>
      <c r="F2272" s="9" t="s">
        <v>140</v>
      </c>
      <c r="G2272" t="s">
        <v>26</v>
      </c>
      <c r="H2272" t="s">
        <v>85</v>
      </c>
      <c r="I2272" t="s">
        <v>86</v>
      </c>
      <c r="J2272" t="s">
        <v>53</v>
      </c>
      <c r="K2272" t="s">
        <v>54</v>
      </c>
      <c r="L2272" t="s">
        <v>53</v>
      </c>
      <c r="M2272" t="s">
        <v>54</v>
      </c>
      <c r="N2272" t="s">
        <v>85</v>
      </c>
      <c r="O2272" t="s">
        <v>86</v>
      </c>
      <c r="P2272" t="s">
        <v>53</v>
      </c>
      <c r="Q2272" t="s">
        <v>54</v>
      </c>
      <c r="R2272" s="1">
        <v>44256.41983796296</v>
      </c>
      <c r="S2272" s="1">
        <v>44256.41983796296</v>
      </c>
      <c r="T2272">
        <v>0</v>
      </c>
      <c r="U2272">
        <v>1</v>
      </c>
      <c r="V2272" s="2">
        <v>0</v>
      </c>
      <c r="W2272">
        <v>0</v>
      </c>
      <c r="X2272" t="s">
        <v>44</v>
      </c>
      <c r="Y2272">
        <v>0</v>
      </c>
      <c r="Z2272" t="s">
        <v>31</v>
      </c>
      <c r="AA2272">
        <v>0</v>
      </c>
      <c r="AB2272" t="s">
        <v>31</v>
      </c>
      <c r="AC2272">
        <v>0</v>
      </c>
      <c r="AD2272" t="s">
        <v>31</v>
      </c>
      <c r="AE2272">
        <v>0</v>
      </c>
      <c r="AF2272" t="s">
        <v>31</v>
      </c>
      <c r="AG2272">
        <v>0</v>
      </c>
      <c r="AH2272" t="s">
        <v>31</v>
      </c>
      <c r="AI2272">
        <v>0</v>
      </c>
      <c r="AJ2272" t="s">
        <v>31</v>
      </c>
      <c r="AK2272">
        <v>0</v>
      </c>
      <c r="AL2272" t="s">
        <v>31</v>
      </c>
      <c r="AM2272">
        <v>0</v>
      </c>
      <c r="AN2272" t="s">
        <v>31</v>
      </c>
      <c r="AO2272">
        <v>0</v>
      </c>
      <c r="AP2272" t="s">
        <v>31</v>
      </c>
      <c r="AQ2272">
        <v>0</v>
      </c>
    </row>
    <row r="2273" spans="1:43" x14ac:dyDescent="0.2">
      <c r="A2273" t="s">
        <v>381</v>
      </c>
      <c r="B2273" s="3">
        <v>44257</v>
      </c>
      <c r="C2273">
        <v>23</v>
      </c>
      <c r="D2273" t="s">
        <v>382</v>
      </c>
      <c r="E2273" t="s">
        <v>127</v>
      </c>
      <c r="F2273" s="9" t="s">
        <v>140</v>
      </c>
      <c r="G2273" t="s">
        <v>26</v>
      </c>
      <c r="H2273" t="s">
        <v>85</v>
      </c>
      <c r="I2273" t="s">
        <v>86</v>
      </c>
      <c r="J2273" t="s">
        <v>53</v>
      </c>
      <c r="K2273" t="s">
        <v>54</v>
      </c>
      <c r="L2273" t="s">
        <v>53</v>
      </c>
      <c r="M2273" t="s">
        <v>54</v>
      </c>
      <c r="N2273" t="s">
        <v>85</v>
      </c>
      <c r="O2273" t="s">
        <v>86</v>
      </c>
      <c r="P2273" t="s">
        <v>53</v>
      </c>
      <c r="Q2273" t="s">
        <v>54</v>
      </c>
      <c r="R2273" s="1">
        <v>44257.407118055555</v>
      </c>
      <c r="S2273" s="1">
        <v>44257.407118055555</v>
      </c>
      <c r="T2273">
        <v>1</v>
      </c>
      <c r="U2273">
        <v>1</v>
      </c>
      <c r="V2273" s="2">
        <v>1</v>
      </c>
      <c r="W2273">
        <v>1</v>
      </c>
      <c r="X2273" t="s">
        <v>54</v>
      </c>
      <c r="Y2273">
        <v>1</v>
      </c>
      <c r="Z2273" t="s">
        <v>31</v>
      </c>
      <c r="AA2273">
        <v>0</v>
      </c>
      <c r="AB2273" t="s">
        <v>31</v>
      </c>
      <c r="AC2273">
        <v>0</v>
      </c>
      <c r="AD2273" t="s">
        <v>31</v>
      </c>
      <c r="AE2273">
        <v>0</v>
      </c>
      <c r="AF2273" t="s">
        <v>31</v>
      </c>
      <c r="AG2273">
        <v>0</v>
      </c>
      <c r="AH2273" t="s">
        <v>31</v>
      </c>
      <c r="AI2273">
        <v>0</v>
      </c>
      <c r="AJ2273" t="s">
        <v>31</v>
      </c>
      <c r="AK2273">
        <v>0</v>
      </c>
      <c r="AL2273" t="s">
        <v>31</v>
      </c>
      <c r="AM2273">
        <v>0</v>
      </c>
      <c r="AN2273" t="s">
        <v>31</v>
      </c>
      <c r="AO2273">
        <v>0</v>
      </c>
      <c r="AP2273" t="s">
        <v>31</v>
      </c>
      <c r="AQ2273">
        <v>0</v>
      </c>
    </row>
    <row r="2274" spans="1:43" x14ac:dyDescent="0.2">
      <c r="A2274" t="s">
        <v>381</v>
      </c>
      <c r="B2274" s="3">
        <v>44258</v>
      </c>
      <c r="C2274">
        <v>25</v>
      </c>
      <c r="D2274" t="s">
        <v>384</v>
      </c>
      <c r="E2274" t="s">
        <v>127</v>
      </c>
      <c r="F2274" s="9" t="s">
        <v>140</v>
      </c>
      <c r="G2274" t="s">
        <v>26</v>
      </c>
      <c r="H2274" t="s">
        <v>85</v>
      </c>
      <c r="I2274" t="s">
        <v>86</v>
      </c>
      <c r="J2274" t="s">
        <v>53</v>
      </c>
      <c r="K2274" t="s">
        <v>54</v>
      </c>
      <c r="L2274" t="s">
        <v>53</v>
      </c>
      <c r="M2274" t="s">
        <v>54</v>
      </c>
      <c r="N2274" t="s">
        <v>85</v>
      </c>
      <c r="O2274" t="s">
        <v>86</v>
      </c>
      <c r="P2274" t="s">
        <v>53</v>
      </c>
      <c r="Q2274" t="s">
        <v>54</v>
      </c>
      <c r="R2274" s="1">
        <v>44258.377025462964</v>
      </c>
      <c r="S2274" s="1">
        <v>44258.459398148145</v>
      </c>
      <c r="T2274">
        <v>1</v>
      </c>
      <c r="U2274">
        <v>2</v>
      </c>
      <c r="V2274" s="2">
        <v>0.5</v>
      </c>
      <c r="W2274">
        <v>1</v>
      </c>
      <c r="X2274" t="s">
        <v>54</v>
      </c>
      <c r="Y2274">
        <v>1</v>
      </c>
      <c r="Z2274" t="s">
        <v>44</v>
      </c>
      <c r="AA2274">
        <v>0</v>
      </c>
      <c r="AB2274" t="s">
        <v>31</v>
      </c>
      <c r="AC2274">
        <v>0</v>
      </c>
      <c r="AD2274" t="s">
        <v>31</v>
      </c>
      <c r="AE2274">
        <v>0</v>
      </c>
      <c r="AF2274" t="s">
        <v>31</v>
      </c>
      <c r="AG2274">
        <v>0</v>
      </c>
      <c r="AH2274" t="s">
        <v>31</v>
      </c>
      <c r="AI2274">
        <v>0</v>
      </c>
      <c r="AJ2274" t="s">
        <v>31</v>
      </c>
      <c r="AK2274">
        <v>0</v>
      </c>
      <c r="AL2274" t="s">
        <v>31</v>
      </c>
      <c r="AM2274">
        <v>0</v>
      </c>
      <c r="AN2274" t="s">
        <v>31</v>
      </c>
      <c r="AO2274">
        <v>0</v>
      </c>
      <c r="AP2274" t="s">
        <v>31</v>
      </c>
      <c r="AQ2274">
        <v>0</v>
      </c>
    </row>
    <row r="2275" spans="1:43" x14ac:dyDescent="0.2">
      <c r="A2275" t="s">
        <v>381</v>
      </c>
      <c r="B2275" s="3">
        <v>44259</v>
      </c>
      <c r="C2275">
        <v>26</v>
      </c>
      <c r="D2275" t="s">
        <v>382</v>
      </c>
      <c r="E2275" t="s">
        <v>127</v>
      </c>
      <c r="F2275" s="9" t="s">
        <v>140</v>
      </c>
      <c r="G2275" t="s">
        <v>26</v>
      </c>
      <c r="H2275" t="s">
        <v>85</v>
      </c>
      <c r="I2275" t="s">
        <v>86</v>
      </c>
      <c r="J2275" t="s">
        <v>53</v>
      </c>
      <c r="K2275" t="s">
        <v>54</v>
      </c>
      <c r="L2275" t="s">
        <v>53</v>
      </c>
      <c r="M2275" t="s">
        <v>54</v>
      </c>
      <c r="N2275" t="s">
        <v>85</v>
      </c>
      <c r="O2275" t="s">
        <v>86</v>
      </c>
      <c r="P2275" t="s">
        <v>53</v>
      </c>
      <c r="Q2275" t="s">
        <v>54</v>
      </c>
      <c r="R2275" s="1">
        <v>44259.377268518518</v>
      </c>
      <c r="S2275" s="1">
        <v>44259.423773148148</v>
      </c>
      <c r="T2275">
        <v>0</v>
      </c>
      <c r="U2275">
        <v>2</v>
      </c>
      <c r="V2275" s="2">
        <v>0</v>
      </c>
      <c r="W2275">
        <v>0</v>
      </c>
      <c r="X2275" t="s">
        <v>44</v>
      </c>
      <c r="Y2275">
        <v>0</v>
      </c>
      <c r="Z2275" t="s">
        <v>44</v>
      </c>
      <c r="AA2275">
        <v>0</v>
      </c>
      <c r="AB2275" t="s">
        <v>31</v>
      </c>
      <c r="AC2275">
        <v>0</v>
      </c>
      <c r="AD2275" t="s">
        <v>31</v>
      </c>
      <c r="AE2275">
        <v>0</v>
      </c>
      <c r="AF2275" t="s">
        <v>31</v>
      </c>
      <c r="AG2275">
        <v>0</v>
      </c>
      <c r="AH2275" t="s">
        <v>31</v>
      </c>
      <c r="AI2275">
        <v>0</v>
      </c>
      <c r="AJ2275" t="s">
        <v>31</v>
      </c>
      <c r="AK2275">
        <v>0</v>
      </c>
      <c r="AL2275" t="s">
        <v>31</v>
      </c>
      <c r="AM2275">
        <v>0</v>
      </c>
      <c r="AN2275" t="s">
        <v>31</v>
      </c>
      <c r="AO2275">
        <v>0</v>
      </c>
      <c r="AP2275" t="s">
        <v>31</v>
      </c>
      <c r="AQ2275">
        <v>0</v>
      </c>
    </row>
    <row r="2276" spans="1:43" x14ac:dyDescent="0.2">
      <c r="A2276" t="s">
        <v>381</v>
      </c>
      <c r="B2276" s="3">
        <v>44260</v>
      </c>
      <c r="C2276">
        <v>28</v>
      </c>
      <c r="D2276" t="s">
        <v>384</v>
      </c>
      <c r="E2276" t="s">
        <v>127</v>
      </c>
      <c r="F2276" s="9" t="s">
        <v>140</v>
      </c>
      <c r="G2276" t="s">
        <v>26</v>
      </c>
      <c r="H2276" t="s">
        <v>85</v>
      </c>
      <c r="I2276" t="s">
        <v>86</v>
      </c>
      <c r="J2276" t="s">
        <v>53</v>
      </c>
      <c r="K2276" t="s">
        <v>54</v>
      </c>
      <c r="L2276" t="s">
        <v>53</v>
      </c>
      <c r="M2276" t="s">
        <v>54</v>
      </c>
      <c r="N2276" t="s">
        <v>85</v>
      </c>
      <c r="O2276" t="s">
        <v>86</v>
      </c>
      <c r="P2276" t="s">
        <v>53</v>
      </c>
      <c r="Q2276" t="s">
        <v>54</v>
      </c>
      <c r="R2276" s="1">
        <v>44260.369953703703</v>
      </c>
      <c r="S2276" s="1">
        <v>44260.369953703703</v>
      </c>
      <c r="T2276">
        <v>1</v>
      </c>
      <c r="U2276">
        <v>1</v>
      </c>
      <c r="V2276" s="2">
        <v>1</v>
      </c>
      <c r="W2276">
        <v>1</v>
      </c>
      <c r="X2276" t="s">
        <v>54</v>
      </c>
      <c r="Y2276">
        <v>1</v>
      </c>
      <c r="Z2276" t="s">
        <v>31</v>
      </c>
      <c r="AA2276">
        <v>0</v>
      </c>
      <c r="AB2276" t="s">
        <v>31</v>
      </c>
      <c r="AC2276">
        <v>0</v>
      </c>
      <c r="AD2276" t="s">
        <v>31</v>
      </c>
      <c r="AE2276">
        <v>0</v>
      </c>
      <c r="AF2276" t="s">
        <v>31</v>
      </c>
      <c r="AG2276">
        <v>0</v>
      </c>
      <c r="AH2276" t="s">
        <v>31</v>
      </c>
      <c r="AI2276">
        <v>0</v>
      </c>
      <c r="AJ2276" t="s">
        <v>31</v>
      </c>
      <c r="AK2276">
        <v>0</v>
      </c>
      <c r="AL2276" t="s">
        <v>31</v>
      </c>
      <c r="AM2276">
        <v>0</v>
      </c>
      <c r="AN2276" t="s">
        <v>31</v>
      </c>
      <c r="AO2276">
        <v>0</v>
      </c>
      <c r="AP2276" t="s">
        <v>31</v>
      </c>
      <c r="AQ2276">
        <v>0</v>
      </c>
    </row>
    <row r="2277" spans="1:43" x14ac:dyDescent="0.2">
      <c r="A2277" t="s">
        <v>381</v>
      </c>
      <c r="B2277" s="3">
        <v>44263</v>
      </c>
      <c r="C2277">
        <v>29</v>
      </c>
      <c r="D2277" t="s">
        <v>384</v>
      </c>
      <c r="E2277" t="s">
        <v>127</v>
      </c>
      <c r="F2277" s="9" t="s">
        <v>140</v>
      </c>
      <c r="G2277" t="s">
        <v>26</v>
      </c>
      <c r="H2277" t="s">
        <v>85</v>
      </c>
      <c r="I2277" t="s">
        <v>86</v>
      </c>
      <c r="J2277" t="s">
        <v>53</v>
      </c>
      <c r="K2277" t="s">
        <v>54</v>
      </c>
      <c r="L2277" t="s">
        <v>53</v>
      </c>
      <c r="M2277" t="s">
        <v>54</v>
      </c>
      <c r="N2277" t="s">
        <v>85</v>
      </c>
      <c r="O2277" t="s">
        <v>86</v>
      </c>
      <c r="P2277" t="s">
        <v>53</v>
      </c>
      <c r="Q2277" t="s">
        <v>54</v>
      </c>
      <c r="R2277" s="1">
        <v>44263.425520833334</v>
      </c>
      <c r="S2277" s="1">
        <v>44263.425520833334</v>
      </c>
      <c r="T2277">
        <v>1</v>
      </c>
      <c r="U2277">
        <v>1</v>
      </c>
      <c r="V2277" s="2">
        <v>1</v>
      </c>
      <c r="W2277">
        <v>1</v>
      </c>
      <c r="X2277" t="s">
        <v>54</v>
      </c>
      <c r="Y2277">
        <v>1</v>
      </c>
      <c r="Z2277" t="s">
        <v>31</v>
      </c>
      <c r="AA2277">
        <v>0</v>
      </c>
      <c r="AB2277" t="s">
        <v>31</v>
      </c>
      <c r="AC2277">
        <v>0</v>
      </c>
      <c r="AD2277" t="s">
        <v>31</v>
      </c>
      <c r="AE2277">
        <v>0</v>
      </c>
      <c r="AF2277" t="s">
        <v>31</v>
      </c>
      <c r="AG2277">
        <v>0</v>
      </c>
      <c r="AH2277" t="s">
        <v>31</v>
      </c>
      <c r="AI2277">
        <v>0</v>
      </c>
      <c r="AJ2277" t="s">
        <v>31</v>
      </c>
      <c r="AK2277">
        <v>0</v>
      </c>
      <c r="AL2277" t="s">
        <v>31</v>
      </c>
      <c r="AM2277">
        <v>0</v>
      </c>
      <c r="AN2277" t="s">
        <v>31</v>
      </c>
      <c r="AO2277">
        <v>0</v>
      </c>
      <c r="AP2277" t="s">
        <v>31</v>
      </c>
      <c r="AQ2277">
        <v>0</v>
      </c>
    </row>
    <row r="2278" spans="1:43" x14ac:dyDescent="0.2">
      <c r="A2278" t="s">
        <v>381</v>
      </c>
      <c r="B2278" s="3">
        <v>44264</v>
      </c>
      <c r="C2278">
        <v>30</v>
      </c>
      <c r="D2278" t="s">
        <v>382</v>
      </c>
      <c r="E2278" t="s">
        <v>127</v>
      </c>
      <c r="F2278" s="9" t="s">
        <v>140</v>
      </c>
      <c r="G2278" t="s">
        <v>26</v>
      </c>
      <c r="H2278" t="s">
        <v>85</v>
      </c>
      <c r="I2278" t="s">
        <v>86</v>
      </c>
      <c r="J2278" t="s">
        <v>53</v>
      </c>
      <c r="K2278" t="s">
        <v>54</v>
      </c>
      <c r="L2278" t="s">
        <v>53</v>
      </c>
      <c r="M2278" t="s">
        <v>54</v>
      </c>
      <c r="N2278" t="s">
        <v>85</v>
      </c>
      <c r="O2278" t="s">
        <v>86</v>
      </c>
      <c r="P2278" t="s">
        <v>53</v>
      </c>
      <c r="Q2278" t="s">
        <v>54</v>
      </c>
      <c r="R2278" s="1">
        <v>44264.373368055552</v>
      </c>
      <c r="S2278" s="1">
        <v>44264.373368055552</v>
      </c>
      <c r="T2278">
        <v>1</v>
      </c>
      <c r="U2278">
        <v>1</v>
      </c>
      <c r="V2278" s="2">
        <v>1</v>
      </c>
      <c r="W2278">
        <v>1</v>
      </c>
      <c r="X2278" t="s">
        <v>54</v>
      </c>
      <c r="Y2278">
        <v>1</v>
      </c>
      <c r="Z2278" t="s">
        <v>31</v>
      </c>
      <c r="AA2278">
        <v>0</v>
      </c>
      <c r="AB2278" t="s">
        <v>31</v>
      </c>
      <c r="AC2278">
        <v>0</v>
      </c>
      <c r="AD2278" t="s">
        <v>31</v>
      </c>
      <c r="AE2278">
        <v>0</v>
      </c>
      <c r="AF2278" t="s">
        <v>31</v>
      </c>
      <c r="AG2278">
        <v>0</v>
      </c>
      <c r="AH2278" t="s">
        <v>31</v>
      </c>
      <c r="AI2278">
        <v>0</v>
      </c>
      <c r="AJ2278" t="s">
        <v>31</v>
      </c>
      <c r="AK2278">
        <v>0</v>
      </c>
      <c r="AL2278" t="s">
        <v>31</v>
      </c>
      <c r="AM2278">
        <v>0</v>
      </c>
      <c r="AN2278" t="s">
        <v>31</v>
      </c>
      <c r="AO2278">
        <v>0</v>
      </c>
      <c r="AP2278" t="s">
        <v>31</v>
      </c>
      <c r="AQ2278">
        <v>0</v>
      </c>
    </row>
    <row r="2279" spans="1:43" x14ac:dyDescent="0.2">
      <c r="A2279" t="s">
        <v>381</v>
      </c>
      <c r="B2279" s="3">
        <v>44265</v>
      </c>
      <c r="C2279">
        <v>32</v>
      </c>
      <c r="D2279" t="s">
        <v>384</v>
      </c>
      <c r="E2279" t="s">
        <v>127</v>
      </c>
      <c r="F2279" s="9" t="s">
        <v>140</v>
      </c>
      <c r="G2279" t="s">
        <v>26</v>
      </c>
      <c r="H2279" t="s">
        <v>85</v>
      </c>
      <c r="I2279" t="s">
        <v>86</v>
      </c>
      <c r="J2279" t="s">
        <v>53</v>
      </c>
      <c r="K2279" t="s">
        <v>54</v>
      </c>
      <c r="L2279" t="s">
        <v>53</v>
      </c>
      <c r="M2279" t="s">
        <v>54</v>
      </c>
      <c r="N2279" t="s">
        <v>85</v>
      </c>
      <c r="O2279" t="s">
        <v>86</v>
      </c>
      <c r="P2279" t="s">
        <v>53</v>
      </c>
      <c r="Q2279" t="s">
        <v>54</v>
      </c>
      <c r="R2279" s="1">
        <v>44265.391886574071</v>
      </c>
      <c r="S2279" s="1">
        <v>44265.391886574071</v>
      </c>
      <c r="T2279">
        <v>0</v>
      </c>
      <c r="U2279">
        <v>1</v>
      </c>
      <c r="V2279" s="2">
        <v>0</v>
      </c>
      <c r="W2279">
        <v>0</v>
      </c>
      <c r="X2279" t="s">
        <v>44</v>
      </c>
      <c r="Y2279">
        <v>0</v>
      </c>
      <c r="Z2279" t="s">
        <v>31</v>
      </c>
      <c r="AA2279">
        <v>0</v>
      </c>
      <c r="AB2279" t="s">
        <v>31</v>
      </c>
      <c r="AC2279">
        <v>0</v>
      </c>
      <c r="AD2279" t="s">
        <v>31</v>
      </c>
      <c r="AE2279">
        <v>0</v>
      </c>
      <c r="AF2279" t="s">
        <v>31</v>
      </c>
      <c r="AG2279">
        <v>0</v>
      </c>
      <c r="AH2279" t="s">
        <v>31</v>
      </c>
      <c r="AI2279">
        <v>0</v>
      </c>
      <c r="AJ2279" t="s">
        <v>31</v>
      </c>
      <c r="AK2279">
        <v>0</v>
      </c>
      <c r="AL2279" t="s">
        <v>31</v>
      </c>
      <c r="AM2279">
        <v>0</v>
      </c>
      <c r="AN2279" t="s">
        <v>31</v>
      </c>
      <c r="AO2279">
        <v>0</v>
      </c>
      <c r="AP2279" t="s">
        <v>31</v>
      </c>
      <c r="AQ2279">
        <v>0</v>
      </c>
    </row>
    <row r="2280" spans="1:43" x14ac:dyDescent="0.2">
      <c r="A2280" t="s">
        <v>381</v>
      </c>
      <c r="B2280" s="3">
        <v>44266</v>
      </c>
      <c r="C2280">
        <v>33</v>
      </c>
      <c r="D2280" t="s">
        <v>385</v>
      </c>
      <c r="E2280" t="s">
        <v>127</v>
      </c>
      <c r="F2280" s="9" t="s">
        <v>140</v>
      </c>
      <c r="G2280" t="s">
        <v>26</v>
      </c>
      <c r="H2280" t="s">
        <v>85</v>
      </c>
      <c r="I2280" t="s">
        <v>86</v>
      </c>
      <c r="J2280" t="s">
        <v>53</v>
      </c>
      <c r="K2280" t="s">
        <v>54</v>
      </c>
      <c r="L2280" t="s">
        <v>53</v>
      </c>
      <c r="M2280" t="s">
        <v>54</v>
      </c>
      <c r="N2280" t="s">
        <v>85</v>
      </c>
      <c r="O2280" t="s">
        <v>86</v>
      </c>
      <c r="P2280" t="s">
        <v>53</v>
      </c>
      <c r="Q2280" t="s">
        <v>54</v>
      </c>
      <c r="R2280" s="1">
        <v>44266.449421296296</v>
      </c>
      <c r="S2280" s="1">
        <v>44266.449432870373</v>
      </c>
      <c r="T2280">
        <v>0</v>
      </c>
      <c r="U2280">
        <v>2</v>
      </c>
      <c r="V2280" s="2">
        <v>0</v>
      </c>
      <c r="W2280">
        <v>0</v>
      </c>
      <c r="X2280" t="s">
        <v>44</v>
      </c>
      <c r="Y2280">
        <v>0</v>
      </c>
      <c r="Z2280" t="s">
        <v>44</v>
      </c>
      <c r="AA2280">
        <v>0</v>
      </c>
      <c r="AB2280" t="s">
        <v>31</v>
      </c>
      <c r="AC2280">
        <v>0</v>
      </c>
      <c r="AD2280" t="s">
        <v>31</v>
      </c>
      <c r="AE2280">
        <v>0</v>
      </c>
      <c r="AF2280" t="s">
        <v>31</v>
      </c>
      <c r="AG2280">
        <v>0</v>
      </c>
      <c r="AH2280" t="s">
        <v>31</v>
      </c>
      <c r="AI2280">
        <v>0</v>
      </c>
      <c r="AJ2280" t="s">
        <v>31</v>
      </c>
      <c r="AK2280">
        <v>0</v>
      </c>
      <c r="AL2280" t="s">
        <v>31</v>
      </c>
      <c r="AM2280">
        <v>0</v>
      </c>
      <c r="AN2280" t="s">
        <v>31</v>
      </c>
      <c r="AO2280">
        <v>0</v>
      </c>
      <c r="AP2280" t="s">
        <v>31</v>
      </c>
      <c r="AQ2280">
        <v>0</v>
      </c>
    </row>
    <row r="2281" spans="1:43" x14ac:dyDescent="0.2">
      <c r="A2281" t="s">
        <v>381</v>
      </c>
      <c r="B2281" s="3">
        <v>44266</v>
      </c>
      <c r="C2281">
        <v>34</v>
      </c>
      <c r="D2281" t="s">
        <v>385</v>
      </c>
      <c r="E2281" t="s">
        <v>127</v>
      </c>
      <c r="F2281" s="9" t="s">
        <v>140</v>
      </c>
      <c r="G2281" t="s">
        <v>26</v>
      </c>
      <c r="H2281" t="s">
        <v>85</v>
      </c>
      <c r="I2281" t="s">
        <v>86</v>
      </c>
      <c r="J2281" t="s">
        <v>53</v>
      </c>
      <c r="K2281" t="s">
        <v>54</v>
      </c>
      <c r="L2281" t="s">
        <v>53</v>
      </c>
      <c r="M2281" t="s">
        <v>54</v>
      </c>
      <c r="N2281" t="s">
        <v>85</v>
      </c>
      <c r="O2281" t="s">
        <v>86</v>
      </c>
      <c r="P2281" t="s">
        <v>53</v>
      </c>
      <c r="Q2281" t="s">
        <v>54</v>
      </c>
      <c r="R2281" s="1">
        <v>44266.566678240742</v>
      </c>
      <c r="S2281" s="1">
        <v>44266.566712962966</v>
      </c>
      <c r="T2281">
        <v>0</v>
      </c>
      <c r="U2281">
        <v>1</v>
      </c>
      <c r="V2281" s="2">
        <v>0</v>
      </c>
      <c r="W2281">
        <v>0</v>
      </c>
      <c r="X2281" t="s">
        <v>44</v>
      </c>
      <c r="Y2281">
        <v>0</v>
      </c>
      <c r="Z2281" t="s">
        <v>31</v>
      </c>
      <c r="AA2281">
        <v>0</v>
      </c>
      <c r="AB2281" t="s">
        <v>31</v>
      </c>
      <c r="AC2281">
        <v>0</v>
      </c>
      <c r="AD2281" t="s">
        <v>31</v>
      </c>
      <c r="AE2281">
        <v>0</v>
      </c>
      <c r="AF2281" t="s">
        <v>31</v>
      </c>
      <c r="AG2281">
        <v>0</v>
      </c>
      <c r="AH2281" t="s">
        <v>31</v>
      </c>
      <c r="AI2281">
        <v>0</v>
      </c>
      <c r="AJ2281" t="s">
        <v>31</v>
      </c>
      <c r="AK2281">
        <v>0</v>
      </c>
      <c r="AL2281" t="s">
        <v>31</v>
      </c>
      <c r="AM2281">
        <v>0</v>
      </c>
      <c r="AN2281" t="s">
        <v>31</v>
      </c>
      <c r="AO2281">
        <v>0</v>
      </c>
      <c r="AP2281" t="s">
        <v>31</v>
      </c>
      <c r="AQ2281">
        <v>0</v>
      </c>
    </row>
    <row r="2282" spans="1:43" x14ac:dyDescent="0.2">
      <c r="A2282" t="s">
        <v>381</v>
      </c>
      <c r="B2282" s="3">
        <v>44270</v>
      </c>
      <c r="C2282">
        <v>35</v>
      </c>
      <c r="D2282" t="s">
        <v>384</v>
      </c>
      <c r="E2282" t="s">
        <v>127</v>
      </c>
      <c r="F2282" s="9" t="s">
        <v>140</v>
      </c>
      <c r="G2282" t="s">
        <v>26</v>
      </c>
      <c r="H2282" t="s">
        <v>85</v>
      </c>
      <c r="I2282" t="s">
        <v>86</v>
      </c>
      <c r="J2282" t="s">
        <v>53</v>
      </c>
      <c r="K2282" t="s">
        <v>54</v>
      </c>
      <c r="L2282" t="s">
        <v>53</v>
      </c>
      <c r="M2282" t="s">
        <v>54</v>
      </c>
      <c r="N2282" t="s">
        <v>85</v>
      </c>
      <c r="O2282" t="s">
        <v>86</v>
      </c>
      <c r="P2282" t="s">
        <v>53</v>
      </c>
      <c r="Q2282" t="s">
        <v>54</v>
      </c>
      <c r="R2282" s="1">
        <v>44270.369849537034</v>
      </c>
      <c r="S2282" s="1">
        <v>44270.369849537034</v>
      </c>
      <c r="T2282">
        <v>0</v>
      </c>
      <c r="U2282">
        <v>1</v>
      </c>
      <c r="V2282" s="2">
        <v>0</v>
      </c>
      <c r="W2282">
        <v>0</v>
      </c>
      <c r="X2282" t="s">
        <v>44</v>
      </c>
      <c r="Y2282">
        <v>0</v>
      </c>
      <c r="Z2282" t="s">
        <v>31</v>
      </c>
      <c r="AA2282">
        <v>0</v>
      </c>
      <c r="AB2282" t="s">
        <v>31</v>
      </c>
      <c r="AC2282">
        <v>0</v>
      </c>
      <c r="AD2282" t="s">
        <v>31</v>
      </c>
      <c r="AE2282">
        <v>0</v>
      </c>
      <c r="AF2282" t="s">
        <v>31</v>
      </c>
      <c r="AG2282">
        <v>0</v>
      </c>
      <c r="AH2282" t="s">
        <v>31</v>
      </c>
      <c r="AI2282">
        <v>0</v>
      </c>
      <c r="AJ2282" t="s">
        <v>31</v>
      </c>
      <c r="AK2282">
        <v>0</v>
      </c>
      <c r="AL2282" t="s">
        <v>31</v>
      </c>
      <c r="AM2282">
        <v>0</v>
      </c>
      <c r="AN2282" t="s">
        <v>31</v>
      </c>
      <c r="AO2282">
        <v>0</v>
      </c>
      <c r="AP2282" t="s">
        <v>31</v>
      </c>
      <c r="AQ2282">
        <v>0</v>
      </c>
    </row>
    <row r="2283" spans="1:43" x14ac:dyDescent="0.2">
      <c r="A2283" t="s">
        <v>381</v>
      </c>
      <c r="B2283" s="3">
        <v>44271</v>
      </c>
      <c r="C2283">
        <v>36</v>
      </c>
      <c r="D2283" t="s">
        <v>385</v>
      </c>
      <c r="E2283" t="s">
        <v>127</v>
      </c>
      <c r="F2283" s="9" t="s">
        <v>140</v>
      </c>
      <c r="G2283" t="s">
        <v>26</v>
      </c>
      <c r="H2283" t="s">
        <v>85</v>
      </c>
      <c r="I2283" t="s">
        <v>86</v>
      </c>
      <c r="J2283" t="s">
        <v>53</v>
      </c>
      <c r="K2283" t="s">
        <v>54</v>
      </c>
      <c r="L2283" t="s">
        <v>53</v>
      </c>
      <c r="M2283" t="s">
        <v>54</v>
      </c>
      <c r="N2283" t="s">
        <v>85</v>
      </c>
      <c r="O2283" t="s">
        <v>86</v>
      </c>
      <c r="P2283" t="s">
        <v>53</v>
      </c>
      <c r="Q2283" t="s">
        <v>54</v>
      </c>
      <c r="R2283" s="1">
        <v>44271.427361111113</v>
      </c>
      <c r="S2283" s="1">
        <v>44271.427361111113</v>
      </c>
      <c r="T2283">
        <v>0</v>
      </c>
      <c r="U2283">
        <v>1</v>
      </c>
      <c r="V2283" s="2">
        <v>0</v>
      </c>
      <c r="W2283">
        <v>0</v>
      </c>
      <c r="X2283" t="s">
        <v>44</v>
      </c>
      <c r="Y2283">
        <v>0</v>
      </c>
      <c r="Z2283" t="s">
        <v>31</v>
      </c>
      <c r="AA2283">
        <v>0</v>
      </c>
      <c r="AB2283" t="s">
        <v>31</v>
      </c>
      <c r="AC2283">
        <v>0</v>
      </c>
      <c r="AD2283" t="s">
        <v>31</v>
      </c>
      <c r="AE2283">
        <v>0</v>
      </c>
      <c r="AF2283" t="s">
        <v>31</v>
      </c>
      <c r="AG2283">
        <v>0</v>
      </c>
      <c r="AH2283" t="s">
        <v>31</v>
      </c>
      <c r="AI2283">
        <v>0</v>
      </c>
      <c r="AJ2283" t="s">
        <v>31</v>
      </c>
      <c r="AK2283">
        <v>0</v>
      </c>
      <c r="AL2283" t="s">
        <v>31</v>
      </c>
      <c r="AM2283">
        <v>0</v>
      </c>
      <c r="AN2283" t="s">
        <v>31</v>
      </c>
      <c r="AO2283">
        <v>0</v>
      </c>
      <c r="AP2283" t="s">
        <v>31</v>
      </c>
      <c r="AQ2283">
        <v>0</v>
      </c>
    </row>
    <row r="2284" spans="1:43" x14ac:dyDescent="0.2">
      <c r="A2284" t="s">
        <v>381</v>
      </c>
      <c r="B2284" s="3">
        <v>44271</v>
      </c>
      <c r="C2284">
        <v>37</v>
      </c>
      <c r="D2284" t="s">
        <v>385</v>
      </c>
      <c r="E2284" t="s">
        <v>127</v>
      </c>
      <c r="F2284" s="9" t="s">
        <v>140</v>
      </c>
      <c r="G2284" t="s">
        <v>26</v>
      </c>
      <c r="H2284" t="s">
        <v>85</v>
      </c>
      <c r="I2284" t="s">
        <v>86</v>
      </c>
      <c r="J2284" t="s">
        <v>53</v>
      </c>
      <c r="K2284" t="s">
        <v>54</v>
      </c>
      <c r="L2284" t="s">
        <v>53</v>
      </c>
      <c r="M2284" t="s">
        <v>54</v>
      </c>
      <c r="N2284" t="s">
        <v>85</v>
      </c>
      <c r="O2284" t="s">
        <v>86</v>
      </c>
      <c r="P2284" t="s">
        <v>53</v>
      </c>
      <c r="Q2284" t="s">
        <v>54</v>
      </c>
      <c r="R2284" s="1">
        <v>44271.545844907407</v>
      </c>
      <c r="S2284" s="1">
        <v>44271.545844907407</v>
      </c>
      <c r="T2284">
        <v>0</v>
      </c>
      <c r="U2284">
        <v>1</v>
      </c>
      <c r="V2284" s="2">
        <v>0</v>
      </c>
      <c r="W2284">
        <v>0</v>
      </c>
      <c r="X2284" t="s">
        <v>44</v>
      </c>
      <c r="Y2284">
        <v>0</v>
      </c>
      <c r="Z2284" t="s">
        <v>31</v>
      </c>
      <c r="AA2284">
        <v>0</v>
      </c>
      <c r="AB2284" t="s">
        <v>31</v>
      </c>
      <c r="AC2284">
        <v>0</v>
      </c>
      <c r="AD2284" t="s">
        <v>31</v>
      </c>
      <c r="AE2284">
        <v>0</v>
      </c>
      <c r="AF2284" t="s">
        <v>31</v>
      </c>
      <c r="AG2284">
        <v>0</v>
      </c>
      <c r="AH2284" t="s">
        <v>31</v>
      </c>
      <c r="AI2284">
        <v>0</v>
      </c>
      <c r="AJ2284" t="s">
        <v>31</v>
      </c>
      <c r="AK2284">
        <v>0</v>
      </c>
      <c r="AL2284" t="s">
        <v>31</v>
      </c>
      <c r="AM2284">
        <v>0</v>
      </c>
      <c r="AN2284" t="s">
        <v>31</v>
      </c>
      <c r="AO2284">
        <v>0</v>
      </c>
      <c r="AP2284" t="s">
        <v>31</v>
      </c>
      <c r="AQ2284">
        <v>0</v>
      </c>
    </row>
    <row r="2285" spans="1:43" x14ac:dyDescent="0.2">
      <c r="A2285" t="s">
        <v>381</v>
      </c>
      <c r="B2285" s="3">
        <v>44272</v>
      </c>
      <c r="C2285">
        <v>38</v>
      </c>
      <c r="D2285" t="s">
        <v>384</v>
      </c>
      <c r="E2285" t="s">
        <v>127</v>
      </c>
      <c r="F2285" s="9" t="s">
        <v>140</v>
      </c>
      <c r="G2285" t="s">
        <v>26</v>
      </c>
      <c r="H2285" t="s">
        <v>85</v>
      </c>
      <c r="I2285" t="s">
        <v>86</v>
      </c>
      <c r="J2285" t="s">
        <v>53</v>
      </c>
      <c r="K2285" t="s">
        <v>54</v>
      </c>
      <c r="L2285" t="s">
        <v>53</v>
      </c>
      <c r="M2285" t="s">
        <v>54</v>
      </c>
      <c r="N2285" t="s">
        <v>85</v>
      </c>
      <c r="O2285" t="s">
        <v>86</v>
      </c>
      <c r="P2285" t="s">
        <v>53</v>
      </c>
      <c r="Q2285" t="s">
        <v>54</v>
      </c>
      <c r="R2285" s="1">
        <v>44272.433252314811</v>
      </c>
      <c r="S2285" s="1">
        <v>44272.433252314811</v>
      </c>
      <c r="T2285">
        <v>0</v>
      </c>
      <c r="U2285">
        <v>1</v>
      </c>
      <c r="V2285" s="2">
        <v>0</v>
      </c>
      <c r="W2285">
        <v>0</v>
      </c>
      <c r="X2285" t="s">
        <v>44</v>
      </c>
      <c r="Y2285">
        <v>0</v>
      </c>
      <c r="Z2285" t="s">
        <v>31</v>
      </c>
      <c r="AA2285">
        <v>0</v>
      </c>
      <c r="AB2285" t="s">
        <v>31</v>
      </c>
      <c r="AC2285">
        <v>0</v>
      </c>
      <c r="AD2285" t="s">
        <v>31</v>
      </c>
      <c r="AE2285">
        <v>0</v>
      </c>
      <c r="AF2285" t="s">
        <v>31</v>
      </c>
      <c r="AG2285">
        <v>0</v>
      </c>
      <c r="AH2285" t="s">
        <v>31</v>
      </c>
      <c r="AI2285">
        <v>0</v>
      </c>
      <c r="AJ2285" t="s">
        <v>31</v>
      </c>
      <c r="AK2285">
        <v>0</v>
      </c>
      <c r="AL2285" t="s">
        <v>31</v>
      </c>
      <c r="AM2285">
        <v>0</v>
      </c>
      <c r="AN2285" t="s">
        <v>31</v>
      </c>
      <c r="AO2285">
        <v>0</v>
      </c>
      <c r="AP2285" t="s">
        <v>31</v>
      </c>
      <c r="AQ2285">
        <v>0</v>
      </c>
    </row>
    <row r="2286" spans="1:43" x14ac:dyDescent="0.2">
      <c r="A2286" t="s">
        <v>381</v>
      </c>
      <c r="B2286" s="3">
        <v>44273</v>
      </c>
      <c r="C2286">
        <v>39</v>
      </c>
      <c r="D2286" t="s">
        <v>385</v>
      </c>
      <c r="E2286" t="s">
        <v>127</v>
      </c>
      <c r="F2286" s="9" t="s">
        <v>140</v>
      </c>
      <c r="G2286" t="s">
        <v>26</v>
      </c>
      <c r="H2286" t="s">
        <v>85</v>
      </c>
      <c r="I2286" t="s">
        <v>86</v>
      </c>
      <c r="J2286" t="s">
        <v>53</v>
      </c>
      <c r="K2286" t="s">
        <v>54</v>
      </c>
      <c r="L2286" t="s">
        <v>53</v>
      </c>
      <c r="M2286" t="s">
        <v>54</v>
      </c>
      <c r="N2286" t="s">
        <v>85</v>
      </c>
      <c r="O2286" t="s">
        <v>86</v>
      </c>
      <c r="P2286" t="s">
        <v>53</v>
      </c>
      <c r="Q2286" t="s">
        <v>54</v>
      </c>
      <c r="R2286" s="1">
        <v>44273.403726851851</v>
      </c>
      <c r="S2286" s="1">
        <v>44273.403738425928</v>
      </c>
      <c r="T2286">
        <v>0</v>
      </c>
      <c r="U2286">
        <v>1</v>
      </c>
      <c r="V2286" s="2">
        <v>0</v>
      </c>
      <c r="W2286">
        <v>0</v>
      </c>
      <c r="X2286" t="s">
        <v>44</v>
      </c>
      <c r="Y2286">
        <v>0</v>
      </c>
      <c r="Z2286" t="s">
        <v>31</v>
      </c>
      <c r="AA2286">
        <v>0</v>
      </c>
      <c r="AB2286" t="s">
        <v>31</v>
      </c>
      <c r="AC2286">
        <v>0</v>
      </c>
      <c r="AD2286" t="s">
        <v>31</v>
      </c>
      <c r="AE2286">
        <v>0</v>
      </c>
      <c r="AF2286" t="s">
        <v>31</v>
      </c>
      <c r="AG2286">
        <v>0</v>
      </c>
      <c r="AH2286" t="s">
        <v>31</v>
      </c>
      <c r="AI2286">
        <v>0</v>
      </c>
      <c r="AJ2286" t="s">
        <v>31</v>
      </c>
      <c r="AK2286">
        <v>0</v>
      </c>
      <c r="AL2286" t="s">
        <v>31</v>
      </c>
      <c r="AM2286">
        <v>0</v>
      </c>
      <c r="AN2286" t="s">
        <v>31</v>
      </c>
      <c r="AO2286">
        <v>0</v>
      </c>
      <c r="AP2286" t="s">
        <v>31</v>
      </c>
      <c r="AQ2286">
        <v>0</v>
      </c>
    </row>
    <row r="2287" spans="1:43" x14ac:dyDescent="0.2">
      <c r="A2287" t="s">
        <v>381</v>
      </c>
      <c r="B2287" s="3">
        <v>44279</v>
      </c>
      <c r="C2287">
        <v>41</v>
      </c>
      <c r="D2287" t="s">
        <v>384</v>
      </c>
      <c r="E2287" t="s">
        <v>127</v>
      </c>
      <c r="F2287" s="9" t="s">
        <v>140</v>
      </c>
      <c r="G2287" t="s">
        <v>26</v>
      </c>
      <c r="H2287" t="s">
        <v>85</v>
      </c>
      <c r="I2287" t="s">
        <v>86</v>
      </c>
      <c r="J2287" t="s">
        <v>53</v>
      </c>
      <c r="K2287" t="s">
        <v>54</v>
      </c>
      <c r="L2287" t="s">
        <v>53</v>
      </c>
      <c r="M2287" t="s">
        <v>54</v>
      </c>
      <c r="N2287" t="s">
        <v>85</v>
      </c>
      <c r="O2287" t="s">
        <v>86</v>
      </c>
      <c r="P2287" t="s">
        <v>53</v>
      </c>
      <c r="Q2287" t="s">
        <v>54</v>
      </c>
      <c r="R2287" s="1">
        <v>44279.416122685187</v>
      </c>
      <c r="S2287" s="1">
        <v>44279.416122685187</v>
      </c>
      <c r="T2287">
        <v>1</v>
      </c>
      <c r="U2287">
        <v>1</v>
      </c>
      <c r="V2287" s="2">
        <v>1</v>
      </c>
      <c r="W2287">
        <v>1</v>
      </c>
      <c r="X2287" t="s">
        <v>54</v>
      </c>
      <c r="Y2287">
        <v>1</v>
      </c>
      <c r="Z2287" t="s">
        <v>31</v>
      </c>
      <c r="AA2287">
        <v>0</v>
      </c>
      <c r="AB2287" t="s">
        <v>31</v>
      </c>
      <c r="AC2287">
        <v>0</v>
      </c>
      <c r="AD2287" t="s">
        <v>31</v>
      </c>
      <c r="AE2287">
        <v>0</v>
      </c>
      <c r="AF2287" t="s">
        <v>31</v>
      </c>
      <c r="AG2287">
        <v>0</v>
      </c>
      <c r="AH2287" t="s">
        <v>31</v>
      </c>
      <c r="AI2287">
        <v>0</v>
      </c>
      <c r="AJ2287" t="s">
        <v>31</v>
      </c>
      <c r="AK2287">
        <v>0</v>
      </c>
      <c r="AL2287" t="s">
        <v>31</v>
      </c>
      <c r="AM2287">
        <v>0</v>
      </c>
      <c r="AN2287" t="s">
        <v>31</v>
      </c>
      <c r="AO2287">
        <v>0</v>
      </c>
      <c r="AP2287" t="s">
        <v>31</v>
      </c>
      <c r="AQ2287">
        <v>0</v>
      </c>
    </row>
    <row r="2288" spans="1:43" x14ac:dyDescent="0.2">
      <c r="A2288" t="s">
        <v>381</v>
      </c>
      <c r="B2288" s="3">
        <v>44284</v>
      </c>
      <c r="C2288">
        <v>43</v>
      </c>
      <c r="D2288" t="s">
        <v>384</v>
      </c>
      <c r="E2288" t="s">
        <v>127</v>
      </c>
      <c r="F2288" s="9" t="s">
        <v>140</v>
      </c>
      <c r="G2288" t="s">
        <v>26</v>
      </c>
      <c r="H2288" t="s">
        <v>85</v>
      </c>
      <c r="I2288" t="s">
        <v>86</v>
      </c>
      <c r="J2288" t="s">
        <v>53</v>
      </c>
      <c r="K2288" t="s">
        <v>54</v>
      </c>
      <c r="L2288" t="s">
        <v>53</v>
      </c>
      <c r="M2288" t="s">
        <v>54</v>
      </c>
      <c r="N2288" t="s">
        <v>85</v>
      </c>
      <c r="O2288" t="s">
        <v>86</v>
      </c>
      <c r="P2288" t="s">
        <v>53</v>
      </c>
      <c r="Q2288" t="s">
        <v>54</v>
      </c>
      <c r="R2288" s="1">
        <v>44284.385347222225</v>
      </c>
      <c r="S2288" s="1">
        <v>44284.385347222225</v>
      </c>
      <c r="T2288">
        <v>0</v>
      </c>
      <c r="U2288">
        <v>1</v>
      </c>
      <c r="V2288" s="2">
        <v>0</v>
      </c>
      <c r="W2288">
        <v>0</v>
      </c>
      <c r="X2288" t="s">
        <v>44</v>
      </c>
      <c r="Y2288">
        <v>0</v>
      </c>
      <c r="Z2288" t="s">
        <v>31</v>
      </c>
      <c r="AA2288">
        <v>0</v>
      </c>
      <c r="AB2288" t="s">
        <v>31</v>
      </c>
      <c r="AC2288">
        <v>0</v>
      </c>
      <c r="AD2288" t="s">
        <v>31</v>
      </c>
      <c r="AE2288">
        <v>0</v>
      </c>
      <c r="AF2288" t="s">
        <v>31</v>
      </c>
      <c r="AG2288">
        <v>0</v>
      </c>
      <c r="AH2288" t="s">
        <v>31</v>
      </c>
      <c r="AI2288">
        <v>0</v>
      </c>
      <c r="AJ2288" t="s">
        <v>31</v>
      </c>
      <c r="AK2288">
        <v>0</v>
      </c>
      <c r="AL2288" t="s">
        <v>31</v>
      </c>
      <c r="AM2288">
        <v>0</v>
      </c>
      <c r="AN2288" t="s">
        <v>31</v>
      </c>
      <c r="AO2288">
        <v>0</v>
      </c>
      <c r="AP2288" t="s">
        <v>31</v>
      </c>
      <c r="AQ2288">
        <v>0</v>
      </c>
    </row>
    <row r="2289" spans="1:43" x14ac:dyDescent="0.2">
      <c r="A2289" t="s">
        <v>381</v>
      </c>
      <c r="B2289" s="3">
        <v>44285</v>
      </c>
      <c r="C2289">
        <v>44</v>
      </c>
      <c r="D2289" t="s">
        <v>385</v>
      </c>
      <c r="E2289" t="s">
        <v>127</v>
      </c>
      <c r="F2289" s="9" t="s">
        <v>140</v>
      </c>
      <c r="G2289" t="s">
        <v>26</v>
      </c>
      <c r="H2289" t="s">
        <v>85</v>
      </c>
      <c r="I2289" t="s">
        <v>86</v>
      </c>
      <c r="J2289" t="s">
        <v>53</v>
      </c>
      <c r="K2289" t="s">
        <v>54</v>
      </c>
      <c r="L2289" t="s">
        <v>53</v>
      </c>
      <c r="M2289" t="s">
        <v>54</v>
      </c>
      <c r="N2289" t="s">
        <v>85</v>
      </c>
      <c r="O2289" t="s">
        <v>86</v>
      </c>
      <c r="P2289" t="s">
        <v>53</v>
      </c>
      <c r="Q2289" t="s">
        <v>54</v>
      </c>
      <c r="R2289" s="1">
        <v>44285.489791666667</v>
      </c>
      <c r="S2289" s="1">
        <v>44285.489791666667</v>
      </c>
      <c r="T2289">
        <v>0</v>
      </c>
      <c r="U2289">
        <v>2</v>
      </c>
      <c r="V2289" s="2">
        <v>0</v>
      </c>
      <c r="W2289">
        <v>0</v>
      </c>
      <c r="X2289" t="s">
        <v>44</v>
      </c>
      <c r="Y2289">
        <v>0</v>
      </c>
      <c r="Z2289" t="s">
        <v>44</v>
      </c>
      <c r="AA2289">
        <v>0</v>
      </c>
      <c r="AB2289" t="s">
        <v>31</v>
      </c>
      <c r="AC2289">
        <v>0</v>
      </c>
      <c r="AD2289" t="s">
        <v>31</v>
      </c>
      <c r="AE2289">
        <v>0</v>
      </c>
      <c r="AF2289" t="s">
        <v>31</v>
      </c>
      <c r="AG2289">
        <v>0</v>
      </c>
      <c r="AH2289" t="s">
        <v>31</v>
      </c>
      <c r="AI2289">
        <v>0</v>
      </c>
      <c r="AJ2289" t="s">
        <v>31</v>
      </c>
      <c r="AK2289">
        <v>0</v>
      </c>
      <c r="AL2289" t="s">
        <v>31</v>
      </c>
      <c r="AM2289">
        <v>0</v>
      </c>
      <c r="AN2289" t="s">
        <v>31</v>
      </c>
      <c r="AO2289">
        <v>0</v>
      </c>
      <c r="AP2289" t="s">
        <v>31</v>
      </c>
      <c r="AQ2289">
        <v>0</v>
      </c>
    </row>
    <row r="2290" spans="1:43" x14ac:dyDescent="0.2">
      <c r="A2290" t="s">
        <v>381</v>
      </c>
      <c r="B2290" s="3">
        <v>44287</v>
      </c>
      <c r="C2290">
        <v>47</v>
      </c>
      <c r="D2290" t="s">
        <v>385</v>
      </c>
      <c r="E2290" t="s">
        <v>127</v>
      </c>
      <c r="F2290" s="9" t="s">
        <v>140</v>
      </c>
      <c r="G2290" t="s">
        <v>26</v>
      </c>
      <c r="H2290" t="s">
        <v>85</v>
      </c>
      <c r="I2290" t="s">
        <v>86</v>
      </c>
      <c r="J2290" t="s">
        <v>53</v>
      </c>
      <c r="K2290" t="s">
        <v>54</v>
      </c>
      <c r="L2290" t="s">
        <v>53</v>
      </c>
      <c r="M2290" t="s">
        <v>54</v>
      </c>
      <c r="N2290" t="s">
        <v>85</v>
      </c>
      <c r="O2290" t="s">
        <v>86</v>
      </c>
      <c r="P2290" t="s">
        <v>53</v>
      </c>
      <c r="Q2290" t="s">
        <v>54</v>
      </c>
      <c r="R2290" s="1">
        <v>44287.439143518517</v>
      </c>
      <c r="S2290" s="1">
        <v>44287.468784722223</v>
      </c>
      <c r="T2290">
        <v>0</v>
      </c>
      <c r="U2290">
        <v>3</v>
      </c>
      <c r="V2290" s="2">
        <v>0</v>
      </c>
      <c r="W2290">
        <v>0</v>
      </c>
      <c r="X2290" t="s">
        <v>44</v>
      </c>
      <c r="Y2290">
        <v>0</v>
      </c>
      <c r="Z2290" t="s">
        <v>44</v>
      </c>
      <c r="AA2290">
        <v>0</v>
      </c>
      <c r="AB2290" t="s">
        <v>44</v>
      </c>
      <c r="AC2290">
        <v>0</v>
      </c>
      <c r="AD2290" t="s">
        <v>31</v>
      </c>
      <c r="AE2290">
        <v>0</v>
      </c>
      <c r="AF2290" t="s">
        <v>31</v>
      </c>
      <c r="AG2290">
        <v>0</v>
      </c>
      <c r="AH2290" t="s">
        <v>31</v>
      </c>
      <c r="AI2290">
        <v>0</v>
      </c>
      <c r="AJ2290" t="s">
        <v>31</v>
      </c>
      <c r="AK2290">
        <v>0</v>
      </c>
      <c r="AL2290" t="s">
        <v>31</v>
      </c>
      <c r="AM2290">
        <v>0</v>
      </c>
      <c r="AN2290" t="s">
        <v>31</v>
      </c>
      <c r="AO2290">
        <v>0</v>
      </c>
      <c r="AP2290" t="s">
        <v>31</v>
      </c>
      <c r="AQ2290">
        <v>0</v>
      </c>
    </row>
    <row r="2291" spans="1:43" x14ac:dyDescent="0.2">
      <c r="A2291" t="s">
        <v>381</v>
      </c>
      <c r="B2291" s="3">
        <v>44291</v>
      </c>
      <c r="C2291">
        <v>50</v>
      </c>
      <c r="D2291" t="s">
        <v>384</v>
      </c>
      <c r="E2291" t="s">
        <v>127</v>
      </c>
      <c r="F2291" s="9" t="s">
        <v>140</v>
      </c>
      <c r="G2291" t="s">
        <v>26</v>
      </c>
      <c r="H2291" t="s">
        <v>85</v>
      </c>
      <c r="I2291" t="s">
        <v>86</v>
      </c>
      <c r="J2291" t="s">
        <v>53</v>
      </c>
      <c r="K2291" t="s">
        <v>54</v>
      </c>
      <c r="L2291" t="s">
        <v>53</v>
      </c>
      <c r="M2291" t="s">
        <v>54</v>
      </c>
      <c r="N2291" t="s">
        <v>85</v>
      </c>
      <c r="O2291" t="s">
        <v>86</v>
      </c>
      <c r="P2291" t="s">
        <v>53</v>
      </c>
      <c r="Q2291" t="s">
        <v>54</v>
      </c>
      <c r="R2291" s="1">
        <v>44291.390034722222</v>
      </c>
      <c r="S2291" s="1">
        <v>44291.390034722222</v>
      </c>
      <c r="T2291">
        <v>0</v>
      </c>
      <c r="U2291">
        <v>1</v>
      </c>
      <c r="V2291" s="2">
        <v>0</v>
      </c>
      <c r="W2291">
        <v>0</v>
      </c>
      <c r="X2291" t="s">
        <v>44</v>
      </c>
      <c r="Y2291">
        <v>0</v>
      </c>
      <c r="Z2291" t="s">
        <v>31</v>
      </c>
      <c r="AA2291">
        <v>0</v>
      </c>
      <c r="AB2291" t="s">
        <v>31</v>
      </c>
      <c r="AC2291">
        <v>0</v>
      </c>
      <c r="AD2291" t="s">
        <v>31</v>
      </c>
      <c r="AE2291">
        <v>0</v>
      </c>
      <c r="AF2291" t="s">
        <v>31</v>
      </c>
      <c r="AG2291">
        <v>0</v>
      </c>
      <c r="AH2291" t="s">
        <v>31</v>
      </c>
      <c r="AI2291">
        <v>0</v>
      </c>
      <c r="AJ2291" t="s">
        <v>31</v>
      </c>
      <c r="AK2291">
        <v>0</v>
      </c>
      <c r="AL2291" t="s">
        <v>31</v>
      </c>
      <c r="AM2291">
        <v>0</v>
      </c>
      <c r="AN2291" t="s">
        <v>31</v>
      </c>
      <c r="AO2291">
        <v>0</v>
      </c>
      <c r="AP2291" t="s">
        <v>31</v>
      </c>
      <c r="AQ2291">
        <v>0</v>
      </c>
    </row>
    <row r="2292" spans="1:43" x14ac:dyDescent="0.2">
      <c r="A2292" t="s">
        <v>381</v>
      </c>
      <c r="B2292" s="3">
        <v>44293</v>
      </c>
      <c r="C2292">
        <v>53</v>
      </c>
      <c r="D2292" t="s">
        <v>384</v>
      </c>
      <c r="E2292" t="s">
        <v>127</v>
      </c>
      <c r="F2292" s="9" t="s">
        <v>140</v>
      </c>
      <c r="G2292" t="s">
        <v>26</v>
      </c>
      <c r="H2292" t="s">
        <v>85</v>
      </c>
      <c r="I2292" t="s">
        <v>86</v>
      </c>
      <c r="J2292" t="s">
        <v>53</v>
      </c>
      <c r="K2292" t="s">
        <v>54</v>
      </c>
      <c r="L2292" t="s">
        <v>53</v>
      </c>
      <c r="M2292" t="s">
        <v>54</v>
      </c>
      <c r="N2292" t="s">
        <v>85</v>
      </c>
      <c r="O2292" t="s">
        <v>86</v>
      </c>
      <c r="P2292" t="s">
        <v>53</v>
      </c>
      <c r="Q2292" t="s">
        <v>54</v>
      </c>
      <c r="R2292" s="1">
        <v>44293.380046296297</v>
      </c>
      <c r="S2292" s="1">
        <v>44293.380046296297</v>
      </c>
      <c r="T2292">
        <v>0</v>
      </c>
      <c r="U2292">
        <v>1</v>
      </c>
      <c r="V2292" s="2">
        <v>0</v>
      </c>
      <c r="W2292">
        <v>0</v>
      </c>
      <c r="X2292" t="s">
        <v>44</v>
      </c>
      <c r="Y2292">
        <v>0</v>
      </c>
      <c r="Z2292" t="s">
        <v>31</v>
      </c>
      <c r="AA2292">
        <v>0</v>
      </c>
      <c r="AB2292" t="s">
        <v>31</v>
      </c>
      <c r="AC2292">
        <v>0</v>
      </c>
      <c r="AD2292" t="s">
        <v>31</v>
      </c>
      <c r="AE2292">
        <v>0</v>
      </c>
      <c r="AF2292" t="s">
        <v>31</v>
      </c>
      <c r="AG2292">
        <v>0</v>
      </c>
      <c r="AH2292" t="s">
        <v>31</v>
      </c>
      <c r="AI2292">
        <v>0</v>
      </c>
      <c r="AJ2292" t="s">
        <v>31</v>
      </c>
      <c r="AK2292">
        <v>0</v>
      </c>
      <c r="AL2292" t="s">
        <v>31</v>
      </c>
      <c r="AM2292">
        <v>0</v>
      </c>
      <c r="AN2292" t="s">
        <v>31</v>
      </c>
      <c r="AO2292">
        <v>0</v>
      </c>
      <c r="AP2292" t="s">
        <v>31</v>
      </c>
      <c r="AQ2292">
        <v>0</v>
      </c>
    </row>
    <row r="2293" spans="1:43" x14ac:dyDescent="0.2">
      <c r="A2293" t="s">
        <v>381</v>
      </c>
      <c r="B2293" s="3">
        <v>44294</v>
      </c>
      <c r="C2293">
        <v>54</v>
      </c>
      <c r="D2293" t="s">
        <v>407</v>
      </c>
      <c r="E2293" t="s">
        <v>127</v>
      </c>
      <c r="F2293" s="9" t="s">
        <v>140</v>
      </c>
      <c r="G2293" t="s">
        <v>26</v>
      </c>
      <c r="H2293" t="s">
        <v>85</v>
      </c>
      <c r="I2293" t="s">
        <v>86</v>
      </c>
      <c r="J2293" t="s">
        <v>53</v>
      </c>
      <c r="K2293" t="s">
        <v>54</v>
      </c>
      <c r="L2293" t="s">
        <v>53</v>
      </c>
      <c r="M2293" t="s">
        <v>54</v>
      </c>
      <c r="N2293" t="s">
        <v>85</v>
      </c>
      <c r="O2293" t="s">
        <v>86</v>
      </c>
      <c r="P2293" t="s">
        <v>53</v>
      </c>
      <c r="Q2293" t="s">
        <v>54</v>
      </c>
      <c r="R2293" s="1">
        <v>44294.407407407409</v>
      </c>
      <c r="S2293" s="1">
        <v>44294.407407407409</v>
      </c>
      <c r="T2293">
        <v>0</v>
      </c>
      <c r="U2293">
        <v>1</v>
      </c>
      <c r="V2293" s="2">
        <v>0</v>
      </c>
      <c r="W2293">
        <v>0</v>
      </c>
      <c r="X2293" t="s">
        <v>44</v>
      </c>
      <c r="Y2293">
        <v>0</v>
      </c>
      <c r="Z2293" t="s">
        <v>31</v>
      </c>
      <c r="AA2293">
        <v>0</v>
      </c>
      <c r="AB2293" t="s">
        <v>31</v>
      </c>
      <c r="AC2293">
        <v>0</v>
      </c>
      <c r="AD2293" t="s">
        <v>31</v>
      </c>
      <c r="AE2293">
        <v>0</v>
      </c>
      <c r="AF2293" t="s">
        <v>31</v>
      </c>
      <c r="AG2293">
        <v>0</v>
      </c>
      <c r="AH2293" t="s">
        <v>31</v>
      </c>
      <c r="AI2293">
        <v>0</v>
      </c>
      <c r="AJ2293" t="s">
        <v>31</v>
      </c>
      <c r="AK2293">
        <v>0</v>
      </c>
      <c r="AL2293" t="s">
        <v>31</v>
      </c>
      <c r="AM2293">
        <v>0</v>
      </c>
      <c r="AN2293" t="s">
        <v>31</v>
      </c>
      <c r="AO2293">
        <v>0</v>
      </c>
      <c r="AP2293" t="s">
        <v>31</v>
      </c>
      <c r="AQ2293">
        <v>0</v>
      </c>
    </row>
    <row r="2294" spans="1:43" x14ac:dyDescent="0.2">
      <c r="A2294" t="s">
        <v>381</v>
      </c>
      <c r="B2294" s="3">
        <v>44295</v>
      </c>
      <c r="C2294">
        <v>56</v>
      </c>
      <c r="D2294" t="s">
        <v>384</v>
      </c>
      <c r="E2294" t="s">
        <v>127</v>
      </c>
      <c r="F2294" s="9" t="s">
        <v>140</v>
      </c>
      <c r="G2294" t="s">
        <v>26</v>
      </c>
      <c r="H2294" t="s">
        <v>85</v>
      </c>
      <c r="I2294" t="s">
        <v>86</v>
      </c>
      <c r="J2294" t="s">
        <v>53</v>
      </c>
      <c r="K2294" t="s">
        <v>54</v>
      </c>
      <c r="L2294" t="s">
        <v>53</v>
      </c>
      <c r="M2294" t="s">
        <v>54</v>
      </c>
      <c r="N2294" t="s">
        <v>85</v>
      </c>
      <c r="O2294" t="s">
        <v>86</v>
      </c>
      <c r="P2294" t="s">
        <v>53</v>
      </c>
      <c r="Q2294" t="s">
        <v>54</v>
      </c>
      <c r="R2294" s="1">
        <v>44295.389166666668</v>
      </c>
      <c r="S2294" s="1">
        <v>44295.389166666668</v>
      </c>
      <c r="T2294">
        <v>0</v>
      </c>
      <c r="U2294">
        <v>1</v>
      </c>
      <c r="V2294" s="2">
        <v>0</v>
      </c>
      <c r="W2294">
        <v>0</v>
      </c>
      <c r="X2294" t="s">
        <v>44</v>
      </c>
      <c r="Y2294">
        <v>0</v>
      </c>
      <c r="Z2294" t="s">
        <v>31</v>
      </c>
      <c r="AA2294">
        <v>0</v>
      </c>
      <c r="AB2294" t="s">
        <v>31</v>
      </c>
      <c r="AC2294">
        <v>0</v>
      </c>
      <c r="AD2294" t="s">
        <v>31</v>
      </c>
      <c r="AE2294">
        <v>0</v>
      </c>
      <c r="AF2294" t="s">
        <v>31</v>
      </c>
      <c r="AG2294">
        <v>0</v>
      </c>
      <c r="AH2294" t="s">
        <v>31</v>
      </c>
      <c r="AI2294">
        <v>0</v>
      </c>
      <c r="AJ2294" t="s">
        <v>31</v>
      </c>
      <c r="AK2294">
        <v>0</v>
      </c>
      <c r="AL2294" t="s">
        <v>31</v>
      </c>
      <c r="AM2294">
        <v>0</v>
      </c>
      <c r="AN2294" t="s">
        <v>31</v>
      </c>
      <c r="AO2294">
        <v>0</v>
      </c>
      <c r="AP2294" t="s">
        <v>31</v>
      </c>
      <c r="AQ2294">
        <v>0</v>
      </c>
    </row>
    <row r="2295" spans="1:43" x14ac:dyDescent="0.2">
      <c r="A2295" t="s">
        <v>381</v>
      </c>
      <c r="B2295" s="3">
        <v>44299</v>
      </c>
      <c r="C2295">
        <v>58</v>
      </c>
      <c r="D2295" t="s">
        <v>385</v>
      </c>
      <c r="E2295" t="s">
        <v>127</v>
      </c>
      <c r="F2295" s="9" t="s">
        <v>140</v>
      </c>
      <c r="G2295" t="s">
        <v>26</v>
      </c>
      <c r="H2295" t="s">
        <v>85</v>
      </c>
      <c r="I2295" t="s">
        <v>86</v>
      </c>
      <c r="J2295" t="s">
        <v>53</v>
      </c>
      <c r="K2295" t="s">
        <v>54</v>
      </c>
      <c r="L2295" t="s">
        <v>53</v>
      </c>
      <c r="M2295" t="s">
        <v>54</v>
      </c>
      <c r="N2295" t="s">
        <v>85</v>
      </c>
      <c r="O2295" t="s">
        <v>86</v>
      </c>
      <c r="P2295" t="s">
        <v>53</v>
      </c>
      <c r="Q2295" t="s">
        <v>54</v>
      </c>
      <c r="R2295" s="1">
        <v>44299.464837962965</v>
      </c>
      <c r="S2295" s="1">
        <v>44299.464837962965</v>
      </c>
      <c r="T2295">
        <v>0</v>
      </c>
      <c r="U2295">
        <v>1</v>
      </c>
      <c r="V2295" s="2">
        <v>0</v>
      </c>
      <c r="W2295">
        <v>0</v>
      </c>
      <c r="X2295" t="s">
        <v>44</v>
      </c>
      <c r="Y2295">
        <v>0</v>
      </c>
      <c r="Z2295" t="s">
        <v>31</v>
      </c>
      <c r="AA2295">
        <v>0</v>
      </c>
      <c r="AB2295" t="s">
        <v>31</v>
      </c>
      <c r="AC2295">
        <v>0</v>
      </c>
      <c r="AD2295" t="s">
        <v>31</v>
      </c>
      <c r="AE2295">
        <v>0</v>
      </c>
      <c r="AF2295" t="s">
        <v>31</v>
      </c>
      <c r="AG2295">
        <v>0</v>
      </c>
      <c r="AH2295" t="s">
        <v>31</v>
      </c>
      <c r="AI2295">
        <v>0</v>
      </c>
      <c r="AJ2295" t="s">
        <v>31</v>
      </c>
      <c r="AK2295">
        <v>0</v>
      </c>
      <c r="AL2295" t="s">
        <v>31</v>
      </c>
      <c r="AM2295">
        <v>0</v>
      </c>
      <c r="AN2295" t="s">
        <v>31</v>
      </c>
      <c r="AO2295">
        <v>0</v>
      </c>
      <c r="AP2295" t="s">
        <v>31</v>
      </c>
      <c r="AQ2295">
        <v>0</v>
      </c>
    </row>
    <row r="2296" spans="1:43" x14ac:dyDescent="0.2">
      <c r="A2296" t="s">
        <v>381</v>
      </c>
      <c r="B2296" s="3">
        <v>44300</v>
      </c>
      <c r="C2296">
        <v>61</v>
      </c>
      <c r="D2296" t="s">
        <v>401</v>
      </c>
      <c r="E2296" t="s">
        <v>127</v>
      </c>
      <c r="F2296" s="9" t="s">
        <v>140</v>
      </c>
      <c r="G2296" t="s">
        <v>26</v>
      </c>
      <c r="H2296" t="s">
        <v>85</v>
      </c>
      <c r="I2296" t="s">
        <v>86</v>
      </c>
      <c r="J2296" t="s">
        <v>53</v>
      </c>
      <c r="K2296" t="s">
        <v>54</v>
      </c>
      <c r="L2296" t="s">
        <v>53</v>
      </c>
      <c r="M2296" t="s">
        <v>54</v>
      </c>
      <c r="N2296" t="s">
        <v>85</v>
      </c>
      <c r="O2296" t="s">
        <v>86</v>
      </c>
      <c r="P2296" t="s">
        <v>53</v>
      </c>
      <c r="Q2296" t="s">
        <v>54</v>
      </c>
      <c r="R2296" s="1">
        <v>44300.657326388886</v>
      </c>
      <c r="S2296" s="1">
        <v>44300.657326388886</v>
      </c>
      <c r="T2296">
        <v>0</v>
      </c>
      <c r="U2296">
        <v>1</v>
      </c>
      <c r="V2296" s="2">
        <v>0</v>
      </c>
      <c r="W2296">
        <v>0</v>
      </c>
      <c r="X2296" t="s">
        <v>44</v>
      </c>
      <c r="Y2296">
        <v>0</v>
      </c>
      <c r="Z2296" t="s">
        <v>31</v>
      </c>
      <c r="AA2296">
        <v>0</v>
      </c>
      <c r="AB2296" t="s">
        <v>31</v>
      </c>
      <c r="AC2296">
        <v>0</v>
      </c>
      <c r="AD2296" t="s">
        <v>31</v>
      </c>
      <c r="AE2296">
        <v>0</v>
      </c>
      <c r="AF2296" t="s">
        <v>31</v>
      </c>
      <c r="AG2296">
        <v>0</v>
      </c>
      <c r="AH2296" t="s">
        <v>31</v>
      </c>
      <c r="AI2296">
        <v>0</v>
      </c>
      <c r="AJ2296" t="s">
        <v>31</v>
      </c>
      <c r="AK2296">
        <v>0</v>
      </c>
      <c r="AL2296" t="s">
        <v>31</v>
      </c>
      <c r="AM2296">
        <v>0</v>
      </c>
      <c r="AN2296" t="s">
        <v>31</v>
      </c>
      <c r="AO2296">
        <v>0</v>
      </c>
      <c r="AP2296" t="s">
        <v>31</v>
      </c>
      <c r="AQ2296">
        <v>0</v>
      </c>
    </row>
    <row r="2297" spans="1:43" x14ac:dyDescent="0.2">
      <c r="A2297" t="s">
        <v>381</v>
      </c>
      <c r="B2297" s="3">
        <v>44302</v>
      </c>
      <c r="C2297">
        <v>65</v>
      </c>
      <c r="D2297" t="s">
        <v>387</v>
      </c>
      <c r="E2297" t="s">
        <v>127</v>
      </c>
      <c r="F2297" s="9" t="s">
        <v>140</v>
      </c>
      <c r="G2297" t="s">
        <v>26</v>
      </c>
      <c r="H2297" t="s">
        <v>85</v>
      </c>
      <c r="I2297" t="s">
        <v>86</v>
      </c>
      <c r="J2297" t="s">
        <v>53</v>
      </c>
      <c r="K2297" t="s">
        <v>54</v>
      </c>
      <c r="L2297" t="s">
        <v>53</v>
      </c>
      <c r="M2297" t="s">
        <v>54</v>
      </c>
      <c r="N2297" t="s">
        <v>85</v>
      </c>
      <c r="O2297" t="s">
        <v>86</v>
      </c>
      <c r="P2297" t="s">
        <v>53</v>
      </c>
      <c r="Q2297" t="s">
        <v>54</v>
      </c>
      <c r="R2297" s="1">
        <v>44302.595590277779</v>
      </c>
      <c r="S2297" s="1">
        <v>44302.595590277779</v>
      </c>
      <c r="T2297">
        <v>0</v>
      </c>
      <c r="U2297">
        <v>1</v>
      </c>
      <c r="V2297" s="2">
        <v>0</v>
      </c>
      <c r="W2297">
        <v>0</v>
      </c>
      <c r="X2297" t="s">
        <v>44</v>
      </c>
      <c r="Y2297">
        <v>0</v>
      </c>
      <c r="Z2297" t="s">
        <v>31</v>
      </c>
      <c r="AA2297">
        <v>0</v>
      </c>
      <c r="AB2297" t="s">
        <v>31</v>
      </c>
      <c r="AC2297">
        <v>0</v>
      </c>
      <c r="AD2297" t="s">
        <v>31</v>
      </c>
      <c r="AE2297">
        <v>0</v>
      </c>
      <c r="AF2297" t="s">
        <v>31</v>
      </c>
      <c r="AG2297">
        <v>0</v>
      </c>
      <c r="AH2297" t="s">
        <v>31</v>
      </c>
      <c r="AI2297">
        <v>0</v>
      </c>
      <c r="AJ2297" t="s">
        <v>31</v>
      </c>
      <c r="AK2297">
        <v>0</v>
      </c>
      <c r="AL2297" t="s">
        <v>31</v>
      </c>
      <c r="AM2297">
        <v>0</v>
      </c>
      <c r="AN2297" t="s">
        <v>31</v>
      </c>
      <c r="AO2297">
        <v>0</v>
      </c>
      <c r="AP2297" t="s">
        <v>31</v>
      </c>
      <c r="AQ2297">
        <v>0</v>
      </c>
    </row>
    <row r="2298" spans="1:43" x14ac:dyDescent="0.2">
      <c r="A2298" t="s">
        <v>381</v>
      </c>
      <c r="B2298" s="3">
        <v>44308</v>
      </c>
      <c r="C2298">
        <v>69</v>
      </c>
      <c r="D2298" t="s">
        <v>385</v>
      </c>
      <c r="E2298" t="s">
        <v>127</v>
      </c>
      <c r="F2298" s="9" t="s">
        <v>140</v>
      </c>
      <c r="G2298" t="s">
        <v>26</v>
      </c>
      <c r="H2298" t="s">
        <v>85</v>
      </c>
      <c r="I2298" t="s">
        <v>86</v>
      </c>
      <c r="J2298" t="s">
        <v>53</v>
      </c>
      <c r="K2298" t="s">
        <v>54</v>
      </c>
      <c r="L2298" t="s">
        <v>53</v>
      </c>
      <c r="M2298" t="s">
        <v>54</v>
      </c>
      <c r="N2298" t="s">
        <v>85</v>
      </c>
      <c r="O2298" t="s">
        <v>86</v>
      </c>
      <c r="P2298" t="s">
        <v>53</v>
      </c>
      <c r="Q2298" t="s">
        <v>54</v>
      </c>
      <c r="R2298" s="1">
        <v>44308.572129629632</v>
      </c>
      <c r="S2298" s="1">
        <v>44308.572164351855</v>
      </c>
      <c r="T2298">
        <v>0</v>
      </c>
      <c r="U2298">
        <v>2</v>
      </c>
      <c r="V2298" s="2">
        <v>0</v>
      </c>
      <c r="W2298">
        <v>0</v>
      </c>
      <c r="X2298" t="s">
        <v>44</v>
      </c>
      <c r="Y2298">
        <v>0</v>
      </c>
      <c r="Z2298" t="s">
        <v>44</v>
      </c>
      <c r="AA2298">
        <v>0</v>
      </c>
      <c r="AB2298" t="s">
        <v>31</v>
      </c>
      <c r="AC2298">
        <v>0</v>
      </c>
      <c r="AD2298" t="s">
        <v>31</v>
      </c>
      <c r="AE2298">
        <v>0</v>
      </c>
      <c r="AF2298" t="s">
        <v>31</v>
      </c>
      <c r="AG2298">
        <v>0</v>
      </c>
      <c r="AH2298" t="s">
        <v>31</v>
      </c>
      <c r="AI2298">
        <v>0</v>
      </c>
      <c r="AJ2298" t="s">
        <v>31</v>
      </c>
      <c r="AK2298">
        <v>0</v>
      </c>
      <c r="AL2298" t="s">
        <v>31</v>
      </c>
      <c r="AM2298">
        <v>0</v>
      </c>
      <c r="AN2298" t="s">
        <v>31</v>
      </c>
      <c r="AO2298">
        <v>0</v>
      </c>
      <c r="AP2298" t="s">
        <v>31</v>
      </c>
      <c r="AQ2298">
        <v>0</v>
      </c>
    </row>
    <row r="2299" spans="1:43" x14ac:dyDescent="0.2">
      <c r="A2299" t="s">
        <v>381</v>
      </c>
      <c r="B2299" s="3">
        <v>44313</v>
      </c>
      <c r="C2299">
        <v>74</v>
      </c>
      <c r="D2299" t="s">
        <v>383</v>
      </c>
      <c r="E2299" t="s">
        <v>127</v>
      </c>
      <c r="F2299" s="9" t="s">
        <v>140</v>
      </c>
      <c r="G2299" t="s">
        <v>26</v>
      </c>
      <c r="H2299" t="s">
        <v>85</v>
      </c>
      <c r="I2299" t="s">
        <v>86</v>
      </c>
      <c r="J2299" t="s">
        <v>53</v>
      </c>
      <c r="K2299" t="s">
        <v>54</v>
      </c>
      <c r="L2299" t="s">
        <v>53</v>
      </c>
      <c r="M2299" t="s">
        <v>54</v>
      </c>
      <c r="N2299" t="s">
        <v>85</v>
      </c>
      <c r="O2299" t="s">
        <v>86</v>
      </c>
      <c r="P2299" t="s">
        <v>53</v>
      </c>
      <c r="Q2299" t="s">
        <v>54</v>
      </c>
      <c r="R2299" s="1">
        <v>44313.46775462963</v>
      </c>
      <c r="S2299" s="1">
        <v>44313.46775462963</v>
      </c>
      <c r="T2299">
        <v>1</v>
      </c>
      <c r="U2299">
        <v>1</v>
      </c>
      <c r="V2299" s="2">
        <v>1</v>
      </c>
      <c r="W2299">
        <v>1</v>
      </c>
      <c r="X2299" t="s">
        <v>54</v>
      </c>
      <c r="Y2299">
        <v>1</v>
      </c>
      <c r="Z2299" t="s">
        <v>31</v>
      </c>
      <c r="AA2299">
        <v>0</v>
      </c>
      <c r="AB2299" t="s">
        <v>31</v>
      </c>
      <c r="AC2299">
        <v>0</v>
      </c>
      <c r="AD2299" t="s">
        <v>31</v>
      </c>
      <c r="AE2299">
        <v>0</v>
      </c>
      <c r="AF2299" t="s">
        <v>31</v>
      </c>
      <c r="AG2299">
        <v>0</v>
      </c>
      <c r="AH2299" t="s">
        <v>31</v>
      </c>
      <c r="AI2299">
        <v>0</v>
      </c>
      <c r="AJ2299" t="s">
        <v>31</v>
      </c>
      <c r="AK2299">
        <v>0</v>
      </c>
      <c r="AL2299" t="s">
        <v>31</v>
      </c>
      <c r="AM2299">
        <v>0</v>
      </c>
      <c r="AN2299" t="s">
        <v>31</v>
      </c>
      <c r="AO2299">
        <v>0</v>
      </c>
      <c r="AP2299" t="s">
        <v>31</v>
      </c>
      <c r="AQ2299">
        <v>0</v>
      </c>
    </row>
    <row r="2300" spans="1:43" x14ac:dyDescent="0.2">
      <c r="A2300" t="s">
        <v>381</v>
      </c>
      <c r="B2300" s="3">
        <v>44314</v>
      </c>
      <c r="C2300">
        <v>77</v>
      </c>
      <c r="D2300" t="s">
        <v>403</v>
      </c>
      <c r="E2300" t="s">
        <v>127</v>
      </c>
      <c r="F2300" s="9" t="s">
        <v>140</v>
      </c>
      <c r="G2300" t="s">
        <v>26</v>
      </c>
      <c r="H2300" t="s">
        <v>85</v>
      </c>
      <c r="I2300" t="s">
        <v>86</v>
      </c>
      <c r="J2300" t="s">
        <v>53</v>
      </c>
      <c r="K2300" t="s">
        <v>54</v>
      </c>
      <c r="L2300" t="s">
        <v>53</v>
      </c>
      <c r="M2300" t="s">
        <v>54</v>
      </c>
      <c r="N2300" t="s">
        <v>85</v>
      </c>
      <c r="O2300" t="s">
        <v>86</v>
      </c>
      <c r="P2300" t="s">
        <v>53</v>
      </c>
      <c r="Q2300" t="s">
        <v>54</v>
      </c>
      <c r="R2300" s="1">
        <v>44314.454444444447</v>
      </c>
      <c r="S2300" s="1">
        <v>44314.454444444447</v>
      </c>
      <c r="T2300">
        <v>0</v>
      </c>
      <c r="U2300">
        <v>1</v>
      </c>
      <c r="V2300" s="2">
        <v>0</v>
      </c>
      <c r="W2300">
        <v>0</v>
      </c>
      <c r="X2300" t="s">
        <v>44</v>
      </c>
      <c r="Y2300">
        <v>0</v>
      </c>
      <c r="Z2300" t="s">
        <v>31</v>
      </c>
      <c r="AA2300">
        <v>0</v>
      </c>
      <c r="AB2300" t="s">
        <v>31</v>
      </c>
      <c r="AC2300">
        <v>0</v>
      </c>
      <c r="AD2300" t="s">
        <v>31</v>
      </c>
      <c r="AE2300">
        <v>0</v>
      </c>
      <c r="AF2300" t="s">
        <v>31</v>
      </c>
      <c r="AG2300">
        <v>0</v>
      </c>
      <c r="AH2300" t="s">
        <v>31</v>
      </c>
      <c r="AI2300">
        <v>0</v>
      </c>
      <c r="AJ2300" t="s">
        <v>31</v>
      </c>
      <c r="AK2300">
        <v>0</v>
      </c>
      <c r="AL2300" t="s">
        <v>31</v>
      </c>
      <c r="AM2300">
        <v>0</v>
      </c>
      <c r="AN2300" t="s">
        <v>31</v>
      </c>
      <c r="AO2300">
        <v>0</v>
      </c>
      <c r="AP2300" t="s">
        <v>31</v>
      </c>
      <c r="AQ2300">
        <v>0</v>
      </c>
    </row>
    <row r="2301" spans="1:43" x14ac:dyDescent="0.2">
      <c r="A2301" t="s">
        <v>381</v>
      </c>
      <c r="B2301" s="3">
        <v>44316</v>
      </c>
      <c r="C2301">
        <v>83</v>
      </c>
      <c r="D2301" t="s">
        <v>387</v>
      </c>
      <c r="E2301" t="s">
        <v>127</v>
      </c>
      <c r="F2301" s="9" t="s">
        <v>140</v>
      </c>
      <c r="G2301" t="s">
        <v>26</v>
      </c>
      <c r="H2301" t="s">
        <v>85</v>
      </c>
      <c r="I2301" t="s">
        <v>86</v>
      </c>
      <c r="J2301" t="s">
        <v>53</v>
      </c>
      <c r="K2301" t="s">
        <v>54</v>
      </c>
      <c r="L2301" t="s">
        <v>53</v>
      </c>
      <c r="M2301" t="s">
        <v>54</v>
      </c>
      <c r="N2301" t="s">
        <v>85</v>
      </c>
      <c r="O2301" t="s">
        <v>86</v>
      </c>
      <c r="P2301" t="s">
        <v>53</v>
      </c>
      <c r="Q2301" t="s">
        <v>54</v>
      </c>
      <c r="R2301" s="1">
        <v>44316.567754629628</v>
      </c>
      <c r="S2301" s="1">
        <v>44316.567754629628</v>
      </c>
      <c r="T2301">
        <v>0</v>
      </c>
      <c r="U2301">
        <v>1</v>
      </c>
      <c r="V2301" s="2">
        <v>0</v>
      </c>
      <c r="W2301">
        <v>0</v>
      </c>
      <c r="X2301" t="s">
        <v>44</v>
      </c>
      <c r="Y2301">
        <v>0</v>
      </c>
      <c r="Z2301" t="s">
        <v>31</v>
      </c>
      <c r="AA2301">
        <v>0</v>
      </c>
      <c r="AB2301" t="s">
        <v>31</v>
      </c>
      <c r="AC2301">
        <v>0</v>
      </c>
      <c r="AD2301" t="s">
        <v>31</v>
      </c>
      <c r="AE2301">
        <v>0</v>
      </c>
      <c r="AF2301" t="s">
        <v>31</v>
      </c>
      <c r="AG2301">
        <v>0</v>
      </c>
      <c r="AH2301" t="s">
        <v>31</v>
      </c>
      <c r="AI2301">
        <v>0</v>
      </c>
      <c r="AJ2301" t="s">
        <v>31</v>
      </c>
      <c r="AK2301">
        <v>0</v>
      </c>
      <c r="AL2301" t="s">
        <v>31</v>
      </c>
      <c r="AM2301">
        <v>0</v>
      </c>
      <c r="AN2301" t="s">
        <v>31</v>
      </c>
      <c r="AO2301">
        <v>0</v>
      </c>
      <c r="AP2301" t="s">
        <v>31</v>
      </c>
      <c r="AQ2301">
        <v>0</v>
      </c>
    </row>
    <row r="2302" spans="1:43" x14ac:dyDescent="0.2">
      <c r="A2302" t="s">
        <v>381</v>
      </c>
      <c r="B2302" s="3">
        <v>44319</v>
      </c>
      <c r="C2302">
        <v>84</v>
      </c>
      <c r="D2302" t="s">
        <v>390</v>
      </c>
      <c r="E2302" t="s">
        <v>127</v>
      </c>
      <c r="F2302" s="9" t="s">
        <v>140</v>
      </c>
      <c r="G2302" t="s">
        <v>26</v>
      </c>
      <c r="H2302" t="s">
        <v>85</v>
      </c>
      <c r="I2302" t="s">
        <v>86</v>
      </c>
      <c r="J2302" t="s">
        <v>53</v>
      </c>
      <c r="K2302" t="s">
        <v>54</v>
      </c>
      <c r="L2302" t="s">
        <v>53</v>
      </c>
      <c r="M2302" t="s">
        <v>54</v>
      </c>
      <c r="N2302" t="s">
        <v>85</v>
      </c>
      <c r="O2302" t="s">
        <v>86</v>
      </c>
      <c r="P2302" t="s">
        <v>53</v>
      </c>
      <c r="Q2302" t="s">
        <v>54</v>
      </c>
      <c r="R2302" s="1">
        <v>44319.480671296296</v>
      </c>
      <c r="S2302" s="1">
        <v>44319.480671296296</v>
      </c>
      <c r="T2302">
        <v>0</v>
      </c>
      <c r="U2302">
        <v>1</v>
      </c>
      <c r="V2302" s="2">
        <v>0</v>
      </c>
      <c r="W2302">
        <v>0</v>
      </c>
      <c r="X2302" t="s">
        <v>44</v>
      </c>
      <c r="Y2302">
        <v>0</v>
      </c>
      <c r="Z2302" t="s">
        <v>31</v>
      </c>
      <c r="AA2302">
        <v>0</v>
      </c>
      <c r="AB2302" t="s">
        <v>31</v>
      </c>
      <c r="AC2302">
        <v>0</v>
      </c>
      <c r="AD2302" t="s">
        <v>31</v>
      </c>
      <c r="AE2302">
        <v>0</v>
      </c>
      <c r="AF2302" t="s">
        <v>31</v>
      </c>
      <c r="AG2302">
        <v>0</v>
      </c>
      <c r="AH2302" t="s">
        <v>31</v>
      </c>
      <c r="AI2302">
        <v>0</v>
      </c>
      <c r="AJ2302" t="s">
        <v>31</v>
      </c>
      <c r="AK2302">
        <v>0</v>
      </c>
      <c r="AL2302" t="s">
        <v>31</v>
      </c>
      <c r="AM2302">
        <v>0</v>
      </c>
      <c r="AN2302" t="s">
        <v>31</v>
      </c>
      <c r="AO2302">
        <v>0</v>
      </c>
      <c r="AP2302" t="s">
        <v>31</v>
      </c>
      <c r="AQ2302">
        <v>0</v>
      </c>
    </row>
    <row r="2303" spans="1:43" x14ac:dyDescent="0.2">
      <c r="A2303" t="s">
        <v>381</v>
      </c>
      <c r="B2303" s="3">
        <v>44321</v>
      </c>
      <c r="C2303">
        <v>89</v>
      </c>
      <c r="D2303" t="s">
        <v>387</v>
      </c>
      <c r="E2303" t="s">
        <v>127</v>
      </c>
      <c r="F2303" s="9" t="s">
        <v>140</v>
      </c>
      <c r="G2303" t="s">
        <v>26</v>
      </c>
      <c r="H2303" t="s">
        <v>85</v>
      </c>
      <c r="I2303" t="s">
        <v>86</v>
      </c>
      <c r="J2303" t="s">
        <v>53</v>
      </c>
      <c r="K2303" t="s">
        <v>54</v>
      </c>
      <c r="L2303" t="s">
        <v>53</v>
      </c>
      <c r="M2303" t="s">
        <v>54</v>
      </c>
      <c r="N2303" t="s">
        <v>85</v>
      </c>
      <c r="O2303" t="s">
        <v>86</v>
      </c>
      <c r="P2303" t="s">
        <v>53</v>
      </c>
      <c r="Q2303" t="s">
        <v>54</v>
      </c>
      <c r="R2303" s="1">
        <v>44321.535439814812</v>
      </c>
      <c r="S2303" s="1">
        <v>44321.535439814812</v>
      </c>
      <c r="T2303">
        <v>0</v>
      </c>
      <c r="U2303">
        <v>1</v>
      </c>
      <c r="V2303" s="2">
        <v>0</v>
      </c>
      <c r="W2303">
        <v>0</v>
      </c>
      <c r="X2303" t="s">
        <v>44</v>
      </c>
      <c r="Y2303">
        <v>0</v>
      </c>
      <c r="Z2303" t="s">
        <v>31</v>
      </c>
      <c r="AA2303">
        <v>0</v>
      </c>
      <c r="AB2303" t="s">
        <v>31</v>
      </c>
      <c r="AC2303">
        <v>0</v>
      </c>
      <c r="AD2303" t="s">
        <v>31</v>
      </c>
      <c r="AE2303">
        <v>0</v>
      </c>
      <c r="AF2303" t="s">
        <v>31</v>
      </c>
      <c r="AG2303">
        <v>0</v>
      </c>
      <c r="AH2303" t="s">
        <v>31</v>
      </c>
      <c r="AI2303">
        <v>0</v>
      </c>
      <c r="AJ2303" t="s">
        <v>31</v>
      </c>
      <c r="AK2303">
        <v>0</v>
      </c>
      <c r="AL2303" t="s">
        <v>31</v>
      </c>
      <c r="AM2303">
        <v>0</v>
      </c>
      <c r="AN2303" t="s">
        <v>31</v>
      </c>
      <c r="AO2303">
        <v>0</v>
      </c>
      <c r="AP2303" t="s">
        <v>31</v>
      </c>
      <c r="AQ2303">
        <v>0</v>
      </c>
    </row>
    <row r="2304" spans="1:43" x14ac:dyDescent="0.2">
      <c r="A2304" t="s">
        <v>381</v>
      </c>
      <c r="B2304" s="3">
        <v>44327</v>
      </c>
      <c r="C2304">
        <v>94</v>
      </c>
      <c r="D2304" t="s">
        <v>384</v>
      </c>
      <c r="E2304" t="s">
        <v>127</v>
      </c>
      <c r="F2304" s="9" t="s">
        <v>140</v>
      </c>
      <c r="G2304" t="s">
        <v>26</v>
      </c>
      <c r="H2304" t="s">
        <v>85</v>
      </c>
      <c r="I2304" t="s">
        <v>86</v>
      </c>
      <c r="J2304" t="s">
        <v>53</v>
      </c>
      <c r="K2304" t="s">
        <v>54</v>
      </c>
      <c r="L2304" t="s">
        <v>53</v>
      </c>
      <c r="M2304" t="s">
        <v>54</v>
      </c>
      <c r="N2304" t="s">
        <v>85</v>
      </c>
      <c r="O2304" t="s">
        <v>86</v>
      </c>
      <c r="P2304" t="s">
        <v>53</v>
      </c>
      <c r="Q2304" t="s">
        <v>54</v>
      </c>
      <c r="R2304" s="1">
        <v>44327.454131944447</v>
      </c>
      <c r="S2304" s="1">
        <v>44327.454131944447</v>
      </c>
      <c r="T2304">
        <v>0</v>
      </c>
      <c r="U2304">
        <v>1</v>
      </c>
      <c r="V2304" s="2">
        <v>0</v>
      </c>
      <c r="W2304">
        <v>0</v>
      </c>
      <c r="X2304" t="s">
        <v>44</v>
      </c>
      <c r="Y2304">
        <v>0</v>
      </c>
      <c r="Z2304" t="s">
        <v>31</v>
      </c>
      <c r="AA2304">
        <v>0</v>
      </c>
      <c r="AB2304" t="s">
        <v>31</v>
      </c>
      <c r="AC2304">
        <v>0</v>
      </c>
      <c r="AD2304" t="s">
        <v>31</v>
      </c>
      <c r="AE2304">
        <v>0</v>
      </c>
      <c r="AF2304" t="s">
        <v>31</v>
      </c>
      <c r="AG2304">
        <v>0</v>
      </c>
      <c r="AH2304" t="s">
        <v>31</v>
      </c>
      <c r="AI2304">
        <v>0</v>
      </c>
      <c r="AJ2304" t="s">
        <v>31</v>
      </c>
      <c r="AK2304">
        <v>0</v>
      </c>
      <c r="AL2304" t="s">
        <v>31</v>
      </c>
      <c r="AM2304">
        <v>0</v>
      </c>
      <c r="AN2304" t="s">
        <v>31</v>
      </c>
      <c r="AO2304">
        <v>0</v>
      </c>
      <c r="AP2304" t="s">
        <v>31</v>
      </c>
      <c r="AQ2304">
        <v>0</v>
      </c>
    </row>
    <row r="2305" spans="1:43" x14ac:dyDescent="0.2">
      <c r="A2305" t="s">
        <v>381</v>
      </c>
      <c r="B2305" s="3">
        <v>44328</v>
      </c>
      <c r="C2305">
        <v>97</v>
      </c>
      <c r="D2305" t="s">
        <v>387</v>
      </c>
      <c r="E2305" t="s">
        <v>127</v>
      </c>
      <c r="F2305" s="9" t="s">
        <v>140</v>
      </c>
      <c r="G2305" t="s">
        <v>26</v>
      </c>
      <c r="H2305" t="s">
        <v>85</v>
      </c>
      <c r="I2305" t="s">
        <v>86</v>
      </c>
      <c r="J2305" t="s">
        <v>53</v>
      </c>
      <c r="K2305" t="s">
        <v>54</v>
      </c>
      <c r="L2305" t="s">
        <v>53</v>
      </c>
      <c r="M2305" t="s">
        <v>54</v>
      </c>
      <c r="N2305" t="s">
        <v>85</v>
      </c>
      <c r="O2305" t="s">
        <v>86</v>
      </c>
      <c r="P2305" t="s">
        <v>53</v>
      </c>
      <c r="Q2305" t="s">
        <v>54</v>
      </c>
      <c r="R2305" s="1">
        <v>44328.551296296297</v>
      </c>
      <c r="S2305" s="1">
        <v>44328.551296296297</v>
      </c>
      <c r="T2305">
        <v>0</v>
      </c>
      <c r="U2305">
        <v>1</v>
      </c>
      <c r="V2305" s="2">
        <v>0</v>
      </c>
      <c r="W2305">
        <v>0</v>
      </c>
      <c r="X2305" t="s">
        <v>44</v>
      </c>
      <c r="Y2305">
        <v>0</v>
      </c>
      <c r="Z2305" t="s">
        <v>31</v>
      </c>
      <c r="AA2305">
        <v>0</v>
      </c>
      <c r="AB2305" t="s">
        <v>31</v>
      </c>
      <c r="AC2305">
        <v>0</v>
      </c>
      <c r="AD2305" t="s">
        <v>31</v>
      </c>
      <c r="AE2305">
        <v>0</v>
      </c>
      <c r="AF2305" t="s">
        <v>31</v>
      </c>
      <c r="AG2305">
        <v>0</v>
      </c>
      <c r="AH2305" t="s">
        <v>31</v>
      </c>
      <c r="AI2305">
        <v>0</v>
      </c>
      <c r="AJ2305" t="s">
        <v>31</v>
      </c>
      <c r="AK2305">
        <v>0</v>
      </c>
      <c r="AL2305" t="s">
        <v>31</v>
      </c>
      <c r="AM2305">
        <v>0</v>
      </c>
      <c r="AN2305" t="s">
        <v>31</v>
      </c>
      <c r="AO2305">
        <v>0</v>
      </c>
      <c r="AP2305" t="s">
        <v>31</v>
      </c>
      <c r="AQ2305">
        <v>0</v>
      </c>
    </row>
    <row r="2306" spans="1:43" x14ac:dyDescent="0.2">
      <c r="A2306" t="s">
        <v>381</v>
      </c>
      <c r="B2306" s="3">
        <v>44334</v>
      </c>
      <c r="C2306">
        <v>98</v>
      </c>
      <c r="D2306" t="s">
        <v>383</v>
      </c>
      <c r="E2306" t="s">
        <v>127</v>
      </c>
      <c r="F2306" s="9" t="s">
        <v>140</v>
      </c>
      <c r="G2306" t="s">
        <v>26</v>
      </c>
      <c r="H2306" t="s">
        <v>85</v>
      </c>
      <c r="I2306" t="s">
        <v>86</v>
      </c>
      <c r="J2306" t="s">
        <v>53</v>
      </c>
      <c r="K2306" t="s">
        <v>54</v>
      </c>
      <c r="L2306" t="s">
        <v>53</v>
      </c>
      <c r="M2306" t="s">
        <v>54</v>
      </c>
      <c r="N2306" t="s">
        <v>85</v>
      </c>
      <c r="O2306" t="s">
        <v>86</v>
      </c>
      <c r="P2306" t="s">
        <v>53</v>
      </c>
      <c r="Q2306" t="s">
        <v>54</v>
      </c>
      <c r="R2306" s="1">
        <v>44334.481620370374</v>
      </c>
      <c r="S2306" s="1">
        <v>44334.481620370374</v>
      </c>
      <c r="T2306">
        <v>0</v>
      </c>
      <c r="U2306">
        <v>1</v>
      </c>
      <c r="V2306" s="2">
        <v>0</v>
      </c>
      <c r="W2306">
        <v>0</v>
      </c>
      <c r="X2306" t="s">
        <v>44</v>
      </c>
      <c r="Y2306">
        <v>0</v>
      </c>
      <c r="Z2306" t="s">
        <v>31</v>
      </c>
      <c r="AA2306">
        <v>0</v>
      </c>
      <c r="AB2306" t="s">
        <v>31</v>
      </c>
      <c r="AC2306">
        <v>0</v>
      </c>
      <c r="AD2306" t="s">
        <v>31</v>
      </c>
      <c r="AE2306">
        <v>0</v>
      </c>
      <c r="AF2306" t="s">
        <v>31</v>
      </c>
      <c r="AG2306">
        <v>0</v>
      </c>
      <c r="AH2306" t="s">
        <v>31</v>
      </c>
      <c r="AI2306">
        <v>0</v>
      </c>
      <c r="AJ2306" t="s">
        <v>31</v>
      </c>
      <c r="AK2306">
        <v>0</v>
      </c>
      <c r="AL2306" t="s">
        <v>31</v>
      </c>
      <c r="AM2306">
        <v>0</v>
      </c>
      <c r="AN2306" t="s">
        <v>31</v>
      </c>
      <c r="AO2306">
        <v>0</v>
      </c>
      <c r="AP2306" t="s">
        <v>31</v>
      </c>
      <c r="AQ2306">
        <v>0</v>
      </c>
    </row>
    <row r="2307" spans="1:43" x14ac:dyDescent="0.2">
      <c r="A2307" t="s">
        <v>381</v>
      </c>
      <c r="B2307" s="3">
        <v>44337</v>
      </c>
      <c r="C2307">
        <v>105</v>
      </c>
      <c r="D2307" t="s">
        <v>405</v>
      </c>
      <c r="E2307" t="s">
        <v>127</v>
      </c>
      <c r="F2307" s="9" t="s">
        <v>140</v>
      </c>
      <c r="G2307" t="s">
        <v>26</v>
      </c>
      <c r="H2307" t="s">
        <v>85</v>
      </c>
      <c r="I2307" t="s">
        <v>86</v>
      </c>
      <c r="J2307" t="s">
        <v>53</v>
      </c>
      <c r="K2307" t="s">
        <v>54</v>
      </c>
      <c r="L2307" t="s">
        <v>53</v>
      </c>
      <c r="M2307" t="s">
        <v>54</v>
      </c>
      <c r="N2307" t="s">
        <v>85</v>
      </c>
      <c r="O2307" t="s">
        <v>86</v>
      </c>
      <c r="P2307" t="s">
        <v>53</v>
      </c>
      <c r="Q2307" t="s">
        <v>54</v>
      </c>
      <c r="R2307" s="1">
        <v>44337.629027777781</v>
      </c>
      <c r="S2307" s="1">
        <v>44337.629027777781</v>
      </c>
      <c r="T2307">
        <v>1</v>
      </c>
      <c r="U2307">
        <v>1</v>
      </c>
      <c r="V2307" s="2">
        <v>1</v>
      </c>
      <c r="W2307">
        <v>1</v>
      </c>
      <c r="X2307" t="s">
        <v>54</v>
      </c>
      <c r="Y2307">
        <v>1</v>
      </c>
      <c r="Z2307" t="s">
        <v>31</v>
      </c>
      <c r="AA2307">
        <v>0</v>
      </c>
      <c r="AB2307" t="s">
        <v>31</v>
      </c>
      <c r="AC2307">
        <v>0</v>
      </c>
      <c r="AD2307" t="s">
        <v>31</v>
      </c>
      <c r="AE2307">
        <v>0</v>
      </c>
      <c r="AF2307" t="s">
        <v>31</v>
      </c>
      <c r="AG2307">
        <v>0</v>
      </c>
      <c r="AH2307" t="s">
        <v>31</v>
      </c>
      <c r="AI2307">
        <v>0</v>
      </c>
      <c r="AJ2307" t="s">
        <v>31</v>
      </c>
      <c r="AK2307">
        <v>0</v>
      </c>
      <c r="AL2307" t="s">
        <v>31</v>
      </c>
      <c r="AM2307">
        <v>0</v>
      </c>
      <c r="AN2307" t="s">
        <v>31</v>
      </c>
      <c r="AO2307">
        <v>0</v>
      </c>
      <c r="AP2307" t="s">
        <v>31</v>
      </c>
      <c r="AQ2307">
        <v>0</v>
      </c>
    </row>
    <row r="2308" spans="1:43" x14ac:dyDescent="0.2">
      <c r="A2308" t="s">
        <v>381</v>
      </c>
      <c r="B2308" s="3">
        <v>44340</v>
      </c>
      <c r="C2308">
        <v>109</v>
      </c>
      <c r="D2308" t="s">
        <v>383</v>
      </c>
      <c r="E2308" t="s">
        <v>127</v>
      </c>
      <c r="F2308" s="9" t="s">
        <v>140</v>
      </c>
      <c r="G2308" t="s">
        <v>26</v>
      </c>
      <c r="H2308" t="s">
        <v>85</v>
      </c>
      <c r="I2308" t="s">
        <v>86</v>
      </c>
      <c r="J2308" t="s">
        <v>53</v>
      </c>
      <c r="K2308" t="s">
        <v>54</v>
      </c>
      <c r="L2308" t="s">
        <v>53</v>
      </c>
      <c r="M2308" t="s">
        <v>54</v>
      </c>
      <c r="N2308" t="s">
        <v>85</v>
      </c>
      <c r="O2308" t="s">
        <v>86</v>
      </c>
      <c r="P2308" t="s">
        <v>53</v>
      </c>
      <c r="Q2308" t="s">
        <v>54</v>
      </c>
      <c r="R2308" s="1">
        <v>44340.621192129627</v>
      </c>
      <c r="S2308" s="1">
        <v>44340.621203703704</v>
      </c>
      <c r="T2308">
        <v>0</v>
      </c>
      <c r="U2308">
        <v>3</v>
      </c>
      <c r="V2308" s="2">
        <v>0</v>
      </c>
      <c r="W2308">
        <v>0</v>
      </c>
      <c r="X2308" t="s">
        <v>44</v>
      </c>
      <c r="Y2308">
        <v>0</v>
      </c>
      <c r="Z2308" t="s">
        <v>44</v>
      </c>
      <c r="AA2308">
        <v>0</v>
      </c>
      <c r="AB2308" t="s">
        <v>44</v>
      </c>
      <c r="AC2308">
        <v>0</v>
      </c>
      <c r="AD2308" t="s">
        <v>31</v>
      </c>
      <c r="AE2308">
        <v>0</v>
      </c>
      <c r="AF2308" t="s">
        <v>31</v>
      </c>
      <c r="AG2308">
        <v>0</v>
      </c>
      <c r="AH2308" t="s">
        <v>31</v>
      </c>
      <c r="AI2308">
        <v>0</v>
      </c>
      <c r="AJ2308" t="s">
        <v>31</v>
      </c>
      <c r="AK2308">
        <v>0</v>
      </c>
      <c r="AL2308" t="s">
        <v>31</v>
      </c>
      <c r="AM2308">
        <v>0</v>
      </c>
      <c r="AN2308" t="s">
        <v>31</v>
      </c>
      <c r="AO2308">
        <v>0</v>
      </c>
      <c r="AP2308" t="s">
        <v>31</v>
      </c>
      <c r="AQ2308">
        <v>0</v>
      </c>
    </row>
    <row r="2309" spans="1:43" x14ac:dyDescent="0.2">
      <c r="A2309" t="s">
        <v>381</v>
      </c>
      <c r="B2309" s="3">
        <v>44351</v>
      </c>
      <c r="C2309">
        <v>125</v>
      </c>
      <c r="D2309" t="s">
        <v>387</v>
      </c>
      <c r="E2309" t="s">
        <v>127</v>
      </c>
      <c r="F2309" s="9" t="s">
        <v>140</v>
      </c>
      <c r="G2309" t="s">
        <v>26</v>
      </c>
      <c r="H2309" t="s">
        <v>85</v>
      </c>
      <c r="I2309" t="s">
        <v>86</v>
      </c>
      <c r="J2309" t="s">
        <v>53</v>
      </c>
      <c r="K2309" t="s">
        <v>54</v>
      </c>
      <c r="L2309" t="s">
        <v>53</v>
      </c>
      <c r="M2309" t="s">
        <v>54</v>
      </c>
      <c r="N2309" t="s">
        <v>85</v>
      </c>
      <c r="O2309" t="s">
        <v>86</v>
      </c>
      <c r="P2309" t="s">
        <v>53</v>
      </c>
      <c r="Q2309" t="s">
        <v>54</v>
      </c>
      <c r="R2309" s="1">
        <v>44351.539189814815</v>
      </c>
      <c r="S2309" s="1">
        <v>44351.539189814815</v>
      </c>
      <c r="T2309">
        <v>0</v>
      </c>
      <c r="U2309">
        <v>1</v>
      </c>
      <c r="V2309" s="2">
        <v>0</v>
      </c>
      <c r="W2309">
        <v>0</v>
      </c>
      <c r="X2309" t="s">
        <v>44</v>
      </c>
      <c r="Y2309">
        <v>0</v>
      </c>
      <c r="Z2309" t="s">
        <v>31</v>
      </c>
      <c r="AA2309">
        <v>0</v>
      </c>
      <c r="AB2309" t="s">
        <v>31</v>
      </c>
      <c r="AC2309">
        <v>0</v>
      </c>
      <c r="AD2309" t="s">
        <v>31</v>
      </c>
      <c r="AE2309">
        <v>0</v>
      </c>
      <c r="AF2309" t="s">
        <v>31</v>
      </c>
      <c r="AG2309">
        <v>0</v>
      </c>
      <c r="AH2309" t="s">
        <v>31</v>
      </c>
      <c r="AI2309">
        <v>0</v>
      </c>
      <c r="AJ2309" t="s">
        <v>31</v>
      </c>
      <c r="AK2309">
        <v>0</v>
      </c>
      <c r="AL2309" t="s">
        <v>31</v>
      </c>
      <c r="AM2309">
        <v>0</v>
      </c>
      <c r="AN2309" t="s">
        <v>31</v>
      </c>
      <c r="AO2309">
        <v>0</v>
      </c>
      <c r="AP2309" t="s">
        <v>31</v>
      </c>
      <c r="AQ2309">
        <v>0</v>
      </c>
    </row>
    <row r="2310" spans="1:43" x14ac:dyDescent="0.2">
      <c r="A2310" t="s">
        <v>381</v>
      </c>
      <c r="B2310" s="3">
        <v>44354</v>
      </c>
      <c r="C2310">
        <v>127</v>
      </c>
      <c r="D2310" t="s">
        <v>383</v>
      </c>
      <c r="E2310" t="s">
        <v>127</v>
      </c>
      <c r="F2310" s="9" t="s">
        <v>140</v>
      </c>
      <c r="G2310" t="s">
        <v>26</v>
      </c>
      <c r="H2310" t="s">
        <v>85</v>
      </c>
      <c r="I2310" t="s">
        <v>86</v>
      </c>
      <c r="J2310" t="s">
        <v>53</v>
      </c>
      <c r="K2310" t="s">
        <v>54</v>
      </c>
      <c r="L2310" t="s">
        <v>53</v>
      </c>
      <c r="M2310" t="s">
        <v>54</v>
      </c>
      <c r="N2310" t="s">
        <v>85</v>
      </c>
      <c r="O2310" t="s">
        <v>86</v>
      </c>
      <c r="P2310" t="s">
        <v>53</v>
      </c>
      <c r="Q2310" t="s">
        <v>54</v>
      </c>
      <c r="R2310" s="1">
        <v>44354.629988425928</v>
      </c>
      <c r="S2310" s="1">
        <v>44354.629988425928</v>
      </c>
      <c r="T2310">
        <v>0</v>
      </c>
      <c r="U2310">
        <v>1</v>
      </c>
      <c r="V2310" s="2">
        <v>0</v>
      </c>
      <c r="W2310">
        <v>0</v>
      </c>
      <c r="X2310" t="s">
        <v>44</v>
      </c>
      <c r="Y2310">
        <v>0</v>
      </c>
      <c r="Z2310" t="s">
        <v>31</v>
      </c>
      <c r="AA2310">
        <v>0</v>
      </c>
      <c r="AB2310" t="s">
        <v>31</v>
      </c>
      <c r="AC2310">
        <v>0</v>
      </c>
      <c r="AD2310" t="s">
        <v>31</v>
      </c>
      <c r="AE2310">
        <v>0</v>
      </c>
      <c r="AF2310" t="s">
        <v>31</v>
      </c>
      <c r="AG2310">
        <v>0</v>
      </c>
      <c r="AH2310" t="s">
        <v>31</v>
      </c>
      <c r="AI2310">
        <v>0</v>
      </c>
      <c r="AJ2310" t="s">
        <v>31</v>
      </c>
      <c r="AK2310">
        <v>0</v>
      </c>
      <c r="AL2310" t="s">
        <v>31</v>
      </c>
      <c r="AM2310">
        <v>0</v>
      </c>
      <c r="AN2310" t="s">
        <v>31</v>
      </c>
      <c r="AO2310">
        <v>0</v>
      </c>
      <c r="AP2310" t="s">
        <v>31</v>
      </c>
      <c r="AQ2310">
        <v>0</v>
      </c>
    </row>
    <row r="2311" spans="1:43" x14ac:dyDescent="0.2">
      <c r="A2311" t="s">
        <v>381</v>
      </c>
      <c r="B2311" s="3">
        <v>44356</v>
      </c>
      <c r="C2311">
        <v>131</v>
      </c>
      <c r="D2311" t="s">
        <v>383</v>
      </c>
      <c r="E2311" t="s">
        <v>127</v>
      </c>
      <c r="F2311" s="9" t="s">
        <v>140</v>
      </c>
      <c r="G2311" t="s">
        <v>26</v>
      </c>
      <c r="H2311" t="s">
        <v>85</v>
      </c>
      <c r="I2311" t="s">
        <v>86</v>
      </c>
      <c r="J2311" t="s">
        <v>53</v>
      </c>
      <c r="K2311" t="s">
        <v>54</v>
      </c>
      <c r="L2311" t="s">
        <v>53</v>
      </c>
      <c r="M2311" t="s">
        <v>54</v>
      </c>
      <c r="N2311" t="s">
        <v>85</v>
      </c>
      <c r="O2311" t="s">
        <v>86</v>
      </c>
      <c r="P2311" t="s">
        <v>53</v>
      </c>
      <c r="Q2311" t="s">
        <v>54</v>
      </c>
      <c r="R2311" s="1">
        <v>44356.554780092592</v>
      </c>
      <c r="S2311" s="1">
        <v>44356.554780092592</v>
      </c>
      <c r="T2311">
        <v>1</v>
      </c>
      <c r="U2311">
        <v>1</v>
      </c>
      <c r="V2311" s="2">
        <v>1</v>
      </c>
      <c r="W2311">
        <v>1</v>
      </c>
      <c r="X2311" t="s">
        <v>54</v>
      </c>
      <c r="Y2311">
        <v>1</v>
      </c>
      <c r="Z2311" t="s">
        <v>31</v>
      </c>
      <c r="AA2311">
        <v>0</v>
      </c>
      <c r="AB2311" t="s">
        <v>31</v>
      </c>
      <c r="AC2311">
        <v>0</v>
      </c>
      <c r="AD2311" t="s">
        <v>31</v>
      </c>
      <c r="AE2311">
        <v>0</v>
      </c>
      <c r="AF2311" t="s">
        <v>31</v>
      </c>
      <c r="AG2311">
        <v>0</v>
      </c>
      <c r="AH2311" t="s">
        <v>31</v>
      </c>
      <c r="AI2311">
        <v>0</v>
      </c>
      <c r="AJ2311" t="s">
        <v>31</v>
      </c>
      <c r="AK2311">
        <v>0</v>
      </c>
      <c r="AL2311" t="s">
        <v>31</v>
      </c>
      <c r="AM2311">
        <v>0</v>
      </c>
      <c r="AN2311" t="s">
        <v>31</v>
      </c>
      <c r="AO2311">
        <v>0</v>
      </c>
      <c r="AP2311" t="s">
        <v>31</v>
      </c>
      <c r="AQ2311">
        <v>0</v>
      </c>
    </row>
    <row r="2312" spans="1:43" x14ac:dyDescent="0.2">
      <c r="A2312" t="s">
        <v>381</v>
      </c>
      <c r="B2312" s="3">
        <v>44357</v>
      </c>
      <c r="C2312">
        <v>132</v>
      </c>
      <c r="D2312" t="s">
        <v>399</v>
      </c>
      <c r="E2312" t="s">
        <v>127</v>
      </c>
      <c r="F2312" s="9" t="s">
        <v>140</v>
      </c>
      <c r="G2312" t="s">
        <v>26</v>
      </c>
      <c r="H2312" t="s">
        <v>85</v>
      </c>
      <c r="I2312" t="s">
        <v>86</v>
      </c>
      <c r="J2312" t="s">
        <v>53</v>
      </c>
      <c r="K2312" t="s">
        <v>54</v>
      </c>
      <c r="L2312" t="s">
        <v>53</v>
      </c>
      <c r="M2312" t="s">
        <v>54</v>
      </c>
      <c r="N2312" t="s">
        <v>85</v>
      </c>
      <c r="O2312" t="s">
        <v>86</v>
      </c>
      <c r="P2312" t="s">
        <v>53</v>
      </c>
      <c r="Q2312" t="s">
        <v>54</v>
      </c>
      <c r="R2312" s="1">
        <v>44357.440983796296</v>
      </c>
      <c r="S2312" s="1">
        <v>44357.440983796296</v>
      </c>
      <c r="T2312">
        <v>0</v>
      </c>
      <c r="U2312">
        <v>1</v>
      </c>
      <c r="V2312" s="2">
        <v>0</v>
      </c>
      <c r="W2312">
        <v>0</v>
      </c>
      <c r="X2312" t="s">
        <v>44</v>
      </c>
      <c r="Y2312">
        <v>0</v>
      </c>
      <c r="Z2312" t="s">
        <v>31</v>
      </c>
      <c r="AA2312">
        <v>0</v>
      </c>
      <c r="AB2312" t="s">
        <v>31</v>
      </c>
      <c r="AC2312">
        <v>0</v>
      </c>
      <c r="AD2312" t="s">
        <v>31</v>
      </c>
      <c r="AE2312">
        <v>0</v>
      </c>
      <c r="AF2312" t="s">
        <v>31</v>
      </c>
      <c r="AG2312">
        <v>0</v>
      </c>
      <c r="AH2312" t="s">
        <v>31</v>
      </c>
      <c r="AI2312">
        <v>0</v>
      </c>
      <c r="AJ2312" t="s">
        <v>31</v>
      </c>
      <c r="AK2312">
        <v>0</v>
      </c>
      <c r="AL2312" t="s">
        <v>31</v>
      </c>
      <c r="AM2312">
        <v>0</v>
      </c>
      <c r="AN2312" t="s">
        <v>31</v>
      </c>
      <c r="AO2312">
        <v>0</v>
      </c>
      <c r="AP2312" t="s">
        <v>31</v>
      </c>
      <c r="AQ2312">
        <v>0</v>
      </c>
    </row>
    <row r="2313" spans="1:43" x14ac:dyDescent="0.2">
      <c r="A2313" t="s">
        <v>381</v>
      </c>
      <c r="B2313" s="3">
        <v>44361</v>
      </c>
      <c r="C2313">
        <v>135</v>
      </c>
      <c r="D2313" t="s">
        <v>390</v>
      </c>
      <c r="E2313" t="s">
        <v>127</v>
      </c>
      <c r="F2313" s="9" t="s">
        <v>140</v>
      </c>
      <c r="G2313" t="s">
        <v>26</v>
      </c>
      <c r="H2313" t="s">
        <v>85</v>
      </c>
      <c r="I2313" t="s">
        <v>86</v>
      </c>
      <c r="J2313" t="s">
        <v>53</v>
      </c>
      <c r="K2313" t="s">
        <v>54</v>
      </c>
      <c r="L2313" t="s">
        <v>53</v>
      </c>
      <c r="M2313" t="s">
        <v>54</v>
      </c>
      <c r="N2313" t="s">
        <v>85</v>
      </c>
      <c r="O2313" t="s">
        <v>86</v>
      </c>
      <c r="P2313" t="s">
        <v>53</v>
      </c>
      <c r="Q2313" t="s">
        <v>54</v>
      </c>
      <c r="R2313" s="1">
        <v>44361.408831018518</v>
      </c>
      <c r="S2313" s="1">
        <v>44361.408831018518</v>
      </c>
      <c r="T2313">
        <v>0</v>
      </c>
      <c r="U2313">
        <v>1</v>
      </c>
      <c r="V2313" s="2">
        <v>0</v>
      </c>
      <c r="W2313">
        <v>0</v>
      </c>
      <c r="X2313" t="s">
        <v>44</v>
      </c>
      <c r="Y2313">
        <v>0</v>
      </c>
      <c r="Z2313" t="s">
        <v>31</v>
      </c>
      <c r="AA2313">
        <v>0</v>
      </c>
      <c r="AB2313" t="s">
        <v>31</v>
      </c>
      <c r="AC2313">
        <v>0</v>
      </c>
      <c r="AD2313" t="s">
        <v>31</v>
      </c>
      <c r="AE2313">
        <v>0</v>
      </c>
      <c r="AF2313" t="s">
        <v>31</v>
      </c>
      <c r="AG2313">
        <v>0</v>
      </c>
      <c r="AH2313" t="s">
        <v>31</v>
      </c>
      <c r="AI2313">
        <v>0</v>
      </c>
      <c r="AJ2313" t="s">
        <v>31</v>
      </c>
      <c r="AK2313">
        <v>0</v>
      </c>
      <c r="AL2313" t="s">
        <v>31</v>
      </c>
      <c r="AM2313">
        <v>0</v>
      </c>
      <c r="AN2313" t="s">
        <v>31</v>
      </c>
      <c r="AO2313">
        <v>0</v>
      </c>
      <c r="AP2313" t="s">
        <v>31</v>
      </c>
      <c r="AQ2313">
        <v>0</v>
      </c>
    </row>
    <row r="2314" spans="1:43" x14ac:dyDescent="0.2">
      <c r="A2314" t="s">
        <v>381</v>
      </c>
      <c r="B2314" s="3">
        <v>44365</v>
      </c>
      <c r="C2314">
        <v>139</v>
      </c>
      <c r="D2314" t="s">
        <v>400</v>
      </c>
      <c r="E2314" t="s">
        <v>127</v>
      </c>
      <c r="F2314" s="9" t="s">
        <v>140</v>
      </c>
      <c r="G2314" t="s">
        <v>26</v>
      </c>
      <c r="H2314" t="s">
        <v>85</v>
      </c>
      <c r="I2314" t="s">
        <v>86</v>
      </c>
      <c r="J2314" t="s">
        <v>53</v>
      </c>
      <c r="K2314" t="s">
        <v>54</v>
      </c>
      <c r="L2314" t="s">
        <v>53</v>
      </c>
      <c r="M2314" t="s">
        <v>54</v>
      </c>
      <c r="N2314" t="s">
        <v>85</v>
      </c>
      <c r="O2314" t="s">
        <v>86</v>
      </c>
      <c r="P2314" t="s">
        <v>53</v>
      </c>
      <c r="Q2314" t="s">
        <v>54</v>
      </c>
      <c r="R2314" s="1">
        <v>44365.409351851849</v>
      </c>
      <c r="S2314" s="1">
        <v>44365.40966435185</v>
      </c>
      <c r="T2314">
        <v>0</v>
      </c>
      <c r="U2314">
        <v>1</v>
      </c>
      <c r="V2314" s="2">
        <v>0</v>
      </c>
      <c r="W2314">
        <v>0</v>
      </c>
      <c r="X2314" t="s">
        <v>44</v>
      </c>
      <c r="Y2314">
        <v>0</v>
      </c>
      <c r="Z2314" t="s">
        <v>31</v>
      </c>
      <c r="AA2314">
        <v>0</v>
      </c>
      <c r="AB2314" t="s">
        <v>31</v>
      </c>
      <c r="AC2314">
        <v>0</v>
      </c>
      <c r="AD2314" t="s">
        <v>31</v>
      </c>
      <c r="AE2314">
        <v>0</v>
      </c>
      <c r="AF2314" t="s">
        <v>31</v>
      </c>
      <c r="AG2314">
        <v>0</v>
      </c>
      <c r="AH2314" t="s">
        <v>31</v>
      </c>
      <c r="AI2314">
        <v>0</v>
      </c>
      <c r="AJ2314" t="s">
        <v>31</v>
      </c>
      <c r="AK2314">
        <v>0</v>
      </c>
      <c r="AL2314" t="s">
        <v>31</v>
      </c>
      <c r="AM2314">
        <v>0</v>
      </c>
      <c r="AN2314" t="s">
        <v>31</v>
      </c>
      <c r="AO2314">
        <v>0</v>
      </c>
      <c r="AP2314" t="s">
        <v>31</v>
      </c>
      <c r="AQ2314">
        <v>0</v>
      </c>
    </row>
    <row r="2315" spans="1:43" x14ac:dyDescent="0.2">
      <c r="A2315" t="s">
        <v>381</v>
      </c>
      <c r="B2315" s="3">
        <v>44365</v>
      </c>
      <c r="C2315">
        <v>140</v>
      </c>
      <c r="D2315" t="s">
        <v>399</v>
      </c>
      <c r="E2315" t="s">
        <v>127</v>
      </c>
      <c r="F2315" s="9" t="s">
        <v>140</v>
      </c>
      <c r="G2315" t="s">
        <v>26</v>
      </c>
      <c r="H2315" t="s">
        <v>85</v>
      </c>
      <c r="I2315" t="s">
        <v>86</v>
      </c>
      <c r="J2315" t="s">
        <v>53</v>
      </c>
      <c r="K2315" t="s">
        <v>54</v>
      </c>
      <c r="L2315" t="s">
        <v>53</v>
      </c>
      <c r="M2315" t="s">
        <v>54</v>
      </c>
      <c r="N2315" t="s">
        <v>85</v>
      </c>
      <c r="O2315" t="s">
        <v>86</v>
      </c>
      <c r="P2315" t="s">
        <v>53</v>
      </c>
      <c r="Q2315" t="s">
        <v>54</v>
      </c>
      <c r="R2315" s="1">
        <v>44365.614004629628</v>
      </c>
      <c r="S2315" s="1">
        <v>44365.614004629628</v>
      </c>
      <c r="T2315">
        <v>0</v>
      </c>
      <c r="U2315">
        <v>1</v>
      </c>
      <c r="V2315" s="2">
        <v>0</v>
      </c>
      <c r="W2315">
        <v>0</v>
      </c>
      <c r="X2315" t="s">
        <v>44</v>
      </c>
      <c r="Y2315">
        <v>0</v>
      </c>
      <c r="Z2315" t="s">
        <v>31</v>
      </c>
      <c r="AA2315">
        <v>0</v>
      </c>
      <c r="AB2315" t="s">
        <v>31</v>
      </c>
      <c r="AC2315">
        <v>0</v>
      </c>
      <c r="AD2315" t="s">
        <v>31</v>
      </c>
      <c r="AE2315">
        <v>0</v>
      </c>
      <c r="AF2315" t="s">
        <v>31</v>
      </c>
      <c r="AG2315">
        <v>0</v>
      </c>
      <c r="AH2315" t="s">
        <v>31</v>
      </c>
      <c r="AI2315">
        <v>0</v>
      </c>
      <c r="AJ2315" t="s">
        <v>31</v>
      </c>
      <c r="AK2315">
        <v>0</v>
      </c>
      <c r="AL2315" t="s">
        <v>31</v>
      </c>
      <c r="AM2315">
        <v>0</v>
      </c>
      <c r="AN2315" t="s">
        <v>31</v>
      </c>
      <c r="AO2315">
        <v>0</v>
      </c>
      <c r="AP2315" t="s">
        <v>31</v>
      </c>
      <c r="AQ2315">
        <v>0</v>
      </c>
    </row>
    <row r="2316" spans="1:43" x14ac:dyDescent="0.2">
      <c r="A2316" t="s">
        <v>381</v>
      </c>
      <c r="B2316" s="3">
        <v>44375</v>
      </c>
      <c r="C2316">
        <v>141</v>
      </c>
      <c r="D2316" t="s">
        <v>396</v>
      </c>
      <c r="E2316" t="s">
        <v>127</v>
      </c>
      <c r="F2316" s="9" t="s">
        <v>140</v>
      </c>
      <c r="G2316" t="s">
        <v>26</v>
      </c>
      <c r="H2316" t="s">
        <v>85</v>
      </c>
      <c r="I2316" t="s">
        <v>86</v>
      </c>
      <c r="J2316" t="s">
        <v>53</v>
      </c>
      <c r="K2316" t="s">
        <v>54</v>
      </c>
      <c r="L2316" t="s">
        <v>53</v>
      </c>
      <c r="M2316" t="s">
        <v>54</v>
      </c>
      <c r="N2316" t="s">
        <v>85</v>
      </c>
      <c r="O2316" t="s">
        <v>86</v>
      </c>
      <c r="P2316" t="s">
        <v>53</v>
      </c>
      <c r="Q2316" t="s">
        <v>54</v>
      </c>
      <c r="R2316" s="1">
        <v>44375.60533564815</v>
      </c>
      <c r="S2316" s="1">
        <v>44375.60533564815</v>
      </c>
      <c r="T2316">
        <v>0</v>
      </c>
      <c r="U2316">
        <v>1</v>
      </c>
      <c r="V2316" s="2">
        <v>0</v>
      </c>
      <c r="W2316">
        <v>0</v>
      </c>
      <c r="X2316" t="s">
        <v>44</v>
      </c>
      <c r="Y2316">
        <v>0</v>
      </c>
      <c r="Z2316" t="s">
        <v>31</v>
      </c>
      <c r="AA2316">
        <v>0</v>
      </c>
      <c r="AB2316" t="s">
        <v>31</v>
      </c>
      <c r="AC2316">
        <v>0</v>
      </c>
      <c r="AD2316" t="s">
        <v>31</v>
      </c>
      <c r="AE2316">
        <v>0</v>
      </c>
      <c r="AF2316" t="s">
        <v>31</v>
      </c>
      <c r="AG2316">
        <v>0</v>
      </c>
      <c r="AH2316" t="s">
        <v>31</v>
      </c>
      <c r="AI2316">
        <v>0</v>
      </c>
      <c r="AJ2316" t="s">
        <v>31</v>
      </c>
      <c r="AK2316">
        <v>0</v>
      </c>
      <c r="AL2316" t="s">
        <v>31</v>
      </c>
      <c r="AM2316">
        <v>0</v>
      </c>
      <c r="AN2316" t="s">
        <v>31</v>
      </c>
      <c r="AO2316">
        <v>0</v>
      </c>
      <c r="AP2316" t="s">
        <v>31</v>
      </c>
      <c r="AQ2316">
        <v>0</v>
      </c>
    </row>
    <row r="2317" spans="1:43" x14ac:dyDescent="0.2">
      <c r="A2317" t="s">
        <v>381</v>
      </c>
      <c r="B2317" s="3">
        <v>44238</v>
      </c>
      <c r="C2317">
        <v>5</v>
      </c>
      <c r="D2317" t="s">
        <v>382</v>
      </c>
      <c r="E2317" t="s">
        <v>127</v>
      </c>
      <c r="F2317" s="9" t="s">
        <v>141</v>
      </c>
      <c r="G2317" t="s">
        <v>26</v>
      </c>
      <c r="H2317" t="s">
        <v>85</v>
      </c>
      <c r="I2317" t="s">
        <v>86</v>
      </c>
      <c r="J2317" t="s">
        <v>53</v>
      </c>
      <c r="K2317" t="s">
        <v>54</v>
      </c>
      <c r="L2317" t="s">
        <v>53</v>
      </c>
      <c r="M2317" t="s">
        <v>54</v>
      </c>
      <c r="N2317" t="s">
        <v>85</v>
      </c>
      <c r="O2317" t="s">
        <v>86</v>
      </c>
      <c r="P2317" t="s">
        <v>53</v>
      </c>
      <c r="Q2317" t="s">
        <v>54</v>
      </c>
      <c r="R2317" s="1">
        <v>44238.448912037034</v>
      </c>
      <c r="S2317" s="1">
        <v>44238.448912037034</v>
      </c>
      <c r="T2317">
        <v>0</v>
      </c>
      <c r="U2317">
        <v>1</v>
      </c>
      <c r="V2317" s="2">
        <v>0</v>
      </c>
      <c r="W2317">
        <v>0</v>
      </c>
      <c r="X2317" t="s">
        <v>44</v>
      </c>
      <c r="Y2317">
        <v>0</v>
      </c>
      <c r="Z2317" t="s">
        <v>31</v>
      </c>
      <c r="AA2317">
        <v>0</v>
      </c>
      <c r="AB2317" t="s">
        <v>31</v>
      </c>
      <c r="AC2317">
        <v>0</v>
      </c>
      <c r="AD2317" t="s">
        <v>31</v>
      </c>
      <c r="AE2317">
        <v>0</v>
      </c>
      <c r="AF2317" t="s">
        <v>31</v>
      </c>
      <c r="AG2317">
        <v>0</v>
      </c>
      <c r="AH2317" t="s">
        <v>31</v>
      </c>
      <c r="AI2317">
        <v>0</v>
      </c>
      <c r="AJ2317" t="s">
        <v>31</v>
      </c>
      <c r="AK2317">
        <v>0</v>
      </c>
      <c r="AL2317" t="s">
        <v>31</v>
      </c>
      <c r="AM2317">
        <v>0</v>
      </c>
      <c r="AN2317" t="s">
        <v>31</v>
      </c>
      <c r="AO2317">
        <v>0</v>
      </c>
      <c r="AP2317" t="s">
        <v>31</v>
      </c>
      <c r="AQ2317">
        <v>0</v>
      </c>
    </row>
    <row r="2318" spans="1:43" x14ac:dyDescent="0.2">
      <c r="A2318" t="s">
        <v>381</v>
      </c>
      <c r="B2318" s="3">
        <v>44242</v>
      </c>
      <c r="C2318">
        <v>8</v>
      </c>
      <c r="D2318" t="s">
        <v>384</v>
      </c>
      <c r="E2318" t="s">
        <v>127</v>
      </c>
      <c r="F2318" s="9" t="s">
        <v>141</v>
      </c>
      <c r="G2318" t="s">
        <v>26</v>
      </c>
      <c r="H2318" t="s">
        <v>85</v>
      </c>
      <c r="I2318" t="s">
        <v>86</v>
      </c>
      <c r="J2318" t="s">
        <v>53</v>
      </c>
      <c r="K2318" t="s">
        <v>54</v>
      </c>
      <c r="L2318" t="s">
        <v>53</v>
      </c>
      <c r="M2318" t="s">
        <v>54</v>
      </c>
      <c r="N2318" t="s">
        <v>85</v>
      </c>
      <c r="O2318" t="s">
        <v>86</v>
      </c>
      <c r="P2318" t="s">
        <v>53</v>
      </c>
      <c r="Q2318" t="s">
        <v>54</v>
      </c>
      <c r="R2318" s="1">
        <v>44242.38175925926</v>
      </c>
      <c r="S2318" s="1">
        <v>44242.38175925926</v>
      </c>
      <c r="T2318">
        <v>0</v>
      </c>
      <c r="U2318">
        <v>1</v>
      </c>
      <c r="V2318" s="2">
        <v>0</v>
      </c>
      <c r="W2318">
        <v>0</v>
      </c>
      <c r="X2318" t="s">
        <v>44</v>
      </c>
      <c r="Y2318">
        <v>0</v>
      </c>
      <c r="Z2318" t="s">
        <v>31</v>
      </c>
      <c r="AA2318">
        <v>0</v>
      </c>
      <c r="AB2318" t="s">
        <v>31</v>
      </c>
      <c r="AC2318">
        <v>0</v>
      </c>
      <c r="AD2318" t="s">
        <v>31</v>
      </c>
      <c r="AE2318">
        <v>0</v>
      </c>
      <c r="AF2318" t="s">
        <v>31</v>
      </c>
      <c r="AG2318">
        <v>0</v>
      </c>
      <c r="AH2318" t="s">
        <v>31</v>
      </c>
      <c r="AI2318">
        <v>0</v>
      </c>
      <c r="AJ2318" t="s">
        <v>31</v>
      </c>
      <c r="AK2318">
        <v>0</v>
      </c>
      <c r="AL2318" t="s">
        <v>31</v>
      </c>
      <c r="AM2318">
        <v>0</v>
      </c>
      <c r="AN2318" t="s">
        <v>31</v>
      </c>
      <c r="AO2318">
        <v>0</v>
      </c>
      <c r="AP2318" t="s">
        <v>31</v>
      </c>
      <c r="AQ2318">
        <v>0</v>
      </c>
    </row>
    <row r="2319" spans="1:43" x14ac:dyDescent="0.2">
      <c r="A2319" t="s">
        <v>381</v>
      </c>
      <c r="B2319" s="3">
        <v>44243</v>
      </c>
      <c r="C2319">
        <v>9</v>
      </c>
      <c r="D2319" t="s">
        <v>382</v>
      </c>
      <c r="E2319" t="s">
        <v>127</v>
      </c>
      <c r="F2319" s="9" t="s">
        <v>141</v>
      </c>
      <c r="G2319" t="s">
        <v>26</v>
      </c>
      <c r="H2319" t="s">
        <v>85</v>
      </c>
      <c r="I2319" t="s">
        <v>86</v>
      </c>
      <c r="J2319" t="s">
        <v>53</v>
      </c>
      <c r="K2319" t="s">
        <v>54</v>
      </c>
      <c r="L2319" t="s">
        <v>53</v>
      </c>
      <c r="M2319" t="s">
        <v>54</v>
      </c>
      <c r="N2319" t="s">
        <v>85</v>
      </c>
      <c r="O2319" t="s">
        <v>86</v>
      </c>
      <c r="P2319" t="s">
        <v>53</v>
      </c>
      <c r="Q2319" t="s">
        <v>54</v>
      </c>
      <c r="R2319" s="1">
        <v>44243.37195601852</v>
      </c>
      <c r="S2319" s="1">
        <v>44243.37195601852</v>
      </c>
      <c r="T2319">
        <v>0</v>
      </c>
      <c r="U2319">
        <v>1</v>
      </c>
      <c r="V2319" s="2">
        <v>0</v>
      </c>
      <c r="W2319">
        <v>0</v>
      </c>
      <c r="X2319" t="s">
        <v>44</v>
      </c>
      <c r="Y2319">
        <v>0</v>
      </c>
      <c r="Z2319" t="s">
        <v>31</v>
      </c>
      <c r="AA2319">
        <v>0</v>
      </c>
      <c r="AB2319" t="s">
        <v>31</v>
      </c>
      <c r="AC2319">
        <v>0</v>
      </c>
      <c r="AD2319" t="s">
        <v>31</v>
      </c>
      <c r="AE2319">
        <v>0</v>
      </c>
      <c r="AF2319" t="s">
        <v>31</v>
      </c>
      <c r="AG2319">
        <v>0</v>
      </c>
      <c r="AH2319" t="s">
        <v>31</v>
      </c>
      <c r="AI2319">
        <v>0</v>
      </c>
      <c r="AJ2319" t="s">
        <v>31</v>
      </c>
      <c r="AK2319">
        <v>0</v>
      </c>
      <c r="AL2319" t="s">
        <v>31</v>
      </c>
      <c r="AM2319">
        <v>0</v>
      </c>
      <c r="AN2319" t="s">
        <v>31</v>
      </c>
      <c r="AO2319">
        <v>0</v>
      </c>
      <c r="AP2319" t="s">
        <v>31</v>
      </c>
      <c r="AQ2319">
        <v>0</v>
      </c>
    </row>
    <row r="2320" spans="1:43" x14ac:dyDescent="0.2">
      <c r="A2320" t="s">
        <v>381</v>
      </c>
      <c r="B2320" s="3">
        <v>44244</v>
      </c>
      <c r="C2320">
        <v>11</v>
      </c>
      <c r="D2320" t="s">
        <v>384</v>
      </c>
      <c r="E2320" t="s">
        <v>127</v>
      </c>
      <c r="F2320" s="9" t="s">
        <v>141</v>
      </c>
      <c r="G2320" t="s">
        <v>26</v>
      </c>
      <c r="H2320" t="s">
        <v>85</v>
      </c>
      <c r="I2320" t="s">
        <v>86</v>
      </c>
      <c r="J2320" t="s">
        <v>53</v>
      </c>
      <c r="K2320" t="s">
        <v>54</v>
      </c>
      <c r="L2320" t="s">
        <v>53</v>
      </c>
      <c r="M2320" t="s">
        <v>54</v>
      </c>
      <c r="N2320" t="s">
        <v>85</v>
      </c>
      <c r="O2320" t="s">
        <v>86</v>
      </c>
      <c r="P2320" t="s">
        <v>53</v>
      </c>
      <c r="Q2320" t="s">
        <v>54</v>
      </c>
      <c r="R2320" s="1">
        <v>44244.373900462961</v>
      </c>
      <c r="S2320" s="1">
        <v>44244.373900462961</v>
      </c>
      <c r="T2320">
        <v>0</v>
      </c>
      <c r="U2320">
        <v>1</v>
      </c>
      <c r="V2320" s="2">
        <v>0</v>
      </c>
      <c r="W2320">
        <v>0</v>
      </c>
      <c r="X2320" t="s">
        <v>44</v>
      </c>
      <c r="Y2320">
        <v>0</v>
      </c>
      <c r="Z2320" t="s">
        <v>31</v>
      </c>
      <c r="AA2320">
        <v>0</v>
      </c>
      <c r="AB2320" t="s">
        <v>31</v>
      </c>
      <c r="AC2320">
        <v>0</v>
      </c>
      <c r="AD2320" t="s">
        <v>31</v>
      </c>
      <c r="AE2320">
        <v>0</v>
      </c>
      <c r="AF2320" t="s">
        <v>31</v>
      </c>
      <c r="AG2320">
        <v>0</v>
      </c>
      <c r="AH2320" t="s">
        <v>31</v>
      </c>
      <c r="AI2320">
        <v>0</v>
      </c>
      <c r="AJ2320" t="s">
        <v>31</v>
      </c>
      <c r="AK2320">
        <v>0</v>
      </c>
      <c r="AL2320" t="s">
        <v>31</v>
      </c>
      <c r="AM2320">
        <v>0</v>
      </c>
      <c r="AN2320" t="s">
        <v>31</v>
      </c>
      <c r="AO2320">
        <v>0</v>
      </c>
      <c r="AP2320" t="s">
        <v>31</v>
      </c>
      <c r="AQ2320">
        <v>0</v>
      </c>
    </row>
    <row r="2321" spans="1:43" x14ac:dyDescent="0.2">
      <c r="A2321" t="s">
        <v>381</v>
      </c>
      <c r="B2321" s="3">
        <v>44245</v>
      </c>
      <c r="C2321">
        <v>12</v>
      </c>
      <c r="D2321" t="s">
        <v>382</v>
      </c>
      <c r="E2321" t="s">
        <v>127</v>
      </c>
      <c r="F2321" s="9" t="s">
        <v>141</v>
      </c>
      <c r="G2321" t="s">
        <v>26</v>
      </c>
      <c r="H2321" t="s">
        <v>85</v>
      </c>
      <c r="I2321" t="s">
        <v>86</v>
      </c>
      <c r="J2321" t="s">
        <v>53</v>
      </c>
      <c r="K2321" t="s">
        <v>54</v>
      </c>
      <c r="L2321" t="s">
        <v>53</v>
      </c>
      <c r="M2321" t="s">
        <v>54</v>
      </c>
      <c r="N2321" t="s">
        <v>85</v>
      </c>
      <c r="O2321" t="s">
        <v>86</v>
      </c>
      <c r="P2321" t="s">
        <v>53</v>
      </c>
      <c r="Q2321" t="s">
        <v>54</v>
      </c>
      <c r="R2321" s="1">
        <v>44245.405416666668</v>
      </c>
      <c r="S2321" s="1">
        <v>44245.457546296297</v>
      </c>
      <c r="T2321">
        <v>0</v>
      </c>
      <c r="U2321">
        <v>2</v>
      </c>
      <c r="V2321" s="2">
        <v>0</v>
      </c>
      <c r="W2321">
        <v>0</v>
      </c>
      <c r="X2321" t="s">
        <v>44</v>
      </c>
      <c r="Y2321">
        <v>0</v>
      </c>
      <c r="Z2321" t="s">
        <v>44</v>
      </c>
      <c r="AA2321">
        <v>0</v>
      </c>
      <c r="AB2321" t="s">
        <v>31</v>
      </c>
      <c r="AC2321">
        <v>0</v>
      </c>
      <c r="AD2321" t="s">
        <v>31</v>
      </c>
      <c r="AE2321">
        <v>0</v>
      </c>
      <c r="AF2321" t="s">
        <v>31</v>
      </c>
      <c r="AG2321">
        <v>0</v>
      </c>
      <c r="AH2321" t="s">
        <v>31</v>
      </c>
      <c r="AI2321">
        <v>0</v>
      </c>
      <c r="AJ2321" t="s">
        <v>31</v>
      </c>
      <c r="AK2321">
        <v>0</v>
      </c>
      <c r="AL2321" t="s">
        <v>31</v>
      </c>
      <c r="AM2321">
        <v>0</v>
      </c>
      <c r="AN2321" t="s">
        <v>31</v>
      </c>
      <c r="AO2321">
        <v>0</v>
      </c>
      <c r="AP2321" t="s">
        <v>31</v>
      </c>
      <c r="AQ2321">
        <v>0</v>
      </c>
    </row>
    <row r="2322" spans="1:43" x14ac:dyDescent="0.2">
      <c r="A2322" t="s">
        <v>381</v>
      </c>
      <c r="B2322" s="3">
        <v>44250</v>
      </c>
      <c r="C2322">
        <v>16</v>
      </c>
      <c r="D2322" t="s">
        <v>382</v>
      </c>
      <c r="E2322" t="s">
        <v>127</v>
      </c>
      <c r="F2322" s="9" t="s">
        <v>141</v>
      </c>
      <c r="G2322" t="s">
        <v>26</v>
      </c>
      <c r="H2322" t="s">
        <v>85</v>
      </c>
      <c r="I2322" t="s">
        <v>86</v>
      </c>
      <c r="J2322" t="s">
        <v>53</v>
      </c>
      <c r="K2322" t="s">
        <v>54</v>
      </c>
      <c r="L2322" t="s">
        <v>53</v>
      </c>
      <c r="M2322" t="s">
        <v>54</v>
      </c>
      <c r="N2322" t="s">
        <v>85</v>
      </c>
      <c r="O2322" t="s">
        <v>86</v>
      </c>
      <c r="P2322" t="s">
        <v>53</v>
      </c>
      <c r="Q2322" t="s">
        <v>54</v>
      </c>
      <c r="R2322" s="1">
        <v>44250.372175925928</v>
      </c>
      <c r="S2322" s="1">
        <v>44250.372175925928</v>
      </c>
      <c r="T2322">
        <v>0</v>
      </c>
      <c r="U2322">
        <v>1</v>
      </c>
      <c r="V2322" s="2">
        <v>0</v>
      </c>
      <c r="W2322">
        <v>0</v>
      </c>
      <c r="X2322" t="s">
        <v>44</v>
      </c>
      <c r="Y2322">
        <v>0</v>
      </c>
      <c r="Z2322" t="s">
        <v>31</v>
      </c>
      <c r="AA2322">
        <v>0</v>
      </c>
      <c r="AB2322" t="s">
        <v>31</v>
      </c>
      <c r="AC2322">
        <v>0</v>
      </c>
      <c r="AD2322" t="s">
        <v>31</v>
      </c>
      <c r="AE2322">
        <v>0</v>
      </c>
      <c r="AF2322" t="s">
        <v>31</v>
      </c>
      <c r="AG2322">
        <v>0</v>
      </c>
      <c r="AH2322" t="s">
        <v>31</v>
      </c>
      <c r="AI2322">
        <v>0</v>
      </c>
      <c r="AJ2322" t="s">
        <v>31</v>
      </c>
      <c r="AK2322">
        <v>0</v>
      </c>
      <c r="AL2322" t="s">
        <v>31</v>
      </c>
      <c r="AM2322">
        <v>0</v>
      </c>
      <c r="AN2322" t="s">
        <v>31</v>
      </c>
      <c r="AO2322">
        <v>0</v>
      </c>
      <c r="AP2322" t="s">
        <v>31</v>
      </c>
      <c r="AQ2322">
        <v>0</v>
      </c>
    </row>
    <row r="2323" spans="1:43" x14ac:dyDescent="0.2">
      <c r="A2323" t="s">
        <v>381</v>
      </c>
      <c r="B2323" s="3">
        <v>44251</v>
      </c>
      <c r="C2323">
        <v>18</v>
      </c>
      <c r="D2323" t="s">
        <v>384</v>
      </c>
      <c r="E2323" t="s">
        <v>127</v>
      </c>
      <c r="F2323" s="9" t="s">
        <v>141</v>
      </c>
      <c r="G2323" t="s">
        <v>26</v>
      </c>
      <c r="H2323" t="s">
        <v>85</v>
      </c>
      <c r="I2323" t="s">
        <v>86</v>
      </c>
      <c r="J2323" t="s">
        <v>53</v>
      </c>
      <c r="K2323" t="s">
        <v>54</v>
      </c>
      <c r="L2323" t="s">
        <v>53</v>
      </c>
      <c r="M2323" t="s">
        <v>54</v>
      </c>
      <c r="N2323" t="s">
        <v>85</v>
      </c>
      <c r="O2323" t="s">
        <v>86</v>
      </c>
      <c r="P2323" t="s">
        <v>53</v>
      </c>
      <c r="Q2323" t="s">
        <v>54</v>
      </c>
      <c r="R2323" s="1">
        <v>44251.378263888888</v>
      </c>
      <c r="S2323" s="1">
        <v>44251.378263888888</v>
      </c>
      <c r="T2323">
        <v>0</v>
      </c>
      <c r="U2323">
        <v>1</v>
      </c>
      <c r="V2323" s="2">
        <v>0</v>
      </c>
      <c r="W2323">
        <v>0</v>
      </c>
      <c r="X2323" t="s">
        <v>44</v>
      </c>
      <c r="Y2323">
        <v>0</v>
      </c>
      <c r="Z2323" t="s">
        <v>31</v>
      </c>
      <c r="AA2323">
        <v>0</v>
      </c>
      <c r="AB2323" t="s">
        <v>31</v>
      </c>
      <c r="AC2323">
        <v>0</v>
      </c>
      <c r="AD2323" t="s">
        <v>31</v>
      </c>
      <c r="AE2323">
        <v>0</v>
      </c>
      <c r="AF2323" t="s">
        <v>31</v>
      </c>
      <c r="AG2323">
        <v>0</v>
      </c>
      <c r="AH2323" t="s">
        <v>31</v>
      </c>
      <c r="AI2323">
        <v>0</v>
      </c>
      <c r="AJ2323" t="s">
        <v>31</v>
      </c>
      <c r="AK2323">
        <v>0</v>
      </c>
      <c r="AL2323" t="s">
        <v>31</v>
      </c>
      <c r="AM2323">
        <v>0</v>
      </c>
      <c r="AN2323" t="s">
        <v>31</v>
      </c>
      <c r="AO2323">
        <v>0</v>
      </c>
      <c r="AP2323" t="s">
        <v>31</v>
      </c>
      <c r="AQ2323">
        <v>0</v>
      </c>
    </row>
    <row r="2324" spans="1:43" x14ac:dyDescent="0.2">
      <c r="A2324" t="s">
        <v>381</v>
      </c>
      <c r="B2324" s="3">
        <v>44252</v>
      </c>
      <c r="C2324">
        <v>19</v>
      </c>
      <c r="D2324" t="s">
        <v>382</v>
      </c>
      <c r="E2324" t="s">
        <v>127</v>
      </c>
      <c r="F2324" s="9" t="s">
        <v>141</v>
      </c>
      <c r="G2324" t="s">
        <v>26</v>
      </c>
      <c r="H2324" t="s">
        <v>85</v>
      </c>
      <c r="I2324" t="s">
        <v>86</v>
      </c>
      <c r="J2324" t="s">
        <v>53</v>
      </c>
      <c r="K2324" t="s">
        <v>54</v>
      </c>
      <c r="L2324" t="s">
        <v>53</v>
      </c>
      <c r="M2324" t="s">
        <v>54</v>
      </c>
      <c r="N2324" t="s">
        <v>85</v>
      </c>
      <c r="O2324" t="s">
        <v>86</v>
      </c>
      <c r="P2324" t="s">
        <v>53</v>
      </c>
      <c r="Q2324" t="s">
        <v>54</v>
      </c>
      <c r="R2324" s="1">
        <v>44252.378668981481</v>
      </c>
      <c r="S2324" s="1">
        <v>44252.431192129632</v>
      </c>
      <c r="T2324">
        <v>0</v>
      </c>
      <c r="U2324">
        <v>2</v>
      </c>
      <c r="V2324" s="2">
        <v>0</v>
      </c>
      <c r="W2324">
        <v>0</v>
      </c>
      <c r="X2324" t="s">
        <v>44</v>
      </c>
      <c r="Y2324">
        <v>0</v>
      </c>
      <c r="Z2324" t="s">
        <v>44</v>
      </c>
      <c r="AA2324">
        <v>0</v>
      </c>
      <c r="AB2324" t="s">
        <v>31</v>
      </c>
      <c r="AC2324">
        <v>0</v>
      </c>
      <c r="AD2324" t="s">
        <v>31</v>
      </c>
      <c r="AE2324">
        <v>0</v>
      </c>
      <c r="AF2324" t="s">
        <v>31</v>
      </c>
      <c r="AG2324">
        <v>0</v>
      </c>
      <c r="AH2324" t="s">
        <v>31</v>
      </c>
      <c r="AI2324">
        <v>0</v>
      </c>
      <c r="AJ2324" t="s">
        <v>31</v>
      </c>
      <c r="AK2324">
        <v>0</v>
      </c>
      <c r="AL2324" t="s">
        <v>31</v>
      </c>
      <c r="AM2324">
        <v>0</v>
      </c>
      <c r="AN2324" t="s">
        <v>31</v>
      </c>
      <c r="AO2324">
        <v>0</v>
      </c>
      <c r="AP2324" t="s">
        <v>31</v>
      </c>
      <c r="AQ2324">
        <v>0</v>
      </c>
    </row>
    <row r="2325" spans="1:43" x14ac:dyDescent="0.2">
      <c r="A2325" t="s">
        <v>381</v>
      </c>
      <c r="B2325" s="3">
        <v>44253</v>
      </c>
      <c r="C2325">
        <v>21</v>
      </c>
      <c r="D2325" t="s">
        <v>384</v>
      </c>
      <c r="E2325" t="s">
        <v>127</v>
      </c>
      <c r="F2325" s="9" t="s">
        <v>141</v>
      </c>
      <c r="G2325" t="s">
        <v>26</v>
      </c>
      <c r="H2325" t="s">
        <v>85</v>
      </c>
      <c r="I2325" t="s">
        <v>86</v>
      </c>
      <c r="J2325" t="s">
        <v>53</v>
      </c>
      <c r="K2325" t="s">
        <v>54</v>
      </c>
      <c r="L2325" t="s">
        <v>53</v>
      </c>
      <c r="M2325" t="s">
        <v>54</v>
      </c>
      <c r="N2325" t="s">
        <v>85</v>
      </c>
      <c r="O2325" t="s">
        <v>86</v>
      </c>
      <c r="P2325" t="s">
        <v>53</v>
      </c>
      <c r="Q2325" t="s">
        <v>54</v>
      </c>
      <c r="R2325" s="1">
        <v>44253.385752314818</v>
      </c>
      <c r="S2325" s="1">
        <v>44253.385752314818</v>
      </c>
      <c r="T2325">
        <v>0</v>
      </c>
      <c r="U2325">
        <v>1</v>
      </c>
      <c r="V2325" s="2">
        <v>0</v>
      </c>
      <c r="W2325">
        <v>0</v>
      </c>
      <c r="X2325" t="s">
        <v>44</v>
      </c>
      <c r="Y2325">
        <v>0</v>
      </c>
      <c r="Z2325" t="s">
        <v>31</v>
      </c>
      <c r="AA2325">
        <v>0</v>
      </c>
      <c r="AB2325" t="s">
        <v>31</v>
      </c>
      <c r="AC2325">
        <v>0</v>
      </c>
      <c r="AD2325" t="s">
        <v>31</v>
      </c>
      <c r="AE2325">
        <v>0</v>
      </c>
      <c r="AF2325" t="s">
        <v>31</v>
      </c>
      <c r="AG2325">
        <v>0</v>
      </c>
      <c r="AH2325" t="s">
        <v>31</v>
      </c>
      <c r="AI2325">
        <v>0</v>
      </c>
      <c r="AJ2325" t="s">
        <v>31</v>
      </c>
      <c r="AK2325">
        <v>0</v>
      </c>
      <c r="AL2325" t="s">
        <v>31</v>
      </c>
      <c r="AM2325">
        <v>0</v>
      </c>
      <c r="AN2325" t="s">
        <v>31</v>
      </c>
      <c r="AO2325">
        <v>0</v>
      </c>
      <c r="AP2325" t="s">
        <v>31</v>
      </c>
      <c r="AQ2325">
        <v>0</v>
      </c>
    </row>
    <row r="2326" spans="1:43" x14ac:dyDescent="0.2">
      <c r="A2326" t="s">
        <v>381</v>
      </c>
      <c r="B2326" s="3">
        <v>44256</v>
      </c>
      <c r="C2326">
        <v>22</v>
      </c>
      <c r="D2326" t="s">
        <v>384</v>
      </c>
      <c r="E2326" t="s">
        <v>127</v>
      </c>
      <c r="F2326" s="9" t="s">
        <v>141</v>
      </c>
      <c r="G2326" t="s">
        <v>26</v>
      </c>
      <c r="H2326" t="s">
        <v>85</v>
      </c>
      <c r="I2326" t="s">
        <v>86</v>
      </c>
      <c r="J2326" t="s">
        <v>53</v>
      </c>
      <c r="K2326" t="s">
        <v>54</v>
      </c>
      <c r="L2326" t="s">
        <v>53</v>
      </c>
      <c r="M2326" t="s">
        <v>54</v>
      </c>
      <c r="N2326" t="s">
        <v>85</v>
      </c>
      <c r="O2326" t="s">
        <v>86</v>
      </c>
      <c r="P2326" t="s">
        <v>53</v>
      </c>
      <c r="Q2326" t="s">
        <v>54</v>
      </c>
      <c r="R2326" s="1">
        <v>44256.420023148145</v>
      </c>
      <c r="S2326" s="1">
        <v>44256.420023148145</v>
      </c>
      <c r="T2326">
        <v>0</v>
      </c>
      <c r="U2326">
        <v>1</v>
      </c>
      <c r="V2326" s="2">
        <v>0</v>
      </c>
      <c r="W2326">
        <v>0</v>
      </c>
      <c r="X2326" t="s">
        <v>44</v>
      </c>
      <c r="Y2326">
        <v>0</v>
      </c>
      <c r="Z2326" t="s">
        <v>31</v>
      </c>
      <c r="AA2326">
        <v>0</v>
      </c>
      <c r="AB2326" t="s">
        <v>31</v>
      </c>
      <c r="AC2326">
        <v>0</v>
      </c>
      <c r="AD2326" t="s">
        <v>31</v>
      </c>
      <c r="AE2326">
        <v>0</v>
      </c>
      <c r="AF2326" t="s">
        <v>31</v>
      </c>
      <c r="AG2326">
        <v>0</v>
      </c>
      <c r="AH2326" t="s">
        <v>31</v>
      </c>
      <c r="AI2326">
        <v>0</v>
      </c>
      <c r="AJ2326" t="s">
        <v>31</v>
      </c>
      <c r="AK2326">
        <v>0</v>
      </c>
      <c r="AL2326" t="s">
        <v>31</v>
      </c>
      <c r="AM2326">
        <v>0</v>
      </c>
      <c r="AN2326" t="s">
        <v>31</v>
      </c>
      <c r="AO2326">
        <v>0</v>
      </c>
      <c r="AP2326" t="s">
        <v>31</v>
      </c>
      <c r="AQ2326">
        <v>0</v>
      </c>
    </row>
    <row r="2327" spans="1:43" x14ac:dyDescent="0.2">
      <c r="A2327" t="s">
        <v>381</v>
      </c>
      <c r="B2327" s="3">
        <v>44257</v>
      </c>
      <c r="C2327">
        <v>23</v>
      </c>
      <c r="D2327" t="s">
        <v>382</v>
      </c>
      <c r="E2327" t="s">
        <v>127</v>
      </c>
      <c r="F2327" s="9" t="s">
        <v>141</v>
      </c>
      <c r="G2327" t="s">
        <v>26</v>
      </c>
      <c r="H2327" t="s">
        <v>85</v>
      </c>
      <c r="I2327" t="s">
        <v>86</v>
      </c>
      <c r="J2327" t="s">
        <v>53</v>
      </c>
      <c r="K2327" t="s">
        <v>54</v>
      </c>
      <c r="L2327" t="s">
        <v>53</v>
      </c>
      <c r="M2327" t="s">
        <v>54</v>
      </c>
      <c r="N2327" t="s">
        <v>85</v>
      </c>
      <c r="O2327" t="s">
        <v>86</v>
      </c>
      <c r="P2327" t="s">
        <v>53</v>
      </c>
      <c r="Q2327" t="s">
        <v>54</v>
      </c>
      <c r="R2327" s="1">
        <v>44257.407256944447</v>
      </c>
      <c r="S2327" s="1">
        <v>44257.463842592595</v>
      </c>
      <c r="T2327">
        <v>0</v>
      </c>
      <c r="U2327">
        <v>2</v>
      </c>
      <c r="V2327" s="2">
        <v>0</v>
      </c>
      <c r="W2327">
        <v>0</v>
      </c>
      <c r="X2327" t="s">
        <v>44</v>
      </c>
      <c r="Y2327">
        <v>0</v>
      </c>
      <c r="Z2327" t="s">
        <v>44</v>
      </c>
      <c r="AA2327">
        <v>0</v>
      </c>
      <c r="AB2327" t="s">
        <v>31</v>
      </c>
      <c r="AC2327">
        <v>0</v>
      </c>
      <c r="AD2327" t="s">
        <v>31</v>
      </c>
      <c r="AE2327">
        <v>0</v>
      </c>
      <c r="AF2327" t="s">
        <v>31</v>
      </c>
      <c r="AG2327">
        <v>0</v>
      </c>
      <c r="AH2327" t="s">
        <v>31</v>
      </c>
      <c r="AI2327">
        <v>0</v>
      </c>
      <c r="AJ2327" t="s">
        <v>31</v>
      </c>
      <c r="AK2327">
        <v>0</v>
      </c>
      <c r="AL2327" t="s">
        <v>31</v>
      </c>
      <c r="AM2327">
        <v>0</v>
      </c>
      <c r="AN2327" t="s">
        <v>31</v>
      </c>
      <c r="AO2327">
        <v>0</v>
      </c>
      <c r="AP2327" t="s">
        <v>31</v>
      </c>
      <c r="AQ2327">
        <v>0</v>
      </c>
    </row>
    <row r="2328" spans="1:43" x14ac:dyDescent="0.2">
      <c r="A2328" t="s">
        <v>381</v>
      </c>
      <c r="B2328" s="3">
        <v>44258</v>
      </c>
      <c r="C2328">
        <v>25</v>
      </c>
      <c r="D2328" t="s">
        <v>384</v>
      </c>
      <c r="E2328" t="s">
        <v>127</v>
      </c>
      <c r="F2328" s="9" t="s">
        <v>141</v>
      </c>
      <c r="G2328" t="s">
        <v>26</v>
      </c>
      <c r="H2328" t="s">
        <v>85</v>
      </c>
      <c r="I2328" t="s">
        <v>86</v>
      </c>
      <c r="J2328" t="s">
        <v>53</v>
      </c>
      <c r="K2328" t="s">
        <v>54</v>
      </c>
      <c r="L2328" t="s">
        <v>53</v>
      </c>
      <c r="M2328" t="s">
        <v>54</v>
      </c>
      <c r="N2328" t="s">
        <v>85</v>
      </c>
      <c r="O2328" t="s">
        <v>86</v>
      </c>
      <c r="P2328" t="s">
        <v>53</v>
      </c>
      <c r="Q2328" t="s">
        <v>54</v>
      </c>
      <c r="R2328" s="1">
        <v>44258.394826388889</v>
      </c>
      <c r="S2328" s="1">
        <v>44258.459201388891</v>
      </c>
      <c r="T2328">
        <v>0</v>
      </c>
      <c r="U2328">
        <v>2</v>
      </c>
      <c r="V2328" s="2">
        <v>0</v>
      </c>
      <c r="W2328">
        <v>0</v>
      </c>
      <c r="X2328" t="s">
        <v>44</v>
      </c>
      <c r="Y2328">
        <v>0</v>
      </c>
      <c r="Z2328" t="s">
        <v>44</v>
      </c>
      <c r="AA2328">
        <v>0</v>
      </c>
      <c r="AB2328" t="s">
        <v>31</v>
      </c>
      <c r="AC2328">
        <v>0</v>
      </c>
      <c r="AD2328" t="s">
        <v>31</v>
      </c>
      <c r="AE2328">
        <v>0</v>
      </c>
      <c r="AF2328" t="s">
        <v>31</v>
      </c>
      <c r="AG2328">
        <v>0</v>
      </c>
      <c r="AH2328" t="s">
        <v>31</v>
      </c>
      <c r="AI2328">
        <v>0</v>
      </c>
      <c r="AJ2328" t="s">
        <v>31</v>
      </c>
      <c r="AK2328">
        <v>0</v>
      </c>
      <c r="AL2328" t="s">
        <v>31</v>
      </c>
      <c r="AM2328">
        <v>0</v>
      </c>
      <c r="AN2328" t="s">
        <v>31</v>
      </c>
      <c r="AO2328">
        <v>0</v>
      </c>
      <c r="AP2328" t="s">
        <v>31</v>
      </c>
      <c r="AQ2328">
        <v>0</v>
      </c>
    </row>
    <row r="2329" spans="1:43" x14ac:dyDescent="0.2">
      <c r="A2329" t="s">
        <v>381</v>
      </c>
      <c r="B2329" s="3">
        <v>44259</v>
      </c>
      <c r="C2329">
        <v>26</v>
      </c>
      <c r="D2329" t="s">
        <v>382</v>
      </c>
      <c r="E2329" t="s">
        <v>127</v>
      </c>
      <c r="F2329" s="9" t="s">
        <v>141</v>
      </c>
      <c r="G2329" t="s">
        <v>26</v>
      </c>
      <c r="H2329" t="s">
        <v>85</v>
      </c>
      <c r="I2329" t="s">
        <v>86</v>
      </c>
      <c r="J2329" t="s">
        <v>53</v>
      </c>
      <c r="K2329" t="s">
        <v>54</v>
      </c>
      <c r="L2329" t="s">
        <v>53</v>
      </c>
      <c r="M2329" t="s">
        <v>54</v>
      </c>
      <c r="N2329" t="s">
        <v>85</v>
      </c>
      <c r="O2329" t="s">
        <v>86</v>
      </c>
      <c r="P2329" t="s">
        <v>53</v>
      </c>
      <c r="Q2329" t="s">
        <v>54</v>
      </c>
      <c r="R2329" s="1">
        <v>44259.377291666664</v>
      </c>
      <c r="S2329" s="1">
        <v>44259.423888888887</v>
      </c>
      <c r="T2329">
        <v>0</v>
      </c>
      <c r="U2329">
        <v>2</v>
      </c>
      <c r="V2329" s="2">
        <v>0</v>
      </c>
      <c r="W2329">
        <v>0</v>
      </c>
      <c r="X2329" t="s">
        <v>44</v>
      </c>
      <c r="Y2329">
        <v>0</v>
      </c>
      <c r="Z2329" t="s">
        <v>44</v>
      </c>
      <c r="AA2329">
        <v>0</v>
      </c>
      <c r="AB2329" t="s">
        <v>31</v>
      </c>
      <c r="AC2329">
        <v>0</v>
      </c>
      <c r="AD2329" t="s">
        <v>31</v>
      </c>
      <c r="AE2329">
        <v>0</v>
      </c>
      <c r="AF2329" t="s">
        <v>31</v>
      </c>
      <c r="AG2329">
        <v>0</v>
      </c>
      <c r="AH2329" t="s">
        <v>31</v>
      </c>
      <c r="AI2329">
        <v>0</v>
      </c>
      <c r="AJ2329" t="s">
        <v>31</v>
      </c>
      <c r="AK2329">
        <v>0</v>
      </c>
      <c r="AL2329" t="s">
        <v>31</v>
      </c>
      <c r="AM2329">
        <v>0</v>
      </c>
      <c r="AN2329" t="s">
        <v>31</v>
      </c>
      <c r="AO2329">
        <v>0</v>
      </c>
      <c r="AP2329" t="s">
        <v>31</v>
      </c>
      <c r="AQ2329">
        <v>0</v>
      </c>
    </row>
    <row r="2330" spans="1:43" x14ac:dyDescent="0.2">
      <c r="A2330" t="s">
        <v>381</v>
      </c>
      <c r="B2330" s="3">
        <v>44260</v>
      </c>
      <c r="C2330">
        <v>28</v>
      </c>
      <c r="D2330" t="s">
        <v>384</v>
      </c>
      <c r="E2330" t="s">
        <v>127</v>
      </c>
      <c r="F2330" s="9" t="s">
        <v>141</v>
      </c>
      <c r="G2330" t="s">
        <v>26</v>
      </c>
      <c r="H2330" t="s">
        <v>85</v>
      </c>
      <c r="I2330" t="s">
        <v>86</v>
      </c>
      <c r="J2330" t="s">
        <v>53</v>
      </c>
      <c r="K2330" t="s">
        <v>54</v>
      </c>
      <c r="L2330" t="s">
        <v>53</v>
      </c>
      <c r="M2330" t="s">
        <v>54</v>
      </c>
      <c r="N2330" t="s">
        <v>85</v>
      </c>
      <c r="O2330" t="s">
        <v>86</v>
      </c>
      <c r="P2330" t="s">
        <v>53</v>
      </c>
      <c r="Q2330" t="s">
        <v>54</v>
      </c>
      <c r="R2330" s="1">
        <v>44260.370138888888</v>
      </c>
      <c r="S2330" s="1">
        <v>44260.370138888888</v>
      </c>
      <c r="T2330">
        <v>1</v>
      </c>
      <c r="U2330">
        <v>1</v>
      </c>
      <c r="V2330" s="2">
        <v>1</v>
      </c>
      <c r="W2330">
        <v>1</v>
      </c>
      <c r="X2330" t="s">
        <v>54</v>
      </c>
      <c r="Y2330">
        <v>1</v>
      </c>
      <c r="Z2330" t="s">
        <v>31</v>
      </c>
      <c r="AA2330">
        <v>0</v>
      </c>
      <c r="AB2330" t="s">
        <v>31</v>
      </c>
      <c r="AC2330">
        <v>0</v>
      </c>
      <c r="AD2330" t="s">
        <v>31</v>
      </c>
      <c r="AE2330">
        <v>0</v>
      </c>
      <c r="AF2330" t="s">
        <v>31</v>
      </c>
      <c r="AG2330">
        <v>0</v>
      </c>
      <c r="AH2330" t="s">
        <v>31</v>
      </c>
      <c r="AI2330">
        <v>0</v>
      </c>
      <c r="AJ2330" t="s">
        <v>31</v>
      </c>
      <c r="AK2330">
        <v>0</v>
      </c>
      <c r="AL2330" t="s">
        <v>31</v>
      </c>
      <c r="AM2330">
        <v>0</v>
      </c>
      <c r="AN2330" t="s">
        <v>31</v>
      </c>
      <c r="AO2330">
        <v>0</v>
      </c>
      <c r="AP2330" t="s">
        <v>31</v>
      </c>
      <c r="AQ2330">
        <v>0</v>
      </c>
    </row>
    <row r="2331" spans="1:43" x14ac:dyDescent="0.2">
      <c r="A2331" t="s">
        <v>381</v>
      </c>
      <c r="B2331" s="3">
        <v>44263</v>
      </c>
      <c r="C2331">
        <v>29</v>
      </c>
      <c r="D2331" t="s">
        <v>384</v>
      </c>
      <c r="E2331" t="s">
        <v>127</v>
      </c>
      <c r="F2331" s="9" t="s">
        <v>141</v>
      </c>
      <c r="G2331" t="s">
        <v>26</v>
      </c>
      <c r="H2331" t="s">
        <v>85</v>
      </c>
      <c r="I2331" t="s">
        <v>86</v>
      </c>
      <c r="J2331" t="s">
        <v>53</v>
      </c>
      <c r="K2331" t="s">
        <v>54</v>
      </c>
      <c r="L2331" t="s">
        <v>53</v>
      </c>
      <c r="M2331" t="s">
        <v>54</v>
      </c>
      <c r="N2331" t="s">
        <v>85</v>
      </c>
      <c r="O2331" t="s">
        <v>86</v>
      </c>
      <c r="P2331" t="s">
        <v>53</v>
      </c>
      <c r="Q2331" t="s">
        <v>54</v>
      </c>
      <c r="R2331" s="1">
        <v>44263.425821759258</v>
      </c>
      <c r="S2331" s="1">
        <v>44263.425821759258</v>
      </c>
      <c r="T2331">
        <v>0</v>
      </c>
      <c r="U2331">
        <v>1</v>
      </c>
      <c r="V2331" s="2">
        <v>0</v>
      </c>
      <c r="W2331">
        <v>0</v>
      </c>
      <c r="X2331" t="s">
        <v>44</v>
      </c>
      <c r="Y2331">
        <v>0</v>
      </c>
      <c r="Z2331" t="s">
        <v>31</v>
      </c>
      <c r="AA2331">
        <v>0</v>
      </c>
      <c r="AB2331" t="s">
        <v>31</v>
      </c>
      <c r="AC2331">
        <v>0</v>
      </c>
      <c r="AD2331" t="s">
        <v>31</v>
      </c>
      <c r="AE2331">
        <v>0</v>
      </c>
      <c r="AF2331" t="s">
        <v>31</v>
      </c>
      <c r="AG2331">
        <v>0</v>
      </c>
      <c r="AH2331" t="s">
        <v>31</v>
      </c>
      <c r="AI2331">
        <v>0</v>
      </c>
      <c r="AJ2331" t="s">
        <v>31</v>
      </c>
      <c r="AK2331">
        <v>0</v>
      </c>
      <c r="AL2331" t="s">
        <v>31</v>
      </c>
      <c r="AM2331">
        <v>0</v>
      </c>
      <c r="AN2331" t="s">
        <v>31</v>
      </c>
      <c r="AO2331">
        <v>0</v>
      </c>
      <c r="AP2331" t="s">
        <v>31</v>
      </c>
      <c r="AQ2331">
        <v>0</v>
      </c>
    </row>
    <row r="2332" spans="1:43" x14ac:dyDescent="0.2">
      <c r="A2332" t="s">
        <v>381</v>
      </c>
      <c r="B2332" s="3">
        <v>44264</v>
      </c>
      <c r="C2332">
        <v>30</v>
      </c>
      <c r="D2332" t="s">
        <v>382</v>
      </c>
      <c r="E2332" t="s">
        <v>127</v>
      </c>
      <c r="F2332" s="9" t="s">
        <v>141</v>
      </c>
      <c r="G2332" t="s">
        <v>26</v>
      </c>
      <c r="H2332" t="s">
        <v>85</v>
      </c>
      <c r="I2332" t="s">
        <v>86</v>
      </c>
      <c r="J2332" t="s">
        <v>53</v>
      </c>
      <c r="K2332" t="s">
        <v>54</v>
      </c>
      <c r="L2332" t="s">
        <v>53</v>
      </c>
      <c r="M2332" t="s">
        <v>54</v>
      </c>
      <c r="N2332" t="s">
        <v>85</v>
      </c>
      <c r="O2332" t="s">
        <v>86</v>
      </c>
      <c r="P2332" t="s">
        <v>53</v>
      </c>
      <c r="Q2332" t="s">
        <v>54</v>
      </c>
      <c r="R2332" s="1">
        <v>44264.373472222222</v>
      </c>
      <c r="S2332" s="1">
        <v>44264.42832175926</v>
      </c>
      <c r="T2332">
        <v>0</v>
      </c>
      <c r="U2332">
        <v>2</v>
      </c>
      <c r="V2332" s="2">
        <v>0</v>
      </c>
      <c r="W2332">
        <v>0</v>
      </c>
      <c r="X2332" t="s">
        <v>44</v>
      </c>
      <c r="Y2332">
        <v>0</v>
      </c>
      <c r="Z2332" t="s">
        <v>44</v>
      </c>
      <c r="AA2332">
        <v>0</v>
      </c>
      <c r="AB2332" t="s">
        <v>31</v>
      </c>
      <c r="AC2332">
        <v>0</v>
      </c>
      <c r="AD2332" t="s">
        <v>31</v>
      </c>
      <c r="AE2332">
        <v>0</v>
      </c>
      <c r="AF2332" t="s">
        <v>31</v>
      </c>
      <c r="AG2332">
        <v>0</v>
      </c>
      <c r="AH2332" t="s">
        <v>31</v>
      </c>
      <c r="AI2332">
        <v>0</v>
      </c>
      <c r="AJ2332" t="s">
        <v>31</v>
      </c>
      <c r="AK2332">
        <v>0</v>
      </c>
      <c r="AL2332" t="s">
        <v>31</v>
      </c>
      <c r="AM2332">
        <v>0</v>
      </c>
      <c r="AN2332" t="s">
        <v>31</v>
      </c>
      <c r="AO2332">
        <v>0</v>
      </c>
      <c r="AP2332" t="s">
        <v>31</v>
      </c>
      <c r="AQ2332">
        <v>0</v>
      </c>
    </row>
    <row r="2333" spans="1:43" x14ac:dyDescent="0.2">
      <c r="A2333" t="s">
        <v>381</v>
      </c>
      <c r="B2333" s="3">
        <v>44265</v>
      </c>
      <c r="C2333">
        <v>32</v>
      </c>
      <c r="D2333" t="s">
        <v>384</v>
      </c>
      <c r="E2333" t="s">
        <v>127</v>
      </c>
      <c r="F2333" s="9" t="s">
        <v>141</v>
      </c>
      <c r="G2333" t="s">
        <v>26</v>
      </c>
      <c r="H2333" t="s">
        <v>85</v>
      </c>
      <c r="I2333" t="s">
        <v>86</v>
      </c>
      <c r="J2333" t="s">
        <v>53</v>
      </c>
      <c r="K2333" t="s">
        <v>54</v>
      </c>
      <c r="L2333" t="s">
        <v>53</v>
      </c>
      <c r="M2333" t="s">
        <v>54</v>
      </c>
      <c r="N2333" t="s">
        <v>85</v>
      </c>
      <c r="O2333" t="s">
        <v>86</v>
      </c>
      <c r="P2333" t="s">
        <v>53</v>
      </c>
      <c r="Q2333" t="s">
        <v>54</v>
      </c>
      <c r="R2333" s="1">
        <v>44265.392685185187</v>
      </c>
      <c r="S2333" s="1">
        <v>44265.392685185187</v>
      </c>
      <c r="T2333">
        <v>0</v>
      </c>
      <c r="U2333">
        <v>1</v>
      </c>
      <c r="V2333" s="2">
        <v>0</v>
      </c>
      <c r="W2333">
        <v>0</v>
      </c>
      <c r="X2333" t="s">
        <v>44</v>
      </c>
      <c r="Y2333">
        <v>0</v>
      </c>
      <c r="Z2333" t="s">
        <v>31</v>
      </c>
      <c r="AA2333">
        <v>0</v>
      </c>
      <c r="AB2333" t="s">
        <v>31</v>
      </c>
      <c r="AC2333">
        <v>0</v>
      </c>
      <c r="AD2333" t="s">
        <v>31</v>
      </c>
      <c r="AE2333">
        <v>0</v>
      </c>
      <c r="AF2333" t="s">
        <v>31</v>
      </c>
      <c r="AG2333">
        <v>0</v>
      </c>
      <c r="AH2333" t="s">
        <v>31</v>
      </c>
      <c r="AI2333">
        <v>0</v>
      </c>
      <c r="AJ2333" t="s">
        <v>31</v>
      </c>
      <c r="AK2333">
        <v>0</v>
      </c>
      <c r="AL2333" t="s">
        <v>31</v>
      </c>
      <c r="AM2333">
        <v>0</v>
      </c>
      <c r="AN2333" t="s">
        <v>31</v>
      </c>
      <c r="AO2333">
        <v>0</v>
      </c>
      <c r="AP2333" t="s">
        <v>31</v>
      </c>
      <c r="AQ2333">
        <v>0</v>
      </c>
    </row>
    <row r="2334" spans="1:43" x14ac:dyDescent="0.2">
      <c r="A2334" t="s">
        <v>381</v>
      </c>
      <c r="B2334" s="3">
        <v>44266</v>
      </c>
      <c r="C2334">
        <v>33</v>
      </c>
      <c r="D2334" t="s">
        <v>385</v>
      </c>
      <c r="E2334" t="s">
        <v>127</v>
      </c>
      <c r="F2334" s="9" t="s">
        <v>141</v>
      </c>
      <c r="G2334" t="s">
        <v>26</v>
      </c>
      <c r="H2334" t="s">
        <v>85</v>
      </c>
      <c r="I2334" t="s">
        <v>86</v>
      </c>
      <c r="J2334" t="s">
        <v>53</v>
      </c>
      <c r="K2334" t="s">
        <v>54</v>
      </c>
      <c r="L2334" t="s">
        <v>53</v>
      </c>
      <c r="M2334" t="s">
        <v>54</v>
      </c>
      <c r="N2334" t="s">
        <v>85</v>
      </c>
      <c r="O2334" t="s">
        <v>86</v>
      </c>
      <c r="P2334" t="s">
        <v>53</v>
      </c>
      <c r="Q2334" t="s">
        <v>54</v>
      </c>
      <c r="R2334" s="1">
        <v>44266.452488425923</v>
      </c>
      <c r="S2334" s="1">
        <v>44266.452488425923</v>
      </c>
      <c r="T2334">
        <v>0</v>
      </c>
      <c r="U2334">
        <v>1</v>
      </c>
      <c r="V2334" s="2">
        <v>0</v>
      </c>
      <c r="W2334">
        <v>0</v>
      </c>
      <c r="X2334" t="s">
        <v>44</v>
      </c>
      <c r="Y2334">
        <v>0</v>
      </c>
      <c r="Z2334" t="s">
        <v>31</v>
      </c>
      <c r="AA2334">
        <v>0</v>
      </c>
      <c r="AB2334" t="s">
        <v>31</v>
      </c>
      <c r="AC2334">
        <v>0</v>
      </c>
      <c r="AD2334" t="s">
        <v>31</v>
      </c>
      <c r="AE2334">
        <v>0</v>
      </c>
      <c r="AF2334" t="s">
        <v>31</v>
      </c>
      <c r="AG2334">
        <v>0</v>
      </c>
      <c r="AH2334" t="s">
        <v>31</v>
      </c>
      <c r="AI2334">
        <v>0</v>
      </c>
      <c r="AJ2334" t="s">
        <v>31</v>
      </c>
      <c r="AK2334">
        <v>0</v>
      </c>
      <c r="AL2334" t="s">
        <v>31</v>
      </c>
      <c r="AM2334">
        <v>0</v>
      </c>
      <c r="AN2334" t="s">
        <v>31</v>
      </c>
      <c r="AO2334">
        <v>0</v>
      </c>
      <c r="AP2334" t="s">
        <v>31</v>
      </c>
      <c r="AQ2334">
        <v>0</v>
      </c>
    </row>
    <row r="2335" spans="1:43" x14ac:dyDescent="0.2">
      <c r="A2335" t="s">
        <v>381</v>
      </c>
      <c r="B2335" s="3">
        <v>44266</v>
      </c>
      <c r="C2335">
        <v>34</v>
      </c>
      <c r="D2335" t="s">
        <v>385</v>
      </c>
      <c r="E2335" t="s">
        <v>127</v>
      </c>
      <c r="F2335" s="9" t="s">
        <v>141</v>
      </c>
      <c r="G2335" t="s">
        <v>26</v>
      </c>
      <c r="H2335" t="s">
        <v>85</v>
      </c>
      <c r="I2335" t="s">
        <v>86</v>
      </c>
      <c r="J2335" t="s">
        <v>53</v>
      </c>
      <c r="K2335" t="s">
        <v>54</v>
      </c>
      <c r="L2335" t="s">
        <v>53</v>
      </c>
      <c r="M2335" t="s">
        <v>54</v>
      </c>
      <c r="N2335" t="s">
        <v>85</v>
      </c>
      <c r="O2335" t="s">
        <v>86</v>
      </c>
      <c r="P2335" t="s">
        <v>53</v>
      </c>
      <c r="Q2335" t="s">
        <v>54</v>
      </c>
      <c r="R2335" s="1">
        <v>44266.567083333335</v>
      </c>
      <c r="S2335" s="1">
        <v>44266.567083333335</v>
      </c>
      <c r="T2335">
        <v>0</v>
      </c>
      <c r="U2335">
        <v>1</v>
      </c>
      <c r="V2335" s="2">
        <v>0</v>
      </c>
      <c r="W2335">
        <v>0</v>
      </c>
      <c r="X2335" t="s">
        <v>44</v>
      </c>
      <c r="Y2335">
        <v>0</v>
      </c>
      <c r="Z2335" t="s">
        <v>31</v>
      </c>
      <c r="AA2335">
        <v>0</v>
      </c>
      <c r="AB2335" t="s">
        <v>31</v>
      </c>
      <c r="AC2335">
        <v>0</v>
      </c>
      <c r="AD2335" t="s">
        <v>31</v>
      </c>
      <c r="AE2335">
        <v>0</v>
      </c>
      <c r="AF2335" t="s">
        <v>31</v>
      </c>
      <c r="AG2335">
        <v>0</v>
      </c>
      <c r="AH2335" t="s">
        <v>31</v>
      </c>
      <c r="AI2335">
        <v>0</v>
      </c>
      <c r="AJ2335" t="s">
        <v>31</v>
      </c>
      <c r="AK2335">
        <v>0</v>
      </c>
      <c r="AL2335" t="s">
        <v>31</v>
      </c>
      <c r="AM2335">
        <v>0</v>
      </c>
      <c r="AN2335" t="s">
        <v>31</v>
      </c>
      <c r="AO2335">
        <v>0</v>
      </c>
      <c r="AP2335" t="s">
        <v>31</v>
      </c>
      <c r="AQ2335">
        <v>0</v>
      </c>
    </row>
    <row r="2336" spans="1:43" x14ac:dyDescent="0.2">
      <c r="A2336" t="s">
        <v>381</v>
      </c>
      <c r="B2336" s="3">
        <v>44270</v>
      </c>
      <c r="C2336">
        <v>35</v>
      </c>
      <c r="D2336" t="s">
        <v>384</v>
      </c>
      <c r="E2336" t="s">
        <v>127</v>
      </c>
      <c r="F2336" s="9" t="s">
        <v>141</v>
      </c>
      <c r="G2336" t="s">
        <v>26</v>
      </c>
      <c r="H2336" t="s">
        <v>85</v>
      </c>
      <c r="I2336" t="s">
        <v>86</v>
      </c>
      <c r="J2336" t="s">
        <v>53</v>
      </c>
      <c r="K2336" t="s">
        <v>54</v>
      </c>
      <c r="L2336" t="s">
        <v>53</v>
      </c>
      <c r="M2336" t="s">
        <v>54</v>
      </c>
      <c r="N2336" t="s">
        <v>85</v>
      </c>
      <c r="O2336" t="s">
        <v>86</v>
      </c>
      <c r="P2336" t="s">
        <v>53</v>
      </c>
      <c r="Q2336" t="s">
        <v>54</v>
      </c>
      <c r="R2336" s="1">
        <v>44270.370023148149</v>
      </c>
      <c r="S2336" s="1">
        <v>44270.370023148149</v>
      </c>
      <c r="T2336">
        <v>1</v>
      </c>
      <c r="U2336">
        <v>1</v>
      </c>
      <c r="V2336" s="2">
        <v>1</v>
      </c>
      <c r="W2336">
        <v>1</v>
      </c>
      <c r="X2336" t="s">
        <v>54</v>
      </c>
      <c r="Y2336">
        <v>1</v>
      </c>
      <c r="Z2336" t="s">
        <v>31</v>
      </c>
      <c r="AA2336">
        <v>0</v>
      </c>
      <c r="AB2336" t="s">
        <v>31</v>
      </c>
      <c r="AC2336">
        <v>0</v>
      </c>
      <c r="AD2336" t="s">
        <v>31</v>
      </c>
      <c r="AE2336">
        <v>0</v>
      </c>
      <c r="AF2336" t="s">
        <v>31</v>
      </c>
      <c r="AG2336">
        <v>0</v>
      </c>
      <c r="AH2336" t="s">
        <v>31</v>
      </c>
      <c r="AI2336">
        <v>0</v>
      </c>
      <c r="AJ2336" t="s">
        <v>31</v>
      </c>
      <c r="AK2336">
        <v>0</v>
      </c>
      <c r="AL2336" t="s">
        <v>31</v>
      </c>
      <c r="AM2336">
        <v>0</v>
      </c>
      <c r="AN2336" t="s">
        <v>31</v>
      </c>
      <c r="AO2336">
        <v>0</v>
      </c>
      <c r="AP2336" t="s">
        <v>31</v>
      </c>
      <c r="AQ2336">
        <v>0</v>
      </c>
    </row>
    <row r="2337" spans="1:43" x14ac:dyDescent="0.2">
      <c r="A2337" t="s">
        <v>381</v>
      </c>
      <c r="B2337" s="3">
        <v>44272</v>
      </c>
      <c r="C2337">
        <v>38</v>
      </c>
      <c r="D2337" t="s">
        <v>384</v>
      </c>
      <c r="E2337" t="s">
        <v>127</v>
      </c>
      <c r="F2337" s="9" t="s">
        <v>141</v>
      </c>
      <c r="G2337" t="s">
        <v>26</v>
      </c>
      <c r="H2337" t="s">
        <v>85</v>
      </c>
      <c r="I2337" t="s">
        <v>86</v>
      </c>
      <c r="J2337" t="s">
        <v>53</v>
      </c>
      <c r="K2337" t="s">
        <v>54</v>
      </c>
      <c r="L2337" t="s">
        <v>53</v>
      </c>
      <c r="M2337" t="s">
        <v>54</v>
      </c>
      <c r="N2337" t="s">
        <v>85</v>
      </c>
      <c r="O2337" t="s">
        <v>86</v>
      </c>
      <c r="P2337" t="s">
        <v>53</v>
      </c>
      <c r="Q2337" t="s">
        <v>54</v>
      </c>
      <c r="R2337" s="1">
        <v>44272.386261574073</v>
      </c>
      <c r="S2337" s="1">
        <v>44272.386261574073</v>
      </c>
      <c r="T2337">
        <v>0</v>
      </c>
      <c r="U2337">
        <v>1</v>
      </c>
      <c r="V2337" s="2">
        <v>0</v>
      </c>
      <c r="W2337">
        <v>0</v>
      </c>
      <c r="X2337" t="s">
        <v>44</v>
      </c>
      <c r="Y2337">
        <v>0</v>
      </c>
      <c r="Z2337" t="s">
        <v>31</v>
      </c>
      <c r="AA2337">
        <v>0</v>
      </c>
      <c r="AB2337" t="s">
        <v>31</v>
      </c>
      <c r="AC2337">
        <v>0</v>
      </c>
      <c r="AD2337" t="s">
        <v>31</v>
      </c>
      <c r="AE2337">
        <v>0</v>
      </c>
      <c r="AF2337" t="s">
        <v>31</v>
      </c>
      <c r="AG2337">
        <v>0</v>
      </c>
      <c r="AH2337" t="s">
        <v>31</v>
      </c>
      <c r="AI2337">
        <v>0</v>
      </c>
      <c r="AJ2337" t="s">
        <v>31</v>
      </c>
      <c r="AK2337">
        <v>0</v>
      </c>
      <c r="AL2337" t="s">
        <v>31</v>
      </c>
      <c r="AM2337">
        <v>0</v>
      </c>
      <c r="AN2337" t="s">
        <v>31</v>
      </c>
      <c r="AO2337">
        <v>0</v>
      </c>
      <c r="AP2337" t="s">
        <v>31</v>
      </c>
      <c r="AQ2337">
        <v>0</v>
      </c>
    </row>
    <row r="2338" spans="1:43" x14ac:dyDescent="0.2">
      <c r="A2338" t="s">
        <v>381</v>
      </c>
      <c r="B2338" s="3">
        <v>44279</v>
      </c>
      <c r="C2338">
        <v>41</v>
      </c>
      <c r="D2338" t="s">
        <v>384</v>
      </c>
      <c r="E2338" t="s">
        <v>127</v>
      </c>
      <c r="F2338" s="9" t="s">
        <v>141</v>
      </c>
      <c r="G2338" t="s">
        <v>26</v>
      </c>
      <c r="H2338" t="s">
        <v>85</v>
      </c>
      <c r="I2338" t="s">
        <v>86</v>
      </c>
      <c r="J2338" t="s">
        <v>53</v>
      </c>
      <c r="K2338" t="s">
        <v>54</v>
      </c>
      <c r="L2338" t="s">
        <v>53</v>
      </c>
      <c r="M2338" t="s">
        <v>54</v>
      </c>
      <c r="N2338" t="s">
        <v>85</v>
      </c>
      <c r="O2338" t="s">
        <v>86</v>
      </c>
      <c r="P2338" t="s">
        <v>53</v>
      </c>
      <c r="Q2338" t="s">
        <v>54</v>
      </c>
      <c r="R2338" s="1">
        <v>44279.417025462964</v>
      </c>
      <c r="S2338" s="1">
        <v>44279.417025462964</v>
      </c>
      <c r="T2338">
        <v>0</v>
      </c>
      <c r="U2338">
        <v>1</v>
      </c>
      <c r="V2338" s="2">
        <v>0</v>
      </c>
      <c r="W2338">
        <v>0</v>
      </c>
      <c r="X2338" t="s">
        <v>44</v>
      </c>
      <c r="Y2338">
        <v>0</v>
      </c>
      <c r="Z2338" t="s">
        <v>31</v>
      </c>
      <c r="AA2338">
        <v>0</v>
      </c>
      <c r="AB2338" t="s">
        <v>31</v>
      </c>
      <c r="AC2338">
        <v>0</v>
      </c>
      <c r="AD2338" t="s">
        <v>31</v>
      </c>
      <c r="AE2338">
        <v>0</v>
      </c>
      <c r="AF2338" t="s">
        <v>31</v>
      </c>
      <c r="AG2338">
        <v>0</v>
      </c>
      <c r="AH2338" t="s">
        <v>31</v>
      </c>
      <c r="AI2338">
        <v>0</v>
      </c>
      <c r="AJ2338" t="s">
        <v>31</v>
      </c>
      <c r="AK2338">
        <v>0</v>
      </c>
      <c r="AL2338" t="s">
        <v>31</v>
      </c>
      <c r="AM2338">
        <v>0</v>
      </c>
      <c r="AN2338" t="s">
        <v>31</v>
      </c>
      <c r="AO2338">
        <v>0</v>
      </c>
      <c r="AP2338" t="s">
        <v>31</v>
      </c>
      <c r="AQ2338">
        <v>0</v>
      </c>
    </row>
    <row r="2339" spans="1:43" x14ac:dyDescent="0.2">
      <c r="A2339" t="s">
        <v>381</v>
      </c>
      <c r="B2339" s="3">
        <v>44284</v>
      </c>
      <c r="C2339">
        <v>43</v>
      </c>
      <c r="D2339" t="s">
        <v>384</v>
      </c>
      <c r="E2339" t="s">
        <v>127</v>
      </c>
      <c r="F2339" s="9" t="s">
        <v>141</v>
      </c>
      <c r="G2339" t="s">
        <v>26</v>
      </c>
      <c r="H2339" t="s">
        <v>85</v>
      </c>
      <c r="I2339" t="s">
        <v>86</v>
      </c>
      <c r="J2339" t="s">
        <v>53</v>
      </c>
      <c r="K2339" t="s">
        <v>54</v>
      </c>
      <c r="L2339" t="s">
        <v>53</v>
      </c>
      <c r="M2339" t="s">
        <v>54</v>
      </c>
      <c r="N2339" t="s">
        <v>85</v>
      </c>
      <c r="O2339" t="s">
        <v>86</v>
      </c>
      <c r="P2339" t="s">
        <v>53</v>
      </c>
      <c r="Q2339" t="s">
        <v>54</v>
      </c>
      <c r="R2339" s="1">
        <v>44284.385682870372</v>
      </c>
      <c r="S2339" s="1">
        <v>44284.385682870372</v>
      </c>
      <c r="T2339">
        <v>0</v>
      </c>
      <c r="U2339">
        <v>1</v>
      </c>
      <c r="V2339" s="2">
        <v>0</v>
      </c>
      <c r="W2339">
        <v>0</v>
      </c>
      <c r="X2339" t="s">
        <v>44</v>
      </c>
      <c r="Y2339">
        <v>0</v>
      </c>
      <c r="Z2339" t="s">
        <v>31</v>
      </c>
      <c r="AA2339">
        <v>0</v>
      </c>
      <c r="AB2339" t="s">
        <v>31</v>
      </c>
      <c r="AC2339">
        <v>0</v>
      </c>
      <c r="AD2339" t="s">
        <v>31</v>
      </c>
      <c r="AE2339">
        <v>0</v>
      </c>
      <c r="AF2339" t="s">
        <v>31</v>
      </c>
      <c r="AG2339">
        <v>0</v>
      </c>
      <c r="AH2339" t="s">
        <v>31</v>
      </c>
      <c r="AI2339">
        <v>0</v>
      </c>
      <c r="AJ2339" t="s">
        <v>31</v>
      </c>
      <c r="AK2339">
        <v>0</v>
      </c>
      <c r="AL2339" t="s">
        <v>31</v>
      </c>
      <c r="AM2339">
        <v>0</v>
      </c>
      <c r="AN2339" t="s">
        <v>31</v>
      </c>
      <c r="AO2339">
        <v>0</v>
      </c>
      <c r="AP2339" t="s">
        <v>31</v>
      </c>
      <c r="AQ2339">
        <v>0</v>
      </c>
    </row>
    <row r="2340" spans="1:43" x14ac:dyDescent="0.2">
      <c r="A2340" t="s">
        <v>381</v>
      </c>
      <c r="B2340" s="3">
        <v>44287</v>
      </c>
      <c r="C2340">
        <v>47</v>
      </c>
      <c r="D2340" t="s">
        <v>385</v>
      </c>
      <c r="E2340" t="s">
        <v>127</v>
      </c>
      <c r="F2340" s="9" t="s">
        <v>141</v>
      </c>
      <c r="G2340" t="s">
        <v>26</v>
      </c>
      <c r="H2340" t="s">
        <v>85</v>
      </c>
      <c r="I2340" t="s">
        <v>86</v>
      </c>
      <c r="J2340" t="s">
        <v>53</v>
      </c>
      <c r="K2340" t="s">
        <v>54</v>
      </c>
      <c r="L2340" t="s">
        <v>53</v>
      </c>
      <c r="M2340" t="s">
        <v>54</v>
      </c>
      <c r="N2340" t="s">
        <v>85</v>
      </c>
      <c r="O2340" t="s">
        <v>86</v>
      </c>
      <c r="P2340" t="s">
        <v>53</v>
      </c>
      <c r="Q2340" t="s">
        <v>54</v>
      </c>
      <c r="R2340" s="1">
        <v>44287.468287037038</v>
      </c>
      <c r="S2340" s="1">
        <v>44287.468287037038</v>
      </c>
      <c r="T2340">
        <v>0</v>
      </c>
      <c r="U2340">
        <v>2</v>
      </c>
      <c r="V2340" s="2">
        <v>0</v>
      </c>
      <c r="W2340">
        <v>0</v>
      </c>
      <c r="X2340" t="s">
        <v>44</v>
      </c>
      <c r="Y2340">
        <v>0</v>
      </c>
      <c r="Z2340" t="s">
        <v>44</v>
      </c>
      <c r="AA2340">
        <v>0</v>
      </c>
      <c r="AB2340" t="s">
        <v>31</v>
      </c>
      <c r="AC2340">
        <v>0</v>
      </c>
      <c r="AD2340" t="s">
        <v>31</v>
      </c>
      <c r="AE2340">
        <v>0</v>
      </c>
      <c r="AF2340" t="s">
        <v>31</v>
      </c>
      <c r="AG2340">
        <v>0</v>
      </c>
      <c r="AH2340" t="s">
        <v>31</v>
      </c>
      <c r="AI2340">
        <v>0</v>
      </c>
      <c r="AJ2340" t="s">
        <v>31</v>
      </c>
      <c r="AK2340">
        <v>0</v>
      </c>
      <c r="AL2340" t="s">
        <v>31</v>
      </c>
      <c r="AM2340">
        <v>0</v>
      </c>
      <c r="AN2340" t="s">
        <v>31</v>
      </c>
      <c r="AO2340">
        <v>0</v>
      </c>
      <c r="AP2340" t="s">
        <v>31</v>
      </c>
      <c r="AQ2340">
        <v>0</v>
      </c>
    </row>
    <row r="2341" spans="1:43" x14ac:dyDescent="0.2">
      <c r="A2341" t="s">
        <v>381</v>
      </c>
      <c r="B2341" s="3">
        <v>44288</v>
      </c>
      <c r="C2341">
        <v>49</v>
      </c>
      <c r="D2341" t="s">
        <v>384</v>
      </c>
      <c r="E2341" t="s">
        <v>127</v>
      </c>
      <c r="F2341" s="9" t="s">
        <v>141</v>
      </c>
      <c r="G2341" t="s">
        <v>26</v>
      </c>
      <c r="H2341" t="s">
        <v>85</v>
      </c>
      <c r="I2341" t="s">
        <v>86</v>
      </c>
      <c r="J2341" t="s">
        <v>53</v>
      </c>
      <c r="K2341" t="s">
        <v>54</v>
      </c>
      <c r="L2341" t="s">
        <v>53</v>
      </c>
      <c r="M2341" t="s">
        <v>54</v>
      </c>
      <c r="N2341" t="s">
        <v>85</v>
      </c>
      <c r="O2341" t="s">
        <v>86</v>
      </c>
      <c r="P2341" t="s">
        <v>53</v>
      </c>
      <c r="Q2341" t="s">
        <v>54</v>
      </c>
      <c r="R2341" s="1">
        <v>44288.46297453704</v>
      </c>
      <c r="S2341" s="1">
        <v>44288.46297453704</v>
      </c>
      <c r="T2341">
        <v>0</v>
      </c>
      <c r="U2341">
        <v>1</v>
      </c>
      <c r="V2341" s="2">
        <v>0</v>
      </c>
      <c r="W2341">
        <v>0</v>
      </c>
      <c r="X2341" t="s">
        <v>44</v>
      </c>
      <c r="Y2341">
        <v>0</v>
      </c>
      <c r="Z2341" t="s">
        <v>31</v>
      </c>
      <c r="AA2341">
        <v>0</v>
      </c>
      <c r="AB2341" t="s">
        <v>31</v>
      </c>
      <c r="AC2341">
        <v>0</v>
      </c>
      <c r="AD2341" t="s">
        <v>31</v>
      </c>
      <c r="AE2341">
        <v>0</v>
      </c>
      <c r="AF2341" t="s">
        <v>31</v>
      </c>
      <c r="AG2341">
        <v>0</v>
      </c>
      <c r="AH2341" t="s">
        <v>31</v>
      </c>
      <c r="AI2341">
        <v>0</v>
      </c>
      <c r="AJ2341" t="s">
        <v>31</v>
      </c>
      <c r="AK2341">
        <v>0</v>
      </c>
      <c r="AL2341" t="s">
        <v>31</v>
      </c>
      <c r="AM2341">
        <v>0</v>
      </c>
      <c r="AN2341" t="s">
        <v>31</v>
      </c>
      <c r="AO2341">
        <v>0</v>
      </c>
      <c r="AP2341" t="s">
        <v>31</v>
      </c>
      <c r="AQ2341">
        <v>0</v>
      </c>
    </row>
    <row r="2342" spans="1:43" x14ac:dyDescent="0.2">
      <c r="A2342" t="s">
        <v>381</v>
      </c>
      <c r="B2342" s="3">
        <v>44291</v>
      </c>
      <c r="C2342">
        <v>50</v>
      </c>
      <c r="D2342" t="s">
        <v>384</v>
      </c>
      <c r="E2342" t="s">
        <v>127</v>
      </c>
      <c r="F2342" s="9" t="s">
        <v>141</v>
      </c>
      <c r="G2342" t="s">
        <v>26</v>
      </c>
      <c r="H2342" t="s">
        <v>85</v>
      </c>
      <c r="I2342" t="s">
        <v>86</v>
      </c>
      <c r="J2342" t="s">
        <v>53</v>
      </c>
      <c r="K2342" t="s">
        <v>54</v>
      </c>
      <c r="L2342" t="s">
        <v>53</v>
      </c>
      <c r="M2342" t="s">
        <v>54</v>
      </c>
      <c r="N2342" t="s">
        <v>85</v>
      </c>
      <c r="O2342" t="s">
        <v>86</v>
      </c>
      <c r="P2342" t="s">
        <v>53</v>
      </c>
      <c r="Q2342" t="s">
        <v>54</v>
      </c>
      <c r="R2342" s="1">
        <v>44291.418599537035</v>
      </c>
      <c r="S2342" s="1">
        <v>44291.418599537035</v>
      </c>
      <c r="T2342">
        <v>0</v>
      </c>
      <c r="U2342">
        <v>1</v>
      </c>
      <c r="V2342" s="2">
        <v>0</v>
      </c>
      <c r="W2342">
        <v>0</v>
      </c>
      <c r="X2342" t="s">
        <v>44</v>
      </c>
      <c r="Y2342">
        <v>0</v>
      </c>
      <c r="Z2342" t="s">
        <v>31</v>
      </c>
      <c r="AA2342">
        <v>0</v>
      </c>
      <c r="AB2342" t="s">
        <v>31</v>
      </c>
      <c r="AC2342">
        <v>0</v>
      </c>
      <c r="AD2342" t="s">
        <v>31</v>
      </c>
      <c r="AE2342">
        <v>0</v>
      </c>
      <c r="AF2342" t="s">
        <v>31</v>
      </c>
      <c r="AG2342">
        <v>0</v>
      </c>
      <c r="AH2342" t="s">
        <v>31</v>
      </c>
      <c r="AI2342">
        <v>0</v>
      </c>
      <c r="AJ2342" t="s">
        <v>31</v>
      </c>
      <c r="AK2342">
        <v>0</v>
      </c>
      <c r="AL2342" t="s">
        <v>31</v>
      </c>
      <c r="AM2342">
        <v>0</v>
      </c>
      <c r="AN2342" t="s">
        <v>31</v>
      </c>
      <c r="AO2342">
        <v>0</v>
      </c>
      <c r="AP2342" t="s">
        <v>31</v>
      </c>
      <c r="AQ2342">
        <v>0</v>
      </c>
    </row>
    <row r="2343" spans="1:43" x14ac:dyDescent="0.2">
      <c r="A2343" t="s">
        <v>381</v>
      </c>
      <c r="B2343" s="3">
        <v>44293</v>
      </c>
      <c r="C2343">
        <v>53</v>
      </c>
      <c r="D2343" t="s">
        <v>384</v>
      </c>
      <c r="E2343" t="s">
        <v>127</v>
      </c>
      <c r="F2343" s="9" t="s">
        <v>141</v>
      </c>
      <c r="G2343" t="s">
        <v>26</v>
      </c>
      <c r="H2343" t="s">
        <v>85</v>
      </c>
      <c r="I2343" t="s">
        <v>86</v>
      </c>
      <c r="J2343" t="s">
        <v>53</v>
      </c>
      <c r="K2343" t="s">
        <v>54</v>
      </c>
      <c r="L2343" t="s">
        <v>53</v>
      </c>
      <c r="M2343" t="s">
        <v>54</v>
      </c>
      <c r="N2343" t="s">
        <v>85</v>
      </c>
      <c r="O2343" t="s">
        <v>86</v>
      </c>
      <c r="P2343" t="s">
        <v>53</v>
      </c>
      <c r="Q2343" t="s">
        <v>54</v>
      </c>
      <c r="R2343" s="1">
        <v>44293.380127314813</v>
      </c>
      <c r="S2343" s="1">
        <v>44293.380127314813</v>
      </c>
      <c r="T2343">
        <v>0</v>
      </c>
      <c r="U2343">
        <v>1</v>
      </c>
      <c r="V2343" s="2">
        <v>0</v>
      </c>
      <c r="W2343">
        <v>0</v>
      </c>
      <c r="X2343" t="s">
        <v>44</v>
      </c>
      <c r="Y2343">
        <v>0</v>
      </c>
      <c r="Z2343" t="s">
        <v>31</v>
      </c>
      <c r="AA2343">
        <v>0</v>
      </c>
      <c r="AB2343" t="s">
        <v>31</v>
      </c>
      <c r="AC2343">
        <v>0</v>
      </c>
      <c r="AD2343" t="s">
        <v>31</v>
      </c>
      <c r="AE2343">
        <v>0</v>
      </c>
      <c r="AF2343" t="s">
        <v>31</v>
      </c>
      <c r="AG2343">
        <v>0</v>
      </c>
      <c r="AH2343" t="s">
        <v>31</v>
      </c>
      <c r="AI2343">
        <v>0</v>
      </c>
      <c r="AJ2343" t="s">
        <v>31</v>
      </c>
      <c r="AK2343">
        <v>0</v>
      </c>
      <c r="AL2343" t="s">
        <v>31</v>
      </c>
      <c r="AM2343">
        <v>0</v>
      </c>
      <c r="AN2343" t="s">
        <v>31</v>
      </c>
      <c r="AO2343">
        <v>0</v>
      </c>
      <c r="AP2343" t="s">
        <v>31</v>
      </c>
      <c r="AQ2343">
        <v>0</v>
      </c>
    </row>
    <row r="2344" spans="1:43" x14ac:dyDescent="0.2">
      <c r="A2344" t="s">
        <v>381</v>
      </c>
      <c r="B2344" s="3">
        <v>44300</v>
      </c>
      <c r="C2344">
        <v>61</v>
      </c>
      <c r="D2344" t="s">
        <v>401</v>
      </c>
      <c r="E2344" t="s">
        <v>127</v>
      </c>
      <c r="F2344" s="9" t="s">
        <v>141</v>
      </c>
      <c r="G2344" t="s">
        <v>26</v>
      </c>
      <c r="H2344" t="s">
        <v>85</v>
      </c>
      <c r="I2344" t="s">
        <v>86</v>
      </c>
      <c r="J2344" t="s">
        <v>53</v>
      </c>
      <c r="K2344" t="s">
        <v>54</v>
      </c>
      <c r="L2344" t="s">
        <v>53</v>
      </c>
      <c r="M2344" t="s">
        <v>54</v>
      </c>
      <c r="N2344" t="s">
        <v>85</v>
      </c>
      <c r="O2344" t="s">
        <v>86</v>
      </c>
      <c r="P2344" t="s">
        <v>53</v>
      </c>
      <c r="Q2344" t="s">
        <v>54</v>
      </c>
      <c r="R2344" s="1">
        <v>44300.657731481479</v>
      </c>
      <c r="S2344" s="1">
        <v>44300.657731481479</v>
      </c>
      <c r="T2344">
        <v>0</v>
      </c>
      <c r="U2344">
        <v>1</v>
      </c>
      <c r="V2344" s="2">
        <v>0</v>
      </c>
      <c r="W2344">
        <v>0</v>
      </c>
      <c r="X2344" t="s">
        <v>44</v>
      </c>
      <c r="Y2344">
        <v>0</v>
      </c>
      <c r="Z2344" t="s">
        <v>31</v>
      </c>
      <c r="AA2344">
        <v>0</v>
      </c>
      <c r="AB2344" t="s">
        <v>31</v>
      </c>
      <c r="AC2344">
        <v>0</v>
      </c>
      <c r="AD2344" t="s">
        <v>31</v>
      </c>
      <c r="AE2344">
        <v>0</v>
      </c>
      <c r="AF2344" t="s">
        <v>31</v>
      </c>
      <c r="AG2344">
        <v>0</v>
      </c>
      <c r="AH2344" t="s">
        <v>31</v>
      </c>
      <c r="AI2344">
        <v>0</v>
      </c>
      <c r="AJ2344" t="s">
        <v>31</v>
      </c>
      <c r="AK2344">
        <v>0</v>
      </c>
      <c r="AL2344" t="s">
        <v>31</v>
      </c>
      <c r="AM2344">
        <v>0</v>
      </c>
      <c r="AN2344" t="s">
        <v>31</v>
      </c>
      <c r="AO2344">
        <v>0</v>
      </c>
      <c r="AP2344" t="s">
        <v>31</v>
      </c>
      <c r="AQ2344">
        <v>0</v>
      </c>
    </row>
    <row r="2345" spans="1:43" x14ac:dyDescent="0.2">
      <c r="A2345" t="s">
        <v>381</v>
      </c>
      <c r="B2345" s="3">
        <v>44302</v>
      </c>
      <c r="C2345">
        <v>65</v>
      </c>
      <c r="D2345" t="s">
        <v>387</v>
      </c>
      <c r="E2345" t="s">
        <v>127</v>
      </c>
      <c r="F2345" s="9" t="s">
        <v>141</v>
      </c>
      <c r="G2345" t="s">
        <v>26</v>
      </c>
      <c r="H2345" t="s">
        <v>85</v>
      </c>
      <c r="I2345" t="s">
        <v>86</v>
      </c>
      <c r="J2345" t="s">
        <v>53</v>
      </c>
      <c r="K2345" t="s">
        <v>54</v>
      </c>
      <c r="L2345" t="s">
        <v>53</v>
      </c>
      <c r="M2345" t="s">
        <v>54</v>
      </c>
      <c r="N2345" t="s">
        <v>85</v>
      </c>
      <c r="O2345" t="s">
        <v>86</v>
      </c>
      <c r="P2345" t="s">
        <v>53</v>
      </c>
      <c r="Q2345" t="s">
        <v>54</v>
      </c>
      <c r="R2345" s="1">
        <v>44302.601319444446</v>
      </c>
      <c r="S2345" s="1">
        <v>44302.601319444446</v>
      </c>
      <c r="T2345">
        <v>0</v>
      </c>
      <c r="U2345">
        <v>1</v>
      </c>
      <c r="V2345" s="2">
        <v>0</v>
      </c>
      <c r="W2345">
        <v>0</v>
      </c>
      <c r="X2345" t="s">
        <v>44</v>
      </c>
      <c r="Y2345">
        <v>0</v>
      </c>
      <c r="Z2345" t="s">
        <v>31</v>
      </c>
      <c r="AA2345">
        <v>0</v>
      </c>
      <c r="AB2345" t="s">
        <v>31</v>
      </c>
      <c r="AC2345">
        <v>0</v>
      </c>
      <c r="AD2345" t="s">
        <v>31</v>
      </c>
      <c r="AE2345">
        <v>0</v>
      </c>
      <c r="AF2345" t="s">
        <v>31</v>
      </c>
      <c r="AG2345">
        <v>0</v>
      </c>
      <c r="AH2345" t="s">
        <v>31</v>
      </c>
      <c r="AI2345">
        <v>0</v>
      </c>
      <c r="AJ2345" t="s">
        <v>31</v>
      </c>
      <c r="AK2345">
        <v>0</v>
      </c>
      <c r="AL2345" t="s">
        <v>31</v>
      </c>
      <c r="AM2345">
        <v>0</v>
      </c>
      <c r="AN2345" t="s">
        <v>31</v>
      </c>
      <c r="AO2345">
        <v>0</v>
      </c>
      <c r="AP2345" t="s">
        <v>31</v>
      </c>
      <c r="AQ2345">
        <v>0</v>
      </c>
    </row>
    <row r="2346" spans="1:43" x14ac:dyDescent="0.2">
      <c r="A2346" t="s">
        <v>381</v>
      </c>
      <c r="B2346" s="3">
        <v>44313</v>
      </c>
      <c r="C2346">
        <v>74</v>
      </c>
      <c r="D2346" t="s">
        <v>383</v>
      </c>
      <c r="E2346" t="s">
        <v>127</v>
      </c>
      <c r="F2346" s="9" t="s">
        <v>141</v>
      </c>
      <c r="G2346" t="s">
        <v>26</v>
      </c>
      <c r="H2346" t="s">
        <v>85</v>
      </c>
      <c r="I2346" t="s">
        <v>86</v>
      </c>
      <c r="J2346" t="s">
        <v>53</v>
      </c>
      <c r="K2346" t="s">
        <v>54</v>
      </c>
      <c r="L2346" t="s">
        <v>53</v>
      </c>
      <c r="M2346" t="s">
        <v>54</v>
      </c>
      <c r="N2346" t="s">
        <v>85</v>
      </c>
      <c r="O2346" t="s">
        <v>86</v>
      </c>
      <c r="P2346" t="s">
        <v>53</v>
      </c>
      <c r="Q2346" t="s">
        <v>54</v>
      </c>
      <c r="R2346" s="1">
        <v>44313.465555555558</v>
      </c>
      <c r="S2346" s="1">
        <v>44313.465821759259</v>
      </c>
      <c r="T2346">
        <v>0</v>
      </c>
      <c r="U2346">
        <v>2</v>
      </c>
      <c r="V2346" s="2">
        <v>0</v>
      </c>
      <c r="W2346">
        <v>0</v>
      </c>
      <c r="X2346" t="s">
        <v>44</v>
      </c>
      <c r="Y2346">
        <v>0</v>
      </c>
      <c r="Z2346" t="s">
        <v>44</v>
      </c>
      <c r="AA2346">
        <v>0</v>
      </c>
      <c r="AB2346" t="s">
        <v>31</v>
      </c>
      <c r="AC2346">
        <v>0</v>
      </c>
      <c r="AD2346" t="s">
        <v>31</v>
      </c>
      <c r="AE2346">
        <v>0</v>
      </c>
      <c r="AF2346" t="s">
        <v>31</v>
      </c>
      <c r="AG2346">
        <v>0</v>
      </c>
      <c r="AH2346" t="s">
        <v>31</v>
      </c>
      <c r="AI2346">
        <v>0</v>
      </c>
      <c r="AJ2346" t="s">
        <v>31</v>
      </c>
      <c r="AK2346">
        <v>0</v>
      </c>
      <c r="AL2346" t="s">
        <v>31</v>
      </c>
      <c r="AM2346">
        <v>0</v>
      </c>
      <c r="AN2346" t="s">
        <v>31</v>
      </c>
      <c r="AO2346">
        <v>0</v>
      </c>
      <c r="AP2346" t="s">
        <v>31</v>
      </c>
      <c r="AQ2346">
        <v>0</v>
      </c>
    </row>
    <row r="2347" spans="1:43" x14ac:dyDescent="0.2">
      <c r="A2347" t="s">
        <v>381</v>
      </c>
      <c r="B2347" s="3">
        <v>44314</v>
      </c>
      <c r="C2347">
        <v>77</v>
      </c>
      <c r="D2347" t="s">
        <v>403</v>
      </c>
      <c r="E2347" t="s">
        <v>127</v>
      </c>
      <c r="F2347" s="9" t="s">
        <v>141</v>
      </c>
      <c r="G2347" t="s">
        <v>26</v>
      </c>
      <c r="H2347" t="s">
        <v>85</v>
      </c>
      <c r="I2347" t="s">
        <v>86</v>
      </c>
      <c r="J2347" t="s">
        <v>53</v>
      </c>
      <c r="K2347" t="s">
        <v>54</v>
      </c>
      <c r="L2347" t="s">
        <v>53</v>
      </c>
      <c r="M2347" t="s">
        <v>54</v>
      </c>
      <c r="N2347" t="s">
        <v>85</v>
      </c>
      <c r="O2347" t="s">
        <v>86</v>
      </c>
      <c r="P2347" t="s">
        <v>53</v>
      </c>
      <c r="Q2347" t="s">
        <v>54</v>
      </c>
      <c r="R2347" s="1">
        <v>44314.454710648148</v>
      </c>
      <c r="S2347" s="1">
        <v>44314.454710648148</v>
      </c>
      <c r="T2347">
        <v>0</v>
      </c>
      <c r="U2347">
        <v>1</v>
      </c>
      <c r="V2347" s="2">
        <v>0</v>
      </c>
      <c r="W2347">
        <v>0</v>
      </c>
      <c r="X2347" t="s">
        <v>44</v>
      </c>
      <c r="Y2347">
        <v>0</v>
      </c>
      <c r="Z2347" t="s">
        <v>31</v>
      </c>
      <c r="AA2347">
        <v>0</v>
      </c>
      <c r="AB2347" t="s">
        <v>31</v>
      </c>
      <c r="AC2347">
        <v>0</v>
      </c>
      <c r="AD2347" t="s">
        <v>31</v>
      </c>
      <c r="AE2347">
        <v>0</v>
      </c>
      <c r="AF2347" t="s">
        <v>31</v>
      </c>
      <c r="AG2347">
        <v>0</v>
      </c>
      <c r="AH2347" t="s">
        <v>31</v>
      </c>
      <c r="AI2347">
        <v>0</v>
      </c>
      <c r="AJ2347" t="s">
        <v>31</v>
      </c>
      <c r="AK2347">
        <v>0</v>
      </c>
      <c r="AL2347" t="s">
        <v>31</v>
      </c>
      <c r="AM2347">
        <v>0</v>
      </c>
      <c r="AN2347" t="s">
        <v>31</v>
      </c>
      <c r="AO2347">
        <v>0</v>
      </c>
      <c r="AP2347" t="s">
        <v>31</v>
      </c>
      <c r="AQ2347">
        <v>0</v>
      </c>
    </row>
    <row r="2348" spans="1:43" x14ac:dyDescent="0.2">
      <c r="A2348" t="s">
        <v>381</v>
      </c>
      <c r="B2348" s="3">
        <v>44316</v>
      </c>
      <c r="C2348">
        <v>83</v>
      </c>
      <c r="D2348" t="s">
        <v>387</v>
      </c>
      <c r="E2348" t="s">
        <v>127</v>
      </c>
      <c r="F2348" s="9" t="s">
        <v>141</v>
      </c>
      <c r="G2348" t="s">
        <v>26</v>
      </c>
      <c r="H2348" t="s">
        <v>85</v>
      </c>
      <c r="I2348" t="s">
        <v>86</v>
      </c>
      <c r="J2348" t="s">
        <v>53</v>
      </c>
      <c r="K2348" t="s">
        <v>54</v>
      </c>
      <c r="L2348" t="s">
        <v>53</v>
      </c>
      <c r="M2348" t="s">
        <v>54</v>
      </c>
      <c r="N2348" t="s">
        <v>85</v>
      </c>
      <c r="O2348" t="s">
        <v>86</v>
      </c>
      <c r="P2348" t="s">
        <v>53</v>
      </c>
      <c r="Q2348" t="s">
        <v>54</v>
      </c>
      <c r="R2348" s="1">
        <v>44316.567858796298</v>
      </c>
      <c r="S2348" s="1">
        <v>44316.567858796298</v>
      </c>
      <c r="T2348">
        <v>0</v>
      </c>
      <c r="U2348">
        <v>1</v>
      </c>
      <c r="V2348" s="2">
        <v>0</v>
      </c>
      <c r="W2348">
        <v>0</v>
      </c>
      <c r="X2348" t="s">
        <v>44</v>
      </c>
      <c r="Y2348">
        <v>0</v>
      </c>
      <c r="Z2348" t="s">
        <v>31</v>
      </c>
      <c r="AA2348">
        <v>0</v>
      </c>
      <c r="AB2348" t="s">
        <v>31</v>
      </c>
      <c r="AC2348">
        <v>0</v>
      </c>
      <c r="AD2348" t="s">
        <v>31</v>
      </c>
      <c r="AE2348">
        <v>0</v>
      </c>
      <c r="AF2348" t="s">
        <v>31</v>
      </c>
      <c r="AG2348">
        <v>0</v>
      </c>
      <c r="AH2348" t="s">
        <v>31</v>
      </c>
      <c r="AI2348">
        <v>0</v>
      </c>
      <c r="AJ2348" t="s">
        <v>31</v>
      </c>
      <c r="AK2348">
        <v>0</v>
      </c>
      <c r="AL2348" t="s">
        <v>31</v>
      </c>
      <c r="AM2348">
        <v>0</v>
      </c>
      <c r="AN2348" t="s">
        <v>31</v>
      </c>
      <c r="AO2348">
        <v>0</v>
      </c>
      <c r="AP2348" t="s">
        <v>31</v>
      </c>
      <c r="AQ2348">
        <v>0</v>
      </c>
    </row>
    <row r="2349" spans="1:43" x14ac:dyDescent="0.2">
      <c r="A2349" t="s">
        <v>381</v>
      </c>
      <c r="B2349" s="3">
        <v>44319</v>
      </c>
      <c r="C2349">
        <v>84</v>
      </c>
      <c r="D2349" t="s">
        <v>390</v>
      </c>
      <c r="E2349" t="s">
        <v>127</v>
      </c>
      <c r="F2349" s="9" t="s">
        <v>141</v>
      </c>
      <c r="G2349" t="s">
        <v>26</v>
      </c>
      <c r="H2349" t="s">
        <v>85</v>
      </c>
      <c r="I2349" t="s">
        <v>86</v>
      </c>
      <c r="J2349" t="s">
        <v>53</v>
      </c>
      <c r="K2349" t="s">
        <v>54</v>
      </c>
      <c r="L2349" t="s">
        <v>53</v>
      </c>
      <c r="M2349" t="s">
        <v>54</v>
      </c>
      <c r="N2349" t="s">
        <v>85</v>
      </c>
      <c r="O2349" t="s">
        <v>86</v>
      </c>
      <c r="P2349" t="s">
        <v>53</v>
      </c>
      <c r="Q2349" t="s">
        <v>54</v>
      </c>
      <c r="R2349" s="1">
        <v>44319.480682870373</v>
      </c>
      <c r="S2349" s="1">
        <v>44319.480682870373</v>
      </c>
      <c r="T2349">
        <v>0</v>
      </c>
      <c r="U2349">
        <v>1</v>
      </c>
      <c r="V2349" s="2">
        <v>0</v>
      </c>
      <c r="W2349">
        <v>0</v>
      </c>
      <c r="X2349" t="s">
        <v>44</v>
      </c>
      <c r="Y2349">
        <v>0</v>
      </c>
      <c r="Z2349" t="s">
        <v>31</v>
      </c>
      <c r="AA2349">
        <v>0</v>
      </c>
      <c r="AB2349" t="s">
        <v>31</v>
      </c>
      <c r="AC2349">
        <v>0</v>
      </c>
      <c r="AD2349" t="s">
        <v>31</v>
      </c>
      <c r="AE2349">
        <v>0</v>
      </c>
      <c r="AF2349" t="s">
        <v>31</v>
      </c>
      <c r="AG2349">
        <v>0</v>
      </c>
      <c r="AH2349" t="s">
        <v>31</v>
      </c>
      <c r="AI2349">
        <v>0</v>
      </c>
      <c r="AJ2349" t="s">
        <v>31</v>
      </c>
      <c r="AK2349">
        <v>0</v>
      </c>
      <c r="AL2349" t="s">
        <v>31</v>
      </c>
      <c r="AM2349">
        <v>0</v>
      </c>
      <c r="AN2349" t="s">
        <v>31</v>
      </c>
      <c r="AO2349">
        <v>0</v>
      </c>
      <c r="AP2349" t="s">
        <v>31</v>
      </c>
      <c r="AQ2349">
        <v>0</v>
      </c>
    </row>
    <row r="2350" spans="1:43" x14ac:dyDescent="0.2">
      <c r="A2350" t="s">
        <v>381</v>
      </c>
      <c r="B2350" s="3">
        <v>44321</v>
      </c>
      <c r="C2350">
        <v>89</v>
      </c>
      <c r="D2350" t="s">
        <v>387</v>
      </c>
      <c r="E2350" t="s">
        <v>127</v>
      </c>
      <c r="F2350" s="9" t="s">
        <v>141</v>
      </c>
      <c r="G2350" t="s">
        <v>26</v>
      </c>
      <c r="H2350" t="s">
        <v>85</v>
      </c>
      <c r="I2350" t="s">
        <v>86</v>
      </c>
      <c r="J2350" t="s">
        <v>53</v>
      </c>
      <c r="K2350" t="s">
        <v>54</v>
      </c>
      <c r="L2350" t="s">
        <v>53</v>
      </c>
      <c r="M2350" t="s">
        <v>54</v>
      </c>
      <c r="N2350" t="s">
        <v>85</v>
      </c>
      <c r="O2350" t="s">
        <v>86</v>
      </c>
      <c r="P2350" t="s">
        <v>53</v>
      </c>
      <c r="Q2350" t="s">
        <v>54</v>
      </c>
      <c r="R2350" s="1">
        <v>44321.535532407404</v>
      </c>
      <c r="S2350" s="1">
        <v>44321.535532407404</v>
      </c>
      <c r="T2350">
        <v>0</v>
      </c>
      <c r="U2350">
        <v>1</v>
      </c>
      <c r="V2350" s="2">
        <v>0</v>
      </c>
      <c r="W2350">
        <v>0</v>
      </c>
      <c r="X2350" t="s">
        <v>44</v>
      </c>
      <c r="Y2350">
        <v>0</v>
      </c>
      <c r="Z2350" t="s">
        <v>31</v>
      </c>
      <c r="AA2350">
        <v>0</v>
      </c>
      <c r="AB2350" t="s">
        <v>31</v>
      </c>
      <c r="AC2350">
        <v>0</v>
      </c>
      <c r="AD2350" t="s">
        <v>31</v>
      </c>
      <c r="AE2350">
        <v>0</v>
      </c>
      <c r="AF2350" t="s">
        <v>31</v>
      </c>
      <c r="AG2350">
        <v>0</v>
      </c>
      <c r="AH2350" t="s">
        <v>31</v>
      </c>
      <c r="AI2350">
        <v>0</v>
      </c>
      <c r="AJ2350" t="s">
        <v>31</v>
      </c>
      <c r="AK2350">
        <v>0</v>
      </c>
      <c r="AL2350" t="s">
        <v>31</v>
      </c>
      <c r="AM2350">
        <v>0</v>
      </c>
      <c r="AN2350" t="s">
        <v>31</v>
      </c>
      <c r="AO2350">
        <v>0</v>
      </c>
      <c r="AP2350" t="s">
        <v>31</v>
      </c>
      <c r="AQ2350">
        <v>0</v>
      </c>
    </row>
    <row r="2351" spans="1:43" x14ac:dyDescent="0.2">
      <c r="A2351" t="s">
        <v>381</v>
      </c>
      <c r="B2351" s="3">
        <v>44327</v>
      </c>
      <c r="C2351">
        <v>94</v>
      </c>
      <c r="D2351" t="s">
        <v>384</v>
      </c>
      <c r="E2351" t="s">
        <v>127</v>
      </c>
      <c r="F2351" s="9" t="s">
        <v>141</v>
      </c>
      <c r="G2351" t="s">
        <v>26</v>
      </c>
      <c r="H2351" t="s">
        <v>85</v>
      </c>
      <c r="I2351" t="s">
        <v>86</v>
      </c>
      <c r="J2351" t="s">
        <v>53</v>
      </c>
      <c r="K2351" t="s">
        <v>54</v>
      </c>
      <c r="L2351" t="s">
        <v>53</v>
      </c>
      <c r="M2351" t="s">
        <v>54</v>
      </c>
      <c r="N2351" t="s">
        <v>85</v>
      </c>
      <c r="O2351" t="s">
        <v>86</v>
      </c>
      <c r="P2351" t="s">
        <v>53</v>
      </c>
      <c r="Q2351" t="s">
        <v>54</v>
      </c>
      <c r="R2351" s="1">
        <v>44327.454502314817</v>
      </c>
      <c r="S2351" s="1">
        <v>44327.454502314817</v>
      </c>
      <c r="T2351">
        <v>1</v>
      </c>
      <c r="U2351">
        <v>1</v>
      </c>
      <c r="V2351" s="2">
        <v>1</v>
      </c>
      <c r="W2351">
        <v>1</v>
      </c>
      <c r="X2351" t="s">
        <v>54</v>
      </c>
      <c r="Y2351">
        <v>1</v>
      </c>
      <c r="Z2351" t="s">
        <v>31</v>
      </c>
      <c r="AA2351">
        <v>0</v>
      </c>
      <c r="AB2351" t="s">
        <v>31</v>
      </c>
      <c r="AC2351">
        <v>0</v>
      </c>
      <c r="AD2351" t="s">
        <v>31</v>
      </c>
      <c r="AE2351">
        <v>0</v>
      </c>
      <c r="AF2351" t="s">
        <v>31</v>
      </c>
      <c r="AG2351">
        <v>0</v>
      </c>
      <c r="AH2351" t="s">
        <v>31</v>
      </c>
      <c r="AI2351">
        <v>0</v>
      </c>
      <c r="AJ2351" t="s">
        <v>31</v>
      </c>
      <c r="AK2351">
        <v>0</v>
      </c>
      <c r="AL2351" t="s">
        <v>31</v>
      </c>
      <c r="AM2351">
        <v>0</v>
      </c>
      <c r="AN2351" t="s">
        <v>31</v>
      </c>
      <c r="AO2351">
        <v>0</v>
      </c>
      <c r="AP2351" t="s">
        <v>31</v>
      </c>
      <c r="AQ2351">
        <v>0</v>
      </c>
    </row>
    <row r="2352" spans="1:43" x14ac:dyDescent="0.2">
      <c r="A2352" t="s">
        <v>381</v>
      </c>
      <c r="B2352" s="3">
        <v>44328</v>
      </c>
      <c r="C2352">
        <v>97</v>
      </c>
      <c r="D2352" t="s">
        <v>387</v>
      </c>
      <c r="E2352" t="s">
        <v>127</v>
      </c>
      <c r="F2352" s="9" t="s">
        <v>141</v>
      </c>
      <c r="G2352" t="s">
        <v>26</v>
      </c>
      <c r="H2352" t="s">
        <v>85</v>
      </c>
      <c r="I2352" t="s">
        <v>86</v>
      </c>
      <c r="J2352" t="s">
        <v>53</v>
      </c>
      <c r="K2352" t="s">
        <v>54</v>
      </c>
      <c r="L2352" t="s">
        <v>53</v>
      </c>
      <c r="M2352" t="s">
        <v>54</v>
      </c>
      <c r="N2352" t="s">
        <v>85</v>
      </c>
      <c r="O2352" t="s">
        <v>86</v>
      </c>
      <c r="P2352" t="s">
        <v>53</v>
      </c>
      <c r="Q2352" t="s">
        <v>54</v>
      </c>
      <c r="R2352" s="1">
        <v>44328.551458333335</v>
      </c>
      <c r="S2352" s="1">
        <v>44328.551458333335</v>
      </c>
      <c r="T2352">
        <v>0</v>
      </c>
      <c r="U2352">
        <v>1</v>
      </c>
      <c r="V2352" s="2">
        <v>0</v>
      </c>
      <c r="W2352">
        <v>0</v>
      </c>
      <c r="X2352" t="s">
        <v>44</v>
      </c>
      <c r="Y2352">
        <v>0</v>
      </c>
      <c r="Z2352" t="s">
        <v>31</v>
      </c>
      <c r="AA2352">
        <v>0</v>
      </c>
      <c r="AB2352" t="s">
        <v>31</v>
      </c>
      <c r="AC2352">
        <v>0</v>
      </c>
      <c r="AD2352" t="s">
        <v>31</v>
      </c>
      <c r="AE2352">
        <v>0</v>
      </c>
      <c r="AF2352" t="s">
        <v>31</v>
      </c>
      <c r="AG2352">
        <v>0</v>
      </c>
      <c r="AH2352" t="s">
        <v>31</v>
      </c>
      <c r="AI2352">
        <v>0</v>
      </c>
      <c r="AJ2352" t="s">
        <v>31</v>
      </c>
      <c r="AK2352">
        <v>0</v>
      </c>
      <c r="AL2352" t="s">
        <v>31</v>
      </c>
      <c r="AM2352">
        <v>0</v>
      </c>
      <c r="AN2352" t="s">
        <v>31</v>
      </c>
      <c r="AO2352">
        <v>0</v>
      </c>
      <c r="AP2352" t="s">
        <v>31</v>
      </c>
      <c r="AQ2352">
        <v>0</v>
      </c>
    </row>
    <row r="2353" spans="1:43" x14ac:dyDescent="0.2">
      <c r="A2353" t="s">
        <v>381</v>
      </c>
      <c r="B2353" s="3">
        <v>44334</v>
      </c>
      <c r="C2353">
        <v>98</v>
      </c>
      <c r="D2353" t="s">
        <v>383</v>
      </c>
      <c r="E2353" t="s">
        <v>127</v>
      </c>
      <c r="F2353" s="9" t="s">
        <v>141</v>
      </c>
      <c r="G2353" t="s">
        <v>26</v>
      </c>
      <c r="H2353" t="s">
        <v>85</v>
      </c>
      <c r="I2353" t="s">
        <v>86</v>
      </c>
      <c r="J2353" t="s">
        <v>53</v>
      </c>
      <c r="K2353" t="s">
        <v>54</v>
      </c>
      <c r="L2353" t="s">
        <v>53</v>
      </c>
      <c r="M2353" t="s">
        <v>54</v>
      </c>
      <c r="N2353" t="s">
        <v>85</v>
      </c>
      <c r="O2353" t="s">
        <v>86</v>
      </c>
      <c r="P2353" t="s">
        <v>53</v>
      </c>
      <c r="Q2353" t="s">
        <v>54</v>
      </c>
      <c r="R2353" s="1">
        <v>44334.480474537035</v>
      </c>
      <c r="S2353" s="1">
        <v>44334.480868055558</v>
      </c>
      <c r="T2353">
        <v>0</v>
      </c>
      <c r="U2353">
        <v>2</v>
      </c>
      <c r="V2353" s="2">
        <v>0</v>
      </c>
      <c r="W2353">
        <v>0</v>
      </c>
      <c r="X2353" t="s">
        <v>44</v>
      </c>
      <c r="Y2353">
        <v>0</v>
      </c>
      <c r="Z2353" t="s">
        <v>44</v>
      </c>
      <c r="AA2353">
        <v>0</v>
      </c>
      <c r="AB2353" t="s">
        <v>31</v>
      </c>
      <c r="AC2353">
        <v>0</v>
      </c>
      <c r="AD2353" t="s">
        <v>31</v>
      </c>
      <c r="AE2353">
        <v>0</v>
      </c>
      <c r="AF2353" t="s">
        <v>31</v>
      </c>
      <c r="AG2353">
        <v>0</v>
      </c>
      <c r="AH2353" t="s">
        <v>31</v>
      </c>
      <c r="AI2353">
        <v>0</v>
      </c>
      <c r="AJ2353" t="s">
        <v>31</v>
      </c>
      <c r="AK2353">
        <v>0</v>
      </c>
      <c r="AL2353" t="s">
        <v>31</v>
      </c>
      <c r="AM2353">
        <v>0</v>
      </c>
      <c r="AN2353" t="s">
        <v>31</v>
      </c>
      <c r="AO2353">
        <v>0</v>
      </c>
      <c r="AP2353" t="s">
        <v>31</v>
      </c>
      <c r="AQ2353">
        <v>0</v>
      </c>
    </row>
    <row r="2354" spans="1:43" x14ac:dyDescent="0.2">
      <c r="A2354" t="s">
        <v>381</v>
      </c>
      <c r="B2354" s="3">
        <v>44340</v>
      </c>
      <c r="C2354">
        <v>109</v>
      </c>
      <c r="D2354" t="s">
        <v>383</v>
      </c>
      <c r="E2354" t="s">
        <v>127</v>
      </c>
      <c r="F2354" s="9" t="s">
        <v>141</v>
      </c>
      <c r="G2354" t="s">
        <v>26</v>
      </c>
      <c r="H2354" t="s">
        <v>85</v>
      </c>
      <c r="I2354" t="s">
        <v>86</v>
      </c>
      <c r="J2354" t="s">
        <v>53</v>
      </c>
      <c r="K2354" t="s">
        <v>54</v>
      </c>
      <c r="L2354" t="s">
        <v>53</v>
      </c>
      <c r="M2354" t="s">
        <v>54</v>
      </c>
      <c r="N2354" t="s">
        <v>85</v>
      </c>
      <c r="O2354" t="s">
        <v>86</v>
      </c>
      <c r="P2354" t="s">
        <v>53</v>
      </c>
      <c r="Q2354" t="s">
        <v>54</v>
      </c>
      <c r="R2354" s="1">
        <v>44340.623599537037</v>
      </c>
      <c r="S2354" s="1">
        <v>44340.623611111114</v>
      </c>
      <c r="T2354">
        <v>0</v>
      </c>
      <c r="U2354">
        <v>3</v>
      </c>
      <c r="V2354" s="2">
        <v>0</v>
      </c>
      <c r="W2354">
        <v>0</v>
      </c>
      <c r="X2354" t="s">
        <v>44</v>
      </c>
      <c r="Y2354">
        <v>0</v>
      </c>
      <c r="Z2354" t="s">
        <v>44</v>
      </c>
      <c r="AA2354">
        <v>0</v>
      </c>
      <c r="AB2354" t="s">
        <v>44</v>
      </c>
      <c r="AC2354">
        <v>0</v>
      </c>
      <c r="AD2354" t="s">
        <v>31</v>
      </c>
      <c r="AE2354">
        <v>0</v>
      </c>
      <c r="AF2354" t="s">
        <v>31</v>
      </c>
      <c r="AG2354">
        <v>0</v>
      </c>
      <c r="AH2354" t="s">
        <v>31</v>
      </c>
      <c r="AI2354">
        <v>0</v>
      </c>
      <c r="AJ2354" t="s">
        <v>31</v>
      </c>
      <c r="AK2354">
        <v>0</v>
      </c>
      <c r="AL2354" t="s">
        <v>31</v>
      </c>
      <c r="AM2354">
        <v>0</v>
      </c>
      <c r="AN2354" t="s">
        <v>31</v>
      </c>
      <c r="AO2354">
        <v>0</v>
      </c>
      <c r="AP2354" t="s">
        <v>31</v>
      </c>
      <c r="AQ2354">
        <v>0</v>
      </c>
    </row>
    <row r="2355" spans="1:43" x14ac:dyDescent="0.2">
      <c r="A2355" t="s">
        <v>381</v>
      </c>
      <c r="B2355" s="3">
        <v>44342</v>
      </c>
      <c r="C2355">
        <v>112</v>
      </c>
      <c r="D2355" t="s">
        <v>394</v>
      </c>
      <c r="E2355" t="s">
        <v>127</v>
      </c>
      <c r="F2355" s="9" t="s">
        <v>141</v>
      </c>
      <c r="G2355" t="s">
        <v>26</v>
      </c>
      <c r="H2355" t="s">
        <v>85</v>
      </c>
      <c r="I2355" t="s">
        <v>86</v>
      </c>
      <c r="J2355" t="s">
        <v>53</v>
      </c>
      <c r="K2355" t="s">
        <v>54</v>
      </c>
      <c r="L2355" t="s">
        <v>53</v>
      </c>
      <c r="M2355" t="s">
        <v>54</v>
      </c>
      <c r="N2355" t="s">
        <v>85</v>
      </c>
      <c r="O2355" t="s">
        <v>86</v>
      </c>
      <c r="P2355" t="s">
        <v>53</v>
      </c>
      <c r="Q2355" t="s">
        <v>54</v>
      </c>
      <c r="R2355" s="1">
        <v>44342.424259259256</v>
      </c>
      <c r="S2355" s="1">
        <v>44342.424259259256</v>
      </c>
      <c r="T2355">
        <v>0</v>
      </c>
      <c r="U2355">
        <v>1</v>
      </c>
      <c r="V2355" s="2">
        <v>0</v>
      </c>
      <c r="W2355">
        <v>0</v>
      </c>
      <c r="X2355" t="s">
        <v>44</v>
      </c>
      <c r="Y2355">
        <v>0</v>
      </c>
      <c r="Z2355" t="s">
        <v>31</v>
      </c>
      <c r="AA2355">
        <v>0</v>
      </c>
      <c r="AB2355" t="s">
        <v>31</v>
      </c>
      <c r="AC2355">
        <v>0</v>
      </c>
      <c r="AD2355" t="s">
        <v>31</v>
      </c>
      <c r="AE2355">
        <v>0</v>
      </c>
      <c r="AF2355" t="s">
        <v>31</v>
      </c>
      <c r="AG2355">
        <v>0</v>
      </c>
      <c r="AH2355" t="s">
        <v>31</v>
      </c>
      <c r="AI2355">
        <v>0</v>
      </c>
      <c r="AJ2355" t="s">
        <v>31</v>
      </c>
      <c r="AK2355">
        <v>0</v>
      </c>
      <c r="AL2355" t="s">
        <v>31</v>
      </c>
      <c r="AM2355">
        <v>0</v>
      </c>
      <c r="AN2355" t="s">
        <v>31</v>
      </c>
      <c r="AO2355">
        <v>0</v>
      </c>
      <c r="AP2355" t="s">
        <v>31</v>
      </c>
      <c r="AQ2355">
        <v>0</v>
      </c>
    </row>
    <row r="2356" spans="1:43" x14ac:dyDescent="0.2">
      <c r="A2356" t="s">
        <v>381</v>
      </c>
      <c r="B2356" s="3">
        <v>44350</v>
      </c>
      <c r="C2356">
        <v>123</v>
      </c>
      <c r="D2356" t="s">
        <v>382</v>
      </c>
      <c r="E2356" t="s">
        <v>127</v>
      </c>
      <c r="F2356" s="9" t="s">
        <v>141</v>
      </c>
      <c r="G2356" t="s">
        <v>26</v>
      </c>
      <c r="H2356" t="s">
        <v>85</v>
      </c>
      <c r="I2356" t="s">
        <v>86</v>
      </c>
      <c r="J2356" t="s">
        <v>53</v>
      </c>
      <c r="K2356" t="s">
        <v>54</v>
      </c>
      <c r="L2356" t="s">
        <v>53</v>
      </c>
      <c r="M2356" t="s">
        <v>54</v>
      </c>
      <c r="N2356" t="s">
        <v>85</v>
      </c>
      <c r="O2356" t="s">
        <v>86</v>
      </c>
      <c r="P2356" t="s">
        <v>53</v>
      </c>
      <c r="Q2356" t="s">
        <v>54</v>
      </c>
      <c r="R2356" s="1">
        <v>44350.463750000003</v>
      </c>
      <c r="S2356" s="1">
        <v>44350.463750000003</v>
      </c>
      <c r="T2356">
        <v>0</v>
      </c>
      <c r="U2356">
        <v>1</v>
      </c>
      <c r="V2356" s="2">
        <v>0</v>
      </c>
      <c r="W2356">
        <v>0</v>
      </c>
      <c r="X2356" t="s">
        <v>44</v>
      </c>
      <c r="Y2356">
        <v>0</v>
      </c>
      <c r="Z2356" t="s">
        <v>31</v>
      </c>
      <c r="AA2356">
        <v>0</v>
      </c>
      <c r="AB2356" t="s">
        <v>31</v>
      </c>
      <c r="AC2356">
        <v>0</v>
      </c>
      <c r="AD2356" t="s">
        <v>31</v>
      </c>
      <c r="AE2356">
        <v>0</v>
      </c>
      <c r="AF2356" t="s">
        <v>31</v>
      </c>
      <c r="AG2356">
        <v>0</v>
      </c>
      <c r="AH2356" t="s">
        <v>31</v>
      </c>
      <c r="AI2356">
        <v>0</v>
      </c>
      <c r="AJ2356" t="s">
        <v>31</v>
      </c>
      <c r="AK2356">
        <v>0</v>
      </c>
      <c r="AL2356" t="s">
        <v>31</v>
      </c>
      <c r="AM2356">
        <v>0</v>
      </c>
      <c r="AN2356" t="s">
        <v>31</v>
      </c>
      <c r="AO2356">
        <v>0</v>
      </c>
      <c r="AP2356" t="s">
        <v>31</v>
      </c>
      <c r="AQ2356">
        <v>0</v>
      </c>
    </row>
    <row r="2357" spans="1:43" x14ac:dyDescent="0.2">
      <c r="A2357" t="s">
        <v>381</v>
      </c>
      <c r="B2357" s="3">
        <v>44351</v>
      </c>
      <c r="C2357">
        <v>125</v>
      </c>
      <c r="D2357" t="s">
        <v>387</v>
      </c>
      <c r="E2357" t="s">
        <v>127</v>
      </c>
      <c r="F2357" s="9" t="s">
        <v>141</v>
      </c>
      <c r="G2357" t="s">
        <v>26</v>
      </c>
      <c r="H2357" t="s">
        <v>85</v>
      </c>
      <c r="I2357" t="s">
        <v>86</v>
      </c>
      <c r="J2357" t="s">
        <v>53</v>
      </c>
      <c r="K2357" t="s">
        <v>54</v>
      </c>
      <c r="L2357" t="s">
        <v>53</v>
      </c>
      <c r="M2357" t="s">
        <v>54</v>
      </c>
      <c r="N2357" t="s">
        <v>85</v>
      </c>
      <c r="O2357" t="s">
        <v>86</v>
      </c>
      <c r="P2357" t="s">
        <v>53</v>
      </c>
      <c r="Q2357" t="s">
        <v>54</v>
      </c>
      <c r="R2357" s="1">
        <v>44351.539363425924</v>
      </c>
      <c r="S2357" s="1">
        <v>44351.539363425924</v>
      </c>
      <c r="T2357">
        <v>0</v>
      </c>
      <c r="U2357">
        <v>1</v>
      </c>
      <c r="V2357" s="2">
        <v>0</v>
      </c>
      <c r="W2357">
        <v>0</v>
      </c>
      <c r="X2357" t="s">
        <v>44</v>
      </c>
      <c r="Y2357">
        <v>0</v>
      </c>
      <c r="Z2357" t="s">
        <v>31</v>
      </c>
      <c r="AA2357">
        <v>0</v>
      </c>
      <c r="AB2357" t="s">
        <v>31</v>
      </c>
      <c r="AC2357">
        <v>0</v>
      </c>
      <c r="AD2357" t="s">
        <v>31</v>
      </c>
      <c r="AE2357">
        <v>0</v>
      </c>
      <c r="AF2357" t="s">
        <v>31</v>
      </c>
      <c r="AG2357">
        <v>0</v>
      </c>
      <c r="AH2357" t="s">
        <v>31</v>
      </c>
      <c r="AI2357">
        <v>0</v>
      </c>
      <c r="AJ2357" t="s">
        <v>31</v>
      </c>
      <c r="AK2357">
        <v>0</v>
      </c>
      <c r="AL2357" t="s">
        <v>31</v>
      </c>
      <c r="AM2357">
        <v>0</v>
      </c>
      <c r="AN2357" t="s">
        <v>31</v>
      </c>
      <c r="AO2357">
        <v>0</v>
      </c>
      <c r="AP2357" t="s">
        <v>31</v>
      </c>
      <c r="AQ2357">
        <v>0</v>
      </c>
    </row>
    <row r="2358" spans="1:43" x14ac:dyDescent="0.2">
      <c r="A2358" t="s">
        <v>381</v>
      </c>
      <c r="B2358" s="3">
        <v>44354</v>
      </c>
      <c r="C2358">
        <v>127</v>
      </c>
      <c r="D2358" t="s">
        <v>383</v>
      </c>
      <c r="E2358" t="s">
        <v>127</v>
      </c>
      <c r="F2358" s="9" t="s">
        <v>141</v>
      </c>
      <c r="G2358" t="s">
        <v>26</v>
      </c>
      <c r="H2358" t="s">
        <v>85</v>
      </c>
      <c r="I2358" t="s">
        <v>86</v>
      </c>
      <c r="J2358" t="s">
        <v>53</v>
      </c>
      <c r="K2358" t="s">
        <v>54</v>
      </c>
      <c r="L2358" t="s">
        <v>53</v>
      </c>
      <c r="M2358" t="s">
        <v>54</v>
      </c>
      <c r="N2358" t="s">
        <v>85</v>
      </c>
      <c r="O2358" t="s">
        <v>86</v>
      </c>
      <c r="P2358" t="s">
        <v>53</v>
      </c>
      <c r="Q2358" t="s">
        <v>54</v>
      </c>
      <c r="R2358" s="1">
        <v>44354.630335648151</v>
      </c>
      <c r="S2358" s="1">
        <v>44354.630335648151</v>
      </c>
      <c r="T2358">
        <v>0</v>
      </c>
      <c r="U2358">
        <v>1</v>
      </c>
      <c r="V2358" s="2">
        <v>0</v>
      </c>
      <c r="W2358">
        <v>0</v>
      </c>
      <c r="X2358" t="s">
        <v>44</v>
      </c>
      <c r="Y2358">
        <v>0</v>
      </c>
      <c r="Z2358" t="s">
        <v>31</v>
      </c>
      <c r="AA2358">
        <v>0</v>
      </c>
      <c r="AB2358" t="s">
        <v>31</v>
      </c>
      <c r="AC2358">
        <v>0</v>
      </c>
      <c r="AD2358" t="s">
        <v>31</v>
      </c>
      <c r="AE2358">
        <v>0</v>
      </c>
      <c r="AF2358" t="s">
        <v>31</v>
      </c>
      <c r="AG2358">
        <v>0</v>
      </c>
      <c r="AH2358" t="s">
        <v>31</v>
      </c>
      <c r="AI2358">
        <v>0</v>
      </c>
      <c r="AJ2358" t="s">
        <v>31</v>
      </c>
      <c r="AK2358">
        <v>0</v>
      </c>
      <c r="AL2358" t="s">
        <v>31</v>
      </c>
      <c r="AM2358">
        <v>0</v>
      </c>
      <c r="AN2358" t="s">
        <v>31</v>
      </c>
      <c r="AO2358">
        <v>0</v>
      </c>
      <c r="AP2358" t="s">
        <v>31</v>
      </c>
      <c r="AQ2358">
        <v>0</v>
      </c>
    </row>
    <row r="2359" spans="1:43" x14ac:dyDescent="0.2">
      <c r="A2359" t="s">
        <v>381</v>
      </c>
      <c r="B2359" s="3">
        <v>44356</v>
      </c>
      <c r="C2359">
        <v>130</v>
      </c>
      <c r="D2359" t="s">
        <v>398</v>
      </c>
      <c r="E2359" t="s">
        <v>127</v>
      </c>
      <c r="F2359" s="9" t="s">
        <v>141</v>
      </c>
      <c r="G2359" t="s">
        <v>26</v>
      </c>
      <c r="H2359" t="s">
        <v>85</v>
      </c>
      <c r="I2359" t="s">
        <v>86</v>
      </c>
      <c r="J2359" t="s">
        <v>53</v>
      </c>
      <c r="K2359" t="s">
        <v>54</v>
      </c>
      <c r="L2359" t="s">
        <v>53</v>
      </c>
      <c r="M2359" t="s">
        <v>54</v>
      </c>
      <c r="N2359" t="s">
        <v>85</v>
      </c>
      <c r="O2359" t="s">
        <v>86</v>
      </c>
      <c r="P2359" t="s">
        <v>53</v>
      </c>
      <c r="Q2359" t="s">
        <v>54</v>
      </c>
      <c r="R2359" s="1">
        <v>44356.414652777778</v>
      </c>
      <c r="S2359" s="1">
        <v>44356.414652777778</v>
      </c>
      <c r="T2359">
        <v>0</v>
      </c>
      <c r="U2359">
        <v>1</v>
      </c>
      <c r="V2359" s="2">
        <v>0</v>
      </c>
      <c r="W2359">
        <v>0</v>
      </c>
      <c r="X2359" t="s">
        <v>44</v>
      </c>
      <c r="Y2359">
        <v>0</v>
      </c>
      <c r="Z2359" t="s">
        <v>31</v>
      </c>
      <c r="AA2359">
        <v>0</v>
      </c>
      <c r="AB2359" t="s">
        <v>31</v>
      </c>
      <c r="AC2359">
        <v>0</v>
      </c>
      <c r="AD2359" t="s">
        <v>31</v>
      </c>
      <c r="AE2359">
        <v>0</v>
      </c>
      <c r="AF2359" t="s">
        <v>31</v>
      </c>
      <c r="AG2359">
        <v>0</v>
      </c>
      <c r="AH2359" t="s">
        <v>31</v>
      </c>
      <c r="AI2359">
        <v>0</v>
      </c>
      <c r="AJ2359" t="s">
        <v>31</v>
      </c>
      <c r="AK2359">
        <v>0</v>
      </c>
      <c r="AL2359" t="s">
        <v>31</v>
      </c>
      <c r="AM2359">
        <v>0</v>
      </c>
      <c r="AN2359" t="s">
        <v>31</v>
      </c>
      <c r="AO2359">
        <v>0</v>
      </c>
      <c r="AP2359" t="s">
        <v>31</v>
      </c>
      <c r="AQ2359">
        <v>0</v>
      </c>
    </row>
    <row r="2360" spans="1:43" x14ac:dyDescent="0.2">
      <c r="A2360" t="s">
        <v>381</v>
      </c>
      <c r="B2360" s="3">
        <v>44356</v>
      </c>
      <c r="C2360">
        <v>131</v>
      </c>
      <c r="D2360" t="s">
        <v>383</v>
      </c>
      <c r="E2360" t="s">
        <v>127</v>
      </c>
      <c r="F2360" s="9" t="s">
        <v>141</v>
      </c>
      <c r="G2360" t="s">
        <v>26</v>
      </c>
      <c r="H2360" t="s">
        <v>85</v>
      </c>
      <c r="I2360" t="s">
        <v>86</v>
      </c>
      <c r="J2360" t="s">
        <v>53</v>
      </c>
      <c r="K2360" t="s">
        <v>54</v>
      </c>
      <c r="L2360" t="s">
        <v>53</v>
      </c>
      <c r="M2360" t="s">
        <v>54</v>
      </c>
      <c r="N2360" t="s">
        <v>85</v>
      </c>
      <c r="O2360" t="s">
        <v>86</v>
      </c>
      <c r="P2360" t="s">
        <v>53</v>
      </c>
      <c r="Q2360" t="s">
        <v>54</v>
      </c>
      <c r="R2360" s="1">
        <v>44356.554745370369</v>
      </c>
      <c r="S2360" s="1">
        <v>44356.554745370369</v>
      </c>
      <c r="T2360">
        <v>0</v>
      </c>
      <c r="U2360">
        <v>1</v>
      </c>
      <c r="V2360" s="2">
        <v>0</v>
      </c>
      <c r="W2360">
        <v>0</v>
      </c>
      <c r="X2360" t="s">
        <v>44</v>
      </c>
      <c r="Y2360">
        <v>0</v>
      </c>
      <c r="Z2360" t="s">
        <v>31</v>
      </c>
      <c r="AA2360">
        <v>0</v>
      </c>
      <c r="AB2360" t="s">
        <v>31</v>
      </c>
      <c r="AC2360">
        <v>0</v>
      </c>
      <c r="AD2360" t="s">
        <v>31</v>
      </c>
      <c r="AE2360">
        <v>0</v>
      </c>
      <c r="AF2360" t="s">
        <v>31</v>
      </c>
      <c r="AG2360">
        <v>0</v>
      </c>
      <c r="AH2360" t="s">
        <v>31</v>
      </c>
      <c r="AI2360">
        <v>0</v>
      </c>
      <c r="AJ2360" t="s">
        <v>31</v>
      </c>
      <c r="AK2360">
        <v>0</v>
      </c>
      <c r="AL2360" t="s">
        <v>31</v>
      </c>
      <c r="AM2360">
        <v>0</v>
      </c>
      <c r="AN2360" t="s">
        <v>31</v>
      </c>
      <c r="AO2360">
        <v>0</v>
      </c>
      <c r="AP2360" t="s">
        <v>31</v>
      </c>
      <c r="AQ2360">
        <v>0</v>
      </c>
    </row>
    <row r="2361" spans="1:43" x14ac:dyDescent="0.2">
      <c r="A2361" t="s">
        <v>381</v>
      </c>
      <c r="B2361" s="3">
        <v>44357</v>
      </c>
      <c r="C2361">
        <v>132</v>
      </c>
      <c r="D2361" t="s">
        <v>399</v>
      </c>
      <c r="E2361" t="s">
        <v>127</v>
      </c>
      <c r="F2361" s="9" t="s">
        <v>141</v>
      </c>
      <c r="G2361" t="s">
        <v>26</v>
      </c>
      <c r="H2361" t="s">
        <v>85</v>
      </c>
      <c r="I2361" t="s">
        <v>86</v>
      </c>
      <c r="J2361" t="s">
        <v>53</v>
      </c>
      <c r="K2361" t="s">
        <v>54</v>
      </c>
      <c r="L2361" t="s">
        <v>53</v>
      </c>
      <c r="M2361" t="s">
        <v>54</v>
      </c>
      <c r="N2361" t="s">
        <v>85</v>
      </c>
      <c r="O2361" t="s">
        <v>86</v>
      </c>
      <c r="P2361" t="s">
        <v>53</v>
      </c>
      <c r="Q2361" t="s">
        <v>54</v>
      </c>
      <c r="R2361" s="1">
        <v>44357.440949074073</v>
      </c>
      <c r="S2361" s="1">
        <v>44357.440949074073</v>
      </c>
      <c r="T2361">
        <v>0</v>
      </c>
      <c r="U2361">
        <v>1</v>
      </c>
      <c r="V2361" s="2">
        <v>0</v>
      </c>
      <c r="W2361">
        <v>0</v>
      </c>
      <c r="X2361" t="s">
        <v>44</v>
      </c>
      <c r="Y2361">
        <v>0</v>
      </c>
      <c r="Z2361" t="s">
        <v>31</v>
      </c>
      <c r="AA2361">
        <v>0</v>
      </c>
      <c r="AB2361" t="s">
        <v>31</v>
      </c>
      <c r="AC2361">
        <v>0</v>
      </c>
      <c r="AD2361" t="s">
        <v>31</v>
      </c>
      <c r="AE2361">
        <v>0</v>
      </c>
      <c r="AF2361" t="s">
        <v>31</v>
      </c>
      <c r="AG2361">
        <v>0</v>
      </c>
      <c r="AH2361" t="s">
        <v>31</v>
      </c>
      <c r="AI2361">
        <v>0</v>
      </c>
      <c r="AJ2361" t="s">
        <v>31</v>
      </c>
      <c r="AK2361">
        <v>0</v>
      </c>
      <c r="AL2361" t="s">
        <v>31</v>
      </c>
      <c r="AM2361">
        <v>0</v>
      </c>
      <c r="AN2361" t="s">
        <v>31</v>
      </c>
      <c r="AO2361">
        <v>0</v>
      </c>
      <c r="AP2361" t="s">
        <v>31</v>
      </c>
      <c r="AQ2361">
        <v>0</v>
      </c>
    </row>
    <row r="2362" spans="1:43" x14ac:dyDescent="0.2">
      <c r="A2362" t="s">
        <v>381</v>
      </c>
      <c r="B2362" s="3">
        <v>44361</v>
      </c>
      <c r="C2362">
        <v>135</v>
      </c>
      <c r="D2362" t="s">
        <v>390</v>
      </c>
      <c r="E2362" t="s">
        <v>127</v>
      </c>
      <c r="F2362" s="9" t="s">
        <v>141</v>
      </c>
      <c r="G2362" t="s">
        <v>26</v>
      </c>
      <c r="H2362" t="s">
        <v>85</v>
      </c>
      <c r="I2362" t="s">
        <v>86</v>
      </c>
      <c r="J2362" t="s">
        <v>53</v>
      </c>
      <c r="K2362" t="s">
        <v>54</v>
      </c>
      <c r="L2362" t="s">
        <v>53</v>
      </c>
      <c r="M2362" t="s">
        <v>54</v>
      </c>
      <c r="N2362" t="s">
        <v>85</v>
      </c>
      <c r="O2362" t="s">
        <v>86</v>
      </c>
      <c r="P2362" t="s">
        <v>53</v>
      </c>
      <c r="Q2362" t="s">
        <v>54</v>
      </c>
      <c r="R2362" s="1">
        <v>44361.409097222226</v>
      </c>
      <c r="S2362" s="1">
        <v>44361.409097222226</v>
      </c>
      <c r="T2362">
        <v>0</v>
      </c>
      <c r="U2362">
        <v>1</v>
      </c>
      <c r="V2362" s="2">
        <v>0</v>
      </c>
      <c r="W2362">
        <v>0</v>
      </c>
      <c r="X2362" t="s">
        <v>44</v>
      </c>
      <c r="Y2362">
        <v>0</v>
      </c>
      <c r="Z2362" t="s">
        <v>31</v>
      </c>
      <c r="AA2362">
        <v>0</v>
      </c>
      <c r="AB2362" t="s">
        <v>31</v>
      </c>
      <c r="AC2362">
        <v>0</v>
      </c>
      <c r="AD2362" t="s">
        <v>31</v>
      </c>
      <c r="AE2362">
        <v>0</v>
      </c>
      <c r="AF2362" t="s">
        <v>31</v>
      </c>
      <c r="AG2362">
        <v>0</v>
      </c>
      <c r="AH2362" t="s">
        <v>31</v>
      </c>
      <c r="AI2362">
        <v>0</v>
      </c>
      <c r="AJ2362" t="s">
        <v>31</v>
      </c>
      <c r="AK2362">
        <v>0</v>
      </c>
      <c r="AL2362" t="s">
        <v>31</v>
      </c>
      <c r="AM2362">
        <v>0</v>
      </c>
      <c r="AN2362" t="s">
        <v>31</v>
      </c>
      <c r="AO2362">
        <v>0</v>
      </c>
      <c r="AP2362" t="s">
        <v>31</v>
      </c>
      <c r="AQ2362">
        <v>0</v>
      </c>
    </row>
    <row r="2363" spans="1:43" x14ac:dyDescent="0.2">
      <c r="A2363" t="s">
        <v>381</v>
      </c>
      <c r="B2363" s="3">
        <v>44365</v>
      </c>
      <c r="C2363">
        <v>139</v>
      </c>
      <c r="D2363" t="s">
        <v>400</v>
      </c>
      <c r="E2363" t="s">
        <v>127</v>
      </c>
      <c r="F2363" s="9" t="s">
        <v>141</v>
      </c>
      <c r="G2363" t="s">
        <v>26</v>
      </c>
      <c r="H2363" t="s">
        <v>85</v>
      </c>
      <c r="I2363" t="s">
        <v>86</v>
      </c>
      <c r="J2363" t="s">
        <v>53</v>
      </c>
      <c r="K2363" t="s">
        <v>54</v>
      </c>
      <c r="L2363" t="s">
        <v>53</v>
      </c>
      <c r="M2363" t="s">
        <v>54</v>
      </c>
      <c r="N2363" t="s">
        <v>85</v>
      </c>
      <c r="O2363" t="s">
        <v>86</v>
      </c>
      <c r="P2363" t="s">
        <v>53</v>
      </c>
      <c r="Q2363" t="s">
        <v>54</v>
      </c>
      <c r="R2363" s="1">
        <v>44365.409594907411</v>
      </c>
      <c r="S2363" s="1">
        <v>44365.409594907411</v>
      </c>
      <c r="T2363">
        <v>0</v>
      </c>
      <c r="U2363">
        <v>1</v>
      </c>
      <c r="V2363" s="2">
        <v>0</v>
      </c>
      <c r="W2363">
        <v>0</v>
      </c>
      <c r="X2363" t="s">
        <v>44</v>
      </c>
      <c r="Y2363">
        <v>0</v>
      </c>
      <c r="Z2363" t="s">
        <v>31</v>
      </c>
      <c r="AA2363">
        <v>0</v>
      </c>
      <c r="AB2363" t="s">
        <v>31</v>
      </c>
      <c r="AC2363">
        <v>0</v>
      </c>
      <c r="AD2363" t="s">
        <v>31</v>
      </c>
      <c r="AE2363">
        <v>0</v>
      </c>
      <c r="AF2363" t="s">
        <v>31</v>
      </c>
      <c r="AG2363">
        <v>0</v>
      </c>
      <c r="AH2363" t="s">
        <v>31</v>
      </c>
      <c r="AI2363">
        <v>0</v>
      </c>
      <c r="AJ2363" t="s">
        <v>31</v>
      </c>
      <c r="AK2363">
        <v>0</v>
      </c>
      <c r="AL2363" t="s">
        <v>31</v>
      </c>
      <c r="AM2363">
        <v>0</v>
      </c>
      <c r="AN2363" t="s">
        <v>31</v>
      </c>
      <c r="AO2363">
        <v>0</v>
      </c>
      <c r="AP2363" t="s">
        <v>31</v>
      </c>
      <c r="AQ2363">
        <v>0</v>
      </c>
    </row>
    <row r="2364" spans="1:43" x14ac:dyDescent="0.2">
      <c r="A2364" t="s">
        <v>381</v>
      </c>
      <c r="B2364" s="3">
        <v>44365</v>
      </c>
      <c r="C2364">
        <v>140</v>
      </c>
      <c r="D2364" t="s">
        <v>399</v>
      </c>
      <c r="E2364" t="s">
        <v>127</v>
      </c>
      <c r="F2364" s="9" t="s">
        <v>141</v>
      </c>
      <c r="G2364" t="s">
        <v>26</v>
      </c>
      <c r="H2364" t="s">
        <v>85</v>
      </c>
      <c r="I2364" t="s">
        <v>86</v>
      </c>
      <c r="J2364" t="s">
        <v>53</v>
      </c>
      <c r="K2364" t="s">
        <v>54</v>
      </c>
      <c r="L2364" t="s">
        <v>53</v>
      </c>
      <c r="M2364" t="s">
        <v>54</v>
      </c>
      <c r="N2364" t="s">
        <v>85</v>
      </c>
      <c r="O2364" t="s">
        <v>86</v>
      </c>
      <c r="P2364" t="s">
        <v>53</v>
      </c>
      <c r="Q2364" t="s">
        <v>54</v>
      </c>
      <c r="R2364" s="1">
        <v>44365.598946759259</v>
      </c>
      <c r="S2364" s="1">
        <v>44365.598946759259</v>
      </c>
      <c r="T2364">
        <v>0</v>
      </c>
      <c r="U2364">
        <v>1</v>
      </c>
      <c r="V2364" s="2">
        <v>0</v>
      </c>
      <c r="W2364">
        <v>0</v>
      </c>
      <c r="X2364" t="s">
        <v>44</v>
      </c>
      <c r="Y2364">
        <v>0</v>
      </c>
      <c r="Z2364" t="s">
        <v>31</v>
      </c>
      <c r="AA2364">
        <v>0</v>
      </c>
      <c r="AB2364" t="s">
        <v>31</v>
      </c>
      <c r="AC2364">
        <v>0</v>
      </c>
      <c r="AD2364" t="s">
        <v>31</v>
      </c>
      <c r="AE2364">
        <v>0</v>
      </c>
      <c r="AF2364" t="s">
        <v>31</v>
      </c>
      <c r="AG2364">
        <v>0</v>
      </c>
      <c r="AH2364" t="s">
        <v>31</v>
      </c>
      <c r="AI2364">
        <v>0</v>
      </c>
      <c r="AJ2364" t="s">
        <v>31</v>
      </c>
      <c r="AK2364">
        <v>0</v>
      </c>
      <c r="AL2364" t="s">
        <v>31</v>
      </c>
      <c r="AM2364">
        <v>0</v>
      </c>
      <c r="AN2364" t="s">
        <v>31</v>
      </c>
      <c r="AO2364">
        <v>0</v>
      </c>
      <c r="AP2364" t="s">
        <v>31</v>
      </c>
      <c r="AQ2364">
        <v>0</v>
      </c>
    </row>
    <row r="2365" spans="1:43" x14ac:dyDescent="0.2">
      <c r="A2365" t="s">
        <v>381</v>
      </c>
      <c r="B2365" s="3">
        <v>44375</v>
      </c>
      <c r="C2365">
        <v>141</v>
      </c>
      <c r="D2365" t="s">
        <v>396</v>
      </c>
      <c r="E2365" t="s">
        <v>127</v>
      </c>
      <c r="F2365" s="9" t="s">
        <v>141</v>
      </c>
      <c r="G2365" t="s">
        <v>26</v>
      </c>
      <c r="H2365" t="s">
        <v>85</v>
      </c>
      <c r="I2365" t="s">
        <v>86</v>
      </c>
      <c r="J2365" t="s">
        <v>53</v>
      </c>
      <c r="K2365" t="s">
        <v>54</v>
      </c>
      <c r="L2365" t="s">
        <v>53</v>
      </c>
      <c r="M2365" t="s">
        <v>54</v>
      </c>
      <c r="N2365" t="s">
        <v>85</v>
      </c>
      <c r="O2365" t="s">
        <v>86</v>
      </c>
      <c r="P2365" t="s">
        <v>53</v>
      </c>
      <c r="Q2365" t="s">
        <v>54</v>
      </c>
      <c r="R2365" s="1">
        <v>44375.605381944442</v>
      </c>
      <c r="S2365" s="1">
        <v>44375.605381944442</v>
      </c>
      <c r="T2365">
        <v>0</v>
      </c>
      <c r="U2365">
        <v>1</v>
      </c>
      <c r="V2365" s="2">
        <v>0</v>
      </c>
      <c r="W2365">
        <v>0</v>
      </c>
      <c r="X2365" t="s">
        <v>44</v>
      </c>
      <c r="Y2365">
        <v>0</v>
      </c>
      <c r="Z2365" t="s">
        <v>31</v>
      </c>
      <c r="AA2365">
        <v>0</v>
      </c>
      <c r="AB2365" t="s">
        <v>31</v>
      </c>
      <c r="AC2365">
        <v>0</v>
      </c>
      <c r="AD2365" t="s">
        <v>31</v>
      </c>
      <c r="AE2365">
        <v>0</v>
      </c>
      <c r="AF2365" t="s">
        <v>31</v>
      </c>
      <c r="AG2365">
        <v>0</v>
      </c>
      <c r="AH2365" t="s">
        <v>31</v>
      </c>
      <c r="AI2365">
        <v>0</v>
      </c>
      <c r="AJ2365" t="s">
        <v>31</v>
      </c>
      <c r="AK2365">
        <v>0</v>
      </c>
      <c r="AL2365" t="s">
        <v>31</v>
      </c>
      <c r="AM2365">
        <v>0</v>
      </c>
      <c r="AN2365" t="s">
        <v>31</v>
      </c>
      <c r="AO2365">
        <v>0</v>
      </c>
      <c r="AP2365" t="s">
        <v>31</v>
      </c>
      <c r="AQ2365">
        <v>0</v>
      </c>
    </row>
    <row r="2366" spans="1:43" x14ac:dyDescent="0.2">
      <c r="A2366" t="s">
        <v>381</v>
      </c>
      <c r="B2366" s="3">
        <v>44238</v>
      </c>
      <c r="C2366">
        <v>5</v>
      </c>
      <c r="D2366" t="s">
        <v>382</v>
      </c>
      <c r="E2366" t="s">
        <v>127</v>
      </c>
      <c r="F2366" s="9" t="s">
        <v>142</v>
      </c>
      <c r="G2366" t="s">
        <v>26</v>
      </c>
      <c r="H2366" t="s">
        <v>85</v>
      </c>
      <c r="I2366" t="s">
        <v>86</v>
      </c>
      <c r="J2366" t="s">
        <v>53</v>
      </c>
      <c r="K2366" t="s">
        <v>54</v>
      </c>
      <c r="L2366" t="s">
        <v>53</v>
      </c>
      <c r="M2366" t="s">
        <v>54</v>
      </c>
      <c r="N2366" t="s">
        <v>85</v>
      </c>
      <c r="O2366" t="s">
        <v>86</v>
      </c>
      <c r="P2366" t="s">
        <v>53</v>
      </c>
      <c r="Q2366" t="s">
        <v>54</v>
      </c>
      <c r="R2366" s="1">
        <v>44238.449652777781</v>
      </c>
      <c r="S2366" s="1">
        <v>44238.449652777781</v>
      </c>
      <c r="T2366">
        <v>1</v>
      </c>
      <c r="U2366">
        <v>1</v>
      </c>
      <c r="V2366" s="2">
        <v>1</v>
      </c>
      <c r="W2366">
        <v>1</v>
      </c>
      <c r="X2366" t="s">
        <v>54</v>
      </c>
      <c r="Y2366">
        <v>1</v>
      </c>
      <c r="Z2366" t="s">
        <v>31</v>
      </c>
      <c r="AA2366">
        <v>0</v>
      </c>
      <c r="AB2366" t="s">
        <v>31</v>
      </c>
      <c r="AC2366">
        <v>0</v>
      </c>
      <c r="AD2366" t="s">
        <v>31</v>
      </c>
      <c r="AE2366">
        <v>0</v>
      </c>
      <c r="AF2366" t="s">
        <v>31</v>
      </c>
      <c r="AG2366">
        <v>0</v>
      </c>
      <c r="AH2366" t="s">
        <v>31</v>
      </c>
      <c r="AI2366">
        <v>0</v>
      </c>
      <c r="AJ2366" t="s">
        <v>31</v>
      </c>
      <c r="AK2366">
        <v>0</v>
      </c>
      <c r="AL2366" t="s">
        <v>31</v>
      </c>
      <c r="AM2366">
        <v>0</v>
      </c>
      <c r="AN2366" t="s">
        <v>31</v>
      </c>
      <c r="AO2366">
        <v>0</v>
      </c>
      <c r="AP2366" t="s">
        <v>31</v>
      </c>
      <c r="AQ2366">
        <v>0</v>
      </c>
    </row>
    <row r="2367" spans="1:43" x14ac:dyDescent="0.2">
      <c r="A2367" t="s">
        <v>381</v>
      </c>
      <c r="B2367" s="3">
        <v>44242</v>
      </c>
      <c r="C2367">
        <v>8</v>
      </c>
      <c r="D2367" t="s">
        <v>384</v>
      </c>
      <c r="E2367" t="s">
        <v>127</v>
      </c>
      <c r="F2367" s="9" t="s">
        <v>142</v>
      </c>
      <c r="G2367" t="s">
        <v>26</v>
      </c>
      <c r="H2367" t="s">
        <v>85</v>
      </c>
      <c r="I2367" t="s">
        <v>86</v>
      </c>
      <c r="J2367" t="s">
        <v>53</v>
      </c>
      <c r="K2367" t="s">
        <v>54</v>
      </c>
      <c r="L2367" t="s">
        <v>53</v>
      </c>
      <c r="M2367" t="s">
        <v>54</v>
      </c>
      <c r="N2367" t="s">
        <v>85</v>
      </c>
      <c r="O2367" t="s">
        <v>86</v>
      </c>
      <c r="P2367" t="s">
        <v>53</v>
      </c>
      <c r="Q2367" t="s">
        <v>54</v>
      </c>
      <c r="R2367" s="1">
        <v>44242.381898148145</v>
      </c>
      <c r="S2367" s="1">
        <v>44242.381898148145</v>
      </c>
      <c r="T2367">
        <v>0</v>
      </c>
      <c r="U2367">
        <v>1</v>
      </c>
      <c r="V2367" s="2">
        <v>0</v>
      </c>
      <c r="W2367">
        <v>0</v>
      </c>
      <c r="X2367" t="s">
        <v>44</v>
      </c>
      <c r="Y2367">
        <v>0</v>
      </c>
      <c r="Z2367" t="s">
        <v>31</v>
      </c>
      <c r="AA2367">
        <v>0</v>
      </c>
      <c r="AB2367" t="s">
        <v>31</v>
      </c>
      <c r="AC2367">
        <v>0</v>
      </c>
      <c r="AD2367" t="s">
        <v>31</v>
      </c>
      <c r="AE2367">
        <v>0</v>
      </c>
      <c r="AF2367" t="s">
        <v>31</v>
      </c>
      <c r="AG2367">
        <v>0</v>
      </c>
      <c r="AH2367" t="s">
        <v>31</v>
      </c>
      <c r="AI2367">
        <v>0</v>
      </c>
      <c r="AJ2367" t="s">
        <v>31</v>
      </c>
      <c r="AK2367">
        <v>0</v>
      </c>
      <c r="AL2367" t="s">
        <v>31</v>
      </c>
      <c r="AM2367">
        <v>0</v>
      </c>
      <c r="AN2367" t="s">
        <v>31</v>
      </c>
      <c r="AO2367">
        <v>0</v>
      </c>
      <c r="AP2367" t="s">
        <v>31</v>
      </c>
      <c r="AQ2367">
        <v>0</v>
      </c>
    </row>
    <row r="2368" spans="1:43" x14ac:dyDescent="0.2">
      <c r="A2368" t="s">
        <v>381</v>
      </c>
      <c r="B2368" s="3">
        <v>44243</v>
      </c>
      <c r="C2368">
        <v>9</v>
      </c>
      <c r="D2368" t="s">
        <v>382</v>
      </c>
      <c r="E2368" t="s">
        <v>127</v>
      </c>
      <c r="F2368" s="9" t="s">
        <v>142</v>
      </c>
      <c r="G2368" t="s">
        <v>26</v>
      </c>
      <c r="H2368" t="s">
        <v>85</v>
      </c>
      <c r="I2368" t="s">
        <v>86</v>
      </c>
      <c r="J2368" t="s">
        <v>53</v>
      </c>
      <c r="K2368" t="s">
        <v>54</v>
      </c>
      <c r="L2368" t="s">
        <v>53</v>
      </c>
      <c r="M2368" t="s">
        <v>54</v>
      </c>
      <c r="N2368" t="s">
        <v>85</v>
      </c>
      <c r="O2368" t="s">
        <v>86</v>
      </c>
      <c r="P2368" t="s">
        <v>53</v>
      </c>
      <c r="Q2368" t="s">
        <v>54</v>
      </c>
      <c r="R2368" s="1">
        <v>44243.43346064815</v>
      </c>
      <c r="S2368" s="1">
        <v>44243.43346064815</v>
      </c>
      <c r="T2368">
        <v>0</v>
      </c>
      <c r="U2368">
        <v>1</v>
      </c>
      <c r="V2368" s="2">
        <v>0</v>
      </c>
      <c r="W2368">
        <v>0</v>
      </c>
      <c r="X2368" t="s">
        <v>44</v>
      </c>
      <c r="Y2368">
        <v>0</v>
      </c>
      <c r="Z2368" t="s">
        <v>31</v>
      </c>
      <c r="AA2368">
        <v>0</v>
      </c>
      <c r="AB2368" t="s">
        <v>31</v>
      </c>
      <c r="AC2368">
        <v>0</v>
      </c>
      <c r="AD2368" t="s">
        <v>31</v>
      </c>
      <c r="AE2368">
        <v>0</v>
      </c>
      <c r="AF2368" t="s">
        <v>31</v>
      </c>
      <c r="AG2368">
        <v>0</v>
      </c>
      <c r="AH2368" t="s">
        <v>31</v>
      </c>
      <c r="AI2368">
        <v>0</v>
      </c>
      <c r="AJ2368" t="s">
        <v>31</v>
      </c>
      <c r="AK2368">
        <v>0</v>
      </c>
      <c r="AL2368" t="s">
        <v>31</v>
      </c>
      <c r="AM2368">
        <v>0</v>
      </c>
      <c r="AN2368" t="s">
        <v>31</v>
      </c>
      <c r="AO2368">
        <v>0</v>
      </c>
      <c r="AP2368" t="s">
        <v>31</v>
      </c>
      <c r="AQ2368">
        <v>0</v>
      </c>
    </row>
    <row r="2369" spans="1:43" x14ac:dyDescent="0.2">
      <c r="A2369" t="s">
        <v>381</v>
      </c>
      <c r="B2369" s="3">
        <v>44244</v>
      </c>
      <c r="C2369">
        <v>11</v>
      </c>
      <c r="D2369" t="s">
        <v>384</v>
      </c>
      <c r="E2369" t="s">
        <v>127</v>
      </c>
      <c r="F2369" s="9" t="s">
        <v>142</v>
      </c>
      <c r="G2369" t="s">
        <v>26</v>
      </c>
      <c r="H2369" t="s">
        <v>85</v>
      </c>
      <c r="I2369" t="s">
        <v>86</v>
      </c>
      <c r="J2369" t="s">
        <v>53</v>
      </c>
      <c r="K2369" t="s">
        <v>54</v>
      </c>
      <c r="L2369" t="s">
        <v>53</v>
      </c>
      <c r="M2369" t="s">
        <v>54</v>
      </c>
      <c r="N2369" t="s">
        <v>85</v>
      </c>
      <c r="O2369" t="s">
        <v>86</v>
      </c>
      <c r="P2369" t="s">
        <v>53</v>
      </c>
      <c r="Q2369" t="s">
        <v>54</v>
      </c>
      <c r="R2369" s="1">
        <v>44244.37400462963</v>
      </c>
      <c r="S2369" s="1">
        <v>44244.37400462963</v>
      </c>
      <c r="T2369">
        <v>0</v>
      </c>
      <c r="U2369">
        <v>1</v>
      </c>
      <c r="V2369" s="2">
        <v>0</v>
      </c>
      <c r="W2369">
        <v>0</v>
      </c>
      <c r="X2369" t="s">
        <v>44</v>
      </c>
      <c r="Y2369">
        <v>0</v>
      </c>
      <c r="Z2369" t="s">
        <v>31</v>
      </c>
      <c r="AA2369">
        <v>0</v>
      </c>
      <c r="AB2369" t="s">
        <v>31</v>
      </c>
      <c r="AC2369">
        <v>0</v>
      </c>
      <c r="AD2369" t="s">
        <v>31</v>
      </c>
      <c r="AE2369">
        <v>0</v>
      </c>
      <c r="AF2369" t="s">
        <v>31</v>
      </c>
      <c r="AG2369">
        <v>0</v>
      </c>
      <c r="AH2369" t="s">
        <v>31</v>
      </c>
      <c r="AI2369">
        <v>0</v>
      </c>
      <c r="AJ2369" t="s">
        <v>31</v>
      </c>
      <c r="AK2369">
        <v>0</v>
      </c>
      <c r="AL2369" t="s">
        <v>31</v>
      </c>
      <c r="AM2369">
        <v>0</v>
      </c>
      <c r="AN2369" t="s">
        <v>31</v>
      </c>
      <c r="AO2369">
        <v>0</v>
      </c>
      <c r="AP2369" t="s">
        <v>31</v>
      </c>
      <c r="AQ2369">
        <v>0</v>
      </c>
    </row>
    <row r="2370" spans="1:43" x14ac:dyDescent="0.2">
      <c r="A2370" t="s">
        <v>381</v>
      </c>
      <c r="B2370" s="3">
        <v>44245</v>
      </c>
      <c r="C2370">
        <v>12</v>
      </c>
      <c r="D2370" t="s">
        <v>382</v>
      </c>
      <c r="E2370" t="s">
        <v>127</v>
      </c>
      <c r="F2370" s="9" t="s">
        <v>142</v>
      </c>
      <c r="G2370" t="s">
        <v>26</v>
      </c>
      <c r="H2370" t="s">
        <v>85</v>
      </c>
      <c r="I2370" t="s">
        <v>86</v>
      </c>
      <c r="J2370" t="s">
        <v>53</v>
      </c>
      <c r="K2370" t="s">
        <v>54</v>
      </c>
      <c r="L2370" t="s">
        <v>53</v>
      </c>
      <c r="M2370" t="s">
        <v>54</v>
      </c>
      <c r="N2370" t="s">
        <v>85</v>
      </c>
      <c r="O2370" t="s">
        <v>86</v>
      </c>
      <c r="P2370" t="s">
        <v>53</v>
      </c>
      <c r="Q2370" t="s">
        <v>54</v>
      </c>
      <c r="R2370" s="1">
        <v>44245.406099537038</v>
      </c>
      <c r="S2370" s="1">
        <v>44245.457627314812</v>
      </c>
      <c r="T2370">
        <v>0</v>
      </c>
      <c r="U2370">
        <v>2</v>
      </c>
      <c r="V2370" s="2">
        <v>0</v>
      </c>
      <c r="W2370">
        <v>0</v>
      </c>
      <c r="X2370" t="s">
        <v>44</v>
      </c>
      <c r="Y2370">
        <v>0</v>
      </c>
      <c r="Z2370" t="s">
        <v>44</v>
      </c>
      <c r="AA2370">
        <v>0</v>
      </c>
      <c r="AB2370" t="s">
        <v>31</v>
      </c>
      <c r="AC2370">
        <v>0</v>
      </c>
      <c r="AD2370" t="s">
        <v>31</v>
      </c>
      <c r="AE2370">
        <v>0</v>
      </c>
      <c r="AF2370" t="s">
        <v>31</v>
      </c>
      <c r="AG2370">
        <v>0</v>
      </c>
      <c r="AH2370" t="s">
        <v>31</v>
      </c>
      <c r="AI2370">
        <v>0</v>
      </c>
      <c r="AJ2370" t="s">
        <v>31</v>
      </c>
      <c r="AK2370">
        <v>0</v>
      </c>
      <c r="AL2370" t="s">
        <v>31</v>
      </c>
      <c r="AM2370">
        <v>0</v>
      </c>
      <c r="AN2370" t="s">
        <v>31</v>
      </c>
      <c r="AO2370">
        <v>0</v>
      </c>
      <c r="AP2370" t="s">
        <v>31</v>
      </c>
      <c r="AQ2370">
        <v>0</v>
      </c>
    </row>
    <row r="2371" spans="1:43" x14ac:dyDescent="0.2">
      <c r="A2371" t="s">
        <v>381</v>
      </c>
      <c r="B2371" s="3">
        <v>44250</v>
      </c>
      <c r="C2371">
        <v>16</v>
      </c>
      <c r="D2371" t="s">
        <v>382</v>
      </c>
      <c r="E2371" t="s">
        <v>127</v>
      </c>
      <c r="F2371" s="9" t="s">
        <v>142</v>
      </c>
      <c r="G2371" t="s">
        <v>26</v>
      </c>
      <c r="H2371" t="s">
        <v>85</v>
      </c>
      <c r="I2371" t="s">
        <v>86</v>
      </c>
      <c r="J2371" t="s">
        <v>53</v>
      </c>
      <c r="K2371" t="s">
        <v>54</v>
      </c>
      <c r="L2371" t="s">
        <v>53</v>
      </c>
      <c r="M2371" t="s">
        <v>54</v>
      </c>
      <c r="N2371" t="s">
        <v>85</v>
      </c>
      <c r="O2371" t="s">
        <v>86</v>
      </c>
      <c r="P2371" t="s">
        <v>53</v>
      </c>
      <c r="Q2371" t="s">
        <v>54</v>
      </c>
      <c r="R2371" s="1">
        <v>44250.374699074076</v>
      </c>
      <c r="S2371" s="1">
        <v>44250.374699074076</v>
      </c>
      <c r="T2371">
        <v>0</v>
      </c>
      <c r="U2371">
        <v>1</v>
      </c>
      <c r="V2371" s="2">
        <v>0</v>
      </c>
      <c r="W2371">
        <v>0</v>
      </c>
      <c r="X2371" t="s">
        <v>44</v>
      </c>
      <c r="Y2371">
        <v>0</v>
      </c>
      <c r="Z2371" t="s">
        <v>31</v>
      </c>
      <c r="AA2371">
        <v>0</v>
      </c>
      <c r="AB2371" t="s">
        <v>31</v>
      </c>
      <c r="AC2371">
        <v>0</v>
      </c>
      <c r="AD2371" t="s">
        <v>31</v>
      </c>
      <c r="AE2371">
        <v>0</v>
      </c>
      <c r="AF2371" t="s">
        <v>31</v>
      </c>
      <c r="AG2371">
        <v>0</v>
      </c>
      <c r="AH2371" t="s">
        <v>31</v>
      </c>
      <c r="AI2371">
        <v>0</v>
      </c>
      <c r="AJ2371" t="s">
        <v>31</v>
      </c>
      <c r="AK2371">
        <v>0</v>
      </c>
      <c r="AL2371" t="s">
        <v>31</v>
      </c>
      <c r="AM2371">
        <v>0</v>
      </c>
      <c r="AN2371" t="s">
        <v>31</v>
      </c>
      <c r="AO2371">
        <v>0</v>
      </c>
      <c r="AP2371" t="s">
        <v>31</v>
      </c>
      <c r="AQ2371">
        <v>0</v>
      </c>
    </row>
    <row r="2372" spans="1:43" x14ac:dyDescent="0.2">
      <c r="A2372" t="s">
        <v>381</v>
      </c>
      <c r="B2372" s="3">
        <v>44251</v>
      </c>
      <c r="C2372">
        <v>18</v>
      </c>
      <c r="D2372" t="s">
        <v>384</v>
      </c>
      <c r="E2372" t="s">
        <v>127</v>
      </c>
      <c r="F2372" s="9" t="s">
        <v>142</v>
      </c>
      <c r="G2372" t="s">
        <v>26</v>
      </c>
      <c r="H2372" t="s">
        <v>85</v>
      </c>
      <c r="I2372" t="s">
        <v>86</v>
      </c>
      <c r="J2372" t="s">
        <v>53</v>
      </c>
      <c r="K2372" t="s">
        <v>54</v>
      </c>
      <c r="L2372" t="s">
        <v>53</v>
      </c>
      <c r="M2372" t="s">
        <v>54</v>
      </c>
      <c r="N2372" t="s">
        <v>85</v>
      </c>
      <c r="O2372" t="s">
        <v>86</v>
      </c>
      <c r="P2372" t="s">
        <v>53</v>
      </c>
      <c r="Q2372" t="s">
        <v>54</v>
      </c>
      <c r="R2372" s="1">
        <v>44251.378379629627</v>
      </c>
      <c r="S2372" s="1">
        <v>44251.378379629627</v>
      </c>
      <c r="T2372">
        <v>1</v>
      </c>
      <c r="U2372">
        <v>1</v>
      </c>
      <c r="V2372" s="2">
        <v>1</v>
      </c>
      <c r="W2372">
        <v>1</v>
      </c>
      <c r="X2372" t="s">
        <v>54</v>
      </c>
      <c r="Y2372">
        <v>1</v>
      </c>
      <c r="Z2372" t="s">
        <v>31</v>
      </c>
      <c r="AA2372">
        <v>0</v>
      </c>
      <c r="AB2372" t="s">
        <v>31</v>
      </c>
      <c r="AC2372">
        <v>0</v>
      </c>
      <c r="AD2372" t="s">
        <v>31</v>
      </c>
      <c r="AE2372">
        <v>0</v>
      </c>
      <c r="AF2372" t="s">
        <v>31</v>
      </c>
      <c r="AG2372">
        <v>0</v>
      </c>
      <c r="AH2372" t="s">
        <v>31</v>
      </c>
      <c r="AI2372">
        <v>0</v>
      </c>
      <c r="AJ2372" t="s">
        <v>31</v>
      </c>
      <c r="AK2372">
        <v>0</v>
      </c>
      <c r="AL2372" t="s">
        <v>31</v>
      </c>
      <c r="AM2372">
        <v>0</v>
      </c>
      <c r="AN2372" t="s">
        <v>31</v>
      </c>
      <c r="AO2372">
        <v>0</v>
      </c>
      <c r="AP2372" t="s">
        <v>31</v>
      </c>
      <c r="AQ2372">
        <v>0</v>
      </c>
    </row>
    <row r="2373" spans="1:43" x14ac:dyDescent="0.2">
      <c r="A2373" t="s">
        <v>381</v>
      </c>
      <c r="B2373" s="3">
        <v>44252</v>
      </c>
      <c r="C2373">
        <v>19</v>
      </c>
      <c r="D2373" t="s">
        <v>382</v>
      </c>
      <c r="E2373" t="s">
        <v>127</v>
      </c>
      <c r="F2373" s="9" t="s">
        <v>142</v>
      </c>
      <c r="G2373" t="s">
        <v>26</v>
      </c>
      <c r="H2373" t="s">
        <v>85</v>
      </c>
      <c r="I2373" t="s">
        <v>86</v>
      </c>
      <c r="J2373" t="s">
        <v>53</v>
      </c>
      <c r="K2373" t="s">
        <v>54</v>
      </c>
      <c r="L2373" t="s">
        <v>53</v>
      </c>
      <c r="M2373" t="s">
        <v>54</v>
      </c>
      <c r="N2373" t="s">
        <v>85</v>
      </c>
      <c r="O2373" t="s">
        <v>86</v>
      </c>
      <c r="P2373" t="s">
        <v>53</v>
      </c>
      <c r="Q2373" t="s">
        <v>54</v>
      </c>
      <c r="R2373" s="1">
        <v>44252.37903935185</v>
      </c>
      <c r="S2373" s="1">
        <v>44252.431215277778</v>
      </c>
      <c r="T2373">
        <v>0</v>
      </c>
      <c r="U2373">
        <v>2</v>
      </c>
      <c r="V2373" s="2">
        <v>0</v>
      </c>
      <c r="W2373">
        <v>0</v>
      </c>
      <c r="X2373" t="s">
        <v>44</v>
      </c>
      <c r="Y2373">
        <v>0</v>
      </c>
      <c r="Z2373" t="s">
        <v>44</v>
      </c>
      <c r="AA2373">
        <v>0</v>
      </c>
      <c r="AB2373" t="s">
        <v>31</v>
      </c>
      <c r="AC2373">
        <v>0</v>
      </c>
      <c r="AD2373" t="s">
        <v>31</v>
      </c>
      <c r="AE2373">
        <v>0</v>
      </c>
      <c r="AF2373" t="s">
        <v>31</v>
      </c>
      <c r="AG2373">
        <v>0</v>
      </c>
      <c r="AH2373" t="s">
        <v>31</v>
      </c>
      <c r="AI2373">
        <v>0</v>
      </c>
      <c r="AJ2373" t="s">
        <v>31</v>
      </c>
      <c r="AK2373">
        <v>0</v>
      </c>
      <c r="AL2373" t="s">
        <v>31</v>
      </c>
      <c r="AM2373">
        <v>0</v>
      </c>
      <c r="AN2373" t="s">
        <v>31</v>
      </c>
      <c r="AO2373">
        <v>0</v>
      </c>
      <c r="AP2373" t="s">
        <v>31</v>
      </c>
      <c r="AQ2373">
        <v>0</v>
      </c>
    </row>
    <row r="2374" spans="1:43" x14ac:dyDescent="0.2">
      <c r="A2374" t="s">
        <v>381</v>
      </c>
      <c r="B2374" s="3">
        <v>44253</v>
      </c>
      <c r="C2374">
        <v>21</v>
      </c>
      <c r="D2374" t="s">
        <v>384</v>
      </c>
      <c r="E2374" t="s">
        <v>127</v>
      </c>
      <c r="F2374" s="9" t="s">
        <v>142</v>
      </c>
      <c r="G2374" t="s">
        <v>26</v>
      </c>
      <c r="H2374" t="s">
        <v>85</v>
      </c>
      <c r="I2374" t="s">
        <v>86</v>
      </c>
      <c r="J2374" t="s">
        <v>53</v>
      </c>
      <c r="K2374" t="s">
        <v>54</v>
      </c>
      <c r="L2374" t="s">
        <v>53</v>
      </c>
      <c r="M2374" t="s">
        <v>54</v>
      </c>
      <c r="N2374" t="s">
        <v>85</v>
      </c>
      <c r="O2374" t="s">
        <v>86</v>
      </c>
      <c r="P2374" t="s">
        <v>53</v>
      </c>
      <c r="Q2374" t="s">
        <v>54</v>
      </c>
      <c r="R2374" s="1">
        <v>44253.38553240741</v>
      </c>
      <c r="S2374" s="1">
        <v>44253.38553240741</v>
      </c>
      <c r="T2374">
        <v>1</v>
      </c>
      <c r="U2374">
        <v>1</v>
      </c>
      <c r="V2374" s="2">
        <v>1</v>
      </c>
      <c r="W2374">
        <v>1</v>
      </c>
      <c r="X2374" t="s">
        <v>54</v>
      </c>
      <c r="Y2374">
        <v>1</v>
      </c>
      <c r="Z2374" t="s">
        <v>31</v>
      </c>
      <c r="AA2374">
        <v>0</v>
      </c>
      <c r="AB2374" t="s">
        <v>31</v>
      </c>
      <c r="AC2374">
        <v>0</v>
      </c>
      <c r="AD2374" t="s">
        <v>31</v>
      </c>
      <c r="AE2374">
        <v>0</v>
      </c>
      <c r="AF2374" t="s">
        <v>31</v>
      </c>
      <c r="AG2374">
        <v>0</v>
      </c>
      <c r="AH2374" t="s">
        <v>31</v>
      </c>
      <c r="AI2374">
        <v>0</v>
      </c>
      <c r="AJ2374" t="s">
        <v>31</v>
      </c>
      <c r="AK2374">
        <v>0</v>
      </c>
      <c r="AL2374" t="s">
        <v>31</v>
      </c>
      <c r="AM2374">
        <v>0</v>
      </c>
      <c r="AN2374" t="s">
        <v>31</v>
      </c>
      <c r="AO2374">
        <v>0</v>
      </c>
      <c r="AP2374" t="s">
        <v>31</v>
      </c>
      <c r="AQ2374">
        <v>0</v>
      </c>
    </row>
    <row r="2375" spans="1:43" x14ac:dyDescent="0.2">
      <c r="A2375" t="s">
        <v>381</v>
      </c>
      <c r="B2375" s="3">
        <v>44256</v>
      </c>
      <c r="C2375">
        <v>22</v>
      </c>
      <c r="D2375" t="s">
        <v>384</v>
      </c>
      <c r="E2375" t="s">
        <v>127</v>
      </c>
      <c r="F2375" s="9" t="s">
        <v>142</v>
      </c>
      <c r="G2375" t="s">
        <v>26</v>
      </c>
      <c r="H2375" t="s">
        <v>85</v>
      </c>
      <c r="I2375" t="s">
        <v>86</v>
      </c>
      <c r="J2375" t="s">
        <v>53</v>
      </c>
      <c r="K2375" t="s">
        <v>54</v>
      </c>
      <c r="L2375" t="s">
        <v>53</v>
      </c>
      <c r="M2375" t="s">
        <v>54</v>
      </c>
      <c r="N2375" t="s">
        <v>85</v>
      </c>
      <c r="O2375" t="s">
        <v>86</v>
      </c>
      <c r="P2375" t="s">
        <v>53</v>
      </c>
      <c r="Q2375" t="s">
        <v>54</v>
      </c>
      <c r="R2375" s="1">
        <v>44256.420092592591</v>
      </c>
      <c r="S2375" s="1">
        <v>44256.420092592591</v>
      </c>
      <c r="T2375">
        <v>1</v>
      </c>
      <c r="U2375">
        <v>1</v>
      </c>
      <c r="V2375" s="2">
        <v>1</v>
      </c>
      <c r="W2375">
        <v>1</v>
      </c>
      <c r="X2375" t="s">
        <v>54</v>
      </c>
      <c r="Y2375">
        <v>1</v>
      </c>
      <c r="Z2375" t="s">
        <v>31</v>
      </c>
      <c r="AA2375">
        <v>0</v>
      </c>
      <c r="AB2375" t="s">
        <v>31</v>
      </c>
      <c r="AC2375">
        <v>0</v>
      </c>
      <c r="AD2375" t="s">
        <v>31</v>
      </c>
      <c r="AE2375">
        <v>0</v>
      </c>
      <c r="AF2375" t="s">
        <v>31</v>
      </c>
      <c r="AG2375">
        <v>0</v>
      </c>
      <c r="AH2375" t="s">
        <v>31</v>
      </c>
      <c r="AI2375">
        <v>0</v>
      </c>
      <c r="AJ2375" t="s">
        <v>31</v>
      </c>
      <c r="AK2375">
        <v>0</v>
      </c>
      <c r="AL2375" t="s">
        <v>31</v>
      </c>
      <c r="AM2375">
        <v>0</v>
      </c>
      <c r="AN2375" t="s">
        <v>31</v>
      </c>
      <c r="AO2375">
        <v>0</v>
      </c>
      <c r="AP2375" t="s">
        <v>31</v>
      </c>
      <c r="AQ2375">
        <v>0</v>
      </c>
    </row>
    <row r="2376" spans="1:43" x14ac:dyDescent="0.2">
      <c r="A2376" t="s">
        <v>381</v>
      </c>
      <c r="B2376" s="3">
        <v>44257</v>
      </c>
      <c r="C2376">
        <v>23</v>
      </c>
      <c r="D2376" t="s">
        <v>382</v>
      </c>
      <c r="E2376" t="s">
        <v>127</v>
      </c>
      <c r="F2376" s="9" t="s">
        <v>142</v>
      </c>
      <c r="G2376" t="s">
        <v>26</v>
      </c>
      <c r="H2376" t="s">
        <v>85</v>
      </c>
      <c r="I2376" t="s">
        <v>86</v>
      </c>
      <c r="J2376" t="s">
        <v>53</v>
      </c>
      <c r="K2376" t="s">
        <v>54</v>
      </c>
      <c r="L2376" t="s">
        <v>53</v>
      </c>
      <c r="M2376" t="s">
        <v>54</v>
      </c>
      <c r="N2376" t="s">
        <v>85</v>
      </c>
      <c r="O2376" t="s">
        <v>86</v>
      </c>
      <c r="P2376" t="s">
        <v>53</v>
      </c>
      <c r="Q2376" t="s">
        <v>54</v>
      </c>
      <c r="R2376" s="1">
        <v>44257.407314814816</v>
      </c>
      <c r="S2376" s="1">
        <v>44257.407314814816</v>
      </c>
      <c r="T2376">
        <v>1</v>
      </c>
      <c r="U2376">
        <v>1</v>
      </c>
      <c r="V2376" s="2">
        <v>1</v>
      </c>
      <c r="W2376">
        <v>1</v>
      </c>
      <c r="X2376" t="s">
        <v>54</v>
      </c>
      <c r="Y2376">
        <v>1</v>
      </c>
      <c r="Z2376" t="s">
        <v>31</v>
      </c>
      <c r="AA2376">
        <v>0</v>
      </c>
      <c r="AB2376" t="s">
        <v>31</v>
      </c>
      <c r="AC2376">
        <v>0</v>
      </c>
      <c r="AD2376" t="s">
        <v>31</v>
      </c>
      <c r="AE2376">
        <v>0</v>
      </c>
      <c r="AF2376" t="s">
        <v>31</v>
      </c>
      <c r="AG2376">
        <v>0</v>
      </c>
      <c r="AH2376" t="s">
        <v>31</v>
      </c>
      <c r="AI2376">
        <v>0</v>
      </c>
      <c r="AJ2376" t="s">
        <v>31</v>
      </c>
      <c r="AK2376">
        <v>0</v>
      </c>
      <c r="AL2376" t="s">
        <v>31</v>
      </c>
      <c r="AM2376">
        <v>0</v>
      </c>
      <c r="AN2376" t="s">
        <v>31</v>
      </c>
      <c r="AO2376">
        <v>0</v>
      </c>
      <c r="AP2376" t="s">
        <v>31</v>
      </c>
      <c r="AQ2376">
        <v>0</v>
      </c>
    </row>
    <row r="2377" spans="1:43" x14ac:dyDescent="0.2">
      <c r="A2377" t="s">
        <v>381</v>
      </c>
      <c r="B2377" s="3">
        <v>44258</v>
      </c>
      <c r="C2377">
        <v>25</v>
      </c>
      <c r="D2377" t="s">
        <v>384</v>
      </c>
      <c r="E2377" t="s">
        <v>127</v>
      </c>
      <c r="F2377" s="9" t="s">
        <v>142</v>
      </c>
      <c r="G2377" t="s">
        <v>26</v>
      </c>
      <c r="H2377" t="s">
        <v>85</v>
      </c>
      <c r="I2377" t="s">
        <v>86</v>
      </c>
      <c r="J2377" t="s">
        <v>53</v>
      </c>
      <c r="K2377" t="s">
        <v>54</v>
      </c>
      <c r="L2377" t="s">
        <v>53</v>
      </c>
      <c r="M2377" t="s">
        <v>54</v>
      </c>
      <c r="N2377" t="s">
        <v>85</v>
      </c>
      <c r="O2377" t="s">
        <v>86</v>
      </c>
      <c r="P2377" t="s">
        <v>53</v>
      </c>
      <c r="Q2377" t="s">
        <v>54</v>
      </c>
      <c r="R2377" s="1">
        <v>44258.395092592589</v>
      </c>
      <c r="S2377" s="1">
        <v>44258.459016203706</v>
      </c>
      <c r="T2377">
        <v>1</v>
      </c>
      <c r="U2377">
        <v>2</v>
      </c>
      <c r="V2377" s="2">
        <v>0.5</v>
      </c>
      <c r="W2377">
        <v>1</v>
      </c>
      <c r="X2377" t="s">
        <v>54</v>
      </c>
      <c r="Y2377">
        <v>1</v>
      </c>
      <c r="Z2377" t="s">
        <v>44</v>
      </c>
      <c r="AA2377">
        <v>0</v>
      </c>
      <c r="AB2377" t="s">
        <v>31</v>
      </c>
      <c r="AC2377">
        <v>0</v>
      </c>
      <c r="AD2377" t="s">
        <v>31</v>
      </c>
      <c r="AE2377">
        <v>0</v>
      </c>
      <c r="AF2377" t="s">
        <v>31</v>
      </c>
      <c r="AG2377">
        <v>0</v>
      </c>
      <c r="AH2377" t="s">
        <v>31</v>
      </c>
      <c r="AI2377">
        <v>0</v>
      </c>
      <c r="AJ2377" t="s">
        <v>31</v>
      </c>
      <c r="AK2377">
        <v>0</v>
      </c>
      <c r="AL2377" t="s">
        <v>31</v>
      </c>
      <c r="AM2377">
        <v>0</v>
      </c>
      <c r="AN2377" t="s">
        <v>31</v>
      </c>
      <c r="AO2377">
        <v>0</v>
      </c>
      <c r="AP2377" t="s">
        <v>31</v>
      </c>
      <c r="AQ2377">
        <v>0</v>
      </c>
    </row>
    <row r="2378" spans="1:43" x14ac:dyDescent="0.2">
      <c r="A2378" t="s">
        <v>381</v>
      </c>
      <c r="B2378" s="3">
        <v>44259</v>
      </c>
      <c r="C2378">
        <v>26</v>
      </c>
      <c r="D2378" t="s">
        <v>382</v>
      </c>
      <c r="E2378" t="s">
        <v>127</v>
      </c>
      <c r="F2378" s="9" t="s">
        <v>142</v>
      </c>
      <c r="G2378" t="s">
        <v>26</v>
      </c>
      <c r="H2378" t="s">
        <v>85</v>
      </c>
      <c r="I2378" t="s">
        <v>86</v>
      </c>
      <c r="J2378" t="s">
        <v>53</v>
      </c>
      <c r="K2378" t="s">
        <v>54</v>
      </c>
      <c r="L2378" t="s">
        <v>53</v>
      </c>
      <c r="M2378" t="s">
        <v>54</v>
      </c>
      <c r="N2378" t="s">
        <v>85</v>
      </c>
      <c r="O2378" t="s">
        <v>86</v>
      </c>
      <c r="P2378" t="s">
        <v>53</v>
      </c>
      <c r="Q2378" t="s">
        <v>54</v>
      </c>
      <c r="R2378" s="1">
        <v>44259.385115740741</v>
      </c>
      <c r="S2378" s="1">
        <v>44259.423993055556</v>
      </c>
      <c r="T2378">
        <v>0</v>
      </c>
      <c r="U2378">
        <v>2</v>
      </c>
      <c r="V2378" s="2">
        <v>0</v>
      </c>
      <c r="W2378">
        <v>0</v>
      </c>
      <c r="X2378" t="s">
        <v>44</v>
      </c>
      <c r="Y2378">
        <v>0</v>
      </c>
      <c r="Z2378" t="s">
        <v>44</v>
      </c>
      <c r="AA2378">
        <v>0</v>
      </c>
      <c r="AB2378" t="s">
        <v>31</v>
      </c>
      <c r="AC2378">
        <v>0</v>
      </c>
      <c r="AD2378" t="s">
        <v>31</v>
      </c>
      <c r="AE2378">
        <v>0</v>
      </c>
      <c r="AF2378" t="s">
        <v>31</v>
      </c>
      <c r="AG2378">
        <v>0</v>
      </c>
      <c r="AH2378" t="s">
        <v>31</v>
      </c>
      <c r="AI2378">
        <v>0</v>
      </c>
      <c r="AJ2378" t="s">
        <v>31</v>
      </c>
      <c r="AK2378">
        <v>0</v>
      </c>
      <c r="AL2378" t="s">
        <v>31</v>
      </c>
      <c r="AM2378">
        <v>0</v>
      </c>
      <c r="AN2378" t="s">
        <v>31</v>
      </c>
      <c r="AO2378">
        <v>0</v>
      </c>
      <c r="AP2378" t="s">
        <v>31</v>
      </c>
      <c r="AQ2378">
        <v>0</v>
      </c>
    </row>
    <row r="2379" spans="1:43" x14ac:dyDescent="0.2">
      <c r="A2379" t="s">
        <v>381</v>
      </c>
      <c r="B2379" s="3">
        <v>44260</v>
      </c>
      <c r="C2379">
        <v>28</v>
      </c>
      <c r="D2379" t="s">
        <v>384</v>
      </c>
      <c r="E2379" t="s">
        <v>127</v>
      </c>
      <c r="F2379" s="9" t="s">
        <v>142</v>
      </c>
      <c r="G2379" t="s">
        <v>26</v>
      </c>
      <c r="H2379" t="s">
        <v>85</v>
      </c>
      <c r="I2379" t="s">
        <v>86</v>
      </c>
      <c r="J2379" t="s">
        <v>53</v>
      </c>
      <c r="K2379" t="s">
        <v>54</v>
      </c>
      <c r="L2379" t="s">
        <v>53</v>
      </c>
      <c r="M2379" t="s">
        <v>54</v>
      </c>
      <c r="N2379" t="s">
        <v>85</v>
      </c>
      <c r="O2379" t="s">
        <v>86</v>
      </c>
      <c r="P2379" t="s">
        <v>53</v>
      </c>
      <c r="Q2379" t="s">
        <v>54</v>
      </c>
      <c r="R2379" s="1">
        <v>44260.370497685188</v>
      </c>
      <c r="S2379" s="1">
        <v>44260.370497685188</v>
      </c>
      <c r="T2379">
        <v>0</v>
      </c>
      <c r="U2379">
        <v>1</v>
      </c>
      <c r="V2379" s="2">
        <v>0</v>
      </c>
      <c r="W2379">
        <v>0</v>
      </c>
      <c r="X2379" t="s">
        <v>44</v>
      </c>
      <c r="Y2379">
        <v>0</v>
      </c>
      <c r="Z2379" t="s">
        <v>31</v>
      </c>
      <c r="AA2379">
        <v>0</v>
      </c>
      <c r="AB2379" t="s">
        <v>31</v>
      </c>
      <c r="AC2379">
        <v>0</v>
      </c>
      <c r="AD2379" t="s">
        <v>31</v>
      </c>
      <c r="AE2379">
        <v>0</v>
      </c>
      <c r="AF2379" t="s">
        <v>31</v>
      </c>
      <c r="AG2379">
        <v>0</v>
      </c>
      <c r="AH2379" t="s">
        <v>31</v>
      </c>
      <c r="AI2379">
        <v>0</v>
      </c>
      <c r="AJ2379" t="s">
        <v>31</v>
      </c>
      <c r="AK2379">
        <v>0</v>
      </c>
      <c r="AL2379" t="s">
        <v>31</v>
      </c>
      <c r="AM2379">
        <v>0</v>
      </c>
      <c r="AN2379" t="s">
        <v>31</v>
      </c>
      <c r="AO2379">
        <v>0</v>
      </c>
      <c r="AP2379" t="s">
        <v>31</v>
      </c>
      <c r="AQ2379">
        <v>0</v>
      </c>
    </row>
    <row r="2380" spans="1:43" x14ac:dyDescent="0.2">
      <c r="A2380" t="s">
        <v>381</v>
      </c>
      <c r="B2380" s="3">
        <v>44263</v>
      </c>
      <c r="C2380">
        <v>29</v>
      </c>
      <c r="D2380" t="s">
        <v>384</v>
      </c>
      <c r="E2380" t="s">
        <v>127</v>
      </c>
      <c r="F2380" s="9" t="s">
        <v>142</v>
      </c>
      <c r="G2380" t="s">
        <v>26</v>
      </c>
      <c r="H2380" t="s">
        <v>85</v>
      </c>
      <c r="I2380" t="s">
        <v>86</v>
      </c>
      <c r="J2380" t="s">
        <v>53</v>
      </c>
      <c r="K2380" t="s">
        <v>54</v>
      </c>
      <c r="L2380" t="s">
        <v>53</v>
      </c>
      <c r="M2380" t="s">
        <v>54</v>
      </c>
      <c r="N2380" t="s">
        <v>85</v>
      </c>
      <c r="O2380" t="s">
        <v>86</v>
      </c>
      <c r="P2380" t="s">
        <v>53</v>
      </c>
      <c r="Q2380" t="s">
        <v>54</v>
      </c>
      <c r="R2380" s="1">
        <v>44263.434675925928</v>
      </c>
      <c r="S2380" s="1">
        <v>44263.434675925928</v>
      </c>
      <c r="T2380">
        <v>0</v>
      </c>
      <c r="U2380">
        <v>1</v>
      </c>
      <c r="V2380" s="2">
        <v>0</v>
      </c>
      <c r="W2380">
        <v>0</v>
      </c>
      <c r="X2380" t="s">
        <v>44</v>
      </c>
      <c r="Y2380">
        <v>0</v>
      </c>
      <c r="Z2380" t="s">
        <v>31</v>
      </c>
      <c r="AA2380">
        <v>0</v>
      </c>
      <c r="AB2380" t="s">
        <v>31</v>
      </c>
      <c r="AC2380">
        <v>0</v>
      </c>
      <c r="AD2380" t="s">
        <v>31</v>
      </c>
      <c r="AE2380">
        <v>0</v>
      </c>
      <c r="AF2380" t="s">
        <v>31</v>
      </c>
      <c r="AG2380">
        <v>0</v>
      </c>
      <c r="AH2380" t="s">
        <v>31</v>
      </c>
      <c r="AI2380">
        <v>0</v>
      </c>
      <c r="AJ2380" t="s">
        <v>31</v>
      </c>
      <c r="AK2380">
        <v>0</v>
      </c>
      <c r="AL2380" t="s">
        <v>31</v>
      </c>
      <c r="AM2380">
        <v>0</v>
      </c>
      <c r="AN2380" t="s">
        <v>31</v>
      </c>
      <c r="AO2380">
        <v>0</v>
      </c>
      <c r="AP2380" t="s">
        <v>31</v>
      </c>
      <c r="AQ2380">
        <v>0</v>
      </c>
    </row>
    <row r="2381" spans="1:43" x14ac:dyDescent="0.2">
      <c r="A2381" t="s">
        <v>381</v>
      </c>
      <c r="B2381" s="3">
        <v>44264</v>
      </c>
      <c r="C2381">
        <v>30</v>
      </c>
      <c r="D2381" t="s">
        <v>382</v>
      </c>
      <c r="E2381" t="s">
        <v>127</v>
      </c>
      <c r="F2381" s="9" t="s">
        <v>142</v>
      </c>
      <c r="G2381" t="s">
        <v>26</v>
      </c>
      <c r="H2381" t="s">
        <v>85</v>
      </c>
      <c r="I2381" t="s">
        <v>86</v>
      </c>
      <c r="J2381" t="s">
        <v>53</v>
      </c>
      <c r="K2381" t="s">
        <v>54</v>
      </c>
      <c r="L2381" t="s">
        <v>53</v>
      </c>
      <c r="M2381" t="s">
        <v>54</v>
      </c>
      <c r="N2381" t="s">
        <v>85</v>
      </c>
      <c r="O2381" t="s">
        <v>86</v>
      </c>
      <c r="P2381" t="s">
        <v>53</v>
      </c>
      <c r="Q2381" t="s">
        <v>54</v>
      </c>
      <c r="R2381" s="1">
        <v>44264.417395833334</v>
      </c>
      <c r="S2381" s="1">
        <v>44264.428703703707</v>
      </c>
      <c r="T2381">
        <v>0</v>
      </c>
      <c r="U2381">
        <v>2</v>
      </c>
      <c r="V2381" s="2">
        <v>0</v>
      </c>
      <c r="W2381">
        <v>0</v>
      </c>
      <c r="X2381" t="s">
        <v>44</v>
      </c>
      <c r="Y2381">
        <v>0</v>
      </c>
      <c r="Z2381" t="s">
        <v>44</v>
      </c>
      <c r="AA2381">
        <v>0</v>
      </c>
      <c r="AB2381" t="s">
        <v>31</v>
      </c>
      <c r="AC2381">
        <v>0</v>
      </c>
      <c r="AD2381" t="s">
        <v>31</v>
      </c>
      <c r="AE2381">
        <v>0</v>
      </c>
      <c r="AF2381" t="s">
        <v>31</v>
      </c>
      <c r="AG2381">
        <v>0</v>
      </c>
      <c r="AH2381" t="s">
        <v>31</v>
      </c>
      <c r="AI2381">
        <v>0</v>
      </c>
      <c r="AJ2381" t="s">
        <v>31</v>
      </c>
      <c r="AK2381">
        <v>0</v>
      </c>
      <c r="AL2381" t="s">
        <v>31</v>
      </c>
      <c r="AM2381">
        <v>0</v>
      </c>
      <c r="AN2381" t="s">
        <v>31</v>
      </c>
      <c r="AO2381">
        <v>0</v>
      </c>
      <c r="AP2381" t="s">
        <v>31</v>
      </c>
      <c r="AQ2381">
        <v>0</v>
      </c>
    </row>
    <row r="2382" spans="1:43" x14ac:dyDescent="0.2">
      <c r="A2382" t="s">
        <v>381</v>
      </c>
      <c r="B2382" s="3">
        <v>44265</v>
      </c>
      <c r="C2382">
        <v>32</v>
      </c>
      <c r="D2382" t="s">
        <v>384</v>
      </c>
      <c r="E2382" t="s">
        <v>127</v>
      </c>
      <c r="F2382" s="9" t="s">
        <v>142</v>
      </c>
      <c r="G2382" t="s">
        <v>26</v>
      </c>
      <c r="H2382" t="s">
        <v>85</v>
      </c>
      <c r="I2382" t="s">
        <v>86</v>
      </c>
      <c r="J2382" t="s">
        <v>53</v>
      </c>
      <c r="K2382" t="s">
        <v>54</v>
      </c>
      <c r="L2382" t="s">
        <v>53</v>
      </c>
      <c r="M2382" t="s">
        <v>54</v>
      </c>
      <c r="N2382" t="s">
        <v>85</v>
      </c>
      <c r="O2382" t="s">
        <v>86</v>
      </c>
      <c r="P2382" t="s">
        <v>53</v>
      </c>
      <c r="Q2382" t="s">
        <v>54</v>
      </c>
      <c r="R2382" s="1">
        <v>44265.392800925925</v>
      </c>
      <c r="S2382" s="1">
        <v>44265.392800925925</v>
      </c>
      <c r="T2382">
        <v>0</v>
      </c>
      <c r="U2382">
        <v>1</v>
      </c>
      <c r="V2382" s="2">
        <v>0</v>
      </c>
      <c r="W2382">
        <v>0</v>
      </c>
      <c r="X2382" t="s">
        <v>44</v>
      </c>
      <c r="Y2382">
        <v>0</v>
      </c>
      <c r="Z2382" t="s">
        <v>31</v>
      </c>
      <c r="AA2382">
        <v>0</v>
      </c>
      <c r="AB2382" t="s">
        <v>31</v>
      </c>
      <c r="AC2382">
        <v>0</v>
      </c>
      <c r="AD2382" t="s">
        <v>31</v>
      </c>
      <c r="AE2382">
        <v>0</v>
      </c>
      <c r="AF2382" t="s">
        <v>31</v>
      </c>
      <c r="AG2382">
        <v>0</v>
      </c>
      <c r="AH2382" t="s">
        <v>31</v>
      </c>
      <c r="AI2382">
        <v>0</v>
      </c>
      <c r="AJ2382" t="s">
        <v>31</v>
      </c>
      <c r="AK2382">
        <v>0</v>
      </c>
      <c r="AL2382" t="s">
        <v>31</v>
      </c>
      <c r="AM2382">
        <v>0</v>
      </c>
      <c r="AN2382" t="s">
        <v>31</v>
      </c>
      <c r="AO2382">
        <v>0</v>
      </c>
      <c r="AP2382" t="s">
        <v>31</v>
      </c>
      <c r="AQ2382">
        <v>0</v>
      </c>
    </row>
    <row r="2383" spans="1:43" x14ac:dyDescent="0.2">
      <c r="A2383" t="s">
        <v>381</v>
      </c>
      <c r="B2383" s="3">
        <v>44266</v>
      </c>
      <c r="C2383">
        <v>33</v>
      </c>
      <c r="D2383" t="s">
        <v>385</v>
      </c>
      <c r="E2383" t="s">
        <v>127</v>
      </c>
      <c r="F2383" s="9" t="s">
        <v>142</v>
      </c>
      <c r="G2383" t="s">
        <v>26</v>
      </c>
      <c r="H2383" t="s">
        <v>85</v>
      </c>
      <c r="I2383" t="s">
        <v>86</v>
      </c>
      <c r="J2383" t="s">
        <v>53</v>
      </c>
      <c r="K2383" t="s">
        <v>54</v>
      </c>
      <c r="L2383" t="s">
        <v>53</v>
      </c>
      <c r="M2383" t="s">
        <v>54</v>
      </c>
      <c r="N2383" t="s">
        <v>85</v>
      </c>
      <c r="O2383" t="s">
        <v>86</v>
      </c>
      <c r="P2383" t="s">
        <v>53</v>
      </c>
      <c r="Q2383" t="s">
        <v>54</v>
      </c>
      <c r="R2383" s="1">
        <v>44266.455104166664</v>
      </c>
      <c r="S2383" s="1">
        <v>44266.455104166664</v>
      </c>
      <c r="T2383">
        <v>0</v>
      </c>
      <c r="U2383">
        <v>1</v>
      </c>
      <c r="V2383" s="2">
        <v>0</v>
      </c>
      <c r="W2383">
        <v>0</v>
      </c>
      <c r="X2383" t="s">
        <v>44</v>
      </c>
      <c r="Y2383">
        <v>0</v>
      </c>
      <c r="Z2383" t="s">
        <v>31</v>
      </c>
      <c r="AA2383">
        <v>0</v>
      </c>
      <c r="AB2383" t="s">
        <v>31</v>
      </c>
      <c r="AC2383">
        <v>0</v>
      </c>
      <c r="AD2383" t="s">
        <v>31</v>
      </c>
      <c r="AE2383">
        <v>0</v>
      </c>
      <c r="AF2383" t="s">
        <v>31</v>
      </c>
      <c r="AG2383">
        <v>0</v>
      </c>
      <c r="AH2383" t="s">
        <v>31</v>
      </c>
      <c r="AI2383">
        <v>0</v>
      </c>
      <c r="AJ2383" t="s">
        <v>31</v>
      </c>
      <c r="AK2383">
        <v>0</v>
      </c>
      <c r="AL2383" t="s">
        <v>31</v>
      </c>
      <c r="AM2383">
        <v>0</v>
      </c>
      <c r="AN2383" t="s">
        <v>31</v>
      </c>
      <c r="AO2383">
        <v>0</v>
      </c>
      <c r="AP2383" t="s">
        <v>31</v>
      </c>
      <c r="AQ2383">
        <v>0</v>
      </c>
    </row>
    <row r="2384" spans="1:43" x14ac:dyDescent="0.2">
      <c r="A2384" t="s">
        <v>381</v>
      </c>
      <c r="B2384" s="3">
        <v>44270</v>
      </c>
      <c r="C2384">
        <v>35</v>
      </c>
      <c r="D2384" t="s">
        <v>384</v>
      </c>
      <c r="E2384" t="s">
        <v>127</v>
      </c>
      <c r="F2384" s="9" t="s">
        <v>142</v>
      </c>
      <c r="G2384" t="s">
        <v>26</v>
      </c>
      <c r="H2384" t="s">
        <v>85</v>
      </c>
      <c r="I2384" t="s">
        <v>86</v>
      </c>
      <c r="J2384" t="s">
        <v>53</v>
      </c>
      <c r="K2384" t="s">
        <v>54</v>
      </c>
      <c r="L2384" t="s">
        <v>53</v>
      </c>
      <c r="M2384" t="s">
        <v>54</v>
      </c>
      <c r="N2384" t="s">
        <v>85</v>
      </c>
      <c r="O2384" t="s">
        <v>86</v>
      </c>
      <c r="P2384" t="s">
        <v>53</v>
      </c>
      <c r="Q2384" t="s">
        <v>54</v>
      </c>
      <c r="R2384" s="1">
        <v>44270.370208333334</v>
      </c>
      <c r="S2384" s="1">
        <v>44270.370208333334</v>
      </c>
      <c r="T2384">
        <v>1</v>
      </c>
      <c r="U2384">
        <v>1</v>
      </c>
      <c r="V2384" s="2">
        <v>1</v>
      </c>
      <c r="W2384">
        <v>1</v>
      </c>
      <c r="X2384" t="s">
        <v>54</v>
      </c>
      <c r="Y2384">
        <v>1</v>
      </c>
      <c r="Z2384" t="s">
        <v>31</v>
      </c>
      <c r="AA2384">
        <v>0</v>
      </c>
      <c r="AB2384" t="s">
        <v>31</v>
      </c>
      <c r="AC2384">
        <v>0</v>
      </c>
      <c r="AD2384" t="s">
        <v>31</v>
      </c>
      <c r="AE2384">
        <v>0</v>
      </c>
      <c r="AF2384" t="s">
        <v>31</v>
      </c>
      <c r="AG2384">
        <v>0</v>
      </c>
      <c r="AH2384" t="s">
        <v>31</v>
      </c>
      <c r="AI2384">
        <v>0</v>
      </c>
      <c r="AJ2384" t="s">
        <v>31</v>
      </c>
      <c r="AK2384">
        <v>0</v>
      </c>
      <c r="AL2384" t="s">
        <v>31</v>
      </c>
      <c r="AM2384">
        <v>0</v>
      </c>
      <c r="AN2384" t="s">
        <v>31</v>
      </c>
      <c r="AO2384">
        <v>0</v>
      </c>
      <c r="AP2384" t="s">
        <v>31</v>
      </c>
      <c r="AQ2384">
        <v>0</v>
      </c>
    </row>
    <row r="2385" spans="1:43" x14ac:dyDescent="0.2">
      <c r="A2385" t="s">
        <v>381</v>
      </c>
      <c r="B2385" s="3">
        <v>44272</v>
      </c>
      <c r="C2385">
        <v>38</v>
      </c>
      <c r="D2385" t="s">
        <v>384</v>
      </c>
      <c r="E2385" t="s">
        <v>127</v>
      </c>
      <c r="F2385" s="9" t="s">
        <v>142</v>
      </c>
      <c r="G2385" t="s">
        <v>26</v>
      </c>
      <c r="H2385" t="s">
        <v>85</v>
      </c>
      <c r="I2385" t="s">
        <v>86</v>
      </c>
      <c r="J2385" t="s">
        <v>53</v>
      </c>
      <c r="K2385" t="s">
        <v>54</v>
      </c>
      <c r="L2385" t="s">
        <v>53</v>
      </c>
      <c r="M2385" t="s">
        <v>54</v>
      </c>
      <c r="N2385" t="s">
        <v>85</v>
      </c>
      <c r="O2385" t="s">
        <v>86</v>
      </c>
      <c r="P2385" t="s">
        <v>53</v>
      </c>
      <c r="Q2385" t="s">
        <v>54</v>
      </c>
      <c r="R2385" s="1">
        <v>44272.386446759258</v>
      </c>
      <c r="S2385" s="1">
        <v>44272.386446759258</v>
      </c>
      <c r="T2385">
        <v>1</v>
      </c>
      <c r="U2385">
        <v>1</v>
      </c>
      <c r="V2385" s="2">
        <v>1</v>
      </c>
      <c r="W2385">
        <v>1</v>
      </c>
      <c r="X2385" t="s">
        <v>54</v>
      </c>
      <c r="Y2385">
        <v>1</v>
      </c>
      <c r="Z2385" t="s">
        <v>31</v>
      </c>
      <c r="AA2385">
        <v>0</v>
      </c>
      <c r="AB2385" t="s">
        <v>31</v>
      </c>
      <c r="AC2385">
        <v>0</v>
      </c>
      <c r="AD2385" t="s">
        <v>31</v>
      </c>
      <c r="AE2385">
        <v>0</v>
      </c>
      <c r="AF2385" t="s">
        <v>31</v>
      </c>
      <c r="AG2385">
        <v>0</v>
      </c>
      <c r="AH2385" t="s">
        <v>31</v>
      </c>
      <c r="AI2385">
        <v>0</v>
      </c>
      <c r="AJ2385" t="s">
        <v>31</v>
      </c>
      <c r="AK2385">
        <v>0</v>
      </c>
      <c r="AL2385" t="s">
        <v>31</v>
      </c>
      <c r="AM2385">
        <v>0</v>
      </c>
      <c r="AN2385" t="s">
        <v>31</v>
      </c>
      <c r="AO2385">
        <v>0</v>
      </c>
      <c r="AP2385" t="s">
        <v>31</v>
      </c>
      <c r="AQ2385">
        <v>0</v>
      </c>
    </row>
    <row r="2386" spans="1:43" x14ac:dyDescent="0.2">
      <c r="A2386" t="s">
        <v>381</v>
      </c>
      <c r="B2386" s="3">
        <v>44273</v>
      </c>
      <c r="C2386">
        <v>39</v>
      </c>
      <c r="D2386" t="s">
        <v>385</v>
      </c>
      <c r="E2386" t="s">
        <v>127</v>
      </c>
      <c r="F2386" s="9" t="s">
        <v>142</v>
      </c>
      <c r="G2386" t="s">
        <v>26</v>
      </c>
      <c r="H2386" t="s">
        <v>85</v>
      </c>
      <c r="I2386" t="s">
        <v>86</v>
      </c>
      <c r="J2386" t="s">
        <v>53</v>
      </c>
      <c r="K2386" t="s">
        <v>54</v>
      </c>
      <c r="L2386" t="s">
        <v>53</v>
      </c>
      <c r="M2386" t="s">
        <v>54</v>
      </c>
      <c r="N2386" t="s">
        <v>85</v>
      </c>
      <c r="O2386" t="s">
        <v>86</v>
      </c>
      <c r="P2386" t="s">
        <v>53</v>
      </c>
      <c r="Q2386" t="s">
        <v>54</v>
      </c>
      <c r="R2386" s="1">
        <v>44273.472280092596</v>
      </c>
      <c r="S2386" s="1">
        <v>44273.472280092596</v>
      </c>
      <c r="T2386">
        <v>0</v>
      </c>
      <c r="U2386">
        <v>1</v>
      </c>
      <c r="V2386" s="2">
        <v>0</v>
      </c>
      <c r="W2386">
        <v>0</v>
      </c>
      <c r="X2386" t="s">
        <v>44</v>
      </c>
      <c r="Y2386">
        <v>0</v>
      </c>
      <c r="Z2386" t="s">
        <v>31</v>
      </c>
      <c r="AA2386">
        <v>0</v>
      </c>
      <c r="AB2386" t="s">
        <v>31</v>
      </c>
      <c r="AC2386">
        <v>0</v>
      </c>
      <c r="AD2386" t="s">
        <v>31</v>
      </c>
      <c r="AE2386">
        <v>0</v>
      </c>
      <c r="AF2386" t="s">
        <v>31</v>
      </c>
      <c r="AG2386">
        <v>0</v>
      </c>
      <c r="AH2386" t="s">
        <v>31</v>
      </c>
      <c r="AI2386">
        <v>0</v>
      </c>
      <c r="AJ2386" t="s">
        <v>31</v>
      </c>
      <c r="AK2386">
        <v>0</v>
      </c>
      <c r="AL2386" t="s">
        <v>31</v>
      </c>
      <c r="AM2386">
        <v>0</v>
      </c>
      <c r="AN2386" t="s">
        <v>31</v>
      </c>
      <c r="AO2386">
        <v>0</v>
      </c>
      <c r="AP2386" t="s">
        <v>31</v>
      </c>
      <c r="AQ2386">
        <v>0</v>
      </c>
    </row>
    <row r="2387" spans="1:43" x14ac:dyDescent="0.2">
      <c r="A2387" t="s">
        <v>381</v>
      </c>
      <c r="B2387" s="3">
        <v>44279</v>
      </c>
      <c r="C2387">
        <v>41</v>
      </c>
      <c r="D2387" t="s">
        <v>384</v>
      </c>
      <c r="E2387" t="s">
        <v>127</v>
      </c>
      <c r="F2387" s="9" t="s">
        <v>142</v>
      </c>
      <c r="G2387" t="s">
        <v>26</v>
      </c>
      <c r="H2387" t="s">
        <v>85</v>
      </c>
      <c r="I2387" t="s">
        <v>86</v>
      </c>
      <c r="J2387" t="s">
        <v>53</v>
      </c>
      <c r="K2387" t="s">
        <v>54</v>
      </c>
      <c r="L2387" t="s">
        <v>53</v>
      </c>
      <c r="M2387" t="s">
        <v>54</v>
      </c>
      <c r="N2387" t="s">
        <v>85</v>
      </c>
      <c r="O2387" t="s">
        <v>86</v>
      </c>
      <c r="P2387" t="s">
        <v>53</v>
      </c>
      <c r="Q2387" t="s">
        <v>54</v>
      </c>
      <c r="R2387" s="1">
        <v>44279.422430555554</v>
      </c>
      <c r="S2387" s="1">
        <v>44279.422430555554</v>
      </c>
      <c r="T2387">
        <v>1</v>
      </c>
      <c r="U2387">
        <v>1</v>
      </c>
      <c r="V2387" s="2">
        <v>1</v>
      </c>
      <c r="W2387">
        <v>1</v>
      </c>
      <c r="X2387" t="s">
        <v>54</v>
      </c>
      <c r="Y2387">
        <v>1</v>
      </c>
      <c r="Z2387" t="s">
        <v>31</v>
      </c>
      <c r="AA2387">
        <v>0</v>
      </c>
      <c r="AB2387" t="s">
        <v>31</v>
      </c>
      <c r="AC2387">
        <v>0</v>
      </c>
      <c r="AD2387" t="s">
        <v>31</v>
      </c>
      <c r="AE2387">
        <v>0</v>
      </c>
      <c r="AF2387" t="s">
        <v>31</v>
      </c>
      <c r="AG2387">
        <v>0</v>
      </c>
      <c r="AH2387" t="s">
        <v>31</v>
      </c>
      <c r="AI2387">
        <v>0</v>
      </c>
      <c r="AJ2387" t="s">
        <v>31</v>
      </c>
      <c r="AK2387">
        <v>0</v>
      </c>
      <c r="AL2387" t="s">
        <v>31</v>
      </c>
      <c r="AM2387">
        <v>0</v>
      </c>
      <c r="AN2387" t="s">
        <v>31</v>
      </c>
      <c r="AO2387">
        <v>0</v>
      </c>
      <c r="AP2387" t="s">
        <v>31</v>
      </c>
      <c r="AQ2387">
        <v>0</v>
      </c>
    </row>
    <row r="2388" spans="1:43" x14ac:dyDescent="0.2">
      <c r="A2388" t="s">
        <v>381</v>
      </c>
      <c r="B2388" s="3">
        <v>44284</v>
      </c>
      <c r="C2388">
        <v>43</v>
      </c>
      <c r="D2388" t="s">
        <v>384</v>
      </c>
      <c r="E2388" t="s">
        <v>127</v>
      </c>
      <c r="F2388" s="9" t="s">
        <v>142</v>
      </c>
      <c r="G2388" t="s">
        <v>26</v>
      </c>
      <c r="H2388" t="s">
        <v>85</v>
      </c>
      <c r="I2388" t="s">
        <v>86</v>
      </c>
      <c r="J2388" t="s">
        <v>53</v>
      </c>
      <c r="K2388" t="s">
        <v>54</v>
      </c>
      <c r="L2388" t="s">
        <v>53</v>
      </c>
      <c r="M2388" t="s">
        <v>54</v>
      </c>
      <c r="N2388" t="s">
        <v>85</v>
      </c>
      <c r="O2388" t="s">
        <v>86</v>
      </c>
      <c r="P2388" t="s">
        <v>53</v>
      </c>
      <c r="Q2388" t="s">
        <v>54</v>
      </c>
      <c r="R2388" s="1">
        <v>44284.422673611109</v>
      </c>
      <c r="S2388" s="1">
        <v>44284.422673611109</v>
      </c>
      <c r="T2388">
        <v>0</v>
      </c>
      <c r="U2388">
        <v>1</v>
      </c>
      <c r="V2388" s="2">
        <v>0</v>
      </c>
      <c r="W2388">
        <v>0</v>
      </c>
      <c r="X2388" t="s">
        <v>44</v>
      </c>
      <c r="Y2388">
        <v>0</v>
      </c>
      <c r="Z2388" t="s">
        <v>31</v>
      </c>
      <c r="AA2388">
        <v>0</v>
      </c>
      <c r="AB2388" t="s">
        <v>31</v>
      </c>
      <c r="AC2388">
        <v>0</v>
      </c>
      <c r="AD2388" t="s">
        <v>31</v>
      </c>
      <c r="AE2388">
        <v>0</v>
      </c>
      <c r="AF2388" t="s">
        <v>31</v>
      </c>
      <c r="AG2388">
        <v>0</v>
      </c>
      <c r="AH2388" t="s">
        <v>31</v>
      </c>
      <c r="AI2388">
        <v>0</v>
      </c>
      <c r="AJ2388" t="s">
        <v>31</v>
      </c>
      <c r="AK2388">
        <v>0</v>
      </c>
      <c r="AL2388" t="s">
        <v>31</v>
      </c>
      <c r="AM2388">
        <v>0</v>
      </c>
      <c r="AN2388" t="s">
        <v>31</v>
      </c>
      <c r="AO2388">
        <v>0</v>
      </c>
      <c r="AP2388" t="s">
        <v>31</v>
      </c>
      <c r="AQ2388">
        <v>0</v>
      </c>
    </row>
    <row r="2389" spans="1:43" x14ac:dyDescent="0.2">
      <c r="A2389" t="s">
        <v>381</v>
      </c>
      <c r="B2389" s="3">
        <v>44287</v>
      </c>
      <c r="C2389">
        <v>47</v>
      </c>
      <c r="D2389" t="s">
        <v>385</v>
      </c>
      <c r="E2389" t="s">
        <v>127</v>
      </c>
      <c r="F2389" s="9" t="s">
        <v>142</v>
      </c>
      <c r="G2389" t="s">
        <v>26</v>
      </c>
      <c r="H2389" t="s">
        <v>85</v>
      </c>
      <c r="I2389" t="s">
        <v>86</v>
      </c>
      <c r="J2389" t="s">
        <v>53</v>
      </c>
      <c r="K2389" t="s">
        <v>54</v>
      </c>
      <c r="L2389" t="s">
        <v>53</v>
      </c>
      <c r="M2389" t="s">
        <v>54</v>
      </c>
      <c r="N2389" t="s">
        <v>85</v>
      </c>
      <c r="O2389" t="s">
        <v>86</v>
      </c>
      <c r="P2389" t="s">
        <v>53</v>
      </c>
      <c r="Q2389" t="s">
        <v>54</v>
      </c>
      <c r="R2389" s="1">
        <v>44287.46875</v>
      </c>
      <c r="S2389" s="1">
        <v>44287.46875</v>
      </c>
      <c r="T2389">
        <v>0</v>
      </c>
      <c r="U2389">
        <v>2</v>
      </c>
      <c r="V2389" s="2">
        <v>0</v>
      </c>
      <c r="W2389">
        <v>0</v>
      </c>
      <c r="X2389" t="s">
        <v>44</v>
      </c>
      <c r="Y2389">
        <v>0</v>
      </c>
      <c r="Z2389" t="s">
        <v>44</v>
      </c>
      <c r="AA2389">
        <v>0</v>
      </c>
      <c r="AB2389" t="s">
        <v>31</v>
      </c>
      <c r="AC2389">
        <v>0</v>
      </c>
      <c r="AD2389" t="s">
        <v>31</v>
      </c>
      <c r="AE2389">
        <v>0</v>
      </c>
      <c r="AF2389" t="s">
        <v>31</v>
      </c>
      <c r="AG2389">
        <v>0</v>
      </c>
      <c r="AH2389" t="s">
        <v>31</v>
      </c>
      <c r="AI2389">
        <v>0</v>
      </c>
      <c r="AJ2389" t="s">
        <v>31</v>
      </c>
      <c r="AK2389">
        <v>0</v>
      </c>
      <c r="AL2389" t="s">
        <v>31</v>
      </c>
      <c r="AM2389">
        <v>0</v>
      </c>
      <c r="AN2389" t="s">
        <v>31</v>
      </c>
      <c r="AO2389">
        <v>0</v>
      </c>
      <c r="AP2389" t="s">
        <v>31</v>
      </c>
      <c r="AQ2389">
        <v>0</v>
      </c>
    </row>
    <row r="2390" spans="1:43" x14ac:dyDescent="0.2">
      <c r="A2390" t="s">
        <v>381</v>
      </c>
      <c r="B2390" s="3">
        <v>44291</v>
      </c>
      <c r="C2390">
        <v>50</v>
      </c>
      <c r="D2390" t="s">
        <v>384</v>
      </c>
      <c r="E2390" t="s">
        <v>127</v>
      </c>
      <c r="F2390" s="9" t="s">
        <v>142</v>
      </c>
      <c r="G2390" t="s">
        <v>26</v>
      </c>
      <c r="H2390" t="s">
        <v>85</v>
      </c>
      <c r="I2390" t="s">
        <v>86</v>
      </c>
      <c r="J2390" t="s">
        <v>53</v>
      </c>
      <c r="K2390" t="s">
        <v>54</v>
      </c>
      <c r="L2390" t="s">
        <v>53</v>
      </c>
      <c r="M2390" t="s">
        <v>54</v>
      </c>
      <c r="N2390" t="s">
        <v>85</v>
      </c>
      <c r="O2390" t="s">
        <v>86</v>
      </c>
      <c r="P2390" t="s">
        <v>53</v>
      </c>
      <c r="Q2390" t="s">
        <v>54</v>
      </c>
      <c r="R2390" s="1">
        <v>44291.418622685182</v>
      </c>
      <c r="S2390" s="1">
        <v>44291.418622685182</v>
      </c>
      <c r="T2390">
        <v>1</v>
      </c>
      <c r="U2390">
        <v>1</v>
      </c>
      <c r="V2390" s="2">
        <v>1</v>
      </c>
      <c r="W2390">
        <v>1</v>
      </c>
      <c r="X2390" t="s">
        <v>54</v>
      </c>
      <c r="Y2390">
        <v>1</v>
      </c>
      <c r="Z2390" t="s">
        <v>31</v>
      </c>
      <c r="AA2390">
        <v>0</v>
      </c>
      <c r="AB2390" t="s">
        <v>31</v>
      </c>
      <c r="AC2390">
        <v>0</v>
      </c>
      <c r="AD2390" t="s">
        <v>31</v>
      </c>
      <c r="AE2390">
        <v>0</v>
      </c>
      <c r="AF2390" t="s">
        <v>31</v>
      </c>
      <c r="AG2390">
        <v>0</v>
      </c>
      <c r="AH2390" t="s">
        <v>31</v>
      </c>
      <c r="AI2390">
        <v>0</v>
      </c>
      <c r="AJ2390" t="s">
        <v>31</v>
      </c>
      <c r="AK2390">
        <v>0</v>
      </c>
      <c r="AL2390" t="s">
        <v>31</v>
      </c>
      <c r="AM2390">
        <v>0</v>
      </c>
      <c r="AN2390" t="s">
        <v>31</v>
      </c>
      <c r="AO2390">
        <v>0</v>
      </c>
      <c r="AP2390" t="s">
        <v>31</v>
      </c>
      <c r="AQ2390">
        <v>0</v>
      </c>
    </row>
    <row r="2391" spans="1:43" x14ac:dyDescent="0.2">
      <c r="A2391" t="s">
        <v>381</v>
      </c>
      <c r="B2391" s="3">
        <v>44293</v>
      </c>
      <c r="C2391">
        <v>53</v>
      </c>
      <c r="D2391" t="s">
        <v>384</v>
      </c>
      <c r="E2391" t="s">
        <v>127</v>
      </c>
      <c r="F2391" s="9" t="s">
        <v>142</v>
      </c>
      <c r="G2391" t="s">
        <v>26</v>
      </c>
      <c r="H2391" t="s">
        <v>85</v>
      </c>
      <c r="I2391" t="s">
        <v>86</v>
      </c>
      <c r="J2391" t="s">
        <v>53</v>
      </c>
      <c r="K2391" t="s">
        <v>54</v>
      </c>
      <c r="L2391" t="s">
        <v>53</v>
      </c>
      <c r="M2391" t="s">
        <v>54</v>
      </c>
      <c r="N2391" t="s">
        <v>85</v>
      </c>
      <c r="O2391" t="s">
        <v>86</v>
      </c>
      <c r="P2391" t="s">
        <v>53</v>
      </c>
      <c r="Q2391" t="s">
        <v>54</v>
      </c>
      <c r="R2391" s="1">
        <v>44293.380208333336</v>
      </c>
      <c r="S2391" s="1">
        <v>44293.380208333336</v>
      </c>
      <c r="T2391">
        <v>0</v>
      </c>
      <c r="U2391">
        <v>1</v>
      </c>
      <c r="V2391" s="2">
        <v>0</v>
      </c>
      <c r="W2391">
        <v>0</v>
      </c>
      <c r="X2391" t="s">
        <v>44</v>
      </c>
      <c r="Y2391">
        <v>0</v>
      </c>
      <c r="Z2391" t="s">
        <v>31</v>
      </c>
      <c r="AA2391">
        <v>0</v>
      </c>
      <c r="AB2391" t="s">
        <v>31</v>
      </c>
      <c r="AC2391">
        <v>0</v>
      </c>
      <c r="AD2391" t="s">
        <v>31</v>
      </c>
      <c r="AE2391">
        <v>0</v>
      </c>
      <c r="AF2391" t="s">
        <v>31</v>
      </c>
      <c r="AG2391">
        <v>0</v>
      </c>
      <c r="AH2391" t="s">
        <v>31</v>
      </c>
      <c r="AI2391">
        <v>0</v>
      </c>
      <c r="AJ2391" t="s">
        <v>31</v>
      </c>
      <c r="AK2391">
        <v>0</v>
      </c>
      <c r="AL2391" t="s">
        <v>31</v>
      </c>
      <c r="AM2391">
        <v>0</v>
      </c>
      <c r="AN2391" t="s">
        <v>31</v>
      </c>
      <c r="AO2391">
        <v>0</v>
      </c>
      <c r="AP2391" t="s">
        <v>31</v>
      </c>
      <c r="AQ2391">
        <v>0</v>
      </c>
    </row>
    <row r="2392" spans="1:43" x14ac:dyDescent="0.2">
      <c r="A2392" t="s">
        <v>381</v>
      </c>
      <c r="B2392" s="3">
        <v>44300</v>
      </c>
      <c r="C2392">
        <v>61</v>
      </c>
      <c r="D2392" t="s">
        <v>401</v>
      </c>
      <c r="E2392" t="s">
        <v>127</v>
      </c>
      <c r="F2392" s="9" t="s">
        <v>142</v>
      </c>
      <c r="G2392" t="s">
        <v>26</v>
      </c>
      <c r="H2392" t="s">
        <v>85</v>
      </c>
      <c r="I2392" t="s">
        <v>86</v>
      </c>
      <c r="J2392" t="s">
        <v>53</v>
      </c>
      <c r="K2392" t="s">
        <v>54</v>
      </c>
      <c r="L2392" t="s">
        <v>53</v>
      </c>
      <c r="M2392" t="s">
        <v>54</v>
      </c>
      <c r="N2392" t="s">
        <v>85</v>
      </c>
      <c r="O2392" t="s">
        <v>86</v>
      </c>
      <c r="P2392" t="s">
        <v>53</v>
      </c>
      <c r="Q2392" t="s">
        <v>54</v>
      </c>
      <c r="R2392" s="1">
        <v>44300.658333333333</v>
      </c>
      <c r="S2392" s="1">
        <v>44300.658333333333</v>
      </c>
      <c r="T2392">
        <v>0</v>
      </c>
      <c r="U2392">
        <v>1</v>
      </c>
      <c r="V2392" s="2">
        <v>0</v>
      </c>
      <c r="W2392">
        <v>0</v>
      </c>
      <c r="X2392" t="s">
        <v>44</v>
      </c>
      <c r="Y2392">
        <v>0</v>
      </c>
      <c r="Z2392" t="s">
        <v>31</v>
      </c>
      <c r="AA2392">
        <v>0</v>
      </c>
      <c r="AB2392" t="s">
        <v>31</v>
      </c>
      <c r="AC2392">
        <v>0</v>
      </c>
      <c r="AD2392" t="s">
        <v>31</v>
      </c>
      <c r="AE2392">
        <v>0</v>
      </c>
      <c r="AF2392" t="s">
        <v>31</v>
      </c>
      <c r="AG2392">
        <v>0</v>
      </c>
      <c r="AH2392" t="s">
        <v>31</v>
      </c>
      <c r="AI2392">
        <v>0</v>
      </c>
      <c r="AJ2392" t="s">
        <v>31</v>
      </c>
      <c r="AK2392">
        <v>0</v>
      </c>
      <c r="AL2392" t="s">
        <v>31</v>
      </c>
      <c r="AM2392">
        <v>0</v>
      </c>
      <c r="AN2392" t="s">
        <v>31</v>
      </c>
      <c r="AO2392">
        <v>0</v>
      </c>
      <c r="AP2392" t="s">
        <v>31</v>
      </c>
      <c r="AQ2392">
        <v>0</v>
      </c>
    </row>
    <row r="2393" spans="1:43" x14ac:dyDescent="0.2">
      <c r="A2393" t="s">
        <v>381</v>
      </c>
      <c r="B2393" s="3">
        <v>44302</v>
      </c>
      <c r="C2393">
        <v>65</v>
      </c>
      <c r="D2393" t="s">
        <v>387</v>
      </c>
      <c r="E2393" t="s">
        <v>127</v>
      </c>
      <c r="F2393" s="9" t="s">
        <v>142</v>
      </c>
      <c r="G2393" t="s">
        <v>26</v>
      </c>
      <c r="H2393" t="s">
        <v>85</v>
      </c>
      <c r="I2393" t="s">
        <v>86</v>
      </c>
      <c r="J2393" t="s">
        <v>53</v>
      </c>
      <c r="K2393" t="s">
        <v>54</v>
      </c>
      <c r="L2393" t="s">
        <v>53</v>
      </c>
      <c r="M2393" t="s">
        <v>54</v>
      </c>
      <c r="N2393" t="s">
        <v>85</v>
      </c>
      <c r="O2393" t="s">
        <v>86</v>
      </c>
      <c r="P2393" t="s">
        <v>53</v>
      </c>
      <c r="Q2393" t="s">
        <v>54</v>
      </c>
      <c r="R2393" s="1">
        <v>44302.601585648146</v>
      </c>
      <c r="S2393" s="1">
        <v>44302.601585648146</v>
      </c>
      <c r="T2393">
        <v>0</v>
      </c>
      <c r="U2393">
        <v>1</v>
      </c>
      <c r="V2393" s="2">
        <v>0</v>
      </c>
      <c r="W2393">
        <v>0</v>
      </c>
      <c r="X2393" t="s">
        <v>44</v>
      </c>
      <c r="Y2393">
        <v>0</v>
      </c>
      <c r="Z2393" t="s">
        <v>31</v>
      </c>
      <c r="AA2393">
        <v>0</v>
      </c>
      <c r="AB2393" t="s">
        <v>31</v>
      </c>
      <c r="AC2393">
        <v>0</v>
      </c>
      <c r="AD2393" t="s">
        <v>31</v>
      </c>
      <c r="AE2393">
        <v>0</v>
      </c>
      <c r="AF2393" t="s">
        <v>31</v>
      </c>
      <c r="AG2393">
        <v>0</v>
      </c>
      <c r="AH2393" t="s">
        <v>31</v>
      </c>
      <c r="AI2393">
        <v>0</v>
      </c>
      <c r="AJ2393" t="s">
        <v>31</v>
      </c>
      <c r="AK2393">
        <v>0</v>
      </c>
      <c r="AL2393" t="s">
        <v>31</v>
      </c>
      <c r="AM2393">
        <v>0</v>
      </c>
      <c r="AN2393" t="s">
        <v>31</v>
      </c>
      <c r="AO2393">
        <v>0</v>
      </c>
      <c r="AP2393" t="s">
        <v>31</v>
      </c>
      <c r="AQ2393">
        <v>0</v>
      </c>
    </row>
    <row r="2394" spans="1:43" x14ac:dyDescent="0.2">
      <c r="A2394" t="s">
        <v>381</v>
      </c>
      <c r="B2394" s="3">
        <v>44313</v>
      </c>
      <c r="C2394">
        <v>74</v>
      </c>
      <c r="D2394" t="s">
        <v>383</v>
      </c>
      <c r="E2394" t="s">
        <v>127</v>
      </c>
      <c r="F2394" s="9" t="s">
        <v>142</v>
      </c>
      <c r="G2394" t="s">
        <v>26</v>
      </c>
      <c r="H2394" t="s">
        <v>85</v>
      </c>
      <c r="I2394" t="s">
        <v>86</v>
      </c>
      <c r="J2394" t="s">
        <v>53</v>
      </c>
      <c r="K2394" t="s">
        <v>54</v>
      </c>
      <c r="L2394" t="s">
        <v>53</v>
      </c>
      <c r="M2394" t="s">
        <v>54</v>
      </c>
      <c r="N2394" t="s">
        <v>85</v>
      </c>
      <c r="O2394" t="s">
        <v>86</v>
      </c>
      <c r="P2394" t="s">
        <v>53</v>
      </c>
      <c r="Q2394" t="s">
        <v>54</v>
      </c>
      <c r="R2394" s="1">
        <v>44313.46670138889</v>
      </c>
      <c r="S2394" s="1">
        <v>44313.46670138889</v>
      </c>
      <c r="T2394">
        <v>0</v>
      </c>
      <c r="U2394">
        <v>1</v>
      </c>
      <c r="V2394" s="2">
        <v>0</v>
      </c>
      <c r="W2394">
        <v>0</v>
      </c>
      <c r="X2394" t="s">
        <v>44</v>
      </c>
      <c r="Y2394">
        <v>0</v>
      </c>
      <c r="Z2394" t="s">
        <v>31</v>
      </c>
      <c r="AA2394">
        <v>0</v>
      </c>
      <c r="AB2394" t="s">
        <v>31</v>
      </c>
      <c r="AC2394">
        <v>0</v>
      </c>
      <c r="AD2394" t="s">
        <v>31</v>
      </c>
      <c r="AE2394">
        <v>0</v>
      </c>
      <c r="AF2394" t="s">
        <v>31</v>
      </c>
      <c r="AG2394">
        <v>0</v>
      </c>
      <c r="AH2394" t="s">
        <v>31</v>
      </c>
      <c r="AI2394">
        <v>0</v>
      </c>
      <c r="AJ2394" t="s">
        <v>31</v>
      </c>
      <c r="AK2394">
        <v>0</v>
      </c>
      <c r="AL2394" t="s">
        <v>31</v>
      </c>
      <c r="AM2394">
        <v>0</v>
      </c>
      <c r="AN2394" t="s">
        <v>31</v>
      </c>
      <c r="AO2394">
        <v>0</v>
      </c>
      <c r="AP2394" t="s">
        <v>31</v>
      </c>
      <c r="AQ2394">
        <v>0</v>
      </c>
    </row>
    <row r="2395" spans="1:43" x14ac:dyDescent="0.2">
      <c r="A2395" t="s">
        <v>381</v>
      </c>
      <c r="B2395" s="3">
        <v>44316</v>
      </c>
      <c r="C2395">
        <v>83</v>
      </c>
      <c r="D2395" t="s">
        <v>387</v>
      </c>
      <c r="E2395" t="s">
        <v>127</v>
      </c>
      <c r="F2395" s="9" t="s">
        <v>142</v>
      </c>
      <c r="G2395" t="s">
        <v>26</v>
      </c>
      <c r="H2395" t="s">
        <v>85</v>
      </c>
      <c r="I2395" t="s">
        <v>86</v>
      </c>
      <c r="J2395" t="s">
        <v>53</v>
      </c>
      <c r="K2395" t="s">
        <v>54</v>
      </c>
      <c r="L2395" t="s">
        <v>53</v>
      </c>
      <c r="M2395" t="s">
        <v>54</v>
      </c>
      <c r="N2395" t="s">
        <v>85</v>
      </c>
      <c r="O2395" t="s">
        <v>86</v>
      </c>
      <c r="P2395" t="s">
        <v>53</v>
      </c>
      <c r="Q2395" t="s">
        <v>54</v>
      </c>
      <c r="R2395" s="1">
        <v>44316.568009259259</v>
      </c>
      <c r="S2395" s="1">
        <v>44316.568009259259</v>
      </c>
      <c r="T2395">
        <v>0</v>
      </c>
      <c r="U2395">
        <v>1</v>
      </c>
      <c r="V2395" s="2">
        <v>0</v>
      </c>
      <c r="W2395">
        <v>0</v>
      </c>
      <c r="X2395" t="s">
        <v>44</v>
      </c>
      <c r="Y2395">
        <v>0</v>
      </c>
      <c r="Z2395" t="s">
        <v>31</v>
      </c>
      <c r="AA2395">
        <v>0</v>
      </c>
      <c r="AB2395" t="s">
        <v>31</v>
      </c>
      <c r="AC2395">
        <v>0</v>
      </c>
      <c r="AD2395" t="s">
        <v>31</v>
      </c>
      <c r="AE2395">
        <v>0</v>
      </c>
      <c r="AF2395" t="s">
        <v>31</v>
      </c>
      <c r="AG2395">
        <v>0</v>
      </c>
      <c r="AH2395" t="s">
        <v>31</v>
      </c>
      <c r="AI2395">
        <v>0</v>
      </c>
      <c r="AJ2395" t="s">
        <v>31</v>
      </c>
      <c r="AK2395">
        <v>0</v>
      </c>
      <c r="AL2395" t="s">
        <v>31</v>
      </c>
      <c r="AM2395">
        <v>0</v>
      </c>
      <c r="AN2395" t="s">
        <v>31</v>
      </c>
      <c r="AO2395">
        <v>0</v>
      </c>
      <c r="AP2395" t="s">
        <v>31</v>
      </c>
      <c r="AQ2395">
        <v>0</v>
      </c>
    </row>
    <row r="2396" spans="1:43" x14ac:dyDescent="0.2">
      <c r="A2396" t="s">
        <v>381</v>
      </c>
      <c r="B2396" s="3">
        <v>44319</v>
      </c>
      <c r="C2396">
        <v>84</v>
      </c>
      <c r="D2396" t="s">
        <v>390</v>
      </c>
      <c r="E2396" t="s">
        <v>127</v>
      </c>
      <c r="F2396" s="9" t="s">
        <v>142</v>
      </c>
      <c r="G2396" t="s">
        <v>26</v>
      </c>
      <c r="H2396" t="s">
        <v>85</v>
      </c>
      <c r="I2396" t="s">
        <v>86</v>
      </c>
      <c r="J2396" t="s">
        <v>53</v>
      </c>
      <c r="K2396" t="s">
        <v>54</v>
      </c>
      <c r="L2396" t="s">
        <v>53</v>
      </c>
      <c r="M2396" t="s">
        <v>54</v>
      </c>
      <c r="N2396" t="s">
        <v>85</v>
      </c>
      <c r="O2396" t="s">
        <v>86</v>
      </c>
      <c r="P2396" t="s">
        <v>53</v>
      </c>
      <c r="Q2396" t="s">
        <v>54</v>
      </c>
      <c r="R2396" s="1">
        <v>44319.480694444443</v>
      </c>
      <c r="S2396" s="1">
        <v>44319.480694444443</v>
      </c>
      <c r="T2396">
        <v>0</v>
      </c>
      <c r="U2396">
        <v>1</v>
      </c>
      <c r="V2396" s="2">
        <v>0</v>
      </c>
      <c r="W2396">
        <v>0</v>
      </c>
      <c r="X2396" t="s">
        <v>44</v>
      </c>
      <c r="Y2396">
        <v>0</v>
      </c>
      <c r="Z2396" t="s">
        <v>31</v>
      </c>
      <c r="AA2396">
        <v>0</v>
      </c>
      <c r="AB2396" t="s">
        <v>31</v>
      </c>
      <c r="AC2396">
        <v>0</v>
      </c>
      <c r="AD2396" t="s">
        <v>31</v>
      </c>
      <c r="AE2396">
        <v>0</v>
      </c>
      <c r="AF2396" t="s">
        <v>31</v>
      </c>
      <c r="AG2396">
        <v>0</v>
      </c>
      <c r="AH2396" t="s">
        <v>31</v>
      </c>
      <c r="AI2396">
        <v>0</v>
      </c>
      <c r="AJ2396" t="s">
        <v>31</v>
      </c>
      <c r="AK2396">
        <v>0</v>
      </c>
      <c r="AL2396" t="s">
        <v>31</v>
      </c>
      <c r="AM2396">
        <v>0</v>
      </c>
      <c r="AN2396" t="s">
        <v>31</v>
      </c>
      <c r="AO2396">
        <v>0</v>
      </c>
      <c r="AP2396" t="s">
        <v>31</v>
      </c>
      <c r="AQ2396">
        <v>0</v>
      </c>
    </row>
    <row r="2397" spans="1:43" x14ac:dyDescent="0.2">
      <c r="A2397" t="s">
        <v>381</v>
      </c>
      <c r="B2397" s="3">
        <v>44321</v>
      </c>
      <c r="C2397">
        <v>89</v>
      </c>
      <c r="D2397" t="s">
        <v>387</v>
      </c>
      <c r="E2397" t="s">
        <v>127</v>
      </c>
      <c r="F2397" s="9" t="s">
        <v>142</v>
      </c>
      <c r="G2397" t="s">
        <v>26</v>
      </c>
      <c r="H2397" t="s">
        <v>85</v>
      </c>
      <c r="I2397" t="s">
        <v>86</v>
      </c>
      <c r="J2397" t="s">
        <v>53</v>
      </c>
      <c r="K2397" t="s">
        <v>54</v>
      </c>
      <c r="L2397" t="s">
        <v>53</v>
      </c>
      <c r="M2397" t="s">
        <v>54</v>
      </c>
      <c r="N2397" t="s">
        <v>85</v>
      </c>
      <c r="O2397" t="s">
        <v>86</v>
      </c>
      <c r="P2397" t="s">
        <v>53</v>
      </c>
      <c r="Q2397" t="s">
        <v>54</v>
      </c>
      <c r="R2397" s="1">
        <v>44321.53565972222</v>
      </c>
      <c r="S2397" s="1">
        <v>44321.53565972222</v>
      </c>
      <c r="T2397">
        <v>0</v>
      </c>
      <c r="U2397">
        <v>1</v>
      </c>
      <c r="V2397" s="2">
        <v>0</v>
      </c>
      <c r="W2397">
        <v>0</v>
      </c>
      <c r="X2397" t="s">
        <v>44</v>
      </c>
      <c r="Y2397">
        <v>0</v>
      </c>
      <c r="Z2397" t="s">
        <v>31</v>
      </c>
      <c r="AA2397">
        <v>0</v>
      </c>
      <c r="AB2397" t="s">
        <v>31</v>
      </c>
      <c r="AC2397">
        <v>0</v>
      </c>
      <c r="AD2397" t="s">
        <v>31</v>
      </c>
      <c r="AE2397">
        <v>0</v>
      </c>
      <c r="AF2397" t="s">
        <v>31</v>
      </c>
      <c r="AG2397">
        <v>0</v>
      </c>
      <c r="AH2397" t="s">
        <v>31</v>
      </c>
      <c r="AI2397">
        <v>0</v>
      </c>
      <c r="AJ2397" t="s">
        <v>31</v>
      </c>
      <c r="AK2397">
        <v>0</v>
      </c>
      <c r="AL2397" t="s">
        <v>31</v>
      </c>
      <c r="AM2397">
        <v>0</v>
      </c>
      <c r="AN2397" t="s">
        <v>31</v>
      </c>
      <c r="AO2397">
        <v>0</v>
      </c>
      <c r="AP2397" t="s">
        <v>31</v>
      </c>
      <c r="AQ2397">
        <v>0</v>
      </c>
    </row>
    <row r="2398" spans="1:43" x14ac:dyDescent="0.2">
      <c r="A2398" t="s">
        <v>381</v>
      </c>
      <c r="B2398" s="3">
        <v>44328</v>
      </c>
      <c r="C2398">
        <v>97</v>
      </c>
      <c r="D2398" t="s">
        <v>387</v>
      </c>
      <c r="E2398" t="s">
        <v>127</v>
      </c>
      <c r="F2398" s="9" t="s">
        <v>142</v>
      </c>
      <c r="G2398" t="s">
        <v>26</v>
      </c>
      <c r="H2398" t="s">
        <v>85</v>
      </c>
      <c r="I2398" t="s">
        <v>86</v>
      </c>
      <c r="J2398" t="s">
        <v>53</v>
      </c>
      <c r="K2398" t="s">
        <v>54</v>
      </c>
      <c r="L2398" t="s">
        <v>53</v>
      </c>
      <c r="M2398" t="s">
        <v>54</v>
      </c>
      <c r="N2398" t="s">
        <v>85</v>
      </c>
      <c r="O2398" t="s">
        <v>86</v>
      </c>
      <c r="P2398" t="s">
        <v>53</v>
      </c>
      <c r="Q2398" t="s">
        <v>54</v>
      </c>
      <c r="R2398" s="1">
        <v>44328.55164351852</v>
      </c>
      <c r="S2398" s="1">
        <v>44328.55164351852</v>
      </c>
      <c r="T2398">
        <v>0</v>
      </c>
      <c r="U2398">
        <v>1</v>
      </c>
      <c r="V2398" s="2">
        <v>0</v>
      </c>
      <c r="W2398">
        <v>0</v>
      </c>
      <c r="X2398" t="s">
        <v>44</v>
      </c>
      <c r="Y2398">
        <v>0</v>
      </c>
      <c r="Z2398" t="s">
        <v>31</v>
      </c>
      <c r="AA2398">
        <v>0</v>
      </c>
      <c r="AB2398" t="s">
        <v>31</v>
      </c>
      <c r="AC2398">
        <v>0</v>
      </c>
      <c r="AD2398" t="s">
        <v>31</v>
      </c>
      <c r="AE2398">
        <v>0</v>
      </c>
      <c r="AF2398" t="s">
        <v>31</v>
      </c>
      <c r="AG2398">
        <v>0</v>
      </c>
      <c r="AH2398" t="s">
        <v>31</v>
      </c>
      <c r="AI2398">
        <v>0</v>
      </c>
      <c r="AJ2398" t="s">
        <v>31</v>
      </c>
      <c r="AK2398">
        <v>0</v>
      </c>
      <c r="AL2398" t="s">
        <v>31</v>
      </c>
      <c r="AM2398">
        <v>0</v>
      </c>
      <c r="AN2398" t="s">
        <v>31</v>
      </c>
      <c r="AO2398">
        <v>0</v>
      </c>
      <c r="AP2398" t="s">
        <v>31</v>
      </c>
      <c r="AQ2398">
        <v>0</v>
      </c>
    </row>
    <row r="2399" spans="1:43" x14ac:dyDescent="0.2">
      <c r="A2399" t="s">
        <v>381</v>
      </c>
      <c r="B2399" s="3">
        <v>44351</v>
      </c>
      <c r="C2399">
        <v>125</v>
      </c>
      <c r="D2399" t="s">
        <v>387</v>
      </c>
      <c r="E2399" t="s">
        <v>127</v>
      </c>
      <c r="F2399" s="9" t="s">
        <v>142</v>
      </c>
      <c r="G2399" t="s">
        <v>26</v>
      </c>
      <c r="H2399" t="s">
        <v>85</v>
      </c>
      <c r="I2399" t="s">
        <v>86</v>
      </c>
      <c r="J2399" t="s">
        <v>53</v>
      </c>
      <c r="K2399" t="s">
        <v>54</v>
      </c>
      <c r="L2399" t="s">
        <v>53</v>
      </c>
      <c r="M2399" t="s">
        <v>54</v>
      </c>
      <c r="N2399" t="s">
        <v>85</v>
      </c>
      <c r="O2399" t="s">
        <v>86</v>
      </c>
      <c r="P2399" t="s">
        <v>53</v>
      </c>
      <c r="Q2399" t="s">
        <v>54</v>
      </c>
      <c r="R2399" s="1">
        <v>44351.539386574077</v>
      </c>
      <c r="S2399" s="1">
        <v>44351.539386574077</v>
      </c>
      <c r="T2399">
        <v>0</v>
      </c>
      <c r="U2399">
        <v>1</v>
      </c>
      <c r="V2399" s="2">
        <v>0</v>
      </c>
      <c r="W2399">
        <v>0</v>
      </c>
      <c r="X2399" t="s">
        <v>44</v>
      </c>
      <c r="Y2399">
        <v>0</v>
      </c>
      <c r="Z2399" t="s">
        <v>31</v>
      </c>
      <c r="AA2399">
        <v>0</v>
      </c>
      <c r="AB2399" t="s">
        <v>31</v>
      </c>
      <c r="AC2399">
        <v>0</v>
      </c>
      <c r="AD2399" t="s">
        <v>31</v>
      </c>
      <c r="AE2399">
        <v>0</v>
      </c>
      <c r="AF2399" t="s">
        <v>31</v>
      </c>
      <c r="AG2399">
        <v>0</v>
      </c>
      <c r="AH2399" t="s">
        <v>31</v>
      </c>
      <c r="AI2399">
        <v>0</v>
      </c>
      <c r="AJ2399" t="s">
        <v>31</v>
      </c>
      <c r="AK2399">
        <v>0</v>
      </c>
      <c r="AL2399" t="s">
        <v>31</v>
      </c>
      <c r="AM2399">
        <v>0</v>
      </c>
      <c r="AN2399" t="s">
        <v>31</v>
      </c>
      <c r="AO2399">
        <v>0</v>
      </c>
      <c r="AP2399" t="s">
        <v>31</v>
      </c>
      <c r="AQ2399">
        <v>0</v>
      </c>
    </row>
    <row r="2400" spans="1:43" x14ac:dyDescent="0.2">
      <c r="A2400" t="s">
        <v>381</v>
      </c>
      <c r="B2400" s="3">
        <v>44354</v>
      </c>
      <c r="C2400">
        <v>127</v>
      </c>
      <c r="D2400" t="s">
        <v>383</v>
      </c>
      <c r="E2400" t="s">
        <v>127</v>
      </c>
      <c r="F2400" s="9" t="s">
        <v>142</v>
      </c>
      <c r="G2400" t="s">
        <v>26</v>
      </c>
      <c r="H2400" t="s">
        <v>85</v>
      </c>
      <c r="I2400" t="s">
        <v>86</v>
      </c>
      <c r="J2400" t="s">
        <v>53</v>
      </c>
      <c r="K2400" t="s">
        <v>54</v>
      </c>
      <c r="L2400" t="s">
        <v>53</v>
      </c>
      <c r="M2400" t="s">
        <v>54</v>
      </c>
      <c r="N2400" t="s">
        <v>85</v>
      </c>
      <c r="O2400" t="s">
        <v>86</v>
      </c>
      <c r="P2400" t="s">
        <v>53</v>
      </c>
      <c r="Q2400" t="s">
        <v>54</v>
      </c>
      <c r="R2400" s="1">
        <v>44354.637835648151</v>
      </c>
      <c r="S2400" s="1">
        <v>44354.637835648151</v>
      </c>
      <c r="T2400">
        <v>0</v>
      </c>
      <c r="U2400">
        <v>1</v>
      </c>
      <c r="V2400" s="2">
        <v>0</v>
      </c>
      <c r="W2400">
        <v>0</v>
      </c>
      <c r="X2400" t="s">
        <v>44</v>
      </c>
      <c r="Y2400">
        <v>0</v>
      </c>
      <c r="Z2400" t="s">
        <v>31</v>
      </c>
      <c r="AA2400">
        <v>0</v>
      </c>
      <c r="AB2400" t="s">
        <v>31</v>
      </c>
      <c r="AC2400">
        <v>0</v>
      </c>
      <c r="AD2400" t="s">
        <v>31</v>
      </c>
      <c r="AE2400">
        <v>0</v>
      </c>
      <c r="AF2400" t="s">
        <v>31</v>
      </c>
      <c r="AG2400">
        <v>0</v>
      </c>
      <c r="AH2400" t="s">
        <v>31</v>
      </c>
      <c r="AI2400">
        <v>0</v>
      </c>
      <c r="AJ2400" t="s">
        <v>31</v>
      </c>
      <c r="AK2400">
        <v>0</v>
      </c>
      <c r="AL2400" t="s">
        <v>31</v>
      </c>
      <c r="AM2400">
        <v>0</v>
      </c>
      <c r="AN2400" t="s">
        <v>31</v>
      </c>
      <c r="AO2400">
        <v>0</v>
      </c>
      <c r="AP2400" t="s">
        <v>31</v>
      </c>
      <c r="AQ2400">
        <v>0</v>
      </c>
    </row>
    <row r="2401" spans="1:43" x14ac:dyDescent="0.2">
      <c r="A2401" t="s">
        <v>381</v>
      </c>
      <c r="B2401" s="3">
        <v>44357</v>
      </c>
      <c r="C2401">
        <v>132</v>
      </c>
      <c r="D2401" t="s">
        <v>399</v>
      </c>
      <c r="E2401" t="s">
        <v>127</v>
      </c>
      <c r="F2401" s="9" t="s">
        <v>142</v>
      </c>
      <c r="G2401" t="s">
        <v>26</v>
      </c>
      <c r="H2401" t="s">
        <v>85</v>
      </c>
      <c r="I2401" t="s">
        <v>86</v>
      </c>
      <c r="J2401" t="s">
        <v>53</v>
      </c>
      <c r="K2401" t="s">
        <v>54</v>
      </c>
      <c r="L2401" t="s">
        <v>53</v>
      </c>
      <c r="M2401" t="s">
        <v>54</v>
      </c>
      <c r="N2401" t="s">
        <v>85</v>
      </c>
      <c r="O2401" t="s">
        <v>86</v>
      </c>
      <c r="P2401" t="s">
        <v>53</v>
      </c>
      <c r="Q2401" t="s">
        <v>54</v>
      </c>
      <c r="R2401" s="1">
        <v>44357.432453703703</v>
      </c>
      <c r="S2401" s="1">
        <v>44357.432453703703</v>
      </c>
      <c r="T2401">
        <v>0</v>
      </c>
      <c r="U2401">
        <v>1</v>
      </c>
      <c r="V2401" s="2">
        <v>0</v>
      </c>
      <c r="W2401">
        <v>0</v>
      </c>
      <c r="X2401" t="s">
        <v>44</v>
      </c>
      <c r="Y2401">
        <v>0</v>
      </c>
      <c r="Z2401" t="s">
        <v>31</v>
      </c>
      <c r="AA2401">
        <v>0</v>
      </c>
      <c r="AB2401" t="s">
        <v>31</v>
      </c>
      <c r="AC2401">
        <v>0</v>
      </c>
      <c r="AD2401" t="s">
        <v>31</v>
      </c>
      <c r="AE2401">
        <v>0</v>
      </c>
      <c r="AF2401" t="s">
        <v>31</v>
      </c>
      <c r="AG2401">
        <v>0</v>
      </c>
      <c r="AH2401" t="s">
        <v>31</v>
      </c>
      <c r="AI2401">
        <v>0</v>
      </c>
      <c r="AJ2401" t="s">
        <v>31</v>
      </c>
      <c r="AK2401">
        <v>0</v>
      </c>
      <c r="AL2401" t="s">
        <v>31</v>
      </c>
      <c r="AM2401">
        <v>0</v>
      </c>
      <c r="AN2401" t="s">
        <v>31</v>
      </c>
      <c r="AO2401">
        <v>0</v>
      </c>
      <c r="AP2401" t="s">
        <v>31</v>
      </c>
      <c r="AQ2401">
        <v>0</v>
      </c>
    </row>
    <row r="2402" spans="1:43" x14ac:dyDescent="0.2">
      <c r="A2402" t="s">
        <v>381</v>
      </c>
      <c r="B2402" s="3">
        <v>44361</v>
      </c>
      <c r="C2402">
        <v>135</v>
      </c>
      <c r="D2402" t="s">
        <v>390</v>
      </c>
      <c r="E2402" t="s">
        <v>127</v>
      </c>
      <c r="F2402" s="9" t="s">
        <v>142</v>
      </c>
      <c r="G2402" t="s">
        <v>26</v>
      </c>
      <c r="H2402" t="s">
        <v>85</v>
      </c>
      <c r="I2402" t="s">
        <v>86</v>
      </c>
      <c r="J2402" t="s">
        <v>53</v>
      </c>
      <c r="K2402" t="s">
        <v>54</v>
      </c>
      <c r="L2402" t="s">
        <v>53</v>
      </c>
      <c r="M2402" t="s">
        <v>54</v>
      </c>
      <c r="N2402" t="s">
        <v>85</v>
      </c>
      <c r="O2402" t="s">
        <v>86</v>
      </c>
      <c r="P2402" t="s">
        <v>53</v>
      </c>
      <c r="Q2402" t="s">
        <v>54</v>
      </c>
      <c r="R2402" s="1">
        <v>44361.412534722222</v>
      </c>
      <c r="S2402" s="1">
        <v>44361.412534722222</v>
      </c>
      <c r="T2402">
        <v>1</v>
      </c>
      <c r="U2402">
        <v>1</v>
      </c>
      <c r="V2402" s="2">
        <v>1</v>
      </c>
      <c r="W2402">
        <v>1</v>
      </c>
      <c r="X2402" t="s">
        <v>54</v>
      </c>
      <c r="Y2402">
        <v>1</v>
      </c>
      <c r="Z2402" t="s">
        <v>31</v>
      </c>
      <c r="AA2402">
        <v>0</v>
      </c>
      <c r="AB2402" t="s">
        <v>31</v>
      </c>
      <c r="AC2402">
        <v>0</v>
      </c>
      <c r="AD2402" t="s">
        <v>31</v>
      </c>
      <c r="AE2402">
        <v>0</v>
      </c>
      <c r="AF2402" t="s">
        <v>31</v>
      </c>
      <c r="AG2402">
        <v>0</v>
      </c>
      <c r="AH2402" t="s">
        <v>31</v>
      </c>
      <c r="AI2402">
        <v>0</v>
      </c>
      <c r="AJ2402" t="s">
        <v>31</v>
      </c>
      <c r="AK2402">
        <v>0</v>
      </c>
      <c r="AL2402" t="s">
        <v>31</v>
      </c>
      <c r="AM2402">
        <v>0</v>
      </c>
      <c r="AN2402" t="s">
        <v>31</v>
      </c>
      <c r="AO2402">
        <v>0</v>
      </c>
      <c r="AP2402" t="s">
        <v>31</v>
      </c>
      <c r="AQ2402">
        <v>0</v>
      </c>
    </row>
    <row r="2403" spans="1:43" x14ac:dyDescent="0.2">
      <c r="A2403" t="s">
        <v>381</v>
      </c>
      <c r="B2403" s="3">
        <v>44365</v>
      </c>
      <c r="C2403">
        <v>139</v>
      </c>
      <c r="D2403" t="s">
        <v>400</v>
      </c>
      <c r="E2403" t="s">
        <v>127</v>
      </c>
      <c r="F2403" s="9" t="s">
        <v>142</v>
      </c>
      <c r="G2403" t="s">
        <v>26</v>
      </c>
      <c r="H2403" t="s">
        <v>85</v>
      </c>
      <c r="I2403" t="s">
        <v>86</v>
      </c>
      <c r="J2403" t="s">
        <v>53</v>
      </c>
      <c r="K2403" t="s">
        <v>54</v>
      </c>
      <c r="L2403" t="s">
        <v>53</v>
      </c>
      <c r="M2403" t="s">
        <v>54</v>
      </c>
      <c r="N2403" t="s">
        <v>85</v>
      </c>
      <c r="O2403" t="s">
        <v>86</v>
      </c>
      <c r="P2403" t="s">
        <v>53</v>
      </c>
      <c r="Q2403" t="s">
        <v>54</v>
      </c>
      <c r="R2403" s="1">
        <v>44365.410196759258</v>
      </c>
      <c r="S2403" s="1">
        <v>44365.410196759258</v>
      </c>
      <c r="T2403">
        <v>0</v>
      </c>
      <c r="U2403">
        <v>1</v>
      </c>
      <c r="V2403" s="2">
        <v>0</v>
      </c>
      <c r="W2403">
        <v>0</v>
      </c>
      <c r="X2403" t="s">
        <v>44</v>
      </c>
      <c r="Y2403">
        <v>0</v>
      </c>
      <c r="Z2403" t="s">
        <v>31</v>
      </c>
      <c r="AA2403">
        <v>0</v>
      </c>
      <c r="AB2403" t="s">
        <v>31</v>
      </c>
      <c r="AC2403">
        <v>0</v>
      </c>
      <c r="AD2403" t="s">
        <v>31</v>
      </c>
      <c r="AE2403">
        <v>0</v>
      </c>
      <c r="AF2403" t="s">
        <v>31</v>
      </c>
      <c r="AG2403">
        <v>0</v>
      </c>
      <c r="AH2403" t="s">
        <v>31</v>
      </c>
      <c r="AI2403">
        <v>0</v>
      </c>
      <c r="AJ2403" t="s">
        <v>31</v>
      </c>
      <c r="AK2403">
        <v>0</v>
      </c>
      <c r="AL2403" t="s">
        <v>31</v>
      </c>
      <c r="AM2403">
        <v>0</v>
      </c>
      <c r="AN2403" t="s">
        <v>31</v>
      </c>
      <c r="AO2403">
        <v>0</v>
      </c>
      <c r="AP2403" t="s">
        <v>31</v>
      </c>
      <c r="AQ2403">
        <v>0</v>
      </c>
    </row>
    <row r="2404" spans="1:43" x14ac:dyDescent="0.2">
      <c r="A2404" t="s">
        <v>381</v>
      </c>
      <c r="B2404" s="3">
        <v>44365</v>
      </c>
      <c r="C2404">
        <v>140</v>
      </c>
      <c r="D2404" t="s">
        <v>399</v>
      </c>
      <c r="E2404" t="s">
        <v>127</v>
      </c>
      <c r="F2404" s="9" t="s">
        <v>142</v>
      </c>
      <c r="G2404" t="s">
        <v>26</v>
      </c>
      <c r="H2404" t="s">
        <v>85</v>
      </c>
      <c r="I2404" t="s">
        <v>86</v>
      </c>
      <c r="J2404" t="s">
        <v>53</v>
      </c>
      <c r="K2404" t="s">
        <v>54</v>
      </c>
      <c r="L2404" t="s">
        <v>53</v>
      </c>
      <c r="M2404" t="s">
        <v>54</v>
      </c>
      <c r="N2404" t="s">
        <v>85</v>
      </c>
      <c r="O2404" t="s">
        <v>86</v>
      </c>
      <c r="P2404" t="s">
        <v>53</v>
      </c>
      <c r="Q2404" t="s">
        <v>54</v>
      </c>
      <c r="R2404" s="1">
        <v>44365.598900462966</v>
      </c>
      <c r="S2404" s="1">
        <v>44365.598900462966</v>
      </c>
      <c r="T2404">
        <v>0</v>
      </c>
      <c r="U2404">
        <v>1</v>
      </c>
      <c r="V2404" s="2">
        <v>0</v>
      </c>
      <c r="W2404">
        <v>0</v>
      </c>
      <c r="X2404" t="s">
        <v>44</v>
      </c>
      <c r="Y2404">
        <v>0</v>
      </c>
      <c r="Z2404" t="s">
        <v>31</v>
      </c>
      <c r="AA2404">
        <v>0</v>
      </c>
      <c r="AB2404" t="s">
        <v>31</v>
      </c>
      <c r="AC2404">
        <v>0</v>
      </c>
      <c r="AD2404" t="s">
        <v>31</v>
      </c>
      <c r="AE2404">
        <v>0</v>
      </c>
      <c r="AF2404" t="s">
        <v>31</v>
      </c>
      <c r="AG2404">
        <v>0</v>
      </c>
      <c r="AH2404" t="s">
        <v>31</v>
      </c>
      <c r="AI2404">
        <v>0</v>
      </c>
      <c r="AJ2404" t="s">
        <v>31</v>
      </c>
      <c r="AK2404">
        <v>0</v>
      </c>
      <c r="AL2404" t="s">
        <v>31</v>
      </c>
      <c r="AM2404">
        <v>0</v>
      </c>
      <c r="AN2404" t="s">
        <v>31</v>
      </c>
      <c r="AO2404">
        <v>0</v>
      </c>
      <c r="AP2404" t="s">
        <v>31</v>
      </c>
      <c r="AQ2404">
        <v>0</v>
      </c>
    </row>
    <row r="2405" spans="1:43" x14ac:dyDescent="0.2">
      <c r="A2405" t="s">
        <v>381</v>
      </c>
      <c r="B2405" s="3">
        <v>44375</v>
      </c>
      <c r="C2405">
        <v>141</v>
      </c>
      <c r="D2405" t="s">
        <v>396</v>
      </c>
      <c r="E2405" t="s">
        <v>127</v>
      </c>
      <c r="F2405" s="9" t="s">
        <v>142</v>
      </c>
      <c r="G2405" t="s">
        <v>26</v>
      </c>
      <c r="H2405" t="s">
        <v>85</v>
      </c>
      <c r="I2405" t="s">
        <v>86</v>
      </c>
      <c r="J2405" t="s">
        <v>53</v>
      </c>
      <c r="K2405" t="s">
        <v>54</v>
      </c>
      <c r="L2405" t="s">
        <v>53</v>
      </c>
      <c r="M2405" t="s">
        <v>54</v>
      </c>
      <c r="N2405" t="s">
        <v>85</v>
      </c>
      <c r="O2405" t="s">
        <v>86</v>
      </c>
      <c r="P2405" t="s">
        <v>53</v>
      </c>
      <c r="Q2405" t="s">
        <v>54</v>
      </c>
      <c r="R2405" s="1">
        <v>44375.605590277781</v>
      </c>
      <c r="S2405" s="1">
        <v>44375.605590277781</v>
      </c>
      <c r="T2405">
        <v>0</v>
      </c>
      <c r="U2405">
        <v>1</v>
      </c>
      <c r="V2405" s="2">
        <v>0</v>
      </c>
      <c r="W2405">
        <v>0</v>
      </c>
      <c r="X2405" t="s">
        <v>44</v>
      </c>
      <c r="Y2405">
        <v>0</v>
      </c>
      <c r="Z2405" t="s">
        <v>31</v>
      </c>
      <c r="AA2405">
        <v>0</v>
      </c>
      <c r="AB2405" t="s">
        <v>31</v>
      </c>
      <c r="AC2405">
        <v>0</v>
      </c>
      <c r="AD2405" t="s">
        <v>31</v>
      </c>
      <c r="AE2405">
        <v>0</v>
      </c>
      <c r="AF2405" t="s">
        <v>31</v>
      </c>
      <c r="AG2405">
        <v>0</v>
      </c>
      <c r="AH2405" t="s">
        <v>31</v>
      </c>
      <c r="AI2405">
        <v>0</v>
      </c>
      <c r="AJ2405" t="s">
        <v>31</v>
      </c>
      <c r="AK2405">
        <v>0</v>
      </c>
      <c r="AL2405" t="s">
        <v>31</v>
      </c>
      <c r="AM2405">
        <v>0</v>
      </c>
      <c r="AN2405" t="s">
        <v>31</v>
      </c>
      <c r="AO2405">
        <v>0</v>
      </c>
      <c r="AP2405" t="s">
        <v>31</v>
      </c>
      <c r="AQ2405">
        <v>0</v>
      </c>
    </row>
    <row r="2406" spans="1:43" x14ac:dyDescent="0.2">
      <c r="A2406" t="s">
        <v>381</v>
      </c>
      <c r="B2406" s="3">
        <v>44237</v>
      </c>
      <c r="C2406">
        <v>4</v>
      </c>
      <c r="D2406" t="s">
        <v>384</v>
      </c>
      <c r="E2406" t="s">
        <v>127</v>
      </c>
      <c r="F2406" s="9" t="s">
        <v>128</v>
      </c>
      <c r="G2406" t="s">
        <v>26</v>
      </c>
      <c r="H2406" t="s">
        <v>85</v>
      </c>
      <c r="I2406" t="s">
        <v>86</v>
      </c>
      <c r="J2406" t="s">
        <v>53</v>
      </c>
      <c r="K2406" t="s">
        <v>54</v>
      </c>
      <c r="L2406" t="s">
        <v>53</v>
      </c>
      <c r="M2406" t="s">
        <v>54</v>
      </c>
      <c r="N2406" t="s">
        <v>85</v>
      </c>
      <c r="O2406" t="s">
        <v>86</v>
      </c>
      <c r="P2406" t="s">
        <v>53</v>
      </c>
      <c r="Q2406" t="s">
        <v>54</v>
      </c>
      <c r="R2406" s="1">
        <v>44237.471770833334</v>
      </c>
      <c r="S2406" s="1">
        <v>44237.471770833334</v>
      </c>
      <c r="T2406">
        <v>1</v>
      </c>
      <c r="U2406">
        <v>1</v>
      </c>
      <c r="V2406" s="2">
        <v>1</v>
      </c>
      <c r="W2406">
        <v>1</v>
      </c>
      <c r="X2406" t="s">
        <v>54</v>
      </c>
      <c r="Y2406">
        <v>1</v>
      </c>
      <c r="Z2406" t="s">
        <v>31</v>
      </c>
      <c r="AA2406">
        <v>0</v>
      </c>
      <c r="AB2406" t="s">
        <v>31</v>
      </c>
      <c r="AC2406">
        <v>0</v>
      </c>
      <c r="AD2406" t="s">
        <v>31</v>
      </c>
      <c r="AE2406">
        <v>0</v>
      </c>
      <c r="AF2406" t="s">
        <v>31</v>
      </c>
      <c r="AG2406">
        <v>0</v>
      </c>
      <c r="AH2406" t="s">
        <v>31</v>
      </c>
      <c r="AI2406">
        <v>0</v>
      </c>
      <c r="AJ2406" t="s">
        <v>31</v>
      </c>
      <c r="AK2406">
        <v>0</v>
      </c>
      <c r="AL2406" t="s">
        <v>31</v>
      </c>
      <c r="AM2406">
        <v>0</v>
      </c>
      <c r="AN2406" t="s">
        <v>31</v>
      </c>
      <c r="AO2406">
        <v>0</v>
      </c>
      <c r="AP2406" t="s">
        <v>31</v>
      </c>
      <c r="AQ2406">
        <v>0</v>
      </c>
    </row>
    <row r="2407" spans="1:43" x14ac:dyDescent="0.2">
      <c r="A2407" t="s">
        <v>381</v>
      </c>
      <c r="B2407" s="3">
        <v>44238</v>
      </c>
      <c r="C2407">
        <v>5</v>
      </c>
      <c r="D2407" t="s">
        <v>382</v>
      </c>
      <c r="E2407" t="s">
        <v>127</v>
      </c>
      <c r="F2407" s="9" t="s">
        <v>128</v>
      </c>
      <c r="G2407" t="s">
        <v>26</v>
      </c>
      <c r="H2407" t="s">
        <v>85</v>
      </c>
      <c r="I2407" t="s">
        <v>86</v>
      </c>
      <c r="J2407" t="s">
        <v>53</v>
      </c>
      <c r="K2407" t="s">
        <v>54</v>
      </c>
      <c r="L2407" t="s">
        <v>53</v>
      </c>
      <c r="M2407" t="s">
        <v>54</v>
      </c>
      <c r="N2407" t="s">
        <v>85</v>
      </c>
      <c r="O2407" t="s">
        <v>86</v>
      </c>
      <c r="P2407" t="s">
        <v>53</v>
      </c>
      <c r="Q2407" t="s">
        <v>54</v>
      </c>
      <c r="R2407" s="1">
        <v>44238.383842592593</v>
      </c>
      <c r="S2407" s="1">
        <v>44238.383842592593</v>
      </c>
      <c r="T2407">
        <v>0</v>
      </c>
      <c r="U2407">
        <v>1</v>
      </c>
      <c r="V2407" s="2">
        <v>0</v>
      </c>
      <c r="W2407">
        <v>0</v>
      </c>
      <c r="X2407" t="s">
        <v>44</v>
      </c>
      <c r="Y2407">
        <v>0</v>
      </c>
      <c r="Z2407" t="s">
        <v>31</v>
      </c>
      <c r="AA2407">
        <v>0</v>
      </c>
      <c r="AB2407" t="s">
        <v>31</v>
      </c>
      <c r="AC2407">
        <v>0</v>
      </c>
      <c r="AD2407" t="s">
        <v>31</v>
      </c>
      <c r="AE2407">
        <v>0</v>
      </c>
      <c r="AF2407" t="s">
        <v>31</v>
      </c>
      <c r="AG2407">
        <v>0</v>
      </c>
      <c r="AH2407" t="s">
        <v>31</v>
      </c>
      <c r="AI2407">
        <v>0</v>
      </c>
      <c r="AJ2407" t="s">
        <v>31</v>
      </c>
      <c r="AK2407">
        <v>0</v>
      </c>
      <c r="AL2407" t="s">
        <v>31</v>
      </c>
      <c r="AM2407">
        <v>0</v>
      </c>
      <c r="AN2407" t="s">
        <v>31</v>
      </c>
      <c r="AO2407">
        <v>0</v>
      </c>
      <c r="AP2407" t="s">
        <v>31</v>
      </c>
      <c r="AQ2407">
        <v>0</v>
      </c>
    </row>
    <row r="2408" spans="1:43" x14ac:dyDescent="0.2">
      <c r="A2408" t="s">
        <v>381</v>
      </c>
      <c r="B2408" s="3">
        <v>44242</v>
      </c>
      <c r="C2408">
        <v>8</v>
      </c>
      <c r="D2408" t="s">
        <v>384</v>
      </c>
      <c r="E2408" t="s">
        <v>127</v>
      </c>
      <c r="F2408" s="9" t="s">
        <v>128</v>
      </c>
      <c r="G2408" t="s">
        <v>26</v>
      </c>
      <c r="H2408" t="s">
        <v>85</v>
      </c>
      <c r="I2408" t="s">
        <v>86</v>
      </c>
      <c r="J2408" t="s">
        <v>53</v>
      </c>
      <c r="K2408" t="s">
        <v>54</v>
      </c>
      <c r="L2408" t="s">
        <v>53</v>
      </c>
      <c r="M2408" t="s">
        <v>54</v>
      </c>
      <c r="N2408" t="s">
        <v>85</v>
      </c>
      <c r="O2408" t="s">
        <v>86</v>
      </c>
      <c r="P2408" t="s">
        <v>53</v>
      </c>
      <c r="Q2408" t="s">
        <v>54</v>
      </c>
      <c r="R2408" s="1">
        <v>44242.382048611114</v>
      </c>
      <c r="S2408" s="1">
        <v>44242.382048611114</v>
      </c>
      <c r="T2408">
        <v>0</v>
      </c>
      <c r="U2408">
        <v>1</v>
      </c>
      <c r="V2408" s="2">
        <v>0</v>
      </c>
      <c r="W2408">
        <v>0</v>
      </c>
      <c r="X2408" t="s">
        <v>44</v>
      </c>
      <c r="Y2408">
        <v>0</v>
      </c>
      <c r="Z2408" t="s">
        <v>31</v>
      </c>
      <c r="AA2408">
        <v>0</v>
      </c>
      <c r="AB2408" t="s">
        <v>31</v>
      </c>
      <c r="AC2408">
        <v>0</v>
      </c>
      <c r="AD2408" t="s">
        <v>31</v>
      </c>
      <c r="AE2408">
        <v>0</v>
      </c>
      <c r="AF2408" t="s">
        <v>31</v>
      </c>
      <c r="AG2408">
        <v>0</v>
      </c>
      <c r="AH2408" t="s">
        <v>31</v>
      </c>
      <c r="AI2408">
        <v>0</v>
      </c>
      <c r="AJ2408" t="s">
        <v>31</v>
      </c>
      <c r="AK2408">
        <v>0</v>
      </c>
      <c r="AL2408" t="s">
        <v>31</v>
      </c>
      <c r="AM2408">
        <v>0</v>
      </c>
      <c r="AN2408" t="s">
        <v>31</v>
      </c>
      <c r="AO2408">
        <v>0</v>
      </c>
      <c r="AP2408" t="s">
        <v>31</v>
      </c>
      <c r="AQ2408">
        <v>0</v>
      </c>
    </row>
    <row r="2409" spans="1:43" x14ac:dyDescent="0.2">
      <c r="A2409" t="s">
        <v>381</v>
      </c>
      <c r="B2409" s="3">
        <v>44243</v>
      </c>
      <c r="C2409">
        <v>9</v>
      </c>
      <c r="D2409" t="s">
        <v>382</v>
      </c>
      <c r="E2409" t="s">
        <v>127</v>
      </c>
      <c r="F2409" s="9" t="s">
        <v>128</v>
      </c>
      <c r="G2409" t="s">
        <v>26</v>
      </c>
      <c r="H2409" t="s">
        <v>85</v>
      </c>
      <c r="I2409" t="s">
        <v>86</v>
      </c>
      <c r="J2409" t="s">
        <v>53</v>
      </c>
      <c r="K2409" t="s">
        <v>54</v>
      </c>
      <c r="L2409" t="s">
        <v>53</v>
      </c>
      <c r="M2409" t="s">
        <v>54</v>
      </c>
      <c r="N2409" t="s">
        <v>85</v>
      </c>
      <c r="O2409" t="s">
        <v>86</v>
      </c>
      <c r="P2409" t="s">
        <v>53</v>
      </c>
      <c r="Q2409" t="s">
        <v>54</v>
      </c>
      <c r="R2409" s="1">
        <v>44243.372199074074</v>
      </c>
      <c r="S2409" s="1">
        <v>44243.372199074074</v>
      </c>
      <c r="T2409">
        <v>0</v>
      </c>
      <c r="U2409">
        <v>1</v>
      </c>
      <c r="V2409" s="2">
        <v>0</v>
      </c>
      <c r="W2409">
        <v>0</v>
      </c>
      <c r="X2409" t="s">
        <v>44</v>
      </c>
      <c r="Y2409">
        <v>0</v>
      </c>
      <c r="Z2409" t="s">
        <v>31</v>
      </c>
      <c r="AA2409">
        <v>0</v>
      </c>
      <c r="AB2409" t="s">
        <v>31</v>
      </c>
      <c r="AC2409">
        <v>0</v>
      </c>
      <c r="AD2409" t="s">
        <v>31</v>
      </c>
      <c r="AE2409">
        <v>0</v>
      </c>
      <c r="AF2409" t="s">
        <v>31</v>
      </c>
      <c r="AG2409">
        <v>0</v>
      </c>
      <c r="AH2409" t="s">
        <v>31</v>
      </c>
      <c r="AI2409">
        <v>0</v>
      </c>
      <c r="AJ2409" t="s">
        <v>31</v>
      </c>
      <c r="AK2409">
        <v>0</v>
      </c>
      <c r="AL2409" t="s">
        <v>31</v>
      </c>
      <c r="AM2409">
        <v>0</v>
      </c>
      <c r="AN2409" t="s">
        <v>31</v>
      </c>
      <c r="AO2409">
        <v>0</v>
      </c>
      <c r="AP2409" t="s">
        <v>31</v>
      </c>
      <c r="AQ2409">
        <v>0</v>
      </c>
    </row>
    <row r="2410" spans="1:43" x14ac:dyDescent="0.2">
      <c r="A2410" t="s">
        <v>381</v>
      </c>
      <c r="B2410" s="3">
        <v>44244</v>
      </c>
      <c r="C2410">
        <v>11</v>
      </c>
      <c r="D2410" t="s">
        <v>384</v>
      </c>
      <c r="E2410" t="s">
        <v>127</v>
      </c>
      <c r="F2410" s="9" t="s">
        <v>128</v>
      </c>
      <c r="G2410" t="s">
        <v>26</v>
      </c>
      <c r="H2410" t="s">
        <v>85</v>
      </c>
      <c r="I2410" t="s">
        <v>86</v>
      </c>
      <c r="J2410" t="s">
        <v>53</v>
      </c>
      <c r="K2410" t="s">
        <v>54</v>
      </c>
      <c r="L2410" t="s">
        <v>53</v>
      </c>
      <c r="M2410" t="s">
        <v>54</v>
      </c>
      <c r="N2410" t="s">
        <v>85</v>
      </c>
      <c r="O2410" t="s">
        <v>86</v>
      </c>
      <c r="P2410" t="s">
        <v>53</v>
      </c>
      <c r="Q2410" t="s">
        <v>54</v>
      </c>
      <c r="R2410" s="1">
        <v>44244.374340277776</v>
      </c>
      <c r="S2410" s="1">
        <v>44244.374340277776</v>
      </c>
      <c r="T2410">
        <v>0</v>
      </c>
      <c r="U2410">
        <v>1</v>
      </c>
      <c r="V2410" s="2">
        <v>0</v>
      </c>
      <c r="W2410">
        <v>0</v>
      </c>
      <c r="X2410" t="s">
        <v>44</v>
      </c>
      <c r="Y2410">
        <v>0</v>
      </c>
      <c r="Z2410" t="s">
        <v>31</v>
      </c>
      <c r="AA2410">
        <v>0</v>
      </c>
      <c r="AB2410" t="s">
        <v>31</v>
      </c>
      <c r="AC2410">
        <v>0</v>
      </c>
      <c r="AD2410" t="s">
        <v>31</v>
      </c>
      <c r="AE2410">
        <v>0</v>
      </c>
      <c r="AF2410" t="s">
        <v>31</v>
      </c>
      <c r="AG2410">
        <v>0</v>
      </c>
      <c r="AH2410" t="s">
        <v>31</v>
      </c>
      <c r="AI2410">
        <v>0</v>
      </c>
      <c r="AJ2410" t="s">
        <v>31</v>
      </c>
      <c r="AK2410">
        <v>0</v>
      </c>
      <c r="AL2410" t="s">
        <v>31</v>
      </c>
      <c r="AM2410">
        <v>0</v>
      </c>
      <c r="AN2410" t="s">
        <v>31</v>
      </c>
      <c r="AO2410">
        <v>0</v>
      </c>
      <c r="AP2410" t="s">
        <v>31</v>
      </c>
      <c r="AQ2410">
        <v>0</v>
      </c>
    </row>
    <row r="2411" spans="1:43" x14ac:dyDescent="0.2">
      <c r="A2411" t="s">
        <v>381</v>
      </c>
      <c r="B2411" s="3">
        <v>44245</v>
      </c>
      <c r="C2411">
        <v>12</v>
      </c>
      <c r="D2411" t="s">
        <v>382</v>
      </c>
      <c r="E2411" t="s">
        <v>127</v>
      </c>
      <c r="F2411" s="9" t="s">
        <v>128</v>
      </c>
      <c r="G2411" t="s">
        <v>26</v>
      </c>
      <c r="H2411" t="s">
        <v>85</v>
      </c>
      <c r="I2411" t="s">
        <v>86</v>
      </c>
      <c r="J2411" t="s">
        <v>53</v>
      </c>
      <c r="K2411" t="s">
        <v>54</v>
      </c>
      <c r="L2411" t="s">
        <v>53</v>
      </c>
      <c r="M2411" t="s">
        <v>54</v>
      </c>
      <c r="N2411" t="s">
        <v>85</v>
      </c>
      <c r="O2411" t="s">
        <v>86</v>
      </c>
      <c r="P2411" t="s">
        <v>53</v>
      </c>
      <c r="Q2411" t="s">
        <v>54</v>
      </c>
      <c r="R2411" s="1">
        <v>44245.405300925922</v>
      </c>
      <c r="S2411" s="1">
        <v>44245.455625000002</v>
      </c>
      <c r="T2411">
        <v>0</v>
      </c>
      <c r="U2411">
        <v>2</v>
      </c>
      <c r="V2411" s="2">
        <v>0</v>
      </c>
      <c r="W2411">
        <v>0</v>
      </c>
      <c r="X2411" t="s">
        <v>44</v>
      </c>
      <c r="Y2411">
        <v>0</v>
      </c>
      <c r="Z2411" t="s">
        <v>44</v>
      </c>
      <c r="AA2411">
        <v>0</v>
      </c>
      <c r="AB2411" t="s">
        <v>31</v>
      </c>
      <c r="AC2411">
        <v>0</v>
      </c>
      <c r="AD2411" t="s">
        <v>31</v>
      </c>
      <c r="AE2411">
        <v>0</v>
      </c>
      <c r="AF2411" t="s">
        <v>31</v>
      </c>
      <c r="AG2411">
        <v>0</v>
      </c>
      <c r="AH2411" t="s">
        <v>31</v>
      </c>
      <c r="AI2411">
        <v>0</v>
      </c>
      <c r="AJ2411" t="s">
        <v>31</v>
      </c>
      <c r="AK2411">
        <v>0</v>
      </c>
      <c r="AL2411" t="s">
        <v>31</v>
      </c>
      <c r="AM2411">
        <v>0</v>
      </c>
      <c r="AN2411" t="s">
        <v>31</v>
      </c>
      <c r="AO2411">
        <v>0</v>
      </c>
      <c r="AP2411" t="s">
        <v>31</v>
      </c>
      <c r="AQ2411">
        <v>0</v>
      </c>
    </row>
    <row r="2412" spans="1:43" x14ac:dyDescent="0.2">
      <c r="A2412" t="s">
        <v>381</v>
      </c>
      <c r="B2412" s="3">
        <v>44250</v>
      </c>
      <c r="C2412">
        <v>16</v>
      </c>
      <c r="D2412" t="s">
        <v>382</v>
      </c>
      <c r="E2412" t="s">
        <v>127</v>
      </c>
      <c r="F2412" s="9" t="s">
        <v>128</v>
      </c>
      <c r="G2412" t="s">
        <v>26</v>
      </c>
      <c r="H2412" t="s">
        <v>85</v>
      </c>
      <c r="I2412" t="s">
        <v>86</v>
      </c>
      <c r="J2412" t="s">
        <v>53</v>
      </c>
      <c r="K2412" t="s">
        <v>54</v>
      </c>
      <c r="L2412" t="s">
        <v>53</v>
      </c>
      <c r="M2412" t="s">
        <v>54</v>
      </c>
      <c r="N2412" t="s">
        <v>85</v>
      </c>
      <c r="O2412" t="s">
        <v>86</v>
      </c>
      <c r="P2412" t="s">
        <v>53</v>
      </c>
      <c r="Q2412" t="s">
        <v>54</v>
      </c>
      <c r="R2412" s="1">
        <v>44250.374803240738</v>
      </c>
      <c r="S2412" s="1">
        <v>44250.374803240738</v>
      </c>
      <c r="T2412">
        <v>0</v>
      </c>
      <c r="U2412">
        <v>1</v>
      </c>
      <c r="V2412" s="2">
        <v>0</v>
      </c>
      <c r="W2412">
        <v>0</v>
      </c>
      <c r="X2412" t="s">
        <v>44</v>
      </c>
      <c r="Y2412">
        <v>0</v>
      </c>
      <c r="Z2412" t="s">
        <v>31</v>
      </c>
      <c r="AA2412">
        <v>0</v>
      </c>
      <c r="AB2412" t="s">
        <v>31</v>
      </c>
      <c r="AC2412">
        <v>0</v>
      </c>
      <c r="AD2412" t="s">
        <v>31</v>
      </c>
      <c r="AE2412">
        <v>0</v>
      </c>
      <c r="AF2412" t="s">
        <v>31</v>
      </c>
      <c r="AG2412">
        <v>0</v>
      </c>
      <c r="AH2412" t="s">
        <v>31</v>
      </c>
      <c r="AI2412">
        <v>0</v>
      </c>
      <c r="AJ2412" t="s">
        <v>31</v>
      </c>
      <c r="AK2412">
        <v>0</v>
      </c>
      <c r="AL2412" t="s">
        <v>31</v>
      </c>
      <c r="AM2412">
        <v>0</v>
      </c>
      <c r="AN2412" t="s">
        <v>31</v>
      </c>
      <c r="AO2412">
        <v>0</v>
      </c>
      <c r="AP2412" t="s">
        <v>31</v>
      </c>
      <c r="AQ2412">
        <v>0</v>
      </c>
    </row>
    <row r="2413" spans="1:43" x14ac:dyDescent="0.2">
      <c r="A2413" t="s">
        <v>381</v>
      </c>
      <c r="B2413" s="3">
        <v>44251</v>
      </c>
      <c r="C2413">
        <v>18</v>
      </c>
      <c r="D2413" t="s">
        <v>384</v>
      </c>
      <c r="E2413" t="s">
        <v>127</v>
      </c>
      <c r="F2413" s="9" t="s">
        <v>128</v>
      </c>
      <c r="G2413" t="s">
        <v>26</v>
      </c>
      <c r="H2413" t="s">
        <v>85</v>
      </c>
      <c r="I2413" t="s">
        <v>86</v>
      </c>
      <c r="J2413" t="s">
        <v>53</v>
      </c>
      <c r="K2413" t="s">
        <v>54</v>
      </c>
      <c r="L2413" t="s">
        <v>53</v>
      </c>
      <c r="M2413" t="s">
        <v>54</v>
      </c>
      <c r="N2413" t="s">
        <v>85</v>
      </c>
      <c r="O2413" t="s">
        <v>86</v>
      </c>
      <c r="P2413" t="s">
        <v>53</v>
      </c>
      <c r="Q2413" t="s">
        <v>54</v>
      </c>
      <c r="R2413" s="1">
        <v>44251.378587962965</v>
      </c>
      <c r="S2413" s="1">
        <v>44251.378587962965</v>
      </c>
      <c r="T2413">
        <v>0</v>
      </c>
      <c r="U2413">
        <v>1</v>
      </c>
      <c r="V2413" s="2">
        <v>0</v>
      </c>
      <c r="W2413">
        <v>0</v>
      </c>
      <c r="X2413" t="s">
        <v>44</v>
      </c>
      <c r="Y2413">
        <v>0</v>
      </c>
      <c r="Z2413" t="s">
        <v>31</v>
      </c>
      <c r="AA2413">
        <v>0</v>
      </c>
      <c r="AB2413" t="s">
        <v>31</v>
      </c>
      <c r="AC2413">
        <v>0</v>
      </c>
      <c r="AD2413" t="s">
        <v>31</v>
      </c>
      <c r="AE2413">
        <v>0</v>
      </c>
      <c r="AF2413" t="s">
        <v>31</v>
      </c>
      <c r="AG2413">
        <v>0</v>
      </c>
      <c r="AH2413" t="s">
        <v>31</v>
      </c>
      <c r="AI2413">
        <v>0</v>
      </c>
      <c r="AJ2413" t="s">
        <v>31</v>
      </c>
      <c r="AK2413">
        <v>0</v>
      </c>
      <c r="AL2413" t="s">
        <v>31</v>
      </c>
      <c r="AM2413">
        <v>0</v>
      </c>
      <c r="AN2413" t="s">
        <v>31</v>
      </c>
      <c r="AO2413">
        <v>0</v>
      </c>
      <c r="AP2413" t="s">
        <v>31</v>
      </c>
      <c r="AQ2413">
        <v>0</v>
      </c>
    </row>
    <row r="2414" spans="1:43" x14ac:dyDescent="0.2">
      <c r="A2414" t="s">
        <v>381</v>
      </c>
      <c r="B2414" s="3">
        <v>44252</v>
      </c>
      <c r="C2414">
        <v>19</v>
      </c>
      <c r="D2414" t="s">
        <v>382</v>
      </c>
      <c r="E2414" t="s">
        <v>127</v>
      </c>
      <c r="F2414" s="9" t="s">
        <v>128</v>
      </c>
      <c r="G2414" t="s">
        <v>26</v>
      </c>
      <c r="H2414" t="s">
        <v>85</v>
      </c>
      <c r="I2414" t="s">
        <v>86</v>
      </c>
      <c r="J2414" t="s">
        <v>53</v>
      </c>
      <c r="K2414" t="s">
        <v>54</v>
      </c>
      <c r="L2414" t="s">
        <v>53</v>
      </c>
      <c r="M2414" t="s">
        <v>54</v>
      </c>
      <c r="N2414" t="s">
        <v>85</v>
      </c>
      <c r="O2414" t="s">
        <v>86</v>
      </c>
      <c r="P2414" t="s">
        <v>53</v>
      </c>
      <c r="Q2414" t="s">
        <v>54</v>
      </c>
      <c r="R2414" s="1">
        <v>44252.382141203707</v>
      </c>
      <c r="S2414" s="1">
        <v>44252.431157407409</v>
      </c>
      <c r="T2414">
        <v>0</v>
      </c>
      <c r="U2414">
        <v>2</v>
      </c>
      <c r="V2414" s="2">
        <v>0</v>
      </c>
      <c r="W2414">
        <v>0</v>
      </c>
      <c r="X2414" t="s">
        <v>44</v>
      </c>
      <c r="Y2414">
        <v>0</v>
      </c>
      <c r="Z2414" t="s">
        <v>44</v>
      </c>
      <c r="AA2414">
        <v>0</v>
      </c>
      <c r="AB2414" t="s">
        <v>31</v>
      </c>
      <c r="AC2414">
        <v>0</v>
      </c>
      <c r="AD2414" t="s">
        <v>31</v>
      </c>
      <c r="AE2414">
        <v>0</v>
      </c>
      <c r="AF2414" t="s">
        <v>31</v>
      </c>
      <c r="AG2414">
        <v>0</v>
      </c>
      <c r="AH2414" t="s">
        <v>31</v>
      </c>
      <c r="AI2414">
        <v>0</v>
      </c>
      <c r="AJ2414" t="s">
        <v>31</v>
      </c>
      <c r="AK2414">
        <v>0</v>
      </c>
      <c r="AL2414" t="s">
        <v>31</v>
      </c>
      <c r="AM2414">
        <v>0</v>
      </c>
      <c r="AN2414" t="s">
        <v>31</v>
      </c>
      <c r="AO2414">
        <v>0</v>
      </c>
      <c r="AP2414" t="s">
        <v>31</v>
      </c>
      <c r="AQ2414">
        <v>0</v>
      </c>
    </row>
    <row r="2415" spans="1:43" x14ac:dyDescent="0.2">
      <c r="A2415" t="s">
        <v>381</v>
      </c>
      <c r="B2415" s="3">
        <v>44253</v>
      </c>
      <c r="C2415">
        <v>21</v>
      </c>
      <c r="D2415" t="s">
        <v>384</v>
      </c>
      <c r="E2415" t="s">
        <v>127</v>
      </c>
      <c r="F2415" s="9" t="s">
        <v>128</v>
      </c>
      <c r="G2415" t="s">
        <v>26</v>
      </c>
      <c r="H2415" t="s">
        <v>85</v>
      </c>
      <c r="I2415" t="s">
        <v>86</v>
      </c>
      <c r="J2415" t="s">
        <v>53</v>
      </c>
      <c r="K2415" t="s">
        <v>54</v>
      </c>
      <c r="L2415" t="s">
        <v>53</v>
      </c>
      <c r="M2415" t="s">
        <v>54</v>
      </c>
      <c r="N2415" t="s">
        <v>85</v>
      </c>
      <c r="O2415" t="s">
        <v>86</v>
      </c>
      <c r="P2415" t="s">
        <v>53</v>
      </c>
      <c r="Q2415" t="s">
        <v>54</v>
      </c>
      <c r="R2415" s="1">
        <v>44253.385416666664</v>
      </c>
      <c r="S2415" s="1">
        <v>44253.385416666664</v>
      </c>
      <c r="T2415">
        <v>0</v>
      </c>
      <c r="U2415">
        <v>1</v>
      </c>
      <c r="V2415" s="2">
        <v>0</v>
      </c>
      <c r="W2415">
        <v>0</v>
      </c>
      <c r="X2415" t="s">
        <v>44</v>
      </c>
      <c r="Y2415">
        <v>0</v>
      </c>
      <c r="Z2415" t="s">
        <v>31</v>
      </c>
      <c r="AA2415">
        <v>0</v>
      </c>
      <c r="AB2415" t="s">
        <v>31</v>
      </c>
      <c r="AC2415">
        <v>0</v>
      </c>
      <c r="AD2415" t="s">
        <v>31</v>
      </c>
      <c r="AE2415">
        <v>0</v>
      </c>
      <c r="AF2415" t="s">
        <v>31</v>
      </c>
      <c r="AG2415">
        <v>0</v>
      </c>
      <c r="AH2415" t="s">
        <v>31</v>
      </c>
      <c r="AI2415">
        <v>0</v>
      </c>
      <c r="AJ2415" t="s">
        <v>31</v>
      </c>
      <c r="AK2415">
        <v>0</v>
      </c>
      <c r="AL2415" t="s">
        <v>31</v>
      </c>
      <c r="AM2415">
        <v>0</v>
      </c>
      <c r="AN2415" t="s">
        <v>31</v>
      </c>
      <c r="AO2415">
        <v>0</v>
      </c>
      <c r="AP2415" t="s">
        <v>31</v>
      </c>
      <c r="AQ2415">
        <v>0</v>
      </c>
    </row>
    <row r="2416" spans="1:43" x14ac:dyDescent="0.2">
      <c r="A2416" t="s">
        <v>381</v>
      </c>
      <c r="B2416" s="3">
        <v>44256</v>
      </c>
      <c r="C2416">
        <v>22</v>
      </c>
      <c r="D2416" t="s">
        <v>384</v>
      </c>
      <c r="E2416" t="s">
        <v>127</v>
      </c>
      <c r="F2416" s="9" t="s">
        <v>128</v>
      </c>
      <c r="G2416" t="s">
        <v>26</v>
      </c>
      <c r="H2416" t="s">
        <v>85</v>
      </c>
      <c r="I2416" t="s">
        <v>86</v>
      </c>
      <c r="J2416" t="s">
        <v>53</v>
      </c>
      <c r="K2416" t="s">
        <v>54</v>
      </c>
      <c r="L2416" t="s">
        <v>53</v>
      </c>
      <c r="M2416" t="s">
        <v>54</v>
      </c>
      <c r="N2416" t="s">
        <v>85</v>
      </c>
      <c r="O2416" t="s">
        <v>86</v>
      </c>
      <c r="P2416" t="s">
        <v>53</v>
      </c>
      <c r="Q2416" t="s">
        <v>54</v>
      </c>
      <c r="R2416" s="1">
        <v>44256.420405092591</v>
      </c>
      <c r="S2416" s="1">
        <v>44256.420405092591</v>
      </c>
      <c r="T2416">
        <v>0</v>
      </c>
      <c r="U2416">
        <v>1</v>
      </c>
      <c r="V2416" s="2">
        <v>0</v>
      </c>
      <c r="W2416">
        <v>0</v>
      </c>
      <c r="X2416" t="s">
        <v>44</v>
      </c>
      <c r="Y2416">
        <v>0</v>
      </c>
      <c r="Z2416" t="s">
        <v>31</v>
      </c>
      <c r="AA2416">
        <v>0</v>
      </c>
      <c r="AB2416" t="s">
        <v>31</v>
      </c>
      <c r="AC2416">
        <v>0</v>
      </c>
      <c r="AD2416" t="s">
        <v>31</v>
      </c>
      <c r="AE2416">
        <v>0</v>
      </c>
      <c r="AF2416" t="s">
        <v>31</v>
      </c>
      <c r="AG2416">
        <v>0</v>
      </c>
      <c r="AH2416" t="s">
        <v>31</v>
      </c>
      <c r="AI2416">
        <v>0</v>
      </c>
      <c r="AJ2416" t="s">
        <v>31</v>
      </c>
      <c r="AK2416">
        <v>0</v>
      </c>
      <c r="AL2416" t="s">
        <v>31</v>
      </c>
      <c r="AM2416">
        <v>0</v>
      </c>
      <c r="AN2416" t="s">
        <v>31</v>
      </c>
      <c r="AO2416">
        <v>0</v>
      </c>
      <c r="AP2416" t="s">
        <v>31</v>
      </c>
      <c r="AQ2416">
        <v>0</v>
      </c>
    </row>
    <row r="2417" spans="1:43" x14ac:dyDescent="0.2">
      <c r="A2417" t="s">
        <v>381</v>
      </c>
      <c r="B2417" s="3">
        <v>44257</v>
      </c>
      <c r="C2417">
        <v>23</v>
      </c>
      <c r="D2417" t="s">
        <v>382</v>
      </c>
      <c r="E2417" t="s">
        <v>127</v>
      </c>
      <c r="F2417" s="9" t="s">
        <v>128</v>
      </c>
      <c r="G2417" t="s">
        <v>26</v>
      </c>
      <c r="H2417" t="s">
        <v>85</v>
      </c>
      <c r="I2417" t="s">
        <v>86</v>
      </c>
      <c r="J2417" t="s">
        <v>53</v>
      </c>
      <c r="K2417" t="s">
        <v>54</v>
      </c>
      <c r="L2417" t="s">
        <v>53</v>
      </c>
      <c r="M2417" t="s">
        <v>54</v>
      </c>
      <c r="N2417" t="s">
        <v>85</v>
      </c>
      <c r="O2417" t="s">
        <v>86</v>
      </c>
      <c r="P2417" t="s">
        <v>53</v>
      </c>
      <c r="Q2417" t="s">
        <v>54</v>
      </c>
      <c r="R2417" s="1">
        <v>44257.407465277778</v>
      </c>
      <c r="S2417" s="1">
        <v>44257.463946759257</v>
      </c>
      <c r="T2417">
        <v>0</v>
      </c>
      <c r="U2417">
        <v>2</v>
      </c>
      <c r="V2417" s="2">
        <v>0</v>
      </c>
      <c r="W2417">
        <v>0</v>
      </c>
      <c r="X2417" t="s">
        <v>44</v>
      </c>
      <c r="Y2417">
        <v>0</v>
      </c>
      <c r="Z2417" t="s">
        <v>44</v>
      </c>
      <c r="AA2417">
        <v>0</v>
      </c>
      <c r="AB2417" t="s">
        <v>31</v>
      </c>
      <c r="AC2417">
        <v>0</v>
      </c>
      <c r="AD2417" t="s">
        <v>31</v>
      </c>
      <c r="AE2417">
        <v>0</v>
      </c>
      <c r="AF2417" t="s">
        <v>31</v>
      </c>
      <c r="AG2417">
        <v>0</v>
      </c>
      <c r="AH2417" t="s">
        <v>31</v>
      </c>
      <c r="AI2417">
        <v>0</v>
      </c>
      <c r="AJ2417" t="s">
        <v>31</v>
      </c>
      <c r="AK2417">
        <v>0</v>
      </c>
      <c r="AL2417" t="s">
        <v>31</v>
      </c>
      <c r="AM2417">
        <v>0</v>
      </c>
      <c r="AN2417" t="s">
        <v>31</v>
      </c>
      <c r="AO2417">
        <v>0</v>
      </c>
      <c r="AP2417" t="s">
        <v>31</v>
      </c>
      <c r="AQ2417">
        <v>0</v>
      </c>
    </row>
    <row r="2418" spans="1:43" x14ac:dyDescent="0.2">
      <c r="A2418" t="s">
        <v>381</v>
      </c>
      <c r="B2418" s="3">
        <v>44258</v>
      </c>
      <c r="C2418">
        <v>25</v>
      </c>
      <c r="D2418" t="s">
        <v>384</v>
      </c>
      <c r="E2418" t="s">
        <v>127</v>
      </c>
      <c r="F2418" s="9" t="s">
        <v>128</v>
      </c>
      <c r="G2418" t="s">
        <v>26</v>
      </c>
      <c r="H2418" t="s">
        <v>85</v>
      </c>
      <c r="I2418" t="s">
        <v>86</v>
      </c>
      <c r="J2418" t="s">
        <v>53</v>
      </c>
      <c r="K2418" t="s">
        <v>54</v>
      </c>
      <c r="L2418" t="s">
        <v>53</v>
      </c>
      <c r="M2418" t="s">
        <v>54</v>
      </c>
      <c r="N2418" t="s">
        <v>85</v>
      </c>
      <c r="O2418" t="s">
        <v>86</v>
      </c>
      <c r="P2418" t="s">
        <v>53</v>
      </c>
      <c r="Q2418" t="s">
        <v>54</v>
      </c>
      <c r="R2418" s="1">
        <v>44258.39539351852</v>
      </c>
      <c r="S2418" s="1">
        <v>44258.458749999998</v>
      </c>
      <c r="T2418">
        <v>0</v>
      </c>
      <c r="U2418">
        <v>2</v>
      </c>
      <c r="V2418" s="2">
        <v>0</v>
      </c>
      <c r="W2418">
        <v>0</v>
      </c>
      <c r="X2418" t="s">
        <v>44</v>
      </c>
      <c r="Y2418">
        <v>0</v>
      </c>
      <c r="Z2418" t="s">
        <v>44</v>
      </c>
      <c r="AA2418">
        <v>0</v>
      </c>
      <c r="AB2418" t="s">
        <v>31</v>
      </c>
      <c r="AC2418">
        <v>0</v>
      </c>
      <c r="AD2418" t="s">
        <v>31</v>
      </c>
      <c r="AE2418">
        <v>0</v>
      </c>
      <c r="AF2418" t="s">
        <v>31</v>
      </c>
      <c r="AG2418">
        <v>0</v>
      </c>
      <c r="AH2418" t="s">
        <v>31</v>
      </c>
      <c r="AI2418">
        <v>0</v>
      </c>
      <c r="AJ2418" t="s">
        <v>31</v>
      </c>
      <c r="AK2418">
        <v>0</v>
      </c>
      <c r="AL2418" t="s">
        <v>31</v>
      </c>
      <c r="AM2418">
        <v>0</v>
      </c>
      <c r="AN2418" t="s">
        <v>31</v>
      </c>
      <c r="AO2418">
        <v>0</v>
      </c>
      <c r="AP2418" t="s">
        <v>31</v>
      </c>
      <c r="AQ2418">
        <v>0</v>
      </c>
    </row>
    <row r="2419" spans="1:43" x14ac:dyDescent="0.2">
      <c r="A2419" t="s">
        <v>381</v>
      </c>
      <c r="B2419" s="3">
        <v>44259</v>
      </c>
      <c r="C2419">
        <v>26</v>
      </c>
      <c r="D2419" t="s">
        <v>382</v>
      </c>
      <c r="E2419" t="s">
        <v>127</v>
      </c>
      <c r="F2419" s="9" t="s">
        <v>128</v>
      </c>
      <c r="G2419" t="s">
        <v>26</v>
      </c>
      <c r="H2419" t="s">
        <v>85</v>
      </c>
      <c r="I2419" t="s">
        <v>86</v>
      </c>
      <c r="J2419" t="s">
        <v>53</v>
      </c>
      <c r="K2419" t="s">
        <v>54</v>
      </c>
      <c r="L2419" t="s">
        <v>53</v>
      </c>
      <c r="M2419" t="s">
        <v>54</v>
      </c>
      <c r="N2419" t="s">
        <v>85</v>
      </c>
      <c r="O2419" t="s">
        <v>86</v>
      </c>
      <c r="P2419" t="s">
        <v>53</v>
      </c>
      <c r="Q2419" t="s">
        <v>54</v>
      </c>
      <c r="R2419" s="1">
        <v>44259.385358796295</v>
      </c>
      <c r="S2419" s="1">
        <v>44259.425879629627</v>
      </c>
      <c r="T2419">
        <v>0</v>
      </c>
      <c r="U2419">
        <v>2</v>
      </c>
      <c r="V2419" s="2">
        <v>0</v>
      </c>
      <c r="W2419">
        <v>0</v>
      </c>
      <c r="X2419" t="s">
        <v>44</v>
      </c>
      <c r="Y2419">
        <v>0</v>
      </c>
      <c r="Z2419" t="s">
        <v>44</v>
      </c>
      <c r="AA2419">
        <v>0</v>
      </c>
      <c r="AB2419" t="s">
        <v>31</v>
      </c>
      <c r="AC2419">
        <v>0</v>
      </c>
      <c r="AD2419" t="s">
        <v>31</v>
      </c>
      <c r="AE2419">
        <v>0</v>
      </c>
      <c r="AF2419" t="s">
        <v>31</v>
      </c>
      <c r="AG2419">
        <v>0</v>
      </c>
      <c r="AH2419" t="s">
        <v>31</v>
      </c>
      <c r="AI2419">
        <v>0</v>
      </c>
      <c r="AJ2419" t="s">
        <v>31</v>
      </c>
      <c r="AK2419">
        <v>0</v>
      </c>
      <c r="AL2419" t="s">
        <v>31</v>
      </c>
      <c r="AM2419">
        <v>0</v>
      </c>
      <c r="AN2419" t="s">
        <v>31</v>
      </c>
      <c r="AO2419">
        <v>0</v>
      </c>
      <c r="AP2419" t="s">
        <v>31</v>
      </c>
      <c r="AQ2419">
        <v>0</v>
      </c>
    </row>
    <row r="2420" spans="1:43" x14ac:dyDescent="0.2">
      <c r="A2420" t="s">
        <v>381</v>
      </c>
      <c r="B2420" s="3">
        <v>44260</v>
      </c>
      <c r="C2420">
        <v>28</v>
      </c>
      <c r="D2420" t="s">
        <v>384</v>
      </c>
      <c r="E2420" t="s">
        <v>127</v>
      </c>
      <c r="F2420" s="9" t="s">
        <v>128</v>
      </c>
      <c r="G2420" t="s">
        <v>26</v>
      </c>
      <c r="H2420" t="s">
        <v>85</v>
      </c>
      <c r="I2420" t="s">
        <v>86</v>
      </c>
      <c r="J2420" t="s">
        <v>53</v>
      </c>
      <c r="K2420" t="s">
        <v>54</v>
      </c>
      <c r="L2420" t="s">
        <v>53</v>
      </c>
      <c r="M2420" t="s">
        <v>54</v>
      </c>
      <c r="N2420" t="s">
        <v>85</v>
      </c>
      <c r="O2420" t="s">
        <v>86</v>
      </c>
      <c r="P2420" t="s">
        <v>53</v>
      </c>
      <c r="Q2420" t="s">
        <v>54</v>
      </c>
      <c r="R2420" s="1">
        <v>44260.387395833335</v>
      </c>
      <c r="S2420" s="1">
        <v>44260.387395833335</v>
      </c>
      <c r="T2420">
        <v>0</v>
      </c>
      <c r="U2420">
        <v>1</v>
      </c>
      <c r="V2420" s="2">
        <v>0</v>
      </c>
      <c r="W2420">
        <v>0</v>
      </c>
      <c r="X2420" t="s">
        <v>44</v>
      </c>
      <c r="Y2420">
        <v>0</v>
      </c>
      <c r="Z2420" t="s">
        <v>31</v>
      </c>
      <c r="AA2420">
        <v>0</v>
      </c>
      <c r="AB2420" t="s">
        <v>31</v>
      </c>
      <c r="AC2420">
        <v>0</v>
      </c>
      <c r="AD2420" t="s">
        <v>31</v>
      </c>
      <c r="AE2420">
        <v>0</v>
      </c>
      <c r="AF2420" t="s">
        <v>31</v>
      </c>
      <c r="AG2420">
        <v>0</v>
      </c>
      <c r="AH2420" t="s">
        <v>31</v>
      </c>
      <c r="AI2420">
        <v>0</v>
      </c>
      <c r="AJ2420" t="s">
        <v>31</v>
      </c>
      <c r="AK2420">
        <v>0</v>
      </c>
      <c r="AL2420" t="s">
        <v>31</v>
      </c>
      <c r="AM2420">
        <v>0</v>
      </c>
      <c r="AN2420" t="s">
        <v>31</v>
      </c>
      <c r="AO2420">
        <v>0</v>
      </c>
      <c r="AP2420" t="s">
        <v>31</v>
      </c>
      <c r="AQ2420">
        <v>0</v>
      </c>
    </row>
    <row r="2421" spans="1:43" x14ac:dyDescent="0.2">
      <c r="A2421" t="s">
        <v>381</v>
      </c>
      <c r="B2421" s="3">
        <v>44263</v>
      </c>
      <c r="C2421">
        <v>29</v>
      </c>
      <c r="D2421" t="s">
        <v>384</v>
      </c>
      <c r="E2421" t="s">
        <v>127</v>
      </c>
      <c r="F2421" s="9" t="s">
        <v>128</v>
      </c>
      <c r="G2421" t="s">
        <v>26</v>
      </c>
      <c r="H2421" t="s">
        <v>85</v>
      </c>
      <c r="I2421" t="s">
        <v>86</v>
      </c>
      <c r="J2421" t="s">
        <v>53</v>
      </c>
      <c r="K2421" t="s">
        <v>54</v>
      </c>
      <c r="L2421" t="s">
        <v>53</v>
      </c>
      <c r="M2421" t="s">
        <v>54</v>
      </c>
      <c r="N2421" t="s">
        <v>85</v>
      </c>
      <c r="O2421" t="s">
        <v>86</v>
      </c>
      <c r="P2421" t="s">
        <v>53</v>
      </c>
      <c r="Q2421" t="s">
        <v>54</v>
      </c>
      <c r="R2421" s="1">
        <v>44263.434837962966</v>
      </c>
      <c r="S2421" s="1">
        <v>44263.434837962966</v>
      </c>
      <c r="T2421">
        <v>0</v>
      </c>
      <c r="U2421">
        <v>1</v>
      </c>
      <c r="V2421" s="2">
        <v>0</v>
      </c>
      <c r="W2421">
        <v>0</v>
      </c>
      <c r="X2421" t="s">
        <v>44</v>
      </c>
      <c r="Y2421">
        <v>0</v>
      </c>
      <c r="Z2421" t="s">
        <v>31</v>
      </c>
      <c r="AA2421">
        <v>0</v>
      </c>
      <c r="AB2421" t="s">
        <v>31</v>
      </c>
      <c r="AC2421">
        <v>0</v>
      </c>
      <c r="AD2421" t="s">
        <v>31</v>
      </c>
      <c r="AE2421">
        <v>0</v>
      </c>
      <c r="AF2421" t="s">
        <v>31</v>
      </c>
      <c r="AG2421">
        <v>0</v>
      </c>
      <c r="AH2421" t="s">
        <v>31</v>
      </c>
      <c r="AI2421">
        <v>0</v>
      </c>
      <c r="AJ2421" t="s">
        <v>31</v>
      </c>
      <c r="AK2421">
        <v>0</v>
      </c>
      <c r="AL2421" t="s">
        <v>31</v>
      </c>
      <c r="AM2421">
        <v>0</v>
      </c>
      <c r="AN2421" t="s">
        <v>31</v>
      </c>
      <c r="AO2421">
        <v>0</v>
      </c>
      <c r="AP2421" t="s">
        <v>31</v>
      </c>
      <c r="AQ2421">
        <v>0</v>
      </c>
    </row>
    <row r="2422" spans="1:43" x14ac:dyDescent="0.2">
      <c r="A2422" t="s">
        <v>381</v>
      </c>
      <c r="B2422" s="3">
        <v>44264</v>
      </c>
      <c r="C2422">
        <v>30</v>
      </c>
      <c r="D2422" t="s">
        <v>382</v>
      </c>
      <c r="E2422" t="s">
        <v>127</v>
      </c>
      <c r="F2422" s="9" t="s">
        <v>128</v>
      </c>
      <c r="G2422" t="s">
        <v>26</v>
      </c>
      <c r="H2422" t="s">
        <v>85</v>
      </c>
      <c r="I2422" t="s">
        <v>86</v>
      </c>
      <c r="J2422" t="s">
        <v>53</v>
      </c>
      <c r="K2422" t="s">
        <v>54</v>
      </c>
      <c r="L2422" t="s">
        <v>53</v>
      </c>
      <c r="M2422" t="s">
        <v>54</v>
      </c>
      <c r="N2422" t="s">
        <v>85</v>
      </c>
      <c r="O2422" t="s">
        <v>86</v>
      </c>
      <c r="P2422" t="s">
        <v>53</v>
      </c>
      <c r="Q2422" t="s">
        <v>54</v>
      </c>
      <c r="R2422" s="1">
        <v>44264.374224537038</v>
      </c>
      <c r="S2422" s="1">
        <v>44264.428449074076</v>
      </c>
      <c r="T2422">
        <v>0</v>
      </c>
      <c r="U2422">
        <v>2</v>
      </c>
      <c r="V2422" s="2">
        <v>0</v>
      </c>
      <c r="W2422">
        <v>0</v>
      </c>
      <c r="X2422" t="s">
        <v>44</v>
      </c>
      <c r="Y2422">
        <v>0</v>
      </c>
      <c r="Z2422" t="s">
        <v>44</v>
      </c>
      <c r="AA2422">
        <v>0</v>
      </c>
      <c r="AB2422" t="s">
        <v>31</v>
      </c>
      <c r="AC2422">
        <v>0</v>
      </c>
      <c r="AD2422" t="s">
        <v>31</v>
      </c>
      <c r="AE2422">
        <v>0</v>
      </c>
      <c r="AF2422" t="s">
        <v>31</v>
      </c>
      <c r="AG2422">
        <v>0</v>
      </c>
      <c r="AH2422" t="s">
        <v>31</v>
      </c>
      <c r="AI2422">
        <v>0</v>
      </c>
      <c r="AJ2422" t="s">
        <v>31</v>
      </c>
      <c r="AK2422">
        <v>0</v>
      </c>
      <c r="AL2422" t="s">
        <v>31</v>
      </c>
      <c r="AM2422">
        <v>0</v>
      </c>
      <c r="AN2422" t="s">
        <v>31</v>
      </c>
      <c r="AO2422">
        <v>0</v>
      </c>
      <c r="AP2422" t="s">
        <v>31</v>
      </c>
      <c r="AQ2422">
        <v>0</v>
      </c>
    </row>
    <row r="2423" spans="1:43" x14ac:dyDescent="0.2">
      <c r="A2423" t="s">
        <v>381</v>
      </c>
      <c r="B2423" s="3">
        <v>44265</v>
      </c>
      <c r="C2423">
        <v>32</v>
      </c>
      <c r="D2423" t="s">
        <v>384</v>
      </c>
      <c r="E2423" t="s">
        <v>127</v>
      </c>
      <c r="F2423" s="9" t="s">
        <v>128</v>
      </c>
      <c r="G2423" t="s">
        <v>26</v>
      </c>
      <c r="H2423" t="s">
        <v>85</v>
      </c>
      <c r="I2423" t="s">
        <v>86</v>
      </c>
      <c r="J2423" t="s">
        <v>53</v>
      </c>
      <c r="K2423" t="s">
        <v>54</v>
      </c>
      <c r="L2423" t="s">
        <v>53</v>
      </c>
      <c r="M2423" t="s">
        <v>54</v>
      </c>
      <c r="N2423" t="s">
        <v>85</v>
      </c>
      <c r="O2423" t="s">
        <v>86</v>
      </c>
      <c r="P2423" t="s">
        <v>53</v>
      </c>
      <c r="Q2423" t="s">
        <v>54</v>
      </c>
      <c r="R2423" s="1">
        <v>44265.410949074074</v>
      </c>
      <c r="S2423" s="1">
        <v>44265.410949074074</v>
      </c>
      <c r="T2423">
        <v>0</v>
      </c>
      <c r="U2423">
        <v>1</v>
      </c>
      <c r="V2423" s="2">
        <v>0</v>
      </c>
      <c r="W2423">
        <v>0</v>
      </c>
      <c r="X2423" t="s">
        <v>44</v>
      </c>
      <c r="Y2423">
        <v>0</v>
      </c>
      <c r="Z2423" t="s">
        <v>31</v>
      </c>
      <c r="AA2423">
        <v>0</v>
      </c>
      <c r="AB2423" t="s">
        <v>31</v>
      </c>
      <c r="AC2423">
        <v>0</v>
      </c>
      <c r="AD2423" t="s">
        <v>31</v>
      </c>
      <c r="AE2423">
        <v>0</v>
      </c>
      <c r="AF2423" t="s">
        <v>31</v>
      </c>
      <c r="AG2423">
        <v>0</v>
      </c>
      <c r="AH2423" t="s">
        <v>31</v>
      </c>
      <c r="AI2423">
        <v>0</v>
      </c>
      <c r="AJ2423" t="s">
        <v>31</v>
      </c>
      <c r="AK2423">
        <v>0</v>
      </c>
      <c r="AL2423" t="s">
        <v>31</v>
      </c>
      <c r="AM2423">
        <v>0</v>
      </c>
      <c r="AN2423" t="s">
        <v>31</v>
      </c>
      <c r="AO2423">
        <v>0</v>
      </c>
      <c r="AP2423" t="s">
        <v>31</v>
      </c>
      <c r="AQ2423">
        <v>0</v>
      </c>
    </row>
    <row r="2424" spans="1:43" x14ac:dyDescent="0.2">
      <c r="A2424" t="s">
        <v>381</v>
      </c>
      <c r="B2424" s="3">
        <v>44266</v>
      </c>
      <c r="C2424">
        <v>33</v>
      </c>
      <c r="D2424" t="s">
        <v>385</v>
      </c>
      <c r="E2424" t="s">
        <v>127</v>
      </c>
      <c r="F2424" s="9" t="s">
        <v>128</v>
      </c>
      <c r="G2424" t="s">
        <v>26</v>
      </c>
      <c r="H2424" t="s">
        <v>85</v>
      </c>
      <c r="I2424" t="s">
        <v>86</v>
      </c>
      <c r="J2424" t="s">
        <v>53</v>
      </c>
      <c r="K2424" t="s">
        <v>54</v>
      </c>
      <c r="L2424" t="s">
        <v>53</v>
      </c>
      <c r="M2424" t="s">
        <v>54</v>
      </c>
      <c r="N2424" t="s">
        <v>85</v>
      </c>
      <c r="O2424" t="s">
        <v>86</v>
      </c>
      <c r="P2424" t="s">
        <v>53</v>
      </c>
      <c r="Q2424" t="s">
        <v>54</v>
      </c>
      <c r="R2424" s="1">
        <v>44266.454745370371</v>
      </c>
      <c r="S2424" s="1">
        <v>44266.454745370371</v>
      </c>
      <c r="T2424">
        <v>0</v>
      </c>
      <c r="U2424">
        <v>1</v>
      </c>
      <c r="V2424" s="2">
        <v>0</v>
      </c>
      <c r="W2424">
        <v>0</v>
      </c>
      <c r="X2424" t="s">
        <v>44</v>
      </c>
      <c r="Y2424">
        <v>0</v>
      </c>
      <c r="Z2424" t="s">
        <v>31</v>
      </c>
      <c r="AA2424">
        <v>0</v>
      </c>
      <c r="AB2424" t="s">
        <v>31</v>
      </c>
      <c r="AC2424">
        <v>0</v>
      </c>
      <c r="AD2424" t="s">
        <v>31</v>
      </c>
      <c r="AE2424">
        <v>0</v>
      </c>
      <c r="AF2424" t="s">
        <v>31</v>
      </c>
      <c r="AG2424">
        <v>0</v>
      </c>
      <c r="AH2424" t="s">
        <v>31</v>
      </c>
      <c r="AI2424">
        <v>0</v>
      </c>
      <c r="AJ2424" t="s">
        <v>31</v>
      </c>
      <c r="AK2424">
        <v>0</v>
      </c>
      <c r="AL2424" t="s">
        <v>31</v>
      </c>
      <c r="AM2424">
        <v>0</v>
      </c>
      <c r="AN2424" t="s">
        <v>31</v>
      </c>
      <c r="AO2424">
        <v>0</v>
      </c>
      <c r="AP2424" t="s">
        <v>31</v>
      </c>
      <c r="AQ2424">
        <v>0</v>
      </c>
    </row>
    <row r="2425" spans="1:43" x14ac:dyDescent="0.2">
      <c r="A2425" t="s">
        <v>381</v>
      </c>
      <c r="B2425" s="3">
        <v>44270</v>
      </c>
      <c r="C2425">
        <v>35</v>
      </c>
      <c r="D2425" t="s">
        <v>384</v>
      </c>
      <c r="E2425" t="s">
        <v>127</v>
      </c>
      <c r="F2425" s="9" t="s">
        <v>128</v>
      </c>
      <c r="G2425" t="s">
        <v>26</v>
      </c>
      <c r="H2425" t="s">
        <v>85</v>
      </c>
      <c r="I2425" t="s">
        <v>86</v>
      </c>
      <c r="J2425" t="s">
        <v>53</v>
      </c>
      <c r="K2425" t="s">
        <v>54</v>
      </c>
      <c r="L2425" t="s">
        <v>53</v>
      </c>
      <c r="M2425" t="s">
        <v>54</v>
      </c>
      <c r="N2425" t="s">
        <v>85</v>
      </c>
      <c r="O2425" t="s">
        <v>86</v>
      </c>
      <c r="P2425" t="s">
        <v>53</v>
      </c>
      <c r="Q2425" t="s">
        <v>54</v>
      </c>
      <c r="R2425" s="1">
        <v>44270.370578703703</v>
      </c>
      <c r="S2425" s="1">
        <v>44270.370578703703</v>
      </c>
      <c r="T2425">
        <v>0</v>
      </c>
      <c r="U2425">
        <v>1</v>
      </c>
      <c r="V2425" s="2">
        <v>0</v>
      </c>
      <c r="W2425">
        <v>0</v>
      </c>
      <c r="X2425" t="s">
        <v>44</v>
      </c>
      <c r="Y2425">
        <v>0</v>
      </c>
      <c r="Z2425" t="s">
        <v>31</v>
      </c>
      <c r="AA2425">
        <v>0</v>
      </c>
      <c r="AB2425" t="s">
        <v>31</v>
      </c>
      <c r="AC2425">
        <v>0</v>
      </c>
      <c r="AD2425" t="s">
        <v>31</v>
      </c>
      <c r="AE2425">
        <v>0</v>
      </c>
      <c r="AF2425" t="s">
        <v>31</v>
      </c>
      <c r="AG2425">
        <v>0</v>
      </c>
      <c r="AH2425" t="s">
        <v>31</v>
      </c>
      <c r="AI2425">
        <v>0</v>
      </c>
      <c r="AJ2425" t="s">
        <v>31</v>
      </c>
      <c r="AK2425">
        <v>0</v>
      </c>
      <c r="AL2425" t="s">
        <v>31</v>
      </c>
      <c r="AM2425">
        <v>0</v>
      </c>
      <c r="AN2425" t="s">
        <v>31</v>
      </c>
      <c r="AO2425">
        <v>0</v>
      </c>
      <c r="AP2425" t="s">
        <v>31</v>
      </c>
      <c r="AQ2425">
        <v>0</v>
      </c>
    </row>
    <row r="2426" spans="1:43" x14ac:dyDescent="0.2">
      <c r="A2426" t="s">
        <v>381</v>
      </c>
      <c r="B2426" s="3">
        <v>44271</v>
      </c>
      <c r="C2426">
        <v>37</v>
      </c>
      <c r="D2426" t="s">
        <v>385</v>
      </c>
      <c r="E2426" t="s">
        <v>127</v>
      </c>
      <c r="F2426" s="9" t="s">
        <v>128</v>
      </c>
      <c r="G2426" t="s">
        <v>26</v>
      </c>
      <c r="H2426" t="s">
        <v>85</v>
      </c>
      <c r="I2426" t="s">
        <v>86</v>
      </c>
      <c r="J2426" t="s">
        <v>53</v>
      </c>
      <c r="K2426" t="s">
        <v>54</v>
      </c>
      <c r="L2426" t="s">
        <v>53</v>
      </c>
      <c r="M2426" t="s">
        <v>54</v>
      </c>
      <c r="N2426" t="s">
        <v>85</v>
      </c>
      <c r="O2426" t="s">
        <v>86</v>
      </c>
      <c r="P2426" t="s">
        <v>53</v>
      </c>
      <c r="Q2426" t="s">
        <v>54</v>
      </c>
      <c r="R2426" s="1">
        <v>44271.592766203707</v>
      </c>
      <c r="S2426" s="1">
        <v>44271.592766203707</v>
      </c>
      <c r="T2426">
        <v>0</v>
      </c>
      <c r="U2426">
        <v>1</v>
      </c>
      <c r="V2426" s="2">
        <v>0</v>
      </c>
      <c r="W2426">
        <v>0</v>
      </c>
      <c r="X2426" t="s">
        <v>44</v>
      </c>
      <c r="Y2426">
        <v>0</v>
      </c>
      <c r="Z2426" t="s">
        <v>31</v>
      </c>
      <c r="AA2426">
        <v>0</v>
      </c>
      <c r="AB2426" t="s">
        <v>31</v>
      </c>
      <c r="AC2426">
        <v>0</v>
      </c>
      <c r="AD2426" t="s">
        <v>31</v>
      </c>
      <c r="AE2426">
        <v>0</v>
      </c>
      <c r="AF2426" t="s">
        <v>31</v>
      </c>
      <c r="AG2426">
        <v>0</v>
      </c>
      <c r="AH2426" t="s">
        <v>31</v>
      </c>
      <c r="AI2426">
        <v>0</v>
      </c>
      <c r="AJ2426" t="s">
        <v>31</v>
      </c>
      <c r="AK2426">
        <v>0</v>
      </c>
      <c r="AL2426" t="s">
        <v>31</v>
      </c>
      <c r="AM2426">
        <v>0</v>
      </c>
      <c r="AN2426" t="s">
        <v>31</v>
      </c>
      <c r="AO2426">
        <v>0</v>
      </c>
      <c r="AP2426" t="s">
        <v>31</v>
      </c>
      <c r="AQ2426">
        <v>0</v>
      </c>
    </row>
    <row r="2427" spans="1:43" x14ac:dyDescent="0.2">
      <c r="A2427" t="s">
        <v>381</v>
      </c>
      <c r="B2427" s="3">
        <v>44272</v>
      </c>
      <c r="C2427">
        <v>38</v>
      </c>
      <c r="D2427" t="s">
        <v>384</v>
      </c>
      <c r="E2427" t="s">
        <v>127</v>
      </c>
      <c r="F2427" s="9" t="s">
        <v>128</v>
      </c>
      <c r="G2427" t="s">
        <v>26</v>
      </c>
      <c r="H2427" t="s">
        <v>85</v>
      </c>
      <c r="I2427" t="s">
        <v>86</v>
      </c>
      <c r="J2427" t="s">
        <v>53</v>
      </c>
      <c r="K2427" t="s">
        <v>54</v>
      </c>
      <c r="L2427" t="s">
        <v>53</v>
      </c>
      <c r="M2427" t="s">
        <v>54</v>
      </c>
      <c r="N2427" t="s">
        <v>85</v>
      </c>
      <c r="O2427" t="s">
        <v>86</v>
      </c>
      <c r="P2427" t="s">
        <v>53</v>
      </c>
      <c r="Q2427" t="s">
        <v>54</v>
      </c>
      <c r="R2427" s="1">
        <v>44272.432256944441</v>
      </c>
      <c r="S2427" s="1">
        <v>44272.432256944441</v>
      </c>
      <c r="T2427">
        <v>0</v>
      </c>
      <c r="U2427">
        <v>1</v>
      </c>
      <c r="V2427" s="2">
        <v>0</v>
      </c>
      <c r="W2427">
        <v>0</v>
      </c>
      <c r="X2427" t="s">
        <v>44</v>
      </c>
      <c r="Y2427">
        <v>0</v>
      </c>
      <c r="Z2427" t="s">
        <v>31</v>
      </c>
      <c r="AA2427">
        <v>0</v>
      </c>
      <c r="AB2427" t="s">
        <v>31</v>
      </c>
      <c r="AC2427">
        <v>0</v>
      </c>
      <c r="AD2427" t="s">
        <v>31</v>
      </c>
      <c r="AE2427">
        <v>0</v>
      </c>
      <c r="AF2427" t="s">
        <v>31</v>
      </c>
      <c r="AG2427">
        <v>0</v>
      </c>
      <c r="AH2427" t="s">
        <v>31</v>
      </c>
      <c r="AI2427">
        <v>0</v>
      </c>
      <c r="AJ2427" t="s">
        <v>31</v>
      </c>
      <c r="AK2427">
        <v>0</v>
      </c>
      <c r="AL2427" t="s">
        <v>31</v>
      </c>
      <c r="AM2427">
        <v>0</v>
      </c>
      <c r="AN2427" t="s">
        <v>31</v>
      </c>
      <c r="AO2427">
        <v>0</v>
      </c>
      <c r="AP2427" t="s">
        <v>31</v>
      </c>
      <c r="AQ2427">
        <v>0</v>
      </c>
    </row>
    <row r="2428" spans="1:43" x14ac:dyDescent="0.2">
      <c r="A2428" t="s">
        <v>381</v>
      </c>
      <c r="B2428" s="3">
        <v>44273</v>
      </c>
      <c r="C2428">
        <v>39</v>
      </c>
      <c r="D2428" t="s">
        <v>385</v>
      </c>
      <c r="E2428" t="s">
        <v>127</v>
      </c>
      <c r="F2428" s="9" t="s">
        <v>128</v>
      </c>
      <c r="G2428" t="s">
        <v>26</v>
      </c>
      <c r="H2428" t="s">
        <v>85</v>
      </c>
      <c r="I2428" t="s">
        <v>86</v>
      </c>
      <c r="J2428" t="s">
        <v>53</v>
      </c>
      <c r="K2428" t="s">
        <v>54</v>
      </c>
      <c r="L2428" t="s">
        <v>53</v>
      </c>
      <c r="M2428" t="s">
        <v>54</v>
      </c>
      <c r="N2428" t="s">
        <v>85</v>
      </c>
      <c r="O2428" t="s">
        <v>86</v>
      </c>
      <c r="P2428" t="s">
        <v>53</v>
      </c>
      <c r="Q2428" t="s">
        <v>54</v>
      </c>
      <c r="R2428" s="1">
        <v>44273.469085648147</v>
      </c>
      <c r="S2428" s="1">
        <v>44273.469085648147</v>
      </c>
      <c r="T2428">
        <v>0</v>
      </c>
      <c r="U2428">
        <v>1</v>
      </c>
      <c r="V2428" s="2">
        <v>0</v>
      </c>
      <c r="W2428">
        <v>0</v>
      </c>
      <c r="X2428" t="s">
        <v>44</v>
      </c>
      <c r="Y2428">
        <v>0</v>
      </c>
      <c r="Z2428" t="s">
        <v>31</v>
      </c>
      <c r="AA2428">
        <v>0</v>
      </c>
      <c r="AB2428" t="s">
        <v>31</v>
      </c>
      <c r="AC2428">
        <v>0</v>
      </c>
      <c r="AD2428" t="s">
        <v>31</v>
      </c>
      <c r="AE2428">
        <v>0</v>
      </c>
      <c r="AF2428" t="s">
        <v>31</v>
      </c>
      <c r="AG2428">
        <v>0</v>
      </c>
      <c r="AH2428" t="s">
        <v>31</v>
      </c>
      <c r="AI2428">
        <v>0</v>
      </c>
      <c r="AJ2428" t="s">
        <v>31</v>
      </c>
      <c r="AK2428">
        <v>0</v>
      </c>
      <c r="AL2428" t="s">
        <v>31</v>
      </c>
      <c r="AM2428">
        <v>0</v>
      </c>
      <c r="AN2428" t="s">
        <v>31</v>
      </c>
      <c r="AO2428">
        <v>0</v>
      </c>
      <c r="AP2428" t="s">
        <v>31</v>
      </c>
      <c r="AQ2428">
        <v>0</v>
      </c>
    </row>
    <row r="2429" spans="1:43" x14ac:dyDescent="0.2">
      <c r="A2429" t="s">
        <v>381</v>
      </c>
      <c r="B2429" s="3">
        <v>44279</v>
      </c>
      <c r="C2429">
        <v>41</v>
      </c>
      <c r="D2429" t="s">
        <v>384</v>
      </c>
      <c r="E2429" t="s">
        <v>127</v>
      </c>
      <c r="F2429" s="9" t="s">
        <v>128</v>
      </c>
      <c r="G2429" t="s">
        <v>26</v>
      </c>
      <c r="H2429" t="s">
        <v>85</v>
      </c>
      <c r="I2429" t="s">
        <v>86</v>
      </c>
      <c r="J2429" t="s">
        <v>53</v>
      </c>
      <c r="K2429" t="s">
        <v>54</v>
      </c>
      <c r="L2429" t="s">
        <v>53</v>
      </c>
      <c r="M2429" t="s">
        <v>54</v>
      </c>
      <c r="N2429" t="s">
        <v>85</v>
      </c>
      <c r="O2429" t="s">
        <v>86</v>
      </c>
      <c r="P2429" t="s">
        <v>53</v>
      </c>
      <c r="Q2429" t="s">
        <v>54</v>
      </c>
      <c r="R2429" s="1">
        <v>44279.422997685186</v>
      </c>
      <c r="S2429" s="1">
        <v>44279.422997685186</v>
      </c>
      <c r="T2429">
        <v>0</v>
      </c>
      <c r="U2429">
        <v>1</v>
      </c>
      <c r="V2429" s="2">
        <v>0</v>
      </c>
      <c r="W2429">
        <v>0</v>
      </c>
      <c r="X2429" t="s">
        <v>44</v>
      </c>
      <c r="Y2429">
        <v>0</v>
      </c>
      <c r="Z2429" t="s">
        <v>31</v>
      </c>
      <c r="AA2429">
        <v>0</v>
      </c>
      <c r="AB2429" t="s">
        <v>31</v>
      </c>
      <c r="AC2429">
        <v>0</v>
      </c>
      <c r="AD2429" t="s">
        <v>31</v>
      </c>
      <c r="AE2429">
        <v>0</v>
      </c>
      <c r="AF2429" t="s">
        <v>31</v>
      </c>
      <c r="AG2429">
        <v>0</v>
      </c>
      <c r="AH2429" t="s">
        <v>31</v>
      </c>
      <c r="AI2429">
        <v>0</v>
      </c>
      <c r="AJ2429" t="s">
        <v>31</v>
      </c>
      <c r="AK2429">
        <v>0</v>
      </c>
      <c r="AL2429" t="s">
        <v>31</v>
      </c>
      <c r="AM2429">
        <v>0</v>
      </c>
      <c r="AN2429" t="s">
        <v>31</v>
      </c>
      <c r="AO2429">
        <v>0</v>
      </c>
      <c r="AP2429" t="s">
        <v>31</v>
      </c>
      <c r="AQ2429">
        <v>0</v>
      </c>
    </row>
    <row r="2430" spans="1:43" x14ac:dyDescent="0.2">
      <c r="A2430" t="s">
        <v>381</v>
      </c>
      <c r="B2430" s="3">
        <v>44284</v>
      </c>
      <c r="C2430">
        <v>43</v>
      </c>
      <c r="D2430" t="s">
        <v>384</v>
      </c>
      <c r="E2430" t="s">
        <v>127</v>
      </c>
      <c r="F2430" s="9" t="s">
        <v>128</v>
      </c>
      <c r="G2430" t="s">
        <v>26</v>
      </c>
      <c r="H2430" t="s">
        <v>85</v>
      </c>
      <c r="I2430" t="s">
        <v>86</v>
      </c>
      <c r="J2430" t="s">
        <v>53</v>
      </c>
      <c r="K2430" t="s">
        <v>54</v>
      </c>
      <c r="L2430" t="s">
        <v>53</v>
      </c>
      <c r="M2430" t="s">
        <v>54</v>
      </c>
      <c r="N2430" t="s">
        <v>85</v>
      </c>
      <c r="O2430" t="s">
        <v>86</v>
      </c>
      <c r="P2430" t="s">
        <v>53</v>
      </c>
      <c r="Q2430" t="s">
        <v>54</v>
      </c>
      <c r="R2430" s="1">
        <v>44284.42287037037</v>
      </c>
      <c r="S2430" s="1">
        <v>44284.42287037037</v>
      </c>
      <c r="T2430">
        <v>0</v>
      </c>
      <c r="U2430">
        <v>1</v>
      </c>
      <c r="V2430" s="2">
        <v>0</v>
      </c>
      <c r="W2430">
        <v>0</v>
      </c>
      <c r="X2430" t="s">
        <v>44</v>
      </c>
      <c r="Y2430">
        <v>0</v>
      </c>
      <c r="Z2430" t="s">
        <v>31</v>
      </c>
      <c r="AA2430">
        <v>0</v>
      </c>
      <c r="AB2430" t="s">
        <v>31</v>
      </c>
      <c r="AC2430">
        <v>0</v>
      </c>
      <c r="AD2430" t="s">
        <v>31</v>
      </c>
      <c r="AE2430">
        <v>0</v>
      </c>
      <c r="AF2430" t="s">
        <v>31</v>
      </c>
      <c r="AG2430">
        <v>0</v>
      </c>
      <c r="AH2430" t="s">
        <v>31</v>
      </c>
      <c r="AI2430">
        <v>0</v>
      </c>
      <c r="AJ2430" t="s">
        <v>31</v>
      </c>
      <c r="AK2430">
        <v>0</v>
      </c>
      <c r="AL2430" t="s">
        <v>31</v>
      </c>
      <c r="AM2430">
        <v>0</v>
      </c>
      <c r="AN2430" t="s">
        <v>31</v>
      </c>
      <c r="AO2430">
        <v>0</v>
      </c>
      <c r="AP2430" t="s">
        <v>31</v>
      </c>
      <c r="AQ2430">
        <v>0</v>
      </c>
    </row>
    <row r="2431" spans="1:43" x14ac:dyDescent="0.2">
      <c r="A2431" t="s">
        <v>381</v>
      </c>
      <c r="B2431" s="3">
        <v>44287</v>
      </c>
      <c r="C2431">
        <v>47</v>
      </c>
      <c r="D2431" t="s">
        <v>385</v>
      </c>
      <c r="E2431" t="s">
        <v>127</v>
      </c>
      <c r="F2431" s="9" t="s">
        <v>128</v>
      </c>
      <c r="G2431" t="s">
        <v>26</v>
      </c>
      <c r="H2431" t="s">
        <v>85</v>
      </c>
      <c r="I2431" t="s">
        <v>86</v>
      </c>
      <c r="J2431" t="s">
        <v>53</v>
      </c>
      <c r="K2431" t="s">
        <v>54</v>
      </c>
      <c r="L2431" t="s">
        <v>53</v>
      </c>
      <c r="M2431" t="s">
        <v>54</v>
      </c>
      <c r="N2431" t="s">
        <v>85</v>
      </c>
      <c r="O2431" t="s">
        <v>86</v>
      </c>
      <c r="P2431" t="s">
        <v>53</v>
      </c>
      <c r="Q2431" t="s">
        <v>54</v>
      </c>
      <c r="R2431" s="1">
        <v>44287.446435185186</v>
      </c>
      <c r="S2431" s="1">
        <v>44287.446446759262</v>
      </c>
      <c r="T2431">
        <v>1</v>
      </c>
      <c r="U2431">
        <v>2</v>
      </c>
      <c r="V2431" s="2">
        <v>0.5</v>
      </c>
      <c r="W2431">
        <v>1</v>
      </c>
      <c r="X2431" t="s">
        <v>54</v>
      </c>
      <c r="Y2431">
        <v>1</v>
      </c>
      <c r="Z2431" t="s">
        <v>44</v>
      </c>
      <c r="AA2431">
        <v>0</v>
      </c>
      <c r="AB2431" t="s">
        <v>31</v>
      </c>
      <c r="AC2431">
        <v>0</v>
      </c>
      <c r="AD2431" t="s">
        <v>31</v>
      </c>
      <c r="AE2431">
        <v>0</v>
      </c>
      <c r="AF2431" t="s">
        <v>31</v>
      </c>
      <c r="AG2431">
        <v>0</v>
      </c>
      <c r="AH2431" t="s">
        <v>31</v>
      </c>
      <c r="AI2431">
        <v>0</v>
      </c>
      <c r="AJ2431" t="s">
        <v>31</v>
      </c>
      <c r="AK2431">
        <v>0</v>
      </c>
      <c r="AL2431" t="s">
        <v>31</v>
      </c>
      <c r="AM2431">
        <v>0</v>
      </c>
      <c r="AN2431" t="s">
        <v>31</v>
      </c>
      <c r="AO2431">
        <v>0</v>
      </c>
      <c r="AP2431" t="s">
        <v>31</v>
      </c>
      <c r="AQ2431">
        <v>0</v>
      </c>
    </row>
    <row r="2432" spans="1:43" x14ac:dyDescent="0.2">
      <c r="A2432" t="s">
        <v>381</v>
      </c>
      <c r="B2432" s="3">
        <v>44288</v>
      </c>
      <c r="C2432">
        <v>49</v>
      </c>
      <c r="D2432" t="s">
        <v>384</v>
      </c>
      <c r="E2432" t="s">
        <v>127</v>
      </c>
      <c r="F2432" s="9" t="s">
        <v>128</v>
      </c>
      <c r="G2432" t="s">
        <v>26</v>
      </c>
      <c r="H2432" t="s">
        <v>85</v>
      </c>
      <c r="I2432" t="s">
        <v>86</v>
      </c>
      <c r="J2432" t="s">
        <v>53</v>
      </c>
      <c r="K2432" t="s">
        <v>54</v>
      </c>
      <c r="L2432" t="s">
        <v>53</v>
      </c>
      <c r="M2432" t="s">
        <v>54</v>
      </c>
      <c r="N2432" t="s">
        <v>85</v>
      </c>
      <c r="O2432" t="s">
        <v>86</v>
      </c>
      <c r="P2432" t="s">
        <v>53</v>
      </c>
      <c r="Q2432" t="s">
        <v>54</v>
      </c>
      <c r="R2432" s="1">
        <v>44288.462847222225</v>
      </c>
      <c r="S2432" s="1">
        <v>44288.462847222225</v>
      </c>
      <c r="T2432">
        <v>0</v>
      </c>
      <c r="U2432">
        <v>1</v>
      </c>
      <c r="V2432" s="2">
        <v>0</v>
      </c>
      <c r="W2432">
        <v>0</v>
      </c>
      <c r="X2432" t="s">
        <v>44</v>
      </c>
      <c r="Y2432">
        <v>0</v>
      </c>
      <c r="Z2432" t="s">
        <v>31</v>
      </c>
      <c r="AA2432">
        <v>0</v>
      </c>
      <c r="AB2432" t="s">
        <v>31</v>
      </c>
      <c r="AC2432">
        <v>0</v>
      </c>
      <c r="AD2432" t="s">
        <v>31</v>
      </c>
      <c r="AE2432">
        <v>0</v>
      </c>
      <c r="AF2432" t="s">
        <v>31</v>
      </c>
      <c r="AG2432">
        <v>0</v>
      </c>
      <c r="AH2432" t="s">
        <v>31</v>
      </c>
      <c r="AI2432">
        <v>0</v>
      </c>
      <c r="AJ2432" t="s">
        <v>31</v>
      </c>
      <c r="AK2432">
        <v>0</v>
      </c>
      <c r="AL2432" t="s">
        <v>31</v>
      </c>
      <c r="AM2432">
        <v>0</v>
      </c>
      <c r="AN2432" t="s">
        <v>31</v>
      </c>
      <c r="AO2432">
        <v>0</v>
      </c>
      <c r="AP2432" t="s">
        <v>31</v>
      </c>
      <c r="AQ2432">
        <v>0</v>
      </c>
    </row>
    <row r="2433" spans="1:43" x14ac:dyDescent="0.2">
      <c r="A2433" t="s">
        <v>381</v>
      </c>
      <c r="B2433" s="3">
        <v>44291</v>
      </c>
      <c r="C2433">
        <v>50</v>
      </c>
      <c r="D2433" t="s">
        <v>384</v>
      </c>
      <c r="E2433" t="s">
        <v>127</v>
      </c>
      <c r="F2433" s="9" t="s">
        <v>128</v>
      </c>
      <c r="G2433" t="s">
        <v>26</v>
      </c>
      <c r="H2433" t="s">
        <v>85</v>
      </c>
      <c r="I2433" t="s">
        <v>86</v>
      </c>
      <c r="J2433" t="s">
        <v>53</v>
      </c>
      <c r="K2433" t="s">
        <v>54</v>
      </c>
      <c r="L2433" t="s">
        <v>53</v>
      </c>
      <c r="M2433" t="s">
        <v>54</v>
      </c>
      <c r="N2433" t="s">
        <v>85</v>
      </c>
      <c r="O2433" t="s">
        <v>86</v>
      </c>
      <c r="P2433" t="s">
        <v>53</v>
      </c>
      <c r="Q2433" t="s">
        <v>54</v>
      </c>
      <c r="R2433" s="1">
        <v>44291.418738425928</v>
      </c>
      <c r="S2433" s="1">
        <v>44291.418738425928</v>
      </c>
      <c r="T2433">
        <v>0</v>
      </c>
      <c r="U2433">
        <v>1</v>
      </c>
      <c r="V2433" s="2">
        <v>0</v>
      </c>
      <c r="W2433">
        <v>0</v>
      </c>
      <c r="X2433" t="s">
        <v>44</v>
      </c>
      <c r="Y2433">
        <v>0</v>
      </c>
      <c r="Z2433" t="s">
        <v>31</v>
      </c>
      <c r="AA2433">
        <v>0</v>
      </c>
      <c r="AB2433" t="s">
        <v>31</v>
      </c>
      <c r="AC2433">
        <v>0</v>
      </c>
      <c r="AD2433" t="s">
        <v>31</v>
      </c>
      <c r="AE2433">
        <v>0</v>
      </c>
      <c r="AF2433" t="s">
        <v>31</v>
      </c>
      <c r="AG2433">
        <v>0</v>
      </c>
      <c r="AH2433" t="s">
        <v>31</v>
      </c>
      <c r="AI2433">
        <v>0</v>
      </c>
      <c r="AJ2433" t="s">
        <v>31</v>
      </c>
      <c r="AK2433">
        <v>0</v>
      </c>
      <c r="AL2433" t="s">
        <v>31</v>
      </c>
      <c r="AM2433">
        <v>0</v>
      </c>
      <c r="AN2433" t="s">
        <v>31</v>
      </c>
      <c r="AO2433">
        <v>0</v>
      </c>
      <c r="AP2433" t="s">
        <v>31</v>
      </c>
      <c r="AQ2433">
        <v>0</v>
      </c>
    </row>
    <row r="2434" spans="1:43" x14ac:dyDescent="0.2">
      <c r="A2434" t="s">
        <v>381</v>
      </c>
      <c r="B2434" s="3">
        <v>44293</v>
      </c>
      <c r="C2434">
        <v>53</v>
      </c>
      <c r="D2434" t="s">
        <v>384</v>
      </c>
      <c r="E2434" t="s">
        <v>127</v>
      </c>
      <c r="F2434" s="9" t="s">
        <v>128</v>
      </c>
      <c r="G2434" t="s">
        <v>26</v>
      </c>
      <c r="H2434" t="s">
        <v>85</v>
      </c>
      <c r="I2434" t="s">
        <v>86</v>
      </c>
      <c r="J2434" t="s">
        <v>53</v>
      </c>
      <c r="K2434" t="s">
        <v>54</v>
      </c>
      <c r="L2434" t="s">
        <v>53</v>
      </c>
      <c r="M2434" t="s">
        <v>54</v>
      </c>
      <c r="N2434" t="s">
        <v>85</v>
      </c>
      <c r="O2434" t="s">
        <v>86</v>
      </c>
      <c r="P2434" t="s">
        <v>53</v>
      </c>
      <c r="Q2434" t="s">
        <v>54</v>
      </c>
      <c r="R2434" s="1">
        <v>44293.380324074074</v>
      </c>
      <c r="S2434" s="1">
        <v>44293.380324074074</v>
      </c>
      <c r="T2434">
        <v>1</v>
      </c>
      <c r="U2434">
        <v>1</v>
      </c>
      <c r="V2434" s="2">
        <v>1</v>
      </c>
      <c r="W2434">
        <v>1</v>
      </c>
      <c r="X2434" t="s">
        <v>54</v>
      </c>
      <c r="Y2434">
        <v>1</v>
      </c>
      <c r="Z2434" t="s">
        <v>31</v>
      </c>
      <c r="AA2434">
        <v>0</v>
      </c>
      <c r="AB2434" t="s">
        <v>31</v>
      </c>
      <c r="AC2434">
        <v>0</v>
      </c>
      <c r="AD2434" t="s">
        <v>31</v>
      </c>
      <c r="AE2434">
        <v>0</v>
      </c>
      <c r="AF2434" t="s">
        <v>31</v>
      </c>
      <c r="AG2434">
        <v>0</v>
      </c>
      <c r="AH2434" t="s">
        <v>31</v>
      </c>
      <c r="AI2434">
        <v>0</v>
      </c>
      <c r="AJ2434" t="s">
        <v>31</v>
      </c>
      <c r="AK2434">
        <v>0</v>
      </c>
      <c r="AL2434" t="s">
        <v>31</v>
      </c>
      <c r="AM2434">
        <v>0</v>
      </c>
      <c r="AN2434" t="s">
        <v>31</v>
      </c>
      <c r="AO2434">
        <v>0</v>
      </c>
      <c r="AP2434" t="s">
        <v>31</v>
      </c>
      <c r="AQ2434">
        <v>0</v>
      </c>
    </row>
    <row r="2435" spans="1:43" x14ac:dyDescent="0.2">
      <c r="A2435" t="s">
        <v>381</v>
      </c>
      <c r="B2435" s="3">
        <v>44295</v>
      </c>
      <c r="C2435">
        <v>56</v>
      </c>
      <c r="D2435" t="s">
        <v>384</v>
      </c>
      <c r="E2435" t="s">
        <v>127</v>
      </c>
      <c r="F2435" s="9" t="s">
        <v>128</v>
      </c>
      <c r="G2435" t="s">
        <v>26</v>
      </c>
      <c r="H2435" t="s">
        <v>85</v>
      </c>
      <c r="I2435" t="s">
        <v>86</v>
      </c>
      <c r="J2435" t="s">
        <v>53</v>
      </c>
      <c r="K2435" t="s">
        <v>54</v>
      </c>
      <c r="L2435" t="s">
        <v>53</v>
      </c>
      <c r="M2435" t="s">
        <v>54</v>
      </c>
      <c r="N2435" t="s">
        <v>85</v>
      </c>
      <c r="O2435" t="s">
        <v>86</v>
      </c>
      <c r="P2435" t="s">
        <v>53</v>
      </c>
      <c r="Q2435" t="s">
        <v>54</v>
      </c>
      <c r="R2435" s="1">
        <v>44295.381921296299</v>
      </c>
      <c r="S2435" s="1">
        <v>44295.381921296299</v>
      </c>
      <c r="T2435">
        <v>0</v>
      </c>
      <c r="U2435">
        <v>1</v>
      </c>
      <c r="V2435" s="2">
        <v>0</v>
      </c>
      <c r="W2435">
        <v>0</v>
      </c>
      <c r="X2435" t="s">
        <v>44</v>
      </c>
      <c r="Y2435">
        <v>0</v>
      </c>
      <c r="Z2435" t="s">
        <v>31</v>
      </c>
      <c r="AA2435">
        <v>0</v>
      </c>
      <c r="AB2435" t="s">
        <v>31</v>
      </c>
      <c r="AC2435">
        <v>0</v>
      </c>
      <c r="AD2435" t="s">
        <v>31</v>
      </c>
      <c r="AE2435">
        <v>0</v>
      </c>
      <c r="AF2435" t="s">
        <v>31</v>
      </c>
      <c r="AG2435">
        <v>0</v>
      </c>
      <c r="AH2435" t="s">
        <v>31</v>
      </c>
      <c r="AI2435">
        <v>0</v>
      </c>
      <c r="AJ2435" t="s">
        <v>31</v>
      </c>
      <c r="AK2435">
        <v>0</v>
      </c>
      <c r="AL2435" t="s">
        <v>31</v>
      </c>
      <c r="AM2435">
        <v>0</v>
      </c>
      <c r="AN2435" t="s">
        <v>31</v>
      </c>
      <c r="AO2435">
        <v>0</v>
      </c>
      <c r="AP2435" t="s">
        <v>31</v>
      </c>
      <c r="AQ2435">
        <v>0</v>
      </c>
    </row>
    <row r="2436" spans="1:43" x14ac:dyDescent="0.2">
      <c r="A2436" t="s">
        <v>381</v>
      </c>
      <c r="B2436" s="3">
        <v>44300</v>
      </c>
      <c r="C2436">
        <v>61</v>
      </c>
      <c r="D2436" t="s">
        <v>401</v>
      </c>
      <c r="E2436" t="s">
        <v>127</v>
      </c>
      <c r="F2436" s="9" t="s">
        <v>128</v>
      </c>
      <c r="G2436" t="s">
        <v>26</v>
      </c>
      <c r="H2436" t="s">
        <v>85</v>
      </c>
      <c r="I2436" t="s">
        <v>86</v>
      </c>
      <c r="J2436" t="s">
        <v>53</v>
      </c>
      <c r="K2436" t="s">
        <v>54</v>
      </c>
      <c r="L2436" t="s">
        <v>53</v>
      </c>
      <c r="M2436" t="s">
        <v>54</v>
      </c>
      <c r="N2436" t="s">
        <v>85</v>
      </c>
      <c r="O2436" t="s">
        <v>86</v>
      </c>
      <c r="P2436" t="s">
        <v>53</v>
      </c>
      <c r="Q2436" t="s">
        <v>54</v>
      </c>
      <c r="R2436" s="1">
        <v>44300.658865740741</v>
      </c>
      <c r="S2436" s="1">
        <v>44300.658865740741</v>
      </c>
      <c r="T2436">
        <v>0</v>
      </c>
      <c r="U2436">
        <v>1</v>
      </c>
      <c r="V2436" s="2">
        <v>0</v>
      </c>
      <c r="W2436">
        <v>0</v>
      </c>
      <c r="X2436" t="s">
        <v>44</v>
      </c>
      <c r="Y2436">
        <v>0</v>
      </c>
      <c r="Z2436" t="s">
        <v>31</v>
      </c>
      <c r="AA2436">
        <v>0</v>
      </c>
      <c r="AB2436" t="s">
        <v>31</v>
      </c>
      <c r="AC2436">
        <v>0</v>
      </c>
      <c r="AD2436" t="s">
        <v>31</v>
      </c>
      <c r="AE2436">
        <v>0</v>
      </c>
      <c r="AF2436" t="s">
        <v>31</v>
      </c>
      <c r="AG2436">
        <v>0</v>
      </c>
      <c r="AH2436" t="s">
        <v>31</v>
      </c>
      <c r="AI2436">
        <v>0</v>
      </c>
      <c r="AJ2436" t="s">
        <v>31</v>
      </c>
      <c r="AK2436">
        <v>0</v>
      </c>
      <c r="AL2436" t="s">
        <v>31</v>
      </c>
      <c r="AM2436">
        <v>0</v>
      </c>
      <c r="AN2436" t="s">
        <v>31</v>
      </c>
      <c r="AO2436">
        <v>0</v>
      </c>
      <c r="AP2436" t="s">
        <v>31</v>
      </c>
      <c r="AQ2436">
        <v>0</v>
      </c>
    </row>
    <row r="2437" spans="1:43" x14ac:dyDescent="0.2">
      <c r="A2437" t="s">
        <v>381</v>
      </c>
      <c r="B2437" s="3">
        <v>44313</v>
      </c>
      <c r="C2437">
        <v>74</v>
      </c>
      <c r="D2437" t="s">
        <v>383</v>
      </c>
      <c r="E2437" t="s">
        <v>127</v>
      </c>
      <c r="F2437" s="9" t="s">
        <v>128</v>
      </c>
      <c r="G2437" t="s">
        <v>26</v>
      </c>
      <c r="H2437" t="s">
        <v>85</v>
      </c>
      <c r="I2437" t="s">
        <v>86</v>
      </c>
      <c r="J2437" t="s">
        <v>53</v>
      </c>
      <c r="K2437" t="s">
        <v>54</v>
      </c>
      <c r="L2437" t="s">
        <v>53</v>
      </c>
      <c r="M2437" t="s">
        <v>54</v>
      </c>
      <c r="N2437" t="s">
        <v>85</v>
      </c>
      <c r="O2437" t="s">
        <v>86</v>
      </c>
      <c r="P2437" t="s">
        <v>53</v>
      </c>
      <c r="Q2437" t="s">
        <v>54</v>
      </c>
      <c r="R2437" s="1">
        <v>44313.467141203706</v>
      </c>
      <c r="S2437" s="1">
        <v>44313.467141203706</v>
      </c>
      <c r="T2437">
        <v>0</v>
      </c>
      <c r="U2437">
        <v>1</v>
      </c>
      <c r="V2437" s="2">
        <v>0</v>
      </c>
      <c r="W2437">
        <v>0</v>
      </c>
      <c r="X2437" t="s">
        <v>44</v>
      </c>
      <c r="Y2437">
        <v>0</v>
      </c>
      <c r="Z2437" t="s">
        <v>31</v>
      </c>
      <c r="AA2437">
        <v>0</v>
      </c>
      <c r="AB2437" t="s">
        <v>31</v>
      </c>
      <c r="AC2437">
        <v>0</v>
      </c>
      <c r="AD2437" t="s">
        <v>31</v>
      </c>
      <c r="AE2437">
        <v>0</v>
      </c>
      <c r="AF2437" t="s">
        <v>31</v>
      </c>
      <c r="AG2437">
        <v>0</v>
      </c>
      <c r="AH2437" t="s">
        <v>31</v>
      </c>
      <c r="AI2437">
        <v>0</v>
      </c>
      <c r="AJ2437" t="s">
        <v>31</v>
      </c>
      <c r="AK2437">
        <v>0</v>
      </c>
      <c r="AL2437" t="s">
        <v>31</v>
      </c>
      <c r="AM2437">
        <v>0</v>
      </c>
      <c r="AN2437" t="s">
        <v>31</v>
      </c>
      <c r="AO2437">
        <v>0</v>
      </c>
      <c r="AP2437" t="s">
        <v>31</v>
      </c>
      <c r="AQ2437">
        <v>0</v>
      </c>
    </row>
    <row r="2438" spans="1:43" x14ac:dyDescent="0.2">
      <c r="A2438" t="s">
        <v>381</v>
      </c>
      <c r="B2438" s="3">
        <v>44316</v>
      </c>
      <c r="C2438">
        <v>83</v>
      </c>
      <c r="D2438" t="s">
        <v>387</v>
      </c>
      <c r="E2438" t="s">
        <v>127</v>
      </c>
      <c r="F2438" s="9" t="s">
        <v>128</v>
      </c>
      <c r="G2438" t="s">
        <v>26</v>
      </c>
      <c r="H2438" t="s">
        <v>85</v>
      </c>
      <c r="I2438" t="s">
        <v>86</v>
      </c>
      <c r="J2438" t="s">
        <v>53</v>
      </c>
      <c r="K2438" t="s">
        <v>54</v>
      </c>
      <c r="L2438" t="s">
        <v>53</v>
      </c>
      <c r="M2438" t="s">
        <v>54</v>
      </c>
      <c r="N2438" t="s">
        <v>85</v>
      </c>
      <c r="O2438" t="s">
        <v>86</v>
      </c>
      <c r="P2438" t="s">
        <v>53</v>
      </c>
      <c r="Q2438" t="s">
        <v>54</v>
      </c>
      <c r="R2438" s="1">
        <v>44316.568124999998</v>
      </c>
      <c r="S2438" s="1">
        <v>44316.568124999998</v>
      </c>
      <c r="T2438">
        <v>0</v>
      </c>
      <c r="U2438">
        <v>1</v>
      </c>
      <c r="V2438" s="2">
        <v>0</v>
      </c>
      <c r="W2438">
        <v>0</v>
      </c>
      <c r="X2438" t="s">
        <v>44</v>
      </c>
      <c r="Y2438">
        <v>0</v>
      </c>
      <c r="Z2438" t="s">
        <v>31</v>
      </c>
      <c r="AA2438">
        <v>0</v>
      </c>
      <c r="AB2438" t="s">
        <v>31</v>
      </c>
      <c r="AC2438">
        <v>0</v>
      </c>
      <c r="AD2438" t="s">
        <v>31</v>
      </c>
      <c r="AE2438">
        <v>0</v>
      </c>
      <c r="AF2438" t="s">
        <v>31</v>
      </c>
      <c r="AG2438">
        <v>0</v>
      </c>
      <c r="AH2438" t="s">
        <v>31</v>
      </c>
      <c r="AI2438">
        <v>0</v>
      </c>
      <c r="AJ2438" t="s">
        <v>31</v>
      </c>
      <c r="AK2438">
        <v>0</v>
      </c>
      <c r="AL2438" t="s">
        <v>31</v>
      </c>
      <c r="AM2438">
        <v>0</v>
      </c>
      <c r="AN2438" t="s">
        <v>31</v>
      </c>
      <c r="AO2438">
        <v>0</v>
      </c>
      <c r="AP2438" t="s">
        <v>31</v>
      </c>
      <c r="AQ2438">
        <v>0</v>
      </c>
    </row>
    <row r="2439" spans="1:43" x14ac:dyDescent="0.2">
      <c r="A2439" t="s">
        <v>381</v>
      </c>
      <c r="B2439" s="3">
        <v>44319</v>
      </c>
      <c r="C2439">
        <v>84</v>
      </c>
      <c r="D2439" t="s">
        <v>390</v>
      </c>
      <c r="E2439" t="s">
        <v>127</v>
      </c>
      <c r="F2439" s="9" t="s">
        <v>128</v>
      </c>
      <c r="G2439" t="s">
        <v>26</v>
      </c>
      <c r="H2439" t="s">
        <v>85</v>
      </c>
      <c r="I2439" t="s">
        <v>86</v>
      </c>
      <c r="J2439" t="s">
        <v>53</v>
      </c>
      <c r="K2439" t="s">
        <v>54</v>
      </c>
      <c r="L2439" t="s">
        <v>53</v>
      </c>
      <c r="M2439" t="s">
        <v>54</v>
      </c>
      <c r="N2439" t="s">
        <v>85</v>
      </c>
      <c r="O2439" t="s">
        <v>86</v>
      </c>
      <c r="P2439" t="s">
        <v>53</v>
      </c>
      <c r="Q2439" t="s">
        <v>54</v>
      </c>
      <c r="R2439" s="1">
        <v>44319.483194444445</v>
      </c>
      <c r="S2439" s="1">
        <v>44319.483194444445</v>
      </c>
      <c r="T2439">
        <v>0</v>
      </c>
      <c r="U2439">
        <v>1</v>
      </c>
      <c r="V2439" s="2">
        <v>0</v>
      </c>
      <c r="W2439">
        <v>0</v>
      </c>
      <c r="X2439" t="s">
        <v>44</v>
      </c>
      <c r="Y2439">
        <v>0</v>
      </c>
      <c r="Z2439" t="s">
        <v>31</v>
      </c>
      <c r="AA2439">
        <v>0</v>
      </c>
      <c r="AB2439" t="s">
        <v>31</v>
      </c>
      <c r="AC2439">
        <v>0</v>
      </c>
      <c r="AD2439" t="s">
        <v>31</v>
      </c>
      <c r="AE2439">
        <v>0</v>
      </c>
      <c r="AF2439" t="s">
        <v>31</v>
      </c>
      <c r="AG2439">
        <v>0</v>
      </c>
      <c r="AH2439" t="s">
        <v>31</v>
      </c>
      <c r="AI2439">
        <v>0</v>
      </c>
      <c r="AJ2439" t="s">
        <v>31</v>
      </c>
      <c r="AK2439">
        <v>0</v>
      </c>
      <c r="AL2439" t="s">
        <v>31</v>
      </c>
      <c r="AM2439">
        <v>0</v>
      </c>
      <c r="AN2439" t="s">
        <v>31</v>
      </c>
      <c r="AO2439">
        <v>0</v>
      </c>
      <c r="AP2439" t="s">
        <v>31</v>
      </c>
      <c r="AQ2439">
        <v>0</v>
      </c>
    </row>
    <row r="2440" spans="1:43" x14ac:dyDescent="0.2">
      <c r="A2440" t="s">
        <v>381</v>
      </c>
      <c r="B2440" s="3">
        <v>44320</v>
      </c>
      <c r="C2440">
        <v>87</v>
      </c>
      <c r="D2440" t="s">
        <v>385</v>
      </c>
      <c r="E2440" t="s">
        <v>127</v>
      </c>
      <c r="F2440" s="9" t="s">
        <v>128</v>
      </c>
      <c r="G2440" t="s">
        <v>26</v>
      </c>
      <c r="H2440" t="s">
        <v>85</v>
      </c>
      <c r="I2440" t="s">
        <v>86</v>
      </c>
      <c r="J2440" t="s">
        <v>53</v>
      </c>
      <c r="K2440" t="s">
        <v>54</v>
      </c>
      <c r="L2440" t="s">
        <v>53</v>
      </c>
      <c r="M2440" t="s">
        <v>54</v>
      </c>
      <c r="N2440" t="s">
        <v>85</v>
      </c>
      <c r="O2440" t="s">
        <v>86</v>
      </c>
      <c r="P2440" t="s">
        <v>53</v>
      </c>
      <c r="Q2440" t="s">
        <v>54</v>
      </c>
      <c r="R2440" s="1">
        <v>44320.560335648152</v>
      </c>
      <c r="S2440" s="1">
        <v>44320.560335648152</v>
      </c>
      <c r="T2440">
        <v>0</v>
      </c>
      <c r="U2440">
        <v>2</v>
      </c>
      <c r="V2440" s="2">
        <v>0</v>
      </c>
      <c r="W2440">
        <v>0</v>
      </c>
      <c r="X2440" t="s">
        <v>44</v>
      </c>
      <c r="Y2440">
        <v>0</v>
      </c>
      <c r="Z2440" t="s">
        <v>44</v>
      </c>
      <c r="AA2440">
        <v>0</v>
      </c>
      <c r="AB2440" t="s">
        <v>31</v>
      </c>
      <c r="AC2440">
        <v>0</v>
      </c>
      <c r="AD2440" t="s">
        <v>31</v>
      </c>
      <c r="AE2440">
        <v>0</v>
      </c>
      <c r="AF2440" t="s">
        <v>31</v>
      </c>
      <c r="AG2440">
        <v>0</v>
      </c>
      <c r="AH2440" t="s">
        <v>31</v>
      </c>
      <c r="AI2440">
        <v>0</v>
      </c>
      <c r="AJ2440" t="s">
        <v>31</v>
      </c>
      <c r="AK2440">
        <v>0</v>
      </c>
      <c r="AL2440" t="s">
        <v>31</v>
      </c>
      <c r="AM2440">
        <v>0</v>
      </c>
      <c r="AN2440" t="s">
        <v>31</v>
      </c>
      <c r="AO2440">
        <v>0</v>
      </c>
      <c r="AP2440" t="s">
        <v>31</v>
      </c>
      <c r="AQ2440">
        <v>0</v>
      </c>
    </row>
    <row r="2441" spans="1:43" x14ac:dyDescent="0.2">
      <c r="A2441" t="s">
        <v>381</v>
      </c>
      <c r="B2441" s="3">
        <v>44321</v>
      </c>
      <c r="C2441">
        <v>89</v>
      </c>
      <c r="D2441" t="s">
        <v>387</v>
      </c>
      <c r="E2441" t="s">
        <v>127</v>
      </c>
      <c r="F2441" s="9" t="s">
        <v>128</v>
      </c>
      <c r="G2441" t="s">
        <v>26</v>
      </c>
      <c r="H2441" t="s">
        <v>85</v>
      </c>
      <c r="I2441" t="s">
        <v>86</v>
      </c>
      <c r="J2441" t="s">
        <v>53</v>
      </c>
      <c r="K2441" t="s">
        <v>54</v>
      </c>
      <c r="L2441" t="s">
        <v>53</v>
      </c>
      <c r="M2441" t="s">
        <v>54</v>
      </c>
      <c r="N2441" t="s">
        <v>85</v>
      </c>
      <c r="O2441" t="s">
        <v>86</v>
      </c>
      <c r="P2441" t="s">
        <v>53</v>
      </c>
      <c r="Q2441" t="s">
        <v>54</v>
      </c>
      <c r="R2441" s="1">
        <v>44321.583692129629</v>
      </c>
      <c r="S2441" s="1">
        <v>44321.583692129629</v>
      </c>
      <c r="T2441">
        <v>0</v>
      </c>
      <c r="U2441">
        <v>1</v>
      </c>
      <c r="V2441" s="2">
        <v>0</v>
      </c>
      <c r="W2441">
        <v>0</v>
      </c>
      <c r="X2441" t="s">
        <v>44</v>
      </c>
      <c r="Y2441">
        <v>0</v>
      </c>
      <c r="Z2441" t="s">
        <v>31</v>
      </c>
      <c r="AA2441">
        <v>0</v>
      </c>
      <c r="AB2441" t="s">
        <v>31</v>
      </c>
      <c r="AC2441">
        <v>0</v>
      </c>
      <c r="AD2441" t="s">
        <v>31</v>
      </c>
      <c r="AE2441">
        <v>0</v>
      </c>
      <c r="AF2441" t="s">
        <v>31</v>
      </c>
      <c r="AG2441">
        <v>0</v>
      </c>
      <c r="AH2441" t="s">
        <v>31</v>
      </c>
      <c r="AI2441">
        <v>0</v>
      </c>
      <c r="AJ2441" t="s">
        <v>31</v>
      </c>
      <c r="AK2441">
        <v>0</v>
      </c>
      <c r="AL2441" t="s">
        <v>31</v>
      </c>
      <c r="AM2441">
        <v>0</v>
      </c>
      <c r="AN2441" t="s">
        <v>31</v>
      </c>
      <c r="AO2441">
        <v>0</v>
      </c>
      <c r="AP2441" t="s">
        <v>31</v>
      </c>
      <c r="AQ2441">
        <v>0</v>
      </c>
    </row>
    <row r="2442" spans="1:43" x14ac:dyDescent="0.2">
      <c r="A2442" t="s">
        <v>381</v>
      </c>
      <c r="B2442" s="3">
        <v>44328</v>
      </c>
      <c r="C2442">
        <v>97</v>
      </c>
      <c r="D2442" t="s">
        <v>387</v>
      </c>
      <c r="E2442" t="s">
        <v>127</v>
      </c>
      <c r="F2442" s="9" t="s">
        <v>128</v>
      </c>
      <c r="G2442" t="s">
        <v>26</v>
      </c>
      <c r="H2442" t="s">
        <v>85</v>
      </c>
      <c r="I2442" t="s">
        <v>86</v>
      </c>
      <c r="J2442" t="s">
        <v>53</v>
      </c>
      <c r="K2442" t="s">
        <v>54</v>
      </c>
      <c r="L2442" t="s">
        <v>53</v>
      </c>
      <c r="M2442" t="s">
        <v>54</v>
      </c>
      <c r="N2442" t="s">
        <v>85</v>
      </c>
      <c r="O2442" t="s">
        <v>86</v>
      </c>
      <c r="P2442" t="s">
        <v>53</v>
      </c>
      <c r="Q2442" t="s">
        <v>54</v>
      </c>
      <c r="R2442" s="1">
        <v>44328.551851851851</v>
      </c>
      <c r="S2442" s="1">
        <v>44328.551851851851</v>
      </c>
      <c r="T2442">
        <v>0</v>
      </c>
      <c r="U2442">
        <v>1</v>
      </c>
      <c r="V2442" s="2">
        <v>0</v>
      </c>
      <c r="W2442">
        <v>0</v>
      </c>
      <c r="X2442" t="s">
        <v>44</v>
      </c>
      <c r="Y2442">
        <v>0</v>
      </c>
      <c r="Z2442" t="s">
        <v>31</v>
      </c>
      <c r="AA2442">
        <v>0</v>
      </c>
      <c r="AB2442" t="s">
        <v>31</v>
      </c>
      <c r="AC2442">
        <v>0</v>
      </c>
      <c r="AD2442" t="s">
        <v>31</v>
      </c>
      <c r="AE2442">
        <v>0</v>
      </c>
      <c r="AF2442" t="s">
        <v>31</v>
      </c>
      <c r="AG2442">
        <v>0</v>
      </c>
      <c r="AH2442" t="s">
        <v>31</v>
      </c>
      <c r="AI2442">
        <v>0</v>
      </c>
      <c r="AJ2442" t="s">
        <v>31</v>
      </c>
      <c r="AK2442">
        <v>0</v>
      </c>
      <c r="AL2442" t="s">
        <v>31</v>
      </c>
      <c r="AM2442">
        <v>0</v>
      </c>
      <c r="AN2442" t="s">
        <v>31</v>
      </c>
      <c r="AO2442">
        <v>0</v>
      </c>
      <c r="AP2442" t="s">
        <v>31</v>
      </c>
      <c r="AQ2442">
        <v>0</v>
      </c>
    </row>
    <row r="2443" spans="1:43" x14ac:dyDescent="0.2">
      <c r="A2443" t="s">
        <v>381</v>
      </c>
      <c r="B2443" s="3">
        <v>44350</v>
      </c>
      <c r="C2443">
        <v>123</v>
      </c>
      <c r="D2443" t="s">
        <v>382</v>
      </c>
      <c r="E2443" t="s">
        <v>127</v>
      </c>
      <c r="F2443" s="9" t="s">
        <v>128</v>
      </c>
      <c r="G2443" t="s">
        <v>26</v>
      </c>
      <c r="H2443" t="s">
        <v>85</v>
      </c>
      <c r="I2443" t="s">
        <v>86</v>
      </c>
      <c r="J2443" t="s">
        <v>53</v>
      </c>
      <c r="K2443" t="s">
        <v>54</v>
      </c>
      <c r="L2443" t="s">
        <v>53</v>
      </c>
      <c r="M2443" t="s">
        <v>54</v>
      </c>
      <c r="N2443" t="s">
        <v>85</v>
      </c>
      <c r="O2443" t="s">
        <v>86</v>
      </c>
      <c r="P2443" t="s">
        <v>53</v>
      </c>
      <c r="Q2443" t="s">
        <v>54</v>
      </c>
      <c r="R2443" s="1">
        <v>44350.463796296295</v>
      </c>
      <c r="S2443" s="1">
        <v>44350.463796296295</v>
      </c>
      <c r="T2443">
        <v>0</v>
      </c>
      <c r="U2443">
        <v>1</v>
      </c>
      <c r="V2443" s="2">
        <v>0</v>
      </c>
      <c r="W2443">
        <v>0</v>
      </c>
      <c r="X2443" t="s">
        <v>44</v>
      </c>
      <c r="Y2443">
        <v>0</v>
      </c>
      <c r="Z2443" t="s">
        <v>31</v>
      </c>
      <c r="AA2443">
        <v>0</v>
      </c>
      <c r="AB2443" t="s">
        <v>31</v>
      </c>
      <c r="AC2443">
        <v>0</v>
      </c>
      <c r="AD2443" t="s">
        <v>31</v>
      </c>
      <c r="AE2443">
        <v>0</v>
      </c>
      <c r="AF2443" t="s">
        <v>31</v>
      </c>
      <c r="AG2443">
        <v>0</v>
      </c>
      <c r="AH2443" t="s">
        <v>31</v>
      </c>
      <c r="AI2443">
        <v>0</v>
      </c>
      <c r="AJ2443" t="s">
        <v>31</v>
      </c>
      <c r="AK2443">
        <v>0</v>
      </c>
      <c r="AL2443" t="s">
        <v>31</v>
      </c>
      <c r="AM2443">
        <v>0</v>
      </c>
      <c r="AN2443" t="s">
        <v>31</v>
      </c>
      <c r="AO2443">
        <v>0</v>
      </c>
      <c r="AP2443" t="s">
        <v>31</v>
      </c>
      <c r="AQ2443">
        <v>0</v>
      </c>
    </row>
    <row r="2444" spans="1:43" x14ac:dyDescent="0.2">
      <c r="A2444" t="s">
        <v>381</v>
      </c>
      <c r="B2444" s="3">
        <v>44351</v>
      </c>
      <c r="C2444">
        <v>125</v>
      </c>
      <c r="D2444" t="s">
        <v>387</v>
      </c>
      <c r="E2444" t="s">
        <v>127</v>
      </c>
      <c r="F2444" s="9" t="s">
        <v>128</v>
      </c>
      <c r="G2444" t="s">
        <v>26</v>
      </c>
      <c r="H2444" t="s">
        <v>85</v>
      </c>
      <c r="I2444" t="s">
        <v>86</v>
      </c>
      <c r="J2444" t="s">
        <v>53</v>
      </c>
      <c r="K2444" t="s">
        <v>54</v>
      </c>
      <c r="L2444" t="s">
        <v>53</v>
      </c>
      <c r="M2444" t="s">
        <v>54</v>
      </c>
      <c r="N2444" t="s">
        <v>85</v>
      </c>
      <c r="O2444" t="s">
        <v>86</v>
      </c>
      <c r="P2444" t="s">
        <v>53</v>
      </c>
      <c r="Q2444" t="s">
        <v>54</v>
      </c>
      <c r="R2444" s="1">
        <v>44351.554571759261</v>
      </c>
      <c r="S2444" s="1">
        <v>44351.554571759261</v>
      </c>
      <c r="T2444">
        <v>0</v>
      </c>
      <c r="U2444">
        <v>1</v>
      </c>
      <c r="V2444" s="2">
        <v>0</v>
      </c>
      <c r="W2444">
        <v>0</v>
      </c>
      <c r="X2444" t="s">
        <v>44</v>
      </c>
      <c r="Y2444">
        <v>0</v>
      </c>
      <c r="Z2444" t="s">
        <v>31</v>
      </c>
      <c r="AA2444">
        <v>0</v>
      </c>
      <c r="AB2444" t="s">
        <v>31</v>
      </c>
      <c r="AC2444">
        <v>0</v>
      </c>
      <c r="AD2444" t="s">
        <v>31</v>
      </c>
      <c r="AE2444">
        <v>0</v>
      </c>
      <c r="AF2444" t="s">
        <v>31</v>
      </c>
      <c r="AG2444">
        <v>0</v>
      </c>
      <c r="AH2444" t="s">
        <v>31</v>
      </c>
      <c r="AI2444">
        <v>0</v>
      </c>
      <c r="AJ2444" t="s">
        <v>31</v>
      </c>
      <c r="AK2444">
        <v>0</v>
      </c>
      <c r="AL2444" t="s">
        <v>31</v>
      </c>
      <c r="AM2444">
        <v>0</v>
      </c>
      <c r="AN2444" t="s">
        <v>31</v>
      </c>
      <c r="AO2444">
        <v>0</v>
      </c>
      <c r="AP2444" t="s">
        <v>31</v>
      </c>
      <c r="AQ2444">
        <v>0</v>
      </c>
    </row>
    <row r="2445" spans="1:43" x14ac:dyDescent="0.2">
      <c r="A2445" t="s">
        <v>381</v>
      </c>
      <c r="B2445" s="3">
        <v>44354</v>
      </c>
      <c r="C2445">
        <v>127</v>
      </c>
      <c r="D2445" t="s">
        <v>383</v>
      </c>
      <c r="E2445" t="s">
        <v>127</v>
      </c>
      <c r="F2445" s="9" t="s">
        <v>128</v>
      </c>
      <c r="G2445" t="s">
        <v>26</v>
      </c>
      <c r="H2445" t="s">
        <v>85</v>
      </c>
      <c r="I2445" t="s">
        <v>86</v>
      </c>
      <c r="J2445" t="s">
        <v>53</v>
      </c>
      <c r="K2445" t="s">
        <v>54</v>
      </c>
      <c r="L2445" t="s">
        <v>53</v>
      </c>
      <c r="M2445" t="s">
        <v>54</v>
      </c>
      <c r="N2445" t="s">
        <v>85</v>
      </c>
      <c r="O2445" t="s">
        <v>86</v>
      </c>
      <c r="P2445" t="s">
        <v>53</v>
      </c>
      <c r="Q2445" t="s">
        <v>54</v>
      </c>
      <c r="R2445" s="1">
        <v>44354.637708333335</v>
      </c>
      <c r="S2445" s="1">
        <v>44354.637708333335</v>
      </c>
      <c r="T2445">
        <v>0</v>
      </c>
      <c r="U2445">
        <v>1</v>
      </c>
      <c r="V2445" s="2">
        <v>0</v>
      </c>
      <c r="W2445">
        <v>0</v>
      </c>
      <c r="X2445" t="s">
        <v>44</v>
      </c>
      <c r="Y2445">
        <v>0</v>
      </c>
      <c r="Z2445" t="s">
        <v>31</v>
      </c>
      <c r="AA2445">
        <v>0</v>
      </c>
      <c r="AB2445" t="s">
        <v>31</v>
      </c>
      <c r="AC2445">
        <v>0</v>
      </c>
      <c r="AD2445" t="s">
        <v>31</v>
      </c>
      <c r="AE2445">
        <v>0</v>
      </c>
      <c r="AF2445" t="s">
        <v>31</v>
      </c>
      <c r="AG2445">
        <v>0</v>
      </c>
      <c r="AH2445" t="s">
        <v>31</v>
      </c>
      <c r="AI2445">
        <v>0</v>
      </c>
      <c r="AJ2445" t="s">
        <v>31</v>
      </c>
      <c r="AK2445">
        <v>0</v>
      </c>
      <c r="AL2445" t="s">
        <v>31</v>
      </c>
      <c r="AM2445">
        <v>0</v>
      </c>
      <c r="AN2445" t="s">
        <v>31</v>
      </c>
      <c r="AO2445">
        <v>0</v>
      </c>
      <c r="AP2445" t="s">
        <v>31</v>
      </c>
      <c r="AQ2445">
        <v>0</v>
      </c>
    </row>
    <row r="2446" spans="1:43" x14ac:dyDescent="0.2">
      <c r="A2446" t="s">
        <v>381</v>
      </c>
      <c r="B2446" s="3">
        <v>44357</v>
      </c>
      <c r="C2446">
        <v>132</v>
      </c>
      <c r="D2446" t="s">
        <v>399</v>
      </c>
      <c r="E2446" t="s">
        <v>127</v>
      </c>
      <c r="F2446" s="9" t="s">
        <v>128</v>
      </c>
      <c r="G2446" t="s">
        <v>26</v>
      </c>
      <c r="H2446" t="s">
        <v>85</v>
      </c>
      <c r="I2446" t="s">
        <v>86</v>
      </c>
      <c r="J2446" t="s">
        <v>53</v>
      </c>
      <c r="K2446" t="s">
        <v>54</v>
      </c>
      <c r="L2446" t="s">
        <v>53</v>
      </c>
      <c r="M2446" t="s">
        <v>54</v>
      </c>
      <c r="N2446" t="s">
        <v>85</v>
      </c>
      <c r="O2446" t="s">
        <v>86</v>
      </c>
      <c r="P2446" t="s">
        <v>53</v>
      </c>
      <c r="Q2446" t="s">
        <v>54</v>
      </c>
      <c r="R2446" s="1">
        <v>44357.43241898148</v>
      </c>
      <c r="S2446" s="1">
        <v>44357.43241898148</v>
      </c>
      <c r="T2446">
        <v>0</v>
      </c>
      <c r="U2446">
        <v>1</v>
      </c>
      <c r="V2446" s="2">
        <v>0</v>
      </c>
      <c r="W2446">
        <v>0</v>
      </c>
      <c r="X2446" t="s">
        <v>44</v>
      </c>
      <c r="Y2446">
        <v>0</v>
      </c>
      <c r="Z2446" t="s">
        <v>31</v>
      </c>
      <c r="AA2446">
        <v>0</v>
      </c>
      <c r="AB2446" t="s">
        <v>31</v>
      </c>
      <c r="AC2446">
        <v>0</v>
      </c>
      <c r="AD2446" t="s">
        <v>31</v>
      </c>
      <c r="AE2446">
        <v>0</v>
      </c>
      <c r="AF2446" t="s">
        <v>31</v>
      </c>
      <c r="AG2446">
        <v>0</v>
      </c>
      <c r="AH2446" t="s">
        <v>31</v>
      </c>
      <c r="AI2446">
        <v>0</v>
      </c>
      <c r="AJ2446" t="s">
        <v>31</v>
      </c>
      <c r="AK2446">
        <v>0</v>
      </c>
      <c r="AL2446" t="s">
        <v>31</v>
      </c>
      <c r="AM2446">
        <v>0</v>
      </c>
      <c r="AN2446" t="s">
        <v>31</v>
      </c>
      <c r="AO2446">
        <v>0</v>
      </c>
      <c r="AP2446" t="s">
        <v>31</v>
      </c>
      <c r="AQ2446">
        <v>0</v>
      </c>
    </row>
    <row r="2447" spans="1:43" x14ac:dyDescent="0.2">
      <c r="A2447" t="s">
        <v>381</v>
      </c>
      <c r="B2447" s="3">
        <v>44361</v>
      </c>
      <c r="C2447">
        <v>135</v>
      </c>
      <c r="D2447" t="s">
        <v>390</v>
      </c>
      <c r="E2447" t="s">
        <v>127</v>
      </c>
      <c r="F2447" s="9" t="s">
        <v>128</v>
      </c>
      <c r="G2447" t="s">
        <v>26</v>
      </c>
      <c r="H2447" t="s">
        <v>85</v>
      </c>
      <c r="I2447" t="s">
        <v>86</v>
      </c>
      <c r="J2447" t="s">
        <v>53</v>
      </c>
      <c r="K2447" t="s">
        <v>54</v>
      </c>
      <c r="L2447" t="s">
        <v>53</v>
      </c>
      <c r="M2447" t="s">
        <v>54</v>
      </c>
      <c r="N2447" t="s">
        <v>85</v>
      </c>
      <c r="O2447" t="s">
        <v>86</v>
      </c>
      <c r="P2447" t="s">
        <v>53</v>
      </c>
      <c r="Q2447" t="s">
        <v>54</v>
      </c>
      <c r="R2447" s="1">
        <v>44361.412604166668</v>
      </c>
      <c r="S2447" s="1">
        <v>44361.412604166668</v>
      </c>
      <c r="T2447">
        <v>0</v>
      </c>
      <c r="U2447">
        <v>1</v>
      </c>
      <c r="V2447" s="2">
        <v>0</v>
      </c>
      <c r="W2447">
        <v>0</v>
      </c>
      <c r="X2447" t="s">
        <v>44</v>
      </c>
      <c r="Y2447">
        <v>0</v>
      </c>
      <c r="Z2447" t="s">
        <v>31</v>
      </c>
      <c r="AA2447">
        <v>0</v>
      </c>
      <c r="AB2447" t="s">
        <v>31</v>
      </c>
      <c r="AC2447">
        <v>0</v>
      </c>
      <c r="AD2447" t="s">
        <v>31</v>
      </c>
      <c r="AE2447">
        <v>0</v>
      </c>
      <c r="AF2447" t="s">
        <v>31</v>
      </c>
      <c r="AG2447">
        <v>0</v>
      </c>
      <c r="AH2447" t="s">
        <v>31</v>
      </c>
      <c r="AI2447">
        <v>0</v>
      </c>
      <c r="AJ2447" t="s">
        <v>31</v>
      </c>
      <c r="AK2447">
        <v>0</v>
      </c>
      <c r="AL2447" t="s">
        <v>31</v>
      </c>
      <c r="AM2447">
        <v>0</v>
      </c>
      <c r="AN2447" t="s">
        <v>31</v>
      </c>
      <c r="AO2447">
        <v>0</v>
      </c>
      <c r="AP2447" t="s">
        <v>31</v>
      </c>
      <c r="AQ2447">
        <v>0</v>
      </c>
    </row>
    <row r="2448" spans="1:43" x14ac:dyDescent="0.2">
      <c r="A2448" t="s">
        <v>381</v>
      </c>
      <c r="B2448" s="3">
        <v>44365</v>
      </c>
      <c r="C2448">
        <v>140</v>
      </c>
      <c r="D2448" t="s">
        <v>399</v>
      </c>
      <c r="E2448" t="s">
        <v>127</v>
      </c>
      <c r="F2448" s="9" t="s">
        <v>128</v>
      </c>
      <c r="G2448" t="s">
        <v>26</v>
      </c>
      <c r="H2448" t="s">
        <v>85</v>
      </c>
      <c r="I2448" t="s">
        <v>86</v>
      </c>
      <c r="J2448" t="s">
        <v>53</v>
      </c>
      <c r="K2448" t="s">
        <v>54</v>
      </c>
      <c r="L2448" t="s">
        <v>53</v>
      </c>
      <c r="M2448" t="s">
        <v>54</v>
      </c>
      <c r="N2448" t="s">
        <v>85</v>
      </c>
      <c r="O2448" t="s">
        <v>86</v>
      </c>
      <c r="P2448" t="s">
        <v>53</v>
      </c>
      <c r="Q2448" t="s">
        <v>54</v>
      </c>
      <c r="R2448" s="1">
        <v>44365.5856712963</v>
      </c>
      <c r="S2448" s="1">
        <v>44365.5856712963</v>
      </c>
      <c r="T2448">
        <v>0</v>
      </c>
      <c r="U2448">
        <v>1</v>
      </c>
      <c r="V2448" s="2">
        <v>0</v>
      </c>
      <c r="W2448">
        <v>0</v>
      </c>
      <c r="X2448" t="s">
        <v>44</v>
      </c>
      <c r="Y2448">
        <v>0</v>
      </c>
      <c r="Z2448" t="s">
        <v>31</v>
      </c>
      <c r="AA2448">
        <v>0</v>
      </c>
      <c r="AB2448" t="s">
        <v>31</v>
      </c>
      <c r="AC2448">
        <v>0</v>
      </c>
      <c r="AD2448" t="s">
        <v>31</v>
      </c>
      <c r="AE2448">
        <v>0</v>
      </c>
      <c r="AF2448" t="s">
        <v>31</v>
      </c>
      <c r="AG2448">
        <v>0</v>
      </c>
      <c r="AH2448" t="s">
        <v>31</v>
      </c>
      <c r="AI2448">
        <v>0</v>
      </c>
      <c r="AJ2448" t="s">
        <v>31</v>
      </c>
      <c r="AK2448">
        <v>0</v>
      </c>
      <c r="AL2448" t="s">
        <v>31</v>
      </c>
      <c r="AM2448">
        <v>0</v>
      </c>
      <c r="AN2448" t="s">
        <v>31</v>
      </c>
      <c r="AO2448">
        <v>0</v>
      </c>
      <c r="AP2448" t="s">
        <v>31</v>
      </c>
      <c r="AQ2448">
        <v>0</v>
      </c>
    </row>
    <row r="2449" spans="1:43" x14ac:dyDescent="0.2">
      <c r="A2449" t="s">
        <v>381</v>
      </c>
      <c r="B2449" s="3">
        <v>44375</v>
      </c>
      <c r="C2449">
        <v>141</v>
      </c>
      <c r="D2449" t="s">
        <v>396</v>
      </c>
      <c r="E2449" t="s">
        <v>127</v>
      </c>
      <c r="F2449" s="9" t="s">
        <v>128</v>
      </c>
      <c r="G2449" t="s">
        <v>26</v>
      </c>
      <c r="H2449" t="s">
        <v>85</v>
      </c>
      <c r="I2449" t="s">
        <v>86</v>
      </c>
      <c r="J2449" t="s">
        <v>53</v>
      </c>
      <c r="K2449" t="s">
        <v>54</v>
      </c>
      <c r="L2449" t="s">
        <v>53</v>
      </c>
      <c r="M2449" t="s">
        <v>54</v>
      </c>
      <c r="N2449" t="s">
        <v>85</v>
      </c>
      <c r="O2449" t="s">
        <v>86</v>
      </c>
      <c r="P2449" t="s">
        <v>53</v>
      </c>
      <c r="Q2449" t="s">
        <v>54</v>
      </c>
      <c r="R2449" s="1">
        <v>44375.60560185185</v>
      </c>
      <c r="S2449" s="1">
        <v>44375.60560185185</v>
      </c>
      <c r="T2449">
        <v>0</v>
      </c>
      <c r="U2449">
        <v>1</v>
      </c>
      <c r="V2449" s="2">
        <v>0</v>
      </c>
      <c r="W2449">
        <v>0</v>
      </c>
      <c r="X2449" t="s">
        <v>44</v>
      </c>
      <c r="Y2449">
        <v>0</v>
      </c>
      <c r="Z2449" t="s">
        <v>31</v>
      </c>
      <c r="AA2449">
        <v>0</v>
      </c>
      <c r="AB2449" t="s">
        <v>31</v>
      </c>
      <c r="AC2449">
        <v>0</v>
      </c>
      <c r="AD2449" t="s">
        <v>31</v>
      </c>
      <c r="AE2449">
        <v>0</v>
      </c>
      <c r="AF2449" t="s">
        <v>31</v>
      </c>
      <c r="AG2449">
        <v>0</v>
      </c>
      <c r="AH2449" t="s">
        <v>31</v>
      </c>
      <c r="AI2449">
        <v>0</v>
      </c>
      <c r="AJ2449" t="s">
        <v>31</v>
      </c>
      <c r="AK2449">
        <v>0</v>
      </c>
      <c r="AL2449" t="s">
        <v>31</v>
      </c>
      <c r="AM2449">
        <v>0</v>
      </c>
      <c r="AN2449" t="s">
        <v>31</v>
      </c>
      <c r="AO2449">
        <v>0</v>
      </c>
      <c r="AP2449" t="s">
        <v>31</v>
      </c>
      <c r="AQ2449">
        <v>0</v>
      </c>
    </row>
    <row r="2450" spans="1:43" x14ac:dyDescent="0.2">
      <c r="A2450" t="s">
        <v>381</v>
      </c>
      <c r="B2450" s="3">
        <v>44238</v>
      </c>
      <c r="C2450">
        <v>5</v>
      </c>
      <c r="D2450" t="s">
        <v>382</v>
      </c>
      <c r="E2450" t="s">
        <v>127</v>
      </c>
      <c r="F2450" s="9" t="s">
        <v>143</v>
      </c>
      <c r="G2450" t="s">
        <v>26</v>
      </c>
      <c r="H2450" t="s">
        <v>85</v>
      </c>
      <c r="I2450" t="s">
        <v>86</v>
      </c>
      <c r="J2450" t="s">
        <v>53</v>
      </c>
      <c r="K2450" t="s">
        <v>54</v>
      </c>
      <c r="L2450" t="s">
        <v>53</v>
      </c>
      <c r="M2450" t="s">
        <v>54</v>
      </c>
      <c r="N2450" t="s">
        <v>85</v>
      </c>
      <c r="O2450" t="s">
        <v>86</v>
      </c>
      <c r="P2450" t="s">
        <v>53</v>
      </c>
      <c r="Q2450" t="s">
        <v>54</v>
      </c>
      <c r="R2450" s="1">
        <v>44238.451261574075</v>
      </c>
      <c r="S2450" s="1">
        <v>44238.451261574075</v>
      </c>
      <c r="T2450">
        <v>0</v>
      </c>
      <c r="U2450">
        <v>1</v>
      </c>
      <c r="V2450" s="2">
        <v>0</v>
      </c>
      <c r="W2450">
        <v>0</v>
      </c>
      <c r="X2450" t="s">
        <v>44</v>
      </c>
      <c r="Y2450">
        <v>0</v>
      </c>
      <c r="Z2450" t="s">
        <v>31</v>
      </c>
      <c r="AA2450">
        <v>0</v>
      </c>
      <c r="AB2450" t="s">
        <v>31</v>
      </c>
      <c r="AC2450">
        <v>0</v>
      </c>
      <c r="AD2450" t="s">
        <v>31</v>
      </c>
      <c r="AE2450">
        <v>0</v>
      </c>
      <c r="AF2450" t="s">
        <v>31</v>
      </c>
      <c r="AG2450">
        <v>0</v>
      </c>
      <c r="AH2450" t="s">
        <v>31</v>
      </c>
      <c r="AI2450">
        <v>0</v>
      </c>
      <c r="AJ2450" t="s">
        <v>31</v>
      </c>
      <c r="AK2450">
        <v>0</v>
      </c>
      <c r="AL2450" t="s">
        <v>31</v>
      </c>
      <c r="AM2450">
        <v>0</v>
      </c>
      <c r="AN2450" t="s">
        <v>31</v>
      </c>
      <c r="AO2450">
        <v>0</v>
      </c>
      <c r="AP2450" t="s">
        <v>31</v>
      </c>
      <c r="AQ2450">
        <v>0</v>
      </c>
    </row>
    <row r="2451" spans="1:43" x14ac:dyDescent="0.2">
      <c r="A2451" t="s">
        <v>381</v>
      </c>
      <c r="B2451" s="3">
        <v>44242</v>
      </c>
      <c r="C2451">
        <v>8</v>
      </c>
      <c r="D2451" t="s">
        <v>384</v>
      </c>
      <c r="E2451" t="s">
        <v>127</v>
      </c>
      <c r="F2451" s="9" t="s">
        <v>143</v>
      </c>
      <c r="G2451" t="s">
        <v>26</v>
      </c>
      <c r="H2451" t="s">
        <v>85</v>
      </c>
      <c r="I2451" t="s">
        <v>86</v>
      </c>
      <c r="J2451" t="s">
        <v>53</v>
      </c>
      <c r="K2451" t="s">
        <v>54</v>
      </c>
      <c r="L2451" t="s">
        <v>53</v>
      </c>
      <c r="M2451" t="s">
        <v>54</v>
      </c>
      <c r="N2451" t="s">
        <v>85</v>
      </c>
      <c r="O2451" t="s">
        <v>86</v>
      </c>
      <c r="P2451" t="s">
        <v>53</v>
      </c>
      <c r="Q2451" t="s">
        <v>54</v>
      </c>
      <c r="R2451" s="1">
        <v>44242.432303240741</v>
      </c>
      <c r="S2451" s="1">
        <v>44242.432303240741</v>
      </c>
      <c r="T2451">
        <v>0</v>
      </c>
      <c r="U2451">
        <v>1</v>
      </c>
      <c r="V2451" s="2">
        <v>0</v>
      </c>
      <c r="W2451">
        <v>0</v>
      </c>
      <c r="X2451" t="s">
        <v>44</v>
      </c>
      <c r="Y2451">
        <v>0</v>
      </c>
      <c r="Z2451" t="s">
        <v>31</v>
      </c>
      <c r="AA2451">
        <v>0</v>
      </c>
      <c r="AB2451" t="s">
        <v>31</v>
      </c>
      <c r="AC2451">
        <v>0</v>
      </c>
      <c r="AD2451" t="s">
        <v>31</v>
      </c>
      <c r="AE2451">
        <v>0</v>
      </c>
      <c r="AF2451" t="s">
        <v>31</v>
      </c>
      <c r="AG2451">
        <v>0</v>
      </c>
      <c r="AH2451" t="s">
        <v>31</v>
      </c>
      <c r="AI2451">
        <v>0</v>
      </c>
      <c r="AJ2451" t="s">
        <v>31</v>
      </c>
      <c r="AK2451">
        <v>0</v>
      </c>
      <c r="AL2451" t="s">
        <v>31</v>
      </c>
      <c r="AM2451">
        <v>0</v>
      </c>
      <c r="AN2451" t="s">
        <v>31</v>
      </c>
      <c r="AO2451">
        <v>0</v>
      </c>
      <c r="AP2451" t="s">
        <v>31</v>
      </c>
      <c r="AQ2451">
        <v>0</v>
      </c>
    </row>
    <row r="2452" spans="1:43" x14ac:dyDescent="0.2">
      <c r="A2452" t="s">
        <v>381</v>
      </c>
      <c r="B2452" s="3">
        <v>44243</v>
      </c>
      <c r="C2452">
        <v>9</v>
      </c>
      <c r="D2452" t="s">
        <v>382</v>
      </c>
      <c r="E2452" t="s">
        <v>127</v>
      </c>
      <c r="F2452" s="9" t="s">
        <v>143</v>
      </c>
      <c r="G2452" t="s">
        <v>26</v>
      </c>
      <c r="H2452" t="s">
        <v>85</v>
      </c>
      <c r="I2452" t="s">
        <v>86</v>
      </c>
      <c r="J2452" t="s">
        <v>53</v>
      </c>
      <c r="K2452" t="s">
        <v>54</v>
      </c>
      <c r="L2452" t="s">
        <v>53</v>
      </c>
      <c r="M2452" t="s">
        <v>54</v>
      </c>
      <c r="N2452" t="s">
        <v>85</v>
      </c>
      <c r="O2452" t="s">
        <v>86</v>
      </c>
      <c r="P2452" t="s">
        <v>53</v>
      </c>
      <c r="Q2452" t="s">
        <v>54</v>
      </c>
      <c r="R2452" s="1">
        <v>44243.433391203704</v>
      </c>
      <c r="S2452" s="1">
        <v>44243.433391203704</v>
      </c>
      <c r="T2452">
        <v>0</v>
      </c>
      <c r="U2452">
        <v>1</v>
      </c>
      <c r="V2452" s="2">
        <v>0</v>
      </c>
      <c r="W2452">
        <v>0</v>
      </c>
      <c r="X2452" t="s">
        <v>44</v>
      </c>
      <c r="Y2452">
        <v>0</v>
      </c>
      <c r="Z2452" t="s">
        <v>31</v>
      </c>
      <c r="AA2452">
        <v>0</v>
      </c>
      <c r="AB2452" t="s">
        <v>31</v>
      </c>
      <c r="AC2452">
        <v>0</v>
      </c>
      <c r="AD2452" t="s">
        <v>31</v>
      </c>
      <c r="AE2452">
        <v>0</v>
      </c>
      <c r="AF2452" t="s">
        <v>31</v>
      </c>
      <c r="AG2452">
        <v>0</v>
      </c>
      <c r="AH2452" t="s">
        <v>31</v>
      </c>
      <c r="AI2452">
        <v>0</v>
      </c>
      <c r="AJ2452" t="s">
        <v>31</v>
      </c>
      <c r="AK2452">
        <v>0</v>
      </c>
      <c r="AL2452" t="s">
        <v>31</v>
      </c>
      <c r="AM2452">
        <v>0</v>
      </c>
      <c r="AN2452" t="s">
        <v>31</v>
      </c>
      <c r="AO2452">
        <v>0</v>
      </c>
      <c r="AP2452" t="s">
        <v>31</v>
      </c>
      <c r="AQ2452">
        <v>0</v>
      </c>
    </row>
    <row r="2453" spans="1:43" x14ac:dyDescent="0.2">
      <c r="A2453" t="s">
        <v>381</v>
      </c>
      <c r="B2453" s="3">
        <v>44244</v>
      </c>
      <c r="C2453">
        <v>11</v>
      </c>
      <c r="D2453" t="s">
        <v>384</v>
      </c>
      <c r="E2453" t="s">
        <v>127</v>
      </c>
      <c r="F2453" s="9" t="s">
        <v>143</v>
      </c>
      <c r="G2453" t="s">
        <v>26</v>
      </c>
      <c r="H2453" t="s">
        <v>85</v>
      </c>
      <c r="I2453" t="s">
        <v>86</v>
      </c>
      <c r="J2453" t="s">
        <v>53</v>
      </c>
      <c r="K2453" t="s">
        <v>54</v>
      </c>
      <c r="L2453" t="s">
        <v>53</v>
      </c>
      <c r="M2453" t="s">
        <v>54</v>
      </c>
      <c r="N2453" t="s">
        <v>85</v>
      </c>
      <c r="O2453" t="s">
        <v>86</v>
      </c>
      <c r="P2453" t="s">
        <v>53</v>
      </c>
      <c r="Q2453" t="s">
        <v>54</v>
      </c>
      <c r="R2453" s="1">
        <v>44244.374479166669</v>
      </c>
      <c r="S2453" s="1">
        <v>44244.374479166669</v>
      </c>
      <c r="T2453">
        <v>0</v>
      </c>
      <c r="U2453">
        <v>1</v>
      </c>
      <c r="V2453" s="2">
        <v>0</v>
      </c>
      <c r="W2453">
        <v>0</v>
      </c>
      <c r="X2453" t="s">
        <v>44</v>
      </c>
      <c r="Y2453">
        <v>0</v>
      </c>
      <c r="Z2453" t="s">
        <v>31</v>
      </c>
      <c r="AA2453">
        <v>0</v>
      </c>
      <c r="AB2453" t="s">
        <v>31</v>
      </c>
      <c r="AC2453">
        <v>0</v>
      </c>
      <c r="AD2453" t="s">
        <v>31</v>
      </c>
      <c r="AE2453">
        <v>0</v>
      </c>
      <c r="AF2453" t="s">
        <v>31</v>
      </c>
      <c r="AG2453">
        <v>0</v>
      </c>
      <c r="AH2453" t="s">
        <v>31</v>
      </c>
      <c r="AI2453">
        <v>0</v>
      </c>
      <c r="AJ2453" t="s">
        <v>31</v>
      </c>
      <c r="AK2453">
        <v>0</v>
      </c>
      <c r="AL2453" t="s">
        <v>31</v>
      </c>
      <c r="AM2453">
        <v>0</v>
      </c>
      <c r="AN2453" t="s">
        <v>31</v>
      </c>
      <c r="AO2453">
        <v>0</v>
      </c>
      <c r="AP2453" t="s">
        <v>31</v>
      </c>
      <c r="AQ2453">
        <v>0</v>
      </c>
    </row>
    <row r="2454" spans="1:43" x14ac:dyDescent="0.2">
      <c r="A2454" t="s">
        <v>381</v>
      </c>
      <c r="B2454" s="3">
        <v>44245</v>
      </c>
      <c r="C2454">
        <v>12</v>
      </c>
      <c r="D2454" t="s">
        <v>382</v>
      </c>
      <c r="E2454" t="s">
        <v>127</v>
      </c>
      <c r="F2454" s="9" t="s">
        <v>143</v>
      </c>
      <c r="G2454" t="s">
        <v>26</v>
      </c>
      <c r="H2454" t="s">
        <v>85</v>
      </c>
      <c r="I2454" t="s">
        <v>86</v>
      </c>
      <c r="J2454" t="s">
        <v>53</v>
      </c>
      <c r="K2454" t="s">
        <v>54</v>
      </c>
      <c r="L2454" t="s">
        <v>53</v>
      </c>
      <c r="M2454" t="s">
        <v>54</v>
      </c>
      <c r="N2454" t="s">
        <v>85</v>
      </c>
      <c r="O2454" t="s">
        <v>86</v>
      </c>
      <c r="P2454" t="s">
        <v>53</v>
      </c>
      <c r="Q2454" t="s">
        <v>54</v>
      </c>
      <c r="R2454" s="1">
        <v>44245.391481481478</v>
      </c>
      <c r="S2454" s="1">
        <v>44245.455393518518</v>
      </c>
      <c r="T2454">
        <v>0</v>
      </c>
      <c r="U2454">
        <v>2</v>
      </c>
      <c r="V2454" s="2">
        <v>0</v>
      </c>
      <c r="W2454">
        <v>0</v>
      </c>
      <c r="X2454" t="s">
        <v>44</v>
      </c>
      <c r="Y2454">
        <v>0</v>
      </c>
      <c r="Z2454" t="s">
        <v>44</v>
      </c>
      <c r="AA2454">
        <v>0</v>
      </c>
      <c r="AB2454" t="s">
        <v>31</v>
      </c>
      <c r="AC2454">
        <v>0</v>
      </c>
      <c r="AD2454" t="s">
        <v>31</v>
      </c>
      <c r="AE2454">
        <v>0</v>
      </c>
      <c r="AF2454" t="s">
        <v>31</v>
      </c>
      <c r="AG2454">
        <v>0</v>
      </c>
      <c r="AH2454" t="s">
        <v>31</v>
      </c>
      <c r="AI2454">
        <v>0</v>
      </c>
      <c r="AJ2454" t="s">
        <v>31</v>
      </c>
      <c r="AK2454">
        <v>0</v>
      </c>
      <c r="AL2454" t="s">
        <v>31</v>
      </c>
      <c r="AM2454">
        <v>0</v>
      </c>
      <c r="AN2454" t="s">
        <v>31</v>
      </c>
      <c r="AO2454">
        <v>0</v>
      </c>
      <c r="AP2454" t="s">
        <v>31</v>
      </c>
      <c r="AQ2454">
        <v>0</v>
      </c>
    </row>
    <row r="2455" spans="1:43" x14ac:dyDescent="0.2">
      <c r="A2455" t="s">
        <v>381</v>
      </c>
      <c r="B2455" s="3">
        <v>44250</v>
      </c>
      <c r="C2455">
        <v>16</v>
      </c>
      <c r="D2455" t="s">
        <v>382</v>
      </c>
      <c r="E2455" t="s">
        <v>127</v>
      </c>
      <c r="F2455" s="9" t="s">
        <v>143</v>
      </c>
      <c r="G2455" t="s">
        <v>26</v>
      </c>
      <c r="H2455" t="s">
        <v>85</v>
      </c>
      <c r="I2455" t="s">
        <v>86</v>
      </c>
      <c r="J2455" t="s">
        <v>53</v>
      </c>
      <c r="K2455" t="s">
        <v>54</v>
      </c>
      <c r="L2455" t="s">
        <v>53</v>
      </c>
      <c r="M2455" t="s">
        <v>54</v>
      </c>
      <c r="N2455" t="s">
        <v>85</v>
      </c>
      <c r="O2455" t="s">
        <v>86</v>
      </c>
      <c r="P2455" t="s">
        <v>53</v>
      </c>
      <c r="Q2455" t="s">
        <v>54</v>
      </c>
      <c r="R2455" s="1">
        <v>44250.374976851854</v>
      </c>
      <c r="S2455" s="1">
        <v>44250.374976851854</v>
      </c>
      <c r="T2455">
        <v>1</v>
      </c>
      <c r="U2455">
        <v>1</v>
      </c>
      <c r="V2455" s="2">
        <v>1</v>
      </c>
      <c r="W2455">
        <v>1</v>
      </c>
      <c r="X2455" t="s">
        <v>54</v>
      </c>
      <c r="Y2455">
        <v>1</v>
      </c>
      <c r="Z2455" t="s">
        <v>31</v>
      </c>
      <c r="AA2455">
        <v>0</v>
      </c>
      <c r="AB2455" t="s">
        <v>31</v>
      </c>
      <c r="AC2455">
        <v>0</v>
      </c>
      <c r="AD2455" t="s">
        <v>31</v>
      </c>
      <c r="AE2455">
        <v>0</v>
      </c>
      <c r="AF2455" t="s">
        <v>31</v>
      </c>
      <c r="AG2455">
        <v>0</v>
      </c>
      <c r="AH2455" t="s">
        <v>31</v>
      </c>
      <c r="AI2455">
        <v>0</v>
      </c>
      <c r="AJ2455" t="s">
        <v>31</v>
      </c>
      <c r="AK2455">
        <v>0</v>
      </c>
      <c r="AL2455" t="s">
        <v>31</v>
      </c>
      <c r="AM2455">
        <v>0</v>
      </c>
      <c r="AN2455" t="s">
        <v>31</v>
      </c>
      <c r="AO2455">
        <v>0</v>
      </c>
      <c r="AP2455" t="s">
        <v>31</v>
      </c>
      <c r="AQ2455">
        <v>0</v>
      </c>
    </row>
    <row r="2456" spans="1:43" x14ac:dyDescent="0.2">
      <c r="A2456" t="s">
        <v>381</v>
      </c>
      <c r="B2456" s="3">
        <v>44251</v>
      </c>
      <c r="C2456">
        <v>18</v>
      </c>
      <c r="D2456" t="s">
        <v>384</v>
      </c>
      <c r="E2456" t="s">
        <v>127</v>
      </c>
      <c r="F2456" s="9" t="s">
        <v>143</v>
      </c>
      <c r="G2456" t="s">
        <v>26</v>
      </c>
      <c r="H2456" t="s">
        <v>85</v>
      </c>
      <c r="I2456" t="s">
        <v>86</v>
      </c>
      <c r="J2456" t="s">
        <v>53</v>
      </c>
      <c r="K2456" t="s">
        <v>54</v>
      </c>
      <c r="L2456" t="s">
        <v>53</v>
      </c>
      <c r="M2456" t="s">
        <v>54</v>
      </c>
      <c r="N2456" t="s">
        <v>85</v>
      </c>
      <c r="O2456" t="s">
        <v>86</v>
      </c>
      <c r="P2456" t="s">
        <v>53</v>
      </c>
      <c r="Q2456" t="s">
        <v>54</v>
      </c>
      <c r="R2456" s="1">
        <v>44251.378819444442</v>
      </c>
      <c r="S2456" s="1">
        <v>44251.378819444442</v>
      </c>
      <c r="T2456">
        <v>0</v>
      </c>
      <c r="U2456">
        <v>1</v>
      </c>
      <c r="V2456" s="2">
        <v>0</v>
      </c>
      <c r="W2456">
        <v>0</v>
      </c>
      <c r="X2456" t="s">
        <v>44</v>
      </c>
      <c r="Y2456">
        <v>0</v>
      </c>
      <c r="Z2456" t="s">
        <v>31</v>
      </c>
      <c r="AA2456">
        <v>0</v>
      </c>
      <c r="AB2456" t="s">
        <v>31</v>
      </c>
      <c r="AC2456">
        <v>0</v>
      </c>
      <c r="AD2456" t="s">
        <v>31</v>
      </c>
      <c r="AE2456">
        <v>0</v>
      </c>
      <c r="AF2456" t="s">
        <v>31</v>
      </c>
      <c r="AG2456">
        <v>0</v>
      </c>
      <c r="AH2456" t="s">
        <v>31</v>
      </c>
      <c r="AI2456">
        <v>0</v>
      </c>
      <c r="AJ2456" t="s">
        <v>31</v>
      </c>
      <c r="AK2456">
        <v>0</v>
      </c>
      <c r="AL2456" t="s">
        <v>31</v>
      </c>
      <c r="AM2456">
        <v>0</v>
      </c>
      <c r="AN2456" t="s">
        <v>31</v>
      </c>
      <c r="AO2456">
        <v>0</v>
      </c>
      <c r="AP2456" t="s">
        <v>31</v>
      </c>
      <c r="AQ2456">
        <v>0</v>
      </c>
    </row>
    <row r="2457" spans="1:43" x14ac:dyDescent="0.2">
      <c r="A2457" t="s">
        <v>381</v>
      </c>
      <c r="B2457" s="3">
        <v>44252</v>
      </c>
      <c r="C2457">
        <v>19</v>
      </c>
      <c r="D2457" t="s">
        <v>382</v>
      </c>
      <c r="E2457" t="s">
        <v>127</v>
      </c>
      <c r="F2457" s="9" t="s">
        <v>143</v>
      </c>
      <c r="G2457" t="s">
        <v>26</v>
      </c>
      <c r="H2457" t="s">
        <v>85</v>
      </c>
      <c r="I2457" t="s">
        <v>86</v>
      </c>
      <c r="J2457" t="s">
        <v>53</v>
      </c>
      <c r="K2457" t="s">
        <v>54</v>
      </c>
      <c r="L2457" t="s">
        <v>53</v>
      </c>
      <c r="M2457" t="s">
        <v>54</v>
      </c>
      <c r="N2457" t="s">
        <v>85</v>
      </c>
      <c r="O2457" t="s">
        <v>86</v>
      </c>
      <c r="P2457" t="s">
        <v>53</v>
      </c>
      <c r="Q2457" t="s">
        <v>54</v>
      </c>
      <c r="R2457" s="1">
        <v>44252.382361111115</v>
      </c>
      <c r="S2457" s="1">
        <v>44252.43105324074</v>
      </c>
      <c r="T2457">
        <v>0</v>
      </c>
      <c r="U2457">
        <v>2</v>
      </c>
      <c r="V2457" s="2">
        <v>0</v>
      </c>
      <c r="W2457">
        <v>0</v>
      </c>
      <c r="X2457" t="s">
        <v>44</v>
      </c>
      <c r="Y2457">
        <v>0</v>
      </c>
      <c r="Z2457" t="s">
        <v>44</v>
      </c>
      <c r="AA2457">
        <v>0</v>
      </c>
      <c r="AB2457" t="s">
        <v>31</v>
      </c>
      <c r="AC2457">
        <v>0</v>
      </c>
      <c r="AD2457" t="s">
        <v>31</v>
      </c>
      <c r="AE2457">
        <v>0</v>
      </c>
      <c r="AF2457" t="s">
        <v>31</v>
      </c>
      <c r="AG2457">
        <v>0</v>
      </c>
      <c r="AH2457" t="s">
        <v>31</v>
      </c>
      <c r="AI2457">
        <v>0</v>
      </c>
      <c r="AJ2457" t="s">
        <v>31</v>
      </c>
      <c r="AK2457">
        <v>0</v>
      </c>
      <c r="AL2457" t="s">
        <v>31</v>
      </c>
      <c r="AM2457">
        <v>0</v>
      </c>
      <c r="AN2457" t="s">
        <v>31</v>
      </c>
      <c r="AO2457">
        <v>0</v>
      </c>
      <c r="AP2457" t="s">
        <v>31</v>
      </c>
      <c r="AQ2457">
        <v>0</v>
      </c>
    </row>
    <row r="2458" spans="1:43" x14ac:dyDescent="0.2">
      <c r="A2458" t="s">
        <v>381</v>
      </c>
      <c r="B2458" s="3">
        <v>44253</v>
      </c>
      <c r="C2458">
        <v>21</v>
      </c>
      <c r="D2458" t="s">
        <v>384</v>
      </c>
      <c r="E2458" t="s">
        <v>127</v>
      </c>
      <c r="F2458" s="9" t="s">
        <v>143</v>
      </c>
      <c r="G2458" t="s">
        <v>26</v>
      </c>
      <c r="H2458" t="s">
        <v>85</v>
      </c>
      <c r="I2458" t="s">
        <v>86</v>
      </c>
      <c r="J2458" t="s">
        <v>53</v>
      </c>
      <c r="K2458" t="s">
        <v>54</v>
      </c>
      <c r="L2458" t="s">
        <v>53</v>
      </c>
      <c r="M2458" t="s">
        <v>54</v>
      </c>
      <c r="N2458" t="s">
        <v>85</v>
      </c>
      <c r="O2458" t="s">
        <v>86</v>
      </c>
      <c r="P2458" t="s">
        <v>53</v>
      </c>
      <c r="Q2458" t="s">
        <v>54</v>
      </c>
      <c r="R2458" s="1">
        <v>44253.385196759256</v>
      </c>
      <c r="S2458" s="1">
        <v>44253.385196759256</v>
      </c>
      <c r="T2458">
        <v>1</v>
      </c>
      <c r="U2458">
        <v>1</v>
      </c>
      <c r="V2458" s="2">
        <v>1</v>
      </c>
      <c r="W2458">
        <v>1</v>
      </c>
      <c r="X2458" t="s">
        <v>54</v>
      </c>
      <c r="Y2458">
        <v>1</v>
      </c>
      <c r="Z2458" t="s">
        <v>31</v>
      </c>
      <c r="AA2458">
        <v>0</v>
      </c>
      <c r="AB2458" t="s">
        <v>31</v>
      </c>
      <c r="AC2458">
        <v>0</v>
      </c>
      <c r="AD2458" t="s">
        <v>31</v>
      </c>
      <c r="AE2458">
        <v>0</v>
      </c>
      <c r="AF2458" t="s">
        <v>31</v>
      </c>
      <c r="AG2458">
        <v>0</v>
      </c>
      <c r="AH2458" t="s">
        <v>31</v>
      </c>
      <c r="AI2458">
        <v>0</v>
      </c>
      <c r="AJ2458" t="s">
        <v>31</v>
      </c>
      <c r="AK2458">
        <v>0</v>
      </c>
      <c r="AL2458" t="s">
        <v>31</v>
      </c>
      <c r="AM2458">
        <v>0</v>
      </c>
      <c r="AN2458" t="s">
        <v>31</v>
      </c>
      <c r="AO2458">
        <v>0</v>
      </c>
      <c r="AP2458" t="s">
        <v>31</v>
      </c>
      <c r="AQ2458">
        <v>0</v>
      </c>
    </row>
    <row r="2459" spans="1:43" x14ac:dyDescent="0.2">
      <c r="A2459" t="s">
        <v>381</v>
      </c>
      <c r="B2459" s="3">
        <v>44257</v>
      </c>
      <c r="C2459">
        <v>23</v>
      </c>
      <c r="D2459" t="s">
        <v>382</v>
      </c>
      <c r="E2459" t="s">
        <v>127</v>
      </c>
      <c r="F2459" s="9" t="s">
        <v>143</v>
      </c>
      <c r="G2459" t="s">
        <v>26</v>
      </c>
      <c r="H2459" t="s">
        <v>85</v>
      </c>
      <c r="I2459" t="s">
        <v>86</v>
      </c>
      <c r="J2459" t="s">
        <v>53</v>
      </c>
      <c r="K2459" t="s">
        <v>54</v>
      </c>
      <c r="L2459" t="s">
        <v>53</v>
      </c>
      <c r="M2459" t="s">
        <v>54</v>
      </c>
      <c r="N2459" t="s">
        <v>85</v>
      </c>
      <c r="O2459" t="s">
        <v>86</v>
      </c>
      <c r="P2459" t="s">
        <v>53</v>
      </c>
      <c r="Q2459" t="s">
        <v>54</v>
      </c>
      <c r="R2459" s="1">
        <v>44257.407557870371</v>
      </c>
      <c r="S2459" s="1">
        <v>44257.407557870371</v>
      </c>
      <c r="T2459">
        <v>1</v>
      </c>
      <c r="U2459">
        <v>1</v>
      </c>
      <c r="V2459" s="2">
        <v>1</v>
      </c>
      <c r="W2459">
        <v>1</v>
      </c>
      <c r="X2459" t="s">
        <v>54</v>
      </c>
      <c r="Y2459">
        <v>1</v>
      </c>
      <c r="Z2459" t="s">
        <v>31</v>
      </c>
      <c r="AA2459">
        <v>0</v>
      </c>
      <c r="AB2459" t="s">
        <v>31</v>
      </c>
      <c r="AC2459">
        <v>0</v>
      </c>
      <c r="AD2459" t="s">
        <v>31</v>
      </c>
      <c r="AE2459">
        <v>0</v>
      </c>
      <c r="AF2459" t="s">
        <v>31</v>
      </c>
      <c r="AG2459">
        <v>0</v>
      </c>
      <c r="AH2459" t="s">
        <v>31</v>
      </c>
      <c r="AI2459">
        <v>0</v>
      </c>
      <c r="AJ2459" t="s">
        <v>31</v>
      </c>
      <c r="AK2459">
        <v>0</v>
      </c>
      <c r="AL2459" t="s">
        <v>31</v>
      </c>
      <c r="AM2459">
        <v>0</v>
      </c>
      <c r="AN2459" t="s">
        <v>31</v>
      </c>
      <c r="AO2459">
        <v>0</v>
      </c>
      <c r="AP2459" t="s">
        <v>31</v>
      </c>
      <c r="AQ2459">
        <v>0</v>
      </c>
    </row>
    <row r="2460" spans="1:43" x14ac:dyDescent="0.2">
      <c r="A2460" t="s">
        <v>381</v>
      </c>
      <c r="B2460" s="3">
        <v>44258</v>
      </c>
      <c r="C2460">
        <v>25</v>
      </c>
      <c r="D2460" t="s">
        <v>384</v>
      </c>
      <c r="E2460" t="s">
        <v>127</v>
      </c>
      <c r="F2460" s="9" t="s">
        <v>143</v>
      </c>
      <c r="G2460" t="s">
        <v>26</v>
      </c>
      <c r="H2460" t="s">
        <v>85</v>
      </c>
      <c r="I2460" t="s">
        <v>86</v>
      </c>
      <c r="J2460" t="s">
        <v>53</v>
      </c>
      <c r="K2460" t="s">
        <v>54</v>
      </c>
      <c r="L2460" t="s">
        <v>53</v>
      </c>
      <c r="M2460" t="s">
        <v>54</v>
      </c>
      <c r="N2460" t="s">
        <v>85</v>
      </c>
      <c r="O2460" t="s">
        <v>86</v>
      </c>
      <c r="P2460" t="s">
        <v>53</v>
      </c>
      <c r="Q2460" t="s">
        <v>54</v>
      </c>
      <c r="R2460" s="1">
        <v>44258.39571759259</v>
      </c>
      <c r="S2460" s="1">
        <v>44258.458483796298</v>
      </c>
      <c r="T2460">
        <v>0</v>
      </c>
      <c r="U2460">
        <v>2</v>
      </c>
      <c r="V2460" s="2">
        <v>0</v>
      </c>
      <c r="W2460">
        <v>0</v>
      </c>
      <c r="X2460" t="s">
        <v>44</v>
      </c>
      <c r="Y2460">
        <v>0</v>
      </c>
      <c r="Z2460" t="s">
        <v>44</v>
      </c>
      <c r="AA2460">
        <v>0</v>
      </c>
      <c r="AB2460" t="s">
        <v>31</v>
      </c>
      <c r="AC2460">
        <v>0</v>
      </c>
      <c r="AD2460" t="s">
        <v>31</v>
      </c>
      <c r="AE2460">
        <v>0</v>
      </c>
      <c r="AF2460" t="s">
        <v>31</v>
      </c>
      <c r="AG2460">
        <v>0</v>
      </c>
      <c r="AH2460" t="s">
        <v>31</v>
      </c>
      <c r="AI2460">
        <v>0</v>
      </c>
      <c r="AJ2460" t="s">
        <v>31</v>
      </c>
      <c r="AK2460">
        <v>0</v>
      </c>
      <c r="AL2460" t="s">
        <v>31</v>
      </c>
      <c r="AM2460">
        <v>0</v>
      </c>
      <c r="AN2460" t="s">
        <v>31</v>
      </c>
      <c r="AO2460">
        <v>0</v>
      </c>
      <c r="AP2460" t="s">
        <v>31</v>
      </c>
      <c r="AQ2460">
        <v>0</v>
      </c>
    </row>
    <row r="2461" spans="1:43" x14ac:dyDescent="0.2">
      <c r="A2461" t="s">
        <v>381</v>
      </c>
      <c r="B2461" s="3">
        <v>44259</v>
      </c>
      <c r="C2461">
        <v>26</v>
      </c>
      <c r="D2461" t="s">
        <v>382</v>
      </c>
      <c r="E2461" t="s">
        <v>127</v>
      </c>
      <c r="F2461" s="9" t="s">
        <v>143</v>
      </c>
      <c r="G2461" t="s">
        <v>26</v>
      </c>
      <c r="H2461" t="s">
        <v>85</v>
      </c>
      <c r="I2461" t="s">
        <v>86</v>
      </c>
      <c r="J2461" t="s">
        <v>53</v>
      </c>
      <c r="K2461" t="s">
        <v>54</v>
      </c>
      <c r="L2461" t="s">
        <v>53</v>
      </c>
      <c r="M2461" t="s">
        <v>54</v>
      </c>
      <c r="N2461" t="s">
        <v>85</v>
      </c>
      <c r="O2461" t="s">
        <v>86</v>
      </c>
      <c r="P2461" t="s">
        <v>53</v>
      </c>
      <c r="Q2461" t="s">
        <v>54</v>
      </c>
      <c r="R2461" s="1">
        <v>44259.389004629629</v>
      </c>
      <c r="S2461" s="1">
        <v>44259.42597222222</v>
      </c>
      <c r="T2461">
        <v>0</v>
      </c>
      <c r="U2461">
        <v>2</v>
      </c>
      <c r="V2461" s="2">
        <v>0</v>
      </c>
      <c r="W2461">
        <v>0</v>
      </c>
      <c r="X2461" t="s">
        <v>44</v>
      </c>
      <c r="Y2461">
        <v>0</v>
      </c>
      <c r="Z2461" t="s">
        <v>44</v>
      </c>
      <c r="AA2461">
        <v>0</v>
      </c>
      <c r="AB2461" t="s">
        <v>31</v>
      </c>
      <c r="AC2461">
        <v>0</v>
      </c>
      <c r="AD2461" t="s">
        <v>31</v>
      </c>
      <c r="AE2461">
        <v>0</v>
      </c>
      <c r="AF2461" t="s">
        <v>31</v>
      </c>
      <c r="AG2461">
        <v>0</v>
      </c>
      <c r="AH2461" t="s">
        <v>31</v>
      </c>
      <c r="AI2461">
        <v>0</v>
      </c>
      <c r="AJ2461" t="s">
        <v>31</v>
      </c>
      <c r="AK2461">
        <v>0</v>
      </c>
      <c r="AL2461" t="s">
        <v>31</v>
      </c>
      <c r="AM2461">
        <v>0</v>
      </c>
      <c r="AN2461" t="s">
        <v>31</v>
      </c>
      <c r="AO2461">
        <v>0</v>
      </c>
      <c r="AP2461" t="s">
        <v>31</v>
      </c>
      <c r="AQ2461">
        <v>0</v>
      </c>
    </row>
    <row r="2462" spans="1:43" x14ac:dyDescent="0.2">
      <c r="A2462" t="s">
        <v>381</v>
      </c>
      <c r="B2462" s="3">
        <v>44260</v>
      </c>
      <c r="C2462">
        <v>28</v>
      </c>
      <c r="D2462" t="s">
        <v>384</v>
      </c>
      <c r="E2462" t="s">
        <v>127</v>
      </c>
      <c r="F2462" s="9" t="s">
        <v>143</v>
      </c>
      <c r="G2462" t="s">
        <v>26</v>
      </c>
      <c r="H2462" t="s">
        <v>85</v>
      </c>
      <c r="I2462" t="s">
        <v>86</v>
      </c>
      <c r="J2462" t="s">
        <v>53</v>
      </c>
      <c r="K2462" t="s">
        <v>54</v>
      </c>
      <c r="L2462" t="s">
        <v>53</v>
      </c>
      <c r="M2462" t="s">
        <v>54</v>
      </c>
      <c r="N2462" t="s">
        <v>85</v>
      </c>
      <c r="O2462" t="s">
        <v>86</v>
      </c>
      <c r="P2462" t="s">
        <v>53</v>
      </c>
      <c r="Q2462" t="s">
        <v>54</v>
      </c>
      <c r="R2462" s="1">
        <v>44260.387627314813</v>
      </c>
      <c r="S2462" s="1">
        <v>44260.387627314813</v>
      </c>
      <c r="T2462">
        <v>0</v>
      </c>
      <c r="U2462">
        <v>1</v>
      </c>
      <c r="V2462" s="2">
        <v>0</v>
      </c>
      <c r="W2462">
        <v>0</v>
      </c>
      <c r="X2462" t="s">
        <v>44</v>
      </c>
      <c r="Y2462">
        <v>0</v>
      </c>
      <c r="Z2462" t="s">
        <v>31</v>
      </c>
      <c r="AA2462">
        <v>0</v>
      </c>
      <c r="AB2462" t="s">
        <v>31</v>
      </c>
      <c r="AC2462">
        <v>0</v>
      </c>
      <c r="AD2462" t="s">
        <v>31</v>
      </c>
      <c r="AE2462">
        <v>0</v>
      </c>
      <c r="AF2462" t="s">
        <v>31</v>
      </c>
      <c r="AG2462">
        <v>0</v>
      </c>
      <c r="AH2462" t="s">
        <v>31</v>
      </c>
      <c r="AI2462">
        <v>0</v>
      </c>
      <c r="AJ2462" t="s">
        <v>31</v>
      </c>
      <c r="AK2462">
        <v>0</v>
      </c>
      <c r="AL2462" t="s">
        <v>31</v>
      </c>
      <c r="AM2462">
        <v>0</v>
      </c>
      <c r="AN2462" t="s">
        <v>31</v>
      </c>
      <c r="AO2462">
        <v>0</v>
      </c>
      <c r="AP2462" t="s">
        <v>31</v>
      </c>
      <c r="AQ2462">
        <v>0</v>
      </c>
    </row>
    <row r="2463" spans="1:43" x14ac:dyDescent="0.2">
      <c r="A2463" t="s">
        <v>381</v>
      </c>
      <c r="B2463" s="3">
        <v>44263</v>
      </c>
      <c r="C2463">
        <v>29</v>
      </c>
      <c r="D2463" t="s">
        <v>384</v>
      </c>
      <c r="E2463" t="s">
        <v>127</v>
      </c>
      <c r="F2463" s="9" t="s">
        <v>143</v>
      </c>
      <c r="G2463" t="s">
        <v>26</v>
      </c>
      <c r="H2463" t="s">
        <v>85</v>
      </c>
      <c r="I2463" t="s">
        <v>86</v>
      </c>
      <c r="J2463" t="s">
        <v>53</v>
      </c>
      <c r="K2463" t="s">
        <v>54</v>
      </c>
      <c r="L2463" t="s">
        <v>53</v>
      </c>
      <c r="M2463" t="s">
        <v>54</v>
      </c>
      <c r="N2463" t="s">
        <v>85</v>
      </c>
      <c r="O2463" t="s">
        <v>86</v>
      </c>
      <c r="P2463" t="s">
        <v>53</v>
      </c>
      <c r="Q2463" t="s">
        <v>54</v>
      </c>
      <c r="R2463" s="1">
        <v>44263.43509259259</v>
      </c>
      <c r="S2463" s="1">
        <v>44263.435115740744</v>
      </c>
      <c r="T2463">
        <v>1</v>
      </c>
      <c r="U2463">
        <v>1</v>
      </c>
      <c r="V2463" s="2">
        <v>1</v>
      </c>
      <c r="W2463">
        <v>1</v>
      </c>
      <c r="X2463" t="s">
        <v>54</v>
      </c>
      <c r="Y2463">
        <v>1</v>
      </c>
      <c r="Z2463" t="s">
        <v>31</v>
      </c>
      <c r="AA2463">
        <v>0</v>
      </c>
      <c r="AB2463" t="s">
        <v>31</v>
      </c>
      <c r="AC2463">
        <v>0</v>
      </c>
      <c r="AD2463" t="s">
        <v>31</v>
      </c>
      <c r="AE2463">
        <v>0</v>
      </c>
      <c r="AF2463" t="s">
        <v>31</v>
      </c>
      <c r="AG2463">
        <v>0</v>
      </c>
      <c r="AH2463" t="s">
        <v>31</v>
      </c>
      <c r="AI2463">
        <v>0</v>
      </c>
      <c r="AJ2463" t="s">
        <v>31</v>
      </c>
      <c r="AK2463">
        <v>0</v>
      </c>
      <c r="AL2463" t="s">
        <v>31</v>
      </c>
      <c r="AM2463">
        <v>0</v>
      </c>
      <c r="AN2463" t="s">
        <v>31</v>
      </c>
      <c r="AO2463">
        <v>0</v>
      </c>
      <c r="AP2463" t="s">
        <v>31</v>
      </c>
      <c r="AQ2463">
        <v>0</v>
      </c>
    </row>
    <row r="2464" spans="1:43" x14ac:dyDescent="0.2">
      <c r="A2464" t="s">
        <v>381</v>
      </c>
      <c r="B2464" s="3">
        <v>44264</v>
      </c>
      <c r="C2464">
        <v>30</v>
      </c>
      <c r="D2464" t="s">
        <v>382</v>
      </c>
      <c r="E2464" t="s">
        <v>127</v>
      </c>
      <c r="F2464" s="9" t="s">
        <v>143</v>
      </c>
      <c r="G2464" t="s">
        <v>26</v>
      </c>
      <c r="H2464" t="s">
        <v>85</v>
      </c>
      <c r="I2464" t="s">
        <v>86</v>
      </c>
      <c r="J2464" t="s">
        <v>53</v>
      </c>
      <c r="K2464" t="s">
        <v>54</v>
      </c>
      <c r="L2464" t="s">
        <v>53</v>
      </c>
      <c r="M2464" t="s">
        <v>54</v>
      </c>
      <c r="N2464" t="s">
        <v>85</v>
      </c>
      <c r="O2464" t="s">
        <v>86</v>
      </c>
      <c r="P2464" t="s">
        <v>53</v>
      </c>
      <c r="Q2464" t="s">
        <v>54</v>
      </c>
      <c r="R2464" s="1">
        <v>44264.379467592589</v>
      </c>
      <c r="S2464" s="1">
        <v>44264.379467592589</v>
      </c>
      <c r="T2464">
        <v>1</v>
      </c>
      <c r="U2464">
        <v>1</v>
      </c>
      <c r="V2464" s="2">
        <v>1</v>
      </c>
      <c r="W2464">
        <v>1</v>
      </c>
      <c r="X2464" t="s">
        <v>54</v>
      </c>
      <c r="Y2464">
        <v>1</v>
      </c>
      <c r="Z2464" t="s">
        <v>31</v>
      </c>
      <c r="AA2464">
        <v>0</v>
      </c>
      <c r="AB2464" t="s">
        <v>31</v>
      </c>
      <c r="AC2464">
        <v>0</v>
      </c>
      <c r="AD2464" t="s">
        <v>31</v>
      </c>
      <c r="AE2464">
        <v>0</v>
      </c>
      <c r="AF2464" t="s">
        <v>31</v>
      </c>
      <c r="AG2464">
        <v>0</v>
      </c>
      <c r="AH2464" t="s">
        <v>31</v>
      </c>
      <c r="AI2464">
        <v>0</v>
      </c>
      <c r="AJ2464" t="s">
        <v>31</v>
      </c>
      <c r="AK2464">
        <v>0</v>
      </c>
      <c r="AL2464" t="s">
        <v>31</v>
      </c>
      <c r="AM2464">
        <v>0</v>
      </c>
      <c r="AN2464" t="s">
        <v>31</v>
      </c>
      <c r="AO2464">
        <v>0</v>
      </c>
      <c r="AP2464" t="s">
        <v>31</v>
      </c>
      <c r="AQ2464">
        <v>0</v>
      </c>
    </row>
    <row r="2465" spans="1:43" x14ac:dyDescent="0.2">
      <c r="A2465" t="s">
        <v>381</v>
      </c>
      <c r="B2465" s="3">
        <v>44265</v>
      </c>
      <c r="C2465">
        <v>32</v>
      </c>
      <c r="D2465" t="s">
        <v>384</v>
      </c>
      <c r="E2465" t="s">
        <v>127</v>
      </c>
      <c r="F2465" s="9" t="s">
        <v>143</v>
      </c>
      <c r="G2465" t="s">
        <v>26</v>
      </c>
      <c r="H2465" t="s">
        <v>85</v>
      </c>
      <c r="I2465" t="s">
        <v>86</v>
      </c>
      <c r="J2465" t="s">
        <v>53</v>
      </c>
      <c r="K2465" t="s">
        <v>54</v>
      </c>
      <c r="L2465" t="s">
        <v>53</v>
      </c>
      <c r="M2465" t="s">
        <v>54</v>
      </c>
      <c r="N2465" t="s">
        <v>85</v>
      </c>
      <c r="O2465" t="s">
        <v>86</v>
      </c>
      <c r="P2465" t="s">
        <v>53</v>
      </c>
      <c r="Q2465" t="s">
        <v>54</v>
      </c>
      <c r="R2465" s="1">
        <v>44265.411076388889</v>
      </c>
      <c r="S2465" s="1">
        <v>44265.411076388889</v>
      </c>
      <c r="T2465">
        <v>0</v>
      </c>
      <c r="U2465">
        <v>1</v>
      </c>
      <c r="V2465" s="2">
        <v>0</v>
      </c>
      <c r="W2465">
        <v>0</v>
      </c>
      <c r="X2465" t="s">
        <v>44</v>
      </c>
      <c r="Y2465">
        <v>0</v>
      </c>
      <c r="Z2465" t="s">
        <v>31</v>
      </c>
      <c r="AA2465">
        <v>0</v>
      </c>
      <c r="AB2465" t="s">
        <v>31</v>
      </c>
      <c r="AC2465">
        <v>0</v>
      </c>
      <c r="AD2465" t="s">
        <v>31</v>
      </c>
      <c r="AE2465">
        <v>0</v>
      </c>
      <c r="AF2465" t="s">
        <v>31</v>
      </c>
      <c r="AG2465">
        <v>0</v>
      </c>
      <c r="AH2465" t="s">
        <v>31</v>
      </c>
      <c r="AI2465">
        <v>0</v>
      </c>
      <c r="AJ2465" t="s">
        <v>31</v>
      </c>
      <c r="AK2465">
        <v>0</v>
      </c>
      <c r="AL2465" t="s">
        <v>31</v>
      </c>
      <c r="AM2465">
        <v>0</v>
      </c>
      <c r="AN2465" t="s">
        <v>31</v>
      </c>
      <c r="AO2465">
        <v>0</v>
      </c>
      <c r="AP2465" t="s">
        <v>31</v>
      </c>
      <c r="AQ2465">
        <v>0</v>
      </c>
    </row>
    <row r="2466" spans="1:43" x14ac:dyDescent="0.2">
      <c r="A2466" t="s">
        <v>381</v>
      </c>
      <c r="B2466" s="3">
        <v>44266</v>
      </c>
      <c r="C2466">
        <v>33</v>
      </c>
      <c r="D2466" t="s">
        <v>385</v>
      </c>
      <c r="E2466" t="s">
        <v>127</v>
      </c>
      <c r="F2466" s="9" t="s">
        <v>143</v>
      </c>
      <c r="G2466" t="s">
        <v>26</v>
      </c>
      <c r="H2466" t="s">
        <v>85</v>
      </c>
      <c r="I2466" t="s">
        <v>86</v>
      </c>
      <c r="J2466" t="s">
        <v>53</v>
      </c>
      <c r="K2466" t="s">
        <v>54</v>
      </c>
      <c r="L2466" t="s">
        <v>53</v>
      </c>
      <c r="M2466" t="s">
        <v>54</v>
      </c>
      <c r="N2466" t="s">
        <v>85</v>
      </c>
      <c r="O2466" t="s">
        <v>86</v>
      </c>
      <c r="P2466" t="s">
        <v>53</v>
      </c>
      <c r="Q2466" t="s">
        <v>54</v>
      </c>
      <c r="R2466" s="1">
        <v>44266.451620370368</v>
      </c>
      <c r="S2466" s="1">
        <v>44266.451620370368</v>
      </c>
      <c r="T2466">
        <v>0</v>
      </c>
      <c r="U2466">
        <v>1</v>
      </c>
      <c r="V2466" s="2">
        <v>0</v>
      </c>
      <c r="W2466">
        <v>0</v>
      </c>
      <c r="X2466" t="s">
        <v>44</v>
      </c>
      <c r="Y2466">
        <v>0</v>
      </c>
      <c r="Z2466" t="s">
        <v>31</v>
      </c>
      <c r="AA2466">
        <v>0</v>
      </c>
      <c r="AB2466" t="s">
        <v>31</v>
      </c>
      <c r="AC2466">
        <v>0</v>
      </c>
      <c r="AD2466" t="s">
        <v>31</v>
      </c>
      <c r="AE2466">
        <v>0</v>
      </c>
      <c r="AF2466" t="s">
        <v>31</v>
      </c>
      <c r="AG2466">
        <v>0</v>
      </c>
      <c r="AH2466" t="s">
        <v>31</v>
      </c>
      <c r="AI2466">
        <v>0</v>
      </c>
      <c r="AJ2466" t="s">
        <v>31</v>
      </c>
      <c r="AK2466">
        <v>0</v>
      </c>
      <c r="AL2466" t="s">
        <v>31</v>
      </c>
      <c r="AM2466">
        <v>0</v>
      </c>
      <c r="AN2466" t="s">
        <v>31</v>
      </c>
      <c r="AO2466">
        <v>0</v>
      </c>
      <c r="AP2466" t="s">
        <v>31</v>
      </c>
      <c r="AQ2466">
        <v>0</v>
      </c>
    </row>
    <row r="2467" spans="1:43" x14ac:dyDescent="0.2">
      <c r="A2467" t="s">
        <v>381</v>
      </c>
      <c r="B2467" s="3">
        <v>44270</v>
      </c>
      <c r="C2467">
        <v>35</v>
      </c>
      <c r="D2467" t="s">
        <v>384</v>
      </c>
      <c r="E2467" t="s">
        <v>127</v>
      </c>
      <c r="F2467" s="9" t="s">
        <v>143</v>
      </c>
      <c r="G2467" t="s">
        <v>26</v>
      </c>
      <c r="H2467" t="s">
        <v>85</v>
      </c>
      <c r="I2467" t="s">
        <v>86</v>
      </c>
      <c r="J2467" t="s">
        <v>53</v>
      </c>
      <c r="K2467" t="s">
        <v>54</v>
      </c>
      <c r="L2467" t="s">
        <v>53</v>
      </c>
      <c r="M2467" t="s">
        <v>54</v>
      </c>
      <c r="N2467" t="s">
        <v>85</v>
      </c>
      <c r="O2467" t="s">
        <v>86</v>
      </c>
      <c r="P2467" t="s">
        <v>53</v>
      </c>
      <c r="Q2467" t="s">
        <v>54</v>
      </c>
      <c r="R2467" s="1">
        <v>44270.395173611112</v>
      </c>
      <c r="S2467" s="1">
        <v>44270.395173611112</v>
      </c>
      <c r="T2467">
        <v>0</v>
      </c>
      <c r="U2467">
        <v>1</v>
      </c>
      <c r="V2467" s="2">
        <v>0</v>
      </c>
      <c r="W2467">
        <v>0</v>
      </c>
      <c r="X2467" t="s">
        <v>44</v>
      </c>
      <c r="Y2467">
        <v>0</v>
      </c>
      <c r="Z2467" t="s">
        <v>31</v>
      </c>
      <c r="AA2467">
        <v>0</v>
      </c>
      <c r="AB2467" t="s">
        <v>31</v>
      </c>
      <c r="AC2467">
        <v>0</v>
      </c>
      <c r="AD2467" t="s">
        <v>31</v>
      </c>
      <c r="AE2467">
        <v>0</v>
      </c>
      <c r="AF2467" t="s">
        <v>31</v>
      </c>
      <c r="AG2467">
        <v>0</v>
      </c>
      <c r="AH2467" t="s">
        <v>31</v>
      </c>
      <c r="AI2467">
        <v>0</v>
      </c>
      <c r="AJ2467" t="s">
        <v>31</v>
      </c>
      <c r="AK2467">
        <v>0</v>
      </c>
      <c r="AL2467" t="s">
        <v>31</v>
      </c>
      <c r="AM2467">
        <v>0</v>
      </c>
      <c r="AN2467" t="s">
        <v>31</v>
      </c>
      <c r="AO2467">
        <v>0</v>
      </c>
      <c r="AP2467" t="s">
        <v>31</v>
      </c>
      <c r="AQ2467">
        <v>0</v>
      </c>
    </row>
    <row r="2468" spans="1:43" x14ac:dyDescent="0.2">
      <c r="A2468" t="s">
        <v>381</v>
      </c>
      <c r="B2468" s="3">
        <v>44271</v>
      </c>
      <c r="C2468">
        <v>37</v>
      </c>
      <c r="D2468" t="s">
        <v>385</v>
      </c>
      <c r="E2468" t="s">
        <v>127</v>
      </c>
      <c r="F2468" s="9" t="s">
        <v>143</v>
      </c>
      <c r="G2468" t="s">
        <v>26</v>
      </c>
      <c r="H2468" t="s">
        <v>85</v>
      </c>
      <c r="I2468" t="s">
        <v>86</v>
      </c>
      <c r="J2468" t="s">
        <v>53</v>
      </c>
      <c r="K2468" t="s">
        <v>54</v>
      </c>
      <c r="L2468" t="s">
        <v>53</v>
      </c>
      <c r="M2468" t="s">
        <v>54</v>
      </c>
      <c r="N2468" t="s">
        <v>85</v>
      </c>
      <c r="O2468" t="s">
        <v>86</v>
      </c>
      <c r="P2468" t="s">
        <v>53</v>
      </c>
      <c r="Q2468" t="s">
        <v>54</v>
      </c>
      <c r="R2468" s="1">
        <v>44271.593263888892</v>
      </c>
      <c r="S2468" s="1">
        <v>44271.593263888892</v>
      </c>
      <c r="T2468">
        <v>0</v>
      </c>
      <c r="U2468">
        <v>1</v>
      </c>
      <c r="V2468" s="2">
        <v>0</v>
      </c>
      <c r="W2468">
        <v>0</v>
      </c>
      <c r="X2468" t="s">
        <v>44</v>
      </c>
      <c r="Y2468">
        <v>0</v>
      </c>
      <c r="Z2468" t="s">
        <v>31</v>
      </c>
      <c r="AA2468">
        <v>0</v>
      </c>
      <c r="AB2468" t="s">
        <v>31</v>
      </c>
      <c r="AC2468">
        <v>0</v>
      </c>
      <c r="AD2468" t="s">
        <v>31</v>
      </c>
      <c r="AE2468">
        <v>0</v>
      </c>
      <c r="AF2468" t="s">
        <v>31</v>
      </c>
      <c r="AG2468">
        <v>0</v>
      </c>
      <c r="AH2468" t="s">
        <v>31</v>
      </c>
      <c r="AI2468">
        <v>0</v>
      </c>
      <c r="AJ2468" t="s">
        <v>31</v>
      </c>
      <c r="AK2468">
        <v>0</v>
      </c>
      <c r="AL2468" t="s">
        <v>31</v>
      </c>
      <c r="AM2468">
        <v>0</v>
      </c>
      <c r="AN2468" t="s">
        <v>31</v>
      </c>
      <c r="AO2468">
        <v>0</v>
      </c>
      <c r="AP2468" t="s">
        <v>31</v>
      </c>
      <c r="AQ2468">
        <v>0</v>
      </c>
    </row>
    <row r="2469" spans="1:43" x14ac:dyDescent="0.2">
      <c r="A2469" t="s">
        <v>381</v>
      </c>
      <c r="B2469" s="3">
        <v>44272</v>
      </c>
      <c r="C2469">
        <v>38</v>
      </c>
      <c r="D2469" t="s">
        <v>384</v>
      </c>
      <c r="E2469" t="s">
        <v>127</v>
      </c>
      <c r="F2469" s="9" t="s">
        <v>143</v>
      </c>
      <c r="G2469" t="s">
        <v>26</v>
      </c>
      <c r="H2469" t="s">
        <v>85</v>
      </c>
      <c r="I2469" t="s">
        <v>86</v>
      </c>
      <c r="J2469" t="s">
        <v>53</v>
      </c>
      <c r="K2469" t="s">
        <v>54</v>
      </c>
      <c r="L2469" t="s">
        <v>53</v>
      </c>
      <c r="M2469" t="s">
        <v>54</v>
      </c>
      <c r="N2469" t="s">
        <v>85</v>
      </c>
      <c r="O2469" t="s">
        <v>86</v>
      </c>
      <c r="P2469" t="s">
        <v>53</v>
      </c>
      <c r="Q2469" t="s">
        <v>54</v>
      </c>
      <c r="R2469" s="1">
        <v>44272.469293981485</v>
      </c>
      <c r="S2469" s="1">
        <v>44272.469293981485</v>
      </c>
      <c r="T2469">
        <v>0</v>
      </c>
      <c r="U2469">
        <v>1</v>
      </c>
      <c r="V2469" s="2">
        <v>0</v>
      </c>
      <c r="W2469">
        <v>0</v>
      </c>
      <c r="X2469" t="s">
        <v>44</v>
      </c>
      <c r="Y2469">
        <v>0</v>
      </c>
      <c r="Z2469" t="s">
        <v>31</v>
      </c>
      <c r="AA2469">
        <v>0</v>
      </c>
      <c r="AB2469" t="s">
        <v>31</v>
      </c>
      <c r="AC2469">
        <v>0</v>
      </c>
      <c r="AD2469" t="s">
        <v>31</v>
      </c>
      <c r="AE2469">
        <v>0</v>
      </c>
      <c r="AF2469" t="s">
        <v>31</v>
      </c>
      <c r="AG2469">
        <v>0</v>
      </c>
      <c r="AH2469" t="s">
        <v>31</v>
      </c>
      <c r="AI2469">
        <v>0</v>
      </c>
      <c r="AJ2469" t="s">
        <v>31</v>
      </c>
      <c r="AK2469">
        <v>0</v>
      </c>
      <c r="AL2469" t="s">
        <v>31</v>
      </c>
      <c r="AM2469">
        <v>0</v>
      </c>
      <c r="AN2469" t="s">
        <v>31</v>
      </c>
      <c r="AO2469">
        <v>0</v>
      </c>
      <c r="AP2469" t="s">
        <v>31</v>
      </c>
      <c r="AQ2469">
        <v>0</v>
      </c>
    </row>
    <row r="2470" spans="1:43" x14ac:dyDescent="0.2">
      <c r="A2470" t="s">
        <v>381</v>
      </c>
      <c r="B2470" s="3">
        <v>44273</v>
      </c>
      <c r="C2470">
        <v>39</v>
      </c>
      <c r="D2470" t="s">
        <v>385</v>
      </c>
      <c r="E2470" t="s">
        <v>127</v>
      </c>
      <c r="F2470" s="9" t="s">
        <v>143</v>
      </c>
      <c r="G2470" t="s">
        <v>26</v>
      </c>
      <c r="H2470" t="s">
        <v>85</v>
      </c>
      <c r="I2470" t="s">
        <v>86</v>
      </c>
      <c r="J2470" t="s">
        <v>53</v>
      </c>
      <c r="K2470" t="s">
        <v>54</v>
      </c>
      <c r="L2470" t="s">
        <v>53</v>
      </c>
      <c r="M2470" t="s">
        <v>54</v>
      </c>
      <c r="N2470" t="s">
        <v>85</v>
      </c>
      <c r="O2470" t="s">
        <v>86</v>
      </c>
      <c r="P2470" t="s">
        <v>53</v>
      </c>
      <c r="Q2470" t="s">
        <v>54</v>
      </c>
      <c r="R2470" s="1">
        <v>44273.409780092596</v>
      </c>
      <c r="S2470" s="1">
        <v>44273.409780092596</v>
      </c>
      <c r="T2470">
        <v>0</v>
      </c>
      <c r="U2470">
        <v>1</v>
      </c>
      <c r="V2470" s="2">
        <v>0</v>
      </c>
      <c r="W2470">
        <v>0</v>
      </c>
      <c r="X2470" t="s">
        <v>44</v>
      </c>
      <c r="Y2470">
        <v>0</v>
      </c>
      <c r="Z2470" t="s">
        <v>31</v>
      </c>
      <c r="AA2470">
        <v>0</v>
      </c>
      <c r="AB2470" t="s">
        <v>31</v>
      </c>
      <c r="AC2470">
        <v>0</v>
      </c>
      <c r="AD2470" t="s">
        <v>31</v>
      </c>
      <c r="AE2470">
        <v>0</v>
      </c>
      <c r="AF2470" t="s">
        <v>31</v>
      </c>
      <c r="AG2470">
        <v>0</v>
      </c>
      <c r="AH2470" t="s">
        <v>31</v>
      </c>
      <c r="AI2470">
        <v>0</v>
      </c>
      <c r="AJ2470" t="s">
        <v>31</v>
      </c>
      <c r="AK2470">
        <v>0</v>
      </c>
      <c r="AL2470" t="s">
        <v>31</v>
      </c>
      <c r="AM2470">
        <v>0</v>
      </c>
      <c r="AN2470" t="s">
        <v>31</v>
      </c>
      <c r="AO2470">
        <v>0</v>
      </c>
      <c r="AP2470" t="s">
        <v>31</v>
      </c>
      <c r="AQ2470">
        <v>0</v>
      </c>
    </row>
    <row r="2471" spans="1:43" x14ac:dyDescent="0.2">
      <c r="A2471" t="s">
        <v>381</v>
      </c>
      <c r="B2471" s="3">
        <v>44279</v>
      </c>
      <c r="C2471">
        <v>41</v>
      </c>
      <c r="D2471" t="s">
        <v>384</v>
      </c>
      <c r="E2471" t="s">
        <v>127</v>
      </c>
      <c r="F2471" s="9" t="s">
        <v>143</v>
      </c>
      <c r="G2471" t="s">
        <v>26</v>
      </c>
      <c r="H2471" t="s">
        <v>85</v>
      </c>
      <c r="I2471" t="s">
        <v>86</v>
      </c>
      <c r="J2471" t="s">
        <v>53</v>
      </c>
      <c r="K2471" t="s">
        <v>54</v>
      </c>
      <c r="L2471" t="s">
        <v>53</v>
      </c>
      <c r="M2471" t="s">
        <v>54</v>
      </c>
      <c r="N2471" t="s">
        <v>85</v>
      </c>
      <c r="O2471" t="s">
        <v>86</v>
      </c>
      <c r="P2471" t="s">
        <v>53</v>
      </c>
      <c r="Q2471" t="s">
        <v>54</v>
      </c>
      <c r="R2471" s="1">
        <v>44279.423206018517</v>
      </c>
      <c r="S2471" s="1">
        <v>44279.423206018517</v>
      </c>
      <c r="T2471">
        <v>0</v>
      </c>
      <c r="U2471">
        <v>1</v>
      </c>
      <c r="V2471" s="2">
        <v>0</v>
      </c>
      <c r="W2471">
        <v>0</v>
      </c>
      <c r="X2471" t="s">
        <v>44</v>
      </c>
      <c r="Y2471">
        <v>0</v>
      </c>
      <c r="Z2471" t="s">
        <v>31</v>
      </c>
      <c r="AA2471">
        <v>0</v>
      </c>
      <c r="AB2471" t="s">
        <v>31</v>
      </c>
      <c r="AC2471">
        <v>0</v>
      </c>
      <c r="AD2471" t="s">
        <v>31</v>
      </c>
      <c r="AE2471">
        <v>0</v>
      </c>
      <c r="AF2471" t="s">
        <v>31</v>
      </c>
      <c r="AG2471">
        <v>0</v>
      </c>
      <c r="AH2471" t="s">
        <v>31</v>
      </c>
      <c r="AI2471">
        <v>0</v>
      </c>
      <c r="AJ2471" t="s">
        <v>31</v>
      </c>
      <c r="AK2471">
        <v>0</v>
      </c>
      <c r="AL2471" t="s">
        <v>31</v>
      </c>
      <c r="AM2471">
        <v>0</v>
      </c>
      <c r="AN2471" t="s">
        <v>31</v>
      </c>
      <c r="AO2471">
        <v>0</v>
      </c>
      <c r="AP2471" t="s">
        <v>31</v>
      </c>
      <c r="AQ2471">
        <v>0</v>
      </c>
    </row>
    <row r="2472" spans="1:43" x14ac:dyDescent="0.2">
      <c r="A2472" t="s">
        <v>381</v>
      </c>
      <c r="B2472" s="3">
        <v>44284</v>
      </c>
      <c r="C2472">
        <v>43</v>
      </c>
      <c r="D2472" t="s">
        <v>384</v>
      </c>
      <c r="E2472" t="s">
        <v>127</v>
      </c>
      <c r="F2472" s="9" t="s">
        <v>143</v>
      </c>
      <c r="G2472" t="s">
        <v>26</v>
      </c>
      <c r="H2472" t="s">
        <v>85</v>
      </c>
      <c r="I2472" t="s">
        <v>86</v>
      </c>
      <c r="J2472" t="s">
        <v>53</v>
      </c>
      <c r="K2472" t="s">
        <v>54</v>
      </c>
      <c r="L2472" t="s">
        <v>53</v>
      </c>
      <c r="M2472" t="s">
        <v>54</v>
      </c>
      <c r="N2472" t="s">
        <v>85</v>
      </c>
      <c r="O2472" t="s">
        <v>86</v>
      </c>
      <c r="P2472" t="s">
        <v>53</v>
      </c>
      <c r="Q2472" t="s">
        <v>54</v>
      </c>
      <c r="R2472" s="1">
        <v>44284.436990740738</v>
      </c>
      <c r="S2472" s="1">
        <v>44284.436990740738</v>
      </c>
      <c r="T2472">
        <v>0</v>
      </c>
      <c r="U2472">
        <v>1</v>
      </c>
      <c r="V2472" s="2">
        <v>0</v>
      </c>
      <c r="W2472">
        <v>0</v>
      </c>
      <c r="X2472" t="s">
        <v>44</v>
      </c>
      <c r="Y2472">
        <v>0</v>
      </c>
      <c r="Z2472" t="s">
        <v>31</v>
      </c>
      <c r="AA2472">
        <v>0</v>
      </c>
      <c r="AB2472" t="s">
        <v>31</v>
      </c>
      <c r="AC2472">
        <v>0</v>
      </c>
      <c r="AD2472" t="s">
        <v>31</v>
      </c>
      <c r="AE2472">
        <v>0</v>
      </c>
      <c r="AF2472" t="s">
        <v>31</v>
      </c>
      <c r="AG2472">
        <v>0</v>
      </c>
      <c r="AH2472" t="s">
        <v>31</v>
      </c>
      <c r="AI2472">
        <v>0</v>
      </c>
      <c r="AJ2472" t="s">
        <v>31</v>
      </c>
      <c r="AK2472">
        <v>0</v>
      </c>
      <c r="AL2472" t="s">
        <v>31</v>
      </c>
      <c r="AM2472">
        <v>0</v>
      </c>
      <c r="AN2472" t="s">
        <v>31</v>
      </c>
      <c r="AO2472">
        <v>0</v>
      </c>
      <c r="AP2472" t="s">
        <v>31</v>
      </c>
      <c r="AQ2472">
        <v>0</v>
      </c>
    </row>
    <row r="2473" spans="1:43" x14ac:dyDescent="0.2">
      <c r="A2473" t="s">
        <v>381</v>
      </c>
      <c r="B2473" s="3">
        <v>44285</v>
      </c>
      <c r="C2473">
        <v>44</v>
      </c>
      <c r="D2473" t="s">
        <v>385</v>
      </c>
      <c r="E2473" t="s">
        <v>127</v>
      </c>
      <c r="F2473" s="9" t="s">
        <v>143</v>
      </c>
      <c r="G2473" t="s">
        <v>26</v>
      </c>
      <c r="H2473" t="s">
        <v>85</v>
      </c>
      <c r="I2473" t="s">
        <v>86</v>
      </c>
      <c r="J2473" t="s">
        <v>53</v>
      </c>
      <c r="K2473" t="s">
        <v>54</v>
      </c>
      <c r="L2473" t="s">
        <v>53</v>
      </c>
      <c r="M2473" t="s">
        <v>54</v>
      </c>
      <c r="N2473" t="s">
        <v>85</v>
      </c>
      <c r="O2473" t="s">
        <v>86</v>
      </c>
      <c r="P2473" t="s">
        <v>53</v>
      </c>
      <c r="Q2473" t="s">
        <v>54</v>
      </c>
      <c r="R2473" s="1">
        <v>44285.408229166664</v>
      </c>
      <c r="S2473" s="1">
        <v>44285.408229166664</v>
      </c>
      <c r="T2473">
        <v>0</v>
      </c>
      <c r="U2473">
        <v>1</v>
      </c>
      <c r="V2473" s="2">
        <v>0</v>
      </c>
      <c r="W2473">
        <v>0</v>
      </c>
      <c r="X2473" t="s">
        <v>44</v>
      </c>
      <c r="Y2473">
        <v>0</v>
      </c>
      <c r="Z2473" t="s">
        <v>31</v>
      </c>
      <c r="AA2473">
        <v>0</v>
      </c>
      <c r="AB2473" t="s">
        <v>31</v>
      </c>
      <c r="AC2473">
        <v>0</v>
      </c>
      <c r="AD2473" t="s">
        <v>31</v>
      </c>
      <c r="AE2473">
        <v>0</v>
      </c>
      <c r="AF2473" t="s">
        <v>31</v>
      </c>
      <c r="AG2473">
        <v>0</v>
      </c>
      <c r="AH2473" t="s">
        <v>31</v>
      </c>
      <c r="AI2473">
        <v>0</v>
      </c>
      <c r="AJ2473" t="s">
        <v>31</v>
      </c>
      <c r="AK2473">
        <v>0</v>
      </c>
      <c r="AL2473" t="s">
        <v>31</v>
      </c>
      <c r="AM2473">
        <v>0</v>
      </c>
      <c r="AN2473" t="s">
        <v>31</v>
      </c>
      <c r="AO2473">
        <v>0</v>
      </c>
      <c r="AP2473" t="s">
        <v>31</v>
      </c>
      <c r="AQ2473">
        <v>0</v>
      </c>
    </row>
    <row r="2474" spans="1:43" x14ac:dyDescent="0.2">
      <c r="A2474" t="s">
        <v>381</v>
      </c>
      <c r="B2474" s="3">
        <v>44287</v>
      </c>
      <c r="C2474">
        <v>47</v>
      </c>
      <c r="D2474" t="s">
        <v>385</v>
      </c>
      <c r="E2474" t="s">
        <v>127</v>
      </c>
      <c r="F2474" s="9" t="s">
        <v>143</v>
      </c>
      <c r="G2474" t="s">
        <v>26</v>
      </c>
      <c r="H2474" t="s">
        <v>85</v>
      </c>
      <c r="I2474" t="s">
        <v>86</v>
      </c>
      <c r="J2474" t="s">
        <v>53</v>
      </c>
      <c r="K2474" t="s">
        <v>54</v>
      </c>
      <c r="L2474" t="s">
        <v>53</v>
      </c>
      <c r="M2474" t="s">
        <v>54</v>
      </c>
      <c r="N2474" t="s">
        <v>85</v>
      </c>
      <c r="O2474" t="s">
        <v>86</v>
      </c>
      <c r="P2474" t="s">
        <v>53</v>
      </c>
      <c r="Q2474" t="s">
        <v>54</v>
      </c>
      <c r="R2474" s="1">
        <v>44287.446388888886</v>
      </c>
      <c r="S2474" s="1">
        <v>44287.446388888886</v>
      </c>
      <c r="T2474">
        <v>0</v>
      </c>
      <c r="U2474">
        <v>2</v>
      </c>
      <c r="V2474" s="2">
        <v>0</v>
      </c>
      <c r="W2474">
        <v>0</v>
      </c>
      <c r="X2474" t="s">
        <v>44</v>
      </c>
      <c r="Y2474">
        <v>0</v>
      </c>
      <c r="Z2474" t="s">
        <v>44</v>
      </c>
      <c r="AA2474">
        <v>0</v>
      </c>
      <c r="AB2474" t="s">
        <v>31</v>
      </c>
      <c r="AC2474">
        <v>0</v>
      </c>
      <c r="AD2474" t="s">
        <v>31</v>
      </c>
      <c r="AE2474">
        <v>0</v>
      </c>
      <c r="AF2474" t="s">
        <v>31</v>
      </c>
      <c r="AG2474">
        <v>0</v>
      </c>
      <c r="AH2474" t="s">
        <v>31</v>
      </c>
      <c r="AI2474">
        <v>0</v>
      </c>
      <c r="AJ2474" t="s">
        <v>31</v>
      </c>
      <c r="AK2474">
        <v>0</v>
      </c>
      <c r="AL2474" t="s">
        <v>31</v>
      </c>
      <c r="AM2474">
        <v>0</v>
      </c>
      <c r="AN2474" t="s">
        <v>31</v>
      </c>
      <c r="AO2474">
        <v>0</v>
      </c>
      <c r="AP2474" t="s">
        <v>31</v>
      </c>
      <c r="AQ2474">
        <v>0</v>
      </c>
    </row>
    <row r="2475" spans="1:43" x14ac:dyDescent="0.2">
      <c r="A2475" t="s">
        <v>381</v>
      </c>
      <c r="B2475" s="3">
        <v>44291</v>
      </c>
      <c r="C2475">
        <v>50</v>
      </c>
      <c r="D2475" t="s">
        <v>384</v>
      </c>
      <c r="E2475" t="s">
        <v>127</v>
      </c>
      <c r="F2475" s="9" t="s">
        <v>143</v>
      </c>
      <c r="G2475" t="s">
        <v>26</v>
      </c>
      <c r="H2475" t="s">
        <v>85</v>
      </c>
      <c r="I2475" t="s">
        <v>86</v>
      </c>
      <c r="J2475" t="s">
        <v>53</v>
      </c>
      <c r="K2475" t="s">
        <v>54</v>
      </c>
      <c r="L2475" t="s">
        <v>53</v>
      </c>
      <c r="M2475" t="s">
        <v>54</v>
      </c>
      <c r="N2475" t="s">
        <v>85</v>
      </c>
      <c r="O2475" t="s">
        <v>86</v>
      </c>
      <c r="P2475" t="s">
        <v>53</v>
      </c>
      <c r="Q2475" t="s">
        <v>54</v>
      </c>
      <c r="R2475" s="1">
        <v>44291.466087962966</v>
      </c>
      <c r="S2475" s="1">
        <v>44291.466087962966</v>
      </c>
      <c r="T2475">
        <v>0</v>
      </c>
      <c r="U2475">
        <v>1</v>
      </c>
      <c r="V2475" s="2">
        <v>0</v>
      </c>
      <c r="W2475">
        <v>0</v>
      </c>
      <c r="X2475" t="s">
        <v>44</v>
      </c>
      <c r="Y2475">
        <v>0</v>
      </c>
      <c r="Z2475" t="s">
        <v>31</v>
      </c>
      <c r="AA2475">
        <v>0</v>
      </c>
      <c r="AB2475" t="s">
        <v>31</v>
      </c>
      <c r="AC2475">
        <v>0</v>
      </c>
      <c r="AD2475" t="s">
        <v>31</v>
      </c>
      <c r="AE2475">
        <v>0</v>
      </c>
      <c r="AF2475" t="s">
        <v>31</v>
      </c>
      <c r="AG2475">
        <v>0</v>
      </c>
      <c r="AH2475" t="s">
        <v>31</v>
      </c>
      <c r="AI2475">
        <v>0</v>
      </c>
      <c r="AJ2475" t="s">
        <v>31</v>
      </c>
      <c r="AK2475">
        <v>0</v>
      </c>
      <c r="AL2475" t="s">
        <v>31</v>
      </c>
      <c r="AM2475">
        <v>0</v>
      </c>
      <c r="AN2475" t="s">
        <v>31</v>
      </c>
      <c r="AO2475">
        <v>0</v>
      </c>
      <c r="AP2475" t="s">
        <v>31</v>
      </c>
      <c r="AQ2475">
        <v>0</v>
      </c>
    </row>
    <row r="2476" spans="1:43" x14ac:dyDescent="0.2">
      <c r="A2476" t="s">
        <v>381</v>
      </c>
      <c r="B2476" s="3">
        <v>44293</v>
      </c>
      <c r="C2476">
        <v>53</v>
      </c>
      <c r="D2476" t="s">
        <v>384</v>
      </c>
      <c r="E2476" t="s">
        <v>127</v>
      </c>
      <c r="F2476" s="9" t="s">
        <v>143</v>
      </c>
      <c r="G2476" t="s">
        <v>26</v>
      </c>
      <c r="H2476" t="s">
        <v>85</v>
      </c>
      <c r="I2476" t="s">
        <v>86</v>
      </c>
      <c r="J2476" t="s">
        <v>53</v>
      </c>
      <c r="K2476" t="s">
        <v>54</v>
      </c>
      <c r="L2476" t="s">
        <v>53</v>
      </c>
      <c r="M2476" t="s">
        <v>54</v>
      </c>
      <c r="N2476" t="s">
        <v>85</v>
      </c>
      <c r="O2476" t="s">
        <v>86</v>
      </c>
      <c r="P2476" t="s">
        <v>53</v>
      </c>
      <c r="Q2476" t="s">
        <v>54</v>
      </c>
      <c r="R2476" s="1">
        <v>44293.380381944444</v>
      </c>
      <c r="S2476" s="1">
        <v>44293.380381944444</v>
      </c>
      <c r="T2476">
        <v>0</v>
      </c>
      <c r="U2476">
        <v>1</v>
      </c>
      <c r="V2476" s="2">
        <v>0</v>
      </c>
      <c r="W2476">
        <v>0</v>
      </c>
      <c r="X2476" t="s">
        <v>44</v>
      </c>
      <c r="Y2476">
        <v>0</v>
      </c>
      <c r="Z2476" t="s">
        <v>31</v>
      </c>
      <c r="AA2476">
        <v>0</v>
      </c>
      <c r="AB2476" t="s">
        <v>31</v>
      </c>
      <c r="AC2476">
        <v>0</v>
      </c>
      <c r="AD2476" t="s">
        <v>31</v>
      </c>
      <c r="AE2476">
        <v>0</v>
      </c>
      <c r="AF2476" t="s">
        <v>31</v>
      </c>
      <c r="AG2476">
        <v>0</v>
      </c>
      <c r="AH2476" t="s">
        <v>31</v>
      </c>
      <c r="AI2476">
        <v>0</v>
      </c>
      <c r="AJ2476" t="s">
        <v>31</v>
      </c>
      <c r="AK2476">
        <v>0</v>
      </c>
      <c r="AL2476" t="s">
        <v>31</v>
      </c>
      <c r="AM2476">
        <v>0</v>
      </c>
      <c r="AN2476" t="s">
        <v>31</v>
      </c>
      <c r="AO2476">
        <v>0</v>
      </c>
      <c r="AP2476" t="s">
        <v>31</v>
      </c>
      <c r="AQ2476">
        <v>0</v>
      </c>
    </row>
    <row r="2477" spans="1:43" x14ac:dyDescent="0.2">
      <c r="A2477" t="s">
        <v>381</v>
      </c>
      <c r="B2477" s="3">
        <v>44294</v>
      </c>
      <c r="C2477">
        <v>54</v>
      </c>
      <c r="D2477" t="s">
        <v>407</v>
      </c>
      <c r="E2477" t="s">
        <v>127</v>
      </c>
      <c r="F2477" s="9" t="s">
        <v>143</v>
      </c>
      <c r="G2477" t="s">
        <v>26</v>
      </c>
      <c r="H2477" t="s">
        <v>85</v>
      </c>
      <c r="I2477" t="s">
        <v>86</v>
      </c>
      <c r="J2477" t="s">
        <v>53</v>
      </c>
      <c r="K2477" t="s">
        <v>54</v>
      </c>
      <c r="L2477" t="s">
        <v>53</v>
      </c>
      <c r="M2477" t="s">
        <v>54</v>
      </c>
      <c r="N2477" t="s">
        <v>85</v>
      </c>
      <c r="O2477" t="s">
        <v>86</v>
      </c>
      <c r="P2477" t="s">
        <v>53</v>
      </c>
      <c r="Q2477" t="s">
        <v>54</v>
      </c>
      <c r="R2477" s="1">
        <v>44294.407962962963</v>
      </c>
      <c r="S2477" s="1">
        <v>44294.407962962963</v>
      </c>
      <c r="T2477">
        <v>0</v>
      </c>
      <c r="U2477">
        <v>1</v>
      </c>
      <c r="V2477" s="2">
        <v>0</v>
      </c>
      <c r="W2477">
        <v>0</v>
      </c>
      <c r="X2477" t="s">
        <v>44</v>
      </c>
      <c r="Y2477">
        <v>0</v>
      </c>
      <c r="Z2477" t="s">
        <v>31</v>
      </c>
      <c r="AA2477">
        <v>0</v>
      </c>
      <c r="AB2477" t="s">
        <v>31</v>
      </c>
      <c r="AC2477">
        <v>0</v>
      </c>
      <c r="AD2477" t="s">
        <v>31</v>
      </c>
      <c r="AE2477">
        <v>0</v>
      </c>
      <c r="AF2477" t="s">
        <v>31</v>
      </c>
      <c r="AG2477">
        <v>0</v>
      </c>
      <c r="AH2477" t="s">
        <v>31</v>
      </c>
      <c r="AI2477">
        <v>0</v>
      </c>
      <c r="AJ2477" t="s">
        <v>31</v>
      </c>
      <c r="AK2477">
        <v>0</v>
      </c>
      <c r="AL2477" t="s">
        <v>31</v>
      </c>
      <c r="AM2477">
        <v>0</v>
      </c>
      <c r="AN2477" t="s">
        <v>31</v>
      </c>
      <c r="AO2477">
        <v>0</v>
      </c>
      <c r="AP2477" t="s">
        <v>31</v>
      </c>
      <c r="AQ2477">
        <v>0</v>
      </c>
    </row>
    <row r="2478" spans="1:43" x14ac:dyDescent="0.2">
      <c r="A2478" t="s">
        <v>381</v>
      </c>
      <c r="B2478" s="3">
        <v>44300</v>
      </c>
      <c r="C2478">
        <v>61</v>
      </c>
      <c r="D2478" t="s">
        <v>401</v>
      </c>
      <c r="E2478" t="s">
        <v>127</v>
      </c>
      <c r="F2478" s="9" t="s">
        <v>143</v>
      </c>
      <c r="G2478" t="s">
        <v>26</v>
      </c>
      <c r="H2478" t="s">
        <v>85</v>
      </c>
      <c r="I2478" t="s">
        <v>86</v>
      </c>
      <c r="J2478" t="s">
        <v>53</v>
      </c>
      <c r="K2478" t="s">
        <v>54</v>
      </c>
      <c r="L2478" t="s">
        <v>53</v>
      </c>
      <c r="M2478" t="s">
        <v>54</v>
      </c>
      <c r="N2478" t="s">
        <v>85</v>
      </c>
      <c r="O2478" t="s">
        <v>86</v>
      </c>
      <c r="P2478" t="s">
        <v>53</v>
      </c>
      <c r="Q2478" t="s">
        <v>54</v>
      </c>
      <c r="R2478" s="1">
        <v>44300.659224537034</v>
      </c>
      <c r="S2478" s="1">
        <v>44300.659224537034</v>
      </c>
      <c r="T2478">
        <v>0</v>
      </c>
      <c r="U2478">
        <v>1</v>
      </c>
      <c r="V2478" s="2">
        <v>0</v>
      </c>
      <c r="W2478">
        <v>0</v>
      </c>
      <c r="X2478" t="s">
        <v>44</v>
      </c>
      <c r="Y2478">
        <v>0</v>
      </c>
      <c r="Z2478" t="s">
        <v>31</v>
      </c>
      <c r="AA2478">
        <v>0</v>
      </c>
      <c r="AB2478" t="s">
        <v>31</v>
      </c>
      <c r="AC2478">
        <v>0</v>
      </c>
      <c r="AD2478" t="s">
        <v>31</v>
      </c>
      <c r="AE2478">
        <v>0</v>
      </c>
      <c r="AF2478" t="s">
        <v>31</v>
      </c>
      <c r="AG2478">
        <v>0</v>
      </c>
      <c r="AH2478" t="s">
        <v>31</v>
      </c>
      <c r="AI2478">
        <v>0</v>
      </c>
      <c r="AJ2478" t="s">
        <v>31</v>
      </c>
      <c r="AK2478">
        <v>0</v>
      </c>
      <c r="AL2478" t="s">
        <v>31</v>
      </c>
      <c r="AM2478">
        <v>0</v>
      </c>
      <c r="AN2478" t="s">
        <v>31</v>
      </c>
      <c r="AO2478">
        <v>0</v>
      </c>
      <c r="AP2478" t="s">
        <v>31</v>
      </c>
      <c r="AQ2478">
        <v>0</v>
      </c>
    </row>
    <row r="2479" spans="1:43" x14ac:dyDescent="0.2">
      <c r="A2479" t="s">
        <v>381</v>
      </c>
      <c r="B2479" s="3">
        <v>44302</v>
      </c>
      <c r="C2479">
        <v>65</v>
      </c>
      <c r="D2479" t="s">
        <v>387</v>
      </c>
      <c r="E2479" t="s">
        <v>127</v>
      </c>
      <c r="F2479" s="9" t="s">
        <v>143</v>
      </c>
      <c r="G2479" t="s">
        <v>26</v>
      </c>
      <c r="H2479" t="s">
        <v>85</v>
      </c>
      <c r="I2479" t="s">
        <v>86</v>
      </c>
      <c r="J2479" t="s">
        <v>53</v>
      </c>
      <c r="K2479" t="s">
        <v>54</v>
      </c>
      <c r="L2479" t="s">
        <v>53</v>
      </c>
      <c r="M2479" t="s">
        <v>54</v>
      </c>
      <c r="N2479" t="s">
        <v>85</v>
      </c>
      <c r="O2479" t="s">
        <v>86</v>
      </c>
      <c r="P2479" t="s">
        <v>53</v>
      </c>
      <c r="Q2479" t="s">
        <v>54</v>
      </c>
      <c r="R2479" s="1">
        <v>44302.601435185185</v>
      </c>
      <c r="S2479" s="1">
        <v>44302.601435185185</v>
      </c>
      <c r="T2479">
        <v>0</v>
      </c>
      <c r="U2479">
        <v>1</v>
      </c>
      <c r="V2479" s="2">
        <v>0</v>
      </c>
      <c r="W2479">
        <v>0</v>
      </c>
      <c r="X2479" t="s">
        <v>44</v>
      </c>
      <c r="Y2479">
        <v>0</v>
      </c>
      <c r="Z2479" t="s">
        <v>31</v>
      </c>
      <c r="AA2479">
        <v>0</v>
      </c>
      <c r="AB2479" t="s">
        <v>31</v>
      </c>
      <c r="AC2479">
        <v>0</v>
      </c>
      <c r="AD2479" t="s">
        <v>31</v>
      </c>
      <c r="AE2479">
        <v>0</v>
      </c>
      <c r="AF2479" t="s">
        <v>31</v>
      </c>
      <c r="AG2479">
        <v>0</v>
      </c>
      <c r="AH2479" t="s">
        <v>31</v>
      </c>
      <c r="AI2479">
        <v>0</v>
      </c>
      <c r="AJ2479" t="s">
        <v>31</v>
      </c>
      <c r="AK2479">
        <v>0</v>
      </c>
      <c r="AL2479" t="s">
        <v>31</v>
      </c>
      <c r="AM2479">
        <v>0</v>
      </c>
      <c r="AN2479" t="s">
        <v>31</v>
      </c>
      <c r="AO2479">
        <v>0</v>
      </c>
      <c r="AP2479" t="s">
        <v>31</v>
      </c>
      <c r="AQ2479">
        <v>0</v>
      </c>
    </row>
    <row r="2480" spans="1:43" x14ac:dyDescent="0.2">
      <c r="A2480" t="s">
        <v>381</v>
      </c>
      <c r="B2480" s="3">
        <v>44313</v>
      </c>
      <c r="C2480">
        <v>74</v>
      </c>
      <c r="D2480" t="s">
        <v>383</v>
      </c>
      <c r="E2480" t="s">
        <v>127</v>
      </c>
      <c r="F2480" s="9" t="s">
        <v>143</v>
      </c>
      <c r="G2480" t="s">
        <v>26</v>
      </c>
      <c r="H2480" t="s">
        <v>85</v>
      </c>
      <c r="I2480" t="s">
        <v>86</v>
      </c>
      <c r="J2480" t="s">
        <v>53</v>
      </c>
      <c r="K2480" t="s">
        <v>54</v>
      </c>
      <c r="L2480" t="s">
        <v>53</v>
      </c>
      <c r="M2480" t="s">
        <v>54</v>
      </c>
      <c r="N2480" t="s">
        <v>85</v>
      </c>
      <c r="O2480" t="s">
        <v>86</v>
      </c>
      <c r="P2480" t="s">
        <v>53</v>
      </c>
      <c r="Q2480" t="s">
        <v>54</v>
      </c>
      <c r="R2480" s="1">
        <v>44313.467465277776</v>
      </c>
      <c r="S2480" s="1">
        <v>44313.467465277776</v>
      </c>
      <c r="T2480">
        <v>1</v>
      </c>
      <c r="U2480">
        <v>1</v>
      </c>
      <c r="V2480" s="2">
        <v>1</v>
      </c>
      <c r="W2480">
        <v>1</v>
      </c>
      <c r="X2480" t="s">
        <v>54</v>
      </c>
      <c r="Y2480">
        <v>1</v>
      </c>
      <c r="Z2480" t="s">
        <v>31</v>
      </c>
      <c r="AA2480">
        <v>0</v>
      </c>
      <c r="AB2480" t="s">
        <v>31</v>
      </c>
      <c r="AC2480">
        <v>0</v>
      </c>
      <c r="AD2480" t="s">
        <v>31</v>
      </c>
      <c r="AE2480">
        <v>0</v>
      </c>
      <c r="AF2480" t="s">
        <v>31</v>
      </c>
      <c r="AG2480">
        <v>0</v>
      </c>
      <c r="AH2480" t="s">
        <v>31</v>
      </c>
      <c r="AI2480">
        <v>0</v>
      </c>
      <c r="AJ2480" t="s">
        <v>31</v>
      </c>
      <c r="AK2480">
        <v>0</v>
      </c>
      <c r="AL2480" t="s">
        <v>31</v>
      </c>
      <c r="AM2480">
        <v>0</v>
      </c>
      <c r="AN2480" t="s">
        <v>31</v>
      </c>
      <c r="AO2480">
        <v>0</v>
      </c>
      <c r="AP2480" t="s">
        <v>31</v>
      </c>
      <c r="AQ2480">
        <v>0</v>
      </c>
    </row>
    <row r="2481" spans="1:43" x14ac:dyDescent="0.2">
      <c r="A2481" t="s">
        <v>381</v>
      </c>
      <c r="B2481" s="3">
        <v>44316</v>
      </c>
      <c r="C2481">
        <v>83</v>
      </c>
      <c r="D2481" t="s">
        <v>387</v>
      </c>
      <c r="E2481" t="s">
        <v>127</v>
      </c>
      <c r="F2481" s="9" t="s">
        <v>143</v>
      </c>
      <c r="G2481" t="s">
        <v>26</v>
      </c>
      <c r="H2481" t="s">
        <v>85</v>
      </c>
      <c r="I2481" t="s">
        <v>86</v>
      </c>
      <c r="J2481" t="s">
        <v>53</v>
      </c>
      <c r="K2481" t="s">
        <v>54</v>
      </c>
      <c r="L2481" t="s">
        <v>53</v>
      </c>
      <c r="M2481" t="s">
        <v>54</v>
      </c>
      <c r="N2481" t="s">
        <v>85</v>
      </c>
      <c r="O2481" t="s">
        <v>86</v>
      </c>
      <c r="P2481" t="s">
        <v>53</v>
      </c>
      <c r="Q2481" t="s">
        <v>54</v>
      </c>
      <c r="R2481" s="1">
        <v>44316.589305555557</v>
      </c>
      <c r="S2481" s="1">
        <v>44316.589305555557</v>
      </c>
      <c r="T2481">
        <v>0</v>
      </c>
      <c r="U2481">
        <v>1</v>
      </c>
      <c r="V2481" s="2">
        <v>0</v>
      </c>
      <c r="W2481">
        <v>0</v>
      </c>
      <c r="X2481" t="s">
        <v>44</v>
      </c>
      <c r="Y2481">
        <v>0</v>
      </c>
      <c r="Z2481" t="s">
        <v>31</v>
      </c>
      <c r="AA2481">
        <v>0</v>
      </c>
      <c r="AB2481" t="s">
        <v>31</v>
      </c>
      <c r="AC2481">
        <v>0</v>
      </c>
      <c r="AD2481" t="s">
        <v>31</v>
      </c>
      <c r="AE2481">
        <v>0</v>
      </c>
      <c r="AF2481" t="s">
        <v>31</v>
      </c>
      <c r="AG2481">
        <v>0</v>
      </c>
      <c r="AH2481" t="s">
        <v>31</v>
      </c>
      <c r="AI2481">
        <v>0</v>
      </c>
      <c r="AJ2481" t="s">
        <v>31</v>
      </c>
      <c r="AK2481">
        <v>0</v>
      </c>
      <c r="AL2481" t="s">
        <v>31</v>
      </c>
      <c r="AM2481">
        <v>0</v>
      </c>
      <c r="AN2481" t="s">
        <v>31</v>
      </c>
      <c r="AO2481">
        <v>0</v>
      </c>
      <c r="AP2481" t="s">
        <v>31</v>
      </c>
      <c r="AQ2481">
        <v>0</v>
      </c>
    </row>
    <row r="2482" spans="1:43" x14ac:dyDescent="0.2">
      <c r="A2482" t="s">
        <v>381</v>
      </c>
      <c r="B2482" s="3">
        <v>44319</v>
      </c>
      <c r="C2482">
        <v>84</v>
      </c>
      <c r="D2482" t="s">
        <v>390</v>
      </c>
      <c r="E2482" t="s">
        <v>127</v>
      </c>
      <c r="F2482" s="9" t="s">
        <v>143</v>
      </c>
      <c r="G2482" t="s">
        <v>26</v>
      </c>
      <c r="H2482" t="s">
        <v>85</v>
      </c>
      <c r="I2482" t="s">
        <v>86</v>
      </c>
      <c r="J2482" t="s">
        <v>53</v>
      </c>
      <c r="K2482" t="s">
        <v>54</v>
      </c>
      <c r="L2482" t="s">
        <v>53</v>
      </c>
      <c r="M2482" t="s">
        <v>54</v>
      </c>
      <c r="N2482" t="s">
        <v>85</v>
      </c>
      <c r="O2482" t="s">
        <v>86</v>
      </c>
      <c r="P2482" t="s">
        <v>53</v>
      </c>
      <c r="Q2482" t="s">
        <v>54</v>
      </c>
      <c r="R2482" s="1">
        <v>44319.483194444445</v>
      </c>
      <c r="S2482" s="1">
        <v>44319.483194444445</v>
      </c>
      <c r="T2482">
        <v>0</v>
      </c>
      <c r="U2482">
        <v>1</v>
      </c>
      <c r="V2482" s="2">
        <v>0</v>
      </c>
      <c r="W2482">
        <v>0</v>
      </c>
      <c r="X2482" t="s">
        <v>44</v>
      </c>
      <c r="Y2482">
        <v>0</v>
      </c>
      <c r="Z2482" t="s">
        <v>31</v>
      </c>
      <c r="AA2482">
        <v>0</v>
      </c>
      <c r="AB2482" t="s">
        <v>31</v>
      </c>
      <c r="AC2482">
        <v>0</v>
      </c>
      <c r="AD2482" t="s">
        <v>31</v>
      </c>
      <c r="AE2482">
        <v>0</v>
      </c>
      <c r="AF2482" t="s">
        <v>31</v>
      </c>
      <c r="AG2482">
        <v>0</v>
      </c>
      <c r="AH2482" t="s">
        <v>31</v>
      </c>
      <c r="AI2482">
        <v>0</v>
      </c>
      <c r="AJ2482" t="s">
        <v>31</v>
      </c>
      <c r="AK2482">
        <v>0</v>
      </c>
      <c r="AL2482" t="s">
        <v>31</v>
      </c>
      <c r="AM2482">
        <v>0</v>
      </c>
      <c r="AN2482" t="s">
        <v>31</v>
      </c>
      <c r="AO2482">
        <v>0</v>
      </c>
      <c r="AP2482" t="s">
        <v>31</v>
      </c>
      <c r="AQ2482">
        <v>0</v>
      </c>
    </row>
    <row r="2483" spans="1:43" x14ac:dyDescent="0.2">
      <c r="A2483" t="s">
        <v>381</v>
      </c>
      <c r="B2483" s="3">
        <v>44321</v>
      </c>
      <c r="C2483">
        <v>89</v>
      </c>
      <c r="D2483" t="s">
        <v>387</v>
      </c>
      <c r="E2483" t="s">
        <v>127</v>
      </c>
      <c r="F2483" s="9" t="s">
        <v>143</v>
      </c>
      <c r="G2483" t="s">
        <v>26</v>
      </c>
      <c r="H2483" t="s">
        <v>85</v>
      </c>
      <c r="I2483" t="s">
        <v>86</v>
      </c>
      <c r="J2483" t="s">
        <v>53</v>
      </c>
      <c r="K2483" t="s">
        <v>54</v>
      </c>
      <c r="L2483" t="s">
        <v>53</v>
      </c>
      <c r="M2483" t="s">
        <v>54</v>
      </c>
      <c r="N2483" t="s">
        <v>85</v>
      </c>
      <c r="O2483" t="s">
        <v>86</v>
      </c>
      <c r="P2483" t="s">
        <v>53</v>
      </c>
      <c r="Q2483" t="s">
        <v>54</v>
      </c>
      <c r="R2483" s="1">
        <v>44321.583703703705</v>
      </c>
      <c r="S2483" s="1">
        <v>44321.583703703705</v>
      </c>
      <c r="T2483">
        <v>0</v>
      </c>
      <c r="U2483">
        <v>1</v>
      </c>
      <c r="V2483" s="2">
        <v>0</v>
      </c>
      <c r="W2483">
        <v>0</v>
      </c>
      <c r="X2483" t="s">
        <v>44</v>
      </c>
      <c r="Y2483">
        <v>0</v>
      </c>
      <c r="Z2483" t="s">
        <v>31</v>
      </c>
      <c r="AA2483">
        <v>0</v>
      </c>
      <c r="AB2483" t="s">
        <v>31</v>
      </c>
      <c r="AC2483">
        <v>0</v>
      </c>
      <c r="AD2483" t="s">
        <v>31</v>
      </c>
      <c r="AE2483">
        <v>0</v>
      </c>
      <c r="AF2483" t="s">
        <v>31</v>
      </c>
      <c r="AG2483">
        <v>0</v>
      </c>
      <c r="AH2483" t="s">
        <v>31</v>
      </c>
      <c r="AI2483">
        <v>0</v>
      </c>
      <c r="AJ2483" t="s">
        <v>31</v>
      </c>
      <c r="AK2483">
        <v>0</v>
      </c>
      <c r="AL2483" t="s">
        <v>31</v>
      </c>
      <c r="AM2483">
        <v>0</v>
      </c>
      <c r="AN2483" t="s">
        <v>31</v>
      </c>
      <c r="AO2483">
        <v>0</v>
      </c>
      <c r="AP2483" t="s">
        <v>31</v>
      </c>
      <c r="AQ2483">
        <v>0</v>
      </c>
    </row>
    <row r="2484" spans="1:43" x14ac:dyDescent="0.2">
      <c r="A2484" t="s">
        <v>381</v>
      </c>
      <c r="B2484" s="3">
        <v>44328</v>
      </c>
      <c r="C2484">
        <v>97</v>
      </c>
      <c r="D2484" t="s">
        <v>387</v>
      </c>
      <c r="E2484" t="s">
        <v>127</v>
      </c>
      <c r="F2484" s="9" t="s">
        <v>143</v>
      </c>
      <c r="G2484" t="s">
        <v>26</v>
      </c>
      <c r="H2484" t="s">
        <v>85</v>
      </c>
      <c r="I2484" t="s">
        <v>86</v>
      </c>
      <c r="J2484" t="s">
        <v>53</v>
      </c>
      <c r="K2484" t="s">
        <v>54</v>
      </c>
      <c r="L2484" t="s">
        <v>53</v>
      </c>
      <c r="M2484" t="s">
        <v>54</v>
      </c>
      <c r="N2484" t="s">
        <v>85</v>
      </c>
      <c r="O2484" t="s">
        <v>86</v>
      </c>
      <c r="P2484" t="s">
        <v>53</v>
      </c>
      <c r="Q2484" t="s">
        <v>54</v>
      </c>
      <c r="R2484" s="1">
        <v>44328.646701388891</v>
      </c>
      <c r="S2484" s="1">
        <v>44328.646701388891</v>
      </c>
      <c r="T2484">
        <v>0</v>
      </c>
      <c r="U2484">
        <v>1</v>
      </c>
      <c r="V2484" s="2">
        <v>0</v>
      </c>
      <c r="W2484">
        <v>0</v>
      </c>
      <c r="X2484" t="s">
        <v>44</v>
      </c>
      <c r="Y2484">
        <v>0</v>
      </c>
      <c r="Z2484" t="s">
        <v>31</v>
      </c>
      <c r="AA2484">
        <v>0</v>
      </c>
      <c r="AB2484" t="s">
        <v>31</v>
      </c>
      <c r="AC2484">
        <v>0</v>
      </c>
      <c r="AD2484" t="s">
        <v>31</v>
      </c>
      <c r="AE2484">
        <v>0</v>
      </c>
      <c r="AF2484" t="s">
        <v>31</v>
      </c>
      <c r="AG2484">
        <v>0</v>
      </c>
      <c r="AH2484" t="s">
        <v>31</v>
      </c>
      <c r="AI2484">
        <v>0</v>
      </c>
      <c r="AJ2484" t="s">
        <v>31</v>
      </c>
      <c r="AK2484">
        <v>0</v>
      </c>
      <c r="AL2484" t="s">
        <v>31</v>
      </c>
      <c r="AM2484">
        <v>0</v>
      </c>
      <c r="AN2484" t="s">
        <v>31</v>
      </c>
      <c r="AO2484">
        <v>0</v>
      </c>
      <c r="AP2484" t="s">
        <v>31</v>
      </c>
      <c r="AQ2484">
        <v>0</v>
      </c>
    </row>
    <row r="2485" spans="1:43" x14ac:dyDescent="0.2">
      <c r="A2485" t="s">
        <v>381</v>
      </c>
      <c r="B2485" s="3">
        <v>44342</v>
      </c>
      <c r="C2485">
        <v>112</v>
      </c>
      <c r="D2485" t="s">
        <v>394</v>
      </c>
      <c r="E2485" t="s">
        <v>127</v>
      </c>
      <c r="F2485" s="9" t="s">
        <v>143</v>
      </c>
      <c r="G2485" t="s">
        <v>26</v>
      </c>
      <c r="H2485" t="s">
        <v>85</v>
      </c>
      <c r="I2485" t="s">
        <v>86</v>
      </c>
      <c r="J2485" t="s">
        <v>53</v>
      </c>
      <c r="K2485" t="s">
        <v>54</v>
      </c>
      <c r="L2485" t="s">
        <v>53</v>
      </c>
      <c r="M2485" t="s">
        <v>54</v>
      </c>
      <c r="N2485" t="s">
        <v>85</v>
      </c>
      <c r="O2485" t="s">
        <v>86</v>
      </c>
      <c r="P2485" t="s">
        <v>53</v>
      </c>
      <c r="Q2485" t="s">
        <v>54</v>
      </c>
      <c r="R2485" s="1">
        <v>44342.424108796295</v>
      </c>
      <c r="S2485" s="1">
        <v>44342.424108796295</v>
      </c>
      <c r="T2485">
        <v>0</v>
      </c>
      <c r="U2485">
        <v>1</v>
      </c>
      <c r="V2485" s="2">
        <v>0</v>
      </c>
      <c r="W2485">
        <v>0</v>
      </c>
      <c r="X2485" t="s">
        <v>44</v>
      </c>
      <c r="Y2485">
        <v>0</v>
      </c>
      <c r="Z2485" t="s">
        <v>31</v>
      </c>
      <c r="AA2485">
        <v>0</v>
      </c>
      <c r="AB2485" t="s">
        <v>31</v>
      </c>
      <c r="AC2485">
        <v>0</v>
      </c>
      <c r="AD2485" t="s">
        <v>31</v>
      </c>
      <c r="AE2485">
        <v>0</v>
      </c>
      <c r="AF2485" t="s">
        <v>31</v>
      </c>
      <c r="AG2485">
        <v>0</v>
      </c>
      <c r="AH2485" t="s">
        <v>31</v>
      </c>
      <c r="AI2485">
        <v>0</v>
      </c>
      <c r="AJ2485" t="s">
        <v>31</v>
      </c>
      <c r="AK2485">
        <v>0</v>
      </c>
      <c r="AL2485" t="s">
        <v>31</v>
      </c>
      <c r="AM2485">
        <v>0</v>
      </c>
      <c r="AN2485" t="s">
        <v>31</v>
      </c>
      <c r="AO2485">
        <v>0</v>
      </c>
      <c r="AP2485" t="s">
        <v>31</v>
      </c>
      <c r="AQ2485">
        <v>0</v>
      </c>
    </row>
    <row r="2486" spans="1:43" x14ac:dyDescent="0.2">
      <c r="A2486" t="s">
        <v>381</v>
      </c>
      <c r="B2486" s="3">
        <v>44351</v>
      </c>
      <c r="C2486">
        <v>125</v>
      </c>
      <c r="D2486" t="s">
        <v>387</v>
      </c>
      <c r="E2486" t="s">
        <v>127</v>
      </c>
      <c r="F2486" s="9" t="s">
        <v>143</v>
      </c>
      <c r="G2486" t="s">
        <v>26</v>
      </c>
      <c r="H2486" t="s">
        <v>85</v>
      </c>
      <c r="I2486" t="s">
        <v>86</v>
      </c>
      <c r="J2486" t="s">
        <v>53</v>
      </c>
      <c r="K2486" t="s">
        <v>54</v>
      </c>
      <c r="L2486" t="s">
        <v>53</v>
      </c>
      <c r="M2486" t="s">
        <v>54</v>
      </c>
      <c r="N2486" t="s">
        <v>85</v>
      </c>
      <c r="O2486" t="s">
        <v>86</v>
      </c>
      <c r="P2486" t="s">
        <v>53</v>
      </c>
      <c r="Q2486" t="s">
        <v>54</v>
      </c>
      <c r="R2486" s="1">
        <v>44351.554675925923</v>
      </c>
      <c r="S2486" s="1">
        <v>44351.554675925923</v>
      </c>
      <c r="T2486">
        <v>0</v>
      </c>
      <c r="U2486">
        <v>1</v>
      </c>
      <c r="V2486" s="2">
        <v>0</v>
      </c>
      <c r="W2486">
        <v>0</v>
      </c>
      <c r="X2486" t="s">
        <v>44</v>
      </c>
      <c r="Y2486">
        <v>0</v>
      </c>
      <c r="Z2486" t="s">
        <v>31</v>
      </c>
      <c r="AA2486">
        <v>0</v>
      </c>
      <c r="AB2486" t="s">
        <v>31</v>
      </c>
      <c r="AC2486">
        <v>0</v>
      </c>
      <c r="AD2486" t="s">
        <v>31</v>
      </c>
      <c r="AE2486">
        <v>0</v>
      </c>
      <c r="AF2486" t="s">
        <v>31</v>
      </c>
      <c r="AG2486">
        <v>0</v>
      </c>
      <c r="AH2486" t="s">
        <v>31</v>
      </c>
      <c r="AI2486">
        <v>0</v>
      </c>
      <c r="AJ2486" t="s">
        <v>31</v>
      </c>
      <c r="AK2486">
        <v>0</v>
      </c>
      <c r="AL2486" t="s">
        <v>31</v>
      </c>
      <c r="AM2486">
        <v>0</v>
      </c>
      <c r="AN2486" t="s">
        <v>31</v>
      </c>
      <c r="AO2486">
        <v>0</v>
      </c>
      <c r="AP2486" t="s">
        <v>31</v>
      </c>
      <c r="AQ2486">
        <v>0</v>
      </c>
    </row>
    <row r="2487" spans="1:43" x14ac:dyDescent="0.2">
      <c r="A2487" t="s">
        <v>381</v>
      </c>
      <c r="B2487" s="3">
        <v>44354</v>
      </c>
      <c r="C2487">
        <v>127</v>
      </c>
      <c r="D2487" t="s">
        <v>383</v>
      </c>
      <c r="E2487" t="s">
        <v>127</v>
      </c>
      <c r="F2487" s="9" t="s">
        <v>143</v>
      </c>
      <c r="G2487" t="s">
        <v>26</v>
      </c>
      <c r="H2487" t="s">
        <v>85</v>
      </c>
      <c r="I2487" t="s">
        <v>86</v>
      </c>
      <c r="J2487" t="s">
        <v>53</v>
      </c>
      <c r="K2487" t="s">
        <v>54</v>
      </c>
      <c r="L2487" t="s">
        <v>53</v>
      </c>
      <c r="M2487" t="s">
        <v>54</v>
      </c>
      <c r="N2487" t="s">
        <v>85</v>
      </c>
      <c r="O2487" t="s">
        <v>86</v>
      </c>
      <c r="P2487" t="s">
        <v>53</v>
      </c>
      <c r="Q2487" t="s">
        <v>54</v>
      </c>
      <c r="R2487" s="1">
        <v>44354.638148148151</v>
      </c>
      <c r="S2487" s="1">
        <v>44354.638171296298</v>
      </c>
      <c r="T2487">
        <v>0</v>
      </c>
      <c r="U2487">
        <v>1</v>
      </c>
      <c r="V2487" s="2">
        <v>0</v>
      </c>
      <c r="W2487">
        <v>0</v>
      </c>
      <c r="X2487" t="s">
        <v>44</v>
      </c>
      <c r="Y2487">
        <v>0</v>
      </c>
      <c r="Z2487" t="s">
        <v>31</v>
      </c>
      <c r="AA2487">
        <v>0</v>
      </c>
      <c r="AB2487" t="s">
        <v>31</v>
      </c>
      <c r="AC2487">
        <v>0</v>
      </c>
      <c r="AD2487" t="s">
        <v>31</v>
      </c>
      <c r="AE2487">
        <v>0</v>
      </c>
      <c r="AF2487" t="s">
        <v>31</v>
      </c>
      <c r="AG2487">
        <v>0</v>
      </c>
      <c r="AH2487" t="s">
        <v>31</v>
      </c>
      <c r="AI2487">
        <v>0</v>
      </c>
      <c r="AJ2487" t="s">
        <v>31</v>
      </c>
      <c r="AK2487">
        <v>0</v>
      </c>
      <c r="AL2487" t="s">
        <v>31</v>
      </c>
      <c r="AM2487">
        <v>0</v>
      </c>
      <c r="AN2487" t="s">
        <v>31</v>
      </c>
      <c r="AO2487">
        <v>0</v>
      </c>
      <c r="AP2487" t="s">
        <v>31</v>
      </c>
      <c r="AQ2487">
        <v>0</v>
      </c>
    </row>
    <row r="2488" spans="1:43" x14ac:dyDescent="0.2">
      <c r="A2488" t="s">
        <v>381</v>
      </c>
      <c r="B2488" s="3">
        <v>44356</v>
      </c>
      <c r="C2488">
        <v>131</v>
      </c>
      <c r="D2488" t="s">
        <v>383</v>
      </c>
      <c r="E2488" t="s">
        <v>127</v>
      </c>
      <c r="F2488" s="9" t="s">
        <v>143</v>
      </c>
      <c r="G2488" t="s">
        <v>26</v>
      </c>
      <c r="H2488" t="s">
        <v>85</v>
      </c>
      <c r="I2488" t="s">
        <v>86</v>
      </c>
      <c r="J2488" t="s">
        <v>53</v>
      </c>
      <c r="K2488" t="s">
        <v>54</v>
      </c>
      <c r="L2488" t="s">
        <v>53</v>
      </c>
      <c r="M2488" t="s">
        <v>54</v>
      </c>
      <c r="N2488" t="s">
        <v>85</v>
      </c>
      <c r="O2488" t="s">
        <v>86</v>
      </c>
      <c r="P2488" t="s">
        <v>53</v>
      </c>
      <c r="Q2488" t="s">
        <v>54</v>
      </c>
      <c r="R2488" s="1">
        <v>44356.554722222223</v>
      </c>
      <c r="S2488" s="1">
        <v>44356.554722222223</v>
      </c>
      <c r="T2488">
        <v>0</v>
      </c>
      <c r="U2488">
        <v>1</v>
      </c>
      <c r="V2488" s="2">
        <v>0</v>
      </c>
      <c r="W2488">
        <v>0</v>
      </c>
      <c r="X2488" t="s">
        <v>44</v>
      </c>
      <c r="Y2488">
        <v>0</v>
      </c>
      <c r="Z2488" t="s">
        <v>31</v>
      </c>
      <c r="AA2488">
        <v>0</v>
      </c>
      <c r="AB2488" t="s">
        <v>31</v>
      </c>
      <c r="AC2488">
        <v>0</v>
      </c>
      <c r="AD2488" t="s">
        <v>31</v>
      </c>
      <c r="AE2488">
        <v>0</v>
      </c>
      <c r="AF2488" t="s">
        <v>31</v>
      </c>
      <c r="AG2488">
        <v>0</v>
      </c>
      <c r="AH2488" t="s">
        <v>31</v>
      </c>
      <c r="AI2488">
        <v>0</v>
      </c>
      <c r="AJ2488" t="s">
        <v>31</v>
      </c>
      <c r="AK2488">
        <v>0</v>
      </c>
      <c r="AL2488" t="s">
        <v>31</v>
      </c>
      <c r="AM2488">
        <v>0</v>
      </c>
      <c r="AN2488" t="s">
        <v>31</v>
      </c>
      <c r="AO2488">
        <v>0</v>
      </c>
      <c r="AP2488" t="s">
        <v>31</v>
      </c>
      <c r="AQ2488">
        <v>0</v>
      </c>
    </row>
    <row r="2489" spans="1:43" x14ac:dyDescent="0.2">
      <c r="A2489" t="s">
        <v>381</v>
      </c>
      <c r="B2489" s="3">
        <v>44357</v>
      </c>
      <c r="C2489">
        <v>132</v>
      </c>
      <c r="D2489" t="s">
        <v>399</v>
      </c>
      <c r="E2489" t="s">
        <v>127</v>
      </c>
      <c r="F2489" s="9" t="s">
        <v>143</v>
      </c>
      <c r="G2489" t="s">
        <v>26</v>
      </c>
      <c r="H2489" t="s">
        <v>85</v>
      </c>
      <c r="I2489" t="s">
        <v>86</v>
      </c>
      <c r="J2489" t="s">
        <v>53</v>
      </c>
      <c r="K2489" t="s">
        <v>54</v>
      </c>
      <c r="L2489" t="s">
        <v>53</v>
      </c>
      <c r="M2489" t="s">
        <v>54</v>
      </c>
      <c r="N2489" t="s">
        <v>85</v>
      </c>
      <c r="O2489" t="s">
        <v>86</v>
      </c>
      <c r="P2489" t="s">
        <v>53</v>
      </c>
      <c r="Q2489" t="s">
        <v>54</v>
      </c>
      <c r="R2489" s="1">
        <v>44357.41920138889</v>
      </c>
      <c r="S2489" s="1">
        <v>44357.41920138889</v>
      </c>
      <c r="T2489">
        <v>0</v>
      </c>
      <c r="U2489">
        <v>1</v>
      </c>
      <c r="V2489" s="2">
        <v>0</v>
      </c>
      <c r="W2489">
        <v>0</v>
      </c>
      <c r="X2489" t="s">
        <v>44</v>
      </c>
      <c r="Y2489">
        <v>0</v>
      </c>
      <c r="Z2489" t="s">
        <v>31</v>
      </c>
      <c r="AA2489">
        <v>0</v>
      </c>
      <c r="AB2489" t="s">
        <v>31</v>
      </c>
      <c r="AC2489">
        <v>0</v>
      </c>
      <c r="AD2489" t="s">
        <v>31</v>
      </c>
      <c r="AE2489">
        <v>0</v>
      </c>
      <c r="AF2489" t="s">
        <v>31</v>
      </c>
      <c r="AG2489">
        <v>0</v>
      </c>
      <c r="AH2489" t="s">
        <v>31</v>
      </c>
      <c r="AI2489">
        <v>0</v>
      </c>
      <c r="AJ2489" t="s">
        <v>31</v>
      </c>
      <c r="AK2489">
        <v>0</v>
      </c>
      <c r="AL2489" t="s">
        <v>31</v>
      </c>
      <c r="AM2489">
        <v>0</v>
      </c>
      <c r="AN2489" t="s">
        <v>31</v>
      </c>
      <c r="AO2489">
        <v>0</v>
      </c>
      <c r="AP2489" t="s">
        <v>31</v>
      </c>
      <c r="AQ2489">
        <v>0</v>
      </c>
    </row>
    <row r="2490" spans="1:43" x14ac:dyDescent="0.2">
      <c r="A2490" t="s">
        <v>381</v>
      </c>
      <c r="B2490" s="3">
        <v>44361</v>
      </c>
      <c r="C2490">
        <v>135</v>
      </c>
      <c r="D2490" t="s">
        <v>390</v>
      </c>
      <c r="E2490" t="s">
        <v>127</v>
      </c>
      <c r="F2490" s="9" t="s">
        <v>143</v>
      </c>
      <c r="G2490" t="s">
        <v>26</v>
      </c>
      <c r="H2490" t="s">
        <v>85</v>
      </c>
      <c r="I2490" t="s">
        <v>86</v>
      </c>
      <c r="J2490" t="s">
        <v>53</v>
      </c>
      <c r="K2490" t="s">
        <v>54</v>
      </c>
      <c r="L2490" t="s">
        <v>53</v>
      </c>
      <c r="M2490" t="s">
        <v>54</v>
      </c>
      <c r="N2490" t="s">
        <v>85</v>
      </c>
      <c r="O2490" t="s">
        <v>86</v>
      </c>
      <c r="P2490" t="s">
        <v>53</v>
      </c>
      <c r="Q2490" t="s">
        <v>54</v>
      </c>
      <c r="R2490" s="1">
        <v>44361.464733796296</v>
      </c>
      <c r="S2490" s="1">
        <v>44361.464733796296</v>
      </c>
      <c r="T2490">
        <v>0</v>
      </c>
      <c r="U2490">
        <v>1</v>
      </c>
      <c r="V2490" s="2">
        <v>0</v>
      </c>
      <c r="W2490">
        <v>0</v>
      </c>
      <c r="X2490" t="s">
        <v>44</v>
      </c>
      <c r="Y2490">
        <v>0</v>
      </c>
      <c r="Z2490" t="s">
        <v>31</v>
      </c>
      <c r="AA2490">
        <v>0</v>
      </c>
      <c r="AB2490" t="s">
        <v>31</v>
      </c>
      <c r="AC2490">
        <v>0</v>
      </c>
      <c r="AD2490" t="s">
        <v>31</v>
      </c>
      <c r="AE2490">
        <v>0</v>
      </c>
      <c r="AF2490" t="s">
        <v>31</v>
      </c>
      <c r="AG2490">
        <v>0</v>
      </c>
      <c r="AH2490" t="s">
        <v>31</v>
      </c>
      <c r="AI2490">
        <v>0</v>
      </c>
      <c r="AJ2490" t="s">
        <v>31</v>
      </c>
      <c r="AK2490">
        <v>0</v>
      </c>
      <c r="AL2490" t="s">
        <v>31</v>
      </c>
      <c r="AM2490">
        <v>0</v>
      </c>
      <c r="AN2490" t="s">
        <v>31</v>
      </c>
      <c r="AO2490">
        <v>0</v>
      </c>
      <c r="AP2490" t="s">
        <v>31</v>
      </c>
      <c r="AQ2490">
        <v>0</v>
      </c>
    </row>
    <row r="2491" spans="1:43" x14ac:dyDescent="0.2">
      <c r="A2491" t="s">
        <v>381</v>
      </c>
      <c r="B2491" s="3">
        <v>44365</v>
      </c>
      <c r="C2491">
        <v>140</v>
      </c>
      <c r="D2491" t="s">
        <v>399</v>
      </c>
      <c r="E2491" t="s">
        <v>127</v>
      </c>
      <c r="F2491" s="9" t="s">
        <v>143</v>
      </c>
      <c r="G2491" t="s">
        <v>26</v>
      </c>
      <c r="H2491" t="s">
        <v>85</v>
      </c>
      <c r="I2491" t="s">
        <v>86</v>
      </c>
      <c r="J2491" t="s">
        <v>53</v>
      </c>
      <c r="K2491" t="s">
        <v>54</v>
      </c>
      <c r="L2491" t="s">
        <v>53</v>
      </c>
      <c r="M2491" t="s">
        <v>54</v>
      </c>
      <c r="N2491" t="s">
        <v>85</v>
      </c>
      <c r="O2491" t="s">
        <v>86</v>
      </c>
      <c r="P2491" t="s">
        <v>53</v>
      </c>
      <c r="Q2491" t="s">
        <v>54</v>
      </c>
      <c r="R2491" s="1">
        <v>44365.577800925923</v>
      </c>
      <c r="S2491" s="1">
        <v>44365.577800925923</v>
      </c>
      <c r="T2491">
        <v>0</v>
      </c>
      <c r="U2491">
        <v>1</v>
      </c>
      <c r="V2491" s="2">
        <v>0</v>
      </c>
      <c r="W2491">
        <v>0</v>
      </c>
      <c r="X2491" t="s">
        <v>44</v>
      </c>
      <c r="Y2491">
        <v>0</v>
      </c>
      <c r="Z2491" t="s">
        <v>31</v>
      </c>
      <c r="AA2491">
        <v>0</v>
      </c>
      <c r="AB2491" t="s">
        <v>31</v>
      </c>
      <c r="AC2491">
        <v>0</v>
      </c>
      <c r="AD2491" t="s">
        <v>31</v>
      </c>
      <c r="AE2491">
        <v>0</v>
      </c>
      <c r="AF2491" t="s">
        <v>31</v>
      </c>
      <c r="AG2491">
        <v>0</v>
      </c>
      <c r="AH2491" t="s">
        <v>31</v>
      </c>
      <c r="AI2491">
        <v>0</v>
      </c>
      <c r="AJ2491" t="s">
        <v>31</v>
      </c>
      <c r="AK2491">
        <v>0</v>
      </c>
      <c r="AL2491" t="s">
        <v>31</v>
      </c>
      <c r="AM2491">
        <v>0</v>
      </c>
      <c r="AN2491" t="s">
        <v>31</v>
      </c>
      <c r="AO2491">
        <v>0</v>
      </c>
      <c r="AP2491" t="s">
        <v>31</v>
      </c>
      <c r="AQ2491">
        <v>0</v>
      </c>
    </row>
    <row r="2492" spans="1:43" x14ac:dyDescent="0.2">
      <c r="A2492" t="s">
        <v>381</v>
      </c>
      <c r="B2492" s="3">
        <v>44375</v>
      </c>
      <c r="C2492">
        <v>141</v>
      </c>
      <c r="D2492" t="s">
        <v>396</v>
      </c>
      <c r="E2492" t="s">
        <v>127</v>
      </c>
      <c r="F2492" s="9" t="s">
        <v>143</v>
      </c>
      <c r="G2492" t="s">
        <v>26</v>
      </c>
      <c r="H2492" t="s">
        <v>85</v>
      </c>
      <c r="I2492" t="s">
        <v>86</v>
      </c>
      <c r="J2492" t="s">
        <v>53</v>
      </c>
      <c r="K2492" t="s">
        <v>54</v>
      </c>
      <c r="L2492" t="s">
        <v>53</v>
      </c>
      <c r="M2492" t="s">
        <v>54</v>
      </c>
      <c r="N2492" t="s">
        <v>85</v>
      </c>
      <c r="O2492" t="s">
        <v>86</v>
      </c>
      <c r="P2492" t="s">
        <v>53</v>
      </c>
      <c r="Q2492" t="s">
        <v>54</v>
      </c>
      <c r="R2492" s="1">
        <v>44375.622187499997</v>
      </c>
      <c r="S2492" s="1">
        <v>44375.622187499997</v>
      </c>
      <c r="T2492">
        <v>0</v>
      </c>
      <c r="U2492">
        <v>1</v>
      </c>
      <c r="V2492" s="2">
        <v>0</v>
      </c>
      <c r="W2492">
        <v>0</v>
      </c>
      <c r="X2492" t="s">
        <v>44</v>
      </c>
      <c r="Y2492">
        <v>0</v>
      </c>
      <c r="Z2492" t="s">
        <v>31</v>
      </c>
      <c r="AA2492">
        <v>0</v>
      </c>
      <c r="AB2492" t="s">
        <v>31</v>
      </c>
      <c r="AC2492">
        <v>0</v>
      </c>
      <c r="AD2492" t="s">
        <v>31</v>
      </c>
      <c r="AE2492">
        <v>0</v>
      </c>
      <c r="AF2492" t="s">
        <v>31</v>
      </c>
      <c r="AG2492">
        <v>0</v>
      </c>
      <c r="AH2492" t="s">
        <v>31</v>
      </c>
      <c r="AI2492">
        <v>0</v>
      </c>
      <c r="AJ2492" t="s">
        <v>31</v>
      </c>
      <c r="AK2492">
        <v>0</v>
      </c>
      <c r="AL2492" t="s">
        <v>31</v>
      </c>
      <c r="AM2492">
        <v>0</v>
      </c>
      <c r="AN2492" t="s">
        <v>31</v>
      </c>
      <c r="AO2492">
        <v>0</v>
      </c>
      <c r="AP2492" t="s">
        <v>31</v>
      </c>
      <c r="AQ2492">
        <v>0</v>
      </c>
    </row>
    <row r="2493" spans="1:43" x14ac:dyDescent="0.2">
      <c r="A2493" t="s">
        <v>381</v>
      </c>
      <c r="B2493" s="3">
        <v>44237</v>
      </c>
      <c r="C2493">
        <v>4</v>
      </c>
      <c r="D2493" t="s">
        <v>384</v>
      </c>
      <c r="E2493" t="s">
        <v>127</v>
      </c>
      <c r="F2493" s="9" t="s">
        <v>129</v>
      </c>
      <c r="G2493" t="s">
        <v>26</v>
      </c>
      <c r="H2493" t="s">
        <v>85</v>
      </c>
      <c r="I2493" t="s">
        <v>86</v>
      </c>
      <c r="J2493" t="s">
        <v>53</v>
      </c>
      <c r="K2493" t="s">
        <v>54</v>
      </c>
      <c r="L2493" t="s">
        <v>53</v>
      </c>
      <c r="M2493" t="s">
        <v>54</v>
      </c>
      <c r="N2493" t="s">
        <v>85</v>
      </c>
      <c r="O2493" t="s">
        <v>86</v>
      </c>
      <c r="P2493" t="s">
        <v>53</v>
      </c>
      <c r="Q2493" t="s">
        <v>54</v>
      </c>
      <c r="R2493" s="1">
        <v>44237.471979166665</v>
      </c>
      <c r="S2493" s="1">
        <v>44237.471979166665</v>
      </c>
      <c r="T2493">
        <v>1</v>
      </c>
      <c r="U2493">
        <v>1</v>
      </c>
      <c r="V2493" s="2">
        <v>1</v>
      </c>
      <c r="W2493">
        <v>1</v>
      </c>
      <c r="X2493" t="s">
        <v>54</v>
      </c>
      <c r="Y2493">
        <v>1</v>
      </c>
      <c r="Z2493" t="s">
        <v>31</v>
      </c>
      <c r="AA2493">
        <v>0</v>
      </c>
      <c r="AB2493" t="s">
        <v>31</v>
      </c>
      <c r="AC2493">
        <v>0</v>
      </c>
      <c r="AD2493" t="s">
        <v>31</v>
      </c>
      <c r="AE2493">
        <v>0</v>
      </c>
      <c r="AF2493" t="s">
        <v>31</v>
      </c>
      <c r="AG2493">
        <v>0</v>
      </c>
      <c r="AH2493" t="s">
        <v>31</v>
      </c>
      <c r="AI2493">
        <v>0</v>
      </c>
      <c r="AJ2493" t="s">
        <v>31</v>
      </c>
      <c r="AK2493">
        <v>0</v>
      </c>
      <c r="AL2493" t="s">
        <v>31</v>
      </c>
      <c r="AM2493">
        <v>0</v>
      </c>
      <c r="AN2493" t="s">
        <v>31</v>
      </c>
      <c r="AO2493">
        <v>0</v>
      </c>
      <c r="AP2493" t="s">
        <v>31</v>
      </c>
      <c r="AQ2493">
        <v>0</v>
      </c>
    </row>
    <row r="2494" spans="1:43" x14ac:dyDescent="0.2">
      <c r="A2494" t="s">
        <v>381</v>
      </c>
      <c r="B2494" s="3">
        <v>44238</v>
      </c>
      <c r="C2494">
        <v>5</v>
      </c>
      <c r="D2494" t="s">
        <v>382</v>
      </c>
      <c r="E2494" t="s">
        <v>127</v>
      </c>
      <c r="F2494" s="9" t="s">
        <v>129</v>
      </c>
      <c r="G2494" t="s">
        <v>26</v>
      </c>
      <c r="H2494" t="s">
        <v>85</v>
      </c>
      <c r="I2494" t="s">
        <v>86</v>
      </c>
      <c r="J2494" t="s">
        <v>53</v>
      </c>
      <c r="K2494" t="s">
        <v>54</v>
      </c>
      <c r="L2494" t="s">
        <v>53</v>
      </c>
      <c r="M2494" t="s">
        <v>54</v>
      </c>
      <c r="N2494" t="s">
        <v>85</v>
      </c>
      <c r="O2494" t="s">
        <v>86</v>
      </c>
      <c r="P2494" t="s">
        <v>53</v>
      </c>
      <c r="Q2494" t="s">
        <v>54</v>
      </c>
      <c r="R2494" s="1">
        <v>44238.451412037037</v>
      </c>
      <c r="S2494" s="1">
        <v>44238.451412037037</v>
      </c>
      <c r="T2494">
        <v>0</v>
      </c>
      <c r="U2494">
        <v>1</v>
      </c>
      <c r="V2494" s="2">
        <v>0</v>
      </c>
      <c r="W2494">
        <v>0</v>
      </c>
      <c r="X2494" t="s">
        <v>44</v>
      </c>
      <c r="Y2494">
        <v>0</v>
      </c>
      <c r="Z2494" t="s">
        <v>31</v>
      </c>
      <c r="AA2494">
        <v>0</v>
      </c>
      <c r="AB2494" t="s">
        <v>31</v>
      </c>
      <c r="AC2494">
        <v>0</v>
      </c>
      <c r="AD2494" t="s">
        <v>31</v>
      </c>
      <c r="AE2494">
        <v>0</v>
      </c>
      <c r="AF2494" t="s">
        <v>31</v>
      </c>
      <c r="AG2494">
        <v>0</v>
      </c>
      <c r="AH2494" t="s">
        <v>31</v>
      </c>
      <c r="AI2494">
        <v>0</v>
      </c>
      <c r="AJ2494" t="s">
        <v>31</v>
      </c>
      <c r="AK2494">
        <v>0</v>
      </c>
      <c r="AL2494" t="s">
        <v>31</v>
      </c>
      <c r="AM2494">
        <v>0</v>
      </c>
      <c r="AN2494" t="s">
        <v>31</v>
      </c>
      <c r="AO2494">
        <v>0</v>
      </c>
      <c r="AP2494" t="s">
        <v>31</v>
      </c>
      <c r="AQ2494">
        <v>0</v>
      </c>
    </row>
    <row r="2495" spans="1:43" x14ac:dyDescent="0.2">
      <c r="A2495" t="s">
        <v>381</v>
      </c>
      <c r="B2495" s="3">
        <v>44242</v>
      </c>
      <c r="C2495">
        <v>8</v>
      </c>
      <c r="D2495" t="s">
        <v>384</v>
      </c>
      <c r="E2495" t="s">
        <v>127</v>
      </c>
      <c r="F2495" s="9" t="s">
        <v>129</v>
      </c>
      <c r="G2495" t="s">
        <v>26</v>
      </c>
      <c r="H2495" t="s">
        <v>85</v>
      </c>
      <c r="I2495" t="s">
        <v>86</v>
      </c>
      <c r="J2495" t="s">
        <v>53</v>
      </c>
      <c r="K2495" t="s">
        <v>54</v>
      </c>
      <c r="L2495" t="s">
        <v>53</v>
      </c>
      <c r="M2495" t="s">
        <v>54</v>
      </c>
      <c r="N2495" t="s">
        <v>85</v>
      </c>
      <c r="O2495" t="s">
        <v>86</v>
      </c>
      <c r="P2495" t="s">
        <v>53</v>
      </c>
      <c r="Q2495" t="s">
        <v>54</v>
      </c>
      <c r="R2495" s="1">
        <v>44242.432395833333</v>
      </c>
      <c r="S2495" s="1">
        <v>44242.432395833333</v>
      </c>
      <c r="T2495">
        <v>0</v>
      </c>
      <c r="U2495">
        <v>1</v>
      </c>
      <c r="V2495" s="2">
        <v>0</v>
      </c>
      <c r="W2495">
        <v>0</v>
      </c>
      <c r="X2495" t="s">
        <v>44</v>
      </c>
      <c r="Y2495">
        <v>0</v>
      </c>
      <c r="Z2495" t="s">
        <v>31</v>
      </c>
      <c r="AA2495">
        <v>0</v>
      </c>
      <c r="AB2495" t="s">
        <v>31</v>
      </c>
      <c r="AC2495">
        <v>0</v>
      </c>
      <c r="AD2495" t="s">
        <v>31</v>
      </c>
      <c r="AE2495">
        <v>0</v>
      </c>
      <c r="AF2495" t="s">
        <v>31</v>
      </c>
      <c r="AG2495">
        <v>0</v>
      </c>
      <c r="AH2495" t="s">
        <v>31</v>
      </c>
      <c r="AI2495">
        <v>0</v>
      </c>
      <c r="AJ2495" t="s">
        <v>31</v>
      </c>
      <c r="AK2495">
        <v>0</v>
      </c>
      <c r="AL2495" t="s">
        <v>31</v>
      </c>
      <c r="AM2495">
        <v>0</v>
      </c>
      <c r="AN2495" t="s">
        <v>31</v>
      </c>
      <c r="AO2495">
        <v>0</v>
      </c>
      <c r="AP2495" t="s">
        <v>31</v>
      </c>
      <c r="AQ2495">
        <v>0</v>
      </c>
    </row>
    <row r="2496" spans="1:43" x14ac:dyDescent="0.2">
      <c r="A2496" t="s">
        <v>381</v>
      </c>
      <c r="B2496" s="3">
        <v>44243</v>
      </c>
      <c r="C2496">
        <v>9</v>
      </c>
      <c r="D2496" t="s">
        <v>382</v>
      </c>
      <c r="E2496" t="s">
        <v>127</v>
      </c>
      <c r="F2496" s="9" t="s">
        <v>129</v>
      </c>
      <c r="G2496" t="s">
        <v>26</v>
      </c>
      <c r="H2496" t="s">
        <v>85</v>
      </c>
      <c r="I2496" t="s">
        <v>86</v>
      </c>
      <c r="J2496" t="s">
        <v>53</v>
      </c>
      <c r="K2496" t="s">
        <v>54</v>
      </c>
      <c r="L2496" t="s">
        <v>53</v>
      </c>
      <c r="M2496" t="s">
        <v>54</v>
      </c>
      <c r="N2496" t="s">
        <v>85</v>
      </c>
      <c r="O2496" t="s">
        <v>86</v>
      </c>
      <c r="P2496" t="s">
        <v>53</v>
      </c>
      <c r="Q2496" t="s">
        <v>54</v>
      </c>
      <c r="R2496" s="1">
        <v>44243.426990740743</v>
      </c>
      <c r="S2496" s="1">
        <v>44243.426990740743</v>
      </c>
      <c r="T2496">
        <v>0</v>
      </c>
      <c r="U2496">
        <v>1</v>
      </c>
      <c r="V2496" s="2">
        <v>0</v>
      </c>
      <c r="W2496">
        <v>0</v>
      </c>
      <c r="X2496" t="s">
        <v>44</v>
      </c>
      <c r="Y2496">
        <v>0</v>
      </c>
      <c r="Z2496" t="s">
        <v>31</v>
      </c>
      <c r="AA2496">
        <v>0</v>
      </c>
      <c r="AB2496" t="s">
        <v>31</v>
      </c>
      <c r="AC2496">
        <v>0</v>
      </c>
      <c r="AD2496" t="s">
        <v>31</v>
      </c>
      <c r="AE2496">
        <v>0</v>
      </c>
      <c r="AF2496" t="s">
        <v>31</v>
      </c>
      <c r="AG2496">
        <v>0</v>
      </c>
      <c r="AH2496" t="s">
        <v>31</v>
      </c>
      <c r="AI2496">
        <v>0</v>
      </c>
      <c r="AJ2496" t="s">
        <v>31</v>
      </c>
      <c r="AK2496">
        <v>0</v>
      </c>
      <c r="AL2496" t="s">
        <v>31</v>
      </c>
      <c r="AM2496">
        <v>0</v>
      </c>
      <c r="AN2496" t="s">
        <v>31</v>
      </c>
      <c r="AO2496">
        <v>0</v>
      </c>
      <c r="AP2496" t="s">
        <v>31</v>
      </c>
      <c r="AQ2496">
        <v>0</v>
      </c>
    </row>
    <row r="2497" spans="1:43" x14ac:dyDescent="0.2">
      <c r="A2497" t="s">
        <v>381</v>
      </c>
      <c r="B2497" s="3">
        <v>44244</v>
      </c>
      <c r="C2497">
        <v>11</v>
      </c>
      <c r="D2497" t="s">
        <v>384</v>
      </c>
      <c r="E2497" t="s">
        <v>127</v>
      </c>
      <c r="F2497" s="9" t="s">
        <v>129</v>
      </c>
      <c r="G2497" t="s">
        <v>26</v>
      </c>
      <c r="H2497" t="s">
        <v>85</v>
      </c>
      <c r="I2497" t="s">
        <v>86</v>
      </c>
      <c r="J2497" t="s">
        <v>53</v>
      </c>
      <c r="K2497" t="s">
        <v>54</v>
      </c>
      <c r="L2497" t="s">
        <v>53</v>
      </c>
      <c r="M2497" t="s">
        <v>54</v>
      </c>
      <c r="N2497" t="s">
        <v>85</v>
      </c>
      <c r="O2497" t="s">
        <v>86</v>
      </c>
      <c r="P2497" t="s">
        <v>53</v>
      </c>
      <c r="Q2497" t="s">
        <v>54</v>
      </c>
      <c r="R2497" s="1">
        <v>44244.374583333331</v>
      </c>
      <c r="S2497" s="1">
        <v>44244.374583333331</v>
      </c>
      <c r="T2497">
        <v>0</v>
      </c>
      <c r="U2497">
        <v>1</v>
      </c>
      <c r="V2497" s="2">
        <v>0</v>
      </c>
      <c r="W2497">
        <v>0</v>
      </c>
      <c r="X2497" t="s">
        <v>44</v>
      </c>
      <c r="Y2497">
        <v>0</v>
      </c>
      <c r="Z2497" t="s">
        <v>31</v>
      </c>
      <c r="AA2497">
        <v>0</v>
      </c>
      <c r="AB2497" t="s">
        <v>31</v>
      </c>
      <c r="AC2497">
        <v>0</v>
      </c>
      <c r="AD2497" t="s">
        <v>31</v>
      </c>
      <c r="AE2497">
        <v>0</v>
      </c>
      <c r="AF2497" t="s">
        <v>31</v>
      </c>
      <c r="AG2497">
        <v>0</v>
      </c>
      <c r="AH2497" t="s">
        <v>31</v>
      </c>
      <c r="AI2497">
        <v>0</v>
      </c>
      <c r="AJ2497" t="s">
        <v>31</v>
      </c>
      <c r="AK2497">
        <v>0</v>
      </c>
      <c r="AL2497" t="s">
        <v>31</v>
      </c>
      <c r="AM2497">
        <v>0</v>
      </c>
      <c r="AN2497" t="s">
        <v>31</v>
      </c>
      <c r="AO2497">
        <v>0</v>
      </c>
      <c r="AP2497" t="s">
        <v>31</v>
      </c>
      <c r="AQ2497">
        <v>0</v>
      </c>
    </row>
    <row r="2498" spans="1:43" x14ac:dyDescent="0.2">
      <c r="A2498" t="s">
        <v>381</v>
      </c>
      <c r="B2498" s="3">
        <v>44245</v>
      </c>
      <c r="C2498">
        <v>12</v>
      </c>
      <c r="D2498" t="s">
        <v>382</v>
      </c>
      <c r="E2498" t="s">
        <v>127</v>
      </c>
      <c r="F2498" s="9" t="s">
        <v>129</v>
      </c>
      <c r="G2498" t="s">
        <v>26</v>
      </c>
      <c r="H2498" t="s">
        <v>85</v>
      </c>
      <c r="I2498" t="s">
        <v>86</v>
      </c>
      <c r="J2498" t="s">
        <v>53</v>
      </c>
      <c r="K2498" t="s">
        <v>54</v>
      </c>
      <c r="L2498" t="s">
        <v>53</v>
      </c>
      <c r="M2498" t="s">
        <v>54</v>
      </c>
      <c r="N2498" t="s">
        <v>85</v>
      </c>
      <c r="O2498" t="s">
        <v>86</v>
      </c>
      <c r="P2498" t="s">
        <v>53</v>
      </c>
      <c r="Q2498" t="s">
        <v>54</v>
      </c>
      <c r="R2498" s="1">
        <v>44245.405659722222</v>
      </c>
      <c r="S2498" s="1">
        <v>44245.455474537041</v>
      </c>
      <c r="T2498">
        <v>0</v>
      </c>
      <c r="U2498">
        <v>2</v>
      </c>
      <c r="V2498" s="2">
        <v>0</v>
      </c>
      <c r="W2498">
        <v>0</v>
      </c>
      <c r="X2498" t="s">
        <v>44</v>
      </c>
      <c r="Y2498">
        <v>0</v>
      </c>
      <c r="Z2498" t="s">
        <v>44</v>
      </c>
      <c r="AA2498">
        <v>0</v>
      </c>
      <c r="AB2498" t="s">
        <v>31</v>
      </c>
      <c r="AC2498">
        <v>0</v>
      </c>
      <c r="AD2498" t="s">
        <v>31</v>
      </c>
      <c r="AE2498">
        <v>0</v>
      </c>
      <c r="AF2498" t="s">
        <v>31</v>
      </c>
      <c r="AG2498">
        <v>0</v>
      </c>
      <c r="AH2498" t="s">
        <v>31</v>
      </c>
      <c r="AI2498">
        <v>0</v>
      </c>
      <c r="AJ2498" t="s">
        <v>31</v>
      </c>
      <c r="AK2498">
        <v>0</v>
      </c>
      <c r="AL2498" t="s">
        <v>31</v>
      </c>
      <c r="AM2498">
        <v>0</v>
      </c>
      <c r="AN2498" t="s">
        <v>31</v>
      </c>
      <c r="AO2498">
        <v>0</v>
      </c>
      <c r="AP2498" t="s">
        <v>31</v>
      </c>
      <c r="AQ2498">
        <v>0</v>
      </c>
    </row>
    <row r="2499" spans="1:43" x14ac:dyDescent="0.2">
      <c r="A2499" t="s">
        <v>381</v>
      </c>
      <c r="B2499" s="3">
        <v>44250</v>
      </c>
      <c r="C2499">
        <v>16</v>
      </c>
      <c r="D2499" t="s">
        <v>382</v>
      </c>
      <c r="E2499" t="s">
        <v>127</v>
      </c>
      <c r="F2499" s="9" t="s">
        <v>129</v>
      </c>
      <c r="G2499" t="s">
        <v>26</v>
      </c>
      <c r="H2499" t="s">
        <v>85</v>
      </c>
      <c r="I2499" t="s">
        <v>86</v>
      </c>
      <c r="J2499" t="s">
        <v>53</v>
      </c>
      <c r="K2499" t="s">
        <v>54</v>
      </c>
      <c r="L2499" t="s">
        <v>53</v>
      </c>
      <c r="M2499" t="s">
        <v>54</v>
      </c>
      <c r="N2499" t="s">
        <v>85</v>
      </c>
      <c r="O2499" t="s">
        <v>86</v>
      </c>
      <c r="P2499" t="s">
        <v>53</v>
      </c>
      <c r="Q2499" t="s">
        <v>54</v>
      </c>
      <c r="R2499" s="1">
        <v>44250.375127314815</v>
      </c>
      <c r="S2499" s="1">
        <v>44250.375127314815</v>
      </c>
      <c r="T2499">
        <v>0</v>
      </c>
      <c r="U2499">
        <v>1</v>
      </c>
      <c r="V2499" s="2">
        <v>0</v>
      </c>
      <c r="W2499">
        <v>0</v>
      </c>
      <c r="X2499" t="s">
        <v>44</v>
      </c>
      <c r="Y2499">
        <v>0</v>
      </c>
      <c r="Z2499" t="s">
        <v>31</v>
      </c>
      <c r="AA2499">
        <v>0</v>
      </c>
      <c r="AB2499" t="s">
        <v>31</v>
      </c>
      <c r="AC2499">
        <v>0</v>
      </c>
      <c r="AD2499" t="s">
        <v>31</v>
      </c>
      <c r="AE2499">
        <v>0</v>
      </c>
      <c r="AF2499" t="s">
        <v>31</v>
      </c>
      <c r="AG2499">
        <v>0</v>
      </c>
      <c r="AH2499" t="s">
        <v>31</v>
      </c>
      <c r="AI2499">
        <v>0</v>
      </c>
      <c r="AJ2499" t="s">
        <v>31</v>
      </c>
      <c r="AK2499">
        <v>0</v>
      </c>
      <c r="AL2499" t="s">
        <v>31</v>
      </c>
      <c r="AM2499">
        <v>0</v>
      </c>
      <c r="AN2499" t="s">
        <v>31</v>
      </c>
      <c r="AO2499">
        <v>0</v>
      </c>
      <c r="AP2499" t="s">
        <v>31</v>
      </c>
      <c r="AQ2499">
        <v>0</v>
      </c>
    </row>
    <row r="2500" spans="1:43" x14ac:dyDescent="0.2">
      <c r="A2500" t="s">
        <v>381</v>
      </c>
      <c r="B2500" s="3">
        <v>44251</v>
      </c>
      <c r="C2500">
        <v>18</v>
      </c>
      <c r="D2500" t="s">
        <v>384</v>
      </c>
      <c r="E2500" t="s">
        <v>127</v>
      </c>
      <c r="F2500" s="9" t="s">
        <v>129</v>
      </c>
      <c r="G2500" t="s">
        <v>26</v>
      </c>
      <c r="H2500" t="s">
        <v>85</v>
      </c>
      <c r="I2500" t="s">
        <v>86</v>
      </c>
      <c r="J2500" t="s">
        <v>53</v>
      </c>
      <c r="K2500" t="s">
        <v>54</v>
      </c>
      <c r="L2500" t="s">
        <v>53</v>
      </c>
      <c r="M2500" t="s">
        <v>54</v>
      </c>
      <c r="N2500" t="s">
        <v>85</v>
      </c>
      <c r="O2500" t="s">
        <v>86</v>
      </c>
      <c r="P2500" t="s">
        <v>53</v>
      </c>
      <c r="Q2500" t="s">
        <v>54</v>
      </c>
      <c r="R2500" s="1">
        <v>44251.382384259261</v>
      </c>
      <c r="S2500" s="1">
        <v>44251.382384259261</v>
      </c>
      <c r="T2500">
        <v>0</v>
      </c>
      <c r="U2500">
        <v>1</v>
      </c>
      <c r="V2500" s="2">
        <v>0</v>
      </c>
      <c r="W2500">
        <v>0</v>
      </c>
      <c r="X2500" t="s">
        <v>44</v>
      </c>
      <c r="Y2500">
        <v>0</v>
      </c>
      <c r="Z2500" t="s">
        <v>31</v>
      </c>
      <c r="AA2500">
        <v>0</v>
      </c>
      <c r="AB2500" t="s">
        <v>31</v>
      </c>
      <c r="AC2500">
        <v>0</v>
      </c>
      <c r="AD2500" t="s">
        <v>31</v>
      </c>
      <c r="AE2500">
        <v>0</v>
      </c>
      <c r="AF2500" t="s">
        <v>31</v>
      </c>
      <c r="AG2500">
        <v>0</v>
      </c>
      <c r="AH2500" t="s">
        <v>31</v>
      </c>
      <c r="AI2500">
        <v>0</v>
      </c>
      <c r="AJ2500" t="s">
        <v>31</v>
      </c>
      <c r="AK2500">
        <v>0</v>
      </c>
      <c r="AL2500" t="s">
        <v>31</v>
      </c>
      <c r="AM2500">
        <v>0</v>
      </c>
      <c r="AN2500" t="s">
        <v>31</v>
      </c>
      <c r="AO2500">
        <v>0</v>
      </c>
      <c r="AP2500" t="s">
        <v>31</v>
      </c>
      <c r="AQ2500">
        <v>0</v>
      </c>
    </row>
    <row r="2501" spans="1:43" x14ac:dyDescent="0.2">
      <c r="A2501" t="s">
        <v>381</v>
      </c>
      <c r="B2501" s="3">
        <v>44252</v>
      </c>
      <c r="C2501">
        <v>19</v>
      </c>
      <c r="D2501" t="s">
        <v>382</v>
      </c>
      <c r="E2501" t="s">
        <v>127</v>
      </c>
      <c r="F2501" s="9" t="s">
        <v>129</v>
      </c>
      <c r="G2501" t="s">
        <v>26</v>
      </c>
      <c r="H2501" t="s">
        <v>85</v>
      </c>
      <c r="I2501" t="s">
        <v>86</v>
      </c>
      <c r="J2501" t="s">
        <v>53</v>
      </c>
      <c r="K2501" t="s">
        <v>54</v>
      </c>
      <c r="L2501" t="s">
        <v>53</v>
      </c>
      <c r="M2501" t="s">
        <v>54</v>
      </c>
      <c r="N2501" t="s">
        <v>85</v>
      </c>
      <c r="O2501" t="s">
        <v>86</v>
      </c>
      <c r="P2501" t="s">
        <v>53</v>
      </c>
      <c r="Q2501" t="s">
        <v>54</v>
      </c>
      <c r="R2501" s="1">
        <v>44252.394444444442</v>
      </c>
      <c r="S2501" s="1">
        <v>44252.431145833332</v>
      </c>
      <c r="T2501">
        <v>0</v>
      </c>
      <c r="U2501">
        <v>2</v>
      </c>
      <c r="V2501" s="2">
        <v>0</v>
      </c>
      <c r="W2501">
        <v>0</v>
      </c>
      <c r="X2501" t="s">
        <v>44</v>
      </c>
      <c r="Y2501">
        <v>0</v>
      </c>
      <c r="Z2501" t="s">
        <v>44</v>
      </c>
      <c r="AA2501">
        <v>0</v>
      </c>
      <c r="AB2501" t="s">
        <v>31</v>
      </c>
      <c r="AC2501">
        <v>0</v>
      </c>
      <c r="AD2501" t="s">
        <v>31</v>
      </c>
      <c r="AE2501">
        <v>0</v>
      </c>
      <c r="AF2501" t="s">
        <v>31</v>
      </c>
      <c r="AG2501">
        <v>0</v>
      </c>
      <c r="AH2501" t="s">
        <v>31</v>
      </c>
      <c r="AI2501">
        <v>0</v>
      </c>
      <c r="AJ2501" t="s">
        <v>31</v>
      </c>
      <c r="AK2501">
        <v>0</v>
      </c>
      <c r="AL2501" t="s">
        <v>31</v>
      </c>
      <c r="AM2501">
        <v>0</v>
      </c>
      <c r="AN2501" t="s">
        <v>31</v>
      </c>
      <c r="AO2501">
        <v>0</v>
      </c>
      <c r="AP2501" t="s">
        <v>31</v>
      </c>
      <c r="AQ2501">
        <v>0</v>
      </c>
    </row>
    <row r="2502" spans="1:43" x14ac:dyDescent="0.2">
      <c r="A2502" t="s">
        <v>381</v>
      </c>
      <c r="B2502" s="3">
        <v>44253</v>
      </c>
      <c r="C2502">
        <v>21</v>
      </c>
      <c r="D2502" t="s">
        <v>384</v>
      </c>
      <c r="E2502" t="s">
        <v>127</v>
      </c>
      <c r="F2502" s="9" t="s">
        <v>129</v>
      </c>
      <c r="G2502" t="s">
        <v>26</v>
      </c>
      <c r="H2502" t="s">
        <v>85</v>
      </c>
      <c r="I2502" t="s">
        <v>86</v>
      </c>
      <c r="J2502" t="s">
        <v>53</v>
      </c>
      <c r="K2502" t="s">
        <v>54</v>
      </c>
      <c r="L2502" t="s">
        <v>53</v>
      </c>
      <c r="M2502" t="s">
        <v>54</v>
      </c>
      <c r="N2502" t="s">
        <v>85</v>
      </c>
      <c r="O2502" t="s">
        <v>86</v>
      </c>
      <c r="P2502" t="s">
        <v>53</v>
      </c>
      <c r="Q2502" t="s">
        <v>54</v>
      </c>
      <c r="R2502" s="1">
        <v>44253.385081018518</v>
      </c>
      <c r="S2502" s="1">
        <v>44253.385081018518</v>
      </c>
      <c r="T2502">
        <v>0</v>
      </c>
      <c r="U2502">
        <v>1</v>
      </c>
      <c r="V2502" s="2">
        <v>0</v>
      </c>
      <c r="W2502">
        <v>0</v>
      </c>
      <c r="X2502" t="s">
        <v>44</v>
      </c>
      <c r="Y2502">
        <v>0</v>
      </c>
      <c r="Z2502" t="s">
        <v>31</v>
      </c>
      <c r="AA2502">
        <v>0</v>
      </c>
      <c r="AB2502" t="s">
        <v>31</v>
      </c>
      <c r="AC2502">
        <v>0</v>
      </c>
      <c r="AD2502" t="s">
        <v>31</v>
      </c>
      <c r="AE2502">
        <v>0</v>
      </c>
      <c r="AF2502" t="s">
        <v>31</v>
      </c>
      <c r="AG2502">
        <v>0</v>
      </c>
      <c r="AH2502" t="s">
        <v>31</v>
      </c>
      <c r="AI2502">
        <v>0</v>
      </c>
      <c r="AJ2502" t="s">
        <v>31</v>
      </c>
      <c r="AK2502">
        <v>0</v>
      </c>
      <c r="AL2502" t="s">
        <v>31</v>
      </c>
      <c r="AM2502">
        <v>0</v>
      </c>
      <c r="AN2502" t="s">
        <v>31</v>
      </c>
      <c r="AO2502">
        <v>0</v>
      </c>
      <c r="AP2502" t="s">
        <v>31</v>
      </c>
      <c r="AQ2502">
        <v>0</v>
      </c>
    </row>
    <row r="2503" spans="1:43" x14ac:dyDescent="0.2">
      <c r="A2503" t="s">
        <v>381</v>
      </c>
      <c r="B2503" s="3">
        <v>44257</v>
      </c>
      <c r="C2503">
        <v>23</v>
      </c>
      <c r="D2503" t="s">
        <v>382</v>
      </c>
      <c r="E2503" t="s">
        <v>127</v>
      </c>
      <c r="F2503" s="9" t="s">
        <v>129</v>
      </c>
      <c r="G2503" t="s">
        <v>26</v>
      </c>
      <c r="H2503" t="s">
        <v>85</v>
      </c>
      <c r="I2503" t="s">
        <v>86</v>
      </c>
      <c r="J2503" t="s">
        <v>53</v>
      </c>
      <c r="K2503" t="s">
        <v>54</v>
      </c>
      <c r="L2503" t="s">
        <v>53</v>
      </c>
      <c r="M2503" t="s">
        <v>54</v>
      </c>
      <c r="N2503" t="s">
        <v>85</v>
      </c>
      <c r="O2503" t="s">
        <v>86</v>
      </c>
      <c r="P2503" t="s">
        <v>53</v>
      </c>
      <c r="Q2503" t="s">
        <v>54</v>
      </c>
      <c r="R2503" s="1">
        <v>44257.407835648148</v>
      </c>
      <c r="S2503" s="1">
        <v>44257.464687500003</v>
      </c>
      <c r="T2503">
        <v>0</v>
      </c>
      <c r="U2503">
        <v>2</v>
      </c>
      <c r="V2503" s="2">
        <v>0</v>
      </c>
      <c r="W2503">
        <v>0</v>
      </c>
      <c r="X2503" t="s">
        <v>44</v>
      </c>
      <c r="Y2503">
        <v>0</v>
      </c>
      <c r="Z2503" t="s">
        <v>44</v>
      </c>
      <c r="AA2503">
        <v>0</v>
      </c>
      <c r="AB2503" t="s">
        <v>31</v>
      </c>
      <c r="AC2503">
        <v>0</v>
      </c>
      <c r="AD2503" t="s">
        <v>31</v>
      </c>
      <c r="AE2503">
        <v>0</v>
      </c>
      <c r="AF2503" t="s">
        <v>31</v>
      </c>
      <c r="AG2503">
        <v>0</v>
      </c>
      <c r="AH2503" t="s">
        <v>31</v>
      </c>
      <c r="AI2503">
        <v>0</v>
      </c>
      <c r="AJ2503" t="s">
        <v>31</v>
      </c>
      <c r="AK2503">
        <v>0</v>
      </c>
      <c r="AL2503" t="s">
        <v>31</v>
      </c>
      <c r="AM2503">
        <v>0</v>
      </c>
      <c r="AN2503" t="s">
        <v>31</v>
      </c>
      <c r="AO2503">
        <v>0</v>
      </c>
      <c r="AP2503" t="s">
        <v>31</v>
      </c>
      <c r="AQ2503">
        <v>0</v>
      </c>
    </row>
    <row r="2504" spans="1:43" x14ac:dyDescent="0.2">
      <c r="A2504" t="s">
        <v>381</v>
      </c>
      <c r="B2504" s="3">
        <v>44258</v>
      </c>
      <c r="C2504">
        <v>25</v>
      </c>
      <c r="D2504" t="s">
        <v>384</v>
      </c>
      <c r="E2504" t="s">
        <v>127</v>
      </c>
      <c r="F2504" s="9" t="s">
        <v>129</v>
      </c>
      <c r="G2504" t="s">
        <v>26</v>
      </c>
      <c r="H2504" t="s">
        <v>85</v>
      </c>
      <c r="I2504" t="s">
        <v>86</v>
      </c>
      <c r="J2504" t="s">
        <v>53</v>
      </c>
      <c r="K2504" t="s">
        <v>54</v>
      </c>
      <c r="L2504" t="s">
        <v>53</v>
      </c>
      <c r="M2504" t="s">
        <v>54</v>
      </c>
      <c r="N2504" t="s">
        <v>85</v>
      </c>
      <c r="O2504" t="s">
        <v>86</v>
      </c>
      <c r="P2504" t="s">
        <v>53</v>
      </c>
      <c r="Q2504" t="s">
        <v>54</v>
      </c>
      <c r="R2504" s="1">
        <v>44258.458344907405</v>
      </c>
      <c r="S2504" s="1">
        <v>44258.458356481482</v>
      </c>
      <c r="T2504">
        <v>0</v>
      </c>
      <c r="U2504">
        <v>2</v>
      </c>
      <c r="V2504" s="2">
        <v>0</v>
      </c>
      <c r="W2504">
        <v>0</v>
      </c>
      <c r="X2504" t="s">
        <v>44</v>
      </c>
      <c r="Y2504">
        <v>0</v>
      </c>
      <c r="Z2504" t="s">
        <v>44</v>
      </c>
      <c r="AA2504">
        <v>0</v>
      </c>
      <c r="AB2504" t="s">
        <v>31</v>
      </c>
      <c r="AC2504">
        <v>0</v>
      </c>
      <c r="AD2504" t="s">
        <v>31</v>
      </c>
      <c r="AE2504">
        <v>0</v>
      </c>
      <c r="AF2504" t="s">
        <v>31</v>
      </c>
      <c r="AG2504">
        <v>0</v>
      </c>
      <c r="AH2504" t="s">
        <v>31</v>
      </c>
      <c r="AI2504">
        <v>0</v>
      </c>
      <c r="AJ2504" t="s">
        <v>31</v>
      </c>
      <c r="AK2504">
        <v>0</v>
      </c>
      <c r="AL2504" t="s">
        <v>31</v>
      </c>
      <c r="AM2504">
        <v>0</v>
      </c>
      <c r="AN2504" t="s">
        <v>31</v>
      </c>
      <c r="AO2504">
        <v>0</v>
      </c>
      <c r="AP2504" t="s">
        <v>31</v>
      </c>
      <c r="AQ2504">
        <v>0</v>
      </c>
    </row>
    <row r="2505" spans="1:43" x14ac:dyDescent="0.2">
      <c r="A2505" t="s">
        <v>381</v>
      </c>
      <c r="B2505" s="3">
        <v>44259</v>
      </c>
      <c r="C2505">
        <v>26</v>
      </c>
      <c r="D2505" t="s">
        <v>382</v>
      </c>
      <c r="E2505" t="s">
        <v>127</v>
      </c>
      <c r="F2505" s="9" t="s">
        <v>129</v>
      </c>
      <c r="G2505" t="s">
        <v>26</v>
      </c>
      <c r="H2505" t="s">
        <v>85</v>
      </c>
      <c r="I2505" t="s">
        <v>86</v>
      </c>
      <c r="J2505" t="s">
        <v>53</v>
      </c>
      <c r="K2505" t="s">
        <v>54</v>
      </c>
      <c r="L2505" t="s">
        <v>53</v>
      </c>
      <c r="M2505" t="s">
        <v>54</v>
      </c>
      <c r="N2505" t="s">
        <v>85</v>
      </c>
      <c r="O2505" t="s">
        <v>86</v>
      </c>
      <c r="P2505" t="s">
        <v>53</v>
      </c>
      <c r="Q2505" t="s">
        <v>54</v>
      </c>
      <c r="R2505" s="1">
        <v>44259.389120370368</v>
      </c>
      <c r="S2505" s="1">
        <v>44259.427025462966</v>
      </c>
      <c r="T2505">
        <v>1</v>
      </c>
      <c r="U2505">
        <v>2</v>
      </c>
      <c r="V2505" s="2">
        <v>0.5</v>
      </c>
      <c r="W2505">
        <v>1</v>
      </c>
      <c r="X2505" t="s">
        <v>44</v>
      </c>
      <c r="Y2505">
        <v>0</v>
      </c>
      <c r="Z2505" t="s">
        <v>54</v>
      </c>
      <c r="AA2505">
        <v>1</v>
      </c>
      <c r="AB2505" t="s">
        <v>31</v>
      </c>
      <c r="AC2505">
        <v>0</v>
      </c>
      <c r="AD2505" t="s">
        <v>31</v>
      </c>
      <c r="AE2505">
        <v>0</v>
      </c>
      <c r="AF2505" t="s">
        <v>31</v>
      </c>
      <c r="AG2505">
        <v>0</v>
      </c>
      <c r="AH2505" t="s">
        <v>31</v>
      </c>
      <c r="AI2505">
        <v>0</v>
      </c>
      <c r="AJ2505" t="s">
        <v>31</v>
      </c>
      <c r="AK2505">
        <v>0</v>
      </c>
      <c r="AL2505" t="s">
        <v>31</v>
      </c>
      <c r="AM2505">
        <v>0</v>
      </c>
      <c r="AN2505" t="s">
        <v>31</v>
      </c>
      <c r="AO2505">
        <v>0</v>
      </c>
      <c r="AP2505" t="s">
        <v>31</v>
      </c>
      <c r="AQ2505">
        <v>0</v>
      </c>
    </row>
    <row r="2506" spans="1:43" x14ac:dyDescent="0.2">
      <c r="A2506" t="s">
        <v>381</v>
      </c>
      <c r="B2506" s="3">
        <v>44263</v>
      </c>
      <c r="C2506">
        <v>29</v>
      </c>
      <c r="D2506" t="s">
        <v>384</v>
      </c>
      <c r="E2506" t="s">
        <v>127</v>
      </c>
      <c r="F2506" s="9" t="s">
        <v>129</v>
      </c>
      <c r="G2506" t="s">
        <v>26</v>
      </c>
      <c r="H2506" t="s">
        <v>85</v>
      </c>
      <c r="I2506" t="s">
        <v>86</v>
      </c>
      <c r="J2506" t="s">
        <v>53</v>
      </c>
      <c r="K2506" t="s">
        <v>54</v>
      </c>
      <c r="L2506" t="s">
        <v>53</v>
      </c>
      <c r="M2506" t="s">
        <v>54</v>
      </c>
      <c r="N2506" t="s">
        <v>85</v>
      </c>
      <c r="O2506" t="s">
        <v>86</v>
      </c>
      <c r="P2506" t="s">
        <v>53</v>
      </c>
      <c r="Q2506" t="s">
        <v>54</v>
      </c>
      <c r="R2506" s="1">
        <v>44263.435486111113</v>
      </c>
      <c r="S2506" s="1">
        <v>44263.435486111113</v>
      </c>
      <c r="T2506">
        <v>0</v>
      </c>
      <c r="U2506">
        <v>1</v>
      </c>
      <c r="V2506" s="2">
        <v>0</v>
      </c>
      <c r="W2506">
        <v>0</v>
      </c>
      <c r="X2506" t="s">
        <v>44</v>
      </c>
      <c r="Y2506">
        <v>0</v>
      </c>
      <c r="Z2506" t="s">
        <v>31</v>
      </c>
      <c r="AA2506">
        <v>0</v>
      </c>
      <c r="AB2506" t="s">
        <v>31</v>
      </c>
      <c r="AC2506">
        <v>0</v>
      </c>
      <c r="AD2506" t="s">
        <v>31</v>
      </c>
      <c r="AE2506">
        <v>0</v>
      </c>
      <c r="AF2506" t="s">
        <v>31</v>
      </c>
      <c r="AG2506">
        <v>0</v>
      </c>
      <c r="AH2506" t="s">
        <v>31</v>
      </c>
      <c r="AI2506">
        <v>0</v>
      </c>
      <c r="AJ2506" t="s">
        <v>31</v>
      </c>
      <c r="AK2506">
        <v>0</v>
      </c>
      <c r="AL2506" t="s">
        <v>31</v>
      </c>
      <c r="AM2506">
        <v>0</v>
      </c>
      <c r="AN2506" t="s">
        <v>31</v>
      </c>
      <c r="AO2506">
        <v>0</v>
      </c>
      <c r="AP2506" t="s">
        <v>31</v>
      </c>
      <c r="AQ2506">
        <v>0</v>
      </c>
    </row>
    <row r="2507" spans="1:43" x14ac:dyDescent="0.2">
      <c r="A2507" t="s">
        <v>381</v>
      </c>
      <c r="B2507" s="3">
        <v>44264</v>
      </c>
      <c r="C2507">
        <v>30</v>
      </c>
      <c r="D2507" t="s">
        <v>382</v>
      </c>
      <c r="E2507" t="s">
        <v>127</v>
      </c>
      <c r="F2507" s="9" t="s">
        <v>129</v>
      </c>
      <c r="G2507" t="s">
        <v>26</v>
      </c>
      <c r="H2507" t="s">
        <v>85</v>
      </c>
      <c r="I2507" t="s">
        <v>86</v>
      </c>
      <c r="J2507" t="s">
        <v>53</v>
      </c>
      <c r="K2507" t="s">
        <v>54</v>
      </c>
      <c r="L2507" t="s">
        <v>53</v>
      </c>
      <c r="M2507" t="s">
        <v>54</v>
      </c>
      <c r="N2507" t="s">
        <v>85</v>
      </c>
      <c r="O2507" t="s">
        <v>86</v>
      </c>
      <c r="P2507" t="s">
        <v>53</v>
      </c>
      <c r="Q2507" t="s">
        <v>54</v>
      </c>
      <c r="R2507" s="1">
        <v>44264.379479166666</v>
      </c>
      <c r="S2507" s="1">
        <v>44264.379479166666</v>
      </c>
      <c r="T2507">
        <v>1</v>
      </c>
      <c r="U2507">
        <v>1</v>
      </c>
      <c r="V2507" s="2">
        <v>1</v>
      </c>
      <c r="W2507">
        <v>1</v>
      </c>
      <c r="X2507" t="s">
        <v>54</v>
      </c>
      <c r="Y2507">
        <v>1</v>
      </c>
      <c r="Z2507" t="s">
        <v>31</v>
      </c>
      <c r="AA2507">
        <v>0</v>
      </c>
      <c r="AB2507" t="s">
        <v>31</v>
      </c>
      <c r="AC2507">
        <v>0</v>
      </c>
      <c r="AD2507" t="s">
        <v>31</v>
      </c>
      <c r="AE2507">
        <v>0</v>
      </c>
      <c r="AF2507" t="s">
        <v>31</v>
      </c>
      <c r="AG2507">
        <v>0</v>
      </c>
      <c r="AH2507" t="s">
        <v>31</v>
      </c>
      <c r="AI2507">
        <v>0</v>
      </c>
      <c r="AJ2507" t="s">
        <v>31</v>
      </c>
      <c r="AK2507">
        <v>0</v>
      </c>
      <c r="AL2507" t="s">
        <v>31</v>
      </c>
      <c r="AM2507">
        <v>0</v>
      </c>
      <c r="AN2507" t="s">
        <v>31</v>
      </c>
      <c r="AO2507">
        <v>0</v>
      </c>
      <c r="AP2507" t="s">
        <v>31</v>
      </c>
      <c r="AQ2507">
        <v>0</v>
      </c>
    </row>
    <row r="2508" spans="1:43" x14ac:dyDescent="0.2">
      <c r="A2508" t="s">
        <v>381</v>
      </c>
      <c r="B2508" s="3">
        <v>44265</v>
      </c>
      <c r="C2508">
        <v>32</v>
      </c>
      <c r="D2508" t="s">
        <v>384</v>
      </c>
      <c r="E2508" t="s">
        <v>127</v>
      </c>
      <c r="F2508" s="9" t="s">
        <v>129</v>
      </c>
      <c r="G2508" t="s">
        <v>26</v>
      </c>
      <c r="H2508" t="s">
        <v>85</v>
      </c>
      <c r="I2508" t="s">
        <v>86</v>
      </c>
      <c r="J2508" t="s">
        <v>53</v>
      </c>
      <c r="K2508" t="s">
        <v>54</v>
      </c>
      <c r="L2508" t="s">
        <v>53</v>
      </c>
      <c r="M2508" t="s">
        <v>54</v>
      </c>
      <c r="N2508" t="s">
        <v>85</v>
      </c>
      <c r="O2508" t="s">
        <v>86</v>
      </c>
      <c r="P2508" t="s">
        <v>53</v>
      </c>
      <c r="Q2508" t="s">
        <v>54</v>
      </c>
      <c r="R2508" s="1">
        <v>44265.411249999997</v>
      </c>
      <c r="S2508" s="1">
        <v>44265.411249999997</v>
      </c>
      <c r="T2508">
        <v>0</v>
      </c>
      <c r="U2508">
        <v>1</v>
      </c>
      <c r="V2508" s="2">
        <v>0</v>
      </c>
      <c r="W2508">
        <v>0</v>
      </c>
      <c r="X2508" t="s">
        <v>44</v>
      </c>
      <c r="Y2508">
        <v>0</v>
      </c>
      <c r="Z2508" t="s">
        <v>31</v>
      </c>
      <c r="AA2508">
        <v>0</v>
      </c>
      <c r="AB2508" t="s">
        <v>31</v>
      </c>
      <c r="AC2508">
        <v>0</v>
      </c>
      <c r="AD2508" t="s">
        <v>31</v>
      </c>
      <c r="AE2508">
        <v>0</v>
      </c>
      <c r="AF2508" t="s">
        <v>31</v>
      </c>
      <c r="AG2508">
        <v>0</v>
      </c>
      <c r="AH2508" t="s">
        <v>31</v>
      </c>
      <c r="AI2508">
        <v>0</v>
      </c>
      <c r="AJ2508" t="s">
        <v>31</v>
      </c>
      <c r="AK2508">
        <v>0</v>
      </c>
      <c r="AL2508" t="s">
        <v>31</v>
      </c>
      <c r="AM2508">
        <v>0</v>
      </c>
      <c r="AN2508" t="s">
        <v>31</v>
      </c>
      <c r="AO2508">
        <v>0</v>
      </c>
      <c r="AP2508" t="s">
        <v>31</v>
      </c>
      <c r="AQ2508">
        <v>0</v>
      </c>
    </row>
    <row r="2509" spans="1:43" x14ac:dyDescent="0.2">
      <c r="A2509" t="s">
        <v>381</v>
      </c>
      <c r="B2509" s="3">
        <v>44266</v>
      </c>
      <c r="C2509">
        <v>33</v>
      </c>
      <c r="D2509" t="s">
        <v>385</v>
      </c>
      <c r="E2509" t="s">
        <v>127</v>
      </c>
      <c r="F2509" s="9" t="s">
        <v>129</v>
      </c>
      <c r="G2509" t="s">
        <v>26</v>
      </c>
      <c r="H2509" t="s">
        <v>85</v>
      </c>
      <c r="I2509" t="s">
        <v>86</v>
      </c>
      <c r="J2509" t="s">
        <v>53</v>
      </c>
      <c r="K2509" t="s">
        <v>54</v>
      </c>
      <c r="L2509" t="s">
        <v>53</v>
      </c>
      <c r="M2509" t="s">
        <v>54</v>
      </c>
      <c r="N2509" t="s">
        <v>85</v>
      </c>
      <c r="O2509" t="s">
        <v>86</v>
      </c>
      <c r="P2509" t="s">
        <v>53</v>
      </c>
      <c r="Q2509" t="s">
        <v>54</v>
      </c>
      <c r="R2509" s="1">
        <v>44266.450949074075</v>
      </c>
      <c r="S2509" s="1">
        <v>44266.450949074075</v>
      </c>
      <c r="T2509">
        <v>0</v>
      </c>
      <c r="U2509">
        <v>1</v>
      </c>
      <c r="V2509" s="2">
        <v>0</v>
      </c>
      <c r="W2509">
        <v>0</v>
      </c>
      <c r="X2509" t="s">
        <v>44</v>
      </c>
      <c r="Y2509">
        <v>0</v>
      </c>
      <c r="Z2509" t="s">
        <v>31</v>
      </c>
      <c r="AA2509">
        <v>0</v>
      </c>
      <c r="AB2509" t="s">
        <v>31</v>
      </c>
      <c r="AC2509">
        <v>0</v>
      </c>
      <c r="AD2509" t="s">
        <v>31</v>
      </c>
      <c r="AE2509">
        <v>0</v>
      </c>
      <c r="AF2509" t="s">
        <v>31</v>
      </c>
      <c r="AG2509">
        <v>0</v>
      </c>
      <c r="AH2509" t="s">
        <v>31</v>
      </c>
      <c r="AI2509">
        <v>0</v>
      </c>
      <c r="AJ2509" t="s">
        <v>31</v>
      </c>
      <c r="AK2509">
        <v>0</v>
      </c>
      <c r="AL2509" t="s">
        <v>31</v>
      </c>
      <c r="AM2509">
        <v>0</v>
      </c>
      <c r="AN2509" t="s">
        <v>31</v>
      </c>
      <c r="AO2509">
        <v>0</v>
      </c>
      <c r="AP2509" t="s">
        <v>31</v>
      </c>
      <c r="AQ2509">
        <v>0</v>
      </c>
    </row>
    <row r="2510" spans="1:43" x14ac:dyDescent="0.2">
      <c r="A2510" t="s">
        <v>381</v>
      </c>
      <c r="B2510" s="3">
        <v>44266</v>
      </c>
      <c r="C2510">
        <v>34</v>
      </c>
      <c r="D2510" t="s">
        <v>385</v>
      </c>
      <c r="E2510" t="s">
        <v>127</v>
      </c>
      <c r="F2510" s="9" t="s">
        <v>129</v>
      </c>
      <c r="G2510" t="s">
        <v>26</v>
      </c>
      <c r="H2510" t="s">
        <v>85</v>
      </c>
      <c r="I2510" t="s">
        <v>86</v>
      </c>
      <c r="J2510" t="s">
        <v>53</v>
      </c>
      <c r="K2510" t="s">
        <v>54</v>
      </c>
      <c r="L2510" t="s">
        <v>53</v>
      </c>
      <c r="M2510" t="s">
        <v>54</v>
      </c>
      <c r="N2510" t="s">
        <v>85</v>
      </c>
      <c r="O2510" t="s">
        <v>86</v>
      </c>
      <c r="P2510" t="s">
        <v>53</v>
      </c>
      <c r="Q2510" t="s">
        <v>54</v>
      </c>
      <c r="R2510" s="1">
        <v>44266.567835648151</v>
      </c>
      <c r="S2510" s="1">
        <v>44266.567847222221</v>
      </c>
      <c r="T2510">
        <v>0</v>
      </c>
      <c r="U2510">
        <v>2</v>
      </c>
      <c r="V2510" s="2">
        <v>0</v>
      </c>
      <c r="W2510">
        <v>0</v>
      </c>
      <c r="X2510" t="s">
        <v>44</v>
      </c>
      <c r="Y2510">
        <v>0</v>
      </c>
      <c r="Z2510" t="s">
        <v>44</v>
      </c>
      <c r="AA2510">
        <v>0</v>
      </c>
      <c r="AB2510" t="s">
        <v>31</v>
      </c>
      <c r="AC2510">
        <v>0</v>
      </c>
      <c r="AD2510" t="s">
        <v>31</v>
      </c>
      <c r="AE2510">
        <v>0</v>
      </c>
      <c r="AF2510" t="s">
        <v>31</v>
      </c>
      <c r="AG2510">
        <v>0</v>
      </c>
      <c r="AH2510" t="s">
        <v>31</v>
      </c>
      <c r="AI2510">
        <v>0</v>
      </c>
      <c r="AJ2510" t="s">
        <v>31</v>
      </c>
      <c r="AK2510">
        <v>0</v>
      </c>
      <c r="AL2510" t="s">
        <v>31</v>
      </c>
      <c r="AM2510">
        <v>0</v>
      </c>
      <c r="AN2510" t="s">
        <v>31</v>
      </c>
      <c r="AO2510">
        <v>0</v>
      </c>
      <c r="AP2510" t="s">
        <v>31</v>
      </c>
      <c r="AQ2510">
        <v>0</v>
      </c>
    </row>
    <row r="2511" spans="1:43" x14ac:dyDescent="0.2">
      <c r="A2511" t="s">
        <v>381</v>
      </c>
      <c r="B2511" s="3">
        <v>44270</v>
      </c>
      <c r="C2511">
        <v>35</v>
      </c>
      <c r="D2511" t="s">
        <v>384</v>
      </c>
      <c r="E2511" t="s">
        <v>127</v>
      </c>
      <c r="F2511" s="9" t="s">
        <v>129</v>
      </c>
      <c r="G2511" t="s">
        <v>26</v>
      </c>
      <c r="H2511" t="s">
        <v>85</v>
      </c>
      <c r="I2511" t="s">
        <v>86</v>
      </c>
      <c r="J2511" t="s">
        <v>53</v>
      </c>
      <c r="K2511" t="s">
        <v>54</v>
      </c>
      <c r="L2511" t="s">
        <v>53</v>
      </c>
      <c r="M2511" t="s">
        <v>54</v>
      </c>
      <c r="N2511" t="s">
        <v>85</v>
      </c>
      <c r="O2511" t="s">
        <v>86</v>
      </c>
      <c r="P2511" t="s">
        <v>53</v>
      </c>
      <c r="Q2511" t="s">
        <v>54</v>
      </c>
      <c r="R2511" s="1">
        <v>44270.395312499997</v>
      </c>
      <c r="S2511" s="1">
        <v>44270.395312499997</v>
      </c>
      <c r="T2511">
        <v>0</v>
      </c>
      <c r="U2511">
        <v>1</v>
      </c>
      <c r="V2511" s="2">
        <v>0</v>
      </c>
      <c r="W2511">
        <v>0</v>
      </c>
      <c r="X2511" t="s">
        <v>44</v>
      </c>
      <c r="Y2511">
        <v>0</v>
      </c>
      <c r="Z2511" t="s">
        <v>31</v>
      </c>
      <c r="AA2511">
        <v>0</v>
      </c>
      <c r="AB2511" t="s">
        <v>31</v>
      </c>
      <c r="AC2511">
        <v>0</v>
      </c>
      <c r="AD2511" t="s">
        <v>31</v>
      </c>
      <c r="AE2511">
        <v>0</v>
      </c>
      <c r="AF2511" t="s">
        <v>31</v>
      </c>
      <c r="AG2511">
        <v>0</v>
      </c>
      <c r="AH2511" t="s">
        <v>31</v>
      </c>
      <c r="AI2511">
        <v>0</v>
      </c>
      <c r="AJ2511" t="s">
        <v>31</v>
      </c>
      <c r="AK2511">
        <v>0</v>
      </c>
      <c r="AL2511" t="s">
        <v>31</v>
      </c>
      <c r="AM2511">
        <v>0</v>
      </c>
      <c r="AN2511" t="s">
        <v>31</v>
      </c>
      <c r="AO2511">
        <v>0</v>
      </c>
      <c r="AP2511" t="s">
        <v>31</v>
      </c>
      <c r="AQ2511">
        <v>0</v>
      </c>
    </row>
    <row r="2512" spans="1:43" x14ac:dyDescent="0.2">
      <c r="A2512" t="s">
        <v>381</v>
      </c>
      <c r="B2512" s="3">
        <v>44271</v>
      </c>
      <c r="C2512">
        <v>37</v>
      </c>
      <c r="D2512" t="s">
        <v>385</v>
      </c>
      <c r="E2512" t="s">
        <v>127</v>
      </c>
      <c r="F2512" s="9" t="s">
        <v>129</v>
      </c>
      <c r="G2512" t="s">
        <v>26</v>
      </c>
      <c r="H2512" t="s">
        <v>85</v>
      </c>
      <c r="I2512" t="s">
        <v>86</v>
      </c>
      <c r="J2512" t="s">
        <v>53</v>
      </c>
      <c r="K2512" t="s">
        <v>54</v>
      </c>
      <c r="L2512" t="s">
        <v>53</v>
      </c>
      <c r="M2512" t="s">
        <v>54</v>
      </c>
      <c r="N2512" t="s">
        <v>85</v>
      </c>
      <c r="O2512" t="s">
        <v>86</v>
      </c>
      <c r="P2512" t="s">
        <v>53</v>
      </c>
      <c r="Q2512" t="s">
        <v>54</v>
      </c>
      <c r="R2512" s="1">
        <v>44271.545092592591</v>
      </c>
      <c r="S2512" s="1">
        <v>44271.545115740744</v>
      </c>
      <c r="T2512">
        <v>0</v>
      </c>
      <c r="U2512">
        <v>2</v>
      </c>
      <c r="V2512" s="2">
        <v>0</v>
      </c>
      <c r="W2512">
        <v>0</v>
      </c>
      <c r="X2512" t="s">
        <v>44</v>
      </c>
      <c r="Y2512">
        <v>0</v>
      </c>
      <c r="Z2512" t="s">
        <v>44</v>
      </c>
      <c r="AA2512">
        <v>0</v>
      </c>
      <c r="AB2512" t="s">
        <v>31</v>
      </c>
      <c r="AC2512">
        <v>0</v>
      </c>
      <c r="AD2512" t="s">
        <v>31</v>
      </c>
      <c r="AE2512">
        <v>0</v>
      </c>
      <c r="AF2512" t="s">
        <v>31</v>
      </c>
      <c r="AG2512">
        <v>0</v>
      </c>
      <c r="AH2512" t="s">
        <v>31</v>
      </c>
      <c r="AI2512">
        <v>0</v>
      </c>
      <c r="AJ2512" t="s">
        <v>31</v>
      </c>
      <c r="AK2512">
        <v>0</v>
      </c>
      <c r="AL2512" t="s">
        <v>31</v>
      </c>
      <c r="AM2512">
        <v>0</v>
      </c>
      <c r="AN2512" t="s">
        <v>31</v>
      </c>
      <c r="AO2512">
        <v>0</v>
      </c>
      <c r="AP2512" t="s">
        <v>31</v>
      </c>
      <c r="AQ2512">
        <v>0</v>
      </c>
    </row>
    <row r="2513" spans="1:43" x14ac:dyDescent="0.2">
      <c r="A2513" t="s">
        <v>381</v>
      </c>
      <c r="B2513" s="3">
        <v>44272</v>
      </c>
      <c r="C2513">
        <v>38</v>
      </c>
      <c r="D2513" t="s">
        <v>384</v>
      </c>
      <c r="E2513" t="s">
        <v>127</v>
      </c>
      <c r="F2513" s="9" t="s">
        <v>129</v>
      </c>
      <c r="G2513" t="s">
        <v>26</v>
      </c>
      <c r="H2513" t="s">
        <v>85</v>
      </c>
      <c r="I2513" t="s">
        <v>86</v>
      </c>
      <c r="J2513" t="s">
        <v>53</v>
      </c>
      <c r="K2513" t="s">
        <v>54</v>
      </c>
      <c r="L2513" t="s">
        <v>53</v>
      </c>
      <c r="M2513" t="s">
        <v>54</v>
      </c>
      <c r="N2513" t="s">
        <v>85</v>
      </c>
      <c r="O2513" t="s">
        <v>86</v>
      </c>
      <c r="P2513" t="s">
        <v>53</v>
      </c>
      <c r="Q2513" t="s">
        <v>54</v>
      </c>
      <c r="R2513" s="1">
        <v>44272.469571759262</v>
      </c>
      <c r="S2513" s="1">
        <v>44272.469571759262</v>
      </c>
      <c r="T2513">
        <v>0</v>
      </c>
      <c r="U2513">
        <v>1</v>
      </c>
      <c r="V2513" s="2">
        <v>0</v>
      </c>
      <c r="W2513">
        <v>0</v>
      </c>
      <c r="X2513" t="s">
        <v>44</v>
      </c>
      <c r="Y2513">
        <v>0</v>
      </c>
      <c r="Z2513" t="s">
        <v>31</v>
      </c>
      <c r="AA2513">
        <v>0</v>
      </c>
      <c r="AB2513" t="s">
        <v>31</v>
      </c>
      <c r="AC2513">
        <v>0</v>
      </c>
      <c r="AD2513" t="s">
        <v>31</v>
      </c>
      <c r="AE2513">
        <v>0</v>
      </c>
      <c r="AF2513" t="s">
        <v>31</v>
      </c>
      <c r="AG2513">
        <v>0</v>
      </c>
      <c r="AH2513" t="s">
        <v>31</v>
      </c>
      <c r="AI2513">
        <v>0</v>
      </c>
      <c r="AJ2513" t="s">
        <v>31</v>
      </c>
      <c r="AK2513">
        <v>0</v>
      </c>
      <c r="AL2513" t="s">
        <v>31</v>
      </c>
      <c r="AM2513">
        <v>0</v>
      </c>
      <c r="AN2513" t="s">
        <v>31</v>
      </c>
      <c r="AO2513">
        <v>0</v>
      </c>
      <c r="AP2513" t="s">
        <v>31</v>
      </c>
      <c r="AQ2513">
        <v>0</v>
      </c>
    </row>
    <row r="2514" spans="1:43" x14ac:dyDescent="0.2">
      <c r="A2514" t="s">
        <v>381</v>
      </c>
      <c r="B2514" s="3">
        <v>44273</v>
      </c>
      <c r="C2514">
        <v>39</v>
      </c>
      <c r="D2514" t="s">
        <v>385</v>
      </c>
      <c r="E2514" t="s">
        <v>127</v>
      </c>
      <c r="F2514" s="9" t="s">
        <v>129</v>
      </c>
      <c r="G2514" t="s">
        <v>26</v>
      </c>
      <c r="H2514" t="s">
        <v>85</v>
      </c>
      <c r="I2514" t="s">
        <v>86</v>
      </c>
      <c r="J2514" t="s">
        <v>53</v>
      </c>
      <c r="K2514" t="s">
        <v>54</v>
      </c>
      <c r="L2514" t="s">
        <v>53</v>
      </c>
      <c r="M2514" t="s">
        <v>54</v>
      </c>
      <c r="N2514" t="s">
        <v>85</v>
      </c>
      <c r="O2514" t="s">
        <v>86</v>
      </c>
      <c r="P2514" t="s">
        <v>53</v>
      </c>
      <c r="Q2514" t="s">
        <v>54</v>
      </c>
      <c r="R2514" s="1">
        <v>44273.409120370372</v>
      </c>
      <c r="S2514" s="1">
        <v>44273.409120370372</v>
      </c>
      <c r="T2514">
        <v>0</v>
      </c>
      <c r="U2514">
        <v>1</v>
      </c>
      <c r="V2514" s="2">
        <v>0</v>
      </c>
      <c r="W2514">
        <v>0</v>
      </c>
      <c r="X2514" t="s">
        <v>44</v>
      </c>
      <c r="Y2514">
        <v>0</v>
      </c>
      <c r="Z2514" t="s">
        <v>31</v>
      </c>
      <c r="AA2514">
        <v>0</v>
      </c>
      <c r="AB2514" t="s">
        <v>31</v>
      </c>
      <c r="AC2514">
        <v>0</v>
      </c>
      <c r="AD2514" t="s">
        <v>31</v>
      </c>
      <c r="AE2514">
        <v>0</v>
      </c>
      <c r="AF2514" t="s">
        <v>31</v>
      </c>
      <c r="AG2514">
        <v>0</v>
      </c>
      <c r="AH2514" t="s">
        <v>31</v>
      </c>
      <c r="AI2514">
        <v>0</v>
      </c>
      <c r="AJ2514" t="s">
        <v>31</v>
      </c>
      <c r="AK2514">
        <v>0</v>
      </c>
      <c r="AL2514" t="s">
        <v>31</v>
      </c>
      <c r="AM2514">
        <v>0</v>
      </c>
      <c r="AN2514" t="s">
        <v>31</v>
      </c>
      <c r="AO2514">
        <v>0</v>
      </c>
      <c r="AP2514" t="s">
        <v>31</v>
      </c>
      <c r="AQ2514">
        <v>0</v>
      </c>
    </row>
    <row r="2515" spans="1:43" x14ac:dyDescent="0.2">
      <c r="A2515" t="s">
        <v>381</v>
      </c>
      <c r="B2515" s="3">
        <v>44279</v>
      </c>
      <c r="C2515">
        <v>41</v>
      </c>
      <c r="D2515" t="s">
        <v>384</v>
      </c>
      <c r="E2515" t="s">
        <v>127</v>
      </c>
      <c r="F2515" s="9" t="s">
        <v>129</v>
      </c>
      <c r="G2515" t="s">
        <v>26</v>
      </c>
      <c r="H2515" t="s">
        <v>85</v>
      </c>
      <c r="I2515" t="s">
        <v>86</v>
      </c>
      <c r="J2515" t="s">
        <v>53</v>
      </c>
      <c r="K2515" t="s">
        <v>54</v>
      </c>
      <c r="L2515" t="s">
        <v>53</v>
      </c>
      <c r="M2515" t="s">
        <v>54</v>
      </c>
      <c r="N2515" t="s">
        <v>85</v>
      </c>
      <c r="O2515" t="s">
        <v>86</v>
      </c>
      <c r="P2515" t="s">
        <v>53</v>
      </c>
      <c r="Q2515" t="s">
        <v>54</v>
      </c>
      <c r="R2515" s="1">
        <v>44279.416539351849</v>
      </c>
      <c r="S2515" s="1">
        <v>44279.416539351849</v>
      </c>
      <c r="T2515">
        <v>1</v>
      </c>
      <c r="U2515">
        <v>1</v>
      </c>
      <c r="V2515" s="2">
        <v>1</v>
      </c>
      <c r="W2515">
        <v>1</v>
      </c>
      <c r="X2515" t="s">
        <v>54</v>
      </c>
      <c r="Y2515">
        <v>1</v>
      </c>
      <c r="Z2515" t="s">
        <v>31</v>
      </c>
      <c r="AA2515">
        <v>0</v>
      </c>
      <c r="AB2515" t="s">
        <v>31</v>
      </c>
      <c r="AC2515">
        <v>0</v>
      </c>
      <c r="AD2515" t="s">
        <v>31</v>
      </c>
      <c r="AE2515">
        <v>0</v>
      </c>
      <c r="AF2515" t="s">
        <v>31</v>
      </c>
      <c r="AG2515">
        <v>0</v>
      </c>
      <c r="AH2515" t="s">
        <v>31</v>
      </c>
      <c r="AI2515">
        <v>0</v>
      </c>
      <c r="AJ2515" t="s">
        <v>31</v>
      </c>
      <c r="AK2515">
        <v>0</v>
      </c>
      <c r="AL2515" t="s">
        <v>31</v>
      </c>
      <c r="AM2515">
        <v>0</v>
      </c>
      <c r="AN2515" t="s">
        <v>31</v>
      </c>
      <c r="AO2515">
        <v>0</v>
      </c>
      <c r="AP2515" t="s">
        <v>31</v>
      </c>
      <c r="AQ2515">
        <v>0</v>
      </c>
    </row>
    <row r="2516" spans="1:43" x14ac:dyDescent="0.2">
      <c r="A2516" t="s">
        <v>381</v>
      </c>
      <c r="B2516" s="3">
        <v>44284</v>
      </c>
      <c r="C2516">
        <v>43</v>
      </c>
      <c r="D2516" t="s">
        <v>384</v>
      </c>
      <c r="E2516" t="s">
        <v>127</v>
      </c>
      <c r="F2516" s="9" t="s">
        <v>129</v>
      </c>
      <c r="G2516" t="s">
        <v>26</v>
      </c>
      <c r="H2516" t="s">
        <v>85</v>
      </c>
      <c r="I2516" t="s">
        <v>86</v>
      </c>
      <c r="J2516" t="s">
        <v>53</v>
      </c>
      <c r="K2516" t="s">
        <v>54</v>
      </c>
      <c r="L2516" t="s">
        <v>53</v>
      </c>
      <c r="M2516" t="s">
        <v>54</v>
      </c>
      <c r="N2516" t="s">
        <v>85</v>
      </c>
      <c r="O2516" t="s">
        <v>86</v>
      </c>
      <c r="P2516" t="s">
        <v>53</v>
      </c>
      <c r="Q2516" t="s">
        <v>54</v>
      </c>
      <c r="R2516" s="1">
        <v>44284.437245370369</v>
      </c>
      <c r="S2516" s="1">
        <v>44284.437245370369</v>
      </c>
      <c r="T2516">
        <v>0</v>
      </c>
      <c r="U2516">
        <v>1</v>
      </c>
      <c r="V2516" s="2">
        <v>0</v>
      </c>
      <c r="W2516">
        <v>0</v>
      </c>
      <c r="X2516" t="s">
        <v>44</v>
      </c>
      <c r="Y2516">
        <v>0</v>
      </c>
      <c r="Z2516" t="s">
        <v>31</v>
      </c>
      <c r="AA2516">
        <v>0</v>
      </c>
      <c r="AB2516" t="s">
        <v>31</v>
      </c>
      <c r="AC2516">
        <v>0</v>
      </c>
      <c r="AD2516" t="s">
        <v>31</v>
      </c>
      <c r="AE2516">
        <v>0</v>
      </c>
      <c r="AF2516" t="s">
        <v>31</v>
      </c>
      <c r="AG2516">
        <v>0</v>
      </c>
      <c r="AH2516" t="s">
        <v>31</v>
      </c>
      <c r="AI2516">
        <v>0</v>
      </c>
      <c r="AJ2516" t="s">
        <v>31</v>
      </c>
      <c r="AK2516">
        <v>0</v>
      </c>
      <c r="AL2516" t="s">
        <v>31</v>
      </c>
      <c r="AM2516">
        <v>0</v>
      </c>
      <c r="AN2516" t="s">
        <v>31</v>
      </c>
      <c r="AO2516">
        <v>0</v>
      </c>
      <c r="AP2516" t="s">
        <v>31</v>
      </c>
      <c r="AQ2516">
        <v>0</v>
      </c>
    </row>
    <row r="2517" spans="1:43" x14ac:dyDescent="0.2">
      <c r="A2517" t="s">
        <v>381</v>
      </c>
      <c r="B2517" s="3">
        <v>44285</v>
      </c>
      <c r="C2517">
        <v>44</v>
      </c>
      <c r="D2517" t="s">
        <v>385</v>
      </c>
      <c r="E2517" t="s">
        <v>127</v>
      </c>
      <c r="F2517" s="9" t="s">
        <v>129</v>
      </c>
      <c r="G2517" t="s">
        <v>26</v>
      </c>
      <c r="H2517" t="s">
        <v>85</v>
      </c>
      <c r="I2517" t="s">
        <v>86</v>
      </c>
      <c r="J2517" t="s">
        <v>53</v>
      </c>
      <c r="K2517" t="s">
        <v>54</v>
      </c>
      <c r="L2517" t="s">
        <v>53</v>
      </c>
      <c r="M2517" t="s">
        <v>54</v>
      </c>
      <c r="N2517" t="s">
        <v>85</v>
      </c>
      <c r="O2517" t="s">
        <v>86</v>
      </c>
      <c r="P2517" t="s">
        <v>53</v>
      </c>
      <c r="Q2517" t="s">
        <v>54</v>
      </c>
      <c r="R2517" s="1">
        <v>44285.385335648149</v>
      </c>
      <c r="S2517" s="1">
        <v>44285.385335648149</v>
      </c>
      <c r="T2517">
        <v>0</v>
      </c>
      <c r="U2517">
        <v>1</v>
      </c>
      <c r="V2517" s="2">
        <v>0</v>
      </c>
      <c r="W2517">
        <v>0</v>
      </c>
      <c r="X2517" t="s">
        <v>44</v>
      </c>
      <c r="Y2517">
        <v>0</v>
      </c>
      <c r="Z2517" t="s">
        <v>31</v>
      </c>
      <c r="AA2517">
        <v>0</v>
      </c>
      <c r="AB2517" t="s">
        <v>31</v>
      </c>
      <c r="AC2517">
        <v>0</v>
      </c>
      <c r="AD2517" t="s">
        <v>31</v>
      </c>
      <c r="AE2517">
        <v>0</v>
      </c>
      <c r="AF2517" t="s">
        <v>31</v>
      </c>
      <c r="AG2517">
        <v>0</v>
      </c>
      <c r="AH2517" t="s">
        <v>31</v>
      </c>
      <c r="AI2517">
        <v>0</v>
      </c>
      <c r="AJ2517" t="s">
        <v>31</v>
      </c>
      <c r="AK2517">
        <v>0</v>
      </c>
      <c r="AL2517" t="s">
        <v>31</v>
      </c>
      <c r="AM2517">
        <v>0</v>
      </c>
      <c r="AN2517" t="s">
        <v>31</v>
      </c>
      <c r="AO2517">
        <v>0</v>
      </c>
      <c r="AP2517" t="s">
        <v>31</v>
      </c>
      <c r="AQ2517">
        <v>0</v>
      </c>
    </row>
    <row r="2518" spans="1:43" x14ac:dyDescent="0.2">
      <c r="A2518" t="s">
        <v>381</v>
      </c>
      <c r="B2518" s="3">
        <v>44287</v>
      </c>
      <c r="C2518">
        <v>47</v>
      </c>
      <c r="D2518" t="s">
        <v>385</v>
      </c>
      <c r="E2518" t="s">
        <v>127</v>
      </c>
      <c r="F2518" s="9" t="s">
        <v>129</v>
      </c>
      <c r="G2518" t="s">
        <v>26</v>
      </c>
      <c r="H2518" t="s">
        <v>85</v>
      </c>
      <c r="I2518" t="s">
        <v>86</v>
      </c>
      <c r="J2518" t="s">
        <v>53</v>
      </c>
      <c r="K2518" t="s">
        <v>54</v>
      </c>
      <c r="L2518" t="s">
        <v>53</v>
      </c>
      <c r="M2518" t="s">
        <v>54</v>
      </c>
      <c r="N2518" t="s">
        <v>85</v>
      </c>
      <c r="O2518" t="s">
        <v>86</v>
      </c>
      <c r="P2518" t="s">
        <v>53</v>
      </c>
      <c r="Q2518" t="s">
        <v>54</v>
      </c>
      <c r="R2518" s="1">
        <v>44287.438761574071</v>
      </c>
      <c r="S2518" s="1">
        <v>44287.438761574071</v>
      </c>
      <c r="T2518">
        <v>0</v>
      </c>
      <c r="U2518">
        <v>2</v>
      </c>
      <c r="V2518" s="2">
        <v>0</v>
      </c>
      <c r="W2518">
        <v>0</v>
      </c>
      <c r="X2518" t="s">
        <v>44</v>
      </c>
      <c r="Y2518">
        <v>0</v>
      </c>
      <c r="Z2518" t="s">
        <v>44</v>
      </c>
      <c r="AA2518">
        <v>0</v>
      </c>
      <c r="AB2518" t="s">
        <v>31</v>
      </c>
      <c r="AC2518">
        <v>0</v>
      </c>
      <c r="AD2518" t="s">
        <v>31</v>
      </c>
      <c r="AE2518">
        <v>0</v>
      </c>
      <c r="AF2518" t="s">
        <v>31</v>
      </c>
      <c r="AG2518">
        <v>0</v>
      </c>
      <c r="AH2518" t="s">
        <v>31</v>
      </c>
      <c r="AI2518">
        <v>0</v>
      </c>
      <c r="AJ2518" t="s">
        <v>31</v>
      </c>
      <c r="AK2518">
        <v>0</v>
      </c>
      <c r="AL2518" t="s">
        <v>31</v>
      </c>
      <c r="AM2518">
        <v>0</v>
      </c>
      <c r="AN2518" t="s">
        <v>31</v>
      </c>
      <c r="AO2518">
        <v>0</v>
      </c>
      <c r="AP2518" t="s">
        <v>31</v>
      </c>
      <c r="AQ2518">
        <v>0</v>
      </c>
    </row>
    <row r="2519" spans="1:43" x14ac:dyDescent="0.2">
      <c r="A2519" t="s">
        <v>381</v>
      </c>
      <c r="B2519" s="3">
        <v>44288</v>
      </c>
      <c r="C2519">
        <v>49</v>
      </c>
      <c r="D2519" t="s">
        <v>384</v>
      </c>
      <c r="E2519" t="s">
        <v>127</v>
      </c>
      <c r="F2519" s="9" t="s">
        <v>129</v>
      </c>
      <c r="G2519" t="s">
        <v>26</v>
      </c>
      <c r="H2519" t="s">
        <v>85</v>
      </c>
      <c r="I2519" t="s">
        <v>86</v>
      </c>
      <c r="J2519" t="s">
        <v>53</v>
      </c>
      <c r="K2519" t="s">
        <v>54</v>
      </c>
      <c r="L2519" t="s">
        <v>53</v>
      </c>
      <c r="M2519" t="s">
        <v>54</v>
      </c>
      <c r="N2519" t="s">
        <v>85</v>
      </c>
      <c r="O2519" t="s">
        <v>86</v>
      </c>
      <c r="P2519" t="s">
        <v>53</v>
      </c>
      <c r="Q2519" t="s">
        <v>54</v>
      </c>
      <c r="R2519" s="1">
        <v>44288.462372685186</v>
      </c>
      <c r="S2519" s="1">
        <v>44288.462372685186</v>
      </c>
      <c r="T2519">
        <v>1</v>
      </c>
      <c r="U2519">
        <v>1</v>
      </c>
      <c r="V2519" s="2">
        <v>1</v>
      </c>
      <c r="W2519">
        <v>1</v>
      </c>
      <c r="X2519" t="s">
        <v>54</v>
      </c>
      <c r="Y2519">
        <v>1</v>
      </c>
      <c r="Z2519" t="s">
        <v>31</v>
      </c>
      <c r="AA2519">
        <v>0</v>
      </c>
      <c r="AB2519" t="s">
        <v>31</v>
      </c>
      <c r="AC2519">
        <v>0</v>
      </c>
      <c r="AD2519" t="s">
        <v>31</v>
      </c>
      <c r="AE2519">
        <v>0</v>
      </c>
      <c r="AF2519" t="s">
        <v>31</v>
      </c>
      <c r="AG2519">
        <v>0</v>
      </c>
      <c r="AH2519" t="s">
        <v>31</v>
      </c>
      <c r="AI2519">
        <v>0</v>
      </c>
      <c r="AJ2519" t="s">
        <v>31</v>
      </c>
      <c r="AK2519">
        <v>0</v>
      </c>
      <c r="AL2519" t="s">
        <v>31</v>
      </c>
      <c r="AM2519">
        <v>0</v>
      </c>
      <c r="AN2519" t="s">
        <v>31</v>
      </c>
      <c r="AO2519">
        <v>0</v>
      </c>
      <c r="AP2519" t="s">
        <v>31</v>
      </c>
      <c r="AQ2519">
        <v>0</v>
      </c>
    </row>
    <row r="2520" spans="1:43" x14ac:dyDescent="0.2">
      <c r="A2520" t="s">
        <v>381</v>
      </c>
      <c r="B2520" s="3">
        <v>44291</v>
      </c>
      <c r="C2520">
        <v>50</v>
      </c>
      <c r="D2520" t="s">
        <v>384</v>
      </c>
      <c r="E2520" t="s">
        <v>127</v>
      </c>
      <c r="F2520" s="9" t="s">
        <v>129</v>
      </c>
      <c r="G2520" t="s">
        <v>26</v>
      </c>
      <c r="H2520" t="s">
        <v>85</v>
      </c>
      <c r="I2520" t="s">
        <v>86</v>
      </c>
      <c r="J2520" t="s">
        <v>53</v>
      </c>
      <c r="K2520" t="s">
        <v>54</v>
      </c>
      <c r="L2520" t="s">
        <v>53</v>
      </c>
      <c r="M2520" t="s">
        <v>54</v>
      </c>
      <c r="N2520" t="s">
        <v>85</v>
      </c>
      <c r="O2520" t="s">
        <v>86</v>
      </c>
      <c r="P2520" t="s">
        <v>53</v>
      </c>
      <c r="Q2520" t="s">
        <v>54</v>
      </c>
      <c r="R2520" s="1">
        <v>44291.466099537036</v>
      </c>
      <c r="S2520" s="1">
        <v>44291.466099537036</v>
      </c>
      <c r="T2520">
        <v>0</v>
      </c>
      <c r="U2520">
        <v>1</v>
      </c>
      <c r="V2520" s="2">
        <v>0</v>
      </c>
      <c r="W2520">
        <v>0</v>
      </c>
      <c r="X2520" t="s">
        <v>44</v>
      </c>
      <c r="Y2520">
        <v>0</v>
      </c>
      <c r="Z2520" t="s">
        <v>31</v>
      </c>
      <c r="AA2520">
        <v>0</v>
      </c>
      <c r="AB2520" t="s">
        <v>31</v>
      </c>
      <c r="AC2520">
        <v>0</v>
      </c>
      <c r="AD2520" t="s">
        <v>31</v>
      </c>
      <c r="AE2520">
        <v>0</v>
      </c>
      <c r="AF2520" t="s">
        <v>31</v>
      </c>
      <c r="AG2520">
        <v>0</v>
      </c>
      <c r="AH2520" t="s">
        <v>31</v>
      </c>
      <c r="AI2520">
        <v>0</v>
      </c>
      <c r="AJ2520" t="s">
        <v>31</v>
      </c>
      <c r="AK2520">
        <v>0</v>
      </c>
      <c r="AL2520" t="s">
        <v>31</v>
      </c>
      <c r="AM2520">
        <v>0</v>
      </c>
      <c r="AN2520" t="s">
        <v>31</v>
      </c>
      <c r="AO2520">
        <v>0</v>
      </c>
      <c r="AP2520" t="s">
        <v>31</v>
      </c>
      <c r="AQ2520">
        <v>0</v>
      </c>
    </row>
    <row r="2521" spans="1:43" x14ac:dyDescent="0.2">
      <c r="A2521" t="s">
        <v>381</v>
      </c>
      <c r="B2521" s="3">
        <v>44293</v>
      </c>
      <c r="C2521">
        <v>53</v>
      </c>
      <c r="D2521" t="s">
        <v>384</v>
      </c>
      <c r="E2521" t="s">
        <v>127</v>
      </c>
      <c r="F2521" s="9" t="s">
        <v>129</v>
      </c>
      <c r="G2521" t="s">
        <v>26</v>
      </c>
      <c r="H2521" t="s">
        <v>85</v>
      </c>
      <c r="I2521" t="s">
        <v>86</v>
      </c>
      <c r="J2521" t="s">
        <v>53</v>
      </c>
      <c r="K2521" t="s">
        <v>54</v>
      </c>
      <c r="L2521" t="s">
        <v>53</v>
      </c>
      <c r="M2521" t="s">
        <v>54</v>
      </c>
      <c r="N2521" t="s">
        <v>85</v>
      </c>
      <c r="O2521" t="s">
        <v>86</v>
      </c>
      <c r="P2521" t="s">
        <v>53</v>
      </c>
      <c r="Q2521" t="s">
        <v>54</v>
      </c>
      <c r="R2521" s="1">
        <v>44293.380497685182</v>
      </c>
      <c r="S2521" s="1">
        <v>44293.380497685182</v>
      </c>
      <c r="T2521">
        <v>0</v>
      </c>
      <c r="U2521">
        <v>1</v>
      </c>
      <c r="V2521" s="2">
        <v>0</v>
      </c>
      <c r="W2521">
        <v>0</v>
      </c>
      <c r="X2521" t="s">
        <v>44</v>
      </c>
      <c r="Y2521">
        <v>0</v>
      </c>
      <c r="Z2521" t="s">
        <v>31</v>
      </c>
      <c r="AA2521">
        <v>0</v>
      </c>
      <c r="AB2521" t="s">
        <v>31</v>
      </c>
      <c r="AC2521">
        <v>0</v>
      </c>
      <c r="AD2521" t="s">
        <v>31</v>
      </c>
      <c r="AE2521">
        <v>0</v>
      </c>
      <c r="AF2521" t="s">
        <v>31</v>
      </c>
      <c r="AG2521">
        <v>0</v>
      </c>
      <c r="AH2521" t="s">
        <v>31</v>
      </c>
      <c r="AI2521">
        <v>0</v>
      </c>
      <c r="AJ2521" t="s">
        <v>31</v>
      </c>
      <c r="AK2521">
        <v>0</v>
      </c>
      <c r="AL2521" t="s">
        <v>31</v>
      </c>
      <c r="AM2521">
        <v>0</v>
      </c>
      <c r="AN2521" t="s">
        <v>31</v>
      </c>
      <c r="AO2521">
        <v>0</v>
      </c>
      <c r="AP2521" t="s">
        <v>31</v>
      </c>
      <c r="AQ2521">
        <v>0</v>
      </c>
    </row>
    <row r="2522" spans="1:43" x14ac:dyDescent="0.2">
      <c r="A2522" t="s">
        <v>381</v>
      </c>
      <c r="B2522" s="3">
        <v>44295</v>
      </c>
      <c r="C2522">
        <v>56</v>
      </c>
      <c r="D2522" t="s">
        <v>384</v>
      </c>
      <c r="E2522" t="s">
        <v>127</v>
      </c>
      <c r="F2522" s="9" t="s">
        <v>129</v>
      </c>
      <c r="G2522" t="s">
        <v>26</v>
      </c>
      <c r="H2522" t="s">
        <v>85</v>
      </c>
      <c r="I2522" t="s">
        <v>86</v>
      </c>
      <c r="J2522" t="s">
        <v>53</v>
      </c>
      <c r="K2522" t="s">
        <v>54</v>
      </c>
      <c r="L2522" t="s">
        <v>53</v>
      </c>
      <c r="M2522" t="s">
        <v>54</v>
      </c>
      <c r="N2522" t="s">
        <v>85</v>
      </c>
      <c r="O2522" t="s">
        <v>86</v>
      </c>
      <c r="P2522" t="s">
        <v>53</v>
      </c>
      <c r="Q2522" t="s">
        <v>54</v>
      </c>
      <c r="R2522" s="1">
        <v>44295.381666666668</v>
      </c>
      <c r="S2522" s="1">
        <v>44295.381666666668</v>
      </c>
      <c r="T2522">
        <v>0</v>
      </c>
      <c r="U2522">
        <v>1</v>
      </c>
      <c r="V2522" s="2">
        <v>0</v>
      </c>
      <c r="W2522">
        <v>0</v>
      </c>
      <c r="X2522" t="s">
        <v>44</v>
      </c>
      <c r="Y2522">
        <v>0</v>
      </c>
      <c r="Z2522" t="s">
        <v>31</v>
      </c>
      <c r="AA2522">
        <v>0</v>
      </c>
      <c r="AB2522" t="s">
        <v>31</v>
      </c>
      <c r="AC2522">
        <v>0</v>
      </c>
      <c r="AD2522" t="s">
        <v>31</v>
      </c>
      <c r="AE2522">
        <v>0</v>
      </c>
      <c r="AF2522" t="s">
        <v>31</v>
      </c>
      <c r="AG2522">
        <v>0</v>
      </c>
      <c r="AH2522" t="s">
        <v>31</v>
      </c>
      <c r="AI2522">
        <v>0</v>
      </c>
      <c r="AJ2522" t="s">
        <v>31</v>
      </c>
      <c r="AK2522">
        <v>0</v>
      </c>
      <c r="AL2522" t="s">
        <v>31</v>
      </c>
      <c r="AM2522">
        <v>0</v>
      </c>
      <c r="AN2522" t="s">
        <v>31</v>
      </c>
      <c r="AO2522">
        <v>0</v>
      </c>
      <c r="AP2522" t="s">
        <v>31</v>
      </c>
      <c r="AQ2522">
        <v>0</v>
      </c>
    </row>
    <row r="2523" spans="1:43" x14ac:dyDescent="0.2">
      <c r="A2523" t="s">
        <v>381</v>
      </c>
      <c r="B2523" s="3">
        <v>44299</v>
      </c>
      <c r="C2523">
        <v>59</v>
      </c>
      <c r="D2523" t="s">
        <v>385</v>
      </c>
      <c r="E2523" t="s">
        <v>127</v>
      </c>
      <c r="F2523" s="9" t="s">
        <v>129</v>
      </c>
      <c r="G2523" t="s">
        <v>26</v>
      </c>
      <c r="H2523" t="s">
        <v>85</v>
      </c>
      <c r="I2523" t="s">
        <v>86</v>
      </c>
      <c r="J2523" t="s">
        <v>53</v>
      </c>
      <c r="K2523" t="s">
        <v>54</v>
      </c>
      <c r="L2523" t="s">
        <v>53</v>
      </c>
      <c r="M2523" t="s">
        <v>54</v>
      </c>
      <c r="N2523" t="s">
        <v>85</v>
      </c>
      <c r="O2523" t="s">
        <v>86</v>
      </c>
      <c r="P2523" t="s">
        <v>53</v>
      </c>
      <c r="Q2523" t="s">
        <v>54</v>
      </c>
      <c r="R2523" s="1">
        <v>44299.558564814812</v>
      </c>
      <c r="S2523" s="1">
        <v>44299.558576388888</v>
      </c>
      <c r="T2523">
        <v>0</v>
      </c>
      <c r="U2523">
        <v>3</v>
      </c>
      <c r="V2523" s="2">
        <v>0</v>
      </c>
      <c r="W2523">
        <v>0</v>
      </c>
      <c r="X2523" t="s">
        <v>44</v>
      </c>
      <c r="Y2523">
        <v>0</v>
      </c>
      <c r="Z2523" t="s">
        <v>44</v>
      </c>
      <c r="AA2523">
        <v>0</v>
      </c>
      <c r="AB2523" t="s">
        <v>44</v>
      </c>
      <c r="AC2523">
        <v>0</v>
      </c>
      <c r="AD2523" t="s">
        <v>31</v>
      </c>
      <c r="AE2523">
        <v>0</v>
      </c>
      <c r="AF2523" t="s">
        <v>31</v>
      </c>
      <c r="AG2523">
        <v>0</v>
      </c>
      <c r="AH2523" t="s">
        <v>31</v>
      </c>
      <c r="AI2523">
        <v>0</v>
      </c>
      <c r="AJ2523" t="s">
        <v>31</v>
      </c>
      <c r="AK2523">
        <v>0</v>
      </c>
      <c r="AL2523" t="s">
        <v>31</v>
      </c>
      <c r="AM2523">
        <v>0</v>
      </c>
      <c r="AN2523" t="s">
        <v>31</v>
      </c>
      <c r="AO2523">
        <v>0</v>
      </c>
      <c r="AP2523" t="s">
        <v>31</v>
      </c>
      <c r="AQ2523">
        <v>0</v>
      </c>
    </row>
    <row r="2524" spans="1:43" x14ac:dyDescent="0.2">
      <c r="A2524" t="s">
        <v>381</v>
      </c>
      <c r="B2524" s="3">
        <v>44300</v>
      </c>
      <c r="C2524">
        <v>61</v>
      </c>
      <c r="D2524" t="s">
        <v>401</v>
      </c>
      <c r="E2524" t="s">
        <v>127</v>
      </c>
      <c r="F2524" s="9" t="s">
        <v>129</v>
      </c>
      <c r="G2524" t="s">
        <v>26</v>
      </c>
      <c r="H2524" t="s">
        <v>85</v>
      </c>
      <c r="I2524" t="s">
        <v>86</v>
      </c>
      <c r="J2524" t="s">
        <v>53</v>
      </c>
      <c r="K2524" t="s">
        <v>54</v>
      </c>
      <c r="L2524" t="s">
        <v>53</v>
      </c>
      <c r="M2524" t="s">
        <v>54</v>
      </c>
      <c r="N2524" t="s">
        <v>85</v>
      </c>
      <c r="O2524" t="s">
        <v>86</v>
      </c>
      <c r="P2524" t="s">
        <v>53</v>
      </c>
      <c r="Q2524" t="s">
        <v>54</v>
      </c>
      <c r="R2524" s="1">
        <v>44300.659571759257</v>
      </c>
      <c r="S2524" s="1">
        <v>44300.659571759257</v>
      </c>
      <c r="T2524">
        <v>0</v>
      </c>
      <c r="U2524">
        <v>1</v>
      </c>
      <c r="V2524" s="2">
        <v>0</v>
      </c>
      <c r="W2524">
        <v>0</v>
      </c>
      <c r="X2524" t="s">
        <v>44</v>
      </c>
      <c r="Y2524">
        <v>0</v>
      </c>
      <c r="Z2524" t="s">
        <v>31</v>
      </c>
      <c r="AA2524">
        <v>0</v>
      </c>
      <c r="AB2524" t="s">
        <v>31</v>
      </c>
      <c r="AC2524">
        <v>0</v>
      </c>
      <c r="AD2524" t="s">
        <v>31</v>
      </c>
      <c r="AE2524">
        <v>0</v>
      </c>
      <c r="AF2524" t="s">
        <v>31</v>
      </c>
      <c r="AG2524">
        <v>0</v>
      </c>
      <c r="AH2524" t="s">
        <v>31</v>
      </c>
      <c r="AI2524">
        <v>0</v>
      </c>
      <c r="AJ2524" t="s">
        <v>31</v>
      </c>
      <c r="AK2524">
        <v>0</v>
      </c>
      <c r="AL2524" t="s">
        <v>31</v>
      </c>
      <c r="AM2524">
        <v>0</v>
      </c>
      <c r="AN2524" t="s">
        <v>31</v>
      </c>
      <c r="AO2524">
        <v>0</v>
      </c>
      <c r="AP2524" t="s">
        <v>31</v>
      </c>
      <c r="AQ2524">
        <v>0</v>
      </c>
    </row>
    <row r="2525" spans="1:43" x14ac:dyDescent="0.2">
      <c r="A2525" t="s">
        <v>381</v>
      </c>
      <c r="B2525" s="3">
        <v>44302</v>
      </c>
      <c r="C2525">
        <v>65</v>
      </c>
      <c r="D2525" t="s">
        <v>387</v>
      </c>
      <c r="E2525" t="s">
        <v>127</v>
      </c>
      <c r="F2525" s="9" t="s">
        <v>129</v>
      </c>
      <c r="G2525" t="s">
        <v>26</v>
      </c>
      <c r="H2525" t="s">
        <v>85</v>
      </c>
      <c r="I2525" t="s">
        <v>86</v>
      </c>
      <c r="J2525" t="s">
        <v>53</v>
      </c>
      <c r="K2525" t="s">
        <v>54</v>
      </c>
      <c r="L2525" t="s">
        <v>53</v>
      </c>
      <c r="M2525" t="s">
        <v>54</v>
      </c>
      <c r="N2525" t="s">
        <v>85</v>
      </c>
      <c r="O2525" t="s">
        <v>86</v>
      </c>
      <c r="P2525" t="s">
        <v>53</v>
      </c>
      <c r="Q2525" t="s">
        <v>54</v>
      </c>
      <c r="R2525" s="1">
        <v>44302.559606481482</v>
      </c>
      <c r="S2525" s="1">
        <v>44302.559606481482</v>
      </c>
      <c r="T2525">
        <v>1</v>
      </c>
      <c r="U2525">
        <v>1</v>
      </c>
      <c r="V2525" s="2">
        <v>1</v>
      </c>
      <c r="W2525">
        <v>1</v>
      </c>
      <c r="X2525" t="s">
        <v>54</v>
      </c>
      <c r="Y2525">
        <v>1</v>
      </c>
      <c r="Z2525" t="s">
        <v>31</v>
      </c>
      <c r="AA2525">
        <v>0</v>
      </c>
      <c r="AB2525" t="s">
        <v>31</v>
      </c>
      <c r="AC2525">
        <v>0</v>
      </c>
      <c r="AD2525" t="s">
        <v>31</v>
      </c>
      <c r="AE2525">
        <v>0</v>
      </c>
      <c r="AF2525" t="s">
        <v>31</v>
      </c>
      <c r="AG2525">
        <v>0</v>
      </c>
      <c r="AH2525" t="s">
        <v>31</v>
      </c>
      <c r="AI2525">
        <v>0</v>
      </c>
      <c r="AJ2525" t="s">
        <v>31</v>
      </c>
      <c r="AK2525">
        <v>0</v>
      </c>
      <c r="AL2525" t="s">
        <v>31</v>
      </c>
      <c r="AM2525">
        <v>0</v>
      </c>
      <c r="AN2525" t="s">
        <v>31</v>
      </c>
      <c r="AO2525">
        <v>0</v>
      </c>
      <c r="AP2525" t="s">
        <v>31</v>
      </c>
      <c r="AQ2525">
        <v>0</v>
      </c>
    </row>
    <row r="2526" spans="1:43" x14ac:dyDescent="0.2">
      <c r="A2526" t="s">
        <v>381</v>
      </c>
      <c r="B2526" s="3">
        <v>44308</v>
      </c>
      <c r="C2526">
        <v>69</v>
      </c>
      <c r="D2526" t="s">
        <v>385</v>
      </c>
      <c r="E2526" t="s">
        <v>127</v>
      </c>
      <c r="F2526" s="9" t="s">
        <v>129</v>
      </c>
      <c r="G2526" t="s">
        <v>26</v>
      </c>
      <c r="H2526" t="s">
        <v>85</v>
      </c>
      <c r="I2526" t="s">
        <v>86</v>
      </c>
      <c r="J2526" t="s">
        <v>53</v>
      </c>
      <c r="K2526" t="s">
        <v>54</v>
      </c>
      <c r="L2526" t="s">
        <v>53</v>
      </c>
      <c r="M2526" t="s">
        <v>54</v>
      </c>
      <c r="N2526" t="s">
        <v>85</v>
      </c>
      <c r="O2526" t="s">
        <v>86</v>
      </c>
      <c r="P2526" t="s">
        <v>53</v>
      </c>
      <c r="Q2526" t="s">
        <v>54</v>
      </c>
      <c r="R2526" s="1">
        <v>44308.571180555555</v>
      </c>
      <c r="S2526" s="1">
        <v>44308.571180555555</v>
      </c>
      <c r="T2526">
        <v>0</v>
      </c>
      <c r="U2526">
        <v>1</v>
      </c>
      <c r="V2526" s="2">
        <v>0</v>
      </c>
      <c r="W2526">
        <v>0</v>
      </c>
      <c r="X2526" t="s">
        <v>44</v>
      </c>
      <c r="Y2526">
        <v>0</v>
      </c>
      <c r="Z2526" t="s">
        <v>31</v>
      </c>
      <c r="AA2526">
        <v>0</v>
      </c>
      <c r="AB2526" t="s">
        <v>31</v>
      </c>
      <c r="AC2526">
        <v>0</v>
      </c>
      <c r="AD2526" t="s">
        <v>31</v>
      </c>
      <c r="AE2526">
        <v>0</v>
      </c>
      <c r="AF2526" t="s">
        <v>31</v>
      </c>
      <c r="AG2526">
        <v>0</v>
      </c>
      <c r="AH2526" t="s">
        <v>31</v>
      </c>
      <c r="AI2526">
        <v>0</v>
      </c>
      <c r="AJ2526" t="s">
        <v>31</v>
      </c>
      <c r="AK2526">
        <v>0</v>
      </c>
      <c r="AL2526" t="s">
        <v>31</v>
      </c>
      <c r="AM2526">
        <v>0</v>
      </c>
      <c r="AN2526" t="s">
        <v>31</v>
      </c>
      <c r="AO2526">
        <v>0</v>
      </c>
      <c r="AP2526" t="s">
        <v>31</v>
      </c>
      <c r="AQ2526">
        <v>0</v>
      </c>
    </row>
    <row r="2527" spans="1:43" x14ac:dyDescent="0.2">
      <c r="A2527" t="s">
        <v>381</v>
      </c>
      <c r="B2527" s="3">
        <v>44313</v>
      </c>
      <c r="C2527">
        <v>74</v>
      </c>
      <c r="D2527" t="s">
        <v>383</v>
      </c>
      <c r="E2527" t="s">
        <v>127</v>
      </c>
      <c r="F2527" s="9" t="s">
        <v>129</v>
      </c>
      <c r="G2527" t="s">
        <v>26</v>
      </c>
      <c r="H2527" t="s">
        <v>85</v>
      </c>
      <c r="I2527" t="s">
        <v>86</v>
      </c>
      <c r="J2527" t="s">
        <v>53</v>
      </c>
      <c r="K2527" t="s">
        <v>54</v>
      </c>
      <c r="L2527" t="s">
        <v>53</v>
      </c>
      <c r="M2527" t="s">
        <v>54</v>
      </c>
      <c r="N2527" t="s">
        <v>85</v>
      </c>
      <c r="O2527" t="s">
        <v>86</v>
      </c>
      <c r="P2527" t="s">
        <v>53</v>
      </c>
      <c r="Q2527" t="s">
        <v>54</v>
      </c>
      <c r="R2527" s="1">
        <v>44313.467893518522</v>
      </c>
      <c r="S2527" s="1">
        <v>44313.467905092592</v>
      </c>
      <c r="T2527">
        <v>0</v>
      </c>
      <c r="U2527">
        <v>1</v>
      </c>
      <c r="V2527" s="2">
        <v>0</v>
      </c>
      <c r="W2527">
        <v>0</v>
      </c>
      <c r="X2527" t="s">
        <v>44</v>
      </c>
      <c r="Y2527">
        <v>0</v>
      </c>
      <c r="Z2527" t="s">
        <v>31</v>
      </c>
      <c r="AA2527">
        <v>0</v>
      </c>
      <c r="AB2527" t="s">
        <v>31</v>
      </c>
      <c r="AC2527">
        <v>0</v>
      </c>
      <c r="AD2527" t="s">
        <v>31</v>
      </c>
      <c r="AE2527">
        <v>0</v>
      </c>
      <c r="AF2527" t="s">
        <v>31</v>
      </c>
      <c r="AG2527">
        <v>0</v>
      </c>
      <c r="AH2527" t="s">
        <v>31</v>
      </c>
      <c r="AI2527">
        <v>0</v>
      </c>
      <c r="AJ2527" t="s">
        <v>31</v>
      </c>
      <c r="AK2527">
        <v>0</v>
      </c>
      <c r="AL2527" t="s">
        <v>31</v>
      </c>
      <c r="AM2527">
        <v>0</v>
      </c>
      <c r="AN2527" t="s">
        <v>31</v>
      </c>
      <c r="AO2527">
        <v>0</v>
      </c>
      <c r="AP2527" t="s">
        <v>31</v>
      </c>
      <c r="AQ2527">
        <v>0</v>
      </c>
    </row>
    <row r="2528" spans="1:43" x14ac:dyDescent="0.2">
      <c r="A2528" t="s">
        <v>381</v>
      </c>
      <c r="B2528" s="3">
        <v>44313</v>
      </c>
      <c r="C2528">
        <v>76</v>
      </c>
      <c r="D2528" t="s">
        <v>385</v>
      </c>
      <c r="E2528" t="s">
        <v>127</v>
      </c>
      <c r="F2528" s="9" t="s">
        <v>129</v>
      </c>
      <c r="G2528" t="s">
        <v>26</v>
      </c>
      <c r="H2528" t="s">
        <v>85</v>
      </c>
      <c r="I2528" t="s">
        <v>86</v>
      </c>
      <c r="J2528" t="s">
        <v>53</v>
      </c>
      <c r="K2528" t="s">
        <v>54</v>
      </c>
      <c r="L2528" t="s">
        <v>53</v>
      </c>
      <c r="M2528" t="s">
        <v>54</v>
      </c>
      <c r="N2528" t="s">
        <v>85</v>
      </c>
      <c r="O2528" t="s">
        <v>86</v>
      </c>
      <c r="P2528" t="s">
        <v>53</v>
      </c>
      <c r="Q2528" t="s">
        <v>54</v>
      </c>
      <c r="R2528" s="1">
        <v>44313.56212962963</v>
      </c>
      <c r="S2528" s="1">
        <v>44313.562141203707</v>
      </c>
      <c r="T2528">
        <v>0</v>
      </c>
      <c r="U2528">
        <v>4</v>
      </c>
      <c r="V2528" s="2">
        <v>0</v>
      </c>
      <c r="W2528">
        <v>0</v>
      </c>
      <c r="X2528" t="s">
        <v>44</v>
      </c>
      <c r="Y2528">
        <v>0</v>
      </c>
      <c r="Z2528" t="s">
        <v>44</v>
      </c>
      <c r="AA2528">
        <v>0</v>
      </c>
      <c r="AB2528" t="s">
        <v>44</v>
      </c>
      <c r="AC2528">
        <v>0</v>
      </c>
      <c r="AD2528" t="s">
        <v>44</v>
      </c>
      <c r="AE2528">
        <v>0</v>
      </c>
      <c r="AF2528" t="s">
        <v>31</v>
      </c>
      <c r="AG2528">
        <v>0</v>
      </c>
      <c r="AH2528" t="s">
        <v>31</v>
      </c>
      <c r="AI2528">
        <v>0</v>
      </c>
      <c r="AJ2528" t="s">
        <v>31</v>
      </c>
      <c r="AK2528">
        <v>0</v>
      </c>
      <c r="AL2528" t="s">
        <v>31</v>
      </c>
      <c r="AM2528">
        <v>0</v>
      </c>
      <c r="AN2528" t="s">
        <v>31</v>
      </c>
      <c r="AO2528">
        <v>0</v>
      </c>
      <c r="AP2528" t="s">
        <v>31</v>
      </c>
      <c r="AQ2528">
        <v>0</v>
      </c>
    </row>
    <row r="2529" spans="1:43" x14ac:dyDescent="0.2">
      <c r="A2529" t="s">
        <v>381</v>
      </c>
      <c r="B2529" s="3">
        <v>44316</v>
      </c>
      <c r="C2529">
        <v>83</v>
      </c>
      <c r="D2529" t="s">
        <v>387</v>
      </c>
      <c r="E2529" t="s">
        <v>127</v>
      </c>
      <c r="F2529" s="9" t="s">
        <v>129</v>
      </c>
      <c r="G2529" t="s">
        <v>26</v>
      </c>
      <c r="H2529" t="s">
        <v>85</v>
      </c>
      <c r="I2529" t="s">
        <v>86</v>
      </c>
      <c r="J2529" t="s">
        <v>53</v>
      </c>
      <c r="K2529" t="s">
        <v>54</v>
      </c>
      <c r="L2529" t="s">
        <v>53</v>
      </c>
      <c r="M2529" t="s">
        <v>54</v>
      </c>
      <c r="N2529" t="s">
        <v>85</v>
      </c>
      <c r="O2529" t="s">
        <v>86</v>
      </c>
      <c r="P2529" t="s">
        <v>53</v>
      </c>
      <c r="Q2529" t="s">
        <v>54</v>
      </c>
      <c r="R2529" s="1">
        <v>44316.568414351852</v>
      </c>
      <c r="S2529" s="1">
        <v>44316.568414351852</v>
      </c>
      <c r="T2529">
        <v>0</v>
      </c>
      <c r="U2529">
        <v>1</v>
      </c>
      <c r="V2529" s="2">
        <v>0</v>
      </c>
      <c r="W2529">
        <v>0</v>
      </c>
      <c r="X2529" t="s">
        <v>44</v>
      </c>
      <c r="Y2529">
        <v>0</v>
      </c>
      <c r="Z2529" t="s">
        <v>31</v>
      </c>
      <c r="AA2529">
        <v>0</v>
      </c>
      <c r="AB2529" t="s">
        <v>31</v>
      </c>
      <c r="AC2529">
        <v>0</v>
      </c>
      <c r="AD2529" t="s">
        <v>31</v>
      </c>
      <c r="AE2529">
        <v>0</v>
      </c>
      <c r="AF2529" t="s">
        <v>31</v>
      </c>
      <c r="AG2529">
        <v>0</v>
      </c>
      <c r="AH2529" t="s">
        <v>31</v>
      </c>
      <c r="AI2529">
        <v>0</v>
      </c>
      <c r="AJ2529" t="s">
        <v>31</v>
      </c>
      <c r="AK2529">
        <v>0</v>
      </c>
      <c r="AL2529" t="s">
        <v>31</v>
      </c>
      <c r="AM2529">
        <v>0</v>
      </c>
      <c r="AN2529" t="s">
        <v>31</v>
      </c>
      <c r="AO2529">
        <v>0</v>
      </c>
      <c r="AP2529" t="s">
        <v>31</v>
      </c>
      <c r="AQ2529">
        <v>0</v>
      </c>
    </row>
    <row r="2530" spans="1:43" x14ac:dyDescent="0.2">
      <c r="A2530" t="s">
        <v>381</v>
      </c>
      <c r="B2530" s="3">
        <v>44319</v>
      </c>
      <c r="C2530">
        <v>84</v>
      </c>
      <c r="D2530" t="s">
        <v>390</v>
      </c>
      <c r="E2530" t="s">
        <v>127</v>
      </c>
      <c r="F2530" s="9" t="s">
        <v>129</v>
      </c>
      <c r="G2530" t="s">
        <v>26</v>
      </c>
      <c r="H2530" t="s">
        <v>85</v>
      </c>
      <c r="I2530" t="s">
        <v>86</v>
      </c>
      <c r="J2530" t="s">
        <v>53</v>
      </c>
      <c r="K2530" t="s">
        <v>54</v>
      </c>
      <c r="L2530" t="s">
        <v>53</v>
      </c>
      <c r="M2530" t="s">
        <v>54</v>
      </c>
      <c r="N2530" t="s">
        <v>85</v>
      </c>
      <c r="O2530" t="s">
        <v>86</v>
      </c>
      <c r="P2530" t="s">
        <v>53</v>
      </c>
      <c r="Q2530" t="s">
        <v>54</v>
      </c>
      <c r="R2530" s="1">
        <v>44319.483206018522</v>
      </c>
      <c r="S2530" s="1">
        <v>44319.483206018522</v>
      </c>
      <c r="T2530">
        <v>0</v>
      </c>
      <c r="U2530">
        <v>1</v>
      </c>
      <c r="V2530" s="2">
        <v>0</v>
      </c>
      <c r="W2530">
        <v>0</v>
      </c>
      <c r="X2530" t="s">
        <v>44</v>
      </c>
      <c r="Y2530">
        <v>0</v>
      </c>
      <c r="Z2530" t="s">
        <v>31</v>
      </c>
      <c r="AA2530">
        <v>0</v>
      </c>
      <c r="AB2530" t="s">
        <v>31</v>
      </c>
      <c r="AC2530">
        <v>0</v>
      </c>
      <c r="AD2530" t="s">
        <v>31</v>
      </c>
      <c r="AE2530">
        <v>0</v>
      </c>
      <c r="AF2530" t="s">
        <v>31</v>
      </c>
      <c r="AG2530">
        <v>0</v>
      </c>
      <c r="AH2530" t="s">
        <v>31</v>
      </c>
      <c r="AI2530">
        <v>0</v>
      </c>
      <c r="AJ2530" t="s">
        <v>31</v>
      </c>
      <c r="AK2530">
        <v>0</v>
      </c>
      <c r="AL2530" t="s">
        <v>31</v>
      </c>
      <c r="AM2530">
        <v>0</v>
      </c>
      <c r="AN2530" t="s">
        <v>31</v>
      </c>
      <c r="AO2530">
        <v>0</v>
      </c>
      <c r="AP2530" t="s">
        <v>31</v>
      </c>
      <c r="AQ2530">
        <v>0</v>
      </c>
    </row>
    <row r="2531" spans="1:43" x14ac:dyDescent="0.2">
      <c r="A2531" t="s">
        <v>381</v>
      </c>
      <c r="B2531" s="3">
        <v>44320</v>
      </c>
      <c r="C2531">
        <v>87</v>
      </c>
      <c r="D2531" t="s">
        <v>385</v>
      </c>
      <c r="E2531" t="s">
        <v>127</v>
      </c>
      <c r="F2531" s="9" t="s">
        <v>129</v>
      </c>
      <c r="G2531" t="s">
        <v>26</v>
      </c>
      <c r="H2531" t="s">
        <v>85</v>
      </c>
      <c r="I2531" t="s">
        <v>86</v>
      </c>
      <c r="J2531" t="s">
        <v>53</v>
      </c>
      <c r="K2531" t="s">
        <v>54</v>
      </c>
      <c r="L2531" t="s">
        <v>53</v>
      </c>
      <c r="M2531" t="s">
        <v>54</v>
      </c>
      <c r="N2531" t="s">
        <v>85</v>
      </c>
      <c r="O2531" t="s">
        <v>86</v>
      </c>
      <c r="P2531" t="s">
        <v>53</v>
      </c>
      <c r="Q2531" t="s">
        <v>54</v>
      </c>
      <c r="R2531" s="1">
        <v>44320.556423611109</v>
      </c>
      <c r="S2531" s="1">
        <v>44320.556423611109</v>
      </c>
      <c r="T2531">
        <v>0</v>
      </c>
      <c r="U2531">
        <v>1</v>
      </c>
      <c r="V2531" s="2">
        <v>0</v>
      </c>
      <c r="W2531">
        <v>0</v>
      </c>
      <c r="X2531" t="s">
        <v>44</v>
      </c>
      <c r="Y2531">
        <v>0</v>
      </c>
      <c r="Z2531" t="s">
        <v>31</v>
      </c>
      <c r="AA2531">
        <v>0</v>
      </c>
      <c r="AB2531" t="s">
        <v>31</v>
      </c>
      <c r="AC2531">
        <v>0</v>
      </c>
      <c r="AD2531" t="s">
        <v>31</v>
      </c>
      <c r="AE2531">
        <v>0</v>
      </c>
      <c r="AF2531" t="s">
        <v>31</v>
      </c>
      <c r="AG2531">
        <v>0</v>
      </c>
      <c r="AH2531" t="s">
        <v>31</v>
      </c>
      <c r="AI2531">
        <v>0</v>
      </c>
      <c r="AJ2531" t="s">
        <v>31</v>
      </c>
      <c r="AK2531">
        <v>0</v>
      </c>
      <c r="AL2531" t="s">
        <v>31</v>
      </c>
      <c r="AM2531">
        <v>0</v>
      </c>
      <c r="AN2531" t="s">
        <v>31</v>
      </c>
      <c r="AO2531">
        <v>0</v>
      </c>
      <c r="AP2531" t="s">
        <v>31</v>
      </c>
      <c r="AQ2531">
        <v>0</v>
      </c>
    </row>
    <row r="2532" spans="1:43" x14ac:dyDescent="0.2">
      <c r="A2532" t="s">
        <v>381</v>
      </c>
      <c r="B2532" s="3">
        <v>44321</v>
      </c>
      <c r="C2532">
        <v>89</v>
      </c>
      <c r="D2532" t="s">
        <v>387</v>
      </c>
      <c r="E2532" t="s">
        <v>127</v>
      </c>
      <c r="F2532" s="9" t="s">
        <v>129</v>
      </c>
      <c r="G2532" t="s">
        <v>26</v>
      </c>
      <c r="H2532" t="s">
        <v>85</v>
      </c>
      <c r="I2532" t="s">
        <v>86</v>
      </c>
      <c r="J2532" t="s">
        <v>53</v>
      </c>
      <c r="K2532" t="s">
        <v>54</v>
      </c>
      <c r="L2532" t="s">
        <v>53</v>
      </c>
      <c r="M2532" t="s">
        <v>54</v>
      </c>
      <c r="N2532" t="s">
        <v>85</v>
      </c>
      <c r="O2532" t="s">
        <v>86</v>
      </c>
      <c r="P2532" t="s">
        <v>53</v>
      </c>
      <c r="Q2532" t="s">
        <v>54</v>
      </c>
      <c r="R2532" s="1">
        <v>44321.583715277775</v>
      </c>
      <c r="S2532" s="1">
        <v>44321.583715277775</v>
      </c>
      <c r="T2532">
        <v>0</v>
      </c>
      <c r="U2532">
        <v>1</v>
      </c>
      <c r="V2532" s="2">
        <v>0</v>
      </c>
      <c r="W2532">
        <v>0</v>
      </c>
      <c r="X2532" t="s">
        <v>44</v>
      </c>
      <c r="Y2532">
        <v>0</v>
      </c>
      <c r="Z2532" t="s">
        <v>31</v>
      </c>
      <c r="AA2532">
        <v>0</v>
      </c>
      <c r="AB2532" t="s">
        <v>31</v>
      </c>
      <c r="AC2532">
        <v>0</v>
      </c>
      <c r="AD2532" t="s">
        <v>31</v>
      </c>
      <c r="AE2532">
        <v>0</v>
      </c>
      <c r="AF2532" t="s">
        <v>31</v>
      </c>
      <c r="AG2532">
        <v>0</v>
      </c>
      <c r="AH2532" t="s">
        <v>31</v>
      </c>
      <c r="AI2532">
        <v>0</v>
      </c>
      <c r="AJ2532" t="s">
        <v>31</v>
      </c>
      <c r="AK2532">
        <v>0</v>
      </c>
      <c r="AL2532" t="s">
        <v>31</v>
      </c>
      <c r="AM2532">
        <v>0</v>
      </c>
      <c r="AN2532" t="s">
        <v>31</v>
      </c>
      <c r="AO2532">
        <v>0</v>
      </c>
      <c r="AP2532" t="s">
        <v>31</v>
      </c>
      <c r="AQ2532">
        <v>0</v>
      </c>
    </row>
    <row r="2533" spans="1:43" x14ac:dyDescent="0.2">
      <c r="A2533" t="s">
        <v>381</v>
      </c>
      <c r="B2533" s="3">
        <v>44327</v>
      </c>
      <c r="C2533">
        <v>94</v>
      </c>
      <c r="D2533" t="s">
        <v>384</v>
      </c>
      <c r="E2533" t="s">
        <v>127</v>
      </c>
      <c r="F2533" s="9" t="s">
        <v>129</v>
      </c>
      <c r="G2533" t="s">
        <v>26</v>
      </c>
      <c r="H2533" t="s">
        <v>85</v>
      </c>
      <c r="I2533" t="s">
        <v>86</v>
      </c>
      <c r="J2533" t="s">
        <v>53</v>
      </c>
      <c r="K2533" t="s">
        <v>54</v>
      </c>
      <c r="L2533" t="s">
        <v>53</v>
      </c>
      <c r="M2533" t="s">
        <v>54</v>
      </c>
      <c r="N2533" t="s">
        <v>85</v>
      </c>
      <c r="O2533" t="s">
        <v>86</v>
      </c>
      <c r="P2533" t="s">
        <v>53</v>
      </c>
      <c r="Q2533" t="s">
        <v>54</v>
      </c>
      <c r="R2533" s="1">
        <v>44327.455335648148</v>
      </c>
      <c r="S2533" s="1">
        <v>44327.455335648148</v>
      </c>
      <c r="T2533">
        <v>0</v>
      </c>
      <c r="U2533">
        <v>1</v>
      </c>
      <c r="V2533" s="2">
        <v>0</v>
      </c>
      <c r="W2533">
        <v>0</v>
      </c>
      <c r="X2533" t="s">
        <v>44</v>
      </c>
      <c r="Y2533">
        <v>0</v>
      </c>
      <c r="Z2533" t="s">
        <v>31</v>
      </c>
      <c r="AA2533">
        <v>0</v>
      </c>
      <c r="AB2533" t="s">
        <v>31</v>
      </c>
      <c r="AC2533">
        <v>0</v>
      </c>
      <c r="AD2533" t="s">
        <v>31</v>
      </c>
      <c r="AE2533">
        <v>0</v>
      </c>
      <c r="AF2533" t="s">
        <v>31</v>
      </c>
      <c r="AG2533">
        <v>0</v>
      </c>
      <c r="AH2533" t="s">
        <v>31</v>
      </c>
      <c r="AI2533">
        <v>0</v>
      </c>
      <c r="AJ2533" t="s">
        <v>31</v>
      </c>
      <c r="AK2533">
        <v>0</v>
      </c>
      <c r="AL2533" t="s">
        <v>31</v>
      </c>
      <c r="AM2533">
        <v>0</v>
      </c>
      <c r="AN2533" t="s">
        <v>31</v>
      </c>
      <c r="AO2533">
        <v>0</v>
      </c>
      <c r="AP2533" t="s">
        <v>31</v>
      </c>
      <c r="AQ2533">
        <v>0</v>
      </c>
    </row>
    <row r="2534" spans="1:43" x14ac:dyDescent="0.2">
      <c r="A2534" t="s">
        <v>381</v>
      </c>
      <c r="B2534" s="3">
        <v>44328</v>
      </c>
      <c r="C2534">
        <v>97</v>
      </c>
      <c r="D2534" t="s">
        <v>387</v>
      </c>
      <c r="E2534" t="s">
        <v>127</v>
      </c>
      <c r="F2534" s="9" t="s">
        <v>129</v>
      </c>
      <c r="G2534" t="s">
        <v>26</v>
      </c>
      <c r="H2534" t="s">
        <v>85</v>
      </c>
      <c r="I2534" t="s">
        <v>86</v>
      </c>
      <c r="J2534" t="s">
        <v>53</v>
      </c>
      <c r="K2534" t="s">
        <v>54</v>
      </c>
      <c r="L2534" t="s">
        <v>53</v>
      </c>
      <c r="M2534" t="s">
        <v>54</v>
      </c>
      <c r="N2534" t="s">
        <v>85</v>
      </c>
      <c r="O2534" t="s">
        <v>86</v>
      </c>
      <c r="P2534" t="s">
        <v>53</v>
      </c>
      <c r="Q2534" t="s">
        <v>54</v>
      </c>
      <c r="R2534" s="1">
        <v>44328.646828703706</v>
      </c>
      <c r="S2534" s="1">
        <v>44328.646828703706</v>
      </c>
      <c r="T2534">
        <v>0</v>
      </c>
      <c r="U2534">
        <v>1</v>
      </c>
      <c r="V2534" s="2">
        <v>0</v>
      </c>
      <c r="W2534">
        <v>0</v>
      </c>
      <c r="X2534" t="s">
        <v>44</v>
      </c>
      <c r="Y2534">
        <v>0</v>
      </c>
      <c r="Z2534" t="s">
        <v>31</v>
      </c>
      <c r="AA2534">
        <v>0</v>
      </c>
      <c r="AB2534" t="s">
        <v>31</v>
      </c>
      <c r="AC2534">
        <v>0</v>
      </c>
      <c r="AD2534" t="s">
        <v>31</v>
      </c>
      <c r="AE2534">
        <v>0</v>
      </c>
      <c r="AF2534" t="s">
        <v>31</v>
      </c>
      <c r="AG2534">
        <v>0</v>
      </c>
      <c r="AH2534" t="s">
        <v>31</v>
      </c>
      <c r="AI2534">
        <v>0</v>
      </c>
      <c r="AJ2534" t="s">
        <v>31</v>
      </c>
      <c r="AK2534">
        <v>0</v>
      </c>
      <c r="AL2534" t="s">
        <v>31</v>
      </c>
      <c r="AM2534">
        <v>0</v>
      </c>
      <c r="AN2534" t="s">
        <v>31</v>
      </c>
      <c r="AO2534">
        <v>0</v>
      </c>
      <c r="AP2534" t="s">
        <v>31</v>
      </c>
      <c r="AQ2534">
        <v>0</v>
      </c>
    </row>
    <row r="2535" spans="1:43" x14ac:dyDescent="0.2">
      <c r="A2535" t="s">
        <v>381</v>
      </c>
      <c r="B2535" s="3">
        <v>44334</v>
      </c>
      <c r="C2535">
        <v>98</v>
      </c>
      <c r="D2535" t="s">
        <v>383</v>
      </c>
      <c r="E2535" t="s">
        <v>127</v>
      </c>
      <c r="F2535" s="9" t="s">
        <v>129</v>
      </c>
      <c r="G2535" t="s">
        <v>26</v>
      </c>
      <c r="H2535" t="s">
        <v>85</v>
      </c>
      <c r="I2535" t="s">
        <v>86</v>
      </c>
      <c r="J2535" t="s">
        <v>53</v>
      </c>
      <c r="K2535" t="s">
        <v>54</v>
      </c>
      <c r="L2535" t="s">
        <v>53</v>
      </c>
      <c r="M2535" t="s">
        <v>54</v>
      </c>
      <c r="N2535" t="s">
        <v>85</v>
      </c>
      <c r="O2535" t="s">
        <v>86</v>
      </c>
      <c r="P2535" t="s">
        <v>53</v>
      </c>
      <c r="Q2535" t="s">
        <v>54</v>
      </c>
      <c r="R2535" s="1">
        <v>44334.482245370367</v>
      </c>
      <c r="S2535" s="1">
        <v>44334.482604166667</v>
      </c>
      <c r="T2535">
        <v>0</v>
      </c>
      <c r="U2535">
        <v>2</v>
      </c>
      <c r="V2535" s="2">
        <v>0</v>
      </c>
      <c r="W2535">
        <v>0</v>
      </c>
      <c r="X2535" t="s">
        <v>44</v>
      </c>
      <c r="Y2535">
        <v>0</v>
      </c>
      <c r="Z2535" t="s">
        <v>44</v>
      </c>
      <c r="AA2535">
        <v>0</v>
      </c>
      <c r="AB2535" t="s">
        <v>31</v>
      </c>
      <c r="AC2535">
        <v>0</v>
      </c>
      <c r="AD2535" t="s">
        <v>31</v>
      </c>
      <c r="AE2535">
        <v>0</v>
      </c>
      <c r="AF2535" t="s">
        <v>31</v>
      </c>
      <c r="AG2535">
        <v>0</v>
      </c>
      <c r="AH2535" t="s">
        <v>31</v>
      </c>
      <c r="AI2535">
        <v>0</v>
      </c>
      <c r="AJ2535" t="s">
        <v>31</v>
      </c>
      <c r="AK2535">
        <v>0</v>
      </c>
      <c r="AL2535" t="s">
        <v>31</v>
      </c>
      <c r="AM2535">
        <v>0</v>
      </c>
      <c r="AN2535" t="s">
        <v>31</v>
      </c>
      <c r="AO2535">
        <v>0</v>
      </c>
      <c r="AP2535" t="s">
        <v>31</v>
      </c>
      <c r="AQ2535">
        <v>0</v>
      </c>
    </row>
    <row r="2536" spans="1:43" x14ac:dyDescent="0.2">
      <c r="A2536" t="s">
        <v>381</v>
      </c>
      <c r="B2536" s="3">
        <v>44340</v>
      </c>
      <c r="C2536">
        <v>108</v>
      </c>
      <c r="D2536" t="s">
        <v>393</v>
      </c>
      <c r="E2536" t="s">
        <v>127</v>
      </c>
      <c r="F2536" s="9" t="s">
        <v>129</v>
      </c>
      <c r="G2536" t="s">
        <v>26</v>
      </c>
      <c r="H2536" t="s">
        <v>85</v>
      </c>
      <c r="I2536" t="s">
        <v>86</v>
      </c>
      <c r="J2536" t="s">
        <v>53</v>
      </c>
      <c r="K2536" t="s">
        <v>54</v>
      </c>
      <c r="L2536" t="s">
        <v>53</v>
      </c>
      <c r="M2536" t="s">
        <v>54</v>
      </c>
      <c r="N2536" t="s">
        <v>85</v>
      </c>
      <c r="O2536" t="s">
        <v>86</v>
      </c>
      <c r="P2536" t="s">
        <v>53</v>
      </c>
      <c r="Q2536" t="s">
        <v>54</v>
      </c>
      <c r="R2536" s="1">
        <v>44340.477905092594</v>
      </c>
      <c r="S2536" s="1">
        <v>44340.478032407409</v>
      </c>
      <c r="T2536">
        <v>0</v>
      </c>
      <c r="U2536">
        <v>2</v>
      </c>
      <c r="V2536" s="2">
        <v>0</v>
      </c>
      <c r="W2536">
        <v>0</v>
      </c>
      <c r="X2536" t="s">
        <v>44</v>
      </c>
      <c r="Y2536">
        <v>0</v>
      </c>
      <c r="Z2536" t="s">
        <v>44</v>
      </c>
      <c r="AA2536">
        <v>0</v>
      </c>
      <c r="AB2536" t="s">
        <v>31</v>
      </c>
      <c r="AC2536">
        <v>0</v>
      </c>
      <c r="AD2536" t="s">
        <v>31</v>
      </c>
      <c r="AE2536">
        <v>0</v>
      </c>
      <c r="AF2536" t="s">
        <v>31</v>
      </c>
      <c r="AG2536">
        <v>0</v>
      </c>
      <c r="AH2536" t="s">
        <v>31</v>
      </c>
      <c r="AI2536">
        <v>0</v>
      </c>
      <c r="AJ2536" t="s">
        <v>31</v>
      </c>
      <c r="AK2536">
        <v>0</v>
      </c>
      <c r="AL2536" t="s">
        <v>31</v>
      </c>
      <c r="AM2536">
        <v>0</v>
      </c>
      <c r="AN2536" t="s">
        <v>31</v>
      </c>
      <c r="AO2536">
        <v>0</v>
      </c>
      <c r="AP2536" t="s">
        <v>31</v>
      </c>
      <c r="AQ2536">
        <v>0</v>
      </c>
    </row>
    <row r="2537" spans="1:43" x14ac:dyDescent="0.2">
      <c r="A2537" t="s">
        <v>381</v>
      </c>
      <c r="B2537" s="3">
        <v>44351</v>
      </c>
      <c r="C2537">
        <v>125</v>
      </c>
      <c r="D2537" t="s">
        <v>387</v>
      </c>
      <c r="E2537" t="s">
        <v>127</v>
      </c>
      <c r="F2537" s="9" t="s">
        <v>129</v>
      </c>
      <c r="G2537" t="s">
        <v>26</v>
      </c>
      <c r="H2537" t="s">
        <v>85</v>
      </c>
      <c r="I2537" t="s">
        <v>86</v>
      </c>
      <c r="J2537" t="s">
        <v>53</v>
      </c>
      <c r="K2537" t="s">
        <v>54</v>
      </c>
      <c r="L2537" t="s">
        <v>53</v>
      </c>
      <c r="M2537" t="s">
        <v>54</v>
      </c>
      <c r="N2537" t="s">
        <v>85</v>
      </c>
      <c r="O2537" t="s">
        <v>86</v>
      </c>
      <c r="P2537" t="s">
        <v>53</v>
      </c>
      <c r="Q2537" t="s">
        <v>54</v>
      </c>
      <c r="R2537" s="1">
        <v>44351.554780092592</v>
      </c>
      <c r="S2537" s="1">
        <v>44351.554780092592</v>
      </c>
      <c r="T2537">
        <v>0</v>
      </c>
      <c r="U2537">
        <v>1</v>
      </c>
      <c r="V2537" s="2">
        <v>0</v>
      </c>
      <c r="W2537">
        <v>0</v>
      </c>
      <c r="X2537" t="s">
        <v>44</v>
      </c>
      <c r="Y2537">
        <v>0</v>
      </c>
      <c r="Z2537" t="s">
        <v>31</v>
      </c>
      <c r="AA2537">
        <v>0</v>
      </c>
      <c r="AB2537" t="s">
        <v>31</v>
      </c>
      <c r="AC2537">
        <v>0</v>
      </c>
      <c r="AD2537" t="s">
        <v>31</v>
      </c>
      <c r="AE2537">
        <v>0</v>
      </c>
      <c r="AF2537" t="s">
        <v>31</v>
      </c>
      <c r="AG2537">
        <v>0</v>
      </c>
      <c r="AH2537" t="s">
        <v>31</v>
      </c>
      <c r="AI2537">
        <v>0</v>
      </c>
      <c r="AJ2537" t="s">
        <v>31</v>
      </c>
      <c r="AK2537">
        <v>0</v>
      </c>
      <c r="AL2537" t="s">
        <v>31</v>
      </c>
      <c r="AM2537">
        <v>0</v>
      </c>
      <c r="AN2537" t="s">
        <v>31</v>
      </c>
      <c r="AO2537">
        <v>0</v>
      </c>
      <c r="AP2537" t="s">
        <v>31</v>
      </c>
      <c r="AQ2537">
        <v>0</v>
      </c>
    </row>
    <row r="2538" spans="1:43" x14ac:dyDescent="0.2">
      <c r="A2538" t="s">
        <v>381</v>
      </c>
      <c r="B2538" s="3">
        <v>44354</v>
      </c>
      <c r="C2538">
        <v>127</v>
      </c>
      <c r="D2538" t="s">
        <v>383</v>
      </c>
      <c r="E2538" t="s">
        <v>127</v>
      </c>
      <c r="F2538" s="9" t="s">
        <v>129</v>
      </c>
      <c r="G2538" t="s">
        <v>26</v>
      </c>
      <c r="H2538" t="s">
        <v>85</v>
      </c>
      <c r="I2538" t="s">
        <v>86</v>
      </c>
      <c r="J2538" t="s">
        <v>53</v>
      </c>
      <c r="K2538" t="s">
        <v>54</v>
      </c>
      <c r="L2538" t="s">
        <v>53</v>
      </c>
      <c r="M2538" t="s">
        <v>54</v>
      </c>
      <c r="N2538" t="s">
        <v>85</v>
      </c>
      <c r="O2538" t="s">
        <v>86</v>
      </c>
      <c r="P2538" t="s">
        <v>53</v>
      </c>
      <c r="Q2538" t="s">
        <v>54</v>
      </c>
      <c r="R2538" s="1">
        <v>44354.638136574074</v>
      </c>
      <c r="S2538" s="1">
        <v>44354.638136574074</v>
      </c>
      <c r="T2538">
        <v>0</v>
      </c>
      <c r="U2538">
        <v>1</v>
      </c>
      <c r="V2538" s="2">
        <v>0</v>
      </c>
      <c r="W2538">
        <v>0</v>
      </c>
      <c r="X2538" t="s">
        <v>44</v>
      </c>
      <c r="Y2538">
        <v>0</v>
      </c>
      <c r="Z2538" t="s">
        <v>31</v>
      </c>
      <c r="AA2538">
        <v>0</v>
      </c>
      <c r="AB2538" t="s">
        <v>31</v>
      </c>
      <c r="AC2538">
        <v>0</v>
      </c>
      <c r="AD2538" t="s">
        <v>31</v>
      </c>
      <c r="AE2538">
        <v>0</v>
      </c>
      <c r="AF2538" t="s">
        <v>31</v>
      </c>
      <c r="AG2538">
        <v>0</v>
      </c>
      <c r="AH2538" t="s">
        <v>31</v>
      </c>
      <c r="AI2538">
        <v>0</v>
      </c>
      <c r="AJ2538" t="s">
        <v>31</v>
      </c>
      <c r="AK2538">
        <v>0</v>
      </c>
      <c r="AL2538" t="s">
        <v>31</v>
      </c>
      <c r="AM2538">
        <v>0</v>
      </c>
      <c r="AN2538" t="s">
        <v>31</v>
      </c>
      <c r="AO2538">
        <v>0</v>
      </c>
      <c r="AP2538" t="s">
        <v>31</v>
      </c>
      <c r="AQ2538">
        <v>0</v>
      </c>
    </row>
    <row r="2539" spans="1:43" x14ac:dyDescent="0.2">
      <c r="A2539" t="s">
        <v>381</v>
      </c>
      <c r="B2539" s="3">
        <v>44357</v>
      </c>
      <c r="C2539">
        <v>132</v>
      </c>
      <c r="D2539" t="s">
        <v>399</v>
      </c>
      <c r="E2539" t="s">
        <v>127</v>
      </c>
      <c r="F2539" s="9" t="s">
        <v>129</v>
      </c>
      <c r="G2539" t="s">
        <v>26</v>
      </c>
      <c r="H2539" t="s">
        <v>85</v>
      </c>
      <c r="I2539" t="s">
        <v>86</v>
      </c>
      <c r="J2539" t="s">
        <v>53</v>
      </c>
      <c r="K2539" t="s">
        <v>54</v>
      </c>
      <c r="L2539" t="s">
        <v>53</v>
      </c>
      <c r="M2539" t="s">
        <v>54</v>
      </c>
      <c r="N2539" t="s">
        <v>85</v>
      </c>
      <c r="O2539" t="s">
        <v>86</v>
      </c>
      <c r="P2539" t="s">
        <v>53</v>
      </c>
      <c r="Q2539" t="s">
        <v>54</v>
      </c>
      <c r="R2539" s="1">
        <v>44357.409305555557</v>
      </c>
      <c r="S2539" s="1">
        <v>44357.409305555557</v>
      </c>
      <c r="T2539">
        <v>0</v>
      </c>
      <c r="U2539">
        <v>1</v>
      </c>
      <c r="V2539" s="2">
        <v>0</v>
      </c>
      <c r="W2539">
        <v>0</v>
      </c>
      <c r="X2539" t="s">
        <v>44</v>
      </c>
      <c r="Y2539">
        <v>0</v>
      </c>
      <c r="Z2539" t="s">
        <v>31</v>
      </c>
      <c r="AA2539">
        <v>0</v>
      </c>
      <c r="AB2539" t="s">
        <v>31</v>
      </c>
      <c r="AC2539">
        <v>0</v>
      </c>
      <c r="AD2539" t="s">
        <v>31</v>
      </c>
      <c r="AE2539">
        <v>0</v>
      </c>
      <c r="AF2539" t="s">
        <v>31</v>
      </c>
      <c r="AG2539">
        <v>0</v>
      </c>
      <c r="AH2539" t="s">
        <v>31</v>
      </c>
      <c r="AI2539">
        <v>0</v>
      </c>
      <c r="AJ2539" t="s">
        <v>31</v>
      </c>
      <c r="AK2539">
        <v>0</v>
      </c>
      <c r="AL2539" t="s">
        <v>31</v>
      </c>
      <c r="AM2539">
        <v>0</v>
      </c>
      <c r="AN2539" t="s">
        <v>31</v>
      </c>
      <c r="AO2539">
        <v>0</v>
      </c>
      <c r="AP2539" t="s">
        <v>31</v>
      </c>
      <c r="AQ2539">
        <v>0</v>
      </c>
    </row>
    <row r="2540" spans="1:43" x14ac:dyDescent="0.2">
      <c r="A2540" t="s">
        <v>381</v>
      </c>
      <c r="B2540" s="3">
        <v>44361</v>
      </c>
      <c r="C2540">
        <v>135</v>
      </c>
      <c r="D2540" t="s">
        <v>390</v>
      </c>
      <c r="E2540" t="s">
        <v>127</v>
      </c>
      <c r="F2540" s="9" t="s">
        <v>129</v>
      </c>
      <c r="G2540" t="s">
        <v>26</v>
      </c>
      <c r="H2540" t="s">
        <v>85</v>
      </c>
      <c r="I2540" t="s">
        <v>86</v>
      </c>
      <c r="J2540" t="s">
        <v>53</v>
      </c>
      <c r="K2540" t="s">
        <v>54</v>
      </c>
      <c r="L2540" t="s">
        <v>53</v>
      </c>
      <c r="M2540" t="s">
        <v>54</v>
      </c>
      <c r="N2540" t="s">
        <v>85</v>
      </c>
      <c r="O2540" t="s">
        <v>86</v>
      </c>
      <c r="P2540" t="s">
        <v>53</v>
      </c>
      <c r="Q2540" t="s">
        <v>54</v>
      </c>
      <c r="R2540" s="1">
        <v>44361.464837962965</v>
      </c>
      <c r="S2540" s="1">
        <v>44361.464837962965</v>
      </c>
      <c r="T2540">
        <v>0</v>
      </c>
      <c r="U2540">
        <v>1</v>
      </c>
      <c r="V2540" s="2">
        <v>0</v>
      </c>
      <c r="W2540">
        <v>0</v>
      </c>
      <c r="X2540" t="s">
        <v>44</v>
      </c>
      <c r="Y2540">
        <v>0</v>
      </c>
      <c r="Z2540" t="s">
        <v>31</v>
      </c>
      <c r="AA2540">
        <v>0</v>
      </c>
      <c r="AB2540" t="s">
        <v>31</v>
      </c>
      <c r="AC2540">
        <v>0</v>
      </c>
      <c r="AD2540" t="s">
        <v>31</v>
      </c>
      <c r="AE2540">
        <v>0</v>
      </c>
      <c r="AF2540" t="s">
        <v>31</v>
      </c>
      <c r="AG2540">
        <v>0</v>
      </c>
      <c r="AH2540" t="s">
        <v>31</v>
      </c>
      <c r="AI2540">
        <v>0</v>
      </c>
      <c r="AJ2540" t="s">
        <v>31</v>
      </c>
      <c r="AK2540">
        <v>0</v>
      </c>
      <c r="AL2540" t="s">
        <v>31</v>
      </c>
      <c r="AM2540">
        <v>0</v>
      </c>
      <c r="AN2540" t="s">
        <v>31</v>
      </c>
      <c r="AO2540">
        <v>0</v>
      </c>
      <c r="AP2540" t="s">
        <v>31</v>
      </c>
      <c r="AQ2540">
        <v>0</v>
      </c>
    </row>
    <row r="2541" spans="1:43" x14ac:dyDescent="0.2">
      <c r="A2541" t="s">
        <v>381</v>
      </c>
      <c r="B2541" s="3">
        <v>44365</v>
      </c>
      <c r="C2541">
        <v>140</v>
      </c>
      <c r="D2541" t="s">
        <v>399</v>
      </c>
      <c r="E2541" t="s">
        <v>127</v>
      </c>
      <c r="F2541" s="9" t="s">
        <v>129</v>
      </c>
      <c r="G2541" t="s">
        <v>26</v>
      </c>
      <c r="H2541" t="s">
        <v>85</v>
      </c>
      <c r="I2541" t="s">
        <v>86</v>
      </c>
      <c r="J2541" t="s">
        <v>53</v>
      </c>
      <c r="K2541" t="s">
        <v>54</v>
      </c>
      <c r="L2541" t="s">
        <v>53</v>
      </c>
      <c r="M2541" t="s">
        <v>54</v>
      </c>
      <c r="N2541" t="s">
        <v>85</v>
      </c>
      <c r="O2541" t="s">
        <v>86</v>
      </c>
      <c r="P2541" t="s">
        <v>53</v>
      </c>
      <c r="Q2541" t="s">
        <v>54</v>
      </c>
      <c r="R2541" s="1">
        <v>44365.574780092589</v>
      </c>
      <c r="S2541" s="1">
        <v>44365.574780092589</v>
      </c>
      <c r="T2541">
        <v>0</v>
      </c>
      <c r="U2541">
        <v>1</v>
      </c>
      <c r="V2541" s="2">
        <v>0</v>
      </c>
      <c r="W2541">
        <v>0</v>
      </c>
      <c r="X2541" t="s">
        <v>44</v>
      </c>
      <c r="Y2541">
        <v>0</v>
      </c>
      <c r="Z2541" t="s">
        <v>31</v>
      </c>
      <c r="AA2541">
        <v>0</v>
      </c>
      <c r="AB2541" t="s">
        <v>31</v>
      </c>
      <c r="AC2541">
        <v>0</v>
      </c>
      <c r="AD2541" t="s">
        <v>31</v>
      </c>
      <c r="AE2541">
        <v>0</v>
      </c>
      <c r="AF2541" t="s">
        <v>31</v>
      </c>
      <c r="AG2541">
        <v>0</v>
      </c>
      <c r="AH2541" t="s">
        <v>31</v>
      </c>
      <c r="AI2541">
        <v>0</v>
      </c>
      <c r="AJ2541" t="s">
        <v>31</v>
      </c>
      <c r="AK2541">
        <v>0</v>
      </c>
      <c r="AL2541" t="s">
        <v>31</v>
      </c>
      <c r="AM2541">
        <v>0</v>
      </c>
      <c r="AN2541" t="s">
        <v>31</v>
      </c>
      <c r="AO2541">
        <v>0</v>
      </c>
      <c r="AP2541" t="s">
        <v>31</v>
      </c>
      <c r="AQ2541">
        <v>0</v>
      </c>
    </row>
    <row r="2542" spans="1:43" x14ac:dyDescent="0.2">
      <c r="A2542" t="s">
        <v>381</v>
      </c>
      <c r="B2542" s="3">
        <v>44375</v>
      </c>
      <c r="C2542">
        <v>141</v>
      </c>
      <c r="D2542" t="s">
        <v>396</v>
      </c>
      <c r="E2542" t="s">
        <v>127</v>
      </c>
      <c r="F2542" s="9" t="s">
        <v>129</v>
      </c>
      <c r="G2542" t="s">
        <v>26</v>
      </c>
      <c r="H2542" t="s">
        <v>85</v>
      </c>
      <c r="I2542" t="s">
        <v>86</v>
      </c>
      <c r="J2542" t="s">
        <v>53</v>
      </c>
      <c r="K2542" t="s">
        <v>54</v>
      </c>
      <c r="L2542" t="s">
        <v>53</v>
      </c>
      <c r="M2542" t="s">
        <v>54</v>
      </c>
      <c r="N2542" t="s">
        <v>85</v>
      </c>
      <c r="O2542" t="s">
        <v>86</v>
      </c>
      <c r="P2542" t="s">
        <v>53</v>
      </c>
      <c r="Q2542" t="s">
        <v>54</v>
      </c>
      <c r="R2542" s="1">
        <v>44375.622210648151</v>
      </c>
      <c r="S2542" s="1">
        <v>44375.622210648151</v>
      </c>
      <c r="T2542">
        <v>0</v>
      </c>
      <c r="U2542">
        <v>1</v>
      </c>
      <c r="V2542" s="2">
        <v>0</v>
      </c>
      <c r="W2542">
        <v>0</v>
      </c>
      <c r="X2542" t="s">
        <v>44</v>
      </c>
      <c r="Y2542">
        <v>0</v>
      </c>
      <c r="Z2542" t="s">
        <v>31</v>
      </c>
      <c r="AA2542">
        <v>0</v>
      </c>
      <c r="AB2542" t="s">
        <v>31</v>
      </c>
      <c r="AC2542">
        <v>0</v>
      </c>
      <c r="AD2542" t="s">
        <v>31</v>
      </c>
      <c r="AE2542">
        <v>0</v>
      </c>
      <c r="AF2542" t="s">
        <v>31</v>
      </c>
      <c r="AG2542">
        <v>0</v>
      </c>
      <c r="AH2542" t="s">
        <v>31</v>
      </c>
      <c r="AI2542">
        <v>0</v>
      </c>
      <c r="AJ2542" t="s">
        <v>31</v>
      </c>
      <c r="AK2542">
        <v>0</v>
      </c>
      <c r="AL2542" t="s">
        <v>31</v>
      </c>
      <c r="AM2542">
        <v>0</v>
      </c>
      <c r="AN2542" t="s">
        <v>31</v>
      </c>
      <c r="AO2542">
        <v>0</v>
      </c>
      <c r="AP2542" t="s">
        <v>31</v>
      </c>
      <c r="AQ2542">
        <v>0</v>
      </c>
    </row>
    <row r="2543" spans="1:43" x14ac:dyDescent="0.2">
      <c r="A2543" t="s">
        <v>381</v>
      </c>
      <c r="B2543" s="3">
        <v>44207</v>
      </c>
      <c r="C2543">
        <v>1</v>
      </c>
      <c r="D2543" t="s">
        <v>384</v>
      </c>
      <c r="E2543" t="s">
        <v>83</v>
      </c>
      <c r="F2543" s="9" t="s">
        <v>84</v>
      </c>
      <c r="G2543" t="s">
        <v>26</v>
      </c>
      <c r="H2543" t="s">
        <v>85</v>
      </c>
      <c r="I2543" t="s">
        <v>86</v>
      </c>
      <c r="J2543" t="s">
        <v>43</v>
      </c>
      <c r="K2543" t="s">
        <v>44</v>
      </c>
      <c r="L2543" t="s">
        <v>53</v>
      </c>
      <c r="M2543" t="s">
        <v>54</v>
      </c>
      <c r="N2543" t="s">
        <v>85</v>
      </c>
      <c r="O2543" t="s">
        <v>86</v>
      </c>
      <c r="P2543" t="s">
        <v>43</v>
      </c>
      <c r="Q2543" t="s">
        <v>44</v>
      </c>
      <c r="R2543" s="1">
        <v>44207.386805555558</v>
      </c>
      <c r="S2543" s="1">
        <v>44207.386805555558</v>
      </c>
      <c r="T2543">
        <v>0</v>
      </c>
      <c r="U2543">
        <v>1</v>
      </c>
      <c r="V2543" s="2">
        <v>0</v>
      </c>
      <c r="W2543">
        <v>0</v>
      </c>
      <c r="X2543" t="s">
        <v>44</v>
      </c>
      <c r="Y2543">
        <v>0</v>
      </c>
      <c r="Z2543" t="s">
        <v>31</v>
      </c>
      <c r="AA2543">
        <v>0</v>
      </c>
      <c r="AB2543" t="s">
        <v>31</v>
      </c>
      <c r="AC2543">
        <v>0</v>
      </c>
      <c r="AD2543" t="s">
        <v>31</v>
      </c>
      <c r="AE2543">
        <v>0</v>
      </c>
      <c r="AF2543" t="s">
        <v>31</v>
      </c>
      <c r="AG2543">
        <v>0</v>
      </c>
      <c r="AH2543" t="s">
        <v>31</v>
      </c>
      <c r="AI2543">
        <v>0</v>
      </c>
      <c r="AJ2543" t="s">
        <v>31</v>
      </c>
      <c r="AK2543">
        <v>0</v>
      </c>
      <c r="AL2543" t="s">
        <v>31</v>
      </c>
      <c r="AM2543">
        <v>0</v>
      </c>
      <c r="AN2543" t="s">
        <v>31</v>
      </c>
      <c r="AO2543">
        <v>0</v>
      </c>
      <c r="AP2543" t="s">
        <v>31</v>
      </c>
      <c r="AQ2543">
        <v>0</v>
      </c>
    </row>
    <row r="2544" spans="1:43" x14ac:dyDescent="0.2">
      <c r="A2544" t="s">
        <v>381</v>
      </c>
      <c r="B2544" s="3">
        <v>44237</v>
      </c>
      <c r="C2544">
        <v>4</v>
      </c>
      <c r="D2544" t="s">
        <v>384</v>
      </c>
      <c r="E2544" t="s">
        <v>83</v>
      </c>
      <c r="F2544" s="9" t="s">
        <v>84</v>
      </c>
      <c r="G2544" t="s">
        <v>26</v>
      </c>
      <c r="H2544" t="s">
        <v>85</v>
      </c>
      <c r="I2544" t="s">
        <v>86</v>
      </c>
      <c r="J2544" t="s">
        <v>43</v>
      </c>
      <c r="K2544" t="s">
        <v>44</v>
      </c>
      <c r="L2544" t="s">
        <v>53</v>
      </c>
      <c r="M2544" t="s">
        <v>54</v>
      </c>
      <c r="N2544" t="s">
        <v>85</v>
      </c>
      <c r="O2544" t="s">
        <v>86</v>
      </c>
      <c r="P2544" t="s">
        <v>43</v>
      </c>
      <c r="Q2544" t="s">
        <v>44</v>
      </c>
      <c r="R2544" s="1">
        <v>44237.470196759263</v>
      </c>
      <c r="S2544" s="1">
        <v>44237.470196759263</v>
      </c>
      <c r="T2544">
        <v>0</v>
      </c>
      <c r="U2544">
        <v>1</v>
      </c>
      <c r="V2544" s="2">
        <v>0</v>
      </c>
      <c r="W2544">
        <v>0</v>
      </c>
      <c r="X2544" t="s">
        <v>44</v>
      </c>
      <c r="Y2544">
        <v>0</v>
      </c>
      <c r="Z2544" t="s">
        <v>31</v>
      </c>
      <c r="AA2544">
        <v>0</v>
      </c>
      <c r="AB2544" t="s">
        <v>31</v>
      </c>
      <c r="AC2544">
        <v>0</v>
      </c>
      <c r="AD2544" t="s">
        <v>31</v>
      </c>
      <c r="AE2544">
        <v>0</v>
      </c>
      <c r="AF2544" t="s">
        <v>31</v>
      </c>
      <c r="AG2544">
        <v>0</v>
      </c>
      <c r="AH2544" t="s">
        <v>31</v>
      </c>
      <c r="AI2544">
        <v>0</v>
      </c>
      <c r="AJ2544" t="s">
        <v>31</v>
      </c>
      <c r="AK2544">
        <v>0</v>
      </c>
      <c r="AL2544" t="s">
        <v>31</v>
      </c>
      <c r="AM2544">
        <v>0</v>
      </c>
      <c r="AN2544" t="s">
        <v>31</v>
      </c>
      <c r="AO2544">
        <v>0</v>
      </c>
      <c r="AP2544" t="s">
        <v>31</v>
      </c>
      <c r="AQ2544">
        <v>0</v>
      </c>
    </row>
    <row r="2545" spans="1:43" x14ac:dyDescent="0.2">
      <c r="A2545" t="s">
        <v>381</v>
      </c>
      <c r="B2545" s="3">
        <v>44239</v>
      </c>
      <c r="C2545">
        <v>7</v>
      </c>
      <c r="D2545" t="s">
        <v>384</v>
      </c>
      <c r="E2545" t="s">
        <v>83</v>
      </c>
      <c r="F2545" s="9" t="s">
        <v>84</v>
      </c>
      <c r="G2545" t="s">
        <v>26</v>
      </c>
      <c r="H2545" t="s">
        <v>85</v>
      </c>
      <c r="I2545" t="s">
        <v>86</v>
      </c>
      <c r="J2545" t="s">
        <v>43</v>
      </c>
      <c r="K2545" t="s">
        <v>44</v>
      </c>
      <c r="L2545" t="s">
        <v>53</v>
      </c>
      <c r="M2545" t="s">
        <v>54</v>
      </c>
      <c r="N2545" t="s">
        <v>85</v>
      </c>
      <c r="O2545" t="s">
        <v>86</v>
      </c>
      <c r="P2545" t="s">
        <v>43</v>
      </c>
      <c r="Q2545" t="s">
        <v>44</v>
      </c>
      <c r="R2545" s="1">
        <v>44239.385914351849</v>
      </c>
      <c r="S2545" s="1">
        <v>44239.385914351849</v>
      </c>
      <c r="T2545">
        <v>0</v>
      </c>
      <c r="U2545">
        <v>1</v>
      </c>
      <c r="V2545" s="2">
        <v>0</v>
      </c>
      <c r="W2545">
        <v>0</v>
      </c>
      <c r="X2545" t="s">
        <v>44</v>
      </c>
      <c r="Y2545">
        <v>0</v>
      </c>
      <c r="Z2545" t="s">
        <v>31</v>
      </c>
      <c r="AA2545">
        <v>0</v>
      </c>
      <c r="AB2545" t="s">
        <v>31</v>
      </c>
      <c r="AC2545">
        <v>0</v>
      </c>
      <c r="AD2545" t="s">
        <v>31</v>
      </c>
      <c r="AE2545">
        <v>0</v>
      </c>
      <c r="AF2545" t="s">
        <v>31</v>
      </c>
      <c r="AG2545">
        <v>0</v>
      </c>
      <c r="AH2545" t="s">
        <v>31</v>
      </c>
      <c r="AI2545">
        <v>0</v>
      </c>
      <c r="AJ2545" t="s">
        <v>31</v>
      </c>
      <c r="AK2545">
        <v>0</v>
      </c>
      <c r="AL2545" t="s">
        <v>31</v>
      </c>
      <c r="AM2545">
        <v>0</v>
      </c>
      <c r="AN2545" t="s">
        <v>31</v>
      </c>
      <c r="AO2545">
        <v>0</v>
      </c>
      <c r="AP2545" t="s">
        <v>31</v>
      </c>
      <c r="AQ2545">
        <v>0</v>
      </c>
    </row>
    <row r="2546" spans="1:43" x14ac:dyDescent="0.2">
      <c r="A2546" t="s">
        <v>381</v>
      </c>
      <c r="B2546" s="3">
        <v>44242</v>
      </c>
      <c r="C2546">
        <v>8</v>
      </c>
      <c r="D2546" t="s">
        <v>384</v>
      </c>
      <c r="E2546" t="s">
        <v>83</v>
      </c>
      <c r="F2546" s="9" t="s">
        <v>84</v>
      </c>
      <c r="G2546" t="s">
        <v>26</v>
      </c>
      <c r="H2546" t="s">
        <v>85</v>
      </c>
      <c r="I2546" t="s">
        <v>86</v>
      </c>
      <c r="J2546" t="s">
        <v>43</v>
      </c>
      <c r="K2546" t="s">
        <v>44</v>
      </c>
      <c r="L2546" t="s">
        <v>53</v>
      </c>
      <c r="M2546" t="s">
        <v>54</v>
      </c>
      <c r="N2546" t="s">
        <v>85</v>
      </c>
      <c r="O2546" t="s">
        <v>86</v>
      </c>
      <c r="P2546" t="s">
        <v>43</v>
      </c>
      <c r="Q2546" t="s">
        <v>44</v>
      </c>
      <c r="R2546" s="1">
        <v>44242.381631944445</v>
      </c>
      <c r="S2546" s="1">
        <v>44242.381631944445</v>
      </c>
      <c r="T2546">
        <v>1</v>
      </c>
      <c r="U2546">
        <v>1</v>
      </c>
      <c r="V2546" s="2">
        <v>1</v>
      </c>
      <c r="W2546">
        <v>1</v>
      </c>
      <c r="X2546" t="s">
        <v>54</v>
      </c>
      <c r="Y2546">
        <v>1</v>
      </c>
      <c r="Z2546" t="s">
        <v>31</v>
      </c>
      <c r="AA2546">
        <v>0</v>
      </c>
      <c r="AB2546" t="s">
        <v>31</v>
      </c>
      <c r="AC2546">
        <v>0</v>
      </c>
      <c r="AD2546" t="s">
        <v>31</v>
      </c>
      <c r="AE2546">
        <v>0</v>
      </c>
      <c r="AF2546" t="s">
        <v>31</v>
      </c>
      <c r="AG2546">
        <v>0</v>
      </c>
      <c r="AH2546" t="s">
        <v>31</v>
      </c>
      <c r="AI2546">
        <v>0</v>
      </c>
      <c r="AJ2546" t="s">
        <v>31</v>
      </c>
      <c r="AK2546">
        <v>0</v>
      </c>
      <c r="AL2546" t="s">
        <v>31</v>
      </c>
      <c r="AM2546">
        <v>0</v>
      </c>
      <c r="AN2546" t="s">
        <v>31</v>
      </c>
      <c r="AO2546">
        <v>0</v>
      </c>
      <c r="AP2546" t="s">
        <v>31</v>
      </c>
      <c r="AQ2546">
        <v>0</v>
      </c>
    </row>
    <row r="2547" spans="1:43" x14ac:dyDescent="0.2">
      <c r="A2547" t="s">
        <v>381</v>
      </c>
      <c r="B2547" s="3">
        <v>44243</v>
      </c>
      <c r="C2547">
        <v>9</v>
      </c>
      <c r="D2547" t="s">
        <v>382</v>
      </c>
      <c r="E2547" t="s">
        <v>83</v>
      </c>
      <c r="F2547" s="9" t="s">
        <v>84</v>
      </c>
      <c r="G2547" t="s">
        <v>26</v>
      </c>
      <c r="H2547" t="s">
        <v>85</v>
      </c>
      <c r="I2547" t="s">
        <v>86</v>
      </c>
      <c r="J2547" t="s">
        <v>43</v>
      </c>
      <c r="K2547" t="s">
        <v>44</v>
      </c>
      <c r="L2547" t="s">
        <v>53</v>
      </c>
      <c r="M2547" t="s">
        <v>54</v>
      </c>
      <c r="N2547" t="s">
        <v>85</v>
      </c>
      <c r="O2547" t="s">
        <v>86</v>
      </c>
      <c r="P2547" t="s">
        <v>43</v>
      </c>
      <c r="Q2547" t="s">
        <v>44</v>
      </c>
      <c r="R2547" s="1">
        <v>44243.37394675926</v>
      </c>
      <c r="S2547" s="1">
        <v>44243.433611111112</v>
      </c>
      <c r="T2547">
        <v>0</v>
      </c>
      <c r="U2547">
        <v>2</v>
      </c>
      <c r="V2547" s="2">
        <v>0</v>
      </c>
      <c r="W2547">
        <v>0</v>
      </c>
      <c r="X2547" t="s">
        <v>44</v>
      </c>
      <c r="Y2547">
        <v>0</v>
      </c>
      <c r="Z2547" t="s">
        <v>44</v>
      </c>
      <c r="AA2547">
        <v>0</v>
      </c>
      <c r="AB2547" t="s">
        <v>31</v>
      </c>
      <c r="AC2547">
        <v>0</v>
      </c>
      <c r="AD2547" t="s">
        <v>31</v>
      </c>
      <c r="AE2547">
        <v>0</v>
      </c>
      <c r="AF2547" t="s">
        <v>31</v>
      </c>
      <c r="AG2547">
        <v>0</v>
      </c>
      <c r="AH2547" t="s">
        <v>31</v>
      </c>
      <c r="AI2547">
        <v>0</v>
      </c>
      <c r="AJ2547" t="s">
        <v>31</v>
      </c>
      <c r="AK2547">
        <v>0</v>
      </c>
      <c r="AL2547" t="s">
        <v>31</v>
      </c>
      <c r="AM2547">
        <v>0</v>
      </c>
      <c r="AN2547" t="s">
        <v>31</v>
      </c>
      <c r="AO2547">
        <v>0</v>
      </c>
      <c r="AP2547" t="s">
        <v>31</v>
      </c>
      <c r="AQ2547">
        <v>0</v>
      </c>
    </row>
    <row r="2548" spans="1:43" x14ac:dyDescent="0.2">
      <c r="A2548" t="s">
        <v>381</v>
      </c>
      <c r="B2548" s="3">
        <v>44243</v>
      </c>
      <c r="C2548">
        <v>10</v>
      </c>
      <c r="D2548" t="s">
        <v>385</v>
      </c>
      <c r="E2548" t="s">
        <v>83</v>
      </c>
      <c r="F2548" s="9" t="s">
        <v>84</v>
      </c>
      <c r="G2548" t="s">
        <v>26</v>
      </c>
      <c r="H2548" t="s">
        <v>85</v>
      </c>
      <c r="I2548" t="s">
        <v>86</v>
      </c>
      <c r="J2548" t="s">
        <v>43</v>
      </c>
      <c r="K2548" t="s">
        <v>44</v>
      </c>
      <c r="L2548" t="s">
        <v>53</v>
      </c>
      <c r="M2548" t="s">
        <v>54</v>
      </c>
      <c r="N2548" t="s">
        <v>85</v>
      </c>
      <c r="O2548" t="s">
        <v>86</v>
      </c>
      <c r="P2548" t="s">
        <v>43</v>
      </c>
      <c r="Q2548" t="s">
        <v>44</v>
      </c>
      <c r="R2548" s="1">
        <v>44243.568865740737</v>
      </c>
      <c r="S2548" s="1">
        <v>44243.56890046296</v>
      </c>
      <c r="T2548">
        <v>0</v>
      </c>
      <c r="U2548">
        <v>2</v>
      </c>
      <c r="V2548" s="2">
        <v>0</v>
      </c>
      <c r="W2548">
        <v>0</v>
      </c>
      <c r="X2548" t="s">
        <v>44</v>
      </c>
      <c r="Y2548">
        <v>0</v>
      </c>
      <c r="Z2548" t="s">
        <v>44</v>
      </c>
      <c r="AA2548">
        <v>0</v>
      </c>
      <c r="AB2548" t="s">
        <v>31</v>
      </c>
      <c r="AC2548">
        <v>0</v>
      </c>
      <c r="AD2548" t="s">
        <v>31</v>
      </c>
      <c r="AE2548">
        <v>0</v>
      </c>
      <c r="AF2548" t="s">
        <v>31</v>
      </c>
      <c r="AG2548">
        <v>0</v>
      </c>
      <c r="AH2548" t="s">
        <v>31</v>
      </c>
      <c r="AI2548">
        <v>0</v>
      </c>
      <c r="AJ2548" t="s">
        <v>31</v>
      </c>
      <c r="AK2548">
        <v>0</v>
      </c>
      <c r="AL2548" t="s">
        <v>31</v>
      </c>
      <c r="AM2548">
        <v>0</v>
      </c>
      <c r="AN2548" t="s">
        <v>31</v>
      </c>
      <c r="AO2548">
        <v>0</v>
      </c>
      <c r="AP2548" t="s">
        <v>31</v>
      </c>
      <c r="AQ2548">
        <v>0</v>
      </c>
    </row>
    <row r="2549" spans="1:43" x14ac:dyDescent="0.2">
      <c r="A2549" t="s">
        <v>381</v>
      </c>
      <c r="B2549" s="3">
        <v>44244</v>
      </c>
      <c r="C2549">
        <v>11</v>
      </c>
      <c r="D2549" t="s">
        <v>384</v>
      </c>
      <c r="E2549" t="s">
        <v>83</v>
      </c>
      <c r="F2549" s="9" t="s">
        <v>84</v>
      </c>
      <c r="G2549" t="s">
        <v>26</v>
      </c>
      <c r="H2549" t="s">
        <v>85</v>
      </c>
      <c r="I2549" t="s">
        <v>86</v>
      </c>
      <c r="J2549" t="s">
        <v>43</v>
      </c>
      <c r="K2549" t="s">
        <v>44</v>
      </c>
      <c r="L2549" t="s">
        <v>53</v>
      </c>
      <c r="M2549" t="s">
        <v>54</v>
      </c>
      <c r="N2549" t="s">
        <v>85</v>
      </c>
      <c r="O2549" t="s">
        <v>86</v>
      </c>
      <c r="P2549" t="s">
        <v>43</v>
      </c>
      <c r="Q2549" t="s">
        <v>44</v>
      </c>
      <c r="R2549" s="1">
        <v>44244.389814814815</v>
      </c>
      <c r="S2549" s="1">
        <v>44244.389814814815</v>
      </c>
      <c r="T2549">
        <v>0</v>
      </c>
      <c r="U2549">
        <v>1</v>
      </c>
      <c r="V2549" s="2">
        <v>0</v>
      </c>
      <c r="W2549">
        <v>0</v>
      </c>
      <c r="X2549" t="s">
        <v>44</v>
      </c>
      <c r="Y2549">
        <v>0</v>
      </c>
      <c r="Z2549" t="s">
        <v>31</v>
      </c>
      <c r="AA2549">
        <v>0</v>
      </c>
      <c r="AB2549" t="s">
        <v>31</v>
      </c>
      <c r="AC2549">
        <v>0</v>
      </c>
      <c r="AD2549" t="s">
        <v>31</v>
      </c>
      <c r="AE2549">
        <v>0</v>
      </c>
      <c r="AF2549" t="s">
        <v>31</v>
      </c>
      <c r="AG2549">
        <v>0</v>
      </c>
      <c r="AH2549" t="s">
        <v>31</v>
      </c>
      <c r="AI2549">
        <v>0</v>
      </c>
      <c r="AJ2549" t="s">
        <v>31</v>
      </c>
      <c r="AK2549">
        <v>0</v>
      </c>
      <c r="AL2549" t="s">
        <v>31</v>
      </c>
      <c r="AM2549">
        <v>0</v>
      </c>
      <c r="AN2549" t="s">
        <v>31</v>
      </c>
      <c r="AO2549">
        <v>0</v>
      </c>
      <c r="AP2549" t="s">
        <v>31</v>
      </c>
      <c r="AQ2549">
        <v>0</v>
      </c>
    </row>
    <row r="2550" spans="1:43" x14ac:dyDescent="0.2">
      <c r="A2550" t="s">
        <v>381</v>
      </c>
      <c r="B2550" s="3">
        <v>44245</v>
      </c>
      <c r="C2550">
        <v>12</v>
      </c>
      <c r="D2550" t="s">
        <v>382</v>
      </c>
      <c r="E2550" t="s">
        <v>83</v>
      </c>
      <c r="F2550" s="9" t="s">
        <v>84</v>
      </c>
      <c r="G2550" t="s">
        <v>26</v>
      </c>
      <c r="H2550" t="s">
        <v>85</v>
      </c>
      <c r="I2550" t="s">
        <v>86</v>
      </c>
      <c r="J2550" t="s">
        <v>43</v>
      </c>
      <c r="K2550" t="s">
        <v>44</v>
      </c>
      <c r="L2550" t="s">
        <v>53</v>
      </c>
      <c r="M2550" t="s">
        <v>54</v>
      </c>
      <c r="N2550" t="s">
        <v>85</v>
      </c>
      <c r="O2550" t="s">
        <v>86</v>
      </c>
      <c r="P2550" t="s">
        <v>43</v>
      </c>
      <c r="Q2550" t="s">
        <v>44</v>
      </c>
      <c r="R2550" s="1">
        <v>44245.382199074076</v>
      </c>
      <c r="S2550" s="1">
        <v>44245.451782407406</v>
      </c>
      <c r="T2550">
        <v>0</v>
      </c>
      <c r="U2550">
        <v>2</v>
      </c>
      <c r="V2550" s="2">
        <v>0</v>
      </c>
      <c r="W2550">
        <v>0</v>
      </c>
      <c r="X2550" t="s">
        <v>44</v>
      </c>
      <c r="Y2550">
        <v>0</v>
      </c>
      <c r="Z2550" t="s">
        <v>44</v>
      </c>
      <c r="AA2550">
        <v>0</v>
      </c>
      <c r="AB2550" t="s">
        <v>31</v>
      </c>
      <c r="AC2550">
        <v>0</v>
      </c>
      <c r="AD2550" t="s">
        <v>31</v>
      </c>
      <c r="AE2550">
        <v>0</v>
      </c>
      <c r="AF2550" t="s">
        <v>31</v>
      </c>
      <c r="AG2550">
        <v>0</v>
      </c>
      <c r="AH2550" t="s">
        <v>31</v>
      </c>
      <c r="AI2550">
        <v>0</v>
      </c>
      <c r="AJ2550" t="s">
        <v>31</v>
      </c>
      <c r="AK2550">
        <v>0</v>
      </c>
      <c r="AL2550" t="s">
        <v>31</v>
      </c>
      <c r="AM2550">
        <v>0</v>
      </c>
      <c r="AN2550" t="s">
        <v>31</v>
      </c>
      <c r="AO2550">
        <v>0</v>
      </c>
      <c r="AP2550" t="s">
        <v>31</v>
      </c>
      <c r="AQ2550">
        <v>0</v>
      </c>
    </row>
    <row r="2551" spans="1:43" x14ac:dyDescent="0.2">
      <c r="A2551" t="s">
        <v>381</v>
      </c>
      <c r="B2551" s="3">
        <v>44246</v>
      </c>
      <c r="C2551">
        <v>14</v>
      </c>
      <c r="D2551" t="s">
        <v>384</v>
      </c>
      <c r="E2551" t="s">
        <v>83</v>
      </c>
      <c r="F2551" s="9" t="s">
        <v>84</v>
      </c>
      <c r="G2551" t="s">
        <v>26</v>
      </c>
      <c r="H2551" t="s">
        <v>85</v>
      </c>
      <c r="I2551" t="s">
        <v>86</v>
      </c>
      <c r="J2551" t="s">
        <v>43</v>
      </c>
      <c r="K2551" t="s">
        <v>44</v>
      </c>
      <c r="L2551" t="s">
        <v>53</v>
      </c>
      <c r="M2551" t="s">
        <v>54</v>
      </c>
      <c r="N2551" t="s">
        <v>85</v>
      </c>
      <c r="O2551" t="s">
        <v>86</v>
      </c>
      <c r="P2551" t="s">
        <v>43</v>
      </c>
      <c r="Q2551" t="s">
        <v>44</v>
      </c>
      <c r="R2551" s="1">
        <v>44246.381064814814</v>
      </c>
      <c r="S2551" s="1">
        <v>44246.381064814814</v>
      </c>
      <c r="T2551">
        <v>0</v>
      </c>
      <c r="U2551">
        <v>1</v>
      </c>
      <c r="V2551" s="2">
        <v>0</v>
      </c>
      <c r="W2551">
        <v>0</v>
      </c>
      <c r="X2551" t="s">
        <v>44</v>
      </c>
      <c r="Y2551">
        <v>0</v>
      </c>
      <c r="Z2551" t="s">
        <v>31</v>
      </c>
      <c r="AA2551">
        <v>0</v>
      </c>
      <c r="AB2551" t="s">
        <v>31</v>
      </c>
      <c r="AC2551">
        <v>0</v>
      </c>
      <c r="AD2551" t="s">
        <v>31</v>
      </c>
      <c r="AE2551">
        <v>0</v>
      </c>
      <c r="AF2551" t="s">
        <v>31</v>
      </c>
      <c r="AG2551">
        <v>0</v>
      </c>
      <c r="AH2551" t="s">
        <v>31</v>
      </c>
      <c r="AI2551">
        <v>0</v>
      </c>
      <c r="AJ2551" t="s">
        <v>31</v>
      </c>
      <c r="AK2551">
        <v>0</v>
      </c>
      <c r="AL2551" t="s">
        <v>31</v>
      </c>
      <c r="AM2551">
        <v>0</v>
      </c>
      <c r="AN2551" t="s">
        <v>31</v>
      </c>
      <c r="AO2551">
        <v>0</v>
      </c>
      <c r="AP2551" t="s">
        <v>31</v>
      </c>
      <c r="AQ2551">
        <v>0</v>
      </c>
    </row>
    <row r="2552" spans="1:43" x14ac:dyDescent="0.2">
      <c r="A2552" t="s">
        <v>381</v>
      </c>
      <c r="B2552" s="3">
        <v>44249</v>
      </c>
      <c r="C2552">
        <v>15</v>
      </c>
      <c r="D2552" t="s">
        <v>384</v>
      </c>
      <c r="E2552" t="s">
        <v>83</v>
      </c>
      <c r="F2552" s="9" t="s">
        <v>84</v>
      </c>
      <c r="G2552" t="s">
        <v>26</v>
      </c>
      <c r="H2552" t="s">
        <v>85</v>
      </c>
      <c r="I2552" t="s">
        <v>86</v>
      </c>
      <c r="J2552" t="s">
        <v>43</v>
      </c>
      <c r="K2552" t="s">
        <v>44</v>
      </c>
      <c r="L2552" t="s">
        <v>53</v>
      </c>
      <c r="M2552" t="s">
        <v>54</v>
      </c>
      <c r="N2552" t="s">
        <v>85</v>
      </c>
      <c r="O2552" t="s">
        <v>86</v>
      </c>
      <c r="P2552" t="s">
        <v>43</v>
      </c>
      <c r="Q2552" t="s">
        <v>44</v>
      </c>
      <c r="R2552" s="1">
        <v>44249.386956018519</v>
      </c>
      <c r="S2552" s="1">
        <v>44249.386956018519</v>
      </c>
      <c r="T2552">
        <v>0</v>
      </c>
      <c r="U2552">
        <v>1</v>
      </c>
      <c r="V2552" s="2">
        <v>0</v>
      </c>
      <c r="W2552">
        <v>0</v>
      </c>
      <c r="X2552" t="s">
        <v>44</v>
      </c>
      <c r="Y2552">
        <v>0</v>
      </c>
      <c r="Z2552" t="s">
        <v>31</v>
      </c>
      <c r="AA2552">
        <v>0</v>
      </c>
      <c r="AB2552" t="s">
        <v>31</v>
      </c>
      <c r="AC2552">
        <v>0</v>
      </c>
      <c r="AD2552" t="s">
        <v>31</v>
      </c>
      <c r="AE2552">
        <v>0</v>
      </c>
      <c r="AF2552" t="s">
        <v>31</v>
      </c>
      <c r="AG2552">
        <v>0</v>
      </c>
      <c r="AH2552" t="s">
        <v>31</v>
      </c>
      <c r="AI2552">
        <v>0</v>
      </c>
      <c r="AJ2552" t="s">
        <v>31</v>
      </c>
      <c r="AK2552">
        <v>0</v>
      </c>
      <c r="AL2552" t="s">
        <v>31</v>
      </c>
      <c r="AM2552">
        <v>0</v>
      </c>
      <c r="AN2552" t="s">
        <v>31</v>
      </c>
      <c r="AO2552">
        <v>0</v>
      </c>
      <c r="AP2552" t="s">
        <v>31</v>
      </c>
      <c r="AQ2552">
        <v>0</v>
      </c>
    </row>
    <row r="2553" spans="1:43" x14ac:dyDescent="0.2">
      <c r="A2553" t="s">
        <v>381</v>
      </c>
      <c r="B2553" s="3">
        <v>44250</v>
      </c>
      <c r="C2553">
        <v>16</v>
      </c>
      <c r="D2553" t="s">
        <v>382</v>
      </c>
      <c r="E2553" t="s">
        <v>83</v>
      </c>
      <c r="F2553" s="9" t="s">
        <v>84</v>
      </c>
      <c r="G2553" t="s">
        <v>26</v>
      </c>
      <c r="H2553" t="s">
        <v>85</v>
      </c>
      <c r="I2553" t="s">
        <v>86</v>
      </c>
      <c r="J2553" t="s">
        <v>43</v>
      </c>
      <c r="K2553" t="s">
        <v>44</v>
      </c>
      <c r="L2553" t="s">
        <v>53</v>
      </c>
      <c r="M2553" t="s">
        <v>54</v>
      </c>
      <c r="N2553" t="s">
        <v>85</v>
      </c>
      <c r="O2553" t="s">
        <v>86</v>
      </c>
      <c r="P2553" t="s">
        <v>43</v>
      </c>
      <c r="Q2553" t="s">
        <v>44</v>
      </c>
      <c r="R2553" s="1">
        <v>44250.384548611109</v>
      </c>
      <c r="S2553" s="1">
        <v>44250.468310185184</v>
      </c>
      <c r="T2553">
        <v>0</v>
      </c>
      <c r="U2553">
        <v>2</v>
      </c>
      <c r="V2553" s="2">
        <v>0</v>
      </c>
      <c r="W2553">
        <v>0</v>
      </c>
      <c r="X2553" t="s">
        <v>44</v>
      </c>
      <c r="Y2553">
        <v>0</v>
      </c>
      <c r="Z2553" t="s">
        <v>44</v>
      </c>
      <c r="AA2553">
        <v>0</v>
      </c>
      <c r="AB2553" t="s">
        <v>31</v>
      </c>
      <c r="AC2553">
        <v>0</v>
      </c>
      <c r="AD2553" t="s">
        <v>31</v>
      </c>
      <c r="AE2553">
        <v>0</v>
      </c>
      <c r="AF2553" t="s">
        <v>31</v>
      </c>
      <c r="AG2553">
        <v>0</v>
      </c>
      <c r="AH2553" t="s">
        <v>31</v>
      </c>
      <c r="AI2553">
        <v>0</v>
      </c>
      <c r="AJ2553" t="s">
        <v>31</v>
      </c>
      <c r="AK2553">
        <v>0</v>
      </c>
      <c r="AL2553" t="s">
        <v>31</v>
      </c>
      <c r="AM2553">
        <v>0</v>
      </c>
      <c r="AN2553" t="s">
        <v>31</v>
      </c>
      <c r="AO2553">
        <v>0</v>
      </c>
      <c r="AP2553" t="s">
        <v>31</v>
      </c>
      <c r="AQ2553">
        <v>0</v>
      </c>
    </row>
    <row r="2554" spans="1:43" x14ac:dyDescent="0.2">
      <c r="A2554" t="s">
        <v>381</v>
      </c>
      <c r="B2554" s="3">
        <v>44250</v>
      </c>
      <c r="C2554">
        <v>17</v>
      </c>
      <c r="D2554" t="s">
        <v>385</v>
      </c>
      <c r="E2554" t="s">
        <v>83</v>
      </c>
      <c r="F2554" s="9" t="s">
        <v>84</v>
      </c>
      <c r="G2554" t="s">
        <v>26</v>
      </c>
      <c r="H2554" t="s">
        <v>85</v>
      </c>
      <c r="I2554" t="s">
        <v>86</v>
      </c>
      <c r="J2554" t="s">
        <v>43</v>
      </c>
      <c r="K2554" t="s">
        <v>44</v>
      </c>
      <c r="L2554" t="s">
        <v>53</v>
      </c>
      <c r="M2554" t="s">
        <v>54</v>
      </c>
      <c r="N2554" t="s">
        <v>85</v>
      </c>
      <c r="O2554" t="s">
        <v>86</v>
      </c>
      <c r="P2554" t="s">
        <v>43</v>
      </c>
      <c r="Q2554" t="s">
        <v>44</v>
      </c>
      <c r="R2554" s="1">
        <v>44250.607708333337</v>
      </c>
      <c r="S2554" s="1">
        <v>44250.645497685182</v>
      </c>
      <c r="T2554">
        <v>0</v>
      </c>
      <c r="U2554">
        <v>2</v>
      </c>
      <c r="V2554" s="2">
        <v>0</v>
      </c>
      <c r="W2554">
        <v>0</v>
      </c>
      <c r="X2554" t="s">
        <v>44</v>
      </c>
      <c r="Y2554">
        <v>0</v>
      </c>
      <c r="Z2554" t="s">
        <v>44</v>
      </c>
      <c r="AA2554">
        <v>0</v>
      </c>
      <c r="AB2554" t="s">
        <v>31</v>
      </c>
      <c r="AC2554">
        <v>0</v>
      </c>
      <c r="AD2554" t="s">
        <v>31</v>
      </c>
      <c r="AE2554">
        <v>0</v>
      </c>
      <c r="AF2554" t="s">
        <v>31</v>
      </c>
      <c r="AG2554">
        <v>0</v>
      </c>
      <c r="AH2554" t="s">
        <v>31</v>
      </c>
      <c r="AI2554">
        <v>0</v>
      </c>
      <c r="AJ2554" t="s">
        <v>31</v>
      </c>
      <c r="AK2554">
        <v>0</v>
      </c>
      <c r="AL2554" t="s">
        <v>31</v>
      </c>
      <c r="AM2554">
        <v>0</v>
      </c>
      <c r="AN2554" t="s">
        <v>31</v>
      </c>
      <c r="AO2554">
        <v>0</v>
      </c>
      <c r="AP2554" t="s">
        <v>31</v>
      </c>
      <c r="AQ2554">
        <v>0</v>
      </c>
    </row>
    <row r="2555" spans="1:43" x14ac:dyDescent="0.2">
      <c r="A2555" t="s">
        <v>381</v>
      </c>
      <c r="B2555" s="3">
        <v>44251</v>
      </c>
      <c r="C2555">
        <v>18</v>
      </c>
      <c r="D2555" t="s">
        <v>384</v>
      </c>
      <c r="E2555" t="s">
        <v>83</v>
      </c>
      <c r="F2555" s="9" t="s">
        <v>84</v>
      </c>
      <c r="G2555" t="s">
        <v>26</v>
      </c>
      <c r="H2555" t="s">
        <v>85</v>
      </c>
      <c r="I2555" t="s">
        <v>86</v>
      </c>
      <c r="J2555" t="s">
        <v>43</v>
      </c>
      <c r="K2555" t="s">
        <v>44</v>
      </c>
      <c r="L2555" t="s">
        <v>53</v>
      </c>
      <c r="M2555" t="s">
        <v>54</v>
      </c>
      <c r="N2555" t="s">
        <v>85</v>
      </c>
      <c r="O2555" t="s">
        <v>86</v>
      </c>
      <c r="P2555" t="s">
        <v>43</v>
      </c>
      <c r="Q2555" t="s">
        <v>44</v>
      </c>
      <c r="R2555" s="1">
        <v>44251.382604166669</v>
      </c>
      <c r="S2555" s="1">
        <v>44251.437106481484</v>
      </c>
      <c r="T2555">
        <v>0</v>
      </c>
      <c r="U2555">
        <v>2</v>
      </c>
      <c r="V2555" s="2">
        <v>0</v>
      </c>
      <c r="W2555">
        <v>0</v>
      </c>
      <c r="X2555" t="s">
        <v>44</v>
      </c>
      <c r="Y2555">
        <v>0</v>
      </c>
      <c r="Z2555" t="s">
        <v>44</v>
      </c>
      <c r="AA2555">
        <v>0</v>
      </c>
      <c r="AB2555" t="s">
        <v>31</v>
      </c>
      <c r="AC2555">
        <v>0</v>
      </c>
      <c r="AD2555" t="s">
        <v>31</v>
      </c>
      <c r="AE2555">
        <v>0</v>
      </c>
      <c r="AF2555" t="s">
        <v>31</v>
      </c>
      <c r="AG2555">
        <v>0</v>
      </c>
      <c r="AH2555" t="s">
        <v>31</v>
      </c>
      <c r="AI2555">
        <v>0</v>
      </c>
      <c r="AJ2555" t="s">
        <v>31</v>
      </c>
      <c r="AK2555">
        <v>0</v>
      </c>
      <c r="AL2555" t="s">
        <v>31</v>
      </c>
      <c r="AM2555">
        <v>0</v>
      </c>
      <c r="AN2555" t="s">
        <v>31</v>
      </c>
      <c r="AO2555">
        <v>0</v>
      </c>
      <c r="AP2555" t="s">
        <v>31</v>
      </c>
      <c r="AQ2555">
        <v>0</v>
      </c>
    </row>
    <row r="2556" spans="1:43" x14ac:dyDescent="0.2">
      <c r="A2556" t="s">
        <v>381</v>
      </c>
      <c r="B2556" s="3">
        <v>44252</v>
      </c>
      <c r="C2556">
        <v>19</v>
      </c>
      <c r="D2556" t="s">
        <v>382</v>
      </c>
      <c r="E2556" t="s">
        <v>83</v>
      </c>
      <c r="F2556" s="9" t="s">
        <v>84</v>
      </c>
      <c r="G2556" t="s">
        <v>26</v>
      </c>
      <c r="H2556" t="s">
        <v>85</v>
      </c>
      <c r="I2556" t="s">
        <v>86</v>
      </c>
      <c r="J2556" t="s">
        <v>43</v>
      </c>
      <c r="K2556" t="s">
        <v>44</v>
      </c>
      <c r="L2556" t="s">
        <v>53</v>
      </c>
      <c r="M2556" t="s">
        <v>54</v>
      </c>
      <c r="N2556" t="s">
        <v>85</v>
      </c>
      <c r="O2556" t="s">
        <v>86</v>
      </c>
      <c r="P2556" t="s">
        <v>43</v>
      </c>
      <c r="Q2556" t="s">
        <v>44</v>
      </c>
      <c r="R2556" s="1">
        <v>44252.394560185188</v>
      </c>
      <c r="S2556" s="1">
        <v>44252.434293981481</v>
      </c>
      <c r="T2556">
        <v>0</v>
      </c>
      <c r="U2556">
        <v>2</v>
      </c>
      <c r="V2556" s="2">
        <v>0</v>
      </c>
      <c r="W2556">
        <v>0</v>
      </c>
      <c r="X2556" t="s">
        <v>44</v>
      </c>
      <c r="Y2556">
        <v>0</v>
      </c>
      <c r="Z2556" t="s">
        <v>44</v>
      </c>
      <c r="AA2556">
        <v>0</v>
      </c>
      <c r="AB2556" t="s">
        <v>31</v>
      </c>
      <c r="AC2556">
        <v>0</v>
      </c>
      <c r="AD2556" t="s">
        <v>31</v>
      </c>
      <c r="AE2556">
        <v>0</v>
      </c>
      <c r="AF2556" t="s">
        <v>31</v>
      </c>
      <c r="AG2556">
        <v>0</v>
      </c>
      <c r="AH2556" t="s">
        <v>31</v>
      </c>
      <c r="AI2556">
        <v>0</v>
      </c>
      <c r="AJ2556" t="s">
        <v>31</v>
      </c>
      <c r="AK2556">
        <v>0</v>
      </c>
      <c r="AL2556" t="s">
        <v>31</v>
      </c>
      <c r="AM2556">
        <v>0</v>
      </c>
      <c r="AN2556" t="s">
        <v>31</v>
      </c>
      <c r="AO2556">
        <v>0</v>
      </c>
      <c r="AP2556" t="s">
        <v>31</v>
      </c>
      <c r="AQ2556">
        <v>0</v>
      </c>
    </row>
    <row r="2557" spans="1:43" x14ac:dyDescent="0.2">
      <c r="A2557" t="s">
        <v>381</v>
      </c>
      <c r="B2557" s="3">
        <v>44252</v>
      </c>
      <c r="C2557">
        <v>20</v>
      </c>
      <c r="D2557" t="s">
        <v>385</v>
      </c>
      <c r="E2557" t="s">
        <v>83</v>
      </c>
      <c r="F2557" s="9" t="s">
        <v>84</v>
      </c>
      <c r="G2557" t="s">
        <v>26</v>
      </c>
      <c r="H2557" t="s">
        <v>85</v>
      </c>
      <c r="I2557" t="s">
        <v>86</v>
      </c>
      <c r="J2557" t="s">
        <v>43</v>
      </c>
      <c r="K2557" t="s">
        <v>44</v>
      </c>
      <c r="L2557" t="s">
        <v>53</v>
      </c>
      <c r="M2557" t="s">
        <v>54</v>
      </c>
      <c r="N2557" t="s">
        <v>85</v>
      </c>
      <c r="O2557" t="s">
        <v>86</v>
      </c>
      <c r="P2557" t="s">
        <v>43</v>
      </c>
      <c r="Q2557" t="s">
        <v>44</v>
      </c>
      <c r="R2557" s="1">
        <v>44252.58935185185</v>
      </c>
      <c r="S2557" s="1">
        <v>44252.58935185185</v>
      </c>
      <c r="T2557">
        <v>0</v>
      </c>
      <c r="U2557">
        <v>2</v>
      </c>
      <c r="V2557" s="2">
        <v>0</v>
      </c>
      <c r="W2557">
        <v>0</v>
      </c>
      <c r="X2557" t="s">
        <v>44</v>
      </c>
      <c r="Y2557">
        <v>0</v>
      </c>
      <c r="Z2557" t="s">
        <v>44</v>
      </c>
      <c r="AA2557">
        <v>0</v>
      </c>
      <c r="AB2557" t="s">
        <v>31</v>
      </c>
      <c r="AC2557">
        <v>0</v>
      </c>
      <c r="AD2557" t="s">
        <v>31</v>
      </c>
      <c r="AE2557">
        <v>0</v>
      </c>
      <c r="AF2557" t="s">
        <v>31</v>
      </c>
      <c r="AG2557">
        <v>0</v>
      </c>
      <c r="AH2557" t="s">
        <v>31</v>
      </c>
      <c r="AI2557">
        <v>0</v>
      </c>
      <c r="AJ2557" t="s">
        <v>31</v>
      </c>
      <c r="AK2557">
        <v>0</v>
      </c>
      <c r="AL2557" t="s">
        <v>31</v>
      </c>
      <c r="AM2557">
        <v>0</v>
      </c>
      <c r="AN2557" t="s">
        <v>31</v>
      </c>
      <c r="AO2557">
        <v>0</v>
      </c>
      <c r="AP2557" t="s">
        <v>31</v>
      </c>
      <c r="AQ2557">
        <v>0</v>
      </c>
    </row>
    <row r="2558" spans="1:43" x14ac:dyDescent="0.2">
      <c r="A2558" t="s">
        <v>381</v>
      </c>
      <c r="B2558" s="3">
        <v>44253</v>
      </c>
      <c r="C2558">
        <v>21</v>
      </c>
      <c r="D2558" t="s">
        <v>384</v>
      </c>
      <c r="E2558" t="s">
        <v>83</v>
      </c>
      <c r="F2558" s="9" t="s">
        <v>84</v>
      </c>
      <c r="G2558" t="s">
        <v>26</v>
      </c>
      <c r="H2558" t="s">
        <v>85</v>
      </c>
      <c r="I2558" t="s">
        <v>86</v>
      </c>
      <c r="J2558" t="s">
        <v>43</v>
      </c>
      <c r="K2558" t="s">
        <v>44</v>
      </c>
      <c r="L2558" t="s">
        <v>53</v>
      </c>
      <c r="M2558" t="s">
        <v>54</v>
      </c>
      <c r="N2558" t="s">
        <v>85</v>
      </c>
      <c r="O2558" t="s">
        <v>86</v>
      </c>
      <c r="P2558" t="s">
        <v>43</v>
      </c>
      <c r="Q2558" t="s">
        <v>44</v>
      </c>
      <c r="R2558" s="1">
        <v>44253.374525462961</v>
      </c>
      <c r="S2558" s="1">
        <v>44253.374525462961</v>
      </c>
      <c r="T2558">
        <v>0</v>
      </c>
      <c r="U2558">
        <v>1</v>
      </c>
      <c r="V2558" s="2">
        <v>0</v>
      </c>
      <c r="W2558">
        <v>0</v>
      </c>
      <c r="X2558" t="s">
        <v>44</v>
      </c>
      <c r="Y2558">
        <v>0</v>
      </c>
      <c r="Z2558" t="s">
        <v>31</v>
      </c>
      <c r="AA2558">
        <v>0</v>
      </c>
      <c r="AB2558" t="s">
        <v>31</v>
      </c>
      <c r="AC2558">
        <v>0</v>
      </c>
      <c r="AD2558" t="s">
        <v>31</v>
      </c>
      <c r="AE2558">
        <v>0</v>
      </c>
      <c r="AF2558" t="s">
        <v>31</v>
      </c>
      <c r="AG2558">
        <v>0</v>
      </c>
      <c r="AH2558" t="s">
        <v>31</v>
      </c>
      <c r="AI2558">
        <v>0</v>
      </c>
      <c r="AJ2558" t="s">
        <v>31</v>
      </c>
      <c r="AK2558">
        <v>0</v>
      </c>
      <c r="AL2558" t="s">
        <v>31</v>
      </c>
      <c r="AM2558">
        <v>0</v>
      </c>
      <c r="AN2558" t="s">
        <v>31</v>
      </c>
      <c r="AO2558">
        <v>0</v>
      </c>
      <c r="AP2558" t="s">
        <v>31</v>
      </c>
      <c r="AQ2558">
        <v>0</v>
      </c>
    </row>
    <row r="2559" spans="1:43" x14ac:dyDescent="0.2">
      <c r="A2559" t="s">
        <v>381</v>
      </c>
      <c r="B2559" s="3">
        <v>44256</v>
      </c>
      <c r="C2559">
        <v>22</v>
      </c>
      <c r="D2559" t="s">
        <v>384</v>
      </c>
      <c r="E2559" t="s">
        <v>83</v>
      </c>
      <c r="F2559" s="9" t="s">
        <v>84</v>
      </c>
      <c r="G2559" t="s">
        <v>26</v>
      </c>
      <c r="H2559" t="s">
        <v>85</v>
      </c>
      <c r="I2559" t="s">
        <v>86</v>
      </c>
      <c r="J2559" t="s">
        <v>43</v>
      </c>
      <c r="K2559" t="s">
        <v>44</v>
      </c>
      <c r="L2559" t="s">
        <v>53</v>
      </c>
      <c r="M2559" t="s">
        <v>54</v>
      </c>
      <c r="N2559" t="s">
        <v>85</v>
      </c>
      <c r="O2559" t="s">
        <v>86</v>
      </c>
      <c r="P2559" t="s">
        <v>43</v>
      </c>
      <c r="Q2559" t="s">
        <v>44</v>
      </c>
      <c r="R2559" s="1">
        <v>44256.376458333332</v>
      </c>
      <c r="S2559" s="1">
        <v>44256.376458333332</v>
      </c>
      <c r="T2559">
        <v>0</v>
      </c>
      <c r="U2559">
        <v>1</v>
      </c>
      <c r="V2559" s="2">
        <v>0</v>
      </c>
      <c r="W2559">
        <v>0</v>
      </c>
      <c r="X2559" t="s">
        <v>44</v>
      </c>
      <c r="Y2559">
        <v>0</v>
      </c>
      <c r="Z2559" t="s">
        <v>31</v>
      </c>
      <c r="AA2559">
        <v>0</v>
      </c>
      <c r="AB2559" t="s">
        <v>31</v>
      </c>
      <c r="AC2559">
        <v>0</v>
      </c>
      <c r="AD2559" t="s">
        <v>31</v>
      </c>
      <c r="AE2559">
        <v>0</v>
      </c>
      <c r="AF2559" t="s">
        <v>31</v>
      </c>
      <c r="AG2559">
        <v>0</v>
      </c>
      <c r="AH2559" t="s">
        <v>31</v>
      </c>
      <c r="AI2559">
        <v>0</v>
      </c>
      <c r="AJ2559" t="s">
        <v>31</v>
      </c>
      <c r="AK2559">
        <v>0</v>
      </c>
      <c r="AL2559" t="s">
        <v>31</v>
      </c>
      <c r="AM2559">
        <v>0</v>
      </c>
      <c r="AN2559" t="s">
        <v>31</v>
      </c>
      <c r="AO2559">
        <v>0</v>
      </c>
      <c r="AP2559" t="s">
        <v>31</v>
      </c>
      <c r="AQ2559">
        <v>0</v>
      </c>
    </row>
    <row r="2560" spans="1:43" x14ac:dyDescent="0.2">
      <c r="A2560" t="s">
        <v>381</v>
      </c>
      <c r="B2560" s="3">
        <v>44257</v>
      </c>
      <c r="C2560">
        <v>23</v>
      </c>
      <c r="D2560" t="s">
        <v>382</v>
      </c>
      <c r="E2560" t="s">
        <v>83</v>
      </c>
      <c r="F2560" s="9" t="s">
        <v>84</v>
      </c>
      <c r="G2560" t="s">
        <v>26</v>
      </c>
      <c r="H2560" t="s">
        <v>85</v>
      </c>
      <c r="I2560" t="s">
        <v>86</v>
      </c>
      <c r="J2560" t="s">
        <v>43</v>
      </c>
      <c r="K2560" t="s">
        <v>44</v>
      </c>
      <c r="L2560" t="s">
        <v>53</v>
      </c>
      <c r="M2560" t="s">
        <v>54</v>
      </c>
      <c r="N2560" t="s">
        <v>85</v>
      </c>
      <c r="O2560" t="s">
        <v>86</v>
      </c>
      <c r="P2560" t="s">
        <v>43</v>
      </c>
      <c r="Q2560" t="s">
        <v>44</v>
      </c>
      <c r="R2560" s="1">
        <v>44257.4137962963</v>
      </c>
      <c r="S2560" s="1">
        <v>44257.461458333331</v>
      </c>
      <c r="T2560">
        <v>0</v>
      </c>
      <c r="U2560">
        <v>2</v>
      </c>
      <c r="V2560" s="2">
        <v>0</v>
      </c>
      <c r="W2560">
        <v>0</v>
      </c>
      <c r="X2560" t="s">
        <v>44</v>
      </c>
      <c r="Y2560">
        <v>0</v>
      </c>
      <c r="Z2560" t="s">
        <v>44</v>
      </c>
      <c r="AA2560">
        <v>0</v>
      </c>
      <c r="AB2560" t="s">
        <v>31</v>
      </c>
      <c r="AC2560">
        <v>0</v>
      </c>
      <c r="AD2560" t="s">
        <v>31</v>
      </c>
      <c r="AE2560">
        <v>0</v>
      </c>
      <c r="AF2560" t="s">
        <v>31</v>
      </c>
      <c r="AG2560">
        <v>0</v>
      </c>
      <c r="AH2560" t="s">
        <v>31</v>
      </c>
      <c r="AI2560">
        <v>0</v>
      </c>
      <c r="AJ2560" t="s">
        <v>31</v>
      </c>
      <c r="AK2560">
        <v>0</v>
      </c>
      <c r="AL2560" t="s">
        <v>31</v>
      </c>
      <c r="AM2560">
        <v>0</v>
      </c>
      <c r="AN2560" t="s">
        <v>31</v>
      </c>
      <c r="AO2560">
        <v>0</v>
      </c>
      <c r="AP2560" t="s">
        <v>31</v>
      </c>
      <c r="AQ2560">
        <v>0</v>
      </c>
    </row>
    <row r="2561" spans="1:43" x14ac:dyDescent="0.2">
      <c r="A2561" t="s">
        <v>381</v>
      </c>
      <c r="B2561" s="3">
        <v>44257</v>
      </c>
      <c r="C2561">
        <v>24</v>
      </c>
      <c r="D2561" t="s">
        <v>385</v>
      </c>
      <c r="E2561" t="s">
        <v>83</v>
      </c>
      <c r="F2561" s="9" t="s">
        <v>84</v>
      </c>
      <c r="G2561" t="s">
        <v>26</v>
      </c>
      <c r="H2561" t="s">
        <v>85</v>
      </c>
      <c r="I2561" t="s">
        <v>86</v>
      </c>
      <c r="J2561" t="s">
        <v>43</v>
      </c>
      <c r="K2561" t="s">
        <v>44</v>
      </c>
      <c r="L2561" t="s">
        <v>53</v>
      </c>
      <c r="M2561" t="s">
        <v>54</v>
      </c>
      <c r="N2561" t="s">
        <v>85</v>
      </c>
      <c r="O2561" t="s">
        <v>86</v>
      </c>
      <c r="P2561" t="s">
        <v>43</v>
      </c>
      <c r="Q2561" t="s">
        <v>44</v>
      </c>
      <c r="R2561" s="1">
        <v>44257.575266203705</v>
      </c>
      <c r="S2561" s="1">
        <v>44257.660902777781</v>
      </c>
      <c r="T2561">
        <v>0</v>
      </c>
      <c r="U2561">
        <v>2</v>
      </c>
      <c r="V2561" s="2">
        <v>0</v>
      </c>
      <c r="W2561">
        <v>0</v>
      </c>
      <c r="X2561" t="s">
        <v>44</v>
      </c>
      <c r="Y2561">
        <v>0</v>
      </c>
      <c r="Z2561" t="s">
        <v>44</v>
      </c>
      <c r="AA2561">
        <v>0</v>
      </c>
      <c r="AB2561" t="s">
        <v>31</v>
      </c>
      <c r="AC2561">
        <v>0</v>
      </c>
      <c r="AD2561" t="s">
        <v>31</v>
      </c>
      <c r="AE2561">
        <v>0</v>
      </c>
      <c r="AF2561" t="s">
        <v>31</v>
      </c>
      <c r="AG2561">
        <v>0</v>
      </c>
      <c r="AH2561" t="s">
        <v>31</v>
      </c>
      <c r="AI2561">
        <v>0</v>
      </c>
      <c r="AJ2561" t="s">
        <v>31</v>
      </c>
      <c r="AK2561">
        <v>0</v>
      </c>
      <c r="AL2561" t="s">
        <v>31</v>
      </c>
      <c r="AM2561">
        <v>0</v>
      </c>
      <c r="AN2561" t="s">
        <v>31</v>
      </c>
      <c r="AO2561">
        <v>0</v>
      </c>
      <c r="AP2561" t="s">
        <v>31</v>
      </c>
      <c r="AQ2561">
        <v>0</v>
      </c>
    </row>
    <row r="2562" spans="1:43" x14ac:dyDescent="0.2">
      <c r="A2562" t="s">
        <v>381</v>
      </c>
      <c r="B2562" s="3">
        <v>44258</v>
      </c>
      <c r="C2562">
        <v>25</v>
      </c>
      <c r="D2562" t="s">
        <v>384</v>
      </c>
      <c r="E2562" t="s">
        <v>83</v>
      </c>
      <c r="F2562" s="9" t="s">
        <v>84</v>
      </c>
      <c r="G2562" t="s">
        <v>26</v>
      </c>
      <c r="H2562" t="s">
        <v>85</v>
      </c>
      <c r="I2562" t="s">
        <v>86</v>
      </c>
      <c r="J2562" t="s">
        <v>43</v>
      </c>
      <c r="K2562" t="s">
        <v>44</v>
      </c>
      <c r="L2562" t="s">
        <v>53</v>
      </c>
      <c r="M2562" t="s">
        <v>54</v>
      </c>
      <c r="N2562" t="s">
        <v>85</v>
      </c>
      <c r="O2562" t="s">
        <v>86</v>
      </c>
      <c r="P2562" t="s">
        <v>43</v>
      </c>
      <c r="Q2562" t="s">
        <v>44</v>
      </c>
      <c r="R2562" s="1">
        <v>44258.376944444448</v>
      </c>
      <c r="S2562" s="1">
        <v>44258.416863425926</v>
      </c>
      <c r="T2562">
        <v>1</v>
      </c>
      <c r="U2562">
        <v>2</v>
      </c>
      <c r="V2562" s="2">
        <v>0.5</v>
      </c>
      <c r="W2562">
        <v>1</v>
      </c>
      <c r="X2562" t="s">
        <v>54</v>
      </c>
      <c r="Y2562">
        <v>1</v>
      </c>
      <c r="Z2562" t="s">
        <v>44</v>
      </c>
      <c r="AA2562">
        <v>0</v>
      </c>
      <c r="AB2562" t="s">
        <v>31</v>
      </c>
      <c r="AC2562">
        <v>0</v>
      </c>
      <c r="AD2562" t="s">
        <v>31</v>
      </c>
      <c r="AE2562">
        <v>0</v>
      </c>
      <c r="AF2562" t="s">
        <v>31</v>
      </c>
      <c r="AG2562">
        <v>0</v>
      </c>
      <c r="AH2562" t="s">
        <v>31</v>
      </c>
      <c r="AI2562">
        <v>0</v>
      </c>
      <c r="AJ2562" t="s">
        <v>31</v>
      </c>
      <c r="AK2562">
        <v>0</v>
      </c>
      <c r="AL2562" t="s">
        <v>31</v>
      </c>
      <c r="AM2562">
        <v>0</v>
      </c>
      <c r="AN2562" t="s">
        <v>31</v>
      </c>
      <c r="AO2562">
        <v>0</v>
      </c>
      <c r="AP2562" t="s">
        <v>31</v>
      </c>
      <c r="AQ2562">
        <v>0</v>
      </c>
    </row>
    <row r="2563" spans="1:43" x14ac:dyDescent="0.2">
      <c r="A2563" t="s">
        <v>381</v>
      </c>
      <c r="B2563" s="3">
        <v>44259</v>
      </c>
      <c r="C2563">
        <v>26</v>
      </c>
      <c r="D2563" t="s">
        <v>382</v>
      </c>
      <c r="E2563" t="s">
        <v>83</v>
      </c>
      <c r="F2563" s="9" t="s">
        <v>84</v>
      </c>
      <c r="G2563" t="s">
        <v>26</v>
      </c>
      <c r="H2563" t="s">
        <v>85</v>
      </c>
      <c r="I2563" t="s">
        <v>86</v>
      </c>
      <c r="J2563" t="s">
        <v>43</v>
      </c>
      <c r="K2563" t="s">
        <v>44</v>
      </c>
      <c r="L2563" t="s">
        <v>53</v>
      </c>
      <c r="M2563" t="s">
        <v>54</v>
      </c>
      <c r="N2563" t="s">
        <v>85</v>
      </c>
      <c r="O2563" t="s">
        <v>86</v>
      </c>
      <c r="P2563" t="s">
        <v>43</v>
      </c>
      <c r="Q2563" t="s">
        <v>44</v>
      </c>
      <c r="R2563" s="1">
        <v>44259.389502314814</v>
      </c>
      <c r="S2563" s="1">
        <v>44259.427118055559</v>
      </c>
      <c r="T2563">
        <v>0</v>
      </c>
      <c r="U2563">
        <v>2</v>
      </c>
      <c r="V2563" s="2">
        <v>0</v>
      </c>
      <c r="W2563">
        <v>0</v>
      </c>
      <c r="X2563" t="s">
        <v>44</v>
      </c>
      <c r="Y2563">
        <v>0</v>
      </c>
      <c r="Z2563" t="s">
        <v>44</v>
      </c>
      <c r="AA2563">
        <v>0</v>
      </c>
      <c r="AB2563" t="s">
        <v>31</v>
      </c>
      <c r="AC2563">
        <v>0</v>
      </c>
      <c r="AD2563" t="s">
        <v>31</v>
      </c>
      <c r="AE2563">
        <v>0</v>
      </c>
      <c r="AF2563" t="s">
        <v>31</v>
      </c>
      <c r="AG2563">
        <v>0</v>
      </c>
      <c r="AH2563" t="s">
        <v>31</v>
      </c>
      <c r="AI2563">
        <v>0</v>
      </c>
      <c r="AJ2563" t="s">
        <v>31</v>
      </c>
      <c r="AK2563">
        <v>0</v>
      </c>
      <c r="AL2563" t="s">
        <v>31</v>
      </c>
      <c r="AM2563">
        <v>0</v>
      </c>
      <c r="AN2563" t="s">
        <v>31</v>
      </c>
      <c r="AO2563">
        <v>0</v>
      </c>
      <c r="AP2563" t="s">
        <v>31</v>
      </c>
      <c r="AQ2563">
        <v>0</v>
      </c>
    </row>
    <row r="2564" spans="1:43" x14ac:dyDescent="0.2">
      <c r="A2564" t="s">
        <v>381</v>
      </c>
      <c r="B2564" s="3">
        <v>44260</v>
      </c>
      <c r="C2564">
        <v>28</v>
      </c>
      <c r="D2564" t="s">
        <v>384</v>
      </c>
      <c r="E2564" t="s">
        <v>83</v>
      </c>
      <c r="F2564" s="9" t="s">
        <v>84</v>
      </c>
      <c r="G2564" t="s">
        <v>26</v>
      </c>
      <c r="H2564" t="s">
        <v>85</v>
      </c>
      <c r="I2564" t="s">
        <v>86</v>
      </c>
      <c r="J2564" t="s">
        <v>43</v>
      </c>
      <c r="K2564" t="s">
        <v>44</v>
      </c>
      <c r="L2564" t="s">
        <v>53</v>
      </c>
      <c r="M2564" t="s">
        <v>54</v>
      </c>
      <c r="N2564" t="s">
        <v>85</v>
      </c>
      <c r="O2564" t="s">
        <v>86</v>
      </c>
      <c r="P2564" t="s">
        <v>43</v>
      </c>
      <c r="Q2564" t="s">
        <v>44</v>
      </c>
      <c r="R2564" s="1">
        <v>44260.388113425928</v>
      </c>
      <c r="S2564" s="1">
        <v>44260.388113425928</v>
      </c>
      <c r="T2564">
        <v>0</v>
      </c>
      <c r="U2564">
        <v>1</v>
      </c>
      <c r="V2564" s="2">
        <v>0</v>
      </c>
      <c r="W2564">
        <v>0</v>
      </c>
      <c r="X2564" t="s">
        <v>44</v>
      </c>
      <c r="Y2564">
        <v>0</v>
      </c>
      <c r="Z2564" t="s">
        <v>31</v>
      </c>
      <c r="AA2564">
        <v>0</v>
      </c>
      <c r="AB2564" t="s">
        <v>31</v>
      </c>
      <c r="AC2564">
        <v>0</v>
      </c>
      <c r="AD2564" t="s">
        <v>31</v>
      </c>
      <c r="AE2564">
        <v>0</v>
      </c>
      <c r="AF2564" t="s">
        <v>31</v>
      </c>
      <c r="AG2564">
        <v>0</v>
      </c>
      <c r="AH2564" t="s">
        <v>31</v>
      </c>
      <c r="AI2564">
        <v>0</v>
      </c>
      <c r="AJ2564" t="s">
        <v>31</v>
      </c>
      <c r="AK2564">
        <v>0</v>
      </c>
      <c r="AL2564" t="s">
        <v>31</v>
      </c>
      <c r="AM2564">
        <v>0</v>
      </c>
      <c r="AN2564" t="s">
        <v>31</v>
      </c>
      <c r="AO2564">
        <v>0</v>
      </c>
      <c r="AP2564" t="s">
        <v>31</v>
      </c>
      <c r="AQ2564">
        <v>0</v>
      </c>
    </row>
    <row r="2565" spans="1:43" x14ac:dyDescent="0.2">
      <c r="A2565" t="s">
        <v>381</v>
      </c>
      <c r="B2565" s="3">
        <v>44263</v>
      </c>
      <c r="C2565">
        <v>29</v>
      </c>
      <c r="D2565" t="s">
        <v>384</v>
      </c>
      <c r="E2565" t="s">
        <v>83</v>
      </c>
      <c r="F2565" s="9" t="s">
        <v>84</v>
      </c>
      <c r="G2565" t="s">
        <v>26</v>
      </c>
      <c r="H2565" t="s">
        <v>85</v>
      </c>
      <c r="I2565" t="s">
        <v>86</v>
      </c>
      <c r="J2565" t="s">
        <v>43</v>
      </c>
      <c r="K2565" t="s">
        <v>44</v>
      </c>
      <c r="L2565" t="s">
        <v>53</v>
      </c>
      <c r="M2565" t="s">
        <v>54</v>
      </c>
      <c r="N2565" t="s">
        <v>85</v>
      </c>
      <c r="O2565" t="s">
        <v>86</v>
      </c>
      <c r="P2565" t="s">
        <v>43</v>
      </c>
      <c r="Q2565" t="s">
        <v>44</v>
      </c>
      <c r="R2565" s="1">
        <v>44263.391192129631</v>
      </c>
      <c r="S2565" s="1">
        <v>44263.391192129631</v>
      </c>
      <c r="T2565">
        <v>0</v>
      </c>
      <c r="U2565">
        <v>1</v>
      </c>
      <c r="V2565" s="2">
        <v>0</v>
      </c>
      <c r="W2565">
        <v>0</v>
      </c>
      <c r="X2565" t="s">
        <v>44</v>
      </c>
      <c r="Y2565">
        <v>0</v>
      </c>
      <c r="Z2565" t="s">
        <v>31</v>
      </c>
      <c r="AA2565">
        <v>0</v>
      </c>
      <c r="AB2565" t="s">
        <v>31</v>
      </c>
      <c r="AC2565">
        <v>0</v>
      </c>
      <c r="AD2565" t="s">
        <v>31</v>
      </c>
      <c r="AE2565">
        <v>0</v>
      </c>
      <c r="AF2565" t="s">
        <v>31</v>
      </c>
      <c r="AG2565">
        <v>0</v>
      </c>
      <c r="AH2565" t="s">
        <v>31</v>
      </c>
      <c r="AI2565">
        <v>0</v>
      </c>
      <c r="AJ2565" t="s">
        <v>31</v>
      </c>
      <c r="AK2565">
        <v>0</v>
      </c>
      <c r="AL2565" t="s">
        <v>31</v>
      </c>
      <c r="AM2565">
        <v>0</v>
      </c>
      <c r="AN2565" t="s">
        <v>31</v>
      </c>
      <c r="AO2565">
        <v>0</v>
      </c>
      <c r="AP2565" t="s">
        <v>31</v>
      </c>
      <c r="AQ2565">
        <v>0</v>
      </c>
    </row>
    <row r="2566" spans="1:43" x14ac:dyDescent="0.2">
      <c r="A2566" t="s">
        <v>381</v>
      </c>
      <c r="B2566" s="3">
        <v>44264</v>
      </c>
      <c r="C2566">
        <v>30</v>
      </c>
      <c r="D2566" t="s">
        <v>382</v>
      </c>
      <c r="E2566" t="s">
        <v>83</v>
      </c>
      <c r="F2566" s="9" t="s">
        <v>84</v>
      </c>
      <c r="G2566" t="s">
        <v>26</v>
      </c>
      <c r="H2566" t="s">
        <v>85</v>
      </c>
      <c r="I2566" t="s">
        <v>86</v>
      </c>
      <c r="J2566" t="s">
        <v>43</v>
      </c>
      <c r="K2566" t="s">
        <v>44</v>
      </c>
      <c r="L2566" t="s">
        <v>53</v>
      </c>
      <c r="M2566" t="s">
        <v>54</v>
      </c>
      <c r="N2566" t="s">
        <v>85</v>
      </c>
      <c r="O2566" t="s">
        <v>86</v>
      </c>
      <c r="P2566" t="s">
        <v>43</v>
      </c>
      <c r="Q2566" t="s">
        <v>44</v>
      </c>
      <c r="R2566" s="1">
        <v>44264.383391203701</v>
      </c>
      <c r="S2566" s="1">
        <v>44264.45207175926</v>
      </c>
      <c r="T2566">
        <v>0</v>
      </c>
      <c r="U2566">
        <v>2</v>
      </c>
      <c r="V2566" s="2">
        <v>0</v>
      </c>
      <c r="W2566">
        <v>0</v>
      </c>
      <c r="X2566" t="s">
        <v>44</v>
      </c>
      <c r="Y2566">
        <v>0</v>
      </c>
      <c r="Z2566" t="s">
        <v>44</v>
      </c>
      <c r="AA2566">
        <v>0</v>
      </c>
      <c r="AB2566" t="s">
        <v>31</v>
      </c>
      <c r="AC2566">
        <v>0</v>
      </c>
      <c r="AD2566" t="s">
        <v>31</v>
      </c>
      <c r="AE2566">
        <v>0</v>
      </c>
      <c r="AF2566" t="s">
        <v>31</v>
      </c>
      <c r="AG2566">
        <v>0</v>
      </c>
      <c r="AH2566" t="s">
        <v>31</v>
      </c>
      <c r="AI2566">
        <v>0</v>
      </c>
      <c r="AJ2566" t="s">
        <v>31</v>
      </c>
      <c r="AK2566">
        <v>0</v>
      </c>
      <c r="AL2566" t="s">
        <v>31</v>
      </c>
      <c r="AM2566">
        <v>0</v>
      </c>
      <c r="AN2566" t="s">
        <v>31</v>
      </c>
      <c r="AO2566">
        <v>0</v>
      </c>
      <c r="AP2566" t="s">
        <v>31</v>
      </c>
      <c r="AQ2566">
        <v>0</v>
      </c>
    </row>
    <row r="2567" spans="1:43" x14ac:dyDescent="0.2">
      <c r="A2567" t="s">
        <v>381</v>
      </c>
      <c r="B2567" s="3">
        <v>44264</v>
      </c>
      <c r="C2567">
        <v>31</v>
      </c>
      <c r="D2567" t="s">
        <v>385</v>
      </c>
      <c r="E2567" t="s">
        <v>83</v>
      </c>
      <c r="F2567" s="9" t="s">
        <v>84</v>
      </c>
      <c r="G2567" t="s">
        <v>26</v>
      </c>
      <c r="H2567" t="s">
        <v>85</v>
      </c>
      <c r="I2567" t="s">
        <v>86</v>
      </c>
      <c r="J2567" t="s">
        <v>43</v>
      </c>
      <c r="K2567" t="s">
        <v>44</v>
      </c>
      <c r="L2567" t="s">
        <v>53</v>
      </c>
      <c r="M2567" t="s">
        <v>54</v>
      </c>
      <c r="N2567" t="s">
        <v>85</v>
      </c>
      <c r="O2567" t="s">
        <v>86</v>
      </c>
      <c r="P2567" t="s">
        <v>43</v>
      </c>
      <c r="Q2567" t="s">
        <v>44</v>
      </c>
      <c r="R2567" s="1">
        <v>44264.578067129631</v>
      </c>
      <c r="S2567" s="1">
        <v>44264.643541666665</v>
      </c>
      <c r="T2567">
        <v>0</v>
      </c>
      <c r="U2567">
        <v>3</v>
      </c>
      <c r="V2567" s="2">
        <v>0</v>
      </c>
      <c r="W2567">
        <v>0</v>
      </c>
      <c r="X2567" t="s">
        <v>44</v>
      </c>
      <c r="Y2567">
        <v>0</v>
      </c>
      <c r="Z2567" t="s">
        <v>44</v>
      </c>
      <c r="AA2567">
        <v>0</v>
      </c>
      <c r="AB2567" t="s">
        <v>44</v>
      </c>
      <c r="AC2567">
        <v>0</v>
      </c>
      <c r="AD2567" t="s">
        <v>31</v>
      </c>
      <c r="AE2567">
        <v>0</v>
      </c>
      <c r="AF2567" t="s">
        <v>31</v>
      </c>
      <c r="AG2567">
        <v>0</v>
      </c>
      <c r="AH2567" t="s">
        <v>31</v>
      </c>
      <c r="AI2567">
        <v>0</v>
      </c>
      <c r="AJ2567" t="s">
        <v>31</v>
      </c>
      <c r="AK2567">
        <v>0</v>
      </c>
      <c r="AL2567" t="s">
        <v>31</v>
      </c>
      <c r="AM2567">
        <v>0</v>
      </c>
      <c r="AN2567" t="s">
        <v>31</v>
      </c>
      <c r="AO2567">
        <v>0</v>
      </c>
      <c r="AP2567" t="s">
        <v>31</v>
      </c>
      <c r="AQ2567">
        <v>0</v>
      </c>
    </row>
    <row r="2568" spans="1:43" x14ac:dyDescent="0.2">
      <c r="A2568" t="s">
        <v>381</v>
      </c>
      <c r="B2568" s="3">
        <v>44265</v>
      </c>
      <c r="C2568">
        <v>32</v>
      </c>
      <c r="D2568" t="s">
        <v>384</v>
      </c>
      <c r="E2568" t="s">
        <v>83</v>
      </c>
      <c r="F2568" s="9" t="s">
        <v>84</v>
      </c>
      <c r="G2568" t="s">
        <v>26</v>
      </c>
      <c r="H2568" t="s">
        <v>85</v>
      </c>
      <c r="I2568" t="s">
        <v>86</v>
      </c>
      <c r="J2568" t="s">
        <v>43</v>
      </c>
      <c r="K2568" t="s">
        <v>44</v>
      </c>
      <c r="L2568" t="s">
        <v>53</v>
      </c>
      <c r="M2568" t="s">
        <v>54</v>
      </c>
      <c r="N2568" t="s">
        <v>85</v>
      </c>
      <c r="O2568" t="s">
        <v>86</v>
      </c>
      <c r="P2568" t="s">
        <v>43</v>
      </c>
      <c r="Q2568" t="s">
        <v>44</v>
      </c>
      <c r="R2568" s="1">
        <v>44265.37909722222</v>
      </c>
      <c r="S2568" s="1">
        <v>44265.37909722222</v>
      </c>
      <c r="T2568">
        <v>0</v>
      </c>
      <c r="U2568">
        <v>1</v>
      </c>
      <c r="V2568" s="2">
        <v>0</v>
      </c>
      <c r="W2568">
        <v>0</v>
      </c>
      <c r="X2568" t="s">
        <v>44</v>
      </c>
      <c r="Y2568">
        <v>0</v>
      </c>
      <c r="Z2568" t="s">
        <v>31</v>
      </c>
      <c r="AA2568">
        <v>0</v>
      </c>
      <c r="AB2568" t="s">
        <v>31</v>
      </c>
      <c r="AC2568">
        <v>0</v>
      </c>
      <c r="AD2568" t="s">
        <v>31</v>
      </c>
      <c r="AE2568">
        <v>0</v>
      </c>
      <c r="AF2568" t="s">
        <v>31</v>
      </c>
      <c r="AG2568">
        <v>0</v>
      </c>
      <c r="AH2568" t="s">
        <v>31</v>
      </c>
      <c r="AI2568">
        <v>0</v>
      </c>
      <c r="AJ2568" t="s">
        <v>31</v>
      </c>
      <c r="AK2568">
        <v>0</v>
      </c>
      <c r="AL2568" t="s">
        <v>31</v>
      </c>
      <c r="AM2568">
        <v>0</v>
      </c>
      <c r="AN2568" t="s">
        <v>31</v>
      </c>
      <c r="AO2568">
        <v>0</v>
      </c>
      <c r="AP2568" t="s">
        <v>31</v>
      </c>
      <c r="AQ2568">
        <v>0</v>
      </c>
    </row>
    <row r="2569" spans="1:43" x14ac:dyDescent="0.2">
      <c r="A2569" t="s">
        <v>381</v>
      </c>
      <c r="B2569" s="3">
        <v>44266</v>
      </c>
      <c r="C2569">
        <v>33</v>
      </c>
      <c r="D2569" t="s">
        <v>385</v>
      </c>
      <c r="E2569" t="s">
        <v>83</v>
      </c>
      <c r="F2569" s="9" t="s">
        <v>84</v>
      </c>
      <c r="G2569" t="s">
        <v>26</v>
      </c>
      <c r="H2569" t="s">
        <v>85</v>
      </c>
      <c r="I2569" t="s">
        <v>86</v>
      </c>
      <c r="J2569" t="s">
        <v>43</v>
      </c>
      <c r="K2569" t="s">
        <v>44</v>
      </c>
      <c r="L2569" t="s">
        <v>53</v>
      </c>
      <c r="M2569" t="s">
        <v>54</v>
      </c>
      <c r="N2569" t="s">
        <v>85</v>
      </c>
      <c r="O2569" t="s">
        <v>86</v>
      </c>
      <c r="P2569" t="s">
        <v>43</v>
      </c>
      <c r="Q2569" t="s">
        <v>44</v>
      </c>
      <c r="R2569" s="1">
        <v>44266.386504629627</v>
      </c>
      <c r="S2569" s="1">
        <v>44266.456122685187</v>
      </c>
      <c r="T2569">
        <v>0</v>
      </c>
      <c r="U2569">
        <v>2</v>
      </c>
      <c r="V2569" s="2">
        <v>0</v>
      </c>
      <c r="W2569">
        <v>0</v>
      </c>
      <c r="X2569" t="s">
        <v>44</v>
      </c>
      <c r="Y2569">
        <v>0</v>
      </c>
      <c r="Z2569" t="s">
        <v>44</v>
      </c>
      <c r="AA2569">
        <v>0</v>
      </c>
      <c r="AB2569" t="s">
        <v>31</v>
      </c>
      <c r="AC2569">
        <v>0</v>
      </c>
      <c r="AD2569" t="s">
        <v>31</v>
      </c>
      <c r="AE2569">
        <v>0</v>
      </c>
      <c r="AF2569" t="s">
        <v>31</v>
      </c>
      <c r="AG2569">
        <v>0</v>
      </c>
      <c r="AH2569" t="s">
        <v>31</v>
      </c>
      <c r="AI2569">
        <v>0</v>
      </c>
      <c r="AJ2569" t="s">
        <v>31</v>
      </c>
      <c r="AK2569">
        <v>0</v>
      </c>
      <c r="AL2569" t="s">
        <v>31</v>
      </c>
      <c r="AM2569">
        <v>0</v>
      </c>
      <c r="AN2569" t="s">
        <v>31</v>
      </c>
      <c r="AO2569">
        <v>0</v>
      </c>
      <c r="AP2569" t="s">
        <v>31</v>
      </c>
      <c r="AQ2569">
        <v>0</v>
      </c>
    </row>
    <row r="2570" spans="1:43" x14ac:dyDescent="0.2">
      <c r="A2570" t="s">
        <v>381</v>
      </c>
      <c r="B2570" s="3">
        <v>44266</v>
      </c>
      <c r="C2570">
        <v>34</v>
      </c>
      <c r="D2570" t="s">
        <v>385</v>
      </c>
      <c r="E2570" t="s">
        <v>83</v>
      </c>
      <c r="F2570" s="9" t="s">
        <v>84</v>
      </c>
      <c r="G2570" t="s">
        <v>26</v>
      </c>
      <c r="H2570" t="s">
        <v>85</v>
      </c>
      <c r="I2570" t="s">
        <v>86</v>
      </c>
      <c r="J2570" t="s">
        <v>43</v>
      </c>
      <c r="K2570" t="s">
        <v>44</v>
      </c>
      <c r="L2570" t="s">
        <v>53</v>
      </c>
      <c r="M2570" t="s">
        <v>54</v>
      </c>
      <c r="N2570" t="s">
        <v>85</v>
      </c>
      <c r="O2570" t="s">
        <v>86</v>
      </c>
      <c r="P2570" t="s">
        <v>43</v>
      </c>
      <c r="Q2570" t="s">
        <v>44</v>
      </c>
      <c r="R2570" s="1">
        <v>44266.66238425926</v>
      </c>
      <c r="S2570" s="1">
        <v>44266.66238425926</v>
      </c>
      <c r="T2570">
        <v>0</v>
      </c>
      <c r="U2570">
        <v>1</v>
      </c>
      <c r="V2570" s="2">
        <v>0</v>
      </c>
      <c r="W2570">
        <v>0</v>
      </c>
      <c r="X2570" t="s">
        <v>44</v>
      </c>
      <c r="Y2570">
        <v>0</v>
      </c>
      <c r="Z2570" t="s">
        <v>31</v>
      </c>
      <c r="AA2570">
        <v>0</v>
      </c>
      <c r="AB2570" t="s">
        <v>31</v>
      </c>
      <c r="AC2570">
        <v>0</v>
      </c>
      <c r="AD2570" t="s">
        <v>31</v>
      </c>
      <c r="AE2570">
        <v>0</v>
      </c>
      <c r="AF2570" t="s">
        <v>31</v>
      </c>
      <c r="AG2570">
        <v>0</v>
      </c>
      <c r="AH2570" t="s">
        <v>31</v>
      </c>
      <c r="AI2570">
        <v>0</v>
      </c>
      <c r="AJ2570" t="s">
        <v>31</v>
      </c>
      <c r="AK2570">
        <v>0</v>
      </c>
      <c r="AL2570" t="s">
        <v>31</v>
      </c>
      <c r="AM2570">
        <v>0</v>
      </c>
      <c r="AN2570" t="s">
        <v>31</v>
      </c>
      <c r="AO2570">
        <v>0</v>
      </c>
      <c r="AP2570" t="s">
        <v>31</v>
      </c>
      <c r="AQ2570">
        <v>0</v>
      </c>
    </row>
    <row r="2571" spans="1:43" x14ac:dyDescent="0.2">
      <c r="A2571" t="s">
        <v>381</v>
      </c>
      <c r="B2571" s="3">
        <v>44270</v>
      </c>
      <c r="C2571">
        <v>35</v>
      </c>
      <c r="D2571" t="s">
        <v>384</v>
      </c>
      <c r="E2571" t="s">
        <v>83</v>
      </c>
      <c r="F2571" s="9" t="s">
        <v>84</v>
      </c>
      <c r="G2571" t="s">
        <v>26</v>
      </c>
      <c r="H2571" t="s">
        <v>85</v>
      </c>
      <c r="I2571" t="s">
        <v>86</v>
      </c>
      <c r="J2571" t="s">
        <v>43</v>
      </c>
      <c r="K2571" t="s">
        <v>44</v>
      </c>
      <c r="L2571" t="s">
        <v>53</v>
      </c>
      <c r="M2571" t="s">
        <v>54</v>
      </c>
      <c r="N2571" t="s">
        <v>85</v>
      </c>
      <c r="O2571" t="s">
        <v>86</v>
      </c>
      <c r="P2571" t="s">
        <v>43</v>
      </c>
      <c r="Q2571" t="s">
        <v>44</v>
      </c>
      <c r="R2571" s="1">
        <v>44270.413541666669</v>
      </c>
      <c r="S2571" s="1">
        <v>44270.413541666669</v>
      </c>
      <c r="T2571">
        <v>0</v>
      </c>
      <c r="U2571">
        <v>1</v>
      </c>
      <c r="V2571" s="2">
        <v>0</v>
      </c>
      <c r="W2571">
        <v>0</v>
      </c>
      <c r="X2571" t="s">
        <v>44</v>
      </c>
      <c r="Y2571">
        <v>0</v>
      </c>
      <c r="Z2571" t="s">
        <v>31</v>
      </c>
      <c r="AA2571">
        <v>0</v>
      </c>
      <c r="AB2571" t="s">
        <v>31</v>
      </c>
      <c r="AC2571">
        <v>0</v>
      </c>
      <c r="AD2571" t="s">
        <v>31</v>
      </c>
      <c r="AE2571">
        <v>0</v>
      </c>
      <c r="AF2571" t="s">
        <v>31</v>
      </c>
      <c r="AG2571">
        <v>0</v>
      </c>
      <c r="AH2571" t="s">
        <v>31</v>
      </c>
      <c r="AI2571">
        <v>0</v>
      </c>
      <c r="AJ2571" t="s">
        <v>31</v>
      </c>
      <c r="AK2571">
        <v>0</v>
      </c>
      <c r="AL2571" t="s">
        <v>31</v>
      </c>
      <c r="AM2571">
        <v>0</v>
      </c>
      <c r="AN2571" t="s">
        <v>31</v>
      </c>
      <c r="AO2571">
        <v>0</v>
      </c>
      <c r="AP2571" t="s">
        <v>31</v>
      </c>
      <c r="AQ2571">
        <v>0</v>
      </c>
    </row>
    <row r="2572" spans="1:43" x14ac:dyDescent="0.2">
      <c r="A2572" t="s">
        <v>381</v>
      </c>
      <c r="B2572" s="3">
        <v>44271</v>
      </c>
      <c r="C2572">
        <v>36</v>
      </c>
      <c r="D2572" t="s">
        <v>385</v>
      </c>
      <c r="E2572" t="s">
        <v>83</v>
      </c>
      <c r="F2572" s="9" t="s">
        <v>84</v>
      </c>
      <c r="G2572" t="s">
        <v>26</v>
      </c>
      <c r="H2572" t="s">
        <v>85</v>
      </c>
      <c r="I2572" t="s">
        <v>86</v>
      </c>
      <c r="J2572" t="s">
        <v>43</v>
      </c>
      <c r="K2572" t="s">
        <v>44</v>
      </c>
      <c r="L2572" t="s">
        <v>53</v>
      </c>
      <c r="M2572" t="s">
        <v>54</v>
      </c>
      <c r="N2572" t="s">
        <v>85</v>
      </c>
      <c r="O2572" t="s">
        <v>86</v>
      </c>
      <c r="P2572" t="s">
        <v>43</v>
      </c>
      <c r="Q2572" t="s">
        <v>44</v>
      </c>
      <c r="R2572" s="1">
        <v>44271.383333333331</v>
      </c>
      <c r="S2572" s="1">
        <v>44271.383333333331</v>
      </c>
      <c r="T2572">
        <v>0</v>
      </c>
      <c r="U2572">
        <v>1</v>
      </c>
      <c r="V2572" s="2">
        <v>0</v>
      </c>
      <c r="W2572">
        <v>0</v>
      </c>
      <c r="X2572" t="s">
        <v>44</v>
      </c>
      <c r="Y2572">
        <v>0</v>
      </c>
      <c r="Z2572" t="s">
        <v>31</v>
      </c>
      <c r="AA2572">
        <v>0</v>
      </c>
      <c r="AB2572" t="s">
        <v>31</v>
      </c>
      <c r="AC2572">
        <v>0</v>
      </c>
      <c r="AD2572" t="s">
        <v>31</v>
      </c>
      <c r="AE2572">
        <v>0</v>
      </c>
      <c r="AF2572" t="s">
        <v>31</v>
      </c>
      <c r="AG2572">
        <v>0</v>
      </c>
      <c r="AH2572" t="s">
        <v>31</v>
      </c>
      <c r="AI2572">
        <v>0</v>
      </c>
      <c r="AJ2572" t="s">
        <v>31</v>
      </c>
      <c r="AK2572">
        <v>0</v>
      </c>
      <c r="AL2572" t="s">
        <v>31</v>
      </c>
      <c r="AM2572">
        <v>0</v>
      </c>
      <c r="AN2572" t="s">
        <v>31</v>
      </c>
      <c r="AO2572">
        <v>0</v>
      </c>
      <c r="AP2572" t="s">
        <v>31</v>
      </c>
      <c r="AQ2572">
        <v>0</v>
      </c>
    </row>
    <row r="2573" spans="1:43" x14ac:dyDescent="0.2">
      <c r="A2573" t="s">
        <v>381</v>
      </c>
      <c r="B2573" s="3">
        <v>44271</v>
      </c>
      <c r="C2573">
        <v>37</v>
      </c>
      <c r="D2573" t="s">
        <v>385</v>
      </c>
      <c r="E2573" t="s">
        <v>83</v>
      </c>
      <c r="F2573" s="9" t="s">
        <v>84</v>
      </c>
      <c r="G2573" t="s">
        <v>26</v>
      </c>
      <c r="H2573" t="s">
        <v>85</v>
      </c>
      <c r="I2573" t="s">
        <v>86</v>
      </c>
      <c r="J2573" t="s">
        <v>43</v>
      </c>
      <c r="K2573" t="s">
        <v>44</v>
      </c>
      <c r="L2573" t="s">
        <v>53</v>
      </c>
      <c r="M2573" t="s">
        <v>54</v>
      </c>
      <c r="N2573" t="s">
        <v>85</v>
      </c>
      <c r="O2573" t="s">
        <v>86</v>
      </c>
      <c r="P2573" t="s">
        <v>43</v>
      </c>
      <c r="Q2573" t="s">
        <v>44</v>
      </c>
      <c r="R2573" s="1">
        <v>44271.542743055557</v>
      </c>
      <c r="S2573" s="1">
        <v>44271.630439814813</v>
      </c>
      <c r="T2573">
        <v>0</v>
      </c>
      <c r="U2573">
        <v>2</v>
      </c>
      <c r="V2573" s="2">
        <v>0</v>
      </c>
      <c r="W2573">
        <v>0</v>
      </c>
      <c r="X2573" t="s">
        <v>44</v>
      </c>
      <c r="Y2573">
        <v>0</v>
      </c>
      <c r="Z2573" t="s">
        <v>44</v>
      </c>
      <c r="AA2573">
        <v>0</v>
      </c>
      <c r="AB2573" t="s">
        <v>31</v>
      </c>
      <c r="AC2573">
        <v>0</v>
      </c>
      <c r="AD2573" t="s">
        <v>31</v>
      </c>
      <c r="AE2573">
        <v>0</v>
      </c>
      <c r="AF2573" t="s">
        <v>31</v>
      </c>
      <c r="AG2573">
        <v>0</v>
      </c>
      <c r="AH2573" t="s">
        <v>31</v>
      </c>
      <c r="AI2573">
        <v>0</v>
      </c>
      <c r="AJ2573" t="s">
        <v>31</v>
      </c>
      <c r="AK2573">
        <v>0</v>
      </c>
      <c r="AL2573" t="s">
        <v>31</v>
      </c>
      <c r="AM2573">
        <v>0</v>
      </c>
      <c r="AN2573" t="s">
        <v>31</v>
      </c>
      <c r="AO2573">
        <v>0</v>
      </c>
      <c r="AP2573" t="s">
        <v>31</v>
      </c>
      <c r="AQ2573">
        <v>0</v>
      </c>
    </row>
    <row r="2574" spans="1:43" x14ac:dyDescent="0.2">
      <c r="A2574" t="s">
        <v>381</v>
      </c>
      <c r="B2574" s="3">
        <v>44272</v>
      </c>
      <c r="C2574">
        <v>38</v>
      </c>
      <c r="D2574" t="s">
        <v>384</v>
      </c>
      <c r="E2574" t="s">
        <v>83</v>
      </c>
      <c r="F2574" s="9" t="s">
        <v>84</v>
      </c>
      <c r="G2574" t="s">
        <v>26</v>
      </c>
      <c r="H2574" t="s">
        <v>85</v>
      </c>
      <c r="I2574" t="s">
        <v>86</v>
      </c>
      <c r="J2574" t="s">
        <v>43</v>
      </c>
      <c r="K2574" t="s">
        <v>44</v>
      </c>
      <c r="L2574" t="s">
        <v>53</v>
      </c>
      <c r="M2574" t="s">
        <v>54</v>
      </c>
      <c r="N2574" t="s">
        <v>85</v>
      </c>
      <c r="O2574" t="s">
        <v>86</v>
      </c>
      <c r="P2574" t="s">
        <v>43</v>
      </c>
      <c r="Q2574" t="s">
        <v>44</v>
      </c>
      <c r="R2574" s="1">
        <v>44272.39234953704</v>
      </c>
      <c r="S2574" s="1">
        <v>44272.39234953704</v>
      </c>
      <c r="T2574">
        <v>0</v>
      </c>
      <c r="U2574">
        <v>1</v>
      </c>
      <c r="V2574" s="2">
        <v>0</v>
      </c>
      <c r="W2574">
        <v>0</v>
      </c>
      <c r="X2574" t="s">
        <v>44</v>
      </c>
      <c r="Y2574">
        <v>0</v>
      </c>
      <c r="Z2574" t="s">
        <v>31</v>
      </c>
      <c r="AA2574">
        <v>0</v>
      </c>
      <c r="AB2574" t="s">
        <v>31</v>
      </c>
      <c r="AC2574">
        <v>0</v>
      </c>
      <c r="AD2574" t="s">
        <v>31</v>
      </c>
      <c r="AE2574">
        <v>0</v>
      </c>
      <c r="AF2574" t="s">
        <v>31</v>
      </c>
      <c r="AG2574">
        <v>0</v>
      </c>
      <c r="AH2574" t="s">
        <v>31</v>
      </c>
      <c r="AI2574">
        <v>0</v>
      </c>
      <c r="AJ2574" t="s">
        <v>31</v>
      </c>
      <c r="AK2574">
        <v>0</v>
      </c>
      <c r="AL2574" t="s">
        <v>31</v>
      </c>
      <c r="AM2574">
        <v>0</v>
      </c>
      <c r="AN2574" t="s">
        <v>31</v>
      </c>
      <c r="AO2574">
        <v>0</v>
      </c>
      <c r="AP2574" t="s">
        <v>31</v>
      </c>
      <c r="AQ2574">
        <v>0</v>
      </c>
    </row>
    <row r="2575" spans="1:43" x14ac:dyDescent="0.2">
      <c r="A2575" t="s">
        <v>381</v>
      </c>
      <c r="B2575" s="3">
        <v>44273</v>
      </c>
      <c r="C2575">
        <v>39</v>
      </c>
      <c r="D2575" t="s">
        <v>385</v>
      </c>
      <c r="E2575" t="s">
        <v>83</v>
      </c>
      <c r="F2575" s="9" t="s">
        <v>84</v>
      </c>
      <c r="G2575" t="s">
        <v>26</v>
      </c>
      <c r="H2575" t="s">
        <v>85</v>
      </c>
      <c r="I2575" t="s">
        <v>86</v>
      </c>
      <c r="J2575" t="s">
        <v>43</v>
      </c>
      <c r="K2575" t="s">
        <v>44</v>
      </c>
      <c r="L2575" t="s">
        <v>53</v>
      </c>
      <c r="M2575" t="s">
        <v>54</v>
      </c>
      <c r="N2575" t="s">
        <v>85</v>
      </c>
      <c r="O2575" t="s">
        <v>86</v>
      </c>
      <c r="P2575" t="s">
        <v>43</v>
      </c>
      <c r="Q2575" t="s">
        <v>44</v>
      </c>
      <c r="R2575" s="1">
        <v>44273.413819444446</v>
      </c>
      <c r="S2575" s="1">
        <v>44273.413819444446</v>
      </c>
      <c r="T2575">
        <v>0</v>
      </c>
      <c r="U2575">
        <v>1</v>
      </c>
      <c r="V2575" s="2">
        <v>0</v>
      </c>
      <c r="W2575">
        <v>0</v>
      </c>
      <c r="X2575" t="s">
        <v>44</v>
      </c>
      <c r="Y2575">
        <v>0</v>
      </c>
      <c r="Z2575" t="s">
        <v>31</v>
      </c>
      <c r="AA2575">
        <v>0</v>
      </c>
      <c r="AB2575" t="s">
        <v>31</v>
      </c>
      <c r="AC2575">
        <v>0</v>
      </c>
      <c r="AD2575" t="s">
        <v>31</v>
      </c>
      <c r="AE2575">
        <v>0</v>
      </c>
      <c r="AF2575" t="s">
        <v>31</v>
      </c>
      <c r="AG2575">
        <v>0</v>
      </c>
      <c r="AH2575" t="s">
        <v>31</v>
      </c>
      <c r="AI2575">
        <v>0</v>
      </c>
      <c r="AJ2575" t="s">
        <v>31</v>
      </c>
      <c r="AK2575">
        <v>0</v>
      </c>
      <c r="AL2575" t="s">
        <v>31</v>
      </c>
      <c r="AM2575">
        <v>0</v>
      </c>
      <c r="AN2575" t="s">
        <v>31</v>
      </c>
      <c r="AO2575">
        <v>0</v>
      </c>
      <c r="AP2575" t="s">
        <v>31</v>
      </c>
      <c r="AQ2575">
        <v>0</v>
      </c>
    </row>
    <row r="2576" spans="1:43" x14ac:dyDescent="0.2">
      <c r="A2576" t="s">
        <v>381</v>
      </c>
      <c r="B2576" s="3">
        <v>44273</v>
      </c>
      <c r="C2576">
        <v>40</v>
      </c>
      <c r="D2576" t="s">
        <v>385</v>
      </c>
      <c r="E2576" t="s">
        <v>83</v>
      </c>
      <c r="F2576" s="9" t="s">
        <v>84</v>
      </c>
      <c r="G2576" t="s">
        <v>26</v>
      </c>
      <c r="H2576" t="s">
        <v>85</v>
      </c>
      <c r="I2576" t="s">
        <v>86</v>
      </c>
      <c r="J2576" t="s">
        <v>43</v>
      </c>
      <c r="K2576" t="s">
        <v>44</v>
      </c>
      <c r="L2576" t="s">
        <v>53</v>
      </c>
      <c r="M2576" t="s">
        <v>54</v>
      </c>
      <c r="N2576" t="s">
        <v>85</v>
      </c>
      <c r="O2576" t="s">
        <v>86</v>
      </c>
      <c r="P2576" t="s">
        <v>43</v>
      </c>
      <c r="Q2576" t="s">
        <v>44</v>
      </c>
      <c r="R2576" s="1">
        <v>44273.565648148149</v>
      </c>
      <c r="S2576" s="1">
        <v>44273.565752314818</v>
      </c>
      <c r="T2576">
        <v>0</v>
      </c>
      <c r="U2576">
        <v>2</v>
      </c>
      <c r="V2576" s="2">
        <v>0</v>
      </c>
      <c r="W2576">
        <v>0</v>
      </c>
      <c r="X2576" t="s">
        <v>44</v>
      </c>
      <c r="Y2576">
        <v>0</v>
      </c>
      <c r="Z2576" t="s">
        <v>44</v>
      </c>
      <c r="AA2576">
        <v>0</v>
      </c>
      <c r="AB2576" t="s">
        <v>31</v>
      </c>
      <c r="AC2576">
        <v>0</v>
      </c>
      <c r="AD2576" t="s">
        <v>31</v>
      </c>
      <c r="AE2576">
        <v>0</v>
      </c>
      <c r="AF2576" t="s">
        <v>31</v>
      </c>
      <c r="AG2576">
        <v>0</v>
      </c>
      <c r="AH2576" t="s">
        <v>31</v>
      </c>
      <c r="AI2576">
        <v>0</v>
      </c>
      <c r="AJ2576" t="s">
        <v>31</v>
      </c>
      <c r="AK2576">
        <v>0</v>
      </c>
      <c r="AL2576" t="s">
        <v>31</v>
      </c>
      <c r="AM2576">
        <v>0</v>
      </c>
      <c r="AN2576" t="s">
        <v>31</v>
      </c>
      <c r="AO2576">
        <v>0</v>
      </c>
      <c r="AP2576" t="s">
        <v>31</v>
      </c>
      <c r="AQ2576">
        <v>0</v>
      </c>
    </row>
    <row r="2577" spans="1:43" x14ac:dyDescent="0.2">
      <c r="A2577" t="s">
        <v>381</v>
      </c>
      <c r="B2577" s="3">
        <v>44279</v>
      </c>
      <c r="C2577">
        <v>41</v>
      </c>
      <c r="D2577" t="s">
        <v>384</v>
      </c>
      <c r="E2577" t="s">
        <v>83</v>
      </c>
      <c r="F2577" s="9" t="s">
        <v>84</v>
      </c>
      <c r="G2577" t="s">
        <v>26</v>
      </c>
      <c r="H2577" t="s">
        <v>85</v>
      </c>
      <c r="I2577" t="s">
        <v>86</v>
      </c>
      <c r="J2577" t="s">
        <v>43</v>
      </c>
      <c r="K2577" t="s">
        <v>44</v>
      </c>
      <c r="L2577" t="s">
        <v>53</v>
      </c>
      <c r="M2577" t="s">
        <v>54</v>
      </c>
      <c r="N2577" t="s">
        <v>85</v>
      </c>
      <c r="O2577" t="s">
        <v>86</v>
      </c>
      <c r="P2577" t="s">
        <v>43</v>
      </c>
      <c r="Q2577" t="s">
        <v>44</v>
      </c>
      <c r="R2577" s="1">
        <v>44279.381331018521</v>
      </c>
      <c r="S2577" s="1">
        <v>44279.381331018521</v>
      </c>
      <c r="T2577">
        <v>0</v>
      </c>
      <c r="U2577">
        <v>1</v>
      </c>
      <c r="V2577" s="2">
        <v>0</v>
      </c>
      <c r="W2577">
        <v>0</v>
      </c>
      <c r="X2577" t="s">
        <v>44</v>
      </c>
      <c r="Y2577">
        <v>0</v>
      </c>
      <c r="Z2577" t="s">
        <v>31</v>
      </c>
      <c r="AA2577">
        <v>0</v>
      </c>
      <c r="AB2577" t="s">
        <v>31</v>
      </c>
      <c r="AC2577">
        <v>0</v>
      </c>
      <c r="AD2577" t="s">
        <v>31</v>
      </c>
      <c r="AE2577">
        <v>0</v>
      </c>
      <c r="AF2577" t="s">
        <v>31</v>
      </c>
      <c r="AG2577">
        <v>0</v>
      </c>
      <c r="AH2577" t="s">
        <v>31</v>
      </c>
      <c r="AI2577">
        <v>0</v>
      </c>
      <c r="AJ2577" t="s">
        <v>31</v>
      </c>
      <c r="AK2577">
        <v>0</v>
      </c>
      <c r="AL2577" t="s">
        <v>31</v>
      </c>
      <c r="AM2577">
        <v>0</v>
      </c>
      <c r="AN2577" t="s">
        <v>31</v>
      </c>
      <c r="AO2577">
        <v>0</v>
      </c>
      <c r="AP2577" t="s">
        <v>31</v>
      </c>
      <c r="AQ2577">
        <v>0</v>
      </c>
    </row>
    <row r="2578" spans="1:43" x14ac:dyDescent="0.2">
      <c r="A2578" t="s">
        <v>381</v>
      </c>
      <c r="B2578" s="3">
        <v>44281</v>
      </c>
      <c r="C2578">
        <v>42</v>
      </c>
      <c r="D2578" t="s">
        <v>384</v>
      </c>
      <c r="E2578" t="s">
        <v>83</v>
      </c>
      <c r="F2578" s="9" t="s">
        <v>84</v>
      </c>
      <c r="G2578" t="s">
        <v>26</v>
      </c>
      <c r="H2578" t="s">
        <v>85</v>
      </c>
      <c r="I2578" t="s">
        <v>86</v>
      </c>
      <c r="J2578" t="s">
        <v>43</v>
      </c>
      <c r="K2578" t="s">
        <v>44</v>
      </c>
      <c r="L2578" t="s">
        <v>53</v>
      </c>
      <c r="M2578" t="s">
        <v>54</v>
      </c>
      <c r="N2578" t="s">
        <v>85</v>
      </c>
      <c r="O2578" t="s">
        <v>86</v>
      </c>
      <c r="P2578" t="s">
        <v>43</v>
      </c>
      <c r="Q2578" t="s">
        <v>44</v>
      </c>
      <c r="R2578" s="1">
        <v>44281.412893518522</v>
      </c>
      <c r="S2578" s="1">
        <v>44281.412893518522</v>
      </c>
      <c r="T2578">
        <v>1</v>
      </c>
      <c r="U2578">
        <v>1</v>
      </c>
      <c r="V2578" s="2">
        <v>1</v>
      </c>
      <c r="W2578">
        <v>1</v>
      </c>
      <c r="X2578" t="s">
        <v>54</v>
      </c>
      <c r="Y2578">
        <v>1</v>
      </c>
      <c r="Z2578" t="s">
        <v>31</v>
      </c>
      <c r="AA2578">
        <v>0</v>
      </c>
      <c r="AB2578" t="s">
        <v>31</v>
      </c>
      <c r="AC2578">
        <v>0</v>
      </c>
      <c r="AD2578" t="s">
        <v>31</v>
      </c>
      <c r="AE2578">
        <v>0</v>
      </c>
      <c r="AF2578" t="s">
        <v>31</v>
      </c>
      <c r="AG2578">
        <v>0</v>
      </c>
      <c r="AH2578" t="s">
        <v>31</v>
      </c>
      <c r="AI2578">
        <v>0</v>
      </c>
      <c r="AJ2578" t="s">
        <v>31</v>
      </c>
      <c r="AK2578">
        <v>0</v>
      </c>
      <c r="AL2578" t="s">
        <v>31</v>
      </c>
      <c r="AM2578">
        <v>0</v>
      </c>
      <c r="AN2578" t="s">
        <v>31</v>
      </c>
      <c r="AO2578">
        <v>0</v>
      </c>
      <c r="AP2578" t="s">
        <v>31</v>
      </c>
      <c r="AQ2578">
        <v>0</v>
      </c>
    </row>
    <row r="2579" spans="1:43" x14ac:dyDescent="0.2">
      <c r="A2579" t="s">
        <v>381</v>
      </c>
      <c r="B2579" s="3">
        <v>44284</v>
      </c>
      <c r="C2579">
        <v>43</v>
      </c>
      <c r="D2579" t="s">
        <v>384</v>
      </c>
      <c r="E2579" t="s">
        <v>83</v>
      </c>
      <c r="F2579" s="9" t="s">
        <v>84</v>
      </c>
      <c r="G2579" t="s">
        <v>26</v>
      </c>
      <c r="H2579" t="s">
        <v>85</v>
      </c>
      <c r="I2579" t="s">
        <v>86</v>
      </c>
      <c r="J2579" t="s">
        <v>43</v>
      </c>
      <c r="K2579" t="s">
        <v>44</v>
      </c>
      <c r="L2579" t="s">
        <v>53</v>
      </c>
      <c r="M2579" t="s">
        <v>54</v>
      </c>
      <c r="N2579" t="s">
        <v>85</v>
      </c>
      <c r="O2579" t="s">
        <v>86</v>
      </c>
      <c r="P2579" t="s">
        <v>43</v>
      </c>
      <c r="Q2579" t="s">
        <v>44</v>
      </c>
      <c r="R2579" s="1">
        <v>44284.375972222224</v>
      </c>
      <c r="S2579" s="1">
        <v>44284.375972222224</v>
      </c>
      <c r="T2579">
        <v>0</v>
      </c>
      <c r="U2579">
        <v>1</v>
      </c>
      <c r="V2579" s="2">
        <v>0</v>
      </c>
      <c r="W2579">
        <v>0</v>
      </c>
      <c r="X2579" t="s">
        <v>44</v>
      </c>
      <c r="Y2579">
        <v>0</v>
      </c>
      <c r="Z2579" t="s">
        <v>31</v>
      </c>
      <c r="AA2579">
        <v>0</v>
      </c>
      <c r="AB2579" t="s">
        <v>31</v>
      </c>
      <c r="AC2579">
        <v>0</v>
      </c>
      <c r="AD2579" t="s">
        <v>31</v>
      </c>
      <c r="AE2579">
        <v>0</v>
      </c>
      <c r="AF2579" t="s">
        <v>31</v>
      </c>
      <c r="AG2579">
        <v>0</v>
      </c>
      <c r="AH2579" t="s">
        <v>31</v>
      </c>
      <c r="AI2579">
        <v>0</v>
      </c>
      <c r="AJ2579" t="s">
        <v>31</v>
      </c>
      <c r="AK2579">
        <v>0</v>
      </c>
      <c r="AL2579" t="s">
        <v>31</v>
      </c>
      <c r="AM2579">
        <v>0</v>
      </c>
      <c r="AN2579" t="s">
        <v>31</v>
      </c>
      <c r="AO2579">
        <v>0</v>
      </c>
      <c r="AP2579" t="s">
        <v>31</v>
      </c>
      <c r="AQ2579">
        <v>0</v>
      </c>
    </row>
    <row r="2580" spans="1:43" x14ac:dyDescent="0.2">
      <c r="A2580" t="s">
        <v>381</v>
      </c>
      <c r="B2580" s="3">
        <v>44285</v>
      </c>
      <c r="C2580">
        <v>44</v>
      </c>
      <c r="D2580" t="s">
        <v>385</v>
      </c>
      <c r="E2580" t="s">
        <v>83</v>
      </c>
      <c r="F2580" s="9" t="s">
        <v>84</v>
      </c>
      <c r="G2580" t="s">
        <v>26</v>
      </c>
      <c r="H2580" t="s">
        <v>85</v>
      </c>
      <c r="I2580" t="s">
        <v>86</v>
      </c>
      <c r="J2580" t="s">
        <v>43</v>
      </c>
      <c r="K2580" t="s">
        <v>44</v>
      </c>
      <c r="L2580" t="s">
        <v>53</v>
      </c>
      <c r="M2580" t="s">
        <v>54</v>
      </c>
      <c r="N2580" t="s">
        <v>85</v>
      </c>
      <c r="O2580" t="s">
        <v>86</v>
      </c>
      <c r="P2580" t="s">
        <v>43</v>
      </c>
      <c r="Q2580" t="s">
        <v>44</v>
      </c>
      <c r="R2580" s="1">
        <v>44285.382187499999</v>
      </c>
      <c r="S2580" s="1">
        <v>44285.382187499999</v>
      </c>
      <c r="T2580">
        <v>0</v>
      </c>
      <c r="U2580">
        <v>3</v>
      </c>
      <c r="V2580" s="2">
        <v>0</v>
      </c>
      <c r="W2580">
        <v>0</v>
      </c>
      <c r="X2580" t="s">
        <v>44</v>
      </c>
      <c r="Y2580">
        <v>0</v>
      </c>
      <c r="Z2580" t="s">
        <v>44</v>
      </c>
      <c r="AA2580">
        <v>0</v>
      </c>
      <c r="AB2580" t="s">
        <v>44</v>
      </c>
      <c r="AC2580">
        <v>0</v>
      </c>
      <c r="AD2580" t="s">
        <v>31</v>
      </c>
      <c r="AE2580">
        <v>0</v>
      </c>
      <c r="AF2580" t="s">
        <v>31</v>
      </c>
      <c r="AG2580">
        <v>0</v>
      </c>
      <c r="AH2580" t="s">
        <v>31</v>
      </c>
      <c r="AI2580">
        <v>0</v>
      </c>
      <c r="AJ2580" t="s">
        <v>31</v>
      </c>
      <c r="AK2580">
        <v>0</v>
      </c>
      <c r="AL2580" t="s">
        <v>31</v>
      </c>
      <c r="AM2580">
        <v>0</v>
      </c>
      <c r="AN2580" t="s">
        <v>31</v>
      </c>
      <c r="AO2580">
        <v>0</v>
      </c>
      <c r="AP2580" t="s">
        <v>31</v>
      </c>
      <c r="AQ2580">
        <v>0</v>
      </c>
    </row>
    <row r="2581" spans="1:43" x14ac:dyDescent="0.2">
      <c r="A2581" t="s">
        <v>381</v>
      </c>
      <c r="B2581" s="3">
        <v>44285</v>
      </c>
      <c r="C2581">
        <v>45</v>
      </c>
      <c r="D2581" t="s">
        <v>385</v>
      </c>
      <c r="E2581" t="s">
        <v>83</v>
      </c>
      <c r="F2581" s="9" t="s">
        <v>84</v>
      </c>
      <c r="G2581" t="s">
        <v>26</v>
      </c>
      <c r="H2581" t="s">
        <v>85</v>
      </c>
      <c r="I2581" t="s">
        <v>86</v>
      </c>
      <c r="J2581" t="s">
        <v>43</v>
      </c>
      <c r="K2581" t="s">
        <v>44</v>
      </c>
      <c r="L2581" t="s">
        <v>53</v>
      </c>
      <c r="M2581" t="s">
        <v>54</v>
      </c>
      <c r="N2581" t="s">
        <v>85</v>
      </c>
      <c r="O2581" t="s">
        <v>86</v>
      </c>
      <c r="P2581" t="s">
        <v>43</v>
      </c>
      <c r="Q2581" t="s">
        <v>44</v>
      </c>
      <c r="R2581" s="1">
        <v>44285.603437500002</v>
      </c>
      <c r="S2581" s="1">
        <v>44285.603437500002</v>
      </c>
      <c r="T2581">
        <v>0</v>
      </c>
      <c r="U2581">
        <v>2</v>
      </c>
      <c r="V2581" s="2">
        <v>0</v>
      </c>
      <c r="W2581">
        <v>0</v>
      </c>
      <c r="X2581" t="s">
        <v>44</v>
      </c>
      <c r="Y2581">
        <v>0</v>
      </c>
      <c r="Z2581" t="s">
        <v>44</v>
      </c>
      <c r="AA2581">
        <v>0</v>
      </c>
      <c r="AB2581" t="s">
        <v>31</v>
      </c>
      <c r="AC2581">
        <v>0</v>
      </c>
      <c r="AD2581" t="s">
        <v>31</v>
      </c>
      <c r="AE2581">
        <v>0</v>
      </c>
      <c r="AF2581" t="s">
        <v>31</v>
      </c>
      <c r="AG2581">
        <v>0</v>
      </c>
      <c r="AH2581" t="s">
        <v>31</v>
      </c>
      <c r="AI2581">
        <v>0</v>
      </c>
      <c r="AJ2581" t="s">
        <v>31</v>
      </c>
      <c r="AK2581">
        <v>0</v>
      </c>
      <c r="AL2581" t="s">
        <v>31</v>
      </c>
      <c r="AM2581">
        <v>0</v>
      </c>
      <c r="AN2581" t="s">
        <v>31</v>
      </c>
      <c r="AO2581">
        <v>0</v>
      </c>
      <c r="AP2581" t="s">
        <v>31</v>
      </c>
      <c r="AQ2581">
        <v>0</v>
      </c>
    </row>
    <row r="2582" spans="1:43" x14ac:dyDescent="0.2">
      <c r="A2582" t="s">
        <v>381</v>
      </c>
      <c r="B2582" s="3">
        <v>44287</v>
      </c>
      <c r="C2582">
        <v>47</v>
      </c>
      <c r="D2582" t="s">
        <v>385</v>
      </c>
      <c r="E2582" t="s">
        <v>83</v>
      </c>
      <c r="F2582" s="9" t="s">
        <v>84</v>
      </c>
      <c r="G2582" t="s">
        <v>26</v>
      </c>
      <c r="H2582" t="s">
        <v>85</v>
      </c>
      <c r="I2582" t="s">
        <v>86</v>
      </c>
      <c r="J2582" t="s">
        <v>43</v>
      </c>
      <c r="K2582" t="s">
        <v>44</v>
      </c>
      <c r="L2582" t="s">
        <v>53</v>
      </c>
      <c r="M2582" t="s">
        <v>54</v>
      </c>
      <c r="N2582" t="s">
        <v>85</v>
      </c>
      <c r="O2582" t="s">
        <v>86</v>
      </c>
      <c r="P2582" t="s">
        <v>43</v>
      </c>
      <c r="Q2582" t="s">
        <v>44</v>
      </c>
      <c r="R2582" s="1">
        <v>44287.418287037035</v>
      </c>
      <c r="S2582" s="1">
        <v>44287.418287037035</v>
      </c>
      <c r="T2582">
        <v>0</v>
      </c>
      <c r="U2582">
        <v>1</v>
      </c>
      <c r="V2582" s="2">
        <v>0</v>
      </c>
      <c r="W2582">
        <v>0</v>
      </c>
      <c r="X2582" t="s">
        <v>44</v>
      </c>
      <c r="Y2582">
        <v>0</v>
      </c>
      <c r="Z2582" t="s">
        <v>31</v>
      </c>
      <c r="AA2582">
        <v>0</v>
      </c>
      <c r="AB2582" t="s">
        <v>31</v>
      </c>
      <c r="AC2582">
        <v>0</v>
      </c>
      <c r="AD2582" t="s">
        <v>31</v>
      </c>
      <c r="AE2582">
        <v>0</v>
      </c>
      <c r="AF2582" t="s">
        <v>31</v>
      </c>
      <c r="AG2582">
        <v>0</v>
      </c>
      <c r="AH2582" t="s">
        <v>31</v>
      </c>
      <c r="AI2582">
        <v>0</v>
      </c>
      <c r="AJ2582" t="s">
        <v>31</v>
      </c>
      <c r="AK2582">
        <v>0</v>
      </c>
      <c r="AL2582" t="s">
        <v>31</v>
      </c>
      <c r="AM2582">
        <v>0</v>
      </c>
      <c r="AN2582" t="s">
        <v>31</v>
      </c>
      <c r="AO2582">
        <v>0</v>
      </c>
      <c r="AP2582" t="s">
        <v>31</v>
      </c>
      <c r="AQ2582">
        <v>0</v>
      </c>
    </row>
    <row r="2583" spans="1:43" x14ac:dyDescent="0.2">
      <c r="A2583" t="s">
        <v>381</v>
      </c>
      <c r="B2583" s="3">
        <v>44287</v>
      </c>
      <c r="C2583">
        <v>48</v>
      </c>
      <c r="D2583" t="s">
        <v>385</v>
      </c>
      <c r="E2583" t="s">
        <v>83</v>
      </c>
      <c r="F2583" s="9" t="s">
        <v>84</v>
      </c>
      <c r="G2583" t="s">
        <v>26</v>
      </c>
      <c r="H2583" t="s">
        <v>85</v>
      </c>
      <c r="I2583" t="s">
        <v>86</v>
      </c>
      <c r="J2583" t="s">
        <v>43</v>
      </c>
      <c r="K2583" t="s">
        <v>44</v>
      </c>
      <c r="L2583" t="s">
        <v>53</v>
      </c>
      <c r="M2583" t="s">
        <v>54</v>
      </c>
      <c r="N2583" t="s">
        <v>85</v>
      </c>
      <c r="O2583" t="s">
        <v>86</v>
      </c>
      <c r="P2583" t="s">
        <v>43</v>
      </c>
      <c r="Q2583" t="s">
        <v>44</v>
      </c>
      <c r="R2583" s="1">
        <v>44287.536643518521</v>
      </c>
      <c r="S2583" s="1">
        <v>44287.633229166669</v>
      </c>
      <c r="T2583">
        <v>0</v>
      </c>
      <c r="U2583">
        <v>2</v>
      </c>
      <c r="V2583" s="2">
        <v>0</v>
      </c>
      <c r="W2583">
        <v>0</v>
      </c>
      <c r="X2583" t="s">
        <v>44</v>
      </c>
      <c r="Y2583">
        <v>0</v>
      </c>
      <c r="Z2583" t="s">
        <v>44</v>
      </c>
      <c r="AA2583">
        <v>0</v>
      </c>
      <c r="AB2583" t="s">
        <v>31</v>
      </c>
      <c r="AC2583">
        <v>0</v>
      </c>
      <c r="AD2583" t="s">
        <v>31</v>
      </c>
      <c r="AE2583">
        <v>0</v>
      </c>
      <c r="AF2583" t="s">
        <v>31</v>
      </c>
      <c r="AG2583">
        <v>0</v>
      </c>
      <c r="AH2583" t="s">
        <v>31</v>
      </c>
      <c r="AI2583">
        <v>0</v>
      </c>
      <c r="AJ2583" t="s">
        <v>31</v>
      </c>
      <c r="AK2583">
        <v>0</v>
      </c>
      <c r="AL2583" t="s">
        <v>31</v>
      </c>
      <c r="AM2583">
        <v>0</v>
      </c>
      <c r="AN2583" t="s">
        <v>31</v>
      </c>
      <c r="AO2583">
        <v>0</v>
      </c>
      <c r="AP2583" t="s">
        <v>31</v>
      </c>
      <c r="AQ2583">
        <v>0</v>
      </c>
    </row>
    <row r="2584" spans="1:43" x14ac:dyDescent="0.2">
      <c r="A2584" t="s">
        <v>381</v>
      </c>
      <c r="B2584" s="3">
        <v>44288</v>
      </c>
      <c r="C2584">
        <v>49</v>
      </c>
      <c r="D2584" t="s">
        <v>384</v>
      </c>
      <c r="E2584" t="s">
        <v>83</v>
      </c>
      <c r="F2584" s="9" t="s">
        <v>84</v>
      </c>
      <c r="G2584" t="s">
        <v>26</v>
      </c>
      <c r="H2584" t="s">
        <v>85</v>
      </c>
      <c r="I2584" t="s">
        <v>86</v>
      </c>
      <c r="J2584" t="s">
        <v>43</v>
      </c>
      <c r="K2584" t="s">
        <v>44</v>
      </c>
      <c r="L2584" t="s">
        <v>53</v>
      </c>
      <c r="M2584" t="s">
        <v>54</v>
      </c>
      <c r="N2584" t="s">
        <v>85</v>
      </c>
      <c r="O2584" t="s">
        <v>86</v>
      </c>
      <c r="P2584" t="s">
        <v>43</v>
      </c>
      <c r="Q2584" t="s">
        <v>44</v>
      </c>
      <c r="R2584" s="1">
        <v>44288.425254629627</v>
      </c>
      <c r="S2584" s="1">
        <v>44288.425254629627</v>
      </c>
      <c r="T2584">
        <v>0</v>
      </c>
      <c r="U2584">
        <v>1</v>
      </c>
      <c r="V2584" s="2">
        <v>0</v>
      </c>
      <c r="W2584">
        <v>0</v>
      </c>
      <c r="X2584" t="s">
        <v>44</v>
      </c>
      <c r="Y2584">
        <v>0</v>
      </c>
      <c r="Z2584" t="s">
        <v>31</v>
      </c>
      <c r="AA2584">
        <v>0</v>
      </c>
      <c r="AB2584" t="s">
        <v>31</v>
      </c>
      <c r="AC2584">
        <v>0</v>
      </c>
      <c r="AD2584" t="s">
        <v>31</v>
      </c>
      <c r="AE2584">
        <v>0</v>
      </c>
      <c r="AF2584" t="s">
        <v>31</v>
      </c>
      <c r="AG2584">
        <v>0</v>
      </c>
      <c r="AH2584" t="s">
        <v>31</v>
      </c>
      <c r="AI2584">
        <v>0</v>
      </c>
      <c r="AJ2584" t="s">
        <v>31</v>
      </c>
      <c r="AK2584">
        <v>0</v>
      </c>
      <c r="AL2584" t="s">
        <v>31</v>
      </c>
      <c r="AM2584">
        <v>0</v>
      </c>
      <c r="AN2584" t="s">
        <v>31</v>
      </c>
      <c r="AO2584">
        <v>0</v>
      </c>
      <c r="AP2584" t="s">
        <v>31</v>
      </c>
      <c r="AQ2584">
        <v>0</v>
      </c>
    </row>
    <row r="2585" spans="1:43" x14ac:dyDescent="0.2">
      <c r="A2585" t="s">
        <v>381</v>
      </c>
      <c r="B2585" s="3">
        <v>44291</v>
      </c>
      <c r="C2585">
        <v>50</v>
      </c>
      <c r="D2585" t="s">
        <v>384</v>
      </c>
      <c r="E2585" t="s">
        <v>83</v>
      </c>
      <c r="F2585" s="9" t="s">
        <v>84</v>
      </c>
      <c r="G2585" t="s">
        <v>26</v>
      </c>
      <c r="H2585" t="s">
        <v>85</v>
      </c>
      <c r="I2585" t="s">
        <v>86</v>
      </c>
      <c r="J2585" t="s">
        <v>43</v>
      </c>
      <c r="K2585" t="s">
        <v>44</v>
      </c>
      <c r="L2585" t="s">
        <v>53</v>
      </c>
      <c r="M2585" t="s">
        <v>54</v>
      </c>
      <c r="N2585" t="s">
        <v>85</v>
      </c>
      <c r="O2585" t="s">
        <v>86</v>
      </c>
      <c r="P2585" t="s">
        <v>43</v>
      </c>
      <c r="Q2585" t="s">
        <v>44</v>
      </c>
      <c r="R2585" s="1">
        <v>44291.389328703706</v>
      </c>
      <c r="S2585" s="1">
        <v>44291.389328703706</v>
      </c>
      <c r="T2585">
        <v>0</v>
      </c>
      <c r="U2585">
        <v>1</v>
      </c>
      <c r="V2585" s="2">
        <v>0</v>
      </c>
      <c r="W2585">
        <v>0</v>
      </c>
      <c r="X2585" t="s">
        <v>44</v>
      </c>
      <c r="Y2585">
        <v>0</v>
      </c>
      <c r="Z2585" t="s">
        <v>31</v>
      </c>
      <c r="AA2585">
        <v>0</v>
      </c>
      <c r="AB2585" t="s">
        <v>31</v>
      </c>
      <c r="AC2585">
        <v>0</v>
      </c>
      <c r="AD2585" t="s">
        <v>31</v>
      </c>
      <c r="AE2585">
        <v>0</v>
      </c>
      <c r="AF2585" t="s">
        <v>31</v>
      </c>
      <c r="AG2585">
        <v>0</v>
      </c>
      <c r="AH2585" t="s">
        <v>31</v>
      </c>
      <c r="AI2585">
        <v>0</v>
      </c>
      <c r="AJ2585" t="s">
        <v>31</v>
      </c>
      <c r="AK2585">
        <v>0</v>
      </c>
      <c r="AL2585" t="s">
        <v>31</v>
      </c>
      <c r="AM2585">
        <v>0</v>
      </c>
      <c r="AN2585" t="s">
        <v>31</v>
      </c>
      <c r="AO2585">
        <v>0</v>
      </c>
      <c r="AP2585" t="s">
        <v>31</v>
      </c>
      <c r="AQ2585">
        <v>0</v>
      </c>
    </row>
    <row r="2586" spans="1:43" x14ac:dyDescent="0.2">
      <c r="A2586" t="s">
        <v>381</v>
      </c>
      <c r="B2586" s="3">
        <v>44292</v>
      </c>
      <c r="C2586">
        <v>51</v>
      </c>
      <c r="D2586" t="s">
        <v>385</v>
      </c>
      <c r="E2586" t="s">
        <v>83</v>
      </c>
      <c r="F2586" s="9" t="s">
        <v>84</v>
      </c>
      <c r="G2586" t="s">
        <v>26</v>
      </c>
      <c r="H2586" t="s">
        <v>85</v>
      </c>
      <c r="I2586" t="s">
        <v>86</v>
      </c>
      <c r="J2586" t="s">
        <v>43</v>
      </c>
      <c r="K2586" t="s">
        <v>44</v>
      </c>
      <c r="L2586" t="s">
        <v>53</v>
      </c>
      <c r="M2586" t="s">
        <v>54</v>
      </c>
      <c r="N2586" t="s">
        <v>85</v>
      </c>
      <c r="O2586" t="s">
        <v>86</v>
      </c>
      <c r="P2586" t="s">
        <v>43</v>
      </c>
      <c r="Q2586" t="s">
        <v>44</v>
      </c>
      <c r="R2586" s="1">
        <v>44292.40892361111</v>
      </c>
      <c r="S2586" s="1">
        <v>44292.40896990741</v>
      </c>
      <c r="T2586">
        <v>0</v>
      </c>
      <c r="U2586">
        <v>2</v>
      </c>
      <c r="V2586" s="2">
        <v>0</v>
      </c>
      <c r="W2586">
        <v>0</v>
      </c>
      <c r="X2586" t="s">
        <v>44</v>
      </c>
      <c r="Y2586">
        <v>0</v>
      </c>
      <c r="Z2586" t="s">
        <v>44</v>
      </c>
      <c r="AA2586">
        <v>0</v>
      </c>
      <c r="AB2586" t="s">
        <v>31</v>
      </c>
      <c r="AC2586">
        <v>0</v>
      </c>
      <c r="AD2586" t="s">
        <v>31</v>
      </c>
      <c r="AE2586">
        <v>0</v>
      </c>
      <c r="AF2586" t="s">
        <v>31</v>
      </c>
      <c r="AG2586">
        <v>0</v>
      </c>
      <c r="AH2586" t="s">
        <v>31</v>
      </c>
      <c r="AI2586">
        <v>0</v>
      </c>
      <c r="AJ2586" t="s">
        <v>31</v>
      </c>
      <c r="AK2586">
        <v>0</v>
      </c>
      <c r="AL2586" t="s">
        <v>31</v>
      </c>
      <c r="AM2586">
        <v>0</v>
      </c>
      <c r="AN2586" t="s">
        <v>31</v>
      </c>
      <c r="AO2586">
        <v>0</v>
      </c>
      <c r="AP2586" t="s">
        <v>31</v>
      </c>
      <c r="AQ2586">
        <v>0</v>
      </c>
    </row>
    <row r="2587" spans="1:43" x14ac:dyDescent="0.2">
      <c r="A2587" t="s">
        <v>381</v>
      </c>
      <c r="B2587" s="3">
        <v>44292</v>
      </c>
      <c r="C2587">
        <v>52</v>
      </c>
      <c r="D2587" t="s">
        <v>386</v>
      </c>
      <c r="E2587" t="s">
        <v>83</v>
      </c>
      <c r="F2587" s="9" t="s">
        <v>84</v>
      </c>
      <c r="G2587" t="s">
        <v>26</v>
      </c>
      <c r="H2587" t="s">
        <v>85</v>
      </c>
      <c r="I2587" t="s">
        <v>86</v>
      </c>
      <c r="J2587" t="s">
        <v>43</v>
      </c>
      <c r="K2587" t="s">
        <v>44</v>
      </c>
      <c r="L2587" t="s">
        <v>53</v>
      </c>
      <c r="M2587" t="s">
        <v>54</v>
      </c>
      <c r="N2587" t="s">
        <v>85</v>
      </c>
      <c r="O2587" t="s">
        <v>86</v>
      </c>
      <c r="P2587" t="s">
        <v>43</v>
      </c>
      <c r="Q2587" t="s">
        <v>44</v>
      </c>
      <c r="R2587" s="1">
        <v>44292.604803240742</v>
      </c>
      <c r="S2587" s="1">
        <v>44292.604803240742</v>
      </c>
      <c r="T2587">
        <v>0</v>
      </c>
      <c r="U2587">
        <v>1</v>
      </c>
      <c r="V2587" s="2">
        <v>0</v>
      </c>
      <c r="W2587">
        <v>0</v>
      </c>
      <c r="X2587" t="s">
        <v>44</v>
      </c>
      <c r="Y2587">
        <v>0</v>
      </c>
      <c r="Z2587" t="s">
        <v>31</v>
      </c>
      <c r="AA2587">
        <v>0</v>
      </c>
      <c r="AB2587" t="s">
        <v>31</v>
      </c>
      <c r="AC2587">
        <v>0</v>
      </c>
      <c r="AD2587" t="s">
        <v>31</v>
      </c>
      <c r="AE2587">
        <v>0</v>
      </c>
      <c r="AF2587" t="s">
        <v>31</v>
      </c>
      <c r="AG2587">
        <v>0</v>
      </c>
      <c r="AH2587" t="s">
        <v>31</v>
      </c>
      <c r="AI2587">
        <v>0</v>
      </c>
      <c r="AJ2587" t="s">
        <v>31</v>
      </c>
      <c r="AK2587">
        <v>0</v>
      </c>
      <c r="AL2587" t="s">
        <v>31</v>
      </c>
      <c r="AM2587">
        <v>0</v>
      </c>
      <c r="AN2587" t="s">
        <v>31</v>
      </c>
      <c r="AO2587">
        <v>0</v>
      </c>
      <c r="AP2587" t="s">
        <v>31</v>
      </c>
      <c r="AQ2587">
        <v>0</v>
      </c>
    </row>
    <row r="2588" spans="1:43" x14ac:dyDescent="0.2">
      <c r="A2588" t="s">
        <v>381</v>
      </c>
      <c r="B2588" s="3">
        <v>44293</v>
      </c>
      <c r="C2588">
        <v>53</v>
      </c>
      <c r="D2588" t="s">
        <v>384</v>
      </c>
      <c r="E2588" t="s">
        <v>83</v>
      </c>
      <c r="F2588" s="9" t="s">
        <v>84</v>
      </c>
      <c r="G2588" t="s">
        <v>26</v>
      </c>
      <c r="H2588" t="s">
        <v>85</v>
      </c>
      <c r="I2588" t="s">
        <v>86</v>
      </c>
      <c r="J2588" t="s">
        <v>43</v>
      </c>
      <c r="K2588" t="s">
        <v>44</v>
      </c>
      <c r="L2588" t="s">
        <v>53</v>
      </c>
      <c r="M2588" t="s">
        <v>54</v>
      </c>
      <c r="N2588" t="s">
        <v>85</v>
      </c>
      <c r="O2588" t="s">
        <v>86</v>
      </c>
      <c r="P2588" t="s">
        <v>43</v>
      </c>
      <c r="Q2588" t="s">
        <v>44</v>
      </c>
      <c r="R2588" s="1">
        <v>44293.424247685187</v>
      </c>
      <c r="S2588" s="1">
        <v>44293.424247685187</v>
      </c>
      <c r="T2588">
        <v>0</v>
      </c>
      <c r="U2588">
        <v>1</v>
      </c>
      <c r="V2588" s="2">
        <v>0</v>
      </c>
      <c r="W2588">
        <v>0</v>
      </c>
      <c r="X2588" t="s">
        <v>44</v>
      </c>
      <c r="Y2588">
        <v>0</v>
      </c>
      <c r="Z2588" t="s">
        <v>31</v>
      </c>
      <c r="AA2588">
        <v>0</v>
      </c>
      <c r="AB2588" t="s">
        <v>31</v>
      </c>
      <c r="AC2588">
        <v>0</v>
      </c>
      <c r="AD2588" t="s">
        <v>31</v>
      </c>
      <c r="AE2588">
        <v>0</v>
      </c>
      <c r="AF2588" t="s">
        <v>31</v>
      </c>
      <c r="AG2588">
        <v>0</v>
      </c>
      <c r="AH2588" t="s">
        <v>31</v>
      </c>
      <c r="AI2588">
        <v>0</v>
      </c>
      <c r="AJ2588" t="s">
        <v>31</v>
      </c>
      <c r="AK2588">
        <v>0</v>
      </c>
      <c r="AL2588" t="s">
        <v>31</v>
      </c>
      <c r="AM2588">
        <v>0</v>
      </c>
      <c r="AN2588" t="s">
        <v>31</v>
      </c>
      <c r="AO2588">
        <v>0</v>
      </c>
      <c r="AP2588" t="s">
        <v>31</v>
      </c>
      <c r="AQ2588">
        <v>0</v>
      </c>
    </row>
    <row r="2589" spans="1:43" x14ac:dyDescent="0.2">
      <c r="A2589" t="s">
        <v>381</v>
      </c>
      <c r="B2589" s="3">
        <v>44294</v>
      </c>
      <c r="C2589">
        <v>55</v>
      </c>
      <c r="D2589" t="s">
        <v>385</v>
      </c>
      <c r="E2589" t="s">
        <v>83</v>
      </c>
      <c r="F2589" s="9" t="s">
        <v>84</v>
      </c>
      <c r="G2589" t="s">
        <v>26</v>
      </c>
      <c r="H2589" t="s">
        <v>85</v>
      </c>
      <c r="I2589" t="s">
        <v>86</v>
      </c>
      <c r="J2589" t="s">
        <v>43</v>
      </c>
      <c r="K2589" t="s">
        <v>44</v>
      </c>
      <c r="L2589" t="s">
        <v>53</v>
      </c>
      <c r="M2589" t="s">
        <v>54</v>
      </c>
      <c r="N2589" t="s">
        <v>85</v>
      </c>
      <c r="O2589" t="s">
        <v>86</v>
      </c>
      <c r="P2589" t="s">
        <v>43</v>
      </c>
      <c r="Q2589" t="s">
        <v>44</v>
      </c>
      <c r="R2589" s="1">
        <v>44294.634629629632</v>
      </c>
      <c r="S2589" s="1">
        <v>44294.634641203702</v>
      </c>
      <c r="T2589">
        <v>1</v>
      </c>
      <c r="U2589">
        <v>2</v>
      </c>
      <c r="V2589" s="2">
        <v>0.5</v>
      </c>
      <c r="W2589">
        <v>1</v>
      </c>
      <c r="X2589" t="s">
        <v>44</v>
      </c>
      <c r="Y2589">
        <v>0</v>
      </c>
      <c r="Z2589" t="s">
        <v>54</v>
      </c>
      <c r="AA2589">
        <v>1</v>
      </c>
      <c r="AB2589" t="s">
        <v>31</v>
      </c>
      <c r="AC2589">
        <v>0</v>
      </c>
      <c r="AD2589" t="s">
        <v>31</v>
      </c>
      <c r="AE2589">
        <v>0</v>
      </c>
      <c r="AF2589" t="s">
        <v>31</v>
      </c>
      <c r="AG2589">
        <v>0</v>
      </c>
      <c r="AH2589" t="s">
        <v>31</v>
      </c>
      <c r="AI2589">
        <v>0</v>
      </c>
      <c r="AJ2589" t="s">
        <v>31</v>
      </c>
      <c r="AK2589">
        <v>0</v>
      </c>
      <c r="AL2589" t="s">
        <v>31</v>
      </c>
      <c r="AM2589">
        <v>0</v>
      </c>
      <c r="AN2589" t="s">
        <v>31</v>
      </c>
      <c r="AO2589">
        <v>0</v>
      </c>
      <c r="AP2589" t="s">
        <v>31</v>
      </c>
      <c r="AQ2589">
        <v>0</v>
      </c>
    </row>
    <row r="2590" spans="1:43" x14ac:dyDescent="0.2">
      <c r="A2590" t="s">
        <v>381</v>
      </c>
      <c r="B2590" s="3">
        <v>44295</v>
      </c>
      <c r="C2590">
        <v>56</v>
      </c>
      <c r="D2590" t="s">
        <v>384</v>
      </c>
      <c r="E2590" t="s">
        <v>83</v>
      </c>
      <c r="F2590" s="9" t="s">
        <v>84</v>
      </c>
      <c r="G2590" t="s">
        <v>26</v>
      </c>
      <c r="H2590" t="s">
        <v>85</v>
      </c>
      <c r="I2590" t="s">
        <v>86</v>
      </c>
      <c r="J2590" t="s">
        <v>43</v>
      </c>
      <c r="K2590" t="s">
        <v>44</v>
      </c>
      <c r="L2590" t="s">
        <v>53</v>
      </c>
      <c r="M2590" t="s">
        <v>54</v>
      </c>
      <c r="N2590" t="s">
        <v>85</v>
      </c>
      <c r="O2590" t="s">
        <v>86</v>
      </c>
      <c r="P2590" t="s">
        <v>43</v>
      </c>
      <c r="Q2590" t="s">
        <v>44</v>
      </c>
      <c r="R2590" s="1">
        <v>44295.428055555552</v>
      </c>
      <c r="S2590" s="1">
        <v>44295.428055555552</v>
      </c>
      <c r="T2590">
        <v>0</v>
      </c>
      <c r="U2590">
        <v>1</v>
      </c>
      <c r="V2590" s="2">
        <v>0</v>
      </c>
      <c r="W2590">
        <v>0</v>
      </c>
      <c r="X2590" t="s">
        <v>44</v>
      </c>
      <c r="Y2590">
        <v>0</v>
      </c>
      <c r="Z2590" t="s">
        <v>31</v>
      </c>
      <c r="AA2590">
        <v>0</v>
      </c>
      <c r="AB2590" t="s">
        <v>31</v>
      </c>
      <c r="AC2590">
        <v>0</v>
      </c>
      <c r="AD2590" t="s">
        <v>31</v>
      </c>
      <c r="AE2590">
        <v>0</v>
      </c>
      <c r="AF2590" t="s">
        <v>31</v>
      </c>
      <c r="AG2590">
        <v>0</v>
      </c>
      <c r="AH2590" t="s">
        <v>31</v>
      </c>
      <c r="AI2590">
        <v>0</v>
      </c>
      <c r="AJ2590" t="s">
        <v>31</v>
      </c>
      <c r="AK2590">
        <v>0</v>
      </c>
      <c r="AL2590" t="s">
        <v>31</v>
      </c>
      <c r="AM2590">
        <v>0</v>
      </c>
      <c r="AN2590" t="s">
        <v>31</v>
      </c>
      <c r="AO2590">
        <v>0</v>
      </c>
      <c r="AP2590" t="s">
        <v>31</v>
      </c>
      <c r="AQ2590">
        <v>0</v>
      </c>
    </row>
    <row r="2591" spans="1:43" x14ac:dyDescent="0.2">
      <c r="A2591" t="s">
        <v>381</v>
      </c>
      <c r="B2591" s="3">
        <v>44298</v>
      </c>
      <c r="C2591">
        <v>57</v>
      </c>
      <c r="D2591" t="s">
        <v>387</v>
      </c>
      <c r="E2591" t="s">
        <v>83</v>
      </c>
      <c r="F2591" s="9" t="s">
        <v>84</v>
      </c>
      <c r="G2591" t="s">
        <v>26</v>
      </c>
      <c r="H2591" t="s">
        <v>85</v>
      </c>
      <c r="I2591" t="s">
        <v>86</v>
      </c>
      <c r="J2591" t="s">
        <v>43</v>
      </c>
      <c r="K2591" t="s">
        <v>44</v>
      </c>
      <c r="L2591" t="s">
        <v>53</v>
      </c>
      <c r="M2591" t="s">
        <v>54</v>
      </c>
      <c r="N2591" t="s">
        <v>85</v>
      </c>
      <c r="O2591" t="s">
        <v>86</v>
      </c>
      <c r="P2591" t="s">
        <v>43</v>
      </c>
      <c r="Q2591" t="s">
        <v>44</v>
      </c>
      <c r="R2591" s="1">
        <v>44298.587256944447</v>
      </c>
      <c r="S2591" s="1">
        <v>44298.587256944447</v>
      </c>
      <c r="T2591">
        <v>0</v>
      </c>
      <c r="U2591">
        <v>1</v>
      </c>
      <c r="V2591" s="2">
        <v>0</v>
      </c>
      <c r="W2591">
        <v>0</v>
      </c>
      <c r="X2591" t="s">
        <v>44</v>
      </c>
      <c r="Y2591">
        <v>0</v>
      </c>
      <c r="Z2591" t="s">
        <v>31</v>
      </c>
      <c r="AA2591">
        <v>0</v>
      </c>
      <c r="AB2591" t="s">
        <v>31</v>
      </c>
      <c r="AC2591">
        <v>0</v>
      </c>
      <c r="AD2591" t="s">
        <v>31</v>
      </c>
      <c r="AE2591">
        <v>0</v>
      </c>
      <c r="AF2591" t="s">
        <v>31</v>
      </c>
      <c r="AG2591">
        <v>0</v>
      </c>
      <c r="AH2591" t="s">
        <v>31</v>
      </c>
      <c r="AI2591">
        <v>0</v>
      </c>
      <c r="AJ2591" t="s">
        <v>31</v>
      </c>
      <c r="AK2591">
        <v>0</v>
      </c>
      <c r="AL2591" t="s">
        <v>31</v>
      </c>
      <c r="AM2591">
        <v>0</v>
      </c>
      <c r="AN2591" t="s">
        <v>31</v>
      </c>
      <c r="AO2591">
        <v>0</v>
      </c>
      <c r="AP2591" t="s">
        <v>31</v>
      </c>
      <c r="AQ2591">
        <v>0</v>
      </c>
    </row>
    <row r="2592" spans="1:43" x14ac:dyDescent="0.2">
      <c r="A2592" t="s">
        <v>381</v>
      </c>
      <c r="B2592" s="3">
        <v>44299</v>
      </c>
      <c r="C2592">
        <v>58</v>
      </c>
      <c r="D2592" t="s">
        <v>385</v>
      </c>
      <c r="E2592" t="s">
        <v>83</v>
      </c>
      <c r="F2592" s="9" t="s">
        <v>84</v>
      </c>
      <c r="G2592" t="s">
        <v>26</v>
      </c>
      <c r="H2592" t="s">
        <v>85</v>
      </c>
      <c r="I2592" t="s">
        <v>86</v>
      </c>
      <c r="J2592" t="s">
        <v>43</v>
      </c>
      <c r="K2592" t="s">
        <v>44</v>
      </c>
      <c r="L2592" t="s">
        <v>53</v>
      </c>
      <c r="M2592" t="s">
        <v>54</v>
      </c>
      <c r="N2592" t="s">
        <v>85</v>
      </c>
      <c r="O2592" t="s">
        <v>86</v>
      </c>
      <c r="P2592" t="s">
        <v>43</v>
      </c>
      <c r="Q2592" t="s">
        <v>44</v>
      </c>
      <c r="R2592" s="1">
        <v>44299.408020833333</v>
      </c>
      <c r="S2592" s="1">
        <v>44299.408043981479</v>
      </c>
      <c r="T2592">
        <v>0</v>
      </c>
      <c r="U2592">
        <v>2</v>
      </c>
      <c r="V2592" s="2">
        <v>0</v>
      </c>
      <c r="W2592">
        <v>0</v>
      </c>
      <c r="X2592" t="s">
        <v>44</v>
      </c>
      <c r="Y2592">
        <v>0</v>
      </c>
      <c r="Z2592" t="s">
        <v>44</v>
      </c>
      <c r="AA2592">
        <v>0</v>
      </c>
      <c r="AB2592" t="s">
        <v>31</v>
      </c>
      <c r="AC2592">
        <v>0</v>
      </c>
      <c r="AD2592" t="s">
        <v>31</v>
      </c>
      <c r="AE2592">
        <v>0</v>
      </c>
      <c r="AF2592" t="s">
        <v>31</v>
      </c>
      <c r="AG2592">
        <v>0</v>
      </c>
      <c r="AH2592" t="s">
        <v>31</v>
      </c>
      <c r="AI2592">
        <v>0</v>
      </c>
      <c r="AJ2592" t="s">
        <v>31</v>
      </c>
      <c r="AK2592">
        <v>0</v>
      </c>
      <c r="AL2592" t="s">
        <v>31</v>
      </c>
      <c r="AM2592">
        <v>0</v>
      </c>
      <c r="AN2592" t="s">
        <v>31</v>
      </c>
      <c r="AO2592">
        <v>0</v>
      </c>
      <c r="AP2592" t="s">
        <v>31</v>
      </c>
      <c r="AQ2592">
        <v>0</v>
      </c>
    </row>
    <row r="2593" spans="1:43" x14ac:dyDescent="0.2">
      <c r="A2593" t="s">
        <v>381</v>
      </c>
      <c r="B2593" s="3">
        <v>44299</v>
      </c>
      <c r="C2593">
        <v>59</v>
      </c>
      <c r="D2593" t="s">
        <v>385</v>
      </c>
      <c r="E2593" t="s">
        <v>83</v>
      </c>
      <c r="F2593" s="9" t="s">
        <v>84</v>
      </c>
      <c r="G2593" t="s">
        <v>26</v>
      </c>
      <c r="H2593" t="s">
        <v>85</v>
      </c>
      <c r="I2593" t="s">
        <v>86</v>
      </c>
      <c r="J2593" t="s">
        <v>43</v>
      </c>
      <c r="K2593" t="s">
        <v>44</v>
      </c>
      <c r="L2593" t="s">
        <v>53</v>
      </c>
      <c r="M2593" t="s">
        <v>54</v>
      </c>
      <c r="N2593" t="s">
        <v>85</v>
      </c>
      <c r="O2593" t="s">
        <v>86</v>
      </c>
      <c r="P2593" t="s">
        <v>43</v>
      </c>
      <c r="Q2593" t="s">
        <v>44</v>
      </c>
      <c r="R2593" s="1">
        <v>44299.557592592595</v>
      </c>
      <c r="S2593" s="1">
        <v>44299.557592592595</v>
      </c>
      <c r="T2593">
        <v>0</v>
      </c>
      <c r="U2593">
        <v>1</v>
      </c>
      <c r="V2593" s="2">
        <v>0</v>
      </c>
      <c r="W2593">
        <v>0</v>
      </c>
      <c r="X2593" t="s">
        <v>44</v>
      </c>
      <c r="Y2593">
        <v>0</v>
      </c>
      <c r="Z2593" t="s">
        <v>31</v>
      </c>
      <c r="AA2593">
        <v>0</v>
      </c>
      <c r="AB2593" t="s">
        <v>31</v>
      </c>
      <c r="AC2593">
        <v>0</v>
      </c>
      <c r="AD2593" t="s">
        <v>31</v>
      </c>
      <c r="AE2593">
        <v>0</v>
      </c>
      <c r="AF2593" t="s">
        <v>31</v>
      </c>
      <c r="AG2593">
        <v>0</v>
      </c>
      <c r="AH2593" t="s">
        <v>31</v>
      </c>
      <c r="AI2593">
        <v>0</v>
      </c>
      <c r="AJ2593" t="s">
        <v>31</v>
      </c>
      <c r="AK2593">
        <v>0</v>
      </c>
      <c r="AL2593" t="s">
        <v>31</v>
      </c>
      <c r="AM2593">
        <v>0</v>
      </c>
      <c r="AN2593" t="s">
        <v>31</v>
      </c>
      <c r="AO2593">
        <v>0</v>
      </c>
      <c r="AP2593" t="s">
        <v>31</v>
      </c>
      <c r="AQ2593">
        <v>0</v>
      </c>
    </row>
    <row r="2594" spans="1:43" x14ac:dyDescent="0.2">
      <c r="A2594" t="s">
        <v>381</v>
      </c>
      <c r="B2594" s="3">
        <v>44300</v>
      </c>
      <c r="C2594">
        <v>60</v>
      </c>
      <c r="D2594" t="s">
        <v>398</v>
      </c>
      <c r="E2594" t="s">
        <v>83</v>
      </c>
      <c r="F2594" s="9" t="s">
        <v>84</v>
      </c>
      <c r="G2594" t="s">
        <v>26</v>
      </c>
      <c r="H2594" t="s">
        <v>85</v>
      </c>
      <c r="I2594" t="s">
        <v>86</v>
      </c>
      <c r="J2594" t="s">
        <v>43</v>
      </c>
      <c r="K2594" t="s">
        <v>44</v>
      </c>
      <c r="L2594" t="s">
        <v>53</v>
      </c>
      <c r="M2594" t="s">
        <v>54</v>
      </c>
      <c r="N2594" t="s">
        <v>85</v>
      </c>
      <c r="O2594" t="s">
        <v>86</v>
      </c>
      <c r="P2594" t="s">
        <v>43</v>
      </c>
      <c r="Q2594" t="s">
        <v>44</v>
      </c>
      <c r="R2594" s="1">
        <v>44300.40215277778</v>
      </c>
      <c r="S2594" s="1">
        <v>44300.402222222219</v>
      </c>
      <c r="T2594">
        <v>0</v>
      </c>
      <c r="U2594">
        <v>2</v>
      </c>
      <c r="V2594" s="2">
        <v>0</v>
      </c>
      <c r="W2594">
        <v>0</v>
      </c>
      <c r="X2594" t="s">
        <v>44</v>
      </c>
      <c r="Y2594">
        <v>0</v>
      </c>
      <c r="Z2594" t="s">
        <v>44</v>
      </c>
      <c r="AA2594">
        <v>0</v>
      </c>
      <c r="AB2594" t="s">
        <v>31</v>
      </c>
      <c r="AC2594">
        <v>0</v>
      </c>
      <c r="AD2594" t="s">
        <v>31</v>
      </c>
      <c r="AE2594">
        <v>0</v>
      </c>
      <c r="AF2594" t="s">
        <v>31</v>
      </c>
      <c r="AG2594">
        <v>0</v>
      </c>
      <c r="AH2594" t="s">
        <v>31</v>
      </c>
      <c r="AI2594">
        <v>0</v>
      </c>
      <c r="AJ2594" t="s">
        <v>31</v>
      </c>
      <c r="AK2594">
        <v>0</v>
      </c>
      <c r="AL2594" t="s">
        <v>31</v>
      </c>
      <c r="AM2594">
        <v>0</v>
      </c>
      <c r="AN2594" t="s">
        <v>31</v>
      </c>
      <c r="AO2594">
        <v>0</v>
      </c>
      <c r="AP2594" t="s">
        <v>31</v>
      </c>
      <c r="AQ2594">
        <v>0</v>
      </c>
    </row>
    <row r="2595" spans="1:43" x14ac:dyDescent="0.2">
      <c r="A2595" t="s">
        <v>381</v>
      </c>
      <c r="B2595" s="3">
        <v>44300</v>
      </c>
      <c r="C2595">
        <v>61</v>
      </c>
      <c r="D2595" t="s">
        <v>401</v>
      </c>
      <c r="E2595" t="s">
        <v>83</v>
      </c>
      <c r="F2595" s="9" t="s">
        <v>84</v>
      </c>
      <c r="G2595" t="s">
        <v>26</v>
      </c>
      <c r="H2595" t="s">
        <v>85</v>
      </c>
      <c r="I2595" t="s">
        <v>86</v>
      </c>
      <c r="J2595" t="s">
        <v>43</v>
      </c>
      <c r="K2595" t="s">
        <v>44</v>
      </c>
      <c r="L2595" t="s">
        <v>53</v>
      </c>
      <c r="M2595" t="s">
        <v>54</v>
      </c>
      <c r="N2595" t="s">
        <v>85</v>
      </c>
      <c r="O2595" t="s">
        <v>86</v>
      </c>
      <c r="P2595" t="s">
        <v>43</v>
      </c>
      <c r="Q2595" t="s">
        <v>44</v>
      </c>
      <c r="R2595" s="1">
        <v>44300.660162037035</v>
      </c>
      <c r="S2595" s="1">
        <v>44300.660162037035</v>
      </c>
      <c r="T2595">
        <v>0</v>
      </c>
      <c r="U2595">
        <v>1</v>
      </c>
      <c r="V2595" s="2">
        <v>0</v>
      </c>
      <c r="W2595">
        <v>0</v>
      </c>
      <c r="X2595" t="s">
        <v>44</v>
      </c>
      <c r="Y2595">
        <v>0</v>
      </c>
      <c r="Z2595" t="s">
        <v>31</v>
      </c>
      <c r="AA2595">
        <v>0</v>
      </c>
      <c r="AB2595" t="s">
        <v>31</v>
      </c>
      <c r="AC2595">
        <v>0</v>
      </c>
      <c r="AD2595" t="s">
        <v>31</v>
      </c>
      <c r="AE2595">
        <v>0</v>
      </c>
      <c r="AF2595" t="s">
        <v>31</v>
      </c>
      <c r="AG2595">
        <v>0</v>
      </c>
      <c r="AH2595" t="s">
        <v>31</v>
      </c>
      <c r="AI2595">
        <v>0</v>
      </c>
      <c r="AJ2595" t="s">
        <v>31</v>
      </c>
      <c r="AK2595">
        <v>0</v>
      </c>
      <c r="AL2595" t="s">
        <v>31</v>
      </c>
      <c r="AM2595">
        <v>0</v>
      </c>
      <c r="AN2595" t="s">
        <v>31</v>
      </c>
      <c r="AO2595">
        <v>0</v>
      </c>
      <c r="AP2595" t="s">
        <v>31</v>
      </c>
      <c r="AQ2595">
        <v>0</v>
      </c>
    </row>
    <row r="2596" spans="1:43" x14ac:dyDescent="0.2">
      <c r="A2596" t="s">
        <v>381</v>
      </c>
      <c r="B2596" s="3">
        <v>44301</v>
      </c>
      <c r="C2596">
        <v>62</v>
      </c>
      <c r="D2596" t="s">
        <v>385</v>
      </c>
      <c r="E2596" t="s">
        <v>83</v>
      </c>
      <c r="F2596" s="9" t="s">
        <v>84</v>
      </c>
      <c r="G2596" t="s">
        <v>26</v>
      </c>
      <c r="H2596" t="s">
        <v>85</v>
      </c>
      <c r="I2596" t="s">
        <v>86</v>
      </c>
      <c r="J2596" t="s">
        <v>43</v>
      </c>
      <c r="K2596" t="s">
        <v>44</v>
      </c>
      <c r="L2596" t="s">
        <v>53</v>
      </c>
      <c r="M2596" t="s">
        <v>54</v>
      </c>
      <c r="N2596" t="s">
        <v>85</v>
      </c>
      <c r="O2596" t="s">
        <v>86</v>
      </c>
      <c r="P2596" t="s">
        <v>43</v>
      </c>
      <c r="Q2596" t="s">
        <v>44</v>
      </c>
      <c r="R2596" s="1">
        <v>44301.401446759257</v>
      </c>
      <c r="S2596" s="1">
        <v>44301.401458333334</v>
      </c>
      <c r="T2596">
        <v>0</v>
      </c>
      <c r="U2596">
        <v>2</v>
      </c>
      <c r="V2596" s="2">
        <v>0</v>
      </c>
      <c r="W2596">
        <v>0</v>
      </c>
      <c r="X2596" t="s">
        <v>44</v>
      </c>
      <c r="Y2596">
        <v>0</v>
      </c>
      <c r="Z2596" t="s">
        <v>44</v>
      </c>
      <c r="AA2596">
        <v>0</v>
      </c>
      <c r="AB2596" t="s">
        <v>31</v>
      </c>
      <c r="AC2596">
        <v>0</v>
      </c>
      <c r="AD2596" t="s">
        <v>31</v>
      </c>
      <c r="AE2596">
        <v>0</v>
      </c>
      <c r="AF2596" t="s">
        <v>31</v>
      </c>
      <c r="AG2596">
        <v>0</v>
      </c>
      <c r="AH2596" t="s">
        <v>31</v>
      </c>
      <c r="AI2596">
        <v>0</v>
      </c>
      <c r="AJ2596" t="s">
        <v>31</v>
      </c>
      <c r="AK2596">
        <v>0</v>
      </c>
      <c r="AL2596" t="s">
        <v>31</v>
      </c>
      <c r="AM2596">
        <v>0</v>
      </c>
      <c r="AN2596" t="s">
        <v>31</v>
      </c>
      <c r="AO2596">
        <v>0</v>
      </c>
      <c r="AP2596" t="s">
        <v>31</v>
      </c>
      <c r="AQ2596">
        <v>0</v>
      </c>
    </row>
    <row r="2597" spans="1:43" x14ac:dyDescent="0.2">
      <c r="A2597" t="s">
        <v>381</v>
      </c>
      <c r="B2597" s="3">
        <v>44301</v>
      </c>
      <c r="C2597">
        <v>63</v>
      </c>
      <c r="D2597" t="s">
        <v>385</v>
      </c>
      <c r="E2597" t="s">
        <v>83</v>
      </c>
      <c r="F2597" s="9" t="s">
        <v>84</v>
      </c>
      <c r="G2597" t="s">
        <v>26</v>
      </c>
      <c r="H2597" t="s">
        <v>85</v>
      </c>
      <c r="I2597" t="s">
        <v>86</v>
      </c>
      <c r="J2597" t="s">
        <v>43</v>
      </c>
      <c r="K2597" t="s">
        <v>44</v>
      </c>
      <c r="L2597" t="s">
        <v>53</v>
      </c>
      <c r="M2597" t="s">
        <v>54</v>
      </c>
      <c r="N2597" t="s">
        <v>85</v>
      </c>
      <c r="O2597" t="s">
        <v>86</v>
      </c>
      <c r="P2597" t="s">
        <v>43</v>
      </c>
      <c r="Q2597" t="s">
        <v>44</v>
      </c>
      <c r="R2597" s="1">
        <v>44301.591874999998</v>
      </c>
      <c r="S2597" s="1">
        <v>44301.632916666669</v>
      </c>
      <c r="T2597">
        <v>0</v>
      </c>
      <c r="U2597">
        <v>2</v>
      </c>
      <c r="V2597" s="2">
        <v>0</v>
      </c>
      <c r="W2597">
        <v>0</v>
      </c>
      <c r="X2597" t="s">
        <v>44</v>
      </c>
      <c r="Y2597">
        <v>0</v>
      </c>
      <c r="Z2597" t="s">
        <v>44</v>
      </c>
      <c r="AA2597">
        <v>0</v>
      </c>
      <c r="AB2597" t="s">
        <v>31</v>
      </c>
      <c r="AC2597">
        <v>0</v>
      </c>
      <c r="AD2597" t="s">
        <v>31</v>
      </c>
      <c r="AE2597">
        <v>0</v>
      </c>
      <c r="AF2597" t="s">
        <v>31</v>
      </c>
      <c r="AG2597">
        <v>0</v>
      </c>
      <c r="AH2597" t="s">
        <v>31</v>
      </c>
      <c r="AI2597">
        <v>0</v>
      </c>
      <c r="AJ2597" t="s">
        <v>31</v>
      </c>
      <c r="AK2597">
        <v>0</v>
      </c>
      <c r="AL2597" t="s">
        <v>31</v>
      </c>
      <c r="AM2597">
        <v>0</v>
      </c>
      <c r="AN2597" t="s">
        <v>31</v>
      </c>
      <c r="AO2597">
        <v>0</v>
      </c>
      <c r="AP2597" t="s">
        <v>31</v>
      </c>
      <c r="AQ2597">
        <v>0</v>
      </c>
    </row>
    <row r="2598" spans="1:43" x14ac:dyDescent="0.2">
      <c r="A2598" t="s">
        <v>381</v>
      </c>
      <c r="B2598" s="3">
        <v>44302</v>
      </c>
      <c r="C2598">
        <v>64</v>
      </c>
      <c r="D2598" t="s">
        <v>390</v>
      </c>
      <c r="E2598" t="s">
        <v>83</v>
      </c>
      <c r="F2598" s="9" t="s">
        <v>84</v>
      </c>
      <c r="G2598" t="s">
        <v>26</v>
      </c>
      <c r="H2598" t="s">
        <v>85</v>
      </c>
      <c r="I2598" t="s">
        <v>86</v>
      </c>
      <c r="J2598" t="s">
        <v>43</v>
      </c>
      <c r="K2598" t="s">
        <v>44</v>
      </c>
      <c r="L2598" t="s">
        <v>53</v>
      </c>
      <c r="M2598" t="s">
        <v>54</v>
      </c>
      <c r="N2598" t="s">
        <v>85</v>
      </c>
      <c r="O2598" t="s">
        <v>86</v>
      </c>
      <c r="P2598" t="s">
        <v>43</v>
      </c>
      <c r="Q2598" t="s">
        <v>44</v>
      </c>
      <c r="R2598" s="1">
        <v>44302.485231481478</v>
      </c>
      <c r="S2598" s="1">
        <v>44302.485231481478</v>
      </c>
      <c r="T2598">
        <v>0</v>
      </c>
      <c r="U2598">
        <v>1</v>
      </c>
      <c r="V2598" s="2">
        <v>0</v>
      </c>
      <c r="W2598">
        <v>0</v>
      </c>
      <c r="X2598" t="s">
        <v>44</v>
      </c>
      <c r="Y2598">
        <v>0</v>
      </c>
      <c r="Z2598" t="s">
        <v>31</v>
      </c>
      <c r="AA2598">
        <v>0</v>
      </c>
      <c r="AB2598" t="s">
        <v>31</v>
      </c>
      <c r="AC2598">
        <v>0</v>
      </c>
      <c r="AD2598" t="s">
        <v>31</v>
      </c>
      <c r="AE2598">
        <v>0</v>
      </c>
      <c r="AF2598" t="s">
        <v>31</v>
      </c>
      <c r="AG2598">
        <v>0</v>
      </c>
      <c r="AH2598" t="s">
        <v>31</v>
      </c>
      <c r="AI2598">
        <v>0</v>
      </c>
      <c r="AJ2598" t="s">
        <v>31</v>
      </c>
      <c r="AK2598">
        <v>0</v>
      </c>
      <c r="AL2598" t="s">
        <v>31</v>
      </c>
      <c r="AM2598">
        <v>0</v>
      </c>
      <c r="AN2598" t="s">
        <v>31</v>
      </c>
      <c r="AO2598">
        <v>0</v>
      </c>
      <c r="AP2598" t="s">
        <v>31</v>
      </c>
      <c r="AQ2598">
        <v>0</v>
      </c>
    </row>
    <row r="2599" spans="1:43" x14ac:dyDescent="0.2">
      <c r="A2599" t="s">
        <v>381</v>
      </c>
      <c r="B2599" s="3">
        <v>44302</v>
      </c>
      <c r="C2599">
        <v>65</v>
      </c>
      <c r="D2599" t="s">
        <v>387</v>
      </c>
      <c r="E2599" t="s">
        <v>83</v>
      </c>
      <c r="F2599" s="9" t="s">
        <v>84</v>
      </c>
      <c r="G2599" t="s">
        <v>26</v>
      </c>
      <c r="H2599" t="s">
        <v>85</v>
      </c>
      <c r="I2599" t="s">
        <v>86</v>
      </c>
      <c r="J2599" t="s">
        <v>43</v>
      </c>
      <c r="K2599" t="s">
        <v>44</v>
      </c>
      <c r="L2599" t="s">
        <v>53</v>
      </c>
      <c r="M2599" t="s">
        <v>54</v>
      </c>
      <c r="N2599" t="s">
        <v>85</v>
      </c>
      <c r="O2599" t="s">
        <v>86</v>
      </c>
      <c r="P2599" t="s">
        <v>43</v>
      </c>
      <c r="Q2599" t="s">
        <v>44</v>
      </c>
      <c r="R2599" s="1">
        <v>44302.559039351851</v>
      </c>
      <c r="S2599" s="1">
        <v>44302.559039351851</v>
      </c>
      <c r="T2599">
        <v>0</v>
      </c>
      <c r="U2599">
        <v>1</v>
      </c>
      <c r="V2599" s="2">
        <v>0</v>
      </c>
      <c r="W2599">
        <v>0</v>
      </c>
      <c r="X2599" t="s">
        <v>44</v>
      </c>
      <c r="Y2599">
        <v>0</v>
      </c>
      <c r="Z2599" t="s">
        <v>31</v>
      </c>
      <c r="AA2599">
        <v>0</v>
      </c>
      <c r="AB2599" t="s">
        <v>31</v>
      </c>
      <c r="AC2599">
        <v>0</v>
      </c>
      <c r="AD2599" t="s">
        <v>31</v>
      </c>
      <c r="AE2599">
        <v>0</v>
      </c>
      <c r="AF2599" t="s">
        <v>31</v>
      </c>
      <c r="AG2599">
        <v>0</v>
      </c>
      <c r="AH2599" t="s">
        <v>31</v>
      </c>
      <c r="AI2599">
        <v>0</v>
      </c>
      <c r="AJ2599" t="s">
        <v>31</v>
      </c>
      <c r="AK2599">
        <v>0</v>
      </c>
      <c r="AL2599" t="s">
        <v>31</v>
      </c>
      <c r="AM2599">
        <v>0</v>
      </c>
      <c r="AN2599" t="s">
        <v>31</v>
      </c>
      <c r="AO2599">
        <v>0</v>
      </c>
      <c r="AP2599" t="s">
        <v>31</v>
      </c>
      <c r="AQ2599">
        <v>0</v>
      </c>
    </row>
    <row r="2600" spans="1:43" x14ac:dyDescent="0.2">
      <c r="A2600" t="s">
        <v>381</v>
      </c>
      <c r="B2600" s="3">
        <v>44307</v>
      </c>
      <c r="C2600">
        <v>67</v>
      </c>
      <c r="D2600" t="s">
        <v>387</v>
      </c>
      <c r="E2600" t="s">
        <v>83</v>
      </c>
      <c r="F2600" s="9" t="s">
        <v>84</v>
      </c>
      <c r="G2600" t="s">
        <v>26</v>
      </c>
      <c r="H2600" t="s">
        <v>85</v>
      </c>
      <c r="I2600" t="s">
        <v>86</v>
      </c>
      <c r="J2600" t="s">
        <v>43</v>
      </c>
      <c r="K2600" t="s">
        <v>44</v>
      </c>
      <c r="L2600" t="s">
        <v>53</v>
      </c>
      <c r="M2600" t="s">
        <v>54</v>
      </c>
      <c r="N2600" t="s">
        <v>85</v>
      </c>
      <c r="O2600" t="s">
        <v>86</v>
      </c>
      <c r="P2600" t="s">
        <v>43</v>
      </c>
      <c r="Q2600" t="s">
        <v>44</v>
      </c>
      <c r="R2600" s="1">
        <v>44307.569675925923</v>
      </c>
      <c r="S2600" s="1">
        <v>44307.569675925923</v>
      </c>
      <c r="T2600">
        <v>0</v>
      </c>
      <c r="U2600">
        <v>1</v>
      </c>
      <c r="V2600" s="2">
        <v>0</v>
      </c>
      <c r="W2600">
        <v>0</v>
      </c>
      <c r="X2600" t="s">
        <v>44</v>
      </c>
      <c r="Y2600">
        <v>0</v>
      </c>
      <c r="Z2600" t="s">
        <v>31</v>
      </c>
      <c r="AA2600">
        <v>0</v>
      </c>
      <c r="AB2600" t="s">
        <v>31</v>
      </c>
      <c r="AC2600">
        <v>0</v>
      </c>
      <c r="AD2600" t="s">
        <v>31</v>
      </c>
      <c r="AE2600">
        <v>0</v>
      </c>
      <c r="AF2600" t="s">
        <v>31</v>
      </c>
      <c r="AG2600">
        <v>0</v>
      </c>
      <c r="AH2600" t="s">
        <v>31</v>
      </c>
      <c r="AI2600">
        <v>0</v>
      </c>
      <c r="AJ2600" t="s">
        <v>31</v>
      </c>
      <c r="AK2600">
        <v>0</v>
      </c>
      <c r="AL2600" t="s">
        <v>31</v>
      </c>
      <c r="AM2600">
        <v>0</v>
      </c>
      <c r="AN2600" t="s">
        <v>31</v>
      </c>
      <c r="AO2600">
        <v>0</v>
      </c>
      <c r="AP2600" t="s">
        <v>31</v>
      </c>
      <c r="AQ2600">
        <v>0</v>
      </c>
    </row>
    <row r="2601" spans="1:43" x14ac:dyDescent="0.2">
      <c r="A2601" t="s">
        <v>381</v>
      </c>
      <c r="B2601" s="3">
        <v>44308</v>
      </c>
      <c r="C2601">
        <v>68</v>
      </c>
      <c r="D2601" t="s">
        <v>383</v>
      </c>
      <c r="E2601" t="s">
        <v>83</v>
      </c>
      <c r="F2601" s="9" t="s">
        <v>84</v>
      </c>
      <c r="G2601" t="s">
        <v>26</v>
      </c>
      <c r="H2601" t="s">
        <v>85</v>
      </c>
      <c r="I2601" t="s">
        <v>86</v>
      </c>
      <c r="J2601" t="s">
        <v>43</v>
      </c>
      <c r="K2601" t="s">
        <v>44</v>
      </c>
      <c r="L2601" t="s">
        <v>53</v>
      </c>
      <c r="M2601" t="s">
        <v>54</v>
      </c>
      <c r="N2601" t="s">
        <v>85</v>
      </c>
      <c r="O2601" t="s">
        <v>86</v>
      </c>
      <c r="P2601" t="s">
        <v>43</v>
      </c>
      <c r="Q2601" t="s">
        <v>44</v>
      </c>
      <c r="R2601" s="1">
        <v>44308.402245370373</v>
      </c>
      <c r="S2601" s="1">
        <v>44308.402245370373</v>
      </c>
      <c r="T2601">
        <v>0</v>
      </c>
      <c r="U2601">
        <v>2</v>
      </c>
      <c r="V2601" s="2">
        <v>0</v>
      </c>
      <c r="W2601">
        <v>0</v>
      </c>
      <c r="X2601" t="s">
        <v>44</v>
      </c>
      <c r="Y2601">
        <v>0</v>
      </c>
      <c r="Z2601" t="s">
        <v>44</v>
      </c>
      <c r="AA2601">
        <v>0</v>
      </c>
      <c r="AB2601" t="s">
        <v>31</v>
      </c>
      <c r="AC2601">
        <v>0</v>
      </c>
      <c r="AD2601" t="s">
        <v>31</v>
      </c>
      <c r="AE2601">
        <v>0</v>
      </c>
      <c r="AF2601" t="s">
        <v>31</v>
      </c>
      <c r="AG2601">
        <v>0</v>
      </c>
      <c r="AH2601" t="s">
        <v>31</v>
      </c>
      <c r="AI2601">
        <v>0</v>
      </c>
      <c r="AJ2601" t="s">
        <v>31</v>
      </c>
      <c r="AK2601">
        <v>0</v>
      </c>
      <c r="AL2601" t="s">
        <v>31</v>
      </c>
      <c r="AM2601">
        <v>0</v>
      </c>
      <c r="AN2601" t="s">
        <v>31</v>
      </c>
      <c r="AO2601">
        <v>0</v>
      </c>
      <c r="AP2601" t="s">
        <v>31</v>
      </c>
      <c r="AQ2601">
        <v>0</v>
      </c>
    </row>
    <row r="2602" spans="1:43" x14ac:dyDescent="0.2">
      <c r="A2602" t="s">
        <v>381</v>
      </c>
      <c r="B2602" s="3">
        <v>44308</v>
      </c>
      <c r="C2602">
        <v>69</v>
      </c>
      <c r="D2602" t="s">
        <v>385</v>
      </c>
      <c r="E2602" t="s">
        <v>83</v>
      </c>
      <c r="F2602" s="9" t="s">
        <v>84</v>
      </c>
      <c r="G2602" t="s">
        <v>26</v>
      </c>
      <c r="H2602" t="s">
        <v>85</v>
      </c>
      <c r="I2602" t="s">
        <v>86</v>
      </c>
      <c r="J2602" t="s">
        <v>43</v>
      </c>
      <c r="K2602" t="s">
        <v>44</v>
      </c>
      <c r="L2602" t="s">
        <v>53</v>
      </c>
      <c r="M2602" t="s">
        <v>54</v>
      </c>
      <c r="N2602" t="s">
        <v>85</v>
      </c>
      <c r="O2602" t="s">
        <v>86</v>
      </c>
      <c r="P2602" t="s">
        <v>43</v>
      </c>
      <c r="Q2602" t="s">
        <v>44</v>
      </c>
      <c r="R2602" s="1">
        <v>44308.559166666666</v>
      </c>
      <c r="S2602" s="1">
        <v>44308.630787037036</v>
      </c>
      <c r="T2602">
        <v>0</v>
      </c>
      <c r="U2602">
        <v>5</v>
      </c>
      <c r="V2602" s="2">
        <v>0</v>
      </c>
      <c r="W2602">
        <v>0</v>
      </c>
      <c r="X2602" t="s">
        <v>44</v>
      </c>
      <c r="Y2602">
        <v>0</v>
      </c>
      <c r="Z2602" t="s">
        <v>44</v>
      </c>
      <c r="AA2602">
        <v>0</v>
      </c>
      <c r="AB2602" t="s">
        <v>44</v>
      </c>
      <c r="AC2602">
        <v>0</v>
      </c>
      <c r="AD2602" t="s">
        <v>44</v>
      </c>
      <c r="AE2602">
        <v>0</v>
      </c>
      <c r="AF2602" t="s">
        <v>44</v>
      </c>
      <c r="AG2602">
        <v>0</v>
      </c>
      <c r="AH2602" t="s">
        <v>31</v>
      </c>
      <c r="AI2602">
        <v>0</v>
      </c>
      <c r="AJ2602" t="s">
        <v>31</v>
      </c>
      <c r="AK2602">
        <v>0</v>
      </c>
      <c r="AL2602" t="s">
        <v>31</v>
      </c>
      <c r="AM2602">
        <v>0</v>
      </c>
      <c r="AN2602" t="s">
        <v>31</v>
      </c>
      <c r="AO2602">
        <v>0</v>
      </c>
      <c r="AP2602" t="s">
        <v>31</v>
      </c>
      <c r="AQ2602">
        <v>0</v>
      </c>
    </row>
    <row r="2603" spans="1:43" x14ac:dyDescent="0.2">
      <c r="A2603" t="s">
        <v>381</v>
      </c>
      <c r="B2603" s="3">
        <v>44312</v>
      </c>
      <c r="C2603">
        <v>72</v>
      </c>
      <c r="D2603" t="s">
        <v>402</v>
      </c>
      <c r="E2603" t="s">
        <v>83</v>
      </c>
      <c r="F2603" s="9" t="s">
        <v>84</v>
      </c>
      <c r="G2603" t="s">
        <v>26</v>
      </c>
      <c r="H2603" t="s">
        <v>85</v>
      </c>
      <c r="I2603" t="s">
        <v>86</v>
      </c>
      <c r="J2603" t="s">
        <v>43</v>
      </c>
      <c r="K2603" t="s">
        <v>44</v>
      </c>
      <c r="L2603" t="s">
        <v>53</v>
      </c>
      <c r="M2603" t="s">
        <v>54</v>
      </c>
      <c r="N2603" t="s">
        <v>85</v>
      </c>
      <c r="O2603" t="s">
        <v>86</v>
      </c>
      <c r="P2603" t="s">
        <v>43</v>
      </c>
      <c r="Q2603" t="s">
        <v>44</v>
      </c>
      <c r="R2603" s="1">
        <v>44312.415949074071</v>
      </c>
      <c r="S2603" s="1">
        <v>44312.415949074071</v>
      </c>
      <c r="T2603">
        <v>0</v>
      </c>
      <c r="U2603">
        <v>1</v>
      </c>
      <c r="V2603" s="2">
        <v>0</v>
      </c>
      <c r="W2603">
        <v>0</v>
      </c>
      <c r="X2603" t="s">
        <v>44</v>
      </c>
      <c r="Y2603">
        <v>0</v>
      </c>
      <c r="Z2603" t="s">
        <v>31</v>
      </c>
      <c r="AA2603">
        <v>0</v>
      </c>
      <c r="AB2603" t="s">
        <v>31</v>
      </c>
      <c r="AC2603">
        <v>0</v>
      </c>
      <c r="AD2603" t="s">
        <v>31</v>
      </c>
      <c r="AE2603">
        <v>0</v>
      </c>
      <c r="AF2603" t="s">
        <v>31</v>
      </c>
      <c r="AG2603">
        <v>0</v>
      </c>
      <c r="AH2603" t="s">
        <v>31</v>
      </c>
      <c r="AI2603">
        <v>0</v>
      </c>
      <c r="AJ2603" t="s">
        <v>31</v>
      </c>
      <c r="AK2603">
        <v>0</v>
      </c>
      <c r="AL2603" t="s">
        <v>31</v>
      </c>
      <c r="AM2603">
        <v>0</v>
      </c>
      <c r="AN2603" t="s">
        <v>31</v>
      </c>
      <c r="AO2603">
        <v>0</v>
      </c>
      <c r="AP2603" t="s">
        <v>31</v>
      </c>
      <c r="AQ2603">
        <v>0</v>
      </c>
    </row>
    <row r="2604" spans="1:43" x14ac:dyDescent="0.2">
      <c r="A2604" t="s">
        <v>381</v>
      </c>
      <c r="B2604" s="3">
        <v>44312</v>
      </c>
      <c r="C2604">
        <v>73</v>
      </c>
      <c r="D2604" t="s">
        <v>387</v>
      </c>
      <c r="E2604" t="s">
        <v>83</v>
      </c>
      <c r="F2604" s="9" t="s">
        <v>84</v>
      </c>
      <c r="G2604" t="s">
        <v>26</v>
      </c>
      <c r="H2604" t="s">
        <v>85</v>
      </c>
      <c r="I2604" t="s">
        <v>86</v>
      </c>
      <c r="J2604" t="s">
        <v>43</v>
      </c>
      <c r="K2604" t="s">
        <v>44</v>
      </c>
      <c r="L2604" t="s">
        <v>53</v>
      </c>
      <c r="M2604" t="s">
        <v>54</v>
      </c>
      <c r="N2604" t="s">
        <v>85</v>
      </c>
      <c r="O2604" t="s">
        <v>86</v>
      </c>
      <c r="P2604" t="s">
        <v>43</v>
      </c>
      <c r="Q2604" t="s">
        <v>44</v>
      </c>
      <c r="R2604" s="1">
        <v>44312.629710648151</v>
      </c>
      <c r="S2604" s="1">
        <v>44312.629710648151</v>
      </c>
      <c r="T2604">
        <v>0</v>
      </c>
      <c r="U2604">
        <v>1</v>
      </c>
      <c r="V2604" s="2">
        <v>0</v>
      </c>
      <c r="W2604">
        <v>0</v>
      </c>
      <c r="X2604" t="s">
        <v>44</v>
      </c>
      <c r="Y2604">
        <v>0</v>
      </c>
      <c r="Z2604" t="s">
        <v>31</v>
      </c>
      <c r="AA2604">
        <v>0</v>
      </c>
      <c r="AB2604" t="s">
        <v>31</v>
      </c>
      <c r="AC2604">
        <v>0</v>
      </c>
      <c r="AD2604" t="s">
        <v>31</v>
      </c>
      <c r="AE2604">
        <v>0</v>
      </c>
      <c r="AF2604" t="s">
        <v>31</v>
      </c>
      <c r="AG2604">
        <v>0</v>
      </c>
      <c r="AH2604" t="s">
        <v>31</v>
      </c>
      <c r="AI2604">
        <v>0</v>
      </c>
      <c r="AJ2604" t="s">
        <v>31</v>
      </c>
      <c r="AK2604">
        <v>0</v>
      </c>
      <c r="AL2604" t="s">
        <v>31</v>
      </c>
      <c r="AM2604">
        <v>0</v>
      </c>
      <c r="AN2604" t="s">
        <v>31</v>
      </c>
      <c r="AO2604">
        <v>0</v>
      </c>
      <c r="AP2604" t="s">
        <v>31</v>
      </c>
      <c r="AQ2604">
        <v>0</v>
      </c>
    </row>
    <row r="2605" spans="1:43" x14ac:dyDescent="0.2">
      <c r="A2605" t="s">
        <v>381</v>
      </c>
      <c r="B2605" s="3">
        <v>44313</v>
      </c>
      <c r="C2605">
        <v>74</v>
      </c>
      <c r="D2605" t="s">
        <v>383</v>
      </c>
      <c r="E2605" t="s">
        <v>83</v>
      </c>
      <c r="F2605" s="9" t="s">
        <v>84</v>
      </c>
      <c r="G2605" t="s">
        <v>26</v>
      </c>
      <c r="H2605" t="s">
        <v>85</v>
      </c>
      <c r="I2605" t="s">
        <v>86</v>
      </c>
      <c r="J2605" t="s">
        <v>43</v>
      </c>
      <c r="K2605" t="s">
        <v>44</v>
      </c>
      <c r="L2605" t="s">
        <v>53</v>
      </c>
      <c r="M2605" t="s">
        <v>54</v>
      </c>
      <c r="N2605" t="s">
        <v>85</v>
      </c>
      <c r="O2605" t="s">
        <v>86</v>
      </c>
      <c r="P2605" t="s">
        <v>43</v>
      </c>
      <c r="Q2605" t="s">
        <v>44</v>
      </c>
      <c r="R2605" s="1">
        <v>44313.405601851853</v>
      </c>
      <c r="S2605" s="1">
        <v>44313.405601851853</v>
      </c>
      <c r="T2605">
        <v>0</v>
      </c>
      <c r="U2605">
        <v>1</v>
      </c>
      <c r="V2605" s="2">
        <v>0</v>
      </c>
      <c r="W2605">
        <v>0</v>
      </c>
      <c r="X2605" t="s">
        <v>44</v>
      </c>
      <c r="Y2605">
        <v>0</v>
      </c>
      <c r="Z2605" t="s">
        <v>31</v>
      </c>
      <c r="AA2605">
        <v>0</v>
      </c>
      <c r="AB2605" t="s">
        <v>31</v>
      </c>
      <c r="AC2605">
        <v>0</v>
      </c>
      <c r="AD2605" t="s">
        <v>31</v>
      </c>
      <c r="AE2605">
        <v>0</v>
      </c>
      <c r="AF2605" t="s">
        <v>31</v>
      </c>
      <c r="AG2605">
        <v>0</v>
      </c>
      <c r="AH2605" t="s">
        <v>31</v>
      </c>
      <c r="AI2605">
        <v>0</v>
      </c>
      <c r="AJ2605" t="s">
        <v>31</v>
      </c>
      <c r="AK2605">
        <v>0</v>
      </c>
      <c r="AL2605" t="s">
        <v>31</v>
      </c>
      <c r="AM2605">
        <v>0</v>
      </c>
      <c r="AN2605" t="s">
        <v>31</v>
      </c>
      <c r="AO2605">
        <v>0</v>
      </c>
      <c r="AP2605" t="s">
        <v>31</v>
      </c>
      <c r="AQ2605">
        <v>0</v>
      </c>
    </row>
    <row r="2606" spans="1:43" x14ac:dyDescent="0.2">
      <c r="A2606" t="s">
        <v>381</v>
      </c>
      <c r="B2606" s="3">
        <v>44313</v>
      </c>
      <c r="C2606">
        <v>75</v>
      </c>
      <c r="D2606" t="s">
        <v>410</v>
      </c>
      <c r="E2606" t="s">
        <v>83</v>
      </c>
      <c r="F2606" s="9" t="s">
        <v>84</v>
      </c>
      <c r="G2606" t="s">
        <v>26</v>
      </c>
      <c r="H2606" t="s">
        <v>85</v>
      </c>
      <c r="I2606" t="s">
        <v>86</v>
      </c>
      <c r="J2606" t="s">
        <v>43</v>
      </c>
      <c r="K2606" t="s">
        <v>44</v>
      </c>
      <c r="L2606" t="s">
        <v>53</v>
      </c>
      <c r="M2606" t="s">
        <v>54</v>
      </c>
      <c r="N2606" t="s">
        <v>85</v>
      </c>
      <c r="O2606" t="s">
        <v>86</v>
      </c>
      <c r="P2606" t="s">
        <v>43</v>
      </c>
      <c r="Q2606" t="s">
        <v>44</v>
      </c>
      <c r="R2606" s="1">
        <v>44313.539409722223</v>
      </c>
      <c r="S2606" s="1">
        <v>44313.539409722223</v>
      </c>
      <c r="T2606">
        <v>0</v>
      </c>
      <c r="U2606">
        <v>1</v>
      </c>
      <c r="V2606" s="2">
        <v>0</v>
      </c>
      <c r="W2606">
        <v>0</v>
      </c>
      <c r="X2606" t="s">
        <v>44</v>
      </c>
      <c r="Y2606">
        <v>0</v>
      </c>
      <c r="Z2606" t="s">
        <v>31</v>
      </c>
      <c r="AA2606">
        <v>0</v>
      </c>
      <c r="AB2606" t="s">
        <v>31</v>
      </c>
      <c r="AC2606">
        <v>0</v>
      </c>
      <c r="AD2606" t="s">
        <v>31</v>
      </c>
      <c r="AE2606">
        <v>0</v>
      </c>
      <c r="AF2606" t="s">
        <v>31</v>
      </c>
      <c r="AG2606">
        <v>0</v>
      </c>
      <c r="AH2606" t="s">
        <v>31</v>
      </c>
      <c r="AI2606">
        <v>0</v>
      </c>
      <c r="AJ2606" t="s">
        <v>31</v>
      </c>
      <c r="AK2606">
        <v>0</v>
      </c>
      <c r="AL2606" t="s">
        <v>31</v>
      </c>
      <c r="AM2606">
        <v>0</v>
      </c>
      <c r="AN2606" t="s">
        <v>31</v>
      </c>
      <c r="AO2606">
        <v>0</v>
      </c>
      <c r="AP2606" t="s">
        <v>31</v>
      </c>
      <c r="AQ2606">
        <v>0</v>
      </c>
    </row>
    <row r="2607" spans="1:43" x14ac:dyDescent="0.2">
      <c r="A2607" t="s">
        <v>381</v>
      </c>
      <c r="B2607" s="3">
        <v>44313</v>
      </c>
      <c r="C2607">
        <v>76</v>
      </c>
      <c r="D2607" t="s">
        <v>385</v>
      </c>
      <c r="E2607" t="s">
        <v>83</v>
      </c>
      <c r="F2607" s="9" t="s">
        <v>84</v>
      </c>
      <c r="G2607" t="s">
        <v>26</v>
      </c>
      <c r="H2607" t="s">
        <v>85</v>
      </c>
      <c r="I2607" t="s">
        <v>86</v>
      </c>
      <c r="J2607" t="s">
        <v>43</v>
      </c>
      <c r="K2607" t="s">
        <v>44</v>
      </c>
      <c r="L2607" t="s">
        <v>53</v>
      </c>
      <c r="M2607" t="s">
        <v>54</v>
      </c>
      <c r="N2607" t="s">
        <v>85</v>
      </c>
      <c r="O2607" t="s">
        <v>86</v>
      </c>
      <c r="P2607" t="s">
        <v>43</v>
      </c>
      <c r="Q2607" t="s">
        <v>44</v>
      </c>
      <c r="R2607" s="1">
        <v>44313.560289351852</v>
      </c>
      <c r="S2607" s="1">
        <v>44313.572442129633</v>
      </c>
      <c r="T2607">
        <v>0</v>
      </c>
      <c r="U2607">
        <v>3</v>
      </c>
      <c r="V2607" s="2">
        <v>0</v>
      </c>
      <c r="W2607">
        <v>0</v>
      </c>
      <c r="X2607" t="s">
        <v>44</v>
      </c>
      <c r="Y2607">
        <v>0</v>
      </c>
      <c r="Z2607" t="s">
        <v>44</v>
      </c>
      <c r="AA2607">
        <v>0</v>
      </c>
      <c r="AB2607" t="s">
        <v>44</v>
      </c>
      <c r="AC2607">
        <v>0</v>
      </c>
      <c r="AD2607" t="s">
        <v>31</v>
      </c>
      <c r="AE2607">
        <v>0</v>
      </c>
      <c r="AF2607" t="s">
        <v>31</v>
      </c>
      <c r="AG2607">
        <v>0</v>
      </c>
      <c r="AH2607" t="s">
        <v>31</v>
      </c>
      <c r="AI2607">
        <v>0</v>
      </c>
      <c r="AJ2607" t="s">
        <v>31</v>
      </c>
      <c r="AK2607">
        <v>0</v>
      </c>
      <c r="AL2607" t="s">
        <v>31</v>
      </c>
      <c r="AM2607">
        <v>0</v>
      </c>
      <c r="AN2607" t="s">
        <v>31</v>
      </c>
      <c r="AO2607">
        <v>0</v>
      </c>
      <c r="AP2607" t="s">
        <v>31</v>
      </c>
      <c r="AQ2607">
        <v>0</v>
      </c>
    </row>
    <row r="2608" spans="1:43" x14ac:dyDescent="0.2">
      <c r="A2608" t="s">
        <v>381</v>
      </c>
      <c r="B2608" s="3">
        <v>44314</v>
      </c>
      <c r="C2608">
        <v>77</v>
      </c>
      <c r="D2608" t="s">
        <v>403</v>
      </c>
      <c r="E2608" t="s">
        <v>83</v>
      </c>
      <c r="F2608" s="9" t="s">
        <v>84</v>
      </c>
      <c r="G2608" t="s">
        <v>26</v>
      </c>
      <c r="H2608" t="s">
        <v>85</v>
      </c>
      <c r="I2608" t="s">
        <v>86</v>
      </c>
      <c r="J2608" t="s">
        <v>43</v>
      </c>
      <c r="K2608" t="s">
        <v>44</v>
      </c>
      <c r="L2608" t="s">
        <v>53</v>
      </c>
      <c r="M2608" t="s">
        <v>54</v>
      </c>
      <c r="N2608" t="s">
        <v>85</v>
      </c>
      <c r="O2608" t="s">
        <v>86</v>
      </c>
      <c r="P2608" t="s">
        <v>43</v>
      </c>
      <c r="Q2608" t="s">
        <v>44</v>
      </c>
      <c r="R2608" s="1">
        <v>44314.409201388888</v>
      </c>
      <c r="S2608" s="1">
        <v>44314.409201388888</v>
      </c>
      <c r="T2608">
        <v>0</v>
      </c>
      <c r="U2608">
        <v>1</v>
      </c>
      <c r="V2608" s="2">
        <v>0</v>
      </c>
      <c r="W2608">
        <v>0</v>
      </c>
      <c r="X2608" t="s">
        <v>44</v>
      </c>
      <c r="Y2608">
        <v>0</v>
      </c>
      <c r="Z2608" t="s">
        <v>31</v>
      </c>
      <c r="AA2608">
        <v>0</v>
      </c>
      <c r="AB2608" t="s">
        <v>31</v>
      </c>
      <c r="AC2608">
        <v>0</v>
      </c>
      <c r="AD2608" t="s">
        <v>31</v>
      </c>
      <c r="AE2608">
        <v>0</v>
      </c>
      <c r="AF2608" t="s">
        <v>31</v>
      </c>
      <c r="AG2608">
        <v>0</v>
      </c>
      <c r="AH2608" t="s">
        <v>31</v>
      </c>
      <c r="AI2608">
        <v>0</v>
      </c>
      <c r="AJ2608" t="s">
        <v>31</v>
      </c>
      <c r="AK2608">
        <v>0</v>
      </c>
      <c r="AL2608" t="s">
        <v>31</v>
      </c>
      <c r="AM2608">
        <v>0</v>
      </c>
      <c r="AN2608" t="s">
        <v>31</v>
      </c>
      <c r="AO2608">
        <v>0</v>
      </c>
      <c r="AP2608" t="s">
        <v>31</v>
      </c>
      <c r="AQ2608">
        <v>0</v>
      </c>
    </row>
    <row r="2609" spans="1:43" x14ac:dyDescent="0.2">
      <c r="A2609" t="s">
        <v>381</v>
      </c>
      <c r="B2609" s="3">
        <v>44314</v>
      </c>
      <c r="C2609">
        <v>78</v>
      </c>
      <c r="D2609" t="s">
        <v>387</v>
      </c>
      <c r="E2609" t="s">
        <v>83</v>
      </c>
      <c r="F2609" s="9" t="s">
        <v>84</v>
      </c>
      <c r="G2609" t="s">
        <v>26</v>
      </c>
      <c r="H2609" t="s">
        <v>85</v>
      </c>
      <c r="I2609" t="s">
        <v>86</v>
      </c>
      <c r="J2609" t="s">
        <v>43</v>
      </c>
      <c r="K2609" t="s">
        <v>44</v>
      </c>
      <c r="L2609" t="s">
        <v>53</v>
      </c>
      <c r="M2609" t="s">
        <v>54</v>
      </c>
      <c r="N2609" t="s">
        <v>85</v>
      </c>
      <c r="O2609" t="s">
        <v>86</v>
      </c>
      <c r="P2609" t="s">
        <v>43</v>
      </c>
      <c r="Q2609" t="s">
        <v>44</v>
      </c>
      <c r="R2609" s="1">
        <v>44314.559293981481</v>
      </c>
      <c r="S2609" s="1">
        <v>44314.559293981481</v>
      </c>
      <c r="T2609">
        <v>0</v>
      </c>
      <c r="U2609">
        <v>1</v>
      </c>
      <c r="V2609" s="2">
        <v>0</v>
      </c>
      <c r="W2609">
        <v>0</v>
      </c>
      <c r="X2609" t="s">
        <v>44</v>
      </c>
      <c r="Y2609">
        <v>0</v>
      </c>
      <c r="Z2609" t="s">
        <v>31</v>
      </c>
      <c r="AA2609">
        <v>0</v>
      </c>
      <c r="AB2609" t="s">
        <v>31</v>
      </c>
      <c r="AC2609">
        <v>0</v>
      </c>
      <c r="AD2609" t="s">
        <v>31</v>
      </c>
      <c r="AE2609">
        <v>0</v>
      </c>
      <c r="AF2609" t="s">
        <v>31</v>
      </c>
      <c r="AG2609">
        <v>0</v>
      </c>
      <c r="AH2609" t="s">
        <v>31</v>
      </c>
      <c r="AI2609">
        <v>0</v>
      </c>
      <c r="AJ2609" t="s">
        <v>31</v>
      </c>
      <c r="AK2609">
        <v>0</v>
      </c>
      <c r="AL2609" t="s">
        <v>31</v>
      </c>
      <c r="AM2609">
        <v>0</v>
      </c>
      <c r="AN2609" t="s">
        <v>31</v>
      </c>
      <c r="AO2609">
        <v>0</v>
      </c>
      <c r="AP2609" t="s">
        <v>31</v>
      </c>
      <c r="AQ2609">
        <v>0</v>
      </c>
    </row>
    <row r="2610" spans="1:43" x14ac:dyDescent="0.2">
      <c r="A2610" t="s">
        <v>381</v>
      </c>
      <c r="B2610" s="3">
        <v>44315</v>
      </c>
      <c r="C2610">
        <v>79</v>
      </c>
      <c r="D2610" t="s">
        <v>383</v>
      </c>
      <c r="E2610" t="s">
        <v>83</v>
      </c>
      <c r="F2610" s="9" t="s">
        <v>84</v>
      </c>
      <c r="G2610" t="s">
        <v>26</v>
      </c>
      <c r="H2610" t="s">
        <v>85</v>
      </c>
      <c r="I2610" t="s">
        <v>86</v>
      </c>
      <c r="J2610" t="s">
        <v>43</v>
      </c>
      <c r="K2610" t="s">
        <v>44</v>
      </c>
      <c r="L2610" t="s">
        <v>53</v>
      </c>
      <c r="M2610" t="s">
        <v>54</v>
      </c>
      <c r="N2610" t="s">
        <v>85</v>
      </c>
      <c r="O2610" t="s">
        <v>86</v>
      </c>
      <c r="P2610" t="s">
        <v>43</v>
      </c>
      <c r="Q2610" t="s">
        <v>44</v>
      </c>
      <c r="R2610" s="1">
        <v>44315.40483796296</v>
      </c>
      <c r="S2610" s="1">
        <v>44315.40483796296</v>
      </c>
      <c r="T2610">
        <v>0</v>
      </c>
      <c r="U2610">
        <v>1</v>
      </c>
      <c r="V2610" s="2">
        <v>0</v>
      </c>
      <c r="W2610">
        <v>0</v>
      </c>
      <c r="X2610" t="s">
        <v>44</v>
      </c>
      <c r="Y2610">
        <v>0</v>
      </c>
      <c r="Z2610" t="s">
        <v>31</v>
      </c>
      <c r="AA2610">
        <v>0</v>
      </c>
      <c r="AB2610" t="s">
        <v>31</v>
      </c>
      <c r="AC2610">
        <v>0</v>
      </c>
      <c r="AD2610" t="s">
        <v>31</v>
      </c>
      <c r="AE2610">
        <v>0</v>
      </c>
      <c r="AF2610" t="s">
        <v>31</v>
      </c>
      <c r="AG2610">
        <v>0</v>
      </c>
      <c r="AH2610" t="s">
        <v>31</v>
      </c>
      <c r="AI2610">
        <v>0</v>
      </c>
      <c r="AJ2610" t="s">
        <v>31</v>
      </c>
      <c r="AK2610">
        <v>0</v>
      </c>
      <c r="AL2610" t="s">
        <v>31</v>
      </c>
      <c r="AM2610">
        <v>0</v>
      </c>
      <c r="AN2610" t="s">
        <v>31</v>
      </c>
      <c r="AO2610">
        <v>0</v>
      </c>
      <c r="AP2610" t="s">
        <v>31</v>
      </c>
      <c r="AQ2610">
        <v>0</v>
      </c>
    </row>
    <row r="2611" spans="1:43" x14ac:dyDescent="0.2">
      <c r="A2611" t="s">
        <v>381</v>
      </c>
      <c r="B2611" s="3">
        <v>44315</v>
      </c>
      <c r="C2611">
        <v>81</v>
      </c>
      <c r="D2611" t="s">
        <v>385</v>
      </c>
      <c r="E2611" t="s">
        <v>83</v>
      </c>
      <c r="F2611" s="9" t="s">
        <v>84</v>
      </c>
      <c r="G2611" t="s">
        <v>26</v>
      </c>
      <c r="H2611" t="s">
        <v>85</v>
      </c>
      <c r="I2611" t="s">
        <v>86</v>
      </c>
      <c r="J2611" t="s">
        <v>43</v>
      </c>
      <c r="K2611" t="s">
        <v>44</v>
      </c>
      <c r="L2611" t="s">
        <v>53</v>
      </c>
      <c r="M2611" t="s">
        <v>54</v>
      </c>
      <c r="N2611" t="s">
        <v>85</v>
      </c>
      <c r="O2611" t="s">
        <v>86</v>
      </c>
      <c r="P2611" t="s">
        <v>43</v>
      </c>
      <c r="Q2611" t="s">
        <v>44</v>
      </c>
      <c r="R2611" s="1">
        <v>44315.554976851854</v>
      </c>
      <c r="S2611" s="1">
        <v>44315.629305555558</v>
      </c>
      <c r="T2611">
        <v>0</v>
      </c>
      <c r="U2611">
        <v>2</v>
      </c>
      <c r="V2611" s="2">
        <v>0</v>
      </c>
      <c r="W2611">
        <v>0</v>
      </c>
      <c r="X2611" t="s">
        <v>44</v>
      </c>
      <c r="Y2611">
        <v>0</v>
      </c>
      <c r="Z2611" t="s">
        <v>44</v>
      </c>
      <c r="AA2611">
        <v>0</v>
      </c>
      <c r="AB2611" t="s">
        <v>31</v>
      </c>
      <c r="AC2611">
        <v>0</v>
      </c>
      <c r="AD2611" t="s">
        <v>31</v>
      </c>
      <c r="AE2611">
        <v>0</v>
      </c>
      <c r="AF2611" t="s">
        <v>31</v>
      </c>
      <c r="AG2611">
        <v>0</v>
      </c>
      <c r="AH2611" t="s">
        <v>31</v>
      </c>
      <c r="AI2611">
        <v>0</v>
      </c>
      <c r="AJ2611" t="s">
        <v>31</v>
      </c>
      <c r="AK2611">
        <v>0</v>
      </c>
      <c r="AL2611" t="s">
        <v>31</v>
      </c>
      <c r="AM2611">
        <v>0</v>
      </c>
      <c r="AN2611" t="s">
        <v>31</v>
      </c>
      <c r="AO2611">
        <v>0</v>
      </c>
      <c r="AP2611" t="s">
        <v>31</v>
      </c>
      <c r="AQ2611">
        <v>0</v>
      </c>
    </row>
    <row r="2612" spans="1:43" x14ac:dyDescent="0.2">
      <c r="A2612" t="s">
        <v>381</v>
      </c>
      <c r="B2612" s="3">
        <v>44316</v>
      </c>
      <c r="C2612">
        <v>82</v>
      </c>
      <c r="D2612" t="s">
        <v>389</v>
      </c>
      <c r="E2612" t="s">
        <v>83</v>
      </c>
      <c r="F2612" s="9" t="s">
        <v>84</v>
      </c>
      <c r="G2612" t="s">
        <v>26</v>
      </c>
      <c r="H2612" t="s">
        <v>85</v>
      </c>
      <c r="I2612" t="s">
        <v>86</v>
      </c>
      <c r="J2612" t="s">
        <v>43</v>
      </c>
      <c r="K2612" t="s">
        <v>44</v>
      </c>
      <c r="L2612" t="s">
        <v>53</v>
      </c>
      <c r="M2612" t="s">
        <v>54</v>
      </c>
      <c r="N2612" t="s">
        <v>85</v>
      </c>
      <c r="O2612" t="s">
        <v>86</v>
      </c>
      <c r="P2612" t="s">
        <v>43</v>
      </c>
      <c r="Q2612" t="s">
        <v>44</v>
      </c>
      <c r="R2612" s="1">
        <v>44316.422094907408</v>
      </c>
      <c r="S2612" s="1">
        <v>44316.422094907408</v>
      </c>
      <c r="T2612">
        <v>0</v>
      </c>
      <c r="U2612">
        <v>1</v>
      </c>
      <c r="V2612" s="2">
        <v>0</v>
      </c>
      <c r="W2612">
        <v>0</v>
      </c>
      <c r="X2612" t="s">
        <v>44</v>
      </c>
      <c r="Y2612">
        <v>0</v>
      </c>
      <c r="Z2612" t="s">
        <v>31</v>
      </c>
      <c r="AA2612">
        <v>0</v>
      </c>
      <c r="AB2612" t="s">
        <v>31</v>
      </c>
      <c r="AC2612">
        <v>0</v>
      </c>
      <c r="AD2612" t="s">
        <v>31</v>
      </c>
      <c r="AE2612">
        <v>0</v>
      </c>
      <c r="AF2612" t="s">
        <v>31</v>
      </c>
      <c r="AG2612">
        <v>0</v>
      </c>
      <c r="AH2612" t="s">
        <v>31</v>
      </c>
      <c r="AI2612">
        <v>0</v>
      </c>
      <c r="AJ2612" t="s">
        <v>31</v>
      </c>
      <c r="AK2612">
        <v>0</v>
      </c>
      <c r="AL2612" t="s">
        <v>31</v>
      </c>
      <c r="AM2612">
        <v>0</v>
      </c>
      <c r="AN2612" t="s">
        <v>31</v>
      </c>
      <c r="AO2612">
        <v>0</v>
      </c>
      <c r="AP2612" t="s">
        <v>31</v>
      </c>
      <c r="AQ2612">
        <v>0</v>
      </c>
    </row>
    <row r="2613" spans="1:43" x14ac:dyDescent="0.2">
      <c r="A2613" t="s">
        <v>381</v>
      </c>
      <c r="B2613" s="3">
        <v>44316</v>
      </c>
      <c r="C2613">
        <v>83</v>
      </c>
      <c r="D2613" t="s">
        <v>387</v>
      </c>
      <c r="E2613" t="s">
        <v>83</v>
      </c>
      <c r="F2613" s="9" t="s">
        <v>84</v>
      </c>
      <c r="G2613" t="s">
        <v>26</v>
      </c>
      <c r="H2613" t="s">
        <v>85</v>
      </c>
      <c r="I2613" t="s">
        <v>86</v>
      </c>
      <c r="J2613" t="s">
        <v>43</v>
      </c>
      <c r="K2613" t="s">
        <v>44</v>
      </c>
      <c r="L2613" t="s">
        <v>53</v>
      </c>
      <c r="M2613" t="s">
        <v>54</v>
      </c>
      <c r="N2613" t="s">
        <v>85</v>
      </c>
      <c r="O2613" t="s">
        <v>86</v>
      </c>
      <c r="P2613" t="s">
        <v>43</v>
      </c>
      <c r="Q2613" t="s">
        <v>44</v>
      </c>
      <c r="R2613" s="1">
        <v>44316.538761574076</v>
      </c>
      <c r="S2613" s="1">
        <v>44316.538761574076</v>
      </c>
      <c r="T2613">
        <v>0</v>
      </c>
      <c r="U2613">
        <v>1</v>
      </c>
      <c r="V2613" s="2">
        <v>0</v>
      </c>
      <c r="W2613">
        <v>0</v>
      </c>
      <c r="X2613" t="s">
        <v>44</v>
      </c>
      <c r="Y2613">
        <v>0</v>
      </c>
      <c r="Z2613" t="s">
        <v>31</v>
      </c>
      <c r="AA2613">
        <v>0</v>
      </c>
      <c r="AB2613" t="s">
        <v>31</v>
      </c>
      <c r="AC2613">
        <v>0</v>
      </c>
      <c r="AD2613" t="s">
        <v>31</v>
      </c>
      <c r="AE2613">
        <v>0</v>
      </c>
      <c r="AF2613" t="s">
        <v>31</v>
      </c>
      <c r="AG2613">
        <v>0</v>
      </c>
      <c r="AH2613" t="s">
        <v>31</v>
      </c>
      <c r="AI2613">
        <v>0</v>
      </c>
      <c r="AJ2613" t="s">
        <v>31</v>
      </c>
      <c r="AK2613">
        <v>0</v>
      </c>
      <c r="AL2613" t="s">
        <v>31</v>
      </c>
      <c r="AM2613">
        <v>0</v>
      </c>
      <c r="AN2613" t="s">
        <v>31</v>
      </c>
      <c r="AO2613">
        <v>0</v>
      </c>
      <c r="AP2613" t="s">
        <v>31</v>
      </c>
      <c r="AQ2613">
        <v>0</v>
      </c>
    </row>
    <row r="2614" spans="1:43" x14ac:dyDescent="0.2">
      <c r="A2614" t="s">
        <v>381</v>
      </c>
      <c r="B2614" s="3">
        <v>44319</v>
      </c>
      <c r="C2614">
        <v>84</v>
      </c>
      <c r="D2614" t="s">
        <v>390</v>
      </c>
      <c r="E2614" t="s">
        <v>83</v>
      </c>
      <c r="F2614" s="9" t="s">
        <v>84</v>
      </c>
      <c r="G2614" t="s">
        <v>26</v>
      </c>
      <c r="H2614" t="s">
        <v>85</v>
      </c>
      <c r="I2614" t="s">
        <v>86</v>
      </c>
      <c r="J2614" t="s">
        <v>43</v>
      </c>
      <c r="K2614" t="s">
        <v>44</v>
      </c>
      <c r="L2614" t="s">
        <v>53</v>
      </c>
      <c r="M2614" t="s">
        <v>54</v>
      </c>
      <c r="N2614" t="s">
        <v>85</v>
      </c>
      <c r="O2614" t="s">
        <v>86</v>
      </c>
      <c r="P2614" t="s">
        <v>43</v>
      </c>
      <c r="Q2614" t="s">
        <v>44</v>
      </c>
      <c r="R2614" s="1">
        <v>44319.423703703702</v>
      </c>
      <c r="S2614" s="1">
        <v>44319.423703703702</v>
      </c>
      <c r="T2614">
        <v>0</v>
      </c>
      <c r="U2614">
        <v>1</v>
      </c>
      <c r="V2614" s="2">
        <v>0</v>
      </c>
      <c r="W2614">
        <v>0</v>
      </c>
      <c r="X2614" t="s">
        <v>44</v>
      </c>
      <c r="Y2614">
        <v>0</v>
      </c>
      <c r="Z2614" t="s">
        <v>31</v>
      </c>
      <c r="AA2614">
        <v>0</v>
      </c>
      <c r="AB2614" t="s">
        <v>31</v>
      </c>
      <c r="AC2614">
        <v>0</v>
      </c>
      <c r="AD2614" t="s">
        <v>31</v>
      </c>
      <c r="AE2614">
        <v>0</v>
      </c>
      <c r="AF2614" t="s">
        <v>31</v>
      </c>
      <c r="AG2614">
        <v>0</v>
      </c>
      <c r="AH2614" t="s">
        <v>31</v>
      </c>
      <c r="AI2614">
        <v>0</v>
      </c>
      <c r="AJ2614" t="s">
        <v>31</v>
      </c>
      <c r="AK2614">
        <v>0</v>
      </c>
      <c r="AL2614" t="s">
        <v>31</v>
      </c>
      <c r="AM2614">
        <v>0</v>
      </c>
      <c r="AN2614" t="s">
        <v>31</v>
      </c>
      <c r="AO2614">
        <v>0</v>
      </c>
      <c r="AP2614" t="s">
        <v>31</v>
      </c>
      <c r="AQ2614">
        <v>0</v>
      </c>
    </row>
    <row r="2615" spans="1:43" x14ac:dyDescent="0.2">
      <c r="A2615" t="s">
        <v>381</v>
      </c>
      <c r="B2615" s="3">
        <v>44319</v>
      </c>
      <c r="C2615">
        <v>85</v>
      </c>
      <c r="D2615" t="s">
        <v>387</v>
      </c>
      <c r="E2615" t="s">
        <v>83</v>
      </c>
      <c r="F2615" s="9" t="s">
        <v>84</v>
      </c>
      <c r="G2615" t="s">
        <v>26</v>
      </c>
      <c r="H2615" t="s">
        <v>85</v>
      </c>
      <c r="I2615" t="s">
        <v>86</v>
      </c>
      <c r="J2615" t="s">
        <v>43</v>
      </c>
      <c r="K2615" t="s">
        <v>44</v>
      </c>
      <c r="L2615" t="s">
        <v>53</v>
      </c>
      <c r="M2615" t="s">
        <v>54</v>
      </c>
      <c r="N2615" t="s">
        <v>85</v>
      </c>
      <c r="O2615" t="s">
        <v>86</v>
      </c>
      <c r="P2615" t="s">
        <v>43</v>
      </c>
      <c r="Q2615" t="s">
        <v>44</v>
      </c>
      <c r="R2615" s="1">
        <v>44319.642187500001</v>
      </c>
      <c r="S2615" s="1">
        <v>44319.642187500001</v>
      </c>
      <c r="T2615">
        <v>0</v>
      </c>
      <c r="U2615">
        <v>1</v>
      </c>
      <c r="V2615" s="2">
        <v>0</v>
      </c>
      <c r="W2615">
        <v>0</v>
      </c>
      <c r="X2615" t="s">
        <v>44</v>
      </c>
      <c r="Y2615">
        <v>0</v>
      </c>
      <c r="Z2615" t="s">
        <v>31</v>
      </c>
      <c r="AA2615">
        <v>0</v>
      </c>
      <c r="AB2615" t="s">
        <v>31</v>
      </c>
      <c r="AC2615">
        <v>0</v>
      </c>
      <c r="AD2615" t="s">
        <v>31</v>
      </c>
      <c r="AE2615">
        <v>0</v>
      </c>
      <c r="AF2615" t="s">
        <v>31</v>
      </c>
      <c r="AG2615">
        <v>0</v>
      </c>
      <c r="AH2615" t="s">
        <v>31</v>
      </c>
      <c r="AI2615">
        <v>0</v>
      </c>
      <c r="AJ2615" t="s">
        <v>31</v>
      </c>
      <c r="AK2615">
        <v>0</v>
      </c>
      <c r="AL2615" t="s">
        <v>31</v>
      </c>
      <c r="AM2615">
        <v>0</v>
      </c>
      <c r="AN2615" t="s">
        <v>31</v>
      </c>
      <c r="AO2615">
        <v>0</v>
      </c>
      <c r="AP2615" t="s">
        <v>31</v>
      </c>
      <c r="AQ2615">
        <v>0</v>
      </c>
    </row>
    <row r="2616" spans="1:43" x14ac:dyDescent="0.2">
      <c r="A2616" t="s">
        <v>381</v>
      </c>
      <c r="B2616" s="3">
        <v>44320</v>
      </c>
      <c r="C2616">
        <v>86</v>
      </c>
      <c r="D2616" t="s">
        <v>412</v>
      </c>
      <c r="E2616" t="s">
        <v>83</v>
      </c>
      <c r="F2616" s="9" t="s">
        <v>84</v>
      </c>
      <c r="G2616" t="s">
        <v>26</v>
      </c>
      <c r="H2616" t="s">
        <v>85</v>
      </c>
      <c r="I2616" t="s">
        <v>86</v>
      </c>
      <c r="J2616" t="s">
        <v>43</v>
      </c>
      <c r="K2616" t="s">
        <v>44</v>
      </c>
      <c r="L2616" t="s">
        <v>53</v>
      </c>
      <c r="M2616" t="s">
        <v>54</v>
      </c>
      <c r="N2616" t="s">
        <v>85</v>
      </c>
      <c r="O2616" t="s">
        <v>86</v>
      </c>
      <c r="P2616" t="s">
        <v>43</v>
      </c>
      <c r="Q2616" t="s">
        <v>44</v>
      </c>
      <c r="R2616" s="1">
        <v>44320.423657407409</v>
      </c>
      <c r="S2616" s="1">
        <v>44320.424108796295</v>
      </c>
      <c r="T2616">
        <v>0</v>
      </c>
      <c r="U2616">
        <v>1</v>
      </c>
      <c r="V2616" s="2">
        <v>0</v>
      </c>
      <c r="W2616">
        <v>0</v>
      </c>
      <c r="X2616" t="s">
        <v>44</v>
      </c>
      <c r="Y2616">
        <v>0</v>
      </c>
      <c r="Z2616" t="s">
        <v>31</v>
      </c>
      <c r="AA2616">
        <v>0</v>
      </c>
      <c r="AB2616" t="s">
        <v>31</v>
      </c>
      <c r="AC2616">
        <v>0</v>
      </c>
      <c r="AD2616" t="s">
        <v>31</v>
      </c>
      <c r="AE2616">
        <v>0</v>
      </c>
      <c r="AF2616" t="s">
        <v>31</v>
      </c>
      <c r="AG2616">
        <v>0</v>
      </c>
      <c r="AH2616" t="s">
        <v>31</v>
      </c>
      <c r="AI2616">
        <v>0</v>
      </c>
      <c r="AJ2616" t="s">
        <v>31</v>
      </c>
      <c r="AK2616">
        <v>0</v>
      </c>
      <c r="AL2616" t="s">
        <v>31</v>
      </c>
      <c r="AM2616">
        <v>0</v>
      </c>
      <c r="AN2616" t="s">
        <v>31</v>
      </c>
      <c r="AO2616">
        <v>0</v>
      </c>
      <c r="AP2616" t="s">
        <v>31</v>
      </c>
      <c r="AQ2616">
        <v>0</v>
      </c>
    </row>
    <row r="2617" spans="1:43" x14ac:dyDescent="0.2">
      <c r="A2617" t="s">
        <v>381</v>
      </c>
      <c r="B2617" s="3">
        <v>44320</v>
      </c>
      <c r="C2617">
        <v>87</v>
      </c>
      <c r="D2617" t="s">
        <v>385</v>
      </c>
      <c r="E2617" t="s">
        <v>83</v>
      </c>
      <c r="F2617" s="9" t="s">
        <v>84</v>
      </c>
      <c r="G2617" t="s">
        <v>26</v>
      </c>
      <c r="H2617" t="s">
        <v>85</v>
      </c>
      <c r="I2617" t="s">
        <v>86</v>
      </c>
      <c r="J2617" t="s">
        <v>43</v>
      </c>
      <c r="K2617" t="s">
        <v>44</v>
      </c>
      <c r="L2617" t="s">
        <v>53</v>
      </c>
      <c r="M2617" t="s">
        <v>54</v>
      </c>
      <c r="N2617" t="s">
        <v>85</v>
      </c>
      <c r="O2617" t="s">
        <v>86</v>
      </c>
      <c r="P2617" t="s">
        <v>43</v>
      </c>
      <c r="Q2617" t="s">
        <v>44</v>
      </c>
      <c r="R2617" s="1">
        <v>44320.55196759259</v>
      </c>
      <c r="S2617" s="1">
        <v>44320.55196759259</v>
      </c>
      <c r="T2617">
        <v>0</v>
      </c>
      <c r="U2617">
        <v>2</v>
      </c>
      <c r="V2617" s="2">
        <v>0</v>
      </c>
      <c r="W2617">
        <v>0</v>
      </c>
      <c r="X2617" t="s">
        <v>44</v>
      </c>
      <c r="Y2617">
        <v>0</v>
      </c>
      <c r="Z2617" t="s">
        <v>44</v>
      </c>
      <c r="AA2617">
        <v>0</v>
      </c>
      <c r="AB2617" t="s">
        <v>31</v>
      </c>
      <c r="AC2617">
        <v>0</v>
      </c>
      <c r="AD2617" t="s">
        <v>31</v>
      </c>
      <c r="AE2617">
        <v>0</v>
      </c>
      <c r="AF2617" t="s">
        <v>31</v>
      </c>
      <c r="AG2617">
        <v>0</v>
      </c>
      <c r="AH2617" t="s">
        <v>31</v>
      </c>
      <c r="AI2617">
        <v>0</v>
      </c>
      <c r="AJ2617" t="s">
        <v>31</v>
      </c>
      <c r="AK2617">
        <v>0</v>
      </c>
      <c r="AL2617" t="s">
        <v>31</v>
      </c>
      <c r="AM2617">
        <v>0</v>
      </c>
      <c r="AN2617" t="s">
        <v>31</v>
      </c>
      <c r="AO2617">
        <v>0</v>
      </c>
      <c r="AP2617" t="s">
        <v>31</v>
      </c>
      <c r="AQ2617">
        <v>0</v>
      </c>
    </row>
    <row r="2618" spans="1:43" x14ac:dyDescent="0.2">
      <c r="A2618" t="s">
        <v>381</v>
      </c>
      <c r="B2618" s="3">
        <v>44321</v>
      </c>
      <c r="C2618">
        <v>89</v>
      </c>
      <c r="D2618" t="s">
        <v>387</v>
      </c>
      <c r="E2618" t="s">
        <v>83</v>
      </c>
      <c r="F2618" s="9" t="s">
        <v>84</v>
      </c>
      <c r="G2618" t="s">
        <v>26</v>
      </c>
      <c r="H2618" t="s">
        <v>85</v>
      </c>
      <c r="I2618" t="s">
        <v>86</v>
      </c>
      <c r="J2618" t="s">
        <v>43</v>
      </c>
      <c r="K2618" t="s">
        <v>44</v>
      </c>
      <c r="L2618" t="s">
        <v>53</v>
      </c>
      <c r="M2618" t="s">
        <v>54</v>
      </c>
      <c r="N2618" t="s">
        <v>85</v>
      </c>
      <c r="O2618" t="s">
        <v>86</v>
      </c>
      <c r="P2618" t="s">
        <v>43</v>
      </c>
      <c r="Q2618" t="s">
        <v>44</v>
      </c>
      <c r="R2618" s="1">
        <v>44321.622708333336</v>
      </c>
      <c r="S2618" s="1">
        <v>44321.622708333336</v>
      </c>
      <c r="T2618">
        <v>0</v>
      </c>
      <c r="U2618">
        <v>1</v>
      </c>
      <c r="V2618" s="2">
        <v>0</v>
      </c>
      <c r="W2618">
        <v>0</v>
      </c>
      <c r="X2618" t="s">
        <v>44</v>
      </c>
      <c r="Y2618">
        <v>0</v>
      </c>
      <c r="Z2618" t="s">
        <v>31</v>
      </c>
      <c r="AA2618">
        <v>0</v>
      </c>
      <c r="AB2618" t="s">
        <v>31</v>
      </c>
      <c r="AC2618">
        <v>0</v>
      </c>
      <c r="AD2618" t="s">
        <v>31</v>
      </c>
      <c r="AE2618">
        <v>0</v>
      </c>
      <c r="AF2618" t="s">
        <v>31</v>
      </c>
      <c r="AG2618">
        <v>0</v>
      </c>
      <c r="AH2618" t="s">
        <v>31</v>
      </c>
      <c r="AI2618">
        <v>0</v>
      </c>
      <c r="AJ2618" t="s">
        <v>31</v>
      </c>
      <c r="AK2618">
        <v>0</v>
      </c>
      <c r="AL2618" t="s">
        <v>31</v>
      </c>
      <c r="AM2618">
        <v>0</v>
      </c>
      <c r="AN2618" t="s">
        <v>31</v>
      </c>
      <c r="AO2618">
        <v>0</v>
      </c>
      <c r="AP2618" t="s">
        <v>31</v>
      </c>
      <c r="AQ2618">
        <v>0</v>
      </c>
    </row>
    <row r="2619" spans="1:43" x14ac:dyDescent="0.2">
      <c r="A2619" t="s">
        <v>381</v>
      </c>
      <c r="B2619" s="3">
        <v>44326</v>
      </c>
      <c r="C2619">
        <v>92</v>
      </c>
      <c r="D2619" t="s">
        <v>390</v>
      </c>
      <c r="E2619" t="s">
        <v>83</v>
      </c>
      <c r="F2619" s="9" t="s">
        <v>84</v>
      </c>
      <c r="G2619" t="s">
        <v>26</v>
      </c>
      <c r="H2619" t="s">
        <v>85</v>
      </c>
      <c r="I2619" t="s">
        <v>86</v>
      </c>
      <c r="J2619" t="s">
        <v>43</v>
      </c>
      <c r="K2619" t="s">
        <v>44</v>
      </c>
      <c r="L2619" t="s">
        <v>53</v>
      </c>
      <c r="M2619" t="s">
        <v>54</v>
      </c>
      <c r="N2619" t="s">
        <v>85</v>
      </c>
      <c r="O2619" t="s">
        <v>86</v>
      </c>
      <c r="P2619" t="s">
        <v>43</v>
      </c>
      <c r="Q2619" t="s">
        <v>44</v>
      </c>
      <c r="R2619" s="1">
        <v>44326.461284722223</v>
      </c>
      <c r="S2619" s="1">
        <v>44326.461284722223</v>
      </c>
      <c r="T2619">
        <v>0</v>
      </c>
      <c r="U2619">
        <v>1</v>
      </c>
      <c r="V2619" s="2">
        <v>0</v>
      </c>
      <c r="W2619">
        <v>0</v>
      </c>
      <c r="X2619" t="s">
        <v>44</v>
      </c>
      <c r="Y2619">
        <v>0</v>
      </c>
      <c r="Z2619" t="s">
        <v>31</v>
      </c>
      <c r="AA2619">
        <v>0</v>
      </c>
      <c r="AB2619" t="s">
        <v>31</v>
      </c>
      <c r="AC2619">
        <v>0</v>
      </c>
      <c r="AD2619" t="s">
        <v>31</v>
      </c>
      <c r="AE2619">
        <v>0</v>
      </c>
      <c r="AF2619" t="s">
        <v>31</v>
      </c>
      <c r="AG2619">
        <v>0</v>
      </c>
      <c r="AH2619" t="s">
        <v>31</v>
      </c>
      <c r="AI2619">
        <v>0</v>
      </c>
      <c r="AJ2619" t="s">
        <v>31</v>
      </c>
      <c r="AK2619">
        <v>0</v>
      </c>
      <c r="AL2619" t="s">
        <v>31</v>
      </c>
      <c r="AM2619">
        <v>0</v>
      </c>
      <c r="AN2619" t="s">
        <v>31</v>
      </c>
      <c r="AO2619">
        <v>0</v>
      </c>
      <c r="AP2619" t="s">
        <v>31</v>
      </c>
      <c r="AQ2619">
        <v>0</v>
      </c>
    </row>
    <row r="2620" spans="1:43" x14ac:dyDescent="0.2">
      <c r="A2620" t="s">
        <v>381</v>
      </c>
      <c r="B2620" s="3">
        <v>44327</v>
      </c>
      <c r="C2620">
        <v>96</v>
      </c>
      <c r="D2620" t="s">
        <v>385</v>
      </c>
      <c r="E2620" t="s">
        <v>83</v>
      </c>
      <c r="F2620" s="9" t="s">
        <v>84</v>
      </c>
      <c r="G2620" t="s">
        <v>26</v>
      </c>
      <c r="H2620" t="s">
        <v>85</v>
      </c>
      <c r="I2620" t="s">
        <v>86</v>
      </c>
      <c r="J2620" t="s">
        <v>43</v>
      </c>
      <c r="K2620" t="s">
        <v>44</v>
      </c>
      <c r="L2620" t="s">
        <v>53</v>
      </c>
      <c r="M2620" t="s">
        <v>54</v>
      </c>
      <c r="N2620" t="s">
        <v>85</v>
      </c>
      <c r="O2620" t="s">
        <v>86</v>
      </c>
      <c r="P2620" t="s">
        <v>43</v>
      </c>
      <c r="Q2620" t="s">
        <v>44</v>
      </c>
      <c r="R2620" s="1">
        <v>44327.586296296293</v>
      </c>
      <c r="S2620" s="1">
        <v>44327.588425925926</v>
      </c>
      <c r="T2620">
        <v>0</v>
      </c>
      <c r="U2620">
        <v>2</v>
      </c>
      <c r="V2620" s="2">
        <v>0</v>
      </c>
      <c r="W2620">
        <v>0</v>
      </c>
      <c r="X2620" t="s">
        <v>44</v>
      </c>
      <c r="Y2620">
        <v>0</v>
      </c>
      <c r="Z2620" t="s">
        <v>44</v>
      </c>
      <c r="AA2620">
        <v>0</v>
      </c>
      <c r="AB2620" t="s">
        <v>31</v>
      </c>
      <c r="AC2620">
        <v>0</v>
      </c>
      <c r="AD2620" t="s">
        <v>31</v>
      </c>
      <c r="AE2620">
        <v>0</v>
      </c>
      <c r="AF2620" t="s">
        <v>31</v>
      </c>
      <c r="AG2620">
        <v>0</v>
      </c>
      <c r="AH2620" t="s">
        <v>31</v>
      </c>
      <c r="AI2620">
        <v>0</v>
      </c>
      <c r="AJ2620" t="s">
        <v>31</v>
      </c>
      <c r="AK2620">
        <v>0</v>
      </c>
      <c r="AL2620" t="s">
        <v>31</v>
      </c>
      <c r="AM2620">
        <v>0</v>
      </c>
      <c r="AN2620" t="s">
        <v>31</v>
      </c>
      <c r="AO2620">
        <v>0</v>
      </c>
      <c r="AP2620" t="s">
        <v>31</v>
      </c>
      <c r="AQ2620">
        <v>0</v>
      </c>
    </row>
    <row r="2621" spans="1:43" x14ac:dyDescent="0.2">
      <c r="A2621" t="s">
        <v>381</v>
      </c>
      <c r="B2621" s="3">
        <v>44328</v>
      </c>
      <c r="C2621">
        <v>97</v>
      </c>
      <c r="D2621" t="s">
        <v>387</v>
      </c>
      <c r="E2621" t="s">
        <v>83</v>
      </c>
      <c r="F2621" s="9" t="s">
        <v>84</v>
      </c>
      <c r="G2621" t="s">
        <v>26</v>
      </c>
      <c r="H2621" t="s">
        <v>85</v>
      </c>
      <c r="I2621" t="s">
        <v>86</v>
      </c>
      <c r="J2621" t="s">
        <v>43</v>
      </c>
      <c r="K2621" t="s">
        <v>44</v>
      </c>
      <c r="L2621" t="s">
        <v>53</v>
      </c>
      <c r="M2621" t="s">
        <v>54</v>
      </c>
      <c r="N2621" t="s">
        <v>85</v>
      </c>
      <c r="O2621" t="s">
        <v>86</v>
      </c>
      <c r="P2621" t="s">
        <v>43</v>
      </c>
      <c r="Q2621" t="s">
        <v>44</v>
      </c>
      <c r="R2621" s="1">
        <v>44328.646689814814</v>
      </c>
      <c r="S2621" s="1">
        <v>44328.646689814814</v>
      </c>
      <c r="T2621">
        <v>0</v>
      </c>
      <c r="U2621">
        <v>1</v>
      </c>
      <c r="V2621" s="2">
        <v>0</v>
      </c>
      <c r="W2621">
        <v>0</v>
      </c>
      <c r="X2621" t="s">
        <v>44</v>
      </c>
      <c r="Y2621">
        <v>0</v>
      </c>
      <c r="Z2621" t="s">
        <v>31</v>
      </c>
      <c r="AA2621">
        <v>0</v>
      </c>
      <c r="AB2621" t="s">
        <v>31</v>
      </c>
      <c r="AC2621">
        <v>0</v>
      </c>
      <c r="AD2621" t="s">
        <v>31</v>
      </c>
      <c r="AE2621">
        <v>0</v>
      </c>
      <c r="AF2621" t="s">
        <v>31</v>
      </c>
      <c r="AG2621">
        <v>0</v>
      </c>
      <c r="AH2621" t="s">
        <v>31</v>
      </c>
      <c r="AI2621">
        <v>0</v>
      </c>
      <c r="AJ2621" t="s">
        <v>31</v>
      </c>
      <c r="AK2621">
        <v>0</v>
      </c>
      <c r="AL2621" t="s">
        <v>31</v>
      </c>
      <c r="AM2621">
        <v>0</v>
      </c>
      <c r="AN2621" t="s">
        <v>31</v>
      </c>
      <c r="AO2621">
        <v>0</v>
      </c>
      <c r="AP2621" t="s">
        <v>31</v>
      </c>
      <c r="AQ2621">
        <v>0</v>
      </c>
    </row>
    <row r="2622" spans="1:43" x14ac:dyDescent="0.2">
      <c r="A2622" t="s">
        <v>381</v>
      </c>
      <c r="B2622" s="3">
        <v>44334</v>
      </c>
      <c r="C2622">
        <v>99</v>
      </c>
      <c r="D2622" t="s">
        <v>385</v>
      </c>
      <c r="E2622" t="s">
        <v>83</v>
      </c>
      <c r="F2622" s="9" t="s">
        <v>84</v>
      </c>
      <c r="G2622" t="s">
        <v>26</v>
      </c>
      <c r="H2622" t="s">
        <v>85</v>
      </c>
      <c r="I2622" t="s">
        <v>86</v>
      </c>
      <c r="J2622" t="s">
        <v>43</v>
      </c>
      <c r="K2622" t="s">
        <v>44</v>
      </c>
      <c r="L2622" t="s">
        <v>53</v>
      </c>
      <c r="M2622" t="s">
        <v>54</v>
      </c>
      <c r="N2622" t="s">
        <v>85</v>
      </c>
      <c r="O2622" t="s">
        <v>86</v>
      </c>
      <c r="P2622" t="s">
        <v>43</v>
      </c>
      <c r="Q2622" t="s">
        <v>44</v>
      </c>
      <c r="R2622" s="1">
        <v>44334.5471875</v>
      </c>
      <c r="S2622" s="1">
        <v>44334.631215277775</v>
      </c>
      <c r="T2622">
        <v>0</v>
      </c>
      <c r="U2622">
        <v>4</v>
      </c>
      <c r="V2622" s="2">
        <v>0</v>
      </c>
      <c r="W2622">
        <v>0</v>
      </c>
      <c r="X2622" t="s">
        <v>44</v>
      </c>
      <c r="Y2622">
        <v>0</v>
      </c>
      <c r="Z2622" t="s">
        <v>44</v>
      </c>
      <c r="AA2622">
        <v>0</v>
      </c>
      <c r="AB2622" t="s">
        <v>44</v>
      </c>
      <c r="AC2622">
        <v>0</v>
      </c>
      <c r="AD2622" t="s">
        <v>44</v>
      </c>
      <c r="AE2622">
        <v>0</v>
      </c>
      <c r="AF2622" t="s">
        <v>31</v>
      </c>
      <c r="AG2622">
        <v>0</v>
      </c>
      <c r="AH2622" t="s">
        <v>31</v>
      </c>
      <c r="AI2622">
        <v>0</v>
      </c>
      <c r="AJ2622" t="s">
        <v>31</v>
      </c>
      <c r="AK2622">
        <v>0</v>
      </c>
      <c r="AL2622" t="s">
        <v>31</v>
      </c>
      <c r="AM2622">
        <v>0</v>
      </c>
      <c r="AN2622" t="s">
        <v>31</v>
      </c>
      <c r="AO2622">
        <v>0</v>
      </c>
      <c r="AP2622" t="s">
        <v>31</v>
      </c>
      <c r="AQ2622">
        <v>0</v>
      </c>
    </row>
    <row r="2623" spans="1:43" x14ac:dyDescent="0.2">
      <c r="A2623" t="s">
        <v>381</v>
      </c>
      <c r="B2623" s="3">
        <v>44336</v>
      </c>
      <c r="C2623">
        <v>103</v>
      </c>
      <c r="D2623" t="s">
        <v>385</v>
      </c>
      <c r="E2623" t="s">
        <v>83</v>
      </c>
      <c r="F2623" s="9" t="s">
        <v>84</v>
      </c>
      <c r="G2623" t="s">
        <v>26</v>
      </c>
      <c r="H2623" t="s">
        <v>85</v>
      </c>
      <c r="I2623" t="s">
        <v>86</v>
      </c>
      <c r="J2623" t="s">
        <v>43</v>
      </c>
      <c r="K2623" t="s">
        <v>44</v>
      </c>
      <c r="L2623" t="s">
        <v>53</v>
      </c>
      <c r="M2623" t="s">
        <v>54</v>
      </c>
      <c r="N2623" t="s">
        <v>85</v>
      </c>
      <c r="O2623" t="s">
        <v>86</v>
      </c>
      <c r="P2623" t="s">
        <v>43</v>
      </c>
      <c r="Q2623" t="s">
        <v>44</v>
      </c>
      <c r="R2623" s="1">
        <v>44336.542210648149</v>
      </c>
      <c r="S2623" s="1">
        <v>44336.542210648149</v>
      </c>
      <c r="T2623">
        <v>0</v>
      </c>
      <c r="U2623">
        <v>2</v>
      </c>
      <c r="V2623" s="2">
        <v>0</v>
      </c>
      <c r="W2623">
        <v>0</v>
      </c>
      <c r="X2623" t="s">
        <v>44</v>
      </c>
      <c r="Y2623">
        <v>0</v>
      </c>
      <c r="Z2623" t="s">
        <v>44</v>
      </c>
      <c r="AA2623">
        <v>0</v>
      </c>
      <c r="AB2623" t="s">
        <v>31</v>
      </c>
      <c r="AC2623">
        <v>0</v>
      </c>
      <c r="AD2623" t="s">
        <v>31</v>
      </c>
      <c r="AE2623">
        <v>0</v>
      </c>
      <c r="AF2623" t="s">
        <v>31</v>
      </c>
      <c r="AG2623">
        <v>0</v>
      </c>
      <c r="AH2623" t="s">
        <v>31</v>
      </c>
      <c r="AI2623">
        <v>0</v>
      </c>
      <c r="AJ2623" t="s">
        <v>31</v>
      </c>
      <c r="AK2623">
        <v>0</v>
      </c>
      <c r="AL2623" t="s">
        <v>31</v>
      </c>
      <c r="AM2623">
        <v>0</v>
      </c>
      <c r="AN2623" t="s">
        <v>31</v>
      </c>
      <c r="AO2623">
        <v>0</v>
      </c>
      <c r="AP2623" t="s">
        <v>31</v>
      </c>
      <c r="AQ2623">
        <v>0</v>
      </c>
    </row>
    <row r="2624" spans="1:43" x14ac:dyDescent="0.2">
      <c r="A2624" t="s">
        <v>381</v>
      </c>
      <c r="B2624" s="3">
        <v>44337</v>
      </c>
      <c r="C2624">
        <v>104</v>
      </c>
      <c r="D2624" t="s">
        <v>390</v>
      </c>
      <c r="E2624" t="s">
        <v>83</v>
      </c>
      <c r="F2624" s="9" t="s">
        <v>84</v>
      </c>
      <c r="G2624" t="s">
        <v>26</v>
      </c>
      <c r="H2624" t="s">
        <v>85</v>
      </c>
      <c r="I2624" t="s">
        <v>86</v>
      </c>
      <c r="J2624" t="s">
        <v>43</v>
      </c>
      <c r="K2624" t="s">
        <v>44</v>
      </c>
      <c r="L2624" t="s">
        <v>53</v>
      </c>
      <c r="M2624" t="s">
        <v>54</v>
      </c>
      <c r="N2624" t="s">
        <v>85</v>
      </c>
      <c r="O2624" t="s">
        <v>86</v>
      </c>
      <c r="P2624" t="s">
        <v>43</v>
      </c>
      <c r="Q2624" t="s">
        <v>44</v>
      </c>
      <c r="R2624" s="1">
        <v>44337.481759259259</v>
      </c>
      <c r="S2624" s="1">
        <v>44337.481759259259</v>
      </c>
      <c r="T2624">
        <v>0</v>
      </c>
      <c r="U2624">
        <v>1</v>
      </c>
      <c r="V2624" s="2">
        <v>0</v>
      </c>
      <c r="W2624">
        <v>0</v>
      </c>
      <c r="X2624" t="s">
        <v>44</v>
      </c>
      <c r="Y2624">
        <v>0</v>
      </c>
      <c r="Z2624" t="s">
        <v>31</v>
      </c>
      <c r="AA2624">
        <v>0</v>
      </c>
      <c r="AB2624" t="s">
        <v>31</v>
      </c>
      <c r="AC2624">
        <v>0</v>
      </c>
      <c r="AD2624" t="s">
        <v>31</v>
      </c>
      <c r="AE2624">
        <v>0</v>
      </c>
      <c r="AF2624" t="s">
        <v>31</v>
      </c>
      <c r="AG2624">
        <v>0</v>
      </c>
      <c r="AH2624" t="s">
        <v>31</v>
      </c>
      <c r="AI2624">
        <v>0</v>
      </c>
      <c r="AJ2624" t="s">
        <v>31</v>
      </c>
      <c r="AK2624">
        <v>0</v>
      </c>
      <c r="AL2624" t="s">
        <v>31</v>
      </c>
      <c r="AM2624">
        <v>0</v>
      </c>
      <c r="AN2624" t="s">
        <v>31</v>
      </c>
      <c r="AO2624">
        <v>0</v>
      </c>
      <c r="AP2624" t="s">
        <v>31</v>
      </c>
      <c r="AQ2624">
        <v>0</v>
      </c>
    </row>
    <row r="2625" spans="1:43" x14ac:dyDescent="0.2">
      <c r="A2625" t="s">
        <v>381</v>
      </c>
      <c r="B2625" s="3">
        <v>44337</v>
      </c>
      <c r="C2625">
        <v>105</v>
      </c>
      <c r="D2625" t="s">
        <v>405</v>
      </c>
      <c r="E2625" t="s">
        <v>83</v>
      </c>
      <c r="F2625" s="9" t="s">
        <v>84</v>
      </c>
      <c r="G2625" t="s">
        <v>26</v>
      </c>
      <c r="H2625" t="s">
        <v>85</v>
      </c>
      <c r="I2625" t="s">
        <v>86</v>
      </c>
      <c r="J2625" t="s">
        <v>43</v>
      </c>
      <c r="K2625" t="s">
        <v>44</v>
      </c>
      <c r="L2625" t="s">
        <v>53</v>
      </c>
      <c r="M2625" t="s">
        <v>54</v>
      </c>
      <c r="N2625" t="s">
        <v>85</v>
      </c>
      <c r="O2625" t="s">
        <v>86</v>
      </c>
      <c r="P2625" t="s">
        <v>43</v>
      </c>
      <c r="Q2625" t="s">
        <v>44</v>
      </c>
      <c r="R2625" s="1">
        <v>44337.568553240744</v>
      </c>
      <c r="S2625" s="1">
        <v>44337.568553240744</v>
      </c>
      <c r="T2625">
        <v>0</v>
      </c>
      <c r="U2625">
        <v>1</v>
      </c>
      <c r="V2625" s="2">
        <v>0</v>
      </c>
      <c r="W2625">
        <v>0</v>
      </c>
      <c r="X2625" t="s">
        <v>44</v>
      </c>
      <c r="Y2625">
        <v>0</v>
      </c>
      <c r="Z2625" t="s">
        <v>31</v>
      </c>
      <c r="AA2625">
        <v>0</v>
      </c>
      <c r="AB2625" t="s">
        <v>31</v>
      </c>
      <c r="AC2625">
        <v>0</v>
      </c>
      <c r="AD2625" t="s">
        <v>31</v>
      </c>
      <c r="AE2625">
        <v>0</v>
      </c>
      <c r="AF2625" t="s">
        <v>31</v>
      </c>
      <c r="AG2625">
        <v>0</v>
      </c>
      <c r="AH2625" t="s">
        <v>31</v>
      </c>
      <c r="AI2625">
        <v>0</v>
      </c>
      <c r="AJ2625" t="s">
        <v>31</v>
      </c>
      <c r="AK2625">
        <v>0</v>
      </c>
      <c r="AL2625" t="s">
        <v>31</v>
      </c>
      <c r="AM2625">
        <v>0</v>
      </c>
      <c r="AN2625" t="s">
        <v>31</v>
      </c>
      <c r="AO2625">
        <v>0</v>
      </c>
      <c r="AP2625" t="s">
        <v>31</v>
      </c>
      <c r="AQ2625">
        <v>0</v>
      </c>
    </row>
    <row r="2626" spans="1:43" x14ac:dyDescent="0.2">
      <c r="A2626" t="s">
        <v>381</v>
      </c>
      <c r="B2626" s="3">
        <v>44338</v>
      </c>
      <c r="C2626">
        <v>106</v>
      </c>
      <c r="D2626" t="s">
        <v>408</v>
      </c>
      <c r="E2626" t="s">
        <v>83</v>
      </c>
      <c r="F2626" s="9" t="s">
        <v>84</v>
      </c>
      <c r="G2626" t="s">
        <v>26</v>
      </c>
      <c r="H2626" t="s">
        <v>85</v>
      </c>
      <c r="I2626" t="s">
        <v>86</v>
      </c>
      <c r="J2626" t="s">
        <v>43</v>
      </c>
      <c r="K2626" t="s">
        <v>44</v>
      </c>
      <c r="L2626" t="s">
        <v>53</v>
      </c>
      <c r="M2626" t="s">
        <v>54</v>
      </c>
      <c r="N2626" t="s">
        <v>85</v>
      </c>
      <c r="O2626" t="s">
        <v>86</v>
      </c>
      <c r="P2626" t="s">
        <v>43</v>
      </c>
      <c r="Q2626" t="s">
        <v>44</v>
      </c>
      <c r="R2626" s="1">
        <v>44338.457175925927</v>
      </c>
      <c r="S2626" s="1">
        <v>44338.457175925927</v>
      </c>
      <c r="T2626">
        <v>0</v>
      </c>
      <c r="U2626">
        <v>1</v>
      </c>
      <c r="V2626" s="2">
        <v>0</v>
      </c>
      <c r="W2626">
        <v>0</v>
      </c>
      <c r="X2626" t="s">
        <v>44</v>
      </c>
      <c r="Y2626">
        <v>0</v>
      </c>
      <c r="Z2626" t="s">
        <v>31</v>
      </c>
      <c r="AA2626">
        <v>0</v>
      </c>
      <c r="AB2626" t="s">
        <v>31</v>
      </c>
      <c r="AC2626">
        <v>0</v>
      </c>
      <c r="AD2626" t="s">
        <v>31</v>
      </c>
      <c r="AE2626">
        <v>0</v>
      </c>
      <c r="AF2626" t="s">
        <v>31</v>
      </c>
      <c r="AG2626">
        <v>0</v>
      </c>
      <c r="AH2626" t="s">
        <v>31</v>
      </c>
      <c r="AI2626">
        <v>0</v>
      </c>
      <c r="AJ2626" t="s">
        <v>31</v>
      </c>
      <c r="AK2626">
        <v>0</v>
      </c>
      <c r="AL2626" t="s">
        <v>31</v>
      </c>
      <c r="AM2626">
        <v>0</v>
      </c>
      <c r="AN2626" t="s">
        <v>31</v>
      </c>
      <c r="AO2626">
        <v>0</v>
      </c>
      <c r="AP2626" t="s">
        <v>31</v>
      </c>
      <c r="AQ2626">
        <v>0</v>
      </c>
    </row>
    <row r="2627" spans="1:43" x14ac:dyDescent="0.2">
      <c r="A2627" t="s">
        <v>381</v>
      </c>
      <c r="B2627" s="3">
        <v>44338</v>
      </c>
      <c r="C2627">
        <v>107</v>
      </c>
      <c r="D2627" t="s">
        <v>392</v>
      </c>
      <c r="E2627" t="s">
        <v>83</v>
      </c>
      <c r="F2627" s="9" t="s">
        <v>84</v>
      </c>
      <c r="G2627" t="s">
        <v>26</v>
      </c>
      <c r="H2627" t="s">
        <v>85</v>
      </c>
      <c r="I2627" t="s">
        <v>86</v>
      </c>
      <c r="J2627" t="s">
        <v>43</v>
      </c>
      <c r="K2627" t="s">
        <v>44</v>
      </c>
      <c r="L2627" t="s">
        <v>53</v>
      </c>
      <c r="M2627" t="s">
        <v>54</v>
      </c>
      <c r="N2627" t="s">
        <v>85</v>
      </c>
      <c r="O2627" t="s">
        <v>86</v>
      </c>
      <c r="P2627" t="s">
        <v>43</v>
      </c>
      <c r="Q2627" t="s">
        <v>44</v>
      </c>
      <c r="R2627" s="1">
        <v>44338.60833333333</v>
      </c>
      <c r="S2627" s="1">
        <v>44338.619050925925</v>
      </c>
      <c r="T2627">
        <v>0</v>
      </c>
      <c r="U2627">
        <v>2</v>
      </c>
      <c r="V2627" s="2">
        <v>0</v>
      </c>
      <c r="W2627">
        <v>0</v>
      </c>
      <c r="X2627" t="s">
        <v>44</v>
      </c>
      <c r="Y2627">
        <v>0</v>
      </c>
      <c r="Z2627" t="s">
        <v>44</v>
      </c>
      <c r="AA2627">
        <v>0</v>
      </c>
      <c r="AB2627" t="s">
        <v>31</v>
      </c>
      <c r="AC2627">
        <v>0</v>
      </c>
      <c r="AD2627" t="s">
        <v>31</v>
      </c>
      <c r="AE2627">
        <v>0</v>
      </c>
      <c r="AF2627" t="s">
        <v>31</v>
      </c>
      <c r="AG2627">
        <v>0</v>
      </c>
      <c r="AH2627" t="s">
        <v>31</v>
      </c>
      <c r="AI2627">
        <v>0</v>
      </c>
      <c r="AJ2627" t="s">
        <v>31</v>
      </c>
      <c r="AK2627">
        <v>0</v>
      </c>
      <c r="AL2627" t="s">
        <v>31</v>
      </c>
      <c r="AM2627">
        <v>0</v>
      </c>
      <c r="AN2627" t="s">
        <v>31</v>
      </c>
      <c r="AO2627">
        <v>0</v>
      </c>
      <c r="AP2627" t="s">
        <v>31</v>
      </c>
      <c r="AQ2627">
        <v>0</v>
      </c>
    </row>
    <row r="2628" spans="1:43" x14ac:dyDescent="0.2">
      <c r="A2628" t="s">
        <v>381</v>
      </c>
      <c r="B2628" s="3">
        <v>44340</v>
      </c>
      <c r="C2628">
        <v>108</v>
      </c>
      <c r="D2628" t="s">
        <v>393</v>
      </c>
      <c r="E2628" t="s">
        <v>83</v>
      </c>
      <c r="F2628" s="9" t="s">
        <v>84</v>
      </c>
      <c r="G2628" t="s">
        <v>26</v>
      </c>
      <c r="H2628" t="s">
        <v>85</v>
      </c>
      <c r="I2628" t="s">
        <v>86</v>
      </c>
      <c r="J2628" t="s">
        <v>43</v>
      </c>
      <c r="K2628" t="s">
        <v>44</v>
      </c>
      <c r="L2628" t="s">
        <v>53</v>
      </c>
      <c r="M2628" t="s">
        <v>54</v>
      </c>
      <c r="N2628" t="s">
        <v>85</v>
      </c>
      <c r="O2628" t="s">
        <v>86</v>
      </c>
      <c r="P2628" t="s">
        <v>43</v>
      </c>
      <c r="Q2628" t="s">
        <v>44</v>
      </c>
      <c r="R2628" s="1">
        <v>44340.449953703705</v>
      </c>
      <c r="S2628" s="1">
        <v>44340.449953703705</v>
      </c>
      <c r="T2628">
        <v>0</v>
      </c>
      <c r="U2628">
        <v>2</v>
      </c>
      <c r="V2628" s="2">
        <v>0</v>
      </c>
      <c r="W2628">
        <v>0</v>
      </c>
      <c r="X2628" t="s">
        <v>44</v>
      </c>
      <c r="Y2628">
        <v>0</v>
      </c>
      <c r="Z2628" t="s">
        <v>44</v>
      </c>
      <c r="AA2628">
        <v>0</v>
      </c>
      <c r="AB2628" t="s">
        <v>31</v>
      </c>
      <c r="AC2628">
        <v>0</v>
      </c>
      <c r="AD2628" t="s">
        <v>31</v>
      </c>
      <c r="AE2628">
        <v>0</v>
      </c>
      <c r="AF2628" t="s">
        <v>31</v>
      </c>
      <c r="AG2628">
        <v>0</v>
      </c>
      <c r="AH2628" t="s">
        <v>31</v>
      </c>
      <c r="AI2628">
        <v>0</v>
      </c>
      <c r="AJ2628" t="s">
        <v>31</v>
      </c>
      <c r="AK2628">
        <v>0</v>
      </c>
      <c r="AL2628" t="s">
        <v>31</v>
      </c>
      <c r="AM2628">
        <v>0</v>
      </c>
      <c r="AN2628" t="s">
        <v>31</v>
      </c>
      <c r="AO2628">
        <v>0</v>
      </c>
      <c r="AP2628" t="s">
        <v>31</v>
      </c>
      <c r="AQ2628">
        <v>0</v>
      </c>
    </row>
    <row r="2629" spans="1:43" x14ac:dyDescent="0.2">
      <c r="A2629" t="s">
        <v>381</v>
      </c>
      <c r="B2629" s="3">
        <v>44341</v>
      </c>
      <c r="C2629">
        <v>110</v>
      </c>
      <c r="D2629" t="s">
        <v>383</v>
      </c>
      <c r="E2629" t="s">
        <v>83</v>
      </c>
      <c r="F2629" s="9" t="s">
        <v>84</v>
      </c>
      <c r="G2629" t="s">
        <v>26</v>
      </c>
      <c r="H2629" t="s">
        <v>85</v>
      </c>
      <c r="I2629" t="s">
        <v>86</v>
      </c>
      <c r="J2629" t="s">
        <v>43</v>
      </c>
      <c r="K2629" t="s">
        <v>44</v>
      </c>
      <c r="L2629" t="s">
        <v>53</v>
      </c>
      <c r="M2629" t="s">
        <v>54</v>
      </c>
      <c r="N2629" t="s">
        <v>85</v>
      </c>
      <c r="O2629" t="s">
        <v>86</v>
      </c>
      <c r="P2629" t="s">
        <v>43</v>
      </c>
      <c r="Q2629" t="s">
        <v>44</v>
      </c>
      <c r="R2629" s="1">
        <v>44341.484131944446</v>
      </c>
      <c r="S2629" s="1">
        <v>44341.484131944446</v>
      </c>
      <c r="T2629">
        <v>0</v>
      </c>
      <c r="U2629">
        <v>1</v>
      </c>
      <c r="V2629" s="2">
        <v>0</v>
      </c>
      <c r="W2629">
        <v>0</v>
      </c>
      <c r="X2629" t="s">
        <v>44</v>
      </c>
      <c r="Y2629">
        <v>0</v>
      </c>
      <c r="Z2629" t="s">
        <v>31</v>
      </c>
      <c r="AA2629">
        <v>0</v>
      </c>
      <c r="AB2629" t="s">
        <v>31</v>
      </c>
      <c r="AC2629">
        <v>0</v>
      </c>
      <c r="AD2629" t="s">
        <v>31</v>
      </c>
      <c r="AE2629">
        <v>0</v>
      </c>
      <c r="AF2629" t="s">
        <v>31</v>
      </c>
      <c r="AG2629">
        <v>0</v>
      </c>
      <c r="AH2629" t="s">
        <v>31</v>
      </c>
      <c r="AI2629">
        <v>0</v>
      </c>
      <c r="AJ2629" t="s">
        <v>31</v>
      </c>
      <c r="AK2629">
        <v>0</v>
      </c>
      <c r="AL2629" t="s">
        <v>31</v>
      </c>
      <c r="AM2629">
        <v>0</v>
      </c>
      <c r="AN2629" t="s">
        <v>31</v>
      </c>
      <c r="AO2629">
        <v>0</v>
      </c>
      <c r="AP2629" t="s">
        <v>31</v>
      </c>
      <c r="AQ2629">
        <v>0</v>
      </c>
    </row>
    <row r="2630" spans="1:43" x14ac:dyDescent="0.2">
      <c r="A2630" t="s">
        <v>381</v>
      </c>
      <c r="B2630" s="3">
        <v>44341</v>
      </c>
      <c r="C2630">
        <v>111</v>
      </c>
      <c r="D2630" t="s">
        <v>385</v>
      </c>
      <c r="E2630" t="s">
        <v>83</v>
      </c>
      <c r="F2630" s="9" t="s">
        <v>84</v>
      </c>
      <c r="G2630" t="s">
        <v>26</v>
      </c>
      <c r="H2630" t="s">
        <v>85</v>
      </c>
      <c r="I2630" t="s">
        <v>86</v>
      </c>
      <c r="J2630" t="s">
        <v>43</v>
      </c>
      <c r="K2630" t="s">
        <v>44</v>
      </c>
      <c r="L2630" t="s">
        <v>53</v>
      </c>
      <c r="M2630" t="s">
        <v>54</v>
      </c>
      <c r="N2630" t="s">
        <v>85</v>
      </c>
      <c r="O2630" t="s">
        <v>86</v>
      </c>
      <c r="P2630" t="s">
        <v>43</v>
      </c>
      <c r="Q2630" t="s">
        <v>44</v>
      </c>
      <c r="R2630" s="1">
        <v>44341.555983796294</v>
      </c>
      <c r="S2630" s="1">
        <v>44341.555983796294</v>
      </c>
      <c r="T2630">
        <v>0</v>
      </c>
      <c r="U2630">
        <v>2</v>
      </c>
      <c r="V2630" s="2">
        <v>0</v>
      </c>
      <c r="W2630">
        <v>0</v>
      </c>
      <c r="X2630" t="s">
        <v>44</v>
      </c>
      <c r="Y2630">
        <v>0</v>
      </c>
      <c r="Z2630" t="s">
        <v>44</v>
      </c>
      <c r="AA2630">
        <v>0</v>
      </c>
      <c r="AB2630" t="s">
        <v>31</v>
      </c>
      <c r="AC2630">
        <v>0</v>
      </c>
      <c r="AD2630" t="s">
        <v>31</v>
      </c>
      <c r="AE2630">
        <v>0</v>
      </c>
      <c r="AF2630" t="s">
        <v>31</v>
      </c>
      <c r="AG2630">
        <v>0</v>
      </c>
      <c r="AH2630" t="s">
        <v>31</v>
      </c>
      <c r="AI2630">
        <v>0</v>
      </c>
      <c r="AJ2630" t="s">
        <v>31</v>
      </c>
      <c r="AK2630">
        <v>0</v>
      </c>
      <c r="AL2630" t="s">
        <v>31</v>
      </c>
      <c r="AM2630">
        <v>0</v>
      </c>
      <c r="AN2630" t="s">
        <v>31</v>
      </c>
      <c r="AO2630">
        <v>0</v>
      </c>
      <c r="AP2630" t="s">
        <v>31</v>
      </c>
      <c r="AQ2630">
        <v>0</v>
      </c>
    </row>
    <row r="2631" spans="1:43" x14ac:dyDescent="0.2">
      <c r="A2631" t="s">
        <v>381</v>
      </c>
      <c r="B2631" s="3">
        <v>44342</v>
      </c>
      <c r="C2631">
        <v>113</v>
      </c>
      <c r="D2631" t="s">
        <v>383</v>
      </c>
      <c r="E2631" t="s">
        <v>83</v>
      </c>
      <c r="F2631" s="9" t="s">
        <v>84</v>
      </c>
      <c r="G2631" t="s">
        <v>26</v>
      </c>
      <c r="H2631" t="s">
        <v>85</v>
      </c>
      <c r="I2631" t="s">
        <v>86</v>
      </c>
      <c r="J2631" t="s">
        <v>43</v>
      </c>
      <c r="K2631" t="s">
        <v>44</v>
      </c>
      <c r="L2631" t="s">
        <v>53</v>
      </c>
      <c r="M2631" t="s">
        <v>54</v>
      </c>
      <c r="N2631" t="s">
        <v>85</v>
      </c>
      <c r="O2631" t="s">
        <v>86</v>
      </c>
      <c r="P2631" t="s">
        <v>43</v>
      </c>
      <c r="Q2631" t="s">
        <v>44</v>
      </c>
      <c r="R2631" s="1">
        <v>44342.590138888889</v>
      </c>
      <c r="S2631" s="1">
        <v>44342.590138888889</v>
      </c>
      <c r="T2631">
        <v>1</v>
      </c>
      <c r="U2631">
        <v>1</v>
      </c>
      <c r="V2631" s="2">
        <v>1</v>
      </c>
      <c r="W2631">
        <v>1</v>
      </c>
      <c r="X2631" t="s">
        <v>54</v>
      </c>
      <c r="Y2631">
        <v>1</v>
      </c>
      <c r="Z2631" t="s">
        <v>31</v>
      </c>
      <c r="AA2631">
        <v>0</v>
      </c>
      <c r="AB2631" t="s">
        <v>31</v>
      </c>
      <c r="AC2631">
        <v>0</v>
      </c>
      <c r="AD2631" t="s">
        <v>31</v>
      </c>
      <c r="AE2631">
        <v>0</v>
      </c>
      <c r="AF2631" t="s">
        <v>31</v>
      </c>
      <c r="AG2631">
        <v>0</v>
      </c>
      <c r="AH2631" t="s">
        <v>31</v>
      </c>
      <c r="AI2631">
        <v>0</v>
      </c>
      <c r="AJ2631" t="s">
        <v>31</v>
      </c>
      <c r="AK2631">
        <v>0</v>
      </c>
      <c r="AL2631" t="s">
        <v>31</v>
      </c>
      <c r="AM2631">
        <v>0</v>
      </c>
      <c r="AN2631" t="s">
        <v>31</v>
      </c>
      <c r="AO2631">
        <v>0</v>
      </c>
      <c r="AP2631" t="s">
        <v>31</v>
      </c>
      <c r="AQ2631">
        <v>0</v>
      </c>
    </row>
    <row r="2632" spans="1:43" x14ac:dyDescent="0.2">
      <c r="A2632" t="s">
        <v>381</v>
      </c>
      <c r="B2632" s="3">
        <v>44344</v>
      </c>
      <c r="C2632">
        <v>116</v>
      </c>
      <c r="D2632" t="s">
        <v>390</v>
      </c>
      <c r="E2632" t="s">
        <v>83</v>
      </c>
      <c r="F2632" s="9" t="s">
        <v>84</v>
      </c>
      <c r="G2632" t="s">
        <v>26</v>
      </c>
      <c r="H2632" t="s">
        <v>85</v>
      </c>
      <c r="I2632" t="s">
        <v>86</v>
      </c>
      <c r="J2632" t="s">
        <v>43</v>
      </c>
      <c r="K2632" t="s">
        <v>44</v>
      </c>
      <c r="L2632" t="s">
        <v>53</v>
      </c>
      <c r="M2632" t="s">
        <v>54</v>
      </c>
      <c r="N2632" t="s">
        <v>85</v>
      </c>
      <c r="O2632" t="s">
        <v>86</v>
      </c>
      <c r="P2632" t="s">
        <v>43</v>
      </c>
      <c r="Q2632" t="s">
        <v>44</v>
      </c>
      <c r="R2632" s="1">
        <v>44344.452847222223</v>
      </c>
      <c r="S2632" s="1">
        <v>44344.452847222223</v>
      </c>
      <c r="T2632">
        <v>0</v>
      </c>
      <c r="U2632">
        <v>1</v>
      </c>
      <c r="V2632" s="2">
        <v>0</v>
      </c>
      <c r="W2632">
        <v>0</v>
      </c>
      <c r="X2632" t="s">
        <v>44</v>
      </c>
      <c r="Y2632">
        <v>0</v>
      </c>
      <c r="Z2632" t="s">
        <v>31</v>
      </c>
      <c r="AA2632">
        <v>0</v>
      </c>
      <c r="AB2632" t="s">
        <v>31</v>
      </c>
      <c r="AC2632">
        <v>0</v>
      </c>
      <c r="AD2632" t="s">
        <v>31</v>
      </c>
      <c r="AE2632">
        <v>0</v>
      </c>
      <c r="AF2632" t="s">
        <v>31</v>
      </c>
      <c r="AG2632">
        <v>0</v>
      </c>
      <c r="AH2632" t="s">
        <v>31</v>
      </c>
      <c r="AI2632">
        <v>0</v>
      </c>
      <c r="AJ2632" t="s">
        <v>31</v>
      </c>
      <c r="AK2632">
        <v>0</v>
      </c>
      <c r="AL2632" t="s">
        <v>31</v>
      </c>
      <c r="AM2632">
        <v>0</v>
      </c>
      <c r="AN2632" t="s">
        <v>31</v>
      </c>
      <c r="AO2632">
        <v>0</v>
      </c>
      <c r="AP2632" t="s">
        <v>31</v>
      </c>
      <c r="AQ2632">
        <v>0</v>
      </c>
    </row>
    <row r="2633" spans="1:43" x14ac:dyDescent="0.2">
      <c r="A2633" t="s">
        <v>381</v>
      </c>
      <c r="B2633" s="3">
        <v>44344</v>
      </c>
      <c r="C2633">
        <v>117</v>
      </c>
      <c r="D2633" t="s">
        <v>409</v>
      </c>
      <c r="E2633" t="s">
        <v>83</v>
      </c>
      <c r="F2633" s="9" t="s">
        <v>84</v>
      </c>
      <c r="G2633" t="s">
        <v>26</v>
      </c>
      <c r="H2633" t="s">
        <v>85</v>
      </c>
      <c r="I2633" t="s">
        <v>86</v>
      </c>
      <c r="J2633" t="s">
        <v>43</v>
      </c>
      <c r="K2633" t="s">
        <v>44</v>
      </c>
      <c r="L2633" t="s">
        <v>53</v>
      </c>
      <c r="M2633" t="s">
        <v>54</v>
      </c>
      <c r="N2633" t="s">
        <v>85</v>
      </c>
      <c r="O2633" t="s">
        <v>86</v>
      </c>
      <c r="P2633" t="s">
        <v>43</v>
      </c>
      <c r="Q2633" t="s">
        <v>44</v>
      </c>
      <c r="R2633" s="1">
        <v>44344.597569444442</v>
      </c>
      <c r="S2633" s="1">
        <v>44344.598576388889</v>
      </c>
      <c r="T2633">
        <v>0</v>
      </c>
      <c r="U2633">
        <v>2</v>
      </c>
      <c r="V2633" s="2">
        <v>0</v>
      </c>
      <c r="W2633">
        <v>0</v>
      </c>
      <c r="X2633" t="s">
        <v>44</v>
      </c>
      <c r="Y2633">
        <v>0</v>
      </c>
      <c r="Z2633" t="s">
        <v>44</v>
      </c>
      <c r="AA2633">
        <v>0</v>
      </c>
      <c r="AB2633" t="s">
        <v>31</v>
      </c>
      <c r="AC2633">
        <v>0</v>
      </c>
      <c r="AD2633" t="s">
        <v>31</v>
      </c>
      <c r="AE2633">
        <v>0</v>
      </c>
      <c r="AF2633" t="s">
        <v>31</v>
      </c>
      <c r="AG2633">
        <v>0</v>
      </c>
      <c r="AH2633" t="s">
        <v>31</v>
      </c>
      <c r="AI2633">
        <v>0</v>
      </c>
      <c r="AJ2633" t="s">
        <v>31</v>
      </c>
      <c r="AK2633">
        <v>0</v>
      </c>
      <c r="AL2633" t="s">
        <v>31</v>
      </c>
      <c r="AM2633">
        <v>0</v>
      </c>
      <c r="AN2633" t="s">
        <v>31</v>
      </c>
      <c r="AO2633">
        <v>0</v>
      </c>
      <c r="AP2633" t="s">
        <v>31</v>
      </c>
      <c r="AQ2633">
        <v>0</v>
      </c>
    </row>
    <row r="2634" spans="1:43" x14ac:dyDescent="0.2">
      <c r="A2634" t="s">
        <v>381</v>
      </c>
      <c r="B2634" s="3">
        <v>44348</v>
      </c>
      <c r="C2634">
        <v>118</v>
      </c>
      <c r="D2634" t="s">
        <v>396</v>
      </c>
      <c r="E2634" t="s">
        <v>83</v>
      </c>
      <c r="F2634" s="9" t="s">
        <v>84</v>
      </c>
      <c r="G2634" t="s">
        <v>26</v>
      </c>
      <c r="H2634" t="s">
        <v>85</v>
      </c>
      <c r="I2634" t="s">
        <v>86</v>
      </c>
      <c r="J2634" t="s">
        <v>43</v>
      </c>
      <c r="K2634" t="s">
        <v>44</v>
      </c>
      <c r="L2634" t="s">
        <v>53</v>
      </c>
      <c r="M2634" t="s">
        <v>54</v>
      </c>
      <c r="N2634" t="s">
        <v>85</v>
      </c>
      <c r="O2634" t="s">
        <v>86</v>
      </c>
      <c r="P2634" t="s">
        <v>43</v>
      </c>
      <c r="Q2634" t="s">
        <v>44</v>
      </c>
      <c r="R2634" s="1">
        <v>44348.401956018519</v>
      </c>
      <c r="S2634" s="1">
        <v>44348.401956018519</v>
      </c>
      <c r="T2634">
        <v>0</v>
      </c>
      <c r="U2634">
        <v>1</v>
      </c>
      <c r="V2634" s="2">
        <v>0</v>
      </c>
      <c r="W2634">
        <v>0</v>
      </c>
      <c r="X2634" t="s">
        <v>44</v>
      </c>
      <c r="Y2634">
        <v>0</v>
      </c>
      <c r="Z2634" t="s">
        <v>31</v>
      </c>
      <c r="AA2634">
        <v>0</v>
      </c>
      <c r="AB2634" t="s">
        <v>31</v>
      </c>
      <c r="AC2634">
        <v>0</v>
      </c>
      <c r="AD2634" t="s">
        <v>31</v>
      </c>
      <c r="AE2634">
        <v>0</v>
      </c>
      <c r="AF2634" t="s">
        <v>31</v>
      </c>
      <c r="AG2634">
        <v>0</v>
      </c>
      <c r="AH2634" t="s">
        <v>31</v>
      </c>
      <c r="AI2634">
        <v>0</v>
      </c>
      <c r="AJ2634" t="s">
        <v>31</v>
      </c>
      <c r="AK2634">
        <v>0</v>
      </c>
      <c r="AL2634" t="s">
        <v>31</v>
      </c>
      <c r="AM2634">
        <v>0</v>
      </c>
      <c r="AN2634" t="s">
        <v>31</v>
      </c>
      <c r="AO2634">
        <v>0</v>
      </c>
      <c r="AP2634" t="s">
        <v>31</v>
      </c>
      <c r="AQ2634">
        <v>0</v>
      </c>
    </row>
    <row r="2635" spans="1:43" x14ac:dyDescent="0.2">
      <c r="A2635" t="s">
        <v>381</v>
      </c>
      <c r="B2635" s="3">
        <v>44348</v>
      </c>
      <c r="C2635">
        <v>119</v>
      </c>
      <c r="D2635" t="s">
        <v>385</v>
      </c>
      <c r="E2635" t="s">
        <v>83</v>
      </c>
      <c r="F2635" s="9" t="s">
        <v>84</v>
      </c>
      <c r="G2635" t="s">
        <v>26</v>
      </c>
      <c r="H2635" t="s">
        <v>85</v>
      </c>
      <c r="I2635" t="s">
        <v>86</v>
      </c>
      <c r="J2635" t="s">
        <v>43</v>
      </c>
      <c r="K2635" t="s">
        <v>44</v>
      </c>
      <c r="L2635" t="s">
        <v>53</v>
      </c>
      <c r="M2635" t="s">
        <v>54</v>
      </c>
      <c r="N2635" t="s">
        <v>85</v>
      </c>
      <c r="O2635" t="s">
        <v>86</v>
      </c>
      <c r="P2635" t="s">
        <v>43</v>
      </c>
      <c r="Q2635" t="s">
        <v>44</v>
      </c>
      <c r="R2635" s="1">
        <v>44348.631493055553</v>
      </c>
      <c r="S2635" s="1">
        <v>44348.631493055553</v>
      </c>
      <c r="T2635">
        <v>0</v>
      </c>
      <c r="U2635">
        <v>2</v>
      </c>
      <c r="V2635" s="2">
        <v>0</v>
      </c>
      <c r="W2635">
        <v>0</v>
      </c>
      <c r="X2635" t="s">
        <v>44</v>
      </c>
      <c r="Y2635">
        <v>0</v>
      </c>
      <c r="Z2635" t="s">
        <v>44</v>
      </c>
      <c r="AA2635">
        <v>0</v>
      </c>
      <c r="AB2635" t="s">
        <v>31</v>
      </c>
      <c r="AC2635">
        <v>0</v>
      </c>
      <c r="AD2635" t="s">
        <v>31</v>
      </c>
      <c r="AE2635">
        <v>0</v>
      </c>
      <c r="AF2635" t="s">
        <v>31</v>
      </c>
      <c r="AG2635">
        <v>0</v>
      </c>
      <c r="AH2635" t="s">
        <v>31</v>
      </c>
      <c r="AI2635">
        <v>0</v>
      </c>
      <c r="AJ2635" t="s">
        <v>31</v>
      </c>
      <c r="AK2635">
        <v>0</v>
      </c>
      <c r="AL2635" t="s">
        <v>31</v>
      </c>
      <c r="AM2635">
        <v>0</v>
      </c>
      <c r="AN2635" t="s">
        <v>31</v>
      </c>
      <c r="AO2635">
        <v>0</v>
      </c>
      <c r="AP2635" t="s">
        <v>31</v>
      </c>
      <c r="AQ2635">
        <v>0</v>
      </c>
    </row>
    <row r="2636" spans="1:43" x14ac:dyDescent="0.2">
      <c r="A2636" t="s">
        <v>381</v>
      </c>
      <c r="B2636" s="3">
        <v>44349</v>
      </c>
      <c r="C2636">
        <v>121</v>
      </c>
      <c r="D2636" t="s">
        <v>385</v>
      </c>
      <c r="E2636" t="s">
        <v>83</v>
      </c>
      <c r="F2636" s="9" t="s">
        <v>84</v>
      </c>
      <c r="G2636" t="s">
        <v>26</v>
      </c>
      <c r="H2636" t="s">
        <v>85</v>
      </c>
      <c r="I2636" t="s">
        <v>86</v>
      </c>
      <c r="J2636" t="s">
        <v>43</v>
      </c>
      <c r="K2636" t="s">
        <v>44</v>
      </c>
      <c r="L2636" t="s">
        <v>53</v>
      </c>
      <c r="M2636" t="s">
        <v>54</v>
      </c>
      <c r="N2636" t="s">
        <v>85</v>
      </c>
      <c r="O2636" t="s">
        <v>86</v>
      </c>
      <c r="P2636" t="s">
        <v>43</v>
      </c>
      <c r="Q2636" t="s">
        <v>44</v>
      </c>
      <c r="R2636" s="1">
        <v>44349.570763888885</v>
      </c>
      <c r="S2636" s="1">
        <v>44349.638055555559</v>
      </c>
      <c r="T2636">
        <v>1</v>
      </c>
      <c r="U2636">
        <v>8</v>
      </c>
      <c r="V2636" s="2">
        <v>0.12</v>
      </c>
      <c r="W2636">
        <v>1</v>
      </c>
      <c r="X2636" t="s">
        <v>44</v>
      </c>
      <c r="Y2636">
        <v>0</v>
      </c>
      <c r="Z2636" t="s">
        <v>44</v>
      </c>
      <c r="AA2636">
        <v>0</v>
      </c>
      <c r="AB2636" t="s">
        <v>44</v>
      </c>
      <c r="AC2636">
        <v>0</v>
      </c>
      <c r="AD2636" t="s">
        <v>44</v>
      </c>
      <c r="AE2636">
        <v>0</v>
      </c>
      <c r="AF2636" t="s">
        <v>44</v>
      </c>
      <c r="AG2636">
        <v>0</v>
      </c>
      <c r="AH2636" t="s">
        <v>44</v>
      </c>
      <c r="AI2636">
        <v>0</v>
      </c>
      <c r="AJ2636" t="s">
        <v>44</v>
      </c>
      <c r="AK2636">
        <v>0</v>
      </c>
      <c r="AL2636" t="s">
        <v>54</v>
      </c>
      <c r="AM2636">
        <v>1</v>
      </c>
      <c r="AN2636" t="s">
        <v>31</v>
      </c>
      <c r="AO2636">
        <v>0</v>
      </c>
      <c r="AP2636" t="s">
        <v>31</v>
      </c>
      <c r="AQ2636">
        <v>0</v>
      </c>
    </row>
    <row r="2637" spans="1:43" x14ac:dyDescent="0.2">
      <c r="A2637" t="s">
        <v>381</v>
      </c>
      <c r="B2637" s="3">
        <v>44350</v>
      </c>
      <c r="C2637">
        <v>123</v>
      </c>
      <c r="D2637" t="s">
        <v>382</v>
      </c>
      <c r="E2637" t="s">
        <v>83</v>
      </c>
      <c r="F2637" s="9" t="s">
        <v>84</v>
      </c>
      <c r="G2637" t="s">
        <v>26</v>
      </c>
      <c r="H2637" t="s">
        <v>85</v>
      </c>
      <c r="I2637" t="s">
        <v>86</v>
      </c>
      <c r="J2637" t="s">
        <v>43</v>
      </c>
      <c r="K2637" t="s">
        <v>44</v>
      </c>
      <c r="L2637" t="s">
        <v>53</v>
      </c>
      <c r="M2637" t="s">
        <v>54</v>
      </c>
      <c r="N2637" t="s">
        <v>85</v>
      </c>
      <c r="O2637" t="s">
        <v>86</v>
      </c>
      <c r="P2637" t="s">
        <v>43</v>
      </c>
      <c r="Q2637" t="s">
        <v>44</v>
      </c>
      <c r="R2637" s="1">
        <v>44350.367569444446</v>
      </c>
      <c r="S2637" s="1">
        <v>44350.367569444446</v>
      </c>
      <c r="T2637">
        <v>0</v>
      </c>
      <c r="U2637">
        <v>1</v>
      </c>
      <c r="V2637" s="2">
        <v>0</v>
      </c>
      <c r="W2637">
        <v>0</v>
      </c>
      <c r="X2637" t="s">
        <v>44</v>
      </c>
      <c r="Y2637">
        <v>0</v>
      </c>
      <c r="Z2637" t="s">
        <v>31</v>
      </c>
      <c r="AA2637">
        <v>0</v>
      </c>
      <c r="AB2637" t="s">
        <v>31</v>
      </c>
      <c r="AC2637">
        <v>0</v>
      </c>
      <c r="AD2637" t="s">
        <v>31</v>
      </c>
      <c r="AE2637">
        <v>0</v>
      </c>
      <c r="AF2637" t="s">
        <v>31</v>
      </c>
      <c r="AG2637">
        <v>0</v>
      </c>
      <c r="AH2637" t="s">
        <v>31</v>
      </c>
      <c r="AI2637">
        <v>0</v>
      </c>
      <c r="AJ2637" t="s">
        <v>31</v>
      </c>
      <c r="AK2637">
        <v>0</v>
      </c>
      <c r="AL2637" t="s">
        <v>31</v>
      </c>
      <c r="AM2637">
        <v>0</v>
      </c>
      <c r="AN2637" t="s">
        <v>31</v>
      </c>
      <c r="AO2637">
        <v>0</v>
      </c>
      <c r="AP2637" t="s">
        <v>31</v>
      </c>
      <c r="AQ2637">
        <v>0</v>
      </c>
    </row>
    <row r="2638" spans="1:43" x14ac:dyDescent="0.2">
      <c r="A2638" t="s">
        <v>381</v>
      </c>
      <c r="B2638" s="3">
        <v>44351</v>
      </c>
      <c r="C2638">
        <v>124</v>
      </c>
      <c r="D2638" t="s">
        <v>390</v>
      </c>
      <c r="E2638" t="s">
        <v>83</v>
      </c>
      <c r="F2638" s="9" t="s">
        <v>84</v>
      </c>
      <c r="G2638" t="s">
        <v>26</v>
      </c>
      <c r="H2638" t="s">
        <v>85</v>
      </c>
      <c r="I2638" t="s">
        <v>86</v>
      </c>
      <c r="J2638" t="s">
        <v>43</v>
      </c>
      <c r="K2638" t="s">
        <v>44</v>
      </c>
      <c r="L2638" t="s">
        <v>53</v>
      </c>
      <c r="M2638" t="s">
        <v>54</v>
      </c>
      <c r="N2638" t="s">
        <v>85</v>
      </c>
      <c r="O2638" t="s">
        <v>86</v>
      </c>
      <c r="P2638" t="s">
        <v>43</v>
      </c>
      <c r="Q2638" t="s">
        <v>44</v>
      </c>
      <c r="R2638" s="1">
        <v>44351.438472222224</v>
      </c>
      <c r="S2638" s="1">
        <v>44351.438472222224</v>
      </c>
      <c r="T2638">
        <v>0</v>
      </c>
      <c r="U2638">
        <v>1</v>
      </c>
      <c r="V2638" s="2">
        <v>0</v>
      </c>
      <c r="W2638">
        <v>0</v>
      </c>
      <c r="X2638" t="s">
        <v>44</v>
      </c>
      <c r="Y2638">
        <v>0</v>
      </c>
      <c r="Z2638" t="s">
        <v>31</v>
      </c>
      <c r="AA2638">
        <v>0</v>
      </c>
      <c r="AB2638" t="s">
        <v>31</v>
      </c>
      <c r="AC2638">
        <v>0</v>
      </c>
      <c r="AD2638" t="s">
        <v>31</v>
      </c>
      <c r="AE2638">
        <v>0</v>
      </c>
      <c r="AF2638" t="s">
        <v>31</v>
      </c>
      <c r="AG2638">
        <v>0</v>
      </c>
      <c r="AH2638" t="s">
        <v>31</v>
      </c>
      <c r="AI2638">
        <v>0</v>
      </c>
      <c r="AJ2638" t="s">
        <v>31</v>
      </c>
      <c r="AK2638">
        <v>0</v>
      </c>
      <c r="AL2638" t="s">
        <v>31</v>
      </c>
      <c r="AM2638">
        <v>0</v>
      </c>
      <c r="AN2638" t="s">
        <v>31</v>
      </c>
      <c r="AO2638">
        <v>0</v>
      </c>
      <c r="AP2638" t="s">
        <v>31</v>
      </c>
      <c r="AQ2638">
        <v>0</v>
      </c>
    </row>
    <row r="2639" spans="1:43" x14ac:dyDescent="0.2">
      <c r="A2639" t="s">
        <v>381</v>
      </c>
      <c r="B2639" s="3">
        <v>44351</v>
      </c>
      <c r="C2639">
        <v>125</v>
      </c>
      <c r="D2639" t="s">
        <v>387</v>
      </c>
      <c r="E2639" t="s">
        <v>83</v>
      </c>
      <c r="F2639" s="9" t="s">
        <v>84</v>
      </c>
      <c r="G2639" t="s">
        <v>26</v>
      </c>
      <c r="H2639" t="s">
        <v>85</v>
      </c>
      <c r="I2639" t="s">
        <v>86</v>
      </c>
      <c r="J2639" t="s">
        <v>43</v>
      </c>
      <c r="K2639" t="s">
        <v>44</v>
      </c>
      <c r="L2639" t="s">
        <v>53</v>
      </c>
      <c r="M2639" t="s">
        <v>54</v>
      </c>
      <c r="N2639" t="s">
        <v>85</v>
      </c>
      <c r="O2639" t="s">
        <v>86</v>
      </c>
      <c r="P2639" t="s">
        <v>43</v>
      </c>
      <c r="Q2639" t="s">
        <v>44</v>
      </c>
      <c r="R2639" s="1">
        <v>44351.571111111109</v>
      </c>
      <c r="S2639" s="1">
        <v>44351.571111111109</v>
      </c>
      <c r="T2639">
        <v>0</v>
      </c>
      <c r="U2639">
        <v>1</v>
      </c>
      <c r="V2639" s="2">
        <v>0</v>
      </c>
      <c r="W2639">
        <v>0</v>
      </c>
      <c r="X2639" t="s">
        <v>44</v>
      </c>
      <c r="Y2639">
        <v>0</v>
      </c>
      <c r="Z2639" t="s">
        <v>31</v>
      </c>
      <c r="AA2639">
        <v>0</v>
      </c>
      <c r="AB2639" t="s">
        <v>31</v>
      </c>
      <c r="AC2639">
        <v>0</v>
      </c>
      <c r="AD2639" t="s">
        <v>31</v>
      </c>
      <c r="AE2639">
        <v>0</v>
      </c>
      <c r="AF2639" t="s">
        <v>31</v>
      </c>
      <c r="AG2639">
        <v>0</v>
      </c>
      <c r="AH2639" t="s">
        <v>31</v>
      </c>
      <c r="AI2639">
        <v>0</v>
      </c>
      <c r="AJ2639" t="s">
        <v>31</v>
      </c>
      <c r="AK2639">
        <v>0</v>
      </c>
      <c r="AL2639" t="s">
        <v>31</v>
      </c>
      <c r="AM2639">
        <v>0</v>
      </c>
      <c r="AN2639" t="s">
        <v>31</v>
      </c>
      <c r="AO2639">
        <v>0</v>
      </c>
      <c r="AP2639" t="s">
        <v>31</v>
      </c>
      <c r="AQ2639">
        <v>0</v>
      </c>
    </row>
    <row r="2640" spans="1:43" x14ac:dyDescent="0.2">
      <c r="A2640" t="s">
        <v>381</v>
      </c>
      <c r="B2640" s="3">
        <v>44354</v>
      </c>
      <c r="C2640">
        <v>126</v>
      </c>
      <c r="D2640" t="s">
        <v>397</v>
      </c>
      <c r="E2640" t="s">
        <v>83</v>
      </c>
      <c r="F2640" s="9" t="s">
        <v>84</v>
      </c>
      <c r="G2640" t="s">
        <v>26</v>
      </c>
      <c r="H2640" t="s">
        <v>85</v>
      </c>
      <c r="I2640" t="s">
        <v>86</v>
      </c>
      <c r="J2640" t="s">
        <v>43</v>
      </c>
      <c r="K2640" t="s">
        <v>44</v>
      </c>
      <c r="L2640" t="s">
        <v>53</v>
      </c>
      <c r="M2640" t="s">
        <v>54</v>
      </c>
      <c r="N2640" t="s">
        <v>85</v>
      </c>
      <c r="O2640" t="s">
        <v>86</v>
      </c>
      <c r="P2640" t="s">
        <v>43</v>
      </c>
      <c r="Q2640" t="s">
        <v>44</v>
      </c>
      <c r="R2640" s="1">
        <v>44354.396944444445</v>
      </c>
      <c r="S2640" s="1">
        <v>44354.452974537038</v>
      </c>
      <c r="T2640">
        <v>0</v>
      </c>
      <c r="U2640">
        <v>4</v>
      </c>
      <c r="V2640" s="2">
        <v>0</v>
      </c>
      <c r="W2640">
        <v>0</v>
      </c>
      <c r="X2640" t="s">
        <v>44</v>
      </c>
      <c r="Y2640">
        <v>0</v>
      </c>
      <c r="Z2640" t="s">
        <v>44</v>
      </c>
      <c r="AA2640">
        <v>0</v>
      </c>
      <c r="AB2640" t="s">
        <v>44</v>
      </c>
      <c r="AC2640">
        <v>0</v>
      </c>
      <c r="AD2640" t="s">
        <v>44</v>
      </c>
      <c r="AE2640">
        <v>0</v>
      </c>
      <c r="AF2640" t="s">
        <v>31</v>
      </c>
      <c r="AG2640">
        <v>0</v>
      </c>
      <c r="AH2640" t="s">
        <v>31</v>
      </c>
      <c r="AI2640">
        <v>0</v>
      </c>
      <c r="AJ2640" t="s">
        <v>31</v>
      </c>
      <c r="AK2640">
        <v>0</v>
      </c>
      <c r="AL2640" t="s">
        <v>31</v>
      </c>
      <c r="AM2640">
        <v>0</v>
      </c>
      <c r="AN2640" t="s">
        <v>31</v>
      </c>
      <c r="AO2640">
        <v>0</v>
      </c>
      <c r="AP2640" t="s">
        <v>31</v>
      </c>
      <c r="AQ2640">
        <v>0</v>
      </c>
    </row>
    <row r="2641" spans="1:43" x14ac:dyDescent="0.2">
      <c r="A2641" t="s">
        <v>381</v>
      </c>
      <c r="B2641" s="3">
        <v>44354</v>
      </c>
      <c r="C2641">
        <v>127</v>
      </c>
      <c r="D2641" t="s">
        <v>383</v>
      </c>
      <c r="E2641" t="s">
        <v>83</v>
      </c>
      <c r="F2641" s="9" t="s">
        <v>84</v>
      </c>
      <c r="G2641" t="s">
        <v>26</v>
      </c>
      <c r="H2641" t="s">
        <v>85</v>
      </c>
      <c r="I2641" t="s">
        <v>86</v>
      </c>
      <c r="J2641" t="s">
        <v>43</v>
      </c>
      <c r="K2641" t="s">
        <v>44</v>
      </c>
      <c r="L2641" t="s">
        <v>53</v>
      </c>
      <c r="M2641" t="s">
        <v>54</v>
      </c>
      <c r="N2641" t="s">
        <v>85</v>
      </c>
      <c r="O2641" t="s">
        <v>86</v>
      </c>
      <c r="P2641" t="s">
        <v>43</v>
      </c>
      <c r="Q2641" t="s">
        <v>44</v>
      </c>
      <c r="R2641" s="1">
        <v>44354.630011574074</v>
      </c>
      <c r="S2641" s="1">
        <v>44354.630011574074</v>
      </c>
      <c r="T2641">
        <v>0</v>
      </c>
      <c r="U2641">
        <v>1</v>
      </c>
      <c r="V2641" s="2">
        <v>0</v>
      </c>
      <c r="W2641">
        <v>0</v>
      </c>
      <c r="X2641" t="s">
        <v>44</v>
      </c>
      <c r="Y2641">
        <v>0</v>
      </c>
      <c r="Z2641" t="s">
        <v>31</v>
      </c>
      <c r="AA2641">
        <v>0</v>
      </c>
      <c r="AB2641" t="s">
        <v>31</v>
      </c>
      <c r="AC2641">
        <v>0</v>
      </c>
      <c r="AD2641" t="s">
        <v>31</v>
      </c>
      <c r="AE2641">
        <v>0</v>
      </c>
      <c r="AF2641" t="s">
        <v>31</v>
      </c>
      <c r="AG2641">
        <v>0</v>
      </c>
      <c r="AH2641" t="s">
        <v>31</v>
      </c>
      <c r="AI2641">
        <v>0</v>
      </c>
      <c r="AJ2641" t="s">
        <v>31</v>
      </c>
      <c r="AK2641">
        <v>0</v>
      </c>
      <c r="AL2641" t="s">
        <v>31</v>
      </c>
      <c r="AM2641">
        <v>0</v>
      </c>
      <c r="AN2641" t="s">
        <v>31</v>
      </c>
      <c r="AO2641">
        <v>0</v>
      </c>
      <c r="AP2641" t="s">
        <v>31</v>
      </c>
      <c r="AQ2641">
        <v>0</v>
      </c>
    </row>
    <row r="2642" spans="1:43" x14ac:dyDescent="0.2">
      <c r="A2642" t="s">
        <v>381</v>
      </c>
      <c r="B2642" s="3">
        <v>44355</v>
      </c>
      <c r="C2642">
        <v>128</v>
      </c>
      <c r="D2642" t="s">
        <v>406</v>
      </c>
      <c r="E2642" t="s">
        <v>83</v>
      </c>
      <c r="F2642" s="9" t="s">
        <v>84</v>
      </c>
      <c r="G2642" t="s">
        <v>26</v>
      </c>
      <c r="H2642" t="s">
        <v>85</v>
      </c>
      <c r="I2642" t="s">
        <v>86</v>
      </c>
      <c r="J2642" t="s">
        <v>43</v>
      </c>
      <c r="K2642" t="s">
        <v>44</v>
      </c>
      <c r="L2642" t="s">
        <v>53</v>
      </c>
      <c r="M2642" t="s">
        <v>54</v>
      </c>
      <c r="N2642" t="s">
        <v>85</v>
      </c>
      <c r="O2642" t="s">
        <v>86</v>
      </c>
      <c r="P2642" t="s">
        <v>43</v>
      </c>
      <c r="Q2642" t="s">
        <v>44</v>
      </c>
      <c r="R2642" s="1">
        <v>44355.457638888889</v>
      </c>
      <c r="S2642" s="1">
        <v>44355.457638888889</v>
      </c>
      <c r="T2642">
        <v>0</v>
      </c>
      <c r="U2642">
        <v>1</v>
      </c>
      <c r="V2642" s="2">
        <v>0</v>
      </c>
      <c r="W2642">
        <v>0</v>
      </c>
      <c r="X2642" t="s">
        <v>44</v>
      </c>
      <c r="Y2642">
        <v>0</v>
      </c>
      <c r="Z2642" t="s">
        <v>31</v>
      </c>
      <c r="AA2642">
        <v>0</v>
      </c>
      <c r="AB2642" t="s">
        <v>31</v>
      </c>
      <c r="AC2642">
        <v>0</v>
      </c>
      <c r="AD2642" t="s">
        <v>31</v>
      </c>
      <c r="AE2642">
        <v>0</v>
      </c>
      <c r="AF2642" t="s">
        <v>31</v>
      </c>
      <c r="AG2642">
        <v>0</v>
      </c>
      <c r="AH2642" t="s">
        <v>31</v>
      </c>
      <c r="AI2642">
        <v>0</v>
      </c>
      <c r="AJ2642" t="s">
        <v>31</v>
      </c>
      <c r="AK2642">
        <v>0</v>
      </c>
      <c r="AL2642" t="s">
        <v>31</v>
      </c>
      <c r="AM2642">
        <v>0</v>
      </c>
      <c r="AN2642" t="s">
        <v>31</v>
      </c>
      <c r="AO2642">
        <v>0</v>
      </c>
      <c r="AP2642" t="s">
        <v>31</v>
      </c>
      <c r="AQ2642">
        <v>0</v>
      </c>
    </row>
    <row r="2643" spans="1:43" x14ac:dyDescent="0.2">
      <c r="A2643" t="s">
        <v>381</v>
      </c>
      <c r="B2643" s="3">
        <v>44355</v>
      </c>
      <c r="C2643">
        <v>129</v>
      </c>
      <c r="D2643" t="s">
        <v>385</v>
      </c>
      <c r="E2643" t="s">
        <v>83</v>
      </c>
      <c r="F2643" s="9" t="s">
        <v>84</v>
      </c>
      <c r="G2643" t="s">
        <v>26</v>
      </c>
      <c r="H2643" t="s">
        <v>85</v>
      </c>
      <c r="I2643" t="s">
        <v>86</v>
      </c>
      <c r="J2643" t="s">
        <v>43</v>
      </c>
      <c r="K2643" t="s">
        <v>44</v>
      </c>
      <c r="L2643" t="s">
        <v>53</v>
      </c>
      <c r="M2643" t="s">
        <v>54</v>
      </c>
      <c r="N2643" t="s">
        <v>85</v>
      </c>
      <c r="O2643" t="s">
        <v>86</v>
      </c>
      <c r="P2643" t="s">
        <v>43</v>
      </c>
      <c r="Q2643" t="s">
        <v>44</v>
      </c>
      <c r="R2643" s="1">
        <v>44355.544814814813</v>
      </c>
      <c r="S2643" s="1">
        <v>44355.567627314813</v>
      </c>
      <c r="T2643">
        <v>0</v>
      </c>
      <c r="U2643">
        <v>3</v>
      </c>
      <c r="V2643" s="2">
        <v>0</v>
      </c>
      <c r="W2643">
        <v>0</v>
      </c>
      <c r="X2643" t="s">
        <v>44</v>
      </c>
      <c r="Y2643">
        <v>0</v>
      </c>
      <c r="Z2643" t="s">
        <v>44</v>
      </c>
      <c r="AA2643">
        <v>0</v>
      </c>
      <c r="AB2643" t="s">
        <v>44</v>
      </c>
      <c r="AC2643">
        <v>0</v>
      </c>
      <c r="AD2643" t="s">
        <v>31</v>
      </c>
      <c r="AE2643">
        <v>0</v>
      </c>
      <c r="AF2643" t="s">
        <v>31</v>
      </c>
      <c r="AG2643">
        <v>0</v>
      </c>
      <c r="AH2643" t="s">
        <v>31</v>
      </c>
      <c r="AI2643">
        <v>0</v>
      </c>
      <c r="AJ2643" t="s">
        <v>31</v>
      </c>
      <c r="AK2643">
        <v>0</v>
      </c>
      <c r="AL2643" t="s">
        <v>31</v>
      </c>
      <c r="AM2643">
        <v>0</v>
      </c>
      <c r="AN2643" t="s">
        <v>31</v>
      </c>
      <c r="AO2643">
        <v>0</v>
      </c>
      <c r="AP2643" t="s">
        <v>31</v>
      </c>
      <c r="AQ2643">
        <v>0</v>
      </c>
    </row>
    <row r="2644" spans="1:43" x14ac:dyDescent="0.2">
      <c r="A2644" t="s">
        <v>381</v>
      </c>
      <c r="B2644" s="3">
        <v>44356</v>
      </c>
      <c r="C2644">
        <v>130</v>
      </c>
      <c r="D2644" t="s">
        <v>398</v>
      </c>
      <c r="E2644" t="s">
        <v>83</v>
      </c>
      <c r="F2644" s="9" t="s">
        <v>84</v>
      </c>
      <c r="G2644" t="s">
        <v>26</v>
      </c>
      <c r="H2644" t="s">
        <v>85</v>
      </c>
      <c r="I2644" t="s">
        <v>86</v>
      </c>
      <c r="J2644" t="s">
        <v>43</v>
      </c>
      <c r="K2644" t="s">
        <v>44</v>
      </c>
      <c r="L2644" t="s">
        <v>53</v>
      </c>
      <c r="M2644" t="s">
        <v>54</v>
      </c>
      <c r="N2644" t="s">
        <v>85</v>
      </c>
      <c r="O2644" t="s">
        <v>86</v>
      </c>
      <c r="P2644" t="s">
        <v>43</v>
      </c>
      <c r="Q2644" t="s">
        <v>44</v>
      </c>
      <c r="R2644" s="1">
        <v>44356.414467592593</v>
      </c>
      <c r="S2644" s="1">
        <v>44356.414467592593</v>
      </c>
      <c r="T2644">
        <v>0</v>
      </c>
      <c r="U2644">
        <v>1</v>
      </c>
      <c r="V2644" s="2">
        <v>0</v>
      </c>
      <c r="W2644">
        <v>0</v>
      </c>
      <c r="X2644" t="s">
        <v>44</v>
      </c>
      <c r="Y2644">
        <v>0</v>
      </c>
      <c r="Z2644" t="s">
        <v>31</v>
      </c>
      <c r="AA2644">
        <v>0</v>
      </c>
      <c r="AB2644" t="s">
        <v>31</v>
      </c>
      <c r="AC2644">
        <v>0</v>
      </c>
      <c r="AD2644" t="s">
        <v>31</v>
      </c>
      <c r="AE2644">
        <v>0</v>
      </c>
      <c r="AF2644" t="s">
        <v>31</v>
      </c>
      <c r="AG2644">
        <v>0</v>
      </c>
      <c r="AH2644" t="s">
        <v>31</v>
      </c>
      <c r="AI2644">
        <v>0</v>
      </c>
      <c r="AJ2644" t="s">
        <v>31</v>
      </c>
      <c r="AK2644">
        <v>0</v>
      </c>
      <c r="AL2644" t="s">
        <v>31</v>
      </c>
      <c r="AM2644">
        <v>0</v>
      </c>
      <c r="AN2644" t="s">
        <v>31</v>
      </c>
      <c r="AO2644">
        <v>0</v>
      </c>
      <c r="AP2644" t="s">
        <v>31</v>
      </c>
      <c r="AQ2644">
        <v>0</v>
      </c>
    </row>
    <row r="2645" spans="1:43" x14ac:dyDescent="0.2">
      <c r="A2645" t="s">
        <v>381</v>
      </c>
      <c r="B2645" s="3">
        <v>44356</v>
      </c>
      <c r="C2645">
        <v>131</v>
      </c>
      <c r="D2645" t="s">
        <v>383</v>
      </c>
      <c r="E2645" t="s">
        <v>83</v>
      </c>
      <c r="F2645" s="9" t="s">
        <v>84</v>
      </c>
      <c r="G2645" t="s">
        <v>26</v>
      </c>
      <c r="H2645" t="s">
        <v>85</v>
      </c>
      <c r="I2645" t="s">
        <v>86</v>
      </c>
      <c r="J2645" t="s">
        <v>43</v>
      </c>
      <c r="K2645" t="s">
        <v>44</v>
      </c>
      <c r="L2645" t="s">
        <v>53</v>
      </c>
      <c r="M2645" t="s">
        <v>54</v>
      </c>
      <c r="N2645" t="s">
        <v>85</v>
      </c>
      <c r="O2645" t="s">
        <v>86</v>
      </c>
      <c r="P2645" t="s">
        <v>43</v>
      </c>
      <c r="Q2645" t="s">
        <v>44</v>
      </c>
      <c r="R2645" s="1">
        <v>44356.554814814815</v>
      </c>
      <c r="S2645" s="1">
        <v>44356.554814814815</v>
      </c>
      <c r="T2645">
        <v>1</v>
      </c>
      <c r="U2645">
        <v>1</v>
      </c>
      <c r="V2645" s="2">
        <v>1</v>
      </c>
      <c r="W2645">
        <v>1</v>
      </c>
      <c r="X2645" t="s">
        <v>54</v>
      </c>
      <c r="Y2645">
        <v>1</v>
      </c>
      <c r="Z2645" t="s">
        <v>31</v>
      </c>
      <c r="AA2645">
        <v>0</v>
      </c>
      <c r="AB2645" t="s">
        <v>31</v>
      </c>
      <c r="AC2645">
        <v>0</v>
      </c>
      <c r="AD2645" t="s">
        <v>31</v>
      </c>
      <c r="AE2645">
        <v>0</v>
      </c>
      <c r="AF2645" t="s">
        <v>31</v>
      </c>
      <c r="AG2645">
        <v>0</v>
      </c>
      <c r="AH2645" t="s">
        <v>31</v>
      </c>
      <c r="AI2645">
        <v>0</v>
      </c>
      <c r="AJ2645" t="s">
        <v>31</v>
      </c>
      <c r="AK2645">
        <v>0</v>
      </c>
      <c r="AL2645" t="s">
        <v>31</v>
      </c>
      <c r="AM2645">
        <v>0</v>
      </c>
      <c r="AN2645" t="s">
        <v>31</v>
      </c>
      <c r="AO2645">
        <v>0</v>
      </c>
      <c r="AP2645" t="s">
        <v>31</v>
      </c>
      <c r="AQ2645">
        <v>0</v>
      </c>
    </row>
    <row r="2646" spans="1:43" x14ac:dyDescent="0.2">
      <c r="A2646" t="s">
        <v>381</v>
      </c>
      <c r="B2646" s="3">
        <v>44357</v>
      </c>
      <c r="C2646">
        <v>132</v>
      </c>
      <c r="D2646" t="s">
        <v>399</v>
      </c>
      <c r="E2646" t="s">
        <v>83</v>
      </c>
      <c r="F2646" s="9" t="s">
        <v>84</v>
      </c>
      <c r="G2646" t="s">
        <v>26</v>
      </c>
      <c r="H2646" t="s">
        <v>85</v>
      </c>
      <c r="I2646" t="s">
        <v>86</v>
      </c>
      <c r="J2646" t="s">
        <v>43</v>
      </c>
      <c r="K2646" t="s">
        <v>44</v>
      </c>
      <c r="L2646" t="s">
        <v>53</v>
      </c>
      <c r="M2646" t="s">
        <v>54</v>
      </c>
      <c r="N2646" t="s">
        <v>85</v>
      </c>
      <c r="O2646" t="s">
        <v>86</v>
      </c>
      <c r="P2646" t="s">
        <v>43</v>
      </c>
      <c r="Q2646" t="s">
        <v>44</v>
      </c>
      <c r="R2646" s="1">
        <v>44357.359652777777</v>
      </c>
      <c r="S2646" s="1">
        <v>44357.359652777777</v>
      </c>
      <c r="T2646">
        <v>0</v>
      </c>
      <c r="U2646">
        <v>1</v>
      </c>
      <c r="V2646" s="2">
        <v>0</v>
      </c>
      <c r="W2646">
        <v>0</v>
      </c>
      <c r="X2646" t="s">
        <v>44</v>
      </c>
      <c r="Y2646">
        <v>0</v>
      </c>
      <c r="Z2646" t="s">
        <v>31</v>
      </c>
      <c r="AA2646">
        <v>0</v>
      </c>
      <c r="AB2646" t="s">
        <v>31</v>
      </c>
      <c r="AC2646">
        <v>0</v>
      </c>
      <c r="AD2646" t="s">
        <v>31</v>
      </c>
      <c r="AE2646">
        <v>0</v>
      </c>
      <c r="AF2646" t="s">
        <v>31</v>
      </c>
      <c r="AG2646">
        <v>0</v>
      </c>
      <c r="AH2646" t="s">
        <v>31</v>
      </c>
      <c r="AI2646">
        <v>0</v>
      </c>
      <c r="AJ2646" t="s">
        <v>31</v>
      </c>
      <c r="AK2646">
        <v>0</v>
      </c>
      <c r="AL2646" t="s">
        <v>31</v>
      </c>
      <c r="AM2646">
        <v>0</v>
      </c>
      <c r="AN2646" t="s">
        <v>31</v>
      </c>
      <c r="AO2646">
        <v>0</v>
      </c>
      <c r="AP2646" t="s">
        <v>31</v>
      </c>
      <c r="AQ2646">
        <v>0</v>
      </c>
    </row>
    <row r="2647" spans="1:43" x14ac:dyDescent="0.2">
      <c r="A2647" t="s">
        <v>381</v>
      </c>
      <c r="B2647" s="3">
        <v>44358</v>
      </c>
      <c r="C2647">
        <v>133</v>
      </c>
      <c r="D2647" t="s">
        <v>390</v>
      </c>
      <c r="E2647" t="s">
        <v>83</v>
      </c>
      <c r="F2647" s="9" t="s">
        <v>84</v>
      </c>
      <c r="G2647" t="s">
        <v>26</v>
      </c>
      <c r="H2647" t="s">
        <v>85</v>
      </c>
      <c r="I2647" t="s">
        <v>86</v>
      </c>
      <c r="J2647" t="s">
        <v>43</v>
      </c>
      <c r="K2647" t="s">
        <v>44</v>
      </c>
      <c r="L2647" t="s">
        <v>53</v>
      </c>
      <c r="M2647" t="s">
        <v>54</v>
      </c>
      <c r="N2647" t="s">
        <v>85</v>
      </c>
      <c r="O2647" t="s">
        <v>86</v>
      </c>
      <c r="P2647" t="s">
        <v>43</v>
      </c>
      <c r="Q2647" t="s">
        <v>44</v>
      </c>
      <c r="R2647" s="1">
        <v>44358.458506944444</v>
      </c>
      <c r="S2647" s="1">
        <v>44358.458715277775</v>
      </c>
      <c r="T2647">
        <v>0</v>
      </c>
      <c r="U2647">
        <v>1</v>
      </c>
      <c r="V2647" s="2">
        <v>0</v>
      </c>
      <c r="W2647">
        <v>0</v>
      </c>
      <c r="X2647" t="s">
        <v>44</v>
      </c>
      <c r="Y2647">
        <v>0</v>
      </c>
      <c r="Z2647" t="s">
        <v>31</v>
      </c>
      <c r="AA2647">
        <v>0</v>
      </c>
      <c r="AB2647" t="s">
        <v>31</v>
      </c>
      <c r="AC2647">
        <v>0</v>
      </c>
      <c r="AD2647" t="s">
        <v>31</v>
      </c>
      <c r="AE2647">
        <v>0</v>
      </c>
      <c r="AF2647" t="s">
        <v>31</v>
      </c>
      <c r="AG2647">
        <v>0</v>
      </c>
      <c r="AH2647" t="s">
        <v>31</v>
      </c>
      <c r="AI2647">
        <v>0</v>
      </c>
      <c r="AJ2647" t="s">
        <v>31</v>
      </c>
      <c r="AK2647">
        <v>0</v>
      </c>
      <c r="AL2647" t="s">
        <v>31</v>
      </c>
      <c r="AM2647">
        <v>0</v>
      </c>
      <c r="AN2647" t="s">
        <v>31</v>
      </c>
      <c r="AO2647">
        <v>0</v>
      </c>
      <c r="AP2647" t="s">
        <v>31</v>
      </c>
      <c r="AQ2647">
        <v>0</v>
      </c>
    </row>
    <row r="2648" spans="1:43" x14ac:dyDescent="0.2">
      <c r="A2648" t="s">
        <v>381</v>
      </c>
      <c r="B2648" s="3">
        <v>44361</v>
      </c>
      <c r="C2648">
        <v>135</v>
      </c>
      <c r="D2648" t="s">
        <v>390</v>
      </c>
      <c r="E2648" t="s">
        <v>83</v>
      </c>
      <c r="F2648" s="9" t="s">
        <v>84</v>
      </c>
      <c r="G2648" t="s">
        <v>26</v>
      </c>
      <c r="H2648" t="s">
        <v>85</v>
      </c>
      <c r="I2648" t="s">
        <v>86</v>
      </c>
      <c r="J2648" t="s">
        <v>43</v>
      </c>
      <c r="K2648" t="s">
        <v>44</v>
      </c>
      <c r="L2648" t="s">
        <v>53</v>
      </c>
      <c r="M2648" t="s">
        <v>54</v>
      </c>
      <c r="N2648" t="s">
        <v>85</v>
      </c>
      <c r="O2648" t="s">
        <v>86</v>
      </c>
      <c r="P2648" t="s">
        <v>43</v>
      </c>
      <c r="Q2648" t="s">
        <v>44</v>
      </c>
      <c r="R2648" s="1">
        <v>44361.483831018515</v>
      </c>
      <c r="S2648" s="1">
        <v>44361.483831018515</v>
      </c>
      <c r="T2648">
        <v>1</v>
      </c>
      <c r="U2648">
        <v>1</v>
      </c>
      <c r="V2648" s="2">
        <v>1</v>
      </c>
      <c r="W2648">
        <v>1</v>
      </c>
      <c r="X2648" t="s">
        <v>54</v>
      </c>
      <c r="Y2648">
        <v>1</v>
      </c>
      <c r="Z2648" t="s">
        <v>31</v>
      </c>
      <c r="AA2648">
        <v>0</v>
      </c>
      <c r="AB2648" t="s">
        <v>31</v>
      </c>
      <c r="AC2648">
        <v>0</v>
      </c>
      <c r="AD2648" t="s">
        <v>31</v>
      </c>
      <c r="AE2648">
        <v>0</v>
      </c>
      <c r="AF2648" t="s">
        <v>31</v>
      </c>
      <c r="AG2648">
        <v>0</v>
      </c>
      <c r="AH2648" t="s">
        <v>31</v>
      </c>
      <c r="AI2648">
        <v>0</v>
      </c>
      <c r="AJ2648" t="s">
        <v>31</v>
      </c>
      <c r="AK2648">
        <v>0</v>
      </c>
      <c r="AL2648" t="s">
        <v>31</v>
      </c>
      <c r="AM2648">
        <v>0</v>
      </c>
      <c r="AN2648" t="s">
        <v>31</v>
      </c>
      <c r="AO2648">
        <v>0</v>
      </c>
      <c r="AP2648" t="s">
        <v>31</v>
      </c>
      <c r="AQ2648">
        <v>0</v>
      </c>
    </row>
    <row r="2649" spans="1:43" x14ac:dyDescent="0.2">
      <c r="A2649" t="s">
        <v>381</v>
      </c>
      <c r="B2649" s="3">
        <v>44361</v>
      </c>
      <c r="C2649">
        <v>136</v>
      </c>
      <c r="D2649" t="s">
        <v>383</v>
      </c>
      <c r="E2649" t="s">
        <v>83</v>
      </c>
      <c r="F2649" s="9" t="s">
        <v>84</v>
      </c>
      <c r="G2649" t="s">
        <v>26</v>
      </c>
      <c r="H2649" t="s">
        <v>85</v>
      </c>
      <c r="I2649" t="s">
        <v>86</v>
      </c>
      <c r="J2649" t="s">
        <v>43</v>
      </c>
      <c r="K2649" t="s">
        <v>44</v>
      </c>
      <c r="L2649" t="s">
        <v>53</v>
      </c>
      <c r="M2649" t="s">
        <v>54</v>
      </c>
      <c r="N2649" t="s">
        <v>85</v>
      </c>
      <c r="O2649" t="s">
        <v>86</v>
      </c>
      <c r="P2649" t="s">
        <v>43</v>
      </c>
      <c r="Q2649" t="s">
        <v>44</v>
      </c>
      <c r="R2649" s="1">
        <v>44361.566655092596</v>
      </c>
      <c r="S2649" s="1">
        <v>44361.566655092596</v>
      </c>
      <c r="T2649">
        <v>0</v>
      </c>
      <c r="U2649">
        <v>1</v>
      </c>
      <c r="V2649" s="2">
        <v>0</v>
      </c>
      <c r="W2649">
        <v>0</v>
      </c>
      <c r="X2649" t="s">
        <v>44</v>
      </c>
      <c r="Y2649">
        <v>0</v>
      </c>
      <c r="Z2649" t="s">
        <v>31</v>
      </c>
      <c r="AA2649">
        <v>0</v>
      </c>
      <c r="AB2649" t="s">
        <v>31</v>
      </c>
      <c r="AC2649">
        <v>0</v>
      </c>
      <c r="AD2649" t="s">
        <v>31</v>
      </c>
      <c r="AE2649">
        <v>0</v>
      </c>
      <c r="AF2649" t="s">
        <v>31</v>
      </c>
      <c r="AG2649">
        <v>0</v>
      </c>
      <c r="AH2649" t="s">
        <v>31</v>
      </c>
      <c r="AI2649">
        <v>0</v>
      </c>
      <c r="AJ2649" t="s">
        <v>31</v>
      </c>
      <c r="AK2649">
        <v>0</v>
      </c>
      <c r="AL2649" t="s">
        <v>31</v>
      </c>
      <c r="AM2649">
        <v>0</v>
      </c>
      <c r="AN2649" t="s">
        <v>31</v>
      </c>
      <c r="AO2649">
        <v>0</v>
      </c>
      <c r="AP2649" t="s">
        <v>31</v>
      </c>
      <c r="AQ2649">
        <v>0</v>
      </c>
    </row>
    <row r="2650" spans="1:43" x14ac:dyDescent="0.2">
      <c r="A2650" t="s">
        <v>381</v>
      </c>
      <c r="B2650" s="3">
        <v>44363</v>
      </c>
      <c r="C2650">
        <v>137</v>
      </c>
      <c r="D2650" t="s">
        <v>383</v>
      </c>
      <c r="E2650" t="s">
        <v>83</v>
      </c>
      <c r="F2650" s="9" t="s">
        <v>84</v>
      </c>
      <c r="G2650" t="s">
        <v>26</v>
      </c>
      <c r="H2650" t="s">
        <v>85</v>
      </c>
      <c r="I2650" t="s">
        <v>86</v>
      </c>
      <c r="J2650" t="s">
        <v>43</v>
      </c>
      <c r="K2650" t="s">
        <v>44</v>
      </c>
      <c r="L2650" t="s">
        <v>53</v>
      </c>
      <c r="M2650" t="s">
        <v>54</v>
      </c>
      <c r="N2650" t="s">
        <v>85</v>
      </c>
      <c r="O2650" t="s">
        <v>86</v>
      </c>
      <c r="P2650" t="s">
        <v>43</v>
      </c>
      <c r="Q2650" t="s">
        <v>44</v>
      </c>
      <c r="R2650" s="1">
        <v>44363.640659722223</v>
      </c>
      <c r="S2650" s="1">
        <v>44363.6406712963</v>
      </c>
      <c r="T2650">
        <v>1</v>
      </c>
      <c r="U2650">
        <v>3</v>
      </c>
      <c r="V2650" s="2">
        <v>0.33</v>
      </c>
      <c r="W2650">
        <v>1</v>
      </c>
      <c r="X2650" t="s">
        <v>44</v>
      </c>
      <c r="Y2650">
        <v>0</v>
      </c>
      <c r="Z2650" t="s">
        <v>44</v>
      </c>
      <c r="AA2650">
        <v>0</v>
      </c>
      <c r="AB2650" t="s">
        <v>54</v>
      </c>
      <c r="AC2650">
        <v>1</v>
      </c>
      <c r="AD2650" t="s">
        <v>31</v>
      </c>
      <c r="AE2650">
        <v>0</v>
      </c>
      <c r="AF2650" t="s">
        <v>31</v>
      </c>
      <c r="AG2650">
        <v>0</v>
      </c>
      <c r="AH2650" t="s">
        <v>31</v>
      </c>
      <c r="AI2650">
        <v>0</v>
      </c>
      <c r="AJ2650" t="s">
        <v>31</v>
      </c>
      <c r="AK2650">
        <v>0</v>
      </c>
      <c r="AL2650" t="s">
        <v>31</v>
      </c>
      <c r="AM2650">
        <v>0</v>
      </c>
      <c r="AN2650" t="s">
        <v>31</v>
      </c>
      <c r="AO2650">
        <v>0</v>
      </c>
      <c r="AP2650" t="s">
        <v>31</v>
      </c>
      <c r="AQ2650">
        <v>0</v>
      </c>
    </row>
    <row r="2651" spans="1:43" x14ac:dyDescent="0.2">
      <c r="A2651" t="s">
        <v>381</v>
      </c>
      <c r="B2651" s="3">
        <v>44364</v>
      </c>
      <c r="C2651">
        <v>138</v>
      </c>
      <c r="D2651" t="s">
        <v>399</v>
      </c>
      <c r="E2651" t="s">
        <v>83</v>
      </c>
      <c r="F2651" s="9" t="s">
        <v>84</v>
      </c>
      <c r="G2651" t="s">
        <v>26</v>
      </c>
      <c r="H2651" t="s">
        <v>85</v>
      </c>
      <c r="I2651" t="s">
        <v>86</v>
      </c>
      <c r="J2651" t="s">
        <v>43</v>
      </c>
      <c r="K2651" t="s">
        <v>44</v>
      </c>
      <c r="L2651" t="s">
        <v>53</v>
      </c>
      <c r="M2651" t="s">
        <v>54</v>
      </c>
      <c r="N2651" t="s">
        <v>85</v>
      </c>
      <c r="O2651" t="s">
        <v>86</v>
      </c>
      <c r="P2651" t="s">
        <v>43</v>
      </c>
      <c r="Q2651" t="s">
        <v>44</v>
      </c>
      <c r="R2651" s="1">
        <v>44364.388020833336</v>
      </c>
      <c r="S2651" s="1">
        <v>44364.466111111113</v>
      </c>
      <c r="T2651">
        <v>0</v>
      </c>
      <c r="U2651">
        <v>2</v>
      </c>
      <c r="V2651" s="2">
        <v>0</v>
      </c>
      <c r="W2651">
        <v>0</v>
      </c>
      <c r="X2651" t="s">
        <v>44</v>
      </c>
      <c r="Y2651">
        <v>0</v>
      </c>
      <c r="Z2651" t="s">
        <v>44</v>
      </c>
      <c r="AA2651">
        <v>0</v>
      </c>
      <c r="AB2651" t="s">
        <v>31</v>
      </c>
      <c r="AC2651">
        <v>0</v>
      </c>
      <c r="AD2651" t="s">
        <v>31</v>
      </c>
      <c r="AE2651">
        <v>0</v>
      </c>
      <c r="AF2651" t="s">
        <v>31</v>
      </c>
      <c r="AG2651">
        <v>0</v>
      </c>
      <c r="AH2651" t="s">
        <v>31</v>
      </c>
      <c r="AI2651">
        <v>0</v>
      </c>
      <c r="AJ2651" t="s">
        <v>31</v>
      </c>
      <c r="AK2651">
        <v>0</v>
      </c>
      <c r="AL2651" t="s">
        <v>31</v>
      </c>
      <c r="AM2651">
        <v>0</v>
      </c>
      <c r="AN2651" t="s">
        <v>31</v>
      </c>
      <c r="AO2651">
        <v>0</v>
      </c>
      <c r="AP2651" t="s">
        <v>31</v>
      </c>
      <c r="AQ2651">
        <v>0</v>
      </c>
    </row>
    <row r="2652" spans="1:43" x14ac:dyDescent="0.2">
      <c r="A2652" t="s">
        <v>381</v>
      </c>
      <c r="B2652" s="3">
        <v>44365</v>
      </c>
      <c r="C2652">
        <v>139</v>
      </c>
      <c r="D2652" t="s">
        <v>400</v>
      </c>
      <c r="E2652" t="s">
        <v>83</v>
      </c>
      <c r="F2652" s="9" t="s">
        <v>84</v>
      </c>
      <c r="G2652" t="s">
        <v>26</v>
      </c>
      <c r="H2652" t="s">
        <v>85</v>
      </c>
      <c r="I2652" t="s">
        <v>86</v>
      </c>
      <c r="J2652" t="s">
        <v>43</v>
      </c>
      <c r="K2652" t="s">
        <v>44</v>
      </c>
      <c r="L2652" t="s">
        <v>53</v>
      </c>
      <c r="M2652" t="s">
        <v>54</v>
      </c>
      <c r="N2652" t="s">
        <v>85</v>
      </c>
      <c r="O2652" t="s">
        <v>86</v>
      </c>
      <c r="P2652" t="s">
        <v>43</v>
      </c>
      <c r="Q2652" t="s">
        <v>44</v>
      </c>
      <c r="R2652" s="1">
        <v>44365.422337962962</v>
      </c>
      <c r="S2652" s="1">
        <v>44365.422337962962</v>
      </c>
      <c r="T2652">
        <v>0</v>
      </c>
      <c r="U2652">
        <v>1</v>
      </c>
      <c r="V2652" s="2">
        <v>0</v>
      </c>
      <c r="W2652">
        <v>0</v>
      </c>
      <c r="X2652" t="s">
        <v>44</v>
      </c>
      <c r="Y2652">
        <v>0</v>
      </c>
      <c r="Z2652" t="s">
        <v>31</v>
      </c>
      <c r="AA2652">
        <v>0</v>
      </c>
      <c r="AB2652" t="s">
        <v>31</v>
      </c>
      <c r="AC2652">
        <v>0</v>
      </c>
      <c r="AD2652" t="s">
        <v>31</v>
      </c>
      <c r="AE2652">
        <v>0</v>
      </c>
      <c r="AF2652" t="s">
        <v>31</v>
      </c>
      <c r="AG2652">
        <v>0</v>
      </c>
      <c r="AH2652" t="s">
        <v>31</v>
      </c>
      <c r="AI2652">
        <v>0</v>
      </c>
      <c r="AJ2652" t="s">
        <v>31</v>
      </c>
      <c r="AK2652">
        <v>0</v>
      </c>
      <c r="AL2652" t="s">
        <v>31</v>
      </c>
      <c r="AM2652">
        <v>0</v>
      </c>
      <c r="AN2652" t="s">
        <v>31</v>
      </c>
      <c r="AO2652">
        <v>0</v>
      </c>
      <c r="AP2652" t="s">
        <v>31</v>
      </c>
      <c r="AQ2652">
        <v>0</v>
      </c>
    </row>
    <row r="2653" spans="1:43" x14ac:dyDescent="0.2">
      <c r="A2653" t="s">
        <v>381</v>
      </c>
      <c r="B2653" s="3">
        <v>44365</v>
      </c>
      <c r="C2653">
        <v>140</v>
      </c>
      <c r="D2653" t="s">
        <v>399</v>
      </c>
      <c r="E2653" t="s">
        <v>83</v>
      </c>
      <c r="F2653" s="9" t="s">
        <v>84</v>
      </c>
      <c r="G2653" t="s">
        <v>26</v>
      </c>
      <c r="H2653" t="s">
        <v>85</v>
      </c>
      <c r="I2653" t="s">
        <v>86</v>
      </c>
      <c r="J2653" t="s">
        <v>43</v>
      </c>
      <c r="K2653" t="s">
        <v>44</v>
      </c>
      <c r="L2653" t="s">
        <v>53</v>
      </c>
      <c r="M2653" t="s">
        <v>54</v>
      </c>
      <c r="N2653" t="s">
        <v>85</v>
      </c>
      <c r="O2653" t="s">
        <v>86</v>
      </c>
      <c r="P2653" t="s">
        <v>43</v>
      </c>
      <c r="Q2653" t="s">
        <v>44</v>
      </c>
      <c r="R2653" s="1">
        <v>44365.560543981483</v>
      </c>
      <c r="S2653" s="1">
        <v>44365.637499999997</v>
      </c>
      <c r="T2653">
        <v>0</v>
      </c>
      <c r="U2653">
        <v>2</v>
      </c>
      <c r="V2653" s="2">
        <v>0</v>
      </c>
      <c r="W2653">
        <v>0</v>
      </c>
      <c r="X2653" t="s">
        <v>44</v>
      </c>
      <c r="Y2653">
        <v>0</v>
      </c>
      <c r="Z2653" t="s">
        <v>44</v>
      </c>
      <c r="AA2653">
        <v>0</v>
      </c>
      <c r="AB2653" t="s">
        <v>31</v>
      </c>
      <c r="AC2653">
        <v>0</v>
      </c>
      <c r="AD2653" t="s">
        <v>31</v>
      </c>
      <c r="AE2653">
        <v>0</v>
      </c>
      <c r="AF2653" t="s">
        <v>31</v>
      </c>
      <c r="AG2653">
        <v>0</v>
      </c>
      <c r="AH2653" t="s">
        <v>31</v>
      </c>
      <c r="AI2653">
        <v>0</v>
      </c>
      <c r="AJ2653" t="s">
        <v>31</v>
      </c>
      <c r="AK2653">
        <v>0</v>
      </c>
      <c r="AL2653" t="s">
        <v>31</v>
      </c>
      <c r="AM2653">
        <v>0</v>
      </c>
      <c r="AN2653" t="s">
        <v>31</v>
      </c>
      <c r="AO2653">
        <v>0</v>
      </c>
      <c r="AP2653" t="s">
        <v>31</v>
      </c>
      <c r="AQ2653">
        <v>0</v>
      </c>
    </row>
    <row r="2654" spans="1:43" x14ac:dyDescent="0.2">
      <c r="A2654" t="s">
        <v>381</v>
      </c>
      <c r="B2654" s="3">
        <v>44375</v>
      </c>
      <c r="C2654">
        <v>141</v>
      </c>
      <c r="D2654" t="s">
        <v>396</v>
      </c>
      <c r="E2654" t="s">
        <v>83</v>
      </c>
      <c r="F2654" s="9" t="s">
        <v>84</v>
      </c>
      <c r="G2654" t="s">
        <v>26</v>
      </c>
      <c r="H2654" t="s">
        <v>85</v>
      </c>
      <c r="I2654" t="s">
        <v>86</v>
      </c>
      <c r="J2654" t="s">
        <v>43</v>
      </c>
      <c r="K2654" t="s">
        <v>44</v>
      </c>
      <c r="L2654" t="s">
        <v>53</v>
      </c>
      <c r="M2654" t="s">
        <v>54</v>
      </c>
      <c r="N2654" t="s">
        <v>85</v>
      </c>
      <c r="O2654" t="s">
        <v>86</v>
      </c>
      <c r="P2654" t="s">
        <v>43</v>
      </c>
      <c r="Q2654" t="s">
        <v>44</v>
      </c>
      <c r="R2654" s="1">
        <v>44375.607175925928</v>
      </c>
      <c r="S2654" s="1">
        <v>44375.607175925928</v>
      </c>
      <c r="T2654">
        <v>0</v>
      </c>
      <c r="U2654">
        <v>1</v>
      </c>
      <c r="V2654" s="2">
        <v>0</v>
      </c>
      <c r="W2654">
        <v>0</v>
      </c>
      <c r="X2654" t="s">
        <v>44</v>
      </c>
      <c r="Y2654">
        <v>0</v>
      </c>
      <c r="Z2654" t="s">
        <v>31</v>
      </c>
      <c r="AA2654">
        <v>0</v>
      </c>
      <c r="AB2654" t="s">
        <v>31</v>
      </c>
      <c r="AC2654">
        <v>0</v>
      </c>
      <c r="AD2654" t="s">
        <v>31</v>
      </c>
      <c r="AE2654">
        <v>0</v>
      </c>
      <c r="AF2654" t="s">
        <v>31</v>
      </c>
      <c r="AG2654">
        <v>0</v>
      </c>
      <c r="AH2654" t="s">
        <v>31</v>
      </c>
      <c r="AI2654">
        <v>0</v>
      </c>
      <c r="AJ2654" t="s">
        <v>31</v>
      </c>
      <c r="AK2654">
        <v>0</v>
      </c>
      <c r="AL2654" t="s">
        <v>31</v>
      </c>
      <c r="AM2654">
        <v>0</v>
      </c>
      <c r="AN2654" t="s">
        <v>31</v>
      </c>
      <c r="AO2654">
        <v>0</v>
      </c>
      <c r="AP2654" t="s">
        <v>31</v>
      </c>
      <c r="AQ2654">
        <v>0</v>
      </c>
    </row>
    <row r="2655" spans="1:43" x14ac:dyDescent="0.2">
      <c r="A2655" t="s">
        <v>381</v>
      </c>
      <c r="B2655" s="3">
        <v>44207</v>
      </c>
      <c r="C2655">
        <v>1</v>
      </c>
      <c r="D2655" t="s">
        <v>384</v>
      </c>
      <c r="E2655" t="s">
        <v>83</v>
      </c>
      <c r="F2655" s="9" t="s">
        <v>87</v>
      </c>
      <c r="G2655" t="s">
        <v>26</v>
      </c>
      <c r="H2655" t="s">
        <v>85</v>
      </c>
      <c r="I2655" t="s">
        <v>86</v>
      </c>
      <c r="J2655" t="s">
        <v>53</v>
      </c>
      <c r="K2655" t="s">
        <v>54</v>
      </c>
      <c r="L2655" t="s">
        <v>53</v>
      </c>
      <c r="M2655" t="s">
        <v>54</v>
      </c>
      <c r="N2655" t="s">
        <v>85</v>
      </c>
      <c r="O2655" t="s">
        <v>86</v>
      </c>
      <c r="P2655" t="s">
        <v>53</v>
      </c>
      <c r="Q2655" t="s">
        <v>54</v>
      </c>
      <c r="R2655" s="1">
        <v>44207.45071759259</v>
      </c>
      <c r="S2655" s="1">
        <v>44207.45071759259</v>
      </c>
      <c r="T2655">
        <v>0</v>
      </c>
      <c r="U2655">
        <v>1</v>
      </c>
      <c r="V2655" s="2">
        <v>0</v>
      </c>
      <c r="W2655">
        <v>0</v>
      </c>
      <c r="X2655" t="s">
        <v>44</v>
      </c>
      <c r="Y2655">
        <v>0</v>
      </c>
      <c r="Z2655" t="s">
        <v>31</v>
      </c>
      <c r="AA2655">
        <v>0</v>
      </c>
      <c r="AB2655" t="s">
        <v>31</v>
      </c>
      <c r="AC2655">
        <v>0</v>
      </c>
      <c r="AD2655" t="s">
        <v>31</v>
      </c>
      <c r="AE2655">
        <v>0</v>
      </c>
      <c r="AF2655" t="s">
        <v>31</v>
      </c>
      <c r="AG2655">
        <v>0</v>
      </c>
      <c r="AH2655" t="s">
        <v>31</v>
      </c>
      <c r="AI2655">
        <v>0</v>
      </c>
      <c r="AJ2655" t="s">
        <v>31</v>
      </c>
      <c r="AK2655">
        <v>0</v>
      </c>
      <c r="AL2655" t="s">
        <v>31</v>
      </c>
      <c r="AM2655">
        <v>0</v>
      </c>
      <c r="AN2655" t="s">
        <v>31</v>
      </c>
      <c r="AO2655">
        <v>0</v>
      </c>
      <c r="AP2655" t="s">
        <v>31</v>
      </c>
      <c r="AQ2655">
        <v>0</v>
      </c>
    </row>
    <row r="2656" spans="1:43" x14ac:dyDescent="0.2">
      <c r="A2656" t="s">
        <v>381</v>
      </c>
      <c r="B2656" s="3">
        <v>44237</v>
      </c>
      <c r="C2656">
        <v>4</v>
      </c>
      <c r="D2656" t="s">
        <v>384</v>
      </c>
      <c r="E2656" t="s">
        <v>83</v>
      </c>
      <c r="F2656" s="9" t="s">
        <v>87</v>
      </c>
      <c r="G2656" t="s">
        <v>26</v>
      </c>
      <c r="H2656" t="s">
        <v>85</v>
      </c>
      <c r="I2656" t="s">
        <v>86</v>
      </c>
      <c r="J2656" t="s">
        <v>53</v>
      </c>
      <c r="K2656" t="s">
        <v>54</v>
      </c>
      <c r="L2656" t="s">
        <v>53</v>
      </c>
      <c r="M2656" t="s">
        <v>54</v>
      </c>
      <c r="N2656" t="s">
        <v>85</v>
      </c>
      <c r="O2656" t="s">
        <v>86</v>
      </c>
      <c r="P2656" t="s">
        <v>53</v>
      </c>
      <c r="Q2656" t="s">
        <v>54</v>
      </c>
      <c r="R2656" s="1">
        <v>44237.470497685186</v>
      </c>
      <c r="S2656" s="1">
        <v>44237.470497685186</v>
      </c>
      <c r="T2656">
        <v>0</v>
      </c>
      <c r="U2656">
        <v>1</v>
      </c>
      <c r="V2656" s="2">
        <v>0</v>
      </c>
      <c r="W2656">
        <v>0</v>
      </c>
      <c r="X2656" t="s">
        <v>44</v>
      </c>
      <c r="Y2656">
        <v>0</v>
      </c>
      <c r="Z2656" t="s">
        <v>31</v>
      </c>
      <c r="AA2656">
        <v>0</v>
      </c>
      <c r="AB2656" t="s">
        <v>31</v>
      </c>
      <c r="AC2656">
        <v>0</v>
      </c>
      <c r="AD2656" t="s">
        <v>31</v>
      </c>
      <c r="AE2656">
        <v>0</v>
      </c>
      <c r="AF2656" t="s">
        <v>31</v>
      </c>
      <c r="AG2656">
        <v>0</v>
      </c>
      <c r="AH2656" t="s">
        <v>31</v>
      </c>
      <c r="AI2656">
        <v>0</v>
      </c>
      <c r="AJ2656" t="s">
        <v>31</v>
      </c>
      <c r="AK2656">
        <v>0</v>
      </c>
      <c r="AL2656" t="s">
        <v>31</v>
      </c>
      <c r="AM2656">
        <v>0</v>
      </c>
      <c r="AN2656" t="s">
        <v>31</v>
      </c>
      <c r="AO2656">
        <v>0</v>
      </c>
      <c r="AP2656" t="s">
        <v>31</v>
      </c>
      <c r="AQ2656">
        <v>0</v>
      </c>
    </row>
    <row r="2657" spans="1:43" x14ac:dyDescent="0.2">
      <c r="A2657" t="s">
        <v>381</v>
      </c>
      <c r="B2657" s="3">
        <v>44239</v>
      </c>
      <c r="C2657">
        <v>7</v>
      </c>
      <c r="D2657" t="s">
        <v>384</v>
      </c>
      <c r="E2657" t="s">
        <v>83</v>
      </c>
      <c r="F2657" s="9" t="s">
        <v>87</v>
      </c>
      <c r="G2657" t="s">
        <v>26</v>
      </c>
      <c r="H2657" t="s">
        <v>85</v>
      </c>
      <c r="I2657" t="s">
        <v>86</v>
      </c>
      <c r="J2657" t="s">
        <v>53</v>
      </c>
      <c r="K2657" t="s">
        <v>54</v>
      </c>
      <c r="L2657" t="s">
        <v>53</v>
      </c>
      <c r="M2657" t="s">
        <v>54</v>
      </c>
      <c r="N2657" t="s">
        <v>85</v>
      </c>
      <c r="O2657" t="s">
        <v>86</v>
      </c>
      <c r="P2657" t="s">
        <v>53</v>
      </c>
      <c r="Q2657" t="s">
        <v>54</v>
      </c>
      <c r="R2657" s="1">
        <v>44239.436631944445</v>
      </c>
      <c r="S2657" s="1">
        <v>44239.436631944445</v>
      </c>
      <c r="T2657">
        <v>0</v>
      </c>
      <c r="U2657">
        <v>1</v>
      </c>
      <c r="V2657" s="2">
        <v>0</v>
      </c>
      <c r="W2657">
        <v>0</v>
      </c>
      <c r="X2657" t="s">
        <v>44</v>
      </c>
      <c r="Y2657">
        <v>0</v>
      </c>
      <c r="Z2657" t="s">
        <v>31</v>
      </c>
      <c r="AA2657">
        <v>0</v>
      </c>
      <c r="AB2657" t="s">
        <v>31</v>
      </c>
      <c r="AC2657">
        <v>0</v>
      </c>
      <c r="AD2657" t="s">
        <v>31</v>
      </c>
      <c r="AE2657">
        <v>0</v>
      </c>
      <c r="AF2657" t="s">
        <v>31</v>
      </c>
      <c r="AG2657">
        <v>0</v>
      </c>
      <c r="AH2657" t="s">
        <v>31</v>
      </c>
      <c r="AI2657">
        <v>0</v>
      </c>
      <c r="AJ2657" t="s">
        <v>31</v>
      </c>
      <c r="AK2657">
        <v>0</v>
      </c>
      <c r="AL2657" t="s">
        <v>31</v>
      </c>
      <c r="AM2657">
        <v>0</v>
      </c>
      <c r="AN2657" t="s">
        <v>31</v>
      </c>
      <c r="AO2657">
        <v>0</v>
      </c>
      <c r="AP2657" t="s">
        <v>31</v>
      </c>
      <c r="AQ2657">
        <v>0</v>
      </c>
    </row>
    <row r="2658" spans="1:43" x14ac:dyDescent="0.2">
      <c r="A2658" t="s">
        <v>381</v>
      </c>
      <c r="B2658" s="3">
        <v>44242</v>
      </c>
      <c r="C2658">
        <v>8</v>
      </c>
      <c r="D2658" t="s">
        <v>384</v>
      </c>
      <c r="E2658" t="s">
        <v>83</v>
      </c>
      <c r="F2658" s="9" t="s">
        <v>87</v>
      </c>
      <c r="G2658" t="s">
        <v>26</v>
      </c>
      <c r="H2658" t="s">
        <v>85</v>
      </c>
      <c r="I2658" t="s">
        <v>86</v>
      </c>
      <c r="J2658" t="s">
        <v>53</v>
      </c>
      <c r="K2658" t="s">
        <v>54</v>
      </c>
      <c r="L2658" t="s">
        <v>53</v>
      </c>
      <c r="M2658" t="s">
        <v>54</v>
      </c>
      <c r="N2658" t="s">
        <v>85</v>
      </c>
      <c r="O2658" t="s">
        <v>86</v>
      </c>
      <c r="P2658" t="s">
        <v>53</v>
      </c>
      <c r="Q2658" t="s">
        <v>54</v>
      </c>
      <c r="R2658" s="1">
        <v>44242.385081018518</v>
      </c>
      <c r="S2658" s="1">
        <v>44242.385092592594</v>
      </c>
      <c r="T2658">
        <v>0</v>
      </c>
      <c r="U2658">
        <v>1</v>
      </c>
      <c r="V2658" s="2">
        <v>0</v>
      </c>
      <c r="W2658">
        <v>0</v>
      </c>
      <c r="X2658" t="s">
        <v>44</v>
      </c>
      <c r="Y2658">
        <v>0</v>
      </c>
      <c r="Z2658" t="s">
        <v>31</v>
      </c>
      <c r="AA2658">
        <v>0</v>
      </c>
      <c r="AB2658" t="s">
        <v>31</v>
      </c>
      <c r="AC2658">
        <v>0</v>
      </c>
      <c r="AD2658" t="s">
        <v>31</v>
      </c>
      <c r="AE2658">
        <v>0</v>
      </c>
      <c r="AF2658" t="s">
        <v>31</v>
      </c>
      <c r="AG2658">
        <v>0</v>
      </c>
      <c r="AH2658" t="s">
        <v>31</v>
      </c>
      <c r="AI2658">
        <v>0</v>
      </c>
      <c r="AJ2658" t="s">
        <v>31</v>
      </c>
      <c r="AK2658">
        <v>0</v>
      </c>
      <c r="AL2658" t="s">
        <v>31</v>
      </c>
      <c r="AM2658">
        <v>0</v>
      </c>
      <c r="AN2658" t="s">
        <v>31</v>
      </c>
      <c r="AO2658">
        <v>0</v>
      </c>
      <c r="AP2658" t="s">
        <v>31</v>
      </c>
      <c r="AQ2658">
        <v>0</v>
      </c>
    </row>
    <row r="2659" spans="1:43" x14ac:dyDescent="0.2">
      <c r="A2659" t="s">
        <v>381</v>
      </c>
      <c r="B2659" s="3">
        <v>44243</v>
      </c>
      <c r="C2659">
        <v>9</v>
      </c>
      <c r="D2659" t="s">
        <v>382</v>
      </c>
      <c r="E2659" t="s">
        <v>83</v>
      </c>
      <c r="F2659" s="9" t="s">
        <v>87</v>
      </c>
      <c r="G2659" t="s">
        <v>26</v>
      </c>
      <c r="H2659" t="s">
        <v>85</v>
      </c>
      <c r="I2659" t="s">
        <v>86</v>
      </c>
      <c r="J2659" t="s">
        <v>53</v>
      </c>
      <c r="K2659" t="s">
        <v>54</v>
      </c>
      <c r="L2659" t="s">
        <v>53</v>
      </c>
      <c r="M2659" t="s">
        <v>54</v>
      </c>
      <c r="N2659" t="s">
        <v>85</v>
      </c>
      <c r="O2659" t="s">
        <v>86</v>
      </c>
      <c r="P2659" t="s">
        <v>53</v>
      </c>
      <c r="Q2659" t="s">
        <v>54</v>
      </c>
      <c r="R2659" s="1">
        <v>44243.381527777776</v>
      </c>
      <c r="S2659" s="1">
        <v>44243.433703703704</v>
      </c>
      <c r="T2659">
        <v>0</v>
      </c>
      <c r="U2659">
        <v>2</v>
      </c>
      <c r="V2659" s="2">
        <v>0</v>
      </c>
      <c r="W2659">
        <v>0</v>
      </c>
      <c r="X2659" t="s">
        <v>44</v>
      </c>
      <c r="Y2659">
        <v>0</v>
      </c>
      <c r="Z2659" t="s">
        <v>44</v>
      </c>
      <c r="AA2659">
        <v>0</v>
      </c>
      <c r="AB2659" t="s">
        <v>31</v>
      </c>
      <c r="AC2659">
        <v>0</v>
      </c>
      <c r="AD2659" t="s">
        <v>31</v>
      </c>
      <c r="AE2659">
        <v>0</v>
      </c>
      <c r="AF2659" t="s">
        <v>31</v>
      </c>
      <c r="AG2659">
        <v>0</v>
      </c>
      <c r="AH2659" t="s">
        <v>31</v>
      </c>
      <c r="AI2659">
        <v>0</v>
      </c>
      <c r="AJ2659" t="s">
        <v>31</v>
      </c>
      <c r="AK2659">
        <v>0</v>
      </c>
      <c r="AL2659" t="s">
        <v>31</v>
      </c>
      <c r="AM2659">
        <v>0</v>
      </c>
      <c r="AN2659" t="s">
        <v>31</v>
      </c>
      <c r="AO2659">
        <v>0</v>
      </c>
      <c r="AP2659" t="s">
        <v>31</v>
      </c>
      <c r="AQ2659">
        <v>0</v>
      </c>
    </row>
    <row r="2660" spans="1:43" x14ac:dyDescent="0.2">
      <c r="A2660" t="s">
        <v>381</v>
      </c>
      <c r="B2660" s="3">
        <v>44243</v>
      </c>
      <c r="C2660">
        <v>10</v>
      </c>
      <c r="D2660" t="s">
        <v>385</v>
      </c>
      <c r="E2660" t="s">
        <v>83</v>
      </c>
      <c r="F2660" s="9" t="s">
        <v>87</v>
      </c>
      <c r="G2660" t="s">
        <v>26</v>
      </c>
      <c r="H2660" t="s">
        <v>85</v>
      </c>
      <c r="I2660" t="s">
        <v>86</v>
      </c>
      <c r="J2660" t="s">
        <v>53</v>
      </c>
      <c r="K2660" t="s">
        <v>54</v>
      </c>
      <c r="L2660" t="s">
        <v>53</v>
      </c>
      <c r="M2660" t="s">
        <v>54</v>
      </c>
      <c r="N2660" t="s">
        <v>85</v>
      </c>
      <c r="O2660" t="s">
        <v>86</v>
      </c>
      <c r="P2660" t="s">
        <v>53</v>
      </c>
      <c r="Q2660" t="s">
        <v>54</v>
      </c>
      <c r="R2660" s="1">
        <v>44243.570509259262</v>
      </c>
      <c r="S2660" s="1">
        <v>44243.570520833331</v>
      </c>
      <c r="T2660">
        <v>0</v>
      </c>
      <c r="U2660">
        <v>3</v>
      </c>
      <c r="V2660" s="2">
        <v>0</v>
      </c>
      <c r="W2660">
        <v>0</v>
      </c>
      <c r="X2660" t="s">
        <v>44</v>
      </c>
      <c r="Y2660">
        <v>0</v>
      </c>
      <c r="Z2660" t="s">
        <v>44</v>
      </c>
      <c r="AA2660">
        <v>0</v>
      </c>
      <c r="AB2660" t="s">
        <v>44</v>
      </c>
      <c r="AC2660">
        <v>0</v>
      </c>
      <c r="AD2660" t="s">
        <v>31</v>
      </c>
      <c r="AE2660">
        <v>0</v>
      </c>
      <c r="AF2660" t="s">
        <v>31</v>
      </c>
      <c r="AG2660">
        <v>0</v>
      </c>
      <c r="AH2660" t="s">
        <v>31</v>
      </c>
      <c r="AI2660">
        <v>0</v>
      </c>
      <c r="AJ2660" t="s">
        <v>31</v>
      </c>
      <c r="AK2660">
        <v>0</v>
      </c>
      <c r="AL2660" t="s">
        <v>31</v>
      </c>
      <c r="AM2660">
        <v>0</v>
      </c>
      <c r="AN2660" t="s">
        <v>31</v>
      </c>
      <c r="AO2660">
        <v>0</v>
      </c>
      <c r="AP2660" t="s">
        <v>31</v>
      </c>
      <c r="AQ2660">
        <v>0</v>
      </c>
    </row>
    <row r="2661" spans="1:43" x14ac:dyDescent="0.2">
      <c r="A2661" t="s">
        <v>381</v>
      </c>
      <c r="B2661" s="3">
        <v>44244</v>
      </c>
      <c r="C2661">
        <v>11</v>
      </c>
      <c r="D2661" t="s">
        <v>384</v>
      </c>
      <c r="E2661" t="s">
        <v>83</v>
      </c>
      <c r="F2661" s="9" t="s">
        <v>87</v>
      </c>
      <c r="G2661" t="s">
        <v>26</v>
      </c>
      <c r="H2661" t="s">
        <v>85</v>
      </c>
      <c r="I2661" t="s">
        <v>86</v>
      </c>
      <c r="J2661" t="s">
        <v>53</v>
      </c>
      <c r="K2661" t="s">
        <v>54</v>
      </c>
      <c r="L2661" t="s">
        <v>53</v>
      </c>
      <c r="M2661" t="s">
        <v>54</v>
      </c>
      <c r="N2661" t="s">
        <v>85</v>
      </c>
      <c r="O2661" t="s">
        <v>86</v>
      </c>
      <c r="P2661" t="s">
        <v>53</v>
      </c>
      <c r="Q2661" t="s">
        <v>54</v>
      </c>
      <c r="R2661" s="1">
        <v>44244.38994212963</v>
      </c>
      <c r="S2661" s="1">
        <v>44244.38994212963</v>
      </c>
      <c r="T2661">
        <v>0</v>
      </c>
      <c r="U2661">
        <v>1</v>
      </c>
      <c r="V2661" s="2">
        <v>0</v>
      </c>
      <c r="W2661">
        <v>0</v>
      </c>
      <c r="X2661" t="s">
        <v>44</v>
      </c>
      <c r="Y2661">
        <v>0</v>
      </c>
      <c r="Z2661" t="s">
        <v>31</v>
      </c>
      <c r="AA2661">
        <v>0</v>
      </c>
      <c r="AB2661" t="s">
        <v>31</v>
      </c>
      <c r="AC2661">
        <v>0</v>
      </c>
      <c r="AD2661" t="s">
        <v>31</v>
      </c>
      <c r="AE2661">
        <v>0</v>
      </c>
      <c r="AF2661" t="s">
        <v>31</v>
      </c>
      <c r="AG2661">
        <v>0</v>
      </c>
      <c r="AH2661" t="s">
        <v>31</v>
      </c>
      <c r="AI2661">
        <v>0</v>
      </c>
      <c r="AJ2661" t="s">
        <v>31</v>
      </c>
      <c r="AK2661">
        <v>0</v>
      </c>
      <c r="AL2661" t="s">
        <v>31</v>
      </c>
      <c r="AM2661">
        <v>0</v>
      </c>
      <c r="AN2661" t="s">
        <v>31</v>
      </c>
      <c r="AO2661">
        <v>0</v>
      </c>
      <c r="AP2661" t="s">
        <v>31</v>
      </c>
      <c r="AQ2661">
        <v>0</v>
      </c>
    </row>
    <row r="2662" spans="1:43" x14ac:dyDescent="0.2">
      <c r="A2662" t="s">
        <v>381</v>
      </c>
      <c r="B2662" s="3">
        <v>44245</v>
      </c>
      <c r="C2662">
        <v>12</v>
      </c>
      <c r="D2662" t="s">
        <v>382</v>
      </c>
      <c r="E2662" t="s">
        <v>83</v>
      </c>
      <c r="F2662" s="9" t="s">
        <v>87</v>
      </c>
      <c r="G2662" t="s">
        <v>26</v>
      </c>
      <c r="H2662" t="s">
        <v>85</v>
      </c>
      <c r="I2662" t="s">
        <v>86</v>
      </c>
      <c r="J2662" t="s">
        <v>53</v>
      </c>
      <c r="K2662" t="s">
        <v>54</v>
      </c>
      <c r="L2662" t="s">
        <v>53</v>
      </c>
      <c r="M2662" t="s">
        <v>54</v>
      </c>
      <c r="N2662" t="s">
        <v>85</v>
      </c>
      <c r="O2662" t="s">
        <v>86</v>
      </c>
      <c r="P2662" t="s">
        <v>53</v>
      </c>
      <c r="Q2662" t="s">
        <v>54</v>
      </c>
      <c r="R2662" s="1">
        <v>44245.391261574077</v>
      </c>
      <c r="S2662" s="1">
        <v>44245.451840277776</v>
      </c>
      <c r="T2662">
        <v>0</v>
      </c>
      <c r="U2662">
        <v>2</v>
      </c>
      <c r="V2662" s="2">
        <v>0</v>
      </c>
      <c r="W2662">
        <v>0</v>
      </c>
      <c r="X2662" t="s">
        <v>44</v>
      </c>
      <c r="Y2662">
        <v>0</v>
      </c>
      <c r="Z2662" t="s">
        <v>44</v>
      </c>
      <c r="AA2662">
        <v>0</v>
      </c>
      <c r="AB2662" t="s">
        <v>31</v>
      </c>
      <c r="AC2662">
        <v>0</v>
      </c>
      <c r="AD2662" t="s">
        <v>31</v>
      </c>
      <c r="AE2662">
        <v>0</v>
      </c>
      <c r="AF2662" t="s">
        <v>31</v>
      </c>
      <c r="AG2662">
        <v>0</v>
      </c>
      <c r="AH2662" t="s">
        <v>31</v>
      </c>
      <c r="AI2662">
        <v>0</v>
      </c>
      <c r="AJ2662" t="s">
        <v>31</v>
      </c>
      <c r="AK2662">
        <v>0</v>
      </c>
      <c r="AL2662" t="s">
        <v>31</v>
      </c>
      <c r="AM2662">
        <v>0</v>
      </c>
      <c r="AN2662" t="s">
        <v>31</v>
      </c>
      <c r="AO2662">
        <v>0</v>
      </c>
      <c r="AP2662" t="s">
        <v>31</v>
      </c>
      <c r="AQ2662">
        <v>0</v>
      </c>
    </row>
    <row r="2663" spans="1:43" x14ac:dyDescent="0.2">
      <c r="A2663" t="s">
        <v>381</v>
      </c>
      <c r="B2663" s="3">
        <v>44245</v>
      </c>
      <c r="C2663">
        <v>13</v>
      </c>
      <c r="D2663" t="s">
        <v>385</v>
      </c>
      <c r="E2663" t="s">
        <v>83</v>
      </c>
      <c r="F2663" s="9" t="s">
        <v>87</v>
      </c>
      <c r="G2663" t="s">
        <v>26</v>
      </c>
      <c r="H2663" t="s">
        <v>85</v>
      </c>
      <c r="I2663" t="s">
        <v>86</v>
      </c>
      <c r="J2663" t="s">
        <v>53</v>
      </c>
      <c r="K2663" t="s">
        <v>54</v>
      </c>
      <c r="L2663" t="s">
        <v>53</v>
      </c>
      <c r="M2663" t="s">
        <v>54</v>
      </c>
      <c r="N2663" t="s">
        <v>85</v>
      </c>
      <c r="O2663" t="s">
        <v>86</v>
      </c>
      <c r="P2663" t="s">
        <v>53</v>
      </c>
      <c r="Q2663" t="s">
        <v>54</v>
      </c>
      <c r="R2663" s="1">
        <v>44245.624884259261</v>
      </c>
      <c r="S2663" s="1">
        <v>44245.624884259261</v>
      </c>
      <c r="T2663">
        <v>0</v>
      </c>
      <c r="U2663">
        <v>1</v>
      </c>
      <c r="V2663" s="2">
        <v>0</v>
      </c>
      <c r="W2663">
        <v>0</v>
      </c>
      <c r="X2663" t="s">
        <v>44</v>
      </c>
      <c r="Y2663">
        <v>0</v>
      </c>
      <c r="Z2663" t="s">
        <v>31</v>
      </c>
      <c r="AA2663">
        <v>0</v>
      </c>
      <c r="AB2663" t="s">
        <v>31</v>
      </c>
      <c r="AC2663">
        <v>0</v>
      </c>
      <c r="AD2663" t="s">
        <v>31</v>
      </c>
      <c r="AE2663">
        <v>0</v>
      </c>
      <c r="AF2663" t="s">
        <v>31</v>
      </c>
      <c r="AG2663">
        <v>0</v>
      </c>
      <c r="AH2663" t="s">
        <v>31</v>
      </c>
      <c r="AI2663">
        <v>0</v>
      </c>
      <c r="AJ2663" t="s">
        <v>31</v>
      </c>
      <c r="AK2663">
        <v>0</v>
      </c>
      <c r="AL2663" t="s">
        <v>31</v>
      </c>
      <c r="AM2663">
        <v>0</v>
      </c>
      <c r="AN2663" t="s">
        <v>31</v>
      </c>
      <c r="AO2663">
        <v>0</v>
      </c>
      <c r="AP2663" t="s">
        <v>31</v>
      </c>
      <c r="AQ2663">
        <v>0</v>
      </c>
    </row>
    <row r="2664" spans="1:43" x14ac:dyDescent="0.2">
      <c r="A2664" t="s">
        <v>381</v>
      </c>
      <c r="B2664" s="3">
        <v>44246</v>
      </c>
      <c r="C2664">
        <v>14</v>
      </c>
      <c r="D2664" t="s">
        <v>384</v>
      </c>
      <c r="E2664" t="s">
        <v>83</v>
      </c>
      <c r="F2664" s="9" t="s">
        <v>87</v>
      </c>
      <c r="G2664" t="s">
        <v>26</v>
      </c>
      <c r="H2664" t="s">
        <v>85</v>
      </c>
      <c r="I2664" t="s">
        <v>86</v>
      </c>
      <c r="J2664" t="s">
        <v>53</v>
      </c>
      <c r="K2664" t="s">
        <v>54</v>
      </c>
      <c r="L2664" t="s">
        <v>53</v>
      </c>
      <c r="M2664" t="s">
        <v>54</v>
      </c>
      <c r="N2664" t="s">
        <v>85</v>
      </c>
      <c r="O2664" t="s">
        <v>86</v>
      </c>
      <c r="P2664" t="s">
        <v>53</v>
      </c>
      <c r="Q2664" t="s">
        <v>54</v>
      </c>
      <c r="R2664" s="1">
        <v>44246.381377314814</v>
      </c>
      <c r="S2664" s="1">
        <v>44246.381377314814</v>
      </c>
      <c r="T2664">
        <v>0</v>
      </c>
      <c r="U2664">
        <v>1</v>
      </c>
      <c r="V2664" s="2">
        <v>0</v>
      </c>
      <c r="W2664">
        <v>0</v>
      </c>
      <c r="X2664" t="s">
        <v>44</v>
      </c>
      <c r="Y2664">
        <v>0</v>
      </c>
      <c r="Z2664" t="s">
        <v>31</v>
      </c>
      <c r="AA2664">
        <v>0</v>
      </c>
      <c r="AB2664" t="s">
        <v>31</v>
      </c>
      <c r="AC2664">
        <v>0</v>
      </c>
      <c r="AD2664" t="s">
        <v>31</v>
      </c>
      <c r="AE2664">
        <v>0</v>
      </c>
      <c r="AF2664" t="s">
        <v>31</v>
      </c>
      <c r="AG2664">
        <v>0</v>
      </c>
      <c r="AH2664" t="s">
        <v>31</v>
      </c>
      <c r="AI2664">
        <v>0</v>
      </c>
      <c r="AJ2664" t="s">
        <v>31</v>
      </c>
      <c r="AK2664">
        <v>0</v>
      </c>
      <c r="AL2664" t="s">
        <v>31</v>
      </c>
      <c r="AM2664">
        <v>0</v>
      </c>
      <c r="AN2664" t="s">
        <v>31</v>
      </c>
      <c r="AO2664">
        <v>0</v>
      </c>
      <c r="AP2664" t="s">
        <v>31</v>
      </c>
      <c r="AQ2664">
        <v>0</v>
      </c>
    </row>
    <row r="2665" spans="1:43" x14ac:dyDescent="0.2">
      <c r="A2665" t="s">
        <v>381</v>
      </c>
      <c r="B2665" s="3">
        <v>44249</v>
      </c>
      <c r="C2665">
        <v>15</v>
      </c>
      <c r="D2665" t="s">
        <v>384</v>
      </c>
      <c r="E2665" t="s">
        <v>83</v>
      </c>
      <c r="F2665" s="9" t="s">
        <v>87</v>
      </c>
      <c r="G2665" t="s">
        <v>26</v>
      </c>
      <c r="H2665" t="s">
        <v>85</v>
      </c>
      <c r="I2665" t="s">
        <v>86</v>
      </c>
      <c r="J2665" t="s">
        <v>53</v>
      </c>
      <c r="K2665" t="s">
        <v>54</v>
      </c>
      <c r="L2665" t="s">
        <v>53</v>
      </c>
      <c r="M2665" t="s">
        <v>54</v>
      </c>
      <c r="N2665" t="s">
        <v>85</v>
      </c>
      <c r="O2665" t="s">
        <v>86</v>
      </c>
      <c r="P2665" t="s">
        <v>53</v>
      </c>
      <c r="Q2665" t="s">
        <v>54</v>
      </c>
      <c r="R2665" s="1">
        <v>44249.386979166666</v>
      </c>
      <c r="S2665" s="1">
        <v>44249.386979166666</v>
      </c>
      <c r="T2665">
        <v>1</v>
      </c>
      <c r="U2665">
        <v>1</v>
      </c>
      <c r="V2665" s="2">
        <v>1</v>
      </c>
      <c r="W2665">
        <v>1</v>
      </c>
      <c r="X2665" t="s">
        <v>54</v>
      </c>
      <c r="Y2665">
        <v>1</v>
      </c>
      <c r="Z2665" t="s">
        <v>31</v>
      </c>
      <c r="AA2665">
        <v>0</v>
      </c>
      <c r="AB2665" t="s">
        <v>31</v>
      </c>
      <c r="AC2665">
        <v>0</v>
      </c>
      <c r="AD2665" t="s">
        <v>31</v>
      </c>
      <c r="AE2665">
        <v>0</v>
      </c>
      <c r="AF2665" t="s">
        <v>31</v>
      </c>
      <c r="AG2665">
        <v>0</v>
      </c>
      <c r="AH2665" t="s">
        <v>31</v>
      </c>
      <c r="AI2665">
        <v>0</v>
      </c>
      <c r="AJ2665" t="s">
        <v>31</v>
      </c>
      <c r="AK2665">
        <v>0</v>
      </c>
      <c r="AL2665" t="s">
        <v>31</v>
      </c>
      <c r="AM2665">
        <v>0</v>
      </c>
      <c r="AN2665" t="s">
        <v>31</v>
      </c>
      <c r="AO2665">
        <v>0</v>
      </c>
      <c r="AP2665" t="s">
        <v>31</v>
      </c>
      <c r="AQ2665">
        <v>0</v>
      </c>
    </row>
    <row r="2666" spans="1:43" x14ac:dyDescent="0.2">
      <c r="A2666" t="s">
        <v>381</v>
      </c>
      <c r="B2666" s="3">
        <v>44250</v>
      </c>
      <c r="C2666">
        <v>16</v>
      </c>
      <c r="D2666" t="s">
        <v>382</v>
      </c>
      <c r="E2666" t="s">
        <v>83</v>
      </c>
      <c r="F2666" s="9" t="s">
        <v>87</v>
      </c>
      <c r="G2666" t="s">
        <v>26</v>
      </c>
      <c r="H2666" t="s">
        <v>85</v>
      </c>
      <c r="I2666" t="s">
        <v>86</v>
      </c>
      <c r="J2666" t="s">
        <v>53</v>
      </c>
      <c r="K2666" t="s">
        <v>54</v>
      </c>
      <c r="L2666" t="s">
        <v>53</v>
      </c>
      <c r="M2666" t="s">
        <v>54</v>
      </c>
      <c r="N2666" t="s">
        <v>85</v>
      </c>
      <c r="O2666" t="s">
        <v>86</v>
      </c>
      <c r="P2666" t="s">
        <v>53</v>
      </c>
      <c r="Q2666" t="s">
        <v>54</v>
      </c>
      <c r="R2666" s="1">
        <v>44250.384641203702</v>
      </c>
      <c r="S2666" s="1">
        <v>44250.468206018515</v>
      </c>
      <c r="T2666">
        <v>0</v>
      </c>
      <c r="U2666">
        <v>2</v>
      </c>
      <c r="V2666" s="2">
        <v>0</v>
      </c>
      <c r="W2666">
        <v>0</v>
      </c>
      <c r="X2666" t="s">
        <v>44</v>
      </c>
      <c r="Y2666">
        <v>0</v>
      </c>
      <c r="Z2666" t="s">
        <v>44</v>
      </c>
      <c r="AA2666">
        <v>0</v>
      </c>
      <c r="AB2666" t="s">
        <v>31</v>
      </c>
      <c r="AC2666">
        <v>0</v>
      </c>
      <c r="AD2666" t="s">
        <v>31</v>
      </c>
      <c r="AE2666">
        <v>0</v>
      </c>
      <c r="AF2666" t="s">
        <v>31</v>
      </c>
      <c r="AG2666">
        <v>0</v>
      </c>
      <c r="AH2666" t="s">
        <v>31</v>
      </c>
      <c r="AI2666">
        <v>0</v>
      </c>
      <c r="AJ2666" t="s">
        <v>31</v>
      </c>
      <c r="AK2666">
        <v>0</v>
      </c>
      <c r="AL2666" t="s">
        <v>31</v>
      </c>
      <c r="AM2666">
        <v>0</v>
      </c>
      <c r="AN2666" t="s">
        <v>31</v>
      </c>
      <c r="AO2666">
        <v>0</v>
      </c>
      <c r="AP2666" t="s">
        <v>31</v>
      </c>
      <c r="AQ2666">
        <v>0</v>
      </c>
    </row>
    <row r="2667" spans="1:43" x14ac:dyDescent="0.2">
      <c r="A2667" t="s">
        <v>381</v>
      </c>
      <c r="B2667" s="3">
        <v>44250</v>
      </c>
      <c r="C2667">
        <v>17</v>
      </c>
      <c r="D2667" t="s">
        <v>385</v>
      </c>
      <c r="E2667" t="s">
        <v>83</v>
      </c>
      <c r="F2667" s="9" t="s">
        <v>87</v>
      </c>
      <c r="G2667" t="s">
        <v>26</v>
      </c>
      <c r="H2667" t="s">
        <v>85</v>
      </c>
      <c r="I2667" t="s">
        <v>86</v>
      </c>
      <c r="J2667" t="s">
        <v>53</v>
      </c>
      <c r="K2667" t="s">
        <v>54</v>
      </c>
      <c r="L2667" t="s">
        <v>53</v>
      </c>
      <c r="M2667" t="s">
        <v>54</v>
      </c>
      <c r="N2667" t="s">
        <v>85</v>
      </c>
      <c r="O2667" t="s">
        <v>86</v>
      </c>
      <c r="P2667" t="s">
        <v>53</v>
      </c>
      <c r="Q2667" t="s">
        <v>54</v>
      </c>
      <c r="R2667" s="1">
        <v>44250.607731481483</v>
      </c>
      <c r="S2667" s="1">
        <v>44250.645138888889</v>
      </c>
      <c r="T2667">
        <v>0</v>
      </c>
      <c r="U2667">
        <v>5</v>
      </c>
      <c r="V2667" s="2">
        <v>0</v>
      </c>
      <c r="W2667">
        <v>0</v>
      </c>
      <c r="X2667" t="s">
        <v>44</v>
      </c>
      <c r="Y2667">
        <v>0</v>
      </c>
      <c r="Z2667" t="s">
        <v>44</v>
      </c>
      <c r="AA2667">
        <v>0</v>
      </c>
      <c r="AB2667" t="s">
        <v>44</v>
      </c>
      <c r="AC2667">
        <v>0</v>
      </c>
      <c r="AD2667" t="s">
        <v>44</v>
      </c>
      <c r="AE2667">
        <v>0</v>
      </c>
      <c r="AF2667" t="s">
        <v>44</v>
      </c>
      <c r="AG2667">
        <v>0</v>
      </c>
      <c r="AH2667" t="s">
        <v>31</v>
      </c>
      <c r="AI2667">
        <v>0</v>
      </c>
      <c r="AJ2667" t="s">
        <v>31</v>
      </c>
      <c r="AK2667">
        <v>0</v>
      </c>
      <c r="AL2667" t="s">
        <v>31</v>
      </c>
      <c r="AM2667">
        <v>0</v>
      </c>
      <c r="AN2667" t="s">
        <v>31</v>
      </c>
      <c r="AO2667">
        <v>0</v>
      </c>
      <c r="AP2667" t="s">
        <v>31</v>
      </c>
      <c r="AQ2667">
        <v>0</v>
      </c>
    </row>
    <row r="2668" spans="1:43" x14ac:dyDescent="0.2">
      <c r="A2668" t="s">
        <v>381</v>
      </c>
      <c r="B2668" s="3">
        <v>44251</v>
      </c>
      <c r="C2668">
        <v>18</v>
      </c>
      <c r="D2668" t="s">
        <v>384</v>
      </c>
      <c r="E2668" t="s">
        <v>83</v>
      </c>
      <c r="F2668" s="9" t="s">
        <v>87</v>
      </c>
      <c r="G2668" t="s">
        <v>26</v>
      </c>
      <c r="H2668" t="s">
        <v>85</v>
      </c>
      <c r="I2668" t="s">
        <v>86</v>
      </c>
      <c r="J2668" t="s">
        <v>53</v>
      </c>
      <c r="K2668" t="s">
        <v>54</v>
      </c>
      <c r="L2668" t="s">
        <v>53</v>
      </c>
      <c r="M2668" t="s">
        <v>54</v>
      </c>
      <c r="N2668" t="s">
        <v>85</v>
      </c>
      <c r="O2668" t="s">
        <v>86</v>
      </c>
      <c r="P2668" t="s">
        <v>53</v>
      </c>
      <c r="Q2668" t="s">
        <v>54</v>
      </c>
      <c r="R2668" s="1">
        <v>44251.382708333331</v>
      </c>
      <c r="S2668" s="1">
        <v>44251.437326388892</v>
      </c>
      <c r="T2668">
        <v>0</v>
      </c>
      <c r="U2668">
        <v>2</v>
      </c>
      <c r="V2668" s="2">
        <v>0</v>
      </c>
      <c r="W2668">
        <v>0</v>
      </c>
      <c r="X2668" t="s">
        <v>44</v>
      </c>
      <c r="Y2668">
        <v>0</v>
      </c>
      <c r="Z2668" t="s">
        <v>44</v>
      </c>
      <c r="AA2668">
        <v>0</v>
      </c>
      <c r="AB2668" t="s">
        <v>31</v>
      </c>
      <c r="AC2668">
        <v>0</v>
      </c>
      <c r="AD2668" t="s">
        <v>31</v>
      </c>
      <c r="AE2668">
        <v>0</v>
      </c>
      <c r="AF2668" t="s">
        <v>31</v>
      </c>
      <c r="AG2668">
        <v>0</v>
      </c>
      <c r="AH2668" t="s">
        <v>31</v>
      </c>
      <c r="AI2668">
        <v>0</v>
      </c>
      <c r="AJ2668" t="s">
        <v>31</v>
      </c>
      <c r="AK2668">
        <v>0</v>
      </c>
      <c r="AL2668" t="s">
        <v>31</v>
      </c>
      <c r="AM2668">
        <v>0</v>
      </c>
      <c r="AN2668" t="s">
        <v>31</v>
      </c>
      <c r="AO2668">
        <v>0</v>
      </c>
      <c r="AP2668" t="s">
        <v>31</v>
      </c>
      <c r="AQ2668">
        <v>0</v>
      </c>
    </row>
    <row r="2669" spans="1:43" x14ac:dyDescent="0.2">
      <c r="A2669" t="s">
        <v>381</v>
      </c>
      <c r="B2669" s="3">
        <v>44252</v>
      </c>
      <c r="C2669">
        <v>19</v>
      </c>
      <c r="D2669" t="s">
        <v>382</v>
      </c>
      <c r="E2669" t="s">
        <v>83</v>
      </c>
      <c r="F2669" s="9" t="s">
        <v>87</v>
      </c>
      <c r="G2669" t="s">
        <v>26</v>
      </c>
      <c r="H2669" t="s">
        <v>85</v>
      </c>
      <c r="I2669" t="s">
        <v>86</v>
      </c>
      <c r="J2669" t="s">
        <v>53</v>
      </c>
      <c r="K2669" t="s">
        <v>54</v>
      </c>
      <c r="L2669" t="s">
        <v>53</v>
      </c>
      <c r="M2669" t="s">
        <v>54</v>
      </c>
      <c r="N2669" t="s">
        <v>85</v>
      </c>
      <c r="O2669" t="s">
        <v>86</v>
      </c>
      <c r="P2669" t="s">
        <v>53</v>
      </c>
      <c r="Q2669" t="s">
        <v>54</v>
      </c>
      <c r="R2669" s="1">
        <v>44252.394699074073</v>
      </c>
      <c r="S2669" s="1">
        <v>44252.434166666666</v>
      </c>
      <c r="T2669">
        <v>0</v>
      </c>
      <c r="U2669">
        <v>2</v>
      </c>
      <c r="V2669" s="2">
        <v>0</v>
      </c>
      <c r="W2669">
        <v>0</v>
      </c>
      <c r="X2669" t="s">
        <v>44</v>
      </c>
      <c r="Y2669">
        <v>0</v>
      </c>
      <c r="Z2669" t="s">
        <v>44</v>
      </c>
      <c r="AA2669">
        <v>0</v>
      </c>
      <c r="AB2669" t="s">
        <v>31</v>
      </c>
      <c r="AC2669">
        <v>0</v>
      </c>
      <c r="AD2669" t="s">
        <v>31</v>
      </c>
      <c r="AE2669">
        <v>0</v>
      </c>
      <c r="AF2669" t="s">
        <v>31</v>
      </c>
      <c r="AG2669">
        <v>0</v>
      </c>
      <c r="AH2669" t="s">
        <v>31</v>
      </c>
      <c r="AI2669">
        <v>0</v>
      </c>
      <c r="AJ2669" t="s">
        <v>31</v>
      </c>
      <c r="AK2669">
        <v>0</v>
      </c>
      <c r="AL2669" t="s">
        <v>31</v>
      </c>
      <c r="AM2669">
        <v>0</v>
      </c>
      <c r="AN2669" t="s">
        <v>31</v>
      </c>
      <c r="AO2669">
        <v>0</v>
      </c>
      <c r="AP2669" t="s">
        <v>31</v>
      </c>
      <c r="AQ2669">
        <v>0</v>
      </c>
    </row>
    <row r="2670" spans="1:43" x14ac:dyDescent="0.2">
      <c r="A2670" t="s">
        <v>381</v>
      </c>
      <c r="B2670" s="3">
        <v>44252</v>
      </c>
      <c r="C2670">
        <v>20</v>
      </c>
      <c r="D2670" t="s">
        <v>385</v>
      </c>
      <c r="E2670" t="s">
        <v>83</v>
      </c>
      <c r="F2670" s="9" t="s">
        <v>87</v>
      </c>
      <c r="G2670" t="s">
        <v>26</v>
      </c>
      <c r="H2670" t="s">
        <v>85</v>
      </c>
      <c r="I2670" t="s">
        <v>86</v>
      </c>
      <c r="J2670" t="s">
        <v>53</v>
      </c>
      <c r="K2670" t="s">
        <v>54</v>
      </c>
      <c r="L2670" t="s">
        <v>53</v>
      </c>
      <c r="M2670" t="s">
        <v>54</v>
      </c>
      <c r="N2670" t="s">
        <v>85</v>
      </c>
      <c r="O2670" t="s">
        <v>86</v>
      </c>
      <c r="P2670" t="s">
        <v>53</v>
      </c>
      <c r="Q2670" t="s">
        <v>54</v>
      </c>
      <c r="R2670" s="1">
        <v>44252.580393518518</v>
      </c>
      <c r="S2670" s="1">
        <v>44252.582025462965</v>
      </c>
      <c r="T2670">
        <v>0</v>
      </c>
      <c r="U2670">
        <v>4</v>
      </c>
      <c r="V2670" s="2">
        <v>0</v>
      </c>
      <c r="W2670">
        <v>0</v>
      </c>
      <c r="X2670" t="s">
        <v>44</v>
      </c>
      <c r="Y2670">
        <v>0</v>
      </c>
      <c r="Z2670" t="s">
        <v>44</v>
      </c>
      <c r="AA2670">
        <v>0</v>
      </c>
      <c r="AB2670" t="s">
        <v>44</v>
      </c>
      <c r="AC2670">
        <v>0</v>
      </c>
      <c r="AD2670" t="s">
        <v>44</v>
      </c>
      <c r="AE2670">
        <v>0</v>
      </c>
      <c r="AF2670" t="s">
        <v>31</v>
      </c>
      <c r="AG2670">
        <v>0</v>
      </c>
      <c r="AH2670" t="s">
        <v>31</v>
      </c>
      <c r="AI2670">
        <v>0</v>
      </c>
      <c r="AJ2670" t="s">
        <v>31</v>
      </c>
      <c r="AK2670">
        <v>0</v>
      </c>
      <c r="AL2670" t="s">
        <v>31</v>
      </c>
      <c r="AM2670">
        <v>0</v>
      </c>
      <c r="AN2670" t="s">
        <v>31</v>
      </c>
      <c r="AO2670">
        <v>0</v>
      </c>
      <c r="AP2670" t="s">
        <v>31</v>
      </c>
      <c r="AQ2670">
        <v>0</v>
      </c>
    </row>
    <row r="2671" spans="1:43" x14ac:dyDescent="0.2">
      <c r="A2671" t="s">
        <v>381</v>
      </c>
      <c r="B2671" s="3">
        <v>44253</v>
      </c>
      <c r="C2671">
        <v>21</v>
      </c>
      <c r="D2671" t="s">
        <v>384</v>
      </c>
      <c r="E2671" t="s">
        <v>83</v>
      </c>
      <c r="F2671" s="9" t="s">
        <v>87</v>
      </c>
      <c r="G2671" t="s">
        <v>26</v>
      </c>
      <c r="H2671" t="s">
        <v>85</v>
      </c>
      <c r="I2671" t="s">
        <v>86</v>
      </c>
      <c r="J2671" t="s">
        <v>53</v>
      </c>
      <c r="K2671" t="s">
        <v>54</v>
      </c>
      <c r="L2671" t="s">
        <v>53</v>
      </c>
      <c r="M2671" t="s">
        <v>54</v>
      </c>
      <c r="N2671" t="s">
        <v>85</v>
      </c>
      <c r="O2671" t="s">
        <v>86</v>
      </c>
      <c r="P2671" t="s">
        <v>53</v>
      </c>
      <c r="Q2671" t="s">
        <v>54</v>
      </c>
      <c r="R2671" s="1">
        <v>44253.374074074076</v>
      </c>
      <c r="S2671" s="1">
        <v>44253.374074074076</v>
      </c>
      <c r="T2671">
        <v>0</v>
      </c>
      <c r="U2671">
        <v>1</v>
      </c>
      <c r="V2671" s="2">
        <v>0</v>
      </c>
      <c r="W2671">
        <v>0</v>
      </c>
      <c r="X2671" t="s">
        <v>44</v>
      </c>
      <c r="Y2671">
        <v>0</v>
      </c>
      <c r="Z2671" t="s">
        <v>31</v>
      </c>
      <c r="AA2671">
        <v>0</v>
      </c>
      <c r="AB2671" t="s">
        <v>31</v>
      </c>
      <c r="AC2671">
        <v>0</v>
      </c>
      <c r="AD2671" t="s">
        <v>31</v>
      </c>
      <c r="AE2671">
        <v>0</v>
      </c>
      <c r="AF2671" t="s">
        <v>31</v>
      </c>
      <c r="AG2671">
        <v>0</v>
      </c>
      <c r="AH2671" t="s">
        <v>31</v>
      </c>
      <c r="AI2671">
        <v>0</v>
      </c>
      <c r="AJ2671" t="s">
        <v>31</v>
      </c>
      <c r="AK2671">
        <v>0</v>
      </c>
      <c r="AL2671" t="s">
        <v>31</v>
      </c>
      <c r="AM2671">
        <v>0</v>
      </c>
      <c r="AN2671" t="s">
        <v>31</v>
      </c>
      <c r="AO2671">
        <v>0</v>
      </c>
      <c r="AP2671" t="s">
        <v>31</v>
      </c>
      <c r="AQ2671">
        <v>0</v>
      </c>
    </row>
    <row r="2672" spans="1:43" x14ac:dyDescent="0.2">
      <c r="A2672" t="s">
        <v>381</v>
      </c>
      <c r="B2672" s="3">
        <v>44256</v>
      </c>
      <c r="C2672">
        <v>22</v>
      </c>
      <c r="D2672" t="s">
        <v>384</v>
      </c>
      <c r="E2672" t="s">
        <v>83</v>
      </c>
      <c r="F2672" s="9" t="s">
        <v>87</v>
      </c>
      <c r="G2672" t="s">
        <v>26</v>
      </c>
      <c r="H2672" t="s">
        <v>85</v>
      </c>
      <c r="I2672" t="s">
        <v>86</v>
      </c>
      <c r="J2672" t="s">
        <v>53</v>
      </c>
      <c r="K2672" t="s">
        <v>54</v>
      </c>
      <c r="L2672" t="s">
        <v>53</v>
      </c>
      <c r="M2672" t="s">
        <v>54</v>
      </c>
      <c r="N2672" t="s">
        <v>85</v>
      </c>
      <c r="O2672" t="s">
        <v>86</v>
      </c>
      <c r="P2672" t="s">
        <v>53</v>
      </c>
      <c r="Q2672" t="s">
        <v>54</v>
      </c>
      <c r="R2672" s="1">
        <v>44256.376550925925</v>
      </c>
      <c r="S2672" s="1">
        <v>44256.376550925925</v>
      </c>
      <c r="T2672">
        <v>0</v>
      </c>
      <c r="U2672">
        <v>1</v>
      </c>
      <c r="V2672" s="2">
        <v>0</v>
      </c>
      <c r="W2672">
        <v>0</v>
      </c>
      <c r="X2672" t="s">
        <v>44</v>
      </c>
      <c r="Y2672">
        <v>0</v>
      </c>
      <c r="Z2672" t="s">
        <v>31</v>
      </c>
      <c r="AA2672">
        <v>0</v>
      </c>
      <c r="AB2672" t="s">
        <v>31</v>
      </c>
      <c r="AC2672">
        <v>0</v>
      </c>
      <c r="AD2672" t="s">
        <v>31</v>
      </c>
      <c r="AE2672">
        <v>0</v>
      </c>
      <c r="AF2672" t="s">
        <v>31</v>
      </c>
      <c r="AG2672">
        <v>0</v>
      </c>
      <c r="AH2672" t="s">
        <v>31</v>
      </c>
      <c r="AI2672">
        <v>0</v>
      </c>
      <c r="AJ2672" t="s">
        <v>31</v>
      </c>
      <c r="AK2672">
        <v>0</v>
      </c>
      <c r="AL2672" t="s">
        <v>31</v>
      </c>
      <c r="AM2672">
        <v>0</v>
      </c>
      <c r="AN2672" t="s">
        <v>31</v>
      </c>
      <c r="AO2672">
        <v>0</v>
      </c>
      <c r="AP2672" t="s">
        <v>31</v>
      </c>
      <c r="AQ2672">
        <v>0</v>
      </c>
    </row>
    <row r="2673" spans="1:43" x14ac:dyDescent="0.2">
      <c r="A2673" t="s">
        <v>381</v>
      </c>
      <c r="B2673" s="3">
        <v>44257</v>
      </c>
      <c r="C2673">
        <v>23</v>
      </c>
      <c r="D2673" t="s">
        <v>382</v>
      </c>
      <c r="E2673" t="s">
        <v>83</v>
      </c>
      <c r="F2673" s="9" t="s">
        <v>87</v>
      </c>
      <c r="G2673" t="s">
        <v>26</v>
      </c>
      <c r="H2673" t="s">
        <v>85</v>
      </c>
      <c r="I2673" t="s">
        <v>86</v>
      </c>
      <c r="J2673" t="s">
        <v>53</v>
      </c>
      <c r="K2673" t="s">
        <v>54</v>
      </c>
      <c r="L2673" t="s">
        <v>53</v>
      </c>
      <c r="M2673" t="s">
        <v>54</v>
      </c>
      <c r="N2673" t="s">
        <v>85</v>
      </c>
      <c r="O2673" t="s">
        <v>86</v>
      </c>
      <c r="P2673" t="s">
        <v>53</v>
      </c>
      <c r="Q2673" t="s">
        <v>54</v>
      </c>
      <c r="R2673" s="1">
        <v>44257.413946759261</v>
      </c>
      <c r="S2673" s="1">
        <v>44257.46166666667</v>
      </c>
      <c r="T2673">
        <v>0</v>
      </c>
      <c r="U2673">
        <v>2</v>
      </c>
      <c r="V2673" s="2">
        <v>0</v>
      </c>
      <c r="W2673">
        <v>0</v>
      </c>
      <c r="X2673" t="s">
        <v>44</v>
      </c>
      <c r="Y2673">
        <v>0</v>
      </c>
      <c r="Z2673" t="s">
        <v>44</v>
      </c>
      <c r="AA2673">
        <v>0</v>
      </c>
      <c r="AB2673" t="s">
        <v>31</v>
      </c>
      <c r="AC2673">
        <v>0</v>
      </c>
      <c r="AD2673" t="s">
        <v>31</v>
      </c>
      <c r="AE2673">
        <v>0</v>
      </c>
      <c r="AF2673" t="s">
        <v>31</v>
      </c>
      <c r="AG2673">
        <v>0</v>
      </c>
      <c r="AH2673" t="s">
        <v>31</v>
      </c>
      <c r="AI2673">
        <v>0</v>
      </c>
      <c r="AJ2673" t="s">
        <v>31</v>
      </c>
      <c r="AK2673">
        <v>0</v>
      </c>
      <c r="AL2673" t="s">
        <v>31</v>
      </c>
      <c r="AM2673">
        <v>0</v>
      </c>
      <c r="AN2673" t="s">
        <v>31</v>
      </c>
      <c r="AO2673">
        <v>0</v>
      </c>
      <c r="AP2673" t="s">
        <v>31</v>
      </c>
      <c r="AQ2673">
        <v>0</v>
      </c>
    </row>
    <row r="2674" spans="1:43" x14ac:dyDescent="0.2">
      <c r="A2674" t="s">
        <v>381</v>
      </c>
      <c r="B2674" s="3">
        <v>44257</v>
      </c>
      <c r="C2674">
        <v>24</v>
      </c>
      <c r="D2674" t="s">
        <v>385</v>
      </c>
      <c r="E2674" t="s">
        <v>83</v>
      </c>
      <c r="F2674" s="9" t="s">
        <v>87</v>
      </c>
      <c r="G2674" t="s">
        <v>26</v>
      </c>
      <c r="H2674" t="s">
        <v>85</v>
      </c>
      <c r="I2674" t="s">
        <v>86</v>
      </c>
      <c r="J2674" t="s">
        <v>53</v>
      </c>
      <c r="K2674" t="s">
        <v>54</v>
      </c>
      <c r="L2674" t="s">
        <v>53</v>
      </c>
      <c r="M2674" t="s">
        <v>54</v>
      </c>
      <c r="N2674" t="s">
        <v>85</v>
      </c>
      <c r="O2674" t="s">
        <v>86</v>
      </c>
      <c r="P2674" t="s">
        <v>53</v>
      </c>
      <c r="Q2674" t="s">
        <v>54</v>
      </c>
      <c r="R2674" s="1">
        <v>44257.573773148149</v>
      </c>
      <c r="S2674" s="1">
        <v>44257.658090277779</v>
      </c>
      <c r="T2674">
        <v>0</v>
      </c>
      <c r="U2674">
        <v>3</v>
      </c>
      <c r="V2674" s="2">
        <v>0</v>
      </c>
      <c r="W2674">
        <v>0</v>
      </c>
      <c r="X2674" t="s">
        <v>44</v>
      </c>
      <c r="Y2674">
        <v>0</v>
      </c>
      <c r="Z2674" t="s">
        <v>44</v>
      </c>
      <c r="AA2674">
        <v>0</v>
      </c>
      <c r="AB2674" t="s">
        <v>44</v>
      </c>
      <c r="AC2674">
        <v>0</v>
      </c>
      <c r="AD2674" t="s">
        <v>31</v>
      </c>
      <c r="AE2674">
        <v>0</v>
      </c>
      <c r="AF2674" t="s">
        <v>31</v>
      </c>
      <c r="AG2674">
        <v>0</v>
      </c>
      <c r="AH2674" t="s">
        <v>31</v>
      </c>
      <c r="AI2674">
        <v>0</v>
      </c>
      <c r="AJ2674" t="s">
        <v>31</v>
      </c>
      <c r="AK2674">
        <v>0</v>
      </c>
      <c r="AL2674" t="s">
        <v>31</v>
      </c>
      <c r="AM2674">
        <v>0</v>
      </c>
      <c r="AN2674" t="s">
        <v>31</v>
      </c>
      <c r="AO2674">
        <v>0</v>
      </c>
      <c r="AP2674" t="s">
        <v>31</v>
      </c>
      <c r="AQ2674">
        <v>0</v>
      </c>
    </row>
    <row r="2675" spans="1:43" x14ac:dyDescent="0.2">
      <c r="A2675" t="s">
        <v>381</v>
      </c>
      <c r="B2675" s="3">
        <v>44258</v>
      </c>
      <c r="C2675">
        <v>25</v>
      </c>
      <c r="D2675" t="s">
        <v>384</v>
      </c>
      <c r="E2675" t="s">
        <v>83</v>
      </c>
      <c r="F2675" s="9" t="s">
        <v>87</v>
      </c>
      <c r="G2675" t="s">
        <v>26</v>
      </c>
      <c r="H2675" t="s">
        <v>85</v>
      </c>
      <c r="I2675" t="s">
        <v>86</v>
      </c>
      <c r="J2675" t="s">
        <v>53</v>
      </c>
      <c r="K2675" t="s">
        <v>54</v>
      </c>
      <c r="L2675" t="s">
        <v>53</v>
      </c>
      <c r="M2675" t="s">
        <v>54</v>
      </c>
      <c r="N2675" t="s">
        <v>85</v>
      </c>
      <c r="O2675" t="s">
        <v>86</v>
      </c>
      <c r="P2675" t="s">
        <v>53</v>
      </c>
      <c r="Q2675" t="s">
        <v>54</v>
      </c>
      <c r="R2675" s="1">
        <v>44258.376550925925</v>
      </c>
      <c r="S2675" s="1">
        <v>44258.416712962964</v>
      </c>
      <c r="T2675">
        <v>0</v>
      </c>
      <c r="U2675">
        <v>2</v>
      </c>
      <c r="V2675" s="2">
        <v>0</v>
      </c>
      <c r="W2675">
        <v>0</v>
      </c>
      <c r="X2675" t="s">
        <v>44</v>
      </c>
      <c r="Y2675">
        <v>0</v>
      </c>
      <c r="Z2675" t="s">
        <v>44</v>
      </c>
      <c r="AA2675">
        <v>0</v>
      </c>
      <c r="AB2675" t="s">
        <v>31</v>
      </c>
      <c r="AC2675">
        <v>0</v>
      </c>
      <c r="AD2675" t="s">
        <v>31</v>
      </c>
      <c r="AE2675">
        <v>0</v>
      </c>
      <c r="AF2675" t="s">
        <v>31</v>
      </c>
      <c r="AG2675">
        <v>0</v>
      </c>
      <c r="AH2675" t="s">
        <v>31</v>
      </c>
      <c r="AI2675">
        <v>0</v>
      </c>
      <c r="AJ2675" t="s">
        <v>31</v>
      </c>
      <c r="AK2675">
        <v>0</v>
      </c>
      <c r="AL2675" t="s">
        <v>31</v>
      </c>
      <c r="AM2675">
        <v>0</v>
      </c>
      <c r="AN2675" t="s">
        <v>31</v>
      </c>
      <c r="AO2675">
        <v>0</v>
      </c>
      <c r="AP2675" t="s">
        <v>31</v>
      </c>
      <c r="AQ2675">
        <v>0</v>
      </c>
    </row>
    <row r="2676" spans="1:43" x14ac:dyDescent="0.2">
      <c r="A2676" t="s">
        <v>381</v>
      </c>
      <c r="B2676" s="3">
        <v>44259</v>
      </c>
      <c r="C2676">
        <v>26</v>
      </c>
      <c r="D2676" t="s">
        <v>382</v>
      </c>
      <c r="E2676" t="s">
        <v>83</v>
      </c>
      <c r="F2676" s="9" t="s">
        <v>87</v>
      </c>
      <c r="G2676" t="s">
        <v>26</v>
      </c>
      <c r="H2676" t="s">
        <v>85</v>
      </c>
      <c r="I2676" t="s">
        <v>86</v>
      </c>
      <c r="J2676" t="s">
        <v>53</v>
      </c>
      <c r="K2676" t="s">
        <v>54</v>
      </c>
      <c r="L2676" t="s">
        <v>53</v>
      </c>
      <c r="M2676" t="s">
        <v>54</v>
      </c>
      <c r="N2676" t="s">
        <v>85</v>
      </c>
      <c r="O2676" t="s">
        <v>86</v>
      </c>
      <c r="P2676" t="s">
        <v>53</v>
      </c>
      <c r="Q2676" t="s">
        <v>54</v>
      </c>
      <c r="R2676" s="1">
        <v>44259.391562500001</v>
      </c>
      <c r="S2676" s="1">
        <v>44259.432604166665</v>
      </c>
      <c r="T2676">
        <v>0</v>
      </c>
      <c r="U2676">
        <v>2</v>
      </c>
      <c r="V2676" s="2">
        <v>0</v>
      </c>
      <c r="W2676">
        <v>0</v>
      </c>
      <c r="X2676" t="s">
        <v>44</v>
      </c>
      <c r="Y2676">
        <v>0</v>
      </c>
      <c r="Z2676" t="s">
        <v>44</v>
      </c>
      <c r="AA2676">
        <v>0</v>
      </c>
      <c r="AB2676" t="s">
        <v>31</v>
      </c>
      <c r="AC2676">
        <v>0</v>
      </c>
      <c r="AD2676" t="s">
        <v>31</v>
      </c>
      <c r="AE2676">
        <v>0</v>
      </c>
      <c r="AF2676" t="s">
        <v>31</v>
      </c>
      <c r="AG2676">
        <v>0</v>
      </c>
      <c r="AH2676" t="s">
        <v>31</v>
      </c>
      <c r="AI2676">
        <v>0</v>
      </c>
      <c r="AJ2676" t="s">
        <v>31</v>
      </c>
      <c r="AK2676">
        <v>0</v>
      </c>
      <c r="AL2676" t="s">
        <v>31</v>
      </c>
      <c r="AM2676">
        <v>0</v>
      </c>
      <c r="AN2676" t="s">
        <v>31</v>
      </c>
      <c r="AO2676">
        <v>0</v>
      </c>
      <c r="AP2676" t="s">
        <v>31</v>
      </c>
      <c r="AQ2676">
        <v>0</v>
      </c>
    </row>
    <row r="2677" spans="1:43" x14ac:dyDescent="0.2">
      <c r="A2677" t="s">
        <v>381</v>
      </c>
      <c r="B2677" s="3">
        <v>44260</v>
      </c>
      <c r="C2677">
        <v>28</v>
      </c>
      <c r="D2677" t="s">
        <v>384</v>
      </c>
      <c r="E2677" t="s">
        <v>83</v>
      </c>
      <c r="F2677" s="9" t="s">
        <v>87</v>
      </c>
      <c r="G2677" t="s">
        <v>26</v>
      </c>
      <c r="H2677" t="s">
        <v>85</v>
      </c>
      <c r="I2677" t="s">
        <v>86</v>
      </c>
      <c r="J2677" t="s">
        <v>53</v>
      </c>
      <c r="K2677" t="s">
        <v>54</v>
      </c>
      <c r="L2677" t="s">
        <v>53</v>
      </c>
      <c r="M2677" t="s">
        <v>54</v>
      </c>
      <c r="N2677" t="s">
        <v>85</v>
      </c>
      <c r="O2677" t="s">
        <v>86</v>
      </c>
      <c r="P2677" t="s">
        <v>53</v>
      </c>
      <c r="Q2677" t="s">
        <v>54</v>
      </c>
      <c r="R2677" s="1">
        <v>44260.469108796293</v>
      </c>
      <c r="S2677" s="1">
        <v>44260.46912037037</v>
      </c>
      <c r="T2677">
        <v>0</v>
      </c>
      <c r="U2677">
        <v>1</v>
      </c>
      <c r="V2677" s="2">
        <v>0</v>
      </c>
      <c r="W2677">
        <v>0</v>
      </c>
      <c r="X2677" t="s">
        <v>44</v>
      </c>
      <c r="Y2677">
        <v>0</v>
      </c>
      <c r="Z2677" t="s">
        <v>31</v>
      </c>
      <c r="AA2677">
        <v>0</v>
      </c>
      <c r="AB2677" t="s">
        <v>31</v>
      </c>
      <c r="AC2677">
        <v>0</v>
      </c>
      <c r="AD2677" t="s">
        <v>31</v>
      </c>
      <c r="AE2677">
        <v>0</v>
      </c>
      <c r="AF2677" t="s">
        <v>31</v>
      </c>
      <c r="AG2677">
        <v>0</v>
      </c>
      <c r="AH2677" t="s">
        <v>31</v>
      </c>
      <c r="AI2677">
        <v>0</v>
      </c>
      <c r="AJ2677" t="s">
        <v>31</v>
      </c>
      <c r="AK2677">
        <v>0</v>
      </c>
      <c r="AL2677" t="s">
        <v>31</v>
      </c>
      <c r="AM2677">
        <v>0</v>
      </c>
      <c r="AN2677" t="s">
        <v>31</v>
      </c>
      <c r="AO2677">
        <v>0</v>
      </c>
      <c r="AP2677" t="s">
        <v>31</v>
      </c>
      <c r="AQ2677">
        <v>0</v>
      </c>
    </row>
    <row r="2678" spans="1:43" x14ac:dyDescent="0.2">
      <c r="A2678" t="s">
        <v>381</v>
      </c>
      <c r="B2678" s="3">
        <v>44263</v>
      </c>
      <c r="C2678">
        <v>29</v>
      </c>
      <c r="D2678" t="s">
        <v>384</v>
      </c>
      <c r="E2678" t="s">
        <v>83</v>
      </c>
      <c r="F2678" s="9" t="s">
        <v>87</v>
      </c>
      <c r="G2678" t="s">
        <v>26</v>
      </c>
      <c r="H2678" t="s">
        <v>85</v>
      </c>
      <c r="I2678" t="s">
        <v>86</v>
      </c>
      <c r="J2678" t="s">
        <v>53</v>
      </c>
      <c r="K2678" t="s">
        <v>54</v>
      </c>
      <c r="L2678" t="s">
        <v>53</v>
      </c>
      <c r="M2678" t="s">
        <v>54</v>
      </c>
      <c r="N2678" t="s">
        <v>85</v>
      </c>
      <c r="O2678" t="s">
        <v>86</v>
      </c>
      <c r="P2678" t="s">
        <v>53</v>
      </c>
      <c r="Q2678" t="s">
        <v>54</v>
      </c>
      <c r="R2678" s="1">
        <v>44263.391423611109</v>
      </c>
      <c r="S2678" s="1">
        <v>44263.391423611109</v>
      </c>
      <c r="T2678">
        <v>0</v>
      </c>
      <c r="U2678">
        <v>1</v>
      </c>
      <c r="V2678" s="2">
        <v>0</v>
      </c>
      <c r="W2678">
        <v>0</v>
      </c>
      <c r="X2678" t="s">
        <v>44</v>
      </c>
      <c r="Y2678">
        <v>0</v>
      </c>
      <c r="Z2678" t="s">
        <v>31</v>
      </c>
      <c r="AA2678">
        <v>0</v>
      </c>
      <c r="AB2678" t="s">
        <v>31</v>
      </c>
      <c r="AC2678">
        <v>0</v>
      </c>
      <c r="AD2678" t="s">
        <v>31</v>
      </c>
      <c r="AE2678">
        <v>0</v>
      </c>
      <c r="AF2678" t="s">
        <v>31</v>
      </c>
      <c r="AG2678">
        <v>0</v>
      </c>
      <c r="AH2678" t="s">
        <v>31</v>
      </c>
      <c r="AI2678">
        <v>0</v>
      </c>
      <c r="AJ2678" t="s">
        <v>31</v>
      </c>
      <c r="AK2678">
        <v>0</v>
      </c>
      <c r="AL2678" t="s">
        <v>31</v>
      </c>
      <c r="AM2678">
        <v>0</v>
      </c>
      <c r="AN2678" t="s">
        <v>31</v>
      </c>
      <c r="AO2678">
        <v>0</v>
      </c>
      <c r="AP2678" t="s">
        <v>31</v>
      </c>
      <c r="AQ2678">
        <v>0</v>
      </c>
    </row>
    <row r="2679" spans="1:43" x14ac:dyDescent="0.2">
      <c r="A2679" t="s">
        <v>381</v>
      </c>
      <c r="B2679" s="3">
        <v>44264</v>
      </c>
      <c r="C2679">
        <v>30</v>
      </c>
      <c r="D2679" t="s">
        <v>382</v>
      </c>
      <c r="E2679" t="s">
        <v>83</v>
      </c>
      <c r="F2679" s="9" t="s">
        <v>87</v>
      </c>
      <c r="G2679" t="s">
        <v>26</v>
      </c>
      <c r="H2679" t="s">
        <v>85</v>
      </c>
      <c r="I2679" t="s">
        <v>86</v>
      </c>
      <c r="J2679" t="s">
        <v>53</v>
      </c>
      <c r="K2679" t="s">
        <v>54</v>
      </c>
      <c r="L2679" t="s">
        <v>53</v>
      </c>
      <c r="M2679" t="s">
        <v>54</v>
      </c>
      <c r="N2679" t="s">
        <v>85</v>
      </c>
      <c r="O2679" t="s">
        <v>86</v>
      </c>
      <c r="P2679" t="s">
        <v>53</v>
      </c>
      <c r="Q2679" t="s">
        <v>54</v>
      </c>
      <c r="R2679" s="1">
        <v>44264.383506944447</v>
      </c>
      <c r="S2679" s="1">
        <v>44264.452164351853</v>
      </c>
      <c r="T2679">
        <v>0</v>
      </c>
      <c r="U2679">
        <v>2</v>
      </c>
      <c r="V2679" s="2">
        <v>0</v>
      </c>
      <c r="W2679">
        <v>0</v>
      </c>
      <c r="X2679" t="s">
        <v>44</v>
      </c>
      <c r="Y2679">
        <v>0</v>
      </c>
      <c r="Z2679" t="s">
        <v>44</v>
      </c>
      <c r="AA2679">
        <v>0</v>
      </c>
      <c r="AB2679" t="s">
        <v>31</v>
      </c>
      <c r="AC2679">
        <v>0</v>
      </c>
      <c r="AD2679" t="s">
        <v>31</v>
      </c>
      <c r="AE2679">
        <v>0</v>
      </c>
      <c r="AF2679" t="s">
        <v>31</v>
      </c>
      <c r="AG2679">
        <v>0</v>
      </c>
      <c r="AH2679" t="s">
        <v>31</v>
      </c>
      <c r="AI2679">
        <v>0</v>
      </c>
      <c r="AJ2679" t="s">
        <v>31</v>
      </c>
      <c r="AK2679">
        <v>0</v>
      </c>
      <c r="AL2679" t="s">
        <v>31</v>
      </c>
      <c r="AM2679">
        <v>0</v>
      </c>
      <c r="AN2679" t="s">
        <v>31</v>
      </c>
      <c r="AO2679">
        <v>0</v>
      </c>
      <c r="AP2679" t="s">
        <v>31</v>
      </c>
      <c r="AQ2679">
        <v>0</v>
      </c>
    </row>
    <row r="2680" spans="1:43" x14ac:dyDescent="0.2">
      <c r="A2680" t="s">
        <v>381</v>
      </c>
      <c r="B2680" s="3">
        <v>44264</v>
      </c>
      <c r="C2680">
        <v>31</v>
      </c>
      <c r="D2680" t="s">
        <v>385</v>
      </c>
      <c r="E2680" t="s">
        <v>83</v>
      </c>
      <c r="F2680" s="9" t="s">
        <v>87</v>
      </c>
      <c r="G2680" t="s">
        <v>26</v>
      </c>
      <c r="H2680" t="s">
        <v>85</v>
      </c>
      <c r="I2680" t="s">
        <v>86</v>
      </c>
      <c r="J2680" t="s">
        <v>53</v>
      </c>
      <c r="K2680" t="s">
        <v>54</v>
      </c>
      <c r="L2680" t="s">
        <v>53</v>
      </c>
      <c r="M2680" t="s">
        <v>54</v>
      </c>
      <c r="N2680" t="s">
        <v>85</v>
      </c>
      <c r="O2680" t="s">
        <v>86</v>
      </c>
      <c r="P2680" t="s">
        <v>53</v>
      </c>
      <c r="Q2680" t="s">
        <v>54</v>
      </c>
      <c r="R2680" s="1">
        <v>44264.577557870369</v>
      </c>
      <c r="S2680" s="1">
        <v>44264.644699074073</v>
      </c>
      <c r="T2680">
        <v>0</v>
      </c>
      <c r="U2680">
        <v>3</v>
      </c>
      <c r="V2680" s="2">
        <v>0</v>
      </c>
      <c r="W2680">
        <v>0</v>
      </c>
      <c r="X2680" t="s">
        <v>44</v>
      </c>
      <c r="Y2680">
        <v>0</v>
      </c>
      <c r="Z2680" t="s">
        <v>44</v>
      </c>
      <c r="AA2680">
        <v>0</v>
      </c>
      <c r="AB2680" t="s">
        <v>44</v>
      </c>
      <c r="AC2680">
        <v>0</v>
      </c>
      <c r="AD2680" t="s">
        <v>31</v>
      </c>
      <c r="AE2680">
        <v>0</v>
      </c>
      <c r="AF2680" t="s">
        <v>31</v>
      </c>
      <c r="AG2680">
        <v>0</v>
      </c>
      <c r="AH2680" t="s">
        <v>31</v>
      </c>
      <c r="AI2680">
        <v>0</v>
      </c>
      <c r="AJ2680" t="s">
        <v>31</v>
      </c>
      <c r="AK2680">
        <v>0</v>
      </c>
      <c r="AL2680" t="s">
        <v>31</v>
      </c>
      <c r="AM2680">
        <v>0</v>
      </c>
      <c r="AN2680" t="s">
        <v>31</v>
      </c>
      <c r="AO2680">
        <v>0</v>
      </c>
      <c r="AP2680" t="s">
        <v>31</v>
      </c>
      <c r="AQ2680">
        <v>0</v>
      </c>
    </row>
    <row r="2681" spans="1:43" x14ac:dyDescent="0.2">
      <c r="A2681" t="s">
        <v>381</v>
      </c>
      <c r="B2681" s="3">
        <v>44265</v>
      </c>
      <c r="C2681">
        <v>32</v>
      </c>
      <c r="D2681" t="s">
        <v>384</v>
      </c>
      <c r="E2681" t="s">
        <v>83</v>
      </c>
      <c r="F2681" s="9" t="s">
        <v>87</v>
      </c>
      <c r="G2681" t="s">
        <v>26</v>
      </c>
      <c r="H2681" t="s">
        <v>85</v>
      </c>
      <c r="I2681" t="s">
        <v>86</v>
      </c>
      <c r="J2681" t="s">
        <v>53</v>
      </c>
      <c r="K2681" t="s">
        <v>54</v>
      </c>
      <c r="L2681" t="s">
        <v>53</v>
      </c>
      <c r="M2681" t="s">
        <v>54</v>
      </c>
      <c r="N2681" t="s">
        <v>85</v>
      </c>
      <c r="O2681" t="s">
        <v>86</v>
      </c>
      <c r="P2681" t="s">
        <v>53</v>
      </c>
      <c r="Q2681" t="s">
        <v>54</v>
      </c>
      <c r="R2681" s="1">
        <v>44265.379317129627</v>
      </c>
      <c r="S2681" s="1">
        <v>44265.379317129627</v>
      </c>
      <c r="T2681">
        <v>0</v>
      </c>
      <c r="U2681">
        <v>1</v>
      </c>
      <c r="V2681" s="2">
        <v>0</v>
      </c>
      <c r="W2681">
        <v>0</v>
      </c>
      <c r="X2681" t="s">
        <v>44</v>
      </c>
      <c r="Y2681">
        <v>0</v>
      </c>
      <c r="Z2681" t="s">
        <v>31</v>
      </c>
      <c r="AA2681">
        <v>0</v>
      </c>
      <c r="AB2681" t="s">
        <v>31</v>
      </c>
      <c r="AC2681">
        <v>0</v>
      </c>
      <c r="AD2681" t="s">
        <v>31</v>
      </c>
      <c r="AE2681">
        <v>0</v>
      </c>
      <c r="AF2681" t="s">
        <v>31</v>
      </c>
      <c r="AG2681">
        <v>0</v>
      </c>
      <c r="AH2681" t="s">
        <v>31</v>
      </c>
      <c r="AI2681">
        <v>0</v>
      </c>
      <c r="AJ2681" t="s">
        <v>31</v>
      </c>
      <c r="AK2681">
        <v>0</v>
      </c>
      <c r="AL2681" t="s">
        <v>31</v>
      </c>
      <c r="AM2681">
        <v>0</v>
      </c>
      <c r="AN2681" t="s">
        <v>31</v>
      </c>
      <c r="AO2681">
        <v>0</v>
      </c>
      <c r="AP2681" t="s">
        <v>31</v>
      </c>
      <c r="AQ2681">
        <v>0</v>
      </c>
    </row>
    <row r="2682" spans="1:43" x14ac:dyDescent="0.2">
      <c r="A2682" t="s">
        <v>381</v>
      </c>
      <c r="B2682" s="3">
        <v>44266</v>
      </c>
      <c r="C2682">
        <v>33</v>
      </c>
      <c r="D2682" t="s">
        <v>385</v>
      </c>
      <c r="E2682" t="s">
        <v>83</v>
      </c>
      <c r="F2682" s="9" t="s">
        <v>87</v>
      </c>
      <c r="G2682" t="s">
        <v>26</v>
      </c>
      <c r="H2682" t="s">
        <v>85</v>
      </c>
      <c r="I2682" t="s">
        <v>86</v>
      </c>
      <c r="J2682" t="s">
        <v>53</v>
      </c>
      <c r="K2682" t="s">
        <v>54</v>
      </c>
      <c r="L2682" t="s">
        <v>53</v>
      </c>
      <c r="M2682" t="s">
        <v>54</v>
      </c>
      <c r="N2682" t="s">
        <v>85</v>
      </c>
      <c r="O2682" t="s">
        <v>86</v>
      </c>
      <c r="P2682" t="s">
        <v>53</v>
      </c>
      <c r="Q2682" t="s">
        <v>54</v>
      </c>
      <c r="R2682" s="1">
        <v>44266.388078703705</v>
      </c>
      <c r="S2682" s="1">
        <v>44266.456574074073</v>
      </c>
      <c r="T2682">
        <v>0</v>
      </c>
      <c r="U2682">
        <v>2</v>
      </c>
      <c r="V2682" s="2">
        <v>0</v>
      </c>
      <c r="W2682">
        <v>0</v>
      </c>
      <c r="X2682" t="s">
        <v>44</v>
      </c>
      <c r="Y2682">
        <v>0</v>
      </c>
      <c r="Z2682" t="s">
        <v>44</v>
      </c>
      <c r="AA2682">
        <v>0</v>
      </c>
      <c r="AB2682" t="s">
        <v>31</v>
      </c>
      <c r="AC2682">
        <v>0</v>
      </c>
      <c r="AD2682" t="s">
        <v>31</v>
      </c>
      <c r="AE2682">
        <v>0</v>
      </c>
      <c r="AF2682" t="s">
        <v>31</v>
      </c>
      <c r="AG2682">
        <v>0</v>
      </c>
      <c r="AH2682" t="s">
        <v>31</v>
      </c>
      <c r="AI2682">
        <v>0</v>
      </c>
      <c r="AJ2682" t="s">
        <v>31</v>
      </c>
      <c r="AK2682">
        <v>0</v>
      </c>
      <c r="AL2682" t="s">
        <v>31</v>
      </c>
      <c r="AM2682">
        <v>0</v>
      </c>
      <c r="AN2682" t="s">
        <v>31</v>
      </c>
      <c r="AO2682">
        <v>0</v>
      </c>
      <c r="AP2682" t="s">
        <v>31</v>
      </c>
      <c r="AQ2682">
        <v>0</v>
      </c>
    </row>
    <row r="2683" spans="1:43" x14ac:dyDescent="0.2">
      <c r="A2683" t="s">
        <v>381</v>
      </c>
      <c r="B2683" s="3">
        <v>44266</v>
      </c>
      <c r="C2683">
        <v>34</v>
      </c>
      <c r="D2683" t="s">
        <v>385</v>
      </c>
      <c r="E2683" t="s">
        <v>83</v>
      </c>
      <c r="F2683" s="9" t="s">
        <v>87</v>
      </c>
      <c r="G2683" t="s">
        <v>26</v>
      </c>
      <c r="H2683" t="s">
        <v>85</v>
      </c>
      <c r="I2683" t="s">
        <v>86</v>
      </c>
      <c r="J2683" t="s">
        <v>53</v>
      </c>
      <c r="K2683" t="s">
        <v>54</v>
      </c>
      <c r="L2683" t="s">
        <v>53</v>
      </c>
      <c r="M2683" t="s">
        <v>54</v>
      </c>
      <c r="N2683" t="s">
        <v>85</v>
      </c>
      <c r="O2683" t="s">
        <v>86</v>
      </c>
      <c r="P2683" t="s">
        <v>53</v>
      </c>
      <c r="Q2683" t="s">
        <v>54</v>
      </c>
      <c r="R2683" s="1">
        <v>44266.663321759261</v>
      </c>
      <c r="S2683" s="1">
        <v>44266.663321759261</v>
      </c>
      <c r="T2683">
        <v>0</v>
      </c>
      <c r="U2683">
        <v>1</v>
      </c>
      <c r="V2683" s="2">
        <v>0</v>
      </c>
      <c r="W2683">
        <v>0</v>
      </c>
      <c r="X2683" t="s">
        <v>44</v>
      </c>
      <c r="Y2683">
        <v>0</v>
      </c>
      <c r="Z2683" t="s">
        <v>31</v>
      </c>
      <c r="AA2683">
        <v>0</v>
      </c>
      <c r="AB2683" t="s">
        <v>31</v>
      </c>
      <c r="AC2683">
        <v>0</v>
      </c>
      <c r="AD2683" t="s">
        <v>31</v>
      </c>
      <c r="AE2683">
        <v>0</v>
      </c>
      <c r="AF2683" t="s">
        <v>31</v>
      </c>
      <c r="AG2683">
        <v>0</v>
      </c>
      <c r="AH2683" t="s">
        <v>31</v>
      </c>
      <c r="AI2683">
        <v>0</v>
      </c>
      <c r="AJ2683" t="s">
        <v>31</v>
      </c>
      <c r="AK2683">
        <v>0</v>
      </c>
      <c r="AL2683" t="s">
        <v>31</v>
      </c>
      <c r="AM2683">
        <v>0</v>
      </c>
      <c r="AN2683" t="s">
        <v>31</v>
      </c>
      <c r="AO2683">
        <v>0</v>
      </c>
      <c r="AP2683" t="s">
        <v>31</v>
      </c>
      <c r="AQ2683">
        <v>0</v>
      </c>
    </row>
    <row r="2684" spans="1:43" x14ac:dyDescent="0.2">
      <c r="A2684" t="s">
        <v>381</v>
      </c>
      <c r="B2684" s="3">
        <v>44270</v>
      </c>
      <c r="C2684">
        <v>35</v>
      </c>
      <c r="D2684" t="s">
        <v>384</v>
      </c>
      <c r="E2684" t="s">
        <v>83</v>
      </c>
      <c r="F2684" s="9" t="s">
        <v>87</v>
      </c>
      <c r="G2684" t="s">
        <v>26</v>
      </c>
      <c r="H2684" t="s">
        <v>85</v>
      </c>
      <c r="I2684" t="s">
        <v>86</v>
      </c>
      <c r="J2684" t="s">
        <v>53</v>
      </c>
      <c r="K2684" t="s">
        <v>54</v>
      </c>
      <c r="L2684" t="s">
        <v>53</v>
      </c>
      <c r="M2684" t="s">
        <v>54</v>
      </c>
      <c r="N2684" t="s">
        <v>85</v>
      </c>
      <c r="O2684" t="s">
        <v>86</v>
      </c>
      <c r="P2684" t="s">
        <v>53</v>
      </c>
      <c r="Q2684" t="s">
        <v>54</v>
      </c>
      <c r="R2684" s="1">
        <v>44270.414074074077</v>
      </c>
      <c r="S2684" s="1">
        <v>44270.414074074077</v>
      </c>
      <c r="T2684">
        <v>0</v>
      </c>
      <c r="U2684">
        <v>1</v>
      </c>
      <c r="V2684" s="2">
        <v>0</v>
      </c>
      <c r="W2684">
        <v>0</v>
      </c>
      <c r="X2684" t="s">
        <v>44</v>
      </c>
      <c r="Y2684">
        <v>0</v>
      </c>
      <c r="Z2684" t="s">
        <v>31</v>
      </c>
      <c r="AA2684">
        <v>0</v>
      </c>
      <c r="AB2684" t="s">
        <v>31</v>
      </c>
      <c r="AC2684">
        <v>0</v>
      </c>
      <c r="AD2684" t="s">
        <v>31</v>
      </c>
      <c r="AE2684">
        <v>0</v>
      </c>
      <c r="AF2684" t="s">
        <v>31</v>
      </c>
      <c r="AG2684">
        <v>0</v>
      </c>
      <c r="AH2684" t="s">
        <v>31</v>
      </c>
      <c r="AI2684">
        <v>0</v>
      </c>
      <c r="AJ2684" t="s">
        <v>31</v>
      </c>
      <c r="AK2684">
        <v>0</v>
      </c>
      <c r="AL2684" t="s">
        <v>31</v>
      </c>
      <c r="AM2684">
        <v>0</v>
      </c>
      <c r="AN2684" t="s">
        <v>31</v>
      </c>
      <c r="AO2684">
        <v>0</v>
      </c>
      <c r="AP2684" t="s">
        <v>31</v>
      </c>
      <c r="AQ2684">
        <v>0</v>
      </c>
    </row>
    <row r="2685" spans="1:43" x14ac:dyDescent="0.2">
      <c r="A2685" t="s">
        <v>381</v>
      </c>
      <c r="B2685" s="3">
        <v>44271</v>
      </c>
      <c r="C2685">
        <v>36</v>
      </c>
      <c r="D2685" t="s">
        <v>385</v>
      </c>
      <c r="E2685" t="s">
        <v>83</v>
      </c>
      <c r="F2685" s="9" t="s">
        <v>87</v>
      </c>
      <c r="G2685" t="s">
        <v>26</v>
      </c>
      <c r="H2685" t="s">
        <v>85</v>
      </c>
      <c r="I2685" t="s">
        <v>86</v>
      </c>
      <c r="J2685" t="s">
        <v>53</v>
      </c>
      <c r="K2685" t="s">
        <v>54</v>
      </c>
      <c r="L2685" t="s">
        <v>53</v>
      </c>
      <c r="M2685" t="s">
        <v>54</v>
      </c>
      <c r="N2685" t="s">
        <v>85</v>
      </c>
      <c r="O2685" t="s">
        <v>86</v>
      </c>
      <c r="P2685" t="s">
        <v>53</v>
      </c>
      <c r="Q2685" t="s">
        <v>54</v>
      </c>
      <c r="R2685" s="1">
        <v>44271.384583333333</v>
      </c>
      <c r="S2685" s="1">
        <v>44271.384583333333</v>
      </c>
      <c r="T2685">
        <v>0</v>
      </c>
      <c r="U2685">
        <v>1</v>
      </c>
      <c r="V2685" s="2">
        <v>0</v>
      </c>
      <c r="W2685">
        <v>0</v>
      </c>
      <c r="X2685" t="s">
        <v>44</v>
      </c>
      <c r="Y2685">
        <v>0</v>
      </c>
      <c r="Z2685" t="s">
        <v>31</v>
      </c>
      <c r="AA2685">
        <v>0</v>
      </c>
      <c r="AB2685" t="s">
        <v>31</v>
      </c>
      <c r="AC2685">
        <v>0</v>
      </c>
      <c r="AD2685" t="s">
        <v>31</v>
      </c>
      <c r="AE2685">
        <v>0</v>
      </c>
      <c r="AF2685" t="s">
        <v>31</v>
      </c>
      <c r="AG2685">
        <v>0</v>
      </c>
      <c r="AH2685" t="s">
        <v>31</v>
      </c>
      <c r="AI2685">
        <v>0</v>
      </c>
      <c r="AJ2685" t="s">
        <v>31</v>
      </c>
      <c r="AK2685">
        <v>0</v>
      </c>
      <c r="AL2685" t="s">
        <v>31</v>
      </c>
      <c r="AM2685">
        <v>0</v>
      </c>
      <c r="AN2685" t="s">
        <v>31</v>
      </c>
      <c r="AO2685">
        <v>0</v>
      </c>
      <c r="AP2685" t="s">
        <v>31</v>
      </c>
      <c r="AQ2685">
        <v>0</v>
      </c>
    </row>
    <row r="2686" spans="1:43" x14ac:dyDescent="0.2">
      <c r="A2686" t="s">
        <v>381</v>
      </c>
      <c r="B2686" s="3">
        <v>44271</v>
      </c>
      <c r="C2686">
        <v>37</v>
      </c>
      <c r="D2686" t="s">
        <v>385</v>
      </c>
      <c r="E2686" t="s">
        <v>83</v>
      </c>
      <c r="F2686" s="9" t="s">
        <v>87</v>
      </c>
      <c r="G2686" t="s">
        <v>26</v>
      </c>
      <c r="H2686" t="s">
        <v>85</v>
      </c>
      <c r="I2686" t="s">
        <v>86</v>
      </c>
      <c r="J2686" t="s">
        <v>53</v>
      </c>
      <c r="K2686" t="s">
        <v>54</v>
      </c>
      <c r="L2686" t="s">
        <v>53</v>
      </c>
      <c r="M2686" t="s">
        <v>54</v>
      </c>
      <c r="N2686" t="s">
        <v>85</v>
      </c>
      <c r="O2686" t="s">
        <v>86</v>
      </c>
      <c r="P2686" t="s">
        <v>53</v>
      </c>
      <c r="Q2686" t="s">
        <v>54</v>
      </c>
      <c r="R2686" s="1">
        <v>44271.593645833331</v>
      </c>
      <c r="S2686" s="1">
        <v>44271.593645833331</v>
      </c>
      <c r="T2686">
        <v>0</v>
      </c>
      <c r="U2686">
        <v>1</v>
      </c>
      <c r="V2686" s="2">
        <v>0</v>
      </c>
      <c r="W2686">
        <v>0</v>
      </c>
      <c r="X2686" t="s">
        <v>44</v>
      </c>
      <c r="Y2686">
        <v>0</v>
      </c>
      <c r="Z2686" t="s">
        <v>31</v>
      </c>
      <c r="AA2686">
        <v>0</v>
      </c>
      <c r="AB2686" t="s">
        <v>31</v>
      </c>
      <c r="AC2686">
        <v>0</v>
      </c>
      <c r="AD2686" t="s">
        <v>31</v>
      </c>
      <c r="AE2686">
        <v>0</v>
      </c>
      <c r="AF2686" t="s">
        <v>31</v>
      </c>
      <c r="AG2686">
        <v>0</v>
      </c>
      <c r="AH2686" t="s">
        <v>31</v>
      </c>
      <c r="AI2686">
        <v>0</v>
      </c>
      <c r="AJ2686" t="s">
        <v>31</v>
      </c>
      <c r="AK2686">
        <v>0</v>
      </c>
      <c r="AL2686" t="s">
        <v>31</v>
      </c>
      <c r="AM2686">
        <v>0</v>
      </c>
      <c r="AN2686" t="s">
        <v>31</v>
      </c>
      <c r="AO2686">
        <v>0</v>
      </c>
      <c r="AP2686" t="s">
        <v>31</v>
      </c>
      <c r="AQ2686">
        <v>0</v>
      </c>
    </row>
    <row r="2687" spans="1:43" x14ac:dyDescent="0.2">
      <c r="A2687" t="s">
        <v>381</v>
      </c>
      <c r="B2687" s="3">
        <v>44272</v>
      </c>
      <c r="C2687">
        <v>38</v>
      </c>
      <c r="D2687" t="s">
        <v>384</v>
      </c>
      <c r="E2687" t="s">
        <v>83</v>
      </c>
      <c r="F2687" s="9" t="s">
        <v>87</v>
      </c>
      <c r="G2687" t="s">
        <v>26</v>
      </c>
      <c r="H2687" t="s">
        <v>85</v>
      </c>
      <c r="I2687" t="s">
        <v>86</v>
      </c>
      <c r="J2687" t="s">
        <v>53</v>
      </c>
      <c r="K2687" t="s">
        <v>54</v>
      </c>
      <c r="L2687" t="s">
        <v>53</v>
      </c>
      <c r="M2687" t="s">
        <v>54</v>
      </c>
      <c r="N2687" t="s">
        <v>85</v>
      </c>
      <c r="O2687" t="s">
        <v>86</v>
      </c>
      <c r="P2687" t="s">
        <v>53</v>
      </c>
      <c r="Q2687" t="s">
        <v>54</v>
      </c>
      <c r="R2687" s="1">
        <v>44272.379965277774</v>
      </c>
      <c r="S2687" s="1">
        <v>44272.379965277774</v>
      </c>
      <c r="T2687">
        <v>0</v>
      </c>
      <c r="U2687">
        <v>1</v>
      </c>
      <c r="V2687" s="2">
        <v>0</v>
      </c>
      <c r="W2687">
        <v>0</v>
      </c>
      <c r="X2687" t="s">
        <v>44</v>
      </c>
      <c r="Y2687">
        <v>0</v>
      </c>
      <c r="Z2687" t="s">
        <v>31</v>
      </c>
      <c r="AA2687">
        <v>0</v>
      </c>
      <c r="AB2687" t="s">
        <v>31</v>
      </c>
      <c r="AC2687">
        <v>0</v>
      </c>
      <c r="AD2687" t="s">
        <v>31</v>
      </c>
      <c r="AE2687">
        <v>0</v>
      </c>
      <c r="AF2687" t="s">
        <v>31</v>
      </c>
      <c r="AG2687">
        <v>0</v>
      </c>
      <c r="AH2687" t="s">
        <v>31</v>
      </c>
      <c r="AI2687">
        <v>0</v>
      </c>
      <c r="AJ2687" t="s">
        <v>31</v>
      </c>
      <c r="AK2687">
        <v>0</v>
      </c>
      <c r="AL2687" t="s">
        <v>31</v>
      </c>
      <c r="AM2687">
        <v>0</v>
      </c>
      <c r="AN2687" t="s">
        <v>31</v>
      </c>
      <c r="AO2687">
        <v>0</v>
      </c>
      <c r="AP2687" t="s">
        <v>31</v>
      </c>
      <c r="AQ2687">
        <v>0</v>
      </c>
    </row>
    <row r="2688" spans="1:43" x14ac:dyDescent="0.2">
      <c r="A2688" t="s">
        <v>381</v>
      </c>
      <c r="B2688" s="3">
        <v>44273</v>
      </c>
      <c r="C2688">
        <v>39</v>
      </c>
      <c r="D2688" t="s">
        <v>385</v>
      </c>
      <c r="E2688" t="s">
        <v>83</v>
      </c>
      <c r="F2688" s="9" t="s">
        <v>87</v>
      </c>
      <c r="G2688" t="s">
        <v>26</v>
      </c>
      <c r="H2688" t="s">
        <v>85</v>
      </c>
      <c r="I2688" t="s">
        <v>86</v>
      </c>
      <c r="J2688" t="s">
        <v>53</v>
      </c>
      <c r="K2688" t="s">
        <v>54</v>
      </c>
      <c r="L2688" t="s">
        <v>53</v>
      </c>
      <c r="M2688" t="s">
        <v>54</v>
      </c>
      <c r="N2688" t="s">
        <v>85</v>
      </c>
      <c r="O2688" t="s">
        <v>86</v>
      </c>
      <c r="P2688" t="s">
        <v>53</v>
      </c>
      <c r="Q2688" t="s">
        <v>54</v>
      </c>
      <c r="R2688" s="1">
        <v>44273.414525462962</v>
      </c>
      <c r="S2688" s="1">
        <v>44273.414525462962</v>
      </c>
      <c r="T2688">
        <v>0</v>
      </c>
      <c r="U2688">
        <v>1</v>
      </c>
      <c r="V2688" s="2">
        <v>0</v>
      </c>
      <c r="W2688">
        <v>0</v>
      </c>
      <c r="X2688" t="s">
        <v>44</v>
      </c>
      <c r="Y2688">
        <v>0</v>
      </c>
      <c r="Z2688" t="s">
        <v>31</v>
      </c>
      <c r="AA2688">
        <v>0</v>
      </c>
      <c r="AB2688" t="s">
        <v>31</v>
      </c>
      <c r="AC2688">
        <v>0</v>
      </c>
      <c r="AD2688" t="s">
        <v>31</v>
      </c>
      <c r="AE2688">
        <v>0</v>
      </c>
      <c r="AF2688" t="s">
        <v>31</v>
      </c>
      <c r="AG2688">
        <v>0</v>
      </c>
      <c r="AH2688" t="s">
        <v>31</v>
      </c>
      <c r="AI2688">
        <v>0</v>
      </c>
      <c r="AJ2688" t="s">
        <v>31</v>
      </c>
      <c r="AK2688">
        <v>0</v>
      </c>
      <c r="AL2688" t="s">
        <v>31</v>
      </c>
      <c r="AM2688">
        <v>0</v>
      </c>
      <c r="AN2688" t="s">
        <v>31</v>
      </c>
      <c r="AO2688">
        <v>0</v>
      </c>
      <c r="AP2688" t="s">
        <v>31</v>
      </c>
      <c r="AQ2688">
        <v>0</v>
      </c>
    </row>
    <row r="2689" spans="1:43" x14ac:dyDescent="0.2">
      <c r="A2689" t="s">
        <v>381</v>
      </c>
      <c r="B2689" s="3">
        <v>44273</v>
      </c>
      <c r="C2689">
        <v>40</v>
      </c>
      <c r="D2689" t="s">
        <v>385</v>
      </c>
      <c r="E2689" t="s">
        <v>83</v>
      </c>
      <c r="F2689" s="9" t="s">
        <v>87</v>
      </c>
      <c r="G2689" t="s">
        <v>26</v>
      </c>
      <c r="H2689" t="s">
        <v>85</v>
      </c>
      <c r="I2689" t="s">
        <v>86</v>
      </c>
      <c r="J2689" t="s">
        <v>53</v>
      </c>
      <c r="K2689" t="s">
        <v>54</v>
      </c>
      <c r="L2689" t="s">
        <v>53</v>
      </c>
      <c r="M2689" t="s">
        <v>54</v>
      </c>
      <c r="N2689" t="s">
        <v>85</v>
      </c>
      <c r="O2689" t="s">
        <v>86</v>
      </c>
      <c r="P2689" t="s">
        <v>53</v>
      </c>
      <c r="Q2689" t="s">
        <v>54</v>
      </c>
      <c r="R2689" s="1">
        <v>44273.645428240743</v>
      </c>
      <c r="S2689" s="1">
        <v>44273.645428240743</v>
      </c>
      <c r="T2689">
        <v>0</v>
      </c>
      <c r="U2689">
        <v>2</v>
      </c>
      <c r="V2689" s="2">
        <v>0</v>
      </c>
      <c r="W2689">
        <v>0</v>
      </c>
      <c r="X2689" t="s">
        <v>44</v>
      </c>
      <c r="Y2689">
        <v>0</v>
      </c>
      <c r="Z2689" t="s">
        <v>44</v>
      </c>
      <c r="AA2689">
        <v>0</v>
      </c>
      <c r="AB2689" t="s">
        <v>31</v>
      </c>
      <c r="AC2689">
        <v>0</v>
      </c>
      <c r="AD2689" t="s">
        <v>31</v>
      </c>
      <c r="AE2689">
        <v>0</v>
      </c>
      <c r="AF2689" t="s">
        <v>31</v>
      </c>
      <c r="AG2689">
        <v>0</v>
      </c>
      <c r="AH2689" t="s">
        <v>31</v>
      </c>
      <c r="AI2689">
        <v>0</v>
      </c>
      <c r="AJ2689" t="s">
        <v>31</v>
      </c>
      <c r="AK2689">
        <v>0</v>
      </c>
      <c r="AL2689" t="s">
        <v>31</v>
      </c>
      <c r="AM2689">
        <v>0</v>
      </c>
      <c r="AN2689" t="s">
        <v>31</v>
      </c>
      <c r="AO2689">
        <v>0</v>
      </c>
      <c r="AP2689" t="s">
        <v>31</v>
      </c>
      <c r="AQ2689">
        <v>0</v>
      </c>
    </row>
    <row r="2690" spans="1:43" x14ac:dyDescent="0.2">
      <c r="A2690" t="s">
        <v>381</v>
      </c>
      <c r="B2690" s="3">
        <v>44279</v>
      </c>
      <c r="C2690">
        <v>41</v>
      </c>
      <c r="D2690" t="s">
        <v>384</v>
      </c>
      <c r="E2690" t="s">
        <v>83</v>
      </c>
      <c r="F2690" s="9" t="s">
        <v>87</v>
      </c>
      <c r="G2690" t="s">
        <v>26</v>
      </c>
      <c r="H2690" t="s">
        <v>85</v>
      </c>
      <c r="I2690" t="s">
        <v>86</v>
      </c>
      <c r="J2690" t="s">
        <v>53</v>
      </c>
      <c r="K2690" t="s">
        <v>54</v>
      </c>
      <c r="L2690" t="s">
        <v>53</v>
      </c>
      <c r="M2690" t="s">
        <v>54</v>
      </c>
      <c r="N2690" t="s">
        <v>85</v>
      </c>
      <c r="O2690" t="s">
        <v>86</v>
      </c>
      <c r="P2690" t="s">
        <v>53</v>
      </c>
      <c r="Q2690" t="s">
        <v>54</v>
      </c>
      <c r="R2690" s="1">
        <v>44279.381886574076</v>
      </c>
      <c r="S2690" s="1">
        <v>44279.381886574076</v>
      </c>
      <c r="T2690">
        <v>0</v>
      </c>
      <c r="U2690">
        <v>1</v>
      </c>
      <c r="V2690" s="2">
        <v>0</v>
      </c>
      <c r="W2690">
        <v>0</v>
      </c>
      <c r="X2690" t="s">
        <v>44</v>
      </c>
      <c r="Y2690">
        <v>0</v>
      </c>
      <c r="Z2690" t="s">
        <v>31</v>
      </c>
      <c r="AA2690">
        <v>0</v>
      </c>
      <c r="AB2690" t="s">
        <v>31</v>
      </c>
      <c r="AC2690">
        <v>0</v>
      </c>
      <c r="AD2690" t="s">
        <v>31</v>
      </c>
      <c r="AE2690">
        <v>0</v>
      </c>
      <c r="AF2690" t="s">
        <v>31</v>
      </c>
      <c r="AG2690">
        <v>0</v>
      </c>
      <c r="AH2690" t="s">
        <v>31</v>
      </c>
      <c r="AI2690">
        <v>0</v>
      </c>
      <c r="AJ2690" t="s">
        <v>31</v>
      </c>
      <c r="AK2690">
        <v>0</v>
      </c>
      <c r="AL2690" t="s">
        <v>31</v>
      </c>
      <c r="AM2690">
        <v>0</v>
      </c>
      <c r="AN2690" t="s">
        <v>31</v>
      </c>
      <c r="AO2690">
        <v>0</v>
      </c>
      <c r="AP2690" t="s">
        <v>31</v>
      </c>
      <c r="AQ2690">
        <v>0</v>
      </c>
    </row>
    <row r="2691" spans="1:43" x14ac:dyDescent="0.2">
      <c r="A2691" t="s">
        <v>381</v>
      </c>
      <c r="B2691" s="3">
        <v>44281</v>
      </c>
      <c r="C2691">
        <v>42</v>
      </c>
      <c r="D2691" t="s">
        <v>384</v>
      </c>
      <c r="E2691" t="s">
        <v>83</v>
      </c>
      <c r="F2691" s="9" t="s">
        <v>87</v>
      </c>
      <c r="G2691" t="s">
        <v>26</v>
      </c>
      <c r="H2691" t="s">
        <v>85</v>
      </c>
      <c r="I2691" t="s">
        <v>86</v>
      </c>
      <c r="J2691" t="s">
        <v>53</v>
      </c>
      <c r="K2691" t="s">
        <v>54</v>
      </c>
      <c r="L2691" t="s">
        <v>53</v>
      </c>
      <c r="M2691" t="s">
        <v>54</v>
      </c>
      <c r="N2691" t="s">
        <v>85</v>
      </c>
      <c r="O2691" t="s">
        <v>86</v>
      </c>
      <c r="P2691" t="s">
        <v>53</v>
      </c>
      <c r="Q2691" t="s">
        <v>54</v>
      </c>
      <c r="R2691" s="1">
        <v>44281.413206018522</v>
      </c>
      <c r="S2691" s="1">
        <v>44281.413206018522</v>
      </c>
      <c r="T2691">
        <v>0</v>
      </c>
      <c r="U2691">
        <v>1</v>
      </c>
      <c r="V2691" s="2">
        <v>0</v>
      </c>
      <c r="W2691">
        <v>0</v>
      </c>
      <c r="X2691" t="s">
        <v>44</v>
      </c>
      <c r="Y2691">
        <v>0</v>
      </c>
      <c r="Z2691" t="s">
        <v>31</v>
      </c>
      <c r="AA2691">
        <v>0</v>
      </c>
      <c r="AB2691" t="s">
        <v>31</v>
      </c>
      <c r="AC2691">
        <v>0</v>
      </c>
      <c r="AD2691" t="s">
        <v>31</v>
      </c>
      <c r="AE2691">
        <v>0</v>
      </c>
      <c r="AF2691" t="s">
        <v>31</v>
      </c>
      <c r="AG2691">
        <v>0</v>
      </c>
      <c r="AH2691" t="s">
        <v>31</v>
      </c>
      <c r="AI2691">
        <v>0</v>
      </c>
      <c r="AJ2691" t="s">
        <v>31</v>
      </c>
      <c r="AK2691">
        <v>0</v>
      </c>
      <c r="AL2691" t="s">
        <v>31</v>
      </c>
      <c r="AM2691">
        <v>0</v>
      </c>
      <c r="AN2691" t="s">
        <v>31</v>
      </c>
      <c r="AO2691">
        <v>0</v>
      </c>
      <c r="AP2691" t="s">
        <v>31</v>
      </c>
      <c r="AQ2691">
        <v>0</v>
      </c>
    </row>
    <row r="2692" spans="1:43" x14ac:dyDescent="0.2">
      <c r="A2692" t="s">
        <v>381</v>
      </c>
      <c r="B2692" s="3">
        <v>44284</v>
      </c>
      <c r="C2692">
        <v>43</v>
      </c>
      <c r="D2692" t="s">
        <v>384</v>
      </c>
      <c r="E2692" t="s">
        <v>83</v>
      </c>
      <c r="F2692" s="9" t="s">
        <v>87</v>
      </c>
      <c r="G2692" t="s">
        <v>26</v>
      </c>
      <c r="H2692" t="s">
        <v>85</v>
      </c>
      <c r="I2692" t="s">
        <v>86</v>
      </c>
      <c r="J2692" t="s">
        <v>53</v>
      </c>
      <c r="K2692" t="s">
        <v>54</v>
      </c>
      <c r="L2692" t="s">
        <v>53</v>
      </c>
      <c r="M2692" t="s">
        <v>54</v>
      </c>
      <c r="N2692" t="s">
        <v>85</v>
      </c>
      <c r="O2692" t="s">
        <v>86</v>
      </c>
      <c r="P2692" t="s">
        <v>53</v>
      </c>
      <c r="Q2692" t="s">
        <v>54</v>
      </c>
      <c r="R2692" s="1">
        <v>44284.376377314817</v>
      </c>
      <c r="S2692" s="1">
        <v>44284.376377314817</v>
      </c>
      <c r="T2692">
        <v>0</v>
      </c>
      <c r="U2692">
        <v>1</v>
      </c>
      <c r="V2692" s="2">
        <v>0</v>
      </c>
      <c r="W2692">
        <v>0</v>
      </c>
      <c r="X2692" t="s">
        <v>44</v>
      </c>
      <c r="Y2692">
        <v>0</v>
      </c>
      <c r="Z2692" t="s">
        <v>31</v>
      </c>
      <c r="AA2692">
        <v>0</v>
      </c>
      <c r="AB2692" t="s">
        <v>31</v>
      </c>
      <c r="AC2692">
        <v>0</v>
      </c>
      <c r="AD2692" t="s">
        <v>31</v>
      </c>
      <c r="AE2692">
        <v>0</v>
      </c>
      <c r="AF2692" t="s">
        <v>31</v>
      </c>
      <c r="AG2692">
        <v>0</v>
      </c>
      <c r="AH2692" t="s">
        <v>31</v>
      </c>
      <c r="AI2692">
        <v>0</v>
      </c>
      <c r="AJ2692" t="s">
        <v>31</v>
      </c>
      <c r="AK2692">
        <v>0</v>
      </c>
      <c r="AL2692" t="s">
        <v>31</v>
      </c>
      <c r="AM2692">
        <v>0</v>
      </c>
      <c r="AN2692" t="s">
        <v>31</v>
      </c>
      <c r="AO2692">
        <v>0</v>
      </c>
      <c r="AP2692" t="s">
        <v>31</v>
      </c>
      <c r="AQ2692">
        <v>0</v>
      </c>
    </row>
    <row r="2693" spans="1:43" x14ac:dyDescent="0.2">
      <c r="A2693" t="s">
        <v>381</v>
      </c>
      <c r="B2693" s="3">
        <v>44285</v>
      </c>
      <c r="C2693">
        <v>44</v>
      </c>
      <c r="D2693" t="s">
        <v>385</v>
      </c>
      <c r="E2693" t="s">
        <v>83</v>
      </c>
      <c r="F2693" s="9" t="s">
        <v>87</v>
      </c>
      <c r="G2693" t="s">
        <v>26</v>
      </c>
      <c r="H2693" t="s">
        <v>85</v>
      </c>
      <c r="I2693" t="s">
        <v>86</v>
      </c>
      <c r="J2693" t="s">
        <v>53</v>
      </c>
      <c r="K2693" t="s">
        <v>54</v>
      </c>
      <c r="L2693" t="s">
        <v>53</v>
      </c>
      <c r="M2693" t="s">
        <v>54</v>
      </c>
      <c r="N2693" t="s">
        <v>85</v>
      </c>
      <c r="O2693" t="s">
        <v>86</v>
      </c>
      <c r="P2693" t="s">
        <v>53</v>
      </c>
      <c r="Q2693" t="s">
        <v>54</v>
      </c>
      <c r="R2693" s="1">
        <v>44285.385243055556</v>
      </c>
      <c r="S2693" s="1">
        <v>44285.385254629633</v>
      </c>
      <c r="T2693">
        <v>0</v>
      </c>
      <c r="U2693">
        <v>2</v>
      </c>
      <c r="V2693" s="2">
        <v>0</v>
      </c>
      <c r="W2693">
        <v>0</v>
      </c>
      <c r="X2693" t="s">
        <v>44</v>
      </c>
      <c r="Y2693">
        <v>0</v>
      </c>
      <c r="Z2693" t="s">
        <v>44</v>
      </c>
      <c r="AA2693">
        <v>0</v>
      </c>
      <c r="AB2693" t="s">
        <v>31</v>
      </c>
      <c r="AC2693">
        <v>0</v>
      </c>
      <c r="AD2693" t="s">
        <v>31</v>
      </c>
      <c r="AE2693">
        <v>0</v>
      </c>
      <c r="AF2693" t="s">
        <v>31</v>
      </c>
      <c r="AG2693">
        <v>0</v>
      </c>
      <c r="AH2693" t="s">
        <v>31</v>
      </c>
      <c r="AI2693">
        <v>0</v>
      </c>
      <c r="AJ2693" t="s">
        <v>31</v>
      </c>
      <c r="AK2693">
        <v>0</v>
      </c>
      <c r="AL2693" t="s">
        <v>31</v>
      </c>
      <c r="AM2693">
        <v>0</v>
      </c>
      <c r="AN2693" t="s">
        <v>31</v>
      </c>
      <c r="AO2693">
        <v>0</v>
      </c>
      <c r="AP2693" t="s">
        <v>31</v>
      </c>
      <c r="AQ2693">
        <v>0</v>
      </c>
    </row>
    <row r="2694" spans="1:43" x14ac:dyDescent="0.2">
      <c r="A2694" t="s">
        <v>381</v>
      </c>
      <c r="B2694" s="3">
        <v>44285</v>
      </c>
      <c r="C2694">
        <v>45</v>
      </c>
      <c r="D2694" t="s">
        <v>385</v>
      </c>
      <c r="E2694" t="s">
        <v>83</v>
      </c>
      <c r="F2694" s="9" t="s">
        <v>87</v>
      </c>
      <c r="G2694" t="s">
        <v>26</v>
      </c>
      <c r="H2694" t="s">
        <v>85</v>
      </c>
      <c r="I2694" t="s">
        <v>86</v>
      </c>
      <c r="J2694" t="s">
        <v>53</v>
      </c>
      <c r="K2694" t="s">
        <v>54</v>
      </c>
      <c r="L2694" t="s">
        <v>53</v>
      </c>
      <c r="M2694" t="s">
        <v>54</v>
      </c>
      <c r="N2694" t="s">
        <v>85</v>
      </c>
      <c r="O2694" t="s">
        <v>86</v>
      </c>
      <c r="P2694" t="s">
        <v>53</v>
      </c>
      <c r="Q2694" t="s">
        <v>54</v>
      </c>
      <c r="R2694" s="1">
        <v>44285.630046296297</v>
      </c>
      <c r="S2694" s="1">
        <v>44285.630057870374</v>
      </c>
      <c r="T2694">
        <v>0</v>
      </c>
      <c r="U2694">
        <v>2</v>
      </c>
      <c r="V2694" s="2">
        <v>0</v>
      </c>
      <c r="W2694">
        <v>0</v>
      </c>
      <c r="X2694" t="s">
        <v>44</v>
      </c>
      <c r="Y2694">
        <v>0</v>
      </c>
      <c r="Z2694" t="s">
        <v>44</v>
      </c>
      <c r="AA2694">
        <v>0</v>
      </c>
      <c r="AB2694" t="s">
        <v>31</v>
      </c>
      <c r="AC2694">
        <v>0</v>
      </c>
      <c r="AD2694" t="s">
        <v>31</v>
      </c>
      <c r="AE2694">
        <v>0</v>
      </c>
      <c r="AF2694" t="s">
        <v>31</v>
      </c>
      <c r="AG2694">
        <v>0</v>
      </c>
      <c r="AH2694" t="s">
        <v>31</v>
      </c>
      <c r="AI2694">
        <v>0</v>
      </c>
      <c r="AJ2694" t="s">
        <v>31</v>
      </c>
      <c r="AK2694">
        <v>0</v>
      </c>
      <c r="AL2694" t="s">
        <v>31</v>
      </c>
      <c r="AM2694">
        <v>0</v>
      </c>
      <c r="AN2694" t="s">
        <v>31</v>
      </c>
      <c r="AO2694">
        <v>0</v>
      </c>
      <c r="AP2694" t="s">
        <v>31</v>
      </c>
      <c r="AQ2694">
        <v>0</v>
      </c>
    </row>
    <row r="2695" spans="1:43" x14ac:dyDescent="0.2">
      <c r="A2695" t="s">
        <v>381</v>
      </c>
      <c r="B2695" s="3">
        <v>44287</v>
      </c>
      <c r="C2695">
        <v>47</v>
      </c>
      <c r="D2695" t="s">
        <v>385</v>
      </c>
      <c r="E2695" t="s">
        <v>83</v>
      </c>
      <c r="F2695" s="9" t="s">
        <v>87</v>
      </c>
      <c r="G2695" t="s">
        <v>26</v>
      </c>
      <c r="H2695" t="s">
        <v>85</v>
      </c>
      <c r="I2695" t="s">
        <v>86</v>
      </c>
      <c r="J2695" t="s">
        <v>53</v>
      </c>
      <c r="K2695" t="s">
        <v>54</v>
      </c>
      <c r="L2695" t="s">
        <v>53</v>
      </c>
      <c r="M2695" t="s">
        <v>54</v>
      </c>
      <c r="N2695" t="s">
        <v>85</v>
      </c>
      <c r="O2695" t="s">
        <v>86</v>
      </c>
      <c r="P2695" t="s">
        <v>53</v>
      </c>
      <c r="Q2695" t="s">
        <v>54</v>
      </c>
      <c r="R2695" s="1">
        <v>44287.456273148149</v>
      </c>
      <c r="S2695" s="1">
        <v>44287.456273148149</v>
      </c>
      <c r="T2695">
        <v>0</v>
      </c>
      <c r="U2695">
        <v>1</v>
      </c>
      <c r="V2695" s="2">
        <v>0</v>
      </c>
      <c r="W2695">
        <v>0</v>
      </c>
      <c r="X2695" t="s">
        <v>44</v>
      </c>
      <c r="Y2695">
        <v>0</v>
      </c>
      <c r="Z2695" t="s">
        <v>31</v>
      </c>
      <c r="AA2695">
        <v>0</v>
      </c>
      <c r="AB2695" t="s">
        <v>31</v>
      </c>
      <c r="AC2695">
        <v>0</v>
      </c>
      <c r="AD2695" t="s">
        <v>31</v>
      </c>
      <c r="AE2695">
        <v>0</v>
      </c>
      <c r="AF2695" t="s">
        <v>31</v>
      </c>
      <c r="AG2695">
        <v>0</v>
      </c>
      <c r="AH2695" t="s">
        <v>31</v>
      </c>
      <c r="AI2695">
        <v>0</v>
      </c>
      <c r="AJ2695" t="s">
        <v>31</v>
      </c>
      <c r="AK2695">
        <v>0</v>
      </c>
      <c r="AL2695" t="s">
        <v>31</v>
      </c>
      <c r="AM2695">
        <v>0</v>
      </c>
      <c r="AN2695" t="s">
        <v>31</v>
      </c>
      <c r="AO2695">
        <v>0</v>
      </c>
      <c r="AP2695" t="s">
        <v>31</v>
      </c>
      <c r="AQ2695">
        <v>0</v>
      </c>
    </row>
    <row r="2696" spans="1:43" x14ac:dyDescent="0.2">
      <c r="A2696" t="s">
        <v>381</v>
      </c>
      <c r="B2696" s="3">
        <v>44287</v>
      </c>
      <c r="C2696">
        <v>48</v>
      </c>
      <c r="D2696" t="s">
        <v>385</v>
      </c>
      <c r="E2696" t="s">
        <v>83</v>
      </c>
      <c r="F2696" s="9" t="s">
        <v>87</v>
      </c>
      <c r="G2696" t="s">
        <v>26</v>
      </c>
      <c r="H2696" t="s">
        <v>85</v>
      </c>
      <c r="I2696" t="s">
        <v>86</v>
      </c>
      <c r="J2696" t="s">
        <v>53</v>
      </c>
      <c r="K2696" t="s">
        <v>54</v>
      </c>
      <c r="L2696" t="s">
        <v>53</v>
      </c>
      <c r="M2696" t="s">
        <v>54</v>
      </c>
      <c r="N2696" t="s">
        <v>85</v>
      </c>
      <c r="O2696" t="s">
        <v>86</v>
      </c>
      <c r="P2696" t="s">
        <v>53</v>
      </c>
      <c r="Q2696" t="s">
        <v>54</v>
      </c>
      <c r="R2696" s="1">
        <v>44287.633819444447</v>
      </c>
      <c r="S2696" s="1">
        <v>44287.633958333332</v>
      </c>
      <c r="T2696">
        <v>0</v>
      </c>
      <c r="U2696">
        <v>2</v>
      </c>
      <c r="V2696" s="2">
        <v>0</v>
      </c>
      <c r="W2696">
        <v>0</v>
      </c>
      <c r="X2696" t="s">
        <v>44</v>
      </c>
      <c r="Y2696">
        <v>0</v>
      </c>
      <c r="Z2696" t="s">
        <v>44</v>
      </c>
      <c r="AA2696">
        <v>0</v>
      </c>
      <c r="AB2696" t="s">
        <v>31</v>
      </c>
      <c r="AC2696">
        <v>0</v>
      </c>
      <c r="AD2696" t="s">
        <v>31</v>
      </c>
      <c r="AE2696">
        <v>0</v>
      </c>
      <c r="AF2696" t="s">
        <v>31</v>
      </c>
      <c r="AG2696">
        <v>0</v>
      </c>
      <c r="AH2696" t="s">
        <v>31</v>
      </c>
      <c r="AI2696">
        <v>0</v>
      </c>
      <c r="AJ2696" t="s">
        <v>31</v>
      </c>
      <c r="AK2696">
        <v>0</v>
      </c>
      <c r="AL2696" t="s">
        <v>31</v>
      </c>
      <c r="AM2696">
        <v>0</v>
      </c>
      <c r="AN2696" t="s">
        <v>31</v>
      </c>
      <c r="AO2696">
        <v>0</v>
      </c>
      <c r="AP2696" t="s">
        <v>31</v>
      </c>
      <c r="AQ2696">
        <v>0</v>
      </c>
    </row>
    <row r="2697" spans="1:43" x14ac:dyDescent="0.2">
      <c r="A2697" t="s">
        <v>381</v>
      </c>
      <c r="B2697" s="3">
        <v>44288</v>
      </c>
      <c r="C2697">
        <v>49</v>
      </c>
      <c r="D2697" t="s">
        <v>384</v>
      </c>
      <c r="E2697" t="s">
        <v>83</v>
      </c>
      <c r="F2697" s="9" t="s">
        <v>87</v>
      </c>
      <c r="G2697" t="s">
        <v>26</v>
      </c>
      <c r="H2697" t="s">
        <v>85</v>
      </c>
      <c r="I2697" t="s">
        <v>86</v>
      </c>
      <c r="J2697" t="s">
        <v>53</v>
      </c>
      <c r="K2697" t="s">
        <v>54</v>
      </c>
      <c r="L2697" t="s">
        <v>53</v>
      </c>
      <c r="M2697" t="s">
        <v>54</v>
      </c>
      <c r="N2697" t="s">
        <v>85</v>
      </c>
      <c r="O2697" t="s">
        <v>86</v>
      </c>
      <c r="P2697" t="s">
        <v>53</v>
      </c>
      <c r="Q2697" t="s">
        <v>54</v>
      </c>
      <c r="R2697" s="1">
        <v>44288.425937499997</v>
      </c>
      <c r="S2697" s="1">
        <v>44288.425937499997</v>
      </c>
      <c r="T2697">
        <v>0</v>
      </c>
      <c r="U2697">
        <v>1</v>
      </c>
      <c r="V2697" s="2">
        <v>0</v>
      </c>
      <c r="W2697">
        <v>0</v>
      </c>
      <c r="X2697" t="s">
        <v>44</v>
      </c>
      <c r="Y2697">
        <v>0</v>
      </c>
      <c r="Z2697" t="s">
        <v>31</v>
      </c>
      <c r="AA2697">
        <v>0</v>
      </c>
      <c r="AB2697" t="s">
        <v>31</v>
      </c>
      <c r="AC2697">
        <v>0</v>
      </c>
      <c r="AD2697" t="s">
        <v>31</v>
      </c>
      <c r="AE2697">
        <v>0</v>
      </c>
      <c r="AF2697" t="s">
        <v>31</v>
      </c>
      <c r="AG2697">
        <v>0</v>
      </c>
      <c r="AH2697" t="s">
        <v>31</v>
      </c>
      <c r="AI2697">
        <v>0</v>
      </c>
      <c r="AJ2697" t="s">
        <v>31</v>
      </c>
      <c r="AK2697">
        <v>0</v>
      </c>
      <c r="AL2697" t="s">
        <v>31</v>
      </c>
      <c r="AM2697">
        <v>0</v>
      </c>
      <c r="AN2697" t="s">
        <v>31</v>
      </c>
      <c r="AO2697">
        <v>0</v>
      </c>
      <c r="AP2697" t="s">
        <v>31</v>
      </c>
      <c r="AQ2697">
        <v>0</v>
      </c>
    </row>
    <row r="2698" spans="1:43" x14ac:dyDescent="0.2">
      <c r="A2698" t="s">
        <v>381</v>
      </c>
      <c r="B2698" s="3">
        <v>44291</v>
      </c>
      <c r="C2698">
        <v>50</v>
      </c>
      <c r="D2698" t="s">
        <v>384</v>
      </c>
      <c r="E2698" t="s">
        <v>83</v>
      </c>
      <c r="F2698" s="9" t="s">
        <v>87</v>
      </c>
      <c r="G2698" t="s">
        <v>26</v>
      </c>
      <c r="H2698" t="s">
        <v>85</v>
      </c>
      <c r="I2698" t="s">
        <v>86</v>
      </c>
      <c r="J2698" t="s">
        <v>53</v>
      </c>
      <c r="K2698" t="s">
        <v>54</v>
      </c>
      <c r="L2698" t="s">
        <v>53</v>
      </c>
      <c r="M2698" t="s">
        <v>54</v>
      </c>
      <c r="N2698" t="s">
        <v>85</v>
      </c>
      <c r="O2698" t="s">
        <v>86</v>
      </c>
      <c r="P2698" t="s">
        <v>53</v>
      </c>
      <c r="Q2698" t="s">
        <v>54</v>
      </c>
      <c r="R2698" s="1">
        <v>44291.374699074076</v>
      </c>
      <c r="S2698" s="1">
        <v>44291.374710648146</v>
      </c>
      <c r="T2698">
        <v>0</v>
      </c>
      <c r="U2698">
        <v>1</v>
      </c>
      <c r="V2698" s="2">
        <v>0</v>
      </c>
      <c r="W2698">
        <v>0</v>
      </c>
      <c r="X2698" t="s">
        <v>44</v>
      </c>
      <c r="Y2698">
        <v>0</v>
      </c>
      <c r="Z2698" t="s">
        <v>31</v>
      </c>
      <c r="AA2698">
        <v>0</v>
      </c>
      <c r="AB2698" t="s">
        <v>31</v>
      </c>
      <c r="AC2698">
        <v>0</v>
      </c>
      <c r="AD2698" t="s">
        <v>31</v>
      </c>
      <c r="AE2698">
        <v>0</v>
      </c>
      <c r="AF2698" t="s">
        <v>31</v>
      </c>
      <c r="AG2698">
        <v>0</v>
      </c>
      <c r="AH2698" t="s">
        <v>31</v>
      </c>
      <c r="AI2698">
        <v>0</v>
      </c>
      <c r="AJ2698" t="s">
        <v>31</v>
      </c>
      <c r="AK2698">
        <v>0</v>
      </c>
      <c r="AL2698" t="s">
        <v>31</v>
      </c>
      <c r="AM2698">
        <v>0</v>
      </c>
      <c r="AN2698" t="s">
        <v>31</v>
      </c>
      <c r="AO2698">
        <v>0</v>
      </c>
      <c r="AP2698" t="s">
        <v>31</v>
      </c>
      <c r="AQ2698">
        <v>0</v>
      </c>
    </row>
    <row r="2699" spans="1:43" x14ac:dyDescent="0.2">
      <c r="A2699" t="s">
        <v>381</v>
      </c>
      <c r="B2699" s="3">
        <v>44292</v>
      </c>
      <c r="C2699">
        <v>51</v>
      </c>
      <c r="D2699" t="s">
        <v>385</v>
      </c>
      <c r="E2699" t="s">
        <v>83</v>
      </c>
      <c r="F2699" s="9" t="s">
        <v>87</v>
      </c>
      <c r="G2699" t="s">
        <v>26</v>
      </c>
      <c r="H2699" t="s">
        <v>85</v>
      </c>
      <c r="I2699" t="s">
        <v>86</v>
      </c>
      <c r="J2699" t="s">
        <v>53</v>
      </c>
      <c r="K2699" t="s">
        <v>54</v>
      </c>
      <c r="L2699" t="s">
        <v>53</v>
      </c>
      <c r="M2699" t="s">
        <v>54</v>
      </c>
      <c r="N2699" t="s">
        <v>85</v>
      </c>
      <c r="O2699" t="s">
        <v>86</v>
      </c>
      <c r="P2699" t="s">
        <v>53</v>
      </c>
      <c r="Q2699" t="s">
        <v>54</v>
      </c>
      <c r="R2699" s="1">
        <v>44292.384097222224</v>
      </c>
      <c r="S2699" s="1">
        <v>44292.408946759257</v>
      </c>
      <c r="T2699">
        <v>0</v>
      </c>
      <c r="U2699">
        <v>3</v>
      </c>
      <c r="V2699" s="2">
        <v>0</v>
      </c>
      <c r="W2699">
        <v>0</v>
      </c>
      <c r="X2699" t="s">
        <v>44</v>
      </c>
      <c r="Y2699">
        <v>0</v>
      </c>
      <c r="Z2699" t="s">
        <v>44</v>
      </c>
      <c r="AA2699">
        <v>0</v>
      </c>
      <c r="AB2699" t="s">
        <v>44</v>
      </c>
      <c r="AC2699">
        <v>0</v>
      </c>
      <c r="AD2699" t="s">
        <v>31</v>
      </c>
      <c r="AE2699">
        <v>0</v>
      </c>
      <c r="AF2699" t="s">
        <v>31</v>
      </c>
      <c r="AG2699">
        <v>0</v>
      </c>
      <c r="AH2699" t="s">
        <v>31</v>
      </c>
      <c r="AI2699">
        <v>0</v>
      </c>
      <c r="AJ2699" t="s">
        <v>31</v>
      </c>
      <c r="AK2699">
        <v>0</v>
      </c>
      <c r="AL2699" t="s">
        <v>31</v>
      </c>
      <c r="AM2699">
        <v>0</v>
      </c>
      <c r="AN2699" t="s">
        <v>31</v>
      </c>
      <c r="AO2699">
        <v>0</v>
      </c>
      <c r="AP2699" t="s">
        <v>31</v>
      </c>
      <c r="AQ2699">
        <v>0</v>
      </c>
    </row>
    <row r="2700" spans="1:43" x14ac:dyDescent="0.2">
      <c r="A2700" t="s">
        <v>381</v>
      </c>
      <c r="B2700" s="3">
        <v>44292</v>
      </c>
      <c r="C2700">
        <v>52</v>
      </c>
      <c r="D2700" t="s">
        <v>386</v>
      </c>
      <c r="E2700" t="s">
        <v>83</v>
      </c>
      <c r="F2700" s="9" t="s">
        <v>87</v>
      </c>
      <c r="G2700" t="s">
        <v>26</v>
      </c>
      <c r="H2700" t="s">
        <v>85</v>
      </c>
      <c r="I2700" t="s">
        <v>86</v>
      </c>
      <c r="J2700" t="s">
        <v>53</v>
      </c>
      <c r="K2700" t="s">
        <v>54</v>
      </c>
      <c r="L2700" t="s">
        <v>53</v>
      </c>
      <c r="M2700" t="s">
        <v>54</v>
      </c>
      <c r="N2700" t="s">
        <v>85</v>
      </c>
      <c r="O2700" t="s">
        <v>86</v>
      </c>
      <c r="P2700" t="s">
        <v>53</v>
      </c>
      <c r="Q2700" t="s">
        <v>54</v>
      </c>
      <c r="R2700" s="1">
        <v>44292.60491898148</v>
      </c>
      <c r="S2700" s="1">
        <v>44292.60491898148</v>
      </c>
      <c r="T2700">
        <v>0</v>
      </c>
      <c r="U2700">
        <v>1</v>
      </c>
      <c r="V2700" s="2">
        <v>0</v>
      </c>
      <c r="W2700">
        <v>0</v>
      </c>
      <c r="X2700" t="s">
        <v>44</v>
      </c>
      <c r="Y2700">
        <v>0</v>
      </c>
      <c r="Z2700" t="s">
        <v>31</v>
      </c>
      <c r="AA2700">
        <v>0</v>
      </c>
      <c r="AB2700" t="s">
        <v>31</v>
      </c>
      <c r="AC2700">
        <v>0</v>
      </c>
      <c r="AD2700" t="s">
        <v>31</v>
      </c>
      <c r="AE2700">
        <v>0</v>
      </c>
      <c r="AF2700" t="s">
        <v>31</v>
      </c>
      <c r="AG2700">
        <v>0</v>
      </c>
      <c r="AH2700" t="s">
        <v>31</v>
      </c>
      <c r="AI2700">
        <v>0</v>
      </c>
      <c r="AJ2700" t="s">
        <v>31</v>
      </c>
      <c r="AK2700">
        <v>0</v>
      </c>
      <c r="AL2700" t="s">
        <v>31</v>
      </c>
      <c r="AM2700">
        <v>0</v>
      </c>
      <c r="AN2700" t="s">
        <v>31</v>
      </c>
      <c r="AO2700">
        <v>0</v>
      </c>
      <c r="AP2700" t="s">
        <v>31</v>
      </c>
      <c r="AQ2700">
        <v>0</v>
      </c>
    </row>
    <row r="2701" spans="1:43" x14ac:dyDescent="0.2">
      <c r="A2701" t="s">
        <v>381</v>
      </c>
      <c r="B2701" s="3">
        <v>44293</v>
      </c>
      <c r="C2701">
        <v>53</v>
      </c>
      <c r="D2701" t="s">
        <v>384</v>
      </c>
      <c r="E2701" t="s">
        <v>83</v>
      </c>
      <c r="F2701" s="9" t="s">
        <v>87</v>
      </c>
      <c r="G2701" t="s">
        <v>26</v>
      </c>
      <c r="H2701" t="s">
        <v>85</v>
      </c>
      <c r="I2701" t="s">
        <v>86</v>
      </c>
      <c r="J2701" t="s">
        <v>53</v>
      </c>
      <c r="K2701" t="s">
        <v>54</v>
      </c>
      <c r="L2701" t="s">
        <v>53</v>
      </c>
      <c r="M2701" t="s">
        <v>54</v>
      </c>
      <c r="N2701" t="s">
        <v>85</v>
      </c>
      <c r="O2701" t="s">
        <v>86</v>
      </c>
      <c r="P2701" t="s">
        <v>53</v>
      </c>
      <c r="Q2701" t="s">
        <v>54</v>
      </c>
      <c r="R2701" s="1">
        <v>44293.424375000002</v>
      </c>
      <c r="S2701" s="1">
        <v>44293.424375000002</v>
      </c>
      <c r="T2701">
        <v>0</v>
      </c>
      <c r="U2701">
        <v>1</v>
      </c>
      <c r="V2701" s="2">
        <v>0</v>
      </c>
      <c r="W2701">
        <v>0</v>
      </c>
      <c r="X2701" t="s">
        <v>44</v>
      </c>
      <c r="Y2701">
        <v>0</v>
      </c>
      <c r="Z2701" t="s">
        <v>31</v>
      </c>
      <c r="AA2701">
        <v>0</v>
      </c>
      <c r="AB2701" t="s">
        <v>31</v>
      </c>
      <c r="AC2701">
        <v>0</v>
      </c>
      <c r="AD2701" t="s">
        <v>31</v>
      </c>
      <c r="AE2701">
        <v>0</v>
      </c>
      <c r="AF2701" t="s">
        <v>31</v>
      </c>
      <c r="AG2701">
        <v>0</v>
      </c>
      <c r="AH2701" t="s">
        <v>31</v>
      </c>
      <c r="AI2701">
        <v>0</v>
      </c>
      <c r="AJ2701" t="s">
        <v>31</v>
      </c>
      <c r="AK2701">
        <v>0</v>
      </c>
      <c r="AL2701" t="s">
        <v>31</v>
      </c>
      <c r="AM2701">
        <v>0</v>
      </c>
      <c r="AN2701" t="s">
        <v>31</v>
      </c>
      <c r="AO2701">
        <v>0</v>
      </c>
      <c r="AP2701" t="s">
        <v>31</v>
      </c>
      <c r="AQ2701">
        <v>0</v>
      </c>
    </row>
    <row r="2702" spans="1:43" x14ac:dyDescent="0.2">
      <c r="A2702" t="s">
        <v>381</v>
      </c>
      <c r="B2702" s="3">
        <v>44294</v>
      </c>
      <c r="C2702">
        <v>54</v>
      </c>
      <c r="D2702" t="s">
        <v>407</v>
      </c>
      <c r="E2702" t="s">
        <v>83</v>
      </c>
      <c r="F2702" s="9" t="s">
        <v>87</v>
      </c>
      <c r="G2702" t="s">
        <v>26</v>
      </c>
      <c r="H2702" t="s">
        <v>85</v>
      </c>
      <c r="I2702" t="s">
        <v>86</v>
      </c>
      <c r="J2702" t="s">
        <v>53</v>
      </c>
      <c r="K2702" t="s">
        <v>54</v>
      </c>
      <c r="L2702" t="s">
        <v>53</v>
      </c>
      <c r="M2702" t="s">
        <v>54</v>
      </c>
      <c r="N2702" t="s">
        <v>85</v>
      </c>
      <c r="O2702" t="s">
        <v>86</v>
      </c>
      <c r="P2702" t="s">
        <v>53</v>
      </c>
      <c r="Q2702" t="s">
        <v>54</v>
      </c>
      <c r="R2702" s="1">
        <v>44294.40865740741</v>
      </c>
      <c r="S2702" s="1">
        <v>44294.40865740741</v>
      </c>
      <c r="T2702">
        <v>0</v>
      </c>
      <c r="U2702">
        <v>1</v>
      </c>
      <c r="V2702" s="2">
        <v>0</v>
      </c>
      <c r="W2702">
        <v>0</v>
      </c>
      <c r="X2702" t="s">
        <v>44</v>
      </c>
      <c r="Y2702">
        <v>0</v>
      </c>
      <c r="Z2702" t="s">
        <v>31</v>
      </c>
      <c r="AA2702">
        <v>0</v>
      </c>
      <c r="AB2702" t="s">
        <v>31</v>
      </c>
      <c r="AC2702">
        <v>0</v>
      </c>
      <c r="AD2702" t="s">
        <v>31</v>
      </c>
      <c r="AE2702">
        <v>0</v>
      </c>
      <c r="AF2702" t="s">
        <v>31</v>
      </c>
      <c r="AG2702">
        <v>0</v>
      </c>
      <c r="AH2702" t="s">
        <v>31</v>
      </c>
      <c r="AI2702">
        <v>0</v>
      </c>
      <c r="AJ2702" t="s">
        <v>31</v>
      </c>
      <c r="AK2702">
        <v>0</v>
      </c>
      <c r="AL2702" t="s">
        <v>31</v>
      </c>
      <c r="AM2702">
        <v>0</v>
      </c>
      <c r="AN2702" t="s">
        <v>31</v>
      </c>
      <c r="AO2702">
        <v>0</v>
      </c>
      <c r="AP2702" t="s">
        <v>31</v>
      </c>
      <c r="AQ2702">
        <v>0</v>
      </c>
    </row>
    <row r="2703" spans="1:43" x14ac:dyDescent="0.2">
      <c r="A2703" t="s">
        <v>381</v>
      </c>
      <c r="B2703" s="3">
        <v>44294</v>
      </c>
      <c r="C2703">
        <v>55</v>
      </c>
      <c r="D2703" t="s">
        <v>385</v>
      </c>
      <c r="E2703" t="s">
        <v>83</v>
      </c>
      <c r="F2703" s="9" t="s">
        <v>87</v>
      </c>
      <c r="G2703" t="s">
        <v>26</v>
      </c>
      <c r="H2703" t="s">
        <v>85</v>
      </c>
      <c r="I2703" t="s">
        <v>86</v>
      </c>
      <c r="J2703" t="s">
        <v>53</v>
      </c>
      <c r="K2703" t="s">
        <v>54</v>
      </c>
      <c r="L2703" t="s">
        <v>53</v>
      </c>
      <c r="M2703" t="s">
        <v>54</v>
      </c>
      <c r="N2703" t="s">
        <v>85</v>
      </c>
      <c r="O2703" t="s">
        <v>86</v>
      </c>
      <c r="P2703" t="s">
        <v>53</v>
      </c>
      <c r="Q2703" t="s">
        <v>54</v>
      </c>
      <c r="R2703" s="1">
        <v>44294.546736111108</v>
      </c>
      <c r="S2703" s="1">
        <v>44294.546759259261</v>
      </c>
      <c r="T2703">
        <v>0</v>
      </c>
      <c r="U2703">
        <v>2</v>
      </c>
      <c r="V2703" s="2">
        <v>0</v>
      </c>
      <c r="W2703">
        <v>0</v>
      </c>
      <c r="X2703" t="s">
        <v>44</v>
      </c>
      <c r="Y2703">
        <v>0</v>
      </c>
      <c r="Z2703" t="s">
        <v>44</v>
      </c>
      <c r="AA2703">
        <v>0</v>
      </c>
      <c r="AB2703" t="s">
        <v>31</v>
      </c>
      <c r="AC2703">
        <v>0</v>
      </c>
      <c r="AD2703" t="s">
        <v>31</v>
      </c>
      <c r="AE2703">
        <v>0</v>
      </c>
      <c r="AF2703" t="s">
        <v>31</v>
      </c>
      <c r="AG2703">
        <v>0</v>
      </c>
      <c r="AH2703" t="s">
        <v>31</v>
      </c>
      <c r="AI2703">
        <v>0</v>
      </c>
      <c r="AJ2703" t="s">
        <v>31</v>
      </c>
      <c r="AK2703">
        <v>0</v>
      </c>
      <c r="AL2703" t="s">
        <v>31</v>
      </c>
      <c r="AM2703">
        <v>0</v>
      </c>
      <c r="AN2703" t="s">
        <v>31</v>
      </c>
      <c r="AO2703">
        <v>0</v>
      </c>
      <c r="AP2703" t="s">
        <v>31</v>
      </c>
      <c r="AQ2703">
        <v>0</v>
      </c>
    </row>
    <row r="2704" spans="1:43" x14ac:dyDescent="0.2">
      <c r="A2704" t="s">
        <v>381</v>
      </c>
      <c r="B2704" s="3">
        <v>44295</v>
      </c>
      <c r="C2704">
        <v>56</v>
      </c>
      <c r="D2704" t="s">
        <v>384</v>
      </c>
      <c r="E2704" t="s">
        <v>83</v>
      </c>
      <c r="F2704" s="9" t="s">
        <v>87</v>
      </c>
      <c r="G2704" t="s">
        <v>26</v>
      </c>
      <c r="H2704" t="s">
        <v>85</v>
      </c>
      <c r="I2704" t="s">
        <v>86</v>
      </c>
      <c r="J2704" t="s">
        <v>53</v>
      </c>
      <c r="K2704" t="s">
        <v>54</v>
      </c>
      <c r="L2704" t="s">
        <v>53</v>
      </c>
      <c r="M2704" t="s">
        <v>54</v>
      </c>
      <c r="N2704" t="s">
        <v>85</v>
      </c>
      <c r="O2704" t="s">
        <v>86</v>
      </c>
      <c r="P2704" t="s">
        <v>53</v>
      </c>
      <c r="Q2704" t="s">
        <v>54</v>
      </c>
      <c r="R2704" s="1">
        <v>44295.427569444444</v>
      </c>
      <c r="S2704" s="1">
        <v>44295.427569444444</v>
      </c>
      <c r="T2704">
        <v>0</v>
      </c>
      <c r="U2704">
        <v>1</v>
      </c>
      <c r="V2704" s="2">
        <v>0</v>
      </c>
      <c r="W2704">
        <v>0</v>
      </c>
      <c r="X2704" t="s">
        <v>44</v>
      </c>
      <c r="Y2704">
        <v>0</v>
      </c>
      <c r="Z2704" t="s">
        <v>31</v>
      </c>
      <c r="AA2704">
        <v>0</v>
      </c>
      <c r="AB2704" t="s">
        <v>31</v>
      </c>
      <c r="AC2704">
        <v>0</v>
      </c>
      <c r="AD2704" t="s">
        <v>31</v>
      </c>
      <c r="AE2704">
        <v>0</v>
      </c>
      <c r="AF2704" t="s">
        <v>31</v>
      </c>
      <c r="AG2704">
        <v>0</v>
      </c>
      <c r="AH2704" t="s">
        <v>31</v>
      </c>
      <c r="AI2704">
        <v>0</v>
      </c>
      <c r="AJ2704" t="s">
        <v>31</v>
      </c>
      <c r="AK2704">
        <v>0</v>
      </c>
      <c r="AL2704" t="s">
        <v>31</v>
      </c>
      <c r="AM2704">
        <v>0</v>
      </c>
      <c r="AN2704" t="s">
        <v>31</v>
      </c>
      <c r="AO2704">
        <v>0</v>
      </c>
      <c r="AP2704" t="s">
        <v>31</v>
      </c>
      <c r="AQ2704">
        <v>0</v>
      </c>
    </row>
    <row r="2705" spans="1:43" x14ac:dyDescent="0.2">
      <c r="A2705" t="s">
        <v>381</v>
      </c>
      <c r="B2705" s="3">
        <v>44298</v>
      </c>
      <c r="C2705">
        <v>57</v>
      </c>
      <c r="D2705" t="s">
        <v>387</v>
      </c>
      <c r="E2705" t="s">
        <v>83</v>
      </c>
      <c r="F2705" s="9" t="s">
        <v>87</v>
      </c>
      <c r="G2705" t="s">
        <v>26</v>
      </c>
      <c r="H2705" t="s">
        <v>85</v>
      </c>
      <c r="I2705" t="s">
        <v>86</v>
      </c>
      <c r="J2705" t="s">
        <v>53</v>
      </c>
      <c r="K2705" t="s">
        <v>54</v>
      </c>
      <c r="L2705" t="s">
        <v>53</v>
      </c>
      <c r="M2705" t="s">
        <v>54</v>
      </c>
      <c r="N2705" t="s">
        <v>85</v>
      </c>
      <c r="O2705" t="s">
        <v>86</v>
      </c>
      <c r="P2705" t="s">
        <v>53</v>
      </c>
      <c r="Q2705" t="s">
        <v>54</v>
      </c>
      <c r="R2705" s="1">
        <v>44298.556134259263</v>
      </c>
      <c r="S2705" s="1">
        <v>44298.556134259263</v>
      </c>
      <c r="T2705">
        <v>0</v>
      </c>
      <c r="U2705">
        <v>1</v>
      </c>
      <c r="V2705" s="2">
        <v>0</v>
      </c>
      <c r="W2705">
        <v>0</v>
      </c>
      <c r="X2705" t="s">
        <v>44</v>
      </c>
      <c r="Y2705">
        <v>0</v>
      </c>
      <c r="Z2705" t="s">
        <v>31</v>
      </c>
      <c r="AA2705">
        <v>0</v>
      </c>
      <c r="AB2705" t="s">
        <v>31</v>
      </c>
      <c r="AC2705">
        <v>0</v>
      </c>
      <c r="AD2705" t="s">
        <v>31</v>
      </c>
      <c r="AE2705">
        <v>0</v>
      </c>
      <c r="AF2705" t="s">
        <v>31</v>
      </c>
      <c r="AG2705">
        <v>0</v>
      </c>
      <c r="AH2705" t="s">
        <v>31</v>
      </c>
      <c r="AI2705">
        <v>0</v>
      </c>
      <c r="AJ2705" t="s">
        <v>31</v>
      </c>
      <c r="AK2705">
        <v>0</v>
      </c>
      <c r="AL2705" t="s">
        <v>31</v>
      </c>
      <c r="AM2705">
        <v>0</v>
      </c>
      <c r="AN2705" t="s">
        <v>31</v>
      </c>
      <c r="AO2705">
        <v>0</v>
      </c>
      <c r="AP2705" t="s">
        <v>31</v>
      </c>
      <c r="AQ2705">
        <v>0</v>
      </c>
    </row>
    <row r="2706" spans="1:43" x14ac:dyDescent="0.2">
      <c r="A2706" t="s">
        <v>381</v>
      </c>
      <c r="B2706" s="3">
        <v>44299</v>
      </c>
      <c r="C2706">
        <v>58</v>
      </c>
      <c r="D2706" t="s">
        <v>385</v>
      </c>
      <c r="E2706" t="s">
        <v>83</v>
      </c>
      <c r="F2706" s="9" t="s">
        <v>87</v>
      </c>
      <c r="G2706" t="s">
        <v>26</v>
      </c>
      <c r="H2706" t="s">
        <v>85</v>
      </c>
      <c r="I2706" t="s">
        <v>86</v>
      </c>
      <c r="J2706" t="s">
        <v>53</v>
      </c>
      <c r="K2706" t="s">
        <v>54</v>
      </c>
      <c r="L2706" t="s">
        <v>53</v>
      </c>
      <c r="M2706" t="s">
        <v>54</v>
      </c>
      <c r="N2706" t="s">
        <v>85</v>
      </c>
      <c r="O2706" t="s">
        <v>86</v>
      </c>
      <c r="P2706" t="s">
        <v>53</v>
      </c>
      <c r="Q2706" t="s">
        <v>54</v>
      </c>
      <c r="R2706" s="1">
        <v>44299.417708333334</v>
      </c>
      <c r="S2706" s="1">
        <v>44299.452534722222</v>
      </c>
      <c r="T2706">
        <v>0</v>
      </c>
      <c r="U2706">
        <v>2</v>
      </c>
      <c r="V2706" s="2">
        <v>0</v>
      </c>
      <c r="W2706">
        <v>0</v>
      </c>
      <c r="X2706" t="s">
        <v>44</v>
      </c>
      <c r="Y2706">
        <v>0</v>
      </c>
      <c r="Z2706" t="s">
        <v>44</v>
      </c>
      <c r="AA2706">
        <v>0</v>
      </c>
      <c r="AB2706" t="s">
        <v>31</v>
      </c>
      <c r="AC2706">
        <v>0</v>
      </c>
      <c r="AD2706" t="s">
        <v>31</v>
      </c>
      <c r="AE2706">
        <v>0</v>
      </c>
      <c r="AF2706" t="s">
        <v>31</v>
      </c>
      <c r="AG2706">
        <v>0</v>
      </c>
      <c r="AH2706" t="s">
        <v>31</v>
      </c>
      <c r="AI2706">
        <v>0</v>
      </c>
      <c r="AJ2706" t="s">
        <v>31</v>
      </c>
      <c r="AK2706">
        <v>0</v>
      </c>
      <c r="AL2706" t="s">
        <v>31</v>
      </c>
      <c r="AM2706">
        <v>0</v>
      </c>
      <c r="AN2706" t="s">
        <v>31</v>
      </c>
      <c r="AO2706">
        <v>0</v>
      </c>
      <c r="AP2706" t="s">
        <v>31</v>
      </c>
      <c r="AQ2706">
        <v>0</v>
      </c>
    </row>
    <row r="2707" spans="1:43" x14ac:dyDescent="0.2">
      <c r="A2707" t="s">
        <v>381</v>
      </c>
      <c r="B2707" s="3">
        <v>44299</v>
      </c>
      <c r="C2707">
        <v>59</v>
      </c>
      <c r="D2707" t="s">
        <v>385</v>
      </c>
      <c r="E2707" t="s">
        <v>83</v>
      </c>
      <c r="F2707" s="9" t="s">
        <v>87</v>
      </c>
      <c r="G2707" t="s">
        <v>26</v>
      </c>
      <c r="H2707" t="s">
        <v>85</v>
      </c>
      <c r="I2707" t="s">
        <v>86</v>
      </c>
      <c r="J2707" t="s">
        <v>53</v>
      </c>
      <c r="K2707" t="s">
        <v>54</v>
      </c>
      <c r="L2707" t="s">
        <v>53</v>
      </c>
      <c r="M2707" t="s">
        <v>54</v>
      </c>
      <c r="N2707" t="s">
        <v>85</v>
      </c>
      <c r="O2707" t="s">
        <v>86</v>
      </c>
      <c r="P2707" t="s">
        <v>53</v>
      </c>
      <c r="Q2707" t="s">
        <v>54</v>
      </c>
      <c r="R2707" s="1">
        <v>44299.571666666663</v>
      </c>
      <c r="S2707" s="1">
        <v>44299.57167824074</v>
      </c>
      <c r="T2707">
        <v>0</v>
      </c>
      <c r="U2707">
        <v>3</v>
      </c>
      <c r="V2707" s="2">
        <v>0</v>
      </c>
      <c r="W2707">
        <v>0</v>
      </c>
      <c r="X2707" t="s">
        <v>44</v>
      </c>
      <c r="Y2707">
        <v>0</v>
      </c>
      <c r="Z2707" t="s">
        <v>44</v>
      </c>
      <c r="AA2707">
        <v>0</v>
      </c>
      <c r="AB2707" t="s">
        <v>44</v>
      </c>
      <c r="AC2707">
        <v>0</v>
      </c>
      <c r="AD2707" t="s">
        <v>31</v>
      </c>
      <c r="AE2707">
        <v>0</v>
      </c>
      <c r="AF2707" t="s">
        <v>31</v>
      </c>
      <c r="AG2707">
        <v>0</v>
      </c>
      <c r="AH2707" t="s">
        <v>31</v>
      </c>
      <c r="AI2707">
        <v>0</v>
      </c>
      <c r="AJ2707" t="s">
        <v>31</v>
      </c>
      <c r="AK2707">
        <v>0</v>
      </c>
      <c r="AL2707" t="s">
        <v>31</v>
      </c>
      <c r="AM2707">
        <v>0</v>
      </c>
      <c r="AN2707" t="s">
        <v>31</v>
      </c>
      <c r="AO2707">
        <v>0</v>
      </c>
      <c r="AP2707" t="s">
        <v>31</v>
      </c>
      <c r="AQ2707">
        <v>0</v>
      </c>
    </row>
    <row r="2708" spans="1:43" x14ac:dyDescent="0.2">
      <c r="A2708" t="s">
        <v>381</v>
      </c>
      <c r="B2708" s="3">
        <v>44300</v>
      </c>
      <c r="C2708">
        <v>60</v>
      </c>
      <c r="D2708" t="s">
        <v>398</v>
      </c>
      <c r="E2708" t="s">
        <v>83</v>
      </c>
      <c r="F2708" s="9" t="s">
        <v>87</v>
      </c>
      <c r="G2708" t="s">
        <v>26</v>
      </c>
      <c r="H2708" t="s">
        <v>85</v>
      </c>
      <c r="I2708" t="s">
        <v>86</v>
      </c>
      <c r="J2708" t="s">
        <v>53</v>
      </c>
      <c r="K2708" t="s">
        <v>54</v>
      </c>
      <c r="L2708" t="s">
        <v>53</v>
      </c>
      <c r="M2708" t="s">
        <v>54</v>
      </c>
      <c r="N2708" t="s">
        <v>85</v>
      </c>
      <c r="O2708" t="s">
        <v>86</v>
      </c>
      <c r="P2708" t="s">
        <v>53</v>
      </c>
      <c r="Q2708" t="s">
        <v>54</v>
      </c>
      <c r="R2708" s="1">
        <v>44300.460601851853</v>
      </c>
      <c r="S2708" s="1">
        <v>44300.460763888892</v>
      </c>
      <c r="T2708">
        <v>0</v>
      </c>
      <c r="U2708">
        <v>2</v>
      </c>
      <c r="V2708" s="2">
        <v>0</v>
      </c>
      <c r="W2708">
        <v>0</v>
      </c>
      <c r="X2708" t="s">
        <v>44</v>
      </c>
      <c r="Y2708">
        <v>0</v>
      </c>
      <c r="Z2708" t="s">
        <v>44</v>
      </c>
      <c r="AA2708">
        <v>0</v>
      </c>
      <c r="AB2708" t="s">
        <v>31</v>
      </c>
      <c r="AC2708">
        <v>0</v>
      </c>
      <c r="AD2708" t="s">
        <v>31</v>
      </c>
      <c r="AE2708">
        <v>0</v>
      </c>
      <c r="AF2708" t="s">
        <v>31</v>
      </c>
      <c r="AG2708">
        <v>0</v>
      </c>
      <c r="AH2708" t="s">
        <v>31</v>
      </c>
      <c r="AI2708">
        <v>0</v>
      </c>
      <c r="AJ2708" t="s">
        <v>31</v>
      </c>
      <c r="AK2708">
        <v>0</v>
      </c>
      <c r="AL2708" t="s">
        <v>31</v>
      </c>
      <c r="AM2708">
        <v>0</v>
      </c>
      <c r="AN2708" t="s">
        <v>31</v>
      </c>
      <c r="AO2708">
        <v>0</v>
      </c>
      <c r="AP2708" t="s">
        <v>31</v>
      </c>
      <c r="AQ2708">
        <v>0</v>
      </c>
    </row>
    <row r="2709" spans="1:43" x14ac:dyDescent="0.2">
      <c r="A2709" t="s">
        <v>381</v>
      </c>
      <c r="B2709" s="3">
        <v>44300</v>
      </c>
      <c r="C2709">
        <v>61</v>
      </c>
      <c r="D2709" t="s">
        <v>401</v>
      </c>
      <c r="E2709" t="s">
        <v>83</v>
      </c>
      <c r="F2709" s="9" t="s">
        <v>87</v>
      </c>
      <c r="G2709" t="s">
        <v>26</v>
      </c>
      <c r="H2709" t="s">
        <v>85</v>
      </c>
      <c r="I2709" t="s">
        <v>86</v>
      </c>
      <c r="J2709" t="s">
        <v>53</v>
      </c>
      <c r="K2709" t="s">
        <v>54</v>
      </c>
      <c r="L2709" t="s">
        <v>53</v>
      </c>
      <c r="M2709" t="s">
        <v>54</v>
      </c>
      <c r="N2709" t="s">
        <v>85</v>
      </c>
      <c r="O2709" t="s">
        <v>86</v>
      </c>
      <c r="P2709" t="s">
        <v>53</v>
      </c>
      <c r="Q2709" t="s">
        <v>54</v>
      </c>
      <c r="R2709" s="1">
        <v>44300.662986111114</v>
      </c>
      <c r="S2709" s="1">
        <v>44300.662986111114</v>
      </c>
      <c r="T2709">
        <v>0</v>
      </c>
      <c r="U2709">
        <v>1</v>
      </c>
      <c r="V2709" s="2">
        <v>0</v>
      </c>
      <c r="W2709">
        <v>0</v>
      </c>
      <c r="X2709" t="s">
        <v>44</v>
      </c>
      <c r="Y2709">
        <v>0</v>
      </c>
      <c r="Z2709" t="s">
        <v>31</v>
      </c>
      <c r="AA2709">
        <v>0</v>
      </c>
      <c r="AB2709" t="s">
        <v>31</v>
      </c>
      <c r="AC2709">
        <v>0</v>
      </c>
      <c r="AD2709" t="s">
        <v>31</v>
      </c>
      <c r="AE2709">
        <v>0</v>
      </c>
      <c r="AF2709" t="s">
        <v>31</v>
      </c>
      <c r="AG2709">
        <v>0</v>
      </c>
      <c r="AH2709" t="s">
        <v>31</v>
      </c>
      <c r="AI2709">
        <v>0</v>
      </c>
      <c r="AJ2709" t="s">
        <v>31</v>
      </c>
      <c r="AK2709">
        <v>0</v>
      </c>
      <c r="AL2709" t="s">
        <v>31</v>
      </c>
      <c r="AM2709">
        <v>0</v>
      </c>
      <c r="AN2709" t="s">
        <v>31</v>
      </c>
      <c r="AO2709">
        <v>0</v>
      </c>
      <c r="AP2709" t="s">
        <v>31</v>
      </c>
      <c r="AQ2709">
        <v>0</v>
      </c>
    </row>
    <row r="2710" spans="1:43" x14ac:dyDescent="0.2">
      <c r="A2710" t="s">
        <v>381</v>
      </c>
      <c r="B2710" s="3">
        <v>44301</v>
      </c>
      <c r="C2710">
        <v>62</v>
      </c>
      <c r="D2710" t="s">
        <v>385</v>
      </c>
      <c r="E2710" t="s">
        <v>83</v>
      </c>
      <c r="F2710" s="9" t="s">
        <v>87</v>
      </c>
      <c r="G2710" t="s">
        <v>26</v>
      </c>
      <c r="H2710" t="s">
        <v>85</v>
      </c>
      <c r="I2710" t="s">
        <v>86</v>
      </c>
      <c r="J2710" t="s">
        <v>53</v>
      </c>
      <c r="K2710" t="s">
        <v>54</v>
      </c>
      <c r="L2710" t="s">
        <v>53</v>
      </c>
      <c r="M2710" t="s">
        <v>54</v>
      </c>
      <c r="N2710" t="s">
        <v>85</v>
      </c>
      <c r="O2710" t="s">
        <v>86</v>
      </c>
      <c r="P2710" t="s">
        <v>53</v>
      </c>
      <c r="Q2710" t="s">
        <v>54</v>
      </c>
      <c r="R2710" s="1">
        <v>44301.41028935185</v>
      </c>
      <c r="S2710" s="1">
        <v>44301.41028935185</v>
      </c>
      <c r="T2710">
        <v>0</v>
      </c>
      <c r="U2710">
        <v>1</v>
      </c>
      <c r="V2710" s="2">
        <v>0</v>
      </c>
      <c r="W2710">
        <v>0</v>
      </c>
      <c r="X2710" t="s">
        <v>44</v>
      </c>
      <c r="Y2710">
        <v>0</v>
      </c>
      <c r="Z2710" t="s">
        <v>31</v>
      </c>
      <c r="AA2710">
        <v>0</v>
      </c>
      <c r="AB2710" t="s">
        <v>31</v>
      </c>
      <c r="AC2710">
        <v>0</v>
      </c>
      <c r="AD2710" t="s">
        <v>31</v>
      </c>
      <c r="AE2710">
        <v>0</v>
      </c>
      <c r="AF2710" t="s">
        <v>31</v>
      </c>
      <c r="AG2710">
        <v>0</v>
      </c>
      <c r="AH2710" t="s">
        <v>31</v>
      </c>
      <c r="AI2710">
        <v>0</v>
      </c>
      <c r="AJ2710" t="s">
        <v>31</v>
      </c>
      <c r="AK2710">
        <v>0</v>
      </c>
      <c r="AL2710" t="s">
        <v>31</v>
      </c>
      <c r="AM2710">
        <v>0</v>
      </c>
      <c r="AN2710" t="s">
        <v>31</v>
      </c>
      <c r="AO2710">
        <v>0</v>
      </c>
      <c r="AP2710" t="s">
        <v>31</v>
      </c>
      <c r="AQ2710">
        <v>0</v>
      </c>
    </row>
    <row r="2711" spans="1:43" x14ac:dyDescent="0.2">
      <c r="A2711" t="s">
        <v>381</v>
      </c>
      <c r="B2711" s="3">
        <v>44301</v>
      </c>
      <c r="C2711">
        <v>63</v>
      </c>
      <c r="D2711" t="s">
        <v>385</v>
      </c>
      <c r="E2711" t="s">
        <v>83</v>
      </c>
      <c r="F2711" s="9" t="s">
        <v>87</v>
      </c>
      <c r="G2711" t="s">
        <v>26</v>
      </c>
      <c r="H2711" t="s">
        <v>85</v>
      </c>
      <c r="I2711" t="s">
        <v>86</v>
      </c>
      <c r="J2711" t="s">
        <v>53</v>
      </c>
      <c r="K2711" t="s">
        <v>54</v>
      </c>
      <c r="L2711" t="s">
        <v>53</v>
      </c>
      <c r="M2711" t="s">
        <v>54</v>
      </c>
      <c r="N2711" t="s">
        <v>85</v>
      </c>
      <c r="O2711" t="s">
        <v>86</v>
      </c>
      <c r="P2711" t="s">
        <v>53</v>
      </c>
      <c r="Q2711" t="s">
        <v>54</v>
      </c>
      <c r="R2711" s="1">
        <v>44301.597581018519</v>
      </c>
      <c r="S2711" s="1">
        <v>44301.632905092592</v>
      </c>
      <c r="T2711">
        <v>0</v>
      </c>
      <c r="U2711">
        <v>2</v>
      </c>
      <c r="V2711" s="2">
        <v>0</v>
      </c>
      <c r="W2711">
        <v>0</v>
      </c>
      <c r="X2711" t="s">
        <v>44</v>
      </c>
      <c r="Y2711">
        <v>0</v>
      </c>
      <c r="Z2711" t="s">
        <v>44</v>
      </c>
      <c r="AA2711">
        <v>0</v>
      </c>
      <c r="AB2711" t="s">
        <v>31</v>
      </c>
      <c r="AC2711">
        <v>0</v>
      </c>
      <c r="AD2711" t="s">
        <v>31</v>
      </c>
      <c r="AE2711">
        <v>0</v>
      </c>
      <c r="AF2711" t="s">
        <v>31</v>
      </c>
      <c r="AG2711">
        <v>0</v>
      </c>
      <c r="AH2711" t="s">
        <v>31</v>
      </c>
      <c r="AI2711">
        <v>0</v>
      </c>
      <c r="AJ2711" t="s">
        <v>31</v>
      </c>
      <c r="AK2711">
        <v>0</v>
      </c>
      <c r="AL2711" t="s">
        <v>31</v>
      </c>
      <c r="AM2711">
        <v>0</v>
      </c>
      <c r="AN2711" t="s">
        <v>31</v>
      </c>
      <c r="AO2711">
        <v>0</v>
      </c>
      <c r="AP2711" t="s">
        <v>31</v>
      </c>
      <c r="AQ2711">
        <v>0</v>
      </c>
    </row>
    <row r="2712" spans="1:43" x14ac:dyDescent="0.2">
      <c r="A2712" t="s">
        <v>381</v>
      </c>
      <c r="B2712" s="3">
        <v>44302</v>
      </c>
      <c r="C2712">
        <v>64</v>
      </c>
      <c r="D2712" t="s">
        <v>390</v>
      </c>
      <c r="E2712" t="s">
        <v>83</v>
      </c>
      <c r="F2712" s="9" t="s">
        <v>87</v>
      </c>
      <c r="G2712" t="s">
        <v>26</v>
      </c>
      <c r="H2712" t="s">
        <v>85</v>
      </c>
      <c r="I2712" t="s">
        <v>86</v>
      </c>
      <c r="J2712" t="s">
        <v>53</v>
      </c>
      <c r="K2712" t="s">
        <v>54</v>
      </c>
      <c r="L2712" t="s">
        <v>53</v>
      </c>
      <c r="M2712" t="s">
        <v>54</v>
      </c>
      <c r="N2712" t="s">
        <v>85</v>
      </c>
      <c r="O2712" t="s">
        <v>86</v>
      </c>
      <c r="P2712" t="s">
        <v>53</v>
      </c>
      <c r="Q2712" t="s">
        <v>54</v>
      </c>
      <c r="R2712" s="1">
        <v>44302.485312500001</v>
      </c>
      <c r="S2712" s="1">
        <v>44302.485312500001</v>
      </c>
      <c r="T2712">
        <v>0</v>
      </c>
      <c r="U2712">
        <v>1</v>
      </c>
      <c r="V2712" s="2">
        <v>0</v>
      </c>
      <c r="W2712">
        <v>0</v>
      </c>
      <c r="X2712" t="s">
        <v>44</v>
      </c>
      <c r="Y2712">
        <v>0</v>
      </c>
      <c r="Z2712" t="s">
        <v>31</v>
      </c>
      <c r="AA2712">
        <v>0</v>
      </c>
      <c r="AB2712" t="s">
        <v>31</v>
      </c>
      <c r="AC2712">
        <v>0</v>
      </c>
      <c r="AD2712" t="s">
        <v>31</v>
      </c>
      <c r="AE2712">
        <v>0</v>
      </c>
      <c r="AF2712" t="s">
        <v>31</v>
      </c>
      <c r="AG2712">
        <v>0</v>
      </c>
      <c r="AH2712" t="s">
        <v>31</v>
      </c>
      <c r="AI2712">
        <v>0</v>
      </c>
      <c r="AJ2712" t="s">
        <v>31</v>
      </c>
      <c r="AK2712">
        <v>0</v>
      </c>
      <c r="AL2712" t="s">
        <v>31</v>
      </c>
      <c r="AM2712">
        <v>0</v>
      </c>
      <c r="AN2712" t="s">
        <v>31</v>
      </c>
      <c r="AO2712">
        <v>0</v>
      </c>
      <c r="AP2712" t="s">
        <v>31</v>
      </c>
      <c r="AQ2712">
        <v>0</v>
      </c>
    </row>
    <row r="2713" spans="1:43" x14ac:dyDescent="0.2">
      <c r="A2713" t="s">
        <v>381</v>
      </c>
      <c r="B2713" s="3">
        <v>44302</v>
      </c>
      <c r="C2713">
        <v>65</v>
      </c>
      <c r="D2713" t="s">
        <v>387</v>
      </c>
      <c r="E2713" t="s">
        <v>83</v>
      </c>
      <c r="F2713" s="9" t="s">
        <v>87</v>
      </c>
      <c r="G2713" t="s">
        <v>26</v>
      </c>
      <c r="H2713" t="s">
        <v>85</v>
      </c>
      <c r="I2713" t="s">
        <v>86</v>
      </c>
      <c r="J2713" t="s">
        <v>53</v>
      </c>
      <c r="K2713" t="s">
        <v>54</v>
      </c>
      <c r="L2713" t="s">
        <v>53</v>
      </c>
      <c r="M2713" t="s">
        <v>54</v>
      </c>
      <c r="N2713" t="s">
        <v>85</v>
      </c>
      <c r="O2713" t="s">
        <v>86</v>
      </c>
      <c r="P2713" t="s">
        <v>53</v>
      </c>
      <c r="Q2713" t="s">
        <v>54</v>
      </c>
      <c r="R2713" s="1">
        <v>44302.558946759258</v>
      </c>
      <c r="S2713" s="1">
        <v>44302.558946759258</v>
      </c>
      <c r="T2713">
        <v>0</v>
      </c>
      <c r="U2713">
        <v>1</v>
      </c>
      <c r="V2713" s="2">
        <v>0</v>
      </c>
      <c r="W2713">
        <v>0</v>
      </c>
      <c r="X2713" t="s">
        <v>44</v>
      </c>
      <c r="Y2713">
        <v>0</v>
      </c>
      <c r="Z2713" t="s">
        <v>31</v>
      </c>
      <c r="AA2713">
        <v>0</v>
      </c>
      <c r="AB2713" t="s">
        <v>31</v>
      </c>
      <c r="AC2713">
        <v>0</v>
      </c>
      <c r="AD2713" t="s">
        <v>31</v>
      </c>
      <c r="AE2713">
        <v>0</v>
      </c>
      <c r="AF2713" t="s">
        <v>31</v>
      </c>
      <c r="AG2713">
        <v>0</v>
      </c>
      <c r="AH2713" t="s">
        <v>31</v>
      </c>
      <c r="AI2713">
        <v>0</v>
      </c>
      <c r="AJ2713" t="s">
        <v>31</v>
      </c>
      <c r="AK2713">
        <v>0</v>
      </c>
      <c r="AL2713" t="s">
        <v>31</v>
      </c>
      <c r="AM2713">
        <v>0</v>
      </c>
      <c r="AN2713" t="s">
        <v>31</v>
      </c>
      <c r="AO2713">
        <v>0</v>
      </c>
      <c r="AP2713" t="s">
        <v>31</v>
      </c>
      <c r="AQ2713">
        <v>0</v>
      </c>
    </row>
    <row r="2714" spans="1:43" x14ac:dyDescent="0.2">
      <c r="A2714" t="s">
        <v>381</v>
      </c>
      <c r="B2714" s="3">
        <v>44308</v>
      </c>
      <c r="C2714">
        <v>68</v>
      </c>
      <c r="D2714" t="s">
        <v>383</v>
      </c>
      <c r="E2714" t="s">
        <v>83</v>
      </c>
      <c r="F2714" s="9" t="s">
        <v>87</v>
      </c>
      <c r="G2714" t="s">
        <v>26</v>
      </c>
      <c r="H2714" t="s">
        <v>85</v>
      </c>
      <c r="I2714" t="s">
        <v>86</v>
      </c>
      <c r="J2714" t="s">
        <v>53</v>
      </c>
      <c r="K2714" t="s">
        <v>54</v>
      </c>
      <c r="L2714" t="s">
        <v>53</v>
      </c>
      <c r="M2714" t="s">
        <v>54</v>
      </c>
      <c r="N2714" t="s">
        <v>85</v>
      </c>
      <c r="O2714" t="s">
        <v>86</v>
      </c>
      <c r="P2714" t="s">
        <v>53</v>
      </c>
      <c r="Q2714" t="s">
        <v>54</v>
      </c>
      <c r="R2714" s="1">
        <v>44308.402546296296</v>
      </c>
      <c r="S2714" s="1">
        <v>44308.402557870373</v>
      </c>
      <c r="T2714">
        <v>0</v>
      </c>
      <c r="U2714">
        <v>2</v>
      </c>
      <c r="V2714" s="2">
        <v>0</v>
      </c>
      <c r="W2714">
        <v>0</v>
      </c>
      <c r="X2714" t="s">
        <v>44</v>
      </c>
      <c r="Y2714">
        <v>0</v>
      </c>
      <c r="Z2714" t="s">
        <v>44</v>
      </c>
      <c r="AA2714">
        <v>0</v>
      </c>
      <c r="AB2714" t="s">
        <v>31</v>
      </c>
      <c r="AC2714">
        <v>0</v>
      </c>
      <c r="AD2714" t="s">
        <v>31</v>
      </c>
      <c r="AE2714">
        <v>0</v>
      </c>
      <c r="AF2714" t="s">
        <v>31</v>
      </c>
      <c r="AG2714">
        <v>0</v>
      </c>
      <c r="AH2714" t="s">
        <v>31</v>
      </c>
      <c r="AI2714">
        <v>0</v>
      </c>
      <c r="AJ2714" t="s">
        <v>31</v>
      </c>
      <c r="AK2714">
        <v>0</v>
      </c>
      <c r="AL2714" t="s">
        <v>31</v>
      </c>
      <c r="AM2714">
        <v>0</v>
      </c>
      <c r="AN2714" t="s">
        <v>31</v>
      </c>
      <c r="AO2714">
        <v>0</v>
      </c>
      <c r="AP2714" t="s">
        <v>31</v>
      </c>
      <c r="AQ2714">
        <v>0</v>
      </c>
    </row>
    <row r="2715" spans="1:43" x14ac:dyDescent="0.2">
      <c r="A2715" t="s">
        <v>381</v>
      </c>
      <c r="B2715" s="3">
        <v>44308</v>
      </c>
      <c r="C2715">
        <v>69</v>
      </c>
      <c r="D2715" t="s">
        <v>385</v>
      </c>
      <c r="E2715" t="s">
        <v>83</v>
      </c>
      <c r="F2715" s="9" t="s">
        <v>87</v>
      </c>
      <c r="G2715" t="s">
        <v>26</v>
      </c>
      <c r="H2715" t="s">
        <v>85</v>
      </c>
      <c r="I2715" t="s">
        <v>86</v>
      </c>
      <c r="J2715" t="s">
        <v>53</v>
      </c>
      <c r="K2715" t="s">
        <v>54</v>
      </c>
      <c r="L2715" t="s">
        <v>53</v>
      </c>
      <c r="M2715" t="s">
        <v>54</v>
      </c>
      <c r="N2715" t="s">
        <v>85</v>
      </c>
      <c r="O2715" t="s">
        <v>86</v>
      </c>
      <c r="P2715" t="s">
        <v>53</v>
      </c>
      <c r="Q2715" t="s">
        <v>54</v>
      </c>
      <c r="R2715" s="1">
        <v>44308.564212962963</v>
      </c>
      <c r="S2715" s="1">
        <v>44308.564212962963</v>
      </c>
      <c r="T2715">
        <v>0</v>
      </c>
      <c r="U2715">
        <v>1</v>
      </c>
      <c r="V2715" s="2">
        <v>0</v>
      </c>
      <c r="W2715">
        <v>0</v>
      </c>
      <c r="X2715" t="s">
        <v>44</v>
      </c>
      <c r="Y2715">
        <v>0</v>
      </c>
      <c r="Z2715" t="s">
        <v>31</v>
      </c>
      <c r="AA2715">
        <v>0</v>
      </c>
      <c r="AB2715" t="s">
        <v>31</v>
      </c>
      <c r="AC2715">
        <v>0</v>
      </c>
      <c r="AD2715" t="s">
        <v>31</v>
      </c>
      <c r="AE2715">
        <v>0</v>
      </c>
      <c r="AF2715" t="s">
        <v>31</v>
      </c>
      <c r="AG2715">
        <v>0</v>
      </c>
      <c r="AH2715" t="s">
        <v>31</v>
      </c>
      <c r="AI2715">
        <v>0</v>
      </c>
      <c r="AJ2715" t="s">
        <v>31</v>
      </c>
      <c r="AK2715">
        <v>0</v>
      </c>
      <c r="AL2715" t="s">
        <v>31</v>
      </c>
      <c r="AM2715">
        <v>0</v>
      </c>
      <c r="AN2715" t="s">
        <v>31</v>
      </c>
      <c r="AO2715">
        <v>0</v>
      </c>
      <c r="AP2715" t="s">
        <v>31</v>
      </c>
      <c r="AQ2715">
        <v>0</v>
      </c>
    </row>
    <row r="2716" spans="1:43" x14ac:dyDescent="0.2">
      <c r="A2716" t="s">
        <v>381</v>
      </c>
      <c r="B2716" s="3">
        <v>44312</v>
      </c>
      <c r="C2716">
        <v>72</v>
      </c>
      <c r="D2716" t="s">
        <v>402</v>
      </c>
      <c r="E2716" t="s">
        <v>83</v>
      </c>
      <c r="F2716" s="9" t="s">
        <v>87</v>
      </c>
      <c r="G2716" t="s">
        <v>26</v>
      </c>
      <c r="H2716" t="s">
        <v>85</v>
      </c>
      <c r="I2716" t="s">
        <v>86</v>
      </c>
      <c r="J2716" t="s">
        <v>53</v>
      </c>
      <c r="K2716" t="s">
        <v>54</v>
      </c>
      <c r="L2716" t="s">
        <v>53</v>
      </c>
      <c r="M2716" t="s">
        <v>54</v>
      </c>
      <c r="N2716" t="s">
        <v>85</v>
      </c>
      <c r="O2716" t="s">
        <v>86</v>
      </c>
      <c r="P2716" t="s">
        <v>53</v>
      </c>
      <c r="Q2716" t="s">
        <v>54</v>
      </c>
      <c r="R2716" s="1">
        <v>44312.41609953704</v>
      </c>
      <c r="S2716" s="1">
        <v>44312.41609953704</v>
      </c>
      <c r="T2716">
        <v>0</v>
      </c>
      <c r="U2716">
        <v>1</v>
      </c>
      <c r="V2716" s="2">
        <v>0</v>
      </c>
      <c r="W2716">
        <v>0</v>
      </c>
      <c r="X2716" t="s">
        <v>44</v>
      </c>
      <c r="Y2716">
        <v>0</v>
      </c>
      <c r="Z2716" t="s">
        <v>31</v>
      </c>
      <c r="AA2716">
        <v>0</v>
      </c>
      <c r="AB2716" t="s">
        <v>31</v>
      </c>
      <c r="AC2716">
        <v>0</v>
      </c>
      <c r="AD2716" t="s">
        <v>31</v>
      </c>
      <c r="AE2716">
        <v>0</v>
      </c>
      <c r="AF2716" t="s">
        <v>31</v>
      </c>
      <c r="AG2716">
        <v>0</v>
      </c>
      <c r="AH2716" t="s">
        <v>31</v>
      </c>
      <c r="AI2716">
        <v>0</v>
      </c>
      <c r="AJ2716" t="s">
        <v>31</v>
      </c>
      <c r="AK2716">
        <v>0</v>
      </c>
      <c r="AL2716" t="s">
        <v>31</v>
      </c>
      <c r="AM2716">
        <v>0</v>
      </c>
      <c r="AN2716" t="s">
        <v>31</v>
      </c>
      <c r="AO2716">
        <v>0</v>
      </c>
      <c r="AP2716" t="s">
        <v>31</v>
      </c>
      <c r="AQ2716">
        <v>0</v>
      </c>
    </row>
    <row r="2717" spans="1:43" x14ac:dyDescent="0.2">
      <c r="A2717" t="s">
        <v>381</v>
      </c>
      <c r="B2717" s="3">
        <v>44313</v>
      </c>
      <c r="C2717">
        <v>74</v>
      </c>
      <c r="D2717" t="s">
        <v>383</v>
      </c>
      <c r="E2717" t="s">
        <v>83</v>
      </c>
      <c r="F2717" s="9" t="s">
        <v>87</v>
      </c>
      <c r="G2717" t="s">
        <v>26</v>
      </c>
      <c r="H2717" t="s">
        <v>85</v>
      </c>
      <c r="I2717" t="s">
        <v>86</v>
      </c>
      <c r="J2717" t="s">
        <v>53</v>
      </c>
      <c r="K2717" t="s">
        <v>54</v>
      </c>
      <c r="L2717" t="s">
        <v>53</v>
      </c>
      <c r="M2717" t="s">
        <v>54</v>
      </c>
      <c r="N2717" t="s">
        <v>85</v>
      </c>
      <c r="O2717" t="s">
        <v>86</v>
      </c>
      <c r="P2717" t="s">
        <v>53</v>
      </c>
      <c r="Q2717" t="s">
        <v>54</v>
      </c>
      <c r="R2717" s="1">
        <v>44313.405740740738</v>
      </c>
      <c r="S2717" s="1">
        <v>44313.405740740738</v>
      </c>
      <c r="T2717">
        <v>0</v>
      </c>
      <c r="U2717">
        <v>1</v>
      </c>
      <c r="V2717" s="2">
        <v>0</v>
      </c>
      <c r="W2717">
        <v>0</v>
      </c>
      <c r="X2717" t="s">
        <v>44</v>
      </c>
      <c r="Y2717">
        <v>0</v>
      </c>
      <c r="Z2717" t="s">
        <v>31</v>
      </c>
      <c r="AA2717">
        <v>0</v>
      </c>
      <c r="AB2717" t="s">
        <v>31</v>
      </c>
      <c r="AC2717">
        <v>0</v>
      </c>
      <c r="AD2717" t="s">
        <v>31</v>
      </c>
      <c r="AE2717">
        <v>0</v>
      </c>
      <c r="AF2717" t="s">
        <v>31</v>
      </c>
      <c r="AG2717">
        <v>0</v>
      </c>
      <c r="AH2717" t="s">
        <v>31</v>
      </c>
      <c r="AI2717">
        <v>0</v>
      </c>
      <c r="AJ2717" t="s">
        <v>31</v>
      </c>
      <c r="AK2717">
        <v>0</v>
      </c>
      <c r="AL2717" t="s">
        <v>31</v>
      </c>
      <c r="AM2717">
        <v>0</v>
      </c>
      <c r="AN2717" t="s">
        <v>31</v>
      </c>
      <c r="AO2717">
        <v>0</v>
      </c>
      <c r="AP2717" t="s">
        <v>31</v>
      </c>
      <c r="AQ2717">
        <v>0</v>
      </c>
    </row>
    <row r="2718" spans="1:43" x14ac:dyDescent="0.2">
      <c r="A2718" t="s">
        <v>381</v>
      </c>
      <c r="B2718" s="3">
        <v>44313</v>
      </c>
      <c r="C2718">
        <v>76</v>
      </c>
      <c r="D2718" t="s">
        <v>385</v>
      </c>
      <c r="E2718" t="s">
        <v>83</v>
      </c>
      <c r="F2718" s="9" t="s">
        <v>87</v>
      </c>
      <c r="G2718" t="s">
        <v>26</v>
      </c>
      <c r="H2718" t="s">
        <v>85</v>
      </c>
      <c r="I2718" t="s">
        <v>86</v>
      </c>
      <c r="J2718" t="s">
        <v>53</v>
      </c>
      <c r="K2718" t="s">
        <v>54</v>
      </c>
      <c r="L2718" t="s">
        <v>53</v>
      </c>
      <c r="M2718" t="s">
        <v>54</v>
      </c>
      <c r="N2718" t="s">
        <v>85</v>
      </c>
      <c r="O2718" t="s">
        <v>86</v>
      </c>
      <c r="P2718" t="s">
        <v>53</v>
      </c>
      <c r="Q2718" t="s">
        <v>54</v>
      </c>
      <c r="R2718" s="1">
        <v>44313.562037037038</v>
      </c>
      <c r="S2718" s="1">
        <v>44313.562210648146</v>
      </c>
      <c r="T2718">
        <v>0</v>
      </c>
      <c r="U2718">
        <v>4</v>
      </c>
      <c r="V2718" s="2">
        <v>0</v>
      </c>
      <c r="W2718">
        <v>0</v>
      </c>
      <c r="X2718" t="s">
        <v>44</v>
      </c>
      <c r="Y2718">
        <v>0</v>
      </c>
      <c r="Z2718" t="s">
        <v>44</v>
      </c>
      <c r="AA2718">
        <v>0</v>
      </c>
      <c r="AB2718" t="s">
        <v>44</v>
      </c>
      <c r="AC2718">
        <v>0</v>
      </c>
      <c r="AD2718" t="s">
        <v>44</v>
      </c>
      <c r="AE2718">
        <v>0</v>
      </c>
      <c r="AF2718" t="s">
        <v>31</v>
      </c>
      <c r="AG2718">
        <v>0</v>
      </c>
      <c r="AH2718" t="s">
        <v>31</v>
      </c>
      <c r="AI2718">
        <v>0</v>
      </c>
      <c r="AJ2718" t="s">
        <v>31</v>
      </c>
      <c r="AK2718">
        <v>0</v>
      </c>
      <c r="AL2718" t="s">
        <v>31</v>
      </c>
      <c r="AM2718">
        <v>0</v>
      </c>
      <c r="AN2718" t="s">
        <v>31</v>
      </c>
      <c r="AO2718">
        <v>0</v>
      </c>
      <c r="AP2718" t="s">
        <v>31</v>
      </c>
      <c r="AQ2718">
        <v>0</v>
      </c>
    </row>
    <row r="2719" spans="1:43" x14ac:dyDescent="0.2">
      <c r="A2719" t="s">
        <v>381</v>
      </c>
      <c r="B2719" s="3">
        <v>44314</v>
      </c>
      <c r="C2719">
        <v>77</v>
      </c>
      <c r="D2719" t="s">
        <v>403</v>
      </c>
      <c r="E2719" t="s">
        <v>83</v>
      </c>
      <c r="F2719" s="9" t="s">
        <v>87</v>
      </c>
      <c r="G2719" t="s">
        <v>26</v>
      </c>
      <c r="H2719" t="s">
        <v>85</v>
      </c>
      <c r="I2719" t="s">
        <v>86</v>
      </c>
      <c r="J2719" t="s">
        <v>53</v>
      </c>
      <c r="K2719" t="s">
        <v>54</v>
      </c>
      <c r="L2719" t="s">
        <v>53</v>
      </c>
      <c r="M2719" t="s">
        <v>54</v>
      </c>
      <c r="N2719" t="s">
        <v>85</v>
      </c>
      <c r="O2719" t="s">
        <v>86</v>
      </c>
      <c r="P2719" t="s">
        <v>53</v>
      </c>
      <c r="Q2719" t="s">
        <v>54</v>
      </c>
      <c r="R2719" s="1">
        <v>44314.409641203703</v>
      </c>
      <c r="S2719" s="1">
        <v>44314.409641203703</v>
      </c>
      <c r="T2719">
        <v>0</v>
      </c>
      <c r="U2719">
        <v>1</v>
      </c>
      <c r="V2719" s="2">
        <v>0</v>
      </c>
      <c r="W2719">
        <v>0</v>
      </c>
      <c r="X2719" t="s">
        <v>44</v>
      </c>
      <c r="Y2719">
        <v>0</v>
      </c>
      <c r="Z2719" t="s">
        <v>31</v>
      </c>
      <c r="AA2719">
        <v>0</v>
      </c>
      <c r="AB2719" t="s">
        <v>31</v>
      </c>
      <c r="AC2719">
        <v>0</v>
      </c>
      <c r="AD2719" t="s">
        <v>31</v>
      </c>
      <c r="AE2719">
        <v>0</v>
      </c>
      <c r="AF2719" t="s">
        <v>31</v>
      </c>
      <c r="AG2719">
        <v>0</v>
      </c>
      <c r="AH2719" t="s">
        <v>31</v>
      </c>
      <c r="AI2719">
        <v>0</v>
      </c>
      <c r="AJ2719" t="s">
        <v>31</v>
      </c>
      <c r="AK2719">
        <v>0</v>
      </c>
      <c r="AL2719" t="s">
        <v>31</v>
      </c>
      <c r="AM2719">
        <v>0</v>
      </c>
      <c r="AN2719" t="s">
        <v>31</v>
      </c>
      <c r="AO2719">
        <v>0</v>
      </c>
      <c r="AP2719" t="s">
        <v>31</v>
      </c>
      <c r="AQ2719">
        <v>0</v>
      </c>
    </row>
    <row r="2720" spans="1:43" x14ac:dyDescent="0.2">
      <c r="A2720" t="s">
        <v>381</v>
      </c>
      <c r="B2720" s="3">
        <v>44314</v>
      </c>
      <c r="C2720">
        <v>78</v>
      </c>
      <c r="D2720" t="s">
        <v>387</v>
      </c>
      <c r="E2720" t="s">
        <v>83</v>
      </c>
      <c r="F2720" s="9" t="s">
        <v>87</v>
      </c>
      <c r="G2720" t="s">
        <v>26</v>
      </c>
      <c r="H2720" t="s">
        <v>85</v>
      </c>
      <c r="I2720" t="s">
        <v>86</v>
      </c>
      <c r="J2720" t="s">
        <v>53</v>
      </c>
      <c r="K2720" t="s">
        <v>54</v>
      </c>
      <c r="L2720" t="s">
        <v>53</v>
      </c>
      <c r="M2720" t="s">
        <v>54</v>
      </c>
      <c r="N2720" t="s">
        <v>85</v>
      </c>
      <c r="O2720" t="s">
        <v>86</v>
      </c>
      <c r="P2720" t="s">
        <v>53</v>
      </c>
      <c r="Q2720" t="s">
        <v>54</v>
      </c>
      <c r="R2720" s="1">
        <v>44314.590856481482</v>
      </c>
      <c r="S2720" s="1">
        <v>44314.590856481482</v>
      </c>
      <c r="T2720">
        <v>0</v>
      </c>
      <c r="U2720">
        <v>1</v>
      </c>
      <c r="V2720" s="2">
        <v>0</v>
      </c>
      <c r="W2720">
        <v>0</v>
      </c>
      <c r="X2720" t="s">
        <v>44</v>
      </c>
      <c r="Y2720">
        <v>0</v>
      </c>
      <c r="Z2720" t="s">
        <v>31</v>
      </c>
      <c r="AA2720">
        <v>0</v>
      </c>
      <c r="AB2720" t="s">
        <v>31</v>
      </c>
      <c r="AC2720">
        <v>0</v>
      </c>
      <c r="AD2720" t="s">
        <v>31</v>
      </c>
      <c r="AE2720">
        <v>0</v>
      </c>
      <c r="AF2720" t="s">
        <v>31</v>
      </c>
      <c r="AG2720">
        <v>0</v>
      </c>
      <c r="AH2720" t="s">
        <v>31</v>
      </c>
      <c r="AI2720">
        <v>0</v>
      </c>
      <c r="AJ2720" t="s">
        <v>31</v>
      </c>
      <c r="AK2720">
        <v>0</v>
      </c>
      <c r="AL2720" t="s">
        <v>31</v>
      </c>
      <c r="AM2720">
        <v>0</v>
      </c>
      <c r="AN2720" t="s">
        <v>31</v>
      </c>
      <c r="AO2720">
        <v>0</v>
      </c>
      <c r="AP2720" t="s">
        <v>31</v>
      </c>
      <c r="AQ2720">
        <v>0</v>
      </c>
    </row>
    <row r="2721" spans="1:43" x14ac:dyDescent="0.2">
      <c r="A2721" t="s">
        <v>381</v>
      </c>
      <c r="B2721" s="3">
        <v>44315</v>
      </c>
      <c r="C2721">
        <v>79</v>
      </c>
      <c r="D2721" t="s">
        <v>383</v>
      </c>
      <c r="E2721" t="s">
        <v>83</v>
      </c>
      <c r="F2721" s="9" t="s">
        <v>87</v>
      </c>
      <c r="G2721" t="s">
        <v>26</v>
      </c>
      <c r="H2721" t="s">
        <v>85</v>
      </c>
      <c r="I2721" t="s">
        <v>86</v>
      </c>
      <c r="J2721" t="s">
        <v>53</v>
      </c>
      <c r="K2721" t="s">
        <v>54</v>
      </c>
      <c r="L2721" t="s">
        <v>53</v>
      </c>
      <c r="M2721" t="s">
        <v>54</v>
      </c>
      <c r="N2721" t="s">
        <v>85</v>
      </c>
      <c r="O2721" t="s">
        <v>86</v>
      </c>
      <c r="P2721" t="s">
        <v>53</v>
      </c>
      <c r="Q2721" t="s">
        <v>54</v>
      </c>
      <c r="R2721" s="1">
        <v>44315.405694444446</v>
      </c>
      <c r="S2721" s="1">
        <v>44315.405706018515</v>
      </c>
      <c r="T2721">
        <v>0</v>
      </c>
      <c r="U2721">
        <v>1</v>
      </c>
      <c r="V2721" s="2">
        <v>0</v>
      </c>
      <c r="W2721">
        <v>0</v>
      </c>
      <c r="X2721" t="s">
        <v>44</v>
      </c>
      <c r="Y2721">
        <v>0</v>
      </c>
      <c r="Z2721" t="s">
        <v>31</v>
      </c>
      <c r="AA2721">
        <v>0</v>
      </c>
      <c r="AB2721" t="s">
        <v>31</v>
      </c>
      <c r="AC2721">
        <v>0</v>
      </c>
      <c r="AD2721" t="s">
        <v>31</v>
      </c>
      <c r="AE2721">
        <v>0</v>
      </c>
      <c r="AF2721" t="s">
        <v>31</v>
      </c>
      <c r="AG2721">
        <v>0</v>
      </c>
      <c r="AH2721" t="s">
        <v>31</v>
      </c>
      <c r="AI2721">
        <v>0</v>
      </c>
      <c r="AJ2721" t="s">
        <v>31</v>
      </c>
      <c r="AK2721">
        <v>0</v>
      </c>
      <c r="AL2721" t="s">
        <v>31</v>
      </c>
      <c r="AM2721">
        <v>0</v>
      </c>
      <c r="AN2721" t="s">
        <v>31</v>
      </c>
      <c r="AO2721">
        <v>0</v>
      </c>
      <c r="AP2721" t="s">
        <v>31</v>
      </c>
      <c r="AQ2721">
        <v>0</v>
      </c>
    </row>
    <row r="2722" spans="1:43" x14ac:dyDescent="0.2">
      <c r="A2722" t="s">
        <v>381</v>
      </c>
      <c r="B2722" s="3">
        <v>44315</v>
      </c>
      <c r="C2722">
        <v>81</v>
      </c>
      <c r="D2722" t="s">
        <v>385</v>
      </c>
      <c r="E2722" t="s">
        <v>83</v>
      </c>
      <c r="F2722" s="9" t="s">
        <v>87</v>
      </c>
      <c r="G2722" t="s">
        <v>26</v>
      </c>
      <c r="H2722" t="s">
        <v>85</v>
      </c>
      <c r="I2722" t="s">
        <v>86</v>
      </c>
      <c r="J2722" t="s">
        <v>53</v>
      </c>
      <c r="K2722" t="s">
        <v>54</v>
      </c>
      <c r="L2722" t="s">
        <v>53</v>
      </c>
      <c r="M2722" t="s">
        <v>54</v>
      </c>
      <c r="N2722" t="s">
        <v>85</v>
      </c>
      <c r="O2722" t="s">
        <v>86</v>
      </c>
      <c r="P2722" t="s">
        <v>53</v>
      </c>
      <c r="Q2722" t="s">
        <v>54</v>
      </c>
      <c r="R2722" s="1">
        <v>44315.557962962965</v>
      </c>
      <c r="S2722" s="1">
        <v>44315.558113425926</v>
      </c>
      <c r="T2722">
        <v>0</v>
      </c>
      <c r="U2722">
        <v>2</v>
      </c>
      <c r="V2722" s="2">
        <v>0</v>
      </c>
      <c r="W2722">
        <v>0</v>
      </c>
      <c r="X2722" t="s">
        <v>44</v>
      </c>
      <c r="Y2722">
        <v>0</v>
      </c>
      <c r="Z2722" t="s">
        <v>44</v>
      </c>
      <c r="AA2722">
        <v>0</v>
      </c>
      <c r="AB2722" t="s">
        <v>31</v>
      </c>
      <c r="AC2722">
        <v>0</v>
      </c>
      <c r="AD2722" t="s">
        <v>31</v>
      </c>
      <c r="AE2722">
        <v>0</v>
      </c>
      <c r="AF2722" t="s">
        <v>31</v>
      </c>
      <c r="AG2722">
        <v>0</v>
      </c>
      <c r="AH2722" t="s">
        <v>31</v>
      </c>
      <c r="AI2722">
        <v>0</v>
      </c>
      <c r="AJ2722" t="s">
        <v>31</v>
      </c>
      <c r="AK2722">
        <v>0</v>
      </c>
      <c r="AL2722" t="s">
        <v>31</v>
      </c>
      <c r="AM2722">
        <v>0</v>
      </c>
      <c r="AN2722" t="s">
        <v>31</v>
      </c>
      <c r="AO2722">
        <v>0</v>
      </c>
      <c r="AP2722" t="s">
        <v>31</v>
      </c>
      <c r="AQ2722">
        <v>0</v>
      </c>
    </row>
    <row r="2723" spans="1:43" x14ac:dyDescent="0.2">
      <c r="A2723" t="s">
        <v>381</v>
      </c>
      <c r="B2723" s="3">
        <v>44316</v>
      </c>
      <c r="C2723">
        <v>82</v>
      </c>
      <c r="D2723" t="s">
        <v>389</v>
      </c>
      <c r="E2723" t="s">
        <v>83</v>
      </c>
      <c r="F2723" s="9" t="s">
        <v>87</v>
      </c>
      <c r="G2723" t="s">
        <v>26</v>
      </c>
      <c r="H2723" t="s">
        <v>85</v>
      </c>
      <c r="I2723" t="s">
        <v>86</v>
      </c>
      <c r="J2723" t="s">
        <v>53</v>
      </c>
      <c r="K2723" t="s">
        <v>54</v>
      </c>
      <c r="L2723" t="s">
        <v>53</v>
      </c>
      <c r="M2723" t="s">
        <v>54</v>
      </c>
      <c r="N2723" t="s">
        <v>85</v>
      </c>
      <c r="O2723" t="s">
        <v>86</v>
      </c>
      <c r="P2723" t="s">
        <v>53</v>
      </c>
      <c r="Q2723" t="s">
        <v>54</v>
      </c>
      <c r="R2723" s="1">
        <v>44316.422233796293</v>
      </c>
      <c r="S2723" s="1">
        <v>44316.422233796293</v>
      </c>
      <c r="T2723">
        <v>0</v>
      </c>
      <c r="U2723">
        <v>1</v>
      </c>
      <c r="V2723" s="2">
        <v>0</v>
      </c>
      <c r="W2723">
        <v>0</v>
      </c>
      <c r="X2723" t="s">
        <v>44</v>
      </c>
      <c r="Y2723">
        <v>0</v>
      </c>
      <c r="Z2723" t="s">
        <v>31</v>
      </c>
      <c r="AA2723">
        <v>0</v>
      </c>
      <c r="AB2723" t="s">
        <v>31</v>
      </c>
      <c r="AC2723">
        <v>0</v>
      </c>
      <c r="AD2723" t="s">
        <v>31</v>
      </c>
      <c r="AE2723">
        <v>0</v>
      </c>
      <c r="AF2723" t="s">
        <v>31</v>
      </c>
      <c r="AG2723">
        <v>0</v>
      </c>
      <c r="AH2723" t="s">
        <v>31</v>
      </c>
      <c r="AI2723">
        <v>0</v>
      </c>
      <c r="AJ2723" t="s">
        <v>31</v>
      </c>
      <c r="AK2723">
        <v>0</v>
      </c>
      <c r="AL2723" t="s">
        <v>31</v>
      </c>
      <c r="AM2723">
        <v>0</v>
      </c>
      <c r="AN2723" t="s">
        <v>31</v>
      </c>
      <c r="AO2723">
        <v>0</v>
      </c>
      <c r="AP2723" t="s">
        <v>31</v>
      </c>
      <c r="AQ2723">
        <v>0</v>
      </c>
    </row>
    <row r="2724" spans="1:43" x14ac:dyDescent="0.2">
      <c r="A2724" t="s">
        <v>381</v>
      </c>
      <c r="B2724" s="3">
        <v>44316</v>
      </c>
      <c r="C2724">
        <v>83</v>
      </c>
      <c r="D2724" t="s">
        <v>387</v>
      </c>
      <c r="E2724" t="s">
        <v>83</v>
      </c>
      <c r="F2724" s="9" t="s">
        <v>87</v>
      </c>
      <c r="G2724" t="s">
        <v>26</v>
      </c>
      <c r="H2724" t="s">
        <v>85</v>
      </c>
      <c r="I2724" t="s">
        <v>86</v>
      </c>
      <c r="J2724" t="s">
        <v>53</v>
      </c>
      <c r="K2724" t="s">
        <v>54</v>
      </c>
      <c r="L2724" t="s">
        <v>53</v>
      </c>
      <c r="M2724" t="s">
        <v>54</v>
      </c>
      <c r="N2724" t="s">
        <v>85</v>
      </c>
      <c r="O2724" t="s">
        <v>86</v>
      </c>
      <c r="P2724" t="s">
        <v>53</v>
      </c>
      <c r="Q2724" t="s">
        <v>54</v>
      </c>
      <c r="R2724" s="1">
        <v>44316.538854166669</v>
      </c>
      <c r="S2724" s="1">
        <v>44316.538854166669</v>
      </c>
      <c r="T2724">
        <v>0</v>
      </c>
      <c r="U2724">
        <v>1</v>
      </c>
      <c r="V2724" s="2">
        <v>0</v>
      </c>
      <c r="W2724">
        <v>0</v>
      </c>
      <c r="X2724" t="s">
        <v>44</v>
      </c>
      <c r="Y2724">
        <v>0</v>
      </c>
      <c r="Z2724" t="s">
        <v>31</v>
      </c>
      <c r="AA2724">
        <v>0</v>
      </c>
      <c r="AB2724" t="s">
        <v>31</v>
      </c>
      <c r="AC2724">
        <v>0</v>
      </c>
      <c r="AD2724" t="s">
        <v>31</v>
      </c>
      <c r="AE2724">
        <v>0</v>
      </c>
      <c r="AF2724" t="s">
        <v>31</v>
      </c>
      <c r="AG2724">
        <v>0</v>
      </c>
      <c r="AH2724" t="s">
        <v>31</v>
      </c>
      <c r="AI2724">
        <v>0</v>
      </c>
      <c r="AJ2724" t="s">
        <v>31</v>
      </c>
      <c r="AK2724">
        <v>0</v>
      </c>
      <c r="AL2724" t="s">
        <v>31</v>
      </c>
      <c r="AM2724">
        <v>0</v>
      </c>
      <c r="AN2724" t="s">
        <v>31</v>
      </c>
      <c r="AO2724">
        <v>0</v>
      </c>
      <c r="AP2724" t="s">
        <v>31</v>
      </c>
      <c r="AQ2724">
        <v>0</v>
      </c>
    </row>
    <row r="2725" spans="1:43" x14ac:dyDescent="0.2">
      <c r="A2725" t="s">
        <v>381</v>
      </c>
      <c r="B2725" s="3">
        <v>44319</v>
      </c>
      <c r="C2725">
        <v>84</v>
      </c>
      <c r="D2725" t="s">
        <v>390</v>
      </c>
      <c r="E2725" t="s">
        <v>83</v>
      </c>
      <c r="F2725" s="9" t="s">
        <v>87</v>
      </c>
      <c r="G2725" t="s">
        <v>26</v>
      </c>
      <c r="H2725" t="s">
        <v>85</v>
      </c>
      <c r="I2725" t="s">
        <v>86</v>
      </c>
      <c r="J2725" t="s">
        <v>53</v>
      </c>
      <c r="K2725" t="s">
        <v>54</v>
      </c>
      <c r="L2725" t="s">
        <v>53</v>
      </c>
      <c r="M2725" t="s">
        <v>54</v>
      </c>
      <c r="N2725" t="s">
        <v>85</v>
      </c>
      <c r="O2725" t="s">
        <v>86</v>
      </c>
      <c r="P2725" t="s">
        <v>53</v>
      </c>
      <c r="Q2725" t="s">
        <v>54</v>
      </c>
      <c r="R2725" s="1">
        <v>44319.423807870371</v>
      </c>
      <c r="S2725" s="1">
        <v>44319.423807870371</v>
      </c>
      <c r="T2725">
        <v>0</v>
      </c>
      <c r="U2725">
        <v>1</v>
      </c>
      <c r="V2725" s="2">
        <v>0</v>
      </c>
      <c r="W2725">
        <v>0</v>
      </c>
      <c r="X2725" t="s">
        <v>44</v>
      </c>
      <c r="Y2725">
        <v>0</v>
      </c>
      <c r="Z2725" t="s">
        <v>31</v>
      </c>
      <c r="AA2725">
        <v>0</v>
      </c>
      <c r="AB2725" t="s">
        <v>31</v>
      </c>
      <c r="AC2725">
        <v>0</v>
      </c>
      <c r="AD2725" t="s">
        <v>31</v>
      </c>
      <c r="AE2725">
        <v>0</v>
      </c>
      <c r="AF2725" t="s">
        <v>31</v>
      </c>
      <c r="AG2725">
        <v>0</v>
      </c>
      <c r="AH2725" t="s">
        <v>31</v>
      </c>
      <c r="AI2725">
        <v>0</v>
      </c>
      <c r="AJ2725" t="s">
        <v>31</v>
      </c>
      <c r="AK2725">
        <v>0</v>
      </c>
      <c r="AL2725" t="s">
        <v>31</v>
      </c>
      <c r="AM2725">
        <v>0</v>
      </c>
      <c r="AN2725" t="s">
        <v>31</v>
      </c>
      <c r="AO2725">
        <v>0</v>
      </c>
      <c r="AP2725" t="s">
        <v>31</v>
      </c>
      <c r="AQ2725">
        <v>0</v>
      </c>
    </row>
    <row r="2726" spans="1:43" x14ac:dyDescent="0.2">
      <c r="A2726" t="s">
        <v>381</v>
      </c>
      <c r="B2726" s="3">
        <v>44319</v>
      </c>
      <c r="C2726">
        <v>85</v>
      </c>
      <c r="D2726" t="s">
        <v>387</v>
      </c>
      <c r="E2726" t="s">
        <v>83</v>
      </c>
      <c r="F2726" s="9" t="s">
        <v>87</v>
      </c>
      <c r="G2726" t="s">
        <v>26</v>
      </c>
      <c r="H2726" t="s">
        <v>85</v>
      </c>
      <c r="I2726" t="s">
        <v>86</v>
      </c>
      <c r="J2726" t="s">
        <v>53</v>
      </c>
      <c r="K2726" t="s">
        <v>54</v>
      </c>
      <c r="L2726" t="s">
        <v>53</v>
      </c>
      <c r="M2726" t="s">
        <v>54</v>
      </c>
      <c r="N2726" t="s">
        <v>85</v>
      </c>
      <c r="O2726" t="s">
        <v>86</v>
      </c>
      <c r="P2726" t="s">
        <v>53</v>
      </c>
      <c r="Q2726" t="s">
        <v>54</v>
      </c>
      <c r="R2726" s="1">
        <v>44319.644212962965</v>
      </c>
      <c r="S2726" s="1">
        <v>44319.644212962965</v>
      </c>
      <c r="T2726">
        <v>0</v>
      </c>
      <c r="U2726">
        <v>1</v>
      </c>
      <c r="V2726" s="2">
        <v>0</v>
      </c>
      <c r="W2726">
        <v>0</v>
      </c>
      <c r="X2726" t="s">
        <v>44</v>
      </c>
      <c r="Y2726">
        <v>0</v>
      </c>
      <c r="Z2726" t="s">
        <v>31</v>
      </c>
      <c r="AA2726">
        <v>0</v>
      </c>
      <c r="AB2726" t="s">
        <v>31</v>
      </c>
      <c r="AC2726">
        <v>0</v>
      </c>
      <c r="AD2726" t="s">
        <v>31</v>
      </c>
      <c r="AE2726">
        <v>0</v>
      </c>
      <c r="AF2726" t="s">
        <v>31</v>
      </c>
      <c r="AG2726">
        <v>0</v>
      </c>
      <c r="AH2726" t="s">
        <v>31</v>
      </c>
      <c r="AI2726">
        <v>0</v>
      </c>
      <c r="AJ2726" t="s">
        <v>31</v>
      </c>
      <c r="AK2726">
        <v>0</v>
      </c>
      <c r="AL2726" t="s">
        <v>31</v>
      </c>
      <c r="AM2726">
        <v>0</v>
      </c>
      <c r="AN2726" t="s">
        <v>31</v>
      </c>
      <c r="AO2726">
        <v>0</v>
      </c>
      <c r="AP2726" t="s">
        <v>31</v>
      </c>
      <c r="AQ2726">
        <v>0</v>
      </c>
    </row>
    <row r="2727" spans="1:43" x14ac:dyDescent="0.2">
      <c r="A2727" t="s">
        <v>381</v>
      </c>
      <c r="B2727" s="3">
        <v>44320</v>
      </c>
      <c r="C2727">
        <v>86</v>
      </c>
      <c r="D2727" t="s">
        <v>412</v>
      </c>
      <c r="E2727" t="s">
        <v>83</v>
      </c>
      <c r="F2727" s="9" t="s">
        <v>87</v>
      </c>
      <c r="G2727" t="s">
        <v>26</v>
      </c>
      <c r="H2727" t="s">
        <v>85</v>
      </c>
      <c r="I2727" t="s">
        <v>86</v>
      </c>
      <c r="J2727" t="s">
        <v>53</v>
      </c>
      <c r="K2727" t="s">
        <v>54</v>
      </c>
      <c r="L2727" t="s">
        <v>53</v>
      </c>
      <c r="M2727" t="s">
        <v>54</v>
      </c>
      <c r="N2727" t="s">
        <v>85</v>
      </c>
      <c r="O2727" t="s">
        <v>86</v>
      </c>
      <c r="P2727" t="s">
        <v>53</v>
      </c>
      <c r="Q2727" t="s">
        <v>54</v>
      </c>
      <c r="R2727" s="1">
        <v>44320.462835648148</v>
      </c>
      <c r="S2727" s="1">
        <v>44320.462835648148</v>
      </c>
      <c r="T2727">
        <v>0</v>
      </c>
      <c r="U2727">
        <v>1</v>
      </c>
      <c r="V2727" s="2">
        <v>0</v>
      </c>
      <c r="W2727">
        <v>0</v>
      </c>
      <c r="X2727" t="s">
        <v>44</v>
      </c>
      <c r="Y2727">
        <v>0</v>
      </c>
      <c r="Z2727" t="s">
        <v>31</v>
      </c>
      <c r="AA2727">
        <v>0</v>
      </c>
      <c r="AB2727" t="s">
        <v>31</v>
      </c>
      <c r="AC2727">
        <v>0</v>
      </c>
      <c r="AD2727" t="s">
        <v>31</v>
      </c>
      <c r="AE2727">
        <v>0</v>
      </c>
      <c r="AF2727" t="s">
        <v>31</v>
      </c>
      <c r="AG2727">
        <v>0</v>
      </c>
      <c r="AH2727" t="s">
        <v>31</v>
      </c>
      <c r="AI2727">
        <v>0</v>
      </c>
      <c r="AJ2727" t="s">
        <v>31</v>
      </c>
      <c r="AK2727">
        <v>0</v>
      </c>
      <c r="AL2727" t="s">
        <v>31</v>
      </c>
      <c r="AM2727">
        <v>0</v>
      </c>
      <c r="AN2727" t="s">
        <v>31</v>
      </c>
      <c r="AO2727">
        <v>0</v>
      </c>
      <c r="AP2727" t="s">
        <v>31</v>
      </c>
      <c r="AQ2727">
        <v>0</v>
      </c>
    </row>
    <row r="2728" spans="1:43" x14ac:dyDescent="0.2">
      <c r="A2728" t="s">
        <v>381</v>
      </c>
      <c r="B2728" s="3">
        <v>44320</v>
      </c>
      <c r="C2728">
        <v>87</v>
      </c>
      <c r="D2728" t="s">
        <v>385</v>
      </c>
      <c r="E2728" t="s">
        <v>83</v>
      </c>
      <c r="F2728" s="9" t="s">
        <v>87</v>
      </c>
      <c r="G2728" t="s">
        <v>26</v>
      </c>
      <c r="H2728" t="s">
        <v>85</v>
      </c>
      <c r="I2728" t="s">
        <v>86</v>
      </c>
      <c r="J2728" t="s">
        <v>53</v>
      </c>
      <c r="K2728" t="s">
        <v>54</v>
      </c>
      <c r="L2728" t="s">
        <v>53</v>
      </c>
      <c r="M2728" t="s">
        <v>54</v>
      </c>
      <c r="N2728" t="s">
        <v>85</v>
      </c>
      <c r="O2728" t="s">
        <v>86</v>
      </c>
      <c r="P2728" t="s">
        <v>53</v>
      </c>
      <c r="Q2728" t="s">
        <v>54</v>
      </c>
      <c r="R2728" s="1">
        <v>44320.552824074075</v>
      </c>
      <c r="S2728" s="1">
        <v>44320.638136574074</v>
      </c>
      <c r="T2728">
        <v>0</v>
      </c>
      <c r="U2728">
        <v>2</v>
      </c>
      <c r="V2728" s="2">
        <v>0</v>
      </c>
      <c r="W2728">
        <v>0</v>
      </c>
      <c r="X2728" t="s">
        <v>44</v>
      </c>
      <c r="Y2728">
        <v>0</v>
      </c>
      <c r="Z2728" t="s">
        <v>44</v>
      </c>
      <c r="AA2728">
        <v>0</v>
      </c>
      <c r="AB2728" t="s">
        <v>31</v>
      </c>
      <c r="AC2728">
        <v>0</v>
      </c>
      <c r="AD2728" t="s">
        <v>31</v>
      </c>
      <c r="AE2728">
        <v>0</v>
      </c>
      <c r="AF2728" t="s">
        <v>31</v>
      </c>
      <c r="AG2728">
        <v>0</v>
      </c>
      <c r="AH2728" t="s">
        <v>31</v>
      </c>
      <c r="AI2728">
        <v>0</v>
      </c>
      <c r="AJ2728" t="s">
        <v>31</v>
      </c>
      <c r="AK2728">
        <v>0</v>
      </c>
      <c r="AL2728" t="s">
        <v>31</v>
      </c>
      <c r="AM2728">
        <v>0</v>
      </c>
      <c r="AN2728" t="s">
        <v>31</v>
      </c>
      <c r="AO2728">
        <v>0</v>
      </c>
      <c r="AP2728" t="s">
        <v>31</v>
      </c>
      <c r="AQ2728">
        <v>0</v>
      </c>
    </row>
    <row r="2729" spans="1:43" x14ac:dyDescent="0.2">
      <c r="A2729" t="s">
        <v>381</v>
      </c>
      <c r="B2729" s="3">
        <v>44321</v>
      </c>
      <c r="C2729">
        <v>89</v>
      </c>
      <c r="D2729" t="s">
        <v>387</v>
      </c>
      <c r="E2729" t="s">
        <v>83</v>
      </c>
      <c r="F2729" s="9" t="s">
        <v>87</v>
      </c>
      <c r="G2729" t="s">
        <v>26</v>
      </c>
      <c r="H2729" t="s">
        <v>85</v>
      </c>
      <c r="I2729" t="s">
        <v>86</v>
      </c>
      <c r="J2729" t="s">
        <v>53</v>
      </c>
      <c r="K2729" t="s">
        <v>54</v>
      </c>
      <c r="L2729" t="s">
        <v>53</v>
      </c>
      <c r="M2729" t="s">
        <v>54</v>
      </c>
      <c r="N2729" t="s">
        <v>85</v>
      </c>
      <c r="O2729" t="s">
        <v>86</v>
      </c>
      <c r="P2729" t="s">
        <v>53</v>
      </c>
      <c r="Q2729" t="s">
        <v>54</v>
      </c>
      <c r="R2729" s="1">
        <v>44321.583865740744</v>
      </c>
      <c r="S2729" s="1">
        <v>44321.583865740744</v>
      </c>
      <c r="T2729">
        <v>0</v>
      </c>
      <c r="U2729">
        <v>1</v>
      </c>
      <c r="V2729" s="2">
        <v>0</v>
      </c>
      <c r="W2729">
        <v>0</v>
      </c>
      <c r="X2729" t="s">
        <v>44</v>
      </c>
      <c r="Y2729">
        <v>0</v>
      </c>
      <c r="Z2729" t="s">
        <v>31</v>
      </c>
      <c r="AA2729">
        <v>0</v>
      </c>
      <c r="AB2729" t="s">
        <v>31</v>
      </c>
      <c r="AC2729">
        <v>0</v>
      </c>
      <c r="AD2729" t="s">
        <v>31</v>
      </c>
      <c r="AE2729">
        <v>0</v>
      </c>
      <c r="AF2729" t="s">
        <v>31</v>
      </c>
      <c r="AG2729">
        <v>0</v>
      </c>
      <c r="AH2729" t="s">
        <v>31</v>
      </c>
      <c r="AI2729">
        <v>0</v>
      </c>
      <c r="AJ2729" t="s">
        <v>31</v>
      </c>
      <c r="AK2729">
        <v>0</v>
      </c>
      <c r="AL2729" t="s">
        <v>31</v>
      </c>
      <c r="AM2729">
        <v>0</v>
      </c>
      <c r="AN2729" t="s">
        <v>31</v>
      </c>
      <c r="AO2729">
        <v>0</v>
      </c>
      <c r="AP2729" t="s">
        <v>31</v>
      </c>
      <c r="AQ2729">
        <v>0</v>
      </c>
    </row>
    <row r="2730" spans="1:43" x14ac:dyDescent="0.2">
      <c r="A2730" t="s">
        <v>381</v>
      </c>
      <c r="B2730" s="3">
        <v>44326</v>
      </c>
      <c r="C2730">
        <v>92</v>
      </c>
      <c r="D2730" t="s">
        <v>390</v>
      </c>
      <c r="E2730" t="s">
        <v>83</v>
      </c>
      <c r="F2730" s="9" t="s">
        <v>87</v>
      </c>
      <c r="G2730" t="s">
        <v>26</v>
      </c>
      <c r="H2730" t="s">
        <v>85</v>
      </c>
      <c r="I2730" t="s">
        <v>86</v>
      </c>
      <c r="J2730" t="s">
        <v>53</v>
      </c>
      <c r="K2730" t="s">
        <v>54</v>
      </c>
      <c r="L2730" t="s">
        <v>53</v>
      </c>
      <c r="M2730" t="s">
        <v>54</v>
      </c>
      <c r="N2730" t="s">
        <v>85</v>
      </c>
      <c r="O2730" t="s">
        <v>86</v>
      </c>
      <c r="P2730" t="s">
        <v>53</v>
      </c>
      <c r="Q2730" t="s">
        <v>54</v>
      </c>
      <c r="R2730" s="1">
        <v>44326.461377314816</v>
      </c>
      <c r="S2730" s="1">
        <v>44326.461377314816</v>
      </c>
      <c r="T2730">
        <v>0</v>
      </c>
      <c r="U2730">
        <v>1</v>
      </c>
      <c r="V2730" s="2">
        <v>0</v>
      </c>
      <c r="W2730">
        <v>0</v>
      </c>
      <c r="X2730" t="s">
        <v>44</v>
      </c>
      <c r="Y2730">
        <v>0</v>
      </c>
      <c r="Z2730" t="s">
        <v>31</v>
      </c>
      <c r="AA2730">
        <v>0</v>
      </c>
      <c r="AB2730" t="s">
        <v>31</v>
      </c>
      <c r="AC2730">
        <v>0</v>
      </c>
      <c r="AD2730" t="s">
        <v>31</v>
      </c>
      <c r="AE2730">
        <v>0</v>
      </c>
      <c r="AF2730" t="s">
        <v>31</v>
      </c>
      <c r="AG2730">
        <v>0</v>
      </c>
      <c r="AH2730" t="s">
        <v>31</v>
      </c>
      <c r="AI2730">
        <v>0</v>
      </c>
      <c r="AJ2730" t="s">
        <v>31</v>
      </c>
      <c r="AK2730">
        <v>0</v>
      </c>
      <c r="AL2730" t="s">
        <v>31</v>
      </c>
      <c r="AM2730">
        <v>0</v>
      </c>
      <c r="AN2730" t="s">
        <v>31</v>
      </c>
      <c r="AO2730">
        <v>0</v>
      </c>
      <c r="AP2730" t="s">
        <v>31</v>
      </c>
      <c r="AQ2730">
        <v>0</v>
      </c>
    </row>
    <row r="2731" spans="1:43" x14ac:dyDescent="0.2">
      <c r="A2731" t="s">
        <v>381</v>
      </c>
      <c r="B2731" s="3">
        <v>44327</v>
      </c>
      <c r="C2731">
        <v>96</v>
      </c>
      <c r="D2731" t="s">
        <v>385</v>
      </c>
      <c r="E2731" t="s">
        <v>83</v>
      </c>
      <c r="F2731" s="9" t="s">
        <v>87</v>
      </c>
      <c r="G2731" t="s">
        <v>26</v>
      </c>
      <c r="H2731" t="s">
        <v>85</v>
      </c>
      <c r="I2731" t="s">
        <v>86</v>
      </c>
      <c r="J2731" t="s">
        <v>53</v>
      </c>
      <c r="K2731" t="s">
        <v>54</v>
      </c>
      <c r="L2731" t="s">
        <v>53</v>
      </c>
      <c r="M2731" t="s">
        <v>54</v>
      </c>
      <c r="N2731" t="s">
        <v>85</v>
      </c>
      <c r="O2731" t="s">
        <v>86</v>
      </c>
      <c r="P2731" t="s">
        <v>53</v>
      </c>
      <c r="Q2731" t="s">
        <v>54</v>
      </c>
      <c r="R2731" s="1">
        <v>44327.587037037039</v>
      </c>
      <c r="S2731" s="1">
        <v>44327.587037037039</v>
      </c>
      <c r="T2731">
        <v>0</v>
      </c>
      <c r="U2731">
        <v>1</v>
      </c>
      <c r="V2731" s="2">
        <v>0</v>
      </c>
      <c r="W2731">
        <v>0</v>
      </c>
      <c r="X2731" t="s">
        <v>44</v>
      </c>
      <c r="Y2731">
        <v>0</v>
      </c>
      <c r="Z2731" t="s">
        <v>31</v>
      </c>
      <c r="AA2731">
        <v>0</v>
      </c>
      <c r="AB2731" t="s">
        <v>31</v>
      </c>
      <c r="AC2731">
        <v>0</v>
      </c>
      <c r="AD2731" t="s">
        <v>31</v>
      </c>
      <c r="AE2731">
        <v>0</v>
      </c>
      <c r="AF2731" t="s">
        <v>31</v>
      </c>
      <c r="AG2731">
        <v>0</v>
      </c>
      <c r="AH2731" t="s">
        <v>31</v>
      </c>
      <c r="AI2731">
        <v>0</v>
      </c>
      <c r="AJ2731" t="s">
        <v>31</v>
      </c>
      <c r="AK2731">
        <v>0</v>
      </c>
      <c r="AL2731" t="s">
        <v>31</v>
      </c>
      <c r="AM2731">
        <v>0</v>
      </c>
      <c r="AN2731" t="s">
        <v>31</v>
      </c>
      <c r="AO2731">
        <v>0</v>
      </c>
      <c r="AP2731" t="s">
        <v>31</v>
      </c>
      <c r="AQ2731">
        <v>0</v>
      </c>
    </row>
    <row r="2732" spans="1:43" x14ac:dyDescent="0.2">
      <c r="A2732" t="s">
        <v>381</v>
      </c>
      <c r="B2732" s="3">
        <v>44328</v>
      </c>
      <c r="C2732">
        <v>97</v>
      </c>
      <c r="D2732" t="s">
        <v>387</v>
      </c>
      <c r="E2732" t="s">
        <v>83</v>
      </c>
      <c r="F2732" s="9" t="s">
        <v>87</v>
      </c>
      <c r="G2732" t="s">
        <v>26</v>
      </c>
      <c r="H2732" t="s">
        <v>85</v>
      </c>
      <c r="I2732" t="s">
        <v>86</v>
      </c>
      <c r="J2732" t="s">
        <v>53</v>
      </c>
      <c r="K2732" t="s">
        <v>54</v>
      </c>
      <c r="L2732" t="s">
        <v>53</v>
      </c>
      <c r="M2732" t="s">
        <v>54</v>
      </c>
      <c r="N2732" t="s">
        <v>85</v>
      </c>
      <c r="O2732" t="s">
        <v>86</v>
      </c>
      <c r="P2732" t="s">
        <v>53</v>
      </c>
      <c r="Q2732" t="s">
        <v>54</v>
      </c>
      <c r="R2732" s="1">
        <v>44328.646666666667</v>
      </c>
      <c r="S2732" s="1">
        <v>44328.646666666667</v>
      </c>
      <c r="T2732">
        <v>0</v>
      </c>
      <c r="U2732">
        <v>1</v>
      </c>
      <c r="V2732" s="2">
        <v>0</v>
      </c>
      <c r="W2732">
        <v>0</v>
      </c>
      <c r="X2732" t="s">
        <v>44</v>
      </c>
      <c r="Y2732">
        <v>0</v>
      </c>
      <c r="Z2732" t="s">
        <v>31</v>
      </c>
      <c r="AA2732">
        <v>0</v>
      </c>
      <c r="AB2732" t="s">
        <v>31</v>
      </c>
      <c r="AC2732">
        <v>0</v>
      </c>
      <c r="AD2732" t="s">
        <v>31</v>
      </c>
      <c r="AE2732">
        <v>0</v>
      </c>
      <c r="AF2732" t="s">
        <v>31</v>
      </c>
      <c r="AG2732">
        <v>0</v>
      </c>
      <c r="AH2732" t="s">
        <v>31</v>
      </c>
      <c r="AI2732">
        <v>0</v>
      </c>
      <c r="AJ2732" t="s">
        <v>31</v>
      </c>
      <c r="AK2732">
        <v>0</v>
      </c>
      <c r="AL2732" t="s">
        <v>31</v>
      </c>
      <c r="AM2732">
        <v>0</v>
      </c>
      <c r="AN2732" t="s">
        <v>31</v>
      </c>
      <c r="AO2732">
        <v>0</v>
      </c>
      <c r="AP2732" t="s">
        <v>31</v>
      </c>
      <c r="AQ2732">
        <v>0</v>
      </c>
    </row>
    <row r="2733" spans="1:43" x14ac:dyDescent="0.2">
      <c r="A2733" t="s">
        <v>381</v>
      </c>
      <c r="B2733" s="3">
        <v>44334</v>
      </c>
      <c r="C2733">
        <v>99</v>
      </c>
      <c r="D2733" t="s">
        <v>385</v>
      </c>
      <c r="E2733" t="s">
        <v>83</v>
      </c>
      <c r="F2733" s="9" t="s">
        <v>87</v>
      </c>
      <c r="G2733" t="s">
        <v>26</v>
      </c>
      <c r="H2733" t="s">
        <v>85</v>
      </c>
      <c r="I2733" t="s">
        <v>86</v>
      </c>
      <c r="J2733" t="s">
        <v>53</v>
      </c>
      <c r="K2733" t="s">
        <v>54</v>
      </c>
      <c r="L2733" t="s">
        <v>53</v>
      </c>
      <c r="M2733" t="s">
        <v>54</v>
      </c>
      <c r="N2733" t="s">
        <v>85</v>
      </c>
      <c r="O2733" t="s">
        <v>86</v>
      </c>
      <c r="P2733" t="s">
        <v>53</v>
      </c>
      <c r="Q2733" t="s">
        <v>54</v>
      </c>
      <c r="R2733" s="1">
        <v>44334.547835648147</v>
      </c>
      <c r="S2733" s="1">
        <v>44334.634097222224</v>
      </c>
      <c r="T2733">
        <v>0</v>
      </c>
      <c r="U2733">
        <v>3</v>
      </c>
      <c r="V2733" s="2">
        <v>0</v>
      </c>
      <c r="W2733">
        <v>0</v>
      </c>
      <c r="X2733" t="s">
        <v>44</v>
      </c>
      <c r="Y2733">
        <v>0</v>
      </c>
      <c r="Z2733" t="s">
        <v>44</v>
      </c>
      <c r="AA2733">
        <v>0</v>
      </c>
      <c r="AB2733" t="s">
        <v>44</v>
      </c>
      <c r="AC2733">
        <v>0</v>
      </c>
      <c r="AD2733" t="s">
        <v>31</v>
      </c>
      <c r="AE2733">
        <v>0</v>
      </c>
      <c r="AF2733" t="s">
        <v>31</v>
      </c>
      <c r="AG2733">
        <v>0</v>
      </c>
      <c r="AH2733" t="s">
        <v>31</v>
      </c>
      <c r="AI2733">
        <v>0</v>
      </c>
      <c r="AJ2733" t="s">
        <v>31</v>
      </c>
      <c r="AK2733">
        <v>0</v>
      </c>
      <c r="AL2733" t="s">
        <v>31</v>
      </c>
      <c r="AM2733">
        <v>0</v>
      </c>
      <c r="AN2733" t="s">
        <v>31</v>
      </c>
      <c r="AO2733">
        <v>0</v>
      </c>
      <c r="AP2733" t="s">
        <v>31</v>
      </c>
      <c r="AQ2733">
        <v>0</v>
      </c>
    </row>
    <row r="2734" spans="1:43" x14ac:dyDescent="0.2">
      <c r="A2734" t="s">
        <v>381</v>
      </c>
      <c r="B2734" s="3">
        <v>44336</v>
      </c>
      <c r="C2734">
        <v>103</v>
      </c>
      <c r="D2734" t="s">
        <v>385</v>
      </c>
      <c r="E2734" t="s">
        <v>83</v>
      </c>
      <c r="F2734" s="9" t="s">
        <v>87</v>
      </c>
      <c r="G2734" t="s">
        <v>26</v>
      </c>
      <c r="H2734" t="s">
        <v>85</v>
      </c>
      <c r="I2734" t="s">
        <v>86</v>
      </c>
      <c r="J2734" t="s">
        <v>53</v>
      </c>
      <c r="K2734" t="s">
        <v>54</v>
      </c>
      <c r="L2734" t="s">
        <v>53</v>
      </c>
      <c r="M2734" t="s">
        <v>54</v>
      </c>
      <c r="N2734" t="s">
        <v>85</v>
      </c>
      <c r="O2734" t="s">
        <v>86</v>
      </c>
      <c r="P2734" t="s">
        <v>53</v>
      </c>
      <c r="Q2734" t="s">
        <v>54</v>
      </c>
      <c r="R2734" s="1">
        <v>44336.542442129627</v>
      </c>
      <c r="S2734" s="1">
        <v>44336.542442129627</v>
      </c>
      <c r="T2734">
        <v>0</v>
      </c>
      <c r="U2734">
        <v>2</v>
      </c>
      <c r="V2734" s="2">
        <v>0</v>
      </c>
      <c r="W2734">
        <v>0</v>
      </c>
      <c r="X2734" t="s">
        <v>44</v>
      </c>
      <c r="Y2734">
        <v>0</v>
      </c>
      <c r="Z2734" t="s">
        <v>44</v>
      </c>
      <c r="AA2734">
        <v>0</v>
      </c>
      <c r="AB2734" t="s">
        <v>31</v>
      </c>
      <c r="AC2734">
        <v>0</v>
      </c>
      <c r="AD2734" t="s">
        <v>31</v>
      </c>
      <c r="AE2734">
        <v>0</v>
      </c>
      <c r="AF2734" t="s">
        <v>31</v>
      </c>
      <c r="AG2734">
        <v>0</v>
      </c>
      <c r="AH2734" t="s">
        <v>31</v>
      </c>
      <c r="AI2734">
        <v>0</v>
      </c>
      <c r="AJ2734" t="s">
        <v>31</v>
      </c>
      <c r="AK2734">
        <v>0</v>
      </c>
      <c r="AL2734" t="s">
        <v>31</v>
      </c>
      <c r="AM2734">
        <v>0</v>
      </c>
      <c r="AN2734" t="s">
        <v>31</v>
      </c>
      <c r="AO2734">
        <v>0</v>
      </c>
      <c r="AP2734" t="s">
        <v>31</v>
      </c>
      <c r="AQ2734">
        <v>0</v>
      </c>
    </row>
    <row r="2735" spans="1:43" x14ac:dyDescent="0.2">
      <c r="A2735" t="s">
        <v>381</v>
      </c>
      <c r="B2735" s="3">
        <v>44337</v>
      </c>
      <c r="C2735">
        <v>104</v>
      </c>
      <c r="D2735" t="s">
        <v>390</v>
      </c>
      <c r="E2735" t="s">
        <v>83</v>
      </c>
      <c r="F2735" s="9" t="s">
        <v>87</v>
      </c>
      <c r="G2735" t="s">
        <v>26</v>
      </c>
      <c r="H2735" t="s">
        <v>85</v>
      </c>
      <c r="I2735" t="s">
        <v>86</v>
      </c>
      <c r="J2735" t="s">
        <v>53</v>
      </c>
      <c r="K2735" t="s">
        <v>54</v>
      </c>
      <c r="L2735" t="s">
        <v>53</v>
      </c>
      <c r="M2735" t="s">
        <v>54</v>
      </c>
      <c r="N2735" t="s">
        <v>85</v>
      </c>
      <c r="O2735" t="s">
        <v>86</v>
      </c>
      <c r="P2735" t="s">
        <v>53</v>
      </c>
      <c r="Q2735" t="s">
        <v>54</v>
      </c>
      <c r="R2735" s="1">
        <v>44337.481840277775</v>
      </c>
      <c r="S2735" s="1">
        <v>44337.481840277775</v>
      </c>
      <c r="T2735">
        <v>0</v>
      </c>
      <c r="U2735">
        <v>1</v>
      </c>
      <c r="V2735" s="2">
        <v>0</v>
      </c>
      <c r="W2735">
        <v>0</v>
      </c>
      <c r="X2735" t="s">
        <v>44</v>
      </c>
      <c r="Y2735">
        <v>0</v>
      </c>
      <c r="Z2735" t="s">
        <v>31</v>
      </c>
      <c r="AA2735">
        <v>0</v>
      </c>
      <c r="AB2735" t="s">
        <v>31</v>
      </c>
      <c r="AC2735">
        <v>0</v>
      </c>
      <c r="AD2735" t="s">
        <v>31</v>
      </c>
      <c r="AE2735">
        <v>0</v>
      </c>
      <c r="AF2735" t="s">
        <v>31</v>
      </c>
      <c r="AG2735">
        <v>0</v>
      </c>
      <c r="AH2735" t="s">
        <v>31</v>
      </c>
      <c r="AI2735">
        <v>0</v>
      </c>
      <c r="AJ2735" t="s">
        <v>31</v>
      </c>
      <c r="AK2735">
        <v>0</v>
      </c>
      <c r="AL2735" t="s">
        <v>31</v>
      </c>
      <c r="AM2735">
        <v>0</v>
      </c>
      <c r="AN2735" t="s">
        <v>31</v>
      </c>
      <c r="AO2735">
        <v>0</v>
      </c>
      <c r="AP2735" t="s">
        <v>31</v>
      </c>
      <c r="AQ2735">
        <v>0</v>
      </c>
    </row>
    <row r="2736" spans="1:43" x14ac:dyDescent="0.2">
      <c r="A2736" t="s">
        <v>381</v>
      </c>
      <c r="B2736" s="3">
        <v>44337</v>
      </c>
      <c r="C2736">
        <v>105</v>
      </c>
      <c r="D2736" t="s">
        <v>405</v>
      </c>
      <c r="E2736" t="s">
        <v>83</v>
      </c>
      <c r="F2736" s="9" t="s">
        <v>87</v>
      </c>
      <c r="G2736" t="s">
        <v>26</v>
      </c>
      <c r="H2736" t="s">
        <v>85</v>
      </c>
      <c r="I2736" t="s">
        <v>86</v>
      </c>
      <c r="J2736" t="s">
        <v>53</v>
      </c>
      <c r="K2736" t="s">
        <v>54</v>
      </c>
      <c r="L2736" t="s">
        <v>53</v>
      </c>
      <c r="M2736" t="s">
        <v>54</v>
      </c>
      <c r="N2736" t="s">
        <v>85</v>
      </c>
      <c r="O2736" t="s">
        <v>86</v>
      </c>
      <c r="P2736" t="s">
        <v>53</v>
      </c>
      <c r="Q2736" t="s">
        <v>54</v>
      </c>
      <c r="R2736" s="1">
        <v>44337.568680555552</v>
      </c>
      <c r="S2736" s="1">
        <v>44337.568680555552</v>
      </c>
      <c r="T2736">
        <v>0</v>
      </c>
      <c r="U2736">
        <v>1</v>
      </c>
      <c r="V2736" s="2">
        <v>0</v>
      </c>
      <c r="W2736">
        <v>0</v>
      </c>
      <c r="X2736" t="s">
        <v>44</v>
      </c>
      <c r="Y2736">
        <v>0</v>
      </c>
      <c r="Z2736" t="s">
        <v>31</v>
      </c>
      <c r="AA2736">
        <v>0</v>
      </c>
      <c r="AB2736" t="s">
        <v>31</v>
      </c>
      <c r="AC2736">
        <v>0</v>
      </c>
      <c r="AD2736" t="s">
        <v>31</v>
      </c>
      <c r="AE2736">
        <v>0</v>
      </c>
      <c r="AF2736" t="s">
        <v>31</v>
      </c>
      <c r="AG2736">
        <v>0</v>
      </c>
      <c r="AH2736" t="s">
        <v>31</v>
      </c>
      <c r="AI2736">
        <v>0</v>
      </c>
      <c r="AJ2736" t="s">
        <v>31</v>
      </c>
      <c r="AK2736">
        <v>0</v>
      </c>
      <c r="AL2736" t="s">
        <v>31</v>
      </c>
      <c r="AM2736">
        <v>0</v>
      </c>
      <c r="AN2736" t="s">
        <v>31</v>
      </c>
      <c r="AO2736">
        <v>0</v>
      </c>
      <c r="AP2736" t="s">
        <v>31</v>
      </c>
      <c r="AQ2736">
        <v>0</v>
      </c>
    </row>
    <row r="2737" spans="1:43" x14ac:dyDescent="0.2">
      <c r="A2737" t="s">
        <v>381</v>
      </c>
      <c r="B2737" s="3">
        <v>44338</v>
      </c>
      <c r="C2737">
        <v>106</v>
      </c>
      <c r="D2737" t="s">
        <v>408</v>
      </c>
      <c r="E2737" t="s">
        <v>83</v>
      </c>
      <c r="F2737" s="9" t="s">
        <v>87</v>
      </c>
      <c r="G2737" t="s">
        <v>26</v>
      </c>
      <c r="H2737" t="s">
        <v>85</v>
      </c>
      <c r="I2737" t="s">
        <v>86</v>
      </c>
      <c r="J2737" t="s">
        <v>53</v>
      </c>
      <c r="K2737" t="s">
        <v>54</v>
      </c>
      <c r="L2737" t="s">
        <v>53</v>
      </c>
      <c r="M2737" t="s">
        <v>54</v>
      </c>
      <c r="N2737" t="s">
        <v>85</v>
      </c>
      <c r="O2737" t="s">
        <v>86</v>
      </c>
      <c r="P2737" t="s">
        <v>53</v>
      </c>
      <c r="Q2737" t="s">
        <v>54</v>
      </c>
      <c r="R2737" s="1">
        <v>44338.457291666666</v>
      </c>
      <c r="S2737" s="1">
        <v>44338.457291666666</v>
      </c>
      <c r="T2737">
        <v>0</v>
      </c>
      <c r="U2737">
        <v>1</v>
      </c>
      <c r="V2737" s="2">
        <v>0</v>
      </c>
      <c r="W2737">
        <v>0</v>
      </c>
      <c r="X2737" t="s">
        <v>44</v>
      </c>
      <c r="Y2737">
        <v>0</v>
      </c>
      <c r="Z2737" t="s">
        <v>31</v>
      </c>
      <c r="AA2737">
        <v>0</v>
      </c>
      <c r="AB2737" t="s">
        <v>31</v>
      </c>
      <c r="AC2737">
        <v>0</v>
      </c>
      <c r="AD2737" t="s">
        <v>31</v>
      </c>
      <c r="AE2737">
        <v>0</v>
      </c>
      <c r="AF2737" t="s">
        <v>31</v>
      </c>
      <c r="AG2737">
        <v>0</v>
      </c>
      <c r="AH2737" t="s">
        <v>31</v>
      </c>
      <c r="AI2737">
        <v>0</v>
      </c>
      <c r="AJ2737" t="s">
        <v>31</v>
      </c>
      <c r="AK2737">
        <v>0</v>
      </c>
      <c r="AL2737" t="s">
        <v>31</v>
      </c>
      <c r="AM2737">
        <v>0</v>
      </c>
      <c r="AN2737" t="s">
        <v>31</v>
      </c>
      <c r="AO2737">
        <v>0</v>
      </c>
      <c r="AP2737" t="s">
        <v>31</v>
      </c>
      <c r="AQ2737">
        <v>0</v>
      </c>
    </row>
    <row r="2738" spans="1:43" x14ac:dyDescent="0.2">
      <c r="A2738" t="s">
        <v>381</v>
      </c>
      <c r="B2738" s="3">
        <v>44338</v>
      </c>
      <c r="C2738">
        <v>107</v>
      </c>
      <c r="D2738" t="s">
        <v>392</v>
      </c>
      <c r="E2738" t="s">
        <v>83</v>
      </c>
      <c r="F2738" s="9" t="s">
        <v>87</v>
      </c>
      <c r="G2738" t="s">
        <v>26</v>
      </c>
      <c r="H2738" t="s">
        <v>85</v>
      </c>
      <c r="I2738" t="s">
        <v>86</v>
      </c>
      <c r="J2738" t="s">
        <v>53</v>
      </c>
      <c r="K2738" t="s">
        <v>54</v>
      </c>
      <c r="L2738" t="s">
        <v>53</v>
      </c>
      <c r="M2738" t="s">
        <v>54</v>
      </c>
      <c r="N2738" t="s">
        <v>85</v>
      </c>
      <c r="O2738" t="s">
        <v>86</v>
      </c>
      <c r="P2738" t="s">
        <v>53</v>
      </c>
      <c r="Q2738" t="s">
        <v>54</v>
      </c>
      <c r="R2738" s="1">
        <v>44338.608402777776</v>
      </c>
      <c r="S2738" s="1">
        <v>44338.619062500002</v>
      </c>
      <c r="T2738">
        <v>0</v>
      </c>
      <c r="U2738">
        <v>2</v>
      </c>
      <c r="V2738" s="2">
        <v>0</v>
      </c>
      <c r="W2738">
        <v>0</v>
      </c>
      <c r="X2738" t="s">
        <v>44</v>
      </c>
      <c r="Y2738">
        <v>0</v>
      </c>
      <c r="Z2738" t="s">
        <v>44</v>
      </c>
      <c r="AA2738">
        <v>0</v>
      </c>
      <c r="AB2738" t="s">
        <v>31</v>
      </c>
      <c r="AC2738">
        <v>0</v>
      </c>
      <c r="AD2738" t="s">
        <v>31</v>
      </c>
      <c r="AE2738">
        <v>0</v>
      </c>
      <c r="AF2738" t="s">
        <v>31</v>
      </c>
      <c r="AG2738">
        <v>0</v>
      </c>
      <c r="AH2738" t="s">
        <v>31</v>
      </c>
      <c r="AI2738">
        <v>0</v>
      </c>
      <c r="AJ2738" t="s">
        <v>31</v>
      </c>
      <c r="AK2738">
        <v>0</v>
      </c>
      <c r="AL2738" t="s">
        <v>31</v>
      </c>
      <c r="AM2738">
        <v>0</v>
      </c>
      <c r="AN2738" t="s">
        <v>31</v>
      </c>
      <c r="AO2738">
        <v>0</v>
      </c>
      <c r="AP2738" t="s">
        <v>31</v>
      </c>
      <c r="AQ2738">
        <v>0</v>
      </c>
    </row>
    <row r="2739" spans="1:43" x14ac:dyDescent="0.2">
      <c r="A2739" t="s">
        <v>381</v>
      </c>
      <c r="B2739" s="3">
        <v>44340</v>
      </c>
      <c r="C2739">
        <v>108</v>
      </c>
      <c r="D2739" t="s">
        <v>393</v>
      </c>
      <c r="E2739" t="s">
        <v>83</v>
      </c>
      <c r="F2739" s="9" t="s">
        <v>87</v>
      </c>
      <c r="G2739" t="s">
        <v>26</v>
      </c>
      <c r="H2739" t="s">
        <v>85</v>
      </c>
      <c r="I2739" t="s">
        <v>86</v>
      </c>
      <c r="J2739" t="s">
        <v>53</v>
      </c>
      <c r="K2739" t="s">
        <v>54</v>
      </c>
      <c r="L2739" t="s">
        <v>53</v>
      </c>
      <c r="M2739" t="s">
        <v>54</v>
      </c>
      <c r="N2739" t="s">
        <v>85</v>
      </c>
      <c r="O2739" t="s">
        <v>86</v>
      </c>
      <c r="P2739" t="s">
        <v>53</v>
      </c>
      <c r="Q2739" t="s">
        <v>54</v>
      </c>
      <c r="R2739" s="1">
        <v>44340.450046296297</v>
      </c>
      <c r="S2739" s="1">
        <v>44340.450208333335</v>
      </c>
      <c r="T2739">
        <v>0</v>
      </c>
      <c r="U2739">
        <v>2</v>
      </c>
      <c r="V2739" s="2">
        <v>0</v>
      </c>
      <c r="W2739">
        <v>0</v>
      </c>
      <c r="X2739" t="s">
        <v>44</v>
      </c>
      <c r="Y2739">
        <v>0</v>
      </c>
      <c r="Z2739" t="s">
        <v>44</v>
      </c>
      <c r="AA2739">
        <v>0</v>
      </c>
      <c r="AB2739" t="s">
        <v>31</v>
      </c>
      <c r="AC2739">
        <v>0</v>
      </c>
      <c r="AD2739" t="s">
        <v>31</v>
      </c>
      <c r="AE2739">
        <v>0</v>
      </c>
      <c r="AF2739" t="s">
        <v>31</v>
      </c>
      <c r="AG2739">
        <v>0</v>
      </c>
      <c r="AH2739" t="s">
        <v>31</v>
      </c>
      <c r="AI2739">
        <v>0</v>
      </c>
      <c r="AJ2739" t="s">
        <v>31</v>
      </c>
      <c r="AK2739">
        <v>0</v>
      </c>
      <c r="AL2739" t="s">
        <v>31</v>
      </c>
      <c r="AM2739">
        <v>0</v>
      </c>
      <c r="AN2739" t="s">
        <v>31</v>
      </c>
      <c r="AO2739">
        <v>0</v>
      </c>
      <c r="AP2739" t="s">
        <v>31</v>
      </c>
      <c r="AQ2739">
        <v>0</v>
      </c>
    </row>
    <row r="2740" spans="1:43" x14ac:dyDescent="0.2">
      <c r="A2740" t="s">
        <v>381</v>
      </c>
      <c r="B2740" s="3">
        <v>44341</v>
      </c>
      <c r="C2740">
        <v>111</v>
      </c>
      <c r="D2740" t="s">
        <v>385</v>
      </c>
      <c r="E2740" t="s">
        <v>83</v>
      </c>
      <c r="F2740" s="9" t="s">
        <v>87</v>
      </c>
      <c r="G2740" t="s">
        <v>26</v>
      </c>
      <c r="H2740" t="s">
        <v>85</v>
      </c>
      <c r="I2740" t="s">
        <v>86</v>
      </c>
      <c r="J2740" t="s">
        <v>53</v>
      </c>
      <c r="K2740" t="s">
        <v>54</v>
      </c>
      <c r="L2740" t="s">
        <v>53</v>
      </c>
      <c r="M2740" t="s">
        <v>54</v>
      </c>
      <c r="N2740" t="s">
        <v>85</v>
      </c>
      <c r="O2740" t="s">
        <v>86</v>
      </c>
      <c r="P2740" t="s">
        <v>53</v>
      </c>
      <c r="Q2740" t="s">
        <v>54</v>
      </c>
      <c r="R2740" s="1">
        <v>44341.560208333336</v>
      </c>
      <c r="S2740" s="1">
        <v>44341.560208333336</v>
      </c>
      <c r="T2740">
        <v>0</v>
      </c>
      <c r="U2740">
        <v>2</v>
      </c>
      <c r="V2740" s="2">
        <v>0</v>
      </c>
      <c r="W2740">
        <v>0</v>
      </c>
      <c r="X2740" t="s">
        <v>44</v>
      </c>
      <c r="Y2740">
        <v>0</v>
      </c>
      <c r="Z2740" t="s">
        <v>44</v>
      </c>
      <c r="AA2740">
        <v>0</v>
      </c>
      <c r="AB2740" t="s">
        <v>31</v>
      </c>
      <c r="AC2740">
        <v>0</v>
      </c>
      <c r="AD2740" t="s">
        <v>31</v>
      </c>
      <c r="AE2740">
        <v>0</v>
      </c>
      <c r="AF2740" t="s">
        <v>31</v>
      </c>
      <c r="AG2740">
        <v>0</v>
      </c>
      <c r="AH2740" t="s">
        <v>31</v>
      </c>
      <c r="AI2740">
        <v>0</v>
      </c>
      <c r="AJ2740" t="s">
        <v>31</v>
      </c>
      <c r="AK2740">
        <v>0</v>
      </c>
      <c r="AL2740" t="s">
        <v>31</v>
      </c>
      <c r="AM2740">
        <v>0</v>
      </c>
      <c r="AN2740" t="s">
        <v>31</v>
      </c>
      <c r="AO2740">
        <v>0</v>
      </c>
      <c r="AP2740" t="s">
        <v>31</v>
      </c>
      <c r="AQ2740">
        <v>0</v>
      </c>
    </row>
    <row r="2741" spans="1:43" x14ac:dyDescent="0.2">
      <c r="A2741" t="s">
        <v>381</v>
      </c>
      <c r="B2741" s="3">
        <v>44344</v>
      </c>
      <c r="C2741">
        <v>116</v>
      </c>
      <c r="D2741" t="s">
        <v>390</v>
      </c>
      <c r="E2741" t="s">
        <v>83</v>
      </c>
      <c r="F2741" s="9" t="s">
        <v>87</v>
      </c>
      <c r="G2741" t="s">
        <v>26</v>
      </c>
      <c r="H2741" t="s">
        <v>85</v>
      </c>
      <c r="I2741" t="s">
        <v>86</v>
      </c>
      <c r="J2741" t="s">
        <v>53</v>
      </c>
      <c r="K2741" t="s">
        <v>54</v>
      </c>
      <c r="L2741" t="s">
        <v>53</v>
      </c>
      <c r="M2741" t="s">
        <v>54</v>
      </c>
      <c r="N2741" t="s">
        <v>85</v>
      </c>
      <c r="O2741" t="s">
        <v>86</v>
      </c>
      <c r="P2741" t="s">
        <v>53</v>
      </c>
      <c r="Q2741" t="s">
        <v>54</v>
      </c>
      <c r="R2741" s="1">
        <v>44344.452847222223</v>
      </c>
      <c r="S2741" s="1">
        <v>44344.452847222223</v>
      </c>
      <c r="T2741">
        <v>0</v>
      </c>
      <c r="U2741">
        <v>1</v>
      </c>
      <c r="V2741" s="2">
        <v>0</v>
      </c>
      <c r="W2741">
        <v>0</v>
      </c>
      <c r="X2741" t="s">
        <v>44</v>
      </c>
      <c r="Y2741">
        <v>0</v>
      </c>
      <c r="Z2741" t="s">
        <v>31</v>
      </c>
      <c r="AA2741">
        <v>0</v>
      </c>
      <c r="AB2741" t="s">
        <v>31</v>
      </c>
      <c r="AC2741">
        <v>0</v>
      </c>
      <c r="AD2741" t="s">
        <v>31</v>
      </c>
      <c r="AE2741">
        <v>0</v>
      </c>
      <c r="AF2741" t="s">
        <v>31</v>
      </c>
      <c r="AG2741">
        <v>0</v>
      </c>
      <c r="AH2741" t="s">
        <v>31</v>
      </c>
      <c r="AI2741">
        <v>0</v>
      </c>
      <c r="AJ2741" t="s">
        <v>31</v>
      </c>
      <c r="AK2741">
        <v>0</v>
      </c>
      <c r="AL2741" t="s">
        <v>31</v>
      </c>
      <c r="AM2741">
        <v>0</v>
      </c>
      <c r="AN2741" t="s">
        <v>31</v>
      </c>
      <c r="AO2741">
        <v>0</v>
      </c>
      <c r="AP2741" t="s">
        <v>31</v>
      </c>
      <c r="AQ2741">
        <v>0</v>
      </c>
    </row>
    <row r="2742" spans="1:43" x14ac:dyDescent="0.2">
      <c r="A2742" t="s">
        <v>381</v>
      </c>
      <c r="B2742" s="3">
        <v>44344</v>
      </c>
      <c r="C2742">
        <v>117</v>
      </c>
      <c r="D2742" t="s">
        <v>409</v>
      </c>
      <c r="E2742" t="s">
        <v>83</v>
      </c>
      <c r="F2742" s="9" t="s">
        <v>87</v>
      </c>
      <c r="G2742" t="s">
        <v>26</v>
      </c>
      <c r="H2742" t="s">
        <v>85</v>
      </c>
      <c r="I2742" t="s">
        <v>86</v>
      </c>
      <c r="J2742" t="s">
        <v>53</v>
      </c>
      <c r="K2742" t="s">
        <v>54</v>
      </c>
      <c r="L2742" t="s">
        <v>53</v>
      </c>
      <c r="M2742" t="s">
        <v>54</v>
      </c>
      <c r="N2742" t="s">
        <v>85</v>
      </c>
      <c r="O2742" t="s">
        <v>86</v>
      </c>
      <c r="P2742" t="s">
        <v>53</v>
      </c>
      <c r="Q2742" t="s">
        <v>54</v>
      </c>
      <c r="R2742" s="1">
        <v>44344.598692129628</v>
      </c>
      <c r="S2742" s="1">
        <v>44344.599178240744</v>
      </c>
      <c r="T2742">
        <v>0</v>
      </c>
      <c r="U2742">
        <v>2</v>
      </c>
      <c r="V2742" s="2">
        <v>0</v>
      </c>
      <c r="W2742">
        <v>0</v>
      </c>
      <c r="X2742" t="s">
        <v>44</v>
      </c>
      <c r="Y2742">
        <v>0</v>
      </c>
      <c r="Z2742" t="s">
        <v>44</v>
      </c>
      <c r="AA2742">
        <v>0</v>
      </c>
      <c r="AB2742" t="s">
        <v>31</v>
      </c>
      <c r="AC2742">
        <v>0</v>
      </c>
      <c r="AD2742" t="s">
        <v>31</v>
      </c>
      <c r="AE2742">
        <v>0</v>
      </c>
      <c r="AF2742" t="s">
        <v>31</v>
      </c>
      <c r="AG2742">
        <v>0</v>
      </c>
      <c r="AH2742" t="s">
        <v>31</v>
      </c>
      <c r="AI2742">
        <v>0</v>
      </c>
      <c r="AJ2742" t="s">
        <v>31</v>
      </c>
      <c r="AK2742">
        <v>0</v>
      </c>
      <c r="AL2742" t="s">
        <v>31</v>
      </c>
      <c r="AM2742">
        <v>0</v>
      </c>
      <c r="AN2742" t="s">
        <v>31</v>
      </c>
      <c r="AO2742">
        <v>0</v>
      </c>
      <c r="AP2742" t="s">
        <v>31</v>
      </c>
      <c r="AQ2742">
        <v>0</v>
      </c>
    </row>
    <row r="2743" spans="1:43" x14ac:dyDescent="0.2">
      <c r="A2743" t="s">
        <v>381</v>
      </c>
      <c r="B2743" s="3">
        <v>44348</v>
      </c>
      <c r="C2743">
        <v>118</v>
      </c>
      <c r="D2743" t="s">
        <v>396</v>
      </c>
      <c r="E2743" t="s">
        <v>83</v>
      </c>
      <c r="F2743" s="9" t="s">
        <v>87</v>
      </c>
      <c r="G2743" t="s">
        <v>26</v>
      </c>
      <c r="H2743" t="s">
        <v>85</v>
      </c>
      <c r="I2743" t="s">
        <v>86</v>
      </c>
      <c r="J2743" t="s">
        <v>53</v>
      </c>
      <c r="K2743" t="s">
        <v>54</v>
      </c>
      <c r="L2743" t="s">
        <v>53</v>
      </c>
      <c r="M2743" t="s">
        <v>54</v>
      </c>
      <c r="N2743" t="s">
        <v>85</v>
      </c>
      <c r="O2743" t="s">
        <v>86</v>
      </c>
      <c r="P2743" t="s">
        <v>53</v>
      </c>
      <c r="Q2743" t="s">
        <v>54</v>
      </c>
      <c r="R2743" s="1">
        <v>44348.402141203704</v>
      </c>
      <c r="S2743" s="1">
        <v>44348.402141203704</v>
      </c>
      <c r="T2743">
        <v>0</v>
      </c>
      <c r="U2743">
        <v>1</v>
      </c>
      <c r="V2743" s="2">
        <v>0</v>
      </c>
      <c r="W2743">
        <v>0</v>
      </c>
      <c r="X2743" t="s">
        <v>44</v>
      </c>
      <c r="Y2743">
        <v>0</v>
      </c>
      <c r="Z2743" t="s">
        <v>31</v>
      </c>
      <c r="AA2743">
        <v>0</v>
      </c>
      <c r="AB2743" t="s">
        <v>31</v>
      </c>
      <c r="AC2743">
        <v>0</v>
      </c>
      <c r="AD2743" t="s">
        <v>31</v>
      </c>
      <c r="AE2743">
        <v>0</v>
      </c>
      <c r="AF2743" t="s">
        <v>31</v>
      </c>
      <c r="AG2743">
        <v>0</v>
      </c>
      <c r="AH2743" t="s">
        <v>31</v>
      </c>
      <c r="AI2743">
        <v>0</v>
      </c>
      <c r="AJ2743" t="s">
        <v>31</v>
      </c>
      <c r="AK2743">
        <v>0</v>
      </c>
      <c r="AL2743" t="s">
        <v>31</v>
      </c>
      <c r="AM2743">
        <v>0</v>
      </c>
      <c r="AN2743" t="s">
        <v>31</v>
      </c>
      <c r="AO2743">
        <v>0</v>
      </c>
      <c r="AP2743" t="s">
        <v>31</v>
      </c>
      <c r="AQ2743">
        <v>0</v>
      </c>
    </row>
    <row r="2744" spans="1:43" x14ac:dyDescent="0.2">
      <c r="A2744" t="s">
        <v>381</v>
      </c>
      <c r="B2744" s="3">
        <v>44348</v>
      </c>
      <c r="C2744">
        <v>119</v>
      </c>
      <c r="D2744" t="s">
        <v>385</v>
      </c>
      <c r="E2744" t="s">
        <v>83</v>
      </c>
      <c r="F2744" s="9" t="s">
        <v>87</v>
      </c>
      <c r="G2744" t="s">
        <v>26</v>
      </c>
      <c r="H2744" t="s">
        <v>85</v>
      </c>
      <c r="I2744" t="s">
        <v>86</v>
      </c>
      <c r="J2744" t="s">
        <v>53</v>
      </c>
      <c r="K2744" t="s">
        <v>54</v>
      </c>
      <c r="L2744" t="s">
        <v>53</v>
      </c>
      <c r="M2744" t="s">
        <v>54</v>
      </c>
      <c r="N2744" t="s">
        <v>85</v>
      </c>
      <c r="O2744" t="s">
        <v>86</v>
      </c>
      <c r="P2744" t="s">
        <v>53</v>
      </c>
      <c r="Q2744" t="s">
        <v>54</v>
      </c>
      <c r="R2744" s="1">
        <v>44348.632291666669</v>
      </c>
      <c r="S2744" s="1">
        <v>44348.632303240738</v>
      </c>
      <c r="T2744">
        <v>0</v>
      </c>
      <c r="U2744">
        <v>2</v>
      </c>
      <c r="V2744" s="2">
        <v>0</v>
      </c>
      <c r="W2744">
        <v>0</v>
      </c>
      <c r="X2744" t="s">
        <v>44</v>
      </c>
      <c r="Y2744">
        <v>0</v>
      </c>
      <c r="Z2744" t="s">
        <v>44</v>
      </c>
      <c r="AA2744">
        <v>0</v>
      </c>
      <c r="AB2744" t="s">
        <v>31</v>
      </c>
      <c r="AC2744">
        <v>0</v>
      </c>
      <c r="AD2744" t="s">
        <v>31</v>
      </c>
      <c r="AE2744">
        <v>0</v>
      </c>
      <c r="AF2744" t="s">
        <v>31</v>
      </c>
      <c r="AG2744">
        <v>0</v>
      </c>
      <c r="AH2744" t="s">
        <v>31</v>
      </c>
      <c r="AI2744">
        <v>0</v>
      </c>
      <c r="AJ2744" t="s">
        <v>31</v>
      </c>
      <c r="AK2744">
        <v>0</v>
      </c>
      <c r="AL2744" t="s">
        <v>31</v>
      </c>
      <c r="AM2744">
        <v>0</v>
      </c>
      <c r="AN2744" t="s">
        <v>31</v>
      </c>
      <c r="AO2744">
        <v>0</v>
      </c>
      <c r="AP2744" t="s">
        <v>31</v>
      </c>
      <c r="AQ2744">
        <v>0</v>
      </c>
    </row>
    <row r="2745" spans="1:43" x14ac:dyDescent="0.2">
      <c r="A2745" t="s">
        <v>381</v>
      </c>
      <c r="B2745" s="3">
        <v>44349</v>
      </c>
      <c r="C2745">
        <v>121</v>
      </c>
      <c r="D2745" t="s">
        <v>385</v>
      </c>
      <c r="E2745" t="s">
        <v>83</v>
      </c>
      <c r="F2745" s="9" t="s">
        <v>87</v>
      </c>
      <c r="G2745" t="s">
        <v>26</v>
      </c>
      <c r="H2745" t="s">
        <v>85</v>
      </c>
      <c r="I2745" t="s">
        <v>86</v>
      </c>
      <c r="J2745" t="s">
        <v>53</v>
      </c>
      <c r="K2745" t="s">
        <v>54</v>
      </c>
      <c r="L2745" t="s">
        <v>53</v>
      </c>
      <c r="M2745" t="s">
        <v>54</v>
      </c>
      <c r="N2745" t="s">
        <v>85</v>
      </c>
      <c r="O2745" t="s">
        <v>86</v>
      </c>
      <c r="P2745" t="s">
        <v>53</v>
      </c>
      <c r="Q2745" t="s">
        <v>54</v>
      </c>
      <c r="R2745" s="1">
        <v>44349.57135416667</v>
      </c>
      <c r="S2745" s="1">
        <v>44349.638935185183</v>
      </c>
      <c r="T2745">
        <v>0</v>
      </c>
      <c r="U2745">
        <v>3</v>
      </c>
      <c r="V2745" s="2">
        <v>0</v>
      </c>
      <c r="W2745">
        <v>0</v>
      </c>
      <c r="X2745" t="s">
        <v>44</v>
      </c>
      <c r="Y2745">
        <v>0</v>
      </c>
      <c r="Z2745" t="s">
        <v>44</v>
      </c>
      <c r="AA2745">
        <v>0</v>
      </c>
      <c r="AB2745" t="s">
        <v>44</v>
      </c>
      <c r="AC2745">
        <v>0</v>
      </c>
      <c r="AD2745" t="s">
        <v>31</v>
      </c>
      <c r="AE2745">
        <v>0</v>
      </c>
      <c r="AF2745" t="s">
        <v>31</v>
      </c>
      <c r="AG2745">
        <v>0</v>
      </c>
      <c r="AH2745" t="s">
        <v>31</v>
      </c>
      <c r="AI2745">
        <v>0</v>
      </c>
      <c r="AJ2745" t="s">
        <v>31</v>
      </c>
      <c r="AK2745">
        <v>0</v>
      </c>
      <c r="AL2745" t="s">
        <v>31</v>
      </c>
      <c r="AM2745">
        <v>0</v>
      </c>
      <c r="AN2745" t="s">
        <v>31</v>
      </c>
      <c r="AO2745">
        <v>0</v>
      </c>
      <c r="AP2745" t="s">
        <v>31</v>
      </c>
      <c r="AQ2745">
        <v>0</v>
      </c>
    </row>
    <row r="2746" spans="1:43" x14ac:dyDescent="0.2">
      <c r="A2746" t="s">
        <v>381</v>
      </c>
      <c r="B2746" s="3">
        <v>44350</v>
      </c>
      <c r="C2746">
        <v>123</v>
      </c>
      <c r="D2746" t="s">
        <v>382</v>
      </c>
      <c r="E2746" t="s">
        <v>83</v>
      </c>
      <c r="F2746" s="9" t="s">
        <v>87</v>
      </c>
      <c r="G2746" t="s">
        <v>26</v>
      </c>
      <c r="H2746" t="s">
        <v>85</v>
      </c>
      <c r="I2746" t="s">
        <v>86</v>
      </c>
      <c r="J2746" t="s">
        <v>53</v>
      </c>
      <c r="K2746" t="s">
        <v>54</v>
      </c>
      <c r="L2746" t="s">
        <v>53</v>
      </c>
      <c r="M2746" t="s">
        <v>54</v>
      </c>
      <c r="N2746" t="s">
        <v>85</v>
      </c>
      <c r="O2746" t="s">
        <v>86</v>
      </c>
      <c r="P2746" t="s">
        <v>53</v>
      </c>
      <c r="Q2746" t="s">
        <v>54</v>
      </c>
      <c r="R2746" s="1">
        <v>44350.367696759262</v>
      </c>
      <c r="S2746" s="1">
        <v>44350.367696759262</v>
      </c>
      <c r="T2746">
        <v>0</v>
      </c>
      <c r="U2746">
        <v>1</v>
      </c>
      <c r="V2746" s="2">
        <v>0</v>
      </c>
      <c r="W2746">
        <v>0</v>
      </c>
      <c r="X2746" t="s">
        <v>44</v>
      </c>
      <c r="Y2746">
        <v>0</v>
      </c>
      <c r="Z2746" t="s">
        <v>31</v>
      </c>
      <c r="AA2746">
        <v>0</v>
      </c>
      <c r="AB2746" t="s">
        <v>31</v>
      </c>
      <c r="AC2746">
        <v>0</v>
      </c>
      <c r="AD2746" t="s">
        <v>31</v>
      </c>
      <c r="AE2746">
        <v>0</v>
      </c>
      <c r="AF2746" t="s">
        <v>31</v>
      </c>
      <c r="AG2746">
        <v>0</v>
      </c>
      <c r="AH2746" t="s">
        <v>31</v>
      </c>
      <c r="AI2746">
        <v>0</v>
      </c>
      <c r="AJ2746" t="s">
        <v>31</v>
      </c>
      <c r="AK2746">
        <v>0</v>
      </c>
      <c r="AL2746" t="s">
        <v>31</v>
      </c>
      <c r="AM2746">
        <v>0</v>
      </c>
      <c r="AN2746" t="s">
        <v>31</v>
      </c>
      <c r="AO2746">
        <v>0</v>
      </c>
      <c r="AP2746" t="s">
        <v>31</v>
      </c>
      <c r="AQ2746">
        <v>0</v>
      </c>
    </row>
    <row r="2747" spans="1:43" x14ac:dyDescent="0.2">
      <c r="A2747" t="s">
        <v>381</v>
      </c>
      <c r="B2747" s="3">
        <v>44351</v>
      </c>
      <c r="C2747">
        <v>124</v>
      </c>
      <c r="D2747" t="s">
        <v>390</v>
      </c>
      <c r="E2747" t="s">
        <v>83</v>
      </c>
      <c r="F2747" s="9" t="s">
        <v>87</v>
      </c>
      <c r="G2747" t="s">
        <v>26</v>
      </c>
      <c r="H2747" t="s">
        <v>85</v>
      </c>
      <c r="I2747" t="s">
        <v>86</v>
      </c>
      <c r="J2747" t="s">
        <v>53</v>
      </c>
      <c r="K2747" t="s">
        <v>54</v>
      </c>
      <c r="L2747" t="s">
        <v>53</v>
      </c>
      <c r="M2747" t="s">
        <v>54</v>
      </c>
      <c r="N2747" t="s">
        <v>85</v>
      </c>
      <c r="O2747" t="s">
        <v>86</v>
      </c>
      <c r="P2747" t="s">
        <v>53</v>
      </c>
      <c r="Q2747" t="s">
        <v>54</v>
      </c>
      <c r="R2747" s="1">
        <v>44351.438599537039</v>
      </c>
      <c r="S2747" s="1">
        <v>44351.438599537039</v>
      </c>
      <c r="T2747">
        <v>0</v>
      </c>
      <c r="U2747">
        <v>1</v>
      </c>
      <c r="V2747" s="2">
        <v>0</v>
      </c>
      <c r="W2747">
        <v>0</v>
      </c>
      <c r="X2747" t="s">
        <v>44</v>
      </c>
      <c r="Y2747">
        <v>0</v>
      </c>
      <c r="Z2747" t="s">
        <v>31</v>
      </c>
      <c r="AA2747">
        <v>0</v>
      </c>
      <c r="AB2747" t="s">
        <v>31</v>
      </c>
      <c r="AC2747">
        <v>0</v>
      </c>
      <c r="AD2747" t="s">
        <v>31</v>
      </c>
      <c r="AE2747">
        <v>0</v>
      </c>
      <c r="AF2747" t="s">
        <v>31</v>
      </c>
      <c r="AG2747">
        <v>0</v>
      </c>
      <c r="AH2747" t="s">
        <v>31</v>
      </c>
      <c r="AI2747">
        <v>0</v>
      </c>
      <c r="AJ2747" t="s">
        <v>31</v>
      </c>
      <c r="AK2747">
        <v>0</v>
      </c>
      <c r="AL2747" t="s">
        <v>31</v>
      </c>
      <c r="AM2747">
        <v>0</v>
      </c>
      <c r="AN2747" t="s">
        <v>31</v>
      </c>
      <c r="AO2747">
        <v>0</v>
      </c>
      <c r="AP2747" t="s">
        <v>31</v>
      </c>
      <c r="AQ2747">
        <v>0</v>
      </c>
    </row>
    <row r="2748" spans="1:43" x14ac:dyDescent="0.2">
      <c r="A2748" t="s">
        <v>381</v>
      </c>
      <c r="B2748" s="3">
        <v>44351</v>
      </c>
      <c r="C2748">
        <v>125</v>
      </c>
      <c r="D2748" t="s">
        <v>387</v>
      </c>
      <c r="E2748" t="s">
        <v>83</v>
      </c>
      <c r="F2748" s="9" t="s">
        <v>87</v>
      </c>
      <c r="G2748" t="s">
        <v>26</v>
      </c>
      <c r="H2748" t="s">
        <v>85</v>
      </c>
      <c r="I2748" t="s">
        <v>86</v>
      </c>
      <c r="J2748" t="s">
        <v>53</v>
      </c>
      <c r="K2748" t="s">
        <v>54</v>
      </c>
      <c r="L2748" t="s">
        <v>53</v>
      </c>
      <c r="M2748" t="s">
        <v>54</v>
      </c>
      <c r="N2748" t="s">
        <v>85</v>
      </c>
      <c r="O2748" t="s">
        <v>86</v>
      </c>
      <c r="P2748" t="s">
        <v>53</v>
      </c>
      <c r="Q2748" t="s">
        <v>54</v>
      </c>
      <c r="R2748" s="1">
        <v>44351.571203703701</v>
      </c>
      <c r="S2748" s="1">
        <v>44351.571203703701</v>
      </c>
      <c r="T2748">
        <v>0</v>
      </c>
      <c r="U2748">
        <v>1</v>
      </c>
      <c r="V2748" s="2">
        <v>0</v>
      </c>
      <c r="W2748">
        <v>0</v>
      </c>
      <c r="X2748" t="s">
        <v>44</v>
      </c>
      <c r="Y2748">
        <v>0</v>
      </c>
      <c r="Z2748" t="s">
        <v>31</v>
      </c>
      <c r="AA2748">
        <v>0</v>
      </c>
      <c r="AB2748" t="s">
        <v>31</v>
      </c>
      <c r="AC2748">
        <v>0</v>
      </c>
      <c r="AD2748" t="s">
        <v>31</v>
      </c>
      <c r="AE2748">
        <v>0</v>
      </c>
      <c r="AF2748" t="s">
        <v>31</v>
      </c>
      <c r="AG2748">
        <v>0</v>
      </c>
      <c r="AH2748" t="s">
        <v>31</v>
      </c>
      <c r="AI2748">
        <v>0</v>
      </c>
      <c r="AJ2748" t="s">
        <v>31</v>
      </c>
      <c r="AK2748">
        <v>0</v>
      </c>
      <c r="AL2748" t="s">
        <v>31</v>
      </c>
      <c r="AM2748">
        <v>0</v>
      </c>
      <c r="AN2748" t="s">
        <v>31</v>
      </c>
      <c r="AO2748">
        <v>0</v>
      </c>
      <c r="AP2748" t="s">
        <v>31</v>
      </c>
      <c r="AQ2748">
        <v>0</v>
      </c>
    </row>
    <row r="2749" spans="1:43" x14ac:dyDescent="0.2">
      <c r="A2749" t="s">
        <v>381</v>
      </c>
      <c r="B2749" s="3">
        <v>44354</v>
      </c>
      <c r="C2749">
        <v>127</v>
      </c>
      <c r="D2749" t="s">
        <v>383</v>
      </c>
      <c r="E2749" t="s">
        <v>83</v>
      </c>
      <c r="F2749" s="9" t="s">
        <v>87</v>
      </c>
      <c r="G2749" t="s">
        <v>26</v>
      </c>
      <c r="H2749" t="s">
        <v>85</v>
      </c>
      <c r="I2749" t="s">
        <v>86</v>
      </c>
      <c r="J2749" t="s">
        <v>53</v>
      </c>
      <c r="K2749" t="s">
        <v>54</v>
      </c>
      <c r="L2749" t="s">
        <v>53</v>
      </c>
      <c r="M2749" t="s">
        <v>54</v>
      </c>
      <c r="N2749" t="s">
        <v>85</v>
      </c>
      <c r="O2749" t="s">
        <v>86</v>
      </c>
      <c r="P2749" t="s">
        <v>53</v>
      </c>
      <c r="Q2749" t="s">
        <v>54</v>
      </c>
      <c r="R2749" s="1">
        <v>44354.638668981483</v>
      </c>
      <c r="S2749" s="1">
        <v>44354.638692129629</v>
      </c>
      <c r="T2749">
        <v>0</v>
      </c>
      <c r="U2749">
        <v>2</v>
      </c>
      <c r="V2749" s="2">
        <v>0</v>
      </c>
      <c r="W2749">
        <v>0</v>
      </c>
      <c r="X2749" t="s">
        <v>44</v>
      </c>
      <c r="Y2749">
        <v>0</v>
      </c>
      <c r="Z2749" t="s">
        <v>44</v>
      </c>
      <c r="AA2749">
        <v>0</v>
      </c>
      <c r="AB2749" t="s">
        <v>31</v>
      </c>
      <c r="AC2749">
        <v>0</v>
      </c>
      <c r="AD2749" t="s">
        <v>31</v>
      </c>
      <c r="AE2749">
        <v>0</v>
      </c>
      <c r="AF2749" t="s">
        <v>31</v>
      </c>
      <c r="AG2749">
        <v>0</v>
      </c>
      <c r="AH2749" t="s">
        <v>31</v>
      </c>
      <c r="AI2749">
        <v>0</v>
      </c>
      <c r="AJ2749" t="s">
        <v>31</v>
      </c>
      <c r="AK2749">
        <v>0</v>
      </c>
      <c r="AL2749" t="s">
        <v>31</v>
      </c>
      <c r="AM2749">
        <v>0</v>
      </c>
      <c r="AN2749" t="s">
        <v>31</v>
      </c>
      <c r="AO2749">
        <v>0</v>
      </c>
      <c r="AP2749" t="s">
        <v>31</v>
      </c>
      <c r="AQ2749">
        <v>0</v>
      </c>
    </row>
    <row r="2750" spans="1:43" x14ac:dyDescent="0.2">
      <c r="A2750" t="s">
        <v>381</v>
      </c>
      <c r="B2750" s="3">
        <v>44355</v>
      </c>
      <c r="C2750">
        <v>128</v>
      </c>
      <c r="D2750" t="s">
        <v>406</v>
      </c>
      <c r="E2750" t="s">
        <v>83</v>
      </c>
      <c r="F2750" s="9" t="s">
        <v>87</v>
      </c>
      <c r="G2750" t="s">
        <v>26</v>
      </c>
      <c r="H2750" t="s">
        <v>85</v>
      </c>
      <c r="I2750" t="s">
        <v>86</v>
      </c>
      <c r="J2750" t="s">
        <v>53</v>
      </c>
      <c r="K2750" t="s">
        <v>54</v>
      </c>
      <c r="L2750" t="s">
        <v>53</v>
      </c>
      <c r="M2750" t="s">
        <v>54</v>
      </c>
      <c r="N2750" t="s">
        <v>85</v>
      </c>
      <c r="O2750" t="s">
        <v>86</v>
      </c>
      <c r="P2750" t="s">
        <v>53</v>
      </c>
      <c r="Q2750" t="s">
        <v>54</v>
      </c>
      <c r="R2750" s="1">
        <v>44355.481620370374</v>
      </c>
      <c r="S2750" s="1">
        <v>44355.481620370374</v>
      </c>
      <c r="T2750">
        <v>0</v>
      </c>
      <c r="U2750">
        <v>1</v>
      </c>
      <c r="V2750" s="2">
        <v>0</v>
      </c>
      <c r="W2750">
        <v>0</v>
      </c>
      <c r="X2750" t="s">
        <v>44</v>
      </c>
      <c r="Y2750">
        <v>0</v>
      </c>
      <c r="Z2750" t="s">
        <v>31</v>
      </c>
      <c r="AA2750">
        <v>0</v>
      </c>
      <c r="AB2750" t="s">
        <v>31</v>
      </c>
      <c r="AC2750">
        <v>0</v>
      </c>
      <c r="AD2750" t="s">
        <v>31</v>
      </c>
      <c r="AE2750">
        <v>0</v>
      </c>
      <c r="AF2750" t="s">
        <v>31</v>
      </c>
      <c r="AG2750">
        <v>0</v>
      </c>
      <c r="AH2750" t="s">
        <v>31</v>
      </c>
      <c r="AI2750">
        <v>0</v>
      </c>
      <c r="AJ2750" t="s">
        <v>31</v>
      </c>
      <c r="AK2750">
        <v>0</v>
      </c>
      <c r="AL2750" t="s">
        <v>31</v>
      </c>
      <c r="AM2750">
        <v>0</v>
      </c>
      <c r="AN2750" t="s">
        <v>31</v>
      </c>
      <c r="AO2750">
        <v>0</v>
      </c>
      <c r="AP2750" t="s">
        <v>31</v>
      </c>
      <c r="AQ2750">
        <v>0</v>
      </c>
    </row>
    <row r="2751" spans="1:43" x14ac:dyDescent="0.2">
      <c r="A2751" t="s">
        <v>381</v>
      </c>
      <c r="B2751" s="3">
        <v>44355</v>
      </c>
      <c r="C2751">
        <v>129</v>
      </c>
      <c r="D2751" t="s">
        <v>385</v>
      </c>
      <c r="E2751" t="s">
        <v>83</v>
      </c>
      <c r="F2751" s="9" t="s">
        <v>87</v>
      </c>
      <c r="G2751" t="s">
        <v>26</v>
      </c>
      <c r="H2751" t="s">
        <v>85</v>
      </c>
      <c r="I2751" t="s">
        <v>86</v>
      </c>
      <c r="J2751" t="s">
        <v>53</v>
      </c>
      <c r="K2751" t="s">
        <v>54</v>
      </c>
      <c r="L2751" t="s">
        <v>53</v>
      </c>
      <c r="M2751" t="s">
        <v>54</v>
      </c>
      <c r="N2751" t="s">
        <v>85</v>
      </c>
      <c r="O2751" t="s">
        <v>86</v>
      </c>
      <c r="P2751" t="s">
        <v>53</v>
      </c>
      <c r="Q2751" t="s">
        <v>54</v>
      </c>
      <c r="R2751" s="1">
        <v>44355.545231481483</v>
      </c>
      <c r="S2751" s="1">
        <v>44355.65997685185</v>
      </c>
      <c r="T2751">
        <v>0</v>
      </c>
      <c r="U2751">
        <v>4</v>
      </c>
      <c r="V2751" s="2">
        <v>0</v>
      </c>
      <c r="W2751">
        <v>0</v>
      </c>
      <c r="X2751" t="s">
        <v>44</v>
      </c>
      <c r="Y2751">
        <v>0</v>
      </c>
      <c r="Z2751" t="s">
        <v>44</v>
      </c>
      <c r="AA2751">
        <v>0</v>
      </c>
      <c r="AB2751" t="s">
        <v>44</v>
      </c>
      <c r="AC2751">
        <v>0</v>
      </c>
      <c r="AD2751" t="s">
        <v>44</v>
      </c>
      <c r="AE2751">
        <v>0</v>
      </c>
      <c r="AF2751" t="s">
        <v>31</v>
      </c>
      <c r="AG2751">
        <v>0</v>
      </c>
      <c r="AH2751" t="s">
        <v>31</v>
      </c>
      <c r="AI2751">
        <v>0</v>
      </c>
      <c r="AJ2751" t="s">
        <v>31</v>
      </c>
      <c r="AK2751">
        <v>0</v>
      </c>
      <c r="AL2751" t="s">
        <v>31</v>
      </c>
      <c r="AM2751">
        <v>0</v>
      </c>
      <c r="AN2751" t="s">
        <v>31</v>
      </c>
      <c r="AO2751">
        <v>0</v>
      </c>
      <c r="AP2751" t="s">
        <v>31</v>
      </c>
      <c r="AQ2751">
        <v>0</v>
      </c>
    </row>
    <row r="2752" spans="1:43" x14ac:dyDescent="0.2">
      <c r="A2752" t="s">
        <v>381</v>
      </c>
      <c r="B2752" s="3">
        <v>44356</v>
      </c>
      <c r="C2752">
        <v>131</v>
      </c>
      <c r="D2752" t="s">
        <v>383</v>
      </c>
      <c r="E2752" t="s">
        <v>83</v>
      </c>
      <c r="F2752" s="9" t="s">
        <v>87</v>
      </c>
      <c r="G2752" t="s">
        <v>26</v>
      </c>
      <c r="H2752" t="s">
        <v>85</v>
      </c>
      <c r="I2752" t="s">
        <v>86</v>
      </c>
      <c r="J2752" t="s">
        <v>53</v>
      </c>
      <c r="K2752" t="s">
        <v>54</v>
      </c>
      <c r="L2752" t="s">
        <v>53</v>
      </c>
      <c r="M2752" t="s">
        <v>54</v>
      </c>
      <c r="N2752" t="s">
        <v>85</v>
      </c>
      <c r="O2752" t="s">
        <v>86</v>
      </c>
      <c r="P2752" t="s">
        <v>53</v>
      </c>
      <c r="Q2752" t="s">
        <v>54</v>
      </c>
      <c r="R2752" s="1">
        <v>44356.630127314813</v>
      </c>
      <c r="S2752" s="1">
        <v>44356.630127314813</v>
      </c>
      <c r="T2752">
        <v>0</v>
      </c>
      <c r="U2752">
        <v>1</v>
      </c>
      <c r="V2752" s="2">
        <v>0</v>
      </c>
      <c r="W2752">
        <v>0</v>
      </c>
      <c r="X2752" t="s">
        <v>44</v>
      </c>
      <c r="Y2752">
        <v>0</v>
      </c>
      <c r="Z2752" t="s">
        <v>31</v>
      </c>
      <c r="AA2752">
        <v>0</v>
      </c>
      <c r="AB2752" t="s">
        <v>31</v>
      </c>
      <c r="AC2752">
        <v>0</v>
      </c>
      <c r="AD2752" t="s">
        <v>31</v>
      </c>
      <c r="AE2752">
        <v>0</v>
      </c>
      <c r="AF2752" t="s">
        <v>31</v>
      </c>
      <c r="AG2752">
        <v>0</v>
      </c>
      <c r="AH2752" t="s">
        <v>31</v>
      </c>
      <c r="AI2752">
        <v>0</v>
      </c>
      <c r="AJ2752" t="s">
        <v>31</v>
      </c>
      <c r="AK2752">
        <v>0</v>
      </c>
      <c r="AL2752" t="s">
        <v>31</v>
      </c>
      <c r="AM2752">
        <v>0</v>
      </c>
      <c r="AN2752" t="s">
        <v>31</v>
      </c>
      <c r="AO2752">
        <v>0</v>
      </c>
      <c r="AP2752" t="s">
        <v>31</v>
      </c>
      <c r="AQ2752">
        <v>0</v>
      </c>
    </row>
    <row r="2753" spans="1:43" x14ac:dyDescent="0.2">
      <c r="A2753" t="s">
        <v>381</v>
      </c>
      <c r="B2753" s="3">
        <v>44357</v>
      </c>
      <c r="C2753">
        <v>132</v>
      </c>
      <c r="D2753" t="s">
        <v>399</v>
      </c>
      <c r="E2753" t="s">
        <v>83</v>
      </c>
      <c r="F2753" s="9" t="s">
        <v>87</v>
      </c>
      <c r="G2753" t="s">
        <v>26</v>
      </c>
      <c r="H2753" t="s">
        <v>85</v>
      </c>
      <c r="I2753" t="s">
        <v>86</v>
      </c>
      <c r="J2753" t="s">
        <v>53</v>
      </c>
      <c r="K2753" t="s">
        <v>54</v>
      </c>
      <c r="L2753" t="s">
        <v>53</v>
      </c>
      <c r="M2753" t="s">
        <v>54</v>
      </c>
      <c r="N2753" t="s">
        <v>85</v>
      </c>
      <c r="O2753" t="s">
        <v>86</v>
      </c>
      <c r="P2753" t="s">
        <v>53</v>
      </c>
      <c r="Q2753" t="s">
        <v>54</v>
      </c>
      <c r="R2753" s="1">
        <v>44357.407418981478</v>
      </c>
      <c r="S2753" s="1">
        <v>44357.407418981478</v>
      </c>
      <c r="T2753">
        <v>0</v>
      </c>
      <c r="U2753">
        <v>1</v>
      </c>
      <c r="V2753" s="2">
        <v>0</v>
      </c>
      <c r="W2753">
        <v>0</v>
      </c>
      <c r="X2753" t="s">
        <v>44</v>
      </c>
      <c r="Y2753">
        <v>0</v>
      </c>
      <c r="Z2753" t="s">
        <v>31</v>
      </c>
      <c r="AA2753">
        <v>0</v>
      </c>
      <c r="AB2753" t="s">
        <v>31</v>
      </c>
      <c r="AC2753">
        <v>0</v>
      </c>
      <c r="AD2753" t="s">
        <v>31</v>
      </c>
      <c r="AE2753">
        <v>0</v>
      </c>
      <c r="AF2753" t="s">
        <v>31</v>
      </c>
      <c r="AG2753">
        <v>0</v>
      </c>
      <c r="AH2753" t="s">
        <v>31</v>
      </c>
      <c r="AI2753">
        <v>0</v>
      </c>
      <c r="AJ2753" t="s">
        <v>31</v>
      </c>
      <c r="AK2753">
        <v>0</v>
      </c>
      <c r="AL2753" t="s">
        <v>31</v>
      </c>
      <c r="AM2753">
        <v>0</v>
      </c>
      <c r="AN2753" t="s">
        <v>31</v>
      </c>
      <c r="AO2753">
        <v>0</v>
      </c>
      <c r="AP2753" t="s">
        <v>31</v>
      </c>
      <c r="AQ2753">
        <v>0</v>
      </c>
    </row>
    <row r="2754" spans="1:43" x14ac:dyDescent="0.2">
      <c r="A2754" t="s">
        <v>381</v>
      </c>
      <c r="B2754" s="3">
        <v>44358</v>
      </c>
      <c r="C2754">
        <v>133</v>
      </c>
      <c r="D2754" t="s">
        <v>390</v>
      </c>
      <c r="E2754" t="s">
        <v>83</v>
      </c>
      <c r="F2754" s="9" t="s">
        <v>87</v>
      </c>
      <c r="G2754" t="s">
        <v>26</v>
      </c>
      <c r="H2754" t="s">
        <v>85</v>
      </c>
      <c r="I2754" t="s">
        <v>86</v>
      </c>
      <c r="J2754" t="s">
        <v>53</v>
      </c>
      <c r="K2754" t="s">
        <v>54</v>
      </c>
      <c r="L2754" t="s">
        <v>53</v>
      </c>
      <c r="M2754" t="s">
        <v>54</v>
      </c>
      <c r="N2754" t="s">
        <v>85</v>
      </c>
      <c r="O2754" t="s">
        <v>86</v>
      </c>
      <c r="P2754" t="s">
        <v>53</v>
      </c>
      <c r="Q2754" t="s">
        <v>54</v>
      </c>
      <c r="R2754" s="1">
        <v>44358.458726851852</v>
      </c>
      <c r="S2754" s="1">
        <v>44358.458726851852</v>
      </c>
      <c r="T2754">
        <v>0</v>
      </c>
      <c r="U2754">
        <v>1</v>
      </c>
      <c r="V2754" s="2">
        <v>0</v>
      </c>
      <c r="W2754">
        <v>0</v>
      </c>
      <c r="X2754" t="s">
        <v>44</v>
      </c>
      <c r="Y2754">
        <v>0</v>
      </c>
      <c r="Z2754" t="s">
        <v>31</v>
      </c>
      <c r="AA2754">
        <v>0</v>
      </c>
      <c r="AB2754" t="s">
        <v>31</v>
      </c>
      <c r="AC2754">
        <v>0</v>
      </c>
      <c r="AD2754" t="s">
        <v>31</v>
      </c>
      <c r="AE2754">
        <v>0</v>
      </c>
      <c r="AF2754" t="s">
        <v>31</v>
      </c>
      <c r="AG2754">
        <v>0</v>
      </c>
      <c r="AH2754" t="s">
        <v>31</v>
      </c>
      <c r="AI2754">
        <v>0</v>
      </c>
      <c r="AJ2754" t="s">
        <v>31</v>
      </c>
      <c r="AK2754">
        <v>0</v>
      </c>
      <c r="AL2754" t="s">
        <v>31</v>
      </c>
      <c r="AM2754">
        <v>0</v>
      </c>
      <c r="AN2754" t="s">
        <v>31</v>
      </c>
      <c r="AO2754">
        <v>0</v>
      </c>
      <c r="AP2754" t="s">
        <v>31</v>
      </c>
      <c r="AQ2754">
        <v>0</v>
      </c>
    </row>
    <row r="2755" spans="1:43" x14ac:dyDescent="0.2">
      <c r="A2755" t="s">
        <v>381</v>
      </c>
      <c r="B2755" s="3">
        <v>44361</v>
      </c>
      <c r="C2755">
        <v>135</v>
      </c>
      <c r="D2755" t="s">
        <v>390</v>
      </c>
      <c r="E2755" t="s">
        <v>83</v>
      </c>
      <c r="F2755" s="9" t="s">
        <v>87</v>
      </c>
      <c r="G2755" t="s">
        <v>26</v>
      </c>
      <c r="H2755" t="s">
        <v>85</v>
      </c>
      <c r="I2755" t="s">
        <v>86</v>
      </c>
      <c r="J2755" t="s">
        <v>53</v>
      </c>
      <c r="K2755" t="s">
        <v>54</v>
      </c>
      <c r="L2755" t="s">
        <v>53</v>
      </c>
      <c r="M2755" t="s">
        <v>54</v>
      </c>
      <c r="N2755" t="s">
        <v>85</v>
      </c>
      <c r="O2755" t="s">
        <v>86</v>
      </c>
      <c r="P2755" t="s">
        <v>53</v>
      </c>
      <c r="Q2755" t="s">
        <v>54</v>
      </c>
      <c r="R2755" s="1">
        <v>44361.483900462961</v>
      </c>
      <c r="S2755" s="1">
        <v>44361.483900462961</v>
      </c>
      <c r="T2755">
        <v>0</v>
      </c>
      <c r="U2755">
        <v>1</v>
      </c>
      <c r="V2755" s="2">
        <v>0</v>
      </c>
      <c r="W2755">
        <v>0</v>
      </c>
      <c r="X2755" t="s">
        <v>44</v>
      </c>
      <c r="Y2755">
        <v>0</v>
      </c>
      <c r="Z2755" t="s">
        <v>31</v>
      </c>
      <c r="AA2755">
        <v>0</v>
      </c>
      <c r="AB2755" t="s">
        <v>31</v>
      </c>
      <c r="AC2755">
        <v>0</v>
      </c>
      <c r="AD2755" t="s">
        <v>31</v>
      </c>
      <c r="AE2755">
        <v>0</v>
      </c>
      <c r="AF2755" t="s">
        <v>31</v>
      </c>
      <c r="AG2755">
        <v>0</v>
      </c>
      <c r="AH2755" t="s">
        <v>31</v>
      </c>
      <c r="AI2755">
        <v>0</v>
      </c>
      <c r="AJ2755" t="s">
        <v>31</v>
      </c>
      <c r="AK2755">
        <v>0</v>
      </c>
      <c r="AL2755" t="s">
        <v>31</v>
      </c>
      <c r="AM2755">
        <v>0</v>
      </c>
      <c r="AN2755" t="s">
        <v>31</v>
      </c>
      <c r="AO2755">
        <v>0</v>
      </c>
      <c r="AP2755" t="s">
        <v>31</v>
      </c>
      <c r="AQ2755">
        <v>0</v>
      </c>
    </row>
    <row r="2756" spans="1:43" x14ac:dyDescent="0.2">
      <c r="A2756" t="s">
        <v>381</v>
      </c>
      <c r="B2756" s="3">
        <v>44361</v>
      </c>
      <c r="C2756">
        <v>136</v>
      </c>
      <c r="D2756" t="s">
        <v>383</v>
      </c>
      <c r="E2756" t="s">
        <v>83</v>
      </c>
      <c r="F2756" s="9" t="s">
        <v>87</v>
      </c>
      <c r="G2756" t="s">
        <v>26</v>
      </c>
      <c r="H2756" t="s">
        <v>85</v>
      </c>
      <c r="I2756" t="s">
        <v>86</v>
      </c>
      <c r="J2756" t="s">
        <v>53</v>
      </c>
      <c r="K2756" t="s">
        <v>54</v>
      </c>
      <c r="L2756" t="s">
        <v>53</v>
      </c>
      <c r="M2756" t="s">
        <v>54</v>
      </c>
      <c r="N2756" t="s">
        <v>85</v>
      </c>
      <c r="O2756" t="s">
        <v>86</v>
      </c>
      <c r="P2756" t="s">
        <v>53</v>
      </c>
      <c r="Q2756" t="s">
        <v>54</v>
      </c>
      <c r="R2756" s="1">
        <v>44361.566782407404</v>
      </c>
      <c r="S2756" s="1">
        <v>44361.566782407404</v>
      </c>
      <c r="T2756">
        <v>0</v>
      </c>
      <c r="U2756">
        <v>1</v>
      </c>
      <c r="V2756" s="2">
        <v>0</v>
      </c>
      <c r="W2756">
        <v>0</v>
      </c>
      <c r="X2756" t="s">
        <v>44</v>
      </c>
      <c r="Y2756">
        <v>0</v>
      </c>
      <c r="Z2756" t="s">
        <v>31</v>
      </c>
      <c r="AA2756">
        <v>0</v>
      </c>
      <c r="AB2756" t="s">
        <v>31</v>
      </c>
      <c r="AC2756">
        <v>0</v>
      </c>
      <c r="AD2756" t="s">
        <v>31</v>
      </c>
      <c r="AE2756">
        <v>0</v>
      </c>
      <c r="AF2756" t="s">
        <v>31</v>
      </c>
      <c r="AG2756">
        <v>0</v>
      </c>
      <c r="AH2756" t="s">
        <v>31</v>
      </c>
      <c r="AI2756">
        <v>0</v>
      </c>
      <c r="AJ2756" t="s">
        <v>31</v>
      </c>
      <c r="AK2756">
        <v>0</v>
      </c>
      <c r="AL2756" t="s">
        <v>31</v>
      </c>
      <c r="AM2756">
        <v>0</v>
      </c>
      <c r="AN2756" t="s">
        <v>31</v>
      </c>
      <c r="AO2756">
        <v>0</v>
      </c>
      <c r="AP2756" t="s">
        <v>31</v>
      </c>
      <c r="AQ2756">
        <v>0</v>
      </c>
    </row>
    <row r="2757" spans="1:43" x14ac:dyDescent="0.2">
      <c r="A2757" t="s">
        <v>381</v>
      </c>
      <c r="B2757" s="3">
        <v>44363</v>
      </c>
      <c r="C2757">
        <v>137</v>
      </c>
      <c r="D2757" t="s">
        <v>383</v>
      </c>
      <c r="E2757" t="s">
        <v>83</v>
      </c>
      <c r="F2757" s="9" t="s">
        <v>87</v>
      </c>
      <c r="G2757" t="s">
        <v>26</v>
      </c>
      <c r="H2757" t="s">
        <v>85</v>
      </c>
      <c r="I2757" t="s">
        <v>86</v>
      </c>
      <c r="J2757" t="s">
        <v>53</v>
      </c>
      <c r="K2757" t="s">
        <v>54</v>
      </c>
      <c r="L2757" t="s">
        <v>53</v>
      </c>
      <c r="M2757" t="s">
        <v>54</v>
      </c>
      <c r="N2757" t="s">
        <v>85</v>
      </c>
      <c r="O2757" t="s">
        <v>86</v>
      </c>
      <c r="P2757" t="s">
        <v>53</v>
      </c>
      <c r="Q2757" t="s">
        <v>54</v>
      </c>
      <c r="R2757" s="1">
        <v>44363.640856481485</v>
      </c>
      <c r="S2757" s="1">
        <v>44363.641006944446</v>
      </c>
      <c r="T2757">
        <v>0</v>
      </c>
      <c r="U2757">
        <v>1</v>
      </c>
      <c r="V2757" s="2">
        <v>0</v>
      </c>
      <c r="W2757">
        <v>0</v>
      </c>
      <c r="X2757" t="s">
        <v>44</v>
      </c>
      <c r="Y2757">
        <v>0</v>
      </c>
      <c r="Z2757" t="s">
        <v>31</v>
      </c>
      <c r="AA2757">
        <v>0</v>
      </c>
      <c r="AB2757" t="s">
        <v>31</v>
      </c>
      <c r="AC2757">
        <v>0</v>
      </c>
      <c r="AD2757" t="s">
        <v>31</v>
      </c>
      <c r="AE2757">
        <v>0</v>
      </c>
      <c r="AF2757" t="s">
        <v>31</v>
      </c>
      <c r="AG2757">
        <v>0</v>
      </c>
      <c r="AH2757" t="s">
        <v>31</v>
      </c>
      <c r="AI2757">
        <v>0</v>
      </c>
      <c r="AJ2757" t="s">
        <v>31</v>
      </c>
      <c r="AK2757">
        <v>0</v>
      </c>
      <c r="AL2757" t="s">
        <v>31</v>
      </c>
      <c r="AM2757">
        <v>0</v>
      </c>
      <c r="AN2757" t="s">
        <v>31</v>
      </c>
      <c r="AO2757">
        <v>0</v>
      </c>
      <c r="AP2757" t="s">
        <v>31</v>
      </c>
      <c r="AQ2757">
        <v>0</v>
      </c>
    </row>
    <row r="2758" spans="1:43" x14ac:dyDescent="0.2">
      <c r="A2758" t="s">
        <v>381</v>
      </c>
      <c r="B2758" s="3">
        <v>44364</v>
      </c>
      <c r="C2758">
        <v>138</v>
      </c>
      <c r="D2758" t="s">
        <v>399</v>
      </c>
      <c r="E2758" t="s">
        <v>83</v>
      </c>
      <c r="F2758" s="9" t="s">
        <v>87</v>
      </c>
      <c r="G2758" t="s">
        <v>26</v>
      </c>
      <c r="H2758" t="s">
        <v>85</v>
      </c>
      <c r="I2758" t="s">
        <v>86</v>
      </c>
      <c r="J2758" t="s">
        <v>53</v>
      </c>
      <c r="K2758" t="s">
        <v>54</v>
      </c>
      <c r="L2758" t="s">
        <v>53</v>
      </c>
      <c r="M2758" t="s">
        <v>54</v>
      </c>
      <c r="N2758" t="s">
        <v>85</v>
      </c>
      <c r="O2758" t="s">
        <v>86</v>
      </c>
      <c r="P2758" t="s">
        <v>53</v>
      </c>
      <c r="Q2758" t="s">
        <v>54</v>
      </c>
      <c r="R2758" s="1">
        <v>44364.368692129632</v>
      </c>
      <c r="S2758" s="1">
        <v>44364.466087962966</v>
      </c>
      <c r="T2758">
        <v>0</v>
      </c>
      <c r="U2758">
        <v>2</v>
      </c>
      <c r="V2758" s="2">
        <v>0</v>
      </c>
      <c r="W2758">
        <v>0</v>
      </c>
      <c r="X2758" t="s">
        <v>44</v>
      </c>
      <c r="Y2758">
        <v>0</v>
      </c>
      <c r="Z2758" t="s">
        <v>44</v>
      </c>
      <c r="AA2758">
        <v>0</v>
      </c>
      <c r="AB2758" t="s">
        <v>31</v>
      </c>
      <c r="AC2758">
        <v>0</v>
      </c>
      <c r="AD2758" t="s">
        <v>31</v>
      </c>
      <c r="AE2758">
        <v>0</v>
      </c>
      <c r="AF2758" t="s">
        <v>31</v>
      </c>
      <c r="AG2758">
        <v>0</v>
      </c>
      <c r="AH2758" t="s">
        <v>31</v>
      </c>
      <c r="AI2758">
        <v>0</v>
      </c>
      <c r="AJ2758" t="s">
        <v>31</v>
      </c>
      <c r="AK2758">
        <v>0</v>
      </c>
      <c r="AL2758" t="s">
        <v>31</v>
      </c>
      <c r="AM2758">
        <v>0</v>
      </c>
      <c r="AN2758" t="s">
        <v>31</v>
      </c>
      <c r="AO2758">
        <v>0</v>
      </c>
      <c r="AP2758" t="s">
        <v>31</v>
      </c>
      <c r="AQ2758">
        <v>0</v>
      </c>
    </row>
    <row r="2759" spans="1:43" x14ac:dyDescent="0.2">
      <c r="A2759" t="s">
        <v>381</v>
      </c>
      <c r="B2759" s="3">
        <v>44365</v>
      </c>
      <c r="C2759">
        <v>139</v>
      </c>
      <c r="D2759" t="s">
        <v>400</v>
      </c>
      <c r="E2759" t="s">
        <v>83</v>
      </c>
      <c r="F2759" s="9" t="s">
        <v>87</v>
      </c>
      <c r="G2759" t="s">
        <v>26</v>
      </c>
      <c r="H2759" t="s">
        <v>85</v>
      </c>
      <c r="I2759" t="s">
        <v>86</v>
      </c>
      <c r="J2759" t="s">
        <v>53</v>
      </c>
      <c r="K2759" t="s">
        <v>54</v>
      </c>
      <c r="L2759" t="s">
        <v>53</v>
      </c>
      <c r="M2759" t="s">
        <v>54</v>
      </c>
      <c r="N2759" t="s">
        <v>85</v>
      </c>
      <c r="O2759" t="s">
        <v>86</v>
      </c>
      <c r="P2759" t="s">
        <v>53</v>
      </c>
      <c r="Q2759" t="s">
        <v>54</v>
      </c>
      <c r="R2759" s="1">
        <v>44365.422800925924</v>
      </c>
      <c r="S2759" s="1">
        <v>44365.422800925924</v>
      </c>
      <c r="T2759">
        <v>0</v>
      </c>
      <c r="U2759">
        <v>1</v>
      </c>
      <c r="V2759" s="2">
        <v>0</v>
      </c>
      <c r="W2759">
        <v>0</v>
      </c>
      <c r="X2759" t="s">
        <v>44</v>
      </c>
      <c r="Y2759">
        <v>0</v>
      </c>
      <c r="Z2759" t="s">
        <v>31</v>
      </c>
      <c r="AA2759">
        <v>0</v>
      </c>
      <c r="AB2759" t="s">
        <v>31</v>
      </c>
      <c r="AC2759">
        <v>0</v>
      </c>
      <c r="AD2759" t="s">
        <v>31</v>
      </c>
      <c r="AE2759">
        <v>0</v>
      </c>
      <c r="AF2759" t="s">
        <v>31</v>
      </c>
      <c r="AG2759">
        <v>0</v>
      </c>
      <c r="AH2759" t="s">
        <v>31</v>
      </c>
      <c r="AI2759">
        <v>0</v>
      </c>
      <c r="AJ2759" t="s">
        <v>31</v>
      </c>
      <c r="AK2759">
        <v>0</v>
      </c>
      <c r="AL2759" t="s">
        <v>31</v>
      </c>
      <c r="AM2759">
        <v>0</v>
      </c>
      <c r="AN2759" t="s">
        <v>31</v>
      </c>
      <c r="AO2759">
        <v>0</v>
      </c>
      <c r="AP2759" t="s">
        <v>31</v>
      </c>
      <c r="AQ2759">
        <v>0</v>
      </c>
    </row>
    <row r="2760" spans="1:43" x14ac:dyDescent="0.2">
      <c r="A2760" t="s">
        <v>381</v>
      </c>
      <c r="B2760" s="3">
        <v>44365</v>
      </c>
      <c r="C2760">
        <v>140</v>
      </c>
      <c r="D2760" t="s">
        <v>399</v>
      </c>
      <c r="E2760" t="s">
        <v>83</v>
      </c>
      <c r="F2760" s="9" t="s">
        <v>87</v>
      </c>
      <c r="G2760" t="s">
        <v>26</v>
      </c>
      <c r="H2760" t="s">
        <v>85</v>
      </c>
      <c r="I2760" t="s">
        <v>86</v>
      </c>
      <c r="J2760" t="s">
        <v>53</v>
      </c>
      <c r="K2760" t="s">
        <v>54</v>
      </c>
      <c r="L2760" t="s">
        <v>53</v>
      </c>
      <c r="M2760" t="s">
        <v>54</v>
      </c>
      <c r="N2760" t="s">
        <v>85</v>
      </c>
      <c r="O2760" t="s">
        <v>86</v>
      </c>
      <c r="P2760" t="s">
        <v>53</v>
      </c>
      <c r="Q2760" t="s">
        <v>54</v>
      </c>
      <c r="R2760" s="1">
        <v>44365.552233796298</v>
      </c>
      <c r="S2760" s="1">
        <v>44365.631041666667</v>
      </c>
      <c r="T2760">
        <v>0</v>
      </c>
      <c r="U2760">
        <v>2</v>
      </c>
      <c r="V2760" s="2">
        <v>0</v>
      </c>
      <c r="W2760">
        <v>0</v>
      </c>
      <c r="X2760" t="s">
        <v>44</v>
      </c>
      <c r="Y2760">
        <v>0</v>
      </c>
      <c r="Z2760" t="s">
        <v>44</v>
      </c>
      <c r="AA2760">
        <v>0</v>
      </c>
      <c r="AB2760" t="s">
        <v>31</v>
      </c>
      <c r="AC2760">
        <v>0</v>
      </c>
      <c r="AD2760" t="s">
        <v>31</v>
      </c>
      <c r="AE2760">
        <v>0</v>
      </c>
      <c r="AF2760" t="s">
        <v>31</v>
      </c>
      <c r="AG2760">
        <v>0</v>
      </c>
      <c r="AH2760" t="s">
        <v>31</v>
      </c>
      <c r="AI2760">
        <v>0</v>
      </c>
      <c r="AJ2760" t="s">
        <v>31</v>
      </c>
      <c r="AK2760">
        <v>0</v>
      </c>
      <c r="AL2760" t="s">
        <v>31</v>
      </c>
      <c r="AM2760">
        <v>0</v>
      </c>
      <c r="AN2760" t="s">
        <v>31</v>
      </c>
      <c r="AO2760">
        <v>0</v>
      </c>
      <c r="AP2760" t="s">
        <v>31</v>
      </c>
      <c r="AQ2760">
        <v>0</v>
      </c>
    </row>
    <row r="2761" spans="1:43" x14ac:dyDescent="0.2">
      <c r="A2761" t="s">
        <v>381</v>
      </c>
      <c r="B2761" s="3">
        <v>44375</v>
      </c>
      <c r="C2761">
        <v>141</v>
      </c>
      <c r="D2761" t="s">
        <v>396</v>
      </c>
      <c r="E2761" t="s">
        <v>83</v>
      </c>
      <c r="F2761" s="9" t="s">
        <v>87</v>
      </c>
      <c r="G2761" t="s">
        <v>26</v>
      </c>
      <c r="H2761" t="s">
        <v>85</v>
      </c>
      <c r="I2761" t="s">
        <v>86</v>
      </c>
      <c r="J2761" t="s">
        <v>53</v>
      </c>
      <c r="K2761" t="s">
        <v>54</v>
      </c>
      <c r="L2761" t="s">
        <v>53</v>
      </c>
      <c r="M2761" t="s">
        <v>54</v>
      </c>
      <c r="N2761" t="s">
        <v>85</v>
      </c>
      <c r="O2761" t="s">
        <v>86</v>
      </c>
      <c r="P2761" t="s">
        <v>53</v>
      </c>
      <c r="Q2761" t="s">
        <v>54</v>
      </c>
      <c r="R2761" s="1">
        <v>44375.560150462959</v>
      </c>
      <c r="S2761" s="1">
        <v>44375.560150462959</v>
      </c>
      <c r="T2761">
        <v>0</v>
      </c>
      <c r="U2761">
        <v>1</v>
      </c>
      <c r="V2761" s="2">
        <v>0</v>
      </c>
      <c r="W2761">
        <v>0</v>
      </c>
      <c r="X2761" t="s">
        <v>44</v>
      </c>
      <c r="Y2761">
        <v>0</v>
      </c>
      <c r="Z2761" t="s">
        <v>31</v>
      </c>
      <c r="AA2761">
        <v>0</v>
      </c>
      <c r="AB2761" t="s">
        <v>31</v>
      </c>
      <c r="AC2761">
        <v>0</v>
      </c>
      <c r="AD2761" t="s">
        <v>31</v>
      </c>
      <c r="AE2761">
        <v>0</v>
      </c>
      <c r="AF2761" t="s">
        <v>31</v>
      </c>
      <c r="AG2761">
        <v>0</v>
      </c>
      <c r="AH2761" t="s">
        <v>31</v>
      </c>
      <c r="AI2761">
        <v>0</v>
      </c>
      <c r="AJ2761" t="s">
        <v>31</v>
      </c>
      <c r="AK2761">
        <v>0</v>
      </c>
      <c r="AL2761" t="s">
        <v>31</v>
      </c>
      <c r="AM2761">
        <v>0</v>
      </c>
      <c r="AN2761" t="s">
        <v>31</v>
      </c>
      <c r="AO2761">
        <v>0</v>
      </c>
      <c r="AP2761" t="s">
        <v>31</v>
      </c>
      <c r="AQ2761">
        <v>0</v>
      </c>
    </row>
    <row r="2762" spans="1:43" x14ac:dyDescent="0.2">
      <c r="A2762" t="s">
        <v>381</v>
      </c>
      <c r="B2762" s="3">
        <v>44207</v>
      </c>
      <c r="C2762">
        <v>1</v>
      </c>
      <c r="D2762" t="s">
        <v>384</v>
      </c>
      <c r="E2762" t="s">
        <v>83</v>
      </c>
      <c r="F2762" s="9" t="s">
        <v>88</v>
      </c>
      <c r="G2762" t="s">
        <v>26</v>
      </c>
      <c r="H2762" t="s">
        <v>85</v>
      </c>
      <c r="I2762" t="s">
        <v>86</v>
      </c>
      <c r="J2762" t="s">
        <v>43</v>
      </c>
      <c r="K2762" t="s">
        <v>44</v>
      </c>
      <c r="L2762" t="s">
        <v>53</v>
      </c>
      <c r="M2762" t="s">
        <v>54</v>
      </c>
      <c r="N2762" t="s">
        <v>85</v>
      </c>
      <c r="O2762" t="s">
        <v>86</v>
      </c>
      <c r="P2762" t="s">
        <v>43</v>
      </c>
      <c r="Q2762" t="s">
        <v>44</v>
      </c>
      <c r="R2762" s="1">
        <v>44207.450821759259</v>
      </c>
      <c r="S2762" s="1">
        <v>44207.450821759259</v>
      </c>
      <c r="T2762">
        <v>1</v>
      </c>
      <c r="U2762">
        <v>1</v>
      </c>
      <c r="V2762" s="2">
        <v>1</v>
      </c>
      <c r="W2762">
        <v>1</v>
      </c>
      <c r="X2762" t="s">
        <v>54</v>
      </c>
      <c r="Y2762">
        <v>1</v>
      </c>
      <c r="Z2762" t="s">
        <v>31</v>
      </c>
      <c r="AA2762">
        <v>0</v>
      </c>
      <c r="AB2762" t="s">
        <v>31</v>
      </c>
      <c r="AC2762">
        <v>0</v>
      </c>
      <c r="AD2762" t="s">
        <v>31</v>
      </c>
      <c r="AE2762">
        <v>0</v>
      </c>
      <c r="AF2762" t="s">
        <v>31</v>
      </c>
      <c r="AG2762">
        <v>0</v>
      </c>
      <c r="AH2762" t="s">
        <v>31</v>
      </c>
      <c r="AI2762">
        <v>0</v>
      </c>
      <c r="AJ2762" t="s">
        <v>31</v>
      </c>
      <c r="AK2762">
        <v>0</v>
      </c>
      <c r="AL2762" t="s">
        <v>31</v>
      </c>
      <c r="AM2762">
        <v>0</v>
      </c>
      <c r="AN2762" t="s">
        <v>31</v>
      </c>
      <c r="AO2762">
        <v>0</v>
      </c>
      <c r="AP2762" t="s">
        <v>31</v>
      </c>
      <c r="AQ2762">
        <v>0</v>
      </c>
    </row>
    <row r="2763" spans="1:43" x14ac:dyDescent="0.2">
      <c r="A2763" t="s">
        <v>381</v>
      </c>
      <c r="B2763" s="3">
        <v>44237</v>
      </c>
      <c r="C2763">
        <v>4</v>
      </c>
      <c r="D2763" t="s">
        <v>384</v>
      </c>
      <c r="E2763" t="s">
        <v>83</v>
      </c>
      <c r="F2763" s="9" t="s">
        <v>88</v>
      </c>
      <c r="G2763" t="s">
        <v>26</v>
      </c>
      <c r="H2763" t="s">
        <v>85</v>
      </c>
      <c r="I2763" t="s">
        <v>86</v>
      </c>
      <c r="J2763" t="s">
        <v>43</v>
      </c>
      <c r="K2763" t="s">
        <v>44</v>
      </c>
      <c r="L2763" t="s">
        <v>53</v>
      </c>
      <c r="M2763" t="s">
        <v>54</v>
      </c>
      <c r="N2763" t="s">
        <v>85</v>
      </c>
      <c r="O2763" t="s">
        <v>86</v>
      </c>
      <c r="P2763" t="s">
        <v>43</v>
      </c>
      <c r="Q2763" t="s">
        <v>44</v>
      </c>
      <c r="R2763" s="1">
        <v>44237.470995370371</v>
      </c>
      <c r="S2763" s="1">
        <v>44237.470995370371</v>
      </c>
      <c r="T2763">
        <v>0</v>
      </c>
      <c r="U2763">
        <v>1</v>
      </c>
      <c r="V2763" s="2">
        <v>0</v>
      </c>
      <c r="W2763">
        <v>0</v>
      </c>
      <c r="X2763" t="s">
        <v>44</v>
      </c>
      <c r="Y2763">
        <v>0</v>
      </c>
      <c r="Z2763" t="s">
        <v>31</v>
      </c>
      <c r="AA2763">
        <v>0</v>
      </c>
      <c r="AB2763" t="s">
        <v>31</v>
      </c>
      <c r="AC2763">
        <v>0</v>
      </c>
      <c r="AD2763" t="s">
        <v>31</v>
      </c>
      <c r="AE2763">
        <v>0</v>
      </c>
      <c r="AF2763" t="s">
        <v>31</v>
      </c>
      <c r="AG2763">
        <v>0</v>
      </c>
      <c r="AH2763" t="s">
        <v>31</v>
      </c>
      <c r="AI2763">
        <v>0</v>
      </c>
      <c r="AJ2763" t="s">
        <v>31</v>
      </c>
      <c r="AK2763">
        <v>0</v>
      </c>
      <c r="AL2763" t="s">
        <v>31</v>
      </c>
      <c r="AM2763">
        <v>0</v>
      </c>
      <c r="AN2763" t="s">
        <v>31</v>
      </c>
      <c r="AO2763">
        <v>0</v>
      </c>
      <c r="AP2763" t="s">
        <v>31</v>
      </c>
      <c r="AQ2763">
        <v>0</v>
      </c>
    </row>
    <row r="2764" spans="1:43" x14ac:dyDescent="0.2">
      <c r="A2764" t="s">
        <v>381</v>
      </c>
      <c r="B2764" s="3">
        <v>44239</v>
      </c>
      <c r="C2764">
        <v>7</v>
      </c>
      <c r="D2764" t="s">
        <v>384</v>
      </c>
      <c r="E2764" t="s">
        <v>83</v>
      </c>
      <c r="F2764" s="9" t="s">
        <v>88</v>
      </c>
      <c r="G2764" t="s">
        <v>26</v>
      </c>
      <c r="H2764" t="s">
        <v>85</v>
      </c>
      <c r="I2764" t="s">
        <v>86</v>
      </c>
      <c r="J2764" t="s">
        <v>43</v>
      </c>
      <c r="K2764" t="s">
        <v>44</v>
      </c>
      <c r="L2764" t="s">
        <v>53</v>
      </c>
      <c r="M2764" t="s">
        <v>54</v>
      </c>
      <c r="N2764" t="s">
        <v>85</v>
      </c>
      <c r="O2764" t="s">
        <v>86</v>
      </c>
      <c r="P2764" t="s">
        <v>43</v>
      </c>
      <c r="Q2764" t="s">
        <v>44</v>
      </c>
      <c r="R2764" s="1">
        <v>44239.437824074077</v>
      </c>
      <c r="S2764" s="1">
        <v>44239.437824074077</v>
      </c>
      <c r="T2764">
        <v>0</v>
      </c>
      <c r="U2764">
        <v>1</v>
      </c>
      <c r="V2764" s="2">
        <v>0</v>
      </c>
      <c r="W2764">
        <v>0</v>
      </c>
      <c r="X2764" t="s">
        <v>44</v>
      </c>
      <c r="Y2764">
        <v>0</v>
      </c>
      <c r="Z2764" t="s">
        <v>31</v>
      </c>
      <c r="AA2764">
        <v>0</v>
      </c>
      <c r="AB2764" t="s">
        <v>31</v>
      </c>
      <c r="AC2764">
        <v>0</v>
      </c>
      <c r="AD2764" t="s">
        <v>31</v>
      </c>
      <c r="AE2764">
        <v>0</v>
      </c>
      <c r="AF2764" t="s">
        <v>31</v>
      </c>
      <c r="AG2764">
        <v>0</v>
      </c>
      <c r="AH2764" t="s">
        <v>31</v>
      </c>
      <c r="AI2764">
        <v>0</v>
      </c>
      <c r="AJ2764" t="s">
        <v>31</v>
      </c>
      <c r="AK2764">
        <v>0</v>
      </c>
      <c r="AL2764" t="s">
        <v>31</v>
      </c>
      <c r="AM2764">
        <v>0</v>
      </c>
      <c r="AN2764" t="s">
        <v>31</v>
      </c>
      <c r="AO2764">
        <v>0</v>
      </c>
      <c r="AP2764" t="s">
        <v>31</v>
      </c>
      <c r="AQ2764">
        <v>0</v>
      </c>
    </row>
    <row r="2765" spans="1:43" x14ac:dyDescent="0.2">
      <c r="A2765" t="s">
        <v>381</v>
      </c>
      <c r="B2765" s="3">
        <v>44242</v>
      </c>
      <c r="C2765">
        <v>8</v>
      </c>
      <c r="D2765" t="s">
        <v>384</v>
      </c>
      <c r="E2765" t="s">
        <v>83</v>
      </c>
      <c r="F2765" s="9" t="s">
        <v>88</v>
      </c>
      <c r="G2765" t="s">
        <v>26</v>
      </c>
      <c r="H2765" t="s">
        <v>85</v>
      </c>
      <c r="I2765" t="s">
        <v>86</v>
      </c>
      <c r="J2765" t="s">
        <v>43</v>
      </c>
      <c r="K2765" t="s">
        <v>44</v>
      </c>
      <c r="L2765" t="s">
        <v>53</v>
      </c>
      <c r="M2765" t="s">
        <v>54</v>
      </c>
      <c r="N2765" t="s">
        <v>85</v>
      </c>
      <c r="O2765" t="s">
        <v>86</v>
      </c>
      <c r="P2765" t="s">
        <v>43</v>
      </c>
      <c r="Q2765" t="s">
        <v>44</v>
      </c>
      <c r="R2765" s="1">
        <v>44242.385254629633</v>
      </c>
      <c r="S2765" s="1">
        <v>44242.385254629633</v>
      </c>
      <c r="T2765">
        <v>0</v>
      </c>
      <c r="U2765">
        <v>1</v>
      </c>
      <c r="V2765" s="2">
        <v>0</v>
      </c>
      <c r="W2765">
        <v>0</v>
      </c>
      <c r="X2765" t="s">
        <v>44</v>
      </c>
      <c r="Y2765">
        <v>0</v>
      </c>
      <c r="Z2765" t="s">
        <v>31</v>
      </c>
      <c r="AA2765">
        <v>0</v>
      </c>
      <c r="AB2765" t="s">
        <v>31</v>
      </c>
      <c r="AC2765">
        <v>0</v>
      </c>
      <c r="AD2765" t="s">
        <v>31</v>
      </c>
      <c r="AE2765">
        <v>0</v>
      </c>
      <c r="AF2765" t="s">
        <v>31</v>
      </c>
      <c r="AG2765">
        <v>0</v>
      </c>
      <c r="AH2765" t="s">
        <v>31</v>
      </c>
      <c r="AI2765">
        <v>0</v>
      </c>
      <c r="AJ2765" t="s">
        <v>31</v>
      </c>
      <c r="AK2765">
        <v>0</v>
      </c>
      <c r="AL2765" t="s">
        <v>31</v>
      </c>
      <c r="AM2765">
        <v>0</v>
      </c>
      <c r="AN2765" t="s">
        <v>31</v>
      </c>
      <c r="AO2765">
        <v>0</v>
      </c>
      <c r="AP2765" t="s">
        <v>31</v>
      </c>
      <c r="AQ2765">
        <v>0</v>
      </c>
    </row>
    <row r="2766" spans="1:43" x14ac:dyDescent="0.2">
      <c r="A2766" t="s">
        <v>381</v>
      </c>
      <c r="B2766" s="3">
        <v>44243</v>
      </c>
      <c r="C2766">
        <v>9</v>
      </c>
      <c r="D2766" t="s">
        <v>382</v>
      </c>
      <c r="E2766" t="s">
        <v>83</v>
      </c>
      <c r="F2766" s="9" t="s">
        <v>88</v>
      </c>
      <c r="G2766" t="s">
        <v>26</v>
      </c>
      <c r="H2766" t="s">
        <v>85</v>
      </c>
      <c r="I2766" t="s">
        <v>86</v>
      </c>
      <c r="J2766" t="s">
        <v>43</v>
      </c>
      <c r="K2766" t="s">
        <v>44</v>
      </c>
      <c r="L2766" t="s">
        <v>53</v>
      </c>
      <c r="M2766" t="s">
        <v>54</v>
      </c>
      <c r="N2766" t="s">
        <v>85</v>
      </c>
      <c r="O2766" t="s">
        <v>86</v>
      </c>
      <c r="P2766" t="s">
        <v>43</v>
      </c>
      <c r="Q2766" t="s">
        <v>44</v>
      </c>
      <c r="R2766" s="1">
        <v>44243.377546296295</v>
      </c>
      <c r="S2766" s="1">
        <v>44243.377546296295</v>
      </c>
      <c r="T2766">
        <v>0</v>
      </c>
      <c r="U2766">
        <v>1</v>
      </c>
      <c r="V2766" s="2">
        <v>0</v>
      </c>
      <c r="W2766">
        <v>0</v>
      </c>
      <c r="X2766" t="s">
        <v>44</v>
      </c>
      <c r="Y2766">
        <v>0</v>
      </c>
      <c r="Z2766" t="s">
        <v>31</v>
      </c>
      <c r="AA2766">
        <v>0</v>
      </c>
      <c r="AB2766" t="s">
        <v>31</v>
      </c>
      <c r="AC2766">
        <v>0</v>
      </c>
      <c r="AD2766" t="s">
        <v>31</v>
      </c>
      <c r="AE2766">
        <v>0</v>
      </c>
      <c r="AF2766" t="s">
        <v>31</v>
      </c>
      <c r="AG2766">
        <v>0</v>
      </c>
      <c r="AH2766" t="s">
        <v>31</v>
      </c>
      <c r="AI2766">
        <v>0</v>
      </c>
      <c r="AJ2766" t="s">
        <v>31</v>
      </c>
      <c r="AK2766">
        <v>0</v>
      </c>
      <c r="AL2766" t="s">
        <v>31</v>
      </c>
      <c r="AM2766">
        <v>0</v>
      </c>
      <c r="AN2766" t="s">
        <v>31</v>
      </c>
      <c r="AO2766">
        <v>0</v>
      </c>
      <c r="AP2766" t="s">
        <v>31</v>
      </c>
      <c r="AQ2766">
        <v>0</v>
      </c>
    </row>
    <row r="2767" spans="1:43" x14ac:dyDescent="0.2">
      <c r="A2767" t="s">
        <v>381</v>
      </c>
      <c r="B2767" s="3">
        <v>44243</v>
      </c>
      <c r="C2767">
        <v>10</v>
      </c>
      <c r="D2767" t="s">
        <v>385</v>
      </c>
      <c r="E2767" t="s">
        <v>83</v>
      </c>
      <c r="F2767" s="9" t="s">
        <v>88</v>
      </c>
      <c r="G2767" t="s">
        <v>26</v>
      </c>
      <c r="H2767" t="s">
        <v>85</v>
      </c>
      <c r="I2767" t="s">
        <v>86</v>
      </c>
      <c r="J2767" t="s">
        <v>43</v>
      </c>
      <c r="K2767" t="s">
        <v>44</v>
      </c>
      <c r="L2767" t="s">
        <v>53</v>
      </c>
      <c r="M2767" t="s">
        <v>54</v>
      </c>
      <c r="N2767" t="s">
        <v>85</v>
      </c>
      <c r="O2767" t="s">
        <v>86</v>
      </c>
      <c r="P2767" t="s">
        <v>43</v>
      </c>
      <c r="Q2767" t="s">
        <v>44</v>
      </c>
      <c r="R2767" s="1">
        <v>44243.572569444441</v>
      </c>
      <c r="S2767" s="1">
        <v>44243.572581018518</v>
      </c>
      <c r="T2767">
        <v>0</v>
      </c>
      <c r="U2767">
        <v>2</v>
      </c>
      <c r="V2767" s="2">
        <v>0</v>
      </c>
      <c r="W2767">
        <v>0</v>
      </c>
      <c r="X2767" t="s">
        <v>44</v>
      </c>
      <c r="Y2767">
        <v>0</v>
      </c>
      <c r="Z2767" t="s">
        <v>44</v>
      </c>
      <c r="AA2767">
        <v>0</v>
      </c>
      <c r="AB2767" t="s">
        <v>31</v>
      </c>
      <c r="AC2767">
        <v>0</v>
      </c>
      <c r="AD2767" t="s">
        <v>31</v>
      </c>
      <c r="AE2767">
        <v>0</v>
      </c>
      <c r="AF2767" t="s">
        <v>31</v>
      </c>
      <c r="AG2767">
        <v>0</v>
      </c>
      <c r="AH2767" t="s">
        <v>31</v>
      </c>
      <c r="AI2767">
        <v>0</v>
      </c>
      <c r="AJ2767" t="s">
        <v>31</v>
      </c>
      <c r="AK2767">
        <v>0</v>
      </c>
      <c r="AL2767" t="s">
        <v>31</v>
      </c>
      <c r="AM2767">
        <v>0</v>
      </c>
      <c r="AN2767" t="s">
        <v>31</v>
      </c>
      <c r="AO2767">
        <v>0</v>
      </c>
      <c r="AP2767" t="s">
        <v>31</v>
      </c>
      <c r="AQ2767">
        <v>0</v>
      </c>
    </row>
    <row r="2768" spans="1:43" x14ac:dyDescent="0.2">
      <c r="A2768" t="s">
        <v>381</v>
      </c>
      <c r="B2768" s="3">
        <v>44244</v>
      </c>
      <c r="C2768">
        <v>11</v>
      </c>
      <c r="D2768" t="s">
        <v>384</v>
      </c>
      <c r="E2768" t="s">
        <v>83</v>
      </c>
      <c r="F2768" s="9" t="s">
        <v>88</v>
      </c>
      <c r="G2768" t="s">
        <v>26</v>
      </c>
      <c r="H2768" t="s">
        <v>85</v>
      </c>
      <c r="I2768" t="s">
        <v>86</v>
      </c>
      <c r="J2768" t="s">
        <v>43</v>
      </c>
      <c r="K2768" t="s">
        <v>44</v>
      </c>
      <c r="L2768" t="s">
        <v>53</v>
      </c>
      <c r="M2768" t="s">
        <v>54</v>
      </c>
      <c r="N2768" t="s">
        <v>85</v>
      </c>
      <c r="O2768" t="s">
        <v>86</v>
      </c>
      <c r="P2768" t="s">
        <v>43</v>
      </c>
      <c r="Q2768" t="s">
        <v>44</v>
      </c>
      <c r="R2768" s="1">
        <v>44244.390138888892</v>
      </c>
      <c r="S2768" s="1">
        <v>44244.390138888892</v>
      </c>
      <c r="T2768">
        <v>0</v>
      </c>
      <c r="U2768">
        <v>1</v>
      </c>
      <c r="V2768" s="2">
        <v>0</v>
      </c>
      <c r="W2768">
        <v>0</v>
      </c>
      <c r="X2768" t="s">
        <v>44</v>
      </c>
      <c r="Y2768">
        <v>0</v>
      </c>
      <c r="Z2768" t="s">
        <v>31</v>
      </c>
      <c r="AA2768">
        <v>0</v>
      </c>
      <c r="AB2768" t="s">
        <v>31</v>
      </c>
      <c r="AC2768">
        <v>0</v>
      </c>
      <c r="AD2768" t="s">
        <v>31</v>
      </c>
      <c r="AE2768">
        <v>0</v>
      </c>
      <c r="AF2768" t="s">
        <v>31</v>
      </c>
      <c r="AG2768">
        <v>0</v>
      </c>
      <c r="AH2768" t="s">
        <v>31</v>
      </c>
      <c r="AI2768">
        <v>0</v>
      </c>
      <c r="AJ2768" t="s">
        <v>31</v>
      </c>
      <c r="AK2768">
        <v>0</v>
      </c>
      <c r="AL2768" t="s">
        <v>31</v>
      </c>
      <c r="AM2768">
        <v>0</v>
      </c>
      <c r="AN2768" t="s">
        <v>31</v>
      </c>
      <c r="AO2768">
        <v>0</v>
      </c>
      <c r="AP2768" t="s">
        <v>31</v>
      </c>
      <c r="AQ2768">
        <v>0</v>
      </c>
    </row>
    <row r="2769" spans="1:43" x14ac:dyDescent="0.2">
      <c r="A2769" t="s">
        <v>381</v>
      </c>
      <c r="B2769" s="3">
        <v>44245</v>
      </c>
      <c r="C2769">
        <v>12</v>
      </c>
      <c r="D2769" t="s">
        <v>382</v>
      </c>
      <c r="E2769" t="s">
        <v>83</v>
      </c>
      <c r="F2769" s="9" t="s">
        <v>88</v>
      </c>
      <c r="G2769" t="s">
        <v>26</v>
      </c>
      <c r="H2769" t="s">
        <v>85</v>
      </c>
      <c r="I2769" t="s">
        <v>86</v>
      </c>
      <c r="J2769" t="s">
        <v>43</v>
      </c>
      <c r="K2769" t="s">
        <v>44</v>
      </c>
      <c r="L2769" t="s">
        <v>53</v>
      </c>
      <c r="M2769" t="s">
        <v>54</v>
      </c>
      <c r="N2769" t="s">
        <v>85</v>
      </c>
      <c r="O2769" t="s">
        <v>86</v>
      </c>
      <c r="P2769" t="s">
        <v>43</v>
      </c>
      <c r="Q2769" t="s">
        <v>44</v>
      </c>
      <c r="R2769" s="1">
        <v>44245.405046296299</v>
      </c>
      <c r="S2769" s="1">
        <v>44245.451921296299</v>
      </c>
      <c r="T2769">
        <v>0</v>
      </c>
      <c r="U2769">
        <v>2</v>
      </c>
      <c r="V2769" s="2">
        <v>0</v>
      </c>
      <c r="W2769">
        <v>0</v>
      </c>
      <c r="X2769" t="s">
        <v>44</v>
      </c>
      <c r="Y2769">
        <v>0</v>
      </c>
      <c r="Z2769" t="s">
        <v>44</v>
      </c>
      <c r="AA2769">
        <v>0</v>
      </c>
      <c r="AB2769" t="s">
        <v>31</v>
      </c>
      <c r="AC2769">
        <v>0</v>
      </c>
      <c r="AD2769" t="s">
        <v>31</v>
      </c>
      <c r="AE2769">
        <v>0</v>
      </c>
      <c r="AF2769" t="s">
        <v>31</v>
      </c>
      <c r="AG2769">
        <v>0</v>
      </c>
      <c r="AH2769" t="s">
        <v>31</v>
      </c>
      <c r="AI2769">
        <v>0</v>
      </c>
      <c r="AJ2769" t="s">
        <v>31</v>
      </c>
      <c r="AK2769">
        <v>0</v>
      </c>
      <c r="AL2769" t="s">
        <v>31</v>
      </c>
      <c r="AM2769">
        <v>0</v>
      </c>
      <c r="AN2769" t="s">
        <v>31</v>
      </c>
      <c r="AO2769">
        <v>0</v>
      </c>
      <c r="AP2769" t="s">
        <v>31</v>
      </c>
      <c r="AQ2769">
        <v>0</v>
      </c>
    </row>
    <row r="2770" spans="1:43" x14ac:dyDescent="0.2">
      <c r="A2770" t="s">
        <v>381</v>
      </c>
      <c r="B2770" s="3">
        <v>44245</v>
      </c>
      <c r="C2770">
        <v>13</v>
      </c>
      <c r="D2770" t="s">
        <v>385</v>
      </c>
      <c r="E2770" t="s">
        <v>83</v>
      </c>
      <c r="F2770" s="9" t="s">
        <v>88</v>
      </c>
      <c r="G2770" t="s">
        <v>26</v>
      </c>
      <c r="H2770" t="s">
        <v>85</v>
      </c>
      <c r="I2770" t="s">
        <v>86</v>
      </c>
      <c r="J2770" t="s">
        <v>43</v>
      </c>
      <c r="K2770" t="s">
        <v>44</v>
      </c>
      <c r="L2770" t="s">
        <v>53</v>
      </c>
      <c r="M2770" t="s">
        <v>54</v>
      </c>
      <c r="N2770" t="s">
        <v>85</v>
      </c>
      <c r="O2770" t="s">
        <v>86</v>
      </c>
      <c r="P2770" t="s">
        <v>43</v>
      </c>
      <c r="Q2770" t="s">
        <v>44</v>
      </c>
      <c r="R2770" s="1">
        <v>44245.628298611111</v>
      </c>
      <c r="S2770" s="1">
        <v>44245.628310185188</v>
      </c>
      <c r="T2770">
        <v>0</v>
      </c>
      <c r="U2770">
        <v>1</v>
      </c>
      <c r="V2770" s="2">
        <v>0</v>
      </c>
      <c r="W2770">
        <v>0</v>
      </c>
      <c r="X2770" t="s">
        <v>44</v>
      </c>
      <c r="Y2770">
        <v>0</v>
      </c>
      <c r="Z2770" t="s">
        <v>31</v>
      </c>
      <c r="AA2770">
        <v>0</v>
      </c>
      <c r="AB2770" t="s">
        <v>31</v>
      </c>
      <c r="AC2770">
        <v>0</v>
      </c>
      <c r="AD2770" t="s">
        <v>31</v>
      </c>
      <c r="AE2770">
        <v>0</v>
      </c>
      <c r="AF2770" t="s">
        <v>31</v>
      </c>
      <c r="AG2770">
        <v>0</v>
      </c>
      <c r="AH2770" t="s">
        <v>31</v>
      </c>
      <c r="AI2770">
        <v>0</v>
      </c>
      <c r="AJ2770" t="s">
        <v>31</v>
      </c>
      <c r="AK2770">
        <v>0</v>
      </c>
      <c r="AL2770" t="s">
        <v>31</v>
      </c>
      <c r="AM2770">
        <v>0</v>
      </c>
      <c r="AN2770" t="s">
        <v>31</v>
      </c>
      <c r="AO2770">
        <v>0</v>
      </c>
      <c r="AP2770" t="s">
        <v>31</v>
      </c>
      <c r="AQ2770">
        <v>0</v>
      </c>
    </row>
    <row r="2771" spans="1:43" x14ac:dyDescent="0.2">
      <c r="A2771" t="s">
        <v>381</v>
      </c>
      <c r="B2771" s="3">
        <v>44246</v>
      </c>
      <c r="C2771">
        <v>14</v>
      </c>
      <c r="D2771" t="s">
        <v>384</v>
      </c>
      <c r="E2771" t="s">
        <v>83</v>
      </c>
      <c r="F2771" s="9" t="s">
        <v>88</v>
      </c>
      <c r="G2771" t="s">
        <v>26</v>
      </c>
      <c r="H2771" t="s">
        <v>85</v>
      </c>
      <c r="I2771" t="s">
        <v>86</v>
      </c>
      <c r="J2771" t="s">
        <v>43</v>
      </c>
      <c r="K2771" t="s">
        <v>44</v>
      </c>
      <c r="L2771" t="s">
        <v>53</v>
      </c>
      <c r="M2771" t="s">
        <v>54</v>
      </c>
      <c r="N2771" t="s">
        <v>85</v>
      </c>
      <c r="O2771" t="s">
        <v>86</v>
      </c>
      <c r="P2771" t="s">
        <v>43</v>
      </c>
      <c r="Q2771" t="s">
        <v>44</v>
      </c>
      <c r="R2771" s="1">
        <v>44246.380578703705</v>
      </c>
      <c r="S2771" s="1">
        <v>44246.380578703705</v>
      </c>
      <c r="T2771">
        <v>0</v>
      </c>
      <c r="U2771">
        <v>1</v>
      </c>
      <c r="V2771" s="2">
        <v>0</v>
      </c>
      <c r="W2771">
        <v>0</v>
      </c>
      <c r="X2771" t="s">
        <v>44</v>
      </c>
      <c r="Y2771">
        <v>0</v>
      </c>
      <c r="Z2771" t="s">
        <v>31</v>
      </c>
      <c r="AA2771">
        <v>0</v>
      </c>
      <c r="AB2771" t="s">
        <v>31</v>
      </c>
      <c r="AC2771">
        <v>0</v>
      </c>
      <c r="AD2771" t="s">
        <v>31</v>
      </c>
      <c r="AE2771">
        <v>0</v>
      </c>
      <c r="AF2771" t="s">
        <v>31</v>
      </c>
      <c r="AG2771">
        <v>0</v>
      </c>
      <c r="AH2771" t="s">
        <v>31</v>
      </c>
      <c r="AI2771">
        <v>0</v>
      </c>
      <c r="AJ2771" t="s">
        <v>31</v>
      </c>
      <c r="AK2771">
        <v>0</v>
      </c>
      <c r="AL2771" t="s">
        <v>31</v>
      </c>
      <c r="AM2771">
        <v>0</v>
      </c>
      <c r="AN2771" t="s">
        <v>31</v>
      </c>
      <c r="AO2771">
        <v>0</v>
      </c>
      <c r="AP2771" t="s">
        <v>31</v>
      </c>
      <c r="AQ2771">
        <v>0</v>
      </c>
    </row>
    <row r="2772" spans="1:43" x14ac:dyDescent="0.2">
      <c r="A2772" t="s">
        <v>381</v>
      </c>
      <c r="B2772" s="3">
        <v>44249</v>
      </c>
      <c r="C2772">
        <v>15</v>
      </c>
      <c r="D2772" t="s">
        <v>384</v>
      </c>
      <c r="E2772" t="s">
        <v>83</v>
      </c>
      <c r="F2772" s="9" t="s">
        <v>88</v>
      </c>
      <c r="G2772" t="s">
        <v>26</v>
      </c>
      <c r="H2772" t="s">
        <v>85</v>
      </c>
      <c r="I2772" t="s">
        <v>86</v>
      </c>
      <c r="J2772" t="s">
        <v>43</v>
      </c>
      <c r="K2772" t="s">
        <v>44</v>
      </c>
      <c r="L2772" t="s">
        <v>53</v>
      </c>
      <c r="M2772" t="s">
        <v>54</v>
      </c>
      <c r="N2772" t="s">
        <v>85</v>
      </c>
      <c r="O2772" t="s">
        <v>86</v>
      </c>
      <c r="P2772" t="s">
        <v>43</v>
      </c>
      <c r="Q2772" t="s">
        <v>44</v>
      </c>
      <c r="R2772" s="1">
        <v>44249.387662037036</v>
      </c>
      <c r="S2772" s="1">
        <v>44249.387662037036</v>
      </c>
      <c r="T2772">
        <v>0</v>
      </c>
      <c r="U2772">
        <v>1</v>
      </c>
      <c r="V2772" s="2">
        <v>0</v>
      </c>
      <c r="W2772">
        <v>0</v>
      </c>
      <c r="X2772" t="s">
        <v>44</v>
      </c>
      <c r="Y2772">
        <v>0</v>
      </c>
      <c r="Z2772" t="s">
        <v>31</v>
      </c>
      <c r="AA2772">
        <v>0</v>
      </c>
      <c r="AB2772" t="s">
        <v>31</v>
      </c>
      <c r="AC2772">
        <v>0</v>
      </c>
      <c r="AD2772" t="s">
        <v>31</v>
      </c>
      <c r="AE2772">
        <v>0</v>
      </c>
      <c r="AF2772" t="s">
        <v>31</v>
      </c>
      <c r="AG2772">
        <v>0</v>
      </c>
      <c r="AH2772" t="s">
        <v>31</v>
      </c>
      <c r="AI2772">
        <v>0</v>
      </c>
      <c r="AJ2772" t="s">
        <v>31</v>
      </c>
      <c r="AK2772">
        <v>0</v>
      </c>
      <c r="AL2772" t="s">
        <v>31</v>
      </c>
      <c r="AM2772">
        <v>0</v>
      </c>
      <c r="AN2772" t="s">
        <v>31</v>
      </c>
      <c r="AO2772">
        <v>0</v>
      </c>
      <c r="AP2772" t="s">
        <v>31</v>
      </c>
      <c r="AQ2772">
        <v>0</v>
      </c>
    </row>
    <row r="2773" spans="1:43" x14ac:dyDescent="0.2">
      <c r="A2773" t="s">
        <v>381</v>
      </c>
      <c r="B2773" s="3">
        <v>44250</v>
      </c>
      <c r="C2773">
        <v>16</v>
      </c>
      <c r="D2773" t="s">
        <v>382</v>
      </c>
      <c r="E2773" t="s">
        <v>83</v>
      </c>
      <c r="F2773" s="9" t="s">
        <v>88</v>
      </c>
      <c r="G2773" t="s">
        <v>26</v>
      </c>
      <c r="H2773" t="s">
        <v>85</v>
      </c>
      <c r="I2773" t="s">
        <v>86</v>
      </c>
      <c r="J2773" t="s">
        <v>43</v>
      </c>
      <c r="K2773" t="s">
        <v>44</v>
      </c>
      <c r="L2773" t="s">
        <v>53</v>
      </c>
      <c r="M2773" t="s">
        <v>54</v>
      </c>
      <c r="N2773" t="s">
        <v>85</v>
      </c>
      <c r="O2773" t="s">
        <v>86</v>
      </c>
      <c r="P2773" t="s">
        <v>43</v>
      </c>
      <c r="Q2773" t="s">
        <v>44</v>
      </c>
      <c r="R2773" s="1">
        <v>44250.391921296294</v>
      </c>
      <c r="S2773" s="1">
        <v>44250.46806712963</v>
      </c>
      <c r="T2773">
        <v>0</v>
      </c>
      <c r="U2773">
        <v>2</v>
      </c>
      <c r="V2773" s="2">
        <v>0</v>
      </c>
      <c r="W2773">
        <v>0</v>
      </c>
      <c r="X2773" t="s">
        <v>44</v>
      </c>
      <c r="Y2773">
        <v>0</v>
      </c>
      <c r="Z2773" t="s">
        <v>44</v>
      </c>
      <c r="AA2773">
        <v>0</v>
      </c>
      <c r="AB2773" t="s">
        <v>31</v>
      </c>
      <c r="AC2773">
        <v>0</v>
      </c>
      <c r="AD2773" t="s">
        <v>31</v>
      </c>
      <c r="AE2773">
        <v>0</v>
      </c>
      <c r="AF2773" t="s">
        <v>31</v>
      </c>
      <c r="AG2773">
        <v>0</v>
      </c>
      <c r="AH2773" t="s">
        <v>31</v>
      </c>
      <c r="AI2773">
        <v>0</v>
      </c>
      <c r="AJ2773" t="s">
        <v>31</v>
      </c>
      <c r="AK2773">
        <v>0</v>
      </c>
      <c r="AL2773" t="s">
        <v>31</v>
      </c>
      <c r="AM2773">
        <v>0</v>
      </c>
      <c r="AN2773" t="s">
        <v>31</v>
      </c>
      <c r="AO2773">
        <v>0</v>
      </c>
      <c r="AP2773" t="s">
        <v>31</v>
      </c>
      <c r="AQ2773">
        <v>0</v>
      </c>
    </row>
    <row r="2774" spans="1:43" x14ac:dyDescent="0.2">
      <c r="A2774" t="s">
        <v>381</v>
      </c>
      <c r="B2774" s="3">
        <v>44250</v>
      </c>
      <c r="C2774">
        <v>17</v>
      </c>
      <c r="D2774" t="s">
        <v>385</v>
      </c>
      <c r="E2774" t="s">
        <v>83</v>
      </c>
      <c r="F2774" s="9" t="s">
        <v>88</v>
      </c>
      <c r="G2774" t="s">
        <v>26</v>
      </c>
      <c r="H2774" t="s">
        <v>85</v>
      </c>
      <c r="I2774" t="s">
        <v>86</v>
      </c>
      <c r="J2774" t="s">
        <v>43</v>
      </c>
      <c r="K2774" t="s">
        <v>44</v>
      </c>
      <c r="L2774" t="s">
        <v>53</v>
      </c>
      <c r="M2774" t="s">
        <v>54</v>
      </c>
      <c r="N2774" t="s">
        <v>85</v>
      </c>
      <c r="O2774" t="s">
        <v>86</v>
      </c>
      <c r="P2774" t="s">
        <v>43</v>
      </c>
      <c r="Q2774" t="s">
        <v>44</v>
      </c>
      <c r="R2774" s="1">
        <v>44250.607743055552</v>
      </c>
      <c r="S2774" s="1">
        <v>44250.622349537036</v>
      </c>
      <c r="T2774">
        <v>0</v>
      </c>
      <c r="U2774">
        <v>3</v>
      </c>
      <c r="V2774" s="2">
        <v>0</v>
      </c>
      <c r="W2774">
        <v>0</v>
      </c>
      <c r="X2774" t="s">
        <v>44</v>
      </c>
      <c r="Y2774">
        <v>0</v>
      </c>
      <c r="Z2774" t="s">
        <v>44</v>
      </c>
      <c r="AA2774">
        <v>0</v>
      </c>
      <c r="AB2774" t="s">
        <v>44</v>
      </c>
      <c r="AC2774">
        <v>0</v>
      </c>
      <c r="AD2774" t="s">
        <v>31</v>
      </c>
      <c r="AE2774">
        <v>0</v>
      </c>
      <c r="AF2774" t="s">
        <v>31</v>
      </c>
      <c r="AG2774">
        <v>0</v>
      </c>
      <c r="AH2774" t="s">
        <v>31</v>
      </c>
      <c r="AI2774">
        <v>0</v>
      </c>
      <c r="AJ2774" t="s">
        <v>31</v>
      </c>
      <c r="AK2774">
        <v>0</v>
      </c>
      <c r="AL2774" t="s">
        <v>31</v>
      </c>
      <c r="AM2774">
        <v>0</v>
      </c>
      <c r="AN2774" t="s">
        <v>31</v>
      </c>
      <c r="AO2774">
        <v>0</v>
      </c>
      <c r="AP2774" t="s">
        <v>31</v>
      </c>
      <c r="AQ2774">
        <v>0</v>
      </c>
    </row>
    <row r="2775" spans="1:43" x14ac:dyDescent="0.2">
      <c r="A2775" t="s">
        <v>381</v>
      </c>
      <c r="B2775" s="3">
        <v>44251</v>
      </c>
      <c r="C2775">
        <v>18</v>
      </c>
      <c r="D2775" t="s">
        <v>384</v>
      </c>
      <c r="E2775" t="s">
        <v>83</v>
      </c>
      <c r="F2775" s="9" t="s">
        <v>88</v>
      </c>
      <c r="G2775" t="s">
        <v>26</v>
      </c>
      <c r="H2775" t="s">
        <v>85</v>
      </c>
      <c r="I2775" t="s">
        <v>86</v>
      </c>
      <c r="J2775" t="s">
        <v>43</v>
      </c>
      <c r="K2775" t="s">
        <v>44</v>
      </c>
      <c r="L2775" t="s">
        <v>53</v>
      </c>
      <c r="M2775" t="s">
        <v>54</v>
      </c>
      <c r="N2775" t="s">
        <v>85</v>
      </c>
      <c r="O2775" t="s">
        <v>86</v>
      </c>
      <c r="P2775" t="s">
        <v>43</v>
      </c>
      <c r="Q2775" t="s">
        <v>44</v>
      </c>
      <c r="R2775" s="1">
        <v>44251.390555555554</v>
      </c>
      <c r="S2775" s="1">
        <v>44251.4375</v>
      </c>
      <c r="T2775">
        <v>0</v>
      </c>
      <c r="U2775">
        <v>2</v>
      </c>
      <c r="V2775" s="2">
        <v>0</v>
      </c>
      <c r="W2775">
        <v>0</v>
      </c>
      <c r="X2775" t="s">
        <v>44</v>
      </c>
      <c r="Y2775">
        <v>0</v>
      </c>
      <c r="Z2775" t="s">
        <v>44</v>
      </c>
      <c r="AA2775">
        <v>0</v>
      </c>
      <c r="AB2775" t="s">
        <v>31</v>
      </c>
      <c r="AC2775">
        <v>0</v>
      </c>
      <c r="AD2775" t="s">
        <v>31</v>
      </c>
      <c r="AE2775">
        <v>0</v>
      </c>
      <c r="AF2775" t="s">
        <v>31</v>
      </c>
      <c r="AG2775">
        <v>0</v>
      </c>
      <c r="AH2775" t="s">
        <v>31</v>
      </c>
      <c r="AI2775">
        <v>0</v>
      </c>
      <c r="AJ2775" t="s">
        <v>31</v>
      </c>
      <c r="AK2775">
        <v>0</v>
      </c>
      <c r="AL2775" t="s">
        <v>31</v>
      </c>
      <c r="AM2775">
        <v>0</v>
      </c>
      <c r="AN2775" t="s">
        <v>31</v>
      </c>
      <c r="AO2775">
        <v>0</v>
      </c>
      <c r="AP2775" t="s">
        <v>31</v>
      </c>
      <c r="AQ2775">
        <v>0</v>
      </c>
    </row>
    <row r="2776" spans="1:43" x14ac:dyDescent="0.2">
      <c r="A2776" t="s">
        <v>381</v>
      </c>
      <c r="B2776" s="3">
        <v>44252</v>
      </c>
      <c r="C2776">
        <v>19</v>
      </c>
      <c r="D2776" t="s">
        <v>382</v>
      </c>
      <c r="E2776" t="s">
        <v>83</v>
      </c>
      <c r="F2776" s="9" t="s">
        <v>88</v>
      </c>
      <c r="G2776" t="s">
        <v>26</v>
      </c>
      <c r="H2776" t="s">
        <v>85</v>
      </c>
      <c r="I2776" t="s">
        <v>86</v>
      </c>
      <c r="J2776" t="s">
        <v>43</v>
      </c>
      <c r="K2776" t="s">
        <v>44</v>
      </c>
      <c r="L2776" t="s">
        <v>53</v>
      </c>
      <c r="M2776" t="s">
        <v>54</v>
      </c>
      <c r="N2776" t="s">
        <v>85</v>
      </c>
      <c r="O2776" t="s">
        <v>86</v>
      </c>
      <c r="P2776" t="s">
        <v>43</v>
      </c>
      <c r="Q2776" t="s">
        <v>44</v>
      </c>
      <c r="R2776" s="1">
        <v>44252.394826388889</v>
      </c>
      <c r="S2776" s="1">
        <v>44252.435671296298</v>
      </c>
      <c r="T2776">
        <v>0</v>
      </c>
      <c r="U2776">
        <v>2</v>
      </c>
      <c r="V2776" s="2">
        <v>0</v>
      </c>
      <c r="W2776">
        <v>0</v>
      </c>
      <c r="X2776" t="s">
        <v>44</v>
      </c>
      <c r="Y2776">
        <v>0</v>
      </c>
      <c r="Z2776" t="s">
        <v>44</v>
      </c>
      <c r="AA2776">
        <v>0</v>
      </c>
      <c r="AB2776" t="s">
        <v>31</v>
      </c>
      <c r="AC2776">
        <v>0</v>
      </c>
      <c r="AD2776" t="s">
        <v>31</v>
      </c>
      <c r="AE2776">
        <v>0</v>
      </c>
      <c r="AF2776" t="s">
        <v>31</v>
      </c>
      <c r="AG2776">
        <v>0</v>
      </c>
      <c r="AH2776" t="s">
        <v>31</v>
      </c>
      <c r="AI2776">
        <v>0</v>
      </c>
      <c r="AJ2776" t="s">
        <v>31</v>
      </c>
      <c r="AK2776">
        <v>0</v>
      </c>
      <c r="AL2776" t="s">
        <v>31</v>
      </c>
      <c r="AM2776">
        <v>0</v>
      </c>
      <c r="AN2776" t="s">
        <v>31</v>
      </c>
      <c r="AO2776">
        <v>0</v>
      </c>
      <c r="AP2776" t="s">
        <v>31</v>
      </c>
      <c r="AQ2776">
        <v>0</v>
      </c>
    </row>
    <row r="2777" spans="1:43" x14ac:dyDescent="0.2">
      <c r="A2777" t="s">
        <v>381</v>
      </c>
      <c r="B2777" s="3">
        <v>44252</v>
      </c>
      <c r="C2777">
        <v>20</v>
      </c>
      <c r="D2777" t="s">
        <v>385</v>
      </c>
      <c r="E2777" t="s">
        <v>83</v>
      </c>
      <c r="F2777" s="9" t="s">
        <v>88</v>
      </c>
      <c r="G2777" t="s">
        <v>26</v>
      </c>
      <c r="H2777" t="s">
        <v>85</v>
      </c>
      <c r="I2777" t="s">
        <v>86</v>
      </c>
      <c r="J2777" t="s">
        <v>43</v>
      </c>
      <c r="K2777" t="s">
        <v>44</v>
      </c>
      <c r="L2777" t="s">
        <v>53</v>
      </c>
      <c r="M2777" t="s">
        <v>54</v>
      </c>
      <c r="N2777" t="s">
        <v>85</v>
      </c>
      <c r="O2777" t="s">
        <v>86</v>
      </c>
      <c r="P2777" t="s">
        <v>43</v>
      </c>
      <c r="Q2777" t="s">
        <v>44</v>
      </c>
      <c r="R2777" s="1">
        <v>44252.570104166669</v>
      </c>
      <c r="S2777" s="1">
        <v>44252.670428240737</v>
      </c>
      <c r="T2777">
        <v>2</v>
      </c>
      <c r="U2777">
        <v>4</v>
      </c>
      <c r="V2777" s="2">
        <v>0.5</v>
      </c>
      <c r="W2777">
        <v>2</v>
      </c>
      <c r="X2777" t="s">
        <v>54</v>
      </c>
      <c r="Y2777">
        <v>1</v>
      </c>
      <c r="Z2777" t="s">
        <v>44</v>
      </c>
      <c r="AA2777">
        <v>0</v>
      </c>
      <c r="AB2777" t="s">
        <v>44</v>
      </c>
      <c r="AC2777">
        <v>0</v>
      </c>
      <c r="AD2777" t="s">
        <v>54</v>
      </c>
      <c r="AE2777">
        <v>1</v>
      </c>
      <c r="AF2777" t="s">
        <v>31</v>
      </c>
      <c r="AG2777">
        <v>0</v>
      </c>
      <c r="AH2777" t="s">
        <v>31</v>
      </c>
      <c r="AI2777">
        <v>0</v>
      </c>
      <c r="AJ2777" t="s">
        <v>31</v>
      </c>
      <c r="AK2777">
        <v>0</v>
      </c>
      <c r="AL2777" t="s">
        <v>31</v>
      </c>
      <c r="AM2777">
        <v>0</v>
      </c>
      <c r="AN2777" t="s">
        <v>31</v>
      </c>
      <c r="AO2777">
        <v>0</v>
      </c>
      <c r="AP2777" t="s">
        <v>31</v>
      </c>
      <c r="AQ2777">
        <v>0</v>
      </c>
    </row>
    <row r="2778" spans="1:43" x14ac:dyDescent="0.2">
      <c r="A2778" t="s">
        <v>381</v>
      </c>
      <c r="B2778" s="3">
        <v>44253</v>
      </c>
      <c r="C2778">
        <v>21</v>
      </c>
      <c r="D2778" t="s">
        <v>384</v>
      </c>
      <c r="E2778" t="s">
        <v>83</v>
      </c>
      <c r="F2778" s="9" t="s">
        <v>88</v>
      </c>
      <c r="G2778" t="s">
        <v>26</v>
      </c>
      <c r="H2778" t="s">
        <v>85</v>
      </c>
      <c r="I2778" t="s">
        <v>86</v>
      </c>
      <c r="J2778" t="s">
        <v>43</v>
      </c>
      <c r="K2778" t="s">
        <v>44</v>
      </c>
      <c r="L2778" t="s">
        <v>53</v>
      </c>
      <c r="M2778" t="s">
        <v>54</v>
      </c>
      <c r="N2778" t="s">
        <v>85</v>
      </c>
      <c r="O2778" t="s">
        <v>86</v>
      </c>
      <c r="P2778" t="s">
        <v>43</v>
      </c>
      <c r="Q2778" t="s">
        <v>44</v>
      </c>
      <c r="R2778" s="1">
        <v>44253.373819444445</v>
      </c>
      <c r="S2778" s="1">
        <v>44253.373819444445</v>
      </c>
      <c r="T2778">
        <v>0</v>
      </c>
      <c r="U2778">
        <v>1</v>
      </c>
      <c r="V2778" s="2">
        <v>0</v>
      </c>
      <c r="W2778">
        <v>0</v>
      </c>
      <c r="X2778" t="s">
        <v>44</v>
      </c>
      <c r="Y2778">
        <v>0</v>
      </c>
      <c r="Z2778" t="s">
        <v>31</v>
      </c>
      <c r="AA2778">
        <v>0</v>
      </c>
      <c r="AB2778" t="s">
        <v>31</v>
      </c>
      <c r="AC2778">
        <v>0</v>
      </c>
      <c r="AD2778" t="s">
        <v>31</v>
      </c>
      <c r="AE2778">
        <v>0</v>
      </c>
      <c r="AF2778" t="s">
        <v>31</v>
      </c>
      <c r="AG2778">
        <v>0</v>
      </c>
      <c r="AH2778" t="s">
        <v>31</v>
      </c>
      <c r="AI2778">
        <v>0</v>
      </c>
      <c r="AJ2778" t="s">
        <v>31</v>
      </c>
      <c r="AK2778">
        <v>0</v>
      </c>
      <c r="AL2778" t="s">
        <v>31</v>
      </c>
      <c r="AM2778">
        <v>0</v>
      </c>
      <c r="AN2778" t="s">
        <v>31</v>
      </c>
      <c r="AO2778">
        <v>0</v>
      </c>
      <c r="AP2778" t="s">
        <v>31</v>
      </c>
      <c r="AQ2778">
        <v>0</v>
      </c>
    </row>
    <row r="2779" spans="1:43" x14ac:dyDescent="0.2">
      <c r="A2779" t="s">
        <v>381</v>
      </c>
      <c r="B2779" s="3">
        <v>44256</v>
      </c>
      <c r="C2779">
        <v>22</v>
      </c>
      <c r="D2779" t="s">
        <v>384</v>
      </c>
      <c r="E2779" t="s">
        <v>83</v>
      </c>
      <c r="F2779" s="9" t="s">
        <v>88</v>
      </c>
      <c r="G2779" t="s">
        <v>26</v>
      </c>
      <c r="H2779" t="s">
        <v>85</v>
      </c>
      <c r="I2779" t="s">
        <v>86</v>
      </c>
      <c r="J2779" t="s">
        <v>43</v>
      </c>
      <c r="K2779" t="s">
        <v>44</v>
      </c>
      <c r="L2779" t="s">
        <v>53</v>
      </c>
      <c r="M2779" t="s">
        <v>54</v>
      </c>
      <c r="N2779" t="s">
        <v>85</v>
      </c>
      <c r="O2779" t="s">
        <v>86</v>
      </c>
      <c r="P2779" t="s">
        <v>43</v>
      </c>
      <c r="Q2779" t="s">
        <v>44</v>
      </c>
      <c r="R2779" s="1">
        <v>44256.376655092594</v>
      </c>
      <c r="S2779" s="1">
        <v>44256.376655092594</v>
      </c>
      <c r="T2779">
        <v>0</v>
      </c>
      <c r="U2779">
        <v>1</v>
      </c>
      <c r="V2779" s="2">
        <v>0</v>
      </c>
      <c r="W2779">
        <v>0</v>
      </c>
      <c r="X2779" t="s">
        <v>44</v>
      </c>
      <c r="Y2779">
        <v>0</v>
      </c>
      <c r="Z2779" t="s">
        <v>31</v>
      </c>
      <c r="AA2779">
        <v>0</v>
      </c>
      <c r="AB2779" t="s">
        <v>31</v>
      </c>
      <c r="AC2779">
        <v>0</v>
      </c>
      <c r="AD2779" t="s">
        <v>31</v>
      </c>
      <c r="AE2779">
        <v>0</v>
      </c>
      <c r="AF2779" t="s">
        <v>31</v>
      </c>
      <c r="AG2779">
        <v>0</v>
      </c>
      <c r="AH2779" t="s">
        <v>31</v>
      </c>
      <c r="AI2779">
        <v>0</v>
      </c>
      <c r="AJ2779" t="s">
        <v>31</v>
      </c>
      <c r="AK2779">
        <v>0</v>
      </c>
      <c r="AL2779" t="s">
        <v>31</v>
      </c>
      <c r="AM2779">
        <v>0</v>
      </c>
      <c r="AN2779" t="s">
        <v>31</v>
      </c>
      <c r="AO2779">
        <v>0</v>
      </c>
      <c r="AP2779" t="s">
        <v>31</v>
      </c>
      <c r="AQ2779">
        <v>0</v>
      </c>
    </row>
    <row r="2780" spans="1:43" x14ac:dyDescent="0.2">
      <c r="A2780" t="s">
        <v>381</v>
      </c>
      <c r="B2780" s="3">
        <v>44257</v>
      </c>
      <c r="C2780">
        <v>23</v>
      </c>
      <c r="D2780" t="s">
        <v>382</v>
      </c>
      <c r="E2780" t="s">
        <v>83</v>
      </c>
      <c r="F2780" s="9" t="s">
        <v>88</v>
      </c>
      <c r="G2780" t="s">
        <v>26</v>
      </c>
      <c r="H2780" t="s">
        <v>85</v>
      </c>
      <c r="I2780" t="s">
        <v>86</v>
      </c>
      <c r="J2780" t="s">
        <v>43</v>
      </c>
      <c r="K2780" t="s">
        <v>44</v>
      </c>
      <c r="L2780" t="s">
        <v>53</v>
      </c>
      <c r="M2780" t="s">
        <v>54</v>
      </c>
      <c r="N2780" t="s">
        <v>85</v>
      </c>
      <c r="O2780" t="s">
        <v>86</v>
      </c>
      <c r="P2780" t="s">
        <v>43</v>
      </c>
      <c r="Q2780" t="s">
        <v>44</v>
      </c>
      <c r="R2780" s="1">
        <v>44257.414768518516</v>
      </c>
      <c r="S2780" s="1">
        <v>44257.463101851848</v>
      </c>
      <c r="T2780">
        <v>0</v>
      </c>
      <c r="U2780">
        <v>2</v>
      </c>
      <c r="V2780" s="2">
        <v>0</v>
      </c>
      <c r="W2780">
        <v>0</v>
      </c>
      <c r="X2780" t="s">
        <v>44</v>
      </c>
      <c r="Y2780">
        <v>0</v>
      </c>
      <c r="Z2780" t="s">
        <v>44</v>
      </c>
      <c r="AA2780">
        <v>0</v>
      </c>
      <c r="AB2780" t="s">
        <v>31</v>
      </c>
      <c r="AC2780">
        <v>0</v>
      </c>
      <c r="AD2780" t="s">
        <v>31</v>
      </c>
      <c r="AE2780">
        <v>0</v>
      </c>
      <c r="AF2780" t="s">
        <v>31</v>
      </c>
      <c r="AG2780">
        <v>0</v>
      </c>
      <c r="AH2780" t="s">
        <v>31</v>
      </c>
      <c r="AI2780">
        <v>0</v>
      </c>
      <c r="AJ2780" t="s">
        <v>31</v>
      </c>
      <c r="AK2780">
        <v>0</v>
      </c>
      <c r="AL2780" t="s">
        <v>31</v>
      </c>
      <c r="AM2780">
        <v>0</v>
      </c>
      <c r="AN2780" t="s">
        <v>31</v>
      </c>
      <c r="AO2780">
        <v>0</v>
      </c>
      <c r="AP2780" t="s">
        <v>31</v>
      </c>
      <c r="AQ2780">
        <v>0</v>
      </c>
    </row>
    <row r="2781" spans="1:43" x14ac:dyDescent="0.2">
      <c r="A2781" t="s">
        <v>381</v>
      </c>
      <c r="B2781" s="3">
        <v>44257</v>
      </c>
      <c r="C2781">
        <v>24</v>
      </c>
      <c r="D2781" t="s">
        <v>385</v>
      </c>
      <c r="E2781" t="s">
        <v>83</v>
      </c>
      <c r="F2781" s="9" t="s">
        <v>88</v>
      </c>
      <c r="G2781" t="s">
        <v>26</v>
      </c>
      <c r="H2781" t="s">
        <v>85</v>
      </c>
      <c r="I2781" t="s">
        <v>86</v>
      </c>
      <c r="J2781" t="s">
        <v>43</v>
      </c>
      <c r="K2781" t="s">
        <v>44</v>
      </c>
      <c r="L2781" t="s">
        <v>53</v>
      </c>
      <c r="M2781" t="s">
        <v>54</v>
      </c>
      <c r="N2781" t="s">
        <v>85</v>
      </c>
      <c r="O2781" t="s">
        <v>86</v>
      </c>
      <c r="P2781" t="s">
        <v>43</v>
      </c>
      <c r="Q2781" t="s">
        <v>44</v>
      </c>
      <c r="R2781" s="1">
        <v>44257.573078703703</v>
      </c>
      <c r="S2781" s="1">
        <v>44257.574942129628</v>
      </c>
      <c r="T2781">
        <v>0</v>
      </c>
      <c r="U2781">
        <v>2</v>
      </c>
      <c r="V2781" s="2">
        <v>0</v>
      </c>
      <c r="W2781">
        <v>0</v>
      </c>
      <c r="X2781" t="s">
        <v>44</v>
      </c>
      <c r="Y2781">
        <v>0</v>
      </c>
      <c r="Z2781" t="s">
        <v>44</v>
      </c>
      <c r="AA2781">
        <v>0</v>
      </c>
      <c r="AB2781" t="s">
        <v>31</v>
      </c>
      <c r="AC2781">
        <v>0</v>
      </c>
      <c r="AD2781" t="s">
        <v>31</v>
      </c>
      <c r="AE2781">
        <v>0</v>
      </c>
      <c r="AF2781" t="s">
        <v>31</v>
      </c>
      <c r="AG2781">
        <v>0</v>
      </c>
      <c r="AH2781" t="s">
        <v>31</v>
      </c>
      <c r="AI2781">
        <v>0</v>
      </c>
      <c r="AJ2781" t="s">
        <v>31</v>
      </c>
      <c r="AK2781">
        <v>0</v>
      </c>
      <c r="AL2781" t="s">
        <v>31</v>
      </c>
      <c r="AM2781">
        <v>0</v>
      </c>
      <c r="AN2781" t="s">
        <v>31</v>
      </c>
      <c r="AO2781">
        <v>0</v>
      </c>
      <c r="AP2781" t="s">
        <v>31</v>
      </c>
      <c r="AQ2781">
        <v>0</v>
      </c>
    </row>
    <row r="2782" spans="1:43" x14ac:dyDescent="0.2">
      <c r="A2782" t="s">
        <v>381</v>
      </c>
      <c r="B2782" s="3">
        <v>44258</v>
      </c>
      <c r="C2782">
        <v>25</v>
      </c>
      <c r="D2782" t="s">
        <v>384</v>
      </c>
      <c r="E2782" t="s">
        <v>83</v>
      </c>
      <c r="F2782" s="9" t="s">
        <v>88</v>
      </c>
      <c r="G2782" t="s">
        <v>26</v>
      </c>
      <c r="H2782" t="s">
        <v>85</v>
      </c>
      <c r="I2782" t="s">
        <v>86</v>
      </c>
      <c r="J2782" t="s">
        <v>43</v>
      </c>
      <c r="K2782" t="s">
        <v>44</v>
      </c>
      <c r="L2782" t="s">
        <v>53</v>
      </c>
      <c r="M2782" t="s">
        <v>54</v>
      </c>
      <c r="N2782" t="s">
        <v>85</v>
      </c>
      <c r="O2782" t="s">
        <v>86</v>
      </c>
      <c r="P2782" t="s">
        <v>43</v>
      </c>
      <c r="Q2782" t="s">
        <v>44</v>
      </c>
      <c r="R2782" s="1">
        <v>44258.375844907408</v>
      </c>
      <c r="S2782" s="1">
        <v>44258.416516203702</v>
      </c>
      <c r="T2782">
        <v>1</v>
      </c>
      <c r="U2782">
        <v>2</v>
      </c>
      <c r="V2782" s="2">
        <v>0.5</v>
      </c>
      <c r="W2782">
        <v>1</v>
      </c>
      <c r="X2782" t="s">
        <v>54</v>
      </c>
      <c r="Y2782">
        <v>1</v>
      </c>
      <c r="Z2782" t="s">
        <v>44</v>
      </c>
      <c r="AA2782">
        <v>0</v>
      </c>
      <c r="AB2782" t="s">
        <v>31</v>
      </c>
      <c r="AC2782">
        <v>0</v>
      </c>
      <c r="AD2782" t="s">
        <v>31</v>
      </c>
      <c r="AE2782">
        <v>0</v>
      </c>
      <c r="AF2782" t="s">
        <v>31</v>
      </c>
      <c r="AG2782">
        <v>0</v>
      </c>
      <c r="AH2782" t="s">
        <v>31</v>
      </c>
      <c r="AI2782">
        <v>0</v>
      </c>
      <c r="AJ2782" t="s">
        <v>31</v>
      </c>
      <c r="AK2782">
        <v>0</v>
      </c>
      <c r="AL2782" t="s">
        <v>31</v>
      </c>
      <c r="AM2782">
        <v>0</v>
      </c>
      <c r="AN2782" t="s">
        <v>31</v>
      </c>
      <c r="AO2782">
        <v>0</v>
      </c>
      <c r="AP2782" t="s">
        <v>31</v>
      </c>
      <c r="AQ2782">
        <v>0</v>
      </c>
    </row>
    <row r="2783" spans="1:43" x14ac:dyDescent="0.2">
      <c r="A2783" t="s">
        <v>381</v>
      </c>
      <c r="B2783" s="3">
        <v>44259</v>
      </c>
      <c r="C2783">
        <v>26</v>
      </c>
      <c r="D2783" t="s">
        <v>382</v>
      </c>
      <c r="E2783" t="s">
        <v>83</v>
      </c>
      <c r="F2783" s="9" t="s">
        <v>88</v>
      </c>
      <c r="G2783" t="s">
        <v>26</v>
      </c>
      <c r="H2783" t="s">
        <v>85</v>
      </c>
      <c r="I2783" t="s">
        <v>86</v>
      </c>
      <c r="J2783" t="s">
        <v>43</v>
      </c>
      <c r="K2783" t="s">
        <v>44</v>
      </c>
      <c r="L2783" t="s">
        <v>53</v>
      </c>
      <c r="M2783" t="s">
        <v>54</v>
      </c>
      <c r="N2783" t="s">
        <v>85</v>
      </c>
      <c r="O2783" t="s">
        <v>86</v>
      </c>
      <c r="P2783" t="s">
        <v>43</v>
      </c>
      <c r="Q2783" t="s">
        <v>44</v>
      </c>
      <c r="R2783" s="1">
        <v>44259.391574074078</v>
      </c>
      <c r="S2783" s="1">
        <v>44259.43277777778</v>
      </c>
      <c r="T2783">
        <v>0</v>
      </c>
      <c r="U2783">
        <v>2</v>
      </c>
      <c r="V2783" s="2">
        <v>0</v>
      </c>
      <c r="W2783">
        <v>0</v>
      </c>
      <c r="X2783" t="s">
        <v>44</v>
      </c>
      <c r="Y2783">
        <v>0</v>
      </c>
      <c r="Z2783" t="s">
        <v>44</v>
      </c>
      <c r="AA2783">
        <v>0</v>
      </c>
      <c r="AB2783" t="s">
        <v>31</v>
      </c>
      <c r="AC2783">
        <v>0</v>
      </c>
      <c r="AD2783" t="s">
        <v>31</v>
      </c>
      <c r="AE2783">
        <v>0</v>
      </c>
      <c r="AF2783" t="s">
        <v>31</v>
      </c>
      <c r="AG2783">
        <v>0</v>
      </c>
      <c r="AH2783" t="s">
        <v>31</v>
      </c>
      <c r="AI2783">
        <v>0</v>
      </c>
      <c r="AJ2783" t="s">
        <v>31</v>
      </c>
      <c r="AK2783">
        <v>0</v>
      </c>
      <c r="AL2783" t="s">
        <v>31</v>
      </c>
      <c r="AM2783">
        <v>0</v>
      </c>
      <c r="AN2783" t="s">
        <v>31</v>
      </c>
      <c r="AO2783">
        <v>0</v>
      </c>
      <c r="AP2783" t="s">
        <v>31</v>
      </c>
      <c r="AQ2783">
        <v>0</v>
      </c>
    </row>
    <row r="2784" spans="1:43" x14ac:dyDescent="0.2">
      <c r="A2784" t="s">
        <v>381</v>
      </c>
      <c r="B2784" s="3">
        <v>44260</v>
      </c>
      <c r="C2784">
        <v>28</v>
      </c>
      <c r="D2784" t="s">
        <v>384</v>
      </c>
      <c r="E2784" t="s">
        <v>83</v>
      </c>
      <c r="F2784" s="9" t="s">
        <v>88</v>
      </c>
      <c r="G2784" t="s">
        <v>26</v>
      </c>
      <c r="H2784" t="s">
        <v>85</v>
      </c>
      <c r="I2784" t="s">
        <v>86</v>
      </c>
      <c r="J2784" t="s">
        <v>43</v>
      </c>
      <c r="K2784" t="s">
        <v>44</v>
      </c>
      <c r="L2784" t="s">
        <v>53</v>
      </c>
      <c r="M2784" t="s">
        <v>54</v>
      </c>
      <c r="N2784" t="s">
        <v>85</v>
      </c>
      <c r="O2784" t="s">
        <v>86</v>
      </c>
      <c r="P2784" t="s">
        <v>43</v>
      </c>
      <c r="Q2784" t="s">
        <v>44</v>
      </c>
      <c r="R2784" s="1">
        <v>44260.469571759262</v>
      </c>
      <c r="S2784" s="1">
        <v>44260.469571759262</v>
      </c>
      <c r="T2784">
        <v>0</v>
      </c>
      <c r="U2784">
        <v>1</v>
      </c>
      <c r="V2784" s="2">
        <v>0</v>
      </c>
      <c r="W2784">
        <v>0</v>
      </c>
      <c r="X2784" t="s">
        <v>44</v>
      </c>
      <c r="Y2784">
        <v>0</v>
      </c>
      <c r="Z2784" t="s">
        <v>31</v>
      </c>
      <c r="AA2784">
        <v>0</v>
      </c>
      <c r="AB2784" t="s">
        <v>31</v>
      </c>
      <c r="AC2784">
        <v>0</v>
      </c>
      <c r="AD2784" t="s">
        <v>31</v>
      </c>
      <c r="AE2784">
        <v>0</v>
      </c>
      <c r="AF2784" t="s">
        <v>31</v>
      </c>
      <c r="AG2784">
        <v>0</v>
      </c>
      <c r="AH2784" t="s">
        <v>31</v>
      </c>
      <c r="AI2784">
        <v>0</v>
      </c>
      <c r="AJ2784" t="s">
        <v>31</v>
      </c>
      <c r="AK2784">
        <v>0</v>
      </c>
      <c r="AL2784" t="s">
        <v>31</v>
      </c>
      <c r="AM2784">
        <v>0</v>
      </c>
      <c r="AN2784" t="s">
        <v>31</v>
      </c>
      <c r="AO2784">
        <v>0</v>
      </c>
      <c r="AP2784" t="s">
        <v>31</v>
      </c>
      <c r="AQ2784">
        <v>0</v>
      </c>
    </row>
    <row r="2785" spans="1:43" x14ac:dyDescent="0.2">
      <c r="A2785" t="s">
        <v>381</v>
      </c>
      <c r="B2785" s="3">
        <v>44263</v>
      </c>
      <c r="C2785">
        <v>29</v>
      </c>
      <c r="D2785" t="s">
        <v>384</v>
      </c>
      <c r="E2785" t="s">
        <v>83</v>
      </c>
      <c r="F2785" s="9" t="s">
        <v>88</v>
      </c>
      <c r="G2785" t="s">
        <v>26</v>
      </c>
      <c r="H2785" t="s">
        <v>85</v>
      </c>
      <c r="I2785" t="s">
        <v>86</v>
      </c>
      <c r="J2785" t="s">
        <v>43</v>
      </c>
      <c r="K2785" t="s">
        <v>44</v>
      </c>
      <c r="L2785" t="s">
        <v>53</v>
      </c>
      <c r="M2785" t="s">
        <v>54</v>
      </c>
      <c r="N2785" t="s">
        <v>85</v>
      </c>
      <c r="O2785" t="s">
        <v>86</v>
      </c>
      <c r="P2785" t="s">
        <v>43</v>
      </c>
      <c r="Q2785" t="s">
        <v>44</v>
      </c>
      <c r="R2785" s="1">
        <v>44263.410451388889</v>
      </c>
      <c r="S2785" s="1">
        <v>44263.410451388889</v>
      </c>
      <c r="T2785">
        <v>0</v>
      </c>
      <c r="U2785">
        <v>1</v>
      </c>
      <c r="V2785" s="2">
        <v>0</v>
      </c>
      <c r="W2785">
        <v>0</v>
      </c>
      <c r="X2785" t="s">
        <v>44</v>
      </c>
      <c r="Y2785">
        <v>0</v>
      </c>
      <c r="Z2785" t="s">
        <v>31</v>
      </c>
      <c r="AA2785">
        <v>0</v>
      </c>
      <c r="AB2785" t="s">
        <v>31</v>
      </c>
      <c r="AC2785">
        <v>0</v>
      </c>
      <c r="AD2785" t="s">
        <v>31</v>
      </c>
      <c r="AE2785">
        <v>0</v>
      </c>
      <c r="AF2785" t="s">
        <v>31</v>
      </c>
      <c r="AG2785">
        <v>0</v>
      </c>
      <c r="AH2785" t="s">
        <v>31</v>
      </c>
      <c r="AI2785">
        <v>0</v>
      </c>
      <c r="AJ2785" t="s">
        <v>31</v>
      </c>
      <c r="AK2785">
        <v>0</v>
      </c>
      <c r="AL2785" t="s">
        <v>31</v>
      </c>
      <c r="AM2785">
        <v>0</v>
      </c>
      <c r="AN2785" t="s">
        <v>31</v>
      </c>
      <c r="AO2785">
        <v>0</v>
      </c>
      <c r="AP2785" t="s">
        <v>31</v>
      </c>
      <c r="AQ2785">
        <v>0</v>
      </c>
    </row>
    <row r="2786" spans="1:43" x14ac:dyDescent="0.2">
      <c r="A2786" t="s">
        <v>381</v>
      </c>
      <c r="B2786" s="3">
        <v>44264</v>
      </c>
      <c r="C2786">
        <v>30</v>
      </c>
      <c r="D2786" t="s">
        <v>382</v>
      </c>
      <c r="E2786" t="s">
        <v>83</v>
      </c>
      <c r="F2786" s="9" t="s">
        <v>88</v>
      </c>
      <c r="G2786" t="s">
        <v>26</v>
      </c>
      <c r="H2786" t="s">
        <v>85</v>
      </c>
      <c r="I2786" t="s">
        <v>86</v>
      </c>
      <c r="J2786" t="s">
        <v>43</v>
      </c>
      <c r="K2786" t="s">
        <v>44</v>
      </c>
      <c r="L2786" t="s">
        <v>53</v>
      </c>
      <c r="M2786" t="s">
        <v>54</v>
      </c>
      <c r="N2786" t="s">
        <v>85</v>
      </c>
      <c r="O2786" t="s">
        <v>86</v>
      </c>
      <c r="P2786" t="s">
        <v>43</v>
      </c>
      <c r="Q2786" t="s">
        <v>44</v>
      </c>
      <c r="R2786" s="1">
        <v>44264.419062499997</v>
      </c>
      <c r="S2786" s="1">
        <v>44264.4534375</v>
      </c>
      <c r="T2786">
        <v>0</v>
      </c>
      <c r="U2786">
        <v>2</v>
      </c>
      <c r="V2786" s="2">
        <v>0</v>
      </c>
      <c r="W2786">
        <v>0</v>
      </c>
      <c r="X2786" t="s">
        <v>44</v>
      </c>
      <c r="Y2786">
        <v>0</v>
      </c>
      <c r="Z2786" t="s">
        <v>44</v>
      </c>
      <c r="AA2786">
        <v>0</v>
      </c>
      <c r="AB2786" t="s">
        <v>31</v>
      </c>
      <c r="AC2786">
        <v>0</v>
      </c>
      <c r="AD2786" t="s">
        <v>31</v>
      </c>
      <c r="AE2786">
        <v>0</v>
      </c>
      <c r="AF2786" t="s">
        <v>31</v>
      </c>
      <c r="AG2786">
        <v>0</v>
      </c>
      <c r="AH2786" t="s">
        <v>31</v>
      </c>
      <c r="AI2786">
        <v>0</v>
      </c>
      <c r="AJ2786" t="s">
        <v>31</v>
      </c>
      <c r="AK2786">
        <v>0</v>
      </c>
      <c r="AL2786" t="s">
        <v>31</v>
      </c>
      <c r="AM2786">
        <v>0</v>
      </c>
      <c r="AN2786" t="s">
        <v>31</v>
      </c>
      <c r="AO2786">
        <v>0</v>
      </c>
      <c r="AP2786" t="s">
        <v>31</v>
      </c>
      <c r="AQ2786">
        <v>0</v>
      </c>
    </row>
    <row r="2787" spans="1:43" x14ac:dyDescent="0.2">
      <c r="A2787" t="s">
        <v>381</v>
      </c>
      <c r="B2787" s="3">
        <v>44264</v>
      </c>
      <c r="C2787">
        <v>31</v>
      </c>
      <c r="D2787" t="s">
        <v>385</v>
      </c>
      <c r="E2787" t="s">
        <v>83</v>
      </c>
      <c r="F2787" s="9" t="s">
        <v>88</v>
      </c>
      <c r="G2787" t="s">
        <v>26</v>
      </c>
      <c r="H2787" t="s">
        <v>85</v>
      </c>
      <c r="I2787" t="s">
        <v>86</v>
      </c>
      <c r="J2787" t="s">
        <v>43</v>
      </c>
      <c r="K2787" t="s">
        <v>44</v>
      </c>
      <c r="L2787" t="s">
        <v>53</v>
      </c>
      <c r="M2787" t="s">
        <v>54</v>
      </c>
      <c r="N2787" t="s">
        <v>85</v>
      </c>
      <c r="O2787" t="s">
        <v>86</v>
      </c>
      <c r="P2787" t="s">
        <v>43</v>
      </c>
      <c r="Q2787" t="s">
        <v>44</v>
      </c>
      <c r="R2787" s="1">
        <v>44264.579108796293</v>
      </c>
      <c r="S2787" s="1">
        <v>44264.579236111109</v>
      </c>
      <c r="T2787">
        <v>0</v>
      </c>
      <c r="U2787">
        <v>1</v>
      </c>
      <c r="V2787" s="2">
        <v>0</v>
      </c>
      <c r="W2787">
        <v>0</v>
      </c>
      <c r="X2787" t="s">
        <v>44</v>
      </c>
      <c r="Y2787">
        <v>0</v>
      </c>
      <c r="Z2787" t="s">
        <v>31</v>
      </c>
      <c r="AA2787">
        <v>0</v>
      </c>
      <c r="AB2787" t="s">
        <v>31</v>
      </c>
      <c r="AC2787">
        <v>0</v>
      </c>
      <c r="AD2787" t="s">
        <v>31</v>
      </c>
      <c r="AE2787">
        <v>0</v>
      </c>
      <c r="AF2787" t="s">
        <v>31</v>
      </c>
      <c r="AG2787">
        <v>0</v>
      </c>
      <c r="AH2787" t="s">
        <v>31</v>
      </c>
      <c r="AI2787">
        <v>0</v>
      </c>
      <c r="AJ2787" t="s">
        <v>31</v>
      </c>
      <c r="AK2787">
        <v>0</v>
      </c>
      <c r="AL2787" t="s">
        <v>31</v>
      </c>
      <c r="AM2787">
        <v>0</v>
      </c>
      <c r="AN2787" t="s">
        <v>31</v>
      </c>
      <c r="AO2787">
        <v>0</v>
      </c>
      <c r="AP2787" t="s">
        <v>31</v>
      </c>
      <c r="AQ2787">
        <v>0</v>
      </c>
    </row>
    <row r="2788" spans="1:43" x14ac:dyDescent="0.2">
      <c r="A2788" t="s">
        <v>381</v>
      </c>
      <c r="B2788" s="3">
        <v>44265</v>
      </c>
      <c r="C2788">
        <v>32</v>
      </c>
      <c r="D2788" t="s">
        <v>384</v>
      </c>
      <c r="E2788" t="s">
        <v>83</v>
      </c>
      <c r="F2788" s="9" t="s">
        <v>88</v>
      </c>
      <c r="G2788" t="s">
        <v>26</v>
      </c>
      <c r="H2788" t="s">
        <v>85</v>
      </c>
      <c r="I2788" t="s">
        <v>86</v>
      </c>
      <c r="J2788" t="s">
        <v>43</v>
      </c>
      <c r="K2788" t="s">
        <v>44</v>
      </c>
      <c r="L2788" t="s">
        <v>53</v>
      </c>
      <c r="M2788" t="s">
        <v>54</v>
      </c>
      <c r="N2788" t="s">
        <v>85</v>
      </c>
      <c r="O2788" t="s">
        <v>86</v>
      </c>
      <c r="P2788" t="s">
        <v>43</v>
      </c>
      <c r="Q2788" t="s">
        <v>44</v>
      </c>
      <c r="R2788" s="1">
        <v>44265.379745370374</v>
      </c>
      <c r="S2788" s="1">
        <v>44265.379745370374</v>
      </c>
      <c r="T2788">
        <v>0</v>
      </c>
      <c r="U2788">
        <v>1</v>
      </c>
      <c r="V2788" s="2">
        <v>0</v>
      </c>
      <c r="W2788">
        <v>0</v>
      </c>
      <c r="X2788" t="s">
        <v>44</v>
      </c>
      <c r="Y2788">
        <v>0</v>
      </c>
      <c r="Z2788" t="s">
        <v>31</v>
      </c>
      <c r="AA2788">
        <v>0</v>
      </c>
      <c r="AB2788" t="s">
        <v>31</v>
      </c>
      <c r="AC2788">
        <v>0</v>
      </c>
      <c r="AD2788" t="s">
        <v>31</v>
      </c>
      <c r="AE2788">
        <v>0</v>
      </c>
      <c r="AF2788" t="s">
        <v>31</v>
      </c>
      <c r="AG2788">
        <v>0</v>
      </c>
      <c r="AH2788" t="s">
        <v>31</v>
      </c>
      <c r="AI2788">
        <v>0</v>
      </c>
      <c r="AJ2788" t="s">
        <v>31</v>
      </c>
      <c r="AK2788">
        <v>0</v>
      </c>
      <c r="AL2788" t="s">
        <v>31</v>
      </c>
      <c r="AM2788">
        <v>0</v>
      </c>
      <c r="AN2788" t="s">
        <v>31</v>
      </c>
      <c r="AO2788">
        <v>0</v>
      </c>
      <c r="AP2788" t="s">
        <v>31</v>
      </c>
      <c r="AQ2788">
        <v>0</v>
      </c>
    </row>
    <row r="2789" spans="1:43" x14ac:dyDescent="0.2">
      <c r="A2789" t="s">
        <v>381</v>
      </c>
      <c r="B2789" s="3">
        <v>44266</v>
      </c>
      <c r="C2789">
        <v>33</v>
      </c>
      <c r="D2789" t="s">
        <v>385</v>
      </c>
      <c r="E2789" t="s">
        <v>83</v>
      </c>
      <c r="F2789" s="9" t="s">
        <v>88</v>
      </c>
      <c r="G2789" t="s">
        <v>26</v>
      </c>
      <c r="H2789" t="s">
        <v>85</v>
      </c>
      <c r="I2789" t="s">
        <v>86</v>
      </c>
      <c r="J2789" t="s">
        <v>43</v>
      </c>
      <c r="K2789" t="s">
        <v>44</v>
      </c>
      <c r="L2789" t="s">
        <v>53</v>
      </c>
      <c r="M2789" t="s">
        <v>54</v>
      </c>
      <c r="N2789" t="s">
        <v>85</v>
      </c>
      <c r="O2789" t="s">
        <v>86</v>
      </c>
      <c r="P2789" t="s">
        <v>43</v>
      </c>
      <c r="Q2789" t="s">
        <v>44</v>
      </c>
      <c r="R2789" s="1">
        <v>44266.390775462962</v>
      </c>
      <c r="S2789" s="1">
        <v>44266.390775462962</v>
      </c>
      <c r="T2789">
        <v>0</v>
      </c>
      <c r="U2789">
        <v>1</v>
      </c>
      <c r="V2789" s="2">
        <v>0</v>
      </c>
      <c r="W2789">
        <v>0</v>
      </c>
      <c r="X2789" t="s">
        <v>44</v>
      </c>
      <c r="Y2789">
        <v>0</v>
      </c>
      <c r="Z2789" t="s">
        <v>31</v>
      </c>
      <c r="AA2789">
        <v>0</v>
      </c>
      <c r="AB2789" t="s">
        <v>31</v>
      </c>
      <c r="AC2789">
        <v>0</v>
      </c>
      <c r="AD2789" t="s">
        <v>31</v>
      </c>
      <c r="AE2789">
        <v>0</v>
      </c>
      <c r="AF2789" t="s">
        <v>31</v>
      </c>
      <c r="AG2789">
        <v>0</v>
      </c>
      <c r="AH2789" t="s">
        <v>31</v>
      </c>
      <c r="AI2789">
        <v>0</v>
      </c>
      <c r="AJ2789" t="s">
        <v>31</v>
      </c>
      <c r="AK2789">
        <v>0</v>
      </c>
      <c r="AL2789" t="s">
        <v>31</v>
      </c>
      <c r="AM2789">
        <v>0</v>
      </c>
      <c r="AN2789" t="s">
        <v>31</v>
      </c>
      <c r="AO2789">
        <v>0</v>
      </c>
      <c r="AP2789" t="s">
        <v>31</v>
      </c>
      <c r="AQ2789">
        <v>0</v>
      </c>
    </row>
    <row r="2790" spans="1:43" x14ac:dyDescent="0.2">
      <c r="A2790" t="s">
        <v>381</v>
      </c>
      <c r="B2790" s="3">
        <v>44266</v>
      </c>
      <c r="C2790">
        <v>34</v>
      </c>
      <c r="D2790" t="s">
        <v>385</v>
      </c>
      <c r="E2790" t="s">
        <v>83</v>
      </c>
      <c r="F2790" s="9" t="s">
        <v>88</v>
      </c>
      <c r="G2790" t="s">
        <v>26</v>
      </c>
      <c r="H2790" t="s">
        <v>85</v>
      </c>
      <c r="I2790" t="s">
        <v>86</v>
      </c>
      <c r="J2790" t="s">
        <v>43</v>
      </c>
      <c r="K2790" t="s">
        <v>44</v>
      </c>
      <c r="L2790" t="s">
        <v>53</v>
      </c>
      <c r="M2790" t="s">
        <v>54</v>
      </c>
      <c r="N2790" t="s">
        <v>85</v>
      </c>
      <c r="O2790" t="s">
        <v>86</v>
      </c>
      <c r="P2790" t="s">
        <v>43</v>
      </c>
      <c r="Q2790" t="s">
        <v>44</v>
      </c>
      <c r="R2790" s="1">
        <v>44266.660324074073</v>
      </c>
      <c r="S2790" s="1">
        <v>44266.663773148146</v>
      </c>
      <c r="T2790">
        <v>0</v>
      </c>
      <c r="U2790">
        <v>2</v>
      </c>
      <c r="V2790" s="2">
        <v>0</v>
      </c>
      <c r="W2790">
        <v>0</v>
      </c>
      <c r="X2790" t="s">
        <v>44</v>
      </c>
      <c r="Y2790">
        <v>0</v>
      </c>
      <c r="Z2790" t="s">
        <v>44</v>
      </c>
      <c r="AA2790">
        <v>0</v>
      </c>
      <c r="AB2790" t="s">
        <v>31</v>
      </c>
      <c r="AC2790">
        <v>0</v>
      </c>
      <c r="AD2790" t="s">
        <v>31</v>
      </c>
      <c r="AE2790">
        <v>0</v>
      </c>
      <c r="AF2790" t="s">
        <v>31</v>
      </c>
      <c r="AG2790">
        <v>0</v>
      </c>
      <c r="AH2790" t="s">
        <v>31</v>
      </c>
      <c r="AI2790">
        <v>0</v>
      </c>
      <c r="AJ2790" t="s">
        <v>31</v>
      </c>
      <c r="AK2790">
        <v>0</v>
      </c>
      <c r="AL2790" t="s">
        <v>31</v>
      </c>
      <c r="AM2790">
        <v>0</v>
      </c>
      <c r="AN2790" t="s">
        <v>31</v>
      </c>
      <c r="AO2790">
        <v>0</v>
      </c>
      <c r="AP2790" t="s">
        <v>31</v>
      </c>
      <c r="AQ2790">
        <v>0</v>
      </c>
    </row>
    <row r="2791" spans="1:43" x14ac:dyDescent="0.2">
      <c r="A2791" t="s">
        <v>381</v>
      </c>
      <c r="B2791" s="3">
        <v>44270</v>
      </c>
      <c r="C2791">
        <v>35</v>
      </c>
      <c r="D2791" t="s">
        <v>384</v>
      </c>
      <c r="E2791" t="s">
        <v>83</v>
      </c>
      <c r="F2791" s="9" t="s">
        <v>88</v>
      </c>
      <c r="G2791" t="s">
        <v>26</v>
      </c>
      <c r="H2791" t="s">
        <v>85</v>
      </c>
      <c r="I2791" t="s">
        <v>86</v>
      </c>
      <c r="J2791" t="s">
        <v>43</v>
      </c>
      <c r="K2791" t="s">
        <v>44</v>
      </c>
      <c r="L2791" t="s">
        <v>53</v>
      </c>
      <c r="M2791" t="s">
        <v>54</v>
      </c>
      <c r="N2791" t="s">
        <v>85</v>
      </c>
      <c r="O2791" t="s">
        <v>86</v>
      </c>
      <c r="P2791" t="s">
        <v>43</v>
      </c>
      <c r="Q2791" t="s">
        <v>44</v>
      </c>
      <c r="R2791" s="1">
        <v>44270.414479166669</v>
      </c>
      <c r="S2791" s="1">
        <v>44270.414479166669</v>
      </c>
      <c r="T2791">
        <v>0</v>
      </c>
      <c r="U2791">
        <v>1</v>
      </c>
      <c r="V2791" s="2">
        <v>0</v>
      </c>
      <c r="W2791">
        <v>0</v>
      </c>
      <c r="X2791" t="s">
        <v>44</v>
      </c>
      <c r="Y2791">
        <v>0</v>
      </c>
      <c r="Z2791" t="s">
        <v>31</v>
      </c>
      <c r="AA2791">
        <v>0</v>
      </c>
      <c r="AB2791" t="s">
        <v>31</v>
      </c>
      <c r="AC2791">
        <v>0</v>
      </c>
      <c r="AD2791" t="s">
        <v>31</v>
      </c>
      <c r="AE2791">
        <v>0</v>
      </c>
      <c r="AF2791" t="s">
        <v>31</v>
      </c>
      <c r="AG2791">
        <v>0</v>
      </c>
      <c r="AH2791" t="s">
        <v>31</v>
      </c>
      <c r="AI2791">
        <v>0</v>
      </c>
      <c r="AJ2791" t="s">
        <v>31</v>
      </c>
      <c r="AK2791">
        <v>0</v>
      </c>
      <c r="AL2791" t="s">
        <v>31</v>
      </c>
      <c r="AM2791">
        <v>0</v>
      </c>
      <c r="AN2791" t="s">
        <v>31</v>
      </c>
      <c r="AO2791">
        <v>0</v>
      </c>
      <c r="AP2791" t="s">
        <v>31</v>
      </c>
      <c r="AQ2791">
        <v>0</v>
      </c>
    </row>
    <row r="2792" spans="1:43" x14ac:dyDescent="0.2">
      <c r="A2792" t="s">
        <v>381</v>
      </c>
      <c r="B2792" s="3">
        <v>44271</v>
      </c>
      <c r="C2792">
        <v>36</v>
      </c>
      <c r="D2792" t="s">
        <v>385</v>
      </c>
      <c r="E2792" t="s">
        <v>83</v>
      </c>
      <c r="F2792" s="9" t="s">
        <v>88</v>
      </c>
      <c r="G2792" t="s">
        <v>26</v>
      </c>
      <c r="H2792" t="s">
        <v>85</v>
      </c>
      <c r="I2792" t="s">
        <v>86</v>
      </c>
      <c r="J2792" t="s">
        <v>43</v>
      </c>
      <c r="K2792" t="s">
        <v>44</v>
      </c>
      <c r="L2792" t="s">
        <v>53</v>
      </c>
      <c r="M2792" t="s">
        <v>54</v>
      </c>
      <c r="N2792" t="s">
        <v>85</v>
      </c>
      <c r="O2792" t="s">
        <v>86</v>
      </c>
      <c r="P2792" t="s">
        <v>43</v>
      </c>
      <c r="Q2792" t="s">
        <v>44</v>
      </c>
      <c r="R2792" s="1">
        <v>44271.426064814812</v>
      </c>
      <c r="S2792" s="1">
        <v>44271.426064814812</v>
      </c>
      <c r="T2792">
        <v>0</v>
      </c>
      <c r="U2792">
        <v>2</v>
      </c>
      <c r="V2792" s="2">
        <v>0</v>
      </c>
      <c r="W2792">
        <v>0</v>
      </c>
      <c r="X2792" t="s">
        <v>44</v>
      </c>
      <c r="Y2792">
        <v>0</v>
      </c>
      <c r="Z2792" t="s">
        <v>44</v>
      </c>
      <c r="AA2792">
        <v>0</v>
      </c>
      <c r="AB2792" t="s">
        <v>31</v>
      </c>
      <c r="AC2792">
        <v>0</v>
      </c>
      <c r="AD2792" t="s">
        <v>31</v>
      </c>
      <c r="AE2792">
        <v>0</v>
      </c>
      <c r="AF2792" t="s">
        <v>31</v>
      </c>
      <c r="AG2792">
        <v>0</v>
      </c>
      <c r="AH2792" t="s">
        <v>31</v>
      </c>
      <c r="AI2792">
        <v>0</v>
      </c>
      <c r="AJ2792" t="s">
        <v>31</v>
      </c>
      <c r="AK2792">
        <v>0</v>
      </c>
      <c r="AL2792" t="s">
        <v>31</v>
      </c>
      <c r="AM2792">
        <v>0</v>
      </c>
      <c r="AN2792" t="s">
        <v>31</v>
      </c>
      <c r="AO2792">
        <v>0</v>
      </c>
      <c r="AP2792" t="s">
        <v>31</v>
      </c>
      <c r="AQ2792">
        <v>0</v>
      </c>
    </row>
    <row r="2793" spans="1:43" x14ac:dyDescent="0.2">
      <c r="A2793" t="s">
        <v>381</v>
      </c>
      <c r="B2793" s="3">
        <v>44271</v>
      </c>
      <c r="C2793">
        <v>37</v>
      </c>
      <c r="D2793" t="s">
        <v>385</v>
      </c>
      <c r="E2793" t="s">
        <v>83</v>
      </c>
      <c r="F2793" s="9" t="s">
        <v>88</v>
      </c>
      <c r="G2793" t="s">
        <v>26</v>
      </c>
      <c r="H2793" t="s">
        <v>85</v>
      </c>
      <c r="I2793" t="s">
        <v>86</v>
      </c>
      <c r="J2793" t="s">
        <v>43</v>
      </c>
      <c r="K2793" t="s">
        <v>44</v>
      </c>
      <c r="L2793" t="s">
        <v>53</v>
      </c>
      <c r="M2793" t="s">
        <v>54</v>
      </c>
      <c r="N2793" t="s">
        <v>85</v>
      </c>
      <c r="O2793" t="s">
        <v>86</v>
      </c>
      <c r="P2793" t="s">
        <v>43</v>
      </c>
      <c r="Q2793" t="s">
        <v>44</v>
      </c>
      <c r="R2793" s="1">
        <v>44271.628263888888</v>
      </c>
      <c r="S2793" s="1">
        <v>44271.628263888888</v>
      </c>
      <c r="T2793">
        <v>0</v>
      </c>
      <c r="U2793">
        <v>1</v>
      </c>
      <c r="V2793" s="2">
        <v>0</v>
      </c>
      <c r="W2793">
        <v>0</v>
      </c>
      <c r="X2793" t="s">
        <v>44</v>
      </c>
      <c r="Y2793">
        <v>0</v>
      </c>
      <c r="Z2793" t="s">
        <v>31</v>
      </c>
      <c r="AA2793">
        <v>0</v>
      </c>
      <c r="AB2793" t="s">
        <v>31</v>
      </c>
      <c r="AC2793">
        <v>0</v>
      </c>
      <c r="AD2793" t="s">
        <v>31</v>
      </c>
      <c r="AE2793">
        <v>0</v>
      </c>
      <c r="AF2793" t="s">
        <v>31</v>
      </c>
      <c r="AG2793">
        <v>0</v>
      </c>
      <c r="AH2793" t="s">
        <v>31</v>
      </c>
      <c r="AI2793">
        <v>0</v>
      </c>
      <c r="AJ2793" t="s">
        <v>31</v>
      </c>
      <c r="AK2793">
        <v>0</v>
      </c>
      <c r="AL2793" t="s">
        <v>31</v>
      </c>
      <c r="AM2793">
        <v>0</v>
      </c>
      <c r="AN2793" t="s">
        <v>31</v>
      </c>
      <c r="AO2793">
        <v>0</v>
      </c>
      <c r="AP2793" t="s">
        <v>31</v>
      </c>
      <c r="AQ2793">
        <v>0</v>
      </c>
    </row>
    <row r="2794" spans="1:43" x14ac:dyDescent="0.2">
      <c r="A2794" t="s">
        <v>381</v>
      </c>
      <c r="B2794" s="3">
        <v>44272</v>
      </c>
      <c r="C2794">
        <v>38</v>
      </c>
      <c r="D2794" t="s">
        <v>384</v>
      </c>
      <c r="E2794" t="s">
        <v>83</v>
      </c>
      <c r="F2794" s="9" t="s">
        <v>88</v>
      </c>
      <c r="G2794" t="s">
        <v>26</v>
      </c>
      <c r="H2794" t="s">
        <v>85</v>
      </c>
      <c r="I2794" t="s">
        <v>86</v>
      </c>
      <c r="J2794" t="s">
        <v>43</v>
      </c>
      <c r="K2794" t="s">
        <v>44</v>
      </c>
      <c r="L2794" t="s">
        <v>53</v>
      </c>
      <c r="M2794" t="s">
        <v>54</v>
      </c>
      <c r="N2794" t="s">
        <v>85</v>
      </c>
      <c r="O2794" t="s">
        <v>86</v>
      </c>
      <c r="P2794" t="s">
        <v>43</v>
      </c>
      <c r="Q2794" t="s">
        <v>44</v>
      </c>
      <c r="R2794" s="1">
        <v>44272.380636574075</v>
      </c>
      <c r="S2794" s="1">
        <v>44272.380636574075</v>
      </c>
      <c r="T2794">
        <v>0</v>
      </c>
      <c r="U2794">
        <v>1</v>
      </c>
      <c r="V2794" s="2">
        <v>0</v>
      </c>
      <c r="W2794">
        <v>0</v>
      </c>
      <c r="X2794" t="s">
        <v>44</v>
      </c>
      <c r="Y2794">
        <v>0</v>
      </c>
      <c r="Z2794" t="s">
        <v>31</v>
      </c>
      <c r="AA2794">
        <v>0</v>
      </c>
      <c r="AB2794" t="s">
        <v>31</v>
      </c>
      <c r="AC2794">
        <v>0</v>
      </c>
      <c r="AD2794" t="s">
        <v>31</v>
      </c>
      <c r="AE2794">
        <v>0</v>
      </c>
      <c r="AF2794" t="s">
        <v>31</v>
      </c>
      <c r="AG2794">
        <v>0</v>
      </c>
      <c r="AH2794" t="s">
        <v>31</v>
      </c>
      <c r="AI2794">
        <v>0</v>
      </c>
      <c r="AJ2794" t="s">
        <v>31</v>
      </c>
      <c r="AK2794">
        <v>0</v>
      </c>
      <c r="AL2794" t="s">
        <v>31</v>
      </c>
      <c r="AM2794">
        <v>0</v>
      </c>
      <c r="AN2794" t="s">
        <v>31</v>
      </c>
      <c r="AO2794">
        <v>0</v>
      </c>
      <c r="AP2794" t="s">
        <v>31</v>
      </c>
      <c r="AQ2794">
        <v>0</v>
      </c>
    </row>
    <row r="2795" spans="1:43" x14ac:dyDescent="0.2">
      <c r="A2795" t="s">
        <v>381</v>
      </c>
      <c r="B2795" s="3">
        <v>44273</v>
      </c>
      <c r="C2795">
        <v>39</v>
      </c>
      <c r="D2795" t="s">
        <v>385</v>
      </c>
      <c r="E2795" t="s">
        <v>83</v>
      </c>
      <c r="F2795" s="9" t="s">
        <v>88</v>
      </c>
      <c r="G2795" t="s">
        <v>26</v>
      </c>
      <c r="H2795" t="s">
        <v>85</v>
      </c>
      <c r="I2795" t="s">
        <v>86</v>
      </c>
      <c r="J2795" t="s">
        <v>43</v>
      </c>
      <c r="K2795" t="s">
        <v>44</v>
      </c>
      <c r="L2795" t="s">
        <v>53</v>
      </c>
      <c r="M2795" t="s">
        <v>54</v>
      </c>
      <c r="N2795" t="s">
        <v>85</v>
      </c>
      <c r="O2795" t="s">
        <v>86</v>
      </c>
      <c r="P2795" t="s">
        <v>43</v>
      </c>
      <c r="Q2795" t="s">
        <v>44</v>
      </c>
      <c r="R2795" s="1">
        <v>44273.417314814818</v>
      </c>
      <c r="S2795" s="1">
        <v>44273.417326388888</v>
      </c>
      <c r="T2795">
        <v>0</v>
      </c>
      <c r="U2795">
        <v>2</v>
      </c>
      <c r="V2795" s="2">
        <v>0</v>
      </c>
      <c r="W2795">
        <v>0</v>
      </c>
      <c r="X2795" t="s">
        <v>44</v>
      </c>
      <c r="Y2795">
        <v>0</v>
      </c>
      <c r="Z2795" t="s">
        <v>44</v>
      </c>
      <c r="AA2795">
        <v>0</v>
      </c>
      <c r="AB2795" t="s">
        <v>31</v>
      </c>
      <c r="AC2795">
        <v>0</v>
      </c>
      <c r="AD2795" t="s">
        <v>31</v>
      </c>
      <c r="AE2795">
        <v>0</v>
      </c>
      <c r="AF2795" t="s">
        <v>31</v>
      </c>
      <c r="AG2795">
        <v>0</v>
      </c>
      <c r="AH2795" t="s">
        <v>31</v>
      </c>
      <c r="AI2795">
        <v>0</v>
      </c>
      <c r="AJ2795" t="s">
        <v>31</v>
      </c>
      <c r="AK2795">
        <v>0</v>
      </c>
      <c r="AL2795" t="s">
        <v>31</v>
      </c>
      <c r="AM2795">
        <v>0</v>
      </c>
      <c r="AN2795" t="s">
        <v>31</v>
      </c>
      <c r="AO2795">
        <v>0</v>
      </c>
      <c r="AP2795" t="s">
        <v>31</v>
      </c>
      <c r="AQ2795">
        <v>0</v>
      </c>
    </row>
    <row r="2796" spans="1:43" x14ac:dyDescent="0.2">
      <c r="A2796" t="s">
        <v>381</v>
      </c>
      <c r="B2796" s="3">
        <v>44273</v>
      </c>
      <c r="C2796">
        <v>40</v>
      </c>
      <c r="D2796" t="s">
        <v>385</v>
      </c>
      <c r="E2796" t="s">
        <v>83</v>
      </c>
      <c r="F2796" s="9" t="s">
        <v>88</v>
      </c>
      <c r="G2796" t="s">
        <v>26</v>
      </c>
      <c r="H2796" t="s">
        <v>85</v>
      </c>
      <c r="I2796" t="s">
        <v>86</v>
      </c>
      <c r="J2796" t="s">
        <v>43</v>
      </c>
      <c r="K2796" t="s">
        <v>44</v>
      </c>
      <c r="L2796" t="s">
        <v>53</v>
      </c>
      <c r="M2796" t="s">
        <v>54</v>
      </c>
      <c r="N2796" t="s">
        <v>85</v>
      </c>
      <c r="O2796" t="s">
        <v>86</v>
      </c>
      <c r="P2796" t="s">
        <v>43</v>
      </c>
      <c r="Q2796" t="s">
        <v>44</v>
      </c>
      <c r="R2796" s="1">
        <v>44273.65483796296</v>
      </c>
      <c r="S2796" s="1">
        <v>44273.65483796296</v>
      </c>
      <c r="T2796">
        <v>0</v>
      </c>
      <c r="U2796">
        <v>1</v>
      </c>
      <c r="V2796" s="2">
        <v>0</v>
      </c>
      <c r="W2796">
        <v>0</v>
      </c>
      <c r="X2796" t="s">
        <v>44</v>
      </c>
      <c r="Y2796">
        <v>0</v>
      </c>
      <c r="Z2796" t="s">
        <v>31</v>
      </c>
      <c r="AA2796">
        <v>0</v>
      </c>
      <c r="AB2796" t="s">
        <v>31</v>
      </c>
      <c r="AC2796">
        <v>0</v>
      </c>
      <c r="AD2796" t="s">
        <v>31</v>
      </c>
      <c r="AE2796">
        <v>0</v>
      </c>
      <c r="AF2796" t="s">
        <v>31</v>
      </c>
      <c r="AG2796">
        <v>0</v>
      </c>
      <c r="AH2796" t="s">
        <v>31</v>
      </c>
      <c r="AI2796">
        <v>0</v>
      </c>
      <c r="AJ2796" t="s">
        <v>31</v>
      </c>
      <c r="AK2796">
        <v>0</v>
      </c>
      <c r="AL2796" t="s">
        <v>31</v>
      </c>
      <c r="AM2796">
        <v>0</v>
      </c>
      <c r="AN2796" t="s">
        <v>31</v>
      </c>
      <c r="AO2796">
        <v>0</v>
      </c>
      <c r="AP2796" t="s">
        <v>31</v>
      </c>
      <c r="AQ2796">
        <v>0</v>
      </c>
    </row>
    <row r="2797" spans="1:43" x14ac:dyDescent="0.2">
      <c r="A2797" t="s">
        <v>381</v>
      </c>
      <c r="B2797" s="3">
        <v>44279</v>
      </c>
      <c r="C2797">
        <v>41</v>
      </c>
      <c r="D2797" t="s">
        <v>384</v>
      </c>
      <c r="E2797" t="s">
        <v>83</v>
      </c>
      <c r="F2797" s="9" t="s">
        <v>88</v>
      </c>
      <c r="G2797" t="s">
        <v>26</v>
      </c>
      <c r="H2797" t="s">
        <v>85</v>
      </c>
      <c r="I2797" t="s">
        <v>86</v>
      </c>
      <c r="J2797" t="s">
        <v>43</v>
      </c>
      <c r="K2797" t="s">
        <v>44</v>
      </c>
      <c r="L2797" t="s">
        <v>53</v>
      </c>
      <c r="M2797" t="s">
        <v>54</v>
      </c>
      <c r="N2797" t="s">
        <v>85</v>
      </c>
      <c r="O2797" t="s">
        <v>86</v>
      </c>
      <c r="P2797" t="s">
        <v>43</v>
      </c>
      <c r="Q2797" t="s">
        <v>44</v>
      </c>
      <c r="R2797" s="1">
        <v>44279.392974537041</v>
      </c>
      <c r="S2797" s="1">
        <v>44279.392974537041</v>
      </c>
      <c r="T2797">
        <v>0</v>
      </c>
      <c r="U2797">
        <v>1</v>
      </c>
      <c r="V2797" s="2">
        <v>0</v>
      </c>
      <c r="W2797">
        <v>0</v>
      </c>
      <c r="X2797" t="s">
        <v>44</v>
      </c>
      <c r="Y2797">
        <v>0</v>
      </c>
      <c r="Z2797" t="s">
        <v>31</v>
      </c>
      <c r="AA2797">
        <v>0</v>
      </c>
      <c r="AB2797" t="s">
        <v>31</v>
      </c>
      <c r="AC2797">
        <v>0</v>
      </c>
      <c r="AD2797" t="s">
        <v>31</v>
      </c>
      <c r="AE2797">
        <v>0</v>
      </c>
      <c r="AF2797" t="s">
        <v>31</v>
      </c>
      <c r="AG2797">
        <v>0</v>
      </c>
      <c r="AH2797" t="s">
        <v>31</v>
      </c>
      <c r="AI2797">
        <v>0</v>
      </c>
      <c r="AJ2797" t="s">
        <v>31</v>
      </c>
      <c r="AK2797">
        <v>0</v>
      </c>
      <c r="AL2797" t="s">
        <v>31</v>
      </c>
      <c r="AM2797">
        <v>0</v>
      </c>
      <c r="AN2797" t="s">
        <v>31</v>
      </c>
      <c r="AO2797">
        <v>0</v>
      </c>
      <c r="AP2797" t="s">
        <v>31</v>
      </c>
      <c r="AQ2797">
        <v>0</v>
      </c>
    </row>
    <row r="2798" spans="1:43" x14ac:dyDescent="0.2">
      <c r="A2798" t="s">
        <v>381</v>
      </c>
      <c r="B2798" s="3">
        <v>44281</v>
      </c>
      <c r="C2798">
        <v>42</v>
      </c>
      <c r="D2798" t="s">
        <v>384</v>
      </c>
      <c r="E2798" t="s">
        <v>83</v>
      </c>
      <c r="F2798" s="9" t="s">
        <v>88</v>
      </c>
      <c r="G2798" t="s">
        <v>26</v>
      </c>
      <c r="H2798" t="s">
        <v>85</v>
      </c>
      <c r="I2798" t="s">
        <v>86</v>
      </c>
      <c r="J2798" t="s">
        <v>43</v>
      </c>
      <c r="K2798" t="s">
        <v>44</v>
      </c>
      <c r="L2798" t="s">
        <v>53</v>
      </c>
      <c r="M2798" t="s">
        <v>54</v>
      </c>
      <c r="N2798" t="s">
        <v>85</v>
      </c>
      <c r="O2798" t="s">
        <v>86</v>
      </c>
      <c r="P2798" t="s">
        <v>43</v>
      </c>
      <c r="Q2798" t="s">
        <v>44</v>
      </c>
      <c r="R2798" s="1">
        <v>44281.455138888887</v>
      </c>
      <c r="S2798" s="1">
        <v>44281.455138888887</v>
      </c>
      <c r="T2798">
        <v>0</v>
      </c>
      <c r="U2798">
        <v>1</v>
      </c>
      <c r="V2798" s="2">
        <v>0</v>
      </c>
      <c r="W2798">
        <v>0</v>
      </c>
      <c r="X2798" t="s">
        <v>44</v>
      </c>
      <c r="Y2798">
        <v>0</v>
      </c>
      <c r="Z2798" t="s">
        <v>31</v>
      </c>
      <c r="AA2798">
        <v>0</v>
      </c>
      <c r="AB2798" t="s">
        <v>31</v>
      </c>
      <c r="AC2798">
        <v>0</v>
      </c>
      <c r="AD2798" t="s">
        <v>31</v>
      </c>
      <c r="AE2798">
        <v>0</v>
      </c>
      <c r="AF2798" t="s">
        <v>31</v>
      </c>
      <c r="AG2798">
        <v>0</v>
      </c>
      <c r="AH2798" t="s">
        <v>31</v>
      </c>
      <c r="AI2798">
        <v>0</v>
      </c>
      <c r="AJ2798" t="s">
        <v>31</v>
      </c>
      <c r="AK2798">
        <v>0</v>
      </c>
      <c r="AL2798" t="s">
        <v>31</v>
      </c>
      <c r="AM2798">
        <v>0</v>
      </c>
      <c r="AN2798" t="s">
        <v>31</v>
      </c>
      <c r="AO2798">
        <v>0</v>
      </c>
      <c r="AP2798" t="s">
        <v>31</v>
      </c>
      <c r="AQ2798">
        <v>0</v>
      </c>
    </row>
    <row r="2799" spans="1:43" x14ac:dyDescent="0.2">
      <c r="A2799" t="s">
        <v>381</v>
      </c>
      <c r="B2799" s="3">
        <v>44284</v>
      </c>
      <c r="C2799">
        <v>43</v>
      </c>
      <c r="D2799" t="s">
        <v>384</v>
      </c>
      <c r="E2799" t="s">
        <v>83</v>
      </c>
      <c r="F2799" s="9" t="s">
        <v>88</v>
      </c>
      <c r="G2799" t="s">
        <v>26</v>
      </c>
      <c r="H2799" t="s">
        <v>85</v>
      </c>
      <c r="I2799" t="s">
        <v>86</v>
      </c>
      <c r="J2799" t="s">
        <v>43</v>
      </c>
      <c r="K2799" t="s">
        <v>44</v>
      </c>
      <c r="L2799" t="s">
        <v>53</v>
      </c>
      <c r="M2799" t="s">
        <v>54</v>
      </c>
      <c r="N2799" t="s">
        <v>85</v>
      </c>
      <c r="O2799" t="s">
        <v>86</v>
      </c>
      <c r="P2799" t="s">
        <v>43</v>
      </c>
      <c r="Q2799" t="s">
        <v>44</v>
      </c>
      <c r="R2799" s="1">
        <v>44284.376851851855</v>
      </c>
      <c r="S2799" s="1">
        <v>44284.376851851855</v>
      </c>
      <c r="T2799">
        <v>0</v>
      </c>
      <c r="U2799">
        <v>1</v>
      </c>
      <c r="V2799" s="2">
        <v>0</v>
      </c>
      <c r="W2799">
        <v>0</v>
      </c>
      <c r="X2799" t="s">
        <v>44</v>
      </c>
      <c r="Y2799">
        <v>0</v>
      </c>
      <c r="Z2799" t="s">
        <v>31</v>
      </c>
      <c r="AA2799">
        <v>0</v>
      </c>
      <c r="AB2799" t="s">
        <v>31</v>
      </c>
      <c r="AC2799">
        <v>0</v>
      </c>
      <c r="AD2799" t="s">
        <v>31</v>
      </c>
      <c r="AE2799">
        <v>0</v>
      </c>
      <c r="AF2799" t="s">
        <v>31</v>
      </c>
      <c r="AG2799">
        <v>0</v>
      </c>
      <c r="AH2799" t="s">
        <v>31</v>
      </c>
      <c r="AI2799">
        <v>0</v>
      </c>
      <c r="AJ2799" t="s">
        <v>31</v>
      </c>
      <c r="AK2799">
        <v>0</v>
      </c>
      <c r="AL2799" t="s">
        <v>31</v>
      </c>
      <c r="AM2799">
        <v>0</v>
      </c>
      <c r="AN2799" t="s">
        <v>31</v>
      </c>
      <c r="AO2799">
        <v>0</v>
      </c>
      <c r="AP2799" t="s">
        <v>31</v>
      </c>
      <c r="AQ2799">
        <v>0</v>
      </c>
    </row>
    <row r="2800" spans="1:43" x14ac:dyDescent="0.2">
      <c r="A2800" t="s">
        <v>381</v>
      </c>
      <c r="B2800" s="3">
        <v>44285</v>
      </c>
      <c r="C2800">
        <v>44</v>
      </c>
      <c r="D2800" t="s">
        <v>385</v>
      </c>
      <c r="E2800" t="s">
        <v>83</v>
      </c>
      <c r="F2800" s="9" t="s">
        <v>88</v>
      </c>
      <c r="G2800" t="s">
        <v>26</v>
      </c>
      <c r="H2800" t="s">
        <v>85</v>
      </c>
      <c r="I2800" t="s">
        <v>86</v>
      </c>
      <c r="J2800" t="s">
        <v>43</v>
      </c>
      <c r="K2800" t="s">
        <v>44</v>
      </c>
      <c r="L2800" t="s">
        <v>53</v>
      </c>
      <c r="M2800" t="s">
        <v>54</v>
      </c>
      <c r="N2800" t="s">
        <v>85</v>
      </c>
      <c r="O2800" t="s">
        <v>86</v>
      </c>
      <c r="P2800" t="s">
        <v>43</v>
      </c>
      <c r="Q2800" t="s">
        <v>44</v>
      </c>
      <c r="R2800" s="1">
        <v>44285.409942129627</v>
      </c>
      <c r="S2800" s="1">
        <v>44285.409953703704</v>
      </c>
      <c r="T2800">
        <v>0</v>
      </c>
      <c r="U2800">
        <v>2</v>
      </c>
      <c r="V2800" s="2">
        <v>0</v>
      </c>
      <c r="W2800">
        <v>0</v>
      </c>
      <c r="X2800" t="s">
        <v>44</v>
      </c>
      <c r="Y2800">
        <v>0</v>
      </c>
      <c r="Z2800" t="s">
        <v>44</v>
      </c>
      <c r="AA2800">
        <v>0</v>
      </c>
      <c r="AB2800" t="s">
        <v>31</v>
      </c>
      <c r="AC2800">
        <v>0</v>
      </c>
      <c r="AD2800" t="s">
        <v>31</v>
      </c>
      <c r="AE2800">
        <v>0</v>
      </c>
      <c r="AF2800" t="s">
        <v>31</v>
      </c>
      <c r="AG2800">
        <v>0</v>
      </c>
      <c r="AH2800" t="s">
        <v>31</v>
      </c>
      <c r="AI2800">
        <v>0</v>
      </c>
      <c r="AJ2800" t="s">
        <v>31</v>
      </c>
      <c r="AK2800">
        <v>0</v>
      </c>
      <c r="AL2800" t="s">
        <v>31</v>
      </c>
      <c r="AM2800">
        <v>0</v>
      </c>
      <c r="AN2800" t="s">
        <v>31</v>
      </c>
      <c r="AO2800">
        <v>0</v>
      </c>
      <c r="AP2800" t="s">
        <v>31</v>
      </c>
      <c r="AQ2800">
        <v>0</v>
      </c>
    </row>
    <row r="2801" spans="1:43" x14ac:dyDescent="0.2">
      <c r="A2801" t="s">
        <v>381</v>
      </c>
      <c r="B2801" s="3">
        <v>44285</v>
      </c>
      <c r="C2801">
        <v>45</v>
      </c>
      <c r="D2801" t="s">
        <v>385</v>
      </c>
      <c r="E2801" t="s">
        <v>83</v>
      </c>
      <c r="F2801" s="9" t="s">
        <v>88</v>
      </c>
      <c r="G2801" t="s">
        <v>26</v>
      </c>
      <c r="H2801" t="s">
        <v>85</v>
      </c>
      <c r="I2801" t="s">
        <v>86</v>
      </c>
      <c r="J2801" t="s">
        <v>43</v>
      </c>
      <c r="K2801" t="s">
        <v>44</v>
      </c>
      <c r="L2801" t="s">
        <v>53</v>
      </c>
      <c r="M2801" t="s">
        <v>54</v>
      </c>
      <c r="N2801" t="s">
        <v>85</v>
      </c>
      <c r="O2801" t="s">
        <v>86</v>
      </c>
      <c r="P2801" t="s">
        <v>43</v>
      </c>
      <c r="Q2801" t="s">
        <v>44</v>
      </c>
      <c r="R2801" s="1">
        <v>44285.631493055553</v>
      </c>
      <c r="S2801" s="1">
        <v>44285.631504629629</v>
      </c>
      <c r="T2801">
        <v>0</v>
      </c>
      <c r="U2801">
        <v>2</v>
      </c>
      <c r="V2801" s="2">
        <v>0</v>
      </c>
      <c r="W2801">
        <v>0</v>
      </c>
      <c r="X2801" t="s">
        <v>44</v>
      </c>
      <c r="Y2801">
        <v>0</v>
      </c>
      <c r="Z2801" t="s">
        <v>44</v>
      </c>
      <c r="AA2801">
        <v>0</v>
      </c>
      <c r="AB2801" t="s">
        <v>31</v>
      </c>
      <c r="AC2801">
        <v>0</v>
      </c>
      <c r="AD2801" t="s">
        <v>31</v>
      </c>
      <c r="AE2801">
        <v>0</v>
      </c>
      <c r="AF2801" t="s">
        <v>31</v>
      </c>
      <c r="AG2801">
        <v>0</v>
      </c>
      <c r="AH2801" t="s">
        <v>31</v>
      </c>
      <c r="AI2801">
        <v>0</v>
      </c>
      <c r="AJ2801" t="s">
        <v>31</v>
      </c>
      <c r="AK2801">
        <v>0</v>
      </c>
      <c r="AL2801" t="s">
        <v>31</v>
      </c>
      <c r="AM2801">
        <v>0</v>
      </c>
      <c r="AN2801" t="s">
        <v>31</v>
      </c>
      <c r="AO2801">
        <v>0</v>
      </c>
      <c r="AP2801" t="s">
        <v>31</v>
      </c>
      <c r="AQ2801">
        <v>0</v>
      </c>
    </row>
    <row r="2802" spans="1:43" x14ac:dyDescent="0.2">
      <c r="A2802" t="s">
        <v>381</v>
      </c>
      <c r="B2802" s="3">
        <v>44287</v>
      </c>
      <c r="C2802">
        <v>47</v>
      </c>
      <c r="D2802" t="s">
        <v>385</v>
      </c>
      <c r="E2802" t="s">
        <v>83</v>
      </c>
      <c r="F2802" s="9" t="s">
        <v>88</v>
      </c>
      <c r="G2802" t="s">
        <v>26</v>
      </c>
      <c r="H2802" t="s">
        <v>85</v>
      </c>
      <c r="I2802" t="s">
        <v>86</v>
      </c>
      <c r="J2802" t="s">
        <v>43</v>
      </c>
      <c r="K2802" t="s">
        <v>44</v>
      </c>
      <c r="L2802" t="s">
        <v>53</v>
      </c>
      <c r="M2802" t="s">
        <v>54</v>
      </c>
      <c r="N2802" t="s">
        <v>85</v>
      </c>
      <c r="O2802" t="s">
        <v>86</v>
      </c>
      <c r="P2802" t="s">
        <v>43</v>
      </c>
      <c r="Q2802" t="s">
        <v>44</v>
      </c>
      <c r="R2802" s="1">
        <v>44287.457048611112</v>
      </c>
      <c r="S2802" s="1">
        <v>44287.457048611112</v>
      </c>
      <c r="T2802">
        <v>0</v>
      </c>
      <c r="U2802">
        <v>1</v>
      </c>
      <c r="V2802" s="2">
        <v>0</v>
      </c>
      <c r="W2802">
        <v>0</v>
      </c>
      <c r="X2802" t="s">
        <v>44</v>
      </c>
      <c r="Y2802">
        <v>0</v>
      </c>
      <c r="Z2802" t="s">
        <v>31</v>
      </c>
      <c r="AA2802">
        <v>0</v>
      </c>
      <c r="AB2802" t="s">
        <v>31</v>
      </c>
      <c r="AC2802">
        <v>0</v>
      </c>
      <c r="AD2802" t="s">
        <v>31</v>
      </c>
      <c r="AE2802">
        <v>0</v>
      </c>
      <c r="AF2802" t="s">
        <v>31</v>
      </c>
      <c r="AG2802">
        <v>0</v>
      </c>
      <c r="AH2802" t="s">
        <v>31</v>
      </c>
      <c r="AI2802">
        <v>0</v>
      </c>
      <c r="AJ2802" t="s">
        <v>31</v>
      </c>
      <c r="AK2802">
        <v>0</v>
      </c>
      <c r="AL2802" t="s">
        <v>31</v>
      </c>
      <c r="AM2802">
        <v>0</v>
      </c>
      <c r="AN2802" t="s">
        <v>31</v>
      </c>
      <c r="AO2802">
        <v>0</v>
      </c>
      <c r="AP2802" t="s">
        <v>31</v>
      </c>
      <c r="AQ2802">
        <v>0</v>
      </c>
    </row>
    <row r="2803" spans="1:43" x14ac:dyDescent="0.2">
      <c r="A2803" t="s">
        <v>381</v>
      </c>
      <c r="B2803" s="3">
        <v>44288</v>
      </c>
      <c r="C2803">
        <v>49</v>
      </c>
      <c r="D2803" t="s">
        <v>384</v>
      </c>
      <c r="E2803" t="s">
        <v>83</v>
      </c>
      <c r="F2803" s="9" t="s">
        <v>88</v>
      </c>
      <c r="G2803" t="s">
        <v>26</v>
      </c>
      <c r="H2803" t="s">
        <v>85</v>
      </c>
      <c r="I2803" t="s">
        <v>86</v>
      </c>
      <c r="J2803" t="s">
        <v>43</v>
      </c>
      <c r="K2803" t="s">
        <v>44</v>
      </c>
      <c r="L2803" t="s">
        <v>53</v>
      </c>
      <c r="M2803" t="s">
        <v>54</v>
      </c>
      <c r="N2803" t="s">
        <v>85</v>
      </c>
      <c r="O2803" t="s">
        <v>86</v>
      </c>
      <c r="P2803" t="s">
        <v>43</v>
      </c>
      <c r="Q2803" t="s">
        <v>44</v>
      </c>
      <c r="R2803" s="1">
        <v>44288.430150462962</v>
      </c>
      <c r="S2803" s="1">
        <v>44288.430150462962</v>
      </c>
      <c r="T2803">
        <v>0</v>
      </c>
      <c r="U2803">
        <v>1</v>
      </c>
      <c r="V2803" s="2">
        <v>0</v>
      </c>
      <c r="W2803">
        <v>0</v>
      </c>
      <c r="X2803" t="s">
        <v>44</v>
      </c>
      <c r="Y2803">
        <v>0</v>
      </c>
      <c r="Z2803" t="s">
        <v>31</v>
      </c>
      <c r="AA2803">
        <v>0</v>
      </c>
      <c r="AB2803" t="s">
        <v>31</v>
      </c>
      <c r="AC2803">
        <v>0</v>
      </c>
      <c r="AD2803" t="s">
        <v>31</v>
      </c>
      <c r="AE2803">
        <v>0</v>
      </c>
      <c r="AF2803" t="s">
        <v>31</v>
      </c>
      <c r="AG2803">
        <v>0</v>
      </c>
      <c r="AH2803" t="s">
        <v>31</v>
      </c>
      <c r="AI2803">
        <v>0</v>
      </c>
      <c r="AJ2803" t="s">
        <v>31</v>
      </c>
      <c r="AK2803">
        <v>0</v>
      </c>
      <c r="AL2803" t="s">
        <v>31</v>
      </c>
      <c r="AM2803">
        <v>0</v>
      </c>
      <c r="AN2803" t="s">
        <v>31</v>
      </c>
      <c r="AO2803">
        <v>0</v>
      </c>
      <c r="AP2803" t="s">
        <v>31</v>
      </c>
      <c r="AQ2803">
        <v>0</v>
      </c>
    </row>
    <row r="2804" spans="1:43" x14ac:dyDescent="0.2">
      <c r="A2804" t="s">
        <v>381</v>
      </c>
      <c r="B2804" s="3">
        <v>44291</v>
      </c>
      <c r="C2804">
        <v>50</v>
      </c>
      <c r="D2804" t="s">
        <v>384</v>
      </c>
      <c r="E2804" t="s">
        <v>83</v>
      </c>
      <c r="F2804" s="9" t="s">
        <v>88</v>
      </c>
      <c r="G2804" t="s">
        <v>26</v>
      </c>
      <c r="H2804" t="s">
        <v>85</v>
      </c>
      <c r="I2804" t="s">
        <v>86</v>
      </c>
      <c r="J2804" t="s">
        <v>43</v>
      </c>
      <c r="K2804" t="s">
        <v>44</v>
      </c>
      <c r="L2804" t="s">
        <v>53</v>
      </c>
      <c r="M2804" t="s">
        <v>54</v>
      </c>
      <c r="N2804" t="s">
        <v>85</v>
      </c>
      <c r="O2804" t="s">
        <v>86</v>
      </c>
      <c r="P2804" t="s">
        <v>43</v>
      </c>
      <c r="Q2804" t="s">
        <v>44</v>
      </c>
      <c r="R2804" s="1">
        <v>44291.389513888891</v>
      </c>
      <c r="S2804" s="1">
        <v>44291.389513888891</v>
      </c>
      <c r="T2804">
        <v>0</v>
      </c>
      <c r="U2804">
        <v>1</v>
      </c>
      <c r="V2804" s="2">
        <v>0</v>
      </c>
      <c r="W2804">
        <v>0</v>
      </c>
      <c r="X2804" t="s">
        <v>44</v>
      </c>
      <c r="Y2804">
        <v>0</v>
      </c>
      <c r="Z2804" t="s">
        <v>31</v>
      </c>
      <c r="AA2804">
        <v>0</v>
      </c>
      <c r="AB2804" t="s">
        <v>31</v>
      </c>
      <c r="AC2804">
        <v>0</v>
      </c>
      <c r="AD2804" t="s">
        <v>31</v>
      </c>
      <c r="AE2804">
        <v>0</v>
      </c>
      <c r="AF2804" t="s">
        <v>31</v>
      </c>
      <c r="AG2804">
        <v>0</v>
      </c>
      <c r="AH2804" t="s">
        <v>31</v>
      </c>
      <c r="AI2804">
        <v>0</v>
      </c>
      <c r="AJ2804" t="s">
        <v>31</v>
      </c>
      <c r="AK2804">
        <v>0</v>
      </c>
      <c r="AL2804" t="s">
        <v>31</v>
      </c>
      <c r="AM2804">
        <v>0</v>
      </c>
      <c r="AN2804" t="s">
        <v>31</v>
      </c>
      <c r="AO2804">
        <v>0</v>
      </c>
      <c r="AP2804" t="s">
        <v>31</v>
      </c>
      <c r="AQ2804">
        <v>0</v>
      </c>
    </row>
    <row r="2805" spans="1:43" x14ac:dyDescent="0.2">
      <c r="A2805" t="s">
        <v>381</v>
      </c>
      <c r="B2805" s="3">
        <v>44292</v>
      </c>
      <c r="C2805">
        <v>52</v>
      </c>
      <c r="D2805" t="s">
        <v>386</v>
      </c>
      <c r="E2805" t="s">
        <v>83</v>
      </c>
      <c r="F2805" s="9" t="s">
        <v>88</v>
      </c>
      <c r="G2805" t="s">
        <v>26</v>
      </c>
      <c r="H2805" t="s">
        <v>85</v>
      </c>
      <c r="I2805" t="s">
        <v>86</v>
      </c>
      <c r="J2805" t="s">
        <v>43</v>
      </c>
      <c r="K2805" t="s">
        <v>44</v>
      </c>
      <c r="L2805" t="s">
        <v>53</v>
      </c>
      <c r="M2805" t="s">
        <v>54</v>
      </c>
      <c r="N2805" t="s">
        <v>85</v>
      </c>
      <c r="O2805" t="s">
        <v>86</v>
      </c>
      <c r="P2805" t="s">
        <v>43</v>
      </c>
      <c r="Q2805" t="s">
        <v>44</v>
      </c>
      <c r="R2805" s="1">
        <v>44292.625104166669</v>
      </c>
      <c r="S2805" s="1">
        <v>44292.625104166669</v>
      </c>
      <c r="T2805">
        <v>0</v>
      </c>
      <c r="U2805">
        <v>1</v>
      </c>
      <c r="V2805" s="2">
        <v>0</v>
      </c>
      <c r="W2805">
        <v>0</v>
      </c>
      <c r="X2805" t="s">
        <v>44</v>
      </c>
      <c r="Y2805">
        <v>0</v>
      </c>
      <c r="Z2805" t="s">
        <v>31</v>
      </c>
      <c r="AA2805">
        <v>0</v>
      </c>
      <c r="AB2805" t="s">
        <v>31</v>
      </c>
      <c r="AC2805">
        <v>0</v>
      </c>
      <c r="AD2805" t="s">
        <v>31</v>
      </c>
      <c r="AE2805">
        <v>0</v>
      </c>
      <c r="AF2805" t="s">
        <v>31</v>
      </c>
      <c r="AG2805">
        <v>0</v>
      </c>
      <c r="AH2805" t="s">
        <v>31</v>
      </c>
      <c r="AI2805">
        <v>0</v>
      </c>
      <c r="AJ2805" t="s">
        <v>31</v>
      </c>
      <c r="AK2805">
        <v>0</v>
      </c>
      <c r="AL2805" t="s">
        <v>31</v>
      </c>
      <c r="AM2805">
        <v>0</v>
      </c>
      <c r="AN2805" t="s">
        <v>31</v>
      </c>
      <c r="AO2805">
        <v>0</v>
      </c>
      <c r="AP2805" t="s">
        <v>31</v>
      </c>
      <c r="AQ2805">
        <v>0</v>
      </c>
    </row>
    <row r="2806" spans="1:43" x14ac:dyDescent="0.2">
      <c r="A2806" t="s">
        <v>381</v>
      </c>
      <c r="B2806" s="3">
        <v>44293</v>
      </c>
      <c r="C2806">
        <v>53</v>
      </c>
      <c r="D2806" t="s">
        <v>384</v>
      </c>
      <c r="E2806" t="s">
        <v>83</v>
      </c>
      <c r="F2806" s="9" t="s">
        <v>88</v>
      </c>
      <c r="G2806" t="s">
        <v>26</v>
      </c>
      <c r="H2806" t="s">
        <v>85</v>
      </c>
      <c r="I2806" t="s">
        <v>86</v>
      </c>
      <c r="J2806" t="s">
        <v>43</v>
      </c>
      <c r="K2806" t="s">
        <v>44</v>
      </c>
      <c r="L2806" t="s">
        <v>53</v>
      </c>
      <c r="M2806" t="s">
        <v>54</v>
      </c>
      <c r="N2806" t="s">
        <v>85</v>
      </c>
      <c r="O2806" t="s">
        <v>86</v>
      </c>
      <c r="P2806" t="s">
        <v>43</v>
      </c>
      <c r="Q2806" t="s">
        <v>44</v>
      </c>
      <c r="R2806" s="1">
        <v>44293.424502314818</v>
      </c>
      <c r="S2806" s="1">
        <v>44293.424502314818</v>
      </c>
      <c r="T2806">
        <v>0</v>
      </c>
      <c r="U2806">
        <v>1</v>
      </c>
      <c r="V2806" s="2">
        <v>0</v>
      </c>
      <c r="W2806">
        <v>0</v>
      </c>
      <c r="X2806" t="s">
        <v>44</v>
      </c>
      <c r="Y2806">
        <v>0</v>
      </c>
      <c r="Z2806" t="s">
        <v>31</v>
      </c>
      <c r="AA2806">
        <v>0</v>
      </c>
      <c r="AB2806" t="s">
        <v>31</v>
      </c>
      <c r="AC2806">
        <v>0</v>
      </c>
      <c r="AD2806" t="s">
        <v>31</v>
      </c>
      <c r="AE2806">
        <v>0</v>
      </c>
      <c r="AF2806" t="s">
        <v>31</v>
      </c>
      <c r="AG2806">
        <v>0</v>
      </c>
      <c r="AH2806" t="s">
        <v>31</v>
      </c>
      <c r="AI2806">
        <v>0</v>
      </c>
      <c r="AJ2806" t="s">
        <v>31</v>
      </c>
      <c r="AK2806">
        <v>0</v>
      </c>
      <c r="AL2806" t="s">
        <v>31</v>
      </c>
      <c r="AM2806">
        <v>0</v>
      </c>
      <c r="AN2806" t="s">
        <v>31</v>
      </c>
      <c r="AO2806">
        <v>0</v>
      </c>
      <c r="AP2806" t="s">
        <v>31</v>
      </c>
      <c r="AQ2806">
        <v>0</v>
      </c>
    </row>
    <row r="2807" spans="1:43" x14ac:dyDescent="0.2">
      <c r="A2807" t="s">
        <v>381</v>
      </c>
      <c r="B2807" s="3">
        <v>44294</v>
      </c>
      <c r="C2807">
        <v>55</v>
      </c>
      <c r="D2807" t="s">
        <v>385</v>
      </c>
      <c r="E2807" t="s">
        <v>83</v>
      </c>
      <c r="F2807" s="9" t="s">
        <v>88</v>
      </c>
      <c r="G2807" t="s">
        <v>26</v>
      </c>
      <c r="H2807" t="s">
        <v>85</v>
      </c>
      <c r="I2807" t="s">
        <v>86</v>
      </c>
      <c r="J2807" t="s">
        <v>43</v>
      </c>
      <c r="K2807" t="s">
        <v>44</v>
      </c>
      <c r="L2807" t="s">
        <v>53</v>
      </c>
      <c r="M2807" t="s">
        <v>54</v>
      </c>
      <c r="N2807" t="s">
        <v>85</v>
      </c>
      <c r="O2807" t="s">
        <v>86</v>
      </c>
      <c r="P2807" t="s">
        <v>43</v>
      </c>
      <c r="Q2807" t="s">
        <v>44</v>
      </c>
      <c r="R2807" s="1">
        <v>44294.634664351855</v>
      </c>
      <c r="S2807" s="1">
        <v>44294.634664351855</v>
      </c>
      <c r="T2807">
        <v>0</v>
      </c>
      <c r="U2807">
        <v>1</v>
      </c>
      <c r="V2807" s="2">
        <v>0</v>
      </c>
      <c r="W2807">
        <v>0</v>
      </c>
      <c r="X2807" t="s">
        <v>44</v>
      </c>
      <c r="Y2807">
        <v>0</v>
      </c>
      <c r="Z2807" t="s">
        <v>31</v>
      </c>
      <c r="AA2807">
        <v>0</v>
      </c>
      <c r="AB2807" t="s">
        <v>31</v>
      </c>
      <c r="AC2807">
        <v>0</v>
      </c>
      <c r="AD2807" t="s">
        <v>31</v>
      </c>
      <c r="AE2807">
        <v>0</v>
      </c>
      <c r="AF2807" t="s">
        <v>31</v>
      </c>
      <c r="AG2807">
        <v>0</v>
      </c>
      <c r="AH2807" t="s">
        <v>31</v>
      </c>
      <c r="AI2807">
        <v>0</v>
      </c>
      <c r="AJ2807" t="s">
        <v>31</v>
      </c>
      <c r="AK2807">
        <v>0</v>
      </c>
      <c r="AL2807" t="s">
        <v>31</v>
      </c>
      <c r="AM2807">
        <v>0</v>
      </c>
      <c r="AN2807" t="s">
        <v>31</v>
      </c>
      <c r="AO2807">
        <v>0</v>
      </c>
      <c r="AP2807" t="s">
        <v>31</v>
      </c>
      <c r="AQ2807">
        <v>0</v>
      </c>
    </row>
    <row r="2808" spans="1:43" x14ac:dyDescent="0.2">
      <c r="A2808" t="s">
        <v>381</v>
      </c>
      <c r="B2808" s="3">
        <v>44295</v>
      </c>
      <c r="C2808">
        <v>56</v>
      </c>
      <c r="D2808" t="s">
        <v>384</v>
      </c>
      <c r="E2808" t="s">
        <v>83</v>
      </c>
      <c r="F2808" s="9" t="s">
        <v>88</v>
      </c>
      <c r="G2808" t="s">
        <v>26</v>
      </c>
      <c r="H2808" t="s">
        <v>85</v>
      </c>
      <c r="I2808" t="s">
        <v>86</v>
      </c>
      <c r="J2808" t="s">
        <v>43</v>
      </c>
      <c r="K2808" t="s">
        <v>44</v>
      </c>
      <c r="L2808" t="s">
        <v>53</v>
      </c>
      <c r="M2808" t="s">
        <v>54</v>
      </c>
      <c r="N2808" t="s">
        <v>85</v>
      </c>
      <c r="O2808" t="s">
        <v>86</v>
      </c>
      <c r="P2808" t="s">
        <v>43</v>
      </c>
      <c r="Q2808" t="s">
        <v>44</v>
      </c>
      <c r="R2808" s="1">
        <v>44295.42759259259</v>
      </c>
      <c r="S2808" s="1">
        <v>44295.42759259259</v>
      </c>
      <c r="T2808">
        <v>0</v>
      </c>
      <c r="U2808">
        <v>1</v>
      </c>
      <c r="V2808" s="2">
        <v>0</v>
      </c>
      <c r="W2808">
        <v>0</v>
      </c>
      <c r="X2808" t="s">
        <v>44</v>
      </c>
      <c r="Y2808">
        <v>0</v>
      </c>
      <c r="Z2808" t="s">
        <v>31</v>
      </c>
      <c r="AA2808">
        <v>0</v>
      </c>
      <c r="AB2808" t="s">
        <v>31</v>
      </c>
      <c r="AC2808">
        <v>0</v>
      </c>
      <c r="AD2808" t="s">
        <v>31</v>
      </c>
      <c r="AE2808">
        <v>0</v>
      </c>
      <c r="AF2808" t="s">
        <v>31</v>
      </c>
      <c r="AG2808">
        <v>0</v>
      </c>
      <c r="AH2808" t="s">
        <v>31</v>
      </c>
      <c r="AI2808">
        <v>0</v>
      </c>
      <c r="AJ2808" t="s">
        <v>31</v>
      </c>
      <c r="AK2808">
        <v>0</v>
      </c>
      <c r="AL2808" t="s">
        <v>31</v>
      </c>
      <c r="AM2808">
        <v>0</v>
      </c>
      <c r="AN2808" t="s">
        <v>31</v>
      </c>
      <c r="AO2808">
        <v>0</v>
      </c>
      <c r="AP2808" t="s">
        <v>31</v>
      </c>
      <c r="AQ2808">
        <v>0</v>
      </c>
    </row>
    <row r="2809" spans="1:43" x14ac:dyDescent="0.2">
      <c r="A2809" t="s">
        <v>381</v>
      </c>
      <c r="B2809" s="3">
        <v>44298</v>
      </c>
      <c r="C2809">
        <v>57</v>
      </c>
      <c r="D2809" t="s">
        <v>387</v>
      </c>
      <c r="E2809" t="s">
        <v>83</v>
      </c>
      <c r="F2809" s="9" t="s">
        <v>88</v>
      </c>
      <c r="G2809" t="s">
        <v>26</v>
      </c>
      <c r="H2809" t="s">
        <v>85</v>
      </c>
      <c r="I2809" t="s">
        <v>86</v>
      </c>
      <c r="J2809" t="s">
        <v>43</v>
      </c>
      <c r="K2809" t="s">
        <v>44</v>
      </c>
      <c r="L2809" t="s">
        <v>53</v>
      </c>
      <c r="M2809" t="s">
        <v>54</v>
      </c>
      <c r="N2809" t="s">
        <v>85</v>
      </c>
      <c r="O2809" t="s">
        <v>86</v>
      </c>
      <c r="P2809" t="s">
        <v>43</v>
      </c>
      <c r="Q2809" t="s">
        <v>44</v>
      </c>
      <c r="R2809" s="1">
        <v>44298.587430555555</v>
      </c>
      <c r="S2809" s="1">
        <v>44298.587430555555</v>
      </c>
      <c r="T2809">
        <v>0</v>
      </c>
      <c r="U2809">
        <v>1</v>
      </c>
      <c r="V2809" s="2">
        <v>0</v>
      </c>
      <c r="W2809">
        <v>0</v>
      </c>
      <c r="X2809" t="s">
        <v>44</v>
      </c>
      <c r="Y2809">
        <v>0</v>
      </c>
      <c r="Z2809" t="s">
        <v>31</v>
      </c>
      <c r="AA2809">
        <v>0</v>
      </c>
      <c r="AB2809" t="s">
        <v>31</v>
      </c>
      <c r="AC2809">
        <v>0</v>
      </c>
      <c r="AD2809" t="s">
        <v>31</v>
      </c>
      <c r="AE2809">
        <v>0</v>
      </c>
      <c r="AF2809" t="s">
        <v>31</v>
      </c>
      <c r="AG2809">
        <v>0</v>
      </c>
      <c r="AH2809" t="s">
        <v>31</v>
      </c>
      <c r="AI2809">
        <v>0</v>
      </c>
      <c r="AJ2809" t="s">
        <v>31</v>
      </c>
      <c r="AK2809">
        <v>0</v>
      </c>
      <c r="AL2809" t="s">
        <v>31</v>
      </c>
      <c r="AM2809">
        <v>0</v>
      </c>
      <c r="AN2809" t="s">
        <v>31</v>
      </c>
      <c r="AO2809">
        <v>0</v>
      </c>
      <c r="AP2809" t="s">
        <v>31</v>
      </c>
      <c r="AQ2809">
        <v>0</v>
      </c>
    </row>
    <row r="2810" spans="1:43" x14ac:dyDescent="0.2">
      <c r="A2810" t="s">
        <v>381</v>
      </c>
      <c r="B2810" s="3">
        <v>44299</v>
      </c>
      <c r="C2810">
        <v>58</v>
      </c>
      <c r="D2810" t="s">
        <v>385</v>
      </c>
      <c r="E2810" t="s">
        <v>83</v>
      </c>
      <c r="F2810" s="9" t="s">
        <v>88</v>
      </c>
      <c r="G2810" t="s">
        <v>26</v>
      </c>
      <c r="H2810" t="s">
        <v>85</v>
      </c>
      <c r="I2810" t="s">
        <v>86</v>
      </c>
      <c r="J2810" t="s">
        <v>43</v>
      </c>
      <c r="K2810" t="s">
        <v>44</v>
      </c>
      <c r="L2810" t="s">
        <v>53</v>
      </c>
      <c r="M2810" t="s">
        <v>54</v>
      </c>
      <c r="N2810" t="s">
        <v>85</v>
      </c>
      <c r="O2810" t="s">
        <v>86</v>
      </c>
      <c r="P2810" t="s">
        <v>43</v>
      </c>
      <c r="Q2810" t="s">
        <v>44</v>
      </c>
      <c r="R2810" s="1">
        <v>44299.415266203701</v>
      </c>
      <c r="S2810" s="1">
        <v>44299.415266203701</v>
      </c>
      <c r="T2810">
        <v>0</v>
      </c>
      <c r="U2810">
        <v>2</v>
      </c>
      <c r="V2810" s="2">
        <v>0</v>
      </c>
      <c r="W2810">
        <v>0</v>
      </c>
      <c r="X2810" t="s">
        <v>44</v>
      </c>
      <c r="Y2810">
        <v>0</v>
      </c>
      <c r="Z2810" t="s">
        <v>44</v>
      </c>
      <c r="AA2810">
        <v>0</v>
      </c>
      <c r="AB2810" t="s">
        <v>31</v>
      </c>
      <c r="AC2810">
        <v>0</v>
      </c>
      <c r="AD2810" t="s">
        <v>31</v>
      </c>
      <c r="AE2810">
        <v>0</v>
      </c>
      <c r="AF2810" t="s">
        <v>31</v>
      </c>
      <c r="AG2810">
        <v>0</v>
      </c>
      <c r="AH2810" t="s">
        <v>31</v>
      </c>
      <c r="AI2810">
        <v>0</v>
      </c>
      <c r="AJ2810" t="s">
        <v>31</v>
      </c>
      <c r="AK2810">
        <v>0</v>
      </c>
      <c r="AL2810" t="s">
        <v>31</v>
      </c>
      <c r="AM2810">
        <v>0</v>
      </c>
      <c r="AN2810" t="s">
        <v>31</v>
      </c>
      <c r="AO2810">
        <v>0</v>
      </c>
      <c r="AP2810" t="s">
        <v>31</v>
      </c>
      <c r="AQ2810">
        <v>0</v>
      </c>
    </row>
    <row r="2811" spans="1:43" x14ac:dyDescent="0.2">
      <c r="A2811" t="s">
        <v>381</v>
      </c>
      <c r="B2811" s="3">
        <v>44299</v>
      </c>
      <c r="C2811">
        <v>59</v>
      </c>
      <c r="D2811" t="s">
        <v>385</v>
      </c>
      <c r="E2811" t="s">
        <v>83</v>
      </c>
      <c r="F2811" s="9" t="s">
        <v>88</v>
      </c>
      <c r="G2811" t="s">
        <v>26</v>
      </c>
      <c r="H2811" t="s">
        <v>85</v>
      </c>
      <c r="I2811" t="s">
        <v>86</v>
      </c>
      <c r="J2811" t="s">
        <v>43</v>
      </c>
      <c r="K2811" t="s">
        <v>44</v>
      </c>
      <c r="L2811" t="s">
        <v>53</v>
      </c>
      <c r="M2811" t="s">
        <v>54</v>
      </c>
      <c r="N2811" t="s">
        <v>85</v>
      </c>
      <c r="O2811" t="s">
        <v>86</v>
      </c>
      <c r="P2811" t="s">
        <v>43</v>
      </c>
      <c r="Q2811" t="s">
        <v>44</v>
      </c>
      <c r="R2811" s="1">
        <v>44299.587777777779</v>
      </c>
      <c r="S2811" s="1">
        <v>44299.587777777779</v>
      </c>
      <c r="T2811">
        <v>0</v>
      </c>
      <c r="U2811">
        <v>2</v>
      </c>
      <c r="V2811" s="2">
        <v>0</v>
      </c>
      <c r="W2811">
        <v>0</v>
      </c>
      <c r="X2811" t="s">
        <v>44</v>
      </c>
      <c r="Y2811">
        <v>0</v>
      </c>
      <c r="Z2811" t="s">
        <v>44</v>
      </c>
      <c r="AA2811">
        <v>0</v>
      </c>
      <c r="AB2811" t="s">
        <v>31</v>
      </c>
      <c r="AC2811">
        <v>0</v>
      </c>
      <c r="AD2811" t="s">
        <v>31</v>
      </c>
      <c r="AE2811">
        <v>0</v>
      </c>
      <c r="AF2811" t="s">
        <v>31</v>
      </c>
      <c r="AG2811">
        <v>0</v>
      </c>
      <c r="AH2811" t="s">
        <v>31</v>
      </c>
      <c r="AI2811">
        <v>0</v>
      </c>
      <c r="AJ2811" t="s">
        <v>31</v>
      </c>
      <c r="AK2811">
        <v>0</v>
      </c>
      <c r="AL2811" t="s">
        <v>31</v>
      </c>
      <c r="AM2811">
        <v>0</v>
      </c>
      <c r="AN2811" t="s">
        <v>31</v>
      </c>
      <c r="AO2811">
        <v>0</v>
      </c>
      <c r="AP2811" t="s">
        <v>31</v>
      </c>
      <c r="AQ2811">
        <v>0</v>
      </c>
    </row>
    <row r="2812" spans="1:43" x14ac:dyDescent="0.2">
      <c r="A2812" t="s">
        <v>381</v>
      </c>
      <c r="B2812" s="3">
        <v>44300</v>
      </c>
      <c r="C2812">
        <v>60</v>
      </c>
      <c r="D2812" t="s">
        <v>398</v>
      </c>
      <c r="E2812" t="s">
        <v>83</v>
      </c>
      <c r="F2812" s="9" t="s">
        <v>88</v>
      </c>
      <c r="G2812" t="s">
        <v>26</v>
      </c>
      <c r="H2812" t="s">
        <v>85</v>
      </c>
      <c r="I2812" t="s">
        <v>86</v>
      </c>
      <c r="J2812" t="s">
        <v>43</v>
      </c>
      <c r="K2812" t="s">
        <v>44</v>
      </c>
      <c r="L2812" t="s">
        <v>53</v>
      </c>
      <c r="M2812" t="s">
        <v>54</v>
      </c>
      <c r="N2812" t="s">
        <v>85</v>
      </c>
      <c r="O2812" t="s">
        <v>86</v>
      </c>
      <c r="P2812" t="s">
        <v>43</v>
      </c>
      <c r="Q2812" t="s">
        <v>44</v>
      </c>
      <c r="R2812" s="1">
        <v>44300.467719907407</v>
      </c>
      <c r="S2812" s="1">
        <v>44300.467719907407</v>
      </c>
      <c r="T2812">
        <v>0</v>
      </c>
      <c r="U2812">
        <v>1</v>
      </c>
      <c r="V2812" s="2">
        <v>0</v>
      </c>
      <c r="W2812">
        <v>0</v>
      </c>
      <c r="X2812" t="s">
        <v>44</v>
      </c>
      <c r="Y2812">
        <v>0</v>
      </c>
      <c r="Z2812" t="s">
        <v>31</v>
      </c>
      <c r="AA2812">
        <v>0</v>
      </c>
      <c r="AB2812" t="s">
        <v>31</v>
      </c>
      <c r="AC2812">
        <v>0</v>
      </c>
      <c r="AD2812" t="s">
        <v>31</v>
      </c>
      <c r="AE2812">
        <v>0</v>
      </c>
      <c r="AF2812" t="s">
        <v>31</v>
      </c>
      <c r="AG2812">
        <v>0</v>
      </c>
      <c r="AH2812" t="s">
        <v>31</v>
      </c>
      <c r="AI2812">
        <v>0</v>
      </c>
      <c r="AJ2812" t="s">
        <v>31</v>
      </c>
      <c r="AK2812">
        <v>0</v>
      </c>
      <c r="AL2812" t="s">
        <v>31</v>
      </c>
      <c r="AM2812">
        <v>0</v>
      </c>
      <c r="AN2812" t="s">
        <v>31</v>
      </c>
      <c r="AO2812">
        <v>0</v>
      </c>
      <c r="AP2812" t="s">
        <v>31</v>
      </c>
      <c r="AQ2812">
        <v>0</v>
      </c>
    </row>
    <row r="2813" spans="1:43" x14ac:dyDescent="0.2">
      <c r="A2813" t="s">
        <v>381</v>
      </c>
      <c r="B2813" s="3">
        <v>44300</v>
      </c>
      <c r="C2813">
        <v>61</v>
      </c>
      <c r="D2813" t="s">
        <v>401</v>
      </c>
      <c r="E2813" t="s">
        <v>83</v>
      </c>
      <c r="F2813" s="9" t="s">
        <v>88</v>
      </c>
      <c r="G2813" t="s">
        <v>26</v>
      </c>
      <c r="H2813" t="s">
        <v>85</v>
      </c>
      <c r="I2813" t="s">
        <v>86</v>
      </c>
      <c r="J2813" t="s">
        <v>43</v>
      </c>
      <c r="K2813" t="s">
        <v>44</v>
      </c>
      <c r="L2813" t="s">
        <v>53</v>
      </c>
      <c r="M2813" t="s">
        <v>54</v>
      </c>
      <c r="N2813" t="s">
        <v>85</v>
      </c>
      <c r="O2813" t="s">
        <v>86</v>
      </c>
      <c r="P2813" t="s">
        <v>43</v>
      </c>
      <c r="Q2813" t="s">
        <v>44</v>
      </c>
      <c r="R2813" s="1">
        <v>44300.656574074077</v>
      </c>
      <c r="S2813" s="1">
        <v>44300.656574074077</v>
      </c>
      <c r="T2813">
        <v>0</v>
      </c>
      <c r="U2813">
        <v>1</v>
      </c>
      <c r="V2813" s="2">
        <v>0</v>
      </c>
      <c r="W2813">
        <v>0</v>
      </c>
      <c r="X2813" t="s">
        <v>44</v>
      </c>
      <c r="Y2813">
        <v>0</v>
      </c>
      <c r="Z2813" t="s">
        <v>31</v>
      </c>
      <c r="AA2813">
        <v>0</v>
      </c>
      <c r="AB2813" t="s">
        <v>31</v>
      </c>
      <c r="AC2813">
        <v>0</v>
      </c>
      <c r="AD2813" t="s">
        <v>31</v>
      </c>
      <c r="AE2813">
        <v>0</v>
      </c>
      <c r="AF2813" t="s">
        <v>31</v>
      </c>
      <c r="AG2813">
        <v>0</v>
      </c>
      <c r="AH2813" t="s">
        <v>31</v>
      </c>
      <c r="AI2813">
        <v>0</v>
      </c>
      <c r="AJ2813" t="s">
        <v>31</v>
      </c>
      <c r="AK2813">
        <v>0</v>
      </c>
      <c r="AL2813" t="s">
        <v>31</v>
      </c>
      <c r="AM2813">
        <v>0</v>
      </c>
      <c r="AN2813" t="s">
        <v>31</v>
      </c>
      <c r="AO2813">
        <v>0</v>
      </c>
      <c r="AP2813" t="s">
        <v>31</v>
      </c>
      <c r="AQ2813">
        <v>0</v>
      </c>
    </row>
    <row r="2814" spans="1:43" x14ac:dyDescent="0.2">
      <c r="A2814" t="s">
        <v>381</v>
      </c>
      <c r="B2814" s="3">
        <v>44301</v>
      </c>
      <c r="C2814">
        <v>62</v>
      </c>
      <c r="D2814" t="s">
        <v>385</v>
      </c>
      <c r="E2814" t="s">
        <v>83</v>
      </c>
      <c r="F2814" s="9" t="s">
        <v>88</v>
      </c>
      <c r="G2814" t="s">
        <v>26</v>
      </c>
      <c r="H2814" t="s">
        <v>85</v>
      </c>
      <c r="I2814" t="s">
        <v>86</v>
      </c>
      <c r="J2814" t="s">
        <v>43</v>
      </c>
      <c r="K2814" t="s">
        <v>44</v>
      </c>
      <c r="L2814" t="s">
        <v>53</v>
      </c>
      <c r="M2814" t="s">
        <v>54</v>
      </c>
      <c r="N2814" t="s">
        <v>85</v>
      </c>
      <c r="O2814" t="s">
        <v>86</v>
      </c>
      <c r="P2814" t="s">
        <v>43</v>
      </c>
      <c r="Q2814" t="s">
        <v>44</v>
      </c>
      <c r="R2814" s="1">
        <v>44301.414675925924</v>
      </c>
      <c r="S2814" s="1">
        <v>44301.414687500001</v>
      </c>
      <c r="T2814">
        <v>0</v>
      </c>
      <c r="U2814">
        <v>2</v>
      </c>
      <c r="V2814" s="2">
        <v>0</v>
      </c>
      <c r="W2814">
        <v>0</v>
      </c>
      <c r="X2814" t="s">
        <v>44</v>
      </c>
      <c r="Y2814">
        <v>0</v>
      </c>
      <c r="Z2814" t="s">
        <v>44</v>
      </c>
      <c r="AA2814">
        <v>0</v>
      </c>
      <c r="AB2814" t="s">
        <v>31</v>
      </c>
      <c r="AC2814">
        <v>0</v>
      </c>
      <c r="AD2814" t="s">
        <v>31</v>
      </c>
      <c r="AE2814">
        <v>0</v>
      </c>
      <c r="AF2814" t="s">
        <v>31</v>
      </c>
      <c r="AG2814">
        <v>0</v>
      </c>
      <c r="AH2814" t="s">
        <v>31</v>
      </c>
      <c r="AI2814">
        <v>0</v>
      </c>
      <c r="AJ2814" t="s">
        <v>31</v>
      </c>
      <c r="AK2814">
        <v>0</v>
      </c>
      <c r="AL2814" t="s">
        <v>31</v>
      </c>
      <c r="AM2814">
        <v>0</v>
      </c>
      <c r="AN2814" t="s">
        <v>31</v>
      </c>
      <c r="AO2814">
        <v>0</v>
      </c>
      <c r="AP2814" t="s">
        <v>31</v>
      </c>
      <c r="AQ2814">
        <v>0</v>
      </c>
    </row>
    <row r="2815" spans="1:43" x14ac:dyDescent="0.2">
      <c r="A2815" t="s">
        <v>381</v>
      </c>
      <c r="B2815" s="3">
        <v>44301</v>
      </c>
      <c r="C2815">
        <v>63</v>
      </c>
      <c r="D2815" t="s">
        <v>385</v>
      </c>
      <c r="E2815" t="s">
        <v>83</v>
      </c>
      <c r="F2815" s="9" t="s">
        <v>88</v>
      </c>
      <c r="G2815" t="s">
        <v>26</v>
      </c>
      <c r="H2815" t="s">
        <v>85</v>
      </c>
      <c r="I2815" t="s">
        <v>86</v>
      </c>
      <c r="J2815" t="s">
        <v>43</v>
      </c>
      <c r="K2815" t="s">
        <v>44</v>
      </c>
      <c r="L2815" t="s">
        <v>53</v>
      </c>
      <c r="M2815" t="s">
        <v>54</v>
      </c>
      <c r="N2815" t="s">
        <v>85</v>
      </c>
      <c r="O2815" t="s">
        <v>86</v>
      </c>
      <c r="P2815" t="s">
        <v>43</v>
      </c>
      <c r="Q2815" t="s">
        <v>44</v>
      </c>
      <c r="R2815" s="1">
        <v>44301.536678240744</v>
      </c>
      <c r="S2815" s="1">
        <v>44301.536678240744</v>
      </c>
      <c r="T2815">
        <v>0</v>
      </c>
      <c r="U2815">
        <v>1</v>
      </c>
      <c r="V2815" s="2">
        <v>0</v>
      </c>
      <c r="W2815">
        <v>0</v>
      </c>
      <c r="X2815" t="s">
        <v>44</v>
      </c>
      <c r="Y2815">
        <v>0</v>
      </c>
      <c r="Z2815" t="s">
        <v>31</v>
      </c>
      <c r="AA2815">
        <v>0</v>
      </c>
      <c r="AB2815" t="s">
        <v>31</v>
      </c>
      <c r="AC2815">
        <v>0</v>
      </c>
      <c r="AD2815" t="s">
        <v>31</v>
      </c>
      <c r="AE2815">
        <v>0</v>
      </c>
      <c r="AF2815" t="s">
        <v>31</v>
      </c>
      <c r="AG2815">
        <v>0</v>
      </c>
      <c r="AH2815" t="s">
        <v>31</v>
      </c>
      <c r="AI2815">
        <v>0</v>
      </c>
      <c r="AJ2815" t="s">
        <v>31</v>
      </c>
      <c r="AK2815">
        <v>0</v>
      </c>
      <c r="AL2815" t="s">
        <v>31</v>
      </c>
      <c r="AM2815">
        <v>0</v>
      </c>
      <c r="AN2815" t="s">
        <v>31</v>
      </c>
      <c r="AO2815">
        <v>0</v>
      </c>
      <c r="AP2815" t="s">
        <v>31</v>
      </c>
      <c r="AQ2815">
        <v>0</v>
      </c>
    </row>
    <row r="2816" spans="1:43" x14ac:dyDescent="0.2">
      <c r="A2816" t="s">
        <v>381</v>
      </c>
      <c r="B2816" s="3">
        <v>44302</v>
      </c>
      <c r="C2816">
        <v>64</v>
      </c>
      <c r="D2816" t="s">
        <v>390</v>
      </c>
      <c r="E2816" t="s">
        <v>83</v>
      </c>
      <c r="F2816" s="9" t="s">
        <v>88</v>
      </c>
      <c r="G2816" t="s">
        <v>26</v>
      </c>
      <c r="H2816" t="s">
        <v>85</v>
      </c>
      <c r="I2816" t="s">
        <v>86</v>
      </c>
      <c r="J2816" t="s">
        <v>43</v>
      </c>
      <c r="K2816" t="s">
        <v>44</v>
      </c>
      <c r="L2816" t="s">
        <v>53</v>
      </c>
      <c r="M2816" t="s">
        <v>54</v>
      </c>
      <c r="N2816" t="s">
        <v>85</v>
      </c>
      <c r="O2816" t="s">
        <v>86</v>
      </c>
      <c r="P2816" t="s">
        <v>43</v>
      </c>
      <c r="Q2816" t="s">
        <v>44</v>
      </c>
      <c r="R2816" s="1">
        <v>44302.485405092593</v>
      </c>
      <c r="S2816" s="1">
        <v>44302.485405092593</v>
      </c>
      <c r="T2816">
        <v>0</v>
      </c>
      <c r="U2816">
        <v>1</v>
      </c>
      <c r="V2816" s="2">
        <v>0</v>
      </c>
      <c r="W2816">
        <v>0</v>
      </c>
      <c r="X2816" t="s">
        <v>44</v>
      </c>
      <c r="Y2816">
        <v>0</v>
      </c>
      <c r="Z2816" t="s">
        <v>31</v>
      </c>
      <c r="AA2816">
        <v>0</v>
      </c>
      <c r="AB2816" t="s">
        <v>31</v>
      </c>
      <c r="AC2816">
        <v>0</v>
      </c>
      <c r="AD2816" t="s">
        <v>31</v>
      </c>
      <c r="AE2816">
        <v>0</v>
      </c>
      <c r="AF2816" t="s">
        <v>31</v>
      </c>
      <c r="AG2816">
        <v>0</v>
      </c>
      <c r="AH2816" t="s">
        <v>31</v>
      </c>
      <c r="AI2816">
        <v>0</v>
      </c>
      <c r="AJ2816" t="s">
        <v>31</v>
      </c>
      <c r="AK2816">
        <v>0</v>
      </c>
      <c r="AL2816" t="s">
        <v>31</v>
      </c>
      <c r="AM2816">
        <v>0</v>
      </c>
      <c r="AN2816" t="s">
        <v>31</v>
      </c>
      <c r="AO2816">
        <v>0</v>
      </c>
      <c r="AP2816" t="s">
        <v>31</v>
      </c>
      <c r="AQ2816">
        <v>0</v>
      </c>
    </row>
    <row r="2817" spans="1:43" x14ac:dyDescent="0.2">
      <c r="A2817" t="s">
        <v>381</v>
      </c>
      <c r="B2817" s="3">
        <v>44302</v>
      </c>
      <c r="C2817">
        <v>65</v>
      </c>
      <c r="D2817" t="s">
        <v>387</v>
      </c>
      <c r="E2817" t="s">
        <v>83</v>
      </c>
      <c r="F2817" s="9" t="s">
        <v>88</v>
      </c>
      <c r="G2817" t="s">
        <v>26</v>
      </c>
      <c r="H2817" t="s">
        <v>85</v>
      </c>
      <c r="I2817" t="s">
        <v>86</v>
      </c>
      <c r="J2817" t="s">
        <v>43</v>
      </c>
      <c r="K2817" t="s">
        <v>44</v>
      </c>
      <c r="L2817" t="s">
        <v>53</v>
      </c>
      <c r="M2817" t="s">
        <v>54</v>
      </c>
      <c r="N2817" t="s">
        <v>85</v>
      </c>
      <c r="O2817" t="s">
        <v>86</v>
      </c>
      <c r="P2817" t="s">
        <v>43</v>
      </c>
      <c r="Q2817" t="s">
        <v>44</v>
      </c>
      <c r="R2817" s="1">
        <v>44302.559259259258</v>
      </c>
      <c r="S2817" s="1">
        <v>44302.559259259258</v>
      </c>
      <c r="T2817">
        <v>0</v>
      </c>
      <c r="U2817">
        <v>1</v>
      </c>
      <c r="V2817" s="2">
        <v>0</v>
      </c>
      <c r="W2817">
        <v>0</v>
      </c>
      <c r="X2817" t="s">
        <v>44</v>
      </c>
      <c r="Y2817">
        <v>0</v>
      </c>
      <c r="Z2817" t="s">
        <v>31</v>
      </c>
      <c r="AA2817">
        <v>0</v>
      </c>
      <c r="AB2817" t="s">
        <v>31</v>
      </c>
      <c r="AC2817">
        <v>0</v>
      </c>
      <c r="AD2817" t="s">
        <v>31</v>
      </c>
      <c r="AE2817">
        <v>0</v>
      </c>
      <c r="AF2817" t="s">
        <v>31</v>
      </c>
      <c r="AG2817">
        <v>0</v>
      </c>
      <c r="AH2817" t="s">
        <v>31</v>
      </c>
      <c r="AI2817">
        <v>0</v>
      </c>
      <c r="AJ2817" t="s">
        <v>31</v>
      </c>
      <c r="AK2817">
        <v>0</v>
      </c>
      <c r="AL2817" t="s">
        <v>31</v>
      </c>
      <c r="AM2817">
        <v>0</v>
      </c>
      <c r="AN2817" t="s">
        <v>31</v>
      </c>
      <c r="AO2817">
        <v>0</v>
      </c>
      <c r="AP2817" t="s">
        <v>31</v>
      </c>
      <c r="AQ2817">
        <v>0</v>
      </c>
    </row>
    <row r="2818" spans="1:43" x14ac:dyDescent="0.2">
      <c r="A2818" t="s">
        <v>381</v>
      </c>
      <c r="B2818" s="3">
        <v>44307</v>
      </c>
      <c r="C2818">
        <v>67</v>
      </c>
      <c r="D2818" t="s">
        <v>387</v>
      </c>
      <c r="E2818" t="s">
        <v>83</v>
      </c>
      <c r="F2818" s="9" t="s">
        <v>88</v>
      </c>
      <c r="G2818" t="s">
        <v>26</v>
      </c>
      <c r="H2818" t="s">
        <v>85</v>
      </c>
      <c r="I2818" t="s">
        <v>86</v>
      </c>
      <c r="J2818" t="s">
        <v>43</v>
      </c>
      <c r="K2818" t="s">
        <v>44</v>
      </c>
      <c r="L2818" t="s">
        <v>53</v>
      </c>
      <c r="M2818" t="s">
        <v>54</v>
      </c>
      <c r="N2818" t="s">
        <v>85</v>
      </c>
      <c r="O2818" t="s">
        <v>86</v>
      </c>
      <c r="P2818" t="s">
        <v>43</v>
      </c>
      <c r="Q2818" t="s">
        <v>44</v>
      </c>
      <c r="R2818" s="1">
        <v>44307.569178240738</v>
      </c>
      <c r="S2818" s="1">
        <v>44307.569178240738</v>
      </c>
      <c r="T2818">
        <v>0</v>
      </c>
      <c r="U2818">
        <v>1</v>
      </c>
      <c r="V2818" s="2">
        <v>0</v>
      </c>
      <c r="W2818">
        <v>0</v>
      </c>
      <c r="X2818" t="s">
        <v>44</v>
      </c>
      <c r="Y2818">
        <v>0</v>
      </c>
      <c r="Z2818" t="s">
        <v>31</v>
      </c>
      <c r="AA2818">
        <v>0</v>
      </c>
      <c r="AB2818" t="s">
        <v>31</v>
      </c>
      <c r="AC2818">
        <v>0</v>
      </c>
      <c r="AD2818" t="s">
        <v>31</v>
      </c>
      <c r="AE2818">
        <v>0</v>
      </c>
      <c r="AF2818" t="s">
        <v>31</v>
      </c>
      <c r="AG2818">
        <v>0</v>
      </c>
      <c r="AH2818" t="s">
        <v>31</v>
      </c>
      <c r="AI2818">
        <v>0</v>
      </c>
      <c r="AJ2818" t="s">
        <v>31</v>
      </c>
      <c r="AK2818">
        <v>0</v>
      </c>
      <c r="AL2818" t="s">
        <v>31</v>
      </c>
      <c r="AM2818">
        <v>0</v>
      </c>
      <c r="AN2818" t="s">
        <v>31</v>
      </c>
      <c r="AO2818">
        <v>0</v>
      </c>
      <c r="AP2818" t="s">
        <v>31</v>
      </c>
      <c r="AQ2818">
        <v>0</v>
      </c>
    </row>
    <row r="2819" spans="1:43" x14ac:dyDescent="0.2">
      <c r="A2819" t="s">
        <v>381</v>
      </c>
      <c r="B2819" s="3">
        <v>44308</v>
      </c>
      <c r="C2819">
        <v>69</v>
      </c>
      <c r="D2819" t="s">
        <v>385</v>
      </c>
      <c r="E2819" t="s">
        <v>83</v>
      </c>
      <c r="F2819" s="9" t="s">
        <v>88</v>
      </c>
      <c r="G2819" t="s">
        <v>26</v>
      </c>
      <c r="H2819" t="s">
        <v>85</v>
      </c>
      <c r="I2819" t="s">
        <v>86</v>
      </c>
      <c r="J2819" t="s">
        <v>43</v>
      </c>
      <c r="K2819" t="s">
        <v>44</v>
      </c>
      <c r="L2819" t="s">
        <v>53</v>
      </c>
      <c r="M2819" t="s">
        <v>54</v>
      </c>
      <c r="N2819" t="s">
        <v>85</v>
      </c>
      <c r="O2819" t="s">
        <v>86</v>
      </c>
      <c r="P2819" t="s">
        <v>43</v>
      </c>
      <c r="Q2819" t="s">
        <v>44</v>
      </c>
      <c r="R2819" s="1">
        <v>44308.568460648145</v>
      </c>
      <c r="S2819" s="1">
        <v>44308.568460648145</v>
      </c>
      <c r="T2819">
        <v>0</v>
      </c>
      <c r="U2819">
        <v>1</v>
      </c>
      <c r="V2819" s="2">
        <v>0</v>
      </c>
      <c r="W2819">
        <v>0</v>
      </c>
      <c r="X2819" t="s">
        <v>44</v>
      </c>
      <c r="Y2819">
        <v>0</v>
      </c>
      <c r="Z2819" t="s">
        <v>31</v>
      </c>
      <c r="AA2819">
        <v>0</v>
      </c>
      <c r="AB2819" t="s">
        <v>31</v>
      </c>
      <c r="AC2819">
        <v>0</v>
      </c>
      <c r="AD2819" t="s">
        <v>31</v>
      </c>
      <c r="AE2819">
        <v>0</v>
      </c>
      <c r="AF2819" t="s">
        <v>31</v>
      </c>
      <c r="AG2819">
        <v>0</v>
      </c>
      <c r="AH2819" t="s">
        <v>31</v>
      </c>
      <c r="AI2819">
        <v>0</v>
      </c>
      <c r="AJ2819" t="s">
        <v>31</v>
      </c>
      <c r="AK2819">
        <v>0</v>
      </c>
      <c r="AL2819" t="s">
        <v>31</v>
      </c>
      <c r="AM2819">
        <v>0</v>
      </c>
      <c r="AN2819" t="s">
        <v>31</v>
      </c>
      <c r="AO2819">
        <v>0</v>
      </c>
      <c r="AP2819" t="s">
        <v>31</v>
      </c>
      <c r="AQ2819">
        <v>0</v>
      </c>
    </row>
    <row r="2820" spans="1:43" x14ac:dyDescent="0.2">
      <c r="A2820" t="s">
        <v>381</v>
      </c>
      <c r="B2820" s="3">
        <v>44312</v>
      </c>
      <c r="C2820">
        <v>72</v>
      </c>
      <c r="D2820" t="s">
        <v>402</v>
      </c>
      <c r="E2820" t="s">
        <v>83</v>
      </c>
      <c r="F2820" s="9" t="s">
        <v>88</v>
      </c>
      <c r="G2820" t="s">
        <v>26</v>
      </c>
      <c r="H2820" t="s">
        <v>85</v>
      </c>
      <c r="I2820" t="s">
        <v>86</v>
      </c>
      <c r="J2820" t="s">
        <v>43</v>
      </c>
      <c r="K2820" t="s">
        <v>44</v>
      </c>
      <c r="L2820" t="s">
        <v>53</v>
      </c>
      <c r="M2820" t="s">
        <v>54</v>
      </c>
      <c r="N2820" t="s">
        <v>85</v>
      </c>
      <c r="O2820" t="s">
        <v>86</v>
      </c>
      <c r="P2820" t="s">
        <v>43</v>
      </c>
      <c r="Q2820" t="s">
        <v>44</v>
      </c>
      <c r="R2820" s="1">
        <v>44312.416261574072</v>
      </c>
      <c r="S2820" s="1">
        <v>44312.416261574072</v>
      </c>
      <c r="T2820">
        <v>0</v>
      </c>
      <c r="U2820">
        <v>1</v>
      </c>
      <c r="V2820" s="2">
        <v>0</v>
      </c>
      <c r="W2820">
        <v>0</v>
      </c>
      <c r="X2820" t="s">
        <v>44</v>
      </c>
      <c r="Y2820">
        <v>0</v>
      </c>
      <c r="Z2820" t="s">
        <v>31</v>
      </c>
      <c r="AA2820">
        <v>0</v>
      </c>
      <c r="AB2820" t="s">
        <v>31</v>
      </c>
      <c r="AC2820">
        <v>0</v>
      </c>
      <c r="AD2820" t="s">
        <v>31</v>
      </c>
      <c r="AE2820">
        <v>0</v>
      </c>
      <c r="AF2820" t="s">
        <v>31</v>
      </c>
      <c r="AG2820">
        <v>0</v>
      </c>
      <c r="AH2820" t="s">
        <v>31</v>
      </c>
      <c r="AI2820">
        <v>0</v>
      </c>
      <c r="AJ2820" t="s">
        <v>31</v>
      </c>
      <c r="AK2820">
        <v>0</v>
      </c>
      <c r="AL2820" t="s">
        <v>31</v>
      </c>
      <c r="AM2820">
        <v>0</v>
      </c>
      <c r="AN2820" t="s">
        <v>31</v>
      </c>
      <c r="AO2820">
        <v>0</v>
      </c>
      <c r="AP2820" t="s">
        <v>31</v>
      </c>
      <c r="AQ2820">
        <v>0</v>
      </c>
    </row>
    <row r="2821" spans="1:43" x14ac:dyDescent="0.2">
      <c r="A2821" t="s">
        <v>381</v>
      </c>
      <c r="B2821" s="3">
        <v>44313</v>
      </c>
      <c r="C2821">
        <v>74</v>
      </c>
      <c r="D2821" t="s">
        <v>383</v>
      </c>
      <c r="E2821" t="s">
        <v>83</v>
      </c>
      <c r="F2821" s="9" t="s">
        <v>88</v>
      </c>
      <c r="G2821" t="s">
        <v>26</v>
      </c>
      <c r="H2821" t="s">
        <v>85</v>
      </c>
      <c r="I2821" t="s">
        <v>86</v>
      </c>
      <c r="J2821" t="s">
        <v>43</v>
      </c>
      <c r="K2821" t="s">
        <v>44</v>
      </c>
      <c r="L2821" t="s">
        <v>53</v>
      </c>
      <c r="M2821" t="s">
        <v>54</v>
      </c>
      <c r="N2821" t="s">
        <v>85</v>
      </c>
      <c r="O2821" t="s">
        <v>86</v>
      </c>
      <c r="P2821" t="s">
        <v>43</v>
      </c>
      <c r="Q2821" t="s">
        <v>44</v>
      </c>
      <c r="R2821" s="1">
        <v>44313.405914351853</v>
      </c>
      <c r="S2821" s="1">
        <v>44313.405914351853</v>
      </c>
      <c r="T2821">
        <v>0</v>
      </c>
      <c r="U2821">
        <v>1</v>
      </c>
      <c r="V2821" s="2">
        <v>0</v>
      </c>
      <c r="W2821">
        <v>0</v>
      </c>
      <c r="X2821" t="s">
        <v>44</v>
      </c>
      <c r="Y2821">
        <v>0</v>
      </c>
      <c r="Z2821" t="s">
        <v>31</v>
      </c>
      <c r="AA2821">
        <v>0</v>
      </c>
      <c r="AB2821" t="s">
        <v>31</v>
      </c>
      <c r="AC2821">
        <v>0</v>
      </c>
      <c r="AD2821" t="s">
        <v>31</v>
      </c>
      <c r="AE2821">
        <v>0</v>
      </c>
      <c r="AF2821" t="s">
        <v>31</v>
      </c>
      <c r="AG2821">
        <v>0</v>
      </c>
      <c r="AH2821" t="s">
        <v>31</v>
      </c>
      <c r="AI2821">
        <v>0</v>
      </c>
      <c r="AJ2821" t="s">
        <v>31</v>
      </c>
      <c r="AK2821">
        <v>0</v>
      </c>
      <c r="AL2821" t="s">
        <v>31</v>
      </c>
      <c r="AM2821">
        <v>0</v>
      </c>
      <c r="AN2821" t="s">
        <v>31</v>
      </c>
      <c r="AO2821">
        <v>0</v>
      </c>
      <c r="AP2821" t="s">
        <v>31</v>
      </c>
      <c r="AQ2821">
        <v>0</v>
      </c>
    </row>
    <row r="2822" spans="1:43" x14ac:dyDescent="0.2">
      <c r="A2822" t="s">
        <v>381</v>
      </c>
      <c r="B2822" s="3">
        <v>44313</v>
      </c>
      <c r="C2822">
        <v>76</v>
      </c>
      <c r="D2822" t="s">
        <v>385</v>
      </c>
      <c r="E2822" t="s">
        <v>83</v>
      </c>
      <c r="F2822" s="9" t="s">
        <v>88</v>
      </c>
      <c r="G2822" t="s">
        <v>26</v>
      </c>
      <c r="H2822" t="s">
        <v>85</v>
      </c>
      <c r="I2822" t="s">
        <v>86</v>
      </c>
      <c r="J2822" t="s">
        <v>43</v>
      </c>
      <c r="K2822" t="s">
        <v>44</v>
      </c>
      <c r="L2822" t="s">
        <v>53</v>
      </c>
      <c r="M2822" t="s">
        <v>54</v>
      </c>
      <c r="N2822" t="s">
        <v>85</v>
      </c>
      <c r="O2822" t="s">
        <v>86</v>
      </c>
      <c r="P2822" t="s">
        <v>43</v>
      </c>
      <c r="Q2822" t="s">
        <v>44</v>
      </c>
      <c r="R2822" s="1">
        <v>44313.624409722222</v>
      </c>
      <c r="S2822" s="1">
        <v>44313.624409722222</v>
      </c>
      <c r="T2822">
        <v>0</v>
      </c>
      <c r="U2822">
        <v>1</v>
      </c>
      <c r="V2822" s="2">
        <v>0</v>
      </c>
      <c r="W2822">
        <v>0</v>
      </c>
      <c r="X2822" t="s">
        <v>44</v>
      </c>
      <c r="Y2822">
        <v>0</v>
      </c>
      <c r="Z2822" t="s">
        <v>31</v>
      </c>
      <c r="AA2822">
        <v>0</v>
      </c>
      <c r="AB2822" t="s">
        <v>31</v>
      </c>
      <c r="AC2822">
        <v>0</v>
      </c>
      <c r="AD2822" t="s">
        <v>31</v>
      </c>
      <c r="AE2822">
        <v>0</v>
      </c>
      <c r="AF2822" t="s">
        <v>31</v>
      </c>
      <c r="AG2822">
        <v>0</v>
      </c>
      <c r="AH2822" t="s">
        <v>31</v>
      </c>
      <c r="AI2822">
        <v>0</v>
      </c>
      <c r="AJ2822" t="s">
        <v>31</v>
      </c>
      <c r="AK2822">
        <v>0</v>
      </c>
      <c r="AL2822" t="s">
        <v>31</v>
      </c>
      <c r="AM2822">
        <v>0</v>
      </c>
      <c r="AN2822" t="s">
        <v>31</v>
      </c>
      <c r="AO2822">
        <v>0</v>
      </c>
      <c r="AP2822" t="s">
        <v>31</v>
      </c>
      <c r="AQ2822">
        <v>0</v>
      </c>
    </row>
    <row r="2823" spans="1:43" x14ac:dyDescent="0.2">
      <c r="A2823" t="s">
        <v>381</v>
      </c>
      <c r="B2823" s="3">
        <v>44314</v>
      </c>
      <c r="C2823">
        <v>77</v>
      </c>
      <c r="D2823" t="s">
        <v>403</v>
      </c>
      <c r="E2823" t="s">
        <v>83</v>
      </c>
      <c r="F2823" s="9" t="s">
        <v>88</v>
      </c>
      <c r="G2823" t="s">
        <v>26</v>
      </c>
      <c r="H2823" t="s">
        <v>85</v>
      </c>
      <c r="I2823" t="s">
        <v>86</v>
      </c>
      <c r="J2823" t="s">
        <v>43</v>
      </c>
      <c r="K2823" t="s">
        <v>44</v>
      </c>
      <c r="L2823" t="s">
        <v>53</v>
      </c>
      <c r="M2823" t="s">
        <v>54</v>
      </c>
      <c r="N2823" t="s">
        <v>85</v>
      </c>
      <c r="O2823" t="s">
        <v>86</v>
      </c>
      <c r="P2823" t="s">
        <v>43</v>
      </c>
      <c r="Q2823" t="s">
        <v>44</v>
      </c>
      <c r="R2823" s="1">
        <v>44314.40996527778</v>
      </c>
      <c r="S2823" s="1">
        <v>44314.40996527778</v>
      </c>
      <c r="T2823">
        <v>0</v>
      </c>
      <c r="U2823">
        <v>1</v>
      </c>
      <c r="V2823" s="2">
        <v>0</v>
      </c>
      <c r="W2823">
        <v>0</v>
      </c>
      <c r="X2823" t="s">
        <v>44</v>
      </c>
      <c r="Y2823">
        <v>0</v>
      </c>
      <c r="Z2823" t="s">
        <v>31</v>
      </c>
      <c r="AA2823">
        <v>0</v>
      </c>
      <c r="AB2823" t="s">
        <v>31</v>
      </c>
      <c r="AC2823">
        <v>0</v>
      </c>
      <c r="AD2823" t="s">
        <v>31</v>
      </c>
      <c r="AE2823">
        <v>0</v>
      </c>
      <c r="AF2823" t="s">
        <v>31</v>
      </c>
      <c r="AG2823">
        <v>0</v>
      </c>
      <c r="AH2823" t="s">
        <v>31</v>
      </c>
      <c r="AI2823">
        <v>0</v>
      </c>
      <c r="AJ2823" t="s">
        <v>31</v>
      </c>
      <c r="AK2823">
        <v>0</v>
      </c>
      <c r="AL2823" t="s">
        <v>31</v>
      </c>
      <c r="AM2823">
        <v>0</v>
      </c>
      <c r="AN2823" t="s">
        <v>31</v>
      </c>
      <c r="AO2823">
        <v>0</v>
      </c>
      <c r="AP2823" t="s">
        <v>31</v>
      </c>
      <c r="AQ2823">
        <v>0</v>
      </c>
    </row>
    <row r="2824" spans="1:43" x14ac:dyDescent="0.2">
      <c r="A2824" t="s">
        <v>381</v>
      </c>
      <c r="B2824" s="3">
        <v>44314</v>
      </c>
      <c r="C2824">
        <v>78</v>
      </c>
      <c r="D2824" t="s">
        <v>387</v>
      </c>
      <c r="E2824" t="s">
        <v>83</v>
      </c>
      <c r="F2824" s="9" t="s">
        <v>88</v>
      </c>
      <c r="G2824" t="s">
        <v>26</v>
      </c>
      <c r="H2824" t="s">
        <v>85</v>
      </c>
      <c r="I2824" t="s">
        <v>86</v>
      </c>
      <c r="J2824" t="s">
        <v>43</v>
      </c>
      <c r="K2824" t="s">
        <v>44</v>
      </c>
      <c r="L2824" t="s">
        <v>53</v>
      </c>
      <c r="M2824" t="s">
        <v>54</v>
      </c>
      <c r="N2824" t="s">
        <v>85</v>
      </c>
      <c r="O2824" t="s">
        <v>86</v>
      </c>
      <c r="P2824" t="s">
        <v>43</v>
      </c>
      <c r="Q2824" t="s">
        <v>44</v>
      </c>
      <c r="R2824" s="1">
        <v>44314.590960648151</v>
      </c>
      <c r="S2824" s="1">
        <v>44314.590960648151</v>
      </c>
      <c r="T2824">
        <v>0</v>
      </c>
      <c r="U2824">
        <v>1</v>
      </c>
      <c r="V2824" s="2">
        <v>0</v>
      </c>
      <c r="W2824">
        <v>0</v>
      </c>
      <c r="X2824" t="s">
        <v>44</v>
      </c>
      <c r="Y2824">
        <v>0</v>
      </c>
      <c r="Z2824" t="s">
        <v>31</v>
      </c>
      <c r="AA2824">
        <v>0</v>
      </c>
      <c r="AB2824" t="s">
        <v>31</v>
      </c>
      <c r="AC2824">
        <v>0</v>
      </c>
      <c r="AD2824" t="s">
        <v>31</v>
      </c>
      <c r="AE2824">
        <v>0</v>
      </c>
      <c r="AF2824" t="s">
        <v>31</v>
      </c>
      <c r="AG2824">
        <v>0</v>
      </c>
      <c r="AH2824" t="s">
        <v>31</v>
      </c>
      <c r="AI2824">
        <v>0</v>
      </c>
      <c r="AJ2824" t="s">
        <v>31</v>
      </c>
      <c r="AK2824">
        <v>0</v>
      </c>
      <c r="AL2824" t="s">
        <v>31</v>
      </c>
      <c r="AM2824">
        <v>0</v>
      </c>
      <c r="AN2824" t="s">
        <v>31</v>
      </c>
      <c r="AO2824">
        <v>0</v>
      </c>
      <c r="AP2824" t="s">
        <v>31</v>
      </c>
      <c r="AQ2824">
        <v>0</v>
      </c>
    </row>
    <row r="2825" spans="1:43" x14ac:dyDescent="0.2">
      <c r="A2825" t="s">
        <v>381</v>
      </c>
      <c r="B2825" s="3">
        <v>44315</v>
      </c>
      <c r="C2825">
        <v>79</v>
      </c>
      <c r="D2825" t="s">
        <v>383</v>
      </c>
      <c r="E2825" t="s">
        <v>83</v>
      </c>
      <c r="F2825" s="9" t="s">
        <v>88</v>
      </c>
      <c r="G2825" t="s">
        <v>26</v>
      </c>
      <c r="H2825" t="s">
        <v>85</v>
      </c>
      <c r="I2825" t="s">
        <v>86</v>
      </c>
      <c r="J2825" t="s">
        <v>43</v>
      </c>
      <c r="K2825" t="s">
        <v>44</v>
      </c>
      <c r="L2825" t="s">
        <v>53</v>
      </c>
      <c r="M2825" t="s">
        <v>54</v>
      </c>
      <c r="N2825" t="s">
        <v>85</v>
      </c>
      <c r="O2825" t="s">
        <v>86</v>
      </c>
      <c r="P2825" t="s">
        <v>43</v>
      </c>
      <c r="Q2825" t="s">
        <v>44</v>
      </c>
      <c r="R2825" s="1">
        <v>44315.406469907408</v>
      </c>
      <c r="S2825" s="1">
        <v>44315.406469907408</v>
      </c>
      <c r="T2825">
        <v>0</v>
      </c>
      <c r="U2825">
        <v>1</v>
      </c>
      <c r="V2825" s="2">
        <v>0</v>
      </c>
      <c r="W2825">
        <v>0</v>
      </c>
      <c r="X2825" t="s">
        <v>44</v>
      </c>
      <c r="Y2825">
        <v>0</v>
      </c>
      <c r="Z2825" t="s">
        <v>31</v>
      </c>
      <c r="AA2825">
        <v>0</v>
      </c>
      <c r="AB2825" t="s">
        <v>31</v>
      </c>
      <c r="AC2825">
        <v>0</v>
      </c>
      <c r="AD2825" t="s">
        <v>31</v>
      </c>
      <c r="AE2825">
        <v>0</v>
      </c>
      <c r="AF2825" t="s">
        <v>31</v>
      </c>
      <c r="AG2825">
        <v>0</v>
      </c>
      <c r="AH2825" t="s">
        <v>31</v>
      </c>
      <c r="AI2825">
        <v>0</v>
      </c>
      <c r="AJ2825" t="s">
        <v>31</v>
      </c>
      <c r="AK2825">
        <v>0</v>
      </c>
      <c r="AL2825" t="s">
        <v>31</v>
      </c>
      <c r="AM2825">
        <v>0</v>
      </c>
      <c r="AN2825" t="s">
        <v>31</v>
      </c>
      <c r="AO2825">
        <v>0</v>
      </c>
      <c r="AP2825" t="s">
        <v>31</v>
      </c>
      <c r="AQ2825">
        <v>0</v>
      </c>
    </row>
    <row r="2826" spans="1:43" x14ac:dyDescent="0.2">
      <c r="A2826" t="s">
        <v>381</v>
      </c>
      <c r="B2826" s="3">
        <v>44315</v>
      </c>
      <c r="C2826">
        <v>81</v>
      </c>
      <c r="D2826" t="s">
        <v>385</v>
      </c>
      <c r="E2826" t="s">
        <v>83</v>
      </c>
      <c r="F2826" s="9" t="s">
        <v>88</v>
      </c>
      <c r="G2826" t="s">
        <v>26</v>
      </c>
      <c r="H2826" t="s">
        <v>85</v>
      </c>
      <c r="I2826" t="s">
        <v>86</v>
      </c>
      <c r="J2826" t="s">
        <v>43</v>
      </c>
      <c r="K2826" t="s">
        <v>44</v>
      </c>
      <c r="L2826" t="s">
        <v>53</v>
      </c>
      <c r="M2826" t="s">
        <v>54</v>
      </c>
      <c r="N2826" t="s">
        <v>85</v>
      </c>
      <c r="O2826" t="s">
        <v>86</v>
      </c>
      <c r="P2826" t="s">
        <v>43</v>
      </c>
      <c r="Q2826" t="s">
        <v>44</v>
      </c>
      <c r="R2826" s="1">
        <v>44315.558993055558</v>
      </c>
      <c r="S2826" s="1">
        <v>44315.558993055558</v>
      </c>
      <c r="T2826">
        <v>0</v>
      </c>
      <c r="U2826">
        <v>1</v>
      </c>
      <c r="V2826" s="2">
        <v>0</v>
      </c>
      <c r="W2826">
        <v>0</v>
      </c>
      <c r="X2826" t="s">
        <v>44</v>
      </c>
      <c r="Y2826">
        <v>0</v>
      </c>
      <c r="Z2826" t="s">
        <v>31</v>
      </c>
      <c r="AA2826">
        <v>0</v>
      </c>
      <c r="AB2826" t="s">
        <v>31</v>
      </c>
      <c r="AC2826">
        <v>0</v>
      </c>
      <c r="AD2826" t="s">
        <v>31</v>
      </c>
      <c r="AE2826">
        <v>0</v>
      </c>
      <c r="AF2826" t="s">
        <v>31</v>
      </c>
      <c r="AG2826">
        <v>0</v>
      </c>
      <c r="AH2826" t="s">
        <v>31</v>
      </c>
      <c r="AI2826">
        <v>0</v>
      </c>
      <c r="AJ2826" t="s">
        <v>31</v>
      </c>
      <c r="AK2826">
        <v>0</v>
      </c>
      <c r="AL2826" t="s">
        <v>31</v>
      </c>
      <c r="AM2826">
        <v>0</v>
      </c>
      <c r="AN2826" t="s">
        <v>31</v>
      </c>
      <c r="AO2826">
        <v>0</v>
      </c>
      <c r="AP2826" t="s">
        <v>31</v>
      </c>
      <c r="AQ2826">
        <v>0</v>
      </c>
    </row>
    <row r="2827" spans="1:43" x14ac:dyDescent="0.2">
      <c r="A2827" t="s">
        <v>381</v>
      </c>
      <c r="B2827" s="3">
        <v>44316</v>
      </c>
      <c r="C2827">
        <v>82</v>
      </c>
      <c r="D2827" t="s">
        <v>389</v>
      </c>
      <c r="E2827" t="s">
        <v>83</v>
      </c>
      <c r="F2827" s="9" t="s">
        <v>88</v>
      </c>
      <c r="G2827" t="s">
        <v>26</v>
      </c>
      <c r="H2827" t="s">
        <v>85</v>
      </c>
      <c r="I2827" t="s">
        <v>86</v>
      </c>
      <c r="J2827" t="s">
        <v>43</v>
      </c>
      <c r="K2827" t="s">
        <v>44</v>
      </c>
      <c r="L2827" t="s">
        <v>53</v>
      </c>
      <c r="M2827" t="s">
        <v>54</v>
      </c>
      <c r="N2827" t="s">
        <v>85</v>
      </c>
      <c r="O2827" t="s">
        <v>86</v>
      </c>
      <c r="P2827" t="s">
        <v>43</v>
      </c>
      <c r="Q2827" t="s">
        <v>44</v>
      </c>
      <c r="R2827" s="1">
        <v>44316.422361111108</v>
      </c>
      <c r="S2827" s="1">
        <v>44316.422488425924</v>
      </c>
      <c r="T2827">
        <v>0</v>
      </c>
      <c r="U2827">
        <v>1</v>
      </c>
      <c r="V2827" s="2">
        <v>0</v>
      </c>
      <c r="W2827">
        <v>0</v>
      </c>
      <c r="X2827" t="s">
        <v>44</v>
      </c>
      <c r="Y2827">
        <v>0</v>
      </c>
      <c r="Z2827" t="s">
        <v>31</v>
      </c>
      <c r="AA2827">
        <v>0</v>
      </c>
      <c r="AB2827" t="s">
        <v>31</v>
      </c>
      <c r="AC2827">
        <v>0</v>
      </c>
      <c r="AD2827" t="s">
        <v>31</v>
      </c>
      <c r="AE2827">
        <v>0</v>
      </c>
      <c r="AF2827" t="s">
        <v>31</v>
      </c>
      <c r="AG2827">
        <v>0</v>
      </c>
      <c r="AH2827" t="s">
        <v>31</v>
      </c>
      <c r="AI2827">
        <v>0</v>
      </c>
      <c r="AJ2827" t="s">
        <v>31</v>
      </c>
      <c r="AK2827">
        <v>0</v>
      </c>
      <c r="AL2827" t="s">
        <v>31</v>
      </c>
      <c r="AM2827">
        <v>0</v>
      </c>
      <c r="AN2827" t="s">
        <v>31</v>
      </c>
      <c r="AO2827">
        <v>0</v>
      </c>
      <c r="AP2827" t="s">
        <v>31</v>
      </c>
      <c r="AQ2827">
        <v>0</v>
      </c>
    </row>
    <row r="2828" spans="1:43" x14ac:dyDescent="0.2">
      <c r="A2828" t="s">
        <v>381</v>
      </c>
      <c r="B2828" s="3">
        <v>44316</v>
      </c>
      <c r="C2828">
        <v>83</v>
      </c>
      <c r="D2828" t="s">
        <v>387</v>
      </c>
      <c r="E2828" t="s">
        <v>83</v>
      </c>
      <c r="F2828" s="9" t="s">
        <v>88</v>
      </c>
      <c r="G2828" t="s">
        <v>26</v>
      </c>
      <c r="H2828" t="s">
        <v>85</v>
      </c>
      <c r="I2828" t="s">
        <v>86</v>
      </c>
      <c r="J2828" t="s">
        <v>43</v>
      </c>
      <c r="K2828" t="s">
        <v>44</v>
      </c>
      <c r="L2828" t="s">
        <v>53</v>
      </c>
      <c r="M2828" t="s">
        <v>54</v>
      </c>
      <c r="N2828" t="s">
        <v>85</v>
      </c>
      <c r="O2828" t="s">
        <v>86</v>
      </c>
      <c r="P2828" t="s">
        <v>43</v>
      </c>
      <c r="Q2828" t="s">
        <v>44</v>
      </c>
      <c r="R2828" s="1">
        <v>44316.538946759261</v>
      </c>
      <c r="S2828" s="1">
        <v>44316.538946759261</v>
      </c>
      <c r="T2828">
        <v>0</v>
      </c>
      <c r="U2828">
        <v>1</v>
      </c>
      <c r="V2828" s="2">
        <v>0</v>
      </c>
      <c r="W2828">
        <v>0</v>
      </c>
      <c r="X2828" t="s">
        <v>44</v>
      </c>
      <c r="Y2828">
        <v>0</v>
      </c>
      <c r="Z2828" t="s">
        <v>31</v>
      </c>
      <c r="AA2828">
        <v>0</v>
      </c>
      <c r="AB2828" t="s">
        <v>31</v>
      </c>
      <c r="AC2828">
        <v>0</v>
      </c>
      <c r="AD2828" t="s">
        <v>31</v>
      </c>
      <c r="AE2828">
        <v>0</v>
      </c>
      <c r="AF2828" t="s">
        <v>31</v>
      </c>
      <c r="AG2828">
        <v>0</v>
      </c>
      <c r="AH2828" t="s">
        <v>31</v>
      </c>
      <c r="AI2828">
        <v>0</v>
      </c>
      <c r="AJ2828" t="s">
        <v>31</v>
      </c>
      <c r="AK2828">
        <v>0</v>
      </c>
      <c r="AL2828" t="s">
        <v>31</v>
      </c>
      <c r="AM2828">
        <v>0</v>
      </c>
      <c r="AN2828" t="s">
        <v>31</v>
      </c>
      <c r="AO2828">
        <v>0</v>
      </c>
      <c r="AP2828" t="s">
        <v>31</v>
      </c>
      <c r="AQ2828">
        <v>0</v>
      </c>
    </row>
    <row r="2829" spans="1:43" x14ac:dyDescent="0.2">
      <c r="A2829" t="s">
        <v>381</v>
      </c>
      <c r="B2829" s="3">
        <v>44319</v>
      </c>
      <c r="C2829">
        <v>84</v>
      </c>
      <c r="D2829" t="s">
        <v>390</v>
      </c>
      <c r="E2829" t="s">
        <v>83</v>
      </c>
      <c r="F2829" s="9" t="s">
        <v>88</v>
      </c>
      <c r="G2829" t="s">
        <v>26</v>
      </c>
      <c r="H2829" t="s">
        <v>85</v>
      </c>
      <c r="I2829" t="s">
        <v>86</v>
      </c>
      <c r="J2829" t="s">
        <v>43</v>
      </c>
      <c r="K2829" t="s">
        <v>44</v>
      </c>
      <c r="L2829" t="s">
        <v>53</v>
      </c>
      <c r="M2829" t="s">
        <v>54</v>
      </c>
      <c r="N2829" t="s">
        <v>85</v>
      </c>
      <c r="O2829" t="s">
        <v>86</v>
      </c>
      <c r="P2829" t="s">
        <v>43</v>
      </c>
      <c r="Q2829" t="s">
        <v>44</v>
      </c>
      <c r="R2829" s="1">
        <v>44319.426006944443</v>
      </c>
      <c r="S2829" s="1">
        <v>44319.426006944443</v>
      </c>
      <c r="T2829">
        <v>0</v>
      </c>
      <c r="U2829">
        <v>1</v>
      </c>
      <c r="V2829" s="2">
        <v>0</v>
      </c>
      <c r="W2829">
        <v>0</v>
      </c>
      <c r="X2829" t="s">
        <v>44</v>
      </c>
      <c r="Y2829">
        <v>0</v>
      </c>
      <c r="Z2829" t="s">
        <v>31</v>
      </c>
      <c r="AA2829">
        <v>0</v>
      </c>
      <c r="AB2829" t="s">
        <v>31</v>
      </c>
      <c r="AC2829">
        <v>0</v>
      </c>
      <c r="AD2829" t="s">
        <v>31</v>
      </c>
      <c r="AE2829">
        <v>0</v>
      </c>
      <c r="AF2829" t="s">
        <v>31</v>
      </c>
      <c r="AG2829">
        <v>0</v>
      </c>
      <c r="AH2829" t="s">
        <v>31</v>
      </c>
      <c r="AI2829">
        <v>0</v>
      </c>
      <c r="AJ2829" t="s">
        <v>31</v>
      </c>
      <c r="AK2829">
        <v>0</v>
      </c>
      <c r="AL2829" t="s">
        <v>31</v>
      </c>
      <c r="AM2829">
        <v>0</v>
      </c>
      <c r="AN2829" t="s">
        <v>31</v>
      </c>
      <c r="AO2829">
        <v>0</v>
      </c>
      <c r="AP2829" t="s">
        <v>31</v>
      </c>
      <c r="AQ2829">
        <v>0</v>
      </c>
    </row>
    <row r="2830" spans="1:43" x14ac:dyDescent="0.2">
      <c r="A2830" t="s">
        <v>381</v>
      </c>
      <c r="B2830" s="3">
        <v>44319</v>
      </c>
      <c r="C2830">
        <v>85</v>
      </c>
      <c r="D2830" t="s">
        <v>387</v>
      </c>
      <c r="E2830" t="s">
        <v>83</v>
      </c>
      <c r="F2830" s="9" t="s">
        <v>88</v>
      </c>
      <c r="G2830" t="s">
        <v>26</v>
      </c>
      <c r="H2830" t="s">
        <v>85</v>
      </c>
      <c r="I2830" t="s">
        <v>86</v>
      </c>
      <c r="J2830" t="s">
        <v>43</v>
      </c>
      <c r="K2830" t="s">
        <v>44</v>
      </c>
      <c r="L2830" t="s">
        <v>53</v>
      </c>
      <c r="M2830" t="s">
        <v>54</v>
      </c>
      <c r="N2830" t="s">
        <v>85</v>
      </c>
      <c r="O2830" t="s">
        <v>86</v>
      </c>
      <c r="P2830" t="s">
        <v>43</v>
      </c>
      <c r="Q2830" t="s">
        <v>44</v>
      </c>
      <c r="R2830" s="1">
        <v>44319.644131944442</v>
      </c>
      <c r="S2830" s="1">
        <v>44319.644131944442</v>
      </c>
      <c r="T2830">
        <v>0</v>
      </c>
      <c r="U2830">
        <v>1</v>
      </c>
      <c r="V2830" s="2">
        <v>0</v>
      </c>
      <c r="W2830">
        <v>0</v>
      </c>
      <c r="X2830" t="s">
        <v>44</v>
      </c>
      <c r="Y2830">
        <v>0</v>
      </c>
      <c r="Z2830" t="s">
        <v>31</v>
      </c>
      <c r="AA2830">
        <v>0</v>
      </c>
      <c r="AB2830" t="s">
        <v>31</v>
      </c>
      <c r="AC2830">
        <v>0</v>
      </c>
      <c r="AD2830" t="s">
        <v>31</v>
      </c>
      <c r="AE2830">
        <v>0</v>
      </c>
      <c r="AF2830" t="s">
        <v>31</v>
      </c>
      <c r="AG2830">
        <v>0</v>
      </c>
      <c r="AH2830" t="s">
        <v>31</v>
      </c>
      <c r="AI2830">
        <v>0</v>
      </c>
      <c r="AJ2830" t="s">
        <v>31</v>
      </c>
      <c r="AK2830">
        <v>0</v>
      </c>
      <c r="AL2830" t="s">
        <v>31</v>
      </c>
      <c r="AM2830">
        <v>0</v>
      </c>
      <c r="AN2830" t="s">
        <v>31</v>
      </c>
      <c r="AO2830">
        <v>0</v>
      </c>
      <c r="AP2830" t="s">
        <v>31</v>
      </c>
      <c r="AQ2830">
        <v>0</v>
      </c>
    </row>
    <row r="2831" spans="1:43" x14ac:dyDescent="0.2">
      <c r="A2831" t="s">
        <v>381</v>
      </c>
      <c r="B2831" s="3">
        <v>44320</v>
      </c>
      <c r="C2831">
        <v>87</v>
      </c>
      <c r="D2831" t="s">
        <v>385</v>
      </c>
      <c r="E2831" t="s">
        <v>83</v>
      </c>
      <c r="F2831" s="9" t="s">
        <v>88</v>
      </c>
      <c r="G2831" t="s">
        <v>26</v>
      </c>
      <c r="H2831" t="s">
        <v>85</v>
      </c>
      <c r="I2831" t="s">
        <v>86</v>
      </c>
      <c r="J2831" t="s">
        <v>43</v>
      </c>
      <c r="K2831" t="s">
        <v>44</v>
      </c>
      <c r="L2831" t="s">
        <v>53</v>
      </c>
      <c r="M2831" t="s">
        <v>54</v>
      </c>
      <c r="N2831" t="s">
        <v>85</v>
      </c>
      <c r="O2831" t="s">
        <v>86</v>
      </c>
      <c r="P2831" t="s">
        <v>43</v>
      </c>
      <c r="Q2831" t="s">
        <v>44</v>
      </c>
      <c r="R2831" s="1">
        <v>44320.557488425926</v>
      </c>
      <c r="S2831" s="1">
        <v>44320.557488425926</v>
      </c>
      <c r="T2831">
        <v>0</v>
      </c>
      <c r="U2831">
        <v>1</v>
      </c>
      <c r="V2831" s="2">
        <v>0</v>
      </c>
      <c r="W2831">
        <v>0</v>
      </c>
      <c r="X2831" t="s">
        <v>44</v>
      </c>
      <c r="Y2831">
        <v>0</v>
      </c>
      <c r="Z2831" t="s">
        <v>31</v>
      </c>
      <c r="AA2831">
        <v>0</v>
      </c>
      <c r="AB2831" t="s">
        <v>31</v>
      </c>
      <c r="AC2831">
        <v>0</v>
      </c>
      <c r="AD2831" t="s">
        <v>31</v>
      </c>
      <c r="AE2831">
        <v>0</v>
      </c>
      <c r="AF2831" t="s">
        <v>31</v>
      </c>
      <c r="AG2831">
        <v>0</v>
      </c>
      <c r="AH2831" t="s">
        <v>31</v>
      </c>
      <c r="AI2831">
        <v>0</v>
      </c>
      <c r="AJ2831" t="s">
        <v>31</v>
      </c>
      <c r="AK2831">
        <v>0</v>
      </c>
      <c r="AL2831" t="s">
        <v>31</v>
      </c>
      <c r="AM2831">
        <v>0</v>
      </c>
      <c r="AN2831" t="s">
        <v>31</v>
      </c>
      <c r="AO2831">
        <v>0</v>
      </c>
      <c r="AP2831" t="s">
        <v>31</v>
      </c>
      <c r="AQ2831">
        <v>0</v>
      </c>
    </row>
    <row r="2832" spans="1:43" x14ac:dyDescent="0.2">
      <c r="A2832" t="s">
        <v>381</v>
      </c>
      <c r="B2832" s="3">
        <v>44321</v>
      </c>
      <c r="C2832">
        <v>89</v>
      </c>
      <c r="D2832" t="s">
        <v>387</v>
      </c>
      <c r="E2832" t="s">
        <v>83</v>
      </c>
      <c r="F2832" s="9" t="s">
        <v>88</v>
      </c>
      <c r="G2832" t="s">
        <v>26</v>
      </c>
      <c r="H2832" t="s">
        <v>85</v>
      </c>
      <c r="I2832" t="s">
        <v>86</v>
      </c>
      <c r="J2832" t="s">
        <v>43</v>
      </c>
      <c r="K2832" t="s">
        <v>44</v>
      </c>
      <c r="L2832" t="s">
        <v>53</v>
      </c>
      <c r="M2832" t="s">
        <v>54</v>
      </c>
      <c r="N2832" t="s">
        <v>85</v>
      </c>
      <c r="O2832" t="s">
        <v>86</v>
      </c>
      <c r="P2832" t="s">
        <v>43</v>
      </c>
      <c r="Q2832" t="s">
        <v>44</v>
      </c>
      <c r="R2832" s="1">
        <v>44321.622800925928</v>
      </c>
      <c r="S2832" s="1">
        <v>44321.622800925928</v>
      </c>
      <c r="T2832">
        <v>0</v>
      </c>
      <c r="U2832">
        <v>1</v>
      </c>
      <c r="V2832" s="2">
        <v>0</v>
      </c>
      <c r="W2832">
        <v>0</v>
      </c>
      <c r="X2832" t="s">
        <v>44</v>
      </c>
      <c r="Y2832">
        <v>0</v>
      </c>
      <c r="Z2832" t="s">
        <v>31</v>
      </c>
      <c r="AA2832">
        <v>0</v>
      </c>
      <c r="AB2832" t="s">
        <v>31</v>
      </c>
      <c r="AC2832">
        <v>0</v>
      </c>
      <c r="AD2832" t="s">
        <v>31</v>
      </c>
      <c r="AE2832">
        <v>0</v>
      </c>
      <c r="AF2832" t="s">
        <v>31</v>
      </c>
      <c r="AG2832">
        <v>0</v>
      </c>
      <c r="AH2832" t="s">
        <v>31</v>
      </c>
      <c r="AI2832">
        <v>0</v>
      </c>
      <c r="AJ2832" t="s">
        <v>31</v>
      </c>
      <c r="AK2832">
        <v>0</v>
      </c>
      <c r="AL2832" t="s">
        <v>31</v>
      </c>
      <c r="AM2832">
        <v>0</v>
      </c>
      <c r="AN2832" t="s">
        <v>31</v>
      </c>
      <c r="AO2832">
        <v>0</v>
      </c>
      <c r="AP2832" t="s">
        <v>31</v>
      </c>
      <c r="AQ2832">
        <v>0</v>
      </c>
    </row>
    <row r="2833" spans="1:43" x14ac:dyDescent="0.2">
      <c r="A2833" t="s">
        <v>381</v>
      </c>
      <c r="B2833" s="3">
        <v>44326</v>
      </c>
      <c r="C2833">
        <v>92</v>
      </c>
      <c r="D2833" t="s">
        <v>390</v>
      </c>
      <c r="E2833" t="s">
        <v>83</v>
      </c>
      <c r="F2833" s="9" t="s">
        <v>88</v>
      </c>
      <c r="G2833" t="s">
        <v>26</v>
      </c>
      <c r="H2833" t="s">
        <v>85</v>
      </c>
      <c r="I2833" t="s">
        <v>86</v>
      </c>
      <c r="J2833" t="s">
        <v>43</v>
      </c>
      <c r="K2833" t="s">
        <v>44</v>
      </c>
      <c r="L2833" t="s">
        <v>53</v>
      </c>
      <c r="M2833" t="s">
        <v>54</v>
      </c>
      <c r="N2833" t="s">
        <v>85</v>
      </c>
      <c r="O2833" t="s">
        <v>86</v>
      </c>
      <c r="P2833" t="s">
        <v>43</v>
      </c>
      <c r="Q2833" t="s">
        <v>44</v>
      </c>
      <c r="R2833" s="1">
        <v>44326.461469907408</v>
      </c>
      <c r="S2833" s="1">
        <v>44326.461469907408</v>
      </c>
      <c r="T2833">
        <v>0</v>
      </c>
      <c r="U2833">
        <v>1</v>
      </c>
      <c r="V2833" s="2">
        <v>0</v>
      </c>
      <c r="W2833">
        <v>0</v>
      </c>
      <c r="X2833" t="s">
        <v>44</v>
      </c>
      <c r="Y2833">
        <v>0</v>
      </c>
      <c r="Z2833" t="s">
        <v>31</v>
      </c>
      <c r="AA2833">
        <v>0</v>
      </c>
      <c r="AB2833" t="s">
        <v>31</v>
      </c>
      <c r="AC2833">
        <v>0</v>
      </c>
      <c r="AD2833" t="s">
        <v>31</v>
      </c>
      <c r="AE2833">
        <v>0</v>
      </c>
      <c r="AF2833" t="s">
        <v>31</v>
      </c>
      <c r="AG2833">
        <v>0</v>
      </c>
      <c r="AH2833" t="s">
        <v>31</v>
      </c>
      <c r="AI2833">
        <v>0</v>
      </c>
      <c r="AJ2833" t="s">
        <v>31</v>
      </c>
      <c r="AK2833">
        <v>0</v>
      </c>
      <c r="AL2833" t="s">
        <v>31</v>
      </c>
      <c r="AM2833">
        <v>0</v>
      </c>
      <c r="AN2833" t="s">
        <v>31</v>
      </c>
      <c r="AO2833">
        <v>0</v>
      </c>
      <c r="AP2833" t="s">
        <v>31</v>
      </c>
      <c r="AQ2833">
        <v>0</v>
      </c>
    </row>
    <row r="2834" spans="1:43" x14ac:dyDescent="0.2">
      <c r="A2834" t="s">
        <v>381</v>
      </c>
      <c r="B2834" s="3">
        <v>44327</v>
      </c>
      <c r="C2834">
        <v>96</v>
      </c>
      <c r="D2834" t="s">
        <v>385</v>
      </c>
      <c r="E2834" t="s">
        <v>83</v>
      </c>
      <c r="F2834" s="9" t="s">
        <v>88</v>
      </c>
      <c r="G2834" t="s">
        <v>26</v>
      </c>
      <c r="H2834" t="s">
        <v>85</v>
      </c>
      <c r="I2834" t="s">
        <v>86</v>
      </c>
      <c r="J2834" t="s">
        <v>43</v>
      </c>
      <c r="K2834" t="s">
        <v>44</v>
      </c>
      <c r="L2834" t="s">
        <v>53</v>
      </c>
      <c r="M2834" t="s">
        <v>54</v>
      </c>
      <c r="N2834" t="s">
        <v>85</v>
      </c>
      <c r="O2834" t="s">
        <v>86</v>
      </c>
      <c r="P2834" t="s">
        <v>43</v>
      </c>
      <c r="Q2834" t="s">
        <v>44</v>
      </c>
      <c r="R2834" s="1">
        <v>44327.587523148148</v>
      </c>
      <c r="S2834" s="1">
        <v>44327.587523148148</v>
      </c>
      <c r="T2834">
        <v>0</v>
      </c>
      <c r="U2834">
        <v>1</v>
      </c>
      <c r="V2834" s="2">
        <v>0</v>
      </c>
      <c r="W2834">
        <v>0</v>
      </c>
      <c r="X2834" t="s">
        <v>44</v>
      </c>
      <c r="Y2834">
        <v>0</v>
      </c>
      <c r="Z2834" t="s">
        <v>31</v>
      </c>
      <c r="AA2834">
        <v>0</v>
      </c>
      <c r="AB2834" t="s">
        <v>31</v>
      </c>
      <c r="AC2834">
        <v>0</v>
      </c>
      <c r="AD2834" t="s">
        <v>31</v>
      </c>
      <c r="AE2834">
        <v>0</v>
      </c>
      <c r="AF2834" t="s">
        <v>31</v>
      </c>
      <c r="AG2834">
        <v>0</v>
      </c>
      <c r="AH2834" t="s">
        <v>31</v>
      </c>
      <c r="AI2834">
        <v>0</v>
      </c>
      <c r="AJ2834" t="s">
        <v>31</v>
      </c>
      <c r="AK2834">
        <v>0</v>
      </c>
      <c r="AL2834" t="s">
        <v>31</v>
      </c>
      <c r="AM2834">
        <v>0</v>
      </c>
      <c r="AN2834" t="s">
        <v>31</v>
      </c>
      <c r="AO2834">
        <v>0</v>
      </c>
      <c r="AP2834" t="s">
        <v>31</v>
      </c>
      <c r="AQ2834">
        <v>0</v>
      </c>
    </row>
    <row r="2835" spans="1:43" x14ac:dyDescent="0.2">
      <c r="A2835" t="s">
        <v>381</v>
      </c>
      <c r="B2835" s="3">
        <v>44328</v>
      </c>
      <c r="C2835">
        <v>97</v>
      </c>
      <c r="D2835" t="s">
        <v>387</v>
      </c>
      <c r="E2835" t="s">
        <v>83</v>
      </c>
      <c r="F2835" s="9" t="s">
        <v>88</v>
      </c>
      <c r="G2835" t="s">
        <v>26</v>
      </c>
      <c r="H2835" t="s">
        <v>85</v>
      </c>
      <c r="I2835" t="s">
        <v>86</v>
      </c>
      <c r="J2835" t="s">
        <v>43</v>
      </c>
      <c r="K2835" t="s">
        <v>44</v>
      </c>
      <c r="L2835" t="s">
        <v>53</v>
      </c>
      <c r="M2835" t="s">
        <v>54</v>
      </c>
      <c r="N2835" t="s">
        <v>85</v>
      </c>
      <c r="O2835" t="s">
        <v>86</v>
      </c>
      <c r="P2835" t="s">
        <v>43</v>
      </c>
      <c r="Q2835" t="s">
        <v>44</v>
      </c>
      <c r="R2835" s="1">
        <v>44328.551076388889</v>
      </c>
      <c r="S2835" s="1">
        <v>44328.551076388889</v>
      </c>
      <c r="T2835">
        <v>0</v>
      </c>
      <c r="U2835">
        <v>1</v>
      </c>
      <c r="V2835" s="2">
        <v>0</v>
      </c>
      <c r="W2835">
        <v>0</v>
      </c>
      <c r="X2835" t="s">
        <v>44</v>
      </c>
      <c r="Y2835">
        <v>0</v>
      </c>
      <c r="Z2835" t="s">
        <v>31</v>
      </c>
      <c r="AA2835">
        <v>0</v>
      </c>
      <c r="AB2835" t="s">
        <v>31</v>
      </c>
      <c r="AC2835">
        <v>0</v>
      </c>
      <c r="AD2835" t="s">
        <v>31</v>
      </c>
      <c r="AE2835">
        <v>0</v>
      </c>
      <c r="AF2835" t="s">
        <v>31</v>
      </c>
      <c r="AG2835">
        <v>0</v>
      </c>
      <c r="AH2835" t="s">
        <v>31</v>
      </c>
      <c r="AI2835">
        <v>0</v>
      </c>
      <c r="AJ2835" t="s">
        <v>31</v>
      </c>
      <c r="AK2835">
        <v>0</v>
      </c>
      <c r="AL2835" t="s">
        <v>31</v>
      </c>
      <c r="AM2835">
        <v>0</v>
      </c>
      <c r="AN2835" t="s">
        <v>31</v>
      </c>
      <c r="AO2835">
        <v>0</v>
      </c>
      <c r="AP2835" t="s">
        <v>31</v>
      </c>
      <c r="AQ2835">
        <v>0</v>
      </c>
    </row>
    <row r="2836" spans="1:43" x14ac:dyDescent="0.2">
      <c r="A2836" t="s">
        <v>381</v>
      </c>
      <c r="B2836" s="3">
        <v>44334</v>
      </c>
      <c r="C2836">
        <v>99</v>
      </c>
      <c r="D2836" t="s">
        <v>385</v>
      </c>
      <c r="E2836" t="s">
        <v>83</v>
      </c>
      <c r="F2836" s="9" t="s">
        <v>88</v>
      </c>
      <c r="G2836" t="s">
        <v>26</v>
      </c>
      <c r="H2836" t="s">
        <v>85</v>
      </c>
      <c r="I2836" t="s">
        <v>86</v>
      </c>
      <c r="J2836" t="s">
        <v>43</v>
      </c>
      <c r="K2836" t="s">
        <v>44</v>
      </c>
      <c r="L2836" t="s">
        <v>53</v>
      </c>
      <c r="M2836" t="s">
        <v>54</v>
      </c>
      <c r="N2836" t="s">
        <v>85</v>
      </c>
      <c r="O2836" t="s">
        <v>86</v>
      </c>
      <c r="P2836" t="s">
        <v>43</v>
      </c>
      <c r="Q2836" t="s">
        <v>44</v>
      </c>
      <c r="R2836" s="1">
        <v>44334.548078703701</v>
      </c>
      <c r="S2836" s="1">
        <v>44334.634340277778</v>
      </c>
      <c r="T2836">
        <v>0</v>
      </c>
      <c r="U2836">
        <v>2</v>
      </c>
      <c r="V2836" s="2">
        <v>0</v>
      </c>
      <c r="W2836">
        <v>0</v>
      </c>
      <c r="X2836" t="s">
        <v>44</v>
      </c>
      <c r="Y2836">
        <v>0</v>
      </c>
      <c r="Z2836" t="s">
        <v>44</v>
      </c>
      <c r="AA2836">
        <v>0</v>
      </c>
      <c r="AB2836" t="s">
        <v>31</v>
      </c>
      <c r="AC2836">
        <v>0</v>
      </c>
      <c r="AD2836" t="s">
        <v>31</v>
      </c>
      <c r="AE2836">
        <v>0</v>
      </c>
      <c r="AF2836" t="s">
        <v>31</v>
      </c>
      <c r="AG2836">
        <v>0</v>
      </c>
      <c r="AH2836" t="s">
        <v>31</v>
      </c>
      <c r="AI2836">
        <v>0</v>
      </c>
      <c r="AJ2836" t="s">
        <v>31</v>
      </c>
      <c r="AK2836">
        <v>0</v>
      </c>
      <c r="AL2836" t="s">
        <v>31</v>
      </c>
      <c r="AM2836">
        <v>0</v>
      </c>
      <c r="AN2836" t="s">
        <v>31</v>
      </c>
      <c r="AO2836">
        <v>0</v>
      </c>
      <c r="AP2836" t="s">
        <v>31</v>
      </c>
      <c r="AQ2836">
        <v>0</v>
      </c>
    </row>
    <row r="2837" spans="1:43" x14ac:dyDescent="0.2">
      <c r="A2837" t="s">
        <v>381</v>
      </c>
      <c r="B2837" s="3">
        <v>44336</v>
      </c>
      <c r="C2837">
        <v>103</v>
      </c>
      <c r="D2837" t="s">
        <v>385</v>
      </c>
      <c r="E2837" t="s">
        <v>83</v>
      </c>
      <c r="F2837" s="9" t="s">
        <v>88</v>
      </c>
      <c r="G2837" t="s">
        <v>26</v>
      </c>
      <c r="H2837" t="s">
        <v>85</v>
      </c>
      <c r="I2837" t="s">
        <v>86</v>
      </c>
      <c r="J2837" t="s">
        <v>43</v>
      </c>
      <c r="K2837" t="s">
        <v>44</v>
      </c>
      <c r="L2837" t="s">
        <v>53</v>
      </c>
      <c r="M2837" t="s">
        <v>54</v>
      </c>
      <c r="N2837" t="s">
        <v>85</v>
      </c>
      <c r="O2837" t="s">
        <v>86</v>
      </c>
      <c r="P2837" t="s">
        <v>43</v>
      </c>
      <c r="Q2837" t="s">
        <v>44</v>
      </c>
      <c r="R2837" s="1">
        <v>44336.543310185189</v>
      </c>
      <c r="S2837" s="1">
        <v>44336.543310185189</v>
      </c>
      <c r="T2837">
        <v>0</v>
      </c>
      <c r="U2837">
        <v>1</v>
      </c>
      <c r="V2837" s="2">
        <v>0</v>
      </c>
      <c r="W2837">
        <v>0</v>
      </c>
      <c r="X2837" t="s">
        <v>44</v>
      </c>
      <c r="Y2837">
        <v>0</v>
      </c>
      <c r="Z2837" t="s">
        <v>31</v>
      </c>
      <c r="AA2837">
        <v>0</v>
      </c>
      <c r="AB2837" t="s">
        <v>31</v>
      </c>
      <c r="AC2837">
        <v>0</v>
      </c>
      <c r="AD2837" t="s">
        <v>31</v>
      </c>
      <c r="AE2837">
        <v>0</v>
      </c>
      <c r="AF2837" t="s">
        <v>31</v>
      </c>
      <c r="AG2837">
        <v>0</v>
      </c>
      <c r="AH2837" t="s">
        <v>31</v>
      </c>
      <c r="AI2837">
        <v>0</v>
      </c>
      <c r="AJ2837" t="s">
        <v>31</v>
      </c>
      <c r="AK2837">
        <v>0</v>
      </c>
      <c r="AL2837" t="s">
        <v>31</v>
      </c>
      <c r="AM2837">
        <v>0</v>
      </c>
      <c r="AN2837" t="s">
        <v>31</v>
      </c>
      <c r="AO2837">
        <v>0</v>
      </c>
      <c r="AP2837" t="s">
        <v>31</v>
      </c>
      <c r="AQ2837">
        <v>0</v>
      </c>
    </row>
    <row r="2838" spans="1:43" x14ac:dyDescent="0.2">
      <c r="A2838" t="s">
        <v>381</v>
      </c>
      <c r="B2838" s="3">
        <v>44337</v>
      </c>
      <c r="C2838">
        <v>105</v>
      </c>
      <c r="D2838" t="s">
        <v>405</v>
      </c>
      <c r="E2838" t="s">
        <v>83</v>
      </c>
      <c r="F2838" s="9" t="s">
        <v>88</v>
      </c>
      <c r="G2838" t="s">
        <v>26</v>
      </c>
      <c r="H2838" t="s">
        <v>85</v>
      </c>
      <c r="I2838" t="s">
        <v>86</v>
      </c>
      <c r="J2838" t="s">
        <v>43</v>
      </c>
      <c r="K2838" t="s">
        <v>44</v>
      </c>
      <c r="L2838" t="s">
        <v>53</v>
      </c>
      <c r="M2838" t="s">
        <v>54</v>
      </c>
      <c r="N2838" t="s">
        <v>85</v>
      </c>
      <c r="O2838" t="s">
        <v>86</v>
      </c>
      <c r="P2838" t="s">
        <v>43</v>
      </c>
      <c r="Q2838" t="s">
        <v>44</v>
      </c>
      <c r="R2838" s="1">
        <v>44337.569398148145</v>
      </c>
      <c r="S2838" s="1">
        <v>44337.569398148145</v>
      </c>
      <c r="T2838">
        <v>0</v>
      </c>
      <c r="U2838">
        <v>1</v>
      </c>
      <c r="V2838" s="2">
        <v>0</v>
      </c>
      <c r="W2838">
        <v>0</v>
      </c>
      <c r="X2838" t="s">
        <v>44</v>
      </c>
      <c r="Y2838">
        <v>0</v>
      </c>
      <c r="Z2838" t="s">
        <v>31</v>
      </c>
      <c r="AA2838">
        <v>0</v>
      </c>
      <c r="AB2838" t="s">
        <v>31</v>
      </c>
      <c r="AC2838">
        <v>0</v>
      </c>
      <c r="AD2838" t="s">
        <v>31</v>
      </c>
      <c r="AE2838">
        <v>0</v>
      </c>
      <c r="AF2838" t="s">
        <v>31</v>
      </c>
      <c r="AG2838">
        <v>0</v>
      </c>
      <c r="AH2838" t="s">
        <v>31</v>
      </c>
      <c r="AI2838">
        <v>0</v>
      </c>
      <c r="AJ2838" t="s">
        <v>31</v>
      </c>
      <c r="AK2838">
        <v>0</v>
      </c>
      <c r="AL2838" t="s">
        <v>31</v>
      </c>
      <c r="AM2838">
        <v>0</v>
      </c>
      <c r="AN2838" t="s">
        <v>31</v>
      </c>
      <c r="AO2838">
        <v>0</v>
      </c>
      <c r="AP2838" t="s">
        <v>31</v>
      </c>
      <c r="AQ2838">
        <v>0</v>
      </c>
    </row>
    <row r="2839" spans="1:43" x14ac:dyDescent="0.2">
      <c r="A2839" t="s">
        <v>381</v>
      </c>
      <c r="B2839" s="3">
        <v>44338</v>
      </c>
      <c r="C2839">
        <v>106</v>
      </c>
      <c r="D2839" t="s">
        <v>408</v>
      </c>
      <c r="E2839" t="s">
        <v>83</v>
      </c>
      <c r="F2839" s="9" t="s">
        <v>88</v>
      </c>
      <c r="G2839" t="s">
        <v>26</v>
      </c>
      <c r="H2839" t="s">
        <v>85</v>
      </c>
      <c r="I2839" t="s">
        <v>86</v>
      </c>
      <c r="J2839" t="s">
        <v>43</v>
      </c>
      <c r="K2839" t="s">
        <v>44</v>
      </c>
      <c r="L2839" t="s">
        <v>53</v>
      </c>
      <c r="M2839" t="s">
        <v>54</v>
      </c>
      <c r="N2839" t="s">
        <v>85</v>
      </c>
      <c r="O2839" t="s">
        <v>86</v>
      </c>
      <c r="P2839" t="s">
        <v>43</v>
      </c>
      <c r="Q2839" t="s">
        <v>44</v>
      </c>
      <c r="R2839" s="1">
        <v>44338.463634259257</v>
      </c>
      <c r="S2839" s="1">
        <v>44338.463634259257</v>
      </c>
      <c r="T2839">
        <v>0</v>
      </c>
      <c r="U2839">
        <v>1</v>
      </c>
      <c r="V2839" s="2">
        <v>0</v>
      </c>
      <c r="W2839">
        <v>0</v>
      </c>
      <c r="X2839" t="s">
        <v>44</v>
      </c>
      <c r="Y2839">
        <v>0</v>
      </c>
      <c r="Z2839" t="s">
        <v>31</v>
      </c>
      <c r="AA2839">
        <v>0</v>
      </c>
      <c r="AB2839" t="s">
        <v>31</v>
      </c>
      <c r="AC2839">
        <v>0</v>
      </c>
      <c r="AD2839" t="s">
        <v>31</v>
      </c>
      <c r="AE2839">
        <v>0</v>
      </c>
      <c r="AF2839" t="s">
        <v>31</v>
      </c>
      <c r="AG2839">
        <v>0</v>
      </c>
      <c r="AH2839" t="s">
        <v>31</v>
      </c>
      <c r="AI2839">
        <v>0</v>
      </c>
      <c r="AJ2839" t="s">
        <v>31</v>
      </c>
      <c r="AK2839">
        <v>0</v>
      </c>
      <c r="AL2839" t="s">
        <v>31</v>
      </c>
      <c r="AM2839">
        <v>0</v>
      </c>
      <c r="AN2839" t="s">
        <v>31</v>
      </c>
      <c r="AO2839">
        <v>0</v>
      </c>
      <c r="AP2839" t="s">
        <v>31</v>
      </c>
      <c r="AQ2839">
        <v>0</v>
      </c>
    </row>
    <row r="2840" spans="1:43" x14ac:dyDescent="0.2">
      <c r="A2840" t="s">
        <v>381</v>
      </c>
      <c r="B2840" s="3">
        <v>44338</v>
      </c>
      <c r="C2840">
        <v>107</v>
      </c>
      <c r="D2840" t="s">
        <v>392</v>
      </c>
      <c r="E2840" t="s">
        <v>83</v>
      </c>
      <c r="F2840" s="9" t="s">
        <v>88</v>
      </c>
      <c r="G2840" t="s">
        <v>26</v>
      </c>
      <c r="H2840" t="s">
        <v>85</v>
      </c>
      <c r="I2840" t="s">
        <v>86</v>
      </c>
      <c r="J2840" t="s">
        <v>43</v>
      </c>
      <c r="K2840" t="s">
        <v>44</v>
      </c>
      <c r="L2840" t="s">
        <v>53</v>
      </c>
      <c r="M2840" t="s">
        <v>54</v>
      </c>
      <c r="N2840" t="s">
        <v>85</v>
      </c>
      <c r="O2840" t="s">
        <v>86</v>
      </c>
      <c r="P2840" t="s">
        <v>43</v>
      </c>
      <c r="Q2840" t="s">
        <v>44</v>
      </c>
      <c r="R2840" s="1">
        <v>44338.608391203707</v>
      </c>
      <c r="S2840" s="1">
        <v>44338.619062500002</v>
      </c>
      <c r="T2840">
        <v>0</v>
      </c>
      <c r="U2840">
        <v>2</v>
      </c>
      <c r="V2840" s="2">
        <v>0</v>
      </c>
      <c r="W2840">
        <v>0</v>
      </c>
      <c r="X2840" t="s">
        <v>44</v>
      </c>
      <c r="Y2840">
        <v>0</v>
      </c>
      <c r="Z2840" t="s">
        <v>44</v>
      </c>
      <c r="AA2840">
        <v>0</v>
      </c>
      <c r="AB2840" t="s">
        <v>31</v>
      </c>
      <c r="AC2840">
        <v>0</v>
      </c>
      <c r="AD2840" t="s">
        <v>31</v>
      </c>
      <c r="AE2840">
        <v>0</v>
      </c>
      <c r="AF2840" t="s">
        <v>31</v>
      </c>
      <c r="AG2840">
        <v>0</v>
      </c>
      <c r="AH2840" t="s">
        <v>31</v>
      </c>
      <c r="AI2840">
        <v>0</v>
      </c>
      <c r="AJ2840" t="s">
        <v>31</v>
      </c>
      <c r="AK2840">
        <v>0</v>
      </c>
      <c r="AL2840" t="s">
        <v>31</v>
      </c>
      <c r="AM2840">
        <v>0</v>
      </c>
      <c r="AN2840" t="s">
        <v>31</v>
      </c>
      <c r="AO2840">
        <v>0</v>
      </c>
      <c r="AP2840" t="s">
        <v>31</v>
      </c>
      <c r="AQ2840">
        <v>0</v>
      </c>
    </row>
    <row r="2841" spans="1:43" x14ac:dyDescent="0.2">
      <c r="A2841" t="s">
        <v>381</v>
      </c>
      <c r="B2841" s="3">
        <v>44340</v>
      </c>
      <c r="C2841">
        <v>108</v>
      </c>
      <c r="D2841" t="s">
        <v>393</v>
      </c>
      <c r="E2841" t="s">
        <v>83</v>
      </c>
      <c r="F2841" s="9" t="s">
        <v>88</v>
      </c>
      <c r="G2841" t="s">
        <v>26</v>
      </c>
      <c r="H2841" t="s">
        <v>85</v>
      </c>
      <c r="I2841" t="s">
        <v>86</v>
      </c>
      <c r="J2841" t="s">
        <v>43</v>
      </c>
      <c r="K2841" t="s">
        <v>44</v>
      </c>
      <c r="L2841" t="s">
        <v>53</v>
      </c>
      <c r="M2841" t="s">
        <v>54</v>
      </c>
      <c r="N2841" t="s">
        <v>85</v>
      </c>
      <c r="O2841" t="s">
        <v>86</v>
      </c>
      <c r="P2841" t="s">
        <v>43</v>
      </c>
      <c r="Q2841" t="s">
        <v>44</v>
      </c>
      <c r="R2841" s="1">
        <v>44340.450381944444</v>
      </c>
      <c r="S2841" s="1">
        <v>44340.450682870367</v>
      </c>
      <c r="T2841">
        <v>0</v>
      </c>
      <c r="U2841">
        <v>2</v>
      </c>
      <c r="V2841" s="2">
        <v>0</v>
      </c>
      <c r="W2841">
        <v>0</v>
      </c>
      <c r="X2841" t="s">
        <v>44</v>
      </c>
      <c r="Y2841">
        <v>0</v>
      </c>
      <c r="Z2841" t="s">
        <v>44</v>
      </c>
      <c r="AA2841">
        <v>0</v>
      </c>
      <c r="AB2841" t="s">
        <v>31</v>
      </c>
      <c r="AC2841">
        <v>0</v>
      </c>
      <c r="AD2841" t="s">
        <v>31</v>
      </c>
      <c r="AE2841">
        <v>0</v>
      </c>
      <c r="AF2841" t="s">
        <v>31</v>
      </c>
      <c r="AG2841">
        <v>0</v>
      </c>
      <c r="AH2841" t="s">
        <v>31</v>
      </c>
      <c r="AI2841">
        <v>0</v>
      </c>
      <c r="AJ2841" t="s">
        <v>31</v>
      </c>
      <c r="AK2841">
        <v>0</v>
      </c>
      <c r="AL2841" t="s">
        <v>31</v>
      </c>
      <c r="AM2841">
        <v>0</v>
      </c>
      <c r="AN2841" t="s">
        <v>31</v>
      </c>
      <c r="AO2841">
        <v>0</v>
      </c>
      <c r="AP2841" t="s">
        <v>31</v>
      </c>
      <c r="AQ2841">
        <v>0</v>
      </c>
    </row>
    <row r="2842" spans="1:43" x14ac:dyDescent="0.2">
      <c r="A2842" t="s">
        <v>381</v>
      </c>
      <c r="B2842" s="3">
        <v>44341</v>
      </c>
      <c r="C2842">
        <v>111</v>
      </c>
      <c r="D2842" t="s">
        <v>385</v>
      </c>
      <c r="E2842" t="s">
        <v>83</v>
      </c>
      <c r="F2842" s="9" t="s">
        <v>88</v>
      </c>
      <c r="G2842" t="s">
        <v>26</v>
      </c>
      <c r="H2842" t="s">
        <v>85</v>
      </c>
      <c r="I2842" t="s">
        <v>86</v>
      </c>
      <c r="J2842" t="s">
        <v>43</v>
      </c>
      <c r="K2842" t="s">
        <v>44</v>
      </c>
      <c r="L2842" t="s">
        <v>53</v>
      </c>
      <c r="M2842" t="s">
        <v>54</v>
      </c>
      <c r="N2842" t="s">
        <v>85</v>
      </c>
      <c r="O2842" t="s">
        <v>86</v>
      </c>
      <c r="P2842" t="s">
        <v>43</v>
      </c>
      <c r="Q2842" t="s">
        <v>44</v>
      </c>
      <c r="R2842" s="1">
        <v>44341.644259259258</v>
      </c>
      <c r="S2842" s="1">
        <v>44341.644270833334</v>
      </c>
      <c r="T2842">
        <v>0</v>
      </c>
      <c r="U2842">
        <v>3</v>
      </c>
      <c r="V2842" s="2">
        <v>0</v>
      </c>
      <c r="W2842">
        <v>0</v>
      </c>
      <c r="X2842" t="s">
        <v>44</v>
      </c>
      <c r="Y2842">
        <v>0</v>
      </c>
      <c r="Z2842" t="s">
        <v>44</v>
      </c>
      <c r="AA2842">
        <v>0</v>
      </c>
      <c r="AB2842" t="s">
        <v>44</v>
      </c>
      <c r="AC2842">
        <v>0</v>
      </c>
      <c r="AD2842" t="s">
        <v>31</v>
      </c>
      <c r="AE2842">
        <v>0</v>
      </c>
      <c r="AF2842" t="s">
        <v>31</v>
      </c>
      <c r="AG2842">
        <v>0</v>
      </c>
      <c r="AH2842" t="s">
        <v>31</v>
      </c>
      <c r="AI2842">
        <v>0</v>
      </c>
      <c r="AJ2842" t="s">
        <v>31</v>
      </c>
      <c r="AK2842">
        <v>0</v>
      </c>
      <c r="AL2842" t="s">
        <v>31</v>
      </c>
      <c r="AM2842">
        <v>0</v>
      </c>
      <c r="AN2842" t="s">
        <v>31</v>
      </c>
      <c r="AO2842">
        <v>0</v>
      </c>
      <c r="AP2842" t="s">
        <v>31</v>
      </c>
      <c r="AQ2842">
        <v>0</v>
      </c>
    </row>
    <row r="2843" spans="1:43" x14ac:dyDescent="0.2">
      <c r="A2843" t="s">
        <v>381</v>
      </c>
      <c r="B2843" s="3">
        <v>44342</v>
      </c>
      <c r="C2843">
        <v>112</v>
      </c>
      <c r="D2843" t="s">
        <v>394</v>
      </c>
      <c r="E2843" t="s">
        <v>83</v>
      </c>
      <c r="F2843" s="9" t="s">
        <v>88</v>
      </c>
      <c r="G2843" t="s">
        <v>26</v>
      </c>
      <c r="H2843" t="s">
        <v>85</v>
      </c>
      <c r="I2843" t="s">
        <v>86</v>
      </c>
      <c r="J2843" t="s">
        <v>43</v>
      </c>
      <c r="K2843" t="s">
        <v>44</v>
      </c>
      <c r="L2843" t="s">
        <v>53</v>
      </c>
      <c r="M2843" t="s">
        <v>54</v>
      </c>
      <c r="N2843" t="s">
        <v>85</v>
      </c>
      <c r="O2843" t="s">
        <v>86</v>
      </c>
      <c r="P2843" t="s">
        <v>43</v>
      </c>
      <c r="Q2843" t="s">
        <v>44</v>
      </c>
      <c r="R2843" s="1">
        <v>44342.441296296296</v>
      </c>
      <c r="S2843" s="1">
        <v>44342.441296296296</v>
      </c>
      <c r="T2843">
        <v>0</v>
      </c>
      <c r="U2843">
        <v>1</v>
      </c>
      <c r="V2843" s="2">
        <v>0</v>
      </c>
      <c r="W2843">
        <v>0</v>
      </c>
      <c r="X2843" t="s">
        <v>44</v>
      </c>
      <c r="Y2843">
        <v>0</v>
      </c>
      <c r="Z2843" t="s">
        <v>31</v>
      </c>
      <c r="AA2843">
        <v>0</v>
      </c>
      <c r="AB2843" t="s">
        <v>31</v>
      </c>
      <c r="AC2843">
        <v>0</v>
      </c>
      <c r="AD2843" t="s">
        <v>31</v>
      </c>
      <c r="AE2843">
        <v>0</v>
      </c>
      <c r="AF2843" t="s">
        <v>31</v>
      </c>
      <c r="AG2843">
        <v>0</v>
      </c>
      <c r="AH2843" t="s">
        <v>31</v>
      </c>
      <c r="AI2843">
        <v>0</v>
      </c>
      <c r="AJ2843" t="s">
        <v>31</v>
      </c>
      <c r="AK2843">
        <v>0</v>
      </c>
      <c r="AL2843" t="s">
        <v>31</v>
      </c>
      <c r="AM2843">
        <v>0</v>
      </c>
      <c r="AN2843" t="s">
        <v>31</v>
      </c>
      <c r="AO2843">
        <v>0</v>
      </c>
      <c r="AP2843" t="s">
        <v>31</v>
      </c>
      <c r="AQ2843">
        <v>0</v>
      </c>
    </row>
    <row r="2844" spans="1:43" x14ac:dyDescent="0.2">
      <c r="A2844" t="s">
        <v>381</v>
      </c>
      <c r="B2844" s="3">
        <v>44344</v>
      </c>
      <c r="C2844">
        <v>116</v>
      </c>
      <c r="D2844" t="s">
        <v>390</v>
      </c>
      <c r="E2844" t="s">
        <v>83</v>
      </c>
      <c r="F2844" s="9" t="s">
        <v>88</v>
      </c>
      <c r="G2844" t="s">
        <v>26</v>
      </c>
      <c r="H2844" t="s">
        <v>85</v>
      </c>
      <c r="I2844" t="s">
        <v>86</v>
      </c>
      <c r="J2844" t="s">
        <v>43</v>
      </c>
      <c r="K2844" t="s">
        <v>44</v>
      </c>
      <c r="L2844" t="s">
        <v>53</v>
      </c>
      <c r="M2844" t="s">
        <v>54</v>
      </c>
      <c r="N2844" t="s">
        <v>85</v>
      </c>
      <c r="O2844" t="s">
        <v>86</v>
      </c>
      <c r="P2844" t="s">
        <v>43</v>
      </c>
      <c r="Q2844" t="s">
        <v>44</v>
      </c>
      <c r="R2844" s="1">
        <v>44344.431689814817</v>
      </c>
      <c r="S2844" s="1">
        <v>44344.431689814817</v>
      </c>
      <c r="T2844">
        <v>1</v>
      </c>
      <c r="U2844">
        <v>1</v>
      </c>
      <c r="V2844" s="2">
        <v>1</v>
      </c>
      <c r="W2844">
        <v>1</v>
      </c>
      <c r="X2844" t="s">
        <v>54</v>
      </c>
      <c r="Y2844">
        <v>1</v>
      </c>
      <c r="Z2844" t="s">
        <v>31</v>
      </c>
      <c r="AA2844">
        <v>0</v>
      </c>
      <c r="AB2844" t="s">
        <v>31</v>
      </c>
      <c r="AC2844">
        <v>0</v>
      </c>
      <c r="AD2844" t="s">
        <v>31</v>
      </c>
      <c r="AE2844">
        <v>0</v>
      </c>
      <c r="AF2844" t="s">
        <v>31</v>
      </c>
      <c r="AG2844">
        <v>0</v>
      </c>
      <c r="AH2844" t="s">
        <v>31</v>
      </c>
      <c r="AI2844">
        <v>0</v>
      </c>
      <c r="AJ2844" t="s">
        <v>31</v>
      </c>
      <c r="AK2844">
        <v>0</v>
      </c>
      <c r="AL2844" t="s">
        <v>31</v>
      </c>
      <c r="AM2844">
        <v>0</v>
      </c>
      <c r="AN2844" t="s">
        <v>31</v>
      </c>
      <c r="AO2844">
        <v>0</v>
      </c>
      <c r="AP2844" t="s">
        <v>31</v>
      </c>
      <c r="AQ2844">
        <v>0</v>
      </c>
    </row>
    <row r="2845" spans="1:43" x14ac:dyDescent="0.2">
      <c r="A2845" t="s">
        <v>381</v>
      </c>
      <c r="B2845" s="3">
        <v>44344</v>
      </c>
      <c r="C2845">
        <v>117</v>
      </c>
      <c r="D2845" t="s">
        <v>409</v>
      </c>
      <c r="E2845" t="s">
        <v>83</v>
      </c>
      <c r="F2845" s="9" t="s">
        <v>88</v>
      </c>
      <c r="G2845" t="s">
        <v>26</v>
      </c>
      <c r="H2845" t="s">
        <v>85</v>
      </c>
      <c r="I2845" t="s">
        <v>86</v>
      </c>
      <c r="J2845" t="s">
        <v>43</v>
      </c>
      <c r="K2845" t="s">
        <v>44</v>
      </c>
      <c r="L2845" t="s">
        <v>53</v>
      </c>
      <c r="M2845" t="s">
        <v>54</v>
      </c>
      <c r="N2845" t="s">
        <v>85</v>
      </c>
      <c r="O2845" t="s">
        <v>86</v>
      </c>
      <c r="P2845" t="s">
        <v>43</v>
      </c>
      <c r="Q2845" t="s">
        <v>44</v>
      </c>
      <c r="R2845" s="1">
        <v>44344.599259259259</v>
      </c>
      <c r="S2845" s="1">
        <v>44344.599259259259</v>
      </c>
      <c r="T2845">
        <v>0</v>
      </c>
      <c r="U2845">
        <v>1</v>
      </c>
      <c r="V2845" s="2">
        <v>0</v>
      </c>
      <c r="W2845">
        <v>0</v>
      </c>
      <c r="X2845" t="s">
        <v>44</v>
      </c>
      <c r="Y2845">
        <v>0</v>
      </c>
      <c r="Z2845" t="s">
        <v>31</v>
      </c>
      <c r="AA2845">
        <v>0</v>
      </c>
      <c r="AB2845" t="s">
        <v>31</v>
      </c>
      <c r="AC2845">
        <v>0</v>
      </c>
      <c r="AD2845" t="s">
        <v>31</v>
      </c>
      <c r="AE2845">
        <v>0</v>
      </c>
      <c r="AF2845" t="s">
        <v>31</v>
      </c>
      <c r="AG2845">
        <v>0</v>
      </c>
      <c r="AH2845" t="s">
        <v>31</v>
      </c>
      <c r="AI2845">
        <v>0</v>
      </c>
      <c r="AJ2845" t="s">
        <v>31</v>
      </c>
      <c r="AK2845">
        <v>0</v>
      </c>
      <c r="AL2845" t="s">
        <v>31</v>
      </c>
      <c r="AM2845">
        <v>0</v>
      </c>
      <c r="AN2845" t="s">
        <v>31</v>
      </c>
      <c r="AO2845">
        <v>0</v>
      </c>
      <c r="AP2845" t="s">
        <v>31</v>
      </c>
      <c r="AQ2845">
        <v>0</v>
      </c>
    </row>
    <row r="2846" spans="1:43" x14ac:dyDescent="0.2">
      <c r="A2846" t="s">
        <v>381</v>
      </c>
      <c r="B2846" s="3">
        <v>44348</v>
      </c>
      <c r="C2846">
        <v>118</v>
      </c>
      <c r="D2846" t="s">
        <v>396</v>
      </c>
      <c r="E2846" t="s">
        <v>83</v>
      </c>
      <c r="F2846" s="9" t="s">
        <v>88</v>
      </c>
      <c r="G2846" t="s">
        <v>26</v>
      </c>
      <c r="H2846" t="s">
        <v>85</v>
      </c>
      <c r="I2846" t="s">
        <v>86</v>
      </c>
      <c r="J2846" t="s">
        <v>43</v>
      </c>
      <c r="K2846" t="s">
        <v>44</v>
      </c>
      <c r="L2846" t="s">
        <v>53</v>
      </c>
      <c r="M2846" t="s">
        <v>54</v>
      </c>
      <c r="N2846" t="s">
        <v>85</v>
      </c>
      <c r="O2846" t="s">
        <v>86</v>
      </c>
      <c r="P2846" t="s">
        <v>43</v>
      </c>
      <c r="Q2846" t="s">
        <v>44</v>
      </c>
      <c r="R2846" s="1">
        <v>44348.402256944442</v>
      </c>
      <c r="S2846" s="1">
        <v>44348.402256944442</v>
      </c>
      <c r="T2846">
        <v>0</v>
      </c>
      <c r="U2846">
        <v>1</v>
      </c>
      <c r="V2846" s="2">
        <v>0</v>
      </c>
      <c r="W2846">
        <v>0</v>
      </c>
      <c r="X2846" t="s">
        <v>44</v>
      </c>
      <c r="Y2846">
        <v>0</v>
      </c>
      <c r="Z2846" t="s">
        <v>31</v>
      </c>
      <c r="AA2846">
        <v>0</v>
      </c>
      <c r="AB2846" t="s">
        <v>31</v>
      </c>
      <c r="AC2846">
        <v>0</v>
      </c>
      <c r="AD2846" t="s">
        <v>31</v>
      </c>
      <c r="AE2846">
        <v>0</v>
      </c>
      <c r="AF2846" t="s">
        <v>31</v>
      </c>
      <c r="AG2846">
        <v>0</v>
      </c>
      <c r="AH2846" t="s">
        <v>31</v>
      </c>
      <c r="AI2846">
        <v>0</v>
      </c>
      <c r="AJ2846" t="s">
        <v>31</v>
      </c>
      <c r="AK2846">
        <v>0</v>
      </c>
      <c r="AL2846" t="s">
        <v>31</v>
      </c>
      <c r="AM2846">
        <v>0</v>
      </c>
      <c r="AN2846" t="s">
        <v>31</v>
      </c>
      <c r="AO2846">
        <v>0</v>
      </c>
      <c r="AP2846" t="s">
        <v>31</v>
      </c>
      <c r="AQ2846">
        <v>0</v>
      </c>
    </row>
    <row r="2847" spans="1:43" x14ac:dyDescent="0.2">
      <c r="A2847" t="s">
        <v>381</v>
      </c>
      <c r="B2847" s="3">
        <v>44348</v>
      </c>
      <c r="C2847">
        <v>119</v>
      </c>
      <c r="D2847" t="s">
        <v>385</v>
      </c>
      <c r="E2847" t="s">
        <v>83</v>
      </c>
      <c r="F2847" s="9" t="s">
        <v>88</v>
      </c>
      <c r="G2847" t="s">
        <v>26</v>
      </c>
      <c r="H2847" t="s">
        <v>85</v>
      </c>
      <c r="I2847" t="s">
        <v>86</v>
      </c>
      <c r="J2847" t="s">
        <v>43</v>
      </c>
      <c r="K2847" t="s">
        <v>44</v>
      </c>
      <c r="L2847" t="s">
        <v>53</v>
      </c>
      <c r="M2847" t="s">
        <v>54</v>
      </c>
      <c r="N2847" t="s">
        <v>85</v>
      </c>
      <c r="O2847" t="s">
        <v>86</v>
      </c>
      <c r="P2847" t="s">
        <v>43</v>
      </c>
      <c r="Q2847" t="s">
        <v>44</v>
      </c>
      <c r="R2847" s="1">
        <v>44348.636689814812</v>
      </c>
      <c r="S2847" s="1">
        <v>44348.636689814812</v>
      </c>
      <c r="T2847">
        <v>0</v>
      </c>
      <c r="U2847">
        <v>2</v>
      </c>
      <c r="V2847" s="2">
        <v>0</v>
      </c>
      <c r="W2847">
        <v>0</v>
      </c>
      <c r="X2847" t="s">
        <v>44</v>
      </c>
      <c r="Y2847">
        <v>0</v>
      </c>
      <c r="Z2847" t="s">
        <v>44</v>
      </c>
      <c r="AA2847">
        <v>0</v>
      </c>
      <c r="AB2847" t="s">
        <v>31</v>
      </c>
      <c r="AC2847">
        <v>0</v>
      </c>
      <c r="AD2847" t="s">
        <v>31</v>
      </c>
      <c r="AE2847">
        <v>0</v>
      </c>
      <c r="AF2847" t="s">
        <v>31</v>
      </c>
      <c r="AG2847">
        <v>0</v>
      </c>
      <c r="AH2847" t="s">
        <v>31</v>
      </c>
      <c r="AI2847">
        <v>0</v>
      </c>
      <c r="AJ2847" t="s">
        <v>31</v>
      </c>
      <c r="AK2847">
        <v>0</v>
      </c>
      <c r="AL2847" t="s">
        <v>31</v>
      </c>
      <c r="AM2847">
        <v>0</v>
      </c>
      <c r="AN2847" t="s">
        <v>31</v>
      </c>
      <c r="AO2847">
        <v>0</v>
      </c>
      <c r="AP2847" t="s">
        <v>31</v>
      </c>
      <c r="AQ2847">
        <v>0</v>
      </c>
    </row>
    <row r="2848" spans="1:43" x14ac:dyDescent="0.2">
      <c r="A2848" t="s">
        <v>381</v>
      </c>
      <c r="B2848" s="3">
        <v>44349</v>
      </c>
      <c r="C2848">
        <v>121</v>
      </c>
      <c r="D2848" t="s">
        <v>385</v>
      </c>
      <c r="E2848" t="s">
        <v>83</v>
      </c>
      <c r="F2848" s="9" t="s">
        <v>88</v>
      </c>
      <c r="G2848" t="s">
        <v>26</v>
      </c>
      <c r="H2848" t="s">
        <v>85</v>
      </c>
      <c r="I2848" t="s">
        <v>86</v>
      </c>
      <c r="J2848" t="s">
        <v>43</v>
      </c>
      <c r="K2848" t="s">
        <v>44</v>
      </c>
      <c r="L2848" t="s">
        <v>53</v>
      </c>
      <c r="M2848" t="s">
        <v>54</v>
      </c>
      <c r="N2848" t="s">
        <v>85</v>
      </c>
      <c r="O2848" t="s">
        <v>86</v>
      </c>
      <c r="P2848" t="s">
        <v>43</v>
      </c>
      <c r="Q2848" t="s">
        <v>44</v>
      </c>
      <c r="R2848" s="1">
        <v>44349.572083333333</v>
      </c>
      <c r="S2848" s="1">
        <v>44349.572083333333</v>
      </c>
      <c r="T2848">
        <v>0</v>
      </c>
      <c r="U2848">
        <v>2</v>
      </c>
      <c r="V2848" s="2">
        <v>0</v>
      </c>
      <c r="W2848">
        <v>0</v>
      </c>
      <c r="X2848" t="s">
        <v>44</v>
      </c>
      <c r="Y2848">
        <v>0</v>
      </c>
      <c r="Z2848" t="s">
        <v>44</v>
      </c>
      <c r="AA2848">
        <v>0</v>
      </c>
      <c r="AB2848" t="s">
        <v>31</v>
      </c>
      <c r="AC2848">
        <v>0</v>
      </c>
      <c r="AD2848" t="s">
        <v>31</v>
      </c>
      <c r="AE2848">
        <v>0</v>
      </c>
      <c r="AF2848" t="s">
        <v>31</v>
      </c>
      <c r="AG2848">
        <v>0</v>
      </c>
      <c r="AH2848" t="s">
        <v>31</v>
      </c>
      <c r="AI2848">
        <v>0</v>
      </c>
      <c r="AJ2848" t="s">
        <v>31</v>
      </c>
      <c r="AK2848">
        <v>0</v>
      </c>
      <c r="AL2848" t="s">
        <v>31</v>
      </c>
      <c r="AM2848">
        <v>0</v>
      </c>
      <c r="AN2848" t="s">
        <v>31</v>
      </c>
      <c r="AO2848">
        <v>0</v>
      </c>
      <c r="AP2848" t="s">
        <v>31</v>
      </c>
      <c r="AQ2848">
        <v>0</v>
      </c>
    </row>
    <row r="2849" spans="1:43" x14ac:dyDescent="0.2">
      <c r="A2849" t="s">
        <v>381</v>
      </c>
      <c r="B2849" s="3">
        <v>44350</v>
      </c>
      <c r="C2849">
        <v>123</v>
      </c>
      <c r="D2849" t="s">
        <v>382</v>
      </c>
      <c r="E2849" t="s">
        <v>83</v>
      </c>
      <c r="F2849" s="9" t="s">
        <v>88</v>
      </c>
      <c r="G2849" t="s">
        <v>26</v>
      </c>
      <c r="H2849" t="s">
        <v>85</v>
      </c>
      <c r="I2849" t="s">
        <v>86</v>
      </c>
      <c r="J2849" t="s">
        <v>43</v>
      </c>
      <c r="K2849" t="s">
        <v>44</v>
      </c>
      <c r="L2849" t="s">
        <v>53</v>
      </c>
      <c r="M2849" t="s">
        <v>54</v>
      </c>
      <c r="N2849" t="s">
        <v>85</v>
      </c>
      <c r="O2849" t="s">
        <v>86</v>
      </c>
      <c r="P2849" t="s">
        <v>43</v>
      </c>
      <c r="Q2849" t="s">
        <v>44</v>
      </c>
      <c r="R2849" s="1">
        <v>44350.400659722225</v>
      </c>
      <c r="S2849" s="1">
        <v>44350.400659722225</v>
      </c>
      <c r="T2849">
        <v>0</v>
      </c>
      <c r="U2849">
        <v>1</v>
      </c>
      <c r="V2849" s="2">
        <v>0</v>
      </c>
      <c r="W2849">
        <v>0</v>
      </c>
      <c r="X2849" t="s">
        <v>44</v>
      </c>
      <c r="Y2849">
        <v>0</v>
      </c>
      <c r="Z2849" t="s">
        <v>31</v>
      </c>
      <c r="AA2849">
        <v>0</v>
      </c>
      <c r="AB2849" t="s">
        <v>31</v>
      </c>
      <c r="AC2849">
        <v>0</v>
      </c>
      <c r="AD2849" t="s">
        <v>31</v>
      </c>
      <c r="AE2849">
        <v>0</v>
      </c>
      <c r="AF2849" t="s">
        <v>31</v>
      </c>
      <c r="AG2849">
        <v>0</v>
      </c>
      <c r="AH2849" t="s">
        <v>31</v>
      </c>
      <c r="AI2849">
        <v>0</v>
      </c>
      <c r="AJ2849" t="s">
        <v>31</v>
      </c>
      <c r="AK2849">
        <v>0</v>
      </c>
      <c r="AL2849" t="s">
        <v>31</v>
      </c>
      <c r="AM2849">
        <v>0</v>
      </c>
      <c r="AN2849" t="s">
        <v>31</v>
      </c>
      <c r="AO2849">
        <v>0</v>
      </c>
      <c r="AP2849" t="s">
        <v>31</v>
      </c>
      <c r="AQ2849">
        <v>0</v>
      </c>
    </row>
    <row r="2850" spans="1:43" x14ac:dyDescent="0.2">
      <c r="A2850" t="s">
        <v>381</v>
      </c>
      <c r="B2850" s="3">
        <v>44351</v>
      </c>
      <c r="C2850">
        <v>124</v>
      </c>
      <c r="D2850" t="s">
        <v>390</v>
      </c>
      <c r="E2850" t="s">
        <v>83</v>
      </c>
      <c r="F2850" s="9" t="s">
        <v>88</v>
      </c>
      <c r="G2850" t="s">
        <v>26</v>
      </c>
      <c r="H2850" t="s">
        <v>85</v>
      </c>
      <c r="I2850" t="s">
        <v>86</v>
      </c>
      <c r="J2850" t="s">
        <v>43</v>
      </c>
      <c r="K2850" t="s">
        <v>44</v>
      </c>
      <c r="L2850" t="s">
        <v>53</v>
      </c>
      <c r="M2850" t="s">
        <v>54</v>
      </c>
      <c r="N2850" t="s">
        <v>85</v>
      </c>
      <c r="O2850" t="s">
        <v>86</v>
      </c>
      <c r="P2850" t="s">
        <v>43</v>
      </c>
      <c r="Q2850" t="s">
        <v>44</v>
      </c>
      <c r="R2850" s="1">
        <v>44351.438703703701</v>
      </c>
      <c r="S2850" s="1">
        <v>44351.438703703701</v>
      </c>
      <c r="T2850">
        <v>0</v>
      </c>
      <c r="U2850">
        <v>1</v>
      </c>
      <c r="V2850" s="2">
        <v>0</v>
      </c>
      <c r="W2850">
        <v>0</v>
      </c>
      <c r="X2850" t="s">
        <v>44</v>
      </c>
      <c r="Y2850">
        <v>0</v>
      </c>
      <c r="Z2850" t="s">
        <v>31</v>
      </c>
      <c r="AA2850">
        <v>0</v>
      </c>
      <c r="AB2850" t="s">
        <v>31</v>
      </c>
      <c r="AC2850">
        <v>0</v>
      </c>
      <c r="AD2850" t="s">
        <v>31</v>
      </c>
      <c r="AE2850">
        <v>0</v>
      </c>
      <c r="AF2850" t="s">
        <v>31</v>
      </c>
      <c r="AG2850">
        <v>0</v>
      </c>
      <c r="AH2850" t="s">
        <v>31</v>
      </c>
      <c r="AI2850">
        <v>0</v>
      </c>
      <c r="AJ2850" t="s">
        <v>31</v>
      </c>
      <c r="AK2850">
        <v>0</v>
      </c>
      <c r="AL2850" t="s">
        <v>31</v>
      </c>
      <c r="AM2850">
        <v>0</v>
      </c>
      <c r="AN2850" t="s">
        <v>31</v>
      </c>
      <c r="AO2850">
        <v>0</v>
      </c>
      <c r="AP2850" t="s">
        <v>31</v>
      </c>
      <c r="AQ2850">
        <v>0</v>
      </c>
    </row>
    <row r="2851" spans="1:43" x14ac:dyDescent="0.2">
      <c r="A2851" t="s">
        <v>381</v>
      </c>
      <c r="B2851" s="3">
        <v>44351</v>
      </c>
      <c r="C2851">
        <v>125</v>
      </c>
      <c r="D2851" t="s">
        <v>387</v>
      </c>
      <c r="E2851" t="s">
        <v>83</v>
      </c>
      <c r="F2851" s="9" t="s">
        <v>88</v>
      </c>
      <c r="G2851" t="s">
        <v>26</v>
      </c>
      <c r="H2851" t="s">
        <v>85</v>
      </c>
      <c r="I2851" t="s">
        <v>86</v>
      </c>
      <c r="J2851" t="s">
        <v>43</v>
      </c>
      <c r="K2851" t="s">
        <v>44</v>
      </c>
      <c r="L2851" t="s">
        <v>53</v>
      </c>
      <c r="M2851" t="s">
        <v>54</v>
      </c>
      <c r="N2851" t="s">
        <v>85</v>
      </c>
      <c r="O2851" t="s">
        <v>86</v>
      </c>
      <c r="P2851" t="s">
        <v>43</v>
      </c>
      <c r="Q2851" t="s">
        <v>44</v>
      </c>
      <c r="R2851" s="1">
        <v>44351.586967592593</v>
      </c>
      <c r="S2851" s="1">
        <v>44351.586967592593</v>
      </c>
      <c r="T2851">
        <v>0</v>
      </c>
      <c r="U2851">
        <v>1</v>
      </c>
      <c r="V2851" s="2">
        <v>0</v>
      </c>
      <c r="W2851">
        <v>0</v>
      </c>
      <c r="X2851" t="s">
        <v>44</v>
      </c>
      <c r="Y2851">
        <v>0</v>
      </c>
      <c r="Z2851" t="s">
        <v>31</v>
      </c>
      <c r="AA2851">
        <v>0</v>
      </c>
      <c r="AB2851" t="s">
        <v>31</v>
      </c>
      <c r="AC2851">
        <v>0</v>
      </c>
      <c r="AD2851" t="s">
        <v>31</v>
      </c>
      <c r="AE2851">
        <v>0</v>
      </c>
      <c r="AF2851" t="s">
        <v>31</v>
      </c>
      <c r="AG2851">
        <v>0</v>
      </c>
      <c r="AH2851" t="s">
        <v>31</v>
      </c>
      <c r="AI2851">
        <v>0</v>
      </c>
      <c r="AJ2851" t="s">
        <v>31</v>
      </c>
      <c r="AK2851">
        <v>0</v>
      </c>
      <c r="AL2851" t="s">
        <v>31</v>
      </c>
      <c r="AM2851">
        <v>0</v>
      </c>
      <c r="AN2851" t="s">
        <v>31</v>
      </c>
      <c r="AO2851">
        <v>0</v>
      </c>
      <c r="AP2851" t="s">
        <v>31</v>
      </c>
      <c r="AQ2851">
        <v>0</v>
      </c>
    </row>
    <row r="2852" spans="1:43" x14ac:dyDescent="0.2">
      <c r="A2852" t="s">
        <v>381</v>
      </c>
      <c r="B2852" s="3">
        <v>44354</v>
      </c>
      <c r="C2852">
        <v>127</v>
      </c>
      <c r="D2852" t="s">
        <v>383</v>
      </c>
      <c r="E2852" t="s">
        <v>83</v>
      </c>
      <c r="F2852" s="9" t="s">
        <v>88</v>
      </c>
      <c r="G2852" t="s">
        <v>26</v>
      </c>
      <c r="H2852" t="s">
        <v>85</v>
      </c>
      <c r="I2852" t="s">
        <v>86</v>
      </c>
      <c r="J2852" t="s">
        <v>43</v>
      </c>
      <c r="K2852" t="s">
        <v>44</v>
      </c>
      <c r="L2852" t="s">
        <v>53</v>
      </c>
      <c r="M2852" t="s">
        <v>54</v>
      </c>
      <c r="N2852" t="s">
        <v>85</v>
      </c>
      <c r="O2852" t="s">
        <v>86</v>
      </c>
      <c r="P2852" t="s">
        <v>43</v>
      </c>
      <c r="Q2852" t="s">
        <v>44</v>
      </c>
      <c r="R2852" s="1">
        <v>44354.638495370367</v>
      </c>
      <c r="S2852" s="1">
        <v>44354.638495370367</v>
      </c>
      <c r="T2852">
        <v>0</v>
      </c>
      <c r="U2852">
        <v>1</v>
      </c>
      <c r="V2852" s="2">
        <v>0</v>
      </c>
      <c r="W2852">
        <v>0</v>
      </c>
      <c r="X2852" t="s">
        <v>44</v>
      </c>
      <c r="Y2852">
        <v>0</v>
      </c>
      <c r="Z2852" t="s">
        <v>31</v>
      </c>
      <c r="AA2852">
        <v>0</v>
      </c>
      <c r="AB2852" t="s">
        <v>31</v>
      </c>
      <c r="AC2852">
        <v>0</v>
      </c>
      <c r="AD2852" t="s">
        <v>31</v>
      </c>
      <c r="AE2852">
        <v>0</v>
      </c>
      <c r="AF2852" t="s">
        <v>31</v>
      </c>
      <c r="AG2852">
        <v>0</v>
      </c>
      <c r="AH2852" t="s">
        <v>31</v>
      </c>
      <c r="AI2852">
        <v>0</v>
      </c>
      <c r="AJ2852" t="s">
        <v>31</v>
      </c>
      <c r="AK2852">
        <v>0</v>
      </c>
      <c r="AL2852" t="s">
        <v>31</v>
      </c>
      <c r="AM2852">
        <v>0</v>
      </c>
      <c r="AN2852" t="s">
        <v>31</v>
      </c>
      <c r="AO2852">
        <v>0</v>
      </c>
      <c r="AP2852" t="s">
        <v>31</v>
      </c>
      <c r="AQ2852">
        <v>0</v>
      </c>
    </row>
    <row r="2853" spans="1:43" x14ac:dyDescent="0.2">
      <c r="A2853" t="s">
        <v>381</v>
      </c>
      <c r="B2853" s="3">
        <v>44355</v>
      </c>
      <c r="C2853">
        <v>128</v>
      </c>
      <c r="D2853" t="s">
        <v>406</v>
      </c>
      <c r="E2853" t="s">
        <v>83</v>
      </c>
      <c r="F2853" s="9" t="s">
        <v>88</v>
      </c>
      <c r="G2853" t="s">
        <v>26</v>
      </c>
      <c r="H2853" t="s">
        <v>85</v>
      </c>
      <c r="I2853" t="s">
        <v>86</v>
      </c>
      <c r="J2853" t="s">
        <v>43</v>
      </c>
      <c r="K2853" t="s">
        <v>44</v>
      </c>
      <c r="L2853" t="s">
        <v>53</v>
      </c>
      <c r="M2853" t="s">
        <v>54</v>
      </c>
      <c r="N2853" t="s">
        <v>85</v>
      </c>
      <c r="O2853" t="s">
        <v>86</v>
      </c>
      <c r="P2853" t="s">
        <v>43</v>
      </c>
      <c r="Q2853" t="s">
        <v>44</v>
      </c>
      <c r="R2853" s="1">
        <v>44355.481192129628</v>
      </c>
      <c r="S2853" s="1">
        <v>44355.481192129628</v>
      </c>
      <c r="T2853">
        <v>0</v>
      </c>
      <c r="U2853">
        <v>1</v>
      </c>
      <c r="V2853" s="2">
        <v>0</v>
      </c>
      <c r="W2853">
        <v>0</v>
      </c>
      <c r="X2853" t="s">
        <v>44</v>
      </c>
      <c r="Y2853">
        <v>0</v>
      </c>
      <c r="Z2853" t="s">
        <v>31</v>
      </c>
      <c r="AA2853">
        <v>0</v>
      </c>
      <c r="AB2853" t="s">
        <v>31</v>
      </c>
      <c r="AC2853">
        <v>0</v>
      </c>
      <c r="AD2853" t="s">
        <v>31</v>
      </c>
      <c r="AE2853">
        <v>0</v>
      </c>
      <c r="AF2853" t="s">
        <v>31</v>
      </c>
      <c r="AG2853">
        <v>0</v>
      </c>
      <c r="AH2853" t="s">
        <v>31</v>
      </c>
      <c r="AI2853">
        <v>0</v>
      </c>
      <c r="AJ2853" t="s">
        <v>31</v>
      </c>
      <c r="AK2853">
        <v>0</v>
      </c>
      <c r="AL2853" t="s">
        <v>31</v>
      </c>
      <c r="AM2853">
        <v>0</v>
      </c>
      <c r="AN2853" t="s">
        <v>31</v>
      </c>
      <c r="AO2853">
        <v>0</v>
      </c>
      <c r="AP2853" t="s">
        <v>31</v>
      </c>
      <c r="AQ2853">
        <v>0</v>
      </c>
    </row>
    <row r="2854" spans="1:43" x14ac:dyDescent="0.2">
      <c r="A2854" t="s">
        <v>381</v>
      </c>
      <c r="B2854" s="3">
        <v>44355</v>
      </c>
      <c r="C2854">
        <v>129</v>
      </c>
      <c r="D2854" t="s">
        <v>385</v>
      </c>
      <c r="E2854" t="s">
        <v>83</v>
      </c>
      <c r="F2854" s="9" t="s">
        <v>88</v>
      </c>
      <c r="G2854" t="s">
        <v>26</v>
      </c>
      <c r="H2854" t="s">
        <v>85</v>
      </c>
      <c r="I2854" t="s">
        <v>86</v>
      </c>
      <c r="J2854" t="s">
        <v>43</v>
      </c>
      <c r="K2854" t="s">
        <v>44</v>
      </c>
      <c r="L2854" t="s">
        <v>53</v>
      </c>
      <c r="M2854" t="s">
        <v>54</v>
      </c>
      <c r="N2854" t="s">
        <v>85</v>
      </c>
      <c r="O2854" t="s">
        <v>86</v>
      </c>
      <c r="P2854" t="s">
        <v>43</v>
      </c>
      <c r="Q2854" t="s">
        <v>44</v>
      </c>
      <c r="R2854" s="1">
        <v>44355.545416666668</v>
      </c>
      <c r="S2854" s="1">
        <v>44355.555486111109</v>
      </c>
      <c r="T2854">
        <v>0</v>
      </c>
      <c r="U2854">
        <v>3</v>
      </c>
      <c r="V2854" s="2">
        <v>0</v>
      </c>
      <c r="W2854">
        <v>0</v>
      </c>
      <c r="X2854" t="s">
        <v>44</v>
      </c>
      <c r="Y2854">
        <v>0</v>
      </c>
      <c r="Z2854" t="s">
        <v>44</v>
      </c>
      <c r="AA2854">
        <v>0</v>
      </c>
      <c r="AB2854" t="s">
        <v>44</v>
      </c>
      <c r="AC2854">
        <v>0</v>
      </c>
      <c r="AD2854" t="s">
        <v>31</v>
      </c>
      <c r="AE2854">
        <v>0</v>
      </c>
      <c r="AF2854" t="s">
        <v>31</v>
      </c>
      <c r="AG2854">
        <v>0</v>
      </c>
      <c r="AH2854" t="s">
        <v>31</v>
      </c>
      <c r="AI2854">
        <v>0</v>
      </c>
      <c r="AJ2854" t="s">
        <v>31</v>
      </c>
      <c r="AK2854">
        <v>0</v>
      </c>
      <c r="AL2854" t="s">
        <v>31</v>
      </c>
      <c r="AM2854">
        <v>0</v>
      </c>
      <c r="AN2854" t="s">
        <v>31</v>
      </c>
      <c r="AO2854">
        <v>0</v>
      </c>
      <c r="AP2854" t="s">
        <v>31</v>
      </c>
      <c r="AQ2854">
        <v>0</v>
      </c>
    </row>
    <row r="2855" spans="1:43" x14ac:dyDescent="0.2">
      <c r="A2855" t="s">
        <v>381</v>
      </c>
      <c r="B2855" s="3">
        <v>44356</v>
      </c>
      <c r="C2855">
        <v>130</v>
      </c>
      <c r="D2855" t="s">
        <v>398</v>
      </c>
      <c r="E2855" t="s">
        <v>83</v>
      </c>
      <c r="F2855" s="9" t="s">
        <v>88</v>
      </c>
      <c r="G2855" t="s">
        <v>26</v>
      </c>
      <c r="H2855" t="s">
        <v>85</v>
      </c>
      <c r="I2855" t="s">
        <v>86</v>
      </c>
      <c r="J2855" t="s">
        <v>43</v>
      </c>
      <c r="K2855" t="s">
        <v>44</v>
      </c>
      <c r="L2855" t="s">
        <v>53</v>
      </c>
      <c r="M2855" t="s">
        <v>54</v>
      </c>
      <c r="N2855" t="s">
        <v>85</v>
      </c>
      <c r="O2855" t="s">
        <v>86</v>
      </c>
      <c r="P2855" t="s">
        <v>43</v>
      </c>
      <c r="Q2855" t="s">
        <v>44</v>
      </c>
      <c r="R2855" s="1">
        <v>44356.405694444446</v>
      </c>
      <c r="S2855" s="1">
        <v>44356.405694444446</v>
      </c>
      <c r="T2855">
        <v>0</v>
      </c>
      <c r="U2855">
        <v>1</v>
      </c>
      <c r="V2855" s="2">
        <v>0</v>
      </c>
      <c r="W2855">
        <v>0</v>
      </c>
      <c r="X2855" t="s">
        <v>44</v>
      </c>
      <c r="Y2855">
        <v>0</v>
      </c>
      <c r="Z2855" t="s">
        <v>31</v>
      </c>
      <c r="AA2855">
        <v>0</v>
      </c>
      <c r="AB2855" t="s">
        <v>31</v>
      </c>
      <c r="AC2855">
        <v>0</v>
      </c>
      <c r="AD2855" t="s">
        <v>31</v>
      </c>
      <c r="AE2855">
        <v>0</v>
      </c>
      <c r="AF2855" t="s">
        <v>31</v>
      </c>
      <c r="AG2855">
        <v>0</v>
      </c>
      <c r="AH2855" t="s">
        <v>31</v>
      </c>
      <c r="AI2855">
        <v>0</v>
      </c>
      <c r="AJ2855" t="s">
        <v>31</v>
      </c>
      <c r="AK2855">
        <v>0</v>
      </c>
      <c r="AL2855" t="s">
        <v>31</v>
      </c>
      <c r="AM2855">
        <v>0</v>
      </c>
      <c r="AN2855" t="s">
        <v>31</v>
      </c>
      <c r="AO2855">
        <v>0</v>
      </c>
      <c r="AP2855" t="s">
        <v>31</v>
      </c>
      <c r="AQ2855">
        <v>0</v>
      </c>
    </row>
    <row r="2856" spans="1:43" x14ac:dyDescent="0.2">
      <c r="A2856" t="s">
        <v>381</v>
      </c>
      <c r="B2856" s="3">
        <v>44356</v>
      </c>
      <c r="C2856">
        <v>131</v>
      </c>
      <c r="D2856" t="s">
        <v>383</v>
      </c>
      <c r="E2856" t="s">
        <v>83</v>
      </c>
      <c r="F2856" s="9" t="s">
        <v>88</v>
      </c>
      <c r="G2856" t="s">
        <v>26</v>
      </c>
      <c r="H2856" t="s">
        <v>85</v>
      </c>
      <c r="I2856" t="s">
        <v>86</v>
      </c>
      <c r="J2856" t="s">
        <v>43</v>
      </c>
      <c r="K2856" t="s">
        <v>44</v>
      </c>
      <c r="L2856" t="s">
        <v>53</v>
      </c>
      <c r="M2856" t="s">
        <v>54</v>
      </c>
      <c r="N2856" t="s">
        <v>85</v>
      </c>
      <c r="O2856" t="s">
        <v>86</v>
      </c>
      <c r="P2856" t="s">
        <v>43</v>
      </c>
      <c r="Q2856" t="s">
        <v>44</v>
      </c>
      <c r="R2856" s="1">
        <v>44356.629861111112</v>
      </c>
      <c r="S2856" s="1">
        <v>44356.649976851855</v>
      </c>
      <c r="T2856">
        <v>1</v>
      </c>
      <c r="U2856">
        <v>2</v>
      </c>
      <c r="V2856" s="2">
        <v>0.5</v>
      </c>
      <c r="W2856">
        <v>1</v>
      </c>
      <c r="X2856" t="s">
        <v>44</v>
      </c>
      <c r="Y2856">
        <v>0</v>
      </c>
      <c r="Z2856" t="s">
        <v>54</v>
      </c>
      <c r="AA2856">
        <v>1</v>
      </c>
      <c r="AB2856" t="s">
        <v>31</v>
      </c>
      <c r="AC2856">
        <v>0</v>
      </c>
      <c r="AD2856" t="s">
        <v>31</v>
      </c>
      <c r="AE2856">
        <v>0</v>
      </c>
      <c r="AF2856" t="s">
        <v>31</v>
      </c>
      <c r="AG2856">
        <v>0</v>
      </c>
      <c r="AH2856" t="s">
        <v>31</v>
      </c>
      <c r="AI2856">
        <v>0</v>
      </c>
      <c r="AJ2856" t="s">
        <v>31</v>
      </c>
      <c r="AK2856">
        <v>0</v>
      </c>
      <c r="AL2856" t="s">
        <v>31</v>
      </c>
      <c r="AM2856">
        <v>0</v>
      </c>
      <c r="AN2856" t="s">
        <v>31</v>
      </c>
      <c r="AO2856">
        <v>0</v>
      </c>
      <c r="AP2856" t="s">
        <v>31</v>
      </c>
      <c r="AQ2856">
        <v>0</v>
      </c>
    </row>
    <row r="2857" spans="1:43" x14ac:dyDescent="0.2">
      <c r="A2857" t="s">
        <v>381</v>
      </c>
      <c r="B2857" s="3">
        <v>44357</v>
      </c>
      <c r="C2857">
        <v>132</v>
      </c>
      <c r="D2857" t="s">
        <v>399</v>
      </c>
      <c r="E2857" t="s">
        <v>83</v>
      </c>
      <c r="F2857" s="9" t="s">
        <v>88</v>
      </c>
      <c r="G2857" t="s">
        <v>26</v>
      </c>
      <c r="H2857" t="s">
        <v>85</v>
      </c>
      <c r="I2857" t="s">
        <v>86</v>
      </c>
      <c r="J2857" t="s">
        <v>43</v>
      </c>
      <c r="K2857" t="s">
        <v>44</v>
      </c>
      <c r="L2857" t="s">
        <v>53</v>
      </c>
      <c r="M2857" t="s">
        <v>54</v>
      </c>
      <c r="N2857" t="s">
        <v>85</v>
      </c>
      <c r="O2857" t="s">
        <v>86</v>
      </c>
      <c r="P2857" t="s">
        <v>43</v>
      </c>
      <c r="Q2857" t="s">
        <v>44</v>
      </c>
      <c r="R2857" s="1">
        <v>44357.404606481483</v>
      </c>
      <c r="S2857" s="1">
        <v>44357.404606481483</v>
      </c>
      <c r="T2857">
        <v>0</v>
      </c>
      <c r="U2857">
        <v>1</v>
      </c>
      <c r="V2857" s="2">
        <v>0</v>
      </c>
      <c r="W2857">
        <v>0</v>
      </c>
      <c r="X2857" t="s">
        <v>44</v>
      </c>
      <c r="Y2857">
        <v>0</v>
      </c>
      <c r="Z2857" t="s">
        <v>31</v>
      </c>
      <c r="AA2857">
        <v>0</v>
      </c>
      <c r="AB2857" t="s">
        <v>31</v>
      </c>
      <c r="AC2857">
        <v>0</v>
      </c>
      <c r="AD2857" t="s">
        <v>31</v>
      </c>
      <c r="AE2857">
        <v>0</v>
      </c>
      <c r="AF2857" t="s">
        <v>31</v>
      </c>
      <c r="AG2857">
        <v>0</v>
      </c>
      <c r="AH2857" t="s">
        <v>31</v>
      </c>
      <c r="AI2857">
        <v>0</v>
      </c>
      <c r="AJ2857" t="s">
        <v>31</v>
      </c>
      <c r="AK2857">
        <v>0</v>
      </c>
      <c r="AL2857" t="s">
        <v>31</v>
      </c>
      <c r="AM2857">
        <v>0</v>
      </c>
      <c r="AN2857" t="s">
        <v>31</v>
      </c>
      <c r="AO2857">
        <v>0</v>
      </c>
      <c r="AP2857" t="s">
        <v>31</v>
      </c>
      <c r="AQ2857">
        <v>0</v>
      </c>
    </row>
    <row r="2858" spans="1:43" x14ac:dyDescent="0.2">
      <c r="A2858" t="s">
        <v>381</v>
      </c>
      <c r="B2858" s="3">
        <v>44358</v>
      </c>
      <c r="C2858">
        <v>133</v>
      </c>
      <c r="D2858" t="s">
        <v>390</v>
      </c>
      <c r="E2858" t="s">
        <v>83</v>
      </c>
      <c r="F2858" s="9" t="s">
        <v>88</v>
      </c>
      <c r="G2858" t="s">
        <v>26</v>
      </c>
      <c r="H2858" t="s">
        <v>85</v>
      </c>
      <c r="I2858" t="s">
        <v>86</v>
      </c>
      <c r="J2858" t="s">
        <v>43</v>
      </c>
      <c r="K2858" t="s">
        <v>44</v>
      </c>
      <c r="L2858" t="s">
        <v>53</v>
      </c>
      <c r="M2858" t="s">
        <v>54</v>
      </c>
      <c r="N2858" t="s">
        <v>85</v>
      </c>
      <c r="O2858" t="s">
        <v>86</v>
      </c>
      <c r="P2858" t="s">
        <v>43</v>
      </c>
      <c r="Q2858" t="s">
        <v>44</v>
      </c>
      <c r="R2858" s="1">
        <v>44358.462789351855</v>
      </c>
      <c r="S2858" s="1">
        <v>44358.462789351855</v>
      </c>
      <c r="T2858">
        <v>0</v>
      </c>
      <c r="U2858">
        <v>1</v>
      </c>
      <c r="V2858" s="2">
        <v>0</v>
      </c>
      <c r="W2858">
        <v>0</v>
      </c>
      <c r="X2858" t="s">
        <v>44</v>
      </c>
      <c r="Y2858">
        <v>0</v>
      </c>
      <c r="Z2858" t="s">
        <v>31</v>
      </c>
      <c r="AA2858">
        <v>0</v>
      </c>
      <c r="AB2858" t="s">
        <v>31</v>
      </c>
      <c r="AC2858">
        <v>0</v>
      </c>
      <c r="AD2858" t="s">
        <v>31</v>
      </c>
      <c r="AE2858">
        <v>0</v>
      </c>
      <c r="AF2858" t="s">
        <v>31</v>
      </c>
      <c r="AG2858">
        <v>0</v>
      </c>
      <c r="AH2858" t="s">
        <v>31</v>
      </c>
      <c r="AI2858">
        <v>0</v>
      </c>
      <c r="AJ2858" t="s">
        <v>31</v>
      </c>
      <c r="AK2858">
        <v>0</v>
      </c>
      <c r="AL2858" t="s">
        <v>31</v>
      </c>
      <c r="AM2858">
        <v>0</v>
      </c>
      <c r="AN2858" t="s">
        <v>31</v>
      </c>
      <c r="AO2858">
        <v>0</v>
      </c>
      <c r="AP2858" t="s">
        <v>31</v>
      </c>
      <c r="AQ2858">
        <v>0</v>
      </c>
    </row>
    <row r="2859" spans="1:43" x14ac:dyDescent="0.2">
      <c r="A2859" t="s">
        <v>381</v>
      </c>
      <c r="B2859" s="3">
        <v>44361</v>
      </c>
      <c r="C2859">
        <v>135</v>
      </c>
      <c r="D2859" t="s">
        <v>390</v>
      </c>
      <c r="E2859" t="s">
        <v>83</v>
      </c>
      <c r="F2859" s="9" t="s">
        <v>88</v>
      </c>
      <c r="G2859" t="s">
        <v>26</v>
      </c>
      <c r="H2859" t="s">
        <v>85</v>
      </c>
      <c r="I2859" t="s">
        <v>86</v>
      </c>
      <c r="J2859" t="s">
        <v>43</v>
      </c>
      <c r="K2859" t="s">
        <v>44</v>
      </c>
      <c r="L2859" t="s">
        <v>53</v>
      </c>
      <c r="M2859" t="s">
        <v>54</v>
      </c>
      <c r="N2859" t="s">
        <v>85</v>
      </c>
      <c r="O2859" t="s">
        <v>86</v>
      </c>
      <c r="P2859" t="s">
        <v>43</v>
      </c>
      <c r="Q2859" t="s">
        <v>44</v>
      </c>
      <c r="R2859" s="1">
        <v>44361.484085648146</v>
      </c>
      <c r="S2859" s="1">
        <v>44361.484085648146</v>
      </c>
      <c r="T2859">
        <v>0</v>
      </c>
      <c r="U2859">
        <v>1</v>
      </c>
      <c r="V2859" s="2">
        <v>0</v>
      </c>
      <c r="W2859">
        <v>0</v>
      </c>
      <c r="X2859" t="s">
        <v>44</v>
      </c>
      <c r="Y2859">
        <v>0</v>
      </c>
      <c r="Z2859" t="s">
        <v>31</v>
      </c>
      <c r="AA2859">
        <v>0</v>
      </c>
      <c r="AB2859" t="s">
        <v>31</v>
      </c>
      <c r="AC2859">
        <v>0</v>
      </c>
      <c r="AD2859" t="s">
        <v>31</v>
      </c>
      <c r="AE2859">
        <v>0</v>
      </c>
      <c r="AF2859" t="s">
        <v>31</v>
      </c>
      <c r="AG2859">
        <v>0</v>
      </c>
      <c r="AH2859" t="s">
        <v>31</v>
      </c>
      <c r="AI2859">
        <v>0</v>
      </c>
      <c r="AJ2859" t="s">
        <v>31</v>
      </c>
      <c r="AK2859">
        <v>0</v>
      </c>
      <c r="AL2859" t="s">
        <v>31</v>
      </c>
      <c r="AM2859">
        <v>0</v>
      </c>
      <c r="AN2859" t="s">
        <v>31</v>
      </c>
      <c r="AO2859">
        <v>0</v>
      </c>
      <c r="AP2859" t="s">
        <v>31</v>
      </c>
      <c r="AQ2859">
        <v>0</v>
      </c>
    </row>
    <row r="2860" spans="1:43" x14ac:dyDescent="0.2">
      <c r="A2860" t="s">
        <v>381</v>
      </c>
      <c r="B2860" s="3">
        <v>44361</v>
      </c>
      <c r="C2860">
        <v>136</v>
      </c>
      <c r="D2860" t="s">
        <v>383</v>
      </c>
      <c r="E2860" t="s">
        <v>83</v>
      </c>
      <c r="F2860" s="9" t="s">
        <v>88</v>
      </c>
      <c r="G2860" t="s">
        <v>26</v>
      </c>
      <c r="H2860" t="s">
        <v>85</v>
      </c>
      <c r="I2860" t="s">
        <v>86</v>
      </c>
      <c r="J2860" t="s">
        <v>43</v>
      </c>
      <c r="K2860" t="s">
        <v>44</v>
      </c>
      <c r="L2860" t="s">
        <v>53</v>
      </c>
      <c r="M2860" t="s">
        <v>54</v>
      </c>
      <c r="N2860" t="s">
        <v>85</v>
      </c>
      <c r="O2860" t="s">
        <v>86</v>
      </c>
      <c r="P2860" t="s">
        <v>43</v>
      </c>
      <c r="Q2860" t="s">
        <v>44</v>
      </c>
      <c r="R2860" s="1">
        <v>44361.567187499997</v>
      </c>
      <c r="S2860" s="1">
        <v>44361.567187499997</v>
      </c>
      <c r="T2860">
        <v>0</v>
      </c>
      <c r="U2860">
        <v>1</v>
      </c>
      <c r="V2860" s="2">
        <v>0</v>
      </c>
      <c r="W2860">
        <v>0</v>
      </c>
      <c r="X2860" t="s">
        <v>44</v>
      </c>
      <c r="Y2860">
        <v>0</v>
      </c>
      <c r="Z2860" t="s">
        <v>31</v>
      </c>
      <c r="AA2860">
        <v>0</v>
      </c>
      <c r="AB2860" t="s">
        <v>31</v>
      </c>
      <c r="AC2860">
        <v>0</v>
      </c>
      <c r="AD2860" t="s">
        <v>31</v>
      </c>
      <c r="AE2860">
        <v>0</v>
      </c>
      <c r="AF2860" t="s">
        <v>31</v>
      </c>
      <c r="AG2860">
        <v>0</v>
      </c>
      <c r="AH2860" t="s">
        <v>31</v>
      </c>
      <c r="AI2860">
        <v>0</v>
      </c>
      <c r="AJ2860" t="s">
        <v>31</v>
      </c>
      <c r="AK2860">
        <v>0</v>
      </c>
      <c r="AL2860" t="s">
        <v>31</v>
      </c>
      <c r="AM2860">
        <v>0</v>
      </c>
      <c r="AN2860" t="s">
        <v>31</v>
      </c>
      <c r="AO2860">
        <v>0</v>
      </c>
      <c r="AP2860" t="s">
        <v>31</v>
      </c>
      <c r="AQ2860">
        <v>0</v>
      </c>
    </row>
    <row r="2861" spans="1:43" x14ac:dyDescent="0.2">
      <c r="A2861" t="s">
        <v>381</v>
      </c>
      <c r="B2861" s="3">
        <v>44363</v>
      </c>
      <c r="C2861">
        <v>137</v>
      </c>
      <c r="D2861" t="s">
        <v>383</v>
      </c>
      <c r="E2861" t="s">
        <v>83</v>
      </c>
      <c r="F2861" s="9" t="s">
        <v>88</v>
      </c>
      <c r="G2861" t="s">
        <v>26</v>
      </c>
      <c r="H2861" t="s">
        <v>85</v>
      </c>
      <c r="I2861" t="s">
        <v>86</v>
      </c>
      <c r="J2861" t="s">
        <v>43</v>
      </c>
      <c r="K2861" t="s">
        <v>44</v>
      </c>
      <c r="L2861" t="s">
        <v>53</v>
      </c>
      <c r="M2861" t="s">
        <v>54</v>
      </c>
      <c r="N2861" t="s">
        <v>85</v>
      </c>
      <c r="O2861" t="s">
        <v>86</v>
      </c>
      <c r="P2861" t="s">
        <v>43</v>
      </c>
      <c r="Q2861" t="s">
        <v>44</v>
      </c>
      <c r="R2861" s="1">
        <v>44363.641331018516</v>
      </c>
      <c r="S2861" s="1">
        <v>44363.641331018516</v>
      </c>
      <c r="T2861">
        <v>1</v>
      </c>
      <c r="U2861">
        <v>1</v>
      </c>
      <c r="V2861" s="2">
        <v>1</v>
      </c>
      <c r="W2861">
        <v>1</v>
      </c>
      <c r="X2861" t="s">
        <v>54</v>
      </c>
      <c r="Y2861">
        <v>1</v>
      </c>
      <c r="Z2861" t="s">
        <v>31</v>
      </c>
      <c r="AA2861">
        <v>0</v>
      </c>
      <c r="AB2861" t="s">
        <v>31</v>
      </c>
      <c r="AC2861">
        <v>0</v>
      </c>
      <c r="AD2861" t="s">
        <v>31</v>
      </c>
      <c r="AE2861">
        <v>0</v>
      </c>
      <c r="AF2861" t="s">
        <v>31</v>
      </c>
      <c r="AG2861">
        <v>0</v>
      </c>
      <c r="AH2861" t="s">
        <v>31</v>
      </c>
      <c r="AI2861">
        <v>0</v>
      </c>
      <c r="AJ2861" t="s">
        <v>31</v>
      </c>
      <c r="AK2861">
        <v>0</v>
      </c>
      <c r="AL2861" t="s">
        <v>31</v>
      </c>
      <c r="AM2861">
        <v>0</v>
      </c>
      <c r="AN2861" t="s">
        <v>31</v>
      </c>
      <c r="AO2861">
        <v>0</v>
      </c>
      <c r="AP2861" t="s">
        <v>31</v>
      </c>
      <c r="AQ2861">
        <v>0</v>
      </c>
    </row>
    <row r="2862" spans="1:43" x14ac:dyDescent="0.2">
      <c r="A2862" t="s">
        <v>381</v>
      </c>
      <c r="B2862" s="3">
        <v>44364</v>
      </c>
      <c r="C2862">
        <v>138</v>
      </c>
      <c r="D2862" t="s">
        <v>399</v>
      </c>
      <c r="E2862" t="s">
        <v>83</v>
      </c>
      <c r="F2862" s="9" t="s">
        <v>88</v>
      </c>
      <c r="G2862" t="s">
        <v>26</v>
      </c>
      <c r="H2862" t="s">
        <v>85</v>
      </c>
      <c r="I2862" t="s">
        <v>86</v>
      </c>
      <c r="J2862" t="s">
        <v>43</v>
      </c>
      <c r="K2862" t="s">
        <v>44</v>
      </c>
      <c r="L2862" t="s">
        <v>53</v>
      </c>
      <c r="M2862" t="s">
        <v>54</v>
      </c>
      <c r="N2862" t="s">
        <v>85</v>
      </c>
      <c r="O2862" t="s">
        <v>86</v>
      </c>
      <c r="P2862" t="s">
        <v>43</v>
      </c>
      <c r="Q2862" t="s">
        <v>44</v>
      </c>
      <c r="R2862" s="1">
        <v>44364.364606481482</v>
      </c>
      <c r="S2862" s="1">
        <v>44364.46597222222</v>
      </c>
      <c r="T2862">
        <v>0</v>
      </c>
      <c r="U2862">
        <v>2</v>
      </c>
      <c r="V2862" s="2">
        <v>0</v>
      </c>
      <c r="W2862">
        <v>0</v>
      </c>
      <c r="X2862" t="s">
        <v>44</v>
      </c>
      <c r="Y2862">
        <v>0</v>
      </c>
      <c r="Z2862" t="s">
        <v>44</v>
      </c>
      <c r="AA2862">
        <v>0</v>
      </c>
      <c r="AB2862" t="s">
        <v>31</v>
      </c>
      <c r="AC2862">
        <v>0</v>
      </c>
      <c r="AD2862" t="s">
        <v>31</v>
      </c>
      <c r="AE2862">
        <v>0</v>
      </c>
      <c r="AF2862" t="s">
        <v>31</v>
      </c>
      <c r="AG2862">
        <v>0</v>
      </c>
      <c r="AH2862" t="s">
        <v>31</v>
      </c>
      <c r="AI2862">
        <v>0</v>
      </c>
      <c r="AJ2862" t="s">
        <v>31</v>
      </c>
      <c r="AK2862">
        <v>0</v>
      </c>
      <c r="AL2862" t="s">
        <v>31</v>
      </c>
      <c r="AM2862">
        <v>0</v>
      </c>
      <c r="AN2862" t="s">
        <v>31</v>
      </c>
      <c r="AO2862">
        <v>0</v>
      </c>
      <c r="AP2862" t="s">
        <v>31</v>
      </c>
      <c r="AQ2862">
        <v>0</v>
      </c>
    </row>
    <row r="2863" spans="1:43" x14ac:dyDescent="0.2">
      <c r="A2863" t="s">
        <v>381</v>
      </c>
      <c r="B2863" s="3">
        <v>44365</v>
      </c>
      <c r="C2863">
        <v>139</v>
      </c>
      <c r="D2863" t="s">
        <v>400</v>
      </c>
      <c r="E2863" t="s">
        <v>83</v>
      </c>
      <c r="F2863" s="9" t="s">
        <v>88</v>
      </c>
      <c r="G2863" t="s">
        <v>26</v>
      </c>
      <c r="H2863" t="s">
        <v>85</v>
      </c>
      <c r="I2863" t="s">
        <v>86</v>
      </c>
      <c r="J2863" t="s">
        <v>43</v>
      </c>
      <c r="K2863" t="s">
        <v>44</v>
      </c>
      <c r="L2863" t="s">
        <v>53</v>
      </c>
      <c r="M2863" t="s">
        <v>54</v>
      </c>
      <c r="N2863" t="s">
        <v>85</v>
      </c>
      <c r="O2863" t="s">
        <v>86</v>
      </c>
      <c r="P2863" t="s">
        <v>43</v>
      </c>
      <c r="Q2863" t="s">
        <v>44</v>
      </c>
      <c r="R2863" s="1">
        <v>44365.447557870371</v>
      </c>
      <c r="S2863" s="1">
        <v>44365.447557870371</v>
      </c>
      <c r="T2863">
        <v>0</v>
      </c>
      <c r="U2863">
        <v>1</v>
      </c>
      <c r="V2863" s="2">
        <v>0</v>
      </c>
      <c r="W2863">
        <v>0</v>
      </c>
      <c r="X2863" t="s">
        <v>44</v>
      </c>
      <c r="Y2863">
        <v>0</v>
      </c>
      <c r="Z2863" t="s">
        <v>31</v>
      </c>
      <c r="AA2863">
        <v>0</v>
      </c>
      <c r="AB2863" t="s">
        <v>31</v>
      </c>
      <c r="AC2863">
        <v>0</v>
      </c>
      <c r="AD2863" t="s">
        <v>31</v>
      </c>
      <c r="AE2863">
        <v>0</v>
      </c>
      <c r="AF2863" t="s">
        <v>31</v>
      </c>
      <c r="AG2863">
        <v>0</v>
      </c>
      <c r="AH2863" t="s">
        <v>31</v>
      </c>
      <c r="AI2863">
        <v>0</v>
      </c>
      <c r="AJ2863" t="s">
        <v>31</v>
      </c>
      <c r="AK2863">
        <v>0</v>
      </c>
      <c r="AL2863" t="s">
        <v>31</v>
      </c>
      <c r="AM2863">
        <v>0</v>
      </c>
      <c r="AN2863" t="s">
        <v>31</v>
      </c>
      <c r="AO2863">
        <v>0</v>
      </c>
      <c r="AP2863" t="s">
        <v>31</v>
      </c>
      <c r="AQ2863">
        <v>0</v>
      </c>
    </row>
    <row r="2864" spans="1:43" x14ac:dyDescent="0.2">
      <c r="A2864" t="s">
        <v>381</v>
      </c>
      <c r="B2864" s="3">
        <v>44365</v>
      </c>
      <c r="C2864">
        <v>140</v>
      </c>
      <c r="D2864" t="s">
        <v>399</v>
      </c>
      <c r="E2864" t="s">
        <v>83</v>
      </c>
      <c r="F2864" s="9" t="s">
        <v>88</v>
      </c>
      <c r="G2864" t="s">
        <v>26</v>
      </c>
      <c r="H2864" t="s">
        <v>85</v>
      </c>
      <c r="I2864" t="s">
        <v>86</v>
      </c>
      <c r="J2864" t="s">
        <v>43</v>
      </c>
      <c r="K2864" t="s">
        <v>44</v>
      </c>
      <c r="L2864" t="s">
        <v>53</v>
      </c>
      <c r="M2864" t="s">
        <v>54</v>
      </c>
      <c r="N2864" t="s">
        <v>85</v>
      </c>
      <c r="O2864" t="s">
        <v>86</v>
      </c>
      <c r="P2864" t="s">
        <v>43</v>
      </c>
      <c r="Q2864" t="s">
        <v>44</v>
      </c>
      <c r="R2864" s="1">
        <v>44365.545358796298</v>
      </c>
      <c r="S2864" s="1">
        <v>44365.627210648148</v>
      </c>
      <c r="T2864">
        <v>0</v>
      </c>
      <c r="U2864">
        <v>2</v>
      </c>
      <c r="V2864" s="2">
        <v>0</v>
      </c>
      <c r="W2864">
        <v>0</v>
      </c>
      <c r="X2864" t="s">
        <v>44</v>
      </c>
      <c r="Y2864">
        <v>0</v>
      </c>
      <c r="Z2864" t="s">
        <v>44</v>
      </c>
      <c r="AA2864">
        <v>0</v>
      </c>
      <c r="AB2864" t="s">
        <v>31</v>
      </c>
      <c r="AC2864">
        <v>0</v>
      </c>
      <c r="AD2864" t="s">
        <v>31</v>
      </c>
      <c r="AE2864">
        <v>0</v>
      </c>
      <c r="AF2864" t="s">
        <v>31</v>
      </c>
      <c r="AG2864">
        <v>0</v>
      </c>
      <c r="AH2864" t="s">
        <v>31</v>
      </c>
      <c r="AI2864">
        <v>0</v>
      </c>
      <c r="AJ2864" t="s">
        <v>31</v>
      </c>
      <c r="AK2864">
        <v>0</v>
      </c>
      <c r="AL2864" t="s">
        <v>31</v>
      </c>
      <c r="AM2864">
        <v>0</v>
      </c>
      <c r="AN2864" t="s">
        <v>31</v>
      </c>
      <c r="AO2864">
        <v>0</v>
      </c>
      <c r="AP2864" t="s">
        <v>31</v>
      </c>
      <c r="AQ2864">
        <v>0</v>
      </c>
    </row>
    <row r="2865" spans="1:43" x14ac:dyDescent="0.2">
      <c r="A2865" t="s">
        <v>381</v>
      </c>
      <c r="B2865" s="3">
        <v>44375</v>
      </c>
      <c r="C2865">
        <v>141</v>
      </c>
      <c r="D2865" t="s">
        <v>396</v>
      </c>
      <c r="E2865" t="s">
        <v>83</v>
      </c>
      <c r="F2865" s="9" t="s">
        <v>88</v>
      </c>
      <c r="G2865" t="s">
        <v>26</v>
      </c>
      <c r="H2865" t="s">
        <v>85</v>
      </c>
      <c r="I2865" t="s">
        <v>86</v>
      </c>
      <c r="J2865" t="s">
        <v>43</v>
      </c>
      <c r="K2865" t="s">
        <v>44</v>
      </c>
      <c r="L2865" t="s">
        <v>53</v>
      </c>
      <c r="M2865" t="s">
        <v>54</v>
      </c>
      <c r="N2865" t="s">
        <v>85</v>
      </c>
      <c r="O2865" t="s">
        <v>86</v>
      </c>
      <c r="P2865" t="s">
        <v>43</v>
      </c>
      <c r="Q2865" t="s">
        <v>44</v>
      </c>
      <c r="R2865" s="1">
        <v>44375.560543981483</v>
      </c>
      <c r="S2865" s="1">
        <v>44375.560543981483</v>
      </c>
      <c r="T2865">
        <v>0</v>
      </c>
      <c r="U2865">
        <v>1</v>
      </c>
      <c r="V2865" s="2">
        <v>0</v>
      </c>
      <c r="W2865">
        <v>0</v>
      </c>
      <c r="X2865" t="s">
        <v>44</v>
      </c>
      <c r="Y2865">
        <v>0</v>
      </c>
      <c r="Z2865" t="s">
        <v>31</v>
      </c>
      <c r="AA2865">
        <v>0</v>
      </c>
      <c r="AB2865" t="s">
        <v>31</v>
      </c>
      <c r="AC2865">
        <v>0</v>
      </c>
      <c r="AD2865" t="s">
        <v>31</v>
      </c>
      <c r="AE2865">
        <v>0</v>
      </c>
      <c r="AF2865" t="s">
        <v>31</v>
      </c>
      <c r="AG2865">
        <v>0</v>
      </c>
      <c r="AH2865" t="s">
        <v>31</v>
      </c>
      <c r="AI2865">
        <v>0</v>
      </c>
      <c r="AJ2865" t="s">
        <v>31</v>
      </c>
      <c r="AK2865">
        <v>0</v>
      </c>
      <c r="AL2865" t="s">
        <v>31</v>
      </c>
      <c r="AM2865">
        <v>0</v>
      </c>
      <c r="AN2865" t="s">
        <v>31</v>
      </c>
      <c r="AO2865">
        <v>0</v>
      </c>
      <c r="AP2865" t="s">
        <v>31</v>
      </c>
      <c r="AQ2865">
        <v>0</v>
      </c>
    </row>
    <row r="2866" spans="1:43" x14ac:dyDescent="0.2">
      <c r="A2866" t="s">
        <v>381</v>
      </c>
      <c r="B2866" s="3">
        <v>44207</v>
      </c>
      <c r="C2866">
        <v>1</v>
      </c>
      <c r="D2866" t="s">
        <v>384</v>
      </c>
      <c r="E2866" t="s">
        <v>83</v>
      </c>
      <c r="F2866" s="9" t="s">
        <v>89</v>
      </c>
      <c r="G2866" t="s">
        <v>26</v>
      </c>
      <c r="H2866" t="s">
        <v>85</v>
      </c>
      <c r="I2866" t="s">
        <v>86</v>
      </c>
      <c r="J2866" t="s">
        <v>43</v>
      </c>
      <c r="K2866" t="s">
        <v>44</v>
      </c>
      <c r="L2866" t="s">
        <v>53</v>
      </c>
      <c r="M2866" t="s">
        <v>54</v>
      </c>
      <c r="N2866" t="s">
        <v>85</v>
      </c>
      <c r="O2866" t="s">
        <v>86</v>
      </c>
      <c r="P2866" t="s">
        <v>43</v>
      </c>
      <c r="Q2866" t="s">
        <v>44</v>
      </c>
      <c r="R2866" s="1">
        <v>44207.451041666667</v>
      </c>
      <c r="S2866" s="1">
        <v>44207.451041666667</v>
      </c>
      <c r="T2866">
        <v>0</v>
      </c>
      <c r="U2866">
        <v>1</v>
      </c>
      <c r="V2866" s="2">
        <v>0</v>
      </c>
      <c r="W2866">
        <v>0</v>
      </c>
      <c r="X2866" t="s">
        <v>44</v>
      </c>
      <c r="Y2866">
        <v>0</v>
      </c>
      <c r="Z2866" t="s">
        <v>31</v>
      </c>
      <c r="AA2866">
        <v>0</v>
      </c>
      <c r="AB2866" t="s">
        <v>31</v>
      </c>
      <c r="AC2866">
        <v>0</v>
      </c>
      <c r="AD2866" t="s">
        <v>31</v>
      </c>
      <c r="AE2866">
        <v>0</v>
      </c>
      <c r="AF2866" t="s">
        <v>31</v>
      </c>
      <c r="AG2866">
        <v>0</v>
      </c>
      <c r="AH2866" t="s">
        <v>31</v>
      </c>
      <c r="AI2866">
        <v>0</v>
      </c>
      <c r="AJ2866" t="s">
        <v>31</v>
      </c>
      <c r="AK2866">
        <v>0</v>
      </c>
      <c r="AL2866" t="s">
        <v>31</v>
      </c>
      <c r="AM2866">
        <v>0</v>
      </c>
      <c r="AN2866" t="s">
        <v>31</v>
      </c>
      <c r="AO2866">
        <v>0</v>
      </c>
      <c r="AP2866" t="s">
        <v>31</v>
      </c>
      <c r="AQ2866">
        <v>0</v>
      </c>
    </row>
    <row r="2867" spans="1:43" x14ac:dyDescent="0.2">
      <c r="A2867" t="s">
        <v>381</v>
      </c>
      <c r="B2867" s="3">
        <v>44237</v>
      </c>
      <c r="C2867">
        <v>4</v>
      </c>
      <c r="D2867" t="s">
        <v>384</v>
      </c>
      <c r="E2867" t="s">
        <v>83</v>
      </c>
      <c r="F2867" s="9" t="s">
        <v>89</v>
      </c>
      <c r="G2867" t="s">
        <v>26</v>
      </c>
      <c r="H2867" t="s">
        <v>85</v>
      </c>
      <c r="I2867" t="s">
        <v>86</v>
      </c>
      <c r="J2867" t="s">
        <v>43</v>
      </c>
      <c r="K2867" t="s">
        <v>44</v>
      </c>
      <c r="L2867" t="s">
        <v>53</v>
      </c>
      <c r="M2867" t="s">
        <v>54</v>
      </c>
      <c r="N2867" t="s">
        <v>85</v>
      </c>
      <c r="O2867" t="s">
        <v>86</v>
      </c>
      <c r="P2867" t="s">
        <v>43</v>
      </c>
      <c r="Q2867" t="s">
        <v>44</v>
      </c>
      <c r="R2867" s="1">
        <v>44237.471238425926</v>
      </c>
      <c r="S2867" s="1">
        <v>44237.471238425926</v>
      </c>
      <c r="T2867">
        <v>0</v>
      </c>
      <c r="U2867">
        <v>1</v>
      </c>
      <c r="V2867" s="2">
        <v>0</v>
      </c>
      <c r="W2867">
        <v>0</v>
      </c>
      <c r="X2867" t="s">
        <v>44</v>
      </c>
      <c r="Y2867">
        <v>0</v>
      </c>
      <c r="Z2867" t="s">
        <v>31</v>
      </c>
      <c r="AA2867">
        <v>0</v>
      </c>
      <c r="AB2867" t="s">
        <v>31</v>
      </c>
      <c r="AC2867">
        <v>0</v>
      </c>
      <c r="AD2867" t="s">
        <v>31</v>
      </c>
      <c r="AE2867">
        <v>0</v>
      </c>
      <c r="AF2867" t="s">
        <v>31</v>
      </c>
      <c r="AG2867">
        <v>0</v>
      </c>
      <c r="AH2867" t="s">
        <v>31</v>
      </c>
      <c r="AI2867">
        <v>0</v>
      </c>
      <c r="AJ2867" t="s">
        <v>31</v>
      </c>
      <c r="AK2867">
        <v>0</v>
      </c>
      <c r="AL2867" t="s">
        <v>31</v>
      </c>
      <c r="AM2867">
        <v>0</v>
      </c>
      <c r="AN2867" t="s">
        <v>31</v>
      </c>
      <c r="AO2867">
        <v>0</v>
      </c>
      <c r="AP2867" t="s">
        <v>31</v>
      </c>
      <c r="AQ2867">
        <v>0</v>
      </c>
    </row>
    <row r="2868" spans="1:43" x14ac:dyDescent="0.2">
      <c r="A2868" t="s">
        <v>381</v>
      </c>
      <c r="B2868" s="3">
        <v>44242</v>
      </c>
      <c r="C2868">
        <v>8</v>
      </c>
      <c r="D2868" t="s">
        <v>384</v>
      </c>
      <c r="E2868" t="s">
        <v>83</v>
      </c>
      <c r="F2868" s="9" t="s">
        <v>89</v>
      </c>
      <c r="G2868" t="s">
        <v>26</v>
      </c>
      <c r="H2868" t="s">
        <v>85</v>
      </c>
      <c r="I2868" t="s">
        <v>86</v>
      </c>
      <c r="J2868" t="s">
        <v>43</v>
      </c>
      <c r="K2868" t="s">
        <v>44</v>
      </c>
      <c r="L2868" t="s">
        <v>53</v>
      </c>
      <c r="M2868" t="s">
        <v>54</v>
      </c>
      <c r="N2868" t="s">
        <v>85</v>
      </c>
      <c r="O2868" t="s">
        <v>86</v>
      </c>
      <c r="P2868" t="s">
        <v>43</v>
      </c>
      <c r="Q2868" t="s">
        <v>44</v>
      </c>
      <c r="R2868" s="1">
        <v>44242.385763888888</v>
      </c>
      <c r="S2868" s="1">
        <v>44242.385763888888</v>
      </c>
      <c r="T2868">
        <v>0</v>
      </c>
      <c r="U2868">
        <v>1</v>
      </c>
      <c r="V2868" s="2">
        <v>0</v>
      </c>
      <c r="W2868">
        <v>0</v>
      </c>
      <c r="X2868" t="s">
        <v>44</v>
      </c>
      <c r="Y2868">
        <v>0</v>
      </c>
      <c r="Z2868" t="s">
        <v>31</v>
      </c>
      <c r="AA2868">
        <v>0</v>
      </c>
      <c r="AB2868" t="s">
        <v>31</v>
      </c>
      <c r="AC2868">
        <v>0</v>
      </c>
      <c r="AD2868" t="s">
        <v>31</v>
      </c>
      <c r="AE2868">
        <v>0</v>
      </c>
      <c r="AF2868" t="s">
        <v>31</v>
      </c>
      <c r="AG2868">
        <v>0</v>
      </c>
      <c r="AH2868" t="s">
        <v>31</v>
      </c>
      <c r="AI2868">
        <v>0</v>
      </c>
      <c r="AJ2868" t="s">
        <v>31</v>
      </c>
      <c r="AK2868">
        <v>0</v>
      </c>
      <c r="AL2868" t="s">
        <v>31</v>
      </c>
      <c r="AM2868">
        <v>0</v>
      </c>
      <c r="AN2868" t="s">
        <v>31</v>
      </c>
      <c r="AO2868">
        <v>0</v>
      </c>
      <c r="AP2868" t="s">
        <v>31</v>
      </c>
      <c r="AQ2868">
        <v>0</v>
      </c>
    </row>
    <row r="2869" spans="1:43" x14ac:dyDescent="0.2">
      <c r="A2869" t="s">
        <v>381</v>
      </c>
      <c r="B2869" s="3">
        <v>44243</v>
      </c>
      <c r="C2869">
        <v>9</v>
      </c>
      <c r="D2869" t="s">
        <v>382</v>
      </c>
      <c r="E2869" t="s">
        <v>83</v>
      </c>
      <c r="F2869" s="9" t="s">
        <v>89</v>
      </c>
      <c r="G2869" t="s">
        <v>26</v>
      </c>
      <c r="H2869" t="s">
        <v>85</v>
      </c>
      <c r="I2869" t="s">
        <v>86</v>
      </c>
      <c r="J2869" t="s">
        <v>43</v>
      </c>
      <c r="K2869" t="s">
        <v>44</v>
      </c>
      <c r="L2869" t="s">
        <v>53</v>
      </c>
      <c r="M2869" t="s">
        <v>54</v>
      </c>
      <c r="N2869" t="s">
        <v>85</v>
      </c>
      <c r="O2869" t="s">
        <v>86</v>
      </c>
      <c r="P2869" t="s">
        <v>43</v>
      </c>
      <c r="Q2869" t="s">
        <v>44</v>
      </c>
      <c r="R2869" s="1">
        <v>44243.381874999999</v>
      </c>
      <c r="S2869" s="1">
        <v>44243.381874999999</v>
      </c>
      <c r="T2869">
        <v>0</v>
      </c>
      <c r="U2869">
        <v>1</v>
      </c>
      <c r="V2869" s="2">
        <v>0</v>
      </c>
      <c r="W2869">
        <v>0</v>
      </c>
      <c r="X2869" t="s">
        <v>44</v>
      </c>
      <c r="Y2869">
        <v>0</v>
      </c>
      <c r="Z2869" t="s">
        <v>31</v>
      </c>
      <c r="AA2869">
        <v>0</v>
      </c>
      <c r="AB2869" t="s">
        <v>31</v>
      </c>
      <c r="AC2869">
        <v>0</v>
      </c>
      <c r="AD2869" t="s">
        <v>31</v>
      </c>
      <c r="AE2869">
        <v>0</v>
      </c>
      <c r="AF2869" t="s">
        <v>31</v>
      </c>
      <c r="AG2869">
        <v>0</v>
      </c>
      <c r="AH2869" t="s">
        <v>31</v>
      </c>
      <c r="AI2869">
        <v>0</v>
      </c>
      <c r="AJ2869" t="s">
        <v>31</v>
      </c>
      <c r="AK2869">
        <v>0</v>
      </c>
      <c r="AL2869" t="s">
        <v>31</v>
      </c>
      <c r="AM2869">
        <v>0</v>
      </c>
      <c r="AN2869" t="s">
        <v>31</v>
      </c>
      <c r="AO2869">
        <v>0</v>
      </c>
      <c r="AP2869" t="s">
        <v>31</v>
      </c>
      <c r="AQ2869">
        <v>0</v>
      </c>
    </row>
    <row r="2870" spans="1:43" x14ac:dyDescent="0.2">
      <c r="A2870" t="s">
        <v>381</v>
      </c>
      <c r="B2870" s="3">
        <v>44243</v>
      </c>
      <c r="C2870">
        <v>10</v>
      </c>
      <c r="D2870" t="s">
        <v>385</v>
      </c>
      <c r="E2870" t="s">
        <v>83</v>
      </c>
      <c r="F2870" s="9" t="s">
        <v>89</v>
      </c>
      <c r="G2870" t="s">
        <v>26</v>
      </c>
      <c r="H2870" t="s">
        <v>85</v>
      </c>
      <c r="I2870" t="s">
        <v>86</v>
      </c>
      <c r="J2870" t="s">
        <v>43</v>
      </c>
      <c r="K2870" t="s">
        <v>44</v>
      </c>
      <c r="L2870" t="s">
        <v>53</v>
      </c>
      <c r="M2870" t="s">
        <v>54</v>
      </c>
      <c r="N2870" t="s">
        <v>85</v>
      </c>
      <c r="O2870" t="s">
        <v>86</v>
      </c>
      <c r="P2870" t="s">
        <v>43</v>
      </c>
      <c r="Q2870" t="s">
        <v>44</v>
      </c>
      <c r="R2870" s="1">
        <v>44243.572939814818</v>
      </c>
      <c r="S2870" s="1">
        <v>44243.572951388887</v>
      </c>
      <c r="T2870">
        <v>0</v>
      </c>
      <c r="U2870">
        <v>2</v>
      </c>
      <c r="V2870" s="2">
        <v>0</v>
      </c>
      <c r="W2870">
        <v>0</v>
      </c>
      <c r="X2870" t="s">
        <v>44</v>
      </c>
      <c r="Y2870">
        <v>0</v>
      </c>
      <c r="Z2870" t="s">
        <v>44</v>
      </c>
      <c r="AA2870">
        <v>0</v>
      </c>
      <c r="AB2870" t="s">
        <v>31</v>
      </c>
      <c r="AC2870">
        <v>0</v>
      </c>
      <c r="AD2870" t="s">
        <v>31</v>
      </c>
      <c r="AE2870">
        <v>0</v>
      </c>
      <c r="AF2870" t="s">
        <v>31</v>
      </c>
      <c r="AG2870">
        <v>0</v>
      </c>
      <c r="AH2870" t="s">
        <v>31</v>
      </c>
      <c r="AI2870">
        <v>0</v>
      </c>
      <c r="AJ2870" t="s">
        <v>31</v>
      </c>
      <c r="AK2870">
        <v>0</v>
      </c>
      <c r="AL2870" t="s">
        <v>31</v>
      </c>
      <c r="AM2870">
        <v>0</v>
      </c>
      <c r="AN2870" t="s">
        <v>31</v>
      </c>
      <c r="AO2870">
        <v>0</v>
      </c>
      <c r="AP2870" t="s">
        <v>31</v>
      </c>
      <c r="AQ2870">
        <v>0</v>
      </c>
    </row>
    <row r="2871" spans="1:43" x14ac:dyDescent="0.2">
      <c r="A2871" t="s">
        <v>381</v>
      </c>
      <c r="B2871" s="3">
        <v>44244</v>
      </c>
      <c r="C2871">
        <v>11</v>
      </c>
      <c r="D2871" t="s">
        <v>384</v>
      </c>
      <c r="E2871" t="s">
        <v>83</v>
      </c>
      <c r="F2871" s="9" t="s">
        <v>89</v>
      </c>
      <c r="G2871" t="s">
        <v>26</v>
      </c>
      <c r="H2871" t="s">
        <v>85</v>
      </c>
      <c r="I2871" t="s">
        <v>86</v>
      </c>
      <c r="J2871" t="s">
        <v>43</v>
      </c>
      <c r="K2871" t="s">
        <v>44</v>
      </c>
      <c r="L2871" t="s">
        <v>53</v>
      </c>
      <c r="M2871" t="s">
        <v>54</v>
      </c>
      <c r="N2871" t="s">
        <v>85</v>
      </c>
      <c r="O2871" t="s">
        <v>86</v>
      </c>
      <c r="P2871" t="s">
        <v>43</v>
      </c>
      <c r="Q2871" t="s">
        <v>44</v>
      </c>
      <c r="R2871" s="1">
        <v>44244.390381944446</v>
      </c>
      <c r="S2871" s="1">
        <v>44244.390381944446</v>
      </c>
      <c r="T2871">
        <v>1</v>
      </c>
      <c r="U2871">
        <v>1</v>
      </c>
      <c r="V2871" s="2">
        <v>1</v>
      </c>
      <c r="W2871">
        <v>1</v>
      </c>
      <c r="X2871" t="s">
        <v>54</v>
      </c>
      <c r="Y2871">
        <v>1</v>
      </c>
      <c r="Z2871" t="s">
        <v>31</v>
      </c>
      <c r="AA2871">
        <v>0</v>
      </c>
      <c r="AB2871" t="s">
        <v>31</v>
      </c>
      <c r="AC2871">
        <v>0</v>
      </c>
      <c r="AD2871" t="s">
        <v>31</v>
      </c>
      <c r="AE2871">
        <v>0</v>
      </c>
      <c r="AF2871" t="s">
        <v>31</v>
      </c>
      <c r="AG2871">
        <v>0</v>
      </c>
      <c r="AH2871" t="s">
        <v>31</v>
      </c>
      <c r="AI2871">
        <v>0</v>
      </c>
      <c r="AJ2871" t="s">
        <v>31</v>
      </c>
      <c r="AK2871">
        <v>0</v>
      </c>
      <c r="AL2871" t="s">
        <v>31</v>
      </c>
      <c r="AM2871">
        <v>0</v>
      </c>
      <c r="AN2871" t="s">
        <v>31</v>
      </c>
      <c r="AO2871">
        <v>0</v>
      </c>
      <c r="AP2871" t="s">
        <v>31</v>
      </c>
      <c r="AQ2871">
        <v>0</v>
      </c>
    </row>
    <row r="2872" spans="1:43" x14ac:dyDescent="0.2">
      <c r="A2872" t="s">
        <v>381</v>
      </c>
      <c r="B2872" s="3">
        <v>44245</v>
      </c>
      <c r="C2872">
        <v>12</v>
      </c>
      <c r="D2872" t="s">
        <v>382</v>
      </c>
      <c r="E2872" t="s">
        <v>83</v>
      </c>
      <c r="F2872" s="9" t="s">
        <v>89</v>
      </c>
      <c r="G2872" t="s">
        <v>26</v>
      </c>
      <c r="H2872" t="s">
        <v>85</v>
      </c>
      <c r="I2872" t="s">
        <v>86</v>
      </c>
      <c r="J2872" t="s">
        <v>43</v>
      </c>
      <c r="K2872" t="s">
        <v>44</v>
      </c>
      <c r="L2872" t="s">
        <v>53</v>
      </c>
      <c r="M2872" t="s">
        <v>54</v>
      </c>
      <c r="N2872" t="s">
        <v>85</v>
      </c>
      <c r="O2872" t="s">
        <v>86</v>
      </c>
      <c r="P2872" t="s">
        <v>43</v>
      </c>
      <c r="Q2872" t="s">
        <v>44</v>
      </c>
      <c r="R2872" s="1">
        <v>44245.391412037039</v>
      </c>
      <c r="S2872" s="1">
        <v>44245.452025462961</v>
      </c>
      <c r="T2872">
        <v>0</v>
      </c>
      <c r="U2872">
        <v>2</v>
      </c>
      <c r="V2872" s="2">
        <v>0</v>
      </c>
      <c r="W2872">
        <v>0</v>
      </c>
      <c r="X2872" t="s">
        <v>44</v>
      </c>
      <c r="Y2872">
        <v>0</v>
      </c>
      <c r="Z2872" t="s">
        <v>44</v>
      </c>
      <c r="AA2872">
        <v>0</v>
      </c>
      <c r="AB2872" t="s">
        <v>31</v>
      </c>
      <c r="AC2872">
        <v>0</v>
      </c>
      <c r="AD2872" t="s">
        <v>31</v>
      </c>
      <c r="AE2872">
        <v>0</v>
      </c>
      <c r="AF2872" t="s">
        <v>31</v>
      </c>
      <c r="AG2872">
        <v>0</v>
      </c>
      <c r="AH2872" t="s">
        <v>31</v>
      </c>
      <c r="AI2872">
        <v>0</v>
      </c>
      <c r="AJ2872" t="s">
        <v>31</v>
      </c>
      <c r="AK2872">
        <v>0</v>
      </c>
      <c r="AL2872" t="s">
        <v>31</v>
      </c>
      <c r="AM2872">
        <v>0</v>
      </c>
      <c r="AN2872" t="s">
        <v>31</v>
      </c>
      <c r="AO2872">
        <v>0</v>
      </c>
      <c r="AP2872" t="s">
        <v>31</v>
      </c>
      <c r="AQ2872">
        <v>0</v>
      </c>
    </row>
    <row r="2873" spans="1:43" x14ac:dyDescent="0.2">
      <c r="A2873" t="s">
        <v>381</v>
      </c>
      <c r="B2873" s="3">
        <v>44246</v>
      </c>
      <c r="C2873">
        <v>14</v>
      </c>
      <c r="D2873" t="s">
        <v>384</v>
      </c>
      <c r="E2873" t="s">
        <v>83</v>
      </c>
      <c r="F2873" s="9" t="s">
        <v>89</v>
      </c>
      <c r="G2873" t="s">
        <v>26</v>
      </c>
      <c r="H2873" t="s">
        <v>85</v>
      </c>
      <c r="I2873" t="s">
        <v>86</v>
      </c>
      <c r="J2873" t="s">
        <v>43</v>
      </c>
      <c r="K2873" t="s">
        <v>44</v>
      </c>
      <c r="L2873" t="s">
        <v>53</v>
      </c>
      <c r="M2873" t="s">
        <v>54</v>
      </c>
      <c r="N2873" t="s">
        <v>85</v>
      </c>
      <c r="O2873" t="s">
        <v>86</v>
      </c>
      <c r="P2873" t="s">
        <v>43</v>
      </c>
      <c r="Q2873" t="s">
        <v>44</v>
      </c>
      <c r="R2873" s="1">
        <v>44246.410671296297</v>
      </c>
      <c r="S2873" s="1">
        <v>44246.410671296297</v>
      </c>
      <c r="T2873">
        <v>0</v>
      </c>
      <c r="U2873">
        <v>1</v>
      </c>
      <c r="V2873" s="2">
        <v>0</v>
      </c>
      <c r="W2873">
        <v>0</v>
      </c>
      <c r="X2873" t="s">
        <v>44</v>
      </c>
      <c r="Y2873">
        <v>0</v>
      </c>
      <c r="Z2873" t="s">
        <v>31</v>
      </c>
      <c r="AA2873">
        <v>0</v>
      </c>
      <c r="AB2873" t="s">
        <v>31</v>
      </c>
      <c r="AC2873">
        <v>0</v>
      </c>
      <c r="AD2873" t="s">
        <v>31</v>
      </c>
      <c r="AE2873">
        <v>0</v>
      </c>
      <c r="AF2873" t="s">
        <v>31</v>
      </c>
      <c r="AG2873">
        <v>0</v>
      </c>
      <c r="AH2873" t="s">
        <v>31</v>
      </c>
      <c r="AI2873">
        <v>0</v>
      </c>
      <c r="AJ2873" t="s">
        <v>31</v>
      </c>
      <c r="AK2873">
        <v>0</v>
      </c>
      <c r="AL2873" t="s">
        <v>31</v>
      </c>
      <c r="AM2873">
        <v>0</v>
      </c>
      <c r="AN2873" t="s">
        <v>31</v>
      </c>
      <c r="AO2873">
        <v>0</v>
      </c>
      <c r="AP2873" t="s">
        <v>31</v>
      </c>
      <c r="AQ2873">
        <v>0</v>
      </c>
    </row>
    <row r="2874" spans="1:43" x14ac:dyDescent="0.2">
      <c r="A2874" t="s">
        <v>381</v>
      </c>
      <c r="B2874" s="3">
        <v>44249</v>
      </c>
      <c r="C2874">
        <v>15</v>
      </c>
      <c r="D2874" t="s">
        <v>384</v>
      </c>
      <c r="E2874" t="s">
        <v>83</v>
      </c>
      <c r="F2874" s="9" t="s">
        <v>89</v>
      </c>
      <c r="G2874" t="s">
        <v>26</v>
      </c>
      <c r="H2874" t="s">
        <v>85</v>
      </c>
      <c r="I2874" t="s">
        <v>86</v>
      </c>
      <c r="J2874" t="s">
        <v>43</v>
      </c>
      <c r="K2874" t="s">
        <v>44</v>
      </c>
      <c r="L2874" t="s">
        <v>53</v>
      </c>
      <c r="M2874" t="s">
        <v>54</v>
      </c>
      <c r="N2874" t="s">
        <v>85</v>
      </c>
      <c r="O2874" t="s">
        <v>86</v>
      </c>
      <c r="P2874" t="s">
        <v>43</v>
      </c>
      <c r="Q2874" t="s">
        <v>44</v>
      </c>
      <c r="R2874" s="1">
        <v>44249.430451388886</v>
      </c>
      <c r="S2874" s="1">
        <v>44249.430451388886</v>
      </c>
      <c r="T2874">
        <v>0</v>
      </c>
      <c r="U2874">
        <v>1</v>
      </c>
      <c r="V2874" s="2">
        <v>0</v>
      </c>
      <c r="W2874">
        <v>0</v>
      </c>
      <c r="X2874" t="s">
        <v>44</v>
      </c>
      <c r="Y2874">
        <v>0</v>
      </c>
      <c r="Z2874" t="s">
        <v>31</v>
      </c>
      <c r="AA2874">
        <v>0</v>
      </c>
      <c r="AB2874" t="s">
        <v>31</v>
      </c>
      <c r="AC2874">
        <v>0</v>
      </c>
      <c r="AD2874" t="s">
        <v>31</v>
      </c>
      <c r="AE2874">
        <v>0</v>
      </c>
      <c r="AF2874" t="s">
        <v>31</v>
      </c>
      <c r="AG2874">
        <v>0</v>
      </c>
      <c r="AH2874" t="s">
        <v>31</v>
      </c>
      <c r="AI2874">
        <v>0</v>
      </c>
      <c r="AJ2874" t="s">
        <v>31</v>
      </c>
      <c r="AK2874">
        <v>0</v>
      </c>
      <c r="AL2874" t="s">
        <v>31</v>
      </c>
      <c r="AM2874">
        <v>0</v>
      </c>
      <c r="AN2874" t="s">
        <v>31</v>
      </c>
      <c r="AO2874">
        <v>0</v>
      </c>
      <c r="AP2874" t="s">
        <v>31</v>
      </c>
      <c r="AQ2874">
        <v>0</v>
      </c>
    </row>
    <row r="2875" spans="1:43" x14ac:dyDescent="0.2">
      <c r="A2875" t="s">
        <v>381</v>
      </c>
      <c r="B2875" s="3">
        <v>44250</v>
      </c>
      <c r="C2875">
        <v>16</v>
      </c>
      <c r="D2875" t="s">
        <v>382</v>
      </c>
      <c r="E2875" t="s">
        <v>83</v>
      </c>
      <c r="F2875" s="9" t="s">
        <v>89</v>
      </c>
      <c r="G2875" t="s">
        <v>26</v>
      </c>
      <c r="H2875" t="s">
        <v>85</v>
      </c>
      <c r="I2875" t="s">
        <v>86</v>
      </c>
      <c r="J2875" t="s">
        <v>43</v>
      </c>
      <c r="K2875" t="s">
        <v>44</v>
      </c>
      <c r="L2875" t="s">
        <v>53</v>
      </c>
      <c r="M2875" t="s">
        <v>54</v>
      </c>
      <c r="N2875" t="s">
        <v>85</v>
      </c>
      <c r="O2875" t="s">
        <v>86</v>
      </c>
      <c r="P2875" t="s">
        <v>43</v>
      </c>
      <c r="Q2875" t="s">
        <v>44</v>
      </c>
      <c r="R2875" s="1">
        <v>44250.39203703704</v>
      </c>
      <c r="S2875" s="1">
        <v>44250.463437500002</v>
      </c>
      <c r="T2875">
        <v>0</v>
      </c>
      <c r="U2875">
        <v>2</v>
      </c>
      <c r="V2875" s="2">
        <v>0</v>
      </c>
      <c r="W2875">
        <v>0</v>
      </c>
      <c r="X2875" t="s">
        <v>44</v>
      </c>
      <c r="Y2875">
        <v>0</v>
      </c>
      <c r="Z2875" t="s">
        <v>44</v>
      </c>
      <c r="AA2875">
        <v>0</v>
      </c>
      <c r="AB2875" t="s">
        <v>31</v>
      </c>
      <c r="AC2875">
        <v>0</v>
      </c>
      <c r="AD2875" t="s">
        <v>31</v>
      </c>
      <c r="AE2875">
        <v>0</v>
      </c>
      <c r="AF2875" t="s">
        <v>31</v>
      </c>
      <c r="AG2875">
        <v>0</v>
      </c>
      <c r="AH2875" t="s">
        <v>31</v>
      </c>
      <c r="AI2875">
        <v>0</v>
      </c>
      <c r="AJ2875" t="s">
        <v>31</v>
      </c>
      <c r="AK2875">
        <v>0</v>
      </c>
      <c r="AL2875" t="s">
        <v>31</v>
      </c>
      <c r="AM2875">
        <v>0</v>
      </c>
      <c r="AN2875" t="s">
        <v>31</v>
      </c>
      <c r="AO2875">
        <v>0</v>
      </c>
      <c r="AP2875" t="s">
        <v>31</v>
      </c>
      <c r="AQ2875">
        <v>0</v>
      </c>
    </row>
    <row r="2876" spans="1:43" x14ac:dyDescent="0.2">
      <c r="A2876" t="s">
        <v>381</v>
      </c>
      <c r="B2876" s="3">
        <v>44250</v>
      </c>
      <c r="C2876">
        <v>17</v>
      </c>
      <c r="D2876" t="s">
        <v>385</v>
      </c>
      <c r="E2876" t="s">
        <v>83</v>
      </c>
      <c r="F2876" s="9" t="s">
        <v>89</v>
      </c>
      <c r="G2876" t="s">
        <v>26</v>
      </c>
      <c r="H2876" t="s">
        <v>85</v>
      </c>
      <c r="I2876" t="s">
        <v>86</v>
      </c>
      <c r="J2876" t="s">
        <v>43</v>
      </c>
      <c r="K2876" t="s">
        <v>44</v>
      </c>
      <c r="L2876" t="s">
        <v>53</v>
      </c>
      <c r="M2876" t="s">
        <v>54</v>
      </c>
      <c r="N2876" t="s">
        <v>85</v>
      </c>
      <c r="O2876" t="s">
        <v>86</v>
      </c>
      <c r="P2876" t="s">
        <v>43</v>
      </c>
      <c r="Q2876" t="s">
        <v>44</v>
      </c>
      <c r="R2876" s="1">
        <v>44250.607766203706</v>
      </c>
      <c r="S2876" s="1">
        <v>44250.607766203706</v>
      </c>
      <c r="T2876">
        <v>0</v>
      </c>
      <c r="U2876">
        <v>1</v>
      </c>
      <c r="V2876" s="2">
        <v>0</v>
      </c>
      <c r="W2876">
        <v>0</v>
      </c>
      <c r="X2876" t="s">
        <v>44</v>
      </c>
      <c r="Y2876">
        <v>0</v>
      </c>
      <c r="Z2876" t="s">
        <v>31</v>
      </c>
      <c r="AA2876">
        <v>0</v>
      </c>
      <c r="AB2876" t="s">
        <v>31</v>
      </c>
      <c r="AC2876">
        <v>0</v>
      </c>
      <c r="AD2876" t="s">
        <v>31</v>
      </c>
      <c r="AE2876">
        <v>0</v>
      </c>
      <c r="AF2876" t="s">
        <v>31</v>
      </c>
      <c r="AG2876">
        <v>0</v>
      </c>
      <c r="AH2876" t="s">
        <v>31</v>
      </c>
      <c r="AI2876">
        <v>0</v>
      </c>
      <c r="AJ2876" t="s">
        <v>31</v>
      </c>
      <c r="AK2876">
        <v>0</v>
      </c>
      <c r="AL2876" t="s">
        <v>31</v>
      </c>
      <c r="AM2876">
        <v>0</v>
      </c>
      <c r="AN2876" t="s">
        <v>31</v>
      </c>
      <c r="AO2876">
        <v>0</v>
      </c>
      <c r="AP2876" t="s">
        <v>31</v>
      </c>
      <c r="AQ2876">
        <v>0</v>
      </c>
    </row>
    <row r="2877" spans="1:43" x14ac:dyDescent="0.2">
      <c r="A2877" t="s">
        <v>381</v>
      </c>
      <c r="B2877" s="3">
        <v>44251</v>
      </c>
      <c r="C2877">
        <v>18</v>
      </c>
      <c r="D2877" t="s">
        <v>384</v>
      </c>
      <c r="E2877" t="s">
        <v>83</v>
      </c>
      <c r="F2877" s="9" t="s">
        <v>89</v>
      </c>
      <c r="G2877" t="s">
        <v>26</v>
      </c>
      <c r="H2877" t="s">
        <v>85</v>
      </c>
      <c r="I2877" t="s">
        <v>86</v>
      </c>
      <c r="J2877" t="s">
        <v>43</v>
      </c>
      <c r="K2877" t="s">
        <v>44</v>
      </c>
      <c r="L2877" t="s">
        <v>53</v>
      </c>
      <c r="M2877" t="s">
        <v>54</v>
      </c>
      <c r="N2877" t="s">
        <v>85</v>
      </c>
      <c r="O2877" t="s">
        <v>86</v>
      </c>
      <c r="P2877" t="s">
        <v>43</v>
      </c>
      <c r="Q2877" t="s">
        <v>44</v>
      </c>
      <c r="R2877" s="1">
        <v>44251.390821759262</v>
      </c>
      <c r="S2877" s="1">
        <v>44251.390821759262</v>
      </c>
      <c r="T2877">
        <v>0</v>
      </c>
      <c r="U2877">
        <v>1</v>
      </c>
      <c r="V2877" s="2">
        <v>0</v>
      </c>
      <c r="W2877">
        <v>0</v>
      </c>
      <c r="X2877" t="s">
        <v>44</v>
      </c>
      <c r="Y2877">
        <v>0</v>
      </c>
      <c r="Z2877" t="s">
        <v>31</v>
      </c>
      <c r="AA2877">
        <v>0</v>
      </c>
      <c r="AB2877" t="s">
        <v>31</v>
      </c>
      <c r="AC2877">
        <v>0</v>
      </c>
      <c r="AD2877" t="s">
        <v>31</v>
      </c>
      <c r="AE2877">
        <v>0</v>
      </c>
      <c r="AF2877" t="s">
        <v>31</v>
      </c>
      <c r="AG2877">
        <v>0</v>
      </c>
      <c r="AH2877" t="s">
        <v>31</v>
      </c>
      <c r="AI2877">
        <v>0</v>
      </c>
      <c r="AJ2877" t="s">
        <v>31</v>
      </c>
      <c r="AK2877">
        <v>0</v>
      </c>
      <c r="AL2877" t="s">
        <v>31</v>
      </c>
      <c r="AM2877">
        <v>0</v>
      </c>
      <c r="AN2877" t="s">
        <v>31</v>
      </c>
      <c r="AO2877">
        <v>0</v>
      </c>
      <c r="AP2877" t="s">
        <v>31</v>
      </c>
      <c r="AQ2877">
        <v>0</v>
      </c>
    </row>
    <row r="2878" spans="1:43" x14ac:dyDescent="0.2">
      <c r="A2878" t="s">
        <v>381</v>
      </c>
      <c r="B2878" s="3">
        <v>44252</v>
      </c>
      <c r="C2878">
        <v>19</v>
      </c>
      <c r="D2878" t="s">
        <v>382</v>
      </c>
      <c r="E2878" t="s">
        <v>83</v>
      </c>
      <c r="F2878" s="9" t="s">
        <v>89</v>
      </c>
      <c r="G2878" t="s">
        <v>26</v>
      </c>
      <c r="H2878" t="s">
        <v>85</v>
      </c>
      <c r="I2878" t="s">
        <v>86</v>
      </c>
      <c r="J2878" t="s">
        <v>43</v>
      </c>
      <c r="K2878" t="s">
        <v>44</v>
      </c>
      <c r="L2878" t="s">
        <v>53</v>
      </c>
      <c r="M2878" t="s">
        <v>54</v>
      </c>
      <c r="N2878" t="s">
        <v>85</v>
      </c>
      <c r="O2878" t="s">
        <v>86</v>
      </c>
      <c r="P2878" t="s">
        <v>43</v>
      </c>
      <c r="Q2878" t="s">
        <v>44</v>
      </c>
      <c r="R2878" s="1">
        <v>44252.411087962966</v>
      </c>
      <c r="S2878" s="1">
        <v>44252.435810185183</v>
      </c>
      <c r="T2878">
        <v>0</v>
      </c>
      <c r="U2878">
        <v>2</v>
      </c>
      <c r="V2878" s="2">
        <v>0</v>
      </c>
      <c r="W2878">
        <v>0</v>
      </c>
      <c r="X2878" t="s">
        <v>44</v>
      </c>
      <c r="Y2878">
        <v>0</v>
      </c>
      <c r="Z2878" t="s">
        <v>44</v>
      </c>
      <c r="AA2878">
        <v>0</v>
      </c>
      <c r="AB2878" t="s">
        <v>31</v>
      </c>
      <c r="AC2878">
        <v>0</v>
      </c>
      <c r="AD2878" t="s">
        <v>31</v>
      </c>
      <c r="AE2878">
        <v>0</v>
      </c>
      <c r="AF2878" t="s">
        <v>31</v>
      </c>
      <c r="AG2878">
        <v>0</v>
      </c>
      <c r="AH2878" t="s">
        <v>31</v>
      </c>
      <c r="AI2878">
        <v>0</v>
      </c>
      <c r="AJ2878" t="s">
        <v>31</v>
      </c>
      <c r="AK2878">
        <v>0</v>
      </c>
      <c r="AL2878" t="s">
        <v>31</v>
      </c>
      <c r="AM2878">
        <v>0</v>
      </c>
      <c r="AN2878" t="s">
        <v>31</v>
      </c>
      <c r="AO2878">
        <v>0</v>
      </c>
      <c r="AP2878" t="s">
        <v>31</v>
      </c>
      <c r="AQ2878">
        <v>0</v>
      </c>
    </row>
    <row r="2879" spans="1:43" x14ac:dyDescent="0.2">
      <c r="A2879" t="s">
        <v>381</v>
      </c>
      <c r="B2879" s="3">
        <v>44252</v>
      </c>
      <c r="C2879">
        <v>20</v>
      </c>
      <c r="D2879" t="s">
        <v>385</v>
      </c>
      <c r="E2879" t="s">
        <v>83</v>
      </c>
      <c r="F2879" s="9" t="s">
        <v>89</v>
      </c>
      <c r="G2879" t="s">
        <v>26</v>
      </c>
      <c r="H2879" t="s">
        <v>85</v>
      </c>
      <c r="I2879" t="s">
        <v>86</v>
      </c>
      <c r="J2879" t="s">
        <v>43</v>
      </c>
      <c r="K2879" t="s">
        <v>44</v>
      </c>
      <c r="L2879" t="s">
        <v>53</v>
      </c>
      <c r="M2879" t="s">
        <v>54</v>
      </c>
      <c r="N2879" t="s">
        <v>85</v>
      </c>
      <c r="O2879" t="s">
        <v>86</v>
      </c>
      <c r="P2879" t="s">
        <v>43</v>
      </c>
      <c r="Q2879" t="s">
        <v>44</v>
      </c>
      <c r="R2879" s="1">
        <v>44252.670451388891</v>
      </c>
      <c r="S2879" s="1">
        <v>44252.670451388891</v>
      </c>
      <c r="T2879">
        <v>0</v>
      </c>
      <c r="U2879">
        <v>1</v>
      </c>
      <c r="V2879" s="2">
        <v>0</v>
      </c>
      <c r="W2879">
        <v>0</v>
      </c>
      <c r="X2879" t="s">
        <v>44</v>
      </c>
      <c r="Y2879">
        <v>0</v>
      </c>
      <c r="Z2879" t="s">
        <v>31</v>
      </c>
      <c r="AA2879">
        <v>0</v>
      </c>
      <c r="AB2879" t="s">
        <v>31</v>
      </c>
      <c r="AC2879">
        <v>0</v>
      </c>
      <c r="AD2879" t="s">
        <v>31</v>
      </c>
      <c r="AE2879">
        <v>0</v>
      </c>
      <c r="AF2879" t="s">
        <v>31</v>
      </c>
      <c r="AG2879">
        <v>0</v>
      </c>
      <c r="AH2879" t="s">
        <v>31</v>
      </c>
      <c r="AI2879">
        <v>0</v>
      </c>
      <c r="AJ2879" t="s">
        <v>31</v>
      </c>
      <c r="AK2879">
        <v>0</v>
      </c>
      <c r="AL2879" t="s">
        <v>31</v>
      </c>
      <c r="AM2879">
        <v>0</v>
      </c>
      <c r="AN2879" t="s">
        <v>31</v>
      </c>
      <c r="AO2879">
        <v>0</v>
      </c>
      <c r="AP2879" t="s">
        <v>31</v>
      </c>
      <c r="AQ2879">
        <v>0</v>
      </c>
    </row>
    <row r="2880" spans="1:43" x14ac:dyDescent="0.2">
      <c r="A2880" t="s">
        <v>381</v>
      </c>
      <c r="B2880" s="3">
        <v>44253</v>
      </c>
      <c r="C2880">
        <v>21</v>
      </c>
      <c r="D2880" t="s">
        <v>384</v>
      </c>
      <c r="E2880" t="s">
        <v>83</v>
      </c>
      <c r="F2880" s="9" t="s">
        <v>89</v>
      </c>
      <c r="G2880" t="s">
        <v>26</v>
      </c>
      <c r="H2880" t="s">
        <v>85</v>
      </c>
      <c r="I2880" t="s">
        <v>86</v>
      </c>
      <c r="J2880" t="s">
        <v>43</v>
      </c>
      <c r="K2880" t="s">
        <v>44</v>
      </c>
      <c r="L2880" t="s">
        <v>53</v>
      </c>
      <c r="M2880" t="s">
        <v>54</v>
      </c>
      <c r="N2880" t="s">
        <v>85</v>
      </c>
      <c r="O2880" t="s">
        <v>86</v>
      </c>
      <c r="P2880" t="s">
        <v>43</v>
      </c>
      <c r="Q2880" t="s">
        <v>44</v>
      </c>
      <c r="R2880" s="1">
        <v>44253.373495370368</v>
      </c>
      <c r="S2880" s="1">
        <v>44253.373495370368</v>
      </c>
      <c r="T2880">
        <v>0</v>
      </c>
      <c r="U2880">
        <v>1</v>
      </c>
      <c r="V2880" s="2">
        <v>0</v>
      </c>
      <c r="W2880">
        <v>0</v>
      </c>
      <c r="X2880" t="s">
        <v>44</v>
      </c>
      <c r="Y2880">
        <v>0</v>
      </c>
      <c r="Z2880" t="s">
        <v>31</v>
      </c>
      <c r="AA2880">
        <v>0</v>
      </c>
      <c r="AB2880" t="s">
        <v>31</v>
      </c>
      <c r="AC2880">
        <v>0</v>
      </c>
      <c r="AD2880" t="s">
        <v>31</v>
      </c>
      <c r="AE2880">
        <v>0</v>
      </c>
      <c r="AF2880" t="s">
        <v>31</v>
      </c>
      <c r="AG2880">
        <v>0</v>
      </c>
      <c r="AH2880" t="s">
        <v>31</v>
      </c>
      <c r="AI2880">
        <v>0</v>
      </c>
      <c r="AJ2880" t="s">
        <v>31</v>
      </c>
      <c r="AK2880">
        <v>0</v>
      </c>
      <c r="AL2880" t="s">
        <v>31</v>
      </c>
      <c r="AM2880">
        <v>0</v>
      </c>
      <c r="AN2880" t="s">
        <v>31</v>
      </c>
      <c r="AO2880">
        <v>0</v>
      </c>
      <c r="AP2880" t="s">
        <v>31</v>
      </c>
      <c r="AQ2880">
        <v>0</v>
      </c>
    </row>
    <row r="2881" spans="1:43" x14ac:dyDescent="0.2">
      <c r="A2881" t="s">
        <v>381</v>
      </c>
      <c r="B2881" s="3">
        <v>44256</v>
      </c>
      <c r="C2881">
        <v>22</v>
      </c>
      <c r="D2881" t="s">
        <v>384</v>
      </c>
      <c r="E2881" t="s">
        <v>83</v>
      </c>
      <c r="F2881" s="9" t="s">
        <v>89</v>
      </c>
      <c r="G2881" t="s">
        <v>26</v>
      </c>
      <c r="H2881" t="s">
        <v>85</v>
      </c>
      <c r="I2881" t="s">
        <v>86</v>
      </c>
      <c r="J2881" t="s">
        <v>43</v>
      </c>
      <c r="K2881" t="s">
        <v>44</v>
      </c>
      <c r="L2881" t="s">
        <v>53</v>
      </c>
      <c r="M2881" t="s">
        <v>54</v>
      </c>
      <c r="N2881" t="s">
        <v>85</v>
      </c>
      <c r="O2881" t="s">
        <v>86</v>
      </c>
      <c r="P2881" t="s">
        <v>43</v>
      </c>
      <c r="Q2881" t="s">
        <v>44</v>
      </c>
      <c r="R2881" s="1">
        <v>44256.376782407409</v>
      </c>
      <c r="S2881" s="1">
        <v>44256.376782407409</v>
      </c>
      <c r="T2881">
        <v>0</v>
      </c>
      <c r="U2881">
        <v>1</v>
      </c>
      <c r="V2881" s="2">
        <v>0</v>
      </c>
      <c r="W2881">
        <v>0</v>
      </c>
      <c r="X2881" t="s">
        <v>44</v>
      </c>
      <c r="Y2881">
        <v>0</v>
      </c>
      <c r="Z2881" t="s">
        <v>31</v>
      </c>
      <c r="AA2881">
        <v>0</v>
      </c>
      <c r="AB2881" t="s">
        <v>31</v>
      </c>
      <c r="AC2881">
        <v>0</v>
      </c>
      <c r="AD2881" t="s">
        <v>31</v>
      </c>
      <c r="AE2881">
        <v>0</v>
      </c>
      <c r="AF2881" t="s">
        <v>31</v>
      </c>
      <c r="AG2881">
        <v>0</v>
      </c>
      <c r="AH2881" t="s">
        <v>31</v>
      </c>
      <c r="AI2881">
        <v>0</v>
      </c>
      <c r="AJ2881" t="s">
        <v>31</v>
      </c>
      <c r="AK2881">
        <v>0</v>
      </c>
      <c r="AL2881" t="s">
        <v>31</v>
      </c>
      <c r="AM2881">
        <v>0</v>
      </c>
      <c r="AN2881" t="s">
        <v>31</v>
      </c>
      <c r="AO2881">
        <v>0</v>
      </c>
      <c r="AP2881" t="s">
        <v>31</v>
      </c>
      <c r="AQ2881">
        <v>0</v>
      </c>
    </row>
    <row r="2882" spans="1:43" x14ac:dyDescent="0.2">
      <c r="A2882" t="s">
        <v>381</v>
      </c>
      <c r="B2882" s="3">
        <v>44257</v>
      </c>
      <c r="C2882">
        <v>23</v>
      </c>
      <c r="D2882" t="s">
        <v>382</v>
      </c>
      <c r="E2882" t="s">
        <v>83</v>
      </c>
      <c r="F2882" s="9" t="s">
        <v>89</v>
      </c>
      <c r="G2882" t="s">
        <v>26</v>
      </c>
      <c r="H2882" t="s">
        <v>85</v>
      </c>
      <c r="I2882" t="s">
        <v>86</v>
      </c>
      <c r="J2882" t="s">
        <v>43</v>
      </c>
      <c r="K2882" t="s">
        <v>44</v>
      </c>
      <c r="L2882" t="s">
        <v>53</v>
      </c>
      <c r="M2882" t="s">
        <v>54</v>
      </c>
      <c r="N2882" t="s">
        <v>85</v>
      </c>
      <c r="O2882" t="s">
        <v>86</v>
      </c>
      <c r="P2882" t="s">
        <v>43</v>
      </c>
      <c r="Q2882" t="s">
        <v>44</v>
      </c>
      <c r="R2882" s="1">
        <v>44257.414895833332</v>
      </c>
      <c r="S2882" s="1">
        <v>44257.463206018518</v>
      </c>
      <c r="T2882">
        <v>0</v>
      </c>
      <c r="U2882">
        <v>2</v>
      </c>
      <c r="V2882" s="2">
        <v>0</v>
      </c>
      <c r="W2882">
        <v>0</v>
      </c>
      <c r="X2882" t="s">
        <v>44</v>
      </c>
      <c r="Y2882">
        <v>0</v>
      </c>
      <c r="Z2882" t="s">
        <v>44</v>
      </c>
      <c r="AA2882">
        <v>0</v>
      </c>
      <c r="AB2882" t="s">
        <v>31</v>
      </c>
      <c r="AC2882">
        <v>0</v>
      </c>
      <c r="AD2882" t="s">
        <v>31</v>
      </c>
      <c r="AE2882">
        <v>0</v>
      </c>
      <c r="AF2882" t="s">
        <v>31</v>
      </c>
      <c r="AG2882">
        <v>0</v>
      </c>
      <c r="AH2882" t="s">
        <v>31</v>
      </c>
      <c r="AI2882">
        <v>0</v>
      </c>
      <c r="AJ2882" t="s">
        <v>31</v>
      </c>
      <c r="AK2882">
        <v>0</v>
      </c>
      <c r="AL2882" t="s">
        <v>31</v>
      </c>
      <c r="AM2882">
        <v>0</v>
      </c>
      <c r="AN2882" t="s">
        <v>31</v>
      </c>
      <c r="AO2882">
        <v>0</v>
      </c>
      <c r="AP2882" t="s">
        <v>31</v>
      </c>
      <c r="AQ2882">
        <v>0</v>
      </c>
    </row>
    <row r="2883" spans="1:43" x14ac:dyDescent="0.2">
      <c r="A2883" t="s">
        <v>381</v>
      </c>
      <c r="B2883" s="3">
        <v>44257</v>
      </c>
      <c r="C2883">
        <v>24</v>
      </c>
      <c r="D2883" t="s">
        <v>385</v>
      </c>
      <c r="E2883" t="s">
        <v>83</v>
      </c>
      <c r="F2883" s="9" t="s">
        <v>89</v>
      </c>
      <c r="G2883" t="s">
        <v>26</v>
      </c>
      <c r="H2883" t="s">
        <v>85</v>
      </c>
      <c r="I2883" t="s">
        <v>86</v>
      </c>
      <c r="J2883" t="s">
        <v>43</v>
      </c>
      <c r="K2883" t="s">
        <v>44</v>
      </c>
      <c r="L2883" t="s">
        <v>53</v>
      </c>
      <c r="M2883" t="s">
        <v>54</v>
      </c>
      <c r="N2883" t="s">
        <v>85</v>
      </c>
      <c r="O2883" t="s">
        <v>86</v>
      </c>
      <c r="P2883" t="s">
        <v>43</v>
      </c>
      <c r="Q2883" t="s">
        <v>44</v>
      </c>
      <c r="R2883" s="1">
        <v>44257.576493055552</v>
      </c>
      <c r="S2883" s="1">
        <v>44257.576493055552</v>
      </c>
      <c r="T2883">
        <v>0</v>
      </c>
      <c r="U2883">
        <v>1</v>
      </c>
      <c r="V2883" s="2">
        <v>0</v>
      </c>
      <c r="W2883">
        <v>0</v>
      </c>
      <c r="X2883" t="s">
        <v>44</v>
      </c>
      <c r="Y2883">
        <v>0</v>
      </c>
      <c r="Z2883" t="s">
        <v>31</v>
      </c>
      <c r="AA2883">
        <v>0</v>
      </c>
      <c r="AB2883" t="s">
        <v>31</v>
      </c>
      <c r="AC2883">
        <v>0</v>
      </c>
      <c r="AD2883" t="s">
        <v>31</v>
      </c>
      <c r="AE2883">
        <v>0</v>
      </c>
      <c r="AF2883" t="s">
        <v>31</v>
      </c>
      <c r="AG2883">
        <v>0</v>
      </c>
      <c r="AH2883" t="s">
        <v>31</v>
      </c>
      <c r="AI2883">
        <v>0</v>
      </c>
      <c r="AJ2883" t="s">
        <v>31</v>
      </c>
      <c r="AK2883">
        <v>0</v>
      </c>
      <c r="AL2883" t="s">
        <v>31</v>
      </c>
      <c r="AM2883">
        <v>0</v>
      </c>
      <c r="AN2883" t="s">
        <v>31</v>
      </c>
      <c r="AO2883">
        <v>0</v>
      </c>
      <c r="AP2883" t="s">
        <v>31</v>
      </c>
      <c r="AQ2883">
        <v>0</v>
      </c>
    </row>
    <row r="2884" spans="1:43" x14ac:dyDescent="0.2">
      <c r="A2884" t="s">
        <v>381</v>
      </c>
      <c r="B2884" s="3">
        <v>44258</v>
      </c>
      <c r="C2884">
        <v>25</v>
      </c>
      <c r="D2884" t="s">
        <v>384</v>
      </c>
      <c r="E2884" t="s">
        <v>83</v>
      </c>
      <c r="F2884" s="9" t="s">
        <v>89</v>
      </c>
      <c r="G2884" t="s">
        <v>26</v>
      </c>
      <c r="H2884" t="s">
        <v>85</v>
      </c>
      <c r="I2884" t="s">
        <v>86</v>
      </c>
      <c r="J2884" t="s">
        <v>43</v>
      </c>
      <c r="K2884" t="s">
        <v>44</v>
      </c>
      <c r="L2884" t="s">
        <v>53</v>
      </c>
      <c r="M2884" t="s">
        <v>54</v>
      </c>
      <c r="N2884" t="s">
        <v>85</v>
      </c>
      <c r="O2884" t="s">
        <v>86</v>
      </c>
      <c r="P2884" t="s">
        <v>43</v>
      </c>
      <c r="Q2884" t="s">
        <v>44</v>
      </c>
      <c r="R2884" s="1">
        <v>44258.375717592593</v>
      </c>
      <c r="S2884" s="1">
        <v>44258.416354166664</v>
      </c>
      <c r="T2884">
        <v>0</v>
      </c>
      <c r="U2884">
        <v>2</v>
      </c>
      <c r="V2884" s="2">
        <v>0</v>
      </c>
      <c r="W2884">
        <v>0</v>
      </c>
      <c r="X2884" t="s">
        <v>44</v>
      </c>
      <c r="Y2884">
        <v>0</v>
      </c>
      <c r="Z2884" t="s">
        <v>44</v>
      </c>
      <c r="AA2884">
        <v>0</v>
      </c>
      <c r="AB2884" t="s">
        <v>31</v>
      </c>
      <c r="AC2884">
        <v>0</v>
      </c>
      <c r="AD2884" t="s">
        <v>31</v>
      </c>
      <c r="AE2884">
        <v>0</v>
      </c>
      <c r="AF2884" t="s">
        <v>31</v>
      </c>
      <c r="AG2884">
        <v>0</v>
      </c>
      <c r="AH2884" t="s">
        <v>31</v>
      </c>
      <c r="AI2884">
        <v>0</v>
      </c>
      <c r="AJ2884" t="s">
        <v>31</v>
      </c>
      <c r="AK2884">
        <v>0</v>
      </c>
      <c r="AL2884" t="s">
        <v>31</v>
      </c>
      <c r="AM2884">
        <v>0</v>
      </c>
      <c r="AN2884" t="s">
        <v>31</v>
      </c>
      <c r="AO2884">
        <v>0</v>
      </c>
      <c r="AP2884" t="s">
        <v>31</v>
      </c>
      <c r="AQ2884">
        <v>0</v>
      </c>
    </row>
    <row r="2885" spans="1:43" x14ac:dyDescent="0.2">
      <c r="A2885" t="s">
        <v>381</v>
      </c>
      <c r="B2885" s="3">
        <v>44259</v>
      </c>
      <c r="C2885">
        <v>26</v>
      </c>
      <c r="D2885" t="s">
        <v>382</v>
      </c>
      <c r="E2885" t="s">
        <v>83</v>
      </c>
      <c r="F2885" s="9" t="s">
        <v>89</v>
      </c>
      <c r="G2885" t="s">
        <v>26</v>
      </c>
      <c r="H2885" t="s">
        <v>85</v>
      </c>
      <c r="I2885" t="s">
        <v>86</v>
      </c>
      <c r="J2885" t="s">
        <v>43</v>
      </c>
      <c r="K2885" t="s">
        <v>44</v>
      </c>
      <c r="L2885" t="s">
        <v>53</v>
      </c>
      <c r="M2885" t="s">
        <v>54</v>
      </c>
      <c r="N2885" t="s">
        <v>85</v>
      </c>
      <c r="O2885" t="s">
        <v>86</v>
      </c>
      <c r="P2885" t="s">
        <v>43</v>
      </c>
      <c r="Q2885" t="s">
        <v>44</v>
      </c>
      <c r="R2885" s="1">
        <v>44259.415381944447</v>
      </c>
      <c r="S2885" s="1">
        <v>44259.436168981483</v>
      </c>
      <c r="T2885">
        <v>0</v>
      </c>
      <c r="U2885">
        <v>2</v>
      </c>
      <c r="V2885" s="2">
        <v>0</v>
      </c>
      <c r="W2885">
        <v>0</v>
      </c>
      <c r="X2885" t="s">
        <v>44</v>
      </c>
      <c r="Y2885">
        <v>0</v>
      </c>
      <c r="Z2885" t="s">
        <v>44</v>
      </c>
      <c r="AA2885">
        <v>0</v>
      </c>
      <c r="AB2885" t="s">
        <v>31</v>
      </c>
      <c r="AC2885">
        <v>0</v>
      </c>
      <c r="AD2885" t="s">
        <v>31</v>
      </c>
      <c r="AE2885">
        <v>0</v>
      </c>
      <c r="AF2885" t="s">
        <v>31</v>
      </c>
      <c r="AG2885">
        <v>0</v>
      </c>
      <c r="AH2885" t="s">
        <v>31</v>
      </c>
      <c r="AI2885">
        <v>0</v>
      </c>
      <c r="AJ2885" t="s">
        <v>31</v>
      </c>
      <c r="AK2885">
        <v>0</v>
      </c>
      <c r="AL2885" t="s">
        <v>31</v>
      </c>
      <c r="AM2885">
        <v>0</v>
      </c>
      <c r="AN2885" t="s">
        <v>31</v>
      </c>
      <c r="AO2885">
        <v>0</v>
      </c>
      <c r="AP2885" t="s">
        <v>31</v>
      </c>
      <c r="AQ2885">
        <v>0</v>
      </c>
    </row>
    <row r="2886" spans="1:43" x14ac:dyDescent="0.2">
      <c r="A2886" t="s">
        <v>381</v>
      </c>
      <c r="B2886" s="3">
        <v>44263</v>
      </c>
      <c r="C2886">
        <v>29</v>
      </c>
      <c r="D2886" t="s">
        <v>384</v>
      </c>
      <c r="E2886" t="s">
        <v>83</v>
      </c>
      <c r="F2886" s="9" t="s">
        <v>89</v>
      </c>
      <c r="G2886" t="s">
        <v>26</v>
      </c>
      <c r="H2886" t="s">
        <v>85</v>
      </c>
      <c r="I2886" t="s">
        <v>86</v>
      </c>
      <c r="J2886" t="s">
        <v>43</v>
      </c>
      <c r="K2886" t="s">
        <v>44</v>
      </c>
      <c r="L2886" t="s">
        <v>53</v>
      </c>
      <c r="M2886" t="s">
        <v>54</v>
      </c>
      <c r="N2886" t="s">
        <v>85</v>
      </c>
      <c r="O2886" t="s">
        <v>86</v>
      </c>
      <c r="P2886" t="s">
        <v>43</v>
      </c>
      <c r="Q2886" t="s">
        <v>44</v>
      </c>
      <c r="R2886" s="1">
        <v>44263.41097222222</v>
      </c>
      <c r="S2886" s="1">
        <v>44263.41097222222</v>
      </c>
      <c r="T2886">
        <v>0</v>
      </c>
      <c r="U2886">
        <v>1</v>
      </c>
      <c r="V2886" s="2">
        <v>0</v>
      </c>
      <c r="W2886">
        <v>0</v>
      </c>
      <c r="X2886" t="s">
        <v>44</v>
      </c>
      <c r="Y2886">
        <v>0</v>
      </c>
      <c r="Z2886" t="s">
        <v>31</v>
      </c>
      <c r="AA2886">
        <v>0</v>
      </c>
      <c r="AB2886" t="s">
        <v>31</v>
      </c>
      <c r="AC2886">
        <v>0</v>
      </c>
      <c r="AD2886" t="s">
        <v>31</v>
      </c>
      <c r="AE2886">
        <v>0</v>
      </c>
      <c r="AF2886" t="s">
        <v>31</v>
      </c>
      <c r="AG2886">
        <v>0</v>
      </c>
      <c r="AH2886" t="s">
        <v>31</v>
      </c>
      <c r="AI2886">
        <v>0</v>
      </c>
      <c r="AJ2886" t="s">
        <v>31</v>
      </c>
      <c r="AK2886">
        <v>0</v>
      </c>
      <c r="AL2886" t="s">
        <v>31</v>
      </c>
      <c r="AM2886">
        <v>0</v>
      </c>
      <c r="AN2886" t="s">
        <v>31</v>
      </c>
      <c r="AO2886">
        <v>0</v>
      </c>
      <c r="AP2886" t="s">
        <v>31</v>
      </c>
      <c r="AQ2886">
        <v>0</v>
      </c>
    </row>
    <row r="2887" spans="1:43" x14ac:dyDescent="0.2">
      <c r="A2887" t="s">
        <v>381</v>
      </c>
      <c r="B2887" s="3">
        <v>44264</v>
      </c>
      <c r="C2887">
        <v>30</v>
      </c>
      <c r="D2887" t="s">
        <v>382</v>
      </c>
      <c r="E2887" t="s">
        <v>83</v>
      </c>
      <c r="F2887" s="9" t="s">
        <v>89</v>
      </c>
      <c r="G2887" t="s">
        <v>26</v>
      </c>
      <c r="H2887" t="s">
        <v>85</v>
      </c>
      <c r="I2887" t="s">
        <v>86</v>
      </c>
      <c r="J2887" t="s">
        <v>43</v>
      </c>
      <c r="K2887" t="s">
        <v>44</v>
      </c>
      <c r="L2887" t="s">
        <v>53</v>
      </c>
      <c r="M2887" t="s">
        <v>54</v>
      </c>
      <c r="N2887" t="s">
        <v>85</v>
      </c>
      <c r="O2887" t="s">
        <v>86</v>
      </c>
      <c r="P2887" t="s">
        <v>43</v>
      </c>
      <c r="Q2887" t="s">
        <v>44</v>
      </c>
      <c r="R2887" s="1">
        <v>44264.419085648151</v>
      </c>
      <c r="S2887" s="1">
        <v>44264.456793981481</v>
      </c>
      <c r="T2887">
        <v>0</v>
      </c>
      <c r="U2887">
        <v>2</v>
      </c>
      <c r="V2887" s="2">
        <v>0</v>
      </c>
      <c r="W2887">
        <v>0</v>
      </c>
      <c r="X2887" t="s">
        <v>44</v>
      </c>
      <c r="Y2887">
        <v>0</v>
      </c>
      <c r="Z2887" t="s">
        <v>44</v>
      </c>
      <c r="AA2887">
        <v>0</v>
      </c>
      <c r="AB2887" t="s">
        <v>31</v>
      </c>
      <c r="AC2887">
        <v>0</v>
      </c>
      <c r="AD2887" t="s">
        <v>31</v>
      </c>
      <c r="AE2887">
        <v>0</v>
      </c>
      <c r="AF2887" t="s">
        <v>31</v>
      </c>
      <c r="AG2887">
        <v>0</v>
      </c>
      <c r="AH2887" t="s">
        <v>31</v>
      </c>
      <c r="AI2887">
        <v>0</v>
      </c>
      <c r="AJ2887" t="s">
        <v>31</v>
      </c>
      <c r="AK2887">
        <v>0</v>
      </c>
      <c r="AL2887" t="s">
        <v>31</v>
      </c>
      <c r="AM2887">
        <v>0</v>
      </c>
      <c r="AN2887" t="s">
        <v>31</v>
      </c>
      <c r="AO2887">
        <v>0</v>
      </c>
      <c r="AP2887" t="s">
        <v>31</v>
      </c>
      <c r="AQ2887">
        <v>0</v>
      </c>
    </row>
    <row r="2888" spans="1:43" x14ac:dyDescent="0.2">
      <c r="A2888" t="s">
        <v>381</v>
      </c>
      <c r="B2888" s="3">
        <v>44264</v>
      </c>
      <c r="C2888">
        <v>31</v>
      </c>
      <c r="D2888" t="s">
        <v>385</v>
      </c>
      <c r="E2888" t="s">
        <v>83</v>
      </c>
      <c r="F2888" s="9" t="s">
        <v>89</v>
      </c>
      <c r="G2888" t="s">
        <v>26</v>
      </c>
      <c r="H2888" t="s">
        <v>85</v>
      </c>
      <c r="I2888" t="s">
        <v>86</v>
      </c>
      <c r="J2888" t="s">
        <v>43</v>
      </c>
      <c r="K2888" t="s">
        <v>44</v>
      </c>
      <c r="L2888" t="s">
        <v>53</v>
      </c>
      <c r="M2888" t="s">
        <v>54</v>
      </c>
      <c r="N2888" t="s">
        <v>85</v>
      </c>
      <c r="O2888" t="s">
        <v>86</v>
      </c>
      <c r="P2888" t="s">
        <v>43</v>
      </c>
      <c r="Q2888" t="s">
        <v>44</v>
      </c>
      <c r="R2888" s="1">
        <v>44264.601238425923</v>
      </c>
      <c r="S2888" s="1">
        <v>44264.601261574076</v>
      </c>
      <c r="T2888">
        <v>0</v>
      </c>
      <c r="U2888">
        <v>2</v>
      </c>
      <c r="V2888" s="2">
        <v>0</v>
      </c>
      <c r="W2888">
        <v>0</v>
      </c>
      <c r="X2888" t="s">
        <v>44</v>
      </c>
      <c r="Y2888">
        <v>0</v>
      </c>
      <c r="Z2888" t="s">
        <v>44</v>
      </c>
      <c r="AA2888">
        <v>0</v>
      </c>
      <c r="AB2888" t="s">
        <v>31</v>
      </c>
      <c r="AC2888">
        <v>0</v>
      </c>
      <c r="AD2888" t="s">
        <v>31</v>
      </c>
      <c r="AE2888">
        <v>0</v>
      </c>
      <c r="AF2888" t="s">
        <v>31</v>
      </c>
      <c r="AG2888">
        <v>0</v>
      </c>
      <c r="AH2888" t="s">
        <v>31</v>
      </c>
      <c r="AI2888">
        <v>0</v>
      </c>
      <c r="AJ2888" t="s">
        <v>31</v>
      </c>
      <c r="AK2888">
        <v>0</v>
      </c>
      <c r="AL2888" t="s">
        <v>31</v>
      </c>
      <c r="AM2888">
        <v>0</v>
      </c>
      <c r="AN2888" t="s">
        <v>31</v>
      </c>
      <c r="AO2888">
        <v>0</v>
      </c>
      <c r="AP2888" t="s">
        <v>31</v>
      </c>
      <c r="AQ2888">
        <v>0</v>
      </c>
    </row>
    <row r="2889" spans="1:43" x14ac:dyDescent="0.2">
      <c r="A2889" t="s">
        <v>381</v>
      </c>
      <c r="B2889" s="3">
        <v>44265</v>
      </c>
      <c r="C2889">
        <v>32</v>
      </c>
      <c r="D2889" t="s">
        <v>384</v>
      </c>
      <c r="E2889" t="s">
        <v>83</v>
      </c>
      <c r="F2889" s="9" t="s">
        <v>89</v>
      </c>
      <c r="G2889" t="s">
        <v>26</v>
      </c>
      <c r="H2889" t="s">
        <v>85</v>
      </c>
      <c r="I2889" t="s">
        <v>86</v>
      </c>
      <c r="J2889" t="s">
        <v>43</v>
      </c>
      <c r="K2889" t="s">
        <v>44</v>
      </c>
      <c r="L2889" t="s">
        <v>53</v>
      </c>
      <c r="M2889" t="s">
        <v>54</v>
      </c>
      <c r="N2889" t="s">
        <v>85</v>
      </c>
      <c r="O2889" t="s">
        <v>86</v>
      </c>
      <c r="P2889" t="s">
        <v>43</v>
      </c>
      <c r="Q2889" t="s">
        <v>44</v>
      </c>
      <c r="R2889" s="1">
        <v>44265.391504629632</v>
      </c>
      <c r="S2889" s="1">
        <v>44265.391504629632</v>
      </c>
      <c r="T2889">
        <v>0</v>
      </c>
      <c r="U2889">
        <v>1</v>
      </c>
      <c r="V2889" s="2">
        <v>0</v>
      </c>
      <c r="W2889">
        <v>0</v>
      </c>
      <c r="X2889" t="s">
        <v>44</v>
      </c>
      <c r="Y2889">
        <v>0</v>
      </c>
      <c r="Z2889" t="s">
        <v>31</v>
      </c>
      <c r="AA2889">
        <v>0</v>
      </c>
      <c r="AB2889" t="s">
        <v>31</v>
      </c>
      <c r="AC2889">
        <v>0</v>
      </c>
      <c r="AD2889" t="s">
        <v>31</v>
      </c>
      <c r="AE2889">
        <v>0</v>
      </c>
      <c r="AF2889" t="s">
        <v>31</v>
      </c>
      <c r="AG2889">
        <v>0</v>
      </c>
      <c r="AH2889" t="s">
        <v>31</v>
      </c>
      <c r="AI2889">
        <v>0</v>
      </c>
      <c r="AJ2889" t="s">
        <v>31</v>
      </c>
      <c r="AK2889">
        <v>0</v>
      </c>
      <c r="AL2889" t="s">
        <v>31</v>
      </c>
      <c r="AM2889">
        <v>0</v>
      </c>
      <c r="AN2889" t="s">
        <v>31</v>
      </c>
      <c r="AO2889">
        <v>0</v>
      </c>
      <c r="AP2889" t="s">
        <v>31</v>
      </c>
      <c r="AQ2889">
        <v>0</v>
      </c>
    </row>
    <row r="2890" spans="1:43" x14ac:dyDescent="0.2">
      <c r="A2890" t="s">
        <v>381</v>
      </c>
      <c r="B2890" s="3">
        <v>44266</v>
      </c>
      <c r="C2890">
        <v>33</v>
      </c>
      <c r="D2890" t="s">
        <v>385</v>
      </c>
      <c r="E2890" t="s">
        <v>83</v>
      </c>
      <c r="F2890" s="9" t="s">
        <v>89</v>
      </c>
      <c r="G2890" t="s">
        <v>26</v>
      </c>
      <c r="H2890" t="s">
        <v>85</v>
      </c>
      <c r="I2890" t="s">
        <v>86</v>
      </c>
      <c r="J2890" t="s">
        <v>43</v>
      </c>
      <c r="K2890" t="s">
        <v>44</v>
      </c>
      <c r="L2890" t="s">
        <v>53</v>
      </c>
      <c r="M2890" t="s">
        <v>54</v>
      </c>
      <c r="N2890" t="s">
        <v>85</v>
      </c>
      <c r="O2890" t="s">
        <v>86</v>
      </c>
      <c r="P2890" t="s">
        <v>43</v>
      </c>
      <c r="Q2890" t="s">
        <v>44</v>
      </c>
      <c r="R2890" s="1">
        <v>44266.457037037035</v>
      </c>
      <c r="S2890" s="1">
        <v>44266.457037037035</v>
      </c>
      <c r="T2890">
        <v>0</v>
      </c>
      <c r="U2890">
        <v>1</v>
      </c>
      <c r="V2890" s="2">
        <v>0</v>
      </c>
      <c r="W2890">
        <v>0</v>
      </c>
      <c r="X2890" t="s">
        <v>44</v>
      </c>
      <c r="Y2890">
        <v>0</v>
      </c>
      <c r="Z2890" t="s">
        <v>31</v>
      </c>
      <c r="AA2890">
        <v>0</v>
      </c>
      <c r="AB2890" t="s">
        <v>31</v>
      </c>
      <c r="AC2890">
        <v>0</v>
      </c>
      <c r="AD2890" t="s">
        <v>31</v>
      </c>
      <c r="AE2890">
        <v>0</v>
      </c>
      <c r="AF2890" t="s">
        <v>31</v>
      </c>
      <c r="AG2890">
        <v>0</v>
      </c>
      <c r="AH2890" t="s">
        <v>31</v>
      </c>
      <c r="AI2890">
        <v>0</v>
      </c>
      <c r="AJ2890" t="s">
        <v>31</v>
      </c>
      <c r="AK2890">
        <v>0</v>
      </c>
      <c r="AL2890" t="s">
        <v>31</v>
      </c>
      <c r="AM2890">
        <v>0</v>
      </c>
      <c r="AN2890" t="s">
        <v>31</v>
      </c>
      <c r="AO2890">
        <v>0</v>
      </c>
      <c r="AP2890" t="s">
        <v>31</v>
      </c>
      <c r="AQ2890">
        <v>0</v>
      </c>
    </row>
    <row r="2891" spans="1:43" x14ac:dyDescent="0.2">
      <c r="A2891" t="s">
        <v>381</v>
      </c>
      <c r="B2891" s="3">
        <v>44270</v>
      </c>
      <c r="C2891">
        <v>35</v>
      </c>
      <c r="D2891" t="s">
        <v>384</v>
      </c>
      <c r="E2891" t="s">
        <v>83</v>
      </c>
      <c r="F2891" s="9" t="s">
        <v>89</v>
      </c>
      <c r="G2891" t="s">
        <v>26</v>
      </c>
      <c r="H2891" t="s">
        <v>85</v>
      </c>
      <c r="I2891" t="s">
        <v>86</v>
      </c>
      <c r="J2891" t="s">
        <v>43</v>
      </c>
      <c r="K2891" t="s">
        <v>44</v>
      </c>
      <c r="L2891" t="s">
        <v>53</v>
      </c>
      <c r="M2891" t="s">
        <v>54</v>
      </c>
      <c r="N2891" t="s">
        <v>85</v>
      </c>
      <c r="O2891" t="s">
        <v>86</v>
      </c>
      <c r="P2891" t="s">
        <v>43</v>
      </c>
      <c r="Q2891" t="s">
        <v>44</v>
      </c>
      <c r="R2891" s="1">
        <v>44270.414918981478</v>
      </c>
      <c r="S2891" s="1">
        <v>44270.414918981478</v>
      </c>
      <c r="T2891">
        <v>0</v>
      </c>
      <c r="U2891">
        <v>1</v>
      </c>
      <c r="V2891" s="2">
        <v>0</v>
      </c>
      <c r="W2891">
        <v>0</v>
      </c>
      <c r="X2891" t="s">
        <v>44</v>
      </c>
      <c r="Y2891">
        <v>0</v>
      </c>
      <c r="Z2891" t="s">
        <v>31</v>
      </c>
      <c r="AA2891">
        <v>0</v>
      </c>
      <c r="AB2891" t="s">
        <v>31</v>
      </c>
      <c r="AC2891">
        <v>0</v>
      </c>
      <c r="AD2891" t="s">
        <v>31</v>
      </c>
      <c r="AE2891">
        <v>0</v>
      </c>
      <c r="AF2891" t="s">
        <v>31</v>
      </c>
      <c r="AG2891">
        <v>0</v>
      </c>
      <c r="AH2891" t="s">
        <v>31</v>
      </c>
      <c r="AI2891">
        <v>0</v>
      </c>
      <c r="AJ2891" t="s">
        <v>31</v>
      </c>
      <c r="AK2891">
        <v>0</v>
      </c>
      <c r="AL2891" t="s">
        <v>31</v>
      </c>
      <c r="AM2891">
        <v>0</v>
      </c>
      <c r="AN2891" t="s">
        <v>31</v>
      </c>
      <c r="AO2891">
        <v>0</v>
      </c>
      <c r="AP2891" t="s">
        <v>31</v>
      </c>
      <c r="AQ2891">
        <v>0</v>
      </c>
    </row>
    <row r="2892" spans="1:43" x14ac:dyDescent="0.2">
      <c r="A2892" t="s">
        <v>381</v>
      </c>
      <c r="B2892" s="3">
        <v>44271</v>
      </c>
      <c r="C2892">
        <v>36</v>
      </c>
      <c r="D2892" t="s">
        <v>385</v>
      </c>
      <c r="E2892" t="s">
        <v>83</v>
      </c>
      <c r="F2892" s="9" t="s">
        <v>89</v>
      </c>
      <c r="G2892" t="s">
        <v>26</v>
      </c>
      <c r="H2892" t="s">
        <v>85</v>
      </c>
      <c r="I2892" t="s">
        <v>86</v>
      </c>
      <c r="J2892" t="s">
        <v>43</v>
      </c>
      <c r="K2892" t="s">
        <v>44</v>
      </c>
      <c r="L2892" t="s">
        <v>53</v>
      </c>
      <c r="M2892" t="s">
        <v>54</v>
      </c>
      <c r="N2892" t="s">
        <v>85</v>
      </c>
      <c r="O2892" t="s">
        <v>86</v>
      </c>
      <c r="P2892" t="s">
        <v>43</v>
      </c>
      <c r="Q2892" t="s">
        <v>44</v>
      </c>
      <c r="R2892" s="1">
        <v>44271.426550925928</v>
      </c>
      <c r="S2892" s="1">
        <v>44271.426550925928</v>
      </c>
      <c r="T2892">
        <v>0</v>
      </c>
      <c r="U2892">
        <v>1</v>
      </c>
      <c r="V2892" s="2">
        <v>0</v>
      </c>
      <c r="W2892">
        <v>0</v>
      </c>
      <c r="X2892" t="s">
        <v>44</v>
      </c>
      <c r="Y2892">
        <v>0</v>
      </c>
      <c r="Z2892" t="s">
        <v>31</v>
      </c>
      <c r="AA2892">
        <v>0</v>
      </c>
      <c r="AB2892" t="s">
        <v>31</v>
      </c>
      <c r="AC2892">
        <v>0</v>
      </c>
      <c r="AD2892" t="s">
        <v>31</v>
      </c>
      <c r="AE2892">
        <v>0</v>
      </c>
      <c r="AF2892" t="s">
        <v>31</v>
      </c>
      <c r="AG2892">
        <v>0</v>
      </c>
      <c r="AH2892" t="s">
        <v>31</v>
      </c>
      <c r="AI2892">
        <v>0</v>
      </c>
      <c r="AJ2892" t="s">
        <v>31</v>
      </c>
      <c r="AK2892">
        <v>0</v>
      </c>
      <c r="AL2892" t="s">
        <v>31</v>
      </c>
      <c r="AM2892">
        <v>0</v>
      </c>
      <c r="AN2892" t="s">
        <v>31</v>
      </c>
      <c r="AO2892">
        <v>0</v>
      </c>
      <c r="AP2892" t="s">
        <v>31</v>
      </c>
      <c r="AQ2892">
        <v>0</v>
      </c>
    </row>
    <row r="2893" spans="1:43" x14ac:dyDescent="0.2">
      <c r="A2893" t="s">
        <v>381</v>
      </c>
      <c r="B2893" s="3">
        <v>44272</v>
      </c>
      <c r="C2893">
        <v>38</v>
      </c>
      <c r="D2893" t="s">
        <v>384</v>
      </c>
      <c r="E2893" t="s">
        <v>83</v>
      </c>
      <c r="F2893" s="9" t="s">
        <v>89</v>
      </c>
      <c r="G2893" t="s">
        <v>26</v>
      </c>
      <c r="H2893" t="s">
        <v>85</v>
      </c>
      <c r="I2893" t="s">
        <v>86</v>
      </c>
      <c r="J2893" t="s">
        <v>43</v>
      </c>
      <c r="K2893" t="s">
        <v>44</v>
      </c>
      <c r="L2893" t="s">
        <v>53</v>
      </c>
      <c r="M2893" t="s">
        <v>54</v>
      </c>
      <c r="N2893" t="s">
        <v>85</v>
      </c>
      <c r="O2893" t="s">
        <v>86</v>
      </c>
      <c r="P2893" t="s">
        <v>43</v>
      </c>
      <c r="Q2893" t="s">
        <v>44</v>
      </c>
      <c r="R2893" s="1">
        <v>44272.392696759256</v>
      </c>
      <c r="S2893" s="1">
        <v>44272.392696759256</v>
      </c>
      <c r="T2893">
        <v>0</v>
      </c>
      <c r="U2893">
        <v>1</v>
      </c>
      <c r="V2893" s="2">
        <v>0</v>
      </c>
      <c r="W2893">
        <v>0</v>
      </c>
      <c r="X2893" t="s">
        <v>44</v>
      </c>
      <c r="Y2893">
        <v>0</v>
      </c>
      <c r="Z2893" t="s">
        <v>31</v>
      </c>
      <c r="AA2893">
        <v>0</v>
      </c>
      <c r="AB2893" t="s">
        <v>31</v>
      </c>
      <c r="AC2893">
        <v>0</v>
      </c>
      <c r="AD2893" t="s">
        <v>31</v>
      </c>
      <c r="AE2893">
        <v>0</v>
      </c>
      <c r="AF2893" t="s">
        <v>31</v>
      </c>
      <c r="AG2893">
        <v>0</v>
      </c>
      <c r="AH2893" t="s">
        <v>31</v>
      </c>
      <c r="AI2893">
        <v>0</v>
      </c>
      <c r="AJ2893" t="s">
        <v>31</v>
      </c>
      <c r="AK2893">
        <v>0</v>
      </c>
      <c r="AL2893" t="s">
        <v>31</v>
      </c>
      <c r="AM2893">
        <v>0</v>
      </c>
      <c r="AN2893" t="s">
        <v>31</v>
      </c>
      <c r="AO2893">
        <v>0</v>
      </c>
      <c r="AP2893" t="s">
        <v>31</v>
      </c>
      <c r="AQ2893">
        <v>0</v>
      </c>
    </row>
    <row r="2894" spans="1:43" x14ac:dyDescent="0.2">
      <c r="A2894" t="s">
        <v>381</v>
      </c>
      <c r="B2894" s="3">
        <v>44279</v>
      </c>
      <c r="C2894">
        <v>41</v>
      </c>
      <c r="D2894" t="s">
        <v>384</v>
      </c>
      <c r="E2894" t="s">
        <v>83</v>
      </c>
      <c r="F2894" s="9" t="s">
        <v>89</v>
      </c>
      <c r="G2894" t="s">
        <v>26</v>
      </c>
      <c r="H2894" t="s">
        <v>85</v>
      </c>
      <c r="I2894" t="s">
        <v>86</v>
      </c>
      <c r="J2894" t="s">
        <v>43</v>
      </c>
      <c r="K2894" t="s">
        <v>44</v>
      </c>
      <c r="L2894" t="s">
        <v>53</v>
      </c>
      <c r="M2894" t="s">
        <v>54</v>
      </c>
      <c r="N2894" t="s">
        <v>85</v>
      </c>
      <c r="O2894" t="s">
        <v>86</v>
      </c>
      <c r="P2894" t="s">
        <v>43</v>
      </c>
      <c r="Q2894" t="s">
        <v>44</v>
      </c>
      <c r="R2894" s="1">
        <v>44279.393217592595</v>
      </c>
      <c r="S2894" s="1">
        <v>44279.393217592595</v>
      </c>
      <c r="T2894">
        <v>0</v>
      </c>
      <c r="U2894">
        <v>1</v>
      </c>
      <c r="V2894" s="2">
        <v>0</v>
      </c>
      <c r="W2894">
        <v>0</v>
      </c>
      <c r="X2894" t="s">
        <v>44</v>
      </c>
      <c r="Y2894">
        <v>0</v>
      </c>
      <c r="Z2894" t="s">
        <v>31</v>
      </c>
      <c r="AA2894">
        <v>0</v>
      </c>
      <c r="AB2894" t="s">
        <v>31</v>
      </c>
      <c r="AC2894">
        <v>0</v>
      </c>
      <c r="AD2894" t="s">
        <v>31</v>
      </c>
      <c r="AE2894">
        <v>0</v>
      </c>
      <c r="AF2894" t="s">
        <v>31</v>
      </c>
      <c r="AG2894">
        <v>0</v>
      </c>
      <c r="AH2894" t="s">
        <v>31</v>
      </c>
      <c r="AI2894">
        <v>0</v>
      </c>
      <c r="AJ2894" t="s">
        <v>31</v>
      </c>
      <c r="AK2894">
        <v>0</v>
      </c>
      <c r="AL2894" t="s">
        <v>31</v>
      </c>
      <c r="AM2894">
        <v>0</v>
      </c>
      <c r="AN2894" t="s">
        <v>31</v>
      </c>
      <c r="AO2894">
        <v>0</v>
      </c>
      <c r="AP2894" t="s">
        <v>31</v>
      </c>
      <c r="AQ2894">
        <v>0</v>
      </c>
    </row>
    <row r="2895" spans="1:43" x14ac:dyDescent="0.2">
      <c r="A2895" t="s">
        <v>381</v>
      </c>
      <c r="B2895" s="3">
        <v>44281</v>
      </c>
      <c r="C2895">
        <v>42</v>
      </c>
      <c r="D2895" t="s">
        <v>384</v>
      </c>
      <c r="E2895" t="s">
        <v>83</v>
      </c>
      <c r="F2895" s="9" t="s">
        <v>89</v>
      </c>
      <c r="G2895" t="s">
        <v>26</v>
      </c>
      <c r="H2895" t="s">
        <v>85</v>
      </c>
      <c r="I2895" t="s">
        <v>86</v>
      </c>
      <c r="J2895" t="s">
        <v>43</v>
      </c>
      <c r="K2895" t="s">
        <v>44</v>
      </c>
      <c r="L2895" t="s">
        <v>53</v>
      </c>
      <c r="M2895" t="s">
        <v>54</v>
      </c>
      <c r="N2895" t="s">
        <v>85</v>
      </c>
      <c r="O2895" t="s">
        <v>86</v>
      </c>
      <c r="P2895" t="s">
        <v>43</v>
      </c>
      <c r="Q2895" t="s">
        <v>44</v>
      </c>
      <c r="R2895" s="1">
        <v>44281.455324074072</v>
      </c>
      <c r="S2895" s="1">
        <v>44281.455324074072</v>
      </c>
      <c r="T2895">
        <v>0</v>
      </c>
      <c r="U2895">
        <v>1</v>
      </c>
      <c r="V2895" s="2">
        <v>0</v>
      </c>
      <c r="W2895">
        <v>0</v>
      </c>
      <c r="X2895" t="s">
        <v>44</v>
      </c>
      <c r="Y2895">
        <v>0</v>
      </c>
      <c r="Z2895" t="s">
        <v>31</v>
      </c>
      <c r="AA2895">
        <v>0</v>
      </c>
      <c r="AB2895" t="s">
        <v>31</v>
      </c>
      <c r="AC2895">
        <v>0</v>
      </c>
      <c r="AD2895" t="s">
        <v>31</v>
      </c>
      <c r="AE2895">
        <v>0</v>
      </c>
      <c r="AF2895" t="s">
        <v>31</v>
      </c>
      <c r="AG2895">
        <v>0</v>
      </c>
      <c r="AH2895" t="s">
        <v>31</v>
      </c>
      <c r="AI2895">
        <v>0</v>
      </c>
      <c r="AJ2895" t="s">
        <v>31</v>
      </c>
      <c r="AK2895">
        <v>0</v>
      </c>
      <c r="AL2895" t="s">
        <v>31</v>
      </c>
      <c r="AM2895">
        <v>0</v>
      </c>
      <c r="AN2895" t="s">
        <v>31</v>
      </c>
      <c r="AO2895">
        <v>0</v>
      </c>
      <c r="AP2895" t="s">
        <v>31</v>
      </c>
      <c r="AQ2895">
        <v>0</v>
      </c>
    </row>
    <row r="2896" spans="1:43" x14ac:dyDescent="0.2">
      <c r="A2896" t="s">
        <v>381</v>
      </c>
      <c r="B2896" s="3">
        <v>44284</v>
      </c>
      <c r="C2896">
        <v>43</v>
      </c>
      <c r="D2896" t="s">
        <v>384</v>
      </c>
      <c r="E2896" t="s">
        <v>83</v>
      </c>
      <c r="F2896" s="9" t="s">
        <v>89</v>
      </c>
      <c r="G2896" t="s">
        <v>26</v>
      </c>
      <c r="H2896" t="s">
        <v>85</v>
      </c>
      <c r="I2896" t="s">
        <v>86</v>
      </c>
      <c r="J2896" t="s">
        <v>43</v>
      </c>
      <c r="K2896" t="s">
        <v>44</v>
      </c>
      <c r="L2896" t="s">
        <v>53</v>
      </c>
      <c r="M2896" t="s">
        <v>54</v>
      </c>
      <c r="N2896" t="s">
        <v>85</v>
      </c>
      <c r="O2896" t="s">
        <v>86</v>
      </c>
      <c r="P2896" t="s">
        <v>43</v>
      </c>
      <c r="Q2896" t="s">
        <v>44</v>
      </c>
      <c r="R2896" s="1">
        <v>44284.385104166664</v>
      </c>
      <c r="S2896" s="1">
        <v>44284.385104166664</v>
      </c>
      <c r="T2896">
        <v>0</v>
      </c>
      <c r="U2896">
        <v>1</v>
      </c>
      <c r="V2896" s="2">
        <v>0</v>
      </c>
      <c r="W2896">
        <v>0</v>
      </c>
      <c r="X2896" t="s">
        <v>44</v>
      </c>
      <c r="Y2896">
        <v>0</v>
      </c>
      <c r="Z2896" t="s">
        <v>31</v>
      </c>
      <c r="AA2896">
        <v>0</v>
      </c>
      <c r="AB2896" t="s">
        <v>31</v>
      </c>
      <c r="AC2896">
        <v>0</v>
      </c>
      <c r="AD2896" t="s">
        <v>31</v>
      </c>
      <c r="AE2896">
        <v>0</v>
      </c>
      <c r="AF2896" t="s">
        <v>31</v>
      </c>
      <c r="AG2896">
        <v>0</v>
      </c>
      <c r="AH2896" t="s">
        <v>31</v>
      </c>
      <c r="AI2896">
        <v>0</v>
      </c>
      <c r="AJ2896" t="s">
        <v>31</v>
      </c>
      <c r="AK2896">
        <v>0</v>
      </c>
      <c r="AL2896" t="s">
        <v>31</v>
      </c>
      <c r="AM2896">
        <v>0</v>
      </c>
      <c r="AN2896" t="s">
        <v>31</v>
      </c>
      <c r="AO2896">
        <v>0</v>
      </c>
      <c r="AP2896" t="s">
        <v>31</v>
      </c>
      <c r="AQ2896">
        <v>0</v>
      </c>
    </row>
    <row r="2897" spans="1:43" x14ac:dyDescent="0.2">
      <c r="A2897" t="s">
        <v>381</v>
      </c>
      <c r="B2897" s="3">
        <v>44285</v>
      </c>
      <c r="C2897">
        <v>44</v>
      </c>
      <c r="D2897" t="s">
        <v>385</v>
      </c>
      <c r="E2897" t="s">
        <v>83</v>
      </c>
      <c r="F2897" s="9" t="s">
        <v>89</v>
      </c>
      <c r="G2897" t="s">
        <v>26</v>
      </c>
      <c r="H2897" t="s">
        <v>85</v>
      </c>
      <c r="I2897" t="s">
        <v>86</v>
      </c>
      <c r="J2897" t="s">
        <v>43</v>
      </c>
      <c r="K2897" t="s">
        <v>44</v>
      </c>
      <c r="L2897" t="s">
        <v>53</v>
      </c>
      <c r="M2897" t="s">
        <v>54</v>
      </c>
      <c r="N2897" t="s">
        <v>85</v>
      </c>
      <c r="O2897" t="s">
        <v>86</v>
      </c>
      <c r="P2897" t="s">
        <v>43</v>
      </c>
      <c r="Q2897" t="s">
        <v>44</v>
      </c>
      <c r="R2897" s="1">
        <v>44285.487361111111</v>
      </c>
      <c r="S2897" s="1">
        <v>44285.487361111111</v>
      </c>
      <c r="T2897">
        <v>0</v>
      </c>
      <c r="U2897">
        <v>2</v>
      </c>
      <c r="V2897" s="2">
        <v>0</v>
      </c>
      <c r="W2897">
        <v>0</v>
      </c>
      <c r="X2897" t="s">
        <v>44</v>
      </c>
      <c r="Y2897">
        <v>0</v>
      </c>
      <c r="Z2897" t="s">
        <v>44</v>
      </c>
      <c r="AA2897">
        <v>0</v>
      </c>
      <c r="AB2897" t="s">
        <v>31</v>
      </c>
      <c r="AC2897">
        <v>0</v>
      </c>
      <c r="AD2897" t="s">
        <v>31</v>
      </c>
      <c r="AE2897">
        <v>0</v>
      </c>
      <c r="AF2897" t="s">
        <v>31</v>
      </c>
      <c r="AG2897">
        <v>0</v>
      </c>
      <c r="AH2897" t="s">
        <v>31</v>
      </c>
      <c r="AI2897">
        <v>0</v>
      </c>
      <c r="AJ2897" t="s">
        <v>31</v>
      </c>
      <c r="AK2897">
        <v>0</v>
      </c>
      <c r="AL2897" t="s">
        <v>31</v>
      </c>
      <c r="AM2897">
        <v>0</v>
      </c>
      <c r="AN2897" t="s">
        <v>31</v>
      </c>
      <c r="AO2897">
        <v>0</v>
      </c>
      <c r="AP2897" t="s">
        <v>31</v>
      </c>
      <c r="AQ2897">
        <v>0</v>
      </c>
    </row>
    <row r="2898" spans="1:43" x14ac:dyDescent="0.2">
      <c r="A2898" t="s">
        <v>381</v>
      </c>
      <c r="B2898" s="3">
        <v>44287</v>
      </c>
      <c r="C2898">
        <v>47</v>
      </c>
      <c r="D2898" t="s">
        <v>385</v>
      </c>
      <c r="E2898" t="s">
        <v>83</v>
      </c>
      <c r="F2898" s="9" t="s">
        <v>89</v>
      </c>
      <c r="G2898" t="s">
        <v>26</v>
      </c>
      <c r="H2898" t="s">
        <v>85</v>
      </c>
      <c r="I2898" t="s">
        <v>86</v>
      </c>
      <c r="J2898" t="s">
        <v>43</v>
      </c>
      <c r="K2898" t="s">
        <v>44</v>
      </c>
      <c r="L2898" t="s">
        <v>53</v>
      </c>
      <c r="M2898" t="s">
        <v>54</v>
      </c>
      <c r="N2898" t="s">
        <v>85</v>
      </c>
      <c r="O2898" t="s">
        <v>86</v>
      </c>
      <c r="P2898" t="s">
        <v>43</v>
      </c>
      <c r="Q2898" t="s">
        <v>44</v>
      </c>
      <c r="R2898" s="1">
        <v>44287.458194444444</v>
      </c>
      <c r="S2898" s="1">
        <v>44287.458194444444</v>
      </c>
      <c r="T2898">
        <v>0</v>
      </c>
      <c r="U2898">
        <v>2</v>
      </c>
      <c r="V2898" s="2">
        <v>0</v>
      </c>
      <c r="W2898">
        <v>0</v>
      </c>
      <c r="X2898" t="s">
        <v>44</v>
      </c>
      <c r="Y2898">
        <v>0</v>
      </c>
      <c r="Z2898" t="s">
        <v>44</v>
      </c>
      <c r="AA2898">
        <v>0</v>
      </c>
      <c r="AB2898" t="s">
        <v>31</v>
      </c>
      <c r="AC2898">
        <v>0</v>
      </c>
      <c r="AD2898" t="s">
        <v>31</v>
      </c>
      <c r="AE2898">
        <v>0</v>
      </c>
      <c r="AF2898" t="s">
        <v>31</v>
      </c>
      <c r="AG2898">
        <v>0</v>
      </c>
      <c r="AH2898" t="s">
        <v>31</v>
      </c>
      <c r="AI2898">
        <v>0</v>
      </c>
      <c r="AJ2898" t="s">
        <v>31</v>
      </c>
      <c r="AK2898">
        <v>0</v>
      </c>
      <c r="AL2898" t="s">
        <v>31</v>
      </c>
      <c r="AM2898">
        <v>0</v>
      </c>
      <c r="AN2898" t="s">
        <v>31</v>
      </c>
      <c r="AO2898">
        <v>0</v>
      </c>
      <c r="AP2898" t="s">
        <v>31</v>
      </c>
      <c r="AQ2898">
        <v>0</v>
      </c>
    </row>
    <row r="2899" spans="1:43" x14ac:dyDescent="0.2">
      <c r="A2899" t="s">
        <v>381</v>
      </c>
      <c r="B2899" s="3">
        <v>44288</v>
      </c>
      <c r="C2899">
        <v>49</v>
      </c>
      <c r="D2899" t="s">
        <v>384</v>
      </c>
      <c r="E2899" t="s">
        <v>83</v>
      </c>
      <c r="F2899" s="9" t="s">
        <v>89</v>
      </c>
      <c r="G2899" t="s">
        <v>26</v>
      </c>
      <c r="H2899" t="s">
        <v>85</v>
      </c>
      <c r="I2899" t="s">
        <v>86</v>
      </c>
      <c r="J2899" t="s">
        <v>43</v>
      </c>
      <c r="K2899" t="s">
        <v>44</v>
      </c>
      <c r="L2899" t="s">
        <v>53</v>
      </c>
      <c r="M2899" t="s">
        <v>54</v>
      </c>
      <c r="N2899" t="s">
        <v>85</v>
      </c>
      <c r="O2899" t="s">
        <v>86</v>
      </c>
      <c r="P2899" t="s">
        <v>43</v>
      </c>
      <c r="Q2899" t="s">
        <v>44</v>
      </c>
      <c r="R2899" s="1">
        <v>44288.430509259262</v>
      </c>
      <c r="S2899" s="1">
        <v>44288.430509259262</v>
      </c>
      <c r="T2899">
        <v>0</v>
      </c>
      <c r="U2899">
        <v>1</v>
      </c>
      <c r="V2899" s="2">
        <v>0</v>
      </c>
      <c r="W2899">
        <v>0</v>
      </c>
      <c r="X2899" t="s">
        <v>44</v>
      </c>
      <c r="Y2899">
        <v>0</v>
      </c>
      <c r="Z2899" t="s">
        <v>31</v>
      </c>
      <c r="AA2899">
        <v>0</v>
      </c>
      <c r="AB2899" t="s">
        <v>31</v>
      </c>
      <c r="AC2899">
        <v>0</v>
      </c>
      <c r="AD2899" t="s">
        <v>31</v>
      </c>
      <c r="AE2899">
        <v>0</v>
      </c>
      <c r="AF2899" t="s">
        <v>31</v>
      </c>
      <c r="AG2899">
        <v>0</v>
      </c>
      <c r="AH2899" t="s">
        <v>31</v>
      </c>
      <c r="AI2899">
        <v>0</v>
      </c>
      <c r="AJ2899" t="s">
        <v>31</v>
      </c>
      <c r="AK2899">
        <v>0</v>
      </c>
      <c r="AL2899" t="s">
        <v>31</v>
      </c>
      <c r="AM2899">
        <v>0</v>
      </c>
      <c r="AN2899" t="s">
        <v>31</v>
      </c>
      <c r="AO2899">
        <v>0</v>
      </c>
      <c r="AP2899" t="s">
        <v>31</v>
      </c>
      <c r="AQ2899">
        <v>0</v>
      </c>
    </row>
    <row r="2900" spans="1:43" x14ac:dyDescent="0.2">
      <c r="A2900" t="s">
        <v>381</v>
      </c>
      <c r="B2900" s="3">
        <v>44291</v>
      </c>
      <c r="C2900">
        <v>50</v>
      </c>
      <c r="D2900" t="s">
        <v>384</v>
      </c>
      <c r="E2900" t="s">
        <v>83</v>
      </c>
      <c r="F2900" s="9" t="s">
        <v>89</v>
      </c>
      <c r="G2900" t="s">
        <v>26</v>
      </c>
      <c r="H2900" t="s">
        <v>85</v>
      </c>
      <c r="I2900" t="s">
        <v>86</v>
      </c>
      <c r="J2900" t="s">
        <v>43</v>
      </c>
      <c r="K2900" t="s">
        <v>44</v>
      </c>
      <c r="L2900" t="s">
        <v>53</v>
      </c>
      <c r="M2900" t="s">
        <v>54</v>
      </c>
      <c r="N2900" t="s">
        <v>85</v>
      </c>
      <c r="O2900" t="s">
        <v>86</v>
      </c>
      <c r="P2900" t="s">
        <v>43</v>
      </c>
      <c r="Q2900" t="s">
        <v>44</v>
      </c>
      <c r="R2900" s="1">
        <v>44291.389837962961</v>
      </c>
      <c r="S2900" s="1">
        <v>44291.389837962961</v>
      </c>
      <c r="T2900">
        <v>1</v>
      </c>
      <c r="U2900">
        <v>1</v>
      </c>
      <c r="V2900" s="2">
        <v>1</v>
      </c>
      <c r="W2900">
        <v>1</v>
      </c>
      <c r="X2900" t="s">
        <v>54</v>
      </c>
      <c r="Y2900">
        <v>1</v>
      </c>
      <c r="Z2900" t="s">
        <v>31</v>
      </c>
      <c r="AA2900">
        <v>0</v>
      </c>
      <c r="AB2900" t="s">
        <v>31</v>
      </c>
      <c r="AC2900">
        <v>0</v>
      </c>
      <c r="AD2900" t="s">
        <v>31</v>
      </c>
      <c r="AE2900">
        <v>0</v>
      </c>
      <c r="AF2900" t="s">
        <v>31</v>
      </c>
      <c r="AG2900">
        <v>0</v>
      </c>
      <c r="AH2900" t="s">
        <v>31</v>
      </c>
      <c r="AI2900">
        <v>0</v>
      </c>
      <c r="AJ2900" t="s">
        <v>31</v>
      </c>
      <c r="AK2900">
        <v>0</v>
      </c>
      <c r="AL2900" t="s">
        <v>31</v>
      </c>
      <c r="AM2900">
        <v>0</v>
      </c>
      <c r="AN2900" t="s">
        <v>31</v>
      </c>
      <c r="AO2900">
        <v>0</v>
      </c>
      <c r="AP2900" t="s">
        <v>31</v>
      </c>
      <c r="AQ2900">
        <v>0</v>
      </c>
    </row>
    <row r="2901" spans="1:43" x14ac:dyDescent="0.2">
      <c r="A2901" t="s">
        <v>381</v>
      </c>
      <c r="B2901" s="3">
        <v>44292</v>
      </c>
      <c r="C2901">
        <v>51</v>
      </c>
      <c r="D2901" t="s">
        <v>385</v>
      </c>
      <c r="E2901" t="s">
        <v>83</v>
      </c>
      <c r="F2901" s="9" t="s">
        <v>89</v>
      </c>
      <c r="G2901" t="s">
        <v>26</v>
      </c>
      <c r="H2901" t="s">
        <v>85</v>
      </c>
      <c r="I2901" t="s">
        <v>86</v>
      </c>
      <c r="J2901" t="s">
        <v>43</v>
      </c>
      <c r="K2901" t="s">
        <v>44</v>
      </c>
      <c r="L2901" t="s">
        <v>53</v>
      </c>
      <c r="M2901" t="s">
        <v>54</v>
      </c>
      <c r="N2901" t="s">
        <v>85</v>
      </c>
      <c r="O2901" t="s">
        <v>86</v>
      </c>
      <c r="P2901" t="s">
        <v>43</v>
      </c>
      <c r="Q2901" t="s">
        <v>44</v>
      </c>
      <c r="R2901" s="1">
        <v>44292.467523148145</v>
      </c>
      <c r="S2901" s="1">
        <v>44292.467523148145</v>
      </c>
      <c r="T2901">
        <v>0</v>
      </c>
      <c r="U2901">
        <v>1</v>
      </c>
      <c r="V2901" s="2">
        <v>0</v>
      </c>
      <c r="W2901">
        <v>0</v>
      </c>
      <c r="X2901" t="s">
        <v>44</v>
      </c>
      <c r="Y2901">
        <v>0</v>
      </c>
      <c r="Z2901" t="s">
        <v>31</v>
      </c>
      <c r="AA2901">
        <v>0</v>
      </c>
      <c r="AB2901" t="s">
        <v>31</v>
      </c>
      <c r="AC2901">
        <v>0</v>
      </c>
      <c r="AD2901" t="s">
        <v>31</v>
      </c>
      <c r="AE2901">
        <v>0</v>
      </c>
      <c r="AF2901" t="s">
        <v>31</v>
      </c>
      <c r="AG2901">
        <v>0</v>
      </c>
      <c r="AH2901" t="s">
        <v>31</v>
      </c>
      <c r="AI2901">
        <v>0</v>
      </c>
      <c r="AJ2901" t="s">
        <v>31</v>
      </c>
      <c r="AK2901">
        <v>0</v>
      </c>
      <c r="AL2901" t="s">
        <v>31</v>
      </c>
      <c r="AM2901">
        <v>0</v>
      </c>
      <c r="AN2901" t="s">
        <v>31</v>
      </c>
      <c r="AO2901">
        <v>0</v>
      </c>
      <c r="AP2901" t="s">
        <v>31</v>
      </c>
      <c r="AQ2901">
        <v>0</v>
      </c>
    </row>
    <row r="2902" spans="1:43" x14ac:dyDescent="0.2">
      <c r="A2902" t="s">
        <v>381</v>
      </c>
      <c r="B2902" s="3">
        <v>44292</v>
      </c>
      <c r="C2902">
        <v>52</v>
      </c>
      <c r="D2902" t="s">
        <v>386</v>
      </c>
      <c r="E2902" t="s">
        <v>83</v>
      </c>
      <c r="F2902" s="9" t="s">
        <v>89</v>
      </c>
      <c r="G2902" t="s">
        <v>26</v>
      </c>
      <c r="H2902" t="s">
        <v>85</v>
      </c>
      <c r="I2902" t="s">
        <v>86</v>
      </c>
      <c r="J2902" t="s">
        <v>43</v>
      </c>
      <c r="K2902" t="s">
        <v>44</v>
      </c>
      <c r="L2902" t="s">
        <v>53</v>
      </c>
      <c r="M2902" t="s">
        <v>54</v>
      </c>
      <c r="N2902" t="s">
        <v>85</v>
      </c>
      <c r="O2902" t="s">
        <v>86</v>
      </c>
      <c r="P2902" t="s">
        <v>43</v>
      </c>
      <c r="Q2902" t="s">
        <v>44</v>
      </c>
      <c r="R2902" s="1">
        <v>44292.625254629631</v>
      </c>
      <c r="S2902" s="1">
        <v>44292.625254629631</v>
      </c>
      <c r="T2902">
        <v>1</v>
      </c>
      <c r="U2902">
        <v>1</v>
      </c>
      <c r="V2902" s="2">
        <v>1</v>
      </c>
      <c r="W2902">
        <v>1</v>
      </c>
      <c r="X2902" t="s">
        <v>54</v>
      </c>
      <c r="Y2902">
        <v>1</v>
      </c>
      <c r="Z2902" t="s">
        <v>31</v>
      </c>
      <c r="AA2902">
        <v>0</v>
      </c>
      <c r="AB2902" t="s">
        <v>31</v>
      </c>
      <c r="AC2902">
        <v>0</v>
      </c>
      <c r="AD2902" t="s">
        <v>31</v>
      </c>
      <c r="AE2902">
        <v>0</v>
      </c>
      <c r="AF2902" t="s">
        <v>31</v>
      </c>
      <c r="AG2902">
        <v>0</v>
      </c>
      <c r="AH2902" t="s">
        <v>31</v>
      </c>
      <c r="AI2902">
        <v>0</v>
      </c>
      <c r="AJ2902" t="s">
        <v>31</v>
      </c>
      <c r="AK2902">
        <v>0</v>
      </c>
      <c r="AL2902" t="s">
        <v>31</v>
      </c>
      <c r="AM2902">
        <v>0</v>
      </c>
      <c r="AN2902" t="s">
        <v>31</v>
      </c>
      <c r="AO2902">
        <v>0</v>
      </c>
      <c r="AP2902" t="s">
        <v>31</v>
      </c>
      <c r="AQ2902">
        <v>0</v>
      </c>
    </row>
    <row r="2903" spans="1:43" x14ac:dyDescent="0.2">
      <c r="A2903" t="s">
        <v>381</v>
      </c>
      <c r="B2903" s="3">
        <v>44293</v>
      </c>
      <c r="C2903">
        <v>53</v>
      </c>
      <c r="D2903" t="s">
        <v>384</v>
      </c>
      <c r="E2903" t="s">
        <v>83</v>
      </c>
      <c r="F2903" s="9" t="s">
        <v>89</v>
      </c>
      <c r="G2903" t="s">
        <v>26</v>
      </c>
      <c r="H2903" t="s">
        <v>85</v>
      </c>
      <c r="I2903" t="s">
        <v>86</v>
      </c>
      <c r="J2903" t="s">
        <v>43</v>
      </c>
      <c r="K2903" t="s">
        <v>44</v>
      </c>
      <c r="L2903" t="s">
        <v>53</v>
      </c>
      <c r="M2903" t="s">
        <v>54</v>
      </c>
      <c r="N2903" t="s">
        <v>85</v>
      </c>
      <c r="O2903" t="s">
        <v>86</v>
      </c>
      <c r="P2903" t="s">
        <v>43</v>
      </c>
      <c r="Q2903" t="s">
        <v>44</v>
      </c>
      <c r="R2903" s="1">
        <v>44293.42465277778</v>
      </c>
      <c r="S2903" s="1">
        <v>44293.42465277778</v>
      </c>
      <c r="T2903">
        <v>0</v>
      </c>
      <c r="U2903">
        <v>1</v>
      </c>
      <c r="V2903" s="2">
        <v>0</v>
      </c>
      <c r="W2903">
        <v>0</v>
      </c>
      <c r="X2903" t="s">
        <v>44</v>
      </c>
      <c r="Y2903">
        <v>0</v>
      </c>
      <c r="Z2903" t="s">
        <v>31</v>
      </c>
      <c r="AA2903">
        <v>0</v>
      </c>
      <c r="AB2903" t="s">
        <v>31</v>
      </c>
      <c r="AC2903">
        <v>0</v>
      </c>
      <c r="AD2903" t="s">
        <v>31</v>
      </c>
      <c r="AE2903">
        <v>0</v>
      </c>
      <c r="AF2903" t="s">
        <v>31</v>
      </c>
      <c r="AG2903">
        <v>0</v>
      </c>
      <c r="AH2903" t="s">
        <v>31</v>
      </c>
      <c r="AI2903">
        <v>0</v>
      </c>
      <c r="AJ2903" t="s">
        <v>31</v>
      </c>
      <c r="AK2903">
        <v>0</v>
      </c>
      <c r="AL2903" t="s">
        <v>31</v>
      </c>
      <c r="AM2903">
        <v>0</v>
      </c>
      <c r="AN2903" t="s">
        <v>31</v>
      </c>
      <c r="AO2903">
        <v>0</v>
      </c>
      <c r="AP2903" t="s">
        <v>31</v>
      </c>
      <c r="AQ2903">
        <v>0</v>
      </c>
    </row>
    <row r="2904" spans="1:43" x14ac:dyDescent="0.2">
      <c r="A2904" t="s">
        <v>381</v>
      </c>
      <c r="B2904" s="3">
        <v>44294</v>
      </c>
      <c r="C2904">
        <v>54</v>
      </c>
      <c r="D2904" t="s">
        <v>407</v>
      </c>
      <c r="E2904" t="s">
        <v>83</v>
      </c>
      <c r="F2904" s="9" t="s">
        <v>89</v>
      </c>
      <c r="G2904" t="s">
        <v>26</v>
      </c>
      <c r="H2904" t="s">
        <v>85</v>
      </c>
      <c r="I2904" t="s">
        <v>86</v>
      </c>
      <c r="J2904" t="s">
        <v>43</v>
      </c>
      <c r="K2904" t="s">
        <v>44</v>
      </c>
      <c r="L2904" t="s">
        <v>53</v>
      </c>
      <c r="M2904" t="s">
        <v>54</v>
      </c>
      <c r="N2904" t="s">
        <v>85</v>
      </c>
      <c r="O2904" t="s">
        <v>86</v>
      </c>
      <c r="P2904" t="s">
        <v>43</v>
      </c>
      <c r="Q2904" t="s">
        <v>44</v>
      </c>
      <c r="R2904" s="1">
        <v>44294.407986111109</v>
      </c>
      <c r="S2904" s="1">
        <v>44294.407986111109</v>
      </c>
      <c r="T2904">
        <v>0</v>
      </c>
      <c r="U2904">
        <v>1</v>
      </c>
      <c r="V2904" s="2">
        <v>0</v>
      </c>
      <c r="W2904">
        <v>0</v>
      </c>
      <c r="X2904" t="s">
        <v>44</v>
      </c>
      <c r="Y2904">
        <v>0</v>
      </c>
      <c r="Z2904" t="s">
        <v>31</v>
      </c>
      <c r="AA2904">
        <v>0</v>
      </c>
      <c r="AB2904" t="s">
        <v>31</v>
      </c>
      <c r="AC2904">
        <v>0</v>
      </c>
      <c r="AD2904" t="s">
        <v>31</v>
      </c>
      <c r="AE2904">
        <v>0</v>
      </c>
      <c r="AF2904" t="s">
        <v>31</v>
      </c>
      <c r="AG2904">
        <v>0</v>
      </c>
      <c r="AH2904" t="s">
        <v>31</v>
      </c>
      <c r="AI2904">
        <v>0</v>
      </c>
      <c r="AJ2904" t="s">
        <v>31</v>
      </c>
      <c r="AK2904">
        <v>0</v>
      </c>
      <c r="AL2904" t="s">
        <v>31</v>
      </c>
      <c r="AM2904">
        <v>0</v>
      </c>
      <c r="AN2904" t="s">
        <v>31</v>
      </c>
      <c r="AO2904">
        <v>0</v>
      </c>
      <c r="AP2904" t="s">
        <v>31</v>
      </c>
      <c r="AQ2904">
        <v>0</v>
      </c>
    </row>
    <row r="2905" spans="1:43" x14ac:dyDescent="0.2">
      <c r="A2905" t="s">
        <v>381</v>
      </c>
      <c r="B2905" s="3">
        <v>44295</v>
      </c>
      <c r="C2905">
        <v>56</v>
      </c>
      <c r="D2905" t="s">
        <v>384</v>
      </c>
      <c r="E2905" t="s">
        <v>83</v>
      </c>
      <c r="F2905" s="9" t="s">
        <v>89</v>
      </c>
      <c r="G2905" t="s">
        <v>26</v>
      </c>
      <c r="H2905" t="s">
        <v>85</v>
      </c>
      <c r="I2905" t="s">
        <v>86</v>
      </c>
      <c r="J2905" t="s">
        <v>43</v>
      </c>
      <c r="K2905" t="s">
        <v>44</v>
      </c>
      <c r="L2905" t="s">
        <v>53</v>
      </c>
      <c r="M2905" t="s">
        <v>54</v>
      </c>
      <c r="N2905" t="s">
        <v>85</v>
      </c>
      <c r="O2905" t="s">
        <v>86</v>
      </c>
      <c r="P2905" t="s">
        <v>43</v>
      </c>
      <c r="Q2905" t="s">
        <v>44</v>
      </c>
      <c r="R2905" s="1">
        <v>44295.427881944444</v>
      </c>
      <c r="S2905" s="1">
        <v>44295.427881944444</v>
      </c>
      <c r="T2905">
        <v>0</v>
      </c>
      <c r="U2905">
        <v>1</v>
      </c>
      <c r="V2905" s="2">
        <v>0</v>
      </c>
      <c r="W2905">
        <v>0</v>
      </c>
      <c r="X2905" t="s">
        <v>44</v>
      </c>
      <c r="Y2905">
        <v>0</v>
      </c>
      <c r="Z2905" t="s">
        <v>31</v>
      </c>
      <c r="AA2905">
        <v>0</v>
      </c>
      <c r="AB2905" t="s">
        <v>31</v>
      </c>
      <c r="AC2905">
        <v>0</v>
      </c>
      <c r="AD2905" t="s">
        <v>31</v>
      </c>
      <c r="AE2905">
        <v>0</v>
      </c>
      <c r="AF2905" t="s">
        <v>31</v>
      </c>
      <c r="AG2905">
        <v>0</v>
      </c>
      <c r="AH2905" t="s">
        <v>31</v>
      </c>
      <c r="AI2905">
        <v>0</v>
      </c>
      <c r="AJ2905" t="s">
        <v>31</v>
      </c>
      <c r="AK2905">
        <v>0</v>
      </c>
      <c r="AL2905" t="s">
        <v>31</v>
      </c>
      <c r="AM2905">
        <v>0</v>
      </c>
      <c r="AN2905" t="s">
        <v>31</v>
      </c>
      <c r="AO2905">
        <v>0</v>
      </c>
      <c r="AP2905" t="s">
        <v>31</v>
      </c>
      <c r="AQ2905">
        <v>0</v>
      </c>
    </row>
    <row r="2906" spans="1:43" x14ac:dyDescent="0.2">
      <c r="A2906" t="s">
        <v>381</v>
      </c>
      <c r="B2906" s="3">
        <v>44298</v>
      </c>
      <c r="C2906">
        <v>57</v>
      </c>
      <c r="D2906" t="s">
        <v>387</v>
      </c>
      <c r="E2906" t="s">
        <v>83</v>
      </c>
      <c r="F2906" s="9" t="s">
        <v>89</v>
      </c>
      <c r="G2906" t="s">
        <v>26</v>
      </c>
      <c r="H2906" t="s">
        <v>85</v>
      </c>
      <c r="I2906" t="s">
        <v>86</v>
      </c>
      <c r="J2906" t="s">
        <v>43</v>
      </c>
      <c r="K2906" t="s">
        <v>44</v>
      </c>
      <c r="L2906" t="s">
        <v>53</v>
      </c>
      <c r="M2906" t="s">
        <v>54</v>
      </c>
      <c r="N2906" t="s">
        <v>85</v>
      </c>
      <c r="O2906" t="s">
        <v>86</v>
      </c>
      <c r="P2906" t="s">
        <v>43</v>
      </c>
      <c r="Q2906" t="s">
        <v>44</v>
      </c>
      <c r="R2906" s="1">
        <v>44298.646423611113</v>
      </c>
      <c r="S2906" s="1">
        <v>44298.646423611113</v>
      </c>
      <c r="T2906">
        <v>0</v>
      </c>
      <c r="U2906">
        <v>1</v>
      </c>
      <c r="V2906" s="2">
        <v>0</v>
      </c>
      <c r="W2906">
        <v>0</v>
      </c>
      <c r="X2906" t="s">
        <v>44</v>
      </c>
      <c r="Y2906">
        <v>0</v>
      </c>
      <c r="Z2906" t="s">
        <v>31</v>
      </c>
      <c r="AA2906">
        <v>0</v>
      </c>
      <c r="AB2906" t="s">
        <v>31</v>
      </c>
      <c r="AC2906">
        <v>0</v>
      </c>
      <c r="AD2906" t="s">
        <v>31</v>
      </c>
      <c r="AE2906">
        <v>0</v>
      </c>
      <c r="AF2906" t="s">
        <v>31</v>
      </c>
      <c r="AG2906">
        <v>0</v>
      </c>
      <c r="AH2906" t="s">
        <v>31</v>
      </c>
      <c r="AI2906">
        <v>0</v>
      </c>
      <c r="AJ2906" t="s">
        <v>31</v>
      </c>
      <c r="AK2906">
        <v>0</v>
      </c>
      <c r="AL2906" t="s">
        <v>31</v>
      </c>
      <c r="AM2906">
        <v>0</v>
      </c>
      <c r="AN2906" t="s">
        <v>31</v>
      </c>
      <c r="AO2906">
        <v>0</v>
      </c>
      <c r="AP2906" t="s">
        <v>31</v>
      </c>
      <c r="AQ2906">
        <v>0</v>
      </c>
    </row>
    <row r="2907" spans="1:43" x14ac:dyDescent="0.2">
      <c r="A2907" t="s">
        <v>381</v>
      </c>
      <c r="B2907" s="3">
        <v>44299</v>
      </c>
      <c r="C2907">
        <v>58</v>
      </c>
      <c r="D2907" t="s">
        <v>385</v>
      </c>
      <c r="E2907" t="s">
        <v>83</v>
      </c>
      <c r="F2907" s="9" t="s">
        <v>89</v>
      </c>
      <c r="G2907" t="s">
        <v>26</v>
      </c>
      <c r="H2907" t="s">
        <v>85</v>
      </c>
      <c r="I2907" t="s">
        <v>86</v>
      </c>
      <c r="J2907" t="s">
        <v>43</v>
      </c>
      <c r="K2907" t="s">
        <v>44</v>
      </c>
      <c r="L2907" t="s">
        <v>53</v>
      </c>
      <c r="M2907" t="s">
        <v>54</v>
      </c>
      <c r="N2907" t="s">
        <v>85</v>
      </c>
      <c r="O2907" t="s">
        <v>86</v>
      </c>
      <c r="P2907" t="s">
        <v>43</v>
      </c>
      <c r="Q2907" t="s">
        <v>44</v>
      </c>
      <c r="R2907" s="1">
        <v>44299.42423611111</v>
      </c>
      <c r="S2907" s="1">
        <v>44299.452557870369</v>
      </c>
      <c r="T2907">
        <v>0</v>
      </c>
      <c r="U2907">
        <v>4</v>
      </c>
      <c r="V2907" s="2">
        <v>0</v>
      </c>
      <c r="W2907">
        <v>0</v>
      </c>
      <c r="X2907" t="s">
        <v>44</v>
      </c>
      <c r="Y2907">
        <v>0</v>
      </c>
      <c r="Z2907" t="s">
        <v>44</v>
      </c>
      <c r="AA2907">
        <v>0</v>
      </c>
      <c r="AB2907" t="s">
        <v>44</v>
      </c>
      <c r="AC2907">
        <v>0</v>
      </c>
      <c r="AD2907" t="s">
        <v>44</v>
      </c>
      <c r="AE2907">
        <v>0</v>
      </c>
      <c r="AF2907" t="s">
        <v>31</v>
      </c>
      <c r="AG2907">
        <v>0</v>
      </c>
      <c r="AH2907" t="s">
        <v>31</v>
      </c>
      <c r="AI2907">
        <v>0</v>
      </c>
      <c r="AJ2907" t="s">
        <v>31</v>
      </c>
      <c r="AK2907">
        <v>0</v>
      </c>
      <c r="AL2907" t="s">
        <v>31</v>
      </c>
      <c r="AM2907">
        <v>0</v>
      </c>
      <c r="AN2907" t="s">
        <v>31</v>
      </c>
      <c r="AO2907">
        <v>0</v>
      </c>
      <c r="AP2907" t="s">
        <v>31</v>
      </c>
      <c r="AQ2907">
        <v>0</v>
      </c>
    </row>
    <row r="2908" spans="1:43" x14ac:dyDescent="0.2">
      <c r="A2908" t="s">
        <v>381</v>
      </c>
      <c r="B2908" s="3">
        <v>44299</v>
      </c>
      <c r="C2908">
        <v>59</v>
      </c>
      <c r="D2908" t="s">
        <v>385</v>
      </c>
      <c r="E2908" t="s">
        <v>83</v>
      </c>
      <c r="F2908" s="9" t="s">
        <v>89</v>
      </c>
      <c r="G2908" t="s">
        <v>26</v>
      </c>
      <c r="H2908" t="s">
        <v>85</v>
      </c>
      <c r="I2908" t="s">
        <v>86</v>
      </c>
      <c r="J2908" t="s">
        <v>43</v>
      </c>
      <c r="K2908" t="s">
        <v>44</v>
      </c>
      <c r="L2908" t="s">
        <v>53</v>
      </c>
      <c r="M2908" t="s">
        <v>54</v>
      </c>
      <c r="N2908" t="s">
        <v>85</v>
      </c>
      <c r="O2908" t="s">
        <v>86</v>
      </c>
      <c r="P2908" t="s">
        <v>43</v>
      </c>
      <c r="Q2908" t="s">
        <v>44</v>
      </c>
      <c r="R2908" s="1">
        <v>44299.588703703703</v>
      </c>
      <c r="S2908" s="1">
        <v>44299.58871527778</v>
      </c>
      <c r="T2908">
        <v>0</v>
      </c>
      <c r="U2908">
        <v>2</v>
      </c>
      <c r="V2908" s="2">
        <v>0</v>
      </c>
      <c r="W2908">
        <v>0</v>
      </c>
      <c r="X2908" t="s">
        <v>44</v>
      </c>
      <c r="Y2908">
        <v>0</v>
      </c>
      <c r="Z2908" t="s">
        <v>44</v>
      </c>
      <c r="AA2908">
        <v>0</v>
      </c>
      <c r="AB2908" t="s">
        <v>31</v>
      </c>
      <c r="AC2908">
        <v>0</v>
      </c>
      <c r="AD2908" t="s">
        <v>31</v>
      </c>
      <c r="AE2908">
        <v>0</v>
      </c>
      <c r="AF2908" t="s">
        <v>31</v>
      </c>
      <c r="AG2908">
        <v>0</v>
      </c>
      <c r="AH2908" t="s">
        <v>31</v>
      </c>
      <c r="AI2908">
        <v>0</v>
      </c>
      <c r="AJ2908" t="s">
        <v>31</v>
      </c>
      <c r="AK2908">
        <v>0</v>
      </c>
      <c r="AL2908" t="s">
        <v>31</v>
      </c>
      <c r="AM2908">
        <v>0</v>
      </c>
      <c r="AN2908" t="s">
        <v>31</v>
      </c>
      <c r="AO2908">
        <v>0</v>
      </c>
      <c r="AP2908" t="s">
        <v>31</v>
      </c>
      <c r="AQ2908">
        <v>0</v>
      </c>
    </row>
    <row r="2909" spans="1:43" x14ac:dyDescent="0.2">
      <c r="A2909" t="s">
        <v>381</v>
      </c>
      <c r="B2909" s="3">
        <v>44300</v>
      </c>
      <c r="C2909">
        <v>60</v>
      </c>
      <c r="D2909" t="s">
        <v>398</v>
      </c>
      <c r="E2909" t="s">
        <v>83</v>
      </c>
      <c r="F2909" s="9" t="s">
        <v>89</v>
      </c>
      <c r="G2909" t="s">
        <v>26</v>
      </c>
      <c r="H2909" t="s">
        <v>85</v>
      </c>
      <c r="I2909" t="s">
        <v>86</v>
      </c>
      <c r="J2909" t="s">
        <v>43</v>
      </c>
      <c r="K2909" t="s">
        <v>44</v>
      </c>
      <c r="L2909" t="s">
        <v>53</v>
      </c>
      <c r="M2909" t="s">
        <v>54</v>
      </c>
      <c r="N2909" t="s">
        <v>85</v>
      </c>
      <c r="O2909" t="s">
        <v>86</v>
      </c>
      <c r="P2909" t="s">
        <v>43</v>
      </c>
      <c r="Q2909" t="s">
        <v>44</v>
      </c>
      <c r="R2909" s="1">
        <v>44300.467858796299</v>
      </c>
      <c r="S2909" s="1">
        <v>44300.467858796299</v>
      </c>
      <c r="T2909">
        <v>0</v>
      </c>
      <c r="U2909">
        <v>1</v>
      </c>
      <c r="V2909" s="2">
        <v>0</v>
      </c>
      <c r="W2909">
        <v>0</v>
      </c>
      <c r="X2909" t="s">
        <v>44</v>
      </c>
      <c r="Y2909">
        <v>0</v>
      </c>
      <c r="Z2909" t="s">
        <v>31</v>
      </c>
      <c r="AA2909">
        <v>0</v>
      </c>
      <c r="AB2909" t="s">
        <v>31</v>
      </c>
      <c r="AC2909">
        <v>0</v>
      </c>
      <c r="AD2909" t="s">
        <v>31</v>
      </c>
      <c r="AE2909">
        <v>0</v>
      </c>
      <c r="AF2909" t="s">
        <v>31</v>
      </c>
      <c r="AG2909">
        <v>0</v>
      </c>
      <c r="AH2909" t="s">
        <v>31</v>
      </c>
      <c r="AI2909">
        <v>0</v>
      </c>
      <c r="AJ2909" t="s">
        <v>31</v>
      </c>
      <c r="AK2909">
        <v>0</v>
      </c>
      <c r="AL2909" t="s">
        <v>31</v>
      </c>
      <c r="AM2909">
        <v>0</v>
      </c>
      <c r="AN2909" t="s">
        <v>31</v>
      </c>
      <c r="AO2909">
        <v>0</v>
      </c>
      <c r="AP2909" t="s">
        <v>31</v>
      </c>
      <c r="AQ2909">
        <v>0</v>
      </c>
    </row>
    <row r="2910" spans="1:43" x14ac:dyDescent="0.2">
      <c r="A2910" t="s">
        <v>381</v>
      </c>
      <c r="B2910" s="3">
        <v>44300</v>
      </c>
      <c r="C2910">
        <v>61</v>
      </c>
      <c r="D2910" t="s">
        <v>401</v>
      </c>
      <c r="E2910" t="s">
        <v>83</v>
      </c>
      <c r="F2910" s="9" t="s">
        <v>89</v>
      </c>
      <c r="G2910" t="s">
        <v>26</v>
      </c>
      <c r="H2910" t="s">
        <v>85</v>
      </c>
      <c r="I2910" t="s">
        <v>86</v>
      </c>
      <c r="J2910" t="s">
        <v>43</v>
      </c>
      <c r="K2910" t="s">
        <v>44</v>
      </c>
      <c r="L2910" t="s">
        <v>53</v>
      </c>
      <c r="M2910" t="s">
        <v>54</v>
      </c>
      <c r="N2910" t="s">
        <v>85</v>
      </c>
      <c r="O2910" t="s">
        <v>86</v>
      </c>
      <c r="P2910" t="s">
        <v>43</v>
      </c>
      <c r="Q2910" t="s">
        <v>44</v>
      </c>
      <c r="R2910" s="1">
        <v>44300.659317129626</v>
      </c>
      <c r="S2910" s="1">
        <v>44300.659317129626</v>
      </c>
      <c r="T2910">
        <v>0</v>
      </c>
      <c r="U2910">
        <v>1</v>
      </c>
      <c r="V2910" s="2">
        <v>0</v>
      </c>
      <c r="W2910">
        <v>0</v>
      </c>
      <c r="X2910" t="s">
        <v>44</v>
      </c>
      <c r="Y2910">
        <v>0</v>
      </c>
      <c r="Z2910" t="s">
        <v>31</v>
      </c>
      <c r="AA2910">
        <v>0</v>
      </c>
      <c r="AB2910" t="s">
        <v>31</v>
      </c>
      <c r="AC2910">
        <v>0</v>
      </c>
      <c r="AD2910" t="s">
        <v>31</v>
      </c>
      <c r="AE2910">
        <v>0</v>
      </c>
      <c r="AF2910" t="s">
        <v>31</v>
      </c>
      <c r="AG2910">
        <v>0</v>
      </c>
      <c r="AH2910" t="s">
        <v>31</v>
      </c>
      <c r="AI2910">
        <v>0</v>
      </c>
      <c r="AJ2910" t="s">
        <v>31</v>
      </c>
      <c r="AK2910">
        <v>0</v>
      </c>
      <c r="AL2910" t="s">
        <v>31</v>
      </c>
      <c r="AM2910">
        <v>0</v>
      </c>
      <c r="AN2910" t="s">
        <v>31</v>
      </c>
      <c r="AO2910">
        <v>0</v>
      </c>
      <c r="AP2910" t="s">
        <v>31</v>
      </c>
      <c r="AQ2910">
        <v>0</v>
      </c>
    </row>
    <row r="2911" spans="1:43" x14ac:dyDescent="0.2">
      <c r="A2911" t="s">
        <v>381</v>
      </c>
      <c r="B2911" s="3">
        <v>44301</v>
      </c>
      <c r="C2911">
        <v>62</v>
      </c>
      <c r="D2911" t="s">
        <v>385</v>
      </c>
      <c r="E2911" t="s">
        <v>83</v>
      </c>
      <c r="F2911" s="9" t="s">
        <v>89</v>
      </c>
      <c r="G2911" t="s">
        <v>26</v>
      </c>
      <c r="H2911" t="s">
        <v>85</v>
      </c>
      <c r="I2911" t="s">
        <v>86</v>
      </c>
      <c r="J2911" t="s">
        <v>43</v>
      </c>
      <c r="K2911" t="s">
        <v>44</v>
      </c>
      <c r="L2911" t="s">
        <v>53</v>
      </c>
      <c r="M2911" t="s">
        <v>54</v>
      </c>
      <c r="N2911" t="s">
        <v>85</v>
      </c>
      <c r="O2911" t="s">
        <v>86</v>
      </c>
      <c r="P2911" t="s">
        <v>43</v>
      </c>
      <c r="Q2911" t="s">
        <v>44</v>
      </c>
      <c r="R2911" s="1">
        <v>44301.448229166665</v>
      </c>
      <c r="S2911" s="1">
        <v>44301.448229166665</v>
      </c>
      <c r="T2911">
        <v>0</v>
      </c>
      <c r="U2911">
        <v>1</v>
      </c>
      <c r="V2911" s="2">
        <v>0</v>
      </c>
      <c r="W2911">
        <v>0</v>
      </c>
      <c r="X2911" t="s">
        <v>44</v>
      </c>
      <c r="Y2911">
        <v>0</v>
      </c>
      <c r="Z2911" t="s">
        <v>31</v>
      </c>
      <c r="AA2911">
        <v>0</v>
      </c>
      <c r="AB2911" t="s">
        <v>31</v>
      </c>
      <c r="AC2911">
        <v>0</v>
      </c>
      <c r="AD2911" t="s">
        <v>31</v>
      </c>
      <c r="AE2911">
        <v>0</v>
      </c>
      <c r="AF2911" t="s">
        <v>31</v>
      </c>
      <c r="AG2911">
        <v>0</v>
      </c>
      <c r="AH2911" t="s">
        <v>31</v>
      </c>
      <c r="AI2911">
        <v>0</v>
      </c>
      <c r="AJ2911" t="s">
        <v>31</v>
      </c>
      <c r="AK2911">
        <v>0</v>
      </c>
      <c r="AL2911" t="s">
        <v>31</v>
      </c>
      <c r="AM2911">
        <v>0</v>
      </c>
      <c r="AN2911" t="s">
        <v>31</v>
      </c>
      <c r="AO2911">
        <v>0</v>
      </c>
      <c r="AP2911" t="s">
        <v>31</v>
      </c>
      <c r="AQ2911">
        <v>0</v>
      </c>
    </row>
    <row r="2912" spans="1:43" x14ac:dyDescent="0.2">
      <c r="A2912" t="s">
        <v>381</v>
      </c>
      <c r="B2912" s="3">
        <v>44301</v>
      </c>
      <c r="C2912">
        <v>63</v>
      </c>
      <c r="D2912" t="s">
        <v>385</v>
      </c>
      <c r="E2912" t="s">
        <v>83</v>
      </c>
      <c r="F2912" s="9" t="s">
        <v>89</v>
      </c>
      <c r="G2912" t="s">
        <v>26</v>
      </c>
      <c r="H2912" t="s">
        <v>85</v>
      </c>
      <c r="I2912" t="s">
        <v>86</v>
      </c>
      <c r="J2912" t="s">
        <v>43</v>
      </c>
      <c r="K2912" t="s">
        <v>44</v>
      </c>
      <c r="L2912" t="s">
        <v>53</v>
      </c>
      <c r="M2912" t="s">
        <v>54</v>
      </c>
      <c r="N2912" t="s">
        <v>85</v>
      </c>
      <c r="O2912" t="s">
        <v>86</v>
      </c>
      <c r="P2912" t="s">
        <v>43</v>
      </c>
      <c r="Q2912" t="s">
        <v>44</v>
      </c>
      <c r="R2912" s="1">
        <v>44301.550150462965</v>
      </c>
      <c r="S2912" s="1">
        <v>44301.550162037034</v>
      </c>
      <c r="T2912">
        <v>0</v>
      </c>
      <c r="U2912">
        <v>3</v>
      </c>
      <c r="V2912" s="2">
        <v>0</v>
      </c>
      <c r="W2912">
        <v>0</v>
      </c>
      <c r="X2912" t="s">
        <v>44</v>
      </c>
      <c r="Y2912">
        <v>0</v>
      </c>
      <c r="Z2912" t="s">
        <v>44</v>
      </c>
      <c r="AA2912">
        <v>0</v>
      </c>
      <c r="AB2912" t="s">
        <v>44</v>
      </c>
      <c r="AC2912">
        <v>0</v>
      </c>
      <c r="AD2912" t="s">
        <v>31</v>
      </c>
      <c r="AE2912">
        <v>0</v>
      </c>
      <c r="AF2912" t="s">
        <v>31</v>
      </c>
      <c r="AG2912">
        <v>0</v>
      </c>
      <c r="AH2912" t="s">
        <v>31</v>
      </c>
      <c r="AI2912">
        <v>0</v>
      </c>
      <c r="AJ2912" t="s">
        <v>31</v>
      </c>
      <c r="AK2912">
        <v>0</v>
      </c>
      <c r="AL2912" t="s">
        <v>31</v>
      </c>
      <c r="AM2912">
        <v>0</v>
      </c>
      <c r="AN2912" t="s">
        <v>31</v>
      </c>
      <c r="AO2912">
        <v>0</v>
      </c>
      <c r="AP2912" t="s">
        <v>31</v>
      </c>
      <c r="AQ2912">
        <v>0</v>
      </c>
    </row>
    <row r="2913" spans="1:43" x14ac:dyDescent="0.2">
      <c r="A2913" t="s">
        <v>381</v>
      </c>
      <c r="B2913" s="3">
        <v>44302</v>
      </c>
      <c r="C2913">
        <v>64</v>
      </c>
      <c r="D2913" t="s">
        <v>390</v>
      </c>
      <c r="E2913" t="s">
        <v>83</v>
      </c>
      <c r="F2913" s="9" t="s">
        <v>89</v>
      </c>
      <c r="G2913" t="s">
        <v>26</v>
      </c>
      <c r="H2913" t="s">
        <v>85</v>
      </c>
      <c r="I2913" t="s">
        <v>86</v>
      </c>
      <c r="J2913" t="s">
        <v>43</v>
      </c>
      <c r="K2913" t="s">
        <v>44</v>
      </c>
      <c r="L2913" t="s">
        <v>53</v>
      </c>
      <c r="M2913" t="s">
        <v>54</v>
      </c>
      <c r="N2913" t="s">
        <v>85</v>
      </c>
      <c r="O2913" t="s">
        <v>86</v>
      </c>
      <c r="P2913" t="s">
        <v>43</v>
      </c>
      <c r="Q2913" t="s">
        <v>44</v>
      </c>
      <c r="R2913" s="1">
        <v>44302.485578703701</v>
      </c>
      <c r="S2913" s="1">
        <v>44302.485578703701</v>
      </c>
      <c r="T2913">
        <v>0</v>
      </c>
      <c r="U2913">
        <v>1</v>
      </c>
      <c r="V2913" s="2">
        <v>0</v>
      </c>
      <c r="W2913">
        <v>0</v>
      </c>
      <c r="X2913" t="s">
        <v>44</v>
      </c>
      <c r="Y2913">
        <v>0</v>
      </c>
      <c r="Z2913" t="s">
        <v>31</v>
      </c>
      <c r="AA2913">
        <v>0</v>
      </c>
      <c r="AB2913" t="s">
        <v>31</v>
      </c>
      <c r="AC2913">
        <v>0</v>
      </c>
      <c r="AD2913" t="s">
        <v>31</v>
      </c>
      <c r="AE2913">
        <v>0</v>
      </c>
      <c r="AF2913" t="s">
        <v>31</v>
      </c>
      <c r="AG2913">
        <v>0</v>
      </c>
      <c r="AH2913" t="s">
        <v>31</v>
      </c>
      <c r="AI2913">
        <v>0</v>
      </c>
      <c r="AJ2913" t="s">
        <v>31</v>
      </c>
      <c r="AK2913">
        <v>0</v>
      </c>
      <c r="AL2913" t="s">
        <v>31</v>
      </c>
      <c r="AM2913">
        <v>0</v>
      </c>
      <c r="AN2913" t="s">
        <v>31</v>
      </c>
      <c r="AO2913">
        <v>0</v>
      </c>
      <c r="AP2913" t="s">
        <v>31</v>
      </c>
      <c r="AQ2913">
        <v>0</v>
      </c>
    </row>
    <row r="2914" spans="1:43" x14ac:dyDescent="0.2">
      <c r="A2914" t="s">
        <v>381</v>
      </c>
      <c r="B2914" s="3">
        <v>44302</v>
      </c>
      <c r="C2914">
        <v>65</v>
      </c>
      <c r="D2914" t="s">
        <v>387</v>
      </c>
      <c r="E2914" t="s">
        <v>83</v>
      </c>
      <c r="F2914" s="9" t="s">
        <v>89</v>
      </c>
      <c r="G2914" t="s">
        <v>26</v>
      </c>
      <c r="H2914" t="s">
        <v>85</v>
      </c>
      <c r="I2914" t="s">
        <v>86</v>
      </c>
      <c r="J2914" t="s">
        <v>43</v>
      </c>
      <c r="K2914" t="s">
        <v>44</v>
      </c>
      <c r="L2914" t="s">
        <v>53</v>
      </c>
      <c r="M2914" t="s">
        <v>54</v>
      </c>
      <c r="N2914" t="s">
        <v>85</v>
      </c>
      <c r="O2914" t="s">
        <v>86</v>
      </c>
      <c r="P2914" t="s">
        <v>43</v>
      </c>
      <c r="Q2914" t="s">
        <v>44</v>
      </c>
      <c r="R2914" s="1">
        <v>44302.559155092589</v>
      </c>
      <c r="S2914" s="1">
        <v>44302.559155092589</v>
      </c>
      <c r="T2914">
        <v>0</v>
      </c>
      <c r="U2914">
        <v>1</v>
      </c>
      <c r="V2914" s="2">
        <v>0</v>
      </c>
      <c r="W2914">
        <v>0</v>
      </c>
      <c r="X2914" t="s">
        <v>44</v>
      </c>
      <c r="Y2914">
        <v>0</v>
      </c>
      <c r="Z2914" t="s">
        <v>31</v>
      </c>
      <c r="AA2914">
        <v>0</v>
      </c>
      <c r="AB2914" t="s">
        <v>31</v>
      </c>
      <c r="AC2914">
        <v>0</v>
      </c>
      <c r="AD2914" t="s">
        <v>31</v>
      </c>
      <c r="AE2914">
        <v>0</v>
      </c>
      <c r="AF2914" t="s">
        <v>31</v>
      </c>
      <c r="AG2914">
        <v>0</v>
      </c>
      <c r="AH2914" t="s">
        <v>31</v>
      </c>
      <c r="AI2914">
        <v>0</v>
      </c>
      <c r="AJ2914" t="s">
        <v>31</v>
      </c>
      <c r="AK2914">
        <v>0</v>
      </c>
      <c r="AL2914" t="s">
        <v>31</v>
      </c>
      <c r="AM2914">
        <v>0</v>
      </c>
      <c r="AN2914" t="s">
        <v>31</v>
      </c>
      <c r="AO2914">
        <v>0</v>
      </c>
      <c r="AP2914" t="s">
        <v>31</v>
      </c>
      <c r="AQ2914">
        <v>0</v>
      </c>
    </row>
    <row r="2915" spans="1:43" x14ac:dyDescent="0.2">
      <c r="A2915" t="s">
        <v>381</v>
      </c>
      <c r="B2915" s="3">
        <v>44307</v>
      </c>
      <c r="C2915">
        <v>67</v>
      </c>
      <c r="D2915" t="s">
        <v>387</v>
      </c>
      <c r="E2915" t="s">
        <v>83</v>
      </c>
      <c r="F2915" s="9" t="s">
        <v>89</v>
      </c>
      <c r="G2915" t="s">
        <v>26</v>
      </c>
      <c r="H2915" t="s">
        <v>85</v>
      </c>
      <c r="I2915" t="s">
        <v>86</v>
      </c>
      <c r="J2915" t="s">
        <v>43</v>
      </c>
      <c r="K2915" t="s">
        <v>44</v>
      </c>
      <c r="L2915" t="s">
        <v>53</v>
      </c>
      <c r="M2915" t="s">
        <v>54</v>
      </c>
      <c r="N2915" t="s">
        <v>85</v>
      </c>
      <c r="O2915" t="s">
        <v>86</v>
      </c>
      <c r="P2915" t="s">
        <v>43</v>
      </c>
      <c r="Q2915" t="s">
        <v>44</v>
      </c>
      <c r="R2915" s="1">
        <v>44307.544085648151</v>
      </c>
      <c r="S2915" s="1">
        <v>44307.544085648151</v>
      </c>
      <c r="T2915">
        <v>0</v>
      </c>
      <c r="U2915">
        <v>1</v>
      </c>
      <c r="V2915" s="2">
        <v>0</v>
      </c>
      <c r="W2915">
        <v>0</v>
      </c>
      <c r="X2915" t="s">
        <v>44</v>
      </c>
      <c r="Y2915">
        <v>0</v>
      </c>
      <c r="Z2915" t="s">
        <v>31</v>
      </c>
      <c r="AA2915">
        <v>0</v>
      </c>
      <c r="AB2915" t="s">
        <v>31</v>
      </c>
      <c r="AC2915">
        <v>0</v>
      </c>
      <c r="AD2915" t="s">
        <v>31</v>
      </c>
      <c r="AE2915">
        <v>0</v>
      </c>
      <c r="AF2915" t="s">
        <v>31</v>
      </c>
      <c r="AG2915">
        <v>0</v>
      </c>
      <c r="AH2915" t="s">
        <v>31</v>
      </c>
      <c r="AI2915">
        <v>0</v>
      </c>
      <c r="AJ2915" t="s">
        <v>31</v>
      </c>
      <c r="AK2915">
        <v>0</v>
      </c>
      <c r="AL2915" t="s">
        <v>31</v>
      </c>
      <c r="AM2915">
        <v>0</v>
      </c>
      <c r="AN2915" t="s">
        <v>31</v>
      </c>
      <c r="AO2915">
        <v>0</v>
      </c>
      <c r="AP2915" t="s">
        <v>31</v>
      </c>
      <c r="AQ2915">
        <v>0</v>
      </c>
    </row>
    <row r="2916" spans="1:43" x14ac:dyDescent="0.2">
      <c r="A2916" t="s">
        <v>381</v>
      </c>
      <c r="B2916" s="3">
        <v>44308</v>
      </c>
      <c r="C2916">
        <v>69</v>
      </c>
      <c r="D2916" t="s">
        <v>385</v>
      </c>
      <c r="E2916" t="s">
        <v>83</v>
      </c>
      <c r="F2916" s="9" t="s">
        <v>89</v>
      </c>
      <c r="G2916" t="s">
        <v>26</v>
      </c>
      <c r="H2916" t="s">
        <v>85</v>
      </c>
      <c r="I2916" t="s">
        <v>86</v>
      </c>
      <c r="J2916" t="s">
        <v>43</v>
      </c>
      <c r="K2916" t="s">
        <v>44</v>
      </c>
      <c r="L2916" t="s">
        <v>53</v>
      </c>
      <c r="M2916" t="s">
        <v>54</v>
      </c>
      <c r="N2916" t="s">
        <v>85</v>
      </c>
      <c r="O2916" t="s">
        <v>86</v>
      </c>
      <c r="P2916" t="s">
        <v>43</v>
      </c>
      <c r="Q2916" t="s">
        <v>44</v>
      </c>
      <c r="R2916" s="1">
        <v>44308.569664351853</v>
      </c>
      <c r="S2916" s="1">
        <v>44308.569675925923</v>
      </c>
      <c r="T2916">
        <v>0</v>
      </c>
      <c r="U2916">
        <v>3</v>
      </c>
      <c r="V2916" s="2">
        <v>0</v>
      </c>
      <c r="W2916">
        <v>0</v>
      </c>
      <c r="X2916" t="s">
        <v>44</v>
      </c>
      <c r="Y2916">
        <v>0</v>
      </c>
      <c r="Z2916" t="s">
        <v>44</v>
      </c>
      <c r="AA2916">
        <v>0</v>
      </c>
      <c r="AB2916" t="s">
        <v>44</v>
      </c>
      <c r="AC2916">
        <v>0</v>
      </c>
      <c r="AD2916" t="s">
        <v>31</v>
      </c>
      <c r="AE2916">
        <v>0</v>
      </c>
      <c r="AF2916" t="s">
        <v>31</v>
      </c>
      <c r="AG2916">
        <v>0</v>
      </c>
      <c r="AH2916" t="s">
        <v>31</v>
      </c>
      <c r="AI2916">
        <v>0</v>
      </c>
      <c r="AJ2916" t="s">
        <v>31</v>
      </c>
      <c r="AK2916">
        <v>0</v>
      </c>
      <c r="AL2916" t="s">
        <v>31</v>
      </c>
      <c r="AM2916">
        <v>0</v>
      </c>
      <c r="AN2916" t="s">
        <v>31</v>
      </c>
      <c r="AO2916">
        <v>0</v>
      </c>
      <c r="AP2916" t="s">
        <v>31</v>
      </c>
      <c r="AQ2916">
        <v>0</v>
      </c>
    </row>
    <row r="2917" spans="1:43" x14ac:dyDescent="0.2">
      <c r="A2917" t="s">
        <v>381</v>
      </c>
      <c r="B2917" s="3">
        <v>44313</v>
      </c>
      <c r="C2917">
        <v>76</v>
      </c>
      <c r="D2917" t="s">
        <v>385</v>
      </c>
      <c r="E2917" t="s">
        <v>83</v>
      </c>
      <c r="F2917" s="9" t="s">
        <v>89</v>
      </c>
      <c r="G2917" t="s">
        <v>26</v>
      </c>
      <c r="H2917" t="s">
        <v>85</v>
      </c>
      <c r="I2917" t="s">
        <v>86</v>
      </c>
      <c r="J2917" t="s">
        <v>43</v>
      </c>
      <c r="K2917" t="s">
        <v>44</v>
      </c>
      <c r="L2917" t="s">
        <v>53</v>
      </c>
      <c r="M2917" t="s">
        <v>54</v>
      </c>
      <c r="N2917" t="s">
        <v>85</v>
      </c>
      <c r="O2917" t="s">
        <v>86</v>
      </c>
      <c r="P2917" t="s">
        <v>43</v>
      </c>
      <c r="Q2917" t="s">
        <v>44</v>
      </c>
      <c r="R2917" s="1">
        <v>44313.624699074076</v>
      </c>
      <c r="S2917" s="1">
        <v>44313.624699074076</v>
      </c>
      <c r="T2917">
        <v>0</v>
      </c>
      <c r="U2917">
        <v>1</v>
      </c>
      <c r="V2917" s="2">
        <v>0</v>
      </c>
      <c r="W2917">
        <v>0</v>
      </c>
      <c r="X2917" t="s">
        <v>44</v>
      </c>
      <c r="Y2917">
        <v>0</v>
      </c>
      <c r="Z2917" t="s">
        <v>31</v>
      </c>
      <c r="AA2917">
        <v>0</v>
      </c>
      <c r="AB2917" t="s">
        <v>31</v>
      </c>
      <c r="AC2917">
        <v>0</v>
      </c>
      <c r="AD2917" t="s">
        <v>31</v>
      </c>
      <c r="AE2917">
        <v>0</v>
      </c>
      <c r="AF2917" t="s">
        <v>31</v>
      </c>
      <c r="AG2917">
        <v>0</v>
      </c>
      <c r="AH2917" t="s">
        <v>31</v>
      </c>
      <c r="AI2917">
        <v>0</v>
      </c>
      <c r="AJ2917" t="s">
        <v>31</v>
      </c>
      <c r="AK2917">
        <v>0</v>
      </c>
      <c r="AL2917" t="s">
        <v>31</v>
      </c>
      <c r="AM2917">
        <v>0</v>
      </c>
      <c r="AN2917" t="s">
        <v>31</v>
      </c>
      <c r="AO2917">
        <v>0</v>
      </c>
      <c r="AP2917" t="s">
        <v>31</v>
      </c>
      <c r="AQ2917">
        <v>0</v>
      </c>
    </row>
    <row r="2918" spans="1:43" x14ac:dyDescent="0.2">
      <c r="A2918" t="s">
        <v>381</v>
      </c>
      <c r="B2918" s="3">
        <v>44314</v>
      </c>
      <c r="C2918">
        <v>77</v>
      </c>
      <c r="D2918" t="s">
        <v>403</v>
      </c>
      <c r="E2918" t="s">
        <v>83</v>
      </c>
      <c r="F2918" s="9" t="s">
        <v>89</v>
      </c>
      <c r="G2918" t="s">
        <v>26</v>
      </c>
      <c r="H2918" t="s">
        <v>85</v>
      </c>
      <c r="I2918" t="s">
        <v>86</v>
      </c>
      <c r="J2918" t="s">
        <v>43</v>
      </c>
      <c r="K2918" t="s">
        <v>44</v>
      </c>
      <c r="L2918" t="s">
        <v>53</v>
      </c>
      <c r="M2918" t="s">
        <v>54</v>
      </c>
      <c r="N2918" t="s">
        <v>85</v>
      </c>
      <c r="O2918" t="s">
        <v>86</v>
      </c>
      <c r="P2918" t="s">
        <v>43</v>
      </c>
      <c r="Q2918" t="s">
        <v>44</v>
      </c>
      <c r="R2918" s="1">
        <v>44314.423055555555</v>
      </c>
      <c r="S2918" s="1">
        <v>44314.423055555555</v>
      </c>
      <c r="T2918">
        <v>0</v>
      </c>
      <c r="U2918">
        <v>1</v>
      </c>
      <c r="V2918" s="2">
        <v>0</v>
      </c>
      <c r="W2918">
        <v>0</v>
      </c>
      <c r="X2918" t="s">
        <v>44</v>
      </c>
      <c r="Y2918">
        <v>0</v>
      </c>
      <c r="Z2918" t="s">
        <v>31</v>
      </c>
      <c r="AA2918">
        <v>0</v>
      </c>
      <c r="AB2918" t="s">
        <v>31</v>
      </c>
      <c r="AC2918">
        <v>0</v>
      </c>
      <c r="AD2918" t="s">
        <v>31</v>
      </c>
      <c r="AE2918">
        <v>0</v>
      </c>
      <c r="AF2918" t="s">
        <v>31</v>
      </c>
      <c r="AG2918">
        <v>0</v>
      </c>
      <c r="AH2918" t="s">
        <v>31</v>
      </c>
      <c r="AI2918">
        <v>0</v>
      </c>
      <c r="AJ2918" t="s">
        <v>31</v>
      </c>
      <c r="AK2918">
        <v>0</v>
      </c>
      <c r="AL2918" t="s">
        <v>31</v>
      </c>
      <c r="AM2918">
        <v>0</v>
      </c>
      <c r="AN2918" t="s">
        <v>31</v>
      </c>
      <c r="AO2918">
        <v>0</v>
      </c>
      <c r="AP2918" t="s">
        <v>31</v>
      </c>
      <c r="AQ2918">
        <v>0</v>
      </c>
    </row>
    <row r="2919" spans="1:43" x14ac:dyDescent="0.2">
      <c r="A2919" t="s">
        <v>381</v>
      </c>
      <c r="B2919" s="3">
        <v>44314</v>
      </c>
      <c r="C2919">
        <v>78</v>
      </c>
      <c r="D2919" t="s">
        <v>387</v>
      </c>
      <c r="E2919" t="s">
        <v>83</v>
      </c>
      <c r="F2919" s="9" t="s">
        <v>89</v>
      </c>
      <c r="G2919" t="s">
        <v>26</v>
      </c>
      <c r="H2919" t="s">
        <v>85</v>
      </c>
      <c r="I2919" t="s">
        <v>86</v>
      </c>
      <c r="J2919" t="s">
        <v>43</v>
      </c>
      <c r="K2919" t="s">
        <v>44</v>
      </c>
      <c r="L2919" t="s">
        <v>53</v>
      </c>
      <c r="M2919" t="s">
        <v>54</v>
      </c>
      <c r="N2919" t="s">
        <v>85</v>
      </c>
      <c r="O2919" t="s">
        <v>86</v>
      </c>
      <c r="P2919" t="s">
        <v>43</v>
      </c>
      <c r="Q2919" t="s">
        <v>44</v>
      </c>
      <c r="R2919" s="1">
        <v>44314.591041666667</v>
      </c>
      <c r="S2919" s="1">
        <v>44314.591041666667</v>
      </c>
      <c r="T2919">
        <v>0</v>
      </c>
      <c r="U2919">
        <v>1</v>
      </c>
      <c r="V2919" s="2">
        <v>0</v>
      </c>
      <c r="W2919">
        <v>0</v>
      </c>
      <c r="X2919" t="s">
        <v>44</v>
      </c>
      <c r="Y2919">
        <v>0</v>
      </c>
      <c r="Z2919" t="s">
        <v>31</v>
      </c>
      <c r="AA2919">
        <v>0</v>
      </c>
      <c r="AB2919" t="s">
        <v>31</v>
      </c>
      <c r="AC2919">
        <v>0</v>
      </c>
      <c r="AD2919" t="s">
        <v>31</v>
      </c>
      <c r="AE2919">
        <v>0</v>
      </c>
      <c r="AF2919" t="s">
        <v>31</v>
      </c>
      <c r="AG2919">
        <v>0</v>
      </c>
      <c r="AH2919" t="s">
        <v>31</v>
      </c>
      <c r="AI2919">
        <v>0</v>
      </c>
      <c r="AJ2919" t="s">
        <v>31</v>
      </c>
      <c r="AK2919">
        <v>0</v>
      </c>
      <c r="AL2919" t="s">
        <v>31</v>
      </c>
      <c r="AM2919">
        <v>0</v>
      </c>
      <c r="AN2919" t="s">
        <v>31</v>
      </c>
      <c r="AO2919">
        <v>0</v>
      </c>
      <c r="AP2919" t="s">
        <v>31</v>
      </c>
      <c r="AQ2919">
        <v>0</v>
      </c>
    </row>
    <row r="2920" spans="1:43" x14ac:dyDescent="0.2">
      <c r="A2920" t="s">
        <v>381</v>
      </c>
      <c r="B2920" s="3">
        <v>44315</v>
      </c>
      <c r="C2920">
        <v>81</v>
      </c>
      <c r="D2920" t="s">
        <v>385</v>
      </c>
      <c r="E2920" t="s">
        <v>83</v>
      </c>
      <c r="F2920" s="9" t="s">
        <v>89</v>
      </c>
      <c r="G2920" t="s">
        <v>26</v>
      </c>
      <c r="H2920" t="s">
        <v>85</v>
      </c>
      <c r="I2920" t="s">
        <v>86</v>
      </c>
      <c r="J2920" t="s">
        <v>43</v>
      </c>
      <c r="K2920" t="s">
        <v>44</v>
      </c>
      <c r="L2920" t="s">
        <v>53</v>
      </c>
      <c r="M2920" t="s">
        <v>54</v>
      </c>
      <c r="N2920" t="s">
        <v>85</v>
      </c>
      <c r="O2920" t="s">
        <v>86</v>
      </c>
      <c r="P2920" t="s">
        <v>43</v>
      </c>
      <c r="Q2920" t="s">
        <v>44</v>
      </c>
      <c r="R2920" s="1">
        <v>44315.586273148147</v>
      </c>
      <c r="S2920" s="1">
        <v>44315.586273148147</v>
      </c>
      <c r="T2920">
        <v>0</v>
      </c>
      <c r="U2920">
        <v>1</v>
      </c>
      <c r="V2920" s="2">
        <v>0</v>
      </c>
      <c r="W2920">
        <v>0</v>
      </c>
      <c r="X2920" t="s">
        <v>44</v>
      </c>
      <c r="Y2920">
        <v>0</v>
      </c>
      <c r="Z2920" t="s">
        <v>31</v>
      </c>
      <c r="AA2920">
        <v>0</v>
      </c>
      <c r="AB2920" t="s">
        <v>31</v>
      </c>
      <c r="AC2920">
        <v>0</v>
      </c>
      <c r="AD2920" t="s">
        <v>31</v>
      </c>
      <c r="AE2920">
        <v>0</v>
      </c>
      <c r="AF2920" t="s">
        <v>31</v>
      </c>
      <c r="AG2920">
        <v>0</v>
      </c>
      <c r="AH2920" t="s">
        <v>31</v>
      </c>
      <c r="AI2920">
        <v>0</v>
      </c>
      <c r="AJ2920" t="s">
        <v>31</v>
      </c>
      <c r="AK2920">
        <v>0</v>
      </c>
      <c r="AL2920" t="s">
        <v>31</v>
      </c>
      <c r="AM2920">
        <v>0</v>
      </c>
      <c r="AN2920" t="s">
        <v>31</v>
      </c>
      <c r="AO2920">
        <v>0</v>
      </c>
      <c r="AP2920" t="s">
        <v>31</v>
      </c>
      <c r="AQ2920">
        <v>0</v>
      </c>
    </row>
    <row r="2921" spans="1:43" x14ac:dyDescent="0.2">
      <c r="A2921" t="s">
        <v>381</v>
      </c>
      <c r="B2921" s="3">
        <v>44316</v>
      </c>
      <c r="C2921">
        <v>82</v>
      </c>
      <c r="D2921" t="s">
        <v>389</v>
      </c>
      <c r="E2921" t="s">
        <v>83</v>
      </c>
      <c r="F2921" s="9" t="s">
        <v>89</v>
      </c>
      <c r="G2921" t="s">
        <v>26</v>
      </c>
      <c r="H2921" t="s">
        <v>85</v>
      </c>
      <c r="I2921" t="s">
        <v>86</v>
      </c>
      <c r="J2921" t="s">
        <v>43</v>
      </c>
      <c r="K2921" t="s">
        <v>44</v>
      </c>
      <c r="L2921" t="s">
        <v>53</v>
      </c>
      <c r="M2921" t="s">
        <v>54</v>
      </c>
      <c r="N2921" t="s">
        <v>85</v>
      </c>
      <c r="O2921" t="s">
        <v>86</v>
      </c>
      <c r="P2921" t="s">
        <v>43</v>
      </c>
      <c r="Q2921" t="s">
        <v>44</v>
      </c>
      <c r="R2921" s="1">
        <v>44316.422500000001</v>
      </c>
      <c r="S2921" s="1">
        <v>44316.422500000001</v>
      </c>
      <c r="T2921">
        <v>0</v>
      </c>
      <c r="U2921">
        <v>1</v>
      </c>
      <c r="V2921" s="2">
        <v>0</v>
      </c>
      <c r="W2921">
        <v>0</v>
      </c>
      <c r="X2921" t="s">
        <v>44</v>
      </c>
      <c r="Y2921">
        <v>0</v>
      </c>
      <c r="Z2921" t="s">
        <v>31</v>
      </c>
      <c r="AA2921">
        <v>0</v>
      </c>
      <c r="AB2921" t="s">
        <v>31</v>
      </c>
      <c r="AC2921">
        <v>0</v>
      </c>
      <c r="AD2921" t="s">
        <v>31</v>
      </c>
      <c r="AE2921">
        <v>0</v>
      </c>
      <c r="AF2921" t="s">
        <v>31</v>
      </c>
      <c r="AG2921">
        <v>0</v>
      </c>
      <c r="AH2921" t="s">
        <v>31</v>
      </c>
      <c r="AI2921">
        <v>0</v>
      </c>
      <c r="AJ2921" t="s">
        <v>31</v>
      </c>
      <c r="AK2921">
        <v>0</v>
      </c>
      <c r="AL2921" t="s">
        <v>31</v>
      </c>
      <c r="AM2921">
        <v>0</v>
      </c>
      <c r="AN2921" t="s">
        <v>31</v>
      </c>
      <c r="AO2921">
        <v>0</v>
      </c>
      <c r="AP2921" t="s">
        <v>31</v>
      </c>
      <c r="AQ2921">
        <v>0</v>
      </c>
    </row>
    <row r="2922" spans="1:43" x14ac:dyDescent="0.2">
      <c r="A2922" t="s">
        <v>381</v>
      </c>
      <c r="B2922" s="3">
        <v>44316</v>
      </c>
      <c r="C2922">
        <v>83</v>
      </c>
      <c r="D2922" t="s">
        <v>387</v>
      </c>
      <c r="E2922" t="s">
        <v>83</v>
      </c>
      <c r="F2922" s="9" t="s">
        <v>89</v>
      </c>
      <c r="G2922" t="s">
        <v>26</v>
      </c>
      <c r="H2922" t="s">
        <v>85</v>
      </c>
      <c r="I2922" t="s">
        <v>86</v>
      </c>
      <c r="J2922" t="s">
        <v>43</v>
      </c>
      <c r="K2922" t="s">
        <v>44</v>
      </c>
      <c r="L2922" t="s">
        <v>53</v>
      </c>
      <c r="M2922" t="s">
        <v>54</v>
      </c>
      <c r="N2922" t="s">
        <v>85</v>
      </c>
      <c r="O2922" t="s">
        <v>86</v>
      </c>
      <c r="P2922" t="s">
        <v>43</v>
      </c>
      <c r="Q2922" t="s">
        <v>44</v>
      </c>
      <c r="R2922" s="1">
        <v>44316.539050925923</v>
      </c>
      <c r="S2922" s="1">
        <v>44316.539050925923</v>
      </c>
      <c r="T2922">
        <v>0</v>
      </c>
      <c r="U2922">
        <v>1</v>
      </c>
      <c r="V2922" s="2">
        <v>0</v>
      </c>
      <c r="W2922">
        <v>0</v>
      </c>
      <c r="X2922" t="s">
        <v>44</v>
      </c>
      <c r="Y2922">
        <v>0</v>
      </c>
      <c r="Z2922" t="s">
        <v>31</v>
      </c>
      <c r="AA2922">
        <v>0</v>
      </c>
      <c r="AB2922" t="s">
        <v>31</v>
      </c>
      <c r="AC2922">
        <v>0</v>
      </c>
      <c r="AD2922" t="s">
        <v>31</v>
      </c>
      <c r="AE2922">
        <v>0</v>
      </c>
      <c r="AF2922" t="s">
        <v>31</v>
      </c>
      <c r="AG2922">
        <v>0</v>
      </c>
      <c r="AH2922" t="s">
        <v>31</v>
      </c>
      <c r="AI2922">
        <v>0</v>
      </c>
      <c r="AJ2922" t="s">
        <v>31</v>
      </c>
      <c r="AK2922">
        <v>0</v>
      </c>
      <c r="AL2922" t="s">
        <v>31</v>
      </c>
      <c r="AM2922">
        <v>0</v>
      </c>
      <c r="AN2922" t="s">
        <v>31</v>
      </c>
      <c r="AO2922">
        <v>0</v>
      </c>
      <c r="AP2922" t="s">
        <v>31</v>
      </c>
      <c r="AQ2922">
        <v>0</v>
      </c>
    </row>
    <row r="2923" spans="1:43" x14ac:dyDescent="0.2">
      <c r="A2923" t="s">
        <v>381</v>
      </c>
      <c r="B2923" s="3">
        <v>44319</v>
      </c>
      <c r="C2923">
        <v>84</v>
      </c>
      <c r="D2923" t="s">
        <v>390</v>
      </c>
      <c r="E2923" t="s">
        <v>83</v>
      </c>
      <c r="F2923" s="9" t="s">
        <v>89</v>
      </c>
      <c r="G2923" t="s">
        <v>26</v>
      </c>
      <c r="H2923" t="s">
        <v>85</v>
      </c>
      <c r="I2923" t="s">
        <v>86</v>
      </c>
      <c r="J2923" t="s">
        <v>43</v>
      </c>
      <c r="K2923" t="s">
        <v>44</v>
      </c>
      <c r="L2923" t="s">
        <v>53</v>
      </c>
      <c r="M2923" t="s">
        <v>54</v>
      </c>
      <c r="N2923" t="s">
        <v>85</v>
      </c>
      <c r="O2923" t="s">
        <v>86</v>
      </c>
      <c r="P2923" t="s">
        <v>43</v>
      </c>
      <c r="Q2923" t="s">
        <v>44</v>
      </c>
      <c r="R2923" s="1">
        <v>44319.426111111112</v>
      </c>
      <c r="S2923" s="1">
        <v>44319.426111111112</v>
      </c>
      <c r="T2923">
        <v>0</v>
      </c>
      <c r="U2923">
        <v>1</v>
      </c>
      <c r="V2923" s="2">
        <v>0</v>
      </c>
      <c r="W2923">
        <v>0</v>
      </c>
      <c r="X2923" t="s">
        <v>44</v>
      </c>
      <c r="Y2923">
        <v>0</v>
      </c>
      <c r="Z2923" t="s">
        <v>31</v>
      </c>
      <c r="AA2923">
        <v>0</v>
      </c>
      <c r="AB2923" t="s">
        <v>31</v>
      </c>
      <c r="AC2923">
        <v>0</v>
      </c>
      <c r="AD2923" t="s">
        <v>31</v>
      </c>
      <c r="AE2923">
        <v>0</v>
      </c>
      <c r="AF2923" t="s">
        <v>31</v>
      </c>
      <c r="AG2923">
        <v>0</v>
      </c>
      <c r="AH2923" t="s">
        <v>31</v>
      </c>
      <c r="AI2923">
        <v>0</v>
      </c>
      <c r="AJ2923" t="s">
        <v>31</v>
      </c>
      <c r="AK2923">
        <v>0</v>
      </c>
      <c r="AL2923" t="s">
        <v>31</v>
      </c>
      <c r="AM2923">
        <v>0</v>
      </c>
      <c r="AN2923" t="s">
        <v>31</v>
      </c>
      <c r="AO2923">
        <v>0</v>
      </c>
      <c r="AP2923" t="s">
        <v>31</v>
      </c>
      <c r="AQ2923">
        <v>0</v>
      </c>
    </row>
    <row r="2924" spans="1:43" x14ac:dyDescent="0.2">
      <c r="A2924" t="s">
        <v>381</v>
      </c>
      <c r="B2924" s="3">
        <v>44319</v>
      </c>
      <c r="C2924">
        <v>85</v>
      </c>
      <c r="D2924" t="s">
        <v>387</v>
      </c>
      <c r="E2924" t="s">
        <v>83</v>
      </c>
      <c r="F2924" s="9" t="s">
        <v>89</v>
      </c>
      <c r="G2924" t="s">
        <v>26</v>
      </c>
      <c r="H2924" t="s">
        <v>85</v>
      </c>
      <c r="I2924" t="s">
        <v>86</v>
      </c>
      <c r="J2924" t="s">
        <v>43</v>
      </c>
      <c r="K2924" t="s">
        <v>44</v>
      </c>
      <c r="L2924" t="s">
        <v>53</v>
      </c>
      <c r="M2924" t="s">
        <v>54</v>
      </c>
      <c r="N2924" t="s">
        <v>85</v>
      </c>
      <c r="O2924" t="s">
        <v>86</v>
      </c>
      <c r="P2924" t="s">
        <v>43</v>
      </c>
      <c r="Q2924" t="s">
        <v>44</v>
      </c>
      <c r="R2924" s="1">
        <v>44319.64435185185</v>
      </c>
      <c r="S2924" s="1">
        <v>44319.64435185185</v>
      </c>
      <c r="T2924">
        <v>0</v>
      </c>
      <c r="U2924">
        <v>1</v>
      </c>
      <c r="V2924" s="2">
        <v>0</v>
      </c>
      <c r="W2924">
        <v>0</v>
      </c>
      <c r="X2924" t="s">
        <v>44</v>
      </c>
      <c r="Y2924">
        <v>0</v>
      </c>
      <c r="Z2924" t="s">
        <v>31</v>
      </c>
      <c r="AA2924">
        <v>0</v>
      </c>
      <c r="AB2924" t="s">
        <v>31</v>
      </c>
      <c r="AC2924">
        <v>0</v>
      </c>
      <c r="AD2924" t="s">
        <v>31</v>
      </c>
      <c r="AE2924">
        <v>0</v>
      </c>
      <c r="AF2924" t="s">
        <v>31</v>
      </c>
      <c r="AG2924">
        <v>0</v>
      </c>
      <c r="AH2924" t="s">
        <v>31</v>
      </c>
      <c r="AI2924">
        <v>0</v>
      </c>
      <c r="AJ2924" t="s">
        <v>31</v>
      </c>
      <c r="AK2924">
        <v>0</v>
      </c>
      <c r="AL2924" t="s">
        <v>31</v>
      </c>
      <c r="AM2924">
        <v>0</v>
      </c>
      <c r="AN2924" t="s">
        <v>31</v>
      </c>
      <c r="AO2924">
        <v>0</v>
      </c>
      <c r="AP2924" t="s">
        <v>31</v>
      </c>
      <c r="AQ2924">
        <v>0</v>
      </c>
    </row>
    <row r="2925" spans="1:43" x14ac:dyDescent="0.2">
      <c r="A2925" t="s">
        <v>381</v>
      </c>
      <c r="B2925" s="3">
        <v>44320</v>
      </c>
      <c r="C2925">
        <v>87</v>
      </c>
      <c r="D2925" t="s">
        <v>385</v>
      </c>
      <c r="E2925" t="s">
        <v>83</v>
      </c>
      <c r="F2925" s="9" t="s">
        <v>89</v>
      </c>
      <c r="G2925" t="s">
        <v>26</v>
      </c>
      <c r="H2925" t="s">
        <v>85</v>
      </c>
      <c r="I2925" t="s">
        <v>86</v>
      </c>
      <c r="J2925" t="s">
        <v>43</v>
      </c>
      <c r="K2925" t="s">
        <v>44</v>
      </c>
      <c r="L2925" t="s">
        <v>53</v>
      </c>
      <c r="M2925" t="s">
        <v>54</v>
      </c>
      <c r="N2925" t="s">
        <v>85</v>
      </c>
      <c r="O2925" t="s">
        <v>86</v>
      </c>
      <c r="P2925" t="s">
        <v>43</v>
      </c>
      <c r="Q2925" t="s">
        <v>44</v>
      </c>
      <c r="R2925" s="1">
        <v>44320.557696759257</v>
      </c>
      <c r="S2925" s="1">
        <v>44320.557696759257</v>
      </c>
      <c r="T2925">
        <v>0</v>
      </c>
      <c r="U2925">
        <v>1</v>
      </c>
      <c r="V2925" s="2">
        <v>0</v>
      </c>
      <c r="W2925">
        <v>0</v>
      </c>
      <c r="X2925" t="s">
        <v>44</v>
      </c>
      <c r="Y2925">
        <v>0</v>
      </c>
      <c r="Z2925" t="s">
        <v>31</v>
      </c>
      <c r="AA2925">
        <v>0</v>
      </c>
      <c r="AB2925" t="s">
        <v>31</v>
      </c>
      <c r="AC2925">
        <v>0</v>
      </c>
      <c r="AD2925" t="s">
        <v>31</v>
      </c>
      <c r="AE2925">
        <v>0</v>
      </c>
      <c r="AF2925" t="s">
        <v>31</v>
      </c>
      <c r="AG2925">
        <v>0</v>
      </c>
      <c r="AH2925" t="s">
        <v>31</v>
      </c>
      <c r="AI2925">
        <v>0</v>
      </c>
      <c r="AJ2925" t="s">
        <v>31</v>
      </c>
      <c r="AK2925">
        <v>0</v>
      </c>
      <c r="AL2925" t="s">
        <v>31</v>
      </c>
      <c r="AM2925">
        <v>0</v>
      </c>
      <c r="AN2925" t="s">
        <v>31</v>
      </c>
      <c r="AO2925">
        <v>0</v>
      </c>
      <c r="AP2925" t="s">
        <v>31</v>
      </c>
      <c r="AQ2925">
        <v>0</v>
      </c>
    </row>
    <row r="2926" spans="1:43" x14ac:dyDescent="0.2">
      <c r="A2926" t="s">
        <v>381</v>
      </c>
      <c r="B2926" s="3">
        <v>44321</v>
      </c>
      <c r="C2926">
        <v>89</v>
      </c>
      <c r="D2926" t="s">
        <v>387</v>
      </c>
      <c r="E2926" t="s">
        <v>83</v>
      </c>
      <c r="F2926" s="9" t="s">
        <v>89</v>
      </c>
      <c r="G2926" t="s">
        <v>26</v>
      </c>
      <c r="H2926" t="s">
        <v>85</v>
      </c>
      <c r="I2926" t="s">
        <v>86</v>
      </c>
      <c r="J2926" t="s">
        <v>43</v>
      </c>
      <c r="K2926" t="s">
        <v>44</v>
      </c>
      <c r="L2926" t="s">
        <v>53</v>
      </c>
      <c r="M2926" t="s">
        <v>54</v>
      </c>
      <c r="N2926" t="s">
        <v>85</v>
      </c>
      <c r="O2926" t="s">
        <v>86</v>
      </c>
      <c r="P2926" t="s">
        <v>43</v>
      </c>
      <c r="Q2926" t="s">
        <v>44</v>
      </c>
      <c r="R2926" s="1">
        <v>44321.625520833331</v>
      </c>
      <c r="S2926" s="1">
        <v>44321.625520833331</v>
      </c>
      <c r="T2926">
        <v>0</v>
      </c>
      <c r="U2926">
        <v>1</v>
      </c>
      <c r="V2926" s="2">
        <v>0</v>
      </c>
      <c r="W2926">
        <v>0</v>
      </c>
      <c r="X2926" t="s">
        <v>44</v>
      </c>
      <c r="Y2926">
        <v>0</v>
      </c>
      <c r="Z2926" t="s">
        <v>31</v>
      </c>
      <c r="AA2926">
        <v>0</v>
      </c>
      <c r="AB2926" t="s">
        <v>31</v>
      </c>
      <c r="AC2926">
        <v>0</v>
      </c>
      <c r="AD2926" t="s">
        <v>31</v>
      </c>
      <c r="AE2926">
        <v>0</v>
      </c>
      <c r="AF2926" t="s">
        <v>31</v>
      </c>
      <c r="AG2926">
        <v>0</v>
      </c>
      <c r="AH2926" t="s">
        <v>31</v>
      </c>
      <c r="AI2926">
        <v>0</v>
      </c>
      <c r="AJ2926" t="s">
        <v>31</v>
      </c>
      <c r="AK2926">
        <v>0</v>
      </c>
      <c r="AL2926" t="s">
        <v>31</v>
      </c>
      <c r="AM2926">
        <v>0</v>
      </c>
      <c r="AN2926" t="s">
        <v>31</v>
      </c>
      <c r="AO2926">
        <v>0</v>
      </c>
      <c r="AP2926" t="s">
        <v>31</v>
      </c>
      <c r="AQ2926">
        <v>0</v>
      </c>
    </row>
    <row r="2927" spans="1:43" x14ac:dyDescent="0.2">
      <c r="A2927" t="s">
        <v>381</v>
      </c>
      <c r="B2927" s="3">
        <v>44327</v>
      </c>
      <c r="C2927">
        <v>96</v>
      </c>
      <c r="D2927" t="s">
        <v>385</v>
      </c>
      <c r="E2927" t="s">
        <v>83</v>
      </c>
      <c r="F2927" s="9" t="s">
        <v>89</v>
      </c>
      <c r="G2927" t="s">
        <v>26</v>
      </c>
      <c r="H2927" t="s">
        <v>85</v>
      </c>
      <c r="I2927" t="s">
        <v>86</v>
      </c>
      <c r="J2927" t="s">
        <v>43</v>
      </c>
      <c r="K2927" t="s">
        <v>44</v>
      </c>
      <c r="L2927" t="s">
        <v>53</v>
      </c>
      <c r="M2927" t="s">
        <v>54</v>
      </c>
      <c r="N2927" t="s">
        <v>85</v>
      </c>
      <c r="O2927" t="s">
        <v>86</v>
      </c>
      <c r="P2927" t="s">
        <v>43</v>
      </c>
      <c r="Q2927" t="s">
        <v>44</v>
      </c>
      <c r="R2927" s="1">
        <v>44327.58730324074</v>
      </c>
      <c r="S2927" s="1">
        <v>44327.58730324074</v>
      </c>
      <c r="T2927">
        <v>0</v>
      </c>
      <c r="U2927">
        <v>1</v>
      </c>
      <c r="V2927" s="2">
        <v>0</v>
      </c>
      <c r="W2927">
        <v>0</v>
      </c>
      <c r="X2927" t="s">
        <v>44</v>
      </c>
      <c r="Y2927">
        <v>0</v>
      </c>
      <c r="Z2927" t="s">
        <v>31</v>
      </c>
      <c r="AA2927">
        <v>0</v>
      </c>
      <c r="AB2927" t="s">
        <v>31</v>
      </c>
      <c r="AC2927">
        <v>0</v>
      </c>
      <c r="AD2927" t="s">
        <v>31</v>
      </c>
      <c r="AE2927">
        <v>0</v>
      </c>
      <c r="AF2927" t="s">
        <v>31</v>
      </c>
      <c r="AG2927">
        <v>0</v>
      </c>
      <c r="AH2927" t="s">
        <v>31</v>
      </c>
      <c r="AI2927">
        <v>0</v>
      </c>
      <c r="AJ2927" t="s">
        <v>31</v>
      </c>
      <c r="AK2927">
        <v>0</v>
      </c>
      <c r="AL2927" t="s">
        <v>31</v>
      </c>
      <c r="AM2927">
        <v>0</v>
      </c>
      <c r="AN2927" t="s">
        <v>31</v>
      </c>
      <c r="AO2927">
        <v>0</v>
      </c>
      <c r="AP2927" t="s">
        <v>31</v>
      </c>
      <c r="AQ2927">
        <v>0</v>
      </c>
    </row>
    <row r="2928" spans="1:43" x14ac:dyDescent="0.2">
      <c r="A2928" t="s">
        <v>381</v>
      </c>
      <c r="B2928" s="3">
        <v>44328</v>
      </c>
      <c r="C2928">
        <v>97</v>
      </c>
      <c r="D2928" t="s">
        <v>387</v>
      </c>
      <c r="E2928" t="s">
        <v>83</v>
      </c>
      <c r="F2928" s="9" t="s">
        <v>89</v>
      </c>
      <c r="G2928" t="s">
        <v>26</v>
      </c>
      <c r="H2928" t="s">
        <v>85</v>
      </c>
      <c r="I2928" t="s">
        <v>86</v>
      </c>
      <c r="J2928" t="s">
        <v>43</v>
      </c>
      <c r="K2928" t="s">
        <v>44</v>
      </c>
      <c r="L2928" t="s">
        <v>53</v>
      </c>
      <c r="M2928" t="s">
        <v>54</v>
      </c>
      <c r="N2928" t="s">
        <v>85</v>
      </c>
      <c r="O2928" t="s">
        <v>86</v>
      </c>
      <c r="P2928" t="s">
        <v>43</v>
      </c>
      <c r="Q2928" t="s">
        <v>44</v>
      </c>
      <c r="R2928" s="1">
        <v>44328.550856481481</v>
      </c>
      <c r="S2928" s="1">
        <v>44328.550856481481</v>
      </c>
      <c r="T2928">
        <v>0</v>
      </c>
      <c r="U2928">
        <v>1</v>
      </c>
      <c r="V2928" s="2">
        <v>0</v>
      </c>
      <c r="W2928">
        <v>0</v>
      </c>
      <c r="X2928" t="s">
        <v>44</v>
      </c>
      <c r="Y2928">
        <v>0</v>
      </c>
      <c r="Z2928" t="s">
        <v>31</v>
      </c>
      <c r="AA2928">
        <v>0</v>
      </c>
      <c r="AB2928" t="s">
        <v>31</v>
      </c>
      <c r="AC2928">
        <v>0</v>
      </c>
      <c r="AD2928" t="s">
        <v>31</v>
      </c>
      <c r="AE2928">
        <v>0</v>
      </c>
      <c r="AF2928" t="s">
        <v>31</v>
      </c>
      <c r="AG2928">
        <v>0</v>
      </c>
      <c r="AH2928" t="s">
        <v>31</v>
      </c>
      <c r="AI2928">
        <v>0</v>
      </c>
      <c r="AJ2928" t="s">
        <v>31</v>
      </c>
      <c r="AK2928">
        <v>0</v>
      </c>
      <c r="AL2928" t="s">
        <v>31</v>
      </c>
      <c r="AM2928">
        <v>0</v>
      </c>
      <c r="AN2928" t="s">
        <v>31</v>
      </c>
      <c r="AO2928">
        <v>0</v>
      </c>
      <c r="AP2928" t="s">
        <v>31</v>
      </c>
      <c r="AQ2928">
        <v>0</v>
      </c>
    </row>
    <row r="2929" spans="1:43" x14ac:dyDescent="0.2">
      <c r="A2929" t="s">
        <v>381</v>
      </c>
      <c r="B2929" s="3">
        <v>44334</v>
      </c>
      <c r="C2929">
        <v>99</v>
      </c>
      <c r="D2929" t="s">
        <v>385</v>
      </c>
      <c r="E2929" t="s">
        <v>83</v>
      </c>
      <c r="F2929" s="9" t="s">
        <v>89</v>
      </c>
      <c r="G2929" t="s">
        <v>26</v>
      </c>
      <c r="H2929" t="s">
        <v>85</v>
      </c>
      <c r="I2929" t="s">
        <v>86</v>
      </c>
      <c r="J2929" t="s">
        <v>43</v>
      </c>
      <c r="K2929" t="s">
        <v>44</v>
      </c>
      <c r="L2929" t="s">
        <v>53</v>
      </c>
      <c r="M2929" t="s">
        <v>54</v>
      </c>
      <c r="N2929" t="s">
        <v>85</v>
      </c>
      <c r="O2929" t="s">
        <v>86</v>
      </c>
      <c r="P2929" t="s">
        <v>43</v>
      </c>
      <c r="Q2929" t="s">
        <v>44</v>
      </c>
      <c r="R2929" s="1">
        <v>44334.571203703701</v>
      </c>
      <c r="S2929" s="1">
        <v>44334.571215277778</v>
      </c>
      <c r="T2929">
        <v>0</v>
      </c>
      <c r="U2929">
        <v>3</v>
      </c>
      <c r="V2929" s="2">
        <v>0</v>
      </c>
      <c r="W2929">
        <v>0</v>
      </c>
      <c r="X2929" t="s">
        <v>44</v>
      </c>
      <c r="Y2929">
        <v>0</v>
      </c>
      <c r="Z2929" t="s">
        <v>44</v>
      </c>
      <c r="AA2929">
        <v>0</v>
      </c>
      <c r="AB2929" t="s">
        <v>44</v>
      </c>
      <c r="AC2929">
        <v>0</v>
      </c>
      <c r="AD2929" t="s">
        <v>31</v>
      </c>
      <c r="AE2929">
        <v>0</v>
      </c>
      <c r="AF2929" t="s">
        <v>31</v>
      </c>
      <c r="AG2929">
        <v>0</v>
      </c>
      <c r="AH2929" t="s">
        <v>31</v>
      </c>
      <c r="AI2929">
        <v>0</v>
      </c>
      <c r="AJ2929" t="s">
        <v>31</v>
      </c>
      <c r="AK2929">
        <v>0</v>
      </c>
      <c r="AL2929" t="s">
        <v>31</v>
      </c>
      <c r="AM2929">
        <v>0</v>
      </c>
      <c r="AN2929" t="s">
        <v>31</v>
      </c>
      <c r="AO2929">
        <v>0</v>
      </c>
      <c r="AP2929" t="s">
        <v>31</v>
      </c>
      <c r="AQ2929">
        <v>0</v>
      </c>
    </row>
    <row r="2930" spans="1:43" x14ac:dyDescent="0.2">
      <c r="A2930" t="s">
        <v>381</v>
      </c>
      <c r="B2930" s="3">
        <v>44336</v>
      </c>
      <c r="C2930">
        <v>103</v>
      </c>
      <c r="D2930" t="s">
        <v>385</v>
      </c>
      <c r="E2930" t="s">
        <v>83</v>
      </c>
      <c r="F2930" s="9" t="s">
        <v>89</v>
      </c>
      <c r="G2930" t="s">
        <v>26</v>
      </c>
      <c r="H2930" t="s">
        <v>85</v>
      </c>
      <c r="I2930" t="s">
        <v>86</v>
      </c>
      <c r="J2930" t="s">
        <v>43</v>
      </c>
      <c r="K2930" t="s">
        <v>44</v>
      </c>
      <c r="L2930" t="s">
        <v>53</v>
      </c>
      <c r="M2930" t="s">
        <v>54</v>
      </c>
      <c r="N2930" t="s">
        <v>85</v>
      </c>
      <c r="O2930" t="s">
        <v>86</v>
      </c>
      <c r="P2930" t="s">
        <v>43</v>
      </c>
      <c r="Q2930" t="s">
        <v>44</v>
      </c>
      <c r="R2930" s="1">
        <v>44336.559212962966</v>
      </c>
      <c r="S2930" s="1">
        <v>44336.559212962966</v>
      </c>
      <c r="T2930">
        <v>0</v>
      </c>
      <c r="U2930">
        <v>2</v>
      </c>
      <c r="V2930" s="2">
        <v>0</v>
      </c>
      <c r="W2930">
        <v>0</v>
      </c>
      <c r="X2930" t="s">
        <v>44</v>
      </c>
      <c r="Y2930">
        <v>0</v>
      </c>
      <c r="Z2930" t="s">
        <v>44</v>
      </c>
      <c r="AA2930">
        <v>0</v>
      </c>
      <c r="AB2930" t="s">
        <v>31</v>
      </c>
      <c r="AC2930">
        <v>0</v>
      </c>
      <c r="AD2930" t="s">
        <v>31</v>
      </c>
      <c r="AE2930">
        <v>0</v>
      </c>
      <c r="AF2930" t="s">
        <v>31</v>
      </c>
      <c r="AG2930">
        <v>0</v>
      </c>
      <c r="AH2930" t="s">
        <v>31</v>
      </c>
      <c r="AI2930">
        <v>0</v>
      </c>
      <c r="AJ2930" t="s">
        <v>31</v>
      </c>
      <c r="AK2930">
        <v>0</v>
      </c>
      <c r="AL2930" t="s">
        <v>31</v>
      </c>
      <c r="AM2930">
        <v>0</v>
      </c>
      <c r="AN2930" t="s">
        <v>31</v>
      </c>
      <c r="AO2930">
        <v>0</v>
      </c>
      <c r="AP2930" t="s">
        <v>31</v>
      </c>
      <c r="AQ2930">
        <v>0</v>
      </c>
    </row>
    <row r="2931" spans="1:43" x14ac:dyDescent="0.2">
      <c r="A2931" t="s">
        <v>381</v>
      </c>
      <c r="B2931" s="3">
        <v>44337</v>
      </c>
      <c r="C2931">
        <v>105</v>
      </c>
      <c r="D2931" t="s">
        <v>405</v>
      </c>
      <c r="E2931" t="s">
        <v>83</v>
      </c>
      <c r="F2931" s="9" t="s">
        <v>89</v>
      </c>
      <c r="G2931" t="s">
        <v>26</v>
      </c>
      <c r="H2931" t="s">
        <v>85</v>
      </c>
      <c r="I2931" t="s">
        <v>86</v>
      </c>
      <c r="J2931" t="s">
        <v>43</v>
      </c>
      <c r="K2931" t="s">
        <v>44</v>
      </c>
      <c r="L2931" t="s">
        <v>53</v>
      </c>
      <c r="M2931" t="s">
        <v>54</v>
      </c>
      <c r="N2931" t="s">
        <v>85</v>
      </c>
      <c r="O2931" t="s">
        <v>86</v>
      </c>
      <c r="P2931" t="s">
        <v>43</v>
      </c>
      <c r="Q2931" t="s">
        <v>44</v>
      </c>
      <c r="R2931" s="1">
        <v>44337.627870370372</v>
      </c>
      <c r="S2931" s="1">
        <v>44337.627870370372</v>
      </c>
      <c r="T2931">
        <v>0</v>
      </c>
      <c r="U2931">
        <v>1</v>
      </c>
      <c r="V2931" s="2">
        <v>0</v>
      </c>
      <c r="W2931">
        <v>0</v>
      </c>
      <c r="X2931" t="s">
        <v>44</v>
      </c>
      <c r="Y2931">
        <v>0</v>
      </c>
      <c r="Z2931" t="s">
        <v>31</v>
      </c>
      <c r="AA2931">
        <v>0</v>
      </c>
      <c r="AB2931" t="s">
        <v>31</v>
      </c>
      <c r="AC2931">
        <v>0</v>
      </c>
      <c r="AD2931" t="s">
        <v>31</v>
      </c>
      <c r="AE2931">
        <v>0</v>
      </c>
      <c r="AF2931" t="s">
        <v>31</v>
      </c>
      <c r="AG2931">
        <v>0</v>
      </c>
      <c r="AH2931" t="s">
        <v>31</v>
      </c>
      <c r="AI2931">
        <v>0</v>
      </c>
      <c r="AJ2931" t="s">
        <v>31</v>
      </c>
      <c r="AK2931">
        <v>0</v>
      </c>
      <c r="AL2931" t="s">
        <v>31</v>
      </c>
      <c r="AM2931">
        <v>0</v>
      </c>
      <c r="AN2931" t="s">
        <v>31</v>
      </c>
      <c r="AO2931">
        <v>0</v>
      </c>
      <c r="AP2931" t="s">
        <v>31</v>
      </c>
      <c r="AQ2931">
        <v>0</v>
      </c>
    </row>
    <row r="2932" spans="1:43" x14ac:dyDescent="0.2">
      <c r="A2932" t="s">
        <v>381</v>
      </c>
      <c r="B2932" s="3">
        <v>44338</v>
      </c>
      <c r="C2932">
        <v>106</v>
      </c>
      <c r="D2932" t="s">
        <v>408</v>
      </c>
      <c r="E2932" t="s">
        <v>83</v>
      </c>
      <c r="F2932" s="9" t="s">
        <v>89</v>
      </c>
      <c r="G2932" t="s">
        <v>26</v>
      </c>
      <c r="H2932" t="s">
        <v>85</v>
      </c>
      <c r="I2932" t="s">
        <v>86</v>
      </c>
      <c r="J2932" t="s">
        <v>43</v>
      </c>
      <c r="K2932" t="s">
        <v>44</v>
      </c>
      <c r="L2932" t="s">
        <v>53</v>
      </c>
      <c r="M2932" t="s">
        <v>54</v>
      </c>
      <c r="N2932" t="s">
        <v>85</v>
      </c>
      <c r="O2932" t="s">
        <v>86</v>
      </c>
      <c r="P2932" t="s">
        <v>43</v>
      </c>
      <c r="Q2932" t="s">
        <v>44</v>
      </c>
      <c r="R2932" s="1">
        <v>44338.45753472222</v>
      </c>
      <c r="S2932" s="1">
        <v>44338.45753472222</v>
      </c>
      <c r="T2932">
        <v>0</v>
      </c>
      <c r="U2932">
        <v>1</v>
      </c>
      <c r="V2932" s="2">
        <v>0</v>
      </c>
      <c r="W2932">
        <v>0</v>
      </c>
      <c r="X2932" t="s">
        <v>44</v>
      </c>
      <c r="Y2932">
        <v>0</v>
      </c>
      <c r="Z2932" t="s">
        <v>31</v>
      </c>
      <c r="AA2932">
        <v>0</v>
      </c>
      <c r="AB2932" t="s">
        <v>31</v>
      </c>
      <c r="AC2932">
        <v>0</v>
      </c>
      <c r="AD2932" t="s">
        <v>31</v>
      </c>
      <c r="AE2932">
        <v>0</v>
      </c>
      <c r="AF2932" t="s">
        <v>31</v>
      </c>
      <c r="AG2932">
        <v>0</v>
      </c>
      <c r="AH2932" t="s">
        <v>31</v>
      </c>
      <c r="AI2932">
        <v>0</v>
      </c>
      <c r="AJ2932" t="s">
        <v>31</v>
      </c>
      <c r="AK2932">
        <v>0</v>
      </c>
      <c r="AL2932" t="s">
        <v>31</v>
      </c>
      <c r="AM2932">
        <v>0</v>
      </c>
      <c r="AN2932" t="s">
        <v>31</v>
      </c>
      <c r="AO2932">
        <v>0</v>
      </c>
      <c r="AP2932" t="s">
        <v>31</v>
      </c>
      <c r="AQ2932">
        <v>0</v>
      </c>
    </row>
    <row r="2933" spans="1:43" x14ac:dyDescent="0.2">
      <c r="A2933" t="s">
        <v>381</v>
      </c>
      <c r="B2933" s="3">
        <v>44338</v>
      </c>
      <c r="C2933">
        <v>107</v>
      </c>
      <c r="D2933" t="s">
        <v>392</v>
      </c>
      <c r="E2933" t="s">
        <v>83</v>
      </c>
      <c r="F2933" s="9" t="s">
        <v>89</v>
      </c>
      <c r="G2933" t="s">
        <v>26</v>
      </c>
      <c r="H2933" t="s">
        <v>85</v>
      </c>
      <c r="I2933" t="s">
        <v>86</v>
      </c>
      <c r="J2933" t="s">
        <v>43</v>
      </c>
      <c r="K2933" t="s">
        <v>44</v>
      </c>
      <c r="L2933" t="s">
        <v>53</v>
      </c>
      <c r="M2933" t="s">
        <v>54</v>
      </c>
      <c r="N2933" t="s">
        <v>85</v>
      </c>
      <c r="O2933" t="s">
        <v>86</v>
      </c>
      <c r="P2933" t="s">
        <v>43</v>
      </c>
      <c r="Q2933" t="s">
        <v>44</v>
      </c>
      <c r="R2933" s="1">
        <v>44338.608518518522</v>
      </c>
      <c r="S2933" s="1">
        <v>44338.619085648148</v>
      </c>
      <c r="T2933">
        <v>0</v>
      </c>
      <c r="U2933">
        <v>2</v>
      </c>
      <c r="V2933" s="2">
        <v>0</v>
      </c>
      <c r="W2933">
        <v>0</v>
      </c>
      <c r="X2933" t="s">
        <v>44</v>
      </c>
      <c r="Y2933">
        <v>0</v>
      </c>
      <c r="Z2933" t="s">
        <v>44</v>
      </c>
      <c r="AA2933">
        <v>0</v>
      </c>
      <c r="AB2933" t="s">
        <v>31</v>
      </c>
      <c r="AC2933">
        <v>0</v>
      </c>
      <c r="AD2933" t="s">
        <v>31</v>
      </c>
      <c r="AE2933">
        <v>0</v>
      </c>
      <c r="AF2933" t="s">
        <v>31</v>
      </c>
      <c r="AG2933">
        <v>0</v>
      </c>
      <c r="AH2933" t="s">
        <v>31</v>
      </c>
      <c r="AI2933">
        <v>0</v>
      </c>
      <c r="AJ2933" t="s">
        <v>31</v>
      </c>
      <c r="AK2933">
        <v>0</v>
      </c>
      <c r="AL2933" t="s">
        <v>31</v>
      </c>
      <c r="AM2933">
        <v>0</v>
      </c>
      <c r="AN2933" t="s">
        <v>31</v>
      </c>
      <c r="AO2933">
        <v>0</v>
      </c>
      <c r="AP2933" t="s">
        <v>31</v>
      </c>
      <c r="AQ2933">
        <v>0</v>
      </c>
    </row>
    <row r="2934" spans="1:43" x14ac:dyDescent="0.2">
      <c r="A2934" t="s">
        <v>381</v>
      </c>
      <c r="B2934" s="3">
        <v>44340</v>
      </c>
      <c r="C2934">
        <v>108</v>
      </c>
      <c r="D2934" t="s">
        <v>393</v>
      </c>
      <c r="E2934" t="s">
        <v>83</v>
      </c>
      <c r="F2934" s="9" t="s">
        <v>89</v>
      </c>
      <c r="G2934" t="s">
        <v>26</v>
      </c>
      <c r="H2934" t="s">
        <v>85</v>
      </c>
      <c r="I2934" t="s">
        <v>86</v>
      </c>
      <c r="J2934" t="s">
        <v>43</v>
      </c>
      <c r="K2934" t="s">
        <v>44</v>
      </c>
      <c r="L2934" t="s">
        <v>53</v>
      </c>
      <c r="M2934" t="s">
        <v>54</v>
      </c>
      <c r="N2934" t="s">
        <v>85</v>
      </c>
      <c r="O2934" t="s">
        <v>86</v>
      </c>
      <c r="P2934" t="s">
        <v>43</v>
      </c>
      <c r="Q2934" t="s">
        <v>44</v>
      </c>
      <c r="R2934" s="1">
        <v>44340.451111111113</v>
      </c>
      <c r="S2934" s="1">
        <v>44340.451122685183</v>
      </c>
      <c r="T2934">
        <v>0</v>
      </c>
      <c r="U2934">
        <v>2</v>
      </c>
      <c r="V2934" s="2">
        <v>0</v>
      </c>
      <c r="W2934">
        <v>0</v>
      </c>
      <c r="X2934" t="s">
        <v>44</v>
      </c>
      <c r="Y2934">
        <v>0</v>
      </c>
      <c r="Z2934" t="s">
        <v>44</v>
      </c>
      <c r="AA2934">
        <v>0</v>
      </c>
      <c r="AB2934" t="s">
        <v>31</v>
      </c>
      <c r="AC2934">
        <v>0</v>
      </c>
      <c r="AD2934" t="s">
        <v>31</v>
      </c>
      <c r="AE2934">
        <v>0</v>
      </c>
      <c r="AF2934" t="s">
        <v>31</v>
      </c>
      <c r="AG2934">
        <v>0</v>
      </c>
      <c r="AH2934" t="s">
        <v>31</v>
      </c>
      <c r="AI2934">
        <v>0</v>
      </c>
      <c r="AJ2934" t="s">
        <v>31</v>
      </c>
      <c r="AK2934">
        <v>0</v>
      </c>
      <c r="AL2934" t="s">
        <v>31</v>
      </c>
      <c r="AM2934">
        <v>0</v>
      </c>
      <c r="AN2934" t="s">
        <v>31</v>
      </c>
      <c r="AO2934">
        <v>0</v>
      </c>
      <c r="AP2934" t="s">
        <v>31</v>
      </c>
      <c r="AQ2934">
        <v>0</v>
      </c>
    </row>
    <row r="2935" spans="1:43" x14ac:dyDescent="0.2">
      <c r="A2935" t="s">
        <v>381</v>
      </c>
      <c r="B2935" s="3">
        <v>44341</v>
      </c>
      <c r="C2935">
        <v>111</v>
      </c>
      <c r="D2935" t="s">
        <v>385</v>
      </c>
      <c r="E2935" t="s">
        <v>83</v>
      </c>
      <c r="F2935" s="9" t="s">
        <v>89</v>
      </c>
      <c r="G2935" t="s">
        <v>26</v>
      </c>
      <c r="H2935" t="s">
        <v>85</v>
      </c>
      <c r="I2935" t="s">
        <v>86</v>
      </c>
      <c r="J2935" t="s">
        <v>43</v>
      </c>
      <c r="K2935" t="s">
        <v>44</v>
      </c>
      <c r="L2935" t="s">
        <v>53</v>
      </c>
      <c r="M2935" t="s">
        <v>54</v>
      </c>
      <c r="N2935" t="s">
        <v>85</v>
      </c>
      <c r="O2935" t="s">
        <v>86</v>
      </c>
      <c r="P2935" t="s">
        <v>43</v>
      </c>
      <c r="Q2935" t="s">
        <v>44</v>
      </c>
      <c r="R2935" s="1">
        <v>44341.644097222219</v>
      </c>
      <c r="S2935" s="1">
        <v>44341.644097222219</v>
      </c>
      <c r="T2935">
        <v>0</v>
      </c>
      <c r="U2935">
        <v>1</v>
      </c>
      <c r="V2935" s="2">
        <v>0</v>
      </c>
      <c r="W2935">
        <v>0</v>
      </c>
      <c r="X2935" t="s">
        <v>44</v>
      </c>
      <c r="Y2935">
        <v>0</v>
      </c>
      <c r="Z2935" t="s">
        <v>31</v>
      </c>
      <c r="AA2935">
        <v>0</v>
      </c>
      <c r="AB2935" t="s">
        <v>31</v>
      </c>
      <c r="AC2935">
        <v>0</v>
      </c>
      <c r="AD2935" t="s">
        <v>31</v>
      </c>
      <c r="AE2935">
        <v>0</v>
      </c>
      <c r="AF2935" t="s">
        <v>31</v>
      </c>
      <c r="AG2935">
        <v>0</v>
      </c>
      <c r="AH2935" t="s">
        <v>31</v>
      </c>
      <c r="AI2935">
        <v>0</v>
      </c>
      <c r="AJ2935" t="s">
        <v>31</v>
      </c>
      <c r="AK2935">
        <v>0</v>
      </c>
      <c r="AL2935" t="s">
        <v>31</v>
      </c>
      <c r="AM2935">
        <v>0</v>
      </c>
      <c r="AN2935" t="s">
        <v>31</v>
      </c>
      <c r="AO2935">
        <v>0</v>
      </c>
      <c r="AP2935" t="s">
        <v>31</v>
      </c>
      <c r="AQ2935">
        <v>0</v>
      </c>
    </row>
    <row r="2936" spans="1:43" x14ac:dyDescent="0.2">
      <c r="A2936" t="s">
        <v>381</v>
      </c>
      <c r="B2936" s="3">
        <v>44342</v>
      </c>
      <c r="C2936">
        <v>112</v>
      </c>
      <c r="D2936" t="s">
        <v>394</v>
      </c>
      <c r="E2936" t="s">
        <v>83</v>
      </c>
      <c r="F2936" s="9" t="s">
        <v>89</v>
      </c>
      <c r="G2936" t="s">
        <v>26</v>
      </c>
      <c r="H2936" t="s">
        <v>85</v>
      </c>
      <c r="I2936" t="s">
        <v>86</v>
      </c>
      <c r="J2936" t="s">
        <v>43</v>
      </c>
      <c r="K2936" t="s">
        <v>44</v>
      </c>
      <c r="L2936" t="s">
        <v>53</v>
      </c>
      <c r="M2936" t="s">
        <v>54</v>
      </c>
      <c r="N2936" t="s">
        <v>85</v>
      </c>
      <c r="O2936" t="s">
        <v>86</v>
      </c>
      <c r="P2936" t="s">
        <v>43</v>
      </c>
      <c r="Q2936" t="s">
        <v>44</v>
      </c>
      <c r="R2936" s="1">
        <v>44342.424074074072</v>
      </c>
      <c r="S2936" s="1">
        <v>44342.424074074072</v>
      </c>
      <c r="T2936">
        <v>0</v>
      </c>
      <c r="U2936">
        <v>1</v>
      </c>
      <c r="V2936" s="2">
        <v>0</v>
      </c>
      <c r="W2936">
        <v>0</v>
      </c>
      <c r="X2936" t="s">
        <v>44</v>
      </c>
      <c r="Y2936">
        <v>0</v>
      </c>
      <c r="Z2936" t="s">
        <v>31</v>
      </c>
      <c r="AA2936">
        <v>0</v>
      </c>
      <c r="AB2936" t="s">
        <v>31</v>
      </c>
      <c r="AC2936">
        <v>0</v>
      </c>
      <c r="AD2936" t="s">
        <v>31</v>
      </c>
      <c r="AE2936">
        <v>0</v>
      </c>
      <c r="AF2936" t="s">
        <v>31</v>
      </c>
      <c r="AG2936">
        <v>0</v>
      </c>
      <c r="AH2936" t="s">
        <v>31</v>
      </c>
      <c r="AI2936">
        <v>0</v>
      </c>
      <c r="AJ2936" t="s">
        <v>31</v>
      </c>
      <c r="AK2936">
        <v>0</v>
      </c>
      <c r="AL2936" t="s">
        <v>31</v>
      </c>
      <c r="AM2936">
        <v>0</v>
      </c>
      <c r="AN2936" t="s">
        <v>31</v>
      </c>
      <c r="AO2936">
        <v>0</v>
      </c>
      <c r="AP2936" t="s">
        <v>31</v>
      </c>
      <c r="AQ2936">
        <v>0</v>
      </c>
    </row>
    <row r="2937" spans="1:43" x14ac:dyDescent="0.2">
      <c r="A2937" t="s">
        <v>381</v>
      </c>
      <c r="B2937" s="3">
        <v>44342</v>
      </c>
      <c r="C2937">
        <v>113</v>
      </c>
      <c r="D2937" t="s">
        <v>383</v>
      </c>
      <c r="E2937" t="s">
        <v>83</v>
      </c>
      <c r="F2937" s="9" t="s">
        <v>89</v>
      </c>
      <c r="G2937" t="s">
        <v>26</v>
      </c>
      <c r="H2937" t="s">
        <v>85</v>
      </c>
      <c r="I2937" t="s">
        <v>86</v>
      </c>
      <c r="J2937" t="s">
        <v>43</v>
      </c>
      <c r="K2937" t="s">
        <v>44</v>
      </c>
      <c r="L2937" t="s">
        <v>53</v>
      </c>
      <c r="M2937" t="s">
        <v>54</v>
      </c>
      <c r="N2937" t="s">
        <v>85</v>
      </c>
      <c r="O2937" t="s">
        <v>86</v>
      </c>
      <c r="P2937" t="s">
        <v>43</v>
      </c>
      <c r="Q2937" t="s">
        <v>44</v>
      </c>
      <c r="R2937" s="1">
        <v>44342.636689814812</v>
      </c>
      <c r="S2937" s="1">
        <v>44342.636689814812</v>
      </c>
      <c r="T2937">
        <v>0</v>
      </c>
      <c r="U2937">
        <v>1</v>
      </c>
      <c r="V2937" s="2">
        <v>0</v>
      </c>
      <c r="W2937">
        <v>0</v>
      </c>
      <c r="X2937" t="s">
        <v>44</v>
      </c>
      <c r="Y2937">
        <v>0</v>
      </c>
      <c r="Z2937" t="s">
        <v>31</v>
      </c>
      <c r="AA2937">
        <v>0</v>
      </c>
      <c r="AB2937" t="s">
        <v>31</v>
      </c>
      <c r="AC2937">
        <v>0</v>
      </c>
      <c r="AD2937" t="s">
        <v>31</v>
      </c>
      <c r="AE2937">
        <v>0</v>
      </c>
      <c r="AF2937" t="s">
        <v>31</v>
      </c>
      <c r="AG2937">
        <v>0</v>
      </c>
      <c r="AH2937" t="s">
        <v>31</v>
      </c>
      <c r="AI2937">
        <v>0</v>
      </c>
      <c r="AJ2937" t="s">
        <v>31</v>
      </c>
      <c r="AK2937">
        <v>0</v>
      </c>
      <c r="AL2937" t="s">
        <v>31</v>
      </c>
      <c r="AM2937">
        <v>0</v>
      </c>
      <c r="AN2937" t="s">
        <v>31</v>
      </c>
      <c r="AO2937">
        <v>0</v>
      </c>
      <c r="AP2937" t="s">
        <v>31</v>
      </c>
      <c r="AQ2937">
        <v>0</v>
      </c>
    </row>
    <row r="2938" spans="1:43" x14ac:dyDescent="0.2">
      <c r="A2938" t="s">
        <v>381</v>
      </c>
      <c r="B2938" s="3">
        <v>44344</v>
      </c>
      <c r="C2938">
        <v>116</v>
      </c>
      <c r="D2938" t="s">
        <v>390</v>
      </c>
      <c r="E2938" t="s">
        <v>83</v>
      </c>
      <c r="F2938" s="9" t="s">
        <v>89</v>
      </c>
      <c r="G2938" t="s">
        <v>26</v>
      </c>
      <c r="H2938" t="s">
        <v>85</v>
      </c>
      <c r="I2938" t="s">
        <v>86</v>
      </c>
      <c r="J2938" t="s">
        <v>43</v>
      </c>
      <c r="K2938" t="s">
        <v>44</v>
      </c>
      <c r="L2938" t="s">
        <v>53</v>
      </c>
      <c r="M2938" t="s">
        <v>54</v>
      </c>
      <c r="N2938" t="s">
        <v>85</v>
      </c>
      <c r="O2938" t="s">
        <v>86</v>
      </c>
      <c r="P2938" t="s">
        <v>43</v>
      </c>
      <c r="Q2938" t="s">
        <v>44</v>
      </c>
      <c r="R2938" s="1">
        <v>44344.4528125</v>
      </c>
      <c r="S2938" s="1">
        <v>44344.452824074076</v>
      </c>
      <c r="T2938">
        <v>0</v>
      </c>
      <c r="U2938">
        <v>1</v>
      </c>
      <c r="V2938" s="2">
        <v>0</v>
      </c>
      <c r="W2938">
        <v>0</v>
      </c>
      <c r="X2938" t="s">
        <v>44</v>
      </c>
      <c r="Y2938">
        <v>0</v>
      </c>
      <c r="Z2938" t="s">
        <v>31</v>
      </c>
      <c r="AA2938">
        <v>0</v>
      </c>
      <c r="AB2938" t="s">
        <v>31</v>
      </c>
      <c r="AC2938">
        <v>0</v>
      </c>
      <c r="AD2938" t="s">
        <v>31</v>
      </c>
      <c r="AE2938">
        <v>0</v>
      </c>
      <c r="AF2938" t="s">
        <v>31</v>
      </c>
      <c r="AG2938">
        <v>0</v>
      </c>
      <c r="AH2938" t="s">
        <v>31</v>
      </c>
      <c r="AI2938">
        <v>0</v>
      </c>
      <c r="AJ2938" t="s">
        <v>31</v>
      </c>
      <c r="AK2938">
        <v>0</v>
      </c>
      <c r="AL2938" t="s">
        <v>31</v>
      </c>
      <c r="AM2938">
        <v>0</v>
      </c>
      <c r="AN2938" t="s">
        <v>31</v>
      </c>
      <c r="AO2938">
        <v>0</v>
      </c>
      <c r="AP2938" t="s">
        <v>31</v>
      </c>
      <c r="AQ2938">
        <v>0</v>
      </c>
    </row>
    <row r="2939" spans="1:43" x14ac:dyDescent="0.2">
      <c r="A2939" t="s">
        <v>381</v>
      </c>
      <c r="B2939" s="3">
        <v>44344</v>
      </c>
      <c r="C2939">
        <v>117</v>
      </c>
      <c r="D2939" t="s">
        <v>409</v>
      </c>
      <c r="E2939" t="s">
        <v>83</v>
      </c>
      <c r="F2939" s="9" t="s">
        <v>89</v>
      </c>
      <c r="G2939" t="s">
        <v>26</v>
      </c>
      <c r="H2939" t="s">
        <v>85</v>
      </c>
      <c r="I2939" t="s">
        <v>86</v>
      </c>
      <c r="J2939" t="s">
        <v>43</v>
      </c>
      <c r="K2939" t="s">
        <v>44</v>
      </c>
      <c r="L2939" t="s">
        <v>53</v>
      </c>
      <c r="M2939" t="s">
        <v>54</v>
      </c>
      <c r="N2939" t="s">
        <v>85</v>
      </c>
      <c r="O2939" t="s">
        <v>86</v>
      </c>
      <c r="P2939" t="s">
        <v>43</v>
      </c>
      <c r="Q2939" t="s">
        <v>44</v>
      </c>
      <c r="R2939" s="1">
        <v>44344.599363425928</v>
      </c>
      <c r="S2939" s="1">
        <v>44344.599363425928</v>
      </c>
      <c r="T2939">
        <v>0</v>
      </c>
      <c r="U2939">
        <v>1</v>
      </c>
      <c r="V2939" s="2">
        <v>0</v>
      </c>
      <c r="W2939">
        <v>0</v>
      </c>
      <c r="X2939" t="s">
        <v>44</v>
      </c>
      <c r="Y2939">
        <v>0</v>
      </c>
      <c r="Z2939" t="s">
        <v>31</v>
      </c>
      <c r="AA2939">
        <v>0</v>
      </c>
      <c r="AB2939" t="s">
        <v>31</v>
      </c>
      <c r="AC2939">
        <v>0</v>
      </c>
      <c r="AD2939" t="s">
        <v>31</v>
      </c>
      <c r="AE2939">
        <v>0</v>
      </c>
      <c r="AF2939" t="s">
        <v>31</v>
      </c>
      <c r="AG2939">
        <v>0</v>
      </c>
      <c r="AH2939" t="s">
        <v>31</v>
      </c>
      <c r="AI2939">
        <v>0</v>
      </c>
      <c r="AJ2939" t="s">
        <v>31</v>
      </c>
      <c r="AK2939">
        <v>0</v>
      </c>
      <c r="AL2939" t="s">
        <v>31</v>
      </c>
      <c r="AM2939">
        <v>0</v>
      </c>
      <c r="AN2939" t="s">
        <v>31</v>
      </c>
      <c r="AO2939">
        <v>0</v>
      </c>
      <c r="AP2939" t="s">
        <v>31</v>
      </c>
      <c r="AQ2939">
        <v>0</v>
      </c>
    </row>
    <row r="2940" spans="1:43" x14ac:dyDescent="0.2">
      <c r="A2940" t="s">
        <v>381</v>
      </c>
      <c r="B2940" s="3">
        <v>44348</v>
      </c>
      <c r="C2940">
        <v>118</v>
      </c>
      <c r="D2940" t="s">
        <v>396</v>
      </c>
      <c r="E2940" t="s">
        <v>83</v>
      </c>
      <c r="F2940" s="9" t="s">
        <v>89</v>
      </c>
      <c r="G2940" t="s">
        <v>26</v>
      </c>
      <c r="H2940" t="s">
        <v>85</v>
      </c>
      <c r="I2940" t="s">
        <v>86</v>
      </c>
      <c r="J2940" t="s">
        <v>43</v>
      </c>
      <c r="K2940" t="s">
        <v>44</v>
      </c>
      <c r="L2940" t="s">
        <v>53</v>
      </c>
      <c r="M2940" t="s">
        <v>54</v>
      </c>
      <c r="N2940" t="s">
        <v>85</v>
      </c>
      <c r="O2940" t="s">
        <v>86</v>
      </c>
      <c r="P2940" t="s">
        <v>43</v>
      </c>
      <c r="Q2940" t="s">
        <v>44</v>
      </c>
      <c r="R2940" s="1">
        <v>44348.402372685188</v>
      </c>
      <c r="S2940" s="1">
        <v>44348.402372685188</v>
      </c>
      <c r="T2940">
        <v>0</v>
      </c>
      <c r="U2940">
        <v>1</v>
      </c>
      <c r="V2940" s="2">
        <v>0</v>
      </c>
      <c r="W2940">
        <v>0</v>
      </c>
      <c r="X2940" t="s">
        <v>44</v>
      </c>
      <c r="Y2940">
        <v>0</v>
      </c>
      <c r="Z2940" t="s">
        <v>31</v>
      </c>
      <c r="AA2940">
        <v>0</v>
      </c>
      <c r="AB2940" t="s">
        <v>31</v>
      </c>
      <c r="AC2940">
        <v>0</v>
      </c>
      <c r="AD2940" t="s">
        <v>31</v>
      </c>
      <c r="AE2940">
        <v>0</v>
      </c>
      <c r="AF2940" t="s">
        <v>31</v>
      </c>
      <c r="AG2940">
        <v>0</v>
      </c>
      <c r="AH2940" t="s">
        <v>31</v>
      </c>
      <c r="AI2940">
        <v>0</v>
      </c>
      <c r="AJ2940" t="s">
        <v>31</v>
      </c>
      <c r="AK2940">
        <v>0</v>
      </c>
      <c r="AL2940" t="s">
        <v>31</v>
      </c>
      <c r="AM2940">
        <v>0</v>
      </c>
      <c r="AN2940" t="s">
        <v>31</v>
      </c>
      <c r="AO2940">
        <v>0</v>
      </c>
      <c r="AP2940" t="s">
        <v>31</v>
      </c>
      <c r="AQ2940">
        <v>0</v>
      </c>
    </row>
    <row r="2941" spans="1:43" x14ac:dyDescent="0.2">
      <c r="A2941" t="s">
        <v>381</v>
      </c>
      <c r="B2941" s="3">
        <v>44348</v>
      </c>
      <c r="C2941">
        <v>119</v>
      </c>
      <c r="D2941" t="s">
        <v>385</v>
      </c>
      <c r="E2941" t="s">
        <v>83</v>
      </c>
      <c r="F2941" s="9" t="s">
        <v>89</v>
      </c>
      <c r="G2941" t="s">
        <v>26</v>
      </c>
      <c r="H2941" t="s">
        <v>85</v>
      </c>
      <c r="I2941" t="s">
        <v>86</v>
      </c>
      <c r="J2941" t="s">
        <v>43</v>
      </c>
      <c r="K2941" t="s">
        <v>44</v>
      </c>
      <c r="L2941" t="s">
        <v>53</v>
      </c>
      <c r="M2941" t="s">
        <v>54</v>
      </c>
      <c r="N2941" t="s">
        <v>85</v>
      </c>
      <c r="O2941" t="s">
        <v>86</v>
      </c>
      <c r="P2941" t="s">
        <v>43</v>
      </c>
      <c r="Q2941" t="s">
        <v>44</v>
      </c>
      <c r="R2941" s="1">
        <v>44348.636990740742</v>
      </c>
      <c r="S2941" s="1">
        <v>44348.637002314812</v>
      </c>
      <c r="T2941">
        <v>1</v>
      </c>
      <c r="U2941">
        <v>2</v>
      </c>
      <c r="V2941" s="2">
        <v>0.5</v>
      </c>
      <c r="W2941">
        <v>1</v>
      </c>
      <c r="X2941" t="s">
        <v>44</v>
      </c>
      <c r="Y2941">
        <v>0</v>
      </c>
      <c r="Z2941" t="s">
        <v>54</v>
      </c>
      <c r="AA2941">
        <v>1</v>
      </c>
      <c r="AB2941" t="s">
        <v>31</v>
      </c>
      <c r="AC2941">
        <v>0</v>
      </c>
      <c r="AD2941" t="s">
        <v>31</v>
      </c>
      <c r="AE2941">
        <v>0</v>
      </c>
      <c r="AF2941" t="s">
        <v>31</v>
      </c>
      <c r="AG2941">
        <v>0</v>
      </c>
      <c r="AH2941" t="s">
        <v>31</v>
      </c>
      <c r="AI2941">
        <v>0</v>
      </c>
      <c r="AJ2941" t="s">
        <v>31</v>
      </c>
      <c r="AK2941">
        <v>0</v>
      </c>
      <c r="AL2941" t="s">
        <v>31</v>
      </c>
      <c r="AM2941">
        <v>0</v>
      </c>
      <c r="AN2941" t="s">
        <v>31</v>
      </c>
      <c r="AO2941">
        <v>0</v>
      </c>
      <c r="AP2941" t="s">
        <v>31</v>
      </c>
      <c r="AQ2941">
        <v>0</v>
      </c>
    </row>
    <row r="2942" spans="1:43" x14ac:dyDescent="0.2">
      <c r="A2942" t="s">
        <v>381</v>
      </c>
      <c r="B2942" s="3">
        <v>44349</v>
      </c>
      <c r="C2942">
        <v>121</v>
      </c>
      <c r="D2942" t="s">
        <v>385</v>
      </c>
      <c r="E2942" t="s">
        <v>83</v>
      </c>
      <c r="F2942" s="9" t="s">
        <v>89</v>
      </c>
      <c r="G2942" t="s">
        <v>26</v>
      </c>
      <c r="H2942" t="s">
        <v>85</v>
      </c>
      <c r="I2942" t="s">
        <v>86</v>
      </c>
      <c r="J2942" t="s">
        <v>43</v>
      </c>
      <c r="K2942" t="s">
        <v>44</v>
      </c>
      <c r="L2942" t="s">
        <v>53</v>
      </c>
      <c r="M2942" t="s">
        <v>54</v>
      </c>
      <c r="N2942" t="s">
        <v>85</v>
      </c>
      <c r="O2942" t="s">
        <v>86</v>
      </c>
      <c r="P2942" t="s">
        <v>43</v>
      </c>
      <c r="Q2942" t="s">
        <v>44</v>
      </c>
      <c r="R2942" s="1">
        <v>44349.572256944448</v>
      </c>
      <c r="S2942" s="1">
        <v>44349.572256944448</v>
      </c>
      <c r="T2942">
        <v>0</v>
      </c>
      <c r="U2942">
        <v>2</v>
      </c>
      <c r="V2942" s="2">
        <v>0</v>
      </c>
      <c r="W2942">
        <v>0</v>
      </c>
      <c r="X2942" t="s">
        <v>44</v>
      </c>
      <c r="Y2942">
        <v>0</v>
      </c>
      <c r="Z2942" t="s">
        <v>44</v>
      </c>
      <c r="AA2942">
        <v>0</v>
      </c>
      <c r="AB2942" t="s">
        <v>31</v>
      </c>
      <c r="AC2942">
        <v>0</v>
      </c>
      <c r="AD2942" t="s">
        <v>31</v>
      </c>
      <c r="AE2942">
        <v>0</v>
      </c>
      <c r="AF2942" t="s">
        <v>31</v>
      </c>
      <c r="AG2942">
        <v>0</v>
      </c>
      <c r="AH2942" t="s">
        <v>31</v>
      </c>
      <c r="AI2942">
        <v>0</v>
      </c>
      <c r="AJ2942" t="s">
        <v>31</v>
      </c>
      <c r="AK2942">
        <v>0</v>
      </c>
      <c r="AL2942" t="s">
        <v>31</v>
      </c>
      <c r="AM2942">
        <v>0</v>
      </c>
      <c r="AN2942" t="s">
        <v>31</v>
      </c>
      <c r="AO2942">
        <v>0</v>
      </c>
      <c r="AP2942" t="s">
        <v>31</v>
      </c>
      <c r="AQ2942">
        <v>0</v>
      </c>
    </row>
    <row r="2943" spans="1:43" x14ac:dyDescent="0.2">
      <c r="A2943" t="s">
        <v>381</v>
      </c>
      <c r="B2943" s="3">
        <v>44350</v>
      </c>
      <c r="C2943">
        <v>123</v>
      </c>
      <c r="D2943" t="s">
        <v>382</v>
      </c>
      <c r="E2943" t="s">
        <v>83</v>
      </c>
      <c r="F2943" s="9" t="s">
        <v>89</v>
      </c>
      <c r="G2943" t="s">
        <v>26</v>
      </c>
      <c r="H2943" t="s">
        <v>85</v>
      </c>
      <c r="I2943" t="s">
        <v>86</v>
      </c>
      <c r="J2943" t="s">
        <v>43</v>
      </c>
      <c r="K2943" t="s">
        <v>44</v>
      </c>
      <c r="L2943" t="s">
        <v>53</v>
      </c>
      <c r="M2943" t="s">
        <v>54</v>
      </c>
      <c r="N2943" t="s">
        <v>85</v>
      </c>
      <c r="O2943" t="s">
        <v>86</v>
      </c>
      <c r="P2943" t="s">
        <v>43</v>
      </c>
      <c r="Q2943" t="s">
        <v>44</v>
      </c>
      <c r="R2943" s="1">
        <v>44350.400879629633</v>
      </c>
      <c r="S2943" s="1">
        <v>44350.400879629633</v>
      </c>
      <c r="T2943">
        <v>0</v>
      </c>
      <c r="U2943">
        <v>1</v>
      </c>
      <c r="V2943" s="2">
        <v>0</v>
      </c>
      <c r="W2943">
        <v>0</v>
      </c>
      <c r="X2943" t="s">
        <v>44</v>
      </c>
      <c r="Y2943">
        <v>0</v>
      </c>
      <c r="Z2943" t="s">
        <v>31</v>
      </c>
      <c r="AA2943">
        <v>0</v>
      </c>
      <c r="AB2943" t="s">
        <v>31</v>
      </c>
      <c r="AC2943">
        <v>0</v>
      </c>
      <c r="AD2943" t="s">
        <v>31</v>
      </c>
      <c r="AE2943">
        <v>0</v>
      </c>
      <c r="AF2943" t="s">
        <v>31</v>
      </c>
      <c r="AG2943">
        <v>0</v>
      </c>
      <c r="AH2943" t="s">
        <v>31</v>
      </c>
      <c r="AI2943">
        <v>0</v>
      </c>
      <c r="AJ2943" t="s">
        <v>31</v>
      </c>
      <c r="AK2943">
        <v>0</v>
      </c>
      <c r="AL2943" t="s">
        <v>31</v>
      </c>
      <c r="AM2943">
        <v>0</v>
      </c>
      <c r="AN2943" t="s">
        <v>31</v>
      </c>
      <c r="AO2943">
        <v>0</v>
      </c>
      <c r="AP2943" t="s">
        <v>31</v>
      </c>
      <c r="AQ2943">
        <v>0</v>
      </c>
    </row>
    <row r="2944" spans="1:43" x14ac:dyDescent="0.2">
      <c r="A2944" t="s">
        <v>381</v>
      </c>
      <c r="B2944" s="3">
        <v>44351</v>
      </c>
      <c r="C2944">
        <v>124</v>
      </c>
      <c r="D2944" t="s">
        <v>390</v>
      </c>
      <c r="E2944" t="s">
        <v>83</v>
      </c>
      <c r="F2944" s="9" t="s">
        <v>89</v>
      </c>
      <c r="G2944" t="s">
        <v>26</v>
      </c>
      <c r="H2944" t="s">
        <v>85</v>
      </c>
      <c r="I2944" t="s">
        <v>86</v>
      </c>
      <c r="J2944" t="s">
        <v>43</v>
      </c>
      <c r="K2944" t="s">
        <v>44</v>
      </c>
      <c r="L2944" t="s">
        <v>53</v>
      </c>
      <c r="M2944" t="s">
        <v>54</v>
      </c>
      <c r="N2944" t="s">
        <v>85</v>
      </c>
      <c r="O2944" t="s">
        <v>86</v>
      </c>
      <c r="P2944" t="s">
        <v>43</v>
      </c>
      <c r="Q2944" t="s">
        <v>44</v>
      </c>
      <c r="R2944" s="1">
        <v>44351.440601851849</v>
      </c>
      <c r="S2944" s="1">
        <v>44351.440601851849</v>
      </c>
      <c r="T2944">
        <v>0</v>
      </c>
      <c r="U2944">
        <v>1</v>
      </c>
      <c r="V2944" s="2">
        <v>0</v>
      </c>
      <c r="W2944">
        <v>0</v>
      </c>
      <c r="X2944" t="s">
        <v>44</v>
      </c>
      <c r="Y2944">
        <v>0</v>
      </c>
      <c r="Z2944" t="s">
        <v>31</v>
      </c>
      <c r="AA2944">
        <v>0</v>
      </c>
      <c r="AB2944" t="s">
        <v>31</v>
      </c>
      <c r="AC2944">
        <v>0</v>
      </c>
      <c r="AD2944" t="s">
        <v>31</v>
      </c>
      <c r="AE2944">
        <v>0</v>
      </c>
      <c r="AF2944" t="s">
        <v>31</v>
      </c>
      <c r="AG2944">
        <v>0</v>
      </c>
      <c r="AH2944" t="s">
        <v>31</v>
      </c>
      <c r="AI2944">
        <v>0</v>
      </c>
      <c r="AJ2944" t="s">
        <v>31</v>
      </c>
      <c r="AK2944">
        <v>0</v>
      </c>
      <c r="AL2944" t="s">
        <v>31</v>
      </c>
      <c r="AM2944">
        <v>0</v>
      </c>
      <c r="AN2944" t="s">
        <v>31</v>
      </c>
      <c r="AO2944">
        <v>0</v>
      </c>
      <c r="AP2944" t="s">
        <v>31</v>
      </c>
      <c r="AQ2944">
        <v>0</v>
      </c>
    </row>
    <row r="2945" spans="1:43" x14ac:dyDescent="0.2">
      <c r="A2945" t="s">
        <v>381</v>
      </c>
      <c r="B2945" s="3">
        <v>44351</v>
      </c>
      <c r="C2945">
        <v>125</v>
      </c>
      <c r="D2945" t="s">
        <v>387</v>
      </c>
      <c r="E2945" t="s">
        <v>83</v>
      </c>
      <c r="F2945" s="9" t="s">
        <v>89</v>
      </c>
      <c r="G2945" t="s">
        <v>26</v>
      </c>
      <c r="H2945" t="s">
        <v>85</v>
      </c>
      <c r="I2945" t="s">
        <v>86</v>
      </c>
      <c r="J2945" t="s">
        <v>43</v>
      </c>
      <c r="K2945" t="s">
        <v>44</v>
      </c>
      <c r="L2945" t="s">
        <v>53</v>
      </c>
      <c r="M2945" t="s">
        <v>54</v>
      </c>
      <c r="N2945" t="s">
        <v>85</v>
      </c>
      <c r="O2945" t="s">
        <v>86</v>
      </c>
      <c r="P2945" t="s">
        <v>43</v>
      </c>
      <c r="Q2945" t="s">
        <v>44</v>
      </c>
      <c r="R2945" s="1">
        <v>44351.587083333332</v>
      </c>
      <c r="S2945" s="1">
        <v>44351.587083333332</v>
      </c>
      <c r="T2945">
        <v>0</v>
      </c>
      <c r="U2945">
        <v>1</v>
      </c>
      <c r="V2945" s="2">
        <v>0</v>
      </c>
      <c r="W2945">
        <v>0</v>
      </c>
      <c r="X2945" t="s">
        <v>44</v>
      </c>
      <c r="Y2945">
        <v>0</v>
      </c>
      <c r="Z2945" t="s">
        <v>31</v>
      </c>
      <c r="AA2945">
        <v>0</v>
      </c>
      <c r="AB2945" t="s">
        <v>31</v>
      </c>
      <c r="AC2945">
        <v>0</v>
      </c>
      <c r="AD2945" t="s">
        <v>31</v>
      </c>
      <c r="AE2945">
        <v>0</v>
      </c>
      <c r="AF2945" t="s">
        <v>31</v>
      </c>
      <c r="AG2945">
        <v>0</v>
      </c>
      <c r="AH2945" t="s">
        <v>31</v>
      </c>
      <c r="AI2945">
        <v>0</v>
      </c>
      <c r="AJ2945" t="s">
        <v>31</v>
      </c>
      <c r="AK2945">
        <v>0</v>
      </c>
      <c r="AL2945" t="s">
        <v>31</v>
      </c>
      <c r="AM2945">
        <v>0</v>
      </c>
      <c r="AN2945" t="s">
        <v>31</v>
      </c>
      <c r="AO2945">
        <v>0</v>
      </c>
      <c r="AP2945" t="s">
        <v>31</v>
      </c>
      <c r="AQ2945">
        <v>0</v>
      </c>
    </row>
    <row r="2946" spans="1:43" x14ac:dyDescent="0.2">
      <c r="A2946" t="s">
        <v>381</v>
      </c>
      <c r="B2946" s="3">
        <v>44354</v>
      </c>
      <c r="C2946">
        <v>126</v>
      </c>
      <c r="D2946" t="s">
        <v>397</v>
      </c>
      <c r="E2946" t="s">
        <v>83</v>
      </c>
      <c r="F2946" s="9" t="s">
        <v>89</v>
      </c>
      <c r="G2946" t="s">
        <v>26</v>
      </c>
      <c r="H2946" t="s">
        <v>85</v>
      </c>
      <c r="I2946" t="s">
        <v>86</v>
      </c>
      <c r="J2946" t="s">
        <v>43</v>
      </c>
      <c r="K2946" t="s">
        <v>44</v>
      </c>
      <c r="L2946" t="s">
        <v>53</v>
      </c>
      <c r="M2946" t="s">
        <v>54</v>
      </c>
      <c r="N2946" t="s">
        <v>85</v>
      </c>
      <c r="O2946" t="s">
        <v>86</v>
      </c>
      <c r="P2946" t="s">
        <v>43</v>
      </c>
      <c r="Q2946" t="s">
        <v>44</v>
      </c>
      <c r="R2946" s="1">
        <v>44354.413530092592</v>
      </c>
      <c r="S2946" s="1">
        <v>44354.459803240738</v>
      </c>
      <c r="T2946">
        <v>0</v>
      </c>
      <c r="U2946">
        <v>3</v>
      </c>
      <c r="V2946" s="2">
        <v>0</v>
      </c>
      <c r="W2946">
        <v>0</v>
      </c>
      <c r="X2946" t="s">
        <v>44</v>
      </c>
      <c r="Y2946">
        <v>0</v>
      </c>
      <c r="Z2946" t="s">
        <v>44</v>
      </c>
      <c r="AA2946">
        <v>0</v>
      </c>
      <c r="AB2946" t="s">
        <v>44</v>
      </c>
      <c r="AC2946">
        <v>0</v>
      </c>
      <c r="AD2946" t="s">
        <v>31</v>
      </c>
      <c r="AE2946">
        <v>0</v>
      </c>
      <c r="AF2946" t="s">
        <v>31</v>
      </c>
      <c r="AG2946">
        <v>0</v>
      </c>
      <c r="AH2946" t="s">
        <v>31</v>
      </c>
      <c r="AI2946">
        <v>0</v>
      </c>
      <c r="AJ2946" t="s">
        <v>31</v>
      </c>
      <c r="AK2946">
        <v>0</v>
      </c>
      <c r="AL2946" t="s">
        <v>31</v>
      </c>
      <c r="AM2946">
        <v>0</v>
      </c>
      <c r="AN2946" t="s">
        <v>31</v>
      </c>
      <c r="AO2946">
        <v>0</v>
      </c>
      <c r="AP2946" t="s">
        <v>31</v>
      </c>
      <c r="AQ2946">
        <v>0</v>
      </c>
    </row>
    <row r="2947" spans="1:43" x14ac:dyDescent="0.2">
      <c r="A2947" t="s">
        <v>381</v>
      </c>
      <c r="B2947" s="3">
        <v>44354</v>
      </c>
      <c r="C2947">
        <v>127</v>
      </c>
      <c r="D2947" t="s">
        <v>383</v>
      </c>
      <c r="E2947" t="s">
        <v>83</v>
      </c>
      <c r="F2947" s="9" t="s">
        <v>89</v>
      </c>
      <c r="G2947" t="s">
        <v>26</v>
      </c>
      <c r="H2947" t="s">
        <v>85</v>
      </c>
      <c r="I2947" t="s">
        <v>86</v>
      </c>
      <c r="J2947" t="s">
        <v>43</v>
      </c>
      <c r="K2947" t="s">
        <v>44</v>
      </c>
      <c r="L2947" t="s">
        <v>53</v>
      </c>
      <c r="M2947" t="s">
        <v>54</v>
      </c>
      <c r="N2947" t="s">
        <v>85</v>
      </c>
      <c r="O2947" t="s">
        <v>86</v>
      </c>
      <c r="P2947" t="s">
        <v>43</v>
      </c>
      <c r="Q2947" t="s">
        <v>44</v>
      </c>
      <c r="R2947" s="1">
        <v>44354.638206018521</v>
      </c>
      <c r="S2947" s="1">
        <v>44354.638206018521</v>
      </c>
      <c r="T2947">
        <v>0</v>
      </c>
      <c r="U2947">
        <v>1</v>
      </c>
      <c r="V2947" s="2">
        <v>0</v>
      </c>
      <c r="W2947">
        <v>0</v>
      </c>
      <c r="X2947" t="s">
        <v>44</v>
      </c>
      <c r="Y2947">
        <v>0</v>
      </c>
      <c r="Z2947" t="s">
        <v>31</v>
      </c>
      <c r="AA2947">
        <v>0</v>
      </c>
      <c r="AB2947" t="s">
        <v>31</v>
      </c>
      <c r="AC2947">
        <v>0</v>
      </c>
      <c r="AD2947" t="s">
        <v>31</v>
      </c>
      <c r="AE2947">
        <v>0</v>
      </c>
      <c r="AF2947" t="s">
        <v>31</v>
      </c>
      <c r="AG2947">
        <v>0</v>
      </c>
      <c r="AH2947" t="s">
        <v>31</v>
      </c>
      <c r="AI2947">
        <v>0</v>
      </c>
      <c r="AJ2947" t="s">
        <v>31</v>
      </c>
      <c r="AK2947">
        <v>0</v>
      </c>
      <c r="AL2947" t="s">
        <v>31</v>
      </c>
      <c r="AM2947">
        <v>0</v>
      </c>
      <c r="AN2947" t="s">
        <v>31</v>
      </c>
      <c r="AO2947">
        <v>0</v>
      </c>
      <c r="AP2947" t="s">
        <v>31</v>
      </c>
      <c r="AQ2947">
        <v>0</v>
      </c>
    </row>
    <row r="2948" spans="1:43" x14ac:dyDescent="0.2">
      <c r="A2948" t="s">
        <v>381</v>
      </c>
      <c r="B2948" s="3">
        <v>44355</v>
      </c>
      <c r="C2948">
        <v>128</v>
      </c>
      <c r="D2948" t="s">
        <v>406</v>
      </c>
      <c r="E2948" t="s">
        <v>83</v>
      </c>
      <c r="F2948" s="9" t="s">
        <v>89</v>
      </c>
      <c r="G2948" t="s">
        <v>26</v>
      </c>
      <c r="H2948" t="s">
        <v>85</v>
      </c>
      <c r="I2948" t="s">
        <v>86</v>
      </c>
      <c r="J2948" t="s">
        <v>43</v>
      </c>
      <c r="K2948" t="s">
        <v>44</v>
      </c>
      <c r="L2948" t="s">
        <v>53</v>
      </c>
      <c r="M2948" t="s">
        <v>54</v>
      </c>
      <c r="N2948" t="s">
        <v>85</v>
      </c>
      <c r="O2948" t="s">
        <v>86</v>
      </c>
      <c r="P2948" t="s">
        <v>43</v>
      </c>
      <c r="Q2948" t="s">
        <v>44</v>
      </c>
      <c r="R2948" s="1">
        <v>44355.480995370373</v>
      </c>
      <c r="S2948" s="1">
        <v>44355.480995370373</v>
      </c>
      <c r="T2948">
        <v>0</v>
      </c>
      <c r="U2948">
        <v>1</v>
      </c>
      <c r="V2948" s="2">
        <v>0</v>
      </c>
      <c r="W2948">
        <v>0</v>
      </c>
      <c r="X2948" t="s">
        <v>44</v>
      </c>
      <c r="Y2948">
        <v>0</v>
      </c>
      <c r="Z2948" t="s">
        <v>31</v>
      </c>
      <c r="AA2948">
        <v>0</v>
      </c>
      <c r="AB2948" t="s">
        <v>31</v>
      </c>
      <c r="AC2948">
        <v>0</v>
      </c>
      <c r="AD2948" t="s">
        <v>31</v>
      </c>
      <c r="AE2948">
        <v>0</v>
      </c>
      <c r="AF2948" t="s">
        <v>31</v>
      </c>
      <c r="AG2948">
        <v>0</v>
      </c>
      <c r="AH2948" t="s">
        <v>31</v>
      </c>
      <c r="AI2948">
        <v>0</v>
      </c>
      <c r="AJ2948" t="s">
        <v>31</v>
      </c>
      <c r="AK2948">
        <v>0</v>
      </c>
      <c r="AL2948" t="s">
        <v>31</v>
      </c>
      <c r="AM2948">
        <v>0</v>
      </c>
      <c r="AN2948" t="s">
        <v>31</v>
      </c>
      <c r="AO2948">
        <v>0</v>
      </c>
      <c r="AP2948" t="s">
        <v>31</v>
      </c>
      <c r="AQ2948">
        <v>0</v>
      </c>
    </row>
    <row r="2949" spans="1:43" x14ac:dyDescent="0.2">
      <c r="A2949" t="s">
        <v>381</v>
      </c>
      <c r="B2949" s="3">
        <v>44355</v>
      </c>
      <c r="C2949">
        <v>129</v>
      </c>
      <c r="D2949" t="s">
        <v>385</v>
      </c>
      <c r="E2949" t="s">
        <v>83</v>
      </c>
      <c r="F2949" s="9" t="s">
        <v>89</v>
      </c>
      <c r="G2949" t="s">
        <v>26</v>
      </c>
      <c r="H2949" t="s">
        <v>85</v>
      </c>
      <c r="I2949" t="s">
        <v>86</v>
      </c>
      <c r="J2949" t="s">
        <v>43</v>
      </c>
      <c r="K2949" t="s">
        <v>44</v>
      </c>
      <c r="L2949" t="s">
        <v>53</v>
      </c>
      <c r="M2949" t="s">
        <v>54</v>
      </c>
      <c r="N2949" t="s">
        <v>85</v>
      </c>
      <c r="O2949" t="s">
        <v>86</v>
      </c>
      <c r="P2949" t="s">
        <v>43</v>
      </c>
      <c r="Q2949" t="s">
        <v>44</v>
      </c>
      <c r="R2949" s="1">
        <v>44355.556122685186</v>
      </c>
      <c r="S2949" s="1">
        <v>44355.556145833332</v>
      </c>
      <c r="T2949">
        <v>0</v>
      </c>
      <c r="U2949">
        <v>2</v>
      </c>
      <c r="V2949" s="2">
        <v>0</v>
      </c>
      <c r="W2949">
        <v>0</v>
      </c>
      <c r="X2949" t="s">
        <v>44</v>
      </c>
      <c r="Y2949">
        <v>0</v>
      </c>
      <c r="Z2949" t="s">
        <v>44</v>
      </c>
      <c r="AA2949">
        <v>0</v>
      </c>
      <c r="AB2949" t="s">
        <v>31</v>
      </c>
      <c r="AC2949">
        <v>0</v>
      </c>
      <c r="AD2949" t="s">
        <v>31</v>
      </c>
      <c r="AE2949">
        <v>0</v>
      </c>
      <c r="AF2949" t="s">
        <v>31</v>
      </c>
      <c r="AG2949">
        <v>0</v>
      </c>
      <c r="AH2949" t="s">
        <v>31</v>
      </c>
      <c r="AI2949">
        <v>0</v>
      </c>
      <c r="AJ2949" t="s">
        <v>31</v>
      </c>
      <c r="AK2949">
        <v>0</v>
      </c>
      <c r="AL2949" t="s">
        <v>31</v>
      </c>
      <c r="AM2949">
        <v>0</v>
      </c>
      <c r="AN2949" t="s">
        <v>31</v>
      </c>
      <c r="AO2949">
        <v>0</v>
      </c>
      <c r="AP2949" t="s">
        <v>31</v>
      </c>
      <c r="AQ2949">
        <v>0</v>
      </c>
    </row>
    <row r="2950" spans="1:43" x14ac:dyDescent="0.2">
      <c r="A2950" t="s">
        <v>381</v>
      </c>
      <c r="B2950" s="3">
        <v>44356</v>
      </c>
      <c r="C2950">
        <v>130</v>
      </c>
      <c r="D2950" t="s">
        <v>398</v>
      </c>
      <c r="E2950" t="s">
        <v>83</v>
      </c>
      <c r="F2950" s="9" t="s">
        <v>89</v>
      </c>
      <c r="G2950" t="s">
        <v>26</v>
      </c>
      <c r="H2950" t="s">
        <v>85</v>
      </c>
      <c r="I2950" t="s">
        <v>86</v>
      </c>
      <c r="J2950" t="s">
        <v>43</v>
      </c>
      <c r="K2950" t="s">
        <v>44</v>
      </c>
      <c r="L2950" t="s">
        <v>53</v>
      </c>
      <c r="M2950" t="s">
        <v>54</v>
      </c>
      <c r="N2950" t="s">
        <v>85</v>
      </c>
      <c r="O2950" t="s">
        <v>86</v>
      </c>
      <c r="P2950" t="s">
        <v>43</v>
      </c>
      <c r="Q2950" t="s">
        <v>44</v>
      </c>
      <c r="R2950" s="1">
        <v>44356.405462962961</v>
      </c>
      <c r="S2950" s="1">
        <v>44356.405462962961</v>
      </c>
      <c r="T2950">
        <v>0</v>
      </c>
      <c r="U2950">
        <v>1</v>
      </c>
      <c r="V2950" s="2">
        <v>0</v>
      </c>
      <c r="W2950">
        <v>0</v>
      </c>
      <c r="X2950" t="s">
        <v>44</v>
      </c>
      <c r="Y2950">
        <v>0</v>
      </c>
      <c r="Z2950" t="s">
        <v>31</v>
      </c>
      <c r="AA2950">
        <v>0</v>
      </c>
      <c r="AB2950" t="s">
        <v>31</v>
      </c>
      <c r="AC2950">
        <v>0</v>
      </c>
      <c r="AD2950" t="s">
        <v>31</v>
      </c>
      <c r="AE2950">
        <v>0</v>
      </c>
      <c r="AF2950" t="s">
        <v>31</v>
      </c>
      <c r="AG2950">
        <v>0</v>
      </c>
      <c r="AH2950" t="s">
        <v>31</v>
      </c>
      <c r="AI2950">
        <v>0</v>
      </c>
      <c r="AJ2950" t="s">
        <v>31</v>
      </c>
      <c r="AK2950">
        <v>0</v>
      </c>
      <c r="AL2950" t="s">
        <v>31</v>
      </c>
      <c r="AM2950">
        <v>0</v>
      </c>
      <c r="AN2950" t="s">
        <v>31</v>
      </c>
      <c r="AO2950">
        <v>0</v>
      </c>
      <c r="AP2950" t="s">
        <v>31</v>
      </c>
      <c r="AQ2950">
        <v>0</v>
      </c>
    </row>
    <row r="2951" spans="1:43" x14ac:dyDescent="0.2">
      <c r="A2951" t="s">
        <v>381</v>
      </c>
      <c r="B2951" s="3">
        <v>44356</v>
      </c>
      <c r="C2951">
        <v>131</v>
      </c>
      <c r="D2951" t="s">
        <v>383</v>
      </c>
      <c r="E2951" t="s">
        <v>83</v>
      </c>
      <c r="F2951" s="9" t="s">
        <v>89</v>
      </c>
      <c r="G2951" t="s">
        <v>26</v>
      </c>
      <c r="H2951" t="s">
        <v>85</v>
      </c>
      <c r="I2951" t="s">
        <v>86</v>
      </c>
      <c r="J2951" t="s">
        <v>43</v>
      </c>
      <c r="K2951" t="s">
        <v>44</v>
      </c>
      <c r="L2951" t="s">
        <v>53</v>
      </c>
      <c r="M2951" t="s">
        <v>54</v>
      </c>
      <c r="N2951" t="s">
        <v>85</v>
      </c>
      <c r="O2951" t="s">
        <v>86</v>
      </c>
      <c r="P2951" t="s">
        <v>43</v>
      </c>
      <c r="Q2951" t="s">
        <v>44</v>
      </c>
      <c r="R2951" s="1">
        <v>44356.629814814813</v>
      </c>
      <c r="S2951" s="1">
        <v>44356.629814814813</v>
      </c>
      <c r="T2951">
        <v>0</v>
      </c>
      <c r="U2951">
        <v>1</v>
      </c>
      <c r="V2951" s="2">
        <v>0</v>
      </c>
      <c r="W2951">
        <v>0</v>
      </c>
      <c r="X2951" t="s">
        <v>44</v>
      </c>
      <c r="Y2951">
        <v>0</v>
      </c>
      <c r="Z2951" t="s">
        <v>31</v>
      </c>
      <c r="AA2951">
        <v>0</v>
      </c>
      <c r="AB2951" t="s">
        <v>31</v>
      </c>
      <c r="AC2951">
        <v>0</v>
      </c>
      <c r="AD2951" t="s">
        <v>31</v>
      </c>
      <c r="AE2951">
        <v>0</v>
      </c>
      <c r="AF2951" t="s">
        <v>31</v>
      </c>
      <c r="AG2951">
        <v>0</v>
      </c>
      <c r="AH2951" t="s">
        <v>31</v>
      </c>
      <c r="AI2951">
        <v>0</v>
      </c>
      <c r="AJ2951" t="s">
        <v>31</v>
      </c>
      <c r="AK2951">
        <v>0</v>
      </c>
      <c r="AL2951" t="s">
        <v>31</v>
      </c>
      <c r="AM2951">
        <v>0</v>
      </c>
      <c r="AN2951" t="s">
        <v>31</v>
      </c>
      <c r="AO2951">
        <v>0</v>
      </c>
      <c r="AP2951" t="s">
        <v>31</v>
      </c>
      <c r="AQ2951">
        <v>0</v>
      </c>
    </row>
    <row r="2952" spans="1:43" x14ac:dyDescent="0.2">
      <c r="A2952" t="s">
        <v>381</v>
      </c>
      <c r="B2952" s="3">
        <v>44357</v>
      </c>
      <c r="C2952">
        <v>132</v>
      </c>
      <c r="D2952" t="s">
        <v>399</v>
      </c>
      <c r="E2952" t="s">
        <v>83</v>
      </c>
      <c r="F2952" s="9" t="s">
        <v>89</v>
      </c>
      <c r="G2952" t="s">
        <v>26</v>
      </c>
      <c r="H2952" t="s">
        <v>85</v>
      </c>
      <c r="I2952" t="s">
        <v>86</v>
      </c>
      <c r="J2952" t="s">
        <v>43</v>
      </c>
      <c r="K2952" t="s">
        <v>44</v>
      </c>
      <c r="L2952" t="s">
        <v>53</v>
      </c>
      <c r="M2952" t="s">
        <v>54</v>
      </c>
      <c r="N2952" t="s">
        <v>85</v>
      </c>
      <c r="O2952" t="s">
        <v>86</v>
      </c>
      <c r="P2952" t="s">
        <v>43</v>
      </c>
      <c r="Q2952" t="s">
        <v>44</v>
      </c>
      <c r="R2952" s="1">
        <v>44357.383506944447</v>
      </c>
      <c r="S2952" s="1">
        <v>44357.383506944447</v>
      </c>
      <c r="T2952">
        <v>0</v>
      </c>
      <c r="U2952">
        <v>1</v>
      </c>
      <c r="V2952" s="2">
        <v>0</v>
      </c>
      <c r="W2952">
        <v>0</v>
      </c>
      <c r="X2952" t="s">
        <v>44</v>
      </c>
      <c r="Y2952">
        <v>0</v>
      </c>
      <c r="Z2952" t="s">
        <v>31</v>
      </c>
      <c r="AA2952">
        <v>0</v>
      </c>
      <c r="AB2952" t="s">
        <v>31</v>
      </c>
      <c r="AC2952">
        <v>0</v>
      </c>
      <c r="AD2952" t="s">
        <v>31</v>
      </c>
      <c r="AE2952">
        <v>0</v>
      </c>
      <c r="AF2952" t="s">
        <v>31</v>
      </c>
      <c r="AG2952">
        <v>0</v>
      </c>
      <c r="AH2952" t="s">
        <v>31</v>
      </c>
      <c r="AI2952">
        <v>0</v>
      </c>
      <c r="AJ2952" t="s">
        <v>31</v>
      </c>
      <c r="AK2952">
        <v>0</v>
      </c>
      <c r="AL2952" t="s">
        <v>31</v>
      </c>
      <c r="AM2952">
        <v>0</v>
      </c>
      <c r="AN2952" t="s">
        <v>31</v>
      </c>
      <c r="AO2952">
        <v>0</v>
      </c>
      <c r="AP2952" t="s">
        <v>31</v>
      </c>
      <c r="AQ2952">
        <v>0</v>
      </c>
    </row>
    <row r="2953" spans="1:43" x14ac:dyDescent="0.2">
      <c r="A2953" t="s">
        <v>381</v>
      </c>
      <c r="B2953" s="3">
        <v>44358</v>
      </c>
      <c r="C2953">
        <v>133</v>
      </c>
      <c r="D2953" t="s">
        <v>390</v>
      </c>
      <c r="E2953" t="s">
        <v>83</v>
      </c>
      <c r="F2953" s="9" t="s">
        <v>89</v>
      </c>
      <c r="G2953" t="s">
        <v>26</v>
      </c>
      <c r="H2953" t="s">
        <v>85</v>
      </c>
      <c r="I2953" t="s">
        <v>86</v>
      </c>
      <c r="J2953" t="s">
        <v>43</v>
      </c>
      <c r="K2953" t="s">
        <v>44</v>
      </c>
      <c r="L2953" t="s">
        <v>53</v>
      </c>
      <c r="M2953" t="s">
        <v>54</v>
      </c>
      <c r="N2953" t="s">
        <v>85</v>
      </c>
      <c r="O2953" t="s">
        <v>86</v>
      </c>
      <c r="P2953" t="s">
        <v>43</v>
      </c>
      <c r="Q2953" t="s">
        <v>44</v>
      </c>
      <c r="R2953" s="1">
        <v>44358.462893518517</v>
      </c>
      <c r="S2953" s="1">
        <v>44358.462893518517</v>
      </c>
      <c r="T2953">
        <v>0</v>
      </c>
      <c r="U2953">
        <v>1</v>
      </c>
      <c r="V2953" s="2">
        <v>0</v>
      </c>
      <c r="W2953">
        <v>0</v>
      </c>
      <c r="X2953" t="s">
        <v>44</v>
      </c>
      <c r="Y2953">
        <v>0</v>
      </c>
      <c r="Z2953" t="s">
        <v>31</v>
      </c>
      <c r="AA2953">
        <v>0</v>
      </c>
      <c r="AB2953" t="s">
        <v>31</v>
      </c>
      <c r="AC2953">
        <v>0</v>
      </c>
      <c r="AD2953" t="s">
        <v>31</v>
      </c>
      <c r="AE2953">
        <v>0</v>
      </c>
      <c r="AF2953" t="s">
        <v>31</v>
      </c>
      <c r="AG2953">
        <v>0</v>
      </c>
      <c r="AH2953" t="s">
        <v>31</v>
      </c>
      <c r="AI2953">
        <v>0</v>
      </c>
      <c r="AJ2953" t="s">
        <v>31</v>
      </c>
      <c r="AK2953">
        <v>0</v>
      </c>
      <c r="AL2953" t="s">
        <v>31</v>
      </c>
      <c r="AM2953">
        <v>0</v>
      </c>
      <c r="AN2953" t="s">
        <v>31</v>
      </c>
      <c r="AO2953">
        <v>0</v>
      </c>
      <c r="AP2953" t="s">
        <v>31</v>
      </c>
      <c r="AQ2953">
        <v>0</v>
      </c>
    </row>
    <row r="2954" spans="1:43" x14ac:dyDescent="0.2">
      <c r="A2954" t="s">
        <v>381</v>
      </c>
      <c r="B2954" s="3">
        <v>44361</v>
      </c>
      <c r="C2954">
        <v>136</v>
      </c>
      <c r="D2954" t="s">
        <v>383</v>
      </c>
      <c r="E2954" t="s">
        <v>83</v>
      </c>
      <c r="F2954" s="9" t="s">
        <v>89</v>
      </c>
      <c r="G2954" t="s">
        <v>26</v>
      </c>
      <c r="H2954" t="s">
        <v>85</v>
      </c>
      <c r="I2954" t="s">
        <v>86</v>
      </c>
      <c r="J2954" t="s">
        <v>43</v>
      </c>
      <c r="K2954" t="s">
        <v>44</v>
      </c>
      <c r="L2954" t="s">
        <v>53</v>
      </c>
      <c r="M2954" t="s">
        <v>54</v>
      </c>
      <c r="N2954" t="s">
        <v>85</v>
      </c>
      <c r="O2954" t="s">
        <v>86</v>
      </c>
      <c r="P2954" t="s">
        <v>43</v>
      </c>
      <c r="Q2954" t="s">
        <v>44</v>
      </c>
      <c r="R2954" s="1">
        <v>44361.567349537036</v>
      </c>
      <c r="S2954" s="1">
        <v>44361.567349537036</v>
      </c>
      <c r="T2954">
        <v>0</v>
      </c>
      <c r="U2954">
        <v>1</v>
      </c>
      <c r="V2954" s="2">
        <v>0</v>
      </c>
      <c r="W2954">
        <v>0</v>
      </c>
      <c r="X2954" t="s">
        <v>44</v>
      </c>
      <c r="Y2954">
        <v>0</v>
      </c>
      <c r="Z2954" t="s">
        <v>31</v>
      </c>
      <c r="AA2954">
        <v>0</v>
      </c>
      <c r="AB2954" t="s">
        <v>31</v>
      </c>
      <c r="AC2954">
        <v>0</v>
      </c>
      <c r="AD2954" t="s">
        <v>31</v>
      </c>
      <c r="AE2954">
        <v>0</v>
      </c>
      <c r="AF2954" t="s">
        <v>31</v>
      </c>
      <c r="AG2954">
        <v>0</v>
      </c>
      <c r="AH2954" t="s">
        <v>31</v>
      </c>
      <c r="AI2954">
        <v>0</v>
      </c>
      <c r="AJ2954" t="s">
        <v>31</v>
      </c>
      <c r="AK2954">
        <v>0</v>
      </c>
      <c r="AL2954" t="s">
        <v>31</v>
      </c>
      <c r="AM2954">
        <v>0</v>
      </c>
      <c r="AN2954" t="s">
        <v>31</v>
      </c>
      <c r="AO2954">
        <v>0</v>
      </c>
      <c r="AP2954" t="s">
        <v>31</v>
      </c>
      <c r="AQ2954">
        <v>0</v>
      </c>
    </row>
    <row r="2955" spans="1:43" x14ac:dyDescent="0.2">
      <c r="A2955" t="s">
        <v>381</v>
      </c>
      <c r="B2955" s="3">
        <v>44363</v>
      </c>
      <c r="C2955">
        <v>137</v>
      </c>
      <c r="D2955" t="s">
        <v>383</v>
      </c>
      <c r="E2955" t="s">
        <v>83</v>
      </c>
      <c r="F2955" s="9" t="s">
        <v>89</v>
      </c>
      <c r="G2955" t="s">
        <v>26</v>
      </c>
      <c r="H2955" t="s">
        <v>85</v>
      </c>
      <c r="I2955" t="s">
        <v>86</v>
      </c>
      <c r="J2955" t="s">
        <v>43</v>
      </c>
      <c r="K2955" t="s">
        <v>44</v>
      </c>
      <c r="L2955" t="s">
        <v>53</v>
      </c>
      <c r="M2955" t="s">
        <v>54</v>
      </c>
      <c r="N2955" t="s">
        <v>85</v>
      </c>
      <c r="O2955" t="s">
        <v>86</v>
      </c>
      <c r="P2955" t="s">
        <v>43</v>
      </c>
      <c r="Q2955" t="s">
        <v>44</v>
      </c>
      <c r="R2955" s="1">
        <v>44363.641504629632</v>
      </c>
      <c r="S2955" s="1">
        <v>44363.642071759263</v>
      </c>
      <c r="T2955">
        <v>0</v>
      </c>
      <c r="U2955">
        <v>2</v>
      </c>
      <c r="V2955" s="2">
        <v>0</v>
      </c>
      <c r="W2955">
        <v>0</v>
      </c>
      <c r="X2955" t="s">
        <v>44</v>
      </c>
      <c r="Y2955">
        <v>0</v>
      </c>
      <c r="Z2955" t="s">
        <v>44</v>
      </c>
      <c r="AA2955">
        <v>0</v>
      </c>
      <c r="AB2955" t="s">
        <v>31</v>
      </c>
      <c r="AC2955">
        <v>0</v>
      </c>
      <c r="AD2955" t="s">
        <v>31</v>
      </c>
      <c r="AE2955">
        <v>0</v>
      </c>
      <c r="AF2955" t="s">
        <v>31</v>
      </c>
      <c r="AG2955">
        <v>0</v>
      </c>
      <c r="AH2955" t="s">
        <v>31</v>
      </c>
      <c r="AI2955">
        <v>0</v>
      </c>
      <c r="AJ2955" t="s">
        <v>31</v>
      </c>
      <c r="AK2955">
        <v>0</v>
      </c>
      <c r="AL2955" t="s">
        <v>31</v>
      </c>
      <c r="AM2955">
        <v>0</v>
      </c>
      <c r="AN2955" t="s">
        <v>31</v>
      </c>
      <c r="AO2955">
        <v>0</v>
      </c>
      <c r="AP2955" t="s">
        <v>31</v>
      </c>
      <c r="AQ2955">
        <v>0</v>
      </c>
    </row>
    <row r="2956" spans="1:43" x14ac:dyDescent="0.2">
      <c r="A2956" t="s">
        <v>381</v>
      </c>
      <c r="B2956" s="3">
        <v>44364</v>
      </c>
      <c r="C2956">
        <v>138</v>
      </c>
      <c r="D2956" t="s">
        <v>399</v>
      </c>
      <c r="E2956" t="s">
        <v>83</v>
      </c>
      <c r="F2956" s="9" t="s">
        <v>89</v>
      </c>
      <c r="G2956" t="s">
        <v>26</v>
      </c>
      <c r="H2956" t="s">
        <v>85</v>
      </c>
      <c r="I2956" t="s">
        <v>86</v>
      </c>
      <c r="J2956" t="s">
        <v>43</v>
      </c>
      <c r="K2956" t="s">
        <v>44</v>
      </c>
      <c r="L2956" t="s">
        <v>53</v>
      </c>
      <c r="M2956" t="s">
        <v>54</v>
      </c>
      <c r="N2956" t="s">
        <v>85</v>
      </c>
      <c r="O2956" t="s">
        <v>86</v>
      </c>
      <c r="P2956" t="s">
        <v>43</v>
      </c>
      <c r="Q2956" t="s">
        <v>44</v>
      </c>
      <c r="R2956" s="1">
        <v>44364.355902777781</v>
      </c>
      <c r="S2956" s="1">
        <v>44364.429884259262</v>
      </c>
      <c r="T2956">
        <v>0</v>
      </c>
      <c r="U2956">
        <v>2</v>
      </c>
      <c r="V2956" s="2">
        <v>0</v>
      </c>
      <c r="W2956">
        <v>0</v>
      </c>
      <c r="X2956" t="s">
        <v>44</v>
      </c>
      <c r="Y2956">
        <v>0</v>
      </c>
      <c r="Z2956" t="s">
        <v>44</v>
      </c>
      <c r="AA2956">
        <v>0</v>
      </c>
      <c r="AB2956" t="s">
        <v>31</v>
      </c>
      <c r="AC2956">
        <v>0</v>
      </c>
      <c r="AD2956" t="s">
        <v>31</v>
      </c>
      <c r="AE2956">
        <v>0</v>
      </c>
      <c r="AF2956" t="s">
        <v>31</v>
      </c>
      <c r="AG2956">
        <v>0</v>
      </c>
      <c r="AH2956" t="s">
        <v>31</v>
      </c>
      <c r="AI2956">
        <v>0</v>
      </c>
      <c r="AJ2956" t="s">
        <v>31</v>
      </c>
      <c r="AK2956">
        <v>0</v>
      </c>
      <c r="AL2956" t="s">
        <v>31</v>
      </c>
      <c r="AM2956">
        <v>0</v>
      </c>
      <c r="AN2956" t="s">
        <v>31</v>
      </c>
      <c r="AO2956">
        <v>0</v>
      </c>
      <c r="AP2956" t="s">
        <v>31</v>
      </c>
      <c r="AQ2956">
        <v>0</v>
      </c>
    </row>
    <row r="2957" spans="1:43" x14ac:dyDescent="0.2">
      <c r="A2957" t="s">
        <v>381</v>
      </c>
      <c r="B2957" s="3">
        <v>44365</v>
      </c>
      <c r="C2957">
        <v>139</v>
      </c>
      <c r="D2957" t="s">
        <v>400</v>
      </c>
      <c r="E2957" t="s">
        <v>83</v>
      </c>
      <c r="F2957" s="9" t="s">
        <v>89</v>
      </c>
      <c r="G2957" t="s">
        <v>26</v>
      </c>
      <c r="H2957" t="s">
        <v>85</v>
      </c>
      <c r="I2957" t="s">
        <v>86</v>
      </c>
      <c r="J2957" t="s">
        <v>43</v>
      </c>
      <c r="K2957" t="s">
        <v>44</v>
      </c>
      <c r="L2957" t="s">
        <v>53</v>
      </c>
      <c r="M2957" t="s">
        <v>54</v>
      </c>
      <c r="N2957" t="s">
        <v>85</v>
      </c>
      <c r="O2957" t="s">
        <v>86</v>
      </c>
      <c r="P2957" t="s">
        <v>43</v>
      </c>
      <c r="Q2957" t="s">
        <v>44</v>
      </c>
      <c r="R2957" s="1">
        <v>44365.447905092595</v>
      </c>
      <c r="S2957" s="1">
        <v>44365.447905092595</v>
      </c>
      <c r="T2957">
        <v>0</v>
      </c>
      <c r="U2957">
        <v>1</v>
      </c>
      <c r="V2957" s="2">
        <v>0</v>
      </c>
      <c r="W2957">
        <v>0</v>
      </c>
      <c r="X2957" t="s">
        <v>44</v>
      </c>
      <c r="Y2957">
        <v>0</v>
      </c>
      <c r="Z2957" t="s">
        <v>31</v>
      </c>
      <c r="AA2957">
        <v>0</v>
      </c>
      <c r="AB2957" t="s">
        <v>31</v>
      </c>
      <c r="AC2957">
        <v>0</v>
      </c>
      <c r="AD2957" t="s">
        <v>31</v>
      </c>
      <c r="AE2957">
        <v>0</v>
      </c>
      <c r="AF2957" t="s">
        <v>31</v>
      </c>
      <c r="AG2957">
        <v>0</v>
      </c>
      <c r="AH2957" t="s">
        <v>31</v>
      </c>
      <c r="AI2957">
        <v>0</v>
      </c>
      <c r="AJ2957" t="s">
        <v>31</v>
      </c>
      <c r="AK2957">
        <v>0</v>
      </c>
      <c r="AL2957" t="s">
        <v>31</v>
      </c>
      <c r="AM2957">
        <v>0</v>
      </c>
      <c r="AN2957" t="s">
        <v>31</v>
      </c>
      <c r="AO2957">
        <v>0</v>
      </c>
      <c r="AP2957" t="s">
        <v>31</v>
      </c>
      <c r="AQ2957">
        <v>0</v>
      </c>
    </row>
    <row r="2958" spans="1:43" x14ac:dyDescent="0.2">
      <c r="A2958" t="s">
        <v>381</v>
      </c>
      <c r="B2958" s="3">
        <v>44365</v>
      </c>
      <c r="C2958">
        <v>140</v>
      </c>
      <c r="D2958" t="s">
        <v>399</v>
      </c>
      <c r="E2958" t="s">
        <v>83</v>
      </c>
      <c r="F2958" s="9" t="s">
        <v>89</v>
      </c>
      <c r="G2958" t="s">
        <v>26</v>
      </c>
      <c r="H2958" t="s">
        <v>85</v>
      </c>
      <c r="I2958" t="s">
        <v>86</v>
      </c>
      <c r="J2958" t="s">
        <v>43</v>
      </c>
      <c r="K2958" t="s">
        <v>44</v>
      </c>
      <c r="L2958" t="s">
        <v>53</v>
      </c>
      <c r="M2958" t="s">
        <v>54</v>
      </c>
      <c r="N2958" t="s">
        <v>85</v>
      </c>
      <c r="O2958" t="s">
        <v>86</v>
      </c>
      <c r="P2958" t="s">
        <v>43</v>
      </c>
      <c r="Q2958" t="s">
        <v>44</v>
      </c>
      <c r="R2958" s="1">
        <v>44365.541956018518</v>
      </c>
      <c r="S2958" s="1">
        <v>44365.627175925925</v>
      </c>
      <c r="T2958">
        <v>0</v>
      </c>
      <c r="U2958">
        <v>2</v>
      </c>
      <c r="V2958" s="2">
        <v>0</v>
      </c>
      <c r="W2958">
        <v>0</v>
      </c>
      <c r="X2958" t="s">
        <v>44</v>
      </c>
      <c r="Y2958">
        <v>0</v>
      </c>
      <c r="Z2958" t="s">
        <v>44</v>
      </c>
      <c r="AA2958">
        <v>0</v>
      </c>
      <c r="AB2958" t="s">
        <v>31</v>
      </c>
      <c r="AC2958">
        <v>0</v>
      </c>
      <c r="AD2958" t="s">
        <v>31</v>
      </c>
      <c r="AE2958">
        <v>0</v>
      </c>
      <c r="AF2958" t="s">
        <v>31</v>
      </c>
      <c r="AG2958">
        <v>0</v>
      </c>
      <c r="AH2958" t="s">
        <v>31</v>
      </c>
      <c r="AI2958">
        <v>0</v>
      </c>
      <c r="AJ2958" t="s">
        <v>31</v>
      </c>
      <c r="AK2958">
        <v>0</v>
      </c>
      <c r="AL2958" t="s">
        <v>31</v>
      </c>
      <c r="AM2958">
        <v>0</v>
      </c>
      <c r="AN2958" t="s">
        <v>31</v>
      </c>
      <c r="AO2958">
        <v>0</v>
      </c>
      <c r="AP2958" t="s">
        <v>31</v>
      </c>
      <c r="AQ2958">
        <v>0</v>
      </c>
    </row>
    <row r="2959" spans="1:43" x14ac:dyDescent="0.2">
      <c r="A2959" t="s">
        <v>381</v>
      </c>
      <c r="B2959" s="3">
        <v>44375</v>
      </c>
      <c r="C2959">
        <v>141</v>
      </c>
      <c r="D2959" t="s">
        <v>396</v>
      </c>
      <c r="E2959" t="s">
        <v>83</v>
      </c>
      <c r="F2959" s="9" t="s">
        <v>89</v>
      </c>
      <c r="G2959" t="s">
        <v>26</v>
      </c>
      <c r="H2959" t="s">
        <v>85</v>
      </c>
      <c r="I2959" t="s">
        <v>86</v>
      </c>
      <c r="J2959" t="s">
        <v>43</v>
      </c>
      <c r="K2959" t="s">
        <v>44</v>
      </c>
      <c r="L2959" t="s">
        <v>53</v>
      </c>
      <c r="M2959" t="s">
        <v>54</v>
      </c>
      <c r="N2959" t="s">
        <v>85</v>
      </c>
      <c r="O2959" t="s">
        <v>86</v>
      </c>
      <c r="P2959" t="s">
        <v>43</v>
      </c>
      <c r="Q2959" t="s">
        <v>44</v>
      </c>
      <c r="R2959" s="1">
        <v>44375.560787037037</v>
      </c>
      <c r="S2959" s="1">
        <v>44375.560787037037</v>
      </c>
      <c r="T2959">
        <v>0</v>
      </c>
      <c r="U2959">
        <v>1</v>
      </c>
      <c r="V2959" s="2">
        <v>0</v>
      </c>
      <c r="W2959">
        <v>0</v>
      </c>
      <c r="X2959" t="s">
        <v>44</v>
      </c>
      <c r="Y2959">
        <v>0</v>
      </c>
      <c r="Z2959" t="s">
        <v>31</v>
      </c>
      <c r="AA2959">
        <v>0</v>
      </c>
      <c r="AB2959" t="s">
        <v>31</v>
      </c>
      <c r="AC2959">
        <v>0</v>
      </c>
      <c r="AD2959" t="s">
        <v>31</v>
      </c>
      <c r="AE2959">
        <v>0</v>
      </c>
      <c r="AF2959" t="s">
        <v>31</v>
      </c>
      <c r="AG2959">
        <v>0</v>
      </c>
      <c r="AH2959" t="s">
        <v>31</v>
      </c>
      <c r="AI2959">
        <v>0</v>
      </c>
      <c r="AJ2959" t="s">
        <v>31</v>
      </c>
      <c r="AK2959">
        <v>0</v>
      </c>
      <c r="AL2959" t="s">
        <v>31</v>
      </c>
      <c r="AM2959">
        <v>0</v>
      </c>
      <c r="AN2959" t="s">
        <v>31</v>
      </c>
      <c r="AO2959">
        <v>0</v>
      </c>
      <c r="AP2959" t="s">
        <v>31</v>
      </c>
      <c r="AQ2959">
        <v>0</v>
      </c>
    </row>
    <row r="2960" spans="1:43" x14ac:dyDescent="0.2">
      <c r="A2960" t="s">
        <v>381</v>
      </c>
      <c r="B2960" s="3">
        <v>44207</v>
      </c>
      <c r="C2960">
        <v>1</v>
      </c>
      <c r="D2960" t="s">
        <v>384</v>
      </c>
      <c r="E2960" t="s">
        <v>90</v>
      </c>
      <c r="F2960" s="9" t="s">
        <v>91</v>
      </c>
      <c r="G2960" t="s">
        <v>26</v>
      </c>
      <c r="H2960" t="s">
        <v>85</v>
      </c>
      <c r="I2960" t="s">
        <v>86</v>
      </c>
      <c r="J2960" t="s">
        <v>53</v>
      </c>
      <c r="K2960" t="s">
        <v>54</v>
      </c>
      <c r="L2960" t="s">
        <v>53</v>
      </c>
      <c r="M2960" t="s">
        <v>54</v>
      </c>
      <c r="N2960" t="s">
        <v>85</v>
      </c>
      <c r="O2960" t="s">
        <v>86</v>
      </c>
      <c r="P2960" t="s">
        <v>53</v>
      </c>
      <c r="Q2960" t="s">
        <v>54</v>
      </c>
      <c r="R2960" s="1">
        <v>44207.451203703706</v>
      </c>
      <c r="S2960" s="1">
        <v>44207.451203703706</v>
      </c>
      <c r="T2960">
        <v>0</v>
      </c>
      <c r="U2960">
        <v>1</v>
      </c>
      <c r="V2960" s="2">
        <v>0</v>
      </c>
      <c r="W2960">
        <v>0</v>
      </c>
      <c r="X2960" t="s">
        <v>44</v>
      </c>
      <c r="Y2960">
        <v>0</v>
      </c>
      <c r="Z2960" t="s">
        <v>31</v>
      </c>
      <c r="AA2960">
        <v>0</v>
      </c>
      <c r="AB2960" t="s">
        <v>31</v>
      </c>
      <c r="AC2960">
        <v>0</v>
      </c>
      <c r="AD2960" t="s">
        <v>31</v>
      </c>
      <c r="AE2960">
        <v>0</v>
      </c>
      <c r="AF2960" t="s">
        <v>31</v>
      </c>
      <c r="AG2960">
        <v>0</v>
      </c>
      <c r="AH2960" t="s">
        <v>31</v>
      </c>
      <c r="AI2960">
        <v>0</v>
      </c>
      <c r="AJ2960" t="s">
        <v>31</v>
      </c>
      <c r="AK2960">
        <v>0</v>
      </c>
      <c r="AL2960" t="s">
        <v>31</v>
      </c>
      <c r="AM2960">
        <v>0</v>
      </c>
      <c r="AN2960" t="s">
        <v>31</v>
      </c>
      <c r="AO2960">
        <v>0</v>
      </c>
      <c r="AP2960" t="s">
        <v>31</v>
      </c>
      <c r="AQ2960">
        <v>0</v>
      </c>
    </row>
    <row r="2961" spans="1:43" x14ac:dyDescent="0.2">
      <c r="A2961" t="s">
        <v>381</v>
      </c>
      <c r="B2961" s="3">
        <v>44236</v>
      </c>
      <c r="C2961">
        <v>3</v>
      </c>
      <c r="D2961" t="s">
        <v>385</v>
      </c>
      <c r="E2961" t="s">
        <v>90</v>
      </c>
      <c r="F2961" s="9" t="s">
        <v>91</v>
      </c>
      <c r="G2961" t="s">
        <v>26</v>
      </c>
      <c r="H2961" t="s">
        <v>85</v>
      </c>
      <c r="I2961" t="s">
        <v>86</v>
      </c>
      <c r="J2961" t="s">
        <v>53</v>
      </c>
      <c r="K2961" t="s">
        <v>54</v>
      </c>
      <c r="L2961" t="s">
        <v>53</v>
      </c>
      <c r="M2961" t="s">
        <v>54</v>
      </c>
      <c r="N2961" t="s">
        <v>85</v>
      </c>
      <c r="O2961" t="s">
        <v>86</v>
      </c>
      <c r="P2961" t="s">
        <v>53</v>
      </c>
      <c r="Q2961" t="s">
        <v>54</v>
      </c>
      <c r="R2961" s="1">
        <v>44236.622233796297</v>
      </c>
      <c r="S2961" s="1">
        <v>44236.661446759259</v>
      </c>
      <c r="T2961">
        <v>0</v>
      </c>
      <c r="U2961">
        <v>2</v>
      </c>
      <c r="V2961" s="2">
        <v>0</v>
      </c>
      <c r="W2961">
        <v>0</v>
      </c>
      <c r="X2961" t="s">
        <v>44</v>
      </c>
      <c r="Y2961">
        <v>0</v>
      </c>
      <c r="Z2961" t="s">
        <v>44</v>
      </c>
      <c r="AA2961">
        <v>0</v>
      </c>
      <c r="AB2961" t="s">
        <v>31</v>
      </c>
      <c r="AC2961">
        <v>0</v>
      </c>
      <c r="AD2961" t="s">
        <v>31</v>
      </c>
      <c r="AE2961">
        <v>0</v>
      </c>
      <c r="AF2961" t="s">
        <v>31</v>
      </c>
      <c r="AG2961">
        <v>0</v>
      </c>
      <c r="AH2961" t="s">
        <v>31</v>
      </c>
      <c r="AI2961">
        <v>0</v>
      </c>
      <c r="AJ2961" t="s">
        <v>31</v>
      </c>
      <c r="AK2961">
        <v>0</v>
      </c>
      <c r="AL2961" t="s">
        <v>31</v>
      </c>
      <c r="AM2961">
        <v>0</v>
      </c>
      <c r="AN2961" t="s">
        <v>31</v>
      </c>
      <c r="AO2961">
        <v>0</v>
      </c>
      <c r="AP2961" t="s">
        <v>31</v>
      </c>
      <c r="AQ2961">
        <v>0</v>
      </c>
    </row>
    <row r="2962" spans="1:43" x14ac:dyDescent="0.2">
      <c r="A2962" t="s">
        <v>381</v>
      </c>
      <c r="B2962" s="3">
        <v>44237</v>
      </c>
      <c r="C2962">
        <v>4</v>
      </c>
      <c r="D2962" t="s">
        <v>384</v>
      </c>
      <c r="E2962" t="s">
        <v>90</v>
      </c>
      <c r="F2962" s="9" t="s">
        <v>91</v>
      </c>
      <c r="G2962" t="s">
        <v>26</v>
      </c>
      <c r="H2962" t="s">
        <v>85</v>
      </c>
      <c r="I2962" t="s">
        <v>86</v>
      </c>
      <c r="J2962" t="s">
        <v>53</v>
      </c>
      <c r="K2962" t="s">
        <v>54</v>
      </c>
      <c r="L2962" t="s">
        <v>53</v>
      </c>
      <c r="M2962" t="s">
        <v>54</v>
      </c>
      <c r="N2962" t="s">
        <v>85</v>
      </c>
      <c r="O2962" t="s">
        <v>86</v>
      </c>
      <c r="P2962" t="s">
        <v>53</v>
      </c>
      <c r="Q2962" t="s">
        <v>54</v>
      </c>
      <c r="R2962" s="1">
        <v>44237.4690162037</v>
      </c>
      <c r="S2962" s="1">
        <v>44237.4690162037</v>
      </c>
      <c r="T2962">
        <v>0</v>
      </c>
      <c r="U2962">
        <v>1</v>
      </c>
      <c r="V2962" s="2">
        <v>0</v>
      </c>
      <c r="W2962">
        <v>0</v>
      </c>
      <c r="X2962" t="s">
        <v>44</v>
      </c>
      <c r="Y2962">
        <v>0</v>
      </c>
      <c r="Z2962" t="s">
        <v>31</v>
      </c>
      <c r="AA2962">
        <v>0</v>
      </c>
      <c r="AB2962" t="s">
        <v>31</v>
      </c>
      <c r="AC2962">
        <v>0</v>
      </c>
      <c r="AD2962" t="s">
        <v>31</v>
      </c>
      <c r="AE2962">
        <v>0</v>
      </c>
      <c r="AF2962" t="s">
        <v>31</v>
      </c>
      <c r="AG2962">
        <v>0</v>
      </c>
      <c r="AH2962" t="s">
        <v>31</v>
      </c>
      <c r="AI2962">
        <v>0</v>
      </c>
      <c r="AJ2962" t="s">
        <v>31</v>
      </c>
      <c r="AK2962">
        <v>0</v>
      </c>
      <c r="AL2962" t="s">
        <v>31</v>
      </c>
      <c r="AM2962">
        <v>0</v>
      </c>
      <c r="AN2962" t="s">
        <v>31</v>
      </c>
      <c r="AO2962">
        <v>0</v>
      </c>
      <c r="AP2962" t="s">
        <v>31</v>
      </c>
      <c r="AQ2962">
        <v>0</v>
      </c>
    </row>
    <row r="2963" spans="1:43" x14ac:dyDescent="0.2">
      <c r="A2963" t="s">
        <v>381</v>
      </c>
      <c r="B2963" s="3">
        <v>44239</v>
      </c>
      <c r="C2963">
        <v>7</v>
      </c>
      <c r="D2963" t="s">
        <v>384</v>
      </c>
      <c r="E2963" t="s">
        <v>90</v>
      </c>
      <c r="F2963" s="9" t="s">
        <v>91</v>
      </c>
      <c r="G2963" t="s">
        <v>26</v>
      </c>
      <c r="H2963" t="s">
        <v>85</v>
      </c>
      <c r="I2963" t="s">
        <v>86</v>
      </c>
      <c r="J2963" t="s">
        <v>53</v>
      </c>
      <c r="K2963" t="s">
        <v>54</v>
      </c>
      <c r="L2963" t="s">
        <v>53</v>
      </c>
      <c r="M2963" t="s">
        <v>54</v>
      </c>
      <c r="N2963" t="s">
        <v>85</v>
      </c>
      <c r="O2963" t="s">
        <v>86</v>
      </c>
      <c r="P2963" t="s">
        <v>53</v>
      </c>
      <c r="Q2963" t="s">
        <v>54</v>
      </c>
      <c r="R2963" s="1">
        <v>44239.385497685187</v>
      </c>
      <c r="S2963" s="1">
        <v>44239.436307870368</v>
      </c>
      <c r="T2963">
        <v>0</v>
      </c>
      <c r="U2963">
        <v>2</v>
      </c>
      <c r="V2963" s="2">
        <v>0</v>
      </c>
      <c r="W2963">
        <v>0</v>
      </c>
      <c r="X2963" t="s">
        <v>44</v>
      </c>
      <c r="Y2963">
        <v>0</v>
      </c>
      <c r="Z2963" t="s">
        <v>44</v>
      </c>
      <c r="AA2963">
        <v>0</v>
      </c>
      <c r="AB2963" t="s">
        <v>31</v>
      </c>
      <c r="AC2963">
        <v>0</v>
      </c>
      <c r="AD2963" t="s">
        <v>31</v>
      </c>
      <c r="AE2963">
        <v>0</v>
      </c>
      <c r="AF2963" t="s">
        <v>31</v>
      </c>
      <c r="AG2963">
        <v>0</v>
      </c>
      <c r="AH2963" t="s">
        <v>31</v>
      </c>
      <c r="AI2963">
        <v>0</v>
      </c>
      <c r="AJ2963" t="s">
        <v>31</v>
      </c>
      <c r="AK2963">
        <v>0</v>
      </c>
      <c r="AL2963" t="s">
        <v>31</v>
      </c>
      <c r="AM2963">
        <v>0</v>
      </c>
      <c r="AN2963" t="s">
        <v>31</v>
      </c>
      <c r="AO2963">
        <v>0</v>
      </c>
      <c r="AP2963" t="s">
        <v>31</v>
      </c>
      <c r="AQ2963">
        <v>0</v>
      </c>
    </row>
    <row r="2964" spans="1:43" x14ac:dyDescent="0.2">
      <c r="A2964" t="s">
        <v>381</v>
      </c>
      <c r="B2964" s="3">
        <v>44242</v>
      </c>
      <c r="C2964">
        <v>8</v>
      </c>
      <c r="D2964" t="s">
        <v>384</v>
      </c>
      <c r="E2964" t="s">
        <v>90</v>
      </c>
      <c r="F2964" s="9" t="s">
        <v>91</v>
      </c>
      <c r="G2964" t="s">
        <v>26</v>
      </c>
      <c r="H2964" t="s">
        <v>85</v>
      </c>
      <c r="I2964" t="s">
        <v>86</v>
      </c>
      <c r="J2964" t="s">
        <v>53</v>
      </c>
      <c r="K2964" t="s">
        <v>54</v>
      </c>
      <c r="L2964" t="s">
        <v>53</v>
      </c>
      <c r="M2964" t="s">
        <v>54</v>
      </c>
      <c r="N2964" t="s">
        <v>85</v>
      </c>
      <c r="O2964" t="s">
        <v>86</v>
      </c>
      <c r="P2964" t="s">
        <v>53</v>
      </c>
      <c r="Q2964" t="s">
        <v>54</v>
      </c>
      <c r="R2964" s="1">
        <v>44242.431550925925</v>
      </c>
      <c r="S2964" s="1">
        <v>44242.431550925925</v>
      </c>
      <c r="T2964">
        <v>0</v>
      </c>
      <c r="U2964">
        <v>1</v>
      </c>
      <c r="V2964" s="2">
        <v>0</v>
      </c>
      <c r="W2964">
        <v>0</v>
      </c>
      <c r="X2964" t="s">
        <v>44</v>
      </c>
      <c r="Y2964">
        <v>0</v>
      </c>
      <c r="Z2964" t="s">
        <v>31</v>
      </c>
      <c r="AA2964">
        <v>0</v>
      </c>
      <c r="AB2964" t="s">
        <v>31</v>
      </c>
      <c r="AC2964">
        <v>0</v>
      </c>
      <c r="AD2964" t="s">
        <v>31</v>
      </c>
      <c r="AE2964">
        <v>0</v>
      </c>
      <c r="AF2964" t="s">
        <v>31</v>
      </c>
      <c r="AG2964">
        <v>0</v>
      </c>
      <c r="AH2964" t="s">
        <v>31</v>
      </c>
      <c r="AI2964">
        <v>0</v>
      </c>
      <c r="AJ2964" t="s">
        <v>31</v>
      </c>
      <c r="AK2964">
        <v>0</v>
      </c>
      <c r="AL2964" t="s">
        <v>31</v>
      </c>
      <c r="AM2964">
        <v>0</v>
      </c>
      <c r="AN2964" t="s">
        <v>31</v>
      </c>
      <c r="AO2964">
        <v>0</v>
      </c>
      <c r="AP2964" t="s">
        <v>31</v>
      </c>
      <c r="AQ2964">
        <v>0</v>
      </c>
    </row>
    <row r="2965" spans="1:43" x14ac:dyDescent="0.2">
      <c r="A2965" t="s">
        <v>381</v>
      </c>
      <c r="B2965" s="3">
        <v>44243</v>
      </c>
      <c r="C2965">
        <v>9</v>
      </c>
      <c r="D2965" t="s">
        <v>382</v>
      </c>
      <c r="E2965" t="s">
        <v>90</v>
      </c>
      <c r="F2965" s="9" t="s">
        <v>91</v>
      </c>
      <c r="G2965" t="s">
        <v>26</v>
      </c>
      <c r="H2965" t="s">
        <v>85</v>
      </c>
      <c r="I2965" t="s">
        <v>86</v>
      </c>
      <c r="J2965" t="s">
        <v>53</v>
      </c>
      <c r="K2965" t="s">
        <v>54</v>
      </c>
      <c r="L2965" t="s">
        <v>53</v>
      </c>
      <c r="M2965" t="s">
        <v>54</v>
      </c>
      <c r="N2965" t="s">
        <v>85</v>
      </c>
      <c r="O2965" t="s">
        <v>86</v>
      </c>
      <c r="P2965" t="s">
        <v>53</v>
      </c>
      <c r="Q2965" t="s">
        <v>54</v>
      </c>
      <c r="R2965" s="1">
        <v>44243.390763888892</v>
      </c>
      <c r="S2965" s="1">
        <v>44243.390763888892</v>
      </c>
      <c r="T2965">
        <v>0</v>
      </c>
      <c r="U2965">
        <v>1</v>
      </c>
      <c r="V2965" s="2">
        <v>0</v>
      </c>
      <c r="W2965">
        <v>0</v>
      </c>
      <c r="X2965" t="s">
        <v>44</v>
      </c>
      <c r="Y2965">
        <v>0</v>
      </c>
      <c r="Z2965" t="s">
        <v>31</v>
      </c>
      <c r="AA2965">
        <v>0</v>
      </c>
      <c r="AB2965" t="s">
        <v>31</v>
      </c>
      <c r="AC2965">
        <v>0</v>
      </c>
      <c r="AD2965" t="s">
        <v>31</v>
      </c>
      <c r="AE2965">
        <v>0</v>
      </c>
      <c r="AF2965" t="s">
        <v>31</v>
      </c>
      <c r="AG2965">
        <v>0</v>
      </c>
      <c r="AH2965" t="s">
        <v>31</v>
      </c>
      <c r="AI2965">
        <v>0</v>
      </c>
      <c r="AJ2965" t="s">
        <v>31</v>
      </c>
      <c r="AK2965">
        <v>0</v>
      </c>
      <c r="AL2965" t="s">
        <v>31</v>
      </c>
      <c r="AM2965">
        <v>0</v>
      </c>
      <c r="AN2965" t="s">
        <v>31</v>
      </c>
      <c r="AO2965">
        <v>0</v>
      </c>
      <c r="AP2965" t="s">
        <v>31</v>
      </c>
      <c r="AQ2965">
        <v>0</v>
      </c>
    </row>
    <row r="2966" spans="1:43" x14ac:dyDescent="0.2">
      <c r="A2966" t="s">
        <v>381</v>
      </c>
      <c r="B2966" s="3">
        <v>44243</v>
      </c>
      <c r="C2966">
        <v>10</v>
      </c>
      <c r="D2966" t="s">
        <v>385</v>
      </c>
      <c r="E2966" t="s">
        <v>90</v>
      </c>
      <c r="F2966" s="9" t="s">
        <v>91</v>
      </c>
      <c r="G2966" t="s">
        <v>26</v>
      </c>
      <c r="H2966" t="s">
        <v>85</v>
      </c>
      <c r="I2966" t="s">
        <v>86</v>
      </c>
      <c r="J2966" t="s">
        <v>53</v>
      </c>
      <c r="K2966" t="s">
        <v>54</v>
      </c>
      <c r="L2966" t="s">
        <v>53</v>
      </c>
      <c r="M2966" t="s">
        <v>54</v>
      </c>
      <c r="N2966" t="s">
        <v>85</v>
      </c>
      <c r="O2966" t="s">
        <v>86</v>
      </c>
      <c r="P2966" t="s">
        <v>53</v>
      </c>
      <c r="Q2966" t="s">
        <v>54</v>
      </c>
      <c r="R2966" s="1">
        <v>44243.585462962961</v>
      </c>
      <c r="S2966" s="1">
        <v>44243.585497685184</v>
      </c>
      <c r="T2966">
        <v>0</v>
      </c>
      <c r="U2966">
        <v>1</v>
      </c>
      <c r="V2966" s="2">
        <v>0</v>
      </c>
      <c r="W2966">
        <v>0</v>
      </c>
      <c r="X2966" t="s">
        <v>44</v>
      </c>
      <c r="Y2966">
        <v>0</v>
      </c>
      <c r="Z2966" t="s">
        <v>31</v>
      </c>
      <c r="AA2966">
        <v>0</v>
      </c>
      <c r="AB2966" t="s">
        <v>31</v>
      </c>
      <c r="AC2966">
        <v>0</v>
      </c>
      <c r="AD2966" t="s">
        <v>31</v>
      </c>
      <c r="AE2966">
        <v>0</v>
      </c>
      <c r="AF2966" t="s">
        <v>31</v>
      </c>
      <c r="AG2966">
        <v>0</v>
      </c>
      <c r="AH2966" t="s">
        <v>31</v>
      </c>
      <c r="AI2966">
        <v>0</v>
      </c>
      <c r="AJ2966" t="s">
        <v>31</v>
      </c>
      <c r="AK2966">
        <v>0</v>
      </c>
      <c r="AL2966" t="s">
        <v>31</v>
      </c>
      <c r="AM2966">
        <v>0</v>
      </c>
      <c r="AN2966" t="s">
        <v>31</v>
      </c>
      <c r="AO2966">
        <v>0</v>
      </c>
      <c r="AP2966" t="s">
        <v>31</v>
      </c>
      <c r="AQ2966">
        <v>0</v>
      </c>
    </row>
    <row r="2967" spans="1:43" x14ac:dyDescent="0.2">
      <c r="A2967" t="s">
        <v>381</v>
      </c>
      <c r="B2967" s="3">
        <v>44244</v>
      </c>
      <c r="C2967">
        <v>11</v>
      </c>
      <c r="D2967" t="s">
        <v>384</v>
      </c>
      <c r="E2967" t="s">
        <v>90</v>
      </c>
      <c r="F2967" s="9" t="s">
        <v>91</v>
      </c>
      <c r="G2967" t="s">
        <v>26</v>
      </c>
      <c r="H2967" t="s">
        <v>85</v>
      </c>
      <c r="I2967" t="s">
        <v>86</v>
      </c>
      <c r="J2967" t="s">
        <v>53</v>
      </c>
      <c r="K2967" t="s">
        <v>54</v>
      </c>
      <c r="L2967" t="s">
        <v>53</v>
      </c>
      <c r="M2967" t="s">
        <v>54</v>
      </c>
      <c r="N2967" t="s">
        <v>85</v>
      </c>
      <c r="O2967" t="s">
        <v>86</v>
      </c>
      <c r="P2967" t="s">
        <v>53</v>
      </c>
      <c r="Q2967" t="s">
        <v>54</v>
      </c>
      <c r="R2967" s="1">
        <v>44244.390740740739</v>
      </c>
      <c r="S2967" s="1">
        <v>44244.390740740739</v>
      </c>
      <c r="T2967">
        <v>0</v>
      </c>
      <c r="U2967">
        <v>1</v>
      </c>
      <c r="V2967" s="2">
        <v>0</v>
      </c>
      <c r="W2967">
        <v>0</v>
      </c>
      <c r="X2967" t="s">
        <v>44</v>
      </c>
      <c r="Y2967">
        <v>0</v>
      </c>
      <c r="Z2967" t="s">
        <v>31</v>
      </c>
      <c r="AA2967">
        <v>0</v>
      </c>
      <c r="AB2967" t="s">
        <v>31</v>
      </c>
      <c r="AC2967">
        <v>0</v>
      </c>
      <c r="AD2967" t="s">
        <v>31</v>
      </c>
      <c r="AE2967">
        <v>0</v>
      </c>
      <c r="AF2967" t="s">
        <v>31</v>
      </c>
      <c r="AG2967">
        <v>0</v>
      </c>
      <c r="AH2967" t="s">
        <v>31</v>
      </c>
      <c r="AI2967">
        <v>0</v>
      </c>
      <c r="AJ2967" t="s">
        <v>31</v>
      </c>
      <c r="AK2967">
        <v>0</v>
      </c>
      <c r="AL2967" t="s">
        <v>31</v>
      </c>
      <c r="AM2967">
        <v>0</v>
      </c>
      <c r="AN2967" t="s">
        <v>31</v>
      </c>
      <c r="AO2967">
        <v>0</v>
      </c>
      <c r="AP2967" t="s">
        <v>31</v>
      </c>
      <c r="AQ2967">
        <v>0</v>
      </c>
    </row>
    <row r="2968" spans="1:43" x14ac:dyDescent="0.2">
      <c r="A2968" t="s">
        <v>381</v>
      </c>
      <c r="B2968" s="3">
        <v>44245</v>
      </c>
      <c r="C2968">
        <v>12</v>
      </c>
      <c r="D2968" t="s">
        <v>382</v>
      </c>
      <c r="E2968" t="s">
        <v>90</v>
      </c>
      <c r="F2968" s="9" t="s">
        <v>91</v>
      </c>
      <c r="G2968" t="s">
        <v>26</v>
      </c>
      <c r="H2968" t="s">
        <v>85</v>
      </c>
      <c r="I2968" t="s">
        <v>86</v>
      </c>
      <c r="J2968" t="s">
        <v>53</v>
      </c>
      <c r="K2968" t="s">
        <v>54</v>
      </c>
      <c r="L2968" t="s">
        <v>53</v>
      </c>
      <c r="M2968" t="s">
        <v>54</v>
      </c>
      <c r="N2968" t="s">
        <v>85</v>
      </c>
      <c r="O2968" t="s">
        <v>86</v>
      </c>
      <c r="P2968" t="s">
        <v>53</v>
      </c>
      <c r="Q2968" t="s">
        <v>54</v>
      </c>
      <c r="R2968" s="1">
        <v>44245.429675925923</v>
      </c>
      <c r="S2968" s="1">
        <v>44245.455138888887</v>
      </c>
      <c r="T2968">
        <v>0</v>
      </c>
      <c r="U2968">
        <v>2</v>
      </c>
      <c r="V2968" s="2">
        <v>0</v>
      </c>
      <c r="W2968">
        <v>0</v>
      </c>
      <c r="X2968" t="s">
        <v>44</v>
      </c>
      <c r="Y2968">
        <v>0</v>
      </c>
      <c r="Z2968" t="s">
        <v>44</v>
      </c>
      <c r="AA2968">
        <v>0</v>
      </c>
      <c r="AB2968" t="s">
        <v>31</v>
      </c>
      <c r="AC2968">
        <v>0</v>
      </c>
      <c r="AD2968" t="s">
        <v>31</v>
      </c>
      <c r="AE2968">
        <v>0</v>
      </c>
      <c r="AF2968" t="s">
        <v>31</v>
      </c>
      <c r="AG2968">
        <v>0</v>
      </c>
      <c r="AH2968" t="s">
        <v>31</v>
      </c>
      <c r="AI2968">
        <v>0</v>
      </c>
      <c r="AJ2968" t="s">
        <v>31</v>
      </c>
      <c r="AK2968">
        <v>0</v>
      </c>
      <c r="AL2968" t="s">
        <v>31</v>
      </c>
      <c r="AM2968">
        <v>0</v>
      </c>
      <c r="AN2968" t="s">
        <v>31</v>
      </c>
      <c r="AO2968">
        <v>0</v>
      </c>
      <c r="AP2968" t="s">
        <v>31</v>
      </c>
      <c r="AQ2968">
        <v>0</v>
      </c>
    </row>
    <row r="2969" spans="1:43" x14ac:dyDescent="0.2">
      <c r="A2969" t="s">
        <v>381</v>
      </c>
      <c r="B2969" s="3">
        <v>44246</v>
      </c>
      <c r="C2969">
        <v>14</v>
      </c>
      <c r="D2969" t="s">
        <v>384</v>
      </c>
      <c r="E2969" t="s">
        <v>90</v>
      </c>
      <c r="F2969" s="9" t="s">
        <v>91</v>
      </c>
      <c r="G2969" t="s">
        <v>26</v>
      </c>
      <c r="H2969" t="s">
        <v>85</v>
      </c>
      <c r="I2969" t="s">
        <v>86</v>
      </c>
      <c r="J2969" t="s">
        <v>53</v>
      </c>
      <c r="K2969" t="s">
        <v>54</v>
      </c>
      <c r="L2969" t="s">
        <v>53</v>
      </c>
      <c r="M2969" t="s">
        <v>54</v>
      </c>
      <c r="N2969" t="s">
        <v>85</v>
      </c>
      <c r="O2969" t="s">
        <v>86</v>
      </c>
      <c r="P2969" t="s">
        <v>53</v>
      </c>
      <c r="Q2969" t="s">
        <v>54</v>
      </c>
      <c r="R2969" s="1">
        <v>44246.410914351851</v>
      </c>
      <c r="S2969" s="1">
        <v>44246.410914351851</v>
      </c>
      <c r="T2969">
        <v>0</v>
      </c>
      <c r="U2969">
        <v>1</v>
      </c>
      <c r="V2969" s="2">
        <v>0</v>
      </c>
      <c r="W2969">
        <v>0</v>
      </c>
      <c r="X2969" t="s">
        <v>44</v>
      </c>
      <c r="Y2969">
        <v>0</v>
      </c>
      <c r="Z2969" t="s">
        <v>31</v>
      </c>
      <c r="AA2969">
        <v>0</v>
      </c>
      <c r="AB2969" t="s">
        <v>31</v>
      </c>
      <c r="AC2969">
        <v>0</v>
      </c>
      <c r="AD2969" t="s">
        <v>31</v>
      </c>
      <c r="AE2969">
        <v>0</v>
      </c>
      <c r="AF2969" t="s">
        <v>31</v>
      </c>
      <c r="AG2969">
        <v>0</v>
      </c>
      <c r="AH2969" t="s">
        <v>31</v>
      </c>
      <c r="AI2969">
        <v>0</v>
      </c>
      <c r="AJ2969" t="s">
        <v>31</v>
      </c>
      <c r="AK2969">
        <v>0</v>
      </c>
      <c r="AL2969" t="s">
        <v>31</v>
      </c>
      <c r="AM2969">
        <v>0</v>
      </c>
      <c r="AN2969" t="s">
        <v>31</v>
      </c>
      <c r="AO2969">
        <v>0</v>
      </c>
      <c r="AP2969" t="s">
        <v>31</v>
      </c>
      <c r="AQ2969">
        <v>0</v>
      </c>
    </row>
    <row r="2970" spans="1:43" x14ac:dyDescent="0.2">
      <c r="A2970" t="s">
        <v>381</v>
      </c>
      <c r="B2970" s="3">
        <v>44249</v>
      </c>
      <c r="C2970">
        <v>15</v>
      </c>
      <c r="D2970" t="s">
        <v>384</v>
      </c>
      <c r="E2970" t="s">
        <v>90</v>
      </c>
      <c r="F2970" s="9" t="s">
        <v>91</v>
      </c>
      <c r="G2970" t="s">
        <v>26</v>
      </c>
      <c r="H2970" t="s">
        <v>85</v>
      </c>
      <c r="I2970" t="s">
        <v>86</v>
      </c>
      <c r="J2970" t="s">
        <v>53</v>
      </c>
      <c r="K2970" t="s">
        <v>54</v>
      </c>
      <c r="L2970" t="s">
        <v>53</v>
      </c>
      <c r="M2970" t="s">
        <v>54</v>
      </c>
      <c r="N2970" t="s">
        <v>85</v>
      </c>
      <c r="O2970" t="s">
        <v>86</v>
      </c>
      <c r="P2970" t="s">
        <v>53</v>
      </c>
      <c r="Q2970" t="s">
        <v>54</v>
      </c>
      <c r="R2970" s="1">
        <v>44249.430763888886</v>
      </c>
      <c r="S2970" s="1">
        <v>44249.430763888886</v>
      </c>
      <c r="T2970">
        <v>0</v>
      </c>
      <c r="U2970">
        <v>1</v>
      </c>
      <c r="V2970" s="2">
        <v>0</v>
      </c>
      <c r="W2970">
        <v>0</v>
      </c>
      <c r="X2970" t="s">
        <v>44</v>
      </c>
      <c r="Y2970">
        <v>0</v>
      </c>
      <c r="Z2970" t="s">
        <v>31</v>
      </c>
      <c r="AA2970">
        <v>0</v>
      </c>
      <c r="AB2970" t="s">
        <v>31</v>
      </c>
      <c r="AC2970">
        <v>0</v>
      </c>
      <c r="AD2970" t="s">
        <v>31</v>
      </c>
      <c r="AE2970">
        <v>0</v>
      </c>
      <c r="AF2970" t="s">
        <v>31</v>
      </c>
      <c r="AG2970">
        <v>0</v>
      </c>
      <c r="AH2970" t="s">
        <v>31</v>
      </c>
      <c r="AI2970">
        <v>0</v>
      </c>
      <c r="AJ2970" t="s">
        <v>31</v>
      </c>
      <c r="AK2970">
        <v>0</v>
      </c>
      <c r="AL2970" t="s">
        <v>31</v>
      </c>
      <c r="AM2970">
        <v>0</v>
      </c>
      <c r="AN2970" t="s">
        <v>31</v>
      </c>
      <c r="AO2970">
        <v>0</v>
      </c>
      <c r="AP2970" t="s">
        <v>31</v>
      </c>
      <c r="AQ2970">
        <v>0</v>
      </c>
    </row>
    <row r="2971" spans="1:43" x14ac:dyDescent="0.2">
      <c r="A2971" t="s">
        <v>381</v>
      </c>
      <c r="B2971" s="3">
        <v>44250</v>
      </c>
      <c r="C2971">
        <v>16</v>
      </c>
      <c r="D2971" t="s">
        <v>382</v>
      </c>
      <c r="E2971" t="s">
        <v>90</v>
      </c>
      <c r="F2971" s="9" t="s">
        <v>91</v>
      </c>
      <c r="G2971" t="s">
        <v>26</v>
      </c>
      <c r="H2971" t="s">
        <v>85</v>
      </c>
      <c r="I2971" t="s">
        <v>86</v>
      </c>
      <c r="J2971" t="s">
        <v>53</v>
      </c>
      <c r="K2971" t="s">
        <v>54</v>
      </c>
      <c r="L2971" t="s">
        <v>53</v>
      </c>
      <c r="M2971" t="s">
        <v>54</v>
      </c>
      <c r="N2971" t="s">
        <v>85</v>
      </c>
      <c r="O2971" t="s">
        <v>86</v>
      </c>
      <c r="P2971" t="s">
        <v>53</v>
      </c>
      <c r="Q2971" t="s">
        <v>54</v>
      </c>
      <c r="R2971" s="1">
        <v>44250.419363425928</v>
      </c>
      <c r="S2971" s="1">
        <v>44250.463310185187</v>
      </c>
      <c r="T2971">
        <v>0</v>
      </c>
      <c r="U2971">
        <v>2</v>
      </c>
      <c r="V2971" s="2">
        <v>0</v>
      </c>
      <c r="W2971">
        <v>0</v>
      </c>
      <c r="X2971" t="s">
        <v>44</v>
      </c>
      <c r="Y2971">
        <v>0</v>
      </c>
      <c r="Z2971" t="s">
        <v>44</v>
      </c>
      <c r="AA2971">
        <v>0</v>
      </c>
      <c r="AB2971" t="s">
        <v>31</v>
      </c>
      <c r="AC2971">
        <v>0</v>
      </c>
      <c r="AD2971" t="s">
        <v>31</v>
      </c>
      <c r="AE2971">
        <v>0</v>
      </c>
      <c r="AF2971" t="s">
        <v>31</v>
      </c>
      <c r="AG2971">
        <v>0</v>
      </c>
      <c r="AH2971" t="s">
        <v>31</v>
      </c>
      <c r="AI2971">
        <v>0</v>
      </c>
      <c r="AJ2971" t="s">
        <v>31</v>
      </c>
      <c r="AK2971">
        <v>0</v>
      </c>
      <c r="AL2971" t="s">
        <v>31</v>
      </c>
      <c r="AM2971">
        <v>0</v>
      </c>
      <c r="AN2971" t="s">
        <v>31</v>
      </c>
      <c r="AO2971">
        <v>0</v>
      </c>
      <c r="AP2971" t="s">
        <v>31</v>
      </c>
      <c r="AQ2971">
        <v>0</v>
      </c>
    </row>
    <row r="2972" spans="1:43" x14ac:dyDescent="0.2">
      <c r="A2972" t="s">
        <v>381</v>
      </c>
      <c r="B2972" s="3">
        <v>44250</v>
      </c>
      <c r="C2972">
        <v>17</v>
      </c>
      <c r="D2972" t="s">
        <v>385</v>
      </c>
      <c r="E2972" t="s">
        <v>90</v>
      </c>
      <c r="F2972" s="9" t="s">
        <v>91</v>
      </c>
      <c r="G2972" t="s">
        <v>26</v>
      </c>
      <c r="H2972" t="s">
        <v>85</v>
      </c>
      <c r="I2972" t="s">
        <v>86</v>
      </c>
      <c r="J2972" t="s">
        <v>53</v>
      </c>
      <c r="K2972" t="s">
        <v>54</v>
      </c>
      <c r="L2972" t="s">
        <v>53</v>
      </c>
      <c r="M2972" t="s">
        <v>54</v>
      </c>
      <c r="N2972" t="s">
        <v>85</v>
      </c>
      <c r="O2972" t="s">
        <v>86</v>
      </c>
      <c r="P2972" t="s">
        <v>53</v>
      </c>
      <c r="Q2972" t="s">
        <v>54</v>
      </c>
      <c r="R2972" s="1">
        <v>44250.621006944442</v>
      </c>
      <c r="S2972" s="1">
        <v>44250.621006944442</v>
      </c>
      <c r="T2972">
        <v>0</v>
      </c>
      <c r="U2972">
        <v>2</v>
      </c>
      <c r="V2972" s="2">
        <v>0</v>
      </c>
      <c r="W2972">
        <v>0</v>
      </c>
      <c r="X2972" t="s">
        <v>44</v>
      </c>
      <c r="Y2972">
        <v>0</v>
      </c>
      <c r="Z2972" t="s">
        <v>44</v>
      </c>
      <c r="AA2972">
        <v>0</v>
      </c>
      <c r="AB2972" t="s">
        <v>31</v>
      </c>
      <c r="AC2972">
        <v>0</v>
      </c>
      <c r="AD2972" t="s">
        <v>31</v>
      </c>
      <c r="AE2972">
        <v>0</v>
      </c>
      <c r="AF2972" t="s">
        <v>31</v>
      </c>
      <c r="AG2972">
        <v>0</v>
      </c>
      <c r="AH2972" t="s">
        <v>31</v>
      </c>
      <c r="AI2972">
        <v>0</v>
      </c>
      <c r="AJ2972" t="s">
        <v>31</v>
      </c>
      <c r="AK2972">
        <v>0</v>
      </c>
      <c r="AL2972" t="s">
        <v>31</v>
      </c>
      <c r="AM2972">
        <v>0</v>
      </c>
      <c r="AN2972" t="s">
        <v>31</v>
      </c>
      <c r="AO2972">
        <v>0</v>
      </c>
      <c r="AP2972" t="s">
        <v>31</v>
      </c>
      <c r="AQ2972">
        <v>0</v>
      </c>
    </row>
    <row r="2973" spans="1:43" x14ac:dyDescent="0.2">
      <c r="A2973" t="s">
        <v>381</v>
      </c>
      <c r="B2973" s="3">
        <v>44251</v>
      </c>
      <c r="C2973">
        <v>18</v>
      </c>
      <c r="D2973" t="s">
        <v>384</v>
      </c>
      <c r="E2973" t="s">
        <v>90</v>
      </c>
      <c r="F2973" s="9" t="s">
        <v>91</v>
      </c>
      <c r="G2973" t="s">
        <v>26</v>
      </c>
      <c r="H2973" t="s">
        <v>85</v>
      </c>
      <c r="I2973" t="s">
        <v>86</v>
      </c>
      <c r="J2973" t="s">
        <v>53</v>
      </c>
      <c r="K2973" t="s">
        <v>54</v>
      </c>
      <c r="L2973" t="s">
        <v>53</v>
      </c>
      <c r="M2973" t="s">
        <v>54</v>
      </c>
      <c r="N2973" t="s">
        <v>85</v>
      </c>
      <c r="O2973" t="s">
        <v>86</v>
      </c>
      <c r="P2973" t="s">
        <v>53</v>
      </c>
      <c r="Q2973" t="s">
        <v>54</v>
      </c>
      <c r="R2973" s="1">
        <v>44251.412442129629</v>
      </c>
      <c r="S2973" s="1">
        <v>44251.412442129629</v>
      </c>
      <c r="T2973">
        <v>0</v>
      </c>
      <c r="U2973">
        <v>1</v>
      </c>
      <c r="V2973" s="2">
        <v>0</v>
      </c>
      <c r="W2973">
        <v>0</v>
      </c>
      <c r="X2973" t="s">
        <v>44</v>
      </c>
      <c r="Y2973">
        <v>0</v>
      </c>
      <c r="Z2973" t="s">
        <v>31</v>
      </c>
      <c r="AA2973">
        <v>0</v>
      </c>
      <c r="AB2973" t="s">
        <v>31</v>
      </c>
      <c r="AC2973">
        <v>0</v>
      </c>
      <c r="AD2973" t="s">
        <v>31</v>
      </c>
      <c r="AE2973">
        <v>0</v>
      </c>
      <c r="AF2973" t="s">
        <v>31</v>
      </c>
      <c r="AG2973">
        <v>0</v>
      </c>
      <c r="AH2973" t="s">
        <v>31</v>
      </c>
      <c r="AI2973">
        <v>0</v>
      </c>
      <c r="AJ2973" t="s">
        <v>31</v>
      </c>
      <c r="AK2973">
        <v>0</v>
      </c>
      <c r="AL2973" t="s">
        <v>31</v>
      </c>
      <c r="AM2973">
        <v>0</v>
      </c>
      <c r="AN2973" t="s">
        <v>31</v>
      </c>
      <c r="AO2973">
        <v>0</v>
      </c>
      <c r="AP2973" t="s">
        <v>31</v>
      </c>
      <c r="AQ2973">
        <v>0</v>
      </c>
    </row>
    <row r="2974" spans="1:43" x14ac:dyDescent="0.2">
      <c r="A2974" t="s">
        <v>381</v>
      </c>
      <c r="B2974" s="3">
        <v>44252</v>
      </c>
      <c r="C2974">
        <v>19</v>
      </c>
      <c r="D2974" t="s">
        <v>382</v>
      </c>
      <c r="E2974" t="s">
        <v>90</v>
      </c>
      <c r="F2974" s="9" t="s">
        <v>91</v>
      </c>
      <c r="G2974" t="s">
        <v>26</v>
      </c>
      <c r="H2974" t="s">
        <v>85</v>
      </c>
      <c r="I2974" t="s">
        <v>86</v>
      </c>
      <c r="J2974" t="s">
        <v>53</v>
      </c>
      <c r="K2974" t="s">
        <v>54</v>
      </c>
      <c r="L2974" t="s">
        <v>53</v>
      </c>
      <c r="M2974" t="s">
        <v>54</v>
      </c>
      <c r="N2974" t="s">
        <v>85</v>
      </c>
      <c r="O2974" t="s">
        <v>86</v>
      </c>
      <c r="P2974" t="s">
        <v>53</v>
      </c>
      <c r="Q2974" t="s">
        <v>54</v>
      </c>
      <c r="R2974" s="1">
        <v>44252.411226851851</v>
      </c>
      <c r="S2974" s="1">
        <v>44252.436909722222</v>
      </c>
      <c r="T2974">
        <v>0</v>
      </c>
      <c r="U2974">
        <v>2</v>
      </c>
      <c r="V2974" s="2">
        <v>0</v>
      </c>
      <c r="W2974">
        <v>0</v>
      </c>
      <c r="X2974" t="s">
        <v>44</v>
      </c>
      <c r="Y2974">
        <v>0</v>
      </c>
      <c r="Z2974" t="s">
        <v>44</v>
      </c>
      <c r="AA2974">
        <v>0</v>
      </c>
      <c r="AB2974" t="s">
        <v>31</v>
      </c>
      <c r="AC2974">
        <v>0</v>
      </c>
      <c r="AD2974" t="s">
        <v>31</v>
      </c>
      <c r="AE2974">
        <v>0</v>
      </c>
      <c r="AF2974" t="s">
        <v>31</v>
      </c>
      <c r="AG2974">
        <v>0</v>
      </c>
      <c r="AH2974" t="s">
        <v>31</v>
      </c>
      <c r="AI2974">
        <v>0</v>
      </c>
      <c r="AJ2974" t="s">
        <v>31</v>
      </c>
      <c r="AK2974">
        <v>0</v>
      </c>
      <c r="AL2974" t="s">
        <v>31</v>
      </c>
      <c r="AM2974">
        <v>0</v>
      </c>
      <c r="AN2974" t="s">
        <v>31</v>
      </c>
      <c r="AO2974">
        <v>0</v>
      </c>
      <c r="AP2974" t="s">
        <v>31</v>
      </c>
      <c r="AQ2974">
        <v>0</v>
      </c>
    </row>
    <row r="2975" spans="1:43" x14ac:dyDescent="0.2">
      <c r="A2975" t="s">
        <v>381</v>
      </c>
      <c r="B2975" s="3">
        <v>44252</v>
      </c>
      <c r="C2975">
        <v>20</v>
      </c>
      <c r="D2975" t="s">
        <v>385</v>
      </c>
      <c r="E2975" t="s">
        <v>90</v>
      </c>
      <c r="F2975" s="9" t="s">
        <v>91</v>
      </c>
      <c r="G2975" t="s">
        <v>26</v>
      </c>
      <c r="H2975" t="s">
        <v>85</v>
      </c>
      <c r="I2975" t="s">
        <v>86</v>
      </c>
      <c r="J2975" t="s">
        <v>53</v>
      </c>
      <c r="K2975" t="s">
        <v>54</v>
      </c>
      <c r="L2975" t="s">
        <v>53</v>
      </c>
      <c r="M2975" t="s">
        <v>54</v>
      </c>
      <c r="N2975" t="s">
        <v>85</v>
      </c>
      <c r="O2975" t="s">
        <v>86</v>
      </c>
      <c r="P2975" t="s">
        <v>53</v>
      </c>
      <c r="Q2975" t="s">
        <v>54</v>
      </c>
      <c r="R2975" s="1">
        <v>44252.625081018516</v>
      </c>
      <c r="S2975" s="1">
        <v>44252.625081018516</v>
      </c>
      <c r="T2975">
        <v>0</v>
      </c>
      <c r="U2975">
        <v>1</v>
      </c>
      <c r="V2975" s="2">
        <v>0</v>
      </c>
      <c r="W2975">
        <v>0</v>
      </c>
      <c r="X2975" t="s">
        <v>44</v>
      </c>
      <c r="Y2975">
        <v>0</v>
      </c>
      <c r="Z2975" t="s">
        <v>31</v>
      </c>
      <c r="AA2975">
        <v>0</v>
      </c>
      <c r="AB2975" t="s">
        <v>31</v>
      </c>
      <c r="AC2975">
        <v>0</v>
      </c>
      <c r="AD2975" t="s">
        <v>31</v>
      </c>
      <c r="AE2975">
        <v>0</v>
      </c>
      <c r="AF2975" t="s">
        <v>31</v>
      </c>
      <c r="AG2975">
        <v>0</v>
      </c>
      <c r="AH2975" t="s">
        <v>31</v>
      </c>
      <c r="AI2975">
        <v>0</v>
      </c>
      <c r="AJ2975" t="s">
        <v>31</v>
      </c>
      <c r="AK2975">
        <v>0</v>
      </c>
      <c r="AL2975" t="s">
        <v>31</v>
      </c>
      <c r="AM2975">
        <v>0</v>
      </c>
      <c r="AN2975" t="s">
        <v>31</v>
      </c>
      <c r="AO2975">
        <v>0</v>
      </c>
      <c r="AP2975" t="s">
        <v>31</v>
      </c>
      <c r="AQ2975">
        <v>0</v>
      </c>
    </row>
    <row r="2976" spans="1:43" x14ac:dyDescent="0.2">
      <c r="A2976" t="s">
        <v>381</v>
      </c>
      <c r="B2976" s="3">
        <v>44253</v>
      </c>
      <c r="C2976">
        <v>21</v>
      </c>
      <c r="D2976" t="s">
        <v>384</v>
      </c>
      <c r="E2976" t="s">
        <v>90</v>
      </c>
      <c r="F2976" s="9" t="s">
        <v>91</v>
      </c>
      <c r="G2976" t="s">
        <v>26</v>
      </c>
      <c r="H2976" t="s">
        <v>85</v>
      </c>
      <c r="I2976" t="s">
        <v>86</v>
      </c>
      <c r="J2976" t="s">
        <v>53</v>
      </c>
      <c r="K2976" t="s">
        <v>54</v>
      </c>
      <c r="L2976" t="s">
        <v>53</v>
      </c>
      <c r="M2976" t="s">
        <v>54</v>
      </c>
      <c r="N2976" t="s">
        <v>85</v>
      </c>
      <c r="O2976" t="s">
        <v>86</v>
      </c>
      <c r="P2976" t="s">
        <v>53</v>
      </c>
      <c r="Q2976" t="s">
        <v>54</v>
      </c>
      <c r="R2976" s="1">
        <v>44253.372881944444</v>
      </c>
      <c r="S2976" s="1">
        <v>44253.372881944444</v>
      </c>
      <c r="T2976">
        <v>0</v>
      </c>
      <c r="U2976">
        <v>1</v>
      </c>
      <c r="V2976" s="2">
        <v>0</v>
      </c>
      <c r="W2976">
        <v>0</v>
      </c>
      <c r="X2976" t="s">
        <v>44</v>
      </c>
      <c r="Y2976">
        <v>0</v>
      </c>
      <c r="Z2976" t="s">
        <v>31</v>
      </c>
      <c r="AA2976">
        <v>0</v>
      </c>
      <c r="AB2976" t="s">
        <v>31</v>
      </c>
      <c r="AC2976">
        <v>0</v>
      </c>
      <c r="AD2976" t="s">
        <v>31</v>
      </c>
      <c r="AE2976">
        <v>0</v>
      </c>
      <c r="AF2976" t="s">
        <v>31</v>
      </c>
      <c r="AG2976">
        <v>0</v>
      </c>
      <c r="AH2976" t="s">
        <v>31</v>
      </c>
      <c r="AI2976">
        <v>0</v>
      </c>
      <c r="AJ2976" t="s">
        <v>31</v>
      </c>
      <c r="AK2976">
        <v>0</v>
      </c>
      <c r="AL2976" t="s">
        <v>31</v>
      </c>
      <c r="AM2976">
        <v>0</v>
      </c>
      <c r="AN2976" t="s">
        <v>31</v>
      </c>
      <c r="AO2976">
        <v>0</v>
      </c>
      <c r="AP2976" t="s">
        <v>31</v>
      </c>
      <c r="AQ2976">
        <v>0</v>
      </c>
    </row>
    <row r="2977" spans="1:43" x14ac:dyDescent="0.2">
      <c r="A2977" t="s">
        <v>381</v>
      </c>
      <c r="B2977" s="3">
        <v>44256</v>
      </c>
      <c r="C2977">
        <v>22</v>
      </c>
      <c r="D2977" t="s">
        <v>384</v>
      </c>
      <c r="E2977" t="s">
        <v>90</v>
      </c>
      <c r="F2977" s="9" t="s">
        <v>91</v>
      </c>
      <c r="G2977" t="s">
        <v>26</v>
      </c>
      <c r="H2977" t="s">
        <v>85</v>
      </c>
      <c r="I2977" t="s">
        <v>86</v>
      </c>
      <c r="J2977" t="s">
        <v>53</v>
      </c>
      <c r="K2977" t="s">
        <v>54</v>
      </c>
      <c r="L2977" t="s">
        <v>53</v>
      </c>
      <c r="M2977" t="s">
        <v>54</v>
      </c>
      <c r="N2977" t="s">
        <v>85</v>
      </c>
      <c r="O2977" t="s">
        <v>86</v>
      </c>
      <c r="P2977" t="s">
        <v>53</v>
      </c>
      <c r="Q2977" t="s">
        <v>54</v>
      </c>
      <c r="R2977" s="1">
        <v>44256.376851851855</v>
      </c>
      <c r="S2977" s="1">
        <v>44256.376851851855</v>
      </c>
      <c r="T2977">
        <v>0</v>
      </c>
      <c r="U2977">
        <v>1</v>
      </c>
      <c r="V2977" s="2">
        <v>0</v>
      </c>
      <c r="W2977">
        <v>0</v>
      </c>
      <c r="X2977" t="s">
        <v>44</v>
      </c>
      <c r="Y2977">
        <v>0</v>
      </c>
      <c r="Z2977" t="s">
        <v>31</v>
      </c>
      <c r="AA2977">
        <v>0</v>
      </c>
      <c r="AB2977" t="s">
        <v>31</v>
      </c>
      <c r="AC2977">
        <v>0</v>
      </c>
      <c r="AD2977" t="s">
        <v>31</v>
      </c>
      <c r="AE2977">
        <v>0</v>
      </c>
      <c r="AF2977" t="s">
        <v>31</v>
      </c>
      <c r="AG2977">
        <v>0</v>
      </c>
      <c r="AH2977" t="s">
        <v>31</v>
      </c>
      <c r="AI2977">
        <v>0</v>
      </c>
      <c r="AJ2977" t="s">
        <v>31</v>
      </c>
      <c r="AK2977">
        <v>0</v>
      </c>
      <c r="AL2977" t="s">
        <v>31</v>
      </c>
      <c r="AM2977">
        <v>0</v>
      </c>
      <c r="AN2977" t="s">
        <v>31</v>
      </c>
      <c r="AO2977">
        <v>0</v>
      </c>
      <c r="AP2977" t="s">
        <v>31</v>
      </c>
      <c r="AQ2977">
        <v>0</v>
      </c>
    </row>
    <row r="2978" spans="1:43" x14ac:dyDescent="0.2">
      <c r="A2978" t="s">
        <v>381</v>
      </c>
      <c r="B2978" s="3">
        <v>44257</v>
      </c>
      <c r="C2978">
        <v>23</v>
      </c>
      <c r="D2978" t="s">
        <v>382</v>
      </c>
      <c r="E2978" t="s">
        <v>90</v>
      </c>
      <c r="F2978" s="9" t="s">
        <v>91</v>
      </c>
      <c r="G2978" t="s">
        <v>26</v>
      </c>
      <c r="H2978" t="s">
        <v>85</v>
      </c>
      <c r="I2978" t="s">
        <v>86</v>
      </c>
      <c r="J2978" t="s">
        <v>53</v>
      </c>
      <c r="K2978" t="s">
        <v>54</v>
      </c>
      <c r="L2978" t="s">
        <v>53</v>
      </c>
      <c r="M2978" t="s">
        <v>54</v>
      </c>
      <c r="N2978" t="s">
        <v>85</v>
      </c>
      <c r="O2978" t="s">
        <v>86</v>
      </c>
      <c r="P2978" t="s">
        <v>53</v>
      </c>
      <c r="Q2978" t="s">
        <v>54</v>
      </c>
      <c r="R2978" s="1">
        <v>44257.428877314815</v>
      </c>
      <c r="S2978" s="1">
        <v>44257.469872685186</v>
      </c>
      <c r="T2978">
        <v>0</v>
      </c>
      <c r="U2978">
        <v>2</v>
      </c>
      <c r="V2978" s="2">
        <v>0</v>
      </c>
      <c r="W2978">
        <v>0</v>
      </c>
      <c r="X2978" t="s">
        <v>44</v>
      </c>
      <c r="Y2978">
        <v>0</v>
      </c>
      <c r="Z2978" t="s">
        <v>44</v>
      </c>
      <c r="AA2978">
        <v>0</v>
      </c>
      <c r="AB2978" t="s">
        <v>31</v>
      </c>
      <c r="AC2978">
        <v>0</v>
      </c>
      <c r="AD2978" t="s">
        <v>31</v>
      </c>
      <c r="AE2978">
        <v>0</v>
      </c>
      <c r="AF2978" t="s">
        <v>31</v>
      </c>
      <c r="AG2978">
        <v>0</v>
      </c>
      <c r="AH2978" t="s">
        <v>31</v>
      </c>
      <c r="AI2978">
        <v>0</v>
      </c>
      <c r="AJ2978" t="s">
        <v>31</v>
      </c>
      <c r="AK2978">
        <v>0</v>
      </c>
      <c r="AL2978" t="s">
        <v>31</v>
      </c>
      <c r="AM2978">
        <v>0</v>
      </c>
      <c r="AN2978" t="s">
        <v>31</v>
      </c>
      <c r="AO2978">
        <v>0</v>
      </c>
      <c r="AP2978" t="s">
        <v>31</v>
      </c>
      <c r="AQ2978">
        <v>0</v>
      </c>
    </row>
    <row r="2979" spans="1:43" x14ac:dyDescent="0.2">
      <c r="A2979" t="s">
        <v>381</v>
      </c>
      <c r="B2979" s="3">
        <v>44257</v>
      </c>
      <c r="C2979">
        <v>24</v>
      </c>
      <c r="D2979" t="s">
        <v>385</v>
      </c>
      <c r="E2979" t="s">
        <v>90</v>
      </c>
      <c r="F2979" s="9" t="s">
        <v>91</v>
      </c>
      <c r="G2979" t="s">
        <v>26</v>
      </c>
      <c r="H2979" t="s">
        <v>85</v>
      </c>
      <c r="I2979" t="s">
        <v>86</v>
      </c>
      <c r="J2979" t="s">
        <v>53</v>
      </c>
      <c r="K2979" t="s">
        <v>54</v>
      </c>
      <c r="L2979" t="s">
        <v>53</v>
      </c>
      <c r="M2979" t="s">
        <v>54</v>
      </c>
      <c r="N2979" t="s">
        <v>85</v>
      </c>
      <c r="O2979" t="s">
        <v>86</v>
      </c>
      <c r="P2979" t="s">
        <v>53</v>
      </c>
      <c r="Q2979" t="s">
        <v>54</v>
      </c>
      <c r="R2979" s="1">
        <v>44257.580925925926</v>
      </c>
      <c r="S2979" s="1">
        <v>44257.580937500003</v>
      </c>
      <c r="T2979">
        <v>0</v>
      </c>
      <c r="U2979">
        <v>1</v>
      </c>
      <c r="V2979" s="2">
        <v>0</v>
      </c>
      <c r="W2979">
        <v>0</v>
      </c>
      <c r="X2979" t="s">
        <v>44</v>
      </c>
      <c r="Y2979">
        <v>0</v>
      </c>
      <c r="Z2979" t="s">
        <v>31</v>
      </c>
      <c r="AA2979">
        <v>0</v>
      </c>
      <c r="AB2979" t="s">
        <v>31</v>
      </c>
      <c r="AC2979">
        <v>0</v>
      </c>
      <c r="AD2979" t="s">
        <v>31</v>
      </c>
      <c r="AE2979">
        <v>0</v>
      </c>
      <c r="AF2979" t="s">
        <v>31</v>
      </c>
      <c r="AG2979">
        <v>0</v>
      </c>
      <c r="AH2979" t="s">
        <v>31</v>
      </c>
      <c r="AI2979">
        <v>0</v>
      </c>
      <c r="AJ2979" t="s">
        <v>31</v>
      </c>
      <c r="AK2979">
        <v>0</v>
      </c>
      <c r="AL2979" t="s">
        <v>31</v>
      </c>
      <c r="AM2979">
        <v>0</v>
      </c>
      <c r="AN2979" t="s">
        <v>31</v>
      </c>
      <c r="AO2979">
        <v>0</v>
      </c>
      <c r="AP2979" t="s">
        <v>31</v>
      </c>
      <c r="AQ2979">
        <v>0</v>
      </c>
    </row>
    <row r="2980" spans="1:43" x14ac:dyDescent="0.2">
      <c r="A2980" t="s">
        <v>381</v>
      </c>
      <c r="B2980" s="3">
        <v>44258</v>
      </c>
      <c r="C2980">
        <v>25</v>
      </c>
      <c r="D2980" t="s">
        <v>384</v>
      </c>
      <c r="E2980" t="s">
        <v>90</v>
      </c>
      <c r="F2980" s="9" t="s">
        <v>91</v>
      </c>
      <c r="G2980" t="s">
        <v>26</v>
      </c>
      <c r="H2980" t="s">
        <v>85</v>
      </c>
      <c r="I2980" t="s">
        <v>86</v>
      </c>
      <c r="J2980" t="s">
        <v>53</v>
      </c>
      <c r="K2980" t="s">
        <v>54</v>
      </c>
      <c r="L2980" t="s">
        <v>53</v>
      </c>
      <c r="M2980" t="s">
        <v>54</v>
      </c>
      <c r="N2980" t="s">
        <v>85</v>
      </c>
      <c r="O2980" t="s">
        <v>86</v>
      </c>
      <c r="P2980" t="s">
        <v>53</v>
      </c>
      <c r="Q2980" t="s">
        <v>54</v>
      </c>
      <c r="R2980" s="1">
        <v>44258.375185185185</v>
      </c>
      <c r="S2980" s="1">
        <v>44258.41605324074</v>
      </c>
      <c r="T2980">
        <v>1</v>
      </c>
      <c r="U2980">
        <v>2</v>
      </c>
      <c r="V2980" s="2">
        <v>0.5</v>
      </c>
      <c r="W2980">
        <v>1</v>
      </c>
      <c r="X2980" t="s">
        <v>54</v>
      </c>
      <c r="Y2980">
        <v>1</v>
      </c>
      <c r="Z2980" t="s">
        <v>44</v>
      </c>
      <c r="AA2980">
        <v>0</v>
      </c>
      <c r="AB2980" t="s">
        <v>31</v>
      </c>
      <c r="AC2980">
        <v>0</v>
      </c>
      <c r="AD2980" t="s">
        <v>31</v>
      </c>
      <c r="AE2980">
        <v>0</v>
      </c>
      <c r="AF2980" t="s">
        <v>31</v>
      </c>
      <c r="AG2980">
        <v>0</v>
      </c>
      <c r="AH2980" t="s">
        <v>31</v>
      </c>
      <c r="AI2980">
        <v>0</v>
      </c>
      <c r="AJ2980" t="s">
        <v>31</v>
      </c>
      <c r="AK2980">
        <v>0</v>
      </c>
      <c r="AL2980" t="s">
        <v>31</v>
      </c>
      <c r="AM2980">
        <v>0</v>
      </c>
      <c r="AN2980" t="s">
        <v>31</v>
      </c>
      <c r="AO2980">
        <v>0</v>
      </c>
      <c r="AP2980" t="s">
        <v>31</v>
      </c>
      <c r="AQ2980">
        <v>0</v>
      </c>
    </row>
    <row r="2981" spans="1:43" x14ac:dyDescent="0.2">
      <c r="A2981" t="s">
        <v>381</v>
      </c>
      <c r="B2981" s="3">
        <v>44259</v>
      </c>
      <c r="C2981">
        <v>26</v>
      </c>
      <c r="D2981" t="s">
        <v>382</v>
      </c>
      <c r="E2981" t="s">
        <v>90</v>
      </c>
      <c r="F2981" s="9" t="s">
        <v>91</v>
      </c>
      <c r="G2981" t="s">
        <v>26</v>
      </c>
      <c r="H2981" t="s">
        <v>85</v>
      </c>
      <c r="I2981" t="s">
        <v>86</v>
      </c>
      <c r="J2981" t="s">
        <v>53</v>
      </c>
      <c r="K2981" t="s">
        <v>54</v>
      </c>
      <c r="L2981" t="s">
        <v>53</v>
      </c>
      <c r="M2981" t="s">
        <v>54</v>
      </c>
      <c r="N2981" t="s">
        <v>85</v>
      </c>
      <c r="O2981" t="s">
        <v>86</v>
      </c>
      <c r="P2981" t="s">
        <v>53</v>
      </c>
      <c r="Q2981" t="s">
        <v>54</v>
      </c>
      <c r="R2981" s="1">
        <v>44259.415416666663</v>
      </c>
      <c r="S2981" s="1">
        <v>44259.43787037037</v>
      </c>
      <c r="T2981">
        <v>0</v>
      </c>
      <c r="U2981">
        <v>2</v>
      </c>
      <c r="V2981" s="2">
        <v>0</v>
      </c>
      <c r="W2981">
        <v>0</v>
      </c>
      <c r="X2981" t="s">
        <v>44</v>
      </c>
      <c r="Y2981">
        <v>0</v>
      </c>
      <c r="Z2981" t="s">
        <v>44</v>
      </c>
      <c r="AA2981">
        <v>0</v>
      </c>
      <c r="AB2981" t="s">
        <v>31</v>
      </c>
      <c r="AC2981">
        <v>0</v>
      </c>
      <c r="AD2981" t="s">
        <v>31</v>
      </c>
      <c r="AE2981">
        <v>0</v>
      </c>
      <c r="AF2981" t="s">
        <v>31</v>
      </c>
      <c r="AG2981">
        <v>0</v>
      </c>
      <c r="AH2981" t="s">
        <v>31</v>
      </c>
      <c r="AI2981">
        <v>0</v>
      </c>
      <c r="AJ2981" t="s">
        <v>31</v>
      </c>
      <c r="AK2981">
        <v>0</v>
      </c>
      <c r="AL2981" t="s">
        <v>31</v>
      </c>
      <c r="AM2981">
        <v>0</v>
      </c>
      <c r="AN2981" t="s">
        <v>31</v>
      </c>
      <c r="AO2981">
        <v>0</v>
      </c>
      <c r="AP2981" t="s">
        <v>31</v>
      </c>
      <c r="AQ2981">
        <v>0</v>
      </c>
    </row>
    <row r="2982" spans="1:43" x14ac:dyDescent="0.2">
      <c r="A2982" t="s">
        <v>381</v>
      </c>
      <c r="B2982" s="3">
        <v>44260</v>
      </c>
      <c r="C2982">
        <v>28</v>
      </c>
      <c r="D2982" t="s">
        <v>384</v>
      </c>
      <c r="E2982" t="s">
        <v>90</v>
      </c>
      <c r="F2982" s="9" t="s">
        <v>91</v>
      </c>
      <c r="G2982" t="s">
        <v>26</v>
      </c>
      <c r="H2982" t="s">
        <v>85</v>
      </c>
      <c r="I2982" t="s">
        <v>86</v>
      </c>
      <c r="J2982" t="s">
        <v>53</v>
      </c>
      <c r="K2982" t="s">
        <v>54</v>
      </c>
      <c r="L2982" t="s">
        <v>53</v>
      </c>
      <c r="M2982" t="s">
        <v>54</v>
      </c>
      <c r="N2982" t="s">
        <v>85</v>
      </c>
      <c r="O2982" t="s">
        <v>86</v>
      </c>
      <c r="P2982" t="s">
        <v>53</v>
      </c>
      <c r="Q2982" t="s">
        <v>54</v>
      </c>
      <c r="R2982" s="1">
        <v>44260.469814814816</v>
      </c>
      <c r="S2982" s="1">
        <v>44260.469814814816</v>
      </c>
      <c r="T2982">
        <v>0</v>
      </c>
      <c r="U2982">
        <v>1</v>
      </c>
      <c r="V2982" s="2">
        <v>0</v>
      </c>
      <c r="W2982">
        <v>0</v>
      </c>
      <c r="X2982" t="s">
        <v>44</v>
      </c>
      <c r="Y2982">
        <v>0</v>
      </c>
      <c r="Z2982" t="s">
        <v>31</v>
      </c>
      <c r="AA2982">
        <v>0</v>
      </c>
      <c r="AB2982" t="s">
        <v>31</v>
      </c>
      <c r="AC2982">
        <v>0</v>
      </c>
      <c r="AD2982" t="s">
        <v>31</v>
      </c>
      <c r="AE2982">
        <v>0</v>
      </c>
      <c r="AF2982" t="s">
        <v>31</v>
      </c>
      <c r="AG2982">
        <v>0</v>
      </c>
      <c r="AH2982" t="s">
        <v>31</v>
      </c>
      <c r="AI2982">
        <v>0</v>
      </c>
      <c r="AJ2982" t="s">
        <v>31</v>
      </c>
      <c r="AK2982">
        <v>0</v>
      </c>
      <c r="AL2982" t="s">
        <v>31</v>
      </c>
      <c r="AM2982">
        <v>0</v>
      </c>
      <c r="AN2982" t="s">
        <v>31</v>
      </c>
      <c r="AO2982">
        <v>0</v>
      </c>
      <c r="AP2982" t="s">
        <v>31</v>
      </c>
      <c r="AQ2982">
        <v>0</v>
      </c>
    </row>
    <row r="2983" spans="1:43" x14ac:dyDescent="0.2">
      <c r="A2983" t="s">
        <v>381</v>
      </c>
      <c r="B2983" s="3">
        <v>44263</v>
      </c>
      <c r="C2983">
        <v>29</v>
      </c>
      <c r="D2983" t="s">
        <v>384</v>
      </c>
      <c r="E2983" t="s">
        <v>90</v>
      </c>
      <c r="F2983" s="9" t="s">
        <v>91</v>
      </c>
      <c r="G2983" t="s">
        <v>26</v>
      </c>
      <c r="H2983" t="s">
        <v>85</v>
      </c>
      <c r="I2983" t="s">
        <v>86</v>
      </c>
      <c r="J2983" t="s">
        <v>53</v>
      </c>
      <c r="K2983" t="s">
        <v>54</v>
      </c>
      <c r="L2983" t="s">
        <v>53</v>
      </c>
      <c r="M2983" t="s">
        <v>54</v>
      </c>
      <c r="N2983" t="s">
        <v>85</v>
      </c>
      <c r="O2983" t="s">
        <v>86</v>
      </c>
      <c r="P2983" t="s">
        <v>53</v>
      </c>
      <c r="Q2983" t="s">
        <v>54</v>
      </c>
      <c r="R2983" s="1">
        <v>44263.411192129628</v>
      </c>
      <c r="S2983" s="1">
        <v>44263.411192129628</v>
      </c>
      <c r="T2983">
        <v>0</v>
      </c>
      <c r="U2983">
        <v>1</v>
      </c>
      <c r="V2983" s="2">
        <v>0</v>
      </c>
      <c r="W2983">
        <v>0</v>
      </c>
      <c r="X2983" t="s">
        <v>44</v>
      </c>
      <c r="Y2983">
        <v>0</v>
      </c>
      <c r="Z2983" t="s">
        <v>31</v>
      </c>
      <c r="AA2983">
        <v>0</v>
      </c>
      <c r="AB2983" t="s">
        <v>31</v>
      </c>
      <c r="AC2983">
        <v>0</v>
      </c>
      <c r="AD2983" t="s">
        <v>31</v>
      </c>
      <c r="AE2983">
        <v>0</v>
      </c>
      <c r="AF2983" t="s">
        <v>31</v>
      </c>
      <c r="AG2983">
        <v>0</v>
      </c>
      <c r="AH2983" t="s">
        <v>31</v>
      </c>
      <c r="AI2983">
        <v>0</v>
      </c>
      <c r="AJ2983" t="s">
        <v>31</v>
      </c>
      <c r="AK2983">
        <v>0</v>
      </c>
      <c r="AL2983" t="s">
        <v>31</v>
      </c>
      <c r="AM2983">
        <v>0</v>
      </c>
      <c r="AN2983" t="s">
        <v>31</v>
      </c>
      <c r="AO2983">
        <v>0</v>
      </c>
      <c r="AP2983" t="s">
        <v>31</v>
      </c>
      <c r="AQ2983">
        <v>0</v>
      </c>
    </row>
    <row r="2984" spans="1:43" x14ac:dyDescent="0.2">
      <c r="A2984" t="s">
        <v>381</v>
      </c>
      <c r="B2984" s="3">
        <v>44264</v>
      </c>
      <c r="C2984">
        <v>30</v>
      </c>
      <c r="D2984" t="s">
        <v>382</v>
      </c>
      <c r="E2984" t="s">
        <v>90</v>
      </c>
      <c r="F2984" s="9" t="s">
        <v>91</v>
      </c>
      <c r="G2984" t="s">
        <v>26</v>
      </c>
      <c r="H2984" t="s">
        <v>85</v>
      </c>
      <c r="I2984" t="s">
        <v>86</v>
      </c>
      <c r="J2984" t="s">
        <v>53</v>
      </c>
      <c r="K2984" t="s">
        <v>54</v>
      </c>
      <c r="L2984" t="s">
        <v>53</v>
      </c>
      <c r="M2984" t="s">
        <v>54</v>
      </c>
      <c r="N2984" t="s">
        <v>85</v>
      </c>
      <c r="O2984" t="s">
        <v>86</v>
      </c>
      <c r="P2984" t="s">
        <v>53</v>
      </c>
      <c r="Q2984" t="s">
        <v>54</v>
      </c>
      <c r="R2984" s="1">
        <v>44264.421354166669</v>
      </c>
      <c r="S2984" s="1">
        <v>44264.456909722219</v>
      </c>
      <c r="T2984">
        <v>0</v>
      </c>
      <c r="U2984">
        <v>2</v>
      </c>
      <c r="V2984" s="2">
        <v>0</v>
      </c>
      <c r="W2984">
        <v>0</v>
      </c>
      <c r="X2984" t="s">
        <v>44</v>
      </c>
      <c r="Y2984">
        <v>0</v>
      </c>
      <c r="Z2984" t="s">
        <v>44</v>
      </c>
      <c r="AA2984">
        <v>0</v>
      </c>
      <c r="AB2984" t="s">
        <v>31</v>
      </c>
      <c r="AC2984">
        <v>0</v>
      </c>
      <c r="AD2984" t="s">
        <v>31</v>
      </c>
      <c r="AE2984">
        <v>0</v>
      </c>
      <c r="AF2984" t="s">
        <v>31</v>
      </c>
      <c r="AG2984">
        <v>0</v>
      </c>
      <c r="AH2984" t="s">
        <v>31</v>
      </c>
      <c r="AI2984">
        <v>0</v>
      </c>
      <c r="AJ2984" t="s">
        <v>31</v>
      </c>
      <c r="AK2984">
        <v>0</v>
      </c>
      <c r="AL2984" t="s">
        <v>31</v>
      </c>
      <c r="AM2984">
        <v>0</v>
      </c>
      <c r="AN2984" t="s">
        <v>31</v>
      </c>
      <c r="AO2984">
        <v>0</v>
      </c>
      <c r="AP2984" t="s">
        <v>31</v>
      </c>
      <c r="AQ2984">
        <v>0</v>
      </c>
    </row>
    <row r="2985" spans="1:43" x14ac:dyDescent="0.2">
      <c r="A2985" t="s">
        <v>381</v>
      </c>
      <c r="B2985" s="3">
        <v>44264</v>
      </c>
      <c r="C2985">
        <v>31</v>
      </c>
      <c r="D2985" t="s">
        <v>385</v>
      </c>
      <c r="E2985" t="s">
        <v>90</v>
      </c>
      <c r="F2985" s="9" t="s">
        <v>91</v>
      </c>
      <c r="G2985" t="s">
        <v>26</v>
      </c>
      <c r="H2985" t="s">
        <v>85</v>
      </c>
      <c r="I2985" t="s">
        <v>86</v>
      </c>
      <c r="J2985" t="s">
        <v>53</v>
      </c>
      <c r="K2985" t="s">
        <v>54</v>
      </c>
      <c r="L2985" t="s">
        <v>53</v>
      </c>
      <c r="M2985" t="s">
        <v>54</v>
      </c>
      <c r="N2985" t="s">
        <v>85</v>
      </c>
      <c r="O2985" t="s">
        <v>86</v>
      </c>
      <c r="P2985" t="s">
        <v>53</v>
      </c>
      <c r="Q2985" t="s">
        <v>54</v>
      </c>
      <c r="R2985" s="1">
        <v>44264.579976851855</v>
      </c>
      <c r="S2985" s="1">
        <v>44264.581145833334</v>
      </c>
      <c r="T2985">
        <v>1</v>
      </c>
      <c r="U2985">
        <v>2</v>
      </c>
      <c r="V2985" s="2">
        <v>0.5</v>
      </c>
      <c r="W2985">
        <v>1</v>
      </c>
      <c r="X2985" t="s">
        <v>54</v>
      </c>
      <c r="Y2985">
        <v>1</v>
      </c>
      <c r="Z2985" t="s">
        <v>44</v>
      </c>
      <c r="AA2985">
        <v>0</v>
      </c>
      <c r="AB2985" t="s">
        <v>31</v>
      </c>
      <c r="AC2985">
        <v>0</v>
      </c>
      <c r="AD2985" t="s">
        <v>31</v>
      </c>
      <c r="AE2985">
        <v>0</v>
      </c>
      <c r="AF2985" t="s">
        <v>31</v>
      </c>
      <c r="AG2985">
        <v>0</v>
      </c>
      <c r="AH2985" t="s">
        <v>31</v>
      </c>
      <c r="AI2985">
        <v>0</v>
      </c>
      <c r="AJ2985" t="s">
        <v>31</v>
      </c>
      <c r="AK2985">
        <v>0</v>
      </c>
      <c r="AL2985" t="s">
        <v>31</v>
      </c>
      <c r="AM2985">
        <v>0</v>
      </c>
      <c r="AN2985" t="s">
        <v>31</v>
      </c>
      <c r="AO2985">
        <v>0</v>
      </c>
      <c r="AP2985" t="s">
        <v>31</v>
      </c>
      <c r="AQ2985">
        <v>0</v>
      </c>
    </row>
    <row r="2986" spans="1:43" x14ac:dyDescent="0.2">
      <c r="A2986" t="s">
        <v>381</v>
      </c>
      <c r="B2986" s="3">
        <v>44265</v>
      </c>
      <c r="C2986">
        <v>32</v>
      </c>
      <c r="D2986" t="s">
        <v>384</v>
      </c>
      <c r="E2986" t="s">
        <v>90</v>
      </c>
      <c r="F2986" s="9" t="s">
        <v>91</v>
      </c>
      <c r="G2986" t="s">
        <v>26</v>
      </c>
      <c r="H2986" t="s">
        <v>85</v>
      </c>
      <c r="I2986" t="s">
        <v>86</v>
      </c>
      <c r="J2986" t="s">
        <v>53</v>
      </c>
      <c r="K2986" t="s">
        <v>54</v>
      </c>
      <c r="L2986" t="s">
        <v>53</v>
      </c>
      <c r="M2986" t="s">
        <v>54</v>
      </c>
      <c r="N2986" t="s">
        <v>85</v>
      </c>
      <c r="O2986" t="s">
        <v>86</v>
      </c>
      <c r="P2986" t="s">
        <v>53</v>
      </c>
      <c r="Q2986" t="s">
        <v>54</v>
      </c>
      <c r="R2986" s="1">
        <v>44265.453923611109</v>
      </c>
      <c r="S2986" s="1">
        <v>44265.453923611109</v>
      </c>
      <c r="T2986">
        <v>0</v>
      </c>
      <c r="U2986">
        <v>1</v>
      </c>
      <c r="V2986" s="2">
        <v>0</v>
      </c>
      <c r="W2986">
        <v>0</v>
      </c>
      <c r="X2986" t="s">
        <v>44</v>
      </c>
      <c r="Y2986">
        <v>0</v>
      </c>
      <c r="Z2986" t="s">
        <v>31</v>
      </c>
      <c r="AA2986">
        <v>0</v>
      </c>
      <c r="AB2986" t="s">
        <v>31</v>
      </c>
      <c r="AC2986">
        <v>0</v>
      </c>
      <c r="AD2986" t="s">
        <v>31</v>
      </c>
      <c r="AE2986">
        <v>0</v>
      </c>
      <c r="AF2986" t="s">
        <v>31</v>
      </c>
      <c r="AG2986">
        <v>0</v>
      </c>
      <c r="AH2986" t="s">
        <v>31</v>
      </c>
      <c r="AI2986">
        <v>0</v>
      </c>
      <c r="AJ2986" t="s">
        <v>31</v>
      </c>
      <c r="AK2986">
        <v>0</v>
      </c>
      <c r="AL2986" t="s">
        <v>31</v>
      </c>
      <c r="AM2986">
        <v>0</v>
      </c>
      <c r="AN2986" t="s">
        <v>31</v>
      </c>
      <c r="AO2986">
        <v>0</v>
      </c>
      <c r="AP2986" t="s">
        <v>31</v>
      </c>
      <c r="AQ2986">
        <v>0</v>
      </c>
    </row>
    <row r="2987" spans="1:43" x14ac:dyDescent="0.2">
      <c r="A2987" t="s">
        <v>381</v>
      </c>
      <c r="B2987" s="3">
        <v>44266</v>
      </c>
      <c r="C2987">
        <v>33</v>
      </c>
      <c r="D2987" t="s">
        <v>385</v>
      </c>
      <c r="E2987" t="s">
        <v>90</v>
      </c>
      <c r="F2987" s="9" t="s">
        <v>91</v>
      </c>
      <c r="G2987" t="s">
        <v>26</v>
      </c>
      <c r="H2987" t="s">
        <v>85</v>
      </c>
      <c r="I2987" t="s">
        <v>86</v>
      </c>
      <c r="J2987" t="s">
        <v>53</v>
      </c>
      <c r="K2987" t="s">
        <v>54</v>
      </c>
      <c r="L2987" t="s">
        <v>53</v>
      </c>
      <c r="M2987" t="s">
        <v>54</v>
      </c>
      <c r="N2987" t="s">
        <v>85</v>
      </c>
      <c r="O2987" t="s">
        <v>86</v>
      </c>
      <c r="P2987" t="s">
        <v>53</v>
      </c>
      <c r="Q2987" t="s">
        <v>54</v>
      </c>
      <c r="R2987" s="1">
        <v>44266.418263888889</v>
      </c>
      <c r="S2987" s="1">
        <v>44266.464212962965</v>
      </c>
      <c r="T2987">
        <v>3</v>
      </c>
      <c r="U2987">
        <v>4</v>
      </c>
      <c r="V2987" s="2">
        <v>0.75</v>
      </c>
      <c r="W2987">
        <v>3</v>
      </c>
      <c r="X2987" t="s">
        <v>54</v>
      </c>
      <c r="Y2987">
        <v>1</v>
      </c>
      <c r="Z2987" t="s">
        <v>54</v>
      </c>
      <c r="AA2987">
        <v>1</v>
      </c>
      <c r="AB2987" t="s">
        <v>44</v>
      </c>
      <c r="AC2987">
        <v>0</v>
      </c>
      <c r="AD2987" t="s">
        <v>54</v>
      </c>
      <c r="AE2987">
        <v>1</v>
      </c>
      <c r="AF2987" t="s">
        <v>31</v>
      </c>
      <c r="AG2987">
        <v>0</v>
      </c>
      <c r="AH2987" t="s">
        <v>31</v>
      </c>
      <c r="AI2987">
        <v>0</v>
      </c>
      <c r="AJ2987" t="s">
        <v>31</v>
      </c>
      <c r="AK2987">
        <v>0</v>
      </c>
      <c r="AL2987" t="s">
        <v>31</v>
      </c>
      <c r="AM2987">
        <v>0</v>
      </c>
      <c r="AN2987" t="s">
        <v>31</v>
      </c>
      <c r="AO2987">
        <v>0</v>
      </c>
      <c r="AP2987" t="s">
        <v>31</v>
      </c>
      <c r="AQ2987">
        <v>0</v>
      </c>
    </row>
    <row r="2988" spans="1:43" x14ac:dyDescent="0.2">
      <c r="A2988" t="s">
        <v>381</v>
      </c>
      <c r="B2988" s="3">
        <v>44266</v>
      </c>
      <c r="C2988">
        <v>34</v>
      </c>
      <c r="D2988" t="s">
        <v>385</v>
      </c>
      <c r="E2988" t="s">
        <v>90</v>
      </c>
      <c r="F2988" s="9" t="s">
        <v>91</v>
      </c>
      <c r="G2988" t="s">
        <v>26</v>
      </c>
      <c r="H2988" t="s">
        <v>85</v>
      </c>
      <c r="I2988" t="s">
        <v>86</v>
      </c>
      <c r="J2988" t="s">
        <v>53</v>
      </c>
      <c r="K2988" t="s">
        <v>54</v>
      </c>
      <c r="L2988" t="s">
        <v>53</v>
      </c>
      <c r="M2988" t="s">
        <v>54</v>
      </c>
      <c r="N2988" t="s">
        <v>85</v>
      </c>
      <c r="O2988" t="s">
        <v>86</v>
      </c>
      <c r="P2988" t="s">
        <v>53</v>
      </c>
      <c r="Q2988" t="s">
        <v>54</v>
      </c>
      <c r="R2988" s="1">
        <v>44266.565243055556</v>
      </c>
      <c r="S2988" s="1">
        <v>44266.628576388888</v>
      </c>
      <c r="T2988">
        <v>2</v>
      </c>
      <c r="U2988">
        <v>7</v>
      </c>
      <c r="V2988" s="2">
        <v>0.28000000000000003</v>
      </c>
      <c r="W2988">
        <v>2</v>
      </c>
      <c r="X2988" t="s">
        <v>44</v>
      </c>
      <c r="Y2988">
        <v>0</v>
      </c>
      <c r="Z2988" t="s">
        <v>54</v>
      </c>
      <c r="AA2988">
        <v>1</v>
      </c>
      <c r="AB2988" t="s">
        <v>44</v>
      </c>
      <c r="AC2988">
        <v>0</v>
      </c>
      <c r="AD2988" t="s">
        <v>54</v>
      </c>
      <c r="AE2988">
        <v>1</v>
      </c>
      <c r="AF2988" t="s">
        <v>44</v>
      </c>
      <c r="AG2988">
        <v>0</v>
      </c>
      <c r="AH2988" t="s">
        <v>44</v>
      </c>
      <c r="AI2988">
        <v>0</v>
      </c>
      <c r="AJ2988" t="s">
        <v>44</v>
      </c>
      <c r="AK2988">
        <v>0</v>
      </c>
      <c r="AL2988" t="s">
        <v>31</v>
      </c>
      <c r="AM2988">
        <v>0</v>
      </c>
      <c r="AN2988" t="s">
        <v>31</v>
      </c>
      <c r="AO2988">
        <v>0</v>
      </c>
      <c r="AP2988" t="s">
        <v>31</v>
      </c>
      <c r="AQ2988">
        <v>0</v>
      </c>
    </row>
    <row r="2989" spans="1:43" x14ac:dyDescent="0.2">
      <c r="A2989" t="s">
        <v>381</v>
      </c>
      <c r="B2989" s="3">
        <v>44270</v>
      </c>
      <c r="C2989">
        <v>35</v>
      </c>
      <c r="D2989" t="s">
        <v>384</v>
      </c>
      <c r="E2989" t="s">
        <v>90</v>
      </c>
      <c r="F2989" s="9" t="s">
        <v>91</v>
      </c>
      <c r="G2989" t="s">
        <v>26</v>
      </c>
      <c r="H2989" t="s">
        <v>85</v>
      </c>
      <c r="I2989" t="s">
        <v>86</v>
      </c>
      <c r="J2989" t="s">
        <v>53</v>
      </c>
      <c r="K2989" t="s">
        <v>54</v>
      </c>
      <c r="L2989" t="s">
        <v>53</v>
      </c>
      <c r="M2989" t="s">
        <v>54</v>
      </c>
      <c r="N2989" t="s">
        <v>85</v>
      </c>
      <c r="O2989" t="s">
        <v>86</v>
      </c>
      <c r="P2989" t="s">
        <v>53</v>
      </c>
      <c r="Q2989" t="s">
        <v>54</v>
      </c>
      <c r="R2989" s="1">
        <v>44270.421342592592</v>
      </c>
      <c r="S2989" s="1">
        <v>44270.421342592592</v>
      </c>
      <c r="T2989">
        <v>0</v>
      </c>
      <c r="U2989">
        <v>1</v>
      </c>
      <c r="V2989" s="2">
        <v>0</v>
      </c>
      <c r="W2989">
        <v>0</v>
      </c>
      <c r="X2989" t="s">
        <v>44</v>
      </c>
      <c r="Y2989">
        <v>0</v>
      </c>
      <c r="Z2989" t="s">
        <v>31</v>
      </c>
      <c r="AA2989">
        <v>0</v>
      </c>
      <c r="AB2989" t="s">
        <v>31</v>
      </c>
      <c r="AC2989">
        <v>0</v>
      </c>
      <c r="AD2989" t="s">
        <v>31</v>
      </c>
      <c r="AE2989">
        <v>0</v>
      </c>
      <c r="AF2989" t="s">
        <v>31</v>
      </c>
      <c r="AG2989">
        <v>0</v>
      </c>
      <c r="AH2989" t="s">
        <v>31</v>
      </c>
      <c r="AI2989">
        <v>0</v>
      </c>
      <c r="AJ2989" t="s">
        <v>31</v>
      </c>
      <c r="AK2989">
        <v>0</v>
      </c>
      <c r="AL2989" t="s">
        <v>31</v>
      </c>
      <c r="AM2989">
        <v>0</v>
      </c>
      <c r="AN2989" t="s">
        <v>31</v>
      </c>
      <c r="AO2989">
        <v>0</v>
      </c>
      <c r="AP2989" t="s">
        <v>31</v>
      </c>
      <c r="AQ2989">
        <v>0</v>
      </c>
    </row>
    <row r="2990" spans="1:43" x14ac:dyDescent="0.2">
      <c r="A2990" t="s">
        <v>381</v>
      </c>
      <c r="B2990" s="3">
        <v>44271</v>
      </c>
      <c r="C2990">
        <v>36</v>
      </c>
      <c r="D2990" t="s">
        <v>385</v>
      </c>
      <c r="E2990" t="s">
        <v>90</v>
      </c>
      <c r="F2990" s="9" t="s">
        <v>91</v>
      </c>
      <c r="G2990" t="s">
        <v>26</v>
      </c>
      <c r="H2990" t="s">
        <v>85</v>
      </c>
      <c r="I2990" t="s">
        <v>86</v>
      </c>
      <c r="J2990" t="s">
        <v>53</v>
      </c>
      <c r="K2990" t="s">
        <v>54</v>
      </c>
      <c r="L2990" t="s">
        <v>53</v>
      </c>
      <c r="M2990" t="s">
        <v>54</v>
      </c>
      <c r="N2990" t="s">
        <v>85</v>
      </c>
      <c r="O2990" t="s">
        <v>86</v>
      </c>
      <c r="P2990" t="s">
        <v>53</v>
      </c>
      <c r="Q2990" t="s">
        <v>54</v>
      </c>
      <c r="R2990" s="1">
        <v>44271.424849537034</v>
      </c>
      <c r="S2990" s="1">
        <v>44271.454432870371</v>
      </c>
      <c r="T2990">
        <v>2</v>
      </c>
      <c r="U2990">
        <v>3</v>
      </c>
      <c r="V2990" s="2">
        <v>0.66</v>
      </c>
      <c r="W2990">
        <v>2</v>
      </c>
      <c r="X2990" t="s">
        <v>54</v>
      </c>
      <c r="Y2990">
        <v>1</v>
      </c>
      <c r="Z2990" t="s">
        <v>44</v>
      </c>
      <c r="AA2990">
        <v>0</v>
      </c>
      <c r="AB2990" t="s">
        <v>54</v>
      </c>
      <c r="AC2990">
        <v>1</v>
      </c>
      <c r="AD2990" t="s">
        <v>31</v>
      </c>
      <c r="AE2990">
        <v>0</v>
      </c>
      <c r="AF2990" t="s">
        <v>31</v>
      </c>
      <c r="AG2990">
        <v>0</v>
      </c>
      <c r="AH2990" t="s">
        <v>31</v>
      </c>
      <c r="AI2990">
        <v>0</v>
      </c>
      <c r="AJ2990" t="s">
        <v>31</v>
      </c>
      <c r="AK2990">
        <v>0</v>
      </c>
      <c r="AL2990" t="s">
        <v>31</v>
      </c>
      <c r="AM2990">
        <v>0</v>
      </c>
      <c r="AN2990" t="s">
        <v>31</v>
      </c>
      <c r="AO2990">
        <v>0</v>
      </c>
      <c r="AP2990" t="s">
        <v>31</v>
      </c>
      <c r="AQ2990">
        <v>0</v>
      </c>
    </row>
    <row r="2991" spans="1:43" x14ac:dyDescent="0.2">
      <c r="A2991" t="s">
        <v>381</v>
      </c>
      <c r="B2991" s="3">
        <v>44271</v>
      </c>
      <c r="C2991">
        <v>37</v>
      </c>
      <c r="D2991" t="s">
        <v>385</v>
      </c>
      <c r="E2991" t="s">
        <v>90</v>
      </c>
      <c r="F2991" s="9" t="s">
        <v>91</v>
      </c>
      <c r="G2991" t="s">
        <v>26</v>
      </c>
      <c r="H2991" t="s">
        <v>85</v>
      </c>
      <c r="I2991" t="s">
        <v>86</v>
      </c>
      <c r="J2991" t="s">
        <v>53</v>
      </c>
      <c r="K2991" t="s">
        <v>54</v>
      </c>
      <c r="L2991" t="s">
        <v>53</v>
      </c>
      <c r="M2991" t="s">
        <v>54</v>
      </c>
      <c r="N2991" t="s">
        <v>85</v>
      </c>
      <c r="O2991" t="s">
        <v>86</v>
      </c>
      <c r="P2991" t="s">
        <v>53</v>
      </c>
      <c r="Q2991" t="s">
        <v>54</v>
      </c>
      <c r="R2991" s="1">
        <v>44271.542766203704</v>
      </c>
      <c r="S2991" s="1">
        <v>44271.594629629632</v>
      </c>
      <c r="T2991">
        <v>1</v>
      </c>
      <c r="U2991">
        <v>5</v>
      </c>
      <c r="V2991" s="2">
        <v>0.2</v>
      </c>
      <c r="W2991">
        <v>1</v>
      </c>
      <c r="X2991" t="s">
        <v>44</v>
      </c>
      <c r="Y2991">
        <v>0</v>
      </c>
      <c r="Z2991" t="s">
        <v>44</v>
      </c>
      <c r="AA2991">
        <v>0</v>
      </c>
      <c r="AB2991" t="s">
        <v>54</v>
      </c>
      <c r="AC2991">
        <v>1</v>
      </c>
      <c r="AD2991" t="s">
        <v>44</v>
      </c>
      <c r="AE2991">
        <v>0</v>
      </c>
      <c r="AF2991" t="s">
        <v>44</v>
      </c>
      <c r="AG2991">
        <v>0</v>
      </c>
      <c r="AH2991" t="s">
        <v>31</v>
      </c>
      <c r="AI2991">
        <v>0</v>
      </c>
      <c r="AJ2991" t="s">
        <v>31</v>
      </c>
      <c r="AK2991">
        <v>0</v>
      </c>
      <c r="AL2991" t="s">
        <v>31</v>
      </c>
      <c r="AM2991">
        <v>0</v>
      </c>
      <c r="AN2991" t="s">
        <v>31</v>
      </c>
      <c r="AO2991">
        <v>0</v>
      </c>
      <c r="AP2991" t="s">
        <v>31</v>
      </c>
      <c r="AQ2991">
        <v>0</v>
      </c>
    </row>
    <row r="2992" spans="1:43" x14ac:dyDescent="0.2">
      <c r="A2992" t="s">
        <v>381</v>
      </c>
      <c r="B2992" s="3">
        <v>44272</v>
      </c>
      <c r="C2992">
        <v>38</v>
      </c>
      <c r="D2992" t="s">
        <v>384</v>
      </c>
      <c r="E2992" t="s">
        <v>90</v>
      </c>
      <c r="F2992" s="9" t="s">
        <v>91</v>
      </c>
      <c r="G2992" t="s">
        <v>26</v>
      </c>
      <c r="H2992" t="s">
        <v>85</v>
      </c>
      <c r="I2992" t="s">
        <v>86</v>
      </c>
      <c r="J2992" t="s">
        <v>53</v>
      </c>
      <c r="K2992" t="s">
        <v>54</v>
      </c>
      <c r="L2992" t="s">
        <v>53</v>
      </c>
      <c r="M2992" t="s">
        <v>54</v>
      </c>
      <c r="N2992" t="s">
        <v>85</v>
      </c>
      <c r="O2992" t="s">
        <v>86</v>
      </c>
      <c r="P2992" t="s">
        <v>53</v>
      </c>
      <c r="Q2992" t="s">
        <v>54</v>
      </c>
      <c r="R2992" s="1">
        <v>44272.458472222221</v>
      </c>
      <c r="S2992" s="1">
        <v>44272.458472222221</v>
      </c>
      <c r="T2992">
        <v>0</v>
      </c>
      <c r="U2992">
        <v>1</v>
      </c>
      <c r="V2992" s="2">
        <v>0</v>
      </c>
      <c r="W2992">
        <v>0</v>
      </c>
      <c r="X2992" t="s">
        <v>44</v>
      </c>
      <c r="Y2992">
        <v>0</v>
      </c>
      <c r="Z2992" t="s">
        <v>31</v>
      </c>
      <c r="AA2992">
        <v>0</v>
      </c>
      <c r="AB2992" t="s">
        <v>31</v>
      </c>
      <c r="AC2992">
        <v>0</v>
      </c>
      <c r="AD2992" t="s">
        <v>31</v>
      </c>
      <c r="AE2992">
        <v>0</v>
      </c>
      <c r="AF2992" t="s">
        <v>31</v>
      </c>
      <c r="AG2992">
        <v>0</v>
      </c>
      <c r="AH2992" t="s">
        <v>31</v>
      </c>
      <c r="AI2992">
        <v>0</v>
      </c>
      <c r="AJ2992" t="s">
        <v>31</v>
      </c>
      <c r="AK2992">
        <v>0</v>
      </c>
      <c r="AL2992" t="s">
        <v>31</v>
      </c>
      <c r="AM2992">
        <v>0</v>
      </c>
      <c r="AN2992" t="s">
        <v>31</v>
      </c>
      <c r="AO2992">
        <v>0</v>
      </c>
      <c r="AP2992" t="s">
        <v>31</v>
      </c>
      <c r="AQ2992">
        <v>0</v>
      </c>
    </row>
    <row r="2993" spans="1:43" x14ac:dyDescent="0.2">
      <c r="A2993" t="s">
        <v>381</v>
      </c>
      <c r="B2993" s="3">
        <v>44273</v>
      </c>
      <c r="C2993">
        <v>39</v>
      </c>
      <c r="D2993" t="s">
        <v>385</v>
      </c>
      <c r="E2993" t="s">
        <v>90</v>
      </c>
      <c r="F2993" s="9" t="s">
        <v>91</v>
      </c>
      <c r="G2993" t="s">
        <v>26</v>
      </c>
      <c r="H2993" t="s">
        <v>85</v>
      </c>
      <c r="I2993" t="s">
        <v>86</v>
      </c>
      <c r="J2993" t="s">
        <v>53</v>
      </c>
      <c r="K2993" t="s">
        <v>54</v>
      </c>
      <c r="L2993" t="s">
        <v>53</v>
      </c>
      <c r="M2993" t="s">
        <v>54</v>
      </c>
      <c r="N2993" t="s">
        <v>85</v>
      </c>
      <c r="O2993" t="s">
        <v>86</v>
      </c>
      <c r="P2993" t="s">
        <v>53</v>
      </c>
      <c r="Q2993" t="s">
        <v>54</v>
      </c>
      <c r="R2993" s="1">
        <v>44273.402905092589</v>
      </c>
      <c r="S2993" s="1">
        <v>44273.416273148148</v>
      </c>
      <c r="T2993">
        <v>1</v>
      </c>
      <c r="U2993">
        <v>3</v>
      </c>
      <c r="V2993" s="2">
        <v>0.33</v>
      </c>
      <c r="W2993">
        <v>1</v>
      </c>
      <c r="X2993" t="s">
        <v>54</v>
      </c>
      <c r="Y2993">
        <v>1</v>
      </c>
      <c r="Z2993" t="s">
        <v>44</v>
      </c>
      <c r="AA2993">
        <v>0</v>
      </c>
      <c r="AB2993" t="s">
        <v>44</v>
      </c>
      <c r="AC2993">
        <v>0</v>
      </c>
      <c r="AD2993" t="s">
        <v>31</v>
      </c>
      <c r="AE2993">
        <v>0</v>
      </c>
      <c r="AF2993" t="s">
        <v>31</v>
      </c>
      <c r="AG2993">
        <v>0</v>
      </c>
      <c r="AH2993" t="s">
        <v>31</v>
      </c>
      <c r="AI2993">
        <v>0</v>
      </c>
      <c r="AJ2993" t="s">
        <v>31</v>
      </c>
      <c r="AK2993">
        <v>0</v>
      </c>
      <c r="AL2993" t="s">
        <v>31</v>
      </c>
      <c r="AM2993">
        <v>0</v>
      </c>
      <c r="AN2993" t="s">
        <v>31</v>
      </c>
      <c r="AO2993">
        <v>0</v>
      </c>
      <c r="AP2993" t="s">
        <v>31</v>
      </c>
      <c r="AQ2993">
        <v>0</v>
      </c>
    </row>
    <row r="2994" spans="1:43" x14ac:dyDescent="0.2">
      <c r="A2994" t="s">
        <v>381</v>
      </c>
      <c r="B2994" s="3">
        <v>44273</v>
      </c>
      <c r="C2994">
        <v>40</v>
      </c>
      <c r="D2994" t="s">
        <v>385</v>
      </c>
      <c r="E2994" t="s">
        <v>90</v>
      </c>
      <c r="F2994" s="9" t="s">
        <v>91</v>
      </c>
      <c r="G2994" t="s">
        <v>26</v>
      </c>
      <c r="H2994" t="s">
        <v>85</v>
      </c>
      <c r="I2994" t="s">
        <v>86</v>
      </c>
      <c r="J2994" t="s">
        <v>53</v>
      </c>
      <c r="K2994" t="s">
        <v>54</v>
      </c>
      <c r="L2994" t="s">
        <v>53</v>
      </c>
      <c r="M2994" t="s">
        <v>54</v>
      </c>
      <c r="N2994" t="s">
        <v>85</v>
      </c>
      <c r="O2994" t="s">
        <v>86</v>
      </c>
      <c r="P2994" t="s">
        <v>53</v>
      </c>
      <c r="Q2994" t="s">
        <v>54</v>
      </c>
      <c r="R2994" s="1">
        <v>44273.545578703706</v>
      </c>
      <c r="S2994" s="1">
        <v>44273.645462962966</v>
      </c>
      <c r="T2994">
        <v>2</v>
      </c>
      <c r="U2994">
        <v>6</v>
      </c>
      <c r="V2994" s="2">
        <v>0.33</v>
      </c>
      <c r="W2994">
        <v>2</v>
      </c>
      <c r="X2994" t="s">
        <v>44</v>
      </c>
      <c r="Y2994">
        <v>0</v>
      </c>
      <c r="Z2994" t="s">
        <v>44</v>
      </c>
      <c r="AA2994">
        <v>0</v>
      </c>
      <c r="AB2994" t="s">
        <v>44</v>
      </c>
      <c r="AC2994">
        <v>0</v>
      </c>
      <c r="AD2994" t="s">
        <v>54</v>
      </c>
      <c r="AE2994">
        <v>1</v>
      </c>
      <c r="AF2994" t="s">
        <v>44</v>
      </c>
      <c r="AG2994">
        <v>0</v>
      </c>
      <c r="AH2994" t="s">
        <v>54</v>
      </c>
      <c r="AI2994">
        <v>1</v>
      </c>
      <c r="AJ2994" t="s">
        <v>31</v>
      </c>
      <c r="AK2994">
        <v>0</v>
      </c>
      <c r="AL2994" t="s">
        <v>31</v>
      </c>
      <c r="AM2994">
        <v>0</v>
      </c>
      <c r="AN2994" t="s">
        <v>31</v>
      </c>
      <c r="AO2994">
        <v>0</v>
      </c>
      <c r="AP2994" t="s">
        <v>31</v>
      </c>
      <c r="AQ2994">
        <v>0</v>
      </c>
    </row>
    <row r="2995" spans="1:43" x14ac:dyDescent="0.2">
      <c r="A2995" t="s">
        <v>381</v>
      </c>
      <c r="B2995" s="3">
        <v>44279</v>
      </c>
      <c r="C2995">
        <v>41</v>
      </c>
      <c r="D2995" t="s">
        <v>384</v>
      </c>
      <c r="E2995" t="s">
        <v>90</v>
      </c>
      <c r="F2995" s="9" t="s">
        <v>91</v>
      </c>
      <c r="G2995" t="s">
        <v>26</v>
      </c>
      <c r="H2995" t="s">
        <v>85</v>
      </c>
      <c r="I2995" t="s">
        <v>86</v>
      </c>
      <c r="J2995" t="s">
        <v>53</v>
      </c>
      <c r="K2995" t="s">
        <v>54</v>
      </c>
      <c r="L2995" t="s">
        <v>53</v>
      </c>
      <c r="M2995" t="s">
        <v>54</v>
      </c>
      <c r="N2995" t="s">
        <v>85</v>
      </c>
      <c r="O2995" t="s">
        <v>86</v>
      </c>
      <c r="P2995" t="s">
        <v>53</v>
      </c>
      <c r="Q2995" t="s">
        <v>54</v>
      </c>
      <c r="R2995" s="1">
        <v>44279.39403935185</v>
      </c>
      <c r="S2995" s="1">
        <v>44279.39403935185</v>
      </c>
      <c r="T2995">
        <v>1</v>
      </c>
      <c r="U2995">
        <v>1</v>
      </c>
      <c r="V2995" s="2">
        <v>1</v>
      </c>
      <c r="W2995">
        <v>1</v>
      </c>
      <c r="X2995" t="s">
        <v>54</v>
      </c>
      <c r="Y2995">
        <v>1</v>
      </c>
      <c r="Z2995" t="s">
        <v>31</v>
      </c>
      <c r="AA2995">
        <v>0</v>
      </c>
      <c r="AB2995" t="s">
        <v>31</v>
      </c>
      <c r="AC2995">
        <v>0</v>
      </c>
      <c r="AD2995" t="s">
        <v>31</v>
      </c>
      <c r="AE2995">
        <v>0</v>
      </c>
      <c r="AF2995" t="s">
        <v>31</v>
      </c>
      <c r="AG2995">
        <v>0</v>
      </c>
      <c r="AH2995" t="s">
        <v>31</v>
      </c>
      <c r="AI2995">
        <v>0</v>
      </c>
      <c r="AJ2995" t="s">
        <v>31</v>
      </c>
      <c r="AK2995">
        <v>0</v>
      </c>
      <c r="AL2995" t="s">
        <v>31</v>
      </c>
      <c r="AM2995">
        <v>0</v>
      </c>
      <c r="AN2995" t="s">
        <v>31</v>
      </c>
      <c r="AO2995">
        <v>0</v>
      </c>
      <c r="AP2995" t="s">
        <v>31</v>
      </c>
      <c r="AQ2995">
        <v>0</v>
      </c>
    </row>
    <row r="2996" spans="1:43" x14ac:dyDescent="0.2">
      <c r="A2996" t="s">
        <v>381</v>
      </c>
      <c r="B2996" s="3">
        <v>44284</v>
      </c>
      <c r="C2996">
        <v>43</v>
      </c>
      <c r="D2996" t="s">
        <v>384</v>
      </c>
      <c r="E2996" t="s">
        <v>90</v>
      </c>
      <c r="F2996" s="9" t="s">
        <v>91</v>
      </c>
      <c r="G2996" t="s">
        <v>26</v>
      </c>
      <c r="H2996" t="s">
        <v>85</v>
      </c>
      <c r="I2996" t="s">
        <v>86</v>
      </c>
      <c r="J2996" t="s">
        <v>53</v>
      </c>
      <c r="K2996" t="s">
        <v>54</v>
      </c>
      <c r="L2996" t="s">
        <v>53</v>
      </c>
      <c r="M2996" t="s">
        <v>54</v>
      </c>
      <c r="N2996" t="s">
        <v>85</v>
      </c>
      <c r="O2996" t="s">
        <v>86</v>
      </c>
      <c r="P2996" t="s">
        <v>53</v>
      </c>
      <c r="Q2996" t="s">
        <v>54</v>
      </c>
      <c r="R2996" s="1">
        <v>44284.437534722223</v>
      </c>
      <c r="S2996" s="1">
        <v>44284.437534722223</v>
      </c>
      <c r="T2996">
        <v>0</v>
      </c>
      <c r="U2996">
        <v>1</v>
      </c>
      <c r="V2996" s="2">
        <v>0</v>
      </c>
      <c r="W2996">
        <v>0</v>
      </c>
      <c r="X2996" t="s">
        <v>44</v>
      </c>
      <c r="Y2996">
        <v>0</v>
      </c>
      <c r="Z2996" t="s">
        <v>31</v>
      </c>
      <c r="AA2996">
        <v>0</v>
      </c>
      <c r="AB2996" t="s">
        <v>31</v>
      </c>
      <c r="AC2996">
        <v>0</v>
      </c>
      <c r="AD2996" t="s">
        <v>31</v>
      </c>
      <c r="AE2996">
        <v>0</v>
      </c>
      <c r="AF2996" t="s">
        <v>31</v>
      </c>
      <c r="AG2996">
        <v>0</v>
      </c>
      <c r="AH2996" t="s">
        <v>31</v>
      </c>
      <c r="AI2996">
        <v>0</v>
      </c>
      <c r="AJ2996" t="s">
        <v>31</v>
      </c>
      <c r="AK2996">
        <v>0</v>
      </c>
      <c r="AL2996" t="s">
        <v>31</v>
      </c>
      <c r="AM2996">
        <v>0</v>
      </c>
      <c r="AN2996" t="s">
        <v>31</v>
      </c>
      <c r="AO2996">
        <v>0</v>
      </c>
      <c r="AP2996" t="s">
        <v>31</v>
      </c>
      <c r="AQ2996">
        <v>0</v>
      </c>
    </row>
    <row r="2997" spans="1:43" x14ac:dyDescent="0.2">
      <c r="A2997" t="s">
        <v>381</v>
      </c>
      <c r="B2997" s="3">
        <v>44285</v>
      </c>
      <c r="C2997">
        <v>44</v>
      </c>
      <c r="D2997" t="s">
        <v>385</v>
      </c>
      <c r="E2997" t="s">
        <v>90</v>
      </c>
      <c r="F2997" s="9" t="s">
        <v>91</v>
      </c>
      <c r="G2997" t="s">
        <v>26</v>
      </c>
      <c r="H2997" t="s">
        <v>85</v>
      </c>
      <c r="I2997" t="s">
        <v>86</v>
      </c>
      <c r="J2997" t="s">
        <v>53</v>
      </c>
      <c r="K2997" t="s">
        <v>54</v>
      </c>
      <c r="L2997" t="s">
        <v>53</v>
      </c>
      <c r="M2997" t="s">
        <v>54</v>
      </c>
      <c r="N2997" t="s">
        <v>85</v>
      </c>
      <c r="O2997" t="s">
        <v>86</v>
      </c>
      <c r="P2997" t="s">
        <v>53</v>
      </c>
      <c r="Q2997" t="s">
        <v>54</v>
      </c>
      <c r="R2997" s="1">
        <v>44285.380486111113</v>
      </c>
      <c r="S2997" s="1">
        <v>44285.407268518517</v>
      </c>
      <c r="T2997">
        <v>0</v>
      </c>
      <c r="U2997">
        <v>4</v>
      </c>
      <c r="V2997" s="2">
        <v>0</v>
      </c>
      <c r="W2997">
        <v>0</v>
      </c>
      <c r="X2997" t="s">
        <v>44</v>
      </c>
      <c r="Y2997">
        <v>0</v>
      </c>
      <c r="Z2997" t="s">
        <v>44</v>
      </c>
      <c r="AA2997">
        <v>0</v>
      </c>
      <c r="AB2997" t="s">
        <v>44</v>
      </c>
      <c r="AC2997">
        <v>0</v>
      </c>
      <c r="AD2997" t="s">
        <v>44</v>
      </c>
      <c r="AE2997">
        <v>0</v>
      </c>
      <c r="AF2997" t="s">
        <v>31</v>
      </c>
      <c r="AG2997">
        <v>0</v>
      </c>
      <c r="AH2997" t="s">
        <v>31</v>
      </c>
      <c r="AI2997">
        <v>0</v>
      </c>
      <c r="AJ2997" t="s">
        <v>31</v>
      </c>
      <c r="AK2997">
        <v>0</v>
      </c>
      <c r="AL2997" t="s">
        <v>31</v>
      </c>
      <c r="AM2997">
        <v>0</v>
      </c>
      <c r="AN2997" t="s">
        <v>31</v>
      </c>
      <c r="AO2997">
        <v>0</v>
      </c>
      <c r="AP2997" t="s">
        <v>31</v>
      </c>
      <c r="AQ2997">
        <v>0</v>
      </c>
    </row>
    <row r="2998" spans="1:43" x14ac:dyDescent="0.2">
      <c r="A2998" t="s">
        <v>381</v>
      </c>
      <c r="B2998" s="3">
        <v>44285</v>
      </c>
      <c r="C2998">
        <v>45</v>
      </c>
      <c r="D2998" t="s">
        <v>385</v>
      </c>
      <c r="E2998" t="s">
        <v>90</v>
      </c>
      <c r="F2998" s="9" t="s">
        <v>91</v>
      </c>
      <c r="G2998" t="s">
        <v>26</v>
      </c>
      <c r="H2998" t="s">
        <v>85</v>
      </c>
      <c r="I2998" t="s">
        <v>86</v>
      </c>
      <c r="J2998" t="s">
        <v>53</v>
      </c>
      <c r="K2998" t="s">
        <v>54</v>
      </c>
      <c r="L2998" t="s">
        <v>53</v>
      </c>
      <c r="M2998" t="s">
        <v>54</v>
      </c>
      <c r="N2998" t="s">
        <v>85</v>
      </c>
      <c r="O2998" t="s">
        <v>86</v>
      </c>
      <c r="P2998" t="s">
        <v>53</v>
      </c>
      <c r="Q2998" t="s">
        <v>54</v>
      </c>
      <c r="R2998" s="1">
        <v>44285.571296296293</v>
      </c>
      <c r="S2998" s="1">
        <v>44285.659722222219</v>
      </c>
      <c r="T2998">
        <v>1</v>
      </c>
      <c r="U2998">
        <v>4</v>
      </c>
      <c r="V2998" s="2">
        <v>0.25</v>
      </c>
      <c r="W2998">
        <v>1</v>
      </c>
      <c r="X2998" t="s">
        <v>44</v>
      </c>
      <c r="Y2998">
        <v>0</v>
      </c>
      <c r="Z2998" t="s">
        <v>54</v>
      </c>
      <c r="AA2998">
        <v>1</v>
      </c>
      <c r="AB2998" t="s">
        <v>44</v>
      </c>
      <c r="AC2998">
        <v>0</v>
      </c>
      <c r="AD2998" t="s">
        <v>44</v>
      </c>
      <c r="AE2998">
        <v>0</v>
      </c>
      <c r="AF2998" t="s">
        <v>31</v>
      </c>
      <c r="AG2998">
        <v>0</v>
      </c>
      <c r="AH2998" t="s">
        <v>31</v>
      </c>
      <c r="AI2998">
        <v>0</v>
      </c>
      <c r="AJ2998" t="s">
        <v>31</v>
      </c>
      <c r="AK2998">
        <v>0</v>
      </c>
      <c r="AL2998" t="s">
        <v>31</v>
      </c>
      <c r="AM2998">
        <v>0</v>
      </c>
      <c r="AN2998" t="s">
        <v>31</v>
      </c>
      <c r="AO2998">
        <v>0</v>
      </c>
      <c r="AP2998" t="s">
        <v>31</v>
      </c>
      <c r="AQ2998">
        <v>0</v>
      </c>
    </row>
    <row r="2999" spans="1:43" x14ac:dyDescent="0.2">
      <c r="A2999" t="s">
        <v>381</v>
      </c>
      <c r="B2999" s="3">
        <v>44287</v>
      </c>
      <c r="C2999">
        <v>47</v>
      </c>
      <c r="D2999" t="s">
        <v>385</v>
      </c>
      <c r="E2999" t="s">
        <v>90</v>
      </c>
      <c r="F2999" s="9" t="s">
        <v>91</v>
      </c>
      <c r="G2999" t="s">
        <v>26</v>
      </c>
      <c r="H2999" t="s">
        <v>85</v>
      </c>
      <c r="I2999" t="s">
        <v>86</v>
      </c>
      <c r="J2999" t="s">
        <v>53</v>
      </c>
      <c r="K2999" t="s">
        <v>54</v>
      </c>
      <c r="L2999" t="s">
        <v>53</v>
      </c>
      <c r="M2999" t="s">
        <v>54</v>
      </c>
      <c r="N2999" t="s">
        <v>85</v>
      </c>
      <c r="O2999" t="s">
        <v>86</v>
      </c>
      <c r="P2999" t="s">
        <v>53</v>
      </c>
      <c r="Q2999" t="s">
        <v>54</v>
      </c>
      <c r="R2999" s="1">
        <v>44287.440023148149</v>
      </c>
      <c r="S2999" s="1">
        <v>44287.456817129627</v>
      </c>
      <c r="T2999">
        <v>0</v>
      </c>
      <c r="U2999">
        <v>5</v>
      </c>
      <c r="V2999" s="2">
        <v>0</v>
      </c>
      <c r="W2999">
        <v>0</v>
      </c>
      <c r="X2999" t="s">
        <v>44</v>
      </c>
      <c r="Y2999">
        <v>0</v>
      </c>
      <c r="Z2999" t="s">
        <v>44</v>
      </c>
      <c r="AA2999">
        <v>0</v>
      </c>
      <c r="AB2999" t="s">
        <v>44</v>
      </c>
      <c r="AC2999">
        <v>0</v>
      </c>
      <c r="AD2999" t="s">
        <v>44</v>
      </c>
      <c r="AE2999">
        <v>0</v>
      </c>
      <c r="AF2999" t="s">
        <v>44</v>
      </c>
      <c r="AG2999">
        <v>0</v>
      </c>
      <c r="AH2999" t="s">
        <v>31</v>
      </c>
      <c r="AI2999">
        <v>0</v>
      </c>
      <c r="AJ2999" t="s">
        <v>31</v>
      </c>
      <c r="AK2999">
        <v>0</v>
      </c>
      <c r="AL2999" t="s">
        <v>31</v>
      </c>
      <c r="AM2999">
        <v>0</v>
      </c>
      <c r="AN2999" t="s">
        <v>31</v>
      </c>
      <c r="AO2999">
        <v>0</v>
      </c>
      <c r="AP2999" t="s">
        <v>31</v>
      </c>
      <c r="AQ2999">
        <v>0</v>
      </c>
    </row>
    <row r="3000" spans="1:43" x14ac:dyDescent="0.2">
      <c r="A3000" t="s">
        <v>381</v>
      </c>
      <c r="B3000" s="3">
        <v>44287</v>
      </c>
      <c r="C3000">
        <v>48</v>
      </c>
      <c r="D3000" t="s">
        <v>385</v>
      </c>
      <c r="E3000" t="s">
        <v>90</v>
      </c>
      <c r="F3000" s="9" t="s">
        <v>91</v>
      </c>
      <c r="G3000" t="s">
        <v>26</v>
      </c>
      <c r="H3000" t="s">
        <v>85</v>
      </c>
      <c r="I3000" t="s">
        <v>86</v>
      </c>
      <c r="J3000" t="s">
        <v>53</v>
      </c>
      <c r="K3000" t="s">
        <v>54</v>
      </c>
      <c r="L3000" t="s">
        <v>53</v>
      </c>
      <c r="M3000" t="s">
        <v>54</v>
      </c>
      <c r="N3000" t="s">
        <v>85</v>
      </c>
      <c r="O3000" t="s">
        <v>86</v>
      </c>
      <c r="P3000" t="s">
        <v>53</v>
      </c>
      <c r="Q3000" t="s">
        <v>54</v>
      </c>
      <c r="R3000" s="1">
        <v>44287.539236111108</v>
      </c>
      <c r="S3000" s="1">
        <v>44287.539247685185</v>
      </c>
      <c r="T3000">
        <v>0</v>
      </c>
      <c r="U3000">
        <v>3</v>
      </c>
      <c r="V3000" s="2">
        <v>0</v>
      </c>
      <c r="W3000">
        <v>0</v>
      </c>
      <c r="X3000" t="s">
        <v>44</v>
      </c>
      <c r="Y3000">
        <v>0</v>
      </c>
      <c r="Z3000" t="s">
        <v>44</v>
      </c>
      <c r="AA3000">
        <v>0</v>
      </c>
      <c r="AB3000" t="s">
        <v>44</v>
      </c>
      <c r="AC3000">
        <v>0</v>
      </c>
      <c r="AD3000" t="s">
        <v>31</v>
      </c>
      <c r="AE3000">
        <v>0</v>
      </c>
      <c r="AF3000" t="s">
        <v>31</v>
      </c>
      <c r="AG3000">
        <v>0</v>
      </c>
      <c r="AH3000" t="s">
        <v>31</v>
      </c>
      <c r="AI3000">
        <v>0</v>
      </c>
      <c r="AJ3000" t="s">
        <v>31</v>
      </c>
      <c r="AK3000">
        <v>0</v>
      </c>
      <c r="AL3000" t="s">
        <v>31</v>
      </c>
      <c r="AM3000">
        <v>0</v>
      </c>
      <c r="AN3000" t="s">
        <v>31</v>
      </c>
      <c r="AO3000">
        <v>0</v>
      </c>
      <c r="AP3000" t="s">
        <v>31</v>
      </c>
      <c r="AQ3000">
        <v>0</v>
      </c>
    </row>
    <row r="3001" spans="1:43" x14ac:dyDescent="0.2">
      <c r="A3001" t="s">
        <v>381</v>
      </c>
      <c r="B3001" s="3">
        <v>44288</v>
      </c>
      <c r="C3001">
        <v>49</v>
      </c>
      <c r="D3001" t="s">
        <v>384</v>
      </c>
      <c r="E3001" t="s">
        <v>90</v>
      </c>
      <c r="F3001" s="9" t="s">
        <v>91</v>
      </c>
      <c r="G3001" t="s">
        <v>26</v>
      </c>
      <c r="H3001" t="s">
        <v>85</v>
      </c>
      <c r="I3001" t="s">
        <v>86</v>
      </c>
      <c r="J3001" t="s">
        <v>53</v>
      </c>
      <c r="K3001" t="s">
        <v>54</v>
      </c>
      <c r="L3001" t="s">
        <v>53</v>
      </c>
      <c r="M3001" t="s">
        <v>54</v>
      </c>
      <c r="N3001" t="s">
        <v>85</v>
      </c>
      <c r="O3001" t="s">
        <v>86</v>
      </c>
      <c r="P3001" t="s">
        <v>53</v>
      </c>
      <c r="Q3001" t="s">
        <v>54</v>
      </c>
      <c r="R3001" s="1">
        <v>44288.43068287037</v>
      </c>
      <c r="S3001" s="1">
        <v>44288.43068287037</v>
      </c>
      <c r="T3001">
        <v>0</v>
      </c>
      <c r="U3001">
        <v>1</v>
      </c>
      <c r="V3001" s="2">
        <v>0</v>
      </c>
      <c r="W3001">
        <v>0</v>
      </c>
      <c r="X3001" t="s">
        <v>44</v>
      </c>
      <c r="Y3001">
        <v>0</v>
      </c>
      <c r="Z3001" t="s">
        <v>31</v>
      </c>
      <c r="AA3001">
        <v>0</v>
      </c>
      <c r="AB3001" t="s">
        <v>31</v>
      </c>
      <c r="AC3001">
        <v>0</v>
      </c>
      <c r="AD3001" t="s">
        <v>31</v>
      </c>
      <c r="AE3001">
        <v>0</v>
      </c>
      <c r="AF3001" t="s">
        <v>31</v>
      </c>
      <c r="AG3001">
        <v>0</v>
      </c>
      <c r="AH3001" t="s">
        <v>31</v>
      </c>
      <c r="AI3001">
        <v>0</v>
      </c>
      <c r="AJ3001" t="s">
        <v>31</v>
      </c>
      <c r="AK3001">
        <v>0</v>
      </c>
      <c r="AL3001" t="s">
        <v>31</v>
      </c>
      <c r="AM3001">
        <v>0</v>
      </c>
      <c r="AN3001" t="s">
        <v>31</v>
      </c>
      <c r="AO3001">
        <v>0</v>
      </c>
      <c r="AP3001" t="s">
        <v>31</v>
      </c>
      <c r="AQ3001">
        <v>0</v>
      </c>
    </row>
    <row r="3002" spans="1:43" x14ac:dyDescent="0.2">
      <c r="A3002" t="s">
        <v>381</v>
      </c>
      <c r="B3002" s="3">
        <v>44291</v>
      </c>
      <c r="C3002">
        <v>50</v>
      </c>
      <c r="D3002" t="s">
        <v>384</v>
      </c>
      <c r="E3002" t="s">
        <v>90</v>
      </c>
      <c r="F3002" s="9" t="s">
        <v>91</v>
      </c>
      <c r="G3002" t="s">
        <v>26</v>
      </c>
      <c r="H3002" t="s">
        <v>85</v>
      </c>
      <c r="I3002" t="s">
        <v>86</v>
      </c>
      <c r="J3002" t="s">
        <v>53</v>
      </c>
      <c r="K3002" t="s">
        <v>54</v>
      </c>
      <c r="L3002" t="s">
        <v>53</v>
      </c>
      <c r="M3002" t="s">
        <v>54</v>
      </c>
      <c r="N3002" t="s">
        <v>85</v>
      </c>
      <c r="O3002" t="s">
        <v>86</v>
      </c>
      <c r="P3002" t="s">
        <v>53</v>
      </c>
      <c r="Q3002" t="s">
        <v>54</v>
      </c>
      <c r="R3002" s="1">
        <v>44291.466238425928</v>
      </c>
      <c r="S3002" s="1">
        <v>44291.466238425928</v>
      </c>
      <c r="T3002">
        <v>0</v>
      </c>
      <c r="U3002">
        <v>1</v>
      </c>
      <c r="V3002" s="2">
        <v>0</v>
      </c>
      <c r="W3002">
        <v>0</v>
      </c>
      <c r="X3002" t="s">
        <v>44</v>
      </c>
      <c r="Y3002">
        <v>0</v>
      </c>
      <c r="Z3002" t="s">
        <v>31</v>
      </c>
      <c r="AA3002">
        <v>0</v>
      </c>
      <c r="AB3002" t="s">
        <v>31</v>
      </c>
      <c r="AC3002">
        <v>0</v>
      </c>
      <c r="AD3002" t="s">
        <v>31</v>
      </c>
      <c r="AE3002">
        <v>0</v>
      </c>
      <c r="AF3002" t="s">
        <v>31</v>
      </c>
      <c r="AG3002">
        <v>0</v>
      </c>
      <c r="AH3002" t="s">
        <v>31</v>
      </c>
      <c r="AI3002">
        <v>0</v>
      </c>
      <c r="AJ3002" t="s">
        <v>31</v>
      </c>
      <c r="AK3002">
        <v>0</v>
      </c>
      <c r="AL3002" t="s">
        <v>31</v>
      </c>
      <c r="AM3002">
        <v>0</v>
      </c>
      <c r="AN3002" t="s">
        <v>31</v>
      </c>
      <c r="AO3002">
        <v>0</v>
      </c>
      <c r="AP3002" t="s">
        <v>31</v>
      </c>
      <c r="AQ3002">
        <v>0</v>
      </c>
    </row>
    <row r="3003" spans="1:43" x14ac:dyDescent="0.2">
      <c r="A3003" t="s">
        <v>381</v>
      </c>
      <c r="B3003" s="3">
        <v>44292</v>
      </c>
      <c r="C3003">
        <v>51</v>
      </c>
      <c r="D3003" t="s">
        <v>385</v>
      </c>
      <c r="E3003" t="s">
        <v>90</v>
      </c>
      <c r="F3003" s="9" t="s">
        <v>91</v>
      </c>
      <c r="G3003" t="s">
        <v>26</v>
      </c>
      <c r="H3003" t="s">
        <v>85</v>
      </c>
      <c r="I3003" t="s">
        <v>86</v>
      </c>
      <c r="J3003" t="s">
        <v>53</v>
      </c>
      <c r="K3003" t="s">
        <v>54</v>
      </c>
      <c r="L3003" t="s">
        <v>53</v>
      </c>
      <c r="M3003" t="s">
        <v>54</v>
      </c>
      <c r="N3003" t="s">
        <v>85</v>
      </c>
      <c r="O3003" t="s">
        <v>86</v>
      </c>
      <c r="P3003" t="s">
        <v>53</v>
      </c>
      <c r="Q3003" t="s">
        <v>54</v>
      </c>
      <c r="R3003" s="1">
        <v>44292.410729166666</v>
      </c>
      <c r="S3003" s="1">
        <v>44292.468136574076</v>
      </c>
      <c r="T3003">
        <v>0</v>
      </c>
      <c r="U3003">
        <v>4</v>
      </c>
      <c r="V3003" s="2">
        <v>0</v>
      </c>
      <c r="W3003">
        <v>0</v>
      </c>
      <c r="X3003" t="s">
        <v>44</v>
      </c>
      <c r="Y3003">
        <v>0</v>
      </c>
      <c r="Z3003" t="s">
        <v>44</v>
      </c>
      <c r="AA3003">
        <v>0</v>
      </c>
      <c r="AB3003" t="s">
        <v>44</v>
      </c>
      <c r="AC3003">
        <v>0</v>
      </c>
      <c r="AD3003" t="s">
        <v>44</v>
      </c>
      <c r="AE3003">
        <v>0</v>
      </c>
      <c r="AF3003" t="s">
        <v>31</v>
      </c>
      <c r="AG3003">
        <v>0</v>
      </c>
      <c r="AH3003" t="s">
        <v>31</v>
      </c>
      <c r="AI3003">
        <v>0</v>
      </c>
      <c r="AJ3003" t="s">
        <v>31</v>
      </c>
      <c r="AK3003">
        <v>0</v>
      </c>
      <c r="AL3003" t="s">
        <v>31</v>
      </c>
      <c r="AM3003">
        <v>0</v>
      </c>
      <c r="AN3003" t="s">
        <v>31</v>
      </c>
      <c r="AO3003">
        <v>0</v>
      </c>
      <c r="AP3003" t="s">
        <v>31</v>
      </c>
      <c r="AQ3003">
        <v>0</v>
      </c>
    </row>
    <row r="3004" spans="1:43" x14ac:dyDescent="0.2">
      <c r="A3004" t="s">
        <v>381</v>
      </c>
      <c r="B3004" s="3">
        <v>44292</v>
      </c>
      <c r="C3004">
        <v>52</v>
      </c>
      <c r="D3004" t="s">
        <v>386</v>
      </c>
      <c r="E3004" t="s">
        <v>90</v>
      </c>
      <c r="F3004" s="9" t="s">
        <v>91</v>
      </c>
      <c r="G3004" t="s">
        <v>26</v>
      </c>
      <c r="H3004" t="s">
        <v>85</v>
      </c>
      <c r="I3004" t="s">
        <v>86</v>
      </c>
      <c r="J3004" t="s">
        <v>53</v>
      </c>
      <c r="K3004" t="s">
        <v>54</v>
      </c>
      <c r="L3004" t="s">
        <v>53</v>
      </c>
      <c r="M3004" t="s">
        <v>54</v>
      </c>
      <c r="N3004" t="s">
        <v>85</v>
      </c>
      <c r="O3004" t="s">
        <v>86</v>
      </c>
      <c r="P3004" t="s">
        <v>53</v>
      </c>
      <c r="Q3004" t="s">
        <v>54</v>
      </c>
      <c r="R3004" s="1">
        <v>44292.544965277775</v>
      </c>
      <c r="S3004" s="1">
        <v>44292.544965277775</v>
      </c>
      <c r="T3004">
        <v>0</v>
      </c>
      <c r="U3004">
        <v>1</v>
      </c>
      <c r="V3004" s="2">
        <v>0</v>
      </c>
      <c r="W3004">
        <v>0</v>
      </c>
      <c r="X3004" t="s">
        <v>44</v>
      </c>
      <c r="Y3004">
        <v>0</v>
      </c>
      <c r="Z3004" t="s">
        <v>31</v>
      </c>
      <c r="AA3004">
        <v>0</v>
      </c>
      <c r="AB3004" t="s">
        <v>31</v>
      </c>
      <c r="AC3004">
        <v>0</v>
      </c>
      <c r="AD3004" t="s">
        <v>31</v>
      </c>
      <c r="AE3004">
        <v>0</v>
      </c>
      <c r="AF3004" t="s">
        <v>31</v>
      </c>
      <c r="AG3004">
        <v>0</v>
      </c>
      <c r="AH3004" t="s">
        <v>31</v>
      </c>
      <c r="AI3004">
        <v>0</v>
      </c>
      <c r="AJ3004" t="s">
        <v>31</v>
      </c>
      <c r="AK3004">
        <v>0</v>
      </c>
      <c r="AL3004" t="s">
        <v>31</v>
      </c>
      <c r="AM3004">
        <v>0</v>
      </c>
      <c r="AN3004" t="s">
        <v>31</v>
      </c>
      <c r="AO3004">
        <v>0</v>
      </c>
      <c r="AP3004" t="s">
        <v>31</v>
      </c>
      <c r="AQ3004">
        <v>0</v>
      </c>
    </row>
    <row r="3005" spans="1:43" x14ac:dyDescent="0.2">
      <c r="A3005" t="s">
        <v>381</v>
      </c>
      <c r="B3005" s="3">
        <v>44293</v>
      </c>
      <c r="C3005">
        <v>53</v>
      </c>
      <c r="D3005" t="s">
        <v>384</v>
      </c>
      <c r="E3005" t="s">
        <v>90</v>
      </c>
      <c r="F3005" s="9" t="s">
        <v>91</v>
      </c>
      <c r="G3005" t="s">
        <v>26</v>
      </c>
      <c r="H3005" t="s">
        <v>85</v>
      </c>
      <c r="I3005" t="s">
        <v>86</v>
      </c>
      <c r="J3005" t="s">
        <v>53</v>
      </c>
      <c r="K3005" t="s">
        <v>54</v>
      </c>
      <c r="L3005" t="s">
        <v>53</v>
      </c>
      <c r="M3005" t="s">
        <v>54</v>
      </c>
      <c r="N3005" t="s">
        <v>85</v>
      </c>
      <c r="O3005" t="s">
        <v>86</v>
      </c>
      <c r="P3005" t="s">
        <v>53</v>
      </c>
      <c r="Q3005" t="s">
        <v>54</v>
      </c>
      <c r="R3005" s="1">
        <v>44293.449791666666</v>
      </c>
      <c r="S3005" s="1">
        <v>44293.449791666666</v>
      </c>
      <c r="T3005">
        <v>1</v>
      </c>
      <c r="U3005">
        <v>1</v>
      </c>
      <c r="V3005" s="2">
        <v>1</v>
      </c>
      <c r="W3005">
        <v>1</v>
      </c>
      <c r="X3005" t="s">
        <v>54</v>
      </c>
      <c r="Y3005">
        <v>1</v>
      </c>
      <c r="Z3005" t="s">
        <v>31</v>
      </c>
      <c r="AA3005">
        <v>0</v>
      </c>
      <c r="AB3005" t="s">
        <v>31</v>
      </c>
      <c r="AC3005">
        <v>0</v>
      </c>
      <c r="AD3005" t="s">
        <v>31</v>
      </c>
      <c r="AE3005">
        <v>0</v>
      </c>
      <c r="AF3005" t="s">
        <v>31</v>
      </c>
      <c r="AG3005">
        <v>0</v>
      </c>
      <c r="AH3005" t="s">
        <v>31</v>
      </c>
      <c r="AI3005">
        <v>0</v>
      </c>
      <c r="AJ3005" t="s">
        <v>31</v>
      </c>
      <c r="AK3005">
        <v>0</v>
      </c>
      <c r="AL3005" t="s">
        <v>31</v>
      </c>
      <c r="AM3005">
        <v>0</v>
      </c>
      <c r="AN3005" t="s">
        <v>31</v>
      </c>
      <c r="AO3005">
        <v>0</v>
      </c>
      <c r="AP3005" t="s">
        <v>31</v>
      </c>
      <c r="AQ3005">
        <v>0</v>
      </c>
    </row>
    <row r="3006" spans="1:43" x14ac:dyDescent="0.2">
      <c r="A3006" t="s">
        <v>381</v>
      </c>
      <c r="B3006" s="3">
        <v>44294</v>
      </c>
      <c r="C3006">
        <v>55</v>
      </c>
      <c r="D3006" t="s">
        <v>385</v>
      </c>
      <c r="E3006" t="s">
        <v>90</v>
      </c>
      <c r="F3006" s="9" t="s">
        <v>91</v>
      </c>
      <c r="G3006" t="s">
        <v>26</v>
      </c>
      <c r="H3006" t="s">
        <v>85</v>
      </c>
      <c r="I3006" t="s">
        <v>86</v>
      </c>
      <c r="J3006" t="s">
        <v>53</v>
      </c>
      <c r="K3006" t="s">
        <v>54</v>
      </c>
      <c r="L3006" t="s">
        <v>53</v>
      </c>
      <c r="M3006" t="s">
        <v>54</v>
      </c>
      <c r="N3006" t="s">
        <v>85</v>
      </c>
      <c r="O3006" t="s">
        <v>86</v>
      </c>
      <c r="P3006" t="s">
        <v>53</v>
      </c>
      <c r="Q3006" t="s">
        <v>54</v>
      </c>
      <c r="R3006" s="1">
        <v>44294.544710648152</v>
      </c>
      <c r="S3006" s="1">
        <v>44294.561909722222</v>
      </c>
      <c r="T3006">
        <v>0</v>
      </c>
      <c r="U3006">
        <v>4</v>
      </c>
      <c r="V3006" s="2">
        <v>0</v>
      </c>
      <c r="W3006">
        <v>0</v>
      </c>
      <c r="X3006" t="s">
        <v>44</v>
      </c>
      <c r="Y3006">
        <v>0</v>
      </c>
      <c r="Z3006" t="s">
        <v>44</v>
      </c>
      <c r="AA3006">
        <v>0</v>
      </c>
      <c r="AB3006" t="s">
        <v>44</v>
      </c>
      <c r="AC3006">
        <v>0</v>
      </c>
      <c r="AD3006" t="s">
        <v>44</v>
      </c>
      <c r="AE3006">
        <v>0</v>
      </c>
      <c r="AF3006" t="s">
        <v>31</v>
      </c>
      <c r="AG3006">
        <v>0</v>
      </c>
      <c r="AH3006" t="s">
        <v>31</v>
      </c>
      <c r="AI3006">
        <v>0</v>
      </c>
      <c r="AJ3006" t="s">
        <v>31</v>
      </c>
      <c r="AK3006">
        <v>0</v>
      </c>
      <c r="AL3006" t="s">
        <v>31</v>
      </c>
      <c r="AM3006">
        <v>0</v>
      </c>
      <c r="AN3006" t="s">
        <v>31</v>
      </c>
      <c r="AO3006">
        <v>0</v>
      </c>
      <c r="AP3006" t="s">
        <v>31</v>
      </c>
      <c r="AQ3006">
        <v>0</v>
      </c>
    </row>
    <row r="3007" spans="1:43" x14ac:dyDescent="0.2">
      <c r="A3007" t="s">
        <v>381</v>
      </c>
      <c r="B3007" s="3">
        <v>44295</v>
      </c>
      <c r="C3007">
        <v>56</v>
      </c>
      <c r="D3007" t="s">
        <v>384</v>
      </c>
      <c r="E3007" t="s">
        <v>90</v>
      </c>
      <c r="F3007" s="9" t="s">
        <v>91</v>
      </c>
      <c r="G3007" t="s">
        <v>26</v>
      </c>
      <c r="H3007" t="s">
        <v>85</v>
      </c>
      <c r="I3007" t="s">
        <v>86</v>
      </c>
      <c r="J3007" t="s">
        <v>53</v>
      </c>
      <c r="K3007" t="s">
        <v>54</v>
      </c>
      <c r="L3007" t="s">
        <v>53</v>
      </c>
      <c r="M3007" t="s">
        <v>54</v>
      </c>
      <c r="N3007" t="s">
        <v>85</v>
      </c>
      <c r="O3007" t="s">
        <v>86</v>
      </c>
      <c r="P3007" t="s">
        <v>53</v>
      </c>
      <c r="Q3007" t="s">
        <v>54</v>
      </c>
      <c r="R3007" s="1">
        <v>44295.388495370367</v>
      </c>
      <c r="S3007" s="1">
        <v>44295.388495370367</v>
      </c>
      <c r="T3007">
        <v>0</v>
      </c>
      <c r="U3007">
        <v>1</v>
      </c>
      <c r="V3007" s="2">
        <v>0</v>
      </c>
      <c r="W3007">
        <v>0</v>
      </c>
      <c r="X3007" t="s">
        <v>44</v>
      </c>
      <c r="Y3007">
        <v>0</v>
      </c>
      <c r="Z3007" t="s">
        <v>31</v>
      </c>
      <c r="AA3007">
        <v>0</v>
      </c>
      <c r="AB3007" t="s">
        <v>31</v>
      </c>
      <c r="AC3007">
        <v>0</v>
      </c>
      <c r="AD3007" t="s">
        <v>31</v>
      </c>
      <c r="AE3007">
        <v>0</v>
      </c>
      <c r="AF3007" t="s">
        <v>31</v>
      </c>
      <c r="AG3007">
        <v>0</v>
      </c>
      <c r="AH3007" t="s">
        <v>31</v>
      </c>
      <c r="AI3007">
        <v>0</v>
      </c>
      <c r="AJ3007" t="s">
        <v>31</v>
      </c>
      <c r="AK3007">
        <v>0</v>
      </c>
      <c r="AL3007" t="s">
        <v>31</v>
      </c>
      <c r="AM3007">
        <v>0</v>
      </c>
      <c r="AN3007" t="s">
        <v>31</v>
      </c>
      <c r="AO3007">
        <v>0</v>
      </c>
      <c r="AP3007" t="s">
        <v>31</v>
      </c>
      <c r="AQ3007">
        <v>0</v>
      </c>
    </row>
    <row r="3008" spans="1:43" x14ac:dyDescent="0.2">
      <c r="A3008" t="s">
        <v>381</v>
      </c>
      <c r="B3008" s="3">
        <v>44298</v>
      </c>
      <c r="C3008">
        <v>57</v>
      </c>
      <c r="D3008" t="s">
        <v>387</v>
      </c>
      <c r="E3008" t="s">
        <v>90</v>
      </c>
      <c r="F3008" s="9" t="s">
        <v>91</v>
      </c>
      <c r="G3008" t="s">
        <v>26</v>
      </c>
      <c r="H3008" t="s">
        <v>85</v>
      </c>
      <c r="I3008" t="s">
        <v>86</v>
      </c>
      <c r="J3008" t="s">
        <v>53</v>
      </c>
      <c r="K3008" t="s">
        <v>54</v>
      </c>
      <c r="L3008" t="s">
        <v>53</v>
      </c>
      <c r="M3008" t="s">
        <v>54</v>
      </c>
      <c r="N3008" t="s">
        <v>85</v>
      </c>
      <c r="O3008" t="s">
        <v>86</v>
      </c>
      <c r="P3008" t="s">
        <v>53</v>
      </c>
      <c r="Q3008" t="s">
        <v>54</v>
      </c>
      <c r="R3008" s="1">
        <v>44298.587569444448</v>
      </c>
      <c r="S3008" s="1">
        <v>44298.587569444448</v>
      </c>
      <c r="T3008">
        <v>0</v>
      </c>
      <c r="U3008">
        <v>1</v>
      </c>
      <c r="V3008" s="2">
        <v>0</v>
      </c>
      <c r="W3008">
        <v>0</v>
      </c>
      <c r="X3008" t="s">
        <v>44</v>
      </c>
      <c r="Y3008">
        <v>0</v>
      </c>
      <c r="Z3008" t="s">
        <v>31</v>
      </c>
      <c r="AA3008">
        <v>0</v>
      </c>
      <c r="AB3008" t="s">
        <v>31</v>
      </c>
      <c r="AC3008">
        <v>0</v>
      </c>
      <c r="AD3008" t="s">
        <v>31</v>
      </c>
      <c r="AE3008">
        <v>0</v>
      </c>
      <c r="AF3008" t="s">
        <v>31</v>
      </c>
      <c r="AG3008">
        <v>0</v>
      </c>
      <c r="AH3008" t="s">
        <v>31</v>
      </c>
      <c r="AI3008">
        <v>0</v>
      </c>
      <c r="AJ3008" t="s">
        <v>31</v>
      </c>
      <c r="AK3008">
        <v>0</v>
      </c>
      <c r="AL3008" t="s">
        <v>31</v>
      </c>
      <c r="AM3008">
        <v>0</v>
      </c>
      <c r="AN3008" t="s">
        <v>31</v>
      </c>
      <c r="AO3008">
        <v>0</v>
      </c>
      <c r="AP3008" t="s">
        <v>31</v>
      </c>
      <c r="AQ3008">
        <v>0</v>
      </c>
    </row>
    <row r="3009" spans="1:43" x14ac:dyDescent="0.2">
      <c r="A3009" t="s">
        <v>381</v>
      </c>
      <c r="B3009" s="3">
        <v>44299</v>
      </c>
      <c r="C3009">
        <v>58</v>
      </c>
      <c r="D3009" t="s">
        <v>385</v>
      </c>
      <c r="E3009" t="s">
        <v>90</v>
      </c>
      <c r="F3009" s="9" t="s">
        <v>91</v>
      </c>
      <c r="G3009" t="s">
        <v>26</v>
      </c>
      <c r="H3009" t="s">
        <v>85</v>
      </c>
      <c r="I3009" t="s">
        <v>86</v>
      </c>
      <c r="J3009" t="s">
        <v>53</v>
      </c>
      <c r="K3009" t="s">
        <v>54</v>
      </c>
      <c r="L3009" t="s">
        <v>53</v>
      </c>
      <c r="M3009" t="s">
        <v>54</v>
      </c>
      <c r="N3009" t="s">
        <v>85</v>
      </c>
      <c r="O3009" t="s">
        <v>86</v>
      </c>
      <c r="P3009" t="s">
        <v>53</v>
      </c>
      <c r="Q3009" t="s">
        <v>54</v>
      </c>
      <c r="R3009" s="1">
        <v>44299.385555555556</v>
      </c>
      <c r="S3009" s="1">
        <v>44299.385578703703</v>
      </c>
      <c r="T3009">
        <v>0</v>
      </c>
      <c r="U3009">
        <v>2</v>
      </c>
      <c r="V3009" s="2">
        <v>0</v>
      </c>
      <c r="W3009">
        <v>0</v>
      </c>
      <c r="X3009" t="s">
        <v>44</v>
      </c>
      <c r="Y3009">
        <v>0</v>
      </c>
      <c r="Z3009" t="s">
        <v>44</v>
      </c>
      <c r="AA3009">
        <v>0</v>
      </c>
      <c r="AB3009" t="s">
        <v>31</v>
      </c>
      <c r="AC3009">
        <v>0</v>
      </c>
      <c r="AD3009" t="s">
        <v>31</v>
      </c>
      <c r="AE3009">
        <v>0</v>
      </c>
      <c r="AF3009" t="s">
        <v>31</v>
      </c>
      <c r="AG3009">
        <v>0</v>
      </c>
      <c r="AH3009" t="s">
        <v>31</v>
      </c>
      <c r="AI3009">
        <v>0</v>
      </c>
      <c r="AJ3009" t="s">
        <v>31</v>
      </c>
      <c r="AK3009">
        <v>0</v>
      </c>
      <c r="AL3009" t="s">
        <v>31</v>
      </c>
      <c r="AM3009">
        <v>0</v>
      </c>
      <c r="AN3009" t="s">
        <v>31</v>
      </c>
      <c r="AO3009">
        <v>0</v>
      </c>
      <c r="AP3009" t="s">
        <v>31</v>
      </c>
      <c r="AQ3009">
        <v>0</v>
      </c>
    </row>
    <row r="3010" spans="1:43" x14ac:dyDescent="0.2">
      <c r="A3010" t="s">
        <v>381</v>
      </c>
      <c r="B3010" s="3">
        <v>44299</v>
      </c>
      <c r="C3010">
        <v>59</v>
      </c>
      <c r="D3010" t="s">
        <v>385</v>
      </c>
      <c r="E3010" t="s">
        <v>90</v>
      </c>
      <c r="F3010" s="9" t="s">
        <v>91</v>
      </c>
      <c r="G3010" t="s">
        <v>26</v>
      </c>
      <c r="H3010" t="s">
        <v>85</v>
      </c>
      <c r="I3010" t="s">
        <v>86</v>
      </c>
      <c r="J3010" t="s">
        <v>53</v>
      </c>
      <c r="K3010" t="s">
        <v>54</v>
      </c>
      <c r="L3010" t="s">
        <v>53</v>
      </c>
      <c r="M3010" t="s">
        <v>54</v>
      </c>
      <c r="N3010" t="s">
        <v>85</v>
      </c>
      <c r="O3010" t="s">
        <v>86</v>
      </c>
      <c r="P3010" t="s">
        <v>53</v>
      </c>
      <c r="Q3010" t="s">
        <v>54</v>
      </c>
      <c r="R3010" s="1">
        <v>44299.548090277778</v>
      </c>
      <c r="S3010" s="1">
        <v>44299.63385416667</v>
      </c>
      <c r="T3010">
        <v>0</v>
      </c>
      <c r="U3010">
        <v>3</v>
      </c>
      <c r="V3010" s="2">
        <v>0</v>
      </c>
      <c r="W3010">
        <v>0</v>
      </c>
      <c r="X3010" t="s">
        <v>44</v>
      </c>
      <c r="Y3010">
        <v>0</v>
      </c>
      <c r="Z3010" t="s">
        <v>44</v>
      </c>
      <c r="AA3010">
        <v>0</v>
      </c>
      <c r="AB3010" t="s">
        <v>44</v>
      </c>
      <c r="AC3010">
        <v>0</v>
      </c>
      <c r="AD3010" t="s">
        <v>31</v>
      </c>
      <c r="AE3010">
        <v>0</v>
      </c>
      <c r="AF3010" t="s">
        <v>31</v>
      </c>
      <c r="AG3010">
        <v>0</v>
      </c>
      <c r="AH3010" t="s">
        <v>31</v>
      </c>
      <c r="AI3010">
        <v>0</v>
      </c>
      <c r="AJ3010" t="s">
        <v>31</v>
      </c>
      <c r="AK3010">
        <v>0</v>
      </c>
      <c r="AL3010" t="s">
        <v>31</v>
      </c>
      <c r="AM3010">
        <v>0</v>
      </c>
      <c r="AN3010" t="s">
        <v>31</v>
      </c>
      <c r="AO3010">
        <v>0</v>
      </c>
      <c r="AP3010" t="s">
        <v>31</v>
      </c>
      <c r="AQ3010">
        <v>0</v>
      </c>
    </row>
    <row r="3011" spans="1:43" x14ac:dyDescent="0.2">
      <c r="A3011" t="s">
        <v>381</v>
      </c>
      <c r="B3011" s="3">
        <v>44300</v>
      </c>
      <c r="C3011">
        <v>60</v>
      </c>
      <c r="D3011" t="s">
        <v>398</v>
      </c>
      <c r="E3011" t="s">
        <v>90</v>
      </c>
      <c r="F3011" s="9" t="s">
        <v>91</v>
      </c>
      <c r="G3011" t="s">
        <v>26</v>
      </c>
      <c r="H3011" t="s">
        <v>85</v>
      </c>
      <c r="I3011" t="s">
        <v>86</v>
      </c>
      <c r="J3011" t="s">
        <v>53</v>
      </c>
      <c r="K3011" t="s">
        <v>54</v>
      </c>
      <c r="L3011" t="s">
        <v>53</v>
      </c>
      <c r="M3011" t="s">
        <v>54</v>
      </c>
      <c r="N3011" t="s">
        <v>85</v>
      </c>
      <c r="O3011" t="s">
        <v>86</v>
      </c>
      <c r="P3011" t="s">
        <v>53</v>
      </c>
      <c r="Q3011" t="s">
        <v>54</v>
      </c>
      <c r="R3011" s="1">
        <v>44300.451817129629</v>
      </c>
      <c r="S3011" s="1">
        <v>44300.453472222223</v>
      </c>
      <c r="T3011">
        <v>0</v>
      </c>
      <c r="U3011">
        <v>2</v>
      </c>
      <c r="V3011" s="2">
        <v>0</v>
      </c>
      <c r="W3011">
        <v>0</v>
      </c>
      <c r="X3011" t="s">
        <v>44</v>
      </c>
      <c r="Y3011">
        <v>0</v>
      </c>
      <c r="Z3011" t="s">
        <v>44</v>
      </c>
      <c r="AA3011">
        <v>0</v>
      </c>
      <c r="AB3011" t="s">
        <v>31</v>
      </c>
      <c r="AC3011">
        <v>0</v>
      </c>
      <c r="AD3011" t="s">
        <v>31</v>
      </c>
      <c r="AE3011">
        <v>0</v>
      </c>
      <c r="AF3011" t="s">
        <v>31</v>
      </c>
      <c r="AG3011">
        <v>0</v>
      </c>
      <c r="AH3011" t="s">
        <v>31</v>
      </c>
      <c r="AI3011">
        <v>0</v>
      </c>
      <c r="AJ3011" t="s">
        <v>31</v>
      </c>
      <c r="AK3011">
        <v>0</v>
      </c>
      <c r="AL3011" t="s">
        <v>31</v>
      </c>
      <c r="AM3011">
        <v>0</v>
      </c>
      <c r="AN3011" t="s">
        <v>31</v>
      </c>
      <c r="AO3011">
        <v>0</v>
      </c>
      <c r="AP3011" t="s">
        <v>31</v>
      </c>
      <c r="AQ3011">
        <v>0</v>
      </c>
    </row>
    <row r="3012" spans="1:43" x14ac:dyDescent="0.2">
      <c r="A3012" t="s">
        <v>381</v>
      </c>
      <c r="B3012" s="3">
        <v>44300</v>
      </c>
      <c r="C3012">
        <v>61</v>
      </c>
      <c r="D3012" t="s">
        <v>401</v>
      </c>
      <c r="E3012" t="s">
        <v>90</v>
      </c>
      <c r="F3012" s="9" t="s">
        <v>91</v>
      </c>
      <c r="G3012" t="s">
        <v>26</v>
      </c>
      <c r="H3012" t="s">
        <v>85</v>
      </c>
      <c r="I3012" t="s">
        <v>86</v>
      </c>
      <c r="J3012" t="s">
        <v>53</v>
      </c>
      <c r="K3012" t="s">
        <v>54</v>
      </c>
      <c r="L3012" t="s">
        <v>53</v>
      </c>
      <c r="M3012" t="s">
        <v>54</v>
      </c>
      <c r="N3012" t="s">
        <v>85</v>
      </c>
      <c r="O3012" t="s">
        <v>86</v>
      </c>
      <c r="P3012" t="s">
        <v>53</v>
      </c>
      <c r="Q3012" t="s">
        <v>54</v>
      </c>
      <c r="R3012" s="1">
        <v>44300.663541666669</v>
      </c>
      <c r="S3012" s="1">
        <v>44300.663541666669</v>
      </c>
      <c r="T3012">
        <v>0</v>
      </c>
      <c r="U3012">
        <v>1</v>
      </c>
      <c r="V3012" s="2">
        <v>0</v>
      </c>
      <c r="W3012">
        <v>0</v>
      </c>
      <c r="X3012" t="s">
        <v>44</v>
      </c>
      <c r="Y3012">
        <v>0</v>
      </c>
      <c r="Z3012" t="s">
        <v>31</v>
      </c>
      <c r="AA3012">
        <v>0</v>
      </c>
      <c r="AB3012" t="s">
        <v>31</v>
      </c>
      <c r="AC3012">
        <v>0</v>
      </c>
      <c r="AD3012" t="s">
        <v>31</v>
      </c>
      <c r="AE3012">
        <v>0</v>
      </c>
      <c r="AF3012" t="s">
        <v>31</v>
      </c>
      <c r="AG3012">
        <v>0</v>
      </c>
      <c r="AH3012" t="s">
        <v>31</v>
      </c>
      <c r="AI3012">
        <v>0</v>
      </c>
      <c r="AJ3012" t="s">
        <v>31</v>
      </c>
      <c r="AK3012">
        <v>0</v>
      </c>
      <c r="AL3012" t="s">
        <v>31</v>
      </c>
      <c r="AM3012">
        <v>0</v>
      </c>
      <c r="AN3012" t="s">
        <v>31</v>
      </c>
      <c r="AO3012">
        <v>0</v>
      </c>
      <c r="AP3012" t="s">
        <v>31</v>
      </c>
      <c r="AQ3012">
        <v>0</v>
      </c>
    </row>
    <row r="3013" spans="1:43" x14ac:dyDescent="0.2">
      <c r="A3013" t="s">
        <v>381</v>
      </c>
      <c r="B3013" s="3">
        <v>44301</v>
      </c>
      <c r="C3013">
        <v>62</v>
      </c>
      <c r="D3013" t="s">
        <v>385</v>
      </c>
      <c r="E3013" t="s">
        <v>90</v>
      </c>
      <c r="F3013" s="9" t="s">
        <v>91</v>
      </c>
      <c r="G3013" t="s">
        <v>26</v>
      </c>
      <c r="H3013" t="s">
        <v>85</v>
      </c>
      <c r="I3013" t="s">
        <v>86</v>
      </c>
      <c r="J3013" t="s">
        <v>53</v>
      </c>
      <c r="K3013" t="s">
        <v>54</v>
      </c>
      <c r="L3013" t="s">
        <v>53</v>
      </c>
      <c r="M3013" t="s">
        <v>54</v>
      </c>
      <c r="N3013" t="s">
        <v>85</v>
      </c>
      <c r="O3013" t="s">
        <v>86</v>
      </c>
      <c r="P3013" t="s">
        <v>53</v>
      </c>
      <c r="Q3013" t="s">
        <v>54</v>
      </c>
      <c r="R3013" s="1">
        <v>44301.400659722225</v>
      </c>
      <c r="S3013" s="1">
        <v>44301.400671296295</v>
      </c>
      <c r="T3013">
        <v>0</v>
      </c>
      <c r="U3013">
        <v>2</v>
      </c>
      <c r="V3013" s="2">
        <v>0</v>
      </c>
      <c r="W3013">
        <v>0</v>
      </c>
      <c r="X3013" t="s">
        <v>44</v>
      </c>
      <c r="Y3013">
        <v>0</v>
      </c>
      <c r="Z3013" t="s">
        <v>44</v>
      </c>
      <c r="AA3013">
        <v>0</v>
      </c>
      <c r="AB3013" t="s">
        <v>31</v>
      </c>
      <c r="AC3013">
        <v>0</v>
      </c>
      <c r="AD3013" t="s">
        <v>31</v>
      </c>
      <c r="AE3013">
        <v>0</v>
      </c>
      <c r="AF3013" t="s">
        <v>31</v>
      </c>
      <c r="AG3013">
        <v>0</v>
      </c>
      <c r="AH3013" t="s">
        <v>31</v>
      </c>
      <c r="AI3013">
        <v>0</v>
      </c>
      <c r="AJ3013" t="s">
        <v>31</v>
      </c>
      <c r="AK3013">
        <v>0</v>
      </c>
      <c r="AL3013" t="s">
        <v>31</v>
      </c>
      <c r="AM3013">
        <v>0</v>
      </c>
      <c r="AN3013" t="s">
        <v>31</v>
      </c>
      <c r="AO3013">
        <v>0</v>
      </c>
      <c r="AP3013" t="s">
        <v>31</v>
      </c>
      <c r="AQ3013">
        <v>0</v>
      </c>
    </row>
    <row r="3014" spans="1:43" x14ac:dyDescent="0.2">
      <c r="A3014" t="s">
        <v>381</v>
      </c>
      <c r="B3014" s="3">
        <v>44301</v>
      </c>
      <c r="C3014">
        <v>63</v>
      </c>
      <c r="D3014" t="s">
        <v>385</v>
      </c>
      <c r="E3014" t="s">
        <v>90</v>
      </c>
      <c r="F3014" s="9" t="s">
        <v>91</v>
      </c>
      <c r="G3014" t="s">
        <v>26</v>
      </c>
      <c r="H3014" t="s">
        <v>85</v>
      </c>
      <c r="I3014" t="s">
        <v>86</v>
      </c>
      <c r="J3014" t="s">
        <v>53</v>
      </c>
      <c r="K3014" t="s">
        <v>54</v>
      </c>
      <c r="L3014" t="s">
        <v>53</v>
      </c>
      <c r="M3014" t="s">
        <v>54</v>
      </c>
      <c r="N3014" t="s">
        <v>85</v>
      </c>
      <c r="O3014" t="s">
        <v>86</v>
      </c>
      <c r="P3014" t="s">
        <v>53</v>
      </c>
      <c r="Q3014" t="s">
        <v>54</v>
      </c>
      <c r="R3014" s="1">
        <v>44301.54483796296</v>
      </c>
      <c r="S3014" s="1">
        <v>44301.596655092595</v>
      </c>
      <c r="T3014">
        <v>0</v>
      </c>
      <c r="U3014">
        <v>5</v>
      </c>
      <c r="V3014" s="2">
        <v>0</v>
      </c>
      <c r="W3014">
        <v>0</v>
      </c>
      <c r="X3014" t="s">
        <v>44</v>
      </c>
      <c r="Y3014">
        <v>0</v>
      </c>
      <c r="Z3014" t="s">
        <v>44</v>
      </c>
      <c r="AA3014">
        <v>0</v>
      </c>
      <c r="AB3014" t="s">
        <v>44</v>
      </c>
      <c r="AC3014">
        <v>0</v>
      </c>
      <c r="AD3014" t="s">
        <v>44</v>
      </c>
      <c r="AE3014">
        <v>0</v>
      </c>
      <c r="AF3014" t="s">
        <v>44</v>
      </c>
      <c r="AG3014">
        <v>0</v>
      </c>
      <c r="AH3014" t="s">
        <v>31</v>
      </c>
      <c r="AI3014">
        <v>0</v>
      </c>
      <c r="AJ3014" t="s">
        <v>31</v>
      </c>
      <c r="AK3014">
        <v>0</v>
      </c>
      <c r="AL3014" t="s">
        <v>31</v>
      </c>
      <c r="AM3014">
        <v>0</v>
      </c>
      <c r="AN3014" t="s">
        <v>31</v>
      </c>
      <c r="AO3014">
        <v>0</v>
      </c>
      <c r="AP3014" t="s">
        <v>31</v>
      </c>
      <c r="AQ3014">
        <v>0</v>
      </c>
    </row>
    <row r="3015" spans="1:43" x14ac:dyDescent="0.2">
      <c r="A3015" t="s">
        <v>381</v>
      </c>
      <c r="B3015" s="3">
        <v>44302</v>
      </c>
      <c r="C3015">
        <v>65</v>
      </c>
      <c r="D3015" t="s">
        <v>387</v>
      </c>
      <c r="E3015" t="s">
        <v>90</v>
      </c>
      <c r="F3015" s="9" t="s">
        <v>91</v>
      </c>
      <c r="G3015" t="s">
        <v>26</v>
      </c>
      <c r="H3015" t="s">
        <v>85</v>
      </c>
      <c r="I3015" t="s">
        <v>86</v>
      </c>
      <c r="J3015" t="s">
        <v>53</v>
      </c>
      <c r="K3015" t="s">
        <v>54</v>
      </c>
      <c r="L3015" t="s">
        <v>53</v>
      </c>
      <c r="M3015" t="s">
        <v>54</v>
      </c>
      <c r="N3015" t="s">
        <v>85</v>
      </c>
      <c r="O3015" t="s">
        <v>86</v>
      </c>
      <c r="P3015" t="s">
        <v>53</v>
      </c>
      <c r="Q3015" t="s">
        <v>54</v>
      </c>
      <c r="R3015" s="1">
        <v>44302.546840277777</v>
      </c>
      <c r="S3015" s="1">
        <v>44302.546840277777</v>
      </c>
      <c r="T3015">
        <v>0</v>
      </c>
      <c r="U3015">
        <v>1</v>
      </c>
      <c r="V3015" s="2">
        <v>0</v>
      </c>
      <c r="W3015">
        <v>0</v>
      </c>
      <c r="X3015" t="s">
        <v>44</v>
      </c>
      <c r="Y3015">
        <v>0</v>
      </c>
      <c r="Z3015" t="s">
        <v>31</v>
      </c>
      <c r="AA3015">
        <v>0</v>
      </c>
      <c r="AB3015" t="s">
        <v>31</v>
      </c>
      <c r="AC3015">
        <v>0</v>
      </c>
      <c r="AD3015" t="s">
        <v>31</v>
      </c>
      <c r="AE3015">
        <v>0</v>
      </c>
      <c r="AF3015" t="s">
        <v>31</v>
      </c>
      <c r="AG3015">
        <v>0</v>
      </c>
      <c r="AH3015" t="s">
        <v>31</v>
      </c>
      <c r="AI3015">
        <v>0</v>
      </c>
      <c r="AJ3015" t="s">
        <v>31</v>
      </c>
      <c r="AK3015">
        <v>0</v>
      </c>
      <c r="AL3015" t="s">
        <v>31</v>
      </c>
      <c r="AM3015">
        <v>0</v>
      </c>
      <c r="AN3015" t="s">
        <v>31</v>
      </c>
      <c r="AO3015">
        <v>0</v>
      </c>
      <c r="AP3015" t="s">
        <v>31</v>
      </c>
      <c r="AQ3015">
        <v>0</v>
      </c>
    </row>
    <row r="3016" spans="1:43" x14ac:dyDescent="0.2">
      <c r="A3016" t="s">
        <v>381</v>
      </c>
      <c r="B3016" s="3">
        <v>44307</v>
      </c>
      <c r="C3016">
        <v>66</v>
      </c>
      <c r="D3016" t="s">
        <v>398</v>
      </c>
      <c r="E3016" t="s">
        <v>90</v>
      </c>
      <c r="F3016" s="9" t="s">
        <v>91</v>
      </c>
      <c r="G3016" t="s">
        <v>26</v>
      </c>
      <c r="H3016" t="s">
        <v>85</v>
      </c>
      <c r="I3016" t="s">
        <v>86</v>
      </c>
      <c r="J3016" t="s">
        <v>53</v>
      </c>
      <c r="K3016" t="s">
        <v>54</v>
      </c>
      <c r="L3016" t="s">
        <v>53</v>
      </c>
      <c r="M3016" t="s">
        <v>54</v>
      </c>
      <c r="N3016" t="s">
        <v>85</v>
      </c>
      <c r="O3016" t="s">
        <v>86</v>
      </c>
      <c r="P3016" t="s">
        <v>53</v>
      </c>
      <c r="Q3016" t="s">
        <v>54</v>
      </c>
      <c r="R3016" s="1">
        <v>44307.487337962964</v>
      </c>
      <c r="S3016" s="1">
        <v>44307.487337962964</v>
      </c>
      <c r="T3016">
        <v>0</v>
      </c>
      <c r="U3016">
        <v>1</v>
      </c>
      <c r="V3016" s="2">
        <v>0</v>
      </c>
      <c r="W3016">
        <v>0</v>
      </c>
      <c r="X3016" t="s">
        <v>44</v>
      </c>
      <c r="Y3016">
        <v>0</v>
      </c>
      <c r="Z3016" t="s">
        <v>31</v>
      </c>
      <c r="AA3016">
        <v>0</v>
      </c>
      <c r="AB3016" t="s">
        <v>31</v>
      </c>
      <c r="AC3016">
        <v>0</v>
      </c>
      <c r="AD3016" t="s">
        <v>31</v>
      </c>
      <c r="AE3016">
        <v>0</v>
      </c>
      <c r="AF3016" t="s">
        <v>31</v>
      </c>
      <c r="AG3016">
        <v>0</v>
      </c>
      <c r="AH3016" t="s">
        <v>31</v>
      </c>
      <c r="AI3016">
        <v>0</v>
      </c>
      <c r="AJ3016" t="s">
        <v>31</v>
      </c>
      <c r="AK3016">
        <v>0</v>
      </c>
      <c r="AL3016" t="s">
        <v>31</v>
      </c>
      <c r="AM3016">
        <v>0</v>
      </c>
      <c r="AN3016" t="s">
        <v>31</v>
      </c>
      <c r="AO3016">
        <v>0</v>
      </c>
      <c r="AP3016" t="s">
        <v>31</v>
      </c>
      <c r="AQ3016">
        <v>0</v>
      </c>
    </row>
    <row r="3017" spans="1:43" x14ac:dyDescent="0.2">
      <c r="A3017" t="s">
        <v>381</v>
      </c>
      <c r="B3017" s="3">
        <v>44307</v>
      </c>
      <c r="C3017">
        <v>67</v>
      </c>
      <c r="D3017" t="s">
        <v>387</v>
      </c>
      <c r="E3017" t="s">
        <v>90</v>
      </c>
      <c r="F3017" s="9" t="s">
        <v>91</v>
      </c>
      <c r="G3017" t="s">
        <v>26</v>
      </c>
      <c r="H3017" t="s">
        <v>85</v>
      </c>
      <c r="I3017" t="s">
        <v>86</v>
      </c>
      <c r="J3017" t="s">
        <v>53</v>
      </c>
      <c r="K3017" t="s">
        <v>54</v>
      </c>
      <c r="L3017" t="s">
        <v>53</v>
      </c>
      <c r="M3017" t="s">
        <v>54</v>
      </c>
      <c r="N3017" t="s">
        <v>85</v>
      </c>
      <c r="O3017" t="s">
        <v>86</v>
      </c>
      <c r="P3017" t="s">
        <v>53</v>
      </c>
      <c r="Q3017" t="s">
        <v>54</v>
      </c>
      <c r="R3017" s="1">
        <v>44307.543819444443</v>
      </c>
      <c r="S3017" s="1">
        <v>44307.543819444443</v>
      </c>
      <c r="T3017">
        <v>0</v>
      </c>
      <c r="U3017">
        <v>1</v>
      </c>
      <c r="V3017" s="2">
        <v>0</v>
      </c>
      <c r="W3017">
        <v>0</v>
      </c>
      <c r="X3017" t="s">
        <v>44</v>
      </c>
      <c r="Y3017">
        <v>0</v>
      </c>
      <c r="Z3017" t="s">
        <v>31</v>
      </c>
      <c r="AA3017">
        <v>0</v>
      </c>
      <c r="AB3017" t="s">
        <v>31</v>
      </c>
      <c r="AC3017">
        <v>0</v>
      </c>
      <c r="AD3017" t="s">
        <v>31</v>
      </c>
      <c r="AE3017">
        <v>0</v>
      </c>
      <c r="AF3017" t="s">
        <v>31</v>
      </c>
      <c r="AG3017">
        <v>0</v>
      </c>
      <c r="AH3017" t="s">
        <v>31</v>
      </c>
      <c r="AI3017">
        <v>0</v>
      </c>
      <c r="AJ3017" t="s">
        <v>31</v>
      </c>
      <c r="AK3017">
        <v>0</v>
      </c>
      <c r="AL3017" t="s">
        <v>31</v>
      </c>
      <c r="AM3017">
        <v>0</v>
      </c>
      <c r="AN3017" t="s">
        <v>31</v>
      </c>
      <c r="AO3017">
        <v>0</v>
      </c>
      <c r="AP3017" t="s">
        <v>31</v>
      </c>
      <c r="AQ3017">
        <v>0</v>
      </c>
    </row>
    <row r="3018" spans="1:43" x14ac:dyDescent="0.2">
      <c r="A3018" t="s">
        <v>381</v>
      </c>
      <c r="B3018" s="3">
        <v>44308</v>
      </c>
      <c r="C3018">
        <v>69</v>
      </c>
      <c r="D3018" t="s">
        <v>385</v>
      </c>
      <c r="E3018" t="s">
        <v>90</v>
      </c>
      <c r="F3018" s="9" t="s">
        <v>91</v>
      </c>
      <c r="G3018" t="s">
        <v>26</v>
      </c>
      <c r="H3018" t="s">
        <v>85</v>
      </c>
      <c r="I3018" t="s">
        <v>86</v>
      </c>
      <c r="J3018" t="s">
        <v>53</v>
      </c>
      <c r="K3018" t="s">
        <v>54</v>
      </c>
      <c r="L3018" t="s">
        <v>53</v>
      </c>
      <c r="M3018" t="s">
        <v>54</v>
      </c>
      <c r="N3018" t="s">
        <v>85</v>
      </c>
      <c r="O3018" t="s">
        <v>86</v>
      </c>
      <c r="P3018" t="s">
        <v>53</v>
      </c>
      <c r="Q3018" t="s">
        <v>54</v>
      </c>
      <c r="R3018" s="1">
        <v>44308.563923611109</v>
      </c>
      <c r="S3018" s="1">
        <v>44308.563923611109</v>
      </c>
      <c r="T3018">
        <v>0</v>
      </c>
      <c r="U3018">
        <v>2</v>
      </c>
      <c r="V3018" s="2">
        <v>0</v>
      </c>
      <c r="W3018">
        <v>0</v>
      </c>
      <c r="X3018" t="s">
        <v>44</v>
      </c>
      <c r="Y3018">
        <v>0</v>
      </c>
      <c r="Z3018" t="s">
        <v>44</v>
      </c>
      <c r="AA3018">
        <v>0</v>
      </c>
      <c r="AB3018" t="s">
        <v>31</v>
      </c>
      <c r="AC3018">
        <v>0</v>
      </c>
      <c r="AD3018" t="s">
        <v>31</v>
      </c>
      <c r="AE3018">
        <v>0</v>
      </c>
      <c r="AF3018" t="s">
        <v>31</v>
      </c>
      <c r="AG3018">
        <v>0</v>
      </c>
      <c r="AH3018" t="s">
        <v>31</v>
      </c>
      <c r="AI3018">
        <v>0</v>
      </c>
      <c r="AJ3018" t="s">
        <v>31</v>
      </c>
      <c r="AK3018">
        <v>0</v>
      </c>
      <c r="AL3018" t="s">
        <v>31</v>
      </c>
      <c r="AM3018">
        <v>0</v>
      </c>
      <c r="AN3018" t="s">
        <v>31</v>
      </c>
      <c r="AO3018">
        <v>0</v>
      </c>
      <c r="AP3018" t="s">
        <v>31</v>
      </c>
      <c r="AQ3018">
        <v>0</v>
      </c>
    </row>
    <row r="3019" spans="1:43" x14ac:dyDescent="0.2">
      <c r="A3019" t="s">
        <v>381</v>
      </c>
      <c r="B3019" s="3">
        <v>44312</v>
      </c>
      <c r="C3019">
        <v>73</v>
      </c>
      <c r="D3019" t="s">
        <v>387</v>
      </c>
      <c r="E3019" t="s">
        <v>90</v>
      </c>
      <c r="F3019" s="9" t="s">
        <v>91</v>
      </c>
      <c r="G3019" t="s">
        <v>26</v>
      </c>
      <c r="H3019" t="s">
        <v>85</v>
      </c>
      <c r="I3019" t="s">
        <v>86</v>
      </c>
      <c r="J3019" t="s">
        <v>53</v>
      </c>
      <c r="K3019" t="s">
        <v>54</v>
      </c>
      <c r="L3019" t="s">
        <v>53</v>
      </c>
      <c r="M3019" t="s">
        <v>54</v>
      </c>
      <c r="N3019" t="s">
        <v>85</v>
      </c>
      <c r="O3019" t="s">
        <v>86</v>
      </c>
      <c r="P3019" t="s">
        <v>53</v>
      </c>
      <c r="Q3019" t="s">
        <v>54</v>
      </c>
      <c r="R3019" s="1">
        <v>44312.629571759258</v>
      </c>
      <c r="S3019" s="1">
        <v>44312.629571759258</v>
      </c>
      <c r="T3019">
        <v>0</v>
      </c>
      <c r="U3019">
        <v>1</v>
      </c>
      <c r="V3019" s="2">
        <v>0</v>
      </c>
      <c r="W3019">
        <v>0</v>
      </c>
      <c r="X3019" t="s">
        <v>44</v>
      </c>
      <c r="Y3019">
        <v>0</v>
      </c>
      <c r="Z3019" t="s">
        <v>31</v>
      </c>
      <c r="AA3019">
        <v>0</v>
      </c>
      <c r="AB3019" t="s">
        <v>31</v>
      </c>
      <c r="AC3019">
        <v>0</v>
      </c>
      <c r="AD3019" t="s">
        <v>31</v>
      </c>
      <c r="AE3019">
        <v>0</v>
      </c>
      <c r="AF3019" t="s">
        <v>31</v>
      </c>
      <c r="AG3019">
        <v>0</v>
      </c>
      <c r="AH3019" t="s">
        <v>31</v>
      </c>
      <c r="AI3019">
        <v>0</v>
      </c>
      <c r="AJ3019" t="s">
        <v>31</v>
      </c>
      <c r="AK3019">
        <v>0</v>
      </c>
      <c r="AL3019" t="s">
        <v>31</v>
      </c>
      <c r="AM3019">
        <v>0</v>
      </c>
      <c r="AN3019" t="s">
        <v>31</v>
      </c>
      <c r="AO3019">
        <v>0</v>
      </c>
      <c r="AP3019" t="s">
        <v>31</v>
      </c>
      <c r="AQ3019">
        <v>0</v>
      </c>
    </row>
    <row r="3020" spans="1:43" x14ac:dyDescent="0.2">
      <c r="A3020" t="s">
        <v>381</v>
      </c>
      <c r="B3020" s="3">
        <v>44313</v>
      </c>
      <c r="C3020">
        <v>75</v>
      </c>
      <c r="D3020" t="s">
        <v>410</v>
      </c>
      <c r="E3020" t="s">
        <v>90</v>
      </c>
      <c r="F3020" s="9" t="s">
        <v>91</v>
      </c>
      <c r="G3020" t="s">
        <v>26</v>
      </c>
      <c r="H3020" t="s">
        <v>85</v>
      </c>
      <c r="I3020" t="s">
        <v>86</v>
      </c>
      <c r="J3020" t="s">
        <v>53</v>
      </c>
      <c r="K3020" t="s">
        <v>54</v>
      </c>
      <c r="L3020" t="s">
        <v>53</v>
      </c>
      <c r="M3020" t="s">
        <v>54</v>
      </c>
      <c r="N3020" t="s">
        <v>85</v>
      </c>
      <c r="O3020" t="s">
        <v>86</v>
      </c>
      <c r="P3020" t="s">
        <v>53</v>
      </c>
      <c r="Q3020" t="s">
        <v>54</v>
      </c>
      <c r="R3020" s="1">
        <v>44313.537881944445</v>
      </c>
      <c r="S3020" s="1">
        <v>44313.537881944445</v>
      </c>
      <c r="T3020">
        <v>0</v>
      </c>
      <c r="U3020">
        <v>1</v>
      </c>
      <c r="V3020" s="2">
        <v>0</v>
      </c>
      <c r="W3020">
        <v>0</v>
      </c>
      <c r="X3020" t="s">
        <v>44</v>
      </c>
      <c r="Y3020">
        <v>0</v>
      </c>
      <c r="Z3020" t="s">
        <v>31</v>
      </c>
      <c r="AA3020">
        <v>0</v>
      </c>
      <c r="AB3020" t="s">
        <v>31</v>
      </c>
      <c r="AC3020">
        <v>0</v>
      </c>
      <c r="AD3020" t="s">
        <v>31</v>
      </c>
      <c r="AE3020">
        <v>0</v>
      </c>
      <c r="AF3020" t="s">
        <v>31</v>
      </c>
      <c r="AG3020">
        <v>0</v>
      </c>
      <c r="AH3020" t="s">
        <v>31</v>
      </c>
      <c r="AI3020">
        <v>0</v>
      </c>
      <c r="AJ3020" t="s">
        <v>31</v>
      </c>
      <c r="AK3020">
        <v>0</v>
      </c>
      <c r="AL3020" t="s">
        <v>31</v>
      </c>
      <c r="AM3020">
        <v>0</v>
      </c>
      <c r="AN3020" t="s">
        <v>31</v>
      </c>
      <c r="AO3020">
        <v>0</v>
      </c>
      <c r="AP3020" t="s">
        <v>31</v>
      </c>
      <c r="AQ3020">
        <v>0</v>
      </c>
    </row>
    <row r="3021" spans="1:43" x14ac:dyDescent="0.2">
      <c r="A3021" t="s">
        <v>381</v>
      </c>
      <c r="B3021" s="3">
        <v>44313</v>
      </c>
      <c r="C3021">
        <v>76</v>
      </c>
      <c r="D3021" t="s">
        <v>385</v>
      </c>
      <c r="E3021" t="s">
        <v>90</v>
      </c>
      <c r="F3021" s="9" t="s">
        <v>91</v>
      </c>
      <c r="G3021" t="s">
        <v>26</v>
      </c>
      <c r="H3021" t="s">
        <v>85</v>
      </c>
      <c r="I3021" t="s">
        <v>86</v>
      </c>
      <c r="J3021" t="s">
        <v>53</v>
      </c>
      <c r="K3021" t="s">
        <v>54</v>
      </c>
      <c r="L3021" t="s">
        <v>53</v>
      </c>
      <c r="M3021" t="s">
        <v>54</v>
      </c>
      <c r="N3021" t="s">
        <v>85</v>
      </c>
      <c r="O3021" t="s">
        <v>86</v>
      </c>
      <c r="P3021" t="s">
        <v>53</v>
      </c>
      <c r="Q3021" t="s">
        <v>54</v>
      </c>
      <c r="R3021" s="1">
        <v>44313.560196759259</v>
      </c>
      <c r="S3021" s="1">
        <v>44313.560219907406</v>
      </c>
      <c r="T3021">
        <v>0</v>
      </c>
      <c r="U3021">
        <v>2</v>
      </c>
      <c r="V3021" s="2">
        <v>0</v>
      </c>
      <c r="W3021">
        <v>0</v>
      </c>
      <c r="X3021" t="s">
        <v>44</v>
      </c>
      <c r="Y3021">
        <v>0</v>
      </c>
      <c r="Z3021" t="s">
        <v>44</v>
      </c>
      <c r="AA3021">
        <v>0</v>
      </c>
      <c r="AB3021" t="s">
        <v>31</v>
      </c>
      <c r="AC3021">
        <v>0</v>
      </c>
      <c r="AD3021" t="s">
        <v>31</v>
      </c>
      <c r="AE3021">
        <v>0</v>
      </c>
      <c r="AF3021" t="s">
        <v>31</v>
      </c>
      <c r="AG3021">
        <v>0</v>
      </c>
      <c r="AH3021" t="s">
        <v>31</v>
      </c>
      <c r="AI3021">
        <v>0</v>
      </c>
      <c r="AJ3021" t="s">
        <v>31</v>
      </c>
      <c r="AK3021">
        <v>0</v>
      </c>
      <c r="AL3021" t="s">
        <v>31</v>
      </c>
      <c r="AM3021">
        <v>0</v>
      </c>
      <c r="AN3021" t="s">
        <v>31</v>
      </c>
      <c r="AO3021">
        <v>0</v>
      </c>
      <c r="AP3021" t="s">
        <v>31</v>
      </c>
      <c r="AQ3021">
        <v>0</v>
      </c>
    </row>
    <row r="3022" spans="1:43" x14ac:dyDescent="0.2">
      <c r="A3022" t="s">
        <v>381</v>
      </c>
      <c r="B3022" s="3">
        <v>44314</v>
      </c>
      <c r="C3022">
        <v>77</v>
      </c>
      <c r="D3022" t="s">
        <v>403</v>
      </c>
      <c r="E3022" t="s">
        <v>90</v>
      </c>
      <c r="F3022" s="9" t="s">
        <v>91</v>
      </c>
      <c r="G3022" t="s">
        <v>26</v>
      </c>
      <c r="H3022" t="s">
        <v>85</v>
      </c>
      <c r="I3022" t="s">
        <v>86</v>
      </c>
      <c r="J3022" t="s">
        <v>53</v>
      </c>
      <c r="K3022" t="s">
        <v>54</v>
      </c>
      <c r="L3022" t="s">
        <v>53</v>
      </c>
      <c r="M3022" t="s">
        <v>54</v>
      </c>
      <c r="N3022" t="s">
        <v>85</v>
      </c>
      <c r="O3022" t="s">
        <v>86</v>
      </c>
      <c r="P3022" t="s">
        <v>53</v>
      </c>
      <c r="Q3022" t="s">
        <v>54</v>
      </c>
      <c r="R3022" s="1">
        <v>44314.423472222225</v>
      </c>
      <c r="S3022" s="1">
        <v>44314.423472222225</v>
      </c>
      <c r="T3022">
        <v>0</v>
      </c>
      <c r="U3022">
        <v>1</v>
      </c>
      <c r="V3022" s="2">
        <v>0</v>
      </c>
      <c r="W3022">
        <v>0</v>
      </c>
      <c r="X3022" t="s">
        <v>44</v>
      </c>
      <c r="Y3022">
        <v>0</v>
      </c>
      <c r="Z3022" t="s">
        <v>31</v>
      </c>
      <c r="AA3022">
        <v>0</v>
      </c>
      <c r="AB3022" t="s">
        <v>31</v>
      </c>
      <c r="AC3022">
        <v>0</v>
      </c>
      <c r="AD3022" t="s">
        <v>31</v>
      </c>
      <c r="AE3022">
        <v>0</v>
      </c>
      <c r="AF3022" t="s">
        <v>31</v>
      </c>
      <c r="AG3022">
        <v>0</v>
      </c>
      <c r="AH3022" t="s">
        <v>31</v>
      </c>
      <c r="AI3022">
        <v>0</v>
      </c>
      <c r="AJ3022" t="s">
        <v>31</v>
      </c>
      <c r="AK3022">
        <v>0</v>
      </c>
      <c r="AL3022" t="s">
        <v>31</v>
      </c>
      <c r="AM3022">
        <v>0</v>
      </c>
      <c r="AN3022" t="s">
        <v>31</v>
      </c>
      <c r="AO3022">
        <v>0</v>
      </c>
      <c r="AP3022" t="s">
        <v>31</v>
      </c>
      <c r="AQ3022">
        <v>0</v>
      </c>
    </row>
    <row r="3023" spans="1:43" x14ac:dyDescent="0.2">
      <c r="A3023" t="s">
        <v>381</v>
      </c>
      <c r="B3023" s="3">
        <v>44314</v>
      </c>
      <c r="C3023">
        <v>78</v>
      </c>
      <c r="D3023" t="s">
        <v>387</v>
      </c>
      <c r="E3023" t="s">
        <v>90</v>
      </c>
      <c r="F3023" s="9" t="s">
        <v>91</v>
      </c>
      <c r="G3023" t="s">
        <v>26</v>
      </c>
      <c r="H3023" t="s">
        <v>85</v>
      </c>
      <c r="I3023" t="s">
        <v>86</v>
      </c>
      <c r="J3023" t="s">
        <v>53</v>
      </c>
      <c r="K3023" t="s">
        <v>54</v>
      </c>
      <c r="L3023" t="s">
        <v>53</v>
      </c>
      <c r="M3023" t="s">
        <v>54</v>
      </c>
      <c r="N3023" t="s">
        <v>85</v>
      </c>
      <c r="O3023" t="s">
        <v>86</v>
      </c>
      <c r="P3023" t="s">
        <v>53</v>
      </c>
      <c r="Q3023" t="s">
        <v>54</v>
      </c>
      <c r="R3023" s="1">
        <v>44314.559050925927</v>
      </c>
      <c r="S3023" s="1">
        <v>44314.559050925927</v>
      </c>
      <c r="T3023">
        <v>0</v>
      </c>
      <c r="U3023">
        <v>1</v>
      </c>
      <c r="V3023" s="2">
        <v>0</v>
      </c>
      <c r="W3023">
        <v>0</v>
      </c>
      <c r="X3023" t="s">
        <v>44</v>
      </c>
      <c r="Y3023">
        <v>0</v>
      </c>
      <c r="Z3023" t="s">
        <v>31</v>
      </c>
      <c r="AA3023">
        <v>0</v>
      </c>
      <c r="AB3023" t="s">
        <v>31</v>
      </c>
      <c r="AC3023">
        <v>0</v>
      </c>
      <c r="AD3023" t="s">
        <v>31</v>
      </c>
      <c r="AE3023">
        <v>0</v>
      </c>
      <c r="AF3023" t="s">
        <v>31</v>
      </c>
      <c r="AG3023">
        <v>0</v>
      </c>
      <c r="AH3023" t="s">
        <v>31</v>
      </c>
      <c r="AI3023">
        <v>0</v>
      </c>
      <c r="AJ3023" t="s">
        <v>31</v>
      </c>
      <c r="AK3023">
        <v>0</v>
      </c>
      <c r="AL3023" t="s">
        <v>31</v>
      </c>
      <c r="AM3023">
        <v>0</v>
      </c>
      <c r="AN3023" t="s">
        <v>31</v>
      </c>
      <c r="AO3023">
        <v>0</v>
      </c>
      <c r="AP3023" t="s">
        <v>31</v>
      </c>
      <c r="AQ3023">
        <v>0</v>
      </c>
    </row>
    <row r="3024" spans="1:43" x14ac:dyDescent="0.2">
      <c r="A3024" t="s">
        <v>381</v>
      </c>
      <c r="B3024" s="3">
        <v>44315</v>
      </c>
      <c r="C3024">
        <v>80</v>
      </c>
      <c r="D3024" t="s">
        <v>410</v>
      </c>
      <c r="E3024" t="s">
        <v>90</v>
      </c>
      <c r="F3024" s="9" t="s">
        <v>91</v>
      </c>
      <c r="G3024" t="s">
        <v>26</v>
      </c>
      <c r="H3024" t="s">
        <v>85</v>
      </c>
      <c r="I3024" t="s">
        <v>86</v>
      </c>
      <c r="J3024" t="s">
        <v>53</v>
      </c>
      <c r="K3024" t="s">
        <v>54</v>
      </c>
      <c r="L3024" t="s">
        <v>53</v>
      </c>
      <c r="M3024" t="s">
        <v>54</v>
      </c>
      <c r="N3024" t="s">
        <v>85</v>
      </c>
      <c r="O3024" t="s">
        <v>86</v>
      </c>
      <c r="P3024" t="s">
        <v>53</v>
      </c>
      <c r="Q3024" t="s">
        <v>54</v>
      </c>
      <c r="R3024" s="1">
        <v>44315.537245370368</v>
      </c>
      <c r="S3024" s="1">
        <v>44315.537245370368</v>
      </c>
      <c r="T3024">
        <v>0</v>
      </c>
      <c r="U3024">
        <v>1</v>
      </c>
      <c r="V3024" s="2">
        <v>0</v>
      </c>
      <c r="W3024">
        <v>0</v>
      </c>
      <c r="X3024" t="s">
        <v>44</v>
      </c>
      <c r="Y3024">
        <v>0</v>
      </c>
      <c r="Z3024" t="s">
        <v>31</v>
      </c>
      <c r="AA3024">
        <v>0</v>
      </c>
      <c r="AB3024" t="s">
        <v>31</v>
      </c>
      <c r="AC3024">
        <v>0</v>
      </c>
      <c r="AD3024" t="s">
        <v>31</v>
      </c>
      <c r="AE3024">
        <v>0</v>
      </c>
      <c r="AF3024" t="s">
        <v>31</v>
      </c>
      <c r="AG3024">
        <v>0</v>
      </c>
      <c r="AH3024" t="s">
        <v>31</v>
      </c>
      <c r="AI3024">
        <v>0</v>
      </c>
      <c r="AJ3024" t="s">
        <v>31</v>
      </c>
      <c r="AK3024">
        <v>0</v>
      </c>
      <c r="AL3024" t="s">
        <v>31</v>
      </c>
      <c r="AM3024">
        <v>0</v>
      </c>
      <c r="AN3024" t="s">
        <v>31</v>
      </c>
      <c r="AO3024">
        <v>0</v>
      </c>
      <c r="AP3024" t="s">
        <v>31</v>
      </c>
      <c r="AQ3024">
        <v>0</v>
      </c>
    </row>
    <row r="3025" spans="1:43" x14ac:dyDescent="0.2">
      <c r="A3025" t="s">
        <v>381</v>
      </c>
      <c r="B3025" s="3">
        <v>44315</v>
      </c>
      <c r="C3025">
        <v>81</v>
      </c>
      <c r="D3025" t="s">
        <v>385</v>
      </c>
      <c r="E3025" t="s">
        <v>90</v>
      </c>
      <c r="F3025" s="9" t="s">
        <v>91</v>
      </c>
      <c r="G3025" t="s">
        <v>26</v>
      </c>
      <c r="H3025" t="s">
        <v>85</v>
      </c>
      <c r="I3025" t="s">
        <v>86</v>
      </c>
      <c r="J3025" t="s">
        <v>53</v>
      </c>
      <c r="K3025" t="s">
        <v>54</v>
      </c>
      <c r="L3025" t="s">
        <v>53</v>
      </c>
      <c r="M3025" t="s">
        <v>54</v>
      </c>
      <c r="N3025" t="s">
        <v>85</v>
      </c>
      <c r="O3025" t="s">
        <v>86</v>
      </c>
      <c r="P3025" t="s">
        <v>53</v>
      </c>
      <c r="Q3025" t="s">
        <v>54</v>
      </c>
      <c r="R3025" s="1">
        <v>44315.551435185182</v>
      </c>
      <c r="S3025" s="1">
        <v>44315.588391203702</v>
      </c>
      <c r="T3025">
        <v>0</v>
      </c>
      <c r="U3025">
        <v>3</v>
      </c>
      <c r="V3025" s="2">
        <v>0</v>
      </c>
      <c r="W3025">
        <v>0</v>
      </c>
      <c r="X3025" t="s">
        <v>44</v>
      </c>
      <c r="Y3025">
        <v>0</v>
      </c>
      <c r="Z3025" t="s">
        <v>44</v>
      </c>
      <c r="AA3025">
        <v>0</v>
      </c>
      <c r="AB3025" t="s">
        <v>44</v>
      </c>
      <c r="AC3025">
        <v>0</v>
      </c>
      <c r="AD3025" t="s">
        <v>31</v>
      </c>
      <c r="AE3025">
        <v>0</v>
      </c>
      <c r="AF3025" t="s">
        <v>31</v>
      </c>
      <c r="AG3025">
        <v>0</v>
      </c>
      <c r="AH3025" t="s">
        <v>31</v>
      </c>
      <c r="AI3025">
        <v>0</v>
      </c>
      <c r="AJ3025" t="s">
        <v>31</v>
      </c>
      <c r="AK3025">
        <v>0</v>
      </c>
      <c r="AL3025" t="s">
        <v>31</v>
      </c>
      <c r="AM3025">
        <v>0</v>
      </c>
      <c r="AN3025" t="s">
        <v>31</v>
      </c>
      <c r="AO3025">
        <v>0</v>
      </c>
      <c r="AP3025" t="s">
        <v>31</v>
      </c>
      <c r="AQ3025">
        <v>0</v>
      </c>
    </row>
    <row r="3026" spans="1:43" x14ac:dyDescent="0.2">
      <c r="A3026" t="s">
        <v>381</v>
      </c>
      <c r="B3026" s="3">
        <v>44316</v>
      </c>
      <c r="C3026">
        <v>83</v>
      </c>
      <c r="D3026" t="s">
        <v>387</v>
      </c>
      <c r="E3026" t="s">
        <v>90</v>
      </c>
      <c r="F3026" s="9" t="s">
        <v>91</v>
      </c>
      <c r="G3026" t="s">
        <v>26</v>
      </c>
      <c r="H3026" t="s">
        <v>85</v>
      </c>
      <c r="I3026" t="s">
        <v>86</v>
      </c>
      <c r="J3026" t="s">
        <v>53</v>
      </c>
      <c r="K3026" t="s">
        <v>54</v>
      </c>
      <c r="L3026" t="s">
        <v>53</v>
      </c>
      <c r="M3026" t="s">
        <v>54</v>
      </c>
      <c r="N3026" t="s">
        <v>85</v>
      </c>
      <c r="O3026" t="s">
        <v>86</v>
      </c>
      <c r="P3026" t="s">
        <v>53</v>
      </c>
      <c r="Q3026" t="s">
        <v>54</v>
      </c>
      <c r="R3026" s="1">
        <v>44316.60738425926</v>
      </c>
      <c r="S3026" s="1">
        <v>44316.60738425926</v>
      </c>
      <c r="T3026">
        <v>0</v>
      </c>
      <c r="U3026">
        <v>1</v>
      </c>
      <c r="V3026" s="2">
        <v>0</v>
      </c>
      <c r="W3026">
        <v>0</v>
      </c>
      <c r="X3026" t="s">
        <v>44</v>
      </c>
      <c r="Y3026">
        <v>0</v>
      </c>
      <c r="Z3026" t="s">
        <v>31</v>
      </c>
      <c r="AA3026">
        <v>0</v>
      </c>
      <c r="AB3026" t="s">
        <v>31</v>
      </c>
      <c r="AC3026">
        <v>0</v>
      </c>
      <c r="AD3026" t="s">
        <v>31</v>
      </c>
      <c r="AE3026">
        <v>0</v>
      </c>
      <c r="AF3026" t="s">
        <v>31</v>
      </c>
      <c r="AG3026">
        <v>0</v>
      </c>
      <c r="AH3026" t="s">
        <v>31</v>
      </c>
      <c r="AI3026">
        <v>0</v>
      </c>
      <c r="AJ3026" t="s">
        <v>31</v>
      </c>
      <c r="AK3026">
        <v>0</v>
      </c>
      <c r="AL3026" t="s">
        <v>31</v>
      </c>
      <c r="AM3026">
        <v>0</v>
      </c>
      <c r="AN3026" t="s">
        <v>31</v>
      </c>
      <c r="AO3026">
        <v>0</v>
      </c>
      <c r="AP3026" t="s">
        <v>31</v>
      </c>
      <c r="AQ3026">
        <v>0</v>
      </c>
    </row>
    <row r="3027" spans="1:43" x14ac:dyDescent="0.2">
      <c r="A3027" t="s">
        <v>381</v>
      </c>
      <c r="B3027" s="3">
        <v>44319</v>
      </c>
      <c r="C3027">
        <v>84</v>
      </c>
      <c r="D3027" t="s">
        <v>390</v>
      </c>
      <c r="E3027" t="s">
        <v>90</v>
      </c>
      <c r="F3027" s="9" t="s">
        <v>91</v>
      </c>
      <c r="G3027" t="s">
        <v>26</v>
      </c>
      <c r="H3027" t="s">
        <v>85</v>
      </c>
      <c r="I3027" t="s">
        <v>86</v>
      </c>
      <c r="J3027" t="s">
        <v>53</v>
      </c>
      <c r="K3027" t="s">
        <v>54</v>
      </c>
      <c r="L3027" t="s">
        <v>53</v>
      </c>
      <c r="M3027" t="s">
        <v>54</v>
      </c>
      <c r="N3027" t="s">
        <v>85</v>
      </c>
      <c r="O3027" t="s">
        <v>86</v>
      </c>
      <c r="P3027" t="s">
        <v>53</v>
      </c>
      <c r="Q3027" t="s">
        <v>54</v>
      </c>
      <c r="R3027" s="1">
        <v>44319.45579861111</v>
      </c>
      <c r="S3027" s="1">
        <v>44319.45579861111</v>
      </c>
      <c r="T3027">
        <v>1</v>
      </c>
      <c r="U3027">
        <v>1</v>
      </c>
      <c r="V3027" s="2">
        <v>1</v>
      </c>
      <c r="W3027">
        <v>1</v>
      </c>
      <c r="X3027" t="s">
        <v>54</v>
      </c>
      <c r="Y3027">
        <v>1</v>
      </c>
      <c r="Z3027" t="s">
        <v>31</v>
      </c>
      <c r="AA3027">
        <v>0</v>
      </c>
      <c r="AB3027" t="s">
        <v>31</v>
      </c>
      <c r="AC3027">
        <v>0</v>
      </c>
      <c r="AD3027" t="s">
        <v>31</v>
      </c>
      <c r="AE3027">
        <v>0</v>
      </c>
      <c r="AF3027" t="s">
        <v>31</v>
      </c>
      <c r="AG3027">
        <v>0</v>
      </c>
      <c r="AH3027" t="s">
        <v>31</v>
      </c>
      <c r="AI3027">
        <v>0</v>
      </c>
      <c r="AJ3027" t="s">
        <v>31</v>
      </c>
      <c r="AK3027">
        <v>0</v>
      </c>
      <c r="AL3027" t="s">
        <v>31</v>
      </c>
      <c r="AM3027">
        <v>0</v>
      </c>
      <c r="AN3027" t="s">
        <v>31</v>
      </c>
      <c r="AO3027">
        <v>0</v>
      </c>
      <c r="AP3027" t="s">
        <v>31</v>
      </c>
      <c r="AQ3027">
        <v>0</v>
      </c>
    </row>
    <row r="3028" spans="1:43" x14ac:dyDescent="0.2">
      <c r="A3028" t="s">
        <v>381</v>
      </c>
      <c r="B3028" s="3">
        <v>44319</v>
      </c>
      <c r="C3028">
        <v>85</v>
      </c>
      <c r="D3028" t="s">
        <v>387</v>
      </c>
      <c r="E3028" t="s">
        <v>90</v>
      </c>
      <c r="F3028" s="9" t="s">
        <v>91</v>
      </c>
      <c r="G3028" t="s">
        <v>26</v>
      </c>
      <c r="H3028" t="s">
        <v>85</v>
      </c>
      <c r="I3028" t="s">
        <v>86</v>
      </c>
      <c r="J3028" t="s">
        <v>53</v>
      </c>
      <c r="K3028" t="s">
        <v>54</v>
      </c>
      <c r="L3028" t="s">
        <v>53</v>
      </c>
      <c r="M3028" t="s">
        <v>54</v>
      </c>
      <c r="N3028" t="s">
        <v>85</v>
      </c>
      <c r="O3028" t="s">
        <v>86</v>
      </c>
      <c r="P3028" t="s">
        <v>53</v>
      </c>
      <c r="Q3028" t="s">
        <v>54</v>
      </c>
      <c r="R3028" s="1">
        <v>44319.641956018517</v>
      </c>
      <c r="S3028" s="1">
        <v>44319.641956018517</v>
      </c>
      <c r="T3028">
        <v>0</v>
      </c>
      <c r="U3028">
        <v>1</v>
      </c>
      <c r="V3028" s="2">
        <v>0</v>
      </c>
      <c r="W3028">
        <v>0</v>
      </c>
      <c r="X3028" t="s">
        <v>44</v>
      </c>
      <c r="Y3028">
        <v>0</v>
      </c>
      <c r="Z3028" t="s">
        <v>31</v>
      </c>
      <c r="AA3028">
        <v>0</v>
      </c>
      <c r="AB3028" t="s">
        <v>31</v>
      </c>
      <c r="AC3028">
        <v>0</v>
      </c>
      <c r="AD3028" t="s">
        <v>31</v>
      </c>
      <c r="AE3028">
        <v>0</v>
      </c>
      <c r="AF3028" t="s">
        <v>31</v>
      </c>
      <c r="AG3028">
        <v>0</v>
      </c>
      <c r="AH3028" t="s">
        <v>31</v>
      </c>
      <c r="AI3028">
        <v>0</v>
      </c>
      <c r="AJ3028" t="s">
        <v>31</v>
      </c>
      <c r="AK3028">
        <v>0</v>
      </c>
      <c r="AL3028" t="s">
        <v>31</v>
      </c>
      <c r="AM3028">
        <v>0</v>
      </c>
      <c r="AN3028" t="s">
        <v>31</v>
      </c>
      <c r="AO3028">
        <v>0</v>
      </c>
      <c r="AP3028" t="s">
        <v>31</v>
      </c>
      <c r="AQ3028">
        <v>0</v>
      </c>
    </row>
    <row r="3029" spans="1:43" x14ac:dyDescent="0.2">
      <c r="A3029" t="s">
        <v>381</v>
      </c>
      <c r="B3029" s="3">
        <v>44320</v>
      </c>
      <c r="C3029">
        <v>87</v>
      </c>
      <c r="D3029" t="s">
        <v>385</v>
      </c>
      <c r="E3029" t="s">
        <v>90</v>
      </c>
      <c r="F3029" s="9" t="s">
        <v>91</v>
      </c>
      <c r="G3029" t="s">
        <v>26</v>
      </c>
      <c r="H3029" t="s">
        <v>85</v>
      </c>
      <c r="I3029" t="s">
        <v>86</v>
      </c>
      <c r="J3029" t="s">
        <v>53</v>
      </c>
      <c r="K3029" t="s">
        <v>54</v>
      </c>
      <c r="L3029" t="s">
        <v>53</v>
      </c>
      <c r="M3029" t="s">
        <v>54</v>
      </c>
      <c r="N3029" t="s">
        <v>85</v>
      </c>
      <c r="O3029" t="s">
        <v>86</v>
      </c>
      <c r="P3029" t="s">
        <v>53</v>
      </c>
      <c r="Q3029" t="s">
        <v>54</v>
      </c>
      <c r="R3029" s="1">
        <v>44320.551990740743</v>
      </c>
      <c r="S3029" s="1">
        <v>44320.572615740741</v>
      </c>
      <c r="T3029">
        <v>0</v>
      </c>
      <c r="U3029">
        <v>2</v>
      </c>
      <c r="V3029" s="2">
        <v>0</v>
      </c>
      <c r="W3029">
        <v>0</v>
      </c>
      <c r="X3029" t="s">
        <v>44</v>
      </c>
      <c r="Y3029">
        <v>0</v>
      </c>
      <c r="Z3029" t="s">
        <v>44</v>
      </c>
      <c r="AA3029">
        <v>0</v>
      </c>
      <c r="AB3029" t="s">
        <v>31</v>
      </c>
      <c r="AC3029">
        <v>0</v>
      </c>
      <c r="AD3029" t="s">
        <v>31</v>
      </c>
      <c r="AE3029">
        <v>0</v>
      </c>
      <c r="AF3029" t="s">
        <v>31</v>
      </c>
      <c r="AG3029">
        <v>0</v>
      </c>
      <c r="AH3029" t="s">
        <v>31</v>
      </c>
      <c r="AI3029">
        <v>0</v>
      </c>
      <c r="AJ3029" t="s">
        <v>31</v>
      </c>
      <c r="AK3029">
        <v>0</v>
      </c>
      <c r="AL3029" t="s">
        <v>31</v>
      </c>
      <c r="AM3029">
        <v>0</v>
      </c>
      <c r="AN3029" t="s">
        <v>31</v>
      </c>
      <c r="AO3029">
        <v>0</v>
      </c>
      <c r="AP3029" t="s">
        <v>31</v>
      </c>
      <c r="AQ3029">
        <v>0</v>
      </c>
    </row>
    <row r="3030" spans="1:43" x14ac:dyDescent="0.2">
      <c r="A3030" t="s">
        <v>381</v>
      </c>
      <c r="B3030" s="3">
        <v>44321</v>
      </c>
      <c r="C3030">
        <v>89</v>
      </c>
      <c r="D3030" t="s">
        <v>387</v>
      </c>
      <c r="E3030" t="s">
        <v>90</v>
      </c>
      <c r="F3030" s="9" t="s">
        <v>91</v>
      </c>
      <c r="G3030" t="s">
        <v>26</v>
      </c>
      <c r="H3030" t="s">
        <v>85</v>
      </c>
      <c r="I3030" t="s">
        <v>86</v>
      </c>
      <c r="J3030" t="s">
        <v>53</v>
      </c>
      <c r="K3030" t="s">
        <v>54</v>
      </c>
      <c r="L3030" t="s">
        <v>53</v>
      </c>
      <c r="M3030" t="s">
        <v>54</v>
      </c>
      <c r="N3030" t="s">
        <v>85</v>
      </c>
      <c r="O3030" t="s">
        <v>86</v>
      </c>
      <c r="P3030" t="s">
        <v>53</v>
      </c>
      <c r="Q3030" t="s">
        <v>54</v>
      </c>
      <c r="R3030" s="1">
        <v>44321.623067129629</v>
      </c>
      <c r="S3030" s="1">
        <v>44321.623067129629</v>
      </c>
      <c r="T3030">
        <v>0</v>
      </c>
      <c r="U3030">
        <v>1</v>
      </c>
      <c r="V3030" s="2">
        <v>0</v>
      </c>
      <c r="W3030">
        <v>0</v>
      </c>
      <c r="X3030" t="s">
        <v>44</v>
      </c>
      <c r="Y3030">
        <v>0</v>
      </c>
      <c r="Z3030" t="s">
        <v>31</v>
      </c>
      <c r="AA3030">
        <v>0</v>
      </c>
      <c r="AB3030" t="s">
        <v>31</v>
      </c>
      <c r="AC3030">
        <v>0</v>
      </c>
      <c r="AD3030" t="s">
        <v>31</v>
      </c>
      <c r="AE3030">
        <v>0</v>
      </c>
      <c r="AF3030" t="s">
        <v>31</v>
      </c>
      <c r="AG3030">
        <v>0</v>
      </c>
      <c r="AH3030" t="s">
        <v>31</v>
      </c>
      <c r="AI3030">
        <v>0</v>
      </c>
      <c r="AJ3030" t="s">
        <v>31</v>
      </c>
      <c r="AK3030">
        <v>0</v>
      </c>
      <c r="AL3030" t="s">
        <v>31</v>
      </c>
      <c r="AM3030">
        <v>0</v>
      </c>
      <c r="AN3030" t="s">
        <v>31</v>
      </c>
      <c r="AO3030">
        <v>0</v>
      </c>
      <c r="AP3030" t="s">
        <v>31</v>
      </c>
      <c r="AQ3030">
        <v>0</v>
      </c>
    </row>
    <row r="3031" spans="1:43" x14ac:dyDescent="0.2">
      <c r="A3031" t="s">
        <v>381</v>
      </c>
      <c r="B3031" s="3">
        <v>44326</v>
      </c>
      <c r="C3031">
        <v>92</v>
      </c>
      <c r="D3031" t="s">
        <v>390</v>
      </c>
      <c r="E3031" t="s">
        <v>90</v>
      </c>
      <c r="F3031" s="9" t="s">
        <v>91</v>
      </c>
      <c r="G3031" t="s">
        <v>26</v>
      </c>
      <c r="H3031" t="s">
        <v>85</v>
      </c>
      <c r="I3031" t="s">
        <v>86</v>
      </c>
      <c r="J3031" t="s">
        <v>53</v>
      </c>
      <c r="K3031" t="s">
        <v>54</v>
      </c>
      <c r="L3031" t="s">
        <v>53</v>
      </c>
      <c r="M3031" t="s">
        <v>54</v>
      </c>
      <c r="N3031" t="s">
        <v>85</v>
      </c>
      <c r="O3031" t="s">
        <v>86</v>
      </c>
      <c r="P3031" t="s">
        <v>53</v>
      </c>
      <c r="Q3031" t="s">
        <v>54</v>
      </c>
      <c r="R3031" s="1">
        <v>44326.414537037039</v>
      </c>
      <c r="S3031" s="1">
        <v>44326.414537037039</v>
      </c>
      <c r="T3031">
        <v>0</v>
      </c>
      <c r="U3031">
        <v>1</v>
      </c>
      <c r="V3031" s="2">
        <v>0</v>
      </c>
      <c r="W3031">
        <v>0</v>
      </c>
      <c r="X3031" t="s">
        <v>44</v>
      </c>
      <c r="Y3031">
        <v>0</v>
      </c>
      <c r="Z3031" t="s">
        <v>31</v>
      </c>
      <c r="AA3031">
        <v>0</v>
      </c>
      <c r="AB3031" t="s">
        <v>31</v>
      </c>
      <c r="AC3031">
        <v>0</v>
      </c>
      <c r="AD3031" t="s">
        <v>31</v>
      </c>
      <c r="AE3031">
        <v>0</v>
      </c>
      <c r="AF3031" t="s">
        <v>31</v>
      </c>
      <c r="AG3031">
        <v>0</v>
      </c>
      <c r="AH3031" t="s">
        <v>31</v>
      </c>
      <c r="AI3031">
        <v>0</v>
      </c>
      <c r="AJ3031" t="s">
        <v>31</v>
      </c>
      <c r="AK3031">
        <v>0</v>
      </c>
      <c r="AL3031" t="s">
        <v>31</v>
      </c>
      <c r="AM3031">
        <v>0</v>
      </c>
      <c r="AN3031" t="s">
        <v>31</v>
      </c>
      <c r="AO3031">
        <v>0</v>
      </c>
      <c r="AP3031" t="s">
        <v>31</v>
      </c>
      <c r="AQ3031">
        <v>0</v>
      </c>
    </row>
    <row r="3032" spans="1:43" x14ac:dyDescent="0.2">
      <c r="A3032" t="s">
        <v>381</v>
      </c>
      <c r="B3032" s="3">
        <v>44327</v>
      </c>
      <c r="C3032">
        <v>96</v>
      </c>
      <c r="D3032" t="s">
        <v>385</v>
      </c>
      <c r="E3032" t="s">
        <v>90</v>
      </c>
      <c r="F3032" s="9" t="s">
        <v>91</v>
      </c>
      <c r="G3032" t="s">
        <v>26</v>
      </c>
      <c r="H3032" t="s">
        <v>85</v>
      </c>
      <c r="I3032" t="s">
        <v>86</v>
      </c>
      <c r="J3032" t="s">
        <v>53</v>
      </c>
      <c r="K3032" t="s">
        <v>54</v>
      </c>
      <c r="L3032" t="s">
        <v>53</v>
      </c>
      <c r="M3032" t="s">
        <v>54</v>
      </c>
      <c r="N3032" t="s">
        <v>85</v>
      </c>
      <c r="O3032" t="s">
        <v>86</v>
      </c>
      <c r="P3032" t="s">
        <v>53</v>
      </c>
      <c r="Q3032" t="s">
        <v>54</v>
      </c>
      <c r="R3032" s="1">
        <v>44327.58792824074</v>
      </c>
      <c r="S3032" s="1">
        <v>44327.58792824074</v>
      </c>
      <c r="T3032">
        <v>0</v>
      </c>
      <c r="U3032">
        <v>2</v>
      </c>
      <c r="V3032" s="2">
        <v>0</v>
      </c>
      <c r="W3032">
        <v>0</v>
      </c>
      <c r="X3032" t="s">
        <v>44</v>
      </c>
      <c r="Y3032">
        <v>0</v>
      </c>
      <c r="Z3032" t="s">
        <v>44</v>
      </c>
      <c r="AA3032">
        <v>0</v>
      </c>
      <c r="AB3032" t="s">
        <v>31</v>
      </c>
      <c r="AC3032">
        <v>0</v>
      </c>
      <c r="AD3032" t="s">
        <v>31</v>
      </c>
      <c r="AE3032">
        <v>0</v>
      </c>
      <c r="AF3032" t="s">
        <v>31</v>
      </c>
      <c r="AG3032">
        <v>0</v>
      </c>
      <c r="AH3032" t="s">
        <v>31</v>
      </c>
      <c r="AI3032">
        <v>0</v>
      </c>
      <c r="AJ3032" t="s">
        <v>31</v>
      </c>
      <c r="AK3032">
        <v>0</v>
      </c>
      <c r="AL3032" t="s">
        <v>31</v>
      </c>
      <c r="AM3032">
        <v>0</v>
      </c>
      <c r="AN3032" t="s">
        <v>31</v>
      </c>
      <c r="AO3032">
        <v>0</v>
      </c>
      <c r="AP3032" t="s">
        <v>31</v>
      </c>
      <c r="AQ3032">
        <v>0</v>
      </c>
    </row>
    <row r="3033" spans="1:43" x14ac:dyDescent="0.2">
      <c r="A3033" t="s">
        <v>381</v>
      </c>
      <c r="B3033" s="3">
        <v>44328</v>
      </c>
      <c r="C3033">
        <v>97</v>
      </c>
      <c r="D3033" t="s">
        <v>387</v>
      </c>
      <c r="E3033" t="s">
        <v>90</v>
      </c>
      <c r="F3033" s="9" t="s">
        <v>91</v>
      </c>
      <c r="G3033" t="s">
        <v>26</v>
      </c>
      <c r="H3033" t="s">
        <v>85</v>
      </c>
      <c r="I3033" t="s">
        <v>86</v>
      </c>
      <c r="J3033" t="s">
        <v>53</v>
      </c>
      <c r="K3033" t="s">
        <v>54</v>
      </c>
      <c r="L3033" t="s">
        <v>53</v>
      </c>
      <c r="M3033" t="s">
        <v>54</v>
      </c>
      <c r="N3033" t="s">
        <v>85</v>
      </c>
      <c r="O3033" t="s">
        <v>86</v>
      </c>
      <c r="P3033" t="s">
        <v>53</v>
      </c>
      <c r="Q3033" t="s">
        <v>54</v>
      </c>
      <c r="R3033" s="1">
        <v>44328.550659722219</v>
      </c>
      <c r="S3033" s="1">
        <v>44328.550659722219</v>
      </c>
      <c r="T3033">
        <v>0</v>
      </c>
      <c r="U3033">
        <v>1</v>
      </c>
      <c r="V3033" s="2">
        <v>0</v>
      </c>
      <c r="W3033">
        <v>0</v>
      </c>
      <c r="X3033" t="s">
        <v>44</v>
      </c>
      <c r="Y3033">
        <v>0</v>
      </c>
      <c r="Z3033" t="s">
        <v>31</v>
      </c>
      <c r="AA3033">
        <v>0</v>
      </c>
      <c r="AB3033" t="s">
        <v>31</v>
      </c>
      <c r="AC3033">
        <v>0</v>
      </c>
      <c r="AD3033" t="s">
        <v>31</v>
      </c>
      <c r="AE3033">
        <v>0</v>
      </c>
      <c r="AF3033" t="s">
        <v>31</v>
      </c>
      <c r="AG3033">
        <v>0</v>
      </c>
      <c r="AH3033" t="s">
        <v>31</v>
      </c>
      <c r="AI3033">
        <v>0</v>
      </c>
      <c r="AJ3033" t="s">
        <v>31</v>
      </c>
      <c r="AK3033">
        <v>0</v>
      </c>
      <c r="AL3033" t="s">
        <v>31</v>
      </c>
      <c r="AM3033">
        <v>0</v>
      </c>
      <c r="AN3033" t="s">
        <v>31</v>
      </c>
      <c r="AO3033">
        <v>0</v>
      </c>
      <c r="AP3033" t="s">
        <v>31</v>
      </c>
      <c r="AQ3033">
        <v>0</v>
      </c>
    </row>
    <row r="3034" spans="1:43" x14ac:dyDescent="0.2">
      <c r="A3034" t="s">
        <v>381</v>
      </c>
      <c r="B3034" s="3">
        <v>44334</v>
      </c>
      <c r="C3034">
        <v>99</v>
      </c>
      <c r="D3034" t="s">
        <v>385</v>
      </c>
      <c r="E3034" t="s">
        <v>90</v>
      </c>
      <c r="F3034" s="9" t="s">
        <v>91</v>
      </c>
      <c r="G3034" t="s">
        <v>26</v>
      </c>
      <c r="H3034" t="s">
        <v>85</v>
      </c>
      <c r="I3034" t="s">
        <v>86</v>
      </c>
      <c r="J3034" t="s">
        <v>53</v>
      </c>
      <c r="K3034" t="s">
        <v>54</v>
      </c>
      <c r="L3034" t="s">
        <v>53</v>
      </c>
      <c r="M3034" t="s">
        <v>54</v>
      </c>
      <c r="N3034" t="s">
        <v>85</v>
      </c>
      <c r="O3034" t="s">
        <v>86</v>
      </c>
      <c r="P3034" t="s">
        <v>53</v>
      </c>
      <c r="Q3034" t="s">
        <v>54</v>
      </c>
      <c r="R3034" s="1">
        <v>44334.545740740738</v>
      </c>
      <c r="S3034" s="1">
        <v>44334.634791666664</v>
      </c>
      <c r="T3034">
        <v>0</v>
      </c>
      <c r="U3034">
        <v>6</v>
      </c>
      <c r="V3034" s="2">
        <v>0</v>
      </c>
      <c r="W3034">
        <v>0</v>
      </c>
      <c r="X3034" t="s">
        <v>44</v>
      </c>
      <c r="Y3034">
        <v>0</v>
      </c>
      <c r="Z3034" t="s">
        <v>44</v>
      </c>
      <c r="AA3034">
        <v>0</v>
      </c>
      <c r="AB3034" t="s">
        <v>44</v>
      </c>
      <c r="AC3034">
        <v>0</v>
      </c>
      <c r="AD3034" t="s">
        <v>44</v>
      </c>
      <c r="AE3034">
        <v>0</v>
      </c>
      <c r="AF3034" t="s">
        <v>44</v>
      </c>
      <c r="AG3034">
        <v>0</v>
      </c>
      <c r="AH3034" t="s">
        <v>44</v>
      </c>
      <c r="AI3034">
        <v>0</v>
      </c>
      <c r="AJ3034" t="s">
        <v>31</v>
      </c>
      <c r="AK3034">
        <v>0</v>
      </c>
      <c r="AL3034" t="s">
        <v>31</v>
      </c>
      <c r="AM3034">
        <v>0</v>
      </c>
      <c r="AN3034" t="s">
        <v>31</v>
      </c>
      <c r="AO3034">
        <v>0</v>
      </c>
      <c r="AP3034" t="s">
        <v>31</v>
      </c>
      <c r="AQ3034">
        <v>0</v>
      </c>
    </row>
    <row r="3035" spans="1:43" x14ac:dyDescent="0.2">
      <c r="A3035" t="s">
        <v>381</v>
      </c>
      <c r="B3035" s="3">
        <v>44335</v>
      </c>
      <c r="C3035">
        <v>100</v>
      </c>
      <c r="D3035" t="s">
        <v>398</v>
      </c>
      <c r="E3035" t="s">
        <v>90</v>
      </c>
      <c r="F3035" s="9" t="s">
        <v>91</v>
      </c>
      <c r="G3035" t="s">
        <v>26</v>
      </c>
      <c r="H3035" t="s">
        <v>85</v>
      </c>
      <c r="I3035" t="s">
        <v>86</v>
      </c>
      <c r="J3035" t="s">
        <v>53</v>
      </c>
      <c r="K3035" t="s">
        <v>54</v>
      </c>
      <c r="L3035" t="s">
        <v>53</v>
      </c>
      <c r="M3035" t="s">
        <v>54</v>
      </c>
      <c r="N3035" t="s">
        <v>85</v>
      </c>
      <c r="O3035" t="s">
        <v>86</v>
      </c>
      <c r="P3035" t="s">
        <v>53</v>
      </c>
      <c r="Q3035" t="s">
        <v>54</v>
      </c>
      <c r="R3035" s="1">
        <v>44335.460277777776</v>
      </c>
      <c r="S3035" s="1">
        <v>44335.460370370369</v>
      </c>
      <c r="T3035">
        <v>0</v>
      </c>
      <c r="U3035">
        <v>2</v>
      </c>
      <c r="V3035" s="2">
        <v>0</v>
      </c>
      <c r="W3035">
        <v>0</v>
      </c>
      <c r="X3035" t="s">
        <v>44</v>
      </c>
      <c r="Y3035">
        <v>0</v>
      </c>
      <c r="Z3035" t="s">
        <v>44</v>
      </c>
      <c r="AA3035">
        <v>0</v>
      </c>
      <c r="AB3035" t="s">
        <v>31</v>
      </c>
      <c r="AC3035">
        <v>0</v>
      </c>
      <c r="AD3035" t="s">
        <v>31</v>
      </c>
      <c r="AE3035">
        <v>0</v>
      </c>
      <c r="AF3035" t="s">
        <v>31</v>
      </c>
      <c r="AG3035">
        <v>0</v>
      </c>
      <c r="AH3035" t="s">
        <v>31</v>
      </c>
      <c r="AI3035">
        <v>0</v>
      </c>
      <c r="AJ3035" t="s">
        <v>31</v>
      </c>
      <c r="AK3035">
        <v>0</v>
      </c>
      <c r="AL3035" t="s">
        <v>31</v>
      </c>
      <c r="AM3035">
        <v>0</v>
      </c>
      <c r="AN3035" t="s">
        <v>31</v>
      </c>
      <c r="AO3035">
        <v>0</v>
      </c>
      <c r="AP3035" t="s">
        <v>31</v>
      </c>
      <c r="AQ3035">
        <v>0</v>
      </c>
    </row>
    <row r="3036" spans="1:43" x14ac:dyDescent="0.2">
      <c r="A3036" t="s">
        <v>381</v>
      </c>
      <c r="B3036" s="3">
        <v>44336</v>
      </c>
      <c r="C3036">
        <v>103</v>
      </c>
      <c r="D3036" t="s">
        <v>385</v>
      </c>
      <c r="E3036" t="s">
        <v>90</v>
      </c>
      <c r="F3036" s="9" t="s">
        <v>91</v>
      </c>
      <c r="G3036" t="s">
        <v>26</v>
      </c>
      <c r="H3036" t="s">
        <v>85</v>
      </c>
      <c r="I3036" t="s">
        <v>86</v>
      </c>
      <c r="J3036" t="s">
        <v>53</v>
      </c>
      <c r="K3036" t="s">
        <v>54</v>
      </c>
      <c r="L3036" t="s">
        <v>53</v>
      </c>
      <c r="M3036" t="s">
        <v>54</v>
      </c>
      <c r="N3036" t="s">
        <v>85</v>
      </c>
      <c r="O3036" t="s">
        <v>86</v>
      </c>
      <c r="P3036" t="s">
        <v>53</v>
      </c>
      <c r="Q3036" t="s">
        <v>54</v>
      </c>
      <c r="R3036" s="1">
        <v>44336.547152777777</v>
      </c>
      <c r="S3036" s="1">
        <v>44336.547152777777</v>
      </c>
      <c r="T3036">
        <v>0</v>
      </c>
      <c r="U3036">
        <v>3</v>
      </c>
      <c r="V3036" s="2">
        <v>0</v>
      </c>
      <c r="W3036">
        <v>0</v>
      </c>
      <c r="X3036" t="s">
        <v>44</v>
      </c>
      <c r="Y3036">
        <v>0</v>
      </c>
      <c r="Z3036" t="s">
        <v>44</v>
      </c>
      <c r="AA3036">
        <v>0</v>
      </c>
      <c r="AB3036" t="s">
        <v>44</v>
      </c>
      <c r="AC3036">
        <v>0</v>
      </c>
      <c r="AD3036" t="s">
        <v>31</v>
      </c>
      <c r="AE3036">
        <v>0</v>
      </c>
      <c r="AF3036" t="s">
        <v>31</v>
      </c>
      <c r="AG3036">
        <v>0</v>
      </c>
      <c r="AH3036" t="s">
        <v>31</v>
      </c>
      <c r="AI3036">
        <v>0</v>
      </c>
      <c r="AJ3036" t="s">
        <v>31</v>
      </c>
      <c r="AK3036">
        <v>0</v>
      </c>
      <c r="AL3036" t="s">
        <v>31</v>
      </c>
      <c r="AM3036">
        <v>0</v>
      </c>
      <c r="AN3036" t="s">
        <v>31</v>
      </c>
      <c r="AO3036">
        <v>0</v>
      </c>
      <c r="AP3036" t="s">
        <v>31</v>
      </c>
      <c r="AQ3036">
        <v>0</v>
      </c>
    </row>
    <row r="3037" spans="1:43" x14ac:dyDescent="0.2">
      <c r="A3037" t="s">
        <v>381</v>
      </c>
      <c r="B3037" s="3">
        <v>44337</v>
      </c>
      <c r="C3037">
        <v>104</v>
      </c>
      <c r="D3037" t="s">
        <v>390</v>
      </c>
      <c r="E3037" t="s">
        <v>90</v>
      </c>
      <c r="F3037" s="9" t="s">
        <v>91</v>
      </c>
      <c r="G3037" t="s">
        <v>26</v>
      </c>
      <c r="H3037" t="s">
        <v>85</v>
      </c>
      <c r="I3037" t="s">
        <v>86</v>
      </c>
      <c r="J3037" t="s">
        <v>53</v>
      </c>
      <c r="K3037" t="s">
        <v>54</v>
      </c>
      <c r="L3037" t="s">
        <v>53</v>
      </c>
      <c r="M3037" t="s">
        <v>54</v>
      </c>
      <c r="N3037" t="s">
        <v>85</v>
      </c>
      <c r="O3037" t="s">
        <v>86</v>
      </c>
      <c r="P3037" t="s">
        <v>53</v>
      </c>
      <c r="Q3037" t="s">
        <v>54</v>
      </c>
      <c r="R3037" s="1">
        <v>44337.478993055556</v>
      </c>
      <c r="S3037" s="1">
        <v>44337.478993055556</v>
      </c>
      <c r="T3037">
        <v>0</v>
      </c>
      <c r="U3037">
        <v>1</v>
      </c>
      <c r="V3037" s="2">
        <v>0</v>
      </c>
      <c r="W3037">
        <v>0</v>
      </c>
      <c r="X3037" t="s">
        <v>44</v>
      </c>
      <c r="Y3037">
        <v>0</v>
      </c>
      <c r="Z3037" t="s">
        <v>31</v>
      </c>
      <c r="AA3037">
        <v>0</v>
      </c>
      <c r="AB3037" t="s">
        <v>31</v>
      </c>
      <c r="AC3037">
        <v>0</v>
      </c>
      <c r="AD3037" t="s">
        <v>31</v>
      </c>
      <c r="AE3037">
        <v>0</v>
      </c>
      <c r="AF3037" t="s">
        <v>31</v>
      </c>
      <c r="AG3037">
        <v>0</v>
      </c>
      <c r="AH3037" t="s">
        <v>31</v>
      </c>
      <c r="AI3037">
        <v>0</v>
      </c>
      <c r="AJ3037" t="s">
        <v>31</v>
      </c>
      <c r="AK3037">
        <v>0</v>
      </c>
      <c r="AL3037" t="s">
        <v>31</v>
      </c>
      <c r="AM3037">
        <v>0</v>
      </c>
      <c r="AN3037" t="s">
        <v>31</v>
      </c>
      <c r="AO3037">
        <v>0</v>
      </c>
      <c r="AP3037" t="s">
        <v>31</v>
      </c>
      <c r="AQ3037">
        <v>0</v>
      </c>
    </row>
    <row r="3038" spans="1:43" x14ac:dyDescent="0.2">
      <c r="A3038" t="s">
        <v>381</v>
      </c>
      <c r="B3038" s="3">
        <v>44337</v>
      </c>
      <c r="C3038">
        <v>105</v>
      </c>
      <c r="D3038" t="s">
        <v>405</v>
      </c>
      <c r="E3038" t="s">
        <v>90</v>
      </c>
      <c r="F3038" s="9" t="s">
        <v>91</v>
      </c>
      <c r="G3038" t="s">
        <v>26</v>
      </c>
      <c r="H3038" t="s">
        <v>85</v>
      </c>
      <c r="I3038" t="s">
        <v>86</v>
      </c>
      <c r="J3038" t="s">
        <v>53</v>
      </c>
      <c r="K3038" t="s">
        <v>54</v>
      </c>
      <c r="L3038" t="s">
        <v>53</v>
      </c>
      <c r="M3038" t="s">
        <v>54</v>
      </c>
      <c r="N3038" t="s">
        <v>85</v>
      </c>
      <c r="O3038" t="s">
        <v>86</v>
      </c>
      <c r="P3038" t="s">
        <v>53</v>
      </c>
      <c r="Q3038" t="s">
        <v>54</v>
      </c>
      <c r="R3038" s="1">
        <v>44337.557627314818</v>
      </c>
      <c r="S3038" s="1">
        <v>44337.557858796295</v>
      </c>
      <c r="T3038">
        <v>0</v>
      </c>
      <c r="U3038">
        <v>1</v>
      </c>
      <c r="V3038" s="2">
        <v>0</v>
      </c>
      <c r="W3038">
        <v>0</v>
      </c>
      <c r="X3038" t="s">
        <v>44</v>
      </c>
      <c r="Y3038">
        <v>0</v>
      </c>
      <c r="Z3038" t="s">
        <v>31</v>
      </c>
      <c r="AA3038">
        <v>0</v>
      </c>
      <c r="AB3038" t="s">
        <v>31</v>
      </c>
      <c r="AC3038">
        <v>0</v>
      </c>
      <c r="AD3038" t="s">
        <v>31</v>
      </c>
      <c r="AE3038">
        <v>0</v>
      </c>
      <c r="AF3038" t="s">
        <v>31</v>
      </c>
      <c r="AG3038">
        <v>0</v>
      </c>
      <c r="AH3038" t="s">
        <v>31</v>
      </c>
      <c r="AI3038">
        <v>0</v>
      </c>
      <c r="AJ3038" t="s">
        <v>31</v>
      </c>
      <c r="AK3038">
        <v>0</v>
      </c>
      <c r="AL3038" t="s">
        <v>31</v>
      </c>
      <c r="AM3038">
        <v>0</v>
      </c>
      <c r="AN3038" t="s">
        <v>31</v>
      </c>
      <c r="AO3038">
        <v>0</v>
      </c>
      <c r="AP3038" t="s">
        <v>31</v>
      </c>
      <c r="AQ3038">
        <v>0</v>
      </c>
    </row>
    <row r="3039" spans="1:43" x14ac:dyDescent="0.2">
      <c r="A3039" t="s">
        <v>381</v>
      </c>
      <c r="B3039" s="3">
        <v>44338</v>
      </c>
      <c r="C3039">
        <v>106</v>
      </c>
      <c r="D3039" t="s">
        <v>408</v>
      </c>
      <c r="E3039" t="s">
        <v>90</v>
      </c>
      <c r="F3039" s="9" t="s">
        <v>91</v>
      </c>
      <c r="G3039" t="s">
        <v>26</v>
      </c>
      <c r="H3039" t="s">
        <v>85</v>
      </c>
      <c r="I3039" t="s">
        <v>86</v>
      </c>
      <c r="J3039" t="s">
        <v>53</v>
      </c>
      <c r="K3039" t="s">
        <v>54</v>
      </c>
      <c r="L3039" t="s">
        <v>53</v>
      </c>
      <c r="M3039" t="s">
        <v>54</v>
      </c>
      <c r="N3039" t="s">
        <v>85</v>
      </c>
      <c r="O3039" t="s">
        <v>86</v>
      </c>
      <c r="P3039" t="s">
        <v>53</v>
      </c>
      <c r="Q3039" t="s">
        <v>54</v>
      </c>
      <c r="R3039" s="1">
        <v>44338.463807870372</v>
      </c>
      <c r="S3039" s="1">
        <v>44338.463819444441</v>
      </c>
      <c r="T3039">
        <v>0</v>
      </c>
      <c r="U3039">
        <v>1</v>
      </c>
      <c r="V3039" s="2">
        <v>0</v>
      </c>
      <c r="W3039">
        <v>0</v>
      </c>
      <c r="X3039" t="s">
        <v>44</v>
      </c>
      <c r="Y3039">
        <v>0</v>
      </c>
      <c r="Z3039" t="s">
        <v>31</v>
      </c>
      <c r="AA3039">
        <v>0</v>
      </c>
      <c r="AB3039" t="s">
        <v>31</v>
      </c>
      <c r="AC3039">
        <v>0</v>
      </c>
      <c r="AD3039" t="s">
        <v>31</v>
      </c>
      <c r="AE3039">
        <v>0</v>
      </c>
      <c r="AF3039" t="s">
        <v>31</v>
      </c>
      <c r="AG3039">
        <v>0</v>
      </c>
      <c r="AH3039" t="s">
        <v>31</v>
      </c>
      <c r="AI3039">
        <v>0</v>
      </c>
      <c r="AJ3039" t="s">
        <v>31</v>
      </c>
      <c r="AK3039">
        <v>0</v>
      </c>
      <c r="AL3039" t="s">
        <v>31</v>
      </c>
      <c r="AM3039">
        <v>0</v>
      </c>
      <c r="AN3039" t="s">
        <v>31</v>
      </c>
      <c r="AO3039">
        <v>0</v>
      </c>
      <c r="AP3039" t="s">
        <v>31</v>
      </c>
      <c r="AQ3039">
        <v>0</v>
      </c>
    </row>
    <row r="3040" spans="1:43" x14ac:dyDescent="0.2">
      <c r="A3040" t="s">
        <v>381</v>
      </c>
      <c r="B3040" s="3">
        <v>44338</v>
      </c>
      <c r="C3040">
        <v>107</v>
      </c>
      <c r="D3040" t="s">
        <v>392</v>
      </c>
      <c r="E3040" t="s">
        <v>90</v>
      </c>
      <c r="F3040" s="9" t="s">
        <v>91</v>
      </c>
      <c r="G3040" t="s">
        <v>26</v>
      </c>
      <c r="H3040" t="s">
        <v>85</v>
      </c>
      <c r="I3040" t="s">
        <v>86</v>
      </c>
      <c r="J3040" t="s">
        <v>53</v>
      </c>
      <c r="K3040" t="s">
        <v>54</v>
      </c>
      <c r="L3040" t="s">
        <v>53</v>
      </c>
      <c r="M3040" t="s">
        <v>54</v>
      </c>
      <c r="N3040" t="s">
        <v>85</v>
      </c>
      <c r="O3040" t="s">
        <v>86</v>
      </c>
      <c r="P3040" t="s">
        <v>53</v>
      </c>
      <c r="Q3040" t="s">
        <v>54</v>
      </c>
      <c r="R3040" s="1">
        <v>44338.608032407406</v>
      </c>
      <c r="S3040" s="1">
        <v>44338.619571759256</v>
      </c>
      <c r="T3040">
        <v>0</v>
      </c>
      <c r="U3040">
        <v>2</v>
      </c>
      <c r="V3040" s="2">
        <v>0</v>
      </c>
      <c r="W3040">
        <v>0</v>
      </c>
      <c r="X3040" t="s">
        <v>44</v>
      </c>
      <c r="Y3040">
        <v>0</v>
      </c>
      <c r="Z3040" t="s">
        <v>44</v>
      </c>
      <c r="AA3040">
        <v>0</v>
      </c>
      <c r="AB3040" t="s">
        <v>31</v>
      </c>
      <c r="AC3040">
        <v>0</v>
      </c>
      <c r="AD3040" t="s">
        <v>31</v>
      </c>
      <c r="AE3040">
        <v>0</v>
      </c>
      <c r="AF3040" t="s">
        <v>31</v>
      </c>
      <c r="AG3040">
        <v>0</v>
      </c>
      <c r="AH3040" t="s">
        <v>31</v>
      </c>
      <c r="AI3040">
        <v>0</v>
      </c>
      <c r="AJ3040" t="s">
        <v>31</v>
      </c>
      <c r="AK3040">
        <v>0</v>
      </c>
      <c r="AL3040" t="s">
        <v>31</v>
      </c>
      <c r="AM3040">
        <v>0</v>
      </c>
      <c r="AN3040" t="s">
        <v>31</v>
      </c>
      <c r="AO3040">
        <v>0</v>
      </c>
      <c r="AP3040" t="s">
        <v>31</v>
      </c>
      <c r="AQ3040">
        <v>0</v>
      </c>
    </row>
    <row r="3041" spans="1:43" x14ac:dyDescent="0.2">
      <c r="A3041" t="s">
        <v>381</v>
      </c>
      <c r="B3041" s="3">
        <v>44340</v>
      </c>
      <c r="C3041">
        <v>108</v>
      </c>
      <c r="D3041" t="s">
        <v>393</v>
      </c>
      <c r="E3041" t="s">
        <v>90</v>
      </c>
      <c r="F3041" s="9" t="s">
        <v>91</v>
      </c>
      <c r="G3041" t="s">
        <v>26</v>
      </c>
      <c r="H3041" t="s">
        <v>85</v>
      </c>
      <c r="I3041" t="s">
        <v>86</v>
      </c>
      <c r="J3041" t="s">
        <v>53</v>
      </c>
      <c r="K3041" t="s">
        <v>54</v>
      </c>
      <c r="L3041" t="s">
        <v>53</v>
      </c>
      <c r="M3041" t="s">
        <v>54</v>
      </c>
      <c r="N3041" t="s">
        <v>85</v>
      </c>
      <c r="O3041" t="s">
        <v>86</v>
      </c>
      <c r="P3041" t="s">
        <v>53</v>
      </c>
      <c r="Q3041" t="s">
        <v>54</v>
      </c>
      <c r="R3041" s="1">
        <v>44340.402384259258</v>
      </c>
      <c r="S3041" s="1">
        <v>44340.402395833335</v>
      </c>
      <c r="T3041">
        <v>0</v>
      </c>
      <c r="U3041">
        <v>2</v>
      </c>
      <c r="V3041" s="2">
        <v>0</v>
      </c>
      <c r="W3041">
        <v>0</v>
      </c>
      <c r="X3041" t="s">
        <v>44</v>
      </c>
      <c r="Y3041">
        <v>0</v>
      </c>
      <c r="Z3041" t="s">
        <v>44</v>
      </c>
      <c r="AA3041">
        <v>0</v>
      </c>
      <c r="AB3041" t="s">
        <v>31</v>
      </c>
      <c r="AC3041">
        <v>0</v>
      </c>
      <c r="AD3041" t="s">
        <v>31</v>
      </c>
      <c r="AE3041">
        <v>0</v>
      </c>
      <c r="AF3041" t="s">
        <v>31</v>
      </c>
      <c r="AG3041">
        <v>0</v>
      </c>
      <c r="AH3041" t="s">
        <v>31</v>
      </c>
      <c r="AI3041">
        <v>0</v>
      </c>
      <c r="AJ3041" t="s">
        <v>31</v>
      </c>
      <c r="AK3041">
        <v>0</v>
      </c>
      <c r="AL3041" t="s">
        <v>31</v>
      </c>
      <c r="AM3041">
        <v>0</v>
      </c>
      <c r="AN3041" t="s">
        <v>31</v>
      </c>
      <c r="AO3041">
        <v>0</v>
      </c>
      <c r="AP3041" t="s">
        <v>31</v>
      </c>
      <c r="AQ3041">
        <v>0</v>
      </c>
    </row>
    <row r="3042" spans="1:43" x14ac:dyDescent="0.2">
      <c r="A3042" t="s">
        <v>381</v>
      </c>
      <c r="B3042" s="3">
        <v>44341</v>
      </c>
      <c r="C3042">
        <v>111</v>
      </c>
      <c r="D3042" t="s">
        <v>385</v>
      </c>
      <c r="E3042" t="s">
        <v>90</v>
      </c>
      <c r="F3042" s="9" t="s">
        <v>91</v>
      </c>
      <c r="G3042" t="s">
        <v>26</v>
      </c>
      <c r="H3042" t="s">
        <v>85</v>
      </c>
      <c r="I3042" t="s">
        <v>86</v>
      </c>
      <c r="J3042" t="s">
        <v>53</v>
      </c>
      <c r="K3042" t="s">
        <v>54</v>
      </c>
      <c r="L3042" t="s">
        <v>53</v>
      </c>
      <c r="M3042" t="s">
        <v>54</v>
      </c>
      <c r="N3042" t="s">
        <v>85</v>
      </c>
      <c r="O3042" t="s">
        <v>86</v>
      </c>
      <c r="P3042" t="s">
        <v>53</v>
      </c>
      <c r="Q3042" t="s">
        <v>54</v>
      </c>
      <c r="R3042" s="1">
        <v>44341.559953703705</v>
      </c>
      <c r="S3042" s="1">
        <v>44341.571157407408</v>
      </c>
      <c r="T3042">
        <v>0</v>
      </c>
      <c r="U3042">
        <v>4</v>
      </c>
      <c r="V3042" s="2">
        <v>0</v>
      </c>
      <c r="W3042">
        <v>0</v>
      </c>
      <c r="X3042" t="s">
        <v>44</v>
      </c>
      <c r="Y3042">
        <v>0</v>
      </c>
      <c r="Z3042" t="s">
        <v>44</v>
      </c>
      <c r="AA3042">
        <v>0</v>
      </c>
      <c r="AB3042" t="s">
        <v>44</v>
      </c>
      <c r="AC3042">
        <v>0</v>
      </c>
      <c r="AD3042" t="s">
        <v>44</v>
      </c>
      <c r="AE3042">
        <v>0</v>
      </c>
      <c r="AF3042" t="s">
        <v>31</v>
      </c>
      <c r="AG3042">
        <v>0</v>
      </c>
      <c r="AH3042" t="s">
        <v>31</v>
      </c>
      <c r="AI3042">
        <v>0</v>
      </c>
      <c r="AJ3042" t="s">
        <v>31</v>
      </c>
      <c r="AK3042">
        <v>0</v>
      </c>
      <c r="AL3042" t="s">
        <v>31</v>
      </c>
      <c r="AM3042">
        <v>0</v>
      </c>
      <c r="AN3042" t="s">
        <v>31</v>
      </c>
      <c r="AO3042">
        <v>0</v>
      </c>
      <c r="AP3042" t="s">
        <v>31</v>
      </c>
      <c r="AQ3042">
        <v>0</v>
      </c>
    </row>
    <row r="3043" spans="1:43" x14ac:dyDescent="0.2">
      <c r="A3043" t="s">
        <v>381</v>
      </c>
      <c r="B3043" s="3">
        <v>44342</v>
      </c>
      <c r="C3043">
        <v>112</v>
      </c>
      <c r="D3043" t="s">
        <v>394</v>
      </c>
      <c r="E3043" t="s">
        <v>90</v>
      </c>
      <c r="F3043" s="9" t="s">
        <v>91</v>
      </c>
      <c r="G3043" t="s">
        <v>26</v>
      </c>
      <c r="H3043" t="s">
        <v>85</v>
      </c>
      <c r="I3043" t="s">
        <v>86</v>
      </c>
      <c r="J3043" t="s">
        <v>53</v>
      </c>
      <c r="K3043" t="s">
        <v>54</v>
      </c>
      <c r="L3043" t="s">
        <v>53</v>
      </c>
      <c r="M3043" t="s">
        <v>54</v>
      </c>
      <c r="N3043" t="s">
        <v>85</v>
      </c>
      <c r="O3043" t="s">
        <v>86</v>
      </c>
      <c r="P3043" t="s">
        <v>53</v>
      </c>
      <c r="Q3043" t="s">
        <v>54</v>
      </c>
      <c r="R3043" s="1">
        <v>44342.423784722225</v>
      </c>
      <c r="S3043" s="1">
        <v>44342.423784722225</v>
      </c>
      <c r="T3043">
        <v>0</v>
      </c>
      <c r="U3043">
        <v>1</v>
      </c>
      <c r="V3043" s="2">
        <v>0</v>
      </c>
      <c r="W3043">
        <v>0</v>
      </c>
      <c r="X3043" t="s">
        <v>44</v>
      </c>
      <c r="Y3043">
        <v>0</v>
      </c>
      <c r="Z3043" t="s">
        <v>31</v>
      </c>
      <c r="AA3043">
        <v>0</v>
      </c>
      <c r="AB3043" t="s">
        <v>31</v>
      </c>
      <c r="AC3043">
        <v>0</v>
      </c>
      <c r="AD3043" t="s">
        <v>31</v>
      </c>
      <c r="AE3043">
        <v>0</v>
      </c>
      <c r="AF3043" t="s">
        <v>31</v>
      </c>
      <c r="AG3043">
        <v>0</v>
      </c>
      <c r="AH3043" t="s">
        <v>31</v>
      </c>
      <c r="AI3043">
        <v>0</v>
      </c>
      <c r="AJ3043" t="s">
        <v>31</v>
      </c>
      <c r="AK3043">
        <v>0</v>
      </c>
      <c r="AL3043" t="s">
        <v>31</v>
      </c>
      <c r="AM3043">
        <v>0</v>
      </c>
      <c r="AN3043" t="s">
        <v>31</v>
      </c>
      <c r="AO3043">
        <v>0</v>
      </c>
      <c r="AP3043" t="s">
        <v>31</v>
      </c>
      <c r="AQ3043">
        <v>0</v>
      </c>
    </row>
    <row r="3044" spans="1:43" x14ac:dyDescent="0.2">
      <c r="A3044" t="s">
        <v>381</v>
      </c>
      <c r="B3044" s="3">
        <v>44343</v>
      </c>
      <c r="C3044">
        <v>115</v>
      </c>
      <c r="D3044" t="s">
        <v>395</v>
      </c>
      <c r="E3044" t="s">
        <v>90</v>
      </c>
      <c r="F3044" s="9" t="s">
        <v>91</v>
      </c>
      <c r="G3044" t="s">
        <v>26</v>
      </c>
      <c r="H3044" t="s">
        <v>85</v>
      </c>
      <c r="I3044" t="s">
        <v>86</v>
      </c>
      <c r="J3044" t="s">
        <v>53</v>
      </c>
      <c r="K3044" t="s">
        <v>54</v>
      </c>
      <c r="L3044" t="s">
        <v>53</v>
      </c>
      <c r="M3044" t="s">
        <v>54</v>
      </c>
      <c r="N3044" t="s">
        <v>85</v>
      </c>
      <c r="O3044" t="s">
        <v>86</v>
      </c>
      <c r="P3044" t="s">
        <v>53</v>
      </c>
      <c r="Q3044" t="s">
        <v>54</v>
      </c>
      <c r="R3044" s="1">
        <v>44343.445092592592</v>
      </c>
      <c r="S3044" s="1">
        <v>44343.445092592592</v>
      </c>
      <c r="T3044">
        <v>0</v>
      </c>
      <c r="U3044">
        <v>1</v>
      </c>
      <c r="V3044" s="2">
        <v>0</v>
      </c>
      <c r="W3044">
        <v>0</v>
      </c>
      <c r="X3044" t="s">
        <v>44</v>
      </c>
      <c r="Y3044">
        <v>0</v>
      </c>
      <c r="Z3044" t="s">
        <v>31</v>
      </c>
      <c r="AA3044">
        <v>0</v>
      </c>
      <c r="AB3044" t="s">
        <v>31</v>
      </c>
      <c r="AC3044">
        <v>0</v>
      </c>
      <c r="AD3044" t="s">
        <v>31</v>
      </c>
      <c r="AE3044">
        <v>0</v>
      </c>
      <c r="AF3044" t="s">
        <v>31</v>
      </c>
      <c r="AG3044">
        <v>0</v>
      </c>
      <c r="AH3044" t="s">
        <v>31</v>
      </c>
      <c r="AI3044">
        <v>0</v>
      </c>
      <c r="AJ3044" t="s">
        <v>31</v>
      </c>
      <c r="AK3044">
        <v>0</v>
      </c>
      <c r="AL3044" t="s">
        <v>31</v>
      </c>
      <c r="AM3044">
        <v>0</v>
      </c>
      <c r="AN3044" t="s">
        <v>31</v>
      </c>
      <c r="AO3044">
        <v>0</v>
      </c>
      <c r="AP3044" t="s">
        <v>31</v>
      </c>
      <c r="AQ3044">
        <v>0</v>
      </c>
    </row>
    <row r="3045" spans="1:43" x14ac:dyDescent="0.2">
      <c r="A3045" t="s">
        <v>381</v>
      </c>
      <c r="B3045" s="3">
        <v>44344</v>
      </c>
      <c r="C3045">
        <v>116</v>
      </c>
      <c r="D3045" t="s">
        <v>390</v>
      </c>
      <c r="E3045" t="s">
        <v>90</v>
      </c>
      <c r="F3045" s="9" t="s">
        <v>91</v>
      </c>
      <c r="G3045" t="s">
        <v>26</v>
      </c>
      <c r="H3045" t="s">
        <v>85</v>
      </c>
      <c r="I3045" t="s">
        <v>86</v>
      </c>
      <c r="J3045" t="s">
        <v>53</v>
      </c>
      <c r="K3045" t="s">
        <v>54</v>
      </c>
      <c r="L3045" t="s">
        <v>53</v>
      </c>
      <c r="M3045" t="s">
        <v>54</v>
      </c>
      <c r="N3045" t="s">
        <v>85</v>
      </c>
      <c r="O3045" t="s">
        <v>86</v>
      </c>
      <c r="P3045" t="s">
        <v>53</v>
      </c>
      <c r="Q3045" t="s">
        <v>54</v>
      </c>
      <c r="R3045" s="1">
        <v>44344.452870370369</v>
      </c>
      <c r="S3045" s="1">
        <v>44344.452870370369</v>
      </c>
      <c r="T3045">
        <v>0</v>
      </c>
      <c r="U3045">
        <v>1</v>
      </c>
      <c r="V3045" s="2">
        <v>0</v>
      </c>
      <c r="W3045">
        <v>0</v>
      </c>
      <c r="X3045" t="s">
        <v>44</v>
      </c>
      <c r="Y3045">
        <v>0</v>
      </c>
      <c r="Z3045" t="s">
        <v>31</v>
      </c>
      <c r="AA3045">
        <v>0</v>
      </c>
      <c r="AB3045" t="s">
        <v>31</v>
      </c>
      <c r="AC3045">
        <v>0</v>
      </c>
      <c r="AD3045" t="s">
        <v>31</v>
      </c>
      <c r="AE3045">
        <v>0</v>
      </c>
      <c r="AF3045" t="s">
        <v>31</v>
      </c>
      <c r="AG3045">
        <v>0</v>
      </c>
      <c r="AH3045" t="s">
        <v>31</v>
      </c>
      <c r="AI3045">
        <v>0</v>
      </c>
      <c r="AJ3045" t="s">
        <v>31</v>
      </c>
      <c r="AK3045">
        <v>0</v>
      </c>
      <c r="AL3045" t="s">
        <v>31</v>
      </c>
      <c r="AM3045">
        <v>0</v>
      </c>
      <c r="AN3045" t="s">
        <v>31</v>
      </c>
      <c r="AO3045">
        <v>0</v>
      </c>
      <c r="AP3045" t="s">
        <v>31</v>
      </c>
      <c r="AQ3045">
        <v>0</v>
      </c>
    </row>
    <row r="3046" spans="1:43" x14ac:dyDescent="0.2">
      <c r="A3046" t="s">
        <v>381</v>
      </c>
      <c r="B3046" s="3">
        <v>44344</v>
      </c>
      <c r="C3046">
        <v>117</v>
      </c>
      <c r="D3046" t="s">
        <v>409</v>
      </c>
      <c r="E3046" t="s">
        <v>90</v>
      </c>
      <c r="F3046" s="9" t="s">
        <v>91</v>
      </c>
      <c r="G3046" t="s">
        <v>26</v>
      </c>
      <c r="H3046" t="s">
        <v>85</v>
      </c>
      <c r="I3046" t="s">
        <v>86</v>
      </c>
      <c r="J3046" t="s">
        <v>53</v>
      </c>
      <c r="K3046" t="s">
        <v>54</v>
      </c>
      <c r="L3046" t="s">
        <v>53</v>
      </c>
      <c r="M3046" t="s">
        <v>54</v>
      </c>
      <c r="N3046" t="s">
        <v>85</v>
      </c>
      <c r="O3046" t="s">
        <v>86</v>
      </c>
      <c r="P3046" t="s">
        <v>53</v>
      </c>
      <c r="Q3046" t="s">
        <v>54</v>
      </c>
      <c r="R3046" s="1">
        <v>44344.628900462965</v>
      </c>
      <c r="S3046" s="1">
        <v>44344.628900462965</v>
      </c>
      <c r="T3046">
        <v>0</v>
      </c>
      <c r="U3046">
        <v>1</v>
      </c>
      <c r="V3046" s="2">
        <v>0</v>
      </c>
      <c r="W3046">
        <v>0</v>
      </c>
      <c r="X3046" t="s">
        <v>44</v>
      </c>
      <c r="Y3046">
        <v>0</v>
      </c>
      <c r="Z3046" t="s">
        <v>31</v>
      </c>
      <c r="AA3046">
        <v>0</v>
      </c>
      <c r="AB3046" t="s">
        <v>31</v>
      </c>
      <c r="AC3046">
        <v>0</v>
      </c>
      <c r="AD3046" t="s">
        <v>31</v>
      </c>
      <c r="AE3046">
        <v>0</v>
      </c>
      <c r="AF3046" t="s">
        <v>31</v>
      </c>
      <c r="AG3046">
        <v>0</v>
      </c>
      <c r="AH3046" t="s">
        <v>31</v>
      </c>
      <c r="AI3046">
        <v>0</v>
      </c>
      <c r="AJ3046" t="s">
        <v>31</v>
      </c>
      <c r="AK3046">
        <v>0</v>
      </c>
      <c r="AL3046" t="s">
        <v>31</v>
      </c>
      <c r="AM3046">
        <v>0</v>
      </c>
      <c r="AN3046" t="s">
        <v>31</v>
      </c>
      <c r="AO3046">
        <v>0</v>
      </c>
      <c r="AP3046" t="s">
        <v>31</v>
      </c>
      <c r="AQ3046">
        <v>0</v>
      </c>
    </row>
    <row r="3047" spans="1:43" x14ac:dyDescent="0.2">
      <c r="A3047" t="s">
        <v>381</v>
      </c>
      <c r="B3047" s="3">
        <v>44348</v>
      </c>
      <c r="C3047">
        <v>118</v>
      </c>
      <c r="D3047" t="s">
        <v>396</v>
      </c>
      <c r="E3047" t="s">
        <v>90</v>
      </c>
      <c r="F3047" s="9" t="s">
        <v>91</v>
      </c>
      <c r="G3047" t="s">
        <v>26</v>
      </c>
      <c r="H3047" t="s">
        <v>85</v>
      </c>
      <c r="I3047" t="s">
        <v>86</v>
      </c>
      <c r="J3047" t="s">
        <v>53</v>
      </c>
      <c r="K3047" t="s">
        <v>54</v>
      </c>
      <c r="L3047" t="s">
        <v>53</v>
      </c>
      <c r="M3047" t="s">
        <v>54</v>
      </c>
      <c r="N3047" t="s">
        <v>85</v>
      </c>
      <c r="O3047" t="s">
        <v>86</v>
      </c>
      <c r="P3047" t="s">
        <v>53</v>
      </c>
      <c r="Q3047" t="s">
        <v>54</v>
      </c>
      <c r="R3047" s="1">
        <v>44348.45584490741</v>
      </c>
      <c r="S3047" s="1">
        <v>44348.45584490741</v>
      </c>
      <c r="T3047">
        <v>0</v>
      </c>
      <c r="U3047">
        <v>1</v>
      </c>
      <c r="V3047" s="2">
        <v>0</v>
      </c>
      <c r="W3047">
        <v>0</v>
      </c>
      <c r="X3047" t="s">
        <v>44</v>
      </c>
      <c r="Y3047">
        <v>0</v>
      </c>
      <c r="Z3047" t="s">
        <v>31</v>
      </c>
      <c r="AA3047">
        <v>0</v>
      </c>
      <c r="AB3047" t="s">
        <v>31</v>
      </c>
      <c r="AC3047">
        <v>0</v>
      </c>
      <c r="AD3047" t="s">
        <v>31</v>
      </c>
      <c r="AE3047">
        <v>0</v>
      </c>
      <c r="AF3047" t="s">
        <v>31</v>
      </c>
      <c r="AG3047">
        <v>0</v>
      </c>
      <c r="AH3047" t="s">
        <v>31</v>
      </c>
      <c r="AI3047">
        <v>0</v>
      </c>
      <c r="AJ3047" t="s">
        <v>31</v>
      </c>
      <c r="AK3047">
        <v>0</v>
      </c>
      <c r="AL3047" t="s">
        <v>31</v>
      </c>
      <c r="AM3047">
        <v>0</v>
      </c>
      <c r="AN3047" t="s">
        <v>31</v>
      </c>
      <c r="AO3047">
        <v>0</v>
      </c>
      <c r="AP3047" t="s">
        <v>31</v>
      </c>
      <c r="AQ3047">
        <v>0</v>
      </c>
    </row>
    <row r="3048" spans="1:43" x14ac:dyDescent="0.2">
      <c r="A3048" t="s">
        <v>381</v>
      </c>
      <c r="B3048" s="3">
        <v>44348</v>
      </c>
      <c r="C3048">
        <v>119</v>
      </c>
      <c r="D3048" t="s">
        <v>385</v>
      </c>
      <c r="E3048" t="s">
        <v>90</v>
      </c>
      <c r="F3048" s="9" t="s">
        <v>91</v>
      </c>
      <c r="G3048" t="s">
        <v>26</v>
      </c>
      <c r="H3048" t="s">
        <v>85</v>
      </c>
      <c r="I3048" t="s">
        <v>86</v>
      </c>
      <c r="J3048" t="s">
        <v>53</v>
      </c>
      <c r="K3048" t="s">
        <v>54</v>
      </c>
      <c r="L3048" t="s">
        <v>53</v>
      </c>
      <c r="M3048" t="s">
        <v>54</v>
      </c>
      <c r="N3048" t="s">
        <v>85</v>
      </c>
      <c r="O3048" t="s">
        <v>86</v>
      </c>
      <c r="P3048" t="s">
        <v>53</v>
      </c>
      <c r="Q3048" t="s">
        <v>54</v>
      </c>
      <c r="R3048" s="1">
        <v>44348.636388888888</v>
      </c>
      <c r="S3048" s="1">
        <v>44348.636412037034</v>
      </c>
      <c r="T3048">
        <v>0</v>
      </c>
      <c r="U3048">
        <v>3</v>
      </c>
      <c r="V3048" s="2">
        <v>0</v>
      </c>
      <c r="W3048">
        <v>0</v>
      </c>
      <c r="X3048" t="s">
        <v>44</v>
      </c>
      <c r="Y3048">
        <v>0</v>
      </c>
      <c r="Z3048" t="s">
        <v>44</v>
      </c>
      <c r="AA3048">
        <v>0</v>
      </c>
      <c r="AB3048" t="s">
        <v>44</v>
      </c>
      <c r="AC3048">
        <v>0</v>
      </c>
      <c r="AD3048" t="s">
        <v>31</v>
      </c>
      <c r="AE3048">
        <v>0</v>
      </c>
      <c r="AF3048" t="s">
        <v>31</v>
      </c>
      <c r="AG3048">
        <v>0</v>
      </c>
      <c r="AH3048" t="s">
        <v>31</v>
      </c>
      <c r="AI3048">
        <v>0</v>
      </c>
      <c r="AJ3048" t="s">
        <v>31</v>
      </c>
      <c r="AK3048">
        <v>0</v>
      </c>
      <c r="AL3048" t="s">
        <v>31</v>
      </c>
      <c r="AM3048">
        <v>0</v>
      </c>
      <c r="AN3048" t="s">
        <v>31</v>
      </c>
      <c r="AO3048">
        <v>0</v>
      </c>
      <c r="AP3048" t="s">
        <v>31</v>
      </c>
      <c r="AQ3048">
        <v>0</v>
      </c>
    </row>
    <row r="3049" spans="1:43" x14ac:dyDescent="0.2">
      <c r="A3049" t="s">
        <v>381</v>
      </c>
      <c r="B3049" s="3">
        <v>44349</v>
      </c>
      <c r="C3049">
        <v>121</v>
      </c>
      <c r="D3049" t="s">
        <v>385</v>
      </c>
      <c r="E3049" t="s">
        <v>90</v>
      </c>
      <c r="F3049" s="9" t="s">
        <v>91</v>
      </c>
      <c r="G3049" t="s">
        <v>26</v>
      </c>
      <c r="H3049" t="s">
        <v>85</v>
      </c>
      <c r="I3049" t="s">
        <v>86</v>
      </c>
      <c r="J3049" t="s">
        <v>53</v>
      </c>
      <c r="K3049" t="s">
        <v>54</v>
      </c>
      <c r="L3049" t="s">
        <v>53</v>
      </c>
      <c r="M3049" t="s">
        <v>54</v>
      </c>
      <c r="N3049" t="s">
        <v>85</v>
      </c>
      <c r="O3049" t="s">
        <v>86</v>
      </c>
      <c r="P3049" t="s">
        <v>53</v>
      </c>
      <c r="Q3049" t="s">
        <v>54</v>
      </c>
      <c r="R3049" s="1">
        <v>44349.573252314818</v>
      </c>
      <c r="S3049" s="1">
        <v>44349.573460648149</v>
      </c>
      <c r="T3049">
        <v>0</v>
      </c>
      <c r="U3049">
        <v>5</v>
      </c>
      <c r="V3049" s="2">
        <v>0</v>
      </c>
      <c r="W3049">
        <v>0</v>
      </c>
      <c r="X3049" t="s">
        <v>44</v>
      </c>
      <c r="Y3049">
        <v>0</v>
      </c>
      <c r="Z3049" t="s">
        <v>44</v>
      </c>
      <c r="AA3049">
        <v>0</v>
      </c>
      <c r="AB3049" t="s">
        <v>44</v>
      </c>
      <c r="AC3049">
        <v>0</v>
      </c>
      <c r="AD3049" t="s">
        <v>44</v>
      </c>
      <c r="AE3049">
        <v>0</v>
      </c>
      <c r="AF3049" t="s">
        <v>44</v>
      </c>
      <c r="AG3049">
        <v>0</v>
      </c>
      <c r="AH3049" t="s">
        <v>31</v>
      </c>
      <c r="AI3049">
        <v>0</v>
      </c>
      <c r="AJ3049" t="s">
        <v>31</v>
      </c>
      <c r="AK3049">
        <v>0</v>
      </c>
      <c r="AL3049" t="s">
        <v>31</v>
      </c>
      <c r="AM3049">
        <v>0</v>
      </c>
      <c r="AN3049" t="s">
        <v>31</v>
      </c>
      <c r="AO3049">
        <v>0</v>
      </c>
      <c r="AP3049" t="s">
        <v>31</v>
      </c>
      <c r="AQ3049">
        <v>0</v>
      </c>
    </row>
    <row r="3050" spans="1:43" x14ac:dyDescent="0.2">
      <c r="A3050" t="s">
        <v>381</v>
      </c>
      <c r="B3050" s="3">
        <v>44350</v>
      </c>
      <c r="C3050">
        <v>123</v>
      </c>
      <c r="D3050" t="s">
        <v>382</v>
      </c>
      <c r="E3050" t="s">
        <v>90</v>
      </c>
      <c r="F3050" s="9" t="s">
        <v>91</v>
      </c>
      <c r="G3050" t="s">
        <v>26</v>
      </c>
      <c r="H3050" t="s">
        <v>85</v>
      </c>
      <c r="I3050" t="s">
        <v>86</v>
      </c>
      <c r="J3050" t="s">
        <v>53</v>
      </c>
      <c r="K3050" t="s">
        <v>54</v>
      </c>
      <c r="L3050" t="s">
        <v>53</v>
      </c>
      <c r="M3050" t="s">
        <v>54</v>
      </c>
      <c r="N3050" t="s">
        <v>85</v>
      </c>
      <c r="O3050" t="s">
        <v>86</v>
      </c>
      <c r="P3050" t="s">
        <v>53</v>
      </c>
      <c r="Q3050" t="s">
        <v>54</v>
      </c>
      <c r="R3050" s="1">
        <v>44350.362268518518</v>
      </c>
      <c r="S3050" s="1">
        <v>44350.408101851855</v>
      </c>
      <c r="T3050">
        <v>0</v>
      </c>
      <c r="U3050">
        <v>2</v>
      </c>
      <c r="V3050" s="2">
        <v>0</v>
      </c>
      <c r="W3050">
        <v>0</v>
      </c>
      <c r="X3050" t="s">
        <v>44</v>
      </c>
      <c r="Y3050">
        <v>0</v>
      </c>
      <c r="Z3050" t="s">
        <v>44</v>
      </c>
      <c r="AA3050">
        <v>0</v>
      </c>
      <c r="AB3050" t="s">
        <v>31</v>
      </c>
      <c r="AC3050">
        <v>0</v>
      </c>
      <c r="AD3050" t="s">
        <v>31</v>
      </c>
      <c r="AE3050">
        <v>0</v>
      </c>
      <c r="AF3050" t="s">
        <v>31</v>
      </c>
      <c r="AG3050">
        <v>0</v>
      </c>
      <c r="AH3050" t="s">
        <v>31</v>
      </c>
      <c r="AI3050">
        <v>0</v>
      </c>
      <c r="AJ3050" t="s">
        <v>31</v>
      </c>
      <c r="AK3050">
        <v>0</v>
      </c>
      <c r="AL3050" t="s">
        <v>31</v>
      </c>
      <c r="AM3050">
        <v>0</v>
      </c>
      <c r="AN3050" t="s">
        <v>31</v>
      </c>
      <c r="AO3050">
        <v>0</v>
      </c>
      <c r="AP3050" t="s">
        <v>31</v>
      </c>
      <c r="AQ3050">
        <v>0</v>
      </c>
    </row>
    <row r="3051" spans="1:43" x14ac:dyDescent="0.2">
      <c r="A3051" t="s">
        <v>381</v>
      </c>
      <c r="B3051" s="3">
        <v>44351</v>
      </c>
      <c r="C3051">
        <v>124</v>
      </c>
      <c r="D3051" t="s">
        <v>390</v>
      </c>
      <c r="E3051" t="s">
        <v>90</v>
      </c>
      <c r="F3051" s="9" t="s">
        <v>91</v>
      </c>
      <c r="G3051" t="s">
        <v>26</v>
      </c>
      <c r="H3051" t="s">
        <v>85</v>
      </c>
      <c r="I3051" t="s">
        <v>86</v>
      </c>
      <c r="J3051" t="s">
        <v>53</v>
      </c>
      <c r="K3051" t="s">
        <v>54</v>
      </c>
      <c r="L3051" t="s">
        <v>53</v>
      </c>
      <c r="M3051" t="s">
        <v>54</v>
      </c>
      <c r="N3051" t="s">
        <v>85</v>
      </c>
      <c r="O3051" t="s">
        <v>86</v>
      </c>
      <c r="P3051" t="s">
        <v>53</v>
      </c>
      <c r="Q3051" t="s">
        <v>54</v>
      </c>
      <c r="R3051" s="1">
        <v>44351.466504629629</v>
      </c>
      <c r="S3051" s="1">
        <v>44351.466504629629</v>
      </c>
      <c r="T3051">
        <v>0</v>
      </c>
      <c r="U3051">
        <v>1</v>
      </c>
      <c r="V3051" s="2">
        <v>0</v>
      </c>
      <c r="W3051">
        <v>0</v>
      </c>
      <c r="X3051" t="s">
        <v>44</v>
      </c>
      <c r="Y3051">
        <v>0</v>
      </c>
      <c r="Z3051" t="s">
        <v>31</v>
      </c>
      <c r="AA3051">
        <v>0</v>
      </c>
      <c r="AB3051" t="s">
        <v>31</v>
      </c>
      <c r="AC3051">
        <v>0</v>
      </c>
      <c r="AD3051" t="s">
        <v>31</v>
      </c>
      <c r="AE3051">
        <v>0</v>
      </c>
      <c r="AF3051" t="s">
        <v>31</v>
      </c>
      <c r="AG3051">
        <v>0</v>
      </c>
      <c r="AH3051" t="s">
        <v>31</v>
      </c>
      <c r="AI3051">
        <v>0</v>
      </c>
      <c r="AJ3051" t="s">
        <v>31</v>
      </c>
      <c r="AK3051">
        <v>0</v>
      </c>
      <c r="AL3051" t="s">
        <v>31</v>
      </c>
      <c r="AM3051">
        <v>0</v>
      </c>
      <c r="AN3051" t="s">
        <v>31</v>
      </c>
      <c r="AO3051">
        <v>0</v>
      </c>
      <c r="AP3051" t="s">
        <v>31</v>
      </c>
      <c r="AQ3051">
        <v>0</v>
      </c>
    </row>
    <row r="3052" spans="1:43" x14ac:dyDescent="0.2">
      <c r="A3052" t="s">
        <v>381</v>
      </c>
      <c r="B3052" s="3">
        <v>44351</v>
      </c>
      <c r="C3052">
        <v>125</v>
      </c>
      <c r="D3052" t="s">
        <v>387</v>
      </c>
      <c r="E3052" t="s">
        <v>90</v>
      </c>
      <c r="F3052" s="9" t="s">
        <v>91</v>
      </c>
      <c r="G3052" t="s">
        <v>26</v>
      </c>
      <c r="H3052" t="s">
        <v>85</v>
      </c>
      <c r="I3052" t="s">
        <v>86</v>
      </c>
      <c r="J3052" t="s">
        <v>53</v>
      </c>
      <c r="K3052" t="s">
        <v>54</v>
      </c>
      <c r="L3052" t="s">
        <v>53</v>
      </c>
      <c r="M3052" t="s">
        <v>54</v>
      </c>
      <c r="N3052" t="s">
        <v>85</v>
      </c>
      <c r="O3052" t="s">
        <v>86</v>
      </c>
      <c r="P3052" t="s">
        <v>53</v>
      </c>
      <c r="Q3052" t="s">
        <v>54</v>
      </c>
      <c r="R3052" s="1">
        <v>44351.555173611108</v>
      </c>
      <c r="S3052" s="1">
        <v>44351.555173611108</v>
      </c>
      <c r="T3052">
        <v>0</v>
      </c>
      <c r="U3052">
        <v>1</v>
      </c>
      <c r="V3052" s="2">
        <v>0</v>
      </c>
      <c r="W3052">
        <v>0</v>
      </c>
      <c r="X3052" t="s">
        <v>44</v>
      </c>
      <c r="Y3052">
        <v>0</v>
      </c>
      <c r="Z3052" t="s">
        <v>31</v>
      </c>
      <c r="AA3052">
        <v>0</v>
      </c>
      <c r="AB3052" t="s">
        <v>31</v>
      </c>
      <c r="AC3052">
        <v>0</v>
      </c>
      <c r="AD3052" t="s">
        <v>31</v>
      </c>
      <c r="AE3052">
        <v>0</v>
      </c>
      <c r="AF3052" t="s">
        <v>31</v>
      </c>
      <c r="AG3052">
        <v>0</v>
      </c>
      <c r="AH3052" t="s">
        <v>31</v>
      </c>
      <c r="AI3052">
        <v>0</v>
      </c>
      <c r="AJ3052" t="s">
        <v>31</v>
      </c>
      <c r="AK3052">
        <v>0</v>
      </c>
      <c r="AL3052" t="s">
        <v>31</v>
      </c>
      <c r="AM3052">
        <v>0</v>
      </c>
      <c r="AN3052" t="s">
        <v>31</v>
      </c>
      <c r="AO3052">
        <v>0</v>
      </c>
      <c r="AP3052" t="s">
        <v>31</v>
      </c>
      <c r="AQ3052">
        <v>0</v>
      </c>
    </row>
    <row r="3053" spans="1:43" x14ac:dyDescent="0.2">
      <c r="A3053" t="s">
        <v>381</v>
      </c>
      <c r="B3053" s="3">
        <v>44354</v>
      </c>
      <c r="C3053">
        <v>127</v>
      </c>
      <c r="D3053" t="s">
        <v>383</v>
      </c>
      <c r="E3053" t="s">
        <v>90</v>
      </c>
      <c r="F3053" s="9" t="s">
        <v>91</v>
      </c>
      <c r="G3053" t="s">
        <v>26</v>
      </c>
      <c r="H3053" t="s">
        <v>85</v>
      </c>
      <c r="I3053" t="s">
        <v>86</v>
      </c>
      <c r="J3053" t="s">
        <v>53</v>
      </c>
      <c r="K3053" t="s">
        <v>54</v>
      </c>
      <c r="L3053" t="s">
        <v>53</v>
      </c>
      <c r="M3053" t="s">
        <v>54</v>
      </c>
      <c r="N3053" t="s">
        <v>85</v>
      </c>
      <c r="O3053" t="s">
        <v>86</v>
      </c>
      <c r="P3053" t="s">
        <v>53</v>
      </c>
      <c r="Q3053" t="s">
        <v>54</v>
      </c>
      <c r="R3053" s="1">
        <v>44354.619976851849</v>
      </c>
      <c r="S3053" s="1">
        <v>44354.619976851849</v>
      </c>
      <c r="T3053">
        <v>0</v>
      </c>
      <c r="U3053">
        <v>1</v>
      </c>
      <c r="V3053" s="2">
        <v>0</v>
      </c>
      <c r="W3053">
        <v>0</v>
      </c>
      <c r="X3053" t="s">
        <v>44</v>
      </c>
      <c r="Y3053">
        <v>0</v>
      </c>
      <c r="Z3053" t="s">
        <v>31</v>
      </c>
      <c r="AA3053">
        <v>0</v>
      </c>
      <c r="AB3053" t="s">
        <v>31</v>
      </c>
      <c r="AC3053">
        <v>0</v>
      </c>
      <c r="AD3053" t="s">
        <v>31</v>
      </c>
      <c r="AE3053">
        <v>0</v>
      </c>
      <c r="AF3053" t="s">
        <v>31</v>
      </c>
      <c r="AG3053">
        <v>0</v>
      </c>
      <c r="AH3053" t="s">
        <v>31</v>
      </c>
      <c r="AI3053">
        <v>0</v>
      </c>
      <c r="AJ3053" t="s">
        <v>31</v>
      </c>
      <c r="AK3053">
        <v>0</v>
      </c>
      <c r="AL3053" t="s">
        <v>31</v>
      </c>
      <c r="AM3053">
        <v>0</v>
      </c>
      <c r="AN3053" t="s">
        <v>31</v>
      </c>
      <c r="AO3053">
        <v>0</v>
      </c>
      <c r="AP3053" t="s">
        <v>31</v>
      </c>
      <c r="AQ3053">
        <v>0</v>
      </c>
    </row>
    <row r="3054" spans="1:43" x14ac:dyDescent="0.2">
      <c r="A3054" t="s">
        <v>381</v>
      </c>
      <c r="B3054" s="3">
        <v>44355</v>
      </c>
      <c r="C3054">
        <v>128</v>
      </c>
      <c r="D3054" t="s">
        <v>406</v>
      </c>
      <c r="E3054" t="s">
        <v>90</v>
      </c>
      <c r="F3054" s="9" t="s">
        <v>91</v>
      </c>
      <c r="G3054" t="s">
        <v>26</v>
      </c>
      <c r="H3054" t="s">
        <v>85</v>
      </c>
      <c r="I3054" t="s">
        <v>86</v>
      </c>
      <c r="J3054" t="s">
        <v>53</v>
      </c>
      <c r="K3054" t="s">
        <v>54</v>
      </c>
      <c r="L3054" t="s">
        <v>53</v>
      </c>
      <c r="M3054" t="s">
        <v>54</v>
      </c>
      <c r="N3054" t="s">
        <v>85</v>
      </c>
      <c r="O3054" t="s">
        <v>86</v>
      </c>
      <c r="P3054" t="s">
        <v>53</v>
      </c>
      <c r="Q3054" t="s">
        <v>54</v>
      </c>
      <c r="R3054" s="1">
        <v>44355.428472222222</v>
      </c>
      <c r="S3054" s="1">
        <v>44355.428472222222</v>
      </c>
      <c r="T3054">
        <v>0</v>
      </c>
      <c r="U3054">
        <v>1</v>
      </c>
      <c r="V3054" s="2">
        <v>0</v>
      </c>
      <c r="W3054">
        <v>0</v>
      </c>
      <c r="X3054" t="s">
        <v>44</v>
      </c>
      <c r="Y3054">
        <v>0</v>
      </c>
      <c r="Z3054" t="s">
        <v>31</v>
      </c>
      <c r="AA3054">
        <v>0</v>
      </c>
      <c r="AB3054" t="s">
        <v>31</v>
      </c>
      <c r="AC3054">
        <v>0</v>
      </c>
      <c r="AD3054" t="s">
        <v>31</v>
      </c>
      <c r="AE3054">
        <v>0</v>
      </c>
      <c r="AF3054" t="s">
        <v>31</v>
      </c>
      <c r="AG3054">
        <v>0</v>
      </c>
      <c r="AH3054" t="s">
        <v>31</v>
      </c>
      <c r="AI3054">
        <v>0</v>
      </c>
      <c r="AJ3054" t="s">
        <v>31</v>
      </c>
      <c r="AK3054">
        <v>0</v>
      </c>
      <c r="AL3054" t="s">
        <v>31</v>
      </c>
      <c r="AM3054">
        <v>0</v>
      </c>
      <c r="AN3054" t="s">
        <v>31</v>
      </c>
      <c r="AO3054">
        <v>0</v>
      </c>
      <c r="AP3054" t="s">
        <v>31</v>
      </c>
      <c r="AQ3054">
        <v>0</v>
      </c>
    </row>
    <row r="3055" spans="1:43" x14ac:dyDescent="0.2">
      <c r="A3055" t="s">
        <v>381</v>
      </c>
      <c r="B3055" s="3">
        <v>44355</v>
      </c>
      <c r="C3055">
        <v>129</v>
      </c>
      <c r="D3055" t="s">
        <v>385</v>
      </c>
      <c r="E3055" t="s">
        <v>90</v>
      </c>
      <c r="F3055" s="9" t="s">
        <v>91</v>
      </c>
      <c r="G3055" t="s">
        <v>26</v>
      </c>
      <c r="H3055" t="s">
        <v>85</v>
      </c>
      <c r="I3055" t="s">
        <v>86</v>
      </c>
      <c r="J3055" t="s">
        <v>53</v>
      </c>
      <c r="K3055" t="s">
        <v>54</v>
      </c>
      <c r="L3055" t="s">
        <v>53</v>
      </c>
      <c r="M3055" t="s">
        <v>54</v>
      </c>
      <c r="N3055" t="s">
        <v>85</v>
      </c>
      <c r="O3055" t="s">
        <v>86</v>
      </c>
      <c r="P3055" t="s">
        <v>53</v>
      </c>
      <c r="Q3055" t="s">
        <v>54</v>
      </c>
      <c r="R3055" s="1">
        <v>44355.558993055558</v>
      </c>
      <c r="S3055" s="1">
        <v>44355.559004629627</v>
      </c>
      <c r="T3055">
        <v>0</v>
      </c>
      <c r="U3055">
        <v>2</v>
      </c>
      <c r="V3055" s="2">
        <v>0</v>
      </c>
      <c r="W3055">
        <v>0</v>
      </c>
      <c r="X3055" t="s">
        <v>44</v>
      </c>
      <c r="Y3055">
        <v>0</v>
      </c>
      <c r="Z3055" t="s">
        <v>44</v>
      </c>
      <c r="AA3055">
        <v>0</v>
      </c>
      <c r="AB3055" t="s">
        <v>31</v>
      </c>
      <c r="AC3055">
        <v>0</v>
      </c>
      <c r="AD3055" t="s">
        <v>31</v>
      </c>
      <c r="AE3055">
        <v>0</v>
      </c>
      <c r="AF3055" t="s">
        <v>31</v>
      </c>
      <c r="AG3055">
        <v>0</v>
      </c>
      <c r="AH3055" t="s">
        <v>31</v>
      </c>
      <c r="AI3055">
        <v>0</v>
      </c>
      <c r="AJ3055" t="s">
        <v>31</v>
      </c>
      <c r="AK3055">
        <v>0</v>
      </c>
      <c r="AL3055" t="s">
        <v>31</v>
      </c>
      <c r="AM3055">
        <v>0</v>
      </c>
      <c r="AN3055" t="s">
        <v>31</v>
      </c>
      <c r="AO3055">
        <v>0</v>
      </c>
      <c r="AP3055" t="s">
        <v>31</v>
      </c>
      <c r="AQ3055">
        <v>0</v>
      </c>
    </row>
    <row r="3056" spans="1:43" x14ac:dyDescent="0.2">
      <c r="A3056" t="s">
        <v>381</v>
      </c>
      <c r="B3056" s="3">
        <v>44356</v>
      </c>
      <c r="C3056">
        <v>131</v>
      </c>
      <c r="D3056" t="s">
        <v>383</v>
      </c>
      <c r="E3056" t="s">
        <v>90</v>
      </c>
      <c r="F3056" s="9" t="s">
        <v>91</v>
      </c>
      <c r="G3056" t="s">
        <v>26</v>
      </c>
      <c r="H3056" t="s">
        <v>85</v>
      </c>
      <c r="I3056" t="s">
        <v>86</v>
      </c>
      <c r="J3056" t="s">
        <v>53</v>
      </c>
      <c r="K3056" t="s">
        <v>54</v>
      </c>
      <c r="L3056" t="s">
        <v>53</v>
      </c>
      <c r="M3056" t="s">
        <v>54</v>
      </c>
      <c r="N3056" t="s">
        <v>85</v>
      </c>
      <c r="O3056" t="s">
        <v>86</v>
      </c>
      <c r="P3056" t="s">
        <v>53</v>
      </c>
      <c r="Q3056" t="s">
        <v>54</v>
      </c>
      <c r="R3056" s="1">
        <v>44356.630578703705</v>
      </c>
      <c r="S3056" s="1">
        <v>44356.630578703705</v>
      </c>
      <c r="T3056">
        <v>0</v>
      </c>
      <c r="U3056">
        <v>1</v>
      </c>
      <c r="V3056" s="2">
        <v>0</v>
      </c>
      <c r="W3056">
        <v>0</v>
      </c>
      <c r="X3056" t="s">
        <v>44</v>
      </c>
      <c r="Y3056">
        <v>0</v>
      </c>
      <c r="Z3056" t="s">
        <v>31</v>
      </c>
      <c r="AA3056">
        <v>0</v>
      </c>
      <c r="AB3056" t="s">
        <v>31</v>
      </c>
      <c r="AC3056">
        <v>0</v>
      </c>
      <c r="AD3056" t="s">
        <v>31</v>
      </c>
      <c r="AE3056">
        <v>0</v>
      </c>
      <c r="AF3056" t="s">
        <v>31</v>
      </c>
      <c r="AG3056">
        <v>0</v>
      </c>
      <c r="AH3056" t="s">
        <v>31</v>
      </c>
      <c r="AI3056">
        <v>0</v>
      </c>
      <c r="AJ3056" t="s">
        <v>31</v>
      </c>
      <c r="AK3056">
        <v>0</v>
      </c>
      <c r="AL3056" t="s">
        <v>31</v>
      </c>
      <c r="AM3056">
        <v>0</v>
      </c>
      <c r="AN3056" t="s">
        <v>31</v>
      </c>
      <c r="AO3056">
        <v>0</v>
      </c>
      <c r="AP3056" t="s">
        <v>31</v>
      </c>
      <c r="AQ3056">
        <v>0</v>
      </c>
    </row>
    <row r="3057" spans="1:43" x14ac:dyDescent="0.2">
      <c r="A3057" t="s">
        <v>381</v>
      </c>
      <c r="B3057" s="3">
        <v>44357</v>
      </c>
      <c r="C3057">
        <v>132</v>
      </c>
      <c r="D3057" t="s">
        <v>399</v>
      </c>
      <c r="E3057" t="s">
        <v>90</v>
      </c>
      <c r="F3057" s="9" t="s">
        <v>91</v>
      </c>
      <c r="G3057" t="s">
        <v>26</v>
      </c>
      <c r="H3057" t="s">
        <v>85</v>
      </c>
      <c r="I3057" t="s">
        <v>86</v>
      </c>
      <c r="J3057" t="s">
        <v>53</v>
      </c>
      <c r="K3057" t="s">
        <v>54</v>
      </c>
      <c r="L3057" t="s">
        <v>53</v>
      </c>
      <c r="M3057" t="s">
        <v>54</v>
      </c>
      <c r="N3057" t="s">
        <v>85</v>
      </c>
      <c r="O3057" t="s">
        <v>86</v>
      </c>
      <c r="P3057" t="s">
        <v>53</v>
      </c>
      <c r="Q3057" t="s">
        <v>54</v>
      </c>
      <c r="R3057" s="1">
        <v>44357.356851851851</v>
      </c>
      <c r="S3057" s="1">
        <v>44357.356851851851</v>
      </c>
      <c r="T3057">
        <v>0</v>
      </c>
      <c r="U3057">
        <v>1</v>
      </c>
      <c r="V3057" s="2">
        <v>0</v>
      </c>
      <c r="W3057">
        <v>0</v>
      </c>
      <c r="X3057" t="s">
        <v>44</v>
      </c>
      <c r="Y3057">
        <v>0</v>
      </c>
      <c r="Z3057" t="s">
        <v>31</v>
      </c>
      <c r="AA3057">
        <v>0</v>
      </c>
      <c r="AB3057" t="s">
        <v>31</v>
      </c>
      <c r="AC3057">
        <v>0</v>
      </c>
      <c r="AD3057" t="s">
        <v>31</v>
      </c>
      <c r="AE3057">
        <v>0</v>
      </c>
      <c r="AF3057" t="s">
        <v>31</v>
      </c>
      <c r="AG3057">
        <v>0</v>
      </c>
      <c r="AH3057" t="s">
        <v>31</v>
      </c>
      <c r="AI3057">
        <v>0</v>
      </c>
      <c r="AJ3057" t="s">
        <v>31</v>
      </c>
      <c r="AK3057">
        <v>0</v>
      </c>
      <c r="AL3057" t="s">
        <v>31</v>
      </c>
      <c r="AM3057">
        <v>0</v>
      </c>
      <c r="AN3057" t="s">
        <v>31</v>
      </c>
      <c r="AO3057">
        <v>0</v>
      </c>
      <c r="AP3057" t="s">
        <v>31</v>
      </c>
      <c r="AQ3057">
        <v>0</v>
      </c>
    </row>
    <row r="3058" spans="1:43" x14ac:dyDescent="0.2">
      <c r="A3058" t="s">
        <v>381</v>
      </c>
      <c r="B3058" s="3">
        <v>44358</v>
      </c>
      <c r="C3058">
        <v>133</v>
      </c>
      <c r="D3058" t="s">
        <v>390</v>
      </c>
      <c r="E3058" t="s">
        <v>90</v>
      </c>
      <c r="F3058" s="9" t="s">
        <v>91</v>
      </c>
      <c r="G3058" t="s">
        <v>26</v>
      </c>
      <c r="H3058" t="s">
        <v>85</v>
      </c>
      <c r="I3058" t="s">
        <v>86</v>
      </c>
      <c r="J3058" t="s">
        <v>53</v>
      </c>
      <c r="K3058" t="s">
        <v>54</v>
      </c>
      <c r="L3058" t="s">
        <v>53</v>
      </c>
      <c r="M3058" t="s">
        <v>54</v>
      </c>
      <c r="N3058" t="s">
        <v>85</v>
      </c>
      <c r="O3058" t="s">
        <v>86</v>
      </c>
      <c r="P3058" t="s">
        <v>53</v>
      </c>
      <c r="Q3058" t="s">
        <v>54</v>
      </c>
      <c r="R3058" s="1">
        <v>44358.466782407406</v>
      </c>
      <c r="S3058" s="1">
        <v>44358.466782407406</v>
      </c>
      <c r="T3058">
        <v>0</v>
      </c>
      <c r="U3058">
        <v>1</v>
      </c>
      <c r="V3058" s="2">
        <v>0</v>
      </c>
      <c r="W3058">
        <v>0</v>
      </c>
      <c r="X3058" t="s">
        <v>44</v>
      </c>
      <c r="Y3058">
        <v>0</v>
      </c>
      <c r="Z3058" t="s">
        <v>31</v>
      </c>
      <c r="AA3058">
        <v>0</v>
      </c>
      <c r="AB3058" t="s">
        <v>31</v>
      </c>
      <c r="AC3058">
        <v>0</v>
      </c>
      <c r="AD3058" t="s">
        <v>31</v>
      </c>
      <c r="AE3058">
        <v>0</v>
      </c>
      <c r="AF3058" t="s">
        <v>31</v>
      </c>
      <c r="AG3058">
        <v>0</v>
      </c>
      <c r="AH3058" t="s">
        <v>31</v>
      </c>
      <c r="AI3058">
        <v>0</v>
      </c>
      <c r="AJ3058" t="s">
        <v>31</v>
      </c>
      <c r="AK3058">
        <v>0</v>
      </c>
      <c r="AL3058" t="s">
        <v>31</v>
      </c>
      <c r="AM3058">
        <v>0</v>
      </c>
      <c r="AN3058" t="s">
        <v>31</v>
      </c>
      <c r="AO3058">
        <v>0</v>
      </c>
      <c r="AP3058" t="s">
        <v>31</v>
      </c>
      <c r="AQ3058">
        <v>0</v>
      </c>
    </row>
    <row r="3059" spans="1:43" x14ac:dyDescent="0.2">
      <c r="A3059" t="s">
        <v>381</v>
      </c>
      <c r="B3059" s="3">
        <v>44363</v>
      </c>
      <c r="C3059">
        <v>137</v>
      </c>
      <c r="D3059" t="s">
        <v>383</v>
      </c>
      <c r="E3059" t="s">
        <v>90</v>
      </c>
      <c r="F3059" s="9" t="s">
        <v>91</v>
      </c>
      <c r="G3059" t="s">
        <v>26</v>
      </c>
      <c r="H3059" t="s">
        <v>85</v>
      </c>
      <c r="I3059" t="s">
        <v>86</v>
      </c>
      <c r="J3059" t="s">
        <v>53</v>
      </c>
      <c r="K3059" t="s">
        <v>54</v>
      </c>
      <c r="L3059" t="s">
        <v>53</v>
      </c>
      <c r="M3059" t="s">
        <v>54</v>
      </c>
      <c r="N3059" t="s">
        <v>85</v>
      </c>
      <c r="O3059" t="s">
        <v>86</v>
      </c>
      <c r="P3059" t="s">
        <v>53</v>
      </c>
      <c r="Q3059" t="s">
        <v>54</v>
      </c>
      <c r="R3059" s="1">
        <v>44363.642094907409</v>
      </c>
      <c r="S3059" s="1">
        <v>44363.642094907409</v>
      </c>
      <c r="T3059">
        <v>0</v>
      </c>
      <c r="U3059">
        <v>1</v>
      </c>
      <c r="V3059" s="2">
        <v>0</v>
      </c>
      <c r="W3059">
        <v>0</v>
      </c>
      <c r="X3059" t="s">
        <v>44</v>
      </c>
      <c r="Y3059">
        <v>0</v>
      </c>
      <c r="Z3059" t="s">
        <v>31</v>
      </c>
      <c r="AA3059">
        <v>0</v>
      </c>
      <c r="AB3059" t="s">
        <v>31</v>
      </c>
      <c r="AC3059">
        <v>0</v>
      </c>
      <c r="AD3059" t="s">
        <v>31</v>
      </c>
      <c r="AE3059">
        <v>0</v>
      </c>
      <c r="AF3059" t="s">
        <v>31</v>
      </c>
      <c r="AG3059">
        <v>0</v>
      </c>
      <c r="AH3059" t="s">
        <v>31</v>
      </c>
      <c r="AI3059">
        <v>0</v>
      </c>
      <c r="AJ3059" t="s">
        <v>31</v>
      </c>
      <c r="AK3059">
        <v>0</v>
      </c>
      <c r="AL3059" t="s">
        <v>31</v>
      </c>
      <c r="AM3059">
        <v>0</v>
      </c>
      <c r="AN3059" t="s">
        <v>31</v>
      </c>
      <c r="AO3059">
        <v>0</v>
      </c>
      <c r="AP3059" t="s">
        <v>31</v>
      </c>
      <c r="AQ3059">
        <v>0</v>
      </c>
    </row>
    <row r="3060" spans="1:43" x14ac:dyDescent="0.2">
      <c r="A3060" t="s">
        <v>381</v>
      </c>
      <c r="B3060" s="3">
        <v>44364</v>
      </c>
      <c r="C3060">
        <v>138</v>
      </c>
      <c r="D3060" t="s">
        <v>399</v>
      </c>
      <c r="E3060" t="s">
        <v>90</v>
      </c>
      <c r="F3060" s="9" t="s">
        <v>91</v>
      </c>
      <c r="G3060" t="s">
        <v>26</v>
      </c>
      <c r="H3060" t="s">
        <v>85</v>
      </c>
      <c r="I3060" t="s">
        <v>86</v>
      </c>
      <c r="J3060" t="s">
        <v>53</v>
      </c>
      <c r="K3060" t="s">
        <v>54</v>
      </c>
      <c r="L3060" t="s">
        <v>53</v>
      </c>
      <c r="M3060" t="s">
        <v>54</v>
      </c>
      <c r="N3060" t="s">
        <v>85</v>
      </c>
      <c r="O3060" t="s">
        <v>86</v>
      </c>
      <c r="P3060" t="s">
        <v>53</v>
      </c>
      <c r="Q3060" t="s">
        <v>54</v>
      </c>
      <c r="R3060" s="1">
        <v>44364.353888888887</v>
      </c>
      <c r="S3060" s="1">
        <v>44364.413310185184</v>
      </c>
      <c r="T3060">
        <v>0</v>
      </c>
      <c r="U3060">
        <v>2</v>
      </c>
      <c r="V3060" s="2">
        <v>0</v>
      </c>
      <c r="W3060">
        <v>0</v>
      </c>
      <c r="X3060" t="s">
        <v>44</v>
      </c>
      <c r="Y3060">
        <v>0</v>
      </c>
      <c r="Z3060" t="s">
        <v>44</v>
      </c>
      <c r="AA3060">
        <v>0</v>
      </c>
      <c r="AB3060" t="s">
        <v>31</v>
      </c>
      <c r="AC3060">
        <v>0</v>
      </c>
      <c r="AD3060" t="s">
        <v>31</v>
      </c>
      <c r="AE3060">
        <v>0</v>
      </c>
      <c r="AF3060" t="s">
        <v>31</v>
      </c>
      <c r="AG3060">
        <v>0</v>
      </c>
      <c r="AH3060" t="s">
        <v>31</v>
      </c>
      <c r="AI3060">
        <v>0</v>
      </c>
      <c r="AJ3060" t="s">
        <v>31</v>
      </c>
      <c r="AK3060">
        <v>0</v>
      </c>
      <c r="AL3060" t="s">
        <v>31</v>
      </c>
      <c r="AM3060">
        <v>0</v>
      </c>
      <c r="AN3060" t="s">
        <v>31</v>
      </c>
      <c r="AO3060">
        <v>0</v>
      </c>
      <c r="AP3060" t="s">
        <v>31</v>
      </c>
      <c r="AQ3060">
        <v>0</v>
      </c>
    </row>
    <row r="3061" spans="1:43" x14ac:dyDescent="0.2">
      <c r="A3061" t="s">
        <v>381</v>
      </c>
      <c r="B3061" s="3">
        <v>44365</v>
      </c>
      <c r="C3061">
        <v>139</v>
      </c>
      <c r="D3061" t="s">
        <v>400</v>
      </c>
      <c r="E3061" t="s">
        <v>90</v>
      </c>
      <c r="F3061" s="9" t="s">
        <v>91</v>
      </c>
      <c r="G3061" t="s">
        <v>26</v>
      </c>
      <c r="H3061" t="s">
        <v>85</v>
      </c>
      <c r="I3061" t="s">
        <v>86</v>
      </c>
      <c r="J3061" t="s">
        <v>53</v>
      </c>
      <c r="K3061" t="s">
        <v>54</v>
      </c>
      <c r="L3061" t="s">
        <v>53</v>
      </c>
      <c r="M3061" t="s">
        <v>54</v>
      </c>
      <c r="N3061" t="s">
        <v>85</v>
      </c>
      <c r="O3061" t="s">
        <v>86</v>
      </c>
      <c r="P3061" t="s">
        <v>53</v>
      </c>
      <c r="Q3061" t="s">
        <v>54</v>
      </c>
      <c r="R3061" s="1">
        <v>44365.44872685185</v>
      </c>
      <c r="S3061" s="1">
        <v>44365.44872685185</v>
      </c>
      <c r="T3061">
        <v>0</v>
      </c>
      <c r="U3061">
        <v>1</v>
      </c>
      <c r="V3061" s="2">
        <v>0</v>
      </c>
      <c r="W3061">
        <v>0</v>
      </c>
      <c r="X3061" t="s">
        <v>44</v>
      </c>
      <c r="Y3061">
        <v>0</v>
      </c>
      <c r="Z3061" t="s">
        <v>31</v>
      </c>
      <c r="AA3061">
        <v>0</v>
      </c>
      <c r="AB3061" t="s">
        <v>31</v>
      </c>
      <c r="AC3061">
        <v>0</v>
      </c>
      <c r="AD3061" t="s">
        <v>31</v>
      </c>
      <c r="AE3061">
        <v>0</v>
      </c>
      <c r="AF3061" t="s">
        <v>31</v>
      </c>
      <c r="AG3061">
        <v>0</v>
      </c>
      <c r="AH3061" t="s">
        <v>31</v>
      </c>
      <c r="AI3061">
        <v>0</v>
      </c>
      <c r="AJ3061" t="s">
        <v>31</v>
      </c>
      <c r="AK3061">
        <v>0</v>
      </c>
      <c r="AL3061" t="s">
        <v>31</v>
      </c>
      <c r="AM3061">
        <v>0</v>
      </c>
      <c r="AN3061" t="s">
        <v>31</v>
      </c>
      <c r="AO3061">
        <v>0</v>
      </c>
      <c r="AP3061" t="s">
        <v>31</v>
      </c>
      <c r="AQ3061">
        <v>0</v>
      </c>
    </row>
    <row r="3062" spans="1:43" x14ac:dyDescent="0.2">
      <c r="A3062" t="s">
        <v>381</v>
      </c>
      <c r="B3062" s="3">
        <v>44365</v>
      </c>
      <c r="C3062">
        <v>140</v>
      </c>
      <c r="D3062" t="s">
        <v>399</v>
      </c>
      <c r="E3062" t="s">
        <v>90</v>
      </c>
      <c r="F3062" s="9" t="s">
        <v>91</v>
      </c>
      <c r="G3062" t="s">
        <v>26</v>
      </c>
      <c r="H3062" t="s">
        <v>85</v>
      </c>
      <c r="I3062" t="s">
        <v>86</v>
      </c>
      <c r="J3062" t="s">
        <v>53</v>
      </c>
      <c r="K3062" t="s">
        <v>54</v>
      </c>
      <c r="L3062" t="s">
        <v>53</v>
      </c>
      <c r="M3062" t="s">
        <v>54</v>
      </c>
      <c r="N3062" t="s">
        <v>85</v>
      </c>
      <c r="O3062" t="s">
        <v>86</v>
      </c>
      <c r="P3062" t="s">
        <v>53</v>
      </c>
      <c r="Q3062" t="s">
        <v>54</v>
      </c>
      <c r="R3062" s="1">
        <v>44365.539409722223</v>
      </c>
      <c r="S3062" s="1">
        <v>44365.618368055555</v>
      </c>
      <c r="T3062">
        <v>0</v>
      </c>
      <c r="U3062">
        <v>2</v>
      </c>
      <c r="V3062" s="2">
        <v>0</v>
      </c>
      <c r="W3062">
        <v>0</v>
      </c>
      <c r="X3062" t="s">
        <v>44</v>
      </c>
      <c r="Y3062">
        <v>0</v>
      </c>
      <c r="Z3062" t="s">
        <v>44</v>
      </c>
      <c r="AA3062">
        <v>0</v>
      </c>
      <c r="AB3062" t="s">
        <v>31</v>
      </c>
      <c r="AC3062">
        <v>0</v>
      </c>
      <c r="AD3062" t="s">
        <v>31</v>
      </c>
      <c r="AE3062">
        <v>0</v>
      </c>
      <c r="AF3062" t="s">
        <v>31</v>
      </c>
      <c r="AG3062">
        <v>0</v>
      </c>
      <c r="AH3062" t="s">
        <v>31</v>
      </c>
      <c r="AI3062">
        <v>0</v>
      </c>
      <c r="AJ3062" t="s">
        <v>31</v>
      </c>
      <c r="AK3062">
        <v>0</v>
      </c>
      <c r="AL3062" t="s">
        <v>31</v>
      </c>
      <c r="AM3062">
        <v>0</v>
      </c>
      <c r="AN3062" t="s">
        <v>31</v>
      </c>
      <c r="AO3062">
        <v>0</v>
      </c>
      <c r="AP3062" t="s">
        <v>31</v>
      </c>
      <c r="AQ3062">
        <v>0</v>
      </c>
    </row>
    <row r="3063" spans="1:43" x14ac:dyDescent="0.2">
      <c r="A3063" t="s">
        <v>381</v>
      </c>
      <c r="B3063" s="3">
        <v>44375</v>
      </c>
      <c r="C3063">
        <v>141</v>
      </c>
      <c r="D3063" t="s">
        <v>396</v>
      </c>
      <c r="E3063" t="s">
        <v>90</v>
      </c>
      <c r="F3063" s="9" t="s">
        <v>91</v>
      </c>
      <c r="G3063" t="s">
        <v>26</v>
      </c>
      <c r="H3063" t="s">
        <v>85</v>
      </c>
      <c r="I3063" t="s">
        <v>86</v>
      </c>
      <c r="J3063" t="s">
        <v>53</v>
      </c>
      <c r="K3063" t="s">
        <v>54</v>
      </c>
      <c r="L3063" t="s">
        <v>53</v>
      </c>
      <c r="M3063" t="s">
        <v>54</v>
      </c>
      <c r="N3063" t="s">
        <v>85</v>
      </c>
      <c r="O3063" t="s">
        <v>86</v>
      </c>
      <c r="P3063" t="s">
        <v>53</v>
      </c>
      <c r="Q3063" t="s">
        <v>54</v>
      </c>
      <c r="R3063" s="1">
        <v>44375.556875000002</v>
      </c>
      <c r="S3063" s="1">
        <v>44375.556875000002</v>
      </c>
      <c r="T3063">
        <v>0</v>
      </c>
      <c r="U3063">
        <v>1</v>
      </c>
      <c r="V3063" s="2">
        <v>0</v>
      </c>
      <c r="W3063">
        <v>0</v>
      </c>
      <c r="X3063" t="s">
        <v>44</v>
      </c>
      <c r="Y3063">
        <v>0</v>
      </c>
      <c r="Z3063" t="s">
        <v>31</v>
      </c>
      <c r="AA3063">
        <v>0</v>
      </c>
      <c r="AB3063" t="s">
        <v>31</v>
      </c>
      <c r="AC3063">
        <v>0</v>
      </c>
      <c r="AD3063" t="s">
        <v>31</v>
      </c>
      <c r="AE3063">
        <v>0</v>
      </c>
      <c r="AF3063" t="s">
        <v>31</v>
      </c>
      <c r="AG3063">
        <v>0</v>
      </c>
      <c r="AH3063" t="s">
        <v>31</v>
      </c>
      <c r="AI3063">
        <v>0</v>
      </c>
      <c r="AJ3063" t="s">
        <v>31</v>
      </c>
      <c r="AK3063">
        <v>0</v>
      </c>
      <c r="AL3063" t="s">
        <v>31</v>
      </c>
      <c r="AM3063">
        <v>0</v>
      </c>
      <c r="AN3063" t="s">
        <v>31</v>
      </c>
      <c r="AO3063">
        <v>0</v>
      </c>
      <c r="AP3063" t="s">
        <v>31</v>
      </c>
      <c r="AQ3063">
        <v>0</v>
      </c>
    </row>
    <row r="3064" spans="1:43" x14ac:dyDescent="0.2">
      <c r="A3064" t="s">
        <v>381</v>
      </c>
      <c r="B3064" s="3">
        <v>44207</v>
      </c>
      <c r="C3064">
        <v>1</v>
      </c>
      <c r="D3064" t="s">
        <v>384</v>
      </c>
      <c r="E3064" t="s">
        <v>90</v>
      </c>
      <c r="F3064" s="9" t="s">
        <v>92</v>
      </c>
      <c r="G3064" t="s">
        <v>26</v>
      </c>
      <c r="H3064" t="s">
        <v>85</v>
      </c>
      <c r="I3064" t="s">
        <v>86</v>
      </c>
      <c r="J3064" t="s">
        <v>53</v>
      </c>
      <c r="K3064" t="s">
        <v>54</v>
      </c>
      <c r="L3064" t="s">
        <v>53</v>
      </c>
      <c r="M3064" t="s">
        <v>54</v>
      </c>
      <c r="N3064" t="s">
        <v>85</v>
      </c>
      <c r="O3064" t="s">
        <v>86</v>
      </c>
      <c r="P3064" t="s">
        <v>53</v>
      </c>
      <c r="Q3064" t="s">
        <v>54</v>
      </c>
      <c r="R3064" s="1">
        <v>44207.451342592591</v>
      </c>
      <c r="S3064" s="1">
        <v>44207.451342592591</v>
      </c>
      <c r="T3064">
        <v>1</v>
      </c>
      <c r="U3064">
        <v>1</v>
      </c>
      <c r="V3064" s="2">
        <v>1</v>
      </c>
      <c r="W3064">
        <v>1</v>
      </c>
      <c r="X3064" t="s">
        <v>54</v>
      </c>
      <c r="Y3064">
        <v>1</v>
      </c>
      <c r="Z3064" t="s">
        <v>31</v>
      </c>
      <c r="AA3064">
        <v>0</v>
      </c>
      <c r="AB3064" t="s">
        <v>31</v>
      </c>
      <c r="AC3064">
        <v>0</v>
      </c>
      <c r="AD3064" t="s">
        <v>31</v>
      </c>
      <c r="AE3064">
        <v>0</v>
      </c>
      <c r="AF3064" t="s">
        <v>31</v>
      </c>
      <c r="AG3064">
        <v>0</v>
      </c>
      <c r="AH3064" t="s">
        <v>31</v>
      </c>
      <c r="AI3064">
        <v>0</v>
      </c>
      <c r="AJ3064" t="s">
        <v>31</v>
      </c>
      <c r="AK3064">
        <v>0</v>
      </c>
      <c r="AL3064" t="s">
        <v>31</v>
      </c>
      <c r="AM3064">
        <v>0</v>
      </c>
      <c r="AN3064" t="s">
        <v>31</v>
      </c>
      <c r="AO3064">
        <v>0</v>
      </c>
      <c r="AP3064" t="s">
        <v>31</v>
      </c>
      <c r="AQ3064">
        <v>0</v>
      </c>
    </row>
    <row r="3065" spans="1:43" x14ac:dyDescent="0.2">
      <c r="A3065" t="s">
        <v>381</v>
      </c>
      <c r="B3065" s="3">
        <v>44236</v>
      </c>
      <c r="C3065">
        <v>3</v>
      </c>
      <c r="D3065" t="s">
        <v>385</v>
      </c>
      <c r="E3065" t="s">
        <v>90</v>
      </c>
      <c r="F3065" s="9" t="s">
        <v>92</v>
      </c>
      <c r="G3065" t="s">
        <v>26</v>
      </c>
      <c r="H3065" t="s">
        <v>85</v>
      </c>
      <c r="I3065" t="s">
        <v>86</v>
      </c>
      <c r="J3065" t="s">
        <v>53</v>
      </c>
      <c r="K3065" t="s">
        <v>54</v>
      </c>
      <c r="L3065" t="s">
        <v>53</v>
      </c>
      <c r="M3065" t="s">
        <v>54</v>
      </c>
      <c r="N3065" t="s">
        <v>85</v>
      </c>
      <c r="O3065" t="s">
        <v>86</v>
      </c>
      <c r="P3065" t="s">
        <v>53</v>
      </c>
      <c r="Q3065" t="s">
        <v>54</v>
      </c>
      <c r="R3065" s="1">
        <v>44236.624594907407</v>
      </c>
      <c r="S3065" s="1">
        <v>44236.624675925923</v>
      </c>
      <c r="T3065">
        <v>0</v>
      </c>
      <c r="U3065">
        <v>3</v>
      </c>
      <c r="V3065" s="2">
        <v>0</v>
      </c>
      <c r="W3065">
        <v>0</v>
      </c>
      <c r="X3065" t="s">
        <v>44</v>
      </c>
      <c r="Y3065">
        <v>0</v>
      </c>
      <c r="Z3065" t="s">
        <v>44</v>
      </c>
      <c r="AA3065">
        <v>0</v>
      </c>
      <c r="AB3065" t="s">
        <v>44</v>
      </c>
      <c r="AC3065">
        <v>0</v>
      </c>
      <c r="AD3065" t="s">
        <v>31</v>
      </c>
      <c r="AE3065">
        <v>0</v>
      </c>
      <c r="AF3065" t="s">
        <v>31</v>
      </c>
      <c r="AG3065">
        <v>0</v>
      </c>
      <c r="AH3065" t="s">
        <v>31</v>
      </c>
      <c r="AI3065">
        <v>0</v>
      </c>
      <c r="AJ3065" t="s">
        <v>31</v>
      </c>
      <c r="AK3065">
        <v>0</v>
      </c>
      <c r="AL3065" t="s">
        <v>31</v>
      </c>
      <c r="AM3065">
        <v>0</v>
      </c>
      <c r="AN3065" t="s">
        <v>31</v>
      </c>
      <c r="AO3065">
        <v>0</v>
      </c>
      <c r="AP3065" t="s">
        <v>31</v>
      </c>
      <c r="AQ3065">
        <v>0</v>
      </c>
    </row>
    <row r="3066" spans="1:43" x14ac:dyDescent="0.2">
      <c r="A3066" t="s">
        <v>381</v>
      </c>
      <c r="B3066" s="3">
        <v>44237</v>
      </c>
      <c r="C3066">
        <v>4</v>
      </c>
      <c r="D3066" t="s">
        <v>384</v>
      </c>
      <c r="E3066" t="s">
        <v>90</v>
      </c>
      <c r="F3066" s="9" t="s">
        <v>92</v>
      </c>
      <c r="G3066" t="s">
        <v>26</v>
      </c>
      <c r="H3066" t="s">
        <v>85</v>
      </c>
      <c r="I3066" t="s">
        <v>86</v>
      </c>
      <c r="J3066" t="s">
        <v>53</v>
      </c>
      <c r="K3066" t="s">
        <v>54</v>
      </c>
      <c r="L3066" t="s">
        <v>53</v>
      </c>
      <c r="M3066" t="s">
        <v>54</v>
      </c>
      <c r="N3066" t="s">
        <v>85</v>
      </c>
      <c r="O3066" t="s">
        <v>86</v>
      </c>
      <c r="P3066" t="s">
        <v>53</v>
      </c>
      <c r="Q3066" t="s">
        <v>54</v>
      </c>
      <c r="R3066" s="1">
        <v>44237.46875</v>
      </c>
      <c r="S3066" s="1">
        <v>44237.46875</v>
      </c>
      <c r="T3066">
        <v>0</v>
      </c>
      <c r="U3066">
        <v>1</v>
      </c>
      <c r="V3066" s="2">
        <v>0</v>
      </c>
      <c r="W3066">
        <v>0</v>
      </c>
      <c r="X3066" t="s">
        <v>44</v>
      </c>
      <c r="Y3066">
        <v>0</v>
      </c>
      <c r="Z3066" t="s">
        <v>31</v>
      </c>
      <c r="AA3066">
        <v>0</v>
      </c>
      <c r="AB3066" t="s">
        <v>31</v>
      </c>
      <c r="AC3066">
        <v>0</v>
      </c>
      <c r="AD3066" t="s">
        <v>31</v>
      </c>
      <c r="AE3066">
        <v>0</v>
      </c>
      <c r="AF3066" t="s">
        <v>31</v>
      </c>
      <c r="AG3066">
        <v>0</v>
      </c>
      <c r="AH3066" t="s">
        <v>31</v>
      </c>
      <c r="AI3066">
        <v>0</v>
      </c>
      <c r="AJ3066" t="s">
        <v>31</v>
      </c>
      <c r="AK3066">
        <v>0</v>
      </c>
      <c r="AL3066" t="s">
        <v>31</v>
      </c>
      <c r="AM3066">
        <v>0</v>
      </c>
      <c r="AN3066" t="s">
        <v>31</v>
      </c>
      <c r="AO3066">
        <v>0</v>
      </c>
      <c r="AP3066" t="s">
        <v>31</v>
      </c>
      <c r="AQ3066">
        <v>0</v>
      </c>
    </row>
    <row r="3067" spans="1:43" x14ac:dyDescent="0.2">
      <c r="A3067" t="s">
        <v>381</v>
      </c>
      <c r="B3067" s="3">
        <v>44239</v>
      </c>
      <c r="C3067">
        <v>7</v>
      </c>
      <c r="D3067" t="s">
        <v>384</v>
      </c>
      <c r="E3067" t="s">
        <v>90</v>
      </c>
      <c r="F3067" s="9" t="s">
        <v>92</v>
      </c>
      <c r="G3067" t="s">
        <v>26</v>
      </c>
      <c r="H3067" t="s">
        <v>85</v>
      </c>
      <c r="I3067" t="s">
        <v>86</v>
      </c>
      <c r="J3067" t="s">
        <v>53</v>
      </c>
      <c r="K3067" t="s">
        <v>54</v>
      </c>
      <c r="L3067" t="s">
        <v>53</v>
      </c>
      <c r="M3067" t="s">
        <v>54</v>
      </c>
      <c r="N3067" t="s">
        <v>85</v>
      </c>
      <c r="O3067" t="s">
        <v>86</v>
      </c>
      <c r="P3067" t="s">
        <v>53</v>
      </c>
      <c r="Q3067" t="s">
        <v>54</v>
      </c>
      <c r="R3067" s="1">
        <v>44239.385671296295</v>
      </c>
      <c r="S3067" s="1">
        <v>44239.435995370368</v>
      </c>
      <c r="T3067">
        <v>0</v>
      </c>
      <c r="U3067">
        <v>2</v>
      </c>
      <c r="V3067" s="2">
        <v>0</v>
      </c>
      <c r="W3067">
        <v>0</v>
      </c>
      <c r="X3067" t="s">
        <v>44</v>
      </c>
      <c r="Y3067">
        <v>0</v>
      </c>
      <c r="Z3067" t="s">
        <v>44</v>
      </c>
      <c r="AA3067">
        <v>0</v>
      </c>
      <c r="AB3067" t="s">
        <v>31</v>
      </c>
      <c r="AC3067">
        <v>0</v>
      </c>
      <c r="AD3067" t="s">
        <v>31</v>
      </c>
      <c r="AE3067">
        <v>0</v>
      </c>
      <c r="AF3067" t="s">
        <v>31</v>
      </c>
      <c r="AG3067">
        <v>0</v>
      </c>
      <c r="AH3067" t="s">
        <v>31</v>
      </c>
      <c r="AI3067">
        <v>0</v>
      </c>
      <c r="AJ3067" t="s">
        <v>31</v>
      </c>
      <c r="AK3067">
        <v>0</v>
      </c>
      <c r="AL3067" t="s">
        <v>31</v>
      </c>
      <c r="AM3067">
        <v>0</v>
      </c>
      <c r="AN3067" t="s">
        <v>31</v>
      </c>
      <c r="AO3067">
        <v>0</v>
      </c>
      <c r="AP3067" t="s">
        <v>31</v>
      </c>
      <c r="AQ3067">
        <v>0</v>
      </c>
    </row>
    <row r="3068" spans="1:43" x14ac:dyDescent="0.2">
      <c r="A3068" t="s">
        <v>381</v>
      </c>
      <c r="B3068" s="3">
        <v>44242</v>
      </c>
      <c r="C3068">
        <v>8</v>
      </c>
      <c r="D3068" t="s">
        <v>384</v>
      </c>
      <c r="E3068" t="s">
        <v>90</v>
      </c>
      <c r="F3068" s="9" t="s">
        <v>92</v>
      </c>
      <c r="G3068" t="s">
        <v>26</v>
      </c>
      <c r="H3068" t="s">
        <v>85</v>
      </c>
      <c r="I3068" t="s">
        <v>86</v>
      </c>
      <c r="J3068" t="s">
        <v>53</v>
      </c>
      <c r="K3068" t="s">
        <v>54</v>
      </c>
      <c r="L3068" t="s">
        <v>53</v>
      </c>
      <c r="M3068" t="s">
        <v>54</v>
      </c>
      <c r="N3068" t="s">
        <v>85</v>
      </c>
      <c r="O3068" t="s">
        <v>86</v>
      </c>
      <c r="P3068" t="s">
        <v>53</v>
      </c>
      <c r="Q3068" t="s">
        <v>54</v>
      </c>
      <c r="R3068" s="1">
        <v>44242.431886574072</v>
      </c>
      <c r="S3068" s="1">
        <v>44242.431886574072</v>
      </c>
      <c r="T3068">
        <v>0</v>
      </c>
      <c r="U3068">
        <v>1</v>
      </c>
      <c r="V3068" s="2">
        <v>0</v>
      </c>
      <c r="W3068">
        <v>0</v>
      </c>
      <c r="X3068" t="s">
        <v>44</v>
      </c>
      <c r="Y3068">
        <v>0</v>
      </c>
      <c r="Z3068" t="s">
        <v>31</v>
      </c>
      <c r="AA3068">
        <v>0</v>
      </c>
      <c r="AB3068" t="s">
        <v>31</v>
      </c>
      <c r="AC3068">
        <v>0</v>
      </c>
      <c r="AD3068" t="s">
        <v>31</v>
      </c>
      <c r="AE3068">
        <v>0</v>
      </c>
      <c r="AF3068" t="s">
        <v>31</v>
      </c>
      <c r="AG3068">
        <v>0</v>
      </c>
      <c r="AH3068" t="s">
        <v>31</v>
      </c>
      <c r="AI3068">
        <v>0</v>
      </c>
      <c r="AJ3068" t="s">
        <v>31</v>
      </c>
      <c r="AK3068">
        <v>0</v>
      </c>
      <c r="AL3068" t="s">
        <v>31</v>
      </c>
      <c r="AM3068">
        <v>0</v>
      </c>
      <c r="AN3068" t="s">
        <v>31</v>
      </c>
      <c r="AO3068">
        <v>0</v>
      </c>
      <c r="AP3068" t="s">
        <v>31</v>
      </c>
      <c r="AQ3068">
        <v>0</v>
      </c>
    </row>
    <row r="3069" spans="1:43" x14ac:dyDescent="0.2">
      <c r="A3069" t="s">
        <v>381</v>
      </c>
      <c r="B3069" s="3">
        <v>44243</v>
      </c>
      <c r="C3069">
        <v>9</v>
      </c>
      <c r="D3069" t="s">
        <v>382</v>
      </c>
      <c r="E3069" t="s">
        <v>90</v>
      </c>
      <c r="F3069" s="9" t="s">
        <v>92</v>
      </c>
      <c r="G3069" t="s">
        <v>26</v>
      </c>
      <c r="H3069" t="s">
        <v>85</v>
      </c>
      <c r="I3069" t="s">
        <v>86</v>
      </c>
      <c r="J3069" t="s">
        <v>53</v>
      </c>
      <c r="K3069" t="s">
        <v>54</v>
      </c>
      <c r="L3069" t="s">
        <v>53</v>
      </c>
      <c r="M3069" t="s">
        <v>54</v>
      </c>
      <c r="N3069" t="s">
        <v>85</v>
      </c>
      <c r="O3069" t="s">
        <v>86</v>
      </c>
      <c r="P3069" t="s">
        <v>53</v>
      </c>
      <c r="Q3069" t="s">
        <v>54</v>
      </c>
      <c r="R3069" s="1">
        <v>44243.422951388886</v>
      </c>
      <c r="S3069" s="1">
        <v>44243.422951388886</v>
      </c>
      <c r="T3069">
        <v>0</v>
      </c>
      <c r="U3069">
        <v>1</v>
      </c>
      <c r="V3069" s="2">
        <v>0</v>
      </c>
      <c r="W3069">
        <v>0</v>
      </c>
      <c r="X3069" t="s">
        <v>44</v>
      </c>
      <c r="Y3069">
        <v>0</v>
      </c>
      <c r="Z3069" t="s">
        <v>31</v>
      </c>
      <c r="AA3069">
        <v>0</v>
      </c>
      <c r="AB3069" t="s">
        <v>31</v>
      </c>
      <c r="AC3069">
        <v>0</v>
      </c>
      <c r="AD3069" t="s">
        <v>31</v>
      </c>
      <c r="AE3069">
        <v>0</v>
      </c>
      <c r="AF3069" t="s">
        <v>31</v>
      </c>
      <c r="AG3069">
        <v>0</v>
      </c>
      <c r="AH3069" t="s">
        <v>31</v>
      </c>
      <c r="AI3069">
        <v>0</v>
      </c>
      <c r="AJ3069" t="s">
        <v>31</v>
      </c>
      <c r="AK3069">
        <v>0</v>
      </c>
      <c r="AL3069" t="s">
        <v>31</v>
      </c>
      <c r="AM3069">
        <v>0</v>
      </c>
      <c r="AN3069" t="s">
        <v>31</v>
      </c>
      <c r="AO3069">
        <v>0</v>
      </c>
      <c r="AP3069" t="s">
        <v>31</v>
      </c>
      <c r="AQ3069">
        <v>0</v>
      </c>
    </row>
    <row r="3070" spans="1:43" x14ac:dyDescent="0.2">
      <c r="A3070" t="s">
        <v>381</v>
      </c>
      <c r="B3070" s="3">
        <v>44243</v>
      </c>
      <c r="C3070">
        <v>10</v>
      </c>
      <c r="D3070" t="s">
        <v>385</v>
      </c>
      <c r="E3070" t="s">
        <v>90</v>
      </c>
      <c r="F3070" s="9" t="s">
        <v>92</v>
      </c>
      <c r="G3070" t="s">
        <v>26</v>
      </c>
      <c r="H3070" t="s">
        <v>85</v>
      </c>
      <c r="I3070" t="s">
        <v>86</v>
      </c>
      <c r="J3070" t="s">
        <v>53</v>
      </c>
      <c r="K3070" t="s">
        <v>54</v>
      </c>
      <c r="L3070" t="s">
        <v>53</v>
      </c>
      <c r="M3070" t="s">
        <v>54</v>
      </c>
      <c r="N3070" t="s">
        <v>85</v>
      </c>
      <c r="O3070" t="s">
        <v>86</v>
      </c>
      <c r="P3070" t="s">
        <v>53</v>
      </c>
      <c r="Q3070" t="s">
        <v>54</v>
      </c>
      <c r="R3070" s="1">
        <v>44243.580277777779</v>
      </c>
      <c r="S3070" s="1">
        <v>44243.580277777779</v>
      </c>
      <c r="T3070">
        <v>0</v>
      </c>
      <c r="U3070">
        <v>1</v>
      </c>
      <c r="V3070" s="2">
        <v>0</v>
      </c>
      <c r="W3070">
        <v>0</v>
      </c>
      <c r="X3070" t="s">
        <v>44</v>
      </c>
      <c r="Y3070">
        <v>0</v>
      </c>
      <c r="Z3070" t="s">
        <v>31</v>
      </c>
      <c r="AA3070">
        <v>0</v>
      </c>
      <c r="AB3070" t="s">
        <v>31</v>
      </c>
      <c r="AC3070">
        <v>0</v>
      </c>
      <c r="AD3070" t="s">
        <v>31</v>
      </c>
      <c r="AE3070">
        <v>0</v>
      </c>
      <c r="AF3070" t="s">
        <v>31</v>
      </c>
      <c r="AG3070">
        <v>0</v>
      </c>
      <c r="AH3070" t="s">
        <v>31</v>
      </c>
      <c r="AI3070">
        <v>0</v>
      </c>
      <c r="AJ3070" t="s">
        <v>31</v>
      </c>
      <c r="AK3070">
        <v>0</v>
      </c>
      <c r="AL3070" t="s">
        <v>31</v>
      </c>
      <c r="AM3070">
        <v>0</v>
      </c>
      <c r="AN3070" t="s">
        <v>31</v>
      </c>
      <c r="AO3070">
        <v>0</v>
      </c>
      <c r="AP3070" t="s">
        <v>31</v>
      </c>
      <c r="AQ3070">
        <v>0</v>
      </c>
    </row>
    <row r="3071" spans="1:43" x14ac:dyDescent="0.2">
      <c r="A3071" t="s">
        <v>381</v>
      </c>
      <c r="B3071" s="3">
        <v>44244</v>
      </c>
      <c r="C3071">
        <v>11</v>
      </c>
      <c r="D3071" t="s">
        <v>384</v>
      </c>
      <c r="E3071" t="s">
        <v>90</v>
      </c>
      <c r="F3071" s="9" t="s">
        <v>92</v>
      </c>
      <c r="G3071" t="s">
        <v>26</v>
      </c>
      <c r="H3071" t="s">
        <v>85</v>
      </c>
      <c r="I3071" t="s">
        <v>86</v>
      </c>
      <c r="J3071" t="s">
        <v>53</v>
      </c>
      <c r="K3071" t="s">
        <v>54</v>
      </c>
      <c r="L3071" t="s">
        <v>53</v>
      </c>
      <c r="M3071" t="s">
        <v>54</v>
      </c>
      <c r="N3071" t="s">
        <v>85</v>
      </c>
      <c r="O3071" t="s">
        <v>86</v>
      </c>
      <c r="P3071" t="s">
        <v>53</v>
      </c>
      <c r="Q3071" t="s">
        <v>54</v>
      </c>
      <c r="R3071" s="1">
        <v>44244.390949074077</v>
      </c>
      <c r="S3071" s="1">
        <v>44244.390949074077</v>
      </c>
      <c r="T3071">
        <v>0</v>
      </c>
      <c r="U3071">
        <v>1</v>
      </c>
      <c r="V3071" s="2">
        <v>0</v>
      </c>
      <c r="W3071">
        <v>0</v>
      </c>
      <c r="X3071" t="s">
        <v>44</v>
      </c>
      <c r="Y3071">
        <v>0</v>
      </c>
      <c r="Z3071" t="s">
        <v>31</v>
      </c>
      <c r="AA3071">
        <v>0</v>
      </c>
      <c r="AB3071" t="s">
        <v>31</v>
      </c>
      <c r="AC3071">
        <v>0</v>
      </c>
      <c r="AD3071" t="s">
        <v>31</v>
      </c>
      <c r="AE3071">
        <v>0</v>
      </c>
      <c r="AF3071" t="s">
        <v>31</v>
      </c>
      <c r="AG3071">
        <v>0</v>
      </c>
      <c r="AH3071" t="s">
        <v>31</v>
      </c>
      <c r="AI3071">
        <v>0</v>
      </c>
      <c r="AJ3071" t="s">
        <v>31</v>
      </c>
      <c r="AK3071">
        <v>0</v>
      </c>
      <c r="AL3071" t="s">
        <v>31</v>
      </c>
      <c r="AM3071">
        <v>0</v>
      </c>
      <c r="AN3071" t="s">
        <v>31</v>
      </c>
      <c r="AO3071">
        <v>0</v>
      </c>
      <c r="AP3071" t="s">
        <v>31</v>
      </c>
      <c r="AQ3071">
        <v>0</v>
      </c>
    </row>
    <row r="3072" spans="1:43" x14ac:dyDescent="0.2">
      <c r="A3072" t="s">
        <v>381</v>
      </c>
      <c r="B3072" s="3">
        <v>44245</v>
      </c>
      <c r="C3072">
        <v>12</v>
      </c>
      <c r="D3072" t="s">
        <v>382</v>
      </c>
      <c r="E3072" t="s">
        <v>90</v>
      </c>
      <c r="F3072" s="9" t="s">
        <v>92</v>
      </c>
      <c r="G3072" t="s">
        <v>26</v>
      </c>
      <c r="H3072" t="s">
        <v>85</v>
      </c>
      <c r="I3072" t="s">
        <v>86</v>
      </c>
      <c r="J3072" t="s">
        <v>53</v>
      </c>
      <c r="K3072" t="s">
        <v>54</v>
      </c>
      <c r="L3072" t="s">
        <v>53</v>
      </c>
      <c r="M3072" t="s">
        <v>54</v>
      </c>
      <c r="N3072" t="s">
        <v>85</v>
      </c>
      <c r="O3072" t="s">
        <v>86</v>
      </c>
      <c r="P3072" t="s">
        <v>53</v>
      </c>
      <c r="Q3072" t="s">
        <v>54</v>
      </c>
      <c r="R3072" s="1">
        <v>44245.4294212963</v>
      </c>
      <c r="S3072" s="1">
        <v>44245.455277777779</v>
      </c>
      <c r="T3072">
        <v>0</v>
      </c>
      <c r="U3072">
        <v>2</v>
      </c>
      <c r="V3072" s="2">
        <v>0</v>
      </c>
      <c r="W3072">
        <v>0</v>
      </c>
      <c r="X3072" t="s">
        <v>44</v>
      </c>
      <c r="Y3072">
        <v>0</v>
      </c>
      <c r="Z3072" t="s">
        <v>44</v>
      </c>
      <c r="AA3072">
        <v>0</v>
      </c>
      <c r="AB3072" t="s">
        <v>31</v>
      </c>
      <c r="AC3072">
        <v>0</v>
      </c>
      <c r="AD3072" t="s">
        <v>31</v>
      </c>
      <c r="AE3072">
        <v>0</v>
      </c>
      <c r="AF3072" t="s">
        <v>31</v>
      </c>
      <c r="AG3072">
        <v>0</v>
      </c>
      <c r="AH3072" t="s">
        <v>31</v>
      </c>
      <c r="AI3072">
        <v>0</v>
      </c>
      <c r="AJ3072" t="s">
        <v>31</v>
      </c>
      <c r="AK3072">
        <v>0</v>
      </c>
      <c r="AL3072" t="s">
        <v>31</v>
      </c>
      <c r="AM3072">
        <v>0</v>
      </c>
      <c r="AN3072" t="s">
        <v>31</v>
      </c>
      <c r="AO3072">
        <v>0</v>
      </c>
      <c r="AP3072" t="s">
        <v>31</v>
      </c>
      <c r="AQ3072">
        <v>0</v>
      </c>
    </row>
    <row r="3073" spans="1:43" x14ac:dyDescent="0.2">
      <c r="A3073" t="s">
        <v>381</v>
      </c>
      <c r="B3073" s="3">
        <v>44249</v>
      </c>
      <c r="C3073">
        <v>15</v>
      </c>
      <c r="D3073" t="s">
        <v>384</v>
      </c>
      <c r="E3073" t="s">
        <v>90</v>
      </c>
      <c r="F3073" s="9" t="s">
        <v>92</v>
      </c>
      <c r="G3073" t="s">
        <v>26</v>
      </c>
      <c r="H3073" t="s">
        <v>85</v>
      </c>
      <c r="I3073" t="s">
        <v>86</v>
      </c>
      <c r="J3073" t="s">
        <v>53</v>
      </c>
      <c r="K3073" t="s">
        <v>54</v>
      </c>
      <c r="L3073" t="s">
        <v>53</v>
      </c>
      <c r="M3073" t="s">
        <v>54</v>
      </c>
      <c r="N3073" t="s">
        <v>85</v>
      </c>
      <c r="O3073" t="s">
        <v>86</v>
      </c>
      <c r="P3073" t="s">
        <v>53</v>
      </c>
      <c r="Q3073" t="s">
        <v>54</v>
      </c>
      <c r="R3073" s="1">
        <v>44249.431458333333</v>
      </c>
      <c r="S3073" s="1">
        <v>44249.431458333333</v>
      </c>
      <c r="T3073">
        <v>0</v>
      </c>
      <c r="U3073">
        <v>1</v>
      </c>
      <c r="V3073" s="2">
        <v>0</v>
      </c>
      <c r="W3073">
        <v>0</v>
      </c>
      <c r="X3073" t="s">
        <v>44</v>
      </c>
      <c r="Y3073">
        <v>0</v>
      </c>
      <c r="Z3073" t="s">
        <v>31</v>
      </c>
      <c r="AA3073">
        <v>0</v>
      </c>
      <c r="AB3073" t="s">
        <v>31</v>
      </c>
      <c r="AC3073">
        <v>0</v>
      </c>
      <c r="AD3073" t="s">
        <v>31</v>
      </c>
      <c r="AE3073">
        <v>0</v>
      </c>
      <c r="AF3073" t="s">
        <v>31</v>
      </c>
      <c r="AG3073">
        <v>0</v>
      </c>
      <c r="AH3073" t="s">
        <v>31</v>
      </c>
      <c r="AI3073">
        <v>0</v>
      </c>
      <c r="AJ3073" t="s">
        <v>31</v>
      </c>
      <c r="AK3073">
        <v>0</v>
      </c>
      <c r="AL3073" t="s">
        <v>31</v>
      </c>
      <c r="AM3073">
        <v>0</v>
      </c>
      <c r="AN3073" t="s">
        <v>31</v>
      </c>
      <c r="AO3073">
        <v>0</v>
      </c>
      <c r="AP3073" t="s">
        <v>31</v>
      </c>
      <c r="AQ3073">
        <v>0</v>
      </c>
    </row>
    <row r="3074" spans="1:43" x14ac:dyDescent="0.2">
      <c r="A3074" t="s">
        <v>381</v>
      </c>
      <c r="B3074" s="3">
        <v>44250</v>
      </c>
      <c r="C3074">
        <v>16</v>
      </c>
      <c r="D3074" t="s">
        <v>382</v>
      </c>
      <c r="E3074" t="s">
        <v>90</v>
      </c>
      <c r="F3074" s="9" t="s">
        <v>92</v>
      </c>
      <c r="G3074" t="s">
        <v>26</v>
      </c>
      <c r="H3074" t="s">
        <v>85</v>
      </c>
      <c r="I3074" t="s">
        <v>86</v>
      </c>
      <c r="J3074" t="s">
        <v>53</v>
      </c>
      <c r="K3074" t="s">
        <v>54</v>
      </c>
      <c r="L3074" t="s">
        <v>53</v>
      </c>
      <c r="M3074" t="s">
        <v>54</v>
      </c>
      <c r="N3074" t="s">
        <v>85</v>
      </c>
      <c r="O3074" t="s">
        <v>86</v>
      </c>
      <c r="P3074" t="s">
        <v>53</v>
      </c>
      <c r="Q3074" t="s">
        <v>54</v>
      </c>
      <c r="R3074" s="1">
        <v>44250.421412037038</v>
      </c>
      <c r="S3074" s="1">
        <v>44250.463333333333</v>
      </c>
      <c r="T3074">
        <v>0</v>
      </c>
      <c r="U3074">
        <v>2</v>
      </c>
      <c r="V3074" s="2">
        <v>0</v>
      </c>
      <c r="W3074">
        <v>0</v>
      </c>
      <c r="X3074" t="s">
        <v>44</v>
      </c>
      <c r="Y3074">
        <v>0</v>
      </c>
      <c r="Z3074" t="s">
        <v>44</v>
      </c>
      <c r="AA3074">
        <v>0</v>
      </c>
      <c r="AB3074" t="s">
        <v>31</v>
      </c>
      <c r="AC3074">
        <v>0</v>
      </c>
      <c r="AD3074" t="s">
        <v>31</v>
      </c>
      <c r="AE3074">
        <v>0</v>
      </c>
      <c r="AF3074" t="s">
        <v>31</v>
      </c>
      <c r="AG3074">
        <v>0</v>
      </c>
      <c r="AH3074" t="s">
        <v>31</v>
      </c>
      <c r="AI3074">
        <v>0</v>
      </c>
      <c r="AJ3074" t="s">
        <v>31</v>
      </c>
      <c r="AK3074">
        <v>0</v>
      </c>
      <c r="AL3074" t="s">
        <v>31</v>
      </c>
      <c r="AM3074">
        <v>0</v>
      </c>
      <c r="AN3074" t="s">
        <v>31</v>
      </c>
      <c r="AO3074">
        <v>0</v>
      </c>
      <c r="AP3074" t="s">
        <v>31</v>
      </c>
      <c r="AQ3074">
        <v>0</v>
      </c>
    </row>
    <row r="3075" spans="1:43" x14ac:dyDescent="0.2">
      <c r="A3075" t="s">
        <v>381</v>
      </c>
      <c r="B3075" s="3">
        <v>44250</v>
      </c>
      <c r="C3075">
        <v>17</v>
      </c>
      <c r="D3075" t="s">
        <v>385</v>
      </c>
      <c r="E3075" t="s">
        <v>90</v>
      </c>
      <c r="F3075" s="9" t="s">
        <v>92</v>
      </c>
      <c r="G3075" t="s">
        <v>26</v>
      </c>
      <c r="H3075" t="s">
        <v>85</v>
      </c>
      <c r="I3075" t="s">
        <v>86</v>
      </c>
      <c r="J3075" t="s">
        <v>53</v>
      </c>
      <c r="K3075" t="s">
        <v>54</v>
      </c>
      <c r="L3075" t="s">
        <v>53</v>
      </c>
      <c r="M3075" t="s">
        <v>54</v>
      </c>
      <c r="N3075" t="s">
        <v>85</v>
      </c>
      <c r="O3075" t="s">
        <v>86</v>
      </c>
      <c r="P3075" t="s">
        <v>53</v>
      </c>
      <c r="Q3075" t="s">
        <v>54</v>
      </c>
      <c r="R3075" s="1">
        <v>44250.619942129626</v>
      </c>
      <c r="S3075" s="1">
        <v>44250.619953703703</v>
      </c>
      <c r="T3075">
        <v>0</v>
      </c>
      <c r="U3075">
        <v>2</v>
      </c>
      <c r="V3075" s="2">
        <v>0</v>
      </c>
      <c r="W3075">
        <v>0</v>
      </c>
      <c r="X3075" t="s">
        <v>44</v>
      </c>
      <c r="Y3075">
        <v>0</v>
      </c>
      <c r="Z3075" t="s">
        <v>44</v>
      </c>
      <c r="AA3075">
        <v>0</v>
      </c>
      <c r="AB3075" t="s">
        <v>31</v>
      </c>
      <c r="AC3075">
        <v>0</v>
      </c>
      <c r="AD3075" t="s">
        <v>31</v>
      </c>
      <c r="AE3075">
        <v>0</v>
      </c>
      <c r="AF3075" t="s">
        <v>31</v>
      </c>
      <c r="AG3075">
        <v>0</v>
      </c>
      <c r="AH3075" t="s">
        <v>31</v>
      </c>
      <c r="AI3075">
        <v>0</v>
      </c>
      <c r="AJ3075" t="s">
        <v>31</v>
      </c>
      <c r="AK3075">
        <v>0</v>
      </c>
      <c r="AL3075" t="s">
        <v>31</v>
      </c>
      <c r="AM3075">
        <v>0</v>
      </c>
      <c r="AN3075" t="s">
        <v>31</v>
      </c>
      <c r="AO3075">
        <v>0</v>
      </c>
      <c r="AP3075" t="s">
        <v>31</v>
      </c>
      <c r="AQ3075">
        <v>0</v>
      </c>
    </row>
    <row r="3076" spans="1:43" x14ac:dyDescent="0.2">
      <c r="A3076" t="s">
        <v>381</v>
      </c>
      <c r="B3076" s="3">
        <v>44251</v>
      </c>
      <c r="C3076">
        <v>18</v>
      </c>
      <c r="D3076" t="s">
        <v>384</v>
      </c>
      <c r="E3076" t="s">
        <v>90</v>
      </c>
      <c r="F3076" s="9" t="s">
        <v>92</v>
      </c>
      <c r="G3076" t="s">
        <v>26</v>
      </c>
      <c r="H3076" t="s">
        <v>85</v>
      </c>
      <c r="I3076" t="s">
        <v>86</v>
      </c>
      <c r="J3076" t="s">
        <v>53</v>
      </c>
      <c r="K3076" t="s">
        <v>54</v>
      </c>
      <c r="L3076" t="s">
        <v>53</v>
      </c>
      <c r="M3076" t="s">
        <v>54</v>
      </c>
      <c r="N3076" t="s">
        <v>85</v>
      </c>
      <c r="O3076" t="s">
        <v>86</v>
      </c>
      <c r="P3076" t="s">
        <v>53</v>
      </c>
      <c r="Q3076" t="s">
        <v>54</v>
      </c>
      <c r="R3076" s="1">
        <v>44251.412592592591</v>
      </c>
      <c r="S3076" s="1">
        <v>44251.412592592591</v>
      </c>
      <c r="T3076">
        <v>0</v>
      </c>
      <c r="U3076">
        <v>1</v>
      </c>
      <c r="V3076" s="2">
        <v>0</v>
      </c>
      <c r="W3076">
        <v>0</v>
      </c>
      <c r="X3076" t="s">
        <v>44</v>
      </c>
      <c r="Y3076">
        <v>0</v>
      </c>
      <c r="Z3076" t="s">
        <v>31</v>
      </c>
      <c r="AA3076">
        <v>0</v>
      </c>
      <c r="AB3076" t="s">
        <v>31</v>
      </c>
      <c r="AC3076">
        <v>0</v>
      </c>
      <c r="AD3076" t="s">
        <v>31</v>
      </c>
      <c r="AE3076">
        <v>0</v>
      </c>
      <c r="AF3076" t="s">
        <v>31</v>
      </c>
      <c r="AG3076">
        <v>0</v>
      </c>
      <c r="AH3076" t="s">
        <v>31</v>
      </c>
      <c r="AI3076">
        <v>0</v>
      </c>
      <c r="AJ3076" t="s">
        <v>31</v>
      </c>
      <c r="AK3076">
        <v>0</v>
      </c>
      <c r="AL3076" t="s">
        <v>31</v>
      </c>
      <c r="AM3076">
        <v>0</v>
      </c>
      <c r="AN3076" t="s">
        <v>31</v>
      </c>
      <c r="AO3076">
        <v>0</v>
      </c>
      <c r="AP3076" t="s">
        <v>31</v>
      </c>
      <c r="AQ3076">
        <v>0</v>
      </c>
    </row>
    <row r="3077" spans="1:43" x14ac:dyDescent="0.2">
      <c r="A3077" t="s">
        <v>381</v>
      </c>
      <c r="B3077" s="3">
        <v>44252</v>
      </c>
      <c r="C3077">
        <v>19</v>
      </c>
      <c r="D3077" t="s">
        <v>382</v>
      </c>
      <c r="E3077" t="s">
        <v>90</v>
      </c>
      <c r="F3077" s="9" t="s">
        <v>92</v>
      </c>
      <c r="G3077" t="s">
        <v>26</v>
      </c>
      <c r="H3077" t="s">
        <v>85</v>
      </c>
      <c r="I3077" t="s">
        <v>86</v>
      </c>
      <c r="J3077" t="s">
        <v>53</v>
      </c>
      <c r="K3077" t="s">
        <v>54</v>
      </c>
      <c r="L3077" t="s">
        <v>53</v>
      </c>
      <c r="M3077" t="s">
        <v>54</v>
      </c>
      <c r="N3077" t="s">
        <v>85</v>
      </c>
      <c r="O3077" t="s">
        <v>86</v>
      </c>
      <c r="P3077" t="s">
        <v>53</v>
      </c>
      <c r="Q3077" t="s">
        <v>54</v>
      </c>
      <c r="R3077" s="1">
        <v>44252.412314814814</v>
      </c>
      <c r="S3077" s="1">
        <v>44252.412314814814</v>
      </c>
      <c r="T3077">
        <v>0</v>
      </c>
      <c r="U3077">
        <v>1</v>
      </c>
      <c r="V3077" s="2">
        <v>0</v>
      </c>
      <c r="W3077">
        <v>0</v>
      </c>
      <c r="X3077" t="s">
        <v>44</v>
      </c>
      <c r="Y3077">
        <v>0</v>
      </c>
      <c r="Z3077" t="s">
        <v>31</v>
      </c>
      <c r="AA3077">
        <v>0</v>
      </c>
      <c r="AB3077" t="s">
        <v>31</v>
      </c>
      <c r="AC3077">
        <v>0</v>
      </c>
      <c r="AD3077" t="s">
        <v>31</v>
      </c>
      <c r="AE3077">
        <v>0</v>
      </c>
      <c r="AF3077" t="s">
        <v>31</v>
      </c>
      <c r="AG3077">
        <v>0</v>
      </c>
      <c r="AH3077" t="s">
        <v>31</v>
      </c>
      <c r="AI3077">
        <v>0</v>
      </c>
      <c r="AJ3077" t="s">
        <v>31</v>
      </c>
      <c r="AK3077">
        <v>0</v>
      </c>
      <c r="AL3077" t="s">
        <v>31</v>
      </c>
      <c r="AM3077">
        <v>0</v>
      </c>
      <c r="AN3077" t="s">
        <v>31</v>
      </c>
      <c r="AO3077">
        <v>0</v>
      </c>
      <c r="AP3077" t="s">
        <v>31</v>
      </c>
      <c r="AQ3077">
        <v>0</v>
      </c>
    </row>
    <row r="3078" spans="1:43" x14ac:dyDescent="0.2">
      <c r="A3078" t="s">
        <v>381</v>
      </c>
      <c r="B3078" s="3">
        <v>44252</v>
      </c>
      <c r="C3078">
        <v>20</v>
      </c>
      <c r="D3078" t="s">
        <v>385</v>
      </c>
      <c r="E3078" t="s">
        <v>90</v>
      </c>
      <c r="F3078" s="9" t="s">
        <v>92</v>
      </c>
      <c r="G3078" t="s">
        <v>26</v>
      </c>
      <c r="H3078" t="s">
        <v>85</v>
      </c>
      <c r="I3078" t="s">
        <v>86</v>
      </c>
      <c r="J3078" t="s">
        <v>53</v>
      </c>
      <c r="K3078" t="s">
        <v>54</v>
      </c>
      <c r="L3078" t="s">
        <v>53</v>
      </c>
      <c r="M3078" t="s">
        <v>54</v>
      </c>
      <c r="N3078" t="s">
        <v>85</v>
      </c>
      <c r="O3078" t="s">
        <v>86</v>
      </c>
      <c r="P3078" t="s">
        <v>53</v>
      </c>
      <c r="Q3078" t="s">
        <v>54</v>
      </c>
      <c r="R3078" s="1">
        <v>44252.625115740739</v>
      </c>
      <c r="S3078" s="1">
        <v>44252.625115740739</v>
      </c>
      <c r="T3078">
        <v>0</v>
      </c>
      <c r="U3078">
        <v>1</v>
      </c>
      <c r="V3078" s="2">
        <v>0</v>
      </c>
      <c r="W3078">
        <v>0</v>
      </c>
      <c r="X3078" t="s">
        <v>44</v>
      </c>
      <c r="Y3078">
        <v>0</v>
      </c>
      <c r="Z3078" t="s">
        <v>31</v>
      </c>
      <c r="AA3078">
        <v>0</v>
      </c>
      <c r="AB3078" t="s">
        <v>31</v>
      </c>
      <c r="AC3078">
        <v>0</v>
      </c>
      <c r="AD3078" t="s">
        <v>31</v>
      </c>
      <c r="AE3078">
        <v>0</v>
      </c>
      <c r="AF3078" t="s">
        <v>31</v>
      </c>
      <c r="AG3078">
        <v>0</v>
      </c>
      <c r="AH3078" t="s">
        <v>31</v>
      </c>
      <c r="AI3078">
        <v>0</v>
      </c>
      <c r="AJ3078" t="s">
        <v>31</v>
      </c>
      <c r="AK3078">
        <v>0</v>
      </c>
      <c r="AL3078" t="s">
        <v>31</v>
      </c>
      <c r="AM3078">
        <v>0</v>
      </c>
      <c r="AN3078" t="s">
        <v>31</v>
      </c>
      <c r="AO3078">
        <v>0</v>
      </c>
      <c r="AP3078" t="s">
        <v>31</v>
      </c>
      <c r="AQ3078">
        <v>0</v>
      </c>
    </row>
    <row r="3079" spans="1:43" x14ac:dyDescent="0.2">
      <c r="A3079" t="s">
        <v>381</v>
      </c>
      <c r="B3079" s="3">
        <v>44253</v>
      </c>
      <c r="C3079">
        <v>21</v>
      </c>
      <c r="D3079" t="s">
        <v>384</v>
      </c>
      <c r="E3079" t="s">
        <v>90</v>
      </c>
      <c r="F3079" s="9" t="s">
        <v>92</v>
      </c>
      <c r="G3079" t="s">
        <v>26</v>
      </c>
      <c r="H3079" t="s">
        <v>85</v>
      </c>
      <c r="I3079" t="s">
        <v>86</v>
      </c>
      <c r="J3079" t="s">
        <v>53</v>
      </c>
      <c r="K3079" t="s">
        <v>54</v>
      </c>
      <c r="L3079" t="s">
        <v>53</v>
      </c>
      <c r="M3079" t="s">
        <v>54</v>
      </c>
      <c r="N3079" t="s">
        <v>85</v>
      </c>
      <c r="O3079" t="s">
        <v>86</v>
      </c>
      <c r="P3079" t="s">
        <v>53</v>
      </c>
      <c r="Q3079" t="s">
        <v>54</v>
      </c>
      <c r="R3079" s="1">
        <v>44253.372557870367</v>
      </c>
      <c r="S3079" s="1">
        <v>44253.372557870367</v>
      </c>
      <c r="T3079">
        <v>0</v>
      </c>
      <c r="U3079">
        <v>1</v>
      </c>
      <c r="V3079" s="2">
        <v>0</v>
      </c>
      <c r="W3079">
        <v>0</v>
      </c>
      <c r="X3079" t="s">
        <v>44</v>
      </c>
      <c r="Y3079">
        <v>0</v>
      </c>
      <c r="Z3079" t="s">
        <v>31</v>
      </c>
      <c r="AA3079">
        <v>0</v>
      </c>
      <c r="AB3079" t="s">
        <v>31</v>
      </c>
      <c r="AC3079">
        <v>0</v>
      </c>
      <c r="AD3079" t="s">
        <v>31</v>
      </c>
      <c r="AE3079">
        <v>0</v>
      </c>
      <c r="AF3079" t="s">
        <v>31</v>
      </c>
      <c r="AG3079">
        <v>0</v>
      </c>
      <c r="AH3079" t="s">
        <v>31</v>
      </c>
      <c r="AI3079">
        <v>0</v>
      </c>
      <c r="AJ3079" t="s">
        <v>31</v>
      </c>
      <c r="AK3079">
        <v>0</v>
      </c>
      <c r="AL3079" t="s">
        <v>31</v>
      </c>
      <c r="AM3079">
        <v>0</v>
      </c>
      <c r="AN3079" t="s">
        <v>31</v>
      </c>
      <c r="AO3079">
        <v>0</v>
      </c>
      <c r="AP3079" t="s">
        <v>31</v>
      </c>
      <c r="AQ3079">
        <v>0</v>
      </c>
    </row>
    <row r="3080" spans="1:43" x14ac:dyDescent="0.2">
      <c r="A3080" t="s">
        <v>381</v>
      </c>
      <c r="B3080" s="3">
        <v>44256</v>
      </c>
      <c r="C3080">
        <v>22</v>
      </c>
      <c r="D3080" t="s">
        <v>384</v>
      </c>
      <c r="E3080" t="s">
        <v>90</v>
      </c>
      <c r="F3080" s="9" t="s">
        <v>92</v>
      </c>
      <c r="G3080" t="s">
        <v>26</v>
      </c>
      <c r="H3080" t="s">
        <v>85</v>
      </c>
      <c r="I3080" t="s">
        <v>86</v>
      </c>
      <c r="J3080" t="s">
        <v>53</v>
      </c>
      <c r="K3080" t="s">
        <v>54</v>
      </c>
      <c r="L3080" t="s">
        <v>53</v>
      </c>
      <c r="M3080" t="s">
        <v>54</v>
      </c>
      <c r="N3080" t="s">
        <v>85</v>
      </c>
      <c r="O3080" t="s">
        <v>86</v>
      </c>
      <c r="P3080" t="s">
        <v>53</v>
      </c>
      <c r="Q3080" t="s">
        <v>54</v>
      </c>
      <c r="R3080" s="1">
        <v>44256.419583333336</v>
      </c>
      <c r="S3080" s="1">
        <v>44256.419583333336</v>
      </c>
      <c r="T3080">
        <v>0</v>
      </c>
      <c r="U3080">
        <v>1</v>
      </c>
      <c r="V3080" s="2">
        <v>0</v>
      </c>
      <c r="W3080">
        <v>0</v>
      </c>
      <c r="X3080" t="s">
        <v>44</v>
      </c>
      <c r="Y3080">
        <v>0</v>
      </c>
      <c r="Z3080" t="s">
        <v>31</v>
      </c>
      <c r="AA3080">
        <v>0</v>
      </c>
      <c r="AB3080" t="s">
        <v>31</v>
      </c>
      <c r="AC3080">
        <v>0</v>
      </c>
      <c r="AD3080" t="s">
        <v>31</v>
      </c>
      <c r="AE3080">
        <v>0</v>
      </c>
      <c r="AF3080" t="s">
        <v>31</v>
      </c>
      <c r="AG3080">
        <v>0</v>
      </c>
      <c r="AH3080" t="s">
        <v>31</v>
      </c>
      <c r="AI3080">
        <v>0</v>
      </c>
      <c r="AJ3080" t="s">
        <v>31</v>
      </c>
      <c r="AK3080">
        <v>0</v>
      </c>
      <c r="AL3080" t="s">
        <v>31</v>
      </c>
      <c r="AM3080">
        <v>0</v>
      </c>
      <c r="AN3080" t="s">
        <v>31</v>
      </c>
      <c r="AO3080">
        <v>0</v>
      </c>
      <c r="AP3080" t="s">
        <v>31</v>
      </c>
      <c r="AQ3080">
        <v>0</v>
      </c>
    </row>
    <row r="3081" spans="1:43" x14ac:dyDescent="0.2">
      <c r="A3081" t="s">
        <v>381</v>
      </c>
      <c r="B3081" s="3">
        <v>44257</v>
      </c>
      <c r="C3081">
        <v>23</v>
      </c>
      <c r="D3081" t="s">
        <v>382</v>
      </c>
      <c r="E3081" t="s">
        <v>90</v>
      </c>
      <c r="F3081" s="9" t="s">
        <v>92</v>
      </c>
      <c r="G3081" t="s">
        <v>26</v>
      </c>
      <c r="H3081" t="s">
        <v>85</v>
      </c>
      <c r="I3081" t="s">
        <v>86</v>
      </c>
      <c r="J3081" t="s">
        <v>53</v>
      </c>
      <c r="K3081" t="s">
        <v>54</v>
      </c>
      <c r="L3081" t="s">
        <v>53</v>
      </c>
      <c r="M3081" t="s">
        <v>54</v>
      </c>
      <c r="N3081" t="s">
        <v>85</v>
      </c>
      <c r="O3081" t="s">
        <v>86</v>
      </c>
      <c r="P3081" t="s">
        <v>53</v>
      </c>
      <c r="Q3081" t="s">
        <v>54</v>
      </c>
      <c r="R3081" s="1">
        <v>44257.429062499999</v>
      </c>
      <c r="S3081" s="1">
        <v>44257.469942129632</v>
      </c>
      <c r="T3081">
        <v>0</v>
      </c>
      <c r="U3081">
        <v>2</v>
      </c>
      <c r="V3081" s="2">
        <v>0</v>
      </c>
      <c r="W3081">
        <v>0</v>
      </c>
      <c r="X3081" t="s">
        <v>44</v>
      </c>
      <c r="Y3081">
        <v>0</v>
      </c>
      <c r="Z3081" t="s">
        <v>44</v>
      </c>
      <c r="AA3081">
        <v>0</v>
      </c>
      <c r="AB3081" t="s">
        <v>31</v>
      </c>
      <c r="AC3081">
        <v>0</v>
      </c>
      <c r="AD3081" t="s">
        <v>31</v>
      </c>
      <c r="AE3081">
        <v>0</v>
      </c>
      <c r="AF3081" t="s">
        <v>31</v>
      </c>
      <c r="AG3081">
        <v>0</v>
      </c>
      <c r="AH3081" t="s">
        <v>31</v>
      </c>
      <c r="AI3081">
        <v>0</v>
      </c>
      <c r="AJ3081" t="s">
        <v>31</v>
      </c>
      <c r="AK3081">
        <v>0</v>
      </c>
      <c r="AL3081" t="s">
        <v>31</v>
      </c>
      <c r="AM3081">
        <v>0</v>
      </c>
      <c r="AN3081" t="s">
        <v>31</v>
      </c>
      <c r="AO3081">
        <v>0</v>
      </c>
      <c r="AP3081" t="s">
        <v>31</v>
      </c>
      <c r="AQ3081">
        <v>0</v>
      </c>
    </row>
    <row r="3082" spans="1:43" x14ac:dyDescent="0.2">
      <c r="A3082" t="s">
        <v>381</v>
      </c>
      <c r="B3082" s="3">
        <v>44257</v>
      </c>
      <c r="C3082">
        <v>24</v>
      </c>
      <c r="D3082" t="s">
        <v>385</v>
      </c>
      <c r="E3082" t="s">
        <v>90</v>
      </c>
      <c r="F3082" s="9" t="s">
        <v>92</v>
      </c>
      <c r="G3082" t="s">
        <v>26</v>
      </c>
      <c r="H3082" t="s">
        <v>85</v>
      </c>
      <c r="I3082" t="s">
        <v>86</v>
      </c>
      <c r="J3082" t="s">
        <v>53</v>
      </c>
      <c r="K3082" t="s">
        <v>54</v>
      </c>
      <c r="L3082" t="s">
        <v>53</v>
      </c>
      <c r="M3082" t="s">
        <v>54</v>
      </c>
      <c r="N3082" t="s">
        <v>85</v>
      </c>
      <c r="O3082" t="s">
        <v>86</v>
      </c>
      <c r="P3082" t="s">
        <v>53</v>
      </c>
      <c r="Q3082" t="s">
        <v>54</v>
      </c>
      <c r="R3082" s="1">
        <v>44257.582118055558</v>
      </c>
      <c r="S3082" s="1">
        <v>44257.582118055558</v>
      </c>
      <c r="T3082">
        <v>0</v>
      </c>
      <c r="U3082">
        <v>1</v>
      </c>
      <c r="V3082" s="2">
        <v>0</v>
      </c>
      <c r="W3082">
        <v>0</v>
      </c>
      <c r="X3082" t="s">
        <v>44</v>
      </c>
      <c r="Y3082">
        <v>0</v>
      </c>
      <c r="Z3082" t="s">
        <v>31</v>
      </c>
      <c r="AA3082">
        <v>0</v>
      </c>
      <c r="AB3082" t="s">
        <v>31</v>
      </c>
      <c r="AC3082">
        <v>0</v>
      </c>
      <c r="AD3082" t="s">
        <v>31</v>
      </c>
      <c r="AE3082">
        <v>0</v>
      </c>
      <c r="AF3082" t="s">
        <v>31</v>
      </c>
      <c r="AG3082">
        <v>0</v>
      </c>
      <c r="AH3082" t="s">
        <v>31</v>
      </c>
      <c r="AI3082">
        <v>0</v>
      </c>
      <c r="AJ3082" t="s">
        <v>31</v>
      </c>
      <c r="AK3082">
        <v>0</v>
      </c>
      <c r="AL3082" t="s">
        <v>31</v>
      </c>
      <c r="AM3082">
        <v>0</v>
      </c>
      <c r="AN3082" t="s">
        <v>31</v>
      </c>
      <c r="AO3082">
        <v>0</v>
      </c>
      <c r="AP3082" t="s">
        <v>31</v>
      </c>
      <c r="AQ3082">
        <v>0</v>
      </c>
    </row>
    <row r="3083" spans="1:43" x14ac:dyDescent="0.2">
      <c r="A3083" t="s">
        <v>381</v>
      </c>
      <c r="B3083" s="3">
        <v>44258</v>
      </c>
      <c r="C3083">
        <v>25</v>
      </c>
      <c r="D3083" t="s">
        <v>384</v>
      </c>
      <c r="E3083" t="s">
        <v>90</v>
      </c>
      <c r="F3083" s="9" t="s">
        <v>92</v>
      </c>
      <c r="G3083" t="s">
        <v>26</v>
      </c>
      <c r="H3083" t="s">
        <v>85</v>
      </c>
      <c r="I3083" t="s">
        <v>86</v>
      </c>
      <c r="J3083" t="s">
        <v>53</v>
      </c>
      <c r="K3083" t="s">
        <v>54</v>
      </c>
      <c r="L3083" t="s">
        <v>53</v>
      </c>
      <c r="M3083" t="s">
        <v>54</v>
      </c>
      <c r="N3083" t="s">
        <v>85</v>
      </c>
      <c r="O3083" t="s">
        <v>86</v>
      </c>
      <c r="P3083" t="s">
        <v>53</v>
      </c>
      <c r="Q3083" t="s">
        <v>54</v>
      </c>
      <c r="R3083" s="1">
        <v>44258.375011574077</v>
      </c>
      <c r="S3083" s="1">
        <v>44258.416203703702</v>
      </c>
      <c r="T3083">
        <v>0</v>
      </c>
      <c r="U3083">
        <v>2</v>
      </c>
      <c r="V3083" s="2">
        <v>0</v>
      </c>
      <c r="W3083">
        <v>0</v>
      </c>
      <c r="X3083" t="s">
        <v>44</v>
      </c>
      <c r="Y3083">
        <v>0</v>
      </c>
      <c r="Z3083" t="s">
        <v>44</v>
      </c>
      <c r="AA3083">
        <v>0</v>
      </c>
      <c r="AB3083" t="s">
        <v>31</v>
      </c>
      <c r="AC3083">
        <v>0</v>
      </c>
      <c r="AD3083" t="s">
        <v>31</v>
      </c>
      <c r="AE3083">
        <v>0</v>
      </c>
      <c r="AF3083" t="s">
        <v>31</v>
      </c>
      <c r="AG3083">
        <v>0</v>
      </c>
      <c r="AH3083" t="s">
        <v>31</v>
      </c>
      <c r="AI3083">
        <v>0</v>
      </c>
      <c r="AJ3083" t="s">
        <v>31</v>
      </c>
      <c r="AK3083">
        <v>0</v>
      </c>
      <c r="AL3083" t="s">
        <v>31</v>
      </c>
      <c r="AM3083">
        <v>0</v>
      </c>
      <c r="AN3083" t="s">
        <v>31</v>
      </c>
      <c r="AO3083">
        <v>0</v>
      </c>
      <c r="AP3083" t="s">
        <v>31</v>
      </c>
      <c r="AQ3083">
        <v>0</v>
      </c>
    </row>
    <row r="3084" spans="1:43" x14ac:dyDescent="0.2">
      <c r="A3084" t="s">
        <v>381</v>
      </c>
      <c r="B3084" s="3">
        <v>44259</v>
      </c>
      <c r="C3084">
        <v>26</v>
      </c>
      <c r="D3084" t="s">
        <v>382</v>
      </c>
      <c r="E3084" t="s">
        <v>90</v>
      </c>
      <c r="F3084" s="9" t="s">
        <v>92</v>
      </c>
      <c r="G3084" t="s">
        <v>26</v>
      </c>
      <c r="H3084" t="s">
        <v>85</v>
      </c>
      <c r="I3084" t="s">
        <v>86</v>
      </c>
      <c r="J3084" t="s">
        <v>53</v>
      </c>
      <c r="K3084" t="s">
        <v>54</v>
      </c>
      <c r="L3084" t="s">
        <v>53</v>
      </c>
      <c r="M3084" t="s">
        <v>54</v>
      </c>
      <c r="N3084" t="s">
        <v>85</v>
      </c>
      <c r="O3084" t="s">
        <v>86</v>
      </c>
      <c r="P3084" t="s">
        <v>53</v>
      </c>
      <c r="Q3084" t="s">
        <v>54</v>
      </c>
      <c r="R3084" s="1">
        <v>44259.415451388886</v>
      </c>
      <c r="S3084" s="1">
        <v>44259.437905092593</v>
      </c>
      <c r="T3084">
        <v>0</v>
      </c>
      <c r="U3084">
        <v>2</v>
      </c>
      <c r="V3084" s="2">
        <v>0</v>
      </c>
      <c r="W3084">
        <v>0</v>
      </c>
      <c r="X3084" t="s">
        <v>44</v>
      </c>
      <c r="Y3084">
        <v>0</v>
      </c>
      <c r="Z3084" t="s">
        <v>44</v>
      </c>
      <c r="AA3084">
        <v>0</v>
      </c>
      <c r="AB3084" t="s">
        <v>31</v>
      </c>
      <c r="AC3084">
        <v>0</v>
      </c>
      <c r="AD3084" t="s">
        <v>31</v>
      </c>
      <c r="AE3084">
        <v>0</v>
      </c>
      <c r="AF3084" t="s">
        <v>31</v>
      </c>
      <c r="AG3084">
        <v>0</v>
      </c>
      <c r="AH3084" t="s">
        <v>31</v>
      </c>
      <c r="AI3084">
        <v>0</v>
      </c>
      <c r="AJ3084" t="s">
        <v>31</v>
      </c>
      <c r="AK3084">
        <v>0</v>
      </c>
      <c r="AL3084" t="s">
        <v>31</v>
      </c>
      <c r="AM3084">
        <v>0</v>
      </c>
      <c r="AN3084" t="s">
        <v>31</v>
      </c>
      <c r="AO3084">
        <v>0</v>
      </c>
      <c r="AP3084" t="s">
        <v>31</v>
      </c>
      <c r="AQ3084">
        <v>0</v>
      </c>
    </row>
    <row r="3085" spans="1:43" x14ac:dyDescent="0.2">
      <c r="A3085" t="s">
        <v>381</v>
      </c>
      <c r="B3085" s="3">
        <v>44260</v>
      </c>
      <c r="C3085">
        <v>28</v>
      </c>
      <c r="D3085" t="s">
        <v>384</v>
      </c>
      <c r="E3085" t="s">
        <v>90</v>
      </c>
      <c r="F3085" s="9" t="s">
        <v>92</v>
      </c>
      <c r="G3085" t="s">
        <v>26</v>
      </c>
      <c r="H3085" t="s">
        <v>85</v>
      </c>
      <c r="I3085" t="s">
        <v>86</v>
      </c>
      <c r="J3085" t="s">
        <v>53</v>
      </c>
      <c r="K3085" t="s">
        <v>54</v>
      </c>
      <c r="L3085" t="s">
        <v>53</v>
      </c>
      <c r="M3085" t="s">
        <v>54</v>
      </c>
      <c r="N3085" t="s">
        <v>85</v>
      </c>
      <c r="O3085" t="s">
        <v>86</v>
      </c>
      <c r="P3085" t="s">
        <v>53</v>
      </c>
      <c r="Q3085" t="s">
        <v>54</v>
      </c>
      <c r="R3085" s="1">
        <v>44260.469988425924</v>
      </c>
      <c r="S3085" s="1">
        <v>44260.469988425924</v>
      </c>
      <c r="T3085">
        <v>0</v>
      </c>
      <c r="U3085">
        <v>1</v>
      </c>
      <c r="V3085" s="2">
        <v>0</v>
      </c>
      <c r="W3085">
        <v>0</v>
      </c>
      <c r="X3085" t="s">
        <v>44</v>
      </c>
      <c r="Y3085">
        <v>0</v>
      </c>
      <c r="Z3085" t="s">
        <v>31</v>
      </c>
      <c r="AA3085">
        <v>0</v>
      </c>
      <c r="AB3085" t="s">
        <v>31</v>
      </c>
      <c r="AC3085">
        <v>0</v>
      </c>
      <c r="AD3085" t="s">
        <v>31</v>
      </c>
      <c r="AE3085">
        <v>0</v>
      </c>
      <c r="AF3085" t="s">
        <v>31</v>
      </c>
      <c r="AG3085">
        <v>0</v>
      </c>
      <c r="AH3085" t="s">
        <v>31</v>
      </c>
      <c r="AI3085">
        <v>0</v>
      </c>
      <c r="AJ3085" t="s">
        <v>31</v>
      </c>
      <c r="AK3085">
        <v>0</v>
      </c>
      <c r="AL3085" t="s">
        <v>31</v>
      </c>
      <c r="AM3085">
        <v>0</v>
      </c>
      <c r="AN3085" t="s">
        <v>31</v>
      </c>
      <c r="AO3085">
        <v>0</v>
      </c>
      <c r="AP3085" t="s">
        <v>31</v>
      </c>
      <c r="AQ3085">
        <v>0</v>
      </c>
    </row>
    <row r="3086" spans="1:43" x14ac:dyDescent="0.2">
      <c r="A3086" t="s">
        <v>381</v>
      </c>
      <c r="B3086" s="3">
        <v>44264</v>
      </c>
      <c r="C3086">
        <v>30</v>
      </c>
      <c r="D3086" t="s">
        <v>382</v>
      </c>
      <c r="E3086" t="s">
        <v>90</v>
      </c>
      <c r="F3086" s="9" t="s">
        <v>92</v>
      </c>
      <c r="G3086" t="s">
        <v>26</v>
      </c>
      <c r="H3086" t="s">
        <v>85</v>
      </c>
      <c r="I3086" t="s">
        <v>86</v>
      </c>
      <c r="J3086" t="s">
        <v>53</v>
      </c>
      <c r="K3086" t="s">
        <v>54</v>
      </c>
      <c r="L3086" t="s">
        <v>53</v>
      </c>
      <c r="M3086" t="s">
        <v>54</v>
      </c>
      <c r="N3086" t="s">
        <v>85</v>
      </c>
      <c r="O3086" t="s">
        <v>86</v>
      </c>
      <c r="P3086" t="s">
        <v>53</v>
      </c>
      <c r="Q3086" t="s">
        <v>54</v>
      </c>
      <c r="R3086" s="1">
        <v>44264.423379629632</v>
      </c>
      <c r="S3086" s="1">
        <v>44264.457488425927</v>
      </c>
      <c r="T3086">
        <v>0</v>
      </c>
      <c r="U3086">
        <v>2</v>
      </c>
      <c r="V3086" s="2">
        <v>0</v>
      </c>
      <c r="W3086">
        <v>0</v>
      </c>
      <c r="X3086" t="s">
        <v>44</v>
      </c>
      <c r="Y3086">
        <v>0</v>
      </c>
      <c r="Z3086" t="s">
        <v>44</v>
      </c>
      <c r="AA3086">
        <v>0</v>
      </c>
      <c r="AB3086" t="s">
        <v>31</v>
      </c>
      <c r="AC3086">
        <v>0</v>
      </c>
      <c r="AD3086" t="s">
        <v>31</v>
      </c>
      <c r="AE3086">
        <v>0</v>
      </c>
      <c r="AF3086" t="s">
        <v>31</v>
      </c>
      <c r="AG3086">
        <v>0</v>
      </c>
      <c r="AH3086" t="s">
        <v>31</v>
      </c>
      <c r="AI3086">
        <v>0</v>
      </c>
      <c r="AJ3086" t="s">
        <v>31</v>
      </c>
      <c r="AK3086">
        <v>0</v>
      </c>
      <c r="AL3086" t="s">
        <v>31</v>
      </c>
      <c r="AM3086">
        <v>0</v>
      </c>
      <c r="AN3086" t="s">
        <v>31</v>
      </c>
      <c r="AO3086">
        <v>0</v>
      </c>
      <c r="AP3086" t="s">
        <v>31</v>
      </c>
      <c r="AQ3086">
        <v>0</v>
      </c>
    </row>
    <row r="3087" spans="1:43" x14ac:dyDescent="0.2">
      <c r="A3087" t="s">
        <v>381</v>
      </c>
      <c r="B3087" s="3">
        <v>44264</v>
      </c>
      <c r="C3087">
        <v>31</v>
      </c>
      <c r="D3087" t="s">
        <v>385</v>
      </c>
      <c r="E3087" t="s">
        <v>90</v>
      </c>
      <c r="F3087" s="9" t="s">
        <v>92</v>
      </c>
      <c r="G3087" t="s">
        <v>26</v>
      </c>
      <c r="H3087" t="s">
        <v>85</v>
      </c>
      <c r="I3087" t="s">
        <v>86</v>
      </c>
      <c r="J3087" t="s">
        <v>53</v>
      </c>
      <c r="K3087" t="s">
        <v>54</v>
      </c>
      <c r="L3087" t="s">
        <v>53</v>
      </c>
      <c r="M3087" t="s">
        <v>54</v>
      </c>
      <c r="N3087" t="s">
        <v>85</v>
      </c>
      <c r="O3087" t="s">
        <v>86</v>
      </c>
      <c r="P3087" t="s">
        <v>53</v>
      </c>
      <c r="Q3087" t="s">
        <v>54</v>
      </c>
      <c r="R3087" s="1">
        <v>44264.568715277775</v>
      </c>
      <c r="S3087" s="1">
        <v>44264.677314814813</v>
      </c>
      <c r="T3087">
        <v>0</v>
      </c>
      <c r="U3087">
        <v>3</v>
      </c>
      <c r="V3087" s="2">
        <v>0</v>
      </c>
      <c r="W3087">
        <v>0</v>
      </c>
      <c r="X3087" t="s">
        <v>44</v>
      </c>
      <c r="Y3087">
        <v>0</v>
      </c>
      <c r="Z3087" t="s">
        <v>44</v>
      </c>
      <c r="AA3087">
        <v>0</v>
      </c>
      <c r="AB3087" t="s">
        <v>44</v>
      </c>
      <c r="AC3087">
        <v>0</v>
      </c>
      <c r="AD3087" t="s">
        <v>31</v>
      </c>
      <c r="AE3087">
        <v>0</v>
      </c>
      <c r="AF3087" t="s">
        <v>31</v>
      </c>
      <c r="AG3087">
        <v>0</v>
      </c>
      <c r="AH3087" t="s">
        <v>31</v>
      </c>
      <c r="AI3087">
        <v>0</v>
      </c>
      <c r="AJ3087" t="s">
        <v>31</v>
      </c>
      <c r="AK3087">
        <v>0</v>
      </c>
      <c r="AL3087" t="s">
        <v>31</v>
      </c>
      <c r="AM3087">
        <v>0</v>
      </c>
      <c r="AN3087" t="s">
        <v>31</v>
      </c>
      <c r="AO3087">
        <v>0</v>
      </c>
      <c r="AP3087" t="s">
        <v>31</v>
      </c>
      <c r="AQ3087">
        <v>0</v>
      </c>
    </row>
    <row r="3088" spans="1:43" x14ac:dyDescent="0.2">
      <c r="A3088" t="s">
        <v>381</v>
      </c>
      <c r="B3088" s="3">
        <v>44265</v>
      </c>
      <c r="C3088">
        <v>32</v>
      </c>
      <c r="D3088" t="s">
        <v>384</v>
      </c>
      <c r="E3088" t="s">
        <v>90</v>
      </c>
      <c r="F3088" s="9" t="s">
        <v>92</v>
      </c>
      <c r="G3088" t="s">
        <v>26</v>
      </c>
      <c r="H3088" t="s">
        <v>85</v>
      </c>
      <c r="I3088" t="s">
        <v>86</v>
      </c>
      <c r="J3088" t="s">
        <v>53</v>
      </c>
      <c r="K3088" t="s">
        <v>54</v>
      </c>
      <c r="L3088" t="s">
        <v>53</v>
      </c>
      <c r="M3088" t="s">
        <v>54</v>
      </c>
      <c r="N3088" t="s">
        <v>85</v>
      </c>
      <c r="O3088" t="s">
        <v>86</v>
      </c>
      <c r="P3088" t="s">
        <v>53</v>
      </c>
      <c r="Q3088" t="s">
        <v>54</v>
      </c>
      <c r="R3088" s="1">
        <v>44265.454108796293</v>
      </c>
      <c r="S3088" s="1">
        <v>44265.454108796293</v>
      </c>
      <c r="T3088">
        <v>0</v>
      </c>
      <c r="U3088">
        <v>1</v>
      </c>
      <c r="V3088" s="2">
        <v>0</v>
      </c>
      <c r="W3088">
        <v>0</v>
      </c>
      <c r="X3088" t="s">
        <v>44</v>
      </c>
      <c r="Y3088">
        <v>0</v>
      </c>
      <c r="Z3088" t="s">
        <v>31</v>
      </c>
      <c r="AA3088">
        <v>0</v>
      </c>
      <c r="AB3088" t="s">
        <v>31</v>
      </c>
      <c r="AC3088">
        <v>0</v>
      </c>
      <c r="AD3088" t="s">
        <v>31</v>
      </c>
      <c r="AE3088">
        <v>0</v>
      </c>
      <c r="AF3088" t="s">
        <v>31</v>
      </c>
      <c r="AG3088">
        <v>0</v>
      </c>
      <c r="AH3088" t="s">
        <v>31</v>
      </c>
      <c r="AI3088">
        <v>0</v>
      </c>
      <c r="AJ3088" t="s">
        <v>31</v>
      </c>
      <c r="AK3088">
        <v>0</v>
      </c>
      <c r="AL3088" t="s">
        <v>31</v>
      </c>
      <c r="AM3088">
        <v>0</v>
      </c>
      <c r="AN3088" t="s">
        <v>31</v>
      </c>
      <c r="AO3088">
        <v>0</v>
      </c>
      <c r="AP3088" t="s">
        <v>31</v>
      </c>
      <c r="AQ3088">
        <v>0</v>
      </c>
    </row>
    <row r="3089" spans="1:43" x14ac:dyDescent="0.2">
      <c r="A3089" t="s">
        <v>381</v>
      </c>
      <c r="B3089" s="3">
        <v>44266</v>
      </c>
      <c r="C3089">
        <v>33</v>
      </c>
      <c r="D3089" t="s">
        <v>385</v>
      </c>
      <c r="E3089" t="s">
        <v>90</v>
      </c>
      <c r="F3089" s="9" t="s">
        <v>92</v>
      </c>
      <c r="G3089" t="s">
        <v>26</v>
      </c>
      <c r="H3089" t="s">
        <v>85</v>
      </c>
      <c r="I3089" t="s">
        <v>86</v>
      </c>
      <c r="J3089" t="s">
        <v>53</v>
      </c>
      <c r="K3089" t="s">
        <v>54</v>
      </c>
      <c r="L3089" t="s">
        <v>53</v>
      </c>
      <c r="M3089" t="s">
        <v>54</v>
      </c>
      <c r="N3089" t="s">
        <v>85</v>
      </c>
      <c r="O3089" t="s">
        <v>86</v>
      </c>
      <c r="P3089" t="s">
        <v>53</v>
      </c>
      <c r="Q3089" t="s">
        <v>54</v>
      </c>
      <c r="R3089" s="1">
        <v>44266.41920138889</v>
      </c>
      <c r="S3089" s="1">
        <v>44266.463194444441</v>
      </c>
      <c r="T3089">
        <v>0</v>
      </c>
      <c r="U3089">
        <v>2</v>
      </c>
      <c r="V3089" s="2">
        <v>0</v>
      </c>
      <c r="W3089">
        <v>0</v>
      </c>
      <c r="X3089" t="s">
        <v>44</v>
      </c>
      <c r="Y3089">
        <v>0</v>
      </c>
      <c r="Z3089" t="s">
        <v>44</v>
      </c>
      <c r="AA3089">
        <v>0</v>
      </c>
      <c r="AB3089" t="s">
        <v>31</v>
      </c>
      <c r="AC3089">
        <v>0</v>
      </c>
      <c r="AD3089" t="s">
        <v>31</v>
      </c>
      <c r="AE3089">
        <v>0</v>
      </c>
      <c r="AF3089" t="s">
        <v>31</v>
      </c>
      <c r="AG3089">
        <v>0</v>
      </c>
      <c r="AH3089" t="s">
        <v>31</v>
      </c>
      <c r="AI3089">
        <v>0</v>
      </c>
      <c r="AJ3089" t="s">
        <v>31</v>
      </c>
      <c r="AK3089">
        <v>0</v>
      </c>
      <c r="AL3089" t="s">
        <v>31</v>
      </c>
      <c r="AM3089">
        <v>0</v>
      </c>
      <c r="AN3089" t="s">
        <v>31</v>
      </c>
      <c r="AO3089">
        <v>0</v>
      </c>
      <c r="AP3089" t="s">
        <v>31</v>
      </c>
      <c r="AQ3089">
        <v>0</v>
      </c>
    </row>
    <row r="3090" spans="1:43" x14ac:dyDescent="0.2">
      <c r="A3090" t="s">
        <v>381</v>
      </c>
      <c r="B3090" s="3">
        <v>44266</v>
      </c>
      <c r="C3090">
        <v>34</v>
      </c>
      <c r="D3090" t="s">
        <v>385</v>
      </c>
      <c r="E3090" t="s">
        <v>90</v>
      </c>
      <c r="F3090" s="9" t="s">
        <v>92</v>
      </c>
      <c r="G3090" t="s">
        <v>26</v>
      </c>
      <c r="H3090" t="s">
        <v>85</v>
      </c>
      <c r="I3090" t="s">
        <v>86</v>
      </c>
      <c r="J3090" t="s">
        <v>53</v>
      </c>
      <c r="K3090" t="s">
        <v>54</v>
      </c>
      <c r="L3090" t="s">
        <v>53</v>
      </c>
      <c r="M3090" t="s">
        <v>54</v>
      </c>
      <c r="N3090" t="s">
        <v>85</v>
      </c>
      <c r="O3090" t="s">
        <v>86</v>
      </c>
      <c r="P3090" t="s">
        <v>53</v>
      </c>
      <c r="Q3090" t="s">
        <v>54</v>
      </c>
      <c r="R3090" s="1">
        <v>44266.563564814816</v>
      </c>
      <c r="S3090" s="1">
        <v>44266.627951388888</v>
      </c>
      <c r="T3090">
        <v>0</v>
      </c>
      <c r="U3090">
        <v>4</v>
      </c>
      <c r="V3090" s="2">
        <v>0</v>
      </c>
      <c r="W3090">
        <v>0</v>
      </c>
      <c r="X3090" t="s">
        <v>44</v>
      </c>
      <c r="Y3090">
        <v>0</v>
      </c>
      <c r="Z3090" t="s">
        <v>44</v>
      </c>
      <c r="AA3090">
        <v>0</v>
      </c>
      <c r="AB3090" t="s">
        <v>44</v>
      </c>
      <c r="AC3090">
        <v>0</v>
      </c>
      <c r="AD3090" t="s">
        <v>44</v>
      </c>
      <c r="AE3090">
        <v>0</v>
      </c>
      <c r="AF3090" t="s">
        <v>31</v>
      </c>
      <c r="AG3090">
        <v>0</v>
      </c>
      <c r="AH3090" t="s">
        <v>31</v>
      </c>
      <c r="AI3090">
        <v>0</v>
      </c>
      <c r="AJ3090" t="s">
        <v>31</v>
      </c>
      <c r="AK3090">
        <v>0</v>
      </c>
      <c r="AL3090" t="s">
        <v>31</v>
      </c>
      <c r="AM3090">
        <v>0</v>
      </c>
      <c r="AN3090" t="s">
        <v>31</v>
      </c>
      <c r="AO3090">
        <v>0</v>
      </c>
      <c r="AP3090" t="s">
        <v>31</v>
      </c>
      <c r="AQ3090">
        <v>0</v>
      </c>
    </row>
    <row r="3091" spans="1:43" x14ac:dyDescent="0.2">
      <c r="A3091" t="s">
        <v>381</v>
      </c>
      <c r="B3091" s="3">
        <v>44270</v>
      </c>
      <c r="C3091">
        <v>35</v>
      </c>
      <c r="D3091" t="s">
        <v>384</v>
      </c>
      <c r="E3091" t="s">
        <v>90</v>
      </c>
      <c r="F3091" s="9" t="s">
        <v>92</v>
      </c>
      <c r="G3091" t="s">
        <v>26</v>
      </c>
      <c r="H3091" t="s">
        <v>85</v>
      </c>
      <c r="I3091" t="s">
        <v>86</v>
      </c>
      <c r="J3091" t="s">
        <v>53</v>
      </c>
      <c r="K3091" t="s">
        <v>54</v>
      </c>
      <c r="L3091" t="s">
        <v>53</v>
      </c>
      <c r="M3091" t="s">
        <v>54</v>
      </c>
      <c r="N3091" t="s">
        <v>85</v>
      </c>
      <c r="O3091" t="s">
        <v>86</v>
      </c>
      <c r="P3091" t="s">
        <v>53</v>
      </c>
      <c r="Q3091" t="s">
        <v>54</v>
      </c>
      <c r="R3091" s="1">
        <v>44270.421446759261</v>
      </c>
      <c r="S3091" s="1">
        <v>44270.421446759261</v>
      </c>
      <c r="T3091">
        <v>0</v>
      </c>
      <c r="U3091">
        <v>1</v>
      </c>
      <c r="V3091" s="2">
        <v>0</v>
      </c>
      <c r="W3091">
        <v>0</v>
      </c>
      <c r="X3091" t="s">
        <v>44</v>
      </c>
      <c r="Y3091">
        <v>0</v>
      </c>
      <c r="Z3091" t="s">
        <v>31</v>
      </c>
      <c r="AA3091">
        <v>0</v>
      </c>
      <c r="AB3091" t="s">
        <v>31</v>
      </c>
      <c r="AC3091">
        <v>0</v>
      </c>
      <c r="AD3091" t="s">
        <v>31</v>
      </c>
      <c r="AE3091">
        <v>0</v>
      </c>
      <c r="AF3091" t="s">
        <v>31</v>
      </c>
      <c r="AG3091">
        <v>0</v>
      </c>
      <c r="AH3091" t="s">
        <v>31</v>
      </c>
      <c r="AI3091">
        <v>0</v>
      </c>
      <c r="AJ3091" t="s">
        <v>31</v>
      </c>
      <c r="AK3091">
        <v>0</v>
      </c>
      <c r="AL3091" t="s">
        <v>31</v>
      </c>
      <c r="AM3091">
        <v>0</v>
      </c>
      <c r="AN3091" t="s">
        <v>31</v>
      </c>
      <c r="AO3091">
        <v>0</v>
      </c>
      <c r="AP3091" t="s">
        <v>31</v>
      </c>
      <c r="AQ3091">
        <v>0</v>
      </c>
    </row>
    <row r="3092" spans="1:43" x14ac:dyDescent="0.2">
      <c r="A3092" t="s">
        <v>381</v>
      </c>
      <c r="B3092" s="3">
        <v>44271</v>
      </c>
      <c r="C3092">
        <v>36</v>
      </c>
      <c r="D3092" t="s">
        <v>385</v>
      </c>
      <c r="E3092" t="s">
        <v>90</v>
      </c>
      <c r="F3092" s="9" t="s">
        <v>92</v>
      </c>
      <c r="G3092" t="s">
        <v>26</v>
      </c>
      <c r="H3092" t="s">
        <v>85</v>
      </c>
      <c r="I3092" t="s">
        <v>86</v>
      </c>
      <c r="J3092" t="s">
        <v>53</v>
      </c>
      <c r="K3092" t="s">
        <v>54</v>
      </c>
      <c r="L3092" t="s">
        <v>53</v>
      </c>
      <c r="M3092" t="s">
        <v>54</v>
      </c>
      <c r="N3092" t="s">
        <v>85</v>
      </c>
      <c r="O3092" t="s">
        <v>86</v>
      </c>
      <c r="P3092" t="s">
        <v>53</v>
      </c>
      <c r="Q3092" t="s">
        <v>54</v>
      </c>
      <c r="R3092" s="1">
        <v>44271.425300925926</v>
      </c>
      <c r="S3092" s="1">
        <v>44271.425300925926</v>
      </c>
      <c r="T3092">
        <v>0</v>
      </c>
      <c r="U3092">
        <v>1</v>
      </c>
      <c r="V3092" s="2">
        <v>0</v>
      </c>
      <c r="W3092">
        <v>0</v>
      </c>
      <c r="X3092" t="s">
        <v>44</v>
      </c>
      <c r="Y3092">
        <v>0</v>
      </c>
      <c r="Z3092" t="s">
        <v>31</v>
      </c>
      <c r="AA3092">
        <v>0</v>
      </c>
      <c r="AB3092" t="s">
        <v>31</v>
      </c>
      <c r="AC3092">
        <v>0</v>
      </c>
      <c r="AD3092" t="s">
        <v>31</v>
      </c>
      <c r="AE3092">
        <v>0</v>
      </c>
      <c r="AF3092" t="s">
        <v>31</v>
      </c>
      <c r="AG3092">
        <v>0</v>
      </c>
      <c r="AH3092" t="s">
        <v>31</v>
      </c>
      <c r="AI3092">
        <v>0</v>
      </c>
      <c r="AJ3092" t="s">
        <v>31</v>
      </c>
      <c r="AK3092">
        <v>0</v>
      </c>
      <c r="AL3092" t="s">
        <v>31</v>
      </c>
      <c r="AM3092">
        <v>0</v>
      </c>
      <c r="AN3092" t="s">
        <v>31</v>
      </c>
      <c r="AO3092">
        <v>0</v>
      </c>
      <c r="AP3092" t="s">
        <v>31</v>
      </c>
      <c r="AQ3092">
        <v>0</v>
      </c>
    </row>
    <row r="3093" spans="1:43" x14ac:dyDescent="0.2">
      <c r="A3093" t="s">
        <v>381</v>
      </c>
      <c r="B3093" s="3">
        <v>44271</v>
      </c>
      <c r="C3093">
        <v>37</v>
      </c>
      <c r="D3093" t="s">
        <v>385</v>
      </c>
      <c r="E3093" t="s">
        <v>90</v>
      </c>
      <c r="F3093" s="9" t="s">
        <v>92</v>
      </c>
      <c r="G3093" t="s">
        <v>26</v>
      </c>
      <c r="H3093" t="s">
        <v>85</v>
      </c>
      <c r="I3093" t="s">
        <v>86</v>
      </c>
      <c r="J3093" t="s">
        <v>53</v>
      </c>
      <c r="K3093" t="s">
        <v>54</v>
      </c>
      <c r="L3093" t="s">
        <v>53</v>
      </c>
      <c r="M3093" t="s">
        <v>54</v>
      </c>
      <c r="N3093" t="s">
        <v>85</v>
      </c>
      <c r="O3093" t="s">
        <v>86</v>
      </c>
      <c r="P3093" t="s">
        <v>53</v>
      </c>
      <c r="Q3093" t="s">
        <v>54</v>
      </c>
      <c r="R3093" s="1">
        <v>44271.566331018519</v>
      </c>
      <c r="S3093" s="1">
        <v>44271.594618055555</v>
      </c>
      <c r="T3093">
        <v>0</v>
      </c>
      <c r="U3093">
        <v>3</v>
      </c>
      <c r="V3093" s="2">
        <v>0</v>
      </c>
      <c r="W3093">
        <v>0</v>
      </c>
      <c r="X3093" t="s">
        <v>44</v>
      </c>
      <c r="Y3093">
        <v>0</v>
      </c>
      <c r="Z3093" t="s">
        <v>44</v>
      </c>
      <c r="AA3093">
        <v>0</v>
      </c>
      <c r="AB3093" t="s">
        <v>44</v>
      </c>
      <c r="AC3093">
        <v>0</v>
      </c>
      <c r="AD3093" t="s">
        <v>31</v>
      </c>
      <c r="AE3093">
        <v>0</v>
      </c>
      <c r="AF3093" t="s">
        <v>31</v>
      </c>
      <c r="AG3093">
        <v>0</v>
      </c>
      <c r="AH3093" t="s">
        <v>31</v>
      </c>
      <c r="AI3093">
        <v>0</v>
      </c>
      <c r="AJ3093" t="s">
        <v>31</v>
      </c>
      <c r="AK3093">
        <v>0</v>
      </c>
      <c r="AL3093" t="s">
        <v>31</v>
      </c>
      <c r="AM3093">
        <v>0</v>
      </c>
      <c r="AN3093" t="s">
        <v>31</v>
      </c>
      <c r="AO3093">
        <v>0</v>
      </c>
      <c r="AP3093" t="s">
        <v>31</v>
      </c>
      <c r="AQ3093">
        <v>0</v>
      </c>
    </row>
    <row r="3094" spans="1:43" x14ac:dyDescent="0.2">
      <c r="A3094" t="s">
        <v>381</v>
      </c>
      <c r="B3094" s="3">
        <v>44272</v>
      </c>
      <c r="C3094">
        <v>38</v>
      </c>
      <c r="D3094" t="s">
        <v>384</v>
      </c>
      <c r="E3094" t="s">
        <v>90</v>
      </c>
      <c r="F3094" s="9" t="s">
        <v>92</v>
      </c>
      <c r="G3094" t="s">
        <v>26</v>
      </c>
      <c r="H3094" t="s">
        <v>85</v>
      </c>
      <c r="I3094" t="s">
        <v>86</v>
      </c>
      <c r="J3094" t="s">
        <v>53</v>
      </c>
      <c r="K3094" t="s">
        <v>54</v>
      </c>
      <c r="L3094" t="s">
        <v>53</v>
      </c>
      <c r="M3094" t="s">
        <v>54</v>
      </c>
      <c r="N3094" t="s">
        <v>85</v>
      </c>
      <c r="O3094" t="s">
        <v>86</v>
      </c>
      <c r="P3094" t="s">
        <v>53</v>
      </c>
      <c r="Q3094" t="s">
        <v>54</v>
      </c>
      <c r="R3094" s="1">
        <v>44272.458796296298</v>
      </c>
      <c r="S3094" s="1">
        <v>44272.458796296298</v>
      </c>
      <c r="T3094">
        <v>0</v>
      </c>
      <c r="U3094">
        <v>1</v>
      </c>
      <c r="V3094" s="2">
        <v>0</v>
      </c>
      <c r="W3094">
        <v>0</v>
      </c>
      <c r="X3094" t="s">
        <v>44</v>
      </c>
      <c r="Y3094">
        <v>0</v>
      </c>
      <c r="Z3094" t="s">
        <v>31</v>
      </c>
      <c r="AA3094">
        <v>0</v>
      </c>
      <c r="AB3094" t="s">
        <v>31</v>
      </c>
      <c r="AC3094">
        <v>0</v>
      </c>
      <c r="AD3094" t="s">
        <v>31</v>
      </c>
      <c r="AE3094">
        <v>0</v>
      </c>
      <c r="AF3094" t="s">
        <v>31</v>
      </c>
      <c r="AG3094">
        <v>0</v>
      </c>
      <c r="AH3094" t="s">
        <v>31</v>
      </c>
      <c r="AI3094">
        <v>0</v>
      </c>
      <c r="AJ3094" t="s">
        <v>31</v>
      </c>
      <c r="AK3094">
        <v>0</v>
      </c>
      <c r="AL3094" t="s">
        <v>31</v>
      </c>
      <c r="AM3094">
        <v>0</v>
      </c>
      <c r="AN3094" t="s">
        <v>31</v>
      </c>
      <c r="AO3094">
        <v>0</v>
      </c>
      <c r="AP3094" t="s">
        <v>31</v>
      </c>
      <c r="AQ3094">
        <v>0</v>
      </c>
    </row>
    <row r="3095" spans="1:43" x14ac:dyDescent="0.2">
      <c r="A3095" t="s">
        <v>381</v>
      </c>
      <c r="B3095" s="3">
        <v>44273</v>
      </c>
      <c r="C3095">
        <v>39</v>
      </c>
      <c r="D3095" t="s">
        <v>385</v>
      </c>
      <c r="E3095" t="s">
        <v>90</v>
      </c>
      <c r="F3095" s="9" t="s">
        <v>92</v>
      </c>
      <c r="G3095" t="s">
        <v>26</v>
      </c>
      <c r="H3095" t="s">
        <v>85</v>
      </c>
      <c r="I3095" t="s">
        <v>86</v>
      </c>
      <c r="J3095" t="s">
        <v>53</v>
      </c>
      <c r="K3095" t="s">
        <v>54</v>
      </c>
      <c r="L3095" t="s">
        <v>53</v>
      </c>
      <c r="M3095" t="s">
        <v>54</v>
      </c>
      <c r="N3095" t="s">
        <v>85</v>
      </c>
      <c r="O3095" t="s">
        <v>86</v>
      </c>
      <c r="P3095" t="s">
        <v>53</v>
      </c>
      <c r="Q3095" t="s">
        <v>54</v>
      </c>
      <c r="R3095" s="1">
        <v>44273.402870370373</v>
      </c>
      <c r="S3095" s="1">
        <v>44273.468611111108</v>
      </c>
      <c r="T3095">
        <v>0</v>
      </c>
      <c r="U3095">
        <v>2</v>
      </c>
      <c r="V3095" s="2">
        <v>0</v>
      </c>
      <c r="W3095">
        <v>0</v>
      </c>
      <c r="X3095" t="s">
        <v>44</v>
      </c>
      <c r="Y3095">
        <v>0</v>
      </c>
      <c r="Z3095" t="s">
        <v>44</v>
      </c>
      <c r="AA3095">
        <v>0</v>
      </c>
      <c r="AB3095" t="s">
        <v>31</v>
      </c>
      <c r="AC3095">
        <v>0</v>
      </c>
      <c r="AD3095" t="s">
        <v>31</v>
      </c>
      <c r="AE3095">
        <v>0</v>
      </c>
      <c r="AF3095" t="s">
        <v>31</v>
      </c>
      <c r="AG3095">
        <v>0</v>
      </c>
      <c r="AH3095" t="s">
        <v>31</v>
      </c>
      <c r="AI3095">
        <v>0</v>
      </c>
      <c r="AJ3095" t="s">
        <v>31</v>
      </c>
      <c r="AK3095">
        <v>0</v>
      </c>
      <c r="AL3095" t="s">
        <v>31</v>
      </c>
      <c r="AM3095">
        <v>0</v>
      </c>
      <c r="AN3095" t="s">
        <v>31</v>
      </c>
      <c r="AO3095">
        <v>0</v>
      </c>
      <c r="AP3095" t="s">
        <v>31</v>
      </c>
      <c r="AQ3095">
        <v>0</v>
      </c>
    </row>
    <row r="3096" spans="1:43" x14ac:dyDescent="0.2">
      <c r="A3096" t="s">
        <v>381</v>
      </c>
      <c r="B3096" s="3">
        <v>44273</v>
      </c>
      <c r="C3096">
        <v>40</v>
      </c>
      <c r="D3096" t="s">
        <v>385</v>
      </c>
      <c r="E3096" t="s">
        <v>90</v>
      </c>
      <c r="F3096" s="9" t="s">
        <v>92</v>
      </c>
      <c r="G3096" t="s">
        <v>26</v>
      </c>
      <c r="H3096" t="s">
        <v>85</v>
      </c>
      <c r="I3096" t="s">
        <v>86</v>
      </c>
      <c r="J3096" t="s">
        <v>53</v>
      </c>
      <c r="K3096" t="s">
        <v>54</v>
      </c>
      <c r="L3096" t="s">
        <v>53</v>
      </c>
      <c r="M3096" t="s">
        <v>54</v>
      </c>
      <c r="N3096" t="s">
        <v>85</v>
      </c>
      <c r="O3096" t="s">
        <v>86</v>
      </c>
      <c r="P3096" t="s">
        <v>53</v>
      </c>
      <c r="Q3096" t="s">
        <v>54</v>
      </c>
      <c r="R3096" s="1">
        <v>44273.545891203707</v>
      </c>
      <c r="S3096" s="1">
        <v>44273.5471875</v>
      </c>
      <c r="T3096">
        <v>0</v>
      </c>
      <c r="U3096">
        <v>3</v>
      </c>
      <c r="V3096" s="2">
        <v>0</v>
      </c>
      <c r="W3096">
        <v>0</v>
      </c>
      <c r="X3096" t="s">
        <v>44</v>
      </c>
      <c r="Y3096">
        <v>0</v>
      </c>
      <c r="Z3096" t="s">
        <v>44</v>
      </c>
      <c r="AA3096">
        <v>0</v>
      </c>
      <c r="AB3096" t="s">
        <v>44</v>
      </c>
      <c r="AC3096">
        <v>0</v>
      </c>
      <c r="AD3096" t="s">
        <v>31</v>
      </c>
      <c r="AE3096">
        <v>0</v>
      </c>
      <c r="AF3096" t="s">
        <v>31</v>
      </c>
      <c r="AG3096">
        <v>0</v>
      </c>
      <c r="AH3096" t="s">
        <v>31</v>
      </c>
      <c r="AI3096">
        <v>0</v>
      </c>
      <c r="AJ3096" t="s">
        <v>31</v>
      </c>
      <c r="AK3096">
        <v>0</v>
      </c>
      <c r="AL3096" t="s">
        <v>31</v>
      </c>
      <c r="AM3096">
        <v>0</v>
      </c>
      <c r="AN3096" t="s">
        <v>31</v>
      </c>
      <c r="AO3096">
        <v>0</v>
      </c>
      <c r="AP3096" t="s">
        <v>31</v>
      </c>
      <c r="AQ3096">
        <v>0</v>
      </c>
    </row>
    <row r="3097" spans="1:43" x14ac:dyDescent="0.2">
      <c r="A3097" t="s">
        <v>381</v>
      </c>
      <c r="B3097" s="3">
        <v>44279</v>
      </c>
      <c r="C3097">
        <v>41</v>
      </c>
      <c r="D3097" t="s">
        <v>384</v>
      </c>
      <c r="E3097" t="s">
        <v>90</v>
      </c>
      <c r="F3097" s="9" t="s">
        <v>92</v>
      </c>
      <c r="G3097" t="s">
        <v>26</v>
      </c>
      <c r="H3097" t="s">
        <v>85</v>
      </c>
      <c r="I3097" t="s">
        <v>86</v>
      </c>
      <c r="J3097" t="s">
        <v>53</v>
      </c>
      <c r="K3097" t="s">
        <v>54</v>
      </c>
      <c r="L3097" t="s">
        <v>53</v>
      </c>
      <c r="M3097" t="s">
        <v>54</v>
      </c>
      <c r="N3097" t="s">
        <v>85</v>
      </c>
      <c r="O3097" t="s">
        <v>86</v>
      </c>
      <c r="P3097" t="s">
        <v>53</v>
      </c>
      <c r="Q3097" t="s">
        <v>54</v>
      </c>
      <c r="R3097" s="1">
        <v>44279.392754629633</v>
      </c>
      <c r="S3097" s="1">
        <v>44279.392754629633</v>
      </c>
      <c r="T3097">
        <v>0</v>
      </c>
      <c r="U3097">
        <v>1</v>
      </c>
      <c r="V3097" s="2">
        <v>0</v>
      </c>
      <c r="W3097">
        <v>0</v>
      </c>
      <c r="X3097" t="s">
        <v>44</v>
      </c>
      <c r="Y3097">
        <v>0</v>
      </c>
      <c r="Z3097" t="s">
        <v>31</v>
      </c>
      <c r="AA3097">
        <v>0</v>
      </c>
      <c r="AB3097" t="s">
        <v>31</v>
      </c>
      <c r="AC3097">
        <v>0</v>
      </c>
      <c r="AD3097" t="s">
        <v>31</v>
      </c>
      <c r="AE3097">
        <v>0</v>
      </c>
      <c r="AF3097" t="s">
        <v>31</v>
      </c>
      <c r="AG3097">
        <v>0</v>
      </c>
      <c r="AH3097" t="s">
        <v>31</v>
      </c>
      <c r="AI3097">
        <v>0</v>
      </c>
      <c r="AJ3097" t="s">
        <v>31</v>
      </c>
      <c r="AK3097">
        <v>0</v>
      </c>
      <c r="AL3097" t="s">
        <v>31</v>
      </c>
      <c r="AM3097">
        <v>0</v>
      </c>
      <c r="AN3097" t="s">
        <v>31</v>
      </c>
      <c r="AO3097">
        <v>0</v>
      </c>
      <c r="AP3097" t="s">
        <v>31</v>
      </c>
      <c r="AQ3097">
        <v>0</v>
      </c>
    </row>
    <row r="3098" spans="1:43" x14ac:dyDescent="0.2">
      <c r="A3098" t="s">
        <v>381</v>
      </c>
      <c r="B3098" s="3">
        <v>44285</v>
      </c>
      <c r="C3098">
        <v>44</v>
      </c>
      <c r="D3098" t="s">
        <v>385</v>
      </c>
      <c r="E3098" t="s">
        <v>90</v>
      </c>
      <c r="F3098" s="9" t="s">
        <v>92</v>
      </c>
      <c r="G3098" t="s">
        <v>26</v>
      </c>
      <c r="H3098" t="s">
        <v>85</v>
      </c>
      <c r="I3098" t="s">
        <v>86</v>
      </c>
      <c r="J3098" t="s">
        <v>53</v>
      </c>
      <c r="K3098" t="s">
        <v>54</v>
      </c>
      <c r="L3098" t="s">
        <v>53</v>
      </c>
      <c r="M3098" t="s">
        <v>54</v>
      </c>
      <c r="N3098" t="s">
        <v>85</v>
      </c>
      <c r="O3098" t="s">
        <v>86</v>
      </c>
      <c r="P3098" t="s">
        <v>53</v>
      </c>
      <c r="Q3098" t="s">
        <v>54</v>
      </c>
      <c r="R3098" s="1">
        <v>44285.489317129628</v>
      </c>
      <c r="S3098" s="1">
        <v>44285.489317129628</v>
      </c>
      <c r="T3098">
        <v>0</v>
      </c>
      <c r="U3098">
        <v>2</v>
      </c>
      <c r="V3098" s="2">
        <v>0</v>
      </c>
      <c r="W3098">
        <v>0</v>
      </c>
      <c r="X3098" t="s">
        <v>44</v>
      </c>
      <c r="Y3098">
        <v>0</v>
      </c>
      <c r="Z3098" t="s">
        <v>44</v>
      </c>
      <c r="AA3098">
        <v>0</v>
      </c>
      <c r="AB3098" t="s">
        <v>31</v>
      </c>
      <c r="AC3098">
        <v>0</v>
      </c>
      <c r="AD3098" t="s">
        <v>31</v>
      </c>
      <c r="AE3098">
        <v>0</v>
      </c>
      <c r="AF3098" t="s">
        <v>31</v>
      </c>
      <c r="AG3098">
        <v>0</v>
      </c>
      <c r="AH3098" t="s">
        <v>31</v>
      </c>
      <c r="AI3098">
        <v>0</v>
      </c>
      <c r="AJ3098" t="s">
        <v>31</v>
      </c>
      <c r="AK3098">
        <v>0</v>
      </c>
      <c r="AL3098" t="s">
        <v>31</v>
      </c>
      <c r="AM3098">
        <v>0</v>
      </c>
      <c r="AN3098" t="s">
        <v>31</v>
      </c>
      <c r="AO3098">
        <v>0</v>
      </c>
      <c r="AP3098" t="s">
        <v>31</v>
      </c>
      <c r="AQ3098">
        <v>0</v>
      </c>
    </row>
    <row r="3099" spans="1:43" x14ac:dyDescent="0.2">
      <c r="A3099" t="s">
        <v>381</v>
      </c>
      <c r="B3099" s="3">
        <v>44285</v>
      </c>
      <c r="C3099">
        <v>45</v>
      </c>
      <c r="D3099" t="s">
        <v>385</v>
      </c>
      <c r="E3099" t="s">
        <v>90</v>
      </c>
      <c r="F3099" s="9" t="s">
        <v>92</v>
      </c>
      <c r="G3099" t="s">
        <v>26</v>
      </c>
      <c r="H3099" t="s">
        <v>85</v>
      </c>
      <c r="I3099" t="s">
        <v>86</v>
      </c>
      <c r="J3099" t="s">
        <v>53</v>
      </c>
      <c r="K3099" t="s">
        <v>54</v>
      </c>
      <c r="L3099" t="s">
        <v>53</v>
      </c>
      <c r="M3099" t="s">
        <v>54</v>
      </c>
      <c r="N3099" t="s">
        <v>85</v>
      </c>
      <c r="O3099" t="s">
        <v>86</v>
      </c>
      <c r="P3099" t="s">
        <v>53</v>
      </c>
      <c r="Q3099" t="s">
        <v>54</v>
      </c>
      <c r="R3099" s="1">
        <v>44285.572002314817</v>
      </c>
      <c r="S3099" s="1">
        <v>44285.659687500003</v>
      </c>
      <c r="T3099">
        <v>0</v>
      </c>
      <c r="U3099">
        <v>5</v>
      </c>
      <c r="V3099" s="2">
        <v>0</v>
      </c>
      <c r="W3099">
        <v>0</v>
      </c>
      <c r="X3099" t="s">
        <v>44</v>
      </c>
      <c r="Y3099">
        <v>0</v>
      </c>
      <c r="Z3099" t="s">
        <v>44</v>
      </c>
      <c r="AA3099">
        <v>0</v>
      </c>
      <c r="AB3099" t="s">
        <v>44</v>
      </c>
      <c r="AC3099">
        <v>0</v>
      </c>
      <c r="AD3099" t="s">
        <v>44</v>
      </c>
      <c r="AE3099">
        <v>0</v>
      </c>
      <c r="AF3099" t="s">
        <v>44</v>
      </c>
      <c r="AG3099">
        <v>0</v>
      </c>
      <c r="AH3099" t="s">
        <v>31</v>
      </c>
      <c r="AI3099">
        <v>0</v>
      </c>
      <c r="AJ3099" t="s">
        <v>31</v>
      </c>
      <c r="AK3099">
        <v>0</v>
      </c>
      <c r="AL3099" t="s">
        <v>31</v>
      </c>
      <c r="AM3099">
        <v>0</v>
      </c>
      <c r="AN3099" t="s">
        <v>31</v>
      </c>
      <c r="AO3099">
        <v>0</v>
      </c>
      <c r="AP3099" t="s">
        <v>31</v>
      </c>
      <c r="AQ3099">
        <v>0</v>
      </c>
    </row>
    <row r="3100" spans="1:43" x14ac:dyDescent="0.2">
      <c r="A3100" t="s">
        <v>381</v>
      </c>
      <c r="B3100" s="3">
        <v>44287</v>
      </c>
      <c r="C3100">
        <v>47</v>
      </c>
      <c r="D3100" t="s">
        <v>385</v>
      </c>
      <c r="E3100" t="s">
        <v>90</v>
      </c>
      <c r="F3100" s="9" t="s">
        <v>92</v>
      </c>
      <c r="G3100" t="s">
        <v>26</v>
      </c>
      <c r="H3100" t="s">
        <v>85</v>
      </c>
      <c r="I3100" t="s">
        <v>86</v>
      </c>
      <c r="J3100" t="s">
        <v>53</v>
      </c>
      <c r="K3100" t="s">
        <v>54</v>
      </c>
      <c r="L3100" t="s">
        <v>53</v>
      </c>
      <c r="M3100" t="s">
        <v>54</v>
      </c>
      <c r="N3100" t="s">
        <v>85</v>
      </c>
      <c r="O3100" t="s">
        <v>86</v>
      </c>
      <c r="P3100" t="s">
        <v>53</v>
      </c>
      <c r="Q3100" t="s">
        <v>54</v>
      </c>
      <c r="R3100" s="1">
        <v>44287.446481481478</v>
      </c>
      <c r="S3100" s="1">
        <v>44287.446481481478</v>
      </c>
      <c r="T3100">
        <v>0</v>
      </c>
      <c r="U3100">
        <v>2</v>
      </c>
      <c r="V3100" s="2">
        <v>0</v>
      </c>
      <c r="W3100">
        <v>0</v>
      </c>
      <c r="X3100" t="s">
        <v>44</v>
      </c>
      <c r="Y3100">
        <v>0</v>
      </c>
      <c r="Z3100" t="s">
        <v>44</v>
      </c>
      <c r="AA3100">
        <v>0</v>
      </c>
      <c r="AB3100" t="s">
        <v>31</v>
      </c>
      <c r="AC3100">
        <v>0</v>
      </c>
      <c r="AD3100" t="s">
        <v>31</v>
      </c>
      <c r="AE3100">
        <v>0</v>
      </c>
      <c r="AF3100" t="s">
        <v>31</v>
      </c>
      <c r="AG3100">
        <v>0</v>
      </c>
      <c r="AH3100" t="s">
        <v>31</v>
      </c>
      <c r="AI3100">
        <v>0</v>
      </c>
      <c r="AJ3100" t="s">
        <v>31</v>
      </c>
      <c r="AK3100">
        <v>0</v>
      </c>
      <c r="AL3100" t="s">
        <v>31</v>
      </c>
      <c r="AM3100">
        <v>0</v>
      </c>
      <c r="AN3100" t="s">
        <v>31</v>
      </c>
      <c r="AO3100">
        <v>0</v>
      </c>
      <c r="AP3100" t="s">
        <v>31</v>
      </c>
      <c r="AQ3100">
        <v>0</v>
      </c>
    </row>
    <row r="3101" spans="1:43" x14ac:dyDescent="0.2">
      <c r="A3101" t="s">
        <v>381</v>
      </c>
      <c r="B3101" s="3">
        <v>44291</v>
      </c>
      <c r="C3101">
        <v>50</v>
      </c>
      <c r="D3101" t="s">
        <v>384</v>
      </c>
      <c r="E3101" t="s">
        <v>90</v>
      </c>
      <c r="F3101" s="9" t="s">
        <v>92</v>
      </c>
      <c r="G3101" t="s">
        <v>26</v>
      </c>
      <c r="H3101" t="s">
        <v>85</v>
      </c>
      <c r="I3101" t="s">
        <v>86</v>
      </c>
      <c r="J3101" t="s">
        <v>53</v>
      </c>
      <c r="K3101" t="s">
        <v>54</v>
      </c>
      <c r="L3101" t="s">
        <v>53</v>
      </c>
      <c r="M3101" t="s">
        <v>54</v>
      </c>
      <c r="N3101" t="s">
        <v>85</v>
      </c>
      <c r="O3101" t="s">
        <v>86</v>
      </c>
      <c r="P3101" t="s">
        <v>53</v>
      </c>
      <c r="Q3101" t="s">
        <v>54</v>
      </c>
      <c r="R3101" s="1">
        <v>44291.466377314813</v>
      </c>
      <c r="S3101" s="1">
        <v>44291.466377314813</v>
      </c>
      <c r="T3101">
        <v>0</v>
      </c>
      <c r="U3101">
        <v>1</v>
      </c>
      <c r="V3101" s="2">
        <v>0</v>
      </c>
      <c r="W3101">
        <v>0</v>
      </c>
      <c r="X3101" t="s">
        <v>44</v>
      </c>
      <c r="Y3101">
        <v>0</v>
      </c>
      <c r="Z3101" t="s">
        <v>31</v>
      </c>
      <c r="AA3101">
        <v>0</v>
      </c>
      <c r="AB3101" t="s">
        <v>31</v>
      </c>
      <c r="AC3101">
        <v>0</v>
      </c>
      <c r="AD3101" t="s">
        <v>31</v>
      </c>
      <c r="AE3101">
        <v>0</v>
      </c>
      <c r="AF3101" t="s">
        <v>31</v>
      </c>
      <c r="AG3101">
        <v>0</v>
      </c>
      <c r="AH3101" t="s">
        <v>31</v>
      </c>
      <c r="AI3101">
        <v>0</v>
      </c>
      <c r="AJ3101" t="s">
        <v>31</v>
      </c>
      <c r="AK3101">
        <v>0</v>
      </c>
      <c r="AL3101" t="s">
        <v>31</v>
      </c>
      <c r="AM3101">
        <v>0</v>
      </c>
      <c r="AN3101" t="s">
        <v>31</v>
      </c>
      <c r="AO3101">
        <v>0</v>
      </c>
      <c r="AP3101" t="s">
        <v>31</v>
      </c>
      <c r="AQ3101">
        <v>0</v>
      </c>
    </row>
    <row r="3102" spans="1:43" x14ac:dyDescent="0.2">
      <c r="A3102" t="s">
        <v>381</v>
      </c>
      <c r="B3102" s="3">
        <v>44292</v>
      </c>
      <c r="C3102">
        <v>51</v>
      </c>
      <c r="D3102" t="s">
        <v>385</v>
      </c>
      <c r="E3102" t="s">
        <v>90</v>
      </c>
      <c r="F3102" s="9" t="s">
        <v>92</v>
      </c>
      <c r="G3102" t="s">
        <v>26</v>
      </c>
      <c r="H3102" t="s">
        <v>85</v>
      </c>
      <c r="I3102" t="s">
        <v>86</v>
      </c>
      <c r="J3102" t="s">
        <v>53</v>
      </c>
      <c r="K3102" t="s">
        <v>54</v>
      </c>
      <c r="L3102" t="s">
        <v>53</v>
      </c>
      <c r="M3102" t="s">
        <v>54</v>
      </c>
      <c r="N3102" t="s">
        <v>85</v>
      </c>
      <c r="O3102" t="s">
        <v>86</v>
      </c>
      <c r="P3102" t="s">
        <v>53</v>
      </c>
      <c r="Q3102" t="s">
        <v>54</v>
      </c>
      <c r="R3102" s="1">
        <v>44292.467002314814</v>
      </c>
      <c r="S3102" s="1">
        <v>44292.467002314814</v>
      </c>
      <c r="T3102">
        <v>0</v>
      </c>
      <c r="U3102">
        <v>2</v>
      </c>
      <c r="V3102" s="2">
        <v>0</v>
      </c>
      <c r="W3102">
        <v>0</v>
      </c>
      <c r="X3102" t="s">
        <v>44</v>
      </c>
      <c r="Y3102">
        <v>0</v>
      </c>
      <c r="Z3102" t="s">
        <v>44</v>
      </c>
      <c r="AA3102">
        <v>0</v>
      </c>
      <c r="AB3102" t="s">
        <v>31</v>
      </c>
      <c r="AC3102">
        <v>0</v>
      </c>
      <c r="AD3102" t="s">
        <v>31</v>
      </c>
      <c r="AE3102">
        <v>0</v>
      </c>
      <c r="AF3102" t="s">
        <v>31</v>
      </c>
      <c r="AG3102">
        <v>0</v>
      </c>
      <c r="AH3102" t="s">
        <v>31</v>
      </c>
      <c r="AI3102">
        <v>0</v>
      </c>
      <c r="AJ3102" t="s">
        <v>31</v>
      </c>
      <c r="AK3102">
        <v>0</v>
      </c>
      <c r="AL3102" t="s">
        <v>31</v>
      </c>
      <c r="AM3102">
        <v>0</v>
      </c>
      <c r="AN3102" t="s">
        <v>31</v>
      </c>
      <c r="AO3102">
        <v>0</v>
      </c>
      <c r="AP3102" t="s">
        <v>31</v>
      </c>
      <c r="AQ3102">
        <v>0</v>
      </c>
    </row>
    <row r="3103" spans="1:43" x14ac:dyDescent="0.2">
      <c r="A3103" t="s">
        <v>381</v>
      </c>
      <c r="B3103" s="3">
        <v>44292</v>
      </c>
      <c r="C3103">
        <v>52</v>
      </c>
      <c r="D3103" t="s">
        <v>386</v>
      </c>
      <c r="E3103" t="s">
        <v>90</v>
      </c>
      <c r="F3103" s="9" t="s">
        <v>92</v>
      </c>
      <c r="G3103" t="s">
        <v>26</v>
      </c>
      <c r="H3103" t="s">
        <v>85</v>
      </c>
      <c r="I3103" t="s">
        <v>86</v>
      </c>
      <c r="J3103" t="s">
        <v>53</v>
      </c>
      <c r="K3103" t="s">
        <v>54</v>
      </c>
      <c r="L3103" t="s">
        <v>53</v>
      </c>
      <c r="M3103" t="s">
        <v>54</v>
      </c>
      <c r="N3103" t="s">
        <v>85</v>
      </c>
      <c r="O3103" t="s">
        <v>86</v>
      </c>
      <c r="P3103" t="s">
        <v>53</v>
      </c>
      <c r="Q3103" t="s">
        <v>54</v>
      </c>
      <c r="R3103" s="1">
        <v>44292.545069444444</v>
      </c>
      <c r="S3103" s="1">
        <v>44292.545069444444</v>
      </c>
      <c r="T3103">
        <v>0</v>
      </c>
      <c r="U3103">
        <v>1</v>
      </c>
      <c r="V3103" s="2">
        <v>0</v>
      </c>
      <c r="W3103">
        <v>0</v>
      </c>
      <c r="X3103" t="s">
        <v>44</v>
      </c>
      <c r="Y3103">
        <v>0</v>
      </c>
      <c r="Z3103" t="s">
        <v>31</v>
      </c>
      <c r="AA3103">
        <v>0</v>
      </c>
      <c r="AB3103" t="s">
        <v>31</v>
      </c>
      <c r="AC3103">
        <v>0</v>
      </c>
      <c r="AD3103" t="s">
        <v>31</v>
      </c>
      <c r="AE3103">
        <v>0</v>
      </c>
      <c r="AF3103" t="s">
        <v>31</v>
      </c>
      <c r="AG3103">
        <v>0</v>
      </c>
      <c r="AH3103" t="s">
        <v>31</v>
      </c>
      <c r="AI3103">
        <v>0</v>
      </c>
      <c r="AJ3103" t="s">
        <v>31</v>
      </c>
      <c r="AK3103">
        <v>0</v>
      </c>
      <c r="AL3103" t="s">
        <v>31</v>
      </c>
      <c r="AM3103">
        <v>0</v>
      </c>
      <c r="AN3103" t="s">
        <v>31</v>
      </c>
      <c r="AO3103">
        <v>0</v>
      </c>
      <c r="AP3103" t="s">
        <v>31</v>
      </c>
      <c r="AQ3103">
        <v>0</v>
      </c>
    </row>
    <row r="3104" spans="1:43" x14ac:dyDescent="0.2">
      <c r="A3104" t="s">
        <v>381</v>
      </c>
      <c r="B3104" s="3">
        <v>44293</v>
      </c>
      <c r="C3104">
        <v>53</v>
      </c>
      <c r="D3104" t="s">
        <v>384</v>
      </c>
      <c r="E3104" t="s">
        <v>90</v>
      </c>
      <c r="F3104" s="9" t="s">
        <v>92</v>
      </c>
      <c r="G3104" t="s">
        <v>26</v>
      </c>
      <c r="H3104" t="s">
        <v>85</v>
      </c>
      <c r="I3104" t="s">
        <v>86</v>
      </c>
      <c r="J3104" t="s">
        <v>53</v>
      </c>
      <c r="K3104" t="s">
        <v>54</v>
      </c>
      <c r="L3104" t="s">
        <v>53</v>
      </c>
      <c r="M3104" t="s">
        <v>54</v>
      </c>
      <c r="N3104" t="s">
        <v>85</v>
      </c>
      <c r="O3104" t="s">
        <v>86</v>
      </c>
      <c r="P3104" t="s">
        <v>53</v>
      </c>
      <c r="Q3104" t="s">
        <v>54</v>
      </c>
      <c r="R3104" s="1">
        <v>44293.450208333335</v>
      </c>
      <c r="S3104" s="1">
        <v>44293.450208333335</v>
      </c>
      <c r="T3104">
        <v>0</v>
      </c>
      <c r="U3104">
        <v>1</v>
      </c>
      <c r="V3104" s="2">
        <v>0</v>
      </c>
      <c r="W3104">
        <v>0</v>
      </c>
      <c r="X3104" t="s">
        <v>44</v>
      </c>
      <c r="Y3104">
        <v>0</v>
      </c>
      <c r="Z3104" t="s">
        <v>31</v>
      </c>
      <c r="AA3104">
        <v>0</v>
      </c>
      <c r="AB3104" t="s">
        <v>31</v>
      </c>
      <c r="AC3104">
        <v>0</v>
      </c>
      <c r="AD3104" t="s">
        <v>31</v>
      </c>
      <c r="AE3104">
        <v>0</v>
      </c>
      <c r="AF3104" t="s">
        <v>31</v>
      </c>
      <c r="AG3104">
        <v>0</v>
      </c>
      <c r="AH3104" t="s">
        <v>31</v>
      </c>
      <c r="AI3104">
        <v>0</v>
      </c>
      <c r="AJ3104" t="s">
        <v>31</v>
      </c>
      <c r="AK3104">
        <v>0</v>
      </c>
      <c r="AL3104" t="s">
        <v>31</v>
      </c>
      <c r="AM3104">
        <v>0</v>
      </c>
      <c r="AN3104" t="s">
        <v>31</v>
      </c>
      <c r="AO3104">
        <v>0</v>
      </c>
      <c r="AP3104" t="s">
        <v>31</v>
      </c>
      <c r="AQ3104">
        <v>0</v>
      </c>
    </row>
    <row r="3105" spans="1:43" x14ac:dyDescent="0.2">
      <c r="A3105" t="s">
        <v>381</v>
      </c>
      <c r="B3105" s="3">
        <v>44294</v>
      </c>
      <c r="C3105">
        <v>55</v>
      </c>
      <c r="D3105" t="s">
        <v>385</v>
      </c>
      <c r="E3105" t="s">
        <v>90</v>
      </c>
      <c r="F3105" s="9" t="s">
        <v>92</v>
      </c>
      <c r="G3105" t="s">
        <v>26</v>
      </c>
      <c r="H3105" t="s">
        <v>85</v>
      </c>
      <c r="I3105" t="s">
        <v>86</v>
      </c>
      <c r="J3105" t="s">
        <v>53</v>
      </c>
      <c r="K3105" t="s">
        <v>54</v>
      </c>
      <c r="L3105" t="s">
        <v>53</v>
      </c>
      <c r="M3105" t="s">
        <v>54</v>
      </c>
      <c r="N3105" t="s">
        <v>85</v>
      </c>
      <c r="O3105" t="s">
        <v>86</v>
      </c>
      <c r="P3105" t="s">
        <v>53</v>
      </c>
      <c r="Q3105" t="s">
        <v>54</v>
      </c>
      <c r="R3105" s="1">
        <v>44294.560717592591</v>
      </c>
      <c r="S3105" s="1">
        <v>44294.560717592591</v>
      </c>
      <c r="T3105">
        <v>0</v>
      </c>
      <c r="U3105">
        <v>2</v>
      </c>
      <c r="V3105" s="2">
        <v>0</v>
      </c>
      <c r="W3105">
        <v>0</v>
      </c>
      <c r="X3105" t="s">
        <v>44</v>
      </c>
      <c r="Y3105">
        <v>0</v>
      </c>
      <c r="Z3105" t="s">
        <v>44</v>
      </c>
      <c r="AA3105">
        <v>0</v>
      </c>
      <c r="AB3105" t="s">
        <v>31</v>
      </c>
      <c r="AC3105">
        <v>0</v>
      </c>
      <c r="AD3105" t="s">
        <v>31</v>
      </c>
      <c r="AE3105">
        <v>0</v>
      </c>
      <c r="AF3105" t="s">
        <v>31</v>
      </c>
      <c r="AG3105">
        <v>0</v>
      </c>
      <c r="AH3105" t="s">
        <v>31</v>
      </c>
      <c r="AI3105">
        <v>0</v>
      </c>
      <c r="AJ3105" t="s">
        <v>31</v>
      </c>
      <c r="AK3105">
        <v>0</v>
      </c>
      <c r="AL3105" t="s">
        <v>31</v>
      </c>
      <c r="AM3105">
        <v>0</v>
      </c>
      <c r="AN3105" t="s">
        <v>31</v>
      </c>
      <c r="AO3105">
        <v>0</v>
      </c>
      <c r="AP3105" t="s">
        <v>31</v>
      </c>
      <c r="AQ3105">
        <v>0</v>
      </c>
    </row>
    <row r="3106" spans="1:43" x14ac:dyDescent="0.2">
      <c r="A3106" t="s">
        <v>381</v>
      </c>
      <c r="B3106" s="3">
        <v>44295</v>
      </c>
      <c r="C3106">
        <v>56</v>
      </c>
      <c r="D3106" t="s">
        <v>384</v>
      </c>
      <c r="E3106" t="s">
        <v>90</v>
      </c>
      <c r="F3106" s="9" t="s">
        <v>92</v>
      </c>
      <c r="G3106" t="s">
        <v>26</v>
      </c>
      <c r="H3106" t="s">
        <v>85</v>
      </c>
      <c r="I3106" t="s">
        <v>86</v>
      </c>
      <c r="J3106" t="s">
        <v>53</v>
      </c>
      <c r="K3106" t="s">
        <v>54</v>
      </c>
      <c r="L3106" t="s">
        <v>53</v>
      </c>
      <c r="M3106" t="s">
        <v>54</v>
      </c>
      <c r="N3106" t="s">
        <v>85</v>
      </c>
      <c r="O3106" t="s">
        <v>86</v>
      </c>
      <c r="P3106" t="s">
        <v>53</v>
      </c>
      <c r="Q3106" t="s">
        <v>54</v>
      </c>
      <c r="R3106" s="1">
        <v>44295.388692129629</v>
      </c>
      <c r="S3106" s="1">
        <v>44295.388692129629</v>
      </c>
      <c r="T3106">
        <v>0</v>
      </c>
      <c r="U3106">
        <v>1</v>
      </c>
      <c r="V3106" s="2">
        <v>0</v>
      </c>
      <c r="W3106">
        <v>0</v>
      </c>
      <c r="X3106" t="s">
        <v>44</v>
      </c>
      <c r="Y3106">
        <v>0</v>
      </c>
      <c r="Z3106" t="s">
        <v>31</v>
      </c>
      <c r="AA3106">
        <v>0</v>
      </c>
      <c r="AB3106" t="s">
        <v>31</v>
      </c>
      <c r="AC3106">
        <v>0</v>
      </c>
      <c r="AD3106" t="s">
        <v>31</v>
      </c>
      <c r="AE3106">
        <v>0</v>
      </c>
      <c r="AF3106" t="s">
        <v>31</v>
      </c>
      <c r="AG3106">
        <v>0</v>
      </c>
      <c r="AH3106" t="s">
        <v>31</v>
      </c>
      <c r="AI3106">
        <v>0</v>
      </c>
      <c r="AJ3106" t="s">
        <v>31</v>
      </c>
      <c r="AK3106">
        <v>0</v>
      </c>
      <c r="AL3106" t="s">
        <v>31</v>
      </c>
      <c r="AM3106">
        <v>0</v>
      </c>
      <c r="AN3106" t="s">
        <v>31</v>
      </c>
      <c r="AO3106">
        <v>0</v>
      </c>
      <c r="AP3106" t="s">
        <v>31</v>
      </c>
      <c r="AQ3106">
        <v>0</v>
      </c>
    </row>
    <row r="3107" spans="1:43" x14ac:dyDescent="0.2">
      <c r="A3107" t="s">
        <v>381</v>
      </c>
      <c r="B3107" s="3">
        <v>44298</v>
      </c>
      <c r="C3107">
        <v>57</v>
      </c>
      <c r="D3107" t="s">
        <v>387</v>
      </c>
      <c r="E3107" t="s">
        <v>90</v>
      </c>
      <c r="F3107" s="9" t="s">
        <v>92</v>
      </c>
      <c r="G3107" t="s">
        <v>26</v>
      </c>
      <c r="H3107" t="s">
        <v>85</v>
      </c>
      <c r="I3107" t="s">
        <v>86</v>
      </c>
      <c r="J3107" t="s">
        <v>53</v>
      </c>
      <c r="K3107" t="s">
        <v>54</v>
      </c>
      <c r="L3107" t="s">
        <v>53</v>
      </c>
      <c r="M3107" t="s">
        <v>54</v>
      </c>
      <c r="N3107" t="s">
        <v>85</v>
      </c>
      <c r="O3107" t="s">
        <v>86</v>
      </c>
      <c r="P3107" t="s">
        <v>53</v>
      </c>
      <c r="Q3107" t="s">
        <v>54</v>
      </c>
      <c r="R3107" s="1">
        <v>44298.556273148148</v>
      </c>
      <c r="S3107" s="1">
        <v>44298.556273148148</v>
      </c>
      <c r="T3107">
        <v>0</v>
      </c>
      <c r="U3107">
        <v>1</v>
      </c>
      <c r="V3107" s="2">
        <v>0</v>
      </c>
      <c r="W3107">
        <v>0</v>
      </c>
      <c r="X3107" t="s">
        <v>44</v>
      </c>
      <c r="Y3107">
        <v>0</v>
      </c>
      <c r="Z3107" t="s">
        <v>31</v>
      </c>
      <c r="AA3107">
        <v>0</v>
      </c>
      <c r="AB3107" t="s">
        <v>31</v>
      </c>
      <c r="AC3107">
        <v>0</v>
      </c>
      <c r="AD3107" t="s">
        <v>31</v>
      </c>
      <c r="AE3107">
        <v>0</v>
      </c>
      <c r="AF3107" t="s">
        <v>31</v>
      </c>
      <c r="AG3107">
        <v>0</v>
      </c>
      <c r="AH3107" t="s">
        <v>31</v>
      </c>
      <c r="AI3107">
        <v>0</v>
      </c>
      <c r="AJ3107" t="s">
        <v>31</v>
      </c>
      <c r="AK3107">
        <v>0</v>
      </c>
      <c r="AL3107" t="s">
        <v>31</v>
      </c>
      <c r="AM3107">
        <v>0</v>
      </c>
      <c r="AN3107" t="s">
        <v>31</v>
      </c>
      <c r="AO3107">
        <v>0</v>
      </c>
      <c r="AP3107" t="s">
        <v>31</v>
      </c>
      <c r="AQ3107">
        <v>0</v>
      </c>
    </row>
    <row r="3108" spans="1:43" x14ac:dyDescent="0.2">
      <c r="A3108" t="s">
        <v>381</v>
      </c>
      <c r="B3108" s="3">
        <v>44299</v>
      </c>
      <c r="C3108">
        <v>58</v>
      </c>
      <c r="D3108" t="s">
        <v>385</v>
      </c>
      <c r="E3108" t="s">
        <v>90</v>
      </c>
      <c r="F3108" s="9" t="s">
        <v>92</v>
      </c>
      <c r="G3108" t="s">
        <v>26</v>
      </c>
      <c r="H3108" t="s">
        <v>85</v>
      </c>
      <c r="I3108" t="s">
        <v>86</v>
      </c>
      <c r="J3108" t="s">
        <v>53</v>
      </c>
      <c r="K3108" t="s">
        <v>54</v>
      </c>
      <c r="L3108" t="s">
        <v>53</v>
      </c>
      <c r="M3108" t="s">
        <v>54</v>
      </c>
      <c r="N3108" t="s">
        <v>85</v>
      </c>
      <c r="O3108" t="s">
        <v>86</v>
      </c>
      <c r="P3108" t="s">
        <v>53</v>
      </c>
      <c r="Q3108" t="s">
        <v>54</v>
      </c>
      <c r="R3108" s="1">
        <v>44299.451053240744</v>
      </c>
      <c r="S3108" s="1">
        <v>44299.451053240744</v>
      </c>
      <c r="T3108">
        <v>0</v>
      </c>
      <c r="U3108">
        <v>2</v>
      </c>
      <c r="V3108" s="2">
        <v>0</v>
      </c>
      <c r="W3108">
        <v>0</v>
      </c>
      <c r="X3108" t="s">
        <v>44</v>
      </c>
      <c r="Y3108">
        <v>0</v>
      </c>
      <c r="Z3108" t="s">
        <v>44</v>
      </c>
      <c r="AA3108">
        <v>0</v>
      </c>
      <c r="AB3108" t="s">
        <v>31</v>
      </c>
      <c r="AC3108">
        <v>0</v>
      </c>
      <c r="AD3108" t="s">
        <v>31</v>
      </c>
      <c r="AE3108">
        <v>0</v>
      </c>
      <c r="AF3108" t="s">
        <v>31</v>
      </c>
      <c r="AG3108">
        <v>0</v>
      </c>
      <c r="AH3108" t="s">
        <v>31</v>
      </c>
      <c r="AI3108">
        <v>0</v>
      </c>
      <c r="AJ3108" t="s">
        <v>31</v>
      </c>
      <c r="AK3108">
        <v>0</v>
      </c>
      <c r="AL3108" t="s">
        <v>31</v>
      </c>
      <c r="AM3108">
        <v>0</v>
      </c>
      <c r="AN3108" t="s">
        <v>31</v>
      </c>
      <c r="AO3108">
        <v>0</v>
      </c>
      <c r="AP3108" t="s">
        <v>31</v>
      </c>
      <c r="AQ3108">
        <v>0</v>
      </c>
    </row>
    <row r="3109" spans="1:43" x14ac:dyDescent="0.2">
      <c r="A3109" t="s">
        <v>381</v>
      </c>
      <c r="B3109" s="3">
        <v>44299</v>
      </c>
      <c r="C3109">
        <v>59</v>
      </c>
      <c r="D3109" t="s">
        <v>385</v>
      </c>
      <c r="E3109" t="s">
        <v>90</v>
      </c>
      <c r="F3109" s="9" t="s">
        <v>92</v>
      </c>
      <c r="G3109" t="s">
        <v>26</v>
      </c>
      <c r="H3109" t="s">
        <v>85</v>
      </c>
      <c r="I3109" t="s">
        <v>86</v>
      </c>
      <c r="J3109" t="s">
        <v>53</v>
      </c>
      <c r="K3109" t="s">
        <v>54</v>
      </c>
      <c r="L3109" t="s">
        <v>53</v>
      </c>
      <c r="M3109" t="s">
        <v>54</v>
      </c>
      <c r="N3109" t="s">
        <v>85</v>
      </c>
      <c r="O3109" t="s">
        <v>86</v>
      </c>
      <c r="P3109" t="s">
        <v>53</v>
      </c>
      <c r="Q3109" t="s">
        <v>54</v>
      </c>
      <c r="R3109" s="1">
        <v>44299.557557870372</v>
      </c>
      <c r="S3109" s="1">
        <v>44299.632256944446</v>
      </c>
      <c r="T3109">
        <v>0</v>
      </c>
      <c r="U3109">
        <v>4</v>
      </c>
      <c r="V3109" s="2">
        <v>0</v>
      </c>
      <c r="W3109">
        <v>0</v>
      </c>
      <c r="X3109" t="s">
        <v>44</v>
      </c>
      <c r="Y3109">
        <v>0</v>
      </c>
      <c r="Z3109" t="s">
        <v>44</v>
      </c>
      <c r="AA3109">
        <v>0</v>
      </c>
      <c r="AB3109" t="s">
        <v>44</v>
      </c>
      <c r="AC3109">
        <v>0</v>
      </c>
      <c r="AD3109" t="s">
        <v>44</v>
      </c>
      <c r="AE3109">
        <v>0</v>
      </c>
      <c r="AF3109" t="s">
        <v>31</v>
      </c>
      <c r="AG3109">
        <v>0</v>
      </c>
      <c r="AH3109" t="s">
        <v>31</v>
      </c>
      <c r="AI3109">
        <v>0</v>
      </c>
      <c r="AJ3109" t="s">
        <v>31</v>
      </c>
      <c r="AK3109">
        <v>0</v>
      </c>
      <c r="AL3109" t="s">
        <v>31</v>
      </c>
      <c r="AM3109">
        <v>0</v>
      </c>
      <c r="AN3109" t="s">
        <v>31</v>
      </c>
      <c r="AO3109">
        <v>0</v>
      </c>
      <c r="AP3109" t="s">
        <v>31</v>
      </c>
      <c r="AQ3109">
        <v>0</v>
      </c>
    </row>
    <row r="3110" spans="1:43" x14ac:dyDescent="0.2">
      <c r="A3110" t="s">
        <v>381</v>
      </c>
      <c r="B3110" s="3">
        <v>44300</v>
      </c>
      <c r="C3110">
        <v>60</v>
      </c>
      <c r="D3110" t="s">
        <v>398</v>
      </c>
      <c r="E3110" t="s">
        <v>90</v>
      </c>
      <c r="F3110" s="9" t="s">
        <v>92</v>
      </c>
      <c r="G3110" t="s">
        <v>26</v>
      </c>
      <c r="H3110" t="s">
        <v>85</v>
      </c>
      <c r="I3110" t="s">
        <v>86</v>
      </c>
      <c r="J3110" t="s">
        <v>53</v>
      </c>
      <c r="K3110" t="s">
        <v>54</v>
      </c>
      <c r="L3110" t="s">
        <v>53</v>
      </c>
      <c r="M3110" t="s">
        <v>54</v>
      </c>
      <c r="N3110" t="s">
        <v>85</v>
      </c>
      <c r="O3110" t="s">
        <v>86</v>
      </c>
      <c r="P3110" t="s">
        <v>53</v>
      </c>
      <c r="Q3110" t="s">
        <v>54</v>
      </c>
      <c r="R3110" s="1">
        <v>44300.452418981484</v>
      </c>
      <c r="S3110" s="1">
        <v>44300.453182870369</v>
      </c>
      <c r="T3110">
        <v>0</v>
      </c>
      <c r="U3110">
        <v>2</v>
      </c>
      <c r="V3110" s="2">
        <v>0</v>
      </c>
      <c r="W3110">
        <v>0</v>
      </c>
      <c r="X3110" t="s">
        <v>44</v>
      </c>
      <c r="Y3110">
        <v>0</v>
      </c>
      <c r="Z3110" t="s">
        <v>44</v>
      </c>
      <c r="AA3110">
        <v>0</v>
      </c>
      <c r="AB3110" t="s">
        <v>31</v>
      </c>
      <c r="AC3110">
        <v>0</v>
      </c>
      <c r="AD3110" t="s">
        <v>31</v>
      </c>
      <c r="AE3110">
        <v>0</v>
      </c>
      <c r="AF3110" t="s">
        <v>31</v>
      </c>
      <c r="AG3110">
        <v>0</v>
      </c>
      <c r="AH3110" t="s">
        <v>31</v>
      </c>
      <c r="AI3110">
        <v>0</v>
      </c>
      <c r="AJ3110" t="s">
        <v>31</v>
      </c>
      <c r="AK3110">
        <v>0</v>
      </c>
      <c r="AL3110" t="s">
        <v>31</v>
      </c>
      <c r="AM3110">
        <v>0</v>
      </c>
      <c r="AN3110" t="s">
        <v>31</v>
      </c>
      <c r="AO3110">
        <v>0</v>
      </c>
      <c r="AP3110" t="s">
        <v>31</v>
      </c>
      <c r="AQ3110">
        <v>0</v>
      </c>
    </row>
    <row r="3111" spans="1:43" x14ac:dyDescent="0.2">
      <c r="A3111" t="s">
        <v>381</v>
      </c>
      <c r="B3111" s="3">
        <v>44300</v>
      </c>
      <c r="C3111">
        <v>61</v>
      </c>
      <c r="D3111" t="s">
        <v>401</v>
      </c>
      <c r="E3111" t="s">
        <v>90</v>
      </c>
      <c r="F3111" s="9" t="s">
        <v>92</v>
      </c>
      <c r="G3111" t="s">
        <v>26</v>
      </c>
      <c r="H3111" t="s">
        <v>85</v>
      </c>
      <c r="I3111" t="s">
        <v>86</v>
      </c>
      <c r="J3111" t="s">
        <v>53</v>
      </c>
      <c r="K3111" t="s">
        <v>54</v>
      </c>
      <c r="L3111" t="s">
        <v>53</v>
      </c>
      <c r="M3111" t="s">
        <v>54</v>
      </c>
      <c r="N3111" t="s">
        <v>85</v>
      </c>
      <c r="O3111" t="s">
        <v>86</v>
      </c>
      <c r="P3111" t="s">
        <v>53</v>
      </c>
      <c r="Q3111" t="s">
        <v>54</v>
      </c>
      <c r="R3111" s="1">
        <v>44300.663599537038</v>
      </c>
      <c r="S3111" s="1">
        <v>44300.663599537038</v>
      </c>
      <c r="T3111">
        <v>0</v>
      </c>
      <c r="U3111">
        <v>1</v>
      </c>
      <c r="V3111" s="2">
        <v>0</v>
      </c>
      <c r="W3111">
        <v>0</v>
      </c>
      <c r="X3111" t="s">
        <v>44</v>
      </c>
      <c r="Y3111">
        <v>0</v>
      </c>
      <c r="Z3111" t="s">
        <v>31</v>
      </c>
      <c r="AA3111">
        <v>0</v>
      </c>
      <c r="AB3111" t="s">
        <v>31</v>
      </c>
      <c r="AC3111">
        <v>0</v>
      </c>
      <c r="AD3111" t="s">
        <v>31</v>
      </c>
      <c r="AE3111">
        <v>0</v>
      </c>
      <c r="AF3111" t="s">
        <v>31</v>
      </c>
      <c r="AG3111">
        <v>0</v>
      </c>
      <c r="AH3111" t="s">
        <v>31</v>
      </c>
      <c r="AI3111">
        <v>0</v>
      </c>
      <c r="AJ3111" t="s">
        <v>31</v>
      </c>
      <c r="AK3111">
        <v>0</v>
      </c>
      <c r="AL3111" t="s">
        <v>31</v>
      </c>
      <c r="AM3111">
        <v>0</v>
      </c>
      <c r="AN3111" t="s">
        <v>31</v>
      </c>
      <c r="AO3111">
        <v>0</v>
      </c>
      <c r="AP3111" t="s">
        <v>31</v>
      </c>
      <c r="AQ3111">
        <v>0</v>
      </c>
    </row>
    <row r="3112" spans="1:43" x14ac:dyDescent="0.2">
      <c r="A3112" t="s">
        <v>381</v>
      </c>
      <c r="B3112" s="3">
        <v>44301</v>
      </c>
      <c r="C3112">
        <v>62</v>
      </c>
      <c r="D3112" t="s">
        <v>385</v>
      </c>
      <c r="E3112" t="s">
        <v>90</v>
      </c>
      <c r="F3112" s="9" t="s">
        <v>92</v>
      </c>
      <c r="G3112" t="s">
        <v>26</v>
      </c>
      <c r="H3112" t="s">
        <v>85</v>
      </c>
      <c r="I3112" t="s">
        <v>86</v>
      </c>
      <c r="J3112" t="s">
        <v>53</v>
      </c>
      <c r="K3112" t="s">
        <v>54</v>
      </c>
      <c r="L3112" t="s">
        <v>53</v>
      </c>
      <c r="M3112" t="s">
        <v>54</v>
      </c>
      <c r="N3112" t="s">
        <v>85</v>
      </c>
      <c r="O3112" t="s">
        <v>86</v>
      </c>
      <c r="P3112" t="s">
        <v>53</v>
      </c>
      <c r="Q3112" t="s">
        <v>54</v>
      </c>
      <c r="R3112" s="1">
        <v>44301.449537037035</v>
      </c>
      <c r="S3112" s="1">
        <v>44301.449745370373</v>
      </c>
      <c r="T3112">
        <v>0</v>
      </c>
      <c r="U3112">
        <v>2</v>
      </c>
      <c r="V3112" s="2">
        <v>0</v>
      </c>
      <c r="W3112">
        <v>0</v>
      </c>
      <c r="X3112" t="s">
        <v>44</v>
      </c>
      <c r="Y3112">
        <v>0</v>
      </c>
      <c r="Z3112" t="s">
        <v>44</v>
      </c>
      <c r="AA3112">
        <v>0</v>
      </c>
      <c r="AB3112" t="s">
        <v>31</v>
      </c>
      <c r="AC3112">
        <v>0</v>
      </c>
      <c r="AD3112" t="s">
        <v>31</v>
      </c>
      <c r="AE3112">
        <v>0</v>
      </c>
      <c r="AF3112" t="s">
        <v>31</v>
      </c>
      <c r="AG3112">
        <v>0</v>
      </c>
      <c r="AH3112" t="s">
        <v>31</v>
      </c>
      <c r="AI3112">
        <v>0</v>
      </c>
      <c r="AJ3112" t="s">
        <v>31</v>
      </c>
      <c r="AK3112">
        <v>0</v>
      </c>
      <c r="AL3112" t="s">
        <v>31</v>
      </c>
      <c r="AM3112">
        <v>0</v>
      </c>
      <c r="AN3112" t="s">
        <v>31</v>
      </c>
      <c r="AO3112">
        <v>0</v>
      </c>
      <c r="AP3112" t="s">
        <v>31</v>
      </c>
      <c r="AQ3112">
        <v>0</v>
      </c>
    </row>
    <row r="3113" spans="1:43" x14ac:dyDescent="0.2">
      <c r="A3113" t="s">
        <v>381</v>
      </c>
      <c r="B3113" s="3">
        <v>44301</v>
      </c>
      <c r="C3113">
        <v>63</v>
      </c>
      <c r="D3113" t="s">
        <v>385</v>
      </c>
      <c r="E3113" t="s">
        <v>90</v>
      </c>
      <c r="F3113" s="9" t="s">
        <v>92</v>
      </c>
      <c r="G3113" t="s">
        <v>26</v>
      </c>
      <c r="H3113" t="s">
        <v>85</v>
      </c>
      <c r="I3113" t="s">
        <v>86</v>
      </c>
      <c r="J3113" t="s">
        <v>53</v>
      </c>
      <c r="K3113" t="s">
        <v>54</v>
      </c>
      <c r="L3113" t="s">
        <v>53</v>
      </c>
      <c r="M3113" t="s">
        <v>54</v>
      </c>
      <c r="N3113" t="s">
        <v>85</v>
      </c>
      <c r="O3113" t="s">
        <v>86</v>
      </c>
      <c r="P3113" t="s">
        <v>53</v>
      </c>
      <c r="Q3113" t="s">
        <v>54</v>
      </c>
      <c r="R3113" s="1">
        <v>44301.622974537036</v>
      </c>
      <c r="S3113" s="1">
        <v>44301.622974537036</v>
      </c>
      <c r="T3113">
        <v>0</v>
      </c>
      <c r="U3113">
        <v>1</v>
      </c>
      <c r="V3113" s="2">
        <v>0</v>
      </c>
      <c r="W3113">
        <v>0</v>
      </c>
      <c r="X3113" t="s">
        <v>44</v>
      </c>
      <c r="Y3113">
        <v>0</v>
      </c>
      <c r="Z3113" t="s">
        <v>31</v>
      </c>
      <c r="AA3113">
        <v>0</v>
      </c>
      <c r="AB3113" t="s">
        <v>31</v>
      </c>
      <c r="AC3113">
        <v>0</v>
      </c>
      <c r="AD3113" t="s">
        <v>31</v>
      </c>
      <c r="AE3113">
        <v>0</v>
      </c>
      <c r="AF3113" t="s">
        <v>31</v>
      </c>
      <c r="AG3113">
        <v>0</v>
      </c>
      <c r="AH3113" t="s">
        <v>31</v>
      </c>
      <c r="AI3113">
        <v>0</v>
      </c>
      <c r="AJ3113" t="s">
        <v>31</v>
      </c>
      <c r="AK3113">
        <v>0</v>
      </c>
      <c r="AL3113" t="s">
        <v>31</v>
      </c>
      <c r="AM3113">
        <v>0</v>
      </c>
      <c r="AN3113" t="s">
        <v>31</v>
      </c>
      <c r="AO3113">
        <v>0</v>
      </c>
      <c r="AP3113" t="s">
        <v>31</v>
      </c>
      <c r="AQ3113">
        <v>0</v>
      </c>
    </row>
    <row r="3114" spans="1:43" x14ac:dyDescent="0.2">
      <c r="A3114" t="s">
        <v>381</v>
      </c>
      <c r="B3114" s="3">
        <v>44302</v>
      </c>
      <c r="C3114">
        <v>65</v>
      </c>
      <c r="D3114" t="s">
        <v>387</v>
      </c>
      <c r="E3114" t="s">
        <v>90</v>
      </c>
      <c r="F3114" s="9" t="s">
        <v>92</v>
      </c>
      <c r="G3114" t="s">
        <v>26</v>
      </c>
      <c r="H3114" t="s">
        <v>85</v>
      </c>
      <c r="I3114" t="s">
        <v>86</v>
      </c>
      <c r="J3114" t="s">
        <v>53</v>
      </c>
      <c r="K3114" t="s">
        <v>54</v>
      </c>
      <c r="L3114" t="s">
        <v>53</v>
      </c>
      <c r="M3114" t="s">
        <v>54</v>
      </c>
      <c r="N3114" t="s">
        <v>85</v>
      </c>
      <c r="O3114" t="s">
        <v>86</v>
      </c>
      <c r="P3114" t="s">
        <v>53</v>
      </c>
      <c r="Q3114" t="s">
        <v>54</v>
      </c>
      <c r="R3114" s="1">
        <v>44302.546747685185</v>
      </c>
      <c r="S3114" s="1">
        <v>44302.5468287037</v>
      </c>
      <c r="T3114">
        <v>0</v>
      </c>
      <c r="U3114">
        <v>1</v>
      </c>
      <c r="V3114" s="2">
        <v>0</v>
      </c>
      <c r="W3114">
        <v>0</v>
      </c>
      <c r="X3114" t="s">
        <v>44</v>
      </c>
      <c r="Y3114">
        <v>0</v>
      </c>
      <c r="Z3114" t="s">
        <v>31</v>
      </c>
      <c r="AA3114">
        <v>0</v>
      </c>
      <c r="AB3114" t="s">
        <v>31</v>
      </c>
      <c r="AC3114">
        <v>0</v>
      </c>
      <c r="AD3114" t="s">
        <v>31</v>
      </c>
      <c r="AE3114">
        <v>0</v>
      </c>
      <c r="AF3114" t="s">
        <v>31</v>
      </c>
      <c r="AG3114">
        <v>0</v>
      </c>
      <c r="AH3114" t="s">
        <v>31</v>
      </c>
      <c r="AI3114">
        <v>0</v>
      </c>
      <c r="AJ3114" t="s">
        <v>31</v>
      </c>
      <c r="AK3114">
        <v>0</v>
      </c>
      <c r="AL3114" t="s">
        <v>31</v>
      </c>
      <c r="AM3114">
        <v>0</v>
      </c>
      <c r="AN3114" t="s">
        <v>31</v>
      </c>
      <c r="AO3114">
        <v>0</v>
      </c>
      <c r="AP3114" t="s">
        <v>31</v>
      </c>
      <c r="AQ3114">
        <v>0</v>
      </c>
    </row>
    <row r="3115" spans="1:43" x14ac:dyDescent="0.2">
      <c r="A3115" t="s">
        <v>381</v>
      </c>
      <c r="B3115" s="3">
        <v>44308</v>
      </c>
      <c r="C3115">
        <v>69</v>
      </c>
      <c r="D3115" t="s">
        <v>385</v>
      </c>
      <c r="E3115" t="s">
        <v>90</v>
      </c>
      <c r="F3115" s="9" t="s">
        <v>92</v>
      </c>
      <c r="G3115" t="s">
        <v>26</v>
      </c>
      <c r="H3115" t="s">
        <v>85</v>
      </c>
      <c r="I3115" t="s">
        <v>86</v>
      </c>
      <c r="J3115" t="s">
        <v>53</v>
      </c>
      <c r="K3115" t="s">
        <v>54</v>
      </c>
      <c r="L3115" t="s">
        <v>53</v>
      </c>
      <c r="M3115" t="s">
        <v>54</v>
      </c>
      <c r="N3115" t="s">
        <v>85</v>
      </c>
      <c r="O3115" t="s">
        <v>86</v>
      </c>
      <c r="P3115" t="s">
        <v>53</v>
      </c>
      <c r="Q3115" t="s">
        <v>54</v>
      </c>
      <c r="R3115" s="1">
        <v>44308.563935185186</v>
      </c>
      <c r="S3115" s="1">
        <v>44308.563935185186</v>
      </c>
      <c r="T3115">
        <v>0</v>
      </c>
      <c r="U3115">
        <v>2</v>
      </c>
      <c r="V3115" s="2">
        <v>0</v>
      </c>
      <c r="W3115">
        <v>0</v>
      </c>
      <c r="X3115" t="s">
        <v>44</v>
      </c>
      <c r="Y3115">
        <v>0</v>
      </c>
      <c r="Z3115" t="s">
        <v>44</v>
      </c>
      <c r="AA3115">
        <v>0</v>
      </c>
      <c r="AB3115" t="s">
        <v>31</v>
      </c>
      <c r="AC3115">
        <v>0</v>
      </c>
      <c r="AD3115" t="s">
        <v>31</v>
      </c>
      <c r="AE3115">
        <v>0</v>
      </c>
      <c r="AF3115" t="s">
        <v>31</v>
      </c>
      <c r="AG3115">
        <v>0</v>
      </c>
      <c r="AH3115" t="s">
        <v>31</v>
      </c>
      <c r="AI3115">
        <v>0</v>
      </c>
      <c r="AJ3115" t="s">
        <v>31</v>
      </c>
      <c r="AK3115">
        <v>0</v>
      </c>
      <c r="AL3115" t="s">
        <v>31</v>
      </c>
      <c r="AM3115">
        <v>0</v>
      </c>
      <c r="AN3115" t="s">
        <v>31</v>
      </c>
      <c r="AO3115">
        <v>0</v>
      </c>
      <c r="AP3115" t="s">
        <v>31</v>
      </c>
      <c r="AQ3115">
        <v>0</v>
      </c>
    </row>
    <row r="3116" spans="1:43" x14ac:dyDescent="0.2">
      <c r="A3116" t="s">
        <v>381</v>
      </c>
      <c r="B3116" s="3">
        <v>44312</v>
      </c>
      <c r="C3116">
        <v>73</v>
      </c>
      <c r="D3116" t="s">
        <v>387</v>
      </c>
      <c r="E3116" t="s">
        <v>90</v>
      </c>
      <c r="F3116" s="9" t="s">
        <v>92</v>
      </c>
      <c r="G3116" t="s">
        <v>26</v>
      </c>
      <c r="H3116" t="s">
        <v>85</v>
      </c>
      <c r="I3116" t="s">
        <v>86</v>
      </c>
      <c r="J3116" t="s">
        <v>53</v>
      </c>
      <c r="K3116" t="s">
        <v>54</v>
      </c>
      <c r="L3116" t="s">
        <v>53</v>
      </c>
      <c r="M3116" t="s">
        <v>54</v>
      </c>
      <c r="N3116" t="s">
        <v>85</v>
      </c>
      <c r="O3116" t="s">
        <v>86</v>
      </c>
      <c r="P3116" t="s">
        <v>53</v>
      </c>
      <c r="Q3116" t="s">
        <v>54</v>
      </c>
      <c r="R3116" s="1">
        <v>44312.629490740743</v>
      </c>
      <c r="S3116" s="1">
        <v>44312.629490740743</v>
      </c>
      <c r="T3116">
        <v>0</v>
      </c>
      <c r="U3116">
        <v>1</v>
      </c>
      <c r="V3116" s="2">
        <v>0</v>
      </c>
      <c r="W3116">
        <v>0</v>
      </c>
      <c r="X3116" t="s">
        <v>44</v>
      </c>
      <c r="Y3116">
        <v>0</v>
      </c>
      <c r="Z3116" t="s">
        <v>31</v>
      </c>
      <c r="AA3116">
        <v>0</v>
      </c>
      <c r="AB3116" t="s">
        <v>31</v>
      </c>
      <c r="AC3116">
        <v>0</v>
      </c>
      <c r="AD3116" t="s">
        <v>31</v>
      </c>
      <c r="AE3116">
        <v>0</v>
      </c>
      <c r="AF3116" t="s">
        <v>31</v>
      </c>
      <c r="AG3116">
        <v>0</v>
      </c>
      <c r="AH3116" t="s">
        <v>31</v>
      </c>
      <c r="AI3116">
        <v>0</v>
      </c>
      <c r="AJ3116" t="s">
        <v>31</v>
      </c>
      <c r="AK3116">
        <v>0</v>
      </c>
      <c r="AL3116" t="s">
        <v>31</v>
      </c>
      <c r="AM3116">
        <v>0</v>
      </c>
      <c r="AN3116" t="s">
        <v>31</v>
      </c>
      <c r="AO3116">
        <v>0</v>
      </c>
      <c r="AP3116" t="s">
        <v>31</v>
      </c>
      <c r="AQ3116">
        <v>0</v>
      </c>
    </row>
    <row r="3117" spans="1:43" x14ac:dyDescent="0.2">
      <c r="A3117" t="s">
        <v>381</v>
      </c>
      <c r="B3117" s="3">
        <v>44313</v>
      </c>
      <c r="C3117">
        <v>75</v>
      </c>
      <c r="D3117" t="s">
        <v>410</v>
      </c>
      <c r="E3117" t="s">
        <v>90</v>
      </c>
      <c r="F3117" s="9" t="s">
        <v>92</v>
      </c>
      <c r="G3117" t="s">
        <v>26</v>
      </c>
      <c r="H3117" t="s">
        <v>85</v>
      </c>
      <c r="I3117" t="s">
        <v>86</v>
      </c>
      <c r="J3117" t="s">
        <v>53</v>
      </c>
      <c r="K3117" t="s">
        <v>54</v>
      </c>
      <c r="L3117" t="s">
        <v>53</v>
      </c>
      <c r="M3117" t="s">
        <v>54</v>
      </c>
      <c r="N3117" t="s">
        <v>85</v>
      </c>
      <c r="O3117" t="s">
        <v>86</v>
      </c>
      <c r="P3117" t="s">
        <v>53</v>
      </c>
      <c r="Q3117" t="s">
        <v>54</v>
      </c>
      <c r="R3117" s="1">
        <v>44313.537905092591</v>
      </c>
      <c r="S3117" s="1">
        <v>44313.537905092591</v>
      </c>
      <c r="T3117">
        <v>0</v>
      </c>
      <c r="U3117">
        <v>1</v>
      </c>
      <c r="V3117" s="2">
        <v>0</v>
      </c>
      <c r="W3117">
        <v>0</v>
      </c>
      <c r="X3117" t="s">
        <v>44</v>
      </c>
      <c r="Y3117">
        <v>0</v>
      </c>
      <c r="Z3117" t="s">
        <v>31</v>
      </c>
      <c r="AA3117">
        <v>0</v>
      </c>
      <c r="AB3117" t="s">
        <v>31</v>
      </c>
      <c r="AC3117">
        <v>0</v>
      </c>
      <c r="AD3117" t="s">
        <v>31</v>
      </c>
      <c r="AE3117">
        <v>0</v>
      </c>
      <c r="AF3117" t="s">
        <v>31</v>
      </c>
      <c r="AG3117">
        <v>0</v>
      </c>
      <c r="AH3117" t="s">
        <v>31</v>
      </c>
      <c r="AI3117">
        <v>0</v>
      </c>
      <c r="AJ3117" t="s">
        <v>31</v>
      </c>
      <c r="AK3117">
        <v>0</v>
      </c>
      <c r="AL3117" t="s">
        <v>31</v>
      </c>
      <c r="AM3117">
        <v>0</v>
      </c>
      <c r="AN3117" t="s">
        <v>31</v>
      </c>
      <c r="AO3117">
        <v>0</v>
      </c>
      <c r="AP3117" t="s">
        <v>31</v>
      </c>
      <c r="AQ3117">
        <v>0</v>
      </c>
    </row>
    <row r="3118" spans="1:43" x14ac:dyDescent="0.2">
      <c r="A3118" t="s">
        <v>381</v>
      </c>
      <c r="B3118" s="3">
        <v>44313</v>
      </c>
      <c r="C3118">
        <v>76</v>
      </c>
      <c r="D3118" t="s">
        <v>385</v>
      </c>
      <c r="E3118" t="s">
        <v>90</v>
      </c>
      <c r="F3118" s="9" t="s">
        <v>92</v>
      </c>
      <c r="G3118" t="s">
        <v>26</v>
      </c>
      <c r="H3118" t="s">
        <v>85</v>
      </c>
      <c r="I3118" t="s">
        <v>86</v>
      </c>
      <c r="J3118" t="s">
        <v>53</v>
      </c>
      <c r="K3118" t="s">
        <v>54</v>
      </c>
      <c r="L3118" t="s">
        <v>53</v>
      </c>
      <c r="M3118" t="s">
        <v>54</v>
      </c>
      <c r="N3118" t="s">
        <v>85</v>
      </c>
      <c r="O3118" t="s">
        <v>86</v>
      </c>
      <c r="P3118" t="s">
        <v>53</v>
      </c>
      <c r="Q3118" t="s">
        <v>54</v>
      </c>
      <c r="R3118" s="1">
        <v>44313.561030092591</v>
      </c>
      <c r="S3118" s="1">
        <v>44313.624988425923</v>
      </c>
      <c r="T3118">
        <v>0</v>
      </c>
      <c r="U3118">
        <v>3</v>
      </c>
      <c r="V3118" s="2">
        <v>0</v>
      </c>
      <c r="W3118">
        <v>0</v>
      </c>
      <c r="X3118" t="s">
        <v>44</v>
      </c>
      <c r="Y3118">
        <v>0</v>
      </c>
      <c r="Z3118" t="s">
        <v>44</v>
      </c>
      <c r="AA3118">
        <v>0</v>
      </c>
      <c r="AB3118" t="s">
        <v>44</v>
      </c>
      <c r="AC3118">
        <v>0</v>
      </c>
      <c r="AD3118" t="s">
        <v>31</v>
      </c>
      <c r="AE3118">
        <v>0</v>
      </c>
      <c r="AF3118" t="s">
        <v>31</v>
      </c>
      <c r="AG3118">
        <v>0</v>
      </c>
      <c r="AH3118" t="s">
        <v>31</v>
      </c>
      <c r="AI3118">
        <v>0</v>
      </c>
      <c r="AJ3118" t="s">
        <v>31</v>
      </c>
      <c r="AK3118">
        <v>0</v>
      </c>
      <c r="AL3118" t="s">
        <v>31</v>
      </c>
      <c r="AM3118">
        <v>0</v>
      </c>
      <c r="AN3118" t="s">
        <v>31</v>
      </c>
      <c r="AO3118">
        <v>0</v>
      </c>
      <c r="AP3118" t="s">
        <v>31</v>
      </c>
      <c r="AQ3118">
        <v>0</v>
      </c>
    </row>
    <row r="3119" spans="1:43" x14ac:dyDescent="0.2">
      <c r="A3119" t="s">
        <v>381</v>
      </c>
      <c r="B3119" s="3">
        <v>44314</v>
      </c>
      <c r="C3119">
        <v>77</v>
      </c>
      <c r="D3119" t="s">
        <v>403</v>
      </c>
      <c r="E3119" t="s">
        <v>90</v>
      </c>
      <c r="F3119" s="9" t="s">
        <v>92</v>
      </c>
      <c r="G3119" t="s">
        <v>26</v>
      </c>
      <c r="H3119" t="s">
        <v>85</v>
      </c>
      <c r="I3119" t="s">
        <v>86</v>
      </c>
      <c r="J3119" t="s">
        <v>53</v>
      </c>
      <c r="K3119" t="s">
        <v>54</v>
      </c>
      <c r="L3119" t="s">
        <v>53</v>
      </c>
      <c r="M3119" t="s">
        <v>54</v>
      </c>
      <c r="N3119" t="s">
        <v>85</v>
      </c>
      <c r="O3119" t="s">
        <v>86</v>
      </c>
      <c r="P3119" t="s">
        <v>53</v>
      </c>
      <c r="Q3119" t="s">
        <v>54</v>
      </c>
      <c r="R3119" s="1">
        <v>44314.423796296294</v>
      </c>
      <c r="S3119" s="1">
        <v>44314.423796296294</v>
      </c>
      <c r="T3119">
        <v>0</v>
      </c>
      <c r="U3119">
        <v>1</v>
      </c>
      <c r="V3119" s="2">
        <v>0</v>
      </c>
      <c r="W3119">
        <v>0</v>
      </c>
      <c r="X3119" t="s">
        <v>44</v>
      </c>
      <c r="Y3119">
        <v>0</v>
      </c>
      <c r="Z3119" t="s">
        <v>31</v>
      </c>
      <c r="AA3119">
        <v>0</v>
      </c>
      <c r="AB3119" t="s">
        <v>31</v>
      </c>
      <c r="AC3119">
        <v>0</v>
      </c>
      <c r="AD3119" t="s">
        <v>31</v>
      </c>
      <c r="AE3119">
        <v>0</v>
      </c>
      <c r="AF3119" t="s">
        <v>31</v>
      </c>
      <c r="AG3119">
        <v>0</v>
      </c>
      <c r="AH3119" t="s">
        <v>31</v>
      </c>
      <c r="AI3119">
        <v>0</v>
      </c>
      <c r="AJ3119" t="s">
        <v>31</v>
      </c>
      <c r="AK3119">
        <v>0</v>
      </c>
      <c r="AL3119" t="s">
        <v>31</v>
      </c>
      <c r="AM3119">
        <v>0</v>
      </c>
      <c r="AN3119" t="s">
        <v>31</v>
      </c>
      <c r="AO3119">
        <v>0</v>
      </c>
      <c r="AP3119" t="s">
        <v>31</v>
      </c>
      <c r="AQ3119">
        <v>0</v>
      </c>
    </row>
    <row r="3120" spans="1:43" x14ac:dyDescent="0.2">
      <c r="A3120" t="s">
        <v>381</v>
      </c>
      <c r="B3120" s="3">
        <v>44314</v>
      </c>
      <c r="C3120">
        <v>78</v>
      </c>
      <c r="D3120" t="s">
        <v>387</v>
      </c>
      <c r="E3120" t="s">
        <v>90</v>
      </c>
      <c r="F3120" s="9" t="s">
        <v>92</v>
      </c>
      <c r="G3120" t="s">
        <v>26</v>
      </c>
      <c r="H3120" t="s">
        <v>85</v>
      </c>
      <c r="I3120" t="s">
        <v>86</v>
      </c>
      <c r="J3120" t="s">
        <v>53</v>
      </c>
      <c r="K3120" t="s">
        <v>54</v>
      </c>
      <c r="L3120" t="s">
        <v>53</v>
      </c>
      <c r="M3120" t="s">
        <v>54</v>
      </c>
      <c r="N3120" t="s">
        <v>85</v>
      </c>
      <c r="O3120" t="s">
        <v>86</v>
      </c>
      <c r="P3120" t="s">
        <v>53</v>
      </c>
      <c r="Q3120" t="s">
        <v>54</v>
      </c>
      <c r="R3120" s="1">
        <v>44314.55914351852</v>
      </c>
      <c r="S3120" s="1">
        <v>44314.55914351852</v>
      </c>
      <c r="T3120">
        <v>0</v>
      </c>
      <c r="U3120">
        <v>1</v>
      </c>
      <c r="V3120" s="2">
        <v>0</v>
      </c>
      <c r="W3120">
        <v>0</v>
      </c>
      <c r="X3120" t="s">
        <v>44</v>
      </c>
      <c r="Y3120">
        <v>0</v>
      </c>
      <c r="Z3120" t="s">
        <v>31</v>
      </c>
      <c r="AA3120">
        <v>0</v>
      </c>
      <c r="AB3120" t="s">
        <v>31</v>
      </c>
      <c r="AC3120">
        <v>0</v>
      </c>
      <c r="AD3120" t="s">
        <v>31</v>
      </c>
      <c r="AE3120">
        <v>0</v>
      </c>
      <c r="AF3120" t="s">
        <v>31</v>
      </c>
      <c r="AG3120">
        <v>0</v>
      </c>
      <c r="AH3120" t="s">
        <v>31</v>
      </c>
      <c r="AI3120">
        <v>0</v>
      </c>
      <c r="AJ3120" t="s">
        <v>31</v>
      </c>
      <c r="AK3120">
        <v>0</v>
      </c>
      <c r="AL3120" t="s">
        <v>31</v>
      </c>
      <c r="AM3120">
        <v>0</v>
      </c>
      <c r="AN3120" t="s">
        <v>31</v>
      </c>
      <c r="AO3120">
        <v>0</v>
      </c>
      <c r="AP3120" t="s">
        <v>31</v>
      </c>
      <c r="AQ3120">
        <v>0</v>
      </c>
    </row>
    <row r="3121" spans="1:43" x14ac:dyDescent="0.2">
      <c r="A3121" t="s">
        <v>381</v>
      </c>
      <c r="B3121" s="3">
        <v>44315</v>
      </c>
      <c r="C3121">
        <v>80</v>
      </c>
      <c r="D3121" t="s">
        <v>410</v>
      </c>
      <c r="E3121" t="s">
        <v>90</v>
      </c>
      <c r="F3121" s="9" t="s">
        <v>92</v>
      </c>
      <c r="G3121" t="s">
        <v>26</v>
      </c>
      <c r="H3121" t="s">
        <v>85</v>
      </c>
      <c r="I3121" t="s">
        <v>86</v>
      </c>
      <c r="J3121" t="s">
        <v>53</v>
      </c>
      <c r="K3121" t="s">
        <v>54</v>
      </c>
      <c r="L3121" t="s">
        <v>53</v>
      </c>
      <c r="M3121" t="s">
        <v>54</v>
      </c>
      <c r="N3121" t="s">
        <v>85</v>
      </c>
      <c r="O3121" t="s">
        <v>86</v>
      </c>
      <c r="P3121" t="s">
        <v>53</v>
      </c>
      <c r="Q3121" t="s">
        <v>54</v>
      </c>
      <c r="R3121" s="1">
        <v>44315.537268518521</v>
      </c>
      <c r="S3121" s="1">
        <v>44315.537268518521</v>
      </c>
      <c r="T3121">
        <v>0</v>
      </c>
      <c r="U3121">
        <v>1</v>
      </c>
      <c r="V3121" s="2">
        <v>0</v>
      </c>
      <c r="W3121">
        <v>0</v>
      </c>
      <c r="X3121" t="s">
        <v>44</v>
      </c>
      <c r="Y3121">
        <v>0</v>
      </c>
      <c r="Z3121" t="s">
        <v>31</v>
      </c>
      <c r="AA3121">
        <v>0</v>
      </c>
      <c r="AB3121" t="s">
        <v>31</v>
      </c>
      <c r="AC3121">
        <v>0</v>
      </c>
      <c r="AD3121" t="s">
        <v>31</v>
      </c>
      <c r="AE3121">
        <v>0</v>
      </c>
      <c r="AF3121" t="s">
        <v>31</v>
      </c>
      <c r="AG3121">
        <v>0</v>
      </c>
      <c r="AH3121" t="s">
        <v>31</v>
      </c>
      <c r="AI3121">
        <v>0</v>
      </c>
      <c r="AJ3121" t="s">
        <v>31</v>
      </c>
      <c r="AK3121">
        <v>0</v>
      </c>
      <c r="AL3121" t="s">
        <v>31</v>
      </c>
      <c r="AM3121">
        <v>0</v>
      </c>
      <c r="AN3121" t="s">
        <v>31</v>
      </c>
      <c r="AO3121">
        <v>0</v>
      </c>
      <c r="AP3121" t="s">
        <v>31</v>
      </c>
      <c r="AQ3121">
        <v>0</v>
      </c>
    </row>
    <row r="3122" spans="1:43" x14ac:dyDescent="0.2">
      <c r="A3122" t="s">
        <v>381</v>
      </c>
      <c r="B3122" s="3">
        <v>44315</v>
      </c>
      <c r="C3122">
        <v>81</v>
      </c>
      <c r="D3122" t="s">
        <v>385</v>
      </c>
      <c r="E3122" t="s">
        <v>90</v>
      </c>
      <c r="F3122" s="9" t="s">
        <v>92</v>
      </c>
      <c r="G3122" t="s">
        <v>26</v>
      </c>
      <c r="H3122" t="s">
        <v>85</v>
      </c>
      <c r="I3122" t="s">
        <v>86</v>
      </c>
      <c r="J3122" t="s">
        <v>53</v>
      </c>
      <c r="K3122" t="s">
        <v>54</v>
      </c>
      <c r="L3122" t="s">
        <v>53</v>
      </c>
      <c r="M3122" t="s">
        <v>54</v>
      </c>
      <c r="N3122" t="s">
        <v>85</v>
      </c>
      <c r="O3122" t="s">
        <v>86</v>
      </c>
      <c r="P3122" t="s">
        <v>53</v>
      </c>
      <c r="Q3122" t="s">
        <v>54</v>
      </c>
      <c r="R3122" s="1">
        <v>44315.551851851851</v>
      </c>
      <c r="S3122" s="1">
        <v>44315.587789351855</v>
      </c>
      <c r="T3122">
        <v>0</v>
      </c>
      <c r="U3122">
        <v>3</v>
      </c>
      <c r="V3122" s="2">
        <v>0</v>
      </c>
      <c r="W3122">
        <v>0</v>
      </c>
      <c r="X3122" t="s">
        <v>44</v>
      </c>
      <c r="Y3122">
        <v>0</v>
      </c>
      <c r="Z3122" t="s">
        <v>44</v>
      </c>
      <c r="AA3122">
        <v>0</v>
      </c>
      <c r="AB3122" t="s">
        <v>44</v>
      </c>
      <c r="AC3122">
        <v>0</v>
      </c>
      <c r="AD3122" t="s">
        <v>31</v>
      </c>
      <c r="AE3122">
        <v>0</v>
      </c>
      <c r="AF3122" t="s">
        <v>31</v>
      </c>
      <c r="AG3122">
        <v>0</v>
      </c>
      <c r="AH3122" t="s">
        <v>31</v>
      </c>
      <c r="AI3122">
        <v>0</v>
      </c>
      <c r="AJ3122" t="s">
        <v>31</v>
      </c>
      <c r="AK3122">
        <v>0</v>
      </c>
      <c r="AL3122" t="s">
        <v>31</v>
      </c>
      <c r="AM3122">
        <v>0</v>
      </c>
      <c r="AN3122" t="s">
        <v>31</v>
      </c>
      <c r="AO3122">
        <v>0</v>
      </c>
      <c r="AP3122" t="s">
        <v>31</v>
      </c>
      <c r="AQ3122">
        <v>0</v>
      </c>
    </row>
    <row r="3123" spans="1:43" x14ac:dyDescent="0.2">
      <c r="A3123" t="s">
        <v>381</v>
      </c>
      <c r="B3123" s="3">
        <v>44316</v>
      </c>
      <c r="C3123">
        <v>83</v>
      </c>
      <c r="D3123" t="s">
        <v>387</v>
      </c>
      <c r="E3123" t="s">
        <v>90</v>
      </c>
      <c r="F3123" s="9" t="s">
        <v>92</v>
      </c>
      <c r="G3123" t="s">
        <v>26</v>
      </c>
      <c r="H3123" t="s">
        <v>85</v>
      </c>
      <c r="I3123" t="s">
        <v>86</v>
      </c>
      <c r="J3123" t="s">
        <v>53</v>
      </c>
      <c r="K3123" t="s">
        <v>54</v>
      </c>
      <c r="L3123" t="s">
        <v>53</v>
      </c>
      <c r="M3123" t="s">
        <v>54</v>
      </c>
      <c r="N3123" t="s">
        <v>85</v>
      </c>
      <c r="O3123" t="s">
        <v>86</v>
      </c>
      <c r="P3123" t="s">
        <v>53</v>
      </c>
      <c r="Q3123" t="s">
        <v>54</v>
      </c>
      <c r="R3123" s="1">
        <v>44316.60732638889</v>
      </c>
      <c r="S3123" s="1">
        <v>44316.60732638889</v>
      </c>
      <c r="T3123">
        <v>0</v>
      </c>
      <c r="U3123">
        <v>1</v>
      </c>
      <c r="V3123" s="2">
        <v>0</v>
      </c>
      <c r="W3123">
        <v>0</v>
      </c>
      <c r="X3123" t="s">
        <v>44</v>
      </c>
      <c r="Y3123">
        <v>0</v>
      </c>
      <c r="Z3123" t="s">
        <v>31</v>
      </c>
      <c r="AA3123">
        <v>0</v>
      </c>
      <c r="AB3123" t="s">
        <v>31</v>
      </c>
      <c r="AC3123">
        <v>0</v>
      </c>
      <c r="AD3123" t="s">
        <v>31</v>
      </c>
      <c r="AE3123">
        <v>0</v>
      </c>
      <c r="AF3123" t="s">
        <v>31</v>
      </c>
      <c r="AG3123">
        <v>0</v>
      </c>
      <c r="AH3123" t="s">
        <v>31</v>
      </c>
      <c r="AI3123">
        <v>0</v>
      </c>
      <c r="AJ3123" t="s">
        <v>31</v>
      </c>
      <c r="AK3123">
        <v>0</v>
      </c>
      <c r="AL3123" t="s">
        <v>31</v>
      </c>
      <c r="AM3123">
        <v>0</v>
      </c>
      <c r="AN3123" t="s">
        <v>31</v>
      </c>
      <c r="AO3123">
        <v>0</v>
      </c>
      <c r="AP3123" t="s">
        <v>31</v>
      </c>
      <c r="AQ3123">
        <v>0</v>
      </c>
    </row>
    <row r="3124" spans="1:43" x14ac:dyDescent="0.2">
      <c r="A3124" t="s">
        <v>381</v>
      </c>
      <c r="B3124" s="3">
        <v>44319</v>
      </c>
      <c r="C3124">
        <v>84</v>
      </c>
      <c r="D3124" t="s">
        <v>390</v>
      </c>
      <c r="E3124" t="s">
        <v>90</v>
      </c>
      <c r="F3124" s="9" t="s">
        <v>92</v>
      </c>
      <c r="G3124" t="s">
        <v>26</v>
      </c>
      <c r="H3124" t="s">
        <v>85</v>
      </c>
      <c r="I3124" t="s">
        <v>86</v>
      </c>
      <c r="J3124" t="s">
        <v>53</v>
      </c>
      <c r="K3124" t="s">
        <v>54</v>
      </c>
      <c r="L3124" t="s">
        <v>53</v>
      </c>
      <c r="M3124" t="s">
        <v>54</v>
      </c>
      <c r="N3124" t="s">
        <v>85</v>
      </c>
      <c r="O3124" t="s">
        <v>86</v>
      </c>
      <c r="P3124" t="s">
        <v>53</v>
      </c>
      <c r="Q3124" t="s">
        <v>54</v>
      </c>
      <c r="R3124" s="1">
        <v>44319.455868055556</v>
      </c>
      <c r="S3124" s="1">
        <v>44319.455868055556</v>
      </c>
      <c r="T3124">
        <v>0</v>
      </c>
      <c r="U3124">
        <v>1</v>
      </c>
      <c r="V3124" s="2">
        <v>0</v>
      </c>
      <c r="W3124">
        <v>0</v>
      </c>
      <c r="X3124" t="s">
        <v>44</v>
      </c>
      <c r="Y3124">
        <v>0</v>
      </c>
      <c r="Z3124" t="s">
        <v>31</v>
      </c>
      <c r="AA3124">
        <v>0</v>
      </c>
      <c r="AB3124" t="s">
        <v>31</v>
      </c>
      <c r="AC3124">
        <v>0</v>
      </c>
      <c r="AD3124" t="s">
        <v>31</v>
      </c>
      <c r="AE3124">
        <v>0</v>
      </c>
      <c r="AF3124" t="s">
        <v>31</v>
      </c>
      <c r="AG3124">
        <v>0</v>
      </c>
      <c r="AH3124" t="s">
        <v>31</v>
      </c>
      <c r="AI3124">
        <v>0</v>
      </c>
      <c r="AJ3124" t="s">
        <v>31</v>
      </c>
      <c r="AK3124">
        <v>0</v>
      </c>
      <c r="AL3124" t="s">
        <v>31</v>
      </c>
      <c r="AM3124">
        <v>0</v>
      </c>
      <c r="AN3124" t="s">
        <v>31</v>
      </c>
      <c r="AO3124">
        <v>0</v>
      </c>
      <c r="AP3124" t="s">
        <v>31</v>
      </c>
      <c r="AQ3124">
        <v>0</v>
      </c>
    </row>
    <row r="3125" spans="1:43" x14ac:dyDescent="0.2">
      <c r="A3125" t="s">
        <v>381</v>
      </c>
      <c r="B3125" s="3">
        <v>44319</v>
      </c>
      <c r="C3125">
        <v>85</v>
      </c>
      <c r="D3125" t="s">
        <v>387</v>
      </c>
      <c r="E3125" t="s">
        <v>90</v>
      </c>
      <c r="F3125" s="9" t="s">
        <v>92</v>
      </c>
      <c r="G3125" t="s">
        <v>26</v>
      </c>
      <c r="H3125" t="s">
        <v>85</v>
      </c>
      <c r="I3125" t="s">
        <v>86</v>
      </c>
      <c r="J3125" t="s">
        <v>53</v>
      </c>
      <c r="K3125" t="s">
        <v>54</v>
      </c>
      <c r="L3125" t="s">
        <v>53</v>
      </c>
      <c r="M3125" t="s">
        <v>54</v>
      </c>
      <c r="N3125" t="s">
        <v>85</v>
      </c>
      <c r="O3125" t="s">
        <v>86</v>
      </c>
      <c r="P3125" t="s">
        <v>53</v>
      </c>
      <c r="Q3125" t="s">
        <v>54</v>
      </c>
      <c r="R3125" s="1">
        <v>44319.642025462963</v>
      </c>
      <c r="S3125" s="1">
        <v>44319.642025462963</v>
      </c>
      <c r="T3125">
        <v>0</v>
      </c>
      <c r="U3125">
        <v>1</v>
      </c>
      <c r="V3125" s="2">
        <v>0</v>
      </c>
      <c r="W3125">
        <v>0</v>
      </c>
      <c r="X3125" t="s">
        <v>44</v>
      </c>
      <c r="Y3125">
        <v>0</v>
      </c>
      <c r="Z3125" t="s">
        <v>31</v>
      </c>
      <c r="AA3125">
        <v>0</v>
      </c>
      <c r="AB3125" t="s">
        <v>31</v>
      </c>
      <c r="AC3125">
        <v>0</v>
      </c>
      <c r="AD3125" t="s">
        <v>31</v>
      </c>
      <c r="AE3125">
        <v>0</v>
      </c>
      <c r="AF3125" t="s">
        <v>31</v>
      </c>
      <c r="AG3125">
        <v>0</v>
      </c>
      <c r="AH3125" t="s">
        <v>31</v>
      </c>
      <c r="AI3125">
        <v>0</v>
      </c>
      <c r="AJ3125" t="s">
        <v>31</v>
      </c>
      <c r="AK3125">
        <v>0</v>
      </c>
      <c r="AL3125" t="s">
        <v>31</v>
      </c>
      <c r="AM3125">
        <v>0</v>
      </c>
      <c r="AN3125" t="s">
        <v>31</v>
      </c>
      <c r="AO3125">
        <v>0</v>
      </c>
      <c r="AP3125" t="s">
        <v>31</v>
      </c>
      <c r="AQ3125">
        <v>0</v>
      </c>
    </row>
    <row r="3126" spans="1:43" x14ac:dyDescent="0.2">
      <c r="A3126" t="s">
        <v>381</v>
      </c>
      <c r="B3126" s="3">
        <v>44320</v>
      </c>
      <c r="C3126">
        <v>87</v>
      </c>
      <c r="D3126" t="s">
        <v>385</v>
      </c>
      <c r="E3126" t="s">
        <v>90</v>
      </c>
      <c r="F3126" s="9" t="s">
        <v>92</v>
      </c>
      <c r="G3126" t="s">
        <v>26</v>
      </c>
      <c r="H3126" t="s">
        <v>85</v>
      </c>
      <c r="I3126" t="s">
        <v>86</v>
      </c>
      <c r="J3126" t="s">
        <v>53</v>
      </c>
      <c r="K3126" t="s">
        <v>54</v>
      </c>
      <c r="L3126" t="s">
        <v>53</v>
      </c>
      <c r="M3126" t="s">
        <v>54</v>
      </c>
      <c r="N3126" t="s">
        <v>85</v>
      </c>
      <c r="O3126" t="s">
        <v>86</v>
      </c>
      <c r="P3126" t="s">
        <v>53</v>
      </c>
      <c r="Q3126" t="s">
        <v>54</v>
      </c>
      <c r="R3126" s="1">
        <v>44320.553622685184</v>
      </c>
      <c r="S3126" s="1">
        <v>44320.55363425926</v>
      </c>
      <c r="T3126">
        <v>0</v>
      </c>
      <c r="U3126">
        <v>2</v>
      </c>
      <c r="V3126" s="2">
        <v>0</v>
      </c>
      <c r="W3126">
        <v>0</v>
      </c>
      <c r="X3126" t="s">
        <v>44</v>
      </c>
      <c r="Y3126">
        <v>0</v>
      </c>
      <c r="Z3126" t="s">
        <v>44</v>
      </c>
      <c r="AA3126">
        <v>0</v>
      </c>
      <c r="AB3126" t="s">
        <v>31</v>
      </c>
      <c r="AC3126">
        <v>0</v>
      </c>
      <c r="AD3126" t="s">
        <v>31</v>
      </c>
      <c r="AE3126">
        <v>0</v>
      </c>
      <c r="AF3126" t="s">
        <v>31</v>
      </c>
      <c r="AG3126">
        <v>0</v>
      </c>
      <c r="AH3126" t="s">
        <v>31</v>
      </c>
      <c r="AI3126">
        <v>0</v>
      </c>
      <c r="AJ3126" t="s">
        <v>31</v>
      </c>
      <c r="AK3126">
        <v>0</v>
      </c>
      <c r="AL3126" t="s">
        <v>31</v>
      </c>
      <c r="AM3126">
        <v>0</v>
      </c>
      <c r="AN3126" t="s">
        <v>31</v>
      </c>
      <c r="AO3126">
        <v>0</v>
      </c>
      <c r="AP3126" t="s">
        <v>31</v>
      </c>
      <c r="AQ3126">
        <v>0</v>
      </c>
    </row>
    <row r="3127" spans="1:43" x14ac:dyDescent="0.2">
      <c r="A3127" t="s">
        <v>381</v>
      </c>
      <c r="B3127" s="3">
        <v>44321</v>
      </c>
      <c r="C3127">
        <v>89</v>
      </c>
      <c r="D3127" t="s">
        <v>387</v>
      </c>
      <c r="E3127" t="s">
        <v>90</v>
      </c>
      <c r="F3127" s="9" t="s">
        <v>92</v>
      </c>
      <c r="G3127" t="s">
        <v>26</v>
      </c>
      <c r="H3127" t="s">
        <v>85</v>
      </c>
      <c r="I3127" t="s">
        <v>86</v>
      </c>
      <c r="J3127" t="s">
        <v>53</v>
      </c>
      <c r="K3127" t="s">
        <v>54</v>
      </c>
      <c r="L3127" t="s">
        <v>53</v>
      </c>
      <c r="M3127" t="s">
        <v>54</v>
      </c>
      <c r="N3127" t="s">
        <v>85</v>
      </c>
      <c r="O3127" t="s">
        <v>86</v>
      </c>
      <c r="P3127" t="s">
        <v>53</v>
      </c>
      <c r="Q3127" t="s">
        <v>54</v>
      </c>
      <c r="R3127" s="1">
        <v>44321.625613425924</v>
      </c>
      <c r="S3127" s="1">
        <v>44321.625613425924</v>
      </c>
      <c r="T3127">
        <v>0</v>
      </c>
      <c r="U3127">
        <v>1</v>
      </c>
      <c r="V3127" s="2">
        <v>0</v>
      </c>
      <c r="W3127">
        <v>0</v>
      </c>
      <c r="X3127" t="s">
        <v>44</v>
      </c>
      <c r="Y3127">
        <v>0</v>
      </c>
      <c r="Z3127" t="s">
        <v>31</v>
      </c>
      <c r="AA3127">
        <v>0</v>
      </c>
      <c r="AB3127" t="s">
        <v>31</v>
      </c>
      <c r="AC3127">
        <v>0</v>
      </c>
      <c r="AD3127" t="s">
        <v>31</v>
      </c>
      <c r="AE3127">
        <v>0</v>
      </c>
      <c r="AF3127" t="s">
        <v>31</v>
      </c>
      <c r="AG3127">
        <v>0</v>
      </c>
      <c r="AH3127" t="s">
        <v>31</v>
      </c>
      <c r="AI3127">
        <v>0</v>
      </c>
      <c r="AJ3127" t="s">
        <v>31</v>
      </c>
      <c r="AK3127">
        <v>0</v>
      </c>
      <c r="AL3127" t="s">
        <v>31</v>
      </c>
      <c r="AM3127">
        <v>0</v>
      </c>
      <c r="AN3127" t="s">
        <v>31</v>
      </c>
      <c r="AO3127">
        <v>0</v>
      </c>
      <c r="AP3127" t="s">
        <v>31</v>
      </c>
      <c r="AQ3127">
        <v>0</v>
      </c>
    </row>
    <row r="3128" spans="1:43" x14ac:dyDescent="0.2">
      <c r="A3128" t="s">
        <v>381</v>
      </c>
      <c r="B3128" s="3">
        <v>44326</v>
      </c>
      <c r="C3128">
        <v>92</v>
      </c>
      <c r="D3128" t="s">
        <v>390</v>
      </c>
      <c r="E3128" t="s">
        <v>90</v>
      </c>
      <c r="F3128" s="9" t="s">
        <v>92</v>
      </c>
      <c r="G3128" t="s">
        <v>26</v>
      </c>
      <c r="H3128" t="s">
        <v>85</v>
      </c>
      <c r="I3128" t="s">
        <v>86</v>
      </c>
      <c r="J3128" t="s">
        <v>53</v>
      </c>
      <c r="K3128" t="s">
        <v>54</v>
      </c>
      <c r="L3128" t="s">
        <v>53</v>
      </c>
      <c r="M3128" t="s">
        <v>54</v>
      </c>
      <c r="N3128" t="s">
        <v>85</v>
      </c>
      <c r="O3128" t="s">
        <v>86</v>
      </c>
      <c r="P3128" t="s">
        <v>53</v>
      </c>
      <c r="Q3128" t="s">
        <v>54</v>
      </c>
      <c r="R3128" s="1">
        <v>44326.415046296293</v>
      </c>
      <c r="S3128" s="1">
        <v>44326.415046296293</v>
      </c>
      <c r="T3128">
        <v>0</v>
      </c>
      <c r="U3128">
        <v>1</v>
      </c>
      <c r="V3128" s="2">
        <v>0</v>
      </c>
      <c r="W3128">
        <v>0</v>
      </c>
      <c r="X3128" t="s">
        <v>44</v>
      </c>
      <c r="Y3128">
        <v>0</v>
      </c>
      <c r="Z3128" t="s">
        <v>31</v>
      </c>
      <c r="AA3128">
        <v>0</v>
      </c>
      <c r="AB3128" t="s">
        <v>31</v>
      </c>
      <c r="AC3128">
        <v>0</v>
      </c>
      <c r="AD3128" t="s">
        <v>31</v>
      </c>
      <c r="AE3128">
        <v>0</v>
      </c>
      <c r="AF3128" t="s">
        <v>31</v>
      </c>
      <c r="AG3128">
        <v>0</v>
      </c>
      <c r="AH3128" t="s">
        <v>31</v>
      </c>
      <c r="AI3128">
        <v>0</v>
      </c>
      <c r="AJ3128" t="s">
        <v>31</v>
      </c>
      <c r="AK3128">
        <v>0</v>
      </c>
      <c r="AL3128" t="s">
        <v>31</v>
      </c>
      <c r="AM3128">
        <v>0</v>
      </c>
      <c r="AN3128" t="s">
        <v>31</v>
      </c>
      <c r="AO3128">
        <v>0</v>
      </c>
      <c r="AP3128" t="s">
        <v>31</v>
      </c>
      <c r="AQ3128">
        <v>0</v>
      </c>
    </row>
    <row r="3129" spans="1:43" x14ac:dyDescent="0.2">
      <c r="A3129" t="s">
        <v>381</v>
      </c>
      <c r="B3129" s="3">
        <v>44327</v>
      </c>
      <c r="C3129">
        <v>96</v>
      </c>
      <c r="D3129" t="s">
        <v>385</v>
      </c>
      <c r="E3129" t="s">
        <v>90</v>
      </c>
      <c r="F3129" s="9" t="s">
        <v>92</v>
      </c>
      <c r="G3129" t="s">
        <v>26</v>
      </c>
      <c r="H3129" t="s">
        <v>85</v>
      </c>
      <c r="I3129" t="s">
        <v>86</v>
      </c>
      <c r="J3129" t="s">
        <v>53</v>
      </c>
      <c r="K3129" t="s">
        <v>54</v>
      </c>
      <c r="L3129" t="s">
        <v>53</v>
      </c>
      <c r="M3129" t="s">
        <v>54</v>
      </c>
      <c r="N3129" t="s">
        <v>85</v>
      </c>
      <c r="O3129" t="s">
        <v>86</v>
      </c>
      <c r="P3129" t="s">
        <v>53</v>
      </c>
      <c r="Q3129" t="s">
        <v>54</v>
      </c>
      <c r="R3129" s="1">
        <v>44327.588402777779</v>
      </c>
      <c r="S3129" s="1">
        <v>44327.588402777779</v>
      </c>
      <c r="T3129">
        <v>0</v>
      </c>
      <c r="U3129">
        <v>2</v>
      </c>
      <c r="V3129" s="2">
        <v>0</v>
      </c>
      <c r="W3129">
        <v>0</v>
      </c>
      <c r="X3129" t="s">
        <v>44</v>
      </c>
      <c r="Y3129">
        <v>0</v>
      </c>
      <c r="Z3129" t="s">
        <v>44</v>
      </c>
      <c r="AA3129">
        <v>0</v>
      </c>
      <c r="AB3129" t="s">
        <v>31</v>
      </c>
      <c r="AC3129">
        <v>0</v>
      </c>
      <c r="AD3129" t="s">
        <v>31</v>
      </c>
      <c r="AE3129">
        <v>0</v>
      </c>
      <c r="AF3129" t="s">
        <v>31</v>
      </c>
      <c r="AG3129">
        <v>0</v>
      </c>
      <c r="AH3129" t="s">
        <v>31</v>
      </c>
      <c r="AI3129">
        <v>0</v>
      </c>
      <c r="AJ3129" t="s">
        <v>31</v>
      </c>
      <c r="AK3129">
        <v>0</v>
      </c>
      <c r="AL3129" t="s">
        <v>31</v>
      </c>
      <c r="AM3129">
        <v>0</v>
      </c>
      <c r="AN3129" t="s">
        <v>31</v>
      </c>
      <c r="AO3129">
        <v>0</v>
      </c>
      <c r="AP3129" t="s">
        <v>31</v>
      </c>
      <c r="AQ3129">
        <v>0</v>
      </c>
    </row>
    <row r="3130" spans="1:43" x14ac:dyDescent="0.2">
      <c r="A3130" t="s">
        <v>381</v>
      </c>
      <c r="B3130" s="3">
        <v>44328</v>
      </c>
      <c r="C3130">
        <v>97</v>
      </c>
      <c r="D3130" t="s">
        <v>387</v>
      </c>
      <c r="E3130" t="s">
        <v>90</v>
      </c>
      <c r="F3130" s="9" t="s">
        <v>92</v>
      </c>
      <c r="G3130" t="s">
        <v>26</v>
      </c>
      <c r="H3130" t="s">
        <v>85</v>
      </c>
      <c r="I3130" t="s">
        <v>86</v>
      </c>
      <c r="J3130" t="s">
        <v>53</v>
      </c>
      <c r="K3130" t="s">
        <v>54</v>
      </c>
      <c r="L3130" t="s">
        <v>53</v>
      </c>
      <c r="M3130" t="s">
        <v>54</v>
      </c>
      <c r="N3130" t="s">
        <v>85</v>
      </c>
      <c r="O3130" t="s">
        <v>86</v>
      </c>
      <c r="P3130" t="s">
        <v>53</v>
      </c>
      <c r="Q3130" t="s">
        <v>54</v>
      </c>
      <c r="R3130" s="1">
        <v>44328.550578703704</v>
      </c>
      <c r="S3130" s="1">
        <v>44328.550578703704</v>
      </c>
      <c r="T3130">
        <v>0</v>
      </c>
      <c r="U3130">
        <v>1</v>
      </c>
      <c r="V3130" s="2">
        <v>0</v>
      </c>
      <c r="W3130">
        <v>0</v>
      </c>
      <c r="X3130" t="s">
        <v>44</v>
      </c>
      <c r="Y3130">
        <v>0</v>
      </c>
      <c r="Z3130" t="s">
        <v>31</v>
      </c>
      <c r="AA3130">
        <v>0</v>
      </c>
      <c r="AB3130" t="s">
        <v>31</v>
      </c>
      <c r="AC3130">
        <v>0</v>
      </c>
      <c r="AD3130" t="s">
        <v>31</v>
      </c>
      <c r="AE3130">
        <v>0</v>
      </c>
      <c r="AF3130" t="s">
        <v>31</v>
      </c>
      <c r="AG3130">
        <v>0</v>
      </c>
      <c r="AH3130" t="s">
        <v>31</v>
      </c>
      <c r="AI3130">
        <v>0</v>
      </c>
      <c r="AJ3130" t="s">
        <v>31</v>
      </c>
      <c r="AK3130">
        <v>0</v>
      </c>
      <c r="AL3130" t="s">
        <v>31</v>
      </c>
      <c r="AM3130">
        <v>0</v>
      </c>
      <c r="AN3130" t="s">
        <v>31</v>
      </c>
      <c r="AO3130">
        <v>0</v>
      </c>
      <c r="AP3130" t="s">
        <v>31</v>
      </c>
      <c r="AQ3130">
        <v>0</v>
      </c>
    </row>
    <row r="3131" spans="1:43" x14ac:dyDescent="0.2">
      <c r="A3131" t="s">
        <v>381</v>
      </c>
      <c r="B3131" s="3">
        <v>44334</v>
      </c>
      <c r="C3131">
        <v>99</v>
      </c>
      <c r="D3131" t="s">
        <v>385</v>
      </c>
      <c r="E3131" t="s">
        <v>90</v>
      </c>
      <c r="F3131" s="9" t="s">
        <v>92</v>
      </c>
      <c r="G3131" t="s">
        <v>26</v>
      </c>
      <c r="H3131" t="s">
        <v>85</v>
      </c>
      <c r="I3131" t="s">
        <v>86</v>
      </c>
      <c r="J3131" t="s">
        <v>53</v>
      </c>
      <c r="K3131" t="s">
        <v>54</v>
      </c>
      <c r="L3131" t="s">
        <v>53</v>
      </c>
      <c r="M3131" t="s">
        <v>54</v>
      </c>
      <c r="N3131" t="s">
        <v>85</v>
      </c>
      <c r="O3131" t="s">
        <v>86</v>
      </c>
      <c r="P3131" t="s">
        <v>53</v>
      </c>
      <c r="Q3131" t="s">
        <v>54</v>
      </c>
      <c r="R3131" s="1">
        <v>44334.545949074076</v>
      </c>
      <c r="S3131" s="1">
        <v>44334.635370370372</v>
      </c>
      <c r="T3131">
        <v>0</v>
      </c>
      <c r="U3131">
        <v>6</v>
      </c>
      <c r="V3131" s="2">
        <v>0</v>
      </c>
      <c r="W3131">
        <v>0</v>
      </c>
      <c r="X3131" t="s">
        <v>44</v>
      </c>
      <c r="Y3131">
        <v>0</v>
      </c>
      <c r="Z3131" t="s">
        <v>44</v>
      </c>
      <c r="AA3131">
        <v>0</v>
      </c>
      <c r="AB3131" t="s">
        <v>44</v>
      </c>
      <c r="AC3131">
        <v>0</v>
      </c>
      <c r="AD3131" t="s">
        <v>44</v>
      </c>
      <c r="AE3131">
        <v>0</v>
      </c>
      <c r="AF3131" t="s">
        <v>44</v>
      </c>
      <c r="AG3131">
        <v>0</v>
      </c>
      <c r="AH3131" t="s">
        <v>44</v>
      </c>
      <c r="AI3131">
        <v>0</v>
      </c>
      <c r="AJ3131" t="s">
        <v>31</v>
      </c>
      <c r="AK3131">
        <v>0</v>
      </c>
      <c r="AL3131" t="s">
        <v>31</v>
      </c>
      <c r="AM3131">
        <v>0</v>
      </c>
      <c r="AN3131" t="s">
        <v>31</v>
      </c>
      <c r="AO3131">
        <v>0</v>
      </c>
      <c r="AP3131" t="s">
        <v>31</v>
      </c>
      <c r="AQ3131">
        <v>0</v>
      </c>
    </row>
    <row r="3132" spans="1:43" x14ac:dyDescent="0.2">
      <c r="A3132" t="s">
        <v>381</v>
      </c>
      <c r="B3132" s="3">
        <v>44336</v>
      </c>
      <c r="C3132">
        <v>103</v>
      </c>
      <c r="D3132" t="s">
        <v>385</v>
      </c>
      <c r="E3132" t="s">
        <v>90</v>
      </c>
      <c r="F3132" s="9" t="s">
        <v>92</v>
      </c>
      <c r="G3132" t="s">
        <v>26</v>
      </c>
      <c r="H3132" t="s">
        <v>85</v>
      </c>
      <c r="I3132" t="s">
        <v>86</v>
      </c>
      <c r="J3132" t="s">
        <v>53</v>
      </c>
      <c r="K3132" t="s">
        <v>54</v>
      </c>
      <c r="L3132" t="s">
        <v>53</v>
      </c>
      <c r="M3132" t="s">
        <v>54</v>
      </c>
      <c r="N3132" t="s">
        <v>85</v>
      </c>
      <c r="O3132" t="s">
        <v>86</v>
      </c>
      <c r="P3132" t="s">
        <v>53</v>
      </c>
      <c r="Q3132" t="s">
        <v>54</v>
      </c>
      <c r="R3132" s="1">
        <v>44336.543368055558</v>
      </c>
      <c r="S3132" s="1">
        <v>44336.558935185189</v>
      </c>
      <c r="T3132">
        <v>0</v>
      </c>
      <c r="U3132">
        <v>3</v>
      </c>
      <c r="V3132" s="2">
        <v>0</v>
      </c>
      <c r="W3132">
        <v>0</v>
      </c>
      <c r="X3132" t="s">
        <v>44</v>
      </c>
      <c r="Y3132">
        <v>0</v>
      </c>
      <c r="Z3132" t="s">
        <v>44</v>
      </c>
      <c r="AA3132">
        <v>0</v>
      </c>
      <c r="AB3132" t="s">
        <v>44</v>
      </c>
      <c r="AC3132">
        <v>0</v>
      </c>
      <c r="AD3132" t="s">
        <v>31</v>
      </c>
      <c r="AE3132">
        <v>0</v>
      </c>
      <c r="AF3132" t="s">
        <v>31</v>
      </c>
      <c r="AG3132">
        <v>0</v>
      </c>
      <c r="AH3132" t="s">
        <v>31</v>
      </c>
      <c r="AI3132">
        <v>0</v>
      </c>
      <c r="AJ3132" t="s">
        <v>31</v>
      </c>
      <c r="AK3132">
        <v>0</v>
      </c>
      <c r="AL3132" t="s">
        <v>31</v>
      </c>
      <c r="AM3132">
        <v>0</v>
      </c>
      <c r="AN3132" t="s">
        <v>31</v>
      </c>
      <c r="AO3132">
        <v>0</v>
      </c>
      <c r="AP3132" t="s">
        <v>31</v>
      </c>
      <c r="AQ3132">
        <v>0</v>
      </c>
    </row>
    <row r="3133" spans="1:43" x14ac:dyDescent="0.2">
      <c r="A3133" t="s">
        <v>381</v>
      </c>
      <c r="B3133" s="3">
        <v>44337</v>
      </c>
      <c r="C3133">
        <v>104</v>
      </c>
      <c r="D3133" t="s">
        <v>390</v>
      </c>
      <c r="E3133" t="s">
        <v>90</v>
      </c>
      <c r="F3133" s="9" t="s">
        <v>92</v>
      </c>
      <c r="G3133" t="s">
        <v>26</v>
      </c>
      <c r="H3133" t="s">
        <v>85</v>
      </c>
      <c r="I3133" t="s">
        <v>86</v>
      </c>
      <c r="J3133" t="s">
        <v>53</v>
      </c>
      <c r="K3133" t="s">
        <v>54</v>
      </c>
      <c r="L3133" t="s">
        <v>53</v>
      </c>
      <c r="M3133" t="s">
        <v>54</v>
      </c>
      <c r="N3133" t="s">
        <v>85</v>
      </c>
      <c r="O3133" t="s">
        <v>86</v>
      </c>
      <c r="P3133" t="s">
        <v>53</v>
      </c>
      <c r="Q3133" t="s">
        <v>54</v>
      </c>
      <c r="R3133" s="1">
        <v>44337.479050925926</v>
      </c>
      <c r="S3133" s="1">
        <v>44337.479050925926</v>
      </c>
      <c r="T3133">
        <v>0</v>
      </c>
      <c r="U3133">
        <v>1</v>
      </c>
      <c r="V3133" s="2">
        <v>0</v>
      </c>
      <c r="W3133">
        <v>0</v>
      </c>
      <c r="X3133" t="s">
        <v>44</v>
      </c>
      <c r="Y3133">
        <v>0</v>
      </c>
      <c r="Z3133" t="s">
        <v>31</v>
      </c>
      <c r="AA3133">
        <v>0</v>
      </c>
      <c r="AB3133" t="s">
        <v>31</v>
      </c>
      <c r="AC3133">
        <v>0</v>
      </c>
      <c r="AD3133" t="s">
        <v>31</v>
      </c>
      <c r="AE3133">
        <v>0</v>
      </c>
      <c r="AF3133" t="s">
        <v>31</v>
      </c>
      <c r="AG3133">
        <v>0</v>
      </c>
      <c r="AH3133" t="s">
        <v>31</v>
      </c>
      <c r="AI3133">
        <v>0</v>
      </c>
      <c r="AJ3133" t="s">
        <v>31</v>
      </c>
      <c r="AK3133">
        <v>0</v>
      </c>
      <c r="AL3133" t="s">
        <v>31</v>
      </c>
      <c r="AM3133">
        <v>0</v>
      </c>
      <c r="AN3133" t="s">
        <v>31</v>
      </c>
      <c r="AO3133">
        <v>0</v>
      </c>
      <c r="AP3133" t="s">
        <v>31</v>
      </c>
      <c r="AQ3133">
        <v>0</v>
      </c>
    </row>
    <row r="3134" spans="1:43" x14ac:dyDescent="0.2">
      <c r="A3134" t="s">
        <v>381</v>
      </c>
      <c r="B3134" s="3">
        <v>44337</v>
      </c>
      <c r="C3134">
        <v>105</v>
      </c>
      <c r="D3134" t="s">
        <v>405</v>
      </c>
      <c r="E3134" t="s">
        <v>90</v>
      </c>
      <c r="F3134" s="9" t="s">
        <v>92</v>
      </c>
      <c r="G3134" t="s">
        <v>26</v>
      </c>
      <c r="H3134" t="s">
        <v>85</v>
      </c>
      <c r="I3134" t="s">
        <v>86</v>
      </c>
      <c r="J3134" t="s">
        <v>53</v>
      </c>
      <c r="K3134" t="s">
        <v>54</v>
      </c>
      <c r="L3134" t="s">
        <v>53</v>
      </c>
      <c r="M3134" t="s">
        <v>54</v>
      </c>
      <c r="N3134" t="s">
        <v>85</v>
      </c>
      <c r="O3134" t="s">
        <v>86</v>
      </c>
      <c r="P3134" t="s">
        <v>53</v>
      </c>
      <c r="Q3134" t="s">
        <v>54</v>
      </c>
      <c r="R3134" s="1">
        <v>44337.557870370372</v>
      </c>
      <c r="S3134" s="1">
        <v>44337.557870370372</v>
      </c>
      <c r="T3134">
        <v>0</v>
      </c>
      <c r="U3134">
        <v>1</v>
      </c>
      <c r="V3134" s="2">
        <v>0</v>
      </c>
      <c r="W3134">
        <v>0</v>
      </c>
      <c r="X3134" t="s">
        <v>44</v>
      </c>
      <c r="Y3134">
        <v>0</v>
      </c>
      <c r="Z3134" t="s">
        <v>31</v>
      </c>
      <c r="AA3134">
        <v>0</v>
      </c>
      <c r="AB3134" t="s">
        <v>31</v>
      </c>
      <c r="AC3134">
        <v>0</v>
      </c>
      <c r="AD3134" t="s">
        <v>31</v>
      </c>
      <c r="AE3134">
        <v>0</v>
      </c>
      <c r="AF3134" t="s">
        <v>31</v>
      </c>
      <c r="AG3134">
        <v>0</v>
      </c>
      <c r="AH3134" t="s">
        <v>31</v>
      </c>
      <c r="AI3134">
        <v>0</v>
      </c>
      <c r="AJ3134" t="s">
        <v>31</v>
      </c>
      <c r="AK3134">
        <v>0</v>
      </c>
      <c r="AL3134" t="s">
        <v>31</v>
      </c>
      <c r="AM3134">
        <v>0</v>
      </c>
      <c r="AN3134" t="s">
        <v>31</v>
      </c>
      <c r="AO3134">
        <v>0</v>
      </c>
      <c r="AP3134" t="s">
        <v>31</v>
      </c>
      <c r="AQ3134">
        <v>0</v>
      </c>
    </row>
    <row r="3135" spans="1:43" x14ac:dyDescent="0.2">
      <c r="A3135" t="s">
        <v>381</v>
      </c>
      <c r="B3135" s="3">
        <v>44338</v>
      </c>
      <c r="C3135">
        <v>107</v>
      </c>
      <c r="D3135" t="s">
        <v>392</v>
      </c>
      <c r="E3135" t="s">
        <v>90</v>
      </c>
      <c r="F3135" s="9" t="s">
        <v>92</v>
      </c>
      <c r="G3135" t="s">
        <v>26</v>
      </c>
      <c r="H3135" t="s">
        <v>85</v>
      </c>
      <c r="I3135" t="s">
        <v>86</v>
      </c>
      <c r="J3135" t="s">
        <v>53</v>
      </c>
      <c r="K3135" t="s">
        <v>54</v>
      </c>
      <c r="L3135" t="s">
        <v>53</v>
      </c>
      <c r="M3135" t="s">
        <v>54</v>
      </c>
      <c r="N3135" t="s">
        <v>85</v>
      </c>
      <c r="O3135" t="s">
        <v>86</v>
      </c>
      <c r="P3135" t="s">
        <v>53</v>
      </c>
      <c r="Q3135" t="s">
        <v>54</v>
      </c>
      <c r="R3135" s="1">
        <v>44338.608043981483</v>
      </c>
      <c r="S3135" s="1">
        <v>44338.619571759256</v>
      </c>
      <c r="T3135">
        <v>0</v>
      </c>
      <c r="U3135">
        <v>2</v>
      </c>
      <c r="V3135" s="2">
        <v>0</v>
      </c>
      <c r="W3135">
        <v>0</v>
      </c>
      <c r="X3135" t="s">
        <v>44</v>
      </c>
      <c r="Y3135">
        <v>0</v>
      </c>
      <c r="Z3135" t="s">
        <v>44</v>
      </c>
      <c r="AA3135">
        <v>0</v>
      </c>
      <c r="AB3135" t="s">
        <v>31</v>
      </c>
      <c r="AC3135">
        <v>0</v>
      </c>
      <c r="AD3135" t="s">
        <v>31</v>
      </c>
      <c r="AE3135">
        <v>0</v>
      </c>
      <c r="AF3135" t="s">
        <v>31</v>
      </c>
      <c r="AG3135">
        <v>0</v>
      </c>
      <c r="AH3135" t="s">
        <v>31</v>
      </c>
      <c r="AI3135">
        <v>0</v>
      </c>
      <c r="AJ3135" t="s">
        <v>31</v>
      </c>
      <c r="AK3135">
        <v>0</v>
      </c>
      <c r="AL3135" t="s">
        <v>31</v>
      </c>
      <c r="AM3135">
        <v>0</v>
      </c>
      <c r="AN3135" t="s">
        <v>31</v>
      </c>
      <c r="AO3135">
        <v>0</v>
      </c>
      <c r="AP3135" t="s">
        <v>31</v>
      </c>
      <c r="AQ3135">
        <v>0</v>
      </c>
    </row>
    <row r="3136" spans="1:43" x14ac:dyDescent="0.2">
      <c r="A3136" t="s">
        <v>381</v>
      </c>
      <c r="B3136" s="3">
        <v>44340</v>
      </c>
      <c r="C3136">
        <v>108</v>
      </c>
      <c r="D3136" t="s">
        <v>393</v>
      </c>
      <c r="E3136" t="s">
        <v>90</v>
      </c>
      <c r="F3136" s="9" t="s">
        <v>92</v>
      </c>
      <c r="G3136" t="s">
        <v>26</v>
      </c>
      <c r="H3136" t="s">
        <v>85</v>
      </c>
      <c r="I3136" t="s">
        <v>86</v>
      </c>
      <c r="J3136" t="s">
        <v>53</v>
      </c>
      <c r="K3136" t="s">
        <v>54</v>
      </c>
      <c r="L3136" t="s">
        <v>53</v>
      </c>
      <c r="M3136" t="s">
        <v>54</v>
      </c>
      <c r="N3136" t="s">
        <v>85</v>
      </c>
      <c r="O3136" t="s">
        <v>86</v>
      </c>
      <c r="P3136" t="s">
        <v>53</v>
      </c>
      <c r="Q3136" t="s">
        <v>54</v>
      </c>
      <c r="R3136" s="1">
        <v>44340.402696759258</v>
      </c>
      <c r="S3136" s="1">
        <v>44340.402708333335</v>
      </c>
      <c r="T3136">
        <v>0</v>
      </c>
      <c r="U3136">
        <v>2</v>
      </c>
      <c r="V3136" s="2">
        <v>0</v>
      </c>
      <c r="W3136">
        <v>0</v>
      </c>
      <c r="X3136" t="s">
        <v>44</v>
      </c>
      <c r="Y3136">
        <v>0</v>
      </c>
      <c r="Z3136" t="s">
        <v>44</v>
      </c>
      <c r="AA3136">
        <v>0</v>
      </c>
      <c r="AB3136" t="s">
        <v>31</v>
      </c>
      <c r="AC3136">
        <v>0</v>
      </c>
      <c r="AD3136" t="s">
        <v>31</v>
      </c>
      <c r="AE3136">
        <v>0</v>
      </c>
      <c r="AF3136" t="s">
        <v>31</v>
      </c>
      <c r="AG3136">
        <v>0</v>
      </c>
      <c r="AH3136" t="s">
        <v>31</v>
      </c>
      <c r="AI3136">
        <v>0</v>
      </c>
      <c r="AJ3136" t="s">
        <v>31</v>
      </c>
      <c r="AK3136">
        <v>0</v>
      </c>
      <c r="AL3136" t="s">
        <v>31</v>
      </c>
      <c r="AM3136">
        <v>0</v>
      </c>
      <c r="AN3136" t="s">
        <v>31</v>
      </c>
      <c r="AO3136">
        <v>0</v>
      </c>
      <c r="AP3136" t="s">
        <v>31</v>
      </c>
      <c r="AQ3136">
        <v>0</v>
      </c>
    </row>
    <row r="3137" spans="1:43" x14ac:dyDescent="0.2">
      <c r="A3137" t="s">
        <v>381</v>
      </c>
      <c r="B3137" s="3">
        <v>44341</v>
      </c>
      <c r="C3137">
        <v>111</v>
      </c>
      <c r="D3137" t="s">
        <v>385</v>
      </c>
      <c r="E3137" t="s">
        <v>90</v>
      </c>
      <c r="F3137" s="9" t="s">
        <v>92</v>
      </c>
      <c r="G3137" t="s">
        <v>26</v>
      </c>
      <c r="H3137" t="s">
        <v>85</v>
      </c>
      <c r="I3137" t="s">
        <v>86</v>
      </c>
      <c r="J3137" t="s">
        <v>53</v>
      </c>
      <c r="K3137" t="s">
        <v>54</v>
      </c>
      <c r="L3137" t="s">
        <v>53</v>
      </c>
      <c r="M3137" t="s">
        <v>54</v>
      </c>
      <c r="N3137" t="s">
        <v>85</v>
      </c>
      <c r="O3137" t="s">
        <v>86</v>
      </c>
      <c r="P3137" t="s">
        <v>53</v>
      </c>
      <c r="Q3137" t="s">
        <v>54</v>
      </c>
      <c r="R3137" s="1">
        <v>44341.556006944447</v>
      </c>
      <c r="S3137" s="1">
        <v>44341.556018518517</v>
      </c>
      <c r="T3137">
        <v>0</v>
      </c>
      <c r="U3137">
        <v>2</v>
      </c>
      <c r="V3137" s="2">
        <v>0</v>
      </c>
      <c r="W3137">
        <v>0</v>
      </c>
      <c r="X3137" t="s">
        <v>44</v>
      </c>
      <c r="Y3137">
        <v>0</v>
      </c>
      <c r="Z3137" t="s">
        <v>44</v>
      </c>
      <c r="AA3137">
        <v>0</v>
      </c>
      <c r="AB3137" t="s">
        <v>31</v>
      </c>
      <c r="AC3137">
        <v>0</v>
      </c>
      <c r="AD3137" t="s">
        <v>31</v>
      </c>
      <c r="AE3137">
        <v>0</v>
      </c>
      <c r="AF3137" t="s">
        <v>31</v>
      </c>
      <c r="AG3137">
        <v>0</v>
      </c>
      <c r="AH3137" t="s">
        <v>31</v>
      </c>
      <c r="AI3137">
        <v>0</v>
      </c>
      <c r="AJ3137" t="s">
        <v>31</v>
      </c>
      <c r="AK3137">
        <v>0</v>
      </c>
      <c r="AL3137" t="s">
        <v>31</v>
      </c>
      <c r="AM3137">
        <v>0</v>
      </c>
      <c r="AN3137" t="s">
        <v>31</v>
      </c>
      <c r="AO3137">
        <v>0</v>
      </c>
      <c r="AP3137" t="s">
        <v>31</v>
      </c>
      <c r="AQ3137">
        <v>0</v>
      </c>
    </row>
    <row r="3138" spans="1:43" x14ac:dyDescent="0.2">
      <c r="A3138" t="s">
        <v>381</v>
      </c>
      <c r="B3138" s="3">
        <v>44342</v>
      </c>
      <c r="C3138">
        <v>112</v>
      </c>
      <c r="D3138" t="s">
        <v>394</v>
      </c>
      <c r="E3138" t="s">
        <v>90</v>
      </c>
      <c r="F3138" s="9" t="s">
        <v>92</v>
      </c>
      <c r="G3138" t="s">
        <v>26</v>
      </c>
      <c r="H3138" t="s">
        <v>85</v>
      </c>
      <c r="I3138" t="s">
        <v>86</v>
      </c>
      <c r="J3138" t="s">
        <v>53</v>
      </c>
      <c r="K3138" t="s">
        <v>54</v>
      </c>
      <c r="L3138" t="s">
        <v>53</v>
      </c>
      <c r="M3138" t="s">
        <v>54</v>
      </c>
      <c r="N3138" t="s">
        <v>85</v>
      </c>
      <c r="O3138" t="s">
        <v>86</v>
      </c>
      <c r="P3138" t="s">
        <v>53</v>
      </c>
      <c r="Q3138" t="s">
        <v>54</v>
      </c>
      <c r="R3138" s="1">
        <v>44342.423622685186</v>
      </c>
      <c r="S3138" s="1">
        <v>44342.423622685186</v>
      </c>
      <c r="T3138">
        <v>0</v>
      </c>
      <c r="U3138">
        <v>1</v>
      </c>
      <c r="V3138" s="2">
        <v>0</v>
      </c>
      <c r="W3138">
        <v>0</v>
      </c>
      <c r="X3138" t="s">
        <v>44</v>
      </c>
      <c r="Y3138">
        <v>0</v>
      </c>
      <c r="Z3138" t="s">
        <v>31</v>
      </c>
      <c r="AA3138">
        <v>0</v>
      </c>
      <c r="AB3138" t="s">
        <v>31</v>
      </c>
      <c r="AC3138">
        <v>0</v>
      </c>
      <c r="AD3138" t="s">
        <v>31</v>
      </c>
      <c r="AE3138">
        <v>0</v>
      </c>
      <c r="AF3138" t="s">
        <v>31</v>
      </c>
      <c r="AG3138">
        <v>0</v>
      </c>
      <c r="AH3138" t="s">
        <v>31</v>
      </c>
      <c r="AI3138">
        <v>0</v>
      </c>
      <c r="AJ3138" t="s">
        <v>31</v>
      </c>
      <c r="AK3138">
        <v>0</v>
      </c>
      <c r="AL3138" t="s">
        <v>31</v>
      </c>
      <c r="AM3138">
        <v>0</v>
      </c>
      <c r="AN3138" t="s">
        <v>31</v>
      </c>
      <c r="AO3138">
        <v>0</v>
      </c>
      <c r="AP3138" t="s">
        <v>31</v>
      </c>
      <c r="AQ3138">
        <v>0</v>
      </c>
    </row>
    <row r="3139" spans="1:43" x14ac:dyDescent="0.2">
      <c r="A3139" t="s">
        <v>381</v>
      </c>
      <c r="B3139" s="3">
        <v>44343</v>
      </c>
      <c r="C3139">
        <v>115</v>
      </c>
      <c r="D3139" t="s">
        <v>395</v>
      </c>
      <c r="E3139" t="s">
        <v>90</v>
      </c>
      <c r="F3139" s="9" t="s">
        <v>92</v>
      </c>
      <c r="G3139" t="s">
        <v>26</v>
      </c>
      <c r="H3139" t="s">
        <v>85</v>
      </c>
      <c r="I3139" t="s">
        <v>86</v>
      </c>
      <c r="J3139" t="s">
        <v>53</v>
      </c>
      <c r="K3139" t="s">
        <v>54</v>
      </c>
      <c r="L3139" t="s">
        <v>53</v>
      </c>
      <c r="M3139" t="s">
        <v>54</v>
      </c>
      <c r="N3139" t="s">
        <v>85</v>
      </c>
      <c r="O3139" t="s">
        <v>86</v>
      </c>
      <c r="P3139" t="s">
        <v>53</v>
      </c>
      <c r="Q3139" t="s">
        <v>54</v>
      </c>
      <c r="R3139" s="1">
        <v>44343.463136574072</v>
      </c>
      <c r="S3139" s="1">
        <v>44343.463136574072</v>
      </c>
      <c r="T3139">
        <v>0</v>
      </c>
      <c r="U3139">
        <v>1</v>
      </c>
      <c r="V3139" s="2">
        <v>0</v>
      </c>
      <c r="W3139">
        <v>0</v>
      </c>
      <c r="X3139" t="s">
        <v>44</v>
      </c>
      <c r="Y3139">
        <v>0</v>
      </c>
      <c r="Z3139" t="s">
        <v>31</v>
      </c>
      <c r="AA3139">
        <v>0</v>
      </c>
      <c r="AB3139" t="s">
        <v>31</v>
      </c>
      <c r="AC3139">
        <v>0</v>
      </c>
      <c r="AD3139" t="s">
        <v>31</v>
      </c>
      <c r="AE3139">
        <v>0</v>
      </c>
      <c r="AF3139" t="s">
        <v>31</v>
      </c>
      <c r="AG3139">
        <v>0</v>
      </c>
      <c r="AH3139" t="s">
        <v>31</v>
      </c>
      <c r="AI3139">
        <v>0</v>
      </c>
      <c r="AJ3139" t="s">
        <v>31</v>
      </c>
      <c r="AK3139">
        <v>0</v>
      </c>
      <c r="AL3139" t="s">
        <v>31</v>
      </c>
      <c r="AM3139">
        <v>0</v>
      </c>
      <c r="AN3139" t="s">
        <v>31</v>
      </c>
      <c r="AO3139">
        <v>0</v>
      </c>
      <c r="AP3139" t="s">
        <v>31</v>
      </c>
      <c r="AQ3139">
        <v>0</v>
      </c>
    </row>
    <row r="3140" spans="1:43" x14ac:dyDescent="0.2">
      <c r="A3140" t="s">
        <v>381</v>
      </c>
      <c r="B3140" s="3">
        <v>44344</v>
      </c>
      <c r="C3140">
        <v>116</v>
      </c>
      <c r="D3140" t="s">
        <v>390</v>
      </c>
      <c r="E3140" t="s">
        <v>90</v>
      </c>
      <c r="F3140" s="9" t="s">
        <v>92</v>
      </c>
      <c r="G3140" t="s">
        <v>26</v>
      </c>
      <c r="H3140" t="s">
        <v>85</v>
      </c>
      <c r="I3140" t="s">
        <v>86</v>
      </c>
      <c r="J3140" t="s">
        <v>53</v>
      </c>
      <c r="K3140" t="s">
        <v>54</v>
      </c>
      <c r="L3140" t="s">
        <v>53</v>
      </c>
      <c r="M3140" t="s">
        <v>54</v>
      </c>
      <c r="N3140" t="s">
        <v>85</v>
      </c>
      <c r="O3140" t="s">
        <v>86</v>
      </c>
      <c r="P3140" t="s">
        <v>53</v>
      </c>
      <c r="Q3140" t="s">
        <v>54</v>
      </c>
      <c r="R3140" s="1">
        <v>44344.452881944446</v>
      </c>
      <c r="S3140" s="1">
        <v>44344.452881944446</v>
      </c>
      <c r="T3140">
        <v>0</v>
      </c>
      <c r="U3140">
        <v>1</v>
      </c>
      <c r="V3140" s="2">
        <v>0</v>
      </c>
      <c r="W3140">
        <v>0</v>
      </c>
      <c r="X3140" t="s">
        <v>44</v>
      </c>
      <c r="Y3140">
        <v>0</v>
      </c>
      <c r="Z3140" t="s">
        <v>31</v>
      </c>
      <c r="AA3140">
        <v>0</v>
      </c>
      <c r="AB3140" t="s">
        <v>31</v>
      </c>
      <c r="AC3140">
        <v>0</v>
      </c>
      <c r="AD3140" t="s">
        <v>31</v>
      </c>
      <c r="AE3140">
        <v>0</v>
      </c>
      <c r="AF3140" t="s">
        <v>31</v>
      </c>
      <c r="AG3140">
        <v>0</v>
      </c>
      <c r="AH3140" t="s">
        <v>31</v>
      </c>
      <c r="AI3140">
        <v>0</v>
      </c>
      <c r="AJ3140" t="s">
        <v>31</v>
      </c>
      <c r="AK3140">
        <v>0</v>
      </c>
      <c r="AL3140" t="s">
        <v>31</v>
      </c>
      <c r="AM3140">
        <v>0</v>
      </c>
      <c r="AN3140" t="s">
        <v>31</v>
      </c>
      <c r="AO3140">
        <v>0</v>
      </c>
      <c r="AP3140" t="s">
        <v>31</v>
      </c>
      <c r="AQ3140">
        <v>0</v>
      </c>
    </row>
    <row r="3141" spans="1:43" x14ac:dyDescent="0.2">
      <c r="A3141" t="s">
        <v>381</v>
      </c>
      <c r="B3141" s="3">
        <v>44344</v>
      </c>
      <c r="C3141">
        <v>117</v>
      </c>
      <c r="D3141" t="s">
        <v>409</v>
      </c>
      <c r="E3141" t="s">
        <v>90</v>
      </c>
      <c r="F3141" s="9" t="s">
        <v>92</v>
      </c>
      <c r="G3141" t="s">
        <v>26</v>
      </c>
      <c r="H3141" t="s">
        <v>85</v>
      </c>
      <c r="I3141" t="s">
        <v>86</v>
      </c>
      <c r="J3141" t="s">
        <v>53</v>
      </c>
      <c r="K3141" t="s">
        <v>54</v>
      </c>
      <c r="L3141" t="s">
        <v>53</v>
      </c>
      <c r="M3141" t="s">
        <v>54</v>
      </c>
      <c r="N3141" t="s">
        <v>85</v>
      </c>
      <c r="O3141" t="s">
        <v>86</v>
      </c>
      <c r="P3141" t="s">
        <v>53</v>
      </c>
      <c r="Q3141" t="s">
        <v>54</v>
      </c>
      <c r="R3141" s="1">
        <v>44344.600092592591</v>
      </c>
      <c r="S3141" s="1">
        <v>44344.629224537035</v>
      </c>
      <c r="T3141">
        <v>0</v>
      </c>
      <c r="U3141">
        <v>2</v>
      </c>
      <c r="V3141" s="2">
        <v>0</v>
      </c>
      <c r="W3141">
        <v>0</v>
      </c>
      <c r="X3141" t="s">
        <v>44</v>
      </c>
      <c r="Y3141">
        <v>0</v>
      </c>
      <c r="Z3141" t="s">
        <v>44</v>
      </c>
      <c r="AA3141">
        <v>0</v>
      </c>
      <c r="AB3141" t="s">
        <v>31</v>
      </c>
      <c r="AC3141">
        <v>0</v>
      </c>
      <c r="AD3141" t="s">
        <v>31</v>
      </c>
      <c r="AE3141">
        <v>0</v>
      </c>
      <c r="AF3141" t="s">
        <v>31</v>
      </c>
      <c r="AG3141">
        <v>0</v>
      </c>
      <c r="AH3141" t="s">
        <v>31</v>
      </c>
      <c r="AI3141">
        <v>0</v>
      </c>
      <c r="AJ3141" t="s">
        <v>31</v>
      </c>
      <c r="AK3141">
        <v>0</v>
      </c>
      <c r="AL3141" t="s">
        <v>31</v>
      </c>
      <c r="AM3141">
        <v>0</v>
      </c>
      <c r="AN3141" t="s">
        <v>31</v>
      </c>
      <c r="AO3141">
        <v>0</v>
      </c>
      <c r="AP3141" t="s">
        <v>31</v>
      </c>
      <c r="AQ3141">
        <v>0</v>
      </c>
    </row>
    <row r="3142" spans="1:43" x14ac:dyDescent="0.2">
      <c r="A3142" t="s">
        <v>381</v>
      </c>
      <c r="B3142" s="3">
        <v>44348</v>
      </c>
      <c r="C3142">
        <v>118</v>
      </c>
      <c r="D3142" t="s">
        <v>396</v>
      </c>
      <c r="E3142" t="s">
        <v>90</v>
      </c>
      <c r="F3142" s="9" t="s">
        <v>92</v>
      </c>
      <c r="G3142" t="s">
        <v>26</v>
      </c>
      <c r="H3142" t="s">
        <v>85</v>
      </c>
      <c r="I3142" t="s">
        <v>86</v>
      </c>
      <c r="J3142" t="s">
        <v>53</v>
      </c>
      <c r="K3142" t="s">
        <v>54</v>
      </c>
      <c r="L3142" t="s">
        <v>53</v>
      </c>
      <c r="M3142" t="s">
        <v>54</v>
      </c>
      <c r="N3142" t="s">
        <v>85</v>
      </c>
      <c r="O3142" t="s">
        <v>86</v>
      </c>
      <c r="P3142" t="s">
        <v>53</v>
      </c>
      <c r="Q3142" t="s">
        <v>54</v>
      </c>
      <c r="R3142" s="1">
        <v>44348.456087962964</v>
      </c>
      <c r="S3142" s="1">
        <v>44348.456087962964</v>
      </c>
      <c r="T3142">
        <v>0</v>
      </c>
      <c r="U3142">
        <v>1</v>
      </c>
      <c r="V3142" s="2">
        <v>0</v>
      </c>
      <c r="W3142">
        <v>0</v>
      </c>
      <c r="X3142" t="s">
        <v>44</v>
      </c>
      <c r="Y3142">
        <v>0</v>
      </c>
      <c r="Z3142" t="s">
        <v>31</v>
      </c>
      <c r="AA3142">
        <v>0</v>
      </c>
      <c r="AB3142" t="s">
        <v>31</v>
      </c>
      <c r="AC3142">
        <v>0</v>
      </c>
      <c r="AD3142" t="s">
        <v>31</v>
      </c>
      <c r="AE3142">
        <v>0</v>
      </c>
      <c r="AF3142" t="s">
        <v>31</v>
      </c>
      <c r="AG3142">
        <v>0</v>
      </c>
      <c r="AH3142" t="s">
        <v>31</v>
      </c>
      <c r="AI3142">
        <v>0</v>
      </c>
      <c r="AJ3142" t="s">
        <v>31</v>
      </c>
      <c r="AK3142">
        <v>0</v>
      </c>
      <c r="AL3142" t="s">
        <v>31</v>
      </c>
      <c r="AM3142">
        <v>0</v>
      </c>
      <c r="AN3142" t="s">
        <v>31</v>
      </c>
      <c r="AO3142">
        <v>0</v>
      </c>
      <c r="AP3142" t="s">
        <v>31</v>
      </c>
      <c r="AQ3142">
        <v>0</v>
      </c>
    </row>
    <row r="3143" spans="1:43" x14ac:dyDescent="0.2">
      <c r="A3143" t="s">
        <v>381</v>
      </c>
      <c r="B3143" s="3">
        <v>44348</v>
      </c>
      <c r="C3143">
        <v>119</v>
      </c>
      <c r="D3143" t="s">
        <v>385</v>
      </c>
      <c r="E3143" t="s">
        <v>90</v>
      </c>
      <c r="F3143" s="9" t="s">
        <v>92</v>
      </c>
      <c r="G3143" t="s">
        <v>26</v>
      </c>
      <c r="H3143" t="s">
        <v>85</v>
      </c>
      <c r="I3143" t="s">
        <v>86</v>
      </c>
      <c r="J3143" t="s">
        <v>53</v>
      </c>
      <c r="K3143" t="s">
        <v>54</v>
      </c>
      <c r="L3143" t="s">
        <v>53</v>
      </c>
      <c r="M3143" t="s">
        <v>54</v>
      </c>
      <c r="N3143" t="s">
        <v>85</v>
      </c>
      <c r="O3143" t="s">
        <v>86</v>
      </c>
      <c r="P3143" t="s">
        <v>53</v>
      </c>
      <c r="Q3143" t="s">
        <v>54</v>
      </c>
      <c r="R3143" s="1">
        <v>44348.636238425926</v>
      </c>
      <c r="S3143" s="1">
        <v>44348.636238425926</v>
      </c>
      <c r="T3143">
        <v>0</v>
      </c>
      <c r="U3143">
        <v>2</v>
      </c>
      <c r="V3143" s="2">
        <v>0</v>
      </c>
      <c r="W3143">
        <v>0</v>
      </c>
      <c r="X3143" t="s">
        <v>44</v>
      </c>
      <c r="Y3143">
        <v>0</v>
      </c>
      <c r="Z3143" t="s">
        <v>44</v>
      </c>
      <c r="AA3143">
        <v>0</v>
      </c>
      <c r="AB3143" t="s">
        <v>31</v>
      </c>
      <c r="AC3143">
        <v>0</v>
      </c>
      <c r="AD3143" t="s">
        <v>31</v>
      </c>
      <c r="AE3143">
        <v>0</v>
      </c>
      <c r="AF3143" t="s">
        <v>31</v>
      </c>
      <c r="AG3143">
        <v>0</v>
      </c>
      <c r="AH3143" t="s">
        <v>31</v>
      </c>
      <c r="AI3143">
        <v>0</v>
      </c>
      <c r="AJ3143" t="s">
        <v>31</v>
      </c>
      <c r="AK3143">
        <v>0</v>
      </c>
      <c r="AL3143" t="s">
        <v>31</v>
      </c>
      <c r="AM3143">
        <v>0</v>
      </c>
      <c r="AN3143" t="s">
        <v>31</v>
      </c>
      <c r="AO3143">
        <v>0</v>
      </c>
      <c r="AP3143" t="s">
        <v>31</v>
      </c>
      <c r="AQ3143">
        <v>0</v>
      </c>
    </row>
    <row r="3144" spans="1:43" x14ac:dyDescent="0.2">
      <c r="A3144" t="s">
        <v>381</v>
      </c>
      <c r="B3144" s="3">
        <v>44349</v>
      </c>
      <c r="C3144">
        <v>121</v>
      </c>
      <c r="D3144" t="s">
        <v>385</v>
      </c>
      <c r="E3144" t="s">
        <v>90</v>
      </c>
      <c r="F3144" s="9" t="s">
        <v>92</v>
      </c>
      <c r="G3144" t="s">
        <v>26</v>
      </c>
      <c r="H3144" t="s">
        <v>85</v>
      </c>
      <c r="I3144" t="s">
        <v>86</v>
      </c>
      <c r="J3144" t="s">
        <v>53</v>
      </c>
      <c r="K3144" t="s">
        <v>54</v>
      </c>
      <c r="L3144" t="s">
        <v>53</v>
      </c>
      <c r="M3144" t="s">
        <v>54</v>
      </c>
      <c r="N3144" t="s">
        <v>85</v>
      </c>
      <c r="O3144" t="s">
        <v>86</v>
      </c>
      <c r="P3144" t="s">
        <v>53</v>
      </c>
      <c r="Q3144" t="s">
        <v>54</v>
      </c>
      <c r="R3144" s="1">
        <v>44349.572870370372</v>
      </c>
      <c r="S3144" s="1">
        <v>44349.620613425926</v>
      </c>
      <c r="T3144">
        <v>0</v>
      </c>
      <c r="U3144">
        <v>5</v>
      </c>
      <c r="V3144" s="2">
        <v>0</v>
      </c>
      <c r="W3144">
        <v>0</v>
      </c>
      <c r="X3144" t="s">
        <v>44</v>
      </c>
      <c r="Y3144">
        <v>0</v>
      </c>
      <c r="Z3144" t="s">
        <v>44</v>
      </c>
      <c r="AA3144">
        <v>0</v>
      </c>
      <c r="AB3144" t="s">
        <v>44</v>
      </c>
      <c r="AC3144">
        <v>0</v>
      </c>
      <c r="AD3144" t="s">
        <v>44</v>
      </c>
      <c r="AE3144">
        <v>0</v>
      </c>
      <c r="AF3144" t="s">
        <v>44</v>
      </c>
      <c r="AG3144">
        <v>0</v>
      </c>
      <c r="AH3144" t="s">
        <v>31</v>
      </c>
      <c r="AI3144">
        <v>0</v>
      </c>
      <c r="AJ3144" t="s">
        <v>31</v>
      </c>
      <c r="AK3144">
        <v>0</v>
      </c>
      <c r="AL3144" t="s">
        <v>31</v>
      </c>
      <c r="AM3144">
        <v>0</v>
      </c>
      <c r="AN3144" t="s">
        <v>31</v>
      </c>
      <c r="AO3144">
        <v>0</v>
      </c>
      <c r="AP3144" t="s">
        <v>31</v>
      </c>
      <c r="AQ3144">
        <v>0</v>
      </c>
    </row>
    <row r="3145" spans="1:43" x14ac:dyDescent="0.2">
      <c r="A3145" t="s">
        <v>381</v>
      </c>
      <c r="B3145" s="3">
        <v>44350</v>
      </c>
      <c r="C3145">
        <v>123</v>
      </c>
      <c r="D3145" t="s">
        <v>382</v>
      </c>
      <c r="E3145" t="s">
        <v>90</v>
      </c>
      <c r="F3145" s="9" t="s">
        <v>92</v>
      </c>
      <c r="G3145" t="s">
        <v>26</v>
      </c>
      <c r="H3145" t="s">
        <v>85</v>
      </c>
      <c r="I3145" t="s">
        <v>86</v>
      </c>
      <c r="J3145" t="s">
        <v>53</v>
      </c>
      <c r="K3145" t="s">
        <v>54</v>
      </c>
      <c r="L3145" t="s">
        <v>53</v>
      </c>
      <c r="M3145" t="s">
        <v>54</v>
      </c>
      <c r="N3145" t="s">
        <v>85</v>
      </c>
      <c r="O3145" t="s">
        <v>86</v>
      </c>
      <c r="P3145" t="s">
        <v>53</v>
      </c>
      <c r="Q3145" t="s">
        <v>54</v>
      </c>
      <c r="R3145" s="1">
        <v>44350.362407407411</v>
      </c>
      <c r="S3145" s="1">
        <v>44350.408032407409</v>
      </c>
      <c r="T3145">
        <v>0</v>
      </c>
      <c r="U3145">
        <v>2</v>
      </c>
      <c r="V3145" s="2">
        <v>0</v>
      </c>
      <c r="W3145">
        <v>0</v>
      </c>
      <c r="X3145" t="s">
        <v>44</v>
      </c>
      <c r="Y3145">
        <v>0</v>
      </c>
      <c r="Z3145" t="s">
        <v>44</v>
      </c>
      <c r="AA3145">
        <v>0</v>
      </c>
      <c r="AB3145" t="s">
        <v>31</v>
      </c>
      <c r="AC3145">
        <v>0</v>
      </c>
      <c r="AD3145" t="s">
        <v>31</v>
      </c>
      <c r="AE3145">
        <v>0</v>
      </c>
      <c r="AF3145" t="s">
        <v>31</v>
      </c>
      <c r="AG3145">
        <v>0</v>
      </c>
      <c r="AH3145" t="s">
        <v>31</v>
      </c>
      <c r="AI3145">
        <v>0</v>
      </c>
      <c r="AJ3145" t="s">
        <v>31</v>
      </c>
      <c r="AK3145">
        <v>0</v>
      </c>
      <c r="AL3145" t="s">
        <v>31</v>
      </c>
      <c r="AM3145">
        <v>0</v>
      </c>
      <c r="AN3145" t="s">
        <v>31</v>
      </c>
      <c r="AO3145">
        <v>0</v>
      </c>
      <c r="AP3145" t="s">
        <v>31</v>
      </c>
      <c r="AQ3145">
        <v>0</v>
      </c>
    </row>
    <row r="3146" spans="1:43" x14ac:dyDescent="0.2">
      <c r="A3146" t="s">
        <v>381</v>
      </c>
      <c r="B3146" s="3">
        <v>44351</v>
      </c>
      <c r="C3146">
        <v>124</v>
      </c>
      <c r="D3146" t="s">
        <v>390</v>
      </c>
      <c r="E3146" t="s">
        <v>90</v>
      </c>
      <c r="F3146" s="9" t="s">
        <v>92</v>
      </c>
      <c r="G3146" t="s">
        <v>26</v>
      </c>
      <c r="H3146" t="s">
        <v>85</v>
      </c>
      <c r="I3146" t="s">
        <v>86</v>
      </c>
      <c r="J3146" t="s">
        <v>53</v>
      </c>
      <c r="K3146" t="s">
        <v>54</v>
      </c>
      <c r="L3146" t="s">
        <v>53</v>
      </c>
      <c r="M3146" t="s">
        <v>54</v>
      </c>
      <c r="N3146" t="s">
        <v>85</v>
      </c>
      <c r="O3146" t="s">
        <v>86</v>
      </c>
      <c r="P3146" t="s">
        <v>53</v>
      </c>
      <c r="Q3146" t="s">
        <v>54</v>
      </c>
      <c r="R3146" s="1">
        <v>44351.466620370367</v>
      </c>
      <c r="S3146" s="1">
        <v>44351.466620370367</v>
      </c>
      <c r="T3146">
        <v>0</v>
      </c>
      <c r="U3146">
        <v>1</v>
      </c>
      <c r="V3146" s="2">
        <v>0</v>
      </c>
      <c r="W3146">
        <v>0</v>
      </c>
      <c r="X3146" t="s">
        <v>44</v>
      </c>
      <c r="Y3146">
        <v>0</v>
      </c>
      <c r="Z3146" t="s">
        <v>31</v>
      </c>
      <c r="AA3146">
        <v>0</v>
      </c>
      <c r="AB3146" t="s">
        <v>31</v>
      </c>
      <c r="AC3146">
        <v>0</v>
      </c>
      <c r="AD3146" t="s">
        <v>31</v>
      </c>
      <c r="AE3146">
        <v>0</v>
      </c>
      <c r="AF3146" t="s">
        <v>31</v>
      </c>
      <c r="AG3146">
        <v>0</v>
      </c>
      <c r="AH3146" t="s">
        <v>31</v>
      </c>
      <c r="AI3146">
        <v>0</v>
      </c>
      <c r="AJ3146" t="s">
        <v>31</v>
      </c>
      <c r="AK3146">
        <v>0</v>
      </c>
      <c r="AL3146" t="s">
        <v>31</v>
      </c>
      <c r="AM3146">
        <v>0</v>
      </c>
      <c r="AN3146" t="s">
        <v>31</v>
      </c>
      <c r="AO3146">
        <v>0</v>
      </c>
      <c r="AP3146" t="s">
        <v>31</v>
      </c>
      <c r="AQ3146">
        <v>0</v>
      </c>
    </row>
    <row r="3147" spans="1:43" x14ac:dyDescent="0.2">
      <c r="A3147" t="s">
        <v>381</v>
      </c>
      <c r="B3147" s="3">
        <v>44351</v>
      </c>
      <c r="C3147">
        <v>125</v>
      </c>
      <c r="D3147" t="s">
        <v>387</v>
      </c>
      <c r="E3147" t="s">
        <v>90</v>
      </c>
      <c r="F3147" s="9" t="s">
        <v>92</v>
      </c>
      <c r="G3147" t="s">
        <v>26</v>
      </c>
      <c r="H3147" t="s">
        <v>85</v>
      </c>
      <c r="I3147" t="s">
        <v>86</v>
      </c>
      <c r="J3147" t="s">
        <v>53</v>
      </c>
      <c r="K3147" t="s">
        <v>54</v>
      </c>
      <c r="L3147" t="s">
        <v>53</v>
      </c>
      <c r="M3147" t="s">
        <v>54</v>
      </c>
      <c r="N3147" t="s">
        <v>85</v>
      </c>
      <c r="O3147" t="s">
        <v>86</v>
      </c>
      <c r="P3147" t="s">
        <v>53</v>
      </c>
      <c r="Q3147" t="s">
        <v>54</v>
      </c>
      <c r="R3147" s="1">
        <v>44351.555312500001</v>
      </c>
      <c r="S3147" s="1">
        <v>44351.555312500001</v>
      </c>
      <c r="T3147">
        <v>0</v>
      </c>
      <c r="U3147">
        <v>1</v>
      </c>
      <c r="V3147" s="2">
        <v>0</v>
      </c>
      <c r="W3147">
        <v>0</v>
      </c>
      <c r="X3147" t="s">
        <v>44</v>
      </c>
      <c r="Y3147">
        <v>0</v>
      </c>
      <c r="Z3147" t="s">
        <v>31</v>
      </c>
      <c r="AA3147">
        <v>0</v>
      </c>
      <c r="AB3147" t="s">
        <v>31</v>
      </c>
      <c r="AC3147">
        <v>0</v>
      </c>
      <c r="AD3147" t="s">
        <v>31</v>
      </c>
      <c r="AE3147">
        <v>0</v>
      </c>
      <c r="AF3147" t="s">
        <v>31</v>
      </c>
      <c r="AG3147">
        <v>0</v>
      </c>
      <c r="AH3147" t="s">
        <v>31</v>
      </c>
      <c r="AI3147">
        <v>0</v>
      </c>
      <c r="AJ3147" t="s">
        <v>31</v>
      </c>
      <c r="AK3147">
        <v>0</v>
      </c>
      <c r="AL3147" t="s">
        <v>31</v>
      </c>
      <c r="AM3147">
        <v>0</v>
      </c>
      <c r="AN3147" t="s">
        <v>31</v>
      </c>
      <c r="AO3147">
        <v>0</v>
      </c>
      <c r="AP3147" t="s">
        <v>31</v>
      </c>
      <c r="AQ3147">
        <v>0</v>
      </c>
    </row>
    <row r="3148" spans="1:43" x14ac:dyDescent="0.2">
      <c r="A3148" t="s">
        <v>381</v>
      </c>
      <c r="B3148" s="3">
        <v>44354</v>
      </c>
      <c r="C3148">
        <v>127</v>
      </c>
      <c r="D3148" t="s">
        <v>383</v>
      </c>
      <c r="E3148" t="s">
        <v>90</v>
      </c>
      <c r="F3148" s="9" t="s">
        <v>92</v>
      </c>
      <c r="G3148" t="s">
        <v>26</v>
      </c>
      <c r="H3148" t="s">
        <v>85</v>
      </c>
      <c r="I3148" t="s">
        <v>86</v>
      </c>
      <c r="J3148" t="s">
        <v>53</v>
      </c>
      <c r="K3148" t="s">
        <v>54</v>
      </c>
      <c r="L3148" t="s">
        <v>53</v>
      </c>
      <c r="M3148" t="s">
        <v>54</v>
      </c>
      <c r="N3148" t="s">
        <v>85</v>
      </c>
      <c r="O3148" t="s">
        <v>86</v>
      </c>
      <c r="P3148" t="s">
        <v>53</v>
      </c>
      <c r="Q3148" t="s">
        <v>54</v>
      </c>
      <c r="R3148" s="1">
        <v>44354.620462962965</v>
      </c>
      <c r="S3148" s="1">
        <v>44354.620462962965</v>
      </c>
      <c r="T3148">
        <v>0</v>
      </c>
      <c r="U3148">
        <v>1</v>
      </c>
      <c r="V3148" s="2">
        <v>0</v>
      </c>
      <c r="W3148">
        <v>0</v>
      </c>
      <c r="X3148" t="s">
        <v>44</v>
      </c>
      <c r="Y3148">
        <v>0</v>
      </c>
      <c r="Z3148" t="s">
        <v>31</v>
      </c>
      <c r="AA3148">
        <v>0</v>
      </c>
      <c r="AB3148" t="s">
        <v>31</v>
      </c>
      <c r="AC3148">
        <v>0</v>
      </c>
      <c r="AD3148" t="s">
        <v>31</v>
      </c>
      <c r="AE3148">
        <v>0</v>
      </c>
      <c r="AF3148" t="s">
        <v>31</v>
      </c>
      <c r="AG3148">
        <v>0</v>
      </c>
      <c r="AH3148" t="s">
        <v>31</v>
      </c>
      <c r="AI3148">
        <v>0</v>
      </c>
      <c r="AJ3148" t="s">
        <v>31</v>
      </c>
      <c r="AK3148">
        <v>0</v>
      </c>
      <c r="AL3148" t="s">
        <v>31</v>
      </c>
      <c r="AM3148">
        <v>0</v>
      </c>
      <c r="AN3148" t="s">
        <v>31</v>
      </c>
      <c r="AO3148">
        <v>0</v>
      </c>
      <c r="AP3148" t="s">
        <v>31</v>
      </c>
      <c r="AQ3148">
        <v>0</v>
      </c>
    </row>
    <row r="3149" spans="1:43" x14ac:dyDescent="0.2">
      <c r="A3149" t="s">
        <v>381</v>
      </c>
      <c r="B3149" s="3">
        <v>44355</v>
      </c>
      <c r="C3149">
        <v>128</v>
      </c>
      <c r="D3149" t="s">
        <v>406</v>
      </c>
      <c r="E3149" t="s">
        <v>90</v>
      </c>
      <c r="F3149" s="9" t="s">
        <v>92</v>
      </c>
      <c r="G3149" t="s">
        <v>26</v>
      </c>
      <c r="H3149" t="s">
        <v>85</v>
      </c>
      <c r="I3149" t="s">
        <v>86</v>
      </c>
      <c r="J3149" t="s">
        <v>53</v>
      </c>
      <c r="K3149" t="s">
        <v>54</v>
      </c>
      <c r="L3149" t="s">
        <v>53</v>
      </c>
      <c r="M3149" t="s">
        <v>54</v>
      </c>
      <c r="N3149" t="s">
        <v>85</v>
      </c>
      <c r="O3149" t="s">
        <v>86</v>
      </c>
      <c r="P3149" t="s">
        <v>53</v>
      </c>
      <c r="Q3149" t="s">
        <v>54</v>
      </c>
      <c r="R3149" s="1">
        <v>44355.428749999999</v>
      </c>
      <c r="S3149" s="1">
        <v>44355.428749999999</v>
      </c>
      <c r="T3149">
        <v>0</v>
      </c>
      <c r="U3149">
        <v>1</v>
      </c>
      <c r="V3149" s="2">
        <v>0</v>
      </c>
      <c r="W3149">
        <v>0</v>
      </c>
      <c r="X3149" t="s">
        <v>44</v>
      </c>
      <c r="Y3149">
        <v>0</v>
      </c>
      <c r="Z3149" t="s">
        <v>31</v>
      </c>
      <c r="AA3149">
        <v>0</v>
      </c>
      <c r="AB3149" t="s">
        <v>31</v>
      </c>
      <c r="AC3149">
        <v>0</v>
      </c>
      <c r="AD3149" t="s">
        <v>31</v>
      </c>
      <c r="AE3149">
        <v>0</v>
      </c>
      <c r="AF3149" t="s">
        <v>31</v>
      </c>
      <c r="AG3149">
        <v>0</v>
      </c>
      <c r="AH3149" t="s">
        <v>31</v>
      </c>
      <c r="AI3149">
        <v>0</v>
      </c>
      <c r="AJ3149" t="s">
        <v>31</v>
      </c>
      <c r="AK3149">
        <v>0</v>
      </c>
      <c r="AL3149" t="s">
        <v>31</v>
      </c>
      <c r="AM3149">
        <v>0</v>
      </c>
      <c r="AN3149" t="s">
        <v>31</v>
      </c>
      <c r="AO3149">
        <v>0</v>
      </c>
      <c r="AP3149" t="s">
        <v>31</v>
      </c>
      <c r="AQ3149">
        <v>0</v>
      </c>
    </row>
    <row r="3150" spans="1:43" x14ac:dyDescent="0.2">
      <c r="A3150" t="s">
        <v>381</v>
      </c>
      <c r="B3150" s="3">
        <v>44355</v>
      </c>
      <c r="C3150">
        <v>129</v>
      </c>
      <c r="D3150" t="s">
        <v>385</v>
      </c>
      <c r="E3150" t="s">
        <v>90</v>
      </c>
      <c r="F3150" s="9" t="s">
        <v>92</v>
      </c>
      <c r="G3150" t="s">
        <v>26</v>
      </c>
      <c r="H3150" t="s">
        <v>85</v>
      </c>
      <c r="I3150" t="s">
        <v>86</v>
      </c>
      <c r="J3150" t="s">
        <v>53</v>
      </c>
      <c r="K3150" t="s">
        <v>54</v>
      </c>
      <c r="L3150" t="s">
        <v>53</v>
      </c>
      <c r="M3150" t="s">
        <v>54</v>
      </c>
      <c r="N3150" t="s">
        <v>85</v>
      </c>
      <c r="O3150" t="s">
        <v>86</v>
      </c>
      <c r="P3150" t="s">
        <v>53</v>
      </c>
      <c r="Q3150" t="s">
        <v>54</v>
      </c>
      <c r="R3150" s="1">
        <v>44355.545104166667</v>
      </c>
      <c r="S3150" s="1">
        <v>44355.659930555557</v>
      </c>
      <c r="T3150">
        <v>0</v>
      </c>
      <c r="U3150">
        <v>3</v>
      </c>
      <c r="V3150" s="2">
        <v>0</v>
      </c>
      <c r="W3150">
        <v>0</v>
      </c>
      <c r="X3150" t="s">
        <v>44</v>
      </c>
      <c r="Y3150">
        <v>0</v>
      </c>
      <c r="Z3150" t="s">
        <v>44</v>
      </c>
      <c r="AA3150">
        <v>0</v>
      </c>
      <c r="AB3150" t="s">
        <v>44</v>
      </c>
      <c r="AC3150">
        <v>0</v>
      </c>
      <c r="AD3150" t="s">
        <v>31</v>
      </c>
      <c r="AE3150">
        <v>0</v>
      </c>
      <c r="AF3150" t="s">
        <v>31</v>
      </c>
      <c r="AG3150">
        <v>0</v>
      </c>
      <c r="AH3150" t="s">
        <v>31</v>
      </c>
      <c r="AI3150">
        <v>0</v>
      </c>
      <c r="AJ3150" t="s">
        <v>31</v>
      </c>
      <c r="AK3150">
        <v>0</v>
      </c>
      <c r="AL3150" t="s">
        <v>31</v>
      </c>
      <c r="AM3150">
        <v>0</v>
      </c>
      <c r="AN3150" t="s">
        <v>31</v>
      </c>
      <c r="AO3150">
        <v>0</v>
      </c>
      <c r="AP3150" t="s">
        <v>31</v>
      </c>
      <c r="AQ3150">
        <v>0</v>
      </c>
    </row>
    <row r="3151" spans="1:43" x14ac:dyDescent="0.2">
      <c r="A3151" t="s">
        <v>381</v>
      </c>
      <c r="B3151" s="3">
        <v>44356</v>
      </c>
      <c r="C3151">
        <v>130</v>
      </c>
      <c r="D3151" t="s">
        <v>398</v>
      </c>
      <c r="E3151" t="s">
        <v>90</v>
      </c>
      <c r="F3151" s="9" t="s">
        <v>92</v>
      </c>
      <c r="G3151" t="s">
        <v>26</v>
      </c>
      <c r="H3151" t="s">
        <v>85</v>
      </c>
      <c r="I3151" t="s">
        <v>86</v>
      </c>
      <c r="J3151" t="s">
        <v>53</v>
      </c>
      <c r="K3151" t="s">
        <v>54</v>
      </c>
      <c r="L3151" t="s">
        <v>53</v>
      </c>
      <c r="M3151" t="s">
        <v>54</v>
      </c>
      <c r="N3151" t="s">
        <v>85</v>
      </c>
      <c r="O3151" t="s">
        <v>86</v>
      </c>
      <c r="P3151" t="s">
        <v>53</v>
      </c>
      <c r="Q3151" t="s">
        <v>54</v>
      </c>
      <c r="R3151" s="1">
        <v>44356.414340277777</v>
      </c>
      <c r="S3151" s="1">
        <v>44356.414340277777</v>
      </c>
      <c r="T3151">
        <v>0</v>
      </c>
      <c r="U3151">
        <v>1</v>
      </c>
      <c r="V3151" s="2">
        <v>0</v>
      </c>
      <c r="W3151">
        <v>0</v>
      </c>
      <c r="X3151" t="s">
        <v>44</v>
      </c>
      <c r="Y3151">
        <v>0</v>
      </c>
      <c r="Z3151" t="s">
        <v>31</v>
      </c>
      <c r="AA3151">
        <v>0</v>
      </c>
      <c r="AB3151" t="s">
        <v>31</v>
      </c>
      <c r="AC3151">
        <v>0</v>
      </c>
      <c r="AD3151" t="s">
        <v>31</v>
      </c>
      <c r="AE3151">
        <v>0</v>
      </c>
      <c r="AF3151" t="s">
        <v>31</v>
      </c>
      <c r="AG3151">
        <v>0</v>
      </c>
      <c r="AH3151" t="s">
        <v>31</v>
      </c>
      <c r="AI3151">
        <v>0</v>
      </c>
      <c r="AJ3151" t="s">
        <v>31</v>
      </c>
      <c r="AK3151">
        <v>0</v>
      </c>
      <c r="AL3151" t="s">
        <v>31</v>
      </c>
      <c r="AM3151">
        <v>0</v>
      </c>
      <c r="AN3151" t="s">
        <v>31</v>
      </c>
      <c r="AO3151">
        <v>0</v>
      </c>
      <c r="AP3151" t="s">
        <v>31</v>
      </c>
      <c r="AQ3151">
        <v>0</v>
      </c>
    </row>
    <row r="3152" spans="1:43" x14ac:dyDescent="0.2">
      <c r="A3152" t="s">
        <v>381</v>
      </c>
      <c r="B3152" s="3">
        <v>44356</v>
      </c>
      <c r="C3152">
        <v>131</v>
      </c>
      <c r="D3152" t="s">
        <v>383</v>
      </c>
      <c r="E3152" t="s">
        <v>90</v>
      </c>
      <c r="F3152" s="9" t="s">
        <v>92</v>
      </c>
      <c r="G3152" t="s">
        <v>26</v>
      </c>
      <c r="H3152" t="s">
        <v>85</v>
      </c>
      <c r="I3152" t="s">
        <v>86</v>
      </c>
      <c r="J3152" t="s">
        <v>53</v>
      </c>
      <c r="K3152" t="s">
        <v>54</v>
      </c>
      <c r="L3152" t="s">
        <v>53</v>
      </c>
      <c r="M3152" t="s">
        <v>54</v>
      </c>
      <c r="N3152" t="s">
        <v>85</v>
      </c>
      <c r="O3152" t="s">
        <v>86</v>
      </c>
      <c r="P3152" t="s">
        <v>53</v>
      </c>
      <c r="Q3152" t="s">
        <v>54</v>
      </c>
      <c r="R3152" s="1">
        <v>44356.630868055552</v>
      </c>
      <c r="S3152" s="1">
        <v>44356.630868055552</v>
      </c>
      <c r="T3152">
        <v>0</v>
      </c>
      <c r="U3152">
        <v>1</v>
      </c>
      <c r="V3152" s="2">
        <v>0</v>
      </c>
      <c r="W3152">
        <v>0</v>
      </c>
      <c r="X3152" t="s">
        <v>44</v>
      </c>
      <c r="Y3152">
        <v>0</v>
      </c>
      <c r="Z3152" t="s">
        <v>31</v>
      </c>
      <c r="AA3152">
        <v>0</v>
      </c>
      <c r="AB3152" t="s">
        <v>31</v>
      </c>
      <c r="AC3152">
        <v>0</v>
      </c>
      <c r="AD3152" t="s">
        <v>31</v>
      </c>
      <c r="AE3152">
        <v>0</v>
      </c>
      <c r="AF3152" t="s">
        <v>31</v>
      </c>
      <c r="AG3152">
        <v>0</v>
      </c>
      <c r="AH3152" t="s">
        <v>31</v>
      </c>
      <c r="AI3152">
        <v>0</v>
      </c>
      <c r="AJ3152" t="s">
        <v>31</v>
      </c>
      <c r="AK3152">
        <v>0</v>
      </c>
      <c r="AL3152" t="s">
        <v>31</v>
      </c>
      <c r="AM3152">
        <v>0</v>
      </c>
      <c r="AN3152" t="s">
        <v>31</v>
      </c>
      <c r="AO3152">
        <v>0</v>
      </c>
      <c r="AP3152" t="s">
        <v>31</v>
      </c>
      <c r="AQ3152">
        <v>0</v>
      </c>
    </row>
    <row r="3153" spans="1:43" x14ac:dyDescent="0.2">
      <c r="A3153" t="s">
        <v>381</v>
      </c>
      <c r="B3153" s="3">
        <v>44357</v>
      </c>
      <c r="C3153">
        <v>132</v>
      </c>
      <c r="D3153" t="s">
        <v>399</v>
      </c>
      <c r="E3153" t="s">
        <v>90</v>
      </c>
      <c r="F3153" s="9" t="s">
        <v>92</v>
      </c>
      <c r="G3153" t="s">
        <v>26</v>
      </c>
      <c r="H3153" t="s">
        <v>85</v>
      </c>
      <c r="I3153" t="s">
        <v>86</v>
      </c>
      <c r="J3153" t="s">
        <v>53</v>
      </c>
      <c r="K3153" t="s">
        <v>54</v>
      </c>
      <c r="L3153" t="s">
        <v>53</v>
      </c>
      <c r="M3153" t="s">
        <v>54</v>
      </c>
      <c r="N3153" t="s">
        <v>85</v>
      </c>
      <c r="O3153" t="s">
        <v>86</v>
      </c>
      <c r="P3153" t="s">
        <v>53</v>
      </c>
      <c r="Q3153" t="s">
        <v>54</v>
      </c>
      <c r="R3153" s="1">
        <v>44357.359618055554</v>
      </c>
      <c r="S3153" s="1">
        <v>44357.359618055554</v>
      </c>
      <c r="T3153">
        <v>0</v>
      </c>
      <c r="U3153">
        <v>1</v>
      </c>
      <c r="V3153" s="2">
        <v>0</v>
      </c>
      <c r="W3153">
        <v>0</v>
      </c>
      <c r="X3153" t="s">
        <v>44</v>
      </c>
      <c r="Y3153">
        <v>0</v>
      </c>
      <c r="Z3153" t="s">
        <v>31</v>
      </c>
      <c r="AA3153">
        <v>0</v>
      </c>
      <c r="AB3153" t="s">
        <v>31</v>
      </c>
      <c r="AC3153">
        <v>0</v>
      </c>
      <c r="AD3153" t="s">
        <v>31</v>
      </c>
      <c r="AE3153">
        <v>0</v>
      </c>
      <c r="AF3153" t="s">
        <v>31</v>
      </c>
      <c r="AG3153">
        <v>0</v>
      </c>
      <c r="AH3153" t="s">
        <v>31</v>
      </c>
      <c r="AI3153">
        <v>0</v>
      </c>
      <c r="AJ3153" t="s">
        <v>31</v>
      </c>
      <c r="AK3153">
        <v>0</v>
      </c>
      <c r="AL3153" t="s">
        <v>31</v>
      </c>
      <c r="AM3153">
        <v>0</v>
      </c>
      <c r="AN3153" t="s">
        <v>31</v>
      </c>
      <c r="AO3153">
        <v>0</v>
      </c>
      <c r="AP3153" t="s">
        <v>31</v>
      </c>
      <c r="AQ3153">
        <v>0</v>
      </c>
    </row>
    <row r="3154" spans="1:43" x14ac:dyDescent="0.2">
      <c r="A3154" t="s">
        <v>381</v>
      </c>
      <c r="B3154" s="3">
        <v>44358</v>
      </c>
      <c r="C3154">
        <v>133</v>
      </c>
      <c r="D3154" t="s">
        <v>390</v>
      </c>
      <c r="E3154" t="s">
        <v>90</v>
      </c>
      <c r="F3154" s="9" t="s">
        <v>92</v>
      </c>
      <c r="G3154" t="s">
        <v>26</v>
      </c>
      <c r="H3154" t="s">
        <v>85</v>
      </c>
      <c r="I3154" t="s">
        <v>86</v>
      </c>
      <c r="J3154" t="s">
        <v>53</v>
      </c>
      <c r="K3154" t="s">
        <v>54</v>
      </c>
      <c r="L3154" t="s">
        <v>53</v>
      </c>
      <c r="M3154" t="s">
        <v>54</v>
      </c>
      <c r="N3154" t="s">
        <v>85</v>
      </c>
      <c r="O3154" t="s">
        <v>86</v>
      </c>
      <c r="P3154" t="s">
        <v>53</v>
      </c>
      <c r="Q3154" t="s">
        <v>54</v>
      </c>
      <c r="R3154" s="1">
        <v>44358.466793981483</v>
      </c>
      <c r="S3154" s="1">
        <v>44358.466793981483</v>
      </c>
      <c r="T3154">
        <v>0</v>
      </c>
      <c r="U3154">
        <v>1</v>
      </c>
      <c r="V3154" s="2">
        <v>0</v>
      </c>
      <c r="W3154">
        <v>0</v>
      </c>
      <c r="X3154" t="s">
        <v>44</v>
      </c>
      <c r="Y3154">
        <v>0</v>
      </c>
      <c r="Z3154" t="s">
        <v>31</v>
      </c>
      <c r="AA3154">
        <v>0</v>
      </c>
      <c r="AB3154" t="s">
        <v>31</v>
      </c>
      <c r="AC3154">
        <v>0</v>
      </c>
      <c r="AD3154" t="s">
        <v>31</v>
      </c>
      <c r="AE3154">
        <v>0</v>
      </c>
      <c r="AF3154" t="s">
        <v>31</v>
      </c>
      <c r="AG3154">
        <v>0</v>
      </c>
      <c r="AH3154" t="s">
        <v>31</v>
      </c>
      <c r="AI3154">
        <v>0</v>
      </c>
      <c r="AJ3154" t="s">
        <v>31</v>
      </c>
      <c r="AK3154">
        <v>0</v>
      </c>
      <c r="AL3154" t="s">
        <v>31</v>
      </c>
      <c r="AM3154">
        <v>0</v>
      </c>
      <c r="AN3154" t="s">
        <v>31</v>
      </c>
      <c r="AO3154">
        <v>0</v>
      </c>
      <c r="AP3154" t="s">
        <v>31</v>
      </c>
      <c r="AQ3154">
        <v>0</v>
      </c>
    </row>
    <row r="3155" spans="1:43" x14ac:dyDescent="0.2">
      <c r="A3155" t="s">
        <v>381</v>
      </c>
      <c r="B3155" s="3">
        <v>44364</v>
      </c>
      <c r="C3155">
        <v>138</v>
      </c>
      <c r="D3155" t="s">
        <v>399</v>
      </c>
      <c r="E3155" t="s">
        <v>90</v>
      </c>
      <c r="F3155" s="9" t="s">
        <v>92</v>
      </c>
      <c r="G3155" t="s">
        <v>26</v>
      </c>
      <c r="H3155" t="s">
        <v>85</v>
      </c>
      <c r="I3155" t="s">
        <v>86</v>
      </c>
      <c r="J3155" t="s">
        <v>53</v>
      </c>
      <c r="K3155" t="s">
        <v>54</v>
      </c>
      <c r="L3155" t="s">
        <v>53</v>
      </c>
      <c r="M3155" t="s">
        <v>54</v>
      </c>
      <c r="N3155" t="s">
        <v>85</v>
      </c>
      <c r="O3155" t="s">
        <v>86</v>
      </c>
      <c r="P3155" t="s">
        <v>53</v>
      </c>
      <c r="Q3155" t="s">
        <v>54</v>
      </c>
      <c r="R3155" s="1">
        <v>44364.351504629631</v>
      </c>
      <c r="S3155" s="1">
        <v>44364.407256944447</v>
      </c>
      <c r="T3155">
        <v>0</v>
      </c>
      <c r="U3155">
        <v>2</v>
      </c>
      <c r="V3155" s="2">
        <v>0</v>
      </c>
      <c r="W3155">
        <v>0</v>
      </c>
      <c r="X3155" t="s">
        <v>44</v>
      </c>
      <c r="Y3155">
        <v>0</v>
      </c>
      <c r="Z3155" t="s">
        <v>44</v>
      </c>
      <c r="AA3155">
        <v>0</v>
      </c>
      <c r="AB3155" t="s">
        <v>31</v>
      </c>
      <c r="AC3155">
        <v>0</v>
      </c>
      <c r="AD3155" t="s">
        <v>31</v>
      </c>
      <c r="AE3155">
        <v>0</v>
      </c>
      <c r="AF3155" t="s">
        <v>31</v>
      </c>
      <c r="AG3155">
        <v>0</v>
      </c>
      <c r="AH3155" t="s">
        <v>31</v>
      </c>
      <c r="AI3155">
        <v>0</v>
      </c>
      <c r="AJ3155" t="s">
        <v>31</v>
      </c>
      <c r="AK3155">
        <v>0</v>
      </c>
      <c r="AL3155" t="s">
        <v>31</v>
      </c>
      <c r="AM3155">
        <v>0</v>
      </c>
      <c r="AN3155" t="s">
        <v>31</v>
      </c>
      <c r="AO3155">
        <v>0</v>
      </c>
      <c r="AP3155" t="s">
        <v>31</v>
      </c>
      <c r="AQ3155">
        <v>0</v>
      </c>
    </row>
    <row r="3156" spans="1:43" x14ac:dyDescent="0.2">
      <c r="A3156" t="s">
        <v>381</v>
      </c>
      <c r="B3156" s="3">
        <v>44365</v>
      </c>
      <c r="C3156">
        <v>139</v>
      </c>
      <c r="D3156" t="s">
        <v>400</v>
      </c>
      <c r="E3156" t="s">
        <v>90</v>
      </c>
      <c r="F3156" s="9" t="s">
        <v>92</v>
      </c>
      <c r="G3156" t="s">
        <v>26</v>
      </c>
      <c r="H3156" t="s">
        <v>85</v>
      </c>
      <c r="I3156" t="s">
        <v>86</v>
      </c>
      <c r="J3156" t="s">
        <v>53</v>
      </c>
      <c r="K3156" t="s">
        <v>54</v>
      </c>
      <c r="L3156" t="s">
        <v>53</v>
      </c>
      <c r="M3156" t="s">
        <v>54</v>
      </c>
      <c r="N3156" t="s">
        <v>85</v>
      </c>
      <c r="O3156" t="s">
        <v>86</v>
      </c>
      <c r="P3156" t="s">
        <v>53</v>
      </c>
      <c r="Q3156" t="s">
        <v>54</v>
      </c>
      <c r="R3156" s="1">
        <v>44365.448750000003</v>
      </c>
      <c r="S3156" s="1">
        <v>44365.448750000003</v>
      </c>
      <c r="T3156">
        <v>0</v>
      </c>
      <c r="U3156">
        <v>1</v>
      </c>
      <c r="V3156" s="2">
        <v>0</v>
      </c>
      <c r="W3156">
        <v>0</v>
      </c>
      <c r="X3156" t="s">
        <v>44</v>
      </c>
      <c r="Y3156">
        <v>0</v>
      </c>
      <c r="Z3156" t="s">
        <v>31</v>
      </c>
      <c r="AA3156">
        <v>0</v>
      </c>
      <c r="AB3156" t="s">
        <v>31</v>
      </c>
      <c r="AC3156">
        <v>0</v>
      </c>
      <c r="AD3156" t="s">
        <v>31</v>
      </c>
      <c r="AE3156">
        <v>0</v>
      </c>
      <c r="AF3156" t="s">
        <v>31</v>
      </c>
      <c r="AG3156">
        <v>0</v>
      </c>
      <c r="AH3156" t="s">
        <v>31</v>
      </c>
      <c r="AI3156">
        <v>0</v>
      </c>
      <c r="AJ3156" t="s">
        <v>31</v>
      </c>
      <c r="AK3156">
        <v>0</v>
      </c>
      <c r="AL3156" t="s">
        <v>31</v>
      </c>
      <c r="AM3156">
        <v>0</v>
      </c>
      <c r="AN3156" t="s">
        <v>31</v>
      </c>
      <c r="AO3156">
        <v>0</v>
      </c>
      <c r="AP3156" t="s">
        <v>31</v>
      </c>
      <c r="AQ3156">
        <v>0</v>
      </c>
    </row>
    <row r="3157" spans="1:43" x14ac:dyDescent="0.2">
      <c r="A3157" t="s">
        <v>381</v>
      </c>
      <c r="B3157" s="3">
        <v>44365</v>
      </c>
      <c r="C3157">
        <v>140</v>
      </c>
      <c r="D3157" t="s">
        <v>399</v>
      </c>
      <c r="E3157" t="s">
        <v>90</v>
      </c>
      <c r="F3157" s="9" t="s">
        <v>92</v>
      </c>
      <c r="G3157" t="s">
        <v>26</v>
      </c>
      <c r="H3157" t="s">
        <v>85</v>
      </c>
      <c r="I3157" t="s">
        <v>86</v>
      </c>
      <c r="J3157" t="s">
        <v>53</v>
      </c>
      <c r="K3157" t="s">
        <v>54</v>
      </c>
      <c r="L3157" t="s">
        <v>53</v>
      </c>
      <c r="M3157" t="s">
        <v>54</v>
      </c>
      <c r="N3157" t="s">
        <v>85</v>
      </c>
      <c r="O3157" t="s">
        <v>86</v>
      </c>
      <c r="P3157" t="s">
        <v>53</v>
      </c>
      <c r="Q3157" t="s">
        <v>54</v>
      </c>
      <c r="R3157" s="1">
        <v>44365.530949074076</v>
      </c>
      <c r="S3157" s="1">
        <v>44365.614351851851</v>
      </c>
      <c r="T3157">
        <v>0</v>
      </c>
      <c r="U3157">
        <v>2</v>
      </c>
      <c r="V3157" s="2">
        <v>0</v>
      </c>
      <c r="W3157">
        <v>0</v>
      </c>
      <c r="X3157" t="s">
        <v>44</v>
      </c>
      <c r="Y3157">
        <v>0</v>
      </c>
      <c r="Z3157" t="s">
        <v>44</v>
      </c>
      <c r="AA3157">
        <v>0</v>
      </c>
      <c r="AB3157" t="s">
        <v>31</v>
      </c>
      <c r="AC3157">
        <v>0</v>
      </c>
      <c r="AD3157" t="s">
        <v>31</v>
      </c>
      <c r="AE3157">
        <v>0</v>
      </c>
      <c r="AF3157" t="s">
        <v>31</v>
      </c>
      <c r="AG3157">
        <v>0</v>
      </c>
      <c r="AH3157" t="s">
        <v>31</v>
      </c>
      <c r="AI3157">
        <v>0</v>
      </c>
      <c r="AJ3157" t="s">
        <v>31</v>
      </c>
      <c r="AK3157">
        <v>0</v>
      </c>
      <c r="AL3157" t="s">
        <v>31</v>
      </c>
      <c r="AM3157">
        <v>0</v>
      </c>
      <c r="AN3157" t="s">
        <v>31</v>
      </c>
      <c r="AO3157">
        <v>0</v>
      </c>
      <c r="AP3157" t="s">
        <v>31</v>
      </c>
      <c r="AQ3157">
        <v>0</v>
      </c>
    </row>
    <row r="3158" spans="1:43" x14ac:dyDescent="0.2">
      <c r="B3158" s="3" t="s">
        <v>257</v>
      </c>
    </row>
    <row r="3159" spans="1:43" x14ac:dyDescent="0.2">
      <c r="B3159" s="3" t="s">
        <v>257</v>
      </c>
    </row>
    <row r="3160" spans="1:43" x14ac:dyDescent="0.2">
      <c r="B3160" s="3" t="s">
        <v>257</v>
      </c>
    </row>
    <row r="3161" spans="1:43" x14ac:dyDescent="0.2">
      <c r="B3161" s="3" t="s">
        <v>257</v>
      </c>
    </row>
    <row r="3162" spans="1:43" x14ac:dyDescent="0.2">
      <c r="B3162" s="3" t="s">
        <v>257</v>
      </c>
    </row>
    <row r="3163" spans="1:43" x14ac:dyDescent="0.2">
      <c r="B3163" s="3" t="s">
        <v>257</v>
      </c>
    </row>
    <row r="3164" spans="1:43" x14ac:dyDescent="0.2">
      <c r="B3164" s="3" t="s">
        <v>257</v>
      </c>
    </row>
    <row r="3165" spans="1:43" x14ac:dyDescent="0.2">
      <c r="B3165" s="3" t="s">
        <v>257</v>
      </c>
    </row>
    <row r="3166" spans="1:43" x14ac:dyDescent="0.2">
      <c r="B3166" s="3" t="s">
        <v>257</v>
      </c>
    </row>
    <row r="3167" spans="1:43" x14ac:dyDescent="0.2">
      <c r="B3167" s="3" t="s">
        <v>257</v>
      </c>
    </row>
    <row r="3168" spans="1:43" x14ac:dyDescent="0.2">
      <c r="B3168" s="3" t="s">
        <v>257</v>
      </c>
    </row>
    <row r="3169" spans="2:2" x14ac:dyDescent="0.2">
      <c r="B3169" s="3" t="s">
        <v>257</v>
      </c>
    </row>
    <row r="3170" spans="2:2" x14ac:dyDescent="0.2">
      <c r="B3170" s="3" t="s">
        <v>257</v>
      </c>
    </row>
    <row r="3171" spans="2:2" x14ac:dyDescent="0.2">
      <c r="B3171" s="3" t="s">
        <v>257</v>
      </c>
    </row>
    <row r="3172" spans="2:2" x14ac:dyDescent="0.2">
      <c r="B3172" s="3" t="s">
        <v>257</v>
      </c>
    </row>
    <row r="3173" spans="2:2" x14ac:dyDescent="0.2">
      <c r="B3173" s="3" t="s">
        <v>257</v>
      </c>
    </row>
    <row r="3174" spans="2:2" x14ac:dyDescent="0.2">
      <c r="B3174" s="3" t="s">
        <v>257</v>
      </c>
    </row>
    <row r="3175" spans="2:2" x14ac:dyDescent="0.2">
      <c r="B3175" s="3" t="s">
        <v>257</v>
      </c>
    </row>
    <row r="3176" spans="2:2" x14ac:dyDescent="0.2">
      <c r="B3176" s="3" t="s">
        <v>257</v>
      </c>
    </row>
    <row r="3177" spans="2:2" x14ac:dyDescent="0.2">
      <c r="B3177" s="3" t="s">
        <v>257</v>
      </c>
    </row>
    <row r="3178" spans="2:2" x14ac:dyDescent="0.2">
      <c r="B3178" s="3" t="s">
        <v>257</v>
      </c>
    </row>
    <row r="3179" spans="2:2" x14ac:dyDescent="0.2">
      <c r="B3179" s="3" t="s">
        <v>257</v>
      </c>
    </row>
    <row r="3180" spans="2:2" x14ac:dyDescent="0.2">
      <c r="B3180" s="3" t="s">
        <v>257</v>
      </c>
    </row>
    <row r="3181" spans="2:2" x14ac:dyDescent="0.2">
      <c r="B3181" s="3" t="s">
        <v>257</v>
      </c>
    </row>
    <row r="3182" spans="2:2" x14ac:dyDescent="0.2">
      <c r="B3182" s="3" t="s">
        <v>257</v>
      </c>
    </row>
    <row r="3183" spans="2:2" x14ac:dyDescent="0.2">
      <c r="B3183" s="3" t="s">
        <v>257</v>
      </c>
    </row>
    <row r="3184" spans="2:2" x14ac:dyDescent="0.2">
      <c r="B3184" s="3" t="s">
        <v>257</v>
      </c>
    </row>
    <row r="3185" spans="2:2" x14ac:dyDescent="0.2">
      <c r="B3185" s="3" t="s">
        <v>257</v>
      </c>
    </row>
    <row r="3186" spans="2:2" x14ac:dyDescent="0.2">
      <c r="B3186" s="3" t="s">
        <v>257</v>
      </c>
    </row>
    <row r="3187" spans="2:2" x14ac:dyDescent="0.2">
      <c r="B3187" s="3" t="s">
        <v>257</v>
      </c>
    </row>
    <row r="3188" spans="2:2" x14ac:dyDescent="0.2">
      <c r="B3188" s="3" t="s">
        <v>257</v>
      </c>
    </row>
    <row r="3189" spans="2:2" x14ac:dyDescent="0.2">
      <c r="B3189" s="3" t="s">
        <v>257</v>
      </c>
    </row>
    <row r="3190" spans="2:2" x14ac:dyDescent="0.2">
      <c r="B3190" s="3" t="s">
        <v>257</v>
      </c>
    </row>
    <row r="3191" spans="2:2" x14ac:dyDescent="0.2">
      <c r="B3191" s="3" t="s">
        <v>257</v>
      </c>
    </row>
    <row r="3192" spans="2:2" x14ac:dyDescent="0.2">
      <c r="B3192" s="3" t="s">
        <v>257</v>
      </c>
    </row>
    <row r="3193" spans="2:2" x14ac:dyDescent="0.2">
      <c r="B3193" s="3" t="s">
        <v>257</v>
      </c>
    </row>
    <row r="3194" spans="2:2" x14ac:dyDescent="0.2">
      <c r="B3194" s="3" t="s">
        <v>257</v>
      </c>
    </row>
    <row r="3195" spans="2:2" x14ac:dyDescent="0.2">
      <c r="B3195" s="3" t="s">
        <v>257</v>
      </c>
    </row>
    <row r="3196" spans="2:2" x14ac:dyDescent="0.2">
      <c r="B3196" s="3" t="s">
        <v>257</v>
      </c>
    </row>
    <row r="3197" spans="2:2" x14ac:dyDescent="0.2">
      <c r="B3197" s="3" t="s">
        <v>257</v>
      </c>
    </row>
    <row r="3198" spans="2:2" x14ac:dyDescent="0.2">
      <c r="B3198" s="3" t="s">
        <v>257</v>
      </c>
    </row>
    <row r="3199" spans="2:2" x14ac:dyDescent="0.2">
      <c r="B3199" s="3" t="s">
        <v>257</v>
      </c>
    </row>
    <row r="3200" spans="2:2" x14ac:dyDescent="0.2">
      <c r="B3200" s="3" t="s">
        <v>257</v>
      </c>
    </row>
    <row r="3201" spans="2:2" x14ac:dyDescent="0.2">
      <c r="B3201" s="3" t="s">
        <v>257</v>
      </c>
    </row>
    <row r="3202" spans="2:2" x14ac:dyDescent="0.2">
      <c r="B3202" s="3" t="s">
        <v>257</v>
      </c>
    </row>
    <row r="3203" spans="2:2" x14ac:dyDescent="0.2">
      <c r="B3203" s="3" t="s">
        <v>257</v>
      </c>
    </row>
    <row r="3204" spans="2:2" x14ac:dyDescent="0.2">
      <c r="B3204" s="3" t="s">
        <v>257</v>
      </c>
    </row>
    <row r="3205" spans="2:2" x14ac:dyDescent="0.2">
      <c r="B3205" s="3" t="s">
        <v>257</v>
      </c>
    </row>
    <row r="3206" spans="2:2" x14ac:dyDescent="0.2">
      <c r="B3206" s="3" t="s">
        <v>257</v>
      </c>
    </row>
    <row r="3207" spans="2:2" x14ac:dyDescent="0.2">
      <c r="B3207" s="3" t="s">
        <v>257</v>
      </c>
    </row>
    <row r="3208" spans="2:2" x14ac:dyDescent="0.2">
      <c r="B3208" s="3" t="s">
        <v>257</v>
      </c>
    </row>
    <row r="3209" spans="2:2" x14ac:dyDescent="0.2">
      <c r="B3209" s="3" t="s">
        <v>257</v>
      </c>
    </row>
    <row r="3210" spans="2:2" x14ac:dyDescent="0.2">
      <c r="B3210" s="3" t="s">
        <v>257</v>
      </c>
    </row>
    <row r="3211" spans="2:2" x14ac:dyDescent="0.2">
      <c r="B3211" s="3" t="s">
        <v>257</v>
      </c>
    </row>
    <row r="3212" spans="2:2" x14ac:dyDescent="0.2">
      <c r="B3212" s="3" t="s">
        <v>257</v>
      </c>
    </row>
    <row r="3213" spans="2:2" x14ac:dyDescent="0.2">
      <c r="B3213" s="3" t="s">
        <v>257</v>
      </c>
    </row>
    <row r="3214" spans="2:2" x14ac:dyDescent="0.2">
      <c r="B3214" s="3" t="s">
        <v>257</v>
      </c>
    </row>
    <row r="3215" spans="2:2" x14ac:dyDescent="0.2">
      <c r="B3215" s="3" t="s">
        <v>257</v>
      </c>
    </row>
    <row r="3216" spans="2:2" x14ac:dyDescent="0.2">
      <c r="B3216" s="3" t="s">
        <v>257</v>
      </c>
    </row>
    <row r="3217" spans="2:2" x14ac:dyDescent="0.2">
      <c r="B3217" s="3" t="s">
        <v>257</v>
      </c>
    </row>
    <row r="3218" spans="2:2" x14ac:dyDescent="0.2">
      <c r="B3218" s="3" t="s">
        <v>257</v>
      </c>
    </row>
    <row r="3219" spans="2:2" x14ac:dyDescent="0.2">
      <c r="B3219" s="3" t="s">
        <v>257</v>
      </c>
    </row>
    <row r="3220" spans="2:2" x14ac:dyDescent="0.2">
      <c r="B3220" s="3" t="s">
        <v>257</v>
      </c>
    </row>
    <row r="3221" spans="2:2" x14ac:dyDescent="0.2">
      <c r="B3221" s="3" t="s">
        <v>257</v>
      </c>
    </row>
    <row r="3222" spans="2:2" x14ac:dyDescent="0.2">
      <c r="B3222" s="3" t="s">
        <v>257</v>
      </c>
    </row>
    <row r="3223" spans="2:2" x14ac:dyDescent="0.2">
      <c r="B3223" s="3" t="s">
        <v>257</v>
      </c>
    </row>
    <row r="3224" spans="2:2" x14ac:dyDescent="0.2">
      <c r="B3224" s="3" t="s">
        <v>257</v>
      </c>
    </row>
    <row r="3225" spans="2:2" x14ac:dyDescent="0.2">
      <c r="B3225" s="3" t="s">
        <v>257</v>
      </c>
    </row>
    <row r="3226" spans="2:2" x14ac:dyDescent="0.2">
      <c r="B3226" s="3" t="s">
        <v>257</v>
      </c>
    </row>
    <row r="3227" spans="2:2" x14ac:dyDescent="0.2">
      <c r="B3227" s="3" t="s">
        <v>257</v>
      </c>
    </row>
    <row r="3228" spans="2:2" x14ac:dyDescent="0.2">
      <c r="B3228" s="3" t="s">
        <v>257</v>
      </c>
    </row>
    <row r="3229" spans="2:2" x14ac:dyDescent="0.2">
      <c r="B3229" s="3" t="s">
        <v>257</v>
      </c>
    </row>
    <row r="3230" spans="2:2" x14ac:dyDescent="0.2">
      <c r="B3230" s="3" t="s">
        <v>257</v>
      </c>
    </row>
    <row r="3231" spans="2:2" x14ac:dyDescent="0.2">
      <c r="B3231" s="3" t="s">
        <v>257</v>
      </c>
    </row>
    <row r="3232" spans="2:2" x14ac:dyDescent="0.2">
      <c r="B3232" s="3" t="s">
        <v>257</v>
      </c>
    </row>
    <row r="3233" spans="2:2" x14ac:dyDescent="0.2">
      <c r="B3233" s="3" t="s">
        <v>257</v>
      </c>
    </row>
    <row r="3234" spans="2:2" x14ac:dyDescent="0.2">
      <c r="B3234" s="3" t="s">
        <v>257</v>
      </c>
    </row>
    <row r="3235" spans="2:2" x14ac:dyDescent="0.2">
      <c r="B3235" s="3" t="s">
        <v>257</v>
      </c>
    </row>
    <row r="3236" spans="2:2" x14ac:dyDescent="0.2">
      <c r="B3236" s="3" t="s">
        <v>257</v>
      </c>
    </row>
    <row r="3237" spans="2:2" x14ac:dyDescent="0.2">
      <c r="B3237" s="3" t="s">
        <v>257</v>
      </c>
    </row>
    <row r="3238" spans="2:2" x14ac:dyDescent="0.2">
      <c r="B3238" s="3" t="s">
        <v>257</v>
      </c>
    </row>
    <row r="3239" spans="2:2" x14ac:dyDescent="0.2">
      <c r="B3239" s="3" t="s">
        <v>257</v>
      </c>
    </row>
    <row r="3240" spans="2:2" x14ac:dyDescent="0.2">
      <c r="B3240" s="3" t="s">
        <v>257</v>
      </c>
    </row>
    <row r="3241" spans="2:2" x14ac:dyDescent="0.2">
      <c r="B3241" s="3" t="s">
        <v>257</v>
      </c>
    </row>
    <row r="3242" spans="2:2" x14ac:dyDescent="0.2">
      <c r="B3242" s="3" t="s">
        <v>257</v>
      </c>
    </row>
    <row r="3243" spans="2:2" x14ac:dyDescent="0.2">
      <c r="B3243" s="3" t="s">
        <v>257</v>
      </c>
    </row>
    <row r="3244" spans="2:2" x14ac:dyDescent="0.2">
      <c r="B3244" s="3" t="s">
        <v>257</v>
      </c>
    </row>
    <row r="3245" spans="2:2" x14ac:dyDescent="0.2">
      <c r="B3245" s="3" t="s">
        <v>257</v>
      </c>
    </row>
    <row r="3246" spans="2:2" x14ac:dyDescent="0.2">
      <c r="B3246" s="3" t="s">
        <v>257</v>
      </c>
    </row>
    <row r="3247" spans="2:2" x14ac:dyDescent="0.2">
      <c r="B3247" s="3" t="s">
        <v>257</v>
      </c>
    </row>
    <row r="3248" spans="2:2" x14ac:dyDescent="0.2">
      <c r="B3248" s="3" t="s">
        <v>257</v>
      </c>
    </row>
    <row r="3249" spans="2:2" x14ac:dyDescent="0.2">
      <c r="B3249" s="3" t="s">
        <v>257</v>
      </c>
    </row>
    <row r="3250" spans="2:2" x14ac:dyDescent="0.2">
      <c r="B3250" s="3" t="s">
        <v>257</v>
      </c>
    </row>
    <row r="3251" spans="2:2" x14ac:dyDescent="0.2">
      <c r="B3251" s="3" t="s">
        <v>257</v>
      </c>
    </row>
    <row r="3252" spans="2:2" x14ac:dyDescent="0.2">
      <c r="B3252" s="3" t="s">
        <v>257</v>
      </c>
    </row>
    <row r="3253" spans="2:2" x14ac:dyDescent="0.2">
      <c r="B3253" s="3" t="s">
        <v>257</v>
      </c>
    </row>
    <row r="3254" spans="2:2" x14ac:dyDescent="0.2">
      <c r="B3254" s="3" t="s">
        <v>257</v>
      </c>
    </row>
    <row r="3255" spans="2:2" x14ac:dyDescent="0.2">
      <c r="B3255" s="3" t="s">
        <v>257</v>
      </c>
    </row>
    <row r="3256" spans="2:2" x14ac:dyDescent="0.2">
      <c r="B3256" s="3" t="s">
        <v>257</v>
      </c>
    </row>
    <row r="3257" spans="2:2" x14ac:dyDescent="0.2">
      <c r="B3257" s="3" t="s">
        <v>257</v>
      </c>
    </row>
    <row r="3258" spans="2:2" x14ac:dyDescent="0.2">
      <c r="B3258" s="3" t="s">
        <v>257</v>
      </c>
    </row>
    <row r="3259" spans="2:2" x14ac:dyDescent="0.2">
      <c r="B3259" s="3" t="s">
        <v>257</v>
      </c>
    </row>
    <row r="3260" spans="2:2" x14ac:dyDescent="0.2">
      <c r="B3260" s="3" t="s">
        <v>257</v>
      </c>
    </row>
    <row r="3261" spans="2:2" x14ac:dyDescent="0.2">
      <c r="B3261" s="3" t="s">
        <v>257</v>
      </c>
    </row>
    <row r="3262" spans="2:2" x14ac:dyDescent="0.2">
      <c r="B3262" s="3" t="s">
        <v>257</v>
      </c>
    </row>
    <row r="3263" spans="2:2" x14ac:dyDescent="0.2">
      <c r="B3263" s="3" t="s">
        <v>257</v>
      </c>
    </row>
    <row r="3264" spans="2:2" x14ac:dyDescent="0.2">
      <c r="B3264" s="3" t="s">
        <v>257</v>
      </c>
    </row>
    <row r="3265" spans="2:2" x14ac:dyDescent="0.2">
      <c r="B3265" s="3" t="s">
        <v>257</v>
      </c>
    </row>
    <row r="3266" spans="2:2" x14ac:dyDescent="0.2">
      <c r="B3266" s="3" t="s">
        <v>257</v>
      </c>
    </row>
    <row r="3267" spans="2:2" x14ac:dyDescent="0.2">
      <c r="B3267" s="3" t="s">
        <v>257</v>
      </c>
    </row>
    <row r="3268" spans="2:2" x14ac:dyDescent="0.2">
      <c r="B3268" s="3" t="s">
        <v>257</v>
      </c>
    </row>
    <row r="3269" spans="2:2" x14ac:dyDescent="0.2">
      <c r="B3269" s="3" t="s">
        <v>257</v>
      </c>
    </row>
    <row r="3270" spans="2:2" x14ac:dyDescent="0.2">
      <c r="B3270" s="3" t="s">
        <v>257</v>
      </c>
    </row>
    <row r="3271" spans="2:2" x14ac:dyDescent="0.2">
      <c r="B3271" s="3" t="s">
        <v>257</v>
      </c>
    </row>
    <row r="3272" spans="2:2" x14ac:dyDescent="0.2">
      <c r="B3272" s="3" t="s">
        <v>257</v>
      </c>
    </row>
    <row r="3273" spans="2:2" x14ac:dyDescent="0.2">
      <c r="B3273" s="3" t="s">
        <v>257</v>
      </c>
    </row>
    <row r="3274" spans="2:2" x14ac:dyDescent="0.2">
      <c r="B3274" s="3" t="s">
        <v>257</v>
      </c>
    </row>
    <row r="3275" spans="2:2" x14ac:dyDescent="0.2">
      <c r="B3275" s="3" t="s">
        <v>257</v>
      </c>
    </row>
    <row r="3276" spans="2:2" x14ac:dyDescent="0.2">
      <c r="B3276" s="3" t="s">
        <v>257</v>
      </c>
    </row>
    <row r="3277" spans="2:2" x14ac:dyDescent="0.2">
      <c r="B3277" s="3" t="s">
        <v>257</v>
      </c>
    </row>
    <row r="3278" spans="2:2" x14ac:dyDescent="0.2">
      <c r="B3278" s="3" t="s">
        <v>257</v>
      </c>
    </row>
    <row r="3279" spans="2:2" x14ac:dyDescent="0.2">
      <c r="B3279" s="3" t="s">
        <v>257</v>
      </c>
    </row>
    <row r="3280" spans="2:2" x14ac:dyDescent="0.2">
      <c r="B3280" s="3" t="s">
        <v>257</v>
      </c>
    </row>
    <row r="3281" spans="2:2" x14ac:dyDescent="0.2">
      <c r="B3281" s="3" t="s">
        <v>257</v>
      </c>
    </row>
    <row r="3282" spans="2:2" x14ac:dyDescent="0.2">
      <c r="B3282" s="3" t="s">
        <v>257</v>
      </c>
    </row>
    <row r="3283" spans="2:2" x14ac:dyDescent="0.2">
      <c r="B3283" s="3" t="s">
        <v>257</v>
      </c>
    </row>
    <row r="3284" spans="2:2" x14ac:dyDescent="0.2">
      <c r="B3284" s="3" t="s">
        <v>257</v>
      </c>
    </row>
    <row r="3285" spans="2:2" x14ac:dyDescent="0.2">
      <c r="B3285" s="3" t="s">
        <v>257</v>
      </c>
    </row>
    <row r="3286" spans="2:2" x14ac:dyDescent="0.2">
      <c r="B3286" s="3" t="s">
        <v>257</v>
      </c>
    </row>
    <row r="3287" spans="2:2" x14ac:dyDescent="0.2">
      <c r="B3287" s="3" t="s">
        <v>257</v>
      </c>
    </row>
    <row r="3288" spans="2:2" x14ac:dyDescent="0.2">
      <c r="B3288" s="3" t="s">
        <v>257</v>
      </c>
    </row>
    <row r="3289" spans="2:2" x14ac:dyDescent="0.2">
      <c r="B3289" s="3" t="s">
        <v>257</v>
      </c>
    </row>
    <row r="3290" spans="2:2" x14ac:dyDescent="0.2">
      <c r="B3290" s="3" t="s">
        <v>257</v>
      </c>
    </row>
    <row r="3291" spans="2:2" x14ac:dyDescent="0.2">
      <c r="B3291" s="3" t="s">
        <v>257</v>
      </c>
    </row>
    <row r="3292" spans="2:2" x14ac:dyDescent="0.2">
      <c r="B3292" s="3" t="s">
        <v>257</v>
      </c>
    </row>
    <row r="3293" spans="2:2" x14ac:dyDescent="0.2">
      <c r="B3293" s="3" t="s">
        <v>257</v>
      </c>
    </row>
    <row r="3294" spans="2:2" x14ac:dyDescent="0.2">
      <c r="B3294" s="3" t="s">
        <v>257</v>
      </c>
    </row>
    <row r="3295" spans="2:2" x14ac:dyDescent="0.2">
      <c r="B3295" s="3" t="s">
        <v>257</v>
      </c>
    </row>
    <row r="3296" spans="2:2" x14ac:dyDescent="0.2">
      <c r="B3296" s="3" t="s">
        <v>257</v>
      </c>
    </row>
    <row r="3297" spans="2:2" x14ac:dyDescent="0.2">
      <c r="B3297" s="3" t="s">
        <v>257</v>
      </c>
    </row>
    <row r="3298" spans="2:2" x14ac:dyDescent="0.2">
      <c r="B3298" s="3" t="s">
        <v>257</v>
      </c>
    </row>
    <row r="3299" spans="2:2" x14ac:dyDescent="0.2">
      <c r="B3299" s="3" t="s">
        <v>257</v>
      </c>
    </row>
    <row r="3300" spans="2:2" x14ac:dyDescent="0.2">
      <c r="B3300" s="3" t="s">
        <v>257</v>
      </c>
    </row>
    <row r="3301" spans="2:2" x14ac:dyDescent="0.2">
      <c r="B3301" s="3" t="s">
        <v>257</v>
      </c>
    </row>
    <row r="3302" spans="2:2" x14ac:dyDescent="0.2">
      <c r="B3302" s="3" t="s">
        <v>257</v>
      </c>
    </row>
    <row r="3303" spans="2:2" x14ac:dyDescent="0.2">
      <c r="B3303" s="3" t="s">
        <v>257</v>
      </c>
    </row>
    <row r="3304" spans="2:2" x14ac:dyDescent="0.2">
      <c r="B3304" s="3" t="s">
        <v>257</v>
      </c>
    </row>
    <row r="3305" spans="2:2" x14ac:dyDescent="0.2">
      <c r="B3305" s="3" t="s">
        <v>257</v>
      </c>
    </row>
    <row r="3306" spans="2:2" x14ac:dyDescent="0.2">
      <c r="B3306" s="3" t="s">
        <v>257</v>
      </c>
    </row>
    <row r="3307" spans="2:2" x14ac:dyDescent="0.2">
      <c r="B3307" s="3" t="s">
        <v>257</v>
      </c>
    </row>
    <row r="3308" spans="2:2" x14ac:dyDescent="0.2">
      <c r="B3308" s="3" t="s">
        <v>257</v>
      </c>
    </row>
    <row r="3309" spans="2:2" x14ac:dyDescent="0.2">
      <c r="B3309" s="3" t="s">
        <v>257</v>
      </c>
    </row>
    <row r="3310" spans="2:2" x14ac:dyDescent="0.2">
      <c r="B3310" s="3" t="s">
        <v>257</v>
      </c>
    </row>
    <row r="3311" spans="2:2" x14ac:dyDescent="0.2">
      <c r="B3311" s="3" t="s">
        <v>257</v>
      </c>
    </row>
    <row r="3312" spans="2:2" x14ac:dyDescent="0.2">
      <c r="B3312" s="3" t="s">
        <v>257</v>
      </c>
    </row>
    <row r="3313" spans="2:2" x14ac:dyDescent="0.2">
      <c r="B3313" s="3" t="s">
        <v>257</v>
      </c>
    </row>
    <row r="3314" spans="2:2" x14ac:dyDescent="0.2">
      <c r="B3314" s="3" t="s">
        <v>257</v>
      </c>
    </row>
    <row r="3315" spans="2:2" x14ac:dyDescent="0.2">
      <c r="B3315" s="3" t="s">
        <v>257</v>
      </c>
    </row>
    <row r="3316" spans="2:2" x14ac:dyDescent="0.2">
      <c r="B3316" s="3" t="s">
        <v>257</v>
      </c>
    </row>
    <row r="3317" spans="2:2" x14ac:dyDescent="0.2">
      <c r="B3317" s="3" t="s">
        <v>257</v>
      </c>
    </row>
    <row r="3318" spans="2:2" x14ac:dyDescent="0.2">
      <c r="B3318" s="3" t="s">
        <v>257</v>
      </c>
    </row>
    <row r="3319" spans="2:2" x14ac:dyDescent="0.2">
      <c r="B3319" s="3" t="s">
        <v>257</v>
      </c>
    </row>
    <row r="3320" spans="2:2" x14ac:dyDescent="0.2">
      <c r="B3320" s="3" t="s">
        <v>257</v>
      </c>
    </row>
    <row r="3321" spans="2:2" x14ac:dyDescent="0.2">
      <c r="B3321" s="3" t="s">
        <v>257</v>
      </c>
    </row>
    <row r="3322" spans="2:2" x14ac:dyDescent="0.2">
      <c r="B3322" s="3" t="s">
        <v>257</v>
      </c>
    </row>
    <row r="3323" spans="2:2" x14ac:dyDescent="0.2">
      <c r="B3323" s="3" t="s">
        <v>257</v>
      </c>
    </row>
    <row r="3324" spans="2:2" x14ac:dyDescent="0.2">
      <c r="B3324" s="3" t="s">
        <v>257</v>
      </c>
    </row>
    <row r="3325" spans="2:2" x14ac:dyDescent="0.2">
      <c r="B3325" s="3" t="s">
        <v>257</v>
      </c>
    </row>
    <row r="3326" spans="2:2" x14ac:dyDescent="0.2">
      <c r="B3326" s="3" t="s">
        <v>257</v>
      </c>
    </row>
    <row r="3327" spans="2:2" x14ac:dyDescent="0.2">
      <c r="B3327" s="3" t="s">
        <v>257</v>
      </c>
    </row>
    <row r="3328" spans="2:2" x14ac:dyDescent="0.2">
      <c r="B3328" s="3" t="s">
        <v>257</v>
      </c>
    </row>
    <row r="3329" spans="2:2" x14ac:dyDescent="0.2">
      <c r="B3329" s="3" t="s">
        <v>257</v>
      </c>
    </row>
    <row r="3330" spans="2:2" x14ac:dyDescent="0.2">
      <c r="B3330" s="3" t="s">
        <v>257</v>
      </c>
    </row>
    <row r="3331" spans="2:2" x14ac:dyDescent="0.2">
      <c r="B3331" s="3" t="s">
        <v>257</v>
      </c>
    </row>
    <row r="3332" spans="2:2" x14ac:dyDescent="0.2">
      <c r="B3332" s="3" t="s">
        <v>257</v>
      </c>
    </row>
    <row r="3333" spans="2:2" x14ac:dyDescent="0.2">
      <c r="B3333" s="3" t="s">
        <v>257</v>
      </c>
    </row>
    <row r="3334" spans="2:2" x14ac:dyDescent="0.2">
      <c r="B3334" s="3" t="s">
        <v>257</v>
      </c>
    </row>
    <row r="3335" spans="2:2" x14ac:dyDescent="0.2">
      <c r="B3335" s="3" t="s">
        <v>257</v>
      </c>
    </row>
    <row r="3336" spans="2:2" x14ac:dyDescent="0.2">
      <c r="B3336" s="3" t="s">
        <v>257</v>
      </c>
    </row>
    <row r="3337" spans="2:2" x14ac:dyDescent="0.2">
      <c r="B3337" s="3" t="s">
        <v>257</v>
      </c>
    </row>
    <row r="3338" spans="2:2" x14ac:dyDescent="0.2">
      <c r="B3338" s="3" t="s">
        <v>257</v>
      </c>
    </row>
    <row r="3339" spans="2:2" x14ac:dyDescent="0.2">
      <c r="B3339" s="3" t="s">
        <v>257</v>
      </c>
    </row>
    <row r="3340" spans="2:2" x14ac:dyDescent="0.2">
      <c r="B3340" s="3" t="s">
        <v>257</v>
      </c>
    </row>
    <row r="3341" spans="2:2" x14ac:dyDescent="0.2">
      <c r="B3341" s="3" t="s">
        <v>257</v>
      </c>
    </row>
    <row r="3342" spans="2:2" x14ac:dyDescent="0.2">
      <c r="B3342" s="3" t="s">
        <v>257</v>
      </c>
    </row>
    <row r="3343" spans="2:2" x14ac:dyDescent="0.2">
      <c r="B3343" s="3" t="s">
        <v>257</v>
      </c>
    </row>
    <row r="3344" spans="2:2" x14ac:dyDescent="0.2">
      <c r="B3344" s="3" t="s">
        <v>257</v>
      </c>
    </row>
    <row r="3345" spans="2:2" x14ac:dyDescent="0.2">
      <c r="B3345" s="3" t="s">
        <v>257</v>
      </c>
    </row>
    <row r="3346" spans="2:2" x14ac:dyDescent="0.2">
      <c r="B3346" s="3" t="s">
        <v>257</v>
      </c>
    </row>
    <row r="3347" spans="2:2" x14ac:dyDescent="0.2">
      <c r="B3347" s="3" t="s">
        <v>257</v>
      </c>
    </row>
    <row r="3348" spans="2:2" x14ac:dyDescent="0.2">
      <c r="B3348" s="3" t="s">
        <v>257</v>
      </c>
    </row>
    <row r="3349" spans="2:2" x14ac:dyDescent="0.2">
      <c r="B3349" s="3" t="s">
        <v>257</v>
      </c>
    </row>
    <row r="3350" spans="2:2" x14ac:dyDescent="0.2">
      <c r="B3350" s="3" t="s">
        <v>257</v>
      </c>
    </row>
    <row r="3351" spans="2:2" x14ac:dyDescent="0.2">
      <c r="B3351" s="3" t="s">
        <v>257</v>
      </c>
    </row>
    <row r="3352" spans="2:2" x14ac:dyDescent="0.2">
      <c r="B3352" s="3" t="s">
        <v>257</v>
      </c>
    </row>
    <row r="3353" spans="2:2" x14ac:dyDescent="0.2">
      <c r="B3353" s="3" t="s">
        <v>257</v>
      </c>
    </row>
    <row r="3354" spans="2:2" x14ac:dyDescent="0.2">
      <c r="B3354" s="3" t="s">
        <v>257</v>
      </c>
    </row>
    <row r="3355" spans="2:2" x14ac:dyDescent="0.2">
      <c r="B3355" s="3" t="s">
        <v>257</v>
      </c>
    </row>
    <row r="3356" spans="2:2" x14ac:dyDescent="0.2">
      <c r="B3356" s="3" t="s">
        <v>257</v>
      </c>
    </row>
    <row r="3357" spans="2:2" x14ac:dyDescent="0.2">
      <c r="B3357" s="3" t="s">
        <v>257</v>
      </c>
    </row>
    <row r="3358" spans="2:2" x14ac:dyDescent="0.2">
      <c r="B3358" s="3" t="s">
        <v>257</v>
      </c>
    </row>
    <row r="3359" spans="2:2" x14ac:dyDescent="0.2">
      <c r="B3359" s="3" t="s">
        <v>257</v>
      </c>
    </row>
    <row r="3360" spans="2:2" x14ac:dyDescent="0.2">
      <c r="B3360" s="3" t="s">
        <v>257</v>
      </c>
    </row>
    <row r="3361" spans="2:2" x14ac:dyDescent="0.2">
      <c r="B3361" s="3" t="s">
        <v>257</v>
      </c>
    </row>
    <row r="3362" spans="2:2" x14ac:dyDescent="0.2">
      <c r="B3362" s="3" t="s">
        <v>257</v>
      </c>
    </row>
    <row r="3363" spans="2:2" x14ac:dyDescent="0.2">
      <c r="B3363" s="3" t="s">
        <v>257</v>
      </c>
    </row>
    <row r="3364" spans="2:2" x14ac:dyDescent="0.2">
      <c r="B3364" s="3" t="s">
        <v>257</v>
      </c>
    </row>
    <row r="3365" spans="2:2" x14ac:dyDescent="0.2">
      <c r="B3365" s="3" t="s">
        <v>257</v>
      </c>
    </row>
    <row r="3366" spans="2:2" x14ac:dyDescent="0.2">
      <c r="B3366" s="3" t="s">
        <v>257</v>
      </c>
    </row>
    <row r="3367" spans="2:2" x14ac:dyDescent="0.2">
      <c r="B3367" s="3" t="s">
        <v>257</v>
      </c>
    </row>
    <row r="3368" spans="2:2" x14ac:dyDescent="0.2">
      <c r="B3368" s="3" t="s">
        <v>257</v>
      </c>
    </row>
    <row r="3369" spans="2:2" x14ac:dyDescent="0.2">
      <c r="B3369" s="3" t="s">
        <v>257</v>
      </c>
    </row>
    <row r="3370" spans="2:2" x14ac:dyDescent="0.2">
      <c r="B3370" s="3" t="s">
        <v>257</v>
      </c>
    </row>
    <row r="3371" spans="2:2" x14ac:dyDescent="0.2">
      <c r="B3371" s="3" t="s">
        <v>257</v>
      </c>
    </row>
    <row r="3372" spans="2:2" x14ac:dyDescent="0.2">
      <c r="B3372" s="3" t="s">
        <v>257</v>
      </c>
    </row>
    <row r="3373" spans="2:2" x14ac:dyDescent="0.2">
      <c r="B3373" s="3" t="s">
        <v>257</v>
      </c>
    </row>
    <row r="3374" spans="2:2" x14ac:dyDescent="0.2">
      <c r="B3374" s="3" t="s">
        <v>257</v>
      </c>
    </row>
    <row r="3375" spans="2:2" x14ac:dyDescent="0.2">
      <c r="B3375" s="3" t="s">
        <v>257</v>
      </c>
    </row>
    <row r="3376" spans="2:2" x14ac:dyDescent="0.2">
      <c r="B3376" s="3" t="s">
        <v>257</v>
      </c>
    </row>
    <row r="3377" spans="2:2" x14ac:dyDescent="0.2">
      <c r="B3377" s="3" t="s">
        <v>257</v>
      </c>
    </row>
    <row r="3378" spans="2:2" x14ac:dyDescent="0.2">
      <c r="B3378" s="3" t="s">
        <v>257</v>
      </c>
    </row>
    <row r="3379" spans="2:2" x14ac:dyDescent="0.2">
      <c r="B3379" s="3" t="s">
        <v>257</v>
      </c>
    </row>
    <row r="3380" spans="2:2" x14ac:dyDescent="0.2">
      <c r="B3380" s="3" t="s">
        <v>257</v>
      </c>
    </row>
    <row r="3381" spans="2:2" x14ac:dyDescent="0.2">
      <c r="B3381" s="3" t="s">
        <v>257</v>
      </c>
    </row>
    <row r="3382" spans="2:2" x14ac:dyDescent="0.2">
      <c r="B3382" s="3" t="s">
        <v>257</v>
      </c>
    </row>
    <row r="3383" spans="2:2" x14ac:dyDescent="0.2">
      <c r="B3383" s="3" t="s">
        <v>257</v>
      </c>
    </row>
    <row r="3384" spans="2:2" x14ac:dyDescent="0.2">
      <c r="B3384" s="3" t="s">
        <v>257</v>
      </c>
    </row>
    <row r="3385" spans="2:2" x14ac:dyDescent="0.2">
      <c r="B3385" s="3" t="s">
        <v>257</v>
      </c>
    </row>
    <row r="3386" spans="2:2" x14ac:dyDescent="0.2">
      <c r="B3386" s="3" t="s">
        <v>257</v>
      </c>
    </row>
    <row r="3387" spans="2:2" x14ac:dyDescent="0.2">
      <c r="B3387" s="3" t="s">
        <v>257</v>
      </c>
    </row>
    <row r="3388" spans="2:2" x14ac:dyDescent="0.2">
      <c r="B3388" s="3" t="s">
        <v>257</v>
      </c>
    </row>
    <row r="3389" spans="2:2" x14ac:dyDescent="0.2">
      <c r="B3389" s="3" t="s">
        <v>257</v>
      </c>
    </row>
    <row r="3390" spans="2:2" x14ac:dyDescent="0.2">
      <c r="B3390" s="3" t="s">
        <v>257</v>
      </c>
    </row>
    <row r="3391" spans="2:2" x14ac:dyDescent="0.2">
      <c r="B3391" s="3" t="s">
        <v>257</v>
      </c>
    </row>
    <row r="3392" spans="2:2" x14ac:dyDescent="0.2">
      <c r="B3392" s="3" t="s">
        <v>257</v>
      </c>
    </row>
    <row r="3393" spans="2:2" x14ac:dyDescent="0.2">
      <c r="B3393" s="3" t="s">
        <v>257</v>
      </c>
    </row>
    <row r="3394" spans="2:2" x14ac:dyDescent="0.2">
      <c r="B3394" s="3" t="s">
        <v>257</v>
      </c>
    </row>
    <row r="3395" spans="2:2" x14ac:dyDescent="0.2">
      <c r="B3395" s="3" t="s">
        <v>257</v>
      </c>
    </row>
    <row r="3396" spans="2:2" x14ac:dyDescent="0.2">
      <c r="B3396" s="3" t="s">
        <v>257</v>
      </c>
    </row>
    <row r="3397" spans="2:2" x14ac:dyDescent="0.2">
      <c r="B3397" s="3" t="s">
        <v>257</v>
      </c>
    </row>
    <row r="3398" spans="2:2" x14ac:dyDescent="0.2">
      <c r="B3398" s="3" t="s">
        <v>257</v>
      </c>
    </row>
    <row r="3399" spans="2:2" x14ac:dyDescent="0.2">
      <c r="B3399" s="3" t="s">
        <v>257</v>
      </c>
    </row>
    <row r="3400" spans="2:2" x14ac:dyDescent="0.2">
      <c r="B3400" s="3" t="s">
        <v>257</v>
      </c>
    </row>
    <row r="3401" spans="2:2" x14ac:dyDescent="0.2">
      <c r="B3401" s="3" t="s">
        <v>257</v>
      </c>
    </row>
    <row r="3402" spans="2:2" x14ac:dyDescent="0.2">
      <c r="B3402" s="3" t="s">
        <v>257</v>
      </c>
    </row>
    <row r="3403" spans="2:2" x14ac:dyDescent="0.2">
      <c r="B3403" s="3" t="s">
        <v>257</v>
      </c>
    </row>
    <row r="3404" spans="2:2" x14ac:dyDescent="0.2">
      <c r="B3404" s="3" t="s">
        <v>257</v>
      </c>
    </row>
    <row r="3405" spans="2:2" x14ac:dyDescent="0.2">
      <c r="B3405" s="3" t="s">
        <v>257</v>
      </c>
    </row>
    <row r="3406" spans="2:2" x14ac:dyDescent="0.2">
      <c r="B3406" s="3" t="s">
        <v>257</v>
      </c>
    </row>
    <row r="3407" spans="2:2" x14ac:dyDescent="0.2">
      <c r="B3407" s="3" t="s">
        <v>257</v>
      </c>
    </row>
    <row r="3408" spans="2:2" x14ac:dyDescent="0.2">
      <c r="B3408" s="3" t="s">
        <v>257</v>
      </c>
    </row>
    <row r="3409" spans="2:2" x14ac:dyDescent="0.2">
      <c r="B3409" s="3" t="s">
        <v>257</v>
      </c>
    </row>
    <row r="3410" spans="2:2" x14ac:dyDescent="0.2">
      <c r="B3410" s="3" t="s">
        <v>257</v>
      </c>
    </row>
    <row r="3411" spans="2:2" x14ac:dyDescent="0.2">
      <c r="B3411" s="3" t="s">
        <v>257</v>
      </c>
    </row>
    <row r="3412" spans="2:2" x14ac:dyDescent="0.2">
      <c r="B3412" s="3" t="s">
        <v>257</v>
      </c>
    </row>
    <row r="3413" spans="2:2" x14ac:dyDescent="0.2">
      <c r="B3413" s="3" t="s">
        <v>257</v>
      </c>
    </row>
    <row r="3414" spans="2:2" x14ac:dyDescent="0.2">
      <c r="B3414" s="3" t="s">
        <v>257</v>
      </c>
    </row>
    <row r="3415" spans="2:2" x14ac:dyDescent="0.2">
      <c r="B3415" s="3" t="s">
        <v>257</v>
      </c>
    </row>
    <row r="3416" spans="2:2" x14ac:dyDescent="0.2">
      <c r="B3416" s="3" t="s">
        <v>257</v>
      </c>
    </row>
    <row r="3417" spans="2:2" x14ac:dyDescent="0.2">
      <c r="B3417" s="3" t="s">
        <v>257</v>
      </c>
    </row>
    <row r="3418" spans="2:2" x14ac:dyDescent="0.2">
      <c r="B3418" s="3" t="s">
        <v>257</v>
      </c>
    </row>
    <row r="3419" spans="2:2" x14ac:dyDescent="0.2">
      <c r="B3419" s="3" t="s">
        <v>257</v>
      </c>
    </row>
    <row r="3420" spans="2:2" x14ac:dyDescent="0.2">
      <c r="B3420" s="3" t="s">
        <v>257</v>
      </c>
    </row>
    <row r="3421" spans="2:2" x14ac:dyDescent="0.2">
      <c r="B3421" s="3" t="s">
        <v>257</v>
      </c>
    </row>
    <row r="3422" spans="2:2" x14ac:dyDescent="0.2">
      <c r="B3422" s="3" t="s">
        <v>257</v>
      </c>
    </row>
    <row r="3423" spans="2:2" x14ac:dyDescent="0.2">
      <c r="B3423" s="3" t="s">
        <v>257</v>
      </c>
    </row>
    <row r="3424" spans="2:2" x14ac:dyDescent="0.2">
      <c r="B3424" s="3" t="s">
        <v>257</v>
      </c>
    </row>
    <row r="3425" spans="2:2" x14ac:dyDescent="0.2">
      <c r="B3425" s="3" t="s">
        <v>257</v>
      </c>
    </row>
    <row r="3426" spans="2:2" x14ac:dyDescent="0.2">
      <c r="B3426" s="3" t="s">
        <v>257</v>
      </c>
    </row>
    <row r="3427" spans="2:2" x14ac:dyDescent="0.2">
      <c r="B3427" s="3" t="s">
        <v>257</v>
      </c>
    </row>
    <row r="3428" spans="2:2" x14ac:dyDescent="0.2">
      <c r="B3428" s="3" t="s">
        <v>257</v>
      </c>
    </row>
    <row r="3429" spans="2:2" x14ac:dyDescent="0.2">
      <c r="B3429" s="3" t="s">
        <v>257</v>
      </c>
    </row>
    <row r="3430" spans="2:2" x14ac:dyDescent="0.2">
      <c r="B3430" s="3" t="s">
        <v>257</v>
      </c>
    </row>
    <row r="3431" spans="2:2" x14ac:dyDescent="0.2">
      <c r="B3431" s="3" t="s">
        <v>257</v>
      </c>
    </row>
    <row r="3432" spans="2:2" x14ac:dyDescent="0.2">
      <c r="B3432" s="3" t="s">
        <v>257</v>
      </c>
    </row>
    <row r="3433" spans="2:2" x14ac:dyDescent="0.2">
      <c r="B3433" s="3" t="s">
        <v>257</v>
      </c>
    </row>
    <row r="3434" spans="2:2" x14ac:dyDescent="0.2">
      <c r="B3434" s="3" t="s">
        <v>257</v>
      </c>
    </row>
    <row r="3435" spans="2:2" x14ac:dyDescent="0.2">
      <c r="B3435" s="3" t="s">
        <v>257</v>
      </c>
    </row>
    <row r="3436" spans="2:2" x14ac:dyDescent="0.2">
      <c r="B3436" s="3" t="s">
        <v>257</v>
      </c>
    </row>
    <row r="3437" spans="2:2" x14ac:dyDescent="0.2">
      <c r="B3437" s="3" t="s">
        <v>257</v>
      </c>
    </row>
    <row r="3438" spans="2:2" x14ac:dyDescent="0.2">
      <c r="B3438" s="3" t="s">
        <v>257</v>
      </c>
    </row>
    <row r="3439" spans="2:2" x14ac:dyDescent="0.2">
      <c r="B3439" s="3" t="s">
        <v>257</v>
      </c>
    </row>
    <row r="3440" spans="2:2" x14ac:dyDescent="0.2">
      <c r="B3440" s="3" t="s">
        <v>257</v>
      </c>
    </row>
    <row r="3441" spans="2:2" x14ac:dyDescent="0.2">
      <c r="B3441" s="3" t="s">
        <v>257</v>
      </c>
    </row>
    <row r="3442" spans="2:2" x14ac:dyDescent="0.2">
      <c r="B3442" s="3" t="s">
        <v>257</v>
      </c>
    </row>
    <row r="3443" spans="2:2" x14ac:dyDescent="0.2">
      <c r="B3443" s="3" t="s">
        <v>257</v>
      </c>
    </row>
    <row r="3444" spans="2:2" x14ac:dyDescent="0.2">
      <c r="B3444" s="3" t="s">
        <v>257</v>
      </c>
    </row>
    <row r="3445" spans="2:2" x14ac:dyDescent="0.2">
      <c r="B3445" s="3" t="s">
        <v>257</v>
      </c>
    </row>
    <row r="3446" spans="2:2" x14ac:dyDescent="0.2">
      <c r="B3446" s="3" t="s">
        <v>257</v>
      </c>
    </row>
    <row r="3447" spans="2:2" x14ac:dyDescent="0.2">
      <c r="B3447" s="3" t="s">
        <v>257</v>
      </c>
    </row>
    <row r="3448" spans="2:2" x14ac:dyDescent="0.2">
      <c r="B3448" s="3" t="s">
        <v>257</v>
      </c>
    </row>
    <row r="3449" spans="2:2" x14ac:dyDescent="0.2">
      <c r="B3449" s="3" t="s">
        <v>257</v>
      </c>
    </row>
    <row r="3450" spans="2:2" x14ac:dyDescent="0.2">
      <c r="B3450" s="3" t="s">
        <v>257</v>
      </c>
    </row>
    <row r="3451" spans="2:2" x14ac:dyDescent="0.2">
      <c r="B3451" s="3" t="s">
        <v>257</v>
      </c>
    </row>
    <row r="3452" spans="2:2" x14ac:dyDescent="0.2">
      <c r="B3452" s="3" t="s">
        <v>257</v>
      </c>
    </row>
    <row r="3453" spans="2:2" x14ac:dyDescent="0.2">
      <c r="B3453" s="3" t="s">
        <v>257</v>
      </c>
    </row>
    <row r="3454" spans="2:2" x14ac:dyDescent="0.2">
      <c r="B3454" s="3" t="s">
        <v>257</v>
      </c>
    </row>
    <row r="3455" spans="2:2" x14ac:dyDescent="0.2">
      <c r="B3455" s="3" t="s">
        <v>257</v>
      </c>
    </row>
    <row r="3456" spans="2:2" x14ac:dyDescent="0.2">
      <c r="B3456" s="3" t="s">
        <v>257</v>
      </c>
    </row>
    <row r="3457" spans="2:2" x14ac:dyDescent="0.2">
      <c r="B3457" s="3" t="s">
        <v>257</v>
      </c>
    </row>
    <row r="3458" spans="2:2" x14ac:dyDescent="0.2">
      <c r="B3458" s="3" t="s">
        <v>257</v>
      </c>
    </row>
    <row r="3459" spans="2:2" x14ac:dyDescent="0.2">
      <c r="B3459" s="3" t="s">
        <v>257</v>
      </c>
    </row>
    <row r="3460" spans="2:2" x14ac:dyDescent="0.2">
      <c r="B3460" s="3" t="s">
        <v>257</v>
      </c>
    </row>
    <row r="3461" spans="2:2" x14ac:dyDescent="0.2">
      <c r="B3461" s="3" t="s">
        <v>257</v>
      </c>
    </row>
    <row r="3462" spans="2:2" x14ac:dyDescent="0.2">
      <c r="B3462" s="3" t="s">
        <v>257</v>
      </c>
    </row>
    <row r="3463" spans="2:2" x14ac:dyDescent="0.2">
      <c r="B3463" s="3" t="s">
        <v>257</v>
      </c>
    </row>
    <row r="3464" spans="2:2" x14ac:dyDescent="0.2">
      <c r="B3464" s="3" t="s">
        <v>257</v>
      </c>
    </row>
    <row r="3465" spans="2:2" x14ac:dyDescent="0.2">
      <c r="B3465" s="3" t="s">
        <v>257</v>
      </c>
    </row>
    <row r="3466" spans="2:2" x14ac:dyDescent="0.2">
      <c r="B3466" s="3" t="s">
        <v>257</v>
      </c>
    </row>
    <row r="3467" spans="2:2" x14ac:dyDescent="0.2">
      <c r="B3467" s="3" t="s">
        <v>257</v>
      </c>
    </row>
    <row r="3468" spans="2:2" x14ac:dyDescent="0.2">
      <c r="B3468" s="3" t="s">
        <v>257</v>
      </c>
    </row>
    <row r="3469" spans="2:2" x14ac:dyDescent="0.2">
      <c r="B3469" s="3" t="s">
        <v>257</v>
      </c>
    </row>
    <row r="3470" spans="2:2" x14ac:dyDescent="0.2">
      <c r="B3470" s="3" t="s">
        <v>257</v>
      </c>
    </row>
    <row r="3471" spans="2:2" x14ac:dyDescent="0.2">
      <c r="B3471" s="3" t="s">
        <v>257</v>
      </c>
    </row>
    <row r="3472" spans="2:2" x14ac:dyDescent="0.2">
      <c r="B3472" s="3" t="s">
        <v>257</v>
      </c>
    </row>
    <row r="3473" spans="2:2" x14ac:dyDescent="0.2">
      <c r="B3473" s="3" t="s">
        <v>257</v>
      </c>
    </row>
    <row r="3474" spans="2:2" x14ac:dyDescent="0.2">
      <c r="B3474" s="3" t="s">
        <v>257</v>
      </c>
    </row>
    <row r="3475" spans="2:2" x14ac:dyDescent="0.2">
      <c r="B3475" s="3" t="s">
        <v>257</v>
      </c>
    </row>
    <row r="3476" spans="2:2" x14ac:dyDescent="0.2">
      <c r="B3476" s="3" t="s">
        <v>257</v>
      </c>
    </row>
    <row r="3477" spans="2:2" x14ac:dyDescent="0.2">
      <c r="B3477" s="3" t="s">
        <v>257</v>
      </c>
    </row>
    <row r="3478" spans="2:2" x14ac:dyDescent="0.2">
      <c r="B3478" s="3" t="s">
        <v>257</v>
      </c>
    </row>
    <row r="3479" spans="2:2" x14ac:dyDescent="0.2">
      <c r="B3479" s="3" t="s">
        <v>257</v>
      </c>
    </row>
    <row r="3480" spans="2:2" x14ac:dyDescent="0.2">
      <c r="B3480" s="3" t="s">
        <v>257</v>
      </c>
    </row>
    <row r="3481" spans="2:2" x14ac:dyDescent="0.2">
      <c r="B3481" s="3" t="s">
        <v>257</v>
      </c>
    </row>
    <row r="3482" spans="2:2" x14ac:dyDescent="0.2">
      <c r="B3482" s="3" t="s">
        <v>257</v>
      </c>
    </row>
    <row r="3483" spans="2:2" x14ac:dyDescent="0.2">
      <c r="B3483" s="3" t="s">
        <v>257</v>
      </c>
    </row>
    <row r="3484" spans="2:2" x14ac:dyDescent="0.2">
      <c r="B3484" s="3" t="s">
        <v>257</v>
      </c>
    </row>
    <row r="3485" spans="2:2" x14ac:dyDescent="0.2">
      <c r="B3485" s="3" t="s">
        <v>257</v>
      </c>
    </row>
    <row r="3486" spans="2:2" x14ac:dyDescent="0.2">
      <c r="B3486" s="3" t="s">
        <v>257</v>
      </c>
    </row>
    <row r="3487" spans="2:2" x14ac:dyDescent="0.2">
      <c r="B3487" s="3" t="s">
        <v>257</v>
      </c>
    </row>
    <row r="3488" spans="2:2" x14ac:dyDescent="0.2">
      <c r="B3488" s="3" t="s">
        <v>257</v>
      </c>
    </row>
    <row r="3489" spans="2:2" x14ac:dyDescent="0.2">
      <c r="B3489" s="3" t="s">
        <v>257</v>
      </c>
    </row>
    <row r="3490" spans="2:2" x14ac:dyDescent="0.2">
      <c r="B3490" s="3" t="s">
        <v>257</v>
      </c>
    </row>
    <row r="3491" spans="2:2" x14ac:dyDescent="0.2">
      <c r="B3491" s="3" t="s">
        <v>257</v>
      </c>
    </row>
    <row r="3492" spans="2:2" x14ac:dyDescent="0.2">
      <c r="B3492" s="3" t="s">
        <v>257</v>
      </c>
    </row>
    <row r="3493" spans="2:2" x14ac:dyDescent="0.2">
      <c r="B3493" s="3" t="s">
        <v>257</v>
      </c>
    </row>
    <row r="3494" spans="2:2" x14ac:dyDescent="0.2">
      <c r="B3494" s="3" t="s">
        <v>257</v>
      </c>
    </row>
    <row r="3495" spans="2:2" x14ac:dyDescent="0.2">
      <c r="B3495" s="3" t="s">
        <v>257</v>
      </c>
    </row>
    <row r="3496" spans="2:2" x14ac:dyDescent="0.2">
      <c r="B3496" s="3" t="s">
        <v>257</v>
      </c>
    </row>
    <row r="3497" spans="2:2" x14ac:dyDescent="0.2">
      <c r="B3497" s="3" t="s">
        <v>257</v>
      </c>
    </row>
    <row r="3498" spans="2:2" x14ac:dyDescent="0.2">
      <c r="B3498" s="3" t="s">
        <v>257</v>
      </c>
    </row>
    <row r="3499" spans="2:2" x14ac:dyDescent="0.2">
      <c r="B3499" s="3" t="s">
        <v>257</v>
      </c>
    </row>
    <row r="3500" spans="2:2" x14ac:dyDescent="0.2">
      <c r="B3500" s="3" t="s">
        <v>257</v>
      </c>
    </row>
    <row r="3501" spans="2:2" x14ac:dyDescent="0.2">
      <c r="B3501" s="3" t="s">
        <v>257</v>
      </c>
    </row>
    <row r="3502" spans="2:2" x14ac:dyDescent="0.2">
      <c r="B3502" s="3" t="s">
        <v>257</v>
      </c>
    </row>
    <row r="3503" spans="2:2" x14ac:dyDescent="0.2">
      <c r="B3503" s="3" t="s">
        <v>257</v>
      </c>
    </row>
    <row r="3504" spans="2:2" x14ac:dyDescent="0.2">
      <c r="B3504" s="3" t="s">
        <v>257</v>
      </c>
    </row>
    <row r="3505" spans="2:2" x14ac:dyDescent="0.2">
      <c r="B3505" s="3" t="s">
        <v>257</v>
      </c>
    </row>
    <row r="3506" spans="2:2" x14ac:dyDescent="0.2">
      <c r="B3506" s="3" t="s">
        <v>257</v>
      </c>
    </row>
    <row r="3507" spans="2:2" x14ac:dyDescent="0.2">
      <c r="B3507" s="3" t="s">
        <v>257</v>
      </c>
    </row>
    <row r="3508" spans="2:2" x14ac:dyDescent="0.2">
      <c r="B3508" s="3" t="s">
        <v>257</v>
      </c>
    </row>
    <row r="3509" spans="2:2" x14ac:dyDescent="0.2">
      <c r="B3509" s="3" t="s">
        <v>257</v>
      </c>
    </row>
    <row r="3510" spans="2:2" x14ac:dyDescent="0.2">
      <c r="B3510" s="3" t="s">
        <v>257</v>
      </c>
    </row>
    <row r="3511" spans="2:2" x14ac:dyDescent="0.2">
      <c r="B3511" s="3" t="s">
        <v>257</v>
      </c>
    </row>
    <row r="3512" spans="2:2" x14ac:dyDescent="0.2">
      <c r="B3512" s="3" t="s">
        <v>257</v>
      </c>
    </row>
    <row r="3513" spans="2:2" x14ac:dyDescent="0.2">
      <c r="B3513" s="3" t="s">
        <v>257</v>
      </c>
    </row>
    <row r="3514" spans="2:2" x14ac:dyDescent="0.2">
      <c r="B3514" s="3" t="s">
        <v>257</v>
      </c>
    </row>
    <row r="3515" spans="2:2" x14ac:dyDescent="0.2">
      <c r="B3515" s="3" t="s">
        <v>257</v>
      </c>
    </row>
    <row r="3516" spans="2:2" x14ac:dyDescent="0.2">
      <c r="B3516" s="3" t="s">
        <v>257</v>
      </c>
    </row>
    <row r="3517" spans="2:2" x14ac:dyDescent="0.2">
      <c r="B3517" s="3" t="s">
        <v>257</v>
      </c>
    </row>
    <row r="3518" spans="2:2" x14ac:dyDescent="0.2">
      <c r="B3518" s="3" t="s">
        <v>257</v>
      </c>
    </row>
    <row r="3519" spans="2:2" x14ac:dyDescent="0.2">
      <c r="B3519" s="3" t="s">
        <v>257</v>
      </c>
    </row>
    <row r="3520" spans="2:2" x14ac:dyDescent="0.2">
      <c r="B3520" s="3" t="s">
        <v>257</v>
      </c>
    </row>
    <row r="3521" spans="2:2" x14ac:dyDescent="0.2">
      <c r="B3521" s="3" t="s">
        <v>257</v>
      </c>
    </row>
    <row r="3522" spans="2:2" x14ac:dyDescent="0.2">
      <c r="B3522" s="3" t="s">
        <v>257</v>
      </c>
    </row>
    <row r="3523" spans="2:2" x14ac:dyDescent="0.2">
      <c r="B3523" s="3" t="s">
        <v>257</v>
      </c>
    </row>
    <row r="3524" spans="2:2" x14ac:dyDescent="0.2">
      <c r="B3524" s="3" t="s">
        <v>257</v>
      </c>
    </row>
    <row r="3525" spans="2:2" x14ac:dyDescent="0.2">
      <c r="B3525" s="3" t="s">
        <v>257</v>
      </c>
    </row>
    <row r="3526" spans="2:2" x14ac:dyDescent="0.2">
      <c r="B3526" s="3" t="s">
        <v>257</v>
      </c>
    </row>
    <row r="3527" spans="2:2" x14ac:dyDescent="0.2">
      <c r="B3527" s="3" t="s">
        <v>257</v>
      </c>
    </row>
    <row r="3528" spans="2:2" x14ac:dyDescent="0.2">
      <c r="B3528" s="3" t="s">
        <v>257</v>
      </c>
    </row>
    <row r="3529" spans="2:2" x14ac:dyDescent="0.2">
      <c r="B3529" s="3" t="s">
        <v>257</v>
      </c>
    </row>
    <row r="3530" spans="2:2" x14ac:dyDescent="0.2">
      <c r="B3530" s="3" t="s">
        <v>257</v>
      </c>
    </row>
    <row r="3531" spans="2:2" x14ac:dyDescent="0.2">
      <c r="B3531" s="3" t="s">
        <v>257</v>
      </c>
    </row>
    <row r="3532" spans="2:2" x14ac:dyDescent="0.2">
      <c r="B3532" s="3" t="s">
        <v>257</v>
      </c>
    </row>
    <row r="3533" spans="2:2" x14ac:dyDescent="0.2">
      <c r="B3533" s="3" t="s">
        <v>257</v>
      </c>
    </row>
    <row r="3534" spans="2:2" x14ac:dyDescent="0.2">
      <c r="B3534" s="3" t="s">
        <v>257</v>
      </c>
    </row>
    <row r="3535" spans="2:2" x14ac:dyDescent="0.2">
      <c r="B3535" s="3" t="s">
        <v>257</v>
      </c>
    </row>
    <row r="3536" spans="2:2" x14ac:dyDescent="0.2">
      <c r="B3536" s="3" t="s">
        <v>257</v>
      </c>
    </row>
    <row r="3537" spans="2:2" x14ac:dyDescent="0.2">
      <c r="B3537" s="3" t="s">
        <v>257</v>
      </c>
    </row>
    <row r="3538" spans="2:2" x14ac:dyDescent="0.2">
      <c r="B3538" s="3" t="s">
        <v>257</v>
      </c>
    </row>
    <row r="3539" spans="2:2" x14ac:dyDescent="0.2">
      <c r="B3539" s="3" t="s">
        <v>257</v>
      </c>
    </row>
    <row r="3540" spans="2:2" x14ac:dyDescent="0.2">
      <c r="B3540" s="3" t="s">
        <v>257</v>
      </c>
    </row>
    <row r="3541" spans="2:2" x14ac:dyDescent="0.2">
      <c r="B3541" s="3" t="s">
        <v>257</v>
      </c>
    </row>
    <row r="3542" spans="2:2" x14ac:dyDescent="0.2">
      <c r="B3542" s="3" t="s">
        <v>257</v>
      </c>
    </row>
    <row r="3543" spans="2:2" x14ac:dyDescent="0.2">
      <c r="B3543" s="3" t="s">
        <v>257</v>
      </c>
    </row>
    <row r="3544" spans="2:2" x14ac:dyDescent="0.2">
      <c r="B3544" s="3" t="s">
        <v>257</v>
      </c>
    </row>
    <row r="3545" spans="2:2" x14ac:dyDescent="0.2">
      <c r="B3545" s="3" t="s">
        <v>257</v>
      </c>
    </row>
    <row r="3546" spans="2:2" x14ac:dyDescent="0.2">
      <c r="B3546" s="3" t="s">
        <v>257</v>
      </c>
    </row>
    <row r="3547" spans="2:2" x14ac:dyDescent="0.2">
      <c r="B3547" s="3" t="s">
        <v>257</v>
      </c>
    </row>
    <row r="3548" spans="2:2" x14ac:dyDescent="0.2">
      <c r="B3548" s="3" t="s">
        <v>257</v>
      </c>
    </row>
    <row r="3549" spans="2:2" x14ac:dyDescent="0.2">
      <c r="B3549" s="3" t="s">
        <v>257</v>
      </c>
    </row>
    <row r="3550" spans="2:2" x14ac:dyDescent="0.2">
      <c r="B3550" s="3" t="s">
        <v>257</v>
      </c>
    </row>
    <row r="3551" spans="2:2" x14ac:dyDescent="0.2">
      <c r="B3551" s="3" t="s">
        <v>257</v>
      </c>
    </row>
    <row r="3552" spans="2:2" x14ac:dyDescent="0.2">
      <c r="B3552" s="3" t="s">
        <v>257</v>
      </c>
    </row>
    <row r="3553" spans="2:2" x14ac:dyDescent="0.2">
      <c r="B3553" s="3" t="s">
        <v>257</v>
      </c>
    </row>
    <row r="3554" spans="2:2" x14ac:dyDescent="0.2">
      <c r="B3554" s="3" t="s">
        <v>257</v>
      </c>
    </row>
    <row r="3555" spans="2:2" x14ac:dyDescent="0.2">
      <c r="B3555" s="3" t="s">
        <v>257</v>
      </c>
    </row>
    <row r="3556" spans="2:2" x14ac:dyDescent="0.2">
      <c r="B3556" s="3" t="s">
        <v>257</v>
      </c>
    </row>
    <row r="3557" spans="2:2" x14ac:dyDescent="0.2">
      <c r="B3557" s="3" t="s">
        <v>257</v>
      </c>
    </row>
    <row r="3558" spans="2:2" x14ac:dyDescent="0.2">
      <c r="B3558" s="3" t="s">
        <v>257</v>
      </c>
    </row>
    <row r="3559" spans="2:2" x14ac:dyDescent="0.2">
      <c r="B3559" s="3" t="s">
        <v>257</v>
      </c>
    </row>
    <row r="3560" spans="2:2" x14ac:dyDescent="0.2">
      <c r="B3560" s="3" t="s">
        <v>257</v>
      </c>
    </row>
    <row r="3561" spans="2:2" x14ac:dyDescent="0.2">
      <c r="B3561" s="3" t="s">
        <v>257</v>
      </c>
    </row>
    <row r="3562" spans="2:2" x14ac:dyDescent="0.2">
      <c r="B3562" s="3" t="s">
        <v>257</v>
      </c>
    </row>
    <row r="3563" spans="2:2" x14ac:dyDescent="0.2">
      <c r="B3563" s="3" t="s">
        <v>257</v>
      </c>
    </row>
    <row r="3564" spans="2:2" x14ac:dyDescent="0.2">
      <c r="B3564" s="3" t="s">
        <v>257</v>
      </c>
    </row>
    <row r="3565" spans="2:2" x14ac:dyDescent="0.2">
      <c r="B3565" s="3" t="s">
        <v>257</v>
      </c>
    </row>
    <row r="3566" spans="2:2" x14ac:dyDescent="0.2">
      <c r="B3566" s="3" t="s">
        <v>257</v>
      </c>
    </row>
    <row r="3567" spans="2:2" x14ac:dyDescent="0.2">
      <c r="B3567" s="3" t="s">
        <v>257</v>
      </c>
    </row>
    <row r="3568" spans="2:2" x14ac:dyDescent="0.2">
      <c r="B3568" s="3" t="s">
        <v>257</v>
      </c>
    </row>
    <row r="3569" spans="2:2" x14ac:dyDescent="0.2">
      <c r="B3569" s="3" t="s">
        <v>257</v>
      </c>
    </row>
    <row r="3570" spans="2:2" x14ac:dyDescent="0.2">
      <c r="B3570" s="3" t="s">
        <v>257</v>
      </c>
    </row>
    <row r="3571" spans="2:2" x14ac:dyDescent="0.2">
      <c r="B3571" s="3" t="s">
        <v>257</v>
      </c>
    </row>
    <row r="3572" spans="2:2" x14ac:dyDescent="0.2">
      <c r="B3572" s="3" t="s">
        <v>257</v>
      </c>
    </row>
    <row r="3573" spans="2:2" x14ac:dyDescent="0.2">
      <c r="B3573" s="3" t="s">
        <v>257</v>
      </c>
    </row>
    <row r="3574" spans="2:2" x14ac:dyDescent="0.2">
      <c r="B3574" s="3" t="s">
        <v>257</v>
      </c>
    </row>
    <row r="3575" spans="2:2" x14ac:dyDescent="0.2">
      <c r="B3575" s="3" t="s">
        <v>257</v>
      </c>
    </row>
    <row r="3576" spans="2:2" x14ac:dyDescent="0.2">
      <c r="B3576" s="3" t="s">
        <v>257</v>
      </c>
    </row>
    <row r="3577" spans="2:2" x14ac:dyDescent="0.2">
      <c r="B3577" s="3" t="s">
        <v>257</v>
      </c>
    </row>
    <row r="3578" spans="2:2" x14ac:dyDescent="0.2">
      <c r="B3578" s="3" t="s">
        <v>257</v>
      </c>
    </row>
    <row r="3579" spans="2:2" x14ac:dyDescent="0.2">
      <c r="B3579" s="3" t="s">
        <v>257</v>
      </c>
    </row>
    <row r="3580" spans="2:2" x14ac:dyDescent="0.2">
      <c r="B3580" s="3" t="s">
        <v>257</v>
      </c>
    </row>
    <row r="3581" spans="2:2" x14ac:dyDescent="0.2">
      <c r="B3581" s="3" t="s">
        <v>257</v>
      </c>
    </row>
    <row r="3582" spans="2:2" x14ac:dyDescent="0.2">
      <c r="B3582" s="3" t="s">
        <v>257</v>
      </c>
    </row>
    <row r="3583" spans="2:2" x14ac:dyDescent="0.2">
      <c r="B3583" s="3" t="s">
        <v>257</v>
      </c>
    </row>
    <row r="3584" spans="2:2" x14ac:dyDescent="0.2">
      <c r="B3584" s="3" t="s">
        <v>257</v>
      </c>
    </row>
    <row r="3585" spans="2:2" x14ac:dyDescent="0.2">
      <c r="B3585" s="3" t="s">
        <v>257</v>
      </c>
    </row>
    <row r="3586" spans="2:2" x14ac:dyDescent="0.2">
      <c r="B3586" s="3" t="s">
        <v>257</v>
      </c>
    </row>
    <row r="3587" spans="2:2" x14ac:dyDescent="0.2">
      <c r="B3587" s="3" t="s">
        <v>257</v>
      </c>
    </row>
    <row r="3588" spans="2:2" x14ac:dyDescent="0.2">
      <c r="B3588" s="3" t="s">
        <v>257</v>
      </c>
    </row>
    <row r="3589" spans="2:2" x14ac:dyDescent="0.2">
      <c r="B3589" s="3" t="s">
        <v>257</v>
      </c>
    </row>
    <row r="3590" spans="2:2" x14ac:dyDescent="0.2">
      <c r="B3590" s="3" t="s">
        <v>257</v>
      </c>
    </row>
    <row r="3591" spans="2:2" x14ac:dyDescent="0.2">
      <c r="B3591" s="3" t="s">
        <v>257</v>
      </c>
    </row>
    <row r="3592" spans="2:2" x14ac:dyDescent="0.2">
      <c r="B3592" s="3" t="s">
        <v>257</v>
      </c>
    </row>
    <row r="3593" spans="2:2" x14ac:dyDescent="0.2">
      <c r="B3593" s="3" t="s">
        <v>257</v>
      </c>
    </row>
    <row r="3594" spans="2:2" x14ac:dyDescent="0.2">
      <c r="B3594" s="3" t="s">
        <v>257</v>
      </c>
    </row>
    <row r="3595" spans="2:2" x14ac:dyDescent="0.2">
      <c r="B3595" s="3" t="s">
        <v>257</v>
      </c>
    </row>
    <row r="3596" spans="2:2" x14ac:dyDescent="0.2">
      <c r="B3596" s="3" t="s">
        <v>257</v>
      </c>
    </row>
    <row r="3597" spans="2:2" x14ac:dyDescent="0.2">
      <c r="B3597" s="3" t="s">
        <v>257</v>
      </c>
    </row>
    <row r="3598" spans="2:2" x14ac:dyDescent="0.2">
      <c r="B3598" s="3" t="s">
        <v>257</v>
      </c>
    </row>
    <row r="3599" spans="2:2" x14ac:dyDescent="0.2">
      <c r="B3599" s="3" t="s">
        <v>257</v>
      </c>
    </row>
    <row r="3600" spans="2:2" x14ac:dyDescent="0.2">
      <c r="B3600" s="3" t="s">
        <v>257</v>
      </c>
    </row>
    <row r="3601" spans="2:2" x14ac:dyDescent="0.2">
      <c r="B3601" s="3" t="s">
        <v>257</v>
      </c>
    </row>
    <row r="3602" spans="2:2" x14ac:dyDescent="0.2">
      <c r="B3602" s="3" t="s">
        <v>257</v>
      </c>
    </row>
    <row r="3603" spans="2:2" x14ac:dyDescent="0.2">
      <c r="B3603" s="3" t="s">
        <v>257</v>
      </c>
    </row>
    <row r="3604" spans="2:2" x14ac:dyDescent="0.2">
      <c r="B3604" s="3" t="s">
        <v>257</v>
      </c>
    </row>
    <row r="3605" spans="2:2" x14ac:dyDescent="0.2">
      <c r="B3605" s="3" t="s">
        <v>257</v>
      </c>
    </row>
    <row r="3606" spans="2:2" x14ac:dyDescent="0.2">
      <c r="B3606" s="3" t="s">
        <v>257</v>
      </c>
    </row>
    <row r="3607" spans="2:2" x14ac:dyDescent="0.2">
      <c r="B3607" s="3" t="s">
        <v>257</v>
      </c>
    </row>
    <row r="3608" spans="2:2" x14ac:dyDescent="0.2">
      <c r="B3608" s="3" t="s">
        <v>257</v>
      </c>
    </row>
    <row r="3609" spans="2:2" x14ac:dyDescent="0.2">
      <c r="B3609" s="3" t="s">
        <v>257</v>
      </c>
    </row>
    <row r="3610" spans="2:2" x14ac:dyDescent="0.2">
      <c r="B3610" s="3" t="s">
        <v>257</v>
      </c>
    </row>
    <row r="3611" spans="2:2" x14ac:dyDescent="0.2">
      <c r="B3611" s="3" t="s">
        <v>257</v>
      </c>
    </row>
    <row r="3612" spans="2:2" x14ac:dyDescent="0.2">
      <c r="B3612" s="3" t="s">
        <v>257</v>
      </c>
    </row>
    <row r="3613" spans="2:2" x14ac:dyDescent="0.2">
      <c r="B3613" s="3" t="s">
        <v>257</v>
      </c>
    </row>
    <row r="3614" spans="2:2" x14ac:dyDescent="0.2">
      <c r="B3614" s="3" t="s">
        <v>257</v>
      </c>
    </row>
    <row r="3615" spans="2:2" x14ac:dyDescent="0.2">
      <c r="B3615" s="3" t="s">
        <v>257</v>
      </c>
    </row>
    <row r="3616" spans="2:2" x14ac:dyDescent="0.2">
      <c r="B3616" s="3" t="s">
        <v>257</v>
      </c>
    </row>
    <row r="3617" spans="2:2" x14ac:dyDescent="0.2">
      <c r="B3617" s="3" t="s">
        <v>257</v>
      </c>
    </row>
    <row r="3618" spans="2:2" x14ac:dyDescent="0.2">
      <c r="B3618" s="3" t="s">
        <v>257</v>
      </c>
    </row>
    <row r="3619" spans="2:2" x14ac:dyDescent="0.2">
      <c r="B3619" s="3" t="s">
        <v>257</v>
      </c>
    </row>
    <row r="3620" spans="2:2" x14ac:dyDescent="0.2">
      <c r="B3620" s="3" t="s">
        <v>257</v>
      </c>
    </row>
    <row r="3621" spans="2:2" x14ac:dyDescent="0.2">
      <c r="B3621" s="3" t="s">
        <v>257</v>
      </c>
    </row>
    <row r="3622" spans="2:2" x14ac:dyDescent="0.2">
      <c r="B3622" s="3" t="s">
        <v>257</v>
      </c>
    </row>
    <row r="3623" spans="2:2" x14ac:dyDescent="0.2">
      <c r="B3623" s="3" t="s">
        <v>257</v>
      </c>
    </row>
    <row r="3624" spans="2:2" x14ac:dyDescent="0.2">
      <c r="B3624" s="3" t="s">
        <v>257</v>
      </c>
    </row>
    <row r="3625" spans="2:2" x14ac:dyDescent="0.2">
      <c r="B3625" s="3" t="s">
        <v>257</v>
      </c>
    </row>
    <row r="3626" spans="2:2" x14ac:dyDescent="0.2">
      <c r="B3626" s="3" t="s">
        <v>257</v>
      </c>
    </row>
    <row r="3627" spans="2:2" x14ac:dyDescent="0.2">
      <c r="B3627" s="3" t="s">
        <v>257</v>
      </c>
    </row>
    <row r="3628" spans="2:2" x14ac:dyDescent="0.2">
      <c r="B3628" s="3" t="s">
        <v>257</v>
      </c>
    </row>
    <row r="3629" spans="2:2" x14ac:dyDescent="0.2">
      <c r="B3629" s="3" t="s">
        <v>257</v>
      </c>
    </row>
    <row r="3630" spans="2:2" x14ac:dyDescent="0.2">
      <c r="B3630" s="3" t="s">
        <v>257</v>
      </c>
    </row>
    <row r="3631" spans="2:2" x14ac:dyDescent="0.2">
      <c r="B3631" s="3" t="s">
        <v>257</v>
      </c>
    </row>
    <row r="3632" spans="2:2" x14ac:dyDescent="0.2">
      <c r="B3632" s="3" t="s">
        <v>257</v>
      </c>
    </row>
    <row r="3633" spans="2:2" x14ac:dyDescent="0.2">
      <c r="B3633" s="3" t="s">
        <v>257</v>
      </c>
    </row>
    <row r="3634" spans="2:2" x14ac:dyDescent="0.2">
      <c r="B3634" s="3" t="s">
        <v>257</v>
      </c>
    </row>
    <row r="3635" spans="2:2" x14ac:dyDescent="0.2">
      <c r="B3635" s="3" t="s">
        <v>257</v>
      </c>
    </row>
    <row r="3636" spans="2:2" x14ac:dyDescent="0.2">
      <c r="B3636" s="3" t="s">
        <v>257</v>
      </c>
    </row>
    <row r="3637" spans="2:2" x14ac:dyDescent="0.2">
      <c r="B3637" s="3" t="s">
        <v>257</v>
      </c>
    </row>
    <row r="3638" spans="2:2" x14ac:dyDescent="0.2">
      <c r="B3638" s="3" t="s">
        <v>257</v>
      </c>
    </row>
    <row r="3639" spans="2:2" x14ac:dyDescent="0.2">
      <c r="B3639" s="3" t="s">
        <v>257</v>
      </c>
    </row>
    <row r="3640" spans="2:2" x14ac:dyDescent="0.2">
      <c r="B3640" s="3" t="s">
        <v>257</v>
      </c>
    </row>
    <row r="3641" spans="2:2" x14ac:dyDescent="0.2">
      <c r="B3641" s="3" t="s">
        <v>257</v>
      </c>
    </row>
    <row r="3642" spans="2:2" x14ac:dyDescent="0.2">
      <c r="B3642" s="3" t="s">
        <v>257</v>
      </c>
    </row>
    <row r="3643" spans="2:2" x14ac:dyDescent="0.2">
      <c r="B3643" s="3" t="s">
        <v>257</v>
      </c>
    </row>
    <row r="3644" spans="2:2" x14ac:dyDescent="0.2">
      <c r="B3644" s="3" t="s">
        <v>257</v>
      </c>
    </row>
    <row r="3645" spans="2:2" x14ac:dyDescent="0.2">
      <c r="B3645" s="3" t="s">
        <v>257</v>
      </c>
    </row>
    <row r="3646" spans="2:2" x14ac:dyDescent="0.2">
      <c r="B3646" s="3" t="s">
        <v>257</v>
      </c>
    </row>
    <row r="3647" spans="2:2" x14ac:dyDescent="0.2">
      <c r="B3647" s="3" t="s">
        <v>257</v>
      </c>
    </row>
    <row r="3648" spans="2:2" x14ac:dyDescent="0.2">
      <c r="B3648" s="3" t="s">
        <v>257</v>
      </c>
    </row>
    <row r="3649" spans="2:2" x14ac:dyDescent="0.2">
      <c r="B3649" s="3" t="s">
        <v>257</v>
      </c>
    </row>
    <row r="3650" spans="2:2" x14ac:dyDescent="0.2">
      <c r="B3650" s="3" t="s">
        <v>257</v>
      </c>
    </row>
    <row r="3651" spans="2:2" x14ac:dyDescent="0.2">
      <c r="B3651" s="3" t="s">
        <v>257</v>
      </c>
    </row>
    <row r="3652" spans="2:2" x14ac:dyDescent="0.2">
      <c r="B3652" s="3" t="s">
        <v>257</v>
      </c>
    </row>
    <row r="3653" spans="2:2" x14ac:dyDescent="0.2">
      <c r="B3653" s="3" t="s">
        <v>257</v>
      </c>
    </row>
    <row r="3654" spans="2:2" x14ac:dyDescent="0.2">
      <c r="B3654" s="3" t="s">
        <v>257</v>
      </c>
    </row>
    <row r="3655" spans="2:2" x14ac:dyDescent="0.2">
      <c r="B3655" s="3" t="s">
        <v>257</v>
      </c>
    </row>
    <row r="3656" spans="2:2" x14ac:dyDescent="0.2">
      <c r="B3656" s="3" t="s">
        <v>257</v>
      </c>
    </row>
    <row r="3657" spans="2:2" x14ac:dyDescent="0.2">
      <c r="B3657" s="3" t="s">
        <v>257</v>
      </c>
    </row>
    <row r="3658" spans="2:2" x14ac:dyDescent="0.2">
      <c r="B3658" s="3" t="s">
        <v>257</v>
      </c>
    </row>
    <row r="3659" spans="2:2" x14ac:dyDescent="0.2">
      <c r="B3659" s="3" t="s">
        <v>257</v>
      </c>
    </row>
    <row r="3660" spans="2:2" x14ac:dyDescent="0.2">
      <c r="B3660" s="3" t="s">
        <v>257</v>
      </c>
    </row>
    <row r="3661" spans="2:2" x14ac:dyDescent="0.2">
      <c r="B3661" s="3" t="s">
        <v>257</v>
      </c>
    </row>
    <row r="3662" spans="2:2" x14ac:dyDescent="0.2">
      <c r="B3662" s="3" t="s">
        <v>257</v>
      </c>
    </row>
    <row r="3663" spans="2:2" x14ac:dyDescent="0.2">
      <c r="B3663" s="3" t="s">
        <v>257</v>
      </c>
    </row>
    <row r="3664" spans="2:2" x14ac:dyDescent="0.2">
      <c r="B3664" s="3" t="s">
        <v>257</v>
      </c>
    </row>
    <row r="3665" spans="2:2" x14ac:dyDescent="0.2">
      <c r="B3665" s="3" t="s">
        <v>257</v>
      </c>
    </row>
    <row r="3666" spans="2:2" x14ac:dyDescent="0.2">
      <c r="B3666" s="3" t="s">
        <v>257</v>
      </c>
    </row>
    <row r="3667" spans="2:2" x14ac:dyDescent="0.2">
      <c r="B3667" s="3" t="s">
        <v>257</v>
      </c>
    </row>
    <row r="3668" spans="2:2" x14ac:dyDescent="0.2">
      <c r="B3668" s="3" t="s">
        <v>257</v>
      </c>
    </row>
    <row r="3669" spans="2:2" x14ac:dyDescent="0.2">
      <c r="B3669" s="3" t="s">
        <v>257</v>
      </c>
    </row>
    <row r="3670" spans="2:2" x14ac:dyDescent="0.2">
      <c r="B3670" s="3" t="s">
        <v>257</v>
      </c>
    </row>
    <row r="3671" spans="2:2" x14ac:dyDescent="0.2">
      <c r="B3671" s="3" t="s">
        <v>257</v>
      </c>
    </row>
    <row r="3672" spans="2:2" x14ac:dyDescent="0.2">
      <c r="B3672" s="3" t="s">
        <v>257</v>
      </c>
    </row>
    <row r="3673" spans="2:2" x14ac:dyDescent="0.2">
      <c r="B3673" s="3" t="s">
        <v>257</v>
      </c>
    </row>
    <row r="3674" spans="2:2" x14ac:dyDescent="0.2">
      <c r="B3674" s="3" t="s">
        <v>257</v>
      </c>
    </row>
    <row r="3675" spans="2:2" x14ac:dyDescent="0.2">
      <c r="B3675" s="3" t="s">
        <v>257</v>
      </c>
    </row>
    <row r="3676" spans="2:2" x14ac:dyDescent="0.2">
      <c r="B3676" s="3" t="s">
        <v>257</v>
      </c>
    </row>
    <row r="3677" spans="2:2" x14ac:dyDescent="0.2">
      <c r="B3677" s="3" t="s">
        <v>257</v>
      </c>
    </row>
    <row r="3678" spans="2:2" x14ac:dyDescent="0.2">
      <c r="B3678" s="3" t="s">
        <v>257</v>
      </c>
    </row>
    <row r="3679" spans="2:2" x14ac:dyDescent="0.2">
      <c r="B3679" s="3" t="s">
        <v>257</v>
      </c>
    </row>
    <row r="3680" spans="2:2" x14ac:dyDescent="0.2">
      <c r="B3680" s="3" t="s">
        <v>257</v>
      </c>
    </row>
    <row r="3681" spans="2:2" x14ac:dyDescent="0.2">
      <c r="B3681" s="3" t="s">
        <v>257</v>
      </c>
    </row>
    <row r="3682" spans="2:2" x14ac:dyDescent="0.2">
      <c r="B3682" s="3" t="s">
        <v>257</v>
      </c>
    </row>
    <row r="3683" spans="2:2" x14ac:dyDescent="0.2">
      <c r="B3683" s="3" t="s">
        <v>257</v>
      </c>
    </row>
    <row r="3684" spans="2:2" x14ac:dyDescent="0.2">
      <c r="B3684" s="3" t="s">
        <v>257</v>
      </c>
    </row>
    <row r="3685" spans="2:2" x14ac:dyDescent="0.2">
      <c r="B3685" s="3" t="s">
        <v>257</v>
      </c>
    </row>
    <row r="3686" spans="2:2" x14ac:dyDescent="0.2">
      <c r="B3686" s="3" t="s">
        <v>257</v>
      </c>
    </row>
    <row r="3687" spans="2:2" x14ac:dyDescent="0.2">
      <c r="B3687" s="3" t="s">
        <v>257</v>
      </c>
    </row>
    <row r="3688" spans="2:2" x14ac:dyDescent="0.2">
      <c r="B3688" s="3" t="s">
        <v>257</v>
      </c>
    </row>
    <row r="3689" spans="2:2" x14ac:dyDescent="0.2">
      <c r="B3689" s="3" t="s">
        <v>257</v>
      </c>
    </row>
    <row r="3690" spans="2:2" x14ac:dyDescent="0.2">
      <c r="B3690" s="3" t="s">
        <v>257</v>
      </c>
    </row>
    <row r="3691" spans="2:2" x14ac:dyDescent="0.2">
      <c r="B3691" s="3" t="s">
        <v>257</v>
      </c>
    </row>
    <row r="3692" spans="2:2" x14ac:dyDescent="0.2">
      <c r="B3692" s="3" t="s">
        <v>257</v>
      </c>
    </row>
    <row r="3693" spans="2:2" x14ac:dyDescent="0.2">
      <c r="B3693" s="3" t="s">
        <v>257</v>
      </c>
    </row>
    <row r="3694" spans="2:2" x14ac:dyDescent="0.2">
      <c r="B3694" s="3" t="s">
        <v>257</v>
      </c>
    </row>
    <row r="3695" spans="2:2" x14ac:dyDescent="0.2">
      <c r="B3695" s="3" t="s">
        <v>257</v>
      </c>
    </row>
    <row r="3696" spans="2:2" x14ac:dyDescent="0.2">
      <c r="B3696" s="3" t="s">
        <v>257</v>
      </c>
    </row>
    <row r="3697" spans="2:2" x14ac:dyDescent="0.2">
      <c r="B3697" s="3" t="s">
        <v>257</v>
      </c>
    </row>
    <row r="3698" spans="2:2" x14ac:dyDescent="0.2">
      <c r="B3698" s="3" t="s">
        <v>257</v>
      </c>
    </row>
    <row r="3699" spans="2:2" x14ac:dyDescent="0.2">
      <c r="B3699" s="3" t="s">
        <v>257</v>
      </c>
    </row>
    <row r="3700" spans="2:2" x14ac:dyDescent="0.2">
      <c r="B3700" s="3" t="s">
        <v>257</v>
      </c>
    </row>
    <row r="3701" spans="2:2" x14ac:dyDescent="0.2">
      <c r="B3701" s="3" t="s">
        <v>257</v>
      </c>
    </row>
    <row r="3702" spans="2:2" x14ac:dyDescent="0.2">
      <c r="B3702" s="3" t="s">
        <v>257</v>
      </c>
    </row>
    <row r="3703" spans="2:2" x14ac:dyDescent="0.2">
      <c r="B3703" s="3" t="s">
        <v>257</v>
      </c>
    </row>
    <row r="3704" spans="2:2" x14ac:dyDescent="0.2">
      <c r="B3704" s="3" t="s">
        <v>257</v>
      </c>
    </row>
    <row r="3705" spans="2:2" x14ac:dyDescent="0.2">
      <c r="B3705" s="3" t="s">
        <v>257</v>
      </c>
    </row>
    <row r="3706" spans="2:2" x14ac:dyDescent="0.2">
      <c r="B3706" s="3" t="s">
        <v>257</v>
      </c>
    </row>
    <row r="3707" spans="2:2" x14ac:dyDescent="0.2">
      <c r="B3707" s="3" t="s">
        <v>257</v>
      </c>
    </row>
    <row r="3708" spans="2:2" x14ac:dyDescent="0.2">
      <c r="B3708" s="3" t="s">
        <v>257</v>
      </c>
    </row>
    <row r="3709" spans="2:2" x14ac:dyDescent="0.2">
      <c r="B3709" s="3" t="s">
        <v>257</v>
      </c>
    </row>
    <row r="3710" spans="2:2" x14ac:dyDescent="0.2">
      <c r="B3710" s="3" t="s">
        <v>257</v>
      </c>
    </row>
    <row r="3711" spans="2:2" x14ac:dyDescent="0.2">
      <c r="B3711" s="3" t="s">
        <v>257</v>
      </c>
    </row>
    <row r="3712" spans="2:2" x14ac:dyDescent="0.2">
      <c r="B3712" s="3" t="s">
        <v>257</v>
      </c>
    </row>
    <row r="3713" spans="2:2" x14ac:dyDescent="0.2">
      <c r="B3713" s="3" t="s">
        <v>257</v>
      </c>
    </row>
    <row r="3714" spans="2:2" x14ac:dyDescent="0.2">
      <c r="B3714" s="3" t="s">
        <v>257</v>
      </c>
    </row>
    <row r="3715" spans="2:2" x14ac:dyDescent="0.2">
      <c r="B3715" s="3" t="s">
        <v>257</v>
      </c>
    </row>
    <row r="3716" spans="2:2" x14ac:dyDescent="0.2">
      <c r="B3716" s="3" t="s">
        <v>257</v>
      </c>
    </row>
    <row r="3717" spans="2:2" x14ac:dyDescent="0.2">
      <c r="B3717" s="3" t="s">
        <v>257</v>
      </c>
    </row>
    <row r="3718" spans="2:2" x14ac:dyDescent="0.2">
      <c r="B3718" s="3" t="s">
        <v>257</v>
      </c>
    </row>
    <row r="3719" spans="2:2" x14ac:dyDescent="0.2">
      <c r="B3719" s="3" t="s">
        <v>257</v>
      </c>
    </row>
    <row r="3720" spans="2:2" x14ac:dyDescent="0.2">
      <c r="B3720" s="3" t="s">
        <v>257</v>
      </c>
    </row>
    <row r="3721" spans="2:2" x14ac:dyDescent="0.2">
      <c r="B3721" s="3" t="s">
        <v>257</v>
      </c>
    </row>
    <row r="3722" spans="2:2" x14ac:dyDescent="0.2">
      <c r="B3722" s="3" t="s">
        <v>257</v>
      </c>
    </row>
    <row r="3723" spans="2:2" x14ac:dyDescent="0.2">
      <c r="B3723" s="3" t="s">
        <v>257</v>
      </c>
    </row>
    <row r="3724" spans="2:2" x14ac:dyDescent="0.2">
      <c r="B3724" s="3" t="s">
        <v>257</v>
      </c>
    </row>
    <row r="3725" spans="2:2" x14ac:dyDescent="0.2">
      <c r="B3725" s="3" t="s">
        <v>257</v>
      </c>
    </row>
    <row r="3726" spans="2:2" x14ac:dyDescent="0.2">
      <c r="B3726" s="3" t="s">
        <v>257</v>
      </c>
    </row>
    <row r="3727" spans="2:2" x14ac:dyDescent="0.2">
      <c r="B3727" s="3" t="s">
        <v>257</v>
      </c>
    </row>
    <row r="3728" spans="2:2" x14ac:dyDescent="0.2">
      <c r="B3728" s="3" t="s">
        <v>257</v>
      </c>
    </row>
    <row r="3729" spans="2:2" x14ac:dyDescent="0.2">
      <c r="B3729" s="3" t="s">
        <v>257</v>
      </c>
    </row>
    <row r="3730" spans="2:2" x14ac:dyDescent="0.2">
      <c r="B3730" s="3" t="s">
        <v>257</v>
      </c>
    </row>
    <row r="3731" spans="2:2" x14ac:dyDescent="0.2">
      <c r="B3731" s="3" t="s">
        <v>257</v>
      </c>
    </row>
    <row r="3732" spans="2:2" x14ac:dyDescent="0.2">
      <c r="B3732" s="3" t="s">
        <v>257</v>
      </c>
    </row>
    <row r="3733" spans="2:2" x14ac:dyDescent="0.2">
      <c r="B3733" s="3" t="s">
        <v>257</v>
      </c>
    </row>
    <row r="3734" spans="2:2" x14ac:dyDescent="0.2">
      <c r="B3734" s="3" t="s">
        <v>257</v>
      </c>
    </row>
    <row r="3735" spans="2:2" x14ac:dyDescent="0.2">
      <c r="B3735" s="3" t="s">
        <v>257</v>
      </c>
    </row>
    <row r="3736" spans="2:2" x14ac:dyDescent="0.2">
      <c r="B3736" s="3" t="s">
        <v>257</v>
      </c>
    </row>
    <row r="3737" spans="2:2" x14ac:dyDescent="0.2">
      <c r="B3737" s="3" t="s">
        <v>257</v>
      </c>
    </row>
    <row r="3738" spans="2:2" x14ac:dyDescent="0.2">
      <c r="B3738" s="3" t="s">
        <v>257</v>
      </c>
    </row>
    <row r="3739" spans="2:2" x14ac:dyDescent="0.2">
      <c r="B3739" s="3" t="s">
        <v>257</v>
      </c>
    </row>
    <row r="3740" spans="2:2" x14ac:dyDescent="0.2">
      <c r="B3740" s="3" t="s">
        <v>257</v>
      </c>
    </row>
    <row r="3741" spans="2:2" x14ac:dyDescent="0.2">
      <c r="B3741" s="3" t="s">
        <v>257</v>
      </c>
    </row>
    <row r="3742" spans="2:2" x14ac:dyDescent="0.2">
      <c r="B3742" s="3" t="s">
        <v>257</v>
      </c>
    </row>
    <row r="3743" spans="2:2" x14ac:dyDescent="0.2">
      <c r="B3743" s="3" t="s">
        <v>257</v>
      </c>
    </row>
    <row r="3744" spans="2:2" x14ac:dyDescent="0.2">
      <c r="B3744" s="3" t="s">
        <v>257</v>
      </c>
    </row>
    <row r="3745" spans="2:2" x14ac:dyDescent="0.2">
      <c r="B3745" s="3" t="s">
        <v>257</v>
      </c>
    </row>
    <row r="3746" spans="2:2" x14ac:dyDescent="0.2">
      <c r="B3746" s="3" t="s">
        <v>257</v>
      </c>
    </row>
    <row r="3747" spans="2:2" x14ac:dyDescent="0.2">
      <c r="B3747" s="3" t="s">
        <v>257</v>
      </c>
    </row>
    <row r="3748" spans="2:2" x14ac:dyDescent="0.2">
      <c r="B3748" s="3" t="s">
        <v>257</v>
      </c>
    </row>
    <row r="3749" spans="2:2" x14ac:dyDescent="0.2">
      <c r="B3749" s="3" t="s">
        <v>257</v>
      </c>
    </row>
    <row r="3750" spans="2:2" x14ac:dyDescent="0.2">
      <c r="B3750" s="3" t="s">
        <v>257</v>
      </c>
    </row>
    <row r="3751" spans="2:2" x14ac:dyDescent="0.2">
      <c r="B3751" s="3" t="s">
        <v>257</v>
      </c>
    </row>
    <row r="3752" spans="2:2" x14ac:dyDescent="0.2">
      <c r="B3752" s="3" t="s">
        <v>257</v>
      </c>
    </row>
    <row r="3753" spans="2:2" x14ac:dyDescent="0.2">
      <c r="B3753" s="3" t="s">
        <v>257</v>
      </c>
    </row>
    <row r="3754" spans="2:2" x14ac:dyDescent="0.2">
      <c r="B3754" s="3" t="s">
        <v>257</v>
      </c>
    </row>
    <row r="3755" spans="2:2" x14ac:dyDescent="0.2">
      <c r="B3755" s="3" t="s">
        <v>257</v>
      </c>
    </row>
    <row r="3756" spans="2:2" x14ac:dyDescent="0.2">
      <c r="B3756" s="3" t="s">
        <v>257</v>
      </c>
    </row>
    <row r="3757" spans="2:2" x14ac:dyDescent="0.2">
      <c r="B3757" s="3" t="s">
        <v>257</v>
      </c>
    </row>
    <row r="3758" spans="2:2" x14ac:dyDescent="0.2">
      <c r="B3758" s="3" t="s">
        <v>257</v>
      </c>
    </row>
    <row r="3759" spans="2:2" x14ac:dyDescent="0.2">
      <c r="B3759" s="3" t="s">
        <v>257</v>
      </c>
    </row>
    <row r="3760" spans="2:2" x14ac:dyDescent="0.2">
      <c r="B3760" s="3" t="s">
        <v>257</v>
      </c>
    </row>
    <row r="3761" spans="2:2" x14ac:dyDescent="0.2">
      <c r="B3761" s="3" t="s">
        <v>257</v>
      </c>
    </row>
    <row r="3762" spans="2:2" x14ac:dyDescent="0.2">
      <c r="B3762" s="3" t="s">
        <v>257</v>
      </c>
    </row>
    <row r="3763" spans="2:2" x14ac:dyDescent="0.2">
      <c r="B3763" s="3" t="s">
        <v>257</v>
      </c>
    </row>
    <row r="3764" spans="2:2" x14ac:dyDescent="0.2">
      <c r="B3764" s="3" t="s">
        <v>257</v>
      </c>
    </row>
    <row r="3765" spans="2:2" x14ac:dyDescent="0.2">
      <c r="B3765" s="3" t="s">
        <v>257</v>
      </c>
    </row>
    <row r="3766" spans="2:2" x14ac:dyDescent="0.2">
      <c r="B3766" s="3" t="s">
        <v>257</v>
      </c>
    </row>
    <row r="3767" spans="2:2" x14ac:dyDescent="0.2">
      <c r="B3767" s="3" t="s">
        <v>257</v>
      </c>
    </row>
    <row r="3768" spans="2:2" x14ac:dyDescent="0.2">
      <c r="B3768" s="3" t="s">
        <v>257</v>
      </c>
    </row>
    <row r="3769" spans="2:2" x14ac:dyDescent="0.2">
      <c r="B3769" s="3" t="s">
        <v>257</v>
      </c>
    </row>
    <row r="3770" spans="2:2" x14ac:dyDescent="0.2">
      <c r="B3770" s="3" t="s">
        <v>257</v>
      </c>
    </row>
    <row r="3771" spans="2:2" x14ac:dyDescent="0.2">
      <c r="B3771" s="3" t="s">
        <v>257</v>
      </c>
    </row>
    <row r="3772" spans="2:2" x14ac:dyDescent="0.2">
      <c r="B3772" s="3" t="s">
        <v>257</v>
      </c>
    </row>
    <row r="3773" spans="2:2" x14ac:dyDescent="0.2">
      <c r="B3773" s="3" t="s">
        <v>257</v>
      </c>
    </row>
    <row r="3774" spans="2:2" x14ac:dyDescent="0.2">
      <c r="B3774" s="3" t="s">
        <v>257</v>
      </c>
    </row>
    <row r="3775" spans="2:2" x14ac:dyDescent="0.2">
      <c r="B3775" s="3" t="s">
        <v>257</v>
      </c>
    </row>
    <row r="3776" spans="2:2" x14ac:dyDescent="0.2">
      <c r="B3776" s="3" t="s">
        <v>257</v>
      </c>
    </row>
    <row r="3777" spans="2:2" x14ac:dyDescent="0.2">
      <c r="B3777" s="3" t="s">
        <v>257</v>
      </c>
    </row>
    <row r="3778" spans="2:2" x14ac:dyDescent="0.2">
      <c r="B3778" s="3" t="s">
        <v>257</v>
      </c>
    </row>
    <row r="3779" spans="2:2" x14ac:dyDescent="0.2">
      <c r="B3779" s="3" t="s">
        <v>257</v>
      </c>
    </row>
    <row r="3780" spans="2:2" x14ac:dyDescent="0.2">
      <c r="B3780" s="3" t="s">
        <v>257</v>
      </c>
    </row>
    <row r="3781" spans="2:2" x14ac:dyDescent="0.2">
      <c r="B3781" s="3" t="s">
        <v>257</v>
      </c>
    </row>
    <row r="3782" spans="2:2" x14ac:dyDescent="0.2">
      <c r="B3782" s="3" t="s">
        <v>257</v>
      </c>
    </row>
    <row r="3783" spans="2:2" x14ac:dyDescent="0.2">
      <c r="B3783" s="3" t="s">
        <v>257</v>
      </c>
    </row>
    <row r="3784" spans="2:2" x14ac:dyDescent="0.2">
      <c r="B3784" s="3" t="s">
        <v>257</v>
      </c>
    </row>
    <row r="3785" spans="2:2" x14ac:dyDescent="0.2">
      <c r="B3785" s="3" t="s">
        <v>257</v>
      </c>
    </row>
    <row r="3786" spans="2:2" x14ac:dyDescent="0.2">
      <c r="B3786" s="3" t="s">
        <v>257</v>
      </c>
    </row>
    <row r="3787" spans="2:2" x14ac:dyDescent="0.2">
      <c r="B3787" s="3" t="s">
        <v>257</v>
      </c>
    </row>
    <row r="3788" spans="2:2" x14ac:dyDescent="0.2">
      <c r="B3788" s="3" t="s">
        <v>257</v>
      </c>
    </row>
    <row r="3789" spans="2:2" x14ac:dyDescent="0.2">
      <c r="B3789" s="3" t="s">
        <v>257</v>
      </c>
    </row>
    <row r="3790" spans="2:2" x14ac:dyDescent="0.2">
      <c r="B3790" s="3" t="s">
        <v>257</v>
      </c>
    </row>
    <row r="3791" spans="2:2" x14ac:dyDescent="0.2">
      <c r="B3791" s="3" t="s">
        <v>257</v>
      </c>
    </row>
    <row r="3792" spans="2:2" x14ac:dyDescent="0.2">
      <c r="B3792" s="3" t="s">
        <v>257</v>
      </c>
    </row>
    <row r="3793" spans="2:2" x14ac:dyDescent="0.2">
      <c r="B3793" s="3" t="s">
        <v>257</v>
      </c>
    </row>
    <row r="3794" spans="2:2" x14ac:dyDescent="0.2">
      <c r="B3794" s="3" t="s">
        <v>257</v>
      </c>
    </row>
    <row r="3795" spans="2:2" x14ac:dyDescent="0.2">
      <c r="B3795" s="3" t="s">
        <v>257</v>
      </c>
    </row>
    <row r="3796" spans="2:2" x14ac:dyDescent="0.2">
      <c r="B3796" s="3" t="s">
        <v>257</v>
      </c>
    </row>
    <row r="3797" spans="2:2" x14ac:dyDescent="0.2">
      <c r="B3797" s="3" t="s">
        <v>257</v>
      </c>
    </row>
    <row r="3798" spans="2:2" x14ac:dyDescent="0.2">
      <c r="B3798" s="3" t="s">
        <v>257</v>
      </c>
    </row>
    <row r="3799" spans="2:2" x14ac:dyDescent="0.2">
      <c r="B3799" s="3" t="s">
        <v>257</v>
      </c>
    </row>
    <row r="3800" spans="2:2" x14ac:dyDescent="0.2">
      <c r="B3800" s="3" t="s">
        <v>257</v>
      </c>
    </row>
    <row r="3801" spans="2:2" x14ac:dyDescent="0.2">
      <c r="B3801" s="3" t="s">
        <v>257</v>
      </c>
    </row>
    <row r="3802" spans="2:2" x14ac:dyDescent="0.2">
      <c r="B3802" s="3" t="s">
        <v>257</v>
      </c>
    </row>
    <row r="3803" spans="2:2" x14ac:dyDescent="0.2">
      <c r="B3803" s="3" t="s">
        <v>257</v>
      </c>
    </row>
    <row r="3804" spans="2:2" x14ac:dyDescent="0.2">
      <c r="B3804" s="3" t="s">
        <v>257</v>
      </c>
    </row>
    <row r="3805" spans="2:2" x14ac:dyDescent="0.2">
      <c r="B3805" s="3" t="s">
        <v>257</v>
      </c>
    </row>
    <row r="3806" spans="2:2" x14ac:dyDescent="0.2">
      <c r="B3806" s="3" t="s">
        <v>257</v>
      </c>
    </row>
    <row r="3807" spans="2:2" x14ac:dyDescent="0.2">
      <c r="B3807" s="3" t="s">
        <v>257</v>
      </c>
    </row>
    <row r="3808" spans="2:2" x14ac:dyDescent="0.2">
      <c r="B3808" s="3" t="s">
        <v>257</v>
      </c>
    </row>
    <row r="3809" spans="2:2" x14ac:dyDescent="0.2">
      <c r="B3809" s="3" t="s">
        <v>257</v>
      </c>
    </row>
    <row r="3810" spans="2:2" x14ac:dyDescent="0.2">
      <c r="B3810" s="3" t="s">
        <v>257</v>
      </c>
    </row>
    <row r="3811" spans="2:2" x14ac:dyDescent="0.2">
      <c r="B3811" s="3" t="s">
        <v>257</v>
      </c>
    </row>
    <row r="3812" spans="2:2" x14ac:dyDescent="0.2">
      <c r="B3812" s="3" t="s">
        <v>257</v>
      </c>
    </row>
    <row r="3813" spans="2:2" x14ac:dyDescent="0.2">
      <c r="B3813" s="3" t="s">
        <v>257</v>
      </c>
    </row>
    <row r="3814" spans="2:2" x14ac:dyDescent="0.2">
      <c r="B3814" s="3" t="s">
        <v>257</v>
      </c>
    </row>
    <row r="3815" spans="2:2" x14ac:dyDescent="0.2">
      <c r="B3815" s="3" t="s">
        <v>257</v>
      </c>
    </row>
    <row r="3816" spans="2:2" x14ac:dyDescent="0.2">
      <c r="B3816" s="3" t="s">
        <v>257</v>
      </c>
    </row>
    <row r="3817" spans="2:2" x14ac:dyDescent="0.2">
      <c r="B3817" s="3" t="s">
        <v>257</v>
      </c>
    </row>
    <row r="3818" spans="2:2" x14ac:dyDescent="0.2">
      <c r="B3818" s="3" t="s">
        <v>257</v>
      </c>
    </row>
    <row r="3819" spans="2:2" x14ac:dyDescent="0.2">
      <c r="B3819" s="3" t="s">
        <v>257</v>
      </c>
    </row>
    <row r="3820" spans="2:2" x14ac:dyDescent="0.2">
      <c r="B3820" s="3" t="s">
        <v>257</v>
      </c>
    </row>
    <row r="3821" spans="2:2" x14ac:dyDescent="0.2">
      <c r="B3821" s="3" t="s">
        <v>257</v>
      </c>
    </row>
    <row r="3822" spans="2:2" x14ac:dyDescent="0.2">
      <c r="B3822" s="3" t="s">
        <v>257</v>
      </c>
    </row>
    <row r="3823" spans="2:2" x14ac:dyDescent="0.2">
      <c r="B3823" s="3" t="s">
        <v>257</v>
      </c>
    </row>
    <row r="3824" spans="2:2" x14ac:dyDescent="0.2">
      <c r="B3824" s="3" t="s">
        <v>257</v>
      </c>
    </row>
    <row r="3825" spans="2:2" x14ac:dyDescent="0.2">
      <c r="B3825" s="3" t="s">
        <v>257</v>
      </c>
    </row>
    <row r="3826" spans="2:2" x14ac:dyDescent="0.2">
      <c r="B3826" s="3" t="s">
        <v>257</v>
      </c>
    </row>
    <row r="3827" spans="2:2" x14ac:dyDescent="0.2">
      <c r="B3827" s="3" t="s">
        <v>257</v>
      </c>
    </row>
    <row r="3828" spans="2:2" x14ac:dyDescent="0.2">
      <c r="B3828" s="3" t="s">
        <v>257</v>
      </c>
    </row>
    <row r="3829" spans="2:2" x14ac:dyDescent="0.2">
      <c r="B3829" s="3" t="s">
        <v>257</v>
      </c>
    </row>
    <row r="3830" spans="2:2" x14ac:dyDescent="0.2">
      <c r="B3830" s="3" t="s">
        <v>257</v>
      </c>
    </row>
    <row r="3831" spans="2:2" x14ac:dyDescent="0.2">
      <c r="B3831" s="3" t="s">
        <v>257</v>
      </c>
    </row>
    <row r="3832" spans="2:2" x14ac:dyDescent="0.2">
      <c r="B3832" s="3" t="s">
        <v>257</v>
      </c>
    </row>
    <row r="3833" spans="2:2" x14ac:dyDescent="0.2">
      <c r="B3833" s="3" t="s">
        <v>257</v>
      </c>
    </row>
    <row r="3834" spans="2:2" x14ac:dyDescent="0.2">
      <c r="B3834" s="3" t="s">
        <v>257</v>
      </c>
    </row>
    <row r="3835" spans="2:2" x14ac:dyDescent="0.2">
      <c r="B3835" s="3" t="s">
        <v>257</v>
      </c>
    </row>
    <row r="3836" spans="2:2" x14ac:dyDescent="0.2">
      <c r="B3836" s="3" t="s">
        <v>257</v>
      </c>
    </row>
    <row r="3837" spans="2:2" x14ac:dyDescent="0.2">
      <c r="B3837" s="3" t="s">
        <v>257</v>
      </c>
    </row>
    <row r="3838" spans="2:2" x14ac:dyDescent="0.2">
      <c r="B3838" s="3" t="s">
        <v>257</v>
      </c>
    </row>
    <row r="3839" spans="2:2" x14ac:dyDescent="0.2">
      <c r="B3839" s="3" t="s">
        <v>257</v>
      </c>
    </row>
    <row r="3840" spans="2:2" x14ac:dyDescent="0.2">
      <c r="B3840" s="3" t="s">
        <v>257</v>
      </c>
    </row>
    <row r="3841" spans="2:2" x14ac:dyDescent="0.2">
      <c r="B3841" s="3" t="s">
        <v>257</v>
      </c>
    </row>
    <row r="3842" spans="2:2" x14ac:dyDescent="0.2">
      <c r="B3842" s="3" t="s">
        <v>257</v>
      </c>
    </row>
    <row r="3843" spans="2:2" x14ac:dyDescent="0.2">
      <c r="B3843" s="3" t="s">
        <v>257</v>
      </c>
    </row>
    <row r="3844" spans="2:2" x14ac:dyDescent="0.2">
      <c r="B3844" s="3" t="s">
        <v>257</v>
      </c>
    </row>
    <row r="3845" spans="2:2" x14ac:dyDescent="0.2">
      <c r="B3845" s="3" t="s">
        <v>257</v>
      </c>
    </row>
    <row r="3846" spans="2:2" x14ac:dyDescent="0.2">
      <c r="B3846" s="3" t="s">
        <v>257</v>
      </c>
    </row>
    <row r="3847" spans="2:2" x14ac:dyDescent="0.2">
      <c r="B3847" s="3" t="s">
        <v>257</v>
      </c>
    </row>
    <row r="3848" spans="2:2" x14ac:dyDescent="0.2">
      <c r="B3848" s="3" t="s">
        <v>257</v>
      </c>
    </row>
    <row r="3849" spans="2:2" x14ac:dyDescent="0.2">
      <c r="B3849" s="3" t="s">
        <v>257</v>
      </c>
    </row>
    <row r="3850" spans="2:2" x14ac:dyDescent="0.2">
      <c r="B3850" s="3" t="s">
        <v>257</v>
      </c>
    </row>
    <row r="3851" spans="2:2" x14ac:dyDescent="0.2">
      <c r="B3851" s="3" t="s">
        <v>257</v>
      </c>
    </row>
    <row r="3852" spans="2:2" x14ac:dyDescent="0.2">
      <c r="B3852" s="3" t="s">
        <v>257</v>
      </c>
    </row>
    <row r="3853" spans="2:2" x14ac:dyDescent="0.2">
      <c r="B3853" s="3" t="s">
        <v>257</v>
      </c>
    </row>
    <row r="3854" spans="2:2" x14ac:dyDescent="0.2">
      <c r="B3854" s="3" t="s">
        <v>257</v>
      </c>
    </row>
    <row r="3855" spans="2:2" x14ac:dyDescent="0.2">
      <c r="B3855" s="3" t="s">
        <v>257</v>
      </c>
    </row>
    <row r="3856" spans="2:2" x14ac:dyDescent="0.2">
      <c r="B3856" s="3" t="s">
        <v>257</v>
      </c>
    </row>
    <row r="3857" spans="2:2" x14ac:dyDescent="0.2">
      <c r="B3857" s="3" t="s">
        <v>257</v>
      </c>
    </row>
    <row r="3858" spans="2:2" x14ac:dyDescent="0.2">
      <c r="B3858" s="3" t="s">
        <v>257</v>
      </c>
    </row>
    <row r="3859" spans="2:2" x14ac:dyDescent="0.2">
      <c r="B3859" s="3" t="s">
        <v>257</v>
      </c>
    </row>
    <row r="3860" spans="2:2" x14ac:dyDescent="0.2">
      <c r="B3860" s="3" t="s">
        <v>257</v>
      </c>
    </row>
    <row r="3861" spans="2:2" x14ac:dyDescent="0.2">
      <c r="B3861" s="3" t="s">
        <v>257</v>
      </c>
    </row>
    <row r="3862" spans="2:2" x14ac:dyDescent="0.2">
      <c r="B3862" s="3" t="s">
        <v>257</v>
      </c>
    </row>
    <row r="3863" spans="2:2" x14ac:dyDescent="0.2">
      <c r="B3863" s="3" t="s">
        <v>257</v>
      </c>
    </row>
    <row r="3864" spans="2:2" x14ac:dyDescent="0.2">
      <c r="B3864" s="3" t="s">
        <v>257</v>
      </c>
    </row>
    <row r="3865" spans="2:2" x14ac:dyDescent="0.2">
      <c r="B3865" s="3" t="s">
        <v>257</v>
      </c>
    </row>
    <row r="3866" spans="2:2" x14ac:dyDescent="0.2">
      <c r="B3866" s="3" t="s">
        <v>257</v>
      </c>
    </row>
    <row r="3867" spans="2:2" x14ac:dyDescent="0.2">
      <c r="B3867" s="3" t="s">
        <v>257</v>
      </c>
    </row>
    <row r="3868" spans="2:2" x14ac:dyDescent="0.2">
      <c r="B3868" s="3" t="s">
        <v>257</v>
      </c>
    </row>
    <row r="3869" spans="2:2" x14ac:dyDescent="0.2">
      <c r="B3869" s="3" t="s">
        <v>257</v>
      </c>
    </row>
    <row r="3870" spans="2:2" x14ac:dyDescent="0.2">
      <c r="B3870" s="3" t="s">
        <v>257</v>
      </c>
    </row>
    <row r="3871" spans="2:2" x14ac:dyDescent="0.2">
      <c r="B3871" s="3" t="s">
        <v>257</v>
      </c>
    </row>
    <row r="3872" spans="2:2" x14ac:dyDescent="0.2">
      <c r="B3872" s="3" t="s">
        <v>257</v>
      </c>
    </row>
    <row r="3873" spans="2:2" x14ac:dyDescent="0.2">
      <c r="B3873" s="3" t="s">
        <v>257</v>
      </c>
    </row>
    <row r="3874" spans="2:2" x14ac:dyDescent="0.2">
      <c r="B3874" s="3" t="s">
        <v>257</v>
      </c>
    </row>
    <row r="3875" spans="2:2" x14ac:dyDescent="0.2">
      <c r="B3875" s="3" t="s">
        <v>257</v>
      </c>
    </row>
    <row r="3876" spans="2:2" x14ac:dyDescent="0.2">
      <c r="B3876" s="3" t="s">
        <v>257</v>
      </c>
    </row>
    <row r="3877" spans="2:2" x14ac:dyDescent="0.2">
      <c r="B3877" s="3" t="s">
        <v>257</v>
      </c>
    </row>
    <row r="3878" spans="2:2" x14ac:dyDescent="0.2">
      <c r="B3878" s="3" t="s">
        <v>257</v>
      </c>
    </row>
    <row r="3879" spans="2:2" x14ac:dyDescent="0.2">
      <c r="B3879" s="3" t="s">
        <v>257</v>
      </c>
    </row>
    <row r="3880" spans="2:2" x14ac:dyDescent="0.2">
      <c r="B3880" s="3" t="s">
        <v>257</v>
      </c>
    </row>
    <row r="3881" spans="2:2" x14ac:dyDescent="0.2">
      <c r="B3881" s="3" t="s">
        <v>257</v>
      </c>
    </row>
    <row r="3882" spans="2:2" x14ac:dyDescent="0.2">
      <c r="B3882" s="3" t="s">
        <v>257</v>
      </c>
    </row>
    <row r="3883" spans="2:2" x14ac:dyDescent="0.2">
      <c r="B3883" s="3" t="s">
        <v>257</v>
      </c>
    </row>
    <row r="3884" spans="2:2" x14ac:dyDescent="0.2">
      <c r="B3884" s="3" t="s">
        <v>257</v>
      </c>
    </row>
    <row r="3885" spans="2:2" x14ac:dyDescent="0.2">
      <c r="B3885" s="3" t="s">
        <v>257</v>
      </c>
    </row>
    <row r="3886" spans="2:2" x14ac:dyDescent="0.2">
      <c r="B3886" s="3" t="s">
        <v>257</v>
      </c>
    </row>
    <row r="3887" spans="2:2" x14ac:dyDescent="0.2">
      <c r="B3887" s="3" t="s">
        <v>257</v>
      </c>
    </row>
    <row r="3888" spans="2:2" x14ac:dyDescent="0.2">
      <c r="B3888" s="3" t="s">
        <v>257</v>
      </c>
    </row>
    <row r="3889" spans="2:2" x14ac:dyDescent="0.2">
      <c r="B3889" s="3" t="s">
        <v>257</v>
      </c>
    </row>
    <row r="3890" spans="2:2" x14ac:dyDescent="0.2">
      <c r="B3890" s="3" t="s">
        <v>257</v>
      </c>
    </row>
    <row r="3891" spans="2:2" x14ac:dyDescent="0.2">
      <c r="B3891" s="3" t="s">
        <v>257</v>
      </c>
    </row>
    <row r="3892" spans="2:2" x14ac:dyDescent="0.2">
      <c r="B3892" s="3" t="s">
        <v>257</v>
      </c>
    </row>
    <row r="3893" spans="2:2" x14ac:dyDescent="0.2">
      <c r="B3893" s="3" t="s">
        <v>257</v>
      </c>
    </row>
    <row r="3894" spans="2:2" x14ac:dyDescent="0.2">
      <c r="B3894" s="3" t="s">
        <v>257</v>
      </c>
    </row>
    <row r="3895" spans="2:2" x14ac:dyDescent="0.2">
      <c r="B3895" s="3" t="s">
        <v>257</v>
      </c>
    </row>
    <row r="3896" spans="2:2" x14ac:dyDescent="0.2">
      <c r="B3896" s="3" t="s">
        <v>257</v>
      </c>
    </row>
    <row r="3897" spans="2:2" x14ac:dyDescent="0.2">
      <c r="B3897" s="3" t="s">
        <v>257</v>
      </c>
    </row>
    <row r="3898" spans="2:2" x14ac:dyDescent="0.2">
      <c r="B3898" s="3" t="s">
        <v>257</v>
      </c>
    </row>
    <row r="3899" spans="2:2" x14ac:dyDescent="0.2">
      <c r="B3899" s="3" t="s">
        <v>257</v>
      </c>
    </row>
    <row r="3900" spans="2:2" x14ac:dyDescent="0.2">
      <c r="B3900" s="3" t="s">
        <v>257</v>
      </c>
    </row>
    <row r="3901" spans="2:2" x14ac:dyDescent="0.2">
      <c r="B3901" s="3" t="s">
        <v>257</v>
      </c>
    </row>
    <row r="3902" spans="2:2" x14ac:dyDescent="0.2">
      <c r="B3902" s="3" t="s">
        <v>257</v>
      </c>
    </row>
    <row r="3903" spans="2:2" x14ac:dyDescent="0.2">
      <c r="B3903" s="3" t="s">
        <v>257</v>
      </c>
    </row>
    <row r="3904" spans="2:2" x14ac:dyDescent="0.2">
      <c r="B3904" s="3" t="s">
        <v>257</v>
      </c>
    </row>
    <row r="3905" spans="2:2" x14ac:dyDescent="0.2">
      <c r="B3905" s="3" t="s">
        <v>257</v>
      </c>
    </row>
    <row r="3906" spans="2:2" x14ac:dyDescent="0.2">
      <c r="B3906" s="3" t="s">
        <v>257</v>
      </c>
    </row>
    <row r="3907" spans="2:2" x14ac:dyDescent="0.2">
      <c r="B3907" s="3" t="s">
        <v>257</v>
      </c>
    </row>
    <row r="3908" spans="2:2" x14ac:dyDescent="0.2">
      <c r="B3908" s="3" t="s">
        <v>257</v>
      </c>
    </row>
    <row r="3909" spans="2:2" x14ac:dyDescent="0.2">
      <c r="B3909" s="3" t="s">
        <v>257</v>
      </c>
    </row>
    <row r="3910" spans="2:2" x14ac:dyDescent="0.2">
      <c r="B3910" s="3" t="s">
        <v>257</v>
      </c>
    </row>
    <row r="3911" spans="2:2" x14ac:dyDescent="0.2">
      <c r="B3911" s="3" t="s">
        <v>257</v>
      </c>
    </row>
    <row r="3912" spans="2:2" x14ac:dyDescent="0.2">
      <c r="B3912" s="3" t="s">
        <v>257</v>
      </c>
    </row>
    <row r="3913" spans="2:2" x14ac:dyDescent="0.2">
      <c r="B3913" s="3" t="s">
        <v>257</v>
      </c>
    </row>
    <row r="3914" spans="2:2" x14ac:dyDescent="0.2">
      <c r="B3914" s="3" t="s">
        <v>257</v>
      </c>
    </row>
    <row r="3915" spans="2:2" x14ac:dyDescent="0.2">
      <c r="B3915" s="3" t="s">
        <v>257</v>
      </c>
    </row>
    <row r="3916" spans="2:2" x14ac:dyDescent="0.2">
      <c r="B3916" s="3" t="s">
        <v>257</v>
      </c>
    </row>
    <row r="3917" spans="2:2" x14ac:dyDescent="0.2">
      <c r="B3917" s="3" t="s">
        <v>257</v>
      </c>
    </row>
    <row r="3918" spans="2:2" x14ac:dyDescent="0.2">
      <c r="B3918" s="3" t="s">
        <v>257</v>
      </c>
    </row>
    <row r="3919" spans="2:2" x14ac:dyDescent="0.2">
      <c r="B3919" s="3" t="s">
        <v>257</v>
      </c>
    </row>
    <row r="3920" spans="2:2" x14ac:dyDescent="0.2">
      <c r="B3920" s="3" t="s">
        <v>257</v>
      </c>
    </row>
    <row r="3921" spans="2:2" x14ac:dyDescent="0.2">
      <c r="B3921" s="3" t="s">
        <v>257</v>
      </c>
    </row>
    <row r="3922" spans="2:2" x14ac:dyDescent="0.2">
      <c r="B3922" s="3" t="s">
        <v>257</v>
      </c>
    </row>
    <row r="3923" spans="2:2" x14ac:dyDescent="0.2">
      <c r="B3923" s="3" t="s">
        <v>257</v>
      </c>
    </row>
    <row r="3924" spans="2:2" x14ac:dyDescent="0.2">
      <c r="B3924" s="3" t="s">
        <v>257</v>
      </c>
    </row>
    <row r="3925" spans="2:2" x14ac:dyDescent="0.2">
      <c r="B3925" s="3" t="s">
        <v>257</v>
      </c>
    </row>
    <row r="3926" spans="2:2" x14ac:dyDescent="0.2">
      <c r="B3926" s="3" t="s">
        <v>257</v>
      </c>
    </row>
    <row r="3927" spans="2:2" x14ac:dyDescent="0.2">
      <c r="B3927" s="3" t="s">
        <v>257</v>
      </c>
    </row>
    <row r="3928" spans="2:2" x14ac:dyDescent="0.2">
      <c r="B3928" s="3" t="s">
        <v>257</v>
      </c>
    </row>
    <row r="3929" spans="2:2" x14ac:dyDescent="0.2">
      <c r="B3929" s="3" t="s">
        <v>257</v>
      </c>
    </row>
    <row r="3930" spans="2:2" x14ac:dyDescent="0.2">
      <c r="B3930" s="3" t="s">
        <v>257</v>
      </c>
    </row>
    <row r="3931" spans="2:2" x14ac:dyDescent="0.2">
      <c r="B3931" s="3" t="s">
        <v>257</v>
      </c>
    </row>
    <row r="3932" spans="2:2" x14ac:dyDescent="0.2">
      <c r="B3932" s="3" t="s">
        <v>257</v>
      </c>
    </row>
    <row r="3933" spans="2:2" x14ac:dyDescent="0.2">
      <c r="B3933" s="3" t="s">
        <v>257</v>
      </c>
    </row>
    <row r="3934" spans="2:2" x14ac:dyDescent="0.2">
      <c r="B3934" s="3" t="s">
        <v>257</v>
      </c>
    </row>
    <row r="3935" spans="2:2" x14ac:dyDescent="0.2">
      <c r="B3935" s="3" t="s">
        <v>257</v>
      </c>
    </row>
    <row r="3936" spans="2:2" x14ac:dyDescent="0.2">
      <c r="B3936" s="3" t="s">
        <v>257</v>
      </c>
    </row>
    <row r="3937" spans="2:2" x14ac:dyDescent="0.2">
      <c r="B3937" s="3" t="s">
        <v>257</v>
      </c>
    </row>
    <row r="3938" spans="2:2" x14ac:dyDescent="0.2">
      <c r="B3938" s="3" t="s">
        <v>257</v>
      </c>
    </row>
    <row r="3939" spans="2:2" x14ac:dyDescent="0.2">
      <c r="B3939" s="3" t="s">
        <v>257</v>
      </c>
    </row>
    <row r="3940" spans="2:2" x14ac:dyDescent="0.2">
      <c r="B3940" s="3" t="s">
        <v>257</v>
      </c>
    </row>
    <row r="3941" spans="2:2" x14ac:dyDescent="0.2">
      <c r="B3941" s="3" t="s">
        <v>257</v>
      </c>
    </row>
    <row r="3942" spans="2:2" x14ac:dyDescent="0.2">
      <c r="B3942" s="3" t="s">
        <v>257</v>
      </c>
    </row>
    <row r="3943" spans="2:2" x14ac:dyDescent="0.2">
      <c r="B3943" s="3" t="s">
        <v>257</v>
      </c>
    </row>
    <row r="3944" spans="2:2" x14ac:dyDescent="0.2">
      <c r="B3944" s="3" t="s">
        <v>257</v>
      </c>
    </row>
    <row r="3945" spans="2:2" x14ac:dyDescent="0.2">
      <c r="B3945" s="3" t="s">
        <v>257</v>
      </c>
    </row>
    <row r="3946" spans="2:2" x14ac:dyDescent="0.2">
      <c r="B3946" s="3" t="s">
        <v>257</v>
      </c>
    </row>
    <row r="3947" spans="2:2" x14ac:dyDescent="0.2">
      <c r="B3947" s="3" t="s">
        <v>257</v>
      </c>
    </row>
    <row r="3948" spans="2:2" x14ac:dyDescent="0.2">
      <c r="B3948" s="3" t="s">
        <v>257</v>
      </c>
    </row>
    <row r="3949" spans="2:2" x14ac:dyDescent="0.2">
      <c r="B3949" s="3" t="s">
        <v>257</v>
      </c>
    </row>
    <row r="3950" spans="2:2" x14ac:dyDescent="0.2">
      <c r="B3950" s="3" t="s">
        <v>257</v>
      </c>
    </row>
    <row r="3951" spans="2:2" x14ac:dyDescent="0.2">
      <c r="B3951" s="3" t="s">
        <v>257</v>
      </c>
    </row>
    <row r="3952" spans="2:2" x14ac:dyDescent="0.2">
      <c r="B3952" s="3" t="s">
        <v>257</v>
      </c>
    </row>
    <row r="3953" spans="2:2" x14ac:dyDescent="0.2">
      <c r="B3953" s="3" t="s">
        <v>257</v>
      </c>
    </row>
    <row r="3954" spans="2:2" x14ac:dyDescent="0.2">
      <c r="B3954" s="3" t="s">
        <v>257</v>
      </c>
    </row>
    <row r="3955" spans="2:2" x14ac:dyDescent="0.2">
      <c r="B3955" s="3" t="s">
        <v>257</v>
      </c>
    </row>
    <row r="3956" spans="2:2" x14ac:dyDescent="0.2">
      <c r="B3956" s="3" t="s">
        <v>257</v>
      </c>
    </row>
    <row r="3957" spans="2:2" x14ac:dyDescent="0.2">
      <c r="B3957" s="3" t="s">
        <v>257</v>
      </c>
    </row>
    <row r="3958" spans="2:2" x14ac:dyDescent="0.2">
      <c r="B3958" s="3" t="s">
        <v>257</v>
      </c>
    </row>
    <row r="3959" spans="2:2" x14ac:dyDescent="0.2">
      <c r="B3959" s="3" t="s">
        <v>257</v>
      </c>
    </row>
    <row r="3960" spans="2:2" x14ac:dyDescent="0.2">
      <c r="B3960" s="3" t="s">
        <v>257</v>
      </c>
    </row>
    <row r="3961" spans="2:2" x14ac:dyDescent="0.2">
      <c r="B3961" s="3" t="s">
        <v>257</v>
      </c>
    </row>
    <row r="3962" spans="2:2" x14ac:dyDescent="0.2">
      <c r="B3962" s="3" t="s">
        <v>257</v>
      </c>
    </row>
    <row r="3963" spans="2:2" x14ac:dyDescent="0.2">
      <c r="B3963" s="3" t="s">
        <v>257</v>
      </c>
    </row>
    <row r="3964" spans="2:2" x14ac:dyDescent="0.2">
      <c r="B3964" s="3" t="s">
        <v>257</v>
      </c>
    </row>
    <row r="3965" spans="2:2" x14ac:dyDescent="0.2">
      <c r="B3965" s="3" t="s">
        <v>257</v>
      </c>
    </row>
    <row r="3966" spans="2:2" x14ac:dyDescent="0.2">
      <c r="B3966" s="3" t="s">
        <v>257</v>
      </c>
    </row>
    <row r="3967" spans="2:2" x14ac:dyDescent="0.2">
      <c r="B3967" s="3" t="s">
        <v>257</v>
      </c>
    </row>
    <row r="3968" spans="2:2" x14ac:dyDescent="0.2">
      <c r="B3968" s="3" t="s">
        <v>257</v>
      </c>
    </row>
    <row r="3969" spans="2:2" x14ac:dyDescent="0.2">
      <c r="B3969" s="3" t="s">
        <v>257</v>
      </c>
    </row>
    <row r="3970" spans="2:2" x14ac:dyDescent="0.2">
      <c r="B3970" s="3" t="s">
        <v>257</v>
      </c>
    </row>
    <row r="3971" spans="2:2" x14ac:dyDescent="0.2">
      <c r="B3971" s="3" t="s">
        <v>257</v>
      </c>
    </row>
    <row r="3972" spans="2:2" x14ac:dyDescent="0.2">
      <c r="B3972" s="3" t="s">
        <v>257</v>
      </c>
    </row>
    <row r="3973" spans="2:2" x14ac:dyDescent="0.2">
      <c r="B3973" s="3" t="s">
        <v>257</v>
      </c>
    </row>
    <row r="3974" spans="2:2" x14ac:dyDescent="0.2">
      <c r="B3974" s="3" t="s">
        <v>257</v>
      </c>
    </row>
    <row r="3975" spans="2:2" x14ac:dyDescent="0.2">
      <c r="B3975" s="3" t="s">
        <v>257</v>
      </c>
    </row>
    <row r="3976" spans="2:2" x14ac:dyDescent="0.2">
      <c r="B3976" s="3" t="s">
        <v>257</v>
      </c>
    </row>
    <row r="3977" spans="2:2" x14ac:dyDescent="0.2">
      <c r="B3977" s="3" t="s">
        <v>257</v>
      </c>
    </row>
    <row r="3978" spans="2:2" x14ac:dyDescent="0.2">
      <c r="B3978" s="3" t="s">
        <v>257</v>
      </c>
    </row>
    <row r="3979" spans="2:2" x14ac:dyDescent="0.2">
      <c r="B3979" s="3" t="s">
        <v>257</v>
      </c>
    </row>
    <row r="3980" spans="2:2" x14ac:dyDescent="0.2">
      <c r="B3980" s="3" t="s">
        <v>257</v>
      </c>
    </row>
    <row r="3981" spans="2:2" x14ac:dyDescent="0.2">
      <c r="B3981" s="3" t="s">
        <v>257</v>
      </c>
    </row>
    <row r="3982" spans="2:2" x14ac:dyDescent="0.2">
      <c r="B3982" s="3" t="s">
        <v>257</v>
      </c>
    </row>
    <row r="3983" spans="2:2" x14ac:dyDescent="0.2">
      <c r="B3983" s="3" t="s">
        <v>257</v>
      </c>
    </row>
    <row r="3984" spans="2:2" x14ac:dyDescent="0.2">
      <c r="B3984" s="3" t="s">
        <v>257</v>
      </c>
    </row>
    <row r="3985" spans="2:2" x14ac:dyDescent="0.2">
      <c r="B3985" s="3" t="s">
        <v>257</v>
      </c>
    </row>
    <row r="3986" spans="2:2" x14ac:dyDescent="0.2">
      <c r="B3986" s="3" t="s">
        <v>257</v>
      </c>
    </row>
    <row r="3987" spans="2:2" x14ac:dyDescent="0.2">
      <c r="B3987" s="3" t="s">
        <v>257</v>
      </c>
    </row>
    <row r="3988" spans="2:2" x14ac:dyDescent="0.2">
      <c r="B3988" s="3" t="s">
        <v>257</v>
      </c>
    </row>
    <row r="3989" spans="2:2" x14ac:dyDescent="0.2">
      <c r="B3989" s="3" t="s">
        <v>257</v>
      </c>
    </row>
    <row r="3990" spans="2:2" x14ac:dyDescent="0.2">
      <c r="B3990" s="3" t="s">
        <v>257</v>
      </c>
    </row>
    <row r="3991" spans="2:2" x14ac:dyDescent="0.2">
      <c r="B3991" s="3" t="s">
        <v>257</v>
      </c>
    </row>
    <row r="3992" spans="2:2" x14ac:dyDescent="0.2">
      <c r="B3992" s="3" t="s">
        <v>257</v>
      </c>
    </row>
    <row r="3993" spans="2:2" x14ac:dyDescent="0.2">
      <c r="B3993" s="3" t="s">
        <v>257</v>
      </c>
    </row>
    <row r="3994" spans="2:2" x14ac:dyDescent="0.2">
      <c r="B3994" s="3" t="s">
        <v>257</v>
      </c>
    </row>
    <row r="3995" spans="2:2" x14ac:dyDescent="0.2">
      <c r="B3995" s="3" t="s">
        <v>257</v>
      </c>
    </row>
    <row r="3996" spans="2:2" x14ac:dyDescent="0.2">
      <c r="B3996" s="3" t="s">
        <v>257</v>
      </c>
    </row>
    <row r="3997" spans="2:2" x14ac:dyDescent="0.2">
      <c r="B3997" s="3" t="s">
        <v>257</v>
      </c>
    </row>
    <row r="3998" spans="2:2" x14ac:dyDescent="0.2">
      <c r="B3998" s="3" t="s">
        <v>257</v>
      </c>
    </row>
    <row r="3999" spans="2:2" x14ac:dyDescent="0.2">
      <c r="B3999" s="3" t="s">
        <v>257</v>
      </c>
    </row>
    <row r="4000" spans="2:2" x14ac:dyDescent="0.2">
      <c r="B4000" s="3" t="s">
        <v>257</v>
      </c>
    </row>
    <row r="4001" spans="2:2" x14ac:dyDescent="0.2">
      <c r="B4001" s="3" t="s">
        <v>257</v>
      </c>
    </row>
    <row r="4002" spans="2:2" x14ac:dyDescent="0.2">
      <c r="B4002" s="3" t="s">
        <v>257</v>
      </c>
    </row>
    <row r="4003" spans="2:2" x14ac:dyDescent="0.2">
      <c r="B4003" s="3" t="s">
        <v>257</v>
      </c>
    </row>
    <row r="4004" spans="2:2" x14ac:dyDescent="0.2">
      <c r="B4004" s="3" t="s">
        <v>257</v>
      </c>
    </row>
    <row r="4005" spans="2:2" x14ac:dyDescent="0.2">
      <c r="B4005" s="3" t="s">
        <v>257</v>
      </c>
    </row>
    <row r="4006" spans="2:2" x14ac:dyDescent="0.2">
      <c r="B4006" s="3" t="s">
        <v>257</v>
      </c>
    </row>
    <row r="4007" spans="2:2" x14ac:dyDescent="0.2">
      <c r="B4007" s="3" t="s">
        <v>257</v>
      </c>
    </row>
    <row r="4008" spans="2:2" x14ac:dyDescent="0.2">
      <c r="B4008" s="3" t="s">
        <v>257</v>
      </c>
    </row>
    <row r="4009" spans="2:2" x14ac:dyDescent="0.2">
      <c r="B4009" s="3" t="s">
        <v>257</v>
      </c>
    </row>
    <row r="4010" spans="2:2" x14ac:dyDescent="0.2">
      <c r="B4010" s="3" t="s">
        <v>257</v>
      </c>
    </row>
    <row r="4011" spans="2:2" x14ac:dyDescent="0.2">
      <c r="B4011" s="3" t="s">
        <v>257</v>
      </c>
    </row>
    <row r="4012" spans="2:2" x14ac:dyDescent="0.2">
      <c r="B4012" s="3" t="s">
        <v>257</v>
      </c>
    </row>
    <row r="4013" spans="2:2" x14ac:dyDescent="0.2">
      <c r="B4013" s="3" t="s">
        <v>257</v>
      </c>
    </row>
    <row r="4014" spans="2:2" x14ac:dyDescent="0.2">
      <c r="B4014" s="3" t="s">
        <v>257</v>
      </c>
    </row>
    <row r="4015" spans="2:2" x14ac:dyDescent="0.2">
      <c r="B4015" s="3" t="s">
        <v>257</v>
      </c>
    </row>
    <row r="4016" spans="2:2" x14ac:dyDescent="0.2">
      <c r="B4016" s="3" t="s">
        <v>257</v>
      </c>
    </row>
    <row r="4017" spans="2:2" x14ac:dyDescent="0.2">
      <c r="B4017" s="3" t="s">
        <v>257</v>
      </c>
    </row>
    <row r="4018" spans="2:2" x14ac:dyDescent="0.2">
      <c r="B4018" s="3" t="s">
        <v>257</v>
      </c>
    </row>
    <row r="4019" spans="2:2" x14ac:dyDescent="0.2">
      <c r="B4019" s="3" t="s">
        <v>257</v>
      </c>
    </row>
    <row r="4020" spans="2:2" x14ac:dyDescent="0.2">
      <c r="B4020" s="3" t="s">
        <v>257</v>
      </c>
    </row>
    <row r="4021" spans="2:2" x14ac:dyDescent="0.2">
      <c r="B4021" s="3" t="s">
        <v>257</v>
      </c>
    </row>
    <row r="4022" spans="2:2" x14ac:dyDescent="0.2">
      <c r="B4022" s="3" t="s">
        <v>257</v>
      </c>
    </row>
    <row r="4023" spans="2:2" x14ac:dyDescent="0.2">
      <c r="B4023" s="3" t="s">
        <v>257</v>
      </c>
    </row>
    <row r="4024" spans="2:2" x14ac:dyDescent="0.2">
      <c r="B4024" s="3" t="s">
        <v>257</v>
      </c>
    </row>
    <row r="4025" spans="2:2" x14ac:dyDescent="0.2">
      <c r="B4025" s="3" t="s">
        <v>257</v>
      </c>
    </row>
    <row r="4026" spans="2:2" x14ac:dyDescent="0.2">
      <c r="B4026" s="3" t="s">
        <v>257</v>
      </c>
    </row>
    <row r="4027" spans="2:2" x14ac:dyDescent="0.2">
      <c r="B4027" s="3" t="s">
        <v>257</v>
      </c>
    </row>
    <row r="4028" spans="2:2" x14ac:dyDescent="0.2">
      <c r="B4028" s="3" t="s">
        <v>257</v>
      </c>
    </row>
    <row r="4029" spans="2:2" x14ac:dyDescent="0.2">
      <c r="B4029" s="3" t="s">
        <v>257</v>
      </c>
    </row>
    <row r="4030" spans="2:2" x14ac:dyDescent="0.2">
      <c r="B4030" s="3" t="s">
        <v>257</v>
      </c>
    </row>
    <row r="4031" spans="2:2" x14ac:dyDescent="0.2">
      <c r="B4031" s="3" t="s">
        <v>257</v>
      </c>
    </row>
    <row r="4032" spans="2:2" x14ac:dyDescent="0.2">
      <c r="B4032" s="3" t="s">
        <v>257</v>
      </c>
    </row>
    <row r="4033" spans="2:2" x14ac:dyDescent="0.2">
      <c r="B4033" s="3" t="s">
        <v>257</v>
      </c>
    </row>
    <row r="4034" spans="2:2" x14ac:dyDescent="0.2">
      <c r="B4034" s="3" t="s">
        <v>257</v>
      </c>
    </row>
    <row r="4035" spans="2:2" x14ac:dyDescent="0.2">
      <c r="B4035" s="3" t="s">
        <v>257</v>
      </c>
    </row>
    <row r="4036" spans="2:2" x14ac:dyDescent="0.2">
      <c r="B4036" s="3" t="s">
        <v>257</v>
      </c>
    </row>
    <row r="4037" spans="2:2" x14ac:dyDescent="0.2">
      <c r="B4037" s="3" t="s">
        <v>257</v>
      </c>
    </row>
    <row r="4038" spans="2:2" x14ac:dyDescent="0.2">
      <c r="B4038" s="3" t="s">
        <v>257</v>
      </c>
    </row>
    <row r="4039" spans="2:2" x14ac:dyDescent="0.2">
      <c r="B4039" s="3" t="s">
        <v>257</v>
      </c>
    </row>
    <row r="4040" spans="2:2" x14ac:dyDescent="0.2">
      <c r="B4040" s="3" t="s">
        <v>257</v>
      </c>
    </row>
    <row r="4041" spans="2:2" x14ac:dyDescent="0.2">
      <c r="B4041" s="3" t="s">
        <v>257</v>
      </c>
    </row>
    <row r="4042" spans="2:2" x14ac:dyDescent="0.2">
      <c r="B4042" s="3" t="s">
        <v>257</v>
      </c>
    </row>
    <row r="4043" spans="2:2" x14ac:dyDescent="0.2">
      <c r="B4043" s="3" t="s">
        <v>257</v>
      </c>
    </row>
    <row r="4044" spans="2:2" x14ac:dyDescent="0.2">
      <c r="B4044" s="3" t="s">
        <v>257</v>
      </c>
    </row>
    <row r="4045" spans="2:2" x14ac:dyDescent="0.2">
      <c r="B4045" s="3" t="s">
        <v>257</v>
      </c>
    </row>
    <row r="4046" spans="2:2" x14ac:dyDescent="0.2">
      <c r="B4046" s="3" t="s">
        <v>257</v>
      </c>
    </row>
    <row r="4047" spans="2:2" x14ac:dyDescent="0.2">
      <c r="B4047" s="3" t="s">
        <v>257</v>
      </c>
    </row>
    <row r="4048" spans="2:2" x14ac:dyDescent="0.2">
      <c r="B4048" s="3" t="s">
        <v>257</v>
      </c>
    </row>
    <row r="4049" spans="2:2" x14ac:dyDescent="0.2">
      <c r="B4049" s="3" t="s">
        <v>257</v>
      </c>
    </row>
    <row r="4050" spans="2:2" x14ac:dyDescent="0.2">
      <c r="B4050" s="3" t="s">
        <v>257</v>
      </c>
    </row>
    <row r="4051" spans="2:2" x14ac:dyDescent="0.2">
      <c r="B4051" s="3" t="s">
        <v>257</v>
      </c>
    </row>
    <row r="4052" spans="2:2" x14ac:dyDescent="0.2">
      <c r="B4052" s="3" t="s">
        <v>257</v>
      </c>
    </row>
    <row r="4053" spans="2:2" x14ac:dyDescent="0.2">
      <c r="B4053" s="3" t="s">
        <v>257</v>
      </c>
    </row>
    <row r="4054" spans="2:2" x14ac:dyDescent="0.2">
      <c r="B4054" s="3" t="s">
        <v>257</v>
      </c>
    </row>
    <row r="4055" spans="2:2" x14ac:dyDescent="0.2">
      <c r="B4055" s="3" t="s">
        <v>257</v>
      </c>
    </row>
    <row r="4056" spans="2:2" x14ac:dyDescent="0.2">
      <c r="B4056" s="3" t="s">
        <v>257</v>
      </c>
    </row>
    <row r="4057" spans="2:2" x14ac:dyDescent="0.2">
      <c r="B4057" s="3" t="s">
        <v>257</v>
      </c>
    </row>
    <row r="4058" spans="2:2" x14ac:dyDescent="0.2">
      <c r="B4058" s="3" t="s">
        <v>257</v>
      </c>
    </row>
    <row r="4059" spans="2:2" x14ac:dyDescent="0.2">
      <c r="B4059" s="3" t="s">
        <v>257</v>
      </c>
    </row>
    <row r="4060" spans="2:2" x14ac:dyDescent="0.2">
      <c r="B4060" s="3" t="s">
        <v>257</v>
      </c>
    </row>
    <row r="4061" spans="2:2" x14ac:dyDescent="0.2">
      <c r="B4061" s="3" t="s">
        <v>257</v>
      </c>
    </row>
    <row r="4062" spans="2:2" x14ac:dyDescent="0.2">
      <c r="B4062" s="3" t="s">
        <v>257</v>
      </c>
    </row>
    <row r="4063" spans="2:2" x14ac:dyDescent="0.2">
      <c r="B4063" s="3" t="s">
        <v>257</v>
      </c>
    </row>
    <row r="4064" spans="2:2" x14ac:dyDescent="0.2">
      <c r="B4064" s="3" t="s">
        <v>257</v>
      </c>
    </row>
    <row r="4065" spans="2:2" x14ac:dyDescent="0.2">
      <c r="B4065" s="3" t="s">
        <v>257</v>
      </c>
    </row>
    <row r="4066" spans="2:2" x14ac:dyDescent="0.2">
      <c r="B4066" s="3" t="s">
        <v>257</v>
      </c>
    </row>
    <row r="4067" spans="2:2" x14ac:dyDescent="0.2">
      <c r="B4067" s="3" t="s">
        <v>257</v>
      </c>
    </row>
    <row r="4068" spans="2:2" x14ac:dyDescent="0.2">
      <c r="B4068" s="3" t="s">
        <v>257</v>
      </c>
    </row>
    <row r="4069" spans="2:2" x14ac:dyDescent="0.2">
      <c r="B4069" s="3" t="s">
        <v>257</v>
      </c>
    </row>
    <row r="4070" spans="2:2" x14ac:dyDescent="0.2">
      <c r="B4070" s="3" t="s">
        <v>257</v>
      </c>
    </row>
    <row r="4071" spans="2:2" x14ac:dyDescent="0.2">
      <c r="B4071" s="3" t="s">
        <v>257</v>
      </c>
    </row>
    <row r="4072" spans="2:2" x14ac:dyDescent="0.2">
      <c r="B4072" s="3" t="s">
        <v>257</v>
      </c>
    </row>
    <row r="4073" spans="2:2" x14ac:dyDescent="0.2">
      <c r="B4073" s="3" t="s">
        <v>257</v>
      </c>
    </row>
    <row r="4074" spans="2:2" x14ac:dyDescent="0.2">
      <c r="B4074" s="3" t="s">
        <v>257</v>
      </c>
    </row>
    <row r="4075" spans="2:2" x14ac:dyDescent="0.2">
      <c r="B4075" s="3" t="s">
        <v>257</v>
      </c>
    </row>
    <row r="4076" spans="2:2" x14ac:dyDescent="0.2">
      <c r="B4076" s="3" t="s">
        <v>257</v>
      </c>
    </row>
    <row r="4077" spans="2:2" x14ac:dyDescent="0.2">
      <c r="B4077" s="3" t="s">
        <v>257</v>
      </c>
    </row>
    <row r="4078" spans="2:2" x14ac:dyDescent="0.2">
      <c r="B4078" s="3" t="s">
        <v>257</v>
      </c>
    </row>
    <row r="4079" spans="2:2" x14ac:dyDescent="0.2">
      <c r="B4079" s="3" t="s">
        <v>257</v>
      </c>
    </row>
    <row r="4080" spans="2:2" x14ac:dyDescent="0.2">
      <c r="B4080" s="3" t="s">
        <v>257</v>
      </c>
    </row>
    <row r="4081" spans="2:2" x14ac:dyDescent="0.2">
      <c r="B4081" s="3" t="s">
        <v>257</v>
      </c>
    </row>
    <row r="4082" spans="2:2" x14ac:dyDescent="0.2">
      <c r="B4082" s="3" t="s">
        <v>257</v>
      </c>
    </row>
    <row r="4083" spans="2:2" x14ac:dyDescent="0.2">
      <c r="B4083" s="3" t="s">
        <v>257</v>
      </c>
    </row>
    <row r="4084" spans="2:2" x14ac:dyDescent="0.2">
      <c r="B4084" s="3" t="s">
        <v>257</v>
      </c>
    </row>
    <row r="4085" spans="2:2" x14ac:dyDescent="0.2">
      <c r="B4085" s="3" t="s">
        <v>257</v>
      </c>
    </row>
    <row r="4086" spans="2:2" x14ac:dyDescent="0.2">
      <c r="B4086" s="3" t="s">
        <v>257</v>
      </c>
    </row>
    <row r="4087" spans="2:2" x14ac:dyDescent="0.2">
      <c r="B4087" s="3" t="s">
        <v>257</v>
      </c>
    </row>
    <row r="4088" spans="2:2" x14ac:dyDescent="0.2">
      <c r="B4088" s="3" t="s">
        <v>257</v>
      </c>
    </row>
    <row r="4089" spans="2:2" x14ac:dyDescent="0.2">
      <c r="B4089" s="3" t="s">
        <v>257</v>
      </c>
    </row>
    <row r="4090" spans="2:2" x14ac:dyDescent="0.2">
      <c r="B4090" s="3" t="s">
        <v>257</v>
      </c>
    </row>
    <row r="4091" spans="2:2" x14ac:dyDescent="0.2">
      <c r="B4091" s="3" t="s">
        <v>257</v>
      </c>
    </row>
    <row r="4092" spans="2:2" x14ac:dyDescent="0.2">
      <c r="B4092" s="3" t="s">
        <v>257</v>
      </c>
    </row>
    <row r="4093" spans="2:2" x14ac:dyDescent="0.2">
      <c r="B4093" s="3" t="s">
        <v>257</v>
      </c>
    </row>
    <row r="4094" spans="2:2" x14ac:dyDescent="0.2">
      <c r="B4094" s="3" t="s">
        <v>257</v>
      </c>
    </row>
    <row r="4095" spans="2:2" x14ac:dyDescent="0.2">
      <c r="B4095" s="3" t="s">
        <v>257</v>
      </c>
    </row>
    <row r="4096" spans="2:2" x14ac:dyDescent="0.2">
      <c r="B4096" s="3" t="s">
        <v>257</v>
      </c>
    </row>
    <row r="4097" spans="2:2" x14ac:dyDescent="0.2">
      <c r="B4097" s="3" t="s">
        <v>257</v>
      </c>
    </row>
    <row r="4098" spans="2:2" x14ac:dyDescent="0.2">
      <c r="B4098" s="3" t="s">
        <v>257</v>
      </c>
    </row>
    <row r="4099" spans="2:2" x14ac:dyDescent="0.2">
      <c r="B4099" s="3" t="s">
        <v>257</v>
      </c>
    </row>
    <row r="4100" spans="2:2" x14ac:dyDescent="0.2">
      <c r="B4100" s="3" t="s">
        <v>257</v>
      </c>
    </row>
    <row r="4101" spans="2:2" x14ac:dyDescent="0.2">
      <c r="B4101" s="3" t="s">
        <v>257</v>
      </c>
    </row>
    <row r="4102" spans="2:2" x14ac:dyDescent="0.2">
      <c r="B4102" s="3" t="s">
        <v>257</v>
      </c>
    </row>
    <row r="4103" spans="2:2" x14ac:dyDescent="0.2">
      <c r="B4103" s="3" t="s">
        <v>257</v>
      </c>
    </row>
    <row r="4104" spans="2:2" x14ac:dyDescent="0.2">
      <c r="B4104" s="3" t="s">
        <v>257</v>
      </c>
    </row>
    <row r="4105" spans="2:2" x14ac:dyDescent="0.2">
      <c r="B4105" s="3" t="s">
        <v>257</v>
      </c>
    </row>
    <row r="4106" spans="2:2" x14ac:dyDescent="0.2">
      <c r="B4106" s="3" t="s">
        <v>257</v>
      </c>
    </row>
    <row r="4107" spans="2:2" x14ac:dyDescent="0.2">
      <c r="B4107" s="3" t="s">
        <v>257</v>
      </c>
    </row>
    <row r="4108" spans="2:2" x14ac:dyDescent="0.2">
      <c r="B4108" s="3" t="s">
        <v>257</v>
      </c>
    </row>
    <row r="4109" spans="2:2" x14ac:dyDescent="0.2">
      <c r="B4109" s="3" t="s">
        <v>257</v>
      </c>
    </row>
    <row r="4110" spans="2:2" x14ac:dyDescent="0.2">
      <c r="B4110" s="3" t="s">
        <v>257</v>
      </c>
    </row>
    <row r="4111" spans="2:2" x14ac:dyDescent="0.2">
      <c r="B4111" s="3" t="s">
        <v>257</v>
      </c>
    </row>
    <row r="4112" spans="2:2" x14ac:dyDescent="0.2">
      <c r="B4112" s="3" t="s">
        <v>257</v>
      </c>
    </row>
    <row r="4113" spans="2:2" x14ac:dyDescent="0.2">
      <c r="B4113" s="3" t="s">
        <v>257</v>
      </c>
    </row>
    <row r="4114" spans="2:2" x14ac:dyDescent="0.2">
      <c r="B4114" s="3" t="s">
        <v>257</v>
      </c>
    </row>
    <row r="4115" spans="2:2" x14ac:dyDescent="0.2">
      <c r="B4115" s="3" t="s">
        <v>257</v>
      </c>
    </row>
    <row r="4116" spans="2:2" x14ac:dyDescent="0.2">
      <c r="B4116" s="3" t="s">
        <v>257</v>
      </c>
    </row>
    <row r="4117" spans="2:2" x14ac:dyDescent="0.2">
      <c r="B4117" s="3" t="s">
        <v>257</v>
      </c>
    </row>
    <row r="4118" spans="2:2" x14ac:dyDescent="0.2">
      <c r="B4118" s="3" t="s">
        <v>257</v>
      </c>
    </row>
    <row r="4119" spans="2:2" x14ac:dyDescent="0.2">
      <c r="B4119" s="3" t="s">
        <v>257</v>
      </c>
    </row>
    <row r="4120" spans="2:2" x14ac:dyDescent="0.2">
      <c r="B4120" s="3" t="s">
        <v>257</v>
      </c>
    </row>
    <row r="4121" spans="2:2" x14ac:dyDescent="0.2">
      <c r="B4121" s="3" t="s">
        <v>257</v>
      </c>
    </row>
    <row r="4122" spans="2:2" x14ac:dyDescent="0.2">
      <c r="B4122" s="3" t="s">
        <v>257</v>
      </c>
    </row>
    <row r="4123" spans="2:2" x14ac:dyDescent="0.2">
      <c r="B4123" s="3" t="s">
        <v>257</v>
      </c>
    </row>
    <row r="4124" spans="2:2" x14ac:dyDescent="0.2">
      <c r="B4124" s="3" t="s">
        <v>257</v>
      </c>
    </row>
    <row r="4125" spans="2:2" x14ac:dyDescent="0.2">
      <c r="B4125" s="3" t="s">
        <v>257</v>
      </c>
    </row>
    <row r="4126" spans="2:2" x14ac:dyDescent="0.2">
      <c r="B4126" s="3" t="s">
        <v>257</v>
      </c>
    </row>
    <row r="4127" spans="2:2" x14ac:dyDescent="0.2">
      <c r="B4127" s="3" t="s">
        <v>257</v>
      </c>
    </row>
    <row r="4128" spans="2:2" x14ac:dyDescent="0.2">
      <c r="B4128" s="3" t="s">
        <v>257</v>
      </c>
    </row>
    <row r="4129" spans="2:2" x14ac:dyDescent="0.2">
      <c r="B4129" s="3" t="s">
        <v>257</v>
      </c>
    </row>
    <row r="4130" spans="2:2" x14ac:dyDescent="0.2">
      <c r="B4130" s="3" t="s">
        <v>257</v>
      </c>
    </row>
    <row r="4131" spans="2:2" x14ac:dyDescent="0.2">
      <c r="B4131" s="3" t="s">
        <v>257</v>
      </c>
    </row>
    <row r="4132" spans="2:2" x14ac:dyDescent="0.2">
      <c r="B4132" s="3" t="s">
        <v>257</v>
      </c>
    </row>
    <row r="4133" spans="2:2" x14ac:dyDescent="0.2">
      <c r="B4133" s="3" t="s">
        <v>257</v>
      </c>
    </row>
    <row r="4134" spans="2:2" x14ac:dyDescent="0.2">
      <c r="B4134" s="3" t="s">
        <v>257</v>
      </c>
    </row>
    <row r="4135" spans="2:2" x14ac:dyDescent="0.2">
      <c r="B4135" s="3" t="s">
        <v>257</v>
      </c>
    </row>
    <row r="4136" spans="2:2" x14ac:dyDescent="0.2">
      <c r="B4136" s="3" t="s">
        <v>257</v>
      </c>
    </row>
    <row r="4137" spans="2:2" x14ac:dyDescent="0.2">
      <c r="B4137" s="3" t="s">
        <v>257</v>
      </c>
    </row>
    <row r="4138" spans="2:2" x14ac:dyDescent="0.2">
      <c r="B4138" s="3" t="s">
        <v>257</v>
      </c>
    </row>
    <row r="4139" spans="2:2" x14ac:dyDescent="0.2">
      <c r="B4139" s="3" t="s">
        <v>257</v>
      </c>
    </row>
    <row r="4140" spans="2:2" x14ac:dyDescent="0.2">
      <c r="B4140" s="3" t="s">
        <v>257</v>
      </c>
    </row>
    <row r="4141" spans="2:2" x14ac:dyDescent="0.2">
      <c r="B4141" s="3" t="s">
        <v>257</v>
      </c>
    </row>
    <row r="4142" spans="2:2" x14ac:dyDescent="0.2">
      <c r="B4142" s="3" t="s">
        <v>257</v>
      </c>
    </row>
    <row r="4143" spans="2:2" x14ac:dyDescent="0.2">
      <c r="B4143" s="3" t="s">
        <v>257</v>
      </c>
    </row>
    <row r="4144" spans="2:2" x14ac:dyDescent="0.2">
      <c r="B4144" s="3" t="s">
        <v>257</v>
      </c>
    </row>
    <row r="4145" spans="2:2" x14ac:dyDescent="0.2">
      <c r="B4145" s="3" t="s">
        <v>257</v>
      </c>
    </row>
    <row r="4146" spans="2:2" x14ac:dyDescent="0.2">
      <c r="B4146" s="3" t="s">
        <v>257</v>
      </c>
    </row>
    <row r="4147" spans="2:2" x14ac:dyDescent="0.2">
      <c r="B4147" s="3" t="s">
        <v>257</v>
      </c>
    </row>
    <row r="4148" spans="2:2" x14ac:dyDescent="0.2">
      <c r="B4148" s="3" t="s">
        <v>257</v>
      </c>
    </row>
    <row r="4149" spans="2:2" x14ac:dyDescent="0.2">
      <c r="B4149" s="3" t="s">
        <v>257</v>
      </c>
    </row>
    <row r="4150" spans="2:2" x14ac:dyDescent="0.2">
      <c r="B4150" s="3" t="s">
        <v>257</v>
      </c>
    </row>
    <row r="4151" spans="2:2" x14ac:dyDescent="0.2">
      <c r="B4151" s="3" t="s">
        <v>257</v>
      </c>
    </row>
    <row r="4152" spans="2:2" x14ac:dyDescent="0.2">
      <c r="B4152" s="3" t="s">
        <v>257</v>
      </c>
    </row>
    <row r="4153" spans="2:2" x14ac:dyDescent="0.2">
      <c r="B4153" s="3" t="s">
        <v>257</v>
      </c>
    </row>
    <row r="4154" spans="2:2" x14ac:dyDescent="0.2">
      <c r="B4154" s="3" t="s">
        <v>257</v>
      </c>
    </row>
    <row r="4155" spans="2:2" x14ac:dyDescent="0.2">
      <c r="B4155" s="3" t="s">
        <v>257</v>
      </c>
    </row>
    <row r="4156" spans="2:2" x14ac:dyDescent="0.2">
      <c r="B4156" s="3" t="s">
        <v>257</v>
      </c>
    </row>
    <row r="4157" spans="2:2" x14ac:dyDescent="0.2">
      <c r="B4157" s="3" t="s">
        <v>257</v>
      </c>
    </row>
    <row r="4158" spans="2:2" x14ac:dyDescent="0.2">
      <c r="B4158" s="3" t="s">
        <v>257</v>
      </c>
    </row>
    <row r="4159" spans="2:2" x14ac:dyDescent="0.2">
      <c r="B4159" s="3" t="s">
        <v>257</v>
      </c>
    </row>
    <row r="4160" spans="2:2" x14ac:dyDescent="0.2">
      <c r="B4160" s="3" t="s">
        <v>257</v>
      </c>
    </row>
    <row r="4161" spans="2:2" x14ac:dyDescent="0.2">
      <c r="B4161" s="3" t="s">
        <v>257</v>
      </c>
    </row>
    <row r="4162" spans="2:2" x14ac:dyDescent="0.2">
      <c r="B4162" s="3" t="s">
        <v>257</v>
      </c>
    </row>
    <row r="4163" spans="2:2" x14ac:dyDescent="0.2">
      <c r="B4163" s="3" t="s">
        <v>257</v>
      </c>
    </row>
    <row r="4164" spans="2:2" x14ac:dyDescent="0.2">
      <c r="B4164" s="3" t="s">
        <v>257</v>
      </c>
    </row>
    <row r="4165" spans="2:2" x14ac:dyDescent="0.2">
      <c r="B4165" s="3" t="s">
        <v>257</v>
      </c>
    </row>
    <row r="4166" spans="2:2" x14ac:dyDescent="0.2">
      <c r="B4166" s="3" t="s">
        <v>257</v>
      </c>
    </row>
    <row r="4167" spans="2:2" x14ac:dyDescent="0.2">
      <c r="B4167" s="3" t="s">
        <v>257</v>
      </c>
    </row>
    <row r="4168" spans="2:2" x14ac:dyDescent="0.2">
      <c r="B4168" s="3" t="s">
        <v>257</v>
      </c>
    </row>
    <row r="4169" spans="2:2" x14ac:dyDescent="0.2">
      <c r="B4169" s="3" t="s">
        <v>257</v>
      </c>
    </row>
    <row r="4170" spans="2:2" x14ac:dyDescent="0.2">
      <c r="B4170" s="3" t="s">
        <v>257</v>
      </c>
    </row>
    <row r="4171" spans="2:2" x14ac:dyDescent="0.2">
      <c r="B4171" s="3" t="s">
        <v>257</v>
      </c>
    </row>
    <row r="4172" spans="2:2" x14ac:dyDescent="0.2">
      <c r="B4172" s="3" t="s">
        <v>257</v>
      </c>
    </row>
    <row r="4173" spans="2:2" x14ac:dyDescent="0.2">
      <c r="B4173" s="3" t="s">
        <v>257</v>
      </c>
    </row>
    <row r="4174" spans="2:2" x14ac:dyDescent="0.2">
      <c r="B4174" s="3" t="s">
        <v>257</v>
      </c>
    </row>
    <row r="4175" spans="2:2" x14ac:dyDescent="0.2">
      <c r="B4175" s="3" t="s">
        <v>257</v>
      </c>
    </row>
    <row r="4176" spans="2:2" x14ac:dyDescent="0.2">
      <c r="B4176" s="3" t="s">
        <v>257</v>
      </c>
    </row>
    <row r="4177" spans="2:2" x14ac:dyDescent="0.2">
      <c r="B4177" s="3" t="s">
        <v>257</v>
      </c>
    </row>
    <row r="4178" spans="2:2" x14ac:dyDescent="0.2">
      <c r="B4178" s="3" t="s">
        <v>257</v>
      </c>
    </row>
    <row r="4179" spans="2:2" x14ac:dyDescent="0.2">
      <c r="B4179" s="3" t="s">
        <v>257</v>
      </c>
    </row>
    <row r="4180" spans="2:2" x14ac:dyDescent="0.2">
      <c r="B4180" s="3" t="s">
        <v>257</v>
      </c>
    </row>
    <row r="4181" spans="2:2" x14ac:dyDescent="0.2">
      <c r="B4181" s="3" t="s">
        <v>257</v>
      </c>
    </row>
    <row r="4182" spans="2:2" x14ac:dyDescent="0.2">
      <c r="B4182" s="3" t="s">
        <v>257</v>
      </c>
    </row>
    <row r="4183" spans="2:2" x14ac:dyDescent="0.2">
      <c r="B4183" s="3" t="s">
        <v>257</v>
      </c>
    </row>
    <row r="4184" spans="2:2" x14ac:dyDescent="0.2">
      <c r="B4184" s="3" t="s">
        <v>257</v>
      </c>
    </row>
    <row r="4185" spans="2:2" x14ac:dyDescent="0.2">
      <c r="B4185" s="3" t="s">
        <v>257</v>
      </c>
    </row>
    <row r="4186" spans="2:2" x14ac:dyDescent="0.2">
      <c r="B4186" s="3" t="s">
        <v>257</v>
      </c>
    </row>
    <row r="4187" spans="2:2" x14ac:dyDescent="0.2">
      <c r="B4187" s="3" t="s">
        <v>257</v>
      </c>
    </row>
    <row r="4188" spans="2:2" x14ac:dyDescent="0.2">
      <c r="B4188" s="3" t="s">
        <v>257</v>
      </c>
    </row>
    <row r="4189" spans="2:2" x14ac:dyDescent="0.2">
      <c r="B4189" s="3" t="s">
        <v>257</v>
      </c>
    </row>
    <row r="4190" spans="2:2" x14ac:dyDescent="0.2">
      <c r="B4190" s="3" t="s">
        <v>257</v>
      </c>
    </row>
    <row r="4191" spans="2:2" x14ac:dyDescent="0.2">
      <c r="B4191" s="3" t="s">
        <v>257</v>
      </c>
    </row>
    <row r="4192" spans="2:2" x14ac:dyDescent="0.2">
      <c r="B4192" s="3" t="s">
        <v>257</v>
      </c>
    </row>
    <row r="4193" spans="2:2" x14ac:dyDescent="0.2">
      <c r="B4193" s="3" t="s">
        <v>257</v>
      </c>
    </row>
    <row r="4194" spans="2:2" x14ac:dyDescent="0.2">
      <c r="B4194" s="3" t="s">
        <v>257</v>
      </c>
    </row>
    <row r="4195" spans="2:2" x14ac:dyDescent="0.2">
      <c r="B4195" s="3" t="s">
        <v>257</v>
      </c>
    </row>
    <row r="4196" spans="2:2" x14ac:dyDescent="0.2">
      <c r="B4196" s="3" t="s">
        <v>257</v>
      </c>
    </row>
    <row r="4197" spans="2:2" x14ac:dyDescent="0.2">
      <c r="B4197" s="3" t="s">
        <v>257</v>
      </c>
    </row>
    <row r="4198" spans="2:2" x14ac:dyDescent="0.2">
      <c r="B4198" s="3" t="s">
        <v>257</v>
      </c>
    </row>
    <row r="4199" spans="2:2" x14ac:dyDescent="0.2">
      <c r="B4199" s="3" t="s">
        <v>257</v>
      </c>
    </row>
    <row r="4200" spans="2:2" x14ac:dyDescent="0.2">
      <c r="B4200" s="3" t="s">
        <v>257</v>
      </c>
    </row>
    <row r="4201" spans="2:2" x14ac:dyDescent="0.2">
      <c r="B4201" s="3" t="s">
        <v>257</v>
      </c>
    </row>
    <row r="4202" spans="2:2" x14ac:dyDescent="0.2">
      <c r="B4202" s="3" t="s">
        <v>257</v>
      </c>
    </row>
    <row r="4203" spans="2:2" x14ac:dyDescent="0.2">
      <c r="B4203" s="3" t="s">
        <v>257</v>
      </c>
    </row>
    <row r="4204" spans="2:2" x14ac:dyDescent="0.2">
      <c r="B4204" s="3" t="s">
        <v>257</v>
      </c>
    </row>
    <row r="4205" spans="2:2" x14ac:dyDescent="0.2">
      <c r="B4205" s="3" t="s">
        <v>257</v>
      </c>
    </row>
    <row r="4206" spans="2:2" x14ac:dyDescent="0.2">
      <c r="B4206" s="3" t="s">
        <v>257</v>
      </c>
    </row>
    <row r="4207" spans="2:2" x14ac:dyDescent="0.2">
      <c r="B4207" s="3" t="s">
        <v>257</v>
      </c>
    </row>
    <row r="4208" spans="2:2" x14ac:dyDescent="0.2">
      <c r="B4208" s="3" t="s">
        <v>257</v>
      </c>
    </row>
    <row r="4209" spans="2:2" x14ac:dyDescent="0.2">
      <c r="B4209" s="3" t="s">
        <v>257</v>
      </c>
    </row>
    <row r="4210" spans="2:2" x14ac:dyDescent="0.2">
      <c r="B4210" s="3" t="s">
        <v>257</v>
      </c>
    </row>
    <row r="4211" spans="2:2" x14ac:dyDescent="0.2">
      <c r="B4211" s="3" t="s">
        <v>257</v>
      </c>
    </row>
    <row r="4212" spans="2:2" x14ac:dyDescent="0.2">
      <c r="B4212" s="3" t="s">
        <v>257</v>
      </c>
    </row>
    <row r="4213" spans="2:2" x14ac:dyDescent="0.2">
      <c r="B4213" s="3" t="s">
        <v>257</v>
      </c>
    </row>
    <row r="4214" spans="2:2" x14ac:dyDescent="0.2">
      <c r="B4214" s="3" t="s">
        <v>257</v>
      </c>
    </row>
    <row r="4215" spans="2:2" x14ac:dyDescent="0.2">
      <c r="B4215" s="3" t="s">
        <v>257</v>
      </c>
    </row>
    <row r="4216" spans="2:2" x14ac:dyDescent="0.2">
      <c r="B4216" s="3" t="s">
        <v>257</v>
      </c>
    </row>
    <row r="4217" spans="2:2" x14ac:dyDescent="0.2">
      <c r="B4217" s="3" t="s">
        <v>257</v>
      </c>
    </row>
    <row r="4218" spans="2:2" x14ac:dyDescent="0.2">
      <c r="B4218" s="3" t="s">
        <v>257</v>
      </c>
    </row>
    <row r="4219" spans="2:2" x14ac:dyDescent="0.2">
      <c r="B4219" s="3" t="s">
        <v>257</v>
      </c>
    </row>
    <row r="4220" spans="2:2" x14ac:dyDescent="0.2">
      <c r="B4220" s="3" t="s">
        <v>257</v>
      </c>
    </row>
    <row r="4221" spans="2:2" x14ac:dyDescent="0.2">
      <c r="B4221" s="3" t="s">
        <v>257</v>
      </c>
    </row>
    <row r="4222" spans="2:2" x14ac:dyDescent="0.2">
      <c r="B4222" s="3" t="s">
        <v>257</v>
      </c>
    </row>
    <row r="4223" spans="2:2" x14ac:dyDescent="0.2">
      <c r="B4223" s="3" t="s">
        <v>257</v>
      </c>
    </row>
    <row r="4224" spans="2:2" x14ac:dyDescent="0.2">
      <c r="B4224" s="3" t="s">
        <v>257</v>
      </c>
    </row>
    <row r="4225" spans="2:2" x14ac:dyDescent="0.2">
      <c r="B4225" s="3" t="s">
        <v>257</v>
      </c>
    </row>
    <row r="4226" spans="2:2" x14ac:dyDescent="0.2">
      <c r="B4226" s="3" t="s">
        <v>257</v>
      </c>
    </row>
    <row r="4227" spans="2:2" x14ac:dyDescent="0.2">
      <c r="B4227" s="3" t="s">
        <v>257</v>
      </c>
    </row>
    <row r="4228" spans="2:2" x14ac:dyDescent="0.2">
      <c r="B4228" s="3" t="s">
        <v>257</v>
      </c>
    </row>
    <row r="4229" spans="2:2" x14ac:dyDescent="0.2">
      <c r="B4229" s="3" t="s">
        <v>257</v>
      </c>
    </row>
    <row r="4230" spans="2:2" x14ac:dyDescent="0.2">
      <c r="B4230" s="3" t="s">
        <v>257</v>
      </c>
    </row>
    <row r="4231" spans="2:2" x14ac:dyDescent="0.2">
      <c r="B4231" s="3" t="s">
        <v>257</v>
      </c>
    </row>
    <row r="4232" spans="2:2" x14ac:dyDescent="0.2">
      <c r="B4232" s="3" t="s">
        <v>257</v>
      </c>
    </row>
    <row r="4233" spans="2:2" x14ac:dyDescent="0.2">
      <c r="B4233" s="3" t="s">
        <v>257</v>
      </c>
    </row>
    <row r="4234" spans="2:2" x14ac:dyDescent="0.2">
      <c r="B4234" s="3" t="s">
        <v>257</v>
      </c>
    </row>
    <row r="4235" spans="2:2" x14ac:dyDescent="0.2">
      <c r="B4235" s="3" t="s">
        <v>257</v>
      </c>
    </row>
    <row r="4236" spans="2:2" x14ac:dyDescent="0.2">
      <c r="B4236" s="3" t="s">
        <v>257</v>
      </c>
    </row>
    <row r="4237" spans="2:2" x14ac:dyDescent="0.2">
      <c r="B4237" s="3" t="s">
        <v>257</v>
      </c>
    </row>
    <row r="4238" spans="2:2" x14ac:dyDescent="0.2">
      <c r="B4238" s="3" t="s">
        <v>257</v>
      </c>
    </row>
    <row r="4239" spans="2:2" x14ac:dyDescent="0.2">
      <c r="B4239" s="3" t="s">
        <v>257</v>
      </c>
    </row>
    <row r="4240" spans="2:2" x14ac:dyDescent="0.2">
      <c r="B4240" s="3" t="s">
        <v>257</v>
      </c>
    </row>
    <row r="4241" spans="2:2" x14ac:dyDescent="0.2">
      <c r="B4241" s="3" t="s">
        <v>257</v>
      </c>
    </row>
    <row r="4242" spans="2:2" x14ac:dyDescent="0.2">
      <c r="B4242" s="3" t="s">
        <v>257</v>
      </c>
    </row>
    <row r="4243" spans="2:2" x14ac:dyDescent="0.2">
      <c r="B4243" s="3" t="s">
        <v>257</v>
      </c>
    </row>
    <row r="4244" spans="2:2" x14ac:dyDescent="0.2">
      <c r="B4244" s="3" t="s">
        <v>257</v>
      </c>
    </row>
    <row r="4245" spans="2:2" x14ac:dyDescent="0.2">
      <c r="B4245" s="3" t="s">
        <v>257</v>
      </c>
    </row>
    <row r="4246" spans="2:2" x14ac:dyDescent="0.2">
      <c r="B4246" s="3" t="s">
        <v>257</v>
      </c>
    </row>
    <row r="4247" spans="2:2" x14ac:dyDescent="0.2">
      <c r="B4247" s="3" t="s">
        <v>257</v>
      </c>
    </row>
    <row r="4248" spans="2:2" x14ac:dyDescent="0.2">
      <c r="B4248" s="3" t="s">
        <v>257</v>
      </c>
    </row>
    <row r="4249" spans="2:2" x14ac:dyDescent="0.2">
      <c r="B4249" s="3" t="s">
        <v>257</v>
      </c>
    </row>
    <row r="4250" spans="2:2" x14ac:dyDescent="0.2">
      <c r="B4250" s="3" t="s">
        <v>257</v>
      </c>
    </row>
    <row r="4251" spans="2:2" x14ac:dyDescent="0.2">
      <c r="B4251" s="3" t="s">
        <v>257</v>
      </c>
    </row>
    <row r="4252" spans="2:2" x14ac:dyDescent="0.2">
      <c r="B4252" s="3" t="s">
        <v>257</v>
      </c>
    </row>
    <row r="4253" spans="2:2" x14ac:dyDescent="0.2">
      <c r="B4253" s="3" t="s">
        <v>257</v>
      </c>
    </row>
    <row r="4254" spans="2:2" x14ac:dyDescent="0.2">
      <c r="B4254" s="3" t="s">
        <v>257</v>
      </c>
    </row>
    <row r="4255" spans="2:2" x14ac:dyDescent="0.2">
      <c r="B4255" s="3" t="s">
        <v>257</v>
      </c>
    </row>
    <row r="4256" spans="2:2" x14ac:dyDescent="0.2">
      <c r="B4256" s="3" t="s">
        <v>257</v>
      </c>
    </row>
    <row r="4257" spans="2:2" x14ac:dyDescent="0.2">
      <c r="B4257" s="3" t="s">
        <v>257</v>
      </c>
    </row>
    <row r="4258" spans="2:2" x14ac:dyDescent="0.2">
      <c r="B4258" s="3" t="s">
        <v>257</v>
      </c>
    </row>
    <row r="4259" spans="2:2" x14ac:dyDescent="0.2">
      <c r="B4259" s="3" t="s">
        <v>257</v>
      </c>
    </row>
    <row r="4260" spans="2:2" x14ac:dyDescent="0.2">
      <c r="B4260" s="3" t="s">
        <v>257</v>
      </c>
    </row>
    <row r="4261" spans="2:2" x14ac:dyDescent="0.2">
      <c r="B4261" s="3" t="s">
        <v>257</v>
      </c>
    </row>
    <row r="4262" spans="2:2" x14ac:dyDescent="0.2">
      <c r="B4262" s="3" t="s">
        <v>257</v>
      </c>
    </row>
    <row r="4263" spans="2:2" x14ac:dyDescent="0.2">
      <c r="B4263" s="3" t="s">
        <v>257</v>
      </c>
    </row>
    <row r="4264" spans="2:2" x14ac:dyDescent="0.2">
      <c r="B4264" s="3" t="s">
        <v>257</v>
      </c>
    </row>
    <row r="4265" spans="2:2" x14ac:dyDescent="0.2">
      <c r="B4265" s="3" t="s">
        <v>257</v>
      </c>
    </row>
    <row r="4266" spans="2:2" x14ac:dyDescent="0.2">
      <c r="B4266" s="3" t="s">
        <v>257</v>
      </c>
    </row>
    <row r="4267" spans="2:2" x14ac:dyDescent="0.2">
      <c r="B4267" s="3" t="s">
        <v>257</v>
      </c>
    </row>
    <row r="4268" spans="2:2" x14ac:dyDescent="0.2">
      <c r="B4268" s="3" t="s">
        <v>257</v>
      </c>
    </row>
    <row r="4269" spans="2:2" x14ac:dyDescent="0.2">
      <c r="B4269" s="3" t="s">
        <v>257</v>
      </c>
    </row>
    <row r="4270" spans="2:2" x14ac:dyDescent="0.2">
      <c r="B4270" s="3" t="s">
        <v>257</v>
      </c>
    </row>
    <row r="4271" spans="2:2" x14ac:dyDescent="0.2">
      <c r="B4271" s="3" t="s">
        <v>257</v>
      </c>
    </row>
    <row r="4272" spans="2:2" x14ac:dyDescent="0.2">
      <c r="B4272" s="3" t="s">
        <v>257</v>
      </c>
    </row>
    <row r="4273" spans="2:2" x14ac:dyDescent="0.2">
      <c r="B4273" s="3" t="s">
        <v>257</v>
      </c>
    </row>
    <row r="4274" spans="2:2" x14ac:dyDescent="0.2">
      <c r="B4274" s="3" t="s">
        <v>257</v>
      </c>
    </row>
    <row r="4275" spans="2:2" x14ac:dyDescent="0.2">
      <c r="B4275" s="3" t="s">
        <v>257</v>
      </c>
    </row>
    <row r="4276" spans="2:2" x14ac:dyDescent="0.2">
      <c r="B4276" s="3" t="s">
        <v>257</v>
      </c>
    </row>
    <row r="4277" spans="2:2" x14ac:dyDescent="0.2">
      <c r="B4277" s="3" t="s">
        <v>257</v>
      </c>
    </row>
    <row r="4278" spans="2:2" x14ac:dyDescent="0.2">
      <c r="B4278" s="3" t="s">
        <v>257</v>
      </c>
    </row>
    <row r="4279" spans="2:2" x14ac:dyDescent="0.2">
      <c r="B4279" s="3" t="s">
        <v>257</v>
      </c>
    </row>
    <row r="4280" spans="2:2" x14ac:dyDescent="0.2">
      <c r="B4280" s="3" t="s">
        <v>257</v>
      </c>
    </row>
    <row r="4281" spans="2:2" x14ac:dyDescent="0.2">
      <c r="B4281" s="3" t="s">
        <v>257</v>
      </c>
    </row>
    <row r="4282" spans="2:2" x14ac:dyDescent="0.2">
      <c r="B4282" s="3" t="s">
        <v>257</v>
      </c>
    </row>
    <row r="4283" spans="2:2" x14ac:dyDescent="0.2">
      <c r="B4283" s="3" t="s">
        <v>257</v>
      </c>
    </row>
    <row r="4284" spans="2:2" x14ac:dyDescent="0.2">
      <c r="B4284" s="3" t="s">
        <v>257</v>
      </c>
    </row>
    <row r="4285" spans="2:2" x14ac:dyDescent="0.2">
      <c r="B4285" s="3" t="s">
        <v>257</v>
      </c>
    </row>
    <row r="4286" spans="2:2" x14ac:dyDescent="0.2">
      <c r="B4286" s="3" t="s">
        <v>257</v>
      </c>
    </row>
    <row r="4287" spans="2:2" x14ac:dyDescent="0.2">
      <c r="B4287" s="3" t="s">
        <v>257</v>
      </c>
    </row>
    <row r="4288" spans="2:2" x14ac:dyDescent="0.2">
      <c r="B4288" s="3" t="s">
        <v>257</v>
      </c>
    </row>
    <row r="4289" spans="2:2" x14ac:dyDescent="0.2">
      <c r="B4289" s="3" t="s">
        <v>257</v>
      </c>
    </row>
    <row r="4290" spans="2:2" x14ac:dyDescent="0.2">
      <c r="B4290" s="3" t="s">
        <v>257</v>
      </c>
    </row>
    <row r="4291" spans="2:2" x14ac:dyDescent="0.2">
      <c r="B4291" s="3" t="s">
        <v>257</v>
      </c>
    </row>
    <row r="4292" spans="2:2" x14ac:dyDescent="0.2">
      <c r="B4292" s="3" t="s">
        <v>257</v>
      </c>
    </row>
    <row r="4293" spans="2:2" x14ac:dyDescent="0.2">
      <c r="B4293" s="3" t="s">
        <v>257</v>
      </c>
    </row>
    <row r="4294" spans="2:2" x14ac:dyDescent="0.2">
      <c r="B4294" s="3" t="s">
        <v>257</v>
      </c>
    </row>
    <row r="4295" spans="2:2" x14ac:dyDescent="0.2">
      <c r="B4295" s="3" t="s">
        <v>257</v>
      </c>
    </row>
    <row r="4296" spans="2:2" x14ac:dyDescent="0.2">
      <c r="B4296" s="3" t="s">
        <v>257</v>
      </c>
    </row>
    <row r="4297" spans="2:2" x14ac:dyDescent="0.2">
      <c r="B4297" s="3" t="s">
        <v>257</v>
      </c>
    </row>
    <row r="4298" spans="2:2" x14ac:dyDescent="0.2">
      <c r="B4298" s="3" t="s">
        <v>257</v>
      </c>
    </row>
    <row r="4299" spans="2:2" x14ac:dyDescent="0.2">
      <c r="B4299" s="3" t="s">
        <v>257</v>
      </c>
    </row>
    <row r="4300" spans="2:2" x14ac:dyDescent="0.2">
      <c r="B4300" s="3" t="s">
        <v>257</v>
      </c>
    </row>
    <row r="4301" spans="2:2" x14ac:dyDescent="0.2">
      <c r="B4301" s="3" t="s">
        <v>257</v>
      </c>
    </row>
    <row r="4302" spans="2:2" x14ac:dyDescent="0.2">
      <c r="B4302" s="3" t="s">
        <v>257</v>
      </c>
    </row>
    <row r="4303" spans="2:2" x14ac:dyDescent="0.2">
      <c r="B4303" s="3" t="s">
        <v>257</v>
      </c>
    </row>
    <row r="4304" spans="2:2" x14ac:dyDescent="0.2">
      <c r="B4304" s="3" t="s">
        <v>257</v>
      </c>
    </row>
    <row r="4305" spans="2:2" x14ac:dyDescent="0.2">
      <c r="B4305" s="3" t="s">
        <v>257</v>
      </c>
    </row>
    <row r="4306" spans="2:2" x14ac:dyDescent="0.2">
      <c r="B4306" s="3" t="s">
        <v>257</v>
      </c>
    </row>
    <row r="4307" spans="2:2" x14ac:dyDescent="0.2">
      <c r="B4307" s="3" t="s">
        <v>257</v>
      </c>
    </row>
    <row r="4308" spans="2:2" x14ac:dyDescent="0.2">
      <c r="B4308" s="3" t="s">
        <v>257</v>
      </c>
    </row>
    <row r="4309" spans="2:2" x14ac:dyDescent="0.2">
      <c r="B4309" s="3" t="s">
        <v>257</v>
      </c>
    </row>
    <row r="4310" spans="2:2" x14ac:dyDescent="0.2">
      <c r="B4310" s="3" t="s">
        <v>257</v>
      </c>
    </row>
    <row r="4311" spans="2:2" x14ac:dyDescent="0.2">
      <c r="B4311" s="3" t="s">
        <v>257</v>
      </c>
    </row>
    <row r="4312" spans="2:2" x14ac:dyDescent="0.2">
      <c r="B4312" s="3" t="s">
        <v>257</v>
      </c>
    </row>
    <row r="4313" spans="2:2" x14ac:dyDescent="0.2">
      <c r="B4313" s="3" t="s">
        <v>257</v>
      </c>
    </row>
    <row r="4314" spans="2:2" x14ac:dyDescent="0.2">
      <c r="B4314" s="3" t="s">
        <v>257</v>
      </c>
    </row>
    <row r="4315" spans="2:2" x14ac:dyDescent="0.2">
      <c r="B4315" s="3" t="s">
        <v>257</v>
      </c>
    </row>
    <row r="4316" spans="2:2" x14ac:dyDescent="0.2">
      <c r="B4316" s="3" t="s">
        <v>257</v>
      </c>
    </row>
    <row r="4317" spans="2:2" x14ac:dyDescent="0.2">
      <c r="B4317" s="3" t="s">
        <v>257</v>
      </c>
    </row>
    <row r="4318" spans="2:2" x14ac:dyDescent="0.2">
      <c r="B4318" s="3" t="s">
        <v>257</v>
      </c>
    </row>
    <row r="4319" spans="2:2" x14ac:dyDescent="0.2">
      <c r="B4319" s="3" t="s">
        <v>257</v>
      </c>
    </row>
    <row r="4320" spans="2:2" x14ac:dyDescent="0.2">
      <c r="B4320" s="3" t="s">
        <v>257</v>
      </c>
    </row>
    <row r="4321" spans="2:2" x14ac:dyDescent="0.2">
      <c r="B4321" s="3" t="s">
        <v>257</v>
      </c>
    </row>
    <row r="4322" spans="2:2" x14ac:dyDescent="0.2">
      <c r="B4322" s="3" t="s">
        <v>257</v>
      </c>
    </row>
    <row r="4323" spans="2:2" x14ac:dyDescent="0.2">
      <c r="B4323" s="3" t="s">
        <v>257</v>
      </c>
    </row>
    <row r="4324" spans="2:2" x14ac:dyDescent="0.2">
      <c r="B4324" s="3" t="s">
        <v>257</v>
      </c>
    </row>
    <row r="4325" spans="2:2" x14ac:dyDescent="0.2">
      <c r="B4325" s="3" t="s">
        <v>257</v>
      </c>
    </row>
    <row r="4326" spans="2:2" x14ac:dyDescent="0.2">
      <c r="B4326" s="3" t="s">
        <v>257</v>
      </c>
    </row>
    <row r="4327" spans="2:2" x14ac:dyDescent="0.2">
      <c r="B4327" s="3" t="s">
        <v>257</v>
      </c>
    </row>
    <row r="4328" spans="2:2" x14ac:dyDescent="0.2">
      <c r="B4328" s="3" t="s">
        <v>257</v>
      </c>
    </row>
    <row r="4329" spans="2:2" x14ac:dyDescent="0.2">
      <c r="B4329" s="3" t="s">
        <v>257</v>
      </c>
    </row>
    <row r="4330" spans="2:2" x14ac:dyDescent="0.2">
      <c r="B4330" s="3" t="s">
        <v>257</v>
      </c>
    </row>
    <row r="4331" spans="2:2" x14ac:dyDescent="0.2">
      <c r="B4331" s="3" t="s">
        <v>257</v>
      </c>
    </row>
    <row r="4332" spans="2:2" x14ac:dyDescent="0.2">
      <c r="B4332" s="3" t="s">
        <v>257</v>
      </c>
    </row>
    <row r="4333" spans="2:2" x14ac:dyDescent="0.2">
      <c r="B4333" s="3" t="s">
        <v>257</v>
      </c>
    </row>
    <row r="4334" spans="2:2" x14ac:dyDescent="0.2">
      <c r="B4334" s="3" t="s">
        <v>257</v>
      </c>
    </row>
    <row r="4335" spans="2:2" x14ac:dyDescent="0.2">
      <c r="B4335" s="3" t="s">
        <v>257</v>
      </c>
    </row>
    <row r="4336" spans="2:2" x14ac:dyDescent="0.2">
      <c r="B4336" s="3" t="s">
        <v>257</v>
      </c>
    </row>
    <row r="4337" spans="2:2" x14ac:dyDescent="0.2">
      <c r="B4337" s="3" t="s">
        <v>257</v>
      </c>
    </row>
    <row r="4338" spans="2:2" x14ac:dyDescent="0.2">
      <c r="B4338" s="3" t="s">
        <v>257</v>
      </c>
    </row>
    <row r="4339" spans="2:2" x14ac:dyDescent="0.2">
      <c r="B4339" s="3" t="s">
        <v>257</v>
      </c>
    </row>
    <row r="4340" spans="2:2" x14ac:dyDescent="0.2">
      <c r="B4340" s="3" t="s">
        <v>257</v>
      </c>
    </row>
    <row r="4341" spans="2:2" x14ac:dyDescent="0.2">
      <c r="B4341" s="3" t="s">
        <v>257</v>
      </c>
    </row>
    <row r="4342" spans="2:2" x14ac:dyDescent="0.2">
      <c r="B4342" s="3" t="s">
        <v>257</v>
      </c>
    </row>
    <row r="4343" spans="2:2" x14ac:dyDescent="0.2">
      <c r="B4343" s="3" t="s">
        <v>257</v>
      </c>
    </row>
    <row r="4344" spans="2:2" x14ac:dyDescent="0.2">
      <c r="B4344" s="3" t="s">
        <v>257</v>
      </c>
    </row>
    <row r="4345" spans="2:2" x14ac:dyDescent="0.2">
      <c r="B4345" s="3" t="s">
        <v>257</v>
      </c>
    </row>
    <row r="4346" spans="2:2" x14ac:dyDescent="0.2">
      <c r="B4346" s="3" t="s">
        <v>257</v>
      </c>
    </row>
    <row r="4347" spans="2:2" x14ac:dyDescent="0.2">
      <c r="B4347" s="3" t="s">
        <v>257</v>
      </c>
    </row>
    <row r="4348" spans="2:2" x14ac:dyDescent="0.2">
      <c r="B4348" s="3" t="s">
        <v>257</v>
      </c>
    </row>
    <row r="4349" spans="2:2" x14ac:dyDescent="0.2">
      <c r="B4349" s="3" t="s">
        <v>257</v>
      </c>
    </row>
    <row r="4350" spans="2:2" x14ac:dyDescent="0.2">
      <c r="B4350" s="3" t="s">
        <v>257</v>
      </c>
    </row>
    <row r="4351" spans="2:2" x14ac:dyDescent="0.2">
      <c r="B4351" s="3" t="s">
        <v>257</v>
      </c>
    </row>
    <row r="4352" spans="2:2" x14ac:dyDescent="0.2">
      <c r="B4352" s="3" t="s">
        <v>257</v>
      </c>
    </row>
    <row r="4353" spans="2:2" x14ac:dyDescent="0.2">
      <c r="B4353" s="3" t="s">
        <v>257</v>
      </c>
    </row>
    <row r="4354" spans="2:2" x14ac:dyDescent="0.2">
      <c r="B4354" s="3" t="s">
        <v>257</v>
      </c>
    </row>
    <row r="4355" spans="2:2" x14ac:dyDescent="0.2">
      <c r="B4355" s="3" t="s">
        <v>257</v>
      </c>
    </row>
    <row r="4356" spans="2:2" x14ac:dyDescent="0.2">
      <c r="B4356" s="3" t="s">
        <v>257</v>
      </c>
    </row>
    <row r="4357" spans="2:2" x14ac:dyDescent="0.2">
      <c r="B4357" s="3" t="s">
        <v>257</v>
      </c>
    </row>
    <row r="4358" spans="2:2" x14ac:dyDescent="0.2">
      <c r="B4358" s="3" t="s">
        <v>257</v>
      </c>
    </row>
    <row r="4359" spans="2:2" x14ac:dyDescent="0.2">
      <c r="B4359" s="3" t="s">
        <v>257</v>
      </c>
    </row>
    <row r="4360" spans="2:2" x14ac:dyDescent="0.2">
      <c r="B4360" s="3" t="s">
        <v>257</v>
      </c>
    </row>
    <row r="4361" spans="2:2" x14ac:dyDescent="0.2">
      <c r="B4361" s="3" t="s">
        <v>257</v>
      </c>
    </row>
    <row r="4362" spans="2:2" x14ac:dyDescent="0.2">
      <c r="B4362" s="3" t="s">
        <v>257</v>
      </c>
    </row>
    <row r="4363" spans="2:2" x14ac:dyDescent="0.2">
      <c r="B4363" s="3" t="s">
        <v>257</v>
      </c>
    </row>
    <row r="4364" spans="2:2" x14ac:dyDescent="0.2">
      <c r="B4364" s="3" t="s">
        <v>257</v>
      </c>
    </row>
    <row r="4365" spans="2:2" x14ac:dyDescent="0.2">
      <c r="B4365" s="3" t="s">
        <v>257</v>
      </c>
    </row>
    <row r="4366" spans="2:2" x14ac:dyDescent="0.2">
      <c r="B4366" s="3" t="s">
        <v>257</v>
      </c>
    </row>
    <row r="4367" spans="2:2" x14ac:dyDescent="0.2">
      <c r="B4367" s="3" t="s">
        <v>257</v>
      </c>
    </row>
    <row r="4368" spans="2:2" x14ac:dyDescent="0.2">
      <c r="B4368" s="3" t="s">
        <v>257</v>
      </c>
    </row>
    <row r="4369" spans="2:2" x14ac:dyDescent="0.2">
      <c r="B4369" s="3" t="s">
        <v>257</v>
      </c>
    </row>
    <row r="4370" spans="2:2" x14ac:dyDescent="0.2">
      <c r="B4370" s="3" t="s">
        <v>257</v>
      </c>
    </row>
    <row r="4371" spans="2:2" x14ac:dyDescent="0.2">
      <c r="B4371" s="3" t="s">
        <v>257</v>
      </c>
    </row>
    <row r="4372" spans="2:2" x14ac:dyDescent="0.2">
      <c r="B4372" s="3" t="s">
        <v>257</v>
      </c>
    </row>
    <row r="4373" spans="2:2" x14ac:dyDescent="0.2">
      <c r="B4373" s="3" t="s">
        <v>257</v>
      </c>
    </row>
    <row r="4374" spans="2:2" x14ac:dyDescent="0.2">
      <c r="B4374" s="3" t="s">
        <v>257</v>
      </c>
    </row>
    <row r="4375" spans="2:2" x14ac:dyDescent="0.2">
      <c r="B4375" s="3" t="s">
        <v>257</v>
      </c>
    </row>
    <row r="4376" spans="2:2" x14ac:dyDescent="0.2">
      <c r="B4376" s="3" t="s">
        <v>257</v>
      </c>
    </row>
    <row r="4377" spans="2:2" x14ac:dyDescent="0.2">
      <c r="B4377" s="3" t="s">
        <v>257</v>
      </c>
    </row>
    <row r="4378" spans="2:2" x14ac:dyDescent="0.2">
      <c r="B4378" s="3" t="s">
        <v>257</v>
      </c>
    </row>
    <row r="4379" spans="2:2" x14ac:dyDescent="0.2">
      <c r="B4379" s="3" t="s">
        <v>257</v>
      </c>
    </row>
    <row r="4380" spans="2:2" x14ac:dyDescent="0.2">
      <c r="B4380" s="3" t="s">
        <v>257</v>
      </c>
    </row>
    <row r="4381" spans="2:2" x14ac:dyDescent="0.2">
      <c r="B4381" s="3" t="s">
        <v>257</v>
      </c>
    </row>
    <row r="4382" spans="2:2" x14ac:dyDescent="0.2">
      <c r="B4382" s="3" t="s">
        <v>257</v>
      </c>
    </row>
    <row r="4383" spans="2:2" x14ac:dyDescent="0.2">
      <c r="B4383" s="3" t="s">
        <v>257</v>
      </c>
    </row>
    <row r="4384" spans="2:2" x14ac:dyDescent="0.2">
      <c r="B4384" s="3" t="s">
        <v>257</v>
      </c>
    </row>
    <row r="4385" spans="2:2" x14ac:dyDescent="0.2">
      <c r="B4385" s="3" t="s">
        <v>257</v>
      </c>
    </row>
    <row r="4386" spans="2:2" x14ac:dyDescent="0.2">
      <c r="B4386" s="3" t="s">
        <v>257</v>
      </c>
    </row>
    <row r="4387" spans="2:2" x14ac:dyDescent="0.2">
      <c r="B4387" s="3" t="s">
        <v>257</v>
      </c>
    </row>
    <row r="4388" spans="2:2" x14ac:dyDescent="0.2">
      <c r="B4388" s="3" t="s">
        <v>257</v>
      </c>
    </row>
    <row r="4389" spans="2:2" x14ac:dyDescent="0.2">
      <c r="B4389" s="3" t="s">
        <v>257</v>
      </c>
    </row>
    <row r="4390" spans="2:2" x14ac:dyDescent="0.2">
      <c r="B4390" s="3" t="s">
        <v>257</v>
      </c>
    </row>
    <row r="4391" spans="2:2" x14ac:dyDescent="0.2">
      <c r="B4391" s="3" t="s">
        <v>257</v>
      </c>
    </row>
    <row r="4392" spans="2:2" x14ac:dyDescent="0.2">
      <c r="B4392" s="3" t="s">
        <v>257</v>
      </c>
    </row>
    <row r="4393" spans="2:2" x14ac:dyDescent="0.2">
      <c r="B4393" s="3" t="s">
        <v>257</v>
      </c>
    </row>
    <row r="4394" spans="2:2" x14ac:dyDescent="0.2">
      <c r="B4394" s="3" t="s">
        <v>257</v>
      </c>
    </row>
    <row r="4395" spans="2:2" x14ac:dyDescent="0.2">
      <c r="B4395" s="3" t="s">
        <v>257</v>
      </c>
    </row>
    <row r="4396" spans="2:2" x14ac:dyDescent="0.2">
      <c r="B4396" s="3" t="s">
        <v>257</v>
      </c>
    </row>
    <row r="4397" spans="2:2" x14ac:dyDescent="0.2">
      <c r="B4397" s="3" t="s">
        <v>257</v>
      </c>
    </row>
    <row r="4398" spans="2:2" x14ac:dyDescent="0.2">
      <c r="B4398" s="3" t="s">
        <v>257</v>
      </c>
    </row>
    <row r="4399" spans="2:2" x14ac:dyDescent="0.2">
      <c r="B4399" s="3" t="s">
        <v>257</v>
      </c>
    </row>
    <row r="4400" spans="2:2" x14ac:dyDescent="0.2">
      <c r="B4400" s="3" t="s">
        <v>257</v>
      </c>
    </row>
    <row r="4401" spans="2:2" x14ac:dyDescent="0.2">
      <c r="B4401" s="3" t="s">
        <v>257</v>
      </c>
    </row>
    <row r="4402" spans="2:2" x14ac:dyDescent="0.2">
      <c r="B4402" s="3" t="s">
        <v>257</v>
      </c>
    </row>
    <row r="4403" spans="2:2" x14ac:dyDescent="0.2">
      <c r="B4403" s="3" t="s">
        <v>257</v>
      </c>
    </row>
    <row r="4404" spans="2:2" x14ac:dyDescent="0.2">
      <c r="B4404" s="3" t="s">
        <v>257</v>
      </c>
    </row>
    <row r="4405" spans="2:2" x14ac:dyDescent="0.2">
      <c r="B4405" s="3" t="s">
        <v>257</v>
      </c>
    </row>
    <row r="4406" spans="2:2" x14ac:dyDescent="0.2">
      <c r="B4406" s="3" t="s">
        <v>257</v>
      </c>
    </row>
    <row r="4407" spans="2:2" x14ac:dyDescent="0.2">
      <c r="B4407" s="3" t="s">
        <v>257</v>
      </c>
    </row>
    <row r="4408" spans="2:2" x14ac:dyDescent="0.2">
      <c r="B4408" s="3" t="s">
        <v>257</v>
      </c>
    </row>
    <row r="4409" spans="2:2" x14ac:dyDescent="0.2">
      <c r="B4409" s="3" t="s">
        <v>257</v>
      </c>
    </row>
    <row r="4410" spans="2:2" x14ac:dyDescent="0.2">
      <c r="B4410" s="3" t="s">
        <v>257</v>
      </c>
    </row>
    <row r="4411" spans="2:2" x14ac:dyDescent="0.2">
      <c r="B4411" s="3" t="s">
        <v>257</v>
      </c>
    </row>
    <row r="4412" spans="2:2" x14ac:dyDescent="0.2">
      <c r="B4412" s="3" t="s">
        <v>257</v>
      </c>
    </row>
    <row r="4413" spans="2:2" x14ac:dyDescent="0.2">
      <c r="B4413" s="3" t="s">
        <v>257</v>
      </c>
    </row>
    <row r="4414" spans="2:2" x14ac:dyDescent="0.2">
      <c r="B4414" s="3" t="s">
        <v>257</v>
      </c>
    </row>
    <row r="4415" spans="2:2" x14ac:dyDescent="0.2">
      <c r="B4415" s="3" t="s">
        <v>257</v>
      </c>
    </row>
    <row r="4416" spans="2:2" x14ac:dyDescent="0.2">
      <c r="B4416" s="3" t="s">
        <v>257</v>
      </c>
    </row>
    <row r="4417" spans="2:2" x14ac:dyDescent="0.2">
      <c r="B4417" s="3" t="s">
        <v>257</v>
      </c>
    </row>
    <row r="4418" spans="2:2" x14ac:dyDescent="0.2">
      <c r="B4418" s="3" t="s">
        <v>257</v>
      </c>
    </row>
    <row r="4419" spans="2:2" x14ac:dyDescent="0.2">
      <c r="B4419" s="3" t="s">
        <v>257</v>
      </c>
    </row>
    <row r="4420" spans="2:2" x14ac:dyDescent="0.2">
      <c r="B4420" s="3" t="s">
        <v>257</v>
      </c>
    </row>
    <row r="4421" spans="2:2" x14ac:dyDescent="0.2">
      <c r="B4421" s="3" t="s">
        <v>257</v>
      </c>
    </row>
    <row r="4422" spans="2:2" x14ac:dyDescent="0.2">
      <c r="B4422" s="3" t="s">
        <v>257</v>
      </c>
    </row>
    <row r="4423" spans="2:2" x14ac:dyDescent="0.2">
      <c r="B4423" s="3" t="s">
        <v>257</v>
      </c>
    </row>
    <row r="4424" spans="2:2" x14ac:dyDescent="0.2">
      <c r="B4424" s="3" t="s">
        <v>257</v>
      </c>
    </row>
    <row r="4425" spans="2:2" x14ac:dyDescent="0.2">
      <c r="B4425" s="3" t="s">
        <v>257</v>
      </c>
    </row>
    <row r="4426" spans="2:2" x14ac:dyDescent="0.2">
      <c r="B4426" s="3" t="s">
        <v>257</v>
      </c>
    </row>
    <row r="4427" spans="2:2" x14ac:dyDescent="0.2">
      <c r="B4427" s="3" t="s">
        <v>257</v>
      </c>
    </row>
    <row r="4428" spans="2:2" x14ac:dyDescent="0.2">
      <c r="B4428" s="3" t="s">
        <v>257</v>
      </c>
    </row>
    <row r="4429" spans="2:2" x14ac:dyDescent="0.2">
      <c r="B4429" s="3" t="s">
        <v>257</v>
      </c>
    </row>
    <row r="4430" spans="2:2" x14ac:dyDescent="0.2">
      <c r="B4430" s="3" t="s">
        <v>257</v>
      </c>
    </row>
    <row r="4431" spans="2:2" x14ac:dyDescent="0.2">
      <c r="B4431" s="3" t="s">
        <v>257</v>
      </c>
    </row>
    <row r="4432" spans="2:2" x14ac:dyDescent="0.2">
      <c r="B4432" s="3" t="s">
        <v>257</v>
      </c>
    </row>
    <row r="4433" spans="2:2" x14ac:dyDescent="0.2">
      <c r="B4433" s="3" t="s">
        <v>257</v>
      </c>
    </row>
    <row r="4434" spans="2:2" x14ac:dyDescent="0.2">
      <c r="B4434" s="3" t="s">
        <v>257</v>
      </c>
    </row>
    <row r="4435" spans="2:2" x14ac:dyDescent="0.2">
      <c r="B4435" s="3" t="s">
        <v>257</v>
      </c>
    </row>
    <row r="4436" spans="2:2" x14ac:dyDescent="0.2">
      <c r="B4436" s="3" t="s">
        <v>257</v>
      </c>
    </row>
    <row r="4437" spans="2:2" x14ac:dyDescent="0.2">
      <c r="B4437" s="3" t="s">
        <v>257</v>
      </c>
    </row>
    <row r="4438" spans="2:2" x14ac:dyDescent="0.2">
      <c r="B4438" s="3" t="s">
        <v>257</v>
      </c>
    </row>
    <row r="4439" spans="2:2" x14ac:dyDescent="0.2">
      <c r="B4439" s="3" t="s">
        <v>257</v>
      </c>
    </row>
    <row r="4440" spans="2:2" x14ac:dyDescent="0.2">
      <c r="B4440" s="3" t="s">
        <v>257</v>
      </c>
    </row>
    <row r="4441" spans="2:2" x14ac:dyDescent="0.2">
      <c r="B4441" s="3" t="s">
        <v>257</v>
      </c>
    </row>
    <row r="4442" spans="2:2" x14ac:dyDescent="0.2">
      <c r="B4442" s="3" t="s">
        <v>257</v>
      </c>
    </row>
    <row r="4443" spans="2:2" x14ac:dyDescent="0.2">
      <c r="B4443" s="3" t="s">
        <v>257</v>
      </c>
    </row>
    <row r="4444" spans="2:2" x14ac:dyDescent="0.2">
      <c r="B4444" s="3" t="s">
        <v>257</v>
      </c>
    </row>
    <row r="4445" spans="2:2" x14ac:dyDescent="0.2">
      <c r="B4445" s="3" t="s">
        <v>257</v>
      </c>
    </row>
    <row r="4446" spans="2:2" x14ac:dyDescent="0.2">
      <c r="B4446" s="3" t="s">
        <v>257</v>
      </c>
    </row>
    <row r="4447" spans="2:2" x14ac:dyDescent="0.2">
      <c r="B4447" s="3" t="s">
        <v>257</v>
      </c>
    </row>
    <row r="4448" spans="2:2" x14ac:dyDescent="0.2">
      <c r="B4448" s="3" t="s">
        <v>257</v>
      </c>
    </row>
    <row r="4449" spans="2:2" x14ac:dyDescent="0.2">
      <c r="B4449" s="3" t="s">
        <v>257</v>
      </c>
    </row>
    <row r="4450" spans="2:2" x14ac:dyDescent="0.2">
      <c r="B4450" s="3" t="s">
        <v>257</v>
      </c>
    </row>
    <row r="4451" spans="2:2" x14ac:dyDescent="0.2">
      <c r="B4451" s="3" t="s">
        <v>257</v>
      </c>
    </row>
    <row r="4452" spans="2:2" x14ac:dyDescent="0.2">
      <c r="B4452" s="3" t="s">
        <v>257</v>
      </c>
    </row>
    <row r="4453" spans="2:2" x14ac:dyDescent="0.2">
      <c r="B4453" s="3" t="s">
        <v>257</v>
      </c>
    </row>
    <row r="4454" spans="2:2" x14ac:dyDescent="0.2">
      <c r="B4454" s="3" t="s">
        <v>257</v>
      </c>
    </row>
    <row r="4455" spans="2:2" x14ac:dyDescent="0.2">
      <c r="B4455" s="3" t="s">
        <v>257</v>
      </c>
    </row>
    <row r="4456" spans="2:2" x14ac:dyDescent="0.2">
      <c r="B4456" s="3" t="s">
        <v>257</v>
      </c>
    </row>
    <row r="4457" spans="2:2" x14ac:dyDescent="0.2">
      <c r="B4457" s="3" t="s">
        <v>257</v>
      </c>
    </row>
    <row r="4458" spans="2:2" x14ac:dyDescent="0.2">
      <c r="B4458" s="3" t="s">
        <v>257</v>
      </c>
    </row>
    <row r="4459" spans="2:2" x14ac:dyDescent="0.2">
      <c r="B4459" s="3" t="s">
        <v>257</v>
      </c>
    </row>
    <row r="4460" spans="2:2" x14ac:dyDescent="0.2">
      <c r="B4460" s="3" t="s">
        <v>257</v>
      </c>
    </row>
    <row r="4461" spans="2:2" x14ac:dyDescent="0.2">
      <c r="B4461" s="3" t="s">
        <v>257</v>
      </c>
    </row>
    <row r="4462" spans="2:2" x14ac:dyDescent="0.2">
      <c r="B4462" s="3" t="s">
        <v>257</v>
      </c>
    </row>
    <row r="4463" spans="2:2" x14ac:dyDescent="0.2">
      <c r="B4463" s="3" t="s">
        <v>257</v>
      </c>
    </row>
    <row r="4464" spans="2:2" x14ac:dyDescent="0.2">
      <c r="B4464" s="3" t="s">
        <v>257</v>
      </c>
    </row>
    <row r="4465" spans="2:2" x14ac:dyDescent="0.2">
      <c r="B4465" s="3" t="s">
        <v>257</v>
      </c>
    </row>
    <row r="4466" spans="2:2" x14ac:dyDescent="0.2">
      <c r="B4466" s="3" t="s">
        <v>257</v>
      </c>
    </row>
    <row r="4467" spans="2:2" x14ac:dyDescent="0.2">
      <c r="B4467" s="3" t="s">
        <v>257</v>
      </c>
    </row>
    <row r="4468" spans="2:2" x14ac:dyDescent="0.2">
      <c r="B4468" s="3" t="s">
        <v>257</v>
      </c>
    </row>
    <row r="4469" spans="2:2" x14ac:dyDescent="0.2">
      <c r="B4469" s="3" t="s">
        <v>257</v>
      </c>
    </row>
    <row r="4470" spans="2:2" x14ac:dyDescent="0.2">
      <c r="B4470" s="3" t="s">
        <v>257</v>
      </c>
    </row>
    <row r="4471" spans="2:2" x14ac:dyDescent="0.2">
      <c r="B4471" s="3" t="s">
        <v>257</v>
      </c>
    </row>
    <row r="4472" spans="2:2" x14ac:dyDescent="0.2">
      <c r="B4472" s="3" t="s">
        <v>257</v>
      </c>
    </row>
    <row r="4473" spans="2:2" x14ac:dyDescent="0.2">
      <c r="B4473" s="3" t="s">
        <v>257</v>
      </c>
    </row>
    <row r="4474" spans="2:2" x14ac:dyDescent="0.2">
      <c r="B4474" s="3" t="s">
        <v>257</v>
      </c>
    </row>
    <row r="4475" spans="2:2" x14ac:dyDescent="0.2">
      <c r="B4475" s="3" t="s">
        <v>257</v>
      </c>
    </row>
    <row r="4476" spans="2:2" x14ac:dyDescent="0.2">
      <c r="B4476" s="3" t="s">
        <v>257</v>
      </c>
    </row>
    <row r="4477" spans="2:2" x14ac:dyDescent="0.2">
      <c r="B4477" s="3" t="s">
        <v>257</v>
      </c>
    </row>
    <row r="4478" spans="2:2" x14ac:dyDescent="0.2">
      <c r="B4478" s="3" t="s">
        <v>257</v>
      </c>
    </row>
    <row r="4479" spans="2:2" x14ac:dyDescent="0.2">
      <c r="B4479" s="3" t="s">
        <v>257</v>
      </c>
    </row>
    <row r="4480" spans="2:2" x14ac:dyDescent="0.2">
      <c r="B4480" s="3" t="s">
        <v>257</v>
      </c>
    </row>
    <row r="4481" spans="2:2" x14ac:dyDescent="0.2">
      <c r="B4481" s="3" t="s">
        <v>257</v>
      </c>
    </row>
    <row r="4482" spans="2:2" x14ac:dyDescent="0.2">
      <c r="B4482" s="3" t="s">
        <v>257</v>
      </c>
    </row>
    <row r="4483" spans="2:2" x14ac:dyDescent="0.2">
      <c r="B4483" s="3" t="s">
        <v>257</v>
      </c>
    </row>
    <row r="4484" spans="2:2" x14ac:dyDescent="0.2">
      <c r="B4484" s="3" t="s">
        <v>257</v>
      </c>
    </row>
    <row r="4485" spans="2:2" x14ac:dyDescent="0.2">
      <c r="B4485" s="3" t="s">
        <v>257</v>
      </c>
    </row>
    <row r="4486" spans="2:2" x14ac:dyDescent="0.2">
      <c r="B4486" s="3" t="s">
        <v>257</v>
      </c>
    </row>
    <row r="4487" spans="2:2" x14ac:dyDescent="0.2">
      <c r="B4487" s="3" t="s">
        <v>257</v>
      </c>
    </row>
    <row r="4488" spans="2:2" x14ac:dyDescent="0.2">
      <c r="B4488" s="3" t="s">
        <v>257</v>
      </c>
    </row>
    <row r="4489" spans="2:2" x14ac:dyDescent="0.2">
      <c r="B4489" s="3" t="s">
        <v>257</v>
      </c>
    </row>
    <row r="4490" spans="2:2" x14ac:dyDescent="0.2">
      <c r="B4490" s="3" t="s">
        <v>257</v>
      </c>
    </row>
    <row r="4491" spans="2:2" x14ac:dyDescent="0.2">
      <c r="B4491" s="3" t="s">
        <v>257</v>
      </c>
    </row>
    <row r="4492" spans="2:2" x14ac:dyDescent="0.2">
      <c r="B4492" s="3" t="s">
        <v>257</v>
      </c>
    </row>
    <row r="4493" spans="2:2" x14ac:dyDescent="0.2">
      <c r="B4493" s="3" t="s">
        <v>257</v>
      </c>
    </row>
    <row r="4494" spans="2:2" x14ac:dyDescent="0.2">
      <c r="B4494" s="3" t="s">
        <v>257</v>
      </c>
    </row>
    <row r="4495" spans="2:2" x14ac:dyDescent="0.2">
      <c r="B4495" s="3" t="s">
        <v>257</v>
      </c>
    </row>
    <row r="4496" spans="2:2" x14ac:dyDescent="0.2">
      <c r="B4496" s="3" t="s">
        <v>257</v>
      </c>
    </row>
    <row r="4497" spans="2:2" x14ac:dyDescent="0.2">
      <c r="B4497" s="3" t="s">
        <v>257</v>
      </c>
    </row>
    <row r="4498" spans="2:2" x14ac:dyDescent="0.2">
      <c r="B4498" s="3" t="s">
        <v>257</v>
      </c>
    </row>
    <row r="4499" spans="2:2" x14ac:dyDescent="0.2">
      <c r="B4499" s="3" t="s">
        <v>257</v>
      </c>
    </row>
    <row r="4500" spans="2:2" x14ac:dyDescent="0.2">
      <c r="B4500" s="3" t="s">
        <v>257</v>
      </c>
    </row>
    <row r="4501" spans="2:2" x14ac:dyDescent="0.2">
      <c r="B4501" s="3" t="s">
        <v>257</v>
      </c>
    </row>
    <row r="4502" spans="2:2" x14ac:dyDescent="0.2">
      <c r="B4502" s="3" t="s">
        <v>257</v>
      </c>
    </row>
    <row r="4503" spans="2:2" x14ac:dyDescent="0.2">
      <c r="B4503" s="3" t="s">
        <v>257</v>
      </c>
    </row>
    <row r="4504" spans="2:2" x14ac:dyDescent="0.2">
      <c r="B4504" s="3" t="s">
        <v>257</v>
      </c>
    </row>
    <row r="4505" spans="2:2" x14ac:dyDescent="0.2">
      <c r="B4505" s="3" t="s">
        <v>257</v>
      </c>
    </row>
    <row r="4506" spans="2:2" x14ac:dyDescent="0.2">
      <c r="B4506" s="3" t="s">
        <v>257</v>
      </c>
    </row>
    <row r="4507" spans="2:2" x14ac:dyDescent="0.2">
      <c r="B4507" s="3" t="s">
        <v>257</v>
      </c>
    </row>
    <row r="4508" spans="2:2" x14ac:dyDescent="0.2">
      <c r="B4508" s="3" t="s">
        <v>257</v>
      </c>
    </row>
    <row r="4509" spans="2:2" x14ac:dyDescent="0.2">
      <c r="B4509" s="3" t="s">
        <v>257</v>
      </c>
    </row>
    <row r="4510" spans="2:2" x14ac:dyDescent="0.2">
      <c r="B4510" s="3" t="s">
        <v>257</v>
      </c>
    </row>
    <row r="4511" spans="2:2" x14ac:dyDescent="0.2">
      <c r="B4511" s="3" t="s">
        <v>257</v>
      </c>
    </row>
    <row r="4512" spans="2:2" x14ac:dyDescent="0.2">
      <c r="B4512" s="3" t="s">
        <v>257</v>
      </c>
    </row>
    <row r="4513" spans="2:2" x14ac:dyDescent="0.2">
      <c r="B4513" s="3" t="s">
        <v>257</v>
      </c>
    </row>
    <row r="4514" spans="2:2" x14ac:dyDescent="0.2">
      <c r="B4514" s="3" t="s">
        <v>257</v>
      </c>
    </row>
    <row r="4515" spans="2:2" x14ac:dyDescent="0.2">
      <c r="B4515" s="3" t="s">
        <v>257</v>
      </c>
    </row>
    <row r="4516" spans="2:2" x14ac:dyDescent="0.2">
      <c r="B4516" s="3" t="s">
        <v>257</v>
      </c>
    </row>
    <row r="4517" spans="2:2" x14ac:dyDescent="0.2">
      <c r="B4517" s="3" t="s">
        <v>257</v>
      </c>
    </row>
    <row r="4518" spans="2:2" x14ac:dyDescent="0.2">
      <c r="B4518" s="3" t="s">
        <v>257</v>
      </c>
    </row>
    <row r="4519" spans="2:2" x14ac:dyDescent="0.2">
      <c r="B4519" s="3" t="s">
        <v>257</v>
      </c>
    </row>
    <row r="4520" spans="2:2" x14ac:dyDescent="0.2">
      <c r="B4520" s="3" t="s">
        <v>257</v>
      </c>
    </row>
    <row r="4521" spans="2:2" x14ac:dyDescent="0.2">
      <c r="B4521" s="3" t="s">
        <v>257</v>
      </c>
    </row>
    <row r="4522" spans="2:2" x14ac:dyDescent="0.2">
      <c r="B4522" s="3" t="s">
        <v>257</v>
      </c>
    </row>
    <row r="4523" spans="2:2" x14ac:dyDescent="0.2">
      <c r="B4523" s="3" t="s">
        <v>257</v>
      </c>
    </row>
    <row r="4524" spans="2:2" x14ac:dyDescent="0.2">
      <c r="B4524" s="3" t="s">
        <v>257</v>
      </c>
    </row>
    <row r="4525" spans="2:2" x14ac:dyDescent="0.2">
      <c r="B4525" s="3" t="s">
        <v>257</v>
      </c>
    </row>
    <row r="4526" spans="2:2" x14ac:dyDescent="0.2">
      <c r="B4526" s="3" t="s">
        <v>257</v>
      </c>
    </row>
    <row r="4527" spans="2:2" x14ac:dyDescent="0.2">
      <c r="B4527" s="3" t="s">
        <v>257</v>
      </c>
    </row>
    <row r="4528" spans="2:2" x14ac:dyDescent="0.2">
      <c r="B4528" s="3" t="s">
        <v>257</v>
      </c>
    </row>
    <row r="4529" spans="2:2" x14ac:dyDescent="0.2">
      <c r="B4529" s="3" t="s">
        <v>257</v>
      </c>
    </row>
    <row r="4530" spans="2:2" x14ac:dyDescent="0.2">
      <c r="B4530" s="3" t="s">
        <v>257</v>
      </c>
    </row>
    <row r="4531" spans="2:2" x14ac:dyDescent="0.2">
      <c r="B4531" s="3" t="s">
        <v>257</v>
      </c>
    </row>
    <row r="4532" spans="2:2" x14ac:dyDescent="0.2">
      <c r="B4532" s="3" t="s">
        <v>257</v>
      </c>
    </row>
    <row r="4533" spans="2:2" x14ac:dyDescent="0.2">
      <c r="B4533" s="3" t="s">
        <v>257</v>
      </c>
    </row>
    <row r="4534" spans="2:2" x14ac:dyDescent="0.2">
      <c r="B4534" s="3" t="s">
        <v>257</v>
      </c>
    </row>
    <row r="4535" spans="2:2" x14ac:dyDescent="0.2">
      <c r="B4535" s="3" t="s">
        <v>257</v>
      </c>
    </row>
    <row r="4536" spans="2:2" x14ac:dyDescent="0.2">
      <c r="B4536" s="3" t="s">
        <v>257</v>
      </c>
    </row>
    <row r="4537" spans="2:2" x14ac:dyDescent="0.2">
      <c r="B4537" s="3" t="s">
        <v>257</v>
      </c>
    </row>
    <row r="4538" spans="2:2" x14ac:dyDescent="0.2">
      <c r="B4538" s="3" t="s">
        <v>257</v>
      </c>
    </row>
    <row r="4539" spans="2:2" x14ac:dyDescent="0.2">
      <c r="B4539" s="3" t="s">
        <v>257</v>
      </c>
    </row>
    <row r="4540" spans="2:2" x14ac:dyDescent="0.2">
      <c r="B4540" s="3" t="s">
        <v>257</v>
      </c>
    </row>
    <row r="4541" spans="2:2" x14ac:dyDescent="0.2">
      <c r="B4541" s="3" t="s">
        <v>257</v>
      </c>
    </row>
    <row r="4542" spans="2:2" x14ac:dyDescent="0.2">
      <c r="B4542" s="3" t="s">
        <v>257</v>
      </c>
    </row>
    <row r="4543" spans="2:2" x14ac:dyDescent="0.2">
      <c r="B4543" s="3" t="s">
        <v>257</v>
      </c>
    </row>
    <row r="4544" spans="2:2" x14ac:dyDescent="0.2">
      <c r="B4544" s="3" t="s">
        <v>257</v>
      </c>
    </row>
    <row r="4545" spans="2:2" x14ac:dyDescent="0.2">
      <c r="B4545" s="3" t="s">
        <v>257</v>
      </c>
    </row>
    <row r="4546" spans="2:2" x14ac:dyDescent="0.2">
      <c r="B4546" s="3" t="s">
        <v>257</v>
      </c>
    </row>
    <row r="4547" spans="2:2" x14ac:dyDescent="0.2">
      <c r="B4547" s="3" t="s">
        <v>257</v>
      </c>
    </row>
    <row r="4548" spans="2:2" x14ac:dyDescent="0.2">
      <c r="B4548" s="3" t="s">
        <v>257</v>
      </c>
    </row>
    <row r="4549" spans="2:2" x14ac:dyDescent="0.2">
      <c r="B4549" s="3" t="s">
        <v>257</v>
      </c>
    </row>
    <row r="4550" spans="2:2" x14ac:dyDescent="0.2">
      <c r="B4550" s="3" t="s">
        <v>257</v>
      </c>
    </row>
    <row r="4551" spans="2:2" x14ac:dyDescent="0.2">
      <c r="B4551" s="3" t="s">
        <v>257</v>
      </c>
    </row>
    <row r="4552" spans="2:2" x14ac:dyDescent="0.2">
      <c r="B4552" s="3" t="s">
        <v>257</v>
      </c>
    </row>
    <row r="4553" spans="2:2" x14ac:dyDescent="0.2">
      <c r="B4553" s="3" t="s">
        <v>257</v>
      </c>
    </row>
    <row r="4554" spans="2:2" x14ac:dyDescent="0.2">
      <c r="B4554" s="3" t="s">
        <v>257</v>
      </c>
    </row>
    <row r="4555" spans="2:2" x14ac:dyDescent="0.2">
      <c r="B4555" s="3" t="s">
        <v>257</v>
      </c>
    </row>
    <row r="4556" spans="2:2" x14ac:dyDescent="0.2">
      <c r="B4556" s="3" t="s">
        <v>257</v>
      </c>
    </row>
    <row r="4557" spans="2:2" x14ac:dyDescent="0.2">
      <c r="B4557" s="3" t="s">
        <v>257</v>
      </c>
    </row>
    <row r="4558" spans="2:2" x14ac:dyDescent="0.2">
      <c r="B4558" s="3" t="s">
        <v>257</v>
      </c>
    </row>
    <row r="4559" spans="2:2" x14ac:dyDescent="0.2">
      <c r="B4559" s="3" t="s">
        <v>257</v>
      </c>
    </row>
    <row r="4560" spans="2:2" x14ac:dyDescent="0.2">
      <c r="B4560" s="3" t="s">
        <v>257</v>
      </c>
    </row>
    <row r="4561" spans="2:2" x14ac:dyDescent="0.2">
      <c r="B4561" s="3" t="s">
        <v>257</v>
      </c>
    </row>
    <row r="4562" spans="2:2" x14ac:dyDescent="0.2">
      <c r="B4562" s="3" t="s">
        <v>257</v>
      </c>
    </row>
    <row r="4563" spans="2:2" x14ac:dyDescent="0.2">
      <c r="B4563" s="3" t="s">
        <v>257</v>
      </c>
    </row>
    <row r="4564" spans="2:2" x14ac:dyDescent="0.2">
      <c r="B4564" s="3" t="s">
        <v>257</v>
      </c>
    </row>
    <row r="4565" spans="2:2" x14ac:dyDescent="0.2">
      <c r="B4565" s="3" t="s">
        <v>257</v>
      </c>
    </row>
    <row r="4566" spans="2:2" x14ac:dyDescent="0.2">
      <c r="B4566" s="3" t="s">
        <v>257</v>
      </c>
    </row>
    <row r="4567" spans="2:2" x14ac:dyDescent="0.2">
      <c r="B4567" s="3" t="s">
        <v>257</v>
      </c>
    </row>
    <row r="4568" spans="2:2" x14ac:dyDescent="0.2">
      <c r="B4568" s="3" t="s">
        <v>257</v>
      </c>
    </row>
    <row r="4569" spans="2:2" x14ac:dyDescent="0.2">
      <c r="B4569" s="3" t="s">
        <v>257</v>
      </c>
    </row>
    <row r="4570" spans="2:2" x14ac:dyDescent="0.2">
      <c r="B4570" s="3" t="s">
        <v>257</v>
      </c>
    </row>
    <row r="4571" spans="2:2" x14ac:dyDescent="0.2">
      <c r="B4571" s="3" t="s">
        <v>257</v>
      </c>
    </row>
    <row r="4572" spans="2:2" x14ac:dyDescent="0.2">
      <c r="B4572" s="3" t="s">
        <v>257</v>
      </c>
    </row>
    <row r="4573" spans="2:2" x14ac:dyDescent="0.2">
      <c r="B4573" s="3" t="s">
        <v>257</v>
      </c>
    </row>
    <row r="4574" spans="2:2" x14ac:dyDescent="0.2">
      <c r="B4574" s="3" t="s">
        <v>257</v>
      </c>
    </row>
    <row r="4575" spans="2:2" x14ac:dyDescent="0.2">
      <c r="B4575" s="3" t="s">
        <v>257</v>
      </c>
    </row>
    <row r="4576" spans="2:2" x14ac:dyDescent="0.2">
      <c r="B4576" s="3" t="s">
        <v>257</v>
      </c>
    </row>
    <row r="4577" spans="2:2" x14ac:dyDescent="0.2">
      <c r="B4577" s="3" t="s">
        <v>257</v>
      </c>
    </row>
    <row r="4578" spans="2:2" x14ac:dyDescent="0.2">
      <c r="B4578" s="3" t="s">
        <v>257</v>
      </c>
    </row>
    <row r="4579" spans="2:2" x14ac:dyDescent="0.2">
      <c r="B4579" s="3" t="s">
        <v>257</v>
      </c>
    </row>
    <row r="4580" spans="2:2" x14ac:dyDescent="0.2">
      <c r="B4580" s="3" t="s">
        <v>257</v>
      </c>
    </row>
    <row r="4581" spans="2:2" x14ac:dyDescent="0.2">
      <c r="B4581" s="3" t="s">
        <v>257</v>
      </c>
    </row>
    <row r="4582" spans="2:2" x14ac:dyDescent="0.2">
      <c r="B4582" s="3" t="s">
        <v>257</v>
      </c>
    </row>
    <row r="4583" spans="2:2" x14ac:dyDescent="0.2">
      <c r="B4583" s="3" t="s">
        <v>257</v>
      </c>
    </row>
    <row r="4584" spans="2:2" x14ac:dyDescent="0.2">
      <c r="B4584" s="3" t="s">
        <v>257</v>
      </c>
    </row>
    <row r="4585" spans="2:2" x14ac:dyDescent="0.2">
      <c r="B4585" s="3" t="s">
        <v>257</v>
      </c>
    </row>
    <row r="4586" spans="2:2" x14ac:dyDescent="0.2">
      <c r="B4586" s="3" t="s">
        <v>257</v>
      </c>
    </row>
    <row r="4587" spans="2:2" x14ac:dyDescent="0.2">
      <c r="B4587" s="3" t="s">
        <v>257</v>
      </c>
    </row>
    <row r="4588" spans="2:2" x14ac:dyDescent="0.2">
      <c r="B4588" s="3" t="s">
        <v>257</v>
      </c>
    </row>
    <row r="4589" spans="2:2" x14ac:dyDescent="0.2">
      <c r="B4589" s="3" t="s">
        <v>257</v>
      </c>
    </row>
    <row r="4590" spans="2:2" x14ac:dyDescent="0.2">
      <c r="B4590" s="3" t="s">
        <v>257</v>
      </c>
    </row>
    <row r="4591" spans="2:2" x14ac:dyDescent="0.2">
      <c r="B4591" s="3" t="s">
        <v>257</v>
      </c>
    </row>
    <row r="4592" spans="2:2" x14ac:dyDescent="0.2">
      <c r="B4592" s="3" t="s">
        <v>257</v>
      </c>
    </row>
    <row r="4593" spans="2:2" x14ac:dyDescent="0.2">
      <c r="B4593" s="3" t="s">
        <v>257</v>
      </c>
    </row>
    <row r="4594" spans="2:2" x14ac:dyDescent="0.2">
      <c r="B4594" s="3" t="s">
        <v>257</v>
      </c>
    </row>
    <row r="4595" spans="2:2" x14ac:dyDescent="0.2">
      <c r="B4595" s="3" t="s">
        <v>257</v>
      </c>
    </row>
    <row r="4596" spans="2:2" x14ac:dyDescent="0.2">
      <c r="B4596" s="3" t="s">
        <v>257</v>
      </c>
    </row>
    <row r="4597" spans="2:2" x14ac:dyDescent="0.2">
      <c r="B4597" s="3" t="s">
        <v>257</v>
      </c>
    </row>
    <row r="4598" spans="2:2" x14ac:dyDescent="0.2">
      <c r="B4598" s="3" t="s">
        <v>257</v>
      </c>
    </row>
    <row r="4599" spans="2:2" x14ac:dyDescent="0.2">
      <c r="B4599" s="3" t="s">
        <v>257</v>
      </c>
    </row>
    <row r="4600" spans="2:2" x14ac:dyDescent="0.2">
      <c r="B4600" s="3" t="s">
        <v>257</v>
      </c>
    </row>
    <row r="4601" spans="2:2" x14ac:dyDescent="0.2">
      <c r="B4601" s="3" t="s">
        <v>257</v>
      </c>
    </row>
    <row r="4602" spans="2:2" x14ac:dyDescent="0.2">
      <c r="B4602" s="3" t="s">
        <v>257</v>
      </c>
    </row>
    <row r="4603" spans="2:2" x14ac:dyDescent="0.2">
      <c r="B4603" s="3" t="s">
        <v>257</v>
      </c>
    </row>
    <row r="4604" spans="2:2" x14ac:dyDescent="0.2">
      <c r="B4604" s="3" t="s">
        <v>257</v>
      </c>
    </row>
    <row r="4605" spans="2:2" x14ac:dyDescent="0.2">
      <c r="B4605" s="3" t="s">
        <v>257</v>
      </c>
    </row>
    <row r="4606" spans="2:2" x14ac:dyDescent="0.2">
      <c r="B4606" s="3" t="s">
        <v>257</v>
      </c>
    </row>
    <row r="4607" spans="2:2" x14ac:dyDescent="0.2">
      <c r="B4607" s="3" t="s">
        <v>257</v>
      </c>
    </row>
    <row r="4608" spans="2:2" x14ac:dyDescent="0.2">
      <c r="B4608" s="3" t="s">
        <v>257</v>
      </c>
    </row>
    <row r="4609" spans="2:2" x14ac:dyDescent="0.2">
      <c r="B4609" s="3" t="s">
        <v>257</v>
      </c>
    </row>
    <row r="4610" spans="2:2" x14ac:dyDescent="0.2">
      <c r="B4610" s="3" t="s">
        <v>257</v>
      </c>
    </row>
    <row r="4611" spans="2:2" x14ac:dyDescent="0.2">
      <c r="B4611" s="3" t="s">
        <v>257</v>
      </c>
    </row>
    <row r="4612" spans="2:2" x14ac:dyDescent="0.2">
      <c r="B4612" s="3" t="s">
        <v>257</v>
      </c>
    </row>
    <row r="4613" spans="2:2" x14ac:dyDescent="0.2">
      <c r="B4613" s="3" t="s">
        <v>257</v>
      </c>
    </row>
    <row r="4614" spans="2:2" x14ac:dyDescent="0.2">
      <c r="B4614" s="3" t="s">
        <v>257</v>
      </c>
    </row>
    <row r="4615" spans="2:2" x14ac:dyDescent="0.2">
      <c r="B4615" s="3" t="s">
        <v>257</v>
      </c>
    </row>
    <row r="4616" spans="2:2" x14ac:dyDescent="0.2">
      <c r="B4616" s="3" t="s">
        <v>257</v>
      </c>
    </row>
    <row r="4617" spans="2:2" x14ac:dyDescent="0.2">
      <c r="B4617" s="3" t="s">
        <v>257</v>
      </c>
    </row>
    <row r="4618" spans="2:2" x14ac:dyDescent="0.2">
      <c r="B4618" s="3" t="s">
        <v>257</v>
      </c>
    </row>
    <row r="4619" spans="2:2" x14ac:dyDescent="0.2">
      <c r="B4619" s="3" t="s">
        <v>257</v>
      </c>
    </row>
    <row r="4620" spans="2:2" x14ac:dyDescent="0.2">
      <c r="B4620" s="3" t="s">
        <v>257</v>
      </c>
    </row>
    <row r="4621" spans="2:2" x14ac:dyDescent="0.2">
      <c r="B4621" s="3" t="s">
        <v>257</v>
      </c>
    </row>
    <row r="4622" spans="2:2" x14ac:dyDescent="0.2">
      <c r="B4622" s="3" t="s">
        <v>257</v>
      </c>
    </row>
    <row r="4623" spans="2:2" x14ac:dyDescent="0.2">
      <c r="B4623" s="3" t="s">
        <v>257</v>
      </c>
    </row>
    <row r="4624" spans="2:2" x14ac:dyDescent="0.2">
      <c r="B4624" s="3" t="s">
        <v>257</v>
      </c>
    </row>
    <row r="4625" spans="2:2" x14ac:dyDescent="0.2">
      <c r="B4625" s="3" t="s">
        <v>257</v>
      </c>
    </row>
    <row r="4626" spans="2:2" x14ac:dyDescent="0.2">
      <c r="B4626" s="3" t="s">
        <v>257</v>
      </c>
    </row>
    <row r="4627" spans="2:2" x14ac:dyDescent="0.2">
      <c r="B4627" s="3" t="s">
        <v>257</v>
      </c>
    </row>
    <row r="4628" spans="2:2" x14ac:dyDescent="0.2">
      <c r="B4628" s="3" t="s">
        <v>257</v>
      </c>
    </row>
    <row r="4629" spans="2:2" x14ac:dyDescent="0.2">
      <c r="B4629" s="3" t="s">
        <v>257</v>
      </c>
    </row>
    <row r="4630" spans="2:2" x14ac:dyDescent="0.2">
      <c r="B4630" s="3" t="s">
        <v>257</v>
      </c>
    </row>
    <row r="4631" spans="2:2" x14ac:dyDescent="0.2">
      <c r="B4631" s="3" t="s">
        <v>257</v>
      </c>
    </row>
    <row r="4632" spans="2:2" x14ac:dyDescent="0.2">
      <c r="B4632" s="3" t="s">
        <v>257</v>
      </c>
    </row>
    <row r="4633" spans="2:2" x14ac:dyDescent="0.2">
      <c r="B4633" s="3" t="s">
        <v>257</v>
      </c>
    </row>
    <row r="4634" spans="2:2" x14ac:dyDescent="0.2">
      <c r="B4634" s="3" t="s">
        <v>257</v>
      </c>
    </row>
    <row r="4635" spans="2:2" x14ac:dyDescent="0.2">
      <c r="B4635" s="3" t="s">
        <v>257</v>
      </c>
    </row>
    <row r="4636" spans="2:2" x14ac:dyDescent="0.2">
      <c r="B4636" s="3" t="s">
        <v>257</v>
      </c>
    </row>
    <row r="4637" spans="2:2" x14ac:dyDescent="0.2">
      <c r="B4637" s="3" t="s">
        <v>257</v>
      </c>
    </row>
    <row r="4638" spans="2:2" x14ac:dyDescent="0.2">
      <c r="B4638" s="3" t="s">
        <v>257</v>
      </c>
    </row>
    <row r="4639" spans="2:2" x14ac:dyDescent="0.2">
      <c r="B4639" s="3" t="s">
        <v>257</v>
      </c>
    </row>
    <row r="4640" spans="2:2" x14ac:dyDescent="0.2">
      <c r="B4640" s="3" t="s">
        <v>257</v>
      </c>
    </row>
    <row r="4641" spans="2:2" x14ac:dyDescent="0.2">
      <c r="B4641" s="3" t="s">
        <v>257</v>
      </c>
    </row>
    <row r="4642" spans="2:2" x14ac:dyDescent="0.2">
      <c r="B4642" s="3" t="s">
        <v>257</v>
      </c>
    </row>
    <row r="4643" spans="2:2" x14ac:dyDescent="0.2">
      <c r="B4643" s="3" t="s">
        <v>257</v>
      </c>
    </row>
    <row r="4644" spans="2:2" x14ac:dyDescent="0.2">
      <c r="B4644" s="3" t="s">
        <v>257</v>
      </c>
    </row>
    <row r="4645" spans="2:2" x14ac:dyDescent="0.2">
      <c r="B4645" s="3" t="s">
        <v>257</v>
      </c>
    </row>
    <row r="4646" spans="2:2" x14ac:dyDescent="0.2">
      <c r="B4646" s="3" t="s">
        <v>257</v>
      </c>
    </row>
    <row r="4647" spans="2:2" x14ac:dyDescent="0.2">
      <c r="B4647" s="3" t="s">
        <v>257</v>
      </c>
    </row>
    <row r="4648" spans="2:2" x14ac:dyDescent="0.2">
      <c r="B4648" s="3" t="s">
        <v>257</v>
      </c>
    </row>
    <row r="4649" spans="2:2" x14ac:dyDescent="0.2">
      <c r="B4649" s="3" t="s">
        <v>257</v>
      </c>
    </row>
    <row r="4650" spans="2:2" x14ac:dyDescent="0.2">
      <c r="B4650" s="3" t="s">
        <v>257</v>
      </c>
    </row>
    <row r="4651" spans="2:2" x14ac:dyDescent="0.2">
      <c r="B4651" s="3" t="s">
        <v>257</v>
      </c>
    </row>
    <row r="4652" spans="2:2" x14ac:dyDescent="0.2">
      <c r="B4652" s="3" t="s">
        <v>257</v>
      </c>
    </row>
    <row r="4653" spans="2:2" x14ac:dyDescent="0.2">
      <c r="B4653" s="3" t="s">
        <v>257</v>
      </c>
    </row>
    <row r="4654" spans="2:2" x14ac:dyDescent="0.2">
      <c r="B4654" s="3" t="s">
        <v>257</v>
      </c>
    </row>
    <row r="4655" spans="2:2" x14ac:dyDescent="0.2">
      <c r="B4655" s="3" t="s">
        <v>257</v>
      </c>
    </row>
    <row r="4656" spans="2:2" x14ac:dyDescent="0.2">
      <c r="B4656" s="3" t="s">
        <v>257</v>
      </c>
    </row>
    <row r="4657" spans="2:2" x14ac:dyDescent="0.2">
      <c r="B4657" s="3" t="s">
        <v>257</v>
      </c>
    </row>
    <row r="4658" spans="2:2" x14ac:dyDescent="0.2">
      <c r="B4658" s="3" t="s">
        <v>257</v>
      </c>
    </row>
    <row r="4659" spans="2:2" x14ac:dyDescent="0.2">
      <c r="B4659" s="3" t="s">
        <v>257</v>
      </c>
    </row>
    <row r="4660" spans="2:2" x14ac:dyDescent="0.2">
      <c r="B4660" s="3" t="s">
        <v>257</v>
      </c>
    </row>
    <row r="4661" spans="2:2" x14ac:dyDescent="0.2">
      <c r="B4661" s="3" t="s">
        <v>257</v>
      </c>
    </row>
    <row r="4662" spans="2:2" x14ac:dyDescent="0.2">
      <c r="B4662" s="3" t="s">
        <v>257</v>
      </c>
    </row>
    <row r="4663" spans="2:2" x14ac:dyDescent="0.2">
      <c r="B4663" s="3" t="s">
        <v>257</v>
      </c>
    </row>
    <row r="4664" spans="2:2" x14ac:dyDescent="0.2">
      <c r="B4664" s="3" t="s">
        <v>257</v>
      </c>
    </row>
    <row r="4665" spans="2:2" x14ac:dyDescent="0.2">
      <c r="B4665" s="3" t="s">
        <v>257</v>
      </c>
    </row>
    <row r="4666" spans="2:2" x14ac:dyDescent="0.2">
      <c r="B4666" s="3" t="s">
        <v>257</v>
      </c>
    </row>
    <row r="4667" spans="2:2" x14ac:dyDescent="0.2">
      <c r="B4667" s="3" t="s">
        <v>257</v>
      </c>
    </row>
    <row r="4668" spans="2:2" x14ac:dyDescent="0.2">
      <c r="B4668" s="3" t="s">
        <v>257</v>
      </c>
    </row>
    <row r="4669" spans="2:2" x14ac:dyDescent="0.2">
      <c r="B4669" s="3" t="s">
        <v>257</v>
      </c>
    </row>
    <row r="4670" spans="2:2" x14ac:dyDescent="0.2">
      <c r="B4670" s="3" t="s">
        <v>257</v>
      </c>
    </row>
    <row r="4671" spans="2:2" x14ac:dyDescent="0.2">
      <c r="B4671" s="3" t="s">
        <v>257</v>
      </c>
    </row>
    <row r="4672" spans="2:2" x14ac:dyDescent="0.2">
      <c r="B4672" s="3" t="s">
        <v>257</v>
      </c>
    </row>
    <row r="4673" spans="2:2" x14ac:dyDescent="0.2">
      <c r="B4673" s="3" t="s">
        <v>257</v>
      </c>
    </row>
    <row r="4674" spans="2:2" x14ac:dyDescent="0.2">
      <c r="B4674" s="3" t="s">
        <v>257</v>
      </c>
    </row>
    <row r="4675" spans="2:2" x14ac:dyDescent="0.2">
      <c r="B4675" s="3" t="s">
        <v>257</v>
      </c>
    </row>
    <row r="4676" spans="2:2" x14ac:dyDescent="0.2">
      <c r="B4676" s="3" t="s">
        <v>257</v>
      </c>
    </row>
    <row r="4677" spans="2:2" x14ac:dyDescent="0.2">
      <c r="B4677" s="3" t="s">
        <v>257</v>
      </c>
    </row>
    <row r="4678" spans="2:2" x14ac:dyDescent="0.2">
      <c r="B4678" s="3" t="s">
        <v>257</v>
      </c>
    </row>
    <row r="4679" spans="2:2" x14ac:dyDescent="0.2">
      <c r="B4679" s="3" t="s">
        <v>257</v>
      </c>
    </row>
    <row r="4680" spans="2:2" x14ac:dyDescent="0.2">
      <c r="B4680" s="3" t="s">
        <v>257</v>
      </c>
    </row>
    <row r="4681" spans="2:2" x14ac:dyDescent="0.2">
      <c r="B4681" s="3" t="s">
        <v>257</v>
      </c>
    </row>
    <row r="4682" spans="2:2" x14ac:dyDescent="0.2">
      <c r="B4682" s="3" t="s">
        <v>257</v>
      </c>
    </row>
    <row r="4683" spans="2:2" x14ac:dyDescent="0.2">
      <c r="B4683" s="3" t="s">
        <v>257</v>
      </c>
    </row>
    <row r="4684" spans="2:2" x14ac:dyDescent="0.2">
      <c r="B4684" s="3" t="s">
        <v>257</v>
      </c>
    </row>
    <row r="4685" spans="2:2" x14ac:dyDescent="0.2">
      <c r="B4685" s="3" t="s">
        <v>257</v>
      </c>
    </row>
    <row r="4686" spans="2:2" x14ac:dyDescent="0.2">
      <c r="B4686" s="3" t="s">
        <v>257</v>
      </c>
    </row>
    <row r="4687" spans="2:2" x14ac:dyDescent="0.2">
      <c r="B4687" s="3" t="s">
        <v>257</v>
      </c>
    </row>
    <row r="4688" spans="2:2" x14ac:dyDescent="0.2">
      <c r="B4688" s="3" t="s">
        <v>257</v>
      </c>
    </row>
    <row r="4689" spans="2:2" x14ac:dyDescent="0.2">
      <c r="B4689" s="3" t="s">
        <v>257</v>
      </c>
    </row>
    <row r="4690" spans="2:2" x14ac:dyDescent="0.2">
      <c r="B4690" s="3" t="s">
        <v>257</v>
      </c>
    </row>
    <row r="4691" spans="2:2" x14ac:dyDescent="0.2">
      <c r="B4691" s="3" t="s">
        <v>257</v>
      </c>
    </row>
    <row r="4692" spans="2:2" x14ac:dyDescent="0.2">
      <c r="B4692" s="3" t="s">
        <v>257</v>
      </c>
    </row>
    <row r="4693" spans="2:2" x14ac:dyDescent="0.2">
      <c r="B4693" s="3" t="s">
        <v>257</v>
      </c>
    </row>
    <row r="4694" spans="2:2" x14ac:dyDescent="0.2">
      <c r="B4694" s="3" t="s">
        <v>257</v>
      </c>
    </row>
    <row r="4695" spans="2:2" x14ac:dyDescent="0.2">
      <c r="B4695" s="3" t="s">
        <v>257</v>
      </c>
    </row>
    <row r="4696" spans="2:2" x14ac:dyDescent="0.2">
      <c r="B4696" s="3" t="s">
        <v>257</v>
      </c>
    </row>
    <row r="4697" spans="2:2" x14ac:dyDescent="0.2">
      <c r="B4697" s="3" t="s">
        <v>257</v>
      </c>
    </row>
    <row r="4698" spans="2:2" x14ac:dyDescent="0.2">
      <c r="B4698" s="3" t="s">
        <v>257</v>
      </c>
    </row>
    <row r="4699" spans="2:2" x14ac:dyDescent="0.2">
      <c r="B4699" s="3" t="s">
        <v>257</v>
      </c>
    </row>
    <row r="4700" spans="2:2" x14ac:dyDescent="0.2">
      <c r="B4700" s="3" t="s">
        <v>257</v>
      </c>
    </row>
    <row r="4701" spans="2:2" x14ac:dyDescent="0.2">
      <c r="B4701" s="3" t="s">
        <v>257</v>
      </c>
    </row>
    <row r="4702" spans="2:2" x14ac:dyDescent="0.2">
      <c r="B4702" s="3" t="s">
        <v>257</v>
      </c>
    </row>
    <row r="4703" spans="2:2" x14ac:dyDescent="0.2">
      <c r="B4703" s="3" t="s">
        <v>257</v>
      </c>
    </row>
    <row r="4704" spans="2:2" x14ac:dyDescent="0.2">
      <c r="B4704" s="3" t="s">
        <v>257</v>
      </c>
    </row>
    <row r="4705" spans="2:2" x14ac:dyDescent="0.2">
      <c r="B4705" s="3" t="s">
        <v>257</v>
      </c>
    </row>
    <row r="4706" spans="2:2" x14ac:dyDescent="0.2">
      <c r="B4706" s="3" t="s">
        <v>257</v>
      </c>
    </row>
    <row r="4707" spans="2:2" x14ac:dyDescent="0.2">
      <c r="B4707" s="3" t="s">
        <v>257</v>
      </c>
    </row>
    <row r="4708" spans="2:2" x14ac:dyDescent="0.2">
      <c r="B4708" s="3" t="s">
        <v>257</v>
      </c>
    </row>
    <row r="4709" spans="2:2" x14ac:dyDescent="0.2">
      <c r="B4709" s="3" t="s">
        <v>257</v>
      </c>
    </row>
    <row r="4710" spans="2:2" x14ac:dyDescent="0.2">
      <c r="B4710" s="3" t="s">
        <v>257</v>
      </c>
    </row>
    <row r="4711" spans="2:2" x14ac:dyDescent="0.2">
      <c r="B4711" s="3" t="s">
        <v>257</v>
      </c>
    </row>
    <row r="4712" spans="2:2" x14ac:dyDescent="0.2">
      <c r="B4712" s="3" t="s">
        <v>257</v>
      </c>
    </row>
    <row r="4713" spans="2:2" x14ac:dyDescent="0.2">
      <c r="B4713" s="3" t="s">
        <v>257</v>
      </c>
    </row>
    <row r="4714" spans="2:2" x14ac:dyDescent="0.2">
      <c r="B4714" s="3" t="s">
        <v>257</v>
      </c>
    </row>
    <row r="4715" spans="2:2" x14ac:dyDescent="0.2">
      <c r="B4715" s="3" t="s">
        <v>257</v>
      </c>
    </row>
    <row r="4716" spans="2:2" x14ac:dyDescent="0.2">
      <c r="B4716" s="3" t="s">
        <v>257</v>
      </c>
    </row>
    <row r="4717" spans="2:2" x14ac:dyDescent="0.2">
      <c r="B4717" s="3" t="s">
        <v>257</v>
      </c>
    </row>
    <row r="4718" spans="2:2" x14ac:dyDescent="0.2">
      <c r="B4718" s="3" t="s">
        <v>257</v>
      </c>
    </row>
    <row r="4719" spans="2:2" x14ac:dyDescent="0.2">
      <c r="B4719" s="3" t="s">
        <v>257</v>
      </c>
    </row>
    <row r="4720" spans="2:2" x14ac:dyDescent="0.2">
      <c r="B4720" s="3" t="s">
        <v>257</v>
      </c>
    </row>
    <row r="4721" spans="2:2" x14ac:dyDescent="0.2">
      <c r="B4721" s="3" t="s">
        <v>257</v>
      </c>
    </row>
    <row r="4722" spans="2:2" x14ac:dyDescent="0.2">
      <c r="B4722" s="3" t="s">
        <v>257</v>
      </c>
    </row>
    <row r="4723" spans="2:2" x14ac:dyDescent="0.2">
      <c r="B4723" s="3" t="s">
        <v>257</v>
      </c>
    </row>
    <row r="4724" spans="2:2" x14ac:dyDescent="0.2">
      <c r="B4724" s="3" t="s">
        <v>257</v>
      </c>
    </row>
    <row r="4725" spans="2:2" x14ac:dyDescent="0.2">
      <c r="B4725" s="3" t="s">
        <v>257</v>
      </c>
    </row>
    <row r="4726" spans="2:2" x14ac:dyDescent="0.2">
      <c r="B4726" s="3" t="s">
        <v>257</v>
      </c>
    </row>
    <row r="4727" spans="2:2" x14ac:dyDescent="0.2">
      <c r="B4727" s="3" t="s">
        <v>257</v>
      </c>
    </row>
    <row r="4728" spans="2:2" x14ac:dyDescent="0.2">
      <c r="B4728" s="3" t="s">
        <v>257</v>
      </c>
    </row>
    <row r="4729" spans="2:2" x14ac:dyDescent="0.2">
      <c r="B4729" s="3" t="s">
        <v>257</v>
      </c>
    </row>
    <row r="4730" spans="2:2" x14ac:dyDescent="0.2">
      <c r="B4730" s="3" t="s">
        <v>257</v>
      </c>
    </row>
    <row r="4731" spans="2:2" x14ac:dyDescent="0.2">
      <c r="B4731" s="3" t="s">
        <v>257</v>
      </c>
    </row>
    <row r="4732" spans="2:2" x14ac:dyDescent="0.2">
      <c r="B4732" s="3" t="s">
        <v>257</v>
      </c>
    </row>
    <row r="4733" spans="2:2" x14ac:dyDescent="0.2">
      <c r="B4733" s="3" t="s">
        <v>257</v>
      </c>
    </row>
    <row r="4734" spans="2:2" x14ac:dyDescent="0.2">
      <c r="B4734" s="3" t="s">
        <v>257</v>
      </c>
    </row>
    <row r="4735" spans="2:2" x14ac:dyDescent="0.2">
      <c r="B4735" s="3" t="s">
        <v>257</v>
      </c>
    </row>
    <row r="4736" spans="2:2" x14ac:dyDescent="0.2">
      <c r="B4736" s="3" t="s">
        <v>257</v>
      </c>
    </row>
    <row r="4737" spans="2:2" x14ac:dyDescent="0.2">
      <c r="B4737" s="3" t="s">
        <v>257</v>
      </c>
    </row>
    <row r="4738" spans="2:2" x14ac:dyDescent="0.2">
      <c r="B4738" s="3" t="s">
        <v>257</v>
      </c>
    </row>
    <row r="4739" spans="2:2" x14ac:dyDescent="0.2">
      <c r="B4739" s="3" t="s">
        <v>257</v>
      </c>
    </row>
    <row r="4740" spans="2:2" x14ac:dyDescent="0.2">
      <c r="B4740" s="3" t="s">
        <v>257</v>
      </c>
    </row>
    <row r="4741" spans="2:2" x14ac:dyDescent="0.2">
      <c r="B4741" s="3" t="s">
        <v>257</v>
      </c>
    </row>
    <row r="4742" spans="2:2" x14ac:dyDescent="0.2">
      <c r="B4742" s="3" t="s">
        <v>257</v>
      </c>
    </row>
    <row r="4743" spans="2:2" x14ac:dyDescent="0.2">
      <c r="B4743" s="3" t="s">
        <v>257</v>
      </c>
    </row>
    <row r="4744" spans="2:2" x14ac:dyDescent="0.2">
      <c r="B4744" s="3" t="s">
        <v>257</v>
      </c>
    </row>
    <row r="4745" spans="2:2" x14ac:dyDescent="0.2">
      <c r="B4745" s="3" t="s">
        <v>257</v>
      </c>
    </row>
    <row r="4746" spans="2:2" x14ac:dyDescent="0.2">
      <c r="B4746" s="3" t="s">
        <v>257</v>
      </c>
    </row>
    <row r="4747" spans="2:2" x14ac:dyDescent="0.2">
      <c r="B4747" s="3" t="s">
        <v>257</v>
      </c>
    </row>
    <row r="4748" spans="2:2" x14ac:dyDescent="0.2">
      <c r="B4748" s="3" t="s">
        <v>257</v>
      </c>
    </row>
    <row r="4749" spans="2:2" x14ac:dyDescent="0.2">
      <c r="B4749" s="3" t="s">
        <v>257</v>
      </c>
    </row>
    <row r="4750" spans="2:2" x14ac:dyDescent="0.2">
      <c r="B4750" s="3" t="s">
        <v>257</v>
      </c>
    </row>
    <row r="4751" spans="2:2" x14ac:dyDescent="0.2">
      <c r="B4751" s="3" t="s">
        <v>257</v>
      </c>
    </row>
    <row r="4752" spans="2:2" x14ac:dyDescent="0.2">
      <c r="B4752" s="3" t="s">
        <v>257</v>
      </c>
    </row>
    <row r="4753" spans="2:2" x14ac:dyDescent="0.2">
      <c r="B4753" s="3" t="s">
        <v>257</v>
      </c>
    </row>
    <row r="4754" spans="2:2" x14ac:dyDescent="0.2">
      <c r="B4754" s="3" t="s">
        <v>257</v>
      </c>
    </row>
    <row r="4755" spans="2:2" x14ac:dyDescent="0.2">
      <c r="B4755" s="3" t="s">
        <v>257</v>
      </c>
    </row>
    <row r="4756" spans="2:2" x14ac:dyDescent="0.2">
      <c r="B4756" s="3" t="s">
        <v>257</v>
      </c>
    </row>
    <row r="4757" spans="2:2" x14ac:dyDescent="0.2">
      <c r="B4757" s="3" t="s">
        <v>257</v>
      </c>
    </row>
    <row r="4758" spans="2:2" x14ac:dyDescent="0.2">
      <c r="B4758" s="3" t="s">
        <v>257</v>
      </c>
    </row>
    <row r="4759" spans="2:2" x14ac:dyDescent="0.2">
      <c r="B4759" s="3" t="s">
        <v>257</v>
      </c>
    </row>
    <row r="4760" spans="2:2" x14ac:dyDescent="0.2">
      <c r="B4760" s="3" t="s">
        <v>257</v>
      </c>
    </row>
    <row r="4761" spans="2:2" x14ac:dyDescent="0.2">
      <c r="B4761" s="3" t="s">
        <v>257</v>
      </c>
    </row>
    <row r="4762" spans="2:2" x14ac:dyDescent="0.2">
      <c r="B4762" s="3" t="s">
        <v>257</v>
      </c>
    </row>
    <row r="4763" spans="2:2" x14ac:dyDescent="0.2">
      <c r="B4763" s="3" t="s">
        <v>257</v>
      </c>
    </row>
    <row r="4764" spans="2:2" x14ac:dyDescent="0.2">
      <c r="B4764" s="3" t="s">
        <v>257</v>
      </c>
    </row>
    <row r="4765" spans="2:2" x14ac:dyDescent="0.2">
      <c r="B4765" s="3" t="s">
        <v>257</v>
      </c>
    </row>
    <row r="4766" spans="2:2" x14ac:dyDescent="0.2">
      <c r="B4766" s="3" t="s">
        <v>257</v>
      </c>
    </row>
    <row r="4767" spans="2:2" x14ac:dyDescent="0.2">
      <c r="B4767" s="3" t="s">
        <v>257</v>
      </c>
    </row>
    <row r="4768" spans="2:2" x14ac:dyDescent="0.2">
      <c r="B4768" s="3" t="s">
        <v>257</v>
      </c>
    </row>
    <row r="4769" spans="2:2" x14ac:dyDescent="0.2">
      <c r="B4769" s="3" t="s">
        <v>257</v>
      </c>
    </row>
    <row r="4770" spans="2:2" x14ac:dyDescent="0.2">
      <c r="B4770" s="3" t="s">
        <v>257</v>
      </c>
    </row>
    <row r="4771" spans="2:2" x14ac:dyDescent="0.2">
      <c r="B4771" s="3" t="s">
        <v>257</v>
      </c>
    </row>
    <row r="4772" spans="2:2" x14ac:dyDescent="0.2">
      <c r="B4772" s="3" t="s">
        <v>257</v>
      </c>
    </row>
    <row r="4773" spans="2:2" x14ac:dyDescent="0.2">
      <c r="B4773" s="3" t="s">
        <v>257</v>
      </c>
    </row>
    <row r="4774" spans="2:2" x14ac:dyDescent="0.2">
      <c r="B4774" s="3" t="s">
        <v>257</v>
      </c>
    </row>
    <row r="4775" spans="2:2" x14ac:dyDescent="0.2">
      <c r="B4775" s="3" t="s">
        <v>257</v>
      </c>
    </row>
    <row r="4776" spans="2:2" x14ac:dyDescent="0.2">
      <c r="B4776" s="3" t="s">
        <v>257</v>
      </c>
    </row>
    <row r="4777" spans="2:2" x14ac:dyDescent="0.2">
      <c r="B4777" s="3" t="s">
        <v>257</v>
      </c>
    </row>
    <row r="4778" spans="2:2" x14ac:dyDescent="0.2">
      <c r="B4778" s="3" t="s">
        <v>257</v>
      </c>
    </row>
    <row r="4779" spans="2:2" x14ac:dyDescent="0.2">
      <c r="B4779" s="3" t="s">
        <v>257</v>
      </c>
    </row>
    <row r="4780" spans="2:2" x14ac:dyDescent="0.2">
      <c r="B4780" s="3" t="s">
        <v>257</v>
      </c>
    </row>
    <row r="4781" spans="2:2" x14ac:dyDescent="0.2">
      <c r="B4781" s="3" t="s">
        <v>257</v>
      </c>
    </row>
    <row r="4782" spans="2:2" x14ac:dyDescent="0.2">
      <c r="B4782" s="3" t="s">
        <v>257</v>
      </c>
    </row>
    <row r="4783" spans="2:2" x14ac:dyDescent="0.2">
      <c r="B4783" s="3" t="s">
        <v>257</v>
      </c>
    </row>
    <row r="4784" spans="2:2" x14ac:dyDescent="0.2">
      <c r="B4784" s="3" t="s">
        <v>257</v>
      </c>
    </row>
    <row r="4785" spans="2:2" x14ac:dyDescent="0.2">
      <c r="B4785" s="3" t="s">
        <v>257</v>
      </c>
    </row>
    <row r="4786" spans="2:2" x14ac:dyDescent="0.2">
      <c r="B4786" s="3" t="s">
        <v>257</v>
      </c>
    </row>
    <row r="4787" spans="2:2" x14ac:dyDescent="0.2">
      <c r="B4787" s="3" t="s">
        <v>257</v>
      </c>
    </row>
    <row r="4788" spans="2:2" x14ac:dyDescent="0.2">
      <c r="B4788" s="3" t="s">
        <v>257</v>
      </c>
    </row>
    <row r="4789" spans="2:2" x14ac:dyDescent="0.2">
      <c r="B4789" s="3" t="s">
        <v>257</v>
      </c>
    </row>
    <row r="4790" spans="2:2" x14ac:dyDescent="0.2">
      <c r="B4790" s="3" t="s">
        <v>257</v>
      </c>
    </row>
    <row r="4791" spans="2:2" x14ac:dyDescent="0.2">
      <c r="B4791" s="3" t="s">
        <v>257</v>
      </c>
    </row>
    <row r="4792" spans="2:2" x14ac:dyDescent="0.2">
      <c r="B4792" s="3" t="s">
        <v>257</v>
      </c>
    </row>
    <row r="4793" spans="2:2" x14ac:dyDescent="0.2">
      <c r="B4793" s="3" t="s">
        <v>257</v>
      </c>
    </row>
    <row r="4794" spans="2:2" x14ac:dyDescent="0.2">
      <c r="B4794" s="3" t="s">
        <v>257</v>
      </c>
    </row>
    <row r="4795" spans="2:2" x14ac:dyDescent="0.2">
      <c r="B4795" s="3" t="s">
        <v>257</v>
      </c>
    </row>
    <row r="4796" spans="2:2" x14ac:dyDescent="0.2">
      <c r="B4796" s="3" t="s">
        <v>257</v>
      </c>
    </row>
    <row r="4797" spans="2:2" x14ac:dyDescent="0.2">
      <c r="B4797" s="3" t="s">
        <v>257</v>
      </c>
    </row>
    <row r="4798" spans="2:2" x14ac:dyDescent="0.2">
      <c r="B4798" s="3" t="s">
        <v>257</v>
      </c>
    </row>
    <row r="4799" spans="2:2" x14ac:dyDescent="0.2">
      <c r="B4799" s="3" t="s">
        <v>257</v>
      </c>
    </row>
    <row r="4800" spans="2:2" x14ac:dyDescent="0.2">
      <c r="B4800" s="3" t="s">
        <v>257</v>
      </c>
    </row>
    <row r="4801" spans="2:2" x14ac:dyDescent="0.2">
      <c r="B4801" s="3" t="s">
        <v>257</v>
      </c>
    </row>
    <row r="4802" spans="2:2" x14ac:dyDescent="0.2">
      <c r="B4802" s="3" t="s">
        <v>257</v>
      </c>
    </row>
    <row r="4803" spans="2:2" x14ac:dyDescent="0.2">
      <c r="B4803" s="3" t="s">
        <v>257</v>
      </c>
    </row>
    <row r="4804" spans="2:2" x14ac:dyDescent="0.2">
      <c r="B4804" s="3" t="s">
        <v>257</v>
      </c>
    </row>
    <row r="4805" spans="2:2" x14ac:dyDescent="0.2">
      <c r="B4805" s="3" t="s">
        <v>257</v>
      </c>
    </row>
    <row r="4806" spans="2:2" x14ac:dyDescent="0.2">
      <c r="B4806" s="3" t="s">
        <v>257</v>
      </c>
    </row>
    <row r="4807" spans="2:2" x14ac:dyDescent="0.2">
      <c r="B4807" s="3" t="s">
        <v>257</v>
      </c>
    </row>
    <row r="4808" spans="2:2" x14ac:dyDescent="0.2">
      <c r="B4808" s="3" t="s">
        <v>257</v>
      </c>
    </row>
    <row r="4809" spans="2:2" x14ac:dyDescent="0.2">
      <c r="B4809" s="3" t="s">
        <v>257</v>
      </c>
    </row>
    <row r="4810" spans="2:2" x14ac:dyDescent="0.2">
      <c r="B4810" s="3" t="s">
        <v>257</v>
      </c>
    </row>
    <row r="4811" spans="2:2" x14ac:dyDescent="0.2">
      <c r="B4811" s="3" t="s">
        <v>257</v>
      </c>
    </row>
    <row r="4812" spans="2:2" x14ac:dyDescent="0.2">
      <c r="B4812" s="3" t="s">
        <v>257</v>
      </c>
    </row>
    <row r="4813" spans="2:2" x14ac:dyDescent="0.2">
      <c r="B4813" s="3" t="s">
        <v>257</v>
      </c>
    </row>
    <row r="4814" spans="2:2" x14ac:dyDescent="0.2">
      <c r="B4814" s="3" t="s">
        <v>257</v>
      </c>
    </row>
    <row r="4815" spans="2:2" x14ac:dyDescent="0.2">
      <c r="B4815" s="3" t="s">
        <v>257</v>
      </c>
    </row>
    <row r="4816" spans="2:2" x14ac:dyDescent="0.2">
      <c r="B4816" s="3" t="s">
        <v>257</v>
      </c>
    </row>
    <row r="4817" spans="2:2" x14ac:dyDescent="0.2">
      <c r="B4817" s="3" t="s">
        <v>257</v>
      </c>
    </row>
    <row r="4818" spans="2:2" x14ac:dyDescent="0.2">
      <c r="B4818" s="3" t="s">
        <v>257</v>
      </c>
    </row>
    <row r="4819" spans="2:2" x14ac:dyDescent="0.2">
      <c r="B4819" s="3" t="s">
        <v>257</v>
      </c>
    </row>
    <row r="4820" spans="2:2" x14ac:dyDescent="0.2">
      <c r="B4820" s="3" t="s">
        <v>257</v>
      </c>
    </row>
    <row r="4821" spans="2:2" x14ac:dyDescent="0.2">
      <c r="B4821" s="3" t="s">
        <v>257</v>
      </c>
    </row>
    <row r="4822" spans="2:2" x14ac:dyDescent="0.2">
      <c r="B4822" s="3" t="s">
        <v>257</v>
      </c>
    </row>
    <row r="4823" spans="2:2" x14ac:dyDescent="0.2">
      <c r="B4823" s="3" t="s">
        <v>257</v>
      </c>
    </row>
    <row r="4824" spans="2:2" x14ac:dyDescent="0.2">
      <c r="B4824" s="3" t="s">
        <v>257</v>
      </c>
    </row>
    <row r="4825" spans="2:2" x14ac:dyDescent="0.2">
      <c r="B4825" s="3" t="s">
        <v>257</v>
      </c>
    </row>
    <row r="4826" spans="2:2" x14ac:dyDescent="0.2">
      <c r="B4826" s="3" t="s">
        <v>257</v>
      </c>
    </row>
    <row r="4827" spans="2:2" x14ac:dyDescent="0.2">
      <c r="B4827" s="3" t="s">
        <v>257</v>
      </c>
    </row>
    <row r="4828" spans="2:2" x14ac:dyDescent="0.2">
      <c r="B4828" s="3" t="s">
        <v>257</v>
      </c>
    </row>
    <row r="4829" spans="2:2" x14ac:dyDescent="0.2">
      <c r="B4829" s="3" t="s">
        <v>257</v>
      </c>
    </row>
    <row r="4830" spans="2:2" x14ac:dyDescent="0.2">
      <c r="B4830" s="3" t="s">
        <v>257</v>
      </c>
    </row>
    <row r="4831" spans="2:2" x14ac:dyDescent="0.2">
      <c r="B4831" s="3" t="s">
        <v>257</v>
      </c>
    </row>
    <row r="4832" spans="2:2" x14ac:dyDescent="0.2">
      <c r="B4832" s="3" t="s">
        <v>257</v>
      </c>
    </row>
    <row r="4833" spans="2:2" x14ac:dyDescent="0.2">
      <c r="B4833" s="3" t="s">
        <v>257</v>
      </c>
    </row>
    <row r="4834" spans="2:2" x14ac:dyDescent="0.2">
      <c r="B4834" s="3" t="s">
        <v>257</v>
      </c>
    </row>
    <row r="4835" spans="2:2" x14ac:dyDescent="0.2">
      <c r="B4835" s="3" t="s">
        <v>257</v>
      </c>
    </row>
    <row r="4836" spans="2:2" x14ac:dyDescent="0.2">
      <c r="B4836" s="3" t="s">
        <v>257</v>
      </c>
    </row>
    <row r="4837" spans="2:2" x14ac:dyDescent="0.2">
      <c r="B4837" s="3" t="s">
        <v>257</v>
      </c>
    </row>
    <row r="4838" spans="2:2" x14ac:dyDescent="0.2">
      <c r="B4838" s="3" t="s">
        <v>257</v>
      </c>
    </row>
    <row r="4839" spans="2:2" x14ac:dyDescent="0.2">
      <c r="B4839" s="3" t="s">
        <v>257</v>
      </c>
    </row>
    <row r="4840" spans="2:2" x14ac:dyDescent="0.2">
      <c r="B4840" s="3" t="s">
        <v>257</v>
      </c>
    </row>
    <row r="4841" spans="2:2" x14ac:dyDescent="0.2">
      <c r="B4841" s="3" t="s">
        <v>257</v>
      </c>
    </row>
    <row r="4842" spans="2:2" x14ac:dyDescent="0.2">
      <c r="B4842" s="3" t="s">
        <v>257</v>
      </c>
    </row>
    <row r="4843" spans="2:2" x14ac:dyDescent="0.2">
      <c r="B4843" s="3" t="s">
        <v>257</v>
      </c>
    </row>
    <row r="4844" spans="2:2" x14ac:dyDescent="0.2">
      <c r="B4844" s="3" t="s">
        <v>257</v>
      </c>
    </row>
    <row r="4845" spans="2:2" x14ac:dyDescent="0.2">
      <c r="B4845" s="3" t="s">
        <v>257</v>
      </c>
    </row>
    <row r="4846" spans="2:2" x14ac:dyDescent="0.2">
      <c r="B4846" s="3" t="s">
        <v>257</v>
      </c>
    </row>
    <row r="4847" spans="2:2" x14ac:dyDescent="0.2">
      <c r="B4847" s="3" t="s">
        <v>257</v>
      </c>
    </row>
    <row r="4848" spans="2:2" x14ac:dyDescent="0.2">
      <c r="B4848" s="3" t="s">
        <v>257</v>
      </c>
    </row>
    <row r="4849" spans="2:2" x14ac:dyDescent="0.2">
      <c r="B4849" s="3" t="s">
        <v>257</v>
      </c>
    </row>
    <row r="4850" spans="2:2" x14ac:dyDescent="0.2">
      <c r="B4850" s="3" t="s">
        <v>257</v>
      </c>
    </row>
    <row r="4851" spans="2:2" x14ac:dyDescent="0.2">
      <c r="B4851" s="3" t="s">
        <v>257</v>
      </c>
    </row>
    <row r="4852" spans="2:2" x14ac:dyDescent="0.2">
      <c r="B4852" s="3" t="s">
        <v>257</v>
      </c>
    </row>
    <row r="4853" spans="2:2" x14ac:dyDescent="0.2">
      <c r="B4853" s="3" t="s">
        <v>257</v>
      </c>
    </row>
    <row r="4854" spans="2:2" x14ac:dyDescent="0.2">
      <c r="B4854" s="3" t="s">
        <v>257</v>
      </c>
    </row>
    <row r="4855" spans="2:2" x14ac:dyDescent="0.2">
      <c r="B4855" s="3" t="s">
        <v>257</v>
      </c>
    </row>
    <row r="4856" spans="2:2" x14ac:dyDescent="0.2">
      <c r="B4856" s="3" t="s">
        <v>257</v>
      </c>
    </row>
    <row r="4857" spans="2:2" x14ac:dyDescent="0.2">
      <c r="B4857" s="3" t="s">
        <v>257</v>
      </c>
    </row>
    <row r="4858" spans="2:2" x14ac:dyDescent="0.2">
      <c r="B4858" s="3" t="s">
        <v>257</v>
      </c>
    </row>
    <row r="4859" spans="2:2" x14ac:dyDescent="0.2">
      <c r="B4859" s="3" t="s">
        <v>257</v>
      </c>
    </row>
    <row r="4860" spans="2:2" x14ac:dyDescent="0.2">
      <c r="B4860" s="3" t="s">
        <v>257</v>
      </c>
    </row>
    <row r="4861" spans="2:2" x14ac:dyDescent="0.2">
      <c r="B4861" s="3" t="s">
        <v>257</v>
      </c>
    </row>
    <row r="4862" spans="2:2" x14ac:dyDescent="0.2">
      <c r="B4862" s="3" t="s">
        <v>257</v>
      </c>
    </row>
    <row r="4863" spans="2:2" x14ac:dyDescent="0.2">
      <c r="B4863" s="3" t="s">
        <v>257</v>
      </c>
    </row>
    <row r="4864" spans="2:2" x14ac:dyDescent="0.2">
      <c r="B4864" s="3" t="s">
        <v>257</v>
      </c>
    </row>
    <row r="4865" spans="2:2" x14ac:dyDescent="0.2">
      <c r="B4865" s="3" t="s">
        <v>257</v>
      </c>
    </row>
    <row r="4866" spans="2:2" x14ac:dyDescent="0.2">
      <c r="B4866" s="3" t="s">
        <v>257</v>
      </c>
    </row>
    <row r="4867" spans="2:2" x14ac:dyDescent="0.2">
      <c r="B4867" s="3" t="s">
        <v>257</v>
      </c>
    </row>
    <row r="4868" spans="2:2" x14ac:dyDescent="0.2">
      <c r="B4868" s="3" t="s">
        <v>257</v>
      </c>
    </row>
    <row r="4869" spans="2:2" x14ac:dyDescent="0.2">
      <c r="B4869" s="3" t="s">
        <v>257</v>
      </c>
    </row>
    <row r="4870" spans="2:2" x14ac:dyDescent="0.2">
      <c r="B4870" s="3" t="s">
        <v>257</v>
      </c>
    </row>
    <row r="4871" spans="2:2" x14ac:dyDescent="0.2">
      <c r="B4871" s="3" t="s">
        <v>257</v>
      </c>
    </row>
    <row r="4872" spans="2:2" x14ac:dyDescent="0.2">
      <c r="B4872" s="3" t="s">
        <v>257</v>
      </c>
    </row>
    <row r="4873" spans="2:2" x14ac:dyDescent="0.2">
      <c r="B4873" s="3" t="s">
        <v>257</v>
      </c>
    </row>
    <row r="4874" spans="2:2" x14ac:dyDescent="0.2">
      <c r="B4874" s="3" t="s">
        <v>257</v>
      </c>
    </row>
    <row r="4875" spans="2:2" x14ac:dyDescent="0.2">
      <c r="B4875" s="3" t="s">
        <v>257</v>
      </c>
    </row>
    <row r="4876" spans="2:2" x14ac:dyDescent="0.2">
      <c r="B4876" s="3" t="s">
        <v>257</v>
      </c>
    </row>
    <row r="4877" spans="2:2" x14ac:dyDescent="0.2">
      <c r="B4877" s="3" t="s">
        <v>257</v>
      </c>
    </row>
    <row r="4878" spans="2:2" x14ac:dyDescent="0.2">
      <c r="B4878" s="3" t="s">
        <v>257</v>
      </c>
    </row>
    <row r="4879" spans="2:2" x14ac:dyDescent="0.2">
      <c r="B4879" s="3" t="s">
        <v>257</v>
      </c>
    </row>
    <row r="4880" spans="2:2" x14ac:dyDescent="0.2">
      <c r="B4880" s="3" t="s">
        <v>257</v>
      </c>
    </row>
    <row r="4881" spans="2:2" x14ac:dyDescent="0.2">
      <c r="B4881" s="3" t="s">
        <v>257</v>
      </c>
    </row>
    <row r="4882" spans="2:2" x14ac:dyDescent="0.2">
      <c r="B4882" s="3" t="s">
        <v>257</v>
      </c>
    </row>
    <row r="4883" spans="2:2" x14ac:dyDescent="0.2">
      <c r="B4883" s="3" t="s">
        <v>257</v>
      </c>
    </row>
    <row r="4884" spans="2:2" x14ac:dyDescent="0.2">
      <c r="B4884" s="3" t="s">
        <v>257</v>
      </c>
    </row>
    <row r="4885" spans="2:2" x14ac:dyDescent="0.2">
      <c r="B4885" s="3" t="s">
        <v>257</v>
      </c>
    </row>
    <row r="4886" spans="2:2" x14ac:dyDescent="0.2">
      <c r="B4886" s="3" t="s">
        <v>257</v>
      </c>
    </row>
    <row r="4887" spans="2:2" x14ac:dyDescent="0.2">
      <c r="B4887" s="3" t="s">
        <v>257</v>
      </c>
    </row>
    <row r="4888" spans="2:2" x14ac:dyDescent="0.2">
      <c r="B4888" s="3" t="s">
        <v>257</v>
      </c>
    </row>
    <row r="4889" spans="2:2" x14ac:dyDescent="0.2">
      <c r="B4889" s="3" t="s">
        <v>257</v>
      </c>
    </row>
    <row r="4890" spans="2:2" x14ac:dyDescent="0.2">
      <c r="B4890" s="3" t="s">
        <v>257</v>
      </c>
    </row>
    <row r="4891" spans="2:2" x14ac:dyDescent="0.2">
      <c r="B4891" s="3" t="s">
        <v>257</v>
      </c>
    </row>
    <row r="4892" spans="2:2" x14ac:dyDescent="0.2">
      <c r="B4892" s="3" t="s">
        <v>257</v>
      </c>
    </row>
    <row r="4893" spans="2:2" x14ac:dyDescent="0.2">
      <c r="B4893" s="3" t="s">
        <v>257</v>
      </c>
    </row>
    <row r="4894" spans="2:2" x14ac:dyDescent="0.2">
      <c r="B4894" s="3" t="s">
        <v>257</v>
      </c>
    </row>
    <row r="4895" spans="2:2" x14ac:dyDescent="0.2">
      <c r="B4895" s="3" t="s">
        <v>257</v>
      </c>
    </row>
    <row r="4896" spans="2:2" x14ac:dyDescent="0.2">
      <c r="B4896" s="3" t="s">
        <v>257</v>
      </c>
    </row>
    <row r="4897" spans="2:2" x14ac:dyDescent="0.2">
      <c r="B4897" s="3" t="s">
        <v>257</v>
      </c>
    </row>
    <row r="4898" spans="2:2" x14ac:dyDescent="0.2">
      <c r="B4898" s="3" t="s">
        <v>257</v>
      </c>
    </row>
    <row r="4899" spans="2:2" x14ac:dyDescent="0.2">
      <c r="B4899" s="3" t="s">
        <v>257</v>
      </c>
    </row>
    <row r="4900" spans="2:2" x14ac:dyDescent="0.2">
      <c r="B4900" s="3" t="s">
        <v>257</v>
      </c>
    </row>
    <row r="4901" spans="2:2" x14ac:dyDescent="0.2">
      <c r="B4901" s="3" t="s">
        <v>257</v>
      </c>
    </row>
    <row r="4902" spans="2:2" x14ac:dyDescent="0.2">
      <c r="B4902" s="3" t="s">
        <v>257</v>
      </c>
    </row>
    <row r="4903" spans="2:2" x14ac:dyDescent="0.2">
      <c r="B4903" s="3" t="s">
        <v>257</v>
      </c>
    </row>
    <row r="4904" spans="2:2" x14ac:dyDescent="0.2">
      <c r="B4904" s="3" t="s">
        <v>257</v>
      </c>
    </row>
    <row r="4905" spans="2:2" x14ac:dyDescent="0.2">
      <c r="B4905" s="3" t="s">
        <v>257</v>
      </c>
    </row>
    <row r="4906" spans="2:2" x14ac:dyDescent="0.2">
      <c r="B4906" s="3" t="s">
        <v>257</v>
      </c>
    </row>
    <row r="4907" spans="2:2" x14ac:dyDescent="0.2">
      <c r="B4907" s="3" t="s">
        <v>257</v>
      </c>
    </row>
    <row r="4908" spans="2:2" x14ac:dyDescent="0.2">
      <c r="B4908" s="3" t="s">
        <v>257</v>
      </c>
    </row>
    <row r="4909" spans="2:2" x14ac:dyDescent="0.2">
      <c r="B4909" s="3" t="s">
        <v>257</v>
      </c>
    </row>
    <row r="4910" spans="2:2" x14ac:dyDescent="0.2">
      <c r="B4910" s="3" t="s">
        <v>257</v>
      </c>
    </row>
    <row r="4911" spans="2:2" x14ac:dyDescent="0.2">
      <c r="B4911" s="3" t="s">
        <v>257</v>
      </c>
    </row>
    <row r="4912" spans="2:2" x14ac:dyDescent="0.2">
      <c r="B4912" s="3" t="s">
        <v>257</v>
      </c>
    </row>
    <row r="4913" spans="2:2" x14ac:dyDescent="0.2">
      <c r="B4913" s="3" t="s">
        <v>257</v>
      </c>
    </row>
    <row r="4914" spans="2:2" x14ac:dyDescent="0.2">
      <c r="B4914" s="3" t="s">
        <v>257</v>
      </c>
    </row>
    <row r="4915" spans="2:2" x14ac:dyDescent="0.2">
      <c r="B4915" s="3" t="s">
        <v>257</v>
      </c>
    </row>
    <row r="4916" spans="2:2" x14ac:dyDescent="0.2">
      <c r="B4916" s="3" t="s">
        <v>257</v>
      </c>
    </row>
    <row r="4917" spans="2:2" x14ac:dyDescent="0.2">
      <c r="B4917" s="3" t="s">
        <v>257</v>
      </c>
    </row>
    <row r="4918" spans="2:2" x14ac:dyDescent="0.2">
      <c r="B4918" s="3" t="s">
        <v>257</v>
      </c>
    </row>
    <row r="4919" spans="2:2" x14ac:dyDescent="0.2">
      <c r="B4919" s="3" t="s">
        <v>257</v>
      </c>
    </row>
    <row r="4920" spans="2:2" x14ac:dyDescent="0.2">
      <c r="B4920" s="3" t="s">
        <v>257</v>
      </c>
    </row>
    <row r="4921" spans="2:2" x14ac:dyDescent="0.2">
      <c r="B4921" s="3" t="s">
        <v>257</v>
      </c>
    </row>
    <row r="4922" spans="2:2" x14ac:dyDescent="0.2">
      <c r="B4922" s="3" t="s">
        <v>257</v>
      </c>
    </row>
    <row r="4923" spans="2:2" x14ac:dyDescent="0.2">
      <c r="B4923" s="3" t="s">
        <v>257</v>
      </c>
    </row>
    <row r="4924" spans="2:2" x14ac:dyDescent="0.2">
      <c r="B4924" s="3" t="s">
        <v>257</v>
      </c>
    </row>
    <row r="4925" spans="2:2" x14ac:dyDescent="0.2">
      <c r="B4925" s="3" t="s">
        <v>257</v>
      </c>
    </row>
    <row r="4926" spans="2:2" x14ac:dyDescent="0.2">
      <c r="B4926" s="3" t="s">
        <v>257</v>
      </c>
    </row>
    <row r="4927" spans="2:2" x14ac:dyDescent="0.2">
      <c r="B4927" s="3" t="s">
        <v>257</v>
      </c>
    </row>
    <row r="4928" spans="2:2" x14ac:dyDescent="0.2">
      <c r="B4928" s="3" t="s">
        <v>257</v>
      </c>
    </row>
    <row r="4929" spans="2:2" x14ac:dyDescent="0.2">
      <c r="B4929" s="3" t="s">
        <v>257</v>
      </c>
    </row>
    <row r="4930" spans="2:2" x14ac:dyDescent="0.2">
      <c r="B4930" s="3" t="s">
        <v>257</v>
      </c>
    </row>
    <row r="4931" spans="2:2" x14ac:dyDescent="0.2">
      <c r="B4931" s="3" t="s">
        <v>257</v>
      </c>
    </row>
    <row r="4932" spans="2:2" x14ac:dyDescent="0.2">
      <c r="B4932" s="3" t="s">
        <v>257</v>
      </c>
    </row>
    <row r="4933" spans="2:2" x14ac:dyDescent="0.2">
      <c r="B4933" s="3" t="s">
        <v>257</v>
      </c>
    </row>
    <row r="4934" spans="2:2" x14ac:dyDescent="0.2">
      <c r="B4934" s="3" t="s">
        <v>257</v>
      </c>
    </row>
    <row r="4935" spans="2:2" x14ac:dyDescent="0.2">
      <c r="B4935" s="3" t="s">
        <v>257</v>
      </c>
    </row>
    <row r="4936" spans="2:2" x14ac:dyDescent="0.2">
      <c r="B4936" s="3" t="s">
        <v>257</v>
      </c>
    </row>
    <row r="4937" spans="2:2" x14ac:dyDescent="0.2">
      <c r="B4937" s="3" t="s">
        <v>257</v>
      </c>
    </row>
    <row r="4938" spans="2:2" x14ac:dyDescent="0.2">
      <c r="B4938" s="3" t="s">
        <v>257</v>
      </c>
    </row>
    <row r="4939" spans="2:2" x14ac:dyDescent="0.2">
      <c r="B4939" s="3" t="s">
        <v>257</v>
      </c>
    </row>
    <row r="4940" spans="2:2" x14ac:dyDescent="0.2">
      <c r="B4940" s="3" t="s">
        <v>257</v>
      </c>
    </row>
    <row r="4941" spans="2:2" x14ac:dyDescent="0.2">
      <c r="B4941" s="3" t="s">
        <v>257</v>
      </c>
    </row>
    <row r="4942" spans="2:2" x14ac:dyDescent="0.2">
      <c r="B4942" s="3" t="s">
        <v>257</v>
      </c>
    </row>
    <row r="4943" spans="2:2" x14ac:dyDescent="0.2">
      <c r="B4943" s="3" t="s">
        <v>257</v>
      </c>
    </row>
    <row r="4944" spans="2:2" x14ac:dyDescent="0.2">
      <c r="B4944" s="3" t="s">
        <v>257</v>
      </c>
    </row>
    <row r="4945" spans="2:2" x14ac:dyDescent="0.2">
      <c r="B4945" s="3" t="s">
        <v>257</v>
      </c>
    </row>
    <row r="4946" spans="2:2" x14ac:dyDescent="0.2">
      <c r="B4946" s="3" t="s">
        <v>257</v>
      </c>
    </row>
    <row r="4947" spans="2:2" x14ac:dyDescent="0.2">
      <c r="B4947" s="3" t="s">
        <v>257</v>
      </c>
    </row>
    <row r="4948" spans="2:2" x14ac:dyDescent="0.2">
      <c r="B4948" s="3" t="s">
        <v>257</v>
      </c>
    </row>
    <row r="4949" spans="2:2" x14ac:dyDescent="0.2">
      <c r="B4949" s="3" t="s">
        <v>257</v>
      </c>
    </row>
    <row r="4950" spans="2:2" x14ac:dyDescent="0.2">
      <c r="B4950" s="3" t="s">
        <v>257</v>
      </c>
    </row>
    <row r="4951" spans="2:2" x14ac:dyDescent="0.2">
      <c r="B4951" s="3" t="s">
        <v>257</v>
      </c>
    </row>
    <row r="4952" spans="2:2" x14ac:dyDescent="0.2">
      <c r="B4952" s="3" t="s">
        <v>257</v>
      </c>
    </row>
    <row r="4953" spans="2:2" x14ac:dyDescent="0.2">
      <c r="B4953" s="3" t="s">
        <v>257</v>
      </c>
    </row>
    <row r="4954" spans="2:2" x14ac:dyDescent="0.2">
      <c r="B4954" s="3" t="s">
        <v>257</v>
      </c>
    </row>
    <row r="4955" spans="2:2" x14ac:dyDescent="0.2">
      <c r="B4955" s="3" t="s">
        <v>257</v>
      </c>
    </row>
    <row r="4956" spans="2:2" x14ac:dyDescent="0.2">
      <c r="B4956" s="3" t="s">
        <v>257</v>
      </c>
    </row>
    <row r="4957" spans="2:2" x14ac:dyDescent="0.2">
      <c r="B4957" s="3" t="s">
        <v>257</v>
      </c>
    </row>
    <row r="4958" spans="2:2" x14ac:dyDescent="0.2">
      <c r="B4958" s="3" t="s">
        <v>257</v>
      </c>
    </row>
    <row r="4959" spans="2:2" x14ac:dyDescent="0.2">
      <c r="B4959" s="3" t="s">
        <v>257</v>
      </c>
    </row>
    <row r="4960" spans="2:2" x14ac:dyDescent="0.2">
      <c r="B4960" s="3" t="s">
        <v>257</v>
      </c>
    </row>
    <row r="4961" spans="2:2" x14ac:dyDescent="0.2">
      <c r="B4961" s="3" t="s">
        <v>257</v>
      </c>
    </row>
    <row r="4962" spans="2:2" x14ac:dyDescent="0.2">
      <c r="B4962" s="3" t="s">
        <v>257</v>
      </c>
    </row>
    <row r="4963" spans="2:2" x14ac:dyDescent="0.2">
      <c r="B4963" s="3" t="s">
        <v>257</v>
      </c>
    </row>
    <row r="4964" spans="2:2" x14ac:dyDescent="0.2">
      <c r="B4964" s="3" t="s">
        <v>257</v>
      </c>
    </row>
    <row r="4965" spans="2:2" x14ac:dyDescent="0.2">
      <c r="B4965" s="3" t="s">
        <v>257</v>
      </c>
    </row>
    <row r="4966" spans="2:2" x14ac:dyDescent="0.2">
      <c r="B4966" s="3" t="s">
        <v>257</v>
      </c>
    </row>
    <row r="4967" spans="2:2" x14ac:dyDescent="0.2">
      <c r="B4967" s="3" t="s">
        <v>257</v>
      </c>
    </row>
    <row r="4968" spans="2:2" x14ac:dyDescent="0.2">
      <c r="B4968" s="3" t="s">
        <v>257</v>
      </c>
    </row>
    <row r="4969" spans="2:2" x14ac:dyDescent="0.2">
      <c r="B4969" s="3" t="s">
        <v>257</v>
      </c>
    </row>
    <row r="4970" spans="2:2" x14ac:dyDescent="0.2">
      <c r="B4970" s="3" t="s">
        <v>257</v>
      </c>
    </row>
    <row r="4971" spans="2:2" x14ac:dyDescent="0.2">
      <c r="B4971" s="3" t="s">
        <v>257</v>
      </c>
    </row>
    <row r="4972" spans="2:2" x14ac:dyDescent="0.2">
      <c r="B4972" s="3" t="s">
        <v>257</v>
      </c>
    </row>
    <row r="4973" spans="2:2" x14ac:dyDescent="0.2">
      <c r="B4973" s="3" t="s">
        <v>257</v>
      </c>
    </row>
    <row r="4974" spans="2:2" x14ac:dyDescent="0.2">
      <c r="B4974" s="3" t="s">
        <v>257</v>
      </c>
    </row>
    <row r="4975" spans="2:2" x14ac:dyDescent="0.2">
      <c r="B4975" s="3" t="s">
        <v>257</v>
      </c>
    </row>
    <row r="4976" spans="2:2" x14ac:dyDescent="0.2">
      <c r="B4976" s="3" t="s">
        <v>257</v>
      </c>
    </row>
    <row r="4977" spans="2:2" x14ac:dyDescent="0.2">
      <c r="B4977" s="3" t="s">
        <v>257</v>
      </c>
    </row>
    <row r="4978" spans="2:2" x14ac:dyDescent="0.2">
      <c r="B4978" s="3" t="s">
        <v>257</v>
      </c>
    </row>
    <row r="4979" spans="2:2" x14ac:dyDescent="0.2">
      <c r="B4979" s="3" t="s">
        <v>257</v>
      </c>
    </row>
    <row r="4980" spans="2:2" x14ac:dyDescent="0.2">
      <c r="B4980" s="3" t="s">
        <v>257</v>
      </c>
    </row>
    <row r="4981" spans="2:2" x14ac:dyDescent="0.2">
      <c r="B4981" s="3" t="s">
        <v>257</v>
      </c>
    </row>
    <row r="4982" spans="2:2" x14ac:dyDescent="0.2">
      <c r="B4982" s="3" t="s">
        <v>257</v>
      </c>
    </row>
    <row r="4983" spans="2:2" x14ac:dyDescent="0.2">
      <c r="B4983" s="3" t="s">
        <v>257</v>
      </c>
    </row>
    <row r="4984" spans="2:2" x14ac:dyDescent="0.2">
      <c r="B4984" s="3" t="s">
        <v>257</v>
      </c>
    </row>
    <row r="4985" spans="2:2" x14ac:dyDescent="0.2">
      <c r="B4985" s="3" t="s">
        <v>257</v>
      </c>
    </row>
    <row r="4986" spans="2:2" x14ac:dyDescent="0.2">
      <c r="B4986" s="3" t="s">
        <v>257</v>
      </c>
    </row>
    <row r="4987" spans="2:2" x14ac:dyDescent="0.2">
      <c r="B4987" s="3" t="s">
        <v>257</v>
      </c>
    </row>
    <row r="4988" spans="2:2" x14ac:dyDescent="0.2">
      <c r="B4988" s="3" t="s">
        <v>257</v>
      </c>
    </row>
    <row r="4989" spans="2:2" x14ac:dyDescent="0.2">
      <c r="B4989" s="3" t="s">
        <v>257</v>
      </c>
    </row>
    <row r="4990" spans="2:2" x14ac:dyDescent="0.2">
      <c r="B4990" s="3" t="s">
        <v>257</v>
      </c>
    </row>
    <row r="4991" spans="2:2" x14ac:dyDescent="0.2">
      <c r="B4991" s="3" t="s">
        <v>257</v>
      </c>
    </row>
    <row r="4992" spans="2:2" x14ac:dyDescent="0.2">
      <c r="B4992" s="3" t="s">
        <v>257</v>
      </c>
    </row>
    <row r="4993" spans="2:2" x14ac:dyDescent="0.2">
      <c r="B4993" s="3" t="s">
        <v>257</v>
      </c>
    </row>
    <row r="4994" spans="2:2" x14ac:dyDescent="0.2">
      <c r="B4994" s="3" t="s">
        <v>257</v>
      </c>
    </row>
    <row r="4995" spans="2:2" x14ac:dyDescent="0.2">
      <c r="B4995" s="3" t="s">
        <v>257</v>
      </c>
    </row>
    <row r="4996" spans="2:2" x14ac:dyDescent="0.2">
      <c r="B4996" s="3" t="s">
        <v>257</v>
      </c>
    </row>
    <row r="4997" spans="2:2" x14ac:dyDescent="0.2">
      <c r="B4997" s="3" t="s">
        <v>257</v>
      </c>
    </row>
    <row r="4998" spans="2:2" x14ac:dyDescent="0.2">
      <c r="B4998" s="3" t="s">
        <v>257</v>
      </c>
    </row>
    <row r="4999" spans="2:2" x14ac:dyDescent="0.2">
      <c r="B4999" s="3" t="s">
        <v>257</v>
      </c>
    </row>
    <row r="5000" spans="2:2" x14ac:dyDescent="0.2">
      <c r="B5000" s="3" t="s">
        <v>257</v>
      </c>
    </row>
    <row r="5001" spans="2:2" x14ac:dyDescent="0.2">
      <c r="B5001" s="3" t="s">
        <v>257</v>
      </c>
    </row>
    <row r="5002" spans="2:2" x14ac:dyDescent="0.2">
      <c r="B5002" s="3" t="s">
        <v>257</v>
      </c>
    </row>
    <row r="5003" spans="2:2" x14ac:dyDescent="0.2">
      <c r="B5003" s="3" t="s">
        <v>257</v>
      </c>
    </row>
    <row r="5004" spans="2:2" x14ac:dyDescent="0.2">
      <c r="B5004" s="3" t="s">
        <v>257</v>
      </c>
    </row>
    <row r="5005" spans="2:2" x14ac:dyDescent="0.2">
      <c r="B5005" s="3" t="s">
        <v>257</v>
      </c>
    </row>
    <row r="5006" spans="2:2" x14ac:dyDescent="0.2">
      <c r="B5006" s="3" t="s">
        <v>257</v>
      </c>
    </row>
    <row r="5007" spans="2:2" x14ac:dyDescent="0.2">
      <c r="B5007" s="3" t="s">
        <v>257</v>
      </c>
    </row>
    <row r="5008" spans="2:2" x14ac:dyDescent="0.2">
      <c r="B5008" s="3" t="s">
        <v>257</v>
      </c>
    </row>
    <row r="5009" spans="2:2" x14ac:dyDescent="0.2">
      <c r="B5009" s="3" t="s">
        <v>257</v>
      </c>
    </row>
    <row r="5010" spans="2:2" x14ac:dyDescent="0.2">
      <c r="B5010" s="3" t="s">
        <v>257</v>
      </c>
    </row>
    <row r="5011" spans="2:2" x14ac:dyDescent="0.2">
      <c r="B5011" s="3" t="s">
        <v>257</v>
      </c>
    </row>
    <row r="5012" spans="2:2" x14ac:dyDescent="0.2">
      <c r="B5012" s="3" t="s">
        <v>257</v>
      </c>
    </row>
    <row r="5013" spans="2:2" x14ac:dyDescent="0.2">
      <c r="B5013" s="3" t="s">
        <v>257</v>
      </c>
    </row>
    <row r="5014" spans="2:2" x14ac:dyDescent="0.2">
      <c r="B5014" s="3" t="s">
        <v>257</v>
      </c>
    </row>
    <row r="5015" spans="2:2" x14ac:dyDescent="0.2">
      <c r="B5015" s="3" t="s">
        <v>257</v>
      </c>
    </row>
    <row r="5016" spans="2:2" x14ac:dyDescent="0.2">
      <c r="B5016" s="3" t="s">
        <v>257</v>
      </c>
    </row>
    <row r="5017" spans="2:2" x14ac:dyDescent="0.2">
      <c r="B5017" s="3" t="s">
        <v>257</v>
      </c>
    </row>
    <row r="5018" spans="2:2" x14ac:dyDescent="0.2">
      <c r="B5018" s="3" t="s">
        <v>257</v>
      </c>
    </row>
    <row r="5019" spans="2:2" x14ac:dyDescent="0.2">
      <c r="B5019" s="3" t="s">
        <v>257</v>
      </c>
    </row>
    <row r="5020" spans="2:2" x14ac:dyDescent="0.2">
      <c r="B5020" s="3" t="s">
        <v>257</v>
      </c>
    </row>
    <row r="5021" spans="2:2" x14ac:dyDescent="0.2">
      <c r="B5021" s="3" t="s">
        <v>257</v>
      </c>
    </row>
    <row r="5022" spans="2:2" x14ac:dyDescent="0.2">
      <c r="B5022" s="3" t="s">
        <v>257</v>
      </c>
    </row>
    <row r="5023" spans="2:2" x14ac:dyDescent="0.2">
      <c r="B5023" s="3" t="s">
        <v>257</v>
      </c>
    </row>
    <row r="5024" spans="2:2" x14ac:dyDescent="0.2">
      <c r="B5024" s="3" t="s">
        <v>257</v>
      </c>
    </row>
    <row r="5025" spans="2:2" x14ac:dyDescent="0.2">
      <c r="B5025" s="3" t="s">
        <v>257</v>
      </c>
    </row>
    <row r="5026" spans="2:2" x14ac:dyDescent="0.2">
      <c r="B5026" s="3" t="s">
        <v>257</v>
      </c>
    </row>
    <row r="5027" spans="2:2" x14ac:dyDescent="0.2">
      <c r="B5027" s="3" t="s">
        <v>257</v>
      </c>
    </row>
    <row r="5028" spans="2:2" x14ac:dyDescent="0.2">
      <c r="B5028" s="3" t="s">
        <v>257</v>
      </c>
    </row>
    <row r="5029" spans="2:2" x14ac:dyDescent="0.2">
      <c r="B5029" s="3" t="s">
        <v>257</v>
      </c>
    </row>
    <row r="5030" spans="2:2" x14ac:dyDescent="0.2">
      <c r="B5030" s="3" t="s">
        <v>257</v>
      </c>
    </row>
    <row r="5031" spans="2:2" x14ac:dyDescent="0.2">
      <c r="B5031" s="3" t="s">
        <v>257</v>
      </c>
    </row>
    <row r="5032" spans="2:2" x14ac:dyDescent="0.2">
      <c r="B5032" s="3" t="s">
        <v>257</v>
      </c>
    </row>
    <row r="5033" spans="2:2" x14ac:dyDescent="0.2">
      <c r="B5033" s="3" t="s">
        <v>257</v>
      </c>
    </row>
    <row r="5034" spans="2:2" x14ac:dyDescent="0.2">
      <c r="B5034" s="3" t="s">
        <v>257</v>
      </c>
    </row>
    <row r="5035" spans="2:2" x14ac:dyDescent="0.2">
      <c r="B5035" s="3" t="s">
        <v>257</v>
      </c>
    </row>
    <row r="5036" spans="2:2" x14ac:dyDescent="0.2">
      <c r="B5036" s="3" t="s">
        <v>257</v>
      </c>
    </row>
    <row r="5037" spans="2:2" x14ac:dyDescent="0.2">
      <c r="B5037" s="3" t="s">
        <v>257</v>
      </c>
    </row>
    <row r="5038" spans="2:2" x14ac:dyDescent="0.2">
      <c r="B5038" s="3" t="s">
        <v>257</v>
      </c>
    </row>
    <row r="5039" spans="2:2" x14ac:dyDescent="0.2">
      <c r="B5039" s="3" t="s">
        <v>257</v>
      </c>
    </row>
    <row r="5040" spans="2:2" x14ac:dyDescent="0.2">
      <c r="B5040" s="3" t="s">
        <v>257</v>
      </c>
    </row>
    <row r="5041" spans="2:2" x14ac:dyDescent="0.2">
      <c r="B5041" s="3" t="s">
        <v>257</v>
      </c>
    </row>
    <row r="5042" spans="2:2" x14ac:dyDescent="0.2">
      <c r="B5042" s="3" t="s">
        <v>257</v>
      </c>
    </row>
    <row r="5043" spans="2:2" x14ac:dyDescent="0.2">
      <c r="B5043" s="3" t="s">
        <v>257</v>
      </c>
    </row>
    <row r="5044" spans="2:2" x14ac:dyDescent="0.2">
      <c r="B5044" s="3" t="s">
        <v>257</v>
      </c>
    </row>
    <row r="5045" spans="2:2" x14ac:dyDescent="0.2">
      <c r="B5045" s="3" t="s">
        <v>257</v>
      </c>
    </row>
    <row r="5046" spans="2:2" x14ac:dyDescent="0.2">
      <c r="B5046" s="3" t="s">
        <v>257</v>
      </c>
    </row>
    <row r="5047" spans="2:2" x14ac:dyDescent="0.2">
      <c r="B5047" s="3" t="s">
        <v>257</v>
      </c>
    </row>
    <row r="5048" spans="2:2" x14ac:dyDescent="0.2">
      <c r="B5048" s="3" t="s">
        <v>257</v>
      </c>
    </row>
    <row r="5049" spans="2:2" x14ac:dyDescent="0.2">
      <c r="B5049" s="3" t="s">
        <v>257</v>
      </c>
    </row>
    <row r="5050" spans="2:2" x14ac:dyDescent="0.2">
      <c r="B5050" s="3" t="s">
        <v>257</v>
      </c>
    </row>
    <row r="5051" spans="2:2" x14ac:dyDescent="0.2">
      <c r="B5051" s="3" t="s">
        <v>257</v>
      </c>
    </row>
    <row r="5052" spans="2:2" x14ac:dyDescent="0.2">
      <c r="B5052" s="3" t="s">
        <v>257</v>
      </c>
    </row>
    <row r="5053" spans="2:2" x14ac:dyDescent="0.2">
      <c r="B5053" s="3" t="s">
        <v>257</v>
      </c>
    </row>
    <row r="5054" spans="2:2" x14ac:dyDescent="0.2">
      <c r="B5054" s="3" t="s">
        <v>257</v>
      </c>
    </row>
    <row r="5055" spans="2:2" x14ac:dyDescent="0.2">
      <c r="B5055" s="3" t="s">
        <v>257</v>
      </c>
    </row>
    <row r="5056" spans="2:2" x14ac:dyDescent="0.2">
      <c r="B5056" s="3" t="s">
        <v>257</v>
      </c>
    </row>
    <row r="5057" spans="2:2" x14ac:dyDescent="0.2">
      <c r="B5057" s="3" t="s">
        <v>257</v>
      </c>
    </row>
    <row r="5058" spans="2:2" x14ac:dyDescent="0.2">
      <c r="B5058" s="3" t="s">
        <v>257</v>
      </c>
    </row>
    <row r="5059" spans="2:2" x14ac:dyDescent="0.2">
      <c r="B5059" s="3" t="s">
        <v>257</v>
      </c>
    </row>
    <row r="5060" spans="2:2" x14ac:dyDescent="0.2">
      <c r="B5060" s="3" t="s">
        <v>257</v>
      </c>
    </row>
    <row r="5061" spans="2:2" x14ac:dyDescent="0.2">
      <c r="B5061" s="3" t="s">
        <v>257</v>
      </c>
    </row>
    <row r="5062" spans="2:2" x14ac:dyDescent="0.2">
      <c r="B5062" s="3" t="s">
        <v>257</v>
      </c>
    </row>
    <row r="5063" spans="2:2" x14ac:dyDescent="0.2">
      <c r="B5063" s="3" t="s">
        <v>257</v>
      </c>
    </row>
    <row r="5064" spans="2:2" x14ac:dyDescent="0.2">
      <c r="B5064" s="3" t="s">
        <v>257</v>
      </c>
    </row>
    <row r="5065" spans="2:2" x14ac:dyDescent="0.2">
      <c r="B5065" s="3" t="s">
        <v>257</v>
      </c>
    </row>
    <row r="5066" spans="2:2" x14ac:dyDescent="0.2">
      <c r="B5066" s="3" t="s">
        <v>257</v>
      </c>
    </row>
    <row r="5067" spans="2:2" x14ac:dyDescent="0.2">
      <c r="B5067" s="3" t="s">
        <v>257</v>
      </c>
    </row>
    <row r="5068" spans="2:2" x14ac:dyDescent="0.2">
      <c r="B5068" s="3" t="s">
        <v>257</v>
      </c>
    </row>
    <row r="5069" spans="2:2" x14ac:dyDescent="0.2">
      <c r="B5069" s="3" t="s">
        <v>257</v>
      </c>
    </row>
    <row r="5070" spans="2:2" x14ac:dyDescent="0.2">
      <c r="B5070" s="3" t="s">
        <v>257</v>
      </c>
    </row>
    <row r="5071" spans="2:2" x14ac:dyDescent="0.2">
      <c r="B5071" s="3" t="s">
        <v>257</v>
      </c>
    </row>
    <row r="5072" spans="2:2" x14ac:dyDescent="0.2">
      <c r="B5072" s="3" t="s">
        <v>257</v>
      </c>
    </row>
    <row r="5073" spans="2:2" x14ac:dyDescent="0.2">
      <c r="B5073" s="3" t="s">
        <v>257</v>
      </c>
    </row>
    <row r="5074" spans="2:2" x14ac:dyDescent="0.2">
      <c r="B5074" s="3" t="s">
        <v>257</v>
      </c>
    </row>
    <row r="5075" spans="2:2" x14ac:dyDescent="0.2">
      <c r="B5075" s="3" t="s">
        <v>257</v>
      </c>
    </row>
    <row r="5076" spans="2:2" x14ac:dyDescent="0.2">
      <c r="B5076" s="3" t="s">
        <v>257</v>
      </c>
    </row>
    <row r="5077" spans="2:2" x14ac:dyDescent="0.2">
      <c r="B5077" s="3" t="s">
        <v>257</v>
      </c>
    </row>
    <row r="5078" spans="2:2" x14ac:dyDescent="0.2">
      <c r="B5078" s="3" t="s">
        <v>257</v>
      </c>
    </row>
    <row r="5079" spans="2:2" x14ac:dyDescent="0.2">
      <c r="B5079" s="3" t="s">
        <v>257</v>
      </c>
    </row>
    <row r="5080" spans="2:2" x14ac:dyDescent="0.2">
      <c r="B5080" s="3" t="s">
        <v>257</v>
      </c>
    </row>
    <row r="5081" spans="2:2" x14ac:dyDescent="0.2">
      <c r="B5081" s="3" t="s">
        <v>257</v>
      </c>
    </row>
    <row r="5082" spans="2:2" x14ac:dyDescent="0.2">
      <c r="B5082" s="3" t="s">
        <v>257</v>
      </c>
    </row>
    <row r="5083" spans="2:2" x14ac:dyDescent="0.2">
      <c r="B5083" s="3" t="s">
        <v>257</v>
      </c>
    </row>
    <row r="5084" spans="2:2" x14ac:dyDescent="0.2">
      <c r="B5084" s="3" t="s">
        <v>257</v>
      </c>
    </row>
    <row r="5085" spans="2:2" x14ac:dyDescent="0.2">
      <c r="B5085" s="3" t="s">
        <v>257</v>
      </c>
    </row>
    <row r="5086" spans="2:2" x14ac:dyDescent="0.2">
      <c r="B5086" s="3" t="s">
        <v>257</v>
      </c>
    </row>
    <row r="5087" spans="2:2" x14ac:dyDescent="0.2">
      <c r="B5087" s="3" t="s">
        <v>257</v>
      </c>
    </row>
    <row r="5088" spans="2:2" x14ac:dyDescent="0.2">
      <c r="B5088" s="3" t="s">
        <v>257</v>
      </c>
    </row>
    <row r="5089" spans="2:2" x14ac:dyDescent="0.2">
      <c r="B5089" s="3" t="s">
        <v>257</v>
      </c>
    </row>
    <row r="5090" spans="2:2" x14ac:dyDescent="0.2">
      <c r="B5090" s="3" t="s">
        <v>257</v>
      </c>
    </row>
    <row r="5091" spans="2:2" x14ac:dyDescent="0.2">
      <c r="B5091" s="3" t="s">
        <v>257</v>
      </c>
    </row>
    <row r="5092" spans="2:2" x14ac:dyDescent="0.2">
      <c r="B5092" s="3" t="s">
        <v>257</v>
      </c>
    </row>
    <row r="5093" spans="2:2" x14ac:dyDescent="0.2">
      <c r="B5093" s="3" t="s">
        <v>257</v>
      </c>
    </row>
    <row r="5094" spans="2:2" x14ac:dyDescent="0.2">
      <c r="B5094" s="3" t="s">
        <v>257</v>
      </c>
    </row>
    <row r="5095" spans="2:2" x14ac:dyDescent="0.2">
      <c r="B5095" s="3" t="s">
        <v>257</v>
      </c>
    </row>
    <row r="5096" spans="2:2" x14ac:dyDescent="0.2">
      <c r="B5096" s="3" t="s">
        <v>257</v>
      </c>
    </row>
    <row r="5097" spans="2:2" x14ac:dyDescent="0.2">
      <c r="B5097" s="3" t="s">
        <v>257</v>
      </c>
    </row>
    <row r="5098" spans="2:2" x14ac:dyDescent="0.2">
      <c r="B5098" s="3" t="s">
        <v>257</v>
      </c>
    </row>
    <row r="5099" spans="2:2" x14ac:dyDescent="0.2">
      <c r="B5099" s="3" t="s">
        <v>257</v>
      </c>
    </row>
    <row r="5100" spans="2:2" x14ac:dyDescent="0.2">
      <c r="B5100" s="3" t="s">
        <v>257</v>
      </c>
    </row>
    <row r="5101" spans="2:2" x14ac:dyDescent="0.2">
      <c r="B5101" s="3" t="s">
        <v>257</v>
      </c>
    </row>
    <row r="5102" spans="2:2" x14ac:dyDescent="0.2">
      <c r="B5102" s="3" t="s">
        <v>257</v>
      </c>
    </row>
    <row r="5103" spans="2:2" x14ac:dyDescent="0.2">
      <c r="B5103" s="3" t="s">
        <v>257</v>
      </c>
    </row>
    <row r="5104" spans="2:2" x14ac:dyDescent="0.2">
      <c r="B5104" s="3" t="s">
        <v>257</v>
      </c>
    </row>
    <row r="5105" spans="2:2" x14ac:dyDescent="0.2">
      <c r="B5105" s="3" t="s">
        <v>257</v>
      </c>
    </row>
    <row r="5106" spans="2:2" x14ac:dyDescent="0.2">
      <c r="B5106" s="3" t="s">
        <v>257</v>
      </c>
    </row>
    <row r="5107" spans="2:2" x14ac:dyDescent="0.2">
      <c r="B5107" s="3" t="s">
        <v>257</v>
      </c>
    </row>
    <row r="5108" spans="2:2" x14ac:dyDescent="0.2">
      <c r="B5108" s="3" t="s">
        <v>257</v>
      </c>
    </row>
    <row r="5109" spans="2:2" x14ac:dyDescent="0.2">
      <c r="B5109" s="3" t="s">
        <v>257</v>
      </c>
    </row>
    <row r="5110" spans="2:2" x14ac:dyDescent="0.2">
      <c r="B5110" s="3" t="s">
        <v>257</v>
      </c>
    </row>
    <row r="5111" spans="2:2" x14ac:dyDescent="0.2">
      <c r="B5111" s="3" t="s">
        <v>257</v>
      </c>
    </row>
    <row r="5112" spans="2:2" x14ac:dyDescent="0.2">
      <c r="B5112" s="3" t="s">
        <v>257</v>
      </c>
    </row>
    <row r="5113" spans="2:2" x14ac:dyDescent="0.2">
      <c r="B5113" s="3" t="s">
        <v>257</v>
      </c>
    </row>
    <row r="5114" spans="2:2" x14ac:dyDescent="0.2">
      <c r="B5114" s="3" t="s">
        <v>257</v>
      </c>
    </row>
    <row r="5115" spans="2:2" x14ac:dyDescent="0.2">
      <c r="B5115" s="3" t="s">
        <v>257</v>
      </c>
    </row>
    <row r="5116" spans="2:2" x14ac:dyDescent="0.2">
      <c r="B5116" s="3" t="s">
        <v>257</v>
      </c>
    </row>
    <row r="5117" spans="2:2" x14ac:dyDescent="0.2">
      <c r="B5117" s="3" t="s">
        <v>257</v>
      </c>
    </row>
    <row r="5118" spans="2:2" x14ac:dyDescent="0.2">
      <c r="B5118" s="3" t="s">
        <v>257</v>
      </c>
    </row>
    <row r="5119" spans="2:2" x14ac:dyDescent="0.2">
      <c r="B5119" s="3" t="s">
        <v>257</v>
      </c>
    </row>
    <row r="5120" spans="2:2" x14ac:dyDescent="0.2">
      <c r="B5120" s="3" t="s">
        <v>257</v>
      </c>
    </row>
    <row r="5121" spans="2:2" x14ac:dyDescent="0.2">
      <c r="B5121" s="3" t="s">
        <v>257</v>
      </c>
    </row>
    <row r="5122" spans="2:2" x14ac:dyDescent="0.2">
      <c r="B5122" s="3" t="s">
        <v>257</v>
      </c>
    </row>
    <row r="5123" spans="2:2" x14ac:dyDescent="0.2">
      <c r="B5123" s="3" t="s">
        <v>257</v>
      </c>
    </row>
    <row r="5124" spans="2:2" x14ac:dyDescent="0.2">
      <c r="B5124" s="3" t="s">
        <v>257</v>
      </c>
    </row>
    <row r="5125" spans="2:2" x14ac:dyDescent="0.2">
      <c r="B5125" s="3" t="s">
        <v>257</v>
      </c>
    </row>
    <row r="5126" spans="2:2" x14ac:dyDescent="0.2">
      <c r="B5126" s="3" t="s">
        <v>257</v>
      </c>
    </row>
    <row r="5127" spans="2:2" x14ac:dyDescent="0.2">
      <c r="B5127" s="3" t="s">
        <v>257</v>
      </c>
    </row>
    <row r="5128" spans="2:2" x14ac:dyDescent="0.2">
      <c r="B5128" s="3" t="s">
        <v>257</v>
      </c>
    </row>
    <row r="5129" spans="2:2" x14ac:dyDescent="0.2">
      <c r="B5129" s="3" t="s">
        <v>257</v>
      </c>
    </row>
    <row r="5130" spans="2:2" x14ac:dyDescent="0.2">
      <c r="B5130" s="3" t="s">
        <v>257</v>
      </c>
    </row>
    <row r="5131" spans="2:2" x14ac:dyDescent="0.2">
      <c r="B5131" s="3" t="s">
        <v>257</v>
      </c>
    </row>
    <row r="5132" spans="2:2" x14ac:dyDescent="0.2">
      <c r="B5132" s="3" t="s">
        <v>257</v>
      </c>
    </row>
    <row r="5133" spans="2:2" x14ac:dyDescent="0.2">
      <c r="B5133" s="3" t="s">
        <v>257</v>
      </c>
    </row>
    <row r="5134" spans="2:2" x14ac:dyDescent="0.2">
      <c r="B5134" s="3" t="s">
        <v>257</v>
      </c>
    </row>
    <row r="5135" spans="2:2" x14ac:dyDescent="0.2">
      <c r="B5135" s="3" t="s">
        <v>257</v>
      </c>
    </row>
    <row r="5136" spans="2:2" x14ac:dyDescent="0.2">
      <c r="B5136" s="3" t="s">
        <v>257</v>
      </c>
    </row>
    <row r="5137" spans="2:2" x14ac:dyDescent="0.2">
      <c r="B5137" s="3" t="s">
        <v>257</v>
      </c>
    </row>
    <row r="5138" spans="2:2" x14ac:dyDescent="0.2">
      <c r="B5138" s="3" t="s">
        <v>257</v>
      </c>
    </row>
    <row r="5139" spans="2:2" x14ac:dyDescent="0.2">
      <c r="B5139" s="3" t="s">
        <v>257</v>
      </c>
    </row>
    <row r="5140" spans="2:2" x14ac:dyDescent="0.2">
      <c r="B5140" s="3" t="s">
        <v>257</v>
      </c>
    </row>
    <row r="5141" spans="2:2" x14ac:dyDescent="0.2">
      <c r="B5141" s="3" t="s">
        <v>257</v>
      </c>
    </row>
    <row r="5142" spans="2:2" x14ac:dyDescent="0.2">
      <c r="B5142" s="3" t="s">
        <v>257</v>
      </c>
    </row>
    <row r="5143" spans="2:2" x14ac:dyDescent="0.2">
      <c r="B5143" s="3" t="s">
        <v>257</v>
      </c>
    </row>
    <row r="5144" spans="2:2" x14ac:dyDescent="0.2">
      <c r="B5144" s="3" t="s">
        <v>257</v>
      </c>
    </row>
    <row r="5145" spans="2:2" x14ac:dyDescent="0.2">
      <c r="B5145" s="3" t="s">
        <v>257</v>
      </c>
    </row>
    <row r="5146" spans="2:2" x14ac:dyDescent="0.2">
      <c r="B5146" s="3" t="s">
        <v>257</v>
      </c>
    </row>
    <row r="5147" spans="2:2" x14ac:dyDescent="0.2">
      <c r="B5147" s="3" t="s">
        <v>257</v>
      </c>
    </row>
    <row r="5148" spans="2:2" x14ac:dyDescent="0.2">
      <c r="B5148" s="3" t="s">
        <v>257</v>
      </c>
    </row>
    <row r="5149" spans="2:2" x14ac:dyDescent="0.2">
      <c r="B5149" s="3" t="s">
        <v>257</v>
      </c>
    </row>
    <row r="5150" spans="2:2" x14ac:dyDescent="0.2">
      <c r="B5150" s="3" t="s">
        <v>257</v>
      </c>
    </row>
    <row r="5151" spans="2:2" x14ac:dyDescent="0.2">
      <c r="B5151" s="3" t="s">
        <v>257</v>
      </c>
    </row>
    <row r="5152" spans="2:2" x14ac:dyDescent="0.2">
      <c r="B5152" s="3" t="s">
        <v>257</v>
      </c>
    </row>
    <row r="5153" spans="2:2" x14ac:dyDescent="0.2">
      <c r="B5153" s="3" t="s">
        <v>257</v>
      </c>
    </row>
    <row r="5154" spans="2:2" x14ac:dyDescent="0.2">
      <c r="B5154" s="3" t="s">
        <v>257</v>
      </c>
    </row>
    <row r="5155" spans="2:2" x14ac:dyDescent="0.2">
      <c r="B5155" s="3" t="s">
        <v>257</v>
      </c>
    </row>
    <row r="5156" spans="2:2" x14ac:dyDescent="0.2">
      <c r="B5156" s="3" t="s">
        <v>257</v>
      </c>
    </row>
    <row r="5157" spans="2:2" x14ac:dyDescent="0.2">
      <c r="B5157" s="3" t="s">
        <v>257</v>
      </c>
    </row>
    <row r="5158" spans="2:2" x14ac:dyDescent="0.2">
      <c r="B5158" s="3" t="s">
        <v>257</v>
      </c>
    </row>
    <row r="5159" spans="2:2" x14ac:dyDescent="0.2">
      <c r="B5159" s="3" t="s">
        <v>257</v>
      </c>
    </row>
    <row r="5160" spans="2:2" x14ac:dyDescent="0.2">
      <c r="B5160" s="3" t="s">
        <v>257</v>
      </c>
    </row>
    <row r="5161" spans="2:2" x14ac:dyDescent="0.2">
      <c r="B5161" s="3" t="s">
        <v>257</v>
      </c>
    </row>
    <row r="5162" spans="2:2" x14ac:dyDescent="0.2">
      <c r="B5162" s="3" t="s">
        <v>257</v>
      </c>
    </row>
    <row r="5163" spans="2:2" x14ac:dyDescent="0.2">
      <c r="B5163" s="3" t="s">
        <v>257</v>
      </c>
    </row>
    <row r="5164" spans="2:2" x14ac:dyDescent="0.2">
      <c r="B5164" s="3" t="s">
        <v>257</v>
      </c>
    </row>
    <row r="5165" spans="2:2" x14ac:dyDescent="0.2">
      <c r="B5165" s="3" t="s">
        <v>257</v>
      </c>
    </row>
    <row r="5166" spans="2:2" x14ac:dyDescent="0.2">
      <c r="B5166" s="3" t="s">
        <v>257</v>
      </c>
    </row>
    <row r="5167" spans="2:2" x14ac:dyDescent="0.2">
      <c r="B5167" s="3" t="s">
        <v>257</v>
      </c>
    </row>
    <row r="5168" spans="2:2" x14ac:dyDescent="0.2">
      <c r="B5168" s="3" t="s">
        <v>257</v>
      </c>
    </row>
    <row r="5169" spans="2:2" x14ac:dyDescent="0.2">
      <c r="B5169" s="3" t="s">
        <v>257</v>
      </c>
    </row>
    <row r="5170" spans="2:2" x14ac:dyDescent="0.2">
      <c r="B5170" s="3" t="s">
        <v>257</v>
      </c>
    </row>
    <row r="5171" spans="2:2" x14ac:dyDescent="0.2">
      <c r="B5171" s="3" t="s">
        <v>257</v>
      </c>
    </row>
    <row r="5172" spans="2:2" x14ac:dyDescent="0.2">
      <c r="B5172" s="3" t="s">
        <v>257</v>
      </c>
    </row>
    <row r="5173" spans="2:2" x14ac:dyDescent="0.2">
      <c r="B5173" s="3" t="s">
        <v>257</v>
      </c>
    </row>
    <row r="5174" spans="2:2" x14ac:dyDescent="0.2">
      <c r="B5174" s="3" t="s">
        <v>257</v>
      </c>
    </row>
    <row r="5175" spans="2:2" x14ac:dyDescent="0.2">
      <c r="B5175" s="3" t="s">
        <v>257</v>
      </c>
    </row>
    <row r="5176" spans="2:2" x14ac:dyDescent="0.2">
      <c r="B5176" s="3" t="s">
        <v>257</v>
      </c>
    </row>
    <row r="5177" spans="2:2" x14ac:dyDescent="0.2">
      <c r="B5177" s="3" t="s">
        <v>257</v>
      </c>
    </row>
    <row r="5178" spans="2:2" x14ac:dyDescent="0.2">
      <c r="B5178" s="3" t="s">
        <v>257</v>
      </c>
    </row>
    <row r="5179" spans="2:2" x14ac:dyDescent="0.2">
      <c r="B5179" s="3" t="s">
        <v>257</v>
      </c>
    </row>
    <row r="5180" spans="2:2" x14ac:dyDescent="0.2">
      <c r="B5180" s="3" t="s">
        <v>257</v>
      </c>
    </row>
    <row r="5181" spans="2:2" x14ac:dyDescent="0.2">
      <c r="B5181" s="3" t="s">
        <v>257</v>
      </c>
    </row>
    <row r="5182" spans="2:2" x14ac:dyDescent="0.2">
      <c r="B5182" s="3" t="s">
        <v>257</v>
      </c>
    </row>
    <row r="5183" spans="2:2" x14ac:dyDescent="0.2">
      <c r="B5183" s="3" t="s">
        <v>257</v>
      </c>
    </row>
    <row r="5184" spans="2:2" x14ac:dyDescent="0.2">
      <c r="B5184" s="3" t="s">
        <v>257</v>
      </c>
    </row>
    <row r="5185" spans="2:2" x14ac:dyDescent="0.2">
      <c r="B5185" s="3" t="s">
        <v>257</v>
      </c>
    </row>
    <row r="5186" spans="2:2" x14ac:dyDescent="0.2">
      <c r="B5186" s="3" t="s">
        <v>257</v>
      </c>
    </row>
    <row r="5187" spans="2:2" x14ac:dyDescent="0.2">
      <c r="B5187" s="3" t="s">
        <v>257</v>
      </c>
    </row>
    <row r="5188" spans="2:2" x14ac:dyDescent="0.2">
      <c r="B5188" s="3" t="s">
        <v>257</v>
      </c>
    </row>
    <row r="5189" spans="2:2" x14ac:dyDescent="0.2">
      <c r="B5189" s="3" t="s">
        <v>257</v>
      </c>
    </row>
    <row r="5190" spans="2:2" x14ac:dyDescent="0.2">
      <c r="B5190" s="3" t="s">
        <v>257</v>
      </c>
    </row>
    <row r="5191" spans="2:2" x14ac:dyDescent="0.2">
      <c r="B5191" s="3" t="s">
        <v>257</v>
      </c>
    </row>
    <row r="5192" spans="2:2" x14ac:dyDescent="0.2">
      <c r="B5192" s="3" t="s">
        <v>257</v>
      </c>
    </row>
    <row r="5193" spans="2:2" x14ac:dyDescent="0.2">
      <c r="B5193" s="3" t="s">
        <v>257</v>
      </c>
    </row>
    <row r="5194" spans="2:2" x14ac:dyDescent="0.2">
      <c r="B5194" s="3" t="s">
        <v>257</v>
      </c>
    </row>
    <row r="5195" spans="2:2" x14ac:dyDescent="0.2">
      <c r="B5195" s="3" t="s">
        <v>257</v>
      </c>
    </row>
    <row r="5196" spans="2:2" x14ac:dyDescent="0.2">
      <c r="B5196" s="3" t="s">
        <v>257</v>
      </c>
    </row>
    <row r="5197" spans="2:2" x14ac:dyDescent="0.2">
      <c r="B5197" s="3" t="s">
        <v>257</v>
      </c>
    </row>
    <row r="5198" spans="2:2" x14ac:dyDescent="0.2">
      <c r="B5198" s="3" t="s">
        <v>257</v>
      </c>
    </row>
    <row r="5199" spans="2:2" x14ac:dyDescent="0.2">
      <c r="B5199" s="3" t="s">
        <v>257</v>
      </c>
    </row>
    <row r="5200" spans="2:2" x14ac:dyDescent="0.2">
      <c r="B5200" s="3" t="s">
        <v>257</v>
      </c>
    </row>
    <row r="5201" spans="2:2" x14ac:dyDescent="0.2">
      <c r="B5201" s="3" t="s">
        <v>257</v>
      </c>
    </row>
    <row r="5202" spans="2:2" x14ac:dyDescent="0.2">
      <c r="B5202" s="3" t="s">
        <v>257</v>
      </c>
    </row>
    <row r="5203" spans="2:2" x14ac:dyDescent="0.2">
      <c r="B5203" s="3" t="s">
        <v>257</v>
      </c>
    </row>
    <row r="5204" spans="2:2" x14ac:dyDescent="0.2">
      <c r="B5204" s="3" t="s">
        <v>257</v>
      </c>
    </row>
    <row r="5205" spans="2:2" x14ac:dyDescent="0.2">
      <c r="B5205" s="3" t="s">
        <v>257</v>
      </c>
    </row>
    <row r="5206" spans="2:2" x14ac:dyDescent="0.2">
      <c r="B5206" s="3" t="s">
        <v>257</v>
      </c>
    </row>
    <row r="5207" spans="2:2" x14ac:dyDescent="0.2">
      <c r="B5207" s="3" t="s">
        <v>257</v>
      </c>
    </row>
    <row r="5208" spans="2:2" x14ac:dyDescent="0.2">
      <c r="B5208" s="3" t="s">
        <v>257</v>
      </c>
    </row>
    <row r="5209" spans="2:2" x14ac:dyDescent="0.2">
      <c r="B5209" s="3" t="s">
        <v>257</v>
      </c>
    </row>
    <row r="5210" spans="2:2" x14ac:dyDescent="0.2">
      <c r="B5210" s="3" t="s">
        <v>257</v>
      </c>
    </row>
    <row r="5211" spans="2:2" x14ac:dyDescent="0.2">
      <c r="B5211" s="3" t="s">
        <v>257</v>
      </c>
    </row>
    <row r="5212" spans="2:2" x14ac:dyDescent="0.2">
      <c r="B5212" s="3" t="s">
        <v>257</v>
      </c>
    </row>
    <row r="5213" spans="2:2" x14ac:dyDescent="0.2">
      <c r="B5213" s="3" t="s">
        <v>257</v>
      </c>
    </row>
    <row r="5214" spans="2:2" x14ac:dyDescent="0.2">
      <c r="B5214" s="3" t="s">
        <v>257</v>
      </c>
    </row>
    <row r="5215" spans="2:2" x14ac:dyDescent="0.2">
      <c r="B5215" s="3" t="s">
        <v>257</v>
      </c>
    </row>
    <row r="5216" spans="2:2" x14ac:dyDescent="0.2">
      <c r="B5216" s="3" t="s">
        <v>257</v>
      </c>
    </row>
    <row r="5217" spans="2:2" x14ac:dyDescent="0.2">
      <c r="B5217" s="3" t="s">
        <v>257</v>
      </c>
    </row>
    <row r="5218" spans="2:2" x14ac:dyDescent="0.2">
      <c r="B5218" s="3" t="s">
        <v>257</v>
      </c>
    </row>
    <row r="5219" spans="2:2" x14ac:dyDescent="0.2">
      <c r="B5219" s="3" t="s">
        <v>257</v>
      </c>
    </row>
    <row r="5220" spans="2:2" x14ac:dyDescent="0.2">
      <c r="B5220" s="3" t="s">
        <v>257</v>
      </c>
    </row>
    <row r="5221" spans="2:2" x14ac:dyDescent="0.2">
      <c r="B5221" s="3" t="s">
        <v>257</v>
      </c>
    </row>
    <row r="5222" spans="2:2" x14ac:dyDescent="0.2">
      <c r="B5222" s="3" t="s">
        <v>257</v>
      </c>
    </row>
    <row r="5223" spans="2:2" x14ac:dyDescent="0.2">
      <c r="B5223" s="3" t="s">
        <v>257</v>
      </c>
    </row>
    <row r="5224" spans="2:2" x14ac:dyDescent="0.2">
      <c r="B5224" s="3" t="s">
        <v>257</v>
      </c>
    </row>
    <row r="5225" spans="2:2" x14ac:dyDescent="0.2">
      <c r="B5225" s="3" t="s">
        <v>257</v>
      </c>
    </row>
    <row r="5226" spans="2:2" x14ac:dyDescent="0.2">
      <c r="B5226" s="3" t="s">
        <v>257</v>
      </c>
    </row>
    <row r="5227" spans="2:2" x14ac:dyDescent="0.2">
      <c r="B5227" s="3" t="s">
        <v>257</v>
      </c>
    </row>
    <row r="5228" spans="2:2" x14ac:dyDescent="0.2">
      <c r="B5228" s="3" t="s">
        <v>257</v>
      </c>
    </row>
    <row r="5229" spans="2:2" x14ac:dyDescent="0.2">
      <c r="B5229" s="3" t="s">
        <v>257</v>
      </c>
    </row>
    <row r="5230" spans="2:2" x14ac:dyDescent="0.2">
      <c r="B5230" s="3" t="s">
        <v>257</v>
      </c>
    </row>
    <row r="5231" spans="2:2" x14ac:dyDescent="0.2">
      <c r="B5231" s="3" t="s">
        <v>257</v>
      </c>
    </row>
    <row r="5232" spans="2:2" x14ac:dyDescent="0.2">
      <c r="B5232" s="3" t="s">
        <v>257</v>
      </c>
    </row>
    <row r="5233" spans="2:2" x14ac:dyDescent="0.2">
      <c r="B5233" s="3" t="s">
        <v>257</v>
      </c>
    </row>
    <row r="5234" spans="2:2" x14ac:dyDescent="0.2">
      <c r="B5234" s="3" t="s">
        <v>257</v>
      </c>
    </row>
    <row r="5235" spans="2:2" x14ac:dyDescent="0.2">
      <c r="B5235" s="3" t="s">
        <v>257</v>
      </c>
    </row>
    <row r="5236" spans="2:2" x14ac:dyDescent="0.2">
      <c r="B5236" s="3" t="s">
        <v>257</v>
      </c>
    </row>
    <row r="5237" spans="2:2" x14ac:dyDescent="0.2">
      <c r="B5237" s="3" t="s">
        <v>257</v>
      </c>
    </row>
    <row r="5238" spans="2:2" x14ac:dyDescent="0.2">
      <c r="B5238" s="3" t="s">
        <v>257</v>
      </c>
    </row>
    <row r="5239" spans="2:2" x14ac:dyDescent="0.2">
      <c r="B5239" s="3" t="s">
        <v>257</v>
      </c>
    </row>
    <row r="5240" spans="2:2" x14ac:dyDescent="0.2">
      <c r="B5240" s="3" t="s">
        <v>257</v>
      </c>
    </row>
    <row r="5241" spans="2:2" x14ac:dyDescent="0.2">
      <c r="B5241" s="3" t="s">
        <v>257</v>
      </c>
    </row>
    <row r="5242" spans="2:2" x14ac:dyDescent="0.2">
      <c r="B5242" s="3" t="s">
        <v>257</v>
      </c>
    </row>
    <row r="5243" spans="2:2" x14ac:dyDescent="0.2">
      <c r="B5243" s="3" t="s">
        <v>257</v>
      </c>
    </row>
    <row r="5244" spans="2:2" x14ac:dyDescent="0.2">
      <c r="B5244" s="3" t="s">
        <v>257</v>
      </c>
    </row>
    <row r="5245" spans="2:2" x14ac:dyDescent="0.2">
      <c r="B5245" s="3" t="s">
        <v>257</v>
      </c>
    </row>
    <row r="5246" spans="2:2" x14ac:dyDescent="0.2">
      <c r="B5246" s="3" t="s">
        <v>257</v>
      </c>
    </row>
    <row r="5247" spans="2:2" x14ac:dyDescent="0.2">
      <c r="B5247" s="3" t="s">
        <v>257</v>
      </c>
    </row>
    <row r="5248" spans="2:2" x14ac:dyDescent="0.2">
      <c r="B5248" s="3" t="s">
        <v>257</v>
      </c>
    </row>
    <row r="5249" spans="2:2" x14ac:dyDescent="0.2">
      <c r="B5249" s="3" t="s">
        <v>257</v>
      </c>
    </row>
    <row r="5250" spans="2:2" x14ac:dyDescent="0.2">
      <c r="B5250" s="3" t="s">
        <v>257</v>
      </c>
    </row>
    <row r="5251" spans="2:2" x14ac:dyDescent="0.2">
      <c r="B5251" s="3" t="s">
        <v>257</v>
      </c>
    </row>
    <row r="5252" spans="2:2" x14ac:dyDescent="0.2">
      <c r="B5252" s="3" t="s">
        <v>257</v>
      </c>
    </row>
    <row r="5253" spans="2:2" x14ac:dyDescent="0.2">
      <c r="B5253" s="3" t="s">
        <v>257</v>
      </c>
    </row>
    <row r="5254" spans="2:2" x14ac:dyDescent="0.2">
      <c r="B5254" s="3" t="s">
        <v>257</v>
      </c>
    </row>
    <row r="5255" spans="2:2" x14ac:dyDescent="0.2">
      <c r="B5255" s="3" t="s">
        <v>257</v>
      </c>
    </row>
    <row r="5256" spans="2:2" x14ac:dyDescent="0.2">
      <c r="B5256" s="3" t="s">
        <v>257</v>
      </c>
    </row>
    <row r="5257" spans="2:2" x14ac:dyDescent="0.2">
      <c r="B5257" s="3" t="s">
        <v>257</v>
      </c>
    </row>
    <row r="5258" spans="2:2" x14ac:dyDescent="0.2">
      <c r="B5258" s="3" t="s">
        <v>257</v>
      </c>
    </row>
    <row r="5259" spans="2:2" x14ac:dyDescent="0.2">
      <c r="B5259" s="3" t="s">
        <v>257</v>
      </c>
    </row>
    <row r="5260" spans="2:2" x14ac:dyDescent="0.2">
      <c r="B5260" s="3" t="s">
        <v>257</v>
      </c>
    </row>
    <row r="5261" spans="2:2" x14ac:dyDescent="0.2">
      <c r="B5261" s="3" t="s">
        <v>257</v>
      </c>
    </row>
    <row r="5262" spans="2:2" x14ac:dyDescent="0.2">
      <c r="B5262" s="3" t="s">
        <v>257</v>
      </c>
    </row>
    <row r="5263" spans="2:2" x14ac:dyDescent="0.2">
      <c r="B5263" s="3" t="s">
        <v>257</v>
      </c>
    </row>
    <row r="5264" spans="2:2" x14ac:dyDescent="0.2">
      <c r="B5264" s="3" t="s">
        <v>257</v>
      </c>
    </row>
    <row r="5265" spans="2:2" x14ac:dyDescent="0.2">
      <c r="B5265" s="3" t="s">
        <v>257</v>
      </c>
    </row>
    <row r="5266" spans="2:2" x14ac:dyDescent="0.2">
      <c r="B5266" s="3" t="s">
        <v>257</v>
      </c>
    </row>
    <row r="5267" spans="2:2" x14ac:dyDescent="0.2">
      <c r="B5267" s="3" t="s">
        <v>257</v>
      </c>
    </row>
    <row r="5268" spans="2:2" x14ac:dyDescent="0.2">
      <c r="B5268" s="3" t="s">
        <v>257</v>
      </c>
    </row>
    <row r="5269" spans="2:2" x14ac:dyDescent="0.2">
      <c r="B5269" s="3" t="s">
        <v>257</v>
      </c>
    </row>
    <row r="5270" spans="2:2" x14ac:dyDescent="0.2">
      <c r="B5270" s="3" t="s">
        <v>257</v>
      </c>
    </row>
    <row r="5271" spans="2:2" x14ac:dyDescent="0.2">
      <c r="B5271" s="3" t="s">
        <v>257</v>
      </c>
    </row>
    <row r="5272" spans="2:2" x14ac:dyDescent="0.2">
      <c r="B5272" s="3" t="s">
        <v>257</v>
      </c>
    </row>
    <row r="5273" spans="2:2" x14ac:dyDescent="0.2">
      <c r="B5273" s="3" t="s">
        <v>257</v>
      </c>
    </row>
    <row r="5274" spans="2:2" x14ac:dyDescent="0.2">
      <c r="B5274" s="3" t="s">
        <v>257</v>
      </c>
    </row>
    <row r="5275" spans="2:2" x14ac:dyDescent="0.2">
      <c r="B5275" s="3" t="s">
        <v>257</v>
      </c>
    </row>
    <row r="5276" spans="2:2" x14ac:dyDescent="0.2">
      <c r="B5276" s="3" t="s">
        <v>257</v>
      </c>
    </row>
    <row r="5277" spans="2:2" x14ac:dyDescent="0.2">
      <c r="B5277" s="3" t="s">
        <v>257</v>
      </c>
    </row>
    <row r="5278" spans="2:2" x14ac:dyDescent="0.2">
      <c r="B5278" s="3" t="s">
        <v>257</v>
      </c>
    </row>
    <row r="5279" spans="2:2" x14ac:dyDescent="0.2">
      <c r="B5279" s="3" t="s">
        <v>257</v>
      </c>
    </row>
    <row r="5280" spans="2:2" x14ac:dyDescent="0.2">
      <c r="B5280" s="3" t="s">
        <v>257</v>
      </c>
    </row>
    <row r="5281" spans="2:2" x14ac:dyDescent="0.2">
      <c r="B5281" s="3" t="s">
        <v>257</v>
      </c>
    </row>
    <row r="5282" spans="2:2" x14ac:dyDescent="0.2">
      <c r="B5282" s="3" t="s">
        <v>257</v>
      </c>
    </row>
    <row r="5283" spans="2:2" x14ac:dyDescent="0.2">
      <c r="B5283" s="3" t="s">
        <v>257</v>
      </c>
    </row>
    <row r="5284" spans="2:2" x14ac:dyDescent="0.2">
      <c r="B5284" s="3" t="s">
        <v>257</v>
      </c>
    </row>
    <row r="5285" spans="2:2" x14ac:dyDescent="0.2">
      <c r="B5285" s="3" t="s">
        <v>257</v>
      </c>
    </row>
    <row r="5286" spans="2:2" x14ac:dyDescent="0.2">
      <c r="B5286" s="3" t="s">
        <v>257</v>
      </c>
    </row>
    <row r="5287" spans="2:2" x14ac:dyDescent="0.2">
      <c r="B5287" s="3" t="s">
        <v>257</v>
      </c>
    </row>
    <row r="5288" spans="2:2" x14ac:dyDescent="0.2">
      <c r="B5288" s="3" t="s">
        <v>257</v>
      </c>
    </row>
    <row r="5289" spans="2:2" x14ac:dyDescent="0.2">
      <c r="B5289" s="3" t="s">
        <v>257</v>
      </c>
    </row>
    <row r="5290" spans="2:2" x14ac:dyDescent="0.2">
      <c r="B5290" s="3" t="s">
        <v>257</v>
      </c>
    </row>
    <row r="5291" spans="2:2" x14ac:dyDescent="0.2">
      <c r="B5291" s="3" t="s">
        <v>257</v>
      </c>
    </row>
    <row r="5292" spans="2:2" x14ac:dyDescent="0.2">
      <c r="B5292" s="3" t="s">
        <v>257</v>
      </c>
    </row>
    <row r="5293" spans="2:2" x14ac:dyDescent="0.2">
      <c r="B5293" s="3" t="s">
        <v>257</v>
      </c>
    </row>
    <row r="5294" spans="2:2" x14ac:dyDescent="0.2">
      <c r="B5294" s="3" t="s">
        <v>257</v>
      </c>
    </row>
    <row r="5295" spans="2:2" x14ac:dyDescent="0.2">
      <c r="B5295" s="3" t="s">
        <v>257</v>
      </c>
    </row>
    <row r="5296" spans="2:2" x14ac:dyDescent="0.2">
      <c r="B5296" s="3" t="s">
        <v>257</v>
      </c>
    </row>
    <row r="5297" spans="2:2" x14ac:dyDescent="0.2">
      <c r="B5297" s="3" t="s">
        <v>257</v>
      </c>
    </row>
    <row r="5298" spans="2:2" x14ac:dyDescent="0.2">
      <c r="B5298" s="3" t="s">
        <v>257</v>
      </c>
    </row>
    <row r="5299" spans="2:2" x14ac:dyDescent="0.2">
      <c r="B5299" s="3" t="s">
        <v>257</v>
      </c>
    </row>
    <row r="5300" spans="2:2" x14ac:dyDescent="0.2">
      <c r="B5300" s="3" t="s">
        <v>257</v>
      </c>
    </row>
    <row r="5301" spans="2:2" x14ac:dyDescent="0.2">
      <c r="B5301" s="3" t="s">
        <v>257</v>
      </c>
    </row>
    <row r="5302" spans="2:2" x14ac:dyDescent="0.2">
      <c r="B5302" s="3" t="s">
        <v>257</v>
      </c>
    </row>
    <row r="5303" spans="2:2" x14ac:dyDescent="0.2">
      <c r="B5303" s="3" t="s">
        <v>257</v>
      </c>
    </row>
    <row r="5304" spans="2:2" x14ac:dyDescent="0.2">
      <c r="B5304" s="3" t="s">
        <v>257</v>
      </c>
    </row>
    <row r="5305" spans="2:2" x14ac:dyDescent="0.2">
      <c r="B5305" s="3" t="s">
        <v>257</v>
      </c>
    </row>
    <row r="5306" spans="2:2" x14ac:dyDescent="0.2">
      <c r="B5306" s="3" t="s">
        <v>257</v>
      </c>
    </row>
    <row r="5307" spans="2:2" x14ac:dyDescent="0.2">
      <c r="B5307" s="3" t="s">
        <v>257</v>
      </c>
    </row>
    <row r="5308" spans="2:2" x14ac:dyDescent="0.2">
      <c r="B5308" s="3" t="s">
        <v>257</v>
      </c>
    </row>
    <row r="5309" spans="2:2" x14ac:dyDescent="0.2">
      <c r="B5309" s="3" t="s">
        <v>257</v>
      </c>
    </row>
    <row r="5310" spans="2:2" x14ac:dyDescent="0.2">
      <c r="B5310" s="3" t="s">
        <v>257</v>
      </c>
    </row>
    <row r="5311" spans="2:2" x14ac:dyDescent="0.2">
      <c r="B5311" s="3" t="s">
        <v>257</v>
      </c>
    </row>
    <row r="5312" spans="2:2" x14ac:dyDescent="0.2">
      <c r="B5312" s="3" t="s">
        <v>257</v>
      </c>
    </row>
    <row r="5313" spans="2:2" x14ac:dyDescent="0.2">
      <c r="B5313" s="3" t="s">
        <v>257</v>
      </c>
    </row>
    <row r="5314" spans="2:2" x14ac:dyDescent="0.2">
      <c r="B5314" s="3" t="s">
        <v>257</v>
      </c>
    </row>
    <row r="5315" spans="2:2" x14ac:dyDescent="0.2">
      <c r="B5315" s="3" t="s">
        <v>257</v>
      </c>
    </row>
    <row r="5316" spans="2:2" x14ac:dyDescent="0.2">
      <c r="B5316" s="3" t="s">
        <v>257</v>
      </c>
    </row>
    <row r="5317" spans="2:2" x14ac:dyDescent="0.2">
      <c r="B5317" s="3" t="s">
        <v>257</v>
      </c>
    </row>
    <row r="5318" spans="2:2" x14ac:dyDescent="0.2">
      <c r="B5318" s="3" t="s">
        <v>257</v>
      </c>
    </row>
    <row r="5319" spans="2:2" x14ac:dyDescent="0.2">
      <c r="B5319" s="3" t="s">
        <v>257</v>
      </c>
    </row>
    <row r="5320" spans="2:2" x14ac:dyDescent="0.2">
      <c r="B5320" s="3" t="s">
        <v>257</v>
      </c>
    </row>
    <row r="5321" spans="2:2" x14ac:dyDescent="0.2">
      <c r="B5321" s="3" t="s">
        <v>257</v>
      </c>
    </row>
    <row r="5322" spans="2:2" x14ac:dyDescent="0.2">
      <c r="B5322" s="3" t="s">
        <v>257</v>
      </c>
    </row>
    <row r="5323" spans="2:2" x14ac:dyDescent="0.2">
      <c r="B5323" s="3" t="s">
        <v>257</v>
      </c>
    </row>
    <row r="5324" spans="2:2" x14ac:dyDescent="0.2">
      <c r="B5324" s="3" t="s">
        <v>257</v>
      </c>
    </row>
    <row r="5325" spans="2:2" x14ac:dyDescent="0.2">
      <c r="B5325" s="3" t="s">
        <v>257</v>
      </c>
    </row>
    <row r="5326" spans="2:2" x14ac:dyDescent="0.2">
      <c r="B5326" s="3" t="s">
        <v>257</v>
      </c>
    </row>
    <row r="5327" spans="2:2" x14ac:dyDescent="0.2">
      <c r="B5327" s="3" t="s">
        <v>257</v>
      </c>
    </row>
    <row r="5328" spans="2:2" x14ac:dyDescent="0.2">
      <c r="B5328" s="3" t="s">
        <v>257</v>
      </c>
    </row>
    <row r="5329" spans="2:2" x14ac:dyDescent="0.2">
      <c r="B5329" s="3" t="s">
        <v>257</v>
      </c>
    </row>
    <row r="5330" spans="2:2" x14ac:dyDescent="0.2">
      <c r="B5330" s="3" t="s">
        <v>257</v>
      </c>
    </row>
    <row r="5331" spans="2:2" x14ac:dyDescent="0.2">
      <c r="B5331" s="3" t="s">
        <v>257</v>
      </c>
    </row>
    <row r="5332" spans="2:2" x14ac:dyDescent="0.2">
      <c r="B5332" s="3" t="s">
        <v>257</v>
      </c>
    </row>
    <row r="5333" spans="2:2" x14ac:dyDescent="0.2">
      <c r="B5333" s="3" t="s">
        <v>257</v>
      </c>
    </row>
    <row r="5334" spans="2:2" x14ac:dyDescent="0.2">
      <c r="B5334" s="3" t="s">
        <v>257</v>
      </c>
    </row>
    <row r="5335" spans="2:2" x14ac:dyDescent="0.2">
      <c r="B5335" s="3" t="s">
        <v>257</v>
      </c>
    </row>
    <row r="5336" spans="2:2" x14ac:dyDescent="0.2">
      <c r="B5336" s="3" t="s">
        <v>257</v>
      </c>
    </row>
    <row r="5337" spans="2:2" x14ac:dyDescent="0.2">
      <c r="B5337" s="3" t="s">
        <v>257</v>
      </c>
    </row>
    <row r="5338" spans="2:2" x14ac:dyDescent="0.2">
      <c r="B5338" s="3" t="s">
        <v>257</v>
      </c>
    </row>
    <row r="5339" spans="2:2" x14ac:dyDescent="0.2">
      <c r="B5339" s="3" t="s">
        <v>257</v>
      </c>
    </row>
    <row r="5340" spans="2:2" x14ac:dyDescent="0.2">
      <c r="B5340" s="3" t="s">
        <v>257</v>
      </c>
    </row>
    <row r="5341" spans="2:2" x14ac:dyDescent="0.2">
      <c r="B5341" s="3" t="s">
        <v>257</v>
      </c>
    </row>
    <row r="5342" spans="2:2" x14ac:dyDescent="0.2">
      <c r="B5342" s="3" t="s">
        <v>257</v>
      </c>
    </row>
    <row r="5343" spans="2:2" x14ac:dyDescent="0.2">
      <c r="B5343" s="3" t="s">
        <v>257</v>
      </c>
    </row>
    <row r="5344" spans="2:2" x14ac:dyDescent="0.2">
      <c r="B5344" s="3" t="s">
        <v>257</v>
      </c>
    </row>
    <row r="5345" spans="2:2" x14ac:dyDescent="0.2">
      <c r="B5345" s="3" t="s">
        <v>257</v>
      </c>
    </row>
    <row r="5346" spans="2:2" x14ac:dyDescent="0.2">
      <c r="B5346" s="3" t="s">
        <v>257</v>
      </c>
    </row>
    <row r="5347" spans="2:2" x14ac:dyDescent="0.2">
      <c r="B5347" s="3" t="s">
        <v>257</v>
      </c>
    </row>
    <row r="5348" spans="2:2" x14ac:dyDescent="0.2">
      <c r="B5348" s="3" t="s">
        <v>257</v>
      </c>
    </row>
    <row r="5349" spans="2:2" x14ac:dyDescent="0.2">
      <c r="B5349" s="3" t="s">
        <v>257</v>
      </c>
    </row>
    <row r="5350" spans="2:2" x14ac:dyDescent="0.2">
      <c r="B5350" s="3" t="s">
        <v>257</v>
      </c>
    </row>
    <row r="5351" spans="2:2" x14ac:dyDescent="0.2">
      <c r="B5351" s="3" t="s">
        <v>257</v>
      </c>
    </row>
    <row r="5352" spans="2:2" x14ac:dyDescent="0.2">
      <c r="B5352" s="3" t="s">
        <v>257</v>
      </c>
    </row>
    <row r="5353" spans="2:2" x14ac:dyDescent="0.2">
      <c r="B5353" s="3" t="s">
        <v>257</v>
      </c>
    </row>
    <row r="5354" spans="2:2" x14ac:dyDescent="0.2">
      <c r="B5354" s="3" t="s">
        <v>257</v>
      </c>
    </row>
    <row r="5355" spans="2:2" x14ac:dyDescent="0.2">
      <c r="B5355" s="3" t="s">
        <v>257</v>
      </c>
    </row>
    <row r="5356" spans="2:2" x14ac:dyDescent="0.2">
      <c r="B5356" s="3" t="s">
        <v>257</v>
      </c>
    </row>
    <row r="5357" spans="2:2" x14ac:dyDescent="0.2">
      <c r="B5357" s="3" t="s">
        <v>257</v>
      </c>
    </row>
    <row r="5358" spans="2:2" x14ac:dyDescent="0.2">
      <c r="B5358" s="3" t="s">
        <v>257</v>
      </c>
    </row>
    <row r="5359" spans="2:2" x14ac:dyDescent="0.2">
      <c r="B5359" s="3" t="s">
        <v>257</v>
      </c>
    </row>
    <row r="5360" spans="2:2" x14ac:dyDescent="0.2">
      <c r="B5360" s="3" t="s">
        <v>257</v>
      </c>
    </row>
    <row r="5361" spans="2:2" x14ac:dyDescent="0.2">
      <c r="B5361" s="3" t="s">
        <v>257</v>
      </c>
    </row>
    <row r="5362" spans="2:2" x14ac:dyDescent="0.2">
      <c r="B5362" s="3" t="s">
        <v>257</v>
      </c>
    </row>
    <row r="5363" spans="2:2" x14ac:dyDescent="0.2">
      <c r="B5363" s="3" t="s">
        <v>257</v>
      </c>
    </row>
    <row r="5364" spans="2:2" x14ac:dyDescent="0.2">
      <c r="B5364" s="3" t="s">
        <v>257</v>
      </c>
    </row>
    <row r="5365" spans="2:2" x14ac:dyDescent="0.2">
      <c r="B5365" s="3" t="s">
        <v>257</v>
      </c>
    </row>
    <row r="5366" spans="2:2" x14ac:dyDescent="0.2">
      <c r="B5366" s="3" t="s">
        <v>257</v>
      </c>
    </row>
    <row r="5367" spans="2:2" x14ac:dyDescent="0.2">
      <c r="B5367" s="3" t="s">
        <v>257</v>
      </c>
    </row>
    <row r="5368" spans="2:2" x14ac:dyDescent="0.2">
      <c r="B5368" s="3" t="s">
        <v>257</v>
      </c>
    </row>
    <row r="5369" spans="2:2" x14ac:dyDescent="0.2">
      <c r="B5369" s="3" t="s">
        <v>257</v>
      </c>
    </row>
    <row r="5370" spans="2:2" x14ac:dyDescent="0.2">
      <c r="B5370" s="3" t="s">
        <v>257</v>
      </c>
    </row>
    <row r="5371" spans="2:2" x14ac:dyDescent="0.2">
      <c r="B5371" s="3" t="s">
        <v>257</v>
      </c>
    </row>
    <row r="5372" spans="2:2" x14ac:dyDescent="0.2">
      <c r="B5372" s="3" t="s">
        <v>257</v>
      </c>
    </row>
    <row r="5373" spans="2:2" x14ac:dyDescent="0.2">
      <c r="B5373" s="3" t="s">
        <v>257</v>
      </c>
    </row>
    <row r="5374" spans="2:2" x14ac:dyDescent="0.2">
      <c r="B5374" s="3" t="s">
        <v>257</v>
      </c>
    </row>
    <row r="5375" spans="2:2" x14ac:dyDescent="0.2">
      <c r="B5375" s="3" t="s">
        <v>257</v>
      </c>
    </row>
    <row r="5376" spans="2:2" x14ac:dyDescent="0.2">
      <c r="B5376" s="3" t="s">
        <v>257</v>
      </c>
    </row>
    <row r="5377" spans="2:2" x14ac:dyDescent="0.2">
      <c r="B5377" s="3" t="s">
        <v>257</v>
      </c>
    </row>
    <row r="5378" spans="2:2" x14ac:dyDescent="0.2">
      <c r="B5378" s="3" t="s">
        <v>257</v>
      </c>
    </row>
    <row r="5379" spans="2:2" x14ac:dyDescent="0.2">
      <c r="B5379" s="3" t="s">
        <v>257</v>
      </c>
    </row>
    <row r="5380" spans="2:2" x14ac:dyDescent="0.2">
      <c r="B5380" s="3" t="s">
        <v>257</v>
      </c>
    </row>
    <row r="5381" spans="2:2" x14ac:dyDescent="0.2">
      <c r="B5381" s="3" t="s">
        <v>257</v>
      </c>
    </row>
    <row r="5382" spans="2:2" x14ac:dyDescent="0.2">
      <c r="B5382" s="3" t="s">
        <v>257</v>
      </c>
    </row>
    <row r="5383" spans="2:2" x14ac:dyDescent="0.2">
      <c r="B5383" s="3" t="s">
        <v>257</v>
      </c>
    </row>
    <row r="5384" spans="2:2" x14ac:dyDescent="0.2">
      <c r="B5384" s="3" t="s">
        <v>257</v>
      </c>
    </row>
    <row r="5385" spans="2:2" x14ac:dyDescent="0.2">
      <c r="B5385" s="3" t="s">
        <v>257</v>
      </c>
    </row>
    <row r="5386" spans="2:2" x14ac:dyDescent="0.2">
      <c r="B5386" s="3" t="s">
        <v>257</v>
      </c>
    </row>
    <row r="5387" spans="2:2" x14ac:dyDescent="0.2">
      <c r="B5387" s="3" t="s">
        <v>257</v>
      </c>
    </row>
    <row r="5388" spans="2:2" x14ac:dyDescent="0.2">
      <c r="B5388" s="3" t="s">
        <v>257</v>
      </c>
    </row>
    <row r="5389" spans="2:2" x14ac:dyDescent="0.2">
      <c r="B5389" s="3" t="s">
        <v>257</v>
      </c>
    </row>
    <row r="5390" spans="2:2" x14ac:dyDescent="0.2">
      <c r="B5390" s="3" t="s">
        <v>257</v>
      </c>
    </row>
    <row r="5391" spans="2:2" x14ac:dyDescent="0.2">
      <c r="B5391" s="3" t="s">
        <v>257</v>
      </c>
    </row>
    <row r="5392" spans="2:2" x14ac:dyDescent="0.2">
      <c r="B5392" s="3" t="s">
        <v>257</v>
      </c>
    </row>
    <row r="5393" spans="2:2" x14ac:dyDescent="0.2">
      <c r="B5393" s="3" t="s">
        <v>257</v>
      </c>
    </row>
    <row r="5394" spans="2:2" x14ac:dyDescent="0.2">
      <c r="B5394" s="3" t="s">
        <v>257</v>
      </c>
    </row>
    <row r="5395" spans="2:2" x14ac:dyDescent="0.2">
      <c r="B5395" s="3" t="s">
        <v>257</v>
      </c>
    </row>
    <row r="5396" spans="2:2" x14ac:dyDescent="0.2">
      <c r="B5396" s="3" t="s">
        <v>257</v>
      </c>
    </row>
    <row r="5397" spans="2:2" x14ac:dyDescent="0.2">
      <c r="B5397" s="3" t="s">
        <v>257</v>
      </c>
    </row>
    <row r="5398" spans="2:2" x14ac:dyDescent="0.2">
      <c r="B5398" s="3" t="s">
        <v>257</v>
      </c>
    </row>
    <row r="5399" spans="2:2" x14ac:dyDescent="0.2">
      <c r="B5399" s="3" t="s">
        <v>257</v>
      </c>
    </row>
    <row r="5400" spans="2:2" x14ac:dyDescent="0.2">
      <c r="B5400" s="3" t="s">
        <v>257</v>
      </c>
    </row>
    <row r="5401" spans="2:2" x14ac:dyDescent="0.2">
      <c r="B5401" s="3" t="s">
        <v>257</v>
      </c>
    </row>
    <row r="5402" spans="2:2" x14ac:dyDescent="0.2">
      <c r="B5402" s="3" t="s">
        <v>257</v>
      </c>
    </row>
    <row r="5403" spans="2:2" x14ac:dyDescent="0.2">
      <c r="B5403" s="3" t="s">
        <v>257</v>
      </c>
    </row>
    <row r="5404" spans="2:2" x14ac:dyDescent="0.2">
      <c r="B5404" s="3" t="s">
        <v>257</v>
      </c>
    </row>
    <row r="5405" spans="2:2" x14ac:dyDescent="0.2">
      <c r="B5405" s="3" t="s">
        <v>257</v>
      </c>
    </row>
    <row r="5406" spans="2:2" x14ac:dyDescent="0.2">
      <c r="B5406" s="3" t="s">
        <v>257</v>
      </c>
    </row>
    <row r="5407" spans="2:2" x14ac:dyDescent="0.2">
      <c r="B5407" s="3" t="s">
        <v>257</v>
      </c>
    </row>
    <row r="5408" spans="2:2" x14ac:dyDescent="0.2">
      <c r="B5408" s="3" t="s">
        <v>257</v>
      </c>
    </row>
    <row r="5409" spans="2:2" x14ac:dyDescent="0.2">
      <c r="B5409" s="3" t="s">
        <v>257</v>
      </c>
    </row>
    <row r="5410" spans="2:2" x14ac:dyDescent="0.2">
      <c r="B5410" s="3" t="s">
        <v>257</v>
      </c>
    </row>
    <row r="5411" spans="2:2" x14ac:dyDescent="0.2">
      <c r="B5411" s="3" t="s">
        <v>257</v>
      </c>
    </row>
    <row r="5412" spans="2:2" x14ac:dyDescent="0.2">
      <c r="B5412" s="3" t="s">
        <v>257</v>
      </c>
    </row>
    <row r="5413" spans="2:2" x14ac:dyDescent="0.2">
      <c r="B5413" s="3" t="s">
        <v>257</v>
      </c>
    </row>
    <row r="5414" spans="2:2" x14ac:dyDescent="0.2">
      <c r="B5414" s="3" t="s">
        <v>257</v>
      </c>
    </row>
    <row r="5415" spans="2:2" x14ac:dyDescent="0.2">
      <c r="B5415" s="3" t="s">
        <v>257</v>
      </c>
    </row>
    <row r="5416" spans="2:2" x14ac:dyDescent="0.2">
      <c r="B5416" s="3" t="s">
        <v>257</v>
      </c>
    </row>
    <row r="5417" spans="2:2" x14ac:dyDescent="0.2">
      <c r="B5417" s="3" t="s">
        <v>257</v>
      </c>
    </row>
    <row r="5418" spans="2:2" x14ac:dyDescent="0.2">
      <c r="B5418" s="3" t="s">
        <v>257</v>
      </c>
    </row>
    <row r="5419" spans="2:2" x14ac:dyDescent="0.2">
      <c r="B5419" s="3" t="s">
        <v>257</v>
      </c>
    </row>
    <row r="5420" spans="2:2" x14ac:dyDescent="0.2">
      <c r="B5420" s="3" t="s">
        <v>257</v>
      </c>
    </row>
    <row r="5421" spans="2:2" x14ac:dyDescent="0.2">
      <c r="B5421" s="3" t="s">
        <v>257</v>
      </c>
    </row>
    <row r="5422" spans="2:2" x14ac:dyDescent="0.2">
      <c r="B5422" s="3" t="s">
        <v>257</v>
      </c>
    </row>
    <row r="5423" spans="2:2" x14ac:dyDescent="0.2">
      <c r="B5423" s="3" t="s">
        <v>257</v>
      </c>
    </row>
    <row r="5424" spans="2:2" x14ac:dyDescent="0.2">
      <c r="B5424" s="3" t="s">
        <v>257</v>
      </c>
    </row>
    <row r="5425" spans="2:2" x14ac:dyDescent="0.2">
      <c r="B5425" s="3" t="s">
        <v>257</v>
      </c>
    </row>
    <row r="5426" spans="2:2" x14ac:dyDescent="0.2">
      <c r="B5426" s="3" t="s">
        <v>257</v>
      </c>
    </row>
    <row r="5427" spans="2:2" x14ac:dyDescent="0.2">
      <c r="B5427" s="3" t="s">
        <v>257</v>
      </c>
    </row>
    <row r="5428" spans="2:2" x14ac:dyDescent="0.2">
      <c r="B5428" s="3" t="s">
        <v>257</v>
      </c>
    </row>
    <row r="5429" spans="2:2" x14ac:dyDescent="0.2">
      <c r="B5429" s="3" t="s">
        <v>257</v>
      </c>
    </row>
    <row r="5430" spans="2:2" x14ac:dyDescent="0.2">
      <c r="B5430" s="3" t="s">
        <v>257</v>
      </c>
    </row>
    <row r="5431" spans="2:2" x14ac:dyDescent="0.2">
      <c r="B5431" s="3" t="s">
        <v>257</v>
      </c>
    </row>
    <row r="5432" spans="2:2" x14ac:dyDescent="0.2">
      <c r="B5432" s="3" t="s">
        <v>257</v>
      </c>
    </row>
    <row r="5433" spans="2:2" x14ac:dyDescent="0.2">
      <c r="B5433" s="3" t="s">
        <v>257</v>
      </c>
    </row>
    <row r="5434" spans="2:2" x14ac:dyDescent="0.2">
      <c r="B5434" s="3" t="s">
        <v>257</v>
      </c>
    </row>
    <row r="5435" spans="2:2" x14ac:dyDescent="0.2">
      <c r="B5435" s="3" t="s">
        <v>257</v>
      </c>
    </row>
    <row r="5436" spans="2:2" x14ac:dyDescent="0.2">
      <c r="B5436" s="3" t="s">
        <v>257</v>
      </c>
    </row>
    <row r="5437" spans="2:2" x14ac:dyDescent="0.2">
      <c r="B5437" s="3" t="s">
        <v>257</v>
      </c>
    </row>
    <row r="5438" spans="2:2" x14ac:dyDescent="0.2">
      <c r="B5438" s="3" t="s">
        <v>257</v>
      </c>
    </row>
    <row r="5439" spans="2:2" x14ac:dyDescent="0.2">
      <c r="B5439" s="3" t="s">
        <v>257</v>
      </c>
    </row>
    <row r="5440" spans="2:2" x14ac:dyDescent="0.2">
      <c r="B5440" s="3" t="s">
        <v>257</v>
      </c>
    </row>
    <row r="5441" spans="2:2" x14ac:dyDescent="0.2">
      <c r="B5441" s="3" t="s">
        <v>257</v>
      </c>
    </row>
    <row r="5442" spans="2:2" x14ac:dyDescent="0.2">
      <c r="B5442" s="3" t="s">
        <v>257</v>
      </c>
    </row>
    <row r="5443" spans="2:2" x14ac:dyDescent="0.2">
      <c r="B5443" s="3" t="s">
        <v>257</v>
      </c>
    </row>
    <row r="5444" spans="2:2" x14ac:dyDescent="0.2">
      <c r="B5444" s="3" t="s">
        <v>257</v>
      </c>
    </row>
    <row r="5445" spans="2:2" x14ac:dyDescent="0.2">
      <c r="B5445" s="3" t="s">
        <v>257</v>
      </c>
    </row>
    <row r="5446" spans="2:2" x14ac:dyDescent="0.2">
      <c r="B5446" s="3" t="s">
        <v>257</v>
      </c>
    </row>
    <row r="5447" spans="2:2" x14ac:dyDescent="0.2">
      <c r="B5447" s="3" t="s">
        <v>257</v>
      </c>
    </row>
    <row r="5448" spans="2:2" x14ac:dyDescent="0.2">
      <c r="B5448" s="3" t="s">
        <v>257</v>
      </c>
    </row>
    <row r="5449" spans="2:2" x14ac:dyDescent="0.2">
      <c r="B5449" s="3" t="s">
        <v>257</v>
      </c>
    </row>
    <row r="5450" spans="2:2" x14ac:dyDescent="0.2">
      <c r="B5450" s="3" t="s">
        <v>257</v>
      </c>
    </row>
    <row r="5451" spans="2:2" x14ac:dyDescent="0.2">
      <c r="B5451" s="3" t="s">
        <v>257</v>
      </c>
    </row>
    <row r="5452" spans="2:2" x14ac:dyDescent="0.2">
      <c r="B5452" s="3" t="s">
        <v>257</v>
      </c>
    </row>
    <row r="5453" spans="2:2" x14ac:dyDescent="0.2">
      <c r="B5453" s="3" t="s">
        <v>257</v>
      </c>
    </row>
    <row r="5454" spans="2:2" x14ac:dyDescent="0.2">
      <c r="B5454" s="3" t="s">
        <v>257</v>
      </c>
    </row>
    <row r="5455" spans="2:2" x14ac:dyDescent="0.2">
      <c r="B5455" s="3" t="s">
        <v>257</v>
      </c>
    </row>
    <row r="5456" spans="2:2" x14ac:dyDescent="0.2">
      <c r="B5456" s="3" t="s">
        <v>257</v>
      </c>
    </row>
    <row r="5457" spans="2:2" x14ac:dyDescent="0.2">
      <c r="B5457" s="3" t="s">
        <v>257</v>
      </c>
    </row>
    <row r="5458" spans="2:2" x14ac:dyDescent="0.2">
      <c r="B5458" s="3" t="s">
        <v>257</v>
      </c>
    </row>
    <row r="5459" spans="2:2" x14ac:dyDescent="0.2">
      <c r="B5459" s="3" t="s">
        <v>257</v>
      </c>
    </row>
    <row r="5460" spans="2:2" x14ac:dyDescent="0.2">
      <c r="B5460" s="3" t="s">
        <v>257</v>
      </c>
    </row>
    <row r="5461" spans="2:2" x14ac:dyDescent="0.2">
      <c r="B5461" s="3" t="s">
        <v>257</v>
      </c>
    </row>
    <row r="5462" spans="2:2" x14ac:dyDescent="0.2">
      <c r="B5462" s="3" t="s">
        <v>257</v>
      </c>
    </row>
    <row r="5463" spans="2:2" x14ac:dyDescent="0.2">
      <c r="B5463" s="3" t="s">
        <v>257</v>
      </c>
    </row>
    <row r="5464" spans="2:2" x14ac:dyDescent="0.2">
      <c r="B5464" s="3" t="s">
        <v>257</v>
      </c>
    </row>
    <row r="5465" spans="2:2" x14ac:dyDescent="0.2">
      <c r="B5465" s="3" t="s">
        <v>257</v>
      </c>
    </row>
    <row r="5466" spans="2:2" x14ac:dyDescent="0.2">
      <c r="B5466" s="3" t="s">
        <v>257</v>
      </c>
    </row>
    <row r="5467" spans="2:2" x14ac:dyDescent="0.2">
      <c r="B5467" s="3" t="s">
        <v>257</v>
      </c>
    </row>
    <row r="5468" spans="2:2" x14ac:dyDescent="0.2">
      <c r="B5468" s="3" t="s">
        <v>257</v>
      </c>
    </row>
    <row r="5469" spans="2:2" x14ac:dyDescent="0.2">
      <c r="B5469" s="3" t="s">
        <v>257</v>
      </c>
    </row>
    <row r="5470" spans="2:2" x14ac:dyDescent="0.2">
      <c r="B5470" s="3" t="s">
        <v>257</v>
      </c>
    </row>
    <row r="5471" spans="2:2" x14ac:dyDescent="0.2">
      <c r="B5471" s="3" t="s">
        <v>257</v>
      </c>
    </row>
    <row r="5472" spans="2:2" x14ac:dyDescent="0.2">
      <c r="B5472" s="3" t="s">
        <v>257</v>
      </c>
    </row>
    <row r="5473" spans="2:2" x14ac:dyDescent="0.2">
      <c r="B5473" s="3" t="s">
        <v>257</v>
      </c>
    </row>
    <row r="5474" spans="2:2" x14ac:dyDescent="0.2">
      <c r="B5474" s="3" t="s">
        <v>257</v>
      </c>
    </row>
    <row r="5475" spans="2:2" x14ac:dyDescent="0.2">
      <c r="B5475" s="3" t="s">
        <v>257</v>
      </c>
    </row>
    <row r="5476" spans="2:2" x14ac:dyDescent="0.2">
      <c r="B5476" s="3" t="s">
        <v>257</v>
      </c>
    </row>
    <row r="5477" spans="2:2" x14ac:dyDescent="0.2">
      <c r="B5477" s="3" t="s">
        <v>257</v>
      </c>
    </row>
    <row r="5478" spans="2:2" x14ac:dyDescent="0.2">
      <c r="B5478" s="3" t="s">
        <v>257</v>
      </c>
    </row>
    <row r="5479" spans="2:2" x14ac:dyDescent="0.2">
      <c r="B5479" s="3" t="s">
        <v>257</v>
      </c>
    </row>
    <row r="5480" spans="2:2" x14ac:dyDescent="0.2">
      <c r="B5480" s="3" t="s">
        <v>257</v>
      </c>
    </row>
    <row r="5481" spans="2:2" x14ac:dyDescent="0.2">
      <c r="B5481" s="3" t="s">
        <v>257</v>
      </c>
    </row>
    <row r="5482" spans="2:2" x14ac:dyDescent="0.2">
      <c r="B5482" s="3" t="s">
        <v>257</v>
      </c>
    </row>
    <row r="5483" spans="2:2" x14ac:dyDescent="0.2">
      <c r="B5483" s="3" t="s">
        <v>257</v>
      </c>
    </row>
    <row r="5484" spans="2:2" x14ac:dyDescent="0.2">
      <c r="B5484" s="3" t="s">
        <v>257</v>
      </c>
    </row>
    <row r="5485" spans="2:2" x14ac:dyDescent="0.2">
      <c r="B5485" s="3" t="s">
        <v>257</v>
      </c>
    </row>
    <row r="5486" spans="2:2" x14ac:dyDescent="0.2">
      <c r="B5486" s="3" t="s">
        <v>257</v>
      </c>
    </row>
    <row r="5487" spans="2:2" x14ac:dyDescent="0.2">
      <c r="B5487" s="3" t="s">
        <v>257</v>
      </c>
    </row>
    <row r="5488" spans="2:2" x14ac:dyDescent="0.2">
      <c r="B5488" s="3" t="s">
        <v>257</v>
      </c>
    </row>
    <row r="5489" spans="2:2" x14ac:dyDescent="0.2">
      <c r="B5489" s="3" t="s">
        <v>257</v>
      </c>
    </row>
    <row r="5490" spans="2:2" x14ac:dyDescent="0.2">
      <c r="B5490" s="3" t="s">
        <v>257</v>
      </c>
    </row>
    <row r="5491" spans="2:2" x14ac:dyDescent="0.2">
      <c r="B5491" s="3" t="s">
        <v>257</v>
      </c>
    </row>
    <row r="5492" spans="2:2" x14ac:dyDescent="0.2">
      <c r="B5492" s="3" t="s">
        <v>257</v>
      </c>
    </row>
    <row r="5493" spans="2:2" x14ac:dyDescent="0.2">
      <c r="B5493" s="3" t="s">
        <v>257</v>
      </c>
    </row>
    <row r="5494" spans="2:2" x14ac:dyDescent="0.2">
      <c r="B5494" s="3" t="s">
        <v>257</v>
      </c>
    </row>
    <row r="5495" spans="2:2" x14ac:dyDescent="0.2">
      <c r="B5495" s="3" t="s">
        <v>257</v>
      </c>
    </row>
    <row r="5496" spans="2:2" x14ac:dyDescent="0.2">
      <c r="B5496" s="3" t="s">
        <v>257</v>
      </c>
    </row>
    <row r="5497" spans="2:2" x14ac:dyDescent="0.2">
      <c r="B5497" s="3" t="s">
        <v>257</v>
      </c>
    </row>
    <row r="5498" spans="2:2" x14ac:dyDescent="0.2">
      <c r="B5498" s="3" t="s">
        <v>257</v>
      </c>
    </row>
    <row r="5499" spans="2:2" x14ac:dyDescent="0.2">
      <c r="B5499" s="3" t="s">
        <v>257</v>
      </c>
    </row>
    <row r="5500" spans="2:2" x14ac:dyDescent="0.2">
      <c r="B5500" s="3" t="s">
        <v>257</v>
      </c>
    </row>
    <row r="5501" spans="2:2" x14ac:dyDescent="0.2">
      <c r="B5501" s="3" t="s">
        <v>257</v>
      </c>
    </row>
    <row r="5502" spans="2:2" x14ac:dyDescent="0.2">
      <c r="B5502" s="3" t="s">
        <v>257</v>
      </c>
    </row>
    <row r="5503" spans="2:2" x14ac:dyDescent="0.2">
      <c r="B5503" s="3" t="s">
        <v>257</v>
      </c>
    </row>
    <row r="5504" spans="2:2" x14ac:dyDescent="0.2">
      <c r="B5504" s="3" t="s">
        <v>257</v>
      </c>
    </row>
    <row r="5505" spans="2:2" x14ac:dyDescent="0.2">
      <c r="B5505" s="3" t="s">
        <v>257</v>
      </c>
    </row>
    <row r="5506" spans="2:2" x14ac:dyDescent="0.2">
      <c r="B5506" s="3" t="s">
        <v>257</v>
      </c>
    </row>
    <row r="5507" spans="2:2" x14ac:dyDescent="0.2">
      <c r="B5507" s="3" t="s">
        <v>257</v>
      </c>
    </row>
    <row r="5508" spans="2:2" x14ac:dyDescent="0.2">
      <c r="B5508" s="3" t="s">
        <v>257</v>
      </c>
    </row>
    <row r="5509" spans="2:2" x14ac:dyDescent="0.2">
      <c r="B5509" s="3" t="s">
        <v>257</v>
      </c>
    </row>
    <row r="5510" spans="2:2" x14ac:dyDescent="0.2">
      <c r="B5510" s="3" t="s">
        <v>257</v>
      </c>
    </row>
    <row r="5511" spans="2:2" x14ac:dyDescent="0.2">
      <c r="B5511" s="3" t="s">
        <v>257</v>
      </c>
    </row>
    <row r="5512" spans="2:2" x14ac:dyDescent="0.2">
      <c r="B5512" s="3" t="s">
        <v>257</v>
      </c>
    </row>
    <row r="5513" spans="2:2" x14ac:dyDescent="0.2">
      <c r="B5513" s="3" t="s">
        <v>257</v>
      </c>
    </row>
    <row r="5514" spans="2:2" x14ac:dyDescent="0.2">
      <c r="B5514" s="3" t="s">
        <v>257</v>
      </c>
    </row>
    <row r="5515" spans="2:2" x14ac:dyDescent="0.2">
      <c r="B5515" s="3" t="s">
        <v>257</v>
      </c>
    </row>
    <row r="5516" spans="2:2" x14ac:dyDescent="0.2">
      <c r="B5516" s="3" t="s">
        <v>257</v>
      </c>
    </row>
    <row r="5517" spans="2:2" x14ac:dyDescent="0.2">
      <c r="B5517" s="3" t="s">
        <v>257</v>
      </c>
    </row>
    <row r="5518" spans="2:2" x14ac:dyDescent="0.2">
      <c r="B5518" s="3" t="s">
        <v>257</v>
      </c>
    </row>
    <row r="5519" spans="2:2" x14ac:dyDescent="0.2">
      <c r="B5519" s="3" t="s">
        <v>257</v>
      </c>
    </row>
    <row r="5520" spans="2:2" x14ac:dyDescent="0.2">
      <c r="B5520" s="3" t="s">
        <v>257</v>
      </c>
    </row>
    <row r="5521" spans="2:2" x14ac:dyDescent="0.2">
      <c r="B5521" s="3" t="s">
        <v>257</v>
      </c>
    </row>
    <row r="5522" spans="2:2" x14ac:dyDescent="0.2">
      <c r="B5522" s="3" t="s">
        <v>257</v>
      </c>
    </row>
    <row r="5523" spans="2:2" x14ac:dyDescent="0.2">
      <c r="B5523" s="3" t="s">
        <v>257</v>
      </c>
    </row>
    <row r="5524" spans="2:2" x14ac:dyDescent="0.2">
      <c r="B5524" s="3" t="s">
        <v>257</v>
      </c>
    </row>
    <row r="5525" spans="2:2" x14ac:dyDescent="0.2">
      <c r="B5525" s="3" t="s">
        <v>257</v>
      </c>
    </row>
    <row r="5526" spans="2:2" x14ac:dyDescent="0.2">
      <c r="B5526" s="3" t="s">
        <v>257</v>
      </c>
    </row>
    <row r="5527" spans="2:2" x14ac:dyDescent="0.2">
      <c r="B5527" s="3" t="s">
        <v>257</v>
      </c>
    </row>
    <row r="5528" spans="2:2" x14ac:dyDescent="0.2">
      <c r="B5528" s="3" t="s">
        <v>257</v>
      </c>
    </row>
    <row r="5529" spans="2:2" x14ac:dyDescent="0.2">
      <c r="B5529" s="3" t="s">
        <v>257</v>
      </c>
    </row>
    <row r="5530" spans="2:2" x14ac:dyDescent="0.2">
      <c r="B5530" s="3" t="s">
        <v>257</v>
      </c>
    </row>
    <row r="5531" spans="2:2" x14ac:dyDescent="0.2">
      <c r="B5531" s="3" t="s">
        <v>257</v>
      </c>
    </row>
    <row r="5532" spans="2:2" x14ac:dyDescent="0.2">
      <c r="B5532" s="3" t="s">
        <v>257</v>
      </c>
    </row>
    <row r="5533" spans="2:2" x14ac:dyDescent="0.2">
      <c r="B5533" s="3" t="s">
        <v>257</v>
      </c>
    </row>
    <row r="5534" spans="2:2" x14ac:dyDescent="0.2">
      <c r="B5534" s="3" t="s">
        <v>257</v>
      </c>
    </row>
    <row r="5535" spans="2:2" x14ac:dyDescent="0.2">
      <c r="B5535" s="3" t="s">
        <v>257</v>
      </c>
    </row>
    <row r="5536" spans="2:2" x14ac:dyDescent="0.2">
      <c r="B5536" s="3" t="s">
        <v>257</v>
      </c>
    </row>
    <row r="5537" spans="2:2" x14ac:dyDescent="0.2">
      <c r="B5537" s="3" t="s">
        <v>257</v>
      </c>
    </row>
    <row r="5538" spans="2:2" x14ac:dyDescent="0.2">
      <c r="B5538" s="3" t="s">
        <v>257</v>
      </c>
    </row>
    <row r="5539" spans="2:2" x14ac:dyDescent="0.2">
      <c r="B5539" s="3" t="s">
        <v>257</v>
      </c>
    </row>
    <row r="5540" spans="2:2" x14ac:dyDescent="0.2">
      <c r="B5540" s="3" t="s">
        <v>257</v>
      </c>
    </row>
    <row r="5541" spans="2:2" x14ac:dyDescent="0.2">
      <c r="B5541" s="3" t="s">
        <v>257</v>
      </c>
    </row>
    <row r="5542" spans="2:2" x14ac:dyDescent="0.2">
      <c r="B5542" s="3" t="s">
        <v>257</v>
      </c>
    </row>
    <row r="5543" spans="2:2" x14ac:dyDescent="0.2">
      <c r="B5543" s="3" t="s">
        <v>257</v>
      </c>
    </row>
    <row r="5544" spans="2:2" x14ac:dyDescent="0.2">
      <c r="B5544" s="3" t="s">
        <v>257</v>
      </c>
    </row>
    <row r="5545" spans="2:2" x14ac:dyDescent="0.2">
      <c r="B5545" s="3" t="s">
        <v>257</v>
      </c>
    </row>
    <row r="5546" spans="2:2" x14ac:dyDescent="0.2">
      <c r="B5546" s="3" t="s">
        <v>257</v>
      </c>
    </row>
    <row r="5547" spans="2:2" x14ac:dyDescent="0.2">
      <c r="B5547" s="3" t="s">
        <v>257</v>
      </c>
    </row>
    <row r="5548" spans="2:2" x14ac:dyDescent="0.2">
      <c r="B5548" s="3" t="s">
        <v>257</v>
      </c>
    </row>
    <row r="5549" spans="2:2" x14ac:dyDescent="0.2">
      <c r="B5549" s="3" t="s">
        <v>257</v>
      </c>
    </row>
    <row r="5550" spans="2:2" x14ac:dyDescent="0.2">
      <c r="B5550" s="3" t="s">
        <v>257</v>
      </c>
    </row>
    <row r="5551" spans="2:2" x14ac:dyDescent="0.2">
      <c r="B5551" s="3" t="s">
        <v>257</v>
      </c>
    </row>
    <row r="5552" spans="2:2" x14ac:dyDescent="0.2">
      <c r="B5552" s="3" t="s">
        <v>257</v>
      </c>
    </row>
    <row r="5553" spans="2:2" x14ac:dyDescent="0.2">
      <c r="B5553" s="3" t="s">
        <v>257</v>
      </c>
    </row>
    <row r="5554" spans="2:2" x14ac:dyDescent="0.2">
      <c r="B5554" s="3" t="s">
        <v>257</v>
      </c>
    </row>
    <row r="5555" spans="2:2" x14ac:dyDescent="0.2">
      <c r="B5555" s="3" t="s">
        <v>257</v>
      </c>
    </row>
    <row r="5556" spans="2:2" x14ac:dyDescent="0.2">
      <c r="B5556" s="3" t="s">
        <v>257</v>
      </c>
    </row>
    <row r="5557" spans="2:2" x14ac:dyDescent="0.2">
      <c r="B5557" s="3" t="s">
        <v>257</v>
      </c>
    </row>
    <row r="5558" spans="2:2" x14ac:dyDescent="0.2">
      <c r="B5558" s="3" t="s">
        <v>257</v>
      </c>
    </row>
    <row r="5559" spans="2:2" x14ac:dyDescent="0.2">
      <c r="B5559" s="3" t="s">
        <v>257</v>
      </c>
    </row>
    <row r="5560" spans="2:2" x14ac:dyDescent="0.2">
      <c r="B5560" s="3" t="s">
        <v>257</v>
      </c>
    </row>
    <row r="5561" spans="2:2" x14ac:dyDescent="0.2">
      <c r="B5561" s="3" t="s">
        <v>257</v>
      </c>
    </row>
    <row r="5562" spans="2:2" x14ac:dyDescent="0.2">
      <c r="B5562" s="3" t="s">
        <v>257</v>
      </c>
    </row>
    <row r="5563" spans="2:2" x14ac:dyDescent="0.2">
      <c r="B5563" s="3" t="s">
        <v>257</v>
      </c>
    </row>
    <row r="5564" spans="2:2" x14ac:dyDescent="0.2">
      <c r="B5564" s="3" t="s">
        <v>257</v>
      </c>
    </row>
    <row r="5565" spans="2:2" x14ac:dyDescent="0.2">
      <c r="B5565" s="3" t="s">
        <v>257</v>
      </c>
    </row>
    <row r="5566" spans="2:2" x14ac:dyDescent="0.2">
      <c r="B5566" s="3" t="s">
        <v>257</v>
      </c>
    </row>
    <row r="5567" spans="2:2" x14ac:dyDescent="0.2">
      <c r="B5567" s="3" t="s">
        <v>257</v>
      </c>
    </row>
    <row r="5568" spans="2:2" x14ac:dyDescent="0.2">
      <c r="B5568" s="3" t="s">
        <v>257</v>
      </c>
    </row>
    <row r="5569" spans="2:2" x14ac:dyDescent="0.2">
      <c r="B5569" s="3" t="s">
        <v>257</v>
      </c>
    </row>
    <row r="5570" spans="2:2" x14ac:dyDescent="0.2">
      <c r="B5570" s="3" t="s">
        <v>257</v>
      </c>
    </row>
    <row r="5571" spans="2:2" x14ac:dyDescent="0.2">
      <c r="B5571" s="3" t="s">
        <v>257</v>
      </c>
    </row>
    <row r="5572" spans="2:2" x14ac:dyDescent="0.2">
      <c r="B5572" s="3" t="s">
        <v>257</v>
      </c>
    </row>
    <row r="5573" spans="2:2" x14ac:dyDescent="0.2">
      <c r="B5573" s="3" t="s">
        <v>257</v>
      </c>
    </row>
    <row r="5574" spans="2:2" x14ac:dyDescent="0.2">
      <c r="B5574" s="3" t="s">
        <v>257</v>
      </c>
    </row>
    <row r="5575" spans="2:2" x14ac:dyDescent="0.2">
      <c r="B5575" s="3" t="s">
        <v>257</v>
      </c>
    </row>
    <row r="5576" spans="2:2" x14ac:dyDescent="0.2">
      <c r="B5576" s="3" t="s">
        <v>257</v>
      </c>
    </row>
    <row r="5577" spans="2:2" x14ac:dyDescent="0.2">
      <c r="B5577" s="3" t="s">
        <v>257</v>
      </c>
    </row>
    <row r="5578" spans="2:2" x14ac:dyDescent="0.2">
      <c r="B5578" s="3" t="s">
        <v>257</v>
      </c>
    </row>
    <row r="5579" spans="2:2" x14ac:dyDescent="0.2">
      <c r="B5579" s="3" t="s">
        <v>257</v>
      </c>
    </row>
    <row r="5580" spans="2:2" x14ac:dyDescent="0.2">
      <c r="B5580" s="3" t="s">
        <v>257</v>
      </c>
    </row>
    <row r="5581" spans="2:2" x14ac:dyDescent="0.2">
      <c r="B5581" s="3" t="s">
        <v>257</v>
      </c>
    </row>
    <row r="5582" spans="2:2" x14ac:dyDescent="0.2">
      <c r="B5582" s="3" t="s">
        <v>257</v>
      </c>
    </row>
    <row r="5583" spans="2:2" x14ac:dyDescent="0.2">
      <c r="B5583" s="3" t="s">
        <v>257</v>
      </c>
    </row>
    <row r="5584" spans="2:2" x14ac:dyDescent="0.2">
      <c r="B5584" s="3" t="s">
        <v>257</v>
      </c>
    </row>
    <row r="5585" spans="2:2" x14ac:dyDescent="0.2">
      <c r="B5585" s="3" t="s">
        <v>257</v>
      </c>
    </row>
    <row r="5586" spans="2:2" x14ac:dyDescent="0.2">
      <c r="B5586" s="3" t="s">
        <v>257</v>
      </c>
    </row>
    <row r="5587" spans="2:2" x14ac:dyDescent="0.2">
      <c r="B5587" s="3" t="s">
        <v>257</v>
      </c>
    </row>
    <row r="5588" spans="2:2" x14ac:dyDescent="0.2">
      <c r="B5588" s="3" t="s">
        <v>257</v>
      </c>
    </row>
    <row r="5589" spans="2:2" x14ac:dyDescent="0.2">
      <c r="B5589" s="3" t="s">
        <v>257</v>
      </c>
    </row>
    <row r="5590" spans="2:2" x14ac:dyDescent="0.2">
      <c r="B5590" s="3" t="s">
        <v>257</v>
      </c>
    </row>
    <row r="5591" spans="2:2" x14ac:dyDescent="0.2">
      <c r="B5591" s="3" t="s">
        <v>257</v>
      </c>
    </row>
    <row r="5592" spans="2:2" x14ac:dyDescent="0.2">
      <c r="B5592" s="3" t="s">
        <v>257</v>
      </c>
    </row>
    <row r="5593" spans="2:2" x14ac:dyDescent="0.2">
      <c r="B5593" s="3" t="s">
        <v>257</v>
      </c>
    </row>
    <row r="5594" spans="2:2" x14ac:dyDescent="0.2">
      <c r="B5594" s="3" t="s">
        <v>257</v>
      </c>
    </row>
    <row r="5595" spans="2:2" x14ac:dyDescent="0.2">
      <c r="B5595" s="3" t="s">
        <v>257</v>
      </c>
    </row>
    <row r="5596" spans="2:2" x14ac:dyDescent="0.2">
      <c r="B5596" s="3" t="s">
        <v>257</v>
      </c>
    </row>
    <row r="5597" spans="2:2" x14ac:dyDescent="0.2">
      <c r="B5597" s="3" t="s">
        <v>257</v>
      </c>
    </row>
    <row r="5598" spans="2:2" x14ac:dyDescent="0.2">
      <c r="B5598" s="3" t="s">
        <v>257</v>
      </c>
    </row>
    <row r="5599" spans="2:2" x14ac:dyDescent="0.2">
      <c r="B5599" s="3" t="s">
        <v>257</v>
      </c>
    </row>
    <row r="5600" spans="2:2" x14ac:dyDescent="0.2">
      <c r="B5600" s="3" t="s">
        <v>257</v>
      </c>
    </row>
    <row r="5601" spans="2:2" x14ac:dyDescent="0.2">
      <c r="B5601" s="3" t="s">
        <v>257</v>
      </c>
    </row>
    <row r="5602" spans="2:2" x14ac:dyDescent="0.2">
      <c r="B5602" s="3" t="s">
        <v>257</v>
      </c>
    </row>
    <row r="5603" spans="2:2" x14ac:dyDescent="0.2">
      <c r="B5603" s="3" t="s">
        <v>257</v>
      </c>
    </row>
    <row r="5604" spans="2:2" x14ac:dyDescent="0.2">
      <c r="B5604" s="3" t="s">
        <v>257</v>
      </c>
    </row>
    <row r="5605" spans="2:2" x14ac:dyDescent="0.2">
      <c r="B5605" s="3" t="s">
        <v>257</v>
      </c>
    </row>
    <row r="5606" spans="2:2" x14ac:dyDescent="0.2">
      <c r="B5606" s="3" t="s">
        <v>257</v>
      </c>
    </row>
    <row r="5607" spans="2:2" x14ac:dyDescent="0.2">
      <c r="B5607" s="3" t="s">
        <v>257</v>
      </c>
    </row>
    <row r="5608" spans="2:2" x14ac:dyDescent="0.2">
      <c r="B5608" s="3" t="s">
        <v>257</v>
      </c>
    </row>
    <row r="5609" spans="2:2" x14ac:dyDescent="0.2">
      <c r="B5609" s="3" t="s">
        <v>257</v>
      </c>
    </row>
    <row r="5610" spans="2:2" x14ac:dyDescent="0.2">
      <c r="B5610" s="3" t="s">
        <v>257</v>
      </c>
    </row>
    <row r="5611" spans="2:2" x14ac:dyDescent="0.2">
      <c r="B5611" s="3" t="s">
        <v>257</v>
      </c>
    </row>
    <row r="5612" spans="2:2" x14ac:dyDescent="0.2">
      <c r="B5612" s="3" t="s">
        <v>257</v>
      </c>
    </row>
    <row r="5613" spans="2:2" x14ac:dyDescent="0.2">
      <c r="B5613" s="3" t="s">
        <v>257</v>
      </c>
    </row>
    <row r="5614" spans="2:2" x14ac:dyDescent="0.2">
      <c r="B5614" s="3" t="s">
        <v>257</v>
      </c>
    </row>
    <row r="5615" spans="2:2" x14ac:dyDescent="0.2">
      <c r="B5615" s="3" t="s">
        <v>257</v>
      </c>
    </row>
    <row r="5616" spans="2:2" x14ac:dyDescent="0.2">
      <c r="B5616" s="3" t="s">
        <v>257</v>
      </c>
    </row>
    <row r="5617" spans="2:2" x14ac:dyDescent="0.2">
      <c r="B5617" s="3" t="s">
        <v>257</v>
      </c>
    </row>
    <row r="5618" spans="2:2" x14ac:dyDescent="0.2">
      <c r="B5618" s="3" t="s">
        <v>257</v>
      </c>
    </row>
    <row r="5619" spans="2:2" x14ac:dyDescent="0.2">
      <c r="B5619" s="3" t="s">
        <v>257</v>
      </c>
    </row>
    <row r="5620" spans="2:2" x14ac:dyDescent="0.2">
      <c r="B5620" s="3" t="s">
        <v>257</v>
      </c>
    </row>
    <row r="5621" spans="2:2" x14ac:dyDescent="0.2">
      <c r="B5621" s="3" t="s">
        <v>257</v>
      </c>
    </row>
    <row r="5622" spans="2:2" x14ac:dyDescent="0.2">
      <c r="B5622" s="3" t="s">
        <v>257</v>
      </c>
    </row>
    <row r="5623" spans="2:2" x14ac:dyDescent="0.2">
      <c r="B5623" s="3" t="s">
        <v>257</v>
      </c>
    </row>
    <row r="5624" spans="2:2" x14ac:dyDescent="0.2">
      <c r="B5624" s="3" t="s">
        <v>257</v>
      </c>
    </row>
    <row r="5625" spans="2:2" x14ac:dyDescent="0.2">
      <c r="B5625" s="3" t="s">
        <v>257</v>
      </c>
    </row>
    <row r="5626" spans="2:2" x14ac:dyDescent="0.2">
      <c r="B5626" s="3" t="s">
        <v>257</v>
      </c>
    </row>
    <row r="5627" spans="2:2" x14ac:dyDescent="0.2">
      <c r="B5627" s="3" t="s">
        <v>257</v>
      </c>
    </row>
    <row r="5628" spans="2:2" x14ac:dyDescent="0.2">
      <c r="B5628" s="3" t="s">
        <v>257</v>
      </c>
    </row>
    <row r="5629" spans="2:2" x14ac:dyDescent="0.2">
      <c r="B5629" s="3" t="s">
        <v>257</v>
      </c>
    </row>
    <row r="5630" spans="2:2" x14ac:dyDescent="0.2">
      <c r="B5630" s="3" t="s">
        <v>257</v>
      </c>
    </row>
    <row r="5631" spans="2:2" x14ac:dyDescent="0.2">
      <c r="B5631" s="3" t="s">
        <v>257</v>
      </c>
    </row>
    <row r="5632" spans="2:2" x14ac:dyDescent="0.2">
      <c r="B5632" s="3" t="s">
        <v>257</v>
      </c>
    </row>
    <row r="5633" spans="2:2" x14ac:dyDescent="0.2">
      <c r="B5633" s="3" t="s">
        <v>257</v>
      </c>
    </row>
    <row r="5634" spans="2:2" x14ac:dyDescent="0.2">
      <c r="B5634" s="3" t="s">
        <v>257</v>
      </c>
    </row>
    <row r="5635" spans="2:2" x14ac:dyDescent="0.2">
      <c r="B5635" s="3" t="s">
        <v>257</v>
      </c>
    </row>
    <row r="5636" spans="2:2" x14ac:dyDescent="0.2">
      <c r="B5636" s="3" t="s">
        <v>257</v>
      </c>
    </row>
    <row r="5637" spans="2:2" x14ac:dyDescent="0.2">
      <c r="B5637" s="3" t="s">
        <v>257</v>
      </c>
    </row>
    <row r="5638" spans="2:2" x14ac:dyDescent="0.2">
      <c r="B5638" s="3" t="s">
        <v>257</v>
      </c>
    </row>
    <row r="5639" spans="2:2" x14ac:dyDescent="0.2">
      <c r="B5639" s="3" t="s">
        <v>257</v>
      </c>
    </row>
    <row r="5640" spans="2:2" x14ac:dyDescent="0.2">
      <c r="B5640" s="3" t="s">
        <v>257</v>
      </c>
    </row>
    <row r="5641" spans="2:2" x14ac:dyDescent="0.2">
      <c r="B5641" s="3" t="s">
        <v>257</v>
      </c>
    </row>
    <row r="5642" spans="2:2" x14ac:dyDescent="0.2">
      <c r="B5642" s="3" t="s">
        <v>257</v>
      </c>
    </row>
    <row r="5643" spans="2:2" x14ac:dyDescent="0.2">
      <c r="B5643" s="3" t="s">
        <v>257</v>
      </c>
    </row>
    <row r="5644" spans="2:2" x14ac:dyDescent="0.2">
      <c r="B5644" s="3" t="s">
        <v>257</v>
      </c>
    </row>
    <row r="5645" spans="2:2" x14ac:dyDescent="0.2">
      <c r="B5645" s="3" t="s">
        <v>257</v>
      </c>
    </row>
    <row r="5646" spans="2:2" x14ac:dyDescent="0.2">
      <c r="B5646" s="3" t="s">
        <v>257</v>
      </c>
    </row>
    <row r="5647" spans="2:2" x14ac:dyDescent="0.2">
      <c r="B5647" s="3" t="s">
        <v>257</v>
      </c>
    </row>
    <row r="5648" spans="2:2" x14ac:dyDescent="0.2">
      <c r="B5648" s="3" t="s">
        <v>257</v>
      </c>
    </row>
    <row r="5649" spans="2:2" x14ac:dyDescent="0.2">
      <c r="B5649" s="3" t="s">
        <v>257</v>
      </c>
    </row>
    <row r="5650" spans="2:2" x14ac:dyDescent="0.2">
      <c r="B5650" s="3" t="s">
        <v>257</v>
      </c>
    </row>
    <row r="5651" spans="2:2" x14ac:dyDescent="0.2">
      <c r="B5651" s="3" t="s">
        <v>257</v>
      </c>
    </row>
    <row r="5652" spans="2:2" x14ac:dyDescent="0.2">
      <c r="B5652" s="3" t="s">
        <v>257</v>
      </c>
    </row>
    <row r="5653" spans="2:2" x14ac:dyDescent="0.2">
      <c r="B5653" s="3" t="s">
        <v>257</v>
      </c>
    </row>
    <row r="5654" spans="2:2" x14ac:dyDescent="0.2">
      <c r="B5654" s="3" t="s">
        <v>257</v>
      </c>
    </row>
    <row r="5655" spans="2:2" x14ac:dyDescent="0.2">
      <c r="B5655" s="3" t="s">
        <v>257</v>
      </c>
    </row>
    <row r="5656" spans="2:2" x14ac:dyDescent="0.2">
      <c r="B5656" s="3" t="s">
        <v>257</v>
      </c>
    </row>
    <row r="5657" spans="2:2" x14ac:dyDescent="0.2">
      <c r="B5657" s="3" t="s">
        <v>257</v>
      </c>
    </row>
    <row r="5658" spans="2:2" x14ac:dyDescent="0.2">
      <c r="B5658" s="3" t="s">
        <v>257</v>
      </c>
    </row>
    <row r="5659" spans="2:2" x14ac:dyDescent="0.2">
      <c r="B5659" s="3" t="s">
        <v>257</v>
      </c>
    </row>
    <row r="5660" spans="2:2" x14ac:dyDescent="0.2">
      <c r="B5660" s="3" t="s">
        <v>257</v>
      </c>
    </row>
    <row r="5661" spans="2:2" x14ac:dyDescent="0.2">
      <c r="B5661" s="3" t="s">
        <v>257</v>
      </c>
    </row>
    <row r="5662" spans="2:2" x14ac:dyDescent="0.2">
      <c r="B5662" s="3" t="s">
        <v>257</v>
      </c>
    </row>
    <row r="5663" spans="2:2" x14ac:dyDescent="0.2">
      <c r="B5663" s="3" t="s">
        <v>257</v>
      </c>
    </row>
    <row r="5664" spans="2:2" x14ac:dyDescent="0.2">
      <c r="B5664" s="3" t="s">
        <v>257</v>
      </c>
    </row>
    <row r="5665" spans="2:2" x14ac:dyDescent="0.2">
      <c r="B5665" s="3" t="s">
        <v>257</v>
      </c>
    </row>
    <row r="5666" spans="2:2" x14ac:dyDescent="0.2">
      <c r="B5666" s="3" t="s">
        <v>257</v>
      </c>
    </row>
    <row r="5667" spans="2:2" x14ac:dyDescent="0.2">
      <c r="B5667" s="3" t="s">
        <v>257</v>
      </c>
    </row>
    <row r="5668" spans="2:2" x14ac:dyDescent="0.2">
      <c r="B5668" s="3" t="s">
        <v>257</v>
      </c>
    </row>
    <row r="5669" spans="2:2" x14ac:dyDescent="0.2">
      <c r="B5669" s="3" t="s">
        <v>257</v>
      </c>
    </row>
    <row r="5670" spans="2:2" x14ac:dyDescent="0.2">
      <c r="B5670" s="3" t="s">
        <v>257</v>
      </c>
    </row>
    <row r="5671" spans="2:2" x14ac:dyDescent="0.2">
      <c r="B5671" s="3" t="s">
        <v>257</v>
      </c>
    </row>
    <row r="5672" spans="2:2" x14ac:dyDescent="0.2">
      <c r="B5672" s="3" t="s">
        <v>257</v>
      </c>
    </row>
    <row r="5673" spans="2:2" x14ac:dyDescent="0.2">
      <c r="B5673" s="3" t="s">
        <v>257</v>
      </c>
    </row>
    <row r="5674" spans="2:2" x14ac:dyDescent="0.2">
      <c r="B5674" s="3" t="s">
        <v>257</v>
      </c>
    </row>
    <row r="5675" spans="2:2" x14ac:dyDescent="0.2">
      <c r="B5675" s="3" t="s">
        <v>257</v>
      </c>
    </row>
    <row r="5676" spans="2:2" x14ac:dyDescent="0.2">
      <c r="B5676" s="3" t="s">
        <v>257</v>
      </c>
    </row>
    <row r="5677" spans="2:2" x14ac:dyDescent="0.2">
      <c r="B5677" s="3" t="s">
        <v>257</v>
      </c>
    </row>
    <row r="5678" spans="2:2" x14ac:dyDescent="0.2">
      <c r="B5678" s="3" t="s">
        <v>257</v>
      </c>
    </row>
    <row r="5679" spans="2:2" x14ac:dyDescent="0.2">
      <c r="B5679" s="3" t="s">
        <v>257</v>
      </c>
    </row>
    <row r="5680" spans="2:2" x14ac:dyDescent="0.2">
      <c r="B5680" s="3" t="s">
        <v>257</v>
      </c>
    </row>
    <row r="5681" spans="2:2" x14ac:dyDescent="0.2">
      <c r="B5681" s="3" t="s">
        <v>257</v>
      </c>
    </row>
    <row r="5682" spans="2:2" x14ac:dyDescent="0.2">
      <c r="B5682" s="3" t="s">
        <v>257</v>
      </c>
    </row>
    <row r="5683" spans="2:2" x14ac:dyDescent="0.2">
      <c r="B5683" s="3" t="s">
        <v>257</v>
      </c>
    </row>
    <row r="5684" spans="2:2" x14ac:dyDescent="0.2">
      <c r="B5684" s="3" t="s">
        <v>257</v>
      </c>
    </row>
    <row r="5685" spans="2:2" x14ac:dyDescent="0.2">
      <c r="B5685" s="3" t="s">
        <v>257</v>
      </c>
    </row>
    <row r="5686" spans="2:2" x14ac:dyDescent="0.2">
      <c r="B5686" s="3" t="s">
        <v>257</v>
      </c>
    </row>
    <row r="5687" spans="2:2" x14ac:dyDescent="0.2">
      <c r="B5687" s="3" t="s">
        <v>257</v>
      </c>
    </row>
    <row r="5688" spans="2:2" x14ac:dyDescent="0.2">
      <c r="B5688" s="3" t="s">
        <v>257</v>
      </c>
    </row>
    <row r="5689" spans="2:2" x14ac:dyDescent="0.2">
      <c r="B5689" s="3" t="s">
        <v>257</v>
      </c>
    </row>
    <row r="5690" spans="2:2" x14ac:dyDescent="0.2">
      <c r="B5690" s="3" t="s">
        <v>257</v>
      </c>
    </row>
    <row r="5691" spans="2:2" x14ac:dyDescent="0.2">
      <c r="B5691" s="3" t="s">
        <v>257</v>
      </c>
    </row>
    <row r="5692" spans="2:2" x14ac:dyDescent="0.2">
      <c r="B5692" s="3" t="s">
        <v>257</v>
      </c>
    </row>
    <row r="5693" spans="2:2" x14ac:dyDescent="0.2">
      <c r="B5693" s="3" t="s">
        <v>257</v>
      </c>
    </row>
    <row r="5694" spans="2:2" x14ac:dyDescent="0.2">
      <c r="B5694" s="3" t="s">
        <v>257</v>
      </c>
    </row>
    <row r="5695" spans="2:2" x14ac:dyDescent="0.2">
      <c r="B5695" s="3" t="s">
        <v>257</v>
      </c>
    </row>
    <row r="5696" spans="2:2" x14ac:dyDescent="0.2">
      <c r="B5696" s="3" t="s">
        <v>257</v>
      </c>
    </row>
    <row r="5697" spans="2:2" x14ac:dyDescent="0.2">
      <c r="B5697" s="3" t="s">
        <v>257</v>
      </c>
    </row>
    <row r="5698" spans="2:2" x14ac:dyDescent="0.2">
      <c r="B5698" s="3" t="s">
        <v>257</v>
      </c>
    </row>
    <row r="5699" spans="2:2" x14ac:dyDescent="0.2">
      <c r="B5699" s="3" t="s">
        <v>257</v>
      </c>
    </row>
    <row r="5700" spans="2:2" x14ac:dyDescent="0.2">
      <c r="B5700" s="3" t="s">
        <v>257</v>
      </c>
    </row>
    <row r="5701" spans="2:2" x14ac:dyDescent="0.2">
      <c r="B5701" s="3" t="s">
        <v>257</v>
      </c>
    </row>
    <row r="5702" spans="2:2" x14ac:dyDescent="0.2">
      <c r="B5702" s="3" t="s">
        <v>257</v>
      </c>
    </row>
    <row r="5703" spans="2:2" x14ac:dyDescent="0.2">
      <c r="B5703" s="3" t="s">
        <v>257</v>
      </c>
    </row>
    <row r="5704" spans="2:2" x14ac:dyDescent="0.2">
      <c r="B5704" s="3" t="s">
        <v>257</v>
      </c>
    </row>
    <row r="5705" spans="2:2" x14ac:dyDescent="0.2">
      <c r="B5705" s="3" t="s">
        <v>257</v>
      </c>
    </row>
    <row r="5706" spans="2:2" x14ac:dyDescent="0.2">
      <c r="B5706" s="3" t="s">
        <v>257</v>
      </c>
    </row>
    <row r="5707" spans="2:2" x14ac:dyDescent="0.2">
      <c r="B5707" s="3" t="s">
        <v>257</v>
      </c>
    </row>
    <row r="5708" spans="2:2" x14ac:dyDescent="0.2">
      <c r="B5708" s="3" t="s">
        <v>257</v>
      </c>
    </row>
    <row r="5709" spans="2:2" x14ac:dyDescent="0.2">
      <c r="B5709" s="3" t="s">
        <v>257</v>
      </c>
    </row>
    <row r="5710" spans="2:2" x14ac:dyDescent="0.2">
      <c r="B5710" s="3" t="s">
        <v>257</v>
      </c>
    </row>
    <row r="5711" spans="2:2" x14ac:dyDescent="0.2">
      <c r="B5711" s="3" t="s">
        <v>257</v>
      </c>
    </row>
    <row r="5712" spans="2:2" x14ac:dyDescent="0.2">
      <c r="B5712" s="3" t="s">
        <v>257</v>
      </c>
    </row>
    <row r="5713" spans="2:2" x14ac:dyDescent="0.2">
      <c r="B5713" s="3" t="s">
        <v>257</v>
      </c>
    </row>
    <row r="5714" spans="2:2" x14ac:dyDescent="0.2">
      <c r="B5714" s="3" t="s">
        <v>257</v>
      </c>
    </row>
    <row r="5715" spans="2:2" x14ac:dyDescent="0.2">
      <c r="B5715" s="3" t="s">
        <v>257</v>
      </c>
    </row>
    <row r="5716" spans="2:2" x14ac:dyDescent="0.2">
      <c r="B5716" s="3" t="s">
        <v>257</v>
      </c>
    </row>
    <row r="5717" spans="2:2" x14ac:dyDescent="0.2">
      <c r="B5717" s="3" t="s">
        <v>257</v>
      </c>
    </row>
    <row r="5718" spans="2:2" x14ac:dyDescent="0.2">
      <c r="B5718" s="3" t="s">
        <v>257</v>
      </c>
    </row>
    <row r="5719" spans="2:2" x14ac:dyDescent="0.2">
      <c r="B5719" s="3" t="s">
        <v>257</v>
      </c>
    </row>
    <row r="5720" spans="2:2" x14ac:dyDescent="0.2">
      <c r="B5720" s="3" t="s">
        <v>257</v>
      </c>
    </row>
    <row r="5721" spans="2:2" x14ac:dyDescent="0.2">
      <c r="B5721" s="3" t="s">
        <v>257</v>
      </c>
    </row>
    <row r="5722" spans="2:2" x14ac:dyDescent="0.2">
      <c r="B5722" s="3" t="s">
        <v>257</v>
      </c>
    </row>
    <row r="5723" spans="2:2" x14ac:dyDescent="0.2">
      <c r="B5723" s="3" t="s">
        <v>257</v>
      </c>
    </row>
    <row r="5724" spans="2:2" x14ac:dyDescent="0.2">
      <c r="B5724" s="3" t="s">
        <v>257</v>
      </c>
    </row>
    <row r="5725" spans="2:2" x14ac:dyDescent="0.2">
      <c r="B5725" s="3" t="s">
        <v>257</v>
      </c>
    </row>
    <row r="5726" spans="2:2" x14ac:dyDescent="0.2">
      <c r="B5726" s="3" t="s">
        <v>257</v>
      </c>
    </row>
    <row r="5727" spans="2:2" x14ac:dyDescent="0.2">
      <c r="B5727" s="3" t="s">
        <v>257</v>
      </c>
    </row>
    <row r="5728" spans="2:2" x14ac:dyDescent="0.2">
      <c r="B5728" s="3" t="s">
        <v>257</v>
      </c>
    </row>
    <row r="5729" spans="2:2" x14ac:dyDescent="0.2">
      <c r="B5729" s="3" t="s">
        <v>257</v>
      </c>
    </row>
    <row r="5730" spans="2:2" x14ac:dyDescent="0.2">
      <c r="B5730" s="3" t="s">
        <v>257</v>
      </c>
    </row>
    <row r="5731" spans="2:2" x14ac:dyDescent="0.2">
      <c r="B5731" s="3" t="s">
        <v>257</v>
      </c>
    </row>
    <row r="5732" spans="2:2" x14ac:dyDescent="0.2">
      <c r="B5732" s="3" t="s">
        <v>257</v>
      </c>
    </row>
    <row r="5733" spans="2:2" x14ac:dyDescent="0.2">
      <c r="B5733" s="3" t="s">
        <v>257</v>
      </c>
    </row>
    <row r="5734" spans="2:2" x14ac:dyDescent="0.2">
      <c r="B5734" s="3" t="s">
        <v>257</v>
      </c>
    </row>
    <row r="5735" spans="2:2" x14ac:dyDescent="0.2">
      <c r="B5735" s="3" t="s">
        <v>257</v>
      </c>
    </row>
    <row r="5736" spans="2:2" x14ac:dyDescent="0.2">
      <c r="B5736" s="3" t="s">
        <v>257</v>
      </c>
    </row>
    <row r="5737" spans="2:2" x14ac:dyDescent="0.2">
      <c r="B5737" s="3" t="s">
        <v>257</v>
      </c>
    </row>
    <row r="5738" spans="2:2" x14ac:dyDescent="0.2">
      <c r="B5738" s="3" t="s">
        <v>257</v>
      </c>
    </row>
    <row r="5739" spans="2:2" x14ac:dyDescent="0.2">
      <c r="B5739" s="3" t="s">
        <v>257</v>
      </c>
    </row>
    <row r="5740" spans="2:2" x14ac:dyDescent="0.2">
      <c r="B5740" s="3" t="s">
        <v>257</v>
      </c>
    </row>
    <row r="5741" spans="2:2" x14ac:dyDescent="0.2">
      <c r="B5741" s="3" t="s">
        <v>257</v>
      </c>
    </row>
    <row r="5742" spans="2:2" x14ac:dyDescent="0.2">
      <c r="B5742" s="3" t="s">
        <v>257</v>
      </c>
    </row>
    <row r="5743" spans="2:2" x14ac:dyDescent="0.2">
      <c r="B5743" s="3" t="s">
        <v>257</v>
      </c>
    </row>
    <row r="5744" spans="2:2" x14ac:dyDescent="0.2">
      <c r="B5744" s="3" t="s">
        <v>257</v>
      </c>
    </row>
    <row r="5745" spans="2:2" x14ac:dyDescent="0.2">
      <c r="B5745" s="3" t="s">
        <v>257</v>
      </c>
    </row>
    <row r="5746" spans="2:2" x14ac:dyDescent="0.2">
      <c r="B5746" s="3" t="s">
        <v>257</v>
      </c>
    </row>
    <row r="5747" spans="2:2" x14ac:dyDescent="0.2">
      <c r="B5747" s="3" t="s">
        <v>257</v>
      </c>
    </row>
    <row r="5748" spans="2:2" x14ac:dyDescent="0.2">
      <c r="B5748" s="3" t="s">
        <v>257</v>
      </c>
    </row>
    <row r="5749" spans="2:2" x14ac:dyDescent="0.2">
      <c r="B5749" s="3" t="s">
        <v>257</v>
      </c>
    </row>
    <row r="5750" spans="2:2" x14ac:dyDescent="0.2">
      <c r="B5750" s="3" t="s">
        <v>257</v>
      </c>
    </row>
    <row r="5751" spans="2:2" x14ac:dyDescent="0.2">
      <c r="B5751" s="3" t="s">
        <v>257</v>
      </c>
    </row>
    <row r="5752" spans="2:2" x14ac:dyDescent="0.2">
      <c r="B5752" s="3" t="s">
        <v>257</v>
      </c>
    </row>
    <row r="5753" spans="2:2" x14ac:dyDescent="0.2">
      <c r="B5753" s="3" t="s">
        <v>257</v>
      </c>
    </row>
    <row r="5754" spans="2:2" x14ac:dyDescent="0.2">
      <c r="B5754" s="3" t="s">
        <v>257</v>
      </c>
    </row>
    <row r="5755" spans="2:2" x14ac:dyDescent="0.2">
      <c r="B5755" s="3" t="s">
        <v>257</v>
      </c>
    </row>
    <row r="5756" spans="2:2" x14ac:dyDescent="0.2">
      <c r="B5756" s="3" t="s">
        <v>257</v>
      </c>
    </row>
    <row r="5757" spans="2:2" x14ac:dyDescent="0.2">
      <c r="B5757" s="3" t="s">
        <v>257</v>
      </c>
    </row>
    <row r="5758" spans="2:2" x14ac:dyDescent="0.2">
      <c r="B5758" s="3" t="s">
        <v>257</v>
      </c>
    </row>
    <row r="5759" spans="2:2" x14ac:dyDescent="0.2">
      <c r="B5759" s="3" t="s">
        <v>257</v>
      </c>
    </row>
    <row r="5760" spans="2:2" x14ac:dyDescent="0.2">
      <c r="B5760" s="3" t="s">
        <v>257</v>
      </c>
    </row>
    <row r="5761" spans="2:2" x14ac:dyDescent="0.2">
      <c r="B5761" s="3" t="s">
        <v>257</v>
      </c>
    </row>
    <row r="5762" spans="2:2" x14ac:dyDescent="0.2">
      <c r="B5762" s="3" t="s">
        <v>257</v>
      </c>
    </row>
    <row r="5763" spans="2:2" x14ac:dyDescent="0.2">
      <c r="B5763" s="3" t="s">
        <v>257</v>
      </c>
    </row>
    <row r="5764" spans="2:2" x14ac:dyDescent="0.2">
      <c r="B5764" s="3" t="s">
        <v>257</v>
      </c>
    </row>
    <row r="5765" spans="2:2" x14ac:dyDescent="0.2">
      <c r="B5765" s="3" t="s">
        <v>257</v>
      </c>
    </row>
    <row r="5766" spans="2:2" x14ac:dyDescent="0.2">
      <c r="B5766" s="3" t="s">
        <v>257</v>
      </c>
    </row>
    <row r="5767" spans="2:2" x14ac:dyDescent="0.2">
      <c r="B5767" s="3" t="s">
        <v>257</v>
      </c>
    </row>
    <row r="5768" spans="2:2" x14ac:dyDescent="0.2">
      <c r="B5768" s="3" t="s">
        <v>257</v>
      </c>
    </row>
    <row r="5769" spans="2:2" x14ac:dyDescent="0.2">
      <c r="B5769" s="3" t="s">
        <v>257</v>
      </c>
    </row>
    <row r="5770" spans="2:2" x14ac:dyDescent="0.2">
      <c r="B5770" s="3" t="s">
        <v>257</v>
      </c>
    </row>
    <row r="5771" spans="2:2" x14ac:dyDescent="0.2">
      <c r="B5771" s="3" t="s">
        <v>257</v>
      </c>
    </row>
    <row r="5772" spans="2:2" x14ac:dyDescent="0.2">
      <c r="B5772" s="3" t="s">
        <v>257</v>
      </c>
    </row>
    <row r="5773" spans="2:2" x14ac:dyDescent="0.2">
      <c r="B5773" s="3" t="s">
        <v>257</v>
      </c>
    </row>
    <row r="5774" spans="2:2" x14ac:dyDescent="0.2">
      <c r="B5774" s="3" t="s">
        <v>257</v>
      </c>
    </row>
    <row r="5775" spans="2:2" x14ac:dyDescent="0.2">
      <c r="B5775" s="3" t="s">
        <v>257</v>
      </c>
    </row>
    <row r="5776" spans="2:2" x14ac:dyDescent="0.2">
      <c r="B5776" s="3" t="s">
        <v>257</v>
      </c>
    </row>
    <row r="5777" spans="2:2" x14ac:dyDescent="0.2">
      <c r="B5777" s="3" t="s">
        <v>257</v>
      </c>
    </row>
    <row r="5778" spans="2:2" x14ac:dyDescent="0.2">
      <c r="B5778" s="3" t="s">
        <v>257</v>
      </c>
    </row>
    <row r="5779" spans="2:2" x14ac:dyDescent="0.2">
      <c r="B5779" s="3" t="s">
        <v>257</v>
      </c>
    </row>
    <row r="5780" spans="2:2" x14ac:dyDescent="0.2">
      <c r="B5780" s="3" t="s">
        <v>257</v>
      </c>
    </row>
    <row r="5781" spans="2:2" x14ac:dyDescent="0.2">
      <c r="B5781" s="3" t="s">
        <v>257</v>
      </c>
    </row>
    <row r="5782" spans="2:2" x14ac:dyDescent="0.2">
      <c r="B5782" s="3" t="s">
        <v>257</v>
      </c>
    </row>
    <row r="5783" spans="2:2" x14ac:dyDescent="0.2">
      <c r="B5783" s="3" t="s">
        <v>257</v>
      </c>
    </row>
    <row r="5784" spans="2:2" x14ac:dyDescent="0.2">
      <c r="B5784" s="3" t="s">
        <v>257</v>
      </c>
    </row>
    <row r="5785" spans="2:2" x14ac:dyDescent="0.2">
      <c r="B5785" s="3" t="s">
        <v>257</v>
      </c>
    </row>
    <row r="5786" spans="2:2" x14ac:dyDescent="0.2">
      <c r="B5786" s="3" t="s">
        <v>257</v>
      </c>
    </row>
    <row r="5787" spans="2:2" x14ac:dyDescent="0.2">
      <c r="B5787" s="3" t="s">
        <v>257</v>
      </c>
    </row>
    <row r="5788" spans="2:2" x14ac:dyDescent="0.2">
      <c r="B5788" s="3" t="s">
        <v>257</v>
      </c>
    </row>
    <row r="5789" spans="2:2" x14ac:dyDescent="0.2">
      <c r="B5789" s="3" t="s">
        <v>257</v>
      </c>
    </row>
    <row r="5790" spans="2:2" x14ac:dyDescent="0.2">
      <c r="B5790" s="3" t="s">
        <v>257</v>
      </c>
    </row>
    <row r="5791" spans="2:2" x14ac:dyDescent="0.2">
      <c r="B5791" s="3" t="s">
        <v>257</v>
      </c>
    </row>
    <row r="5792" spans="2:2" x14ac:dyDescent="0.2">
      <c r="B5792" s="3" t="s">
        <v>257</v>
      </c>
    </row>
    <row r="5793" spans="2:2" x14ac:dyDescent="0.2">
      <c r="B5793" s="3" t="s">
        <v>257</v>
      </c>
    </row>
    <row r="5794" spans="2:2" x14ac:dyDescent="0.2">
      <c r="B5794" s="3" t="s">
        <v>257</v>
      </c>
    </row>
    <row r="5795" spans="2:2" x14ac:dyDescent="0.2">
      <c r="B5795" s="3" t="s">
        <v>257</v>
      </c>
    </row>
    <row r="5796" spans="2:2" x14ac:dyDescent="0.2">
      <c r="B5796" s="3" t="s">
        <v>257</v>
      </c>
    </row>
    <row r="5797" spans="2:2" x14ac:dyDescent="0.2">
      <c r="B5797" s="3" t="s">
        <v>257</v>
      </c>
    </row>
    <row r="5798" spans="2:2" x14ac:dyDescent="0.2">
      <c r="B5798" s="3" t="s">
        <v>257</v>
      </c>
    </row>
    <row r="5799" spans="2:2" x14ac:dyDescent="0.2">
      <c r="B5799" s="3" t="s">
        <v>257</v>
      </c>
    </row>
    <row r="5800" spans="2:2" x14ac:dyDescent="0.2">
      <c r="B5800" s="3" t="s">
        <v>257</v>
      </c>
    </row>
    <row r="5801" spans="2:2" x14ac:dyDescent="0.2">
      <c r="B5801" s="3" t="s">
        <v>257</v>
      </c>
    </row>
    <row r="5802" spans="2:2" x14ac:dyDescent="0.2">
      <c r="B5802" s="3" t="s">
        <v>257</v>
      </c>
    </row>
    <row r="5803" spans="2:2" x14ac:dyDescent="0.2">
      <c r="B5803" s="3" t="s">
        <v>257</v>
      </c>
    </row>
    <row r="5804" spans="2:2" x14ac:dyDescent="0.2">
      <c r="B5804" s="3" t="s">
        <v>257</v>
      </c>
    </row>
    <row r="5805" spans="2:2" x14ac:dyDescent="0.2">
      <c r="B5805" s="3" t="s">
        <v>257</v>
      </c>
    </row>
    <row r="5806" spans="2:2" x14ac:dyDescent="0.2">
      <c r="B5806" s="3" t="s">
        <v>257</v>
      </c>
    </row>
    <row r="5807" spans="2:2" x14ac:dyDescent="0.2">
      <c r="B5807" s="3" t="s">
        <v>257</v>
      </c>
    </row>
    <row r="5808" spans="2:2" x14ac:dyDescent="0.2">
      <c r="B5808" s="3" t="s">
        <v>257</v>
      </c>
    </row>
    <row r="5809" spans="2:2" x14ac:dyDescent="0.2">
      <c r="B5809" s="3" t="s">
        <v>257</v>
      </c>
    </row>
    <row r="5810" spans="2:2" x14ac:dyDescent="0.2">
      <c r="B5810" s="3" t="s">
        <v>257</v>
      </c>
    </row>
    <row r="5811" spans="2:2" x14ac:dyDescent="0.2">
      <c r="B5811" s="3" t="s">
        <v>257</v>
      </c>
    </row>
    <row r="5812" spans="2:2" x14ac:dyDescent="0.2">
      <c r="B5812" s="3" t="s">
        <v>257</v>
      </c>
    </row>
    <row r="5813" spans="2:2" x14ac:dyDescent="0.2">
      <c r="B5813" s="3" t="s">
        <v>257</v>
      </c>
    </row>
    <row r="5814" spans="2:2" x14ac:dyDescent="0.2">
      <c r="B5814" s="3" t="s">
        <v>257</v>
      </c>
    </row>
    <row r="5815" spans="2:2" x14ac:dyDescent="0.2">
      <c r="B5815" s="3" t="s">
        <v>257</v>
      </c>
    </row>
    <row r="5816" spans="2:2" x14ac:dyDescent="0.2">
      <c r="B5816" s="3" t="s">
        <v>257</v>
      </c>
    </row>
    <row r="5817" spans="2:2" x14ac:dyDescent="0.2">
      <c r="B5817" s="3" t="s">
        <v>257</v>
      </c>
    </row>
    <row r="5818" spans="2:2" x14ac:dyDescent="0.2">
      <c r="B5818" s="3" t="s">
        <v>257</v>
      </c>
    </row>
    <row r="5819" spans="2:2" x14ac:dyDescent="0.2">
      <c r="B5819" s="3" t="s">
        <v>257</v>
      </c>
    </row>
    <row r="5820" spans="2:2" x14ac:dyDescent="0.2">
      <c r="B5820" s="3" t="s">
        <v>257</v>
      </c>
    </row>
    <row r="5821" spans="2:2" x14ac:dyDescent="0.2">
      <c r="B5821" s="3" t="s">
        <v>257</v>
      </c>
    </row>
    <row r="5822" spans="2:2" x14ac:dyDescent="0.2">
      <c r="B5822" s="3" t="s">
        <v>257</v>
      </c>
    </row>
    <row r="5823" spans="2:2" x14ac:dyDescent="0.2">
      <c r="B5823" s="3" t="s">
        <v>257</v>
      </c>
    </row>
    <row r="5824" spans="2:2" x14ac:dyDescent="0.2">
      <c r="B5824" s="3" t="s">
        <v>257</v>
      </c>
    </row>
    <row r="5825" spans="2:2" x14ac:dyDescent="0.2">
      <c r="B5825" s="3" t="s">
        <v>257</v>
      </c>
    </row>
    <row r="5826" spans="2:2" x14ac:dyDescent="0.2">
      <c r="B5826" s="3" t="s">
        <v>257</v>
      </c>
    </row>
    <row r="5827" spans="2:2" x14ac:dyDescent="0.2">
      <c r="B5827" s="3" t="s">
        <v>257</v>
      </c>
    </row>
    <row r="5828" spans="2:2" x14ac:dyDescent="0.2">
      <c r="B5828" s="3" t="s">
        <v>257</v>
      </c>
    </row>
    <row r="5829" spans="2:2" x14ac:dyDescent="0.2">
      <c r="B5829" s="3" t="s">
        <v>257</v>
      </c>
    </row>
    <row r="5830" spans="2:2" x14ac:dyDescent="0.2">
      <c r="B5830" s="3" t="s">
        <v>257</v>
      </c>
    </row>
    <row r="5831" spans="2:2" x14ac:dyDescent="0.2">
      <c r="B5831" s="3" t="s">
        <v>257</v>
      </c>
    </row>
    <row r="5832" spans="2:2" x14ac:dyDescent="0.2">
      <c r="B5832" s="3" t="s">
        <v>257</v>
      </c>
    </row>
    <row r="5833" spans="2:2" x14ac:dyDescent="0.2">
      <c r="B5833" s="3" t="s">
        <v>257</v>
      </c>
    </row>
    <row r="5834" spans="2:2" x14ac:dyDescent="0.2">
      <c r="B5834" s="3" t="s">
        <v>257</v>
      </c>
    </row>
    <row r="5835" spans="2:2" x14ac:dyDescent="0.2">
      <c r="B5835" s="3" t="s">
        <v>257</v>
      </c>
    </row>
    <row r="5836" spans="2:2" x14ac:dyDescent="0.2">
      <c r="B5836" s="3" t="s">
        <v>257</v>
      </c>
    </row>
    <row r="5837" spans="2:2" x14ac:dyDescent="0.2">
      <c r="B5837" s="3" t="s">
        <v>257</v>
      </c>
    </row>
    <row r="5838" spans="2:2" x14ac:dyDescent="0.2">
      <c r="B5838" s="3" t="s">
        <v>257</v>
      </c>
    </row>
    <row r="5839" spans="2:2" x14ac:dyDescent="0.2">
      <c r="B5839" s="3" t="s">
        <v>257</v>
      </c>
    </row>
    <row r="5840" spans="2:2" x14ac:dyDescent="0.2">
      <c r="B5840" s="3" t="s">
        <v>257</v>
      </c>
    </row>
    <row r="5841" spans="2:2" x14ac:dyDescent="0.2">
      <c r="B5841" s="3" t="s">
        <v>257</v>
      </c>
    </row>
    <row r="5842" spans="2:2" x14ac:dyDescent="0.2">
      <c r="B5842" s="3" t="s">
        <v>257</v>
      </c>
    </row>
    <row r="5843" spans="2:2" x14ac:dyDescent="0.2">
      <c r="B5843" s="3" t="s">
        <v>257</v>
      </c>
    </row>
    <row r="5844" spans="2:2" x14ac:dyDescent="0.2">
      <c r="B5844" s="3" t="s">
        <v>257</v>
      </c>
    </row>
    <row r="5845" spans="2:2" x14ac:dyDescent="0.2">
      <c r="B5845" s="3" t="s">
        <v>257</v>
      </c>
    </row>
    <row r="5846" spans="2:2" x14ac:dyDescent="0.2">
      <c r="B5846" s="3" t="s">
        <v>257</v>
      </c>
    </row>
    <row r="5847" spans="2:2" x14ac:dyDescent="0.2">
      <c r="B5847" s="3" t="s">
        <v>257</v>
      </c>
    </row>
    <row r="5848" spans="2:2" x14ac:dyDescent="0.2">
      <c r="B5848" s="3" t="s">
        <v>257</v>
      </c>
    </row>
    <row r="5849" spans="2:2" x14ac:dyDescent="0.2">
      <c r="B5849" s="3" t="s">
        <v>257</v>
      </c>
    </row>
    <row r="5850" spans="2:2" x14ac:dyDescent="0.2">
      <c r="B5850" s="3" t="s">
        <v>257</v>
      </c>
    </row>
    <row r="5851" spans="2:2" x14ac:dyDescent="0.2">
      <c r="B5851" s="3" t="s">
        <v>257</v>
      </c>
    </row>
    <row r="5852" spans="2:2" x14ac:dyDescent="0.2">
      <c r="B5852" s="3" t="s">
        <v>257</v>
      </c>
    </row>
    <row r="5853" spans="2:2" x14ac:dyDescent="0.2">
      <c r="B5853" s="3" t="s">
        <v>257</v>
      </c>
    </row>
    <row r="5854" spans="2:2" x14ac:dyDescent="0.2">
      <c r="B5854" s="3" t="s">
        <v>257</v>
      </c>
    </row>
    <row r="5855" spans="2:2" x14ac:dyDescent="0.2">
      <c r="B5855" s="3" t="s">
        <v>257</v>
      </c>
    </row>
    <row r="5856" spans="2:2" x14ac:dyDescent="0.2">
      <c r="B5856" s="3" t="s">
        <v>257</v>
      </c>
    </row>
    <row r="5857" spans="2:2" x14ac:dyDescent="0.2">
      <c r="B5857" s="3" t="s">
        <v>257</v>
      </c>
    </row>
    <row r="5858" spans="2:2" x14ac:dyDescent="0.2">
      <c r="B5858" s="3" t="s">
        <v>257</v>
      </c>
    </row>
    <row r="5859" spans="2:2" x14ac:dyDescent="0.2">
      <c r="B5859" s="3" t="s">
        <v>257</v>
      </c>
    </row>
    <row r="5860" spans="2:2" x14ac:dyDescent="0.2">
      <c r="B5860" s="3" t="s">
        <v>257</v>
      </c>
    </row>
    <row r="5861" spans="2:2" x14ac:dyDescent="0.2">
      <c r="B5861" s="3" t="s">
        <v>257</v>
      </c>
    </row>
    <row r="5862" spans="2:2" x14ac:dyDescent="0.2">
      <c r="B5862" s="3" t="s">
        <v>257</v>
      </c>
    </row>
    <row r="5863" spans="2:2" x14ac:dyDescent="0.2">
      <c r="B5863" s="3" t="s">
        <v>257</v>
      </c>
    </row>
    <row r="5864" spans="2:2" x14ac:dyDescent="0.2">
      <c r="B5864" s="3" t="s">
        <v>257</v>
      </c>
    </row>
    <row r="5865" spans="2:2" x14ac:dyDescent="0.2">
      <c r="B5865" s="3" t="s">
        <v>257</v>
      </c>
    </row>
    <row r="5866" spans="2:2" x14ac:dyDescent="0.2">
      <c r="B5866" s="3" t="s">
        <v>257</v>
      </c>
    </row>
    <row r="5867" spans="2:2" x14ac:dyDescent="0.2">
      <c r="B5867" s="3" t="s">
        <v>257</v>
      </c>
    </row>
    <row r="5868" spans="2:2" x14ac:dyDescent="0.2">
      <c r="B5868" s="3" t="s">
        <v>257</v>
      </c>
    </row>
    <row r="5869" spans="2:2" x14ac:dyDescent="0.2">
      <c r="B5869" s="3" t="s">
        <v>257</v>
      </c>
    </row>
    <row r="5870" spans="2:2" x14ac:dyDescent="0.2">
      <c r="B5870" s="3" t="s">
        <v>257</v>
      </c>
    </row>
    <row r="5871" spans="2:2" x14ac:dyDescent="0.2">
      <c r="B5871" s="3" t="s">
        <v>257</v>
      </c>
    </row>
    <row r="5872" spans="2:2" x14ac:dyDescent="0.2">
      <c r="B5872" s="3" t="s">
        <v>257</v>
      </c>
    </row>
    <row r="5873" spans="2:2" x14ac:dyDescent="0.2">
      <c r="B5873" s="3" t="s">
        <v>257</v>
      </c>
    </row>
    <row r="5874" spans="2:2" x14ac:dyDescent="0.2">
      <c r="B5874" s="3" t="s">
        <v>257</v>
      </c>
    </row>
    <row r="5875" spans="2:2" x14ac:dyDescent="0.2">
      <c r="B5875" s="3" t="s">
        <v>257</v>
      </c>
    </row>
    <row r="5876" spans="2:2" x14ac:dyDescent="0.2">
      <c r="B5876" s="3" t="s">
        <v>257</v>
      </c>
    </row>
    <row r="5877" spans="2:2" x14ac:dyDescent="0.2">
      <c r="B5877" s="3" t="s">
        <v>257</v>
      </c>
    </row>
    <row r="5878" spans="2:2" x14ac:dyDescent="0.2">
      <c r="B5878" s="3" t="s">
        <v>257</v>
      </c>
    </row>
    <row r="5879" spans="2:2" x14ac:dyDescent="0.2">
      <c r="B5879" s="3" t="s">
        <v>257</v>
      </c>
    </row>
    <row r="5880" spans="2:2" x14ac:dyDescent="0.2">
      <c r="B5880" s="3" t="s">
        <v>257</v>
      </c>
    </row>
    <row r="5881" spans="2:2" x14ac:dyDescent="0.2">
      <c r="B5881" s="3" t="s">
        <v>257</v>
      </c>
    </row>
    <row r="5882" spans="2:2" x14ac:dyDescent="0.2">
      <c r="B5882" s="3" t="s">
        <v>257</v>
      </c>
    </row>
    <row r="5883" spans="2:2" x14ac:dyDescent="0.2">
      <c r="B5883" s="3" t="s">
        <v>257</v>
      </c>
    </row>
    <row r="5884" spans="2:2" x14ac:dyDescent="0.2">
      <c r="B5884" s="3" t="s">
        <v>257</v>
      </c>
    </row>
    <row r="5885" spans="2:2" x14ac:dyDescent="0.2">
      <c r="B5885" s="3" t="s">
        <v>257</v>
      </c>
    </row>
    <row r="5886" spans="2:2" x14ac:dyDescent="0.2">
      <c r="B5886" s="3" t="s">
        <v>257</v>
      </c>
    </row>
    <row r="5887" spans="2:2" x14ac:dyDescent="0.2">
      <c r="B5887" s="3" t="s">
        <v>257</v>
      </c>
    </row>
    <row r="5888" spans="2:2" x14ac:dyDescent="0.2">
      <c r="B5888" s="3" t="s">
        <v>257</v>
      </c>
    </row>
    <row r="5889" spans="2:2" x14ac:dyDescent="0.2">
      <c r="B5889" s="3" t="s">
        <v>257</v>
      </c>
    </row>
    <row r="5890" spans="2:2" x14ac:dyDescent="0.2">
      <c r="B5890" s="3" t="s">
        <v>257</v>
      </c>
    </row>
    <row r="5891" spans="2:2" x14ac:dyDescent="0.2">
      <c r="B5891" s="3" t="s">
        <v>257</v>
      </c>
    </row>
    <row r="5892" spans="2:2" x14ac:dyDescent="0.2">
      <c r="B5892" s="3" t="s">
        <v>257</v>
      </c>
    </row>
    <row r="5893" spans="2:2" x14ac:dyDescent="0.2">
      <c r="B5893" s="3" t="s">
        <v>257</v>
      </c>
    </row>
    <row r="5894" spans="2:2" x14ac:dyDescent="0.2">
      <c r="B5894" s="3" t="s">
        <v>257</v>
      </c>
    </row>
    <row r="5895" spans="2:2" x14ac:dyDescent="0.2">
      <c r="B5895" s="3" t="s">
        <v>257</v>
      </c>
    </row>
    <row r="5896" spans="2:2" x14ac:dyDescent="0.2">
      <c r="B5896" s="3" t="s">
        <v>257</v>
      </c>
    </row>
    <row r="5897" spans="2:2" x14ac:dyDescent="0.2">
      <c r="B5897" s="3" t="s">
        <v>257</v>
      </c>
    </row>
    <row r="5898" spans="2:2" x14ac:dyDescent="0.2">
      <c r="B5898" s="3" t="s">
        <v>257</v>
      </c>
    </row>
    <row r="5899" spans="2:2" x14ac:dyDescent="0.2">
      <c r="B5899" s="3" t="s">
        <v>257</v>
      </c>
    </row>
    <row r="5900" spans="2:2" x14ac:dyDescent="0.2">
      <c r="B5900" s="3" t="s">
        <v>257</v>
      </c>
    </row>
    <row r="5901" spans="2:2" x14ac:dyDescent="0.2">
      <c r="B5901" s="3" t="s">
        <v>257</v>
      </c>
    </row>
    <row r="5902" spans="2:2" x14ac:dyDescent="0.2">
      <c r="B5902" s="3" t="s">
        <v>257</v>
      </c>
    </row>
    <row r="5903" spans="2:2" x14ac:dyDescent="0.2">
      <c r="B5903" s="3" t="s">
        <v>257</v>
      </c>
    </row>
    <row r="5904" spans="2:2" x14ac:dyDescent="0.2">
      <c r="B5904" s="3" t="s">
        <v>257</v>
      </c>
    </row>
    <row r="5905" spans="2:2" x14ac:dyDescent="0.2">
      <c r="B5905" s="3" t="s">
        <v>257</v>
      </c>
    </row>
    <row r="5906" spans="2:2" x14ac:dyDescent="0.2">
      <c r="B5906" s="3" t="s">
        <v>257</v>
      </c>
    </row>
    <row r="5907" spans="2:2" x14ac:dyDescent="0.2">
      <c r="B5907" s="3" t="s">
        <v>257</v>
      </c>
    </row>
    <row r="5908" spans="2:2" x14ac:dyDescent="0.2">
      <c r="B5908" s="3" t="s">
        <v>257</v>
      </c>
    </row>
    <row r="5909" spans="2:2" x14ac:dyDescent="0.2">
      <c r="B5909" s="3" t="s">
        <v>257</v>
      </c>
    </row>
    <row r="5910" spans="2:2" x14ac:dyDescent="0.2">
      <c r="B5910" s="3" t="s">
        <v>257</v>
      </c>
    </row>
    <row r="5911" spans="2:2" x14ac:dyDescent="0.2">
      <c r="B5911" s="3" t="s">
        <v>257</v>
      </c>
    </row>
    <row r="5912" spans="2:2" x14ac:dyDescent="0.2">
      <c r="B5912" s="3" t="s">
        <v>257</v>
      </c>
    </row>
    <row r="5913" spans="2:2" x14ac:dyDescent="0.2">
      <c r="B5913" s="3" t="s">
        <v>257</v>
      </c>
    </row>
    <row r="5914" spans="2:2" x14ac:dyDescent="0.2">
      <c r="B5914" s="3" t="s">
        <v>257</v>
      </c>
    </row>
    <row r="5915" spans="2:2" x14ac:dyDescent="0.2">
      <c r="B5915" s="3" t="s">
        <v>257</v>
      </c>
    </row>
    <row r="5916" spans="2:2" x14ac:dyDescent="0.2">
      <c r="B5916" s="3" t="s">
        <v>257</v>
      </c>
    </row>
    <row r="5917" spans="2:2" x14ac:dyDescent="0.2">
      <c r="B5917" s="3" t="s">
        <v>257</v>
      </c>
    </row>
    <row r="5918" spans="2:2" x14ac:dyDescent="0.2">
      <c r="B5918" s="3" t="s">
        <v>257</v>
      </c>
    </row>
    <row r="5919" spans="2:2" x14ac:dyDescent="0.2">
      <c r="B5919" s="3" t="s">
        <v>257</v>
      </c>
    </row>
    <row r="5920" spans="2:2" x14ac:dyDescent="0.2">
      <c r="B5920" s="3" t="s">
        <v>257</v>
      </c>
    </row>
    <row r="5921" spans="2:2" x14ac:dyDescent="0.2">
      <c r="B5921" s="3" t="s">
        <v>257</v>
      </c>
    </row>
    <row r="5922" spans="2:2" x14ac:dyDescent="0.2">
      <c r="B5922" s="3" t="s">
        <v>257</v>
      </c>
    </row>
    <row r="5923" spans="2:2" x14ac:dyDescent="0.2">
      <c r="B5923" s="3" t="s">
        <v>257</v>
      </c>
    </row>
    <row r="5924" spans="2:2" x14ac:dyDescent="0.2">
      <c r="B5924" s="3" t="s">
        <v>257</v>
      </c>
    </row>
    <row r="5925" spans="2:2" x14ac:dyDescent="0.2">
      <c r="B5925" s="3" t="s">
        <v>257</v>
      </c>
    </row>
    <row r="5926" spans="2:2" x14ac:dyDescent="0.2">
      <c r="B5926" s="3" t="s">
        <v>257</v>
      </c>
    </row>
    <row r="5927" spans="2:2" x14ac:dyDescent="0.2">
      <c r="B5927" s="3" t="s">
        <v>257</v>
      </c>
    </row>
    <row r="5928" spans="2:2" x14ac:dyDescent="0.2">
      <c r="B5928" s="3" t="s">
        <v>257</v>
      </c>
    </row>
    <row r="5929" spans="2:2" x14ac:dyDescent="0.2">
      <c r="B5929" s="3" t="s">
        <v>257</v>
      </c>
    </row>
    <row r="5930" spans="2:2" x14ac:dyDescent="0.2">
      <c r="B5930" s="3" t="s">
        <v>257</v>
      </c>
    </row>
    <row r="5931" spans="2:2" x14ac:dyDescent="0.2">
      <c r="B5931" s="3" t="s">
        <v>257</v>
      </c>
    </row>
    <row r="5932" spans="2:2" x14ac:dyDescent="0.2">
      <c r="B5932" s="3" t="s">
        <v>257</v>
      </c>
    </row>
    <row r="5933" spans="2:2" x14ac:dyDescent="0.2">
      <c r="B5933" s="3" t="s">
        <v>257</v>
      </c>
    </row>
    <row r="5934" spans="2:2" x14ac:dyDescent="0.2">
      <c r="B5934" s="3" t="s">
        <v>257</v>
      </c>
    </row>
    <row r="5935" spans="2:2" x14ac:dyDescent="0.2">
      <c r="B5935" s="3" t="s">
        <v>257</v>
      </c>
    </row>
    <row r="5936" spans="2:2" x14ac:dyDescent="0.2">
      <c r="B5936" s="3" t="s">
        <v>257</v>
      </c>
    </row>
    <row r="5937" spans="2:2" x14ac:dyDescent="0.2">
      <c r="B5937" s="3" t="s">
        <v>257</v>
      </c>
    </row>
    <row r="5938" spans="2:2" x14ac:dyDescent="0.2">
      <c r="B5938" s="3" t="s">
        <v>257</v>
      </c>
    </row>
    <row r="5939" spans="2:2" x14ac:dyDescent="0.2">
      <c r="B5939" s="3" t="s">
        <v>257</v>
      </c>
    </row>
    <row r="5940" spans="2:2" x14ac:dyDescent="0.2">
      <c r="B5940" s="3" t="s">
        <v>257</v>
      </c>
    </row>
    <row r="5941" spans="2:2" x14ac:dyDescent="0.2">
      <c r="B5941" s="3" t="s">
        <v>257</v>
      </c>
    </row>
    <row r="5942" spans="2:2" x14ac:dyDescent="0.2">
      <c r="B5942" s="3" t="s">
        <v>257</v>
      </c>
    </row>
    <row r="5943" spans="2:2" x14ac:dyDescent="0.2">
      <c r="B5943" s="3" t="s">
        <v>257</v>
      </c>
    </row>
    <row r="5944" spans="2:2" x14ac:dyDescent="0.2">
      <c r="B5944" s="3" t="s">
        <v>257</v>
      </c>
    </row>
    <row r="5945" spans="2:2" x14ac:dyDescent="0.2">
      <c r="B5945" s="3" t="s">
        <v>257</v>
      </c>
    </row>
    <row r="5946" spans="2:2" x14ac:dyDescent="0.2">
      <c r="B5946" s="3" t="s">
        <v>257</v>
      </c>
    </row>
    <row r="5947" spans="2:2" x14ac:dyDescent="0.2">
      <c r="B5947" s="3" t="s">
        <v>257</v>
      </c>
    </row>
    <row r="5948" spans="2:2" x14ac:dyDescent="0.2">
      <c r="B5948" s="3" t="s">
        <v>257</v>
      </c>
    </row>
    <row r="5949" spans="2:2" x14ac:dyDescent="0.2">
      <c r="B5949" s="3" t="s">
        <v>257</v>
      </c>
    </row>
    <row r="5950" spans="2:2" x14ac:dyDescent="0.2">
      <c r="B5950" s="3" t="s">
        <v>257</v>
      </c>
    </row>
    <row r="5951" spans="2:2" x14ac:dyDescent="0.2">
      <c r="B5951" s="3" t="s">
        <v>257</v>
      </c>
    </row>
    <row r="5952" spans="2:2" x14ac:dyDescent="0.2">
      <c r="B5952" s="3" t="s">
        <v>257</v>
      </c>
    </row>
    <row r="5953" spans="2:2" x14ac:dyDescent="0.2">
      <c r="B5953" s="3" t="s">
        <v>257</v>
      </c>
    </row>
    <row r="5954" spans="2:2" x14ac:dyDescent="0.2">
      <c r="B5954" s="3" t="s">
        <v>257</v>
      </c>
    </row>
    <row r="5955" spans="2:2" x14ac:dyDescent="0.2">
      <c r="B5955" s="3" t="s">
        <v>257</v>
      </c>
    </row>
    <row r="5956" spans="2:2" x14ac:dyDescent="0.2">
      <c r="B5956" s="3" t="s">
        <v>257</v>
      </c>
    </row>
    <row r="5957" spans="2:2" x14ac:dyDescent="0.2">
      <c r="B5957" s="3" t="s">
        <v>257</v>
      </c>
    </row>
    <row r="5958" spans="2:2" x14ac:dyDescent="0.2">
      <c r="B5958" s="3" t="s">
        <v>257</v>
      </c>
    </row>
    <row r="5959" spans="2:2" x14ac:dyDescent="0.2">
      <c r="B5959" s="3" t="s">
        <v>257</v>
      </c>
    </row>
    <row r="5960" spans="2:2" x14ac:dyDescent="0.2">
      <c r="B5960" s="3" t="s">
        <v>257</v>
      </c>
    </row>
    <row r="5961" spans="2:2" x14ac:dyDescent="0.2">
      <c r="B5961" s="3" t="s">
        <v>257</v>
      </c>
    </row>
    <row r="5962" spans="2:2" x14ac:dyDescent="0.2">
      <c r="B5962" s="3" t="s">
        <v>257</v>
      </c>
    </row>
    <row r="5963" spans="2:2" x14ac:dyDescent="0.2">
      <c r="B5963" s="3" t="s">
        <v>257</v>
      </c>
    </row>
    <row r="5964" spans="2:2" x14ac:dyDescent="0.2">
      <c r="B5964" s="3" t="s">
        <v>257</v>
      </c>
    </row>
    <row r="5965" spans="2:2" x14ac:dyDescent="0.2">
      <c r="B5965" s="3" t="s">
        <v>257</v>
      </c>
    </row>
    <row r="5966" spans="2:2" x14ac:dyDescent="0.2">
      <c r="B5966" s="3" t="s">
        <v>257</v>
      </c>
    </row>
    <row r="5967" spans="2:2" x14ac:dyDescent="0.2">
      <c r="B5967" s="3" t="s">
        <v>257</v>
      </c>
    </row>
    <row r="5968" spans="2:2" x14ac:dyDescent="0.2">
      <c r="B5968" s="3" t="s">
        <v>257</v>
      </c>
    </row>
    <row r="5969" spans="2:2" x14ac:dyDescent="0.2">
      <c r="B5969" s="3" t="s">
        <v>257</v>
      </c>
    </row>
    <row r="5970" spans="2:2" x14ac:dyDescent="0.2">
      <c r="B5970" s="3" t="s">
        <v>257</v>
      </c>
    </row>
    <row r="5971" spans="2:2" x14ac:dyDescent="0.2">
      <c r="B5971" s="3" t="s">
        <v>257</v>
      </c>
    </row>
    <row r="5972" spans="2:2" x14ac:dyDescent="0.2">
      <c r="B5972" s="3" t="s">
        <v>257</v>
      </c>
    </row>
    <row r="5973" spans="2:2" x14ac:dyDescent="0.2">
      <c r="B5973" s="3" t="s">
        <v>257</v>
      </c>
    </row>
    <row r="5974" spans="2:2" x14ac:dyDescent="0.2">
      <c r="B5974" s="3" t="s">
        <v>257</v>
      </c>
    </row>
    <row r="5975" spans="2:2" x14ac:dyDescent="0.2">
      <c r="B5975" s="3" t="s">
        <v>257</v>
      </c>
    </row>
    <row r="5976" spans="2:2" x14ac:dyDescent="0.2">
      <c r="B5976" s="3" t="s">
        <v>257</v>
      </c>
    </row>
    <row r="5977" spans="2:2" x14ac:dyDescent="0.2">
      <c r="B5977" s="3" t="s">
        <v>257</v>
      </c>
    </row>
    <row r="5978" spans="2:2" x14ac:dyDescent="0.2">
      <c r="B5978" s="3" t="s">
        <v>257</v>
      </c>
    </row>
    <row r="5979" spans="2:2" x14ac:dyDescent="0.2">
      <c r="B5979" s="3" t="s">
        <v>257</v>
      </c>
    </row>
    <row r="5980" spans="2:2" x14ac:dyDescent="0.2">
      <c r="B5980" s="3" t="s">
        <v>257</v>
      </c>
    </row>
    <row r="5981" spans="2:2" x14ac:dyDescent="0.2">
      <c r="B5981" s="3" t="s">
        <v>257</v>
      </c>
    </row>
    <row r="5982" spans="2:2" x14ac:dyDescent="0.2">
      <c r="B5982" s="3" t="s">
        <v>257</v>
      </c>
    </row>
    <row r="5983" spans="2:2" x14ac:dyDescent="0.2">
      <c r="B5983" s="3" t="s">
        <v>257</v>
      </c>
    </row>
    <row r="5984" spans="2:2" x14ac:dyDescent="0.2">
      <c r="B5984" s="3" t="s">
        <v>257</v>
      </c>
    </row>
    <row r="5985" spans="2:2" x14ac:dyDescent="0.2">
      <c r="B5985" s="3" t="s">
        <v>257</v>
      </c>
    </row>
    <row r="5986" spans="2:2" x14ac:dyDescent="0.2">
      <c r="B5986" s="3" t="s">
        <v>257</v>
      </c>
    </row>
    <row r="5987" spans="2:2" x14ac:dyDescent="0.2">
      <c r="B5987" s="3" t="s">
        <v>257</v>
      </c>
    </row>
    <row r="5988" spans="2:2" x14ac:dyDescent="0.2">
      <c r="B5988" s="3" t="s">
        <v>257</v>
      </c>
    </row>
    <row r="5989" spans="2:2" x14ac:dyDescent="0.2">
      <c r="B5989" s="3" t="s">
        <v>257</v>
      </c>
    </row>
    <row r="5990" spans="2:2" x14ac:dyDescent="0.2">
      <c r="B5990" s="3" t="s">
        <v>257</v>
      </c>
    </row>
    <row r="5991" spans="2:2" x14ac:dyDescent="0.2">
      <c r="B5991" s="3" t="s">
        <v>257</v>
      </c>
    </row>
    <row r="5992" spans="2:2" x14ac:dyDescent="0.2">
      <c r="B5992" s="3" t="s">
        <v>257</v>
      </c>
    </row>
    <row r="5993" spans="2:2" x14ac:dyDescent="0.2">
      <c r="B5993" s="3" t="s">
        <v>257</v>
      </c>
    </row>
    <row r="5994" spans="2:2" x14ac:dyDescent="0.2">
      <c r="B5994" s="3" t="s">
        <v>257</v>
      </c>
    </row>
    <row r="5995" spans="2:2" x14ac:dyDescent="0.2">
      <c r="B5995" s="3" t="s">
        <v>257</v>
      </c>
    </row>
    <row r="5996" spans="2:2" x14ac:dyDescent="0.2">
      <c r="B5996" s="3" t="s">
        <v>257</v>
      </c>
    </row>
    <row r="5997" spans="2:2" x14ac:dyDescent="0.2">
      <c r="B5997" s="3" t="s">
        <v>257</v>
      </c>
    </row>
    <row r="5998" spans="2:2" x14ac:dyDescent="0.2">
      <c r="B5998" s="3" t="s">
        <v>257</v>
      </c>
    </row>
    <row r="5999" spans="2:2" x14ac:dyDescent="0.2">
      <c r="B5999" s="3" t="s">
        <v>257</v>
      </c>
    </row>
    <row r="6000" spans="2:2" x14ac:dyDescent="0.2">
      <c r="B6000" s="3" t="s">
        <v>257</v>
      </c>
    </row>
    <row r="6001" spans="2:2" x14ac:dyDescent="0.2">
      <c r="B6001" s="3" t="s">
        <v>257</v>
      </c>
    </row>
    <row r="6002" spans="2:2" x14ac:dyDescent="0.2">
      <c r="B6002" s="3" t="s">
        <v>257</v>
      </c>
    </row>
    <row r="6003" spans="2:2" x14ac:dyDescent="0.2">
      <c r="B6003" s="3" t="s">
        <v>257</v>
      </c>
    </row>
    <row r="6004" spans="2:2" x14ac:dyDescent="0.2">
      <c r="B6004" s="3" t="s">
        <v>257</v>
      </c>
    </row>
    <row r="6005" spans="2:2" x14ac:dyDescent="0.2">
      <c r="B6005" s="3" t="s">
        <v>257</v>
      </c>
    </row>
    <row r="6006" spans="2:2" x14ac:dyDescent="0.2">
      <c r="B6006" s="3" t="s">
        <v>257</v>
      </c>
    </row>
    <row r="6007" spans="2:2" x14ac:dyDescent="0.2">
      <c r="B6007" s="3" t="s">
        <v>257</v>
      </c>
    </row>
    <row r="6008" spans="2:2" x14ac:dyDescent="0.2">
      <c r="B6008" s="3" t="s">
        <v>257</v>
      </c>
    </row>
    <row r="6009" spans="2:2" x14ac:dyDescent="0.2">
      <c r="B6009" s="3" t="s">
        <v>257</v>
      </c>
    </row>
    <row r="6010" spans="2:2" x14ac:dyDescent="0.2">
      <c r="B6010" s="3" t="s">
        <v>257</v>
      </c>
    </row>
    <row r="6011" spans="2:2" x14ac:dyDescent="0.2">
      <c r="B6011" s="3" t="s">
        <v>257</v>
      </c>
    </row>
    <row r="6012" spans="2:2" x14ac:dyDescent="0.2">
      <c r="B6012" s="3" t="s">
        <v>257</v>
      </c>
    </row>
    <row r="6013" spans="2:2" x14ac:dyDescent="0.2">
      <c r="B6013" s="3" t="s">
        <v>257</v>
      </c>
    </row>
    <row r="6014" spans="2:2" x14ac:dyDescent="0.2">
      <c r="B6014" s="3" t="s">
        <v>257</v>
      </c>
    </row>
    <row r="6015" spans="2:2" x14ac:dyDescent="0.2">
      <c r="B6015" s="3" t="s">
        <v>257</v>
      </c>
    </row>
    <row r="6016" spans="2:2" x14ac:dyDescent="0.2">
      <c r="B6016" s="3" t="s">
        <v>257</v>
      </c>
    </row>
    <row r="6017" spans="2:2" x14ac:dyDescent="0.2">
      <c r="B6017" s="3" t="s">
        <v>257</v>
      </c>
    </row>
    <row r="6018" spans="2:2" x14ac:dyDescent="0.2">
      <c r="B6018" s="3" t="s">
        <v>257</v>
      </c>
    </row>
    <row r="6019" spans="2:2" x14ac:dyDescent="0.2">
      <c r="B6019" s="3" t="s">
        <v>257</v>
      </c>
    </row>
    <row r="6020" spans="2:2" x14ac:dyDescent="0.2">
      <c r="B6020" s="3" t="s">
        <v>257</v>
      </c>
    </row>
    <row r="6021" spans="2:2" x14ac:dyDescent="0.2">
      <c r="B6021" s="3" t="s">
        <v>257</v>
      </c>
    </row>
    <row r="6022" spans="2:2" x14ac:dyDescent="0.2">
      <c r="B6022" s="3" t="s">
        <v>257</v>
      </c>
    </row>
    <row r="6023" spans="2:2" x14ac:dyDescent="0.2">
      <c r="B6023" s="3" t="s">
        <v>257</v>
      </c>
    </row>
    <row r="6024" spans="2:2" x14ac:dyDescent="0.2">
      <c r="B6024" s="3" t="s">
        <v>257</v>
      </c>
    </row>
    <row r="6025" spans="2:2" x14ac:dyDescent="0.2">
      <c r="B6025" s="3" t="s">
        <v>257</v>
      </c>
    </row>
    <row r="6026" spans="2:2" x14ac:dyDescent="0.2">
      <c r="B6026" s="3" t="s">
        <v>257</v>
      </c>
    </row>
    <row r="6027" spans="2:2" x14ac:dyDescent="0.2">
      <c r="B6027" s="3" t="s">
        <v>257</v>
      </c>
    </row>
    <row r="6028" spans="2:2" x14ac:dyDescent="0.2">
      <c r="B6028" s="3" t="s">
        <v>257</v>
      </c>
    </row>
    <row r="6029" spans="2:2" x14ac:dyDescent="0.2">
      <c r="B6029" s="3" t="s">
        <v>257</v>
      </c>
    </row>
    <row r="6030" spans="2:2" x14ac:dyDescent="0.2">
      <c r="B6030" s="3" t="s">
        <v>257</v>
      </c>
    </row>
    <row r="6031" spans="2:2" x14ac:dyDescent="0.2">
      <c r="B6031" s="3" t="s">
        <v>257</v>
      </c>
    </row>
    <row r="6032" spans="2:2" x14ac:dyDescent="0.2">
      <c r="B6032" s="3" t="s">
        <v>257</v>
      </c>
    </row>
    <row r="6033" spans="2:2" x14ac:dyDescent="0.2">
      <c r="B6033" s="3" t="s">
        <v>257</v>
      </c>
    </row>
    <row r="6034" spans="2:2" x14ac:dyDescent="0.2">
      <c r="B6034" s="3" t="s">
        <v>257</v>
      </c>
    </row>
    <row r="6035" spans="2:2" x14ac:dyDescent="0.2">
      <c r="B6035" s="3" t="s">
        <v>257</v>
      </c>
    </row>
    <row r="6036" spans="2:2" x14ac:dyDescent="0.2">
      <c r="B6036" s="3" t="s">
        <v>257</v>
      </c>
    </row>
    <row r="6037" spans="2:2" x14ac:dyDescent="0.2">
      <c r="B6037" s="3" t="s">
        <v>257</v>
      </c>
    </row>
    <row r="6038" spans="2:2" x14ac:dyDescent="0.2">
      <c r="B6038" s="3" t="s">
        <v>257</v>
      </c>
    </row>
    <row r="6039" spans="2:2" x14ac:dyDescent="0.2">
      <c r="B6039" s="3" t="s">
        <v>257</v>
      </c>
    </row>
    <row r="6040" spans="2:2" x14ac:dyDescent="0.2">
      <c r="B6040" s="3" t="s">
        <v>257</v>
      </c>
    </row>
    <row r="6041" spans="2:2" x14ac:dyDescent="0.2">
      <c r="B6041" s="3" t="s">
        <v>257</v>
      </c>
    </row>
    <row r="6042" spans="2:2" x14ac:dyDescent="0.2">
      <c r="B6042" s="3" t="s">
        <v>257</v>
      </c>
    </row>
    <row r="6043" spans="2:2" x14ac:dyDescent="0.2">
      <c r="B6043" s="3" t="s">
        <v>257</v>
      </c>
    </row>
    <row r="6044" spans="2:2" x14ac:dyDescent="0.2">
      <c r="B6044" s="3" t="s">
        <v>257</v>
      </c>
    </row>
    <row r="6045" spans="2:2" x14ac:dyDescent="0.2">
      <c r="B6045" s="3" t="s">
        <v>257</v>
      </c>
    </row>
    <row r="6046" spans="2:2" x14ac:dyDescent="0.2">
      <c r="B6046" s="3" t="s">
        <v>257</v>
      </c>
    </row>
    <row r="6047" spans="2:2" x14ac:dyDescent="0.2">
      <c r="B6047" s="3" t="s">
        <v>257</v>
      </c>
    </row>
    <row r="6048" spans="2:2" x14ac:dyDescent="0.2">
      <c r="B6048" s="3" t="s">
        <v>257</v>
      </c>
    </row>
    <row r="6049" spans="2:2" x14ac:dyDescent="0.2">
      <c r="B6049" s="3" t="s">
        <v>257</v>
      </c>
    </row>
    <row r="6050" spans="2:2" x14ac:dyDescent="0.2">
      <c r="B6050" s="3" t="s">
        <v>257</v>
      </c>
    </row>
    <row r="6051" spans="2:2" x14ac:dyDescent="0.2">
      <c r="B6051" s="3" t="s">
        <v>257</v>
      </c>
    </row>
    <row r="6052" spans="2:2" x14ac:dyDescent="0.2">
      <c r="B6052" s="3" t="s">
        <v>257</v>
      </c>
    </row>
    <row r="6053" spans="2:2" x14ac:dyDescent="0.2">
      <c r="B6053" s="3" t="s">
        <v>257</v>
      </c>
    </row>
    <row r="6054" spans="2:2" x14ac:dyDescent="0.2">
      <c r="B6054" s="3" t="s">
        <v>257</v>
      </c>
    </row>
    <row r="6055" spans="2:2" x14ac:dyDescent="0.2">
      <c r="B6055" s="3" t="s">
        <v>257</v>
      </c>
    </row>
    <row r="6056" spans="2:2" x14ac:dyDescent="0.2">
      <c r="B6056" s="3" t="s">
        <v>257</v>
      </c>
    </row>
    <row r="6057" spans="2:2" x14ac:dyDescent="0.2">
      <c r="B6057" s="3" t="s">
        <v>257</v>
      </c>
    </row>
    <row r="6058" spans="2:2" x14ac:dyDescent="0.2">
      <c r="B6058" s="3" t="s">
        <v>257</v>
      </c>
    </row>
    <row r="6059" spans="2:2" x14ac:dyDescent="0.2">
      <c r="B6059" s="3" t="s">
        <v>257</v>
      </c>
    </row>
    <row r="6060" spans="2:2" x14ac:dyDescent="0.2">
      <c r="B6060" s="3" t="s">
        <v>257</v>
      </c>
    </row>
    <row r="6061" spans="2:2" x14ac:dyDescent="0.2">
      <c r="B6061" s="3" t="s">
        <v>257</v>
      </c>
    </row>
    <row r="6062" spans="2:2" x14ac:dyDescent="0.2">
      <c r="B6062" s="3" t="s">
        <v>257</v>
      </c>
    </row>
    <row r="6063" spans="2:2" x14ac:dyDescent="0.2">
      <c r="B6063" s="3" t="s">
        <v>257</v>
      </c>
    </row>
    <row r="6064" spans="2:2" x14ac:dyDescent="0.2">
      <c r="B6064" s="3" t="s">
        <v>257</v>
      </c>
    </row>
    <row r="6065" spans="2:2" x14ac:dyDescent="0.2">
      <c r="B6065" s="3" t="s">
        <v>257</v>
      </c>
    </row>
    <row r="6066" spans="2:2" x14ac:dyDescent="0.2">
      <c r="B6066" s="3" t="s">
        <v>257</v>
      </c>
    </row>
    <row r="6067" spans="2:2" x14ac:dyDescent="0.2">
      <c r="B6067" s="3" t="s">
        <v>257</v>
      </c>
    </row>
    <row r="6068" spans="2:2" x14ac:dyDescent="0.2">
      <c r="B6068" s="3" t="s">
        <v>257</v>
      </c>
    </row>
    <row r="6069" spans="2:2" x14ac:dyDescent="0.2">
      <c r="B6069" s="3" t="s">
        <v>257</v>
      </c>
    </row>
    <row r="6070" spans="2:2" x14ac:dyDescent="0.2">
      <c r="B6070" s="3" t="s">
        <v>257</v>
      </c>
    </row>
    <row r="6071" spans="2:2" x14ac:dyDescent="0.2">
      <c r="B6071" s="3" t="s">
        <v>257</v>
      </c>
    </row>
    <row r="6072" spans="2:2" x14ac:dyDescent="0.2">
      <c r="B6072" s="3" t="s">
        <v>257</v>
      </c>
    </row>
    <row r="6073" spans="2:2" x14ac:dyDescent="0.2">
      <c r="B6073" s="3" t="s">
        <v>257</v>
      </c>
    </row>
    <row r="6074" spans="2:2" x14ac:dyDescent="0.2">
      <c r="B6074" s="3" t="s">
        <v>257</v>
      </c>
    </row>
    <row r="6075" spans="2:2" x14ac:dyDescent="0.2">
      <c r="B6075" s="3" t="s">
        <v>257</v>
      </c>
    </row>
    <row r="6076" spans="2:2" x14ac:dyDescent="0.2">
      <c r="B6076" s="3" t="s">
        <v>257</v>
      </c>
    </row>
    <row r="6077" spans="2:2" x14ac:dyDescent="0.2">
      <c r="B6077" s="3" t="s">
        <v>257</v>
      </c>
    </row>
    <row r="6078" spans="2:2" x14ac:dyDescent="0.2">
      <c r="B6078" s="3" t="s">
        <v>257</v>
      </c>
    </row>
    <row r="6079" spans="2:2" x14ac:dyDescent="0.2">
      <c r="B6079" s="3" t="s">
        <v>257</v>
      </c>
    </row>
    <row r="6080" spans="2:2" x14ac:dyDescent="0.2">
      <c r="B6080" s="3" t="s">
        <v>257</v>
      </c>
    </row>
    <row r="6081" spans="2:2" x14ac:dyDescent="0.2">
      <c r="B6081" s="3" t="s">
        <v>257</v>
      </c>
    </row>
    <row r="6082" spans="2:2" x14ac:dyDescent="0.2">
      <c r="B6082" s="3" t="s">
        <v>257</v>
      </c>
    </row>
    <row r="6083" spans="2:2" x14ac:dyDescent="0.2">
      <c r="B6083" s="3" t="s">
        <v>257</v>
      </c>
    </row>
    <row r="6084" spans="2:2" x14ac:dyDescent="0.2">
      <c r="B6084" s="3" t="s">
        <v>257</v>
      </c>
    </row>
    <row r="6085" spans="2:2" x14ac:dyDescent="0.2">
      <c r="B6085" s="3" t="s">
        <v>257</v>
      </c>
    </row>
    <row r="6086" spans="2:2" x14ac:dyDescent="0.2">
      <c r="B6086" s="3" t="s">
        <v>257</v>
      </c>
    </row>
    <row r="6087" spans="2:2" x14ac:dyDescent="0.2">
      <c r="B6087" s="3" t="s">
        <v>257</v>
      </c>
    </row>
    <row r="6088" spans="2:2" x14ac:dyDescent="0.2">
      <c r="B6088" s="3" t="s">
        <v>257</v>
      </c>
    </row>
    <row r="6089" spans="2:2" x14ac:dyDescent="0.2">
      <c r="B6089" s="3" t="s">
        <v>257</v>
      </c>
    </row>
    <row r="6090" spans="2:2" x14ac:dyDescent="0.2">
      <c r="B6090" s="3" t="s">
        <v>257</v>
      </c>
    </row>
    <row r="6091" spans="2:2" x14ac:dyDescent="0.2">
      <c r="B6091" s="3" t="s">
        <v>257</v>
      </c>
    </row>
    <row r="6092" spans="2:2" x14ac:dyDescent="0.2">
      <c r="B6092" s="3" t="s">
        <v>257</v>
      </c>
    </row>
    <row r="6093" spans="2:2" x14ac:dyDescent="0.2">
      <c r="B6093" s="3" t="s">
        <v>257</v>
      </c>
    </row>
    <row r="6094" spans="2:2" x14ac:dyDescent="0.2">
      <c r="B6094" s="3" t="s">
        <v>257</v>
      </c>
    </row>
    <row r="6095" spans="2:2" x14ac:dyDescent="0.2">
      <c r="B6095" s="3" t="s">
        <v>257</v>
      </c>
    </row>
    <row r="6096" spans="2:2" x14ac:dyDescent="0.2">
      <c r="B6096" s="3" t="s">
        <v>257</v>
      </c>
    </row>
    <row r="6097" spans="2:2" x14ac:dyDescent="0.2">
      <c r="B6097" s="3" t="s">
        <v>257</v>
      </c>
    </row>
    <row r="6098" spans="2:2" x14ac:dyDescent="0.2">
      <c r="B6098" s="3" t="s">
        <v>257</v>
      </c>
    </row>
    <row r="6099" spans="2:2" x14ac:dyDescent="0.2">
      <c r="B6099" s="3" t="s">
        <v>257</v>
      </c>
    </row>
    <row r="6100" spans="2:2" x14ac:dyDescent="0.2">
      <c r="B6100" s="3" t="s">
        <v>257</v>
      </c>
    </row>
    <row r="6101" spans="2:2" x14ac:dyDescent="0.2">
      <c r="B6101" s="3" t="s">
        <v>257</v>
      </c>
    </row>
    <row r="6102" spans="2:2" x14ac:dyDescent="0.2">
      <c r="B6102" s="3" t="s">
        <v>257</v>
      </c>
    </row>
    <row r="6103" spans="2:2" x14ac:dyDescent="0.2">
      <c r="B6103" s="3" t="s">
        <v>257</v>
      </c>
    </row>
    <row r="6104" spans="2:2" x14ac:dyDescent="0.2">
      <c r="B6104" s="3" t="s">
        <v>257</v>
      </c>
    </row>
    <row r="6105" spans="2:2" x14ac:dyDescent="0.2">
      <c r="B6105" s="3" t="s">
        <v>257</v>
      </c>
    </row>
    <row r="6106" spans="2:2" x14ac:dyDescent="0.2">
      <c r="B6106" s="3" t="s">
        <v>257</v>
      </c>
    </row>
    <row r="6107" spans="2:2" x14ac:dyDescent="0.2">
      <c r="B6107" s="3" t="s">
        <v>257</v>
      </c>
    </row>
    <row r="6108" spans="2:2" x14ac:dyDescent="0.2">
      <c r="B6108" s="3" t="s">
        <v>257</v>
      </c>
    </row>
    <row r="6109" spans="2:2" x14ac:dyDescent="0.2">
      <c r="B6109" s="3" t="s">
        <v>257</v>
      </c>
    </row>
    <row r="6110" spans="2:2" x14ac:dyDescent="0.2">
      <c r="B6110" s="3" t="s">
        <v>257</v>
      </c>
    </row>
    <row r="6111" spans="2:2" x14ac:dyDescent="0.2">
      <c r="B6111" s="3" t="s">
        <v>257</v>
      </c>
    </row>
    <row r="6112" spans="2:2" x14ac:dyDescent="0.2">
      <c r="B6112" s="3" t="s">
        <v>257</v>
      </c>
    </row>
    <row r="6113" spans="2:2" x14ac:dyDescent="0.2">
      <c r="B6113" s="3" t="s">
        <v>257</v>
      </c>
    </row>
    <row r="6114" spans="2:2" x14ac:dyDescent="0.2">
      <c r="B6114" s="3" t="s">
        <v>257</v>
      </c>
    </row>
    <row r="6115" spans="2:2" x14ac:dyDescent="0.2">
      <c r="B6115" s="3" t="s">
        <v>257</v>
      </c>
    </row>
    <row r="6116" spans="2:2" x14ac:dyDescent="0.2">
      <c r="B6116" s="3" t="s">
        <v>257</v>
      </c>
    </row>
    <row r="6117" spans="2:2" x14ac:dyDescent="0.2">
      <c r="B6117" s="3" t="s">
        <v>257</v>
      </c>
    </row>
    <row r="6118" spans="2:2" x14ac:dyDescent="0.2">
      <c r="B6118" s="3" t="s">
        <v>257</v>
      </c>
    </row>
    <row r="6119" spans="2:2" x14ac:dyDescent="0.2">
      <c r="B6119" s="3" t="s">
        <v>257</v>
      </c>
    </row>
    <row r="6120" spans="2:2" x14ac:dyDescent="0.2">
      <c r="B6120" s="3" t="s">
        <v>257</v>
      </c>
    </row>
    <row r="6121" spans="2:2" x14ac:dyDescent="0.2">
      <c r="B6121" s="3" t="s">
        <v>257</v>
      </c>
    </row>
    <row r="6122" spans="2:2" x14ac:dyDescent="0.2">
      <c r="B6122" s="3" t="s">
        <v>257</v>
      </c>
    </row>
    <row r="6123" spans="2:2" x14ac:dyDescent="0.2">
      <c r="B6123" s="3" t="s">
        <v>257</v>
      </c>
    </row>
    <row r="6124" spans="2:2" x14ac:dyDescent="0.2">
      <c r="B6124" s="3" t="s">
        <v>257</v>
      </c>
    </row>
    <row r="6125" spans="2:2" x14ac:dyDescent="0.2">
      <c r="B6125" s="3" t="s">
        <v>257</v>
      </c>
    </row>
    <row r="6126" spans="2:2" x14ac:dyDescent="0.2">
      <c r="B6126" s="3" t="s">
        <v>257</v>
      </c>
    </row>
    <row r="6127" spans="2:2" x14ac:dyDescent="0.2">
      <c r="B6127" s="3" t="s">
        <v>257</v>
      </c>
    </row>
    <row r="6128" spans="2:2" x14ac:dyDescent="0.2">
      <c r="B6128" s="3" t="s">
        <v>257</v>
      </c>
    </row>
    <row r="6129" spans="2:2" x14ac:dyDescent="0.2">
      <c r="B6129" s="3" t="s">
        <v>257</v>
      </c>
    </row>
    <row r="6130" spans="2:2" x14ac:dyDescent="0.2">
      <c r="B6130" s="3" t="s">
        <v>257</v>
      </c>
    </row>
    <row r="6131" spans="2:2" x14ac:dyDescent="0.2">
      <c r="B6131" s="3" t="s">
        <v>257</v>
      </c>
    </row>
    <row r="6132" spans="2:2" x14ac:dyDescent="0.2">
      <c r="B6132" s="3" t="s">
        <v>257</v>
      </c>
    </row>
    <row r="6133" spans="2:2" x14ac:dyDescent="0.2">
      <c r="B6133" s="3" t="s">
        <v>257</v>
      </c>
    </row>
    <row r="6134" spans="2:2" x14ac:dyDescent="0.2">
      <c r="B6134" s="3" t="s">
        <v>257</v>
      </c>
    </row>
    <row r="6135" spans="2:2" x14ac:dyDescent="0.2">
      <c r="B6135" s="3" t="s">
        <v>257</v>
      </c>
    </row>
    <row r="6136" spans="2:2" x14ac:dyDescent="0.2">
      <c r="B6136" s="3" t="s">
        <v>257</v>
      </c>
    </row>
    <row r="6137" spans="2:2" x14ac:dyDescent="0.2">
      <c r="B6137" s="3" t="s">
        <v>257</v>
      </c>
    </row>
    <row r="6138" spans="2:2" x14ac:dyDescent="0.2">
      <c r="B6138" s="3" t="s">
        <v>257</v>
      </c>
    </row>
    <row r="6139" spans="2:2" x14ac:dyDescent="0.2">
      <c r="B6139" s="3" t="s">
        <v>257</v>
      </c>
    </row>
    <row r="6140" spans="2:2" x14ac:dyDescent="0.2">
      <c r="B6140" s="3" t="s">
        <v>257</v>
      </c>
    </row>
    <row r="6141" spans="2:2" x14ac:dyDescent="0.2">
      <c r="B6141" s="3" t="s">
        <v>257</v>
      </c>
    </row>
    <row r="6142" spans="2:2" x14ac:dyDescent="0.2">
      <c r="B6142" s="3" t="s">
        <v>257</v>
      </c>
    </row>
    <row r="6143" spans="2:2" x14ac:dyDescent="0.2">
      <c r="B6143" s="3" t="s">
        <v>257</v>
      </c>
    </row>
    <row r="6144" spans="2:2" x14ac:dyDescent="0.2">
      <c r="B6144" s="3" t="s">
        <v>257</v>
      </c>
    </row>
    <row r="6145" spans="2:2" x14ac:dyDescent="0.2">
      <c r="B6145" s="3" t="s">
        <v>257</v>
      </c>
    </row>
    <row r="6146" spans="2:2" x14ac:dyDescent="0.2">
      <c r="B6146" s="3" t="s">
        <v>257</v>
      </c>
    </row>
    <row r="6147" spans="2:2" x14ac:dyDescent="0.2">
      <c r="B6147" s="3" t="s">
        <v>257</v>
      </c>
    </row>
    <row r="6148" spans="2:2" x14ac:dyDescent="0.2">
      <c r="B6148" s="3" t="s">
        <v>257</v>
      </c>
    </row>
    <row r="6149" spans="2:2" x14ac:dyDescent="0.2">
      <c r="B6149" s="3" t="s">
        <v>257</v>
      </c>
    </row>
    <row r="6150" spans="2:2" x14ac:dyDescent="0.2">
      <c r="B6150" s="3" t="s">
        <v>257</v>
      </c>
    </row>
    <row r="6151" spans="2:2" x14ac:dyDescent="0.2">
      <c r="B6151" s="3" t="s">
        <v>257</v>
      </c>
    </row>
    <row r="6152" spans="2:2" x14ac:dyDescent="0.2">
      <c r="B6152" s="3" t="s">
        <v>257</v>
      </c>
    </row>
    <row r="6153" spans="2:2" x14ac:dyDescent="0.2">
      <c r="B6153" s="3" t="s">
        <v>257</v>
      </c>
    </row>
    <row r="6154" spans="2:2" x14ac:dyDescent="0.2">
      <c r="B6154" s="3" t="s">
        <v>257</v>
      </c>
    </row>
    <row r="6155" spans="2:2" x14ac:dyDescent="0.2">
      <c r="B6155" s="3" t="s">
        <v>257</v>
      </c>
    </row>
    <row r="6156" spans="2:2" x14ac:dyDescent="0.2">
      <c r="B6156" s="3" t="s">
        <v>257</v>
      </c>
    </row>
    <row r="6157" spans="2:2" x14ac:dyDescent="0.2">
      <c r="B6157" s="3" t="s">
        <v>257</v>
      </c>
    </row>
    <row r="6158" spans="2:2" x14ac:dyDescent="0.2">
      <c r="B6158" s="3" t="s">
        <v>257</v>
      </c>
    </row>
    <row r="6159" spans="2:2" x14ac:dyDescent="0.2">
      <c r="B6159" s="3" t="s">
        <v>257</v>
      </c>
    </row>
    <row r="6160" spans="2:2" x14ac:dyDescent="0.2">
      <c r="B6160" s="3" t="s">
        <v>257</v>
      </c>
    </row>
    <row r="6161" spans="2:2" x14ac:dyDescent="0.2">
      <c r="B6161" s="3" t="s">
        <v>257</v>
      </c>
    </row>
    <row r="6162" spans="2:2" x14ac:dyDescent="0.2">
      <c r="B6162" s="3" t="s">
        <v>257</v>
      </c>
    </row>
    <row r="6163" spans="2:2" x14ac:dyDescent="0.2">
      <c r="B6163" s="3" t="s">
        <v>257</v>
      </c>
    </row>
    <row r="6164" spans="2:2" x14ac:dyDescent="0.2">
      <c r="B6164" s="3" t="s">
        <v>257</v>
      </c>
    </row>
    <row r="6165" spans="2:2" x14ac:dyDescent="0.2">
      <c r="B6165" s="3" t="s">
        <v>257</v>
      </c>
    </row>
    <row r="6166" spans="2:2" x14ac:dyDescent="0.2">
      <c r="B6166" s="3" t="s">
        <v>257</v>
      </c>
    </row>
    <row r="6167" spans="2:2" x14ac:dyDescent="0.2">
      <c r="B6167" s="3" t="s">
        <v>257</v>
      </c>
    </row>
    <row r="6168" spans="2:2" x14ac:dyDescent="0.2">
      <c r="B6168" s="3" t="s">
        <v>257</v>
      </c>
    </row>
    <row r="6169" spans="2:2" x14ac:dyDescent="0.2">
      <c r="B6169" s="3" t="s">
        <v>257</v>
      </c>
    </row>
    <row r="6170" spans="2:2" x14ac:dyDescent="0.2">
      <c r="B6170" s="3" t="s">
        <v>257</v>
      </c>
    </row>
    <row r="6171" spans="2:2" x14ac:dyDescent="0.2">
      <c r="B6171" s="3" t="s">
        <v>257</v>
      </c>
    </row>
    <row r="6172" spans="2:2" x14ac:dyDescent="0.2">
      <c r="B6172" s="3" t="s">
        <v>257</v>
      </c>
    </row>
    <row r="6173" spans="2:2" x14ac:dyDescent="0.2">
      <c r="B6173" s="3" t="s">
        <v>257</v>
      </c>
    </row>
    <row r="6174" spans="2:2" x14ac:dyDescent="0.2">
      <c r="B6174" s="3" t="s">
        <v>257</v>
      </c>
    </row>
    <row r="6175" spans="2:2" x14ac:dyDescent="0.2">
      <c r="B6175" s="3" t="s">
        <v>257</v>
      </c>
    </row>
    <row r="6176" spans="2:2" x14ac:dyDescent="0.2">
      <c r="B6176" s="3" t="s">
        <v>257</v>
      </c>
    </row>
    <row r="6177" spans="2:2" x14ac:dyDescent="0.2">
      <c r="B6177" s="3" t="s">
        <v>257</v>
      </c>
    </row>
    <row r="6178" spans="2:2" x14ac:dyDescent="0.2">
      <c r="B6178" s="3" t="s">
        <v>257</v>
      </c>
    </row>
    <row r="6179" spans="2:2" x14ac:dyDescent="0.2">
      <c r="B6179" s="3" t="s">
        <v>257</v>
      </c>
    </row>
    <row r="6180" spans="2:2" x14ac:dyDescent="0.2">
      <c r="B6180" s="3" t="s">
        <v>257</v>
      </c>
    </row>
    <row r="6181" spans="2:2" x14ac:dyDescent="0.2">
      <c r="B6181" s="3" t="s">
        <v>257</v>
      </c>
    </row>
    <row r="6182" spans="2:2" x14ac:dyDescent="0.2">
      <c r="B6182" s="3" t="s">
        <v>257</v>
      </c>
    </row>
    <row r="6183" spans="2:2" x14ac:dyDescent="0.2">
      <c r="B6183" s="3" t="s">
        <v>257</v>
      </c>
    </row>
    <row r="6184" spans="2:2" x14ac:dyDescent="0.2">
      <c r="B6184" s="3" t="s">
        <v>257</v>
      </c>
    </row>
    <row r="6185" spans="2:2" x14ac:dyDescent="0.2">
      <c r="B6185" s="3" t="s">
        <v>257</v>
      </c>
    </row>
    <row r="6186" spans="2:2" x14ac:dyDescent="0.2">
      <c r="B6186" s="3" t="s">
        <v>257</v>
      </c>
    </row>
    <row r="6187" spans="2:2" x14ac:dyDescent="0.2">
      <c r="B6187" s="3" t="s">
        <v>257</v>
      </c>
    </row>
    <row r="6188" spans="2:2" x14ac:dyDescent="0.2">
      <c r="B6188" s="3" t="s">
        <v>257</v>
      </c>
    </row>
    <row r="6189" spans="2:2" x14ac:dyDescent="0.2">
      <c r="B6189" s="3" t="s">
        <v>257</v>
      </c>
    </row>
    <row r="6190" spans="2:2" x14ac:dyDescent="0.2">
      <c r="B6190" s="3" t="s">
        <v>257</v>
      </c>
    </row>
    <row r="6191" spans="2:2" x14ac:dyDescent="0.2">
      <c r="B6191" s="3" t="s">
        <v>257</v>
      </c>
    </row>
    <row r="6192" spans="2:2" x14ac:dyDescent="0.2">
      <c r="B6192" s="3" t="s">
        <v>257</v>
      </c>
    </row>
    <row r="6193" spans="2:2" x14ac:dyDescent="0.2">
      <c r="B6193" s="3" t="s">
        <v>257</v>
      </c>
    </row>
    <row r="6194" spans="2:2" x14ac:dyDescent="0.2">
      <c r="B6194" s="3" t="s">
        <v>257</v>
      </c>
    </row>
    <row r="6195" spans="2:2" x14ac:dyDescent="0.2">
      <c r="B6195" s="3" t="s">
        <v>257</v>
      </c>
    </row>
    <row r="6196" spans="2:2" x14ac:dyDescent="0.2">
      <c r="B6196" s="3" t="s">
        <v>257</v>
      </c>
    </row>
    <row r="6197" spans="2:2" x14ac:dyDescent="0.2">
      <c r="B6197" s="3" t="s">
        <v>257</v>
      </c>
    </row>
    <row r="6198" spans="2:2" x14ac:dyDescent="0.2">
      <c r="B6198" s="3" t="s">
        <v>257</v>
      </c>
    </row>
    <row r="6199" spans="2:2" x14ac:dyDescent="0.2">
      <c r="B6199" s="3" t="s">
        <v>257</v>
      </c>
    </row>
    <row r="6200" spans="2:2" x14ac:dyDescent="0.2">
      <c r="B6200" s="3" t="s">
        <v>257</v>
      </c>
    </row>
    <row r="6201" spans="2:2" x14ac:dyDescent="0.2">
      <c r="B6201" s="3" t="s">
        <v>257</v>
      </c>
    </row>
    <row r="6202" spans="2:2" x14ac:dyDescent="0.2">
      <c r="B6202" s="3" t="s">
        <v>257</v>
      </c>
    </row>
    <row r="6203" spans="2:2" x14ac:dyDescent="0.2">
      <c r="B6203" s="3" t="s">
        <v>257</v>
      </c>
    </row>
    <row r="6204" spans="2:2" x14ac:dyDescent="0.2">
      <c r="B6204" s="3" t="s">
        <v>257</v>
      </c>
    </row>
    <row r="6205" spans="2:2" x14ac:dyDescent="0.2">
      <c r="B6205" s="3" t="s">
        <v>257</v>
      </c>
    </row>
    <row r="6206" spans="2:2" x14ac:dyDescent="0.2">
      <c r="B6206" s="3" t="s">
        <v>257</v>
      </c>
    </row>
    <row r="6207" spans="2:2" x14ac:dyDescent="0.2">
      <c r="B6207" s="3" t="s">
        <v>257</v>
      </c>
    </row>
    <row r="6208" spans="2:2" x14ac:dyDescent="0.2">
      <c r="B6208" s="3" t="s">
        <v>257</v>
      </c>
    </row>
    <row r="6209" spans="2:2" x14ac:dyDescent="0.2">
      <c r="B6209" s="3" t="s">
        <v>257</v>
      </c>
    </row>
    <row r="6210" spans="2:2" x14ac:dyDescent="0.2">
      <c r="B6210" s="3" t="s">
        <v>257</v>
      </c>
    </row>
    <row r="6211" spans="2:2" x14ac:dyDescent="0.2">
      <c r="B6211" s="3" t="s">
        <v>257</v>
      </c>
    </row>
    <row r="6212" spans="2:2" x14ac:dyDescent="0.2">
      <c r="B6212" s="3" t="s">
        <v>257</v>
      </c>
    </row>
    <row r="6213" spans="2:2" x14ac:dyDescent="0.2">
      <c r="B6213" s="3" t="s">
        <v>257</v>
      </c>
    </row>
    <row r="6214" spans="2:2" x14ac:dyDescent="0.2">
      <c r="B6214" s="3" t="s">
        <v>257</v>
      </c>
    </row>
    <row r="6215" spans="2:2" x14ac:dyDescent="0.2">
      <c r="B6215" s="3" t="s">
        <v>257</v>
      </c>
    </row>
    <row r="6216" spans="2:2" x14ac:dyDescent="0.2">
      <c r="B6216" s="3" t="s">
        <v>257</v>
      </c>
    </row>
    <row r="6217" spans="2:2" x14ac:dyDescent="0.2">
      <c r="B6217" s="3" t="s">
        <v>257</v>
      </c>
    </row>
    <row r="6218" spans="2:2" x14ac:dyDescent="0.2">
      <c r="B6218" s="3" t="s">
        <v>257</v>
      </c>
    </row>
    <row r="6219" spans="2:2" x14ac:dyDescent="0.2">
      <c r="B6219" s="3" t="s">
        <v>257</v>
      </c>
    </row>
    <row r="6220" spans="2:2" x14ac:dyDescent="0.2">
      <c r="B6220" s="3" t="s">
        <v>257</v>
      </c>
    </row>
    <row r="6221" spans="2:2" x14ac:dyDescent="0.2">
      <c r="B6221" s="3" t="s">
        <v>257</v>
      </c>
    </row>
    <row r="6222" spans="2:2" x14ac:dyDescent="0.2">
      <c r="B6222" s="3" t="s">
        <v>257</v>
      </c>
    </row>
    <row r="6223" spans="2:2" x14ac:dyDescent="0.2">
      <c r="B6223" s="3" t="s">
        <v>257</v>
      </c>
    </row>
    <row r="6224" spans="2:2" x14ac:dyDescent="0.2">
      <c r="B6224" s="3" t="s">
        <v>257</v>
      </c>
    </row>
    <row r="6225" spans="2:2" x14ac:dyDescent="0.2">
      <c r="B6225" s="3" t="s">
        <v>257</v>
      </c>
    </row>
    <row r="6226" spans="2:2" x14ac:dyDescent="0.2">
      <c r="B6226" s="3" t="s">
        <v>257</v>
      </c>
    </row>
    <row r="6227" spans="2:2" x14ac:dyDescent="0.2">
      <c r="B6227" s="3" t="s">
        <v>257</v>
      </c>
    </row>
    <row r="6228" spans="2:2" x14ac:dyDescent="0.2">
      <c r="B6228" s="3" t="s">
        <v>257</v>
      </c>
    </row>
    <row r="6229" spans="2:2" x14ac:dyDescent="0.2">
      <c r="B6229" s="3" t="s">
        <v>257</v>
      </c>
    </row>
    <row r="6230" spans="2:2" x14ac:dyDescent="0.2">
      <c r="B6230" s="3" t="s">
        <v>257</v>
      </c>
    </row>
    <row r="6231" spans="2:2" x14ac:dyDescent="0.2">
      <c r="B6231" s="3" t="s">
        <v>257</v>
      </c>
    </row>
    <row r="6232" spans="2:2" x14ac:dyDescent="0.2">
      <c r="B6232" s="3" t="s">
        <v>257</v>
      </c>
    </row>
    <row r="6233" spans="2:2" x14ac:dyDescent="0.2">
      <c r="B6233" s="3" t="s">
        <v>257</v>
      </c>
    </row>
    <row r="6234" spans="2:2" x14ac:dyDescent="0.2">
      <c r="B6234" s="3" t="s">
        <v>257</v>
      </c>
    </row>
    <row r="6235" spans="2:2" x14ac:dyDescent="0.2">
      <c r="B6235" s="3" t="s">
        <v>257</v>
      </c>
    </row>
    <row r="6236" spans="2:2" x14ac:dyDescent="0.2">
      <c r="B6236" s="3" t="s">
        <v>257</v>
      </c>
    </row>
    <row r="6237" spans="2:2" x14ac:dyDescent="0.2">
      <c r="B6237" s="3" t="s">
        <v>257</v>
      </c>
    </row>
    <row r="6238" spans="2:2" x14ac:dyDescent="0.2">
      <c r="B6238" s="3" t="s">
        <v>257</v>
      </c>
    </row>
    <row r="6239" spans="2:2" x14ac:dyDescent="0.2">
      <c r="B6239" s="3" t="s">
        <v>257</v>
      </c>
    </row>
    <row r="6240" spans="2:2" x14ac:dyDescent="0.2">
      <c r="B6240" s="3" t="s">
        <v>257</v>
      </c>
    </row>
    <row r="6241" spans="2:2" x14ac:dyDescent="0.2">
      <c r="B6241" s="3" t="s">
        <v>257</v>
      </c>
    </row>
    <row r="6242" spans="2:2" x14ac:dyDescent="0.2">
      <c r="B6242" s="3" t="s">
        <v>257</v>
      </c>
    </row>
    <row r="6243" spans="2:2" x14ac:dyDescent="0.2">
      <c r="B6243" s="3" t="s">
        <v>257</v>
      </c>
    </row>
    <row r="6244" spans="2:2" x14ac:dyDescent="0.2">
      <c r="B6244" s="3" t="s">
        <v>257</v>
      </c>
    </row>
    <row r="6245" spans="2:2" x14ac:dyDescent="0.2">
      <c r="B6245" s="3" t="s">
        <v>257</v>
      </c>
    </row>
    <row r="6246" spans="2:2" x14ac:dyDescent="0.2">
      <c r="B6246" s="3" t="s">
        <v>257</v>
      </c>
    </row>
    <row r="6247" spans="2:2" x14ac:dyDescent="0.2">
      <c r="B6247" s="3" t="s">
        <v>257</v>
      </c>
    </row>
    <row r="6248" spans="2:2" x14ac:dyDescent="0.2">
      <c r="B6248" s="3" t="s">
        <v>257</v>
      </c>
    </row>
    <row r="6249" spans="2:2" x14ac:dyDescent="0.2">
      <c r="B6249" s="3" t="s">
        <v>257</v>
      </c>
    </row>
    <row r="6250" spans="2:2" x14ac:dyDescent="0.2">
      <c r="B6250" s="3" t="s">
        <v>257</v>
      </c>
    </row>
    <row r="6251" spans="2:2" x14ac:dyDescent="0.2">
      <c r="B6251" s="3" t="s">
        <v>257</v>
      </c>
    </row>
    <row r="6252" spans="2:2" x14ac:dyDescent="0.2">
      <c r="B6252" s="3" t="s">
        <v>257</v>
      </c>
    </row>
    <row r="6253" spans="2:2" x14ac:dyDescent="0.2">
      <c r="B6253" s="3" t="s">
        <v>257</v>
      </c>
    </row>
    <row r="6254" spans="2:2" x14ac:dyDescent="0.2">
      <c r="B6254" s="3" t="s">
        <v>257</v>
      </c>
    </row>
    <row r="6255" spans="2:2" x14ac:dyDescent="0.2">
      <c r="B6255" s="3" t="s">
        <v>257</v>
      </c>
    </row>
    <row r="6256" spans="2:2" x14ac:dyDescent="0.2">
      <c r="B6256" s="3" t="s">
        <v>257</v>
      </c>
    </row>
    <row r="6257" spans="2:2" x14ac:dyDescent="0.2">
      <c r="B6257" s="3" t="s">
        <v>257</v>
      </c>
    </row>
    <row r="6258" spans="2:2" x14ac:dyDescent="0.2">
      <c r="B6258" s="3" t="s">
        <v>257</v>
      </c>
    </row>
    <row r="6259" spans="2:2" x14ac:dyDescent="0.2">
      <c r="B6259" s="3" t="s">
        <v>257</v>
      </c>
    </row>
    <row r="6260" spans="2:2" x14ac:dyDescent="0.2">
      <c r="B6260" s="3" t="s">
        <v>257</v>
      </c>
    </row>
    <row r="6261" spans="2:2" x14ac:dyDescent="0.2">
      <c r="B6261" s="3" t="s">
        <v>257</v>
      </c>
    </row>
    <row r="6262" spans="2:2" x14ac:dyDescent="0.2">
      <c r="B6262" s="3" t="s">
        <v>257</v>
      </c>
    </row>
    <row r="6263" spans="2:2" x14ac:dyDescent="0.2">
      <c r="B6263" s="3" t="s">
        <v>257</v>
      </c>
    </row>
    <row r="6264" spans="2:2" x14ac:dyDescent="0.2">
      <c r="B6264" s="3" t="s">
        <v>257</v>
      </c>
    </row>
    <row r="6265" spans="2:2" x14ac:dyDescent="0.2">
      <c r="B6265" s="3" t="s">
        <v>257</v>
      </c>
    </row>
    <row r="6266" spans="2:2" x14ac:dyDescent="0.2">
      <c r="B6266" s="3" t="s">
        <v>257</v>
      </c>
    </row>
    <row r="6267" spans="2:2" x14ac:dyDescent="0.2">
      <c r="B6267" s="3" t="s">
        <v>257</v>
      </c>
    </row>
    <row r="6268" spans="2:2" x14ac:dyDescent="0.2">
      <c r="B6268" s="3" t="s">
        <v>257</v>
      </c>
    </row>
    <row r="6269" spans="2:2" x14ac:dyDescent="0.2">
      <c r="B6269" s="3" t="s">
        <v>257</v>
      </c>
    </row>
    <row r="6270" spans="2:2" x14ac:dyDescent="0.2">
      <c r="B6270" s="3" t="s">
        <v>257</v>
      </c>
    </row>
    <row r="6271" spans="2:2" x14ac:dyDescent="0.2">
      <c r="B6271" s="3" t="s">
        <v>257</v>
      </c>
    </row>
    <row r="6272" spans="2:2" x14ac:dyDescent="0.2">
      <c r="B6272" s="3" t="s">
        <v>257</v>
      </c>
    </row>
    <row r="6273" spans="2:2" x14ac:dyDescent="0.2">
      <c r="B6273" s="3" t="s">
        <v>257</v>
      </c>
    </row>
    <row r="6274" spans="2:2" x14ac:dyDescent="0.2">
      <c r="B6274" s="3" t="s">
        <v>257</v>
      </c>
    </row>
    <row r="6275" spans="2:2" x14ac:dyDescent="0.2">
      <c r="B6275" s="3" t="s">
        <v>257</v>
      </c>
    </row>
    <row r="6276" spans="2:2" x14ac:dyDescent="0.2">
      <c r="B6276" s="3" t="s">
        <v>257</v>
      </c>
    </row>
    <row r="6277" spans="2:2" x14ac:dyDescent="0.2">
      <c r="B6277" s="3" t="s">
        <v>257</v>
      </c>
    </row>
    <row r="6278" spans="2:2" x14ac:dyDescent="0.2">
      <c r="B6278" s="3" t="s">
        <v>257</v>
      </c>
    </row>
    <row r="6279" spans="2:2" x14ac:dyDescent="0.2">
      <c r="B6279" s="3" t="s">
        <v>257</v>
      </c>
    </row>
    <row r="6280" spans="2:2" x14ac:dyDescent="0.2">
      <c r="B6280" s="3" t="s">
        <v>257</v>
      </c>
    </row>
    <row r="6281" spans="2:2" x14ac:dyDescent="0.2">
      <c r="B6281" s="3" t="s">
        <v>257</v>
      </c>
    </row>
    <row r="6282" spans="2:2" x14ac:dyDescent="0.2">
      <c r="B6282" s="3" t="s">
        <v>257</v>
      </c>
    </row>
    <row r="6283" spans="2:2" x14ac:dyDescent="0.2">
      <c r="B6283" s="3" t="s">
        <v>257</v>
      </c>
    </row>
    <row r="6284" spans="2:2" x14ac:dyDescent="0.2">
      <c r="B6284" s="3" t="s">
        <v>257</v>
      </c>
    </row>
    <row r="6285" spans="2:2" x14ac:dyDescent="0.2">
      <c r="B6285" s="3" t="s">
        <v>257</v>
      </c>
    </row>
    <row r="6286" spans="2:2" x14ac:dyDescent="0.2">
      <c r="B6286" s="3" t="s">
        <v>257</v>
      </c>
    </row>
    <row r="6287" spans="2:2" x14ac:dyDescent="0.2">
      <c r="B6287" s="3" t="s">
        <v>257</v>
      </c>
    </row>
    <row r="6288" spans="2:2" x14ac:dyDescent="0.2">
      <c r="B6288" s="3" t="s">
        <v>257</v>
      </c>
    </row>
    <row r="6289" spans="2:2" x14ac:dyDescent="0.2">
      <c r="B6289" s="3" t="s">
        <v>257</v>
      </c>
    </row>
    <row r="6290" spans="2:2" x14ac:dyDescent="0.2">
      <c r="B6290" s="3" t="s">
        <v>257</v>
      </c>
    </row>
    <row r="6291" spans="2:2" x14ac:dyDescent="0.2">
      <c r="B6291" s="3" t="s">
        <v>257</v>
      </c>
    </row>
    <row r="6292" spans="2:2" x14ac:dyDescent="0.2">
      <c r="B6292" s="3" t="s">
        <v>257</v>
      </c>
    </row>
    <row r="6293" spans="2:2" x14ac:dyDescent="0.2">
      <c r="B6293" s="3" t="s">
        <v>257</v>
      </c>
    </row>
    <row r="6294" spans="2:2" x14ac:dyDescent="0.2">
      <c r="B6294" s="3" t="s">
        <v>257</v>
      </c>
    </row>
    <row r="6295" spans="2:2" x14ac:dyDescent="0.2">
      <c r="B6295" s="3" t="s">
        <v>257</v>
      </c>
    </row>
    <row r="6296" spans="2:2" x14ac:dyDescent="0.2">
      <c r="B6296" s="3" t="s">
        <v>257</v>
      </c>
    </row>
    <row r="6297" spans="2:2" x14ac:dyDescent="0.2">
      <c r="B6297" s="3" t="s">
        <v>257</v>
      </c>
    </row>
    <row r="6298" spans="2:2" x14ac:dyDescent="0.2">
      <c r="B6298" s="3" t="s">
        <v>257</v>
      </c>
    </row>
    <row r="6299" spans="2:2" x14ac:dyDescent="0.2">
      <c r="B6299" s="3" t="s">
        <v>257</v>
      </c>
    </row>
    <row r="6300" spans="2:2" x14ac:dyDescent="0.2">
      <c r="B6300" s="3" t="s">
        <v>257</v>
      </c>
    </row>
    <row r="6301" spans="2:2" x14ac:dyDescent="0.2">
      <c r="B6301" s="3" t="s">
        <v>257</v>
      </c>
    </row>
    <row r="6302" spans="2:2" x14ac:dyDescent="0.2">
      <c r="B6302" s="3" t="s">
        <v>257</v>
      </c>
    </row>
    <row r="6303" spans="2:2" x14ac:dyDescent="0.2">
      <c r="B6303" s="3" t="s">
        <v>257</v>
      </c>
    </row>
    <row r="6304" spans="2:2" x14ac:dyDescent="0.2">
      <c r="B6304" s="3" t="s">
        <v>257</v>
      </c>
    </row>
    <row r="6305" spans="2:2" x14ac:dyDescent="0.2">
      <c r="B6305" s="3" t="s">
        <v>257</v>
      </c>
    </row>
    <row r="6306" spans="2:2" x14ac:dyDescent="0.2">
      <c r="B6306" s="3" t="s">
        <v>257</v>
      </c>
    </row>
    <row r="6307" spans="2:2" x14ac:dyDescent="0.2">
      <c r="B6307" s="3" t="s">
        <v>257</v>
      </c>
    </row>
    <row r="6308" spans="2:2" x14ac:dyDescent="0.2">
      <c r="B6308" s="3" t="s">
        <v>257</v>
      </c>
    </row>
    <row r="6309" spans="2:2" x14ac:dyDescent="0.2">
      <c r="B6309" s="3" t="s">
        <v>257</v>
      </c>
    </row>
    <row r="6310" spans="2:2" x14ac:dyDescent="0.2">
      <c r="B6310" s="3" t="s">
        <v>257</v>
      </c>
    </row>
    <row r="6311" spans="2:2" x14ac:dyDescent="0.2">
      <c r="B6311" s="3" t="s">
        <v>257</v>
      </c>
    </row>
    <row r="6312" spans="2:2" x14ac:dyDescent="0.2">
      <c r="B6312" s="3" t="s">
        <v>257</v>
      </c>
    </row>
    <row r="6313" spans="2:2" x14ac:dyDescent="0.2">
      <c r="B6313" s="3" t="s">
        <v>257</v>
      </c>
    </row>
    <row r="6314" spans="2:2" x14ac:dyDescent="0.2">
      <c r="B6314" s="3" t="s">
        <v>257</v>
      </c>
    </row>
    <row r="6315" spans="2:2" x14ac:dyDescent="0.2">
      <c r="B6315" s="3" t="s">
        <v>257</v>
      </c>
    </row>
    <row r="6316" spans="2:2" x14ac:dyDescent="0.2">
      <c r="B6316" s="3" t="s">
        <v>257</v>
      </c>
    </row>
    <row r="6317" spans="2:2" x14ac:dyDescent="0.2">
      <c r="B6317" s="3" t="s">
        <v>257</v>
      </c>
    </row>
    <row r="6318" spans="2:2" x14ac:dyDescent="0.2">
      <c r="B6318" s="3" t="s">
        <v>257</v>
      </c>
    </row>
    <row r="6319" spans="2:2" x14ac:dyDescent="0.2">
      <c r="B6319" s="3" t="s">
        <v>257</v>
      </c>
    </row>
    <row r="6320" spans="2:2" x14ac:dyDescent="0.2">
      <c r="B6320" s="3" t="s">
        <v>257</v>
      </c>
    </row>
    <row r="6321" spans="2:2" x14ac:dyDescent="0.2">
      <c r="B6321" s="3" t="s">
        <v>257</v>
      </c>
    </row>
    <row r="6322" spans="2:2" x14ac:dyDescent="0.2">
      <c r="B6322" s="3" t="s">
        <v>257</v>
      </c>
    </row>
    <row r="6323" spans="2:2" x14ac:dyDescent="0.2">
      <c r="B6323" s="3" t="s">
        <v>257</v>
      </c>
    </row>
    <row r="6324" spans="2:2" x14ac:dyDescent="0.2">
      <c r="B6324" s="3" t="s">
        <v>257</v>
      </c>
    </row>
    <row r="6325" spans="2:2" x14ac:dyDescent="0.2">
      <c r="B6325" s="3" t="s">
        <v>257</v>
      </c>
    </row>
    <row r="6326" spans="2:2" x14ac:dyDescent="0.2">
      <c r="B6326" s="3" t="s">
        <v>257</v>
      </c>
    </row>
    <row r="6327" spans="2:2" x14ac:dyDescent="0.2">
      <c r="B6327" s="3" t="s">
        <v>257</v>
      </c>
    </row>
    <row r="6328" spans="2:2" x14ac:dyDescent="0.2">
      <c r="B6328" s="3" t="s">
        <v>257</v>
      </c>
    </row>
    <row r="6329" spans="2:2" x14ac:dyDescent="0.2">
      <c r="B6329" s="3" t="s">
        <v>257</v>
      </c>
    </row>
    <row r="6330" spans="2:2" x14ac:dyDescent="0.2">
      <c r="B6330" s="3" t="s">
        <v>257</v>
      </c>
    </row>
    <row r="6331" spans="2:2" x14ac:dyDescent="0.2">
      <c r="B6331" s="3" t="s">
        <v>257</v>
      </c>
    </row>
    <row r="6332" spans="2:2" x14ac:dyDescent="0.2">
      <c r="B6332" s="3" t="s">
        <v>257</v>
      </c>
    </row>
    <row r="6333" spans="2:2" x14ac:dyDescent="0.2">
      <c r="B6333" s="3" t="s">
        <v>257</v>
      </c>
    </row>
    <row r="6334" spans="2:2" x14ac:dyDescent="0.2">
      <c r="B6334" s="3" t="s">
        <v>257</v>
      </c>
    </row>
    <row r="6335" spans="2:2" x14ac:dyDescent="0.2">
      <c r="B6335" s="3" t="s">
        <v>257</v>
      </c>
    </row>
    <row r="6336" spans="2:2" x14ac:dyDescent="0.2">
      <c r="B6336" s="3" t="s">
        <v>257</v>
      </c>
    </row>
    <row r="6337" spans="2:2" x14ac:dyDescent="0.2">
      <c r="B6337" s="3" t="s">
        <v>257</v>
      </c>
    </row>
    <row r="6338" spans="2:2" x14ac:dyDescent="0.2">
      <c r="B6338" s="3" t="s">
        <v>257</v>
      </c>
    </row>
    <row r="6339" spans="2:2" x14ac:dyDescent="0.2">
      <c r="B6339" s="3" t="s">
        <v>257</v>
      </c>
    </row>
    <row r="6340" spans="2:2" x14ac:dyDescent="0.2">
      <c r="B6340" s="3" t="s">
        <v>257</v>
      </c>
    </row>
    <row r="6341" spans="2:2" x14ac:dyDescent="0.2">
      <c r="B6341" s="3" t="s">
        <v>257</v>
      </c>
    </row>
    <row r="6342" spans="2:2" x14ac:dyDescent="0.2">
      <c r="B6342" s="3" t="s">
        <v>257</v>
      </c>
    </row>
    <row r="6343" spans="2:2" x14ac:dyDescent="0.2">
      <c r="B6343" s="3" t="s">
        <v>257</v>
      </c>
    </row>
    <row r="6344" spans="2:2" x14ac:dyDescent="0.2">
      <c r="B6344" s="3" t="s">
        <v>257</v>
      </c>
    </row>
    <row r="6345" spans="2:2" x14ac:dyDescent="0.2">
      <c r="B6345" s="3" t="s">
        <v>257</v>
      </c>
    </row>
    <row r="6346" spans="2:2" x14ac:dyDescent="0.2">
      <c r="B6346" s="3" t="s">
        <v>257</v>
      </c>
    </row>
    <row r="6347" spans="2:2" x14ac:dyDescent="0.2">
      <c r="B6347" s="3" t="s">
        <v>257</v>
      </c>
    </row>
    <row r="6348" spans="2:2" x14ac:dyDescent="0.2">
      <c r="B6348" s="3" t="s">
        <v>257</v>
      </c>
    </row>
    <row r="6349" spans="2:2" x14ac:dyDescent="0.2">
      <c r="B6349" s="3" t="s">
        <v>257</v>
      </c>
    </row>
    <row r="6350" spans="2:2" x14ac:dyDescent="0.2">
      <c r="B6350" s="3" t="s">
        <v>257</v>
      </c>
    </row>
    <row r="6351" spans="2:2" x14ac:dyDescent="0.2">
      <c r="B6351" s="3" t="s">
        <v>257</v>
      </c>
    </row>
    <row r="6352" spans="2:2" x14ac:dyDescent="0.2">
      <c r="B6352" s="3" t="s">
        <v>257</v>
      </c>
    </row>
    <row r="6353" spans="2:2" x14ac:dyDescent="0.2">
      <c r="B6353" s="3" t="s">
        <v>257</v>
      </c>
    </row>
    <row r="6354" spans="2:2" x14ac:dyDescent="0.2">
      <c r="B6354" s="3" t="s">
        <v>257</v>
      </c>
    </row>
    <row r="6355" spans="2:2" x14ac:dyDescent="0.2">
      <c r="B6355" s="3" t="s">
        <v>257</v>
      </c>
    </row>
    <row r="6356" spans="2:2" x14ac:dyDescent="0.2">
      <c r="B6356" s="3" t="s">
        <v>257</v>
      </c>
    </row>
    <row r="6357" spans="2:2" x14ac:dyDescent="0.2">
      <c r="B6357" s="3" t="s">
        <v>257</v>
      </c>
    </row>
    <row r="6358" spans="2:2" x14ac:dyDescent="0.2">
      <c r="B6358" s="3" t="s">
        <v>257</v>
      </c>
    </row>
    <row r="6359" spans="2:2" x14ac:dyDescent="0.2">
      <c r="B6359" s="3" t="s">
        <v>257</v>
      </c>
    </row>
    <row r="6360" spans="2:2" x14ac:dyDescent="0.2">
      <c r="B6360" s="3" t="s">
        <v>257</v>
      </c>
    </row>
    <row r="6361" spans="2:2" x14ac:dyDescent="0.2">
      <c r="B6361" s="3" t="s">
        <v>257</v>
      </c>
    </row>
    <row r="6362" spans="2:2" x14ac:dyDescent="0.2">
      <c r="B6362" s="3" t="s">
        <v>257</v>
      </c>
    </row>
    <row r="6363" spans="2:2" x14ac:dyDescent="0.2">
      <c r="B6363" s="3" t="s">
        <v>257</v>
      </c>
    </row>
    <row r="6364" spans="2:2" x14ac:dyDescent="0.2">
      <c r="B6364" s="3" t="s">
        <v>257</v>
      </c>
    </row>
    <row r="6365" spans="2:2" x14ac:dyDescent="0.2">
      <c r="B6365" s="3" t="s">
        <v>257</v>
      </c>
    </row>
    <row r="6366" spans="2:2" x14ac:dyDescent="0.2">
      <c r="B6366" s="3" t="s">
        <v>257</v>
      </c>
    </row>
    <row r="6367" spans="2:2" x14ac:dyDescent="0.2">
      <c r="B6367" s="3" t="s">
        <v>257</v>
      </c>
    </row>
    <row r="6368" spans="2:2" x14ac:dyDescent="0.2">
      <c r="B6368" s="3" t="s">
        <v>257</v>
      </c>
    </row>
    <row r="6369" spans="2:2" x14ac:dyDescent="0.2">
      <c r="B6369" s="3" t="s">
        <v>257</v>
      </c>
    </row>
    <row r="6370" spans="2:2" x14ac:dyDescent="0.2">
      <c r="B6370" s="3" t="s">
        <v>257</v>
      </c>
    </row>
    <row r="6371" spans="2:2" x14ac:dyDescent="0.2">
      <c r="B6371" s="3" t="s">
        <v>257</v>
      </c>
    </row>
    <row r="6372" spans="2:2" x14ac:dyDescent="0.2">
      <c r="B6372" s="3" t="s">
        <v>257</v>
      </c>
    </row>
    <row r="6373" spans="2:2" x14ac:dyDescent="0.2">
      <c r="B6373" s="3" t="s">
        <v>257</v>
      </c>
    </row>
    <row r="6374" spans="2:2" x14ac:dyDescent="0.2">
      <c r="B6374" s="3" t="s">
        <v>257</v>
      </c>
    </row>
    <row r="6375" spans="2:2" x14ac:dyDescent="0.2">
      <c r="B6375" s="3" t="s">
        <v>257</v>
      </c>
    </row>
    <row r="6376" spans="2:2" x14ac:dyDescent="0.2">
      <c r="B6376" s="3" t="s">
        <v>257</v>
      </c>
    </row>
    <row r="6377" spans="2:2" x14ac:dyDescent="0.2">
      <c r="B6377" s="3" t="s">
        <v>257</v>
      </c>
    </row>
    <row r="6378" spans="2:2" x14ac:dyDescent="0.2">
      <c r="B6378" s="3" t="s">
        <v>257</v>
      </c>
    </row>
    <row r="6379" spans="2:2" x14ac:dyDescent="0.2">
      <c r="B6379" s="3" t="s">
        <v>257</v>
      </c>
    </row>
    <row r="6380" spans="2:2" x14ac:dyDescent="0.2">
      <c r="B6380" s="3" t="s">
        <v>257</v>
      </c>
    </row>
    <row r="6381" spans="2:2" x14ac:dyDescent="0.2">
      <c r="B6381" s="3" t="s">
        <v>257</v>
      </c>
    </row>
    <row r="6382" spans="2:2" x14ac:dyDescent="0.2">
      <c r="B6382" s="3" t="s">
        <v>257</v>
      </c>
    </row>
    <row r="6383" spans="2:2" x14ac:dyDescent="0.2">
      <c r="B6383" s="3" t="s">
        <v>257</v>
      </c>
    </row>
    <row r="6384" spans="2:2" x14ac:dyDescent="0.2">
      <c r="B6384" s="3" t="s">
        <v>257</v>
      </c>
    </row>
    <row r="6385" spans="2:2" x14ac:dyDescent="0.2">
      <c r="B6385" s="3" t="s">
        <v>257</v>
      </c>
    </row>
    <row r="6386" spans="2:2" x14ac:dyDescent="0.2">
      <c r="B6386" s="3" t="s">
        <v>257</v>
      </c>
    </row>
    <row r="6387" spans="2:2" x14ac:dyDescent="0.2">
      <c r="B6387" s="3" t="s">
        <v>257</v>
      </c>
    </row>
    <row r="6388" spans="2:2" x14ac:dyDescent="0.2">
      <c r="B6388" s="3" t="s">
        <v>257</v>
      </c>
    </row>
    <row r="6389" spans="2:2" x14ac:dyDescent="0.2">
      <c r="B6389" s="3" t="s">
        <v>257</v>
      </c>
    </row>
    <row r="6390" spans="2:2" x14ac:dyDescent="0.2">
      <c r="B6390" s="3" t="s">
        <v>257</v>
      </c>
    </row>
    <row r="6391" spans="2:2" x14ac:dyDescent="0.2">
      <c r="B6391" s="3" t="s">
        <v>257</v>
      </c>
    </row>
    <row r="6392" spans="2:2" x14ac:dyDescent="0.2">
      <c r="B6392" s="3" t="s">
        <v>257</v>
      </c>
    </row>
    <row r="6393" spans="2:2" x14ac:dyDescent="0.2">
      <c r="B6393" s="3" t="s">
        <v>257</v>
      </c>
    </row>
    <row r="6394" spans="2:2" x14ac:dyDescent="0.2">
      <c r="B6394" s="3" t="s">
        <v>257</v>
      </c>
    </row>
    <row r="6395" spans="2:2" x14ac:dyDescent="0.2">
      <c r="B6395" s="3" t="s">
        <v>257</v>
      </c>
    </row>
    <row r="6396" spans="2:2" x14ac:dyDescent="0.2">
      <c r="B6396" s="3" t="s">
        <v>257</v>
      </c>
    </row>
    <row r="6397" spans="2:2" x14ac:dyDescent="0.2">
      <c r="B6397" s="3" t="s">
        <v>257</v>
      </c>
    </row>
    <row r="6398" spans="2:2" x14ac:dyDescent="0.2">
      <c r="B6398" s="3" t="s">
        <v>257</v>
      </c>
    </row>
    <row r="6399" spans="2:2" x14ac:dyDescent="0.2">
      <c r="B6399" s="3" t="s">
        <v>257</v>
      </c>
    </row>
    <row r="6400" spans="2:2" x14ac:dyDescent="0.2">
      <c r="B6400" s="3" t="s">
        <v>257</v>
      </c>
    </row>
    <row r="6401" spans="2:2" x14ac:dyDescent="0.2">
      <c r="B6401" s="3" t="s">
        <v>257</v>
      </c>
    </row>
    <row r="6402" spans="2:2" x14ac:dyDescent="0.2">
      <c r="B6402" s="3" t="s">
        <v>257</v>
      </c>
    </row>
    <row r="6403" spans="2:2" x14ac:dyDescent="0.2">
      <c r="B6403" s="3" t="s">
        <v>257</v>
      </c>
    </row>
    <row r="6404" spans="2:2" x14ac:dyDescent="0.2">
      <c r="B6404" s="3" t="s">
        <v>257</v>
      </c>
    </row>
    <row r="6405" spans="2:2" x14ac:dyDescent="0.2">
      <c r="B6405" s="3" t="s">
        <v>257</v>
      </c>
    </row>
    <row r="6406" spans="2:2" x14ac:dyDescent="0.2">
      <c r="B6406" s="3" t="s">
        <v>257</v>
      </c>
    </row>
    <row r="6407" spans="2:2" x14ac:dyDescent="0.2">
      <c r="B6407" s="3" t="s">
        <v>257</v>
      </c>
    </row>
    <row r="6408" spans="2:2" x14ac:dyDescent="0.2">
      <c r="B6408" s="3" t="s">
        <v>257</v>
      </c>
    </row>
    <row r="6409" spans="2:2" x14ac:dyDescent="0.2">
      <c r="B6409" s="3" t="s">
        <v>257</v>
      </c>
    </row>
    <row r="6410" spans="2:2" x14ac:dyDescent="0.2">
      <c r="B6410" s="3" t="s">
        <v>257</v>
      </c>
    </row>
    <row r="6411" spans="2:2" x14ac:dyDescent="0.2">
      <c r="B6411" s="3" t="s">
        <v>257</v>
      </c>
    </row>
    <row r="6412" spans="2:2" x14ac:dyDescent="0.2">
      <c r="B6412" s="3" t="s">
        <v>257</v>
      </c>
    </row>
    <row r="6413" spans="2:2" x14ac:dyDescent="0.2">
      <c r="B6413" s="3" t="s">
        <v>257</v>
      </c>
    </row>
    <row r="6414" spans="2:2" x14ac:dyDescent="0.2">
      <c r="B6414" s="3" t="s">
        <v>257</v>
      </c>
    </row>
    <row r="6415" spans="2:2" x14ac:dyDescent="0.2">
      <c r="B6415" s="3" t="s">
        <v>257</v>
      </c>
    </row>
    <row r="6416" spans="2:2" x14ac:dyDescent="0.2">
      <c r="B6416" s="3" t="s">
        <v>257</v>
      </c>
    </row>
    <row r="6417" spans="2:2" x14ac:dyDescent="0.2">
      <c r="B6417" s="3" t="s">
        <v>257</v>
      </c>
    </row>
    <row r="6418" spans="2:2" x14ac:dyDescent="0.2">
      <c r="B6418" s="3" t="s">
        <v>257</v>
      </c>
    </row>
    <row r="6419" spans="2:2" x14ac:dyDescent="0.2">
      <c r="B6419" s="3" t="s">
        <v>257</v>
      </c>
    </row>
    <row r="6420" spans="2:2" x14ac:dyDescent="0.2">
      <c r="B6420" s="3" t="s">
        <v>257</v>
      </c>
    </row>
    <row r="6421" spans="2:2" x14ac:dyDescent="0.2">
      <c r="B6421" s="3" t="s">
        <v>257</v>
      </c>
    </row>
    <row r="6422" spans="2:2" x14ac:dyDescent="0.2">
      <c r="B6422" s="3" t="s">
        <v>257</v>
      </c>
    </row>
    <row r="6423" spans="2:2" x14ac:dyDescent="0.2">
      <c r="B6423" s="3" t="s">
        <v>257</v>
      </c>
    </row>
    <row r="6424" spans="2:2" x14ac:dyDescent="0.2">
      <c r="B6424" s="3" t="s">
        <v>257</v>
      </c>
    </row>
    <row r="6425" spans="2:2" x14ac:dyDescent="0.2">
      <c r="B6425" s="3" t="s">
        <v>257</v>
      </c>
    </row>
    <row r="6426" spans="2:2" x14ac:dyDescent="0.2">
      <c r="B6426" s="3" t="s">
        <v>257</v>
      </c>
    </row>
    <row r="6427" spans="2:2" x14ac:dyDescent="0.2">
      <c r="B6427" s="3" t="s">
        <v>257</v>
      </c>
    </row>
    <row r="6428" spans="2:2" x14ac:dyDescent="0.2">
      <c r="B6428" s="3" t="s">
        <v>257</v>
      </c>
    </row>
    <row r="6429" spans="2:2" x14ac:dyDescent="0.2">
      <c r="B6429" s="3" t="s">
        <v>257</v>
      </c>
    </row>
    <row r="6430" spans="2:2" x14ac:dyDescent="0.2">
      <c r="B6430" s="3" t="s">
        <v>257</v>
      </c>
    </row>
    <row r="6431" spans="2:2" x14ac:dyDescent="0.2">
      <c r="B6431" s="3" t="s">
        <v>257</v>
      </c>
    </row>
    <row r="6432" spans="2:2" x14ac:dyDescent="0.2">
      <c r="B6432" s="3" t="s">
        <v>257</v>
      </c>
    </row>
    <row r="6433" spans="2:2" x14ac:dyDescent="0.2">
      <c r="B6433" s="3" t="s">
        <v>257</v>
      </c>
    </row>
    <row r="6434" spans="2:2" x14ac:dyDescent="0.2">
      <c r="B6434" s="3" t="s">
        <v>257</v>
      </c>
    </row>
    <row r="6435" spans="2:2" x14ac:dyDescent="0.2">
      <c r="B6435" s="3" t="s">
        <v>257</v>
      </c>
    </row>
    <row r="6436" spans="2:2" x14ac:dyDescent="0.2">
      <c r="B6436" s="3" t="s">
        <v>257</v>
      </c>
    </row>
    <row r="6437" spans="2:2" x14ac:dyDescent="0.2">
      <c r="B6437" s="3" t="s">
        <v>257</v>
      </c>
    </row>
    <row r="6438" spans="2:2" x14ac:dyDescent="0.2">
      <c r="B6438" s="3" t="s">
        <v>257</v>
      </c>
    </row>
    <row r="6439" spans="2:2" x14ac:dyDescent="0.2">
      <c r="B6439" s="3" t="s">
        <v>257</v>
      </c>
    </row>
    <row r="6440" spans="2:2" x14ac:dyDescent="0.2">
      <c r="B6440" s="3" t="s">
        <v>257</v>
      </c>
    </row>
    <row r="6441" spans="2:2" x14ac:dyDescent="0.2">
      <c r="B6441" s="3" t="s">
        <v>257</v>
      </c>
    </row>
    <row r="6442" spans="2:2" x14ac:dyDescent="0.2">
      <c r="B6442" s="3" t="s">
        <v>257</v>
      </c>
    </row>
    <row r="6443" spans="2:2" x14ac:dyDescent="0.2">
      <c r="B6443" s="3" t="s">
        <v>257</v>
      </c>
    </row>
    <row r="6444" spans="2:2" x14ac:dyDescent="0.2">
      <c r="B6444" s="3" t="s">
        <v>257</v>
      </c>
    </row>
    <row r="6445" spans="2:2" x14ac:dyDescent="0.2">
      <c r="B6445" s="3" t="s">
        <v>257</v>
      </c>
    </row>
    <row r="6446" spans="2:2" x14ac:dyDescent="0.2">
      <c r="B6446" s="3" t="s">
        <v>257</v>
      </c>
    </row>
    <row r="6447" spans="2:2" x14ac:dyDescent="0.2">
      <c r="B6447" s="3" t="s">
        <v>257</v>
      </c>
    </row>
    <row r="6448" spans="2:2" x14ac:dyDescent="0.2">
      <c r="B6448" s="3" t="s">
        <v>257</v>
      </c>
    </row>
    <row r="6449" spans="2:2" x14ac:dyDescent="0.2">
      <c r="B6449" s="3" t="s">
        <v>257</v>
      </c>
    </row>
    <row r="6450" spans="2:2" x14ac:dyDescent="0.2">
      <c r="B6450" s="3" t="s">
        <v>257</v>
      </c>
    </row>
    <row r="6451" spans="2:2" x14ac:dyDescent="0.2">
      <c r="B6451" s="3" t="s">
        <v>257</v>
      </c>
    </row>
    <row r="6452" spans="2:2" x14ac:dyDescent="0.2">
      <c r="B6452" s="3" t="s">
        <v>257</v>
      </c>
    </row>
    <row r="6453" spans="2:2" x14ac:dyDescent="0.2">
      <c r="B6453" s="3" t="s">
        <v>257</v>
      </c>
    </row>
    <row r="6454" spans="2:2" x14ac:dyDescent="0.2">
      <c r="B6454" s="3" t="s">
        <v>257</v>
      </c>
    </row>
    <row r="6455" spans="2:2" x14ac:dyDescent="0.2">
      <c r="B6455" s="3" t="s">
        <v>257</v>
      </c>
    </row>
    <row r="6456" spans="2:2" x14ac:dyDescent="0.2">
      <c r="B6456" s="3" t="s">
        <v>257</v>
      </c>
    </row>
    <row r="6457" spans="2:2" x14ac:dyDescent="0.2">
      <c r="B6457" s="3" t="s">
        <v>257</v>
      </c>
    </row>
    <row r="6458" spans="2:2" x14ac:dyDescent="0.2">
      <c r="B6458" s="3" t="s">
        <v>257</v>
      </c>
    </row>
    <row r="6459" spans="2:2" x14ac:dyDescent="0.2">
      <c r="B6459" s="3" t="s">
        <v>257</v>
      </c>
    </row>
    <row r="6460" spans="2:2" x14ac:dyDescent="0.2">
      <c r="B6460" s="3" t="s">
        <v>257</v>
      </c>
    </row>
    <row r="6461" spans="2:2" x14ac:dyDescent="0.2">
      <c r="B6461" s="3" t="s">
        <v>257</v>
      </c>
    </row>
    <row r="6462" spans="2:2" x14ac:dyDescent="0.2">
      <c r="B6462" s="3" t="s">
        <v>257</v>
      </c>
    </row>
    <row r="6463" spans="2:2" x14ac:dyDescent="0.2">
      <c r="B6463" s="3" t="s">
        <v>257</v>
      </c>
    </row>
    <row r="6464" spans="2:2" x14ac:dyDescent="0.2">
      <c r="B6464" s="3" t="s">
        <v>257</v>
      </c>
    </row>
    <row r="6465" spans="2:2" x14ac:dyDescent="0.2">
      <c r="B6465" s="3" t="s">
        <v>257</v>
      </c>
    </row>
    <row r="6466" spans="2:2" x14ac:dyDescent="0.2">
      <c r="B6466" s="3" t="s">
        <v>257</v>
      </c>
    </row>
    <row r="6467" spans="2:2" x14ac:dyDescent="0.2">
      <c r="B6467" s="3" t="s">
        <v>257</v>
      </c>
    </row>
    <row r="6468" spans="2:2" x14ac:dyDescent="0.2">
      <c r="B6468" s="3" t="s">
        <v>257</v>
      </c>
    </row>
    <row r="6469" spans="2:2" x14ac:dyDescent="0.2">
      <c r="B6469" s="3" t="s">
        <v>257</v>
      </c>
    </row>
    <row r="6470" spans="2:2" x14ac:dyDescent="0.2">
      <c r="B6470" s="3" t="s">
        <v>257</v>
      </c>
    </row>
    <row r="6471" spans="2:2" x14ac:dyDescent="0.2">
      <c r="B6471" s="3" t="s">
        <v>257</v>
      </c>
    </row>
    <row r="6472" spans="2:2" x14ac:dyDescent="0.2">
      <c r="B6472" s="3" t="s">
        <v>257</v>
      </c>
    </row>
    <row r="6473" spans="2:2" x14ac:dyDescent="0.2">
      <c r="B6473" s="3" t="s">
        <v>257</v>
      </c>
    </row>
    <row r="6474" spans="2:2" x14ac:dyDescent="0.2">
      <c r="B6474" s="3" t="s">
        <v>257</v>
      </c>
    </row>
    <row r="6475" spans="2:2" x14ac:dyDescent="0.2">
      <c r="B6475" s="3" t="s">
        <v>257</v>
      </c>
    </row>
    <row r="6476" spans="2:2" x14ac:dyDescent="0.2">
      <c r="B6476" s="3" t="s">
        <v>257</v>
      </c>
    </row>
    <row r="6477" spans="2:2" x14ac:dyDescent="0.2">
      <c r="B6477" s="3" t="s">
        <v>257</v>
      </c>
    </row>
    <row r="6478" spans="2:2" x14ac:dyDescent="0.2">
      <c r="B6478" s="3" t="s">
        <v>257</v>
      </c>
    </row>
    <row r="6479" spans="2:2" x14ac:dyDescent="0.2">
      <c r="B6479" s="3" t="s">
        <v>257</v>
      </c>
    </row>
    <row r="6480" spans="2:2" x14ac:dyDescent="0.2">
      <c r="B6480" s="3" t="s">
        <v>257</v>
      </c>
    </row>
    <row r="6481" spans="2:2" x14ac:dyDescent="0.2">
      <c r="B6481" s="3" t="s">
        <v>257</v>
      </c>
    </row>
    <row r="6482" spans="2:2" x14ac:dyDescent="0.2">
      <c r="B6482" s="3" t="s">
        <v>257</v>
      </c>
    </row>
    <row r="6483" spans="2:2" x14ac:dyDescent="0.2">
      <c r="B6483" s="3" t="s">
        <v>257</v>
      </c>
    </row>
    <row r="6484" spans="2:2" x14ac:dyDescent="0.2">
      <c r="B6484" s="3" t="s">
        <v>257</v>
      </c>
    </row>
    <row r="6485" spans="2:2" x14ac:dyDescent="0.2">
      <c r="B6485" s="3" t="s">
        <v>257</v>
      </c>
    </row>
    <row r="6486" spans="2:2" x14ac:dyDescent="0.2">
      <c r="B6486" s="3" t="s">
        <v>257</v>
      </c>
    </row>
    <row r="6487" spans="2:2" x14ac:dyDescent="0.2">
      <c r="B6487" s="3" t="s">
        <v>257</v>
      </c>
    </row>
    <row r="6488" spans="2:2" x14ac:dyDescent="0.2">
      <c r="B6488" s="3" t="s">
        <v>257</v>
      </c>
    </row>
    <row r="6489" spans="2:2" x14ac:dyDescent="0.2">
      <c r="B6489" s="3" t="s">
        <v>257</v>
      </c>
    </row>
    <row r="6490" spans="2:2" x14ac:dyDescent="0.2">
      <c r="B6490" s="3" t="s">
        <v>257</v>
      </c>
    </row>
    <row r="6491" spans="2:2" x14ac:dyDescent="0.2">
      <c r="B6491" s="3" t="s">
        <v>257</v>
      </c>
    </row>
    <row r="6492" spans="2:2" x14ac:dyDescent="0.2">
      <c r="B6492" s="3" t="s">
        <v>257</v>
      </c>
    </row>
    <row r="6493" spans="2:2" x14ac:dyDescent="0.2">
      <c r="B6493" s="3" t="s">
        <v>257</v>
      </c>
    </row>
    <row r="6494" spans="2:2" x14ac:dyDescent="0.2">
      <c r="B6494" s="3" t="s">
        <v>257</v>
      </c>
    </row>
    <row r="6495" spans="2:2" x14ac:dyDescent="0.2">
      <c r="B6495" s="3" t="s">
        <v>257</v>
      </c>
    </row>
    <row r="6496" spans="2:2" x14ac:dyDescent="0.2">
      <c r="B6496" s="3" t="s">
        <v>257</v>
      </c>
    </row>
    <row r="6497" spans="2:2" x14ac:dyDescent="0.2">
      <c r="B6497" s="3" t="s">
        <v>257</v>
      </c>
    </row>
    <row r="6498" spans="2:2" x14ac:dyDescent="0.2">
      <c r="B6498" s="3" t="s">
        <v>257</v>
      </c>
    </row>
    <row r="6499" spans="2:2" x14ac:dyDescent="0.2">
      <c r="B6499" s="3" t="s">
        <v>257</v>
      </c>
    </row>
    <row r="6500" spans="2:2" x14ac:dyDescent="0.2">
      <c r="B6500" s="3" t="s">
        <v>257</v>
      </c>
    </row>
    <row r="6501" spans="2:2" x14ac:dyDescent="0.2">
      <c r="B6501" s="3" t="s">
        <v>257</v>
      </c>
    </row>
    <row r="6502" spans="2:2" x14ac:dyDescent="0.2">
      <c r="B6502" s="3" t="s">
        <v>257</v>
      </c>
    </row>
    <row r="6503" spans="2:2" x14ac:dyDescent="0.2">
      <c r="B6503" s="3" t="s">
        <v>257</v>
      </c>
    </row>
    <row r="6504" spans="2:2" x14ac:dyDescent="0.2">
      <c r="B6504" s="3" t="s">
        <v>257</v>
      </c>
    </row>
    <row r="6505" spans="2:2" x14ac:dyDescent="0.2">
      <c r="B6505" s="3" t="s">
        <v>257</v>
      </c>
    </row>
    <row r="6506" spans="2:2" x14ac:dyDescent="0.2">
      <c r="B6506" s="3" t="s">
        <v>257</v>
      </c>
    </row>
    <row r="6507" spans="2:2" x14ac:dyDescent="0.2">
      <c r="B6507" s="3" t="s">
        <v>257</v>
      </c>
    </row>
    <row r="6508" spans="2:2" x14ac:dyDescent="0.2">
      <c r="B6508" s="3" t="s">
        <v>257</v>
      </c>
    </row>
    <row r="6509" spans="2:2" x14ac:dyDescent="0.2">
      <c r="B6509" s="3" t="s">
        <v>257</v>
      </c>
    </row>
    <row r="6510" spans="2:2" x14ac:dyDescent="0.2">
      <c r="B6510" s="3" t="s">
        <v>257</v>
      </c>
    </row>
    <row r="6511" spans="2:2" x14ac:dyDescent="0.2">
      <c r="B6511" s="3" t="s">
        <v>257</v>
      </c>
    </row>
    <row r="6512" spans="2:2" x14ac:dyDescent="0.2">
      <c r="B6512" s="3" t="s">
        <v>257</v>
      </c>
    </row>
    <row r="6513" spans="2:2" x14ac:dyDescent="0.2">
      <c r="B6513" s="3" t="s">
        <v>257</v>
      </c>
    </row>
    <row r="6514" spans="2:2" x14ac:dyDescent="0.2">
      <c r="B6514" s="3" t="s">
        <v>257</v>
      </c>
    </row>
    <row r="6515" spans="2:2" x14ac:dyDescent="0.2">
      <c r="B6515" s="3" t="s">
        <v>257</v>
      </c>
    </row>
    <row r="6516" spans="2:2" x14ac:dyDescent="0.2">
      <c r="B6516" s="3" t="s">
        <v>257</v>
      </c>
    </row>
    <row r="6517" spans="2:2" x14ac:dyDescent="0.2">
      <c r="B6517" s="3" t="s">
        <v>257</v>
      </c>
    </row>
    <row r="6518" spans="2:2" x14ac:dyDescent="0.2">
      <c r="B6518" s="3" t="s">
        <v>257</v>
      </c>
    </row>
    <row r="6519" spans="2:2" x14ac:dyDescent="0.2">
      <c r="B6519" s="3" t="s">
        <v>257</v>
      </c>
    </row>
    <row r="6520" spans="2:2" x14ac:dyDescent="0.2">
      <c r="B6520" s="3" t="s">
        <v>257</v>
      </c>
    </row>
    <row r="6521" spans="2:2" x14ac:dyDescent="0.2">
      <c r="B6521" s="3" t="s">
        <v>257</v>
      </c>
    </row>
    <row r="6522" spans="2:2" x14ac:dyDescent="0.2">
      <c r="B6522" s="3" t="s">
        <v>257</v>
      </c>
    </row>
    <row r="6523" spans="2:2" x14ac:dyDescent="0.2">
      <c r="B6523" s="3" t="s">
        <v>257</v>
      </c>
    </row>
    <row r="6524" spans="2:2" x14ac:dyDescent="0.2">
      <c r="B6524" s="3" t="s">
        <v>257</v>
      </c>
    </row>
    <row r="6525" spans="2:2" x14ac:dyDescent="0.2">
      <c r="B6525" s="3" t="s">
        <v>257</v>
      </c>
    </row>
    <row r="6526" spans="2:2" x14ac:dyDescent="0.2">
      <c r="B6526" s="3" t="s">
        <v>257</v>
      </c>
    </row>
    <row r="6527" spans="2:2" x14ac:dyDescent="0.2">
      <c r="B6527" s="3" t="s">
        <v>257</v>
      </c>
    </row>
    <row r="6528" spans="2:2" x14ac:dyDescent="0.2">
      <c r="B6528" s="3" t="s">
        <v>257</v>
      </c>
    </row>
    <row r="6529" spans="2:2" x14ac:dyDescent="0.2">
      <c r="B6529" s="3" t="s">
        <v>257</v>
      </c>
    </row>
    <row r="6530" spans="2:2" x14ac:dyDescent="0.2">
      <c r="B6530" s="3" t="s">
        <v>257</v>
      </c>
    </row>
    <row r="6531" spans="2:2" x14ac:dyDescent="0.2">
      <c r="B6531" s="3" t="s">
        <v>257</v>
      </c>
    </row>
    <row r="6532" spans="2:2" x14ac:dyDescent="0.2">
      <c r="B6532" s="3" t="s">
        <v>257</v>
      </c>
    </row>
    <row r="6533" spans="2:2" x14ac:dyDescent="0.2">
      <c r="B6533" s="3" t="s">
        <v>257</v>
      </c>
    </row>
    <row r="6534" spans="2:2" x14ac:dyDescent="0.2">
      <c r="B6534" s="3" t="s">
        <v>257</v>
      </c>
    </row>
    <row r="6535" spans="2:2" x14ac:dyDescent="0.2">
      <c r="B6535" s="3" t="s">
        <v>257</v>
      </c>
    </row>
    <row r="6536" spans="2:2" x14ac:dyDescent="0.2">
      <c r="B6536" s="3" t="s">
        <v>257</v>
      </c>
    </row>
    <row r="6537" spans="2:2" x14ac:dyDescent="0.2">
      <c r="B6537" s="3" t="s">
        <v>257</v>
      </c>
    </row>
    <row r="6538" spans="2:2" x14ac:dyDescent="0.2">
      <c r="B6538" s="3" t="s">
        <v>257</v>
      </c>
    </row>
    <row r="6539" spans="2:2" x14ac:dyDescent="0.2">
      <c r="B6539" s="3" t="s">
        <v>257</v>
      </c>
    </row>
    <row r="6540" spans="2:2" x14ac:dyDescent="0.2">
      <c r="B6540" s="3" t="s">
        <v>257</v>
      </c>
    </row>
    <row r="6541" spans="2:2" x14ac:dyDescent="0.2">
      <c r="B6541" s="3" t="s">
        <v>257</v>
      </c>
    </row>
    <row r="6542" spans="2:2" x14ac:dyDescent="0.2">
      <c r="B6542" s="3" t="s">
        <v>257</v>
      </c>
    </row>
    <row r="6543" spans="2:2" x14ac:dyDescent="0.2">
      <c r="B6543" s="3" t="s">
        <v>257</v>
      </c>
    </row>
    <row r="6544" spans="2:2" x14ac:dyDescent="0.2">
      <c r="B6544" s="3" t="s">
        <v>257</v>
      </c>
    </row>
    <row r="6545" spans="2:2" x14ac:dyDescent="0.2">
      <c r="B6545" s="3" t="s">
        <v>257</v>
      </c>
    </row>
    <row r="6546" spans="2:2" x14ac:dyDescent="0.2">
      <c r="B6546" s="3" t="s">
        <v>257</v>
      </c>
    </row>
    <row r="6547" spans="2:2" x14ac:dyDescent="0.2">
      <c r="B6547" s="3" t="s">
        <v>257</v>
      </c>
    </row>
    <row r="6548" spans="2:2" x14ac:dyDescent="0.2">
      <c r="B6548" s="3" t="s">
        <v>257</v>
      </c>
    </row>
    <row r="6549" spans="2:2" x14ac:dyDescent="0.2">
      <c r="B6549" s="3" t="s">
        <v>257</v>
      </c>
    </row>
    <row r="6550" spans="2:2" x14ac:dyDescent="0.2">
      <c r="B6550" s="3" t="s">
        <v>257</v>
      </c>
    </row>
    <row r="6551" spans="2:2" x14ac:dyDescent="0.2">
      <c r="B6551" s="3" t="s">
        <v>257</v>
      </c>
    </row>
    <row r="6552" spans="2:2" x14ac:dyDescent="0.2">
      <c r="B6552" s="3" t="s">
        <v>257</v>
      </c>
    </row>
    <row r="6553" spans="2:2" x14ac:dyDescent="0.2">
      <c r="B6553" s="3" t="s">
        <v>257</v>
      </c>
    </row>
    <row r="6554" spans="2:2" x14ac:dyDescent="0.2">
      <c r="B6554" s="3" t="s">
        <v>257</v>
      </c>
    </row>
    <row r="6555" spans="2:2" x14ac:dyDescent="0.2">
      <c r="B6555" s="3" t="s">
        <v>257</v>
      </c>
    </row>
    <row r="6556" spans="2:2" x14ac:dyDescent="0.2">
      <c r="B6556" s="3" t="s">
        <v>257</v>
      </c>
    </row>
    <row r="6557" spans="2:2" x14ac:dyDescent="0.2">
      <c r="B6557" s="3" t="s">
        <v>257</v>
      </c>
    </row>
    <row r="6558" spans="2:2" x14ac:dyDescent="0.2">
      <c r="B6558" s="3" t="s">
        <v>257</v>
      </c>
    </row>
    <row r="6559" spans="2:2" x14ac:dyDescent="0.2">
      <c r="B6559" s="3" t="s">
        <v>257</v>
      </c>
    </row>
    <row r="6560" spans="2:2" x14ac:dyDescent="0.2">
      <c r="B6560" s="3" t="s">
        <v>257</v>
      </c>
    </row>
    <row r="6561" spans="2:2" x14ac:dyDescent="0.2">
      <c r="B6561" s="3" t="s">
        <v>257</v>
      </c>
    </row>
    <row r="6562" spans="2:2" x14ac:dyDescent="0.2">
      <c r="B6562" s="3" t="s">
        <v>257</v>
      </c>
    </row>
    <row r="6563" spans="2:2" x14ac:dyDescent="0.2">
      <c r="B6563" s="3" t="s">
        <v>257</v>
      </c>
    </row>
    <row r="6564" spans="2:2" x14ac:dyDescent="0.2">
      <c r="B6564" s="3" t="s">
        <v>257</v>
      </c>
    </row>
    <row r="6565" spans="2:2" x14ac:dyDescent="0.2">
      <c r="B6565" s="3" t="s">
        <v>257</v>
      </c>
    </row>
    <row r="6566" spans="2:2" x14ac:dyDescent="0.2">
      <c r="B6566" s="3" t="s">
        <v>257</v>
      </c>
    </row>
    <row r="6567" spans="2:2" x14ac:dyDescent="0.2">
      <c r="B6567" s="3" t="s">
        <v>257</v>
      </c>
    </row>
    <row r="6568" spans="2:2" x14ac:dyDescent="0.2">
      <c r="B6568" s="3" t="s">
        <v>257</v>
      </c>
    </row>
    <row r="6569" spans="2:2" x14ac:dyDescent="0.2">
      <c r="B6569" s="3" t="s">
        <v>257</v>
      </c>
    </row>
    <row r="6570" spans="2:2" x14ac:dyDescent="0.2">
      <c r="B6570" s="3" t="s">
        <v>257</v>
      </c>
    </row>
    <row r="6571" spans="2:2" x14ac:dyDescent="0.2">
      <c r="B6571" s="3" t="s">
        <v>257</v>
      </c>
    </row>
    <row r="6572" spans="2:2" x14ac:dyDescent="0.2">
      <c r="B6572" s="3" t="s">
        <v>257</v>
      </c>
    </row>
    <row r="6573" spans="2:2" x14ac:dyDescent="0.2">
      <c r="B6573" s="3" t="s">
        <v>257</v>
      </c>
    </row>
    <row r="6574" spans="2:2" x14ac:dyDescent="0.2">
      <c r="B6574" s="3" t="s">
        <v>257</v>
      </c>
    </row>
    <row r="6575" spans="2:2" x14ac:dyDescent="0.2">
      <c r="B6575" s="3" t="s">
        <v>257</v>
      </c>
    </row>
    <row r="6576" spans="2:2" x14ac:dyDescent="0.2">
      <c r="B6576" s="3" t="s">
        <v>257</v>
      </c>
    </row>
    <row r="6577" spans="2:2" x14ac:dyDescent="0.2">
      <c r="B6577" s="3" t="s">
        <v>257</v>
      </c>
    </row>
    <row r="6578" spans="2:2" x14ac:dyDescent="0.2">
      <c r="B6578" s="3" t="s">
        <v>257</v>
      </c>
    </row>
    <row r="6579" spans="2:2" x14ac:dyDescent="0.2">
      <c r="B6579" s="3" t="s">
        <v>257</v>
      </c>
    </row>
    <row r="6580" spans="2:2" x14ac:dyDescent="0.2">
      <c r="B6580" s="3" t="s">
        <v>257</v>
      </c>
    </row>
    <row r="6581" spans="2:2" x14ac:dyDescent="0.2">
      <c r="B6581" s="3" t="s">
        <v>257</v>
      </c>
    </row>
    <row r="6582" spans="2:2" x14ac:dyDescent="0.2">
      <c r="B6582" s="3" t="s">
        <v>257</v>
      </c>
    </row>
    <row r="6583" spans="2:2" x14ac:dyDescent="0.2">
      <c r="B6583" s="3" t="s">
        <v>257</v>
      </c>
    </row>
    <row r="6584" spans="2:2" x14ac:dyDescent="0.2">
      <c r="B6584" s="3" t="s">
        <v>257</v>
      </c>
    </row>
    <row r="6585" spans="2:2" x14ac:dyDescent="0.2">
      <c r="B6585" s="3" t="s">
        <v>257</v>
      </c>
    </row>
    <row r="6586" spans="2:2" x14ac:dyDescent="0.2">
      <c r="B6586" s="3" t="s">
        <v>257</v>
      </c>
    </row>
    <row r="6587" spans="2:2" x14ac:dyDescent="0.2">
      <c r="B6587" s="3" t="s">
        <v>257</v>
      </c>
    </row>
    <row r="6588" spans="2:2" x14ac:dyDescent="0.2">
      <c r="B6588" s="3" t="s">
        <v>257</v>
      </c>
    </row>
    <row r="6589" spans="2:2" x14ac:dyDescent="0.2">
      <c r="B6589" s="3" t="s">
        <v>257</v>
      </c>
    </row>
    <row r="6590" spans="2:2" x14ac:dyDescent="0.2">
      <c r="B6590" s="3" t="s">
        <v>257</v>
      </c>
    </row>
    <row r="6591" spans="2:2" x14ac:dyDescent="0.2">
      <c r="B6591" s="3" t="s">
        <v>257</v>
      </c>
    </row>
    <row r="6592" spans="2:2" x14ac:dyDescent="0.2">
      <c r="B6592" s="3" t="s">
        <v>257</v>
      </c>
    </row>
    <row r="6593" spans="2:2" x14ac:dyDescent="0.2">
      <c r="B6593" s="3" t="s">
        <v>257</v>
      </c>
    </row>
    <row r="6594" spans="2:2" x14ac:dyDescent="0.2">
      <c r="B6594" s="3" t="s">
        <v>257</v>
      </c>
    </row>
    <row r="6595" spans="2:2" x14ac:dyDescent="0.2">
      <c r="B6595" s="3" t="s">
        <v>257</v>
      </c>
    </row>
    <row r="6596" spans="2:2" x14ac:dyDescent="0.2">
      <c r="B6596" s="3" t="s">
        <v>257</v>
      </c>
    </row>
    <row r="6597" spans="2:2" x14ac:dyDescent="0.2">
      <c r="B6597" s="3" t="s">
        <v>257</v>
      </c>
    </row>
    <row r="6598" spans="2:2" x14ac:dyDescent="0.2">
      <c r="B6598" s="3" t="s">
        <v>257</v>
      </c>
    </row>
    <row r="6599" spans="2:2" x14ac:dyDescent="0.2">
      <c r="B6599" s="3" t="s">
        <v>257</v>
      </c>
    </row>
    <row r="6600" spans="2:2" x14ac:dyDescent="0.2">
      <c r="B6600" s="3" t="s">
        <v>257</v>
      </c>
    </row>
    <row r="6601" spans="2:2" x14ac:dyDescent="0.2">
      <c r="B6601" s="3" t="s">
        <v>257</v>
      </c>
    </row>
    <row r="6602" spans="2:2" x14ac:dyDescent="0.2">
      <c r="B6602" s="3" t="s">
        <v>257</v>
      </c>
    </row>
    <row r="6603" spans="2:2" x14ac:dyDescent="0.2">
      <c r="B6603" s="3" t="s">
        <v>257</v>
      </c>
    </row>
    <row r="6604" spans="2:2" x14ac:dyDescent="0.2">
      <c r="B6604" s="3" t="s">
        <v>257</v>
      </c>
    </row>
    <row r="6605" spans="2:2" x14ac:dyDescent="0.2">
      <c r="B6605" s="3" t="s">
        <v>257</v>
      </c>
    </row>
    <row r="6606" spans="2:2" x14ac:dyDescent="0.2">
      <c r="B6606" s="3" t="s">
        <v>257</v>
      </c>
    </row>
    <row r="6607" spans="2:2" x14ac:dyDescent="0.2">
      <c r="B6607" s="3" t="s">
        <v>257</v>
      </c>
    </row>
    <row r="6608" spans="2:2" x14ac:dyDescent="0.2">
      <c r="B6608" s="3" t="s">
        <v>257</v>
      </c>
    </row>
    <row r="6609" spans="2:2" x14ac:dyDescent="0.2">
      <c r="B6609" s="3" t="s">
        <v>257</v>
      </c>
    </row>
    <row r="6610" spans="2:2" x14ac:dyDescent="0.2">
      <c r="B6610" s="3" t="s">
        <v>257</v>
      </c>
    </row>
    <row r="6611" spans="2:2" x14ac:dyDescent="0.2">
      <c r="B6611" s="3" t="s">
        <v>257</v>
      </c>
    </row>
    <row r="6612" spans="2:2" x14ac:dyDescent="0.2">
      <c r="B6612" s="3" t="s">
        <v>257</v>
      </c>
    </row>
    <row r="6613" spans="2:2" x14ac:dyDescent="0.2">
      <c r="B6613" s="3" t="s">
        <v>257</v>
      </c>
    </row>
    <row r="6614" spans="2:2" x14ac:dyDescent="0.2">
      <c r="B6614" s="3" t="s">
        <v>257</v>
      </c>
    </row>
    <row r="6615" spans="2:2" x14ac:dyDescent="0.2">
      <c r="B6615" s="3" t="s">
        <v>257</v>
      </c>
    </row>
    <row r="6616" spans="2:2" x14ac:dyDescent="0.2">
      <c r="B6616" s="3" t="s">
        <v>257</v>
      </c>
    </row>
    <row r="6617" spans="2:2" x14ac:dyDescent="0.2">
      <c r="B6617" s="3" t="s">
        <v>257</v>
      </c>
    </row>
    <row r="6618" spans="2:2" x14ac:dyDescent="0.2">
      <c r="B6618" s="3" t="s">
        <v>257</v>
      </c>
    </row>
    <row r="6619" spans="2:2" x14ac:dyDescent="0.2">
      <c r="B6619" s="3" t="s">
        <v>257</v>
      </c>
    </row>
    <row r="6620" spans="2:2" x14ac:dyDescent="0.2">
      <c r="B6620" s="3" t="s">
        <v>257</v>
      </c>
    </row>
    <row r="6621" spans="2:2" x14ac:dyDescent="0.2">
      <c r="B6621" s="3" t="s">
        <v>257</v>
      </c>
    </row>
    <row r="6622" spans="2:2" x14ac:dyDescent="0.2">
      <c r="B6622" s="3" t="s">
        <v>257</v>
      </c>
    </row>
    <row r="6623" spans="2:2" x14ac:dyDescent="0.2">
      <c r="B6623" s="3" t="s">
        <v>257</v>
      </c>
    </row>
    <row r="6624" spans="2:2" x14ac:dyDescent="0.2">
      <c r="B6624" s="3" t="s">
        <v>257</v>
      </c>
    </row>
    <row r="6625" spans="2:2" x14ac:dyDescent="0.2">
      <c r="B6625" s="3" t="s">
        <v>257</v>
      </c>
    </row>
    <row r="6626" spans="2:2" x14ac:dyDescent="0.2">
      <c r="B6626" s="3" t="s">
        <v>257</v>
      </c>
    </row>
    <row r="6627" spans="2:2" x14ac:dyDescent="0.2">
      <c r="B6627" s="3" t="s">
        <v>257</v>
      </c>
    </row>
    <row r="6628" spans="2:2" x14ac:dyDescent="0.2">
      <c r="B6628" s="3" t="s">
        <v>257</v>
      </c>
    </row>
    <row r="6629" spans="2:2" x14ac:dyDescent="0.2">
      <c r="B6629" s="3" t="s">
        <v>257</v>
      </c>
    </row>
    <row r="6630" spans="2:2" x14ac:dyDescent="0.2">
      <c r="B6630" s="3" t="s">
        <v>257</v>
      </c>
    </row>
    <row r="6631" spans="2:2" x14ac:dyDescent="0.2">
      <c r="B6631" s="3" t="s">
        <v>257</v>
      </c>
    </row>
    <row r="6632" spans="2:2" x14ac:dyDescent="0.2">
      <c r="B6632" s="3" t="s">
        <v>257</v>
      </c>
    </row>
    <row r="6633" spans="2:2" x14ac:dyDescent="0.2">
      <c r="B6633" s="3" t="s">
        <v>257</v>
      </c>
    </row>
    <row r="6634" spans="2:2" x14ac:dyDescent="0.2">
      <c r="B6634" s="3" t="s">
        <v>257</v>
      </c>
    </row>
    <row r="6635" spans="2:2" x14ac:dyDescent="0.2">
      <c r="B6635" s="3" t="s">
        <v>257</v>
      </c>
    </row>
    <row r="6636" spans="2:2" x14ac:dyDescent="0.2">
      <c r="B6636" s="3" t="s">
        <v>257</v>
      </c>
    </row>
    <row r="6637" spans="2:2" x14ac:dyDescent="0.2">
      <c r="B6637" s="3" t="s">
        <v>257</v>
      </c>
    </row>
    <row r="6638" spans="2:2" x14ac:dyDescent="0.2">
      <c r="B6638" s="3" t="s">
        <v>257</v>
      </c>
    </row>
    <row r="6639" spans="2:2" x14ac:dyDescent="0.2">
      <c r="B6639" s="3" t="s">
        <v>257</v>
      </c>
    </row>
    <row r="6640" spans="2:2" x14ac:dyDescent="0.2">
      <c r="B6640" s="3" t="s">
        <v>257</v>
      </c>
    </row>
    <row r="6641" spans="2:2" x14ac:dyDescent="0.2">
      <c r="B6641" s="3" t="s">
        <v>257</v>
      </c>
    </row>
    <row r="6642" spans="2:2" x14ac:dyDescent="0.2">
      <c r="B6642" s="3" t="s">
        <v>257</v>
      </c>
    </row>
    <row r="6643" spans="2:2" x14ac:dyDescent="0.2">
      <c r="B6643" s="3" t="s">
        <v>257</v>
      </c>
    </row>
    <row r="6644" spans="2:2" x14ac:dyDescent="0.2">
      <c r="B6644" s="3" t="s">
        <v>257</v>
      </c>
    </row>
    <row r="6645" spans="2:2" x14ac:dyDescent="0.2">
      <c r="B6645" s="3" t="s">
        <v>257</v>
      </c>
    </row>
    <row r="6646" spans="2:2" x14ac:dyDescent="0.2">
      <c r="B6646" s="3" t="s">
        <v>257</v>
      </c>
    </row>
    <row r="6647" spans="2:2" x14ac:dyDescent="0.2">
      <c r="B6647" s="3" t="s">
        <v>257</v>
      </c>
    </row>
    <row r="6648" spans="2:2" x14ac:dyDescent="0.2">
      <c r="B6648" s="3" t="s">
        <v>257</v>
      </c>
    </row>
    <row r="6649" spans="2:2" x14ac:dyDescent="0.2">
      <c r="B6649" s="3" t="s">
        <v>257</v>
      </c>
    </row>
    <row r="6650" spans="2:2" x14ac:dyDescent="0.2">
      <c r="B6650" s="3" t="s">
        <v>257</v>
      </c>
    </row>
    <row r="6651" spans="2:2" x14ac:dyDescent="0.2">
      <c r="B6651" s="3" t="s">
        <v>257</v>
      </c>
    </row>
    <row r="6652" spans="2:2" x14ac:dyDescent="0.2">
      <c r="B6652" s="3" t="s">
        <v>257</v>
      </c>
    </row>
    <row r="6653" spans="2:2" x14ac:dyDescent="0.2">
      <c r="B6653" s="3" t="s">
        <v>257</v>
      </c>
    </row>
    <row r="6654" spans="2:2" x14ac:dyDescent="0.2">
      <c r="B6654" s="3" t="s">
        <v>257</v>
      </c>
    </row>
    <row r="6655" spans="2:2" x14ac:dyDescent="0.2">
      <c r="B6655" s="3" t="s">
        <v>257</v>
      </c>
    </row>
    <row r="6656" spans="2:2" x14ac:dyDescent="0.2">
      <c r="B6656" s="3" t="s">
        <v>257</v>
      </c>
    </row>
    <row r="6657" spans="2:2" x14ac:dyDescent="0.2">
      <c r="B6657" s="3" t="s">
        <v>257</v>
      </c>
    </row>
    <row r="6658" spans="2:2" x14ac:dyDescent="0.2">
      <c r="B6658" s="3" t="s">
        <v>257</v>
      </c>
    </row>
    <row r="6659" spans="2:2" x14ac:dyDescent="0.2">
      <c r="B6659" s="3" t="s">
        <v>257</v>
      </c>
    </row>
    <row r="6660" spans="2:2" x14ac:dyDescent="0.2">
      <c r="B6660" s="3" t="s">
        <v>257</v>
      </c>
    </row>
    <row r="6661" spans="2:2" x14ac:dyDescent="0.2">
      <c r="B6661" s="3" t="s">
        <v>257</v>
      </c>
    </row>
    <row r="6662" spans="2:2" x14ac:dyDescent="0.2">
      <c r="B6662" s="3" t="s">
        <v>257</v>
      </c>
    </row>
    <row r="6663" spans="2:2" x14ac:dyDescent="0.2">
      <c r="B6663" s="3" t="s">
        <v>257</v>
      </c>
    </row>
    <row r="6664" spans="2:2" x14ac:dyDescent="0.2">
      <c r="B6664" s="3" t="s">
        <v>257</v>
      </c>
    </row>
    <row r="6665" spans="2:2" x14ac:dyDescent="0.2">
      <c r="B6665" s="3" t="s">
        <v>257</v>
      </c>
    </row>
    <row r="6666" spans="2:2" x14ac:dyDescent="0.2">
      <c r="B6666" s="3" t="s">
        <v>257</v>
      </c>
    </row>
    <row r="6667" spans="2:2" x14ac:dyDescent="0.2">
      <c r="B6667" s="3" t="s">
        <v>257</v>
      </c>
    </row>
    <row r="6668" spans="2:2" x14ac:dyDescent="0.2">
      <c r="B6668" s="3" t="s">
        <v>257</v>
      </c>
    </row>
    <row r="6669" spans="2:2" x14ac:dyDescent="0.2">
      <c r="B6669" s="3" t="s">
        <v>257</v>
      </c>
    </row>
    <row r="6670" spans="2:2" x14ac:dyDescent="0.2">
      <c r="B6670" s="3" t="s">
        <v>257</v>
      </c>
    </row>
    <row r="6671" spans="2:2" x14ac:dyDescent="0.2">
      <c r="B6671" s="3" t="s">
        <v>257</v>
      </c>
    </row>
    <row r="6672" spans="2:2" x14ac:dyDescent="0.2">
      <c r="B6672" s="3" t="s">
        <v>257</v>
      </c>
    </row>
    <row r="6673" spans="2:2" x14ac:dyDescent="0.2">
      <c r="B6673" s="3" t="s">
        <v>257</v>
      </c>
    </row>
    <row r="6674" spans="2:2" x14ac:dyDescent="0.2">
      <c r="B6674" s="3" t="s">
        <v>257</v>
      </c>
    </row>
    <row r="6675" spans="2:2" x14ac:dyDescent="0.2">
      <c r="B6675" s="3" t="s">
        <v>257</v>
      </c>
    </row>
    <row r="6676" spans="2:2" x14ac:dyDescent="0.2">
      <c r="B6676" s="3" t="s">
        <v>257</v>
      </c>
    </row>
    <row r="6677" spans="2:2" x14ac:dyDescent="0.2">
      <c r="B6677" s="3" t="s">
        <v>257</v>
      </c>
    </row>
    <row r="6678" spans="2:2" x14ac:dyDescent="0.2">
      <c r="B6678" s="3" t="s">
        <v>257</v>
      </c>
    </row>
    <row r="6679" spans="2:2" x14ac:dyDescent="0.2">
      <c r="B6679" s="3" t="s">
        <v>257</v>
      </c>
    </row>
    <row r="6680" spans="2:2" x14ac:dyDescent="0.2">
      <c r="B6680" s="3" t="s">
        <v>257</v>
      </c>
    </row>
    <row r="6681" spans="2:2" x14ac:dyDescent="0.2">
      <c r="B6681" s="3" t="s">
        <v>257</v>
      </c>
    </row>
    <row r="6682" spans="2:2" x14ac:dyDescent="0.2">
      <c r="B6682" s="3" t="s">
        <v>257</v>
      </c>
    </row>
    <row r="6683" spans="2:2" x14ac:dyDescent="0.2">
      <c r="B6683" s="3" t="s">
        <v>257</v>
      </c>
    </row>
    <row r="6684" spans="2:2" x14ac:dyDescent="0.2">
      <c r="B6684" s="3" t="s">
        <v>257</v>
      </c>
    </row>
    <row r="6685" spans="2:2" x14ac:dyDescent="0.2">
      <c r="B6685" s="3" t="s">
        <v>257</v>
      </c>
    </row>
    <row r="6686" spans="2:2" x14ac:dyDescent="0.2">
      <c r="B6686" s="3" t="s">
        <v>257</v>
      </c>
    </row>
    <row r="6687" spans="2:2" x14ac:dyDescent="0.2">
      <c r="B6687" s="3" t="s">
        <v>257</v>
      </c>
    </row>
    <row r="6688" spans="2:2" x14ac:dyDescent="0.2">
      <c r="B6688" s="3" t="s">
        <v>257</v>
      </c>
    </row>
    <row r="6689" spans="2:2" x14ac:dyDescent="0.2">
      <c r="B6689" s="3" t="s">
        <v>257</v>
      </c>
    </row>
    <row r="6690" spans="2:2" x14ac:dyDescent="0.2">
      <c r="B6690" s="3" t="s">
        <v>257</v>
      </c>
    </row>
    <row r="6691" spans="2:2" x14ac:dyDescent="0.2">
      <c r="B6691" s="3" t="s">
        <v>257</v>
      </c>
    </row>
    <row r="6692" spans="2:2" x14ac:dyDescent="0.2">
      <c r="B6692" s="3" t="s">
        <v>257</v>
      </c>
    </row>
    <row r="6693" spans="2:2" x14ac:dyDescent="0.2">
      <c r="B6693" s="3" t="s">
        <v>257</v>
      </c>
    </row>
    <row r="6694" spans="2:2" x14ac:dyDescent="0.2">
      <c r="B6694" s="3" t="s">
        <v>257</v>
      </c>
    </row>
    <row r="6695" spans="2:2" x14ac:dyDescent="0.2">
      <c r="B6695" s="3" t="s">
        <v>257</v>
      </c>
    </row>
    <row r="6696" spans="2:2" x14ac:dyDescent="0.2">
      <c r="B6696" s="3" t="s">
        <v>257</v>
      </c>
    </row>
    <row r="6697" spans="2:2" x14ac:dyDescent="0.2">
      <c r="B6697" s="3" t="s">
        <v>257</v>
      </c>
    </row>
    <row r="6698" spans="2:2" x14ac:dyDescent="0.2">
      <c r="B6698" s="3" t="s">
        <v>257</v>
      </c>
    </row>
    <row r="6699" spans="2:2" x14ac:dyDescent="0.2">
      <c r="B6699" s="3" t="s">
        <v>257</v>
      </c>
    </row>
    <row r="6700" spans="2:2" x14ac:dyDescent="0.2">
      <c r="B6700" s="3" t="s">
        <v>257</v>
      </c>
    </row>
    <row r="6701" spans="2:2" x14ac:dyDescent="0.2">
      <c r="B6701" s="3" t="s">
        <v>257</v>
      </c>
    </row>
    <row r="6702" spans="2:2" x14ac:dyDescent="0.2">
      <c r="B6702" s="3" t="s">
        <v>257</v>
      </c>
    </row>
    <row r="6703" spans="2:2" x14ac:dyDescent="0.2">
      <c r="B6703" s="3" t="s">
        <v>257</v>
      </c>
    </row>
    <row r="6704" spans="2:2" x14ac:dyDescent="0.2">
      <c r="B6704" s="3" t="s">
        <v>257</v>
      </c>
    </row>
    <row r="6705" spans="2:2" x14ac:dyDescent="0.2">
      <c r="B6705" s="3" t="s">
        <v>257</v>
      </c>
    </row>
    <row r="6706" spans="2:2" x14ac:dyDescent="0.2">
      <c r="B6706" s="3" t="s">
        <v>257</v>
      </c>
    </row>
    <row r="6707" spans="2:2" x14ac:dyDescent="0.2">
      <c r="B6707" s="3" t="s">
        <v>257</v>
      </c>
    </row>
    <row r="6708" spans="2:2" x14ac:dyDescent="0.2">
      <c r="B6708" s="3" t="s">
        <v>257</v>
      </c>
    </row>
    <row r="6709" spans="2:2" x14ac:dyDescent="0.2">
      <c r="B6709" s="3" t="s">
        <v>257</v>
      </c>
    </row>
    <row r="6710" spans="2:2" x14ac:dyDescent="0.2">
      <c r="B6710" s="3" t="s">
        <v>257</v>
      </c>
    </row>
    <row r="6711" spans="2:2" x14ac:dyDescent="0.2">
      <c r="B6711" s="3" t="s">
        <v>257</v>
      </c>
    </row>
    <row r="6712" spans="2:2" x14ac:dyDescent="0.2">
      <c r="B6712" s="3" t="s">
        <v>257</v>
      </c>
    </row>
    <row r="6713" spans="2:2" x14ac:dyDescent="0.2">
      <c r="B6713" s="3" t="s">
        <v>257</v>
      </c>
    </row>
    <row r="6714" spans="2:2" x14ac:dyDescent="0.2">
      <c r="B6714" s="3" t="s">
        <v>257</v>
      </c>
    </row>
    <row r="6715" spans="2:2" x14ac:dyDescent="0.2">
      <c r="B6715" s="3" t="s">
        <v>257</v>
      </c>
    </row>
    <row r="6716" spans="2:2" x14ac:dyDescent="0.2">
      <c r="B6716" s="3" t="s">
        <v>257</v>
      </c>
    </row>
    <row r="6717" spans="2:2" x14ac:dyDescent="0.2">
      <c r="B6717" s="3" t="s">
        <v>257</v>
      </c>
    </row>
    <row r="6718" spans="2:2" x14ac:dyDescent="0.2">
      <c r="B6718" s="3" t="s">
        <v>257</v>
      </c>
    </row>
    <row r="6719" spans="2:2" x14ac:dyDescent="0.2">
      <c r="B6719" s="3" t="s">
        <v>257</v>
      </c>
    </row>
    <row r="6720" spans="2:2" x14ac:dyDescent="0.2">
      <c r="B6720" s="3" t="s">
        <v>257</v>
      </c>
    </row>
    <row r="6721" spans="2:2" x14ac:dyDescent="0.2">
      <c r="B6721" s="3" t="s">
        <v>257</v>
      </c>
    </row>
    <row r="6722" spans="2:2" x14ac:dyDescent="0.2">
      <c r="B6722" s="3" t="s">
        <v>257</v>
      </c>
    </row>
    <row r="6723" spans="2:2" x14ac:dyDescent="0.2">
      <c r="B6723" s="3" t="s">
        <v>257</v>
      </c>
    </row>
    <row r="6724" spans="2:2" x14ac:dyDescent="0.2">
      <c r="B6724" s="3" t="s">
        <v>257</v>
      </c>
    </row>
    <row r="6725" spans="2:2" x14ac:dyDescent="0.2">
      <c r="B6725" s="3" t="s">
        <v>257</v>
      </c>
    </row>
    <row r="6726" spans="2:2" x14ac:dyDescent="0.2">
      <c r="B6726" s="3" t="s">
        <v>257</v>
      </c>
    </row>
    <row r="6727" spans="2:2" x14ac:dyDescent="0.2">
      <c r="B6727" s="3" t="s">
        <v>257</v>
      </c>
    </row>
    <row r="6728" spans="2:2" x14ac:dyDescent="0.2">
      <c r="B6728" s="3" t="s">
        <v>257</v>
      </c>
    </row>
    <row r="6729" spans="2:2" x14ac:dyDescent="0.2">
      <c r="B6729" s="3" t="s">
        <v>257</v>
      </c>
    </row>
    <row r="6730" spans="2:2" x14ac:dyDescent="0.2">
      <c r="B6730" s="3" t="s">
        <v>257</v>
      </c>
    </row>
    <row r="6731" spans="2:2" x14ac:dyDescent="0.2">
      <c r="B6731" s="3" t="s">
        <v>257</v>
      </c>
    </row>
    <row r="6732" spans="2:2" x14ac:dyDescent="0.2">
      <c r="B6732" s="3" t="s">
        <v>257</v>
      </c>
    </row>
    <row r="6733" spans="2:2" x14ac:dyDescent="0.2">
      <c r="B6733" s="3" t="s">
        <v>257</v>
      </c>
    </row>
    <row r="6734" spans="2:2" x14ac:dyDescent="0.2">
      <c r="B6734" s="3" t="s">
        <v>257</v>
      </c>
    </row>
    <row r="6735" spans="2:2" x14ac:dyDescent="0.2">
      <c r="B6735" s="3" t="s">
        <v>257</v>
      </c>
    </row>
    <row r="6736" spans="2:2" x14ac:dyDescent="0.2">
      <c r="B6736" s="3" t="s">
        <v>257</v>
      </c>
    </row>
    <row r="6737" spans="2:2" x14ac:dyDescent="0.2">
      <c r="B6737" s="3" t="s">
        <v>257</v>
      </c>
    </row>
    <row r="6738" spans="2:2" x14ac:dyDescent="0.2">
      <c r="B6738" s="3" t="s">
        <v>257</v>
      </c>
    </row>
    <row r="6739" spans="2:2" x14ac:dyDescent="0.2">
      <c r="B6739" s="3" t="s">
        <v>257</v>
      </c>
    </row>
    <row r="6740" spans="2:2" x14ac:dyDescent="0.2">
      <c r="B6740" s="3" t="s">
        <v>257</v>
      </c>
    </row>
    <row r="6741" spans="2:2" x14ac:dyDescent="0.2">
      <c r="B6741" s="3" t="s">
        <v>257</v>
      </c>
    </row>
    <row r="6742" spans="2:2" x14ac:dyDescent="0.2">
      <c r="B6742" s="3" t="s">
        <v>257</v>
      </c>
    </row>
    <row r="6743" spans="2:2" x14ac:dyDescent="0.2">
      <c r="B6743" s="3" t="s">
        <v>257</v>
      </c>
    </row>
    <row r="6744" spans="2:2" x14ac:dyDescent="0.2">
      <c r="B6744" s="3" t="s">
        <v>257</v>
      </c>
    </row>
    <row r="6745" spans="2:2" x14ac:dyDescent="0.2">
      <c r="B6745" s="3" t="s">
        <v>257</v>
      </c>
    </row>
    <row r="6746" spans="2:2" x14ac:dyDescent="0.2">
      <c r="B6746" s="3" t="s">
        <v>257</v>
      </c>
    </row>
    <row r="6747" spans="2:2" x14ac:dyDescent="0.2">
      <c r="B6747" s="3" t="s">
        <v>257</v>
      </c>
    </row>
    <row r="6748" spans="2:2" x14ac:dyDescent="0.2">
      <c r="B6748" s="3" t="s">
        <v>257</v>
      </c>
    </row>
    <row r="6749" spans="2:2" x14ac:dyDescent="0.2">
      <c r="B6749" s="3" t="s">
        <v>257</v>
      </c>
    </row>
    <row r="6750" spans="2:2" x14ac:dyDescent="0.2">
      <c r="B6750" s="3" t="s">
        <v>257</v>
      </c>
    </row>
    <row r="6751" spans="2:2" x14ac:dyDescent="0.2">
      <c r="B6751" s="3" t="s">
        <v>257</v>
      </c>
    </row>
    <row r="6752" spans="2:2" x14ac:dyDescent="0.2">
      <c r="B6752" s="3" t="s">
        <v>257</v>
      </c>
    </row>
    <row r="6753" spans="2:2" x14ac:dyDescent="0.2">
      <c r="B6753" s="3" t="s">
        <v>257</v>
      </c>
    </row>
    <row r="6754" spans="2:2" x14ac:dyDescent="0.2">
      <c r="B6754" s="3" t="s">
        <v>257</v>
      </c>
    </row>
    <row r="6755" spans="2:2" x14ac:dyDescent="0.2">
      <c r="B6755" s="3" t="s">
        <v>257</v>
      </c>
    </row>
    <row r="6756" spans="2:2" x14ac:dyDescent="0.2">
      <c r="B6756" s="3" t="s">
        <v>257</v>
      </c>
    </row>
    <row r="6757" spans="2:2" x14ac:dyDescent="0.2">
      <c r="B6757" s="3" t="s">
        <v>257</v>
      </c>
    </row>
    <row r="6758" spans="2:2" x14ac:dyDescent="0.2">
      <c r="B6758" s="3" t="s">
        <v>257</v>
      </c>
    </row>
    <row r="6759" spans="2:2" x14ac:dyDescent="0.2">
      <c r="B6759" s="3" t="s">
        <v>257</v>
      </c>
    </row>
    <row r="6760" spans="2:2" x14ac:dyDescent="0.2">
      <c r="B6760" s="3" t="s">
        <v>257</v>
      </c>
    </row>
    <row r="6761" spans="2:2" x14ac:dyDescent="0.2">
      <c r="B6761" s="3" t="s">
        <v>257</v>
      </c>
    </row>
    <row r="6762" spans="2:2" x14ac:dyDescent="0.2">
      <c r="B6762" s="3" t="s">
        <v>257</v>
      </c>
    </row>
    <row r="6763" spans="2:2" x14ac:dyDescent="0.2">
      <c r="B6763" s="3" t="s">
        <v>257</v>
      </c>
    </row>
    <row r="6764" spans="2:2" x14ac:dyDescent="0.2">
      <c r="B6764" s="3" t="s">
        <v>257</v>
      </c>
    </row>
    <row r="6765" spans="2:2" x14ac:dyDescent="0.2">
      <c r="B6765" s="3" t="s">
        <v>257</v>
      </c>
    </row>
    <row r="6766" spans="2:2" x14ac:dyDescent="0.2">
      <c r="B6766" s="3" t="s">
        <v>257</v>
      </c>
    </row>
    <row r="6767" spans="2:2" x14ac:dyDescent="0.2">
      <c r="B6767" s="3" t="s">
        <v>257</v>
      </c>
    </row>
    <row r="6768" spans="2:2" x14ac:dyDescent="0.2">
      <c r="B6768" s="3" t="s">
        <v>257</v>
      </c>
    </row>
    <row r="6769" spans="2:2" x14ac:dyDescent="0.2">
      <c r="B6769" s="3" t="s">
        <v>257</v>
      </c>
    </row>
    <row r="6770" spans="2:2" x14ac:dyDescent="0.2">
      <c r="B6770" s="3" t="s">
        <v>257</v>
      </c>
    </row>
    <row r="6771" spans="2:2" x14ac:dyDescent="0.2">
      <c r="B6771" s="3" t="s">
        <v>257</v>
      </c>
    </row>
    <row r="6772" spans="2:2" x14ac:dyDescent="0.2">
      <c r="B6772" s="3" t="s">
        <v>257</v>
      </c>
    </row>
    <row r="6773" spans="2:2" x14ac:dyDescent="0.2">
      <c r="B6773" s="3" t="s">
        <v>257</v>
      </c>
    </row>
    <row r="6774" spans="2:2" x14ac:dyDescent="0.2">
      <c r="B6774" s="3" t="s">
        <v>257</v>
      </c>
    </row>
    <row r="6775" spans="2:2" x14ac:dyDescent="0.2">
      <c r="B6775" s="3" t="s">
        <v>257</v>
      </c>
    </row>
    <row r="6776" spans="2:2" x14ac:dyDescent="0.2">
      <c r="B6776" s="3" t="s">
        <v>257</v>
      </c>
    </row>
    <row r="6777" spans="2:2" x14ac:dyDescent="0.2">
      <c r="B6777" s="3" t="s">
        <v>257</v>
      </c>
    </row>
    <row r="6778" spans="2:2" x14ac:dyDescent="0.2">
      <c r="B6778" s="3" t="s">
        <v>257</v>
      </c>
    </row>
    <row r="6779" spans="2:2" x14ac:dyDescent="0.2">
      <c r="B6779" s="3" t="s">
        <v>257</v>
      </c>
    </row>
    <row r="6780" spans="2:2" x14ac:dyDescent="0.2">
      <c r="B6780" s="3" t="s">
        <v>257</v>
      </c>
    </row>
    <row r="6781" spans="2:2" x14ac:dyDescent="0.2">
      <c r="B6781" s="3" t="s">
        <v>257</v>
      </c>
    </row>
    <row r="6782" spans="2:2" x14ac:dyDescent="0.2">
      <c r="B6782" s="3" t="s">
        <v>257</v>
      </c>
    </row>
    <row r="6783" spans="2:2" x14ac:dyDescent="0.2">
      <c r="B6783" s="3" t="s">
        <v>257</v>
      </c>
    </row>
    <row r="6784" spans="2:2" x14ac:dyDescent="0.2">
      <c r="B6784" s="3" t="s">
        <v>257</v>
      </c>
    </row>
    <row r="6785" spans="2:2" x14ac:dyDescent="0.2">
      <c r="B6785" s="3" t="s">
        <v>257</v>
      </c>
    </row>
    <row r="6786" spans="2:2" x14ac:dyDescent="0.2">
      <c r="B6786" s="3" t="s">
        <v>257</v>
      </c>
    </row>
    <row r="6787" spans="2:2" x14ac:dyDescent="0.2">
      <c r="B6787" s="3" t="s">
        <v>257</v>
      </c>
    </row>
    <row r="6788" spans="2:2" x14ac:dyDescent="0.2">
      <c r="B6788" s="3" t="s">
        <v>257</v>
      </c>
    </row>
    <row r="6789" spans="2:2" x14ac:dyDescent="0.2">
      <c r="B6789" s="3" t="s">
        <v>257</v>
      </c>
    </row>
    <row r="6790" spans="2:2" x14ac:dyDescent="0.2">
      <c r="B6790" s="3" t="s">
        <v>257</v>
      </c>
    </row>
    <row r="6791" spans="2:2" x14ac:dyDescent="0.2">
      <c r="B6791" s="3" t="s">
        <v>257</v>
      </c>
    </row>
    <row r="6792" spans="2:2" x14ac:dyDescent="0.2">
      <c r="B6792" s="3" t="s">
        <v>257</v>
      </c>
    </row>
    <row r="6793" spans="2:2" x14ac:dyDescent="0.2">
      <c r="B6793" s="3" t="s">
        <v>257</v>
      </c>
    </row>
    <row r="6794" spans="2:2" x14ac:dyDescent="0.2">
      <c r="B6794" s="3" t="s">
        <v>257</v>
      </c>
    </row>
    <row r="6795" spans="2:2" x14ac:dyDescent="0.2">
      <c r="B6795" s="3" t="s">
        <v>257</v>
      </c>
    </row>
    <row r="6796" spans="2:2" x14ac:dyDescent="0.2">
      <c r="B6796" s="3" t="s">
        <v>257</v>
      </c>
    </row>
    <row r="6797" spans="2:2" x14ac:dyDescent="0.2">
      <c r="B6797" s="3" t="s">
        <v>257</v>
      </c>
    </row>
    <row r="6798" spans="2:2" x14ac:dyDescent="0.2">
      <c r="B6798" s="3" t="s">
        <v>257</v>
      </c>
    </row>
    <row r="6799" spans="2:2" x14ac:dyDescent="0.2">
      <c r="B6799" s="3" t="s">
        <v>257</v>
      </c>
    </row>
    <row r="6800" spans="2:2" x14ac:dyDescent="0.2">
      <c r="B6800" s="3" t="s">
        <v>257</v>
      </c>
    </row>
    <row r="6801" spans="2:2" x14ac:dyDescent="0.2">
      <c r="B6801" s="3" t="s">
        <v>257</v>
      </c>
    </row>
    <row r="6802" spans="2:2" x14ac:dyDescent="0.2">
      <c r="B6802" s="3" t="s">
        <v>257</v>
      </c>
    </row>
    <row r="6803" spans="2:2" x14ac:dyDescent="0.2">
      <c r="B6803" s="3" t="s">
        <v>257</v>
      </c>
    </row>
    <row r="6804" spans="2:2" x14ac:dyDescent="0.2">
      <c r="B6804" s="3" t="s">
        <v>257</v>
      </c>
    </row>
    <row r="6805" spans="2:2" x14ac:dyDescent="0.2">
      <c r="B6805" s="3" t="s">
        <v>257</v>
      </c>
    </row>
    <row r="6806" spans="2:2" x14ac:dyDescent="0.2">
      <c r="B6806" s="3" t="s">
        <v>257</v>
      </c>
    </row>
    <row r="6807" spans="2:2" x14ac:dyDescent="0.2">
      <c r="B6807" s="3" t="s">
        <v>257</v>
      </c>
    </row>
    <row r="6808" spans="2:2" x14ac:dyDescent="0.2">
      <c r="B6808" s="3" t="s">
        <v>257</v>
      </c>
    </row>
    <row r="6809" spans="2:2" x14ac:dyDescent="0.2">
      <c r="B6809" s="3" t="s">
        <v>257</v>
      </c>
    </row>
    <row r="6810" spans="2:2" x14ac:dyDescent="0.2">
      <c r="B6810" s="3" t="s">
        <v>257</v>
      </c>
    </row>
    <row r="6811" spans="2:2" x14ac:dyDescent="0.2">
      <c r="B6811" s="3" t="s">
        <v>257</v>
      </c>
    </row>
    <row r="6812" spans="2:2" x14ac:dyDescent="0.2">
      <c r="B6812" s="3" t="s">
        <v>257</v>
      </c>
    </row>
    <row r="6813" spans="2:2" x14ac:dyDescent="0.2">
      <c r="B6813" s="3" t="s">
        <v>257</v>
      </c>
    </row>
    <row r="6814" spans="2:2" x14ac:dyDescent="0.2">
      <c r="B6814" s="3" t="s">
        <v>257</v>
      </c>
    </row>
    <row r="6815" spans="2:2" x14ac:dyDescent="0.2">
      <c r="B6815" s="3" t="s">
        <v>257</v>
      </c>
    </row>
    <row r="6816" spans="2:2" x14ac:dyDescent="0.2">
      <c r="B6816" s="3" t="s">
        <v>257</v>
      </c>
    </row>
    <row r="6817" spans="2:2" x14ac:dyDescent="0.2">
      <c r="B6817" s="3" t="s">
        <v>257</v>
      </c>
    </row>
    <row r="6818" spans="2:2" x14ac:dyDescent="0.2">
      <c r="B6818" s="3" t="s">
        <v>257</v>
      </c>
    </row>
    <row r="6819" spans="2:2" x14ac:dyDescent="0.2">
      <c r="B6819" s="3" t="s">
        <v>257</v>
      </c>
    </row>
    <row r="6820" spans="2:2" x14ac:dyDescent="0.2">
      <c r="B6820" s="3" t="s">
        <v>257</v>
      </c>
    </row>
    <row r="6821" spans="2:2" x14ac:dyDescent="0.2">
      <c r="B6821" s="3" t="s">
        <v>257</v>
      </c>
    </row>
    <row r="6822" spans="2:2" x14ac:dyDescent="0.2">
      <c r="B6822" s="3" t="s">
        <v>257</v>
      </c>
    </row>
    <row r="6823" spans="2:2" x14ac:dyDescent="0.2">
      <c r="B6823" s="3" t="s">
        <v>257</v>
      </c>
    </row>
    <row r="6824" spans="2:2" x14ac:dyDescent="0.2">
      <c r="B6824" s="3" t="s">
        <v>257</v>
      </c>
    </row>
    <row r="6825" spans="2:2" x14ac:dyDescent="0.2">
      <c r="B6825" s="3" t="s">
        <v>257</v>
      </c>
    </row>
    <row r="6826" spans="2:2" x14ac:dyDescent="0.2">
      <c r="B6826" s="3" t="s">
        <v>257</v>
      </c>
    </row>
    <row r="6827" spans="2:2" x14ac:dyDescent="0.2">
      <c r="B6827" s="3" t="s">
        <v>257</v>
      </c>
    </row>
    <row r="6828" spans="2:2" x14ac:dyDescent="0.2">
      <c r="B6828" s="3" t="s">
        <v>257</v>
      </c>
    </row>
    <row r="6829" spans="2:2" x14ac:dyDescent="0.2">
      <c r="B6829" s="3" t="s">
        <v>257</v>
      </c>
    </row>
    <row r="6830" spans="2:2" x14ac:dyDescent="0.2">
      <c r="B6830" s="3" t="s">
        <v>257</v>
      </c>
    </row>
    <row r="6831" spans="2:2" x14ac:dyDescent="0.2">
      <c r="B6831" s="3" t="s">
        <v>257</v>
      </c>
    </row>
    <row r="6832" spans="2:2" x14ac:dyDescent="0.2">
      <c r="B6832" s="3" t="s">
        <v>257</v>
      </c>
    </row>
    <row r="6833" spans="2:2" x14ac:dyDescent="0.2">
      <c r="B6833" s="3" t="s">
        <v>257</v>
      </c>
    </row>
    <row r="6834" spans="2:2" x14ac:dyDescent="0.2">
      <c r="B6834" s="3" t="s">
        <v>257</v>
      </c>
    </row>
    <row r="6835" spans="2:2" x14ac:dyDescent="0.2">
      <c r="B6835" s="3" t="s">
        <v>257</v>
      </c>
    </row>
    <row r="6836" spans="2:2" x14ac:dyDescent="0.2">
      <c r="B6836" s="3" t="s">
        <v>257</v>
      </c>
    </row>
    <row r="6837" spans="2:2" x14ac:dyDescent="0.2">
      <c r="B6837" s="3" t="s">
        <v>257</v>
      </c>
    </row>
    <row r="6838" spans="2:2" x14ac:dyDescent="0.2">
      <c r="B6838" s="3" t="s">
        <v>257</v>
      </c>
    </row>
    <row r="6839" spans="2:2" x14ac:dyDescent="0.2">
      <c r="B6839" s="3" t="s">
        <v>257</v>
      </c>
    </row>
    <row r="6840" spans="2:2" x14ac:dyDescent="0.2">
      <c r="B6840" s="3" t="s">
        <v>257</v>
      </c>
    </row>
    <row r="6841" spans="2:2" x14ac:dyDescent="0.2">
      <c r="B6841" s="3" t="s">
        <v>257</v>
      </c>
    </row>
    <row r="6842" spans="2:2" x14ac:dyDescent="0.2">
      <c r="B6842" s="3" t="s">
        <v>257</v>
      </c>
    </row>
    <row r="6843" spans="2:2" x14ac:dyDescent="0.2">
      <c r="B6843" s="3" t="s">
        <v>257</v>
      </c>
    </row>
    <row r="6844" spans="2:2" x14ac:dyDescent="0.2">
      <c r="B6844" s="3" t="s">
        <v>257</v>
      </c>
    </row>
    <row r="6845" spans="2:2" x14ac:dyDescent="0.2">
      <c r="B6845" s="3" t="s">
        <v>257</v>
      </c>
    </row>
    <row r="6846" spans="2:2" x14ac:dyDescent="0.2">
      <c r="B6846" s="3" t="s">
        <v>257</v>
      </c>
    </row>
    <row r="6847" spans="2:2" x14ac:dyDescent="0.2">
      <c r="B6847" s="3" t="s">
        <v>257</v>
      </c>
    </row>
    <row r="6848" spans="2:2" x14ac:dyDescent="0.2">
      <c r="B6848" s="3" t="s">
        <v>257</v>
      </c>
    </row>
    <row r="6849" spans="2:2" x14ac:dyDescent="0.2">
      <c r="B6849" s="3" t="s">
        <v>257</v>
      </c>
    </row>
    <row r="6850" spans="2:2" x14ac:dyDescent="0.2">
      <c r="B6850" s="3" t="s">
        <v>257</v>
      </c>
    </row>
    <row r="6851" spans="2:2" x14ac:dyDescent="0.2">
      <c r="B6851" s="3" t="s">
        <v>257</v>
      </c>
    </row>
    <row r="6852" spans="2:2" x14ac:dyDescent="0.2">
      <c r="B6852" s="3" t="s">
        <v>257</v>
      </c>
    </row>
    <row r="6853" spans="2:2" x14ac:dyDescent="0.2">
      <c r="B6853" s="3" t="s">
        <v>257</v>
      </c>
    </row>
    <row r="6854" spans="2:2" x14ac:dyDescent="0.2">
      <c r="B6854" s="3" t="s">
        <v>257</v>
      </c>
    </row>
    <row r="6855" spans="2:2" x14ac:dyDescent="0.2">
      <c r="B6855" s="3" t="s">
        <v>257</v>
      </c>
    </row>
    <row r="6856" spans="2:2" x14ac:dyDescent="0.2">
      <c r="B6856" s="3" t="s">
        <v>257</v>
      </c>
    </row>
    <row r="6857" spans="2:2" x14ac:dyDescent="0.2">
      <c r="B6857" s="3" t="s">
        <v>257</v>
      </c>
    </row>
    <row r="6858" spans="2:2" x14ac:dyDescent="0.2">
      <c r="B6858" s="3" t="s">
        <v>257</v>
      </c>
    </row>
    <row r="6859" spans="2:2" x14ac:dyDescent="0.2">
      <c r="B6859" s="3" t="s">
        <v>257</v>
      </c>
    </row>
    <row r="6860" spans="2:2" x14ac:dyDescent="0.2">
      <c r="B6860" s="3" t="s">
        <v>257</v>
      </c>
    </row>
    <row r="6861" spans="2:2" x14ac:dyDescent="0.2">
      <c r="B6861" s="3" t="s">
        <v>257</v>
      </c>
    </row>
    <row r="6862" spans="2:2" x14ac:dyDescent="0.2">
      <c r="B6862" s="3" t="s">
        <v>257</v>
      </c>
    </row>
    <row r="6863" spans="2:2" x14ac:dyDescent="0.2">
      <c r="B6863" s="3" t="s">
        <v>257</v>
      </c>
    </row>
    <row r="6864" spans="2:2" x14ac:dyDescent="0.2">
      <c r="B6864" s="3" t="s">
        <v>257</v>
      </c>
    </row>
    <row r="6865" spans="2:2" x14ac:dyDescent="0.2">
      <c r="B6865" s="3" t="s">
        <v>257</v>
      </c>
    </row>
    <row r="6866" spans="2:2" x14ac:dyDescent="0.2">
      <c r="B6866" s="3" t="s">
        <v>257</v>
      </c>
    </row>
    <row r="6867" spans="2:2" x14ac:dyDescent="0.2">
      <c r="B6867" s="3" t="s">
        <v>257</v>
      </c>
    </row>
    <row r="6868" spans="2:2" x14ac:dyDescent="0.2">
      <c r="B6868" s="3" t="s">
        <v>257</v>
      </c>
    </row>
    <row r="6869" spans="2:2" x14ac:dyDescent="0.2">
      <c r="B6869" s="3" t="s">
        <v>257</v>
      </c>
    </row>
    <row r="6870" spans="2:2" x14ac:dyDescent="0.2">
      <c r="B6870" s="3" t="s">
        <v>257</v>
      </c>
    </row>
    <row r="6871" spans="2:2" x14ac:dyDescent="0.2">
      <c r="B6871" s="3" t="s">
        <v>257</v>
      </c>
    </row>
    <row r="6872" spans="2:2" x14ac:dyDescent="0.2">
      <c r="B6872" s="3" t="s">
        <v>257</v>
      </c>
    </row>
    <row r="6873" spans="2:2" x14ac:dyDescent="0.2">
      <c r="B6873" s="3" t="s">
        <v>257</v>
      </c>
    </row>
    <row r="6874" spans="2:2" x14ac:dyDescent="0.2">
      <c r="B6874" s="3" t="s">
        <v>257</v>
      </c>
    </row>
    <row r="6875" spans="2:2" x14ac:dyDescent="0.2">
      <c r="B6875" s="3" t="s">
        <v>257</v>
      </c>
    </row>
    <row r="6876" spans="2:2" x14ac:dyDescent="0.2">
      <c r="B6876" s="3" t="s">
        <v>257</v>
      </c>
    </row>
    <row r="6877" spans="2:2" x14ac:dyDescent="0.2">
      <c r="B6877" s="3" t="s">
        <v>257</v>
      </c>
    </row>
    <row r="6878" spans="2:2" x14ac:dyDescent="0.2">
      <c r="B6878" s="3" t="s">
        <v>257</v>
      </c>
    </row>
    <row r="6879" spans="2:2" x14ac:dyDescent="0.2">
      <c r="B6879" s="3" t="s">
        <v>257</v>
      </c>
    </row>
    <row r="6880" spans="2:2" x14ac:dyDescent="0.2">
      <c r="B6880" s="3" t="s">
        <v>257</v>
      </c>
    </row>
    <row r="6881" spans="2:2" x14ac:dyDescent="0.2">
      <c r="B6881" s="3" t="s">
        <v>257</v>
      </c>
    </row>
    <row r="6882" spans="2:2" x14ac:dyDescent="0.2">
      <c r="B6882" s="3" t="s">
        <v>257</v>
      </c>
    </row>
    <row r="6883" spans="2:2" x14ac:dyDescent="0.2">
      <c r="B6883" s="3" t="s">
        <v>257</v>
      </c>
    </row>
    <row r="6884" spans="2:2" x14ac:dyDescent="0.2">
      <c r="B6884" s="3" t="s">
        <v>257</v>
      </c>
    </row>
    <row r="6885" spans="2:2" x14ac:dyDescent="0.2">
      <c r="B6885" s="3" t="s">
        <v>257</v>
      </c>
    </row>
    <row r="6886" spans="2:2" x14ac:dyDescent="0.2">
      <c r="B6886" s="3" t="s">
        <v>257</v>
      </c>
    </row>
    <row r="6887" spans="2:2" x14ac:dyDescent="0.2">
      <c r="B6887" s="3" t="s">
        <v>257</v>
      </c>
    </row>
    <row r="6888" spans="2:2" x14ac:dyDescent="0.2">
      <c r="B6888" s="3" t="s">
        <v>257</v>
      </c>
    </row>
    <row r="6889" spans="2:2" x14ac:dyDescent="0.2">
      <c r="B6889" s="3" t="s">
        <v>257</v>
      </c>
    </row>
    <row r="6890" spans="2:2" x14ac:dyDescent="0.2">
      <c r="B6890" s="3" t="s">
        <v>257</v>
      </c>
    </row>
    <row r="6891" spans="2:2" x14ac:dyDescent="0.2">
      <c r="B6891" s="3" t="s">
        <v>257</v>
      </c>
    </row>
    <row r="6892" spans="2:2" x14ac:dyDescent="0.2">
      <c r="B6892" s="3" t="s">
        <v>257</v>
      </c>
    </row>
    <row r="6893" spans="2:2" x14ac:dyDescent="0.2">
      <c r="B6893" s="3" t="s">
        <v>257</v>
      </c>
    </row>
    <row r="6894" spans="2:2" x14ac:dyDescent="0.2">
      <c r="B6894" s="3" t="s">
        <v>257</v>
      </c>
    </row>
    <row r="6895" spans="2:2" x14ac:dyDescent="0.2">
      <c r="B6895" s="3" t="s">
        <v>257</v>
      </c>
    </row>
    <row r="6896" spans="2:2" x14ac:dyDescent="0.2">
      <c r="B6896" s="3" t="s">
        <v>257</v>
      </c>
    </row>
    <row r="6897" spans="2:2" x14ac:dyDescent="0.2">
      <c r="B6897" s="3" t="s">
        <v>257</v>
      </c>
    </row>
    <row r="6898" spans="2:2" x14ac:dyDescent="0.2">
      <c r="B6898" s="3" t="s">
        <v>257</v>
      </c>
    </row>
    <row r="6899" spans="2:2" x14ac:dyDescent="0.2">
      <c r="B6899" s="3" t="s">
        <v>257</v>
      </c>
    </row>
    <row r="6900" spans="2:2" x14ac:dyDescent="0.2">
      <c r="B6900" s="3" t="s">
        <v>257</v>
      </c>
    </row>
    <row r="6901" spans="2:2" x14ac:dyDescent="0.2">
      <c r="B6901" s="3" t="s">
        <v>257</v>
      </c>
    </row>
    <row r="6902" spans="2:2" x14ac:dyDescent="0.2">
      <c r="B6902" s="3" t="s">
        <v>257</v>
      </c>
    </row>
    <row r="6903" spans="2:2" x14ac:dyDescent="0.2">
      <c r="B6903" s="3" t="s">
        <v>257</v>
      </c>
    </row>
    <row r="6904" spans="2:2" x14ac:dyDescent="0.2">
      <c r="B6904" s="3" t="s">
        <v>257</v>
      </c>
    </row>
    <row r="6905" spans="2:2" x14ac:dyDescent="0.2">
      <c r="B6905" s="3" t="s">
        <v>257</v>
      </c>
    </row>
    <row r="6906" spans="2:2" x14ac:dyDescent="0.2">
      <c r="B6906" s="3" t="s">
        <v>257</v>
      </c>
    </row>
    <row r="6907" spans="2:2" x14ac:dyDescent="0.2">
      <c r="B6907" s="3" t="s">
        <v>257</v>
      </c>
    </row>
    <row r="6908" spans="2:2" x14ac:dyDescent="0.2">
      <c r="B6908" s="3" t="s">
        <v>257</v>
      </c>
    </row>
    <row r="6909" spans="2:2" x14ac:dyDescent="0.2">
      <c r="B6909" s="3" t="s">
        <v>257</v>
      </c>
    </row>
    <row r="6910" spans="2:2" x14ac:dyDescent="0.2">
      <c r="B6910" s="3" t="s">
        <v>257</v>
      </c>
    </row>
    <row r="6911" spans="2:2" x14ac:dyDescent="0.2">
      <c r="B6911" s="3" t="s">
        <v>257</v>
      </c>
    </row>
    <row r="6912" spans="2:2" x14ac:dyDescent="0.2">
      <c r="B6912" s="3" t="s">
        <v>257</v>
      </c>
    </row>
    <row r="6913" spans="2:2" x14ac:dyDescent="0.2">
      <c r="B6913" s="3" t="s">
        <v>257</v>
      </c>
    </row>
    <row r="6914" spans="2:2" x14ac:dyDescent="0.2">
      <c r="B6914" s="3" t="s">
        <v>257</v>
      </c>
    </row>
    <row r="6915" spans="2:2" x14ac:dyDescent="0.2">
      <c r="B6915" s="3" t="s">
        <v>257</v>
      </c>
    </row>
    <row r="6916" spans="2:2" x14ac:dyDescent="0.2">
      <c r="B6916" s="3" t="s">
        <v>257</v>
      </c>
    </row>
    <row r="6917" spans="2:2" x14ac:dyDescent="0.2">
      <c r="B6917" s="3" t="s">
        <v>257</v>
      </c>
    </row>
    <row r="6918" spans="2:2" x14ac:dyDescent="0.2">
      <c r="B6918" s="3" t="s">
        <v>257</v>
      </c>
    </row>
    <row r="6919" spans="2:2" x14ac:dyDescent="0.2">
      <c r="B6919" s="3" t="s">
        <v>257</v>
      </c>
    </row>
    <row r="6920" spans="2:2" x14ac:dyDescent="0.2">
      <c r="B6920" s="3" t="s">
        <v>257</v>
      </c>
    </row>
    <row r="6921" spans="2:2" x14ac:dyDescent="0.2">
      <c r="B6921" s="3" t="s">
        <v>257</v>
      </c>
    </row>
    <row r="6922" spans="2:2" x14ac:dyDescent="0.2">
      <c r="B6922" s="3" t="s">
        <v>257</v>
      </c>
    </row>
    <row r="6923" spans="2:2" x14ac:dyDescent="0.2">
      <c r="B6923" s="3" t="s">
        <v>257</v>
      </c>
    </row>
    <row r="6924" spans="2:2" x14ac:dyDescent="0.2">
      <c r="B6924" s="3" t="s">
        <v>257</v>
      </c>
    </row>
    <row r="6925" spans="2:2" x14ac:dyDescent="0.2">
      <c r="B6925" s="3" t="s">
        <v>257</v>
      </c>
    </row>
    <row r="6926" spans="2:2" x14ac:dyDescent="0.2">
      <c r="B6926" s="3" t="s">
        <v>257</v>
      </c>
    </row>
    <row r="6927" spans="2:2" x14ac:dyDescent="0.2">
      <c r="B6927" s="3" t="s">
        <v>257</v>
      </c>
    </row>
    <row r="6928" spans="2:2" x14ac:dyDescent="0.2">
      <c r="B6928" s="3" t="s">
        <v>257</v>
      </c>
    </row>
    <row r="6929" spans="2:2" x14ac:dyDescent="0.2">
      <c r="B6929" s="3" t="s">
        <v>257</v>
      </c>
    </row>
    <row r="6930" spans="2:2" x14ac:dyDescent="0.2">
      <c r="B6930" s="3" t="s">
        <v>257</v>
      </c>
    </row>
    <row r="6931" spans="2:2" x14ac:dyDescent="0.2">
      <c r="B6931" s="3" t="s">
        <v>257</v>
      </c>
    </row>
    <row r="6932" spans="2:2" x14ac:dyDescent="0.2">
      <c r="B6932" s="3" t="s">
        <v>257</v>
      </c>
    </row>
    <row r="6933" spans="2:2" x14ac:dyDescent="0.2">
      <c r="B6933" s="3" t="s">
        <v>257</v>
      </c>
    </row>
    <row r="6934" spans="2:2" x14ac:dyDescent="0.2">
      <c r="B6934" s="3" t="s">
        <v>257</v>
      </c>
    </row>
    <row r="6935" spans="2:2" x14ac:dyDescent="0.2">
      <c r="B6935" s="3" t="s">
        <v>257</v>
      </c>
    </row>
    <row r="6936" spans="2:2" x14ac:dyDescent="0.2">
      <c r="B6936" s="3" t="s">
        <v>257</v>
      </c>
    </row>
    <row r="6937" spans="2:2" x14ac:dyDescent="0.2">
      <c r="B6937" s="3" t="s">
        <v>257</v>
      </c>
    </row>
    <row r="6938" spans="2:2" x14ac:dyDescent="0.2">
      <c r="B6938" s="3" t="s">
        <v>257</v>
      </c>
    </row>
    <row r="6939" spans="2:2" x14ac:dyDescent="0.2">
      <c r="B6939" s="3" t="s">
        <v>257</v>
      </c>
    </row>
    <row r="6940" spans="2:2" x14ac:dyDescent="0.2">
      <c r="B6940" s="3" t="s">
        <v>257</v>
      </c>
    </row>
    <row r="6941" spans="2:2" x14ac:dyDescent="0.2">
      <c r="B6941" s="3" t="s">
        <v>257</v>
      </c>
    </row>
    <row r="6942" spans="2:2" x14ac:dyDescent="0.2">
      <c r="B6942" s="3" t="s">
        <v>257</v>
      </c>
    </row>
    <row r="6943" spans="2:2" x14ac:dyDescent="0.2">
      <c r="B6943" s="3" t="s">
        <v>257</v>
      </c>
    </row>
    <row r="6944" spans="2:2" x14ac:dyDescent="0.2">
      <c r="B6944" s="3" t="s">
        <v>257</v>
      </c>
    </row>
    <row r="6945" spans="2:2" x14ac:dyDescent="0.2">
      <c r="B6945" s="3" t="s">
        <v>257</v>
      </c>
    </row>
    <row r="6946" spans="2:2" x14ac:dyDescent="0.2">
      <c r="B6946" s="3" t="s">
        <v>257</v>
      </c>
    </row>
    <row r="6947" spans="2:2" x14ac:dyDescent="0.2">
      <c r="B6947" s="3" t="s">
        <v>257</v>
      </c>
    </row>
    <row r="6948" spans="2:2" x14ac:dyDescent="0.2">
      <c r="B6948" s="3" t="s">
        <v>257</v>
      </c>
    </row>
    <row r="6949" spans="2:2" x14ac:dyDescent="0.2">
      <c r="B6949" s="3" t="s">
        <v>257</v>
      </c>
    </row>
    <row r="6950" spans="2:2" x14ac:dyDescent="0.2">
      <c r="B6950" s="3" t="s">
        <v>257</v>
      </c>
    </row>
    <row r="6951" spans="2:2" x14ac:dyDescent="0.2">
      <c r="B6951" s="3" t="s">
        <v>257</v>
      </c>
    </row>
    <row r="6952" spans="2:2" x14ac:dyDescent="0.2">
      <c r="B6952" s="3" t="s">
        <v>257</v>
      </c>
    </row>
    <row r="6953" spans="2:2" x14ac:dyDescent="0.2">
      <c r="B6953" s="3" t="s">
        <v>257</v>
      </c>
    </row>
    <row r="6954" spans="2:2" x14ac:dyDescent="0.2">
      <c r="B6954" s="3" t="s">
        <v>257</v>
      </c>
    </row>
    <row r="6955" spans="2:2" x14ac:dyDescent="0.2">
      <c r="B6955" s="3" t="s">
        <v>257</v>
      </c>
    </row>
    <row r="6956" spans="2:2" x14ac:dyDescent="0.2">
      <c r="B6956" s="3" t="s">
        <v>257</v>
      </c>
    </row>
    <row r="6957" spans="2:2" x14ac:dyDescent="0.2">
      <c r="B6957" s="3" t="s">
        <v>257</v>
      </c>
    </row>
    <row r="6958" spans="2:2" x14ac:dyDescent="0.2">
      <c r="B6958" s="3" t="s">
        <v>257</v>
      </c>
    </row>
    <row r="6959" spans="2:2" x14ac:dyDescent="0.2">
      <c r="B6959" s="3" t="s">
        <v>257</v>
      </c>
    </row>
    <row r="6960" spans="2:2" x14ac:dyDescent="0.2">
      <c r="B6960" s="3" t="s">
        <v>257</v>
      </c>
    </row>
    <row r="6961" spans="2:2" x14ac:dyDescent="0.2">
      <c r="B6961" s="3" t="s">
        <v>257</v>
      </c>
    </row>
    <row r="6962" spans="2:2" x14ac:dyDescent="0.2">
      <c r="B6962" s="3" t="s">
        <v>257</v>
      </c>
    </row>
    <row r="6963" spans="2:2" x14ac:dyDescent="0.2">
      <c r="B6963" s="3" t="s">
        <v>257</v>
      </c>
    </row>
    <row r="6964" spans="2:2" x14ac:dyDescent="0.2">
      <c r="B6964" s="3" t="s">
        <v>257</v>
      </c>
    </row>
    <row r="6965" spans="2:2" x14ac:dyDescent="0.2">
      <c r="B6965" s="3" t="s">
        <v>257</v>
      </c>
    </row>
    <row r="6966" spans="2:2" x14ac:dyDescent="0.2">
      <c r="B6966" s="3" t="s">
        <v>257</v>
      </c>
    </row>
    <row r="6967" spans="2:2" x14ac:dyDescent="0.2">
      <c r="B6967" s="3" t="s">
        <v>257</v>
      </c>
    </row>
    <row r="6968" spans="2:2" x14ac:dyDescent="0.2">
      <c r="B6968" s="3" t="s">
        <v>257</v>
      </c>
    </row>
    <row r="6969" spans="2:2" x14ac:dyDescent="0.2">
      <c r="B6969" s="3" t="s">
        <v>257</v>
      </c>
    </row>
    <row r="6970" spans="2:2" x14ac:dyDescent="0.2">
      <c r="B6970" s="3" t="s">
        <v>257</v>
      </c>
    </row>
    <row r="6971" spans="2:2" x14ac:dyDescent="0.2">
      <c r="B6971" s="3" t="s">
        <v>257</v>
      </c>
    </row>
    <row r="6972" spans="2:2" x14ac:dyDescent="0.2">
      <c r="B6972" s="3" t="s">
        <v>257</v>
      </c>
    </row>
    <row r="6973" spans="2:2" x14ac:dyDescent="0.2">
      <c r="B6973" s="3" t="s">
        <v>257</v>
      </c>
    </row>
    <row r="6974" spans="2:2" x14ac:dyDescent="0.2">
      <c r="B6974" s="3" t="s">
        <v>257</v>
      </c>
    </row>
    <row r="6975" spans="2:2" x14ac:dyDescent="0.2">
      <c r="B6975" s="3" t="s">
        <v>257</v>
      </c>
    </row>
    <row r="6976" spans="2:2" x14ac:dyDescent="0.2">
      <c r="B6976" s="3" t="s">
        <v>257</v>
      </c>
    </row>
    <row r="6977" spans="2:2" x14ac:dyDescent="0.2">
      <c r="B6977" s="3" t="s">
        <v>257</v>
      </c>
    </row>
    <row r="6978" spans="2:2" x14ac:dyDescent="0.2">
      <c r="B6978" s="3" t="s">
        <v>257</v>
      </c>
    </row>
    <row r="6979" spans="2:2" x14ac:dyDescent="0.2">
      <c r="B6979" s="3" t="s">
        <v>257</v>
      </c>
    </row>
    <row r="6980" spans="2:2" x14ac:dyDescent="0.2">
      <c r="B6980" s="3" t="s">
        <v>257</v>
      </c>
    </row>
    <row r="6981" spans="2:2" x14ac:dyDescent="0.2">
      <c r="B6981" s="3" t="s">
        <v>257</v>
      </c>
    </row>
    <row r="6982" spans="2:2" x14ac:dyDescent="0.2">
      <c r="B6982" s="3" t="s">
        <v>257</v>
      </c>
    </row>
    <row r="6983" spans="2:2" x14ac:dyDescent="0.2">
      <c r="B6983" s="3" t="s">
        <v>257</v>
      </c>
    </row>
    <row r="6984" spans="2:2" x14ac:dyDescent="0.2">
      <c r="B6984" s="3" t="s">
        <v>257</v>
      </c>
    </row>
    <row r="6985" spans="2:2" x14ac:dyDescent="0.2">
      <c r="B6985" s="3" t="s">
        <v>257</v>
      </c>
    </row>
    <row r="6986" spans="2:2" x14ac:dyDescent="0.2">
      <c r="B6986" s="3" t="s">
        <v>257</v>
      </c>
    </row>
    <row r="6987" spans="2:2" x14ac:dyDescent="0.2">
      <c r="B6987" s="3" t="s">
        <v>257</v>
      </c>
    </row>
    <row r="6988" spans="2:2" x14ac:dyDescent="0.2">
      <c r="B6988" s="3" t="s">
        <v>257</v>
      </c>
    </row>
    <row r="6989" spans="2:2" x14ac:dyDescent="0.2">
      <c r="B6989" s="3" t="s">
        <v>257</v>
      </c>
    </row>
    <row r="6990" spans="2:2" x14ac:dyDescent="0.2">
      <c r="B6990" s="3" t="s">
        <v>257</v>
      </c>
    </row>
    <row r="6991" spans="2:2" x14ac:dyDescent="0.2">
      <c r="B6991" s="3" t="s">
        <v>257</v>
      </c>
    </row>
    <row r="6992" spans="2:2" x14ac:dyDescent="0.2">
      <c r="B6992" s="3" t="s">
        <v>257</v>
      </c>
    </row>
    <row r="6993" spans="2:2" x14ac:dyDescent="0.2">
      <c r="B6993" s="3" t="s">
        <v>257</v>
      </c>
    </row>
    <row r="6994" spans="2:2" x14ac:dyDescent="0.2">
      <c r="B6994" s="3" t="s">
        <v>257</v>
      </c>
    </row>
    <row r="6995" spans="2:2" x14ac:dyDescent="0.2">
      <c r="B6995" s="3" t="s">
        <v>257</v>
      </c>
    </row>
    <row r="6996" spans="2:2" x14ac:dyDescent="0.2">
      <c r="B6996" s="3" t="s">
        <v>257</v>
      </c>
    </row>
    <row r="6997" spans="2:2" x14ac:dyDescent="0.2">
      <c r="B6997" s="3" t="s">
        <v>257</v>
      </c>
    </row>
    <row r="6998" spans="2:2" x14ac:dyDescent="0.2">
      <c r="B6998" s="3" t="s">
        <v>257</v>
      </c>
    </row>
    <row r="6999" spans="2:2" x14ac:dyDescent="0.2">
      <c r="B6999" s="3" t="s">
        <v>257</v>
      </c>
    </row>
    <row r="7000" spans="2:2" x14ac:dyDescent="0.2">
      <c r="B7000" s="3" t="s">
        <v>257</v>
      </c>
    </row>
    <row r="7001" spans="2:2" x14ac:dyDescent="0.2">
      <c r="B7001" s="3" t="s">
        <v>257</v>
      </c>
    </row>
    <row r="7002" spans="2:2" x14ac:dyDescent="0.2">
      <c r="B7002" s="3" t="s">
        <v>257</v>
      </c>
    </row>
    <row r="7003" spans="2:2" x14ac:dyDescent="0.2">
      <c r="B7003" s="3" t="s">
        <v>257</v>
      </c>
    </row>
    <row r="7004" spans="2:2" x14ac:dyDescent="0.2">
      <c r="B7004" s="3" t="s">
        <v>257</v>
      </c>
    </row>
    <row r="7005" spans="2:2" x14ac:dyDescent="0.2">
      <c r="B7005" s="3" t="s">
        <v>257</v>
      </c>
    </row>
    <row r="7006" spans="2:2" x14ac:dyDescent="0.2">
      <c r="B7006" s="3" t="s">
        <v>257</v>
      </c>
    </row>
    <row r="7007" spans="2:2" x14ac:dyDescent="0.2">
      <c r="B7007" s="3" t="s">
        <v>257</v>
      </c>
    </row>
    <row r="7008" spans="2:2" x14ac:dyDescent="0.2">
      <c r="B7008" s="3" t="s">
        <v>257</v>
      </c>
    </row>
    <row r="7009" spans="2:2" x14ac:dyDescent="0.2">
      <c r="B7009" s="3" t="s">
        <v>257</v>
      </c>
    </row>
    <row r="7010" spans="2:2" x14ac:dyDescent="0.2">
      <c r="B7010" s="3" t="s">
        <v>257</v>
      </c>
    </row>
    <row r="7011" spans="2:2" x14ac:dyDescent="0.2">
      <c r="B7011" s="3" t="s">
        <v>257</v>
      </c>
    </row>
    <row r="7012" spans="2:2" x14ac:dyDescent="0.2">
      <c r="B7012" s="3" t="s">
        <v>257</v>
      </c>
    </row>
    <row r="7013" spans="2:2" x14ac:dyDescent="0.2">
      <c r="B7013" s="3" t="s">
        <v>257</v>
      </c>
    </row>
    <row r="7014" spans="2:2" x14ac:dyDescent="0.2">
      <c r="B7014" s="3" t="s">
        <v>257</v>
      </c>
    </row>
    <row r="7015" spans="2:2" x14ac:dyDescent="0.2">
      <c r="B7015" s="3" t="s">
        <v>257</v>
      </c>
    </row>
    <row r="7016" spans="2:2" x14ac:dyDescent="0.2">
      <c r="B7016" s="3" t="s">
        <v>257</v>
      </c>
    </row>
    <row r="7017" spans="2:2" x14ac:dyDescent="0.2">
      <c r="B7017" s="3" t="s">
        <v>257</v>
      </c>
    </row>
    <row r="7018" spans="2:2" x14ac:dyDescent="0.2">
      <c r="B7018" s="3" t="s">
        <v>257</v>
      </c>
    </row>
    <row r="7019" spans="2:2" x14ac:dyDescent="0.2">
      <c r="B7019" s="3" t="s">
        <v>257</v>
      </c>
    </row>
    <row r="7020" spans="2:2" x14ac:dyDescent="0.2">
      <c r="B7020" s="3" t="s">
        <v>257</v>
      </c>
    </row>
    <row r="7021" spans="2:2" x14ac:dyDescent="0.2">
      <c r="B7021" s="3" t="s">
        <v>257</v>
      </c>
    </row>
    <row r="7022" spans="2:2" x14ac:dyDescent="0.2">
      <c r="B7022" s="3" t="s">
        <v>257</v>
      </c>
    </row>
    <row r="7023" spans="2:2" x14ac:dyDescent="0.2">
      <c r="B7023" s="3" t="s">
        <v>257</v>
      </c>
    </row>
    <row r="7024" spans="2:2" x14ac:dyDescent="0.2">
      <c r="B7024" s="3" t="s">
        <v>257</v>
      </c>
    </row>
    <row r="7025" spans="2:2" x14ac:dyDescent="0.2">
      <c r="B7025" s="3" t="s">
        <v>257</v>
      </c>
    </row>
    <row r="7026" spans="2:2" x14ac:dyDescent="0.2">
      <c r="B7026" s="3" t="s">
        <v>257</v>
      </c>
    </row>
    <row r="7027" spans="2:2" x14ac:dyDescent="0.2">
      <c r="B7027" s="3" t="s">
        <v>257</v>
      </c>
    </row>
    <row r="7028" spans="2:2" x14ac:dyDescent="0.2">
      <c r="B7028" s="3" t="s">
        <v>257</v>
      </c>
    </row>
    <row r="7029" spans="2:2" x14ac:dyDescent="0.2">
      <c r="B7029" s="3" t="s">
        <v>257</v>
      </c>
    </row>
    <row r="7030" spans="2:2" x14ac:dyDescent="0.2">
      <c r="B7030" s="3" t="s">
        <v>257</v>
      </c>
    </row>
    <row r="7031" spans="2:2" x14ac:dyDescent="0.2">
      <c r="B7031" s="3" t="s">
        <v>257</v>
      </c>
    </row>
    <row r="7032" spans="2:2" x14ac:dyDescent="0.2">
      <c r="B7032" s="3" t="s">
        <v>257</v>
      </c>
    </row>
    <row r="7033" spans="2:2" x14ac:dyDescent="0.2">
      <c r="B7033" s="3" t="s">
        <v>257</v>
      </c>
    </row>
    <row r="7034" spans="2:2" x14ac:dyDescent="0.2">
      <c r="B7034" s="3" t="s">
        <v>257</v>
      </c>
    </row>
    <row r="7035" spans="2:2" x14ac:dyDescent="0.2">
      <c r="B7035" s="3" t="s">
        <v>257</v>
      </c>
    </row>
    <row r="7036" spans="2:2" x14ac:dyDescent="0.2">
      <c r="B7036" s="3" t="s">
        <v>257</v>
      </c>
    </row>
    <row r="7037" spans="2:2" x14ac:dyDescent="0.2">
      <c r="B7037" s="3" t="s">
        <v>257</v>
      </c>
    </row>
    <row r="7038" spans="2:2" x14ac:dyDescent="0.2">
      <c r="B7038" s="3" t="s">
        <v>257</v>
      </c>
    </row>
    <row r="7039" spans="2:2" x14ac:dyDescent="0.2">
      <c r="B7039" s="3" t="s">
        <v>257</v>
      </c>
    </row>
    <row r="7040" spans="2:2" x14ac:dyDescent="0.2">
      <c r="B7040" s="3" t="s">
        <v>257</v>
      </c>
    </row>
    <row r="7041" spans="2:2" x14ac:dyDescent="0.2">
      <c r="B7041" s="3" t="s">
        <v>257</v>
      </c>
    </row>
    <row r="7042" spans="2:2" x14ac:dyDescent="0.2">
      <c r="B7042" s="3" t="s">
        <v>257</v>
      </c>
    </row>
    <row r="7043" spans="2:2" x14ac:dyDescent="0.2">
      <c r="B7043" s="3" t="s">
        <v>257</v>
      </c>
    </row>
    <row r="7044" spans="2:2" x14ac:dyDescent="0.2">
      <c r="B7044" s="3" t="s">
        <v>257</v>
      </c>
    </row>
    <row r="7045" spans="2:2" x14ac:dyDescent="0.2">
      <c r="B7045" s="3" t="s">
        <v>257</v>
      </c>
    </row>
    <row r="7046" spans="2:2" x14ac:dyDescent="0.2">
      <c r="B7046" s="3" t="s">
        <v>257</v>
      </c>
    </row>
    <row r="7047" spans="2:2" x14ac:dyDescent="0.2">
      <c r="B7047" s="3" t="s">
        <v>257</v>
      </c>
    </row>
    <row r="7048" spans="2:2" x14ac:dyDescent="0.2">
      <c r="B7048" s="3" t="s">
        <v>257</v>
      </c>
    </row>
    <row r="7049" spans="2:2" x14ac:dyDescent="0.2">
      <c r="B7049" s="3" t="s">
        <v>257</v>
      </c>
    </row>
    <row r="7050" spans="2:2" x14ac:dyDescent="0.2">
      <c r="B7050" s="3" t="s">
        <v>257</v>
      </c>
    </row>
    <row r="7051" spans="2:2" x14ac:dyDescent="0.2">
      <c r="B7051" s="3" t="s">
        <v>257</v>
      </c>
    </row>
    <row r="7052" spans="2:2" x14ac:dyDescent="0.2">
      <c r="B7052" s="3" t="s">
        <v>257</v>
      </c>
    </row>
    <row r="7053" spans="2:2" x14ac:dyDescent="0.2">
      <c r="B7053" s="3" t="s">
        <v>257</v>
      </c>
    </row>
    <row r="7054" spans="2:2" x14ac:dyDescent="0.2">
      <c r="B7054" s="3" t="s">
        <v>257</v>
      </c>
    </row>
    <row r="7055" spans="2:2" x14ac:dyDescent="0.2">
      <c r="B7055" s="3" t="s">
        <v>257</v>
      </c>
    </row>
    <row r="7056" spans="2:2" x14ac:dyDescent="0.2">
      <c r="B7056" s="3" t="s">
        <v>257</v>
      </c>
    </row>
    <row r="7057" spans="2:2" x14ac:dyDescent="0.2">
      <c r="B7057" s="3" t="s">
        <v>257</v>
      </c>
    </row>
    <row r="7058" spans="2:2" x14ac:dyDescent="0.2">
      <c r="B7058" s="3" t="s">
        <v>257</v>
      </c>
    </row>
    <row r="7059" spans="2:2" x14ac:dyDescent="0.2">
      <c r="B7059" s="3" t="s">
        <v>257</v>
      </c>
    </row>
    <row r="7060" spans="2:2" x14ac:dyDescent="0.2">
      <c r="B7060" s="3" t="s">
        <v>257</v>
      </c>
    </row>
    <row r="7061" spans="2:2" x14ac:dyDescent="0.2">
      <c r="B7061" s="3" t="s">
        <v>257</v>
      </c>
    </row>
    <row r="7062" spans="2:2" x14ac:dyDescent="0.2">
      <c r="B7062" s="3" t="s">
        <v>257</v>
      </c>
    </row>
    <row r="7063" spans="2:2" x14ac:dyDescent="0.2">
      <c r="B7063" s="3" t="s">
        <v>257</v>
      </c>
    </row>
    <row r="7064" spans="2:2" x14ac:dyDescent="0.2">
      <c r="B7064" s="3" t="s">
        <v>257</v>
      </c>
    </row>
    <row r="7065" spans="2:2" x14ac:dyDescent="0.2">
      <c r="B7065" s="3" t="s">
        <v>257</v>
      </c>
    </row>
    <row r="7066" spans="2:2" x14ac:dyDescent="0.2">
      <c r="B7066" s="3" t="s">
        <v>257</v>
      </c>
    </row>
    <row r="7067" spans="2:2" x14ac:dyDescent="0.2">
      <c r="B7067" s="3" t="s">
        <v>257</v>
      </c>
    </row>
    <row r="7068" spans="2:2" x14ac:dyDescent="0.2">
      <c r="B7068" s="3" t="s">
        <v>257</v>
      </c>
    </row>
    <row r="7069" spans="2:2" x14ac:dyDescent="0.2">
      <c r="B7069" s="3" t="s">
        <v>257</v>
      </c>
    </row>
    <row r="7070" spans="2:2" x14ac:dyDescent="0.2">
      <c r="B7070" s="3" t="s">
        <v>257</v>
      </c>
    </row>
    <row r="7071" spans="2:2" x14ac:dyDescent="0.2">
      <c r="B7071" s="3" t="s">
        <v>257</v>
      </c>
    </row>
    <row r="7072" spans="2:2" x14ac:dyDescent="0.2">
      <c r="B7072" s="3" t="s">
        <v>257</v>
      </c>
    </row>
    <row r="7073" spans="2:2" x14ac:dyDescent="0.2">
      <c r="B7073" s="3" t="s">
        <v>257</v>
      </c>
    </row>
    <row r="7074" spans="2:2" x14ac:dyDescent="0.2">
      <c r="B7074" s="3" t="s">
        <v>257</v>
      </c>
    </row>
    <row r="7075" spans="2:2" x14ac:dyDescent="0.2">
      <c r="B7075" s="3" t="s">
        <v>257</v>
      </c>
    </row>
    <row r="7076" spans="2:2" x14ac:dyDescent="0.2">
      <c r="B7076" s="3" t="s">
        <v>257</v>
      </c>
    </row>
    <row r="7077" spans="2:2" x14ac:dyDescent="0.2">
      <c r="B7077" s="3" t="s">
        <v>257</v>
      </c>
    </row>
    <row r="7078" spans="2:2" x14ac:dyDescent="0.2">
      <c r="B7078" s="3" t="s">
        <v>257</v>
      </c>
    </row>
    <row r="7079" spans="2:2" x14ac:dyDescent="0.2">
      <c r="B7079" s="3" t="s">
        <v>257</v>
      </c>
    </row>
    <row r="7080" spans="2:2" x14ac:dyDescent="0.2">
      <c r="B7080" s="3" t="s">
        <v>257</v>
      </c>
    </row>
    <row r="7081" spans="2:2" x14ac:dyDescent="0.2">
      <c r="B7081" s="3" t="s">
        <v>257</v>
      </c>
    </row>
    <row r="7082" spans="2:2" x14ac:dyDescent="0.2">
      <c r="B7082" s="3" t="s">
        <v>257</v>
      </c>
    </row>
    <row r="7083" spans="2:2" x14ac:dyDescent="0.2">
      <c r="B7083" s="3" t="s">
        <v>257</v>
      </c>
    </row>
    <row r="7084" spans="2:2" x14ac:dyDescent="0.2">
      <c r="B7084" s="3" t="s">
        <v>257</v>
      </c>
    </row>
    <row r="7085" spans="2:2" x14ac:dyDescent="0.2">
      <c r="B7085" s="3" t="s">
        <v>257</v>
      </c>
    </row>
    <row r="7086" spans="2:2" x14ac:dyDescent="0.2">
      <c r="B7086" s="3" t="s">
        <v>257</v>
      </c>
    </row>
    <row r="7087" spans="2:2" x14ac:dyDescent="0.2">
      <c r="B7087" s="3" t="s">
        <v>257</v>
      </c>
    </row>
    <row r="7088" spans="2:2" x14ac:dyDescent="0.2">
      <c r="B7088" s="3" t="s">
        <v>257</v>
      </c>
    </row>
    <row r="7089" spans="2:2" x14ac:dyDescent="0.2">
      <c r="B7089" s="3" t="s">
        <v>257</v>
      </c>
    </row>
    <row r="7090" spans="2:2" x14ac:dyDescent="0.2">
      <c r="B7090" s="3" t="s">
        <v>257</v>
      </c>
    </row>
    <row r="7091" spans="2:2" x14ac:dyDescent="0.2">
      <c r="B7091" s="3" t="s">
        <v>257</v>
      </c>
    </row>
    <row r="7092" spans="2:2" x14ac:dyDescent="0.2">
      <c r="B7092" s="3" t="s">
        <v>257</v>
      </c>
    </row>
    <row r="7093" spans="2:2" x14ac:dyDescent="0.2">
      <c r="B7093" s="3" t="s">
        <v>257</v>
      </c>
    </row>
    <row r="7094" spans="2:2" x14ac:dyDescent="0.2">
      <c r="B7094" s="3" t="s">
        <v>257</v>
      </c>
    </row>
    <row r="7095" spans="2:2" x14ac:dyDescent="0.2">
      <c r="B7095" s="3" t="s">
        <v>257</v>
      </c>
    </row>
    <row r="7096" spans="2:2" x14ac:dyDescent="0.2">
      <c r="B7096" s="3" t="s">
        <v>257</v>
      </c>
    </row>
    <row r="7097" spans="2:2" x14ac:dyDescent="0.2">
      <c r="B7097" s="3" t="s">
        <v>257</v>
      </c>
    </row>
    <row r="7098" spans="2:2" x14ac:dyDescent="0.2">
      <c r="B7098" s="3" t="s">
        <v>257</v>
      </c>
    </row>
    <row r="7099" spans="2:2" x14ac:dyDescent="0.2">
      <c r="B7099" s="3" t="s">
        <v>257</v>
      </c>
    </row>
    <row r="7100" spans="2:2" x14ac:dyDescent="0.2">
      <c r="B7100" s="3" t="s">
        <v>257</v>
      </c>
    </row>
    <row r="7101" spans="2:2" x14ac:dyDescent="0.2">
      <c r="B7101" s="3" t="s">
        <v>257</v>
      </c>
    </row>
    <row r="7102" spans="2:2" x14ac:dyDescent="0.2">
      <c r="B7102" s="3" t="s">
        <v>257</v>
      </c>
    </row>
    <row r="7103" spans="2:2" x14ac:dyDescent="0.2">
      <c r="B7103" s="3" t="s">
        <v>257</v>
      </c>
    </row>
    <row r="7104" spans="2:2" x14ac:dyDescent="0.2">
      <c r="B7104" s="3" t="s">
        <v>257</v>
      </c>
    </row>
    <row r="7105" spans="2:2" x14ac:dyDescent="0.2">
      <c r="B7105" s="3" t="s">
        <v>257</v>
      </c>
    </row>
    <row r="7106" spans="2:2" x14ac:dyDescent="0.2">
      <c r="B7106" s="3" t="s">
        <v>257</v>
      </c>
    </row>
    <row r="7107" spans="2:2" x14ac:dyDescent="0.2">
      <c r="B7107" s="3" t="s">
        <v>257</v>
      </c>
    </row>
    <row r="7108" spans="2:2" x14ac:dyDescent="0.2">
      <c r="B7108" s="3" t="s">
        <v>257</v>
      </c>
    </row>
    <row r="7109" spans="2:2" x14ac:dyDescent="0.2">
      <c r="B7109" s="3" t="s">
        <v>257</v>
      </c>
    </row>
    <row r="7110" spans="2:2" x14ac:dyDescent="0.2">
      <c r="B7110" s="3" t="s">
        <v>257</v>
      </c>
    </row>
    <row r="7111" spans="2:2" x14ac:dyDescent="0.2">
      <c r="B7111" s="3" t="s">
        <v>257</v>
      </c>
    </row>
    <row r="7112" spans="2:2" x14ac:dyDescent="0.2">
      <c r="B7112" s="3" t="s">
        <v>257</v>
      </c>
    </row>
    <row r="7113" spans="2:2" x14ac:dyDescent="0.2">
      <c r="B7113" s="3" t="s">
        <v>257</v>
      </c>
    </row>
    <row r="7114" spans="2:2" x14ac:dyDescent="0.2">
      <c r="B7114" s="3" t="s">
        <v>257</v>
      </c>
    </row>
    <row r="7115" spans="2:2" x14ac:dyDescent="0.2">
      <c r="B7115" s="3" t="s">
        <v>257</v>
      </c>
    </row>
    <row r="7116" spans="2:2" x14ac:dyDescent="0.2">
      <c r="B7116" s="3" t="s">
        <v>257</v>
      </c>
    </row>
    <row r="7117" spans="2:2" x14ac:dyDescent="0.2">
      <c r="B7117" s="3" t="s">
        <v>257</v>
      </c>
    </row>
    <row r="7118" spans="2:2" x14ac:dyDescent="0.2">
      <c r="B7118" s="3" t="s">
        <v>257</v>
      </c>
    </row>
    <row r="7119" spans="2:2" x14ac:dyDescent="0.2">
      <c r="B7119" s="3" t="s">
        <v>257</v>
      </c>
    </row>
    <row r="7120" spans="2:2" x14ac:dyDescent="0.2">
      <c r="B7120" s="3" t="s">
        <v>257</v>
      </c>
    </row>
    <row r="7121" spans="2:2" x14ac:dyDescent="0.2">
      <c r="B7121" s="3" t="s">
        <v>257</v>
      </c>
    </row>
    <row r="7122" spans="2:2" x14ac:dyDescent="0.2">
      <c r="B7122" s="3" t="s">
        <v>257</v>
      </c>
    </row>
    <row r="7123" spans="2:2" x14ac:dyDescent="0.2">
      <c r="B7123" s="3" t="s">
        <v>257</v>
      </c>
    </row>
    <row r="7124" spans="2:2" x14ac:dyDescent="0.2">
      <c r="B7124" s="3" t="s">
        <v>257</v>
      </c>
    </row>
    <row r="7125" spans="2:2" x14ac:dyDescent="0.2">
      <c r="B7125" s="3" t="s">
        <v>257</v>
      </c>
    </row>
    <row r="7126" spans="2:2" x14ac:dyDescent="0.2">
      <c r="B7126" s="3" t="s">
        <v>257</v>
      </c>
    </row>
    <row r="7127" spans="2:2" x14ac:dyDescent="0.2">
      <c r="B7127" s="3" t="s">
        <v>257</v>
      </c>
    </row>
    <row r="7128" spans="2:2" x14ac:dyDescent="0.2">
      <c r="B7128" s="3" t="s">
        <v>257</v>
      </c>
    </row>
    <row r="7129" spans="2:2" x14ac:dyDescent="0.2">
      <c r="B7129" s="3" t="s">
        <v>257</v>
      </c>
    </row>
    <row r="7130" spans="2:2" x14ac:dyDescent="0.2">
      <c r="B7130" s="3" t="s">
        <v>257</v>
      </c>
    </row>
    <row r="7131" spans="2:2" x14ac:dyDescent="0.2">
      <c r="B7131" s="3" t="s">
        <v>257</v>
      </c>
    </row>
    <row r="7132" spans="2:2" x14ac:dyDescent="0.2">
      <c r="B7132" s="3" t="s">
        <v>257</v>
      </c>
    </row>
    <row r="7133" spans="2:2" x14ac:dyDescent="0.2">
      <c r="B7133" s="3" t="s">
        <v>257</v>
      </c>
    </row>
    <row r="7134" spans="2:2" x14ac:dyDescent="0.2">
      <c r="B7134" s="3" t="s">
        <v>257</v>
      </c>
    </row>
    <row r="7135" spans="2:2" x14ac:dyDescent="0.2">
      <c r="B7135" s="3" t="s">
        <v>257</v>
      </c>
    </row>
    <row r="7136" spans="2:2" x14ac:dyDescent="0.2">
      <c r="B7136" s="3" t="s">
        <v>257</v>
      </c>
    </row>
    <row r="7137" spans="2:2" x14ac:dyDescent="0.2">
      <c r="B7137" s="3" t="s">
        <v>257</v>
      </c>
    </row>
    <row r="7138" spans="2:2" x14ac:dyDescent="0.2">
      <c r="B7138" s="3" t="s">
        <v>257</v>
      </c>
    </row>
    <row r="7139" spans="2:2" x14ac:dyDescent="0.2">
      <c r="B7139" s="3" t="s">
        <v>257</v>
      </c>
    </row>
    <row r="7140" spans="2:2" x14ac:dyDescent="0.2">
      <c r="B7140" s="3" t="s">
        <v>257</v>
      </c>
    </row>
    <row r="7141" spans="2:2" x14ac:dyDescent="0.2">
      <c r="B7141" s="3" t="s">
        <v>257</v>
      </c>
    </row>
    <row r="7142" spans="2:2" x14ac:dyDescent="0.2">
      <c r="B7142" s="3" t="s">
        <v>257</v>
      </c>
    </row>
    <row r="7143" spans="2:2" x14ac:dyDescent="0.2">
      <c r="B7143" s="3" t="s">
        <v>257</v>
      </c>
    </row>
    <row r="7144" spans="2:2" x14ac:dyDescent="0.2">
      <c r="B7144" s="3" t="s">
        <v>257</v>
      </c>
    </row>
    <row r="7145" spans="2:2" x14ac:dyDescent="0.2">
      <c r="B7145" s="3" t="s">
        <v>257</v>
      </c>
    </row>
    <row r="7146" spans="2:2" x14ac:dyDescent="0.2">
      <c r="B7146" s="3" t="s">
        <v>257</v>
      </c>
    </row>
    <row r="7147" spans="2:2" x14ac:dyDescent="0.2">
      <c r="B7147" s="3" t="s">
        <v>257</v>
      </c>
    </row>
    <row r="7148" spans="2:2" x14ac:dyDescent="0.2">
      <c r="B7148" s="3" t="s">
        <v>257</v>
      </c>
    </row>
    <row r="7149" spans="2:2" x14ac:dyDescent="0.2">
      <c r="B7149" s="3" t="s">
        <v>257</v>
      </c>
    </row>
    <row r="7150" spans="2:2" x14ac:dyDescent="0.2">
      <c r="B7150" s="3" t="s">
        <v>257</v>
      </c>
    </row>
    <row r="7151" spans="2:2" x14ac:dyDescent="0.2">
      <c r="B7151" s="3" t="s">
        <v>257</v>
      </c>
    </row>
    <row r="7152" spans="2:2" x14ac:dyDescent="0.2">
      <c r="B7152" s="3" t="s">
        <v>257</v>
      </c>
    </row>
    <row r="7153" spans="2:2" x14ac:dyDescent="0.2">
      <c r="B7153" s="3" t="s">
        <v>257</v>
      </c>
    </row>
    <row r="7154" spans="2:2" x14ac:dyDescent="0.2">
      <c r="B7154" s="3" t="s">
        <v>257</v>
      </c>
    </row>
    <row r="7155" spans="2:2" x14ac:dyDescent="0.2">
      <c r="B7155" s="3" t="s">
        <v>257</v>
      </c>
    </row>
    <row r="7156" spans="2:2" x14ac:dyDescent="0.2">
      <c r="B7156" s="3" t="s">
        <v>257</v>
      </c>
    </row>
    <row r="7157" spans="2:2" x14ac:dyDescent="0.2">
      <c r="B7157" s="3" t="s">
        <v>257</v>
      </c>
    </row>
    <row r="7158" spans="2:2" x14ac:dyDescent="0.2">
      <c r="B7158" s="3" t="s">
        <v>257</v>
      </c>
    </row>
    <row r="7159" spans="2:2" x14ac:dyDescent="0.2">
      <c r="B7159" s="3" t="s">
        <v>257</v>
      </c>
    </row>
    <row r="7160" spans="2:2" x14ac:dyDescent="0.2">
      <c r="B7160" s="3" t="s">
        <v>257</v>
      </c>
    </row>
    <row r="7161" spans="2:2" x14ac:dyDescent="0.2">
      <c r="B7161" s="3" t="s">
        <v>257</v>
      </c>
    </row>
    <row r="7162" spans="2:2" x14ac:dyDescent="0.2">
      <c r="B7162" s="3" t="s">
        <v>257</v>
      </c>
    </row>
    <row r="7163" spans="2:2" x14ac:dyDescent="0.2">
      <c r="B7163" s="3" t="s">
        <v>257</v>
      </c>
    </row>
    <row r="7164" spans="2:2" x14ac:dyDescent="0.2">
      <c r="B7164" s="3" t="s">
        <v>257</v>
      </c>
    </row>
    <row r="7165" spans="2:2" x14ac:dyDescent="0.2">
      <c r="B7165" s="3" t="s">
        <v>257</v>
      </c>
    </row>
    <row r="7166" spans="2:2" x14ac:dyDescent="0.2">
      <c r="B7166" s="3" t="s">
        <v>257</v>
      </c>
    </row>
    <row r="7167" spans="2:2" x14ac:dyDescent="0.2">
      <c r="B7167" s="3" t="s">
        <v>257</v>
      </c>
    </row>
    <row r="7168" spans="2:2" x14ac:dyDescent="0.2">
      <c r="B7168" s="3" t="s">
        <v>257</v>
      </c>
    </row>
    <row r="7169" spans="2:2" x14ac:dyDescent="0.2">
      <c r="B7169" s="3" t="s">
        <v>257</v>
      </c>
    </row>
    <row r="7170" spans="2:2" x14ac:dyDescent="0.2">
      <c r="B7170" s="3" t="s">
        <v>257</v>
      </c>
    </row>
    <row r="7171" spans="2:2" x14ac:dyDescent="0.2">
      <c r="B7171" s="3" t="s">
        <v>257</v>
      </c>
    </row>
    <row r="7172" spans="2:2" x14ac:dyDescent="0.2">
      <c r="B7172" s="3" t="s">
        <v>257</v>
      </c>
    </row>
    <row r="7173" spans="2:2" x14ac:dyDescent="0.2">
      <c r="B7173" s="3" t="s">
        <v>257</v>
      </c>
    </row>
    <row r="7174" spans="2:2" x14ac:dyDescent="0.2">
      <c r="B7174" s="3" t="s">
        <v>257</v>
      </c>
    </row>
    <row r="7175" spans="2:2" x14ac:dyDescent="0.2">
      <c r="B7175" s="3" t="s">
        <v>257</v>
      </c>
    </row>
    <row r="7176" spans="2:2" x14ac:dyDescent="0.2">
      <c r="B7176" s="3" t="s">
        <v>257</v>
      </c>
    </row>
    <row r="7177" spans="2:2" x14ac:dyDescent="0.2">
      <c r="B7177" s="3" t="s">
        <v>257</v>
      </c>
    </row>
    <row r="7178" spans="2:2" x14ac:dyDescent="0.2">
      <c r="B7178" s="3" t="s">
        <v>257</v>
      </c>
    </row>
    <row r="7179" spans="2:2" x14ac:dyDescent="0.2">
      <c r="B7179" s="3" t="s">
        <v>257</v>
      </c>
    </row>
    <row r="7180" spans="2:2" x14ac:dyDescent="0.2">
      <c r="B7180" s="3" t="s">
        <v>257</v>
      </c>
    </row>
    <row r="7181" spans="2:2" x14ac:dyDescent="0.2">
      <c r="B7181" s="3" t="s">
        <v>257</v>
      </c>
    </row>
    <row r="7182" spans="2:2" x14ac:dyDescent="0.2">
      <c r="B7182" s="3" t="s">
        <v>257</v>
      </c>
    </row>
    <row r="7183" spans="2:2" x14ac:dyDescent="0.2">
      <c r="B7183" s="3" t="s">
        <v>257</v>
      </c>
    </row>
    <row r="7184" spans="2:2" x14ac:dyDescent="0.2">
      <c r="B7184" s="3" t="s">
        <v>257</v>
      </c>
    </row>
    <row r="7185" spans="2:2" x14ac:dyDescent="0.2">
      <c r="B7185" s="3" t="s">
        <v>257</v>
      </c>
    </row>
    <row r="7186" spans="2:2" x14ac:dyDescent="0.2">
      <c r="B7186" s="3" t="s">
        <v>257</v>
      </c>
    </row>
    <row r="7187" spans="2:2" x14ac:dyDescent="0.2">
      <c r="B7187" s="3" t="s">
        <v>257</v>
      </c>
    </row>
    <row r="7188" spans="2:2" x14ac:dyDescent="0.2">
      <c r="B7188" s="3" t="s">
        <v>257</v>
      </c>
    </row>
    <row r="7189" spans="2:2" x14ac:dyDescent="0.2">
      <c r="B7189" s="3" t="s">
        <v>257</v>
      </c>
    </row>
    <row r="7190" spans="2:2" x14ac:dyDescent="0.2">
      <c r="B7190" s="3" t="s">
        <v>257</v>
      </c>
    </row>
    <row r="7191" spans="2:2" x14ac:dyDescent="0.2">
      <c r="B7191" s="3" t="s">
        <v>257</v>
      </c>
    </row>
    <row r="7192" spans="2:2" x14ac:dyDescent="0.2">
      <c r="B7192" s="3" t="s">
        <v>257</v>
      </c>
    </row>
    <row r="7193" spans="2:2" x14ac:dyDescent="0.2">
      <c r="B7193" s="3" t="s">
        <v>257</v>
      </c>
    </row>
    <row r="7194" spans="2:2" x14ac:dyDescent="0.2">
      <c r="B7194" s="3" t="s">
        <v>257</v>
      </c>
    </row>
    <row r="7195" spans="2:2" x14ac:dyDescent="0.2">
      <c r="B7195" s="3" t="s">
        <v>257</v>
      </c>
    </row>
    <row r="7196" spans="2:2" x14ac:dyDescent="0.2">
      <c r="B7196" s="3" t="s">
        <v>257</v>
      </c>
    </row>
    <row r="7197" spans="2:2" x14ac:dyDescent="0.2">
      <c r="B7197" s="3" t="s">
        <v>257</v>
      </c>
    </row>
    <row r="7198" spans="2:2" x14ac:dyDescent="0.2">
      <c r="B7198" s="3" t="s">
        <v>257</v>
      </c>
    </row>
    <row r="7199" spans="2:2" x14ac:dyDescent="0.2">
      <c r="B7199" s="3" t="s">
        <v>257</v>
      </c>
    </row>
    <row r="7200" spans="2:2" x14ac:dyDescent="0.2">
      <c r="B7200" s="3" t="s">
        <v>257</v>
      </c>
    </row>
    <row r="7201" spans="2:2" x14ac:dyDescent="0.2">
      <c r="B7201" s="3" t="s">
        <v>257</v>
      </c>
    </row>
    <row r="7202" spans="2:2" x14ac:dyDescent="0.2">
      <c r="B7202" s="3" t="s">
        <v>257</v>
      </c>
    </row>
    <row r="7203" spans="2:2" x14ac:dyDescent="0.2">
      <c r="B7203" s="3" t="s">
        <v>257</v>
      </c>
    </row>
    <row r="7204" spans="2:2" x14ac:dyDescent="0.2">
      <c r="B7204" s="3" t="s">
        <v>257</v>
      </c>
    </row>
    <row r="7205" spans="2:2" x14ac:dyDescent="0.2">
      <c r="B7205" s="3" t="s">
        <v>257</v>
      </c>
    </row>
    <row r="7206" spans="2:2" x14ac:dyDescent="0.2">
      <c r="B7206" s="3" t="s">
        <v>257</v>
      </c>
    </row>
    <row r="7207" spans="2:2" x14ac:dyDescent="0.2">
      <c r="B7207" s="3" t="s">
        <v>257</v>
      </c>
    </row>
    <row r="7208" spans="2:2" x14ac:dyDescent="0.2">
      <c r="B7208" s="3" t="s">
        <v>257</v>
      </c>
    </row>
    <row r="7209" spans="2:2" x14ac:dyDescent="0.2">
      <c r="B7209" s="3" t="s">
        <v>257</v>
      </c>
    </row>
    <row r="7210" spans="2:2" x14ac:dyDescent="0.2">
      <c r="B7210" s="3" t="s">
        <v>257</v>
      </c>
    </row>
    <row r="7211" spans="2:2" x14ac:dyDescent="0.2">
      <c r="B7211" s="3" t="s">
        <v>257</v>
      </c>
    </row>
    <row r="7212" spans="2:2" x14ac:dyDescent="0.2">
      <c r="B7212" s="3" t="s">
        <v>257</v>
      </c>
    </row>
    <row r="7213" spans="2:2" x14ac:dyDescent="0.2">
      <c r="B7213" s="3" t="s">
        <v>257</v>
      </c>
    </row>
    <row r="7214" spans="2:2" x14ac:dyDescent="0.2">
      <c r="B7214" s="3" t="s">
        <v>257</v>
      </c>
    </row>
    <row r="7215" spans="2:2" x14ac:dyDescent="0.2">
      <c r="B7215" s="3" t="s">
        <v>257</v>
      </c>
    </row>
    <row r="7216" spans="2:2" x14ac:dyDescent="0.2">
      <c r="B7216" s="3" t="s">
        <v>257</v>
      </c>
    </row>
    <row r="7217" spans="2:2" x14ac:dyDescent="0.2">
      <c r="B7217" s="3" t="s">
        <v>257</v>
      </c>
    </row>
    <row r="7218" spans="2:2" x14ac:dyDescent="0.2">
      <c r="B7218" s="3" t="s">
        <v>257</v>
      </c>
    </row>
    <row r="7219" spans="2:2" x14ac:dyDescent="0.2">
      <c r="B7219" s="3" t="s">
        <v>257</v>
      </c>
    </row>
    <row r="7220" spans="2:2" x14ac:dyDescent="0.2">
      <c r="B7220" s="3" t="s">
        <v>257</v>
      </c>
    </row>
    <row r="7221" spans="2:2" x14ac:dyDescent="0.2">
      <c r="B7221" s="3" t="s">
        <v>257</v>
      </c>
    </row>
    <row r="7222" spans="2:2" x14ac:dyDescent="0.2">
      <c r="B7222" s="3" t="s">
        <v>257</v>
      </c>
    </row>
    <row r="7223" spans="2:2" x14ac:dyDescent="0.2">
      <c r="B7223" s="3" t="s">
        <v>257</v>
      </c>
    </row>
    <row r="7224" spans="2:2" x14ac:dyDescent="0.2">
      <c r="B7224" s="3" t="s">
        <v>257</v>
      </c>
    </row>
    <row r="7225" spans="2:2" x14ac:dyDescent="0.2">
      <c r="B7225" s="3" t="s">
        <v>257</v>
      </c>
    </row>
    <row r="7226" spans="2:2" x14ac:dyDescent="0.2">
      <c r="B7226" s="3" t="s">
        <v>257</v>
      </c>
    </row>
    <row r="7227" spans="2:2" x14ac:dyDescent="0.2">
      <c r="B7227" s="3" t="s">
        <v>257</v>
      </c>
    </row>
    <row r="7228" spans="2:2" x14ac:dyDescent="0.2">
      <c r="B7228" s="3" t="s">
        <v>257</v>
      </c>
    </row>
    <row r="7229" spans="2:2" x14ac:dyDescent="0.2">
      <c r="B7229" s="3" t="s">
        <v>257</v>
      </c>
    </row>
    <row r="7230" spans="2:2" x14ac:dyDescent="0.2">
      <c r="B7230" s="3" t="s">
        <v>257</v>
      </c>
    </row>
    <row r="7231" spans="2:2" x14ac:dyDescent="0.2">
      <c r="B7231" s="3" t="s">
        <v>257</v>
      </c>
    </row>
    <row r="7232" spans="2:2" x14ac:dyDescent="0.2">
      <c r="B7232" s="3" t="s">
        <v>257</v>
      </c>
    </row>
    <row r="7233" spans="2:2" x14ac:dyDescent="0.2">
      <c r="B7233" s="3" t="s">
        <v>257</v>
      </c>
    </row>
    <row r="7234" spans="2:2" x14ac:dyDescent="0.2">
      <c r="B7234" s="3" t="s">
        <v>257</v>
      </c>
    </row>
    <row r="7235" spans="2:2" x14ac:dyDescent="0.2">
      <c r="B7235" s="3" t="s">
        <v>257</v>
      </c>
    </row>
    <row r="7236" spans="2:2" x14ac:dyDescent="0.2">
      <c r="B7236" s="3" t="s">
        <v>257</v>
      </c>
    </row>
    <row r="7237" spans="2:2" x14ac:dyDescent="0.2">
      <c r="B7237" s="3" t="s">
        <v>257</v>
      </c>
    </row>
    <row r="7238" spans="2:2" x14ac:dyDescent="0.2">
      <c r="B7238" s="3" t="s">
        <v>257</v>
      </c>
    </row>
    <row r="7239" spans="2:2" x14ac:dyDescent="0.2">
      <c r="B7239" s="3" t="s">
        <v>257</v>
      </c>
    </row>
    <row r="7240" spans="2:2" x14ac:dyDescent="0.2">
      <c r="B7240" s="3" t="s">
        <v>257</v>
      </c>
    </row>
    <row r="7241" spans="2:2" x14ac:dyDescent="0.2">
      <c r="B7241" s="3" t="s">
        <v>257</v>
      </c>
    </row>
    <row r="7242" spans="2:2" x14ac:dyDescent="0.2">
      <c r="B7242" s="3" t="s">
        <v>257</v>
      </c>
    </row>
    <row r="7243" spans="2:2" x14ac:dyDescent="0.2">
      <c r="B7243" s="3" t="s">
        <v>257</v>
      </c>
    </row>
    <row r="7244" spans="2:2" x14ac:dyDescent="0.2">
      <c r="B7244" s="3" t="s">
        <v>257</v>
      </c>
    </row>
    <row r="7245" spans="2:2" x14ac:dyDescent="0.2">
      <c r="B7245" s="3" t="s">
        <v>257</v>
      </c>
    </row>
    <row r="7246" spans="2:2" x14ac:dyDescent="0.2">
      <c r="B7246" s="3" t="s">
        <v>257</v>
      </c>
    </row>
    <row r="7247" spans="2:2" x14ac:dyDescent="0.2">
      <c r="B7247" s="3" t="s">
        <v>257</v>
      </c>
    </row>
    <row r="7248" spans="2:2" x14ac:dyDescent="0.2">
      <c r="B7248" s="3" t="s">
        <v>257</v>
      </c>
    </row>
    <row r="7249" spans="2:2" x14ac:dyDescent="0.2">
      <c r="B7249" s="3" t="s">
        <v>257</v>
      </c>
    </row>
    <row r="7250" spans="2:2" x14ac:dyDescent="0.2">
      <c r="B7250" s="3" t="s">
        <v>257</v>
      </c>
    </row>
    <row r="7251" spans="2:2" x14ac:dyDescent="0.2">
      <c r="B7251" s="3" t="s">
        <v>257</v>
      </c>
    </row>
    <row r="7252" spans="2:2" x14ac:dyDescent="0.2">
      <c r="B7252" s="3" t="s">
        <v>257</v>
      </c>
    </row>
    <row r="7253" spans="2:2" x14ac:dyDescent="0.2">
      <c r="B7253" s="3" t="s">
        <v>257</v>
      </c>
    </row>
    <row r="7254" spans="2:2" x14ac:dyDescent="0.2">
      <c r="B7254" s="3" t="s">
        <v>257</v>
      </c>
    </row>
    <row r="7255" spans="2:2" x14ac:dyDescent="0.2">
      <c r="B7255" s="3" t="s">
        <v>257</v>
      </c>
    </row>
    <row r="7256" spans="2:2" x14ac:dyDescent="0.2">
      <c r="B7256" s="3" t="s">
        <v>257</v>
      </c>
    </row>
    <row r="7257" spans="2:2" x14ac:dyDescent="0.2">
      <c r="B7257" s="3" t="s">
        <v>257</v>
      </c>
    </row>
    <row r="7258" spans="2:2" x14ac:dyDescent="0.2">
      <c r="B7258" s="3" t="s">
        <v>257</v>
      </c>
    </row>
    <row r="7259" spans="2:2" x14ac:dyDescent="0.2">
      <c r="B7259" s="3" t="s">
        <v>257</v>
      </c>
    </row>
    <row r="7260" spans="2:2" x14ac:dyDescent="0.2">
      <c r="B7260" s="3" t="s">
        <v>257</v>
      </c>
    </row>
    <row r="7261" spans="2:2" x14ac:dyDescent="0.2">
      <c r="B7261" s="3" t="s">
        <v>257</v>
      </c>
    </row>
    <row r="7262" spans="2:2" x14ac:dyDescent="0.2">
      <c r="B7262" s="3" t="s">
        <v>257</v>
      </c>
    </row>
    <row r="7263" spans="2:2" x14ac:dyDescent="0.2">
      <c r="B7263" s="3" t="s">
        <v>257</v>
      </c>
    </row>
    <row r="7264" spans="2:2" x14ac:dyDescent="0.2">
      <c r="B7264" s="3" t="s">
        <v>257</v>
      </c>
    </row>
    <row r="7265" spans="2:2" x14ac:dyDescent="0.2">
      <c r="B7265" s="3" t="s">
        <v>257</v>
      </c>
    </row>
    <row r="7266" spans="2:2" x14ac:dyDescent="0.2">
      <c r="B7266" s="3" t="s">
        <v>257</v>
      </c>
    </row>
    <row r="7267" spans="2:2" x14ac:dyDescent="0.2">
      <c r="B7267" s="3" t="s">
        <v>257</v>
      </c>
    </row>
    <row r="7268" spans="2:2" x14ac:dyDescent="0.2">
      <c r="B7268" s="3" t="s">
        <v>257</v>
      </c>
    </row>
    <row r="7269" spans="2:2" x14ac:dyDescent="0.2">
      <c r="B7269" s="3" t="s">
        <v>257</v>
      </c>
    </row>
    <row r="7270" spans="2:2" x14ac:dyDescent="0.2">
      <c r="B7270" s="3" t="s">
        <v>257</v>
      </c>
    </row>
    <row r="7271" spans="2:2" x14ac:dyDescent="0.2">
      <c r="B7271" s="3" t="s">
        <v>257</v>
      </c>
    </row>
    <row r="7272" spans="2:2" x14ac:dyDescent="0.2">
      <c r="B7272" s="3" t="s">
        <v>257</v>
      </c>
    </row>
    <row r="7273" spans="2:2" x14ac:dyDescent="0.2">
      <c r="B7273" s="3" t="s">
        <v>257</v>
      </c>
    </row>
    <row r="7274" spans="2:2" x14ac:dyDescent="0.2">
      <c r="B7274" s="3" t="s">
        <v>257</v>
      </c>
    </row>
    <row r="7275" spans="2:2" x14ac:dyDescent="0.2">
      <c r="B7275" s="3" t="s">
        <v>257</v>
      </c>
    </row>
    <row r="7276" spans="2:2" x14ac:dyDescent="0.2">
      <c r="B7276" s="3" t="s">
        <v>257</v>
      </c>
    </row>
    <row r="7277" spans="2:2" x14ac:dyDescent="0.2">
      <c r="B7277" s="3" t="s">
        <v>257</v>
      </c>
    </row>
    <row r="7278" spans="2:2" x14ac:dyDescent="0.2">
      <c r="B7278" s="3" t="s">
        <v>257</v>
      </c>
    </row>
    <row r="7279" spans="2:2" x14ac:dyDescent="0.2">
      <c r="B7279" s="3" t="s">
        <v>257</v>
      </c>
    </row>
    <row r="7280" spans="2:2" x14ac:dyDescent="0.2">
      <c r="B7280" s="3" t="s">
        <v>257</v>
      </c>
    </row>
    <row r="7281" spans="2:2" x14ac:dyDescent="0.2">
      <c r="B7281" s="3" t="s">
        <v>257</v>
      </c>
    </row>
    <row r="7282" spans="2:2" x14ac:dyDescent="0.2">
      <c r="B7282" s="3" t="s">
        <v>257</v>
      </c>
    </row>
    <row r="7283" spans="2:2" x14ac:dyDescent="0.2">
      <c r="B7283" s="3" t="s">
        <v>257</v>
      </c>
    </row>
    <row r="7284" spans="2:2" x14ac:dyDescent="0.2">
      <c r="B7284" s="3" t="s">
        <v>257</v>
      </c>
    </row>
    <row r="7285" spans="2:2" x14ac:dyDescent="0.2">
      <c r="B7285" s="3" t="s">
        <v>257</v>
      </c>
    </row>
    <row r="7286" spans="2:2" x14ac:dyDescent="0.2">
      <c r="B7286" s="3" t="s">
        <v>257</v>
      </c>
    </row>
    <row r="7287" spans="2:2" x14ac:dyDescent="0.2">
      <c r="B7287" s="3" t="s">
        <v>257</v>
      </c>
    </row>
    <row r="7288" spans="2:2" x14ac:dyDescent="0.2">
      <c r="B7288" s="3" t="s">
        <v>257</v>
      </c>
    </row>
    <row r="7289" spans="2:2" x14ac:dyDescent="0.2">
      <c r="B7289" s="3" t="s">
        <v>257</v>
      </c>
    </row>
    <row r="7290" spans="2:2" x14ac:dyDescent="0.2">
      <c r="B7290" s="3" t="s">
        <v>257</v>
      </c>
    </row>
    <row r="7291" spans="2:2" x14ac:dyDescent="0.2">
      <c r="B7291" s="3" t="s">
        <v>257</v>
      </c>
    </row>
    <row r="7292" spans="2:2" x14ac:dyDescent="0.2">
      <c r="B7292" s="3" t="s">
        <v>257</v>
      </c>
    </row>
    <row r="7293" spans="2:2" x14ac:dyDescent="0.2">
      <c r="B7293" s="3" t="s">
        <v>257</v>
      </c>
    </row>
    <row r="7294" spans="2:2" x14ac:dyDescent="0.2">
      <c r="B7294" s="3" t="s">
        <v>257</v>
      </c>
    </row>
    <row r="7295" spans="2:2" x14ac:dyDescent="0.2">
      <c r="B7295" s="3" t="s">
        <v>257</v>
      </c>
    </row>
    <row r="7296" spans="2:2" x14ac:dyDescent="0.2">
      <c r="B7296" s="3" t="s">
        <v>257</v>
      </c>
    </row>
    <row r="7297" spans="2:2" x14ac:dyDescent="0.2">
      <c r="B7297" s="3" t="s">
        <v>257</v>
      </c>
    </row>
    <row r="7298" spans="2:2" x14ac:dyDescent="0.2">
      <c r="B7298" s="3" t="s">
        <v>257</v>
      </c>
    </row>
    <row r="7299" spans="2:2" x14ac:dyDescent="0.2">
      <c r="B7299" s="3" t="s">
        <v>257</v>
      </c>
    </row>
    <row r="7300" spans="2:2" x14ac:dyDescent="0.2">
      <c r="B7300" s="3" t="s">
        <v>257</v>
      </c>
    </row>
    <row r="7301" spans="2:2" x14ac:dyDescent="0.2">
      <c r="B7301" s="3" t="s">
        <v>257</v>
      </c>
    </row>
    <row r="7302" spans="2:2" x14ac:dyDescent="0.2">
      <c r="B7302" s="3" t="s">
        <v>257</v>
      </c>
    </row>
    <row r="7303" spans="2:2" x14ac:dyDescent="0.2">
      <c r="B7303" s="3" t="s">
        <v>257</v>
      </c>
    </row>
    <row r="7304" spans="2:2" x14ac:dyDescent="0.2">
      <c r="B7304" s="3" t="s">
        <v>257</v>
      </c>
    </row>
    <row r="7305" spans="2:2" x14ac:dyDescent="0.2">
      <c r="B7305" s="3" t="s">
        <v>257</v>
      </c>
    </row>
    <row r="7306" spans="2:2" x14ac:dyDescent="0.2">
      <c r="B7306" s="3" t="s">
        <v>257</v>
      </c>
    </row>
    <row r="7307" spans="2:2" x14ac:dyDescent="0.2">
      <c r="B7307" s="3" t="s">
        <v>257</v>
      </c>
    </row>
    <row r="7308" spans="2:2" x14ac:dyDescent="0.2">
      <c r="B7308" s="3" t="s">
        <v>257</v>
      </c>
    </row>
    <row r="7309" spans="2:2" x14ac:dyDescent="0.2">
      <c r="B7309" s="3" t="s">
        <v>257</v>
      </c>
    </row>
    <row r="7310" spans="2:2" x14ac:dyDescent="0.2">
      <c r="B7310" s="3" t="s">
        <v>257</v>
      </c>
    </row>
    <row r="7311" spans="2:2" x14ac:dyDescent="0.2">
      <c r="B7311" s="3" t="s">
        <v>257</v>
      </c>
    </row>
    <row r="7312" spans="2:2" x14ac:dyDescent="0.2">
      <c r="B7312" s="3" t="s">
        <v>257</v>
      </c>
    </row>
    <row r="7313" spans="2:2" x14ac:dyDescent="0.2">
      <c r="B7313" s="3" t="s">
        <v>257</v>
      </c>
    </row>
    <row r="7314" spans="2:2" x14ac:dyDescent="0.2">
      <c r="B7314" s="3" t="s">
        <v>257</v>
      </c>
    </row>
    <row r="7315" spans="2:2" x14ac:dyDescent="0.2">
      <c r="B7315" s="3" t="s">
        <v>257</v>
      </c>
    </row>
    <row r="7316" spans="2:2" x14ac:dyDescent="0.2">
      <c r="B7316" s="3" t="s">
        <v>257</v>
      </c>
    </row>
    <row r="7317" spans="2:2" x14ac:dyDescent="0.2">
      <c r="B7317" s="3" t="s">
        <v>257</v>
      </c>
    </row>
    <row r="7318" spans="2:2" x14ac:dyDescent="0.2">
      <c r="B7318" s="3" t="s">
        <v>257</v>
      </c>
    </row>
    <row r="7319" spans="2:2" x14ac:dyDescent="0.2">
      <c r="B7319" s="3" t="s">
        <v>257</v>
      </c>
    </row>
    <row r="7320" spans="2:2" x14ac:dyDescent="0.2">
      <c r="B7320" s="3" t="s">
        <v>257</v>
      </c>
    </row>
    <row r="7321" spans="2:2" x14ac:dyDescent="0.2">
      <c r="B7321" s="3" t="s">
        <v>257</v>
      </c>
    </row>
    <row r="7322" spans="2:2" x14ac:dyDescent="0.2">
      <c r="B7322" s="3" t="s">
        <v>257</v>
      </c>
    </row>
    <row r="7323" spans="2:2" x14ac:dyDescent="0.2">
      <c r="B7323" s="3" t="s">
        <v>257</v>
      </c>
    </row>
    <row r="7324" spans="2:2" x14ac:dyDescent="0.2">
      <c r="B7324" s="3" t="s">
        <v>257</v>
      </c>
    </row>
    <row r="7325" spans="2:2" x14ac:dyDescent="0.2">
      <c r="B7325" s="3" t="s">
        <v>257</v>
      </c>
    </row>
    <row r="7326" spans="2:2" x14ac:dyDescent="0.2">
      <c r="B7326" s="3" t="s">
        <v>257</v>
      </c>
    </row>
    <row r="7327" spans="2:2" x14ac:dyDescent="0.2">
      <c r="B7327" s="3" t="s">
        <v>257</v>
      </c>
    </row>
    <row r="7328" spans="2:2" x14ac:dyDescent="0.2">
      <c r="B7328" s="3" t="s">
        <v>257</v>
      </c>
    </row>
    <row r="7329" spans="2:2" x14ac:dyDescent="0.2">
      <c r="B7329" s="3" t="s">
        <v>257</v>
      </c>
    </row>
    <row r="7330" spans="2:2" x14ac:dyDescent="0.2">
      <c r="B7330" s="3" t="s">
        <v>257</v>
      </c>
    </row>
    <row r="7331" spans="2:2" x14ac:dyDescent="0.2">
      <c r="B7331" s="3" t="s">
        <v>257</v>
      </c>
    </row>
    <row r="7332" spans="2:2" x14ac:dyDescent="0.2">
      <c r="B7332" s="3" t="s">
        <v>257</v>
      </c>
    </row>
    <row r="7333" spans="2:2" x14ac:dyDescent="0.2">
      <c r="B7333" s="3" t="s">
        <v>257</v>
      </c>
    </row>
    <row r="7334" spans="2:2" x14ac:dyDescent="0.2">
      <c r="B7334" s="3" t="s">
        <v>257</v>
      </c>
    </row>
    <row r="7335" spans="2:2" x14ac:dyDescent="0.2">
      <c r="B7335" s="3" t="s">
        <v>257</v>
      </c>
    </row>
    <row r="7336" spans="2:2" x14ac:dyDescent="0.2">
      <c r="B7336" s="3" t="s">
        <v>257</v>
      </c>
    </row>
    <row r="7337" spans="2:2" x14ac:dyDescent="0.2">
      <c r="B7337" s="3" t="s">
        <v>257</v>
      </c>
    </row>
    <row r="7338" spans="2:2" x14ac:dyDescent="0.2">
      <c r="B7338" s="3" t="s">
        <v>257</v>
      </c>
    </row>
    <row r="7339" spans="2:2" x14ac:dyDescent="0.2">
      <c r="B7339" s="3" t="s">
        <v>257</v>
      </c>
    </row>
    <row r="7340" spans="2:2" x14ac:dyDescent="0.2">
      <c r="B7340" s="3" t="s">
        <v>257</v>
      </c>
    </row>
    <row r="7341" spans="2:2" x14ac:dyDescent="0.2">
      <c r="B7341" s="3" t="s">
        <v>257</v>
      </c>
    </row>
    <row r="7342" spans="2:2" x14ac:dyDescent="0.2">
      <c r="B7342" s="3" t="s">
        <v>257</v>
      </c>
    </row>
    <row r="7343" spans="2:2" x14ac:dyDescent="0.2">
      <c r="B7343" s="3" t="s">
        <v>257</v>
      </c>
    </row>
    <row r="7344" spans="2:2" x14ac:dyDescent="0.2">
      <c r="B7344" s="3" t="s">
        <v>257</v>
      </c>
    </row>
    <row r="7345" spans="2:2" x14ac:dyDescent="0.2">
      <c r="B7345" s="3" t="s">
        <v>257</v>
      </c>
    </row>
    <row r="7346" spans="2:2" x14ac:dyDescent="0.2">
      <c r="B7346" s="3" t="s">
        <v>257</v>
      </c>
    </row>
    <row r="7347" spans="2:2" x14ac:dyDescent="0.2">
      <c r="B7347" s="3" t="s">
        <v>257</v>
      </c>
    </row>
    <row r="7348" spans="2:2" x14ac:dyDescent="0.2">
      <c r="B7348" s="3" t="s">
        <v>257</v>
      </c>
    </row>
    <row r="7349" spans="2:2" x14ac:dyDescent="0.2">
      <c r="B7349" s="3" t="s">
        <v>257</v>
      </c>
    </row>
    <row r="7350" spans="2:2" x14ac:dyDescent="0.2">
      <c r="B7350" s="3" t="s">
        <v>257</v>
      </c>
    </row>
    <row r="7351" spans="2:2" x14ac:dyDescent="0.2">
      <c r="B7351" s="3" t="s">
        <v>257</v>
      </c>
    </row>
    <row r="7352" spans="2:2" x14ac:dyDescent="0.2">
      <c r="B7352" s="3" t="s">
        <v>257</v>
      </c>
    </row>
    <row r="7353" spans="2:2" x14ac:dyDescent="0.2">
      <c r="B7353" s="3" t="s">
        <v>257</v>
      </c>
    </row>
    <row r="7354" spans="2:2" x14ac:dyDescent="0.2">
      <c r="B7354" s="3" t="s">
        <v>257</v>
      </c>
    </row>
    <row r="7355" spans="2:2" x14ac:dyDescent="0.2">
      <c r="B7355" s="3" t="s">
        <v>257</v>
      </c>
    </row>
    <row r="7356" spans="2:2" x14ac:dyDescent="0.2">
      <c r="B7356" s="3" t="s">
        <v>257</v>
      </c>
    </row>
    <row r="7357" spans="2:2" x14ac:dyDescent="0.2">
      <c r="B7357" s="3" t="s">
        <v>257</v>
      </c>
    </row>
    <row r="7358" spans="2:2" x14ac:dyDescent="0.2">
      <c r="B7358" s="3" t="s">
        <v>257</v>
      </c>
    </row>
    <row r="7359" spans="2:2" x14ac:dyDescent="0.2">
      <c r="B7359" s="3" t="s">
        <v>257</v>
      </c>
    </row>
    <row r="7360" spans="2:2" x14ac:dyDescent="0.2">
      <c r="B7360" s="3" t="s">
        <v>257</v>
      </c>
    </row>
    <row r="7361" spans="2:2" x14ac:dyDescent="0.2">
      <c r="B7361" s="3" t="s">
        <v>257</v>
      </c>
    </row>
    <row r="7362" spans="2:2" x14ac:dyDescent="0.2">
      <c r="B7362" s="3" t="s">
        <v>257</v>
      </c>
    </row>
    <row r="7363" spans="2:2" x14ac:dyDescent="0.2">
      <c r="B7363" s="3" t="s">
        <v>257</v>
      </c>
    </row>
    <row r="7364" spans="2:2" x14ac:dyDescent="0.2">
      <c r="B7364" s="3" t="s">
        <v>257</v>
      </c>
    </row>
    <row r="7365" spans="2:2" x14ac:dyDescent="0.2">
      <c r="B7365" s="3" t="s">
        <v>257</v>
      </c>
    </row>
    <row r="7366" spans="2:2" x14ac:dyDescent="0.2">
      <c r="B7366" s="3" t="s">
        <v>257</v>
      </c>
    </row>
    <row r="7367" spans="2:2" x14ac:dyDescent="0.2">
      <c r="B7367" s="3" t="s">
        <v>257</v>
      </c>
    </row>
    <row r="7368" spans="2:2" x14ac:dyDescent="0.2">
      <c r="B7368" s="3" t="s">
        <v>257</v>
      </c>
    </row>
    <row r="7369" spans="2:2" x14ac:dyDescent="0.2">
      <c r="B7369" s="3" t="s">
        <v>257</v>
      </c>
    </row>
    <row r="7370" spans="2:2" x14ac:dyDescent="0.2">
      <c r="B7370" s="3" t="s">
        <v>257</v>
      </c>
    </row>
    <row r="7371" spans="2:2" x14ac:dyDescent="0.2">
      <c r="B7371" s="3" t="s">
        <v>257</v>
      </c>
    </row>
    <row r="7372" spans="2:2" x14ac:dyDescent="0.2">
      <c r="B7372" s="3" t="s">
        <v>257</v>
      </c>
    </row>
    <row r="7373" spans="2:2" x14ac:dyDescent="0.2">
      <c r="B7373" s="3" t="s">
        <v>257</v>
      </c>
    </row>
    <row r="7374" spans="2:2" x14ac:dyDescent="0.2">
      <c r="B7374" s="3" t="s">
        <v>257</v>
      </c>
    </row>
    <row r="7375" spans="2:2" x14ac:dyDescent="0.2">
      <c r="B7375" s="3" t="s">
        <v>257</v>
      </c>
    </row>
    <row r="7376" spans="2:2" x14ac:dyDescent="0.2">
      <c r="B7376" s="3" t="s">
        <v>257</v>
      </c>
    </row>
    <row r="7377" spans="2:2" x14ac:dyDescent="0.2">
      <c r="B7377" s="3" t="s">
        <v>257</v>
      </c>
    </row>
    <row r="7378" spans="2:2" x14ac:dyDescent="0.2">
      <c r="B7378" s="3" t="s">
        <v>257</v>
      </c>
    </row>
    <row r="7379" spans="2:2" x14ac:dyDescent="0.2">
      <c r="B7379" s="3" t="s">
        <v>257</v>
      </c>
    </row>
    <row r="7380" spans="2:2" x14ac:dyDescent="0.2">
      <c r="B7380" s="3" t="s">
        <v>257</v>
      </c>
    </row>
    <row r="7381" spans="2:2" x14ac:dyDescent="0.2">
      <c r="B7381" s="3" t="s">
        <v>257</v>
      </c>
    </row>
    <row r="7382" spans="2:2" x14ac:dyDescent="0.2">
      <c r="B7382" s="3" t="s">
        <v>257</v>
      </c>
    </row>
    <row r="7383" spans="2:2" x14ac:dyDescent="0.2">
      <c r="B7383" s="3" t="s">
        <v>257</v>
      </c>
    </row>
    <row r="7384" spans="2:2" x14ac:dyDescent="0.2">
      <c r="B7384" s="3" t="s">
        <v>257</v>
      </c>
    </row>
    <row r="7385" spans="2:2" x14ac:dyDescent="0.2">
      <c r="B7385" s="3" t="s">
        <v>257</v>
      </c>
    </row>
    <row r="7386" spans="2:2" x14ac:dyDescent="0.2">
      <c r="B7386" s="3" t="s">
        <v>257</v>
      </c>
    </row>
    <row r="7387" spans="2:2" x14ac:dyDescent="0.2">
      <c r="B7387" s="3" t="s">
        <v>257</v>
      </c>
    </row>
    <row r="7388" spans="2:2" x14ac:dyDescent="0.2">
      <c r="B7388" s="3" t="s">
        <v>257</v>
      </c>
    </row>
    <row r="7389" spans="2:2" x14ac:dyDescent="0.2">
      <c r="B7389" s="3" t="s">
        <v>257</v>
      </c>
    </row>
    <row r="7390" spans="2:2" x14ac:dyDescent="0.2">
      <c r="B7390" s="3" t="s">
        <v>257</v>
      </c>
    </row>
    <row r="7391" spans="2:2" x14ac:dyDescent="0.2">
      <c r="B7391" s="3" t="s">
        <v>257</v>
      </c>
    </row>
    <row r="7392" spans="2:2" x14ac:dyDescent="0.2">
      <c r="B7392" s="3" t="s">
        <v>257</v>
      </c>
    </row>
    <row r="7393" spans="2:2" x14ac:dyDescent="0.2">
      <c r="B7393" s="3" t="s">
        <v>257</v>
      </c>
    </row>
    <row r="7394" spans="2:2" x14ac:dyDescent="0.2">
      <c r="B7394" s="3" t="s">
        <v>257</v>
      </c>
    </row>
    <row r="7395" spans="2:2" x14ac:dyDescent="0.2">
      <c r="B7395" s="3" t="s">
        <v>257</v>
      </c>
    </row>
    <row r="7396" spans="2:2" x14ac:dyDescent="0.2">
      <c r="B7396" s="3" t="s">
        <v>257</v>
      </c>
    </row>
    <row r="7397" spans="2:2" x14ac:dyDescent="0.2">
      <c r="B7397" s="3" t="s">
        <v>257</v>
      </c>
    </row>
    <row r="7398" spans="2:2" x14ac:dyDescent="0.2">
      <c r="B7398" s="3" t="s">
        <v>257</v>
      </c>
    </row>
    <row r="7399" spans="2:2" x14ac:dyDescent="0.2">
      <c r="B7399" s="3" t="s">
        <v>257</v>
      </c>
    </row>
    <row r="7400" spans="2:2" x14ac:dyDescent="0.2">
      <c r="B7400" s="3" t="s">
        <v>257</v>
      </c>
    </row>
    <row r="7401" spans="2:2" x14ac:dyDescent="0.2">
      <c r="B7401" s="3" t="s">
        <v>257</v>
      </c>
    </row>
    <row r="7402" spans="2:2" x14ac:dyDescent="0.2">
      <c r="B7402" s="3" t="s">
        <v>257</v>
      </c>
    </row>
    <row r="7403" spans="2:2" x14ac:dyDescent="0.2">
      <c r="B7403" s="3" t="s">
        <v>257</v>
      </c>
    </row>
    <row r="7404" spans="2:2" x14ac:dyDescent="0.2">
      <c r="B7404" s="3" t="s">
        <v>257</v>
      </c>
    </row>
    <row r="7405" spans="2:2" x14ac:dyDescent="0.2">
      <c r="B7405" s="3" t="s">
        <v>257</v>
      </c>
    </row>
    <row r="7406" spans="2:2" x14ac:dyDescent="0.2">
      <c r="B7406" s="3" t="s">
        <v>257</v>
      </c>
    </row>
    <row r="7407" spans="2:2" x14ac:dyDescent="0.2">
      <c r="B7407" s="3" t="s">
        <v>257</v>
      </c>
    </row>
    <row r="7408" spans="2:2" x14ac:dyDescent="0.2">
      <c r="B7408" s="3" t="s">
        <v>257</v>
      </c>
    </row>
    <row r="7409" spans="2:2" x14ac:dyDescent="0.2">
      <c r="B7409" s="3" t="s">
        <v>257</v>
      </c>
    </row>
    <row r="7410" spans="2:2" x14ac:dyDescent="0.2">
      <c r="B7410" s="3" t="s">
        <v>257</v>
      </c>
    </row>
    <row r="7411" spans="2:2" x14ac:dyDescent="0.2">
      <c r="B7411" s="3" t="s">
        <v>257</v>
      </c>
    </row>
    <row r="7412" spans="2:2" x14ac:dyDescent="0.2">
      <c r="B7412" s="3" t="s">
        <v>257</v>
      </c>
    </row>
    <row r="7413" spans="2:2" x14ac:dyDescent="0.2">
      <c r="B7413" s="3" t="s">
        <v>257</v>
      </c>
    </row>
    <row r="7414" spans="2:2" x14ac:dyDescent="0.2">
      <c r="B7414" s="3" t="s">
        <v>257</v>
      </c>
    </row>
    <row r="7415" spans="2:2" x14ac:dyDescent="0.2">
      <c r="B7415" s="3" t="s">
        <v>257</v>
      </c>
    </row>
    <row r="7416" spans="2:2" x14ac:dyDescent="0.2">
      <c r="B7416" s="3" t="s">
        <v>257</v>
      </c>
    </row>
    <row r="7417" spans="2:2" x14ac:dyDescent="0.2">
      <c r="B7417" s="3" t="s">
        <v>257</v>
      </c>
    </row>
    <row r="7418" spans="2:2" x14ac:dyDescent="0.2">
      <c r="B7418" s="3" t="s">
        <v>257</v>
      </c>
    </row>
    <row r="7419" spans="2:2" x14ac:dyDescent="0.2">
      <c r="B7419" s="3" t="s">
        <v>257</v>
      </c>
    </row>
    <row r="7420" spans="2:2" x14ac:dyDescent="0.2">
      <c r="B7420" s="3" t="s">
        <v>257</v>
      </c>
    </row>
    <row r="7421" spans="2:2" x14ac:dyDescent="0.2">
      <c r="B7421" s="3" t="s">
        <v>257</v>
      </c>
    </row>
    <row r="7422" spans="2:2" x14ac:dyDescent="0.2">
      <c r="B7422" s="3" t="s">
        <v>257</v>
      </c>
    </row>
    <row r="7423" spans="2:2" x14ac:dyDescent="0.2">
      <c r="B7423" s="3" t="s">
        <v>257</v>
      </c>
    </row>
    <row r="7424" spans="2:2" x14ac:dyDescent="0.2">
      <c r="B7424" s="3" t="s">
        <v>257</v>
      </c>
    </row>
    <row r="7425" spans="2:2" x14ac:dyDescent="0.2">
      <c r="B7425" s="3" t="s">
        <v>257</v>
      </c>
    </row>
    <row r="7426" spans="2:2" x14ac:dyDescent="0.2">
      <c r="B7426" s="3" t="s">
        <v>257</v>
      </c>
    </row>
    <row r="7427" spans="2:2" x14ac:dyDescent="0.2">
      <c r="B7427" s="3" t="s">
        <v>257</v>
      </c>
    </row>
    <row r="7428" spans="2:2" x14ac:dyDescent="0.2">
      <c r="B7428" s="3" t="s">
        <v>257</v>
      </c>
    </row>
    <row r="7429" spans="2:2" x14ac:dyDescent="0.2">
      <c r="B7429" s="3" t="s">
        <v>257</v>
      </c>
    </row>
    <row r="7430" spans="2:2" x14ac:dyDescent="0.2">
      <c r="B7430" s="3" t="s">
        <v>257</v>
      </c>
    </row>
    <row r="7431" spans="2:2" x14ac:dyDescent="0.2">
      <c r="B7431" s="3" t="s">
        <v>257</v>
      </c>
    </row>
    <row r="7432" spans="2:2" x14ac:dyDescent="0.2">
      <c r="B7432" s="3" t="s">
        <v>257</v>
      </c>
    </row>
    <row r="7433" spans="2:2" x14ac:dyDescent="0.2">
      <c r="B7433" s="3" t="s">
        <v>257</v>
      </c>
    </row>
    <row r="7434" spans="2:2" x14ac:dyDescent="0.2">
      <c r="B7434" s="3" t="s">
        <v>257</v>
      </c>
    </row>
    <row r="7435" spans="2:2" x14ac:dyDescent="0.2">
      <c r="B7435" s="3" t="s">
        <v>257</v>
      </c>
    </row>
    <row r="7436" spans="2:2" x14ac:dyDescent="0.2">
      <c r="B7436" s="3" t="s">
        <v>257</v>
      </c>
    </row>
    <row r="7437" spans="2:2" x14ac:dyDescent="0.2">
      <c r="B7437" s="3" t="s">
        <v>257</v>
      </c>
    </row>
    <row r="7438" spans="2:2" x14ac:dyDescent="0.2">
      <c r="B7438" s="3" t="s">
        <v>257</v>
      </c>
    </row>
    <row r="7439" spans="2:2" x14ac:dyDescent="0.2">
      <c r="B7439" s="3" t="s">
        <v>257</v>
      </c>
    </row>
    <row r="7440" spans="2:2" x14ac:dyDescent="0.2">
      <c r="B7440" s="3" t="s">
        <v>257</v>
      </c>
    </row>
    <row r="7441" spans="2:2" x14ac:dyDescent="0.2">
      <c r="B7441" s="3" t="s">
        <v>257</v>
      </c>
    </row>
    <row r="7442" spans="2:2" x14ac:dyDescent="0.2">
      <c r="B7442" s="3" t="s">
        <v>257</v>
      </c>
    </row>
    <row r="7443" spans="2:2" x14ac:dyDescent="0.2">
      <c r="B7443" s="3" t="s">
        <v>257</v>
      </c>
    </row>
    <row r="7444" spans="2:2" x14ac:dyDescent="0.2">
      <c r="B7444" s="3" t="s">
        <v>257</v>
      </c>
    </row>
    <row r="7445" spans="2:2" x14ac:dyDescent="0.2">
      <c r="B7445" s="3" t="s">
        <v>257</v>
      </c>
    </row>
    <row r="7446" spans="2:2" x14ac:dyDescent="0.2">
      <c r="B7446" s="3" t="s">
        <v>257</v>
      </c>
    </row>
    <row r="7447" spans="2:2" x14ac:dyDescent="0.2">
      <c r="B7447" s="3" t="s">
        <v>257</v>
      </c>
    </row>
    <row r="7448" spans="2:2" x14ac:dyDescent="0.2">
      <c r="B7448" s="3" t="s">
        <v>257</v>
      </c>
    </row>
    <row r="7449" spans="2:2" x14ac:dyDescent="0.2">
      <c r="B7449" s="3" t="s">
        <v>257</v>
      </c>
    </row>
    <row r="7450" spans="2:2" x14ac:dyDescent="0.2">
      <c r="B7450" s="3" t="s">
        <v>257</v>
      </c>
    </row>
    <row r="7451" spans="2:2" x14ac:dyDescent="0.2">
      <c r="B7451" s="3" t="s">
        <v>257</v>
      </c>
    </row>
    <row r="7452" spans="2:2" x14ac:dyDescent="0.2">
      <c r="B7452" s="3" t="s">
        <v>257</v>
      </c>
    </row>
    <row r="7453" spans="2:2" x14ac:dyDescent="0.2">
      <c r="B7453" s="3" t="s">
        <v>257</v>
      </c>
    </row>
    <row r="7454" spans="2:2" x14ac:dyDescent="0.2">
      <c r="B7454" s="3" t="s">
        <v>257</v>
      </c>
    </row>
    <row r="7455" spans="2:2" x14ac:dyDescent="0.2">
      <c r="B7455" s="3" t="s">
        <v>257</v>
      </c>
    </row>
    <row r="7456" spans="2:2" x14ac:dyDescent="0.2">
      <c r="B7456" s="3" t="s">
        <v>257</v>
      </c>
    </row>
    <row r="7457" spans="2:2" x14ac:dyDescent="0.2">
      <c r="B7457" s="3" t="s">
        <v>257</v>
      </c>
    </row>
    <row r="7458" spans="2:2" x14ac:dyDescent="0.2">
      <c r="B7458" s="3" t="s">
        <v>257</v>
      </c>
    </row>
    <row r="7459" spans="2:2" x14ac:dyDescent="0.2">
      <c r="B7459" s="3" t="s">
        <v>257</v>
      </c>
    </row>
    <row r="7460" spans="2:2" x14ac:dyDescent="0.2">
      <c r="B7460" s="3" t="s">
        <v>257</v>
      </c>
    </row>
    <row r="7461" spans="2:2" x14ac:dyDescent="0.2">
      <c r="B7461" s="3" t="s">
        <v>257</v>
      </c>
    </row>
    <row r="7462" spans="2:2" x14ac:dyDescent="0.2">
      <c r="B7462" s="3" t="s">
        <v>257</v>
      </c>
    </row>
    <row r="7463" spans="2:2" x14ac:dyDescent="0.2">
      <c r="B7463" s="3" t="s">
        <v>257</v>
      </c>
    </row>
    <row r="7464" spans="2:2" x14ac:dyDescent="0.2">
      <c r="B7464" s="3" t="s">
        <v>257</v>
      </c>
    </row>
    <row r="7465" spans="2:2" x14ac:dyDescent="0.2">
      <c r="B7465" s="3" t="s">
        <v>257</v>
      </c>
    </row>
    <row r="7466" spans="2:2" x14ac:dyDescent="0.2">
      <c r="B7466" s="3" t="s">
        <v>257</v>
      </c>
    </row>
    <row r="7467" spans="2:2" x14ac:dyDescent="0.2">
      <c r="B7467" s="3" t="s">
        <v>257</v>
      </c>
    </row>
    <row r="7468" spans="2:2" x14ac:dyDescent="0.2">
      <c r="B7468" s="3" t="s">
        <v>257</v>
      </c>
    </row>
    <row r="7469" spans="2:2" x14ac:dyDescent="0.2">
      <c r="B7469" s="3" t="s">
        <v>257</v>
      </c>
    </row>
    <row r="7470" spans="2:2" x14ac:dyDescent="0.2">
      <c r="B7470" s="3" t="s">
        <v>257</v>
      </c>
    </row>
    <row r="7471" spans="2:2" x14ac:dyDescent="0.2">
      <c r="B7471" s="3" t="s">
        <v>257</v>
      </c>
    </row>
    <row r="7472" spans="2:2" x14ac:dyDescent="0.2">
      <c r="B7472" s="3" t="s">
        <v>257</v>
      </c>
    </row>
    <row r="7473" spans="2:2" x14ac:dyDescent="0.2">
      <c r="B7473" s="3" t="s">
        <v>257</v>
      </c>
    </row>
    <row r="7474" spans="2:2" x14ac:dyDescent="0.2">
      <c r="B7474" s="3" t="s">
        <v>257</v>
      </c>
    </row>
    <row r="7475" spans="2:2" x14ac:dyDescent="0.2">
      <c r="B7475" s="3" t="s">
        <v>257</v>
      </c>
    </row>
    <row r="7476" spans="2:2" x14ac:dyDescent="0.2">
      <c r="B7476" s="3" t="s">
        <v>257</v>
      </c>
    </row>
    <row r="7477" spans="2:2" x14ac:dyDescent="0.2">
      <c r="B7477" s="3" t="s">
        <v>257</v>
      </c>
    </row>
    <row r="7478" spans="2:2" x14ac:dyDescent="0.2">
      <c r="B7478" s="3" t="s">
        <v>257</v>
      </c>
    </row>
    <row r="7479" spans="2:2" x14ac:dyDescent="0.2">
      <c r="B7479" s="3" t="s">
        <v>257</v>
      </c>
    </row>
    <row r="7480" spans="2:2" x14ac:dyDescent="0.2">
      <c r="B7480" s="3" t="s">
        <v>257</v>
      </c>
    </row>
    <row r="7481" spans="2:2" x14ac:dyDescent="0.2">
      <c r="B7481" s="3" t="s">
        <v>257</v>
      </c>
    </row>
    <row r="7482" spans="2:2" x14ac:dyDescent="0.2">
      <c r="B7482" s="3" t="s">
        <v>257</v>
      </c>
    </row>
    <row r="7483" spans="2:2" x14ac:dyDescent="0.2">
      <c r="B7483" s="3" t="s">
        <v>257</v>
      </c>
    </row>
    <row r="7484" spans="2:2" x14ac:dyDescent="0.2">
      <c r="B7484" s="3" t="s">
        <v>257</v>
      </c>
    </row>
    <row r="7485" spans="2:2" x14ac:dyDescent="0.2">
      <c r="B7485" s="3" t="s">
        <v>257</v>
      </c>
    </row>
    <row r="7486" spans="2:2" x14ac:dyDescent="0.2">
      <c r="B7486" s="3" t="s">
        <v>257</v>
      </c>
    </row>
    <row r="7487" spans="2:2" x14ac:dyDescent="0.2">
      <c r="B7487" s="3" t="s">
        <v>257</v>
      </c>
    </row>
    <row r="7488" spans="2:2" x14ac:dyDescent="0.2">
      <c r="B7488" s="3" t="s">
        <v>257</v>
      </c>
    </row>
    <row r="7489" spans="2:2" x14ac:dyDescent="0.2">
      <c r="B7489" s="3" t="s">
        <v>257</v>
      </c>
    </row>
    <row r="7490" spans="2:2" x14ac:dyDescent="0.2">
      <c r="B7490" s="3" t="s">
        <v>257</v>
      </c>
    </row>
    <row r="7491" spans="2:2" x14ac:dyDescent="0.2">
      <c r="B7491" s="3" t="s">
        <v>257</v>
      </c>
    </row>
    <row r="7492" spans="2:2" x14ac:dyDescent="0.2">
      <c r="B7492" s="3" t="s">
        <v>257</v>
      </c>
    </row>
    <row r="7493" spans="2:2" x14ac:dyDescent="0.2">
      <c r="B7493" s="3" t="s">
        <v>257</v>
      </c>
    </row>
    <row r="7494" spans="2:2" x14ac:dyDescent="0.2">
      <c r="B7494" s="3" t="s">
        <v>257</v>
      </c>
    </row>
    <row r="7495" spans="2:2" x14ac:dyDescent="0.2">
      <c r="B7495" s="3" t="s">
        <v>257</v>
      </c>
    </row>
    <row r="7496" spans="2:2" x14ac:dyDescent="0.2">
      <c r="B7496" s="3" t="s">
        <v>257</v>
      </c>
    </row>
    <row r="7497" spans="2:2" x14ac:dyDescent="0.2">
      <c r="B7497" s="3" t="s">
        <v>257</v>
      </c>
    </row>
    <row r="7498" spans="2:2" x14ac:dyDescent="0.2">
      <c r="B7498" s="3" t="s">
        <v>257</v>
      </c>
    </row>
    <row r="7499" spans="2:2" x14ac:dyDescent="0.2">
      <c r="B7499" s="3" t="s">
        <v>257</v>
      </c>
    </row>
    <row r="7500" spans="2:2" x14ac:dyDescent="0.2">
      <c r="B7500" s="3" t="s">
        <v>257</v>
      </c>
    </row>
    <row r="7501" spans="2:2" x14ac:dyDescent="0.2">
      <c r="B7501" s="3" t="s">
        <v>257</v>
      </c>
    </row>
    <row r="7502" spans="2:2" x14ac:dyDescent="0.2">
      <c r="B7502" s="3" t="s">
        <v>257</v>
      </c>
    </row>
    <row r="7503" spans="2:2" x14ac:dyDescent="0.2">
      <c r="B7503" s="3" t="s">
        <v>257</v>
      </c>
    </row>
    <row r="7504" spans="2:2" x14ac:dyDescent="0.2">
      <c r="B7504" s="3" t="s">
        <v>257</v>
      </c>
    </row>
    <row r="7505" spans="2:2" x14ac:dyDescent="0.2">
      <c r="B7505" s="3" t="s">
        <v>257</v>
      </c>
    </row>
    <row r="7506" spans="2:2" x14ac:dyDescent="0.2">
      <c r="B7506" s="3" t="s">
        <v>257</v>
      </c>
    </row>
    <row r="7507" spans="2:2" x14ac:dyDescent="0.2">
      <c r="B7507" s="3" t="s">
        <v>257</v>
      </c>
    </row>
    <row r="7508" spans="2:2" x14ac:dyDescent="0.2">
      <c r="B7508" s="3" t="s">
        <v>257</v>
      </c>
    </row>
    <row r="7509" spans="2:2" x14ac:dyDescent="0.2">
      <c r="B7509" s="3" t="s">
        <v>257</v>
      </c>
    </row>
    <row r="7510" spans="2:2" x14ac:dyDescent="0.2">
      <c r="B7510" s="3" t="s">
        <v>257</v>
      </c>
    </row>
    <row r="7511" spans="2:2" x14ac:dyDescent="0.2">
      <c r="B7511" s="3" t="s">
        <v>257</v>
      </c>
    </row>
    <row r="7512" spans="2:2" x14ac:dyDescent="0.2">
      <c r="B7512" s="3" t="s">
        <v>257</v>
      </c>
    </row>
    <row r="7513" spans="2:2" x14ac:dyDescent="0.2">
      <c r="B7513" s="3" t="s">
        <v>257</v>
      </c>
    </row>
    <row r="7514" spans="2:2" x14ac:dyDescent="0.2">
      <c r="B7514" s="3" t="s">
        <v>257</v>
      </c>
    </row>
    <row r="7515" spans="2:2" x14ac:dyDescent="0.2">
      <c r="B7515" s="3" t="s">
        <v>257</v>
      </c>
    </row>
    <row r="7516" spans="2:2" x14ac:dyDescent="0.2">
      <c r="B7516" s="3" t="s">
        <v>257</v>
      </c>
    </row>
    <row r="7517" spans="2:2" x14ac:dyDescent="0.2">
      <c r="B7517" s="3" t="s">
        <v>257</v>
      </c>
    </row>
    <row r="7518" spans="2:2" x14ac:dyDescent="0.2">
      <c r="B7518" s="3" t="s">
        <v>257</v>
      </c>
    </row>
    <row r="7519" spans="2:2" x14ac:dyDescent="0.2">
      <c r="B7519" s="3" t="s">
        <v>257</v>
      </c>
    </row>
    <row r="7520" spans="2:2" x14ac:dyDescent="0.2">
      <c r="B7520" s="3" t="s">
        <v>257</v>
      </c>
    </row>
    <row r="7521" spans="2:2" x14ac:dyDescent="0.2">
      <c r="B7521" s="3" t="s">
        <v>257</v>
      </c>
    </row>
    <row r="7522" spans="2:2" x14ac:dyDescent="0.2">
      <c r="B7522" s="3" t="s">
        <v>257</v>
      </c>
    </row>
    <row r="7523" spans="2:2" x14ac:dyDescent="0.2">
      <c r="B7523" s="3" t="s">
        <v>257</v>
      </c>
    </row>
    <row r="7524" spans="2:2" x14ac:dyDescent="0.2">
      <c r="B7524" s="3" t="s">
        <v>257</v>
      </c>
    </row>
    <row r="7525" spans="2:2" x14ac:dyDescent="0.2">
      <c r="B7525" s="3" t="s">
        <v>257</v>
      </c>
    </row>
    <row r="7526" spans="2:2" x14ac:dyDescent="0.2">
      <c r="B7526" s="3" t="s">
        <v>257</v>
      </c>
    </row>
    <row r="7527" spans="2:2" x14ac:dyDescent="0.2">
      <c r="B7527" s="3" t="s">
        <v>257</v>
      </c>
    </row>
    <row r="7528" spans="2:2" x14ac:dyDescent="0.2">
      <c r="B7528" s="3" t="s">
        <v>257</v>
      </c>
    </row>
    <row r="7529" spans="2:2" x14ac:dyDescent="0.2">
      <c r="B7529" s="3" t="s">
        <v>257</v>
      </c>
    </row>
    <row r="7530" spans="2:2" x14ac:dyDescent="0.2">
      <c r="B7530" s="3" t="s">
        <v>257</v>
      </c>
    </row>
    <row r="7531" spans="2:2" x14ac:dyDescent="0.2">
      <c r="B7531" s="3" t="s">
        <v>257</v>
      </c>
    </row>
    <row r="7532" spans="2:2" x14ac:dyDescent="0.2">
      <c r="B7532" s="3" t="s">
        <v>257</v>
      </c>
    </row>
    <row r="7533" spans="2:2" x14ac:dyDescent="0.2">
      <c r="B7533" s="3" t="s">
        <v>257</v>
      </c>
    </row>
    <row r="7534" spans="2:2" x14ac:dyDescent="0.2">
      <c r="B7534" s="3" t="s">
        <v>257</v>
      </c>
    </row>
    <row r="7535" spans="2:2" x14ac:dyDescent="0.2">
      <c r="B7535" s="3" t="s">
        <v>257</v>
      </c>
    </row>
    <row r="7536" spans="2:2" x14ac:dyDescent="0.2">
      <c r="B7536" s="3" t="s">
        <v>257</v>
      </c>
    </row>
    <row r="7537" spans="2:2" x14ac:dyDescent="0.2">
      <c r="B7537" s="3" t="s">
        <v>257</v>
      </c>
    </row>
    <row r="7538" spans="2:2" x14ac:dyDescent="0.2">
      <c r="B7538" s="3" t="s">
        <v>257</v>
      </c>
    </row>
    <row r="7539" spans="2:2" x14ac:dyDescent="0.2">
      <c r="B7539" s="3" t="s">
        <v>257</v>
      </c>
    </row>
    <row r="7540" spans="2:2" x14ac:dyDescent="0.2">
      <c r="B7540" s="3" t="s">
        <v>257</v>
      </c>
    </row>
    <row r="7541" spans="2:2" x14ac:dyDescent="0.2">
      <c r="B7541" s="3" t="s">
        <v>257</v>
      </c>
    </row>
    <row r="7542" spans="2:2" x14ac:dyDescent="0.2">
      <c r="B7542" s="3" t="s">
        <v>257</v>
      </c>
    </row>
    <row r="7543" spans="2:2" x14ac:dyDescent="0.2">
      <c r="B7543" s="3" t="s">
        <v>257</v>
      </c>
    </row>
    <row r="7544" spans="2:2" x14ac:dyDescent="0.2">
      <c r="B7544" s="3" t="s">
        <v>257</v>
      </c>
    </row>
    <row r="7545" spans="2:2" x14ac:dyDescent="0.2">
      <c r="B7545" s="3" t="s">
        <v>257</v>
      </c>
    </row>
    <row r="7546" spans="2:2" x14ac:dyDescent="0.2">
      <c r="B7546" s="3" t="s">
        <v>257</v>
      </c>
    </row>
    <row r="7547" spans="2:2" x14ac:dyDescent="0.2">
      <c r="B7547" s="3" t="s">
        <v>257</v>
      </c>
    </row>
    <row r="7548" spans="2:2" x14ac:dyDescent="0.2">
      <c r="B7548" s="3" t="s">
        <v>257</v>
      </c>
    </row>
    <row r="7549" spans="2:2" x14ac:dyDescent="0.2">
      <c r="B7549" s="3" t="s">
        <v>257</v>
      </c>
    </row>
    <row r="7550" spans="2:2" x14ac:dyDescent="0.2">
      <c r="B7550" s="3" t="s">
        <v>257</v>
      </c>
    </row>
    <row r="7551" spans="2:2" x14ac:dyDescent="0.2">
      <c r="B7551" s="3" t="s">
        <v>257</v>
      </c>
    </row>
    <row r="7552" spans="2:2" x14ac:dyDescent="0.2">
      <c r="B7552" s="3" t="s">
        <v>257</v>
      </c>
    </row>
    <row r="7553" spans="2:2" x14ac:dyDescent="0.2">
      <c r="B7553" s="3" t="s">
        <v>257</v>
      </c>
    </row>
    <row r="7554" spans="2:2" x14ac:dyDescent="0.2">
      <c r="B7554" s="3" t="s">
        <v>257</v>
      </c>
    </row>
    <row r="7555" spans="2:2" x14ac:dyDescent="0.2">
      <c r="B7555" s="3" t="s">
        <v>257</v>
      </c>
    </row>
    <row r="7556" spans="2:2" x14ac:dyDescent="0.2">
      <c r="B7556" s="3" t="s">
        <v>257</v>
      </c>
    </row>
    <row r="7557" spans="2:2" x14ac:dyDescent="0.2">
      <c r="B7557" s="3" t="s">
        <v>257</v>
      </c>
    </row>
    <row r="7558" spans="2:2" x14ac:dyDescent="0.2">
      <c r="B7558" s="3" t="s">
        <v>257</v>
      </c>
    </row>
    <row r="7559" spans="2:2" x14ac:dyDescent="0.2">
      <c r="B7559" s="3" t="s">
        <v>257</v>
      </c>
    </row>
    <row r="7560" spans="2:2" x14ac:dyDescent="0.2">
      <c r="B7560" s="3" t="s">
        <v>257</v>
      </c>
    </row>
    <row r="7561" spans="2:2" x14ac:dyDescent="0.2">
      <c r="B7561" s="3" t="s">
        <v>257</v>
      </c>
    </row>
    <row r="7562" spans="2:2" x14ac:dyDescent="0.2">
      <c r="B7562" s="3" t="s">
        <v>257</v>
      </c>
    </row>
    <row r="7563" spans="2:2" x14ac:dyDescent="0.2">
      <c r="B7563" s="3" t="s">
        <v>257</v>
      </c>
    </row>
    <row r="7564" spans="2:2" x14ac:dyDescent="0.2">
      <c r="B7564" s="3" t="s">
        <v>257</v>
      </c>
    </row>
    <row r="7565" spans="2:2" x14ac:dyDescent="0.2">
      <c r="B7565" s="3" t="s">
        <v>257</v>
      </c>
    </row>
    <row r="7566" spans="2:2" x14ac:dyDescent="0.2">
      <c r="B7566" s="3" t="s">
        <v>257</v>
      </c>
    </row>
    <row r="7567" spans="2:2" x14ac:dyDescent="0.2">
      <c r="B7567" s="3" t="s">
        <v>257</v>
      </c>
    </row>
    <row r="7568" spans="2:2" x14ac:dyDescent="0.2">
      <c r="B7568" s="3" t="s">
        <v>257</v>
      </c>
    </row>
    <row r="7569" spans="2:2" x14ac:dyDescent="0.2">
      <c r="B7569" s="3" t="s">
        <v>257</v>
      </c>
    </row>
    <row r="7570" spans="2:2" x14ac:dyDescent="0.2">
      <c r="B7570" s="3" t="s">
        <v>257</v>
      </c>
    </row>
    <row r="7571" spans="2:2" x14ac:dyDescent="0.2">
      <c r="B7571" s="3" t="s">
        <v>257</v>
      </c>
    </row>
    <row r="7572" spans="2:2" x14ac:dyDescent="0.2">
      <c r="B7572" s="3" t="s">
        <v>257</v>
      </c>
    </row>
    <row r="7573" spans="2:2" x14ac:dyDescent="0.2">
      <c r="B7573" s="3" t="s">
        <v>257</v>
      </c>
    </row>
    <row r="7574" spans="2:2" x14ac:dyDescent="0.2">
      <c r="B7574" s="3" t="s">
        <v>257</v>
      </c>
    </row>
    <row r="7575" spans="2:2" x14ac:dyDescent="0.2">
      <c r="B7575" s="3" t="s">
        <v>257</v>
      </c>
    </row>
    <row r="7576" spans="2:2" x14ac:dyDescent="0.2">
      <c r="B7576" s="3" t="s">
        <v>257</v>
      </c>
    </row>
    <row r="7577" spans="2:2" x14ac:dyDescent="0.2">
      <c r="B7577" s="3" t="s">
        <v>257</v>
      </c>
    </row>
    <row r="7578" spans="2:2" x14ac:dyDescent="0.2">
      <c r="B7578" s="3" t="s">
        <v>257</v>
      </c>
    </row>
    <row r="7579" spans="2:2" x14ac:dyDescent="0.2">
      <c r="B7579" s="3" t="s">
        <v>257</v>
      </c>
    </row>
    <row r="7580" spans="2:2" x14ac:dyDescent="0.2">
      <c r="B7580" s="3" t="s">
        <v>257</v>
      </c>
    </row>
    <row r="7581" spans="2:2" x14ac:dyDescent="0.2">
      <c r="B7581" s="3" t="s">
        <v>257</v>
      </c>
    </row>
    <row r="7582" spans="2:2" x14ac:dyDescent="0.2">
      <c r="B7582" s="3" t="s">
        <v>257</v>
      </c>
    </row>
    <row r="7583" spans="2:2" x14ac:dyDescent="0.2">
      <c r="B7583" s="3" t="s">
        <v>257</v>
      </c>
    </row>
    <row r="7584" spans="2:2" x14ac:dyDescent="0.2">
      <c r="B7584" s="3" t="s">
        <v>257</v>
      </c>
    </row>
    <row r="7585" spans="2:2" x14ac:dyDescent="0.2">
      <c r="B7585" s="3" t="s">
        <v>257</v>
      </c>
    </row>
    <row r="7586" spans="2:2" x14ac:dyDescent="0.2">
      <c r="B7586" s="3" t="s">
        <v>257</v>
      </c>
    </row>
    <row r="7587" spans="2:2" x14ac:dyDescent="0.2">
      <c r="B7587" s="3" t="s">
        <v>257</v>
      </c>
    </row>
    <row r="7588" spans="2:2" x14ac:dyDescent="0.2">
      <c r="B7588" s="3" t="s">
        <v>257</v>
      </c>
    </row>
    <row r="7589" spans="2:2" x14ac:dyDescent="0.2">
      <c r="B7589" s="3" t="s">
        <v>257</v>
      </c>
    </row>
    <row r="7590" spans="2:2" x14ac:dyDescent="0.2">
      <c r="B7590" s="3" t="s">
        <v>257</v>
      </c>
    </row>
    <row r="7591" spans="2:2" x14ac:dyDescent="0.2">
      <c r="B7591" s="3" t="s">
        <v>257</v>
      </c>
    </row>
    <row r="7592" spans="2:2" x14ac:dyDescent="0.2">
      <c r="B7592" s="3" t="s">
        <v>257</v>
      </c>
    </row>
    <row r="7593" spans="2:2" x14ac:dyDescent="0.2">
      <c r="B7593" s="3" t="s">
        <v>257</v>
      </c>
    </row>
    <row r="7594" spans="2:2" x14ac:dyDescent="0.2">
      <c r="B7594" s="3" t="s">
        <v>257</v>
      </c>
    </row>
    <row r="7595" spans="2:2" x14ac:dyDescent="0.2">
      <c r="B7595" s="3" t="s">
        <v>257</v>
      </c>
    </row>
    <row r="7596" spans="2:2" x14ac:dyDescent="0.2">
      <c r="B7596" s="3" t="s">
        <v>257</v>
      </c>
    </row>
    <row r="7597" spans="2:2" x14ac:dyDescent="0.2">
      <c r="B7597" s="3" t="s">
        <v>257</v>
      </c>
    </row>
    <row r="7598" spans="2:2" x14ac:dyDescent="0.2">
      <c r="B7598" s="3" t="s">
        <v>257</v>
      </c>
    </row>
    <row r="7599" spans="2:2" x14ac:dyDescent="0.2">
      <c r="B7599" s="3" t="s">
        <v>257</v>
      </c>
    </row>
    <row r="7600" spans="2:2" x14ac:dyDescent="0.2">
      <c r="B7600" s="3" t="s">
        <v>257</v>
      </c>
    </row>
    <row r="7601" spans="2:2" x14ac:dyDescent="0.2">
      <c r="B7601" s="3" t="s">
        <v>257</v>
      </c>
    </row>
    <row r="7602" spans="2:2" x14ac:dyDescent="0.2">
      <c r="B7602" s="3" t="s">
        <v>257</v>
      </c>
    </row>
    <row r="7603" spans="2:2" x14ac:dyDescent="0.2">
      <c r="B7603" s="3" t="s">
        <v>257</v>
      </c>
    </row>
    <row r="7604" spans="2:2" x14ac:dyDescent="0.2">
      <c r="B7604" s="3" t="s">
        <v>257</v>
      </c>
    </row>
    <row r="7605" spans="2:2" x14ac:dyDescent="0.2">
      <c r="B7605" s="3" t="s">
        <v>257</v>
      </c>
    </row>
    <row r="7606" spans="2:2" x14ac:dyDescent="0.2">
      <c r="B7606" s="3" t="s">
        <v>257</v>
      </c>
    </row>
    <row r="7607" spans="2:2" x14ac:dyDescent="0.2">
      <c r="B7607" s="3" t="s">
        <v>257</v>
      </c>
    </row>
    <row r="7608" spans="2:2" x14ac:dyDescent="0.2">
      <c r="B7608" s="3" t="s">
        <v>257</v>
      </c>
    </row>
    <row r="7609" spans="2:2" x14ac:dyDescent="0.2">
      <c r="B7609" s="3" t="s">
        <v>257</v>
      </c>
    </row>
    <row r="7610" spans="2:2" x14ac:dyDescent="0.2">
      <c r="B7610" s="3" t="s">
        <v>257</v>
      </c>
    </row>
    <row r="7611" spans="2:2" x14ac:dyDescent="0.2">
      <c r="B7611" s="3" t="s">
        <v>257</v>
      </c>
    </row>
    <row r="7612" spans="2:2" x14ac:dyDescent="0.2">
      <c r="B7612" s="3" t="s">
        <v>257</v>
      </c>
    </row>
    <row r="7613" spans="2:2" x14ac:dyDescent="0.2">
      <c r="B7613" s="3" t="s">
        <v>257</v>
      </c>
    </row>
    <row r="7614" spans="2:2" x14ac:dyDescent="0.2">
      <c r="B7614" s="3" t="s">
        <v>257</v>
      </c>
    </row>
    <row r="7615" spans="2:2" x14ac:dyDescent="0.2">
      <c r="B7615" s="3" t="s">
        <v>257</v>
      </c>
    </row>
    <row r="7616" spans="2:2" x14ac:dyDescent="0.2">
      <c r="B7616" s="3" t="s">
        <v>257</v>
      </c>
    </row>
    <row r="7617" spans="2:2" x14ac:dyDescent="0.2">
      <c r="B7617" s="3" t="s">
        <v>257</v>
      </c>
    </row>
    <row r="7618" spans="2:2" x14ac:dyDescent="0.2">
      <c r="B7618" s="3" t="s">
        <v>257</v>
      </c>
    </row>
    <row r="7619" spans="2:2" x14ac:dyDescent="0.2">
      <c r="B7619" s="3" t="s">
        <v>257</v>
      </c>
    </row>
    <row r="7620" spans="2:2" x14ac:dyDescent="0.2">
      <c r="B7620" s="3" t="s">
        <v>257</v>
      </c>
    </row>
    <row r="7621" spans="2:2" x14ac:dyDescent="0.2">
      <c r="B7621" s="3" t="s">
        <v>257</v>
      </c>
    </row>
    <row r="7622" spans="2:2" x14ac:dyDescent="0.2">
      <c r="B7622" s="3" t="s">
        <v>257</v>
      </c>
    </row>
    <row r="7623" spans="2:2" x14ac:dyDescent="0.2">
      <c r="B7623" s="3" t="s">
        <v>257</v>
      </c>
    </row>
    <row r="7624" spans="2:2" x14ac:dyDescent="0.2">
      <c r="B7624" s="3" t="s">
        <v>257</v>
      </c>
    </row>
    <row r="7625" spans="2:2" x14ac:dyDescent="0.2">
      <c r="B7625" s="3" t="s">
        <v>257</v>
      </c>
    </row>
    <row r="7626" spans="2:2" x14ac:dyDescent="0.2">
      <c r="B7626" s="3" t="s">
        <v>257</v>
      </c>
    </row>
    <row r="7627" spans="2:2" x14ac:dyDescent="0.2">
      <c r="B7627" s="3" t="s">
        <v>257</v>
      </c>
    </row>
    <row r="7628" spans="2:2" x14ac:dyDescent="0.2">
      <c r="B7628" s="3" t="s">
        <v>257</v>
      </c>
    </row>
    <row r="7629" spans="2:2" x14ac:dyDescent="0.2">
      <c r="B7629" s="3" t="s">
        <v>257</v>
      </c>
    </row>
    <row r="7630" spans="2:2" x14ac:dyDescent="0.2">
      <c r="B7630" s="3" t="s">
        <v>257</v>
      </c>
    </row>
    <row r="7631" spans="2:2" x14ac:dyDescent="0.2">
      <c r="B7631" s="3" t="s">
        <v>257</v>
      </c>
    </row>
    <row r="7632" spans="2:2" x14ac:dyDescent="0.2">
      <c r="B7632" s="3" t="s">
        <v>257</v>
      </c>
    </row>
    <row r="7633" spans="2:2" x14ac:dyDescent="0.2">
      <c r="B7633" s="3" t="s">
        <v>257</v>
      </c>
    </row>
    <row r="7634" spans="2:2" x14ac:dyDescent="0.2">
      <c r="B7634" s="3" t="s">
        <v>257</v>
      </c>
    </row>
    <row r="7635" spans="2:2" x14ac:dyDescent="0.2">
      <c r="B7635" s="3" t="s">
        <v>257</v>
      </c>
    </row>
    <row r="7636" spans="2:2" x14ac:dyDescent="0.2">
      <c r="B7636" s="3" t="s">
        <v>257</v>
      </c>
    </row>
    <row r="7637" spans="2:2" x14ac:dyDescent="0.2">
      <c r="B7637" s="3" t="s">
        <v>257</v>
      </c>
    </row>
    <row r="7638" spans="2:2" x14ac:dyDescent="0.2">
      <c r="B7638" s="3" t="s">
        <v>257</v>
      </c>
    </row>
    <row r="7639" spans="2:2" x14ac:dyDescent="0.2">
      <c r="B7639" s="3" t="s">
        <v>257</v>
      </c>
    </row>
    <row r="7640" spans="2:2" x14ac:dyDescent="0.2">
      <c r="B7640" s="3" t="s">
        <v>257</v>
      </c>
    </row>
    <row r="7641" spans="2:2" x14ac:dyDescent="0.2">
      <c r="B7641" s="3" t="s">
        <v>257</v>
      </c>
    </row>
    <row r="7642" spans="2:2" x14ac:dyDescent="0.2">
      <c r="B7642" s="3" t="s">
        <v>257</v>
      </c>
    </row>
    <row r="7643" spans="2:2" x14ac:dyDescent="0.2">
      <c r="B7643" s="3" t="s">
        <v>257</v>
      </c>
    </row>
    <row r="7644" spans="2:2" x14ac:dyDescent="0.2">
      <c r="B7644" s="3" t="s">
        <v>257</v>
      </c>
    </row>
    <row r="7645" spans="2:2" x14ac:dyDescent="0.2">
      <c r="B7645" s="3" t="s">
        <v>257</v>
      </c>
    </row>
    <row r="7646" spans="2:2" x14ac:dyDescent="0.2">
      <c r="B7646" s="3" t="s">
        <v>257</v>
      </c>
    </row>
    <row r="7647" spans="2:2" x14ac:dyDescent="0.2">
      <c r="B7647" s="3" t="s">
        <v>257</v>
      </c>
    </row>
    <row r="7648" spans="2:2" x14ac:dyDescent="0.2">
      <c r="B7648" s="3" t="s">
        <v>257</v>
      </c>
    </row>
    <row r="7649" spans="2:2" x14ac:dyDescent="0.2">
      <c r="B7649" s="3" t="s">
        <v>257</v>
      </c>
    </row>
    <row r="7650" spans="2:2" x14ac:dyDescent="0.2">
      <c r="B7650" s="3" t="s">
        <v>257</v>
      </c>
    </row>
    <row r="7651" spans="2:2" x14ac:dyDescent="0.2">
      <c r="B7651" s="3" t="s">
        <v>257</v>
      </c>
    </row>
    <row r="7652" spans="2:2" x14ac:dyDescent="0.2">
      <c r="B7652" s="3" t="s">
        <v>257</v>
      </c>
    </row>
    <row r="7653" spans="2:2" x14ac:dyDescent="0.2">
      <c r="B7653" s="3" t="s">
        <v>257</v>
      </c>
    </row>
    <row r="7654" spans="2:2" x14ac:dyDescent="0.2">
      <c r="B7654" s="3" t="s">
        <v>257</v>
      </c>
    </row>
    <row r="7655" spans="2:2" x14ac:dyDescent="0.2">
      <c r="B7655" s="3" t="s">
        <v>257</v>
      </c>
    </row>
    <row r="7656" spans="2:2" x14ac:dyDescent="0.2">
      <c r="B7656" s="3" t="s">
        <v>257</v>
      </c>
    </row>
    <row r="7657" spans="2:2" x14ac:dyDescent="0.2">
      <c r="B7657" s="3" t="s">
        <v>257</v>
      </c>
    </row>
    <row r="7658" spans="2:2" x14ac:dyDescent="0.2">
      <c r="B7658" s="3" t="s">
        <v>257</v>
      </c>
    </row>
    <row r="7659" spans="2:2" x14ac:dyDescent="0.2">
      <c r="B7659" s="3" t="s">
        <v>257</v>
      </c>
    </row>
    <row r="7660" spans="2:2" x14ac:dyDescent="0.2">
      <c r="B7660" s="3" t="s">
        <v>257</v>
      </c>
    </row>
    <row r="7661" spans="2:2" x14ac:dyDescent="0.2">
      <c r="B7661" s="3" t="s">
        <v>257</v>
      </c>
    </row>
    <row r="7662" spans="2:2" x14ac:dyDescent="0.2">
      <c r="B7662" s="3" t="s">
        <v>257</v>
      </c>
    </row>
    <row r="7663" spans="2:2" x14ac:dyDescent="0.2">
      <c r="B7663" s="3" t="s">
        <v>257</v>
      </c>
    </row>
    <row r="7664" spans="2:2" x14ac:dyDescent="0.2">
      <c r="B7664" s="3" t="s">
        <v>257</v>
      </c>
    </row>
    <row r="7665" spans="2:2" x14ac:dyDescent="0.2">
      <c r="B7665" s="3" t="s">
        <v>257</v>
      </c>
    </row>
    <row r="7666" spans="2:2" x14ac:dyDescent="0.2">
      <c r="B7666" s="3" t="s">
        <v>257</v>
      </c>
    </row>
    <row r="7667" spans="2:2" x14ac:dyDescent="0.2">
      <c r="B7667" s="3" t="s">
        <v>257</v>
      </c>
    </row>
    <row r="7668" spans="2:2" x14ac:dyDescent="0.2">
      <c r="B7668" s="3" t="s">
        <v>257</v>
      </c>
    </row>
    <row r="7669" spans="2:2" x14ac:dyDescent="0.2">
      <c r="B7669" s="3" t="s">
        <v>257</v>
      </c>
    </row>
    <row r="7670" spans="2:2" x14ac:dyDescent="0.2">
      <c r="B7670" s="3" t="s">
        <v>257</v>
      </c>
    </row>
    <row r="7671" spans="2:2" x14ac:dyDescent="0.2">
      <c r="B7671" s="3" t="s">
        <v>257</v>
      </c>
    </row>
    <row r="7672" spans="2:2" x14ac:dyDescent="0.2">
      <c r="B7672" s="3" t="s">
        <v>257</v>
      </c>
    </row>
    <row r="7673" spans="2:2" x14ac:dyDescent="0.2">
      <c r="B7673" s="3" t="s">
        <v>257</v>
      </c>
    </row>
    <row r="7674" spans="2:2" x14ac:dyDescent="0.2">
      <c r="B7674" s="3" t="s">
        <v>257</v>
      </c>
    </row>
    <row r="7675" spans="2:2" x14ac:dyDescent="0.2">
      <c r="B7675" s="3" t="s">
        <v>257</v>
      </c>
    </row>
    <row r="7676" spans="2:2" x14ac:dyDescent="0.2">
      <c r="B7676" s="3" t="s">
        <v>257</v>
      </c>
    </row>
    <row r="7677" spans="2:2" x14ac:dyDescent="0.2">
      <c r="B7677" s="3" t="s">
        <v>257</v>
      </c>
    </row>
    <row r="7678" spans="2:2" x14ac:dyDescent="0.2">
      <c r="B7678" s="3" t="s">
        <v>257</v>
      </c>
    </row>
    <row r="7679" spans="2:2" x14ac:dyDescent="0.2">
      <c r="B7679" s="3" t="s">
        <v>257</v>
      </c>
    </row>
    <row r="7680" spans="2:2" x14ac:dyDescent="0.2">
      <c r="B7680" s="3" t="s">
        <v>257</v>
      </c>
    </row>
    <row r="7681" spans="2:2" x14ac:dyDescent="0.2">
      <c r="B7681" s="3" t="s">
        <v>257</v>
      </c>
    </row>
    <row r="7682" spans="2:2" x14ac:dyDescent="0.2">
      <c r="B7682" s="3" t="s">
        <v>257</v>
      </c>
    </row>
    <row r="7683" spans="2:2" x14ac:dyDescent="0.2">
      <c r="B7683" s="3" t="s">
        <v>257</v>
      </c>
    </row>
    <row r="7684" spans="2:2" x14ac:dyDescent="0.2">
      <c r="B7684" s="3" t="s">
        <v>257</v>
      </c>
    </row>
    <row r="7685" spans="2:2" x14ac:dyDescent="0.2">
      <c r="B7685" s="3" t="s">
        <v>257</v>
      </c>
    </row>
    <row r="7686" spans="2:2" x14ac:dyDescent="0.2">
      <c r="B7686" s="3" t="s">
        <v>257</v>
      </c>
    </row>
    <row r="7687" spans="2:2" x14ac:dyDescent="0.2">
      <c r="B7687" s="3" t="s">
        <v>257</v>
      </c>
    </row>
    <row r="7688" spans="2:2" x14ac:dyDescent="0.2">
      <c r="B7688" s="3" t="s">
        <v>257</v>
      </c>
    </row>
    <row r="7689" spans="2:2" x14ac:dyDescent="0.2">
      <c r="B7689" s="3" t="s">
        <v>257</v>
      </c>
    </row>
    <row r="7690" spans="2:2" x14ac:dyDescent="0.2">
      <c r="B7690" s="3" t="s">
        <v>257</v>
      </c>
    </row>
    <row r="7691" spans="2:2" x14ac:dyDescent="0.2">
      <c r="B7691" s="3" t="s">
        <v>257</v>
      </c>
    </row>
    <row r="7692" spans="2:2" x14ac:dyDescent="0.2">
      <c r="B7692" s="3" t="s">
        <v>257</v>
      </c>
    </row>
    <row r="7693" spans="2:2" x14ac:dyDescent="0.2">
      <c r="B7693" s="3" t="s">
        <v>257</v>
      </c>
    </row>
    <row r="7694" spans="2:2" x14ac:dyDescent="0.2">
      <c r="B7694" s="3" t="s">
        <v>257</v>
      </c>
    </row>
    <row r="7695" spans="2:2" x14ac:dyDescent="0.2">
      <c r="B7695" s="3" t="s">
        <v>257</v>
      </c>
    </row>
    <row r="7696" spans="2:2" x14ac:dyDescent="0.2">
      <c r="B7696" s="3" t="s">
        <v>257</v>
      </c>
    </row>
    <row r="7697" spans="2:2" x14ac:dyDescent="0.2">
      <c r="B7697" s="3" t="s">
        <v>257</v>
      </c>
    </row>
    <row r="7698" spans="2:2" x14ac:dyDescent="0.2">
      <c r="B7698" s="3" t="s">
        <v>257</v>
      </c>
    </row>
    <row r="7699" spans="2:2" x14ac:dyDescent="0.2">
      <c r="B7699" s="3" t="s">
        <v>257</v>
      </c>
    </row>
    <row r="7700" spans="2:2" x14ac:dyDescent="0.2">
      <c r="B7700" s="3" t="s">
        <v>257</v>
      </c>
    </row>
    <row r="7701" spans="2:2" x14ac:dyDescent="0.2">
      <c r="B7701" s="3" t="s">
        <v>257</v>
      </c>
    </row>
    <row r="7702" spans="2:2" x14ac:dyDescent="0.2">
      <c r="B7702" s="3" t="s">
        <v>257</v>
      </c>
    </row>
    <row r="7703" spans="2:2" x14ac:dyDescent="0.2">
      <c r="B7703" s="3" t="s">
        <v>257</v>
      </c>
    </row>
    <row r="7704" spans="2:2" x14ac:dyDescent="0.2">
      <c r="B7704" s="3" t="s">
        <v>257</v>
      </c>
    </row>
    <row r="7705" spans="2:2" x14ac:dyDescent="0.2">
      <c r="B7705" s="3" t="s">
        <v>257</v>
      </c>
    </row>
    <row r="7706" spans="2:2" x14ac:dyDescent="0.2">
      <c r="B7706" s="3" t="s">
        <v>257</v>
      </c>
    </row>
    <row r="7707" spans="2:2" x14ac:dyDescent="0.2">
      <c r="B7707" s="3" t="s">
        <v>257</v>
      </c>
    </row>
    <row r="7708" spans="2:2" x14ac:dyDescent="0.2">
      <c r="B7708" s="3" t="s">
        <v>257</v>
      </c>
    </row>
    <row r="7709" spans="2:2" x14ac:dyDescent="0.2">
      <c r="B7709" s="3" t="s">
        <v>257</v>
      </c>
    </row>
    <row r="7710" spans="2:2" x14ac:dyDescent="0.2">
      <c r="B7710" s="3" t="s">
        <v>257</v>
      </c>
    </row>
    <row r="7711" spans="2:2" x14ac:dyDescent="0.2">
      <c r="B7711" s="3" t="s">
        <v>257</v>
      </c>
    </row>
    <row r="7712" spans="2:2" x14ac:dyDescent="0.2">
      <c r="B7712" s="3" t="s">
        <v>257</v>
      </c>
    </row>
    <row r="7713" spans="2:2" x14ac:dyDescent="0.2">
      <c r="B7713" s="3" t="s">
        <v>257</v>
      </c>
    </row>
    <row r="7714" spans="2:2" x14ac:dyDescent="0.2">
      <c r="B7714" s="3" t="s">
        <v>257</v>
      </c>
    </row>
    <row r="7715" spans="2:2" x14ac:dyDescent="0.2">
      <c r="B7715" s="3" t="s">
        <v>257</v>
      </c>
    </row>
    <row r="7716" spans="2:2" x14ac:dyDescent="0.2">
      <c r="B7716" s="3" t="s">
        <v>257</v>
      </c>
    </row>
    <row r="7717" spans="2:2" x14ac:dyDescent="0.2">
      <c r="B7717" s="3" t="s">
        <v>257</v>
      </c>
    </row>
    <row r="7718" spans="2:2" x14ac:dyDescent="0.2">
      <c r="B7718" s="3" t="s">
        <v>257</v>
      </c>
    </row>
    <row r="7719" spans="2:2" x14ac:dyDescent="0.2">
      <c r="B7719" s="3" t="s">
        <v>257</v>
      </c>
    </row>
    <row r="7720" spans="2:2" x14ac:dyDescent="0.2">
      <c r="B7720" s="3" t="s">
        <v>257</v>
      </c>
    </row>
    <row r="7721" spans="2:2" x14ac:dyDescent="0.2">
      <c r="B7721" s="3" t="s">
        <v>257</v>
      </c>
    </row>
    <row r="7722" spans="2:2" x14ac:dyDescent="0.2">
      <c r="B7722" s="3" t="s">
        <v>257</v>
      </c>
    </row>
    <row r="7723" spans="2:2" x14ac:dyDescent="0.2">
      <c r="B7723" s="3" t="s">
        <v>257</v>
      </c>
    </row>
    <row r="7724" spans="2:2" x14ac:dyDescent="0.2">
      <c r="B7724" s="3" t="s">
        <v>257</v>
      </c>
    </row>
    <row r="7725" spans="2:2" x14ac:dyDescent="0.2">
      <c r="B7725" s="3" t="s">
        <v>257</v>
      </c>
    </row>
    <row r="7726" spans="2:2" x14ac:dyDescent="0.2">
      <c r="B7726" s="3" t="s">
        <v>257</v>
      </c>
    </row>
    <row r="7727" spans="2:2" x14ac:dyDescent="0.2">
      <c r="B7727" s="3" t="s">
        <v>257</v>
      </c>
    </row>
    <row r="7728" spans="2:2" x14ac:dyDescent="0.2">
      <c r="B7728" s="3" t="s">
        <v>257</v>
      </c>
    </row>
    <row r="7729" spans="2:2" x14ac:dyDescent="0.2">
      <c r="B7729" s="3" t="s">
        <v>257</v>
      </c>
    </row>
    <row r="7730" spans="2:2" x14ac:dyDescent="0.2">
      <c r="B7730" s="3" t="s">
        <v>257</v>
      </c>
    </row>
    <row r="7731" spans="2:2" x14ac:dyDescent="0.2">
      <c r="B7731" s="3" t="s">
        <v>257</v>
      </c>
    </row>
    <row r="7732" spans="2:2" x14ac:dyDescent="0.2">
      <c r="B7732" s="3" t="s">
        <v>257</v>
      </c>
    </row>
    <row r="7733" spans="2:2" x14ac:dyDescent="0.2">
      <c r="B7733" s="3" t="s">
        <v>257</v>
      </c>
    </row>
    <row r="7734" spans="2:2" x14ac:dyDescent="0.2">
      <c r="B7734" s="3" t="s">
        <v>257</v>
      </c>
    </row>
    <row r="7735" spans="2:2" x14ac:dyDescent="0.2">
      <c r="B7735" s="3" t="s">
        <v>257</v>
      </c>
    </row>
    <row r="7736" spans="2:2" x14ac:dyDescent="0.2">
      <c r="B7736" s="3" t="s">
        <v>257</v>
      </c>
    </row>
    <row r="7737" spans="2:2" x14ac:dyDescent="0.2">
      <c r="B7737" s="3" t="s">
        <v>257</v>
      </c>
    </row>
    <row r="7738" spans="2:2" x14ac:dyDescent="0.2">
      <c r="B7738" s="3" t="s">
        <v>257</v>
      </c>
    </row>
    <row r="7739" spans="2:2" x14ac:dyDescent="0.2">
      <c r="B7739" s="3" t="s">
        <v>257</v>
      </c>
    </row>
    <row r="7740" spans="2:2" x14ac:dyDescent="0.2">
      <c r="B7740" s="3" t="s">
        <v>257</v>
      </c>
    </row>
    <row r="7741" spans="2:2" x14ac:dyDescent="0.2">
      <c r="B7741" s="3" t="s">
        <v>257</v>
      </c>
    </row>
    <row r="7742" spans="2:2" x14ac:dyDescent="0.2">
      <c r="B7742" s="3" t="s">
        <v>257</v>
      </c>
    </row>
    <row r="7743" spans="2:2" x14ac:dyDescent="0.2">
      <c r="B7743" s="3" t="s">
        <v>257</v>
      </c>
    </row>
    <row r="7744" spans="2:2" x14ac:dyDescent="0.2">
      <c r="B7744" s="3" t="s">
        <v>257</v>
      </c>
    </row>
    <row r="7745" spans="2:2" x14ac:dyDescent="0.2">
      <c r="B7745" s="3" t="s">
        <v>257</v>
      </c>
    </row>
    <row r="7746" spans="2:2" x14ac:dyDescent="0.2">
      <c r="B7746" s="3" t="s">
        <v>257</v>
      </c>
    </row>
    <row r="7747" spans="2:2" x14ac:dyDescent="0.2">
      <c r="B7747" s="3" t="s">
        <v>257</v>
      </c>
    </row>
    <row r="7748" spans="2:2" x14ac:dyDescent="0.2">
      <c r="B7748" s="3" t="s">
        <v>257</v>
      </c>
    </row>
    <row r="7749" spans="2:2" x14ac:dyDescent="0.2">
      <c r="B7749" s="3" t="s">
        <v>257</v>
      </c>
    </row>
    <row r="7750" spans="2:2" x14ac:dyDescent="0.2">
      <c r="B7750" s="3" t="s">
        <v>257</v>
      </c>
    </row>
    <row r="7751" spans="2:2" x14ac:dyDescent="0.2">
      <c r="B7751" s="3" t="s">
        <v>257</v>
      </c>
    </row>
    <row r="7752" spans="2:2" x14ac:dyDescent="0.2">
      <c r="B7752" s="3" t="s">
        <v>257</v>
      </c>
    </row>
    <row r="7753" spans="2:2" x14ac:dyDescent="0.2">
      <c r="B7753" s="3" t="s">
        <v>257</v>
      </c>
    </row>
    <row r="7754" spans="2:2" x14ac:dyDescent="0.2">
      <c r="B7754" s="3" t="s">
        <v>257</v>
      </c>
    </row>
    <row r="7755" spans="2:2" x14ac:dyDescent="0.2">
      <c r="B7755" s="3" t="s">
        <v>257</v>
      </c>
    </row>
    <row r="7756" spans="2:2" x14ac:dyDescent="0.2">
      <c r="B7756" s="3" t="s">
        <v>257</v>
      </c>
    </row>
    <row r="7757" spans="2:2" x14ac:dyDescent="0.2">
      <c r="B7757" s="3" t="s">
        <v>257</v>
      </c>
    </row>
    <row r="7758" spans="2:2" x14ac:dyDescent="0.2">
      <c r="B7758" s="3" t="s">
        <v>257</v>
      </c>
    </row>
    <row r="7759" spans="2:2" x14ac:dyDescent="0.2">
      <c r="B7759" s="3" t="s">
        <v>257</v>
      </c>
    </row>
    <row r="7760" spans="2:2" x14ac:dyDescent="0.2">
      <c r="B7760" s="3" t="s">
        <v>257</v>
      </c>
    </row>
    <row r="7761" spans="2:2" x14ac:dyDescent="0.2">
      <c r="B7761" s="3" t="s">
        <v>257</v>
      </c>
    </row>
    <row r="7762" spans="2:2" x14ac:dyDescent="0.2">
      <c r="B7762" s="3" t="s">
        <v>257</v>
      </c>
    </row>
    <row r="7763" spans="2:2" x14ac:dyDescent="0.2">
      <c r="B7763" s="3" t="s">
        <v>257</v>
      </c>
    </row>
    <row r="7764" spans="2:2" x14ac:dyDescent="0.2">
      <c r="B7764" s="3" t="s">
        <v>257</v>
      </c>
    </row>
    <row r="7765" spans="2:2" x14ac:dyDescent="0.2">
      <c r="B7765" s="3" t="s">
        <v>257</v>
      </c>
    </row>
    <row r="7766" spans="2:2" x14ac:dyDescent="0.2">
      <c r="B7766" s="3" t="s">
        <v>257</v>
      </c>
    </row>
    <row r="7767" spans="2:2" x14ac:dyDescent="0.2">
      <c r="B7767" s="3" t="s">
        <v>257</v>
      </c>
    </row>
    <row r="7768" spans="2:2" x14ac:dyDescent="0.2">
      <c r="B7768" s="3" t="s">
        <v>257</v>
      </c>
    </row>
    <row r="7769" spans="2:2" x14ac:dyDescent="0.2">
      <c r="B7769" s="3" t="s">
        <v>257</v>
      </c>
    </row>
    <row r="7770" spans="2:2" x14ac:dyDescent="0.2">
      <c r="B7770" s="3" t="s">
        <v>257</v>
      </c>
    </row>
    <row r="7771" spans="2:2" x14ac:dyDescent="0.2">
      <c r="B7771" s="3" t="s">
        <v>257</v>
      </c>
    </row>
    <row r="7772" spans="2:2" x14ac:dyDescent="0.2">
      <c r="B7772" s="3" t="s">
        <v>257</v>
      </c>
    </row>
    <row r="7773" spans="2:2" x14ac:dyDescent="0.2">
      <c r="B7773" s="3" t="s">
        <v>257</v>
      </c>
    </row>
    <row r="7774" spans="2:2" x14ac:dyDescent="0.2">
      <c r="B7774" s="3" t="s">
        <v>257</v>
      </c>
    </row>
    <row r="7775" spans="2:2" x14ac:dyDescent="0.2">
      <c r="B7775" s="3" t="s">
        <v>257</v>
      </c>
    </row>
    <row r="7776" spans="2:2" x14ac:dyDescent="0.2">
      <c r="B7776" s="3" t="s">
        <v>257</v>
      </c>
    </row>
    <row r="7777" spans="2:2" x14ac:dyDescent="0.2">
      <c r="B7777" s="3" t="s">
        <v>257</v>
      </c>
    </row>
    <row r="7778" spans="2:2" x14ac:dyDescent="0.2">
      <c r="B7778" s="3" t="s">
        <v>257</v>
      </c>
    </row>
    <row r="7779" spans="2:2" x14ac:dyDescent="0.2">
      <c r="B7779" s="3" t="s">
        <v>257</v>
      </c>
    </row>
    <row r="7780" spans="2:2" x14ac:dyDescent="0.2">
      <c r="B7780" s="3" t="s">
        <v>257</v>
      </c>
    </row>
    <row r="7781" spans="2:2" x14ac:dyDescent="0.2">
      <c r="B7781" s="3" t="s">
        <v>257</v>
      </c>
    </row>
    <row r="7782" spans="2:2" x14ac:dyDescent="0.2">
      <c r="B7782" s="3" t="s">
        <v>257</v>
      </c>
    </row>
    <row r="7783" spans="2:2" x14ac:dyDescent="0.2">
      <c r="B7783" s="3" t="s">
        <v>257</v>
      </c>
    </row>
    <row r="7784" spans="2:2" x14ac:dyDescent="0.2">
      <c r="B7784" s="3" t="s">
        <v>257</v>
      </c>
    </row>
    <row r="7785" spans="2:2" x14ac:dyDescent="0.2">
      <c r="B7785" s="3" t="s">
        <v>257</v>
      </c>
    </row>
    <row r="7786" spans="2:2" x14ac:dyDescent="0.2">
      <c r="B7786" s="3" t="s">
        <v>257</v>
      </c>
    </row>
    <row r="7787" spans="2:2" x14ac:dyDescent="0.2">
      <c r="B7787" s="3" t="s">
        <v>257</v>
      </c>
    </row>
    <row r="7788" spans="2:2" x14ac:dyDescent="0.2">
      <c r="B7788" s="3" t="s">
        <v>257</v>
      </c>
    </row>
    <row r="7789" spans="2:2" x14ac:dyDescent="0.2">
      <c r="B7789" s="3" t="s">
        <v>257</v>
      </c>
    </row>
    <row r="7790" spans="2:2" x14ac:dyDescent="0.2">
      <c r="B7790" s="3" t="s">
        <v>257</v>
      </c>
    </row>
    <row r="7791" spans="2:2" x14ac:dyDescent="0.2">
      <c r="B7791" s="3" t="s">
        <v>257</v>
      </c>
    </row>
    <row r="7792" spans="2:2" x14ac:dyDescent="0.2">
      <c r="B7792" s="3" t="s">
        <v>257</v>
      </c>
    </row>
    <row r="7793" spans="2:2" x14ac:dyDescent="0.2">
      <c r="B7793" s="3" t="s">
        <v>257</v>
      </c>
    </row>
    <row r="7794" spans="2:2" x14ac:dyDescent="0.2">
      <c r="B7794" s="3" t="s">
        <v>257</v>
      </c>
    </row>
    <row r="7795" spans="2:2" x14ac:dyDescent="0.2">
      <c r="B7795" s="3" t="s">
        <v>257</v>
      </c>
    </row>
    <row r="7796" spans="2:2" x14ac:dyDescent="0.2">
      <c r="B7796" s="3" t="s">
        <v>257</v>
      </c>
    </row>
    <row r="7797" spans="2:2" x14ac:dyDescent="0.2">
      <c r="B7797" s="3" t="s">
        <v>257</v>
      </c>
    </row>
    <row r="7798" spans="2:2" x14ac:dyDescent="0.2">
      <c r="B7798" s="3" t="s">
        <v>257</v>
      </c>
    </row>
    <row r="7799" spans="2:2" x14ac:dyDescent="0.2">
      <c r="B7799" s="3" t="s">
        <v>257</v>
      </c>
    </row>
    <row r="7800" spans="2:2" x14ac:dyDescent="0.2">
      <c r="B7800" s="3" t="s">
        <v>257</v>
      </c>
    </row>
    <row r="7801" spans="2:2" x14ac:dyDescent="0.2">
      <c r="B7801" s="3" t="s">
        <v>257</v>
      </c>
    </row>
    <row r="7802" spans="2:2" x14ac:dyDescent="0.2">
      <c r="B7802" s="3" t="s">
        <v>257</v>
      </c>
    </row>
    <row r="7803" spans="2:2" x14ac:dyDescent="0.2">
      <c r="B7803" s="3" t="s">
        <v>257</v>
      </c>
    </row>
    <row r="7804" spans="2:2" x14ac:dyDescent="0.2">
      <c r="B7804" s="3" t="s">
        <v>257</v>
      </c>
    </row>
    <row r="7805" spans="2:2" x14ac:dyDescent="0.2">
      <c r="B7805" s="3" t="s">
        <v>257</v>
      </c>
    </row>
    <row r="7806" spans="2:2" x14ac:dyDescent="0.2">
      <c r="B7806" s="3" t="s">
        <v>257</v>
      </c>
    </row>
    <row r="7807" spans="2:2" x14ac:dyDescent="0.2">
      <c r="B7807" s="3" t="s">
        <v>257</v>
      </c>
    </row>
    <row r="7808" spans="2:2" x14ac:dyDescent="0.2">
      <c r="B7808" s="3" t="s">
        <v>257</v>
      </c>
    </row>
    <row r="7809" spans="2:2" x14ac:dyDescent="0.2">
      <c r="B7809" s="3" t="s">
        <v>257</v>
      </c>
    </row>
    <row r="7810" spans="2:2" x14ac:dyDescent="0.2">
      <c r="B7810" s="3" t="s">
        <v>257</v>
      </c>
    </row>
    <row r="7811" spans="2:2" x14ac:dyDescent="0.2">
      <c r="B7811" s="3" t="s">
        <v>257</v>
      </c>
    </row>
    <row r="7812" spans="2:2" x14ac:dyDescent="0.2">
      <c r="B7812" s="3" t="s">
        <v>257</v>
      </c>
    </row>
    <row r="7813" spans="2:2" x14ac:dyDescent="0.2">
      <c r="B7813" s="3" t="s">
        <v>257</v>
      </c>
    </row>
    <row r="7814" spans="2:2" x14ac:dyDescent="0.2">
      <c r="B7814" s="3" t="s">
        <v>257</v>
      </c>
    </row>
    <row r="7815" spans="2:2" x14ac:dyDescent="0.2">
      <c r="B7815" s="3" t="s">
        <v>257</v>
      </c>
    </row>
    <row r="7816" spans="2:2" x14ac:dyDescent="0.2">
      <c r="B7816" s="3" t="s">
        <v>257</v>
      </c>
    </row>
    <row r="7817" spans="2:2" x14ac:dyDescent="0.2">
      <c r="B7817" s="3" t="s">
        <v>257</v>
      </c>
    </row>
    <row r="7818" spans="2:2" x14ac:dyDescent="0.2">
      <c r="B7818" s="3" t="s">
        <v>257</v>
      </c>
    </row>
    <row r="7819" spans="2:2" x14ac:dyDescent="0.2">
      <c r="B7819" s="3" t="s">
        <v>257</v>
      </c>
    </row>
    <row r="7820" spans="2:2" x14ac:dyDescent="0.2">
      <c r="B7820" s="3" t="s">
        <v>257</v>
      </c>
    </row>
    <row r="7821" spans="2:2" x14ac:dyDescent="0.2">
      <c r="B7821" s="3" t="s">
        <v>257</v>
      </c>
    </row>
    <row r="7822" spans="2:2" x14ac:dyDescent="0.2">
      <c r="B7822" s="3" t="s">
        <v>257</v>
      </c>
    </row>
    <row r="7823" spans="2:2" x14ac:dyDescent="0.2">
      <c r="B7823" s="3" t="s">
        <v>257</v>
      </c>
    </row>
    <row r="7824" spans="2:2" x14ac:dyDescent="0.2">
      <c r="B7824" s="3" t="s">
        <v>257</v>
      </c>
    </row>
    <row r="7825" spans="2:2" x14ac:dyDescent="0.2">
      <c r="B7825" s="3" t="s">
        <v>257</v>
      </c>
    </row>
    <row r="7826" spans="2:2" x14ac:dyDescent="0.2">
      <c r="B7826" s="3" t="s">
        <v>257</v>
      </c>
    </row>
    <row r="7827" spans="2:2" x14ac:dyDescent="0.2">
      <c r="B7827" s="3" t="s">
        <v>257</v>
      </c>
    </row>
    <row r="7828" spans="2:2" x14ac:dyDescent="0.2">
      <c r="B7828" s="3" t="s">
        <v>257</v>
      </c>
    </row>
    <row r="7829" spans="2:2" x14ac:dyDescent="0.2">
      <c r="B7829" s="3" t="s">
        <v>257</v>
      </c>
    </row>
    <row r="7830" spans="2:2" x14ac:dyDescent="0.2">
      <c r="B7830" s="3" t="s">
        <v>257</v>
      </c>
    </row>
    <row r="7831" spans="2:2" x14ac:dyDescent="0.2">
      <c r="B7831" s="3" t="s">
        <v>257</v>
      </c>
    </row>
    <row r="7832" spans="2:2" x14ac:dyDescent="0.2">
      <c r="B7832" s="3" t="s">
        <v>257</v>
      </c>
    </row>
    <row r="7833" spans="2:2" x14ac:dyDescent="0.2">
      <c r="B7833" s="3" t="s">
        <v>257</v>
      </c>
    </row>
    <row r="7834" spans="2:2" x14ac:dyDescent="0.2">
      <c r="B7834" s="3" t="s">
        <v>257</v>
      </c>
    </row>
    <row r="7835" spans="2:2" x14ac:dyDescent="0.2">
      <c r="B7835" s="3" t="s">
        <v>257</v>
      </c>
    </row>
    <row r="7836" spans="2:2" x14ac:dyDescent="0.2">
      <c r="B7836" s="3" t="s">
        <v>257</v>
      </c>
    </row>
    <row r="7837" spans="2:2" x14ac:dyDescent="0.2">
      <c r="B7837" s="3" t="s">
        <v>257</v>
      </c>
    </row>
    <row r="7838" spans="2:2" x14ac:dyDescent="0.2">
      <c r="B7838" s="3" t="s">
        <v>257</v>
      </c>
    </row>
    <row r="7839" spans="2:2" x14ac:dyDescent="0.2">
      <c r="B7839" s="3" t="s">
        <v>257</v>
      </c>
    </row>
    <row r="7840" spans="2:2" x14ac:dyDescent="0.2">
      <c r="B7840" s="3" t="s">
        <v>257</v>
      </c>
    </row>
    <row r="7841" spans="2:2" x14ac:dyDescent="0.2">
      <c r="B7841" s="3" t="s">
        <v>257</v>
      </c>
    </row>
    <row r="7842" spans="2:2" x14ac:dyDescent="0.2">
      <c r="B7842" s="3" t="s">
        <v>257</v>
      </c>
    </row>
    <row r="7843" spans="2:2" x14ac:dyDescent="0.2">
      <c r="B7843" s="3" t="s">
        <v>257</v>
      </c>
    </row>
    <row r="7844" spans="2:2" x14ac:dyDescent="0.2">
      <c r="B7844" s="3" t="s">
        <v>257</v>
      </c>
    </row>
    <row r="7845" spans="2:2" x14ac:dyDescent="0.2">
      <c r="B7845" s="3" t="s">
        <v>257</v>
      </c>
    </row>
    <row r="7846" spans="2:2" x14ac:dyDescent="0.2">
      <c r="B7846" s="3" t="s">
        <v>257</v>
      </c>
    </row>
    <row r="7847" spans="2:2" x14ac:dyDescent="0.2">
      <c r="B7847" s="3" t="s">
        <v>257</v>
      </c>
    </row>
    <row r="7848" spans="2:2" x14ac:dyDescent="0.2">
      <c r="B7848" s="3" t="s">
        <v>257</v>
      </c>
    </row>
    <row r="7849" spans="2:2" x14ac:dyDescent="0.2">
      <c r="B7849" s="3" t="s">
        <v>257</v>
      </c>
    </row>
    <row r="7850" spans="2:2" x14ac:dyDescent="0.2">
      <c r="B7850" s="3" t="s">
        <v>257</v>
      </c>
    </row>
    <row r="7851" spans="2:2" x14ac:dyDescent="0.2">
      <c r="B7851" s="3" t="s">
        <v>257</v>
      </c>
    </row>
    <row r="7852" spans="2:2" x14ac:dyDescent="0.2">
      <c r="B7852" s="3" t="s">
        <v>257</v>
      </c>
    </row>
    <row r="7853" spans="2:2" x14ac:dyDescent="0.2">
      <c r="B7853" s="3" t="s">
        <v>257</v>
      </c>
    </row>
    <row r="7854" spans="2:2" x14ac:dyDescent="0.2">
      <c r="B7854" s="3" t="s">
        <v>257</v>
      </c>
    </row>
    <row r="7855" spans="2:2" x14ac:dyDescent="0.2">
      <c r="B7855" s="3" t="s">
        <v>257</v>
      </c>
    </row>
    <row r="7856" spans="2:2" x14ac:dyDescent="0.2">
      <c r="B7856" s="3" t="s">
        <v>257</v>
      </c>
    </row>
    <row r="7857" spans="2:2" x14ac:dyDescent="0.2">
      <c r="B7857" s="3" t="s">
        <v>257</v>
      </c>
    </row>
    <row r="7858" spans="2:2" x14ac:dyDescent="0.2">
      <c r="B7858" s="3" t="s">
        <v>257</v>
      </c>
    </row>
    <row r="7859" spans="2:2" x14ac:dyDescent="0.2">
      <c r="B7859" s="3" t="s">
        <v>257</v>
      </c>
    </row>
    <row r="7860" spans="2:2" x14ac:dyDescent="0.2">
      <c r="B7860" s="3" t="s">
        <v>257</v>
      </c>
    </row>
    <row r="7861" spans="2:2" x14ac:dyDescent="0.2">
      <c r="B7861" s="3" t="s">
        <v>257</v>
      </c>
    </row>
    <row r="7862" spans="2:2" x14ac:dyDescent="0.2">
      <c r="B7862" s="3" t="s">
        <v>257</v>
      </c>
    </row>
    <row r="7863" spans="2:2" x14ac:dyDescent="0.2">
      <c r="B7863" s="3" t="s">
        <v>257</v>
      </c>
    </row>
    <row r="7864" spans="2:2" x14ac:dyDescent="0.2">
      <c r="B7864" s="3" t="s">
        <v>257</v>
      </c>
    </row>
    <row r="7865" spans="2:2" x14ac:dyDescent="0.2">
      <c r="B7865" s="3" t="s">
        <v>257</v>
      </c>
    </row>
    <row r="7866" spans="2:2" x14ac:dyDescent="0.2">
      <c r="B7866" s="3" t="s">
        <v>257</v>
      </c>
    </row>
    <row r="7867" spans="2:2" x14ac:dyDescent="0.2">
      <c r="B7867" s="3" t="s">
        <v>257</v>
      </c>
    </row>
    <row r="7868" spans="2:2" x14ac:dyDescent="0.2">
      <c r="B7868" s="3" t="s">
        <v>257</v>
      </c>
    </row>
    <row r="7869" spans="2:2" x14ac:dyDescent="0.2">
      <c r="B7869" s="3" t="s">
        <v>257</v>
      </c>
    </row>
    <row r="7870" spans="2:2" x14ac:dyDescent="0.2">
      <c r="B7870" s="3" t="s">
        <v>257</v>
      </c>
    </row>
    <row r="7871" spans="2:2" x14ac:dyDescent="0.2">
      <c r="B7871" s="3" t="s">
        <v>257</v>
      </c>
    </row>
    <row r="7872" spans="2:2" x14ac:dyDescent="0.2">
      <c r="B7872" s="3" t="s">
        <v>257</v>
      </c>
    </row>
    <row r="7873" spans="2:2" x14ac:dyDescent="0.2">
      <c r="B7873" s="3" t="s">
        <v>257</v>
      </c>
    </row>
    <row r="7874" spans="2:2" x14ac:dyDescent="0.2">
      <c r="B7874" s="3" t="s">
        <v>257</v>
      </c>
    </row>
    <row r="7875" spans="2:2" x14ac:dyDescent="0.2">
      <c r="B7875" s="3" t="s">
        <v>257</v>
      </c>
    </row>
    <row r="7876" spans="2:2" x14ac:dyDescent="0.2">
      <c r="B7876" s="3" t="s">
        <v>257</v>
      </c>
    </row>
    <row r="7877" spans="2:2" x14ac:dyDescent="0.2">
      <c r="B7877" s="3" t="s">
        <v>257</v>
      </c>
    </row>
    <row r="7878" spans="2:2" x14ac:dyDescent="0.2">
      <c r="B7878" s="3" t="s">
        <v>257</v>
      </c>
    </row>
    <row r="7879" spans="2:2" x14ac:dyDescent="0.2">
      <c r="B7879" s="3" t="s">
        <v>257</v>
      </c>
    </row>
    <row r="7880" spans="2:2" x14ac:dyDescent="0.2">
      <c r="B7880" s="3" t="s">
        <v>257</v>
      </c>
    </row>
    <row r="7881" spans="2:2" x14ac:dyDescent="0.2">
      <c r="B7881" s="3" t="s">
        <v>257</v>
      </c>
    </row>
    <row r="7882" spans="2:2" x14ac:dyDescent="0.2">
      <c r="B7882" s="3" t="s">
        <v>257</v>
      </c>
    </row>
    <row r="7883" spans="2:2" x14ac:dyDescent="0.2">
      <c r="B7883" s="3" t="s">
        <v>257</v>
      </c>
    </row>
    <row r="7884" spans="2:2" x14ac:dyDescent="0.2">
      <c r="B7884" s="3" t="s">
        <v>257</v>
      </c>
    </row>
    <row r="7885" spans="2:2" x14ac:dyDescent="0.2">
      <c r="B7885" s="3" t="s">
        <v>257</v>
      </c>
    </row>
    <row r="7886" spans="2:2" x14ac:dyDescent="0.2">
      <c r="B7886" s="3" t="s">
        <v>257</v>
      </c>
    </row>
    <row r="7887" spans="2:2" x14ac:dyDescent="0.2">
      <c r="B7887" s="3" t="s">
        <v>257</v>
      </c>
    </row>
    <row r="7888" spans="2:2" x14ac:dyDescent="0.2">
      <c r="B7888" s="3" t="s">
        <v>257</v>
      </c>
    </row>
    <row r="7889" spans="2:2" x14ac:dyDescent="0.2">
      <c r="B7889" s="3" t="s">
        <v>257</v>
      </c>
    </row>
    <row r="7890" spans="2:2" x14ac:dyDescent="0.2">
      <c r="B7890" s="3" t="s">
        <v>257</v>
      </c>
    </row>
    <row r="7891" spans="2:2" x14ac:dyDescent="0.2">
      <c r="B7891" s="3" t="s">
        <v>257</v>
      </c>
    </row>
    <row r="7892" spans="2:2" x14ac:dyDescent="0.2">
      <c r="B7892" s="3" t="s">
        <v>257</v>
      </c>
    </row>
    <row r="7893" spans="2:2" x14ac:dyDescent="0.2">
      <c r="B7893" s="3" t="s">
        <v>257</v>
      </c>
    </row>
    <row r="7894" spans="2:2" x14ac:dyDescent="0.2">
      <c r="B7894" s="3" t="s">
        <v>257</v>
      </c>
    </row>
    <row r="7895" spans="2:2" x14ac:dyDescent="0.2">
      <c r="B7895" s="3" t="s">
        <v>257</v>
      </c>
    </row>
    <row r="7896" spans="2:2" x14ac:dyDescent="0.2">
      <c r="B7896" s="3" t="s">
        <v>257</v>
      </c>
    </row>
    <row r="7897" spans="2:2" x14ac:dyDescent="0.2">
      <c r="B7897" s="3" t="s">
        <v>257</v>
      </c>
    </row>
    <row r="7898" spans="2:2" x14ac:dyDescent="0.2">
      <c r="B7898" s="3" t="s">
        <v>257</v>
      </c>
    </row>
    <row r="7899" spans="2:2" x14ac:dyDescent="0.2">
      <c r="B7899" s="3" t="s">
        <v>257</v>
      </c>
    </row>
    <row r="7900" spans="2:2" x14ac:dyDescent="0.2">
      <c r="B7900" s="3" t="s">
        <v>257</v>
      </c>
    </row>
    <row r="7901" spans="2:2" x14ac:dyDescent="0.2">
      <c r="B7901" s="3" t="s">
        <v>257</v>
      </c>
    </row>
    <row r="7902" spans="2:2" x14ac:dyDescent="0.2">
      <c r="B7902" s="3" t="s">
        <v>257</v>
      </c>
    </row>
    <row r="7903" spans="2:2" x14ac:dyDescent="0.2">
      <c r="B7903" s="3" t="s">
        <v>257</v>
      </c>
    </row>
    <row r="7904" spans="2:2" x14ac:dyDescent="0.2">
      <c r="B7904" s="3" t="s">
        <v>257</v>
      </c>
    </row>
    <row r="7905" spans="2:2" x14ac:dyDescent="0.2">
      <c r="B7905" s="3" t="s">
        <v>257</v>
      </c>
    </row>
    <row r="7906" spans="2:2" x14ac:dyDescent="0.2">
      <c r="B7906" s="3" t="s">
        <v>257</v>
      </c>
    </row>
    <row r="7907" spans="2:2" x14ac:dyDescent="0.2">
      <c r="B7907" s="3" t="s">
        <v>257</v>
      </c>
    </row>
    <row r="7908" spans="2:2" x14ac:dyDescent="0.2">
      <c r="B7908" s="3" t="s">
        <v>257</v>
      </c>
    </row>
    <row r="7909" spans="2:2" x14ac:dyDescent="0.2">
      <c r="B7909" s="3" t="s">
        <v>257</v>
      </c>
    </row>
    <row r="7910" spans="2:2" x14ac:dyDescent="0.2">
      <c r="B7910" s="3" t="s">
        <v>257</v>
      </c>
    </row>
    <row r="7911" spans="2:2" x14ac:dyDescent="0.2">
      <c r="B7911" s="3" t="s">
        <v>257</v>
      </c>
    </row>
    <row r="7912" spans="2:2" x14ac:dyDescent="0.2">
      <c r="B7912" s="3" t="s">
        <v>257</v>
      </c>
    </row>
    <row r="7913" spans="2:2" x14ac:dyDescent="0.2">
      <c r="B7913" s="3" t="s">
        <v>257</v>
      </c>
    </row>
    <row r="7914" spans="2:2" x14ac:dyDescent="0.2">
      <c r="B7914" s="3" t="s">
        <v>257</v>
      </c>
    </row>
    <row r="7915" spans="2:2" x14ac:dyDescent="0.2">
      <c r="B7915" s="3" t="s">
        <v>257</v>
      </c>
    </row>
    <row r="7916" spans="2:2" x14ac:dyDescent="0.2">
      <c r="B7916" s="3" t="s">
        <v>257</v>
      </c>
    </row>
    <row r="7917" spans="2:2" x14ac:dyDescent="0.2">
      <c r="B7917" s="3" t="s">
        <v>257</v>
      </c>
    </row>
    <row r="7918" spans="2:2" x14ac:dyDescent="0.2">
      <c r="B7918" s="3" t="s">
        <v>257</v>
      </c>
    </row>
    <row r="7919" spans="2:2" x14ac:dyDescent="0.2">
      <c r="B7919" s="3" t="s">
        <v>257</v>
      </c>
    </row>
    <row r="7920" spans="2:2" x14ac:dyDescent="0.2">
      <c r="B7920" s="3" t="s">
        <v>257</v>
      </c>
    </row>
    <row r="7921" spans="2:2" x14ac:dyDescent="0.2">
      <c r="B7921" s="3" t="s">
        <v>257</v>
      </c>
    </row>
    <row r="7922" spans="2:2" x14ac:dyDescent="0.2">
      <c r="B7922" s="3" t="s">
        <v>257</v>
      </c>
    </row>
    <row r="7923" spans="2:2" x14ac:dyDescent="0.2">
      <c r="B7923" s="3" t="s">
        <v>257</v>
      </c>
    </row>
    <row r="7924" spans="2:2" x14ac:dyDescent="0.2">
      <c r="B7924" s="3" t="s">
        <v>257</v>
      </c>
    </row>
    <row r="7925" spans="2:2" x14ac:dyDescent="0.2">
      <c r="B7925" s="3" t="s">
        <v>257</v>
      </c>
    </row>
    <row r="7926" spans="2:2" x14ac:dyDescent="0.2">
      <c r="B7926" s="3" t="s">
        <v>257</v>
      </c>
    </row>
    <row r="7927" spans="2:2" x14ac:dyDescent="0.2">
      <c r="B7927" s="3" t="s">
        <v>257</v>
      </c>
    </row>
    <row r="7928" spans="2:2" x14ac:dyDescent="0.2">
      <c r="B7928" s="3" t="s">
        <v>257</v>
      </c>
    </row>
    <row r="7929" spans="2:2" x14ac:dyDescent="0.2">
      <c r="B7929" s="3" t="s">
        <v>257</v>
      </c>
    </row>
    <row r="7930" spans="2:2" x14ac:dyDescent="0.2">
      <c r="B7930" s="3" t="s">
        <v>257</v>
      </c>
    </row>
    <row r="7931" spans="2:2" x14ac:dyDescent="0.2">
      <c r="B7931" s="3" t="s">
        <v>257</v>
      </c>
    </row>
    <row r="7932" spans="2:2" x14ac:dyDescent="0.2">
      <c r="B7932" s="3" t="s">
        <v>257</v>
      </c>
    </row>
    <row r="7933" spans="2:2" x14ac:dyDescent="0.2">
      <c r="B7933" s="3" t="s">
        <v>257</v>
      </c>
    </row>
    <row r="7934" spans="2:2" x14ac:dyDescent="0.2">
      <c r="B7934" s="3" t="s">
        <v>257</v>
      </c>
    </row>
    <row r="7935" spans="2:2" x14ac:dyDescent="0.2">
      <c r="B7935" s="3" t="s">
        <v>257</v>
      </c>
    </row>
    <row r="7936" spans="2:2" x14ac:dyDescent="0.2">
      <c r="B7936" s="3" t="s">
        <v>257</v>
      </c>
    </row>
    <row r="7937" spans="2:2" x14ac:dyDescent="0.2">
      <c r="B7937" s="3" t="s">
        <v>257</v>
      </c>
    </row>
    <row r="7938" spans="2:2" x14ac:dyDescent="0.2">
      <c r="B7938" s="3" t="s">
        <v>257</v>
      </c>
    </row>
    <row r="7939" spans="2:2" x14ac:dyDescent="0.2">
      <c r="B7939" s="3" t="s">
        <v>257</v>
      </c>
    </row>
    <row r="7940" spans="2:2" x14ac:dyDescent="0.2">
      <c r="B7940" s="3" t="s">
        <v>257</v>
      </c>
    </row>
    <row r="7941" spans="2:2" x14ac:dyDescent="0.2">
      <c r="B7941" s="3" t="s">
        <v>257</v>
      </c>
    </row>
    <row r="7942" spans="2:2" x14ac:dyDescent="0.2">
      <c r="B7942" s="3" t="s">
        <v>257</v>
      </c>
    </row>
    <row r="7943" spans="2:2" x14ac:dyDescent="0.2">
      <c r="B7943" s="3" t="s">
        <v>257</v>
      </c>
    </row>
    <row r="7944" spans="2:2" x14ac:dyDescent="0.2">
      <c r="B7944" s="3" t="s">
        <v>257</v>
      </c>
    </row>
    <row r="7945" spans="2:2" x14ac:dyDescent="0.2">
      <c r="B7945" s="3" t="s">
        <v>257</v>
      </c>
    </row>
    <row r="7946" spans="2:2" x14ac:dyDescent="0.2">
      <c r="B7946" s="3" t="s">
        <v>257</v>
      </c>
    </row>
    <row r="7947" spans="2:2" x14ac:dyDescent="0.2">
      <c r="B7947" s="3" t="s">
        <v>257</v>
      </c>
    </row>
    <row r="7948" spans="2:2" x14ac:dyDescent="0.2">
      <c r="B7948" s="3" t="s">
        <v>257</v>
      </c>
    </row>
    <row r="7949" spans="2:2" x14ac:dyDescent="0.2">
      <c r="B7949" s="3" t="s">
        <v>257</v>
      </c>
    </row>
    <row r="7950" spans="2:2" x14ac:dyDescent="0.2">
      <c r="B7950" s="3" t="s">
        <v>257</v>
      </c>
    </row>
    <row r="7951" spans="2:2" x14ac:dyDescent="0.2">
      <c r="B7951" s="3" t="s">
        <v>257</v>
      </c>
    </row>
    <row r="7952" spans="2:2" x14ac:dyDescent="0.2">
      <c r="B7952" s="3" t="s">
        <v>257</v>
      </c>
    </row>
    <row r="7953" spans="2:2" x14ac:dyDescent="0.2">
      <c r="B7953" s="3" t="s">
        <v>257</v>
      </c>
    </row>
    <row r="7954" spans="2:2" x14ac:dyDescent="0.2">
      <c r="B7954" s="3" t="s">
        <v>257</v>
      </c>
    </row>
    <row r="7955" spans="2:2" x14ac:dyDescent="0.2">
      <c r="B7955" s="3" t="s">
        <v>257</v>
      </c>
    </row>
    <row r="7956" spans="2:2" x14ac:dyDescent="0.2">
      <c r="B7956" s="3" t="s">
        <v>257</v>
      </c>
    </row>
    <row r="7957" spans="2:2" x14ac:dyDescent="0.2">
      <c r="B7957" s="3" t="s">
        <v>257</v>
      </c>
    </row>
    <row r="7958" spans="2:2" x14ac:dyDescent="0.2">
      <c r="B7958" s="3" t="s">
        <v>257</v>
      </c>
    </row>
    <row r="7959" spans="2:2" x14ac:dyDescent="0.2">
      <c r="B7959" s="3" t="s">
        <v>257</v>
      </c>
    </row>
    <row r="7960" spans="2:2" x14ac:dyDescent="0.2">
      <c r="B7960" s="3" t="s">
        <v>257</v>
      </c>
    </row>
    <row r="7961" spans="2:2" x14ac:dyDescent="0.2">
      <c r="B7961" s="3" t="s">
        <v>257</v>
      </c>
    </row>
    <row r="7962" spans="2:2" x14ac:dyDescent="0.2">
      <c r="B7962" s="3" t="s">
        <v>257</v>
      </c>
    </row>
    <row r="7963" spans="2:2" x14ac:dyDescent="0.2">
      <c r="B7963" s="3" t="s">
        <v>257</v>
      </c>
    </row>
    <row r="7964" spans="2:2" x14ac:dyDescent="0.2">
      <c r="B7964" s="3" t="s">
        <v>257</v>
      </c>
    </row>
    <row r="7965" spans="2:2" x14ac:dyDescent="0.2">
      <c r="B7965" s="3" t="s">
        <v>257</v>
      </c>
    </row>
    <row r="7966" spans="2:2" x14ac:dyDescent="0.2">
      <c r="B7966" s="3" t="s">
        <v>257</v>
      </c>
    </row>
    <row r="7967" spans="2:2" x14ac:dyDescent="0.2">
      <c r="B7967" s="3" t="s">
        <v>257</v>
      </c>
    </row>
    <row r="7968" spans="2:2" x14ac:dyDescent="0.2">
      <c r="B7968" s="3" t="s">
        <v>257</v>
      </c>
    </row>
    <row r="7969" spans="2:2" x14ac:dyDescent="0.2">
      <c r="B7969" s="3" t="s">
        <v>257</v>
      </c>
    </row>
    <row r="7970" spans="2:2" x14ac:dyDescent="0.2">
      <c r="B7970" s="3" t="s">
        <v>257</v>
      </c>
    </row>
    <row r="7971" spans="2:2" x14ac:dyDescent="0.2">
      <c r="B7971" s="3" t="s">
        <v>257</v>
      </c>
    </row>
    <row r="7972" spans="2:2" x14ac:dyDescent="0.2">
      <c r="B7972" s="3" t="s">
        <v>257</v>
      </c>
    </row>
    <row r="7973" spans="2:2" x14ac:dyDescent="0.2">
      <c r="B7973" s="3" t="s">
        <v>257</v>
      </c>
    </row>
    <row r="7974" spans="2:2" x14ac:dyDescent="0.2">
      <c r="B7974" s="3" t="s">
        <v>257</v>
      </c>
    </row>
    <row r="7975" spans="2:2" x14ac:dyDescent="0.2">
      <c r="B7975" s="3" t="s">
        <v>257</v>
      </c>
    </row>
    <row r="7976" spans="2:2" x14ac:dyDescent="0.2">
      <c r="B7976" s="3" t="s">
        <v>257</v>
      </c>
    </row>
    <row r="7977" spans="2:2" x14ac:dyDescent="0.2">
      <c r="B7977" s="3" t="s">
        <v>257</v>
      </c>
    </row>
    <row r="7978" spans="2:2" x14ac:dyDescent="0.2">
      <c r="B7978" s="3" t="s">
        <v>257</v>
      </c>
    </row>
    <row r="7979" spans="2:2" x14ac:dyDescent="0.2">
      <c r="B7979" s="3" t="s">
        <v>257</v>
      </c>
    </row>
    <row r="7980" spans="2:2" x14ac:dyDescent="0.2">
      <c r="B7980" s="3" t="s">
        <v>257</v>
      </c>
    </row>
    <row r="7981" spans="2:2" x14ac:dyDescent="0.2">
      <c r="B7981" s="3" t="s">
        <v>257</v>
      </c>
    </row>
    <row r="7982" spans="2:2" x14ac:dyDescent="0.2">
      <c r="B7982" s="3" t="s">
        <v>257</v>
      </c>
    </row>
    <row r="7983" spans="2:2" x14ac:dyDescent="0.2">
      <c r="B7983" s="3" t="s">
        <v>257</v>
      </c>
    </row>
    <row r="7984" spans="2:2" x14ac:dyDescent="0.2">
      <c r="B7984" s="3" t="s">
        <v>257</v>
      </c>
    </row>
    <row r="7985" spans="2:2" x14ac:dyDescent="0.2">
      <c r="B7985" s="3" t="s">
        <v>257</v>
      </c>
    </row>
    <row r="7986" spans="2:2" x14ac:dyDescent="0.2">
      <c r="B7986" s="3" t="s">
        <v>257</v>
      </c>
    </row>
    <row r="7987" spans="2:2" x14ac:dyDescent="0.2">
      <c r="B7987" s="3" t="s">
        <v>257</v>
      </c>
    </row>
    <row r="7988" spans="2:2" x14ac:dyDescent="0.2">
      <c r="B7988" s="3" t="s">
        <v>257</v>
      </c>
    </row>
    <row r="7989" spans="2:2" x14ac:dyDescent="0.2">
      <c r="B7989" s="3" t="s">
        <v>257</v>
      </c>
    </row>
    <row r="7990" spans="2:2" x14ac:dyDescent="0.2">
      <c r="B7990" s="3" t="s">
        <v>257</v>
      </c>
    </row>
    <row r="7991" spans="2:2" x14ac:dyDescent="0.2">
      <c r="B7991" s="3" t="s">
        <v>257</v>
      </c>
    </row>
    <row r="7992" spans="2:2" x14ac:dyDescent="0.2">
      <c r="B7992" s="3" t="s">
        <v>257</v>
      </c>
    </row>
    <row r="7993" spans="2:2" x14ac:dyDescent="0.2">
      <c r="B7993" s="3" t="s">
        <v>257</v>
      </c>
    </row>
    <row r="7994" spans="2:2" x14ac:dyDescent="0.2">
      <c r="B7994" s="3" t="s">
        <v>257</v>
      </c>
    </row>
    <row r="7995" spans="2:2" x14ac:dyDescent="0.2">
      <c r="B7995" s="3" t="s">
        <v>257</v>
      </c>
    </row>
    <row r="7996" spans="2:2" x14ac:dyDescent="0.2">
      <c r="B7996" s="3" t="s">
        <v>257</v>
      </c>
    </row>
    <row r="7997" spans="2:2" x14ac:dyDescent="0.2">
      <c r="B7997" s="3" t="s">
        <v>257</v>
      </c>
    </row>
    <row r="7998" spans="2:2" x14ac:dyDescent="0.2">
      <c r="B7998" s="3" t="s">
        <v>257</v>
      </c>
    </row>
    <row r="7999" spans="2:2" x14ac:dyDescent="0.2">
      <c r="B7999" s="3" t="s">
        <v>257</v>
      </c>
    </row>
    <row r="8000" spans="2:2" x14ac:dyDescent="0.2">
      <c r="B8000" s="3" t="s">
        <v>257</v>
      </c>
    </row>
    <row r="8001" spans="2:2" x14ac:dyDescent="0.2">
      <c r="B8001" s="3" t="s">
        <v>257</v>
      </c>
    </row>
    <row r="8002" spans="2:2" x14ac:dyDescent="0.2">
      <c r="B8002" s="3" t="s">
        <v>257</v>
      </c>
    </row>
    <row r="8003" spans="2:2" x14ac:dyDescent="0.2">
      <c r="B8003" s="3" t="s">
        <v>257</v>
      </c>
    </row>
    <row r="8004" spans="2:2" x14ac:dyDescent="0.2">
      <c r="B8004" s="3" t="s">
        <v>257</v>
      </c>
    </row>
    <row r="8005" spans="2:2" x14ac:dyDescent="0.2">
      <c r="B8005" s="3" t="s">
        <v>257</v>
      </c>
    </row>
    <row r="8006" spans="2:2" x14ac:dyDescent="0.2">
      <c r="B8006" s="3" t="s">
        <v>257</v>
      </c>
    </row>
    <row r="8007" spans="2:2" x14ac:dyDescent="0.2">
      <c r="B8007" s="3" t="s">
        <v>257</v>
      </c>
    </row>
    <row r="8008" spans="2:2" x14ac:dyDescent="0.2">
      <c r="B8008" s="3" t="s">
        <v>257</v>
      </c>
    </row>
    <row r="8009" spans="2:2" x14ac:dyDescent="0.2">
      <c r="B8009" s="3" t="s">
        <v>257</v>
      </c>
    </row>
    <row r="8010" spans="2:2" x14ac:dyDescent="0.2">
      <c r="B8010" s="3" t="s">
        <v>257</v>
      </c>
    </row>
    <row r="8011" spans="2:2" x14ac:dyDescent="0.2">
      <c r="B8011" s="3" t="s">
        <v>257</v>
      </c>
    </row>
    <row r="8012" spans="2:2" x14ac:dyDescent="0.2">
      <c r="B8012" s="3" t="s">
        <v>257</v>
      </c>
    </row>
    <row r="8013" spans="2:2" x14ac:dyDescent="0.2">
      <c r="B8013" s="3" t="s">
        <v>257</v>
      </c>
    </row>
    <row r="8014" spans="2:2" x14ac:dyDescent="0.2">
      <c r="B8014" s="3" t="s">
        <v>257</v>
      </c>
    </row>
    <row r="8015" spans="2:2" x14ac:dyDescent="0.2">
      <c r="B8015" s="3" t="s">
        <v>257</v>
      </c>
    </row>
    <row r="8016" spans="2:2" x14ac:dyDescent="0.2">
      <c r="B8016" s="3" t="s">
        <v>257</v>
      </c>
    </row>
    <row r="8017" spans="2:2" x14ac:dyDescent="0.2">
      <c r="B8017" s="3" t="s">
        <v>257</v>
      </c>
    </row>
    <row r="8018" spans="2:2" x14ac:dyDescent="0.2">
      <c r="B8018" s="3" t="s">
        <v>257</v>
      </c>
    </row>
    <row r="8019" spans="2:2" x14ac:dyDescent="0.2">
      <c r="B8019" s="3" t="s">
        <v>257</v>
      </c>
    </row>
    <row r="8020" spans="2:2" x14ac:dyDescent="0.2">
      <c r="B8020" s="3" t="s">
        <v>257</v>
      </c>
    </row>
    <row r="8021" spans="2:2" x14ac:dyDescent="0.2">
      <c r="B8021" s="3" t="s">
        <v>257</v>
      </c>
    </row>
    <row r="8022" spans="2:2" x14ac:dyDescent="0.2">
      <c r="B8022" s="3" t="s">
        <v>257</v>
      </c>
    </row>
    <row r="8023" spans="2:2" x14ac:dyDescent="0.2">
      <c r="B8023" s="3" t="s">
        <v>257</v>
      </c>
    </row>
    <row r="8024" spans="2:2" x14ac:dyDescent="0.2">
      <c r="B8024" s="3" t="s">
        <v>257</v>
      </c>
    </row>
    <row r="8025" spans="2:2" x14ac:dyDescent="0.2">
      <c r="B8025" s="3" t="s">
        <v>257</v>
      </c>
    </row>
    <row r="8026" spans="2:2" x14ac:dyDescent="0.2">
      <c r="B8026" s="3" t="s">
        <v>257</v>
      </c>
    </row>
    <row r="8027" spans="2:2" x14ac:dyDescent="0.2">
      <c r="B8027" s="3" t="s">
        <v>257</v>
      </c>
    </row>
    <row r="8028" spans="2:2" x14ac:dyDescent="0.2">
      <c r="B8028" s="3" t="s">
        <v>257</v>
      </c>
    </row>
    <row r="8029" spans="2:2" x14ac:dyDescent="0.2">
      <c r="B8029" s="3" t="s">
        <v>257</v>
      </c>
    </row>
    <row r="8030" spans="2:2" x14ac:dyDescent="0.2">
      <c r="B8030" s="3" t="s">
        <v>257</v>
      </c>
    </row>
    <row r="8031" spans="2:2" x14ac:dyDescent="0.2">
      <c r="B8031" s="3" t="s">
        <v>257</v>
      </c>
    </row>
    <row r="8032" spans="2:2" x14ac:dyDescent="0.2">
      <c r="B8032" s="3" t="s">
        <v>257</v>
      </c>
    </row>
    <row r="8033" spans="2:2" x14ac:dyDescent="0.2">
      <c r="B8033" s="3" t="s">
        <v>257</v>
      </c>
    </row>
    <row r="8034" spans="2:2" x14ac:dyDescent="0.2">
      <c r="B8034" s="3" t="s">
        <v>257</v>
      </c>
    </row>
    <row r="8035" spans="2:2" x14ac:dyDescent="0.2">
      <c r="B8035" s="3" t="s">
        <v>257</v>
      </c>
    </row>
    <row r="8036" spans="2:2" x14ac:dyDescent="0.2">
      <c r="B8036" s="3" t="s">
        <v>257</v>
      </c>
    </row>
    <row r="8037" spans="2:2" x14ac:dyDescent="0.2">
      <c r="B8037" s="3" t="s">
        <v>257</v>
      </c>
    </row>
    <row r="8038" spans="2:2" x14ac:dyDescent="0.2">
      <c r="B8038" s="3" t="s">
        <v>257</v>
      </c>
    </row>
    <row r="8039" spans="2:2" x14ac:dyDescent="0.2">
      <c r="B8039" s="3" t="s">
        <v>257</v>
      </c>
    </row>
    <row r="8040" spans="2:2" x14ac:dyDescent="0.2">
      <c r="B8040" s="3" t="s">
        <v>257</v>
      </c>
    </row>
    <row r="8041" spans="2:2" x14ac:dyDescent="0.2">
      <c r="B8041" s="3" t="s">
        <v>257</v>
      </c>
    </row>
    <row r="8042" spans="2:2" x14ac:dyDescent="0.2">
      <c r="B8042" s="3" t="s">
        <v>257</v>
      </c>
    </row>
    <row r="8043" spans="2:2" x14ac:dyDescent="0.2">
      <c r="B8043" s="3" t="s">
        <v>257</v>
      </c>
    </row>
    <row r="8044" spans="2:2" x14ac:dyDescent="0.2">
      <c r="B8044" s="3" t="s">
        <v>257</v>
      </c>
    </row>
    <row r="8045" spans="2:2" x14ac:dyDescent="0.2">
      <c r="B8045" s="3" t="s">
        <v>257</v>
      </c>
    </row>
    <row r="8046" spans="2:2" x14ac:dyDescent="0.2">
      <c r="B8046" s="3" t="s">
        <v>257</v>
      </c>
    </row>
    <row r="8047" spans="2:2" x14ac:dyDescent="0.2">
      <c r="B8047" s="3" t="s">
        <v>257</v>
      </c>
    </row>
    <row r="8048" spans="2:2" x14ac:dyDescent="0.2">
      <c r="B8048" s="3" t="s">
        <v>257</v>
      </c>
    </row>
    <row r="8049" spans="2:2" x14ac:dyDescent="0.2">
      <c r="B8049" s="3" t="s">
        <v>257</v>
      </c>
    </row>
    <row r="8050" spans="2:2" x14ac:dyDescent="0.2">
      <c r="B8050" s="3" t="s">
        <v>257</v>
      </c>
    </row>
    <row r="8051" spans="2:2" x14ac:dyDescent="0.2">
      <c r="B8051" s="3" t="s">
        <v>257</v>
      </c>
    </row>
    <row r="8052" spans="2:2" x14ac:dyDescent="0.2">
      <c r="B8052" s="3" t="s">
        <v>257</v>
      </c>
    </row>
    <row r="8053" spans="2:2" x14ac:dyDescent="0.2">
      <c r="B8053" s="3" t="s">
        <v>257</v>
      </c>
    </row>
    <row r="8054" spans="2:2" x14ac:dyDescent="0.2">
      <c r="B8054" s="3" t="s">
        <v>257</v>
      </c>
    </row>
    <row r="8055" spans="2:2" x14ac:dyDescent="0.2">
      <c r="B8055" s="3" t="s">
        <v>257</v>
      </c>
    </row>
    <row r="8056" spans="2:2" x14ac:dyDescent="0.2">
      <c r="B8056" s="3" t="s">
        <v>257</v>
      </c>
    </row>
    <row r="8057" spans="2:2" x14ac:dyDescent="0.2">
      <c r="B8057" s="3" t="s">
        <v>257</v>
      </c>
    </row>
    <row r="8058" spans="2:2" x14ac:dyDescent="0.2">
      <c r="B8058" s="3" t="s">
        <v>257</v>
      </c>
    </row>
    <row r="8059" spans="2:2" x14ac:dyDescent="0.2">
      <c r="B8059" s="3" t="s">
        <v>257</v>
      </c>
    </row>
    <row r="8060" spans="2:2" x14ac:dyDescent="0.2">
      <c r="B8060" s="3" t="s">
        <v>257</v>
      </c>
    </row>
    <row r="8061" spans="2:2" x14ac:dyDescent="0.2">
      <c r="B8061" s="3" t="s">
        <v>257</v>
      </c>
    </row>
    <row r="8062" spans="2:2" x14ac:dyDescent="0.2">
      <c r="B8062" s="3" t="s">
        <v>257</v>
      </c>
    </row>
    <row r="8063" spans="2:2" x14ac:dyDescent="0.2">
      <c r="B8063" s="3" t="s">
        <v>257</v>
      </c>
    </row>
    <row r="8064" spans="2:2" x14ac:dyDescent="0.2">
      <c r="B8064" s="3" t="s">
        <v>257</v>
      </c>
    </row>
    <row r="8065" spans="2:2" x14ac:dyDescent="0.2">
      <c r="B8065" s="3" t="s">
        <v>257</v>
      </c>
    </row>
    <row r="8066" spans="2:2" x14ac:dyDescent="0.2">
      <c r="B8066" s="3" t="s">
        <v>257</v>
      </c>
    </row>
    <row r="8067" spans="2:2" x14ac:dyDescent="0.2">
      <c r="B8067" s="3" t="s">
        <v>257</v>
      </c>
    </row>
    <row r="8068" spans="2:2" x14ac:dyDescent="0.2">
      <c r="B8068" s="3" t="s">
        <v>257</v>
      </c>
    </row>
    <row r="8069" spans="2:2" x14ac:dyDescent="0.2">
      <c r="B8069" s="3" t="s">
        <v>257</v>
      </c>
    </row>
    <row r="8070" spans="2:2" x14ac:dyDescent="0.2">
      <c r="B8070" s="3" t="s">
        <v>257</v>
      </c>
    </row>
    <row r="8071" spans="2:2" x14ac:dyDescent="0.2">
      <c r="B8071" s="3" t="s">
        <v>257</v>
      </c>
    </row>
    <row r="8072" spans="2:2" x14ac:dyDescent="0.2">
      <c r="B8072" s="3" t="s">
        <v>257</v>
      </c>
    </row>
    <row r="8073" spans="2:2" x14ac:dyDescent="0.2">
      <c r="B8073" s="3" t="s">
        <v>257</v>
      </c>
    </row>
    <row r="8074" spans="2:2" x14ac:dyDescent="0.2">
      <c r="B8074" s="3" t="s">
        <v>257</v>
      </c>
    </row>
    <row r="8075" spans="2:2" x14ac:dyDescent="0.2">
      <c r="B8075" s="3" t="s">
        <v>257</v>
      </c>
    </row>
    <row r="8076" spans="2:2" x14ac:dyDescent="0.2">
      <c r="B8076" s="3" t="s">
        <v>257</v>
      </c>
    </row>
    <row r="8077" spans="2:2" x14ac:dyDescent="0.2">
      <c r="B8077" s="3" t="s">
        <v>257</v>
      </c>
    </row>
    <row r="8078" spans="2:2" x14ac:dyDescent="0.2">
      <c r="B8078" s="3" t="s">
        <v>257</v>
      </c>
    </row>
    <row r="8079" spans="2:2" x14ac:dyDescent="0.2">
      <c r="B8079" s="3" t="s">
        <v>257</v>
      </c>
    </row>
    <row r="8080" spans="2:2" x14ac:dyDescent="0.2">
      <c r="B8080" s="3" t="s">
        <v>257</v>
      </c>
    </row>
    <row r="8081" spans="2:2" x14ac:dyDescent="0.2">
      <c r="B8081" s="3" t="s">
        <v>257</v>
      </c>
    </row>
    <row r="8082" spans="2:2" x14ac:dyDescent="0.2">
      <c r="B8082" s="3" t="s">
        <v>257</v>
      </c>
    </row>
    <row r="8083" spans="2:2" x14ac:dyDescent="0.2">
      <c r="B8083" s="3" t="s">
        <v>257</v>
      </c>
    </row>
    <row r="8084" spans="2:2" x14ac:dyDescent="0.2">
      <c r="B8084" s="3" t="s">
        <v>257</v>
      </c>
    </row>
    <row r="8085" spans="2:2" x14ac:dyDescent="0.2">
      <c r="B8085" s="3" t="s">
        <v>257</v>
      </c>
    </row>
    <row r="8086" spans="2:2" x14ac:dyDescent="0.2">
      <c r="B8086" s="3" t="s">
        <v>257</v>
      </c>
    </row>
    <row r="8087" spans="2:2" x14ac:dyDescent="0.2">
      <c r="B8087" s="3" t="s">
        <v>257</v>
      </c>
    </row>
    <row r="8088" spans="2:2" x14ac:dyDescent="0.2">
      <c r="B8088" s="3" t="s">
        <v>257</v>
      </c>
    </row>
    <row r="8089" spans="2:2" x14ac:dyDescent="0.2">
      <c r="B8089" s="3" t="s">
        <v>257</v>
      </c>
    </row>
    <row r="8090" spans="2:2" x14ac:dyDescent="0.2">
      <c r="B8090" s="3" t="s">
        <v>257</v>
      </c>
    </row>
    <row r="8091" spans="2:2" x14ac:dyDescent="0.2">
      <c r="B8091" s="3" t="s">
        <v>257</v>
      </c>
    </row>
    <row r="8092" spans="2:2" x14ac:dyDescent="0.2">
      <c r="B8092" s="3" t="s">
        <v>257</v>
      </c>
    </row>
    <row r="8093" spans="2:2" x14ac:dyDescent="0.2">
      <c r="B8093" s="3" t="s">
        <v>257</v>
      </c>
    </row>
    <row r="8094" spans="2:2" x14ac:dyDescent="0.2">
      <c r="B8094" s="3" t="s">
        <v>257</v>
      </c>
    </row>
    <row r="8095" spans="2:2" x14ac:dyDescent="0.2">
      <c r="B8095" s="3" t="s">
        <v>257</v>
      </c>
    </row>
    <row r="8096" spans="2:2" x14ac:dyDescent="0.2">
      <c r="B8096" s="3" t="s">
        <v>257</v>
      </c>
    </row>
    <row r="8097" spans="2:2" x14ac:dyDescent="0.2">
      <c r="B8097" s="3" t="s">
        <v>257</v>
      </c>
    </row>
    <row r="8098" spans="2:2" x14ac:dyDescent="0.2">
      <c r="B8098" s="3" t="s">
        <v>257</v>
      </c>
    </row>
    <row r="8099" spans="2:2" x14ac:dyDescent="0.2">
      <c r="B8099" s="3" t="s">
        <v>257</v>
      </c>
    </row>
    <row r="8100" spans="2:2" x14ac:dyDescent="0.2">
      <c r="B8100" s="3" t="s">
        <v>257</v>
      </c>
    </row>
    <row r="8101" spans="2:2" x14ac:dyDescent="0.2">
      <c r="B8101" s="3" t="s">
        <v>257</v>
      </c>
    </row>
    <row r="8102" spans="2:2" x14ac:dyDescent="0.2">
      <c r="B8102" s="3" t="s">
        <v>257</v>
      </c>
    </row>
    <row r="8103" spans="2:2" x14ac:dyDescent="0.2">
      <c r="B8103" s="3" t="s">
        <v>257</v>
      </c>
    </row>
    <row r="8104" spans="2:2" x14ac:dyDescent="0.2">
      <c r="B8104" s="3" t="s">
        <v>257</v>
      </c>
    </row>
    <row r="8105" spans="2:2" x14ac:dyDescent="0.2">
      <c r="B8105" s="3" t="s">
        <v>257</v>
      </c>
    </row>
    <row r="8106" spans="2:2" x14ac:dyDescent="0.2">
      <c r="B8106" s="3" t="s">
        <v>257</v>
      </c>
    </row>
    <row r="8107" spans="2:2" x14ac:dyDescent="0.2">
      <c r="B8107" s="3" t="s">
        <v>257</v>
      </c>
    </row>
    <row r="8108" spans="2:2" x14ac:dyDescent="0.2">
      <c r="B8108" s="3" t="s">
        <v>257</v>
      </c>
    </row>
    <row r="8109" spans="2:2" x14ac:dyDescent="0.2">
      <c r="B8109" s="3" t="s">
        <v>257</v>
      </c>
    </row>
    <row r="8110" spans="2:2" x14ac:dyDescent="0.2">
      <c r="B8110" s="3" t="s">
        <v>257</v>
      </c>
    </row>
    <row r="8111" spans="2:2" x14ac:dyDescent="0.2">
      <c r="B8111" s="3" t="s">
        <v>257</v>
      </c>
    </row>
    <row r="8112" spans="2:2" x14ac:dyDescent="0.2">
      <c r="B8112" s="3" t="s">
        <v>257</v>
      </c>
    </row>
    <row r="8113" spans="2:2" x14ac:dyDescent="0.2">
      <c r="B8113" s="3" t="s">
        <v>257</v>
      </c>
    </row>
    <row r="8114" spans="2:2" x14ac:dyDescent="0.2">
      <c r="B8114" s="3" t="s">
        <v>257</v>
      </c>
    </row>
    <row r="8115" spans="2:2" x14ac:dyDescent="0.2">
      <c r="B8115" s="3" t="s">
        <v>257</v>
      </c>
    </row>
    <row r="8116" spans="2:2" x14ac:dyDescent="0.2">
      <c r="B8116" s="3" t="s">
        <v>257</v>
      </c>
    </row>
    <row r="8117" spans="2:2" x14ac:dyDescent="0.2">
      <c r="B8117" s="3" t="s">
        <v>257</v>
      </c>
    </row>
    <row r="8118" spans="2:2" x14ac:dyDescent="0.2">
      <c r="B8118" s="3" t="s">
        <v>257</v>
      </c>
    </row>
    <row r="8119" spans="2:2" x14ac:dyDescent="0.2">
      <c r="B8119" s="3" t="s">
        <v>257</v>
      </c>
    </row>
    <row r="8120" spans="2:2" x14ac:dyDescent="0.2">
      <c r="B8120" s="3" t="s">
        <v>257</v>
      </c>
    </row>
    <row r="8121" spans="2:2" x14ac:dyDescent="0.2">
      <c r="B8121" s="3" t="s">
        <v>257</v>
      </c>
    </row>
    <row r="8122" spans="2:2" x14ac:dyDescent="0.2">
      <c r="B8122" s="3" t="s">
        <v>257</v>
      </c>
    </row>
    <row r="8123" spans="2:2" x14ac:dyDescent="0.2">
      <c r="B8123" s="3" t="s">
        <v>257</v>
      </c>
    </row>
    <row r="8124" spans="2:2" x14ac:dyDescent="0.2">
      <c r="B8124" s="3" t="s">
        <v>257</v>
      </c>
    </row>
    <row r="8125" spans="2:2" x14ac:dyDescent="0.2">
      <c r="B8125" s="3" t="s">
        <v>257</v>
      </c>
    </row>
    <row r="8126" spans="2:2" x14ac:dyDescent="0.2">
      <c r="B8126" s="3" t="s">
        <v>257</v>
      </c>
    </row>
    <row r="8127" spans="2:2" x14ac:dyDescent="0.2">
      <c r="B8127" s="3" t="s">
        <v>257</v>
      </c>
    </row>
    <row r="8128" spans="2:2" x14ac:dyDescent="0.2">
      <c r="B8128" s="3" t="s">
        <v>257</v>
      </c>
    </row>
    <row r="8129" spans="2:2" x14ac:dyDescent="0.2">
      <c r="B8129" s="3" t="s">
        <v>257</v>
      </c>
    </row>
    <row r="8130" spans="2:2" x14ac:dyDescent="0.2">
      <c r="B8130" s="3" t="s">
        <v>257</v>
      </c>
    </row>
    <row r="8131" spans="2:2" x14ac:dyDescent="0.2">
      <c r="B8131" s="3" t="s">
        <v>257</v>
      </c>
    </row>
    <row r="8132" spans="2:2" x14ac:dyDescent="0.2">
      <c r="B8132" s="3" t="s">
        <v>257</v>
      </c>
    </row>
    <row r="8133" spans="2:2" x14ac:dyDescent="0.2">
      <c r="B8133" s="3" t="s">
        <v>257</v>
      </c>
    </row>
    <row r="8134" spans="2:2" x14ac:dyDescent="0.2">
      <c r="B8134" s="3" t="s">
        <v>257</v>
      </c>
    </row>
    <row r="8135" spans="2:2" x14ac:dyDescent="0.2">
      <c r="B8135" s="3" t="s">
        <v>257</v>
      </c>
    </row>
    <row r="8136" spans="2:2" x14ac:dyDescent="0.2">
      <c r="B8136" s="3" t="s">
        <v>257</v>
      </c>
    </row>
    <row r="8137" spans="2:2" x14ac:dyDescent="0.2">
      <c r="B8137" s="3" t="s">
        <v>257</v>
      </c>
    </row>
    <row r="8138" spans="2:2" x14ac:dyDescent="0.2">
      <c r="B8138" s="3" t="s">
        <v>257</v>
      </c>
    </row>
    <row r="8139" spans="2:2" x14ac:dyDescent="0.2">
      <c r="B8139" s="3" t="s">
        <v>257</v>
      </c>
    </row>
    <row r="8140" spans="2:2" x14ac:dyDescent="0.2">
      <c r="B8140" s="3" t="s">
        <v>257</v>
      </c>
    </row>
    <row r="8141" spans="2:2" x14ac:dyDescent="0.2">
      <c r="B8141" s="3" t="s">
        <v>257</v>
      </c>
    </row>
    <row r="8142" spans="2:2" x14ac:dyDescent="0.2">
      <c r="B8142" s="3" t="s">
        <v>257</v>
      </c>
    </row>
    <row r="8143" spans="2:2" x14ac:dyDescent="0.2">
      <c r="B8143" s="3" t="s">
        <v>257</v>
      </c>
    </row>
    <row r="8144" spans="2:2" x14ac:dyDescent="0.2">
      <c r="B8144" s="3" t="s">
        <v>257</v>
      </c>
    </row>
    <row r="8145" spans="2:2" x14ac:dyDescent="0.2">
      <c r="B8145" s="3" t="s">
        <v>257</v>
      </c>
    </row>
    <row r="8146" spans="2:2" x14ac:dyDescent="0.2">
      <c r="B8146" s="3" t="s">
        <v>257</v>
      </c>
    </row>
    <row r="8147" spans="2:2" x14ac:dyDescent="0.2">
      <c r="B8147" s="3" t="s">
        <v>257</v>
      </c>
    </row>
    <row r="8148" spans="2:2" x14ac:dyDescent="0.2">
      <c r="B8148" s="3" t="s">
        <v>257</v>
      </c>
    </row>
    <row r="8149" spans="2:2" x14ac:dyDescent="0.2">
      <c r="B8149" s="3" t="s">
        <v>257</v>
      </c>
    </row>
    <row r="8150" spans="2:2" x14ac:dyDescent="0.2">
      <c r="B8150" s="3" t="s">
        <v>257</v>
      </c>
    </row>
    <row r="8151" spans="2:2" x14ac:dyDescent="0.2">
      <c r="B8151" s="3" t="s">
        <v>257</v>
      </c>
    </row>
    <row r="8152" spans="2:2" x14ac:dyDescent="0.2">
      <c r="B8152" s="3" t="s">
        <v>257</v>
      </c>
    </row>
    <row r="8153" spans="2:2" x14ac:dyDescent="0.2">
      <c r="B8153" s="3" t="s">
        <v>257</v>
      </c>
    </row>
    <row r="8154" spans="2:2" x14ac:dyDescent="0.2">
      <c r="B8154" s="3" t="s">
        <v>257</v>
      </c>
    </row>
    <row r="8155" spans="2:2" x14ac:dyDescent="0.2">
      <c r="B8155" s="3" t="s">
        <v>257</v>
      </c>
    </row>
    <row r="8156" spans="2:2" x14ac:dyDescent="0.2">
      <c r="B8156" s="3" t="s">
        <v>257</v>
      </c>
    </row>
    <row r="8157" spans="2:2" x14ac:dyDescent="0.2">
      <c r="B8157" s="3" t="s">
        <v>257</v>
      </c>
    </row>
    <row r="8158" spans="2:2" x14ac:dyDescent="0.2">
      <c r="B8158" s="3" t="s">
        <v>257</v>
      </c>
    </row>
    <row r="8159" spans="2:2" x14ac:dyDescent="0.2">
      <c r="B8159" s="3" t="s">
        <v>257</v>
      </c>
    </row>
    <row r="8160" spans="2:2" x14ac:dyDescent="0.2">
      <c r="B8160" s="3" t="s">
        <v>257</v>
      </c>
    </row>
    <row r="8161" spans="2:2" x14ac:dyDescent="0.2">
      <c r="B8161" s="3" t="s">
        <v>257</v>
      </c>
    </row>
    <row r="8162" spans="2:2" x14ac:dyDescent="0.2">
      <c r="B8162" s="3" t="s">
        <v>257</v>
      </c>
    </row>
    <row r="8163" spans="2:2" x14ac:dyDescent="0.2">
      <c r="B8163" s="3" t="s">
        <v>257</v>
      </c>
    </row>
    <row r="8164" spans="2:2" x14ac:dyDescent="0.2">
      <c r="B8164" s="3" t="s">
        <v>257</v>
      </c>
    </row>
    <row r="8165" spans="2:2" x14ac:dyDescent="0.2">
      <c r="B8165" s="3" t="s">
        <v>257</v>
      </c>
    </row>
    <row r="8166" spans="2:2" x14ac:dyDescent="0.2">
      <c r="B8166" s="3" t="s">
        <v>257</v>
      </c>
    </row>
    <row r="8167" spans="2:2" x14ac:dyDescent="0.2">
      <c r="B8167" s="3" t="s">
        <v>257</v>
      </c>
    </row>
    <row r="8168" spans="2:2" x14ac:dyDescent="0.2">
      <c r="B8168" s="3" t="s">
        <v>257</v>
      </c>
    </row>
    <row r="8169" spans="2:2" x14ac:dyDescent="0.2">
      <c r="B8169" s="3" t="s">
        <v>257</v>
      </c>
    </row>
    <row r="8170" spans="2:2" x14ac:dyDescent="0.2">
      <c r="B8170" s="3" t="s">
        <v>257</v>
      </c>
    </row>
    <row r="8171" spans="2:2" x14ac:dyDescent="0.2">
      <c r="B8171" s="3" t="s">
        <v>257</v>
      </c>
    </row>
    <row r="8172" spans="2:2" x14ac:dyDescent="0.2">
      <c r="B8172" s="3" t="s">
        <v>257</v>
      </c>
    </row>
    <row r="8173" spans="2:2" x14ac:dyDescent="0.2">
      <c r="B8173" s="3" t="s">
        <v>257</v>
      </c>
    </row>
    <row r="8174" spans="2:2" x14ac:dyDescent="0.2">
      <c r="B8174" s="3" t="s">
        <v>257</v>
      </c>
    </row>
    <row r="8175" spans="2:2" x14ac:dyDescent="0.2">
      <c r="B8175" s="3" t="s">
        <v>257</v>
      </c>
    </row>
    <row r="8176" spans="2:2" x14ac:dyDescent="0.2">
      <c r="B8176" s="3" t="s">
        <v>257</v>
      </c>
    </row>
    <row r="8177" spans="2:2" x14ac:dyDescent="0.2">
      <c r="B8177" s="3" t="s">
        <v>257</v>
      </c>
    </row>
    <row r="8178" spans="2:2" x14ac:dyDescent="0.2">
      <c r="B8178" s="3" t="s">
        <v>257</v>
      </c>
    </row>
    <row r="8179" spans="2:2" x14ac:dyDescent="0.2">
      <c r="B8179" s="3" t="s">
        <v>257</v>
      </c>
    </row>
    <row r="8180" spans="2:2" x14ac:dyDescent="0.2">
      <c r="B8180" s="3" t="s">
        <v>257</v>
      </c>
    </row>
    <row r="8181" spans="2:2" x14ac:dyDescent="0.2">
      <c r="B8181" s="3" t="s">
        <v>257</v>
      </c>
    </row>
    <row r="8182" spans="2:2" x14ac:dyDescent="0.2">
      <c r="B8182" s="3" t="s">
        <v>257</v>
      </c>
    </row>
    <row r="8183" spans="2:2" x14ac:dyDescent="0.2">
      <c r="B8183" s="3" t="s">
        <v>257</v>
      </c>
    </row>
    <row r="8184" spans="2:2" x14ac:dyDescent="0.2">
      <c r="B8184" s="3" t="s">
        <v>257</v>
      </c>
    </row>
    <row r="8185" spans="2:2" x14ac:dyDescent="0.2">
      <c r="B8185" s="3" t="s">
        <v>257</v>
      </c>
    </row>
    <row r="8186" spans="2:2" x14ac:dyDescent="0.2">
      <c r="B8186" s="3" t="s">
        <v>257</v>
      </c>
    </row>
    <row r="8187" spans="2:2" x14ac:dyDescent="0.2">
      <c r="B8187" s="3" t="s">
        <v>257</v>
      </c>
    </row>
    <row r="8188" spans="2:2" x14ac:dyDescent="0.2">
      <c r="B8188" s="3" t="s">
        <v>257</v>
      </c>
    </row>
    <row r="8189" spans="2:2" x14ac:dyDescent="0.2">
      <c r="B8189" s="3" t="s">
        <v>257</v>
      </c>
    </row>
    <row r="8190" spans="2:2" x14ac:dyDescent="0.2">
      <c r="B8190" s="3" t="s">
        <v>257</v>
      </c>
    </row>
    <row r="8191" spans="2:2" x14ac:dyDescent="0.2">
      <c r="B8191" s="3" t="s">
        <v>257</v>
      </c>
    </row>
    <row r="8192" spans="2:2" x14ac:dyDescent="0.2">
      <c r="B8192" s="3" t="s">
        <v>257</v>
      </c>
    </row>
    <row r="8193" spans="2:2" x14ac:dyDescent="0.2">
      <c r="B8193" s="3" t="s">
        <v>257</v>
      </c>
    </row>
    <row r="8194" spans="2:2" x14ac:dyDescent="0.2">
      <c r="B8194" s="3" t="s">
        <v>257</v>
      </c>
    </row>
    <row r="8195" spans="2:2" x14ac:dyDescent="0.2">
      <c r="B8195" s="3" t="s">
        <v>257</v>
      </c>
    </row>
    <row r="8196" spans="2:2" x14ac:dyDescent="0.2">
      <c r="B8196" s="3" t="s">
        <v>257</v>
      </c>
    </row>
    <row r="8197" spans="2:2" x14ac:dyDescent="0.2">
      <c r="B8197" s="3" t="s">
        <v>257</v>
      </c>
    </row>
    <row r="8198" spans="2:2" x14ac:dyDescent="0.2">
      <c r="B8198" s="3" t="s">
        <v>257</v>
      </c>
    </row>
    <row r="8199" spans="2:2" x14ac:dyDescent="0.2">
      <c r="B8199" s="3" t="s">
        <v>257</v>
      </c>
    </row>
    <row r="8200" spans="2:2" x14ac:dyDescent="0.2">
      <c r="B8200" s="3" t="s">
        <v>257</v>
      </c>
    </row>
    <row r="8201" spans="2:2" x14ac:dyDescent="0.2">
      <c r="B8201" s="3" t="s">
        <v>257</v>
      </c>
    </row>
    <row r="8202" spans="2:2" x14ac:dyDescent="0.2">
      <c r="B8202" s="3" t="s">
        <v>257</v>
      </c>
    </row>
    <row r="8203" spans="2:2" x14ac:dyDescent="0.2">
      <c r="B8203" s="3" t="s">
        <v>257</v>
      </c>
    </row>
    <row r="8204" spans="2:2" x14ac:dyDescent="0.2">
      <c r="B8204" s="3" t="s">
        <v>257</v>
      </c>
    </row>
    <row r="8205" spans="2:2" x14ac:dyDescent="0.2">
      <c r="B8205" s="3" t="s">
        <v>257</v>
      </c>
    </row>
    <row r="8206" spans="2:2" x14ac:dyDescent="0.2">
      <c r="B8206" s="3" t="s">
        <v>257</v>
      </c>
    </row>
    <row r="8207" spans="2:2" x14ac:dyDescent="0.2">
      <c r="B8207" s="3" t="s">
        <v>257</v>
      </c>
    </row>
    <row r="8208" spans="2:2" x14ac:dyDescent="0.2">
      <c r="B8208" s="3" t="s">
        <v>257</v>
      </c>
    </row>
    <row r="8209" spans="2:2" x14ac:dyDescent="0.2">
      <c r="B8209" s="3" t="s">
        <v>257</v>
      </c>
    </row>
    <row r="8210" spans="2:2" x14ac:dyDescent="0.2">
      <c r="B8210" s="3" t="s">
        <v>257</v>
      </c>
    </row>
    <row r="8211" spans="2:2" x14ac:dyDescent="0.2">
      <c r="B8211" s="3" t="s">
        <v>257</v>
      </c>
    </row>
    <row r="8212" spans="2:2" x14ac:dyDescent="0.2">
      <c r="B8212" s="3" t="s">
        <v>257</v>
      </c>
    </row>
    <row r="8213" spans="2:2" x14ac:dyDescent="0.2">
      <c r="B8213" s="3" t="s">
        <v>257</v>
      </c>
    </row>
    <row r="8214" spans="2:2" x14ac:dyDescent="0.2">
      <c r="B8214" s="3" t="s">
        <v>257</v>
      </c>
    </row>
    <row r="8215" spans="2:2" x14ac:dyDescent="0.2">
      <c r="B8215" s="3" t="s">
        <v>257</v>
      </c>
    </row>
    <row r="8216" spans="2:2" x14ac:dyDescent="0.2">
      <c r="B8216" s="3" t="s">
        <v>257</v>
      </c>
    </row>
    <row r="8217" spans="2:2" x14ac:dyDescent="0.2">
      <c r="B8217" s="3" t="s">
        <v>257</v>
      </c>
    </row>
    <row r="8218" spans="2:2" x14ac:dyDescent="0.2">
      <c r="B8218" s="3" t="s">
        <v>257</v>
      </c>
    </row>
    <row r="8219" spans="2:2" x14ac:dyDescent="0.2">
      <c r="B8219" s="3" t="s">
        <v>257</v>
      </c>
    </row>
    <row r="8220" spans="2:2" x14ac:dyDescent="0.2">
      <c r="B8220" s="3" t="s">
        <v>257</v>
      </c>
    </row>
    <row r="8221" spans="2:2" x14ac:dyDescent="0.2">
      <c r="B8221" s="3" t="s">
        <v>257</v>
      </c>
    </row>
    <row r="8222" spans="2:2" x14ac:dyDescent="0.2">
      <c r="B8222" s="3" t="s">
        <v>257</v>
      </c>
    </row>
    <row r="8223" spans="2:2" x14ac:dyDescent="0.2">
      <c r="B8223" s="3" t="s">
        <v>257</v>
      </c>
    </row>
    <row r="8224" spans="2:2" x14ac:dyDescent="0.2">
      <c r="B8224" s="3" t="s">
        <v>257</v>
      </c>
    </row>
    <row r="8225" spans="2:2" x14ac:dyDescent="0.2">
      <c r="B8225" s="3" t="s">
        <v>257</v>
      </c>
    </row>
    <row r="8226" spans="2:2" x14ac:dyDescent="0.2">
      <c r="B8226" s="3" t="s">
        <v>257</v>
      </c>
    </row>
    <row r="8227" spans="2:2" x14ac:dyDescent="0.2">
      <c r="B8227" s="3" t="s">
        <v>257</v>
      </c>
    </row>
    <row r="8228" spans="2:2" x14ac:dyDescent="0.2">
      <c r="B8228" s="3" t="s">
        <v>257</v>
      </c>
    </row>
    <row r="8229" spans="2:2" x14ac:dyDescent="0.2">
      <c r="B8229" s="3" t="s">
        <v>257</v>
      </c>
    </row>
    <row r="8230" spans="2:2" x14ac:dyDescent="0.2">
      <c r="B8230" s="3" t="s">
        <v>257</v>
      </c>
    </row>
    <row r="8231" spans="2:2" x14ac:dyDescent="0.2">
      <c r="B8231" s="3" t="s">
        <v>257</v>
      </c>
    </row>
    <row r="8232" spans="2:2" x14ac:dyDescent="0.2">
      <c r="B8232" s="3" t="s">
        <v>257</v>
      </c>
    </row>
    <row r="8233" spans="2:2" x14ac:dyDescent="0.2">
      <c r="B8233" s="3" t="s">
        <v>257</v>
      </c>
    </row>
    <row r="8234" spans="2:2" x14ac:dyDescent="0.2">
      <c r="B8234" s="3" t="s">
        <v>257</v>
      </c>
    </row>
    <row r="8235" spans="2:2" x14ac:dyDescent="0.2">
      <c r="B8235" s="3" t="s">
        <v>257</v>
      </c>
    </row>
    <row r="8236" spans="2:2" x14ac:dyDescent="0.2">
      <c r="B8236" s="3" t="s">
        <v>257</v>
      </c>
    </row>
    <row r="8237" spans="2:2" x14ac:dyDescent="0.2">
      <c r="B8237" s="3" t="s">
        <v>257</v>
      </c>
    </row>
    <row r="8238" spans="2:2" x14ac:dyDescent="0.2">
      <c r="B8238" s="3" t="s">
        <v>257</v>
      </c>
    </row>
    <row r="8239" spans="2:2" x14ac:dyDescent="0.2">
      <c r="B8239" s="3" t="s">
        <v>257</v>
      </c>
    </row>
    <row r="8240" spans="2:2" x14ac:dyDescent="0.2">
      <c r="B8240" s="3" t="s">
        <v>257</v>
      </c>
    </row>
    <row r="8241" spans="2:2" x14ac:dyDescent="0.2">
      <c r="B8241" s="3" t="s">
        <v>257</v>
      </c>
    </row>
    <row r="8242" spans="2:2" x14ac:dyDescent="0.2">
      <c r="B8242" s="3" t="s">
        <v>257</v>
      </c>
    </row>
    <row r="8243" spans="2:2" x14ac:dyDescent="0.2">
      <c r="B8243" s="3" t="s">
        <v>257</v>
      </c>
    </row>
    <row r="8244" spans="2:2" x14ac:dyDescent="0.2">
      <c r="B8244" s="3" t="s">
        <v>257</v>
      </c>
    </row>
    <row r="8245" spans="2:2" x14ac:dyDescent="0.2">
      <c r="B8245" s="3" t="s">
        <v>257</v>
      </c>
    </row>
    <row r="8246" spans="2:2" x14ac:dyDescent="0.2">
      <c r="B8246" s="3" t="s">
        <v>257</v>
      </c>
    </row>
    <row r="8247" spans="2:2" x14ac:dyDescent="0.2">
      <c r="B8247" s="3" t="s">
        <v>257</v>
      </c>
    </row>
    <row r="8248" spans="2:2" x14ac:dyDescent="0.2">
      <c r="B8248" s="3" t="s">
        <v>257</v>
      </c>
    </row>
    <row r="8249" spans="2:2" x14ac:dyDescent="0.2">
      <c r="B8249" s="3" t="s">
        <v>257</v>
      </c>
    </row>
    <row r="8250" spans="2:2" x14ac:dyDescent="0.2">
      <c r="B8250" s="3" t="s">
        <v>257</v>
      </c>
    </row>
    <row r="8251" spans="2:2" x14ac:dyDescent="0.2">
      <c r="B8251" s="3" t="s">
        <v>257</v>
      </c>
    </row>
    <row r="8252" spans="2:2" x14ac:dyDescent="0.2">
      <c r="B8252" s="3" t="s">
        <v>257</v>
      </c>
    </row>
    <row r="8253" spans="2:2" x14ac:dyDescent="0.2">
      <c r="B8253" s="3" t="s">
        <v>257</v>
      </c>
    </row>
    <row r="8254" spans="2:2" x14ac:dyDescent="0.2">
      <c r="B8254" s="3" t="s">
        <v>257</v>
      </c>
    </row>
    <row r="8255" spans="2:2" x14ac:dyDescent="0.2">
      <c r="B8255" s="3" t="s">
        <v>257</v>
      </c>
    </row>
    <row r="8256" spans="2:2" x14ac:dyDescent="0.2">
      <c r="B8256" s="3" t="s">
        <v>257</v>
      </c>
    </row>
    <row r="8257" spans="2:2" x14ac:dyDescent="0.2">
      <c r="B8257" s="3" t="s">
        <v>257</v>
      </c>
    </row>
    <row r="8258" spans="2:2" x14ac:dyDescent="0.2">
      <c r="B8258" s="3" t="s">
        <v>257</v>
      </c>
    </row>
    <row r="8259" spans="2:2" x14ac:dyDescent="0.2">
      <c r="B8259" s="3" t="s">
        <v>257</v>
      </c>
    </row>
    <row r="8260" spans="2:2" x14ac:dyDescent="0.2">
      <c r="B8260" s="3" t="s">
        <v>257</v>
      </c>
    </row>
    <row r="8261" spans="2:2" x14ac:dyDescent="0.2">
      <c r="B8261" s="3" t="s">
        <v>257</v>
      </c>
    </row>
    <row r="8262" spans="2:2" x14ac:dyDescent="0.2">
      <c r="B8262" s="3" t="s">
        <v>257</v>
      </c>
    </row>
    <row r="8263" spans="2:2" x14ac:dyDescent="0.2">
      <c r="B8263" s="3" t="s">
        <v>257</v>
      </c>
    </row>
    <row r="8264" spans="2:2" x14ac:dyDescent="0.2">
      <c r="B8264" s="3" t="s">
        <v>257</v>
      </c>
    </row>
    <row r="8265" spans="2:2" x14ac:dyDescent="0.2">
      <c r="B8265" s="3" t="s">
        <v>257</v>
      </c>
    </row>
    <row r="8266" spans="2:2" x14ac:dyDescent="0.2">
      <c r="B8266" s="3" t="s">
        <v>257</v>
      </c>
    </row>
    <row r="8267" spans="2:2" x14ac:dyDescent="0.2">
      <c r="B8267" s="3" t="s">
        <v>257</v>
      </c>
    </row>
    <row r="8268" spans="2:2" x14ac:dyDescent="0.2">
      <c r="B8268" s="3" t="s">
        <v>257</v>
      </c>
    </row>
    <row r="8269" spans="2:2" x14ac:dyDescent="0.2">
      <c r="B8269" s="3" t="s">
        <v>257</v>
      </c>
    </row>
    <row r="8270" spans="2:2" x14ac:dyDescent="0.2">
      <c r="B8270" s="3" t="s">
        <v>257</v>
      </c>
    </row>
    <row r="8271" spans="2:2" x14ac:dyDescent="0.2">
      <c r="B8271" s="3" t="s">
        <v>257</v>
      </c>
    </row>
    <row r="8272" spans="2:2" x14ac:dyDescent="0.2">
      <c r="B8272" s="3" t="s">
        <v>257</v>
      </c>
    </row>
    <row r="8273" spans="2:2" x14ac:dyDescent="0.2">
      <c r="B8273" s="3" t="s">
        <v>257</v>
      </c>
    </row>
    <row r="8274" spans="2:2" x14ac:dyDescent="0.2">
      <c r="B8274" s="3" t="s">
        <v>257</v>
      </c>
    </row>
    <row r="8275" spans="2:2" x14ac:dyDescent="0.2">
      <c r="B8275" s="3" t="s">
        <v>257</v>
      </c>
    </row>
    <row r="8276" spans="2:2" x14ac:dyDescent="0.2">
      <c r="B8276" s="3" t="s">
        <v>257</v>
      </c>
    </row>
    <row r="8277" spans="2:2" x14ac:dyDescent="0.2">
      <c r="B8277" s="3" t="s">
        <v>257</v>
      </c>
    </row>
    <row r="8278" spans="2:2" x14ac:dyDescent="0.2">
      <c r="B8278" s="3" t="s">
        <v>257</v>
      </c>
    </row>
    <row r="8279" spans="2:2" x14ac:dyDescent="0.2">
      <c r="B8279" s="3" t="s">
        <v>257</v>
      </c>
    </row>
    <row r="8280" spans="2:2" x14ac:dyDescent="0.2">
      <c r="B8280" s="3" t="s">
        <v>257</v>
      </c>
    </row>
    <row r="8281" spans="2:2" x14ac:dyDescent="0.2">
      <c r="B8281" s="3" t="s">
        <v>257</v>
      </c>
    </row>
    <row r="8282" spans="2:2" x14ac:dyDescent="0.2">
      <c r="B8282" s="3" t="s">
        <v>257</v>
      </c>
    </row>
    <row r="8283" spans="2:2" x14ac:dyDescent="0.2">
      <c r="B8283" s="3" t="s">
        <v>257</v>
      </c>
    </row>
    <row r="8284" spans="2:2" x14ac:dyDescent="0.2">
      <c r="B8284" s="3" t="s">
        <v>257</v>
      </c>
    </row>
    <row r="8285" spans="2:2" x14ac:dyDescent="0.2">
      <c r="B8285" s="3" t="s">
        <v>257</v>
      </c>
    </row>
    <row r="8286" spans="2:2" x14ac:dyDescent="0.2">
      <c r="B8286" s="3" t="s">
        <v>257</v>
      </c>
    </row>
    <row r="8287" spans="2:2" x14ac:dyDescent="0.2">
      <c r="B8287" s="3" t="s">
        <v>257</v>
      </c>
    </row>
    <row r="8288" spans="2:2" x14ac:dyDescent="0.2">
      <c r="B8288" s="3" t="s">
        <v>257</v>
      </c>
    </row>
    <row r="8289" spans="2:2" x14ac:dyDescent="0.2">
      <c r="B8289" s="3" t="s">
        <v>257</v>
      </c>
    </row>
    <row r="8290" spans="2:2" x14ac:dyDescent="0.2">
      <c r="B8290" s="3" t="s">
        <v>257</v>
      </c>
    </row>
    <row r="8291" spans="2:2" x14ac:dyDescent="0.2">
      <c r="B8291" s="3" t="s">
        <v>257</v>
      </c>
    </row>
    <row r="8292" spans="2:2" x14ac:dyDescent="0.2">
      <c r="B8292" s="3" t="s">
        <v>257</v>
      </c>
    </row>
    <row r="8293" spans="2:2" x14ac:dyDescent="0.2">
      <c r="B8293" s="3" t="s">
        <v>257</v>
      </c>
    </row>
    <row r="8294" spans="2:2" x14ac:dyDescent="0.2">
      <c r="B8294" s="3" t="s">
        <v>257</v>
      </c>
    </row>
    <row r="8295" spans="2:2" x14ac:dyDescent="0.2">
      <c r="B8295" s="3" t="s">
        <v>257</v>
      </c>
    </row>
    <row r="8296" spans="2:2" x14ac:dyDescent="0.2">
      <c r="B8296" s="3" t="s">
        <v>257</v>
      </c>
    </row>
    <row r="8297" spans="2:2" x14ac:dyDescent="0.2">
      <c r="B8297" s="3" t="s">
        <v>257</v>
      </c>
    </row>
    <row r="8298" spans="2:2" x14ac:dyDescent="0.2">
      <c r="B8298" s="3" t="s">
        <v>257</v>
      </c>
    </row>
    <row r="8299" spans="2:2" x14ac:dyDescent="0.2">
      <c r="B8299" s="3" t="s">
        <v>257</v>
      </c>
    </row>
    <row r="8300" spans="2:2" x14ac:dyDescent="0.2">
      <c r="B8300" s="3" t="s">
        <v>257</v>
      </c>
    </row>
    <row r="8301" spans="2:2" x14ac:dyDescent="0.2">
      <c r="B8301" s="3" t="s">
        <v>257</v>
      </c>
    </row>
    <row r="8302" spans="2:2" x14ac:dyDescent="0.2">
      <c r="B8302" s="3" t="s">
        <v>257</v>
      </c>
    </row>
    <row r="8303" spans="2:2" x14ac:dyDescent="0.2">
      <c r="B8303" s="3" t="s">
        <v>257</v>
      </c>
    </row>
    <row r="8304" spans="2:2" x14ac:dyDescent="0.2">
      <c r="B8304" s="3" t="s">
        <v>257</v>
      </c>
    </row>
    <row r="8305" spans="2:2" x14ac:dyDescent="0.2">
      <c r="B8305" s="3" t="s">
        <v>257</v>
      </c>
    </row>
    <row r="8306" spans="2:2" x14ac:dyDescent="0.2">
      <c r="B8306" s="3" t="s">
        <v>257</v>
      </c>
    </row>
    <row r="8307" spans="2:2" x14ac:dyDescent="0.2">
      <c r="B8307" s="3" t="s">
        <v>257</v>
      </c>
    </row>
    <row r="8308" spans="2:2" x14ac:dyDescent="0.2">
      <c r="B8308" s="3" t="s">
        <v>257</v>
      </c>
    </row>
    <row r="8309" spans="2:2" x14ac:dyDescent="0.2">
      <c r="B8309" s="3" t="s">
        <v>257</v>
      </c>
    </row>
    <row r="8310" spans="2:2" x14ac:dyDescent="0.2">
      <c r="B8310" s="3" t="s">
        <v>257</v>
      </c>
    </row>
    <row r="8311" spans="2:2" x14ac:dyDescent="0.2">
      <c r="B8311" s="3" t="s">
        <v>257</v>
      </c>
    </row>
    <row r="8312" spans="2:2" x14ac:dyDescent="0.2">
      <c r="B8312" s="3" t="s">
        <v>257</v>
      </c>
    </row>
    <row r="8313" spans="2:2" x14ac:dyDescent="0.2">
      <c r="B8313" s="3" t="s">
        <v>257</v>
      </c>
    </row>
    <row r="8314" spans="2:2" x14ac:dyDescent="0.2">
      <c r="B8314" s="3" t="s">
        <v>257</v>
      </c>
    </row>
    <row r="8315" spans="2:2" x14ac:dyDescent="0.2">
      <c r="B8315" s="3" t="s">
        <v>257</v>
      </c>
    </row>
    <row r="8316" spans="2:2" x14ac:dyDescent="0.2">
      <c r="B8316" s="3" t="s">
        <v>257</v>
      </c>
    </row>
    <row r="8317" spans="2:2" x14ac:dyDescent="0.2">
      <c r="B8317" s="3" t="s">
        <v>257</v>
      </c>
    </row>
    <row r="8318" spans="2:2" x14ac:dyDescent="0.2">
      <c r="B8318" s="3" t="s">
        <v>257</v>
      </c>
    </row>
    <row r="8319" spans="2:2" x14ac:dyDescent="0.2">
      <c r="B8319" s="3" t="s">
        <v>257</v>
      </c>
    </row>
    <row r="8320" spans="2:2" x14ac:dyDescent="0.2">
      <c r="B8320" s="3" t="s">
        <v>257</v>
      </c>
    </row>
    <row r="8321" spans="2:2" x14ac:dyDescent="0.2">
      <c r="B8321" s="3" t="s">
        <v>257</v>
      </c>
    </row>
    <row r="8322" spans="2:2" x14ac:dyDescent="0.2">
      <c r="B8322" s="3" t="s">
        <v>257</v>
      </c>
    </row>
    <row r="8323" spans="2:2" x14ac:dyDescent="0.2">
      <c r="B8323" s="3" t="s">
        <v>257</v>
      </c>
    </row>
    <row r="8324" spans="2:2" x14ac:dyDescent="0.2">
      <c r="B8324" s="3" t="s">
        <v>257</v>
      </c>
    </row>
    <row r="8325" spans="2:2" x14ac:dyDescent="0.2">
      <c r="B8325" s="3" t="s">
        <v>257</v>
      </c>
    </row>
    <row r="8326" spans="2:2" x14ac:dyDescent="0.2">
      <c r="B8326" s="3" t="s">
        <v>257</v>
      </c>
    </row>
    <row r="8327" spans="2:2" x14ac:dyDescent="0.2">
      <c r="B8327" s="3" t="s">
        <v>257</v>
      </c>
    </row>
    <row r="8328" spans="2:2" x14ac:dyDescent="0.2">
      <c r="B8328" s="3" t="s">
        <v>257</v>
      </c>
    </row>
    <row r="8329" spans="2:2" x14ac:dyDescent="0.2">
      <c r="B8329" s="3" t="s">
        <v>257</v>
      </c>
    </row>
    <row r="8330" spans="2:2" x14ac:dyDescent="0.2">
      <c r="B8330" s="3" t="s">
        <v>257</v>
      </c>
    </row>
    <row r="8331" spans="2:2" x14ac:dyDescent="0.2">
      <c r="B8331" s="3" t="s">
        <v>257</v>
      </c>
    </row>
    <row r="8332" spans="2:2" x14ac:dyDescent="0.2">
      <c r="B8332" s="3" t="s">
        <v>257</v>
      </c>
    </row>
    <row r="8333" spans="2:2" x14ac:dyDescent="0.2">
      <c r="B8333" s="3" t="s">
        <v>257</v>
      </c>
    </row>
    <row r="8334" spans="2:2" x14ac:dyDescent="0.2">
      <c r="B8334" s="3" t="s">
        <v>257</v>
      </c>
    </row>
    <row r="8335" spans="2:2" x14ac:dyDescent="0.2">
      <c r="B8335" s="3" t="s">
        <v>257</v>
      </c>
    </row>
    <row r="8336" spans="2:2" x14ac:dyDescent="0.2">
      <c r="B8336" s="3" t="s">
        <v>257</v>
      </c>
    </row>
    <row r="8337" spans="2:2" x14ac:dyDescent="0.2">
      <c r="B8337" s="3" t="s">
        <v>257</v>
      </c>
    </row>
    <row r="8338" spans="2:2" x14ac:dyDescent="0.2">
      <c r="B8338" s="3" t="s">
        <v>257</v>
      </c>
    </row>
    <row r="8339" spans="2:2" x14ac:dyDescent="0.2">
      <c r="B8339" s="3" t="s">
        <v>257</v>
      </c>
    </row>
    <row r="8340" spans="2:2" x14ac:dyDescent="0.2">
      <c r="B8340" s="3" t="s">
        <v>257</v>
      </c>
    </row>
    <row r="8341" spans="2:2" x14ac:dyDescent="0.2">
      <c r="B8341" s="3" t="s">
        <v>257</v>
      </c>
    </row>
    <row r="8342" spans="2:2" x14ac:dyDescent="0.2">
      <c r="B8342" s="3" t="s">
        <v>257</v>
      </c>
    </row>
    <row r="8343" spans="2:2" x14ac:dyDescent="0.2">
      <c r="B8343" s="3" t="s">
        <v>257</v>
      </c>
    </row>
    <row r="8344" spans="2:2" x14ac:dyDescent="0.2">
      <c r="B8344" s="3" t="s">
        <v>257</v>
      </c>
    </row>
    <row r="8345" spans="2:2" x14ac:dyDescent="0.2">
      <c r="B8345" s="3" t="s">
        <v>257</v>
      </c>
    </row>
    <row r="8346" spans="2:2" x14ac:dyDescent="0.2">
      <c r="B8346" s="3" t="s">
        <v>257</v>
      </c>
    </row>
    <row r="8347" spans="2:2" x14ac:dyDescent="0.2">
      <c r="B8347" s="3" t="s">
        <v>257</v>
      </c>
    </row>
    <row r="8348" spans="2:2" x14ac:dyDescent="0.2">
      <c r="B8348" s="3" t="s">
        <v>257</v>
      </c>
    </row>
    <row r="8349" spans="2:2" x14ac:dyDescent="0.2">
      <c r="B8349" s="3" t="s">
        <v>257</v>
      </c>
    </row>
    <row r="8350" spans="2:2" x14ac:dyDescent="0.2">
      <c r="B8350" s="3" t="s">
        <v>257</v>
      </c>
    </row>
    <row r="8351" spans="2:2" x14ac:dyDescent="0.2">
      <c r="B8351" s="3" t="s">
        <v>257</v>
      </c>
    </row>
    <row r="8352" spans="2:2" x14ac:dyDescent="0.2">
      <c r="B8352" s="3" t="s">
        <v>257</v>
      </c>
    </row>
    <row r="8353" spans="2:2" x14ac:dyDescent="0.2">
      <c r="B8353" s="3" t="s">
        <v>257</v>
      </c>
    </row>
    <row r="8354" spans="2:2" x14ac:dyDescent="0.2">
      <c r="B8354" s="3" t="s">
        <v>257</v>
      </c>
    </row>
    <row r="8355" spans="2:2" x14ac:dyDescent="0.2">
      <c r="B8355" s="3" t="s">
        <v>257</v>
      </c>
    </row>
    <row r="8356" spans="2:2" x14ac:dyDescent="0.2">
      <c r="B8356" s="3" t="s">
        <v>257</v>
      </c>
    </row>
    <row r="8357" spans="2:2" x14ac:dyDescent="0.2">
      <c r="B8357" s="3" t="s">
        <v>257</v>
      </c>
    </row>
    <row r="8358" spans="2:2" x14ac:dyDescent="0.2">
      <c r="B8358" s="3" t="s">
        <v>257</v>
      </c>
    </row>
    <row r="8359" spans="2:2" x14ac:dyDescent="0.2">
      <c r="B8359" s="3" t="s">
        <v>257</v>
      </c>
    </row>
    <row r="8360" spans="2:2" x14ac:dyDescent="0.2">
      <c r="B8360" s="3" t="s">
        <v>257</v>
      </c>
    </row>
    <row r="8361" spans="2:2" x14ac:dyDescent="0.2">
      <c r="B8361" s="3" t="s">
        <v>257</v>
      </c>
    </row>
    <row r="8362" spans="2:2" x14ac:dyDescent="0.2">
      <c r="B8362" s="3" t="s">
        <v>257</v>
      </c>
    </row>
    <row r="8363" spans="2:2" x14ac:dyDescent="0.2">
      <c r="B8363" s="3" t="s">
        <v>257</v>
      </c>
    </row>
    <row r="8364" spans="2:2" x14ac:dyDescent="0.2">
      <c r="B8364" s="3" t="s">
        <v>257</v>
      </c>
    </row>
    <row r="8365" spans="2:2" x14ac:dyDescent="0.2">
      <c r="B8365" s="3" t="s">
        <v>257</v>
      </c>
    </row>
    <row r="8366" spans="2:2" x14ac:dyDescent="0.2">
      <c r="B8366" s="3" t="s">
        <v>257</v>
      </c>
    </row>
    <row r="8367" spans="2:2" x14ac:dyDescent="0.2">
      <c r="B8367" s="3" t="s">
        <v>257</v>
      </c>
    </row>
    <row r="8368" spans="2:2" x14ac:dyDescent="0.2">
      <c r="B8368" s="3" t="s">
        <v>257</v>
      </c>
    </row>
    <row r="8369" spans="2:2" x14ac:dyDescent="0.2">
      <c r="B8369" s="3" t="s">
        <v>257</v>
      </c>
    </row>
    <row r="8370" spans="2:2" x14ac:dyDescent="0.2">
      <c r="B8370" s="3" t="s">
        <v>257</v>
      </c>
    </row>
    <row r="8371" spans="2:2" x14ac:dyDescent="0.2">
      <c r="B8371" s="3" t="s">
        <v>257</v>
      </c>
    </row>
    <row r="8372" spans="2:2" x14ac:dyDescent="0.2">
      <c r="B8372" s="3" t="s">
        <v>257</v>
      </c>
    </row>
    <row r="8373" spans="2:2" x14ac:dyDescent="0.2">
      <c r="B8373" s="3" t="s">
        <v>257</v>
      </c>
    </row>
    <row r="8374" spans="2:2" x14ac:dyDescent="0.2">
      <c r="B8374" s="3" t="s">
        <v>257</v>
      </c>
    </row>
    <row r="8375" spans="2:2" x14ac:dyDescent="0.2">
      <c r="B8375" s="3" t="s">
        <v>257</v>
      </c>
    </row>
    <row r="8376" spans="2:2" x14ac:dyDescent="0.2">
      <c r="B8376" s="3" t="s">
        <v>257</v>
      </c>
    </row>
    <row r="8377" spans="2:2" x14ac:dyDescent="0.2">
      <c r="B8377" s="3" t="s">
        <v>257</v>
      </c>
    </row>
    <row r="8378" spans="2:2" x14ac:dyDescent="0.2">
      <c r="B8378" s="3" t="s">
        <v>257</v>
      </c>
    </row>
    <row r="8379" spans="2:2" x14ac:dyDescent="0.2">
      <c r="B8379" s="3" t="s">
        <v>257</v>
      </c>
    </row>
    <row r="8380" spans="2:2" x14ac:dyDescent="0.2">
      <c r="B8380" s="3" t="s">
        <v>257</v>
      </c>
    </row>
    <row r="8381" spans="2:2" x14ac:dyDescent="0.2">
      <c r="B8381" s="3" t="s">
        <v>257</v>
      </c>
    </row>
    <row r="8382" spans="2:2" x14ac:dyDescent="0.2">
      <c r="B8382" s="3" t="s">
        <v>257</v>
      </c>
    </row>
    <row r="8383" spans="2:2" x14ac:dyDescent="0.2">
      <c r="B8383" s="3" t="s">
        <v>257</v>
      </c>
    </row>
    <row r="8384" spans="2:2" x14ac:dyDescent="0.2">
      <c r="B8384" s="3" t="s">
        <v>257</v>
      </c>
    </row>
    <row r="8385" spans="2:2" x14ac:dyDescent="0.2">
      <c r="B8385" s="3" t="s">
        <v>257</v>
      </c>
    </row>
    <row r="8386" spans="2:2" x14ac:dyDescent="0.2">
      <c r="B8386" s="3" t="s">
        <v>257</v>
      </c>
    </row>
    <row r="8387" spans="2:2" x14ac:dyDescent="0.2">
      <c r="B8387" s="3" t="s">
        <v>257</v>
      </c>
    </row>
    <row r="8388" spans="2:2" x14ac:dyDescent="0.2">
      <c r="B8388" s="3" t="s">
        <v>257</v>
      </c>
    </row>
    <row r="8389" spans="2:2" x14ac:dyDescent="0.2">
      <c r="B8389" s="3" t="s">
        <v>257</v>
      </c>
    </row>
    <row r="8390" spans="2:2" x14ac:dyDescent="0.2">
      <c r="B8390" s="3" t="s">
        <v>257</v>
      </c>
    </row>
    <row r="8391" spans="2:2" x14ac:dyDescent="0.2">
      <c r="B8391" s="3" t="s">
        <v>257</v>
      </c>
    </row>
    <row r="8392" spans="2:2" x14ac:dyDescent="0.2">
      <c r="B8392" s="3" t="s">
        <v>257</v>
      </c>
    </row>
    <row r="8393" spans="2:2" x14ac:dyDescent="0.2">
      <c r="B8393" s="3" t="s">
        <v>257</v>
      </c>
    </row>
    <row r="8394" spans="2:2" x14ac:dyDescent="0.2">
      <c r="B8394" s="3" t="s">
        <v>257</v>
      </c>
    </row>
    <row r="8395" spans="2:2" x14ac:dyDescent="0.2">
      <c r="B8395" s="3" t="s">
        <v>257</v>
      </c>
    </row>
    <row r="8396" spans="2:2" x14ac:dyDescent="0.2">
      <c r="B8396" s="3" t="s">
        <v>257</v>
      </c>
    </row>
    <row r="8397" spans="2:2" x14ac:dyDescent="0.2">
      <c r="B8397" s="3" t="s">
        <v>257</v>
      </c>
    </row>
    <row r="8398" spans="2:2" x14ac:dyDescent="0.2">
      <c r="B8398" s="3" t="s">
        <v>257</v>
      </c>
    </row>
    <row r="8399" spans="2:2" x14ac:dyDescent="0.2">
      <c r="B8399" s="3" t="s">
        <v>257</v>
      </c>
    </row>
    <row r="8400" spans="2:2" x14ac:dyDescent="0.2">
      <c r="B8400" s="3" t="s">
        <v>257</v>
      </c>
    </row>
    <row r="8401" spans="2:2" x14ac:dyDescent="0.2">
      <c r="B8401" s="3" t="s">
        <v>257</v>
      </c>
    </row>
    <row r="8402" spans="2:2" x14ac:dyDescent="0.2">
      <c r="B8402" s="3" t="s">
        <v>257</v>
      </c>
    </row>
    <row r="8403" spans="2:2" x14ac:dyDescent="0.2">
      <c r="B8403" s="3" t="s">
        <v>257</v>
      </c>
    </row>
    <row r="8404" spans="2:2" x14ac:dyDescent="0.2">
      <c r="B8404" s="3" t="s">
        <v>257</v>
      </c>
    </row>
    <row r="8405" spans="2:2" x14ac:dyDescent="0.2">
      <c r="B8405" s="3" t="s">
        <v>257</v>
      </c>
    </row>
    <row r="8406" spans="2:2" x14ac:dyDescent="0.2">
      <c r="B8406" s="3" t="s">
        <v>257</v>
      </c>
    </row>
    <row r="8407" spans="2:2" x14ac:dyDescent="0.2">
      <c r="B8407" s="3" t="s">
        <v>257</v>
      </c>
    </row>
    <row r="8408" spans="2:2" x14ac:dyDescent="0.2">
      <c r="B8408" s="3" t="s">
        <v>257</v>
      </c>
    </row>
    <row r="8409" spans="2:2" x14ac:dyDescent="0.2">
      <c r="B8409" s="3" t="s">
        <v>257</v>
      </c>
    </row>
    <row r="8410" spans="2:2" x14ac:dyDescent="0.2">
      <c r="B8410" s="3" t="s">
        <v>257</v>
      </c>
    </row>
    <row r="8411" spans="2:2" x14ac:dyDescent="0.2">
      <c r="B8411" s="3" t="s">
        <v>257</v>
      </c>
    </row>
    <row r="8412" spans="2:2" x14ac:dyDescent="0.2">
      <c r="B8412" s="3" t="s">
        <v>257</v>
      </c>
    </row>
    <row r="8413" spans="2:2" x14ac:dyDescent="0.2">
      <c r="B8413" s="3" t="s">
        <v>257</v>
      </c>
    </row>
    <row r="8414" spans="2:2" x14ac:dyDescent="0.2">
      <c r="B8414" s="3" t="s">
        <v>257</v>
      </c>
    </row>
    <row r="8415" spans="2:2" x14ac:dyDescent="0.2">
      <c r="B8415" s="3" t="s">
        <v>257</v>
      </c>
    </row>
    <row r="8416" spans="2:2" x14ac:dyDescent="0.2">
      <c r="B8416" s="3" t="s">
        <v>257</v>
      </c>
    </row>
    <row r="8417" spans="2:2" x14ac:dyDescent="0.2">
      <c r="B8417" s="3" t="s">
        <v>257</v>
      </c>
    </row>
    <row r="8418" spans="2:2" x14ac:dyDescent="0.2">
      <c r="B8418" s="3" t="s">
        <v>257</v>
      </c>
    </row>
    <row r="8419" spans="2:2" x14ac:dyDescent="0.2">
      <c r="B8419" s="3" t="s">
        <v>257</v>
      </c>
    </row>
    <row r="8420" spans="2:2" x14ac:dyDescent="0.2">
      <c r="B8420" s="3" t="s">
        <v>257</v>
      </c>
    </row>
    <row r="8421" spans="2:2" x14ac:dyDescent="0.2">
      <c r="B8421" s="3" t="s">
        <v>257</v>
      </c>
    </row>
    <row r="8422" spans="2:2" x14ac:dyDescent="0.2">
      <c r="B8422" s="3" t="s">
        <v>257</v>
      </c>
    </row>
    <row r="8423" spans="2:2" x14ac:dyDescent="0.2">
      <c r="B8423" s="3" t="s">
        <v>257</v>
      </c>
    </row>
    <row r="8424" spans="2:2" x14ac:dyDescent="0.2">
      <c r="B8424" s="3" t="s">
        <v>257</v>
      </c>
    </row>
    <row r="8425" spans="2:2" x14ac:dyDescent="0.2">
      <c r="B8425" s="3" t="s">
        <v>257</v>
      </c>
    </row>
    <row r="8426" spans="2:2" x14ac:dyDescent="0.2">
      <c r="B8426" s="3" t="s">
        <v>257</v>
      </c>
    </row>
    <row r="8427" spans="2:2" x14ac:dyDescent="0.2">
      <c r="B8427" s="3" t="s">
        <v>257</v>
      </c>
    </row>
    <row r="8428" spans="2:2" x14ac:dyDescent="0.2">
      <c r="B8428" s="3" t="s">
        <v>257</v>
      </c>
    </row>
    <row r="8429" spans="2:2" x14ac:dyDescent="0.2">
      <c r="B8429" s="3" t="s">
        <v>257</v>
      </c>
    </row>
    <row r="8430" spans="2:2" x14ac:dyDescent="0.2">
      <c r="B8430" s="3" t="s">
        <v>257</v>
      </c>
    </row>
    <row r="8431" spans="2:2" x14ac:dyDescent="0.2">
      <c r="B8431" s="3" t="s">
        <v>257</v>
      </c>
    </row>
    <row r="8432" spans="2:2" x14ac:dyDescent="0.2">
      <c r="B8432" s="3" t="s">
        <v>257</v>
      </c>
    </row>
    <row r="8433" spans="2:2" x14ac:dyDescent="0.2">
      <c r="B8433" s="3" t="s">
        <v>257</v>
      </c>
    </row>
    <row r="8434" spans="2:2" x14ac:dyDescent="0.2">
      <c r="B8434" s="3" t="s">
        <v>257</v>
      </c>
    </row>
    <row r="8435" spans="2:2" x14ac:dyDescent="0.2">
      <c r="B8435" s="3" t="s">
        <v>257</v>
      </c>
    </row>
    <row r="8436" spans="2:2" x14ac:dyDescent="0.2">
      <c r="B8436" s="3" t="s">
        <v>257</v>
      </c>
    </row>
    <row r="8437" spans="2:2" x14ac:dyDescent="0.2">
      <c r="B8437" s="3" t="s">
        <v>257</v>
      </c>
    </row>
    <row r="8438" spans="2:2" x14ac:dyDescent="0.2">
      <c r="B8438" s="3" t="s">
        <v>257</v>
      </c>
    </row>
    <row r="8439" spans="2:2" x14ac:dyDescent="0.2">
      <c r="B8439" s="3" t="s">
        <v>257</v>
      </c>
    </row>
    <row r="8440" spans="2:2" x14ac:dyDescent="0.2">
      <c r="B8440" s="3" t="s">
        <v>257</v>
      </c>
    </row>
    <row r="8441" spans="2:2" x14ac:dyDescent="0.2">
      <c r="B8441" s="3" t="s">
        <v>257</v>
      </c>
    </row>
    <row r="8442" spans="2:2" x14ac:dyDescent="0.2">
      <c r="B8442" s="3" t="s">
        <v>257</v>
      </c>
    </row>
    <row r="8443" spans="2:2" x14ac:dyDescent="0.2">
      <c r="B8443" s="3" t="s">
        <v>257</v>
      </c>
    </row>
    <row r="8444" spans="2:2" x14ac:dyDescent="0.2">
      <c r="B8444" s="3" t="s">
        <v>257</v>
      </c>
    </row>
    <row r="8445" spans="2:2" x14ac:dyDescent="0.2">
      <c r="B8445" s="3" t="s">
        <v>257</v>
      </c>
    </row>
    <row r="8446" spans="2:2" x14ac:dyDescent="0.2">
      <c r="B8446" s="3" t="s">
        <v>257</v>
      </c>
    </row>
    <row r="8447" spans="2:2" x14ac:dyDescent="0.2">
      <c r="B8447" s="3" t="s">
        <v>257</v>
      </c>
    </row>
    <row r="8448" spans="2:2" x14ac:dyDescent="0.2">
      <c r="B8448" s="3" t="s">
        <v>257</v>
      </c>
    </row>
    <row r="8449" spans="2:2" x14ac:dyDescent="0.2">
      <c r="B8449" s="3" t="s">
        <v>257</v>
      </c>
    </row>
    <row r="8450" spans="2:2" x14ac:dyDescent="0.2">
      <c r="B8450" s="3" t="s">
        <v>257</v>
      </c>
    </row>
    <row r="8451" spans="2:2" x14ac:dyDescent="0.2">
      <c r="B8451" s="3" t="s">
        <v>257</v>
      </c>
    </row>
    <row r="8452" spans="2:2" x14ac:dyDescent="0.2">
      <c r="B8452" s="3" t="s">
        <v>257</v>
      </c>
    </row>
    <row r="8453" spans="2:2" x14ac:dyDescent="0.2">
      <c r="B8453" s="3" t="s">
        <v>257</v>
      </c>
    </row>
    <row r="8454" spans="2:2" x14ac:dyDescent="0.2">
      <c r="B8454" s="3" t="s">
        <v>257</v>
      </c>
    </row>
    <row r="8455" spans="2:2" x14ac:dyDescent="0.2">
      <c r="B8455" s="3" t="s">
        <v>257</v>
      </c>
    </row>
    <row r="8456" spans="2:2" x14ac:dyDescent="0.2">
      <c r="B8456" s="3" t="s">
        <v>257</v>
      </c>
    </row>
    <row r="8457" spans="2:2" x14ac:dyDescent="0.2">
      <c r="B8457" s="3" t="s">
        <v>257</v>
      </c>
    </row>
    <row r="8458" spans="2:2" x14ac:dyDescent="0.2">
      <c r="B8458" s="3" t="s">
        <v>257</v>
      </c>
    </row>
    <row r="8459" spans="2:2" x14ac:dyDescent="0.2">
      <c r="B8459" s="3" t="s">
        <v>257</v>
      </c>
    </row>
    <row r="8460" spans="2:2" x14ac:dyDescent="0.2">
      <c r="B8460" s="3" t="s">
        <v>257</v>
      </c>
    </row>
    <row r="8461" spans="2:2" x14ac:dyDescent="0.2">
      <c r="B8461" s="3" t="s">
        <v>257</v>
      </c>
    </row>
    <row r="8462" spans="2:2" x14ac:dyDescent="0.2">
      <c r="B8462" s="3" t="s">
        <v>257</v>
      </c>
    </row>
    <row r="8463" spans="2:2" x14ac:dyDescent="0.2">
      <c r="B8463" s="3" t="s">
        <v>257</v>
      </c>
    </row>
    <row r="8464" spans="2:2" x14ac:dyDescent="0.2">
      <c r="B8464" s="3" t="s">
        <v>257</v>
      </c>
    </row>
    <row r="8465" spans="2:2" x14ac:dyDescent="0.2">
      <c r="B8465" s="3" t="s">
        <v>257</v>
      </c>
    </row>
    <row r="8466" spans="2:2" x14ac:dyDescent="0.2">
      <c r="B8466" s="3" t="s">
        <v>257</v>
      </c>
    </row>
    <row r="8467" spans="2:2" x14ac:dyDescent="0.2">
      <c r="B8467" s="3" t="s">
        <v>257</v>
      </c>
    </row>
    <row r="8468" spans="2:2" x14ac:dyDescent="0.2">
      <c r="B8468" s="3" t="s">
        <v>257</v>
      </c>
    </row>
    <row r="8469" spans="2:2" x14ac:dyDescent="0.2">
      <c r="B8469" s="3" t="s">
        <v>257</v>
      </c>
    </row>
    <row r="8470" spans="2:2" x14ac:dyDescent="0.2">
      <c r="B8470" s="3" t="s">
        <v>257</v>
      </c>
    </row>
    <row r="8471" spans="2:2" x14ac:dyDescent="0.2">
      <c r="B8471" s="3" t="s">
        <v>257</v>
      </c>
    </row>
    <row r="8472" spans="2:2" x14ac:dyDescent="0.2">
      <c r="B8472" s="3" t="s">
        <v>257</v>
      </c>
    </row>
    <row r="8473" spans="2:2" x14ac:dyDescent="0.2">
      <c r="B8473" s="3" t="s">
        <v>257</v>
      </c>
    </row>
    <row r="8474" spans="2:2" x14ac:dyDescent="0.2">
      <c r="B8474" s="3" t="s">
        <v>257</v>
      </c>
    </row>
    <row r="8475" spans="2:2" x14ac:dyDescent="0.2">
      <c r="B8475" s="3" t="s">
        <v>257</v>
      </c>
    </row>
    <row r="8476" spans="2:2" x14ac:dyDescent="0.2">
      <c r="B8476" s="3" t="s">
        <v>257</v>
      </c>
    </row>
    <row r="8477" spans="2:2" x14ac:dyDescent="0.2">
      <c r="B8477" s="3" t="s">
        <v>257</v>
      </c>
    </row>
    <row r="8478" spans="2:2" x14ac:dyDescent="0.2">
      <c r="B8478" s="3" t="s">
        <v>257</v>
      </c>
    </row>
    <row r="8479" spans="2:2" x14ac:dyDescent="0.2">
      <c r="B8479" s="3" t="s">
        <v>257</v>
      </c>
    </row>
    <row r="8480" spans="2:2" x14ac:dyDescent="0.2">
      <c r="B8480" s="3" t="s">
        <v>257</v>
      </c>
    </row>
    <row r="8481" spans="2:2" x14ac:dyDescent="0.2">
      <c r="B8481" s="3" t="s">
        <v>257</v>
      </c>
    </row>
    <row r="8482" spans="2:2" x14ac:dyDescent="0.2">
      <c r="B8482" s="3" t="s">
        <v>257</v>
      </c>
    </row>
    <row r="8483" spans="2:2" x14ac:dyDescent="0.2">
      <c r="B8483" s="3" t="s">
        <v>257</v>
      </c>
    </row>
    <row r="8484" spans="2:2" x14ac:dyDescent="0.2">
      <c r="B8484" s="3" t="s">
        <v>257</v>
      </c>
    </row>
    <row r="8485" spans="2:2" x14ac:dyDescent="0.2">
      <c r="B8485" s="3" t="s">
        <v>257</v>
      </c>
    </row>
    <row r="8486" spans="2:2" x14ac:dyDescent="0.2">
      <c r="B8486" s="3" t="s">
        <v>257</v>
      </c>
    </row>
    <row r="8487" spans="2:2" x14ac:dyDescent="0.2">
      <c r="B8487" s="3" t="s">
        <v>257</v>
      </c>
    </row>
    <row r="8488" spans="2:2" x14ac:dyDescent="0.2">
      <c r="B8488" s="3" t="s">
        <v>257</v>
      </c>
    </row>
    <row r="8489" spans="2:2" x14ac:dyDescent="0.2">
      <c r="B8489" s="3" t="s">
        <v>257</v>
      </c>
    </row>
    <row r="8490" spans="2:2" x14ac:dyDescent="0.2">
      <c r="B8490" s="3" t="s">
        <v>257</v>
      </c>
    </row>
    <row r="8491" spans="2:2" x14ac:dyDescent="0.2">
      <c r="B8491" s="3" t="s">
        <v>257</v>
      </c>
    </row>
    <row r="8492" spans="2:2" x14ac:dyDescent="0.2">
      <c r="B8492" s="3" t="s">
        <v>257</v>
      </c>
    </row>
    <row r="8493" spans="2:2" x14ac:dyDescent="0.2">
      <c r="B8493" s="3" t="s">
        <v>257</v>
      </c>
    </row>
    <row r="8494" spans="2:2" x14ac:dyDescent="0.2">
      <c r="B8494" s="3" t="s">
        <v>257</v>
      </c>
    </row>
    <row r="8495" spans="2:2" x14ac:dyDescent="0.2">
      <c r="B8495" s="3" t="s">
        <v>257</v>
      </c>
    </row>
    <row r="8496" spans="2:2" x14ac:dyDescent="0.2">
      <c r="B8496" s="3" t="s">
        <v>257</v>
      </c>
    </row>
    <row r="8497" spans="2:2" x14ac:dyDescent="0.2">
      <c r="B8497" s="3" t="s">
        <v>257</v>
      </c>
    </row>
    <row r="8498" spans="2:2" x14ac:dyDescent="0.2">
      <c r="B8498" s="3" t="s">
        <v>257</v>
      </c>
    </row>
    <row r="8499" spans="2:2" x14ac:dyDescent="0.2">
      <c r="B8499" s="3" t="s">
        <v>257</v>
      </c>
    </row>
    <row r="8500" spans="2:2" x14ac:dyDescent="0.2">
      <c r="B8500" s="3" t="s">
        <v>257</v>
      </c>
    </row>
    <row r="8501" spans="2:2" x14ac:dyDescent="0.2">
      <c r="B8501" s="3" t="s">
        <v>257</v>
      </c>
    </row>
    <row r="8502" spans="2:2" x14ac:dyDescent="0.2">
      <c r="B8502" s="3" t="s">
        <v>257</v>
      </c>
    </row>
    <row r="8503" spans="2:2" x14ac:dyDescent="0.2">
      <c r="B8503" s="3" t="s">
        <v>257</v>
      </c>
    </row>
    <row r="8504" spans="2:2" x14ac:dyDescent="0.2">
      <c r="B8504" s="3" t="s">
        <v>257</v>
      </c>
    </row>
    <row r="8505" spans="2:2" x14ac:dyDescent="0.2">
      <c r="B8505" s="3" t="s">
        <v>257</v>
      </c>
    </row>
    <row r="8506" spans="2:2" x14ac:dyDescent="0.2">
      <c r="B8506" s="3" t="s">
        <v>257</v>
      </c>
    </row>
    <row r="8507" spans="2:2" x14ac:dyDescent="0.2">
      <c r="B8507" s="3" t="s">
        <v>257</v>
      </c>
    </row>
    <row r="8508" spans="2:2" x14ac:dyDescent="0.2">
      <c r="B8508" s="3" t="s">
        <v>257</v>
      </c>
    </row>
    <row r="8509" spans="2:2" x14ac:dyDescent="0.2">
      <c r="B8509" s="3" t="s">
        <v>257</v>
      </c>
    </row>
    <row r="8510" spans="2:2" x14ac:dyDescent="0.2">
      <c r="B8510" s="3" t="s">
        <v>257</v>
      </c>
    </row>
    <row r="8511" spans="2:2" x14ac:dyDescent="0.2">
      <c r="B8511" s="3" t="s">
        <v>257</v>
      </c>
    </row>
    <row r="8512" spans="2:2" x14ac:dyDescent="0.2">
      <c r="B8512" s="3" t="s">
        <v>257</v>
      </c>
    </row>
    <row r="8513" spans="2:2" x14ac:dyDescent="0.2">
      <c r="B8513" s="3" t="s">
        <v>257</v>
      </c>
    </row>
    <row r="8514" spans="2:2" x14ac:dyDescent="0.2">
      <c r="B8514" s="3" t="s">
        <v>257</v>
      </c>
    </row>
    <row r="8515" spans="2:2" x14ac:dyDescent="0.2">
      <c r="B8515" s="3" t="s">
        <v>257</v>
      </c>
    </row>
    <row r="8516" spans="2:2" x14ac:dyDescent="0.2">
      <c r="B8516" s="3" t="s">
        <v>257</v>
      </c>
    </row>
    <row r="8517" spans="2:2" x14ac:dyDescent="0.2">
      <c r="B8517" s="3" t="s">
        <v>257</v>
      </c>
    </row>
    <row r="8518" spans="2:2" x14ac:dyDescent="0.2">
      <c r="B8518" s="3" t="s">
        <v>257</v>
      </c>
    </row>
    <row r="8519" spans="2:2" x14ac:dyDescent="0.2">
      <c r="B8519" s="3" t="s">
        <v>257</v>
      </c>
    </row>
    <row r="8520" spans="2:2" x14ac:dyDescent="0.2">
      <c r="B8520" s="3" t="s">
        <v>257</v>
      </c>
    </row>
    <row r="8521" spans="2:2" x14ac:dyDescent="0.2">
      <c r="B8521" s="3" t="s">
        <v>257</v>
      </c>
    </row>
    <row r="8522" spans="2:2" x14ac:dyDescent="0.2">
      <c r="B8522" s="3" t="s">
        <v>257</v>
      </c>
    </row>
    <row r="8523" spans="2:2" x14ac:dyDescent="0.2">
      <c r="B8523" s="3" t="s">
        <v>257</v>
      </c>
    </row>
    <row r="8524" spans="2:2" x14ac:dyDescent="0.2">
      <c r="B8524" s="3" t="s">
        <v>257</v>
      </c>
    </row>
    <row r="8525" spans="2:2" x14ac:dyDescent="0.2">
      <c r="B8525" s="3" t="s">
        <v>257</v>
      </c>
    </row>
    <row r="8526" spans="2:2" x14ac:dyDescent="0.2">
      <c r="B8526" s="3" t="s">
        <v>257</v>
      </c>
    </row>
    <row r="8527" spans="2:2" x14ac:dyDescent="0.2">
      <c r="B8527" s="3" t="s">
        <v>257</v>
      </c>
    </row>
    <row r="8528" spans="2:2" x14ac:dyDescent="0.2">
      <c r="B8528" s="3" t="s">
        <v>257</v>
      </c>
    </row>
    <row r="8529" spans="2:2" x14ac:dyDescent="0.2">
      <c r="B8529" s="3" t="s">
        <v>257</v>
      </c>
    </row>
    <row r="8530" spans="2:2" x14ac:dyDescent="0.2">
      <c r="B8530" s="3" t="s">
        <v>257</v>
      </c>
    </row>
    <row r="8531" spans="2:2" x14ac:dyDescent="0.2">
      <c r="B8531" s="3" t="s">
        <v>257</v>
      </c>
    </row>
    <row r="8532" spans="2:2" x14ac:dyDescent="0.2">
      <c r="B8532" s="3" t="s">
        <v>257</v>
      </c>
    </row>
    <row r="8533" spans="2:2" x14ac:dyDescent="0.2">
      <c r="B8533" s="3" t="s">
        <v>257</v>
      </c>
    </row>
    <row r="8534" spans="2:2" x14ac:dyDescent="0.2">
      <c r="B8534" s="3" t="s">
        <v>257</v>
      </c>
    </row>
    <row r="8535" spans="2:2" x14ac:dyDescent="0.2">
      <c r="B8535" s="3" t="s">
        <v>257</v>
      </c>
    </row>
    <row r="8536" spans="2:2" x14ac:dyDescent="0.2">
      <c r="B8536" s="3" t="s">
        <v>257</v>
      </c>
    </row>
    <row r="8537" spans="2:2" x14ac:dyDescent="0.2">
      <c r="B8537" s="3" t="s">
        <v>257</v>
      </c>
    </row>
    <row r="8538" spans="2:2" x14ac:dyDescent="0.2">
      <c r="B8538" s="3" t="s">
        <v>257</v>
      </c>
    </row>
    <row r="8539" spans="2:2" x14ac:dyDescent="0.2">
      <c r="B8539" s="3" t="s">
        <v>257</v>
      </c>
    </row>
    <row r="8540" spans="2:2" x14ac:dyDescent="0.2">
      <c r="B8540" s="3" t="s">
        <v>257</v>
      </c>
    </row>
    <row r="8541" spans="2:2" x14ac:dyDescent="0.2">
      <c r="B8541" s="3" t="s">
        <v>257</v>
      </c>
    </row>
    <row r="8542" spans="2:2" x14ac:dyDescent="0.2">
      <c r="B8542" s="3" t="s">
        <v>257</v>
      </c>
    </row>
    <row r="8543" spans="2:2" x14ac:dyDescent="0.2">
      <c r="B8543" s="3" t="s">
        <v>257</v>
      </c>
    </row>
    <row r="8544" spans="2:2" x14ac:dyDescent="0.2">
      <c r="B8544" s="3" t="s">
        <v>257</v>
      </c>
    </row>
    <row r="8545" spans="2:2" x14ac:dyDescent="0.2">
      <c r="B8545" s="3" t="s">
        <v>257</v>
      </c>
    </row>
    <row r="8546" spans="2:2" x14ac:dyDescent="0.2">
      <c r="B8546" s="3" t="s">
        <v>257</v>
      </c>
    </row>
    <row r="8547" spans="2:2" x14ac:dyDescent="0.2">
      <c r="B8547" s="3" t="s">
        <v>257</v>
      </c>
    </row>
    <row r="8548" spans="2:2" x14ac:dyDescent="0.2">
      <c r="B8548" s="3" t="s">
        <v>257</v>
      </c>
    </row>
    <row r="8549" spans="2:2" x14ac:dyDescent="0.2">
      <c r="B8549" s="3" t="s">
        <v>257</v>
      </c>
    </row>
    <row r="8550" spans="2:2" x14ac:dyDescent="0.2">
      <c r="B8550" s="3" t="s">
        <v>257</v>
      </c>
    </row>
    <row r="8551" spans="2:2" x14ac:dyDescent="0.2">
      <c r="B8551" s="3" t="s">
        <v>257</v>
      </c>
    </row>
    <row r="8552" spans="2:2" x14ac:dyDescent="0.2">
      <c r="B8552" s="3" t="s">
        <v>257</v>
      </c>
    </row>
    <row r="8553" spans="2:2" x14ac:dyDescent="0.2">
      <c r="B8553" s="3" t="s">
        <v>257</v>
      </c>
    </row>
    <row r="8554" spans="2:2" x14ac:dyDescent="0.2">
      <c r="B8554" s="3" t="s">
        <v>257</v>
      </c>
    </row>
    <row r="8555" spans="2:2" x14ac:dyDescent="0.2">
      <c r="B8555" s="3" t="s">
        <v>257</v>
      </c>
    </row>
    <row r="8556" spans="2:2" x14ac:dyDescent="0.2">
      <c r="B8556" s="3" t="s">
        <v>257</v>
      </c>
    </row>
    <row r="8557" spans="2:2" x14ac:dyDescent="0.2">
      <c r="B8557" s="3" t="s">
        <v>257</v>
      </c>
    </row>
    <row r="8558" spans="2:2" x14ac:dyDescent="0.2">
      <c r="B8558" s="3" t="s">
        <v>257</v>
      </c>
    </row>
    <row r="8559" spans="2:2" x14ac:dyDescent="0.2">
      <c r="B8559" s="3" t="s">
        <v>257</v>
      </c>
    </row>
    <row r="8560" spans="2:2" x14ac:dyDescent="0.2">
      <c r="B8560" s="3" t="s">
        <v>257</v>
      </c>
    </row>
    <row r="8561" spans="2:2" x14ac:dyDescent="0.2">
      <c r="B8561" s="3" t="s">
        <v>257</v>
      </c>
    </row>
    <row r="8562" spans="2:2" x14ac:dyDescent="0.2">
      <c r="B8562" s="3" t="s">
        <v>257</v>
      </c>
    </row>
    <row r="8563" spans="2:2" x14ac:dyDescent="0.2">
      <c r="B8563" s="3" t="s">
        <v>257</v>
      </c>
    </row>
    <row r="8564" spans="2:2" x14ac:dyDescent="0.2">
      <c r="B8564" s="3" t="s">
        <v>257</v>
      </c>
    </row>
    <row r="8565" spans="2:2" x14ac:dyDescent="0.2">
      <c r="B8565" s="3" t="s">
        <v>257</v>
      </c>
    </row>
    <row r="8566" spans="2:2" x14ac:dyDescent="0.2">
      <c r="B8566" s="3" t="s">
        <v>257</v>
      </c>
    </row>
    <row r="8567" spans="2:2" x14ac:dyDescent="0.2">
      <c r="B8567" s="3" t="s">
        <v>257</v>
      </c>
    </row>
    <row r="8568" spans="2:2" x14ac:dyDescent="0.2">
      <c r="B8568" s="3" t="s">
        <v>257</v>
      </c>
    </row>
    <row r="8569" spans="2:2" x14ac:dyDescent="0.2">
      <c r="B8569" s="3" t="s">
        <v>257</v>
      </c>
    </row>
    <row r="8570" spans="2:2" x14ac:dyDescent="0.2">
      <c r="B8570" s="3" t="s">
        <v>257</v>
      </c>
    </row>
    <row r="8571" spans="2:2" x14ac:dyDescent="0.2">
      <c r="B8571" s="3" t="s">
        <v>257</v>
      </c>
    </row>
    <row r="8572" spans="2:2" x14ac:dyDescent="0.2">
      <c r="B8572" s="3" t="s">
        <v>257</v>
      </c>
    </row>
    <row r="8573" spans="2:2" x14ac:dyDescent="0.2">
      <c r="B8573" s="3" t="s">
        <v>257</v>
      </c>
    </row>
    <row r="8574" spans="2:2" x14ac:dyDescent="0.2">
      <c r="B8574" s="3" t="s">
        <v>257</v>
      </c>
    </row>
    <row r="8575" spans="2:2" x14ac:dyDescent="0.2">
      <c r="B8575" s="3" t="s">
        <v>257</v>
      </c>
    </row>
    <row r="8576" spans="2:2" x14ac:dyDescent="0.2">
      <c r="B8576" s="3" t="s">
        <v>257</v>
      </c>
    </row>
    <row r="8577" spans="2:2" x14ac:dyDescent="0.2">
      <c r="B8577" s="3" t="s">
        <v>257</v>
      </c>
    </row>
    <row r="8578" spans="2:2" x14ac:dyDescent="0.2">
      <c r="B8578" s="3" t="s">
        <v>257</v>
      </c>
    </row>
    <row r="8579" spans="2:2" x14ac:dyDescent="0.2">
      <c r="B8579" s="3" t="s">
        <v>257</v>
      </c>
    </row>
    <row r="8580" spans="2:2" x14ac:dyDescent="0.2">
      <c r="B8580" s="3" t="s">
        <v>257</v>
      </c>
    </row>
    <row r="8581" spans="2:2" x14ac:dyDescent="0.2">
      <c r="B8581" s="3" t="s">
        <v>257</v>
      </c>
    </row>
    <row r="8582" spans="2:2" x14ac:dyDescent="0.2">
      <c r="B8582" s="3" t="s">
        <v>257</v>
      </c>
    </row>
    <row r="8583" spans="2:2" x14ac:dyDescent="0.2">
      <c r="B8583" s="3" t="s">
        <v>257</v>
      </c>
    </row>
    <row r="8584" spans="2:2" x14ac:dyDescent="0.2">
      <c r="B8584" s="3" t="s">
        <v>257</v>
      </c>
    </row>
    <row r="8585" spans="2:2" x14ac:dyDescent="0.2">
      <c r="B8585" s="3" t="s">
        <v>257</v>
      </c>
    </row>
    <row r="8586" spans="2:2" x14ac:dyDescent="0.2">
      <c r="B8586" s="3" t="s">
        <v>257</v>
      </c>
    </row>
    <row r="8587" spans="2:2" x14ac:dyDescent="0.2">
      <c r="B8587" s="3" t="s">
        <v>257</v>
      </c>
    </row>
    <row r="8588" spans="2:2" x14ac:dyDescent="0.2">
      <c r="B8588" s="3" t="s">
        <v>257</v>
      </c>
    </row>
    <row r="8589" spans="2:2" x14ac:dyDescent="0.2">
      <c r="B8589" s="3" t="s">
        <v>257</v>
      </c>
    </row>
    <row r="8590" spans="2:2" x14ac:dyDescent="0.2">
      <c r="B8590" s="3" t="s">
        <v>257</v>
      </c>
    </row>
    <row r="8591" spans="2:2" x14ac:dyDescent="0.2">
      <c r="B8591" s="3" t="s">
        <v>257</v>
      </c>
    </row>
    <row r="8592" spans="2:2" x14ac:dyDescent="0.2">
      <c r="B8592" s="3" t="s">
        <v>257</v>
      </c>
    </row>
    <row r="8593" spans="2:2" x14ac:dyDescent="0.2">
      <c r="B8593" s="3" t="s">
        <v>257</v>
      </c>
    </row>
    <row r="8594" spans="2:2" x14ac:dyDescent="0.2">
      <c r="B8594" s="3" t="s">
        <v>257</v>
      </c>
    </row>
    <row r="8595" spans="2:2" x14ac:dyDescent="0.2">
      <c r="B8595" s="3" t="s">
        <v>257</v>
      </c>
    </row>
    <row r="8596" spans="2:2" x14ac:dyDescent="0.2">
      <c r="B8596" s="3" t="s">
        <v>257</v>
      </c>
    </row>
    <row r="8597" spans="2:2" x14ac:dyDescent="0.2">
      <c r="B8597" s="3" t="s">
        <v>257</v>
      </c>
    </row>
    <row r="8598" spans="2:2" x14ac:dyDescent="0.2">
      <c r="B8598" s="3" t="s">
        <v>257</v>
      </c>
    </row>
    <row r="8599" spans="2:2" x14ac:dyDescent="0.2">
      <c r="B8599" s="3" t="s">
        <v>257</v>
      </c>
    </row>
    <row r="8600" spans="2:2" x14ac:dyDescent="0.2">
      <c r="B8600" s="3" t="s">
        <v>257</v>
      </c>
    </row>
    <row r="8601" spans="2:2" x14ac:dyDescent="0.2">
      <c r="B8601" s="3" t="s">
        <v>257</v>
      </c>
    </row>
    <row r="8602" spans="2:2" x14ac:dyDescent="0.2">
      <c r="B8602" s="3" t="s">
        <v>257</v>
      </c>
    </row>
    <row r="8603" spans="2:2" x14ac:dyDescent="0.2">
      <c r="B8603" s="3" t="s">
        <v>257</v>
      </c>
    </row>
    <row r="8604" spans="2:2" x14ac:dyDescent="0.2">
      <c r="B8604" s="3" t="s">
        <v>257</v>
      </c>
    </row>
    <row r="8605" spans="2:2" x14ac:dyDescent="0.2">
      <c r="B8605" s="3" t="s">
        <v>257</v>
      </c>
    </row>
    <row r="8606" spans="2:2" x14ac:dyDescent="0.2">
      <c r="B8606" s="3" t="s">
        <v>257</v>
      </c>
    </row>
    <row r="8607" spans="2:2" x14ac:dyDescent="0.2">
      <c r="B8607" s="3" t="s">
        <v>257</v>
      </c>
    </row>
    <row r="8608" spans="2:2" x14ac:dyDescent="0.2">
      <c r="B8608" s="3" t="s">
        <v>257</v>
      </c>
    </row>
    <row r="8609" spans="2:2" x14ac:dyDescent="0.2">
      <c r="B8609" s="3" t="s">
        <v>257</v>
      </c>
    </row>
    <row r="8610" spans="2:2" x14ac:dyDescent="0.2">
      <c r="B8610" s="3" t="s">
        <v>257</v>
      </c>
    </row>
    <row r="8611" spans="2:2" x14ac:dyDescent="0.2">
      <c r="B8611" s="3" t="s">
        <v>257</v>
      </c>
    </row>
    <row r="8612" spans="2:2" x14ac:dyDescent="0.2">
      <c r="B8612" s="3" t="s">
        <v>257</v>
      </c>
    </row>
    <row r="8613" spans="2:2" x14ac:dyDescent="0.2">
      <c r="B8613" s="3" t="s">
        <v>257</v>
      </c>
    </row>
    <row r="8614" spans="2:2" x14ac:dyDescent="0.2">
      <c r="B8614" s="3" t="s">
        <v>257</v>
      </c>
    </row>
    <row r="8615" spans="2:2" x14ac:dyDescent="0.2">
      <c r="B8615" s="3" t="s">
        <v>257</v>
      </c>
    </row>
    <row r="8616" spans="2:2" x14ac:dyDescent="0.2">
      <c r="B8616" s="3" t="s">
        <v>257</v>
      </c>
    </row>
    <row r="8617" spans="2:2" x14ac:dyDescent="0.2">
      <c r="B8617" s="3" t="s">
        <v>257</v>
      </c>
    </row>
    <row r="8618" spans="2:2" x14ac:dyDescent="0.2">
      <c r="B8618" s="3" t="s">
        <v>257</v>
      </c>
    </row>
    <row r="8619" spans="2:2" x14ac:dyDescent="0.2">
      <c r="B8619" s="3" t="s">
        <v>257</v>
      </c>
    </row>
    <row r="8620" spans="2:2" x14ac:dyDescent="0.2">
      <c r="B8620" s="3" t="s">
        <v>257</v>
      </c>
    </row>
    <row r="8621" spans="2:2" x14ac:dyDescent="0.2">
      <c r="B8621" s="3" t="s">
        <v>257</v>
      </c>
    </row>
    <row r="8622" spans="2:2" x14ac:dyDescent="0.2">
      <c r="B8622" s="3" t="s">
        <v>257</v>
      </c>
    </row>
    <row r="8623" spans="2:2" x14ac:dyDescent="0.2">
      <c r="B8623" s="3" t="s">
        <v>257</v>
      </c>
    </row>
    <row r="8624" spans="2:2" x14ac:dyDescent="0.2">
      <c r="B8624" s="3" t="s">
        <v>257</v>
      </c>
    </row>
    <row r="8625" spans="2:2" x14ac:dyDescent="0.2">
      <c r="B8625" s="3" t="s">
        <v>257</v>
      </c>
    </row>
    <row r="8626" spans="2:2" x14ac:dyDescent="0.2">
      <c r="B8626" s="3" t="s">
        <v>257</v>
      </c>
    </row>
    <row r="8627" spans="2:2" x14ac:dyDescent="0.2">
      <c r="B8627" s="3" t="s">
        <v>257</v>
      </c>
    </row>
    <row r="8628" spans="2:2" x14ac:dyDescent="0.2">
      <c r="B8628" s="3" t="s">
        <v>257</v>
      </c>
    </row>
    <row r="8629" spans="2:2" x14ac:dyDescent="0.2">
      <c r="B8629" s="3" t="s">
        <v>257</v>
      </c>
    </row>
    <row r="8630" spans="2:2" x14ac:dyDescent="0.2">
      <c r="B8630" s="3" t="s">
        <v>257</v>
      </c>
    </row>
    <row r="8631" spans="2:2" x14ac:dyDescent="0.2">
      <c r="B8631" s="3" t="s">
        <v>257</v>
      </c>
    </row>
    <row r="8632" spans="2:2" x14ac:dyDescent="0.2">
      <c r="B8632" s="3" t="s">
        <v>257</v>
      </c>
    </row>
    <row r="8633" spans="2:2" x14ac:dyDescent="0.2">
      <c r="B8633" s="3" t="s">
        <v>257</v>
      </c>
    </row>
    <row r="8634" spans="2:2" x14ac:dyDescent="0.2">
      <c r="B8634" s="3" t="s">
        <v>257</v>
      </c>
    </row>
    <row r="8635" spans="2:2" x14ac:dyDescent="0.2">
      <c r="B8635" s="3" t="s">
        <v>257</v>
      </c>
    </row>
    <row r="8636" spans="2:2" x14ac:dyDescent="0.2">
      <c r="B8636" s="3" t="s">
        <v>257</v>
      </c>
    </row>
    <row r="8637" spans="2:2" x14ac:dyDescent="0.2">
      <c r="B8637" s="3" t="s">
        <v>257</v>
      </c>
    </row>
    <row r="8638" spans="2:2" x14ac:dyDescent="0.2">
      <c r="B8638" s="3" t="s">
        <v>257</v>
      </c>
    </row>
    <row r="8639" spans="2:2" x14ac:dyDescent="0.2">
      <c r="B8639" s="3" t="s">
        <v>257</v>
      </c>
    </row>
    <row r="8640" spans="2:2" x14ac:dyDescent="0.2">
      <c r="B8640" s="3" t="s">
        <v>257</v>
      </c>
    </row>
    <row r="8641" spans="2:2" x14ac:dyDescent="0.2">
      <c r="B8641" s="3" t="s">
        <v>257</v>
      </c>
    </row>
    <row r="8642" spans="2:2" x14ac:dyDescent="0.2">
      <c r="B8642" s="3" t="s">
        <v>257</v>
      </c>
    </row>
    <row r="8643" spans="2:2" x14ac:dyDescent="0.2">
      <c r="B8643" s="3" t="s">
        <v>257</v>
      </c>
    </row>
    <row r="8644" spans="2:2" x14ac:dyDescent="0.2">
      <c r="B8644" s="3" t="s">
        <v>257</v>
      </c>
    </row>
    <row r="8645" spans="2:2" x14ac:dyDescent="0.2">
      <c r="B8645" s="3" t="s">
        <v>257</v>
      </c>
    </row>
    <row r="8646" spans="2:2" x14ac:dyDescent="0.2">
      <c r="B8646" s="3" t="s">
        <v>257</v>
      </c>
    </row>
    <row r="8647" spans="2:2" x14ac:dyDescent="0.2">
      <c r="B8647" s="3" t="s">
        <v>257</v>
      </c>
    </row>
    <row r="8648" spans="2:2" x14ac:dyDescent="0.2">
      <c r="B8648" s="3" t="s">
        <v>257</v>
      </c>
    </row>
    <row r="8649" spans="2:2" x14ac:dyDescent="0.2">
      <c r="B8649" s="3" t="s">
        <v>257</v>
      </c>
    </row>
    <row r="8650" spans="2:2" x14ac:dyDescent="0.2">
      <c r="B8650" s="3" t="s">
        <v>257</v>
      </c>
    </row>
    <row r="8651" spans="2:2" x14ac:dyDescent="0.2">
      <c r="B8651" s="3" t="s">
        <v>257</v>
      </c>
    </row>
    <row r="8652" spans="2:2" x14ac:dyDescent="0.2">
      <c r="B8652" s="3" t="s">
        <v>257</v>
      </c>
    </row>
    <row r="8653" spans="2:2" x14ac:dyDescent="0.2">
      <c r="B8653" s="3" t="s">
        <v>257</v>
      </c>
    </row>
    <row r="8654" spans="2:2" x14ac:dyDescent="0.2">
      <c r="B8654" s="3" t="s">
        <v>257</v>
      </c>
    </row>
    <row r="8655" spans="2:2" x14ac:dyDescent="0.2">
      <c r="B8655" s="3" t="s">
        <v>257</v>
      </c>
    </row>
    <row r="8656" spans="2:2" x14ac:dyDescent="0.2">
      <c r="B8656" s="3" t="s">
        <v>257</v>
      </c>
    </row>
    <row r="8657" spans="2:2" x14ac:dyDescent="0.2">
      <c r="B8657" s="3" t="s">
        <v>257</v>
      </c>
    </row>
    <row r="8658" spans="2:2" x14ac:dyDescent="0.2">
      <c r="B8658" s="3" t="s">
        <v>257</v>
      </c>
    </row>
    <row r="8659" spans="2:2" x14ac:dyDescent="0.2">
      <c r="B8659" s="3" t="s">
        <v>257</v>
      </c>
    </row>
    <row r="8660" spans="2:2" x14ac:dyDescent="0.2">
      <c r="B8660" s="3" t="s">
        <v>257</v>
      </c>
    </row>
    <row r="8661" spans="2:2" x14ac:dyDescent="0.2">
      <c r="B8661" s="3" t="s">
        <v>257</v>
      </c>
    </row>
    <row r="8662" spans="2:2" x14ac:dyDescent="0.2">
      <c r="B8662" s="3" t="s">
        <v>257</v>
      </c>
    </row>
    <row r="8663" spans="2:2" x14ac:dyDescent="0.2">
      <c r="B8663" s="3" t="s">
        <v>257</v>
      </c>
    </row>
    <row r="8664" spans="2:2" x14ac:dyDescent="0.2">
      <c r="B8664" s="3" t="s">
        <v>257</v>
      </c>
    </row>
    <row r="8665" spans="2:2" x14ac:dyDescent="0.2">
      <c r="B8665" s="3" t="s">
        <v>257</v>
      </c>
    </row>
    <row r="8666" spans="2:2" x14ac:dyDescent="0.2">
      <c r="B8666" s="3" t="s">
        <v>257</v>
      </c>
    </row>
    <row r="8667" spans="2:2" x14ac:dyDescent="0.2">
      <c r="B8667" s="3" t="s">
        <v>257</v>
      </c>
    </row>
    <row r="8668" spans="2:2" x14ac:dyDescent="0.2">
      <c r="B8668" s="3" t="s">
        <v>257</v>
      </c>
    </row>
    <row r="8669" spans="2:2" x14ac:dyDescent="0.2">
      <c r="B8669" s="3" t="s">
        <v>257</v>
      </c>
    </row>
    <row r="8670" spans="2:2" x14ac:dyDescent="0.2">
      <c r="B8670" s="3" t="s">
        <v>257</v>
      </c>
    </row>
    <row r="8671" spans="2:2" x14ac:dyDescent="0.2">
      <c r="B8671" s="3" t="s">
        <v>257</v>
      </c>
    </row>
    <row r="8672" spans="2:2" x14ac:dyDescent="0.2">
      <c r="B8672" s="3" t="s">
        <v>257</v>
      </c>
    </row>
    <row r="8673" spans="2:2" x14ac:dyDescent="0.2">
      <c r="B8673" s="3" t="s">
        <v>257</v>
      </c>
    </row>
    <row r="8674" spans="2:2" x14ac:dyDescent="0.2">
      <c r="B8674" s="3" t="s">
        <v>257</v>
      </c>
    </row>
    <row r="8675" spans="2:2" x14ac:dyDescent="0.2">
      <c r="B8675" s="3" t="s">
        <v>257</v>
      </c>
    </row>
    <row r="8676" spans="2:2" x14ac:dyDescent="0.2">
      <c r="B8676" s="3" t="s">
        <v>257</v>
      </c>
    </row>
    <row r="8677" spans="2:2" x14ac:dyDescent="0.2">
      <c r="B8677" s="3" t="s">
        <v>257</v>
      </c>
    </row>
    <row r="8678" spans="2:2" x14ac:dyDescent="0.2">
      <c r="B8678" s="3" t="s">
        <v>257</v>
      </c>
    </row>
    <row r="8679" spans="2:2" x14ac:dyDescent="0.2">
      <c r="B8679" s="3" t="s">
        <v>257</v>
      </c>
    </row>
    <row r="8680" spans="2:2" x14ac:dyDescent="0.2">
      <c r="B8680" s="3" t="s">
        <v>257</v>
      </c>
    </row>
    <row r="8681" spans="2:2" x14ac:dyDescent="0.2">
      <c r="B8681" s="3" t="s">
        <v>257</v>
      </c>
    </row>
    <row r="8682" spans="2:2" x14ac:dyDescent="0.2">
      <c r="B8682" s="3" t="s">
        <v>257</v>
      </c>
    </row>
    <row r="8683" spans="2:2" x14ac:dyDescent="0.2">
      <c r="B8683" s="3" t="s">
        <v>257</v>
      </c>
    </row>
    <row r="8684" spans="2:2" x14ac:dyDescent="0.2">
      <c r="B8684" s="3" t="s">
        <v>257</v>
      </c>
    </row>
    <row r="8685" spans="2:2" x14ac:dyDescent="0.2">
      <c r="B8685" s="3" t="s">
        <v>257</v>
      </c>
    </row>
    <row r="8686" spans="2:2" x14ac:dyDescent="0.2">
      <c r="B8686" s="3" t="s">
        <v>257</v>
      </c>
    </row>
    <row r="8687" spans="2:2" x14ac:dyDescent="0.2">
      <c r="B8687" s="3" t="s">
        <v>257</v>
      </c>
    </row>
    <row r="8688" spans="2:2" x14ac:dyDescent="0.2">
      <c r="B8688" s="3" t="s">
        <v>257</v>
      </c>
    </row>
    <row r="8689" spans="2:2" x14ac:dyDescent="0.2">
      <c r="B8689" s="3" t="s">
        <v>257</v>
      </c>
    </row>
    <row r="8690" spans="2:2" x14ac:dyDescent="0.2">
      <c r="B8690" s="3" t="s">
        <v>257</v>
      </c>
    </row>
    <row r="8691" spans="2:2" x14ac:dyDescent="0.2">
      <c r="B8691" s="3" t="s">
        <v>257</v>
      </c>
    </row>
    <row r="8692" spans="2:2" x14ac:dyDescent="0.2">
      <c r="B8692" s="3" t="s">
        <v>257</v>
      </c>
    </row>
    <row r="8693" spans="2:2" x14ac:dyDescent="0.2">
      <c r="B8693" s="3" t="s">
        <v>257</v>
      </c>
    </row>
    <row r="8694" spans="2:2" x14ac:dyDescent="0.2">
      <c r="B8694" s="3" t="s">
        <v>257</v>
      </c>
    </row>
    <row r="8695" spans="2:2" x14ac:dyDescent="0.2">
      <c r="B8695" s="3" t="s">
        <v>257</v>
      </c>
    </row>
    <row r="8696" spans="2:2" x14ac:dyDescent="0.2">
      <c r="B8696" s="3" t="s">
        <v>257</v>
      </c>
    </row>
    <row r="8697" spans="2:2" x14ac:dyDescent="0.2">
      <c r="B8697" s="3" t="s">
        <v>257</v>
      </c>
    </row>
    <row r="8698" spans="2:2" x14ac:dyDescent="0.2">
      <c r="B8698" s="3" t="s">
        <v>257</v>
      </c>
    </row>
    <row r="8699" spans="2:2" x14ac:dyDescent="0.2">
      <c r="B8699" s="3" t="s">
        <v>257</v>
      </c>
    </row>
    <row r="8700" spans="2:2" x14ac:dyDescent="0.2">
      <c r="B8700" s="3" t="s">
        <v>257</v>
      </c>
    </row>
    <row r="8701" spans="2:2" x14ac:dyDescent="0.2">
      <c r="B8701" s="3" t="s">
        <v>257</v>
      </c>
    </row>
    <row r="8702" spans="2:2" x14ac:dyDescent="0.2">
      <c r="B8702" s="3" t="s">
        <v>257</v>
      </c>
    </row>
    <row r="8703" spans="2:2" x14ac:dyDescent="0.2">
      <c r="B8703" s="3" t="s">
        <v>257</v>
      </c>
    </row>
    <row r="8704" spans="2:2" x14ac:dyDescent="0.2">
      <c r="B8704" s="3" t="s">
        <v>257</v>
      </c>
    </row>
    <row r="8705" spans="2:2" x14ac:dyDescent="0.2">
      <c r="B8705" s="3" t="s">
        <v>257</v>
      </c>
    </row>
    <row r="8706" spans="2:2" x14ac:dyDescent="0.2">
      <c r="B8706" s="3" t="s">
        <v>257</v>
      </c>
    </row>
    <row r="8707" spans="2:2" x14ac:dyDescent="0.2">
      <c r="B8707" s="3" t="s">
        <v>257</v>
      </c>
    </row>
    <row r="8708" spans="2:2" x14ac:dyDescent="0.2">
      <c r="B8708" s="3" t="s">
        <v>257</v>
      </c>
    </row>
    <row r="8709" spans="2:2" x14ac:dyDescent="0.2">
      <c r="B8709" s="3" t="s">
        <v>257</v>
      </c>
    </row>
    <row r="8710" spans="2:2" x14ac:dyDescent="0.2">
      <c r="B8710" s="3" t="s">
        <v>257</v>
      </c>
    </row>
    <row r="8711" spans="2:2" x14ac:dyDescent="0.2">
      <c r="B8711" s="3" t="s">
        <v>257</v>
      </c>
    </row>
    <row r="8712" spans="2:2" x14ac:dyDescent="0.2">
      <c r="B8712" s="3" t="s">
        <v>257</v>
      </c>
    </row>
    <row r="8713" spans="2:2" x14ac:dyDescent="0.2">
      <c r="B8713" s="3" t="s">
        <v>257</v>
      </c>
    </row>
    <row r="8714" spans="2:2" x14ac:dyDescent="0.2">
      <c r="B8714" s="3" t="s">
        <v>257</v>
      </c>
    </row>
    <row r="8715" spans="2:2" x14ac:dyDescent="0.2">
      <c r="B8715" s="3" t="s">
        <v>257</v>
      </c>
    </row>
    <row r="8716" spans="2:2" x14ac:dyDescent="0.2">
      <c r="B8716" s="3" t="s">
        <v>257</v>
      </c>
    </row>
    <row r="8717" spans="2:2" x14ac:dyDescent="0.2">
      <c r="B8717" s="3" t="s">
        <v>257</v>
      </c>
    </row>
    <row r="8718" spans="2:2" x14ac:dyDescent="0.2">
      <c r="B8718" s="3" t="s">
        <v>257</v>
      </c>
    </row>
    <row r="8719" spans="2:2" x14ac:dyDescent="0.2">
      <c r="B8719" s="3" t="s">
        <v>257</v>
      </c>
    </row>
    <row r="8720" spans="2:2" x14ac:dyDescent="0.2">
      <c r="B8720" s="3" t="s">
        <v>257</v>
      </c>
    </row>
    <row r="8721" spans="2:2" x14ac:dyDescent="0.2">
      <c r="B8721" s="3" t="s">
        <v>257</v>
      </c>
    </row>
    <row r="8722" spans="2:2" x14ac:dyDescent="0.2">
      <c r="B8722" s="3" t="s">
        <v>257</v>
      </c>
    </row>
    <row r="8723" spans="2:2" x14ac:dyDescent="0.2">
      <c r="B8723" s="3" t="s">
        <v>257</v>
      </c>
    </row>
    <row r="8724" spans="2:2" x14ac:dyDescent="0.2">
      <c r="B8724" s="3" t="s">
        <v>257</v>
      </c>
    </row>
    <row r="8725" spans="2:2" x14ac:dyDescent="0.2">
      <c r="B8725" s="3" t="s">
        <v>257</v>
      </c>
    </row>
    <row r="8726" spans="2:2" x14ac:dyDescent="0.2">
      <c r="B8726" s="3" t="s">
        <v>257</v>
      </c>
    </row>
    <row r="8727" spans="2:2" x14ac:dyDescent="0.2">
      <c r="B8727" s="3" t="s">
        <v>257</v>
      </c>
    </row>
    <row r="8728" spans="2:2" x14ac:dyDescent="0.2">
      <c r="B8728" s="3" t="s">
        <v>257</v>
      </c>
    </row>
    <row r="8729" spans="2:2" x14ac:dyDescent="0.2">
      <c r="B8729" s="3" t="s">
        <v>257</v>
      </c>
    </row>
    <row r="8730" spans="2:2" x14ac:dyDescent="0.2">
      <c r="B8730" s="3" t="s">
        <v>257</v>
      </c>
    </row>
    <row r="8731" spans="2:2" x14ac:dyDescent="0.2">
      <c r="B8731" s="3" t="s">
        <v>257</v>
      </c>
    </row>
    <row r="8732" spans="2:2" x14ac:dyDescent="0.2">
      <c r="B8732" s="3" t="s">
        <v>257</v>
      </c>
    </row>
    <row r="8733" spans="2:2" x14ac:dyDescent="0.2">
      <c r="B8733" s="3" t="s">
        <v>257</v>
      </c>
    </row>
    <row r="8734" spans="2:2" x14ac:dyDescent="0.2">
      <c r="B8734" s="3" t="s">
        <v>257</v>
      </c>
    </row>
    <row r="8735" spans="2:2" x14ac:dyDescent="0.2">
      <c r="B8735" s="3" t="s">
        <v>257</v>
      </c>
    </row>
    <row r="8736" spans="2:2" x14ac:dyDescent="0.2">
      <c r="B8736" s="3" t="s">
        <v>257</v>
      </c>
    </row>
    <row r="8737" spans="2:2" x14ac:dyDescent="0.2">
      <c r="B8737" s="3" t="s">
        <v>257</v>
      </c>
    </row>
    <row r="8738" spans="2:2" x14ac:dyDescent="0.2">
      <c r="B8738" s="3" t="s">
        <v>257</v>
      </c>
    </row>
    <row r="8739" spans="2:2" x14ac:dyDescent="0.2">
      <c r="B8739" s="3" t="s">
        <v>257</v>
      </c>
    </row>
    <row r="8740" spans="2:2" x14ac:dyDescent="0.2">
      <c r="B8740" s="3" t="s">
        <v>257</v>
      </c>
    </row>
    <row r="8741" spans="2:2" x14ac:dyDescent="0.2">
      <c r="B8741" s="3" t="s">
        <v>257</v>
      </c>
    </row>
    <row r="8742" spans="2:2" x14ac:dyDescent="0.2">
      <c r="B8742" s="3" t="s">
        <v>257</v>
      </c>
    </row>
    <row r="8743" spans="2:2" x14ac:dyDescent="0.2">
      <c r="B8743" s="3" t="s">
        <v>257</v>
      </c>
    </row>
    <row r="8744" spans="2:2" x14ac:dyDescent="0.2">
      <c r="B8744" s="3" t="s">
        <v>257</v>
      </c>
    </row>
    <row r="8745" spans="2:2" x14ac:dyDescent="0.2">
      <c r="B8745" s="3" t="s">
        <v>257</v>
      </c>
    </row>
    <row r="8746" spans="2:2" x14ac:dyDescent="0.2">
      <c r="B8746" s="3" t="s">
        <v>257</v>
      </c>
    </row>
    <row r="8747" spans="2:2" x14ac:dyDescent="0.2">
      <c r="B8747" s="3" t="s">
        <v>257</v>
      </c>
    </row>
    <row r="8748" spans="2:2" x14ac:dyDescent="0.2">
      <c r="B8748" s="3" t="s">
        <v>257</v>
      </c>
    </row>
    <row r="8749" spans="2:2" x14ac:dyDescent="0.2">
      <c r="B8749" s="3" t="s">
        <v>257</v>
      </c>
    </row>
    <row r="8750" spans="2:2" x14ac:dyDescent="0.2">
      <c r="B8750" s="3" t="s">
        <v>257</v>
      </c>
    </row>
    <row r="8751" spans="2:2" x14ac:dyDescent="0.2">
      <c r="B8751" s="3" t="s">
        <v>257</v>
      </c>
    </row>
    <row r="8752" spans="2:2" x14ac:dyDescent="0.2">
      <c r="B8752" s="3" t="s">
        <v>257</v>
      </c>
    </row>
    <row r="8753" spans="2:2" x14ac:dyDescent="0.2">
      <c r="B8753" s="3" t="s">
        <v>257</v>
      </c>
    </row>
    <row r="8754" spans="2:2" x14ac:dyDescent="0.2">
      <c r="B8754" s="3" t="s">
        <v>257</v>
      </c>
    </row>
    <row r="8755" spans="2:2" x14ac:dyDescent="0.2">
      <c r="B8755" s="3" t="s">
        <v>257</v>
      </c>
    </row>
    <row r="8756" spans="2:2" x14ac:dyDescent="0.2">
      <c r="B8756" s="3" t="s">
        <v>257</v>
      </c>
    </row>
    <row r="8757" spans="2:2" x14ac:dyDescent="0.2">
      <c r="B8757" s="3" t="s">
        <v>257</v>
      </c>
    </row>
    <row r="8758" spans="2:2" x14ac:dyDescent="0.2">
      <c r="B8758" s="3" t="s">
        <v>257</v>
      </c>
    </row>
    <row r="8759" spans="2:2" x14ac:dyDescent="0.2">
      <c r="B8759" s="3" t="s">
        <v>257</v>
      </c>
    </row>
    <row r="8760" spans="2:2" x14ac:dyDescent="0.2">
      <c r="B8760" s="3" t="s">
        <v>257</v>
      </c>
    </row>
    <row r="8761" spans="2:2" x14ac:dyDescent="0.2">
      <c r="B8761" s="3" t="s">
        <v>257</v>
      </c>
    </row>
    <row r="8762" spans="2:2" x14ac:dyDescent="0.2">
      <c r="B8762" s="3" t="s">
        <v>257</v>
      </c>
    </row>
    <row r="8763" spans="2:2" x14ac:dyDescent="0.2">
      <c r="B8763" s="3" t="s">
        <v>257</v>
      </c>
    </row>
    <row r="8764" spans="2:2" x14ac:dyDescent="0.2">
      <c r="B8764" s="3" t="s">
        <v>257</v>
      </c>
    </row>
    <row r="8765" spans="2:2" x14ac:dyDescent="0.2">
      <c r="B8765" s="3" t="s">
        <v>257</v>
      </c>
    </row>
    <row r="8766" spans="2:2" x14ac:dyDescent="0.2">
      <c r="B8766" s="3" t="s">
        <v>257</v>
      </c>
    </row>
    <row r="8767" spans="2:2" x14ac:dyDescent="0.2">
      <c r="B8767" s="3" t="s">
        <v>257</v>
      </c>
    </row>
    <row r="8768" spans="2:2" x14ac:dyDescent="0.2">
      <c r="B8768" s="3" t="s">
        <v>257</v>
      </c>
    </row>
    <row r="8769" spans="2:2" x14ac:dyDescent="0.2">
      <c r="B8769" s="3" t="s">
        <v>257</v>
      </c>
    </row>
    <row r="8770" spans="2:2" x14ac:dyDescent="0.2">
      <c r="B8770" s="3" t="s">
        <v>257</v>
      </c>
    </row>
    <row r="8771" spans="2:2" x14ac:dyDescent="0.2">
      <c r="B8771" s="3" t="s">
        <v>257</v>
      </c>
    </row>
    <row r="8772" spans="2:2" x14ac:dyDescent="0.2">
      <c r="B8772" s="3" t="s">
        <v>257</v>
      </c>
    </row>
    <row r="8773" spans="2:2" x14ac:dyDescent="0.2">
      <c r="B8773" s="3" t="s">
        <v>257</v>
      </c>
    </row>
    <row r="8774" spans="2:2" x14ac:dyDescent="0.2">
      <c r="B8774" s="3" t="s">
        <v>257</v>
      </c>
    </row>
    <row r="8775" spans="2:2" x14ac:dyDescent="0.2">
      <c r="B8775" s="3" t="s">
        <v>257</v>
      </c>
    </row>
    <row r="8776" spans="2:2" x14ac:dyDescent="0.2">
      <c r="B8776" s="3" t="s">
        <v>257</v>
      </c>
    </row>
    <row r="8777" spans="2:2" x14ac:dyDescent="0.2">
      <c r="B8777" s="3" t="s">
        <v>257</v>
      </c>
    </row>
    <row r="8778" spans="2:2" x14ac:dyDescent="0.2">
      <c r="B8778" s="3" t="s">
        <v>257</v>
      </c>
    </row>
    <row r="8779" spans="2:2" x14ac:dyDescent="0.2">
      <c r="B8779" s="3" t="s">
        <v>257</v>
      </c>
    </row>
    <row r="8780" spans="2:2" x14ac:dyDescent="0.2">
      <c r="B8780" s="3" t="s">
        <v>257</v>
      </c>
    </row>
    <row r="8781" spans="2:2" x14ac:dyDescent="0.2">
      <c r="B8781" s="3" t="s">
        <v>257</v>
      </c>
    </row>
    <row r="8782" spans="2:2" x14ac:dyDescent="0.2">
      <c r="B8782" s="3" t="s">
        <v>257</v>
      </c>
    </row>
    <row r="8783" spans="2:2" x14ac:dyDescent="0.2">
      <c r="B8783" s="3" t="s">
        <v>257</v>
      </c>
    </row>
    <row r="8784" spans="2:2" x14ac:dyDescent="0.2">
      <c r="B8784" s="3" t="s">
        <v>257</v>
      </c>
    </row>
    <row r="8785" spans="2:2" x14ac:dyDescent="0.2">
      <c r="B8785" s="3" t="s">
        <v>257</v>
      </c>
    </row>
    <row r="8786" spans="2:2" x14ac:dyDescent="0.2">
      <c r="B8786" s="3" t="s">
        <v>257</v>
      </c>
    </row>
    <row r="8787" spans="2:2" x14ac:dyDescent="0.2">
      <c r="B8787" s="3" t="s">
        <v>257</v>
      </c>
    </row>
    <row r="8788" spans="2:2" x14ac:dyDescent="0.2">
      <c r="B8788" s="3" t="s">
        <v>257</v>
      </c>
    </row>
    <row r="8789" spans="2:2" x14ac:dyDescent="0.2">
      <c r="B8789" s="3" t="s">
        <v>257</v>
      </c>
    </row>
    <row r="8790" spans="2:2" x14ac:dyDescent="0.2">
      <c r="B8790" s="3" t="s">
        <v>257</v>
      </c>
    </row>
    <row r="8791" spans="2:2" x14ac:dyDescent="0.2">
      <c r="B8791" s="3" t="s">
        <v>257</v>
      </c>
    </row>
    <row r="8792" spans="2:2" x14ac:dyDescent="0.2">
      <c r="B8792" s="3" t="s">
        <v>257</v>
      </c>
    </row>
    <row r="8793" spans="2:2" x14ac:dyDescent="0.2">
      <c r="B8793" s="3" t="s">
        <v>257</v>
      </c>
    </row>
    <row r="8794" spans="2:2" x14ac:dyDescent="0.2">
      <c r="B8794" s="3" t="s">
        <v>257</v>
      </c>
    </row>
    <row r="8795" spans="2:2" x14ac:dyDescent="0.2">
      <c r="B8795" s="3" t="s">
        <v>257</v>
      </c>
    </row>
    <row r="8796" spans="2:2" x14ac:dyDescent="0.2">
      <c r="B8796" s="3" t="s">
        <v>257</v>
      </c>
    </row>
    <row r="8797" spans="2:2" x14ac:dyDescent="0.2">
      <c r="B8797" s="3" t="s">
        <v>257</v>
      </c>
    </row>
    <row r="8798" spans="2:2" x14ac:dyDescent="0.2">
      <c r="B8798" s="3" t="s">
        <v>257</v>
      </c>
    </row>
    <row r="8799" spans="2:2" x14ac:dyDescent="0.2">
      <c r="B8799" s="3" t="s">
        <v>257</v>
      </c>
    </row>
    <row r="8800" spans="2:2" x14ac:dyDescent="0.2">
      <c r="B8800" s="3" t="s">
        <v>257</v>
      </c>
    </row>
    <row r="8801" spans="2:2" x14ac:dyDescent="0.2">
      <c r="B8801" s="3" t="s">
        <v>257</v>
      </c>
    </row>
    <row r="8802" spans="2:2" x14ac:dyDescent="0.2">
      <c r="B8802" s="3" t="s">
        <v>257</v>
      </c>
    </row>
    <row r="8803" spans="2:2" x14ac:dyDescent="0.2">
      <c r="B8803" s="3" t="s">
        <v>257</v>
      </c>
    </row>
    <row r="8804" spans="2:2" x14ac:dyDescent="0.2">
      <c r="B8804" s="3" t="s">
        <v>257</v>
      </c>
    </row>
    <row r="8805" spans="2:2" x14ac:dyDescent="0.2">
      <c r="B8805" s="3" t="s">
        <v>257</v>
      </c>
    </row>
    <row r="8806" spans="2:2" x14ac:dyDescent="0.2">
      <c r="B8806" s="3" t="s">
        <v>257</v>
      </c>
    </row>
    <row r="8807" spans="2:2" x14ac:dyDescent="0.2">
      <c r="B8807" s="3" t="s">
        <v>257</v>
      </c>
    </row>
    <row r="8808" spans="2:2" x14ac:dyDescent="0.2">
      <c r="B8808" s="3" t="s">
        <v>257</v>
      </c>
    </row>
    <row r="8809" spans="2:2" x14ac:dyDescent="0.2">
      <c r="B8809" s="3" t="s">
        <v>257</v>
      </c>
    </row>
    <row r="8810" spans="2:2" x14ac:dyDescent="0.2">
      <c r="B8810" s="3" t="s">
        <v>257</v>
      </c>
    </row>
    <row r="8811" spans="2:2" x14ac:dyDescent="0.2">
      <c r="B8811" s="3" t="s">
        <v>257</v>
      </c>
    </row>
    <row r="8812" spans="2:2" x14ac:dyDescent="0.2">
      <c r="B8812" s="3" t="s">
        <v>257</v>
      </c>
    </row>
    <row r="8813" spans="2:2" x14ac:dyDescent="0.2">
      <c r="B8813" s="3" t="s">
        <v>257</v>
      </c>
    </row>
    <row r="8814" spans="2:2" x14ac:dyDescent="0.2">
      <c r="B8814" s="3" t="s">
        <v>257</v>
      </c>
    </row>
    <row r="8815" spans="2:2" x14ac:dyDescent="0.2">
      <c r="B8815" s="3" t="s">
        <v>257</v>
      </c>
    </row>
    <row r="8816" spans="2:2" x14ac:dyDescent="0.2">
      <c r="B8816" s="3" t="s">
        <v>257</v>
      </c>
    </row>
    <row r="8817" spans="2:2" x14ac:dyDescent="0.2">
      <c r="B8817" s="3" t="s">
        <v>257</v>
      </c>
    </row>
    <row r="8818" spans="2:2" x14ac:dyDescent="0.2">
      <c r="B8818" s="3" t="s">
        <v>257</v>
      </c>
    </row>
    <row r="8819" spans="2:2" x14ac:dyDescent="0.2">
      <c r="B8819" s="3" t="s">
        <v>257</v>
      </c>
    </row>
    <row r="8820" spans="2:2" x14ac:dyDescent="0.2">
      <c r="B8820" s="3" t="s">
        <v>257</v>
      </c>
    </row>
    <row r="8821" spans="2:2" x14ac:dyDescent="0.2">
      <c r="B8821" s="3" t="s">
        <v>257</v>
      </c>
    </row>
    <row r="8822" spans="2:2" x14ac:dyDescent="0.2">
      <c r="B8822" s="3" t="s">
        <v>257</v>
      </c>
    </row>
    <row r="8823" spans="2:2" x14ac:dyDescent="0.2">
      <c r="B8823" s="3" t="s">
        <v>257</v>
      </c>
    </row>
    <row r="8824" spans="2:2" x14ac:dyDescent="0.2">
      <c r="B8824" s="3" t="s">
        <v>257</v>
      </c>
    </row>
    <row r="8825" spans="2:2" x14ac:dyDescent="0.2">
      <c r="B8825" s="3" t="s">
        <v>257</v>
      </c>
    </row>
    <row r="8826" spans="2:2" x14ac:dyDescent="0.2">
      <c r="B8826" s="3" t="s">
        <v>257</v>
      </c>
    </row>
    <row r="8827" spans="2:2" x14ac:dyDescent="0.2">
      <c r="B8827" s="3" t="s">
        <v>257</v>
      </c>
    </row>
    <row r="8828" spans="2:2" x14ac:dyDescent="0.2">
      <c r="B8828" s="3" t="s">
        <v>257</v>
      </c>
    </row>
    <row r="8829" spans="2:2" x14ac:dyDescent="0.2">
      <c r="B8829" s="3" t="s">
        <v>257</v>
      </c>
    </row>
    <row r="8830" spans="2:2" x14ac:dyDescent="0.2">
      <c r="B8830" s="3" t="s">
        <v>257</v>
      </c>
    </row>
    <row r="8831" spans="2:2" x14ac:dyDescent="0.2">
      <c r="B8831" s="3" t="s">
        <v>257</v>
      </c>
    </row>
    <row r="8832" spans="2:2" x14ac:dyDescent="0.2">
      <c r="B8832" s="3" t="s">
        <v>257</v>
      </c>
    </row>
    <row r="8833" spans="2:2" x14ac:dyDescent="0.2">
      <c r="B8833" s="3" t="s">
        <v>257</v>
      </c>
    </row>
    <row r="8834" spans="2:2" x14ac:dyDescent="0.2">
      <c r="B8834" s="3" t="s">
        <v>257</v>
      </c>
    </row>
    <row r="8835" spans="2:2" x14ac:dyDescent="0.2">
      <c r="B8835" s="3" t="s">
        <v>257</v>
      </c>
    </row>
    <row r="8836" spans="2:2" x14ac:dyDescent="0.2">
      <c r="B8836" s="3" t="s">
        <v>257</v>
      </c>
    </row>
    <row r="8837" spans="2:2" x14ac:dyDescent="0.2">
      <c r="B8837" s="3" t="s">
        <v>257</v>
      </c>
    </row>
    <row r="8838" spans="2:2" x14ac:dyDescent="0.2">
      <c r="B8838" s="3" t="s">
        <v>257</v>
      </c>
    </row>
    <row r="8839" spans="2:2" x14ac:dyDescent="0.2">
      <c r="B8839" s="3" t="s">
        <v>257</v>
      </c>
    </row>
    <row r="8840" spans="2:2" x14ac:dyDescent="0.2">
      <c r="B8840" s="3" t="s">
        <v>257</v>
      </c>
    </row>
    <row r="8841" spans="2:2" x14ac:dyDescent="0.2">
      <c r="B8841" s="3" t="s">
        <v>257</v>
      </c>
    </row>
    <row r="8842" spans="2:2" x14ac:dyDescent="0.2">
      <c r="B8842" s="3" t="s">
        <v>257</v>
      </c>
    </row>
    <row r="8843" spans="2:2" x14ac:dyDescent="0.2">
      <c r="B8843" s="3" t="s">
        <v>257</v>
      </c>
    </row>
    <row r="8844" spans="2:2" x14ac:dyDescent="0.2">
      <c r="B8844" s="3" t="s">
        <v>257</v>
      </c>
    </row>
    <row r="8845" spans="2:2" x14ac:dyDescent="0.2">
      <c r="B8845" s="3" t="s">
        <v>257</v>
      </c>
    </row>
    <row r="8846" spans="2:2" x14ac:dyDescent="0.2">
      <c r="B8846" s="3" t="s">
        <v>257</v>
      </c>
    </row>
    <row r="8847" spans="2:2" x14ac:dyDescent="0.2">
      <c r="B8847" s="3" t="s">
        <v>257</v>
      </c>
    </row>
    <row r="8848" spans="2:2" x14ac:dyDescent="0.2">
      <c r="B8848" s="3" t="s">
        <v>257</v>
      </c>
    </row>
    <row r="8849" spans="2:2" x14ac:dyDescent="0.2">
      <c r="B8849" s="3" t="s">
        <v>257</v>
      </c>
    </row>
    <row r="8850" spans="2:2" x14ac:dyDescent="0.2">
      <c r="B8850" s="3" t="s">
        <v>257</v>
      </c>
    </row>
    <row r="8851" spans="2:2" x14ac:dyDescent="0.2">
      <c r="B8851" s="3" t="s">
        <v>257</v>
      </c>
    </row>
    <row r="8852" spans="2:2" x14ac:dyDescent="0.2">
      <c r="B8852" s="3" t="s">
        <v>257</v>
      </c>
    </row>
    <row r="8853" spans="2:2" x14ac:dyDescent="0.2">
      <c r="B8853" s="3" t="s">
        <v>257</v>
      </c>
    </row>
    <row r="8854" spans="2:2" x14ac:dyDescent="0.2">
      <c r="B8854" s="3" t="s">
        <v>257</v>
      </c>
    </row>
    <row r="8855" spans="2:2" x14ac:dyDescent="0.2">
      <c r="B8855" s="3" t="s">
        <v>257</v>
      </c>
    </row>
    <row r="8856" spans="2:2" x14ac:dyDescent="0.2">
      <c r="B8856" s="3" t="s">
        <v>257</v>
      </c>
    </row>
    <row r="8857" spans="2:2" x14ac:dyDescent="0.2">
      <c r="B8857" s="3" t="s">
        <v>257</v>
      </c>
    </row>
    <row r="8858" spans="2:2" x14ac:dyDescent="0.2">
      <c r="B8858" s="3" t="s">
        <v>257</v>
      </c>
    </row>
    <row r="8859" spans="2:2" x14ac:dyDescent="0.2">
      <c r="B8859" s="3" t="s">
        <v>257</v>
      </c>
    </row>
    <row r="8860" spans="2:2" x14ac:dyDescent="0.2">
      <c r="B8860" s="3" t="s">
        <v>257</v>
      </c>
    </row>
    <row r="8861" spans="2:2" x14ac:dyDescent="0.2">
      <c r="B8861" s="3" t="s">
        <v>257</v>
      </c>
    </row>
    <row r="8862" spans="2:2" x14ac:dyDescent="0.2">
      <c r="B8862" s="3" t="s">
        <v>257</v>
      </c>
    </row>
    <row r="8863" spans="2:2" x14ac:dyDescent="0.2">
      <c r="B8863" s="3" t="s">
        <v>257</v>
      </c>
    </row>
    <row r="8864" spans="2:2" x14ac:dyDescent="0.2">
      <c r="B8864" s="3" t="s">
        <v>257</v>
      </c>
    </row>
    <row r="8865" spans="2:2" x14ac:dyDescent="0.2">
      <c r="B8865" s="3" t="s">
        <v>257</v>
      </c>
    </row>
    <row r="8866" spans="2:2" x14ac:dyDescent="0.2">
      <c r="B8866" s="3" t="s">
        <v>257</v>
      </c>
    </row>
    <row r="8867" spans="2:2" x14ac:dyDescent="0.2">
      <c r="B8867" s="3" t="s">
        <v>257</v>
      </c>
    </row>
    <row r="8868" spans="2:2" x14ac:dyDescent="0.2">
      <c r="B8868" s="3" t="s">
        <v>257</v>
      </c>
    </row>
    <row r="8869" spans="2:2" x14ac:dyDescent="0.2">
      <c r="B8869" s="3" t="s">
        <v>257</v>
      </c>
    </row>
    <row r="8870" spans="2:2" x14ac:dyDescent="0.2">
      <c r="B8870" s="3" t="s">
        <v>257</v>
      </c>
    </row>
    <row r="8871" spans="2:2" x14ac:dyDescent="0.2">
      <c r="B8871" s="3" t="s">
        <v>257</v>
      </c>
    </row>
    <row r="8872" spans="2:2" x14ac:dyDescent="0.2">
      <c r="B8872" s="3" t="s">
        <v>257</v>
      </c>
    </row>
    <row r="8873" spans="2:2" x14ac:dyDescent="0.2">
      <c r="B8873" s="3" t="s">
        <v>257</v>
      </c>
    </row>
    <row r="8874" spans="2:2" x14ac:dyDescent="0.2">
      <c r="B8874" s="3" t="s">
        <v>257</v>
      </c>
    </row>
    <row r="8875" spans="2:2" x14ac:dyDescent="0.2">
      <c r="B8875" s="3" t="s">
        <v>257</v>
      </c>
    </row>
    <row r="8876" spans="2:2" x14ac:dyDescent="0.2">
      <c r="B8876" s="3" t="s">
        <v>257</v>
      </c>
    </row>
    <row r="8877" spans="2:2" x14ac:dyDescent="0.2">
      <c r="B8877" s="3" t="s">
        <v>257</v>
      </c>
    </row>
    <row r="8878" spans="2:2" x14ac:dyDescent="0.2">
      <c r="B8878" s="3" t="s">
        <v>257</v>
      </c>
    </row>
    <row r="8879" spans="2:2" x14ac:dyDescent="0.2">
      <c r="B8879" s="3" t="s">
        <v>257</v>
      </c>
    </row>
    <row r="8880" spans="2:2" x14ac:dyDescent="0.2">
      <c r="B8880" s="3" t="s">
        <v>257</v>
      </c>
    </row>
    <row r="8881" spans="2:2" x14ac:dyDescent="0.2">
      <c r="B8881" s="3" t="s">
        <v>257</v>
      </c>
    </row>
    <row r="8882" spans="2:2" x14ac:dyDescent="0.2">
      <c r="B8882" s="3" t="s">
        <v>257</v>
      </c>
    </row>
    <row r="8883" spans="2:2" x14ac:dyDescent="0.2">
      <c r="B8883" s="3" t="s">
        <v>257</v>
      </c>
    </row>
    <row r="8884" spans="2:2" x14ac:dyDescent="0.2">
      <c r="B8884" s="3" t="s">
        <v>257</v>
      </c>
    </row>
    <row r="8885" spans="2:2" x14ac:dyDescent="0.2">
      <c r="B8885" s="3" t="s">
        <v>257</v>
      </c>
    </row>
    <row r="8886" spans="2:2" x14ac:dyDescent="0.2">
      <c r="B8886" s="3" t="s">
        <v>257</v>
      </c>
    </row>
    <row r="8887" spans="2:2" x14ac:dyDescent="0.2">
      <c r="B8887" s="3" t="s">
        <v>257</v>
      </c>
    </row>
    <row r="8888" spans="2:2" x14ac:dyDescent="0.2">
      <c r="B8888" s="3" t="s">
        <v>257</v>
      </c>
    </row>
    <row r="8889" spans="2:2" x14ac:dyDescent="0.2">
      <c r="B8889" s="3" t="s">
        <v>257</v>
      </c>
    </row>
    <row r="8890" spans="2:2" x14ac:dyDescent="0.2">
      <c r="B8890" s="3" t="s">
        <v>257</v>
      </c>
    </row>
    <row r="8891" spans="2:2" x14ac:dyDescent="0.2">
      <c r="B8891" s="3" t="s">
        <v>257</v>
      </c>
    </row>
    <row r="8892" spans="2:2" x14ac:dyDescent="0.2">
      <c r="B8892" s="3" t="s">
        <v>257</v>
      </c>
    </row>
    <row r="8893" spans="2:2" x14ac:dyDescent="0.2">
      <c r="B8893" s="3" t="s">
        <v>257</v>
      </c>
    </row>
    <row r="8894" spans="2:2" x14ac:dyDescent="0.2">
      <c r="B8894" s="3" t="s">
        <v>257</v>
      </c>
    </row>
    <row r="8895" spans="2:2" x14ac:dyDescent="0.2">
      <c r="B8895" s="3" t="s">
        <v>257</v>
      </c>
    </row>
    <row r="8896" spans="2:2" x14ac:dyDescent="0.2">
      <c r="B8896" s="3" t="s">
        <v>257</v>
      </c>
    </row>
    <row r="8897" spans="2:2" x14ac:dyDescent="0.2">
      <c r="B8897" s="3" t="s">
        <v>257</v>
      </c>
    </row>
    <row r="8898" spans="2:2" x14ac:dyDescent="0.2">
      <c r="B8898" s="3" t="s">
        <v>257</v>
      </c>
    </row>
    <row r="8899" spans="2:2" x14ac:dyDescent="0.2">
      <c r="B8899" s="3" t="s">
        <v>257</v>
      </c>
    </row>
    <row r="8900" spans="2:2" x14ac:dyDescent="0.2">
      <c r="B8900" s="3" t="s">
        <v>257</v>
      </c>
    </row>
    <row r="8901" spans="2:2" x14ac:dyDescent="0.2">
      <c r="B8901" s="3" t="s">
        <v>257</v>
      </c>
    </row>
    <row r="8902" spans="2:2" x14ac:dyDescent="0.2">
      <c r="B8902" s="3" t="s">
        <v>257</v>
      </c>
    </row>
    <row r="8903" spans="2:2" x14ac:dyDescent="0.2">
      <c r="B8903" s="3" t="s">
        <v>257</v>
      </c>
    </row>
    <row r="8904" spans="2:2" x14ac:dyDescent="0.2">
      <c r="B8904" s="3" t="s">
        <v>257</v>
      </c>
    </row>
    <row r="8905" spans="2:2" x14ac:dyDescent="0.2">
      <c r="B8905" s="3" t="s">
        <v>257</v>
      </c>
    </row>
    <row r="8906" spans="2:2" x14ac:dyDescent="0.2">
      <c r="B8906" s="3" t="s">
        <v>257</v>
      </c>
    </row>
    <row r="8907" spans="2:2" x14ac:dyDescent="0.2">
      <c r="B8907" s="3" t="s">
        <v>257</v>
      </c>
    </row>
    <row r="8908" spans="2:2" x14ac:dyDescent="0.2">
      <c r="B8908" s="3" t="s">
        <v>257</v>
      </c>
    </row>
    <row r="8909" spans="2:2" x14ac:dyDescent="0.2">
      <c r="B8909" s="3" t="s">
        <v>257</v>
      </c>
    </row>
    <row r="8910" spans="2:2" x14ac:dyDescent="0.2">
      <c r="B8910" s="3" t="s">
        <v>257</v>
      </c>
    </row>
    <row r="8911" spans="2:2" x14ac:dyDescent="0.2">
      <c r="B8911" s="3" t="s">
        <v>257</v>
      </c>
    </row>
    <row r="8912" spans="2:2" x14ac:dyDescent="0.2">
      <c r="B8912" s="3" t="s">
        <v>257</v>
      </c>
    </row>
    <row r="8913" spans="2:2" x14ac:dyDescent="0.2">
      <c r="B8913" s="3" t="s">
        <v>257</v>
      </c>
    </row>
    <row r="8914" spans="2:2" x14ac:dyDescent="0.2">
      <c r="B8914" s="3" t="s">
        <v>257</v>
      </c>
    </row>
    <row r="8915" spans="2:2" x14ac:dyDescent="0.2">
      <c r="B8915" s="3" t="s">
        <v>257</v>
      </c>
    </row>
    <row r="8916" spans="2:2" x14ac:dyDescent="0.2">
      <c r="B8916" s="3" t="s">
        <v>257</v>
      </c>
    </row>
    <row r="8917" spans="2:2" x14ac:dyDescent="0.2">
      <c r="B8917" s="3" t="s">
        <v>257</v>
      </c>
    </row>
    <row r="8918" spans="2:2" x14ac:dyDescent="0.2">
      <c r="B8918" s="3" t="s">
        <v>257</v>
      </c>
    </row>
    <row r="8919" spans="2:2" x14ac:dyDescent="0.2">
      <c r="B8919" s="3" t="s">
        <v>257</v>
      </c>
    </row>
    <row r="8920" spans="2:2" x14ac:dyDescent="0.2">
      <c r="B8920" s="3" t="s">
        <v>257</v>
      </c>
    </row>
    <row r="8921" spans="2:2" x14ac:dyDescent="0.2">
      <c r="B8921" s="3" t="s">
        <v>257</v>
      </c>
    </row>
    <row r="8922" spans="2:2" x14ac:dyDescent="0.2">
      <c r="B8922" s="3" t="s">
        <v>257</v>
      </c>
    </row>
    <row r="8923" spans="2:2" x14ac:dyDescent="0.2">
      <c r="B8923" s="3" t="s">
        <v>257</v>
      </c>
    </row>
    <row r="8924" spans="2:2" x14ac:dyDescent="0.2">
      <c r="B8924" s="3" t="s">
        <v>257</v>
      </c>
    </row>
    <row r="8925" spans="2:2" x14ac:dyDescent="0.2">
      <c r="B8925" s="3" t="s">
        <v>257</v>
      </c>
    </row>
    <row r="8926" spans="2:2" x14ac:dyDescent="0.2">
      <c r="B8926" s="3" t="s">
        <v>257</v>
      </c>
    </row>
    <row r="8927" spans="2:2" x14ac:dyDescent="0.2">
      <c r="B8927" s="3" t="s">
        <v>257</v>
      </c>
    </row>
    <row r="8928" spans="2:2" x14ac:dyDescent="0.2">
      <c r="B8928" s="3" t="s">
        <v>257</v>
      </c>
    </row>
    <row r="8929" spans="2:2" x14ac:dyDescent="0.2">
      <c r="B8929" s="3" t="s">
        <v>257</v>
      </c>
    </row>
    <row r="8930" spans="2:2" x14ac:dyDescent="0.2">
      <c r="B8930" s="3" t="s">
        <v>257</v>
      </c>
    </row>
    <row r="8931" spans="2:2" x14ac:dyDescent="0.2">
      <c r="B8931" s="3" t="s">
        <v>257</v>
      </c>
    </row>
    <row r="8932" spans="2:2" x14ac:dyDescent="0.2">
      <c r="B8932" s="3" t="s">
        <v>257</v>
      </c>
    </row>
    <row r="8933" spans="2:2" x14ac:dyDescent="0.2">
      <c r="B8933" s="3" t="s">
        <v>257</v>
      </c>
    </row>
    <row r="8934" spans="2:2" x14ac:dyDescent="0.2">
      <c r="B8934" s="3" t="s">
        <v>257</v>
      </c>
    </row>
    <row r="8935" spans="2:2" x14ac:dyDescent="0.2">
      <c r="B8935" s="3" t="s">
        <v>257</v>
      </c>
    </row>
    <row r="8936" spans="2:2" x14ac:dyDescent="0.2">
      <c r="B8936" s="3" t="s">
        <v>257</v>
      </c>
    </row>
    <row r="8937" spans="2:2" x14ac:dyDescent="0.2">
      <c r="B8937" s="3" t="s">
        <v>257</v>
      </c>
    </row>
    <row r="8938" spans="2:2" x14ac:dyDescent="0.2">
      <c r="B8938" s="3" t="s">
        <v>257</v>
      </c>
    </row>
    <row r="8939" spans="2:2" x14ac:dyDescent="0.2">
      <c r="B8939" s="3" t="s">
        <v>257</v>
      </c>
    </row>
    <row r="8940" spans="2:2" x14ac:dyDescent="0.2">
      <c r="B8940" s="3" t="s">
        <v>257</v>
      </c>
    </row>
    <row r="8941" spans="2:2" x14ac:dyDescent="0.2">
      <c r="B8941" s="3" t="s">
        <v>257</v>
      </c>
    </row>
    <row r="8942" spans="2:2" x14ac:dyDescent="0.2">
      <c r="B8942" s="3" t="s">
        <v>257</v>
      </c>
    </row>
    <row r="8943" spans="2:2" x14ac:dyDescent="0.2">
      <c r="B8943" s="3" t="s">
        <v>257</v>
      </c>
    </row>
    <row r="8944" spans="2:2" x14ac:dyDescent="0.2">
      <c r="B8944" s="3" t="s">
        <v>257</v>
      </c>
    </row>
    <row r="8945" spans="2:2" x14ac:dyDescent="0.2">
      <c r="B8945" s="3" t="s">
        <v>257</v>
      </c>
    </row>
    <row r="8946" spans="2:2" x14ac:dyDescent="0.2">
      <c r="B8946" s="3" t="s">
        <v>257</v>
      </c>
    </row>
    <row r="8947" spans="2:2" x14ac:dyDescent="0.2">
      <c r="B8947" s="3" t="s">
        <v>257</v>
      </c>
    </row>
    <row r="8948" spans="2:2" x14ac:dyDescent="0.2">
      <c r="B8948" s="3" t="s">
        <v>257</v>
      </c>
    </row>
    <row r="8949" spans="2:2" x14ac:dyDescent="0.2">
      <c r="B8949" s="3" t="s">
        <v>257</v>
      </c>
    </row>
    <row r="8950" spans="2:2" x14ac:dyDescent="0.2">
      <c r="B8950" s="3" t="s">
        <v>257</v>
      </c>
    </row>
    <row r="8951" spans="2:2" x14ac:dyDescent="0.2">
      <c r="B8951" s="3" t="s">
        <v>257</v>
      </c>
    </row>
    <row r="8952" spans="2:2" x14ac:dyDescent="0.2">
      <c r="B8952" s="3" t="s">
        <v>257</v>
      </c>
    </row>
    <row r="8953" spans="2:2" x14ac:dyDescent="0.2">
      <c r="B8953" s="3" t="s">
        <v>257</v>
      </c>
    </row>
    <row r="8954" spans="2:2" x14ac:dyDescent="0.2">
      <c r="B8954" s="3" t="s">
        <v>257</v>
      </c>
    </row>
    <row r="8955" spans="2:2" x14ac:dyDescent="0.2">
      <c r="B8955" s="3" t="s">
        <v>257</v>
      </c>
    </row>
    <row r="8956" spans="2:2" x14ac:dyDescent="0.2">
      <c r="B8956" s="3" t="s">
        <v>257</v>
      </c>
    </row>
    <row r="8957" spans="2:2" x14ac:dyDescent="0.2">
      <c r="B8957" s="3" t="s">
        <v>257</v>
      </c>
    </row>
    <row r="8958" spans="2:2" x14ac:dyDescent="0.2">
      <c r="B8958" s="3" t="s">
        <v>257</v>
      </c>
    </row>
    <row r="8959" spans="2:2" x14ac:dyDescent="0.2">
      <c r="B8959" s="3" t="s">
        <v>257</v>
      </c>
    </row>
    <row r="8960" spans="2:2" x14ac:dyDescent="0.2">
      <c r="B8960" s="3" t="s">
        <v>257</v>
      </c>
    </row>
    <row r="8961" spans="2:2" x14ac:dyDescent="0.2">
      <c r="B8961" s="3" t="s">
        <v>257</v>
      </c>
    </row>
    <row r="8962" spans="2:2" x14ac:dyDescent="0.2">
      <c r="B8962" s="3" t="s">
        <v>257</v>
      </c>
    </row>
    <row r="8963" spans="2:2" x14ac:dyDescent="0.2">
      <c r="B8963" s="3" t="s">
        <v>257</v>
      </c>
    </row>
    <row r="8964" spans="2:2" x14ac:dyDescent="0.2">
      <c r="B8964" s="3" t="s">
        <v>257</v>
      </c>
    </row>
    <row r="8965" spans="2:2" x14ac:dyDescent="0.2">
      <c r="B8965" s="3" t="s">
        <v>257</v>
      </c>
    </row>
    <row r="8966" spans="2:2" x14ac:dyDescent="0.2">
      <c r="B8966" s="3" t="s">
        <v>257</v>
      </c>
    </row>
    <row r="8967" spans="2:2" x14ac:dyDescent="0.2">
      <c r="B8967" s="3" t="s">
        <v>257</v>
      </c>
    </row>
    <row r="8968" spans="2:2" x14ac:dyDescent="0.2">
      <c r="B8968" s="3" t="s">
        <v>257</v>
      </c>
    </row>
    <row r="8969" spans="2:2" x14ac:dyDescent="0.2">
      <c r="B8969" s="3" t="s">
        <v>257</v>
      </c>
    </row>
    <row r="8970" spans="2:2" x14ac:dyDescent="0.2">
      <c r="B8970" s="3" t="s">
        <v>257</v>
      </c>
    </row>
    <row r="8971" spans="2:2" x14ac:dyDescent="0.2">
      <c r="B8971" s="3" t="s">
        <v>257</v>
      </c>
    </row>
    <row r="8972" spans="2:2" x14ac:dyDescent="0.2">
      <c r="B8972" s="3" t="s">
        <v>257</v>
      </c>
    </row>
    <row r="8973" spans="2:2" x14ac:dyDescent="0.2">
      <c r="B8973" s="3" t="s">
        <v>257</v>
      </c>
    </row>
    <row r="8974" spans="2:2" x14ac:dyDescent="0.2">
      <c r="B8974" s="3" t="s">
        <v>257</v>
      </c>
    </row>
    <row r="8975" spans="2:2" x14ac:dyDescent="0.2">
      <c r="B8975" s="3" t="s">
        <v>257</v>
      </c>
    </row>
    <row r="8976" spans="2:2" x14ac:dyDescent="0.2">
      <c r="B8976" s="3" t="s">
        <v>257</v>
      </c>
    </row>
    <row r="8977" spans="2:2" x14ac:dyDescent="0.2">
      <c r="B8977" s="3" t="s">
        <v>257</v>
      </c>
    </row>
    <row r="8978" spans="2:2" x14ac:dyDescent="0.2">
      <c r="B8978" s="3" t="s">
        <v>257</v>
      </c>
    </row>
    <row r="8979" spans="2:2" x14ac:dyDescent="0.2">
      <c r="B8979" s="3" t="s">
        <v>257</v>
      </c>
    </row>
    <row r="8980" spans="2:2" x14ac:dyDescent="0.2">
      <c r="B8980" s="3" t="s">
        <v>257</v>
      </c>
    </row>
    <row r="8981" spans="2:2" x14ac:dyDescent="0.2">
      <c r="B8981" s="3" t="s">
        <v>257</v>
      </c>
    </row>
    <row r="8982" spans="2:2" x14ac:dyDescent="0.2">
      <c r="B8982" s="3" t="s">
        <v>257</v>
      </c>
    </row>
    <row r="8983" spans="2:2" x14ac:dyDescent="0.2">
      <c r="B8983" s="3" t="s">
        <v>257</v>
      </c>
    </row>
    <row r="8984" spans="2:2" x14ac:dyDescent="0.2">
      <c r="B8984" s="3" t="s">
        <v>257</v>
      </c>
    </row>
    <row r="8985" spans="2:2" x14ac:dyDescent="0.2">
      <c r="B8985" s="3" t="s">
        <v>257</v>
      </c>
    </row>
    <row r="8986" spans="2:2" x14ac:dyDescent="0.2">
      <c r="B8986" s="3" t="s">
        <v>257</v>
      </c>
    </row>
    <row r="8987" spans="2:2" x14ac:dyDescent="0.2">
      <c r="B8987" s="3" t="s">
        <v>257</v>
      </c>
    </row>
    <row r="8988" spans="2:2" x14ac:dyDescent="0.2">
      <c r="B8988" s="3" t="s">
        <v>257</v>
      </c>
    </row>
    <row r="8989" spans="2:2" x14ac:dyDescent="0.2">
      <c r="B8989" s="3" t="s">
        <v>257</v>
      </c>
    </row>
    <row r="8990" spans="2:2" x14ac:dyDescent="0.2">
      <c r="B8990" s="3" t="s">
        <v>257</v>
      </c>
    </row>
    <row r="8991" spans="2:2" x14ac:dyDescent="0.2">
      <c r="B8991" s="3" t="s">
        <v>257</v>
      </c>
    </row>
    <row r="8992" spans="2:2" x14ac:dyDescent="0.2">
      <c r="B8992" s="3" t="s">
        <v>257</v>
      </c>
    </row>
    <row r="8993" spans="2:2" x14ac:dyDescent="0.2">
      <c r="B8993" s="3" t="s">
        <v>257</v>
      </c>
    </row>
    <row r="8994" spans="2:2" x14ac:dyDescent="0.2">
      <c r="B8994" s="3" t="s">
        <v>257</v>
      </c>
    </row>
    <row r="8995" spans="2:2" x14ac:dyDescent="0.2">
      <c r="B8995" s="3" t="s">
        <v>257</v>
      </c>
    </row>
    <row r="8996" spans="2:2" x14ac:dyDescent="0.2">
      <c r="B8996" s="3" t="s">
        <v>257</v>
      </c>
    </row>
    <row r="8997" spans="2:2" x14ac:dyDescent="0.2">
      <c r="B8997" s="3" t="s">
        <v>257</v>
      </c>
    </row>
    <row r="8998" spans="2:2" x14ac:dyDescent="0.2">
      <c r="B8998" s="3" t="s">
        <v>257</v>
      </c>
    </row>
    <row r="8999" spans="2:2" x14ac:dyDescent="0.2">
      <c r="B8999" s="3" t="s">
        <v>257</v>
      </c>
    </row>
    <row r="9000" spans="2:2" x14ac:dyDescent="0.2">
      <c r="B9000" s="3" t="s">
        <v>257</v>
      </c>
    </row>
    <row r="9001" spans="2:2" x14ac:dyDescent="0.2">
      <c r="B9001" s="3" t="s">
        <v>257</v>
      </c>
    </row>
    <row r="9002" spans="2:2" x14ac:dyDescent="0.2">
      <c r="B9002" s="3" t="s">
        <v>257</v>
      </c>
    </row>
    <row r="9003" spans="2:2" x14ac:dyDescent="0.2">
      <c r="B9003" s="3" t="s">
        <v>257</v>
      </c>
    </row>
    <row r="9004" spans="2:2" x14ac:dyDescent="0.2">
      <c r="B9004" s="3" t="s">
        <v>257</v>
      </c>
    </row>
    <row r="9005" spans="2:2" x14ac:dyDescent="0.2">
      <c r="B9005" s="3" t="s">
        <v>257</v>
      </c>
    </row>
    <row r="9006" spans="2:2" x14ac:dyDescent="0.2">
      <c r="B9006" s="3" t="s">
        <v>257</v>
      </c>
    </row>
    <row r="9007" spans="2:2" x14ac:dyDescent="0.2">
      <c r="B9007" s="3" t="s">
        <v>257</v>
      </c>
    </row>
    <row r="9008" spans="2:2" x14ac:dyDescent="0.2">
      <c r="B9008" s="3" t="s">
        <v>257</v>
      </c>
    </row>
    <row r="9009" spans="2:2" x14ac:dyDescent="0.2">
      <c r="B9009" s="3" t="s">
        <v>257</v>
      </c>
    </row>
    <row r="9010" spans="2:2" x14ac:dyDescent="0.2">
      <c r="B9010" s="3" t="s">
        <v>257</v>
      </c>
    </row>
    <row r="9011" spans="2:2" x14ac:dyDescent="0.2">
      <c r="B9011" s="3" t="s">
        <v>257</v>
      </c>
    </row>
    <row r="9012" spans="2:2" x14ac:dyDescent="0.2">
      <c r="B9012" s="3" t="s">
        <v>257</v>
      </c>
    </row>
    <row r="9013" spans="2:2" x14ac:dyDescent="0.2">
      <c r="B9013" s="3" t="s">
        <v>257</v>
      </c>
    </row>
    <row r="9014" spans="2:2" x14ac:dyDescent="0.2">
      <c r="B9014" s="3" t="s">
        <v>257</v>
      </c>
    </row>
    <row r="9015" spans="2:2" x14ac:dyDescent="0.2">
      <c r="B9015" s="3" t="s">
        <v>257</v>
      </c>
    </row>
    <row r="9016" spans="2:2" x14ac:dyDescent="0.2">
      <c r="B9016" s="3" t="s">
        <v>257</v>
      </c>
    </row>
    <row r="9017" spans="2:2" x14ac:dyDescent="0.2">
      <c r="B9017" s="3" t="s">
        <v>257</v>
      </c>
    </row>
    <row r="9018" spans="2:2" x14ac:dyDescent="0.2">
      <c r="B9018" s="3" t="s">
        <v>257</v>
      </c>
    </row>
    <row r="9019" spans="2:2" x14ac:dyDescent="0.2">
      <c r="B9019" s="3" t="s">
        <v>257</v>
      </c>
    </row>
    <row r="9020" spans="2:2" x14ac:dyDescent="0.2">
      <c r="B9020" s="3" t="s">
        <v>257</v>
      </c>
    </row>
    <row r="9021" spans="2:2" x14ac:dyDescent="0.2">
      <c r="B9021" s="3" t="s">
        <v>257</v>
      </c>
    </row>
    <row r="9022" spans="2:2" x14ac:dyDescent="0.2">
      <c r="B9022" s="3" t="s">
        <v>257</v>
      </c>
    </row>
    <row r="9023" spans="2:2" x14ac:dyDescent="0.2">
      <c r="B9023" s="3" t="s">
        <v>257</v>
      </c>
    </row>
    <row r="9024" spans="2:2" x14ac:dyDescent="0.2">
      <c r="B9024" s="3" t="s">
        <v>257</v>
      </c>
    </row>
    <row r="9025" spans="2:2" x14ac:dyDescent="0.2">
      <c r="B9025" s="3" t="s">
        <v>257</v>
      </c>
    </row>
    <row r="9026" spans="2:2" x14ac:dyDescent="0.2">
      <c r="B9026" s="3" t="s">
        <v>257</v>
      </c>
    </row>
    <row r="9027" spans="2:2" x14ac:dyDescent="0.2">
      <c r="B9027" s="3" t="s">
        <v>257</v>
      </c>
    </row>
    <row r="9028" spans="2:2" x14ac:dyDescent="0.2">
      <c r="B9028" s="3" t="s">
        <v>257</v>
      </c>
    </row>
    <row r="9029" spans="2:2" x14ac:dyDescent="0.2">
      <c r="B9029" s="3" t="s">
        <v>257</v>
      </c>
    </row>
    <row r="9030" spans="2:2" x14ac:dyDescent="0.2">
      <c r="B9030" s="3" t="s">
        <v>257</v>
      </c>
    </row>
    <row r="9031" spans="2:2" x14ac:dyDescent="0.2">
      <c r="B9031" s="3" t="s">
        <v>257</v>
      </c>
    </row>
    <row r="9032" spans="2:2" x14ac:dyDescent="0.2">
      <c r="B9032" s="3" t="s">
        <v>257</v>
      </c>
    </row>
    <row r="9033" spans="2:2" x14ac:dyDescent="0.2">
      <c r="B9033" s="3" t="s">
        <v>257</v>
      </c>
    </row>
    <row r="9034" spans="2:2" x14ac:dyDescent="0.2">
      <c r="B9034" s="3" t="s">
        <v>257</v>
      </c>
    </row>
    <row r="9035" spans="2:2" x14ac:dyDescent="0.2">
      <c r="B9035" s="3" t="s">
        <v>257</v>
      </c>
    </row>
    <row r="9036" spans="2:2" x14ac:dyDescent="0.2">
      <c r="B9036" s="3" t="s">
        <v>257</v>
      </c>
    </row>
    <row r="9037" spans="2:2" x14ac:dyDescent="0.2">
      <c r="B9037" s="3" t="s">
        <v>257</v>
      </c>
    </row>
    <row r="9038" spans="2:2" x14ac:dyDescent="0.2">
      <c r="B9038" s="3" t="s">
        <v>257</v>
      </c>
    </row>
    <row r="9039" spans="2:2" x14ac:dyDescent="0.2">
      <c r="B9039" s="3" t="s">
        <v>257</v>
      </c>
    </row>
    <row r="9040" spans="2:2" x14ac:dyDescent="0.2">
      <c r="B9040" s="3" t="s">
        <v>257</v>
      </c>
    </row>
    <row r="9041" spans="2:2" x14ac:dyDescent="0.2">
      <c r="B9041" s="3" t="s">
        <v>257</v>
      </c>
    </row>
    <row r="9042" spans="2:2" x14ac:dyDescent="0.2">
      <c r="B9042" s="3" t="s">
        <v>257</v>
      </c>
    </row>
    <row r="9043" spans="2:2" x14ac:dyDescent="0.2">
      <c r="B9043" s="3" t="s">
        <v>257</v>
      </c>
    </row>
    <row r="9044" spans="2:2" x14ac:dyDescent="0.2">
      <c r="B9044" s="3" t="s">
        <v>257</v>
      </c>
    </row>
    <row r="9045" spans="2:2" x14ac:dyDescent="0.2">
      <c r="B9045" s="3" t="s">
        <v>257</v>
      </c>
    </row>
    <row r="9046" spans="2:2" x14ac:dyDescent="0.2">
      <c r="B9046" s="3" t="s">
        <v>257</v>
      </c>
    </row>
    <row r="9047" spans="2:2" x14ac:dyDescent="0.2">
      <c r="B9047" s="3" t="s">
        <v>257</v>
      </c>
    </row>
    <row r="9048" spans="2:2" x14ac:dyDescent="0.2">
      <c r="B9048" s="3" t="s">
        <v>257</v>
      </c>
    </row>
    <row r="9049" spans="2:2" x14ac:dyDescent="0.2">
      <c r="B9049" s="3" t="s">
        <v>257</v>
      </c>
    </row>
    <row r="9050" spans="2:2" x14ac:dyDescent="0.2">
      <c r="B9050" s="3" t="s">
        <v>257</v>
      </c>
    </row>
    <row r="9051" spans="2:2" x14ac:dyDescent="0.2">
      <c r="B9051" s="3" t="s">
        <v>257</v>
      </c>
    </row>
    <row r="9052" spans="2:2" x14ac:dyDescent="0.2">
      <c r="B9052" s="3" t="s">
        <v>257</v>
      </c>
    </row>
    <row r="9053" spans="2:2" x14ac:dyDescent="0.2">
      <c r="B9053" s="3" t="s">
        <v>257</v>
      </c>
    </row>
    <row r="9054" spans="2:2" x14ac:dyDescent="0.2">
      <c r="B9054" s="3" t="s">
        <v>257</v>
      </c>
    </row>
    <row r="9055" spans="2:2" x14ac:dyDescent="0.2">
      <c r="B9055" s="3" t="s">
        <v>257</v>
      </c>
    </row>
    <row r="9056" spans="2:2" x14ac:dyDescent="0.2">
      <c r="B9056" s="3" t="s">
        <v>257</v>
      </c>
    </row>
    <row r="9057" spans="2:2" x14ac:dyDescent="0.2">
      <c r="B9057" s="3" t="s">
        <v>257</v>
      </c>
    </row>
    <row r="9058" spans="2:2" x14ac:dyDescent="0.2">
      <c r="B9058" s="3" t="s">
        <v>257</v>
      </c>
    </row>
    <row r="9059" spans="2:2" x14ac:dyDescent="0.2">
      <c r="B9059" s="3" t="s">
        <v>257</v>
      </c>
    </row>
    <row r="9060" spans="2:2" x14ac:dyDescent="0.2">
      <c r="B9060" s="3" t="s">
        <v>257</v>
      </c>
    </row>
    <row r="9061" spans="2:2" x14ac:dyDescent="0.2">
      <c r="B9061" s="3" t="s">
        <v>257</v>
      </c>
    </row>
    <row r="9062" spans="2:2" x14ac:dyDescent="0.2">
      <c r="B9062" s="3" t="s">
        <v>257</v>
      </c>
    </row>
    <row r="9063" spans="2:2" x14ac:dyDescent="0.2">
      <c r="B9063" s="3" t="s">
        <v>257</v>
      </c>
    </row>
    <row r="9064" spans="2:2" x14ac:dyDescent="0.2">
      <c r="B9064" s="3" t="s">
        <v>257</v>
      </c>
    </row>
    <row r="9065" spans="2:2" x14ac:dyDescent="0.2">
      <c r="B9065" s="3" t="s">
        <v>257</v>
      </c>
    </row>
    <row r="9066" spans="2:2" x14ac:dyDescent="0.2">
      <c r="B9066" s="3" t="s">
        <v>257</v>
      </c>
    </row>
    <row r="9067" spans="2:2" x14ac:dyDescent="0.2">
      <c r="B9067" s="3" t="s">
        <v>257</v>
      </c>
    </row>
    <row r="9068" spans="2:2" x14ac:dyDescent="0.2">
      <c r="B9068" s="3" t="s">
        <v>257</v>
      </c>
    </row>
    <row r="9069" spans="2:2" x14ac:dyDescent="0.2">
      <c r="B9069" s="3" t="s">
        <v>257</v>
      </c>
    </row>
    <row r="9070" spans="2:2" x14ac:dyDescent="0.2">
      <c r="B9070" s="3" t="s">
        <v>257</v>
      </c>
    </row>
    <row r="9071" spans="2:2" x14ac:dyDescent="0.2">
      <c r="B9071" s="3" t="s">
        <v>257</v>
      </c>
    </row>
    <row r="9072" spans="2:2" x14ac:dyDescent="0.2">
      <c r="B9072" s="3" t="s">
        <v>257</v>
      </c>
    </row>
    <row r="9073" spans="2:2" x14ac:dyDescent="0.2">
      <c r="B9073" s="3" t="s">
        <v>257</v>
      </c>
    </row>
    <row r="9074" spans="2:2" x14ac:dyDescent="0.2">
      <c r="B9074" s="3" t="s">
        <v>257</v>
      </c>
    </row>
    <row r="9075" spans="2:2" x14ac:dyDescent="0.2">
      <c r="B9075" s="3" t="s">
        <v>257</v>
      </c>
    </row>
    <row r="9076" spans="2:2" x14ac:dyDescent="0.2">
      <c r="B9076" s="3" t="s">
        <v>257</v>
      </c>
    </row>
    <row r="9077" spans="2:2" x14ac:dyDescent="0.2">
      <c r="B9077" s="3" t="s">
        <v>257</v>
      </c>
    </row>
    <row r="9078" spans="2:2" x14ac:dyDescent="0.2">
      <c r="B9078" s="3" t="s">
        <v>257</v>
      </c>
    </row>
    <row r="9079" spans="2:2" x14ac:dyDescent="0.2">
      <c r="B9079" s="3" t="s">
        <v>257</v>
      </c>
    </row>
    <row r="9080" spans="2:2" x14ac:dyDescent="0.2">
      <c r="B9080" s="3" t="s">
        <v>257</v>
      </c>
    </row>
    <row r="9081" spans="2:2" x14ac:dyDescent="0.2">
      <c r="B9081" s="3" t="s">
        <v>257</v>
      </c>
    </row>
    <row r="9082" spans="2:2" x14ac:dyDescent="0.2">
      <c r="B9082" s="3" t="s">
        <v>257</v>
      </c>
    </row>
    <row r="9083" spans="2:2" x14ac:dyDescent="0.2">
      <c r="B9083" s="3" t="s">
        <v>257</v>
      </c>
    </row>
    <row r="9084" spans="2:2" x14ac:dyDescent="0.2">
      <c r="B9084" s="3" t="s">
        <v>257</v>
      </c>
    </row>
    <row r="9085" spans="2:2" x14ac:dyDescent="0.2">
      <c r="B9085" s="3" t="s">
        <v>257</v>
      </c>
    </row>
    <row r="9086" spans="2:2" x14ac:dyDescent="0.2">
      <c r="B9086" s="3" t="s">
        <v>257</v>
      </c>
    </row>
    <row r="9087" spans="2:2" x14ac:dyDescent="0.2">
      <c r="B9087" s="3" t="s">
        <v>257</v>
      </c>
    </row>
    <row r="9088" spans="2:2" x14ac:dyDescent="0.2">
      <c r="B9088" s="3" t="s">
        <v>257</v>
      </c>
    </row>
    <row r="9089" spans="2:2" x14ac:dyDescent="0.2">
      <c r="B9089" s="3" t="s">
        <v>257</v>
      </c>
    </row>
    <row r="9090" spans="2:2" x14ac:dyDescent="0.2">
      <c r="B9090" s="3" t="s">
        <v>257</v>
      </c>
    </row>
    <row r="9091" spans="2:2" x14ac:dyDescent="0.2">
      <c r="B9091" s="3" t="s">
        <v>257</v>
      </c>
    </row>
    <row r="9092" spans="2:2" x14ac:dyDescent="0.2">
      <c r="B9092" s="3" t="s">
        <v>257</v>
      </c>
    </row>
    <row r="9093" spans="2:2" x14ac:dyDescent="0.2">
      <c r="B9093" s="3" t="s">
        <v>257</v>
      </c>
    </row>
    <row r="9094" spans="2:2" x14ac:dyDescent="0.2">
      <c r="B9094" s="3" t="s">
        <v>257</v>
      </c>
    </row>
    <row r="9095" spans="2:2" x14ac:dyDescent="0.2">
      <c r="B9095" s="3" t="s">
        <v>257</v>
      </c>
    </row>
    <row r="9096" spans="2:2" x14ac:dyDescent="0.2">
      <c r="B9096" s="3" t="s">
        <v>257</v>
      </c>
    </row>
    <row r="9097" spans="2:2" x14ac:dyDescent="0.2">
      <c r="B9097" s="3" t="s">
        <v>257</v>
      </c>
    </row>
    <row r="9098" spans="2:2" x14ac:dyDescent="0.2">
      <c r="B9098" s="3" t="s">
        <v>257</v>
      </c>
    </row>
    <row r="9099" spans="2:2" x14ac:dyDescent="0.2">
      <c r="B9099" s="3" t="s">
        <v>257</v>
      </c>
    </row>
    <row r="9100" spans="2:2" x14ac:dyDescent="0.2">
      <c r="B9100" s="3" t="s">
        <v>257</v>
      </c>
    </row>
    <row r="9101" spans="2:2" x14ac:dyDescent="0.2">
      <c r="B9101" s="3" t="s">
        <v>257</v>
      </c>
    </row>
    <row r="9102" spans="2:2" x14ac:dyDescent="0.2">
      <c r="B9102" s="3" t="s">
        <v>257</v>
      </c>
    </row>
    <row r="9103" spans="2:2" x14ac:dyDescent="0.2">
      <c r="B9103" s="3" t="s">
        <v>257</v>
      </c>
    </row>
    <row r="9104" spans="2:2" x14ac:dyDescent="0.2">
      <c r="B9104" s="3" t="s">
        <v>257</v>
      </c>
    </row>
    <row r="9105" spans="2:2" x14ac:dyDescent="0.2">
      <c r="B9105" s="3" t="s">
        <v>257</v>
      </c>
    </row>
    <row r="9106" spans="2:2" x14ac:dyDescent="0.2">
      <c r="B9106" s="3" t="s">
        <v>257</v>
      </c>
    </row>
    <row r="9107" spans="2:2" x14ac:dyDescent="0.2">
      <c r="B9107" s="3" t="s">
        <v>257</v>
      </c>
    </row>
    <row r="9108" spans="2:2" x14ac:dyDescent="0.2">
      <c r="B9108" s="3" t="s">
        <v>257</v>
      </c>
    </row>
    <row r="9109" spans="2:2" x14ac:dyDescent="0.2">
      <c r="B9109" s="3" t="s">
        <v>257</v>
      </c>
    </row>
    <row r="9110" spans="2:2" x14ac:dyDescent="0.2">
      <c r="B9110" s="3" t="s">
        <v>257</v>
      </c>
    </row>
    <row r="9111" spans="2:2" x14ac:dyDescent="0.2">
      <c r="B9111" s="3" t="s">
        <v>257</v>
      </c>
    </row>
    <row r="9112" spans="2:2" x14ac:dyDescent="0.2">
      <c r="B9112" s="3" t="s">
        <v>257</v>
      </c>
    </row>
    <row r="9113" spans="2:2" x14ac:dyDescent="0.2">
      <c r="B9113" s="3" t="s">
        <v>257</v>
      </c>
    </row>
    <row r="9114" spans="2:2" x14ac:dyDescent="0.2">
      <c r="B9114" s="3" t="s">
        <v>257</v>
      </c>
    </row>
    <row r="9115" spans="2:2" x14ac:dyDescent="0.2">
      <c r="B9115" s="3" t="s">
        <v>257</v>
      </c>
    </row>
    <row r="9116" spans="2:2" x14ac:dyDescent="0.2">
      <c r="B9116" s="3" t="s">
        <v>257</v>
      </c>
    </row>
    <row r="9117" spans="2:2" x14ac:dyDescent="0.2">
      <c r="B9117" s="3" t="s">
        <v>257</v>
      </c>
    </row>
    <row r="9118" spans="2:2" x14ac:dyDescent="0.2">
      <c r="B9118" s="3" t="s">
        <v>257</v>
      </c>
    </row>
    <row r="9119" spans="2:2" x14ac:dyDescent="0.2">
      <c r="B9119" s="3" t="s">
        <v>257</v>
      </c>
    </row>
    <row r="9120" spans="2:2" x14ac:dyDescent="0.2">
      <c r="B9120" s="3" t="s">
        <v>257</v>
      </c>
    </row>
    <row r="9121" spans="2:2" x14ac:dyDescent="0.2">
      <c r="B9121" s="3" t="s">
        <v>257</v>
      </c>
    </row>
    <row r="9122" spans="2:2" x14ac:dyDescent="0.2">
      <c r="B9122" s="3" t="s">
        <v>257</v>
      </c>
    </row>
    <row r="9123" spans="2:2" x14ac:dyDescent="0.2">
      <c r="B9123" s="3" t="s">
        <v>257</v>
      </c>
    </row>
    <row r="9124" spans="2:2" x14ac:dyDescent="0.2">
      <c r="B9124" s="3" t="s">
        <v>257</v>
      </c>
    </row>
    <row r="9125" spans="2:2" x14ac:dyDescent="0.2">
      <c r="B9125" s="3" t="s">
        <v>257</v>
      </c>
    </row>
    <row r="9126" spans="2:2" x14ac:dyDescent="0.2">
      <c r="B9126" s="3" t="s">
        <v>257</v>
      </c>
    </row>
    <row r="9127" spans="2:2" x14ac:dyDescent="0.2">
      <c r="B9127" s="3" t="s">
        <v>257</v>
      </c>
    </row>
    <row r="9128" spans="2:2" x14ac:dyDescent="0.2">
      <c r="B9128" s="3" t="s">
        <v>257</v>
      </c>
    </row>
    <row r="9129" spans="2:2" x14ac:dyDescent="0.2">
      <c r="B9129" s="3" t="s">
        <v>257</v>
      </c>
    </row>
    <row r="9130" spans="2:2" x14ac:dyDescent="0.2">
      <c r="B9130" s="3" t="s">
        <v>257</v>
      </c>
    </row>
    <row r="9131" spans="2:2" x14ac:dyDescent="0.2">
      <c r="B9131" s="3" t="s">
        <v>257</v>
      </c>
    </row>
    <row r="9132" spans="2:2" x14ac:dyDescent="0.2">
      <c r="B9132" s="3" t="s">
        <v>257</v>
      </c>
    </row>
    <row r="9133" spans="2:2" x14ac:dyDescent="0.2">
      <c r="B9133" s="3" t="s">
        <v>257</v>
      </c>
    </row>
    <row r="9134" spans="2:2" x14ac:dyDescent="0.2">
      <c r="B9134" s="3" t="s">
        <v>257</v>
      </c>
    </row>
    <row r="9135" spans="2:2" x14ac:dyDescent="0.2">
      <c r="B9135" s="3" t="s">
        <v>257</v>
      </c>
    </row>
    <row r="9136" spans="2:2" x14ac:dyDescent="0.2">
      <c r="B9136" s="3" t="s">
        <v>257</v>
      </c>
    </row>
    <row r="9137" spans="2:2" x14ac:dyDescent="0.2">
      <c r="B9137" s="3" t="s">
        <v>257</v>
      </c>
    </row>
    <row r="9138" spans="2:2" x14ac:dyDescent="0.2">
      <c r="B9138" s="3" t="s">
        <v>257</v>
      </c>
    </row>
    <row r="9139" spans="2:2" x14ac:dyDescent="0.2">
      <c r="B9139" s="3" t="s">
        <v>257</v>
      </c>
    </row>
    <row r="9140" spans="2:2" x14ac:dyDescent="0.2">
      <c r="B9140" s="3" t="s">
        <v>257</v>
      </c>
    </row>
    <row r="9141" spans="2:2" x14ac:dyDescent="0.2">
      <c r="B9141" s="3" t="s">
        <v>257</v>
      </c>
    </row>
    <row r="9142" spans="2:2" x14ac:dyDescent="0.2">
      <c r="B9142" s="3" t="s">
        <v>257</v>
      </c>
    </row>
    <row r="9143" spans="2:2" x14ac:dyDescent="0.2">
      <c r="B9143" s="3" t="s">
        <v>257</v>
      </c>
    </row>
    <row r="9144" spans="2:2" x14ac:dyDescent="0.2">
      <c r="B9144" s="3" t="s">
        <v>257</v>
      </c>
    </row>
    <row r="9145" spans="2:2" x14ac:dyDescent="0.2">
      <c r="B9145" s="3" t="s">
        <v>257</v>
      </c>
    </row>
    <row r="9146" spans="2:2" x14ac:dyDescent="0.2">
      <c r="B9146" s="3" t="s">
        <v>257</v>
      </c>
    </row>
    <row r="9147" spans="2:2" x14ac:dyDescent="0.2">
      <c r="B9147" s="3" t="s">
        <v>257</v>
      </c>
    </row>
    <row r="9148" spans="2:2" x14ac:dyDescent="0.2">
      <c r="B9148" s="3" t="s">
        <v>257</v>
      </c>
    </row>
    <row r="9149" spans="2:2" x14ac:dyDescent="0.2">
      <c r="B9149" s="3" t="s">
        <v>257</v>
      </c>
    </row>
    <row r="9150" spans="2:2" x14ac:dyDescent="0.2">
      <c r="B9150" s="3" t="s">
        <v>257</v>
      </c>
    </row>
    <row r="9151" spans="2:2" x14ac:dyDescent="0.2">
      <c r="B9151" s="3" t="s">
        <v>257</v>
      </c>
    </row>
    <row r="9152" spans="2:2" x14ac:dyDescent="0.2">
      <c r="B9152" s="3" t="s">
        <v>257</v>
      </c>
    </row>
    <row r="9153" spans="2:2" x14ac:dyDescent="0.2">
      <c r="B9153" s="3" t="s">
        <v>257</v>
      </c>
    </row>
    <row r="9154" spans="2:2" x14ac:dyDescent="0.2">
      <c r="B9154" s="3" t="s">
        <v>257</v>
      </c>
    </row>
    <row r="9155" spans="2:2" x14ac:dyDescent="0.2">
      <c r="B9155" s="3" t="s">
        <v>257</v>
      </c>
    </row>
    <row r="9156" spans="2:2" x14ac:dyDescent="0.2">
      <c r="B9156" s="3" t="s">
        <v>257</v>
      </c>
    </row>
    <row r="9157" spans="2:2" x14ac:dyDescent="0.2">
      <c r="B9157" s="3" t="s">
        <v>257</v>
      </c>
    </row>
    <row r="9158" spans="2:2" x14ac:dyDescent="0.2">
      <c r="B9158" s="3" t="s">
        <v>257</v>
      </c>
    </row>
    <row r="9159" spans="2:2" x14ac:dyDescent="0.2">
      <c r="B9159" s="3" t="s">
        <v>257</v>
      </c>
    </row>
    <row r="9160" spans="2:2" x14ac:dyDescent="0.2">
      <c r="B9160" s="3" t="s">
        <v>257</v>
      </c>
    </row>
    <row r="9161" spans="2:2" x14ac:dyDescent="0.2">
      <c r="B9161" s="3" t="s">
        <v>257</v>
      </c>
    </row>
    <row r="9162" spans="2:2" x14ac:dyDescent="0.2">
      <c r="B9162" s="3" t="s">
        <v>257</v>
      </c>
    </row>
    <row r="9163" spans="2:2" x14ac:dyDescent="0.2">
      <c r="B9163" s="3" t="s">
        <v>257</v>
      </c>
    </row>
    <row r="9164" spans="2:2" x14ac:dyDescent="0.2">
      <c r="B9164" s="3" t="s">
        <v>257</v>
      </c>
    </row>
    <row r="9165" spans="2:2" x14ac:dyDescent="0.2">
      <c r="B9165" s="3" t="s">
        <v>257</v>
      </c>
    </row>
    <row r="9166" spans="2:2" x14ac:dyDescent="0.2">
      <c r="B9166" s="3" t="s">
        <v>257</v>
      </c>
    </row>
    <row r="9167" spans="2:2" x14ac:dyDescent="0.2">
      <c r="B9167" s="3" t="s">
        <v>257</v>
      </c>
    </row>
    <row r="9168" spans="2:2" x14ac:dyDescent="0.2">
      <c r="B9168" s="3" t="s">
        <v>257</v>
      </c>
    </row>
    <row r="9169" spans="2:2" x14ac:dyDescent="0.2">
      <c r="B9169" s="3" t="s">
        <v>257</v>
      </c>
    </row>
    <row r="9170" spans="2:2" x14ac:dyDescent="0.2">
      <c r="B9170" s="3" t="s">
        <v>257</v>
      </c>
    </row>
    <row r="9171" spans="2:2" x14ac:dyDescent="0.2">
      <c r="B9171" s="3" t="s">
        <v>257</v>
      </c>
    </row>
    <row r="9172" spans="2:2" x14ac:dyDescent="0.2">
      <c r="B9172" s="3" t="s">
        <v>257</v>
      </c>
    </row>
    <row r="9173" spans="2:2" x14ac:dyDescent="0.2">
      <c r="B9173" s="3" t="s">
        <v>257</v>
      </c>
    </row>
    <row r="9174" spans="2:2" x14ac:dyDescent="0.2">
      <c r="B9174" s="3" t="s">
        <v>257</v>
      </c>
    </row>
    <row r="9175" spans="2:2" x14ac:dyDescent="0.2">
      <c r="B9175" s="3" t="s">
        <v>257</v>
      </c>
    </row>
    <row r="9176" spans="2:2" x14ac:dyDescent="0.2">
      <c r="B9176" s="3" t="s">
        <v>257</v>
      </c>
    </row>
    <row r="9177" spans="2:2" x14ac:dyDescent="0.2">
      <c r="B9177" s="3" t="s">
        <v>257</v>
      </c>
    </row>
    <row r="9178" spans="2:2" x14ac:dyDescent="0.2">
      <c r="B9178" s="3" t="s">
        <v>257</v>
      </c>
    </row>
    <row r="9179" spans="2:2" x14ac:dyDescent="0.2">
      <c r="B9179" s="3" t="s">
        <v>257</v>
      </c>
    </row>
    <row r="9180" spans="2:2" x14ac:dyDescent="0.2">
      <c r="B9180" s="3" t="s">
        <v>257</v>
      </c>
    </row>
    <row r="9181" spans="2:2" x14ac:dyDescent="0.2">
      <c r="B9181" s="3" t="s">
        <v>257</v>
      </c>
    </row>
    <row r="9182" spans="2:2" x14ac:dyDescent="0.2">
      <c r="B9182" s="3" t="s">
        <v>257</v>
      </c>
    </row>
    <row r="9183" spans="2:2" x14ac:dyDescent="0.2">
      <c r="B9183" s="3" t="s">
        <v>257</v>
      </c>
    </row>
    <row r="9184" spans="2:2" x14ac:dyDescent="0.2">
      <c r="B9184" s="3" t="s">
        <v>257</v>
      </c>
    </row>
    <row r="9185" spans="2:2" x14ac:dyDescent="0.2">
      <c r="B9185" s="3" t="s">
        <v>257</v>
      </c>
    </row>
    <row r="9186" spans="2:2" x14ac:dyDescent="0.2">
      <c r="B9186" s="3" t="s">
        <v>257</v>
      </c>
    </row>
    <row r="9187" spans="2:2" x14ac:dyDescent="0.2">
      <c r="B9187" s="3" t="s">
        <v>257</v>
      </c>
    </row>
    <row r="9188" spans="2:2" x14ac:dyDescent="0.2">
      <c r="B9188" s="3" t="s">
        <v>257</v>
      </c>
    </row>
    <row r="9189" spans="2:2" x14ac:dyDescent="0.2">
      <c r="B9189" s="3" t="s">
        <v>257</v>
      </c>
    </row>
    <row r="9190" spans="2:2" x14ac:dyDescent="0.2">
      <c r="B9190" s="3" t="s">
        <v>257</v>
      </c>
    </row>
    <row r="9191" spans="2:2" x14ac:dyDescent="0.2">
      <c r="B9191" s="3" t="s">
        <v>257</v>
      </c>
    </row>
    <row r="9192" spans="2:2" x14ac:dyDescent="0.2">
      <c r="B9192" s="3" t="s">
        <v>257</v>
      </c>
    </row>
    <row r="9193" spans="2:2" x14ac:dyDescent="0.2">
      <c r="B9193" s="3" t="s">
        <v>257</v>
      </c>
    </row>
    <row r="9194" spans="2:2" x14ac:dyDescent="0.2">
      <c r="B9194" s="3" t="s">
        <v>257</v>
      </c>
    </row>
    <row r="9195" spans="2:2" x14ac:dyDescent="0.2">
      <c r="B9195" s="3" t="s">
        <v>257</v>
      </c>
    </row>
    <row r="9196" spans="2:2" x14ac:dyDescent="0.2">
      <c r="B9196" s="3" t="s">
        <v>257</v>
      </c>
    </row>
    <row r="9197" spans="2:2" x14ac:dyDescent="0.2">
      <c r="B9197" s="3" t="s">
        <v>257</v>
      </c>
    </row>
    <row r="9198" spans="2:2" x14ac:dyDescent="0.2">
      <c r="B9198" s="3" t="s">
        <v>257</v>
      </c>
    </row>
    <row r="9199" spans="2:2" x14ac:dyDescent="0.2">
      <c r="B9199" s="3" t="s">
        <v>257</v>
      </c>
    </row>
    <row r="9200" spans="2:2" x14ac:dyDescent="0.2">
      <c r="B9200" s="3" t="s">
        <v>257</v>
      </c>
    </row>
    <row r="9201" spans="2:2" x14ac:dyDescent="0.2">
      <c r="B9201" s="3" t="s">
        <v>257</v>
      </c>
    </row>
    <row r="9202" spans="2:2" x14ac:dyDescent="0.2">
      <c r="B9202" s="3" t="s">
        <v>257</v>
      </c>
    </row>
    <row r="9203" spans="2:2" x14ac:dyDescent="0.2">
      <c r="B9203" s="3" t="s">
        <v>257</v>
      </c>
    </row>
    <row r="9204" spans="2:2" x14ac:dyDescent="0.2">
      <c r="B9204" s="3" t="s">
        <v>257</v>
      </c>
    </row>
    <row r="9205" spans="2:2" x14ac:dyDescent="0.2">
      <c r="B9205" s="3" t="s">
        <v>257</v>
      </c>
    </row>
    <row r="9206" spans="2:2" x14ac:dyDescent="0.2">
      <c r="B9206" s="3" t="s">
        <v>257</v>
      </c>
    </row>
    <row r="9207" spans="2:2" x14ac:dyDescent="0.2">
      <c r="B9207" s="3" t="s">
        <v>257</v>
      </c>
    </row>
    <row r="9208" spans="2:2" x14ac:dyDescent="0.2">
      <c r="B9208" s="3" t="s">
        <v>257</v>
      </c>
    </row>
    <row r="9209" spans="2:2" x14ac:dyDescent="0.2">
      <c r="B9209" s="3" t="s">
        <v>257</v>
      </c>
    </row>
    <row r="9210" spans="2:2" x14ac:dyDescent="0.2">
      <c r="B9210" s="3" t="s">
        <v>257</v>
      </c>
    </row>
    <row r="9211" spans="2:2" x14ac:dyDescent="0.2">
      <c r="B9211" s="3" t="s">
        <v>257</v>
      </c>
    </row>
    <row r="9212" spans="2:2" x14ac:dyDescent="0.2">
      <c r="B9212" s="3" t="s">
        <v>257</v>
      </c>
    </row>
    <row r="9213" spans="2:2" x14ac:dyDescent="0.2">
      <c r="B9213" s="3" t="s">
        <v>257</v>
      </c>
    </row>
    <row r="9214" spans="2:2" x14ac:dyDescent="0.2">
      <c r="B9214" s="3" t="s">
        <v>257</v>
      </c>
    </row>
    <row r="9215" spans="2:2" x14ac:dyDescent="0.2">
      <c r="B9215" s="3" t="s">
        <v>257</v>
      </c>
    </row>
    <row r="9216" spans="2:2" x14ac:dyDescent="0.2">
      <c r="B9216" s="3" t="s">
        <v>257</v>
      </c>
    </row>
    <row r="9217" spans="2:2" x14ac:dyDescent="0.2">
      <c r="B9217" s="3" t="s">
        <v>257</v>
      </c>
    </row>
    <row r="9218" spans="2:2" x14ac:dyDescent="0.2">
      <c r="B9218" s="3" t="s">
        <v>257</v>
      </c>
    </row>
    <row r="9219" spans="2:2" x14ac:dyDescent="0.2">
      <c r="B9219" s="3" t="s">
        <v>257</v>
      </c>
    </row>
    <row r="9220" spans="2:2" x14ac:dyDescent="0.2">
      <c r="B9220" s="3" t="s">
        <v>257</v>
      </c>
    </row>
    <row r="9221" spans="2:2" x14ac:dyDescent="0.2">
      <c r="B9221" s="3" t="s">
        <v>257</v>
      </c>
    </row>
    <row r="9222" spans="2:2" x14ac:dyDescent="0.2">
      <c r="B9222" s="3" t="s">
        <v>257</v>
      </c>
    </row>
    <row r="9223" spans="2:2" x14ac:dyDescent="0.2">
      <c r="B9223" s="3" t="s">
        <v>257</v>
      </c>
    </row>
    <row r="9224" spans="2:2" x14ac:dyDescent="0.2">
      <c r="B9224" s="3" t="s">
        <v>257</v>
      </c>
    </row>
    <row r="9225" spans="2:2" x14ac:dyDescent="0.2">
      <c r="B9225" s="3" t="s">
        <v>257</v>
      </c>
    </row>
    <row r="9226" spans="2:2" x14ac:dyDescent="0.2">
      <c r="B9226" s="3" t="s">
        <v>257</v>
      </c>
    </row>
    <row r="9227" spans="2:2" x14ac:dyDescent="0.2">
      <c r="B9227" s="3" t="s">
        <v>257</v>
      </c>
    </row>
    <row r="9228" spans="2:2" x14ac:dyDescent="0.2">
      <c r="B9228" s="3" t="s">
        <v>257</v>
      </c>
    </row>
    <row r="9229" spans="2:2" x14ac:dyDescent="0.2">
      <c r="B9229" s="3" t="s">
        <v>257</v>
      </c>
    </row>
    <row r="9230" spans="2:2" x14ac:dyDescent="0.2">
      <c r="B9230" s="3" t="s">
        <v>257</v>
      </c>
    </row>
    <row r="9231" spans="2:2" x14ac:dyDescent="0.2">
      <c r="B9231" s="3" t="s">
        <v>257</v>
      </c>
    </row>
    <row r="9232" spans="2:2" x14ac:dyDescent="0.2">
      <c r="B9232" s="3" t="s">
        <v>257</v>
      </c>
    </row>
    <row r="9233" spans="2:2" x14ac:dyDescent="0.2">
      <c r="B9233" s="3" t="s">
        <v>257</v>
      </c>
    </row>
    <row r="9234" spans="2:2" x14ac:dyDescent="0.2">
      <c r="B9234" s="3" t="s">
        <v>257</v>
      </c>
    </row>
    <row r="9235" spans="2:2" x14ac:dyDescent="0.2">
      <c r="B9235" s="3" t="s">
        <v>257</v>
      </c>
    </row>
    <row r="9236" spans="2:2" x14ac:dyDescent="0.2">
      <c r="B9236" s="3" t="s">
        <v>257</v>
      </c>
    </row>
    <row r="9237" spans="2:2" x14ac:dyDescent="0.2">
      <c r="B9237" s="3" t="s">
        <v>257</v>
      </c>
    </row>
    <row r="9238" spans="2:2" x14ac:dyDescent="0.2">
      <c r="B9238" s="3" t="s">
        <v>257</v>
      </c>
    </row>
    <row r="9239" spans="2:2" x14ac:dyDescent="0.2">
      <c r="B9239" s="3" t="s">
        <v>257</v>
      </c>
    </row>
    <row r="9240" spans="2:2" x14ac:dyDescent="0.2">
      <c r="B9240" s="3" t="s">
        <v>257</v>
      </c>
    </row>
    <row r="9241" spans="2:2" x14ac:dyDescent="0.2">
      <c r="B9241" s="3" t="s">
        <v>257</v>
      </c>
    </row>
    <row r="9242" spans="2:2" x14ac:dyDescent="0.2">
      <c r="B9242" s="3" t="s">
        <v>257</v>
      </c>
    </row>
    <row r="9243" spans="2:2" x14ac:dyDescent="0.2">
      <c r="B9243" s="3" t="s">
        <v>257</v>
      </c>
    </row>
    <row r="9244" spans="2:2" x14ac:dyDescent="0.2">
      <c r="B9244" s="3" t="s">
        <v>257</v>
      </c>
    </row>
    <row r="9245" spans="2:2" x14ac:dyDescent="0.2">
      <c r="B9245" s="3" t="s">
        <v>257</v>
      </c>
    </row>
    <row r="9246" spans="2:2" x14ac:dyDescent="0.2">
      <c r="B9246" s="3" t="s">
        <v>257</v>
      </c>
    </row>
    <row r="9247" spans="2:2" x14ac:dyDescent="0.2">
      <c r="B9247" s="3" t="s">
        <v>257</v>
      </c>
    </row>
    <row r="9248" spans="2:2" x14ac:dyDescent="0.2">
      <c r="B9248" s="3" t="s">
        <v>257</v>
      </c>
    </row>
    <row r="9249" spans="2:2" x14ac:dyDescent="0.2">
      <c r="B9249" s="3" t="s">
        <v>257</v>
      </c>
    </row>
    <row r="9250" spans="2:2" x14ac:dyDescent="0.2">
      <c r="B9250" s="3" t="s">
        <v>257</v>
      </c>
    </row>
    <row r="9251" spans="2:2" x14ac:dyDescent="0.2">
      <c r="B9251" s="3" t="s">
        <v>257</v>
      </c>
    </row>
    <row r="9252" spans="2:2" x14ac:dyDescent="0.2">
      <c r="B9252" s="3" t="s">
        <v>257</v>
      </c>
    </row>
    <row r="9253" spans="2:2" x14ac:dyDescent="0.2">
      <c r="B9253" s="3" t="s">
        <v>257</v>
      </c>
    </row>
    <row r="9254" spans="2:2" x14ac:dyDescent="0.2">
      <c r="B9254" s="3" t="s">
        <v>257</v>
      </c>
    </row>
    <row r="9255" spans="2:2" x14ac:dyDescent="0.2">
      <c r="B9255" s="3" t="s">
        <v>257</v>
      </c>
    </row>
    <row r="9256" spans="2:2" x14ac:dyDescent="0.2">
      <c r="B9256" s="3" t="s">
        <v>257</v>
      </c>
    </row>
    <row r="9257" spans="2:2" x14ac:dyDescent="0.2">
      <c r="B9257" s="3" t="s">
        <v>257</v>
      </c>
    </row>
    <row r="9258" spans="2:2" x14ac:dyDescent="0.2">
      <c r="B9258" s="3" t="s">
        <v>257</v>
      </c>
    </row>
    <row r="9259" spans="2:2" x14ac:dyDescent="0.2">
      <c r="B9259" s="3" t="s">
        <v>257</v>
      </c>
    </row>
    <row r="9260" spans="2:2" x14ac:dyDescent="0.2">
      <c r="B9260" s="3" t="s">
        <v>257</v>
      </c>
    </row>
    <row r="9261" spans="2:2" x14ac:dyDescent="0.2">
      <c r="B9261" s="3" t="s">
        <v>257</v>
      </c>
    </row>
    <row r="9262" spans="2:2" x14ac:dyDescent="0.2">
      <c r="B9262" s="3" t="s">
        <v>257</v>
      </c>
    </row>
    <row r="9263" spans="2:2" x14ac:dyDescent="0.2">
      <c r="B9263" s="3" t="s">
        <v>257</v>
      </c>
    </row>
    <row r="9264" spans="2:2" x14ac:dyDescent="0.2">
      <c r="B9264" s="3" t="s">
        <v>257</v>
      </c>
    </row>
    <row r="9265" spans="2:2" x14ac:dyDescent="0.2">
      <c r="B9265" s="3" t="s">
        <v>257</v>
      </c>
    </row>
    <row r="9266" spans="2:2" x14ac:dyDescent="0.2">
      <c r="B9266" s="3" t="s">
        <v>257</v>
      </c>
    </row>
    <row r="9267" spans="2:2" x14ac:dyDescent="0.2">
      <c r="B9267" s="3" t="s">
        <v>257</v>
      </c>
    </row>
    <row r="9268" spans="2:2" x14ac:dyDescent="0.2">
      <c r="B9268" s="3" t="s">
        <v>257</v>
      </c>
    </row>
    <row r="9269" spans="2:2" x14ac:dyDescent="0.2">
      <c r="B9269" s="3" t="s">
        <v>257</v>
      </c>
    </row>
    <row r="9270" spans="2:2" x14ac:dyDescent="0.2">
      <c r="B9270" s="3" t="s">
        <v>257</v>
      </c>
    </row>
    <row r="9271" spans="2:2" x14ac:dyDescent="0.2">
      <c r="B9271" s="3" t="s">
        <v>257</v>
      </c>
    </row>
    <row r="9272" spans="2:2" x14ac:dyDescent="0.2">
      <c r="B9272" s="3" t="s">
        <v>257</v>
      </c>
    </row>
    <row r="9273" spans="2:2" x14ac:dyDescent="0.2">
      <c r="B9273" s="3" t="s">
        <v>257</v>
      </c>
    </row>
    <row r="9274" spans="2:2" x14ac:dyDescent="0.2">
      <c r="B9274" s="3" t="s">
        <v>257</v>
      </c>
    </row>
    <row r="9275" spans="2:2" x14ac:dyDescent="0.2">
      <c r="B9275" s="3" t="s">
        <v>257</v>
      </c>
    </row>
    <row r="9276" spans="2:2" x14ac:dyDescent="0.2">
      <c r="B9276" s="3" t="s">
        <v>257</v>
      </c>
    </row>
    <row r="9277" spans="2:2" x14ac:dyDescent="0.2">
      <c r="B9277" s="3" t="s">
        <v>257</v>
      </c>
    </row>
    <row r="9278" spans="2:2" x14ac:dyDescent="0.2">
      <c r="B9278" s="3" t="s">
        <v>257</v>
      </c>
    </row>
    <row r="9279" spans="2:2" x14ac:dyDescent="0.2">
      <c r="B9279" s="3" t="s">
        <v>257</v>
      </c>
    </row>
    <row r="9280" spans="2:2" x14ac:dyDescent="0.2">
      <c r="B9280" s="3" t="s">
        <v>257</v>
      </c>
    </row>
    <row r="9281" spans="2:2" x14ac:dyDescent="0.2">
      <c r="B9281" s="3" t="s">
        <v>257</v>
      </c>
    </row>
    <row r="9282" spans="2:2" x14ac:dyDescent="0.2">
      <c r="B9282" s="3" t="s">
        <v>257</v>
      </c>
    </row>
    <row r="9283" spans="2:2" x14ac:dyDescent="0.2">
      <c r="B9283" s="3" t="s">
        <v>257</v>
      </c>
    </row>
    <row r="9284" spans="2:2" x14ac:dyDescent="0.2">
      <c r="B9284" s="3" t="s">
        <v>257</v>
      </c>
    </row>
    <row r="9285" spans="2:2" x14ac:dyDescent="0.2">
      <c r="B9285" s="3" t="s">
        <v>257</v>
      </c>
    </row>
    <row r="9286" spans="2:2" x14ac:dyDescent="0.2">
      <c r="B9286" s="3" t="s">
        <v>257</v>
      </c>
    </row>
    <row r="9287" spans="2:2" x14ac:dyDescent="0.2">
      <c r="B9287" s="3" t="s">
        <v>257</v>
      </c>
    </row>
    <row r="9288" spans="2:2" x14ac:dyDescent="0.2">
      <c r="B9288" s="3" t="s">
        <v>257</v>
      </c>
    </row>
    <row r="9289" spans="2:2" x14ac:dyDescent="0.2">
      <c r="B9289" s="3" t="s">
        <v>257</v>
      </c>
    </row>
    <row r="9290" spans="2:2" x14ac:dyDescent="0.2">
      <c r="B9290" s="3" t="s">
        <v>257</v>
      </c>
    </row>
    <row r="9291" spans="2:2" x14ac:dyDescent="0.2">
      <c r="B9291" s="3" t="s">
        <v>257</v>
      </c>
    </row>
    <row r="9292" spans="2:2" x14ac:dyDescent="0.2">
      <c r="B9292" s="3" t="s">
        <v>257</v>
      </c>
    </row>
    <row r="9293" spans="2:2" x14ac:dyDescent="0.2">
      <c r="B9293" s="3" t="s">
        <v>257</v>
      </c>
    </row>
    <row r="9294" spans="2:2" x14ac:dyDescent="0.2">
      <c r="B9294" s="3" t="s">
        <v>257</v>
      </c>
    </row>
    <row r="9295" spans="2:2" x14ac:dyDescent="0.2">
      <c r="B9295" s="3" t="s">
        <v>257</v>
      </c>
    </row>
    <row r="9296" spans="2:2" x14ac:dyDescent="0.2">
      <c r="B9296" s="3" t="s">
        <v>257</v>
      </c>
    </row>
    <row r="9297" spans="2:2" x14ac:dyDescent="0.2">
      <c r="B9297" s="3" t="s">
        <v>257</v>
      </c>
    </row>
    <row r="9298" spans="2:2" x14ac:dyDescent="0.2">
      <c r="B9298" s="3" t="s">
        <v>257</v>
      </c>
    </row>
    <row r="9299" spans="2:2" x14ac:dyDescent="0.2">
      <c r="B9299" s="3" t="s">
        <v>257</v>
      </c>
    </row>
    <row r="9300" spans="2:2" x14ac:dyDescent="0.2">
      <c r="B9300" s="3" t="s">
        <v>257</v>
      </c>
    </row>
    <row r="9301" spans="2:2" x14ac:dyDescent="0.2">
      <c r="B9301" s="3" t="s">
        <v>257</v>
      </c>
    </row>
    <row r="9302" spans="2:2" x14ac:dyDescent="0.2">
      <c r="B9302" s="3" t="s">
        <v>257</v>
      </c>
    </row>
    <row r="9303" spans="2:2" x14ac:dyDescent="0.2">
      <c r="B9303" s="3" t="s">
        <v>257</v>
      </c>
    </row>
    <row r="9304" spans="2:2" x14ac:dyDescent="0.2">
      <c r="B9304" s="3" t="s">
        <v>257</v>
      </c>
    </row>
    <row r="9305" spans="2:2" x14ac:dyDescent="0.2">
      <c r="B9305" s="3" t="s">
        <v>257</v>
      </c>
    </row>
    <row r="9306" spans="2:2" x14ac:dyDescent="0.2">
      <c r="B9306" s="3" t="s">
        <v>257</v>
      </c>
    </row>
    <row r="9307" spans="2:2" x14ac:dyDescent="0.2">
      <c r="B9307" s="3" t="s">
        <v>257</v>
      </c>
    </row>
    <row r="9308" spans="2:2" x14ac:dyDescent="0.2">
      <c r="B9308" s="3" t="s">
        <v>257</v>
      </c>
    </row>
    <row r="9309" spans="2:2" x14ac:dyDescent="0.2">
      <c r="B9309" s="3" t="s">
        <v>257</v>
      </c>
    </row>
    <row r="9310" spans="2:2" x14ac:dyDescent="0.2">
      <c r="B9310" s="3" t="s">
        <v>257</v>
      </c>
    </row>
    <row r="9311" spans="2:2" x14ac:dyDescent="0.2">
      <c r="B9311" s="3" t="s">
        <v>257</v>
      </c>
    </row>
    <row r="9312" spans="2:2" x14ac:dyDescent="0.2">
      <c r="B9312" s="3" t="s">
        <v>257</v>
      </c>
    </row>
    <row r="9313" spans="2:2" x14ac:dyDescent="0.2">
      <c r="B9313" s="3" t="s">
        <v>257</v>
      </c>
    </row>
    <row r="9314" spans="2:2" x14ac:dyDescent="0.2">
      <c r="B9314" s="3" t="s">
        <v>257</v>
      </c>
    </row>
    <row r="9315" spans="2:2" x14ac:dyDescent="0.2">
      <c r="B9315" s="3" t="s">
        <v>257</v>
      </c>
    </row>
    <row r="9316" spans="2:2" x14ac:dyDescent="0.2">
      <c r="B9316" s="3" t="s">
        <v>257</v>
      </c>
    </row>
    <row r="9317" spans="2:2" x14ac:dyDescent="0.2">
      <c r="B9317" s="3" t="s">
        <v>257</v>
      </c>
    </row>
    <row r="9318" spans="2:2" x14ac:dyDescent="0.2">
      <c r="B9318" s="3" t="s">
        <v>257</v>
      </c>
    </row>
    <row r="9319" spans="2:2" x14ac:dyDescent="0.2">
      <c r="B9319" s="3" t="s">
        <v>257</v>
      </c>
    </row>
    <row r="9320" spans="2:2" x14ac:dyDescent="0.2">
      <c r="B9320" s="3" t="s">
        <v>257</v>
      </c>
    </row>
    <row r="9321" spans="2:2" x14ac:dyDescent="0.2">
      <c r="B9321" s="3" t="s">
        <v>257</v>
      </c>
    </row>
    <row r="9322" spans="2:2" x14ac:dyDescent="0.2">
      <c r="B9322" s="3" t="s">
        <v>257</v>
      </c>
    </row>
    <row r="9323" spans="2:2" x14ac:dyDescent="0.2">
      <c r="B9323" s="3" t="s">
        <v>257</v>
      </c>
    </row>
    <row r="9324" spans="2:2" x14ac:dyDescent="0.2">
      <c r="B9324" s="3" t="s">
        <v>257</v>
      </c>
    </row>
    <row r="9325" spans="2:2" x14ac:dyDescent="0.2">
      <c r="B9325" s="3" t="s">
        <v>257</v>
      </c>
    </row>
    <row r="9326" spans="2:2" x14ac:dyDescent="0.2">
      <c r="B9326" s="3" t="s">
        <v>257</v>
      </c>
    </row>
    <row r="9327" spans="2:2" x14ac:dyDescent="0.2">
      <c r="B9327" s="3" t="s">
        <v>257</v>
      </c>
    </row>
    <row r="9328" spans="2:2" x14ac:dyDescent="0.2">
      <c r="B9328" s="3" t="s">
        <v>257</v>
      </c>
    </row>
    <row r="9329" spans="2:2" x14ac:dyDescent="0.2">
      <c r="B9329" s="3" t="s">
        <v>257</v>
      </c>
    </row>
    <row r="9330" spans="2:2" x14ac:dyDescent="0.2">
      <c r="B9330" s="3" t="s">
        <v>257</v>
      </c>
    </row>
    <row r="9331" spans="2:2" x14ac:dyDescent="0.2">
      <c r="B9331" s="3" t="s">
        <v>257</v>
      </c>
    </row>
    <row r="9332" spans="2:2" x14ac:dyDescent="0.2">
      <c r="B9332" s="3" t="s">
        <v>257</v>
      </c>
    </row>
    <row r="9333" spans="2:2" x14ac:dyDescent="0.2">
      <c r="B9333" s="3" t="s">
        <v>257</v>
      </c>
    </row>
    <row r="9334" spans="2:2" x14ac:dyDescent="0.2">
      <c r="B9334" s="3" t="s">
        <v>257</v>
      </c>
    </row>
    <row r="9335" spans="2:2" x14ac:dyDescent="0.2">
      <c r="B9335" s="3" t="s">
        <v>257</v>
      </c>
    </row>
    <row r="9336" spans="2:2" x14ac:dyDescent="0.2">
      <c r="B9336" s="3" t="s">
        <v>257</v>
      </c>
    </row>
    <row r="9337" spans="2:2" x14ac:dyDescent="0.2">
      <c r="B9337" s="3" t="s">
        <v>257</v>
      </c>
    </row>
    <row r="9338" spans="2:2" x14ac:dyDescent="0.2">
      <c r="B9338" s="3" t="s">
        <v>257</v>
      </c>
    </row>
    <row r="9339" spans="2:2" x14ac:dyDescent="0.2">
      <c r="B9339" s="3" t="s">
        <v>257</v>
      </c>
    </row>
    <row r="9340" spans="2:2" x14ac:dyDescent="0.2">
      <c r="B9340" s="3" t="s">
        <v>257</v>
      </c>
    </row>
    <row r="9341" spans="2:2" x14ac:dyDescent="0.2">
      <c r="B9341" s="3" t="s">
        <v>257</v>
      </c>
    </row>
    <row r="9342" spans="2:2" x14ac:dyDescent="0.2">
      <c r="B9342" s="3" t="s">
        <v>257</v>
      </c>
    </row>
    <row r="9343" spans="2:2" x14ac:dyDescent="0.2">
      <c r="B9343" s="3" t="s">
        <v>257</v>
      </c>
    </row>
    <row r="9344" spans="2:2" x14ac:dyDescent="0.2">
      <c r="B9344" s="3" t="s">
        <v>257</v>
      </c>
    </row>
    <row r="9345" spans="2:2" x14ac:dyDescent="0.2">
      <c r="B9345" s="3" t="s">
        <v>257</v>
      </c>
    </row>
    <row r="9346" spans="2:2" x14ac:dyDescent="0.2">
      <c r="B9346" s="3" t="s">
        <v>257</v>
      </c>
    </row>
    <row r="9347" spans="2:2" x14ac:dyDescent="0.2">
      <c r="B9347" s="3" t="s">
        <v>257</v>
      </c>
    </row>
    <row r="9348" spans="2:2" x14ac:dyDescent="0.2">
      <c r="B9348" s="3" t="s">
        <v>257</v>
      </c>
    </row>
    <row r="9349" spans="2:2" x14ac:dyDescent="0.2">
      <c r="B9349" s="3" t="s">
        <v>257</v>
      </c>
    </row>
    <row r="9350" spans="2:2" x14ac:dyDescent="0.2">
      <c r="B9350" s="3" t="s">
        <v>257</v>
      </c>
    </row>
    <row r="9351" spans="2:2" x14ac:dyDescent="0.2">
      <c r="B9351" s="3" t="s">
        <v>257</v>
      </c>
    </row>
    <row r="9352" spans="2:2" x14ac:dyDescent="0.2">
      <c r="B9352" s="3" t="s">
        <v>257</v>
      </c>
    </row>
    <row r="9353" spans="2:2" x14ac:dyDescent="0.2">
      <c r="B9353" s="3" t="s">
        <v>257</v>
      </c>
    </row>
    <row r="9354" spans="2:2" x14ac:dyDescent="0.2">
      <c r="B9354" s="3" t="s">
        <v>257</v>
      </c>
    </row>
    <row r="9355" spans="2:2" x14ac:dyDescent="0.2">
      <c r="B9355" s="3" t="s">
        <v>257</v>
      </c>
    </row>
    <row r="9356" spans="2:2" x14ac:dyDescent="0.2">
      <c r="B9356" s="3" t="s">
        <v>257</v>
      </c>
    </row>
    <row r="9357" spans="2:2" x14ac:dyDescent="0.2">
      <c r="B9357" s="3" t="s">
        <v>257</v>
      </c>
    </row>
    <row r="9358" spans="2:2" x14ac:dyDescent="0.2">
      <c r="B9358" s="3" t="s">
        <v>257</v>
      </c>
    </row>
    <row r="9359" spans="2:2" x14ac:dyDescent="0.2">
      <c r="B9359" s="3" t="s">
        <v>257</v>
      </c>
    </row>
    <row r="9360" spans="2:2" x14ac:dyDescent="0.2">
      <c r="B9360" s="3" t="s">
        <v>257</v>
      </c>
    </row>
    <row r="9361" spans="2:2" x14ac:dyDescent="0.2">
      <c r="B9361" s="3" t="s">
        <v>257</v>
      </c>
    </row>
    <row r="9362" spans="2:2" x14ac:dyDescent="0.2">
      <c r="B9362" s="3" t="s">
        <v>257</v>
      </c>
    </row>
    <row r="9363" spans="2:2" x14ac:dyDescent="0.2">
      <c r="B9363" s="3" t="s">
        <v>257</v>
      </c>
    </row>
    <row r="9364" spans="2:2" x14ac:dyDescent="0.2">
      <c r="B9364" s="3" t="s">
        <v>257</v>
      </c>
    </row>
    <row r="9365" spans="2:2" x14ac:dyDescent="0.2">
      <c r="B9365" s="3" t="s">
        <v>257</v>
      </c>
    </row>
    <row r="9366" spans="2:2" x14ac:dyDescent="0.2">
      <c r="B9366" s="3" t="s">
        <v>257</v>
      </c>
    </row>
    <row r="9367" spans="2:2" x14ac:dyDescent="0.2">
      <c r="B9367" s="3" t="s">
        <v>257</v>
      </c>
    </row>
    <row r="9368" spans="2:2" x14ac:dyDescent="0.2">
      <c r="B9368" s="3" t="s">
        <v>257</v>
      </c>
    </row>
    <row r="9369" spans="2:2" x14ac:dyDescent="0.2">
      <c r="B9369" s="3" t="s">
        <v>257</v>
      </c>
    </row>
    <row r="9370" spans="2:2" x14ac:dyDescent="0.2">
      <c r="B9370" s="3" t="s">
        <v>257</v>
      </c>
    </row>
    <row r="9371" spans="2:2" x14ac:dyDescent="0.2">
      <c r="B9371" s="3" t="s">
        <v>257</v>
      </c>
    </row>
    <row r="9372" spans="2:2" x14ac:dyDescent="0.2">
      <c r="B9372" s="3" t="s">
        <v>257</v>
      </c>
    </row>
    <row r="9373" spans="2:2" x14ac:dyDescent="0.2">
      <c r="B9373" s="3" t="s">
        <v>257</v>
      </c>
    </row>
    <row r="9374" spans="2:2" x14ac:dyDescent="0.2">
      <c r="B9374" s="3" t="s">
        <v>257</v>
      </c>
    </row>
    <row r="9375" spans="2:2" x14ac:dyDescent="0.2">
      <c r="B9375" s="3" t="s">
        <v>257</v>
      </c>
    </row>
    <row r="9376" spans="2:2" x14ac:dyDescent="0.2">
      <c r="B9376" s="3" t="s">
        <v>257</v>
      </c>
    </row>
    <row r="9377" spans="2:2" x14ac:dyDescent="0.2">
      <c r="B9377" s="3" t="s">
        <v>257</v>
      </c>
    </row>
    <row r="9378" spans="2:2" x14ac:dyDescent="0.2">
      <c r="B9378" s="3" t="s">
        <v>257</v>
      </c>
    </row>
    <row r="9379" spans="2:2" x14ac:dyDescent="0.2">
      <c r="B9379" s="3" t="s">
        <v>257</v>
      </c>
    </row>
    <row r="9380" spans="2:2" x14ac:dyDescent="0.2">
      <c r="B9380" s="3" t="s">
        <v>257</v>
      </c>
    </row>
    <row r="9381" spans="2:2" x14ac:dyDescent="0.2">
      <c r="B9381" s="3" t="s">
        <v>257</v>
      </c>
    </row>
    <row r="9382" spans="2:2" x14ac:dyDescent="0.2">
      <c r="B9382" s="3" t="s">
        <v>257</v>
      </c>
    </row>
    <row r="9383" spans="2:2" x14ac:dyDescent="0.2">
      <c r="B9383" s="3" t="s">
        <v>257</v>
      </c>
    </row>
    <row r="9384" spans="2:2" x14ac:dyDescent="0.2">
      <c r="B9384" s="3" t="s">
        <v>257</v>
      </c>
    </row>
    <row r="9385" spans="2:2" x14ac:dyDescent="0.2">
      <c r="B9385" s="3" t="s">
        <v>257</v>
      </c>
    </row>
    <row r="9386" spans="2:2" x14ac:dyDescent="0.2">
      <c r="B9386" s="3" t="s">
        <v>257</v>
      </c>
    </row>
    <row r="9387" spans="2:2" x14ac:dyDescent="0.2">
      <c r="B9387" s="3" t="s">
        <v>257</v>
      </c>
    </row>
    <row r="9388" spans="2:2" x14ac:dyDescent="0.2">
      <c r="B9388" s="3" t="s">
        <v>257</v>
      </c>
    </row>
    <row r="9389" spans="2:2" x14ac:dyDescent="0.2">
      <c r="B9389" s="3" t="s">
        <v>257</v>
      </c>
    </row>
    <row r="9390" spans="2:2" x14ac:dyDescent="0.2">
      <c r="B9390" s="3" t="s">
        <v>257</v>
      </c>
    </row>
    <row r="9391" spans="2:2" x14ac:dyDescent="0.2">
      <c r="B9391" s="3" t="s">
        <v>257</v>
      </c>
    </row>
    <row r="9392" spans="2:2" x14ac:dyDescent="0.2">
      <c r="B9392" s="3" t="s">
        <v>257</v>
      </c>
    </row>
    <row r="9393" spans="2:2" x14ac:dyDescent="0.2">
      <c r="B9393" s="3" t="s">
        <v>257</v>
      </c>
    </row>
    <row r="9394" spans="2:2" x14ac:dyDescent="0.2">
      <c r="B9394" s="3" t="s">
        <v>257</v>
      </c>
    </row>
    <row r="9395" spans="2:2" x14ac:dyDescent="0.2">
      <c r="B9395" s="3" t="s">
        <v>257</v>
      </c>
    </row>
    <row r="9396" spans="2:2" x14ac:dyDescent="0.2">
      <c r="B9396" s="3" t="s">
        <v>257</v>
      </c>
    </row>
    <row r="9397" spans="2:2" x14ac:dyDescent="0.2">
      <c r="B9397" s="3" t="s">
        <v>257</v>
      </c>
    </row>
    <row r="9398" spans="2:2" x14ac:dyDescent="0.2">
      <c r="B9398" s="3" t="s">
        <v>257</v>
      </c>
    </row>
    <row r="9399" spans="2:2" x14ac:dyDescent="0.2">
      <c r="B9399" s="3" t="s">
        <v>257</v>
      </c>
    </row>
    <row r="9400" spans="2:2" x14ac:dyDescent="0.2">
      <c r="B9400" s="3" t="s">
        <v>257</v>
      </c>
    </row>
    <row r="9401" spans="2:2" x14ac:dyDescent="0.2">
      <c r="B9401" s="3" t="s">
        <v>257</v>
      </c>
    </row>
    <row r="9402" spans="2:2" x14ac:dyDescent="0.2">
      <c r="B9402" s="3" t="s">
        <v>257</v>
      </c>
    </row>
    <row r="9403" spans="2:2" x14ac:dyDescent="0.2">
      <c r="B9403" s="3" t="s">
        <v>257</v>
      </c>
    </row>
    <row r="9404" spans="2:2" x14ac:dyDescent="0.2">
      <c r="B9404" s="3" t="s">
        <v>257</v>
      </c>
    </row>
    <row r="9405" spans="2:2" x14ac:dyDescent="0.2">
      <c r="B9405" s="3" t="s">
        <v>257</v>
      </c>
    </row>
    <row r="9406" spans="2:2" x14ac:dyDescent="0.2">
      <c r="B9406" s="3" t="s">
        <v>257</v>
      </c>
    </row>
    <row r="9407" spans="2:2" x14ac:dyDescent="0.2">
      <c r="B9407" s="3" t="s">
        <v>257</v>
      </c>
    </row>
    <row r="9408" spans="2:2" x14ac:dyDescent="0.2">
      <c r="B9408" s="3" t="s">
        <v>257</v>
      </c>
    </row>
    <row r="9409" spans="2:2" x14ac:dyDescent="0.2">
      <c r="B9409" s="3" t="s">
        <v>257</v>
      </c>
    </row>
    <row r="9410" spans="2:2" x14ac:dyDescent="0.2">
      <c r="B9410" s="3" t="s">
        <v>257</v>
      </c>
    </row>
    <row r="9411" spans="2:2" x14ac:dyDescent="0.2">
      <c r="B9411" s="3" t="s">
        <v>257</v>
      </c>
    </row>
    <row r="9412" spans="2:2" x14ac:dyDescent="0.2">
      <c r="B9412" s="3" t="s">
        <v>257</v>
      </c>
    </row>
    <row r="9413" spans="2:2" x14ac:dyDescent="0.2">
      <c r="B9413" s="3" t="s">
        <v>257</v>
      </c>
    </row>
    <row r="9414" spans="2:2" x14ac:dyDescent="0.2">
      <c r="B9414" s="3" t="s">
        <v>257</v>
      </c>
    </row>
    <row r="9415" spans="2:2" x14ac:dyDescent="0.2">
      <c r="B9415" s="3" t="s">
        <v>257</v>
      </c>
    </row>
    <row r="9416" spans="2:2" x14ac:dyDescent="0.2">
      <c r="B9416" s="3" t="s">
        <v>257</v>
      </c>
    </row>
    <row r="9417" spans="2:2" x14ac:dyDescent="0.2">
      <c r="B9417" s="3" t="s">
        <v>257</v>
      </c>
    </row>
    <row r="9418" spans="2:2" x14ac:dyDescent="0.2">
      <c r="B9418" s="3" t="s">
        <v>257</v>
      </c>
    </row>
    <row r="9419" spans="2:2" x14ac:dyDescent="0.2">
      <c r="B9419" s="3" t="s">
        <v>257</v>
      </c>
    </row>
    <row r="9420" spans="2:2" x14ac:dyDescent="0.2">
      <c r="B9420" s="3" t="s">
        <v>257</v>
      </c>
    </row>
    <row r="9421" spans="2:2" x14ac:dyDescent="0.2">
      <c r="B9421" s="3" t="s">
        <v>257</v>
      </c>
    </row>
    <row r="9422" spans="2:2" x14ac:dyDescent="0.2">
      <c r="B9422" s="3" t="s">
        <v>257</v>
      </c>
    </row>
    <row r="9423" spans="2:2" x14ac:dyDescent="0.2">
      <c r="B9423" s="3" t="s">
        <v>257</v>
      </c>
    </row>
    <row r="9424" spans="2:2" x14ac:dyDescent="0.2">
      <c r="B9424" s="3" t="s">
        <v>257</v>
      </c>
    </row>
    <row r="9425" spans="2:2" x14ac:dyDescent="0.2">
      <c r="B9425" s="3" t="s">
        <v>257</v>
      </c>
    </row>
    <row r="9426" spans="2:2" x14ac:dyDescent="0.2">
      <c r="B9426" s="3" t="s">
        <v>257</v>
      </c>
    </row>
    <row r="9427" spans="2:2" x14ac:dyDescent="0.2">
      <c r="B9427" s="3" t="s">
        <v>257</v>
      </c>
    </row>
    <row r="9428" spans="2:2" x14ac:dyDescent="0.2">
      <c r="B9428" s="3" t="s">
        <v>257</v>
      </c>
    </row>
    <row r="9429" spans="2:2" x14ac:dyDescent="0.2">
      <c r="B9429" s="3" t="s">
        <v>257</v>
      </c>
    </row>
    <row r="9430" spans="2:2" x14ac:dyDescent="0.2">
      <c r="B9430" s="3" t="s">
        <v>257</v>
      </c>
    </row>
    <row r="9431" spans="2:2" x14ac:dyDescent="0.2">
      <c r="B9431" s="3" t="s">
        <v>257</v>
      </c>
    </row>
    <row r="9432" spans="2:2" x14ac:dyDescent="0.2">
      <c r="B9432" s="3" t="s">
        <v>257</v>
      </c>
    </row>
    <row r="9433" spans="2:2" x14ac:dyDescent="0.2">
      <c r="B9433" s="3" t="s">
        <v>257</v>
      </c>
    </row>
    <row r="9434" spans="2:2" x14ac:dyDescent="0.2">
      <c r="B9434" s="3" t="s">
        <v>257</v>
      </c>
    </row>
    <row r="9435" spans="2:2" x14ac:dyDescent="0.2">
      <c r="B9435" s="3" t="s">
        <v>257</v>
      </c>
    </row>
    <row r="9436" spans="2:2" x14ac:dyDescent="0.2">
      <c r="B9436" s="3" t="s">
        <v>257</v>
      </c>
    </row>
    <row r="9437" spans="2:2" x14ac:dyDescent="0.2">
      <c r="B9437" s="3" t="s">
        <v>257</v>
      </c>
    </row>
    <row r="9438" spans="2:2" x14ac:dyDescent="0.2">
      <c r="B9438" s="3" t="s">
        <v>257</v>
      </c>
    </row>
    <row r="9439" spans="2:2" x14ac:dyDescent="0.2">
      <c r="B9439" s="3" t="s">
        <v>257</v>
      </c>
    </row>
    <row r="9440" spans="2:2" x14ac:dyDescent="0.2">
      <c r="B9440" s="3" t="s">
        <v>257</v>
      </c>
    </row>
    <row r="9441" spans="2:2" x14ac:dyDescent="0.2">
      <c r="B9441" s="3" t="s">
        <v>257</v>
      </c>
    </row>
    <row r="9442" spans="2:2" x14ac:dyDescent="0.2">
      <c r="B9442" s="3" t="s">
        <v>257</v>
      </c>
    </row>
    <row r="9443" spans="2:2" x14ac:dyDescent="0.2">
      <c r="B9443" s="3" t="s">
        <v>257</v>
      </c>
    </row>
    <row r="9444" spans="2:2" x14ac:dyDescent="0.2">
      <c r="B9444" s="3" t="s">
        <v>257</v>
      </c>
    </row>
    <row r="9445" spans="2:2" x14ac:dyDescent="0.2">
      <c r="B9445" s="3" t="s">
        <v>257</v>
      </c>
    </row>
    <row r="9446" spans="2:2" x14ac:dyDescent="0.2">
      <c r="B9446" s="3" t="s">
        <v>257</v>
      </c>
    </row>
    <row r="9447" spans="2:2" x14ac:dyDescent="0.2">
      <c r="B9447" s="3" t="s">
        <v>257</v>
      </c>
    </row>
    <row r="9448" spans="2:2" x14ac:dyDescent="0.2">
      <c r="B9448" s="3" t="s">
        <v>257</v>
      </c>
    </row>
    <row r="9449" spans="2:2" x14ac:dyDescent="0.2">
      <c r="B9449" s="3" t="s">
        <v>257</v>
      </c>
    </row>
    <row r="9450" spans="2:2" x14ac:dyDescent="0.2">
      <c r="B9450" s="3" t="s">
        <v>257</v>
      </c>
    </row>
    <row r="9451" spans="2:2" x14ac:dyDescent="0.2">
      <c r="B9451" s="3" t="s">
        <v>257</v>
      </c>
    </row>
    <row r="9452" spans="2:2" x14ac:dyDescent="0.2">
      <c r="B9452" s="3" t="s">
        <v>257</v>
      </c>
    </row>
    <row r="9453" spans="2:2" x14ac:dyDescent="0.2">
      <c r="B9453" s="3" t="s">
        <v>257</v>
      </c>
    </row>
    <row r="9454" spans="2:2" x14ac:dyDescent="0.2">
      <c r="B9454" s="3" t="s">
        <v>257</v>
      </c>
    </row>
    <row r="9455" spans="2:2" x14ac:dyDescent="0.2">
      <c r="B9455" s="3" t="s">
        <v>257</v>
      </c>
    </row>
    <row r="9456" spans="2:2" x14ac:dyDescent="0.2">
      <c r="B9456" s="3" t="s">
        <v>257</v>
      </c>
    </row>
    <row r="9457" spans="2:2" x14ac:dyDescent="0.2">
      <c r="B9457" s="3" t="s">
        <v>257</v>
      </c>
    </row>
    <row r="9458" spans="2:2" x14ac:dyDescent="0.2">
      <c r="B9458" s="3" t="s">
        <v>257</v>
      </c>
    </row>
    <row r="9459" spans="2:2" x14ac:dyDescent="0.2">
      <c r="B9459" s="3" t="s">
        <v>257</v>
      </c>
    </row>
    <row r="9460" spans="2:2" x14ac:dyDescent="0.2">
      <c r="B9460" s="3" t="s">
        <v>257</v>
      </c>
    </row>
    <row r="9461" spans="2:2" x14ac:dyDescent="0.2">
      <c r="B9461" s="3" t="s">
        <v>257</v>
      </c>
    </row>
    <row r="9462" spans="2:2" x14ac:dyDescent="0.2">
      <c r="B9462" s="3" t="s">
        <v>257</v>
      </c>
    </row>
    <row r="9463" spans="2:2" x14ac:dyDescent="0.2">
      <c r="B9463" s="3" t="s">
        <v>257</v>
      </c>
    </row>
    <row r="9464" spans="2:2" x14ac:dyDescent="0.2">
      <c r="B9464" s="3" t="s">
        <v>257</v>
      </c>
    </row>
    <row r="9465" spans="2:2" x14ac:dyDescent="0.2">
      <c r="B9465" s="3" t="s">
        <v>257</v>
      </c>
    </row>
    <row r="9466" spans="2:2" x14ac:dyDescent="0.2">
      <c r="B9466" s="3" t="s">
        <v>257</v>
      </c>
    </row>
    <row r="9467" spans="2:2" x14ac:dyDescent="0.2">
      <c r="B9467" s="3" t="s">
        <v>257</v>
      </c>
    </row>
    <row r="9468" spans="2:2" x14ac:dyDescent="0.2">
      <c r="B9468" s="3" t="s">
        <v>257</v>
      </c>
    </row>
    <row r="9469" spans="2:2" x14ac:dyDescent="0.2">
      <c r="B9469" s="3" t="s">
        <v>257</v>
      </c>
    </row>
    <row r="9470" spans="2:2" x14ac:dyDescent="0.2">
      <c r="B9470" s="3" t="s">
        <v>257</v>
      </c>
    </row>
    <row r="9471" spans="2:2" x14ac:dyDescent="0.2">
      <c r="B9471" s="3" t="s">
        <v>257</v>
      </c>
    </row>
    <row r="9472" spans="2:2" x14ac:dyDescent="0.2">
      <c r="B9472" s="3" t="s">
        <v>257</v>
      </c>
    </row>
    <row r="9473" spans="2:2" x14ac:dyDescent="0.2">
      <c r="B9473" s="3" t="s">
        <v>257</v>
      </c>
    </row>
    <row r="9474" spans="2:2" x14ac:dyDescent="0.2">
      <c r="B9474" s="3" t="s">
        <v>257</v>
      </c>
    </row>
    <row r="9475" spans="2:2" x14ac:dyDescent="0.2">
      <c r="B9475" s="3" t="s">
        <v>257</v>
      </c>
    </row>
    <row r="9476" spans="2:2" x14ac:dyDescent="0.2">
      <c r="B9476" s="3" t="s">
        <v>257</v>
      </c>
    </row>
    <row r="9477" spans="2:2" x14ac:dyDescent="0.2">
      <c r="B9477" s="3" t="s">
        <v>257</v>
      </c>
    </row>
    <row r="9478" spans="2:2" x14ac:dyDescent="0.2">
      <c r="B9478" s="3" t="s">
        <v>257</v>
      </c>
    </row>
    <row r="9479" spans="2:2" x14ac:dyDescent="0.2">
      <c r="B9479" s="3" t="s">
        <v>257</v>
      </c>
    </row>
    <row r="9480" spans="2:2" x14ac:dyDescent="0.2">
      <c r="B9480" s="3" t="s">
        <v>257</v>
      </c>
    </row>
    <row r="9481" spans="2:2" x14ac:dyDescent="0.2">
      <c r="B9481" s="3" t="s">
        <v>257</v>
      </c>
    </row>
    <row r="9482" spans="2:2" x14ac:dyDescent="0.2">
      <c r="B9482" s="3" t="s">
        <v>257</v>
      </c>
    </row>
    <row r="9483" spans="2:2" x14ac:dyDescent="0.2">
      <c r="B9483" s="3" t="s">
        <v>257</v>
      </c>
    </row>
    <row r="9484" spans="2:2" x14ac:dyDescent="0.2">
      <c r="B9484" s="3" t="s">
        <v>257</v>
      </c>
    </row>
    <row r="9485" spans="2:2" x14ac:dyDescent="0.2">
      <c r="B9485" s="3" t="s">
        <v>257</v>
      </c>
    </row>
    <row r="9486" spans="2:2" x14ac:dyDescent="0.2">
      <c r="B9486" s="3" t="s">
        <v>257</v>
      </c>
    </row>
    <row r="9487" spans="2:2" x14ac:dyDescent="0.2">
      <c r="B9487" s="3" t="s">
        <v>257</v>
      </c>
    </row>
    <row r="9488" spans="2:2" x14ac:dyDescent="0.2">
      <c r="B9488" s="3" t="s">
        <v>257</v>
      </c>
    </row>
    <row r="9489" spans="2:2" x14ac:dyDescent="0.2">
      <c r="B9489" s="3" t="s">
        <v>257</v>
      </c>
    </row>
    <row r="9490" spans="2:2" x14ac:dyDescent="0.2">
      <c r="B9490" s="3" t="s">
        <v>257</v>
      </c>
    </row>
    <row r="9491" spans="2:2" x14ac:dyDescent="0.2">
      <c r="B9491" s="3" t="s">
        <v>257</v>
      </c>
    </row>
    <row r="9492" spans="2:2" x14ac:dyDescent="0.2">
      <c r="B9492" s="3" t="s">
        <v>257</v>
      </c>
    </row>
    <row r="9493" spans="2:2" x14ac:dyDescent="0.2">
      <c r="B9493" s="3" t="s">
        <v>257</v>
      </c>
    </row>
    <row r="9494" spans="2:2" x14ac:dyDescent="0.2">
      <c r="B9494" s="3" t="s">
        <v>257</v>
      </c>
    </row>
    <row r="9495" spans="2:2" x14ac:dyDescent="0.2">
      <c r="B9495" s="3" t="s">
        <v>257</v>
      </c>
    </row>
    <row r="9496" spans="2:2" x14ac:dyDescent="0.2">
      <c r="B9496" s="3" t="s">
        <v>257</v>
      </c>
    </row>
    <row r="9497" spans="2:2" x14ac:dyDescent="0.2">
      <c r="B9497" s="3" t="s">
        <v>257</v>
      </c>
    </row>
    <row r="9498" spans="2:2" x14ac:dyDescent="0.2">
      <c r="B9498" s="3" t="s">
        <v>257</v>
      </c>
    </row>
    <row r="9499" spans="2:2" x14ac:dyDescent="0.2">
      <c r="B9499" s="3" t="s">
        <v>257</v>
      </c>
    </row>
    <row r="9500" spans="2:2" x14ac:dyDescent="0.2">
      <c r="B9500" s="3" t="s">
        <v>257</v>
      </c>
    </row>
    <row r="9501" spans="2:2" x14ac:dyDescent="0.2">
      <c r="B9501" s="3" t="s">
        <v>257</v>
      </c>
    </row>
    <row r="9502" spans="2:2" x14ac:dyDescent="0.2">
      <c r="B9502" s="3" t="s">
        <v>257</v>
      </c>
    </row>
    <row r="9503" spans="2:2" x14ac:dyDescent="0.2">
      <c r="B9503" s="3" t="s">
        <v>257</v>
      </c>
    </row>
    <row r="9504" spans="2:2" x14ac:dyDescent="0.2">
      <c r="B9504" s="3" t="s">
        <v>257</v>
      </c>
    </row>
    <row r="9505" spans="2:2" x14ac:dyDescent="0.2">
      <c r="B9505" s="3" t="s">
        <v>257</v>
      </c>
    </row>
    <row r="9506" spans="2:2" x14ac:dyDescent="0.2">
      <c r="B9506" s="3" t="s">
        <v>257</v>
      </c>
    </row>
    <row r="9507" spans="2:2" x14ac:dyDescent="0.2">
      <c r="B9507" s="3" t="s">
        <v>257</v>
      </c>
    </row>
    <row r="9508" spans="2:2" x14ac:dyDescent="0.2">
      <c r="B9508" s="3" t="s">
        <v>257</v>
      </c>
    </row>
    <row r="9509" spans="2:2" x14ac:dyDescent="0.2">
      <c r="B9509" s="3" t="s">
        <v>257</v>
      </c>
    </row>
    <row r="9510" spans="2:2" x14ac:dyDescent="0.2">
      <c r="B9510" s="3" t="s">
        <v>257</v>
      </c>
    </row>
    <row r="9511" spans="2:2" x14ac:dyDescent="0.2">
      <c r="B9511" s="3" t="s">
        <v>257</v>
      </c>
    </row>
    <row r="9512" spans="2:2" x14ac:dyDescent="0.2">
      <c r="B9512" s="3" t="s">
        <v>257</v>
      </c>
    </row>
    <row r="9513" spans="2:2" x14ac:dyDescent="0.2">
      <c r="B9513" s="3" t="s">
        <v>257</v>
      </c>
    </row>
    <row r="9514" spans="2:2" x14ac:dyDescent="0.2">
      <c r="B9514" s="3" t="s">
        <v>257</v>
      </c>
    </row>
    <row r="9515" spans="2:2" x14ac:dyDescent="0.2">
      <c r="B9515" s="3" t="s">
        <v>257</v>
      </c>
    </row>
    <row r="9516" spans="2:2" x14ac:dyDescent="0.2">
      <c r="B9516" s="3" t="s">
        <v>257</v>
      </c>
    </row>
    <row r="9517" spans="2:2" x14ac:dyDescent="0.2">
      <c r="B9517" s="3" t="s">
        <v>257</v>
      </c>
    </row>
    <row r="9518" spans="2:2" x14ac:dyDescent="0.2">
      <c r="B9518" s="3" t="s">
        <v>257</v>
      </c>
    </row>
    <row r="9519" spans="2:2" x14ac:dyDescent="0.2">
      <c r="B9519" s="3" t="s">
        <v>257</v>
      </c>
    </row>
    <row r="9520" spans="2:2" x14ac:dyDescent="0.2">
      <c r="B9520" s="3" t="s">
        <v>257</v>
      </c>
    </row>
    <row r="9521" spans="2:2" x14ac:dyDescent="0.2">
      <c r="B9521" s="3" t="s">
        <v>257</v>
      </c>
    </row>
    <row r="9522" spans="2:2" x14ac:dyDescent="0.2">
      <c r="B9522" s="3" t="s">
        <v>257</v>
      </c>
    </row>
    <row r="9523" spans="2:2" x14ac:dyDescent="0.2">
      <c r="B9523" s="3" t="s">
        <v>257</v>
      </c>
    </row>
    <row r="9524" spans="2:2" x14ac:dyDescent="0.2">
      <c r="B9524" s="3" t="s">
        <v>257</v>
      </c>
    </row>
    <row r="9525" spans="2:2" x14ac:dyDescent="0.2">
      <c r="B9525" s="3" t="s">
        <v>257</v>
      </c>
    </row>
    <row r="9526" spans="2:2" x14ac:dyDescent="0.2">
      <c r="B9526" s="3" t="s">
        <v>257</v>
      </c>
    </row>
    <row r="9527" spans="2:2" x14ac:dyDescent="0.2">
      <c r="B9527" s="3" t="s">
        <v>257</v>
      </c>
    </row>
    <row r="9528" spans="2:2" x14ac:dyDescent="0.2">
      <c r="B9528" s="3" t="s">
        <v>257</v>
      </c>
    </row>
    <row r="9529" spans="2:2" x14ac:dyDescent="0.2">
      <c r="B9529" s="3" t="s">
        <v>257</v>
      </c>
    </row>
    <row r="9530" spans="2:2" x14ac:dyDescent="0.2">
      <c r="B9530" s="3" t="s">
        <v>257</v>
      </c>
    </row>
    <row r="9531" spans="2:2" x14ac:dyDescent="0.2">
      <c r="B9531" s="3" t="s">
        <v>257</v>
      </c>
    </row>
    <row r="9532" spans="2:2" x14ac:dyDescent="0.2">
      <c r="B9532" s="3" t="s">
        <v>257</v>
      </c>
    </row>
    <row r="9533" spans="2:2" x14ac:dyDescent="0.2">
      <c r="B9533" s="3" t="s">
        <v>257</v>
      </c>
    </row>
    <row r="9534" spans="2:2" x14ac:dyDescent="0.2">
      <c r="B9534" s="3" t="s">
        <v>257</v>
      </c>
    </row>
    <row r="9535" spans="2:2" x14ac:dyDescent="0.2">
      <c r="B9535" s="3" t="s">
        <v>257</v>
      </c>
    </row>
    <row r="9536" spans="2:2" x14ac:dyDescent="0.2">
      <c r="B9536" s="3" t="s">
        <v>257</v>
      </c>
    </row>
    <row r="9537" spans="2:2" x14ac:dyDescent="0.2">
      <c r="B9537" s="3" t="s">
        <v>257</v>
      </c>
    </row>
    <row r="9538" spans="2:2" x14ac:dyDescent="0.2">
      <c r="B9538" s="3" t="s">
        <v>257</v>
      </c>
    </row>
    <row r="9539" spans="2:2" x14ac:dyDescent="0.2">
      <c r="B9539" s="3" t="s">
        <v>257</v>
      </c>
    </row>
    <row r="9540" spans="2:2" x14ac:dyDescent="0.2">
      <c r="B9540" s="3" t="s">
        <v>257</v>
      </c>
    </row>
    <row r="9541" spans="2:2" x14ac:dyDescent="0.2">
      <c r="B9541" s="3" t="s">
        <v>257</v>
      </c>
    </row>
    <row r="9542" spans="2:2" x14ac:dyDescent="0.2">
      <c r="B9542" s="3" t="s">
        <v>257</v>
      </c>
    </row>
    <row r="9543" spans="2:2" x14ac:dyDescent="0.2">
      <c r="B9543" s="3" t="s">
        <v>257</v>
      </c>
    </row>
    <row r="9544" spans="2:2" x14ac:dyDescent="0.2">
      <c r="B9544" s="3" t="s">
        <v>257</v>
      </c>
    </row>
    <row r="9545" spans="2:2" x14ac:dyDescent="0.2">
      <c r="B9545" s="3" t="s">
        <v>257</v>
      </c>
    </row>
    <row r="9546" spans="2:2" x14ac:dyDescent="0.2">
      <c r="B9546" s="3" t="s">
        <v>257</v>
      </c>
    </row>
    <row r="9547" spans="2:2" x14ac:dyDescent="0.2">
      <c r="B9547" s="3" t="s">
        <v>257</v>
      </c>
    </row>
    <row r="9548" spans="2:2" x14ac:dyDescent="0.2">
      <c r="B9548" s="3" t="s">
        <v>257</v>
      </c>
    </row>
    <row r="9549" spans="2:2" x14ac:dyDescent="0.2">
      <c r="B9549" s="3" t="s">
        <v>257</v>
      </c>
    </row>
    <row r="9550" spans="2:2" x14ac:dyDescent="0.2">
      <c r="B9550" s="3" t="s">
        <v>257</v>
      </c>
    </row>
    <row r="9551" spans="2:2" x14ac:dyDescent="0.2">
      <c r="B9551" s="3" t="s">
        <v>257</v>
      </c>
    </row>
    <row r="9552" spans="2:2" x14ac:dyDescent="0.2">
      <c r="B9552" s="3" t="s">
        <v>257</v>
      </c>
    </row>
    <row r="9553" spans="2:2" x14ac:dyDescent="0.2">
      <c r="B9553" s="3" t="s">
        <v>257</v>
      </c>
    </row>
    <row r="9554" spans="2:2" x14ac:dyDescent="0.2">
      <c r="B9554" s="3" t="s">
        <v>257</v>
      </c>
    </row>
    <row r="9555" spans="2:2" x14ac:dyDescent="0.2">
      <c r="B9555" s="3" t="s">
        <v>257</v>
      </c>
    </row>
    <row r="9556" spans="2:2" x14ac:dyDescent="0.2">
      <c r="B9556" s="3" t="s">
        <v>257</v>
      </c>
    </row>
    <row r="9557" spans="2:2" x14ac:dyDescent="0.2">
      <c r="B9557" s="3" t="s">
        <v>257</v>
      </c>
    </row>
    <row r="9558" spans="2:2" x14ac:dyDescent="0.2">
      <c r="B9558" s="3" t="s">
        <v>257</v>
      </c>
    </row>
    <row r="9559" spans="2:2" x14ac:dyDescent="0.2">
      <c r="B9559" s="3" t="s">
        <v>257</v>
      </c>
    </row>
    <row r="9560" spans="2:2" x14ac:dyDescent="0.2">
      <c r="B9560" s="3" t="s">
        <v>257</v>
      </c>
    </row>
    <row r="9561" spans="2:2" x14ac:dyDescent="0.2">
      <c r="B9561" s="3" t="s">
        <v>257</v>
      </c>
    </row>
    <row r="9562" spans="2:2" x14ac:dyDescent="0.2">
      <c r="B9562" s="3" t="s">
        <v>257</v>
      </c>
    </row>
    <row r="9563" spans="2:2" x14ac:dyDescent="0.2">
      <c r="B9563" s="3" t="s">
        <v>257</v>
      </c>
    </row>
    <row r="9564" spans="2:2" x14ac:dyDescent="0.2">
      <c r="B9564" s="3" t="s">
        <v>257</v>
      </c>
    </row>
    <row r="9565" spans="2:2" x14ac:dyDescent="0.2">
      <c r="B9565" s="3" t="s">
        <v>257</v>
      </c>
    </row>
    <row r="9566" spans="2:2" x14ac:dyDescent="0.2">
      <c r="B9566" s="3" t="s">
        <v>257</v>
      </c>
    </row>
    <row r="9567" spans="2:2" x14ac:dyDescent="0.2">
      <c r="B9567" s="3" t="s">
        <v>257</v>
      </c>
    </row>
    <row r="9568" spans="2:2" x14ac:dyDescent="0.2">
      <c r="B9568" s="3" t="s">
        <v>257</v>
      </c>
    </row>
    <row r="9569" spans="2:2" x14ac:dyDescent="0.2">
      <c r="B9569" s="3" t="s">
        <v>257</v>
      </c>
    </row>
    <row r="9570" spans="2:2" x14ac:dyDescent="0.2">
      <c r="B9570" s="3" t="s">
        <v>257</v>
      </c>
    </row>
    <row r="9571" spans="2:2" x14ac:dyDescent="0.2">
      <c r="B9571" s="3" t="s">
        <v>257</v>
      </c>
    </row>
    <row r="9572" spans="2:2" x14ac:dyDescent="0.2">
      <c r="B9572" s="3" t="s">
        <v>257</v>
      </c>
    </row>
    <row r="9573" spans="2:2" x14ac:dyDescent="0.2">
      <c r="B9573" s="3" t="s">
        <v>257</v>
      </c>
    </row>
    <row r="9574" spans="2:2" x14ac:dyDescent="0.2">
      <c r="B9574" s="3" t="s">
        <v>257</v>
      </c>
    </row>
    <row r="9575" spans="2:2" x14ac:dyDescent="0.2">
      <c r="B9575" s="3" t="s">
        <v>257</v>
      </c>
    </row>
    <row r="9576" spans="2:2" x14ac:dyDescent="0.2">
      <c r="B9576" s="3" t="s">
        <v>257</v>
      </c>
    </row>
    <row r="9577" spans="2:2" x14ac:dyDescent="0.2">
      <c r="B9577" s="3" t="s">
        <v>257</v>
      </c>
    </row>
    <row r="9578" spans="2:2" x14ac:dyDescent="0.2">
      <c r="B9578" s="3" t="s">
        <v>257</v>
      </c>
    </row>
    <row r="9579" spans="2:2" x14ac:dyDescent="0.2">
      <c r="B9579" s="3" t="s">
        <v>257</v>
      </c>
    </row>
    <row r="9580" spans="2:2" x14ac:dyDescent="0.2">
      <c r="B9580" s="3" t="s">
        <v>257</v>
      </c>
    </row>
    <row r="9581" spans="2:2" x14ac:dyDescent="0.2">
      <c r="B9581" s="3" t="s">
        <v>257</v>
      </c>
    </row>
    <row r="9582" spans="2:2" x14ac:dyDescent="0.2">
      <c r="B9582" s="3" t="s">
        <v>257</v>
      </c>
    </row>
    <row r="9583" spans="2:2" x14ac:dyDescent="0.2">
      <c r="B9583" s="3" t="s">
        <v>257</v>
      </c>
    </row>
    <row r="9584" spans="2:2" x14ac:dyDescent="0.2">
      <c r="B9584" s="3" t="s">
        <v>257</v>
      </c>
    </row>
    <row r="9585" spans="2:2" x14ac:dyDescent="0.2">
      <c r="B9585" s="3" t="s">
        <v>257</v>
      </c>
    </row>
    <row r="9586" spans="2:2" x14ac:dyDescent="0.2">
      <c r="B9586" s="3" t="s">
        <v>257</v>
      </c>
    </row>
    <row r="9587" spans="2:2" x14ac:dyDescent="0.2">
      <c r="B9587" s="3" t="s">
        <v>257</v>
      </c>
    </row>
    <row r="9588" spans="2:2" x14ac:dyDescent="0.2">
      <c r="B9588" s="3" t="s">
        <v>257</v>
      </c>
    </row>
    <row r="9589" spans="2:2" x14ac:dyDescent="0.2">
      <c r="B9589" s="3" t="s">
        <v>257</v>
      </c>
    </row>
    <row r="9590" spans="2:2" x14ac:dyDescent="0.2">
      <c r="B9590" s="3" t="s">
        <v>257</v>
      </c>
    </row>
    <row r="9591" spans="2:2" x14ac:dyDescent="0.2">
      <c r="B9591" s="3" t="s">
        <v>257</v>
      </c>
    </row>
    <row r="9592" spans="2:2" x14ac:dyDescent="0.2">
      <c r="B9592" s="3" t="s">
        <v>257</v>
      </c>
    </row>
    <row r="9593" spans="2:2" x14ac:dyDescent="0.2">
      <c r="B9593" s="3" t="s">
        <v>257</v>
      </c>
    </row>
    <row r="9594" spans="2:2" x14ac:dyDescent="0.2">
      <c r="B9594" s="3" t="s">
        <v>257</v>
      </c>
    </row>
    <row r="9595" spans="2:2" x14ac:dyDescent="0.2">
      <c r="B9595" s="3" t="s">
        <v>257</v>
      </c>
    </row>
    <row r="9596" spans="2:2" x14ac:dyDescent="0.2">
      <c r="B9596" s="3" t="s">
        <v>257</v>
      </c>
    </row>
    <row r="9597" spans="2:2" x14ac:dyDescent="0.2">
      <c r="B9597" s="3" t="s">
        <v>257</v>
      </c>
    </row>
    <row r="9598" spans="2:2" x14ac:dyDescent="0.2">
      <c r="B9598" s="3" t="s">
        <v>257</v>
      </c>
    </row>
    <row r="9599" spans="2:2" x14ac:dyDescent="0.2">
      <c r="B9599" s="3" t="s">
        <v>257</v>
      </c>
    </row>
    <row r="9600" spans="2:2" x14ac:dyDescent="0.2">
      <c r="B9600" s="3" t="s">
        <v>257</v>
      </c>
    </row>
    <row r="9601" spans="2:2" x14ac:dyDescent="0.2">
      <c r="B9601" s="3" t="s">
        <v>257</v>
      </c>
    </row>
    <row r="9602" spans="2:2" x14ac:dyDescent="0.2">
      <c r="B9602" s="3" t="s">
        <v>257</v>
      </c>
    </row>
    <row r="9603" spans="2:2" x14ac:dyDescent="0.2">
      <c r="B9603" s="3" t="s">
        <v>257</v>
      </c>
    </row>
    <row r="9604" spans="2:2" x14ac:dyDescent="0.2">
      <c r="B9604" s="3" t="s">
        <v>257</v>
      </c>
    </row>
    <row r="9605" spans="2:2" x14ac:dyDescent="0.2">
      <c r="B9605" s="3" t="s">
        <v>257</v>
      </c>
    </row>
    <row r="9606" spans="2:2" x14ac:dyDescent="0.2">
      <c r="B9606" s="3" t="s">
        <v>257</v>
      </c>
    </row>
    <row r="9607" spans="2:2" x14ac:dyDescent="0.2">
      <c r="B9607" s="3" t="s">
        <v>257</v>
      </c>
    </row>
    <row r="9608" spans="2:2" x14ac:dyDescent="0.2">
      <c r="B9608" s="3" t="s">
        <v>257</v>
      </c>
    </row>
    <row r="9609" spans="2:2" x14ac:dyDescent="0.2">
      <c r="B9609" s="3" t="s">
        <v>257</v>
      </c>
    </row>
    <row r="9610" spans="2:2" x14ac:dyDescent="0.2">
      <c r="B9610" s="3" t="s">
        <v>257</v>
      </c>
    </row>
    <row r="9611" spans="2:2" x14ac:dyDescent="0.2">
      <c r="B9611" s="3" t="s">
        <v>257</v>
      </c>
    </row>
    <row r="9612" spans="2:2" x14ac:dyDescent="0.2">
      <c r="B9612" s="3" t="s">
        <v>257</v>
      </c>
    </row>
    <row r="9613" spans="2:2" x14ac:dyDescent="0.2">
      <c r="B9613" s="3" t="s">
        <v>257</v>
      </c>
    </row>
    <row r="9614" spans="2:2" x14ac:dyDescent="0.2">
      <c r="B9614" s="3" t="s">
        <v>257</v>
      </c>
    </row>
    <row r="9615" spans="2:2" x14ac:dyDescent="0.2">
      <c r="B9615" s="3" t="s">
        <v>257</v>
      </c>
    </row>
    <row r="9616" spans="2:2" x14ac:dyDescent="0.2">
      <c r="B9616" s="3" t="s">
        <v>257</v>
      </c>
    </row>
    <row r="9617" spans="2:2" x14ac:dyDescent="0.2">
      <c r="B9617" s="3" t="s">
        <v>257</v>
      </c>
    </row>
    <row r="9618" spans="2:2" x14ac:dyDescent="0.2">
      <c r="B9618" s="3" t="s">
        <v>257</v>
      </c>
    </row>
    <row r="9619" spans="2:2" x14ac:dyDescent="0.2">
      <c r="B9619" s="3" t="s">
        <v>257</v>
      </c>
    </row>
    <row r="9620" spans="2:2" x14ac:dyDescent="0.2">
      <c r="B9620" s="3" t="s">
        <v>257</v>
      </c>
    </row>
    <row r="9621" spans="2:2" x14ac:dyDescent="0.2">
      <c r="B9621" s="3" t="s">
        <v>257</v>
      </c>
    </row>
    <row r="9622" spans="2:2" x14ac:dyDescent="0.2">
      <c r="B9622" s="3" t="s">
        <v>257</v>
      </c>
    </row>
    <row r="9623" spans="2:2" x14ac:dyDescent="0.2">
      <c r="B9623" s="3" t="s">
        <v>257</v>
      </c>
    </row>
    <row r="9624" spans="2:2" x14ac:dyDescent="0.2">
      <c r="B9624" s="3" t="s">
        <v>257</v>
      </c>
    </row>
    <row r="9625" spans="2:2" x14ac:dyDescent="0.2">
      <c r="B9625" s="3" t="s">
        <v>257</v>
      </c>
    </row>
    <row r="9626" spans="2:2" x14ac:dyDescent="0.2">
      <c r="B9626" s="3" t="s">
        <v>257</v>
      </c>
    </row>
    <row r="9627" spans="2:2" x14ac:dyDescent="0.2">
      <c r="B9627" s="3" t="s">
        <v>257</v>
      </c>
    </row>
    <row r="9628" spans="2:2" x14ac:dyDescent="0.2">
      <c r="B9628" s="3" t="s">
        <v>257</v>
      </c>
    </row>
    <row r="9629" spans="2:2" x14ac:dyDescent="0.2">
      <c r="B9629" s="3" t="s">
        <v>257</v>
      </c>
    </row>
    <row r="9630" spans="2:2" x14ac:dyDescent="0.2">
      <c r="B9630" s="3" t="s">
        <v>257</v>
      </c>
    </row>
    <row r="9631" spans="2:2" x14ac:dyDescent="0.2">
      <c r="B9631" s="3" t="s">
        <v>257</v>
      </c>
    </row>
    <row r="9632" spans="2:2" x14ac:dyDescent="0.2">
      <c r="B9632" s="3" t="s">
        <v>257</v>
      </c>
    </row>
    <row r="9633" spans="2:2" x14ac:dyDescent="0.2">
      <c r="B9633" s="3" t="s">
        <v>257</v>
      </c>
    </row>
    <row r="9634" spans="2:2" x14ac:dyDescent="0.2">
      <c r="B9634" s="3" t="s">
        <v>257</v>
      </c>
    </row>
    <row r="9635" spans="2:2" x14ac:dyDescent="0.2">
      <c r="B9635" s="3" t="s">
        <v>257</v>
      </c>
    </row>
    <row r="9636" spans="2:2" x14ac:dyDescent="0.2">
      <c r="B9636" s="3" t="s">
        <v>257</v>
      </c>
    </row>
    <row r="9637" spans="2:2" x14ac:dyDescent="0.2">
      <c r="B9637" s="3" t="s">
        <v>257</v>
      </c>
    </row>
    <row r="9638" spans="2:2" x14ac:dyDescent="0.2">
      <c r="B9638" s="3" t="s">
        <v>257</v>
      </c>
    </row>
    <row r="9639" spans="2:2" x14ac:dyDescent="0.2">
      <c r="B9639" s="3" t="s">
        <v>257</v>
      </c>
    </row>
    <row r="9640" spans="2:2" x14ac:dyDescent="0.2">
      <c r="B9640" s="3" t="s">
        <v>257</v>
      </c>
    </row>
    <row r="9641" spans="2:2" x14ac:dyDescent="0.2">
      <c r="B9641" s="3" t="s">
        <v>257</v>
      </c>
    </row>
    <row r="9642" spans="2:2" x14ac:dyDescent="0.2">
      <c r="B9642" s="3" t="s">
        <v>257</v>
      </c>
    </row>
    <row r="9643" spans="2:2" x14ac:dyDescent="0.2">
      <c r="B9643" s="3" t="s">
        <v>257</v>
      </c>
    </row>
    <row r="9644" spans="2:2" x14ac:dyDescent="0.2">
      <c r="B9644" s="3" t="s">
        <v>257</v>
      </c>
    </row>
    <row r="9645" spans="2:2" x14ac:dyDescent="0.2">
      <c r="B9645" s="3" t="s">
        <v>257</v>
      </c>
    </row>
    <row r="9646" spans="2:2" x14ac:dyDescent="0.2">
      <c r="B9646" s="3" t="s">
        <v>257</v>
      </c>
    </row>
    <row r="9647" spans="2:2" x14ac:dyDescent="0.2">
      <c r="B9647" s="3" t="s">
        <v>257</v>
      </c>
    </row>
    <row r="9648" spans="2:2" x14ac:dyDescent="0.2">
      <c r="B9648" s="3" t="s">
        <v>257</v>
      </c>
    </row>
    <row r="9649" spans="2:2" x14ac:dyDescent="0.2">
      <c r="B9649" s="3" t="s">
        <v>257</v>
      </c>
    </row>
    <row r="9650" spans="2:2" x14ac:dyDescent="0.2">
      <c r="B9650" s="3" t="s">
        <v>257</v>
      </c>
    </row>
    <row r="9651" spans="2:2" x14ac:dyDescent="0.2">
      <c r="B9651" s="3" t="s">
        <v>257</v>
      </c>
    </row>
    <row r="9652" spans="2:2" x14ac:dyDescent="0.2">
      <c r="B9652" s="3" t="s">
        <v>257</v>
      </c>
    </row>
    <row r="9653" spans="2:2" x14ac:dyDescent="0.2">
      <c r="B9653" s="3" t="s">
        <v>257</v>
      </c>
    </row>
    <row r="9654" spans="2:2" x14ac:dyDescent="0.2">
      <c r="B9654" s="3" t="s">
        <v>257</v>
      </c>
    </row>
    <row r="9655" spans="2:2" x14ac:dyDescent="0.2">
      <c r="B9655" s="3" t="s">
        <v>257</v>
      </c>
    </row>
    <row r="9656" spans="2:2" x14ac:dyDescent="0.2">
      <c r="B9656" s="3" t="s">
        <v>257</v>
      </c>
    </row>
    <row r="9657" spans="2:2" x14ac:dyDescent="0.2">
      <c r="B9657" s="3" t="s">
        <v>257</v>
      </c>
    </row>
    <row r="9658" spans="2:2" x14ac:dyDescent="0.2">
      <c r="B9658" s="3" t="s">
        <v>257</v>
      </c>
    </row>
    <row r="9659" spans="2:2" x14ac:dyDescent="0.2">
      <c r="B9659" s="3" t="s">
        <v>257</v>
      </c>
    </row>
    <row r="9660" spans="2:2" x14ac:dyDescent="0.2">
      <c r="B9660" s="3" t="s">
        <v>257</v>
      </c>
    </row>
    <row r="9661" spans="2:2" x14ac:dyDescent="0.2">
      <c r="B9661" s="3" t="s">
        <v>257</v>
      </c>
    </row>
    <row r="9662" spans="2:2" x14ac:dyDescent="0.2">
      <c r="B9662" s="3" t="s">
        <v>257</v>
      </c>
    </row>
    <row r="9663" spans="2:2" x14ac:dyDescent="0.2">
      <c r="B9663" s="3" t="s">
        <v>257</v>
      </c>
    </row>
    <row r="9664" spans="2:2" x14ac:dyDescent="0.2">
      <c r="B9664" s="3" t="s">
        <v>257</v>
      </c>
    </row>
    <row r="9665" spans="2:2" x14ac:dyDescent="0.2">
      <c r="B9665" s="3" t="s">
        <v>257</v>
      </c>
    </row>
    <row r="9666" spans="2:2" x14ac:dyDescent="0.2">
      <c r="B9666" s="3" t="s">
        <v>257</v>
      </c>
    </row>
    <row r="9667" spans="2:2" x14ac:dyDescent="0.2">
      <c r="B9667" s="3" t="s">
        <v>257</v>
      </c>
    </row>
    <row r="9668" spans="2:2" x14ac:dyDescent="0.2">
      <c r="B9668" s="3" t="s">
        <v>257</v>
      </c>
    </row>
    <row r="9669" spans="2:2" x14ac:dyDescent="0.2">
      <c r="B9669" s="3" t="s">
        <v>257</v>
      </c>
    </row>
    <row r="9670" spans="2:2" x14ac:dyDescent="0.2">
      <c r="B9670" s="3" t="s">
        <v>257</v>
      </c>
    </row>
    <row r="9671" spans="2:2" x14ac:dyDescent="0.2">
      <c r="B9671" s="3" t="s">
        <v>257</v>
      </c>
    </row>
    <row r="9672" spans="2:2" x14ac:dyDescent="0.2">
      <c r="B9672" s="3" t="s">
        <v>257</v>
      </c>
    </row>
    <row r="9673" spans="2:2" x14ac:dyDescent="0.2">
      <c r="B9673" s="3" t="s">
        <v>257</v>
      </c>
    </row>
    <row r="9674" spans="2:2" x14ac:dyDescent="0.2">
      <c r="B9674" s="3" t="s">
        <v>257</v>
      </c>
    </row>
    <row r="9675" spans="2:2" x14ac:dyDescent="0.2">
      <c r="B9675" s="3" t="s">
        <v>257</v>
      </c>
    </row>
    <row r="9676" spans="2:2" x14ac:dyDescent="0.2">
      <c r="B9676" s="3" t="s">
        <v>257</v>
      </c>
    </row>
    <row r="9677" spans="2:2" x14ac:dyDescent="0.2">
      <c r="B9677" s="3" t="s">
        <v>257</v>
      </c>
    </row>
    <row r="9678" spans="2:2" x14ac:dyDescent="0.2">
      <c r="B9678" s="3" t="s">
        <v>257</v>
      </c>
    </row>
    <row r="9679" spans="2:2" x14ac:dyDescent="0.2">
      <c r="B9679" s="3" t="s">
        <v>257</v>
      </c>
    </row>
    <row r="9680" spans="2:2" x14ac:dyDescent="0.2">
      <c r="B9680" s="3" t="s">
        <v>257</v>
      </c>
    </row>
    <row r="9681" spans="2:2" x14ac:dyDescent="0.2">
      <c r="B9681" s="3" t="s">
        <v>257</v>
      </c>
    </row>
    <row r="9682" spans="2:2" x14ac:dyDescent="0.2">
      <c r="B9682" s="3" t="s">
        <v>257</v>
      </c>
    </row>
    <row r="9683" spans="2:2" x14ac:dyDescent="0.2">
      <c r="B9683" s="3" t="s">
        <v>257</v>
      </c>
    </row>
    <row r="9684" spans="2:2" x14ac:dyDescent="0.2">
      <c r="B9684" s="3" t="s">
        <v>257</v>
      </c>
    </row>
    <row r="9685" spans="2:2" x14ac:dyDescent="0.2">
      <c r="B9685" s="3" t="s">
        <v>257</v>
      </c>
    </row>
    <row r="9686" spans="2:2" x14ac:dyDescent="0.2">
      <c r="B9686" s="3" t="s">
        <v>257</v>
      </c>
    </row>
    <row r="9687" spans="2:2" x14ac:dyDescent="0.2">
      <c r="B9687" s="3" t="s">
        <v>257</v>
      </c>
    </row>
    <row r="9688" spans="2:2" x14ac:dyDescent="0.2">
      <c r="B9688" s="3" t="s">
        <v>257</v>
      </c>
    </row>
    <row r="9689" spans="2:2" x14ac:dyDescent="0.2">
      <c r="B9689" s="3" t="s">
        <v>257</v>
      </c>
    </row>
    <row r="9690" spans="2:2" x14ac:dyDescent="0.2">
      <c r="B9690" s="3" t="s">
        <v>257</v>
      </c>
    </row>
    <row r="9691" spans="2:2" x14ac:dyDescent="0.2">
      <c r="B9691" s="3" t="s">
        <v>257</v>
      </c>
    </row>
    <row r="9692" spans="2:2" x14ac:dyDescent="0.2">
      <c r="B9692" s="3" t="s">
        <v>257</v>
      </c>
    </row>
    <row r="9693" spans="2:2" x14ac:dyDescent="0.2">
      <c r="B9693" s="3" t="s">
        <v>257</v>
      </c>
    </row>
    <row r="9694" spans="2:2" x14ac:dyDescent="0.2">
      <c r="B9694" s="3" t="s">
        <v>257</v>
      </c>
    </row>
    <row r="9695" spans="2:2" x14ac:dyDescent="0.2">
      <c r="B9695" s="3" t="s">
        <v>257</v>
      </c>
    </row>
    <row r="9696" spans="2:2" x14ac:dyDescent="0.2">
      <c r="B9696" s="3" t="s">
        <v>257</v>
      </c>
    </row>
    <row r="9697" spans="2:2" x14ac:dyDescent="0.2">
      <c r="B9697" s="3" t="s">
        <v>257</v>
      </c>
    </row>
    <row r="9698" spans="2:2" x14ac:dyDescent="0.2">
      <c r="B9698" s="3" t="s">
        <v>257</v>
      </c>
    </row>
    <row r="9699" spans="2:2" x14ac:dyDescent="0.2">
      <c r="B9699" s="3" t="s">
        <v>257</v>
      </c>
    </row>
    <row r="9700" spans="2:2" x14ac:dyDescent="0.2">
      <c r="B9700" s="3" t="s">
        <v>257</v>
      </c>
    </row>
    <row r="9701" spans="2:2" x14ac:dyDescent="0.2">
      <c r="B9701" s="3" t="s">
        <v>257</v>
      </c>
    </row>
    <row r="9702" spans="2:2" x14ac:dyDescent="0.2">
      <c r="B9702" s="3" t="s">
        <v>257</v>
      </c>
    </row>
    <row r="9703" spans="2:2" x14ac:dyDescent="0.2">
      <c r="B9703" s="3" t="s">
        <v>257</v>
      </c>
    </row>
    <row r="9704" spans="2:2" x14ac:dyDescent="0.2">
      <c r="B9704" s="3" t="s">
        <v>257</v>
      </c>
    </row>
    <row r="9705" spans="2:2" x14ac:dyDescent="0.2">
      <c r="B9705" s="3" t="s">
        <v>257</v>
      </c>
    </row>
    <row r="9706" spans="2:2" x14ac:dyDescent="0.2">
      <c r="B9706" s="3" t="s">
        <v>257</v>
      </c>
    </row>
    <row r="9707" spans="2:2" x14ac:dyDescent="0.2">
      <c r="B9707" s="3" t="s">
        <v>257</v>
      </c>
    </row>
    <row r="9708" spans="2:2" x14ac:dyDescent="0.2">
      <c r="B9708" s="3" t="s">
        <v>257</v>
      </c>
    </row>
    <row r="9709" spans="2:2" x14ac:dyDescent="0.2">
      <c r="B9709" s="3" t="s">
        <v>257</v>
      </c>
    </row>
    <row r="9710" spans="2:2" x14ac:dyDescent="0.2">
      <c r="B9710" s="3" t="s">
        <v>257</v>
      </c>
    </row>
    <row r="9711" spans="2:2" x14ac:dyDescent="0.2">
      <c r="B9711" s="3" t="s">
        <v>257</v>
      </c>
    </row>
    <row r="9712" spans="2:2" x14ac:dyDescent="0.2">
      <c r="B9712" s="3" t="s">
        <v>257</v>
      </c>
    </row>
    <row r="9713" spans="2:2" x14ac:dyDescent="0.2">
      <c r="B9713" s="3" t="s">
        <v>257</v>
      </c>
    </row>
    <row r="9714" spans="2:2" x14ac:dyDescent="0.2">
      <c r="B9714" s="3" t="s">
        <v>257</v>
      </c>
    </row>
    <row r="9715" spans="2:2" x14ac:dyDescent="0.2">
      <c r="B9715" s="3" t="s">
        <v>257</v>
      </c>
    </row>
    <row r="9716" spans="2:2" x14ac:dyDescent="0.2">
      <c r="B9716" s="3" t="s">
        <v>257</v>
      </c>
    </row>
    <row r="9717" spans="2:2" x14ac:dyDescent="0.2">
      <c r="B9717" s="3" t="s">
        <v>257</v>
      </c>
    </row>
    <row r="9718" spans="2:2" x14ac:dyDescent="0.2">
      <c r="B9718" s="3" t="s">
        <v>257</v>
      </c>
    </row>
    <row r="9719" spans="2:2" x14ac:dyDescent="0.2">
      <c r="B9719" s="3" t="s">
        <v>257</v>
      </c>
    </row>
    <row r="9720" spans="2:2" x14ac:dyDescent="0.2">
      <c r="B9720" s="3" t="s">
        <v>257</v>
      </c>
    </row>
    <row r="9721" spans="2:2" x14ac:dyDescent="0.2">
      <c r="B9721" s="3" t="s">
        <v>257</v>
      </c>
    </row>
    <row r="9722" spans="2:2" x14ac:dyDescent="0.2">
      <c r="B9722" s="3" t="s">
        <v>257</v>
      </c>
    </row>
    <row r="9723" spans="2:2" x14ac:dyDescent="0.2">
      <c r="B9723" s="3" t="s">
        <v>257</v>
      </c>
    </row>
    <row r="9724" spans="2:2" x14ac:dyDescent="0.2">
      <c r="B9724" s="3" t="s">
        <v>257</v>
      </c>
    </row>
    <row r="9725" spans="2:2" x14ac:dyDescent="0.2">
      <c r="B9725" s="3" t="s">
        <v>257</v>
      </c>
    </row>
    <row r="9726" spans="2:2" x14ac:dyDescent="0.2">
      <c r="B9726" s="3" t="s">
        <v>257</v>
      </c>
    </row>
    <row r="9727" spans="2:2" x14ac:dyDescent="0.2">
      <c r="B9727" s="3" t="s">
        <v>257</v>
      </c>
    </row>
    <row r="9728" spans="2:2" x14ac:dyDescent="0.2">
      <c r="B9728" s="3" t="s">
        <v>257</v>
      </c>
    </row>
    <row r="9729" spans="2:2" x14ac:dyDescent="0.2">
      <c r="B9729" s="3" t="s">
        <v>257</v>
      </c>
    </row>
    <row r="9730" spans="2:2" x14ac:dyDescent="0.2">
      <c r="B9730" s="3" t="s">
        <v>257</v>
      </c>
    </row>
    <row r="9731" spans="2:2" x14ac:dyDescent="0.2">
      <c r="B9731" s="3" t="s">
        <v>257</v>
      </c>
    </row>
    <row r="9732" spans="2:2" x14ac:dyDescent="0.2">
      <c r="B9732" s="3" t="s">
        <v>257</v>
      </c>
    </row>
    <row r="9733" spans="2:2" x14ac:dyDescent="0.2">
      <c r="B9733" s="3" t="s">
        <v>257</v>
      </c>
    </row>
    <row r="9734" spans="2:2" x14ac:dyDescent="0.2">
      <c r="B9734" s="3" t="s">
        <v>257</v>
      </c>
    </row>
    <row r="9735" spans="2:2" x14ac:dyDescent="0.2">
      <c r="B9735" s="3" t="s">
        <v>257</v>
      </c>
    </row>
    <row r="9736" spans="2:2" x14ac:dyDescent="0.2">
      <c r="B9736" s="3" t="s">
        <v>257</v>
      </c>
    </row>
    <row r="9737" spans="2:2" x14ac:dyDescent="0.2">
      <c r="B9737" s="3" t="s">
        <v>257</v>
      </c>
    </row>
    <row r="9738" spans="2:2" x14ac:dyDescent="0.2">
      <c r="B9738" s="3" t="s">
        <v>257</v>
      </c>
    </row>
    <row r="9739" spans="2:2" x14ac:dyDescent="0.2">
      <c r="B9739" s="3" t="s">
        <v>257</v>
      </c>
    </row>
    <row r="9740" spans="2:2" x14ac:dyDescent="0.2">
      <c r="B9740" s="3" t="s">
        <v>257</v>
      </c>
    </row>
    <row r="9741" spans="2:2" x14ac:dyDescent="0.2">
      <c r="B9741" s="3" t="s">
        <v>257</v>
      </c>
    </row>
    <row r="9742" spans="2:2" x14ac:dyDescent="0.2">
      <c r="B9742" s="3" t="s">
        <v>257</v>
      </c>
    </row>
    <row r="9743" spans="2:2" x14ac:dyDescent="0.2">
      <c r="B9743" s="3" t="s">
        <v>257</v>
      </c>
    </row>
    <row r="9744" spans="2:2" x14ac:dyDescent="0.2">
      <c r="B9744" s="3" t="s">
        <v>257</v>
      </c>
    </row>
    <row r="9745" spans="2:2" x14ac:dyDescent="0.2">
      <c r="B9745" s="3" t="s">
        <v>257</v>
      </c>
    </row>
    <row r="9746" spans="2:2" x14ac:dyDescent="0.2">
      <c r="B9746" s="3" t="s">
        <v>257</v>
      </c>
    </row>
    <row r="9747" spans="2:2" x14ac:dyDescent="0.2">
      <c r="B9747" s="3" t="s">
        <v>257</v>
      </c>
    </row>
    <row r="9748" spans="2:2" x14ac:dyDescent="0.2">
      <c r="B9748" s="3" t="s">
        <v>257</v>
      </c>
    </row>
    <row r="9749" spans="2:2" x14ac:dyDescent="0.2">
      <c r="B9749" s="3" t="s">
        <v>257</v>
      </c>
    </row>
    <row r="9750" spans="2:2" x14ac:dyDescent="0.2">
      <c r="B9750" s="3" t="s">
        <v>257</v>
      </c>
    </row>
    <row r="9751" spans="2:2" x14ac:dyDescent="0.2">
      <c r="B9751" s="3" t="s">
        <v>257</v>
      </c>
    </row>
    <row r="9752" spans="2:2" x14ac:dyDescent="0.2">
      <c r="B9752" s="3" t="s">
        <v>257</v>
      </c>
    </row>
    <row r="9753" spans="2:2" x14ac:dyDescent="0.2">
      <c r="B9753" s="3" t="s">
        <v>257</v>
      </c>
    </row>
    <row r="9754" spans="2:2" x14ac:dyDescent="0.2">
      <c r="B9754" s="3" t="s">
        <v>257</v>
      </c>
    </row>
    <row r="9755" spans="2:2" x14ac:dyDescent="0.2">
      <c r="B9755" s="3" t="s">
        <v>257</v>
      </c>
    </row>
    <row r="9756" spans="2:2" x14ac:dyDescent="0.2">
      <c r="B9756" s="3" t="s">
        <v>257</v>
      </c>
    </row>
    <row r="9757" spans="2:2" x14ac:dyDescent="0.2">
      <c r="B9757" s="3" t="s">
        <v>257</v>
      </c>
    </row>
    <row r="9758" spans="2:2" x14ac:dyDescent="0.2">
      <c r="B9758" s="3" t="s">
        <v>257</v>
      </c>
    </row>
    <row r="9759" spans="2:2" x14ac:dyDescent="0.2">
      <c r="B9759" s="3" t="s">
        <v>257</v>
      </c>
    </row>
    <row r="9760" spans="2:2" x14ac:dyDescent="0.2">
      <c r="B9760" s="3" t="s">
        <v>257</v>
      </c>
    </row>
    <row r="9761" spans="2:2" x14ac:dyDescent="0.2">
      <c r="B9761" s="3" t="s">
        <v>257</v>
      </c>
    </row>
    <row r="9762" spans="2:2" x14ac:dyDescent="0.2">
      <c r="B9762" s="3" t="s">
        <v>257</v>
      </c>
    </row>
    <row r="9763" spans="2:2" x14ac:dyDescent="0.2">
      <c r="B9763" s="3" t="s">
        <v>257</v>
      </c>
    </row>
    <row r="9764" spans="2:2" x14ac:dyDescent="0.2">
      <c r="B9764" s="3" t="s">
        <v>257</v>
      </c>
    </row>
    <row r="9765" spans="2:2" x14ac:dyDescent="0.2">
      <c r="B9765" s="3" t="s">
        <v>257</v>
      </c>
    </row>
    <row r="9766" spans="2:2" x14ac:dyDescent="0.2">
      <c r="B9766" s="3" t="s">
        <v>257</v>
      </c>
    </row>
    <row r="9767" spans="2:2" x14ac:dyDescent="0.2">
      <c r="B9767" s="3" t="s">
        <v>257</v>
      </c>
    </row>
    <row r="9768" spans="2:2" x14ac:dyDescent="0.2">
      <c r="B9768" s="3" t="s">
        <v>257</v>
      </c>
    </row>
    <row r="9769" spans="2:2" x14ac:dyDescent="0.2">
      <c r="B9769" s="3" t="s">
        <v>257</v>
      </c>
    </row>
    <row r="9770" spans="2:2" x14ac:dyDescent="0.2">
      <c r="B9770" s="3" t="s">
        <v>257</v>
      </c>
    </row>
    <row r="9771" spans="2:2" x14ac:dyDescent="0.2">
      <c r="B9771" s="3" t="s">
        <v>257</v>
      </c>
    </row>
    <row r="9772" spans="2:2" x14ac:dyDescent="0.2">
      <c r="B9772" s="3" t="s">
        <v>257</v>
      </c>
    </row>
    <row r="9773" spans="2:2" x14ac:dyDescent="0.2">
      <c r="B9773" s="3" t="s">
        <v>257</v>
      </c>
    </row>
    <row r="9774" spans="2:2" x14ac:dyDescent="0.2">
      <c r="B9774" s="3" t="s">
        <v>257</v>
      </c>
    </row>
    <row r="9775" spans="2:2" x14ac:dyDescent="0.2">
      <c r="B9775" s="3" t="s">
        <v>257</v>
      </c>
    </row>
    <row r="9776" spans="2:2" x14ac:dyDescent="0.2">
      <c r="B9776" s="3" t="s">
        <v>257</v>
      </c>
    </row>
    <row r="9777" spans="2:2" x14ac:dyDescent="0.2">
      <c r="B9777" s="3" t="s">
        <v>257</v>
      </c>
    </row>
    <row r="9778" spans="2:2" x14ac:dyDescent="0.2">
      <c r="B9778" s="3" t="s">
        <v>257</v>
      </c>
    </row>
    <row r="9779" spans="2:2" x14ac:dyDescent="0.2">
      <c r="B9779" s="3" t="s">
        <v>257</v>
      </c>
    </row>
    <row r="9780" spans="2:2" x14ac:dyDescent="0.2">
      <c r="B9780" s="3" t="s">
        <v>257</v>
      </c>
    </row>
    <row r="9781" spans="2:2" x14ac:dyDescent="0.2">
      <c r="B9781" s="3" t="s">
        <v>257</v>
      </c>
    </row>
    <row r="9782" spans="2:2" x14ac:dyDescent="0.2">
      <c r="B9782" s="3" t="s">
        <v>257</v>
      </c>
    </row>
    <row r="9783" spans="2:2" x14ac:dyDescent="0.2">
      <c r="B9783" s="3" t="s">
        <v>257</v>
      </c>
    </row>
    <row r="9784" spans="2:2" x14ac:dyDescent="0.2">
      <c r="B9784" s="3" t="s">
        <v>257</v>
      </c>
    </row>
    <row r="9785" spans="2:2" x14ac:dyDescent="0.2">
      <c r="B9785" s="3" t="s">
        <v>257</v>
      </c>
    </row>
    <row r="9786" spans="2:2" x14ac:dyDescent="0.2">
      <c r="B9786" s="3" t="s">
        <v>257</v>
      </c>
    </row>
    <row r="9787" spans="2:2" x14ac:dyDescent="0.2">
      <c r="B9787" s="3" t="s">
        <v>257</v>
      </c>
    </row>
    <row r="9788" spans="2:2" x14ac:dyDescent="0.2">
      <c r="B9788" s="3" t="s">
        <v>257</v>
      </c>
    </row>
    <row r="9789" spans="2:2" x14ac:dyDescent="0.2">
      <c r="B9789" s="3" t="s">
        <v>257</v>
      </c>
    </row>
    <row r="9790" spans="2:2" x14ac:dyDescent="0.2">
      <c r="B9790" s="3" t="s">
        <v>257</v>
      </c>
    </row>
    <row r="9791" spans="2:2" x14ac:dyDescent="0.2">
      <c r="B9791" s="3" t="s">
        <v>257</v>
      </c>
    </row>
    <row r="9792" spans="2:2" x14ac:dyDescent="0.2">
      <c r="B9792" s="3" t="s">
        <v>257</v>
      </c>
    </row>
    <row r="9793" spans="2:2" x14ac:dyDescent="0.2">
      <c r="B9793" s="3" t="s">
        <v>257</v>
      </c>
    </row>
    <row r="9794" spans="2:2" x14ac:dyDescent="0.2">
      <c r="B9794" s="3" t="s">
        <v>257</v>
      </c>
    </row>
    <row r="9795" spans="2:2" x14ac:dyDescent="0.2">
      <c r="B9795" s="3" t="s">
        <v>257</v>
      </c>
    </row>
    <row r="9796" spans="2:2" x14ac:dyDescent="0.2">
      <c r="B9796" s="3" t="s">
        <v>257</v>
      </c>
    </row>
    <row r="9797" spans="2:2" x14ac:dyDescent="0.2">
      <c r="B9797" s="3" t="s">
        <v>257</v>
      </c>
    </row>
    <row r="9798" spans="2:2" x14ac:dyDescent="0.2">
      <c r="B9798" s="3" t="s">
        <v>257</v>
      </c>
    </row>
    <row r="9799" spans="2:2" x14ac:dyDescent="0.2">
      <c r="B9799" s="3" t="s">
        <v>257</v>
      </c>
    </row>
    <row r="9800" spans="2:2" x14ac:dyDescent="0.2">
      <c r="B9800" s="3" t="s">
        <v>257</v>
      </c>
    </row>
    <row r="9801" spans="2:2" x14ac:dyDescent="0.2">
      <c r="B9801" s="3" t="s">
        <v>257</v>
      </c>
    </row>
    <row r="9802" spans="2:2" x14ac:dyDescent="0.2">
      <c r="B9802" s="3" t="s">
        <v>257</v>
      </c>
    </row>
    <row r="9803" spans="2:2" x14ac:dyDescent="0.2">
      <c r="B9803" s="3" t="s">
        <v>257</v>
      </c>
    </row>
    <row r="9804" spans="2:2" x14ac:dyDescent="0.2">
      <c r="B9804" s="3" t="s">
        <v>257</v>
      </c>
    </row>
    <row r="9805" spans="2:2" x14ac:dyDescent="0.2">
      <c r="B9805" s="3" t="s">
        <v>257</v>
      </c>
    </row>
    <row r="9806" spans="2:2" x14ac:dyDescent="0.2">
      <c r="B9806" s="3" t="s">
        <v>257</v>
      </c>
    </row>
    <row r="9807" spans="2:2" x14ac:dyDescent="0.2">
      <c r="B9807" s="3" t="s">
        <v>257</v>
      </c>
    </row>
    <row r="9808" spans="2:2" x14ac:dyDescent="0.2">
      <c r="B9808" s="3" t="s">
        <v>257</v>
      </c>
    </row>
    <row r="9809" spans="2:2" x14ac:dyDescent="0.2">
      <c r="B9809" s="3" t="s">
        <v>257</v>
      </c>
    </row>
    <row r="9810" spans="2:2" x14ac:dyDescent="0.2">
      <c r="B9810" s="3" t="s">
        <v>257</v>
      </c>
    </row>
    <row r="9811" spans="2:2" x14ac:dyDescent="0.2">
      <c r="B9811" s="3" t="s">
        <v>257</v>
      </c>
    </row>
    <row r="9812" spans="2:2" x14ac:dyDescent="0.2">
      <c r="B9812" s="3" t="s">
        <v>257</v>
      </c>
    </row>
    <row r="9813" spans="2:2" x14ac:dyDescent="0.2">
      <c r="B9813" s="3" t="s">
        <v>257</v>
      </c>
    </row>
    <row r="9814" spans="2:2" x14ac:dyDescent="0.2">
      <c r="B9814" s="3" t="s">
        <v>257</v>
      </c>
    </row>
    <row r="9815" spans="2:2" x14ac:dyDescent="0.2">
      <c r="B9815" s="3" t="s">
        <v>257</v>
      </c>
    </row>
    <row r="9816" spans="2:2" x14ac:dyDescent="0.2">
      <c r="B9816" s="3" t="s">
        <v>257</v>
      </c>
    </row>
    <row r="9817" spans="2:2" x14ac:dyDescent="0.2">
      <c r="B9817" s="3" t="s">
        <v>257</v>
      </c>
    </row>
    <row r="9818" spans="2:2" x14ac:dyDescent="0.2">
      <c r="B9818" s="3" t="s">
        <v>257</v>
      </c>
    </row>
    <row r="9819" spans="2:2" x14ac:dyDescent="0.2">
      <c r="B9819" s="3" t="s">
        <v>257</v>
      </c>
    </row>
    <row r="9820" spans="2:2" x14ac:dyDescent="0.2">
      <c r="B9820" s="3" t="s">
        <v>257</v>
      </c>
    </row>
    <row r="9821" spans="2:2" x14ac:dyDescent="0.2">
      <c r="B9821" s="3" t="s">
        <v>257</v>
      </c>
    </row>
    <row r="9822" spans="2:2" x14ac:dyDescent="0.2">
      <c r="B9822" s="3" t="s">
        <v>257</v>
      </c>
    </row>
    <row r="9823" spans="2:2" x14ac:dyDescent="0.2">
      <c r="B9823" s="3" t="s">
        <v>257</v>
      </c>
    </row>
    <row r="9824" spans="2:2" x14ac:dyDescent="0.2">
      <c r="B9824" s="3" t="s">
        <v>257</v>
      </c>
    </row>
    <row r="9825" spans="2:2" x14ac:dyDescent="0.2">
      <c r="B9825" s="3" t="s">
        <v>257</v>
      </c>
    </row>
    <row r="9826" spans="2:2" x14ac:dyDescent="0.2">
      <c r="B9826" s="3" t="s">
        <v>257</v>
      </c>
    </row>
    <row r="9827" spans="2:2" x14ac:dyDescent="0.2">
      <c r="B9827" s="3" t="s">
        <v>257</v>
      </c>
    </row>
    <row r="9828" spans="2:2" x14ac:dyDescent="0.2">
      <c r="B9828" s="3" t="s">
        <v>257</v>
      </c>
    </row>
    <row r="9829" spans="2:2" x14ac:dyDescent="0.2">
      <c r="B9829" s="3" t="s">
        <v>257</v>
      </c>
    </row>
    <row r="9830" spans="2:2" x14ac:dyDescent="0.2">
      <c r="B9830" s="3" t="s">
        <v>257</v>
      </c>
    </row>
    <row r="9831" spans="2:2" x14ac:dyDescent="0.2">
      <c r="B9831" s="3" t="s">
        <v>257</v>
      </c>
    </row>
    <row r="9832" spans="2:2" x14ac:dyDescent="0.2">
      <c r="B9832" s="3" t="s">
        <v>257</v>
      </c>
    </row>
    <row r="9833" spans="2:2" x14ac:dyDescent="0.2">
      <c r="B9833" s="3" t="s">
        <v>257</v>
      </c>
    </row>
    <row r="9834" spans="2:2" x14ac:dyDescent="0.2">
      <c r="B9834" s="3" t="s">
        <v>257</v>
      </c>
    </row>
    <row r="9835" spans="2:2" x14ac:dyDescent="0.2">
      <c r="B9835" s="3" t="s">
        <v>257</v>
      </c>
    </row>
    <row r="9836" spans="2:2" x14ac:dyDescent="0.2">
      <c r="B9836" s="3" t="s">
        <v>257</v>
      </c>
    </row>
    <row r="9837" spans="2:2" x14ac:dyDescent="0.2">
      <c r="B9837" s="3" t="s">
        <v>257</v>
      </c>
    </row>
    <row r="9838" spans="2:2" x14ac:dyDescent="0.2">
      <c r="B9838" s="3" t="s">
        <v>257</v>
      </c>
    </row>
    <row r="9839" spans="2:2" x14ac:dyDescent="0.2">
      <c r="B9839" s="3" t="s">
        <v>257</v>
      </c>
    </row>
    <row r="9840" spans="2:2" x14ac:dyDescent="0.2">
      <c r="B9840" s="3" t="s">
        <v>257</v>
      </c>
    </row>
    <row r="9841" spans="2:2" x14ac:dyDescent="0.2">
      <c r="B9841" s="3" t="s">
        <v>257</v>
      </c>
    </row>
    <row r="9842" spans="2:2" x14ac:dyDescent="0.2">
      <c r="B9842" s="3" t="s">
        <v>257</v>
      </c>
    </row>
    <row r="9843" spans="2:2" x14ac:dyDescent="0.2">
      <c r="B9843" s="3" t="s">
        <v>257</v>
      </c>
    </row>
    <row r="9844" spans="2:2" x14ac:dyDescent="0.2">
      <c r="B9844" s="3" t="s">
        <v>257</v>
      </c>
    </row>
    <row r="9845" spans="2:2" x14ac:dyDescent="0.2">
      <c r="B9845" s="3" t="s">
        <v>257</v>
      </c>
    </row>
    <row r="9846" spans="2:2" x14ac:dyDescent="0.2">
      <c r="B9846" s="3" t="s">
        <v>257</v>
      </c>
    </row>
    <row r="9847" spans="2:2" x14ac:dyDescent="0.2">
      <c r="B9847" s="3" t="s">
        <v>257</v>
      </c>
    </row>
    <row r="9848" spans="2:2" x14ac:dyDescent="0.2">
      <c r="B9848" s="3" t="s">
        <v>257</v>
      </c>
    </row>
    <row r="9849" spans="2:2" x14ac:dyDescent="0.2">
      <c r="B9849" s="3" t="s">
        <v>257</v>
      </c>
    </row>
    <row r="9850" spans="2:2" x14ac:dyDescent="0.2">
      <c r="B9850" s="3" t="s">
        <v>257</v>
      </c>
    </row>
    <row r="9851" spans="2:2" x14ac:dyDescent="0.2">
      <c r="B9851" s="3" t="s">
        <v>257</v>
      </c>
    </row>
    <row r="9852" spans="2:2" x14ac:dyDescent="0.2">
      <c r="B9852" s="3" t="s">
        <v>257</v>
      </c>
    </row>
    <row r="9853" spans="2:2" x14ac:dyDescent="0.2">
      <c r="B9853" s="3" t="s">
        <v>257</v>
      </c>
    </row>
    <row r="9854" spans="2:2" x14ac:dyDescent="0.2">
      <c r="B9854" s="3" t="s">
        <v>257</v>
      </c>
    </row>
    <row r="9855" spans="2:2" x14ac:dyDescent="0.2">
      <c r="B9855" s="3" t="s">
        <v>257</v>
      </c>
    </row>
    <row r="9856" spans="2:2" x14ac:dyDescent="0.2">
      <c r="B9856" s="3" t="s">
        <v>257</v>
      </c>
    </row>
    <row r="9857" spans="2:2" x14ac:dyDescent="0.2">
      <c r="B9857" s="3" t="s">
        <v>257</v>
      </c>
    </row>
    <row r="9858" spans="2:2" x14ac:dyDescent="0.2">
      <c r="B9858" s="3" t="s">
        <v>257</v>
      </c>
    </row>
    <row r="9859" spans="2:2" x14ac:dyDescent="0.2">
      <c r="B9859" s="3" t="s">
        <v>257</v>
      </c>
    </row>
    <row r="9860" spans="2:2" x14ac:dyDescent="0.2">
      <c r="B9860" s="3" t="s">
        <v>257</v>
      </c>
    </row>
    <row r="9861" spans="2:2" x14ac:dyDescent="0.2">
      <c r="B9861" s="3" t="s">
        <v>257</v>
      </c>
    </row>
    <row r="9862" spans="2:2" x14ac:dyDescent="0.2">
      <c r="B9862" s="3" t="s">
        <v>257</v>
      </c>
    </row>
    <row r="9863" spans="2:2" x14ac:dyDescent="0.2">
      <c r="B9863" s="3" t="s">
        <v>257</v>
      </c>
    </row>
    <row r="9864" spans="2:2" x14ac:dyDescent="0.2">
      <c r="B9864" s="3" t="s">
        <v>257</v>
      </c>
    </row>
    <row r="9865" spans="2:2" x14ac:dyDescent="0.2">
      <c r="B9865" s="3" t="s">
        <v>257</v>
      </c>
    </row>
    <row r="9866" spans="2:2" x14ac:dyDescent="0.2">
      <c r="B9866" s="3" t="s">
        <v>257</v>
      </c>
    </row>
    <row r="9867" spans="2:2" x14ac:dyDescent="0.2">
      <c r="B9867" s="3" t="s">
        <v>257</v>
      </c>
    </row>
    <row r="9868" spans="2:2" x14ac:dyDescent="0.2">
      <c r="B9868" s="3" t="s">
        <v>257</v>
      </c>
    </row>
    <row r="9869" spans="2:2" x14ac:dyDescent="0.2">
      <c r="B9869" s="3" t="s">
        <v>257</v>
      </c>
    </row>
    <row r="9870" spans="2:2" x14ac:dyDescent="0.2">
      <c r="B9870" s="3" t="s">
        <v>257</v>
      </c>
    </row>
    <row r="9871" spans="2:2" x14ac:dyDescent="0.2">
      <c r="B9871" s="3" t="s">
        <v>257</v>
      </c>
    </row>
    <row r="9872" spans="2:2" x14ac:dyDescent="0.2">
      <c r="B9872" s="3" t="s">
        <v>257</v>
      </c>
    </row>
    <row r="9873" spans="2:2" x14ac:dyDescent="0.2">
      <c r="B9873" s="3" t="s">
        <v>257</v>
      </c>
    </row>
    <row r="9874" spans="2:2" x14ac:dyDescent="0.2">
      <c r="B9874" s="3" t="s">
        <v>257</v>
      </c>
    </row>
    <row r="9875" spans="2:2" x14ac:dyDescent="0.2">
      <c r="B9875" s="3" t="s">
        <v>257</v>
      </c>
    </row>
    <row r="9876" spans="2:2" x14ac:dyDescent="0.2">
      <c r="B9876" s="3" t="s">
        <v>257</v>
      </c>
    </row>
    <row r="9877" spans="2:2" x14ac:dyDescent="0.2">
      <c r="B9877" s="3" t="s">
        <v>257</v>
      </c>
    </row>
    <row r="9878" spans="2:2" x14ac:dyDescent="0.2">
      <c r="B9878" s="3" t="s">
        <v>257</v>
      </c>
    </row>
    <row r="9879" spans="2:2" x14ac:dyDescent="0.2">
      <c r="B9879" s="3" t="s">
        <v>257</v>
      </c>
    </row>
    <row r="9880" spans="2:2" x14ac:dyDescent="0.2">
      <c r="B9880" s="3" t="s">
        <v>257</v>
      </c>
    </row>
    <row r="9881" spans="2:2" x14ac:dyDescent="0.2">
      <c r="B9881" s="3" t="s">
        <v>257</v>
      </c>
    </row>
    <row r="9882" spans="2:2" x14ac:dyDescent="0.2">
      <c r="B9882" s="3" t="s">
        <v>257</v>
      </c>
    </row>
    <row r="9883" spans="2:2" x14ac:dyDescent="0.2">
      <c r="B9883" s="3" t="s">
        <v>257</v>
      </c>
    </row>
    <row r="9884" spans="2:2" x14ac:dyDescent="0.2">
      <c r="B9884" s="3" t="s">
        <v>257</v>
      </c>
    </row>
    <row r="9885" spans="2:2" x14ac:dyDescent="0.2">
      <c r="B9885" s="3" t="s">
        <v>257</v>
      </c>
    </row>
    <row r="9886" spans="2:2" x14ac:dyDescent="0.2">
      <c r="B9886" s="3" t="s">
        <v>257</v>
      </c>
    </row>
    <row r="9887" spans="2:2" x14ac:dyDescent="0.2">
      <c r="B9887" s="3" t="s">
        <v>257</v>
      </c>
    </row>
    <row r="9888" spans="2:2" x14ac:dyDescent="0.2">
      <c r="B9888" s="3" t="s">
        <v>257</v>
      </c>
    </row>
    <row r="9889" spans="2:2" x14ac:dyDescent="0.2">
      <c r="B9889" s="3" t="s">
        <v>257</v>
      </c>
    </row>
    <row r="9890" spans="2:2" x14ac:dyDescent="0.2">
      <c r="B9890" s="3" t="s">
        <v>257</v>
      </c>
    </row>
    <row r="9891" spans="2:2" x14ac:dyDescent="0.2">
      <c r="B9891" s="3" t="s">
        <v>257</v>
      </c>
    </row>
    <row r="9892" spans="2:2" x14ac:dyDescent="0.2">
      <c r="B9892" s="3" t="s">
        <v>257</v>
      </c>
    </row>
    <row r="9893" spans="2:2" x14ac:dyDescent="0.2">
      <c r="B9893" s="3" t="s">
        <v>257</v>
      </c>
    </row>
    <row r="9894" spans="2:2" x14ac:dyDescent="0.2">
      <c r="B9894" s="3" t="s">
        <v>257</v>
      </c>
    </row>
    <row r="9895" spans="2:2" x14ac:dyDescent="0.2">
      <c r="B9895" s="3" t="s">
        <v>257</v>
      </c>
    </row>
    <row r="9896" spans="2:2" x14ac:dyDescent="0.2">
      <c r="B9896" s="3" t="s">
        <v>257</v>
      </c>
    </row>
    <row r="9897" spans="2:2" x14ac:dyDescent="0.2">
      <c r="B9897" s="3" t="s">
        <v>257</v>
      </c>
    </row>
    <row r="9898" spans="2:2" x14ac:dyDescent="0.2">
      <c r="B9898" s="3" t="s">
        <v>257</v>
      </c>
    </row>
    <row r="9899" spans="2:2" x14ac:dyDescent="0.2">
      <c r="B9899" s="3" t="s">
        <v>257</v>
      </c>
    </row>
    <row r="9900" spans="2:2" x14ac:dyDescent="0.2">
      <c r="B9900" s="3" t="s">
        <v>257</v>
      </c>
    </row>
    <row r="9901" spans="2:2" x14ac:dyDescent="0.2">
      <c r="B9901" s="3" t="s">
        <v>257</v>
      </c>
    </row>
    <row r="9902" spans="2:2" x14ac:dyDescent="0.2">
      <c r="B9902" s="3" t="s">
        <v>257</v>
      </c>
    </row>
    <row r="9903" spans="2:2" x14ac:dyDescent="0.2">
      <c r="B9903" s="3" t="s">
        <v>257</v>
      </c>
    </row>
    <row r="9904" spans="2:2" x14ac:dyDescent="0.2">
      <c r="B9904" s="3" t="s">
        <v>257</v>
      </c>
    </row>
    <row r="9905" spans="2:2" x14ac:dyDescent="0.2">
      <c r="B9905" s="3" t="s">
        <v>257</v>
      </c>
    </row>
    <row r="9906" spans="2:2" x14ac:dyDescent="0.2">
      <c r="B9906" s="3" t="s">
        <v>257</v>
      </c>
    </row>
    <row r="9907" spans="2:2" x14ac:dyDescent="0.2">
      <c r="B9907" s="3" t="s">
        <v>257</v>
      </c>
    </row>
    <row r="9908" spans="2:2" x14ac:dyDescent="0.2">
      <c r="B9908" s="3" t="s">
        <v>257</v>
      </c>
    </row>
    <row r="9909" spans="2:2" x14ac:dyDescent="0.2">
      <c r="B9909" s="3" t="s">
        <v>257</v>
      </c>
    </row>
    <row r="9910" spans="2:2" x14ac:dyDescent="0.2">
      <c r="B9910" s="3" t="s">
        <v>257</v>
      </c>
    </row>
    <row r="9911" spans="2:2" x14ac:dyDescent="0.2">
      <c r="B9911" s="3" t="s">
        <v>257</v>
      </c>
    </row>
    <row r="9912" spans="2:2" x14ac:dyDescent="0.2">
      <c r="B9912" s="3" t="s">
        <v>257</v>
      </c>
    </row>
    <row r="9913" spans="2:2" x14ac:dyDescent="0.2">
      <c r="B9913" s="3" t="s">
        <v>257</v>
      </c>
    </row>
    <row r="9914" spans="2:2" x14ac:dyDescent="0.2">
      <c r="B9914" s="3" t="s">
        <v>257</v>
      </c>
    </row>
    <row r="9915" spans="2:2" x14ac:dyDescent="0.2">
      <c r="B9915" s="3" t="s">
        <v>257</v>
      </c>
    </row>
    <row r="9916" spans="2:2" x14ac:dyDescent="0.2">
      <c r="B9916" s="3" t="s">
        <v>257</v>
      </c>
    </row>
    <row r="9917" spans="2:2" x14ac:dyDescent="0.2">
      <c r="B9917" s="3" t="s">
        <v>257</v>
      </c>
    </row>
    <row r="9918" spans="2:2" x14ac:dyDescent="0.2">
      <c r="B9918" s="3" t="s">
        <v>257</v>
      </c>
    </row>
    <row r="9919" spans="2:2" x14ac:dyDescent="0.2">
      <c r="B9919" s="3" t="s">
        <v>257</v>
      </c>
    </row>
    <row r="9920" spans="2:2" x14ac:dyDescent="0.2">
      <c r="B9920" s="3" t="s">
        <v>257</v>
      </c>
    </row>
    <row r="9921" spans="2:2" x14ac:dyDescent="0.2">
      <c r="B9921" s="3" t="s">
        <v>257</v>
      </c>
    </row>
    <row r="9922" spans="2:2" x14ac:dyDescent="0.2">
      <c r="B9922" s="3" t="s">
        <v>257</v>
      </c>
    </row>
    <row r="9923" spans="2:2" x14ac:dyDescent="0.2">
      <c r="B9923" s="3" t="s">
        <v>257</v>
      </c>
    </row>
    <row r="9924" spans="2:2" x14ac:dyDescent="0.2">
      <c r="B9924" s="3" t="s">
        <v>257</v>
      </c>
    </row>
    <row r="9925" spans="2:2" x14ac:dyDescent="0.2">
      <c r="B9925" s="3" t="s">
        <v>257</v>
      </c>
    </row>
    <row r="9926" spans="2:2" x14ac:dyDescent="0.2">
      <c r="B9926" s="3" t="s">
        <v>257</v>
      </c>
    </row>
    <row r="9927" spans="2:2" x14ac:dyDescent="0.2">
      <c r="B9927" s="3" t="s">
        <v>257</v>
      </c>
    </row>
    <row r="9928" spans="2:2" x14ac:dyDescent="0.2">
      <c r="B9928" s="3" t="s">
        <v>257</v>
      </c>
    </row>
    <row r="9929" spans="2:2" x14ac:dyDescent="0.2">
      <c r="B9929" s="3" t="s">
        <v>257</v>
      </c>
    </row>
    <row r="9930" spans="2:2" x14ac:dyDescent="0.2">
      <c r="B9930" s="3" t="s">
        <v>257</v>
      </c>
    </row>
    <row r="9931" spans="2:2" x14ac:dyDescent="0.2">
      <c r="B9931" s="3" t="s">
        <v>257</v>
      </c>
    </row>
    <row r="9932" spans="2:2" x14ac:dyDescent="0.2">
      <c r="B9932" s="3" t="s">
        <v>257</v>
      </c>
    </row>
    <row r="9933" spans="2:2" x14ac:dyDescent="0.2">
      <c r="B9933" s="3" t="s">
        <v>257</v>
      </c>
    </row>
    <row r="9934" spans="2:2" x14ac:dyDescent="0.2">
      <c r="B9934" s="3" t="s">
        <v>257</v>
      </c>
    </row>
    <row r="9935" spans="2:2" x14ac:dyDescent="0.2">
      <c r="B9935" s="3" t="s">
        <v>257</v>
      </c>
    </row>
    <row r="9936" spans="2:2" x14ac:dyDescent="0.2">
      <c r="B9936" s="3" t="s">
        <v>257</v>
      </c>
    </row>
    <row r="9937" spans="2:2" x14ac:dyDescent="0.2">
      <c r="B9937" s="3" t="s">
        <v>257</v>
      </c>
    </row>
    <row r="9938" spans="2:2" x14ac:dyDescent="0.2">
      <c r="B9938" s="3" t="s">
        <v>257</v>
      </c>
    </row>
    <row r="9939" spans="2:2" x14ac:dyDescent="0.2">
      <c r="B9939" s="3" t="s">
        <v>257</v>
      </c>
    </row>
    <row r="9940" spans="2:2" x14ac:dyDescent="0.2">
      <c r="B9940" s="3" t="s">
        <v>257</v>
      </c>
    </row>
    <row r="9941" spans="2:2" x14ac:dyDescent="0.2">
      <c r="B9941" s="3" t="s">
        <v>257</v>
      </c>
    </row>
    <row r="9942" spans="2:2" x14ac:dyDescent="0.2">
      <c r="B9942" s="3" t="s">
        <v>257</v>
      </c>
    </row>
    <row r="9943" spans="2:2" x14ac:dyDescent="0.2">
      <c r="B9943" s="3" t="s">
        <v>257</v>
      </c>
    </row>
    <row r="9944" spans="2:2" x14ac:dyDescent="0.2">
      <c r="B9944" s="3" t="s">
        <v>257</v>
      </c>
    </row>
    <row r="9945" spans="2:2" x14ac:dyDescent="0.2">
      <c r="B9945" s="3" t="s">
        <v>257</v>
      </c>
    </row>
    <row r="9946" spans="2:2" x14ac:dyDescent="0.2">
      <c r="B9946" s="3" t="s">
        <v>257</v>
      </c>
    </row>
    <row r="9947" spans="2:2" x14ac:dyDescent="0.2">
      <c r="B9947" s="3" t="s">
        <v>257</v>
      </c>
    </row>
    <row r="9948" spans="2:2" x14ac:dyDescent="0.2">
      <c r="B9948" s="3" t="s">
        <v>257</v>
      </c>
    </row>
    <row r="9949" spans="2:2" x14ac:dyDescent="0.2">
      <c r="B9949" s="3" t="s">
        <v>257</v>
      </c>
    </row>
    <row r="9950" spans="2:2" x14ac:dyDescent="0.2">
      <c r="B9950" s="3" t="s">
        <v>257</v>
      </c>
    </row>
    <row r="9951" spans="2:2" x14ac:dyDescent="0.2">
      <c r="B9951" s="3" t="s">
        <v>257</v>
      </c>
    </row>
    <row r="9952" spans="2:2" x14ac:dyDescent="0.2">
      <c r="B9952" s="3" t="s">
        <v>257</v>
      </c>
    </row>
    <row r="9953" spans="2:2" x14ac:dyDescent="0.2">
      <c r="B9953" s="3" t="s">
        <v>257</v>
      </c>
    </row>
    <row r="9954" spans="2:2" x14ac:dyDescent="0.2">
      <c r="B9954" s="3" t="s">
        <v>257</v>
      </c>
    </row>
    <row r="9955" spans="2:2" x14ac:dyDescent="0.2">
      <c r="B9955" s="3" t="s">
        <v>257</v>
      </c>
    </row>
    <row r="9956" spans="2:2" x14ac:dyDescent="0.2">
      <c r="B9956" s="3" t="s">
        <v>257</v>
      </c>
    </row>
    <row r="9957" spans="2:2" x14ac:dyDescent="0.2">
      <c r="B9957" s="3" t="s">
        <v>257</v>
      </c>
    </row>
    <row r="9958" spans="2:2" x14ac:dyDescent="0.2">
      <c r="B9958" s="3" t="s">
        <v>257</v>
      </c>
    </row>
    <row r="9959" spans="2:2" x14ac:dyDescent="0.2">
      <c r="B9959" s="3" t="s">
        <v>257</v>
      </c>
    </row>
    <row r="9960" spans="2:2" x14ac:dyDescent="0.2">
      <c r="B9960" s="3" t="s">
        <v>257</v>
      </c>
    </row>
    <row r="9961" spans="2:2" x14ac:dyDescent="0.2">
      <c r="B9961" s="3" t="s">
        <v>257</v>
      </c>
    </row>
    <row r="9962" spans="2:2" x14ac:dyDescent="0.2">
      <c r="B9962" s="3" t="s">
        <v>257</v>
      </c>
    </row>
    <row r="9963" spans="2:2" x14ac:dyDescent="0.2">
      <c r="B9963" s="3" t="s">
        <v>257</v>
      </c>
    </row>
    <row r="9964" spans="2:2" x14ac:dyDescent="0.2">
      <c r="B9964" s="3" t="s">
        <v>257</v>
      </c>
    </row>
    <row r="9965" spans="2:2" x14ac:dyDescent="0.2">
      <c r="B9965" s="3" t="s">
        <v>257</v>
      </c>
    </row>
    <row r="9966" spans="2:2" x14ac:dyDescent="0.2">
      <c r="B9966" s="3" t="s">
        <v>257</v>
      </c>
    </row>
    <row r="9967" spans="2:2" x14ac:dyDescent="0.2">
      <c r="B9967" s="3" t="s">
        <v>257</v>
      </c>
    </row>
    <row r="9968" spans="2:2" x14ac:dyDescent="0.2">
      <c r="B9968" s="3" t="s">
        <v>257</v>
      </c>
    </row>
    <row r="9969" spans="2:2" x14ac:dyDescent="0.2">
      <c r="B9969" s="3" t="s">
        <v>257</v>
      </c>
    </row>
    <row r="9970" spans="2:2" x14ac:dyDescent="0.2">
      <c r="B9970" s="3" t="s">
        <v>257</v>
      </c>
    </row>
    <row r="9971" spans="2:2" x14ac:dyDescent="0.2">
      <c r="B9971" s="3" t="s">
        <v>257</v>
      </c>
    </row>
    <row r="9972" spans="2:2" x14ac:dyDescent="0.2">
      <c r="B9972" s="3" t="s">
        <v>257</v>
      </c>
    </row>
    <row r="9973" spans="2:2" x14ac:dyDescent="0.2">
      <c r="B9973" s="3" t="s">
        <v>257</v>
      </c>
    </row>
    <row r="9974" spans="2:2" x14ac:dyDescent="0.2">
      <c r="B9974" s="3" t="s">
        <v>257</v>
      </c>
    </row>
    <row r="9975" spans="2:2" x14ac:dyDescent="0.2">
      <c r="B9975" s="3" t="s">
        <v>257</v>
      </c>
    </row>
    <row r="9976" spans="2:2" x14ac:dyDescent="0.2">
      <c r="B9976" s="3" t="s">
        <v>257</v>
      </c>
    </row>
    <row r="9977" spans="2:2" x14ac:dyDescent="0.2">
      <c r="B9977" s="3" t="s">
        <v>257</v>
      </c>
    </row>
    <row r="9978" spans="2:2" x14ac:dyDescent="0.2">
      <c r="B9978" s="3" t="s">
        <v>257</v>
      </c>
    </row>
    <row r="9979" spans="2:2" x14ac:dyDescent="0.2">
      <c r="B9979" s="3" t="s">
        <v>257</v>
      </c>
    </row>
    <row r="9980" spans="2:2" x14ac:dyDescent="0.2">
      <c r="B9980" s="3" t="s">
        <v>257</v>
      </c>
    </row>
    <row r="9981" spans="2:2" x14ac:dyDescent="0.2">
      <c r="B9981" s="3" t="s">
        <v>257</v>
      </c>
    </row>
    <row r="9982" spans="2:2" x14ac:dyDescent="0.2">
      <c r="B9982" s="3" t="s">
        <v>257</v>
      </c>
    </row>
    <row r="9983" spans="2:2" x14ac:dyDescent="0.2">
      <c r="B9983" s="3" t="s">
        <v>257</v>
      </c>
    </row>
    <row r="9984" spans="2:2" x14ac:dyDescent="0.2">
      <c r="B9984" s="3" t="s">
        <v>257</v>
      </c>
    </row>
    <row r="9985" spans="2:2" x14ac:dyDescent="0.2">
      <c r="B9985" s="3" t="s">
        <v>257</v>
      </c>
    </row>
    <row r="9986" spans="2:2" x14ac:dyDescent="0.2">
      <c r="B9986" s="3" t="s">
        <v>257</v>
      </c>
    </row>
    <row r="9987" spans="2:2" x14ac:dyDescent="0.2">
      <c r="B9987" s="3" t="s">
        <v>257</v>
      </c>
    </row>
    <row r="9988" spans="2:2" x14ac:dyDescent="0.2">
      <c r="B9988" s="3" t="s">
        <v>257</v>
      </c>
    </row>
    <row r="9989" spans="2:2" x14ac:dyDescent="0.2">
      <c r="B9989" s="3" t="s">
        <v>257</v>
      </c>
    </row>
    <row r="9990" spans="2:2" x14ac:dyDescent="0.2">
      <c r="B9990" s="3" t="s">
        <v>257</v>
      </c>
    </row>
    <row r="9991" spans="2:2" x14ac:dyDescent="0.2">
      <c r="B9991" s="3" t="s">
        <v>257</v>
      </c>
    </row>
    <row r="9992" spans="2:2" x14ac:dyDescent="0.2">
      <c r="B9992" s="3" t="s">
        <v>257</v>
      </c>
    </row>
    <row r="9993" spans="2:2" x14ac:dyDescent="0.2">
      <c r="B9993" s="3" t="s">
        <v>257</v>
      </c>
    </row>
    <row r="9994" spans="2:2" x14ac:dyDescent="0.2">
      <c r="B9994" s="3" t="s">
        <v>257</v>
      </c>
    </row>
    <row r="9995" spans="2:2" x14ac:dyDescent="0.2">
      <c r="B9995" s="3" t="s">
        <v>257</v>
      </c>
    </row>
    <row r="9996" spans="2:2" x14ac:dyDescent="0.2">
      <c r="B9996" s="3" t="s">
        <v>257</v>
      </c>
    </row>
    <row r="9997" spans="2:2" x14ac:dyDescent="0.2">
      <c r="B9997" s="3" t="s">
        <v>257</v>
      </c>
    </row>
    <row r="9998" spans="2:2" x14ac:dyDescent="0.2">
      <c r="B9998" s="3" t="s">
        <v>257</v>
      </c>
    </row>
    <row r="9999" spans="2:2" x14ac:dyDescent="0.2">
      <c r="B9999" s="3" t="s">
        <v>257</v>
      </c>
    </row>
    <row r="10000" spans="2:2" x14ac:dyDescent="0.2">
      <c r="B10000" s="3" t="s">
        <v>257</v>
      </c>
    </row>
  </sheetData>
  <autoFilter ref="A1:BM10000" xr:uid="{00000000-0009-0000-0000-000002000000}"/>
  <sortState xmlns:xlrd2="http://schemas.microsoft.com/office/spreadsheetml/2017/richdata2" ref="A2:BM3157">
    <sortCondition ref="E2:E10000"/>
    <sortCondition ref="F2:F10000"/>
    <sortCondition ref="B2:B10000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Home</vt:lpstr>
      <vt:lpstr>Graphs</vt:lpstr>
      <vt:lpstr>RawData</vt:lpstr>
      <vt:lpstr>Chart_Generator</vt:lpstr>
      <vt:lpstr>FSS_Participation</vt:lpstr>
      <vt:lpstr>FSS_Play_Obs_1030</vt:lpstr>
      <vt:lpstr>FSS_Play_Obs_515</vt:lpstr>
      <vt:lpstr>Lang_Samp_Quality</vt:lpstr>
      <vt:lpstr>Lang_Samp_Type</vt:lpstr>
      <vt:lpstr>ProgramName</vt:lpstr>
      <vt:lpstr>School_Centers</vt:lpstr>
      <vt:lpstr>School_Circle_Time</vt:lpstr>
      <vt:lpstr>School_Free_Time_Play_Time</vt:lpstr>
      <vt:lpstr>School_Play_Obs_1030</vt:lpstr>
      <vt:lpstr>School_Play_Obs_515</vt:lpstr>
      <vt:lpstr>TrialCount</vt:lpstr>
      <vt:lpstr>Unprompted_Play_Observation__10_min_30_sec</vt:lpstr>
      <vt:lpstr>Unprompted_Play_Observation__5_min_15_sec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Bryant</dc:creator>
  <cp:lastModifiedBy>Jonathan Bryant</cp:lastModifiedBy>
  <dcterms:created xsi:type="dcterms:W3CDTF">2021-06-29T20:32:51Z</dcterms:created>
  <dcterms:modified xsi:type="dcterms:W3CDTF">2022-04-27T17:27:09Z</dcterms:modified>
</cp:coreProperties>
</file>